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sumo_regimes" sheetId="2" state="visible" r:id="rId2"/>
    <sheet xmlns:r="http://schemas.openxmlformats.org/officeDocument/2006/relationships" name="Graficos" sheetId="3" state="visible" r:id="rId3"/>
    <sheet xmlns:r="http://schemas.openxmlformats.org/officeDocument/2006/relationships" name="Episodios" sheetId="4" state="visible" r:id="rId4"/>
    <sheet xmlns:r="http://schemas.openxmlformats.org/officeDocument/2006/relationships" name="Ep_por_quadrante" sheetId="5" state="visible" r:id="rId5"/>
    <sheet xmlns:r="http://schemas.openxmlformats.org/officeDocument/2006/relationships" name="Classes_ativos" sheetId="6" state="visible" r:id="rId6"/>
    <sheet xmlns:r="http://schemas.openxmlformats.org/officeDocument/2006/relationships" name="Transicoes" sheetId="7" state="visible" r:id="rId7"/>
    <sheet xmlns:r="http://schemas.openxmlformats.org/officeDocument/2006/relationships" name="Acumulado_por_regime" sheetId="8" state="visible" r:id="rId8"/>
    <sheet xmlns:r="http://schemas.openxmlformats.org/officeDocument/2006/relationships" name="Trajetoria_eventos" sheetId="9" state="visible" r:id="rId9"/>
    <sheet xmlns:r="http://schemas.openxmlformats.org/officeDocument/2006/relationships" name="Diagnostico" sheetId="10" state="visible" r:id="rId10"/>
    <sheet xmlns:r="http://schemas.openxmlformats.org/officeDocument/2006/relationships" name="Painel_diario" sheetId="11" state="visible" r:id="rId11"/>
    <sheet xmlns:r="http://schemas.openxmlformats.org/officeDocument/2006/relationships" name="Mensa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dd/mm/yyyy"/>
    <numFmt numFmtId="166" formatCode="#,##0.0"/>
    <numFmt numFmtId="167" formatCode="0.0000"/>
    <numFmt numFmtId="168" formatCode="0.000"/>
    <numFmt numFmtId="169" formatCode="0.000000"/>
    <numFmt numFmtId="170" formatCode="0.0%"/>
    <numFmt numFmtId="171" formatCode="mmm/yy"/>
    <numFmt numFmtId="172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203149"/>
      <sz val="14"/>
    </font>
    <font>
      <name val="Arial"/>
      <color rgb="005F6973"/>
      <sz val="9"/>
    </font>
    <font>
      <name val="Arial"/>
      <sz val="10"/>
    </font>
    <font>
      <name val="Arial"/>
      <b val="1"/>
      <sz val="10"/>
    </font>
    <font>
      <name val="Arial"/>
      <b val="1"/>
      <color rgb="00203149"/>
      <sz val="11"/>
    </font>
    <font>
      <name val="Arial"/>
      <b val="1"/>
      <sz val="9"/>
    </font>
    <font>
      <name val="Arial"/>
      <b val="1"/>
      <color rgb="00203149"/>
      <sz val="16"/>
    </font>
    <font>
      <name val="Arial"/>
      <color rgb="005F6973"/>
      <sz val="11"/>
    </font>
  </fonts>
  <fills count="4">
    <fill>
      <patternFill/>
    </fill>
    <fill>
      <patternFill patternType="gray125"/>
    </fill>
    <fill>
      <patternFill patternType="solid">
        <fgColor rgb="00203149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bottom style="thin">
        <color rgb="00D8DC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170" fontId="4" fillId="0" borderId="1" pivotButton="0" quotePrefix="0" xfId="0"/>
    <xf numFmtId="3" fontId="4" fillId="0" borderId="1" pivotButton="0" quotePrefix="0" xfId="0"/>
    <xf numFmtId="170" fontId="5" fillId="0" borderId="0" pivotButton="0" quotePrefix="0" xfId="0"/>
    <xf numFmtId="3" fontId="5" fillId="0" borderId="0" pivotButton="0" quotePrefix="0" xfId="0"/>
    <xf numFmtId="3" fontId="0" fillId="0" borderId="1" pivotButton="0" quotePrefix="0" xfId="0"/>
    <xf numFmtId="170" fontId="0" fillId="0" borderId="1" pivotButton="0" quotePrefix="0" xfId="0"/>
    <xf numFmtId="0" fontId="4" fillId="0" borderId="0" pivotButton="0" quotePrefix="0" xfId="0"/>
    <xf numFmtId="165" fontId="4" fillId="0" borderId="1" pivotButton="0" quotePrefix="0" xfId="0"/>
    <xf numFmtId="3" fontId="0" fillId="0" borderId="0" pivotButton="0" quotePrefix="0" xfId="0"/>
    <xf numFmtId="170" fontId="0" fillId="0" borderId="0" pivotButton="0" quotePrefix="0" xfId="0"/>
    <xf numFmtId="0" fontId="1" fillId="2" borderId="0" pivotButton="0" quotePrefix="0" xfId="0"/>
    <xf numFmtId="171" fontId="0" fillId="0" borderId="0" pivotButton="0" quotePrefix="0" xfId="0"/>
    <xf numFmtId="170" fontId="4" fillId="0" borderId="0" pivotButton="0" quotePrefix="0" xfId="0"/>
    <xf numFmtId="3" fontId="4" fillId="0" borderId="0" pivotButton="0" quotePrefix="0" xfId="0"/>
    <xf numFmtId="170" fontId="4" fillId="3" borderId="1" pivotButton="0" quotePrefix="0" xfId="0"/>
    <xf numFmtId="165" fontId="0" fillId="0" borderId="0" pivotButton="0" quotePrefix="0" xfId="0"/>
    <xf numFmtId="0" fontId="7" fillId="0" borderId="0" pivotButton="0" quotePrefix="0" xfId="0"/>
    <xf numFmtId="172" fontId="4" fillId="0" borderId="1" pivotButton="0" quotePrefix="0" xfId="0"/>
    <xf numFmtId="0" fontId="5" fillId="0" borderId="1" pivotButton="0" quotePrefix="0" xfId="0"/>
    <xf numFmtId="172" fontId="5" fillId="0" borderId="1" pivotButton="0" quotePrefix="0" xfId="0"/>
    <xf numFmtId="168" fontId="4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Ibovespa: retorno real anualizado por quadrante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'Resumo_regimes'!I4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88ADD8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6B5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78078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03149"/>
              </a:solidFill>
              <a:ln xmlns:a="http://schemas.openxmlformats.org/drawingml/2006/main">
                <a:prstDash val="solid"/>
              </a:ln>
            </spPr>
          </dPt>
          <cat>
            <numRef>
              <f>'Resumo_regimes'!$B$5:$B$8</f>
            </numRef>
          </cat>
          <val>
            <numRef>
              <f>'Resumo_regimes'!$I$5:$I$8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Retorno real anualizado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Frequencia de cada quadrante (dias corridos)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'Resumo_regimes'!C4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88ADD8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6B5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78078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03149"/>
              </a:solidFill>
              <a:ln xmlns:a="http://schemas.openxmlformats.org/drawingml/2006/main">
                <a:prstDash val="solid"/>
              </a:ln>
            </spPr>
          </dPt>
          <cat>
            <numRef>
              <f>'Resumo_regimes'!$B$5:$B$8</f>
            </numRef>
          </cat>
          <val>
            <numRef>
              <f>'Resumo_regimes'!$C$5:$C$8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Ibovespa ao longo dos regimes de earnings e juros</a:t>
            </a:r>
          </a:p>
        </rich>
      </tx>
    </title>
    <plotArea>
      <lineChart>
        <grouping val="standard"/>
        <ser>
          <idx val="0"/>
          <order val="0"/>
          <tx>
            <v>Earnings Up / Juros Down</v>
          </tx>
          <spPr>
            <a:ln xmlns:a="http://schemas.openxmlformats.org/drawingml/2006/main" w="20000">
              <a:solidFill>
                <a:srgbClr val="88AD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'Painel_diario'!$A$2:$A$5037</f>
            </numRef>
          </cat>
          <val>
            <numRef>
              <f>'Painel_diario'!$T$1:$T$5037</f>
            </numRef>
          </val>
          <smooth val="0"/>
        </ser>
        <ser>
          <idx val="1"/>
          <order val="1"/>
          <tx>
            <v>Earnings Up / Juros Up</v>
          </tx>
          <spPr>
            <a:ln xmlns:a="http://schemas.openxmlformats.org/drawingml/2006/main" w="20000">
              <a:solidFill>
                <a:srgbClr val="F6B5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'Painel_diario'!$A$2:$A$5037</f>
            </numRef>
          </cat>
          <val>
            <numRef>
              <f>'Painel_diario'!$U$1:$U$5037</f>
            </numRef>
          </val>
          <smooth val="0"/>
        </ser>
        <ser>
          <idx val="2"/>
          <order val="2"/>
          <tx>
            <v>Earnings Down / Juros Down</v>
          </tx>
          <spPr>
            <a:ln xmlns:a="http://schemas.openxmlformats.org/drawingml/2006/main" w="20000">
              <a:solidFill>
                <a:srgbClr val="7780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'Painel_diario'!$A$2:$A$5037</f>
            </numRef>
          </cat>
          <val>
            <numRef>
              <f>'Painel_diario'!$V$1:$V$5037</f>
            </numRef>
          </val>
          <smooth val="0"/>
        </ser>
        <ser>
          <idx val="3"/>
          <order val="3"/>
          <tx>
            <v>Earnings Down / Juros Up</v>
          </tx>
          <spPr>
            <a:ln xmlns:a="http://schemas.openxmlformats.org/drawingml/2006/main" w="20000">
              <a:solidFill>
                <a:srgbClr val="20314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'Painel_diario'!$A$2:$A$5037</f>
            </numRef>
          </cat>
          <val>
            <numRef>
              <f>'Painel_diario'!$W$1:$W$5037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Pontos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Swap Pre-DI 360 dias e os regimes de juros</a:t>
            </a:r>
          </a:p>
        </rich>
      </tx>
    </title>
    <plotArea>
      <lineChart>
        <grouping val="standard"/>
        <ser>
          <idx val="0"/>
          <order val="0"/>
          <tx>
            <v>Juros Up (Hike)</v>
          </tx>
          <spPr>
            <a:ln xmlns:a="http://schemas.openxmlformats.org/drawingml/2006/main" w="20000">
              <a:solidFill>
                <a:srgbClr val="20314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'Painel_diario'!$A$2:$A$5037</f>
            </numRef>
          </cat>
          <val>
            <numRef>
              <f>'Painel_diario'!$X$1:$X$5037</f>
            </numRef>
          </val>
          <smooth val="0"/>
        </ser>
        <ser>
          <idx val="1"/>
          <order val="1"/>
          <tx>
            <v>Juros Down (Cut)</v>
          </tx>
          <spPr>
            <a:ln xmlns:a="http://schemas.openxmlformats.org/drawingml/2006/main" w="20000">
              <a:solidFill>
                <a:srgbClr val="88AD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'Painel_diario'!$A$2:$A$5037</f>
            </numRef>
          </cat>
          <val>
            <numRef>
              <f>'Painel_diario'!$Y$1:$Y$5037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ao ano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Ibovespa: desempenho acumulado dentro de cada regime</a:t>
            </a:r>
          </a:p>
        </rich>
      </tx>
    </title>
    <plotArea>
      <lineChart>
        <grouping val="standard"/>
        <ser>
          <idx val="0"/>
          <order val="0"/>
          <tx>
            <v>Earnings Up / Juros Down</v>
          </tx>
          <spPr>
            <a:ln xmlns:a="http://schemas.openxmlformats.org/drawingml/2006/main" w="20000">
              <a:solidFill>
                <a:srgbClr val="88AD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'Acumulado_por_regime'!$A$5:$A$5040</f>
            </numRef>
          </cat>
          <val>
            <numRef>
              <f>'Acumulado_por_regime'!$B$4:$B$5040</f>
            </numRef>
          </val>
          <smooth val="0"/>
        </ser>
        <ser>
          <idx val="1"/>
          <order val="1"/>
          <tx>
            <v>Earnings Up / Juros Up</v>
          </tx>
          <spPr>
            <a:ln xmlns:a="http://schemas.openxmlformats.org/drawingml/2006/main" w="20000">
              <a:solidFill>
                <a:srgbClr val="F6B5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'Acumulado_por_regime'!$A$5:$A$5040</f>
            </numRef>
          </cat>
          <val>
            <numRef>
              <f>'Acumulado_por_regime'!$C$4:$C$5040</f>
            </numRef>
          </val>
          <smooth val="0"/>
        </ser>
        <ser>
          <idx val="2"/>
          <order val="2"/>
          <tx>
            <v>Earnings Down / Juros Down</v>
          </tx>
          <spPr>
            <a:ln xmlns:a="http://schemas.openxmlformats.org/drawingml/2006/main" w="20000">
              <a:solidFill>
                <a:srgbClr val="7780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'Acumulado_por_regime'!$A$5:$A$5040</f>
            </numRef>
          </cat>
          <val>
            <numRef>
              <f>'Acumulado_por_regime'!$D$4:$D$5040</f>
            </numRef>
          </val>
          <smooth val="0"/>
        </ser>
        <ser>
          <idx val="3"/>
          <order val="3"/>
          <tx>
            <v>Earnings Down / Juros Up</v>
          </tx>
          <spPr>
            <a:ln xmlns:a="http://schemas.openxmlformats.org/drawingml/2006/main" w="20000">
              <a:solidFill>
                <a:srgbClr val="20314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'Acumulado_por_regime'!$A$5:$A$5040</f>
            </numRef>
          </cat>
          <val>
            <numRef>
              <f>'Acumulado_por_regime'!$E$4:$E$5040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Retorno nominal acumulado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Ibovespa nos ultimos 5 episodios de Earnings Up / Juros Down</a:t>
            </a:r>
          </a:p>
        </rich>
      </tx>
    </title>
    <plotArea>
      <lineChart>
        <grouping val="standard"/>
        <ser>
          <idx val="0"/>
          <order val="0"/>
          <tx>
            <v>2020-10-01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'Trajetoria_eventos'!$A$7:$A$259</f>
            </numRef>
          </cat>
          <val>
            <numRef>
              <f>'Trajetoria_eventos'!$B$7:$B$259</f>
            </numRef>
          </val>
          <smooth val="0"/>
        </ser>
        <ser>
          <idx val="1"/>
          <order val="1"/>
          <tx>
            <v>2023-05-02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'Trajetoria_eventos'!$A$7:$A$259</f>
            </numRef>
          </cat>
          <val>
            <numRef>
              <f>'Trajetoria_eventos'!$C$7:$C$259</f>
            </numRef>
          </val>
          <smooth val="0"/>
        </ser>
        <ser>
          <idx val="2"/>
          <order val="2"/>
          <tx>
            <v>2023-11-01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'Trajetoria_eventos'!$A$7:$A$259</f>
            </numRef>
          </cat>
          <val>
            <numRef>
              <f>'Trajetoria_eventos'!$D$7:$D$259</f>
            </numRef>
          </val>
          <smooth val="0"/>
        </ser>
        <ser>
          <idx val="3"/>
          <order val="3"/>
          <tx>
            <v>2025-05-07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'Trajetoria_eventos'!$A$7:$A$259</f>
            </numRef>
          </cat>
          <val>
            <numRef>
              <f>'Trajetoria_eventos'!$E$7:$E$259</f>
            </numRef>
          </val>
          <smooth val="0"/>
        </ser>
        <ser>
          <idx val="4"/>
          <order val="4"/>
          <tx>
            <v>2025-12-01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'Trajetoria_eventos'!$A$7:$A$259</f>
            </numRef>
          </cat>
          <val>
            <numRef>
              <f>'Trajetoria_eventos'!$F$7:$F$259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Pregoes desde o primeiro sinal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Retorno nominal acumulado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Ibovespa nos ultimos 5 episodios de Earnings Up / Juros Up</a:t>
            </a:r>
          </a:p>
        </rich>
      </tx>
    </title>
    <plotArea>
      <lineChart>
        <grouping val="standard"/>
        <ser>
          <idx val="0"/>
          <order val="0"/>
          <tx>
            <v>2018-06-08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'Trajetoria_eventos'!$A$266:$A$518</f>
            </numRef>
          </cat>
          <val>
            <numRef>
              <f>'Trajetoria_eventos'!$B$266:$B$518</f>
            </numRef>
          </val>
          <smooth val="0"/>
        </ser>
        <ser>
          <idx val="1"/>
          <order val="1"/>
          <tx>
            <v>2020-10-05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'Trajetoria_eventos'!$A$266:$A$518</f>
            </numRef>
          </cat>
          <val>
            <numRef>
              <f>'Trajetoria_eventos'!$C$266:$C$518</f>
            </numRef>
          </val>
          <smooth val="0"/>
        </ser>
        <ser>
          <idx val="2"/>
          <order val="2"/>
          <tx>
            <v>2022-04-01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'Trajetoria_eventos'!$A$266:$A$518</f>
            </numRef>
          </cat>
          <val>
            <numRef>
              <f>'Trajetoria_eventos'!$D$266:$D$518</f>
            </numRef>
          </val>
          <smooth val="0"/>
        </ser>
        <ser>
          <idx val="3"/>
          <order val="3"/>
          <tx>
            <v>2024-05-09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'Trajetoria_eventos'!$A$266:$A$518</f>
            </numRef>
          </cat>
          <val>
            <numRef>
              <f>'Trajetoria_eventos'!$E$266:$E$518</f>
            </numRef>
          </val>
          <smooth val="0"/>
        </ser>
        <ser>
          <idx val="4"/>
          <order val="4"/>
          <tx>
            <v>2025-01-02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'Trajetoria_eventos'!$A$266:$A$518</f>
            </numRef>
          </cat>
          <val>
            <numRef>
              <f>'Trajetoria_eventos'!$F$266:$F$518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Pregoes desde o primeiro sinal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Retorno nominal acumulado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Ibovespa nos ultimos 5 episodios de Earnings Down / Juros Down</a:t>
            </a:r>
          </a:p>
        </rich>
      </tx>
    </title>
    <plotArea>
      <lineChart>
        <grouping val="standard"/>
        <ser>
          <idx val="0"/>
          <order val="0"/>
          <tx>
            <v>2017-10-02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'Trajetoria_eventos'!$A$525:$A$777</f>
            </numRef>
          </cat>
          <val>
            <numRef>
              <f>'Trajetoria_eventos'!$B$525:$B$777</f>
            </numRef>
          </val>
          <smooth val="0"/>
        </ser>
        <ser>
          <idx val="1"/>
          <order val="1"/>
          <tx>
            <v>2019-08-01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'Trajetoria_eventos'!$A$525:$A$777</f>
            </numRef>
          </cat>
          <val>
            <numRef>
              <f>'Trajetoria_eventos'!$C$525:$C$777</f>
            </numRef>
          </val>
          <smooth val="0"/>
        </ser>
        <ser>
          <idx val="2"/>
          <order val="2"/>
          <tx>
            <v>2023-03-07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'Trajetoria_eventos'!$A$525:$A$777</f>
            </numRef>
          </cat>
          <val>
            <numRef>
              <f>'Trajetoria_eventos'!$D$525:$D$777</f>
            </numRef>
          </val>
          <smooth val="0"/>
        </ser>
        <ser>
          <idx val="3"/>
          <order val="3"/>
          <tx>
            <v>2023-07-03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'Trajetoria_eventos'!$A$525:$A$777</f>
            </numRef>
          </cat>
          <val>
            <numRef>
              <f>'Trajetoria_eventos'!$E$525:$E$777</f>
            </numRef>
          </val>
          <smooth val="0"/>
        </ser>
        <ser>
          <idx val="4"/>
          <order val="4"/>
          <tx>
            <v>2025-07-01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'Trajetoria_eventos'!$A$525:$A$777</f>
            </numRef>
          </cat>
          <val>
            <numRef>
              <f>'Trajetoria_eventos'!$F$525:$F$777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Pregoes desde o primeiro sinal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Retorno nominal acumulado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Ibovespa nos ultimos 5 episodios de Earnings Down / Juros Up</a:t>
            </a:r>
          </a:p>
        </rich>
      </tx>
    </title>
    <plotArea>
      <lineChart>
        <grouping val="standard"/>
        <ser>
          <idx val="0"/>
          <order val="0"/>
          <tx>
            <v>2014-08-01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'Trajetoria_eventos'!$A$784:$A$1036</f>
            </numRef>
          </cat>
          <val>
            <numRef>
              <f>'Trajetoria_eventos'!$B$784:$B$1036</f>
            </numRef>
          </val>
          <smooth val="0"/>
        </ser>
        <ser>
          <idx val="1"/>
          <order val="1"/>
          <tx>
            <v>2015-12-01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'Trajetoria_eventos'!$A$784:$A$1036</f>
            </numRef>
          </cat>
          <val>
            <numRef>
              <f>'Trajetoria_eventos'!$C$784:$C$1036</f>
            </numRef>
          </val>
          <smooth val="0"/>
        </ser>
        <ser>
          <idx val="2"/>
          <order val="2"/>
          <tx>
            <v>2022-01-03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'Trajetoria_eventos'!$A$784:$A$1036</f>
            </numRef>
          </cat>
          <val>
            <numRef>
              <f>'Trajetoria_eventos'!$D$784:$D$1036</f>
            </numRef>
          </val>
          <smooth val="0"/>
        </ser>
        <ser>
          <idx val="3"/>
          <order val="3"/>
          <tx>
            <v>2022-12-01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'Trajetoria_eventos'!$A$784:$A$1036</f>
            </numRef>
          </cat>
          <val>
            <numRef>
              <f>'Trajetoria_eventos'!$E$784:$E$1036</f>
            </numRef>
          </val>
          <smooth val="0"/>
        </ser>
        <ser>
          <idx val="4"/>
          <order val="4"/>
          <tx>
            <v>2024-11-01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'Trajetoria_eventos'!$A$784:$A$1036</f>
            </numRef>
          </cat>
          <val>
            <numRef>
              <f>'Trajetoria_eventos'!$F$784:$F$1036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Pregoes desde o primeiro sinal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Retorno nominal acumulado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Relationship Type="http://schemas.openxmlformats.org/officeDocument/2006/relationships/chart" Target="/xl/charts/chart9.xml" Id="rId4"/></Relationships>
</file>

<file path=xl/drawings/drawing1.xml><?xml version="1.0" encoding="utf-8"?>
<wsDr xmlns="http://schemas.openxmlformats.org/drawingml/2006/spreadsheetDrawing">
  <oneCellAnchor>
    <from>
      <col>15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24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15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115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3</row>
      <rowOff>0</rowOff>
    </from>
    <ext cx="115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263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522</row>
      <rowOff>0</rowOff>
    </from>
    <ext cx="864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781</row>
      <rowOff>0</rowOff>
    </from>
    <ext cx="864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1" t="inlineStr">
        <is>
          <t>Regimes de earnings e juros do Ibovespa</t>
        </is>
      </c>
    </row>
    <row r="2">
      <c r="A2" s="2" t="inlineStr">
        <is>
          <t>Tabelas e graficos no formato do Regime Monitor da XP, com a grade earnings x juros</t>
        </is>
      </c>
    </row>
    <row r="5" ht="30" customHeight="1">
      <c r="A5" s="3" t="inlineStr">
        <is>
          <t>Regra de earnings</t>
        </is>
      </c>
      <c r="B5" s="4" t="inlineStr">
        <is>
          <t>Inclinacao OLS do log do BPA esperado 12 meses a frente sobre os ultimos 63 pregoes. O sinal e observado apenas no ultimo pregao de cada mes. Inclinacao positiva e Earnings Up; nao positiva e Earnings Down.</t>
        </is>
      </c>
    </row>
    <row r="6" ht="30" customHeight="1">
      <c r="A6" s="3" t="inlineStr">
        <is>
          <t>Filtro de mudanca</t>
        </is>
      </c>
      <c r="B6" s="4" t="inlineStr">
        <is>
          <t>Uma virada exige dois fechamentos mensais consecutivos do lado oposto e passa a valer no pregao seguinte a segunda confirmacao. Sem media movel, sem winsorizacao, sem banda e sem ajuste pelo Focus.</t>
        </is>
      </c>
    </row>
    <row r="7" ht="30" customHeight="1">
      <c r="A7" s="3" t="inlineStr">
        <is>
          <t>Regra de juros</t>
        </is>
      </c>
      <c r="B7" s="4" t="inlineStr">
        <is>
          <t>Classificacao Hike e Cut da serie do swap Pre-DI de 360 dias. Hike e Juros Up, Cut e Juros Down. Juros Down forcado desde 07/05/2025 ate o fim da amostra, em linha com os reports da XP.</t>
        </is>
      </c>
    </row>
    <row r="8" ht="30" customHeight="1">
      <c r="A8" s="3" t="inlineStr">
        <is>
          <t>Retornos</t>
        </is>
      </c>
      <c r="B8" s="4" t="inlineStr">
        <is>
          <t>O retorno de fechamento a fechamento de t para t+1 e atribuido ao regime vigente em t. Composicao em log, anualizacao por 252 pregoes.</t>
        </is>
      </c>
    </row>
    <row r="9" ht="30" customHeight="1">
      <c r="A9" s="3" t="inlineStr">
        <is>
          <t>Retorno real</t>
        </is>
      </c>
      <c r="B9" s="4" t="inlineStr">
        <is>
          <t>IPCA mensal realizado, com o log da inflacao do mes distribuido igualmente entre os intervalos de pregao daquele mes. Agosto de 2026 fica fora do retorno real por nao haver IPCA realizado.</t>
        </is>
      </c>
    </row>
    <row r="10" ht="15" customHeight="1">
      <c r="A10" s="3" t="inlineStr">
        <is>
          <t>Frequencia</t>
        </is>
      </c>
      <c r="B10" s="4" t="inlineStr">
        <is>
          <t>Dias corridos entre datas efetivas de mudanca de regime.</t>
        </is>
      </c>
    </row>
    <row r="11" ht="15" customHeight="1">
      <c r="A11" s="3" t="inlineStr">
        <is>
          <t>Amostra</t>
        </is>
      </c>
      <c r="B11" s="4" t="inlineStr">
        <is>
          <t>03/04/2006 a 12/08/2026, 5.036 pregoes classificados, 29 episodios de earnings e 41 episodios combinados.</t>
        </is>
      </c>
    </row>
    <row r="13">
      <c r="A13" s="5" t="inlineStr">
        <is>
          <t>Abas</t>
        </is>
      </c>
    </row>
    <row r="14" ht="15" customHeight="1">
      <c r="A14" s="3" t="inlineStr">
        <is>
          <t>Resumo_regimes</t>
        </is>
      </c>
      <c r="B14" s="4" t="inlineStr">
        <is>
          <t>Quadro-sintese dos quatro quadrantes, frequencias marginais, estado corrente e os dois graficos de barras.</t>
        </is>
      </c>
    </row>
    <row r="15" ht="15" customHeight="1">
      <c r="A15" s="3" t="inlineStr">
        <is>
          <t>Graficos</t>
        </is>
      </c>
      <c r="B15" s="4" t="inlineStr">
        <is>
          <t>Ibovespa colorido pelo quadrante vigente, swap Pre-DI por regime de juros e a serie de BPA.</t>
        </is>
      </c>
    </row>
    <row r="16" ht="15" customHeight="1">
      <c r="A16" s="3" t="inlineStr">
        <is>
          <t>Episodios</t>
        </is>
      </c>
      <c r="B16" s="4" t="inlineStr">
        <is>
          <t>Os 41 episodios combinados com duracao e desempenho de Ibovespa, CDI, USDBRL e swap.</t>
        </is>
      </c>
    </row>
    <row r="17" ht="15" customHeight="1">
      <c r="A17" s="3" t="inlineStr">
        <is>
          <t>Ep_por_quadrante</t>
        </is>
      </c>
      <c r="B17" s="4" t="inlineStr">
        <is>
          <t>Os mesmos episodios separados por quadrante, no formato das tabelas do report, com mediana e taxa de acerto.</t>
        </is>
      </c>
    </row>
    <row r="18" ht="15" customHeight="1">
      <c r="A18" s="3" t="inlineStr">
        <is>
          <t>Classes_ativos</t>
        </is>
      </c>
      <c r="B18" s="4" t="inlineStr">
        <is>
          <t>Grade de classes de ativos por episodio, com media ponderada e taxa de acerto.</t>
        </is>
      </c>
    </row>
    <row r="19" ht="15" customHeight="1">
      <c r="A19" s="3" t="inlineStr">
        <is>
          <t>Transicoes</t>
        </is>
      </c>
      <c r="B19" s="4" t="inlineStr">
        <is>
          <t>Matriz de transicao entre quadrantes, equivalente ao diagrama do report.</t>
        </is>
      </c>
    </row>
    <row r="20" ht="15" customHeight="1">
      <c r="A20" s="3" t="inlineStr">
        <is>
          <t>Acumulado_por_regime</t>
        </is>
      </c>
      <c r="B20" s="4" t="inlineStr">
        <is>
          <t>Desempenho acumulado do Ibovespa dentro de cada quadrante, com a curva parada nos dias fora do regime.</t>
        </is>
      </c>
    </row>
    <row r="21" ht="30" customHeight="1">
      <c r="A21" s="3" t="inlineStr">
        <is>
          <t>Trajetoria_eventos</t>
        </is>
      </c>
      <c r="B21" s="4" t="inlineStr">
        <is>
          <t>Retorno acumulado do Ibovespa nos ultimos cinco episodios de cada um dos quatro quadrantes, ate 252 pregoes, com um grafico por bloco.</t>
        </is>
      </c>
    </row>
    <row r="22" ht="15" customHeight="1">
      <c r="A22" s="3" t="inlineStr">
        <is>
          <t>Painel_diario</t>
        </is>
      </c>
      <c r="B22" s="4" t="inlineStr">
        <is>
          <t>Base diaria completa. Todas as tabelas apontam para ela.</t>
        </is>
      </c>
    </row>
    <row r="23" ht="15" customHeight="1">
      <c r="A23" s="3" t="inlineStr">
        <is>
          <t>Mensal</t>
        </is>
      </c>
      <c r="B23" s="4" t="inlineStr">
        <is>
          <t>IPCA por mes e a alocacao do log da inflacao entre os intervalos de pregao.</t>
        </is>
      </c>
    </row>
    <row r="24" ht="15" customHeight="1">
      <c r="A24" s="3" t="inlineStr">
        <is>
          <t>Diagnostico</t>
        </is>
      </c>
      <c r="B24" s="4" t="inlineStr">
        <is>
          <t>Sensibilidade, teste de rotacao, bootstrap por episodio, poder preditivo e subamostras.</t>
        </is>
      </c>
    </row>
    <row r="26">
      <c r="A26" s="5" t="inlineStr">
        <is>
          <t>Fontes</t>
        </is>
      </c>
    </row>
    <row r="27" ht="15" customHeight="1">
      <c r="A27" s="3" t="inlineStr">
        <is>
          <t>BPA 12 meses a frente</t>
        </is>
      </c>
      <c r="B27" s="4" t="inlineStr">
        <is>
          <t>Ibovespa Best EPS.xlsx, planilha Sheet1, de 02/01/2006 a 24/08/2026.</t>
        </is>
      </c>
    </row>
    <row r="28" ht="30" customHeight="1">
      <c r="A28" s="3" t="inlineStr">
        <is>
          <t>Ibovespa</t>
        </is>
      </c>
      <c r="B28" s="4" t="inlineStr">
        <is>
          <t>BCB SGS serie 7 ate 30/12/2013 e serie B3 do projeto desde 02/01/2014. Emenda verificada, retorno de -2,26% em 02/01/2014.</t>
        </is>
      </c>
    </row>
    <row r="29" ht="15" customHeight="1">
      <c r="A29" s="3" t="inlineStr">
        <is>
          <t>Regimes de juros</t>
        </is>
      </c>
      <c r="B29" s="4" t="inlineStr">
        <is>
          <t>swap_pre_di_regimes.csv. Nivel do swap em swap_pre_di_360.csv.</t>
        </is>
      </c>
    </row>
    <row r="30" ht="15" customHeight="1">
      <c r="A30" s="3" t="inlineStr">
        <is>
          <t>IPCA</t>
        </is>
      </c>
      <c r="B30" s="4" t="inlineStr">
        <is>
          <t>BCB SGS 433, arquivos JSON em tmp/earnings_regimes_analysis/ipca, de jan/2006 a jul/2026.</t>
        </is>
      </c>
    </row>
    <row r="31" ht="30" customHeight="1">
      <c r="A31" s="3" t="inlineStr">
        <is>
          <t>CDI</t>
        </is>
      </c>
      <c r="B31" s="4" t="inlineStr">
        <is>
          <t>BCB SGS 12, diario. De 2006 a 2013 baixado do BCB nesta sessao; de 2014 em diante do arquivo cdi_sgs12.csv ja existente no projeto.</t>
        </is>
      </c>
    </row>
    <row r="32" ht="15" customHeight="1">
      <c r="A32" s="3" t="inlineStr">
        <is>
          <t>USDBRL</t>
        </is>
      </c>
      <c r="B32" s="4" t="inlineStr">
        <is>
          <t>PTAX diaria do BCB, arquivos em .codex_eps_analysis/macro.</t>
        </is>
      </c>
    </row>
    <row r="34">
      <c r="A34" s="5" t="inlineStr">
        <is>
          <t>O que nao foi reproduzido</t>
        </is>
      </c>
    </row>
    <row r="35" ht="15" customHeight="1">
      <c r="A35" s="3" t="inlineStr">
        <is>
          <t>SMLL, IMA-B 5 e IMA-B 5+</t>
        </is>
      </c>
      <c r="B35" s="4" t="inlineStr">
        <is>
          <t>Nao ha essas series no projeto. As linhas correspondentes da tabela de classes de ativos ficaram de fora.</t>
        </is>
      </c>
    </row>
    <row r="36" ht="30" customHeight="1">
      <c r="A36" s="3" t="inlineStr">
        <is>
          <t>Setores e cestas de fatores</t>
        </is>
      </c>
      <c r="B36" s="4" t="inlineStr">
        <is>
          <t>As abas setoriais MSCI em datasets/ibovespa_msci_return_decomposition sao templates do Bloomberg sem dados carregados. Com um refresh do Bloomberg, as tabelas setoriais e de fatores do report passam a ser reproduziveis.</t>
        </is>
      </c>
    </row>
    <row r="37" ht="30" customHeight="1">
      <c r="A37" s="3" t="inlineStr">
        <is>
          <t>Limiar de mudanca de regime</t>
        </is>
      </c>
      <c r="B37" s="4" t="inlineStr">
        <is>
          <t>O report da XP mostra o nivel de swap que dispararia a virada. Isso depende do modelo proprietario de juros e nao foi replicado.</t>
        </is>
      </c>
    </row>
    <row r="39" ht="30" customHeight="1">
      <c r="A39" s="3" t="inlineStr">
        <is>
          <t>Como o arquivo esta montado</t>
        </is>
      </c>
      <c r="B39" s="4" t="inlineStr">
        <is>
          <t>O Painel_diario e a base de dados. As tabelas-resumo sao formulas com SUMIFS, COUNTIFS e INDEX, entao recalculam sozinhas se a base for estendida. A classificacao de regime em si vem do algoritmo documentado e entra como valor, porque a maquina de estados de confirmacao mensal nao se escreve em formula de planilha.</t>
        </is>
      </c>
    </row>
    <row r="40" ht="30" customHeight="1">
      <c r="A40" s="3" t="inlineStr">
        <is>
          <t>Serie de BPA</t>
        </is>
      </c>
      <c r="B40" s="4" t="inlineStr">
        <is>
          <t>A coluna do BPA 12 meses a frente foi removida desta versao publica por ser dado licenciado da Bloomberg (campo BEst EPS). A inclinacao de 63 pregoes, que e a estatistica usada pela regra, continua na planilha, e todas as tabelas e graficos funcionam sem a serie bruta. Para regenerar o arquivo completo, basta ter o Ibovespa Best EPS.xlsx e rodar src/build_report.py.</t>
        </is>
      </c>
    </row>
    <row r="41" ht="30" customHeight="1">
      <c r="A41" s="3" t="inlineStr">
        <is>
          <t>Aviso de leitura</t>
        </is>
      </c>
      <c r="B41" s="4" t="inlineStr">
        <is>
          <t>Os quatro numeros de retorno sao decomposicao historica, nao previsao. A aba Diagnostico mostra que a ordenacao entre quadrantes e estavel, mas a magnitude do efeito de earnings nao e.</t>
        </is>
      </c>
    </row>
    <row r="43">
      <c r="A43" s="6" t="inlineStr">
        <is>
          <t>Gerado em 02/09/2026. Nenhum arquivo de entrada foi alterado.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10" customWidth="1" min="5" max="5"/>
    <col width="14" customWidth="1" min="6" max="6"/>
    <col width="15" customWidth="1" min="7" max="7"/>
    <col width="14" customWidth="1" min="8" max="8"/>
    <col width="13" customWidth="1" min="9" max="9"/>
    <col width="15" customWidth="1" min="10" max="10"/>
    <col width="11" customWidth="1" min="11" max="11"/>
    <col width="13" customWidth="1" min="12" max="12"/>
    <col width="12" customWidth="1" min="13" max="13"/>
  </cols>
  <sheetData>
    <row r="1">
      <c r="A1" s="7" t="inlineStr">
        <is>
          <t>Ibovespa nos regimes de earnings e juros</t>
        </is>
      </c>
    </row>
    <row r="2">
      <c r="A2" s="6" t="inlineStr">
        <is>
          <t>Amostra efetiva de 03/04/2006 a 12/08/2026. Todas as celulas abaixo sao formulas sobre Painel_diario e Episodios.</t>
        </is>
      </c>
    </row>
    <row r="4">
      <c r="A4" s="8" t="inlineStr">
        <is>
          <t>Quadrante</t>
        </is>
      </c>
      <c r="B4" s="8" t="inlineStr">
        <is>
          <t>Descricao</t>
        </is>
      </c>
      <c r="C4" s="8" t="inlineStr">
        <is>
          <t>% do tempo</t>
        </is>
      </c>
      <c r="D4" s="8" t="inlineStr">
        <is>
          <t>Dias corridos</t>
        </is>
      </c>
      <c r="E4" s="8" t="inlineStr">
        <is>
          <t>Episodios</t>
        </is>
      </c>
      <c r="F4" s="8" t="inlineStr">
        <is>
          <t>Duracao media (dias)</t>
        </is>
      </c>
      <c r="G4" s="8" t="inlineStr">
        <is>
          <t>Duracao mediana (dias)</t>
        </is>
      </c>
      <c r="H4" s="8" t="inlineStr">
        <is>
          <t>Ibov anual nominal</t>
        </is>
      </c>
      <c r="I4" s="8" t="inlineStr">
        <is>
          <t>Ibov anual real</t>
        </is>
      </c>
      <c r="J4" s="8" t="inlineStr">
        <is>
          <t>Ibov anual sobre CDI</t>
        </is>
      </c>
      <c r="K4" s="8" t="inlineStr">
        <is>
          <t>Dias positivos</t>
        </is>
      </c>
      <c r="L4" s="8" t="inlineStr">
        <is>
          <t>Episodios positivos</t>
        </is>
      </c>
      <c r="M4" s="8" t="inlineStr">
        <is>
          <t>Taxa de acerto</t>
        </is>
      </c>
    </row>
    <row r="5">
      <c r="A5" s="9" t="inlineStr">
        <is>
          <t>EU_JD</t>
        </is>
      </c>
      <c r="B5" s="9" t="inlineStr">
        <is>
          <t>Earnings Up / Juros Down</t>
        </is>
      </c>
      <c r="C5" s="10">
        <f>D5/SUM($D$5:$D$8)</f>
        <v/>
      </c>
      <c r="D5" s="11">
        <f>SUMIF(Episodios!$B$5:$B$45,$A5,Episodios!$J$5:$J$45)</f>
        <v/>
      </c>
      <c r="E5" s="11">
        <f>COUNTIF(Episodios!$B$5:$B$45,$A5)</f>
        <v/>
      </c>
      <c r="F5" s="11">
        <f>D5/E5</f>
        <v/>
      </c>
      <c r="G5" s="11">
        <f>MEDIAN(Ep_por_quadrante!C6:C17)</f>
        <v/>
      </c>
      <c r="H5" s="10">
        <f>EXP(SUMIFS(Painel_diario!$L$2:$L$5037,Painel_diario!$H$2:$H$5037,$A5)*252/COUNTIFS(Painel_diario!$H$2:$H$5037,$A5,Painel_diario!$J$2:$J$5037,1))-1</f>
        <v/>
      </c>
      <c r="I5" s="10">
        <f>EXP(SUMIFS(Painel_diario!$N$2:$N$5037,Painel_diario!$H$2:$H$5037,$A5)*252/COUNTIFS(Painel_diario!$H$2:$H$5037,$A5,Painel_diario!$K$2:$K$5037,1))-1</f>
        <v/>
      </c>
      <c r="J5" s="10">
        <f>EXP((SUMIFS(Painel_diario!$L$2:$L$5037,Painel_diario!$H$2:$H$5037,$A5)-SUMIFS(Painel_diario!$P$2:$P$5037,Painel_diario!$H$2:$H$5037,$A5))*252/COUNTIFS(Painel_diario!$H$2:$H$5037,$A5,Painel_diario!$J$2:$J$5037,1))-1</f>
        <v/>
      </c>
      <c r="K5" s="10">
        <f>COUNTIFS(Painel_diario!$H$2:$H$5037,$A5,Painel_diario!$L$2:$L$5037,"&gt;0")/COUNTIFS(Painel_diario!$H$2:$H$5037,$A5,Painel_diario!$J$2:$J$5037,1)</f>
        <v/>
      </c>
      <c r="L5" s="11">
        <f>COUNTIFS(Episodios!$B$5:$B$45,$A5,Episodios!$P$5:$P$45,"&gt;0")</f>
        <v/>
      </c>
      <c r="M5" s="10">
        <f>L5/E5</f>
        <v/>
      </c>
    </row>
    <row r="6">
      <c r="A6" s="9" t="inlineStr">
        <is>
          <t>EU_JU</t>
        </is>
      </c>
      <c r="B6" s="9" t="inlineStr">
        <is>
          <t>Earnings Up / Juros Up</t>
        </is>
      </c>
      <c r="C6" s="10">
        <f>D6/SUM($D$5:$D$8)</f>
        <v/>
      </c>
      <c r="D6" s="11">
        <f>SUMIF(Episodios!$B$5:$B$45,$A6,Episodios!$J$5:$J$45)</f>
        <v/>
      </c>
      <c r="E6" s="11">
        <f>COUNTIF(Episodios!$B$5:$B$45,$A6)</f>
        <v/>
      </c>
      <c r="F6" s="11">
        <f>D6/E6</f>
        <v/>
      </c>
      <c r="G6" s="11">
        <f>MEDIAN(Ep_por_quadrante!C25:C35)</f>
        <v/>
      </c>
      <c r="H6" s="10">
        <f>EXP(SUMIFS(Painel_diario!$L$2:$L$5037,Painel_diario!$H$2:$H$5037,$A6)*252/COUNTIFS(Painel_diario!$H$2:$H$5037,$A6,Painel_diario!$J$2:$J$5037,1))-1</f>
        <v/>
      </c>
      <c r="I6" s="10">
        <f>EXP(SUMIFS(Painel_diario!$N$2:$N$5037,Painel_diario!$H$2:$H$5037,$A6)*252/COUNTIFS(Painel_diario!$H$2:$H$5037,$A6,Painel_diario!$K$2:$K$5037,1))-1</f>
        <v/>
      </c>
      <c r="J6" s="10">
        <f>EXP((SUMIFS(Painel_diario!$L$2:$L$5037,Painel_diario!$H$2:$H$5037,$A6)-SUMIFS(Painel_diario!$P$2:$P$5037,Painel_diario!$H$2:$H$5037,$A6))*252/COUNTIFS(Painel_diario!$H$2:$H$5037,$A6,Painel_diario!$J$2:$J$5037,1))-1</f>
        <v/>
      </c>
      <c r="K6" s="10">
        <f>COUNTIFS(Painel_diario!$H$2:$H$5037,$A6,Painel_diario!$L$2:$L$5037,"&gt;0")/COUNTIFS(Painel_diario!$H$2:$H$5037,$A6,Painel_diario!$J$2:$J$5037,1)</f>
        <v/>
      </c>
      <c r="L6" s="11">
        <f>COUNTIFS(Episodios!$B$5:$B$45,$A6,Episodios!$P$5:$P$45,"&gt;0")</f>
        <v/>
      </c>
      <c r="M6" s="10">
        <f>L6/E6</f>
        <v/>
      </c>
    </row>
    <row r="7">
      <c r="A7" s="9" t="inlineStr">
        <is>
          <t>ED_JD</t>
        </is>
      </c>
      <c r="B7" s="9" t="inlineStr">
        <is>
          <t>Earnings Down / Juros Down</t>
        </is>
      </c>
      <c r="C7" s="10">
        <f>D7/SUM($D$5:$D$8)</f>
        <v/>
      </c>
      <c r="D7" s="11">
        <f>SUMIF(Episodios!$B$5:$B$45,$A7,Episodios!$J$5:$J$45)</f>
        <v/>
      </c>
      <c r="E7" s="11">
        <f>COUNTIF(Episodios!$B$5:$B$45,$A7)</f>
        <v/>
      </c>
      <c r="F7" s="11">
        <f>D7/E7</f>
        <v/>
      </c>
      <c r="G7" s="11">
        <f>MEDIAN(Ep_por_quadrante!C43:C51)</f>
        <v/>
      </c>
      <c r="H7" s="10">
        <f>EXP(SUMIFS(Painel_diario!$L$2:$L$5037,Painel_diario!$H$2:$H$5037,$A7)*252/COUNTIFS(Painel_diario!$H$2:$H$5037,$A7,Painel_diario!$J$2:$J$5037,1))-1</f>
        <v/>
      </c>
      <c r="I7" s="10">
        <f>EXP(SUMIFS(Painel_diario!$N$2:$N$5037,Painel_diario!$H$2:$H$5037,$A7)*252/COUNTIFS(Painel_diario!$H$2:$H$5037,$A7,Painel_diario!$K$2:$K$5037,1))-1</f>
        <v/>
      </c>
      <c r="J7" s="10">
        <f>EXP((SUMIFS(Painel_diario!$L$2:$L$5037,Painel_diario!$H$2:$H$5037,$A7)-SUMIFS(Painel_diario!$P$2:$P$5037,Painel_diario!$H$2:$H$5037,$A7))*252/COUNTIFS(Painel_diario!$H$2:$H$5037,$A7,Painel_diario!$J$2:$J$5037,1))-1</f>
        <v/>
      </c>
      <c r="K7" s="10">
        <f>COUNTIFS(Painel_diario!$H$2:$H$5037,$A7,Painel_diario!$L$2:$L$5037,"&gt;0")/COUNTIFS(Painel_diario!$H$2:$H$5037,$A7,Painel_diario!$J$2:$J$5037,1)</f>
        <v/>
      </c>
      <c r="L7" s="11">
        <f>COUNTIFS(Episodios!$B$5:$B$45,$A7,Episodios!$P$5:$P$45,"&gt;0")</f>
        <v/>
      </c>
      <c r="M7" s="10">
        <f>L7/E7</f>
        <v/>
      </c>
    </row>
    <row r="8">
      <c r="A8" s="9" t="inlineStr">
        <is>
          <t>ED_JU</t>
        </is>
      </c>
      <c r="B8" s="9" t="inlineStr">
        <is>
          <t>Earnings Down / Juros Up</t>
        </is>
      </c>
      <c r="C8" s="10">
        <f>D8/SUM($D$5:$D$8)</f>
        <v/>
      </c>
      <c r="D8" s="11">
        <f>SUMIF(Episodios!$B$5:$B$45,$A8,Episodios!$J$5:$J$45)</f>
        <v/>
      </c>
      <c r="E8" s="11">
        <f>COUNTIF(Episodios!$B$5:$B$45,$A8)</f>
        <v/>
      </c>
      <c r="F8" s="11">
        <f>D8/E8</f>
        <v/>
      </c>
      <c r="G8" s="11">
        <f>MEDIAN(Ep_por_quadrante!C59:C67)</f>
        <v/>
      </c>
      <c r="H8" s="10">
        <f>EXP(SUMIFS(Painel_diario!$L$2:$L$5037,Painel_diario!$H$2:$H$5037,$A8)*252/COUNTIFS(Painel_diario!$H$2:$H$5037,$A8,Painel_diario!$J$2:$J$5037,1))-1</f>
        <v/>
      </c>
      <c r="I8" s="10">
        <f>EXP(SUMIFS(Painel_diario!$N$2:$N$5037,Painel_diario!$H$2:$H$5037,$A8)*252/COUNTIFS(Painel_diario!$H$2:$H$5037,$A8,Painel_diario!$K$2:$K$5037,1))-1</f>
        <v/>
      </c>
      <c r="J8" s="10">
        <f>EXP((SUMIFS(Painel_diario!$L$2:$L$5037,Painel_diario!$H$2:$H$5037,$A8)-SUMIFS(Painel_diario!$P$2:$P$5037,Painel_diario!$H$2:$H$5037,$A8))*252/COUNTIFS(Painel_diario!$H$2:$H$5037,$A8,Painel_diario!$J$2:$J$5037,1))-1</f>
        <v/>
      </c>
      <c r="K8" s="10">
        <f>COUNTIFS(Painel_diario!$H$2:$H$5037,$A8,Painel_diario!$L$2:$L$5037,"&gt;0")/COUNTIFS(Painel_diario!$H$2:$H$5037,$A8,Painel_diario!$J$2:$J$5037,1)</f>
        <v/>
      </c>
      <c r="L8" s="11">
        <f>COUNTIFS(Episodios!$B$5:$B$45,$A8,Episodios!$P$5:$P$45,"&gt;0")</f>
        <v/>
      </c>
      <c r="M8" s="10">
        <f>L8/E8</f>
        <v/>
      </c>
    </row>
    <row r="9">
      <c r="A9" s="3" t="n"/>
      <c r="B9" s="3" t="inlineStr">
        <is>
          <t>Total / Ibovespa na amostra</t>
        </is>
      </c>
      <c r="C9" s="12">
        <f>SUM(C5:C8)</f>
        <v/>
      </c>
      <c r="D9" s="13">
        <f>SUM(D5:D8)</f>
        <v/>
      </c>
      <c r="E9" s="13">
        <f>SUM(E5:E8)</f>
        <v/>
      </c>
      <c r="F9" s="3" t="n"/>
      <c r="G9" s="3" t="n"/>
      <c r="H9" s="12">
        <f>EXP(SUM(Painel_diario!$L$2:$L$5037)*252/COUNTIF(Painel_diario!$J$2:$J$5037,1))-1</f>
        <v/>
      </c>
      <c r="I9" s="12">
        <f>EXP(SUM(Painel_diario!$N$2:$N$5037)*252/COUNTIF(Painel_diario!$K$2:$K$5037,1))-1</f>
        <v/>
      </c>
      <c r="J9" s="12">
        <f>EXP((SUM(Painel_diario!$L$2:$L$5037)-SUM(Painel_diario!$P$2:$P$5037))*252/COUNTIF(Painel_diario!$J$2:$J$5037,1))-1</f>
        <v/>
      </c>
      <c r="K9" s="12">
        <f>COUNTIF(Painel_diario!$L$2:$L$5037,"&gt;0")/COUNTIF(Painel_diario!$J$2:$J$5037,1)</f>
        <v/>
      </c>
      <c r="L9" s="3" t="n"/>
      <c r="M9" s="3" t="n"/>
    </row>
    <row r="11">
      <c r="A11" s="5" t="inlineStr">
        <is>
          <t>Frequencias marginais</t>
        </is>
      </c>
    </row>
    <row r="12">
      <c r="A12" s="8" t="inlineStr">
        <is>
          <t>Classificacao</t>
        </is>
      </c>
      <c r="B12" s="8" t="inlineStr">
        <is>
          <t>Dias corridos</t>
        </is>
      </c>
      <c r="C12" s="8" t="inlineStr">
        <is>
          <t>% do tempo</t>
        </is>
      </c>
      <c r="D12" s="8" t="inlineStr">
        <is>
          <t>Ibov anual real</t>
        </is>
      </c>
    </row>
    <row r="13">
      <c r="A13" s="9" t="inlineStr">
        <is>
          <t>Earnings Up</t>
        </is>
      </c>
      <c r="B13" s="14">
        <f>SUMIF(Episodios!$B$5:$B$45,"EU_JD",Episodios!$J$5:$J$45)+SUMIF(Episodios!$B$5:$B$45,"EU_JU",Episodios!$J$5:$J$45)</f>
        <v/>
      </c>
      <c r="C13" s="15">
        <f>B13/SUM($D$5:$D$8)</f>
        <v/>
      </c>
      <c r="D13" s="15">
        <f>EXP(SUMIFS(Painel_diario!$N$2:$N$5037,Painel_diario!$F$2:$F$5037,"Up")*252/COUNTIFS(Painel_diario!$F$2:$F$5037,"Up",Painel_diario!$K$2:$K$5037,1))-1</f>
        <v/>
      </c>
    </row>
    <row r="14">
      <c r="A14" s="9" t="inlineStr">
        <is>
          <t>Earnings Down</t>
        </is>
      </c>
      <c r="B14" s="14">
        <f>SUMIF(Episodios!$B$5:$B$45,"ED_JD",Episodios!$J$5:$J$45)+SUMIF(Episodios!$B$5:$B$45,"ED_JU",Episodios!$J$5:$J$45)</f>
        <v/>
      </c>
      <c r="C14" s="15">
        <f>B14/SUM($D$5:$D$8)</f>
        <v/>
      </c>
      <c r="D14" s="15">
        <f>EXP(SUMIFS(Painel_diario!$N$2:$N$5037,Painel_diario!$F$2:$F$5037,"Down")*252/COUNTIFS(Painel_diario!$F$2:$F$5037,"Down",Painel_diario!$K$2:$K$5037,1))-1</f>
        <v/>
      </c>
    </row>
    <row r="15">
      <c r="A15" s="9" t="inlineStr">
        <is>
          <t>Juros Up</t>
        </is>
      </c>
      <c r="B15" s="14">
        <f>SUMIF(Episodios!$B$5:$B$45,"EU_JU",Episodios!$J$5:$J$45)+SUMIF(Episodios!$B$5:$B$45,"ED_JU",Episodios!$J$5:$J$45)</f>
        <v/>
      </c>
      <c r="C15" s="15">
        <f>B15/SUM($D$5:$D$8)</f>
        <v/>
      </c>
      <c r="D15" s="15">
        <f>EXP(SUMIFS(Painel_diario!$N$2:$N$5037,Painel_diario!$G$2:$G$5037,"Up")*252/COUNTIFS(Painel_diario!$G$2:$G$5037,"Up",Painel_diario!$K$2:$K$5037,1))-1</f>
        <v/>
      </c>
    </row>
    <row r="16">
      <c r="A16" s="9" t="inlineStr">
        <is>
          <t>Juros Down</t>
        </is>
      </c>
      <c r="B16" s="14">
        <f>SUMIF(Episodios!$B$5:$B$45,"EU_JD",Episodios!$J$5:$J$45)+SUMIF(Episodios!$B$5:$B$45,"ED_JD",Episodios!$J$5:$J$45)</f>
        <v/>
      </c>
      <c r="C16" s="15">
        <f>B16/SUM($D$5:$D$8)</f>
        <v/>
      </c>
      <c r="D16" s="15">
        <f>EXP(SUMIFS(Painel_diario!$N$2:$N$5037,Painel_diario!$G$2:$G$5037,"Down")*252/COUNTIFS(Painel_diario!$G$2:$G$5037,"Down",Painel_diario!$K$2:$K$5037,1))-1</f>
        <v/>
      </c>
    </row>
    <row r="18">
      <c r="A18" s="5" t="inlineStr">
        <is>
          <t>Estado corrente em 12/08/2026</t>
        </is>
      </c>
    </row>
    <row r="19">
      <c r="A19" s="3" t="inlineStr">
        <is>
          <t>Regime de earnings</t>
        </is>
      </c>
      <c r="B19" s="16" t="inlineStr">
        <is>
          <t>Earnings Up desde 01/12/2025</t>
        </is>
      </c>
    </row>
    <row r="20">
      <c r="A20" s="3" t="inlineStr">
        <is>
          <t>Regime de juros</t>
        </is>
      </c>
      <c r="B20" s="16" t="inlineStr">
        <is>
          <t>Juros Down desde 07/05/2025</t>
        </is>
      </c>
    </row>
    <row r="21">
      <c r="A21" s="3" t="inlineStr">
        <is>
          <t>Quadrante combinado</t>
        </is>
      </c>
      <c r="B21" s="16" t="inlineStr">
        <is>
          <t>Earnings Up / Juros Down desde 01/12/2025</t>
        </is>
      </c>
    </row>
    <row r="22">
      <c r="A22" s="3" t="inlineStr">
        <is>
          <t>Ultima observacao comum</t>
        </is>
      </c>
      <c r="B22" s="16" t="inlineStr">
        <is>
          <t>12/08/2026</t>
        </is>
      </c>
    </row>
    <row r="23">
      <c r="A23" s="3" t="inlineStr">
        <is>
          <t>Ultimo IPCA realizado</t>
        </is>
      </c>
      <c r="B23" s="16" t="inlineStr">
        <is>
          <t>julho de 2026</t>
        </is>
      </c>
    </row>
    <row r="26">
      <c r="A26" s="6" t="inlineStr">
        <is>
          <t>Duracao mediana preenchida na aba Ep_por_quadrante, onde os episodios de cada quadrante ficam em linhas contiguas.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7" t="inlineStr">
        <is>
          <t>Graficos do report</t>
        </is>
      </c>
    </row>
    <row r="2">
      <c r="A2" s="6" t="inlineStr">
        <is>
          <t>As series vem do Painel_diario. O Ibovespa aparece em quatro colunas, uma por quadrante, para colorir o nivel do indice conforme o regime vigente.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6" customWidth="1" min="3" max="3"/>
    <col width="10" customWidth="1" min="4" max="4"/>
    <col width="9" customWidth="1" min="5" max="5"/>
    <col width="11" customWidth="1" min="6" max="6"/>
    <col width="11" customWidth="1" min="7" max="7"/>
    <col width="12" customWidth="1" min="8" max="8"/>
    <col width="12" customWidth="1" min="9" max="9"/>
    <col width="11" customWidth="1" min="10" max="10"/>
    <col width="9" customWidth="1" min="11" max="11"/>
    <col width="10" customWidth="1" min="12" max="12"/>
    <col width="13" customWidth="1" min="13" max="13"/>
    <col width="15" customWidth="1" min="14" max="14"/>
    <col width="15" customWidth="1" min="15" max="15"/>
    <col width="14" customWidth="1" min="16" max="16"/>
    <col width="14" customWidth="1" min="17" max="17"/>
    <col width="11" customWidth="1" min="18" max="18"/>
    <col width="17" customWidth="1" min="19" max="19"/>
    <col width="13" customWidth="1" min="20" max="20"/>
    <col width="14" customWidth="1" min="21" max="21"/>
    <col width="10" customWidth="1" min="22" max="22"/>
  </cols>
  <sheetData>
    <row r="1">
      <c r="A1" s="7" t="inlineStr">
        <is>
          <t>Episodios combinados de earnings e juros</t>
        </is>
      </c>
    </row>
    <row r="2">
      <c r="A2" s="6" t="inlineStr">
        <is>
          <t>Um episodio comeca no primeiro pregao em que o quadrante vigora e termina no primeiro pregao do quadrante seguinte. Metricas calculadas por formula sobre o Painel_diario.</t>
        </is>
      </c>
    </row>
    <row r="4">
      <c r="A4" s="8" t="inlineStr">
        <is>
          <t>#</t>
        </is>
      </c>
      <c r="B4" s="8" t="inlineStr">
        <is>
          <t>Quadrante</t>
        </is>
      </c>
      <c r="C4" s="8" t="inlineStr">
        <is>
          <t>Descricao</t>
        </is>
      </c>
      <c r="D4" s="8" t="inlineStr">
        <is>
          <t>Earnings</t>
        </is>
      </c>
      <c r="E4" s="8" t="inlineStr">
        <is>
          <t>Juros</t>
        </is>
      </c>
      <c r="F4" s="8" t="inlineStr">
        <is>
          <t>Inicio</t>
        </is>
      </c>
      <c r="G4" s="8" t="inlineStr">
        <is>
          <t>Fim</t>
        </is>
      </c>
      <c r="H4" s="8" t="inlineStr">
        <is>
          <t>Fim exclusivo</t>
        </is>
      </c>
      <c r="I4" s="8" t="inlineStr">
        <is>
          <t>Ultimo pregao</t>
        </is>
      </c>
      <c r="J4" s="8" t="inlineStr">
        <is>
          <t>Dias corridos</t>
        </is>
      </c>
      <c r="K4" s="8" t="inlineStr">
        <is>
          <t>Pregoes</t>
        </is>
      </c>
      <c r="L4" s="8" t="inlineStr">
        <is>
          <t>Intervalos</t>
        </is>
      </c>
      <c r="M4" s="8" t="inlineStr">
        <is>
          <t>Interv. c/ IPCA</t>
        </is>
      </c>
      <c r="N4" s="8" t="inlineStr">
        <is>
          <t>Ibov total nominal</t>
        </is>
      </c>
      <c r="O4" s="8" t="inlineStr">
        <is>
          <t>Ibov anual nominal</t>
        </is>
      </c>
      <c r="P4" s="8" t="inlineStr">
        <is>
          <t>Ibov total real</t>
        </is>
      </c>
      <c r="Q4" s="8" t="inlineStr">
        <is>
          <t>Ibov anual real</t>
        </is>
      </c>
      <c r="R4" s="8" t="inlineStr">
        <is>
          <t>CDI anual</t>
        </is>
      </c>
      <c r="S4" s="8" t="inlineStr">
        <is>
          <t>Ibov anual sobre CDI</t>
        </is>
      </c>
      <c r="T4" s="8" t="inlineStr">
        <is>
          <t>USDBRL anual</t>
        </is>
      </c>
      <c r="U4" s="8" t="inlineStr">
        <is>
          <t>Swap 360d (bps)</t>
        </is>
      </c>
      <c r="V4" s="8" t="inlineStr">
        <is>
          <t>Corrente</t>
        </is>
      </c>
    </row>
    <row r="5">
      <c r="A5" s="9" t="n">
        <v>1</v>
      </c>
      <c r="B5" s="9" t="inlineStr">
        <is>
          <t>EU_JD</t>
        </is>
      </c>
      <c r="C5" s="9" t="inlineStr">
        <is>
          <t>Earnings Up / Juros Down</t>
        </is>
      </c>
      <c r="D5" s="9" t="inlineStr">
        <is>
          <t>Up</t>
        </is>
      </c>
      <c r="E5" s="9" t="inlineStr">
        <is>
          <t>Down</t>
        </is>
      </c>
      <c r="F5" s="17" t="n">
        <v>38810</v>
      </c>
      <c r="G5" s="17" t="n">
        <v>38869</v>
      </c>
      <c r="H5" s="17" t="n">
        <v>38869</v>
      </c>
      <c r="I5" s="17" t="n">
        <v>38868</v>
      </c>
      <c r="J5" s="11">
        <f>G5-F5</f>
        <v/>
      </c>
      <c r="K5" s="11">
        <f>COUNTIFS(Painel_diario!$A$2:$A$5037,"&gt;="&amp;$F5,Painel_diario!$A$2:$A$5037,"&lt;"&amp;$H5)</f>
        <v/>
      </c>
      <c r="L5" s="11">
        <f>COUNTIFS(Painel_diario!$A$2:$A$5037,"&gt;="&amp;$F5,Painel_diario!$A$2:$A$5037,"&lt;"&amp;$H5,Painel_diario!$J$2:$J$5037,1)</f>
        <v/>
      </c>
      <c r="M5" s="11">
        <f>COUNTIFS(Painel_diario!$A$2:$A$5037,"&gt;="&amp;$F5,Painel_diario!$A$2:$A$5037,"&lt;"&amp;$H5,Painel_diario!$K$2:$K$5037,1)</f>
        <v/>
      </c>
      <c r="N5" s="10">
        <f>EXP(SUMIFS(Painel_diario!$L$2:$L$5037,Painel_diario!$A$2:$A$5037,"&gt;="&amp;$F5,Painel_diario!$A$2:$A$5037,"&lt;"&amp;$H5))-1</f>
        <v/>
      </c>
      <c r="O5" s="10">
        <f>IF(L5=0,"",EXP(SUMIFS(Painel_diario!$L$2:$L$5037,Painel_diario!$A$2:$A$5037,"&gt;="&amp;$F5,Painel_diario!$A$2:$A$5037,"&lt;"&amp;$H5)*252/L5)-1)</f>
        <v/>
      </c>
      <c r="P5" s="10">
        <f>EXP(SUMIFS(Painel_diario!$N$2:$N$5037,Painel_diario!$A$2:$A$5037,"&gt;="&amp;$F5,Painel_diario!$A$2:$A$5037,"&lt;"&amp;$H5))-1</f>
        <v/>
      </c>
      <c r="Q5" s="10">
        <f>IF(M5=0,"",EXP(SUMIFS(Painel_diario!$N$2:$N$5037,Painel_diario!$A$2:$A$5037,"&gt;="&amp;$F5,Painel_diario!$A$2:$A$5037,"&lt;"&amp;$H5)*252/M5)-1)</f>
        <v/>
      </c>
      <c r="R5" s="10">
        <f>IF(L5=0,"",EXP(SUMIFS(Painel_diario!$P$2:$P$5037,Painel_diario!$A$2:$A$5037,"&gt;="&amp;$F5,Painel_diario!$A$2:$A$5037,"&lt;"&amp;$H5)*252/L5)-1)</f>
        <v/>
      </c>
      <c r="S5" s="10">
        <f>IF(L5=0,"",EXP((SUMIFS(Painel_diario!$L$2:$L$5037,Painel_diario!$A$2:$A$5037,"&gt;="&amp;$F5,Painel_diario!$A$2:$A$5037,"&lt;"&amp;$H5)-SUMIFS(Painel_diario!$P$2:$P$5037,Painel_diario!$A$2:$A$5037,"&gt;="&amp;$F5,Painel_diario!$A$2:$A$5037,"&lt;"&amp;$H5))*252/L5)-1)</f>
        <v/>
      </c>
      <c r="T5" s="10">
        <f>IF(L5=0,"",EXP(SUMIFS(Painel_diario!$Q$2:$Q$5037,Painel_diario!$A$2:$A$5037,"&gt;="&amp;$F5,Painel_diario!$A$2:$A$5037,"&lt;"&amp;$H5)*252/L5)-1)</f>
        <v/>
      </c>
      <c r="U5" s="11">
        <f>(INDEX(Painel_diario!$S$2:$S$5037,MATCH($I5,Painel_diario!$A$2:$A$5037,0))-INDEX(Painel_diario!$S$2:$S$5037,MATCH($F5,Painel_diario!$A$2:$A$5037,0)))*100</f>
        <v/>
      </c>
      <c r="V5" s="9" t="inlineStr"/>
    </row>
    <row r="6">
      <c r="A6" s="9" t="n">
        <v>2</v>
      </c>
      <c r="B6" s="9" t="inlineStr">
        <is>
          <t>ED_JD</t>
        </is>
      </c>
      <c r="C6" s="9" t="inlineStr">
        <is>
          <t>Earnings Down / Juros Down</t>
        </is>
      </c>
      <c r="D6" s="9" t="inlineStr">
        <is>
          <t>Down</t>
        </is>
      </c>
      <c r="E6" s="9" t="inlineStr">
        <is>
          <t>Down</t>
        </is>
      </c>
      <c r="F6" s="17" t="n">
        <v>38869</v>
      </c>
      <c r="G6" s="17" t="n">
        <v>39022</v>
      </c>
      <c r="H6" s="17" t="n">
        <v>39022</v>
      </c>
      <c r="I6" s="17" t="n">
        <v>39021</v>
      </c>
      <c r="J6" s="11">
        <f>G6-F6</f>
        <v/>
      </c>
      <c r="K6" s="11">
        <f>COUNTIFS(Painel_diario!$A$2:$A$5037,"&gt;="&amp;$F6,Painel_diario!$A$2:$A$5037,"&lt;"&amp;$H6)</f>
        <v/>
      </c>
      <c r="L6" s="11">
        <f>COUNTIFS(Painel_diario!$A$2:$A$5037,"&gt;="&amp;$F6,Painel_diario!$A$2:$A$5037,"&lt;"&amp;$H6,Painel_diario!$J$2:$J$5037,1)</f>
        <v/>
      </c>
      <c r="M6" s="11">
        <f>COUNTIFS(Painel_diario!$A$2:$A$5037,"&gt;="&amp;$F6,Painel_diario!$A$2:$A$5037,"&lt;"&amp;$H6,Painel_diario!$K$2:$K$5037,1)</f>
        <v/>
      </c>
      <c r="N6" s="10">
        <f>EXP(SUMIFS(Painel_diario!$L$2:$L$5037,Painel_diario!$A$2:$A$5037,"&gt;="&amp;$F6,Painel_diario!$A$2:$A$5037,"&lt;"&amp;$H6))-1</f>
        <v/>
      </c>
      <c r="O6" s="10">
        <f>IF(L6=0,"",EXP(SUMIFS(Painel_diario!$L$2:$L$5037,Painel_diario!$A$2:$A$5037,"&gt;="&amp;$F6,Painel_diario!$A$2:$A$5037,"&lt;"&amp;$H6)*252/L6)-1)</f>
        <v/>
      </c>
      <c r="P6" s="10">
        <f>EXP(SUMIFS(Painel_diario!$N$2:$N$5037,Painel_diario!$A$2:$A$5037,"&gt;="&amp;$F6,Painel_diario!$A$2:$A$5037,"&lt;"&amp;$H6))-1</f>
        <v/>
      </c>
      <c r="Q6" s="10">
        <f>IF(M6=0,"",EXP(SUMIFS(Painel_diario!$N$2:$N$5037,Painel_diario!$A$2:$A$5037,"&gt;="&amp;$F6,Painel_diario!$A$2:$A$5037,"&lt;"&amp;$H6)*252/M6)-1)</f>
        <v/>
      </c>
      <c r="R6" s="10">
        <f>IF(L6=0,"",EXP(SUMIFS(Painel_diario!$P$2:$P$5037,Painel_diario!$A$2:$A$5037,"&gt;="&amp;$F6,Painel_diario!$A$2:$A$5037,"&lt;"&amp;$H6)*252/L6)-1)</f>
        <v/>
      </c>
      <c r="S6" s="10">
        <f>IF(L6=0,"",EXP((SUMIFS(Painel_diario!$L$2:$L$5037,Painel_diario!$A$2:$A$5037,"&gt;="&amp;$F6,Painel_diario!$A$2:$A$5037,"&lt;"&amp;$H6)-SUMIFS(Painel_diario!$P$2:$P$5037,Painel_diario!$A$2:$A$5037,"&gt;="&amp;$F6,Painel_diario!$A$2:$A$5037,"&lt;"&amp;$H6))*252/L6)-1)</f>
        <v/>
      </c>
      <c r="T6" s="10">
        <f>IF(L6=0,"",EXP(SUMIFS(Painel_diario!$Q$2:$Q$5037,Painel_diario!$A$2:$A$5037,"&gt;="&amp;$F6,Painel_diario!$A$2:$A$5037,"&lt;"&amp;$H6)*252/L6)-1)</f>
        <v/>
      </c>
      <c r="U6" s="11">
        <f>(INDEX(Painel_diario!$S$2:$S$5037,MATCH($I6,Painel_diario!$A$2:$A$5037,0))-INDEX(Painel_diario!$S$2:$S$5037,MATCH($F6,Painel_diario!$A$2:$A$5037,0)))*100</f>
        <v/>
      </c>
      <c r="V6" s="9" t="inlineStr"/>
    </row>
    <row r="7">
      <c r="A7" s="9" t="n">
        <v>3</v>
      </c>
      <c r="B7" s="9" t="inlineStr">
        <is>
          <t>EU_JD</t>
        </is>
      </c>
      <c r="C7" s="9" t="inlineStr">
        <is>
          <t>Earnings Up / Juros Down</t>
        </is>
      </c>
      <c r="D7" s="9" t="inlineStr">
        <is>
          <t>Up</t>
        </is>
      </c>
      <c r="E7" s="9" t="inlineStr">
        <is>
          <t>Down</t>
        </is>
      </c>
      <c r="F7" s="17" t="n">
        <v>39022</v>
      </c>
      <c r="G7" s="17" t="n">
        <v>39331</v>
      </c>
      <c r="H7" s="17" t="n">
        <v>39331</v>
      </c>
      <c r="I7" s="17" t="n">
        <v>39330</v>
      </c>
      <c r="J7" s="11">
        <f>G7-F7</f>
        <v/>
      </c>
      <c r="K7" s="11">
        <f>COUNTIFS(Painel_diario!$A$2:$A$5037,"&gt;="&amp;$F7,Painel_diario!$A$2:$A$5037,"&lt;"&amp;$H7)</f>
        <v/>
      </c>
      <c r="L7" s="11">
        <f>COUNTIFS(Painel_diario!$A$2:$A$5037,"&gt;="&amp;$F7,Painel_diario!$A$2:$A$5037,"&lt;"&amp;$H7,Painel_diario!$J$2:$J$5037,1)</f>
        <v/>
      </c>
      <c r="M7" s="11">
        <f>COUNTIFS(Painel_diario!$A$2:$A$5037,"&gt;="&amp;$F7,Painel_diario!$A$2:$A$5037,"&lt;"&amp;$H7,Painel_diario!$K$2:$K$5037,1)</f>
        <v/>
      </c>
      <c r="N7" s="10">
        <f>EXP(SUMIFS(Painel_diario!$L$2:$L$5037,Painel_diario!$A$2:$A$5037,"&gt;="&amp;$F7,Painel_diario!$A$2:$A$5037,"&lt;"&amp;$H7))-1</f>
        <v/>
      </c>
      <c r="O7" s="10">
        <f>IF(L7=0,"",EXP(SUMIFS(Painel_diario!$L$2:$L$5037,Painel_diario!$A$2:$A$5037,"&gt;="&amp;$F7,Painel_diario!$A$2:$A$5037,"&lt;"&amp;$H7)*252/L7)-1)</f>
        <v/>
      </c>
      <c r="P7" s="10">
        <f>EXP(SUMIFS(Painel_diario!$N$2:$N$5037,Painel_diario!$A$2:$A$5037,"&gt;="&amp;$F7,Painel_diario!$A$2:$A$5037,"&lt;"&amp;$H7))-1</f>
        <v/>
      </c>
      <c r="Q7" s="10">
        <f>IF(M7=0,"",EXP(SUMIFS(Painel_diario!$N$2:$N$5037,Painel_diario!$A$2:$A$5037,"&gt;="&amp;$F7,Painel_diario!$A$2:$A$5037,"&lt;"&amp;$H7)*252/M7)-1)</f>
        <v/>
      </c>
      <c r="R7" s="10">
        <f>IF(L7=0,"",EXP(SUMIFS(Painel_diario!$P$2:$P$5037,Painel_diario!$A$2:$A$5037,"&gt;="&amp;$F7,Painel_diario!$A$2:$A$5037,"&lt;"&amp;$H7)*252/L7)-1)</f>
        <v/>
      </c>
      <c r="S7" s="10">
        <f>IF(L7=0,"",EXP((SUMIFS(Painel_diario!$L$2:$L$5037,Painel_diario!$A$2:$A$5037,"&gt;="&amp;$F7,Painel_diario!$A$2:$A$5037,"&lt;"&amp;$H7)-SUMIFS(Painel_diario!$P$2:$P$5037,Painel_diario!$A$2:$A$5037,"&gt;="&amp;$F7,Painel_diario!$A$2:$A$5037,"&lt;"&amp;$H7))*252/L7)-1)</f>
        <v/>
      </c>
      <c r="T7" s="10">
        <f>IF(L7=0,"",EXP(SUMIFS(Painel_diario!$Q$2:$Q$5037,Painel_diario!$A$2:$A$5037,"&gt;="&amp;$F7,Painel_diario!$A$2:$A$5037,"&lt;"&amp;$H7)*252/L7)-1)</f>
        <v/>
      </c>
      <c r="U7" s="11">
        <f>(INDEX(Painel_diario!$S$2:$S$5037,MATCH($I7,Painel_diario!$A$2:$A$5037,0))-INDEX(Painel_diario!$S$2:$S$5037,MATCH($F7,Painel_diario!$A$2:$A$5037,0)))*100</f>
        <v/>
      </c>
      <c r="V7" s="9" t="inlineStr"/>
    </row>
    <row r="8">
      <c r="A8" s="9" t="n">
        <v>4</v>
      </c>
      <c r="B8" s="9" t="inlineStr">
        <is>
          <t>EU_JU</t>
        </is>
      </c>
      <c r="C8" s="9" t="inlineStr">
        <is>
          <t>Earnings Up / Juros Up</t>
        </is>
      </c>
      <c r="D8" s="9" t="inlineStr">
        <is>
          <t>Up</t>
        </is>
      </c>
      <c r="E8" s="9" t="inlineStr">
        <is>
          <t>Up</t>
        </is>
      </c>
      <c r="F8" s="17" t="n">
        <v>39331</v>
      </c>
      <c r="G8" s="17" t="n">
        <v>39449</v>
      </c>
      <c r="H8" s="17" t="n">
        <v>39449</v>
      </c>
      <c r="I8" s="17" t="n">
        <v>39444</v>
      </c>
      <c r="J8" s="11">
        <f>G8-F8</f>
        <v/>
      </c>
      <c r="K8" s="11">
        <f>COUNTIFS(Painel_diario!$A$2:$A$5037,"&gt;="&amp;$F8,Painel_diario!$A$2:$A$5037,"&lt;"&amp;$H8)</f>
        <v/>
      </c>
      <c r="L8" s="11">
        <f>COUNTIFS(Painel_diario!$A$2:$A$5037,"&gt;="&amp;$F8,Painel_diario!$A$2:$A$5037,"&lt;"&amp;$H8,Painel_diario!$J$2:$J$5037,1)</f>
        <v/>
      </c>
      <c r="M8" s="11">
        <f>COUNTIFS(Painel_diario!$A$2:$A$5037,"&gt;="&amp;$F8,Painel_diario!$A$2:$A$5037,"&lt;"&amp;$H8,Painel_diario!$K$2:$K$5037,1)</f>
        <v/>
      </c>
      <c r="N8" s="10">
        <f>EXP(SUMIFS(Painel_diario!$L$2:$L$5037,Painel_diario!$A$2:$A$5037,"&gt;="&amp;$F8,Painel_diario!$A$2:$A$5037,"&lt;"&amp;$H8))-1</f>
        <v/>
      </c>
      <c r="O8" s="10">
        <f>IF(L8=0,"",EXP(SUMIFS(Painel_diario!$L$2:$L$5037,Painel_diario!$A$2:$A$5037,"&gt;="&amp;$F8,Painel_diario!$A$2:$A$5037,"&lt;"&amp;$H8)*252/L8)-1)</f>
        <v/>
      </c>
      <c r="P8" s="10">
        <f>EXP(SUMIFS(Painel_diario!$N$2:$N$5037,Painel_diario!$A$2:$A$5037,"&gt;="&amp;$F8,Painel_diario!$A$2:$A$5037,"&lt;"&amp;$H8))-1</f>
        <v/>
      </c>
      <c r="Q8" s="10">
        <f>IF(M8=0,"",EXP(SUMIFS(Painel_diario!$N$2:$N$5037,Painel_diario!$A$2:$A$5037,"&gt;="&amp;$F8,Painel_diario!$A$2:$A$5037,"&lt;"&amp;$H8)*252/M8)-1)</f>
        <v/>
      </c>
      <c r="R8" s="10">
        <f>IF(L8=0,"",EXP(SUMIFS(Painel_diario!$P$2:$P$5037,Painel_diario!$A$2:$A$5037,"&gt;="&amp;$F8,Painel_diario!$A$2:$A$5037,"&lt;"&amp;$H8)*252/L8)-1)</f>
        <v/>
      </c>
      <c r="S8" s="10">
        <f>IF(L8=0,"",EXP((SUMIFS(Painel_diario!$L$2:$L$5037,Painel_diario!$A$2:$A$5037,"&gt;="&amp;$F8,Painel_diario!$A$2:$A$5037,"&lt;"&amp;$H8)-SUMIFS(Painel_diario!$P$2:$P$5037,Painel_diario!$A$2:$A$5037,"&gt;="&amp;$F8,Painel_diario!$A$2:$A$5037,"&lt;"&amp;$H8))*252/L8)-1)</f>
        <v/>
      </c>
      <c r="T8" s="10">
        <f>IF(L8=0,"",EXP(SUMIFS(Painel_diario!$Q$2:$Q$5037,Painel_diario!$A$2:$A$5037,"&gt;="&amp;$F8,Painel_diario!$A$2:$A$5037,"&lt;"&amp;$H8)*252/L8)-1)</f>
        <v/>
      </c>
      <c r="U8" s="11">
        <f>(INDEX(Painel_diario!$S$2:$S$5037,MATCH($I8,Painel_diario!$A$2:$A$5037,0))-INDEX(Painel_diario!$S$2:$S$5037,MATCH($F8,Painel_diario!$A$2:$A$5037,0)))*100</f>
        <v/>
      </c>
      <c r="V8" s="9" t="inlineStr"/>
    </row>
    <row r="9">
      <c r="A9" s="9" t="n">
        <v>5</v>
      </c>
      <c r="B9" s="9" t="inlineStr">
        <is>
          <t>ED_JU</t>
        </is>
      </c>
      <c r="C9" s="9" t="inlineStr">
        <is>
          <t>Earnings Down / Juros Up</t>
        </is>
      </c>
      <c r="D9" s="9" t="inlineStr">
        <is>
          <t>Down</t>
        </is>
      </c>
      <c r="E9" s="9" t="inlineStr">
        <is>
          <t>Up</t>
        </is>
      </c>
      <c r="F9" s="17" t="n">
        <v>39449</v>
      </c>
      <c r="G9" s="17" t="n">
        <v>39510</v>
      </c>
      <c r="H9" s="17" t="n">
        <v>39510</v>
      </c>
      <c r="I9" s="17" t="n">
        <v>39506</v>
      </c>
      <c r="J9" s="11">
        <f>G9-F9</f>
        <v/>
      </c>
      <c r="K9" s="11">
        <f>COUNTIFS(Painel_diario!$A$2:$A$5037,"&gt;="&amp;$F9,Painel_diario!$A$2:$A$5037,"&lt;"&amp;$H9)</f>
        <v/>
      </c>
      <c r="L9" s="11">
        <f>COUNTIFS(Painel_diario!$A$2:$A$5037,"&gt;="&amp;$F9,Painel_diario!$A$2:$A$5037,"&lt;"&amp;$H9,Painel_diario!$J$2:$J$5037,1)</f>
        <v/>
      </c>
      <c r="M9" s="11">
        <f>COUNTIFS(Painel_diario!$A$2:$A$5037,"&gt;="&amp;$F9,Painel_diario!$A$2:$A$5037,"&lt;"&amp;$H9,Painel_diario!$K$2:$K$5037,1)</f>
        <v/>
      </c>
      <c r="N9" s="10">
        <f>EXP(SUMIFS(Painel_diario!$L$2:$L$5037,Painel_diario!$A$2:$A$5037,"&gt;="&amp;$F9,Painel_diario!$A$2:$A$5037,"&lt;"&amp;$H9))-1</f>
        <v/>
      </c>
      <c r="O9" s="10">
        <f>IF(L9=0,"",EXP(SUMIFS(Painel_diario!$L$2:$L$5037,Painel_diario!$A$2:$A$5037,"&gt;="&amp;$F9,Painel_diario!$A$2:$A$5037,"&lt;"&amp;$H9)*252/L9)-1)</f>
        <v/>
      </c>
      <c r="P9" s="10">
        <f>EXP(SUMIFS(Painel_diario!$N$2:$N$5037,Painel_diario!$A$2:$A$5037,"&gt;="&amp;$F9,Painel_diario!$A$2:$A$5037,"&lt;"&amp;$H9))-1</f>
        <v/>
      </c>
      <c r="Q9" s="10">
        <f>IF(M9=0,"",EXP(SUMIFS(Painel_diario!$N$2:$N$5037,Painel_diario!$A$2:$A$5037,"&gt;="&amp;$F9,Painel_diario!$A$2:$A$5037,"&lt;"&amp;$H9)*252/M9)-1)</f>
        <v/>
      </c>
      <c r="R9" s="10">
        <f>IF(L9=0,"",EXP(SUMIFS(Painel_diario!$P$2:$P$5037,Painel_diario!$A$2:$A$5037,"&gt;="&amp;$F9,Painel_diario!$A$2:$A$5037,"&lt;"&amp;$H9)*252/L9)-1)</f>
        <v/>
      </c>
      <c r="S9" s="10">
        <f>IF(L9=0,"",EXP((SUMIFS(Painel_diario!$L$2:$L$5037,Painel_diario!$A$2:$A$5037,"&gt;="&amp;$F9,Painel_diario!$A$2:$A$5037,"&lt;"&amp;$H9)-SUMIFS(Painel_diario!$P$2:$P$5037,Painel_diario!$A$2:$A$5037,"&gt;="&amp;$F9,Painel_diario!$A$2:$A$5037,"&lt;"&amp;$H9))*252/L9)-1)</f>
        <v/>
      </c>
      <c r="T9" s="10">
        <f>IF(L9=0,"",EXP(SUMIFS(Painel_diario!$Q$2:$Q$5037,Painel_diario!$A$2:$A$5037,"&gt;="&amp;$F9,Painel_diario!$A$2:$A$5037,"&lt;"&amp;$H9)*252/L9)-1)</f>
        <v/>
      </c>
      <c r="U9" s="11">
        <f>(INDEX(Painel_diario!$S$2:$S$5037,MATCH($I9,Painel_diario!$A$2:$A$5037,0))-INDEX(Painel_diario!$S$2:$S$5037,MATCH($F9,Painel_diario!$A$2:$A$5037,0)))*100</f>
        <v/>
      </c>
      <c r="V9" s="9" t="inlineStr"/>
    </row>
    <row r="10">
      <c r="A10" s="9" t="n">
        <v>6</v>
      </c>
      <c r="B10" s="9" t="inlineStr">
        <is>
          <t>EU_JU</t>
        </is>
      </c>
      <c r="C10" s="9" t="inlineStr">
        <is>
          <t>Earnings Up / Juros Up</t>
        </is>
      </c>
      <c r="D10" s="9" t="inlineStr">
        <is>
          <t>Up</t>
        </is>
      </c>
      <c r="E10" s="9" t="inlineStr">
        <is>
          <t>Up</t>
        </is>
      </c>
      <c r="F10" s="17" t="n">
        <v>39510</v>
      </c>
      <c r="G10" s="17" t="n">
        <v>39792</v>
      </c>
      <c r="H10" s="17" t="n">
        <v>39792</v>
      </c>
      <c r="I10" s="17" t="n">
        <v>39791</v>
      </c>
      <c r="J10" s="11">
        <f>G10-F10</f>
        <v/>
      </c>
      <c r="K10" s="11">
        <f>COUNTIFS(Painel_diario!$A$2:$A$5037,"&gt;="&amp;$F10,Painel_diario!$A$2:$A$5037,"&lt;"&amp;$H10)</f>
        <v/>
      </c>
      <c r="L10" s="11">
        <f>COUNTIFS(Painel_diario!$A$2:$A$5037,"&gt;="&amp;$F10,Painel_diario!$A$2:$A$5037,"&lt;"&amp;$H10,Painel_diario!$J$2:$J$5037,1)</f>
        <v/>
      </c>
      <c r="M10" s="11">
        <f>COUNTIFS(Painel_diario!$A$2:$A$5037,"&gt;="&amp;$F10,Painel_diario!$A$2:$A$5037,"&lt;"&amp;$H10,Painel_diario!$K$2:$K$5037,1)</f>
        <v/>
      </c>
      <c r="N10" s="10">
        <f>EXP(SUMIFS(Painel_diario!$L$2:$L$5037,Painel_diario!$A$2:$A$5037,"&gt;="&amp;$F10,Painel_diario!$A$2:$A$5037,"&lt;"&amp;$H10))-1</f>
        <v/>
      </c>
      <c r="O10" s="10">
        <f>IF(L10=0,"",EXP(SUMIFS(Painel_diario!$L$2:$L$5037,Painel_diario!$A$2:$A$5037,"&gt;="&amp;$F10,Painel_diario!$A$2:$A$5037,"&lt;"&amp;$H10)*252/L10)-1)</f>
        <v/>
      </c>
      <c r="P10" s="10">
        <f>EXP(SUMIFS(Painel_diario!$N$2:$N$5037,Painel_diario!$A$2:$A$5037,"&gt;="&amp;$F10,Painel_diario!$A$2:$A$5037,"&lt;"&amp;$H10))-1</f>
        <v/>
      </c>
      <c r="Q10" s="10">
        <f>IF(M10=0,"",EXP(SUMIFS(Painel_diario!$N$2:$N$5037,Painel_diario!$A$2:$A$5037,"&gt;="&amp;$F10,Painel_diario!$A$2:$A$5037,"&lt;"&amp;$H10)*252/M10)-1)</f>
        <v/>
      </c>
      <c r="R10" s="10">
        <f>IF(L10=0,"",EXP(SUMIFS(Painel_diario!$P$2:$P$5037,Painel_diario!$A$2:$A$5037,"&gt;="&amp;$F10,Painel_diario!$A$2:$A$5037,"&lt;"&amp;$H10)*252/L10)-1)</f>
        <v/>
      </c>
      <c r="S10" s="10">
        <f>IF(L10=0,"",EXP((SUMIFS(Painel_diario!$L$2:$L$5037,Painel_diario!$A$2:$A$5037,"&gt;="&amp;$F10,Painel_diario!$A$2:$A$5037,"&lt;"&amp;$H10)-SUMIFS(Painel_diario!$P$2:$P$5037,Painel_diario!$A$2:$A$5037,"&gt;="&amp;$F10,Painel_diario!$A$2:$A$5037,"&lt;"&amp;$H10))*252/L10)-1)</f>
        <v/>
      </c>
      <c r="T10" s="10">
        <f>IF(L10=0,"",EXP(SUMIFS(Painel_diario!$Q$2:$Q$5037,Painel_diario!$A$2:$A$5037,"&gt;="&amp;$F10,Painel_diario!$A$2:$A$5037,"&lt;"&amp;$H10)*252/L10)-1)</f>
        <v/>
      </c>
      <c r="U10" s="11">
        <f>(INDEX(Painel_diario!$S$2:$S$5037,MATCH($I10,Painel_diario!$A$2:$A$5037,0))-INDEX(Painel_diario!$S$2:$S$5037,MATCH($F10,Painel_diario!$A$2:$A$5037,0)))*100</f>
        <v/>
      </c>
      <c r="V10" s="9" t="inlineStr"/>
    </row>
    <row r="11">
      <c r="A11" s="9" t="n">
        <v>7</v>
      </c>
      <c r="B11" s="9" t="inlineStr">
        <is>
          <t>EU_JD</t>
        </is>
      </c>
      <c r="C11" s="9" t="inlineStr">
        <is>
          <t>Earnings Up / Juros Down</t>
        </is>
      </c>
      <c r="D11" s="9" t="inlineStr">
        <is>
          <t>Up</t>
        </is>
      </c>
      <c r="E11" s="9" t="inlineStr">
        <is>
          <t>Down</t>
        </is>
      </c>
      <c r="F11" s="17" t="n">
        <v>39792</v>
      </c>
      <c r="G11" s="17" t="n">
        <v>39815</v>
      </c>
      <c r="H11" s="17" t="n">
        <v>39815</v>
      </c>
      <c r="I11" s="17" t="n">
        <v>39812</v>
      </c>
      <c r="J11" s="11">
        <f>G11-F11</f>
        <v/>
      </c>
      <c r="K11" s="11">
        <f>COUNTIFS(Painel_diario!$A$2:$A$5037,"&gt;="&amp;$F11,Painel_diario!$A$2:$A$5037,"&lt;"&amp;$H11)</f>
        <v/>
      </c>
      <c r="L11" s="11">
        <f>COUNTIFS(Painel_diario!$A$2:$A$5037,"&gt;="&amp;$F11,Painel_diario!$A$2:$A$5037,"&lt;"&amp;$H11,Painel_diario!$J$2:$J$5037,1)</f>
        <v/>
      </c>
      <c r="M11" s="11">
        <f>COUNTIFS(Painel_diario!$A$2:$A$5037,"&gt;="&amp;$F11,Painel_diario!$A$2:$A$5037,"&lt;"&amp;$H11,Painel_diario!$K$2:$K$5037,1)</f>
        <v/>
      </c>
      <c r="N11" s="10">
        <f>EXP(SUMIFS(Painel_diario!$L$2:$L$5037,Painel_diario!$A$2:$A$5037,"&gt;="&amp;$F11,Painel_diario!$A$2:$A$5037,"&lt;"&amp;$H11))-1</f>
        <v/>
      </c>
      <c r="O11" s="10">
        <f>IF(L11=0,"",EXP(SUMIFS(Painel_diario!$L$2:$L$5037,Painel_diario!$A$2:$A$5037,"&gt;="&amp;$F11,Painel_diario!$A$2:$A$5037,"&lt;"&amp;$H11)*252/L11)-1)</f>
        <v/>
      </c>
      <c r="P11" s="10">
        <f>EXP(SUMIFS(Painel_diario!$N$2:$N$5037,Painel_diario!$A$2:$A$5037,"&gt;="&amp;$F11,Painel_diario!$A$2:$A$5037,"&lt;"&amp;$H11))-1</f>
        <v/>
      </c>
      <c r="Q11" s="10">
        <f>IF(M11=0,"",EXP(SUMIFS(Painel_diario!$N$2:$N$5037,Painel_diario!$A$2:$A$5037,"&gt;="&amp;$F11,Painel_diario!$A$2:$A$5037,"&lt;"&amp;$H11)*252/M11)-1)</f>
        <v/>
      </c>
      <c r="R11" s="10">
        <f>IF(L11=0,"",EXP(SUMIFS(Painel_diario!$P$2:$P$5037,Painel_diario!$A$2:$A$5037,"&gt;="&amp;$F11,Painel_diario!$A$2:$A$5037,"&lt;"&amp;$H11)*252/L11)-1)</f>
        <v/>
      </c>
      <c r="S11" s="10">
        <f>IF(L11=0,"",EXP((SUMIFS(Painel_diario!$L$2:$L$5037,Painel_diario!$A$2:$A$5037,"&gt;="&amp;$F11,Painel_diario!$A$2:$A$5037,"&lt;"&amp;$H11)-SUMIFS(Painel_diario!$P$2:$P$5037,Painel_diario!$A$2:$A$5037,"&gt;="&amp;$F11,Painel_diario!$A$2:$A$5037,"&lt;"&amp;$H11))*252/L11)-1)</f>
        <v/>
      </c>
      <c r="T11" s="10">
        <f>IF(L11=0,"",EXP(SUMIFS(Painel_diario!$Q$2:$Q$5037,Painel_diario!$A$2:$A$5037,"&gt;="&amp;$F11,Painel_diario!$A$2:$A$5037,"&lt;"&amp;$H11)*252/L11)-1)</f>
        <v/>
      </c>
      <c r="U11" s="11">
        <f>(INDEX(Painel_diario!$S$2:$S$5037,MATCH($I11,Painel_diario!$A$2:$A$5037,0))-INDEX(Painel_diario!$S$2:$S$5037,MATCH($F11,Painel_diario!$A$2:$A$5037,0)))*100</f>
        <v/>
      </c>
      <c r="V11" s="9" t="inlineStr"/>
    </row>
    <row r="12">
      <c r="A12" s="9" t="n">
        <v>8</v>
      </c>
      <c r="B12" s="9" t="inlineStr">
        <is>
          <t>ED_JD</t>
        </is>
      </c>
      <c r="C12" s="9" t="inlineStr">
        <is>
          <t>Earnings Down / Juros Down</t>
        </is>
      </c>
      <c r="D12" s="9" t="inlineStr">
        <is>
          <t>Down</t>
        </is>
      </c>
      <c r="E12" s="9" t="inlineStr">
        <is>
          <t>Down</t>
        </is>
      </c>
      <c r="F12" s="17" t="n">
        <v>39815</v>
      </c>
      <c r="G12" s="17" t="n">
        <v>40057</v>
      </c>
      <c r="H12" s="17" t="n">
        <v>40057</v>
      </c>
      <c r="I12" s="17" t="n">
        <v>40056</v>
      </c>
      <c r="J12" s="11">
        <f>G12-F12</f>
        <v/>
      </c>
      <c r="K12" s="11">
        <f>COUNTIFS(Painel_diario!$A$2:$A$5037,"&gt;="&amp;$F12,Painel_diario!$A$2:$A$5037,"&lt;"&amp;$H12)</f>
        <v/>
      </c>
      <c r="L12" s="11">
        <f>COUNTIFS(Painel_diario!$A$2:$A$5037,"&gt;="&amp;$F12,Painel_diario!$A$2:$A$5037,"&lt;"&amp;$H12,Painel_diario!$J$2:$J$5037,1)</f>
        <v/>
      </c>
      <c r="M12" s="11">
        <f>COUNTIFS(Painel_diario!$A$2:$A$5037,"&gt;="&amp;$F12,Painel_diario!$A$2:$A$5037,"&lt;"&amp;$H12,Painel_diario!$K$2:$K$5037,1)</f>
        <v/>
      </c>
      <c r="N12" s="10">
        <f>EXP(SUMIFS(Painel_diario!$L$2:$L$5037,Painel_diario!$A$2:$A$5037,"&gt;="&amp;$F12,Painel_diario!$A$2:$A$5037,"&lt;"&amp;$H12))-1</f>
        <v/>
      </c>
      <c r="O12" s="10">
        <f>IF(L12=0,"",EXP(SUMIFS(Painel_diario!$L$2:$L$5037,Painel_diario!$A$2:$A$5037,"&gt;="&amp;$F12,Painel_diario!$A$2:$A$5037,"&lt;"&amp;$H12)*252/L12)-1)</f>
        <v/>
      </c>
      <c r="P12" s="10">
        <f>EXP(SUMIFS(Painel_diario!$N$2:$N$5037,Painel_diario!$A$2:$A$5037,"&gt;="&amp;$F12,Painel_diario!$A$2:$A$5037,"&lt;"&amp;$H12))-1</f>
        <v/>
      </c>
      <c r="Q12" s="10">
        <f>IF(M12=0,"",EXP(SUMIFS(Painel_diario!$N$2:$N$5037,Painel_diario!$A$2:$A$5037,"&gt;="&amp;$F12,Painel_diario!$A$2:$A$5037,"&lt;"&amp;$H12)*252/M12)-1)</f>
        <v/>
      </c>
      <c r="R12" s="10">
        <f>IF(L12=0,"",EXP(SUMIFS(Painel_diario!$P$2:$P$5037,Painel_diario!$A$2:$A$5037,"&gt;="&amp;$F12,Painel_diario!$A$2:$A$5037,"&lt;"&amp;$H12)*252/L12)-1)</f>
        <v/>
      </c>
      <c r="S12" s="10">
        <f>IF(L12=0,"",EXP((SUMIFS(Painel_diario!$L$2:$L$5037,Painel_diario!$A$2:$A$5037,"&gt;="&amp;$F12,Painel_diario!$A$2:$A$5037,"&lt;"&amp;$H12)-SUMIFS(Painel_diario!$P$2:$P$5037,Painel_diario!$A$2:$A$5037,"&gt;="&amp;$F12,Painel_diario!$A$2:$A$5037,"&lt;"&amp;$H12))*252/L12)-1)</f>
        <v/>
      </c>
      <c r="T12" s="10">
        <f>IF(L12=0,"",EXP(SUMIFS(Painel_diario!$Q$2:$Q$5037,Painel_diario!$A$2:$A$5037,"&gt;="&amp;$F12,Painel_diario!$A$2:$A$5037,"&lt;"&amp;$H12)*252/L12)-1)</f>
        <v/>
      </c>
      <c r="U12" s="11">
        <f>(INDEX(Painel_diario!$S$2:$S$5037,MATCH($I12,Painel_diario!$A$2:$A$5037,0))-INDEX(Painel_diario!$S$2:$S$5037,MATCH($F12,Painel_diario!$A$2:$A$5037,0)))*100</f>
        <v/>
      </c>
      <c r="V12" s="9" t="inlineStr"/>
    </row>
    <row r="13">
      <c r="A13" s="9" t="n">
        <v>9</v>
      </c>
      <c r="B13" s="9" t="inlineStr">
        <is>
          <t>EU_JD</t>
        </is>
      </c>
      <c r="C13" s="9" t="inlineStr">
        <is>
          <t>Earnings Up / Juros Down</t>
        </is>
      </c>
      <c r="D13" s="9" t="inlineStr">
        <is>
          <t>Up</t>
        </is>
      </c>
      <c r="E13" s="9" t="inlineStr">
        <is>
          <t>Down</t>
        </is>
      </c>
      <c r="F13" s="17" t="n">
        <v>40057</v>
      </c>
      <c r="G13" s="17" t="n">
        <v>40091</v>
      </c>
      <c r="H13" s="17" t="n">
        <v>40091</v>
      </c>
      <c r="I13" s="17" t="n">
        <v>40088</v>
      </c>
      <c r="J13" s="11">
        <f>G13-F13</f>
        <v/>
      </c>
      <c r="K13" s="11">
        <f>COUNTIFS(Painel_diario!$A$2:$A$5037,"&gt;="&amp;$F13,Painel_diario!$A$2:$A$5037,"&lt;"&amp;$H13)</f>
        <v/>
      </c>
      <c r="L13" s="11">
        <f>COUNTIFS(Painel_diario!$A$2:$A$5037,"&gt;="&amp;$F13,Painel_diario!$A$2:$A$5037,"&lt;"&amp;$H13,Painel_diario!$J$2:$J$5037,1)</f>
        <v/>
      </c>
      <c r="M13" s="11">
        <f>COUNTIFS(Painel_diario!$A$2:$A$5037,"&gt;="&amp;$F13,Painel_diario!$A$2:$A$5037,"&lt;"&amp;$H13,Painel_diario!$K$2:$K$5037,1)</f>
        <v/>
      </c>
      <c r="N13" s="10">
        <f>EXP(SUMIFS(Painel_diario!$L$2:$L$5037,Painel_diario!$A$2:$A$5037,"&gt;="&amp;$F13,Painel_diario!$A$2:$A$5037,"&lt;"&amp;$H13))-1</f>
        <v/>
      </c>
      <c r="O13" s="10">
        <f>IF(L13=0,"",EXP(SUMIFS(Painel_diario!$L$2:$L$5037,Painel_diario!$A$2:$A$5037,"&gt;="&amp;$F13,Painel_diario!$A$2:$A$5037,"&lt;"&amp;$H13)*252/L13)-1)</f>
        <v/>
      </c>
      <c r="P13" s="10">
        <f>EXP(SUMIFS(Painel_diario!$N$2:$N$5037,Painel_diario!$A$2:$A$5037,"&gt;="&amp;$F13,Painel_diario!$A$2:$A$5037,"&lt;"&amp;$H13))-1</f>
        <v/>
      </c>
      <c r="Q13" s="10">
        <f>IF(M13=0,"",EXP(SUMIFS(Painel_diario!$N$2:$N$5037,Painel_diario!$A$2:$A$5037,"&gt;="&amp;$F13,Painel_diario!$A$2:$A$5037,"&lt;"&amp;$H13)*252/M13)-1)</f>
        <v/>
      </c>
      <c r="R13" s="10">
        <f>IF(L13=0,"",EXP(SUMIFS(Painel_diario!$P$2:$P$5037,Painel_diario!$A$2:$A$5037,"&gt;="&amp;$F13,Painel_diario!$A$2:$A$5037,"&lt;"&amp;$H13)*252/L13)-1)</f>
        <v/>
      </c>
      <c r="S13" s="10">
        <f>IF(L13=0,"",EXP((SUMIFS(Painel_diario!$L$2:$L$5037,Painel_diario!$A$2:$A$5037,"&gt;="&amp;$F13,Painel_diario!$A$2:$A$5037,"&lt;"&amp;$H13)-SUMIFS(Painel_diario!$P$2:$P$5037,Painel_diario!$A$2:$A$5037,"&gt;="&amp;$F13,Painel_diario!$A$2:$A$5037,"&lt;"&amp;$H13))*252/L13)-1)</f>
        <v/>
      </c>
      <c r="T13" s="10">
        <f>IF(L13=0,"",EXP(SUMIFS(Painel_diario!$Q$2:$Q$5037,Painel_diario!$A$2:$A$5037,"&gt;="&amp;$F13,Painel_diario!$A$2:$A$5037,"&lt;"&amp;$H13)*252/L13)-1)</f>
        <v/>
      </c>
      <c r="U13" s="11">
        <f>(INDEX(Painel_diario!$S$2:$S$5037,MATCH($I13,Painel_diario!$A$2:$A$5037,0))-INDEX(Painel_diario!$S$2:$S$5037,MATCH($F13,Painel_diario!$A$2:$A$5037,0)))*100</f>
        <v/>
      </c>
      <c r="V13" s="9" t="inlineStr"/>
    </row>
    <row r="14">
      <c r="A14" s="9" t="n">
        <v>10</v>
      </c>
      <c r="B14" s="9" t="inlineStr">
        <is>
          <t>EU_JU</t>
        </is>
      </c>
      <c r="C14" s="9" t="inlineStr">
        <is>
          <t>Earnings Up / Juros Up</t>
        </is>
      </c>
      <c r="D14" s="9" t="inlineStr">
        <is>
          <t>Up</t>
        </is>
      </c>
      <c r="E14" s="9" t="inlineStr">
        <is>
          <t>Up</t>
        </is>
      </c>
      <c r="F14" s="17" t="n">
        <v>40091</v>
      </c>
      <c r="G14" s="17" t="n">
        <v>40513</v>
      </c>
      <c r="H14" s="17" t="n">
        <v>40513</v>
      </c>
      <c r="I14" s="17" t="n">
        <v>40512</v>
      </c>
      <c r="J14" s="11">
        <f>G14-F14</f>
        <v/>
      </c>
      <c r="K14" s="11">
        <f>COUNTIFS(Painel_diario!$A$2:$A$5037,"&gt;="&amp;$F14,Painel_diario!$A$2:$A$5037,"&lt;"&amp;$H14)</f>
        <v/>
      </c>
      <c r="L14" s="11">
        <f>COUNTIFS(Painel_diario!$A$2:$A$5037,"&gt;="&amp;$F14,Painel_diario!$A$2:$A$5037,"&lt;"&amp;$H14,Painel_diario!$J$2:$J$5037,1)</f>
        <v/>
      </c>
      <c r="M14" s="11">
        <f>COUNTIFS(Painel_diario!$A$2:$A$5037,"&gt;="&amp;$F14,Painel_diario!$A$2:$A$5037,"&lt;"&amp;$H14,Painel_diario!$K$2:$K$5037,1)</f>
        <v/>
      </c>
      <c r="N14" s="10">
        <f>EXP(SUMIFS(Painel_diario!$L$2:$L$5037,Painel_diario!$A$2:$A$5037,"&gt;="&amp;$F14,Painel_diario!$A$2:$A$5037,"&lt;"&amp;$H14))-1</f>
        <v/>
      </c>
      <c r="O14" s="10">
        <f>IF(L14=0,"",EXP(SUMIFS(Painel_diario!$L$2:$L$5037,Painel_diario!$A$2:$A$5037,"&gt;="&amp;$F14,Painel_diario!$A$2:$A$5037,"&lt;"&amp;$H14)*252/L14)-1)</f>
        <v/>
      </c>
      <c r="P14" s="10">
        <f>EXP(SUMIFS(Painel_diario!$N$2:$N$5037,Painel_diario!$A$2:$A$5037,"&gt;="&amp;$F14,Painel_diario!$A$2:$A$5037,"&lt;"&amp;$H14))-1</f>
        <v/>
      </c>
      <c r="Q14" s="10">
        <f>IF(M14=0,"",EXP(SUMIFS(Painel_diario!$N$2:$N$5037,Painel_diario!$A$2:$A$5037,"&gt;="&amp;$F14,Painel_diario!$A$2:$A$5037,"&lt;"&amp;$H14)*252/M14)-1)</f>
        <v/>
      </c>
      <c r="R14" s="10">
        <f>IF(L14=0,"",EXP(SUMIFS(Painel_diario!$P$2:$P$5037,Painel_diario!$A$2:$A$5037,"&gt;="&amp;$F14,Painel_diario!$A$2:$A$5037,"&lt;"&amp;$H14)*252/L14)-1)</f>
        <v/>
      </c>
      <c r="S14" s="10">
        <f>IF(L14=0,"",EXP((SUMIFS(Painel_diario!$L$2:$L$5037,Painel_diario!$A$2:$A$5037,"&gt;="&amp;$F14,Painel_diario!$A$2:$A$5037,"&lt;"&amp;$H14)-SUMIFS(Painel_diario!$P$2:$P$5037,Painel_diario!$A$2:$A$5037,"&gt;="&amp;$F14,Painel_diario!$A$2:$A$5037,"&lt;"&amp;$H14))*252/L14)-1)</f>
        <v/>
      </c>
      <c r="T14" s="10">
        <f>IF(L14=0,"",EXP(SUMIFS(Painel_diario!$Q$2:$Q$5037,Painel_diario!$A$2:$A$5037,"&gt;="&amp;$F14,Painel_diario!$A$2:$A$5037,"&lt;"&amp;$H14)*252/L14)-1)</f>
        <v/>
      </c>
      <c r="U14" s="11">
        <f>(INDEX(Painel_diario!$S$2:$S$5037,MATCH($I14,Painel_diario!$A$2:$A$5037,0))-INDEX(Painel_diario!$S$2:$S$5037,MATCH($F14,Painel_diario!$A$2:$A$5037,0)))*100</f>
        <v/>
      </c>
      <c r="V14" s="9" t="inlineStr"/>
    </row>
    <row r="15">
      <c r="A15" s="9" t="n">
        <v>11</v>
      </c>
      <c r="B15" s="9" t="inlineStr">
        <is>
          <t>ED_JU</t>
        </is>
      </c>
      <c r="C15" s="9" t="inlineStr">
        <is>
          <t>Earnings Down / Juros Up</t>
        </is>
      </c>
      <c r="D15" s="9" t="inlineStr">
        <is>
          <t>Down</t>
        </is>
      </c>
      <c r="E15" s="9" t="inlineStr">
        <is>
          <t>Up</t>
        </is>
      </c>
      <c r="F15" s="17" t="n">
        <v>40513</v>
      </c>
      <c r="G15" s="17" t="n">
        <v>40575</v>
      </c>
      <c r="H15" s="17" t="n">
        <v>40575</v>
      </c>
      <c r="I15" s="17" t="n">
        <v>40574</v>
      </c>
      <c r="J15" s="11">
        <f>G15-F15</f>
        <v/>
      </c>
      <c r="K15" s="11">
        <f>COUNTIFS(Painel_diario!$A$2:$A$5037,"&gt;="&amp;$F15,Painel_diario!$A$2:$A$5037,"&lt;"&amp;$H15)</f>
        <v/>
      </c>
      <c r="L15" s="11">
        <f>COUNTIFS(Painel_diario!$A$2:$A$5037,"&gt;="&amp;$F15,Painel_diario!$A$2:$A$5037,"&lt;"&amp;$H15,Painel_diario!$J$2:$J$5037,1)</f>
        <v/>
      </c>
      <c r="M15" s="11">
        <f>COUNTIFS(Painel_diario!$A$2:$A$5037,"&gt;="&amp;$F15,Painel_diario!$A$2:$A$5037,"&lt;"&amp;$H15,Painel_diario!$K$2:$K$5037,1)</f>
        <v/>
      </c>
      <c r="N15" s="10">
        <f>EXP(SUMIFS(Painel_diario!$L$2:$L$5037,Painel_diario!$A$2:$A$5037,"&gt;="&amp;$F15,Painel_diario!$A$2:$A$5037,"&lt;"&amp;$H15))-1</f>
        <v/>
      </c>
      <c r="O15" s="10">
        <f>IF(L15=0,"",EXP(SUMIFS(Painel_diario!$L$2:$L$5037,Painel_diario!$A$2:$A$5037,"&gt;="&amp;$F15,Painel_diario!$A$2:$A$5037,"&lt;"&amp;$H15)*252/L15)-1)</f>
        <v/>
      </c>
      <c r="P15" s="10">
        <f>EXP(SUMIFS(Painel_diario!$N$2:$N$5037,Painel_diario!$A$2:$A$5037,"&gt;="&amp;$F15,Painel_diario!$A$2:$A$5037,"&lt;"&amp;$H15))-1</f>
        <v/>
      </c>
      <c r="Q15" s="10">
        <f>IF(M15=0,"",EXP(SUMIFS(Painel_diario!$N$2:$N$5037,Painel_diario!$A$2:$A$5037,"&gt;="&amp;$F15,Painel_diario!$A$2:$A$5037,"&lt;"&amp;$H15)*252/M15)-1)</f>
        <v/>
      </c>
      <c r="R15" s="10">
        <f>IF(L15=0,"",EXP(SUMIFS(Painel_diario!$P$2:$P$5037,Painel_diario!$A$2:$A$5037,"&gt;="&amp;$F15,Painel_diario!$A$2:$A$5037,"&lt;"&amp;$H15)*252/L15)-1)</f>
        <v/>
      </c>
      <c r="S15" s="10">
        <f>IF(L15=0,"",EXP((SUMIFS(Painel_diario!$L$2:$L$5037,Painel_diario!$A$2:$A$5037,"&gt;="&amp;$F15,Painel_diario!$A$2:$A$5037,"&lt;"&amp;$H15)-SUMIFS(Painel_diario!$P$2:$P$5037,Painel_diario!$A$2:$A$5037,"&gt;="&amp;$F15,Painel_diario!$A$2:$A$5037,"&lt;"&amp;$H15))*252/L15)-1)</f>
        <v/>
      </c>
      <c r="T15" s="10">
        <f>IF(L15=0,"",EXP(SUMIFS(Painel_diario!$Q$2:$Q$5037,Painel_diario!$A$2:$A$5037,"&gt;="&amp;$F15,Painel_diario!$A$2:$A$5037,"&lt;"&amp;$H15)*252/L15)-1)</f>
        <v/>
      </c>
      <c r="U15" s="11">
        <f>(INDEX(Painel_diario!$S$2:$S$5037,MATCH($I15,Painel_diario!$A$2:$A$5037,0))-INDEX(Painel_diario!$S$2:$S$5037,MATCH($F15,Painel_diario!$A$2:$A$5037,0)))*100</f>
        <v/>
      </c>
      <c r="V15" s="9" t="inlineStr"/>
    </row>
    <row r="16">
      <c r="A16" s="9" t="n">
        <v>12</v>
      </c>
      <c r="B16" s="9" t="inlineStr">
        <is>
          <t>EU_JU</t>
        </is>
      </c>
      <c r="C16" s="9" t="inlineStr">
        <is>
          <t>Earnings Up / Juros Up</t>
        </is>
      </c>
      <c r="D16" s="9" t="inlineStr">
        <is>
          <t>Up</t>
        </is>
      </c>
      <c r="E16" s="9" t="inlineStr">
        <is>
          <t>Up</t>
        </is>
      </c>
      <c r="F16" s="17" t="n">
        <v>40575</v>
      </c>
      <c r="G16" s="17" t="n">
        <v>40756</v>
      </c>
      <c r="H16" s="17" t="n">
        <v>40756</v>
      </c>
      <c r="I16" s="17" t="n">
        <v>40753</v>
      </c>
      <c r="J16" s="11">
        <f>G16-F16</f>
        <v/>
      </c>
      <c r="K16" s="11">
        <f>COUNTIFS(Painel_diario!$A$2:$A$5037,"&gt;="&amp;$F16,Painel_diario!$A$2:$A$5037,"&lt;"&amp;$H16)</f>
        <v/>
      </c>
      <c r="L16" s="11">
        <f>COUNTIFS(Painel_diario!$A$2:$A$5037,"&gt;="&amp;$F16,Painel_diario!$A$2:$A$5037,"&lt;"&amp;$H16,Painel_diario!$J$2:$J$5037,1)</f>
        <v/>
      </c>
      <c r="M16" s="11">
        <f>COUNTIFS(Painel_diario!$A$2:$A$5037,"&gt;="&amp;$F16,Painel_diario!$A$2:$A$5037,"&lt;"&amp;$H16,Painel_diario!$K$2:$K$5037,1)</f>
        <v/>
      </c>
      <c r="N16" s="10">
        <f>EXP(SUMIFS(Painel_diario!$L$2:$L$5037,Painel_diario!$A$2:$A$5037,"&gt;="&amp;$F16,Painel_diario!$A$2:$A$5037,"&lt;"&amp;$H16))-1</f>
        <v/>
      </c>
      <c r="O16" s="10">
        <f>IF(L16=0,"",EXP(SUMIFS(Painel_diario!$L$2:$L$5037,Painel_diario!$A$2:$A$5037,"&gt;="&amp;$F16,Painel_diario!$A$2:$A$5037,"&lt;"&amp;$H16)*252/L16)-1)</f>
        <v/>
      </c>
      <c r="P16" s="10">
        <f>EXP(SUMIFS(Painel_diario!$N$2:$N$5037,Painel_diario!$A$2:$A$5037,"&gt;="&amp;$F16,Painel_diario!$A$2:$A$5037,"&lt;"&amp;$H16))-1</f>
        <v/>
      </c>
      <c r="Q16" s="10">
        <f>IF(M16=0,"",EXP(SUMIFS(Painel_diario!$N$2:$N$5037,Painel_diario!$A$2:$A$5037,"&gt;="&amp;$F16,Painel_diario!$A$2:$A$5037,"&lt;"&amp;$H16)*252/M16)-1)</f>
        <v/>
      </c>
      <c r="R16" s="10">
        <f>IF(L16=0,"",EXP(SUMIFS(Painel_diario!$P$2:$P$5037,Painel_diario!$A$2:$A$5037,"&gt;="&amp;$F16,Painel_diario!$A$2:$A$5037,"&lt;"&amp;$H16)*252/L16)-1)</f>
        <v/>
      </c>
      <c r="S16" s="10">
        <f>IF(L16=0,"",EXP((SUMIFS(Painel_diario!$L$2:$L$5037,Painel_diario!$A$2:$A$5037,"&gt;="&amp;$F16,Painel_diario!$A$2:$A$5037,"&lt;"&amp;$H16)-SUMIFS(Painel_diario!$P$2:$P$5037,Painel_diario!$A$2:$A$5037,"&gt;="&amp;$F16,Painel_diario!$A$2:$A$5037,"&lt;"&amp;$H16))*252/L16)-1)</f>
        <v/>
      </c>
      <c r="T16" s="10">
        <f>IF(L16=0,"",EXP(SUMIFS(Painel_diario!$Q$2:$Q$5037,Painel_diario!$A$2:$A$5037,"&gt;="&amp;$F16,Painel_diario!$A$2:$A$5037,"&lt;"&amp;$H16)*252/L16)-1)</f>
        <v/>
      </c>
      <c r="U16" s="11">
        <f>(INDEX(Painel_diario!$S$2:$S$5037,MATCH($I16,Painel_diario!$A$2:$A$5037,0))-INDEX(Painel_diario!$S$2:$S$5037,MATCH($F16,Painel_diario!$A$2:$A$5037,0)))*100</f>
        <v/>
      </c>
      <c r="V16" s="9" t="inlineStr"/>
    </row>
    <row r="17">
      <c r="A17" s="9" t="n">
        <v>13</v>
      </c>
      <c r="B17" s="9" t="inlineStr">
        <is>
          <t>ED_JU</t>
        </is>
      </c>
      <c r="C17" s="9" t="inlineStr">
        <is>
          <t>Earnings Down / Juros Up</t>
        </is>
      </c>
      <c r="D17" s="9" t="inlineStr">
        <is>
          <t>Down</t>
        </is>
      </c>
      <c r="E17" s="9" t="inlineStr">
        <is>
          <t>Up</t>
        </is>
      </c>
      <c r="F17" s="17" t="n">
        <v>40756</v>
      </c>
      <c r="G17" s="17" t="n">
        <v>40772</v>
      </c>
      <c r="H17" s="17" t="n">
        <v>40772</v>
      </c>
      <c r="I17" s="17" t="n">
        <v>40771</v>
      </c>
      <c r="J17" s="11">
        <f>G17-F17</f>
        <v/>
      </c>
      <c r="K17" s="11">
        <f>COUNTIFS(Painel_diario!$A$2:$A$5037,"&gt;="&amp;$F17,Painel_diario!$A$2:$A$5037,"&lt;"&amp;$H17)</f>
        <v/>
      </c>
      <c r="L17" s="11">
        <f>COUNTIFS(Painel_diario!$A$2:$A$5037,"&gt;="&amp;$F17,Painel_diario!$A$2:$A$5037,"&lt;"&amp;$H17,Painel_diario!$J$2:$J$5037,1)</f>
        <v/>
      </c>
      <c r="M17" s="11">
        <f>COUNTIFS(Painel_diario!$A$2:$A$5037,"&gt;="&amp;$F17,Painel_diario!$A$2:$A$5037,"&lt;"&amp;$H17,Painel_diario!$K$2:$K$5037,1)</f>
        <v/>
      </c>
      <c r="N17" s="10">
        <f>EXP(SUMIFS(Painel_diario!$L$2:$L$5037,Painel_diario!$A$2:$A$5037,"&gt;="&amp;$F17,Painel_diario!$A$2:$A$5037,"&lt;"&amp;$H17))-1</f>
        <v/>
      </c>
      <c r="O17" s="10">
        <f>IF(L17=0,"",EXP(SUMIFS(Painel_diario!$L$2:$L$5037,Painel_diario!$A$2:$A$5037,"&gt;="&amp;$F17,Painel_diario!$A$2:$A$5037,"&lt;"&amp;$H17)*252/L17)-1)</f>
        <v/>
      </c>
      <c r="P17" s="10">
        <f>EXP(SUMIFS(Painel_diario!$N$2:$N$5037,Painel_diario!$A$2:$A$5037,"&gt;="&amp;$F17,Painel_diario!$A$2:$A$5037,"&lt;"&amp;$H17))-1</f>
        <v/>
      </c>
      <c r="Q17" s="10">
        <f>IF(M17=0,"",EXP(SUMIFS(Painel_diario!$N$2:$N$5037,Painel_diario!$A$2:$A$5037,"&gt;="&amp;$F17,Painel_diario!$A$2:$A$5037,"&lt;"&amp;$H17)*252/M17)-1)</f>
        <v/>
      </c>
      <c r="R17" s="10">
        <f>IF(L17=0,"",EXP(SUMIFS(Painel_diario!$P$2:$P$5037,Painel_diario!$A$2:$A$5037,"&gt;="&amp;$F17,Painel_diario!$A$2:$A$5037,"&lt;"&amp;$H17)*252/L17)-1)</f>
        <v/>
      </c>
      <c r="S17" s="10">
        <f>IF(L17=0,"",EXP((SUMIFS(Painel_diario!$L$2:$L$5037,Painel_diario!$A$2:$A$5037,"&gt;="&amp;$F17,Painel_diario!$A$2:$A$5037,"&lt;"&amp;$H17)-SUMIFS(Painel_diario!$P$2:$P$5037,Painel_diario!$A$2:$A$5037,"&gt;="&amp;$F17,Painel_diario!$A$2:$A$5037,"&lt;"&amp;$H17))*252/L17)-1)</f>
        <v/>
      </c>
      <c r="T17" s="10">
        <f>IF(L17=0,"",EXP(SUMIFS(Painel_diario!$Q$2:$Q$5037,Painel_diario!$A$2:$A$5037,"&gt;="&amp;$F17,Painel_diario!$A$2:$A$5037,"&lt;"&amp;$H17)*252/L17)-1)</f>
        <v/>
      </c>
      <c r="U17" s="11">
        <f>(INDEX(Painel_diario!$S$2:$S$5037,MATCH($I17,Painel_diario!$A$2:$A$5037,0))-INDEX(Painel_diario!$S$2:$S$5037,MATCH($F17,Painel_diario!$A$2:$A$5037,0)))*100</f>
        <v/>
      </c>
      <c r="V17" s="9" t="inlineStr"/>
    </row>
    <row r="18">
      <c r="A18" s="9" t="n">
        <v>14</v>
      </c>
      <c r="B18" s="9" t="inlineStr">
        <is>
          <t>ED_JD</t>
        </is>
      </c>
      <c r="C18" s="9" t="inlineStr">
        <is>
          <t>Earnings Down / Juros Down</t>
        </is>
      </c>
      <c r="D18" s="9" t="inlineStr">
        <is>
          <t>Down</t>
        </is>
      </c>
      <c r="E18" s="9" t="inlineStr">
        <is>
          <t>Down</t>
        </is>
      </c>
      <c r="F18" s="17" t="n">
        <v>40772</v>
      </c>
      <c r="G18" s="17" t="n">
        <v>41330</v>
      </c>
      <c r="H18" s="17" t="n">
        <v>41330</v>
      </c>
      <c r="I18" s="17" t="n">
        <v>41327</v>
      </c>
      <c r="J18" s="11">
        <f>G18-F18</f>
        <v/>
      </c>
      <c r="K18" s="11">
        <f>COUNTIFS(Painel_diario!$A$2:$A$5037,"&gt;="&amp;$F18,Painel_diario!$A$2:$A$5037,"&lt;"&amp;$H18)</f>
        <v/>
      </c>
      <c r="L18" s="11">
        <f>COUNTIFS(Painel_diario!$A$2:$A$5037,"&gt;="&amp;$F18,Painel_diario!$A$2:$A$5037,"&lt;"&amp;$H18,Painel_diario!$J$2:$J$5037,1)</f>
        <v/>
      </c>
      <c r="M18" s="11">
        <f>COUNTIFS(Painel_diario!$A$2:$A$5037,"&gt;="&amp;$F18,Painel_diario!$A$2:$A$5037,"&lt;"&amp;$H18,Painel_diario!$K$2:$K$5037,1)</f>
        <v/>
      </c>
      <c r="N18" s="10">
        <f>EXP(SUMIFS(Painel_diario!$L$2:$L$5037,Painel_diario!$A$2:$A$5037,"&gt;="&amp;$F18,Painel_diario!$A$2:$A$5037,"&lt;"&amp;$H18))-1</f>
        <v/>
      </c>
      <c r="O18" s="10">
        <f>IF(L18=0,"",EXP(SUMIFS(Painel_diario!$L$2:$L$5037,Painel_diario!$A$2:$A$5037,"&gt;="&amp;$F18,Painel_diario!$A$2:$A$5037,"&lt;"&amp;$H18)*252/L18)-1)</f>
        <v/>
      </c>
      <c r="P18" s="10">
        <f>EXP(SUMIFS(Painel_diario!$N$2:$N$5037,Painel_diario!$A$2:$A$5037,"&gt;="&amp;$F18,Painel_diario!$A$2:$A$5037,"&lt;"&amp;$H18))-1</f>
        <v/>
      </c>
      <c r="Q18" s="10">
        <f>IF(M18=0,"",EXP(SUMIFS(Painel_diario!$N$2:$N$5037,Painel_diario!$A$2:$A$5037,"&gt;="&amp;$F18,Painel_diario!$A$2:$A$5037,"&lt;"&amp;$H18)*252/M18)-1)</f>
        <v/>
      </c>
      <c r="R18" s="10">
        <f>IF(L18=0,"",EXP(SUMIFS(Painel_diario!$P$2:$P$5037,Painel_diario!$A$2:$A$5037,"&gt;="&amp;$F18,Painel_diario!$A$2:$A$5037,"&lt;"&amp;$H18)*252/L18)-1)</f>
        <v/>
      </c>
      <c r="S18" s="10">
        <f>IF(L18=0,"",EXP((SUMIFS(Painel_diario!$L$2:$L$5037,Painel_diario!$A$2:$A$5037,"&gt;="&amp;$F18,Painel_diario!$A$2:$A$5037,"&lt;"&amp;$H18)-SUMIFS(Painel_diario!$P$2:$P$5037,Painel_diario!$A$2:$A$5037,"&gt;="&amp;$F18,Painel_diario!$A$2:$A$5037,"&lt;"&amp;$H18))*252/L18)-1)</f>
        <v/>
      </c>
      <c r="T18" s="10">
        <f>IF(L18=0,"",EXP(SUMIFS(Painel_diario!$Q$2:$Q$5037,Painel_diario!$A$2:$A$5037,"&gt;="&amp;$F18,Painel_diario!$A$2:$A$5037,"&lt;"&amp;$H18)*252/L18)-1)</f>
        <v/>
      </c>
      <c r="U18" s="11">
        <f>(INDEX(Painel_diario!$S$2:$S$5037,MATCH($I18,Painel_diario!$A$2:$A$5037,0))-INDEX(Painel_diario!$S$2:$S$5037,MATCH($F18,Painel_diario!$A$2:$A$5037,0)))*100</f>
        <v/>
      </c>
      <c r="V18" s="9" t="inlineStr"/>
    </row>
    <row r="19">
      <c r="A19" s="9" t="n">
        <v>15</v>
      </c>
      <c r="B19" s="9" t="inlineStr">
        <is>
          <t>ED_JU</t>
        </is>
      </c>
      <c r="C19" s="9" t="inlineStr">
        <is>
          <t>Earnings Down / Juros Up</t>
        </is>
      </c>
      <c r="D19" s="9" t="inlineStr">
        <is>
          <t>Down</t>
        </is>
      </c>
      <c r="E19" s="9" t="inlineStr">
        <is>
          <t>Up</t>
        </is>
      </c>
      <c r="F19" s="17" t="n">
        <v>41330</v>
      </c>
      <c r="G19" s="17" t="n">
        <v>41641</v>
      </c>
      <c r="H19" s="17" t="n">
        <v>41641</v>
      </c>
      <c r="I19" s="17" t="n">
        <v>41638</v>
      </c>
      <c r="J19" s="11">
        <f>G19-F19</f>
        <v/>
      </c>
      <c r="K19" s="11">
        <f>COUNTIFS(Painel_diario!$A$2:$A$5037,"&gt;="&amp;$F19,Painel_diario!$A$2:$A$5037,"&lt;"&amp;$H19)</f>
        <v/>
      </c>
      <c r="L19" s="11">
        <f>COUNTIFS(Painel_diario!$A$2:$A$5037,"&gt;="&amp;$F19,Painel_diario!$A$2:$A$5037,"&lt;"&amp;$H19,Painel_diario!$J$2:$J$5037,1)</f>
        <v/>
      </c>
      <c r="M19" s="11">
        <f>COUNTIFS(Painel_diario!$A$2:$A$5037,"&gt;="&amp;$F19,Painel_diario!$A$2:$A$5037,"&lt;"&amp;$H19,Painel_diario!$K$2:$K$5037,1)</f>
        <v/>
      </c>
      <c r="N19" s="10">
        <f>EXP(SUMIFS(Painel_diario!$L$2:$L$5037,Painel_diario!$A$2:$A$5037,"&gt;="&amp;$F19,Painel_diario!$A$2:$A$5037,"&lt;"&amp;$H19))-1</f>
        <v/>
      </c>
      <c r="O19" s="10">
        <f>IF(L19=0,"",EXP(SUMIFS(Painel_diario!$L$2:$L$5037,Painel_diario!$A$2:$A$5037,"&gt;="&amp;$F19,Painel_diario!$A$2:$A$5037,"&lt;"&amp;$H19)*252/L19)-1)</f>
        <v/>
      </c>
      <c r="P19" s="10">
        <f>EXP(SUMIFS(Painel_diario!$N$2:$N$5037,Painel_diario!$A$2:$A$5037,"&gt;="&amp;$F19,Painel_diario!$A$2:$A$5037,"&lt;"&amp;$H19))-1</f>
        <v/>
      </c>
      <c r="Q19" s="10">
        <f>IF(M19=0,"",EXP(SUMIFS(Painel_diario!$N$2:$N$5037,Painel_diario!$A$2:$A$5037,"&gt;="&amp;$F19,Painel_diario!$A$2:$A$5037,"&lt;"&amp;$H19)*252/M19)-1)</f>
        <v/>
      </c>
      <c r="R19" s="10">
        <f>IF(L19=0,"",EXP(SUMIFS(Painel_diario!$P$2:$P$5037,Painel_diario!$A$2:$A$5037,"&gt;="&amp;$F19,Painel_diario!$A$2:$A$5037,"&lt;"&amp;$H19)*252/L19)-1)</f>
        <v/>
      </c>
      <c r="S19" s="10">
        <f>IF(L19=0,"",EXP((SUMIFS(Painel_diario!$L$2:$L$5037,Painel_diario!$A$2:$A$5037,"&gt;="&amp;$F19,Painel_diario!$A$2:$A$5037,"&lt;"&amp;$H19)-SUMIFS(Painel_diario!$P$2:$P$5037,Painel_diario!$A$2:$A$5037,"&gt;="&amp;$F19,Painel_diario!$A$2:$A$5037,"&lt;"&amp;$H19))*252/L19)-1)</f>
        <v/>
      </c>
      <c r="T19" s="10">
        <f>IF(L19=0,"",EXP(SUMIFS(Painel_diario!$Q$2:$Q$5037,Painel_diario!$A$2:$A$5037,"&gt;="&amp;$F19,Painel_diario!$A$2:$A$5037,"&lt;"&amp;$H19)*252/L19)-1)</f>
        <v/>
      </c>
      <c r="U19" s="11">
        <f>(INDEX(Painel_diario!$S$2:$S$5037,MATCH($I19,Painel_diario!$A$2:$A$5037,0))-INDEX(Painel_diario!$S$2:$S$5037,MATCH($F19,Painel_diario!$A$2:$A$5037,0)))*100</f>
        <v/>
      </c>
      <c r="V19" s="9" t="inlineStr"/>
    </row>
    <row r="20">
      <c r="A20" s="9" t="n">
        <v>16</v>
      </c>
      <c r="B20" s="9" t="inlineStr">
        <is>
          <t>EU_JU</t>
        </is>
      </c>
      <c r="C20" s="9" t="inlineStr">
        <is>
          <t>Earnings Up / Juros Up</t>
        </is>
      </c>
      <c r="D20" s="9" t="inlineStr">
        <is>
          <t>Up</t>
        </is>
      </c>
      <c r="E20" s="9" t="inlineStr">
        <is>
          <t>Up</t>
        </is>
      </c>
      <c r="F20" s="17" t="n">
        <v>41641</v>
      </c>
      <c r="G20" s="17" t="n">
        <v>41852</v>
      </c>
      <c r="H20" s="17" t="n">
        <v>41852</v>
      </c>
      <c r="I20" s="17" t="n">
        <v>41851</v>
      </c>
      <c r="J20" s="11">
        <f>G20-F20</f>
        <v/>
      </c>
      <c r="K20" s="11">
        <f>COUNTIFS(Painel_diario!$A$2:$A$5037,"&gt;="&amp;$F20,Painel_diario!$A$2:$A$5037,"&lt;"&amp;$H20)</f>
        <v/>
      </c>
      <c r="L20" s="11">
        <f>COUNTIFS(Painel_diario!$A$2:$A$5037,"&gt;="&amp;$F20,Painel_diario!$A$2:$A$5037,"&lt;"&amp;$H20,Painel_diario!$J$2:$J$5037,1)</f>
        <v/>
      </c>
      <c r="M20" s="11">
        <f>COUNTIFS(Painel_diario!$A$2:$A$5037,"&gt;="&amp;$F20,Painel_diario!$A$2:$A$5037,"&lt;"&amp;$H20,Painel_diario!$K$2:$K$5037,1)</f>
        <v/>
      </c>
      <c r="N20" s="10">
        <f>EXP(SUMIFS(Painel_diario!$L$2:$L$5037,Painel_diario!$A$2:$A$5037,"&gt;="&amp;$F20,Painel_diario!$A$2:$A$5037,"&lt;"&amp;$H20))-1</f>
        <v/>
      </c>
      <c r="O20" s="10">
        <f>IF(L20=0,"",EXP(SUMIFS(Painel_diario!$L$2:$L$5037,Painel_diario!$A$2:$A$5037,"&gt;="&amp;$F20,Painel_diario!$A$2:$A$5037,"&lt;"&amp;$H20)*252/L20)-1)</f>
        <v/>
      </c>
      <c r="P20" s="10">
        <f>EXP(SUMIFS(Painel_diario!$N$2:$N$5037,Painel_diario!$A$2:$A$5037,"&gt;="&amp;$F20,Painel_diario!$A$2:$A$5037,"&lt;"&amp;$H20))-1</f>
        <v/>
      </c>
      <c r="Q20" s="10">
        <f>IF(M20=0,"",EXP(SUMIFS(Painel_diario!$N$2:$N$5037,Painel_diario!$A$2:$A$5037,"&gt;="&amp;$F20,Painel_diario!$A$2:$A$5037,"&lt;"&amp;$H20)*252/M20)-1)</f>
        <v/>
      </c>
      <c r="R20" s="10">
        <f>IF(L20=0,"",EXP(SUMIFS(Painel_diario!$P$2:$P$5037,Painel_diario!$A$2:$A$5037,"&gt;="&amp;$F20,Painel_diario!$A$2:$A$5037,"&lt;"&amp;$H20)*252/L20)-1)</f>
        <v/>
      </c>
      <c r="S20" s="10">
        <f>IF(L20=0,"",EXP((SUMIFS(Painel_diario!$L$2:$L$5037,Painel_diario!$A$2:$A$5037,"&gt;="&amp;$F20,Painel_diario!$A$2:$A$5037,"&lt;"&amp;$H20)-SUMIFS(Painel_diario!$P$2:$P$5037,Painel_diario!$A$2:$A$5037,"&gt;="&amp;$F20,Painel_diario!$A$2:$A$5037,"&lt;"&amp;$H20))*252/L20)-1)</f>
        <v/>
      </c>
      <c r="T20" s="10">
        <f>IF(L20=0,"",EXP(SUMIFS(Painel_diario!$Q$2:$Q$5037,Painel_diario!$A$2:$A$5037,"&gt;="&amp;$F20,Painel_diario!$A$2:$A$5037,"&lt;"&amp;$H20)*252/L20)-1)</f>
        <v/>
      </c>
      <c r="U20" s="11">
        <f>(INDEX(Painel_diario!$S$2:$S$5037,MATCH($I20,Painel_diario!$A$2:$A$5037,0))-INDEX(Painel_diario!$S$2:$S$5037,MATCH($F20,Painel_diario!$A$2:$A$5037,0)))*100</f>
        <v/>
      </c>
      <c r="V20" s="9" t="inlineStr"/>
    </row>
    <row r="21">
      <c r="A21" s="9" t="n">
        <v>17</v>
      </c>
      <c r="B21" s="9" t="inlineStr">
        <is>
          <t>ED_JU</t>
        </is>
      </c>
      <c r="C21" s="9" t="inlineStr">
        <is>
          <t>Earnings Down / Juros Up</t>
        </is>
      </c>
      <c r="D21" s="9" t="inlineStr">
        <is>
          <t>Down</t>
        </is>
      </c>
      <c r="E21" s="9" t="inlineStr">
        <is>
          <t>Up</t>
        </is>
      </c>
      <c r="F21" s="17" t="n">
        <v>41852</v>
      </c>
      <c r="G21" s="17" t="n">
        <v>42219</v>
      </c>
      <c r="H21" s="17" t="n">
        <v>42219</v>
      </c>
      <c r="I21" s="17" t="n">
        <v>42216</v>
      </c>
      <c r="J21" s="11">
        <f>G21-F21</f>
        <v/>
      </c>
      <c r="K21" s="11">
        <f>COUNTIFS(Painel_diario!$A$2:$A$5037,"&gt;="&amp;$F21,Painel_diario!$A$2:$A$5037,"&lt;"&amp;$H21)</f>
        <v/>
      </c>
      <c r="L21" s="11">
        <f>COUNTIFS(Painel_diario!$A$2:$A$5037,"&gt;="&amp;$F21,Painel_diario!$A$2:$A$5037,"&lt;"&amp;$H21,Painel_diario!$J$2:$J$5037,1)</f>
        <v/>
      </c>
      <c r="M21" s="11">
        <f>COUNTIFS(Painel_diario!$A$2:$A$5037,"&gt;="&amp;$F21,Painel_diario!$A$2:$A$5037,"&lt;"&amp;$H21,Painel_diario!$K$2:$K$5037,1)</f>
        <v/>
      </c>
      <c r="N21" s="10">
        <f>EXP(SUMIFS(Painel_diario!$L$2:$L$5037,Painel_diario!$A$2:$A$5037,"&gt;="&amp;$F21,Painel_diario!$A$2:$A$5037,"&lt;"&amp;$H21))-1</f>
        <v/>
      </c>
      <c r="O21" s="10">
        <f>IF(L21=0,"",EXP(SUMIFS(Painel_diario!$L$2:$L$5037,Painel_diario!$A$2:$A$5037,"&gt;="&amp;$F21,Painel_diario!$A$2:$A$5037,"&lt;"&amp;$H21)*252/L21)-1)</f>
        <v/>
      </c>
      <c r="P21" s="10">
        <f>EXP(SUMIFS(Painel_diario!$N$2:$N$5037,Painel_diario!$A$2:$A$5037,"&gt;="&amp;$F21,Painel_diario!$A$2:$A$5037,"&lt;"&amp;$H21))-1</f>
        <v/>
      </c>
      <c r="Q21" s="10">
        <f>IF(M21=0,"",EXP(SUMIFS(Painel_diario!$N$2:$N$5037,Painel_diario!$A$2:$A$5037,"&gt;="&amp;$F21,Painel_diario!$A$2:$A$5037,"&lt;"&amp;$H21)*252/M21)-1)</f>
        <v/>
      </c>
      <c r="R21" s="10">
        <f>IF(L21=0,"",EXP(SUMIFS(Painel_diario!$P$2:$P$5037,Painel_diario!$A$2:$A$5037,"&gt;="&amp;$F21,Painel_diario!$A$2:$A$5037,"&lt;"&amp;$H21)*252/L21)-1)</f>
        <v/>
      </c>
      <c r="S21" s="10">
        <f>IF(L21=0,"",EXP((SUMIFS(Painel_diario!$L$2:$L$5037,Painel_diario!$A$2:$A$5037,"&gt;="&amp;$F21,Painel_diario!$A$2:$A$5037,"&lt;"&amp;$H21)-SUMIFS(Painel_diario!$P$2:$P$5037,Painel_diario!$A$2:$A$5037,"&gt;="&amp;$F21,Painel_diario!$A$2:$A$5037,"&lt;"&amp;$H21))*252/L21)-1)</f>
        <v/>
      </c>
      <c r="T21" s="10">
        <f>IF(L21=0,"",EXP(SUMIFS(Painel_diario!$Q$2:$Q$5037,Painel_diario!$A$2:$A$5037,"&gt;="&amp;$F21,Painel_diario!$A$2:$A$5037,"&lt;"&amp;$H21)*252/L21)-1)</f>
        <v/>
      </c>
      <c r="U21" s="11">
        <f>(INDEX(Painel_diario!$S$2:$S$5037,MATCH($I21,Painel_diario!$A$2:$A$5037,0))-INDEX(Painel_diario!$S$2:$S$5037,MATCH($F21,Painel_diario!$A$2:$A$5037,0)))*100</f>
        <v/>
      </c>
      <c r="V21" s="9" t="inlineStr"/>
    </row>
    <row r="22">
      <c r="A22" s="9" t="n">
        <v>18</v>
      </c>
      <c r="B22" s="9" t="inlineStr">
        <is>
          <t>EU_JU</t>
        </is>
      </c>
      <c r="C22" s="9" t="inlineStr">
        <is>
          <t>Earnings Up / Juros Up</t>
        </is>
      </c>
      <c r="D22" s="9" t="inlineStr">
        <is>
          <t>Up</t>
        </is>
      </c>
      <c r="E22" s="9" t="inlineStr">
        <is>
          <t>Up</t>
        </is>
      </c>
      <c r="F22" s="17" t="n">
        <v>42219</v>
      </c>
      <c r="G22" s="17" t="n">
        <v>42339</v>
      </c>
      <c r="H22" s="17" t="n">
        <v>42339</v>
      </c>
      <c r="I22" s="17" t="n">
        <v>42338</v>
      </c>
      <c r="J22" s="11">
        <f>G22-F22</f>
        <v/>
      </c>
      <c r="K22" s="11">
        <f>COUNTIFS(Painel_diario!$A$2:$A$5037,"&gt;="&amp;$F22,Painel_diario!$A$2:$A$5037,"&lt;"&amp;$H22)</f>
        <v/>
      </c>
      <c r="L22" s="11">
        <f>COUNTIFS(Painel_diario!$A$2:$A$5037,"&gt;="&amp;$F22,Painel_diario!$A$2:$A$5037,"&lt;"&amp;$H22,Painel_diario!$J$2:$J$5037,1)</f>
        <v/>
      </c>
      <c r="M22" s="11">
        <f>COUNTIFS(Painel_diario!$A$2:$A$5037,"&gt;="&amp;$F22,Painel_diario!$A$2:$A$5037,"&lt;"&amp;$H22,Painel_diario!$K$2:$K$5037,1)</f>
        <v/>
      </c>
      <c r="N22" s="10">
        <f>EXP(SUMIFS(Painel_diario!$L$2:$L$5037,Painel_diario!$A$2:$A$5037,"&gt;="&amp;$F22,Painel_diario!$A$2:$A$5037,"&lt;"&amp;$H22))-1</f>
        <v/>
      </c>
      <c r="O22" s="10">
        <f>IF(L22=0,"",EXP(SUMIFS(Painel_diario!$L$2:$L$5037,Painel_diario!$A$2:$A$5037,"&gt;="&amp;$F22,Painel_diario!$A$2:$A$5037,"&lt;"&amp;$H22)*252/L22)-1)</f>
        <v/>
      </c>
      <c r="P22" s="10">
        <f>EXP(SUMIFS(Painel_diario!$N$2:$N$5037,Painel_diario!$A$2:$A$5037,"&gt;="&amp;$F22,Painel_diario!$A$2:$A$5037,"&lt;"&amp;$H22))-1</f>
        <v/>
      </c>
      <c r="Q22" s="10">
        <f>IF(M22=0,"",EXP(SUMIFS(Painel_diario!$N$2:$N$5037,Painel_diario!$A$2:$A$5037,"&gt;="&amp;$F22,Painel_diario!$A$2:$A$5037,"&lt;"&amp;$H22)*252/M22)-1)</f>
        <v/>
      </c>
      <c r="R22" s="10">
        <f>IF(L22=0,"",EXP(SUMIFS(Painel_diario!$P$2:$P$5037,Painel_diario!$A$2:$A$5037,"&gt;="&amp;$F22,Painel_diario!$A$2:$A$5037,"&lt;"&amp;$H22)*252/L22)-1)</f>
        <v/>
      </c>
      <c r="S22" s="10">
        <f>IF(L22=0,"",EXP((SUMIFS(Painel_diario!$L$2:$L$5037,Painel_diario!$A$2:$A$5037,"&gt;="&amp;$F22,Painel_diario!$A$2:$A$5037,"&lt;"&amp;$H22)-SUMIFS(Painel_diario!$P$2:$P$5037,Painel_diario!$A$2:$A$5037,"&gt;="&amp;$F22,Painel_diario!$A$2:$A$5037,"&lt;"&amp;$H22))*252/L22)-1)</f>
        <v/>
      </c>
      <c r="T22" s="10">
        <f>IF(L22=0,"",EXP(SUMIFS(Painel_diario!$Q$2:$Q$5037,Painel_diario!$A$2:$A$5037,"&gt;="&amp;$F22,Painel_diario!$A$2:$A$5037,"&lt;"&amp;$H22)*252/L22)-1)</f>
        <v/>
      </c>
      <c r="U22" s="11">
        <f>(INDEX(Painel_diario!$S$2:$S$5037,MATCH($I22,Painel_diario!$A$2:$A$5037,0))-INDEX(Painel_diario!$S$2:$S$5037,MATCH($F22,Painel_diario!$A$2:$A$5037,0)))*100</f>
        <v/>
      </c>
      <c r="V22" s="9" t="inlineStr"/>
    </row>
    <row r="23">
      <c r="A23" s="9" t="n">
        <v>19</v>
      </c>
      <c r="B23" s="9" t="inlineStr">
        <is>
          <t>ED_JU</t>
        </is>
      </c>
      <c r="C23" s="9" t="inlineStr">
        <is>
          <t>Earnings Down / Juros Up</t>
        </is>
      </c>
      <c r="D23" s="9" t="inlineStr">
        <is>
          <t>Down</t>
        </is>
      </c>
      <c r="E23" s="9" t="inlineStr">
        <is>
          <t>Up</t>
        </is>
      </c>
      <c r="F23" s="17" t="n">
        <v>42339</v>
      </c>
      <c r="G23" s="17" t="n">
        <v>42410</v>
      </c>
      <c r="H23" s="17" t="n">
        <v>42410</v>
      </c>
      <c r="I23" s="17" t="n">
        <v>42405</v>
      </c>
      <c r="J23" s="11">
        <f>G23-F23</f>
        <v/>
      </c>
      <c r="K23" s="11">
        <f>COUNTIFS(Painel_diario!$A$2:$A$5037,"&gt;="&amp;$F23,Painel_diario!$A$2:$A$5037,"&lt;"&amp;$H23)</f>
        <v/>
      </c>
      <c r="L23" s="11">
        <f>COUNTIFS(Painel_diario!$A$2:$A$5037,"&gt;="&amp;$F23,Painel_diario!$A$2:$A$5037,"&lt;"&amp;$H23,Painel_diario!$J$2:$J$5037,1)</f>
        <v/>
      </c>
      <c r="M23" s="11">
        <f>COUNTIFS(Painel_diario!$A$2:$A$5037,"&gt;="&amp;$F23,Painel_diario!$A$2:$A$5037,"&lt;"&amp;$H23,Painel_diario!$K$2:$K$5037,1)</f>
        <v/>
      </c>
      <c r="N23" s="10">
        <f>EXP(SUMIFS(Painel_diario!$L$2:$L$5037,Painel_diario!$A$2:$A$5037,"&gt;="&amp;$F23,Painel_diario!$A$2:$A$5037,"&lt;"&amp;$H23))-1</f>
        <v/>
      </c>
      <c r="O23" s="10">
        <f>IF(L23=0,"",EXP(SUMIFS(Painel_diario!$L$2:$L$5037,Painel_diario!$A$2:$A$5037,"&gt;="&amp;$F23,Painel_diario!$A$2:$A$5037,"&lt;"&amp;$H23)*252/L23)-1)</f>
        <v/>
      </c>
      <c r="P23" s="10">
        <f>EXP(SUMIFS(Painel_diario!$N$2:$N$5037,Painel_diario!$A$2:$A$5037,"&gt;="&amp;$F23,Painel_diario!$A$2:$A$5037,"&lt;"&amp;$H23))-1</f>
        <v/>
      </c>
      <c r="Q23" s="10">
        <f>IF(M23=0,"",EXP(SUMIFS(Painel_diario!$N$2:$N$5037,Painel_diario!$A$2:$A$5037,"&gt;="&amp;$F23,Painel_diario!$A$2:$A$5037,"&lt;"&amp;$H23)*252/M23)-1)</f>
        <v/>
      </c>
      <c r="R23" s="10">
        <f>IF(L23=0,"",EXP(SUMIFS(Painel_diario!$P$2:$P$5037,Painel_diario!$A$2:$A$5037,"&gt;="&amp;$F23,Painel_diario!$A$2:$A$5037,"&lt;"&amp;$H23)*252/L23)-1)</f>
        <v/>
      </c>
      <c r="S23" s="10">
        <f>IF(L23=0,"",EXP((SUMIFS(Painel_diario!$L$2:$L$5037,Painel_diario!$A$2:$A$5037,"&gt;="&amp;$F23,Painel_diario!$A$2:$A$5037,"&lt;"&amp;$H23)-SUMIFS(Painel_diario!$P$2:$P$5037,Painel_diario!$A$2:$A$5037,"&gt;="&amp;$F23,Painel_diario!$A$2:$A$5037,"&lt;"&amp;$H23))*252/L23)-1)</f>
        <v/>
      </c>
      <c r="T23" s="10">
        <f>IF(L23=0,"",EXP(SUMIFS(Painel_diario!$Q$2:$Q$5037,Painel_diario!$A$2:$A$5037,"&gt;="&amp;$F23,Painel_diario!$A$2:$A$5037,"&lt;"&amp;$H23)*252/L23)-1)</f>
        <v/>
      </c>
      <c r="U23" s="11">
        <f>(INDEX(Painel_diario!$S$2:$S$5037,MATCH($I23,Painel_diario!$A$2:$A$5037,0))-INDEX(Painel_diario!$S$2:$S$5037,MATCH($F23,Painel_diario!$A$2:$A$5037,0)))*100</f>
        <v/>
      </c>
      <c r="V23" s="9" t="inlineStr"/>
    </row>
    <row r="24">
      <c r="A24" s="9" t="n">
        <v>20</v>
      </c>
      <c r="B24" s="9" t="inlineStr">
        <is>
          <t>ED_JD</t>
        </is>
      </c>
      <c r="C24" s="9" t="inlineStr">
        <is>
          <t>Earnings Down / Juros Down</t>
        </is>
      </c>
      <c r="D24" s="9" t="inlineStr">
        <is>
          <t>Down</t>
        </is>
      </c>
      <c r="E24" s="9" t="inlineStr">
        <is>
          <t>Down</t>
        </is>
      </c>
      <c r="F24" s="17" t="n">
        <v>42410</v>
      </c>
      <c r="G24" s="17" t="n">
        <v>42552</v>
      </c>
      <c r="H24" s="17" t="n">
        <v>42552</v>
      </c>
      <c r="I24" s="17" t="n">
        <v>42551</v>
      </c>
      <c r="J24" s="11">
        <f>G24-F24</f>
        <v/>
      </c>
      <c r="K24" s="11">
        <f>COUNTIFS(Painel_diario!$A$2:$A$5037,"&gt;="&amp;$F24,Painel_diario!$A$2:$A$5037,"&lt;"&amp;$H24)</f>
        <v/>
      </c>
      <c r="L24" s="11">
        <f>COUNTIFS(Painel_diario!$A$2:$A$5037,"&gt;="&amp;$F24,Painel_diario!$A$2:$A$5037,"&lt;"&amp;$H24,Painel_diario!$J$2:$J$5037,1)</f>
        <v/>
      </c>
      <c r="M24" s="11">
        <f>COUNTIFS(Painel_diario!$A$2:$A$5037,"&gt;="&amp;$F24,Painel_diario!$A$2:$A$5037,"&lt;"&amp;$H24,Painel_diario!$K$2:$K$5037,1)</f>
        <v/>
      </c>
      <c r="N24" s="10">
        <f>EXP(SUMIFS(Painel_diario!$L$2:$L$5037,Painel_diario!$A$2:$A$5037,"&gt;="&amp;$F24,Painel_diario!$A$2:$A$5037,"&lt;"&amp;$H24))-1</f>
        <v/>
      </c>
      <c r="O24" s="10">
        <f>IF(L24=0,"",EXP(SUMIFS(Painel_diario!$L$2:$L$5037,Painel_diario!$A$2:$A$5037,"&gt;="&amp;$F24,Painel_diario!$A$2:$A$5037,"&lt;"&amp;$H24)*252/L24)-1)</f>
        <v/>
      </c>
      <c r="P24" s="10">
        <f>EXP(SUMIFS(Painel_diario!$N$2:$N$5037,Painel_diario!$A$2:$A$5037,"&gt;="&amp;$F24,Painel_diario!$A$2:$A$5037,"&lt;"&amp;$H24))-1</f>
        <v/>
      </c>
      <c r="Q24" s="10">
        <f>IF(M24=0,"",EXP(SUMIFS(Painel_diario!$N$2:$N$5037,Painel_diario!$A$2:$A$5037,"&gt;="&amp;$F24,Painel_diario!$A$2:$A$5037,"&lt;"&amp;$H24)*252/M24)-1)</f>
        <v/>
      </c>
      <c r="R24" s="10">
        <f>IF(L24=0,"",EXP(SUMIFS(Painel_diario!$P$2:$P$5037,Painel_diario!$A$2:$A$5037,"&gt;="&amp;$F24,Painel_diario!$A$2:$A$5037,"&lt;"&amp;$H24)*252/L24)-1)</f>
        <v/>
      </c>
      <c r="S24" s="10">
        <f>IF(L24=0,"",EXP((SUMIFS(Painel_diario!$L$2:$L$5037,Painel_diario!$A$2:$A$5037,"&gt;="&amp;$F24,Painel_diario!$A$2:$A$5037,"&lt;"&amp;$H24)-SUMIFS(Painel_diario!$P$2:$P$5037,Painel_diario!$A$2:$A$5037,"&gt;="&amp;$F24,Painel_diario!$A$2:$A$5037,"&lt;"&amp;$H24))*252/L24)-1)</f>
        <v/>
      </c>
      <c r="T24" s="10">
        <f>IF(L24=0,"",EXP(SUMIFS(Painel_diario!$Q$2:$Q$5037,Painel_diario!$A$2:$A$5037,"&gt;="&amp;$F24,Painel_diario!$A$2:$A$5037,"&lt;"&amp;$H24)*252/L24)-1)</f>
        <v/>
      </c>
      <c r="U24" s="11">
        <f>(INDEX(Painel_diario!$S$2:$S$5037,MATCH($I24,Painel_diario!$A$2:$A$5037,0))-INDEX(Painel_diario!$S$2:$S$5037,MATCH($F24,Painel_diario!$A$2:$A$5037,0)))*100</f>
        <v/>
      </c>
      <c r="V24" s="9" t="inlineStr"/>
    </row>
    <row r="25">
      <c r="A25" s="9" t="n">
        <v>21</v>
      </c>
      <c r="B25" s="9" t="inlineStr">
        <is>
          <t>EU_JD</t>
        </is>
      </c>
      <c r="C25" s="9" t="inlineStr">
        <is>
          <t>Earnings Up / Juros Down</t>
        </is>
      </c>
      <c r="D25" s="9" t="inlineStr">
        <is>
          <t>Up</t>
        </is>
      </c>
      <c r="E25" s="9" t="inlineStr">
        <is>
          <t>Down</t>
        </is>
      </c>
      <c r="F25" s="17" t="n">
        <v>42552</v>
      </c>
      <c r="G25" s="17" t="n">
        <v>43010</v>
      </c>
      <c r="H25" s="17" t="n">
        <v>43010</v>
      </c>
      <c r="I25" s="17" t="n">
        <v>43007</v>
      </c>
      <c r="J25" s="11">
        <f>G25-F25</f>
        <v/>
      </c>
      <c r="K25" s="11">
        <f>COUNTIFS(Painel_diario!$A$2:$A$5037,"&gt;="&amp;$F25,Painel_diario!$A$2:$A$5037,"&lt;"&amp;$H25)</f>
        <v/>
      </c>
      <c r="L25" s="11">
        <f>COUNTIFS(Painel_diario!$A$2:$A$5037,"&gt;="&amp;$F25,Painel_diario!$A$2:$A$5037,"&lt;"&amp;$H25,Painel_diario!$J$2:$J$5037,1)</f>
        <v/>
      </c>
      <c r="M25" s="11">
        <f>COUNTIFS(Painel_diario!$A$2:$A$5037,"&gt;="&amp;$F25,Painel_diario!$A$2:$A$5037,"&lt;"&amp;$H25,Painel_diario!$K$2:$K$5037,1)</f>
        <v/>
      </c>
      <c r="N25" s="10">
        <f>EXP(SUMIFS(Painel_diario!$L$2:$L$5037,Painel_diario!$A$2:$A$5037,"&gt;="&amp;$F25,Painel_diario!$A$2:$A$5037,"&lt;"&amp;$H25))-1</f>
        <v/>
      </c>
      <c r="O25" s="10">
        <f>IF(L25=0,"",EXP(SUMIFS(Painel_diario!$L$2:$L$5037,Painel_diario!$A$2:$A$5037,"&gt;="&amp;$F25,Painel_diario!$A$2:$A$5037,"&lt;"&amp;$H25)*252/L25)-1)</f>
        <v/>
      </c>
      <c r="P25" s="10">
        <f>EXP(SUMIFS(Painel_diario!$N$2:$N$5037,Painel_diario!$A$2:$A$5037,"&gt;="&amp;$F25,Painel_diario!$A$2:$A$5037,"&lt;"&amp;$H25))-1</f>
        <v/>
      </c>
      <c r="Q25" s="10">
        <f>IF(M25=0,"",EXP(SUMIFS(Painel_diario!$N$2:$N$5037,Painel_diario!$A$2:$A$5037,"&gt;="&amp;$F25,Painel_diario!$A$2:$A$5037,"&lt;"&amp;$H25)*252/M25)-1)</f>
        <v/>
      </c>
      <c r="R25" s="10">
        <f>IF(L25=0,"",EXP(SUMIFS(Painel_diario!$P$2:$P$5037,Painel_diario!$A$2:$A$5037,"&gt;="&amp;$F25,Painel_diario!$A$2:$A$5037,"&lt;"&amp;$H25)*252/L25)-1)</f>
        <v/>
      </c>
      <c r="S25" s="10">
        <f>IF(L25=0,"",EXP((SUMIFS(Painel_diario!$L$2:$L$5037,Painel_diario!$A$2:$A$5037,"&gt;="&amp;$F25,Painel_diario!$A$2:$A$5037,"&lt;"&amp;$H25)-SUMIFS(Painel_diario!$P$2:$P$5037,Painel_diario!$A$2:$A$5037,"&gt;="&amp;$F25,Painel_diario!$A$2:$A$5037,"&lt;"&amp;$H25))*252/L25)-1)</f>
        <v/>
      </c>
      <c r="T25" s="10">
        <f>IF(L25=0,"",EXP(SUMIFS(Painel_diario!$Q$2:$Q$5037,Painel_diario!$A$2:$A$5037,"&gt;="&amp;$F25,Painel_diario!$A$2:$A$5037,"&lt;"&amp;$H25)*252/L25)-1)</f>
        <v/>
      </c>
      <c r="U25" s="11">
        <f>(INDEX(Painel_diario!$S$2:$S$5037,MATCH($I25,Painel_diario!$A$2:$A$5037,0))-INDEX(Painel_diario!$S$2:$S$5037,MATCH($F25,Painel_diario!$A$2:$A$5037,0)))*100</f>
        <v/>
      </c>
      <c r="V25" s="9" t="inlineStr"/>
    </row>
    <row r="26">
      <c r="A26" s="9" t="n">
        <v>22</v>
      </c>
      <c r="B26" s="9" t="inlineStr">
        <is>
          <t>ED_JD</t>
        </is>
      </c>
      <c r="C26" s="9" t="inlineStr">
        <is>
          <t>Earnings Down / Juros Down</t>
        </is>
      </c>
      <c r="D26" s="9" t="inlineStr">
        <is>
          <t>Down</t>
        </is>
      </c>
      <c r="E26" s="9" t="inlineStr">
        <is>
          <t>Down</t>
        </is>
      </c>
      <c r="F26" s="17" t="n">
        <v>43010</v>
      </c>
      <c r="G26" s="17" t="n">
        <v>43070</v>
      </c>
      <c r="H26" s="17" t="n">
        <v>43070</v>
      </c>
      <c r="I26" s="17" t="n">
        <v>43069</v>
      </c>
      <c r="J26" s="11">
        <f>G26-F26</f>
        <v/>
      </c>
      <c r="K26" s="11">
        <f>COUNTIFS(Painel_diario!$A$2:$A$5037,"&gt;="&amp;$F26,Painel_diario!$A$2:$A$5037,"&lt;"&amp;$H26)</f>
        <v/>
      </c>
      <c r="L26" s="11">
        <f>COUNTIFS(Painel_diario!$A$2:$A$5037,"&gt;="&amp;$F26,Painel_diario!$A$2:$A$5037,"&lt;"&amp;$H26,Painel_diario!$J$2:$J$5037,1)</f>
        <v/>
      </c>
      <c r="M26" s="11">
        <f>COUNTIFS(Painel_diario!$A$2:$A$5037,"&gt;="&amp;$F26,Painel_diario!$A$2:$A$5037,"&lt;"&amp;$H26,Painel_diario!$K$2:$K$5037,1)</f>
        <v/>
      </c>
      <c r="N26" s="10">
        <f>EXP(SUMIFS(Painel_diario!$L$2:$L$5037,Painel_diario!$A$2:$A$5037,"&gt;="&amp;$F26,Painel_diario!$A$2:$A$5037,"&lt;"&amp;$H26))-1</f>
        <v/>
      </c>
      <c r="O26" s="10">
        <f>IF(L26=0,"",EXP(SUMIFS(Painel_diario!$L$2:$L$5037,Painel_diario!$A$2:$A$5037,"&gt;="&amp;$F26,Painel_diario!$A$2:$A$5037,"&lt;"&amp;$H26)*252/L26)-1)</f>
        <v/>
      </c>
      <c r="P26" s="10">
        <f>EXP(SUMIFS(Painel_diario!$N$2:$N$5037,Painel_diario!$A$2:$A$5037,"&gt;="&amp;$F26,Painel_diario!$A$2:$A$5037,"&lt;"&amp;$H26))-1</f>
        <v/>
      </c>
      <c r="Q26" s="10">
        <f>IF(M26=0,"",EXP(SUMIFS(Painel_diario!$N$2:$N$5037,Painel_diario!$A$2:$A$5037,"&gt;="&amp;$F26,Painel_diario!$A$2:$A$5037,"&lt;"&amp;$H26)*252/M26)-1)</f>
        <v/>
      </c>
      <c r="R26" s="10">
        <f>IF(L26=0,"",EXP(SUMIFS(Painel_diario!$P$2:$P$5037,Painel_diario!$A$2:$A$5037,"&gt;="&amp;$F26,Painel_diario!$A$2:$A$5037,"&lt;"&amp;$H26)*252/L26)-1)</f>
        <v/>
      </c>
      <c r="S26" s="10">
        <f>IF(L26=0,"",EXP((SUMIFS(Painel_diario!$L$2:$L$5037,Painel_diario!$A$2:$A$5037,"&gt;="&amp;$F26,Painel_diario!$A$2:$A$5037,"&lt;"&amp;$H26)-SUMIFS(Painel_diario!$P$2:$P$5037,Painel_diario!$A$2:$A$5037,"&gt;="&amp;$F26,Painel_diario!$A$2:$A$5037,"&lt;"&amp;$H26))*252/L26)-1)</f>
        <v/>
      </c>
      <c r="T26" s="10">
        <f>IF(L26=0,"",EXP(SUMIFS(Painel_diario!$Q$2:$Q$5037,Painel_diario!$A$2:$A$5037,"&gt;="&amp;$F26,Painel_diario!$A$2:$A$5037,"&lt;"&amp;$H26)*252/L26)-1)</f>
        <v/>
      </c>
      <c r="U26" s="11">
        <f>(INDEX(Painel_diario!$S$2:$S$5037,MATCH($I26,Painel_diario!$A$2:$A$5037,0))-INDEX(Painel_diario!$S$2:$S$5037,MATCH($F26,Painel_diario!$A$2:$A$5037,0)))*100</f>
        <v/>
      </c>
      <c r="V26" s="9" t="inlineStr"/>
    </row>
    <row r="27">
      <c r="A27" s="9" t="n">
        <v>23</v>
      </c>
      <c r="B27" s="9" t="inlineStr">
        <is>
          <t>EU_JD</t>
        </is>
      </c>
      <c r="C27" s="9" t="inlineStr">
        <is>
          <t>Earnings Up / Juros Down</t>
        </is>
      </c>
      <c r="D27" s="9" t="inlineStr">
        <is>
          <t>Up</t>
        </is>
      </c>
      <c r="E27" s="9" t="inlineStr">
        <is>
          <t>Down</t>
        </is>
      </c>
      <c r="F27" s="17" t="n">
        <v>43070</v>
      </c>
      <c r="G27" s="17" t="n">
        <v>43259</v>
      </c>
      <c r="H27" s="17" t="n">
        <v>43259</v>
      </c>
      <c r="I27" s="17" t="n">
        <v>43258</v>
      </c>
      <c r="J27" s="11">
        <f>G27-F27</f>
        <v/>
      </c>
      <c r="K27" s="11">
        <f>COUNTIFS(Painel_diario!$A$2:$A$5037,"&gt;="&amp;$F27,Painel_diario!$A$2:$A$5037,"&lt;"&amp;$H27)</f>
        <v/>
      </c>
      <c r="L27" s="11">
        <f>COUNTIFS(Painel_diario!$A$2:$A$5037,"&gt;="&amp;$F27,Painel_diario!$A$2:$A$5037,"&lt;"&amp;$H27,Painel_diario!$J$2:$J$5037,1)</f>
        <v/>
      </c>
      <c r="M27" s="11">
        <f>COUNTIFS(Painel_diario!$A$2:$A$5037,"&gt;="&amp;$F27,Painel_diario!$A$2:$A$5037,"&lt;"&amp;$H27,Painel_diario!$K$2:$K$5037,1)</f>
        <v/>
      </c>
      <c r="N27" s="10">
        <f>EXP(SUMIFS(Painel_diario!$L$2:$L$5037,Painel_diario!$A$2:$A$5037,"&gt;="&amp;$F27,Painel_diario!$A$2:$A$5037,"&lt;"&amp;$H27))-1</f>
        <v/>
      </c>
      <c r="O27" s="10">
        <f>IF(L27=0,"",EXP(SUMIFS(Painel_diario!$L$2:$L$5037,Painel_diario!$A$2:$A$5037,"&gt;="&amp;$F27,Painel_diario!$A$2:$A$5037,"&lt;"&amp;$H27)*252/L27)-1)</f>
        <v/>
      </c>
      <c r="P27" s="10">
        <f>EXP(SUMIFS(Painel_diario!$N$2:$N$5037,Painel_diario!$A$2:$A$5037,"&gt;="&amp;$F27,Painel_diario!$A$2:$A$5037,"&lt;"&amp;$H27))-1</f>
        <v/>
      </c>
      <c r="Q27" s="10">
        <f>IF(M27=0,"",EXP(SUMIFS(Painel_diario!$N$2:$N$5037,Painel_diario!$A$2:$A$5037,"&gt;="&amp;$F27,Painel_diario!$A$2:$A$5037,"&lt;"&amp;$H27)*252/M27)-1)</f>
        <v/>
      </c>
      <c r="R27" s="10">
        <f>IF(L27=0,"",EXP(SUMIFS(Painel_diario!$P$2:$P$5037,Painel_diario!$A$2:$A$5037,"&gt;="&amp;$F27,Painel_diario!$A$2:$A$5037,"&lt;"&amp;$H27)*252/L27)-1)</f>
        <v/>
      </c>
      <c r="S27" s="10">
        <f>IF(L27=0,"",EXP((SUMIFS(Painel_diario!$L$2:$L$5037,Painel_diario!$A$2:$A$5037,"&gt;="&amp;$F27,Painel_diario!$A$2:$A$5037,"&lt;"&amp;$H27)-SUMIFS(Painel_diario!$P$2:$P$5037,Painel_diario!$A$2:$A$5037,"&gt;="&amp;$F27,Painel_diario!$A$2:$A$5037,"&lt;"&amp;$H27))*252/L27)-1)</f>
        <v/>
      </c>
      <c r="T27" s="10">
        <f>IF(L27=0,"",EXP(SUMIFS(Painel_diario!$Q$2:$Q$5037,Painel_diario!$A$2:$A$5037,"&gt;="&amp;$F27,Painel_diario!$A$2:$A$5037,"&lt;"&amp;$H27)*252/L27)-1)</f>
        <v/>
      </c>
      <c r="U27" s="11">
        <f>(INDEX(Painel_diario!$S$2:$S$5037,MATCH($I27,Painel_diario!$A$2:$A$5037,0))-INDEX(Painel_diario!$S$2:$S$5037,MATCH($F27,Painel_diario!$A$2:$A$5037,0)))*100</f>
        <v/>
      </c>
      <c r="V27" s="9" t="inlineStr"/>
    </row>
    <row r="28">
      <c r="A28" s="9" t="n">
        <v>24</v>
      </c>
      <c r="B28" s="9" t="inlineStr">
        <is>
          <t>EU_JU</t>
        </is>
      </c>
      <c r="C28" s="9" t="inlineStr">
        <is>
          <t>Earnings Up / Juros Up</t>
        </is>
      </c>
      <c r="D28" s="9" t="inlineStr">
        <is>
          <t>Up</t>
        </is>
      </c>
      <c r="E28" s="9" t="inlineStr">
        <is>
          <t>Up</t>
        </is>
      </c>
      <c r="F28" s="17" t="n">
        <v>43259</v>
      </c>
      <c r="G28" s="17" t="n">
        <v>43399</v>
      </c>
      <c r="H28" s="17" t="n">
        <v>43399</v>
      </c>
      <c r="I28" s="17" t="n">
        <v>43398</v>
      </c>
      <c r="J28" s="11">
        <f>G28-F28</f>
        <v/>
      </c>
      <c r="K28" s="11">
        <f>COUNTIFS(Painel_diario!$A$2:$A$5037,"&gt;="&amp;$F28,Painel_diario!$A$2:$A$5037,"&lt;"&amp;$H28)</f>
        <v/>
      </c>
      <c r="L28" s="11">
        <f>COUNTIFS(Painel_diario!$A$2:$A$5037,"&gt;="&amp;$F28,Painel_diario!$A$2:$A$5037,"&lt;"&amp;$H28,Painel_diario!$J$2:$J$5037,1)</f>
        <v/>
      </c>
      <c r="M28" s="11">
        <f>COUNTIFS(Painel_diario!$A$2:$A$5037,"&gt;="&amp;$F28,Painel_diario!$A$2:$A$5037,"&lt;"&amp;$H28,Painel_diario!$K$2:$K$5037,1)</f>
        <v/>
      </c>
      <c r="N28" s="10">
        <f>EXP(SUMIFS(Painel_diario!$L$2:$L$5037,Painel_diario!$A$2:$A$5037,"&gt;="&amp;$F28,Painel_diario!$A$2:$A$5037,"&lt;"&amp;$H28))-1</f>
        <v/>
      </c>
      <c r="O28" s="10">
        <f>IF(L28=0,"",EXP(SUMIFS(Painel_diario!$L$2:$L$5037,Painel_diario!$A$2:$A$5037,"&gt;="&amp;$F28,Painel_diario!$A$2:$A$5037,"&lt;"&amp;$H28)*252/L28)-1)</f>
        <v/>
      </c>
      <c r="P28" s="10">
        <f>EXP(SUMIFS(Painel_diario!$N$2:$N$5037,Painel_diario!$A$2:$A$5037,"&gt;="&amp;$F28,Painel_diario!$A$2:$A$5037,"&lt;"&amp;$H28))-1</f>
        <v/>
      </c>
      <c r="Q28" s="10">
        <f>IF(M28=0,"",EXP(SUMIFS(Painel_diario!$N$2:$N$5037,Painel_diario!$A$2:$A$5037,"&gt;="&amp;$F28,Painel_diario!$A$2:$A$5037,"&lt;"&amp;$H28)*252/M28)-1)</f>
        <v/>
      </c>
      <c r="R28" s="10">
        <f>IF(L28=0,"",EXP(SUMIFS(Painel_diario!$P$2:$P$5037,Painel_diario!$A$2:$A$5037,"&gt;="&amp;$F28,Painel_diario!$A$2:$A$5037,"&lt;"&amp;$H28)*252/L28)-1)</f>
        <v/>
      </c>
      <c r="S28" s="10">
        <f>IF(L28=0,"",EXP((SUMIFS(Painel_diario!$L$2:$L$5037,Painel_diario!$A$2:$A$5037,"&gt;="&amp;$F28,Painel_diario!$A$2:$A$5037,"&lt;"&amp;$H28)-SUMIFS(Painel_diario!$P$2:$P$5037,Painel_diario!$A$2:$A$5037,"&gt;="&amp;$F28,Painel_diario!$A$2:$A$5037,"&lt;"&amp;$H28))*252/L28)-1)</f>
        <v/>
      </c>
      <c r="T28" s="10">
        <f>IF(L28=0,"",EXP(SUMIFS(Painel_diario!$Q$2:$Q$5037,Painel_diario!$A$2:$A$5037,"&gt;="&amp;$F28,Painel_diario!$A$2:$A$5037,"&lt;"&amp;$H28)*252/L28)-1)</f>
        <v/>
      </c>
      <c r="U28" s="11">
        <f>(INDEX(Painel_diario!$S$2:$S$5037,MATCH($I28,Painel_diario!$A$2:$A$5037,0))-INDEX(Painel_diario!$S$2:$S$5037,MATCH($F28,Painel_diario!$A$2:$A$5037,0)))*100</f>
        <v/>
      </c>
      <c r="V28" s="9" t="inlineStr"/>
    </row>
    <row r="29">
      <c r="A29" s="9" t="n">
        <v>25</v>
      </c>
      <c r="B29" s="9" t="inlineStr">
        <is>
          <t>EU_JD</t>
        </is>
      </c>
      <c r="C29" s="9" t="inlineStr">
        <is>
          <t>Earnings Up / Juros Down</t>
        </is>
      </c>
      <c r="D29" s="9" t="inlineStr">
        <is>
          <t>Up</t>
        </is>
      </c>
      <c r="E29" s="9" t="inlineStr">
        <is>
          <t>Down</t>
        </is>
      </c>
      <c r="F29" s="17" t="n">
        <v>43399</v>
      </c>
      <c r="G29" s="17" t="n">
        <v>43678</v>
      </c>
      <c r="H29" s="17" t="n">
        <v>43678</v>
      </c>
      <c r="I29" s="17" t="n">
        <v>43677</v>
      </c>
      <c r="J29" s="11">
        <f>G29-F29</f>
        <v/>
      </c>
      <c r="K29" s="11">
        <f>COUNTIFS(Painel_diario!$A$2:$A$5037,"&gt;="&amp;$F29,Painel_diario!$A$2:$A$5037,"&lt;"&amp;$H29)</f>
        <v/>
      </c>
      <c r="L29" s="11">
        <f>COUNTIFS(Painel_diario!$A$2:$A$5037,"&gt;="&amp;$F29,Painel_diario!$A$2:$A$5037,"&lt;"&amp;$H29,Painel_diario!$J$2:$J$5037,1)</f>
        <v/>
      </c>
      <c r="M29" s="11">
        <f>COUNTIFS(Painel_diario!$A$2:$A$5037,"&gt;="&amp;$F29,Painel_diario!$A$2:$A$5037,"&lt;"&amp;$H29,Painel_diario!$K$2:$K$5037,1)</f>
        <v/>
      </c>
      <c r="N29" s="10">
        <f>EXP(SUMIFS(Painel_diario!$L$2:$L$5037,Painel_diario!$A$2:$A$5037,"&gt;="&amp;$F29,Painel_diario!$A$2:$A$5037,"&lt;"&amp;$H29))-1</f>
        <v/>
      </c>
      <c r="O29" s="10">
        <f>IF(L29=0,"",EXP(SUMIFS(Painel_diario!$L$2:$L$5037,Painel_diario!$A$2:$A$5037,"&gt;="&amp;$F29,Painel_diario!$A$2:$A$5037,"&lt;"&amp;$H29)*252/L29)-1)</f>
        <v/>
      </c>
      <c r="P29" s="10">
        <f>EXP(SUMIFS(Painel_diario!$N$2:$N$5037,Painel_diario!$A$2:$A$5037,"&gt;="&amp;$F29,Painel_diario!$A$2:$A$5037,"&lt;"&amp;$H29))-1</f>
        <v/>
      </c>
      <c r="Q29" s="10">
        <f>IF(M29=0,"",EXP(SUMIFS(Painel_diario!$N$2:$N$5037,Painel_diario!$A$2:$A$5037,"&gt;="&amp;$F29,Painel_diario!$A$2:$A$5037,"&lt;"&amp;$H29)*252/M29)-1)</f>
        <v/>
      </c>
      <c r="R29" s="10">
        <f>IF(L29=0,"",EXP(SUMIFS(Painel_diario!$P$2:$P$5037,Painel_diario!$A$2:$A$5037,"&gt;="&amp;$F29,Painel_diario!$A$2:$A$5037,"&lt;"&amp;$H29)*252/L29)-1)</f>
        <v/>
      </c>
      <c r="S29" s="10">
        <f>IF(L29=0,"",EXP((SUMIFS(Painel_diario!$L$2:$L$5037,Painel_diario!$A$2:$A$5037,"&gt;="&amp;$F29,Painel_diario!$A$2:$A$5037,"&lt;"&amp;$H29)-SUMIFS(Painel_diario!$P$2:$P$5037,Painel_diario!$A$2:$A$5037,"&gt;="&amp;$F29,Painel_diario!$A$2:$A$5037,"&lt;"&amp;$H29))*252/L29)-1)</f>
        <v/>
      </c>
      <c r="T29" s="10">
        <f>IF(L29=0,"",EXP(SUMIFS(Painel_diario!$Q$2:$Q$5037,Painel_diario!$A$2:$A$5037,"&gt;="&amp;$F29,Painel_diario!$A$2:$A$5037,"&lt;"&amp;$H29)*252/L29)-1)</f>
        <v/>
      </c>
      <c r="U29" s="11">
        <f>(INDEX(Painel_diario!$S$2:$S$5037,MATCH($I29,Painel_diario!$A$2:$A$5037,0))-INDEX(Painel_diario!$S$2:$S$5037,MATCH($F29,Painel_diario!$A$2:$A$5037,0)))*100</f>
        <v/>
      </c>
      <c r="V29" s="9" t="inlineStr"/>
    </row>
    <row r="30">
      <c r="A30" s="9" t="n">
        <v>26</v>
      </c>
      <c r="B30" s="9" t="inlineStr">
        <is>
          <t>ED_JD</t>
        </is>
      </c>
      <c r="C30" s="9" t="inlineStr">
        <is>
          <t>Earnings Down / Juros Down</t>
        </is>
      </c>
      <c r="D30" s="9" t="inlineStr">
        <is>
          <t>Down</t>
        </is>
      </c>
      <c r="E30" s="9" t="inlineStr">
        <is>
          <t>Down</t>
        </is>
      </c>
      <c r="F30" s="17" t="n">
        <v>43678</v>
      </c>
      <c r="G30" s="17" t="n">
        <v>44105</v>
      </c>
      <c r="H30" s="17" t="n">
        <v>44105</v>
      </c>
      <c r="I30" s="17" t="n">
        <v>44104</v>
      </c>
      <c r="J30" s="11">
        <f>G30-F30</f>
        <v/>
      </c>
      <c r="K30" s="11">
        <f>COUNTIFS(Painel_diario!$A$2:$A$5037,"&gt;="&amp;$F30,Painel_diario!$A$2:$A$5037,"&lt;"&amp;$H30)</f>
        <v/>
      </c>
      <c r="L30" s="11">
        <f>COUNTIFS(Painel_diario!$A$2:$A$5037,"&gt;="&amp;$F30,Painel_diario!$A$2:$A$5037,"&lt;"&amp;$H30,Painel_diario!$J$2:$J$5037,1)</f>
        <v/>
      </c>
      <c r="M30" s="11">
        <f>COUNTIFS(Painel_diario!$A$2:$A$5037,"&gt;="&amp;$F30,Painel_diario!$A$2:$A$5037,"&lt;"&amp;$H30,Painel_diario!$K$2:$K$5037,1)</f>
        <v/>
      </c>
      <c r="N30" s="10">
        <f>EXP(SUMIFS(Painel_diario!$L$2:$L$5037,Painel_diario!$A$2:$A$5037,"&gt;="&amp;$F30,Painel_diario!$A$2:$A$5037,"&lt;"&amp;$H30))-1</f>
        <v/>
      </c>
      <c r="O30" s="10">
        <f>IF(L30=0,"",EXP(SUMIFS(Painel_diario!$L$2:$L$5037,Painel_diario!$A$2:$A$5037,"&gt;="&amp;$F30,Painel_diario!$A$2:$A$5037,"&lt;"&amp;$H30)*252/L30)-1)</f>
        <v/>
      </c>
      <c r="P30" s="10">
        <f>EXP(SUMIFS(Painel_diario!$N$2:$N$5037,Painel_diario!$A$2:$A$5037,"&gt;="&amp;$F30,Painel_diario!$A$2:$A$5037,"&lt;"&amp;$H30))-1</f>
        <v/>
      </c>
      <c r="Q30" s="10">
        <f>IF(M30=0,"",EXP(SUMIFS(Painel_diario!$N$2:$N$5037,Painel_diario!$A$2:$A$5037,"&gt;="&amp;$F30,Painel_diario!$A$2:$A$5037,"&lt;"&amp;$H30)*252/M30)-1)</f>
        <v/>
      </c>
      <c r="R30" s="10">
        <f>IF(L30=0,"",EXP(SUMIFS(Painel_diario!$P$2:$P$5037,Painel_diario!$A$2:$A$5037,"&gt;="&amp;$F30,Painel_diario!$A$2:$A$5037,"&lt;"&amp;$H30)*252/L30)-1)</f>
        <v/>
      </c>
      <c r="S30" s="10">
        <f>IF(L30=0,"",EXP((SUMIFS(Painel_diario!$L$2:$L$5037,Painel_diario!$A$2:$A$5037,"&gt;="&amp;$F30,Painel_diario!$A$2:$A$5037,"&lt;"&amp;$H30)-SUMIFS(Painel_diario!$P$2:$P$5037,Painel_diario!$A$2:$A$5037,"&gt;="&amp;$F30,Painel_diario!$A$2:$A$5037,"&lt;"&amp;$H30))*252/L30)-1)</f>
        <v/>
      </c>
      <c r="T30" s="10">
        <f>IF(L30=0,"",EXP(SUMIFS(Painel_diario!$Q$2:$Q$5037,Painel_diario!$A$2:$A$5037,"&gt;="&amp;$F30,Painel_diario!$A$2:$A$5037,"&lt;"&amp;$H30)*252/L30)-1)</f>
        <v/>
      </c>
      <c r="U30" s="11">
        <f>(INDEX(Painel_diario!$S$2:$S$5037,MATCH($I30,Painel_diario!$A$2:$A$5037,0))-INDEX(Painel_diario!$S$2:$S$5037,MATCH($F30,Painel_diario!$A$2:$A$5037,0)))*100</f>
        <v/>
      </c>
      <c r="V30" s="9" t="inlineStr"/>
    </row>
    <row r="31">
      <c r="A31" s="9" t="n">
        <v>27</v>
      </c>
      <c r="B31" s="9" t="inlineStr">
        <is>
          <t>EU_JD</t>
        </is>
      </c>
      <c r="C31" s="9" t="inlineStr">
        <is>
          <t>Earnings Up / Juros Down</t>
        </is>
      </c>
      <c r="D31" s="9" t="inlineStr">
        <is>
          <t>Up</t>
        </is>
      </c>
      <c r="E31" s="9" t="inlineStr">
        <is>
          <t>Down</t>
        </is>
      </c>
      <c r="F31" s="17" t="n">
        <v>44105</v>
      </c>
      <c r="G31" s="17" t="n">
        <v>44109</v>
      </c>
      <c r="H31" s="17" t="n">
        <v>44109</v>
      </c>
      <c r="I31" s="17" t="n">
        <v>44106</v>
      </c>
      <c r="J31" s="11">
        <f>G31-F31</f>
        <v/>
      </c>
      <c r="K31" s="11">
        <f>COUNTIFS(Painel_diario!$A$2:$A$5037,"&gt;="&amp;$F31,Painel_diario!$A$2:$A$5037,"&lt;"&amp;$H31)</f>
        <v/>
      </c>
      <c r="L31" s="11">
        <f>COUNTIFS(Painel_diario!$A$2:$A$5037,"&gt;="&amp;$F31,Painel_diario!$A$2:$A$5037,"&lt;"&amp;$H31,Painel_diario!$J$2:$J$5037,1)</f>
        <v/>
      </c>
      <c r="M31" s="11">
        <f>COUNTIFS(Painel_diario!$A$2:$A$5037,"&gt;="&amp;$F31,Painel_diario!$A$2:$A$5037,"&lt;"&amp;$H31,Painel_diario!$K$2:$K$5037,1)</f>
        <v/>
      </c>
      <c r="N31" s="10">
        <f>EXP(SUMIFS(Painel_diario!$L$2:$L$5037,Painel_diario!$A$2:$A$5037,"&gt;="&amp;$F31,Painel_diario!$A$2:$A$5037,"&lt;"&amp;$H31))-1</f>
        <v/>
      </c>
      <c r="O31" s="10">
        <f>IF(L31=0,"",EXP(SUMIFS(Painel_diario!$L$2:$L$5037,Painel_diario!$A$2:$A$5037,"&gt;="&amp;$F31,Painel_diario!$A$2:$A$5037,"&lt;"&amp;$H31)*252/L31)-1)</f>
        <v/>
      </c>
      <c r="P31" s="10">
        <f>EXP(SUMIFS(Painel_diario!$N$2:$N$5037,Painel_diario!$A$2:$A$5037,"&gt;="&amp;$F31,Painel_diario!$A$2:$A$5037,"&lt;"&amp;$H31))-1</f>
        <v/>
      </c>
      <c r="Q31" s="10">
        <f>IF(M31=0,"",EXP(SUMIFS(Painel_diario!$N$2:$N$5037,Painel_diario!$A$2:$A$5037,"&gt;="&amp;$F31,Painel_diario!$A$2:$A$5037,"&lt;"&amp;$H31)*252/M31)-1)</f>
        <v/>
      </c>
      <c r="R31" s="10">
        <f>IF(L31=0,"",EXP(SUMIFS(Painel_diario!$P$2:$P$5037,Painel_diario!$A$2:$A$5037,"&gt;="&amp;$F31,Painel_diario!$A$2:$A$5037,"&lt;"&amp;$H31)*252/L31)-1)</f>
        <v/>
      </c>
      <c r="S31" s="10">
        <f>IF(L31=0,"",EXP((SUMIFS(Painel_diario!$L$2:$L$5037,Painel_diario!$A$2:$A$5037,"&gt;="&amp;$F31,Painel_diario!$A$2:$A$5037,"&lt;"&amp;$H31)-SUMIFS(Painel_diario!$P$2:$P$5037,Painel_diario!$A$2:$A$5037,"&gt;="&amp;$F31,Painel_diario!$A$2:$A$5037,"&lt;"&amp;$H31))*252/L31)-1)</f>
        <v/>
      </c>
      <c r="T31" s="10">
        <f>IF(L31=0,"",EXP(SUMIFS(Painel_diario!$Q$2:$Q$5037,Painel_diario!$A$2:$A$5037,"&gt;="&amp;$F31,Painel_diario!$A$2:$A$5037,"&lt;"&amp;$H31)*252/L31)-1)</f>
        <v/>
      </c>
      <c r="U31" s="11">
        <f>(INDEX(Painel_diario!$S$2:$S$5037,MATCH($I31,Painel_diario!$A$2:$A$5037,0))-INDEX(Painel_diario!$S$2:$S$5037,MATCH($F31,Painel_diario!$A$2:$A$5037,0)))*100</f>
        <v/>
      </c>
      <c r="V31" s="9" t="inlineStr"/>
    </row>
    <row r="32">
      <c r="A32" s="9" t="n">
        <v>28</v>
      </c>
      <c r="B32" s="9" t="inlineStr">
        <is>
          <t>EU_JU</t>
        </is>
      </c>
      <c r="C32" s="9" t="inlineStr">
        <is>
          <t>Earnings Up / Juros Up</t>
        </is>
      </c>
      <c r="D32" s="9" t="inlineStr">
        <is>
          <t>Up</t>
        </is>
      </c>
      <c r="E32" s="9" t="inlineStr">
        <is>
          <t>Up</t>
        </is>
      </c>
      <c r="F32" s="17" t="n">
        <v>44109</v>
      </c>
      <c r="G32" s="17" t="n">
        <v>44564</v>
      </c>
      <c r="H32" s="17" t="n">
        <v>44564</v>
      </c>
      <c r="I32" s="17" t="n">
        <v>44560</v>
      </c>
      <c r="J32" s="11">
        <f>G32-F32</f>
        <v/>
      </c>
      <c r="K32" s="11">
        <f>COUNTIFS(Painel_diario!$A$2:$A$5037,"&gt;="&amp;$F32,Painel_diario!$A$2:$A$5037,"&lt;"&amp;$H32)</f>
        <v/>
      </c>
      <c r="L32" s="11">
        <f>COUNTIFS(Painel_diario!$A$2:$A$5037,"&gt;="&amp;$F32,Painel_diario!$A$2:$A$5037,"&lt;"&amp;$H32,Painel_diario!$J$2:$J$5037,1)</f>
        <v/>
      </c>
      <c r="M32" s="11">
        <f>COUNTIFS(Painel_diario!$A$2:$A$5037,"&gt;="&amp;$F32,Painel_diario!$A$2:$A$5037,"&lt;"&amp;$H32,Painel_diario!$K$2:$K$5037,1)</f>
        <v/>
      </c>
      <c r="N32" s="10">
        <f>EXP(SUMIFS(Painel_diario!$L$2:$L$5037,Painel_diario!$A$2:$A$5037,"&gt;="&amp;$F32,Painel_diario!$A$2:$A$5037,"&lt;"&amp;$H32))-1</f>
        <v/>
      </c>
      <c r="O32" s="10">
        <f>IF(L32=0,"",EXP(SUMIFS(Painel_diario!$L$2:$L$5037,Painel_diario!$A$2:$A$5037,"&gt;="&amp;$F32,Painel_diario!$A$2:$A$5037,"&lt;"&amp;$H32)*252/L32)-1)</f>
        <v/>
      </c>
      <c r="P32" s="10">
        <f>EXP(SUMIFS(Painel_diario!$N$2:$N$5037,Painel_diario!$A$2:$A$5037,"&gt;="&amp;$F32,Painel_diario!$A$2:$A$5037,"&lt;"&amp;$H32))-1</f>
        <v/>
      </c>
      <c r="Q32" s="10">
        <f>IF(M32=0,"",EXP(SUMIFS(Painel_diario!$N$2:$N$5037,Painel_diario!$A$2:$A$5037,"&gt;="&amp;$F32,Painel_diario!$A$2:$A$5037,"&lt;"&amp;$H32)*252/M32)-1)</f>
        <v/>
      </c>
      <c r="R32" s="10">
        <f>IF(L32=0,"",EXP(SUMIFS(Painel_diario!$P$2:$P$5037,Painel_diario!$A$2:$A$5037,"&gt;="&amp;$F32,Painel_diario!$A$2:$A$5037,"&lt;"&amp;$H32)*252/L32)-1)</f>
        <v/>
      </c>
      <c r="S32" s="10">
        <f>IF(L32=0,"",EXP((SUMIFS(Painel_diario!$L$2:$L$5037,Painel_diario!$A$2:$A$5037,"&gt;="&amp;$F32,Painel_diario!$A$2:$A$5037,"&lt;"&amp;$H32)-SUMIFS(Painel_diario!$P$2:$P$5037,Painel_diario!$A$2:$A$5037,"&gt;="&amp;$F32,Painel_diario!$A$2:$A$5037,"&lt;"&amp;$H32))*252/L32)-1)</f>
        <v/>
      </c>
      <c r="T32" s="10">
        <f>IF(L32=0,"",EXP(SUMIFS(Painel_diario!$Q$2:$Q$5037,Painel_diario!$A$2:$A$5037,"&gt;="&amp;$F32,Painel_diario!$A$2:$A$5037,"&lt;"&amp;$H32)*252/L32)-1)</f>
        <v/>
      </c>
      <c r="U32" s="11">
        <f>(INDEX(Painel_diario!$S$2:$S$5037,MATCH($I32,Painel_diario!$A$2:$A$5037,0))-INDEX(Painel_diario!$S$2:$S$5037,MATCH($F32,Painel_diario!$A$2:$A$5037,0)))*100</f>
        <v/>
      </c>
      <c r="V32" s="9" t="inlineStr"/>
    </row>
    <row r="33">
      <c r="A33" s="9" t="n">
        <v>29</v>
      </c>
      <c r="B33" s="9" t="inlineStr">
        <is>
          <t>ED_JU</t>
        </is>
      </c>
      <c r="C33" s="9" t="inlineStr">
        <is>
          <t>Earnings Down / Juros Up</t>
        </is>
      </c>
      <c r="D33" s="9" t="inlineStr">
        <is>
          <t>Down</t>
        </is>
      </c>
      <c r="E33" s="9" t="inlineStr">
        <is>
          <t>Up</t>
        </is>
      </c>
      <c r="F33" s="17" t="n">
        <v>44564</v>
      </c>
      <c r="G33" s="17" t="n">
        <v>44652</v>
      </c>
      <c r="H33" s="17" t="n">
        <v>44652</v>
      </c>
      <c r="I33" s="17" t="n">
        <v>44651</v>
      </c>
      <c r="J33" s="11">
        <f>G33-F33</f>
        <v/>
      </c>
      <c r="K33" s="11">
        <f>COUNTIFS(Painel_diario!$A$2:$A$5037,"&gt;="&amp;$F33,Painel_diario!$A$2:$A$5037,"&lt;"&amp;$H33)</f>
        <v/>
      </c>
      <c r="L33" s="11">
        <f>COUNTIFS(Painel_diario!$A$2:$A$5037,"&gt;="&amp;$F33,Painel_diario!$A$2:$A$5037,"&lt;"&amp;$H33,Painel_diario!$J$2:$J$5037,1)</f>
        <v/>
      </c>
      <c r="M33" s="11">
        <f>COUNTIFS(Painel_diario!$A$2:$A$5037,"&gt;="&amp;$F33,Painel_diario!$A$2:$A$5037,"&lt;"&amp;$H33,Painel_diario!$K$2:$K$5037,1)</f>
        <v/>
      </c>
      <c r="N33" s="10">
        <f>EXP(SUMIFS(Painel_diario!$L$2:$L$5037,Painel_diario!$A$2:$A$5037,"&gt;="&amp;$F33,Painel_diario!$A$2:$A$5037,"&lt;"&amp;$H33))-1</f>
        <v/>
      </c>
      <c r="O33" s="10">
        <f>IF(L33=0,"",EXP(SUMIFS(Painel_diario!$L$2:$L$5037,Painel_diario!$A$2:$A$5037,"&gt;="&amp;$F33,Painel_diario!$A$2:$A$5037,"&lt;"&amp;$H33)*252/L33)-1)</f>
        <v/>
      </c>
      <c r="P33" s="10">
        <f>EXP(SUMIFS(Painel_diario!$N$2:$N$5037,Painel_diario!$A$2:$A$5037,"&gt;="&amp;$F33,Painel_diario!$A$2:$A$5037,"&lt;"&amp;$H33))-1</f>
        <v/>
      </c>
      <c r="Q33" s="10">
        <f>IF(M33=0,"",EXP(SUMIFS(Painel_diario!$N$2:$N$5037,Painel_diario!$A$2:$A$5037,"&gt;="&amp;$F33,Painel_diario!$A$2:$A$5037,"&lt;"&amp;$H33)*252/M33)-1)</f>
        <v/>
      </c>
      <c r="R33" s="10">
        <f>IF(L33=0,"",EXP(SUMIFS(Painel_diario!$P$2:$P$5037,Painel_diario!$A$2:$A$5037,"&gt;="&amp;$F33,Painel_diario!$A$2:$A$5037,"&lt;"&amp;$H33)*252/L33)-1)</f>
        <v/>
      </c>
      <c r="S33" s="10">
        <f>IF(L33=0,"",EXP((SUMIFS(Painel_diario!$L$2:$L$5037,Painel_diario!$A$2:$A$5037,"&gt;="&amp;$F33,Painel_diario!$A$2:$A$5037,"&lt;"&amp;$H33)-SUMIFS(Painel_diario!$P$2:$P$5037,Painel_diario!$A$2:$A$5037,"&gt;="&amp;$F33,Painel_diario!$A$2:$A$5037,"&lt;"&amp;$H33))*252/L33)-1)</f>
        <v/>
      </c>
      <c r="T33" s="10">
        <f>IF(L33=0,"",EXP(SUMIFS(Painel_diario!$Q$2:$Q$5037,Painel_diario!$A$2:$A$5037,"&gt;="&amp;$F33,Painel_diario!$A$2:$A$5037,"&lt;"&amp;$H33)*252/L33)-1)</f>
        <v/>
      </c>
      <c r="U33" s="11">
        <f>(INDEX(Painel_diario!$S$2:$S$5037,MATCH($I33,Painel_diario!$A$2:$A$5037,0))-INDEX(Painel_diario!$S$2:$S$5037,MATCH($F33,Painel_diario!$A$2:$A$5037,0)))*100</f>
        <v/>
      </c>
      <c r="V33" s="9" t="inlineStr"/>
    </row>
    <row r="34">
      <c r="A34" s="9" t="n">
        <v>30</v>
      </c>
      <c r="B34" s="9" t="inlineStr">
        <is>
          <t>EU_JU</t>
        </is>
      </c>
      <c r="C34" s="9" t="inlineStr">
        <is>
          <t>Earnings Up / Juros Up</t>
        </is>
      </c>
      <c r="D34" s="9" t="inlineStr">
        <is>
          <t>Up</t>
        </is>
      </c>
      <c r="E34" s="9" t="inlineStr">
        <is>
          <t>Up</t>
        </is>
      </c>
      <c r="F34" s="17" t="n">
        <v>44652</v>
      </c>
      <c r="G34" s="17" t="n">
        <v>44896</v>
      </c>
      <c r="H34" s="17" t="n">
        <v>44896</v>
      </c>
      <c r="I34" s="17" t="n">
        <v>44895</v>
      </c>
      <c r="J34" s="11">
        <f>G34-F34</f>
        <v/>
      </c>
      <c r="K34" s="11">
        <f>COUNTIFS(Painel_diario!$A$2:$A$5037,"&gt;="&amp;$F34,Painel_diario!$A$2:$A$5037,"&lt;"&amp;$H34)</f>
        <v/>
      </c>
      <c r="L34" s="11">
        <f>COUNTIFS(Painel_diario!$A$2:$A$5037,"&gt;="&amp;$F34,Painel_diario!$A$2:$A$5037,"&lt;"&amp;$H34,Painel_diario!$J$2:$J$5037,1)</f>
        <v/>
      </c>
      <c r="M34" s="11">
        <f>COUNTIFS(Painel_diario!$A$2:$A$5037,"&gt;="&amp;$F34,Painel_diario!$A$2:$A$5037,"&lt;"&amp;$H34,Painel_diario!$K$2:$K$5037,1)</f>
        <v/>
      </c>
      <c r="N34" s="10">
        <f>EXP(SUMIFS(Painel_diario!$L$2:$L$5037,Painel_diario!$A$2:$A$5037,"&gt;="&amp;$F34,Painel_diario!$A$2:$A$5037,"&lt;"&amp;$H34))-1</f>
        <v/>
      </c>
      <c r="O34" s="10">
        <f>IF(L34=0,"",EXP(SUMIFS(Painel_diario!$L$2:$L$5037,Painel_diario!$A$2:$A$5037,"&gt;="&amp;$F34,Painel_diario!$A$2:$A$5037,"&lt;"&amp;$H34)*252/L34)-1)</f>
        <v/>
      </c>
      <c r="P34" s="10">
        <f>EXP(SUMIFS(Painel_diario!$N$2:$N$5037,Painel_diario!$A$2:$A$5037,"&gt;="&amp;$F34,Painel_diario!$A$2:$A$5037,"&lt;"&amp;$H34))-1</f>
        <v/>
      </c>
      <c r="Q34" s="10">
        <f>IF(M34=0,"",EXP(SUMIFS(Painel_diario!$N$2:$N$5037,Painel_diario!$A$2:$A$5037,"&gt;="&amp;$F34,Painel_diario!$A$2:$A$5037,"&lt;"&amp;$H34)*252/M34)-1)</f>
        <v/>
      </c>
      <c r="R34" s="10">
        <f>IF(L34=0,"",EXP(SUMIFS(Painel_diario!$P$2:$P$5037,Painel_diario!$A$2:$A$5037,"&gt;="&amp;$F34,Painel_diario!$A$2:$A$5037,"&lt;"&amp;$H34)*252/L34)-1)</f>
        <v/>
      </c>
      <c r="S34" s="10">
        <f>IF(L34=0,"",EXP((SUMIFS(Painel_diario!$L$2:$L$5037,Painel_diario!$A$2:$A$5037,"&gt;="&amp;$F34,Painel_diario!$A$2:$A$5037,"&lt;"&amp;$H34)-SUMIFS(Painel_diario!$P$2:$P$5037,Painel_diario!$A$2:$A$5037,"&gt;="&amp;$F34,Painel_diario!$A$2:$A$5037,"&lt;"&amp;$H34))*252/L34)-1)</f>
        <v/>
      </c>
      <c r="T34" s="10">
        <f>IF(L34=0,"",EXP(SUMIFS(Painel_diario!$Q$2:$Q$5037,Painel_diario!$A$2:$A$5037,"&gt;="&amp;$F34,Painel_diario!$A$2:$A$5037,"&lt;"&amp;$H34)*252/L34)-1)</f>
        <v/>
      </c>
      <c r="U34" s="11">
        <f>(INDEX(Painel_diario!$S$2:$S$5037,MATCH($I34,Painel_diario!$A$2:$A$5037,0))-INDEX(Painel_diario!$S$2:$S$5037,MATCH($F34,Painel_diario!$A$2:$A$5037,0)))*100</f>
        <v/>
      </c>
      <c r="V34" s="9" t="inlineStr"/>
    </row>
    <row r="35">
      <c r="A35" s="9" t="n">
        <v>31</v>
      </c>
      <c r="B35" s="9" t="inlineStr">
        <is>
          <t>ED_JU</t>
        </is>
      </c>
      <c r="C35" s="9" t="inlineStr">
        <is>
          <t>Earnings Down / Juros Up</t>
        </is>
      </c>
      <c r="D35" s="9" t="inlineStr">
        <is>
          <t>Down</t>
        </is>
      </c>
      <c r="E35" s="9" t="inlineStr">
        <is>
          <t>Up</t>
        </is>
      </c>
      <c r="F35" s="17" t="n">
        <v>44896</v>
      </c>
      <c r="G35" s="17" t="n">
        <v>44992</v>
      </c>
      <c r="H35" s="17" t="n">
        <v>44992</v>
      </c>
      <c r="I35" s="17" t="n">
        <v>44991</v>
      </c>
      <c r="J35" s="11">
        <f>G35-F35</f>
        <v/>
      </c>
      <c r="K35" s="11">
        <f>COUNTIFS(Painel_diario!$A$2:$A$5037,"&gt;="&amp;$F35,Painel_diario!$A$2:$A$5037,"&lt;"&amp;$H35)</f>
        <v/>
      </c>
      <c r="L35" s="11">
        <f>COUNTIFS(Painel_diario!$A$2:$A$5037,"&gt;="&amp;$F35,Painel_diario!$A$2:$A$5037,"&lt;"&amp;$H35,Painel_diario!$J$2:$J$5037,1)</f>
        <v/>
      </c>
      <c r="M35" s="11">
        <f>COUNTIFS(Painel_diario!$A$2:$A$5037,"&gt;="&amp;$F35,Painel_diario!$A$2:$A$5037,"&lt;"&amp;$H35,Painel_diario!$K$2:$K$5037,1)</f>
        <v/>
      </c>
      <c r="N35" s="10">
        <f>EXP(SUMIFS(Painel_diario!$L$2:$L$5037,Painel_diario!$A$2:$A$5037,"&gt;="&amp;$F35,Painel_diario!$A$2:$A$5037,"&lt;"&amp;$H35))-1</f>
        <v/>
      </c>
      <c r="O35" s="10">
        <f>IF(L35=0,"",EXP(SUMIFS(Painel_diario!$L$2:$L$5037,Painel_diario!$A$2:$A$5037,"&gt;="&amp;$F35,Painel_diario!$A$2:$A$5037,"&lt;"&amp;$H35)*252/L35)-1)</f>
        <v/>
      </c>
      <c r="P35" s="10">
        <f>EXP(SUMIFS(Painel_diario!$N$2:$N$5037,Painel_diario!$A$2:$A$5037,"&gt;="&amp;$F35,Painel_diario!$A$2:$A$5037,"&lt;"&amp;$H35))-1</f>
        <v/>
      </c>
      <c r="Q35" s="10">
        <f>IF(M35=0,"",EXP(SUMIFS(Painel_diario!$N$2:$N$5037,Painel_diario!$A$2:$A$5037,"&gt;="&amp;$F35,Painel_diario!$A$2:$A$5037,"&lt;"&amp;$H35)*252/M35)-1)</f>
        <v/>
      </c>
      <c r="R35" s="10">
        <f>IF(L35=0,"",EXP(SUMIFS(Painel_diario!$P$2:$P$5037,Painel_diario!$A$2:$A$5037,"&gt;="&amp;$F35,Painel_diario!$A$2:$A$5037,"&lt;"&amp;$H35)*252/L35)-1)</f>
        <v/>
      </c>
      <c r="S35" s="10">
        <f>IF(L35=0,"",EXP((SUMIFS(Painel_diario!$L$2:$L$5037,Painel_diario!$A$2:$A$5037,"&gt;="&amp;$F35,Painel_diario!$A$2:$A$5037,"&lt;"&amp;$H35)-SUMIFS(Painel_diario!$P$2:$P$5037,Painel_diario!$A$2:$A$5037,"&gt;="&amp;$F35,Painel_diario!$A$2:$A$5037,"&lt;"&amp;$H35))*252/L35)-1)</f>
        <v/>
      </c>
      <c r="T35" s="10">
        <f>IF(L35=0,"",EXP(SUMIFS(Painel_diario!$Q$2:$Q$5037,Painel_diario!$A$2:$A$5037,"&gt;="&amp;$F35,Painel_diario!$A$2:$A$5037,"&lt;"&amp;$H35)*252/L35)-1)</f>
        <v/>
      </c>
      <c r="U35" s="11">
        <f>(INDEX(Painel_diario!$S$2:$S$5037,MATCH($I35,Painel_diario!$A$2:$A$5037,0))-INDEX(Painel_diario!$S$2:$S$5037,MATCH($F35,Painel_diario!$A$2:$A$5037,0)))*100</f>
        <v/>
      </c>
      <c r="V35" s="9" t="inlineStr"/>
    </row>
    <row r="36">
      <c r="A36" s="9" t="n">
        <v>32</v>
      </c>
      <c r="B36" s="9" t="inlineStr">
        <is>
          <t>ED_JD</t>
        </is>
      </c>
      <c r="C36" s="9" t="inlineStr">
        <is>
          <t>Earnings Down / Juros Down</t>
        </is>
      </c>
      <c r="D36" s="9" t="inlineStr">
        <is>
          <t>Down</t>
        </is>
      </c>
      <c r="E36" s="9" t="inlineStr">
        <is>
          <t>Down</t>
        </is>
      </c>
      <c r="F36" s="17" t="n">
        <v>44992</v>
      </c>
      <c r="G36" s="17" t="n">
        <v>45048</v>
      </c>
      <c r="H36" s="17" t="n">
        <v>45048</v>
      </c>
      <c r="I36" s="17" t="n">
        <v>45044</v>
      </c>
      <c r="J36" s="11">
        <f>G36-F36</f>
        <v/>
      </c>
      <c r="K36" s="11">
        <f>COUNTIFS(Painel_diario!$A$2:$A$5037,"&gt;="&amp;$F36,Painel_diario!$A$2:$A$5037,"&lt;"&amp;$H36)</f>
        <v/>
      </c>
      <c r="L36" s="11">
        <f>COUNTIFS(Painel_diario!$A$2:$A$5037,"&gt;="&amp;$F36,Painel_diario!$A$2:$A$5037,"&lt;"&amp;$H36,Painel_diario!$J$2:$J$5037,1)</f>
        <v/>
      </c>
      <c r="M36" s="11">
        <f>COUNTIFS(Painel_diario!$A$2:$A$5037,"&gt;="&amp;$F36,Painel_diario!$A$2:$A$5037,"&lt;"&amp;$H36,Painel_diario!$K$2:$K$5037,1)</f>
        <v/>
      </c>
      <c r="N36" s="10">
        <f>EXP(SUMIFS(Painel_diario!$L$2:$L$5037,Painel_diario!$A$2:$A$5037,"&gt;="&amp;$F36,Painel_diario!$A$2:$A$5037,"&lt;"&amp;$H36))-1</f>
        <v/>
      </c>
      <c r="O36" s="10">
        <f>IF(L36=0,"",EXP(SUMIFS(Painel_diario!$L$2:$L$5037,Painel_diario!$A$2:$A$5037,"&gt;="&amp;$F36,Painel_diario!$A$2:$A$5037,"&lt;"&amp;$H36)*252/L36)-1)</f>
        <v/>
      </c>
      <c r="P36" s="10">
        <f>EXP(SUMIFS(Painel_diario!$N$2:$N$5037,Painel_diario!$A$2:$A$5037,"&gt;="&amp;$F36,Painel_diario!$A$2:$A$5037,"&lt;"&amp;$H36))-1</f>
        <v/>
      </c>
      <c r="Q36" s="10">
        <f>IF(M36=0,"",EXP(SUMIFS(Painel_diario!$N$2:$N$5037,Painel_diario!$A$2:$A$5037,"&gt;="&amp;$F36,Painel_diario!$A$2:$A$5037,"&lt;"&amp;$H36)*252/M36)-1)</f>
        <v/>
      </c>
      <c r="R36" s="10">
        <f>IF(L36=0,"",EXP(SUMIFS(Painel_diario!$P$2:$P$5037,Painel_diario!$A$2:$A$5037,"&gt;="&amp;$F36,Painel_diario!$A$2:$A$5037,"&lt;"&amp;$H36)*252/L36)-1)</f>
        <v/>
      </c>
      <c r="S36" s="10">
        <f>IF(L36=0,"",EXP((SUMIFS(Painel_diario!$L$2:$L$5037,Painel_diario!$A$2:$A$5037,"&gt;="&amp;$F36,Painel_diario!$A$2:$A$5037,"&lt;"&amp;$H36)-SUMIFS(Painel_diario!$P$2:$P$5037,Painel_diario!$A$2:$A$5037,"&gt;="&amp;$F36,Painel_diario!$A$2:$A$5037,"&lt;"&amp;$H36))*252/L36)-1)</f>
        <v/>
      </c>
      <c r="T36" s="10">
        <f>IF(L36=0,"",EXP(SUMIFS(Painel_diario!$Q$2:$Q$5037,Painel_diario!$A$2:$A$5037,"&gt;="&amp;$F36,Painel_diario!$A$2:$A$5037,"&lt;"&amp;$H36)*252/L36)-1)</f>
        <v/>
      </c>
      <c r="U36" s="11">
        <f>(INDEX(Painel_diario!$S$2:$S$5037,MATCH($I36,Painel_diario!$A$2:$A$5037,0))-INDEX(Painel_diario!$S$2:$S$5037,MATCH($F36,Painel_diario!$A$2:$A$5037,0)))*100</f>
        <v/>
      </c>
      <c r="V36" s="9" t="inlineStr"/>
    </row>
    <row r="37">
      <c r="A37" s="9" t="n">
        <v>33</v>
      </c>
      <c r="B37" s="9" t="inlineStr">
        <is>
          <t>EU_JD</t>
        </is>
      </c>
      <c r="C37" s="9" t="inlineStr">
        <is>
          <t>Earnings Up / Juros Down</t>
        </is>
      </c>
      <c r="D37" s="9" t="inlineStr">
        <is>
          <t>Up</t>
        </is>
      </c>
      <c r="E37" s="9" t="inlineStr">
        <is>
          <t>Down</t>
        </is>
      </c>
      <c r="F37" s="17" t="n">
        <v>45048</v>
      </c>
      <c r="G37" s="17" t="n">
        <v>45110</v>
      </c>
      <c r="H37" s="17" t="n">
        <v>45110</v>
      </c>
      <c r="I37" s="17" t="n">
        <v>45107</v>
      </c>
      <c r="J37" s="11">
        <f>G37-F37</f>
        <v/>
      </c>
      <c r="K37" s="11">
        <f>COUNTIFS(Painel_diario!$A$2:$A$5037,"&gt;="&amp;$F37,Painel_diario!$A$2:$A$5037,"&lt;"&amp;$H37)</f>
        <v/>
      </c>
      <c r="L37" s="11">
        <f>COUNTIFS(Painel_diario!$A$2:$A$5037,"&gt;="&amp;$F37,Painel_diario!$A$2:$A$5037,"&lt;"&amp;$H37,Painel_diario!$J$2:$J$5037,1)</f>
        <v/>
      </c>
      <c r="M37" s="11">
        <f>COUNTIFS(Painel_diario!$A$2:$A$5037,"&gt;="&amp;$F37,Painel_diario!$A$2:$A$5037,"&lt;"&amp;$H37,Painel_diario!$K$2:$K$5037,1)</f>
        <v/>
      </c>
      <c r="N37" s="10">
        <f>EXP(SUMIFS(Painel_diario!$L$2:$L$5037,Painel_diario!$A$2:$A$5037,"&gt;="&amp;$F37,Painel_diario!$A$2:$A$5037,"&lt;"&amp;$H37))-1</f>
        <v/>
      </c>
      <c r="O37" s="10">
        <f>IF(L37=0,"",EXP(SUMIFS(Painel_diario!$L$2:$L$5037,Painel_diario!$A$2:$A$5037,"&gt;="&amp;$F37,Painel_diario!$A$2:$A$5037,"&lt;"&amp;$H37)*252/L37)-1)</f>
        <v/>
      </c>
      <c r="P37" s="10">
        <f>EXP(SUMIFS(Painel_diario!$N$2:$N$5037,Painel_diario!$A$2:$A$5037,"&gt;="&amp;$F37,Painel_diario!$A$2:$A$5037,"&lt;"&amp;$H37))-1</f>
        <v/>
      </c>
      <c r="Q37" s="10">
        <f>IF(M37=0,"",EXP(SUMIFS(Painel_diario!$N$2:$N$5037,Painel_diario!$A$2:$A$5037,"&gt;="&amp;$F37,Painel_diario!$A$2:$A$5037,"&lt;"&amp;$H37)*252/M37)-1)</f>
        <v/>
      </c>
      <c r="R37" s="10">
        <f>IF(L37=0,"",EXP(SUMIFS(Painel_diario!$P$2:$P$5037,Painel_diario!$A$2:$A$5037,"&gt;="&amp;$F37,Painel_diario!$A$2:$A$5037,"&lt;"&amp;$H37)*252/L37)-1)</f>
        <v/>
      </c>
      <c r="S37" s="10">
        <f>IF(L37=0,"",EXP((SUMIFS(Painel_diario!$L$2:$L$5037,Painel_diario!$A$2:$A$5037,"&gt;="&amp;$F37,Painel_diario!$A$2:$A$5037,"&lt;"&amp;$H37)-SUMIFS(Painel_diario!$P$2:$P$5037,Painel_diario!$A$2:$A$5037,"&gt;="&amp;$F37,Painel_diario!$A$2:$A$5037,"&lt;"&amp;$H37))*252/L37)-1)</f>
        <v/>
      </c>
      <c r="T37" s="10">
        <f>IF(L37=0,"",EXP(SUMIFS(Painel_diario!$Q$2:$Q$5037,Painel_diario!$A$2:$A$5037,"&gt;="&amp;$F37,Painel_diario!$A$2:$A$5037,"&lt;"&amp;$H37)*252/L37)-1)</f>
        <v/>
      </c>
      <c r="U37" s="11">
        <f>(INDEX(Painel_diario!$S$2:$S$5037,MATCH($I37,Painel_diario!$A$2:$A$5037,0))-INDEX(Painel_diario!$S$2:$S$5037,MATCH($F37,Painel_diario!$A$2:$A$5037,0)))*100</f>
        <v/>
      </c>
      <c r="V37" s="9" t="inlineStr"/>
    </row>
    <row r="38">
      <c r="A38" s="9" t="n">
        <v>34</v>
      </c>
      <c r="B38" s="9" t="inlineStr">
        <is>
          <t>ED_JD</t>
        </is>
      </c>
      <c r="C38" s="9" t="inlineStr">
        <is>
          <t>Earnings Down / Juros Down</t>
        </is>
      </c>
      <c r="D38" s="9" t="inlineStr">
        <is>
          <t>Down</t>
        </is>
      </c>
      <c r="E38" s="9" t="inlineStr">
        <is>
          <t>Down</t>
        </is>
      </c>
      <c r="F38" s="17" t="n">
        <v>45110</v>
      </c>
      <c r="G38" s="17" t="n">
        <v>45231</v>
      </c>
      <c r="H38" s="17" t="n">
        <v>45231</v>
      </c>
      <c r="I38" s="17" t="n">
        <v>45230</v>
      </c>
      <c r="J38" s="11">
        <f>G38-F38</f>
        <v/>
      </c>
      <c r="K38" s="11">
        <f>COUNTIFS(Painel_diario!$A$2:$A$5037,"&gt;="&amp;$F38,Painel_diario!$A$2:$A$5037,"&lt;"&amp;$H38)</f>
        <v/>
      </c>
      <c r="L38" s="11">
        <f>COUNTIFS(Painel_diario!$A$2:$A$5037,"&gt;="&amp;$F38,Painel_diario!$A$2:$A$5037,"&lt;"&amp;$H38,Painel_diario!$J$2:$J$5037,1)</f>
        <v/>
      </c>
      <c r="M38" s="11">
        <f>COUNTIFS(Painel_diario!$A$2:$A$5037,"&gt;="&amp;$F38,Painel_diario!$A$2:$A$5037,"&lt;"&amp;$H38,Painel_diario!$K$2:$K$5037,1)</f>
        <v/>
      </c>
      <c r="N38" s="10">
        <f>EXP(SUMIFS(Painel_diario!$L$2:$L$5037,Painel_diario!$A$2:$A$5037,"&gt;="&amp;$F38,Painel_diario!$A$2:$A$5037,"&lt;"&amp;$H38))-1</f>
        <v/>
      </c>
      <c r="O38" s="10">
        <f>IF(L38=0,"",EXP(SUMIFS(Painel_diario!$L$2:$L$5037,Painel_diario!$A$2:$A$5037,"&gt;="&amp;$F38,Painel_diario!$A$2:$A$5037,"&lt;"&amp;$H38)*252/L38)-1)</f>
        <v/>
      </c>
      <c r="P38" s="10">
        <f>EXP(SUMIFS(Painel_diario!$N$2:$N$5037,Painel_diario!$A$2:$A$5037,"&gt;="&amp;$F38,Painel_diario!$A$2:$A$5037,"&lt;"&amp;$H38))-1</f>
        <v/>
      </c>
      <c r="Q38" s="10">
        <f>IF(M38=0,"",EXP(SUMIFS(Painel_diario!$N$2:$N$5037,Painel_diario!$A$2:$A$5037,"&gt;="&amp;$F38,Painel_diario!$A$2:$A$5037,"&lt;"&amp;$H38)*252/M38)-1)</f>
        <v/>
      </c>
      <c r="R38" s="10">
        <f>IF(L38=0,"",EXP(SUMIFS(Painel_diario!$P$2:$P$5037,Painel_diario!$A$2:$A$5037,"&gt;="&amp;$F38,Painel_diario!$A$2:$A$5037,"&lt;"&amp;$H38)*252/L38)-1)</f>
        <v/>
      </c>
      <c r="S38" s="10">
        <f>IF(L38=0,"",EXP((SUMIFS(Painel_diario!$L$2:$L$5037,Painel_diario!$A$2:$A$5037,"&gt;="&amp;$F38,Painel_diario!$A$2:$A$5037,"&lt;"&amp;$H38)-SUMIFS(Painel_diario!$P$2:$P$5037,Painel_diario!$A$2:$A$5037,"&gt;="&amp;$F38,Painel_diario!$A$2:$A$5037,"&lt;"&amp;$H38))*252/L38)-1)</f>
        <v/>
      </c>
      <c r="T38" s="10">
        <f>IF(L38=0,"",EXP(SUMIFS(Painel_diario!$Q$2:$Q$5037,Painel_diario!$A$2:$A$5037,"&gt;="&amp;$F38,Painel_diario!$A$2:$A$5037,"&lt;"&amp;$H38)*252/L38)-1)</f>
        <v/>
      </c>
      <c r="U38" s="11">
        <f>(INDEX(Painel_diario!$S$2:$S$5037,MATCH($I38,Painel_diario!$A$2:$A$5037,0))-INDEX(Painel_diario!$S$2:$S$5037,MATCH($F38,Painel_diario!$A$2:$A$5037,0)))*100</f>
        <v/>
      </c>
      <c r="V38" s="9" t="inlineStr"/>
    </row>
    <row r="39">
      <c r="A39" s="9" t="n">
        <v>35</v>
      </c>
      <c r="B39" s="9" t="inlineStr">
        <is>
          <t>EU_JD</t>
        </is>
      </c>
      <c r="C39" s="9" t="inlineStr">
        <is>
          <t>Earnings Up / Juros Down</t>
        </is>
      </c>
      <c r="D39" s="9" t="inlineStr">
        <is>
          <t>Up</t>
        </is>
      </c>
      <c r="E39" s="9" t="inlineStr">
        <is>
          <t>Down</t>
        </is>
      </c>
      <c r="F39" s="17" t="n">
        <v>45231</v>
      </c>
      <c r="G39" s="17" t="n">
        <v>45421</v>
      </c>
      <c r="H39" s="17" t="n">
        <v>45421</v>
      </c>
      <c r="I39" s="17" t="n">
        <v>45420</v>
      </c>
      <c r="J39" s="11">
        <f>G39-F39</f>
        <v/>
      </c>
      <c r="K39" s="11">
        <f>COUNTIFS(Painel_diario!$A$2:$A$5037,"&gt;="&amp;$F39,Painel_diario!$A$2:$A$5037,"&lt;"&amp;$H39)</f>
        <v/>
      </c>
      <c r="L39" s="11">
        <f>COUNTIFS(Painel_diario!$A$2:$A$5037,"&gt;="&amp;$F39,Painel_diario!$A$2:$A$5037,"&lt;"&amp;$H39,Painel_diario!$J$2:$J$5037,1)</f>
        <v/>
      </c>
      <c r="M39" s="11">
        <f>COUNTIFS(Painel_diario!$A$2:$A$5037,"&gt;="&amp;$F39,Painel_diario!$A$2:$A$5037,"&lt;"&amp;$H39,Painel_diario!$K$2:$K$5037,1)</f>
        <v/>
      </c>
      <c r="N39" s="10">
        <f>EXP(SUMIFS(Painel_diario!$L$2:$L$5037,Painel_diario!$A$2:$A$5037,"&gt;="&amp;$F39,Painel_diario!$A$2:$A$5037,"&lt;"&amp;$H39))-1</f>
        <v/>
      </c>
      <c r="O39" s="10">
        <f>IF(L39=0,"",EXP(SUMIFS(Painel_diario!$L$2:$L$5037,Painel_diario!$A$2:$A$5037,"&gt;="&amp;$F39,Painel_diario!$A$2:$A$5037,"&lt;"&amp;$H39)*252/L39)-1)</f>
        <v/>
      </c>
      <c r="P39" s="10">
        <f>EXP(SUMIFS(Painel_diario!$N$2:$N$5037,Painel_diario!$A$2:$A$5037,"&gt;="&amp;$F39,Painel_diario!$A$2:$A$5037,"&lt;"&amp;$H39))-1</f>
        <v/>
      </c>
      <c r="Q39" s="10">
        <f>IF(M39=0,"",EXP(SUMIFS(Painel_diario!$N$2:$N$5037,Painel_diario!$A$2:$A$5037,"&gt;="&amp;$F39,Painel_diario!$A$2:$A$5037,"&lt;"&amp;$H39)*252/M39)-1)</f>
        <v/>
      </c>
      <c r="R39" s="10">
        <f>IF(L39=0,"",EXP(SUMIFS(Painel_diario!$P$2:$P$5037,Painel_diario!$A$2:$A$5037,"&gt;="&amp;$F39,Painel_diario!$A$2:$A$5037,"&lt;"&amp;$H39)*252/L39)-1)</f>
        <v/>
      </c>
      <c r="S39" s="10">
        <f>IF(L39=0,"",EXP((SUMIFS(Painel_diario!$L$2:$L$5037,Painel_diario!$A$2:$A$5037,"&gt;="&amp;$F39,Painel_diario!$A$2:$A$5037,"&lt;"&amp;$H39)-SUMIFS(Painel_diario!$P$2:$P$5037,Painel_diario!$A$2:$A$5037,"&gt;="&amp;$F39,Painel_diario!$A$2:$A$5037,"&lt;"&amp;$H39))*252/L39)-1)</f>
        <v/>
      </c>
      <c r="T39" s="10">
        <f>IF(L39=0,"",EXP(SUMIFS(Painel_diario!$Q$2:$Q$5037,Painel_diario!$A$2:$A$5037,"&gt;="&amp;$F39,Painel_diario!$A$2:$A$5037,"&lt;"&amp;$H39)*252/L39)-1)</f>
        <v/>
      </c>
      <c r="U39" s="11">
        <f>(INDEX(Painel_diario!$S$2:$S$5037,MATCH($I39,Painel_diario!$A$2:$A$5037,0))-INDEX(Painel_diario!$S$2:$S$5037,MATCH($F39,Painel_diario!$A$2:$A$5037,0)))*100</f>
        <v/>
      </c>
      <c r="V39" s="9" t="inlineStr"/>
    </row>
    <row r="40">
      <c r="A40" s="9" t="n">
        <v>36</v>
      </c>
      <c r="B40" s="9" t="inlineStr">
        <is>
          <t>EU_JU</t>
        </is>
      </c>
      <c r="C40" s="9" t="inlineStr">
        <is>
          <t>Earnings Up / Juros Up</t>
        </is>
      </c>
      <c r="D40" s="9" t="inlineStr">
        <is>
          <t>Up</t>
        </is>
      </c>
      <c r="E40" s="9" t="inlineStr">
        <is>
          <t>Up</t>
        </is>
      </c>
      <c r="F40" s="17" t="n">
        <v>45421</v>
      </c>
      <c r="G40" s="17" t="n">
        <v>45597</v>
      </c>
      <c r="H40" s="17" t="n">
        <v>45597</v>
      </c>
      <c r="I40" s="17" t="n">
        <v>45596</v>
      </c>
      <c r="J40" s="11">
        <f>G40-F40</f>
        <v/>
      </c>
      <c r="K40" s="11">
        <f>COUNTIFS(Painel_diario!$A$2:$A$5037,"&gt;="&amp;$F40,Painel_diario!$A$2:$A$5037,"&lt;"&amp;$H40)</f>
        <v/>
      </c>
      <c r="L40" s="11">
        <f>COUNTIFS(Painel_diario!$A$2:$A$5037,"&gt;="&amp;$F40,Painel_diario!$A$2:$A$5037,"&lt;"&amp;$H40,Painel_diario!$J$2:$J$5037,1)</f>
        <v/>
      </c>
      <c r="M40" s="11">
        <f>COUNTIFS(Painel_diario!$A$2:$A$5037,"&gt;="&amp;$F40,Painel_diario!$A$2:$A$5037,"&lt;"&amp;$H40,Painel_diario!$K$2:$K$5037,1)</f>
        <v/>
      </c>
      <c r="N40" s="10">
        <f>EXP(SUMIFS(Painel_diario!$L$2:$L$5037,Painel_diario!$A$2:$A$5037,"&gt;="&amp;$F40,Painel_diario!$A$2:$A$5037,"&lt;"&amp;$H40))-1</f>
        <v/>
      </c>
      <c r="O40" s="10">
        <f>IF(L40=0,"",EXP(SUMIFS(Painel_diario!$L$2:$L$5037,Painel_diario!$A$2:$A$5037,"&gt;="&amp;$F40,Painel_diario!$A$2:$A$5037,"&lt;"&amp;$H40)*252/L40)-1)</f>
        <v/>
      </c>
      <c r="P40" s="10">
        <f>EXP(SUMIFS(Painel_diario!$N$2:$N$5037,Painel_diario!$A$2:$A$5037,"&gt;="&amp;$F40,Painel_diario!$A$2:$A$5037,"&lt;"&amp;$H40))-1</f>
        <v/>
      </c>
      <c r="Q40" s="10">
        <f>IF(M40=0,"",EXP(SUMIFS(Painel_diario!$N$2:$N$5037,Painel_diario!$A$2:$A$5037,"&gt;="&amp;$F40,Painel_diario!$A$2:$A$5037,"&lt;"&amp;$H40)*252/M40)-1)</f>
        <v/>
      </c>
      <c r="R40" s="10">
        <f>IF(L40=0,"",EXP(SUMIFS(Painel_diario!$P$2:$P$5037,Painel_diario!$A$2:$A$5037,"&gt;="&amp;$F40,Painel_diario!$A$2:$A$5037,"&lt;"&amp;$H40)*252/L40)-1)</f>
        <v/>
      </c>
      <c r="S40" s="10">
        <f>IF(L40=0,"",EXP((SUMIFS(Painel_diario!$L$2:$L$5037,Painel_diario!$A$2:$A$5037,"&gt;="&amp;$F40,Painel_diario!$A$2:$A$5037,"&lt;"&amp;$H40)-SUMIFS(Painel_diario!$P$2:$P$5037,Painel_diario!$A$2:$A$5037,"&gt;="&amp;$F40,Painel_diario!$A$2:$A$5037,"&lt;"&amp;$H40))*252/L40)-1)</f>
        <v/>
      </c>
      <c r="T40" s="10">
        <f>IF(L40=0,"",EXP(SUMIFS(Painel_diario!$Q$2:$Q$5037,Painel_diario!$A$2:$A$5037,"&gt;="&amp;$F40,Painel_diario!$A$2:$A$5037,"&lt;"&amp;$H40)*252/L40)-1)</f>
        <v/>
      </c>
      <c r="U40" s="11">
        <f>(INDEX(Painel_diario!$S$2:$S$5037,MATCH($I40,Painel_diario!$A$2:$A$5037,0))-INDEX(Painel_diario!$S$2:$S$5037,MATCH($F40,Painel_diario!$A$2:$A$5037,0)))*100</f>
        <v/>
      </c>
      <c r="V40" s="9" t="inlineStr"/>
    </row>
    <row r="41">
      <c r="A41" s="9" t="n">
        <v>37</v>
      </c>
      <c r="B41" s="9" t="inlineStr">
        <is>
          <t>ED_JU</t>
        </is>
      </c>
      <c r="C41" s="9" t="inlineStr">
        <is>
          <t>Earnings Down / Juros Up</t>
        </is>
      </c>
      <c r="D41" s="9" t="inlineStr">
        <is>
          <t>Down</t>
        </is>
      </c>
      <c r="E41" s="9" t="inlineStr">
        <is>
          <t>Up</t>
        </is>
      </c>
      <c r="F41" s="17" t="n">
        <v>45597</v>
      </c>
      <c r="G41" s="17" t="n">
        <v>45659</v>
      </c>
      <c r="H41" s="17" t="n">
        <v>45659</v>
      </c>
      <c r="I41" s="17" t="n">
        <v>45656</v>
      </c>
      <c r="J41" s="11">
        <f>G41-F41</f>
        <v/>
      </c>
      <c r="K41" s="11">
        <f>COUNTIFS(Painel_diario!$A$2:$A$5037,"&gt;="&amp;$F41,Painel_diario!$A$2:$A$5037,"&lt;"&amp;$H41)</f>
        <v/>
      </c>
      <c r="L41" s="11">
        <f>COUNTIFS(Painel_diario!$A$2:$A$5037,"&gt;="&amp;$F41,Painel_diario!$A$2:$A$5037,"&lt;"&amp;$H41,Painel_diario!$J$2:$J$5037,1)</f>
        <v/>
      </c>
      <c r="M41" s="11">
        <f>COUNTIFS(Painel_diario!$A$2:$A$5037,"&gt;="&amp;$F41,Painel_diario!$A$2:$A$5037,"&lt;"&amp;$H41,Painel_diario!$K$2:$K$5037,1)</f>
        <v/>
      </c>
      <c r="N41" s="10">
        <f>EXP(SUMIFS(Painel_diario!$L$2:$L$5037,Painel_diario!$A$2:$A$5037,"&gt;="&amp;$F41,Painel_diario!$A$2:$A$5037,"&lt;"&amp;$H41))-1</f>
        <v/>
      </c>
      <c r="O41" s="10">
        <f>IF(L41=0,"",EXP(SUMIFS(Painel_diario!$L$2:$L$5037,Painel_diario!$A$2:$A$5037,"&gt;="&amp;$F41,Painel_diario!$A$2:$A$5037,"&lt;"&amp;$H41)*252/L41)-1)</f>
        <v/>
      </c>
      <c r="P41" s="10">
        <f>EXP(SUMIFS(Painel_diario!$N$2:$N$5037,Painel_diario!$A$2:$A$5037,"&gt;="&amp;$F41,Painel_diario!$A$2:$A$5037,"&lt;"&amp;$H41))-1</f>
        <v/>
      </c>
      <c r="Q41" s="10">
        <f>IF(M41=0,"",EXP(SUMIFS(Painel_diario!$N$2:$N$5037,Painel_diario!$A$2:$A$5037,"&gt;="&amp;$F41,Painel_diario!$A$2:$A$5037,"&lt;"&amp;$H41)*252/M41)-1)</f>
        <v/>
      </c>
      <c r="R41" s="10">
        <f>IF(L41=0,"",EXP(SUMIFS(Painel_diario!$P$2:$P$5037,Painel_diario!$A$2:$A$5037,"&gt;="&amp;$F41,Painel_diario!$A$2:$A$5037,"&lt;"&amp;$H41)*252/L41)-1)</f>
        <v/>
      </c>
      <c r="S41" s="10">
        <f>IF(L41=0,"",EXP((SUMIFS(Painel_diario!$L$2:$L$5037,Painel_diario!$A$2:$A$5037,"&gt;="&amp;$F41,Painel_diario!$A$2:$A$5037,"&lt;"&amp;$H41)-SUMIFS(Painel_diario!$P$2:$P$5037,Painel_diario!$A$2:$A$5037,"&gt;="&amp;$F41,Painel_diario!$A$2:$A$5037,"&lt;"&amp;$H41))*252/L41)-1)</f>
        <v/>
      </c>
      <c r="T41" s="10">
        <f>IF(L41=0,"",EXP(SUMIFS(Painel_diario!$Q$2:$Q$5037,Painel_diario!$A$2:$A$5037,"&gt;="&amp;$F41,Painel_diario!$A$2:$A$5037,"&lt;"&amp;$H41)*252/L41)-1)</f>
        <v/>
      </c>
      <c r="U41" s="11">
        <f>(INDEX(Painel_diario!$S$2:$S$5037,MATCH($I41,Painel_diario!$A$2:$A$5037,0))-INDEX(Painel_diario!$S$2:$S$5037,MATCH($F41,Painel_diario!$A$2:$A$5037,0)))*100</f>
        <v/>
      </c>
      <c r="V41" s="9" t="inlineStr"/>
    </row>
    <row r="42">
      <c r="A42" s="9" t="n">
        <v>38</v>
      </c>
      <c r="B42" s="9" t="inlineStr">
        <is>
          <t>EU_JU</t>
        </is>
      </c>
      <c r="C42" s="9" t="inlineStr">
        <is>
          <t>Earnings Up / Juros Up</t>
        </is>
      </c>
      <c r="D42" s="9" t="inlineStr">
        <is>
          <t>Up</t>
        </is>
      </c>
      <c r="E42" s="9" t="inlineStr">
        <is>
          <t>Up</t>
        </is>
      </c>
      <c r="F42" s="17" t="n">
        <v>45659</v>
      </c>
      <c r="G42" s="17" t="n">
        <v>45784</v>
      </c>
      <c r="H42" s="17" t="n">
        <v>45784</v>
      </c>
      <c r="I42" s="17" t="n">
        <v>45783</v>
      </c>
      <c r="J42" s="11">
        <f>G42-F42</f>
        <v/>
      </c>
      <c r="K42" s="11">
        <f>COUNTIFS(Painel_diario!$A$2:$A$5037,"&gt;="&amp;$F42,Painel_diario!$A$2:$A$5037,"&lt;"&amp;$H42)</f>
        <v/>
      </c>
      <c r="L42" s="11">
        <f>COUNTIFS(Painel_diario!$A$2:$A$5037,"&gt;="&amp;$F42,Painel_diario!$A$2:$A$5037,"&lt;"&amp;$H42,Painel_diario!$J$2:$J$5037,1)</f>
        <v/>
      </c>
      <c r="M42" s="11">
        <f>COUNTIFS(Painel_diario!$A$2:$A$5037,"&gt;="&amp;$F42,Painel_diario!$A$2:$A$5037,"&lt;"&amp;$H42,Painel_diario!$K$2:$K$5037,1)</f>
        <v/>
      </c>
      <c r="N42" s="10">
        <f>EXP(SUMIFS(Painel_diario!$L$2:$L$5037,Painel_diario!$A$2:$A$5037,"&gt;="&amp;$F42,Painel_diario!$A$2:$A$5037,"&lt;"&amp;$H42))-1</f>
        <v/>
      </c>
      <c r="O42" s="10">
        <f>IF(L42=0,"",EXP(SUMIFS(Painel_diario!$L$2:$L$5037,Painel_diario!$A$2:$A$5037,"&gt;="&amp;$F42,Painel_diario!$A$2:$A$5037,"&lt;"&amp;$H42)*252/L42)-1)</f>
        <v/>
      </c>
      <c r="P42" s="10">
        <f>EXP(SUMIFS(Painel_diario!$N$2:$N$5037,Painel_diario!$A$2:$A$5037,"&gt;="&amp;$F42,Painel_diario!$A$2:$A$5037,"&lt;"&amp;$H42))-1</f>
        <v/>
      </c>
      <c r="Q42" s="10">
        <f>IF(M42=0,"",EXP(SUMIFS(Painel_diario!$N$2:$N$5037,Painel_diario!$A$2:$A$5037,"&gt;="&amp;$F42,Painel_diario!$A$2:$A$5037,"&lt;"&amp;$H42)*252/M42)-1)</f>
        <v/>
      </c>
      <c r="R42" s="10">
        <f>IF(L42=0,"",EXP(SUMIFS(Painel_diario!$P$2:$P$5037,Painel_diario!$A$2:$A$5037,"&gt;="&amp;$F42,Painel_diario!$A$2:$A$5037,"&lt;"&amp;$H42)*252/L42)-1)</f>
        <v/>
      </c>
      <c r="S42" s="10">
        <f>IF(L42=0,"",EXP((SUMIFS(Painel_diario!$L$2:$L$5037,Painel_diario!$A$2:$A$5037,"&gt;="&amp;$F42,Painel_diario!$A$2:$A$5037,"&lt;"&amp;$H42)-SUMIFS(Painel_diario!$P$2:$P$5037,Painel_diario!$A$2:$A$5037,"&gt;="&amp;$F42,Painel_diario!$A$2:$A$5037,"&lt;"&amp;$H42))*252/L42)-1)</f>
        <v/>
      </c>
      <c r="T42" s="10">
        <f>IF(L42=0,"",EXP(SUMIFS(Painel_diario!$Q$2:$Q$5037,Painel_diario!$A$2:$A$5037,"&gt;="&amp;$F42,Painel_diario!$A$2:$A$5037,"&lt;"&amp;$H42)*252/L42)-1)</f>
        <v/>
      </c>
      <c r="U42" s="11">
        <f>(INDEX(Painel_diario!$S$2:$S$5037,MATCH($I42,Painel_diario!$A$2:$A$5037,0))-INDEX(Painel_diario!$S$2:$S$5037,MATCH($F42,Painel_diario!$A$2:$A$5037,0)))*100</f>
        <v/>
      </c>
      <c r="V42" s="9" t="inlineStr"/>
    </row>
    <row r="43">
      <c r="A43" s="9" t="n">
        <v>39</v>
      </c>
      <c r="B43" s="9" t="inlineStr">
        <is>
          <t>EU_JD</t>
        </is>
      </c>
      <c r="C43" s="9" t="inlineStr">
        <is>
          <t>Earnings Up / Juros Down</t>
        </is>
      </c>
      <c r="D43" s="9" t="inlineStr">
        <is>
          <t>Up</t>
        </is>
      </c>
      <c r="E43" s="9" t="inlineStr">
        <is>
          <t>Down</t>
        </is>
      </c>
      <c r="F43" s="17" t="n">
        <v>45784</v>
      </c>
      <c r="G43" s="17" t="n">
        <v>45839</v>
      </c>
      <c r="H43" s="17" t="n">
        <v>45839</v>
      </c>
      <c r="I43" s="17" t="n">
        <v>45838</v>
      </c>
      <c r="J43" s="11">
        <f>G43-F43</f>
        <v/>
      </c>
      <c r="K43" s="11">
        <f>COUNTIFS(Painel_diario!$A$2:$A$5037,"&gt;="&amp;$F43,Painel_diario!$A$2:$A$5037,"&lt;"&amp;$H43)</f>
        <v/>
      </c>
      <c r="L43" s="11">
        <f>COUNTIFS(Painel_diario!$A$2:$A$5037,"&gt;="&amp;$F43,Painel_diario!$A$2:$A$5037,"&lt;"&amp;$H43,Painel_diario!$J$2:$J$5037,1)</f>
        <v/>
      </c>
      <c r="M43" s="11">
        <f>COUNTIFS(Painel_diario!$A$2:$A$5037,"&gt;="&amp;$F43,Painel_diario!$A$2:$A$5037,"&lt;"&amp;$H43,Painel_diario!$K$2:$K$5037,1)</f>
        <v/>
      </c>
      <c r="N43" s="10">
        <f>EXP(SUMIFS(Painel_diario!$L$2:$L$5037,Painel_diario!$A$2:$A$5037,"&gt;="&amp;$F43,Painel_diario!$A$2:$A$5037,"&lt;"&amp;$H43))-1</f>
        <v/>
      </c>
      <c r="O43" s="10">
        <f>IF(L43=0,"",EXP(SUMIFS(Painel_diario!$L$2:$L$5037,Painel_diario!$A$2:$A$5037,"&gt;="&amp;$F43,Painel_diario!$A$2:$A$5037,"&lt;"&amp;$H43)*252/L43)-1)</f>
        <v/>
      </c>
      <c r="P43" s="10">
        <f>EXP(SUMIFS(Painel_diario!$N$2:$N$5037,Painel_diario!$A$2:$A$5037,"&gt;="&amp;$F43,Painel_diario!$A$2:$A$5037,"&lt;"&amp;$H43))-1</f>
        <v/>
      </c>
      <c r="Q43" s="10">
        <f>IF(M43=0,"",EXP(SUMIFS(Painel_diario!$N$2:$N$5037,Painel_diario!$A$2:$A$5037,"&gt;="&amp;$F43,Painel_diario!$A$2:$A$5037,"&lt;"&amp;$H43)*252/M43)-1)</f>
        <v/>
      </c>
      <c r="R43" s="10">
        <f>IF(L43=0,"",EXP(SUMIFS(Painel_diario!$P$2:$P$5037,Painel_diario!$A$2:$A$5037,"&gt;="&amp;$F43,Painel_diario!$A$2:$A$5037,"&lt;"&amp;$H43)*252/L43)-1)</f>
        <v/>
      </c>
      <c r="S43" s="10">
        <f>IF(L43=0,"",EXP((SUMIFS(Painel_diario!$L$2:$L$5037,Painel_diario!$A$2:$A$5037,"&gt;="&amp;$F43,Painel_diario!$A$2:$A$5037,"&lt;"&amp;$H43)-SUMIFS(Painel_diario!$P$2:$P$5037,Painel_diario!$A$2:$A$5037,"&gt;="&amp;$F43,Painel_diario!$A$2:$A$5037,"&lt;"&amp;$H43))*252/L43)-1)</f>
        <v/>
      </c>
      <c r="T43" s="10">
        <f>IF(L43=0,"",EXP(SUMIFS(Painel_diario!$Q$2:$Q$5037,Painel_diario!$A$2:$A$5037,"&gt;="&amp;$F43,Painel_diario!$A$2:$A$5037,"&lt;"&amp;$H43)*252/L43)-1)</f>
        <v/>
      </c>
      <c r="U43" s="11">
        <f>(INDEX(Painel_diario!$S$2:$S$5037,MATCH($I43,Painel_diario!$A$2:$A$5037,0))-INDEX(Painel_diario!$S$2:$S$5037,MATCH($F43,Painel_diario!$A$2:$A$5037,0)))*100</f>
        <v/>
      </c>
      <c r="V43" s="9" t="inlineStr"/>
    </row>
    <row r="44">
      <c r="A44" s="9" t="n">
        <v>40</v>
      </c>
      <c r="B44" s="9" t="inlineStr">
        <is>
          <t>ED_JD</t>
        </is>
      </c>
      <c r="C44" s="9" t="inlineStr">
        <is>
          <t>Earnings Down / Juros Down</t>
        </is>
      </c>
      <c r="D44" s="9" t="inlineStr">
        <is>
          <t>Down</t>
        </is>
      </c>
      <c r="E44" s="9" t="inlineStr">
        <is>
          <t>Down</t>
        </is>
      </c>
      <c r="F44" s="17" t="n">
        <v>45839</v>
      </c>
      <c r="G44" s="17" t="n">
        <v>45992</v>
      </c>
      <c r="H44" s="17" t="n">
        <v>45992</v>
      </c>
      <c r="I44" s="17" t="n">
        <v>45989</v>
      </c>
      <c r="J44" s="11">
        <f>G44-F44</f>
        <v/>
      </c>
      <c r="K44" s="11">
        <f>COUNTIFS(Painel_diario!$A$2:$A$5037,"&gt;="&amp;$F44,Painel_diario!$A$2:$A$5037,"&lt;"&amp;$H44)</f>
        <v/>
      </c>
      <c r="L44" s="11">
        <f>COUNTIFS(Painel_diario!$A$2:$A$5037,"&gt;="&amp;$F44,Painel_diario!$A$2:$A$5037,"&lt;"&amp;$H44,Painel_diario!$J$2:$J$5037,1)</f>
        <v/>
      </c>
      <c r="M44" s="11">
        <f>COUNTIFS(Painel_diario!$A$2:$A$5037,"&gt;="&amp;$F44,Painel_diario!$A$2:$A$5037,"&lt;"&amp;$H44,Painel_diario!$K$2:$K$5037,1)</f>
        <v/>
      </c>
      <c r="N44" s="10">
        <f>EXP(SUMIFS(Painel_diario!$L$2:$L$5037,Painel_diario!$A$2:$A$5037,"&gt;="&amp;$F44,Painel_diario!$A$2:$A$5037,"&lt;"&amp;$H44))-1</f>
        <v/>
      </c>
      <c r="O44" s="10">
        <f>IF(L44=0,"",EXP(SUMIFS(Painel_diario!$L$2:$L$5037,Painel_diario!$A$2:$A$5037,"&gt;="&amp;$F44,Painel_diario!$A$2:$A$5037,"&lt;"&amp;$H44)*252/L44)-1)</f>
        <v/>
      </c>
      <c r="P44" s="10">
        <f>EXP(SUMIFS(Painel_diario!$N$2:$N$5037,Painel_diario!$A$2:$A$5037,"&gt;="&amp;$F44,Painel_diario!$A$2:$A$5037,"&lt;"&amp;$H44))-1</f>
        <v/>
      </c>
      <c r="Q44" s="10">
        <f>IF(M44=0,"",EXP(SUMIFS(Painel_diario!$N$2:$N$5037,Painel_diario!$A$2:$A$5037,"&gt;="&amp;$F44,Painel_diario!$A$2:$A$5037,"&lt;"&amp;$H44)*252/M44)-1)</f>
        <v/>
      </c>
      <c r="R44" s="10">
        <f>IF(L44=0,"",EXP(SUMIFS(Painel_diario!$P$2:$P$5037,Painel_diario!$A$2:$A$5037,"&gt;="&amp;$F44,Painel_diario!$A$2:$A$5037,"&lt;"&amp;$H44)*252/L44)-1)</f>
        <v/>
      </c>
      <c r="S44" s="10">
        <f>IF(L44=0,"",EXP((SUMIFS(Painel_diario!$L$2:$L$5037,Painel_diario!$A$2:$A$5037,"&gt;="&amp;$F44,Painel_diario!$A$2:$A$5037,"&lt;"&amp;$H44)-SUMIFS(Painel_diario!$P$2:$P$5037,Painel_diario!$A$2:$A$5037,"&gt;="&amp;$F44,Painel_diario!$A$2:$A$5037,"&lt;"&amp;$H44))*252/L44)-1)</f>
        <v/>
      </c>
      <c r="T44" s="10">
        <f>IF(L44=0,"",EXP(SUMIFS(Painel_diario!$Q$2:$Q$5037,Painel_diario!$A$2:$A$5037,"&gt;="&amp;$F44,Painel_diario!$A$2:$A$5037,"&lt;"&amp;$H44)*252/L44)-1)</f>
        <v/>
      </c>
      <c r="U44" s="11">
        <f>(INDEX(Painel_diario!$S$2:$S$5037,MATCH($I44,Painel_diario!$A$2:$A$5037,0))-INDEX(Painel_diario!$S$2:$S$5037,MATCH($F44,Painel_diario!$A$2:$A$5037,0)))*100</f>
        <v/>
      </c>
      <c r="V44" s="9" t="inlineStr"/>
    </row>
    <row r="45">
      <c r="A45" s="9" t="n">
        <v>41</v>
      </c>
      <c r="B45" s="9" t="inlineStr">
        <is>
          <t>EU_JD</t>
        </is>
      </c>
      <c r="C45" s="9" t="inlineStr">
        <is>
          <t>Earnings Up / Juros Down</t>
        </is>
      </c>
      <c r="D45" s="9" t="inlineStr">
        <is>
          <t>Up</t>
        </is>
      </c>
      <c r="E45" s="9" t="inlineStr">
        <is>
          <t>Down</t>
        </is>
      </c>
      <c r="F45" s="17" t="n">
        <v>45992</v>
      </c>
      <c r="G45" s="17" t="n">
        <v>46246</v>
      </c>
      <c r="H45" s="17" t="n">
        <v>46247</v>
      </c>
      <c r="I45" s="17" t="n">
        <v>46246</v>
      </c>
      <c r="J45" s="11">
        <f>G45-F45</f>
        <v/>
      </c>
      <c r="K45" s="11">
        <f>COUNTIFS(Painel_diario!$A$2:$A$5037,"&gt;="&amp;$F45,Painel_diario!$A$2:$A$5037,"&lt;"&amp;$H45)</f>
        <v/>
      </c>
      <c r="L45" s="11">
        <f>COUNTIFS(Painel_diario!$A$2:$A$5037,"&gt;="&amp;$F45,Painel_diario!$A$2:$A$5037,"&lt;"&amp;$H45,Painel_diario!$J$2:$J$5037,1)</f>
        <v/>
      </c>
      <c r="M45" s="11">
        <f>COUNTIFS(Painel_diario!$A$2:$A$5037,"&gt;="&amp;$F45,Painel_diario!$A$2:$A$5037,"&lt;"&amp;$H45,Painel_diario!$K$2:$K$5037,1)</f>
        <v/>
      </c>
      <c r="N45" s="10">
        <f>EXP(SUMIFS(Painel_diario!$L$2:$L$5037,Painel_diario!$A$2:$A$5037,"&gt;="&amp;$F45,Painel_diario!$A$2:$A$5037,"&lt;"&amp;$H45))-1</f>
        <v/>
      </c>
      <c r="O45" s="10">
        <f>IF(L45=0,"",EXP(SUMIFS(Painel_diario!$L$2:$L$5037,Painel_diario!$A$2:$A$5037,"&gt;="&amp;$F45,Painel_diario!$A$2:$A$5037,"&lt;"&amp;$H45)*252/L45)-1)</f>
        <v/>
      </c>
      <c r="P45" s="10">
        <f>EXP(SUMIFS(Painel_diario!$N$2:$N$5037,Painel_diario!$A$2:$A$5037,"&gt;="&amp;$F45,Painel_diario!$A$2:$A$5037,"&lt;"&amp;$H45))-1</f>
        <v/>
      </c>
      <c r="Q45" s="10">
        <f>IF(M45=0,"",EXP(SUMIFS(Painel_diario!$N$2:$N$5037,Painel_diario!$A$2:$A$5037,"&gt;="&amp;$F45,Painel_diario!$A$2:$A$5037,"&lt;"&amp;$H45)*252/M45)-1)</f>
        <v/>
      </c>
      <c r="R45" s="10">
        <f>IF(L45=0,"",EXP(SUMIFS(Painel_diario!$P$2:$P$5037,Painel_diario!$A$2:$A$5037,"&gt;="&amp;$F45,Painel_diario!$A$2:$A$5037,"&lt;"&amp;$H45)*252/L45)-1)</f>
        <v/>
      </c>
      <c r="S45" s="10">
        <f>IF(L45=0,"",EXP((SUMIFS(Painel_diario!$L$2:$L$5037,Painel_diario!$A$2:$A$5037,"&gt;="&amp;$F45,Painel_diario!$A$2:$A$5037,"&lt;"&amp;$H45)-SUMIFS(Painel_diario!$P$2:$P$5037,Painel_diario!$A$2:$A$5037,"&gt;="&amp;$F45,Painel_diario!$A$2:$A$5037,"&lt;"&amp;$H45))*252/L45)-1)</f>
        <v/>
      </c>
      <c r="T45" s="10">
        <f>IF(L45=0,"",EXP(SUMIFS(Painel_diario!$Q$2:$Q$5037,Painel_diario!$A$2:$A$5037,"&gt;="&amp;$F45,Painel_diario!$A$2:$A$5037,"&lt;"&amp;$H45)*252/L45)-1)</f>
        <v/>
      </c>
      <c r="U45" s="11">
        <f>(INDEX(Painel_diario!$S$2:$S$5037,MATCH($I45,Painel_diario!$A$2:$A$5037,0))-INDEX(Painel_diario!$S$2:$S$5037,MATCH($F45,Painel_diario!$A$2:$A$5037,0)))*100</f>
        <v/>
      </c>
      <c r="V45" s="9" t="inlineStr">
        <is>
          <t>Sim</t>
        </is>
      </c>
    </row>
    <row r="47">
      <c r="A47" s="6" t="inlineStr">
        <is>
          <t>Retorno anualizado usa capitalizacao log com 252 pregoes. O real desconta o IPCA do mes alocado por intervalo. USDBRL positivo = real se desvalorizando.</t>
        </is>
      </c>
    </row>
    <row r="48">
      <c r="A48" s="6" t="inlineStr">
        <is>
          <t>Swap 360d (bps) = variacao do nivel da taxa entre o primeiro e o ultimo pregao do episodio.</t>
        </is>
      </c>
    </row>
    <row r="49">
      <c r="A49" s="6" t="inlineStr">
        <is>
          <t>O episodio corrente termina em 12/08/2026 e nao tem IPCA de agosto, por isso os intervalos com IPCA sao menores que os intervalos totais.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5" customWidth="1" min="5" max="5"/>
    <col width="18" customWidth="1" min="6" max="6"/>
  </cols>
  <sheetData>
    <row r="1">
      <c r="A1" s="7" t="inlineStr">
        <is>
          <t>Episodios por quadrante</t>
        </is>
      </c>
    </row>
    <row r="2">
      <c r="A2" s="6" t="inlineStr">
        <is>
          <t>Mesmo formato das tabelas do report da XP: primeiro sinal, fim e duracao, com o desempenho do Ibovespa em cada janela.</t>
        </is>
      </c>
    </row>
    <row r="4">
      <c r="A4" s="5" t="inlineStr">
        <is>
          <t>Earnings Up / Juros Down</t>
        </is>
      </c>
    </row>
    <row r="5">
      <c r="A5" s="8" t="inlineStr">
        <is>
          <t>Primeiro sinal</t>
        </is>
      </c>
      <c r="B5" s="8" t="inlineStr">
        <is>
          <t>Fim</t>
        </is>
      </c>
      <c r="C5" s="8" t="inlineStr">
        <is>
          <t>Duracao (dias)</t>
        </is>
      </c>
      <c r="D5" s="8" t="inlineStr">
        <is>
          <t>Ibov total nominal</t>
        </is>
      </c>
      <c r="E5" s="8" t="inlineStr">
        <is>
          <t>Ibov anual real</t>
        </is>
      </c>
      <c r="F5" s="8" t="inlineStr">
        <is>
          <t>Ibov anual sobre CDI</t>
        </is>
      </c>
    </row>
    <row r="6">
      <c r="A6" s="17">
        <f>Episodios!F5</f>
        <v/>
      </c>
      <c r="B6" s="17">
        <f>IF(Episodios!V5="Sim","Atual",Episodios!G5)</f>
        <v/>
      </c>
      <c r="C6" s="11">
        <f>Episodios!J5</f>
        <v/>
      </c>
      <c r="D6" s="10">
        <f>Episodios!N5</f>
        <v/>
      </c>
      <c r="E6" s="10">
        <f>Episodios!Q5</f>
        <v/>
      </c>
      <c r="F6" s="10">
        <f>Episodios!S5</f>
        <v/>
      </c>
    </row>
    <row r="7">
      <c r="A7" s="17">
        <f>Episodios!F7</f>
        <v/>
      </c>
      <c r="B7" s="17">
        <f>IF(Episodios!V7="Sim","Atual",Episodios!G7)</f>
        <v/>
      </c>
      <c r="C7" s="11">
        <f>Episodios!J7</f>
        <v/>
      </c>
      <c r="D7" s="10">
        <f>Episodios!N7</f>
        <v/>
      </c>
      <c r="E7" s="10">
        <f>Episodios!Q7</f>
        <v/>
      </c>
      <c r="F7" s="10">
        <f>Episodios!S7</f>
        <v/>
      </c>
    </row>
    <row r="8">
      <c r="A8" s="17">
        <f>Episodios!F11</f>
        <v/>
      </c>
      <c r="B8" s="17">
        <f>IF(Episodios!V11="Sim","Atual",Episodios!G11)</f>
        <v/>
      </c>
      <c r="C8" s="11">
        <f>Episodios!J11</f>
        <v/>
      </c>
      <c r="D8" s="10">
        <f>Episodios!N11</f>
        <v/>
      </c>
      <c r="E8" s="10">
        <f>Episodios!Q11</f>
        <v/>
      </c>
      <c r="F8" s="10">
        <f>Episodios!S11</f>
        <v/>
      </c>
    </row>
    <row r="9">
      <c r="A9" s="17">
        <f>Episodios!F13</f>
        <v/>
      </c>
      <c r="B9" s="17">
        <f>IF(Episodios!V13="Sim","Atual",Episodios!G13)</f>
        <v/>
      </c>
      <c r="C9" s="11">
        <f>Episodios!J13</f>
        <v/>
      </c>
      <c r="D9" s="10">
        <f>Episodios!N13</f>
        <v/>
      </c>
      <c r="E9" s="10">
        <f>Episodios!Q13</f>
        <v/>
      </c>
      <c r="F9" s="10">
        <f>Episodios!S13</f>
        <v/>
      </c>
    </row>
    <row r="10">
      <c r="A10" s="17">
        <f>Episodios!F25</f>
        <v/>
      </c>
      <c r="B10" s="17">
        <f>IF(Episodios!V25="Sim","Atual",Episodios!G25)</f>
        <v/>
      </c>
      <c r="C10" s="11">
        <f>Episodios!J25</f>
        <v/>
      </c>
      <c r="D10" s="10">
        <f>Episodios!N25</f>
        <v/>
      </c>
      <c r="E10" s="10">
        <f>Episodios!Q25</f>
        <v/>
      </c>
      <c r="F10" s="10">
        <f>Episodios!S25</f>
        <v/>
      </c>
    </row>
    <row r="11">
      <c r="A11" s="17">
        <f>Episodios!F27</f>
        <v/>
      </c>
      <c r="B11" s="17">
        <f>IF(Episodios!V27="Sim","Atual",Episodios!G27)</f>
        <v/>
      </c>
      <c r="C11" s="11">
        <f>Episodios!J27</f>
        <v/>
      </c>
      <c r="D11" s="10">
        <f>Episodios!N27</f>
        <v/>
      </c>
      <c r="E11" s="10">
        <f>Episodios!Q27</f>
        <v/>
      </c>
      <c r="F11" s="10">
        <f>Episodios!S27</f>
        <v/>
      </c>
    </row>
    <row r="12">
      <c r="A12" s="17">
        <f>Episodios!F29</f>
        <v/>
      </c>
      <c r="B12" s="17">
        <f>IF(Episodios!V29="Sim","Atual",Episodios!G29)</f>
        <v/>
      </c>
      <c r="C12" s="11">
        <f>Episodios!J29</f>
        <v/>
      </c>
      <c r="D12" s="10">
        <f>Episodios!N29</f>
        <v/>
      </c>
      <c r="E12" s="10">
        <f>Episodios!Q29</f>
        <v/>
      </c>
      <c r="F12" s="10">
        <f>Episodios!S29</f>
        <v/>
      </c>
    </row>
    <row r="13">
      <c r="A13" s="17">
        <f>Episodios!F31</f>
        <v/>
      </c>
      <c r="B13" s="17">
        <f>IF(Episodios!V31="Sim","Atual",Episodios!G31)</f>
        <v/>
      </c>
      <c r="C13" s="11">
        <f>Episodios!J31</f>
        <v/>
      </c>
      <c r="D13" s="10">
        <f>Episodios!N31</f>
        <v/>
      </c>
      <c r="E13" s="10">
        <f>Episodios!Q31</f>
        <v/>
      </c>
      <c r="F13" s="10">
        <f>Episodios!S31</f>
        <v/>
      </c>
    </row>
    <row r="14">
      <c r="A14" s="17">
        <f>Episodios!F37</f>
        <v/>
      </c>
      <c r="B14" s="17">
        <f>IF(Episodios!V37="Sim","Atual",Episodios!G37)</f>
        <v/>
      </c>
      <c r="C14" s="11">
        <f>Episodios!J37</f>
        <v/>
      </c>
      <c r="D14" s="10">
        <f>Episodios!N37</f>
        <v/>
      </c>
      <c r="E14" s="10">
        <f>Episodios!Q37</f>
        <v/>
      </c>
      <c r="F14" s="10">
        <f>Episodios!S37</f>
        <v/>
      </c>
    </row>
    <row r="15">
      <c r="A15" s="17">
        <f>Episodios!F39</f>
        <v/>
      </c>
      <c r="B15" s="17">
        <f>IF(Episodios!V39="Sim","Atual",Episodios!G39)</f>
        <v/>
      </c>
      <c r="C15" s="11">
        <f>Episodios!J39</f>
        <v/>
      </c>
      <c r="D15" s="10">
        <f>Episodios!N39</f>
        <v/>
      </c>
      <c r="E15" s="10">
        <f>Episodios!Q39</f>
        <v/>
      </c>
      <c r="F15" s="10">
        <f>Episodios!S39</f>
        <v/>
      </c>
    </row>
    <row r="16">
      <c r="A16" s="17">
        <f>Episodios!F43</f>
        <v/>
      </c>
      <c r="B16" s="17">
        <f>IF(Episodios!V43="Sim","Atual",Episodios!G43)</f>
        <v/>
      </c>
      <c r="C16" s="11">
        <f>Episodios!J43</f>
        <v/>
      </c>
      <c r="D16" s="10">
        <f>Episodios!N43</f>
        <v/>
      </c>
      <c r="E16" s="10">
        <f>Episodios!Q43</f>
        <v/>
      </c>
      <c r="F16" s="10">
        <f>Episodios!S43</f>
        <v/>
      </c>
    </row>
    <row r="17">
      <c r="A17" s="17">
        <f>Episodios!F45</f>
        <v/>
      </c>
      <c r="B17" s="17">
        <f>IF(Episodios!V45="Sim","Atual",Episodios!G45)</f>
        <v/>
      </c>
      <c r="C17" s="11">
        <f>Episodios!J45</f>
        <v/>
      </c>
      <c r="D17" s="10">
        <f>Episodios!N45</f>
        <v/>
      </c>
      <c r="E17" s="10">
        <f>Episodios!Q45</f>
        <v/>
      </c>
      <c r="F17" s="10">
        <f>Episodios!S45</f>
        <v/>
      </c>
    </row>
    <row r="18">
      <c r="A18" s="3" t="inlineStr">
        <is>
          <t>Mediana</t>
        </is>
      </c>
      <c r="C18" s="18">
        <f>MEDIAN(C6:C17)</f>
        <v/>
      </c>
      <c r="E18" s="19">
        <f>MEDIAN(E6:E17)</f>
        <v/>
      </c>
    </row>
    <row r="19">
      <c r="A19" s="3" t="inlineStr">
        <is>
          <t>Media ponderada por dias</t>
        </is>
      </c>
      <c r="E19" s="19">
        <f>Resumo_regimes!I5</f>
        <v/>
      </c>
      <c r="F19" s="19">
        <f>Resumo_regimes!J5</f>
        <v/>
      </c>
    </row>
    <row r="20">
      <c r="A20" s="3" t="inlineStr">
        <is>
          <t>Taxa de acerto (episodios com retorno real positivo)</t>
        </is>
      </c>
      <c r="E20" s="19">
        <f>Resumo_regimes!M5</f>
        <v/>
      </c>
    </row>
    <row r="23">
      <c r="A23" s="5" t="inlineStr">
        <is>
          <t>Earnings Up / Juros Up</t>
        </is>
      </c>
    </row>
    <row r="24">
      <c r="A24" s="8" t="inlineStr">
        <is>
          <t>Primeiro sinal</t>
        </is>
      </c>
      <c r="B24" s="8" t="inlineStr">
        <is>
          <t>Fim</t>
        </is>
      </c>
      <c r="C24" s="8" t="inlineStr">
        <is>
          <t>Duracao (dias)</t>
        </is>
      </c>
      <c r="D24" s="8" t="inlineStr">
        <is>
          <t>Ibov total nominal</t>
        </is>
      </c>
      <c r="E24" s="8" t="inlineStr">
        <is>
          <t>Ibov anual real</t>
        </is>
      </c>
      <c r="F24" s="8" t="inlineStr">
        <is>
          <t>Ibov anual sobre CDI</t>
        </is>
      </c>
    </row>
    <row r="25">
      <c r="A25" s="17">
        <f>Episodios!F8</f>
        <v/>
      </c>
      <c r="B25" s="17">
        <f>IF(Episodios!V8="Sim","Atual",Episodios!G8)</f>
        <v/>
      </c>
      <c r="C25" s="11">
        <f>Episodios!J8</f>
        <v/>
      </c>
      <c r="D25" s="10">
        <f>Episodios!N8</f>
        <v/>
      </c>
      <c r="E25" s="10">
        <f>Episodios!Q8</f>
        <v/>
      </c>
      <c r="F25" s="10">
        <f>Episodios!S8</f>
        <v/>
      </c>
    </row>
    <row r="26">
      <c r="A26" s="17">
        <f>Episodios!F10</f>
        <v/>
      </c>
      <c r="B26" s="17">
        <f>IF(Episodios!V10="Sim","Atual",Episodios!G10)</f>
        <v/>
      </c>
      <c r="C26" s="11">
        <f>Episodios!J10</f>
        <v/>
      </c>
      <c r="D26" s="10">
        <f>Episodios!N10</f>
        <v/>
      </c>
      <c r="E26" s="10">
        <f>Episodios!Q10</f>
        <v/>
      </c>
      <c r="F26" s="10">
        <f>Episodios!S10</f>
        <v/>
      </c>
    </row>
    <row r="27">
      <c r="A27" s="17">
        <f>Episodios!F14</f>
        <v/>
      </c>
      <c r="B27" s="17">
        <f>IF(Episodios!V14="Sim","Atual",Episodios!G14)</f>
        <v/>
      </c>
      <c r="C27" s="11">
        <f>Episodios!J14</f>
        <v/>
      </c>
      <c r="D27" s="10">
        <f>Episodios!N14</f>
        <v/>
      </c>
      <c r="E27" s="10">
        <f>Episodios!Q14</f>
        <v/>
      </c>
      <c r="F27" s="10">
        <f>Episodios!S14</f>
        <v/>
      </c>
    </row>
    <row r="28">
      <c r="A28" s="17">
        <f>Episodios!F16</f>
        <v/>
      </c>
      <c r="B28" s="17">
        <f>IF(Episodios!V16="Sim","Atual",Episodios!G16)</f>
        <v/>
      </c>
      <c r="C28" s="11">
        <f>Episodios!J16</f>
        <v/>
      </c>
      <c r="D28" s="10">
        <f>Episodios!N16</f>
        <v/>
      </c>
      <c r="E28" s="10">
        <f>Episodios!Q16</f>
        <v/>
      </c>
      <c r="F28" s="10">
        <f>Episodios!S16</f>
        <v/>
      </c>
    </row>
    <row r="29">
      <c r="A29" s="17">
        <f>Episodios!F20</f>
        <v/>
      </c>
      <c r="B29" s="17">
        <f>IF(Episodios!V20="Sim","Atual",Episodios!G20)</f>
        <v/>
      </c>
      <c r="C29" s="11">
        <f>Episodios!J20</f>
        <v/>
      </c>
      <c r="D29" s="10">
        <f>Episodios!N20</f>
        <v/>
      </c>
      <c r="E29" s="10">
        <f>Episodios!Q20</f>
        <v/>
      </c>
      <c r="F29" s="10">
        <f>Episodios!S20</f>
        <v/>
      </c>
    </row>
    <row r="30">
      <c r="A30" s="17">
        <f>Episodios!F22</f>
        <v/>
      </c>
      <c r="B30" s="17">
        <f>IF(Episodios!V22="Sim","Atual",Episodios!G22)</f>
        <v/>
      </c>
      <c r="C30" s="11">
        <f>Episodios!J22</f>
        <v/>
      </c>
      <c r="D30" s="10">
        <f>Episodios!N22</f>
        <v/>
      </c>
      <c r="E30" s="10">
        <f>Episodios!Q22</f>
        <v/>
      </c>
      <c r="F30" s="10">
        <f>Episodios!S22</f>
        <v/>
      </c>
    </row>
    <row r="31">
      <c r="A31" s="17">
        <f>Episodios!F28</f>
        <v/>
      </c>
      <c r="B31" s="17">
        <f>IF(Episodios!V28="Sim","Atual",Episodios!G28)</f>
        <v/>
      </c>
      <c r="C31" s="11">
        <f>Episodios!J28</f>
        <v/>
      </c>
      <c r="D31" s="10">
        <f>Episodios!N28</f>
        <v/>
      </c>
      <c r="E31" s="10">
        <f>Episodios!Q28</f>
        <v/>
      </c>
      <c r="F31" s="10">
        <f>Episodios!S28</f>
        <v/>
      </c>
    </row>
    <row r="32">
      <c r="A32" s="17">
        <f>Episodios!F32</f>
        <v/>
      </c>
      <c r="B32" s="17">
        <f>IF(Episodios!V32="Sim","Atual",Episodios!G32)</f>
        <v/>
      </c>
      <c r="C32" s="11">
        <f>Episodios!J32</f>
        <v/>
      </c>
      <c r="D32" s="10">
        <f>Episodios!N32</f>
        <v/>
      </c>
      <c r="E32" s="10">
        <f>Episodios!Q32</f>
        <v/>
      </c>
      <c r="F32" s="10">
        <f>Episodios!S32</f>
        <v/>
      </c>
    </row>
    <row r="33">
      <c r="A33" s="17">
        <f>Episodios!F34</f>
        <v/>
      </c>
      <c r="B33" s="17">
        <f>IF(Episodios!V34="Sim","Atual",Episodios!G34)</f>
        <v/>
      </c>
      <c r="C33" s="11">
        <f>Episodios!J34</f>
        <v/>
      </c>
      <c r="D33" s="10">
        <f>Episodios!N34</f>
        <v/>
      </c>
      <c r="E33" s="10">
        <f>Episodios!Q34</f>
        <v/>
      </c>
      <c r="F33" s="10">
        <f>Episodios!S34</f>
        <v/>
      </c>
    </row>
    <row r="34">
      <c r="A34" s="17">
        <f>Episodios!F40</f>
        <v/>
      </c>
      <c r="B34" s="17">
        <f>IF(Episodios!V40="Sim","Atual",Episodios!G40)</f>
        <v/>
      </c>
      <c r="C34" s="11">
        <f>Episodios!J40</f>
        <v/>
      </c>
      <c r="D34" s="10">
        <f>Episodios!N40</f>
        <v/>
      </c>
      <c r="E34" s="10">
        <f>Episodios!Q40</f>
        <v/>
      </c>
      <c r="F34" s="10">
        <f>Episodios!S40</f>
        <v/>
      </c>
    </row>
    <row r="35">
      <c r="A35" s="17">
        <f>Episodios!F42</f>
        <v/>
      </c>
      <c r="B35" s="17">
        <f>IF(Episodios!V42="Sim","Atual",Episodios!G42)</f>
        <v/>
      </c>
      <c r="C35" s="11">
        <f>Episodios!J42</f>
        <v/>
      </c>
      <c r="D35" s="10">
        <f>Episodios!N42</f>
        <v/>
      </c>
      <c r="E35" s="10">
        <f>Episodios!Q42</f>
        <v/>
      </c>
      <c r="F35" s="10">
        <f>Episodios!S42</f>
        <v/>
      </c>
    </row>
    <row r="36">
      <c r="A36" s="3" t="inlineStr">
        <is>
          <t>Mediana</t>
        </is>
      </c>
      <c r="C36" s="18">
        <f>MEDIAN(C25:C35)</f>
        <v/>
      </c>
      <c r="E36" s="19">
        <f>MEDIAN(E25:E35)</f>
        <v/>
      </c>
    </row>
    <row r="37">
      <c r="A37" s="3" t="inlineStr">
        <is>
          <t>Media ponderada por dias</t>
        </is>
      </c>
      <c r="E37" s="19">
        <f>Resumo_regimes!I6</f>
        <v/>
      </c>
      <c r="F37" s="19">
        <f>Resumo_regimes!J6</f>
        <v/>
      </c>
    </row>
    <row r="38">
      <c r="A38" s="3" t="inlineStr">
        <is>
          <t>Taxa de acerto (episodios com retorno real positivo)</t>
        </is>
      </c>
      <c r="E38" s="19">
        <f>Resumo_regimes!M6</f>
        <v/>
      </c>
    </row>
    <row r="41">
      <c r="A41" s="5" t="inlineStr">
        <is>
          <t>Earnings Down / Juros Down</t>
        </is>
      </c>
    </row>
    <row r="42">
      <c r="A42" s="8" t="inlineStr">
        <is>
          <t>Primeiro sinal</t>
        </is>
      </c>
      <c r="B42" s="8" t="inlineStr">
        <is>
          <t>Fim</t>
        </is>
      </c>
      <c r="C42" s="8" t="inlineStr">
        <is>
          <t>Duracao (dias)</t>
        </is>
      </c>
      <c r="D42" s="8" t="inlineStr">
        <is>
          <t>Ibov total nominal</t>
        </is>
      </c>
      <c r="E42" s="8" t="inlineStr">
        <is>
          <t>Ibov anual real</t>
        </is>
      </c>
      <c r="F42" s="8" t="inlineStr">
        <is>
          <t>Ibov anual sobre CDI</t>
        </is>
      </c>
    </row>
    <row r="43">
      <c r="A43" s="17">
        <f>Episodios!F6</f>
        <v/>
      </c>
      <c r="B43" s="17">
        <f>IF(Episodios!V6="Sim","Atual",Episodios!G6)</f>
        <v/>
      </c>
      <c r="C43" s="11">
        <f>Episodios!J6</f>
        <v/>
      </c>
      <c r="D43" s="10">
        <f>Episodios!N6</f>
        <v/>
      </c>
      <c r="E43" s="10">
        <f>Episodios!Q6</f>
        <v/>
      </c>
      <c r="F43" s="10">
        <f>Episodios!S6</f>
        <v/>
      </c>
    </row>
    <row r="44">
      <c r="A44" s="17">
        <f>Episodios!F12</f>
        <v/>
      </c>
      <c r="B44" s="17">
        <f>IF(Episodios!V12="Sim","Atual",Episodios!G12)</f>
        <v/>
      </c>
      <c r="C44" s="11">
        <f>Episodios!J12</f>
        <v/>
      </c>
      <c r="D44" s="10">
        <f>Episodios!N12</f>
        <v/>
      </c>
      <c r="E44" s="10">
        <f>Episodios!Q12</f>
        <v/>
      </c>
      <c r="F44" s="10">
        <f>Episodios!S12</f>
        <v/>
      </c>
    </row>
    <row r="45">
      <c r="A45" s="17">
        <f>Episodios!F18</f>
        <v/>
      </c>
      <c r="B45" s="17">
        <f>IF(Episodios!V18="Sim","Atual",Episodios!G18)</f>
        <v/>
      </c>
      <c r="C45" s="11">
        <f>Episodios!J18</f>
        <v/>
      </c>
      <c r="D45" s="10">
        <f>Episodios!N18</f>
        <v/>
      </c>
      <c r="E45" s="10">
        <f>Episodios!Q18</f>
        <v/>
      </c>
      <c r="F45" s="10">
        <f>Episodios!S18</f>
        <v/>
      </c>
    </row>
    <row r="46">
      <c r="A46" s="17">
        <f>Episodios!F24</f>
        <v/>
      </c>
      <c r="B46" s="17">
        <f>IF(Episodios!V24="Sim","Atual",Episodios!G24)</f>
        <v/>
      </c>
      <c r="C46" s="11">
        <f>Episodios!J24</f>
        <v/>
      </c>
      <c r="D46" s="10">
        <f>Episodios!N24</f>
        <v/>
      </c>
      <c r="E46" s="10">
        <f>Episodios!Q24</f>
        <v/>
      </c>
      <c r="F46" s="10">
        <f>Episodios!S24</f>
        <v/>
      </c>
    </row>
    <row r="47">
      <c r="A47" s="17">
        <f>Episodios!F26</f>
        <v/>
      </c>
      <c r="B47" s="17">
        <f>IF(Episodios!V26="Sim","Atual",Episodios!G26)</f>
        <v/>
      </c>
      <c r="C47" s="11">
        <f>Episodios!J26</f>
        <v/>
      </c>
      <c r="D47" s="10">
        <f>Episodios!N26</f>
        <v/>
      </c>
      <c r="E47" s="10">
        <f>Episodios!Q26</f>
        <v/>
      </c>
      <c r="F47" s="10">
        <f>Episodios!S26</f>
        <v/>
      </c>
    </row>
    <row r="48">
      <c r="A48" s="17">
        <f>Episodios!F30</f>
        <v/>
      </c>
      <c r="B48" s="17">
        <f>IF(Episodios!V30="Sim","Atual",Episodios!G30)</f>
        <v/>
      </c>
      <c r="C48" s="11">
        <f>Episodios!J30</f>
        <v/>
      </c>
      <c r="D48" s="10">
        <f>Episodios!N30</f>
        <v/>
      </c>
      <c r="E48" s="10">
        <f>Episodios!Q30</f>
        <v/>
      </c>
      <c r="F48" s="10">
        <f>Episodios!S30</f>
        <v/>
      </c>
    </row>
    <row r="49">
      <c r="A49" s="17">
        <f>Episodios!F36</f>
        <v/>
      </c>
      <c r="B49" s="17">
        <f>IF(Episodios!V36="Sim","Atual",Episodios!G36)</f>
        <v/>
      </c>
      <c r="C49" s="11">
        <f>Episodios!J36</f>
        <v/>
      </c>
      <c r="D49" s="10">
        <f>Episodios!N36</f>
        <v/>
      </c>
      <c r="E49" s="10">
        <f>Episodios!Q36</f>
        <v/>
      </c>
      <c r="F49" s="10">
        <f>Episodios!S36</f>
        <v/>
      </c>
    </row>
    <row r="50">
      <c r="A50" s="17">
        <f>Episodios!F38</f>
        <v/>
      </c>
      <c r="B50" s="17">
        <f>IF(Episodios!V38="Sim","Atual",Episodios!G38)</f>
        <v/>
      </c>
      <c r="C50" s="11">
        <f>Episodios!J38</f>
        <v/>
      </c>
      <c r="D50" s="10">
        <f>Episodios!N38</f>
        <v/>
      </c>
      <c r="E50" s="10">
        <f>Episodios!Q38</f>
        <v/>
      </c>
      <c r="F50" s="10">
        <f>Episodios!S38</f>
        <v/>
      </c>
    </row>
    <row r="51">
      <c r="A51" s="17">
        <f>Episodios!F44</f>
        <v/>
      </c>
      <c r="B51" s="17">
        <f>IF(Episodios!V44="Sim","Atual",Episodios!G44)</f>
        <v/>
      </c>
      <c r="C51" s="11">
        <f>Episodios!J44</f>
        <v/>
      </c>
      <c r="D51" s="10">
        <f>Episodios!N44</f>
        <v/>
      </c>
      <c r="E51" s="10">
        <f>Episodios!Q44</f>
        <v/>
      </c>
      <c r="F51" s="10">
        <f>Episodios!S44</f>
        <v/>
      </c>
    </row>
    <row r="52">
      <c r="A52" s="3" t="inlineStr">
        <is>
          <t>Mediana</t>
        </is>
      </c>
      <c r="C52" s="18">
        <f>MEDIAN(C43:C51)</f>
        <v/>
      </c>
      <c r="E52" s="19">
        <f>MEDIAN(E43:E51)</f>
        <v/>
      </c>
    </row>
    <row r="53">
      <c r="A53" s="3" t="inlineStr">
        <is>
          <t>Media ponderada por dias</t>
        </is>
      </c>
      <c r="E53" s="19">
        <f>Resumo_regimes!I7</f>
        <v/>
      </c>
      <c r="F53" s="19">
        <f>Resumo_regimes!J7</f>
        <v/>
      </c>
    </row>
    <row r="54">
      <c r="A54" s="3" t="inlineStr">
        <is>
          <t>Taxa de acerto (episodios com retorno real positivo)</t>
        </is>
      </c>
      <c r="E54" s="19">
        <f>Resumo_regimes!M7</f>
        <v/>
      </c>
    </row>
    <row r="57">
      <c r="A57" s="5" t="inlineStr">
        <is>
          <t>Earnings Down / Juros Up</t>
        </is>
      </c>
    </row>
    <row r="58">
      <c r="A58" s="8" t="inlineStr">
        <is>
          <t>Primeiro sinal</t>
        </is>
      </c>
      <c r="B58" s="8" t="inlineStr">
        <is>
          <t>Fim</t>
        </is>
      </c>
      <c r="C58" s="8" t="inlineStr">
        <is>
          <t>Duracao (dias)</t>
        </is>
      </c>
      <c r="D58" s="8" t="inlineStr">
        <is>
          <t>Ibov total nominal</t>
        </is>
      </c>
      <c r="E58" s="8" t="inlineStr">
        <is>
          <t>Ibov anual real</t>
        </is>
      </c>
      <c r="F58" s="8" t="inlineStr">
        <is>
          <t>Ibov anual sobre CDI</t>
        </is>
      </c>
    </row>
    <row r="59">
      <c r="A59" s="17">
        <f>Episodios!F9</f>
        <v/>
      </c>
      <c r="B59" s="17">
        <f>IF(Episodios!V9="Sim","Atual",Episodios!G9)</f>
        <v/>
      </c>
      <c r="C59" s="11">
        <f>Episodios!J9</f>
        <v/>
      </c>
      <c r="D59" s="10">
        <f>Episodios!N9</f>
        <v/>
      </c>
      <c r="E59" s="10">
        <f>Episodios!Q9</f>
        <v/>
      </c>
      <c r="F59" s="10">
        <f>Episodios!S9</f>
        <v/>
      </c>
    </row>
    <row r="60">
      <c r="A60" s="17">
        <f>Episodios!F15</f>
        <v/>
      </c>
      <c r="B60" s="17">
        <f>IF(Episodios!V15="Sim","Atual",Episodios!G15)</f>
        <v/>
      </c>
      <c r="C60" s="11">
        <f>Episodios!J15</f>
        <v/>
      </c>
      <c r="D60" s="10">
        <f>Episodios!N15</f>
        <v/>
      </c>
      <c r="E60" s="10">
        <f>Episodios!Q15</f>
        <v/>
      </c>
      <c r="F60" s="10">
        <f>Episodios!S15</f>
        <v/>
      </c>
    </row>
    <row r="61">
      <c r="A61" s="17">
        <f>Episodios!F17</f>
        <v/>
      </c>
      <c r="B61" s="17">
        <f>IF(Episodios!V17="Sim","Atual",Episodios!G17)</f>
        <v/>
      </c>
      <c r="C61" s="11">
        <f>Episodios!J17</f>
        <v/>
      </c>
      <c r="D61" s="10">
        <f>Episodios!N17</f>
        <v/>
      </c>
      <c r="E61" s="10">
        <f>Episodios!Q17</f>
        <v/>
      </c>
      <c r="F61" s="10">
        <f>Episodios!S17</f>
        <v/>
      </c>
    </row>
    <row r="62">
      <c r="A62" s="17">
        <f>Episodios!F19</f>
        <v/>
      </c>
      <c r="B62" s="17">
        <f>IF(Episodios!V19="Sim","Atual",Episodios!G19)</f>
        <v/>
      </c>
      <c r="C62" s="11">
        <f>Episodios!J19</f>
        <v/>
      </c>
      <c r="D62" s="10">
        <f>Episodios!N19</f>
        <v/>
      </c>
      <c r="E62" s="10">
        <f>Episodios!Q19</f>
        <v/>
      </c>
      <c r="F62" s="10">
        <f>Episodios!S19</f>
        <v/>
      </c>
    </row>
    <row r="63">
      <c r="A63" s="17">
        <f>Episodios!F21</f>
        <v/>
      </c>
      <c r="B63" s="17">
        <f>IF(Episodios!V21="Sim","Atual",Episodios!G21)</f>
        <v/>
      </c>
      <c r="C63" s="11">
        <f>Episodios!J21</f>
        <v/>
      </c>
      <c r="D63" s="10">
        <f>Episodios!N21</f>
        <v/>
      </c>
      <c r="E63" s="10">
        <f>Episodios!Q21</f>
        <v/>
      </c>
      <c r="F63" s="10">
        <f>Episodios!S21</f>
        <v/>
      </c>
    </row>
    <row r="64">
      <c r="A64" s="17">
        <f>Episodios!F23</f>
        <v/>
      </c>
      <c r="B64" s="17">
        <f>IF(Episodios!V23="Sim","Atual",Episodios!G23)</f>
        <v/>
      </c>
      <c r="C64" s="11">
        <f>Episodios!J23</f>
        <v/>
      </c>
      <c r="D64" s="10">
        <f>Episodios!N23</f>
        <v/>
      </c>
      <c r="E64" s="10">
        <f>Episodios!Q23</f>
        <v/>
      </c>
      <c r="F64" s="10">
        <f>Episodios!S23</f>
        <v/>
      </c>
    </row>
    <row r="65">
      <c r="A65" s="17">
        <f>Episodios!F33</f>
        <v/>
      </c>
      <c r="B65" s="17">
        <f>IF(Episodios!V33="Sim","Atual",Episodios!G33)</f>
        <v/>
      </c>
      <c r="C65" s="11">
        <f>Episodios!J33</f>
        <v/>
      </c>
      <c r="D65" s="10">
        <f>Episodios!N33</f>
        <v/>
      </c>
      <c r="E65" s="10">
        <f>Episodios!Q33</f>
        <v/>
      </c>
      <c r="F65" s="10">
        <f>Episodios!S33</f>
        <v/>
      </c>
    </row>
    <row r="66">
      <c r="A66" s="17">
        <f>Episodios!F35</f>
        <v/>
      </c>
      <c r="B66" s="17">
        <f>IF(Episodios!V35="Sim","Atual",Episodios!G35)</f>
        <v/>
      </c>
      <c r="C66" s="11">
        <f>Episodios!J35</f>
        <v/>
      </c>
      <c r="D66" s="10">
        <f>Episodios!N35</f>
        <v/>
      </c>
      <c r="E66" s="10">
        <f>Episodios!Q35</f>
        <v/>
      </c>
      <c r="F66" s="10">
        <f>Episodios!S35</f>
        <v/>
      </c>
    </row>
    <row r="67">
      <c r="A67" s="17">
        <f>Episodios!F41</f>
        <v/>
      </c>
      <c r="B67" s="17">
        <f>IF(Episodios!V41="Sim","Atual",Episodios!G41)</f>
        <v/>
      </c>
      <c r="C67" s="11">
        <f>Episodios!J41</f>
        <v/>
      </c>
      <c r="D67" s="10">
        <f>Episodios!N41</f>
        <v/>
      </c>
      <c r="E67" s="10">
        <f>Episodios!Q41</f>
        <v/>
      </c>
      <c r="F67" s="10">
        <f>Episodios!S41</f>
        <v/>
      </c>
    </row>
    <row r="68">
      <c r="A68" s="3" t="inlineStr">
        <is>
          <t>Mediana</t>
        </is>
      </c>
      <c r="C68" s="18">
        <f>MEDIAN(C59:C67)</f>
        <v/>
      </c>
      <c r="E68" s="19">
        <f>MEDIAN(E59:E67)</f>
        <v/>
      </c>
    </row>
    <row r="69">
      <c r="A69" s="3" t="inlineStr">
        <is>
          <t>Media ponderada por dias</t>
        </is>
      </c>
      <c r="E69" s="19">
        <f>Resumo_regimes!I8</f>
        <v/>
      </c>
      <c r="F69" s="19">
        <f>Resumo_regimes!J8</f>
        <v/>
      </c>
    </row>
    <row r="70">
      <c r="A70" s="3" t="inlineStr">
        <is>
          <t>Taxa de acerto (episodios com retorno real positivo)</t>
        </is>
      </c>
      <c r="E70" s="19">
        <f>Resumo_regimes!M8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  <col width="13" customWidth="1" min="12" max="12"/>
    <col width="14" customWidth="1" min="13" max="13"/>
    <col width="13" customWidth="1" min="14" max="14"/>
    <col width="13" customWidth="1" min="15" max="15"/>
  </cols>
  <sheetData>
    <row r="1">
      <c r="A1" s="7" t="inlineStr">
        <is>
          <t>Desempenho de classes de ativos em cada episodio</t>
        </is>
      </c>
    </row>
    <row r="2">
      <c r="A2" s="6" t="inlineStr">
        <is>
          <t>Formato da tabela do report da XP. Nao ha SMLL, IMA-B nem cestas de fatores nos dados do projeto, entao as linhas disponiveis sao Ibovespa, CDI, USDBRL e o nivel do swap.</t>
        </is>
      </c>
    </row>
    <row r="4">
      <c r="A4" s="5" t="inlineStr">
        <is>
          <t>Earnings Up / Juros Down</t>
        </is>
      </c>
    </row>
    <row r="5">
      <c r="A5" s="20" t="inlineStr">
        <is>
          <t>Inicio</t>
        </is>
      </c>
      <c r="B5" s="21">
        <f>Episodios!F5</f>
        <v/>
      </c>
      <c r="C5" s="21">
        <f>Episodios!F7</f>
        <v/>
      </c>
      <c r="D5" s="21">
        <f>Episodios!F11</f>
        <v/>
      </c>
      <c r="E5" s="21">
        <f>Episodios!F13</f>
        <v/>
      </c>
      <c r="F5" s="21">
        <f>Episodios!F25</f>
        <v/>
      </c>
      <c r="G5" s="21">
        <f>Episodios!F27</f>
        <v/>
      </c>
      <c r="H5" s="21">
        <f>Episodios!F29</f>
        <v/>
      </c>
      <c r="I5" s="21">
        <f>Episodios!F31</f>
        <v/>
      </c>
      <c r="J5" s="21">
        <f>Episodios!F37</f>
        <v/>
      </c>
      <c r="K5" s="21">
        <f>Episodios!F39</f>
        <v/>
      </c>
      <c r="L5" s="21">
        <f>Episodios!F43</f>
        <v/>
      </c>
      <c r="M5" s="21">
        <f>Episodios!F45</f>
        <v/>
      </c>
      <c r="N5" s="20" t="inlineStr">
        <is>
          <t>Media ponderada</t>
        </is>
      </c>
      <c r="O5" s="20" t="inlineStr">
        <is>
          <t>Taxa de acerto</t>
        </is>
      </c>
    </row>
    <row r="6">
      <c r="A6" s="20" t="inlineStr">
        <is>
          <t>Fim</t>
        </is>
      </c>
      <c r="B6" s="21">
        <f>IF(Episodios!V5="Sim","Atual",Episodios!G5)</f>
        <v/>
      </c>
      <c r="C6" s="21">
        <f>IF(Episodios!V7="Sim","Atual",Episodios!G7)</f>
        <v/>
      </c>
      <c r="D6" s="21">
        <f>IF(Episodios!V11="Sim","Atual",Episodios!G11)</f>
        <v/>
      </c>
      <c r="E6" s="21">
        <f>IF(Episodios!V13="Sim","Atual",Episodios!G13)</f>
        <v/>
      </c>
      <c r="F6" s="21">
        <f>IF(Episodios!V25="Sim","Atual",Episodios!G25)</f>
        <v/>
      </c>
      <c r="G6" s="21">
        <f>IF(Episodios!V27="Sim","Atual",Episodios!G27)</f>
        <v/>
      </c>
      <c r="H6" s="21">
        <f>IF(Episodios!V29="Sim","Atual",Episodios!G29)</f>
        <v/>
      </c>
      <c r="I6" s="21">
        <f>IF(Episodios!V31="Sim","Atual",Episodios!G31)</f>
        <v/>
      </c>
      <c r="J6" s="21">
        <f>IF(Episodios!V37="Sim","Atual",Episodios!G37)</f>
        <v/>
      </c>
      <c r="K6" s="21">
        <f>IF(Episodios!V39="Sim","Atual",Episodios!G39)</f>
        <v/>
      </c>
      <c r="L6" s="21">
        <f>IF(Episodios!V43="Sim","Atual",Episodios!G43)</f>
        <v/>
      </c>
      <c r="M6" s="21">
        <f>IF(Episodios!V45="Sim","Atual",Episodios!G45)</f>
        <v/>
      </c>
    </row>
    <row r="7">
      <c r="A7" s="20" t="inlineStr">
        <is>
          <t>Duracao (dias)</t>
        </is>
      </c>
      <c r="B7" s="18">
        <f>Episodios!J5</f>
        <v/>
      </c>
      <c r="C7" s="18">
        <f>Episodios!J7</f>
        <v/>
      </c>
      <c r="D7" s="18">
        <f>Episodios!J11</f>
        <v/>
      </c>
      <c r="E7" s="18">
        <f>Episodios!J13</f>
        <v/>
      </c>
      <c r="F7" s="18">
        <f>Episodios!J25</f>
        <v/>
      </c>
      <c r="G7" s="18">
        <f>Episodios!J27</f>
        <v/>
      </c>
      <c r="H7" s="18">
        <f>Episodios!J29</f>
        <v/>
      </c>
      <c r="I7" s="18">
        <f>Episodios!J31</f>
        <v/>
      </c>
      <c r="J7" s="18">
        <f>Episodios!J37</f>
        <v/>
      </c>
      <c r="K7" s="18">
        <f>Episodios!J39</f>
        <v/>
      </c>
      <c r="L7" s="18">
        <f>Episodios!J43</f>
        <v/>
      </c>
      <c r="M7" s="18">
        <f>Episodios!J45</f>
        <v/>
      </c>
    </row>
    <row r="8">
      <c r="A8" s="9" t="inlineStr">
        <is>
          <t>Ibovespa nominal anualizado</t>
        </is>
      </c>
      <c r="B8" s="10">
        <f>Episodios!O5</f>
        <v/>
      </c>
      <c r="C8" s="10">
        <f>Episodios!O7</f>
        <v/>
      </c>
      <c r="D8" s="10">
        <f>Episodios!O11</f>
        <v/>
      </c>
      <c r="E8" s="10">
        <f>Episodios!O13</f>
        <v/>
      </c>
      <c r="F8" s="10">
        <f>Episodios!O25</f>
        <v/>
      </c>
      <c r="G8" s="10">
        <f>Episodios!O27</f>
        <v/>
      </c>
      <c r="H8" s="10">
        <f>Episodios!O29</f>
        <v/>
      </c>
      <c r="I8" s="10">
        <f>Episodios!O31</f>
        <v/>
      </c>
      <c r="J8" s="10">
        <f>Episodios!O37</f>
        <v/>
      </c>
      <c r="K8" s="10">
        <f>Episodios!O39</f>
        <v/>
      </c>
      <c r="L8" s="10">
        <f>Episodios!O43</f>
        <v/>
      </c>
      <c r="M8" s="10">
        <f>Episodios!O45</f>
        <v/>
      </c>
      <c r="N8" s="22">
        <f>Resumo_regimes!H5</f>
        <v/>
      </c>
      <c r="O8" s="22">
        <f>COUNTIF(B8:M8,"&gt;0")/COUNT(B8:M8)</f>
        <v/>
      </c>
    </row>
    <row r="9">
      <c r="A9" s="9" t="inlineStr">
        <is>
          <t>Ibovespa real anualizado</t>
        </is>
      </c>
      <c r="B9" s="10">
        <f>Episodios!Q5</f>
        <v/>
      </c>
      <c r="C9" s="10">
        <f>Episodios!Q7</f>
        <v/>
      </c>
      <c r="D9" s="10">
        <f>Episodios!Q11</f>
        <v/>
      </c>
      <c r="E9" s="10">
        <f>Episodios!Q13</f>
        <v/>
      </c>
      <c r="F9" s="10">
        <f>Episodios!Q25</f>
        <v/>
      </c>
      <c r="G9" s="10">
        <f>Episodios!Q27</f>
        <v/>
      </c>
      <c r="H9" s="10">
        <f>Episodios!Q29</f>
        <v/>
      </c>
      <c r="I9" s="10">
        <f>Episodios!Q31</f>
        <v/>
      </c>
      <c r="J9" s="10">
        <f>Episodios!Q37</f>
        <v/>
      </c>
      <c r="K9" s="10">
        <f>Episodios!Q39</f>
        <v/>
      </c>
      <c r="L9" s="10">
        <f>Episodios!Q43</f>
        <v/>
      </c>
      <c r="M9" s="10">
        <f>Episodios!Q45</f>
        <v/>
      </c>
      <c r="N9" s="22">
        <f>Resumo_regimes!I5</f>
        <v/>
      </c>
      <c r="O9" s="22">
        <f>COUNTIF(B9:M9,"&gt;0")/COUNT(B9:M9)</f>
        <v/>
      </c>
    </row>
    <row r="10">
      <c r="A10" s="9" t="inlineStr">
        <is>
          <t>Ibovespa sobre o CDI, anualizado</t>
        </is>
      </c>
      <c r="B10" s="10">
        <f>Episodios!S5</f>
        <v/>
      </c>
      <c r="C10" s="10">
        <f>Episodios!S7</f>
        <v/>
      </c>
      <c r="D10" s="10">
        <f>Episodios!S11</f>
        <v/>
      </c>
      <c r="E10" s="10">
        <f>Episodios!S13</f>
        <v/>
      </c>
      <c r="F10" s="10">
        <f>Episodios!S25</f>
        <v/>
      </c>
      <c r="G10" s="10">
        <f>Episodios!S27</f>
        <v/>
      </c>
      <c r="H10" s="10">
        <f>Episodios!S29</f>
        <v/>
      </c>
      <c r="I10" s="10">
        <f>Episodios!S31</f>
        <v/>
      </c>
      <c r="J10" s="10">
        <f>Episodios!S37</f>
        <v/>
      </c>
      <c r="K10" s="10">
        <f>Episodios!S39</f>
        <v/>
      </c>
      <c r="L10" s="10">
        <f>Episodios!S43</f>
        <v/>
      </c>
      <c r="M10" s="10">
        <f>Episodios!S45</f>
        <v/>
      </c>
      <c r="N10" s="22">
        <f>Resumo_regimes!J5</f>
        <v/>
      </c>
      <c r="O10" s="22">
        <f>COUNTIF(B10:M10,"&gt;0")/COUNT(B10:M10)</f>
        <v/>
      </c>
    </row>
    <row r="11">
      <c r="A11" s="9" t="inlineStr">
        <is>
          <t>CDI anualizado</t>
        </is>
      </c>
      <c r="B11" s="10">
        <f>Episodios!R5</f>
        <v/>
      </c>
      <c r="C11" s="10">
        <f>Episodios!R7</f>
        <v/>
      </c>
      <c r="D11" s="10">
        <f>Episodios!R11</f>
        <v/>
      </c>
      <c r="E11" s="10">
        <f>Episodios!R13</f>
        <v/>
      </c>
      <c r="F11" s="10">
        <f>Episodios!R25</f>
        <v/>
      </c>
      <c r="G11" s="10">
        <f>Episodios!R27</f>
        <v/>
      </c>
      <c r="H11" s="10">
        <f>Episodios!R29</f>
        <v/>
      </c>
      <c r="I11" s="10">
        <f>Episodios!R31</f>
        <v/>
      </c>
      <c r="J11" s="10">
        <f>Episodios!R37</f>
        <v/>
      </c>
      <c r="K11" s="10">
        <f>Episodios!R39</f>
        <v/>
      </c>
      <c r="L11" s="10">
        <f>Episodios!R43</f>
        <v/>
      </c>
      <c r="M11" s="10">
        <f>Episodios!R45</f>
        <v/>
      </c>
      <c r="N11" s="22">
        <f>SUMPRODUCT(B11:M11,$B$7:$M$7)/SUM($B$7:$M$7)</f>
        <v/>
      </c>
      <c r="O11" s="22">
        <f>COUNTIF(B11:M11,"&gt;0")/COUNT(B11:M11)</f>
        <v/>
      </c>
    </row>
    <row r="12">
      <c r="A12" s="9" t="inlineStr">
        <is>
          <t>USDBRL anualizado</t>
        </is>
      </c>
      <c r="B12" s="10">
        <f>Episodios!T5</f>
        <v/>
      </c>
      <c r="C12" s="10">
        <f>Episodios!T7</f>
        <v/>
      </c>
      <c r="D12" s="10">
        <f>Episodios!T11</f>
        <v/>
      </c>
      <c r="E12" s="10">
        <f>Episodios!T13</f>
        <v/>
      </c>
      <c r="F12" s="10">
        <f>Episodios!T25</f>
        <v/>
      </c>
      <c r="G12" s="10">
        <f>Episodios!T27</f>
        <v/>
      </c>
      <c r="H12" s="10">
        <f>Episodios!T29</f>
        <v/>
      </c>
      <c r="I12" s="10">
        <f>Episodios!T31</f>
        <v/>
      </c>
      <c r="J12" s="10">
        <f>Episodios!T37</f>
        <v/>
      </c>
      <c r="K12" s="10">
        <f>Episodios!T39</f>
        <v/>
      </c>
      <c r="L12" s="10">
        <f>Episodios!T43</f>
        <v/>
      </c>
      <c r="M12" s="10">
        <f>Episodios!T45</f>
        <v/>
      </c>
      <c r="N12" s="22">
        <f>SUMPRODUCT(B12:M12,$B$7:$M$7)/SUM($B$7:$M$7)</f>
        <v/>
      </c>
      <c r="O12" s="22">
        <f>COUNTIF(B12:M12,"&gt;0")/COUNT(B12:M12)</f>
        <v/>
      </c>
    </row>
    <row r="13">
      <c r="A13" s="9" t="inlineStr">
        <is>
          <t>Swap 360d, variacao (bps)</t>
        </is>
      </c>
      <c r="B13" s="11">
        <f>Episodios!U5</f>
        <v/>
      </c>
      <c r="C13" s="11">
        <f>Episodios!U7</f>
        <v/>
      </c>
      <c r="D13" s="11">
        <f>Episodios!U11</f>
        <v/>
      </c>
      <c r="E13" s="11">
        <f>Episodios!U13</f>
        <v/>
      </c>
      <c r="F13" s="11">
        <f>Episodios!U25</f>
        <v/>
      </c>
      <c r="G13" s="11">
        <f>Episodios!U27</f>
        <v/>
      </c>
      <c r="H13" s="11">
        <f>Episodios!U29</f>
        <v/>
      </c>
      <c r="I13" s="11">
        <f>Episodios!U31</f>
        <v/>
      </c>
      <c r="J13" s="11">
        <f>Episodios!U37</f>
        <v/>
      </c>
      <c r="K13" s="11">
        <f>Episodios!U39</f>
        <v/>
      </c>
      <c r="L13" s="11">
        <f>Episodios!U43</f>
        <v/>
      </c>
      <c r="M13" s="11">
        <f>Episodios!U45</f>
        <v/>
      </c>
      <c r="N13" s="23">
        <f>SUMPRODUCT(B13:M13,$B$7:$M$7)/SUM($B$7:$M$7)</f>
        <v/>
      </c>
      <c r="O13" s="22">
        <f>COUNTIF(B13:M13,"&gt;0")/COUNT(B13:M13)</f>
        <v/>
      </c>
    </row>
    <row r="17">
      <c r="A17" s="5" t="inlineStr">
        <is>
          <t>Earnings Up / Juros Up</t>
        </is>
      </c>
    </row>
    <row r="18">
      <c r="A18" s="20" t="inlineStr">
        <is>
          <t>Inicio</t>
        </is>
      </c>
      <c r="B18" s="21">
        <f>Episodios!F8</f>
        <v/>
      </c>
      <c r="C18" s="21">
        <f>Episodios!F10</f>
        <v/>
      </c>
      <c r="D18" s="21">
        <f>Episodios!F14</f>
        <v/>
      </c>
      <c r="E18" s="21">
        <f>Episodios!F16</f>
        <v/>
      </c>
      <c r="F18" s="21">
        <f>Episodios!F20</f>
        <v/>
      </c>
      <c r="G18" s="21">
        <f>Episodios!F22</f>
        <v/>
      </c>
      <c r="H18" s="21">
        <f>Episodios!F28</f>
        <v/>
      </c>
      <c r="I18" s="21">
        <f>Episodios!F32</f>
        <v/>
      </c>
      <c r="J18" s="21">
        <f>Episodios!F34</f>
        <v/>
      </c>
      <c r="K18" s="21">
        <f>Episodios!F40</f>
        <v/>
      </c>
      <c r="L18" s="21">
        <f>Episodios!F42</f>
        <v/>
      </c>
      <c r="M18" s="20" t="inlineStr">
        <is>
          <t>Media ponderada</t>
        </is>
      </c>
      <c r="N18" s="20" t="inlineStr">
        <is>
          <t>Taxa de acerto</t>
        </is>
      </c>
    </row>
    <row r="19">
      <c r="A19" s="20" t="inlineStr">
        <is>
          <t>Fim</t>
        </is>
      </c>
      <c r="B19" s="21">
        <f>IF(Episodios!V8="Sim","Atual",Episodios!G8)</f>
        <v/>
      </c>
      <c r="C19" s="21">
        <f>IF(Episodios!V10="Sim","Atual",Episodios!G10)</f>
        <v/>
      </c>
      <c r="D19" s="21">
        <f>IF(Episodios!V14="Sim","Atual",Episodios!G14)</f>
        <v/>
      </c>
      <c r="E19" s="21">
        <f>IF(Episodios!V16="Sim","Atual",Episodios!G16)</f>
        <v/>
      </c>
      <c r="F19" s="21">
        <f>IF(Episodios!V20="Sim","Atual",Episodios!G20)</f>
        <v/>
      </c>
      <c r="G19" s="21">
        <f>IF(Episodios!V22="Sim","Atual",Episodios!G22)</f>
        <v/>
      </c>
      <c r="H19" s="21">
        <f>IF(Episodios!V28="Sim","Atual",Episodios!G28)</f>
        <v/>
      </c>
      <c r="I19" s="21">
        <f>IF(Episodios!V32="Sim","Atual",Episodios!G32)</f>
        <v/>
      </c>
      <c r="J19" s="21">
        <f>IF(Episodios!V34="Sim","Atual",Episodios!G34)</f>
        <v/>
      </c>
      <c r="K19" s="21">
        <f>IF(Episodios!V40="Sim","Atual",Episodios!G40)</f>
        <v/>
      </c>
      <c r="L19" s="21">
        <f>IF(Episodios!V42="Sim","Atual",Episodios!G42)</f>
        <v/>
      </c>
    </row>
    <row r="20">
      <c r="A20" s="20" t="inlineStr">
        <is>
          <t>Duracao (dias)</t>
        </is>
      </c>
      <c r="B20" s="18">
        <f>Episodios!J8</f>
        <v/>
      </c>
      <c r="C20" s="18">
        <f>Episodios!J10</f>
        <v/>
      </c>
      <c r="D20" s="18">
        <f>Episodios!J14</f>
        <v/>
      </c>
      <c r="E20" s="18">
        <f>Episodios!J16</f>
        <v/>
      </c>
      <c r="F20" s="18">
        <f>Episodios!J20</f>
        <v/>
      </c>
      <c r="G20" s="18">
        <f>Episodios!J22</f>
        <v/>
      </c>
      <c r="H20" s="18">
        <f>Episodios!J28</f>
        <v/>
      </c>
      <c r="I20" s="18">
        <f>Episodios!J32</f>
        <v/>
      </c>
      <c r="J20" s="18">
        <f>Episodios!J34</f>
        <v/>
      </c>
      <c r="K20" s="18">
        <f>Episodios!J40</f>
        <v/>
      </c>
      <c r="L20" s="18">
        <f>Episodios!J42</f>
        <v/>
      </c>
    </row>
    <row r="21">
      <c r="A21" s="9" t="inlineStr">
        <is>
          <t>Ibovespa nominal anualizado</t>
        </is>
      </c>
      <c r="B21" s="10">
        <f>Episodios!O8</f>
        <v/>
      </c>
      <c r="C21" s="10">
        <f>Episodios!O10</f>
        <v/>
      </c>
      <c r="D21" s="10">
        <f>Episodios!O14</f>
        <v/>
      </c>
      <c r="E21" s="10">
        <f>Episodios!O16</f>
        <v/>
      </c>
      <c r="F21" s="10">
        <f>Episodios!O20</f>
        <v/>
      </c>
      <c r="G21" s="10">
        <f>Episodios!O22</f>
        <v/>
      </c>
      <c r="H21" s="10">
        <f>Episodios!O28</f>
        <v/>
      </c>
      <c r="I21" s="10">
        <f>Episodios!O32</f>
        <v/>
      </c>
      <c r="J21" s="10">
        <f>Episodios!O34</f>
        <v/>
      </c>
      <c r="K21" s="10">
        <f>Episodios!O40</f>
        <v/>
      </c>
      <c r="L21" s="10">
        <f>Episodios!O42</f>
        <v/>
      </c>
      <c r="M21" s="22">
        <f>Resumo_regimes!H6</f>
        <v/>
      </c>
      <c r="N21" s="22">
        <f>COUNTIF(B21:L21,"&gt;0")/COUNT(B21:L21)</f>
        <v/>
      </c>
    </row>
    <row r="22">
      <c r="A22" s="9" t="inlineStr">
        <is>
          <t>Ibovespa real anualizado</t>
        </is>
      </c>
      <c r="B22" s="10">
        <f>Episodios!Q8</f>
        <v/>
      </c>
      <c r="C22" s="10">
        <f>Episodios!Q10</f>
        <v/>
      </c>
      <c r="D22" s="10">
        <f>Episodios!Q14</f>
        <v/>
      </c>
      <c r="E22" s="10">
        <f>Episodios!Q16</f>
        <v/>
      </c>
      <c r="F22" s="10">
        <f>Episodios!Q20</f>
        <v/>
      </c>
      <c r="G22" s="10">
        <f>Episodios!Q22</f>
        <v/>
      </c>
      <c r="H22" s="10">
        <f>Episodios!Q28</f>
        <v/>
      </c>
      <c r="I22" s="10">
        <f>Episodios!Q32</f>
        <v/>
      </c>
      <c r="J22" s="10">
        <f>Episodios!Q34</f>
        <v/>
      </c>
      <c r="K22" s="10">
        <f>Episodios!Q40</f>
        <v/>
      </c>
      <c r="L22" s="10">
        <f>Episodios!Q42</f>
        <v/>
      </c>
      <c r="M22" s="22">
        <f>Resumo_regimes!I6</f>
        <v/>
      </c>
      <c r="N22" s="22">
        <f>COUNTIF(B22:L22,"&gt;0")/COUNT(B22:L22)</f>
        <v/>
      </c>
    </row>
    <row r="23">
      <c r="A23" s="9" t="inlineStr">
        <is>
          <t>Ibovespa sobre o CDI, anualizado</t>
        </is>
      </c>
      <c r="B23" s="10">
        <f>Episodios!S8</f>
        <v/>
      </c>
      <c r="C23" s="10">
        <f>Episodios!S10</f>
        <v/>
      </c>
      <c r="D23" s="10">
        <f>Episodios!S14</f>
        <v/>
      </c>
      <c r="E23" s="10">
        <f>Episodios!S16</f>
        <v/>
      </c>
      <c r="F23" s="10">
        <f>Episodios!S20</f>
        <v/>
      </c>
      <c r="G23" s="10">
        <f>Episodios!S22</f>
        <v/>
      </c>
      <c r="H23" s="10">
        <f>Episodios!S28</f>
        <v/>
      </c>
      <c r="I23" s="10">
        <f>Episodios!S32</f>
        <v/>
      </c>
      <c r="J23" s="10">
        <f>Episodios!S34</f>
        <v/>
      </c>
      <c r="K23" s="10">
        <f>Episodios!S40</f>
        <v/>
      </c>
      <c r="L23" s="10">
        <f>Episodios!S42</f>
        <v/>
      </c>
      <c r="M23" s="22">
        <f>Resumo_regimes!J6</f>
        <v/>
      </c>
      <c r="N23" s="22">
        <f>COUNTIF(B23:L23,"&gt;0")/COUNT(B23:L23)</f>
        <v/>
      </c>
    </row>
    <row r="24">
      <c r="A24" s="9" t="inlineStr">
        <is>
          <t>CDI anualizado</t>
        </is>
      </c>
      <c r="B24" s="10">
        <f>Episodios!R8</f>
        <v/>
      </c>
      <c r="C24" s="10">
        <f>Episodios!R10</f>
        <v/>
      </c>
      <c r="D24" s="10">
        <f>Episodios!R14</f>
        <v/>
      </c>
      <c r="E24" s="10">
        <f>Episodios!R16</f>
        <v/>
      </c>
      <c r="F24" s="10">
        <f>Episodios!R20</f>
        <v/>
      </c>
      <c r="G24" s="10">
        <f>Episodios!R22</f>
        <v/>
      </c>
      <c r="H24" s="10">
        <f>Episodios!R28</f>
        <v/>
      </c>
      <c r="I24" s="10">
        <f>Episodios!R32</f>
        <v/>
      </c>
      <c r="J24" s="10">
        <f>Episodios!R34</f>
        <v/>
      </c>
      <c r="K24" s="10">
        <f>Episodios!R40</f>
        <v/>
      </c>
      <c r="L24" s="10">
        <f>Episodios!R42</f>
        <v/>
      </c>
      <c r="M24" s="22">
        <f>SUMPRODUCT(B24:L24,$B$20:$L$20)/SUM($B$20:$L$20)</f>
        <v/>
      </c>
      <c r="N24" s="22">
        <f>COUNTIF(B24:L24,"&gt;0")/COUNT(B24:L24)</f>
        <v/>
      </c>
    </row>
    <row r="25">
      <c r="A25" s="9" t="inlineStr">
        <is>
          <t>USDBRL anualizado</t>
        </is>
      </c>
      <c r="B25" s="10">
        <f>Episodios!T8</f>
        <v/>
      </c>
      <c r="C25" s="10">
        <f>Episodios!T10</f>
        <v/>
      </c>
      <c r="D25" s="10">
        <f>Episodios!T14</f>
        <v/>
      </c>
      <c r="E25" s="10">
        <f>Episodios!T16</f>
        <v/>
      </c>
      <c r="F25" s="10">
        <f>Episodios!T20</f>
        <v/>
      </c>
      <c r="G25" s="10">
        <f>Episodios!T22</f>
        <v/>
      </c>
      <c r="H25" s="10">
        <f>Episodios!T28</f>
        <v/>
      </c>
      <c r="I25" s="10">
        <f>Episodios!T32</f>
        <v/>
      </c>
      <c r="J25" s="10">
        <f>Episodios!T34</f>
        <v/>
      </c>
      <c r="K25" s="10">
        <f>Episodios!T40</f>
        <v/>
      </c>
      <c r="L25" s="10">
        <f>Episodios!T42</f>
        <v/>
      </c>
      <c r="M25" s="22">
        <f>SUMPRODUCT(B25:L25,$B$20:$L$20)/SUM($B$20:$L$20)</f>
        <v/>
      </c>
      <c r="N25" s="22">
        <f>COUNTIF(B25:L25,"&gt;0")/COUNT(B25:L25)</f>
        <v/>
      </c>
    </row>
    <row r="26">
      <c r="A26" s="9" t="inlineStr">
        <is>
          <t>Swap 360d, variacao (bps)</t>
        </is>
      </c>
      <c r="B26" s="11">
        <f>Episodios!U8</f>
        <v/>
      </c>
      <c r="C26" s="11">
        <f>Episodios!U10</f>
        <v/>
      </c>
      <c r="D26" s="11">
        <f>Episodios!U14</f>
        <v/>
      </c>
      <c r="E26" s="11">
        <f>Episodios!U16</f>
        <v/>
      </c>
      <c r="F26" s="11">
        <f>Episodios!U20</f>
        <v/>
      </c>
      <c r="G26" s="11">
        <f>Episodios!U22</f>
        <v/>
      </c>
      <c r="H26" s="11">
        <f>Episodios!U28</f>
        <v/>
      </c>
      <c r="I26" s="11">
        <f>Episodios!U32</f>
        <v/>
      </c>
      <c r="J26" s="11">
        <f>Episodios!U34</f>
        <v/>
      </c>
      <c r="K26" s="11">
        <f>Episodios!U40</f>
        <v/>
      </c>
      <c r="L26" s="11">
        <f>Episodios!U42</f>
        <v/>
      </c>
      <c r="M26" s="23">
        <f>SUMPRODUCT(B26:L26,$B$20:$L$20)/SUM($B$20:$L$20)</f>
        <v/>
      </c>
      <c r="N26" s="22">
        <f>COUNTIF(B26:L26,"&gt;0")/COUNT(B26:L26)</f>
        <v/>
      </c>
    </row>
    <row r="30">
      <c r="A30" s="5" t="inlineStr">
        <is>
          <t>Earnings Down / Juros Down</t>
        </is>
      </c>
    </row>
    <row r="31">
      <c r="A31" s="20" t="inlineStr">
        <is>
          <t>Inicio</t>
        </is>
      </c>
      <c r="B31" s="21">
        <f>Episodios!F6</f>
        <v/>
      </c>
      <c r="C31" s="21">
        <f>Episodios!F12</f>
        <v/>
      </c>
      <c r="D31" s="21">
        <f>Episodios!F18</f>
        <v/>
      </c>
      <c r="E31" s="21">
        <f>Episodios!F24</f>
        <v/>
      </c>
      <c r="F31" s="21">
        <f>Episodios!F26</f>
        <v/>
      </c>
      <c r="G31" s="21">
        <f>Episodios!F30</f>
        <v/>
      </c>
      <c r="H31" s="21">
        <f>Episodios!F36</f>
        <v/>
      </c>
      <c r="I31" s="21">
        <f>Episodios!F38</f>
        <v/>
      </c>
      <c r="J31" s="21">
        <f>Episodios!F44</f>
        <v/>
      </c>
      <c r="K31" s="20" t="inlineStr">
        <is>
          <t>Media ponderada</t>
        </is>
      </c>
      <c r="L31" s="20" t="inlineStr">
        <is>
          <t>Taxa de acerto</t>
        </is>
      </c>
    </row>
    <row r="32">
      <c r="A32" s="20" t="inlineStr">
        <is>
          <t>Fim</t>
        </is>
      </c>
      <c r="B32" s="21">
        <f>IF(Episodios!V6="Sim","Atual",Episodios!G6)</f>
        <v/>
      </c>
      <c r="C32" s="21">
        <f>IF(Episodios!V12="Sim","Atual",Episodios!G12)</f>
        <v/>
      </c>
      <c r="D32" s="21">
        <f>IF(Episodios!V18="Sim","Atual",Episodios!G18)</f>
        <v/>
      </c>
      <c r="E32" s="21">
        <f>IF(Episodios!V24="Sim","Atual",Episodios!G24)</f>
        <v/>
      </c>
      <c r="F32" s="21">
        <f>IF(Episodios!V26="Sim","Atual",Episodios!G26)</f>
        <v/>
      </c>
      <c r="G32" s="21">
        <f>IF(Episodios!V30="Sim","Atual",Episodios!G30)</f>
        <v/>
      </c>
      <c r="H32" s="21">
        <f>IF(Episodios!V36="Sim","Atual",Episodios!G36)</f>
        <v/>
      </c>
      <c r="I32" s="21">
        <f>IF(Episodios!V38="Sim","Atual",Episodios!G38)</f>
        <v/>
      </c>
      <c r="J32" s="21">
        <f>IF(Episodios!V44="Sim","Atual",Episodios!G44)</f>
        <v/>
      </c>
    </row>
    <row r="33">
      <c r="A33" s="20" t="inlineStr">
        <is>
          <t>Duracao (dias)</t>
        </is>
      </c>
      <c r="B33" s="18">
        <f>Episodios!J6</f>
        <v/>
      </c>
      <c r="C33" s="18">
        <f>Episodios!J12</f>
        <v/>
      </c>
      <c r="D33" s="18">
        <f>Episodios!J18</f>
        <v/>
      </c>
      <c r="E33" s="18">
        <f>Episodios!J24</f>
        <v/>
      </c>
      <c r="F33" s="18">
        <f>Episodios!J26</f>
        <v/>
      </c>
      <c r="G33" s="18">
        <f>Episodios!J30</f>
        <v/>
      </c>
      <c r="H33" s="18">
        <f>Episodios!J36</f>
        <v/>
      </c>
      <c r="I33" s="18">
        <f>Episodios!J38</f>
        <v/>
      </c>
      <c r="J33" s="18">
        <f>Episodios!J44</f>
        <v/>
      </c>
    </row>
    <row r="34">
      <c r="A34" s="9" t="inlineStr">
        <is>
          <t>Ibovespa nominal anualizado</t>
        </is>
      </c>
      <c r="B34" s="10">
        <f>Episodios!O6</f>
        <v/>
      </c>
      <c r="C34" s="10">
        <f>Episodios!O12</f>
        <v/>
      </c>
      <c r="D34" s="10">
        <f>Episodios!O18</f>
        <v/>
      </c>
      <c r="E34" s="10">
        <f>Episodios!O24</f>
        <v/>
      </c>
      <c r="F34" s="10">
        <f>Episodios!O26</f>
        <v/>
      </c>
      <c r="G34" s="10">
        <f>Episodios!O30</f>
        <v/>
      </c>
      <c r="H34" s="10">
        <f>Episodios!O36</f>
        <v/>
      </c>
      <c r="I34" s="10">
        <f>Episodios!O38</f>
        <v/>
      </c>
      <c r="J34" s="10">
        <f>Episodios!O44</f>
        <v/>
      </c>
      <c r="K34" s="22">
        <f>Resumo_regimes!H7</f>
        <v/>
      </c>
      <c r="L34" s="22">
        <f>COUNTIF(B34:J34,"&gt;0")/COUNT(B34:J34)</f>
        <v/>
      </c>
    </row>
    <row r="35">
      <c r="A35" s="9" t="inlineStr">
        <is>
          <t>Ibovespa real anualizado</t>
        </is>
      </c>
      <c r="B35" s="10">
        <f>Episodios!Q6</f>
        <v/>
      </c>
      <c r="C35" s="10">
        <f>Episodios!Q12</f>
        <v/>
      </c>
      <c r="D35" s="10">
        <f>Episodios!Q18</f>
        <v/>
      </c>
      <c r="E35" s="10">
        <f>Episodios!Q24</f>
        <v/>
      </c>
      <c r="F35" s="10">
        <f>Episodios!Q26</f>
        <v/>
      </c>
      <c r="G35" s="10">
        <f>Episodios!Q30</f>
        <v/>
      </c>
      <c r="H35" s="10">
        <f>Episodios!Q36</f>
        <v/>
      </c>
      <c r="I35" s="10">
        <f>Episodios!Q38</f>
        <v/>
      </c>
      <c r="J35" s="10">
        <f>Episodios!Q44</f>
        <v/>
      </c>
      <c r="K35" s="22">
        <f>Resumo_regimes!I7</f>
        <v/>
      </c>
      <c r="L35" s="22">
        <f>COUNTIF(B35:J35,"&gt;0")/COUNT(B35:J35)</f>
        <v/>
      </c>
    </row>
    <row r="36">
      <c r="A36" s="9" t="inlineStr">
        <is>
          <t>Ibovespa sobre o CDI, anualizado</t>
        </is>
      </c>
      <c r="B36" s="10">
        <f>Episodios!S6</f>
        <v/>
      </c>
      <c r="C36" s="10">
        <f>Episodios!S12</f>
        <v/>
      </c>
      <c r="D36" s="10">
        <f>Episodios!S18</f>
        <v/>
      </c>
      <c r="E36" s="10">
        <f>Episodios!S24</f>
        <v/>
      </c>
      <c r="F36" s="10">
        <f>Episodios!S26</f>
        <v/>
      </c>
      <c r="G36" s="10">
        <f>Episodios!S30</f>
        <v/>
      </c>
      <c r="H36" s="10">
        <f>Episodios!S36</f>
        <v/>
      </c>
      <c r="I36" s="10">
        <f>Episodios!S38</f>
        <v/>
      </c>
      <c r="J36" s="10">
        <f>Episodios!S44</f>
        <v/>
      </c>
      <c r="K36" s="22">
        <f>Resumo_regimes!J7</f>
        <v/>
      </c>
      <c r="L36" s="22">
        <f>COUNTIF(B36:J36,"&gt;0")/COUNT(B36:J36)</f>
        <v/>
      </c>
    </row>
    <row r="37">
      <c r="A37" s="9" t="inlineStr">
        <is>
          <t>CDI anualizado</t>
        </is>
      </c>
      <c r="B37" s="10">
        <f>Episodios!R6</f>
        <v/>
      </c>
      <c r="C37" s="10">
        <f>Episodios!R12</f>
        <v/>
      </c>
      <c r="D37" s="10">
        <f>Episodios!R18</f>
        <v/>
      </c>
      <c r="E37" s="10">
        <f>Episodios!R24</f>
        <v/>
      </c>
      <c r="F37" s="10">
        <f>Episodios!R26</f>
        <v/>
      </c>
      <c r="G37" s="10">
        <f>Episodios!R30</f>
        <v/>
      </c>
      <c r="H37" s="10">
        <f>Episodios!R36</f>
        <v/>
      </c>
      <c r="I37" s="10">
        <f>Episodios!R38</f>
        <v/>
      </c>
      <c r="J37" s="10">
        <f>Episodios!R44</f>
        <v/>
      </c>
      <c r="K37" s="22">
        <f>SUMPRODUCT(B37:J37,$B$33:$J$33)/SUM($B$33:$J$33)</f>
        <v/>
      </c>
      <c r="L37" s="22">
        <f>COUNTIF(B37:J37,"&gt;0")/COUNT(B37:J37)</f>
        <v/>
      </c>
    </row>
    <row r="38">
      <c r="A38" s="9" t="inlineStr">
        <is>
          <t>USDBRL anualizado</t>
        </is>
      </c>
      <c r="B38" s="10">
        <f>Episodios!T6</f>
        <v/>
      </c>
      <c r="C38" s="10">
        <f>Episodios!T12</f>
        <v/>
      </c>
      <c r="D38" s="10">
        <f>Episodios!T18</f>
        <v/>
      </c>
      <c r="E38" s="10">
        <f>Episodios!T24</f>
        <v/>
      </c>
      <c r="F38" s="10">
        <f>Episodios!T26</f>
        <v/>
      </c>
      <c r="G38" s="10">
        <f>Episodios!T30</f>
        <v/>
      </c>
      <c r="H38" s="10">
        <f>Episodios!T36</f>
        <v/>
      </c>
      <c r="I38" s="10">
        <f>Episodios!T38</f>
        <v/>
      </c>
      <c r="J38" s="10">
        <f>Episodios!T44</f>
        <v/>
      </c>
      <c r="K38" s="22">
        <f>SUMPRODUCT(B38:J38,$B$33:$J$33)/SUM($B$33:$J$33)</f>
        <v/>
      </c>
      <c r="L38" s="22">
        <f>COUNTIF(B38:J38,"&gt;0")/COUNT(B38:J38)</f>
        <v/>
      </c>
    </row>
    <row r="39">
      <c r="A39" s="9" t="inlineStr">
        <is>
          <t>Swap 360d, variacao (bps)</t>
        </is>
      </c>
      <c r="B39" s="11">
        <f>Episodios!U6</f>
        <v/>
      </c>
      <c r="C39" s="11">
        <f>Episodios!U12</f>
        <v/>
      </c>
      <c r="D39" s="11">
        <f>Episodios!U18</f>
        <v/>
      </c>
      <c r="E39" s="11">
        <f>Episodios!U24</f>
        <v/>
      </c>
      <c r="F39" s="11">
        <f>Episodios!U26</f>
        <v/>
      </c>
      <c r="G39" s="11">
        <f>Episodios!U30</f>
        <v/>
      </c>
      <c r="H39" s="11">
        <f>Episodios!U36</f>
        <v/>
      </c>
      <c r="I39" s="11">
        <f>Episodios!U38</f>
        <v/>
      </c>
      <c r="J39" s="11">
        <f>Episodios!U44</f>
        <v/>
      </c>
      <c r="K39" s="23">
        <f>SUMPRODUCT(B39:J39,$B$33:$J$33)/SUM($B$33:$J$33)</f>
        <v/>
      </c>
      <c r="L39" s="22">
        <f>COUNTIF(B39:J39,"&gt;0")/COUNT(B39:J39)</f>
        <v/>
      </c>
    </row>
    <row r="43">
      <c r="A43" s="5" t="inlineStr">
        <is>
          <t>Earnings Down / Juros Up</t>
        </is>
      </c>
    </row>
    <row r="44">
      <c r="A44" s="20" t="inlineStr">
        <is>
          <t>Inicio</t>
        </is>
      </c>
      <c r="B44" s="21">
        <f>Episodios!F9</f>
        <v/>
      </c>
      <c r="C44" s="21">
        <f>Episodios!F15</f>
        <v/>
      </c>
      <c r="D44" s="21">
        <f>Episodios!F17</f>
        <v/>
      </c>
      <c r="E44" s="21">
        <f>Episodios!F19</f>
        <v/>
      </c>
      <c r="F44" s="21">
        <f>Episodios!F21</f>
        <v/>
      </c>
      <c r="G44" s="21">
        <f>Episodios!F23</f>
        <v/>
      </c>
      <c r="H44" s="21">
        <f>Episodios!F33</f>
        <v/>
      </c>
      <c r="I44" s="21">
        <f>Episodios!F35</f>
        <v/>
      </c>
      <c r="J44" s="21">
        <f>Episodios!F41</f>
        <v/>
      </c>
      <c r="K44" s="20" t="inlineStr">
        <is>
          <t>Media ponderada</t>
        </is>
      </c>
      <c r="L44" s="20" t="inlineStr">
        <is>
          <t>Taxa de acerto</t>
        </is>
      </c>
    </row>
    <row r="45">
      <c r="A45" s="20" t="inlineStr">
        <is>
          <t>Fim</t>
        </is>
      </c>
      <c r="B45" s="21">
        <f>IF(Episodios!V9="Sim","Atual",Episodios!G9)</f>
        <v/>
      </c>
      <c r="C45" s="21">
        <f>IF(Episodios!V15="Sim","Atual",Episodios!G15)</f>
        <v/>
      </c>
      <c r="D45" s="21">
        <f>IF(Episodios!V17="Sim","Atual",Episodios!G17)</f>
        <v/>
      </c>
      <c r="E45" s="21">
        <f>IF(Episodios!V19="Sim","Atual",Episodios!G19)</f>
        <v/>
      </c>
      <c r="F45" s="21">
        <f>IF(Episodios!V21="Sim","Atual",Episodios!G21)</f>
        <v/>
      </c>
      <c r="G45" s="21">
        <f>IF(Episodios!V23="Sim","Atual",Episodios!G23)</f>
        <v/>
      </c>
      <c r="H45" s="21">
        <f>IF(Episodios!V33="Sim","Atual",Episodios!G33)</f>
        <v/>
      </c>
      <c r="I45" s="21">
        <f>IF(Episodios!V35="Sim","Atual",Episodios!G35)</f>
        <v/>
      </c>
      <c r="J45" s="21">
        <f>IF(Episodios!V41="Sim","Atual",Episodios!G41)</f>
        <v/>
      </c>
    </row>
    <row r="46">
      <c r="A46" s="20" t="inlineStr">
        <is>
          <t>Duracao (dias)</t>
        </is>
      </c>
      <c r="B46" s="18">
        <f>Episodios!J9</f>
        <v/>
      </c>
      <c r="C46" s="18">
        <f>Episodios!J15</f>
        <v/>
      </c>
      <c r="D46" s="18">
        <f>Episodios!J17</f>
        <v/>
      </c>
      <c r="E46" s="18">
        <f>Episodios!J19</f>
        <v/>
      </c>
      <c r="F46" s="18">
        <f>Episodios!J21</f>
        <v/>
      </c>
      <c r="G46" s="18">
        <f>Episodios!J23</f>
        <v/>
      </c>
      <c r="H46" s="18">
        <f>Episodios!J33</f>
        <v/>
      </c>
      <c r="I46" s="18">
        <f>Episodios!J35</f>
        <v/>
      </c>
      <c r="J46" s="18">
        <f>Episodios!J41</f>
        <v/>
      </c>
    </row>
    <row r="47">
      <c r="A47" s="9" t="inlineStr">
        <is>
          <t>Ibovespa nominal anualizado</t>
        </is>
      </c>
      <c r="B47" s="10">
        <f>Episodios!O9</f>
        <v/>
      </c>
      <c r="C47" s="10">
        <f>Episodios!O15</f>
        <v/>
      </c>
      <c r="D47" s="10">
        <f>Episodios!O17</f>
        <v/>
      </c>
      <c r="E47" s="10">
        <f>Episodios!O19</f>
        <v/>
      </c>
      <c r="F47" s="10">
        <f>Episodios!O21</f>
        <v/>
      </c>
      <c r="G47" s="10">
        <f>Episodios!O23</f>
        <v/>
      </c>
      <c r="H47" s="10">
        <f>Episodios!O33</f>
        <v/>
      </c>
      <c r="I47" s="10">
        <f>Episodios!O35</f>
        <v/>
      </c>
      <c r="J47" s="10">
        <f>Episodios!O41</f>
        <v/>
      </c>
      <c r="K47" s="22">
        <f>Resumo_regimes!H8</f>
        <v/>
      </c>
      <c r="L47" s="22">
        <f>COUNTIF(B47:J47,"&gt;0")/COUNT(B47:J47)</f>
        <v/>
      </c>
    </row>
    <row r="48">
      <c r="A48" s="9" t="inlineStr">
        <is>
          <t>Ibovespa real anualizado</t>
        </is>
      </c>
      <c r="B48" s="10">
        <f>Episodios!Q9</f>
        <v/>
      </c>
      <c r="C48" s="10">
        <f>Episodios!Q15</f>
        <v/>
      </c>
      <c r="D48" s="10">
        <f>Episodios!Q17</f>
        <v/>
      </c>
      <c r="E48" s="10">
        <f>Episodios!Q19</f>
        <v/>
      </c>
      <c r="F48" s="10">
        <f>Episodios!Q21</f>
        <v/>
      </c>
      <c r="G48" s="10">
        <f>Episodios!Q23</f>
        <v/>
      </c>
      <c r="H48" s="10">
        <f>Episodios!Q33</f>
        <v/>
      </c>
      <c r="I48" s="10">
        <f>Episodios!Q35</f>
        <v/>
      </c>
      <c r="J48" s="10">
        <f>Episodios!Q41</f>
        <v/>
      </c>
      <c r="K48" s="22">
        <f>Resumo_regimes!I8</f>
        <v/>
      </c>
      <c r="L48" s="22">
        <f>COUNTIF(B48:J48,"&gt;0")/COUNT(B48:J48)</f>
        <v/>
      </c>
    </row>
    <row r="49">
      <c r="A49" s="9" t="inlineStr">
        <is>
          <t>Ibovespa sobre o CDI, anualizado</t>
        </is>
      </c>
      <c r="B49" s="10">
        <f>Episodios!S9</f>
        <v/>
      </c>
      <c r="C49" s="10">
        <f>Episodios!S15</f>
        <v/>
      </c>
      <c r="D49" s="10">
        <f>Episodios!S17</f>
        <v/>
      </c>
      <c r="E49" s="10">
        <f>Episodios!S19</f>
        <v/>
      </c>
      <c r="F49" s="10">
        <f>Episodios!S21</f>
        <v/>
      </c>
      <c r="G49" s="10">
        <f>Episodios!S23</f>
        <v/>
      </c>
      <c r="H49" s="10">
        <f>Episodios!S33</f>
        <v/>
      </c>
      <c r="I49" s="10">
        <f>Episodios!S35</f>
        <v/>
      </c>
      <c r="J49" s="10">
        <f>Episodios!S41</f>
        <v/>
      </c>
      <c r="K49" s="22">
        <f>Resumo_regimes!J8</f>
        <v/>
      </c>
      <c r="L49" s="22">
        <f>COUNTIF(B49:J49,"&gt;0")/COUNT(B49:J49)</f>
        <v/>
      </c>
    </row>
    <row r="50">
      <c r="A50" s="9" t="inlineStr">
        <is>
          <t>CDI anualizado</t>
        </is>
      </c>
      <c r="B50" s="10">
        <f>Episodios!R9</f>
        <v/>
      </c>
      <c r="C50" s="10">
        <f>Episodios!R15</f>
        <v/>
      </c>
      <c r="D50" s="10">
        <f>Episodios!R17</f>
        <v/>
      </c>
      <c r="E50" s="10">
        <f>Episodios!R19</f>
        <v/>
      </c>
      <c r="F50" s="10">
        <f>Episodios!R21</f>
        <v/>
      </c>
      <c r="G50" s="10">
        <f>Episodios!R23</f>
        <v/>
      </c>
      <c r="H50" s="10">
        <f>Episodios!R33</f>
        <v/>
      </c>
      <c r="I50" s="10">
        <f>Episodios!R35</f>
        <v/>
      </c>
      <c r="J50" s="10">
        <f>Episodios!R41</f>
        <v/>
      </c>
      <c r="K50" s="22">
        <f>SUMPRODUCT(B50:J50,$B$46:$J$46)/SUM($B$46:$J$46)</f>
        <v/>
      </c>
      <c r="L50" s="22">
        <f>COUNTIF(B50:J50,"&gt;0")/COUNT(B50:J50)</f>
        <v/>
      </c>
    </row>
    <row r="51">
      <c r="A51" s="9" t="inlineStr">
        <is>
          <t>USDBRL anualizado</t>
        </is>
      </c>
      <c r="B51" s="10">
        <f>Episodios!T9</f>
        <v/>
      </c>
      <c r="C51" s="10">
        <f>Episodios!T15</f>
        <v/>
      </c>
      <c r="D51" s="10">
        <f>Episodios!T17</f>
        <v/>
      </c>
      <c r="E51" s="10">
        <f>Episodios!T19</f>
        <v/>
      </c>
      <c r="F51" s="10">
        <f>Episodios!T21</f>
        <v/>
      </c>
      <c r="G51" s="10">
        <f>Episodios!T23</f>
        <v/>
      </c>
      <c r="H51" s="10">
        <f>Episodios!T33</f>
        <v/>
      </c>
      <c r="I51" s="10">
        <f>Episodios!T35</f>
        <v/>
      </c>
      <c r="J51" s="10">
        <f>Episodios!T41</f>
        <v/>
      </c>
      <c r="K51" s="22">
        <f>SUMPRODUCT(B51:J51,$B$46:$J$46)/SUM($B$46:$J$46)</f>
        <v/>
      </c>
      <c r="L51" s="22">
        <f>COUNTIF(B51:J51,"&gt;0")/COUNT(B51:J51)</f>
        <v/>
      </c>
    </row>
    <row r="52">
      <c r="A52" s="9" t="inlineStr">
        <is>
          <t>Swap 360d, variacao (bps)</t>
        </is>
      </c>
      <c r="B52" s="11">
        <f>Episodios!U9</f>
        <v/>
      </c>
      <c r="C52" s="11">
        <f>Episodios!U15</f>
        <v/>
      </c>
      <c r="D52" s="11">
        <f>Episodios!U17</f>
        <v/>
      </c>
      <c r="E52" s="11">
        <f>Episodios!U19</f>
        <v/>
      </c>
      <c r="F52" s="11">
        <f>Episodios!U21</f>
        <v/>
      </c>
      <c r="G52" s="11">
        <f>Episodios!U23</f>
        <v/>
      </c>
      <c r="H52" s="11">
        <f>Episodios!U33</f>
        <v/>
      </c>
      <c r="I52" s="11">
        <f>Episodios!U35</f>
        <v/>
      </c>
      <c r="J52" s="11">
        <f>Episodios!U41</f>
        <v/>
      </c>
      <c r="K52" s="23">
        <f>SUMPRODUCT(B52:J52,$B$46:$J$46)/SUM($B$46:$J$46)</f>
        <v/>
      </c>
      <c r="L52" s="22">
        <f>COUNTIF(B52:J52,"&gt;0")/COUNT(B52:J52)</f>
        <v/>
      </c>
    </row>
    <row r="56">
      <c r="A56" s="6" t="inlineStr">
        <is>
          <t>Media ponderada das linhas do Ibovespa vem do agregado do quadrante em Resumo_regimes; as demais sao media ponderada pela duracao de cada episodio.</t>
        </is>
      </c>
    </row>
    <row r="57">
      <c r="A57" s="6" t="inlineStr">
        <is>
          <t>CDI reconstruido do BCB SGS 12, diario, de 2006 a 2026. USDBRL do BCB, PTAX diaria. Nao ha dados de SMLL, IMA-B 5, IMA-B 5+, setores ou fatores no projeto.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18" customWidth="1" min="6" max="6"/>
  </cols>
  <sheetData>
    <row r="1">
      <c r="A1" s="7" t="inlineStr">
        <is>
          <t>Matriz de transicao entre quadrantes</t>
        </is>
      </c>
    </row>
    <row r="2">
      <c r="A2" s="6" t="inlineStr">
        <is>
          <t>Com que frequencia, historicamente, cada quadrante foi seguido por cada outro. Equivalente ao diagrama de transicao do report da XP.</t>
        </is>
      </c>
    </row>
    <row r="4">
      <c r="A4" s="8" t="inlineStr">
        <is>
          <t>De \ Para</t>
        </is>
      </c>
      <c r="B4" s="8" t="inlineStr">
        <is>
          <t>Earnings Up / Juros Down</t>
        </is>
      </c>
      <c r="C4" s="8" t="inlineStr">
        <is>
          <t>Earnings Up / Juros Up</t>
        </is>
      </c>
      <c r="D4" s="8" t="inlineStr">
        <is>
          <t>Earnings Down / Juros Down</t>
        </is>
      </c>
      <c r="E4" s="8" t="inlineStr">
        <is>
          <t>Earnings Down / Juros Up</t>
        </is>
      </c>
      <c r="F4" s="8" t="inlineStr">
        <is>
          <t>Total de transicoes</t>
        </is>
      </c>
    </row>
    <row r="5">
      <c r="A5" s="3" t="inlineStr">
        <is>
          <t>Earnings Up / Juros Down</t>
        </is>
      </c>
      <c r="B5" s="24" t="n">
        <v>0</v>
      </c>
      <c r="C5" s="10" t="n">
        <v>0.4545454545454545</v>
      </c>
      <c r="D5" s="10" t="n">
        <v>0.5454545454545454</v>
      </c>
      <c r="E5" s="10" t="n">
        <v>0</v>
      </c>
      <c r="F5" s="16" t="n">
        <v>11</v>
      </c>
    </row>
    <row r="6">
      <c r="A6" s="3" t="inlineStr">
        <is>
          <t>Earnings Up / Juros Up</t>
        </is>
      </c>
      <c r="B6" s="10" t="n">
        <v>0.2727272727272727</v>
      </c>
      <c r="C6" s="24" t="n">
        <v>0</v>
      </c>
      <c r="D6" s="10" t="n">
        <v>0</v>
      </c>
      <c r="E6" s="10" t="n">
        <v>0.7272727272727273</v>
      </c>
      <c r="F6" s="16" t="n">
        <v>11</v>
      </c>
    </row>
    <row r="7">
      <c r="A7" s="3" t="inlineStr">
        <is>
          <t>Earnings Down / Juros Down</t>
        </is>
      </c>
      <c r="B7" s="10" t="n">
        <v>0.8888888888888888</v>
      </c>
      <c r="C7" s="10" t="n">
        <v>0</v>
      </c>
      <c r="D7" s="24" t="n">
        <v>0</v>
      </c>
      <c r="E7" s="10" t="n">
        <v>0.1111111111111111</v>
      </c>
      <c r="F7" s="16" t="n">
        <v>9</v>
      </c>
    </row>
    <row r="8">
      <c r="A8" s="3" t="inlineStr">
        <is>
          <t>Earnings Down / Juros Up</t>
        </is>
      </c>
      <c r="B8" s="10" t="n">
        <v>0</v>
      </c>
      <c r="C8" s="10" t="n">
        <v>0.6666666666666666</v>
      </c>
      <c r="D8" s="10" t="n">
        <v>0.3333333333333333</v>
      </c>
      <c r="E8" s="24" t="n">
        <v>0</v>
      </c>
      <c r="F8" s="16" t="n">
        <v>9</v>
      </c>
    </row>
    <row r="10">
      <c r="A10" s="5" t="inlineStr">
        <is>
          <t>Contagens absolutas</t>
        </is>
      </c>
    </row>
    <row r="11">
      <c r="A11" s="8" t="inlineStr">
        <is>
          <t>De \ Para</t>
        </is>
      </c>
      <c r="B11" s="8" t="inlineStr">
        <is>
          <t>Earnings Up / Juros Down</t>
        </is>
      </c>
      <c r="C11" s="8" t="inlineStr">
        <is>
          <t>Earnings Up / Juros Up</t>
        </is>
      </c>
      <c r="D11" s="8" t="inlineStr">
        <is>
          <t>Earnings Down / Juros Down</t>
        </is>
      </c>
      <c r="E11" s="8" t="inlineStr">
        <is>
          <t>Earnings Down / Juros Up</t>
        </is>
      </c>
      <c r="F11" s="8" t="inlineStr">
        <is>
          <t>Total</t>
        </is>
      </c>
    </row>
    <row r="12">
      <c r="A12" s="3" t="inlineStr">
        <is>
          <t>Earnings Up / Juros Down</t>
        </is>
      </c>
      <c r="B12" s="16" t="n">
        <v>0</v>
      </c>
      <c r="C12" s="16" t="n">
        <v>5</v>
      </c>
      <c r="D12" s="16" t="n">
        <v>6</v>
      </c>
      <c r="E12" s="16" t="n">
        <v>0</v>
      </c>
      <c r="F12" s="16">
        <f>SUM(B12:E12)</f>
        <v/>
      </c>
    </row>
    <row r="13">
      <c r="A13" s="3" t="inlineStr">
        <is>
          <t>Earnings Up / Juros Up</t>
        </is>
      </c>
      <c r="B13" s="16" t="n">
        <v>3</v>
      </c>
      <c r="C13" s="16" t="n">
        <v>0</v>
      </c>
      <c r="D13" s="16" t="n">
        <v>0</v>
      </c>
      <c r="E13" s="16" t="n">
        <v>8</v>
      </c>
      <c r="F13" s="16">
        <f>SUM(B13:E13)</f>
        <v/>
      </c>
    </row>
    <row r="14">
      <c r="A14" s="3" t="inlineStr">
        <is>
          <t>Earnings Down / Juros Down</t>
        </is>
      </c>
      <c r="B14" s="16" t="n">
        <v>8</v>
      </c>
      <c r="C14" s="16" t="n">
        <v>0</v>
      </c>
      <c r="D14" s="16" t="n">
        <v>0</v>
      </c>
      <c r="E14" s="16" t="n">
        <v>1</v>
      </c>
      <c r="F14" s="16">
        <f>SUM(B14:E14)</f>
        <v/>
      </c>
    </row>
    <row r="15">
      <c r="A15" s="3" t="inlineStr">
        <is>
          <t>Earnings Down / Juros Up</t>
        </is>
      </c>
      <c r="B15" s="16" t="n">
        <v>0</v>
      </c>
      <c r="C15" s="16" t="n">
        <v>6</v>
      </c>
      <c r="D15" s="16" t="n">
        <v>3</v>
      </c>
      <c r="E15" s="16" t="n">
        <v>0</v>
      </c>
      <c r="F15" s="16">
        <f>SUM(B15:E15)</f>
        <v/>
      </c>
    </row>
    <row r="17">
      <c r="A17" s="6" t="inlineStr">
        <is>
          <t>Transicoes contadas sobre 41 episodios, portanto 40 transicoes. A diagonal e zero por construcao: um episodio so termina quando o quadrante muda.</t>
        </is>
      </c>
    </row>
    <row r="18">
      <c r="A18" s="6" t="inlineStr">
        <is>
          <t>Uma mudanca de quadrante pode vir do lado de earnings ou do lado de juros, nunca dos dois no mesmo dia, exceto por coincidencia de datas.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7" t="inlineStr">
        <is>
          <t>Desempenho acumulado do Ibovespa dentro de cada regime</t>
        </is>
      </c>
    </row>
    <row r="2">
      <c r="A2" s="6" t="inlineStr">
        <is>
          <t>Cada curva acumula apenas os retornos dos dias pertencentes ao seu quadrante e fica horizontal nos demais dias. Nao representa uma carteira investida continuamente: mostra a contribuicao historica do Ibovespa nos intervalos de cada regime.</t>
        </is>
      </c>
    </row>
    <row r="4">
      <c r="A4" s="8" t="inlineStr">
        <is>
          <t>Data</t>
        </is>
      </c>
      <c r="B4" s="8" t="inlineStr">
        <is>
          <t>Earnings Up / Juros Down</t>
        </is>
      </c>
      <c r="C4" s="8" t="inlineStr">
        <is>
          <t>Earnings Up / Juros Up</t>
        </is>
      </c>
      <c r="D4" s="8" t="inlineStr">
        <is>
          <t>Earnings Down / Juros Down</t>
        </is>
      </c>
      <c r="E4" s="8" t="inlineStr">
        <is>
          <t>Earnings Down / Juros Up</t>
        </is>
      </c>
    </row>
    <row r="5">
      <c r="A5" s="25" t="n">
        <v>38810</v>
      </c>
      <c r="B5" s="22" t="n">
        <v>0</v>
      </c>
      <c r="C5" s="22" t="n">
        <v>0</v>
      </c>
      <c r="D5" s="22" t="n">
        <v>0</v>
      </c>
      <c r="E5" s="22" t="n">
        <v>0</v>
      </c>
    </row>
    <row r="6">
      <c r="A6" s="25" t="n">
        <v>38811</v>
      </c>
      <c r="B6" s="22">
        <f>(1+B5)*IF(AND(Painel_diario!$H2="EU_JD",Painel_diario!$J2=1),EXP(Painel_diario!$L2),1)-1</f>
        <v/>
      </c>
      <c r="C6" s="22">
        <f>(1+C5)*IF(AND(Painel_diario!$H2="EU_JU",Painel_diario!$J2=1),EXP(Painel_diario!$L2),1)-1</f>
        <v/>
      </c>
      <c r="D6" s="22">
        <f>(1+D5)*IF(AND(Painel_diario!$H2="ED_JD",Painel_diario!$J2=1),EXP(Painel_diario!$L2),1)-1</f>
        <v/>
      </c>
      <c r="E6" s="22">
        <f>(1+E5)*IF(AND(Painel_diario!$H2="ED_JU",Painel_diario!$J2=1),EXP(Painel_diario!$L2),1)-1</f>
        <v/>
      </c>
    </row>
    <row r="7">
      <c r="A7" s="25" t="n">
        <v>38812</v>
      </c>
      <c r="B7" s="22">
        <f>(1+B6)*IF(AND(Painel_diario!$H3="EU_JD",Painel_diario!$J3=1),EXP(Painel_diario!$L3),1)-1</f>
        <v/>
      </c>
      <c r="C7" s="22">
        <f>(1+C6)*IF(AND(Painel_diario!$H3="EU_JU",Painel_diario!$J3=1),EXP(Painel_diario!$L3),1)-1</f>
        <v/>
      </c>
      <c r="D7" s="22">
        <f>(1+D6)*IF(AND(Painel_diario!$H3="ED_JD",Painel_diario!$J3=1),EXP(Painel_diario!$L3),1)-1</f>
        <v/>
      </c>
      <c r="E7" s="22">
        <f>(1+E6)*IF(AND(Painel_diario!$H3="ED_JU",Painel_diario!$J3=1),EXP(Painel_diario!$L3),1)-1</f>
        <v/>
      </c>
    </row>
    <row r="8">
      <c r="A8" s="25" t="n">
        <v>38813</v>
      </c>
      <c r="B8" s="22">
        <f>(1+B7)*IF(AND(Painel_diario!$H4="EU_JD",Painel_diario!$J4=1),EXP(Painel_diario!$L4),1)-1</f>
        <v/>
      </c>
      <c r="C8" s="22">
        <f>(1+C7)*IF(AND(Painel_diario!$H4="EU_JU",Painel_diario!$J4=1),EXP(Painel_diario!$L4),1)-1</f>
        <v/>
      </c>
      <c r="D8" s="22">
        <f>(1+D7)*IF(AND(Painel_diario!$H4="ED_JD",Painel_diario!$J4=1),EXP(Painel_diario!$L4),1)-1</f>
        <v/>
      </c>
      <c r="E8" s="22">
        <f>(1+E7)*IF(AND(Painel_diario!$H4="ED_JU",Painel_diario!$J4=1),EXP(Painel_diario!$L4),1)-1</f>
        <v/>
      </c>
    </row>
    <row r="9">
      <c r="A9" s="25" t="n">
        <v>38814</v>
      </c>
      <c r="B9" s="22">
        <f>(1+B8)*IF(AND(Painel_diario!$H5="EU_JD",Painel_diario!$J5=1),EXP(Painel_diario!$L5),1)-1</f>
        <v/>
      </c>
      <c r="C9" s="22">
        <f>(1+C8)*IF(AND(Painel_diario!$H5="EU_JU",Painel_diario!$J5=1),EXP(Painel_diario!$L5),1)-1</f>
        <v/>
      </c>
      <c r="D9" s="22">
        <f>(1+D8)*IF(AND(Painel_diario!$H5="ED_JD",Painel_diario!$J5=1),EXP(Painel_diario!$L5),1)-1</f>
        <v/>
      </c>
      <c r="E9" s="22">
        <f>(1+E8)*IF(AND(Painel_diario!$H5="ED_JU",Painel_diario!$J5=1),EXP(Painel_diario!$L5),1)-1</f>
        <v/>
      </c>
    </row>
    <row r="10">
      <c r="A10" s="25" t="n">
        <v>38817</v>
      </c>
      <c r="B10" s="22">
        <f>(1+B9)*IF(AND(Painel_diario!$H6="EU_JD",Painel_diario!$J6=1),EXP(Painel_diario!$L6),1)-1</f>
        <v/>
      </c>
      <c r="C10" s="22">
        <f>(1+C9)*IF(AND(Painel_diario!$H6="EU_JU",Painel_diario!$J6=1),EXP(Painel_diario!$L6),1)-1</f>
        <v/>
      </c>
      <c r="D10" s="22">
        <f>(1+D9)*IF(AND(Painel_diario!$H6="ED_JD",Painel_diario!$J6=1),EXP(Painel_diario!$L6),1)-1</f>
        <v/>
      </c>
      <c r="E10" s="22">
        <f>(1+E9)*IF(AND(Painel_diario!$H6="ED_JU",Painel_diario!$J6=1),EXP(Painel_diario!$L6),1)-1</f>
        <v/>
      </c>
    </row>
    <row r="11">
      <c r="A11" s="25" t="n">
        <v>38818</v>
      </c>
      <c r="B11" s="22">
        <f>(1+B10)*IF(AND(Painel_diario!$H7="EU_JD",Painel_diario!$J7=1),EXP(Painel_diario!$L7),1)-1</f>
        <v/>
      </c>
      <c r="C11" s="22">
        <f>(1+C10)*IF(AND(Painel_diario!$H7="EU_JU",Painel_diario!$J7=1),EXP(Painel_diario!$L7),1)-1</f>
        <v/>
      </c>
      <c r="D11" s="22">
        <f>(1+D10)*IF(AND(Painel_diario!$H7="ED_JD",Painel_diario!$J7=1),EXP(Painel_diario!$L7),1)-1</f>
        <v/>
      </c>
      <c r="E11" s="22">
        <f>(1+E10)*IF(AND(Painel_diario!$H7="ED_JU",Painel_diario!$J7=1),EXP(Painel_diario!$L7),1)-1</f>
        <v/>
      </c>
    </row>
    <row r="12">
      <c r="A12" s="25" t="n">
        <v>38819</v>
      </c>
      <c r="B12" s="22">
        <f>(1+B11)*IF(AND(Painel_diario!$H8="EU_JD",Painel_diario!$J8=1),EXP(Painel_diario!$L8),1)-1</f>
        <v/>
      </c>
      <c r="C12" s="22">
        <f>(1+C11)*IF(AND(Painel_diario!$H8="EU_JU",Painel_diario!$J8=1),EXP(Painel_diario!$L8),1)-1</f>
        <v/>
      </c>
      <c r="D12" s="22">
        <f>(1+D11)*IF(AND(Painel_diario!$H8="ED_JD",Painel_diario!$J8=1),EXP(Painel_diario!$L8),1)-1</f>
        <v/>
      </c>
      <c r="E12" s="22">
        <f>(1+E11)*IF(AND(Painel_diario!$H8="ED_JU",Painel_diario!$J8=1),EXP(Painel_diario!$L8),1)-1</f>
        <v/>
      </c>
    </row>
    <row r="13">
      <c r="A13" s="25" t="n">
        <v>38820</v>
      </c>
      <c r="B13" s="22">
        <f>(1+B12)*IF(AND(Painel_diario!$H9="EU_JD",Painel_diario!$J9=1),EXP(Painel_diario!$L9),1)-1</f>
        <v/>
      </c>
      <c r="C13" s="22">
        <f>(1+C12)*IF(AND(Painel_diario!$H9="EU_JU",Painel_diario!$J9=1),EXP(Painel_diario!$L9),1)-1</f>
        <v/>
      </c>
      <c r="D13" s="22">
        <f>(1+D12)*IF(AND(Painel_diario!$H9="ED_JD",Painel_diario!$J9=1),EXP(Painel_diario!$L9),1)-1</f>
        <v/>
      </c>
      <c r="E13" s="22">
        <f>(1+E12)*IF(AND(Painel_diario!$H9="ED_JU",Painel_diario!$J9=1),EXP(Painel_diario!$L9),1)-1</f>
        <v/>
      </c>
    </row>
    <row r="14">
      <c r="A14" s="25" t="n">
        <v>38824</v>
      </c>
      <c r="B14" s="22">
        <f>(1+B13)*IF(AND(Painel_diario!$H10="EU_JD",Painel_diario!$J10=1),EXP(Painel_diario!$L10),1)-1</f>
        <v/>
      </c>
      <c r="C14" s="22">
        <f>(1+C13)*IF(AND(Painel_diario!$H10="EU_JU",Painel_diario!$J10=1),EXP(Painel_diario!$L10),1)-1</f>
        <v/>
      </c>
      <c r="D14" s="22">
        <f>(1+D13)*IF(AND(Painel_diario!$H10="ED_JD",Painel_diario!$J10=1),EXP(Painel_diario!$L10),1)-1</f>
        <v/>
      </c>
      <c r="E14" s="22">
        <f>(1+E13)*IF(AND(Painel_diario!$H10="ED_JU",Painel_diario!$J10=1),EXP(Painel_diario!$L10),1)-1</f>
        <v/>
      </c>
    </row>
    <row r="15">
      <c r="A15" s="25" t="n">
        <v>38825</v>
      </c>
      <c r="B15" s="22">
        <f>(1+B14)*IF(AND(Painel_diario!$H11="EU_JD",Painel_diario!$J11=1),EXP(Painel_diario!$L11),1)-1</f>
        <v/>
      </c>
      <c r="C15" s="22">
        <f>(1+C14)*IF(AND(Painel_diario!$H11="EU_JU",Painel_diario!$J11=1),EXP(Painel_diario!$L11),1)-1</f>
        <v/>
      </c>
      <c r="D15" s="22">
        <f>(1+D14)*IF(AND(Painel_diario!$H11="ED_JD",Painel_diario!$J11=1),EXP(Painel_diario!$L11),1)-1</f>
        <v/>
      </c>
      <c r="E15" s="22">
        <f>(1+E14)*IF(AND(Painel_diario!$H11="ED_JU",Painel_diario!$J11=1),EXP(Painel_diario!$L11),1)-1</f>
        <v/>
      </c>
    </row>
    <row r="16">
      <c r="A16" s="25" t="n">
        <v>38826</v>
      </c>
      <c r="B16" s="22">
        <f>(1+B15)*IF(AND(Painel_diario!$H12="EU_JD",Painel_diario!$J12=1),EXP(Painel_diario!$L12),1)-1</f>
        <v/>
      </c>
      <c r="C16" s="22">
        <f>(1+C15)*IF(AND(Painel_diario!$H12="EU_JU",Painel_diario!$J12=1),EXP(Painel_diario!$L12),1)-1</f>
        <v/>
      </c>
      <c r="D16" s="22">
        <f>(1+D15)*IF(AND(Painel_diario!$H12="ED_JD",Painel_diario!$J12=1),EXP(Painel_diario!$L12),1)-1</f>
        <v/>
      </c>
      <c r="E16" s="22">
        <f>(1+E15)*IF(AND(Painel_diario!$H12="ED_JU",Painel_diario!$J12=1),EXP(Painel_diario!$L12),1)-1</f>
        <v/>
      </c>
    </row>
    <row r="17">
      <c r="A17" s="25" t="n">
        <v>38827</v>
      </c>
      <c r="B17" s="22">
        <f>(1+B16)*IF(AND(Painel_diario!$H13="EU_JD",Painel_diario!$J13=1),EXP(Painel_diario!$L13),1)-1</f>
        <v/>
      </c>
      <c r="C17" s="22">
        <f>(1+C16)*IF(AND(Painel_diario!$H13="EU_JU",Painel_diario!$J13=1),EXP(Painel_diario!$L13),1)-1</f>
        <v/>
      </c>
      <c r="D17" s="22">
        <f>(1+D16)*IF(AND(Painel_diario!$H13="ED_JD",Painel_diario!$J13=1),EXP(Painel_diario!$L13),1)-1</f>
        <v/>
      </c>
      <c r="E17" s="22">
        <f>(1+E16)*IF(AND(Painel_diario!$H13="ED_JU",Painel_diario!$J13=1),EXP(Painel_diario!$L13),1)-1</f>
        <v/>
      </c>
    </row>
    <row r="18">
      <c r="A18" s="25" t="n">
        <v>38831</v>
      </c>
      <c r="B18" s="22">
        <f>(1+B17)*IF(AND(Painel_diario!$H14="EU_JD",Painel_diario!$J14=1),EXP(Painel_diario!$L14),1)-1</f>
        <v/>
      </c>
      <c r="C18" s="22">
        <f>(1+C17)*IF(AND(Painel_diario!$H14="EU_JU",Painel_diario!$J14=1),EXP(Painel_diario!$L14),1)-1</f>
        <v/>
      </c>
      <c r="D18" s="22">
        <f>(1+D17)*IF(AND(Painel_diario!$H14="ED_JD",Painel_diario!$J14=1),EXP(Painel_diario!$L14),1)-1</f>
        <v/>
      </c>
      <c r="E18" s="22">
        <f>(1+E17)*IF(AND(Painel_diario!$H14="ED_JU",Painel_diario!$J14=1),EXP(Painel_diario!$L14),1)-1</f>
        <v/>
      </c>
    </row>
    <row r="19">
      <c r="A19" s="25" t="n">
        <v>38832</v>
      </c>
      <c r="B19" s="22">
        <f>(1+B18)*IF(AND(Painel_diario!$H15="EU_JD",Painel_diario!$J15=1),EXP(Painel_diario!$L15),1)-1</f>
        <v/>
      </c>
      <c r="C19" s="22">
        <f>(1+C18)*IF(AND(Painel_diario!$H15="EU_JU",Painel_diario!$J15=1),EXP(Painel_diario!$L15),1)-1</f>
        <v/>
      </c>
      <c r="D19" s="22">
        <f>(1+D18)*IF(AND(Painel_diario!$H15="ED_JD",Painel_diario!$J15=1),EXP(Painel_diario!$L15),1)-1</f>
        <v/>
      </c>
      <c r="E19" s="22">
        <f>(1+E18)*IF(AND(Painel_diario!$H15="ED_JU",Painel_diario!$J15=1),EXP(Painel_diario!$L15),1)-1</f>
        <v/>
      </c>
    </row>
    <row r="20">
      <c r="A20" s="25" t="n">
        <v>38833</v>
      </c>
      <c r="B20" s="22">
        <f>(1+B19)*IF(AND(Painel_diario!$H16="EU_JD",Painel_diario!$J16=1),EXP(Painel_diario!$L16),1)-1</f>
        <v/>
      </c>
      <c r="C20" s="22">
        <f>(1+C19)*IF(AND(Painel_diario!$H16="EU_JU",Painel_diario!$J16=1),EXP(Painel_diario!$L16),1)-1</f>
        <v/>
      </c>
      <c r="D20" s="22">
        <f>(1+D19)*IF(AND(Painel_diario!$H16="ED_JD",Painel_diario!$J16=1),EXP(Painel_diario!$L16),1)-1</f>
        <v/>
      </c>
      <c r="E20" s="22">
        <f>(1+E19)*IF(AND(Painel_diario!$H16="ED_JU",Painel_diario!$J16=1),EXP(Painel_diario!$L16),1)-1</f>
        <v/>
      </c>
    </row>
    <row r="21">
      <c r="A21" s="25" t="n">
        <v>38834</v>
      </c>
      <c r="B21" s="22">
        <f>(1+B20)*IF(AND(Painel_diario!$H17="EU_JD",Painel_diario!$J17=1),EXP(Painel_diario!$L17),1)-1</f>
        <v/>
      </c>
      <c r="C21" s="22">
        <f>(1+C20)*IF(AND(Painel_diario!$H17="EU_JU",Painel_diario!$J17=1),EXP(Painel_diario!$L17),1)-1</f>
        <v/>
      </c>
      <c r="D21" s="22">
        <f>(1+D20)*IF(AND(Painel_diario!$H17="ED_JD",Painel_diario!$J17=1),EXP(Painel_diario!$L17),1)-1</f>
        <v/>
      </c>
      <c r="E21" s="22">
        <f>(1+E20)*IF(AND(Painel_diario!$H17="ED_JU",Painel_diario!$J17=1),EXP(Painel_diario!$L17),1)-1</f>
        <v/>
      </c>
    </row>
    <row r="22">
      <c r="A22" s="25" t="n">
        <v>38835</v>
      </c>
      <c r="B22" s="22">
        <f>(1+B21)*IF(AND(Painel_diario!$H18="EU_JD",Painel_diario!$J18=1),EXP(Painel_diario!$L18),1)-1</f>
        <v/>
      </c>
      <c r="C22" s="22">
        <f>(1+C21)*IF(AND(Painel_diario!$H18="EU_JU",Painel_diario!$J18=1),EXP(Painel_diario!$L18),1)-1</f>
        <v/>
      </c>
      <c r="D22" s="22">
        <f>(1+D21)*IF(AND(Painel_diario!$H18="ED_JD",Painel_diario!$J18=1),EXP(Painel_diario!$L18),1)-1</f>
        <v/>
      </c>
      <c r="E22" s="22">
        <f>(1+E21)*IF(AND(Painel_diario!$H18="ED_JU",Painel_diario!$J18=1),EXP(Painel_diario!$L18),1)-1</f>
        <v/>
      </c>
    </row>
    <row r="23">
      <c r="A23" s="25" t="n">
        <v>38839</v>
      </c>
      <c r="B23" s="22">
        <f>(1+B22)*IF(AND(Painel_diario!$H19="EU_JD",Painel_diario!$J19=1),EXP(Painel_diario!$L19),1)-1</f>
        <v/>
      </c>
      <c r="C23" s="22">
        <f>(1+C22)*IF(AND(Painel_diario!$H19="EU_JU",Painel_diario!$J19=1),EXP(Painel_diario!$L19),1)-1</f>
        <v/>
      </c>
      <c r="D23" s="22">
        <f>(1+D22)*IF(AND(Painel_diario!$H19="ED_JD",Painel_diario!$J19=1),EXP(Painel_diario!$L19),1)-1</f>
        <v/>
      </c>
      <c r="E23" s="22">
        <f>(1+E22)*IF(AND(Painel_diario!$H19="ED_JU",Painel_diario!$J19=1),EXP(Painel_diario!$L19),1)-1</f>
        <v/>
      </c>
    </row>
    <row r="24">
      <c r="A24" s="25" t="n">
        <v>38840</v>
      </c>
      <c r="B24" s="22">
        <f>(1+B23)*IF(AND(Painel_diario!$H20="EU_JD",Painel_diario!$J20=1),EXP(Painel_diario!$L20),1)-1</f>
        <v/>
      </c>
      <c r="C24" s="22">
        <f>(1+C23)*IF(AND(Painel_diario!$H20="EU_JU",Painel_diario!$J20=1),EXP(Painel_diario!$L20),1)-1</f>
        <v/>
      </c>
      <c r="D24" s="22">
        <f>(1+D23)*IF(AND(Painel_diario!$H20="ED_JD",Painel_diario!$J20=1),EXP(Painel_diario!$L20),1)-1</f>
        <v/>
      </c>
      <c r="E24" s="22">
        <f>(1+E23)*IF(AND(Painel_diario!$H20="ED_JU",Painel_diario!$J20=1),EXP(Painel_diario!$L20),1)-1</f>
        <v/>
      </c>
    </row>
    <row r="25">
      <c r="A25" s="25" t="n">
        <v>38841</v>
      </c>
      <c r="B25" s="22">
        <f>(1+B24)*IF(AND(Painel_diario!$H21="EU_JD",Painel_diario!$J21=1),EXP(Painel_diario!$L21),1)-1</f>
        <v/>
      </c>
      <c r="C25" s="22">
        <f>(1+C24)*IF(AND(Painel_diario!$H21="EU_JU",Painel_diario!$J21=1),EXP(Painel_diario!$L21),1)-1</f>
        <v/>
      </c>
      <c r="D25" s="22">
        <f>(1+D24)*IF(AND(Painel_diario!$H21="ED_JD",Painel_diario!$J21=1),EXP(Painel_diario!$L21),1)-1</f>
        <v/>
      </c>
      <c r="E25" s="22">
        <f>(1+E24)*IF(AND(Painel_diario!$H21="ED_JU",Painel_diario!$J21=1),EXP(Painel_diario!$L21),1)-1</f>
        <v/>
      </c>
    </row>
    <row r="26">
      <c r="A26" s="25" t="n">
        <v>38842</v>
      </c>
      <c r="B26" s="22">
        <f>(1+B25)*IF(AND(Painel_diario!$H22="EU_JD",Painel_diario!$J22=1),EXP(Painel_diario!$L22),1)-1</f>
        <v/>
      </c>
      <c r="C26" s="22">
        <f>(1+C25)*IF(AND(Painel_diario!$H22="EU_JU",Painel_diario!$J22=1),EXP(Painel_diario!$L22),1)-1</f>
        <v/>
      </c>
      <c r="D26" s="22">
        <f>(1+D25)*IF(AND(Painel_diario!$H22="ED_JD",Painel_diario!$J22=1),EXP(Painel_diario!$L22),1)-1</f>
        <v/>
      </c>
      <c r="E26" s="22">
        <f>(1+E25)*IF(AND(Painel_diario!$H22="ED_JU",Painel_diario!$J22=1),EXP(Painel_diario!$L22),1)-1</f>
        <v/>
      </c>
    </row>
    <row r="27">
      <c r="A27" s="25" t="n">
        <v>38845</v>
      </c>
      <c r="B27" s="22">
        <f>(1+B26)*IF(AND(Painel_diario!$H23="EU_JD",Painel_diario!$J23=1),EXP(Painel_diario!$L23),1)-1</f>
        <v/>
      </c>
      <c r="C27" s="22">
        <f>(1+C26)*IF(AND(Painel_diario!$H23="EU_JU",Painel_diario!$J23=1),EXP(Painel_diario!$L23),1)-1</f>
        <v/>
      </c>
      <c r="D27" s="22">
        <f>(1+D26)*IF(AND(Painel_diario!$H23="ED_JD",Painel_diario!$J23=1),EXP(Painel_diario!$L23),1)-1</f>
        <v/>
      </c>
      <c r="E27" s="22">
        <f>(1+E26)*IF(AND(Painel_diario!$H23="ED_JU",Painel_diario!$J23=1),EXP(Painel_diario!$L23),1)-1</f>
        <v/>
      </c>
    </row>
    <row r="28">
      <c r="A28" s="25" t="n">
        <v>38846</v>
      </c>
      <c r="B28" s="22">
        <f>(1+B27)*IF(AND(Painel_diario!$H24="EU_JD",Painel_diario!$J24=1),EXP(Painel_diario!$L24),1)-1</f>
        <v/>
      </c>
      <c r="C28" s="22">
        <f>(1+C27)*IF(AND(Painel_diario!$H24="EU_JU",Painel_diario!$J24=1),EXP(Painel_diario!$L24),1)-1</f>
        <v/>
      </c>
      <c r="D28" s="22">
        <f>(1+D27)*IF(AND(Painel_diario!$H24="ED_JD",Painel_diario!$J24=1),EXP(Painel_diario!$L24),1)-1</f>
        <v/>
      </c>
      <c r="E28" s="22">
        <f>(1+E27)*IF(AND(Painel_diario!$H24="ED_JU",Painel_diario!$J24=1),EXP(Painel_diario!$L24),1)-1</f>
        <v/>
      </c>
    </row>
    <row r="29">
      <c r="A29" s="25" t="n">
        <v>38847</v>
      </c>
      <c r="B29" s="22">
        <f>(1+B28)*IF(AND(Painel_diario!$H25="EU_JD",Painel_diario!$J25=1),EXP(Painel_diario!$L25),1)-1</f>
        <v/>
      </c>
      <c r="C29" s="22">
        <f>(1+C28)*IF(AND(Painel_diario!$H25="EU_JU",Painel_diario!$J25=1),EXP(Painel_diario!$L25),1)-1</f>
        <v/>
      </c>
      <c r="D29" s="22">
        <f>(1+D28)*IF(AND(Painel_diario!$H25="ED_JD",Painel_diario!$J25=1),EXP(Painel_diario!$L25),1)-1</f>
        <v/>
      </c>
      <c r="E29" s="22">
        <f>(1+E28)*IF(AND(Painel_diario!$H25="ED_JU",Painel_diario!$J25=1),EXP(Painel_diario!$L25),1)-1</f>
        <v/>
      </c>
    </row>
    <row r="30">
      <c r="A30" s="25" t="n">
        <v>38848</v>
      </c>
      <c r="B30" s="22">
        <f>(1+B29)*IF(AND(Painel_diario!$H26="EU_JD",Painel_diario!$J26=1),EXP(Painel_diario!$L26),1)-1</f>
        <v/>
      </c>
      <c r="C30" s="22">
        <f>(1+C29)*IF(AND(Painel_diario!$H26="EU_JU",Painel_diario!$J26=1),EXP(Painel_diario!$L26),1)-1</f>
        <v/>
      </c>
      <c r="D30" s="22">
        <f>(1+D29)*IF(AND(Painel_diario!$H26="ED_JD",Painel_diario!$J26=1),EXP(Painel_diario!$L26),1)-1</f>
        <v/>
      </c>
      <c r="E30" s="22">
        <f>(1+E29)*IF(AND(Painel_diario!$H26="ED_JU",Painel_diario!$J26=1),EXP(Painel_diario!$L26),1)-1</f>
        <v/>
      </c>
    </row>
    <row r="31">
      <c r="A31" s="25" t="n">
        <v>38849</v>
      </c>
      <c r="B31" s="22">
        <f>(1+B30)*IF(AND(Painel_diario!$H27="EU_JD",Painel_diario!$J27=1),EXP(Painel_diario!$L27),1)-1</f>
        <v/>
      </c>
      <c r="C31" s="22">
        <f>(1+C30)*IF(AND(Painel_diario!$H27="EU_JU",Painel_diario!$J27=1),EXP(Painel_diario!$L27),1)-1</f>
        <v/>
      </c>
      <c r="D31" s="22">
        <f>(1+D30)*IF(AND(Painel_diario!$H27="ED_JD",Painel_diario!$J27=1),EXP(Painel_diario!$L27),1)-1</f>
        <v/>
      </c>
      <c r="E31" s="22">
        <f>(1+E30)*IF(AND(Painel_diario!$H27="ED_JU",Painel_diario!$J27=1),EXP(Painel_diario!$L27),1)-1</f>
        <v/>
      </c>
    </row>
    <row r="32">
      <c r="A32" s="25" t="n">
        <v>38852</v>
      </c>
      <c r="B32" s="22">
        <f>(1+B31)*IF(AND(Painel_diario!$H28="EU_JD",Painel_diario!$J28=1),EXP(Painel_diario!$L28),1)-1</f>
        <v/>
      </c>
      <c r="C32" s="22">
        <f>(1+C31)*IF(AND(Painel_diario!$H28="EU_JU",Painel_diario!$J28=1),EXP(Painel_diario!$L28),1)-1</f>
        <v/>
      </c>
      <c r="D32" s="22">
        <f>(1+D31)*IF(AND(Painel_diario!$H28="ED_JD",Painel_diario!$J28=1),EXP(Painel_diario!$L28),1)-1</f>
        <v/>
      </c>
      <c r="E32" s="22">
        <f>(1+E31)*IF(AND(Painel_diario!$H28="ED_JU",Painel_diario!$J28=1),EXP(Painel_diario!$L28),1)-1</f>
        <v/>
      </c>
    </row>
    <row r="33">
      <c r="A33" s="25" t="n">
        <v>38853</v>
      </c>
      <c r="B33" s="22">
        <f>(1+B32)*IF(AND(Painel_diario!$H29="EU_JD",Painel_diario!$J29=1),EXP(Painel_diario!$L29),1)-1</f>
        <v/>
      </c>
      <c r="C33" s="22">
        <f>(1+C32)*IF(AND(Painel_diario!$H29="EU_JU",Painel_diario!$J29=1),EXP(Painel_diario!$L29),1)-1</f>
        <v/>
      </c>
      <c r="D33" s="22">
        <f>(1+D32)*IF(AND(Painel_diario!$H29="ED_JD",Painel_diario!$J29=1),EXP(Painel_diario!$L29),1)-1</f>
        <v/>
      </c>
      <c r="E33" s="22">
        <f>(1+E32)*IF(AND(Painel_diario!$H29="ED_JU",Painel_diario!$J29=1),EXP(Painel_diario!$L29),1)-1</f>
        <v/>
      </c>
    </row>
    <row r="34">
      <c r="A34" s="25" t="n">
        <v>38854</v>
      </c>
      <c r="B34" s="22">
        <f>(1+B33)*IF(AND(Painel_diario!$H30="EU_JD",Painel_diario!$J30=1),EXP(Painel_diario!$L30),1)-1</f>
        <v/>
      </c>
      <c r="C34" s="22">
        <f>(1+C33)*IF(AND(Painel_diario!$H30="EU_JU",Painel_diario!$J30=1),EXP(Painel_diario!$L30),1)-1</f>
        <v/>
      </c>
      <c r="D34" s="22">
        <f>(1+D33)*IF(AND(Painel_diario!$H30="ED_JD",Painel_diario!$J30=1),EXP(Painel_diario!$L30),1)-1</f>
        <v/>
      </c>
      <c r="E34" s="22">
        <f>(1+E33)*IF(AND(Painel_diario!$H30="ED_JU",Painel_diario!$J30=1),EXP(Painel_diario!$L30),1)-1</f>
        <v/>
      </c>
    </row>
    <row r="35">
      <c r="A35" s="25" t="n">
        <v>38855</v>
      </c>
      <c r="B35" s="22">
        <f>(1+B34)*IF(AND(Painel_diario!$H31="EU_JD",Painel_diario!$J31=1),EXP(Painel_diario!$L31),1)-1</f>
        <v/>
      </c>
      <c r="C35" s="22">
        <f>(1+C34)*IF(AND(Painel_diario!$H31="EU_JU",Painel_diario!$J31=1),EXP(Painel_diario!$L31),1)-1</f>
        <v/>
      </c>
      <c r="D35" s="22">
        <f>(1+D34)*IF(AND(Painel_diario!$H31="ED_JD",Painel_diario!$J31=1),EXP(Painel_diario!$L31),1)-1</f>
        <v/>
      </c>
      <c r="E35" s="22">
        <f>(1+E34)*IF(AND(Painel_diario!$H31="ED_JU",Painel_diario!$J31=1),EXP(Painel_diario!$L31),1)-1</f>
        <v/>
      </c>
    </row>
    <row r="36">
      <c r="A36" s="25" t="n">
        <v>38856</v>
      </c>
      <c r="B36" s="22">
        <f>(1+B35)*IF(AND(Painel_diario!$H32="EU_JD",Painel_diario!$J32=1),EXP(Painel_diario!$L32),1)-1</f>
        <v/>
      </c>
      <c r="C36" s="22">
        <f>(1+C35)*IF(AND(Painel_diario!$H32="EU_JU",Painel_diario!$J32=1),EXP(Painel_diario!$L32),1)-1</f>
        <v/>
      </c>
      <c r="D36" s="22">
        <f>(1+D35)*IF(AND(Painel_diario!$H32="ED_JD",Painel_diario!$J32=1),EXP(Painel_diario!$L32),1)-1</f>
        <v/>
      </c>
      <c r="E36" s="22">
        <f>(1+E35)*IF(AND(Painel_diario!$H32="ED_JU",Painel_diario!$J32=1),EXP(Painel_diario!$L32),1)-1</f>
        <v/>
      </c>
    </row>
    <row r="37">
      <c r="A37" s="25" t="n">
        <v>38859</v>
      </c>
      <c r="B37" s="22">
        <f>(1+B36)*IF(AND(Painel_diario!$H33="EU_JD",Painel_diario!$J33=1),EXP(Painel_diario!$L33),1)-1</f>
        <v/>
      </c>
      <c r="C37" s="22">
        <f>(1+C36)*IF(AND(Painel_diario!$H33="EU_JU",Painel_diario!$J33=1),EXP(Painel_diario!$L33),1)-1</f>
        <v/>
      </c>
      <c r="D37" s="22">
        <f>(1+D36)*IF(AND(Painel_diario!$H33="ED_JD",Painel_diario!$J33=1),EXP(Painel_diario!$L33),1)-1</f>
        <v/>
      </c>
      <c r="E37" s="22">
        <f>(1+E36)*IF(AND(Painel_diario!$H33="ED_JU",Painel_diario!$J33=1),EXP(Painel_diario!$L33),1)-1</f>
        <v/>
      </c>
    </row>
    <row r="38">
      <c r="A38" s="25" t="n">
        <v>38860</v>
      </c>
      <c r="B38" s="22">
        <f>(1+B37)*IF(AND(Painel_diario!$H34="EU_JD",Painel_diario!$J34=1),EXP(Painel_diario!$L34),1)-1</f>
        <v/>
      </c>
      <c r="C38" s="22">
        <f>(1+C37)*IF(AND(Painel_diario!$H34="EU_JU",Painel_diario!$J34=1),EXP(Painel_diario!$L34),1)-1</f>
        <v/>
      </c>
      <c r="D38" s="22">
        <f>(1+D37)*IF(AND(Painel_diario!$H34="ED_JD",Painel_diario!$J34=1),EXP(Painel_diario!$L34),1)-1</f>
        <v/>
      </c>
      <c r="E38" s="22">
        <f>(1+E37)*IF(AND(Painel_diario!$H34="ED_JU",Painel_diario!$J34=1),EXP(Painel_diario!$L34),1)-1</f>
        <v/>
      </c>
    </row>
    <row r="39">
      <c r="A39" s="25" t="n">
        <v>38861</v>
      </c>
      <c r="B39" s="22">
        <f>(1+B38)*IF(AND(Painel_diario!$H35="EU_JD",Painel_diario!$J35=1),EXP(Painel_diario!$L35),1)-1</f>
        <v/>
      </c>
      <c r="C39" s="22">
        <f>(1+C38)*IF(AND(Painel_diario!$H35="EU_JU",Painel_diario!$J35=1),EXP(Painel_diario!$L35),1)-1</f>
        <v/>
      </c>
      <c r="D39" s="22">
        <f>(1+D38)*IF(AND(Painel_diario!$H35="ED_JD",Painel_diario!$J35=1),EXP(Painel_diario!$L35),1)-1</f>
        <v/>
      </c>
      <c r="E39" s="22">
        <f>(1+E38)*IF(AND(Painel_diario!$H35="ED_JU",Painel_diario!$J35=1),EXP(Painel_diario!$L35),1)-1</f>
        <v/>
      </c>
    </row>
    <row r="40">
      <c r="A40" s="25" t="n">
        <v>38862</v>
      </c>
      <c r="B40" s="22">
        <f>(1+B39)*IF(AND(Painel_diario!$H36="EU_JD",Painel_diario!$J36=1),EXP(Painel_diario!$L36),1)-1</f>
        <v/>
      </c>
      <c r="C40" s="22">
        <f>(1+C39)*IF(AND(Painel_diario!$H36="EU_JU",Painel_diario!$J36=1),EXP(Painel_diario!$L36),1)-1</f>
        <v/>
      </c>
      <c r="D40" s="22">
        <f>(1+D39)*IF(AND(Painel_diario!$H36="ED_JD",Painel_diario!$J36=1),EXP(Painel_diario!$L36),1)-1</f>
        <v/>
      </c>
      <c r="E40" s="22">
        <f>(1+E39)*IF(AND(Painel_diario!$H36="ED_JU",Painel_diario!$J36=1),EXP(Painel_diario!$L36),1)-1</f>
        <v/>
      </c>
    </row>
    <row r="41">
      <c r="A41" s="25" t="n">
        <v>38863</v>
      </c>
      <c r="B41" s="22">
        <f>(1+B40)*IF(AND(Painel_diario!$H37="EU_JD",Painel_diario!$J37=1),EXP(Painel_diario!$L37),1)-1</f>
        <v/>
      </c>
      <c r="C41" s="22">
        <f>(1+C40)*IF(AND(Painel_diario!$H37="EU_JU",Painel_diario!$J37=1),EXP(Painel_diario!$L37),1)-1</f>
        <v/>
      </c>
      <c r="D41" s="22">
        <f>(1+D40)*IF(AND(Painel_diario!$H37="ED_JD",Painel_diario!$J37=1),EXP(Painel_diario!$L37),1)-1</f>
        <v/>
      </c>
      <c r="E41" s="22">
        <f>(1+E40)*IF(AND(Painel_diario!$H37="ED_JU",Painel_diario!$J37=1),EXP(Painel_diario!$L37),1)-1</f>
        <v/>
      </c>
    </row>
    <row r="42">
      <c r="A42" s="25" t="n">
        <v>38866</v>
      </c>
      <c r="B42" s="22">
        <f>(1+B41)*IF(AND(Painel_diario!$H38="EU_JD",Painel_diario!$J38=1),EXP(Painel_diario!$L38),1)-1</f>
        <v/>
      </c>
      <c r="C42" s="22">
        <f>(1+C41)*IF(AND(Painel_diario!$H38="EU_JU",Painel_diario!$J38=1),EXP(Painel_diario!$L38),1)-1</f>
        <v/>
      </c>
      <c r="D42" s="22">
        <f>(1+D41)*IF(AND(Painel_diario!$H38="ED_JD",Painel_diario!$J38=1),EXP(Painel_diario!$L38),1)-1</f>
        <v/>
      </c>
      <c r="E42" s="22">
        <f>(1+E41)*IF(AND(Painel_diario!$H38="ED_JU",Painel_diario!$J38=1),EXP(Painel_diario!$L38),1)-1</f>
        <v/>
      </c>
    </row>
    <row r="43">
      <c r="A43" s="25" t="n">
        <v>38867</v>
      </c>
      <c r="B43" s="22">
        <f>(1+B42)*IF(AND(Painel_diario!$H39="EU_JD",Painel_diario!$J39=1),EXP(Painel_diario!$L39),1)-1</f>
        <v/>
      </c>
      <c r="C43" s="22">
        <f>(1+C42)*IF(AND(Painel_diario!$H39="EU_JU",Painel_diario!$J39=1),EXP(Painel_diario!$L39),1)-1</f>
        <v/>
      </c>
      <c r="D43" s="22">
        <f>(1+D42)*IF(AND(Painel_diario!$H39="ED_JD",Painel_diario!$J39=1),EXP(Painel_diario!$L39),1)-1</f>
        <v/>
      </c>
      <c r="E43" s="22">
        <f>(1+E42)*IF(AND(Painel_diario!$H39="ED_JU",Painel_diario!$J39=1),EXP(Painel_diario!$L39),1)-1</f>
        <v/>
      </c>
    </row>
    <row r="44">
      <c r="A44" s="25" t="n">
        <v>38868</v>
      </c>
      <c r="B44" s="22">
        <f>(1+B43)*IF(AND(Painel_diario!$H40="EU_JD",Painel_diario!$J40=1),EXP(Painel_diario!$L40),1)-1</f>
        <v/>
      </c>
      <c r="C44" s="22">
        <f>(1+C43)*IF(AND(Painel_diario!$H40="EU_JU",Painel_diario!$J40=1),EXP(Painel_diario!$L40),1)-1</f>
        <v/>
      </c>
      <c r="D44" s="22">
        <f>(1+D43)*IF(AND(Painel_diario!$H40="ED_JD",Painel_diario!$J40=1),EXP(Painel_diario!$L40),1)-1</f>
        <v/>
      </c>
      <c r="E44" s="22">
        <f>(1+E43)*IF(AND(Painel_diario!$H40="ED_JU",Painel_diario!$J40=1),EXP(Painel_diario!$L40),1)-1</f>
        <v/>
      </c>
    </row>
    <row r="45">
      <c r="A45" s="25" t="n">
        <v>38869</v>
      </c>
      <c r="B45" s="22">
        <f>(1+B44)*IF(AND(Painel_diario!$H41="EU_JD",Painel_diario!$J41=1),EXP(Painel_diario!$L41),1)-1</f>
        <v/>
      </c>
      <c r="C45" s="22">
        <f>(1+C44)*IF(AND(Painel_diario!$H41="EU_JU",Painel_diario!$J41=1),EXP(Painel_diario!$L41),1)-1</f>
        <v/>
      </c>
      <c r="D45" s="22">
        <f>(1+D44)*IF(AND(Painel_diario!$H41="ED_JD",Painel_diario!$J41=1),EXP(Painel_diario!$L41),1)-1</f>
        <v/>
      </c>
      <c r="E45" s="22">
        <f>(1+E44)*IF(AND(Painel_diario!$H41="ED_JU",Painel_diario!$J41=1),EXP(Painel_diario!$L41),1)-1</f>
        <v/>
      </c>
    </row>
    <row r="46">
      <c r="A46" s="25" t="n">
        <v>38870</v>
      </c>
      <c r="B46" s="22">
        <f>(1+B45)*IF(AND(Painel_diario!$H42="EU_JD",Painel_diario!$J42=1),EXP(Painel_diario!$L42),1)-1</f>
        <v/>
      </c>
      <c r="C46" s="22">
        <f>(1+C45)*IF(AND(Painel_diario!$H42="EU_JU",Painel_diario!$J42=1),EXP(Painel_diario!$L42),1)-1</f>
        <v/>
      </c>
      <c r="D46" s="22">
        <f>(1+D45)*IF(AND(Painel_diario!$H42="ED_JD",Painel_diario!$J42=1),EXP(Painel_diario!$L42),1)-1</f>
        <v/>
      </c>
      <c r="E46" s="22">
        <f>(1+E45)*IF(AND(Painel_diario!$H42="ED_JU",Painel_diario!$J42=1),EXP(Painel_diario!$L42),1)-1</f>
        <v/>
      </c>
    </row>
    <row r="47">
      <c r="A47" s="25" t="n">
        <v>38873</v>
      </c>
      <c r="B47" s="22">
        <f>(1+B46)*IF(AND(Painel_diario!$H43="EU_JD",Painel_diario!$J43=1),EXP(Painel_diario!$L43),1)-1</f>
        <v/>
      </c>
      <c r="C47" s="22">
        <f>(1+C46)*IF(AND(Painel_diario!$H43="EU_JU",Painel_diario!$J43=1),EXP(Painel_diario!$L43),1)-1</f>
        <v/>
      </c>
      <c r="D47" s="22">
        <f>(1+D46)*IF(AND(Painel_diario!$H43="ED_JD",Painel_diario!$J43=1),EXP(Painel_diario!$L43),1)-1</f>
        <v/>
      </c>
      <c r="E47" s="22">
        <f>(1+E46)*IF(AND(Painel_diario!$H43="ED_JU",Painel_diario!$J43=1),EXP(Painel_diario!$L43),1)-1</f>
        <v/>
      </c>
    </row>
    <row r="48">
      <c r="A48" s="25" t="n">
        <v>38874</v>
      </c>
      <c r="B48" s="22">
        <f>(1+B47)*IF(AND(Painel_diario!$H44="EU_JD",Painel_diario!$J44=1),EXP(Painel_diario!$L44),1)-1</f>
        <v/>
      </c>
      <c r="C48" s="22">
        <f>(1+C47)*IF(AND(Painel_diario!$H44="EU_JU",Painel_diario!$J44=1),EXP(Painel_diario!$L44),1)-1</f>
        <v/>
      </c>
      <c r="D48" s="22">
        <f>(1+D47)*IF(AND(Painel_diario!$H44="ED_JD",Painel_diario!$J44=1),EXP(Painel_diario!$L44),1)-1</f>
        <v/>
      </c>
      <c r="E48" s="22">
        <f>(1+E47)*IF(AND(Painel_diario!$H44="ED_JU",Painel_diario!$J44=1),EXP(Painel_diario!$L44),1)-1</f>
        <v/>
      </c>
    </row>
    <row r="49">
      <c r="A49" s="25" t="n">
        <v>38875</v>
      </c>
      <c r="B49" s="22">
        <f>(1+B48)*IF(AND(Painel_diario!$H45="EU_JD",Painel_diario!$J45=1),EXP(Painel_diario!$L45),1)-1</f>
        <v/>
      </c>
      <c r="C49" s="22">
        <f>(1+C48)*IF(AND(Painel_diario!$H45="EU_JU",Painel_diario!$J45=1),EXP(Painel_diario!$L45),1)-1</f>
        <v/>
      </c>
      <c r="D49" s="22">
        <f>(1+D48)*IF(AND(Painel_diario!$H45="ED_JD",Painel_diario!$J45=1),EXP(Painel_diario!$L45),1)-1</f>
        <v/>
      </c>
      <c r="E49" s="22">
        <f>(1+E48)*IF(AND(Painel_diario!$H45="ED_JU",Painel_diario!$J45=1),EXP(Painel_diario!$L45),1)-1</f>
        <v/>
      </c>
    </row>
    <row r="50">
      <c r="A50" s="25" t="n">
        <v>38876</v>
      </c>
      <c r="B50" s="22">
        <f>(1+B49)*IF(AND(Painel_diario!$H46="EU_JD",Painel_diario!$J46=1),EXP(Painel_diario!$L46),1)-1</f>
        <v/>
      </c>
      <c r="C50" s="22">
        <f>(1+C49)*IF(AND(Painel_diario!$H46="EU_JU",Painel_diario!$J46=1),EXP(Painel_diario!$L46),1)-1</f>
        <v/>
      </c>
      <c r="D50" s="22">
        <f>(1+D49)*IF(AND(Painel_diario!$H46="ED_JD",Painel_diario!$J46=1),EXP(Painel_diario!$L46),1)-1</f>
        <v/>
      </c>
      <c r="E50" s="22">
        <f>(1+E49)*IF(AND(Painel_diario!$H46="ED_JU",Painel_diario!$J46=1),EXP(Painel_diario!$L46),1)-1</f>
        <v/>
      </c>
    </row>
    <row r="51">
      <c r="A51" s="25" t="n">
        <v>38877</v>
      </c>
      <c r="B51" s="22">
        <f>(1+B50)*IF(AND(Painel_diario!$H47="EU_JD",Painel_diario!$J47=1),EXP(Painel_diario!$L47),1)-1</f>
        <v/>
      </c>
      <c r="C51" s="22">
        <f>(1+C50)*IF(AND(Painel_diario!$H47="EU_JU",Painel_diario!$J47=1),EXP(Painel_diario!$L47),1)-1</f>
        <v/>
      </c>
      <c r="D51" s="22">
        <f>(1+D50)*IF(AND(Painel_diario!$H47="ED_JD",Painel_diario!$J47=1),EXP(Painel_diario!$L47),1)-1</f>
        <v/>
      </c>
      <c r="E51" s="22">
        <f>(1+E50)*IF(AND(Painel_diario!$H47="ED_JU",Painel_diario!$J47=1),EXP(Painel_diario!$L47),1)-1</f>
        <v/>
      </c>
    </row>
    <row r="52">
      <c r="A52" s="25" t="n">
        <v>38880</v>
      </c>
      <c r="B52" s="22">
        <f>(1+B51)*IF(AND(Painel_diario!$H48="EU_JD",Painel_diario!$J48=1),EXP(Painel_diario!$L48),1)-1</f>
        <v/>
      </c>
      <c r="C52" s="22">
        <f>(1+C51)*IF(AND(Painel_diario!$H48="EU_JU",Painel_diario!$J48=1),EXP(Painel_diario!$L48),1)-1</f>
        <v/>
      </c>
      <c r="D52" s="22">
        <f>(1+D51)*IF(AND(Painel_diario!$H48="ED_JD",Painel_diario!$J48=1),EXP(Painel_diario!$L48),1)-1</f>
        <v/>
      </c>
      <c r="E52" s="22">
        <f>(1+E51)*IF(AND(Painel_diario!$H48="ED_JU",Painel_diario!$J48=1),EXP(Painel_diario!$L48),1)-1</f>
        <v/>
      </c>
    </row>
    <row r="53">
      <c r="A53" s="25" t="n">
        <v>38881</v>
      </c>
      <c r="B53" s="22">
        <f>(1+B52)*IF(AND(Painel_diario!$H49="EU_JD",Painel_diario!$J49=1),EXP(Painel_diario!$L49),1)-1</f>
        <v/>
      </c>
      <c r="C53" s="22">
        <f>(1+C52)*IF(AND(Painel_diario!$H49="EU_JU",Painel_diario!$J49=1),EXP(Painel_diario!$L49),1)-1</f>
        <v/>
      </c>
      <c r="D53" s="22">
        <f>(1+D52)*IF(AND(Painel_diario!$H49="ED_JD",Painel_diario!$J49=1),EXP(Painel_diario!$L49),1)-1</f>
        <v/>
      </c>
      <c r="E53" s="22">
        <f>(1+E52)*IF(AND(Painel_diario!$H49="ED_JU",Painel_diario!$J49=1),EXP(Painel_diario!$L49),1)-1</f>
        <v/>
      </c>
    </row>
    <row r="54">
      <c r="A54" s="25" t="n">
        <v>38882</v>
      </c>
      <c r="B54" s="22">
        <f>(1+B53)*IF(AND(Painel_diario!$H50="EU_JD",Painel_diario!$J50=1),EXP(Painel_diario!$L50),1)-1</f>
        <v/>
      </c>
      <c r="C54" s="22">
        <f>(1+C53)*IF(AND(Painel_diario!$H50="EU_JU",Painel_diario!$J50=1),EXP(Painel_diario!$L50),1)-1</f>
        <v/>
      </c>
      <c r="D54" s="22">
        <f>(1+D53)*IF(AND(Painel_diario!$H50="ED_JD",Painel_diario!$J50=1),EXP(Painel_diario!$L50),1)-1</f>
        <v/>
      </c>
      <c r="E54" s="22">
        <f>(1+E53)*IF(AND(Painel_diario!$H50="ED_JU",Painel_diario!$J50=1),EXP(Painel_diario!$L50),1)-1</f>
        <v/>
      </c>
    </row>
    <row r="55">
      <c r="A55" s="25" t="n">
        <v>38884</v>
      </c>
      <c r="B55" s="22">
        <f>(1+B54)*IF(AND(Painel_diario!$H51="EU_JD",Painel_diario!$J51=1),EXP(Painel_diario!$L51),1)-1</f>
        <v/>
      </c>
      <c r="C55" s="22">
        <f>(1+C54)*IF(AND(Painel_diario!$H51="EU_JU",Painel_diario!$J51=1),EXP(Painel_diario!$L51),1)-1</f>
        <v/>
      </c>
      <c r="D55" s="22">
        <f>(1+D54)*IF(AND(Painel_diario!$H51="ED_JD",Painel_diario!$J51=1),EXP(Painel_diario!$L51),1)-1</f>
        <v/>
      </c>
      <c r="E55" s="22">
        <f>(1+E54)*IF(AND(Painel_diario!$H51="ED_JU",Painel_diario!$J51=1),EXP(Painel_diario!$L51),1)-1</f>
        <v/>
      </c>
    </row>
    <row r="56">
      <c r="A56" s="25" t="n">
        <v>38887</v>
      </c>
      <c r="B56" s="22">
        <f>(1+B55)*IF(AND(Painel_diario!$H52="EU_JD",Painel_diario!$J52=1),EXP(Painel_diario!$L52),1)-1</f>
        <v/>
      </c>
      <c r="C56" s="22">
        <f>(1+C55)*IF(AND(Painel_diario!$H52="EU_JU",Painel_diario!$J52=1),EXP(Painel_diario!$L52),1)-1</f>
        <v/>
      </c>
      <c r="D56" s="22">
        <f>(1+D55)*IF(AND(Painel_diario!$H52="ED_JD",Painel_diario!$J52=1),EXP(Painel_diario!$L52),1)-1</f>
        <v/>
      </c>
      <c r="E56" s="22">
        <f>(1+E55)*IF(AND(Painel_diario!$H52="ED_JU",Painel_diario!$J52=1),EXP(Painel_diario!$L52),1)-1</f>
        <v/>
      </c>
    </row>
    <row r="57">
      <c r="A57" s="25" t="n">
        <v>38888</v>
      </c>
      <c r="B57" s="22">
        <f>(1+B56)*IF(AND(Painel_diario!$H53="EU_JD",Painel_diario!$J53=1),EXP(Painel_diario!$L53),1)-1</f>
        <v/>
      </c>
      <c r="C57" s="22">
        <f>(1+C56)*IF(AND(Painel_diario!$H53="EU_JU",Painel_diario!$J53=1),EXP(Painel_diario!$L53),1)-1</f>
        <v/>
      </c>
      <c r="D57" s="22">
        <f>(1+D56)*IF(AND(Painel_diario!$H53="ED_JD",Painel_diario!$J53=1),EXP(Painel_diario!$L53),1)-1</f>
        <v/>
      </c>
      <c r="E57" s="22">
        <f>(1+E56)*IF(AND(Painel_diario!$H53="ED_JU",Painel_diario!$J53=1),EXP(Painel_diario!$L53),1)-1</f>
        <v/>
      </c>
    </row>
    <row r="58">
      <c r="A58" s="25" t="n">
        <v>38889</v>
      </c>
      <c r="B58" s="22">
        <f>(1+B57)*IF(AND(Painel_diario!$H54="EU_JD",Painel_diario!$J54=1),EXP(Painel_diario!$L54),1)-1</f>
        <v/>
      </c>
      <c r="C58" s="22">
        <f>(1+C57)*IF(AND(Painel_diario!$H54="EU_JU",Painel_diario!$J54=1),EXP(Painel_diario!$L54),1)-1</f>
        <v/>
      </c>
      <c r="D58" s="22">
        <f>(1+D57)*IF(AND(Painel_diario!$H54="ED_JD",Painel_diario!$J54=1),EXP(Painel_diario!$L54),1)-1</f>
        <v/>
      </c>
      <c r="E58" s="22">
        <f>(1+E57)*IF(AND(Painel_diario!$H54="ED_JU",Painel_diario!$J54=1),EXP(Painel_diario!$L54),1)-1</f>
        <v/>
      </c>
    </row>
    <row r="59">
      <c r="A59" s="25" t="n">
        <v>38890</v>
      </c>
      <c r="B59" s="22">
        <f>(1+B58)*IF(AND(Painel_diario!$H55="EU_JD",Painel_diario!$J55=1),EXP(Painel_diario!$L55),1)-1</f>
        <v/>
      </c>
      <c r="C59" s="22">
        <f>(1+C58)*IF(AND(Painel_diario!$H55="EU_JU",Painel_diario!$J55=1),EXP(Painel_diario!$L55),1)-1</f>
        <v/>
      </c>
      <c r="D59" s="22">
        <f>(1+D58)*IF(AND(Painel_diario!$H55="ED_JD",Painel_diario!$J55=1),EXP(Painel_diario!$L55),1)-1</f>
        <v/>
      </c>
      <c r="E59" s="22">
        <f>(1+E58)*IF(AND(Painel_diario!$H55="ED_JU",Painel_diario!$J55=1),EXP(Painel_diario!$L55),1)-1</f>
        <v/>
      </c>
    </row>
    <row r="60">
      <c r="A60" s="25" t="n">
        <v>38891</v>
      </c>
      <c r="B60" s="22">
        <f>(1+B59)*IF(AND(Painel_diario!$H56="EU_JD",Painel_diario!$J56=1),EXP(Painel_diario!$L56),1)-1</f>
        <v/>
      </c>
      <c r="C60" s="22">
        <f>(1+C59)*IF(AND(Painel_diario!$H56="EU_JU",Painel_diario!$J56=1),EXP(Painel_diario!$L56),1)-1</f>
        <v/>
      </c>
      <c r="D60" s="22">
        <f>(1+D59)*IF(AND(Painel_diario!$H56="ED_JD",Painel_diario!$J56=1),EXP(Painel_diario!$L56),1)-1</f>
        <v/>
      </c>
      <c r="E60" s="22">
        <f>(1+E59)*IF(AND(Painel_diario!$H56="ED_JU",Painel_diario!$J56=1),EXP(Painel_diario!$L56),1)-1</f>
        <v/>
      </c>
    </row>
    <row r="61">
      <c r="A61" s="25" t="n">
        <v>38894</v>
      </c>
      <c r="B61" s="22">
        <f>(1+B60)*IF(AND(Painel_diario!$H57="EU_JD",Painel_diario!$J57=1),EXP(Painel_diario!$L57),1)-1</f>
        <v/>
      </c>
      <c r="C61" s="22">
        <f>(1+C60)*IF(AND(Painel_diario!$H57="EU_JU",Painel_diario!$J57=1),EXP(Painel_diario!$L57),1)-1</f>
        <v/>
      </c>
      <c r="D61" s="22">
        <f>(1+D60)*IF(AND(Painel_diario!$H57="ED_JD",Painel_diario!$J57=1),EXP(Painel_diario!$L57),1)-1</f>
        <v/>
      </c>
      <c r="E61" s="22">
        <f>(1+E60)*IF(AND(Painel_diario!$H57="ED_JU",Painel_diario!$J57=1),EXP(Painel_diario!$L57),1)-1</f>
        <v/>
      </c>
    </row>
    <row r="62">
      <c r="A62" s="25" t="n">
        <v>38895</v>
      </c>
      <c r="B62" s="22">
        <f>(1+B61)*IF(AND(Painel_diario!$H58="EU_JD",Painel_diario!$J58=1),EXP(Painel_diario!$L58),1)-1</f>
        <v/>
      </c>
      <c r="C62" s="22">
        <f>(1+C61)*IF(AND(Painel_diario!$H58="EU_JU",Painel_diario!$J58=1),EXP(Painel_diario!$L58),1)-1</f>
        <v/>
      </c>
      <c r="D62" s="22">
        <f>(1+D61)*IF(AND(Painel_diario!$H58="ED_JD",Painel_diario!$J58=1),EXP(Painel_diario!$L58),1)-1</f>
        <v/>
      </c>
      <c r="E62" s="22">
        <f>(1+E61)*IF(AND(Painel_diario!$H58="ED_JU",Painel_diario!$J58=1),EXP(Painel_diario!$L58),1)-1</f>
        <v/>
      </c>
    </row>
    <row r="63">
      <c r="A63" s="25" t="n">
        <v>38896</v>
      </c>
      <c r="B63" s="22">
        <f>(1+B62)*IF(AND(Painel_diario!$H59="EU_JD",Painel_diario!$J59=1),EXP(Painel_diario!$L59),1)-1</f>
        <v/>
      </c>
      <c r="C63" s="22">
        <f>(1+C62)*IF(AND(Painel_diario!$H59="EU_JU",Painel_diario!$J59=1),EXP(Painel_diario!$L59),1)-1</f>
        <v/>
      </c>
      <c r="D63" s="22">
        <f>(1+D62)*IF(AND(Painel_diario!$H59="ED_JD",Painel_diario!$J59=1),EXP(Painel_diario!$L59),1)-1</f>
        <v/>
      </c>
      <c r="E63" s="22">
        <f>(1+E62)*IF(AND(Painel_diario!$H59="ED_JU",Painel_diario!$J59=1),EXP(Painel_diario!$L59),1)-1</f>
        <v/>
      </c>
    </row>
    <row r="64">
      <c r="A64" s="25" t="n">
        <v>38897</v>
      </c>
      <c r="B64" s="22">
        <f>(1+B63)*IF(AND(Painel_diario!$H60="EU_JD",Painel_diario!$J60=1),EXP(Painel_diario!$L60),1)-1</f>
        <v/>
      </c>
      <c r="C64" s="22">
        <f>(1+C63)*IF(AND(Painel_diario!$H60="EU_JU",Painel_diario!$J60=1),EXP(Painel_diario!$L60),1)-1</f>
        <v/>
      </c>
      <c r="D64" s="22">
        <f>(1+D63)*IF(AND(Painel_diario!$H60="ED_JD",Painel_diario!$J60=1),EXP(Painel_diario!$L60),1)-1</f>
        <v/>
      </c>
      <c r="E64" s="22">
        <f>(1+E63)*IF(AND(Painel_diario!$H60="ED_JU",Painel_diario!$J60=1),EXP(Painel_diario!$L60),1)-1</f>
        <v/>
      </c>
    </row>
    <row r="65">
      <c r="A65" s="25" t="n">
        <v>38898</v>
      </c>
      <c r="B65" s="22">
        <f>(1+B64)*IF(AND(Painel_diario!$H61="EU_JD",Painel_diario!$J61=1),EXP(Painel_diario!$L61),1)-1</f>
        <v/>
      </c>
      <c r="C65" s="22">
        <f>(1+C64)*IF(AND(Painel_diario!$H61="EU_JU",Painel_diario!$J61=1),EXP(Painel_diario!$L61),1)-1</f>
        <v/>
      </c>
      <c r="D65" s="22">
        <f>(1+D64)*IF(AND(Painel_diario!$H61="ED_JD",Painel_diario!$J61=1),EXP(Painel_diario!$L61),1)-1</f>
        <v/>
      </c>
      <c r="E65" s="22">
        <f>(1+E64)*IF(AND(Painel_diario!$H61="ED_JU",Painel_diario!$J61=1),EXP(Painel_diario!$L61),1)-1</f>
        <v/>
      </c>
    </row>
    <row r="66">
      <c r="A66" s="25" t="n">
        <v>38901</v>
      </c>
      <c r="B66" s="22">
        <f>(1+B65)*IF(AND(Painel_diario!$H62="EU_JD",Painel_diario!$J62=1),EXP(Painel_diario!$L62),1)-1</f>
        <v/>
      </c>
      <c r="C66" s="22">
        <f>(1+C65)*IF(AND(Painel_diario!$H62="EU_JU",Painel_diario!$J62=1),EXP(Painel_diario!$L62),1)-1</f>
        <v/>
      </c>
      <c r="D66" s="22">
        <f>(1+D65)*IF(AND(Painel_diario!$H62="ED_JD",Painel_diario!$J62=1),EXP(Painel_diario!$L62),1)-1</f>
        <v/>
      </c>
      <c r="E66" s="22">
        <f>(1+E65)*IF(AND(Painel_diario!$H62="ED_JU",Painel_diario!$J62=1),EXP(Painel_diario!$L62),1)-1</f>
        <v/>
      </c>
    </row>
    <row r="67">
      <c r="A67" s="25" t="n">
        <v>38902</v>
      </c>
      <c r="B67" s="22">
        <f>(1+B66)*IF(AND(Painel_diario!$H63="EU_JD",Painel_diario!$J63=1),EXP(Painel_diario!$L63),1)-1</f>
        <v/>
      </c>
      <c r="C67" s="22">
        <f>(1+C66)*IF(AND(Painel_diario!$H63="EU_JU",Painel_diario!$J63=1),EXP(Painel_diario!$L63),1)-1</f>
        <v/>
      </c>
      <c r="D67" s="22">
        <f>(1+D66)*IF(AND(Painel_diario!$H63="ED_JD",Painel_diario!$J63=1),EXP(Painel_diario!$L63),1)-1</f>
        <v/>
      </c>
      <c r="E67" s="22">
        <f>(1+E66)*IF(AND(Painel_diario!$H63="ED_JU",Painel_diario!$J63=1),EXP(Painel_diario!$L63),1)-1</f>
        <v/>
      </c>
    </row>
    <row r="68">
      <c r="A68" s="25" t="n">
        <v>38903</v>
      </c>
      <c r="B68" s="22">
        <f>(1+B67)*IF(AND(Painel_diario!$H64="EU_JD",Painel_diario!$J64=1),EXP(Painel_diario!$L64),1)-1</f>
        <v/>
      </c>
      <c r="C68" s="22">
        <f>(1+C67)*IF(AND(Painel_diario!$H64="EU_JU",Painel_diario!$J64=1),EXP(Painel_diario!$L64),1)-1</f>
        <v/>
      </c>
      <c r="D68" s="22">
        <f>(1+D67)*IF(AND(Painel_diario!$H64="ED_JD",Painel_diario!$J64=1),EXP(Painel_diario!$L64),1)-1</f>
        <v/>
      </c>
      <c r="E68" s="22">
        <f>(1+E67)*IF(AND(Painel_diario!$H64="ED_JU",Painel_diario!$J64=1),EXP(Painel_diario!$L64),1)-1</f>
        <v/>
      </c>
    </row>
    <row r="69">
      <c r="A69" s="25" t="n">
        <v>38904</v>
      </c>
      <c r="B69" s="22">
        <f>(1+B68)*IF(AND(Painel_diario!$H65="EU_JD",Painel_diario!$J65=1),EXP(Painel_diario!$L65),1)-1</f>
        <v/>
      </c>
      <c r="C69" s="22">
        <f>(1+C68)*IF(AND(Painel_diario!$H65="EU_JU",Painel_diario!$J65=1),EXP(Painel_diario!$L65),1)-1</f>
        <v/>
      </c>
      <c r="D69" s="22">
        <f>(1+D68)*IF(AND(Painel_diario!$H65="ED_JD",Painel_diario!$J65=1),EXP(Painel_diario!$L65),1)-1</f>
        <v/>
      </c>
      <c r="E69" s="22">
        <f>(1+E68)*IF(AND(Painel_diario!$H65="ED_JU",Painel_diario!$J65=1),EXP(Painel_diario!$L65),1)-1</f>
        <v/>
      </c>
    </row>
    <row r="70">
      <c r="A70" s="25" t="n">
        <v>38905</v>
      </c>
      <c r="B70" s="22">
        <f>(1+B69)*IF(AND(Painel_diario!$H66="EU_JD",Painel_diario!$J66=1),EXP(Painel_diario!$L66),1)-1</f>
        <v/>
      </c>
      <c r="C70" s="22">
        <f>(1+C69)*IF(AND(Painel_diario!$H66="EU_JU",Painel_diario!$J66=1),EXP(Painel_diario!$L66),1)-1</f>
        <v/>
      </c>
      <c r="D70" s="22">
        <f>(1+D69)*IF(AND(Painel_diario!$H66="ED_JD",Painel_diario!$J66=1),EXP(Painel_diario!$L66),1)-1</f>
        <v/>
      </c>
      <c r="E70" s="22">
        <f>(1+E69)*IF(AND(Painel_diario!$H66="ED_JU",Painel_diario!$J66=1),EXP(Painel_diario!$L66),1)-1</f>
        <v/>
      </c>
    </row>
    <row r="71">
      <c r="A71" s="25" t="n">
        <v>38908</v>
      </c>
      <c r="B71" s="22">
        <f>(1+B70)*IF(AND(Painel_diario!$H67="EU_JD",Painel_diario!$J67=1),EXP(Painel_diario!$L67),1)-1</f>
        <v/>
      </c>
      <c r="C71" s="22">
        <f>(1+C70)*IF(AND(Painel_diario!$H67="EU_JU",Painel_diario!$J67=1),EXP(Painel_diario!$L67),1)-1</f>
        <v/>
      </c>
      <c r="D71" s="22">
        <f>(1+D70)*IF(AND(Painel_diario!$H67="ED_JD",Painel_diario!$J67=1),EXP(Painel_diario!$L67),1)-1</f>
        <v/>
      </c>
      <c r="E71" s="22">
        <f>(1+E70)*IF(AND(Painel_diario!$H67="ED_JU",Painel_diario!$J67=1),EXP(Painel_diario!$L67),1)-1</f>
        <v/>
      </c>
    </row>
    <row r="72">
      <c r="A72" s="25" t="n">
        <v>38909</v>
      </c>
      <c r="B72" s="22">
        <f>(1+B71)*IF(AND(Painel_diario!$H68="EU_JD",Painel_diario!$J68=1),EXP(Painel_diario!$L68),1)-1</f>
        <v/>
      </c>
      <c r="C72" s="22">
        <f>(1+C71)*IF(AND(Painel_diario!$H68="EU_JU",Painel_diario!$J68=1),EXP(Painel_diario!$L68),1)-1</f>
        <v/>
      </c>
      <c r="D72" s="22">
        <f>(1+D71)*IF(AND(Painel_diario!$H68="ED_JD",Painel_diario!$J68=1),EXP(Painel_diario!$L68),1)-1</f>
        <v/>
      </c>
      <c r="E72" s="22">
        <f>(1+E71)*IF(AND(Painel_diario!$H68="ED_JU",Painel_diario!$J68=1),EXP(Painel_diario!$L68),1)-1</f>
        <v/>
      </c>
    </row>
    <row r="73">
      <c r="A73" s="25" t="n">
        <v>38910</v>
      </c>
      <c r="B73" s="22">
        <f>(1+B72)*IF(AND(Painel_diario!$H69="EU_JD",Painel_diario!$J69=1),EXP(Painel_diario!$L69),1)-1</f>
        <v/>
      </c>
      <c r="C73" s="22">
        <f>(1+C72)*IF(AND(Painel_diario!$H69="EU_JU",Painel_diario!$J69=1),EXP(Painel_diario!$L69),1)-1</f>
        <v/>
      </c>
      <c r="D73" s="22">
        <f>(1+D72)*IF(AND(Painel_diario!$H69="ED_JD",Painel_diario!$J69=1),EXP(Painel_diario!$L69),1)-1</f>
        <v/>
      </c>
      <c r="E73" s="22">
        <f>(1+E72)*IF(AND(Painel_diario!$H69="ED_JU",Painel_diario!$J69=1),EXP(Painel_diario!$L69),1)-1</f>
        <v/>
      </c>
    </row>
    <row r="74">
      <c r="A74" s="25" t="n">
        <v>38911</v>
      </c>
      <c r="B74" s="22">
        <f>(1+B73)*IF(AND(Painel_diario!$H70="EU_JD",Painel_diario!$J70=1),EXP(Painel_diario!$L70),1)-1</f>
        <v/>
      </c>
      <c r="C74" s="22">
        <f>(1+C73)*IF(AND(Painel_diario!$H70="EU_JU",Painel_diario!$J70=1),EXP(Painel_diario!$L70),1)-1</f>
        <v/>
      </c>
      <c r="D74" s="22">
        <f>(1+D73)*IF(AND(Painel_diario!$H70="ED_JD",Painel_diario!$J70=1),EXP(Painel_diario!$L70),1)-1</f>
        <v/>
      </c>
      <c r="E74" s="22">
        <f>(1+E73)*IF(AND(Painel_diario!$H70="ED_JU",Painel_diario!$J70=1),EXP(Painel_diario!$L70),1)-1</f>
        <v/>
      </c>
    </row>
    <row r="75">
      <c r="A75" s="25" t="n">
        <v>38912</v>
      </c>
      <c r="B75" s="22">
        <f>(1+B74)*IF(AND(Painel_diario!$H71="EU_JD",Painel_diario!$J71=1),EXP(Painel_diario!$L71),1)-1</f>
        <v/>
      </c>
      <c r="C75" s="22">
        <f>(1+C74)*IF(AND(Painel_diario!$H71="EU_JU",Painel_diario!$J71=1),EXP(Painel_diario!$L71),1)-1</f>
        <v/>
      </c>
      <c r="D75" s="22">
        <f>(1+D74)*IF(AND(Painel_diario!$H71="ED_JD",Painel_diario!$J71=1),EXP(Painel_diario!$L71),1)-1</f>
        <v/>
      </c>
      <c r="E75" s="22">
        <f>(1+E74)*IF(AND(Painel_diario!$H71="ED_JU",Painel_diario!$J71=1),EXP(Painel_diario!$L71),1)-1</f>
        <v/>
      </c>
    </row>
    <row r="76">
      <c r="A76" s="25" t="n">
        <v>38915</v>
      </c>
      <c r="B76" s="22">
        <f>(1+B75)*IF(AND(Painel_diario!$H72="EU_JD",Painel_diario!$J72=1),EXP(Painel_diario!$L72),1)-1</f>
        <v/>
      </c>
      <c r="C76" s="22">
        <f>(1+C75)*IF(AND(Painel_diario!$H72="EU_JU",Painel_diario!$J72=1),EXP(Painel_diario!$L72),1)-1</f>
        <v/>
      </c>
      <c r="D76" s="22">
        <f>(1+D75)*IF(AND(Painel_diario!$H72="ED_JD",Painel_diario!$J72=1),EXP(Painel_diario!$L72),1)-1</f>
        <v/>
      </c>
      <c r="E76" s="22">
        <f>(1+E75)*IF(AND(Painel_diario!$H72="ED_JU",Painel_diario!$J72=1),EXP(Painel_diario!$L72),1)-1</f>
        <v/>
      </c>
    </row>
    <row r="77">
      <c r="A77" s="25" t="n">
        <v>38916</v>
      </c>
      <c r="B77" s="22">
        <f>(1+B76)*IF(AND(Painel_diario!$H73="EU_JD",Painel_diario!$J73=1),EXP(Painel_diario!$L73),1)-1</f>
        <v/>
      </c>
      <c r="C77" s="22">
        <f>(1+C76)*IF(AND(Painel_diario!$H73="EU_JU",Painel_diario!$J73=1),EXP(Painel_diario!$L73),1)-1</f>
        <v/>
      </c>
      <c r="D77" s="22">
        <f>(1+D76)*IF(AND(Painel_diario!$H73="ED_JD",Painel_diario!$J73=1),EXP(Painel_diario!$L73),1)-1</f>
        <v/>
      </c>
      <c r="E77" s="22">
        <f>(1+E76)*IF(AND(Painel_diario!$H73="ED_JU",Painel_diario!$J73=1),EXP(Painel_diario!$L73),1)-1</f>
        <v/>
      </c>
    </row>
    <row r="78">
      <c r="A78" s="25" t="n">
        <v>38917</v>
      </c>
      <c r="B78" s="22">
        <f>(1+B77)*IF(AND(Painel_diario!$H74="EU_JD",Painel_diario!$J74=1),EXP(Painel_diario!$L74),1)-1</f>
        <v/>
      </c>
      <c r="C78" s="22">
        <f>(1+C77)*IF(AND(Painel_diario!$H74="EU_JU",Painel_diario!$J74=1),EXP(Painel_diario!$L74),1)-1</f>
        <v/>
      </c>
      <c r="D78" s="22">
        <f>(1+D77)*IF(AND(Painel_diario!$H74="ED_JD",Painel_diario!$J74=1),EXP(Painel_diario!$L74),1)-1</f>
        <v/>
      </c>
      <c r="E78" s="22">
        <f>(1+E77)*IF(AND(Painel_diario!$H74="ED_JU",Painel_diario!$J74=1),EXP(Painel_diario!$L74),1)-1</f>
        <v/>
      </c>
    </row>
    <row r="79">
      <c r="A79" s="25" t="n">
        <v>38918</v>
      </c>
      <c r="B79" s="22">
        <f>(1+B78)*IF(AND(Painel_diario!$H75="EU_JD",Painel_diario!$J75=1),EXP(Painel_diario!$L75),1)-1</f>
        <v/>
      </c>
      <c r="C79" s="22">
        <f>(1+C78)*IF(AND(Painel_diario!$H75="EU_JU",Painel_diario!$J75=1),EXP(Painel_diario!$L75),1)-1</f>
        <v/>
      </c>
      <c r="D79" s="22">
        <f>(1+D78)*IF(AND(Painel_diario!$H75="ED_JD",Painel_diario!$J75=1),EXP(Painel_diario!$L75),1)-1</f>
        <v/>
      </c>
      <c r="E79" s="22">
        <f>(1+E78)*IF(AND(Painel_diario!$H75="ED_JU",Painel_diario!$J75=1),EXP(Painel_diario!$L75),1)-1</f>
        <v/>
      </c>
    </row>
    <row r="80">
      <c r="A80" s="25" t="n">
        <v>38919</v>
      </c>
      <c r="B80" s="22">
        <f>(1+B79)*IF(AND(Painel_diario!$H76="EU_JD",Painel_diario!$J76=1),EXP(Painel_diario!$L76),1)-1</f>
        <v/>
      </c>
      <c r="C80" s="22">
        <f>(1+C79)*IF(AND(Painel_diario!$H76="EU_JU",Painel_diario!$J76=1),EXP(Painel_diario!$L76),1)-1</f>
        <v/>
      </c>
      <c r="D80" s="22">
        <f>(1+D79)*IF(AND(Painel_diario!$H76="ED_JD",Painel_diario!$J76=1),EXP(Painel_diario!$L76),1)-1</f>
        <v/>
      </c>
      <c r="E80" s="22">
        <f>(1+E79)*IF(AND(Painel_diario!$H76="ED_JU",Painel_diario!$J76=1),EXP(Painel_diario!$L76),1)-1</f>
        <v/>
      </c>
    </row>
    <row r="81">
      <c r="A81" s="25" t="n">
        <v>38922</v>
      </c>
      <c r="B81" s="22">
        <f>(1+B80)*IF(AND(Painel_diario!$H77="EU_JD",Painel_diario!$J77=1),EXP(Painel_diario!$L77),1)-1</f>
        <v/>
      </c>
      <c r="C81" s="22">
        <f>(1+C80)*IF(AND(Painel_diario!$H77="EU_JU",Painel_diario!$J77=1),EXP(Painel_diario!$L77),1)-1</f>
        <v/>
      </c>
      <c r="D81" s="22">
        <f>(1+D80)*IF(AND(Painel_diario!$H77="ED_JD",Painel_diario!$J77=1),EXP(Painel_diario!$L77),1)-1</f>
        <v/>
      </c>
      <c r="E81" s="22">
        <f>(1+E80)*IF(AND(Painel_diario!$H77="ED_JU",Painel_diario!$J77=1),EXP(Painel_diario!$L77),1)-1</f>
        <v/>
      </c>
    </row>
    <row r="82">
      <c r="A82" s="25" t="n">
        <v>38923</v>
      </c>
      <c r="B82" s="22">
        <f>(1+B81)*IF(AND(Painel_diario!$H78="EU_JD",Painel_diario!$J78=1),EXP(Painel_diario!$L78),1)-1</f>
        <v/>
      </c>
      <c r="C82" s="22">
        <f>(1+C81)*IF(AND(Painel_diario!$H78="EU_JU",Painel_diario!$J78=1),EXP(Painel_diario!$L78),1)-1</f>
        <v/>
      </c>
      <c r="D82" s="22">
        <f>(1+D81)*IF(AND(Painel_diario!$H78="ED_JD",Painel_diario!$J78=1),EXP(Painel_diario!$L78),1)-1</f>
        <v/>
      </c>
      <c r="E82" s="22">
        <f>(1+E81)*IF(AND(Painel_diario!$H78="ED_JU",Painel_diario!$J78=1),EXP(Painel_diario!$L78),1)-1</f>
        <v/>
      </c>
    </row>
    <row r="83">
      <c r="A83" s="25" t="n">
        <v>38924</v>
      </c>
      <c r="B83" s="22">
        <f>(1+B82)*IF(AND(Painel_diario!$H79="EU_JD",Painel_diario!$J79=1),EXP(Painel_diario!$L79),1)-1</f>
        <v/>
      </c>
      <c r="C83" s="22">
        <f>(1+C82)*IF(AND(Painel_diario!$H79="EU_JU",Painel_diario!$J79=1),EXP(Painel_diario!$L79),1)-1</f>
        <v/>
      </c>
      <c r="D83" s="22">
        <f>(1+D82)*IF(AND(Painel_diario!$H79="ED_JD",Painel_diario!$J79=1),EXP(Painel_diario!$L79),1)-1</f>
        <v/>
      </c>
      <c r="E83" s="22">
        <f>(1+E82)*IF(AND(Painel_diario!$H79="ED_JU",Painel_diario!$J79=1),EXP(Painel_diario!$L79),1)-1</f>
        <v/>
      </c>
    </row>
    <row r="84">
      <c r="A84" s="25" t="n">
        <v>38925</v>
      </c>
      <c r="B84" s="22">
        <f>(1+B83)*IF(AND(Painel_diario!$H80="EU_JD",Painel_diario!$J80=1),EXP(Painel_diario!$L80),1)-1</f>
        <v/>
      </c>
      <c r="C84" s="22">
        <f>(1+C83)*IF(AND(Painel_diario!$H80="EU_JU",Painel_diario!$J80=1),EXP(Painel_diario!$L80),1)-1</f>
        <v/>
      </c>
      <c r="D84" s="22">
        <f>(1+D83)*IF(AND(Painel_diario!$H80="ED_JD",Painel_diario!$J80=1),EXP(Painel_diario!$L80),1)-1</f>
        <v/>
      </c>
      <c r="E84" s="22">
        <f>(1+E83)*IF(AND(Painel_diario!$H80="ED_JU",Painel_diario!$J80=1),EXP(Painel_diario!$L80),1)-1</f>
        <v/>
      </c>
    </row>
    <row r="85">
      <c r="A85" s="25" t="n">
        <v>38926</v>
      </c>
      <c r="B85" s="22">
        <f>(1+B84)*IF(AND(Painel_diario!$H81="EU_JD",Painel_diario!$J81=1),EXP(Painel_diario!$L81),1)-1</f>
        <v/>
      </c>
      <c r="C85" s="22">
        <f>(1+C84)*IF(AND(Painel_diario!$H81="EU_JU",Painel_diario!$J81=1),EXP(Painel_diario!$L81),1)-1</f>
        <v/>
      </c>
      <c r="D85" s="22">
        <f>(1+D84)*IF(AND(Painel_diario!$H81="ED_JD",Painel_diario!$J81=1),EXP(Painel_diario!$L81),1)-1</f>
        <v/>
      </c>
      <c r="E85" s="22">
        <f>(1+E84)*IF(AND(Painel_diario!$H81="ED_JU",Painel_diario!$J81=1),EXP(Painel_diario!$L81),1)-1</f>
        <v/>
      </c>
    </row>
    <row r="86">
      <c r="A86" s="25" t="n">
        <v>38929</v>
      </c>
      <c r="B86" s="22">
        <f>(1+B85)*IF(AND(Painel_diario!$H82="EU_JD",Painel_diario!$J82=1),EXP(Painel_diario!$L82),1)-1</f>
        <v/>
      </c>
      <c r="C86" s="22">
        <f>(1+C85)*IF(AND(Painel_diario!$H82="EU_JU",Painel_diario!$J82=1),EXP(Painel_diario!$L82),1)-1</f>
        <v/>
      </c>
      <c r="D86" s="22">
        <f>(1+D85)*IF(AND(Painel_diario!$H82="ED_JD",Painel_diario!$J82=1),EXP(Painel_diario!$L82),1)-1</f>
        <v/>
      </c>
      <c r="E86" s="22">
        <f>(1+E85)*IF(AND(Painel_diario!$H82="ED_JU",Painel_diario!$J82=1),EXP(Painel_diario!$L82),1)-1</f>
        <v/>
      </c>
    </row>
    <row r="87">
      <c r="A87" s="25" t="n">
        <v>38930</v>
      </c>
      <c r="B87" s="22">
        <f>(1+B86)*IF(AND(Painel_diario!$H83="EU_JD",Painel_diario!$J83=1),EXP(Painel_diario!$L83),1)-1</f>
        <v/>
      </c>
      <c r="C87" s="22">
        <f>(1+C86)*IF(AND(Painel_diario!$H83="EU_JU",Painel_diario!$J83=1),EXP(Painel_diario!$L83),1)-1</f>
        <v/>
      </c>
      <c r="D87" s="22">
        <f>(1+D86)*IF(AND(Painel_diario!$H83="ED_JD",Painel_diario!$J83=1),EXP(Painel_diario!$L83),1)-1</f>
        <v/>
      </c>
      <c r="E87" s="22">
        <f>(1+E86)*IF(AND(Painel_diario!$H83="ED_JU",Painel_diario!$J83=1),EXP(Painel_diario!$L83),1)-1</f>
        <v/>
      </c>
    </row>
    <row r="88">
      <c r="A88" s="25" t="n">
        <v>38931</v>
      </c>
      <c r="B88" s="22">
        <f>(1+B87)*IF(AND(Painel_diario!$H84="EU_JD",Painel_diario!$J84=1),EXP(Painel_diario!$L84),1)-1</f>
        <v/>
      </c>
      <c r="C88" s="22">
        <f>(1+C87)*IF(AND(Painel_diario!$H84="EU_JU",Painel_diario!$J84=1),EXP(Painel_diario!$L84),1)-1</f>
        <v/>
      </c>
      <c r="D88" s="22">
        <f>(1+D87)*IF(AND(Painel_diario!$H84="ED_JD",Painel_diario!$J84=1),EXP(Painel_diario!$L84),1)-1</f>
        <v/>
      </c>
      <c r="E88" s="22">
        <f>(1+E87)*IF(AND(Painel_diario!$H84="ED_JU",Painel_diario!$J84=1),EXP(Painel_diario!$L84),1)-1</f>
        <v/>
      </c>
    </row>
    <row r="89">
      <c r="A89" s="25" t="n">
        <v>38932</v>
      </c>
      <c r="B89" s="22">
        <f>(1+B88)*IF(AND(Painel_diario!$H85="EU_JD",Painel_diario!$J85=1),EXP(Painel_diario!$L85),1)-1</f>
        <v/>
      </c>
      <c r="C89" s="22">
        <f>(1+C88)*IF(AND(Painel_diario!$H85="EU_JU",Painel_diario!$J85=1),EXP(Painel_diario!$L85),1)-1</f>
        <v/>
      </c>
      <c r="D89" s="22">
        <f>(1+D88)*IF(AND(Painel_diario!$H85="ED_JD",Painel_diario!$J85=1),EXP(Painel_diario!$L85),1)-1</f>
        <v/>
      </c>
      <c r="E89" s="22">
        <f>(1+E88)*IF(AND(Painel_diario!$H85="ED_JU",Painel_diario!$J85=1),EXP(Painel_diario!$L85),1)-1</f>
        <v/>
      </c>
    </row>
    <row r="90">
      <c r="A90" s="25" t="n">
        <v>38933</v>
      </c>
      <c r="B90" s="22">
        <f>(1+B89)*IF(AND(Painel_diario!$H86="EU_JD",Painel_diario!$J86=1),EXP(Painel_diario!$L86),1)-1</f>
        <v/>
      </c>
      <c r="C90" s="22">
        <f>(1+C89)*IF(AND(Painel_diario!$H86="EU_JU",Painel_diario!$J86=1),EXP(Painel_diario!$L86),1)-1</f>
        <v/>
      </c>
      <c r="D90" s="22">
        <f>(1+D89)*IF(AND(Painel_diario!$H86="ED_JD",Painel_diario!$J86=1),EXP(Painel_diario!$L86),1)-1</f>
        <v/>
      </c>
      <c r="E90" s="22">
        <f>(1+E89)*IF(AND(Painel_diario!$H86="ED_JU",Painel_diario!$J86=1),EXP(Painel_diario!$L86),1)-1</f>
        <v/>
      </c>
    </row>
    <row r="91">
      <c r="A91" s="25" t="n">
        <v>38936</v>
      </c>
      <c r="B91" s="22">
        <f>(1+B90)*IF(AND(Painel_diario!$H87="EU_JD",Painel_diario!$J87=1),EXP(Painel_diario!$L87),1)-1</f>
        <v/>
      </c>
      <c r="C91" s="22">
        <f>(1+C90)*IF(AND(Painel_diario!$H87="EU_JU",Painel_diario!$J87=1),EXP(Painel_diario!$L87),1)-1</f>
        <v/>
      </c>
      <c r="D91" s="22">
        <f>(1+D90)*IF(AND(Painel_diario!$H87="ED_JD",Painel_diario!$J87=1),EXP(Painel_diario!$L87),1)-1</f>
        <v/>
      </c>
      <c r="E91" s="22">
        <f>(1+E90)*IF(AND(Painel_diario!$H87="ED_JU",Painel_diario!$J87=1),EXP(Painel_diario!$L87),1)-1</f>
        <v/>
      </c>
    </row>
    <row r="92">
      <c r="A92" s="25" t="n">
        <v>38937</v>
      </c>
      <c r="B92" s="22">
        <f>(1+B91)*IF(AND(Painel_diario!$H88="EU_JD",Painel_diario!$J88=1),EXP(Painel_diario!$L88),1)-1</f>
        <v/>
      </c>
      <c r="C92" s="22">
        <f>(1+C91)*IF(AND(Painel_diario!$H88="EU_JU",Painel_diario!$J88=1),EXP(Painel_diario!$L88),1)-1</f>
        <v/>
      </c>
      <c r="D92" s="22">
        <f>(1+D91)*IF(AND(Painel_diario!$H88="ED_JD",Painel_diario!$J88=1),EXP(Painel_diario!$L88),1)-1</f>
        <v/>
      </c>
      <c r="E92" s="22">
        <f>(1+E91)*IF(AND(Painel_diario!$H88="ED_JU",Painel_diario!$J88=1),EXP(Painel_diario!$L88),1)-1</f>
        <v/>
      </c>
    </row>
    <row r="93">
      <c r="A93" s="25" t="n">
        <v>38938</v>
      </c>
      <c r="B93" s="22">
        <f>(1+B92)*IF(AND(Painel_diario!$H89="EU_JD",Painel_diario!$J89=1),EXP(Painel_diario!$L89),1)-1</f>
        <v/>
      </c>
      <c r="C93" s="22">
        <f>(1+C92)*IF(AND(Painel_diario!$H89="EU_JU",Painel_diario!$J89=1),EXP(Painel_diario!$L89),1)-1</f>
        <v/>
      </c>
      <c r="D93" s="22">
        <f>(1+D92)*IF(AND(Painel_diario!$H89="ED_JD",Painel_diario!$J89=1),EXP(Painel_diario!$L89),1)-1</f>
        <v/>
      </c>
      <c r="E93" s="22">
        <f>(1+E92)*IF(AND(Painel_diario!$H89="ED_JU",Painel_diario!$J89=1),EXP(Painel_diario!$L89),1)-1</f>
        <v/>
      </c>
    </row>
    <row r="94">
      <c r="A94" s="25" t="n">
        <v>38939</v>
      </c>
      <c r="B94" s="22">
        <f>(1+B93)*IF(AND(Painel_diario!$H90="EU_JD",Painel_diario!$J90=1),EXP(Painel_diario!$L90),1)-1</f>
        <v/>
      </c>
      <c r="C94" s="22">
        <f>(1+C93)*IF(AND(Painel_diario!$H90="EU_JU",Painel_diario!$J90=1),EXP(Painel_diario!$L90),1)-1</f>
        <v/>
      </c>
      <c r="D94" s="22">
        <f>(1+D93)*IF(AND(Painel_diario!$H90="ED_JD",Painel_diario!$J90=1),EXP(Painel_diario!$L90),1)-1</f>
        <v/>
      </c>
      <c r="E94" s="22">
        <f>(1+E93)*IF(AND(Painel_diario!$H90="ED_JU",Painel_diario!$J90=1),EXP(Painel_diario!$L90),1)-1</f>
        <v/>
      </c>
    </row>
    <row r="95">
      <c r="A95" s="25" t="n">
        <v>38940</v>
      </c>
      <c r="B95" s="22">
        <f>(1+B94)*IF(AND(Painel_diario!$H91="EU_JD",Painel_diario!$J91=1),EXP(Painel_diario!$L91),1)-1</f>
        <v/>
      </c>
      <c r="C95" s="22">
        <f>(1+C94)*IF(AND(Painel_diario!$H91="EU_JU",Painel_diario!$J91=1),EXP(Painel_diario!$L91),1)-1</f>
        <v/>
      </c>
      <c r="D95" s="22">
        <f>(1+D94)*IF(AND(Painel_diario!$H91="ED_JD",Painel_diario!$J91=1),EXP(Painel_diario!$L91),1)-1</f>
        <v/>
      </c>
      <c r="E95" s="22">
        <f>(1+E94)*IF(AND(Painel_diario!$H91="ED_JU",Painel_diario!$J91=1),EXP(Painel_diario!$L91),1)-1</f>
        <v/>
      </c>
    </row>
    <row r="96">
      <c r="A96" s="25" t="n">
        <v>38943</v>
      </c>
      <c r="B96" s="22">
        <f>(1+B95)*IF(AND(Painel_diario!$H92="EU_JD",Painel_diario!$J92=1),EXP(Painel_diario!$L92),1)-1</f>
        <v/>
      </c>
      <c r="C96" s="22">
        <f>(1+C95)*IF(AND(Painel_diario!$H92="EU_JU",Painel_diario!$J92=1),EXP(Painel_diario!$L92),1)-1</f>
        <v/>
      </c>
      <c r="D96" s="22">
        <f>(1+D95)*IF(AND(Painel_diario!$H92="ED_JD",Painel_diario!$J92=1),EXP(Painel_diario!$L92),1)-1</f>
        <v/>
      </c>
      <c r="E96" s="22">
        <f>(1+E95)*IF(AND(Painel_diario!$H92="ED_JU",Painel_diario!$J92=1),EXP(Painel_diario!$L92),1)-1</f>
        <v/>
      </c>
    </row>
    <row r="97">
      <c r="A97" s="25" t="n">
        <v>38944</v>
      </c>
      <c r="B97" s="22">
        <f>(1+B96)*IF(AND(Painel_diario!$H93="EU_JD",Painel_diario!$J93=1),EXP(Painel_diario!$L93),1)-1</f>
        <v/>
      </c>
      <c r="C97" s="22">
        <f>(1+C96)*IF(AND(Painel_diario!$H93="EU_JU",Painel_diario!$J93=1),EXP(Painel_diario!$L93),1)-1</f>
        <v/>
      </c>
      <c r="D97" s="22">
        <f>(1+D96)*IF(AND(Painel_diario!$H93="ED_JD",Painel_diario!$J93=1),EXP(Painel_diario!$L93),1)-1</f>
        <v/>
      </c>
      <c r="E97" s="22">
        <f>(1+E96)*IF(AND(Painel_diario!$H93="ED_JU",Painel_diario!$J93=1),EXP(Painel_diario!$L93),1)-1</f>
        <v/>
      </c>
    </row>
    <row r="98">
      <c r="A98" s="25" t="n">
        <v>38945</v>
      </c>
      <c r="B98" s="22">
        <f>(1+B97)*IF(AND(Painel_diario!$H94="EU_JD",Painel_diario!$J94=1),EXP(Painel_diario!$L94),1)-1</f>
        <v/>
      </c>
      <c r="C98" s="22">
        <f>(1+C97)*IF(AND(Painel_diario!$H94="EU_JU",Painel_diario!$J94=1),EXP(Painel_diario!$L94),1)-1</f>
        <v/>
      </c>
      <c r="D98" s="22">
        <f>(1+D97)*IF(AND(Painel_diario!$H94="ED_JD",Painel_diario!$J94=1),EXP(Painel_diario!$L94),1)-1</f>
        <v/>
      </c>
      <c r="E98" s="22">
        <f>(1+E97)*IF(AND(Painel_diario!$H94="ED_JU",Painel_diario!$J94=1),EXP(Painel_diario!$L94),1)-1</f>
        <v/>
      </c>
    </row>
    <row r="99">
      <c r="A99" s="25" t="n">
        <v>38946</v>
      </c>
      <c r="B99" s="22">
        <f>(1+B98)*IF(AND(Painel_diario!$H95="EU_JD",Painel_diario!$J95=1),EXP(Painel_diario!$L95),1)-1</f>
        <v/>
      </c>
      <c r="C99" s="22">
        <f>(1+C98)*IF(AND(Painel_diario!$H95="EU_JU",Painel_diario!$J95=1),EXP(Painel_diario!$L95),1)-1</f>
        <v/>
      </c>
      <c r="D99" s="22">
        <f>(1+D98)*IF(AND(Painel_diario!$H95="ED_JD",Painel_diario!$J95=1),EXP(Painel_diario!$L95),1)-1</f>
        <v/>
      </c>
      <c r="E99" s="22">
        <f>(1+E98)*IF(AND(Painel_diario!$H95="ED_JU",Painel_diario!$J95=1),EXP(Painel_diario!$L95),1)-1</f>
        <v/>
      </c>
    </row>
    <row r="100">
      <c r="A100" s="25" t="n">
        <v>38947</v>
      </c>
      <c r="B100" s="22">
        <f>(1+B99)*IF(AND(Painel_diario!$H96="EU_JD",Painel_diario!$J96=1),EXP(Painel_diario!$L96),1)-1</f>
        <v/>
      </c>
      <c r="C100" s="22">
        <f>(1+C99)*IF(AND(Painel_diario!$H96="EU_JU",Painel_diario!$J96=1),EXP(Painel_diario!$L96),1)-1</f>
        <v/>
      </c>
      <c r="D100" s="22">
        <f>(1+D99)*IF(AND(Painel_diario!$H96="ED_JD",Painel_diario!$J96=1),EXP(Painel_diario!$L96),1)-1</f>
        <v/>
      </c>
      <c r="E100" s="22">
        <f>(1+E99)*IF(AND(Painel_diario!$H96="ED_JU",Painel_diario!$J96=1),EXP(Painel_diario!$L96),1)-1</f>
        <v/>
      </c>
    </row>
    <row r="101">
      <c r="A101" s="25" t="n">
        <v>38950</v>
      </c>
      <c r="B101" s="22">
        <f>(1+B100)*IF(AND(Painel_diario!$H97="EU_JD",Painel_diario!$J97=1),EXP(Painel_diario!$L97),1)-1</f>
        <v/>
      </c>
      <c r="C101" s="22">
        <f>(1+C100)*IF(AND(Painel_diario!$H97="EU_JU",Painel_diario!$J97=1),EXP(Painel_diario!$L97),1)-1</f>
        <v/>
      </c>
      <c r="D101" s="22">
        <f>(1+D100)*IF(AND(Painel_diario!$H97="ED_JD",Painel_diario!$J97=1),EXP(Painel_diario!$L97),1)-1</f>
        <v/>
      </c>
      <c r="E101" s="22">
        <f>(1+E100)*IF(AND(Painel_diario!$H97="ED_JU",Painel_diario!$J97=1),EXP(Painel_diario!$L97),1)-1</f>
        <v/>
      </c>
    </row>
    <row r="102">
      <c r="A102" s="25" t="n">
        <v>38951</v>
      </c>
      <c r="B102" s="22">
        <f>(1+B101)*IF(AND(Painel_diario!$H98="EU_JD",Painel_diario!$J98=1),EXP(Painel_diario!$L98),1)-1</f>
        <v/>
      </c>
      <c r="C102" s="22">
        <f>(1+C101)*IF(AND(Painel_diario!$H98="EU_JU",Painel_diario!$J98=1),EXP(Painel_diario!$L98),1)-1</f>
        <v/>
      </c>
      <c r="D102" s="22">
        <f>(1+D101)*IF(AND(Painel_diario!$H98="ED_JD",Painel_diario!$J98=1),EXP(Painel_diario!$L98),1)-1</f>
        <v/>
      </c>
      <c r="E102" s="22">
        <f>(1+E101)*IF(AND(Painel_diario!$H98="ED_JU",Painel_diario!$J98=1),EXP(Painel_diario!$L98),1)-1</f>
        <v/>
      </c>
    </row>
    <row r="103">
      <c r="A103" s="25" t="n">
        <v>38952</v>
      </c>
      <c r="B103" s="22">
        <f>(1+B102)*IF(AND(Painel_diario!$H99="EU_JD",Painel_diario!$J99=1),EXP(Painel_diario!$L99),1)-1</f>
        <v/>
      </c>
      <c r="C103" s="22">
        <f>(1+C102)*IF(AND(Painel_diario!$H99="EU_JU",Painel_diario!$J99=1),EXP(Painel_diario!$L99),1)-1</f>
        <v/>
      </c>
      <c r="D103" s="22">
        <f>(1+D102)*IF(AND(Painel_diario!$H99="ED_JD",Painel_diario!$J99=1),EXP(Painel_diario!$L99),1)-1</f>
        <v/>
      </c>
      <c r="E103" s="22">
        <f>(1+E102)*IF(AND(Painel_diario!$H99="ED_JU",Painel_diario!$J99=1),EXP(Painel_diario!$L99),1)-1</f>
        <v/>
      </c>
    </row>
    <row r="104">
      <c r="A104" s="25" t="n">
        <v>38953</v>
      </c>
      <c r="B104" s="22">
        <f>(1+B103)*IF(AND(Painel_diario!$H100="EU_JD",Painel_diario!$J100=1),EXP(Painel_diario!$L100),1)-1</f>
        <v/>
      </c>
      <c r="C104" s="22">
        <f>(1+C103)*IF(AND(Painel_diario!$H100="EU_JU",Painel_diario!$J100=1),EXP(Painel_diario!$L100),1)-1</f>
        <v/>
      </c>
      <c r="D104" s="22">
        <f>(1+D103)*IF(AND(Painel_diario!$H100="ED_JD",Painel_diario!$J100=1),EXP(Painel_diario!$L100),1)-1</f>
        <v/>
      </c>
      <c r="E104" s="22">
        <f>(1+E103)*IF(AND(Painel_diario!$H100="ED_JU",Painel_diario!$J100=1),EXP(Painel_diario!$L100),1)-1</f>
        <v/>
      </c>
    </row>
    <row r="105">
      <c r="A105" s="25" t="n">
        <v>38954</v>
      </c>
      <c r="B105" s="22">
        <f>(1+B104)*IF(AND(Painel_diario!$H101="EU_JD",Painel_diario!$J101=1),EXP(Painel_diario!$L101),1)-1</f>
        <v/>
      </c>
      <c r="C105" s="22">
        <f>(1+C104)*IF(AND(Painel_diario!$H101="EU_JU",Painel_diario!$J101=1),EXP(Painel_diario!$L101),1)-1</f>
        <v/>
      </c>
      <c r="D105" s="22">
        <f>(1+D104)*IF(AND(Painel_diario!$H101="ED_JD",Painel_diario!$J101=1),EXP(Painel_diario!$L101),1)-1</f>
        <v/>
      </c>
      <c r="E105" s="22">
        <f>(1+E104)*IF(AND(Painel_diario!$H101="ED_JU",Painel_diario!$J101=1),EXP(Painel_diario!$L101),1)-1</f>
        <v/>
      </c>
    </row>
    <row r="106">
      <c r="A106" s="25" t="n">
        <v>38957</v>
      </c>
      <c r="B106" s="22">
        <f>(1+B105)*IF(AND(Painel_diario!$H102="EU_JD",Painel_diario!$J102=1),EXP(Painel_diario!$L102),1)-1</f>
        <v/>
      </c>
      <c r="C106" s="22">
        <f>(1+C105)*IF(AND(Painel_diario!$H102="EU_JU",Painel_diario!$J102=1),EXP(Painel_diario!$L102),1)-1</f>
        <v/>
      </c>
      <c r="D106" s="22">
        <f>(1+D105)*IF(AND(Painel_diario!$H102="ED_JD",Painel_diario!$J102=1),EXP(Painel_diario!$L102),1)-1</f>
        <v/>
      </c>
      <c r="E106" s="22">
        <f>(1+E105)*IF(AND(Painel_diario!$H102="ED_JU",Painel_diario!$J102=1),EXP(Painel_diario!$L102),1)-1</f>
        <v/>
      </c>
    </row>
    <row r="107">
      <c r="A107" s="25" t="n">
        <v>38958</v>
      </c>
      <c r="B107" s="22">
        <f>(1+B106)*IF(AND(Painel_diario!$H103="EU_JD",Painel_diario!$J103=1),EXP(Painel_diario!$L103),1)-1</f>
        <v/>
      </c>
      <c r="C107" s="22">
        <f>(1+C106)*IF(AND(Painel_diario!$H103="EU_JU",Painel_diario!$J103=1),EXP(Painel_diario!$L103),1)-1</f>
        <v/>
      </c>
      <c r="D107" s="22">
        <f>(1+D106)*IF(AND(Painel_diario!$H103="ED_JD",Painel_diario!$J103=1),EXP(Painel_diario!$L103),1)-1</f>
        <v/>
      </c>
      <c r="E107" s="22">
        <f>(1+E106)*IF(AND(Painel_diario!$H103="ED_JU",Painel_diario!$J103=1),EXP(Painel_diario!$L103),1)-1</f>
        <v/>
      </c>
    </row>
    <row r="108">
      <c r="A108" s="25" t="n">
        <v>38959</v>
      </c>
      <c r="B108" s="22">
        <f>(1+B107)*IF(AND(Painel_diario!$H104="EU_JD",Painel_diario!$J104=1),EXP(Painel_diario!$L104),1)-1</f>
        <v/>
      </c>
      <c r="C108" s="22">
        <f>(1+C107)*IF(AND(Painel_diario!$H104="EU_JU",Painel_diario!$J104=1),EXP(Painel_diario!$L104),1)-1</f>
        <v/>
      </c>
      <c r="D108" s="22">
        <f>(1+D107)*IF(AND(Painel_diario!$H104="ED_JD",Painel_diario!$J104=1),EXP(Painel_diario!$L104),1)-1</f>
        <v/>
      </c>
      <c r="E108" s="22">
        <f>(1+E107)*IF(AND(Painel_diario!$H104="ED_JU",Painel_diario!$J104=1),EXP(Painel_diario!$L104),1)-1</f>
        <v/>
      </c>
    </row>
    <row r="109">
      <c r="A109" s="25" t="n">
        <v>38960</v>
      </c>
      <c r="B109" s="22">
        <f>(1+B108)*IF(AND(Painel_diario!$H105="EU_JD",Painel_diario!$J105=1),EXP(Painel_diario!$L105),1)-1</f>
        <v/>
      </c>
      <c r="C109" s="22">
        <f>(1+C108)*IF(AND(Painel_diario!$H105="EU_JU",Painel_diario!$J105=1),EXP(Painel_diario!$L105),1)-1</f>
        <v/>
      </c>
      <c r="D109" s="22">
        <f>(1+D108)*IF(AND(Painel_diario!$H105="ED_JD",Painel_diario!$J105=1),EXP(Painel_diario!$L105),1)-1</f>
        <v/>
      </c>
      <c r="E109" s="22">
        <f>(1+E108)*IF(AND(Painel_diario!$H105="ED_JU",Painel_diario!$J105=1),EXP(Painel_diario!$L105),1)-1</f>
        <v/>
      </c>
    </row>
    <row r="110">
      <c r="A110" s="25" t="n">
        <v>38961</v>
      </c>
      <c r="B110" s="22">
        <f>(1+B109)*IF(AND(Painel_diario!$H106="EU_JD",Painel_diario!$J106=1),EXP(Painel_diario!$L106),1)-1</f>
        <v/>
      </c>
      <c r="C110" s="22">
        <f>(1+C109)*IF(AND(Painel_diario!$H106="EU_JU",Painel_diario!$J106=1),EXP(Painel_diario!$L106),1)-1</f>
        <v/>
      </c>
      <c r="D110" s="22">
        <f>(1+D109)*IF(AND(Painel_diario!$H106="ED_JD",Painel_diario!$J106=1),EXP(Painel_diario!$L106),1)-1</f>
        <v/>
      </c>
      <c r="E110" s="22">
        <f>(1+E109)*IF(AND(Painel_diario!$H106="ED_JU",Painel_diario!$J106=1),EXP(Painel_diario!$L106),1)-1</f>
        <v/>
      </c>
    </row>
    <row r="111">
      <c r="A111" s="25" t="n">
        <v>38964</v>
      </c>
      <c r="B111" s="22">
        <f>(1+B110)*IF(AND(Painel_diario!$H107="EU_JD",Painel_diario!$J107=1),EXP(Painel_diario!$L107),1)-1</f>
        <v/>
      </c>
      <c r="C111" s="22">
        <f>(1+C110)*IF(AND(Painel_diario!$H107="EU_JU",Painel_diario!$J107=1),EXP(Painel_diario!$L107),1)-1</f>
        <v/>
      </c>
      <c r="D111" s="22">
        <f>(1+D110)*IF(AND(Painel_diario!$H107="ED_JD",Painel_diario!$J107=1),EXP(Painel_diario!$L107),1)-1</f>
        <v/>
      </c>
      <c r="E111" s="22">
        <f>(1+E110)*IF(AND(Painel_diario!$H107="ED_JU",Painel_diario!$J107=1),EXP(Painel_diario!$L107),1)-1</f>
        <v/>
      </c>
    </row>
    <row r="112">
      <c r="A112" s="25" t="n">
        <v>38965</v>
      </c>
      <c r="B112" s="22">
        <f>(1+B111)*IF(AND(Painel_diario!$H108="EU_JD",Painel_diario!$J108=1),EXP(Painel_diario!$L108),1)-1</f>
        <v/>
      </c>
      <c r="C112" s="22">
        <f>(1+C111)*IF(AND(Painel_diario!$H108="EU_JU",Painel_diario!$J108=1),EXP(Painel_diario!$L108),1)-1</f>
        <v/>
      </c>
      <c r="D112" s="22">
        <f>(1+D111)*IF(AND(Painel_diario!$H108="ED_JD",Painel_diario!$J108=1),EXP(Painel_diario!$L108),1)-1</f>
        <v/>
      </c>
      <c r="E112" s="22">
        <f>(1+E111)*IF(AND(Painel_diario!$H108="ED_JU",Painel_diario!$J108=1),EXP(Painel_diario!$L108),1)-1</f>
        <v/>
      </c>
    </row>
    <row r="113">
      <c r="A113" s="25" t="n">
        <v>38966</v>
      </c>
      <c r="B113" s="22">
        <f>(1+B112)*IF(AND(Painel_diario!$H109="EU_JD",Painel_diario!$J109=1),EXP(Painel_diario!$L109),1)-1</f>
        <v/>
      </c>
      <c r="C113" s="22">
        <f>(1+C112)*IF(AND(Painel_diario!$H109="EU_JU",Painel_diario!$J109=1),EXP(Painel_diario!$L109),1)-1</f>
        <v/>
      </c>
      <c r="D113" s="22">
        <f>(1+D112)*IF(AND(Painel_diario!$H109="ED_JD",Painel_diario!$J109=1),EXP(Painel_diario!$L109),1)-1</f>
        <v/>
      </c>
      <c r="E113" s="22">
        <f>(1+E112)*IF(AND(Painel_diario!$H109="ED_JU",Painel_diario!$J109=1),EXP(Painel_diario!$L109),1)-1</f>
        <v/>
      </c>
    </row>
    <row r="114">
      <c r="A114" s="25" t="n">
        <v>38968</v>
      </c>
      <c r="B114" s="22">
        <f>(1+B113)*IF(AND(Painel_diario!$H110="EU_JD",Painel_diario!$J110=1),EXP(Painel_diario!$L110),1)-1</f>
        <v/>
      </c>
      <c r="C114" s="22">
        <f>(1+C113)*IF(AND(Painel_diario!$H110="EU_JU",Painel_diario!$J110=1),EXP(Painel_diario!$L110),1)-1</f>
        <v/>
      </c>
      <c r="D114" s="22">
        <f>(1+D113)*IF(AND(Painel_diario!$H110="ED_JD",Painel_diario!$J110=1),EXP(Painel_diario!$L110),1)-1</f>
        <v/>
      </c>
      <c r="E114" s="22">
        <f>(1+E113)*IF(AND(Painel_diario!$H110="ED_JU",Painel_diario!$J110=1),EXP(Painel_diario!$L110),1)-1</f>
        <v/>
      </c>
    </row>
    <row r="115">
      <c r="A115" s="25" t="n">
        <v>38971</v>
      </c>
      <c r="B115" s="22">
        <f>(1+B114)*IF(AND(Painel_diario!$H111="EU_JD",Painel_diario!$J111=1),EXP(Painel_diario!$L111),1)-1</f>
        <v/>
      </c>
      <c r="C115" s="22">
        <f>(1+C114)*IF(AND(Painel_diario!$H111="EU_JU",Painel_diario!$J111=1),EXP(Painel_diario!$L111),1)-1</f>
        <v/>
      </c>
      <c r="D115" s="22">
        <f>(1+D114)*IF(AND(Painel_diario!$H111="ED_JD",Painel_diario!$J111=1),EXP(Painel_diario!$L111),1)-1</f>
        <v/>
      </c>
      <c r="E115" s="22">
        <f>(1+E114)*IF(AND(Painel_diario!$H111="ED_JU",Painel_diario!$J111=1),EXP(Painel_diario!$L111),1)-1</f>
        <v/>
      </c>
    </row>
    <row r="116">
      <c r="A116" s="25" t="n">
        <v>38972</v>
      </c>
      <c r="B116" s="22">
        <f>(1+B115)*IF(AND(Painel_diario!$H112="EU_JD",Painel_diario!$J112=1),EXP(Painel_diario!$L112),1)-1</f>
        <v/>
      </c>
      <c r="C116" s="22">
        <f>(1+C115)*IF(AND(Painel_diario!$H112="EU_JU",Painel_diario!$J112=1),EXP(Painel_diario!$L112),1)-1</f>
        <v/>
      </c>
      <c r="D116" s="22">
        <f>(1+D115)*IF(AND(Painel_diario!$H112="ED_JD",Painel_diario!$J112=1),EXP(Painel_diario!$L112),1)-1</f>
        <v/>
      </c>
      <c r="E116" s="22">
        <f>(1+E115)*IF(AND(Painel_diario!$H112="ED_JU",Painel_diario!$J112=1),EXP(Painel_diario!$L112),1)-1</f>
        <v/>
      </c>
    </row>
    <row r="117">
      <c r="A117" s="25" t="n">
        <v>38973</v>
      </c>
      <c r="B117" s="22">
        <f>(1+B116)*IF(AND(Painel_diario!$H113="EU_JD",Painel_diario!$J113=1),EXP(Painel_diario!$L113),1)-1</f>
        <v/>
      </c>
      <c r="C117" s="22">
        <f>(1+C116)*IF(AND(Painel_diario!$H113="EU_JU",Painel_diario!$J113=1),EXP(Painel_diario!$L113),1)-1</f>
        <v/>
      </c>
      <c r="D117" s="22">
        <f>(1+D116)*IF(AND(Painel_diario!$H113="ED_JD",Painel_diario!$J113=1),EXP(Painel_diario!$L113),1)-1</f>
        <v/>
      </c>
      <c r="E117" s="22">
        <f>(1+E116)*IF(AND(Painel_diario!$H113="ED_JU",Painel_diario!$J113=1),EXP(Painel_diario!$L113),1)-1</f>
        <v/>
      </c>
    </row>
    <row r="118">
      <c r="A118" s="25" t="n">
        <v>38974</v>
      </c>
      <c r="B118" s="22">
        <f>(1+B117)*IF(AND(Painel_diario!$H114="EU_JD",Painel_diario!$J114=1),EXP(Painel_diario!$L114),1)-1</f>
        <v/>
      </c>
      <c r="C118" s="22">
        <f>(1+C117)*IF(AND(Painel_diario!$H114="EU_JU",Painel_diario!$J114=1),EXP(Painel_diario!$L114),1)-1</f>
        <v/>
      </c>
      <c r="D118" s="22">
        <f>(1+D117)*IF(AND(Painel_diario!$H114="ED_JD",Painel_diario!$J114=1),EXP(Painel_diario!$L114),1)-1</f>
        <v/>
      </c>
      <c r="E118" s="22">
        <f>(1+E117)*IF(AND(Painel_diario!$H114="ED_JU",Painel_diario!$J114=1),EXP(Painel_diario!$L114),1)-1</f>
        <v/>
      </c>
    </row>
    <row r="119">
      <c r="A119" s="25" t="n">
        <v>38975</v>
      </c>
      <c r="B119" s="22">
        <f>(1+B118)*IF(AND(Painel_diario!$H115="EU_JD",Painel_diario!$J115=1),EXP(Painel_diario!$L115),1)-1</f>
        <v/>
      </c>
      <c r="C119" s="22">
        <f>(1+C118)*IF(AND(Painel_diario!$H115="EU_JU",Painel_diario!$J115=1),EXP(Painel_diario!$L115),1)-1</f>
        <v/>
      </c>
      <c r="D119" s="22">
        <f>(1+D118)*IF(AND(Painel_diario!$H115="ED_JD",Painel_diario!$J115=1),EXP(Painel_diario!$L115),1)-1</f>
        <v/>
      </c>
      <c r="E119" s="22">
        <f>(1+E118)*IF(AND(Painel_diario!$H115="ED_JU",Painel_diario!$J115=1),EXP(Painel_diario!$L115),1)-1</f>
        <v/>
      </c>
    </row>
    <row r="120">
      <c r="A120" s="25" t="n">
        <v>38978</v>
      </c>
      <c r="B120" s="22">
        <f>(1+B119)*IF(AND(Painel_diario!$H116="EU_JD",Painel_diario!$J116=1),EXP(Painel_diario!$L116),1)-1</f>
        <v/>
      </c>
      <c r="C120" s="22">
        <f>(1+C119)*IF(AND(Painel_diario!$H116="EU_JU",Painel_diario!$J116=1),EXP(Painel_diario!$L116),1)-1</f>
        <v/>
      </c>
      <c r="D120" s="22">
        <f>(1+D119)*IF(AND(Painel_diario!$H116="ED_JD",Painel_diario!$J116=1),EXP(Painel_diario!$L116),1)-1</f>
        <v/>
      </c>
      <c r="E120" s="22">
        <f>(1+E119)*IF(AND(Painel_diario!$H116="ED_JU",Painel_diario!$J116=1),EXP(Painel_diario!$L116),1)-1</f>
        <v/>
      </c>
    </row>
    <row r="121">
      <c r="A121" s="25" t="n">
        <v>38979</v>
      </c>
      <c r="B121" s="22">
        <f>(1+B120)*IF(AND(Painel_diario!$H117="EU_JD",Painel_diario!$J117=1),EXP(Painel_diario!$L117),1)-1</f>
        <v/>
      </c>
      <c r="C121" s="22">
        <f>(1+C120)*IF(AND(Painel_diario!$H117="EU_JU",Painel_diario!$J117=1),EXP(Painel_diario!$L117),1)-1</f>
        <v/>
      </c>
      <c r="D121" s="22">
        <f>(1+D120)*IF(AND(Painel_diario!$H117="ED_JD",Painel_diario!$J117=1),EXP(Painel_diario!$L117),1)-1</f>
        <v/>
      </c>
      <c r="E121" s="22">
        <f>(1+E120)*IF(AND(Painel_diario!$H117="ED_JU",Painel_diario!$J117=1),EXP(Painel_diario!$L117),1)-1</f>
        <v/>
      </c>
    </row>
    <row r="122">
      <c r="A122" s="25" t="n">
        <v>38980</v>
      </c>
      <c r="B122" s="22">
        <f>(1+B121)*IF(AND(Painel_diario!$H118="EU_JD",Painel_diario!$J118=1),EXP(Painel_diario!$L118),1)-1</f>
        <v/>
      </c>
      <c r="C122" s="22">
        <f>(1+C121)*IF(AND(Painel_diario!$H118="EU_JU",Painel_diario!$J118=1),EXP(Painel_diario!$L118),1)-1</f>
        <v/>
      </c>
      <c r="D122" s="22">
        <f>(1+D121)*IF(AND(Painel_diario!$H118="ED_JD",Painel_diario!$J118=1),EXP(Painel_diario!$L118),1)-1</f>
        <v/>
      </c>
      <c r="E122" s="22">
        <f>(1+E121)*IF(AND(Painel_diario!$H118="ED_JU",Painel_diario!$J118=1),EXP(Painel_diario!$L118),1)-1</f>
        <v/>
      </c>
    </row>
    <row r="123">
      <c r="A123" s="25" t="n">
        <v>38981</v>
      </c>
      <c r="B123" s="22">
        <f>(1+B122)*IF(AND(Painel_diario!$H119="EU_JD",Painel_diario!$J119=1),EXP(Painel_diario!$L119),1)-1</f>
        <v/>
      </c>
      <c r="C123" s="22">
        <f>(1+C122)*IF(AND(Painel_diario!$H119="EU_JU",Painel_diario!$J119=1),EXP(Painel_diario!$L119),1)-1</f>
        <v/>
      </c>
      <c r="D123" s="22">
        <f>(1+D122)*IF(AND(Painel_diario!$H119="ED_JD",Painel_diario!$J119=1),EXP(Painel_diario!$L119),1)-1</f>
        <v/>
      </c>
      <c r="E123" s="22">
        <f>(1+E122)*IF(AND(Painel_diario!$H119="ED_JU",Painel_diario!$J119=1),EXP(Painel_diario!$L119),1)-1</f>
        <v/>
      </c>
    </row>
    <row r="124">
      <c r="A124" s="25" t="n">
        <v>38982</v>
      </c>
      <c r="B124" s="22">
        <f>(1+B123)*IF(AND(Painel_diario!$H120="EU_JD",Painel_diario!$J120=1),EXP(Painel_diario!$L120),1)-1</f>
        <v/>
      </c>
      <c r="C124" s="22">
        <f>(1+C123)*IF(AND(Painel_diario!$H120="EU_JU",Painel_diario!$J120=1),EXP(Painel_diario!$L120),1)-1</f>
        <v/>
      </c>
      <c r="D124" s="22">
        <f>(1+D123)*IF(AND(Painel_diario!$H120="ED_JD",Painel_diario!$J120=1),EXP(Painel_diario!$L120),1)-1</f>
        <v/>
      </c>
      <c r="E124" s="22">
        <f>(1+E123)*IF(AND(Painel_diario!$H120="ED_JU",Painel_diario!$J120=1),EXP(Painel_diario!$L120),1)-1</f>
        <v/>
      </c>
    </row>
    <row r="125">
      <c r="A125" s="25" t="n">
        <v>38985</v>
      </c>
      <c r="B125" s="22">
        <f>(1+B124)*IF(AND(Painel_diario!$H121="EU_JD",Painel_diario!$J121=1),EXP(Painel_diario!$L121),1)-1</f>
        <v/>
      </c>
      <c r="C125" s="22">
        <f>(1+C124)*IF(AND(Painel_diario!$H121="EU_JU",Painel_diario!$J121=1),EXP(Painel_diario!$L121),1)-1</f>
        <v/>
      </c>
      <c r="D125" s="22">
        <f>(1+D124)*IF(AND(Painel_diario!$H121="ED_JD",Painel_diario!$J121=1),EXP(Painel_diario!$L121),1)-1</f>
        <v/>
      </c>
      <c r="E125" s="22">
        <f>(1+E124)*IF(AND(Painel_diario!$H121="ED_JU",Painel_diario!$J121=1),EXP(Painel_diario!$L121),1)-1</f>
        <v/>
      </c>
    </row>
    <row r="126">
      <c r="A126" s="25" t="n">
        <v>38986</v>
      </c>
      <c r="B126" s="22">
        <f>(1+B125)*IF(AND(Painel_diario!$H122="EU_JD",Painel_diario!$J122=1),EXP(Painel_diario!$L122),1)-1</f>
        <v/>
      </c>
      <c r="C126" s="22">
        <f>(1+C125)*IF(AND(Painel_diario!$H122="EU_JU",Painel_diario!$J122=1),EXP(Painel_diario!$L122),1)-1</f>
        <v/>
      </c>
      <c r="D126" s="22">
        <f>(1+D125)*IF(AND(Painel_diario!$H122="ED_JD",Painel_diario!$J122=1),EXP(Painel_diario!$L122),1)-1</f>
        <v/>
      </c>
      <c r="E126" s="22">
        <f>(1+E125)*IF(AND(Painel_diario!$H122="ED_JU",Painel_diario!$J122=1),EXP(Painel_diario!$L122),1)-1</f>
        <v/>
      </c>
    </row>
    <row r="127">
      <c r="A127" s="25" t="n">
        <v>38987</v>
      </c>
      <c r="B127" s="22">
        <f>(1+B126)*IF(AND(Painel_diario!$H123="EU_JD",Painel_diario!$J123=1),EXP(Painel_diario!$L123),1)-1</f>
        <v/>
      </c>
      <c r="C127" s="22">
        <f>(1+C126)*IF(AND(Painel_diario!$H123="EU_JU",Painel_diario!$J123=1),EXP(Painel_diario!$L123),1)-1</f>
        <v/>
      </c>
      <c r="D127" s="22">
        <f>(1+D126)*IF(AND(Painel_diario!$H123="ED_JD",Painel_diario!$J123=1),EXP(Painel_diario!$L123),1)-1</f>
        <v/>
      </c>
      <c r="E127" s="22">
        <f>(1+E126)*IF(AND(Painel_diario!$H123="ED_JU",Painel_diario!$J123=1),EXP(Painel_diario!$L123),1)-1</f>
        <v/>
      </c>
    </row>
    <row r="128">
      <c r="A128" s="25" t="n">
        <v>38988</v>
      </c>
      <c r="B128" s="22">
        <f>(1+B127)*IF(AND(Painel_diario!$H124="EU_JD",Painel_diario!$J124=1),EXP(Painel_diario!$L124),1)-1</f>
        <v/>
      </c>
      <c r="C128" s="22">
        <f>(1+C127)*IF(AND(Painel_diario!$H124="EU_JU",Painel_diario!$J124=1),EXP(Painel_diario!$L124),1)-1</f>
        <v/>
      </c>
      <c r="D128" s="22">
        <f>(1+D127)*IF(AND(Painel_diario!$H124="ED_JD",Painel_diario!$J124=1),EXP(Painel_diario!$L124),1)-1</f>
        <v/>
      </c>
      <c r="E128" s="22">
        <f>(1+E127)*IF(AND(Painel_diario!$H124="ED_JU",Painel_diario!$J124=1),EXP(Painel_diario!$L124),1)-1</f>
        <v/>
      </c>
    </row>
    <row r="129">
      <c r="A129" s="25" t="n">
        <v>38989</v>
      </c>
      <c r="B129" s="22">
        <f>(1+B128)*IF(AND(Painel_diario!$H125="EU_JD",Painel_diario!$J125=1),EXP(Painel_diario!$L125),1)-1</f>
        <v/>
      </c>
      <c r="C129" s="22">
        <f>(1+C128)*IF(AND(Painel_diario!$H125="EU_JU",Painel_diario!$J125=1),EXP(Painel_diario!$L125),1)-1</f>
        <v/>
      </c>
      <c r="D129" s="22">
        <f>(1+D128)*IF(AND(Painel_diario!$H125="ED_JD",Painel_diario!$J125=1),EXP(Painel_diario!$L125),1)-1</f>
        <v/>
      </c>
      <c r="E129" s="22">
        <f>(1+E128)*IF(AND(Painel_diario!$H125="ED_JU",Painel_diario!$J125=1),EXP(Painel_diario!$L125),1)-1</f>
        <v/>
      </c>
    </row>
    <row r="130">
      <c r="A130" s="25" t="n">
        <v>38992</v>
      </c>
      <c r="B130" s="22">
        <f>(1+B129)*IF(AND(Painel_diario!$H126="EU_JD",Painel_diario!$J126=1),EXP(Painel_diario!$L126),1)-1</f>
        <v/>
      </c>
      <c r="C130" s="22">
        <f>(1+C129)*IF(AND(Painel_diario!$H126="EU_JU",Painel_diario!$J126=1),EXP(Painel_diario!$L126),1)-1</f>
        <v/>
      </c>
      <c r="D130" s="22">
        <f>(1+D129)*IF(AND(Painel_diario!$H126="ED_JD",Painel_diario!$J126=1),EXP(Painel_diario!$L126),1)-1</f>
        <v/>
      </c>
      <c r="E130" s="22">
        <f>(1+E129)*IF(AND(Painel_diario!$H126="ED_JU",Painel_diario!$J126=1),EXP(Painel_diario!$L126),1)-1</f>
        <v/>
      </c>
    </row>
    <row r="131">
      <c r="A131" s="25" t="n">
        <v>38993</v>
      </c>
      <c r="B131" s="22">
        <f>(1+B130)*IF(AND(Painel_diario!$H127="EU_JD",Painel_diario!$J127=1),EXP(Painel_diario!$L127),1)-1</f>
        <v/>
      </c>
      <c r="C131" s="22">
        <f>(1+C130)*IF(AND(Painel_diario!$H127="EU_JU",Painel_diario!$J127=1),EXP(Painel_diario!$L127),1)-1</f>
        <v/>
      </c>
      <c r="D131" s="22">
        <f>(1+D130)*IF(AND(Painel_diario!$H127="ED_JD",Painel_diario!$J127=1),EXP(Painel_diario!$L127),1)-1</f>
        <v/>
      </c>
      <c r="E131" s="22">
        <f>(1+E130)*IF(AND(Painel_diario!$H127="ED_JU",Painel_diario!$J127=1),EXP(Painel_diario!$L127),1)-1</f>
        <v/>
      </c>
    </row>
    <row r="132">
      <c r="A132" s="25" t="n">
        <v>38994</v>
      </c>
      <c r="B132" s="22">
        <f>(1+B131)*IF(AND(Painel_diario!$H128="EU_JD",Painel_diario!$J128=1),EXP(Painel_diario!$L128),1)-1</f>
        <v/>
      </c>
      <c r="C132" s="22">
        <f>(1+C131)*IF(AND(Painel_diario!$H128="EU_JU",Painel_diario!$J128=1),EXP(Painel_diario!$L128),1)-1</f>
        <v/>
      </c>
      <c r="D132" s="22">
        <f>(1+D131)*IF(AND(Painel_diario!$H128="ED_JD",Painel_diario!$J128=1),EXP(Painel_diario!$L128),1)-1</f>
        <v/>
      </c>
      <c r="E132" s="22">
        <f>(1+E131)*IF(AND(Painel_diario!$H128="ED_JU",Painel_diario!$J128=1),EXP(Painel_diario!$L128),1)-1</f>
        <v/>
      </c>
    </row>
    <row r="133">
      <c r="A133" s="25" t="n">
        <v>38995</v>
      </c>
      <c r="B133" s="22">
        <f>(1+B132)*IF(AND(Painel_diario!$H129="EU_JD",Painel_diario!$J129=1),EXP(Painel_diario!$L129),1)-1</f>
        <v/>
      </c>
      <c r="C133" s="22">
        <f>(1+C132)*IF(AND(Painel_diario!$H129="EU_JU",Painel_diario!$J129=1),EXP(Painel_diario!$L129),1)-1</f>
        <v/>
      </c>
      <c r="D133" s="22">
        <f>(1+D132)*IF(AND(Painel_diario!$H129="ED_JD",Painel_diario!$J129=1),EXP(Painel_diario!$L129),1)-1</f>
        <v/>
      </c>
      <c r="E133" s="22">
        <f>(1+E132)*IF(AND(Painel_diario!$H129="ED_JU",Painel_diario!$J129=1),EXP(Painel_diario!$L129),1)-1</f>
        <v/>
      </c>
    </row>
    <row r="134">
      <c r="A134" s="25" t="n">
        <v>38996</v>
      </c>
      <c r="B134" s="22">
        <f>(1+B133)*IF(AND(Painel_diario!$H130="EU_JD",Painel_diario!$J130=1),EXP(Painel_diario!$L130),1)-1</f>
        <v/>
      </c>
      <c r="C134" s="22">
        <f>(1+C133)*IF(AND(Painel_diario!$H130="EU_JU",Painel_diario!$J130=1),EXP(Painel_diario!$L130),1)-1</f>
        <v/>
      </c>
      <c r="D134" s="22">
        <f>(1+D133)*IF(AND(Painel_diario!$H130="ED_JD",Painel_diario!$J130=1),EXP(Painel_diario!$L130),1)-1</f>
        <v/>
      </c>
      <c r="E134" s="22">
        <f>(1+E133)*IF(AND(Painel_diario!$H130="ED_JU",Painel_diario!$J130=1),EXP(Painel_diario!$L130),1)-1</f>
        <v/>
      </c>
    </row>
    <row r="135">
      <c r="A135" s="25" t="n">
        <v>38999</v>
      </c>
      <c r="B135" s="22">
        <f>(1+B134)*IF(AND(Painel_diario!$H131="EU_JD",Painel_diario!$J131=1),EXP(Painel_diario!$L131),1)-1</f>
        <v/>
      </c>
      <c r="C135" s="22">
        <f>(1+C134)*IF(AND(Painel_diario!$H131="EU_JU",Painel_diario!$J131=1),EXP(Painel_diario!$L131),1)-1</f>
        <v/>
      </c>
      <c r="D135" s="22">
        <f>(1+D134)*IF(AND(Painel_diario!$H131="ED_JD",Painel_diario!$J131=1),EXP(Painel_diario!$L131),1)-1</f>
        <v/>
      </c>
      <c r="E135" s="22">
        <f>(1+E134)*IF(AND(Painel_diario!$H131="ED_JU",Painel_diario!$J131=1),EXP(Painel_diario!$L131),1)-1</f>
        <v/>
      </c>
    </row>
    <row r="136">
      <c r="A136" s="25" t="n">
        <v>39000</v>
      </c>
      <c r="B136" s="22">
        <f>(1+B135)*IF(AND(Painel_diario!$H132="EU_JD",Painel_diario!$J132=1),EXP(Painel_diario!$L132),1)-1</f>
        <v/>
      </c>
      <c r="C136" s="22">
        <f>(1+C135)*IF(AND(Painel_diario!$H132="EU_JU",Painel_diario!$J132=1),EXP(Painel_diario!$L132),1)-1</f>
        <v/>
      </c>
      <c r="D136" s="22">
        <f>(1+D135)*IF(AND(Painel_diario!$H132="ED_JD",Painel_diario!$J132=1),EXP(Painel_diario!$L132),1)-1</f>
        <v/>
      </c>
      <c r="E136" s="22">
        <f>(1+E135)*IF(AND(Painel_diario!$H132="ED_JU",Painel_diario!$J132=1),EXP(Painel_diario!$L132),1)-1</f>
        <v/>
      </c>
    </row>
    <row r="137">
      <c r="A137" s="25" t="n">
        <v>39001</v>
      </c>
      <c r="B137" s="22">
        <f>(1+B136)*IF(AND(Painel_diario!$H133="EU_JD",Painel_diario!$J133=1),EXP(Painel_diario!$L133),1)-1</f>
        <v/>
      </c>
      <c r="C137" s="22">
        <f>(1+C136)*IF(AND(Painel_diario!$H133="EU_JU",Painel_diario!$J133=1),EXP(Painel_diario!$L133),1)-1</f>
        <v/>
      </c>
      <c r="D137" s="22">
        <f>(1+D136)*IF(AND(Painel_diario!$H133="ED_JD",Painel_diario!$J133=1),EXP(Painel_diario!$L133),1)-1</f>
        <v/>
      </c>
      <c r="E137" s="22">
        <f>(1+E136)*IF(AND(Painel_diario!$H133="ED_JU",Painel_diario!$J133=1),EXP(Painel_diario!$L133),1)-1</f>
        <v/>
      </c>
    </row>
    <row r="138">
      <c r="A138" s="25" t="n">
        <v>39003</v>
      </c>
      <c r="B138" s="22">
        <f>(1+B137)*IF(AND(Painel_diario!$H134="EU_JD",Painel_diario!$J134=1),EXP(Painel_diario!$L134),1)-1</f>
        <v/>
      </c>
      <c r="C138" s="22">
        <f>(1+C137)*IF(AND(Painel_diario!$H134="EU_JU",Painel_diario!$J134=1),EXP(Painel_diario!$L134),1)-1</f>
        <v/>
      </c>
      <c r="D138" s="22">
        <f>(1+D137)*IF(AND(Painel_diario!$H134="ED_JD",Painel_diario!$J134=1),EXP(Painel_diario!$L134),1)-1</f>
        <v/>
      </c>
      <c r="E138" s="22">
        <f>(1+E137)*IF(AND(Painel_diario!$H134="ED_JU",Painel_diario!$J134=1),EXP(Painel_diario!$L134),1)-1</f>
        <v/>
      </c>
    </row>
    <row r="139">
      <c r="A139" s="25" t="n">
        <v>39006</v>
      </c>
      <c r="B139" s="22">
        <f>(1+B138)*IF(AND(Painel_diario!$H135="EU_JD",Painel_diario!$J135=1),EXP(Painel_diario!$L135),1)-1</f>
        <v/>
      </c>
      <c r="C139" s="22">
        <f>(1+C138)*IF(AND(Painel_diario!$H135="EU_JU",Painel_diario!$J135=1),EXP(Painel_diario!$L135),1)-1</f>
        <v/>
      </c>
      <c r="D139" s="22">
        <f>(1+D138)*IF(AND(Painel_diario!$H135="ED_JD",Painel_diario!$J135=1),EXP(Painel_diario!$L135),1)-1</f>
        <v/>
      </c>
      <c r="E139" s="22">
        <f>(1+E138)*IF(AND(Painel_diario!$H135="ED_JU",Painel_diario!$J135=1),EXP(Painel_diario!$L135),1)-1</f>
        <v/>
      </c>
    </row>
    <row r="140">
      <c r="A140" s="25" t="n">
        <v>39007</v>
      </c>
      <c r="B140" s="22">
        <f>(1+B139)*IF(AND(Painel_diario!$H136="EU_JD",Painel_diario!$J136=1),EXP(Painel_diario!$L136),1)-1</f>
        <v/>
      </c>
      <c r="C140" s="22">
        <f>(1+C139)*IF(AND(Painel_diario!$H136="EU_JU",Painel_diario!$J136=1),EXP(Painel_diario!$L136),1)-1</f>
        <v/>
      </c>
      <c r="D140" s="22">
        <f>(1+D139)*IF(AND(Painel_diario!$H136="ED_JD",Painel_diario!$J136=1),EXP(Painel_diario!$L136),1)-1</f>
        <v/>
      </c>
      <c r="E140" s="22">
        <f>(1+E139)*IF(AND(Painel_diario!$H136="ED_JU",Painel_diario!$J136=1),EXP(Painel_diario!$L136),1)-1</f>
        <v/>
      </c>
    </row>
    <row r="141">
      <c r="A141" s="25" t="n">
        <v>39008</v>
      </c>
      <c r="B141" s="22">
        <f>(1+B140)*IF(AND(Painel_diario!$H137="EU_JD",Painel_diario!$J137=1),EXP(Painel_diario!$L137),1)-1</f>
        <v/>
      </c>
      <c r="C141" s="22">
        <f>(1+C140)*IF(AND(Painel_diario!$H137="EU_JU",Painel_diario!$J137=1),EXP(Painel_diario!$L137),1)-1</f>
        <v/>
      </c>
      <c r="D141" s="22">
        <f>(1+D140)*IF(AND(Painel_diario!$H137="ED_JD",Painel_diario!$J137=1),EXP(Painel_diario!$L137),1)-1</f>
        <v/>
      </c>
      <c r="E141" s="22">
        <f>(1+E140)*IF(AND(Painel_diario!$H137="ED_JU",Painel_diario!$J137=1),EXP(Painel_diario!$L137),1)-1</f>
        <v/>
      </c>
    </row>
    <row r="142">
      <c r="A142" s="25" t="n">
        <v>39009</v>
      </c>
      <c r="B142" s="22">
        <f>(1+B141)*IF(AND(Painel_diario!$H138="EU_JD",Painel_diario!$J138=1),EXP(Painel_diario!$L138),1)-1</f>
        <v/>
      </c>
      <c r="C142" s="22">
        <f>(1+C141)*IF(AND(Painel_diario!$H138="EU_JU",Painel_diario!$J138=1),EXP(Painel_diario!$L138),1)-1</f>
        <v/>
      </c>
      <c r="D142" s="22">
        <f>(1+D141)*IF(AND(Painel_diario!$H138="ED_JD",Painel_diario!$J138=1),EXP(Painel_diario!$L138),1)-1</f>
        <v/>
      </c>
      <c r="E142" s="22">
        <f>(1+E141)*IF(AND(Painel_diario!$H138="ED_JU",Painel_diario!$J138=1),EXP(Painel_diario!$L138),1)-1</f>
        <v/>
      </c>
    </row>
    <row r="143">
      <c r="A143" s="25" t="n">
        <v>39010</v>
      </c>
      <c r="B143" s="22">
        <f>(1+B142)*IF(AND(Painel_diario!$H139="EU_JD",Painel_diario!$J139=1),EXP(Painel_diario!$L139),1)-1</f>
        <v/>
      </c>
      <c r="C143" s="22">
        <f>(1+C142)*IF(AND(Painel_diario!$H139="EU_JU",Painel_diario!$J139=1),EXP(Painel_diario!$L139),1)-1</f>
        <v/>
      </c>
      <c r="D143" s="22">
        <f>(1+D142)*IF(AND(Painel_diario!$H139="ED_JD",Painel_diario!$J139=1),EXP(Painel_diario!$L139),1)-1</f>
        <v/>
      </c>
      <c r="E143" s="22">
        <f>(1+E142)*IF(AND(Painel_diario!$H139="ED_JU",Painel_diario!$J139=1),EXP(Painel_diario!$L139),1)-1</f>
        <v/>
      </c>
    </row>
    <row r="144">
      <c r="A144" s="25" t="n">
        <v>39013</v>
      </c>
      <c r="B144" s="22">
        <f>(1+B143)*IF(AND(Painel_diario!$H140="EU_JD",Painel_diario!$J140=1),EXP(Painel_diario!$L140),1)-1</f>
        <v/>
      </c>
      <c r="C144" s="22">
        <f>(1+C143)*IF(AND(Painel_diario!$H140="EU_JU",Painel_diario!$J140=1),EXP(Painel_diario!$L140),1)-1</f>
        <v/>
      </c>
      <c r="D144" s="22">
        <f>(1+D143)*IF(AND(Painel_diario!$H140="ED_JD",Painel_diario!$J140=1),EXP(Painel_diario!$L140),1)-1</f>
        <v/>
      </c>
      <c r="E144" s="22">
        <f>(1+E143)*IF(AND(Painel_diario!$H140="ED_JU",Painel_diario!$J140=1),EXP(Painel_diario!$L140),1)-1</f>
        <v/>
      </c>
    </row>
    <row r="145">
      <c r="A145" s="25" t="n">
        <v>39014</v>
      </c>
      <c r="B145" s="22">
        <f>(1+B144)*IF(AND(Painel_diario!$H141="EU_JD",Painel_diario!$J141=1),EXP(Painel_diario!$L141),1)-1</f>
        <v/>
      </c>
      <c r="C145" s="22">
        <f>(1+C144)*IF(AND(Painel_diario!$H141="EU_JU",Painel_diario!$J141=1),EXP(Painel_diario!$L141),1)-1</f>
        <v/>
      </c>
      <c r="D145" s="22">
        <f>(1+D144)*IF(AND(Painel_diario!$H141="ED_JD",Painel_diario!$J141=1),EXP(Painel_diario!$L141),1)-1</f>
        <v/>
      </c>
      <c r="E145" s="22">
        <f>(1+E144)*IF(AND(Painel_diario!$H141="ED_JU",Painel_diario!$J141=1),EXP(Painel_diario!$L141),1)-1</f>
        <v/>
      </c>
    </row>
    <row r="146">
      <c r="A146" s="25" t="n">
        <v>39015</v>
      </c>
      <c r="B146" s="22">
        <f>(1+B145)*IF(AND(Painel_diario!$H142="EU_JD",Painel_diario!$J142=1),EXP(Painel_diario!$L142),1)-1</f>
        <v/>
      </c>
      <c r="C146" s="22">
        <f>(1+C145)*IF(AND(Painel_diario!$H142="EU_JU",Painel_diario!$J142=1),EXP(Painel_diario!$L142),1)-1</f>
        <v/>
      </c>
      <c r="D146" s="22">
        <f>(1+D145)*IF(AND(Painel_diario!$H142="ED_JD",Painel_diario!$J142=1),EXP(Painel_diario!$L142),1)-1</f>
        <v/>
      </c>
      <c r="E146" s="22">
        <f>(1+E145)*IF(AND(Painel_diario!$H142="ED_JU",Painel_diario!$J142=1),EXP(Painel_diario!$L142),1)-1</f>
        <v/>
      </c>
    </row>
    <row r="147">
      <c r="A147" s="25" t="n">
        <v>39016</v>
      </c>
      <c r="B147" s="22">
        <f>(1+B146)*IF(AND(Painel_diario!$H143="EU_JD",Painel_diario!$J143=1),EXP(Painel_diario!$L143),1)-1</f>
        <v/>
      </c>
      <c r="C147" s="22">
        <f>(1+C146)*IF(AND(Painel_diario!$H143="EU_JU",Painel_diario!$J143=1),EXP(Painel_diario!$L143),1)-1</f>
        <v/>
      </c>
      <c r="D147" s="22">
        <f>(1+D146)*IF(AND(Painel_diario!$H143="ED_JD",Painel_diario!$J143=1),EXP(Painel_diario!$L143),1)-1</f>
        <v/>
      </c>
      <c r="E147" s="22">
        <f>(1+E146)*IF(AND(Painel_diario!$H143="ED_JU",Painel_diario!$J143=1),EXP(Painel_diario!$L143),1)-1</f>
        <v/>
      </c>
    </row>
    <row r="148">
      <c r="A148" s="25" t="n">
        <v>39017</v>
      </c>
      <c r="B148" s="22">
        <f>(1+B147)*IF(AND(Painel_diario!$H144="EU_JD",Painel_diario!$J144=1),EXP(Painel_diario!$L144),1)-1</f>
        <v/>
      </c>
      <c r="C148" s="22">
        <f>(1+C147)*IF(AND(Painel_diario!$H144="EU_JU",Painel_diario!$J144=1),EXP(Painel_diario!$L144),1)-1</f>
        <v/>
      </c>
      <c r="D148" s="22">
        <f>(1+D147)*IF(AND(Painel_diario!$H144="ED_JD",Painel_diario!$J144=1),EXP(Painel_diario!$L144),1)-1</f>
        <v/>
      </c>
      <c r="E148" s="22">
        <f>(1+E147)*IF(AND(Painel_diario!$H144="ED_JU",Painel_diario!$J144=1),EXP(Painel_diario!$L144),1)-1</f>
        <v/>
      </c>
    </row>
    <row r="149">
      <c r="A149" s="25" t="n">
        <v>39020</v>
      </c>
      <c r="B149" s="22">
        <f>(1+B148)*IF(AND(Painel_diario!$H145="EU_JD",Painel_diario!$J145=1),EXP(Painel_diario!$L145),1)-1</f>
        <v/>
      </c>
      <c r="C149" s="22">
        <f>(1+C148)*IF(AND(Painel_diario!$H145="EU_JU",Painel_diario!$J145=1),EXP(Painel_diario!$L145),1)-1</f>
        <v/>
      </c>
      <c r="D149" s="22">
        <f>(1+D148)*IF(AND(Painel_diario!$H145="ED_JD",Painel_diario!$J145=1),EXP(Painel_diario!$L145),1)-1</f>
        <v/>
      </c>
      <c r="E149" s="22">
        <f>(1+E148)*IF(AND(Painel_diario!$H145="ED_JU",Painel_diario!$J145=1),EXP(Painel_diario!$L145),1)-1</f>
        <v/>
      </c>
    </row>
    <row r="150">
      <c r="A150" s="25" t="n">
        <v>39021</v>
      </c>
      <c r="B150" s="22">
        <f>(1+B149)*IF(AND(Painel_diario!$H146="EU_JD",Painel_diario!$J146=1),EXP(Painel_diario!$L146),1)-1</f>
        <v/>
      </c>
      <c r="C150" s="22">
        <f>(1+C149)*IF(AND(Painel_diario!$H146="EU_JU",Painel_diario!$J146=1),EXP(Painel_diario!$L146),1)-1</f>
        <v/>
      </c>
      <c r="D150" s="22">
        <f>(1+D149)*IF(AND(Painel_diario!$H146="ED_JD",Painel_diario!$J146=1),EXP(Painel_diario!$L146),1)-1</f>
        <v/>
      </c>
      <c r="E150" s="22">
        <f>(1+E149)*IF(AND(Painel_diario!$H146="ED_JU",Painel_diario!$J146=1),EXP(Painel_diario!$L146),1)-1</f>
        <v/>
      </c>
    </row>
    <row r="151">
      <c r="A151" s="25" t="n">
        <v>39022</v>
      </c>
      <c r="B151" s="22">
        <f>(1+B150)*IF(AND(Painel_diario!$H147="EU_JD",Painel_diario!$J147=1),EXP(Painel_diario!$L147),1)-1</f>
        <v/>
      </c>
      <c r="C151" s="22">
        <f>(1+C150)*IF(AND(Painel_diario!$H147="EU_JU",Painel_diario!$J147=1),EXP(Painel_diario!$L147),1)-1</f>
        <v/>
      </c>
      <c r="D151" s="22">
        <f>(1+D150)*IF(AND(Painel_diario!$H147="ED_JD",Painel_diario!$J147=1),EXP(Painel_diario!$L147),1)-1</f>
        <v/>
      </c>
      <c r="E151" s="22">
        <f>(1+E150)*IF(AND(Painel_diario!$H147="ED_JU",Painel_diario!$J147=1),EXP(Painel_diario!$L147),1)-1</f>
        <v/>
      </c>
    </row>
    <row r="152">
      <c r="A152" s="25" t="n">
        <v>39024</v>
      </c>
      <c r="B152" s="22">
        <f>(1+B151)*IF(AND(Painel_diario!$H148="EU_JD",Painel_diario!$J148=1),EXP(Painel_diario!$L148),1)-1</f>
        <v/>
      </c>
      <c r="C152" s="22">
        <f>(1+C151)*IF(AND(Painel_diario!$H148="EU_JU",Painel_diario!$J148=1),EXP(Painel_diario!$L148),1)-1</f>
        <v/>
      </c>
      <c r="D152" s="22">
        <f>(1+D151)*IF(AND(Painel_diario!$H148="ED_JD",Painel_diario!$J148=1),EXP(Painel_diario!$L148),1)-1</f>
        <v/>
      </c>
      <c r="E152" s="22">
        <f>(1+E151)*IF(AND(Painel_diario!$H148="ED_JU",Painel_diario!$J148=1),EXP(Painel_diario!$L148),1)-1</f>
        <v/>
      </c>
    </row>
    <row r="153">
      <c r="A153" s="25" t="n">
        <v>39027</v>
      </c>
      <c r="B153" s="22">
        <f>(1+B152)*IF(AND(Painel_diario!$H149="EU_JD",Painel_diario!$J149=1),EXP(Painel_diario!$L149),1)-1</f>
        <v/>
      </c>
      <c r="C153" s="22">
        <f>(1+C152)*IF(AND(Painel_diario!$H149="EU_JU",Painel_diario!$J149=1),EXP(Painel_diario!$L149),1)-1</f>
        <v/>
      </c>
      <c r="D153" s="22">
        <f>(1+D152)*IF(AND(Painel_diario!$H149="ED_JD",Painel_diario!$J149=1),EXP(Painel_diario!$L149),1)-1</f>
        <v/>
      </c>
      <c r="E153" s="22">
        <f>(1+E152)*IF(AND(Painel_diario!$H149="ED_JU",Painel_diario!$J149=1),EXP(Painel_diario!$L149),1)-1</f>
        <v/>
      </c>
    </row>
    <row r="154">
      <c r="A154" s="25" t="n">
        <v>39028</v>
      </c>
      <c r="B154" s="22">
        <f>(1+B153)*IF(AND(Painel_diario!$H150="EU_JD",Painel_diario!$J150=1),EXP(Painel_diario!$L150),1)-1</f>
        <v/>
      </c>
      <c r="C154" s="22">
        <f>(1+C153)*IF(AND(Painel_diario!$H150="EU_JU",Painel_diario!$J150=1),EXP(Painel_diario!$L150),1)-1</f>
        <v/>
      </c>
      <c r="D154" s="22">
        <f>(1+D153)*IF(AND(Painel_diario!$H150="ED_JD",Painel_diario!$J150=1),EXP(Painel_diario!$L150),1)-1</f>
        <v/>
      </c>
      <c r="E154" s="22">
        <f>(1+E153)*IF(AND(Painel_diario!$H150="ED_JU",Painel_diario!$J150=1),EXP(Painel_diario!$L150),1)-1</f>
        <v/>
      </c>
    </row>
    <row r="155">
      <c r="A155" s="25" t="n">
        <v>39029</v>
      </c>
      <c r="B155" s="22">
        <f>(1+B154)*IF(AND(Painel_diario!$H151="EU_JD",Painel_diario!$J151=1),EXP(Painel_diario!$L151),1)-1</f>
        <v/>
      </c>
      <c r="C155" s="22">
        <f>(1+C154)*IF(AND(Painel_diario!$H151="EU_JU",Painel_diario!$J151=1),EXP(Painel_diario!$L151),1)-1</f>
        <v/>
      </c>
      <c r="D155" s="22">
        <f>(1+D154)*IF(AND(Painel_diario!$H151="ED_JD",Painel_diario!$J151=1),EXP(Painel_diario!$L151),1)-1</f>
        <v/>
      </c>
      <c r="E155" s="22">
        <f>(1+E154)*IF(AND(Painel_diario!$H151="ED_JU",Painel_diario!$J151=1),EXP(Painel_diario!$L151),1)-1</f>
        <v/>
      </c>
    </row>
    <row r="156">
      <c r="A156" s="25" t="n">
        <v>39030</v>
      </c>
      <c r="B156" s="22">
        <f>(1+B155)*IF(AND(Painel_diario!$H152="EU_JD",Painel_diario!$J152=1),EXP(Painel_diario!$L152),1)-1</f>
        <v/>
      </c>
      <c r="C156" s="22">
        <f>(1+C155)*IF(AND(Painel_diario!$H152="EU_JU",Painel_diario!$J152=1),EXP(Painel_diario!$L152),1)-1</f>
        <v/>
      </c>
      <c r="D156" s="22">
        <f>(1+D155)*IF(AND(Painel_diario!$H152="ED_JD",Painel_diario!$J152=1),EXP(Painel_diario!$L152),1)-1</f>
        <v/>
      </c>
      <c r="E156" s="22">
        <f>(1+E155)*IF(AND(Painel_diario!$H152="ED_JU",Painel_diario!$J152=1),EXP(Painel_diario!$L152),1)-1</f>
        <v/>
      </c>
    </row>
    <row r="157">
      <c r="A157" s="25" t="n">
        <v>39031</v>
      </c>
      <c r="B157" s="22">
        <f>(1+B156)*IF(AND(Painel_diario!$H153="EU_JD",Painel_diario!$J153=1),EXP(Painel_diario!$L153),1)-1</f>
        <v/>
      </c>
      <c r="C157" s="22">
        <f>(1+C156)*IF(AND(Painel_diario!$H153="EU_JU",Painel_diario!$J153=1),EXP(Painel_diario!$L153),1)-1</f>
        <v/>
      </c>
      <c r="D157" s="22">
        <f>(1+D156)*IF(AND(Painel_diario!$H153="ED_JD",Painel_diario!$J153=1),EXP(Painel_diario!$L153),1)-1</f>
        <v/>
      </c>
      <c r="E157" s="22">
        <f>(1+E156)*IF(AND(Painel_diario!$H153="ED_JU",Painel_diario!$J153=1),EXP(Painel_diario!$L153),1)-1</f>
        <v/>
      </c>
    </row>
    <row r="158">
      <c r="A158" s="25" t="n">
        <v>39034</v>
      </c>
      <c r="B158" s="22">
        <f>(1+B157)*IF(AND(Painel_diario!$H154="EU_JD",Painel_diario!$J154=1),EXP(Painel_diario!$L154),1)-1</f>
        <v/>
      </c>
      <c r="C158" s="22">
        <f>(1+C157)*IF(AND(Painel_diario!$H154="EU_JU",Painel_diario!$J154=1),EXP(Painel_diario!$L154),1)-1</f>
        <v/>
      </c>
      <c r="D158" s="22">
        <f>(1+D157)*IF(AND(Painel_diario!$H154="ED_JD",Painel_diario!$J154=1),EXP(Painel_diario!$L154),1)-1</f>
        <v/>
      </c>
      <c r="E158" s="22">
        <f>(1+E157)*IF(AND(Painel_diario!$H154="ED_JU",Painel_diario!$J154=1),EXP(Painel_diario!$L154),1)-1</f>
        <v/>
      </c>
    </row>
    <row r="159">
      <c r="A159" s="25" t="n">
        <v>39035</v>
      </c>
      <c r="B159" s="22">
        <f>(1+B158)*IF(AND(Painel_diario!$H155="EU_JD",Painel_diario!$J155=1),EXP(Painel_diario!$L155),1)-1</f>
        <v/>
      </c>
      <c r="C159" s="22">
        <f>(1+C158)*IF(AND(Painel_diario!$H155="EU_JU",Painel_diario!$J155=1),EXP(Painel_diario!$L155),1)-1</f>
        <v/>
      </c>
      <c r="D159" s="22">
        <f>(1+D158)*IF(AND(Painel_diario!$H155="ED_JD",Painel_diario!$J155=1),EXP(Painel_diario!$L155),1)-1</f>
        <v/>
      </c>
      <c r="E159" s="22">
        <f>(1+E158)*IF(AND(Painel_diario!$H155="ED_JU",Painel_diario!$J155=1),EXP(Painel_diario!$L155),1)-1</f>
        <v/>
      </c>
    </row>
    <row r="160">
      <c r="A160" s="25" t="n">
        <v>39037</v>
      </c>
      <c r="B160" s="22">
        <f>(1+B159)*IF(AND(Painel_diario!$H156="EU_JD",Painel_diario!$J156=1),EXP(Painel_diario!$L156),1)-1</f>
        <v/>
      </c>
      <c r="C160" s="22">
        <f>(1+C159)*IF(AND(Painel_diario!$H156="EU_JU",Painel_diario!$J156=1),EXP(Painel_diario!$L156),1)-1</f>
        <v/>
      </c>
      <c r="D160" s="22">
        <f>(1+D159)*IF(AND(Painel_diario!$H156="ED_JD",Painel_diario!$J156=1),EXP(Painel_diario!$L156),1)-1</f>
        <v/>
      </c>
      <c r="E160" s="22">
        <f>(1+E159)*IF(AND(Painel_diario!$H156="ED_JU",Painel_diario!$J156=1),EXP(Painel_diario!$L156),1)-1</f>
        <v/>
      </c>
    </row>
    <row r="161">
      <c r="A161" s="25" t="n">
        <v>39038</v>
      </c>
      <c r="B161" s="22">
        <f>(1+B160)*IF(AND(Painel_diario!$H157="EU_JD",Painel_diario!$J157=1),EXP(Painel_diario!$L157),1)-1</f>
        <v/>
      </c>
      <c r="C161" s="22">
        <f>(1+C160)*IF(AND(Painel_diario!$H157="EU_JU",Painel_diario!$J157=1),EXP(Painel_diario!$L157),1)-1</f>
        <v/>
      </c>
      <c r="D161" s="22">
        <f>(1+D160)*IF(AND(Painel_diario!$H157="ED_JD",Painel_diario!$J157=1),EXP(Painel_diario!$L157),1)-1</f>
        <v/>
      </c>
      <c r="E161" s="22">
        <f>(1+E160)*IF(AND(Painel_diario!$H157="ED_JU",Painel_diario!$J157=1),EXP(Painel_diario!$L157),1)-1</f>
        <v/>
      </c>
    </row>
    <row r="162">
      <c r="A162" s="25" t="n">
        <v>39042</v>
      </c>
      <c r="B162" s="22">
        <f>(1+B161)*IF(AND(Painel_diario!$H158="EU_JD",Painel_diario!$J158=1),EXP(Painel_diario!$L158),1)-1</f>
        <v/>
      </c>
      <c r="C162" s="22">
        <f>(1+C161)*IF(AND(Painel_diario!$H158="EU_JU",Painel_diario!$J158=1),EXP(Painel_diario!$L158),1)-1</f>
        <v/>
      </c>
      <c r="D162" s="22">
        <f>(1+D161)*IF(AND(Painel_diario!$H158="ED_JD",Painel_diario!$J158=1),EXP(Painel_diario!$L158),1)-1</f>
        <v/>
      </c>
      <c r="E162" s="22">
        <f>(1+E161)*IF(AND(Painel_diario!$H158="ED_JU",Painel_diario!$J158=1),EXP(Painel_diario!$L158),1)-1</f>
        <v/>
      </c>
    </row>
    <row r="163">
      <c r="A163" s="25" t="n">
        <v>39043</v>
      </c>
      <c r="B163" s="22">
        <f>(1+B162)*IF(AND(Painel_diario!$H159="EU_JD",Painel_diario!$J159=1),EXP(Painel_diario!$L159),1)-1</f>
        <v/>
      </c>
      <c r="C163" s="22">
        <f>(1+C162)*IF(AND(Painel_diario!$H159="EU_JU",Painel_diario!$J159=1),EXP(Painel_diario!$L159),1)-1</f>
        <v/>
      </c>
      <c r="D163" s="22">
        <f>(1+D162)*IF(AND(Painel_diario!$H159="ED_JD",Painel_diario!$J159=1),EXP(Painel_diario!$L159),1)-1</f>
        <v/>
      </c>
      <c r="E163" s="22">
        <f>(1+E162)*IF(AND(Painel_diario!$H159="ED_JU",Painel_diario!$J159=1),EXP(Painel_diario!$L159),1)-1</f>
        <v/>
      </c>
    </row>
    <row r="164">
      <c r="A164" s="25" t="n">
        <v>39044</v>
      </c>
      <c r="B164" s="22">
        <f>(1+B163)*IF(AND(Painel_diario!$H160="EU_JD",Painel_diario!$J160=1),EXP(Painel_diario!$L160),1)-1</f>
        <v/>
      </c>
      <c r="C164" s="22">
        <f>(1+C163)*IF(AND(Painel_diario!$H160="EU_JU",Painel_diario!$J160=1),EXP(Painel_diario!$L160),1)-1</f>
        <v/>
      </c>
      <c r="D164" s="22">
        <f>(1+D163)*IF(AND(Painel_diario!$H160="ED_JD",Painel_diario!$J160=1),EXP(Painel_diario!$L160),1)-1</f>
        <v/>
      </c>
      <c r="E164" s="22">
        <f>(1+E163)*IF(AND(Painel_diario!$H160="ED_JU",Painel_diario!$J160=1),EXP(Painel_diario!$L160),1)-1</f>
        <v/>
      </c>
    </row>
    <row r="165">
      <c r="A165" s="25" t="n">
        <v>39045</v>
      </c>
      <c r="B165" s="22">
        <f>(1+B164)*IF(AND(Painel_diario!$H161="EU_JD",Painel_diario!$J161=1),EXP(Painel_diario!$L161),1)-1</f>
        <v/>
      </c>
      <c r="C165" s="22">
        <f>(1+C164)*IF(AND(Painel_diario!$H161="EU_JU",Painel_diario!$J161=1),EXP(Painel_diario!$L161),1)-1</f>
        <v/>
      </c>
      <c r="D165" s="22">
        <f>(1+D164)*IF(AND(Painel_diario!$H161="ED_JD",Painel_diario!$J161=1),EXP(Painel_diario!$L161),1)-1</f>
        <v/>
      </c>
      <c r="E165" s="22">
        <f>(1+E164)*IF(AND(Painel_diario!$H161="ED_JU",Painel_diario!$J161=1),EXP(Painel_diario!$L161),1)-1</f>
        <v/>
      </c>
    </row>
    <row r="166">
      <c r="A166" s="25" t="n">
        <v>39048</v>
      </c>
      <c r="B166" s="22">
        <f>(1+B165)*IF(AND(Painel_diario!$H162="EU_JD",Painel_diario!$J162=1),EXP(Painel_diario!$L162),1)-1</f>
        <v/>
      </c>
      <c r="C166" s="22">
        <f>(1+C165)*IF(AND(Painel_diario!$H162="EU_JU",Painel_diario!$J162=1),EXP(Painel_diario!$L162),1)-1</f>
        <v/>
      </c>
      <c r="D166" s="22">
        <f>(1+D165)*IF(AND(Painel_diario!$H162="ED_JD",Painel_diario!$J162=1),EXP(Painel_diario!$L162),1)-1</f>
        <v/>
      </c>
      <c r="E166" s="22">
        <f>(1+E165)*IF(AND(Painel_diario!$H162="ED_JU",Painel_diario!$J162=1),EXP(Painel_diario!$L162),1)-1</f>
        <v/>
      </c>
    </row>
    <row r="167">
      <c r="A167" s="25" t="n">
        <v>39049</v>
      </c>
      <c r="B167" s="22">
        <f>(1+B166)*IF(AND(Painel_diario!$H163="EU_JD",Painel_diario!$J163=1),EXP(Painel_diario!$L163),1)-1</f>
        <v/>
      </c>
      <c r="C167" s="22">
        <f>(1+C166)*IF(AND(Painel_diario!$H163="EU_JU",Painel_diario!$J163=1),EXP(Painel_diario!$L163),1)-1</f>
        <v/>
      </c>
      <c r="D167" s="22">
        <f>(1+D166)*IF(AND(Painel_diario!$H163="ED_JD",Painel_diario!$J163=1),EXP(Painel_diario!$L163),1)-1</f>
        <v/>
      </c>
      <c r="E167" s="22">
        <f>(1+E166)*IF(AND(Painel_diario!$H163="ED_JU",Painel_diario!$J163=1),EXP(Painel_diario!$L163),1)-1</f>
        <v/>
      </c>
    </row>
    <row r="168">
      <c r="A168" s="25" t="n">
        <v>39050</v>
      </c>
      <c r="B168" s="22">
        <f>(1+B167)*IF(AND(Painel_diario!$H164="EU_JD",Painel_diario!$J164=1),EXP(Painel_diario!$L164),1)-1</f>
        <v/>
      </c>
      <c r="C168" s="22">
        <f>(1+C167)*IF(AND(Painel_diario!$H164="EU_JU",Painel_diario!$J164=1),EXP(Painel_diario!$L164),1)-1</f>
        <v/>
      </c>
      <c r="D168" s="22">
        <f>(1+D167)*IF(AND(Painel_diario!$H164="ED_JD",Painel_diario!$J164=1),EXP(Painel_diario!$L164),1)-1</f>
        <v/>
      </c>
      <c r="E168" s="22">
        <f>(1+E167)*IF(AND(Painel_diario!$H164="ED_JU",Painel_diario!$J164=1),EXP(Painel_diario!$L164),1)-1</f>
        <v/>
      </c>
    </row>
    <row r="169">
      <c r="A169" s="25" t="n">
        <v>39051</v>
      </c>
      <c r="B169" s="22">
        <f>(1+B168)*IF(AND(Painel_diario!$H165="EU_JD",Painel_diario!$J165=1),EXP(Painel_diario!$L165),1)-1</f>
        <v/>
      </c>
      <c r="C169" s="22">
        <f>(1+C168)*IF(AND(Painel_diario!$H165="EU_JU",Painel_diario!$J165=1),EXP(Painel_diario!$L165),1)-1</f>
        <v/>
      </c>
      <c r="D169" s="22">
        <f>(1+D168)*IF(AND(Painel_diario!$H165="ED_JD",Painel_diario!$J165=1),EXP(Painel_diario!$L165),1)-1</f>
        <v/>
      </c>
      <c r="E169" s="22">
        <f>(1+E168)*IF(AND(Painel_diario!$H165="ED_JU",Painel_diario!$J165=1),EXP(Painel_diario!$L165),1)-1</f>
        <v/>
      </c>
    </row>
    <row r="170">
      <c r="A170" s="25" t="n">
        <v>39052</v>
      </c>
      <c r="B170" s="22">
        <f>(1+B169)*IF(AND(Painel_diario!$H166="EU_JD",Painel_diario!$J166=1),EXP(Painel_diario!$L166),1)-1</f>
        <v/>
      </c>
      <c r="C170" s="22">
        <f>(1+C169)*IF(AND(Painel_diario!$H166="EU_JU",Painel_diario!$J166=1),EXP(Painel_diario!$L166),1)-1</f>
        <v/>
      </c>
      <c r="D170" s="22">
        <f>(1+D169)*IF(AND(Painel_diario!$H166="ED_JD",Painel_diario!$J166=1),EXP(Painel_diario!$L166),1)-1</f>
        <v/>
      </c>
      <c r="E170" s="22">
        <f>(1+E169)*IF(AND(Painel_diario!$H166="ED_JU",Painel_diario!$J166=1),EXP(Painel_diario!$L166),1)-1</f>
        <v/>
      </c>
    </row>
    <row r="171">
      <c r="A171" s="25" t="n">
        <v>39055</v>
      </c>
      <c r="B171" s="22">
        <f>(1+B170)*IF(AND(Painel_diario!$H167="EU_JD",Painel_diario!$J167=1),EXP(Painel_diario!$L167),1)-1</f>
        <v/>
      </c>
      <c r="C171" s="22">
        <f>(1+C170)*IF(AND(Painel_diario!$H167="EU_JU",Painel_diario!$J167=1),EXP(Painel_diario!$L167),1)-1</f>
        <v/>
      </c>
      <c r="D171" s="22">
        <f>(1+D170)*IF(AND(Painel_diario!$H167="ED_JD",Painel_diario!$J167=1),EXP(Painel_diario!$L167),1)-1</f>
        <v/>
      </c>
      <c r="E171" s="22">
        <f>(1+E170)*IF(AND(Painel_diario!$H167="ED_JU",Painel_diario!$J167=1),EXP(Painel_diario!$L167),1)-1</f>
        <v/>
      </c>
    </row>
    <row r="172">
      <c r="A172" s="25" t="n">
        <v>39056</v>
      </c>
      <c r="B172" s="22">
        <f>(1+B171)*IF(AND(Painel_diario!$H168="EU_JD",Painel_diario!$J168=1),EXP(Painel_diario!$L168),1)-1</f>
        <v/>
      </c>
      <c r="C172" s="22">
        <f>(1+C171)*IF(AND(Painel_diario!$H168="EU_JU",Painel_diario!$J168=1),EXP(Painel_diario!$L168),1)-1</f>
        <v/>
      </c>
      <c r="D172" s="22">
        <f>(1+D171)*IF(AND(Painel_diario!$H168="ED_JD",Painel_diario!$J168=1),EXP(Painel_diario!$L168),1)-1</f>
        <v/>
      </c>
      <c r="E172" s="22">
        <f>(1+E171)*IF(AND(Painel_diario!$H168="ED_JU",Painel_diario!$J168=1),EXP(Painel_diario!$L168),1)-1</f>
        <v/>
      </c>
    </row>
    <row r="173">
      <c r="A173" s="25" t="n">
        <v>39057</v>
      </c>
      <c r="B173" s="22">
        <f>(1+B172)*IF(AND(Painel_diario!$H169="EU_JD",Painel_diario!$J169=1),EXP(Painel_diario!$L169),1)-1</f>
        <v/>
      </c>
      <c r="C173" s="22">
        <f>(1+C172)*IF(AND(Painel_diario!$H169="EU_JU",Painel_diario!$J169=1),EXP(Painel_diario!$L169),1)-1</f>
        <v/>
      </c>
      <c r="D173" s="22">
        <f>(1+D172)*IF(AND(Painel_diario!$H169="ED_JD",Painel_diario!$J169=1),EXP(Painel_diario!$L169),1)-1</f>
        <v/>
      </c>
      <c r="E173" s="22">
        <f>(1+E172)*IF(AND(Painel_diario!$H169="ED_JU",Painel_diario!$J169=1),EXP(Painel_diario!$L169),1)-1</f>
        <v/>
      </c>
    </row>
    <row r="174">
      <c r="A174" s="25" t="n">
        <v>39058</v>
      </c>
      <c r="B174" s="22">
        <f>(1+B173)*IF(AND(Painel_diario!$H170="EU_JD",Painel_diario!$J170=1),EXP(Painel_diario!$L170),1)-1</f>
        <v/>
      </c>
      <c r="C174" s="22">
        <f>(1+C173)*IF(AND(Painel_diario!$H170="EU_JU",Painel_diario!$J170=1),EXP(Painel_diario!$L170),1)-1</f>
        <v/>
      </c>
      <c r="D174" s="22">
        <f>(1+D173)*IF(AND(Painel_diario!$H170="ED_JD",Painel_diario!$J170=1),EXP(Painel_diario!$L170),1)-1</f>
        <v/>
      </c>
      <c r="E174" s="22">
        <f>(1+E173)*IF(AND(Painel_diario!$H170="ED_JU",Painel_diario!$J170=1),EXP(Painel_diario!$L170),1)-1</f>
        <v/>
      </c>
    </row>
    <row r="175">
      <c r="A175" s="25" t="n">
        <v>39059</v>
      </c>
      <c r="B175" s="22">
        <f>(1+B174)*IF(AND(Painel_diario!$H171="EU_JD",Painel_diario!$J171=1),EXP(Painel_diario!$L171),1)-1</f>
        <v/>
      </c>
      <c r="C175" s="22">
        <f>(1+C174)*IF(AND(Painel_diario!$H171="EU_JU",Painel_diario!$J171=1),EXP(Painel_diario!$L171),1)-1</f>
        <v/>
      </c>
      <c r="D175" s="22">
        <f>(1+D174)*IF(AND(Painel_diario!$H171="ED_JD",Painel_diario!$J171=1),EXP(Painel_diario!$L171),1)-1</f>
        <v/>
      </c>
      <c r="E175" s="22">
        <f>(1+E174)*IF(AND(Painel_diario!$H171="ED_JU",Painel_diario!$J171=1),EXP(Painel_diario!$L171),1)-1</f>
        <v/>
      </c>
    </row>
    <row r="176">
      <c r="A176" s="25" t="n">
        <v>39062</v>
      </c>
      <c r="B176" s="22">
        <f>(1+B175)*IF(AND(Painel_diario!$H172="EU_JD",Painel_diario!$J172=1),EXP(Painel_diario!$L172),1)-1</f>
        <v/>
      </c>
      <c r="C176" s="22">
        <f>(1+C175)*IF(AND(Painel_diario!$H172="EU_JU",Painel_diario!$J172=1),EXP(Painel_diario!$L172),1)-1</f>
        <v/>
      </c>
      <c r="D176" s="22">
        <f>(1+D175)*IF(AND(Painel_diario!$H172="ED_JD",Painel_diario!$J172=1),EXP(Painel_diario!$L172),1)-1</f>
        <v/>
      </c>
      <c r="E176" s="22">
        <f>(1+E175)*IF(AND(Painel_diario!$H172="ED_JU",Painel_diario!$J172=1),EXP(Painel_diario!$L172),1)-1</f>
        <v/>
      </c>
    </row>
    <row r="177">
      <c r="A177" s="25" t="n">
        <v>39063</v>
      </c>
      <c r="B177" s="22">
        <f>(1+B176)*IF(AND(Painel_diario!$H173="EU_JD",Painel_diario!$J173=1),EXP(Painel_diario!$L173),1)-1</f>
        <v/>
      </c>
      <c r="C177" s="22">
        <f>(1+C176)*IF(AND(Painel_diario!$H173="EU_JU",Painel_diario!$J173=1),EXP(Painel_diario!$L173),1)-1</f>
        <v/>
      </c>
      <c r="D177" s="22">
        <f>(1+D176)*IF(AND(Painel_diario!$H173="ED_JD",Painel_diario!$J173=1),EXP(Painel_diario!$L173),1)-1</f>
        <v/>
      </c>
      <c r="E177" s="22">
        <f>(1+E176)*IF(AND(Painel_diario!$H173="ED_JU",Painel_diario!$J173=1),EXP(Painel_diario!$L173),1)-1</f>
        <v/>
      </c>
    </row>
    <row r="178">
      <c r="A178" s="25" t="n">
        <v>39064</v>
      </c>
      <c r="B178" s="22">
        <f>(1+B177)*IF(AND(Painel_diario!$H174="EU_JD",Painel_diario!$J174=1),EXP(Painel_diario!$L174),1)-1</f>
        <v/>
      </c>
      <c r="C178" s="22">
        <f>(1+C177)*IF(AND(Painel_diario!$H174="EU_JU",Painel_diario!$J174=1),EXP(Painel_diario!$L174),1)-1</f>
        <v/>
      </c>
      <c r="D178" s="22">
        <f>(1+D177)*IF(AND(Painel_diario!$H174="ED_JD",Painel_diario!$J174=1),EXP(Painel_diario!$L174),1)-1</f>
        <v/>
      </c>
      <c r="E178" s="22">
        <f>(1+E177)*IF(AND(Painel_diario!$H174="ED_JU",Painel_diario!$J174=1),EXP(Painel_diario!$L174),1)-1</f>
        <v/>
      </c>
    </row>
    <row r="179">
      <c r="A179" s="25" t="n">
        <v>39065</v>
      </c>
      <c r="B179" s="22">
        <f>(1+B178)*IF(AND(Painel_diario!$H175="EU_JD",Painel_diario!$J175=1),EXP(Painel_diario!$L175),1)-1</f>
        <v/>
      </c>
      <c r="C179" s="22">
        <f>(1+C178)*IF(AND(Painel_diario!$H175="EU_JU",Painel_diario!$J175=1),EXP(Painel_diario!$L175),1)-1</f>
        <v/>
      </c>
      <c r="D179" s="22">
        <f>(1+D178)*IF(AND(Painel_diario!$H175="ED_JD",Painel_diario!$J175=1),EXP(Painel_diario!$L175),1)-1</f>
        <v/>
      </c>
      <c r="E179" s="22">
        <f>(1+E178)*IF(AND(Painel_diario!$H175="ED_JU",Painel_diario!$J175=1),EXP(Painel_diario!$L175),1)-1</f>
        <v/>
      </c>
    </row>
    <row r="180">
      <c r="A180" s="25" t="n">
        <v>39066</v>
      </c>
      <c r="B180" s="22">
        <f>(1+B179)*IF(AND(Painel_diario!$H176="EU_JD",Painel_diario!$J176=1),EXP(Painel_diario!$L176),1)-1</f>
        <v/>
      </c>
      <c r="C180" s="22">
        <f>(1+C179)*IF(AND(Painel_diario!$H176="EU_JU",Painel_diario!$J176=1),EXP(Painel_diario!$L176),1)-1</f>
        <v/>
      </c>
      <c r="D180" s="22">
        <f>(1+D179)*IF(AND(Painel_diario!$H176="ED_JD",Painel_diario!$J176=1),EXP(Painel_diario!$L176),1)-1</f>
        <v/>
      </c>
      <c r="E180" s="22">
        <f>(1+E179)*IF(AND(Painel_diario!$H176="ED_JU",Painel_diario!$J176=1),EXP(Painel_diario!$L176),1)-1</f>
        <v/>
      </c>
    </row>
    <row r="181">
      <c r="A181" s="25" t="n">
        <v>39069</v>
      </c>
      <c r="B181" s="22">
        <f>(1+B180)*IF(AND(Painel_diario!$H177="EU_JD",Painel_diario!$J177=1),EXP(Painel_diario!$L177),1)-1</f>
        <v/>
      </c>
      <c r="C181" s="22">
        <f>(1+C180)*IF(AND(Painel_diario!$H177="EU_JU",Painel_diario!$J177=1),EXP(Painel_diario!$L177),1)-1</f>
        <v/>
      </c>
      <c r="D181" s="22">
        <f>(1+D180)*IF(AND(Painel_diario!$H177="ED_JD",Painel_diario!$J177=1),EXP(Painel_diario!$L177),1)-1</f>
        <v/>
      </c>
      <c r="E181" s="22">
        <f>(1+E180)*IF(AND(Painel_diario!$H177="ED_JU",Painel_diario!$J177=1),EXP(Painel_diario!$L177),1)-1</f>
        <v/>
      </c>
    </row>
    <row r="182">
      <c r="A182" s="25" t="n">
        <v>39070</v>
      </c>
      <c r="B182" s="22">
        <f>(1+B181)*IF(AND(Painel_diario!$H178="EU_JD",Painel_diario!$J178=1),EXP(Painel_diario!$L178),1)-1</f>
        <v/>
      </c>
      <c r="C182" s="22">
        <f>(1+C181)*IF(AND(Painel_diario!$H178="EU_JU",Painel_diario!$J178=1),EXP(Painel_diario!$L178),1)-1</f>
        <v/>
      </c>
      <c r="D182" s="22">
        <f>(1+D181)*IF(AND(Painel_diario!$H178="ED_JD",Painel_diario!$J178=1),EXP(Painel_diario!$L178),1)-1</f>
        <v/>
      </c>
      <c r="E182" s="22">
        <f>(1+E181)*IF(AND(Painel_diario!$H178="ED_JU",Painel_diario!$J178=1),EXP(Painel_diario!$L178),1)-1</f>
        <v/>
      </c>
    </row>
    <row r="183">
      <c r="A183" s="25" t="n">
        <v>39071</v>
      </c>
      <c r="B183" s="22">
        <f>(1+B182)*IF(AND(Painel_diario!$H179="EU_JD",Painel_diario!$J179=1),EXP(Painel_diario!$L179),1)-1</f>
        <v/>
      </c>
      <c r="C183" s="22">
        <f>(1+C182)*IF(AND(Painel_diario!$H179="EU_JU",Painel_diario!$J179=1),EXP(Painel_diario!$L179),1)-1</f>
        <v/>
      </c>
      <c r="D183" s="22">
        <f>(1+D182)*IF(AND(Painel_diario!$H179="ED_JD",Painel_diario!$J179=1),EXP(Painel_diario!$L179),1)-1</f>
        <v/>
      </c>
      <c r="E183" s="22">
        <f>(1+E182)*IF(AND(Painel_diario!$H179="ED_JU",Painel_diario!$J179=1),EXP(Painel_diario!$L179),1)-1</f>
        <v/>
      </c>
    </row>
    <row r="184">
      <c r="A184" s="25" t="n">
        <v>39072</v>
      </c>
      <c r="B184" s="22">
        <f>(1+B183)*IF(AND(Painel_diario!$H180="EU_JD",Painel_diario!$J180=1),EXP(Painel_diario!$L180),1)-1</f>
        <v/>
      </c>
      <c r="C184" s="22">
        <f>(1+C183)*IF(AND(Painel_diario!$H180="EU_JU",Painel_diario!$J180=1),EXP(Painel_diario!$L180),1)-1</f>
        <v/>
      </c>
      <c r="D184" s="22">
        <f>(1+D183)*IF(AND(Painel_diario!$H180="ED_JD",Painel_diario!$J180=1),EXP(Painel_diario!$L180),1)-1</f>
        <v/>
      </c>
      <c r="E184" s="22">
        <f>(1+E183)*IF(AND(Painel_diario!$H180="ED_JU",Painel_diario!$J180=1),EXP(Painel_diario!$L180),1)-1</f>
        <v/>
      </c>
    </row>
    <row r="185">
      <c r="A185" s="25" t="n">
        <v>39073</v>
      </c>
      <c r="B185" s="22">
        <f>(1+B184)*IF(AND(Painel_diario!$H181="EU_JD",Painel_diario!$J181=1),EXP(Painel_diario!$L181),1)-1</f>
        <v/>
      </c>
      <c r="C185" s="22">
        <f>(1+C184)*IF(AND(Painel_diario!$H181="EU_JU",Painel_diario!$J181=1),EXP(Painel_diario!$L181),1)-1</f>
        <v/>
      </c>
      <c r="D185" s="22">
        <f>(1+D184)*IF(AND(Painel_diario!$H181="ED_JD",Painel_diario!$J181=1),EXP(Painel_diario!$L181),1)-1</f>
        <v/>
      </c>
      <c r="E185" s="22">
        <f>(1+E184)*IF(AND(Painel_diario!$H181="ED_JU",Painel_diario!$J181=1),EXP(Painel_diario!$L181),1)-1</f>
        <v/>
      </c>
    </row>
    <row r="186">
      <c r="A186" s="25" t="n">
        <v>39077</v>
      </c>
      <c r="B186" s="22">
        <f>(1+B185)*IF(AND(Painel_diario!$H182="EU_JD",Painel_diario!$J182=1),EXP(Painel_diario!$L182),1)-1</f>
        <v/>
      </c>
      <c r="C186" s="22">
        <f>(1+C185)*IF(AND(Painel_diario!$H182="EU_JU",Painel_diario!$J182=1),EXP(Painel_diario!$L182),1)-1</f>
        <v/>
      </c>
      <c r="D186" s="22">
        <f>(1+D185)*IF(AND(Painel_diario!$H182="ED_JD",Painel_diario!$J182=1),EXP(Painel_diario!$L182),1)-1</f>
        <v/>
      </c>
      <c r="E186" s="22">
        <f>(1+E185)*IF(AND(Painel_diario!$H182="ED_JU",Painel_diario!$J182=1),EXP(Painel_diario!$L182),1)-1</f>
        <v/>
      </c>
    </row>
    <row r="187">
      <c r="A187" s="25" t="n">
        <v>39078</v>
      </c>
      <c r="B187" s="22">
        <f>(1+B186)*IF(AND(Painel_diario!$H183="EU_JD",Painel_diario!$J183=1),EXP(Painel_diario!$L183),1)-1</f>
        <v/>
      </c>
      <c r="C187" s="22">
        <f>(1+C186)*IF(AND(Painel_diario!$H183="EU_JU",Painel_diario!$J183=1),EXP(Painel_diario!$L183),1)-1</f>
        <v/>
      </c>
      <c r="D187" s="22">
        <f>(1+D186)*IF(AND(Painel_diario!$H183="ED_JD",Painel_diario!$J183=1),EXP(Painel_diario!$L183),1)-1</f>
        <v/>
      </c>
      <c r="E187" s="22">
        <f>(1+E186)*IF(AND(Painel_diario!$H183="ED_JU",Painel_diario!$J183=1),EXP(Painel_diario!$L183),1)-1</f>
        <v/>
      </c>
    </row>
    <row r="188">
      <c r="A188" s="25" t="n">
        <v>39079</v>
      </c>
      <c r="B188" s="22">
        <f>(1+B187)*IF(AND(Painel_diario!$H184="EU_JD",Painel_diario!$J184=1),EXP(Painel_diario!$L184),1)-1</f>
        <v/>
      </c>
      <c r="C188" s="22">
        <f>(1+C187)*IF(AND(Painel_diario!$H184="EU_JU",Painel_diario!$J184=1),EXP(Painel_diario!$L184),1)-1</f>
        <v/>
      </c>
      <c r="D188" s="22">
        <f>(1+D187)*IF(AND(Painel_diario!$H184="ED_JD",Painel_diario!$J184=1),EXP(Painel_diario!$L184),1)-1</f>
        <v/>
      </c>
      <c r="E188" s="22">
        <f>(1+E187)*IF(AND(Painel_diario!$H184="ED_JU",Painel_diario!$J184=1),EXP(Painel_diario!$L184),1)-1</f>
        <v/>
      </c>
    </row>
    <row r="189">
      <c r="A189" s="25" t="n">
        <v>39084</v>
      </c>
      <c r="B189" s="22">
        <f>(1+B188)*IF(AND(Painel_diario!$H185="EU_JD",Painel_diario!$J185=1),EXP(Painel_diario!$L185),1)-1</f>
        <v/>
      </c>
      <c r="C189" s="22">
        <f>(1+C188)*IF(AND(Painel_diario!$H185="EU_JU",Painel_diario!$J185=1),EXP(Painel_diario!$L185),1)-1</f>
        <v/>
      </c>
      <c r="D189" s="22">
        <f>(1+D188)*IF(AND(Painel_diario!$H185="ED_JD",Painel_diario!$J185=1),EXP(Painel_diario!$L185),1)-1</f>
        <v/>
      </c>
      <c r="E189" s="22">
        <f>(1+E188)*IF(AND(Painel_diario!$H185="ED_JU",Painel_diario!$J185=1),EXP(Painel_diario!$L185),1)-1</f>
        <v/>
      </c>
    </row>
    <row r="190">
      <c r="A190" s="25" t="n">
        <v>39085</v>
      </c>
      <c r="B190" s="22">
        <f>(1+B189)*IF(AND(Painel_diario!$H186="EU_JD",Painel_diario!$J186=1),EXP(Painel_diario!$L186),1)-1</f>
        <v/>
      </c>
      <c r="C190" s="22">
        <f>(1+C189)*IF(AND(Painel_diario!$H186="EU_JU",Painel_diario!$J186=1),EXP(Painel_diario!$L186),1)-1</f>
        <v/>
      </c>
      <c r="D190" s="22">
        <f>(1+D189)*IF(AND(Painel_diario!$H186="ED_JD",Painel_diario!$J186=1),EXP(Painel_diario!$L186),1)-1</f>
        <v/>
      </c>
      <c r="E190" s="22">
        <f>(1+E189)*IF(AND(Painel_diario!$H186="ED_JU",Painel_diario!$J186=1),EXP(Painel_diario!$L186),1)-1</f>
        <v/>
      </c>
    </row>
    <row r="191">
      <c r="A191" s="25" t="n">
        <v>39086</v>
      </c>
      <c r="B191" s="22">
        <f>(1+B190)*IF(AND(Painel_diario!$H187="EU_JD",Painel_diario!$J187=1),EXP(Painel_diario!$L187),1)-1</f>
        <v/>
      </c>
      <c r="C191" s="22">
        <f>(1+C190)*IF(AND(Painel_diario!$H187="EU_JU",Painel_diario!$J187=1),EXP(Painel_diario!$L187),1)-1</f>
        <v/>
      </c>
      <c r="D191" s="22">
        <f>(1+D190)*IF(AND(Painel_diario!$H187="ED_JD",Painel_diario!$J187=1),EXP(Painel_diario!$L187),1)-1</f>
        <v/>
      </c>
      <c r="E191" s="22">
        <f>(1+E190)*IF(AND(Painel_diario!$H187="ED_JU",Painel_diario!$J187=1),EXP(Painel_diario!$L187),1)-1</f>
        <v/>
      </c>
    </row>
    <row r="192">
      <c r="A192" s="25" t="n">
        <v>39087</v>
      </c>
      <c r="B192" s="22">
        <f>(1+B191)*IF(AND(Painel_diario!$H188="EU_JD",Painel_diario!$J188=1),EXP(Painel_diario!$L188),1)-1</f>
        <v/>
      </c>
      <c r="C192" s="22">
        <f>(1+C191)*IF(AND(Painel_diario!$H188="EU_JU",Painel_diario!$J188=1),EXP(Painel_diario!$L188),1)-1</f>
        <v/>
      </c>
      <c r="D192" s="22">
        <f>(1+D191)*IF(AND(Painel_diario!$H188="ED_JD",Painel_diario!$J188=1),EXP(Painel_diario!$L188),1)-1</f>
        <v/>
      </c>
      <c r="E192" s="22">
        <f>(1+E191)*IF(AND(Painel_diario!$H188="ED_JU",Painel_diario!$J188=1),EXP(Painel_diario!$L188),1)-1</f>
        <v/>
      </c>
    </row>
    <row r="193">
      <c r="A193" s="25" t="n">
        <v>39090</v>
      </c>
      <c r="B193" s="22">
        <f>(1+B192)*IF(AND(Painel_diario!$H189="EU_JD",Painel_diario!$J189=1),EXP(Painel_diario!$L189),1)-1</f>
        <v/>
      </c>
      <c r="C193" s="22">
        <f>(1+C192)*IF(AND(Painel_diario!$H189="EU_JU",Painel_diario!$J189=1),EXP(Painel_diario!$L189),1)-1</f>
        <v/>
      </c>
      <c r="D193" s="22">
        <f>(1+D192)*IF(AND(Painel_diario!$H189="ED_JD",Painel_diario!$J189=1),EXP(Painel_diario!$L189),1)-1</f>
        <v/>
      </c>
      <c r="E193" s="22">
        <f>(1+E192)*IF(AND(Painel_diario!$H189="ED_JU",Painel_diario!$J189=1),EXP(Painel_diario!$L189),1)-1</f>
        <v/>
      </c>
    </row>
    <row r="194">
      <c r="A194" s="25" t="n">
        <v>39091</v>
      </c>
      <c r="B194" s="22">
        <f>(1+B193)*IF(AND(Painel_diario!$H190="EU_JD",Painel_diario!$J190=1),EXP(Painel_diario!$L190),1)-1</f>
        <v/>
      </c>
      <c r="C194" s="22">
        <f>(1+C193)*IF(AND(Painel_diario!$H190="EU_JU",Painel_diario!$J190=1),EXP(Painel_diario!$L190),1)-1</f>
        <v/>
      </c>
      <c r="D194" s="22">
        <f>(1+D193)*IF(AND(Painel_diario!$H190="ED_JD",Painel_diario!$J190=1),EXP(Painel_diario!$L190),1)-1</f>
        <v/>
      </c>
      <c r="E194" s="22">
        <f>(1+E193)*IF(AND(Painel_diario!$H190="ED_JU",Painel_diario!$J190=1),EXP(Painel_diario!$L190),1)-1</f>
        <v/>
      </c>
    </row>
    <row r="195">
      <c r="A195" s="25" t="n">
        <v>39092</v>
      </c>
      <c r="B195" s="22">
        <f>(1+B194)*IF(AND(Painel_diario!$H191="EU_JD",Painel_diario!$J191=1),EXP(Painel_diario!$L191),1)-1</f>
        <v/>
      </c>
      <c r="C195" s="22">
        <f>(1+C194)*IF(AND(Painel_diario!$H191="EU_JU",Painel_diario!$J191=1),EXP(Painel_diario!$L191),1)-1</f>
        <v/>
      </c>
      <c r="D195" s="22">
        <f>(1+D194)*IF(AND(Painel_diario!$H191="ED_JD",Painel_diario!$J191=1),EXP(Painel_diario!$L191),1)-1</f>
        <v/>
      </c>
      <c r="E195" s="22">
        <f>(1+E194)*IF(AND(Painel_diario!$H191="ED_JU",Painel_diario!$J191=1),EXP(Painel_diario!$L191),1)-1</f>
        <v/>
      </c>
    </row>
    <row r="196">
      <c r="A196" s="25" t="n">
        <v>39093</v>
      </c>
      <c r="B196" s="22">
        <f>(1+B195)*IF(AND(Painel_diario!$H192="EU_JD",Painel_diario!$J192=1),EXP(Painel_diario!$L192),1)-1</f>
        <v/>
      </c>
      <c r="C196" s="22">
        <f>(1+C195)*IF(AND(Painel_diario!$H192="EU_JU",Painel_diario!$J192=1),EXP(Painel_diario!$L192),1)-1</f>
        <v/>
      </c>
      <c r="D196" s="22">
        <f>(1+D195)*IF(AND(Painel_diario!$H192="ED_JD",Painel_diario!$J192=1),EXP(Painel_diario!$L192),1)-1</f>
        <v/>
      </c>
      <c r="E196" s="22">
        <f>(1+E195)*IF(AND(Painel_diario!$H192="ED_JU",Painel_diario!$J192=1),EXP(Painel_diario!$L192),1)-1</f>
        <v/>
      </c>
    </row>
    <row r="197">
      <c r="A197" s="25" t="n">
        <v>39094</v>
      </c>
      <c r="B197" s="22">
        <f>(1+B196)*IF(AND(Painel_diario!$H193="EU_JD",Painel_diario!$J193=1),EXP(Painel_diario!$L193),1)-1</f>
        <v/>
      </c>
      <c r="C197" s="22">
        <f>(1+C196)*IF(AND(Painel_diario!$H193="EU_JU",Painel_diario!$J193=1),EXP(Painel_diario!$L193),1)-1</f>
        <v/>
      </c>
      <c r="D197" s="22">
        <f>(1+D196)*IF(AND(Painel_diario!$H193="ED_JD",Painel_diario!$J193=1),EXP(Painel_diario!$L193),1)-1</f>
        <v/>
      </c>
      <c r="E197" s="22">
        <f>(1+E196)*IF(AND(Painel_diario!$H193="ED_JU",Painel_diario!$J193=1),EXP(Painel_diario!$L193),1)-1</f>
        <v/>
      </c>
    </row>
    <row r="198">
      <c r="A198" s="25" t="n">
        <v>39097</v>
      </c>
      <c r="B198" s="22">
        <f>(1+B197)*IF(AND(Painel_diario!$H194="EU_JD",Painel_diario!$J194=1),EXP(Painel_diario!$L194),1)-1</f>
        <v/>
      </c>
      <c r="C198" s="22">
        <f>(1+C197)*IF(AND(Painel_diario!$H194="EU_JU",Painel_diario!$J194=1),EXP(Painel_diario!$L194),1)-1</f>
        <v/>
      </c>
      <c r="D198" s="22">
        <f>(1+D197)*IF(AND(Painel_diario!$H194="ED_JD",Painel_diario!$J194=1),EXP(Painel_diario!$L194),1)-1</f>
        <v/>
      </c>
      <c r="E198" s="22">
        <f>(1+E197)*IF(AND(Painel_diario!$H194="ED_JU",Painel_diario!$J194=1),EXP(Painel_diario!$L194),1)-1</f>
        <v/>
      </c>
    </row>
    <row r="199">
      <c r="A199" s="25" t="n">
        <v>39098</v>
      </c>
      <c r="B199" s="22">
        <f>(1+B198)*IF(AND(Painel_diario!$H195="EU_JD",Painel_diario!$J195=1),EXP(Painel_diario!$L195),1)-1</f>
        <v/>
      </c>
      <c r="C199" s="22">
        <f>(1+C198)*IF(AND(Painel_diario!$H195="EU_JU",Painel_diario!$J195=1),EXP(Painel_diario!$L195),1)-1</f>
        <v/>
      </c>
      <c r="D199" s="22">
        <f>(1+D198)*IF(AND(Painel_diario!$H195="ED_JD",Painel_diario!$J195=1),EXP(Painel_diario!$L195),1)-1</f>
        <v/>
      </c>
      <c r="E199" s="22">
        <f>(1+E198)*IF(AND(Painel_diario!$H195="ED_JU",Painel_diario!$J195=1),EXP(Painel_diario!$L195),1)-1</f>
        <v/>
      </c>
    </row>
    <row r="200">
      <c r="A200" s="25" t="n">
        <v>39099</v>
      </c>
      <c r="B200" s="22">
        <f>(1+B199)*IF(AND(Painel_diario!$H196="EU_JD",Painel_diario!$J196=1),EXP(Painel_diario!$L196),1)-1</f>
        <v/>
      </c>
      <c r="C200" s="22">
        <f>(1+C199)*IF(AND(Painel_diario!$H196="EU_JU",Painel_diario!$J196=1),EXP(Painel_diario!$L196),1)-1</f>
        <v/>
      </c>
      <c r="D200" s="22">
        <f>(1+D199)*IF(AND(Painel_diario!$H196="ED_JD",Painel_diario!$J196=1),EXP(Painel_diario!$L196),1)-1</f>
        <v/>
      </c>
      <c r="E200" s="22">
        <f>(1+E199)*IF(AND(Painel_diario!$H196="ED_JU",Painel_diario!$J196=1),EXP(Painel_diario!$L196),1)-1</f>
        <v/>
      </c>
    </row>
    <row r="201">
      <c r="A201" s="25" t="n">
        <v>39100</v>
      </c>
      <c r="B201" s="22">
        <f>(1+B200)*IF(AND(Painel_diario!$H197="EU_JD",Painel_diario!$J197=1),EXP(Painel_diario!$L197),1)-1</f>
        <v/>
      </c>
      <c r="C201" s="22">
        <f>(1+C200)*IF(AND(Painel_diario!$H197="EU_JU",Painel_diario!$J197=1),EXP(Painel_diario!$L197),1)-1</f>
        <v/>
      </c>
      <c r="D201" s="22">
        <f>(1+D200)*IF(AND(Painel_diario!$H197="ED_JD",Painel_diario!$J197=1),EXP(Painel_diario!$L197),1)-1</f>
        <v/>
      </c>
      <c r="E201" s="22">
        <f>(1+E200)*IF(AND(Painel_diario!$H197="ED_JU",Painel_diario!$J197=1),EXP(Painel_diario!$L197),1)-1</f>
        <v/>
      </c>
    </row>
    <row r="202">
      <c r="A202" s="25" t="n">
        <v>39101</v>
      </c>
      <c r="B202" s="22">
        <f>(1+B201)*IF(AND(Painel_diario!$H198="EU_JD",Painel_diario!$J198=1),EXP(Painel_diario!$L198),1)-1</f>
        <v/>
      </c>
      <c r="C202" s="22">
        <f>(1+C201)*IF(AND(Painel_diario!$H198="EU_JU",Painel_diario!$J198=1),EXP(Painel_diario!$L198),1)-1</f>
        <v/>
      </c>
      <c r="D202" s="22">
        <f>(1+D201)*IF(AND(Painel_diario!$H198="ED_JD",Painel_diario!$J198=1),EXP(Painel_diario!$L198),1)-1</f>
        <v/>
      </c>
      <c r="E202" s="22">
        <f>(1+E201)*IF(AND(Painel_diario!$H198="ED_JU",Painel_diario!$J198=1),EXP(Painel_diario!$L198),1)-1</f>
        <v/>
      </c>
    </row>
    <row r="203">
      <c r="A203" s="25" t="n">
        <v>39104</v>
      </c>
      <c r="B203" s="22">
        <f>(1+B202)*IF(AND(Painel_diario!$H199="EU_JD",Painel_diario!$J199=1),EXP(Painel_diario!$L199),1)-1</f>
        <v/>
      </c>
      <c r="C203" s="22">
        <f>(1+C202)*IF(AND(Painel_diario!$H199="EU_JU",Painel_diario!$J199=1),EXP(Painel_diario!$L199),1)-1</f>
        <v/>
      </c>
      <c r="D203" s="22">
        <f>(1+D202)*IF(AND(Painel_diario!$H199="ED_JD",Painel_diario!$J199=1),EXP(Painel_diario!$L199),1)-1</f>
        <v/>
      </c>
      <c r="E203" s="22">
        <f>(1+E202)*IF(AND(Painel_diario!$H199="ED_JU",Painel_diario!$J199=1),EXP(Painel_diario!$L199),1)-1</f>
        <v/>
      </c>
    </row>
    <row r="204">
      <c r="A204" s="25" t="n">
        <v>39105</v>
      </c>
      <c r="B204" s="22">
        <f>(1+B203)*IF(AND(Painel_diario!$H200="EU_JD",Painel_diario!$J200=1),EXP(Painel_diario!$L200),1)-1</f>
        <v/>
      </c>
      <c r="C204" s="22">
        <f>(1+C203)*IF(AND(Painel_diario!$H200="EU_JU",Painel_diario!$J200=1),EXP(Painel_diario!$L200),1)-1</f>
        <v/>
      </c>
      <c r="D204" s="22">
        <f>(1+D203)*IF(AND(Painel_diario!$H200="ED_JD",Painel_diario!$J200=1),EXP(Painel_diario!$L200),1)-1</f>
        <v/>
      </c>
      <c r="E204" s="22">
        <f>(1+E203)*IF(AND(Painel_diario!$H200="ED_JU",Painel_diario!$J200=1),EXP(Painel_diario!$L200),1)-1</f>
        <v/>
      </c>
    </row>
    <row r="205">
      <c r="A205" s="25" t="n">
        <v>39106</v>
      </c>
      <c r="B205" s="22">
        <f>(1+B204)*IF(AND(Painel_diario!$H201="EU_JD",Painel_diario!$J201=1),EXP(Painel_diario!$L201),1)-1</f>
        <v/>
      </c>
      <c r="C205" s="22">
        <f>(1+C204)*IF(AND(Painel_diario!$H201="EU_JU",Painel_diario!$J201=1),EXP(Painel_diario!$L201),1)-1</f>
        <v/>
      </c>
      <c r="D205" s="22">
        <f>(1+D204)*IF(AND(Painel_diario!$H201="ED_JD",Painel_diario!$J201=1),EXP(Painel_diario!$L201),1)-1</f>
        <v/>
      </c>
      <c r="E205" s="22">
        <f>(1+E204)*IF(AND(Painel_diario!$H201="ED_JU",Painel_diario!$J201=1),EXP(Painel_diario!$L201),1)-1</f>
        <v/>
      </c>
    </row>
    <row r="206">
      <c r="A206" s="25" t="n">
        <v>39108</v>
      </c>
      <c r="B206" s="22">
        <f>(1+B205)*IF(AND(Painel_diario!$H202="EU_JD",Painel_diario!$J202=1),EXP(Painel_diario!$L202),1)-1</f>
        <v/>
      </c>
      <c r="C206" s="22">
        <f>(1+C205)*IF(AND(Painel_diario!$H202="EU_JU",Painel_diario!$J202=1),EXP(Painel_diario!$L202),1)-1</f>
        <v/>
      </c>
      <c r="D206" s="22">
        <f>(1+D205)*IF(AND(Painel_diario!$H202="ED_JD",Painel_diario!$J202=1),EXP(Painel_diario!$L202),1)-1</f>
        <v/>
      </c>
      <c r="E206" s="22">
        <f>(1+E205)*IF(AND(Painel_diario!$H202="ED_JU",Painel_diario!$J202=1),EXP(Painel_diario!$L202),1)-1</f>
        <v/>
      </c>
    </row>
    <row r="207">
      <c r="A207" s="25" t="n">
        <v>39111</v>
      </c>
      <c r="B207" s="22">
        <f>(1+B206)*IF(AND(Painel_diario!$H203="EU_JD",Painel_diario!$J203=1),EXP(Painel_diario!$L203),1)-1</f>
        <v/>
      </c>
      <c r="C207" s="22">
        <f>(1+C206)*IF(AND(Painel_diario!$H203="EU_JU",Painel_diario!$J203=1),EXP(Painel_diario!$L203),1)-1</f>
        <v/>
      </c>
      <c r="D207" s="22">
        <f>(1+D206)*IF(AND(Painel_diario!$H203="ED_JD",Painel_diario!$J203=1),EXP(Painel_diario!$L203),1)-1</f>
        <v/>
      </c>
      <c r="E207" s="22">
        <f>(1+E206)*IF(AND(Painel_diario!$H203="ED_JU",Painel_diario!$J203=1),EXP(Painel_diario!$L203),1)-1</f>
        <v/>
      </c>
    </row>
    <row r="208">
      <c r="A208" s="25" t="n">
        <v>39112</v>
      </c>
      <c r="B208" s="22">
        <f>(1+B207)*IF(AND(Painel_diario!$H204="EU_JD",Painel_diario!$J204=1),EXP(Painel_diario!$L204),1)-1</f>
        <v/>
      </c>
      <c r="C208" s="22">
        <f>(1+C207)*IF(AND(Painel_diario!$H204="EU_JU",Painel_diario!$J204=1),EXP(Painel_diario!$L204),1)-1</f>
        <v/>
      </c>
      <c r="D208" s="22">
        <f>(1+D207)*IF(AND(Painel_diario!$H204="ED_JD",Painel_diario!$J204=1),EXP(Painel_diario!$L204),1)-1</f>
        <v/>
      </c>
      <c r="E208" s="22">
        <f>(1+E207)*IF(AND(Painel_diario!$H204="ED_JU",Painel_diario!$J204=1),EXP(Painel_diario!$L204),1)-1</f>
        <v/>
      </c>
    </row>
    <row r="209">
      <c r="A209" s="25" t="n">
        <v>39113</v>
      </c>
      <c r="B209" s="22">
        <f>(1+B208)*IF(AND(Painel_diario!$H205="EU_JD",Painel_diario!$J205=1),EXP(Painel_diario!$L205),1)-1</f>
        <v/>
      </c>
      <c r="C209" s="22">
        <f>(1+C208)*IF(AND(Painel_diario!$H205="EU_JU",Painel_diario!$J205=1),EXP(Painel_diario!$L205),1)-1</f>
        <v/>
      </c>
      <c r="D209" s="22">
        <f>(1+D208)*IF(AND(Painel_diario!$H205="ED_JD",Painel_diario!$J205=1),EXP(Painel_diario!$L205),1)-1</f>
        <v/>
      </c>
      <c r="E209" s="22">
        <f>(1+E208)*IF(AND(Painel_diario!$H205="ED_JU",Painel_diario!$J205=1),EXP(Painel_diario!$L205),1)-1</f>
        <v/>
      </c>
    </row>
    <row r="210">
      <c r="A210" s="25" t="n">
        <v>39114</v>
      </c>
      <c r="B210" s="22">
        <f>(1+B209)*IF(AND(Painel_diario!$H206="EU_JD",Painel_diario!$J206=1),EXP(Painel_diario!$L206),1)-1</f>
        <v/>
      </c>
      <c r="C210" s="22">
        <f>(1+C209)*IF(AND(Painel_diario!$H206="EU_JU",Painel_diario!$J206=1),EXP(Painel_diario!$L206),1)-1</f>
        <v/>
      </c>
      <c r="D210" s="22">
        <f>(1+D209)*IF(AND(Painel_diario!$H206="ED_JD",Painel_diario!$J206=1),EXP(Painel_diario!$L206),1)-1</f>
        <v/>
      </c>
      <c r="E210" s="22">
        <f>(1+E209)*IF(AND(Painel_diario!$H206="ED_JU",Painel_diario!$J206=1),EXP(Painel_diario!$L206),1)-1</f>
        <v/>
      </c>
    </row>
    <row r="211">
      <c r="A211" s="25" t="n">
        <v>39115</v>
      </c>
      <c r="B211" s="22">
        <f>(1+B210)*IF(AND(Painel_diario!$H207="EU_JD",Painel_diario!$J207=1),EXP(Painel_diario!$L207),1)-1</f>
        <v/>
      </c>
      <c r="C211" s="22">
        <f>(1+C210)*IF(AND(Painel_diario!$H207="EU_JU",Painel_diario!$J207=1),EXP(Painel_diario!$L207),1)-1</f>
        <v/>
      </c>
      <c r="D211" s="22">
        <f>(1+D210)*IF(AND(Painel_diario!$H207="ED_JD",Painel_diario!$J207=1),EXP(Painel_diario!$L207),1)-1</f>
        <v/>
      </c>
      <c r="E211" s="22">
        <f>(1+E210)*IF(AND(Painel_diario!$H207="ED_JU",Painel_diario!$J207=1),EXP(Painel_diario!$L207),1)-1</f>
        <v/>
      </c>
    </row>
    <row r="212">
      <c r="A212" s="25" t="n">
        <v>39118</v>
      </c>
      <c r="B212" s="22">
        <f>(1+B211)*IF(AND(Painel_diario!$H208="EU_JD",Painel_diario!$J208=1),EXP(Painel_diario!$L208),1)-1</f>
        <v/>
      </c>
      <c r="C212" s="22">
        <f>(1+C211)*IF(AND(Painel_diario!$H208="EU_JU",Painel_diario!$J208=1),EXP(Painel_diario!$L208),1)-1</f>
        <v/>
      </c>
      <c r="D212" s="22">
        <f>(1+D211)*IF(AND(Painel_diario!$H208="ED_JD",Painel_diario!$J208=1),EXP(Painel_diario!$L208),1)-1</f>
        <v/>
      </c>
      <c r="E212" s="22">
        <f>(1+E211)*IF(AND(Painel_diario!$H208="ED_JU",Painel_diario!$J208=1),EXP(Painel_diario!$L208),1)-1</f>
        <v/>
      </c>
    </row>
    <row r="213">
      <c r="A213" s="25" t="n">
        <v>39119</v>
      </c>
      <c r="B213" s="22">
        <f>(1+B212)*IF(AND(Painel_diario!$H209="EU_JD",Painel_diario!$J209=1),EXP(Painel_diario!$L209),1)-1</f>
        <v/>
      </c>
      <c r="C213" s="22">
        <f>(1+C212)*IF(AND(Painel_diario!$H209="EU_JU",Painel_diario!$J209=1),EXP(Painel_diario!$L209),1)-1</f>
        <v/>
      </c>
      <c r="D213" s="22">
        <f>(1+D212)*IF(AND(Painel_diario!$H209="ED_JD",Painel_diario!$J209=1),EXP(Painel_diario!$L209),1)-1</f>
        <v/>
      </c>
      <c r="E213" s="22">
        <f>(1+E212)*IF(AND(Painel_diario!$H209="ED_JU",Painel_diario!$J209=1),EXP(Painel_diario!$L209),1)-1</f>
        <v/>
      </c>
    </row>
    <row r="214">
      <c r="A214" s="25" t="n">
        <v>39120</v>
      </c>
      <c r="B214" s="22">
        <f>(1+B213)*IF(AND(Painel_diario!$H210="EU_JD",Painel_diario!$J210=1),EXP(Painel_diario!$L210),1)-1</f>
        <v/>
      </c>
      <c r="C214" s="22">
        <f>(1+C213)*IF(AND(Painel_diario!$H210="EU_JU",Painel_diario!$J210=1),EXP(Painel_diario!$L210),1)-1</f>
        <v/>
      </c>
      <c r="D214" s="22">
        <f>(1+D213)*IF(AND(Painel_diario!$H210="ED_JD",Painel_diario!$J210=1),EXP(Painel_diario!$L210),1)-1</f>
        <v/>
      </c>
      <c r="E214" s="22">
        <f>(1+E213)*IF(AND(Painel_diario!$H210="ED_JU",Painel_diario!$J210=1),EXP(Painel_diario!$L210),1)-1</f>
        <v/>
      </c>
    </row>
    <row r="215">
      <c r="A215" s="25" t="n">
        <v>39121</v>
      </c>
      <c r="B215" s="22">
        <f>(1+B214)*IF(AND(Painel_diario!$H211="EU_JD",Painel_diario!$J211=1),EXP(Painel_diario!$L211),1)-1</f>
        <v/>
      </c>
      <c r="C215" s="22">
        <f>(1+C214)*IF(AND(Painel_diario!$H211="EU_JU",Painel_diario!$J211=1),EXP(Painel_diario!$L211),1)-1</f>
        <v/>
      </c>
      <c r="D215" s="22">
        <f>(1+D214)*IF(AND(Painel_diario!$H211="ED_JD",Painel_diario!$J211=1),EXP(Painel_diario!$L211),1)-1</f>
        <v/>
      </c>
      <c r="E215" s="22">
        <f>(1+E214)*IF(AND(Painel_diario!$H211="ED_JU",Painel_diario!$J211=1),EXP(Painel_diario!$L211),1)-1</f>
        <v/>
      </c>
    </row>
    <row r="216">
      <c r="A216" s="25" t="n">
        <v>39122</v>
      </c>
      <c r="B216" s="22">
        <f>(1+B215)*IF(AND(Painel_diario!$H212="EU_JD",Painel_diario!$J212=1),EXP(Painel_diario!$L212),1)-1</f>
        <v/>
      </c>
      <c r="C216" s="22">
        <f>(1+C215)*IF(AND(Painel_diario!$H212="EU_JU",Painel_diario!$J212=1),EXP(Painel_diario!$L212),1)-1</f>
        <v/>
      </c>
      <c r="D216" s="22">
        <f>(1+D215)*IF(AND(Painel_diario!$H212="ED_JD",Painel_diario!$J212=1),EXP(Painel_diario!$L212),1)-1</f>
        <v/>
      </c>
      <c r="E216" s="22">
        <f>(1+E215)*IF(AND(Painel_diario!$H212="ED_JU",Painel_diario!$J212=1),EXP(Painel_diario!$L212),1)-1</f>
        <v/>
      </c>
    </row>
    <row r="217">
      <c r="A217" s="25" t="n">
        <v>39125</v>
      </c>
      <c r="B217" s="22">
        <f>(1+B216)*IF(AND(Painel_diario!$H213="EU_JD",Painel_diario!$J213=1),EXP(Painel_diario!$L213),1)-1</f>
        <v/>
      </c>
      <c r="C217" s="22">
        <f>(1+C216)*IF(AND(Painel_diario!$H213="EU_JU",Painel_diario!$J213=1),EXP(Painel_diario!$L213),1)-1</f>
        <v/>
      </c>
      <c r="D217" s="22">
        <f>(1+D216)*IF(AND(Painel_diario!$H213="ED_JD",Painel_diario!$J213=1),EXP(Painel_diario!$L213),1)-1</f>
        <v/>
      </c>
      <c r="E217" s="22">
        <f>(1+E216)*IF(AND(Painel_diario!$H213="ED_JU",Painel_diario!$J213=1),EXP(Painel_diario!$L213),1)-1</f>
        <v/>
      </c>
    </row>
    <row r="218">
      <c r="A218" s="25" t="n">
        <v>39126</v>
      </c>
      <c r="B218" s="22">
        <f>(1+B217)*IF(AND(Painel_diario!$H214="EU_JD",Painel_diario!$J214=1),EXP(Painel_diario!$L214),1)-1</f>
        <v/>
      </c>
      <c r="C218" s="22">
        <f>(1+C217)*IF(AND(Painel_diario!$H214="EU_JU",Painel_diario!$J214=1),EXP(Painel_diario!$L214),1)-1</f>
        <v/>
      </c>
      <c r="D218" s="22">
        <f>(1+D217)*IF(AND(Painel_diario!$H214="ED_JD",Painel_diario!$J214=1),EXP(Painel_diario!$L214),1)-1</f>
        <v/>
      </c>
      <c r="E218" s="22">
        <f>(1+E217)*IF(AND(Painel_diario!$H214="ED_JU",Painel_diario!$J214=1),EXP(Painel_diario!$L214),1)-1</f>
        <v/>
      </c>
    </row>
    <row r="219">
      <c r="A219" s="25" t="n">
        <v>39127</v>
      </c>
      <c r="B219" s="22">
        <f>(1+B218)*IF(AND(Painel_diario!$H215="EU_JD",Painel_diario!$J215=1),EXP(Painel_diario!$L215),1)-1</f>
        <v/>
      </c>
      <c r="C219" s="22">
        <f>(1+C218)*IF(AND(Painel_diario!$H215="EU_JU",Painel_diario!$J215=1),EXP(Painel_diario!$L215),1)-1</f>
        <v/>
      </c>
      <c r="D219" s="22">
        <f>(1+D218)*IF(AND(Painel_diario!$H215="ED_JD",Painel_diario!$J215=1),EXP(Painel_diario!$L215),1)-1</f>
        <v/>
      </c>
      <c r="E219" s="22">
        <f>(1+E218)*IF(AND(Painel_diario!$H215="ED_JU",Painel_diario!$J215=1),EXP(Painel_diario!$L215),1)-1</f>
        <v/>
      </c>
    </row>
    <row r="220">
      <c r="A220" s="25" t="n">
        <v>39128</v>
      </c>
      <c r="B220" s="22">
        <f>(1+B219)*IF(AND(Painel_diario!$H216="EU_JD",Painel_diario!$J216=1),EXP(Painel_diario!$L216),1)-1</f>
        <v/>
      </c>
      <c r="C220" s="22">
        <f>(1+C219)*IF(AND(Painel_diario!$H216="EU_JU",Painel_diario!$J216=1),EXP(Painel_diario!$L216),1)-1</f>
        <v/>
      </c>
      <c r="D220" s="22">
        <f>(1+D219)*IF(AND(Painel_diario!$H216="ED_JD",Painel_diario!$J216=1),EXP(Painel_diario!$L216),1)-1</f>
        <v/>
      </c>
      <c r="E220" s="22">
        <f>(1+E219)*IF(AND(Painel_diario!$H216="ED_JU",Painel_diario!$J216=1),EXP(Painel_diario!$L216),1)-1</f>
        <v/>
      </c>
    </row>
    <row r="221">
      <c r="A221" s="25" t="n">
        <v>39129</v>
      </c>
      <c r="B221" s="22">
        <f>(1+B220)*IF(AND(Painel_diario!$H217="EU_JD",Painel_diario!$J217=1),EXP(Painel_diario!$L217),1)-1</f>
        <v/>
      </c>
      <c r="C221" s="22">
        <f>(1+C220)*IF(AND(Painel_diario!$H217="EU_JU",Painel_diario!$J217=1),EXP(Painel_diario!$L217),1)-1</f>
        <v/>
      </c>
      <c r="D221" s="22">
        <f>(1+D220)*IF(AND(Painel_diario!$H217="ED_JD",Painel_diario!$J217=1),EXP(Painel_diario!$L217),1)-1</f>
        <v/>
      </c>
      <c r="E221" s="22">
        <f>(1+E220)*IF(AND(Painel_diario!$H217="ED_JU",Painel_diario!$J217=1),EXP(Painel_diario!$L217),1)-1</f>
        <v/>
      </c>
    </row>
    <row r="222">
      <c r="A222" s="25" t="n">
        <v>39134</v>
      </c>
      <c r="B222" s="22">
        <f>(1+B221)*IF(AND(Painel_diario!$H218="EU_JD",Painel_diario!$J218=1),EXP(Painel_diario!$L218),1)-1</f>
        <v/>
      </c>
      <c r="C222" s="22">
        <f>(1+C221)*IF(AND(Painel_diario!$H218="EU_JU",Painel_diario!$J218=1),EXP(Painel_diario!$L218),1)-1</f>
        <v/>
      </c>
      <c r="D222" s="22">
        <f>(1+D221)*IF(AND(Painel_diario!$H218="ED_JD",Painel_diario!$J218=1),EXP(Painel_diario!$L218),1)-1</f>
        <v/>
      </c>
      <c r="E222" s="22">
        <f>(1+E221)*IF(AND(Painel_diario!$H218="ED_JU",Painel_diario!$J218=1),EXP(Painel_diario!$L218),1)-1</f>
        <v/>
      </c>
    </row>
    <row r="223">
      <c r="A223" s="25" t="n">
        <v>39135</v>
      </c>
      <c r="B223" s="22">
        <f>(1+B222)*IF(AND(Painel_diario!$H219="EU_JD",Painel_diario!$J219=1),EXP(Painel_diario!$L219),1)-1</f>
        <v/>
      </c>
      <c r="C223" s="22">
        <f>(1+C222)*IF(AND(Painel_diario!$H219="EU_JU",Painel_diario!$J219=1),EXP(Painel_diario!$L219),1)-1</f>
        <v/>
      </c>
      <c r="D223" s="22">
        <f>(1+D222)*IF(AND(Painel_diario!$H219="ED_JD",Painel_diario!$J219=1),EXP(Painel_diario!$L219),1)-1</f>
        <v/>
      </c>
      <c r="E223" s="22">
        <f>(1+E222)*IF(AND(Painel_diario!$H219="ED_JU",Painel_diario!$J219=1),EXP(Painel_diario!$L219),1)-1</f>
        <v/>
      </c>
    </row>
    <row r="224">
      <c r="A224" s="25" t="n">
        <v>39136</v>
      </c>
      <c r="B224" s="22">
        <f>(1+B223)*IF(AND(Painel_diario!$H220="EU_JD",Painel_diario!$J220=1),EXP(Painel_diario!$L220),1)-1</f>
        <v/>
      </c>
      <c r="C224" s="22">
        <f>(1+C223)*IF(AND(Painel_diario!$H220="EU_JU",Painel_diario!$J220=1),EXP(Painel_diario!$L220),1)-1</f>
        <v/>
      </c>
      <c r="D224" s="22">
        <f>(1+D223)*IF(AND(Painel_diario!$H220="ED_JD",Painel_diario!$J220=1),EXP(Painel_diario!$L220),1)-1</f>
        <v/>
      </c>
      <c r="E224" s="22">
        <f>(1+E223)*IF(AND(Painel_diario!$H220="ED_JU",Painel_diario!$J220=1),EXP(Painel_diario!$L220),1)-1</f>
        <v/>
      </c>
    </row>
    <row r="225">
      <c r="A225" s="25" t="n">
        <v>39139</v>
      </c>
      <c r="B225" s="22">
        <f>(1+B224)*IF(AND(Painel_diario!$H221="EU_JD",Painel_diario!$J221=1),EXP(Painel_diario!$L221),1)-1</f>
        <v/>
      </c>
      <c r="C225" s="22">
        <f>(1+C224)*IF(AND(Painel_diario!$H221="EU_JU",Painel_diario!$J221=1),EXP(Painel_diario!$L221),1)-1</f>
        <v/>
      </c>
      <c r="D225" s="22">
        <f>(1+D224)*IF(AND(Painel_diario!$H221="ED_JD",Painel_diario!$J221=1),EXP(Painel_diario!$L221),1)-1</f>
        <v/>
      </c>
      <c r="E225" s="22">
        <f>(1+E224)*IF(AND(Painel_diario!$H221="ED_JU",Painel_diario!$J221=1),EXP(Painel_diario!$L221),1)-1</f>
        <v/>
      </c>
    </row>
    <row r="226">
      <c r="A226" s="25" t="n">
        <v>39140</v>
      </c>
      <c r="B226" s="22">
        <f>(1+B225)*IF(AND(Painel_diario!$H222="EU_JD",Painel_diario!$J222=1),EXP(Painel_diario!$L222),1)-1</f>
        <v/>
      </c>
      <c r="C226" s="22">
        <f>(1+C225)*IF(AND(Painel_diario!$H222="EU_JU",Painel_diario!$J222=1),EXP(Painel_diario!$L222),1)-1</f>
        <v/>
      </c>
      <c r="D226" s="22">
        <f>(1+D225)*IF(AND(Painel_diario!$H222="ED_JD",Painel_diario!$J222=1),EXP(Painel_diario!$L222),1)-1</f>
        <v/>
      </c>
      <c r="E226" s="22">
        <f>(1+E225)*IF(AND(Painel_diario!$H222="ED_JU",Painel_diario!$J222=1),EXP(Painel_diario!$L222),1)-1</f>
        <v/>
      </c>
    </row>
    <row r="227">
      <c r="A227" s="25" t="n">
        <v>39141</v>
      </c>
      <c r="B227" s="22">
        <f>(1+B226)*IF(AND(Painel_diario!$H223="EU_JD",Painel_diario!$J223=1),EXP(Painel_diario!$L223),1)-1</f>
        <v/>
      </c>
      <c r="C227" s="22">
        <f>(1+C226)*IF(AND(Painel_diario!$H223="EU_JU",Painel_diario!$J223=1),EXP(Painel_diario!$L223),1)-1</f>
        <v/>
      </c>
      <c r="D227" s="22">
        <f>(1+D226)*IF(AND(Painel_diario!$H223="ED_JD",Painel_diario!$J223=1),EXP(Painel_diario!$L223),1)-1</f>
        <v/>
      </c>
      <c r="E227" s="22">
        <f>(1+E226)*IF(AND(Painel_diario!$H223="ED_JU",Painel_diario!$J223=1),EXP(Painel_diario!$L223),1)-1</f>
        <v/>
      </c>
    </row>
    <row r="228">
      <c r="A228" s="25" t="n">
        <v>39142</v>
      </c>
      <c r="B228" s="22">
        <f>(1+B227)*IF(AND(Painel_diario!$H224="EU_JD",Painel_diario!$J224=1),EXP(Painel_diario!$L224),1)-1</f>
        <v/>
      </c>
      <c r="C228" s="22">
        <f>(1+C227)*IF(AND(Painel_diario!$H224="EU_JU",Painel_diario!$J224=1),EXP(Painel_diario!$L224),1)-1</f>
        <v/>
      </c>
      <c r="D228" s="22">
        <f>(1+D227)*IF(AND(Painel_diario!$H224="ED_JD",Painel_diario!$J224=1),EXP(Painel_diario!$L224),1)-1</f>
        <v/>
      </c>
      <c r="E228" s="22">
        <f>(1+E227)*IF(AND(Painel_diario!$H224="ED_JU",Painel_diario!$J224=1),EXP(Painel_diario!$L224),1)-1</f>
        <v/>
      </c>
    </row>
    <row r="229">
      <c r="A229" s="25" t="n">
        <v>39143</v>
      </c>
      <c r="B229" s="22">
        <f>(1+B228)*IF(AND(Painel_diario!$H225="EU_JD",Painel_diario!$J225=1),EXP(Painel_diario!$L225),1)-1</f>
        <v/>
      </c>
      <c r="C229" s="22">
        <f>(1+C228)*IF(AND(Painel_diario!$H225="EU_JU",Painel_diario!$J225=1),EXP(Painel_diario!$L225),1)-1</f>
        <v/>
      </c>
      <c r="D229" s="22">
        <f>(1+D228)*IF(AND(Painel_diario!$H225="ED_JD",Painel_diario!$J225=1),EXP(Painel_diario!$L225),1)-1</f>
        <v/>
      </c>
      <c r="E229" s="22">
        <f>(1+E228)*IF(AND(Painel_diario!$H225="ED_JU",Painel_diario!$J225=1),EXP(Painel_diario!$L225),1)-1</f>
        <v/>
      </c>
    </row>
    <row r="230">
      <c r="A230" s="25" t="n">
        <v>39146</v>
      </c>
      <c r="B230" s="22">
        <f>(1+B229)*IF(AND(Painel_diario!$H226="EU_JD",Painel_diario!$J226=1),EXP(Painel_diario!$L226),1)-1</f>
        <v/>
      </c>
      <c r="C230" s="22">
        <f>(1+C229)*IF(AND(Painel_diario!$H226="EU_JU",Painel_diario!$J226=1),EXP(Painel_diario!$L226),1)-1</f>
        <v/>
      </c>
      <c r="D230" s="22">
        <f>(1+D229)*IF(AND(Painel_diario!$H226="ED_JD",Painel_diario!$J226=1),EXP(Painel_diario!$L226),1)-1</f>
        <v/>
      </c>
      <c r="E230" s="22">
        <f>(1+E229)*IF(AND(Painel_diario!$H226="ED_JU",Painel_diario!$J226=1),EXP(Painel_diario!$L226),1)-1</f>
        <v/>
      </c>
    </row>
    <row r="231">
      <c r="A231" s="25" t="n">
        <v>39147</v>
      </c>
      <c r="B231" s="22">
        <f>(1+B230)*IF(AND(Painel_diario!$H227="EU_JD",Painel_diario!$J227=1),EXP(Painel_diario!$L227),1)-1</f>
        <v/>
      </c>
      <c r="C231" s="22">
        <f>(1+C230)*IF(AND(Painel_diario!$H227="EU_JU",Painel_diario!$J227=1),EXP(Painel_diario!$L227),1)-1</f>
        <v/>
      </c>
      <c r="D231" s="22">
        <f>(1+D230)*IF(AND(Painel_diario!$H227="ED_JD",Painel_diario!$J227=1),EXP(Painel_diario!$L227),1)-1</f>
        <v/>
      </c>
      <c r="E231" s="22">
        <f>(1+E230)*IF(AND(Painel_diario!$H227="ED_JU",Painel_diario!$J227=1),EXP(Painel_diario!$L227),1)-1</f>
        <v/>
      </c>
    </row>
    <row r="232">
      <c r="A232" s="25" t="n">
        <v>39148</v>
      </c>
      <c r="B232" s="22">
        <f>(1+B231)*IF(AND(Painel_diario!$H228="EU_JD",Painel_diario!$J228=1),EXP(Painel_diario!$L228),1)-1</f>
        <v/>
      </c>
      <c r="C232" s="22">
        <f>(1+C231)*IF(AND(Painel_diario!$H228="EU_JU",Painel_diario!$J228=1),EXP(Painel_diario!$L228),1)-1</f>
        <v/>
      </c>
      <c r="D232" s="22">
        <f>(1+D231)*IF(AND(Painel_diario!$H228="ED_JD",Painel_diario!$J228=1),EXP(Painel_diario!$L228),1)-1</f>
        <v/>
      </c>
      <c r="E232" s="22">
        <f>(1+E231)*IF(AND(Painel_diario!$H228="ED_JU",Painel_diario!$J228=1),EXP(Painel_diario!$L228),1)-1</f>
        <v/>
      </c>
    </row>
    <row r="233">
      <c r="A233" s="25" t="n">
        <v>39149</v>
      </c>
      <c r="B233" s="22">
        <f>(1+B232)*IF(AND(Painel_diario!$H229="EU_JD",Painel_diario!$J229=1),EXP(Painel_diario!$L229),1)-1</f>
        <v/>
      </c>
      <c r="C233" s="22">
        <f>(1+C232)*IF(AND(Painel_diario!$H229="EU_JU",Painel_diario!$J229=1),EXP(Painel_diario!$L229),1)-1</f>
        <v/>
      </c>
      <c r="D233" s="22">
        <f>(1+D232)*IF(AND(Painel_diario!$H229="ED_JD",Painel_diario!$J229=1),EXP(Painel_diario!$L229),1)-1</f>
        <v/>
      </c>
      <c r="E233" s="22">
        <f>(1+E232)*IF(AND(Painel_diario!$H229="ED_JU",Painel_diario!$J229=1),EXP(Painel_diario!$L229),1)-1</f>
        <v/>
      </c>
    </row>
    <row r="234">
      <c r="A234" s="25" t="n">
        <v>39150</v>
      </c>
      <c r="B234" s="22">
        <f>(1+B233)*IF(AND(Painel_diario!$H230="EU_JD",Painel_diario!$J230=1),EXP(Painel_diario!$L230),1)-1</f>
        <v/>
      </c>
      <c r="C234" s="22">
        <f>(1+C233)*IF(AND(Painel_diario!$H230="EU_JU",Painel_diario!$J230=1),EXP(Painel_diario!$L230),1)-1</f>
        <v/>
      </c>
      <c r="D234" s="22">
        <f>(1+D233)*IF(AND(Painel_diario!$H230="ED_JD",Painel_diario!$J230=1),EXP(Painel_diario!$L230),1)-1</f>
        <v/>
      </c>
      <c r="E234" s="22">
        <f>(1+E233)*IF(AND(Painel_diario!$H230="ED_JU",Painel_diario!$J230=1),EXP(Painel_diario!$L230),1)-1</f>
        <v/>
      </c>
    </row>
    <row r="235">
      <c r="A235" s="25" t="n">
        <v>39153</v>
      </c>
      <c r="B235" s="22">
        <f>(1+B234)*IF(AND(Painel_diario!$H231="EU_JD",Painel_diario!$J231=1),EXP(Painel_diario!$L231),1)-1</f>
        <v/>
      </c>
      <c r="C235" s="22">
        <f>(1+C234)*IF(AND(Painel_diario!$H231="EU_JU",Painel_diario!$J231=1),EXP(Painel_diario!$L231),1)-1</f>
        <v/>
      </c>
      <c r="D235" s="22">
        <f>(1+D234)*IF(AND(Painel_diario!$H231="ED_JD",Painel_diario!$J231=1),EXP(Painel_diario!$L231),1)-1</f>
        <v/>
      </c>
      <c r="E235" s="22">
        <f>(1+E234)*IF(AND(Painel_diario!$H231="ED_JU",Painel_diario!$J231=1),EXP(Painel_diario!$L231),1)-1</f>
        <v/>
      </c>
    </row>
    <row r="236">
      <c r="A236" s="25" t="n">
        <v>39154</v>
      </c>
      <c r="B236" s="22">
        <f>(1+B235)*IF(AND(Painel_diario!$H232="EU_JD",Painel_diario!$J232=1),EXP(Painel_diario!$L232),1)-1</f>
        <v/>
      </c>
      <c r="C236" s="22">
        <f>(1+C235)*IF(AND(Painel_diario!$H232="EU_JU",Painel_diario!$J232=1),EXP(Painel_diario!$L232),1)-1</f>
        <v/>
      </c>
      <c r="D236" s="22">
        <f>(1+D235)*IF(AND(Painel_diario!$H232="ED_JD",Painel_diario!$J232=1),EXP(Painel_diario!$L232),1)-1</f>
        <v/>
      </c>
      <c r="E236" s="22">
        <f>(1+E235)*IF(AND(Painel_diario!$H232="ED_JU",Painel_diario!$J232=1),EXP(Painel_diario!$L232),1)-1</f>
        <v/>
      </c>
    </row>
    <row r="237">
      <c r="A237" s="25" t="n">
        <v>39155</v>
      </c>
      <c r="B237" s="22">
        <f>(1+B236)*IF(AND(Painel_diario!$H233="EU_JD",Painel_diario!$J233=1),EXP(Painel_diario!$L233),1)-1</f>
        <v/>
      </c>
      <c r="C237" s="22">
        <f>(1+C236)*IF(AND(Painel_diario!$H233="EU_JU",Painel_diario!$J233=1),EXP(Painel_diario!$L233),1)-1</f>
        <v/>
      </c>
      <c r="D237" s="22">
        <f>(1+D236)*IF(AND(Painel_diario!$H233="ED_JD",Painel_diario!$J233=1),EXP(Painel_diario!$L233),1)-1</f>
        <v/>
      </c>
      <c r="E237" s="22">
        <f>(1+E236)*IF(AND(Painel_diario!$H233="ED_JU",Painel_diario!$J233=1),EXP(Painel_diario!$L233),1)-1</f>
        <v/>
      </c>
    </row>
    <row r="238">
      <c r="A238" s="25" t="n">
        <v>39156</v>
      </c>
      <c r="B238" s="22">
        <f>(1+B237)*IF(AND(Painel_diario!$H234="EU_JD",Painel_diario!$J234=1),EXP(Painel_diario!$L234),1)-1</f>
        <v/>
      </c>
      <c r="C238" s="22">
        <f>(1+C237)*IF(AND(Painel_diario!$H234="EU_JU",Painel_diario!$J234=1),EXP(Painel_diario!$L234),1)-1</f>
        <v/>
      </c>
      <c r="D238" s="22">
        <f>(1+D237)*IF(AND(Painel_diario!$H234="ED_JD",Painel_diario!$J234=1),EXP(Painel_diario!$L234),1)-1</f>
        <v/>
      </c>
      <c r="E238" s="22">
        <f>(1+E237)*IF(AND(Painel_diario!$H234="ED_JU",Painel_diario!$J234=1),EXP(Painel_diario!$L234),1)-1</f>
        <v/>
      </c>
    </row>
    <row r="239">
      <c r="A239" s="25" t="n">
        <v>39157</v>
      </c>
      <c r="B239" s="22">
        <f>(1+B238)*IF(AND(Painel_diario!$H235="EU_JD",Painel_diario!$J235=1),EXP(Painel_diario!$L235),1)-1</f>
        <v/>
      </c>
      <c r="C239" s="22">
        <f>(1+C238)*IF(AND(Painel_diario!$H235="EU_JU",Painel_diario!$J235=1),EXP(Painel_diario!$L235),1)-1</f>
        <v/>
      </c>
      <c r="D239" s="22">
        <f>(1+D238)*IF(AND(Painel_diario!$H235="ED_JD",Painel_diario!$J235=1),EXP(Painel_diario!$L235),1)-1</f>
        <v/>
      </c>
      <c r="E239" s="22">
        <f>(1+E238)*IF(AND(Painel_diario!$H235="ED_JU",Painel_diario!$J235=1),EXP(Painel_diario!$L235),1)-1</f>
        <v/>
      </c>
    </row>
    <row r="240">
      <c r="A240" s="25" t="n">
        <v>39160</v>
      </c>
      <c r="B240" s="22">
        <f>(1+B239)*IF(AND(Painel_diario!$H236="EU_JD",Painel_diario!$J236=1),EXP(Painel_diario!$L236),1)-1</f>
        <v/>
      </c>
      <c r="C240" s="22">
        <f>(1+C239)*IF(AND(Painel_diario!$H236="EU_JU",Painel_diario!$J236=1),EXP(Painel_diario!$L236),1)-1</f>
        <v/>
      </c>
      <c r="D240" s="22">
        <f>(1+D239)*IF(AND(Painel_diario!$H236="ED_JD",Painel_diario!$J236=1),EXP(Painel_diario!$L236),1)-1</f>
        <v/>
      </c>
      <c r="E240" s="22">
        <f>(1+E239)*IF(AND(Painel_diario!$H236="ED_JU",Painel_diario!$J236=1),EXP(Painel_diario!$L236),1)-1</f>
        <v/>
      </c>
    </row>
    <row r="241">
      <c r="A241" s="25" t="n">
        <v>39161</v>
      </c>
      <c r="B241" s="22">
        <f>(1+B240)*IF(AND(Painel_diario!$H237="EU_JD",Painel_diario!$J237=1),EXP(Painel_diario!$L237),1)-1</f>
        <v/>
      </c>
      <c r="C241" s="22">
        <f>(1+C240)*IF(AND(Painel_diario!$H237="EU_JU",Painel_diario!$J237=1),EXP(Painel_diario!$L237),1)-1</f>
        <v/>
      </c>
      <c r="D241" s="22">
        <f>(1+D240)*IF(AND(Painel_diario!$H237="ED_JD",Painel_diario!$J237=1),EXP(Painel_diario!$L237),1)-1</f>
        <v/>
      </c>
      <c r="E241" s="22">
        <f>(1+E240)*IF(AND(Painel_diario!$H237="ED_JU",Painel_diario!$J237=1),EXP(Painel_diario!$L237),1)-1</f>
        <v/>
      </c>
    </row>
    <row r="242">
      <c r="A242" s="25" t="n">
        <v>39162</v>
      </c>
      <c r="B242" s="22">
        <f>(1+B241)*IF(AND(Painel_diario!$H238="EU_JD",Painel_diario!$J238=1),EXP(Painel_diario!$L238),1)-1</f>
        <v/>
      </c>
      <c r="C242" s="22">
        <f>(1+C241)*IF(AND(Painel_diario!$H238="EU_JU",Painel_diario!$J238=1),EXP(Painel_diario!$L238),1)-1</f>
        <v/>
      </c>
      <c r="D242" s="22">
        <f>(1+D241)*IF(AND(Painel_diario!$H238="ED_JD",Painel_diario!$J238=1),EXP(Painel_diario!$L238),1)-1</f>
        <v/>
      </c>
      <c r="E242" s="22">
        <f>(1+E241)*IF(AND(Painel_diario!$H238="ED_JU",Painel_diario!$J238=1),EXP(Painel_diario!$L238),1)-1</f>
        <v/>
      </c>
    </row>
    <row r="243">
      <c r="A243" s="25" t="n">
        <v>39163</v>
      </c>
      <c r="B243" s="22">
        <f>(1+B242)*IF(AND(Painel_diario!$H239="EU_JD",Painel_diario!$J239=1),EXP(Painel_diario!$L239),1)-1</f>
        <v/>
      </c>
      <c r="C243" s="22">
        <f>(1+C242)*IF(AND(Painel_diario!$H239="EU_JU",Painel_diario!$J239=1),EXP(Painel_diario!$L239),1)-1</f>
        <v/>
      </c>
      <c r="D243" s="22">
        <f>(1+D242)*IF(AND(Painel_diario!$H239="ED_JD",Painel_diario!$J239=1),EXP(Painel_diario!$L239),1)-1</f>
        <v/>
      </c>
      <c r="E243" s="22">
        <f>(1+E242)*IF(AND(Painel_diario!$H239="ED_JU",Painel_diario!$J239=1),EXP(Painel_diario!$L239),1)-1</f>
        <v/>
      </c>
    </row>
    <row r="244">
      <c r="A244" s="25" t="n">
        <v>39164</v>
      </c>
      <c r="B244" s="22">
        <f>(1+B243)*IF(AND(Painel_diario!$H240="EU_JD",Painel_diario!$J240=1),EXP(Painel_diario!$L240),1)-1</f>
        <v/>
      </c>
      <c r="C244" s="22">
        <f>(1+C243)*IF(AND(Painel_diario!$H240="EU_JU",Painel_diario!$J240=1),EXP(Painel_diario!$L240),1)-1</f>
        <v/>
      </c>
      <c r="D244" s="22">
        <f>(1+D243)*IF(AND(Painel_diario!$H240="ED_JD",Painel_diario!$J240=1),EXP(Painel_diario!$L240),1)-1</f>
        <v/>
      </c>
      <c r="E244" s="22">
        <f>(1+E243)*IF(AND(Painel_diario!$H240="ED_JU",Painel_diario!$J240=1),EXP(Painel_diario!$L240),1)-1</f>
        <v/>
      </c>
    </row>
    <row r="245">
      <c r="A245" s="25" t="n">
        <v>39167</v>
      </c>
      <c r="B245" s="22">
        <f>(1+B244)*IF(AND(Painel_diario!$H241="EU_JD",Painel_diario!$J241=1),EXP(Painel_diario!$L241),1)-1</f>
        <v/>
      </c>
      <c r="C245" s="22">
        <f>(1+C244)*IF(AND(Painel_diario!$H241="EU_JU",Painel_diario!$J241=1),EXP(Painel_diario!$L241),1)-1</f>
        <v/>
      </c>
      <c r="D245" s="22">
        <f>(1+D244)*IF(AND(Painel_diario!$H241="ED_JD",Painel_diario!$J241=1),EXP(Painel_diario!$L241),1)-1</f>
        <v/>
      </c>
      <c r="E245" s="22">
        <f>(1+E244)*IF(AND(Painel_diario!$H241="ED_JU",Painel_diario!$J241=1),EXP(Painel_diario!$L241),1)-1</f>
        <v/>
      </c>
    </row>
    <row r="246">
      <c r="A246" s="25" t="n">
        <v>39168</v>
      </c>
      <c r="B246" s="22">
        <f>(1+B245)*IF(AND(Painel_diario!$H242="EU_JD",Painel_diario!$J242=1),EXP(Painel_diario!$L242),1)-1</f>
        <v/>
      </c>
      <c r="C246" s="22">
        <f>(1+C245)*IF(AND(Painel_diario!$H242="EU_JU",Painel_diario!$J242=1),EXP(Painel_diario!$L242),1)-1</f>
        <v/>
      </c>
      <c r="D246" s="22">
        <f>(1+D245)*IF(AND(Painel_diario!$H242="ED_JD",Painel_diario!$J242=1),EXP(Painel_diario!$L242),1)-1</f>
        <v/>
      </c>
      <c r="E246" s="22">
        <f>(1+E245)*IF(AND(Painel_diario!$H242="ED_JU",Painel_diario!$J242=1),EXP(Painel_diario!$L242),1)-1</f>
        <v/>
      </c>
    </row>
    <row r="247">
      <c r="A247" s="25" t="n">
        <v>39169</v>
      </c>
      <c r="B247" s="22">
        <f>(1+B246)*IF(AND(Painel_diario!$H243="EU_JD",Painel_diario!$J243=1),EXP(Painel_diario!$L243),1)-1</f>
        <v/>
      </c>
      <c r="C247" s="22">
        <f>(1+C246)*IF(AND(Painel_diario!$H243="EU_JU",Painel_diario!$J243=1),EXP(Painel_diario!$L243),1)-1</f>
        <v/>
      </c>
      <c r="D247" s="22">
        <f>(1+D246)*IF(AND(Painel_diario!$H243="ED_JD",Painel_diario!$J243=1),EXP(Painel_diario!$L243),1)-1</f>
        <v/>
      </c>
      <c r="E247" s="22">
        <f>(1+E246)*IF(AND(Painel_diario!$H243="ED_JU",Painel_diario!$J243=1),EXP(Painel_diario!$L243),1)-1</f>
        <v/>
      </c>
    </row>
    <row r="248">
      <c r="A248" s="25" t="n">
        <v>39170</v>
      </c>
      <c r="B248" s="22">
        <f>(1+B247)*IF(AND(Painel_diario!$H244="EU_JD",Painel_diario!$J244=1),EXP(Painel_diario!$L244),1)-1</f>
        <v/>
      </c>
      <c r="C248" s="22">
        <f>(1+C247)*IF(AND(Painel_diario!$H244="EU_JU",Painel_diario!$J244=1),EXP(Painel_diario!$L244),1)-1</f>
        <v/>
      </c>
      <c r="D248" s="22">
        <f>(1+D247)*IF(AND(Painel_diario!$H244="ED_JD",Painel_diario!$J244=1),EXP(Painel_diario!$L244),1)-1</f>
        <v/>
      </c>
      <c r="E248" s="22">
        <f>(1+E247)*IF(AND(Painel_diario!$H244="ED_JU",Painel_diario!$J244=1),EXP(Painel_diario!$L244),1)-1</f>
        <v/>
      </c>
    </row>
    <row r="249">
      <c r="A249" s="25" t="n">
        <v>39171</v>
      </c>
      <c r="B249" s="22">
        <f>(1+B248)*IF(AND(Painel_diario!$H245="EU_JD",Painel_diario!$J245=1),EXP(Painel_diario!$L245),1)-1</f>
        <v/>
      </c>
      <c r="C249" s="22">
        <f>(1+C248)*IF(AND(Painel_diario!$H245="EU_JU",Painel_diario!$J245=1),EXP(Painel_diario!$L245),1)-1</f>
        <v/>
      </c>
      <c r="D249" s="22">
        <f>(1+D248)*IF(AND(Painel_diario!$H245="ED_JD",Painel_diario!$J245=1),EXP(Painel_diario!$L245),1)-1</f>
        <v/>
      </c>
      <c r="E249" s="22">
        <f>(1+E248)*IF(AND(Painel_diario!$H245="ED_JU",Painel_diario!$J245=1),EXP(Painel_diario!$L245),1)-1</f>
        <v/>
      </c>
    </row>
    <row r="250">
      <c r="A250" s="25" t="n">
        <v>39174</v>
      </c>
      <c r="B250" s="22">
        <f>(1+B249)*IF(AND(Painel_diario!$H246="EU_JD",Painel_diario!$J246=1),EXP(Painel_diario!$L246),1)-1</f>
        <v/>
      </c>
      <c r="C250" s="22">
        <f>(1+C249)*IF(AND(Painel_diario!$H246="EU_JU",Painel_diario!$J246=1),EXP(Painel_diario!$L246),1)-1</f>
        <v/>
      </c>
      <c r="D250" s="22">
        <f>(1+D249)*IF(AND(Painel_diario!$H246="ED_JD",Painel_diario!$J246=1),EXP(Painel_diario!$L246),1)-1</f>
        <v/>
      </c>
      <c r="E250" s="22">
        <f>(1+E249)*IF(AND(Painel_diario!$H246="ED_JU",Painel_diario!$J246=1),EXP(Painel_diario!$L246),1)-1</f>
        <v/>
      </c>
    </row>
    <row r="251">
      <c r="A251" s="25" t="n">
        <v>39175</v>
      </c>
      <c r="B251" s="22">
        <f>(1+B250)*IF(AND(Painel_diario!$H247="EU_JD",Painel_diario!$J247=1),EXP(Painel_diario!$L247),1)-1</f>
        <v/>
      </c>
      <c r="C251" s="22">
        <f>(1+C250)*IF(AND(Painel_diario!$H247="EU_JU",Painel_diario!$J247=1),EXP(Painel_diario!$L247),1)-1</f>
        <v/>
      </c>
      <c r="D251" s="22">
        <f>(1+D250)*IF(AND(Painel_diario!$H247="ED_JD",Painel_diario!$J247=1),EXP(Painel_diario!$L247),1)-1</f>
        <v/>
      </c>
      <c r="E251" s="22">
        <f>(1+E250)*IF(AND(Painel_diario!$H247="ED_JU",Painel_diario!$J247=1),EXP(Painel_diario!$L247),1)-1</f>
        <v/>
      </c>
    </row>
    <row r="252">
      <c r="A252" s="25" t="n">
        <v>39176</v>
      </c>
      <c r="B252" s="22">
        <f>(1+B251)*IF(AND(Painel_diario!$H248="EU_JD",Painel_diario!$J248=1),EXP(Painel_diario!$L248),1)-1</f>
        <v/>
      </c>
      <c r="C252" s="22">
        <f>(1+C251)*IF(AND(Painel_diario!$H248="EU_JU",Painel_diario!$J248=1),EXP(Painel_diario!$L248),1)-1</f>
        <v/>
      </c>
      <c r="D252" s="22">
        <f>(1+D251)*IF(AND(Painel_diario!$H248="ED_JD",Painel_diario!$J248=1),EXP(Painel_diario!$L248),1)-1</f>
        <v/>
      </c>
      <c r="E252" s="22">
        <f>(1+E251)*IF(AND(Painel_diario!$H248="ED_JU",Painel_diario!$J248=1),EXP(Painel_diario!$L248),1)-1</f>
        <v/>
      </c>
    </row>
    <row r="253">
      <c r="A253" s="25" t="n">
        <v>39177</v>
      </c>
      <c r="B253" s="22">
        <f>(1+B252)*IF(AND(Painel_diario!$H249="EU_JD",Painel_diario!$J249=1),EXP(Painel_diario!$L249),1)-1</f>
        <v/>
      </c>
      <c r="C253" s="22">
        <f>(1+C252)*IF(AND(Painel_diario!$H249="EU_JU",Painel_diario!$J249=1),EXP(Painel_diario!$L249),1)-1</f>
        <v/>
      </c>
      <c r="D253" s="22">
        <f>(1+D252)*IF(AND(Painel_diario!$H249="ED_JD",Painel_diario!$J249=1),EXP(Painel_diario!$L249),1)-1</f>
        <v/>
      </c>
      <c r="E253" s="22">
        <f>(1+E252)*IF(AND(Painel_diario!$H249="ED_JU",Painel_diario!$J249=1),EXP(Painel_diario!$L249),1)-1</f>
        <v/>
      </c>
    </row>
    <row r="254">
      <c r="A254" s="25" t="n">
        <v>39181</v>
      </c>
      <c r="B254" s="22">
        <f>(1+B253)*IF(AND(Painel_diario!$H250="EU_JD",Painel_diario!$J250=1),EXP(Painel_diario!$L250),1)-1</f>
        <v/>
      </c>
      <c r="C254" s="22">
        <f>(1+C253)*IF(AND(Painel_diario!$H250="EU_JU",Painel_diario!$J250=1),EXP(Painel_diario!$L250),1)-1</f>
        <v/>
      </c>
      <c r="D254" s="22">
        <f>(1+D253)*IF(AND(Painel_diario!$H250="ED_JD",Painel_diario!$J250=1),EXP(Painel_diario!$L250),1)-1</f>
        <v/>
      </c>
      <c r="E254" s="22">
        <f>(1+E253)*IF(AND(Painel_diario!$H250="ED_JU",Painel_diario!$J250=1),EXP(Painel_diario!$L250),1)-1</f>
        <v/>
      </c>
    </row>
    <row r="255">
      <c r="A255" s="25" t="n">
        <v>39182</v>
      </c>
      <c r="B255" s="22">
        <f>(1+B254)*IF(AND(Painel_diario!$H251="EU_JD",Painel_diario!$J251=1),EXP(Painel_diario!$L251),1)-1</f>
        <v/>
      </c>
      <c r="C255" s="22">
        <f>(1+C254)*IF(AND(Painel_diario!$H251="EU_JU",Painel_diario!$J251=1),EXP(Painel_diario!$L251),1)-1</f>
        <v/>
      </c>
      <c r="D255" s="22">
        <f>(1+D254)*IF(AND(Painel_diario!$H251="ED_JD",Painel_diario!$J251=1),EXP(Painel_diario!$L251),1)-1</f>
        <v/>
      </c>
      <c r="E255" s="22">
        <f>(1+E254)*IF(AND(Painel_diario!$H251="ED_JU",Painel_diario!$J251=1),EXP(Painel_diario!$L251),1)-1</f>
        <v/>
      </c>
    </row>
    <row r="256">
      <c r="A256" s="25" t="n">
        <v>39183</v>
      </c>
      <c r="B256" s="22">
        <f>(1+B255)*IF(AND(Painel_diario!$H252="EU_JD",Painel_diario!$J252=1),EXP(Painel_diario!$L252),1)-1</f>
        <v/>
      </c>
      <c r="C256" s="22">
        <f>(1+C255)*IF(AND(Painel_diario!$H252="EU_JU",Painel_diario!$J252=1),EXP(Painel_diario!$L252),1)-1</f>
        <v/>
      </c>
      <c r="D256" s="22">
        <f>(1+D255)*IF(AND(Painel_diario!$H252="ED_JD",Painel_diario!$J252=1),EXP(Painel_diario!$L252),1)-1</f>
        <v/>
      </c>
      <c r="E256" s="22">
        <f>(1+E255)*IF(AND(Painel_diario!$H252="ED_JU",Painel_diario!$J252=1),EXP(Painel_diario!$L252),1)-1</f>
        <v/>
      </c>
    </row>
    <row r="257">
      <c r="A257" s="25" t="n">
        <v>39184</v>
      </c>
      <c r="B257" s="22">
        <f>(1+B256)*IF(AND(Painel_diario!$H253="EU_JD",Painel_diario!$J253=1),EXP(Painel_diario!$L253),1)-1</f>
        <v/>
      </c>
      <c r="C257" s="22">
        <f>(1+C256)*IF(AND(Painel_diario!$H253="EU_JU",Painel_diario!$J253=1),EXP(Painel_diario!$L253),1)-1</f>
        <v/>
      </c>
      <c r="D257" s="22">
        <f>(1+D256)*IF(AND(Painel_diario!$H253="ED_JD",Painel_diario!$J253=1),EXP(Painel_diario!$L253),1)-1</f>
        <v/>
      </c>
      <c r="E257" s="22">
        <f>(1+E256)*IF(AND(Painel_diario!$H253="ED_JU",Painel_diario!$J253=1),EXP(Painel_diario!$L253),1)-1</f>
        <v/>
      </c>
    </row>
    <row r="258">
      <c r="A258" s="25" t="n">
        <v>39185</v>
      </c>
      <c r="B258" s="22">
        <f>(1+B257)*IF(AND(Painel_diario!$H254="EU_JD",Painel_diario!$J254=1),EXP(Painel_diario!$L254),1)-1</f>
        <v/>
      </c>
      <c r="C258" s="22">
        <f>(1+C257)*IF(AND(Painel_diario!$H254="EU_JU",Painel_diario!$J254=1),EXP(Painel_diario!$L254),1)-1</f>
        <v/>
      </c>
      <c r="D258" s="22">
        <f>(1+D257)*IF(AND(Painel_diario!$H254="ED_JD",Painel_diario!$J254=1),EXP(Painel_diario!$L254),1)-1</f>
        <v/>
      </c>
      <c r="E258" s="22">
        <f>(1+E257)*IF(AND(Painel_diario!$H254="ED_JU",Painel_diario!$J254=1),EXP(Painel_diario!$L254),1)-1</f>
        <v/>
      </c>
    </row>
    <row r="259">
      <c r="A259" s="25" t="n">
        <v>39188</v>
      </c>
      <c r="B259" s="22">
        <f>(1+B258)*IF(AND(Painel_diario!$H255="EU_JD",Painel_diario!$J255=1),EXP(Painel_diario!$L255),1)-1</f>
        <v/>
      </c>
      <c r="C259" s="22">
        <f>(1+C258)*IF(AND(Painel_diario!$H255="EU_JU",Painel_diario!$J255=1),EXP(Painel_diario!$L255),1)-1</f>
        <v/>
      </c>
      <c r="D259" s="22">
        <f>(1+D258)*IF(AND(Painel_diario!$H255="ED_JD",Painel_diario!$J255=1),EXP(Painel_diario!$L255),1)-1</f>
        <v/>
      </c>
      <c r="E259" s="22">
        <f>(1+E258)*IF(AND(Painel_diario!$H255="ED_JU",Painel_diario!$J255=1),EXP(Painel_diario!$L255),1)-1</f>
        <v/>
      </c>
    </row>
    <row r="260">
      <c r="A260" s="25" t="n">
        <v>39189</v>
      </c>
      <c r="B260" s="22">
        <f>(1+B259)*IF(AND(Painel_diario!$H256="EU_JD",Painel_diario!$J256=1),EXP(Painel_diario!$L256),1)-1</f>
        <v/>
      </c>
      <c r="C260" s="22">
        <f>(1+C259)*IF(AND(Painel_diario!$H256="EU_JU",Painel_diario!$J256=1),EXP(Painel_diario!$L256),1)-1</f>
        <v/>
      </c>
      <c r="D260" s="22">
        <f>(1+D259)*IF(AND(Painel_diario!$H256="ED_JD",Painel_diario!$J256=1),EXP(Painel_diario!$L256),1)-1</f>
        <v/>
      </c>
      <c r="E260" s="22">
        <f>(1+E259)*IF(AND(Painel_diario!$H256="ED_JU",Painel_diario!$J256=1),EXP(Painel_diario!$L256),1)-1</f>
        <v/>
      </c>
    </row>
    <row r="261">
      <c r="A261" s="25" t="n">
        <v>39190</v>
      </c>
      <c r="B261" s="22">
        <f>(1+B260)*IF(AND(Painel_diario!$H257="EU_JD",Painel_diario!$J257=1),EXP(Painel_diario!$L257),1)-1</f>
        <v/>
      </c>
      <c r="C261" s="22">
        <f>(1+C260)*IF(AND(Painel_diario!$H257="EU_JU",Painel_diario!$J257=1),EXP(Painel_diario!$L257),1)-1</f>
        <v/>
      </c>
      <c r="D261" s="22">
        <f>(1+D260)*IF(AND(Painel_diario!$H257="ED_JD",Painel_diario!$J257=1),EXP(Painel_diario!$L257),1)-1</f>
        <v/>
      </c>
      <c r="E261" s="22">
        <f>(1+E260)*IF(AND(Painel_diario!$H257="ED_JU",Painel_diario!$J257=1),EXP(Painel_diario!$L257),1)-1</f>
        <v/>
      </c>
    </row>
    <row r="262">
      <c r="A262" s="25" t="n">
        <v>39191</v>
      </c>
      <c r="B262" s="22">
        <f>(1+B261)*IF(AND(Painel_diario!$H258="EU_JD",Painel_diario!$J258=1),EXP(Painel_diario!$L258),1)-1</f>
        <v/>
      </c>
      <c r="C262" s="22">
        <f>(1+C261)*IF(AND(Painel_diario!$H258="EU_JU",Painel_diario!$J258=1),EXP(Painel_diario!$L258),1)-1</f>
        <v/>
      </c>
      <c r="D262" s="22">
        <f>(1+D261)*IF(AND(Painel_diario!$H258="ED_JD",Painel_diario!$J258=1),EXP(Painel_diario!$L258),1)-1</f>
        <v/>
      </c>
      <c r="E262" s="22">
        <f>(1+E261)*IF(AND(Painel_diario!$H258="ED_JU",Painel_diario!$J258=1),EXP(Painel_diario!$L258),1)-1</f>
        <v/>
      </c>
    </row>
    <row r="263">
      <c r="A263" s="25" t="n">
        <v>39192</v>
      </c>
      <c r="B263" s="22">
        <f>(1+B262)*IF(AND(Painel_diario!$H259="EU_JD",Painel_diario!$J259=1),EXP(Painel_diario!$L259),1)-1</f>
        <v/>
      </c>
      <c r="C263" s="22">
        <f>(1+C262)*IF(AND(Painel_diario!$H259="EU_JU",Painel_diario!$J259=1),EXP(Painel_diario!$L259),1)-1</f>
        <v/>
      </c>
      <c r="D263" s="22">
        <f>(1+D262)*IF(AND(Painel_diario!$H259="ED_JD",Painel_diario!$J259=1),EXP(Painel_diario!$L259),1)-1</f>
        <v/>
      </c>
      <c r="E263" s="22">
        <f>(1+E262)*IF(AND(Painel_diario!$H259="ED_JU",Painel_diario!$J259=1),EXP(Painel_diario!$L259),1)-1</f>
        <v/>
      </c>
    </row>
    <row r="264">
      <c r="A264" s="25" t="n">
        <v>39195</v>
      </c>
      <c r="B264" s="22">
        <f>(1+B263)*IF(AND(Painel_diario!$H260="EU_JD",Painel_diario!$J260=1),EXP(Painel_diario!$L260),1)-1</f>
        <v/>
      </c>
      <c r="C264" s="22">
        <f>(1+C263)*IF(AND(Painel_diario!$H260="EU_JU",Painel_diario!$J260=1),EXP(Painel_diario!$L260),1)-1</f>
        <v/>
      </c>
      <c r="D264" s="22">
        <f>(1+D263)*IF(AND(Painel_diario!$H260="ED_JD",Painel_diario!$J260=1),EXP(Painel_diario!$L260),1)-1</f>
        <v/>
      </c>
      <c r="E264" s="22">
        <f>(1+E263)*IF(AND(Painel_diario!$H260="ED_JU",Painel_diario!$J260=1),EXP(Painel_diario!$L260),1)-1</f>
        <v/>
      </c>
    </row>
    <row r="265">
      <c r="A265" s="25" t="n">
        <v>39196</v>
      </c>
      <c r="B265" s="22">
        <f>(1+B264)*IF(AND(Painel_diario!$H261="EU_JD",Painel_diario!$J261=1),EXP(Painel_diario!$L261),1)-1</f>
        <v/>
      </c>
      <c r="C265" s="22">
        <f>(1+C264)*IF(AND(Painel_diario!$H261="EU_JU",Painel_diario!$J261=1),EXP(Painel_diario!$L261),1)-1</f>
        <v/>
      </c>
      <c r="D265" s="22">
        <f>(1+D264)*IF(AND(Painel_diario!$H261="ED_JD",Painel_diario!$J261=1),EXP(Painel_diario!$L261),1)-1</f>
        <v/>
      </c>
      <c r="E265" s="22">
        <f>(1+E264)*IF(AND(Painel_diario!$H261="ED_JU",Painel_diario!$J261=1),EXP(Painel_diario!$L261),1)-1</f>
        <v/>
      </c>
    </row>
    <row r="266">
      <c r="A266" s="25" t="n">
        <v>39197</v>
      </c>
      <c r="B266" s="22">
        <f>(1+B265)*IF(AND(Painel_diario!$H262="EU_JD",Painel_diario!$J262=1),EXP(Painel_diario!$L262),1)-1</f>
        <v/>
      </c>
      <c r="C266" s="22">
        <f>(1+C265)*IF(AND(Painel_diario!$H262="EU_JU",Painel_diario!$J262=1),EXP(Painel_diario!$L262),1)-1</f>
        <v/>
      </c>
      <c r="D266" s="22">
        <f>(1+D265)*IF(AND(Painel_diario!$H262="ED_JD",Painel_diario!$J262=1),EXP(Painel_diario!$L262),1)-1</f>
        <v/>
      </c>
      <c r="E266" s="22">
        <f>(1+E265)*IF(AND(Painel_diario!$H262="ED_JU",Painel_diario!$J262=1),EXP(Painel_diario!$L262),1)-1</f>
        <v/>
      </c>
    </row>
    <row r="267">
      <c r="A267" s="25" t="n">
        <v>39198</v>
      </c>
      <c r="B267" s="22">
        <f>(1+B266)*IF(AND(Painel_diario!$H263="EU_JD",Painel_diario!$J263=1),EXP(Painel_diario!$L263),1)-1</f>
        <v/>
      </c>
      <c r="C267" s="22">
        <f>(1+C266)*IF(AND(Painel_diario!$H263="EU_JU",Painel_diario!$J263=1),EXP(Painel_diario!$L263),1)-1</f>
        <v/>
      </c>
      <c r="D267" s="22">
        <f>(1+D266)*IF(AND(Painel_diario!$H263="ED_JD",Painel_diario!$J263=1),EXP(Painel_diario!$L263),1)-1</f>
        <v/>
      </c>
      <c r="E267" s="22">
        <f>(1+E266)*IF(AND(Painel_diario!$H263="ED_JU",Painel_diario!$J263=1),EXP(Painel_diario!$L263),1)-1</f>
        <v/>
      </c>
    </row>
    <row r="268">
      <c r="A268" s="25" t="n">
        <v>39199</v>
      </c>
      <c r="B268" s="22">
        <f>(1+B267)*IF(AND(Painel_diario!$H264="EU_JD",Painel_diario!$J264=1),EXP(Painel_diario!$L264),1)-1</f>
        <v/>
      </c>
      <c r="C268" s="22">
        <f>(1+C267)*IF(AND(Painel_diario!$H264="EU_JU",Painel_diario!$J264=1),EXP(Painel_diario!$L264),1)-1</f>
        <v/>
      </c>
      <c r="D268" s="22">
        <f>(1+D267)*IF(AND(Painel_diario!$H264="ED_JD",Painel_diario!$J264=1),EXP(Painel_diario!$L264),1)-1</f>
        <v/>
      </c>
      <c r="E268" s="22">
        <f>(1+E267)*IF(AND(Painel_diario!$H264="ED_JU",Painel_diario!$J264=1),EXP(Painel_diario!$L264),1)-1</f>
        <v/>
      </c>
    </row>
    <row r="269">
      <c r="A269" s="25" t="n">
        <v>39202</v>
      </c>
      <c r="B269" s="22">
        <f>(1+B268)*IF(AND(Painel_diario!$H265="EU_JD",Painel_diario!$J265=1),EXP(Painel_diario!$L265),1)-1</f>
        <v/>
      </c>
      <c r="C269" s="22">
        <f>(1+C268)*IF(AND(Painel_diario!$H265="EU_JU",Painel_diario!$J265=1),EXP(Painel_diario!$L265),1)-1</f>
        <v/>
      </c>
      <c r="D269" s="22">
        <f>(1+D268)*IF(AND(Painel_diario!$H265="ED_JD",Painel_diario!$J265=1),EXP(Painel_diario!$L265),1)-1</f>
        <v/>
      </c>
      <c r="E269" s="22">
        <f>(1+E268)*IF(AND(Painel_diario!$H265="ED_JU",Painel_diario!$J265=1),EXP(Painel_diario!$L265),1)-1</f>
        <v/>
      </c>
    </row>
    <row r="270">
      <c r="A270" s="25" t="n">
        <v>39204</v>
      </c>
      <c r="B270" s="22">
        <f>(1+B269)*IF(AND(Painel_diario!$H266="EU_JD",Painel_diario!$J266=1),EXP(Painel_diario!$L266),1)-1</f>
        <v/>
      </c>
      <c r="C270" s="22">
        <f>(1+C269)*IF(AND(Painel_diario!$H266="EU_JU",Painel_diario!$J266=1),EXP(Painel_diario!$L266),1)-1</f>
        <v/>
      </c>
      <c r="D270" s="22">
        <f>(1+D269)*IF(AND(Painel_diario!$H266="ED_JD",Painel_diario!$J266=1),EXP(Painel_diario!$L266),1)-1</f>
        <v/>
      </c>
      <c r="E270" s="22">
        <f>(1+E269)*IF(AND(Painel_diario!$H266="ED_JU",Painel_diario!$J266=1),EXP(Painel_diario!$L266),1)-1</f>
        <v/>
      </c>
    </row>
    <row r="271">
      <c r="A271" s="25" t="n">
        <v>39205</v>
      </c>
      <c r="B271" s="22">
        <f>(1+B270)*IF(AND(Painel_diario!$H267="EU_JD",Painel_diario!$J267=1),EXP(Painel_diario!$L267),1)-1</f>
        <v/>
      </c>
      <c r="C271" s="22">
        <f>(1+C270)*IF(AND(Painel_diario!$H267="EU_JU",Painel_diario!$J267=1),EXP(Painel_diario!$L267),1)-1</f>
        <v/>
      </c>
      <c r="D271" s="22">
        <f>(1+D270)*IF(AND(Painel_diario!$H267="ED_JD",Painel_diario!$J267=1),EXP(Painel_diario!$L267),1)-1</f>
        <v/>
      </c>
      <c r="E271" s="22">
        <f>(1+E270)*IF(AND(Painel_diario!$H267="ED_JU",Painel_diario!$J267=1),EXP(Painel_diario!$L267),1)-1</f>
        <v/>
      </c>
    </row>
    <row r="272">
      <c r="A272" s="25" t="n">
        <v>39206</v>
      </c>
      <c r="B272" s="22">
        <f>(1+B271)*IF(AND(Painel_diario!$H268="EU_JD",Painel_diario!$J268=1),EXP(Painel_diario!$L268),1)-1</f>
        <v/>
      </c>
      <c r="C272" s="22">
        <f>(1+C271)*IF(AND(Painel_diario!$H268="EU_JU",Painel_diario!$J268=1),EXP(Painel_diario!$L268),1)-1</f>
        <v/>
      </c>
      <c r="D272" s="22">
        <f>(1+D271)*IF(AND(Painel_diario!$H268="ED_JD",Painel_diario!$J268=1),EXP(Painel_diario!$L268),1)-1</f>
        <v/>
      </c>
      <c r="E272" s="22">
        <f>(1+E271)*IF(AND(Painel_diario!$H268="ED_JU",Painel_diario!$J268=1),EXP(Painel_diario!$L268),1)-1</f>
        <v/>
      </c>
    </row>
    <row r="273">
      <c r="A273" s="25" t="n">
        <v>39209</v>
      </c>
      <c r="B273" s="22">
        <f>(1+B272)*IF(AND(Painel_diario!$H269="EU_JD",Painel_diario!$J269=1),EXP(Painel_diario!$L269),1)-1</f>
        <v/>
      </c>
      <c r="C273" s="22">
        <f>(1+C272)*IF(AND(Painel_diario!$H269="EU_JU",Painel_diario!$J269=1),EXP(Painel_diario!$L269),1)-1</f>
        <v/>
      </c>
      <c r="D273" s="22">
        <f>(1+D272)*IF(AND(Painel_diario!$H269="ED_JD",Painel_diario!$J269=1),EXP(Painel_diario!$L269),1)-1</f>
        <v/>
      </c>
      <c r="E273" s="22">
        <f>(1+E272)*IF(AND(Painel_diario!$H269="ED_JU",Painel_diario!$J269=1),EXP(Painel_diario!$L269),1)-1</f>
        <v/>
      </c>
    </row>
    <row r="274">
      <c r="A274" s="25" t="n">
        <v>39210</v>
      </c>
      <c r="B274" s="22">
        <f>(1+B273)*IF(AND(Painel_diario!$H270="EU_JD",Painel_diario!$J270=1),EXP(Painel_diario!$L270),1)-1</f>
        <v/>
      </c>
      <c r="C274" s="22">
        <f>(1+C273)*IF(AND(Painel_diario!$H270="EU_JU",Painel_diario!$J270=1),EXP(Painel_diario!$L270),1)-1</f>
        <v/>
      </c>
      <c r="D274" s="22">
        <f>(1+D273)*IF(AND(Painel_diario!$H270="ED_JD",Painel_diario!$J270=1),EXP(Painel_diario!$L270),1)-1</f>
        <v/>
      </c>
      <c r="E274" s="22">
        <f>(1+E273)*IF(AND(Painel_diario!$H270="ED_JU",Painel_diario!$J270=1),EXP(Painel_diario!$L270),1)-1</f>
        <v/>
      </c>
    </row>
    <row r="275">
      <c r="A275" s="25" t="n">
        <v>39211</v>
      </c>
      <c r="B275" s="22">
        <f>(1+B274)*IF(AND(Painel_diario!$H271="EU_JD",Painel_diario!$J271=1),EXP(Painel_diario!$L271),1)-1</f>
        <v/>
      </c>
      <c r="C275" s="22">
        <f>(1+C274)*IF(AND(Painel_diario!$H271="EU_JU",Painel_diario!$J271=1),EXP(Painel_diario!$L271),1)-1</f>
        <v/>
      </c>
      <c r="D275" s="22">
        <f>(1+D274)*IF(AND(Painel_diario!$H271="ED_JD",Painel_diario!$J271=1),EXP(Painel_diario!$L271),1)-1</f>
        <v/>
      </c>
      <c r="E275" s="22">
        <f>(1+E274)*IF(AND(Painel_diario!$H271="ED_JU",Painel_diario!$J271=1),EXP(Painel_diario!$L271),1)-1</f>
        <v/>
      </c>
    </row>
    <row r="276">
      <c r="A276" s="25" t="n">
        <v>39212</v>
      </c>
      <c r="B276" s="22">
        <f>(1+B275)*IF(AND(Painel_diario!$H272="EU_JD",Painel_diario!$J272=1),EXP(Painel_diario!$L272),1)-1</f>
        <v/>
      </c>
      <c r="C276" s="22">
        <f>(1+C275)*IF(AND(Painel_diario!$H272="EU_JU",Painel_diario!$J272=1),EXP(Painel_diario!$L272),1)-1</f>
        <v/>
      </c>
      <c r="D276" s="22">
        <f>(1+D275)*IF(AND(Painel_diario!$H272="ED_JD",Painel_diario!$J272=1),EXP(Painel_diario!$L272),1)-1</f>
        <v/>
      </c>
      <c r="E276" s="22">
        <f>(1+E275)*IF(AND(Painel_diario!$H272="ED_JU",Painel_diario!$J272=1),EXP(Painel_diario!$L272),1)-1</f>
        <v/>
      </c>
    </row>
    <row r="277">
      <c r="A277" s="25" t="n">
        <v>39213</v>
      </c>
      <c r="B277" s="22">
        <f>(1+B276)*IF(AND(Painel_diario!$H273="EU_JD",Painel_diario!$J273=1),EXP(Painel_diario!$L273),1)-1</f>
        <v/>
      </c>
      <c r="C277" s="22">
        <f>(1+C276)*IF(AND(Painel_diario!$H273="EU_JU",Painel_diario!$J273=1),EXP(Painel_diario!$L273),1)-1</f>
        <v/>
      </c>
      <c r="D277" s="22">
        <f>(1+D276)*IF(AND(Painel_diario!$H273="ED_JD",Painel_diario!$J273=1),EXP(Painel_diario!$L273),1)-1</f>
        <v/>
      </c>
      <c r="E277" s="22">
        <f>(1+E276)*IF(AND(Painel_diario!$H273="ED_JU",Painel_diario!$J273=1),EXP(Painel_diario!$L273),1)-1</f>
        <v/>
      </c>
    </row>
    <row r="278">
      <c r="A278" s="25" t="n">
        <v>39216</v>
      </c>
      <c r="B278" s="22">
        <f>(1+B277)*IF(AND(Painel_diario!$H274="EU_JD",Painel_diario!$J274=1),EXP(Painel_diario!$L274),1)-1</f>
        <v/>
      </c>
      <c r="C278" s="22">
        <f>(1+C277)*IF(AND(Painel_diario!$H274="EU_JU",Painel_diario!$J274=1),EXP(Painel_diario!$L274),1)-1</f>
        <v/>
      </c>
      <c r="D278" s="22">
        <f>(1+D277)*IF(AND(Painel_diario!$H274="ED_JD",Painel_diario!$J274=1),EXP(Painel_diario!$L274),1)-1</f>
        <v/>
      </c>
      <c r="E278" s="22">
        <f>(1+E277)*IF(AND(Painel_diario!$H274="ED_JU",Painel_diario!$J274=1),EXP(Painel_diario!$L274),1)-1</f>
        <v/>
      </c>
    </row>
    <row r="279">
      <c r="A279" s="25" t="n">
        <v>39217</v>
      </c>
      <c r="B279" s="22">
        <f>(1+B278)*IF(AND(Painel_diario!$H275="EU_JD",Painel_diario!$J275=1),EXP(Painel_diario!$L275),1)-1</f>
        <v/>
      </c>
      <c r="C279" s="22">
        <f>(1+C278)*IF(AND(Painel_diario!$H275="EU_JU",Painel_diario!$J275=1),EXP(Painel_diario!$L275),1)-1</f>
        <v/>
      </c>
      <c r="D279" s="22">
        <f>(1+D278)*IF(AND(Painel_diario!$H275="ED_JD",Painel_diario!$J275=1),EXP(Painel_diario!$L275),1)-1</f>
        <v/>
      </c>
      <c r="E279" s="22">
        <f>(1+E278)*IF(AND(Painel_diario!$H275="ED_JU",Painel_diario!$J275=1),EXP(Painel_diario!$L275),1)-1</f>
        <v/>
      </c>
    </row>
    <row r="280">
      <c r="A280" s="25" t="n">
        <v>39218</v>
      </c>
      <c r="B280" s="22">
        <f>(1+B279)*IF(AND(Painel_diario!$H276="EU_JD",Painel_diario!$J276=1),EXP(Painel_diario!$L276),1)-1</f>
        <v/>
      </c>
      <c r="C280" s="22">
        <f>(1+C279)*IF(AND(Painel_diario!$H276="EU_JU",Painel_diario!$J276=1),EXP(Painel_diario!$L276),1)-1</f>
        <v/>
      </c>
      <c r="D280" s="22">
        <f>(1+D279)*IF(AND(Painel_diario!$H276="ED_JD",Painel_diario!$J276=1),EXP(Painel_diario!$L276),1)-1</f>
        <v/>
      </c>
      <c r="E280" s="22">
        <f>(1+E279)*IF(AND(Painel_diario!$H276="ED_JU",Painel_diario!$J276=1),EXP(Painel_diario!$L276),1)-1</f>
        <v/>
      </c>
    </row>
    <row r="281">
      <c r="A281" s="25" t="n">
        <v>39219</v>
      </c>
      <c r="B281" s="22">
        <f>(1+B280)*IF(AND(Painel_diario!$H277="EU_JD",Painel_diario!$J277=1),EXP(Painel_diario!$L277),1)-1</f>
        <v/>
      </c>
      <c r="C281" s="22">
        <f>(1+C280)*IF(AND(Painel_diario!$H277="EU_JU",Painel_diario!$J277=1),EXP(Painel_diario!$L277),1)-1</f>
        <v/>
      </c>
      <c r="D281" s="22">
        <f>(1+D280)*IF(AND(Painel_diario!$H277="ED_JD",Painel_diario!$J277=1),EXP(Painel_diario!$L277),1)-1</f>
        <v/>
      </c>
      <c r="E281" s="22">
        <f>(1+E280)*IF(AND(Painel_diario!$H277="ED_JU",Painel_diario!$J277=1),EXP(Painel_diario!$L277),1)-1</f>
        <v/>
      </c>
    </row>
    <row r="282">
      <c r="A282" s="25" t="n">
        <v>39220</v>
      </c>
      <c r="B282" s="22">
        <f>(1+B281)*IF(AND(Painel_diario!$H278="EU_JD",Painel_diario!$J278=1),EXP(Painel_diario!$L278),1)-1</f>
        <v/>
      </c>
      <c r="C282" s="22">
        <f>(1+C281)*IF(AND(Painel_diario!$H278="EU_JU",Painel_diario!$J278=1),EXP(Painel_diario!$L278),1)-1</f>
        <v/>
      </c>
      <c r="D282" s="22">
        <f>(1+D281)*IF(AND(Painel_diario!$H278="ED_JD",Painel_diario!$J278=1),EXP(Painel_diario!$L278),1)-1</f>
        <v/>
      </c>
      <c r="E282" s="22">
        <f>(1+E281)*IF(AND(Painel_diario!$H278="ED_JU",Painel_diario!$J278=1),EXP(Painel_diario!$L278),1)-1</f>
        <v/>
      </c>
    </row>
    <row r="283">
      <c r="A283" s="25" t="n">
        <v>39223</v>
      </c>
      <c r="B283" s="22">
        <f>(1+B282)*IF(AND(Painel_diario!$H279="EU_JD",Painel_diario!$J279=1),EXP(Painel_diario!$L279),1)-1</f>
        <v/>
      </c>
      <c r="C283" s="22">
        <f>(1+C282)*IF(AND(Painel_diario!$H279="EU_JU",Painel_diario!$J279=1),EXP(Painel_diario!$L279),1)-1</f>
        <v/>
      </c>
      <c r="D283" s="22">
        <f>(1+D282)*IF(AND(Painel_diario!$H279="ED_JD",Painel_diario!$J279=1),EXP(Painel_diario!$L279),1)-1</f>
        <v/>
      </c>
      <c r="E283" s="22">
        <f>(1+E282)*IF(AND(Painel_diario!$H279="ED_JU",Painel_diario!$J279=1),EXP(Painel_diario!$L279),1)-1</f>
        <v/>
      </c>
    </row>
    <row r="284">
      <c r="A284" s="25" t="n">
        <v>39224</v>
      </c>
      <c r="B284" s="22">
        <f>(1+B283)*IF(AND(Painel_diario!$H280="EU_JD",Painel_diario!$J280=1),EXP(Painel_diario!$L280),1)-1</f>
        <v/>
      </c>
      <c r="C284" s="22">
        <f>(1+C283)*IF(AND(Painel_diario!$H280="EU_JU",Painel_diario!$J280=1),EXP(Painel_diario!$L280),1)-1</f>
        <v/>
      </c>
      <c r="D284" s="22">
        <f>(1+D283)*IF(AND(Painel_diario!$H280="ED_JD",Painel_diario!$J280=1),EXP(Painel_diario!$L280),1)-1</f>
        <v/>
      </c>
      <c r="E284" s="22">
        <f>(1+E283)*IF(AND(Painel_diario!$H280="ED_JU",Painel_diario!$J280=1),EXP(Painel_diario!$L280),1)-1</f>
        <v/>
      </c>
    </row>
    <row r="285">
      <c r="A285" s="25" t="n">
        <v>39225</v>
      </c>
      <c r="B285" s="22">
        <f>(1+B284)*IF(AND(Painel_diario!$H281="EU_JD",Painel_diario!$J281=1),EXP(Painel_diario!$L281),1)-1</f>
        <v/>
      </c>
      <c r="C285" s="22">
        <f>(1+C284)*IF(AND(Painel_diario!$H281="EU_JU",Painel_diario!$J281=1),EXP(Painel_diario!$L281),1)-1</f>
        <v/>
      </c>
      <c r="D285" s="22">
        <f>(1+D284)*IF(AND(Painel_diario!$H281="ED_JD",Painel_diario!$J281=1),EXP(Painel_diario!$L281),1)-1</f>
        <v/>
      </c>
      <c r="E285" s="22">
        <f>(1+E284)*IF(AND(Painel_diario!$H281="ED_JU",Painel_diario!$J281=1),EXP(Painel_diario!$L281),1)-1</f>
        <v/>
      </c>
    </row>
    <row r="286">
      <c r="A286" s="25" t="n">
        <v>39226</v>
      </c>
      <c r="B286" s="22">
        <f>(1+B285)*IF(AND(Painel_diario!$H282="EU_JD",Painel_diario!$J282=1),EXP(Painel_diario!$L282),1)-1</f>
        <v/>
      </c>
      <c r="C286" s="22">
        <f>(1+C285)*IF(AND(Painel_diario!$H282="EU_JU",Painel_diario!$J282=1),EXP(Painel_diario!$L282),1)-1</f>
        <v/>
      </c>
      <c r="D286" s="22">
        <f>(1+D285)*IF(AND(Painel_diario!$H282="ED_JD",Painel_diario!$J282=1),EXP(Painel_diario!$L282),1)-1</f>
        <v/>
      </c>
      <c r="E286" s="22">
        <f>(1+E285)*IF(AND(Painel_diario!$H282="ED_JU",Painel_diario!$J282=1),EXP(Painel_diario!$L282),1)-1</f>
        <v/>
      </c>
    </row>
    <row r="287">
      <c r="A287" s="25" t="n">
        <v>39227</v>
      </c>
      <c r="B287" s="22">
        <f>(1+B286)*IF(AND(Painel_diario!$H283="EU_JD",Painel_diario!$J283=1),EXP(Painel_diario!$L283),1)-1</f>
        <v/>
      </c>
      <c r="C287" s="22">
        <f>(1+C286)*IF(AND(Painel_diario!$H283="EU_JU",Painel_diario!$J283=1),EXP(Painel_diario!$L283),1)-1</f>
        <v/>
      </c>
      <c r="D287" s="22">
        <f>(1+D286)*IF(AND(Painel_diario!$H283="ED_JD",Painel_diario!$J283=1),EXP(Painel_diario!$L283),1)-1</f>
        <v/>
      </c>
      <c r="E287" s="22">
        <f>(1+E286)*IF(AND(Painel_diario!$H283="ED_JU",Painel_diario!$J283=1),EXP(Painel_diario!$L283),1)-1</f>
        <v/>
      </c>
    </row>
    <row r="288">
      <c r="A288" s="25" t="n">
        <v>39230</v>
      </c>
      <c r="B288" s="22">
        <f>(1+B287)*IF(AND(Painel_diario!$H284="EU_JD",Painel_diario!$J284=1),EXP(Painel_diario!$L284),1)-1</f>
        <v/>
      </c>
      <c r="C288" s="22">
        <f>(1+C287)*IF(AND(Painel_diario!$H284="EU_JU",Painel_diario!$J284=1),EXP(Painel_diario!$L284),1)-1</f>
        <v/>
      </c>
      <c r="D288" s="22">
        <f>(1+D287)*IF(AND(Painel_diario!$H284="ED_JD",Painel_diario!$J284=1),EXP(Painel_diario!$L284),1)-1</f>
        <v/>
      </c>
      <c r="E288" s="22">
        <f>(1+E287)*IF(AND(Painel_diario!$H284="ED_JU",Painel_diario!$J284=1),EXP(Painel_diario!$L284),1)-1</f>
        <v/>
      </c>
    </row>
    <row r="289">
      <c r="A289" s="25" t="n">
        <v>39231</v>
      </c>
      <c r="B289" s="22">
        <f>(1+B288)*IF(AND(Painel_diario!$H285="EU_JD",Painel_diario!$J285=1),EXP(Painel_diario!$L285),1)-1</f>
        <v/>
      </c>
      <c r="C289" s="22">
        <f>(1+C288)*IF(AND(Painel_diario!$H285="EU_JU",Painel_diario!$J285=1),EXP(Painel_diario!$L285),1)-1</f>
        <v/>
      </c>
      <c r="D289" s="22">
        <f>(1+D288)*IF(AND(Painel_diario!$H285="ED_JD",Painel_diario!$J285=1),EXP(Painel_diario!$L285),1)-1</f>
        <v/>
      </c>
      <c r="E289" s="22">
        <f>(1+E288)*IF(AND(Painel_diario!$H285="ED_JU",Painel_diario!$J285=1),EXP(Painel_diario!$L285),1)-1</f>
        <v/>
      </c>
    </row>
    <row r="290">
      <c r="A290" s="25" t="n">
        <v>39232</v>
      </c>
      <c r="B290" s="22">
        <f>(1+B289)*IF(AND(Painel_diario!$H286="EU_JD",Painel_diario!$J286=1),EXP(Painel_diario!$L286),1)-1</f>
        <v/>
      </c>
      <c r="C290" s="22">
        <f>(1+C289)*IF(AND(Painel_diario!$H286="EU_JU",Painel_diario!$J286=1),EXP(Painel_diario!$L286),1)-1</f>
        <v/>
      </c>
      <c r="D290" s="22">
        <f>(1+D289)*IF(AND(Painel_diario!$H286="ED_JD",Painel_diario!$J286=1),EXP(Painel_diario!$L286),1)-1</f>
        <v/>
      </c>
      <c r="E290" s="22">
        <f>(1+E289)*IF(AND(Painel_diario!$H286="ED_JU",Painel_diario!$J286=1),EXP(Painel_diario!$L286),1)-1</f>
        <v/>
      </c>
    </row>
    <row r="291">
      <c r="A291" s="25" t="n">
        <v>39233</v>
      </c>
      <c r="B291" s="22">
        <f>(1+B290)*IF(AND(Painel_diario!$H287="EU_JD",Painel_diario!$J287=1),EXP(Painel_diario!$L287),1)-1</f>
        <v/>
      </c>
      <c r="C291" s="22">
        <f>(1+C290)*IF(AND(Painel_diario!$H287="EU_JU",Painel_diario!$J287=1),EXP(Painel_diario!$L287),1)-1</f>
        <v/>
      </c>
      <c r="D291" s="22">
        <f>(1+D290)*IF(AND(Painel_diario!$H287="ED_JD",Painel_diario!$J287=1),EXP(Painel_diario!$L287),1)-1</f>
        <v/>
      </c>
      <c r="E291" s="22">
        <f>(1+E290)*IF(AND(Painel_diario!$H287="ED_JU",Painel_diario!$J287=1),EXP(Painel_diario!$L287),1)-1</f>
        <v/>
      </c>
    </row>
    <row r="292">
      <c r="A292" s="25" t="n">
        <v>39234</v>
      </c>
      <c r="B292" s="22">
        <f>(1+B291)*IF(AND(Painel_diario!$H288="EU_JD",Painel_diario!$J288=1),EXP(Painel_diario!$L288),1)-1</f>
        <v/>
      </c>
      <c r="C292" s="22">
        <f>(1+C291)*IF(AND(Painel_diario!$H288="EU_JU",Painel_diario!$J288=1),EXP(Painel_diario!$L288),1)-1</f>
        <v/>
      </c>
      <c r="D292" s="22">
        <f>(1+D291)*IF(AND(Painel_diario!$H288="ED_JD",Painel_diario!$J288=1),EXP(Painel_diario!$L288),1)-1</f>
        <v/>
      </c>
      <c r="E292" s="22">
        <f>(1+E291)*IF(AND(Painel_diario!$H288="ED_JU",Painel_diario!$J288=1),EXP(Painel_diario!$L288),1)-1</f>
        <v/>
      </c>
    </row>
    <row r="293">
      <c r="A293" s="25" t="n">
        <v>39237</v>
      </c>
      <c r="B293" s="22">
        <f>(1+B292)*IF(AND(Painel_diario!$H289="EU_JD",Painel_diario!$J289=1),EXP(Painel_diario!$L289),1)-1</f>
        <v/>
      </c>
      <c r="C293" s="22">
        <f>(1+C292)*IF(AND(Painel_diario!$H289="EU_JU",Painel_diario!$J289=1),EXP(Painel_diario!$L289),1)-1</f>
        <v/>
      </c>
      <c r="D293" s="22">
        <f>(1+D292)*IF(AND(Painel_diario!$H289="ED_JD",Painel_diario!$J289=1),EXP(Painel_diario!$L289),1)-1</f>
        <v/>
      </c>
      <c r="E293" s="22">
        <f>(1+E292)*IF(AND(Painel_diario!$H289="ED_JU",Painel_diario!$J289=1),EXP(Painel_diario!$L289),1)-1</f>
        <v/>
      </c>
    </row>
    <row r="294">
      <c r="A294" s="25" t="n">
        <v>39238</v>
      </c>
      <c r="B294" s="22">
        <f>(1+B293)*IF(AND(Painel_diario!$H290="EU_JD",Painel_diario!$J290=1),EXP(Painel_diario!$L290),1)-1</f>
        <v/>
      </c>
      <c r="C294" s="22">
        <f>(1+C293)*IF(AND(Painel_diario!$H290="EU_JU",Painel_diario!$J290=1),EXP(Painel_diario!$L290),1)-1</f>
        <v/>
      </c>
      <c r="D294" s="22">
        <f>(1+D293)*IF(AND(Painel_diario!$H290="ED_JD",Painel_diario!$J290=1),EXP(Painel_diario!$L290),1)-1</f>
        <v/>
      </c>
      <c r="E294" s="22">
        <f>(1+E293)*IF(AND(Painel_diario!$H290="ED_JU",Painel_diario!$J290=1),EXP(Painel_diario!$L290),1)-1</f>
        <v/>
      </c>
    </row>
    <row r="295">
      <c r="A295" s="25" t="n">
        <v>39239</v>
      </c>
      <c r="B295" s="22">
        <f>(1+B294)*IF(AND(Painel_diario!$H291="EU_JD",Painel_diario!$J291=1),EXP(Painel_diario!$L291),1)-1</f>
        <v/>
      </c>
      <c r="C295" s="22">
        <f>(1+C294)*IF(AND(Painel_diario!$H291="EU_JU",Painel_diario!$J291=1),EXP(Painel_diario!$L291),1)-1</f>
        <v/>
      </c>
      <c r="D295" s="22">
        <f>(1+D294)*IF(AND(Painel_diario!$H291="ED_JD",Painel_diario!$J291=1),EXP(Painel_diario!$L291),1)-1</f>
        <v/>
      </c>
      <c r="E295" s="22">
        <f>(1+E294)*IF(AND(Painel_diario!$H291="ED_JU",Painel_diario!$J291=1),EXP(Painel_diario!$L291),1)-1</f>
        <v/>
      </c>
    </row>
    <row r="296">
      <c r="A296" s="25" t="n">
        <v>39241</v>
      </c>
      <c r="B296" s="22">
        <f>(1+B295)*IF(AND(Painel_diario!$H292="EU_JD",Painel_diario!$J292=1),EXP(Painel_diario!$L292),1)-1</f>
        <v/>
      </c>
      <c r="C296" s="22">
        <f>(1+C295)*IF(AND(Painel_diario!$H292="EU_JU",Painel_diario!$J292=1),EXP(Painel_diario!$L292),1)-1</f>
        <v/>
      </c>
      <c r="D296" s="22">
        <f>(1+D295)*IF(AND(Painel_diario!$H292="ED_JD",Painel_diario!$J292=1),EXP(Painel_diario!$L292),1)-1</f>
        <v/>
      </c>
      <c r="E296" s="22">
        <f>(1+E295)*IF(AND(Painel_diario!$H292="ED_JU",Painel_diario!$J292=1),EXP(Painel_diario!$L292),1)-1</f>
        <v/>
      </c>
    </row>
    <row r="297">
      <c r="A297" s="25" t="n">
        <v>39244</v>
      </c>
      <c r="B297" s="22">
        <f>(1+B296)*IF(AND(Painel_diario!$H293="EU_JD",Painel_diario!$J293=1),EXP(Painel_diario!$L293),1)-1</f>
        <v/>
      </c>
      <c r="C297" s="22">
        <f>(1+C296)*IF(AND(Painel_diario!$H293="EU_JU",Painel_diario!$J293=1),EXP(Painel_diario!$L293),1)-1</f>
        <v/>
      </c>
      <c r="D297" s="22">
        <f>(1+D296)*IF(AND(Painel_diario!$H293="ED_JD",Painel_diario!$J293=1),EXP(Painel_diario!$L293),1)-1</f>
        <v/>
      </c>
      <c r="E297" s="22">
        <f>(1+E296)*IF(AND(Painel_diario!$H293="ED_JU",Painel_diario!$J293=1),EXP(Painel_diario!$L293),1)-1</f>
        <v/>
      </c>
    </row>
    <row r="298">
      <c r="A298" s="25" t="n">
        <v>39245</v>
      </c>
      <c r="B298" s="22">
        <f>(1+B297)*IF(AND(Painel_diario!$H294="EU_JD",Painel_diario!$J294=1),EXP(Painel_diario!$L294),1)-1</f>
        <v/>
      </c>
      <c r="C298" s="22">
        <f>(1+C297)*IF(AND(Painel_diario!$H294="EU_JU",Painel_diario!$J294=1),EXP(Painel_diario!$L294),1)-1</f>
        <v/>
      </c>
      <c r="D298" s="22">
        <f>(1+D297)*IF(AND(Painel_diario!$H294="ED_JD",Painel_diario!$J294=1),EXP(Painel_diario!$L294),1)-1</f>
        <v/>
      </c>
      <c r="E298" s="22">
        <f>(1+E297)*IF(AND(Painel_diario!$H294="ED_JU",Painel_diario!$J294=1),EXP(Painel_diario!$L294),1)-1</f>
        <v/>
      </c>
    </row>
    <row r="299">
      <c r="A299" s="25" t="n">
        <v>39246</v>
      </c>
      <c r="B299" s="22">
        <f>(1+B298)*IF(AND(Painel_diario!$H295="EU_JD",Painel_diario!$J295=1),EXP(Painel_diario!$L295),1)-1</f>
        <v/>
      </c>
      <c r="C299" s="22">
        <f>(1+C298)*IF(AND(Painel_diario!$H295="EU_JU",Painel_diario!$J295=1),EXP(Painel_diario!$L295),1)-1</f>
        <v/>
      </c>
      <c r="D299" s="22">
        <f>(1+D298)*IF(AND(Painel_diario!$H295="ED_JD",Painel_diario!$J295=1),EXP(Painel_diario!$L295),1)-1</f>
        <v/>
      </c>
      <c r="E299" s="22">
        <f>(1+E298)*IF(AND(Painel_diario!$H295="ED_JU",Painel_diario!$J295=1),EXP(Painel_diario!$L295),1)-1</f>
        <v/>
      </c>
    </row>
    <row r="300">
      <c r="A300" s="25" t="n">
        <v>39247</v>
      </c>
      <c r="B300" s="22">
        <f>(1+B299)*IF(AND(Painel_diario!$H296="EU_JD",Painel_diario!$J296=1),EXP(Painel_diario!$L296),1)-1</f>
        <v/>
      </c>
      <c r="C300" s="22">
        <f>(1+C299)*IF(AND(Painel_diario!$H296="EU_JU",Painel_diario!$J296=1),EXP(Painel_diario!$L296),1)-1</f>
        <v/>
      </c>
      <c r="D300" s="22">
        <f>(1+D299)*IF(AND(Painel_diario!$H296="ED_JD",Painel_diario!$J296=1),EXP(Painel_diario!$L296),1)-1</f>
        <v/>
      </c>
      <c r="E300" s="22">
        <f>(1+E299)*IF(AND(Painel_diario!$H296="ED_JU",Painel_diario!$J296=1),EXP(Painel_diario!$L296),1)-1</f>
        <v/>
      </c>
    </row>
    <row r="301">
      <c r="A301" s="25" t="n">
        <v>39248</v>
      </c>
      <c r="B301" s="22">
        <f>(1+B300)*IF(AND(Painel_diario!$H297="EU_JD",Painel_diario!$J297=1),EXP(Painel_diario!$L297),1)-1</f>
        <v/>
      </c>
      <c r="C301" s="22">
        <f>(1+C300)*IF(AND(Painel_diario!$H297="EU_JU",Painel_diario!$J297=1),EXP(Painel_diario!$L297),1)-1</f>
        <v/>
      </c>
      <c r="D301" s="22">
        <f>(1+D300)*IF(AND(Painel_diario!$H297="ED_JD",Painel_diario!$J297=1),EXP(Painel_diario!$L297),1)-1</f>
        <v/>
      </c>
      <c r="E301" s="22">
        <f>(1+E300)*IF(AND(Painel_diario!$H297="ED_JU",Painel_diario!$J297=1),EXP(Painel_diario!$L297),1)-1</f>
        <v/>
      </c>
    </row>
    <row r="302">
      <c r="A302" s="25" t="n">
        <v>39251</v>
      </c>
      <c r="B302" s="22">
        <f>(1+B301)*IF(AND(Painel_diario!$H298="EU_JD",Painel_diario!$J298=1),EXP(Painel_diario!$L298),1)-1</f>
        <v/>
      </c>
      <c r="C302" s="22">
        <f>(1+C301)*IF(AND(Painel_diario!$H298="EU_JU",Painel_diario!$J298=1),EXP(Painel_diario!$L298),1)-1</f>
        <v/>
      </c>
      <c r="D302" s="22">
        <f>(1+D301)*IF(AND(Painel_diario!$H298="ED_JD",Painel_diario!$J298=1),EXP(Painel_diario!$L298),1)-1</f>
        <v/>
      </c>
      <c r="E302" s="22">
        <f>(1+E301)*IF(AND(Painel_diario!$H298="ED_JU",Painel_diario!$J298=1),EXP(Painel_diario!$L298),1)-1</f>
        <v/>
      </c>
    </row>
    <row r="303">
      <c r="A303" s="25" t="n">
        <v>39252</v>
      </c>
      <c r="B303" s="22">
        <f>(1+B302)*IF(AND(Painel_diario!$H299="EU_JD",Painel_diario!$J299=1),EXP(Painel_diario!$L299),1)-1</f>
        <v/>
      </c>
      <c r="C303" s="22">
        <f>(1+C302)*IF(AND(Painel_diario!$H299="EU_JU",Painel_diario!$J299=1),EXP(Painel_diario!$L299),1)-1</f>
        <v/>
      </c>
      <c r="D303" s="22">
        <f>(1+D302)*IF(AND(Painel_diario!$H299="ED_JD",Painel_diario!$J299=1),EXP(Painel_diario!$L299),1)-1</f>
        <v/>
      </c>
      <c r="E303" s="22">
        <f>(1+E302)*IF(AND(Painel_diario!$H299="ED_JU",Painel_diario!$J299=1),EXP(Painel_diario!$L299),1)-1</f>
        <v/>
      </c>
    </row>
    <row r="304">
      <c r="A304" s="25" t="n">
        <v>39253</v>
      </c>
      <c r="B304" s="22">
        <f>(1+B303)*IF(AND(Painel_diario!$H300="EU_JD",Painel_diario!$J300=1),EXP(Painel_diario!$L300),1)-1</f>
        <v/>
      </c>
      <c r="C304" s="22">
        <f>(1+C303)*IF(AND(Painel_diario!$H300="EU_JU",Painel_diario!$J300=1),EXP(Painel_diario!$L300),1)-1</f>
        <v/>
      </c>
      <c r="D304" s="22">
        <f>(1+D303)*IF(AND(Painel_diario!$H300="ED_JD",Painel_diario!$J300=1),EXP(Painel_diario!$L300),1)-1</f>
        <v/>
      </c>
      <c r="E304" s="22">
        <f>(1+E303)*IF(AND(Painel_diario!$H300="ED_JU",Painel_diario!$J300=1),EXP(Painel_diario!$L300),1)-1</f>
        <v/>
      </c>
    </row>
    <row r="305">
      <c r="A305" s="25" t="n">
        <v>39254</v>
      </c>
      <c r="B305" s="22">
        <f>(1+B304)*IF(AND(Painel_diario!$H301="EU_JD",Painel_diario!$J301=1),EXP(Painel_diario!$L301),1)-1</f>
        <v/>
      </c>
      <c r="C305" s="22">
        <f>(1+C304)*IF(AND(Painel_diario!$H301="EU_JU",Painel_diario!$J301=1),EXP(Painel_diario!$L301),1)-1</f>
        <v/>
      </c>
      <c r="D305" s="22">
        <f>(1+D304)*IF(AND(Painel_diario!$H301="ED_JD",Painel_diario!$J301=1),EXP(Painel_diario!$L301),1)-1</f>
        <v/>
      </c>
      <c r="E305" s="22">
        <f>(1+E304)*IF(AND(Painel_diario!$H301="ED_JU",Painel_diario!$J301=1),EXP(Painel_diario!$L301),1)-1</f>
        <v/>
      </c>
    </row>
    <row r="306">
      <c r="A306" s="25" t="n">
        <v>39255</v>
      </c>
      <c r="B306" s="22">
        <f>(1+B305)*IF(AND(Painel_diario!$H302="EU_JD",Painel_diario!$J302=1),EXP(Painel_diario!$L302),1)-1</f>
        <v/>
      </c>
      <c r="C306" s="22">
        <f>(1+C305)*IF(AND(Painel_diario!$H302="EU_JU",Painel_diario!$J302=1),EXP(Painel_diario!$L302),1)-1</f>
        <v/>
      </c>
      <c r="D306" s="22">
        <f>(1+D305)*IF(AND(Painel_diario!$H302="ED_JD",Painel_diario!$J302=1),EXP(Painel_diario!$L302),1)-1</f>
        <v/>
      </c>
      <c r="E306" s="22">
        <f>(1+E305)*IF(AND(Painel_diario!$H302="ED_JU",Painel_diario!$J302=1),EXP(Painel_diario!$L302),1)-1</f>
        <v/>
      </c>
    </row>
    <row r="307">
      <c r="A307" s="25" t="n">
        <v>39258</v>
      </c>
      <c r="B307" s="22">
        <f>(1+B306)*IF(AND(Painel_diario!$H303="EU_JD",Painel_diario!$J303=1),EXP(Painel_diario!$L303),1)-1</f>
        <v/>
      </c>
      <c r="C307" s="22">
        <f>(1+C306)*IF(AND(Painel_diario!$H303="EU_JU",Painel_diario!$J303=1),EXP(Painel_diario!$L303),1)-1</f>
        <v/>
      </c>
      <c r="D307" s="22">
        <f>(1+D306)*IF(AND(Painel_diario!$H303="ED_JD",Painel_diario!$J303=1),EXP(Painel_diario!$L303),1)-1</f>
        <v/>
      </c>
      <c r="E307" s="22">
        <f>(1+E306)*IF(AND(Painel_diario!$H303="ED_JU",Painel_diario!$J303=1),EXP(Painel_diario!$L303),1)-1</f>
        <v/>
      </c>
    </row>
    <row r="308">
      <c r="A308" s="25" t="n">
        <v>39259</v>
      </c>
      <c r="B308" s="22">
        <f>(1+B307)*IF(AND(Painel_diario!$H304="EU_JD",Painel_diario!$J304=1),EXP(Painel_diario!$L304),1)-1</f>
        <v/>
      </c>
      <c r="C308" s="22">
        <f>(1+C307)*IF(AND(Painel_diario!$H304="EU_JU",Painel_diario!$J304=1),EXP(Painel_diario!$L304),1)-1</f>
        <v/>
      </c>
      <c r="D308" s="22">
        <f>(1+D307)*IF(AND(Painel_diario!$H304="ED_JD",Painel_diario!$J304=1),EXP(Painel_diario!$L304),1)-1</f>
        <v/>
      </c>
      <c r="E308" s="22">
        <f>(1+E307)*IF(AND(Painel_diario!$H304="ED_JU",Painel_diario!$J304=1),EXP(Painel_diario!$L304),1)-1</f>
        <v/>
      </c>
    </row>
    <row r="309">
      <c r="A309" s="25" t="n">
        <v>39260</v>
      </c>
      <c r="B309" s="22">
        <f>(1+B308)*IF(AND(Painel_diario!$H305="EU_JD",Painel_diario!$J305=1),EXP(Painel_diario!$L305),1)-1</f>
        <v/>
      </c>
      <c r="C309" s="22">
        <f>(1+C308)*IF(AND(Painel_diario!$H305="EU_JU",Painel_diario!$J305=1),EXP(Painel_diario!$L305),1)-1</f>
        <v/>
      </c>
      <c r="D309" s="22">
        <f>(1+D308)*IF(AND(Painel_diario!$H305="ED_JD",Painel_diario!$J305=1),EXP(Painel_diario!$L305),1)-1</f>
        <v/>
      </c>
      <c r="E309" s="22">
        <f>(1+E308)*IF(AND(Painel_diario!$H305="ED_JU",Painel_diario!$J305=1),EXP(Painel_diario!$L305),1)-1</f>
        <v/>
      </c>
    </row>
    <row r="310">
      <c r="A310" s="25" t="n">
        <v>39261</v>
      </c>
      <c r="B310" s="22">
        <f>(1+B309)*IF(AND(Painel_diario!$H306="EU_JD",Painel_diario!$J306=1),EXP(Painel_diario!$L306),1)-1</f>
        <v/>
      </c>
      <c r="C310" s="22">
        <f>(1+C309)*IF(AND(Painel_diario!$H306="EU_JU",Painel_diario!$J306=1),EXP(Painel_diario!$L306),1)-1</f>
        <v/>
      </c>
      <c r="D310" s="22">
        <f>(1+D309)*IF(AND(Painel_diario!$H306="ED_JD",Painel_diario!$J306=1),EXP(Painel_diario!$L306),1)-1</f>
        <v/>
      </c>
      <c r="E310" s="22">
        <f>(1+E309)*IF(AND(Painel_diario!$H306="ED_JU",Painel_diario!$J306=1),EXP(Painel_diario!$L306),1)-1</f>
        <v/>
      </c>
    </row>
    <row r="311">
      <c r="A311" s="25" t="n">
        <v>39262</v>
      </c>
      <c r="B311" s="22">
        <f>(1+B310)*IF(AND(Painel_diario!$H307="EU_JD",Painel_diario!$J307=1),EXP(Painel_diario!$L307),1)-1</f>
        <v/>
      </c>
      <c r="C311" s="22">
        <f>(1+C310)*IF(AND(Painel_diario!$H307="EU_JU",Painel_diario!$J307=1),EXP(Painel_diario!$L307),1)-1</f>
        <v/>
      </c>
      <c r="D311" s="22">
        <f>(1+D310)*IF(AND(Painel_diario!$H307="ED_JD",Painel_diario!$J307=1),EXP(Painel_diario!$L307),1)-1</f>
        <v/>
      </c>
      <c r="E311" s="22">
        <f>(1+E310)*IF(AND(Painel_diario!$H307="ED_JU",Painel_diario!$J307=1),EXP(Painel_diario!$L307),1)-1</f>
        <v/>
      </c>
    </row>
    <row r="312">
      <c r="A312" s="25" t="n">
        <v>39265</v>
      </c>
      <c r="B312" s="22">
        <f>(1+B311)*IF(AND(Painel_diario!$H308="EU_JD",Painel_diario!$J308=1),EXP(Painel_diario!$L308),1)-1</f>
        <v/>
      </c>
      <c r="C312" s="22">
        <f>(1+C311)*IF(AND(Painel_diario!$H308="EU_JU",Painel_diario!$J308=1),EXP(Painel_diario!$L308),1)-1</f>
        <v/>
      </c>
      <c r="D312" s="22">
        <f>(1+D311)*IF(AND(Painel_diario!$H308="ED_JD",Painel_diario!$J308=1),EXP(Painel_diario!$L308),1)-1</f>
        <v/>
      </c>
      <c r="E312" s="22">
        <f>(1+E311)*IF(AND(Painel_diario!$H308="ED_JU",Painel_diario!$J308=1),EXP(Painel_diario!$L308),1)-1</f>
        <v/>
      </c>
    </row>
    <row r="313">
      <c r="A313" s="25" t="n">
        <v>39266</v>
      </c>
      <c r="B313" s="22">
        <f>(1+B312)*IF(AND(Painel_diario!$H309="EU_JD",Painel_diario!$J309=1),EXP(Painel_diario!$L309),1)-1</f>
        <v/>
      </c>
      <c r="C313" s="22">
        <f>(1+C312)*IF(AND(Painel_diario!$H309="EU_JU",Painel_diario!$J309=1),EXP(Painel_diario!$L309),1)-1</f>
        <v/>
      </c>
      <c r="D313" s="22">
        <f>(1+D312)*IF(AND(Painel_diario!$H309="ED_JD",Painel_diario!$J309=1),EXP(Painel_diario!$L309),1)-1</f>
        <v/>
      </c>
      <c r="E313" s="22">
        <f>(1+E312)*IF(AND(Painel_diario!$H309="ED_JU",Painel_diario!$J309=1),EXP(Painel_diario!$L309),1)-1</f>
        <v/>
      </c>
    </row>
    <row r="314">
      <c r="A314" s="25" t="n">
        <v>39267</v>
      </c>
      <c r="B314" s="22">
        <f>(1+B313)*IF(AND(Painel_diario!$H310="EU_JD",Painel_diario!$J310=1),EXP(Painel_diario!$L310),1)-1</f>
        <v/>
      </c>
      <c r="C314" s="22">
        <f>(1+C313)*IF(AND(Painel_diario!$H310="EU_JU",Painel_diario!$J310=1),EXP(Painel_diario!$L310),1)-1</f>
        <v/>
      </c>
      <c r="D314" s="22">
        <f>(1+D313)*IF(AND(Painel_diario!$H310="ED_JD",Painel_diario!$J310=1),EXP(Painel_diario!$L310),1)-1</f>
        <v/>
      </c>
      <c r="E314" s="22">
        <f>(1+E313)*IF(AND(Painel_diario!$H310="ED_JU",Painel_diario!$J310=1),EXP(Painel_diario!$L310),1)-1</f>
        <v/>
      </c>
    </row>
    <row r="315">
      <c r="A315" s="25" t="n">
        <v>39268</v>
      </c>
      <c r="B315" s="22">
        <f>(1+B314)*IF(AND(Painel_diario!$H311="EU_JD",Painel_diario!$J311=1),EXP(Painel_diario!$L311),1)-1</f>
        <v/>
      </c>
      <c r="C315" s="22">
        <f>(1+C314)*IF(AND(Painel_diario!$H311="EU_JU",Painel_diario!$J311=1),EXP(Painel_diario!$L311),1)-1</f>
        <v/>
      </c>
      <c r="D315" s="22">
        <f>(1+D314)*IF(AND(Painel_diario!$H311="ED_JD",Painel_diario!$J311=1),EXP(Painel_diario!$L311),1)-1</f>
        <v/>
      </c>
      <c r="E315" s="22">
        <f>(1+E314)*IF(AND(Painel_diario!$H311="ED_JU",Painel_diario!$J311=1),EXP(Painel_diario!$L311),1)-1</f>
        <v/>
      </c>
    </row>
    <row r="316">
      <c r="A316" s="25" t="n">
        <v>39269</v>
      </c>
      <c r="B316" s="22">
        <f>(1+B315)*IF(AND(Painel_diario!$H312="EU_JD",Painel_diario!$J312=1),EXP(Painel_diario!$L312),1)-1</f>
        <v/>
      </c>
      <c r="C316" s="22">
        <f>(1+C315)*IF(AND(Painel_diario!$H312="EU_JU",Painel_diario!$J312=1),EXP(Painel_diario!$L312),1)-1</f>
        <v/>
      </c>
      <c r="D316" s="22">
        <f>(1+D315)*IF(AND(Painel_diario!$H312="ED_JD",Painel_diario!$J312=1),EXP(Painel_diario!$L312),1)-1</f>
        <v/>
      </c>
      <c r="E316" s="22">
        <f>(1+E315)*IF(AND(Painel_diario!$H312="ED_JU",Painel_diario!$J312=1),EXP(Painel_diario!$L312),1)-1</f>
        <v/>
      </c>
    </row>
    <row r="317">
      <c r="A317" s="25" t="n">
        <v>39273</v>
      </c>
      <c r="B317" s="22">
        <f>(1+B316)*IF(AND(Painel_diario!$H313="EU_JD",Painel_diario!$J313=1),EXP(Painel_diario!$L313),1)-1</f>
        <v/>
      </c>
      <c r="C317" s="22">
        <f>(1+C316)*IF(AND(Painel_diario!$H313="EU_JU",Painel_diario!$J313=1),EXP(Painel_diario!$L313),1)-1</f>
        <v/>
      </c>
      <c r="D317" s="22">
        <f>(1+D316)*IF(AND(Painel_diario!$H313="ED_JD",Painel_diario!$J313=1),EXP(Painel_diario!$L313),1)-1</f>
        <v/>
      </c>
      <c r="E317" s="22">
        <f>(1+E316)*IF(AND(Painel_diario!$H313="ED_JU",Painel_diario!$J313=1),EXP(Painel_diario!$L313),1)-1</f>
        <v/>
      </c>
    </row>
    <row r="318">
      <c r="A318" s="25" t="n">
        <v>39274</v>
      </c>
      <c r="B318" s="22">
        <f>(1+B317)*IF(AND(Painel_diario!$H314="EU_JD",Painel_diario!$J314=1),EXP(Painel_diario!$L314),1)-1</f>
        <v/>
      </c>
      <c r="C318" s="22">
        <f>(1+C317)*IF(AND(Painel_diario!$H314="EU_JU",Painel_diario!$J314=1),EXP(Painel_diario!$L314),1)-1</f>
        <v/>
      </c>
      <c r="D318" s="22">
        <f>(1+D317)*IF(AND(Painel_diario!$H314="ED_JD",Painel_diario!$J314=1),EXP(Painel_diario!$L314),1)-1</f>
        <v/>
      </c>
      <c r="E318" s="22">
        <f>(1+E317)*IF(AND(Painel_diario!$H314="ED_JU",Painel_diario!$J314=1),EXP(Painel_diario!$L314),1)-1</f>
        <v/>
      </c>
    </row>
    <row r="319">
      <c r="A319" s="25" t="n">
        <v>39275</v>
      </c>
      <c r="B319" s="22">
        <f>(1+B318)*IF(AND(Painel_diario!$H315="EU_JD",Painel_diario!$J315=1),EXP(Painel_diario!$L315),1)-1</f>
        <v/>
      </c>
      <c r="C319" s="22">
        <f>(1+C318)*IF(AND(Painel_diario!$H315="EU_JU",Painel_diario!$J315=1),EXP(Painel_diario!$L315),1)-1</f>
        <v/>
      </c>
      <c r="D319" s="22">
        <f>(1+D318)*IF(AND(Painel_diario!$H315="ED_JD",Painel_diario!$J315=1),EXP(Painel_diario!$L315),1)-1</f>
        <v/>
      </c>
      <c r="E319" s="22">
        <f>(1+E318)*IF(AND(Painel_diario!$H315="ED_JU",Painel_diario!$J315=1),EXP(Painel_diario!$L315),1)-1</f>
        <v/>
      </c>
    </row>
    <row r="320">
      <c r="A320" s="25" t="n">
        <v>39276</v>
      </c>
      <c r="B320" s="22">
        <f>(1+B319)*IF(AND(Painel_diario!$H316="EU_JD",Painel_diario!$J316=1),EXP(Painel_diario!$L316),1)-1</f>
        <v/>
      </c>
      <c r="C320" s="22">
        <f>(1+C319)*IF(AND(Painel_diario!$H316="EU_JU",Painel_diario!$J316=1),EXP(Painel_diario!$L316),1)-1</f>
        <v/>
      </c>
      <c r="D320" s="22">
        <f>(1+D319)*IF(AND(Painel_diario!$H316="ED_JD",Painel_diario!$J316=1),EXP(Painel_diario!$L316),1)-1</f>
        <v/>
      </c>
      <c r="E320" s="22">
        <f>(1+E319)*IF(AND(Painel_diario!$H316="ED_JU",Painel_diario!$J316=1),EXP(Painel_diario!$L316),1)-1</f>
        <v/>
      </c>
    </row>
    <row r="321">
      <c r="A321" s="25" t="n">
        <v>39279</v>
      </c>
      <c r="B321" s="22">
        <f>(1+B320)*IF(AND(Painel_diario!$H317="EU_JD",Painel_diario!$J317=1),EXP(Painel_diario!$L317),1)-1</f>
        <v/>
      </c>
      <c r="C321" s="22">
        <f>(1+C320)*IF(AND(Painel_diario!$H317="EU_JU",Painel_diario!$J317=1),EXP(Painel_diario!$L317),1)-1</f>
        <v/>
      </c>
      <c r="D321" s="22">
        <f>(1+D320)*IF(AND(Painel_diario!$H317="ED_JD",Painel_diario!$J317=1),EXP(Painel_diario!$L317),1)-1</f>
        <v/>
      </c>
      <c r="E321" s="22">
        <f>(1+E320)*IF(AND(Painel_diario!$H317="ED_JU",Painel_diario!$J317=1),EXP(Painel_diario!$L317),1)-1</f>
        <v/>
      </c>
    </row>
    <row r="322">
      <c r="A322" s="25" t="n">
        <v>39280</v>
      </c>
      <c r="B322" s="22">
        <f>(1+B321)*IF(AND(Painel_diario!$H318="EU_JD",Painel_diario!$J318=1),EXP(Painel_diario!$L318),1)-1</f>
        <v/>
      </c>
      <c r="C322" s="22">
        <f>(1+C321)*IF(AND(Painel_diario!$H318="EU_JU",Painel_diario!$J318=1),EXP(Painel_diario!$L318),1)-1</f>
        <v/>
      </c>
      <c r="D322" s="22">
        <f>(1+D321)*IF(AND(Painel_diario!$H318="ED_JD",Painel_diario!$J318=1),EXP(Painel_diario!$L318),1)-1</f>
        <v/>
      </c>
      <c r="E322" s="22">
        <f>(1+E321)*IF(AND(Painel_diario!$H318="ED_JU",Painel_diario!$J318=1),EXP(Painel_diario!$L318),1)-1</f>
        <v/>
      </c>
    </row>
    <row r="323">
      <c r="A323" s="25" t="n">
        <v>39281</v>
      </c>
      <c r="B323" s="22">
        <f>(1+B322)*IF(AND(Painel_diario!$H319="EU_JD",Painel_diario!$J319=1),EXP(Painel_diario!$L319),1)-1</f>
        <v/>
      </c>
      <c r="C323" s="22">
        <f>(1+C322)*IF(AND(Painel_diario!$H319="EU_JU",Painel_diario!$J319=1),EXP(Painel_diario!$L319),1)-1</f>
        <v/>
      </c>
      <c r="D323" s="22">
        <f>(1+D322)*IF(AND(Painel_diario!$H319="ED_JD",Painel_diario!$J319=1),EXP(Painel_diario!$L319),1)-1</f>
        <v/>
      </c>
      <c r="E323" s="22">
        <f>(1+E322)*IF(AND(Painel_diario!$H319="ED_JU",Painel_diario!$J319=1),EXP(Painel_diario!$L319),1)-1</f>
        <v/>
      </c>
    </row>
    <row r="324">
      <c r="A324" s="25" t="n">
        <v>39282</v>
      </c>
      <c r="B324" s="22">
        <f>(1+B323)*IF(AND(Painel_diario!$H320="EU_JD",Painel_diario!$J320=1),EXP(Painel_diario!$L320),1)-1</f>
        <v/>
      </c>
      <c r="C324" s="22">
        <f>(1+C323)*IF(AND(Painel_diario!$H320="EU_JU",Painel_diario!$J320=1),EXP(Painel_diario!$L320),1)-1</f>
        <v/>
      </c>
      <c r="D324" s="22">
        <f>(1+D323)*IF(AND(Painel_diario!$H320="ED_JD",Painel_diario!$J320=1),EXP(Painel_diario!$L320),1)-1</f>
        <v/>
      </c>
      <c r="E324" s="22">
        <f>(1+E323)*IF(AND(Painel_diario!$H320="ED_JU",Painel_diario!$J320=1),EXP(Painel_diario!$L320),1)-1</f>
        <v/>
      </c>
    </row>
    <row r="325">
      <c r="A325" s="25" t="n">
        <v>39283</v>
      </c>
      <c r="B325" s="22">
        <f>(1+B324)*IF(AND(Painel_diario!$H321="EU_JD",Painel_diario!$J321=1),EXP(Painel_diario!$L321),1)-1</f>
        <v/>
      </c>
      <c r="C325" s="22">
        <f>(1+C324)*IF(AND(Painel_diario!$H321="EU_JU",Painel_diario!$J321=1),EXP(Painel_diario!$L321),1)-1</f>
        <v/>
      </c>
      <c r="D325" s="22">
        <f>(1+D324)*IF(AND(Painel_diario!$H321="ED_JD",Painel_diario!$J321=1),EXP(Painel_diario!$L321),1)-1</f>
        <v/>
      </c>
      <c r="E325" s="22">
        <f>(1+E324)*IF(AND(Painel_diario!$H321="ED_JU",Painel_diario!$J321=1),EXP(Painel_diario!$L321),1)-1</f>
        <v/>
      </c>
    </row>
    <row r="326">
      <c r="A326" s="25" t="n">
        <v>39286</v>
      </c>
      <c r="B326" s="22">
        <f>(1+B325)*IF(AND(Painel_diario!$H322="EU_JD",Painel_diario!$J322=1),EXP(Painel_diario!$L322),1)-1</f>
        <v/>
      </c>
      <c r="C326" s="22">
        <f>(1+C325)*IF(AND(Painel_diario!$H322="EU_JU",Painel_diario!$J322=1),EXP(Painel_diario!$L322),1)-1</f>
        <v/>
      </c>
      <c r="D326" s="22">
        <f>(1+D325)*IF(AND(Painel_diario!$H322="ED_JD",Painel_diario!$J322=1),EXP(Painel_diario!$L322),1)-1</f>
        <v/>
      </c>
      <c r="E326" s="22">
        <f>(1+E325)*IF(AND(Painel_diario!$H322="ED_JU",Painel_diario!$J322=1),EXP(Painel_diario!$L322),1)-1</f>
        <v/>
      </c>
    </row>
    <row r="327">
      <c r="A327" s="25" t="n">
        <v>39287</v>
      </c>
      <c r="B327" s="22">
        <f>(1+B326)*IF(AND(Painel_diario!$H323="EU_JD",Painel_diario!$J323=1),EXP(Painel_diario!$L323),1)-1</f>
        <v/>
      </c>
      <c r="C327" s="22">
        <f>(1+C326)*IF(AND(Painel_diario!$H323="EU_JU",Painel_diario!$J323=1),EXP(Painel_diario!$L323),1)-1</f>
        <v/>
      </c>
      <c r="D327" s="22">
        <f>(1+D326)*IF(AND(Painel_diario!$H323="ED_JD",Painel_diario!$J323=1),EXP(Painel_diario!$L323),1)-1</f>
        <v/>
      </c>
      <c r="E327" s="22">
        <f>(1+E326)*IF(AND(Painel_diario!$H323="ED_JU",Painel_diario!$J323=1),EXP(Painel_diario!$L323),1)-1</f>
        <v/>
      </c>
    </row>
    <row r="328">
      <c r="A328" s="25" t="n">
        <v>39288</v>
      </c>
      <c r="B328" s="22">
        <f>(1+B327)*IF(AND(Painel_diario!$H324="EU_JD",Painel_diario!$J324=1),EXP(Painel_diario!$L324),1)-1</f>
        <v/>
      </c>
      <c r="C328" s="22">
        <f>(1+C327)*IF(AND(Painel_diario!$H324="EU_JU",Painel_diario!$J324=1),EXP(Painel_diario!$L324),1)-1</f>
        <v/>
      </c>
      <c r="D328" s="22">
        <f>(1+D327)*IF(AND(Painel_diario!$H324="ED_JD",Painel_diario!$J324=1),EXP(Painel_diario!$L324),1)-1</f>
        <v/>
      </c>
      <c r="E328" s="22">
        <f>(1+E327)*IF(AND(Painel_diario!$H324="ED_JU",Painel_diario!$J324=1),EXP(Painel_diario!$L324),1)-1</f>
        <v/>
      </c>
    </row>
    <row r="329">
      <c r="A329" s="25" t="n">
        <v>39289</v>
      </c>
      <c r="B329" s="22">
        <f>(1+B328)*IF(AND(Painel_diario!$H325="EU_JD",Painel_diario!$J325=1),EXP(Painel_diario!$L325),1)-1</f>
        <v/>
      </c>
      <c r="C329" s="22">
        <f>(1+C328)*IF(AND(Painel_diario!$H325="EU_JU",Painel_diario!$J325=1),EXP(Painel_diario!$L325),1)-1</f>
        <v/>
      </c>
      <c r="D329" s="22">
        <f>(1+D328)*IF(AND(Painel_diario!$H325="ED_JD",Painel_diario!$J325=1),EXP(Painel_diario!$L325),1)-1</f>
        <v/>
      </c>
      <c r="E329" s="22">
        <f>(1+E328)*IF(AND(Painel_diario!$H325="ED_JU",Painel_diario!$J325=1),EXP(Painel_diario!$L325),1)-1</f>
        <v/>
      </c>
    </row>
    <row r="330">
      <c r="A330" s="25" t="n">
        <v>39290</v>
      </c>
      <c r="B330" s="22">
        <f>(1+B329)*IF(AND(Painel_diario!$H326="EU_JD",Painel_diario!$J326=1),EXP(Painel_diario!$L326),1)-1</f>
        <v/>
      </c>
      <c r="C330" s="22">
        <f>(1+C329)*IF(AND(Painel_diario!$H326="EU_JU",Painel_diario!$J326=1),EXP(Painel_diario!$L326),1)-1</f>
        <v/>
      </c>
      <c r="D330" s="22">
        <f>(1+D329)*IF(AND(Painel_diario!$H326="ED_JD",Painel_diario!$J326=1),EXP(Painel_diario!$L326),1)-1</f>
        <v/>
      </c>
      <c r="E330" s="22">
        <f>(1+E329)*IF(AND(Painel_diario!$H326="ED_JU",Painel_diario!$J326=1),EXP(Painel_diario!$L326),1)-1</f>
        <v/>
      </c>
    </row>
    <row r="331">
      <c r="A331" s="25" t="n">
        <v>39293</v>
      </c>
      <c r="B331" s="22">
        <f>(1+B330)*IF(AND(Painel_diario!$H327="EU_JD",Painel_diario!$J327=1),EXP(Painel_diario!$L327),1)-1</f>
        <v/>
      </c>
      <c r="C331" s="22">
        <f>(1+C330)*IF(AND(Painel_diario!$H327="EU_JU",Painel_diario!$J327=1),EXP(Painel_diario!$L327),1)-1</f>
        <v/>
      </c>
      <c r="D331" s="22">
        <f>(1+D330)*IF(AND(Painel_diario!$H327="ED_JD",Painel_diario!$J327=1),EXP(Painel_diario!$L327),1)-1</f>
        <v/>
      </c>
      <c r="E331" s="22">
        <f>(1+E330)*IF(AND(Painel_diario!$H327="ED_JU",Painel_diario!$J327=1),EXP(Painel_diario!$L327),1)-1</f>
        <v/>
      </c>
    </row>
    <row r="332">
      <c r="A332" s="25" t="n">
        <v>39294</v>
      </c>
      <c r="B332" s="22">
        <f>(1+B331)*IF(AND(Painel_diario!$H328="EU_JD",Painel_diario!$J328=1),EXP(Painel_diario!$L328),1)-1</f>
        <v/>
      </c>
      <c r="C332" s="22">
        <f>(1+C331)*IF(AND(Painel_diario!$H328="EU_JU",Painel_diario!$J328=1),EXP(Painel_diario!$L328),1)-1</f>
        <v/>
      </c>
      <c r="D332" s="22">
        <f>(1+D331)*IF(AND(Painel_diario!$H328="ED_JD",Painel_diario!$J328=1),EXP(Painel_diario!$L328),1)-1</f>
        <v/>
      </c>
      <c r="E332" s="22">
        <f>(1+E331)*IF(AND(Painel_diario!$H328="ED_JU",Painel_diario!$J328=1),EXP(Painel_diario!$L328),1)-1</f>
        <v/>
      </c>
    </row>
    <row r="333">
      <c r="A333" s="25" t="n">
        <v>39295</v>
      </c>
      <c r="B333" s="22">
        <f>(1+B332)*IF(AND(Painel_diario!$H329="EU_JD",Painel_diario!$J329=1),EXP(Painel_diario!$L329),1)-1</f>
        <v/>
      </c>
      <c r="C333" s="22">
        <f>(1+C332)*IF(AND(Painel_diario!$H329="EU_JU",Painel_diario!$J329=1),EXP(Painel_diario!$L329),1)-1</f>
        <v/>
      </c>
      <c r="D333" s="22">
        <f>(1+D332)*IF(AND(Painel_diario!$H329="ED_JD",Painel_diario!$J329=1),EXP(Painel_diario!$L329),1)-1</f>
        <v/>
      </c>
      <c r="E333" s="22">
        <f>(1+E332)*IF(AND(Painel_diario!$H329="ED_JU",Painel_diario!$J329=1),EXP(Painel_diario!$L329),1)-1</f>
        <v/>
      </c>
    </row>
    <row r="334">
      <c r="A334" s="25" t="n">
        <v>39296</v>
      </c>
      <c r="B334" s="22">
        <f>(1+B333)*IF(AND(Painel_diario!$H330="EU_JD",Painel_diario!$J330=1),EXP(Painel_diario!$L330),1)-1</f>
        <v/>
      </c>
      <c r="C334" s="22">
        <f>(1+C333)*IF(AND(Painel_diario!$H330="EU_JU",Painel_diario!$J330=1),EXP(Painel_diario!$L330),1)-1</f>
        <v/>
      </c>
      <c r="D334" s="22">
        <f>(1+D333)*IF(AND(Painel_diario!$H330="ED_JD",Painel_diario!$J330=1),EXP(Painel_diario!$L330),1)-1</f>
        <v/>
      </c>
      <c r="E334" s="22">
        <f>(1+E333)*IF(AND(Painel_diario!$H330="ED_JU",Painel_diario!$J330=1),EXP(Painel_diario!$L330),1)-1</f>
        <v/>
      </c>
    </row>
    <row r="335">
      <c r="A335" s="25" t="n">
        <v>39297</v>
      </c>
      <c r="B335" s="22">
        <f>(1+B334)*IF(AND(Painel_diario!$H331="EU_JD",Painel_diario!$J331=1),EXP(Painel_diario!$L331),1)-1</f>
        <v/>
      </c>
      <c r="C335" s="22">
        <f>(1+C334)*IF(AND(Painel_diario!$H331="EU_JU",Painel_diario!$J331=1),EXP(Painel_diario!$L331),1)-1</f>
        <v/>
      </c>
      <c r="D335" s="22">
        <f>(1+D334)*IF(AND(Painel_diario!$H331="ED_JD",Painel_diario!$J331=1),EXP(Painel_diario!$L331),1)-1</f>
        <v/>
      </c>
      <c r="E335" s="22">
        <f>(1+E334)*IF(AND(Painel_diario!$H331="ED_JU",Painel_diario!$J331=1),EXP(Painel_diario!$L331),1)-1</f>
        <v/>
      </c>
    </row>
    <row r="336">
      <c r="A336" s="25" t="n">
        <v>39300</v>
      </c>
      <c r="B336" s="22">
        <f>(1+B335)*IF(AND(Painel_diario!$H332="EU_JD",Painel_diario!$J332=1),EXP(Painel_diario!$L332),1)-1</f>
        <v/>
      </c>
      <c r="C336" s="22">
        <f>(1+C335)*IF(AND(Painel_diario!$H332="EU_JU",Painel_diario!$J332=1),EXP(Painel_diario!$L332),1)-1</f>
        <v/>
      </c>
      <c r="D336" s="22">
        <f>(1+D335)*IF(AND(Painel_diario!$H332="ED_JD",Painel_diario!$J332=1),EXP(Painel_diario!$L332),1)-1</f>
        <v/>
      </c>
      <c r="E336" s="22">
        <f>(1+E335)*IF(AND(Painel_diario!$H332="ED_JU",Painel_diario!$J332=1),EXP(Painel_diario!$L332),1)-1</f>
        <v/>
      </c>
    </row>
    <row r="337">
      <c r="A337" s="25" t="n">
        <v>39301</v>
      </c>
      <c r="B337" s="22">
        <f>(1+B336)*IF(AND(Painel_diario!$H333="EU_JD",Painel_diario!$J333=1),EXP(Painel_diario!$L333),1)-1</f>
        <v/>
      </c>
      <c r="C337" s="22">
        <f>(1+C336)*IF(AND(Painel_diario!$H333="EU_JU",Painel_diario!$J333=1),EXP(Painel_diario!$L333),1)-1</f>
        <v/>
      </c>
      <c r="D337" s="22">
        <f>(1+D336)*IF(AND(Painel_diario!$H333="ED_JD",Painel_diario!$J333=1),EXP(Painel_diario!$L333),1)-1</f>
        <v/>
      </c>
      <c r="E337" s="22">
        <f>(1+E336)*IF(AND(Painel_diario!$H333="ED_JU",Painel_diario!$J333=1),EXP(Painel_diario!$L333),1)-1</f>
        <v/>
      </c>
    </row>
    <row r="338">
      <c r="A338" s="25" t="n">
        <v>39302</v>
      </c>
      <c r="B338" s="22">
        <f>(1+B337)*IF(AND(Painel_diario!$H334="EU_JD",Painel_diario!$J334=1),EXP(Painel_diario!$L334),1)-1</f>
        <v/>
      </c>
      <c r="C338" s="22">
        <f>(1+C337)*IF(AND(Painel_diario!$H334="EU_JU",Painel_diario!$J334=1),EXP(Painel_diario!$L334),1)-1</f>
        <v/>
      </c>
      <c r="D338" s="22">
        <f>(1+D337)*IF(AND(Painel_diario!$H334="ED_JD",Painel_diario!$J334=1),EXP(Painel_diario!$L334),1)-1</f>
        <v/>
      </c>
      <c r="E338" s="22">
        <f>(1+E337)*IF(AND(Painel_diario!$H334="ED_JU",Painel_diario!$J334=1),EXP(Painel_diario!$L334),1)-1</f>
        <v/>
      </c>
    </row>
    <row r="339">
      <c r="A339" s="25" t="n">
        <v>39303</v>
      </c>
      <c r="B339" s="22">
        <f>(1+B338)*IF(AND(Painel_diario!$H335="EU_JD",Painel_diario!$J335=1),EXP(Painel_diario!$L335),1)-1</f>
        <v/>
      </c>
      <c r="C339" s="22">
        <f>(1+C338)*IF(AND(Painel_diario!$H335="EU_JU",Painel_diario!$J335=1),EXP(Painel_diario!$L335),1)-1</f>
        <v/>
      </c>
      <c r="D339" s="22">
        <f>(1+D338)*IF(AND(Painel_diario!$H335="ED_JD",Painel_diario!$J335=1),EXP(Painel_diario!$L335),1)-1</f>
        <v/>
      </c>
      <c r="E339" s="22">
        <f>(1+E338)*IF(AND(Painel_diario!$H335="ED_JU",Painel_diario!$J335=1),EXP(Painel_diario!$L335),1)-1</f>
        <v/>
      </c>
    </row>
    <row r="340">
      <c r="A340" s="25" t="n">
        <v>39304</v>
      </c>
      <c r="B340" s="22">
        <f>(1+B339)*IF(AND(Painel_diario!$H336="EU_JD",Painel_diario!$J336=1),EXP(Painel_diario!$L336),1)-1</f>
        <v/>
      </c>
      <c r="C340" s="22">
        <f>(1+C339)*IF(AND(Painel_diario!$H336="EU_JU",Painel_diario!$J336=1),EXP(Painel_diario!$L336),1)-1</f>
        <v/>
      </c>
      <c r="D340" s="22">
        <f>(1+D339)*IF(AND(Painel_diario!$H336="ED_JD",Painel_diario!$J336=1),EXP(Painel_diario!$L336),1)-1</f>
        <v/>
      </c>
      <c r="E340" s="22">
        <f>(1+E339)*IF(AND(Painel_diario!$H336="ED_JU",Painel_diario!$J336=1),EXP(Painel_diario!$L336),1)-1</f>
        <v/>
      </c>
    </row>
    <row r="341">
      <c r="A341" s="25" t="n">
        <v>39307</v>
      </c>
      <c r="B341" s="22">
        <f>(1+B340)*IF(AND(Painel_diario!$H337="EU_JD",Painel_diario!$J337=1),EXP(Painel_diario!$L337),1)-1</f>
        <v/>
      </c>
      <c r="C341" s="22">
        <f>(1+C340)*IF(AND(Painel_diario!$H337="EU_JU",Painel_diario!$J337=1),EXP(Painel_diario!$L337),1)-1</f>
        <v/>
      </c>
      <c r="D341" s="22">
        <f>(1+D340)*IF(AND(Painel_diario!$H337="ED_JD",Painel_diario!$J337=1),EXP(Painel_diario!$L337),1)-1</f>
        <v/>
      </c>
      <c r="E341" s="22">
        <f>(1+E340)*IF(AND(Painel_diario!$H337="ED_JU",Painel_diario!$J337=1),EXP(Painel_diario!$L337),1)-1</f>
        <v/>
      </c>
    </row>
    <row r="342">
      <c r="A342" s="25" t="n">
        <v>39308</v>
      </c>
      <c r="B342" s="22">
        <f>(1+B341)*IF(AND(Painel_diario!$H338="EU_JD",Painel_diario!$J338=1),EXP(Painel_diario!$L338),1)-1</f>
        <v/>
      </c>
      <c r="C342" s="22">
        <f>(1+C341)*IF(AND(Painel_diario!$H338="EU_JU",Painel_diario!$J338=1),EXP(Painel_diario!$L338),1)-1</f>
        <v/>
      </c>
      <c r="D342" s="22">
        <f>(1+D341)*IF(AND(Painel_diario!$H338="ED_JD",Painel_diario!$J338=1),EXP(Painel_diario!$L338),1)-1</f>
        <v/>
      </c>
      <c r="E342" s="22">
        <f>(1+E341)*IF(AND(Painel_diario!$H338="ED_JU",Painel_diario!$J338=1),EXP(Painel_diario!$L338),1)-1</f>
        <v/>
      </c>
    </row>
    <row r="343">
      <c r="A343" s="25" t="n">
        <v>39309</v>
      </c>
      <c r="B343" s="22">
        <f>(1+B342)*IF(AND(Painel_diario!$H339="EU_JD",Painel_diario!$J339=1),EXP(Painel_diario!$L339),1)-1</f>
        <v/>
      </c>
      <c r="C343" s="22">
        <f>(1+C342)*IF(AND(Painel_diario!$H339="EU_JU",Painel_diario!$J339=1),EXP(Painel_diario!$L339),1)-1</f>
        <v/>
      </c>
      <c r="D343" s="22">
        <f>(1+D342)*IF(AND(Painel_diario!$H339="ED_JD",Painel_diario!$J339=1),EXP(Painel_diario!$L339),1)-1</f>
        <v/>
      </c>
      <c r="E343" s="22">
        <f>(1+E342)*IF(AND(Painel_diario!$H339="ED_JU",Painel_diario!$J339=1),EXP(Painel_diario!$L339),1)-1</f>
        <v/>
      </c>
    </row>
    <row r="344">
      <c r="A344" s="25" t="n">
        <v>39310</v>
      </c>
      <c r="B344" s="22">
        <f>(1+B343)*IF(AND(Painel_diario!$H340="EU_JD",Painel_diario!$J340=1),EXP(Painel_diario!$L340),1)-1</f>
        <v/>
      </c>
      <c r="C344" s="22">
        <f>(1+C343)*IF(AND(Painel_diario!$H340="EU_JU",Painel_diario!$J340=1),EXP(Painel_diario!$L340),1)-1</f>
        <v/>
      </c>
      <c r="D344" s="22">
        <f>(1+D343)*IF(AND(Painel_diario!$H340="ED_JD",Painel_diario!$J340=1),EXP(Painel_diario!$L340),1)-1</f>
        <v/>
      </c>
      <c r="E344" s="22">
        <f>(1+E343)*IF(AND(Painel_diario!$H340="ED_JU",Painel_diario!$J340=1),EXP(Painel_diario!$L340),1)-1</f>
        <v/>
      </c>
    </row>
    <row r="345">
      <c r="A345" s="25" t="n">
        <v>39311</v>
      </c>
      <c r="B345" s="22">
        <f>(1+B344)*IF(AND(Painel_diario!$H341="EU_JD",Painel_diario!$J341=1),EXP(Painel_diario!$L341),1)-1</f>
        <v/>
      </c>
      <c r="C345" s="22">
        <f>(1+C344)*IF(AND(Painel_diario!$H341="EU_JU",Painel_diario!$J341=1),EXP(Painel_diario!$L341),1)-1</f>
        <v/>
      </c>
      <c r="D345" s="22">
        <f>(1+D344)*IF(AND(Painel_diario!$H341="ED_JD",Painel_diario!$J341=1),EXP(Painel_diario!$L341),1)-1</f>
        <v/>
      </c>
      <c r="E345" s="22">
        <f>(1+E344)*IF(AND(Painel_diario!$H341="ED_JU",Painel_diario!$J341=1),EXP(Painel_diario!$L341),1)-1</f>
        <v/>
      </c>
    </row>
    <row r="346">
      <c r="A346" s="25" t="n">
        <v>39314</v>
      </c>
      <c r="B346" s="22">
        <f>(1+B345)*IF(AND(Painel_diario!$H342="EU_JD",Painel_diario!$J342=1),EXP(Painel_diario!$L342),1)-1</f>
        <v/>
      </c>
      <c r="C346" s="22">
        <f>(1+C345)*IF(AND(Painel_diario!$H342="EU_JU",Painel_diario!$J342=1),EXP(Painel_diario!$L342),1)-1</f>
        <v/>
      </c>
      <c r="D346" s="22">
        <f>(1+D345)*IF(AND(Painel_diario!$H342="ED_JD",Painel_diario!$J342=1),EXP(Painel_diario!$L342),1)-1</f>
        <v/>
      </c>
      <c r="E346" s="22">
        <f>(1+E345)*IF(AND(Painel_diario!$H342="ED_JU",Painel_diario!$J342=1),EXP(Painel_diario!$L342),1)-1</f>
        <v/>
      </c>
    </row>
    <row r="347">
      <c r="A347" s="25" t="n">
        <v>39315</v>
      </c>
      <c r="B347" s="22">
        <f>(1+B346)*IF(AND(Painel_diario!$H343="EU_JD",Painel_diario!$J343=1),EXP(Painel_diario!$L343),1)-1</f>
        <v/>
      </c>
      <c r="C347" s="22">
        <f>(1+C346)*IF(AND(Painel_diario!$H343="EU_JU",Painel_diario!$J343=1),EXP(Painel_diario!$L343),1)-1</f>
        <v/>
      </c>
      <c r="D347" s="22">
        <f>(1+D346)*IF(AND(Painel_diario!$H343="ED_JD",Painel_diario!$J343=1),EXP(Painel_diario!$L343),1)-1</f>
        <v/>
      </c>
      <c r="E347" s="22">
        <f>(1+E346)*IF(AND(Painel_diario!$H343="ED_JU",Painel_diario!$J343=1),EXP(Painel_diario!$L343),1)-1</f>
        <v/>
      </c>
    </row>
    <row r="348">
      <c r="A348" s="25" t="n">
        <v>39316</v>
      </c>
      <c r="B348" s="22">
        <f>(1+B347)*IF(AND(Painel_diario!$H344="EU_JD",Painel_diario!$J344=1),EXP(Painel_diario!$L344),1)-1</f>
        <v/>
      </c>
      <c r="C348" s="22">
        <f>(1+C347)*IF(AND(Painel_diario!$H344="EU_JU",Painel_diario!$J344=1),EXP(Painel_diario!$L344),1)-1</f>
        <v/>
      </c>
      <c r="D348" s="22">
        <f>(1+D347)*IF(AND(Painel_diario!$H344="ED_JD",Painel_diario!$J344=1),EXP(Painel_diario!$L344),1)-1</f>
        <v/>
      </c>
      <c r="E348" s="22">
        <f>(1+E347)*IF(AND(Painel_diario!$H344="ED_JU",Painel_diario!$J344=1),EXP(Painel_diario!$L344),1)-1</f>
        <v/>
      </c>
    </row>
    <row r="349">
      <c r="A349" s="25" t="n">
        <v>39317</v>
      </c>
      <c r="B349" s="22">
        <f>(1+B348)*IF(AND(Painel_diario!$H345="EU_JD",Painel_diario!$J345=1),EXP(Painel_diario!$L345),1)-1</f>
        <v/>
      </c>
      <c r="C349" s="22">
        <f>(1+C348)*IF(AND(Painel_diario!$H345="EU_JU",Painel_diario!$J345=1),EXP(Painel_diario!$L345),1)-1</f>
        <v/>
      </c>
      <c r="D349" s="22">
        <f>(1+D348)*IF(AND(Painel_diario!$H345="ED_JD",Painel_diario!$J345=1),EXP(Painel_diario!$L345),1)-1</f>
        <v/>
      </c>
      <c r="E349" s="22">
        <f>(1+E348)*IF(AND(Painel_diario!$H345="ED_JU",Painel_diario!$J345=1),EXP(Painel_diario!$L345),1)-1</f>
        <v/>
      </c>
    </row>
    <row r="350">
      <c r="A350" s="25" t="n">
        <v>39318</v>
      </c>
      <c r="B350" s="22">
        <f>(1+B349)*IF(AND(Painel_diario!$H346="EU_JD",Painel_diario!$J346=1),EXP(Painel_diario!$L346),1)-1</f>
        <v/>
      </c>
      <c r="C350" s="22">
        <f>(1+C349)*IF(AND(Painel_diario!$H346="EU_JU",Painel_diario!$J346=1),EXP(Painel_diario!$L346),1)-1</f>
        <v/>
      </c>
      <c r="D350" s="22">
        <f>(1+D349)*IF(AND(Painel_diario!$H346="ED_JD",Painel_diario!$J346=1),EXP(Painel_diario!$L346),1)-1</f>
        <v/>
      </c>
      <c r="E350" s="22">
        <f>(1+E349)*IF(AND(Painel_diario!$H346="ED_JU",Painel_diario!$J346=1),EXP(Painel_diario!$L346),1)-1</f>
        <v/>
      </c>
    </row>
    <row r="351">
      <c r="A351" s="25" t="n">
        <v>39321</v>
      </c>
      <c r="B351" s="22">
        <f>(1+B350)*IF(AND(Painel_diario!$H347="EU_JD",Painel_diario!$J347=1),EXP(Painel_diario!$L347),1)-1</f>
        <v/>
      </c>
      <c r="C351" s="22">
        <f>(1+C350)*IF(AND(Painel_diario!$H347="EU_JU",Painel_diario!$J347=1),EXP(Painel_diario!$L347),1)-1</f>
        <v/>
      </c>
      <c r="D351" s="22">
        <f>(1+D350)*IF(AND(Painel_diario!$H347="ED_JD",Painel_diario!$J347=1),EXP(Painel_diario!$L347),1)-1</f>
        <v/>
      </c>
      <c r="E351" s="22">
        <f>(1+E350)*IF(AND(Painel_diario!$H347="ED_JU",Painel_diario!$J347=1),EXP(Painel_diario!$L347),1)-1</f>
        <v/>
      </c>
    </row>
    <row r="352">
      <c r="A352" s="25" t="n">
        <v>39322</v>
      </c>
      <c r="B352" s="22">
        <f>(1+B351)*IF(AND(Painel_diario!$H348="EU_JD",Painel_diario!$J348=1),EXP(Painel_diario!$L348),1)-1</f>
        <v/>
      </c>
      <c r="C352" s="22">
        <f>(1+C351)*IF(AND(Painel_diario!$H348="EU_JU",Painel_diario!$J348=1),EXP(Painel_diario!$L348),1)-1</f>
        <v/>
      </c>
      <c r="D352" s="22">
        <f>(1+D351)*IF(AND(Painel_diario!$H348="ED_JD",Painel_diario!$J348=1),EXP(Painel_diario!$L348),1)-1</f>
        <v/>
      </c>
      <c r="E352" s="22">
        <f>(1+E351)*IF(AND(Painel_diario!$H348="ED_JU",Painel_diario!$J348=1),EXP(Painel_diario!$L348),1)-1</f>
        <v/>
      </c>
    </row>
    <row r="353">
      <c r="A353" s="25" t="n">
        <v>39323</v>
      </c>
      <c r="B353" s="22">
        <f>(1+B352)*IF(AND(Painel_diario!$H349="EU_JD",Painel_diario!$J349=1),EXP(Painel_diario!$L349),1)-1</f>
        <v/>
      </c>
      <c r="C353" s="22">
        <f>(1+C352)*IF(AND(Painel_diario!$H349="EU_JU",Painel_diario!$J349=1),EXP(Painel_diario!$L349),1)-1</f>
        <v/>
      </c>
      <c r="D353" s="22">
        <f>(1+D352)*IF(AND(Painel_diario!$H349="ED_JD",Painel_diario!$J349=1),EXP(Painel_diario!$L349),1)-1</f>
        <v/>
      </c>
      <c r="E353" s="22">
        <f>(1+E352)*IF(AND(Painel_diario!$H349="ED_JU",Painel_diario!$J349=1),EXP(Painel_diario!$L349),1)-1</f>
        <v/>
      </c>
    </row>
    <row r="354">
      <c r="A354" s="25" t="n">
        <v>39324</v>
      </c>
      <c r="B354" s="22">
        <f>(1+B353)*IF(AND(Painel_diario!$H350="EU_JD",Painel_diario!$J350=1),EXP(Painel_diario!$L350),1)-1</f>
        <v/>
      </c>
      <c r="C354" s="22">
        <f>(1+C353)*IF(AND(Painel_diario!$H350="EU_JU",Painel_diario!$J350=1),EXP(Painel_diario!$L350),1)-1</f>
        <v/>
      </c>
      <c r="D354" s="22">
        <f>(1+D353)*IF(AND(Painel_diario!$H350="ED_JD",Painel_diario!$J350=1),EXP(Painel_diario!$L350),1)-1</f>
        <v/>
      </c>
      <c r="E354" s="22">
        <f>(1+E353)*IF(AND(Painel_diario!$H350="ED_JU",Painel_diario!$J350=1),EXP(Painel_diario!$L350),1)-1</f>
        <v/>
      </c>
    </row>
    <row r="355">
      <c r="A355" s="25" t="n">
        <v>39325</v>
      </c>
      <c r="B355" s="22">
        <f>(1+B354)*IF(AND(Painel_diario!$H351="EU_JD",Painel_diario!$J351=1),EXP(Painel_diario!$L351),1)-1</f>
        <v/>
      </c>
      <c r="C355" s="22">
        <f>(1+C354)*IF(AND(Painel_diario!$H351="EU_JU",Painel_diario!$J351=1),EXP(Painel_diario!$L351),1)-1</f>
        <v/>
      </c>
      <c r="D355" s="22">
        <f>(1+D354)*IF(AND(Painel_diario!$H351="ED_JD",Painel_diario!$J351=1),EXP(Painel_diario!$L351),1)-1</f>
        <v/>
      </c>
      <c r="E355" s="22">
        <f>(1+E354)*IF(AND(Painel_diario!$H351="ED_JU",Painel_diario!$J351=1),EXP(Painel_diario!$L351),1)-1</f>
        <v/>
      </c>
    </row>
    <row r="356">
      <c r="A356" s="25" t="n">
        <v>39328</v>
      </c>
      <c r="B356" s="22">
        <f>(1+B355)*IF(AND(Painel_diario!$H352="EU_JD",Painel_diario!$J352=1),EXP(Painel_diario!$L352),1)-1</f>
        <v/>
      </c>
      <c r="C356" s="22">
        <f>(1+C355)*IF(AND(Painel_diario!$H352="EU_JU",Painel_diario!$J352=1),EXP(Painel_diario!$L352),1)-1</f>
        <v/>
      </c>
      <c r="D356" s="22">
        <f>(1+D355)*IF(AND(Painel_diario!$H352="ED_JD",Painel_diario!$J352=1),EXP(Painel_diario!$L352),1)-1</f>
        <v/>
      </c>
      <c r="E356" s="22">
        <f>(1+E355)*IF(AND(Painel_diario!$H352="ED_JU",Painel_diario!$J352=1),EXP(Painel_diario!$L352),1)-1</f>
        <v/>
      </c>
    </row>
    <row r="357">
      <c r="A357" s="25" t="n">
        <v>39329</v>
      </c>
      <c r="B357" s="22">
        <f>(1+B356)*IF(AND(Painel_diario!$H353="EU_JD",Painel_diario!$J353=1),EXP(Painel_diario!$L353),1)-1</f>
        <v/>
      </c>
      <c r="C357" s="22">
        <f>(1+C356)*IF(AND(Painel_diario!$H353="EU_JU",Painel_diario!$J353=1),EXP(Painel_diario!$L353),1)-1</f>
        <v/>
      </c>
      <c r="D357" s="22">
        <f>(1+D356)*IF(AND(Painel_diario!$H353="ED_JD",Painel_diario!$J353=1),EXP(Painel_diario!$L353),1)-1</f>
        <v/>
      </c>
      <c r="E357" s="22">
        <f>(1+E356)*IF(AND(Painel_diario!$H353="ED_JU",Painel_diario!$J353=1),EXP(Painel_diario!$L353),1)-1</f>
        <v/>
      </c>
    </row>
    <row r="358">
      <c r="A358" s="25" t="n">
        <v>39330</v>
      </c>
      <c r="B358" s="22">
        <f>(1+B357)*IF(AND(Painel_diario!$H354="EU_JD",Painel_diario!$J354=1),EXP(Painel_diario!$L354),1)-1</f>
        <v/>
      </c>
      <c r="C358" s="22">
        <f>(1+C357)*IF(AND(Painel_diario!$H354="EU_JU",Painel_diario!$J354=1),EXP(Painel_diario!$L354),1)-1</f>
        <v/>
      </c>
      <c r="D358" s="22">
        <f>(1+D357)*IF(AND(Painel_diario!$H354="ED_JD",Painel_diario!$J354=1),EXP(Painel_diario!$L354),1)-1</f>
        <v/>
      </c>
      <c r="E358" s="22">
        <f>(1+E357)*IF(AND(Painel_diario!$H354="ED_JU",Painel_diario!$J354=1),EXP(Painel_diario!$L354),1)-1</f>
        <v/>
      </c>
    </row>
    <row r="359">
      <c r="A359" s="25" t="n">
        <v>39331</v>
      </c>
      <c r="B359" s="22">
        <f>(1+B358)*IF(AND(Painel_diario!$H355="EU_JD",Painel_diario!$J355=1),EXP(Painel_diario!$L355),1)-1</f>
        <v/>
      </c>
      <c r="C359" s="22">
        <f>(1+C358)*IF(AND(Painel_diario!$H355="EU_JU",Painel_diario!$J355=1),EXP(Painel_diario!$L355),1)-1</f>
        <v/>
      </c>
      <c r="D359" s="22">
        <f>(1+D358)*IF(AND(Painel_diario!$H355="ED_JD",Painel_diario!$J355=1),EXP(Painel_diario!$L355),1)-1</f>
        <v/>
      </c>
      <c r="E359" s="22">
        <f>(1+E358)*IF(AND(Painel_diario!$H355="ED_JU",Painel_diario!$J355=1),EXP(Painel_diario!$L355),1)-1</f>
        <v/>
      </c>
    </row>
    <row r="360">
      <c r="A360" s="25" t="n">
        <v>39335</v>
      </c>
      <c r="B360" s="22">
        <f>(1+B359)*IF(AND(Painel_diario!$H356="EU_JD",Painel_diario!$J356=1),EXP(Painel_diario!$L356),1)-1</f>
        <v/>
      </c>
      <c r="C360" s="22">
        <f>(1+C359)*IF(AND(Painel_diario!$H356="EU_JU",Painel_diario!$J356=1),EXP(Painel_diario!$L356),1)-1</f>
        <v/>
      </c>
      <c r="D360" s="22">
        <f>(1+D359)*IF(AND(Painel_diario!$H356="ED_JD",Painel_diario!$J356=1),EXP(Painel_diario!$L356),1)-1</f>
        <v/>
      </c>
      <c r="E360" s="22">
        <f>(1+E359)*IF(AND(Painel_diario!$H356="ED_JU",Painel_diario!$J356=1),EXP(Painel_diario!$L356),1)-1</f>
        <v/>
      </c>
    </row>
    <row r="361">
      <c r="A361" s="25" t="n">
        <v>39336</v>
      </c>
      <c r="B361" s="22">
        <f>(1+B360)*IF(AND(Painel_diario!$H357="EU_JD",Painel_diario!$J357=1),EXP(Painel_diario!$L357),1)-1</f>
        <v/>
      </c>
      <c r="C361" s="22">
        <f>(1+C360)*IF(AND(Painel_diario!$H357="EU_JU",Painel_diario!$J357=1),EXP(Painel_diario!$L357),1)-1</f>
        <v/>
      </c>
      <c r="D361" s="22">
        <f>(1+D360)*IF(AND(Painel_diario!$H357="ED_JD",Painel_diario!$J357=1),EXP(Painel_diario!$L357),1)-1</f>
        <v/>
      </c>
      <c r="E361" s="22">
        <f>(1+E360)*IF(AND(Painel_diario!$H357="ED_JU",Painel_diario!$J357=1),EXP(Painel_diario!$L357),1)-1</f>
        <v/>
      </c>
    </row>
    <row r="362">
      <c r="A362" s="25" t="n">
        <v>39337</v>
      </c>
      <c r="B362" s="22">
        <f>(1+B361)*IF(AND(Painel_diario!$H358="EU_JD",Painel_diario!$J358=1),EXP(Painel_diario!$L358),1)-1</f>
        <v/>
      </c>
      <c r="C362" s="22">
        <f>(1+C361)*IF(AND(Painel_diario!$H358="EU_JU",Painel_diario!$J358=1),EXP(Painel_diario!$L358),1)-1</f>
        <v/>
      </c>
      <c r="D362" s="22">
        <f>(1+D361)*IF(AND(Painel_diario!$H358="ED_JD",Painel_diario!$J358=1),EXP(Painel_diario!$L358),1)-1</f>
        <v/>
      </c>
      <c r="E362" s="22">
        <f>(1+E361)*IF(AND(Painel_diario!$H358="ED_JU",Painel_diario!$J358=1),EXP(Painel_diario!$L358),1)-1</f>
        <v/>
      </c>
    </row>
    <row r="363">
      <c r="A363" s="25" t="n">
        <v>39338</v>
      </c>
      <c r="B363" s="22">
        <f>(1+B362)*IF(AND(Painel_diario!$H359="EU_JD",Painel_diario!$J359=1),EXP(Painel_diario!$L359),1)-1</f>
        <v/>
      </c>
      <c r="C363" s="22">
        <f>(1+C362)*IF(AND(Painel_diario!$H359="EU_JU",Painel_diario!$J359=1),EXP(Painel_diario!$L359),1)-1</f>
        <v/>
      </c>
      <c r="D363" s="22">
        <f>(1+D362)*IF(AND(Painel_diario!$H359="ED_JD",Painel_diario!$J359=1),EXP(Painel_diario!$L359),1)-1</f>
        <v/>
      </c>
      <c r="E363" s="22">
        <f>(1+E362)*IF(AND(Painel_diario!$H359="ED_JU",Painel_diario!$J359=1),EXP(Painel_diario!$L359),1)-1</f>
        <v/>
      </c>
    </row>
    <row r="364">
      <c r="A364" s="25" t="n">
        <v>39339</v>
      </c>
      <c r="B364" s="22">
        <f>(1+B363)*IF(AND(Painel_diario!$H360="EU_JD",Painel_diario!$J360=1),EXP(Painel_diario!$L360),1)-1</f>
        <v/>
      </c>
      <c r="C364" s="22">
        <f>(1+C363)*IF(AND(Painel_diario!$H360="EU_JU",Painel_diario!$J360=1),EXP(Painel_diario!$L360),1)-1</f>
        <v/>
      </c>
      <c r="D364" s="22">
        <f>(1+D363)*IF(AND(Painel_diario!$H360="ED_JD",Painel_diario!$J360=1),EXP(Painel_diario!$L360),1)-1</f>
        <v/>
      </c>
      <c r="E364" s="22">
        <f>(1+E363)*IF(AND(Painel_diario!$H360="ED_JU",Painel_diario!$J360=1),EXP(Painel_diario!$L360),1)-1</f>
        <v/>
      </c>
    </row>
    <row r="365">
      <c r="A365" s="25" t="n">
        <v>39342</v>
      </c>
      <c r="B365" s="22">
        <f>(1+B364)*IF(AND(Painel_diario!$H361="EU_JD",Painel_diario!$J361=1),EXP(Painel_diario!$L361),1)-1</f>
        <v/>
      </c>
      <c r="C365" s="22">
        <f>(1+C364)*IF(AND(Painel_diario!$H361="EU_JU",Painel_diario!$J361=1),EXP(Painel_diario!$L361),1)-1</f>
        <v/>
      </c>
      <c r="D365" s="22">
        <f>(1+D364)*IF(AND(Painel_diario!$H361="ED_JD",Painel_diario!$J361=1),EXP(Painel_diario!$L361),1)-1</f>
        <v/>
      </c>
      <c r="E365" s="22">
        <f>(1+E364)*IF(AND(Painel_diario!$H361="ED_JU",Painel_diario!$J361=1),EXP(Painel_diario!$L361),1)-1</f>
        <v/>
      </c>
    </row>
    <row r="366">
      <c r="A366" s="25" t="n">
        <v>39343</v>
      </c>
      <c r="B366" s="22">
        <f>(1+B365)*IF(AND(Painel_diario!$H362="EU_JD",Painel_diario!$J362=1),EXP(Painel_diario!$L362),1)-1</f>
        <v/>
      </c>
      <c r="C366" s="22">
        <f>(1+C365)*IF(AND(Painel_diario!$H362="EU_JU",Painel_diario!$J362=1),EXP(Painel_diario!$L362),1)-1</f>
        <v/>
      </c>
      <c r="D366" s="22">
        <f>(1+D365)*IF(AND(Painel_diario!$H362="ED_JD",Painel_diario!$J362=1),EXP(Painel_diario!$L362),1)-1</f>
        <v/>
      </c>
      <c r="E366" s="22">
        <f>(1+E365)*IF(AND(Painel_diario!$H362="ED_JU",Painel_diario!$J362=1),EXP(Painel_diario!$L362),1)-1</f>
        <v/>
      </c>
    </row>
    <row r="367">
      <c r="A367" s="25" t="n">
        <v>39344</v>
      </c>
      <c r="B367" s="22">
        <f>(1+B366)*IF(AND(Painel_diario!$H363="EU_JD",Painel_diario!$J363=1),EXP(Painel_diario!$L363),1)-1</f>
        <v/>
      </c>
      <c r="C367" s="22">
        <f>(1+C366)*IF(AND(Painel_diario!$H363="EU_JU",Painel_diario!$J363=1),EXP(Painel_diario!$L363),1)-1</f>
        <v/>
      </c>
      <c r="D367" s="22">
        <f>(1+D366)*IF(AND(Painel_diario!$H363="ED_JD",Painel_diario!$J363=1),EXP(Painel_diario!$L363),1)-1</f>
        <v/>
      </c>
      <c r="E367" s="22">
        <f>(1+E366)*IF(AND(Painel_diario!$H363="ED_JU",Painel_diario!$J363=1),EXP(Painel_diario!$L363),1)-1</f>
        <v/>
      </c>
    </row>
    <row r="368">
      <c r="A368" s="25" t="n">
        <v>39345</v>
      </c>
      <c r="B368" s="22">
        <f>(1+B367)*IF(AND(Painel_diario!$H364="EU_JD",Painel_diario!$J364=1),EXP(Painel_diario!$L364),1)-1</f>
        <v/>
      </c>
      <c r="C368" s="22">
        <f>(1+C367)*IF(AND(Painel_diario!$H364="EU_JU",Painel_diario!$J364=1),EXP(Painel_diario!$L364),1)-1</f>
        <v/>
      </c>
      <c r="D368" s="22">
        <f>(1+D367)*IF(AND(Painel_diario!$H364="ED_JD",Painel_diario!$J364=1),EXP(Painel_diario!$L364),1)-1</f>
        <v/>
      </c>
      <c r="E368" s="22">
        <f>(1+E367)*IF(AND(Painel_diario!$H364="ED_JU",Painel_diario!$J364=1),EXP(Painel_diario!$L364),1)-1</f>
        <v/>
      </c>
    </row>
    <row r="369">
      <c r="A369" s="25" t="n">
        <v>39346</v>
      </c>
      <c r="B369" s="22">
        <f>(1+B368)*IF(AND(Painel_diario!$H365="EU_JD",Painel_diario!$J365=1),EXP(Painel_diario!$L365),1)-1</f>
        <v/>
      </c>
      <c r="C369" s="22">
        <f>(1+C368)*IF(AND(Painel_diario!$H365="EU_JU",Painel_diario!$J365=1),EXP(Painel_diario!$L365),1)-1</f>
        <v/>
      </c>
      <c r="D369" s="22">
        <f>(1+D368)*IF(AND(Painel_diario!$H365="ED_JD",Painel_diario!$J365=1),EXP(Painel_diario!$L365),1)-1</f>
        <v/>
      </c>
      <c r="E369" s="22">
        <f>(1+E368)*IF(AND(Painel_diario!$H365="ED_JU",Painel_diario!$J365=1),EXP(Painel_diario!$L365),1)-1</f>
        <v/>
      </c>
    </row>
    <row r="370">
      <c r="A370" s="25" t="n">
        <v>39349</v>
      </c>
      <c r="B370" s="22">
        <f>(1+B369)*IF(AND(Painel_diario!$H366="EU_JD",Painel_diario!$J366=1),EXP(Painel_diario!$L366),1)-1</f>
        <v/>
      </c>
      <c r="C370" s="22">
        <f>(1+C369)*IF(AND(Painel_diario!$H366="EU_JU",Painel_diario!$J366=1),EXP(Painel_diario!$L366),1)-1</f>
        <v/>
      </c>
      <c r="D370" s="22">
        <f>(1+D369)*IF(AND(Painel_diario!$H366="ED_JD",Painel_diario!$J366=1),EXP(Painel_diario!$L366),1)-1</f>
        <v/>
      </c>
      <c r="E370" s="22">
        <f>(1+E369)*IF(AND(Painel_diario!$H366="ED_JU",Painel_diario!$J366=1),EXP(Painel_diario!$L366),1)-1</f>
        <v/>
      </c>
    </row>
    <row r="371">
      <c r="A371" s="25" t="n">
        <v>39350</v>
      </c>
      <c r="B371" s="22">
        <f>(1+B370)*IF(AND(Painel_diario!$H367="EU_JD",Painel_diario!$J367=1),EXP(Painel_diario!$L367),1)-1</f>
        <v/>
      </c>
      <c r="C371" s="22">
        <f>(1+C370)*IF(AND(Painel_diario!$H367="EU_JU",Painel_diario!$J367=1),EXP(Painel_diario!$L367),1)-1</f>
        <v/>
      </c>
      <c r="D371" s="22">
        <f>(1+D370)*IF(AND(Painel_diario!$H367="ED_JD",Painel_diario!$J367=1),EXP(Painel_diario!$L367),1)-1</f>
        <v/>
      </c>
      <c r="E371" s="22">
        <f>(1+E370)*IF(AND(Painel_diario!$H367="ED_JU",Painel_diario!$J367=1),EXP(Painel_diario!$L367),1)-1</f>
        <v/>
      </c>
    </row>
    <row r="372">
      <c r="A372" s="25" t="n">
        <v>39351</v>
      </c>
      <c r="B372" s="22">
        <f>(1+B371)*IF(AND(Painel_diario!$H368="EU_JD",Painel_diario!$J368=1),EXP(Painel_diario!$L368),1)-1</f>
        <v/>
      </c>
      <c r="C372" s="22">
        <f>(1+C371)*IF(AND(Painel_diario!$H368="EU_JU",Painel_diario!$J368=1),EXP(Painel_diario!$L368),1)-1</f>
        <v/>
      </c>
      <c r="D372" s="22">
        <f>(1+D371)*IF(AND(Painel_diario!$H368="ED_JD",Painel_diario!$J368=1),EXP(Painel_diario!$L368),1)-1</f>
        <v/>
      </c>
      <c r="E372" s="22">
        <f>(1+E371)*IF(AND(Painel_diario!$H368="ED_JU",Painel_diario!$J368=1),EXP(Painel_diario!$L368),1)-1</f>
        <v/>
      </c>
    </row>
    <row r="373">
      <c r="A373" s="25" t="n">
        <v>39352</v>
      </c>
      <c r="B373" s="22">
        <f>(1+B372)*IF(AND(Painel_diario!$H369="EU_JD",Painel_diario!$J369=1),EXP(Painel_diario!$L369),1)-1</f>
        <v/>
      </c>
      <c r="C373" s="22">
        <f>(1+C372)*IF(AND(Painel_diario!$H369="EU_JU",Painel_diario!$J369=1),EXP(Painel_diario!$L369),1)-1</f>
        <v/>
      </c>
      <c r="D373" s="22">
        <f>(1+D372)*IF(AND(Painel_diario!$H369="ED_JD",Painel_diario!$J369=1),EXP(Painel_diario!$L369),1)-1</f>
        <v/>
      </c>
      <c r="E373" s="22">
        <f>(1+E372)*IF(AND(Painel_diario!$H369="ED_JU",Painel_diario!$J369=1),EXP(Painel_diario!$L369),1)-1</f>
        <v/>
      </c>
    </row>
    <row r="374">
      <c r="A374" s="25" t="n">
        <v>39353</v>
      </c>
      <c r="B374" s="22">
        <f>(1+B373)*IF(AND(Painel_diario!$H370="EU_JD",Painel_diario!$J370=1),EXP(Painel_diario!$L370),1)-1</f>
        <v/>
      </c>
      <c r="C374" s="22">
        <f>(1+C373)*IF(AND(Painel_diario!$H370="EU_JU",Painel_diario!$J370=1),EXP(Painel_diario!$L370),1)-1</f>
        <v/>
      </c>
      <c r="D374" s="22">
        <f>(1+D373)*IF(AND(Painel_diario!$H370="ED_JD",Painel_diario!$J370=1),EXP(Painel_diario!$L370),1)-1</f>
        <v/>
      </c>
      <c r="E374" s="22">
        <f>(1+E373)*IF(AND(Painel_diario!$H370="ED_JU",Painel_diario!$J370=1),EXP(Painel_diario!$L370),1)-1</f>
        <v/>
      </c>
    </row>
    <row r="375">
      <c r="A375" s="25" t="n">
        <v>39356</v>
      </c>
      <c r="B375" s="22">
        <f>(1+B374)*IF(AND(Painel_diario!$H371="EU_JD",Painel_diario!$J371=1),EXP(Painel_diario!$L371),1)-1</f>
        <v/>
      </c>
      <c r="C375" s="22">
        <f>(1+C374)*IF(AND(Painel_diario!$H371="EU_JU",Painel_diario!$J371=1),EXP(Painel_diario!$L371),1)-1</f>
        <v/>
      </c>
      <c r="D375" s="22">
        <f>(1+D374)*IF(AND(Painel_diario!$H371="ED_JD",Painel_diario!$J371=1),EXP(Painel_diario!$L371),1)-1</f>
        <v/>
      </c>
      <c r="E375" s="22">
        <f>(1+E374)*IF(AND(Painel_diario!$H371="ED_JU",Painel_diario!$J371=1),EXP(Painel_diario!$L371),1)-1</f>
        <v/>
      </c>
    </row>
    <row r="376">
      <c r="A376" s="25" t="n">
        <v>39357</v>
      </c>
      <c r="B376" s="22">
        <f>(1+B375)*IF(AND(Painel_diario!$H372="EU_JD",Painel_diario!$J372=1),EXP(Painel_diario!$L372),1)-1</f>
        <v/>
      </c>
      <c r="C376" s="22">
        <f>(1+C375)*IF(AND(Painel_diario!$H372="EU_JU",Painel_diario!$J372=1),EXP(Painel_diario!$L372),1)-1</f>
        <v/>
      </c>
      <c r="D376" s="22">
        <f>(1+D375)*IF(AND(Painel_diario!$H372="ED_JD",Painel_diario!$J372=1),EXP(Painel_diario!$L372),1)-1</f>
        <v/>
      </c>
      <c r="E376" s="22">
        <f>(1+E375)*IF(AND(Painel_diario!$H372="ED_JU",Painel_diario!$J372=1),EXP(Painel_diario!$L372),1)-1</f>
        <v/>
      </c>
    </row>
    <row r="377">
      <c r="A377" s="25" t="n">
        <v>39358</v>
      </c>
      <c r="B377" s="22">
        <f>(1+B376)*IF(AND(Painel_diario!$H373="EU_JD",Painel_diario!$J373=1),EXP(Painel_diario!$L373),1)-1</f>
        <v/>
      </c>
      <c r="C377" s="22">
        <f>(1+C376)*IF(AND(Painel_diario!$H373="EU_JU",Painel_diario!$J373=1),EXP(Painel_diario!$L373),1)-1</f>
        <v/>
      </c>
      <c r="D377" s="22">
        <f>(1+D376)*IF(AND(Painel_diario!$H373="ED_JD",Painel_diario!$J373=1),EXP(Painel_diario!$L373),1)-1</f>
        <v/>
      </c>
      <c r="E377" s="22">
        <f>(1+E376)*IF(AND(Painel_diario!$H373="ED_JU",Painel_diario!$J373=1),EXP(Painel_diario!$L373),1)-1</f>
        <v/>
      </c>
    </row>
    <row r="378">
      <c r="A378" s="25" t="n">
        <v>39359</v>
      </c>
      <c r="B378" s="22">
        <f>(1+B377)*IF(AND(Painel_diario!$H374="EU_JD",Painel_diario!$J374=1),EXP(Painel_diario!$L374),1)-1</f>
        <v/>
      </c>
      <c r="C378" s="22">
        <f>(1+C377)*IF(AND(Painel_diario!$H374="EU_JU",Painel_diario!$J374=1),EXP(Painel_diario!$L374),1)-1</f>
        <v/>
      </c>
      <c r="D378" s="22">
        <f>(1+D377)*IF(AND(Painel_diario!$H374="ED_JD",Painel_diario!$J374=1),EXP(Painel_diario!$L374),1)-1</f>
        <v/>
      </c>
      <c r="E378" s="22">
        <f>(1+E377)*IF(AND(Painel_diario!$H374="ED_JU",Painel_diario!$J374=1),EXP(Painel_diario!$L374),1)-1</f>
        <v/>
      </c>
    </row>
    <row r="379">
      <c r="A379" s="25" t="n">
        <v>39360</v>
      </c>
      <c r="B379" s="22">
        <f>(1+B378)*IF(AND(Painel_diario!$H375="EU_JD",Painel_diario!$J375=1),EXP(Painel_diario!$L375),1)-1</f>
        <v/>
      </c>
      <c r="C379" s="22">
        <f>(1+C378)*IF(AND(Painel_diario!$H375="EU_JU",Painel_diario!$J375=1),EXP(Painel_diario!$L375),1)-1</f>
        <v/>
      </c>
      <c r="D379" s="22">
        <f>(1+D378)*IF(AND(Painel_diario!$H375="ED_JD",Painel_diario!$J375=1),EXP(Painel_diario!$L375),1)-1</f>
        <v/>
      </c>
      <c r="E379" s="22">
        <f>(1+E378)*IF(AND(Painel_diario!$H375="ED_JU",Painel_diario!$J375=1),EXP(Painel_diario!$L375),1)-1</f>
        <v/>
      </c>
    </row>
    <row r="380">
      <c r="A380" s="25" t="n">
        <v>39363</v>
      </c>
      <c r="B380" s="22">
        <f>(1+B379)*IF(AND(Painel_diario!$H376="EU_JD",Painel_diario!$J376=1),EXP(Painel_diario!$L376),1)-1</f>
        <v/>
      </c>
      <c r="C380" s="22">
        <f>(1+C379)*IF(AND(Painel_diario!$H376="EU_JU",Painel_diario!$J376=1),EXP(Painel_diario!$L376),1)-1</f>
        <v/>
      </c>
      <c r="D380" s="22">
        <f>(1+D379)*IF(AND(Painel_diario!$H376="ED_JD",Painel_diario!$J376=1),EXP(Painel_diario!$L376),1)-1</f>
        <v/>
      </c>
      <c r="E380" s="22">
        <f>(1+E379)*IF(AND(Painel_diario!$H376="ED_JU",Painel_diario!$J376=1),EXP(Painel_diario!$L376),1)-1</f>
        <v/>
      </c>
    </row>
    <row r="381">
      <c r="A381" s="25" t="n">
        <v>39364</v>
      </c>
      <c r="B381" s="22">
        <f>(1+B380)*IF(AND(Painel_diario!$H377="EU_JD",Painel_diario!$J377=1),EXP(Painel_diario!$L377),1)-1</f>
        <v/>
      </c>
      <c r="C381" s="22">
        <f>(1+C380)*IF(AND(Painel_diario!$H377="EU_JU",Painel_diario!$J377=1),EXP(Painel_diario!$L377),1)-1</f>
        <v/>
      </c>
      <c r="D381" s="22">
        <f>(1+D380)*IF(AND(Painel_diario!$H377="ED_JD",Painel_diario!$J377=1),EXP(Painel_diario!$L377),1)-1</f>
        <v/>
      </c>
      <c r="E381" s="22">
        <f>(1+E380)*IF(AND(Painel_diario!$H377="ED_JU",Painel_diario!$J377=1),EXP(Painel_diario!$L377),1)-1</f>
        <v/>
      </c>
    </row>
    <row r="382">
      <c r="A382" s="25" t="n">
        <v>39365</v>
      </c>
      <c r="B382" s="22">
        <f>(1+B381)*IF(AND(Painel_diario!$H378="EU_JD",Painel_diario!$J378=1),EXP(Painel_diario!$L378),1)-1</f>
        <v/>
      </c>
      <c r="C382" s="22">
        <f>(1+C381)*IF(AND(Painel_diario!$H378="EU_JU",Painel_diario!$J378=1),EXP(Painel_diario!$L378),1)-1</f>
        <v/>
      </c>
      <c r="D382" s="22">
        <f>(1+D381)*IF(AND(Painel_diario!$H378="ED_JD",Painel_diario!$J378=1),EXP(Painel_diario!$L378),1)-1</f>
        <v/>
      </c>
      <c r="E382" s="22">
        <f>(1+E381)*IF(AND(Painel_diario!$H378="ED_JU",Painel_diario!$J378=1),EXP(Painel_diario!$L378),1)-1</f>
        <v/>
      </c>
    </row>
    <row r="383">
      <c r="A383" s="25" t="n">
        <v>39366</v>
      </c>
      <c r="B383" s="22">
        <f>(1+B382)*IF(AND(Painel_diario!$H379="EU_JD",Painel_diario!$J379=1),EXP(Painel_diario!$L379),1)-1</f>
        <v/>
      </c>
      <c r="C383" s="22">
        <f>(1+C382)*IF(AND(Painel_diario!$H379="EU_JU",Painel_diario!$J379=1),EXP(Painel_diario!$L379),1)-1</f>
        <v/>
      </c>
      <c r="D383" s="22">
        <f>(1+D382)*IF(AND(Painel_diario!$H379="ED_JD",Painel_diario!$J379=1),EXP(Painel_diario!$L379),1)-1</f>
        <v/>
      </c>
      <c r="E383" s="22">
        <f>(1+E382)*IF(AND(Painel_diario!$H379="ED_JU",Painel_diario!$J379=1),EXP(Painel_diario!$L379),1)-1</f>
        <v/>
      </c>
    </row>
    <row r="384">
      <c r="A384" s="25" t="n">
        <v>39370</v>
      </c>
      <c r="B384" s="22">
        <f>(1+B383)*IF(AND(Painel_diario!$H380="EU_JD",Painel_diario!$J380=1),EXP(Painel_diario!$L380),1)-1</f>
        <v/>
      </c>
      <c r="C384" s="22">
        <f>(1+C383)*IF(AND(Painel_diario!$H380="EU_JU",Painel_diario!$J380=1),EXP(Painel_diario!$L380),1)-1</f>
        <v/>
      </c>
      <c r="D384" s="22">
        <f>(1+D383)*IF(AND(Painel_diario!$H380="ED_JD",Painel_diario!$J380=1),EXP(Painel_diario!$L380),1)-1</f>
        <v/>
      </c>
      <c r="E384" s="22">
        <f>(1+E383)*IF(AND(Painel_diario!$H380="ED_JU",Painel_diario!$J380=1),EXP(Painel_diario!$L380),1)-1</f>
        <v/>
      </c>
    </row>
    <row r="385">
      <c r="A385" s="25" t="n">
        <v>39371</v>
      </c>
      <c r="B385" s="22">
        <f>(1+B384)*IF(AND(Painel_diario!$H381="EU_JD",Painel_diario!$J381=1),EXP(Painel_diario!$L381),1)-1</f>
        <v/>
      </c>
      <c r="C385" s="22">
        <f>(1+C384)*IF(AND(Painel_diario!$H381="EU_JU",Painel_diario!$J381=1),EXP(Painel_diario!$L381),1)-1</f>
        <v/>
      </c>
      <c r="D385" s="22">
        <f>(1+D384)*IF(AND(Painel_diario!$H381="ED_JD",Painel_diario!$J381=1),EXP(Painel_diario!$L381),1)-1</f>
        <v/>
      </c>
      <c r="E385" s="22">
        <f>(1+E384)*IF(AND(Painel_diario!$H381="ED_JU",Painel_diario!$J381=1),EXP(Painel_diario!$L381),1)-1</f>
        <v/>
      </c>
    </row>
    <row r="386">
      <c r="A386" s="25" t="n">
        <v>39372</v>
      </c>
      <c r="B386" s="22">
        <f>(1+B385)*IF(AND(Painel_diario!$H382="EU_JD",Painel_diario!$J382=1),EXP(Painel_diario!$L382),1)-1</f>
        <v/>
      </c>
      <c r="C386" s="22">
        <f>(1+C385)*IF(AND(Painel_diario!$H382="EU_JU",Painel_diario!$J382=1),EXP(Painel_diario!$L382),1)-1</f>
        <v/>
      </c>
      <c r="D386" s="22">
        <f>(1+D385)*IF(AND(Painel_diario!$H382="ED_JD",Painel_diario!$J382=1),EXP(Painel_diario!$L382),1)-1</f>
        <v/>
      </c>
      <c r="E386" s="22">
        <f>(1+E385)*IF(AND(Painel_diario!$H382="ED_JU",Painel_diario!$J382=1),EXP(Painel_diario!$L382),1)-1</f>
        <v/>
      </c>
    </row>
    <row r="387">
      <c r="A387" s="25" t="n">
        <v>39373</v>
      </c>
      <c r="B387" s="22">
        <f>(1+B386)*IF(AND(Painel_diario!$H383="EU_JD",Painel_diario!$J383=1),EXP(Painel_diario!$L383),1)-1</f>
        <v/>
      </c>
      <c r="C387" s="22">
        <f>(1+C386)*IF(AND(Painel_diario!$H383="EU_JU",Painel_diario!$J383=1),EXP(Painel_diario!$L383),1)-1</f>
        <v/>
      </c>
      <c r="D387" s="22">
        <f>(1+D386)*IF(AND(Painel_diario!$H383="ED_JD",Painel_diario!$J383=1),EXP(Painel_diario!$L383),1)-1</f>
        <v/>
      </c>
      <c r="E387" s="22">
        <f>(1+E386)*IF(AND(Painel_diario!$H383="ED_JU",Painel_diario!$J383=1),EXP(Painel_diario!$L383),1)-1</f>
        <v/>
      </c>
    </row>
    <row r="388">
      <c r="A388" s="25" t="n">
        <v>39374</v>
      </c>
      <c r="B388" s="22">
        <f>(1+B387)*IF(AND(Painel_diario!$H384="EU_JD",Painel_diario!$J384=1),EXP(Painel_diario!$L384),1)-1</f>
        <v/>
      </c>
      <c r="C388" s="22">
        <f>(1+C387)*IF(AND(Painel_diario!$H384="EU_JU",Painel_diario!$J384=1),EXP(Painel_diario!$L384),1)-1</f>
        <v/>
      </c>
      <c r="D388" s="22">
        <f>(1+D387)*IF(AND(Painel_diario!$H384="ED_JD",Painel_diario!$J384=1),EXP(Painel_diario!$L384),1)-1</f>
        <v/>
      </c>
      <c r="E388" s="22">
        <f>(1+E387)*IF(AND(Painel_diario!$H384="ED_JU",Painel_diario!$J384=1),EXP(Painel_diario!$L384),1)-1</f>
        <v/>
      </c>
    </row>
    <row r="389">
      <c r="A389" s="25" t="n">
        <v>39377</v>
      </c>
      <c r="B389" s="22">
        <f>(1+B388)*IF(AND(Painel_diario!$H385="EU_JD",Painel_diario!$J385=1),EXP(Painel_diario!$L385),1)-1</f>
        <v/>
      </c>
      <c r="C389" s="22">
        <f>(1+C388)*IF(AND(Painel_diario!$H385="EU_JU",Painel_diario!$J385=1),EXP(Painel_diario!$L385),1)-1</f>
        <v/>
      </c>
      <c r="D389" s="22">
        <f>(1+D388)*IF(AND(Painel_diario!$H385="ED_JD",Painel_diario!$J385=1),EXP(Painel_diario!$L385),1)-1</f>
        <v/>
      </c>
      <c r="E389" s="22">
        <f>(1+E388)*IF(AND(Painel_diario!$H385="ED_JU",Painel_diario!$J385=1),EXP(Painel_diario!$L385),1)-1</f>
        <v/>
      </c>
    </row>
    <row r="390">
      <c r="A390" s="25" t="n">
        <v>39378</v>
      </c>
      <c r="B390" s="22">
        <f>(1+B389)*IF(AND(Painel_diario!$H386="EU_JD",Painel_diario!$J386=1),EXP(Painel_diario!$L386),1)-1</f>
        <v/>
      </c>
      <c r="C390" s="22">
        <f>(1+C389)*IF(AND(Painel_diario!$H386="EU_JU",Painel_diario!$J386=1),EXP(Painel_diario!$L386),1)-1</f>
        <v/>
      </c>
      <c r="D390" s="22">
        <f>(1+D389)*IF(AND(Painel_diario!$H386="ED_JD",Painel_diario!$J386=1),EXP(Painel_diario!$L386),1)-1</f>
        <v/>
      </c>
      <c r="E390" s="22">
        <f>(1+E389)*IF(AND(Painel_diario!$H386="ED_JU",Painel_diario!$J386=1),EXP(Painel_diario!$L386),1)-1</f>
        <v/>
      </c>
    </row>
    <row r="391">
      <c r="A391" s="25" t="n">
        <v>39379</v>
      </c>
      <c r="B391" s="22">
        <f>(1+B390)*IF(AND(Painel_diario!$H387="EU_JD",Painel_diario!$J387=1),EXP(Painel_diario!$L387),1)-1</f>
        <v/>
      </c>
      <c r="C391" s="22">
        <f>(1+C390)*IF(AND(Painel_diario!$H387="EU_JU",Painel_diario!$J387=1),EXP(Painel_diario!$L387),1)-1</f>
        <v/>
      </c>
      <c r="D391" s="22">
        <f>(1+D390)*IF(AND(Painel_diario!$H387="ED_JD",Painel_diario!$J387=1),EXP(Painel_diario!$L387),1)-1</f>
        <v/>
      </c>
      <c r="E391" s="22">
        <f>(1+E390)*IF(AND(Painel_diario!$H387="ED_JU",Painel_diario!$J387=1),EXP(Painel_diario!$L387),1)-1</f>
        <v/>
      </c>
    </row>
    <row r="392">
      <c r="A392" s="25" t="n">
        <v>39380</v>
      </c>
      <c r="B392" s="22">
        <f>(1+B391)*IF(AND(Painel_diario!$H388="EU_JD",Painel_diario!$J388=1),EXP(Painel_diario!$L388),1)-1</f>
        <v/>
      </c>
      <c r="C392" s="22">
        <f>(1+C391)*IF(AND(Painel_diario!$H388="EU_JU",Painel_diario!$J388=1),EXP(Painel_diario!$L388),1)-1</f>
        <v/>
      </c>
      <c r="D392" s="22">
        <f>(1+D391)*IF(AND(Painel_diario!$H388="ED_JD",Painel_diario!$J388=1),EXP(Painel_diario!$L388),1)-1</f>
        <v/>
      </c>
      <c r="E392" s="22">
        <f>(1+E391)*IF(AND(Painel_diario!$H388="ED_JU",Painel_diario!$J388=1),EXP(Painel_diario!$L388),1)-1</f>
        <v/>
      </c>
    </row>
    <row r="393">
      <c r="A393" s="25" t="n">
        <v>39381</v>
      </c>
      <c r="B393" s="22">
        <f>(1+B392)*IF(AND(Painel_diario!$H389="EU_JD",Painel_diario!$J389=1),EXP(Painel_diario!$L389),1)-1</f>
        <v/>
      </c>
      <c r="C393" s="22">
        <f>(1+C392)*IF(AND(Painel_diario!$H389="EU_JU",Painel_diario!$J389=1),EXP(Painel_diario!$L389),1)-1</f>
        <v/>
      </c>
      <c r="D393" s="22">
        <f>(1+D392)*IF(AND(Painel_diario!$H389="ED_JD",Painel_diario!$J389=1),EXP(Painel_diario!$L389),1)-1</f>
        <v/>
      </c>
      <c r="E393" s="22">
        <f>(1+E392)*IF(AND(Painel_diario!$H389="ED_JU",Painel_diario!$J389=1),EXP(Painel_diario!$L389),1)-1</f>
        <v/>
      </c>
    </row>
    <row r="394">
      <c r="A394" s="25" t="n">
        <v>39384</v>
      </c>
      <c r="B394" s="22">
        <f>(1+B393)*IF(AND(Painel_diario!$H390="EU_JD",Painel_diario!$J390=1),EXP(Painel_diario!$L390),1)-1</f>
        <v/>
      </c>
      <c r="C394" s="22">
        <f>(1+C393)*IF(AND(Painel_diario!$H390="EU_JU",Painel_diario!$J390=1),EXP(Painel_diario!$L390),1)-1</f>
        <v/>
      </c>
      <c r="D394" s="22">
        <f>(1+D393)*IF(AND(Painel_diario!$H390="ED_JD",Painel_diario!$J390=1),EXP(Painel_diario!$L390),1)-1</f>
        <v/>
      </c>
      <c r="E394" s="22">
        <f>(1+E393)*IF(AND(Painel_diario!$H390="ED_JU",Painel_diario!$J390=1),EXP(Painel_diario!$L390),1)-1</f>
        <v/>
      </c>
    </row>
    <row r="395">
      <c r="A395" s="25" t="n">
        <v>39385</v>
      </c>
      <c r="B395" s="22">
        <f>(1+B394)*IF(AND(Painel_diario!$H391="EU_JD",Painel_diario!$J391=1),EXP(Painel_diario!$L391),1)-1</f>
        <v/>
      </c>
      <c r="C395" s="22">
        <f>(1+C394)*IF(AND(Painel_diario!$H391="EU_JU",Painel_diario!$J391=1),EXP(Painel_diario!$L391),1)-1</f>
        <v/>
      </c>
      <c r="D395" s="22">
        <f>(1+D394)*IF(AND(Painel_diario!$H391="ED_JD",Painel_diario!$J391=1),EXP(Painel_diario!$L391),1)-1</f>
        <v/>
      </c>
      <c r="E395" s="22">
        <f>(1+E394)*IF(AND(Painel_diario!$H391="ED_JU",Painel_diario!$J391=1),EXP(Painel_diario!$L391),1)-1</f>
        <v/>
      </c>
    </row>
    <row r="396">
      <c r="A396" s="25" t="n">
        <v>39386</v>
      </c>
      <c r="B396" s="22">
        <f>(1+B395)*IF(AND(Painel_diario!$H392="EU_JD",Painel_diario!$J392=1),EXP(Painel_diario!$L392),1)-1</f>
        <v/>
      </c>
      <c r="C396" s="22">
        <f>(1+C395)*IF(AND(Painel_diario!$H392="EU_JU",Painel_diario!$J392=1),EXP(Painel_diario!$L392),1)-1</f>
        <v/>
      </c>
      <c r="D396" s="22">
        <f>(1+D395)*IF(AND(Painel_diario!$H392="ED_JD",Painel_diario!$J392=1),EXP(Painel_diario!$L392),1)-1</f>
        <v/>
      </c>
      <c r="E396" s="22">
        <f>(1+E395)*IF(AND(Painel_diario!$H392="ED_JU",Painel_diario!$J392=1),EXP(Painel_diario!$L392),1)-1</f>
        <v/>
      </c>
    </row>
    <row r="397">
      <c r="A397" s="25" t="n">
        <v>39387</v>
      </c>
      <c r="B397" s="22">
        <f>(1+B396)*IF(AND(Painel_diario!$H393="EU_JD",Painel_diario!$J393=1),EXP(Painel_diario!$L393),1)-1</f>
        <v/>
      </c>
      <c r="C397" s="22">
        <f>(1+C396)*IF(AND(Painel_diario!$H393="EU_JU",Painel_diario!$J393=1),EXP(Painel_diario!$L393),1)-1</f>
        <v/>
      </c>
      <c r="D397" s="22">
        <f>(1+D396)*IF(AND(Painel_diario!$H393="ED_JD",Painel_diario!$J393=1),EXP(Painel_diario!$L393),1)-1</f>
        <v/>
      </c>
      <c r="E397" s="22">
        <f>(1+E396)*IF(AND(Painel_diario!$H393="ED_JU",Painel_diario!$J393=1),EXP(Painel_diario!$L393),1)-1</f>
        <v/>
      </c>
    </row>
    <row r="398">
      <c r="A398" s="25" t="n">
        <v>39391</v>
      </c>
      <c r="B398" s="22">
        <f>(1+B397)*IF(AND(Painel_diario!$H394="EU_JD",Painel_diario!$J394=1),EXP(Painel_diario!$L394),1)-1</f>
        <v/>
      </c>
      <c r="C398" s="22">
        <f>(1+C397)*IF(AND(Painel_diario!$H394="EU_JU",Painel_diario!$J394=1),EXP(Painel_diario!$L394),1)-1</f>
        <v/>
      </c>
      <c r="D398" s="22">
        <f>(1+D397)*IF(AND(Painel_diario!$H394="ED_JD",Painel_diario!$J394=1),EXP(Painel_diario!$L394),1)-1</f>
        <v/>
      </c>
      <c r="E398" s="22">
        <f>(1+E397)*IF(AND(Painel_diario!$H394="ED_JU",Painel_diario!$J394=1),EXP(Painel_diario!$L394),1)-1</f>
        <v/>
      </c>
    </row>
    <row r="399">
      <c r="A399" s="25" t="n">
        <v>39392</v>
      </c>
      <c r="B399" s="22">
        <f>(1+B398)*IF(AND(Painel_diario!$H395="EU_JD",Painel_diario!$J395=1),EXP(Painel_diario!$L395),1)-1</f>
        <v/>
      </c>
      <c r="C399" s="22">
        <f>(1+C398)*IF(AND(Painel_diario!$H395="EU_JU",Painel_diario!$J395=1),EXP(Painel_diario!$L395),1)-1</f>
        <v/>
      </c>
      <c r="D399" s="22">
        <f>(1+D398)*IF(AND(Painel_diario!$H395="ED_JD",Painel_diario!$J395=1),EXP(Painel_diario!$L395),1)-1</f>
        <v/>
      </c>
      <c r="E399" s="22">
        <f>(1+E398)*IF(AND(Painel_diario!$H395="ED_JU",Painel_diario!$J395=1),EXP(Painel_diario!$L395),1)-1</f>
        <v/>
      </c>
    </row>
    <row r="400">
      <c r="A400" s="25" t="n">
        <v>39393</v>
      </c>
      <c r="B400" s="22">
        <f>(1+B399)*IF(AND(Painel_diario!$H396="EU_JD",Painel_diario!$J396=1),EXP(Painel_diario!$L396),1)-1</f>
        <v/>
      </c>
      <c r="C400" s="22">
        <f>(1+C399)*IF(AND(Painel_diario!$H396="EU_JU",Painel_diario!$J396=1),EXP(Painel_diario!$L396),1)-1</f>
        <v/>
      </c>
      <c r="D400" s="22">
        <f>(1+D399)*IF(AND(Painel_diario!$H396="ED_JD",Painel_diario!$J396=1),EXP(Painel_diario!$L396),1)-1</f>
        <v/>
      </c>
      <c r="E400" s="22">
        <f>(1+E399)*IF(AND(Painel_diario!$H396="ED_JU",Painel_diario!$J396=1),EXP(Painel_diario!$L396),1)-1</f>
        <v/>
      </c>
    </row>
    <row r="401">
      <c r="A401" s="25" t="n">
        <v>39394</v>
      </c>
      <c r="B401" s="22">
        <f>(1+B400)*IF(AND(Painel_diario!$H397="EU_JD",Painel_diario!$J397=1),EXP(Painel_diario!$L397),1)-1</f>
        <v/>
      </c>
      <c r="C401" s="22">
        <f>(1+C400)*IF(AND(Painel_diario!$H397="EU_JU",Painel_diario!$J397=1),EXP(Painel_diario!$L397),1)-1</f>
        <v/>
      </c>
      <c r="D401" s="22">
        <f>(1+D400)*IF(AND(Painel_diario!$H397="ED_JD",Painel_diario!$J397=1),EXP(Painel_diario!$L397),1)-1</f>
        <v/>
      </c>
      <c r="E401" s="22">
        <f>(1+E400)*IF(AND(Painel_diario!$H397="ED_JU",Painel_diario!$J397=1),EXP(Painel_diario!$L397),1)-1</f>
        <v/>
      </c>
    </row>
    <row r="402">
      <c r="A402" s="25" t="n">
        <v>39395</v>
      </c>
      <c r="B402" s="22">
        <f>(1+B401)*IF(AND(Painel_diario!$H398="EU_JD",Painel_diario!$J398=1),EXP(Painel_diario!$L398),1)-1</f>
        <v/>
      </c>
      <c r="C402" s="22">
        <f>(1+C401)*IF(AND(Painel_diario!$H398="EU_JU",Painel_diario!$J398=1),EXP(Painel_diario!$L398),1)-1</f>
        <v/>
      </c>
      <c r="D402" s="22">
        <f>(1+D401)*IF(AND(Painel_diario!$H398="ED_JD",Painel_diario!$J398=1),EXP(Painel_diario!$L398),1)-1</f>
        <v/>
      </c>
      <c r="E402" s="22">
        <f>(1+E401)*IF(AND(Painel_diario!$H398="ED_JU",Painel_diario!$J398=1),EXP(Painel_diario!$L398),1)-1</f>
        <v/>
      </c>
    </row>
    <row r="403">
      <c r="A403" s="25" t="n">
        <v>39398</v>
      </c>
      <c r="B403" s="22">
        <f>(1+B402)*IF(AND(Painel_diario!$H399="EU_JD",Painel_diario!$J399=1),EXP(Painel_diario!$L399),1)-1</f>
        <v/>
      </c>
      <c r="C403" s="22">
        <f>(1+C402)*IF(AND(Painel_diario!$H399="EU_JU",Painel_diario!$J399=1),EXP(Painel_diario!$L399),1)-1</f>
        <v/>
      </c>
      <c r="D403" s="22">
        <f>(1+D402)*IF(AND(Painel_diario!$H399="ED_JD",Painel_diario!$J399=1),EXP(Painel_diario!$L399),1)-1</f>
        <v/>
      </c>
      <c r="E403" s="22">
        <f>(1+E402)*IF(AND(Painel_diario!$H399="ED_JU",Painel_diario!$J399=1),EXP(Painel_diario!$L399),1)-1</f>
        <v/>
      </c>
    </row>
    <row r="404">
      <c r="A404" s="25" t="n">
        <v>39399</v>
      </c>
      <c r="B404" s="22">
        <f>(1+B403)*IF(AND(Painel_diario!$H400="EU_JD",Painel_diario!$J400=1),EXP(Painel_diario!$L400),1)-1</f>
        <v/>
      </c>
      <c r="C404" s="22">
        <f>(1+C403)*IF(AND(Painel_diario!$H400="EU_JU",Painel_diario!$J400=1),EXP(Painel_diario!$L400),1)-1</f>
        <v/>
      </c>
      <c r="D404" s="22">
        <f>(1+D403)*IF(AND(Painel_diario!$H400="ED_JD",Painel_diario!$J400=1),EXP(Painel_diario!$L400),1)-1</f>
        <v/>
      </c>
      <c r="E404" s="22">
        <f>(1+E403)*IF(AND(Painel_diario!$H400="ED_JU",Painel_diario!$J400=1),EXP(Painel_diario!$L400),1)-1</f>
        <v/>
      </c>
    </row>
    <row r="405">
      <c r="A405" s="25" t="n">
        <v>39400</v>
      </c>
      <c r="B405" s="22">
        <f>(1+B404)*IF(AND(Painel_diario!$H401="EU_JD",Painel_diario!$J401=1),EXP(Painel_diario!$L401),1)-1</f>
        <v/>
      </c>
      <c r="C405" s="22">
        <f>(1+C404)*IF(AND(Painel_diario!$H401="EU_JU",Painel_diario!$J401=1),EXP(Painel_diario!$L401),1)-1</f>
        <v/>
      </c>
      <c r="D405" s="22">
        <f>(1+D404)*IF(AND(Painel_diario!$H401="ED_JD",Painel_diario!$J401=1),EXP(Painel_diario!$L401),1)-1</f>
        <v/>
      </c>
      <c r="E405" s="22">
        <f>(1+E404)*IF(AND(Painel_diario!$H401="ED_JU",Painel_diario!$J401=1),EXP(Painel_diario!$L401),1)-1</f>
        <v/>
      </c>
    </row>
    <row r="406">
      <c r="A406" s="25" t="n">
        <v>39402</v>
      </c>
      <c r="B406" s="22">
        <f>(1+B405)*IF(AND(Painel_diario!$H402="EU_JD",Painel_diario!$J402=1),EXP(Painel_diario!$L402),1)-1</f>
        <v/>
      </c>
      <c r="C406" s="22">
        <f>(1+C405)*IF(AND(Painel_diario!$H402="EU_JU",Painel_diario!$J402=1),EXP(Painel_diario!$L402),1)-1</f>
        <v/>
      </c>
      <c r="D406" s="22">
        <f>(1+D405)*IF(AND(Painel_diario!$H402="ED_JD",Painel_diario!$J402=1),EXP(Painel_diario!$L402),1)-1</f>
        <v/>
      </c>
      <c r="E406" s="22">
        <f>(1+E405)*IF(AND(Painel_diario!$H402="ED_JU",Painel_diario!$J402=1),EXP(Painel_diario!$L402),1)-1</f>
        <v/>
      </c>
    </row>
    <row r="407">
      <c r="A407" s="25" t="n">
        <v>39405</v>
      </c>
      <c r="B407" s="22">
        <f>(1+B406)*IF(AND(Painel_diario!$H403="EU_JD",Painel_diario!$J403=1),EXP(Painel_diario!$L403),1)-1</f>
        <v/>
      </c>
      <c r="C407" s="22">
        <f>(1+C406)*IF(AND(Painel_diario!$H403="EU_JU",Painel_diario!$J403=1),EXP(Painel_diario!$L403),1)-1</f>
        <v/>
      </c>
      <c r="D407" s="22">
        <f>(1+D406)*IF(AND(Painel_diario!$H403="ED_JD",Painel_diario!$J403=1),EXP(Painel_diario!$L403),1)-1</f>
        <v/>
      </c>
      <c r="E407" s="22">
        <f>(1+E406)*IF(AND(Painel_diario!$H403="ED_JU",Painel_diario!$J403=1),EXP(Painel_diario!$L403),1)-1</f>
        <v/>
      </c>
    </row>
    <row r="408">
      <c r="A408" s="25" t="n">
        <v>39407</v>
      </c>
      <c r="B408" s="22">
        <f>(1+B407)*IF(AND(Painel_diario!$H404="EU_JD",Painel_diario!$J404=1),EXP(Painel_diario!$L404),1)-1</f>
        <v/>
      </c>
      <c r="C408" s="22">
        <f>(1+C407)*IF(AND(Painel_diario!$H404="EU_JU",Painel_diario!$J404=1),EXP(Painel_diario!$L404),1)-1</f>
        <v/>
      </c>
      <c r="D408" s="22">
        <f>(1+D407)*IF(AND(Painel_diario!$H404="ED_JD",Painel_diario!$J404=1),EXP(Painel_diario!$L404),1)-1</f>
        <v/>
      </c>
      <c r="E408" s="22">
        <f>(1+E407)*IF(AND(Painel_diario!$H404="ED_JU",Painel_diario!$J404=1),EXP(Painel_diario!$L404),1)-1</f>
        <v/>
      </c>
    </row>
    <row r="409">
      <c r="A409" s="25" t="n">
        <v>39408</v>
      </c>
      <c r="B409" s="22">
        <f>(1+B408)*IF(AND(Painel_diario!$H405="EU_JD",Painel_diario!$J405=1),EXP(Painel_diario!$L405),1)-1</f>
        <v/>
      </c>
      <c r="C409" s="22">
        <f>(1+C408)*IF(AND(Painel_diario!$H405="EU_JU",Painel_diario!$J405=1),EXP(Painel_diario!$L405),1)-1</f>
        <v/>
      </c>
      <c r="D409" s="22">
        <f>(1+D408)*IF(AND(Painel_diario!$H405="ED_JD",Painel_diario!$J405=1),EXP(Painel_diario!$L405),1)-1</f>
        <v/>
      </c>
      <c r="E409" s="22">
        <f>(1+E408)*IF(AND(Painel_diario!$H405="ED_JU",Painel_diario!$J405=1),EXP(Painel_diario!$L405),1)-1</f>
        <v/>
      </c>
    </row>
    <row r="410">
      <c r="A410" s="25" t="n">
        <v>39409</v>
      </c>
      <c r="B410" s="22">
        <f>(1+B409)*IF(AND(Painel_diario!$H406="EU_JD",Painel_diario!$J406=1),EXP(Painel_diario!$L406),1)-1</f>
        <v/>
      </c>
      <c r="C410" s="22">
        <f>(1+C409)*IF(AND(Painel_diario!$H406="EU_JU",Painel_diario!$J406=1),EXP(Painel_diario!$L406),1)-1</f>
        <v/>
      </c>
      <c r="D410" s="22">
        <f>(1+D409)*IF(AND(Painel_diario!$H406="ED_JD",Painel_diario!$J406=1),EXP(Painel_diario!$L406),1)-1</f>
        <v/>
      </c>
      <c r="E410" s="22">
        <f>(1+E409)*IF(AND(Painel_diario!$H406="ED_JU",Painel_diario!$J406=1),EXP(Painel_diario!$L406),1)-1</f>
        <v/>
      </c>
    </row>
    <row r="411">
      <c r="A411" s="25" t="n">
        <v>39412</v>
      </c>
      <c r="B411" s="22">
        <f>(1+B410)*IF(AND(Painel_diario!$H407="EU_JD",Painel_diario!$J407=1),EXP(Painel_diario!$L407),1)-1</f>
        <v/>
      </c>
      <c r="C411" s="22">
        <f>(1+C410)*IF(AND(Painel_diario!$H407="EU_JU",Painel_diario!$J407=1),EXP(Painel_diario!$L407),1)-1</f>
        <v/>
      </c>
      <c r="D411" s="22">
        <f>(1+D410)*IF(AND(Painel_diario!$H407="ED_JD",Painel_diario!$J407=1),EXP(Painel_diario!$L407),1)-1</f>
        <v/>
      </c>
      <c r="E411" s="22">
        <f>(1+E410)*IF(AND(Painel_diario!$H407="ED_JU",Painel_diario!$J407=1),EXP(Painel_diario!$L407),1)-1</f>
        <v/>
      </c>
    </row>
    <row r="412">
      <c r="A412" s="25" t="n">
        <v>39413</v>
      </c>
      <c r="B412" s="22">
        <f>(1+B411)*IF(AND(Painel_diario!$H408="EU_JD",Painel_diario!$J408=1),EXP(Painel_diario!$L408),1)-1</f>
        <v/>
      </c>
      <c r="C412" s="22">
        <f>(1+C411)*IF(AND(Painel_diario!$H408="EU_JU",Painel_diario!$J408=1),EXP(Painel_diario!$L408),1)-1</f>
        <v/>
      </c>
      <c r="D412" s="22">
        <f>(1+D411)*IF(AND(Painel_diario!$H408="ED_JD",Painel_diario!$J408=1),EXP(Painel_diario!$L408),1)-1</f>
        <v/>
      </c>
      <c r="E412" s="22">
        <f>(1+E411)*IF(AND(Painel_diario!$H408="ED_JU",Painel_diario!$J408=1),EXP(Painel_diario!$L408),1)-1</f>
        <v/>
      </c>
    </row>
    <row r="413">
      <c r="A413" s="25" t="n">
        <v>39414</v>
      </c>
      <c r="B413" s="22">
        <f>(1+B412)*IF(AND(Painel_diario!$H409="EU_JD",Painel_diario!$J409=1),EXP(Painel_diario!$L409),1)-1</f>
        <v/>
      </c>
      <c r="C413" s="22">
        <f>(1+C412)*IF(AND(Painel_diario!$H409="EU_JU",Painel_diario!$J409=1),EXP(Painel_diario!$L409),1)-1</f>
        <v/>
      </c>
      <c r="D413" s="22">
        <f>(1+D412)*IF(AND(Painel_diario!$H409="ED_JD",Painel_diario!$J409=1),EXP(Painel_diario!$L409),1)-1</f>
        <v/>
      </c>
      <c r="E413" s="22">
        <f>(1+E412)*IF(AND(Painel_diario!$H409="ED_JU",Painel_diario!$J409=1),EXP(Painel_diario!$L409),1)-1</f>
        <v/>
      </c>
    </row>
    <row r="414">
      <c r="A414" s="25" t="n">
        <v>39415</v>
      </c>
      <c r="B414" s="22">
        <f>(1+B413)*IF(AND(Painel_diario!$H410="EU_JD",Painel_diario!$J410=1),EXP(Painel_diario!$L410),1)-1</f>
        <v/>
      </c>
      <c r="C414" s="22">
        <f>(1+C413)*IF(AND(Painel_diario!$H410="EU_JU",Painel_diario!$J410=1),EXP(Painel_diario!$L410),1)-1</f>
        <v/>
      </c>
      <c r="D414" s="22">
        <f>(1+D413)*IF(AND(Painel_diario!$H410="ED_JD",Painel_diario!$J410=1),EXP(Painel_diario!$L410),1)-1</f>
        <v/>
      </c>
      <c r="E414" s="22">
        <f>(1+E413)*IF(AND(Painel_diario!$H410="ED_JU",Painel_diario!$J410=1),EXP(Painel_diario!$L410),1)-1</f>
        <v/>
      </c>
    </row>
    <row r="415">
      <c r="A415" s="25" t="n">
        <v>39416</v>
      </c>
      <c r="B415" s="22">
        <f>(1+B414)*IF(AND(Painel_diario!$H411="EU_JD",Painel_diario!$J411=1),EXP(Painel_diario!$L411),1)-1</f>
        <v/>
      </c>
      <c r="C415" s="22">
        <f>(1+C414)*IF(AND(Painel_diario!$H411="EU_JU",Painel_diario!$J411=1),EXP(Painel_diario!$L411),1)-1</f>
        <v/>
      </c>
      <c r="D415" s="22">
        <f>(1+D414)*IF(AND(Painel_diario!$H411="ED_JD",Painel_diario!$J411=1),EXP(Painel_diario!$L411),1)-1</f>
        <v/>
      </c>
      <c r="E415" s="22">
        <f>(1+E414)*IF(AND(Painel_diario!$H411="ED_JU",Painel_diario!$J411=1),EXP(Painel_diario!$L411),1)-1</f>
        <v/>
      </c>
    </row>
    <row r="416">
      <c r="A416" s="25" t="n">
        <v>39419</v>
      </c>
      <c r="B416" s="22">
        <f>(1+B415)*IF(AND(Painel_diario!$H412="EU_JD",Painel_diario!$J412=1),EXP(Painel_diario!$L412),1)-1</f>
        <v/>
      </c>
      <c r="C416" s="22">
        <f>(1+C415)*IF(AND(Painel_diario!$H412="EU_JU",Painel_diario!$J412=1),EXP(Painel_diario!$L412),1)-1</f>
        <v/>
      </c>
      <c r="D416" s="22">
        <f>(1+D415)*IF(AND(Painel_diario!$H412="ED_JD",Painel_diario!$J412=1),EXP(Painel_diario!$L412),1)-1</f>
        <v/>
      </c>
      <c r="E416" s="22">
        <f>(1+E415)*IF(AND(Painel_diario!$H412="ED_JU",Painel_diario!$J412=1),EXP(Painel_diario!$L412),1)-1</f>
        <v/>
      </c>
    </row>
    <row r="417">
      <c r="A417" s="25" t="n">
        <v>39420</v>
      </c>
      <c r="B417" s="22">
        <f>(1+B416)*IF(AND(Painel_diario!$H413="EU_JD",Painel_diario!$J413=1),EXP(Painel_diario!$L413),1)-1</f>
        <v/>
      </c>
      <c r="C417" s="22">
        <f>(1+C416)*IF(AND(Painel_diario!$H413="EU_JU",Painel_diario!$J413=1),EXP(Painel_diario!$L413),1)-1</f>
        <v/>
      </c>
      <c r="D417" s="22">
        <f>(1+D416)*IF(AND(Painel_diario!$H413="ED_JD",Painel_diario!$J413=1),EXP(Painel_diario!$L413),1)-1</f>
        <v/>
      </c>
      <c r="E417" s="22">
        <f>(1+E416)*IF(AND(Painel_diario!$H413="ED_JU",Painel_diario!$J413=1),EXP(Painel_diario!$L413),1)-1</f>
        <v/>
      </c>
    </row>
    <row r="418">
      <c r="A418" s="25" t="n">
        <v>39421</v>
      </c>
      <c r="B418" s="22">
        <f>(1+B417)*IF(AND(Painel_diario!$H414="EU_JD",Painel_diario!$J414=1),EXP(Painel_diario!$L414),1)-1</f>
        <v/>
      </c>
      <c r="C418" s="22">
        <f>(1+C417)*IF(AND(Painel_diario!$H414="EU_JU",Painel_diario!$J414=1),EXP(Painel_diario!$L414),1)-1</f>
        <v/>
      </c>
      <c r="D418" s="22">
        <f>(1+D417)*IF(AND(Painel_diario!$H414="ED_JD",Painel_diario!$J414=1),EXP(Painel_diario!$L414),1)-1</f>
        <v/>
      </c>
      <c r="E418" s="22">
        <f>(1+E417)*IF(AND(Painel_diario!$H414="ED_JU",Painel_diario!$J414=1),EXP(Painel_diario!$L414),1)-1</f>
        <v/>
      </c>
    </row>
    <row r="419">
      <c r="A419" s="25" t="n">
        <v>39422</v>
      </c>
      <c r="B419" s="22">
        <f>(1+B418)*IF(AND(Painel_diario!$H415="EU_JD",Painel_diario!$J415=1),EXP(Painel_diario!$L415),1)-1</f>
        <v/>
      </c>
      <c r="C419" s="22">
        <f>(1+C418)*IF(AND(Painel_diario!$H415="EU_JU",Painel_diario!$J415=1),EXP(Painel_diario!$L415),1)-1</f>
        <v/>
      </c>
      <c r="D419" s="22">
        <f>(1+D418)*IF(AND(Painel_diario!$H415="ED_JD",Painel_diario!$J415=1),EXP(Painel_diario!$L415),1)-1</f>
        <v/>
      </c>
      <c r="E419" s="22">
        <f>(1+E418)*IF(AND(Painel_diario!$H415="ED_JU",Painel_diario!$J415=1),EXP(Painel_diario!$L415),1)-1</f>
        <v/>
      </c>
    </row>
    <row r="420">
      <c r="A420" s="25" t="n">
        <v>39423</v>
      </c>
      <c r="B420" s="22">
        <f>(1+B419)*IF(AND(Painel_diario!$H416="EU_JD",Painel_diario!$J416=1),EXP(Painel_diario!$L416),1)-1</f>
        <v/>
      </c>
      <c r="C420" s="22">
        <f>(1+C419)*IF(AND(Painel_diario!$H416="EU_JU",Painel_diario!$J416=1),EXP(Painel_diario!$L416),1)-1</f>
        <v/>
      </c>
      <c r="D420" s="22">
        <f>(1+D419)*IF(AND(Painel_diario!$H416="ED_JD",Painel_diario!$J416=1),EXP(Painel_diario!$L416),1)-1</f>
        <v/>
      </c>
      <c r="E420" s="22">
        <f>(1+E419)*IF(AND(Painel_diario!$H416="ED_JU",Painel_diario!$J416=1),EXP(Painel_diario!$L416),1)-1</f>
        <v/>
      </c>
    </row>
    <row r="421">
      <c r="A421" s="25" t="n">
        <v>39426</v>
      </c>
      <c r="B421" s="22">
        <f>(1+B420)*IF(AND(Painel_diario!$H417="EU_JD",Painel_diario!$J417=1),EXP(Painel_diario!$L417),1)-1</f>
        <v/>
      </c>
      <c r="C421" s="22">
        <f>(1+C420)*IF(AND(Painel_diario!$H417="EU_JU",Painel_diario!$J417=1),EXP(Painel_diario!$L417),1)-1</f>
        <v/>
      </c>
      <c r="D421" s="22">
        <f>(1+D420)*IF(AND(Painel_diario!$H417="ED_JD",Painel_diario!$J417=1),EXP(Painel_diario!$L417),1)-1</f>
        <v/>
      </c>
      <c r="E421" s="22">
        <f>(1+E420)*IF(AND(Painel_diario!$H417="ED_JU",Painel_diario!$J417=1),EXP(Painel_diario!$L417),1)-1</f>
        <v/>
      </c>
    </row>
    <row r="422">
      <c r="A422" s="25" t="n">
        <v>39427</v>
      </c>
      <c r="B422" s="22">
        <f>(1+B421)*IF(AND(Painel_diario!$H418="EU_JD",Painel_diario!$J418=1),EXP(Painel_diario!$L418),1)-1</f>
        <v/>
      </c>
      <c r="C422" s="22">
        <f>(1+C421)*IF(AND(Painel_diario!$H418="EU_JU",Painel_diario!$J418=1),EXP(Painel_diario!$L418),1)-1</f>
        <v/>
      </c>
      <c r="D422" s="22">
        <f>(1+D421)*IF(AND(Painel_diario!$H418="ED_JD",Painel_diario!$J418=1),EXP(Painel_diario!$L418),1)-1</f>
        <v/>
      </c>
      <c r="E422" s="22">
        <f>(1+E421)*IF(AND(Painel_diario!$H418="ED_JU",Painel_diario!$J418=1),EXP(Painel_diario!$L418),1)-1</f>
        <v/>
      </c>
    </row>
    <row r="423">
      <c r="A423" s="25" t="n">
        <v>39428</v>
      </c>
      <c r="B423" s="22">
        <f>(1+B422)*IF(AND(Painel_diario!$H419="EU_JD",Painel_diario!$J419=1),EXP(Painel_diario!$L419),1)-1</f>
        <v/>
      </c>
      <c r="C423" s="22">
        <f>(1+C422)*IF(AND(Painel_diario!$H419="EU_JU",Painel_diario!$J419=1),EXP(Painel_diario!$L419),1)-1</f>
        <v/>
      </c>
      <c r="D423" s="22">
        <f>(1+D422)*IF(AND(Painel_diario!$H419="ED_JD",Painel_diario!$J419=1),EXP(Painel_diario!$L419),1)-1</f>
        <v/>
      </c>
      <c r="E423" s="22">
        <f>(1+E422)*IF(AND(Painel_diario!$H419="ED_JU",Painel_diario!$J419=1),EXP(Painel_diario!$L419),1)-1</f>
        <v/>
      </c>
    </row>
    <row r="424">
      <c r="A424" s="25" t="n">
        <v>39429</v>
      </c>
      <c r="B424" s="22">
        <f>(1+B423)*IF(AND(Painel_diario!$H420="EU_JD",Painel_diario!$J420=1),EXP(Painel_diario!$L420),1)-1</f>
        <v/>
      </c>
      <c r="C424" s="22">
        <f>(1+C423)*IF(AND(Painel_diario!$H420="EU_JU",Painel_diario!$J420=1),EXP(Painel_diario!$L420),1)-1</f>
        <v/>
      </c>
      <c r="D424" s="22">
        <f>(1+D423)*IF(AND(Painel_diario!$H420="ED_JD",Painel_diario!$J420=1),EXP(Painel_diario!$L420),1)-1</f>
        <v/>
      </c>
      <c r="E424" s="22">
        <f>(1+E423)*IF(AND(Painel_diario!$H420="ED_JU",Painel_diario!$J420=1),EXP(Painel_diario!$L420),1)-1</f>
        <v/>
      </c>
    </row>
    <row r="425">
      <c r="A425" s="25" t="n">
        <v>39430</v>
      </c>
      <c r="B425" s="22">
        <f>(1+B424)*IF(AND(Painel_diario!$H421="EU_JD",Painel_diario!$J421=1),EXP(Painel_diario!$L421),1)-1</f>
        <v/>
      </c>
      <c r="C425" s="22">
        <f>(1+C424)*IF(AND(Painel_diario!$H421="EU_JU",Painel_diario!$J421=1),EXP(Painel_diario!$L421),1)-1</f>
        <v/>
      </c>
      <c r="D425" s="22">
        <f>(1+D424)*IF(AND(Painel_diario!$H421="ED_JD",Painel_diario!$J421=1),EXP(Painel_diario!$L421),1)-1</f>
        <v/>
      </c>
      <c r="E425" s="22">
        <f>(1+E424)*IF(AND(Painel_diario!$H421="ED_JU",Painel_diario!$J421=1),EXP(Painel_diario!$L421),1)-1</f>
        <v/>
      </c>
    </row>
    <row r="426">
      <c r="A426" s="25" t="n">
        <v>39433</v>
      </c>
      <c r="B426" s="22">
        <f>(1+B425)*IF(AND(Painel_diario!$H422="EU_JD",Painel_diario!$J422=1),EXP(Painel_diario!$L422),1)-1</f>
        <v/>
      </c>
      <c r="C426" s="22">
        <f>(1+C425)*IF(AND(Painel_diario!$H422="EU_JU",Painel_diario!$J422=1),EXP(Painel_diario!$L422),1)-1</f>
        <v/>
      </c>
      <c r="D426" s="22">
        <f>(1+D425)*IF(AND(Painel_diario!$H422="ED_JD",Painel_diario!$J422=1),EXP(Painel_diario!$L422),1)-1</f>
        <v/>
      </c>
      <c r="E426" s="22">
        <f>(1+E425)*IF(AND(Painel_diario!$H422="ED_JU",Painel_diario!$J422=1),EXP(Painel_diario!$L422),1)-1</f>
        <v/>
      </c>
    </row>
    <row r="427">
      <c r="A427" s="25" t="n">
        <v>39434</v>
      </c>
      <c r="B427" s="22">
        <f>(1+B426)*IF(AND(Painel_diario!$H423="EU_JD",Painel_diario!$J423=1),EXP(Painel_diario!$L423),1)-1</f>
        <v/>
      </c>
      <c r="C427" s="22">
        <f>(1+C426)*IF(AND(Painel_diario!$H423="EU_JU",Painel_diario!$J423=1),EXP(Painel_diario!$L423),1)-1</f>
        <v/>
      </c>
      <c r="D427" s="22">
        <f>(1+D426)*IF(AND(Painel_diario!$H423="ED_JD",Painel_diario!$J423=1),EXP(Painel_diario!$L423),1)-1</f>
        <v/>
      </c>
      <c r="E427" s="22">
        <f>(1+E426)*IF(AND(Painel_diario!$H423="ED_JU",Painel_diario!$J423=1),EXP(Painel_diario!$L423),1)-1</f>
        <v/>
      </c>
    </row>
    <row r="428">
      <c r="A428" s="25" t="n">
        <v>39435</v>
      </c>
      <c r="B428" s="22">
        <f>(1+B427)*IF(AND(Painel_diario!$H424="EU_JD",Painel_diario!$J424=1),EXP(Painel_diario!$L424),1)-1</f>
        <v/>
      </c>
      <c r="C428" s="22">
        <f>(1+C427)*IF(AND(Painel_diario!$H424="EU_JU",Painel_diario!$J424=1),EXP(Painel_diario!$L424),1)-1</f>
        <v/>
      </c>
      <c r="D428" s="22">
        <f>(1+D427)*IF(AND(Painel_diario!$H424="ED_JD",Painel_diario!$J424=1),EXP(Painel_diario!$L424),1)-1</f>
        <v/>
      </c>
      <c r="E428" s="22">
        <f>(1+E427)*IF(AND(Painel_diario!$H424="ED_JU",Painel_diario!$J424=1),EXP(Painel_diario!$L424),1)-1</f>
        <v/>
      </c>
    </row>
    <row r="429">
      <c r="A429" s="25" t="n">
        <v>39436</v>
      </c>
      <c r="B429" s="22">
        <f>(1+B428)*IF(AND(Painel_diario!$H425="EU_JD",Painel_diario!$J425=1),EXP(Painel_diario!$L425),1)-1</f>
        <v/>
      </c>
      <c r="C429" s="22">
        <f>(1+C428)*IF(AND(Painel_diario!$H425="EU_JU",Painel_diario!$J425=1),EXP(Painel_diario!$L425),1)-1</f>
        <v/>
      </c>
      <c r="D429" s="22">
        <f>(1+D428)*IF(AND(Painel_diario!$H425="ED_JD",Painel_diario!$J425=1),EXP(Painel_diario!$L425),1)-1</f>
        <v/>
      </c>
      <c r="E429" s="22">
        <f>(1+E428)*IF(AND(Painel_diario!$H425="ED_JU",Painel_diario!$J425=1),EXP(Painel_diario!$L425),1)-1</f>
        <v/>
      </c>
    </row>
    <row r="430">
      <c r="A430" s="25" t="n">
        <v>39437</v>
      </c>
      <c r="B430" s="22">
        <f>(1+B429)*IF(AND(Painel_diario!$H426="EU_JD",Painel_diario!$J426=1),EXP(Painel_diario!$L426),1)-1</f>
        <v/>
      </c>
      <c r="C430" s="22">
        <f>(1+C429)*IF(AND(Painel_diario!$H426="EU_JU",Painel_diario!$J426=1),EXP(Painel_diario!$L426),1)-1</f>
        <v/>
      </c>
      <c r="D430" s="22">
        <f>(1+D429)*IF(AND(Painel_diario!$H426="ED_JD",Painel_diario!$J426=1),EXP(Painel_diario!$L426),1)-1</f>
        <v/>
      </c>
      <c r="E430" s="22">
        <f>(1+E429)*IF(AND(Painel_diario!$H426="ED_JU",Painel_diario!$J426=1),EXP(Painel_diario!$L426),1)-1</f>
        <v/>
      </c>
    </row>
    <row r="431">
      <c r="A431" s="25" t="n">
        <v>39442</v>
      </c>
      <c r="B431" s="22">
        <f>(1+B430)*IF(AND(Painel_diario!$H427="EU_JD",Painel_diario!$J427=1),EXP(Painel_diario!$L427),1)-1</f>
        <v/>
      </c>
      <c r="C431" s="22">
        <f>(1+C430)*IF(AND(Painel_diario!$H427="EU_JU",Painel_diario!$J427=1),EXP(Painel_diario!$L427),1)-1</f>
        <v/>
      </c>
      <c r="D431" s="22">
        <f>(1+D430)*IF(AND(Painel_diario!$H427="ED_JD",Painel_diario!$J427=1),EXP(Painel_diario!$L427),1)-1</f>
        <v/>
      </c>
      <c r="E431" s="22">
        <f>(1+E430)*IF(AND(Painel_diario!$H427="ED_JU",Painel_diario!$J427=1),EXP(Painel_diario!$L427),1)-1</f>
        <v/>
      </c>
    </row>
    <row r="432">
      <c r="A432" s="25" t="n">
        <v>39443</v>
      </c>
      <c r="B432" s="22">
        <f>(1+B431)*IF(AND(Painel_diario!$H428="EU_JD",Painel_diario!$J428=1),EXP(Painel_diario!$L428),1)-1</f>
        <v/>
      </c>
      <c r="C432" s="22">
        <f>(1+C431)*IF(AND(Painel_diario!$H428="EU_JU",Painel_diario!$J428=1),EXP(Painel_diario!$L428),1)-1</f>
        <v/>
      </c>
      <c r="D432" s="22">
        <f>(1+D431)*IF(AND(Painel_diario!$H428="ED_JD",Painel_diario!$J428=1),EXP(Painel_diario!$L428),1)-1</f>
        <v/>
      </c>
      <c r="E432" s="22">
        <f>(1+E431)*IF(AND(Painel_diario!$H428="ED_JU",Painel_diario!$J428=1),EXP(Painel_diario!$L428),1)-1</f>
        <v/>
      </c>
    </row>
    <row r="433">
      <c r="A433" s="25" t="n">
        <v>39444</v>
      </c>
      <c r="B433" s="22">
        <f>(1+B432)*IF(AND(Painel_diario!$H429="EU_JD",Painel_diario!$J429=1),EXP(Painel_diario!$L429),1)-1</f>
        <v/>
      </c>
      <c r="C433" s="22">
        <f>(1+C432)*IF(AND(Painel_diario!$H429="EU_JU",Painel_diario!$J429=1),EXP(Painel_diario!$L429),1)-1</f>
        <v/>
      </c>
      <c r="D433" s="22">
        <f>(1+D432)*IF(AND(Painel_diario!$H429="ED_JD",Painel_diario!$J429=1),EXP(Painel_diario!$L429),1)-1</f>
        <v/>
      </c>
      <c r="E433" s="22">
        <f>(1+E432)*IF(AND(Painel_diario!$H429="ED_JU",Painel_diario!$J429=1),EXP(Painel_diario!$L429),1)-1</f>
        <v/>
      </c>
    </row>
    <row r="434">
      <c r="A434" s="25" t="n">
        <v>39449</v>
      </c>
      <c r="B434" s="22">
        <f>(1+B433)*IF(AND(Painel_diario!$H430="EU_JD",Painel_diario!$J430=1),EXP(Painel_diario!$L430),1)-1</f>
        <v/>
      </c>
      <c r="C434" s="22">
        <f>(1+C433)*IF(AND(Painel_diario!$H430="EU_JU",Painel_diario!$J430=1),EXP(Painel_diario!$L430),1)-1</f>
        <v/>
      </c>
      <c r="D434" s="22">
        <f>(1+D433)*IF(AND(Painel_diario!$H430="ED_JD",Painel_diario!$J430=1),EXP(Painel_diario!$L430),1)-1</f>
        <v/>
      </c>
      <c r="E434" s="22">
        <f>(1+E433)*IF(AND(Painel_diario!$H430="ED_JU",Painel_diario!$J430=1),EXP(Painel_diario!$L430),1)-1</f>
        <v/>
      </c>
    </row>
    <row r="435">
      <c r="A435" s="25" t="n">
        <v>39450</v>
      </c>
      <c r="B435" s="22">
        <f>(1+B434)*IF(AND(Painel_diario!$H431="EU_JD",Painel_diario!$J431=1),EXP(Painel_diario!$L431),1)-1</f>
        <v/>
      </c>
      <c r="C435" s="22">
        <f>(1+C434)*IF(AND(Painel_diario!$H431="EU_JU",Painel_diario!$J431=1),EXP(Painel_diario!$L431),1)-1</f>
        <v/>
      </c>
      <c r="D435" s="22">
        <f>(1+D434)*IF(AND(Painel_diario!$H431="ED_JD",Painel_diario!$J431=1),EXP(Painel_diario!$L431),1)-1</f>
        <v/>
      </c>
      <c r="E435" s="22">
        <f>(1+E434)*IF(AND(Painel_diario!$H431="ED_JU",Painel_diario!$J431=1),EXP(Painel_diario!$L431),1)-1</f>
        <v/>
      </c>
    </row>
    <row r="436">
      <c r="A436" s="25" t="n">
        <v>39451</v>
      </c>
      <c r="B436" s="22">
        <f>(1+B435)*IF(AND(Painel_diario!$H432="EU_JD",Painel_diario!$J432=1),EXP(Painel_diario!$L432),1)-1</f>
        <v/>
      </c>
      <c r="C436" s="22">
        <f>(1+C435)*IF(AND(Painel_diario!$H432="EU_JU",Painel_diario!$J432=1),EXP(Painel_diario!$L432),1)-1</f>
        <v/>
      </c>
      <c r="D436" s="22">
        <f>(1+D435)*IF(AND(Painel_diario!$H432="ED_JD",Painel_diario!$J432=1),EXP(Painel_diario!$L432),1)-1</f>
        <v/>
      </c>
      <c r="E436" s="22">
        <f>(1+E435)*IF(AND(Painel_diario!$H432="ED_JU",Painel_diario!$J432=1),EXP(Painel_diario!$L432),1)-1</f>
        <v/>
      </c>
    </row>
    <row r="437">
      <c r="A437" s="25" t="n">
        <v>39454</v>
      </c>
      <c r="B437" s="22">
        <f>(1+B436)*IF(AND(Painel_diario!$H433="EU_JD",Painel_diario!$J433=1),EXP(Painel_diario!$L433),1)-1</f>
        <v/>
      </c>
      <c r="C437" s="22">
        <f>(1+C436)*IF(AND(Painel_diario!$H433="EU_JU",Painel_diario!$J433=1),EXP(Painel_diario!$L433),1)-1</f>
        <v/>
      </c>
      <c r="D437" s="22">
        <f>(1+D436)*IF(AND(Painel_diario!$H433="ED_JD",Painel_diario!$J433=1),EXP(Painel_diario!$L433),1)-1</f>
        <v/>
      </c>
      <c r="E437" s="22">
        <f>(1+E436)*IF(AND(Painel_diario!$H433="ED_JU",Painel_diario!$J433=1),EXP(Painel_diario!$L433),1)-1</f>
        <v/>
      </c>
    </row>
    <row r="438">
      <c r="A438" s="25" t="n">
        <v>39455</v>
      </c>
      <c r="B438" s="22">
        <f>(1+B437)*IF(AND(Painel_diario!$H434="EU_JD",Painel_diario!$J434=1),EXP(Painel_diario!$L434),1)-1</f>
        <v/>
      </c>
      <c r="C438" s="22">
        <f>(1+C437)*IF(AND(Painel_diario!$H434="EU_JU",Painel_diario!$J434=1),EXP(Painel_diario!$L434),1)-1</f>
        <v/>
      </c>
      <c r="D438" s="22">
        <f>(1+D437)*IF(AND(Painel_diario!$H434="ED_JD",Painel_diario!$J434=1),EXP(Painel_diario!$L434),1)-1</f>
        <v/>
      </c>
      <c r="E438" s="22">
        <f>(1+E437)*IF(AND(Painel_diario!$H434="ED_JU",Painel_diario!$J434=1),EXP(Painel_diario!$L434),1)-1</f>
        <v/>
      </c>
    </row>
    <row r="439">
      <c r="A439" s="25" t="n">
        <v>39456</v>
      </c>
      <c r="B439" s="22">
        <f>(1+B438)*IF(AND(Painel_diario!$H435="EU_JD",Painel_diario!$J435=1),EXP(Painel_diario!$L435),1)-1</f>
        <v/>
      </c>
      <c r="C439" s="22">
        <f>(1+C438)*IF(AND(Painel_diario!$H435="EU_JU",Painel_diario!$J435=1),EXP(Painel_diario!$L435),1)-1</f>
        <v/>
      </c>
      <c r="D439" s="22">
        <f>(1+D438)*IF(AND(Painel_diario!$H435="ED_JD",Painel_diario!$J435=1),EXP(Painel_diario!$L435),1)-1</f>
        <v/>
      </c>
      <c r="E439" s="22">
        <f>(1+E438)*IF(AND(Painel_diario!$H435="ED_JU",Painel_diario!$J435=1),EXP(Painel_diario!$L435),1)-1</f>
        <v/>
      </c>
    </row>
    <row r="440">
      <c r="A440" s="25" t="n">
        <v>39457</v>
      </c>
      <c r="B440" s="22">
        <f>(1+B439)*IF(AND(Painel_diario!$H436="EU_JD",Painel_diario!$J436=1),EXP(Painel_diario!$L436),1)-1</f>
        <v/>
      </c>
      <c r="C440" s="22">
        <f>(1+C439)*IF(AND(Painel_diario!$H436="EU_JU",Painel_diario!$J436=1),EXP(Painel_diario!$L436),1)-1</f>
        <v/>
      </c>
      <c r="D440" s="22">
        <f>(1+D439)*IF(AND(Painel_diario!$H436="ED_JD",Painel_diario!$J436=1),EXP(Painel_diario!$L436),1)-1</f>
        <v/>
      </c>
      <c r="E440" s="22">
        <f>(1+E439)*IF(AND(Painel_diario!$H436="ED_JU",Painel_diario!$J436=1),EXP(Painel_diario!$L436),1)-1</f>
        <v/>
      </c>
    </row>
    <row r="441">
      <c r="A441" s="25" t="n">
        <v>39458</v>
      </c>
      <c r="B441" s="22">
        <f>(1+B440)*IF(AND(Painel_diario!$H437="EU_JD",Painel_diario!$J437=1),EXP(Painel_diario!$L437),1)-1</f>
        <v/>
      </c>
      <c r="C441" s="22">
        <f>(1+C440)*IF(AND(Painel_diario!$H437="EU_JU",Painel_diario!$J437=1),EXP(Painel_diario!$L437),1)-1</f>
        <v/>
      </c>
      <c r="D441" s="22">
        <f>(1+D440)*IF(AND(Painel_diario!$H437="ED_JD",Painel_diario!$J437=1),EXP(Painel_diario!$L437),1)-1</f>
        <v/>
      </c>
      <c r="E441" s="22">
        <f>(1+E440)*IF(AND(Painel_diario!$H437="ED_JU",Painel_diario!$J437=1),EXP(Painel_diario!$L437),1)-1</f>
        <v/>
      </c>
    </row>
    <row r="442">
      <c r="A442" s="25" t="n">
        <v>39461</v>
      </c>
      <c r="B442" s="22">
        <f>(1+B441)*IF(AND(Painel_diario!$H438="EU_JD",Painel_diario!$J438=1),EXP(Painel_diario!$L438),1)-1</f>
        <v/>
      </c>
      <c r="C442" s="22">
        <f>(1+C441)*IF(AND(Painel_diario!$H438="EU_JU",Painel_diario!$J438=1),EXP(Painel_diario!$L438),1)-1</f>
        <v/>
      </c>
      <c r="D442" s="22">
        <f>(1+D441)*IF(AND(Painel_diario!$H438="ED_JD",Painel_diario!$J438=1),EXP(Painel_diario!$L438),1)-1</f>
        <v/>
      </c>
      <c r="E442" s="22">
        <f>(1+E441)*IF(AND(Painel_diario!$H438="ED_JU",Painel_diario!$J438=1),EXP(Painel_diario!$L438),1)-1</f>
        <v/>
      </c>
    </row>
    <row r="443">
      <c r="A443" s="25" t="n">
        <v>39462</v>
      </c>
      <c r="B443" s="22">
        <f>(1+B442)*IF(AND(Painel_diario!$H439="EU_JD",Painel_diario!$J439=1),EXP(Painel_diario!$L439),1)-1</f>
        <v/>
      </c>
      <c r="C443" s="22">
        <f>(1+C442)*IF(AND(Painel_diario!$H439="EU_JU",Painel_diario!$J439=1),EXP(Painel_diario!$L439),1)-1</f>
        <v/>
      </c>
      <c r="D443" s="22">
        <f>(1+D442)*IF(AND(Painel_diario!$H439="ED_JD",Painel_diario!$J439=1),EXP(Painel_diario!$L439),1)-1</f>
        <v/>
      </c>
      <c r="E443" s="22">
        <f>(1+E442)*IF(AND(Painel_diario!$H439="ED_JU",Painel_diario!$J439=1),EXP(Painel_diario!$L439),1)-1</f>
        <v/>
      </c>
    </row>
    <row r="444">
      <c r="A444" s="25" t="n">
        <v>39463</v>
      </c>
      <c r="B444" s="22">
        <f>(1+B443)*IF(AND(Painel_diario!$H440="EU_JD",Painel_diario!$J440=1),EXP(Painel_diario!$L440),1)-1</f>
        <v/>
      </c>
      <c r="C444" s="22">
        <f>(1+C443)*IF(AND(Painel_diario!$H440="EU_JU",Painel_diario!$J440=1),EXP(Painel_diario!$L440),1)-1</f>
        <v/>
      </c>
      <c r="D444" s="22">
        <f>(1+D443)*IF(AND(Painel_diario!$H440="ED_JD",Painel_diario!$J440=1),EXP(Painel_diario!$L440),1)-1</f>
        <v/>
      </c>
      <c r="E444" s="22">
        <f>(1+E443)*IF(AND(Painel_diario!$H440="ED_JU",Painel_diario!$J440=1),EXP(Painel_diario!$L440),1)-1</f>
        <v/>
      </c>
    </row>
    <row r="445">
      <c r="A445" s="25" t="n">
        <v>39464</v>
      </c>
      <c r="B445" s="22">
        <f>(1+B444)*IF(AND(Painel_diario!$H441="EU_JD",Painel_diario!$J441=1),EXP(Painel_diario!$L441),1)-1</f>
        <v/>
      </c>
      <c r="C445" s="22">
        <f>(1+C444)*IF(AND(Painel_diario!$H441="EU_JU",Painel_diario!$J441=1),EXP(Painel_diario!$L441),1)-1</f>
        <v/>
      </c>
      <c r="D445" s="22">
        <f>(1+D444)*IF(AND(Painel_diario!$H441="ED_JD",Painel_diario!$J441=1),EXP(Painel_diario!$L441),1)-1</f>
        <v/>
      </c>
      <c r="E445" s="22">
        <f>(1+E444)*IF(AND(Painel_diario!$H441="ED_JU",Painel_diario!$J441=1),EXP(Painel_diario!$L441),1)-1</f>
        <v/>
      </c>
    </row>
    <row r="446">
      <c r="A446" s="25" t="n">
        <v>39465</v>
      </c>
      <c r="B446" s="22">
        <f>(1+B445)*IF(AND(Painel_diario!$H442="EU_JD",Painel_diario!$J442=1),EXP(Painel_diario!$L442),1)-1</f>
        <v/>
      </c>
      <c r="C446" s="22">
        <f>(1+C445)*IF(AND(Painel_diario!$H442="EU_JU",Painel_diario!$J442=1),EXP(Painel_diario!$L442),1)-1</f>
        <v/>
      </c>
      <c r="D446" s="22">
        <f>(1+D445)*IF(AND(Painel_diario!$H442="ED_JD",Painel_diario!$J442=1),EXP(Painel_diario!$L442),1)-1</f>
        <v/>
      </c>
      <c r="E446" s="22">
        <f>(1+E445)*IF(AND(Painel_diario!$H442="ED_JU",Painel_diario!$J442=1),EXP(Painel_diario!$L442),1)-1</f>
        <v/>
      </c>
    </row>
    <row r="447">
      <c r="A447" s="25" t="n">
        <v>39468</v>
      </c>
      <c r="B447" s="22">
        <f>(1+B446)*IF(AND(Painel_diario!$H443="EU_JD",Painel_diario!$J443=1),EXP(Painel_diario!$L443),1)-1</f>
        <v/>
      </c>
      <c r="C447" s="22">
        <f>(1+C446)*IF(AND(Painel_diario!$H443="EU_JU",Painel_diario!$J443=1),EXP(Painel_diario!$L443),1)-1</f>
        <v/>
      </c>
      <c r="D447" s="22">
        <f>(1+D446)*IF(AND(Painel_diario!$H443="ED_JD",Painel_diario!$J443=1),EXP(Painel_diario!$L443),1)-1</f>
        <v/>
      </c>
      <c r="E447" s="22">
        <f>(1+E446)*IF(AND(Painel_diario!$H443="ED_JU",Painel_diario!$J443=1),EXP(Painel_diario!$L443),1)-1</f>
        <v/>
      </c>
    </row>
    <row r="448">
      <c r="A448" s="25" t="n">
        <v>39469</v>
      </c>
      <c r="B448" s="22">
        <f>(1+B447)*IF(AND(Painel_diario!$H444="EU_JD",Painel_diario!$J444=1),EXP(Painel_diario!$L444),1)-1</f>
        <v/>
      </c>
      <c r="C448" s="22">
        <f>(1+C447)*IF(AND(Painel_diario!$H444="EU_JU",Painel_diario!$J444=1),EXP(Painel_diario!$L444),1)-1</f>
        <v/>
      </c>
      <c r="D448" s="22">
        <f>(1+D447)*IF(AND(Painel_diario!$H444="ED_JD",Painel_diario!$J444=1),EXP(Painel_diario!$L444),1)-1</f>
        <v/>
      </c>
      <c r="E448" s="22">
        <f>(1+E447)*IF(AND(Painel_diario!$H444="ED_JU",Painel_diario!$J444=1),EXP(Painel_diario!$L444),1)-1</f>
        <v/>
      </c>
    </row>
    <row r="449">
      <c r="A449" s="25" t="n">
        <v>39470</v>
      </c>
      <c r="B449" s="22">
        <f>(1+B448)*IF(AND(Painel_diario!$H445="EU_JD",Painel_diario!$J445=1),EXP(Painel_diario!$L445),1)-1</f>
        <v/>
      </c>
      <c r="C449" s="22">
        <f>(1+C448)*IF(AND(Painel_diario!$H445="EU_JU",Painel_diario!$J445=1),EXP(Painel_diario!$L445),1)-1</f>
        <v/>
      </c>
      <c r="D449" s="22">
        <f>(1+D448)*IF(AND(Painel_diario!$H445="ED_JD",Painel_diario!$J445=1),EXP(Painel_diario!$L445),1)-1</f>
        <v/>
      </c>
      <c r="E449" s="22">
        <f>(1+E448)*IF(AND(Painel_diario!$H445="ED_JU",Painel_diario!$J445=1),EXP(Painel_diario!$L445),1)-1</f>
        <v/>
      </c>
    </row>
    <row r="450">
      <c r="A450" s="25" t="n">
        <v>39471</v>
      </c>
      <c r="B450" s="22">
        <f>(1+B449)*IF(AND(Painel_diario!$H446="EU_JD",Painel_diario!$J446=1),EXP(Painel_diario!$L446),1)-1</f>
        <v/>
      </c>
      <c r="C450" s="22">
        <f>(1+C449)*IF(AND(Painel_diario!$H446="EU_JU",Painel_diario!$J446=1),EXP(Painel_diario!$L446),1)-1</f>
        <v/>
      </c>
      <c r="D450" s="22">
        <f>(1+D449)*IF(AND(Painel_diario!$H446="ED_JD",Painel_diario!$J446=1),EXP(Painel_diario!$L446),1)-1</f>
        <v/>
      </c>
      <c r="E450" s="22">
        <f>(1+E449)*IF(AND(Painel_diario!$H446="ED_JU",Painel_diario!$J446=1),EXP(Painel_diario!$L446),1)-1</f>
        <v/>
      </c>
    </row>
    <row r="451">
      <c r="A451" s="25" t="n">
        <v>39475</v>
      </c>
      <c r="B451" s="22">
        <f>(1+B450)*IF(AND(Painel_diario!$H447="EU_JD",Painel_diario!$J447=1),EXP(Painel_diario!$L447),1)-1</f>
        <v/>
      </c>
      <c r="C451" s="22">
        <f>(1+C450)*IF(AND(Painel_diario!$H447="EU_JU",Painel_diario!$J447=1),EXP(Painel_diario!$L447),1)-1</f>
        <v/>
      </c>
      <c r="D451" s="22">
        <f>(1+D450)*IF(AND(Painel_diario!$H447="ED_JD",Painel_diario!$J447=1),EXP(Painel_diario!$L447),1)-1</f>
        <v/>
      </c>
      <c r="E451" s="22">
        <f>(1+E450)*IF(AND(Painel_diario!$H447="ED_JU",Painel_diario!$J447=1),EXP(Painel_diario!$L447),1)-1</f>
        <v/>
      </c>
    </row>
    <row r="452">
      <c r="A452" s="25" t="n">
        <v>39476</v>
      </c>
      <c r="B452" s="22">
        <f>(1+B451)*IF(AND(Painel_diario!$H448="EU_JD",Painel_diario!$J448=1),EXP(Painel_diario!$L448),1)-1</f>
        <v/>
      </c>
      <c r="C452" s="22">
        <f>(1+C451)*IF(AND(Painel_diario!$H448="EU_JU",Painel_diario!$J448=1),EXP(Painel_diario!$L448),1)-1</f>
        <v/>
      </c>
      <c r="D452" s="22">
        <f>(1+D451)*IF(AND(Painel_diario!$H448="ED_JD",Painel_diario!$J448=1),EXP(Painel_diario!$L448),1)-1</f>
        <v/>
      </c>
      <c r="E452" s="22">
        <f>(1+E451)*IF(AND(Painel_diario!$H448="ED_JU",Painel_diario!$J448=1),EXP(Painel_diario!$L448),1)-1</f>
        <v/>
      </c>
    </row>
    <row r="453">
      <c r="A453" s="25" t="n">
        <v>39477</v>
      </c>
      <c r="B453" s="22">
        <f>(1+B452)*IF(AND(Painel_diario!$H449="EU_JD",Painel_diario!$J449=1),EXP(Painel_diario!$L449),1)-1</f>
        <v/>
      </c>
      <c r="C453" s="22">
        <f>(1+C452)*IF(AND(Painel_diario!$H449="EU_JU",Painel_diario!$J449=1),EXP(Painel_diario!$L449),1)-1</f>
        <v/>
      </c>
      <c r="D453" s="22">
        <f>(1+D452)*IF(AND(Painel_diario!$H449="ED_JD",Painel_diario!$J449=1),EXP(Painel_diario!$L449),1)-1</f>
        <v/>
      </c>
      <c r="E453" s="22">
        <f>(1+E452)*IF(AND(Painel_diario!$H449="ED_JU",Painel_diario!$J449=1),EXP(Painel_diario!$L449),1)-1</f>
        <v/>
      </c>
    </row>
    <row r="454">
      <c r="A454" s="25" t="n">
        <v>39478</v>
      </c>
      <c r="B454" s="22">
        <f>(1+B453)*IF(AND(Painel_diario!$H450="EU_JD",Painel_diario!$J450=1),EXP(Painel_diario!$L450),1)-1</f>
        <v/>
      </c>
      <c r="C454" s="22">
        <f>(1+C453)*IF(AND(Painel_diario!$H450="EU_JU",Painel_diario!$J450=1),EXP(Painel_diario!$L450),1)-1</f>
        <v/>
      </c>
      <c r="D454" s="22">
        <f>(1+D453)*IF(AND(Painel_diario!$H450="ED_JD",Painel_diario!$J450=1),EXP(Painel_diario!$L450),1)-1</f>
        <v/>
      </c>
      <c r="E454" s="22">
        <f>(1+E453)*IF(AND(Painel_diario!$H450="ED_JU",Painel_diario!$J450=1),EXP(Painel_diario!$L450),1)-1</f>
        <v/>
      </c>
    </row>
    <row r="455">
      <c r="A455" s="25" t="n">
        <v>39479</v>
      </c>
      <c r="B455" s="22">
        <f>(1+B454)*IF(AND(Painel_diario!$H451="EU_JD",Painel_diario!$J451=1),EXP(Painel_diario!$L451),1)-1</f>
        <v/>
      </c>
      <c r="C455" s="22">
        <f>(1+C454)*IF(AND(Painel_diario!$H451="EU_JU",Painel_diario!$J451=1),EXP(Painel_diario!$L451),1)-1</f>
        <v/>
      </c>
      <c r="D455" s="22">
        <f>(1+D454)*IF(AND(Painel_diario!$H451="ED_JD",Painel_diario!$J451=1),EXP(Painel_diario!$L451),1)-1</f>
        <v/>
      </c>
      <c r="E455" s="22">
        <f>(1+E454)*IF(AND(Painel_diario!$H451="ED_JU",Painel_diario!$J451=1),EXP(Painel_diario!$L451),1)-1</f>
        <v/>
      </c>
    </row>
    <row r="456">
      <c r="A456" s="25" t="n">
        <v>39484</v>
      </c>
      <c r="B456" s="22">
        <f>(1+B455)*IF(AND(Painel_diario!$H452="EU_JD",Painel_diario!$J452=1),EXP(Painel_diario!$L452),1)-1</f>
        <v/>
      </c>
      <c r="C456" s="22">
        <f>(1+C455)*IF(AND(Painel_diario!$H452="EU_JU",Painel_diario!$J452=1),EXP(Painel_diario!$L452),1)-1</f>
        <v/>
      </c>
      <c r="D456" s="22">
        <f>(1+D455)*IF(AND(Painel_diario!$H452="ED_JD",Painel_diario!$J452=1),EXP(Painel_diario!$L452),1)-1</f>
        <v/>
      </c>
      <c r="E456" s="22">
        <f>(1+E455)*IF(AND(Painel_diario!$H452="ED_JU",Painel_diario!$J452=1),EXP(Painel_diario!$L452),1)-1</f>
        <v/>
      </c>
    </row>
    <row r="457">
      <c r="A457" s="25" t="n">
        <v>39485</v>
      </c>
      <c r="B457" s="22">
        <f>(1+B456)*IF(AND(Painel_diario!$H453="EU_JD",Painel_diario!$J453=1),EXP(Painel_diario!$L453),1)-1</f>
        <v/>
      </c>
      <c r="C457" s="22">
        <f>(1+C456)*IF(AND(Painel_diario!$H453="EU_JU",Painel_diario!$J453=1),EXP(Painel_diario!$L453),1)-1</f>
        <v/>
      </c>
      <c r="D457" s="22">
        <f>(1+D456)*IF(AND(Painel_diario!$H453="ED_JD",Painel_diario!$J453=1),EXP(Painel_diario!$L453),1)-1</f>
        <v/>
      </c>
      <c r="E457" s="22">
        <f>(1+E456)*IF(AND(Painel_diario!$H453="ED_JU",Painel_diario!$J453=1),EXP(Painel_diario!$L453),1)-1</f>
        <v/>
      </c>
    </row>
    <row r="458">
      <c r="A458" s="25" t="n">
        <v>39486</v>
      </c>
      <c r="B458" s="22">
        <f>(1+B457)*IF(AND(Painel_diario!$H454="EU_JD",Painel_diario!$J454=1),EXP(Painel_diario!$L454),1)-1</f>
        <v/>
      </c>
      <c r="C458" s="22">
        <f>(1+C457)*IF(AND(Painel_diario!$H454="EU_JU",Painel_diario!$J454=1),EXP(Painel_diario!$L454),1)-1</f>
        <v/>
      </c>
      <c r="D458" s="22">
        <f>(1+D457)*IF(AND(Painel_diario!$H454="ED_JD",Painel_diario!$J454=1),EXP(Painel_diario!$L454),1)-1</f>
        <v/>
      </c>
      <c r="E458" s="22">
        <f>(1+E457)*IF(AND(Painel_diario!$H454="ED_JU",Painel_diario!$J454=1),EXP(Painel_diario!$L454),1)-1</f>
        <v/>
      </c>
    </row>
    <row r="459">
      <c r="A459" s="25" t="n">
        <v>39489</v>
      </c>
      <c r="B459" s="22">
        <f>(1+B458)*IF(AND(Painel_diario!$H455="EU_JD",Painel_diario!$J455=1),EXP(Painel_diario!$L455),1)-1</f>
        <v/>
      </c>
      <c r="C459" s="22">
        <f>(1+C458)*IF(AND(Painel_diario!$H455="EU_JU",Painel_diario!$J455=1),EXP(Painel_diario!$L455),1)-1</f>
        <v/>
      </c>
      <c r="D459" s="22">
        <f>(1+D458)*IF(AND(Painel_diario!$H455="ED_JD",Painel_diario!$J455=1),EXP(Painel_diario!$L455),1)-1</f>
        <v/>
      </c>
      <c r="E459" s="22">
        <f>(1+E458)*IF(AND(Painel_diario!$H455="ED_JU",Painel_diario!$J455=1),EXP(Painel_diario!$L455),1)-1</f>
        <v/>
      </c>
    </row>
    <row r="460">
      <c r="A460" s="25" t="n">
        <v>39490</v>
      </c>
      <c r="B460" s="22">
        <f>(1+B459)*IF(AND(Painel_diario!$H456="EU_JD",Painel_diario!$J456=1),EXP(Painel_diario!$L456),1)-1</f>
        <v/>
      </c>
      <c r="C460" s="22">
        <f>(1+C459)*IF(AND(Painel_diario!$H456="EU_JU",Painel_diario!$J456=1),EXP(Painel_diario!$L456),1)-1</f>
        <v/>
      </c>
      <c r="D460" s="22">
        <f>(1+D459)*IF(AND(Painel_diario!$H456="ED_JD",Painel_diario!$J456=1),EXP(Painel_diario!$L456),1)-1</f>
        <v/>
      </c>
      <c r="E460" s="22">
        <f>(1+E459)*IF(AND(Painel_diario!$H456="ED_JU",Painel_diario!$J456=1),EXP(Painel_diario!$L456),1)-1</f>
        <v/>
      </c>
    </row>
    <row r="461">
      <c r="A461" s="25" t="n">
        <v>39491</v>
      </c>
      <c r="B461" s="22">
        <f>(1+B460)*IF(AND(Painel_diario!$H457="EU_JD",Painel_diario!$J457=1),EXP(Painel_diario!$L457),1)-1</f>
        <v/>
      </c>
      <c r="C461" s="22">
        <f>(1+C460)*IF(AND(Painel_diario!$H457="EU_JU",Painel_diario!$J457=1),EXP(Painel_diario!$L457),1)-1</f>
        <v/>
      </c>
      <c r="D461" s="22">
        <f>(1+D460)*IF(AND(Painel_diario!$H457="ED_JD",Painel_diario!$J457=1),EXP(Painel_diario!$L457),1)-1</f>
        <v/>
      </c>
      <c r="E461" s="22">
        <f>(1+E460)*IF(AND(Painel_diario!$H457="ED_JU",Painel_diario!$J457=1),EXP(Painel_diario!$L457),1)-1</f>
        <v/>
      </c>
    </row>
    <row r="462">
      <c r="A462" s="25" t="n">
        <v>39492</v>
      </c>
      <c r="B462" s="22">
        <f>(1+B461)*IF(AND(Painel_diario!$H458="EU_JD",Painel_diario!$J458=1),EXP(Painel_diario!$L458),1)-1</f>
        <v/>
      </c>
      <c r="C462" s="22">
        <f>(1+C461)*IF(AND(Painel_diario!$H458="EU_JU",Painel_diario!$J458=1),EXP(Painel_diario!$L458),1)-1</f>
        <v/>
      </c>
      <c r="D462" s="22">
        <f>(1+D461)*IF(AND(Painel_diario!$H458="ED_JD",Painel_diario!$J458=1),EXP(Painel_diario!$L458),1)-1</f>
        <v/>
      </c>
      <c r="E462" s="22">
        <f>(1+E461)*IF(AND(Painel_diario!$H458="ED_JU",Painel_diario!$J458=1),EXP(Painel_diario!$L458),1)-1</f>
        <v/>
      </c>
    </row>
    <row r="463">
      <c r="A463" s="25" t="n">
        <v>39493</v>
      </c>
      <c r="B463" s="22">
        <f>(1+B462)*IF(AND(Painel_diario!$H459="EU_JD",Painel_diario!$J459=1),EXP(Painel_diario!$L459),1)-1</f>
        <v/>
      </c>
      <c r="C463" s="22">
        <f>(1+C462)*IF(AND(Painel_diario!$H459="EU_JU",Painel_diario!$J459=1),EXP(Painel_diario!$L459),1)-1</f>
        <v/>
      </c>
      <c r="D463" s="22">
        <f>(1+D462)*IF(AND(Painel_diario!$H459="ED_JD",Painel_diario!$J459=1),EXP(Painel_diario!$L459),1)-1</f>
        <v/>
      </c>
      <c r="E463" s="22">
        <f>(1+E462)*IF(AND(Painel_diario!$H459="ED_JU",Painel_diario!$J459=1),EXP(Painel_diario!$L459),1)-1</f>
        <v/>
      </c>
    </row>
    <row r="464">
      <c r="A464" s="25" t="n">
        <v>39496</v>
      </c>
      <c r="B464" s="22">
        <f>(1+B463)*IF(AND(Painel_diario!$H460="EU_JD",Painel_diario!$J460=1),EXP(Painel_diario!$L460),1)-1</f>
        <v/>
      </c>
      <c r="C464" s="22">
        <f>(1+C463)*IF(AND(Painel_diario!$H460="EU_JU",Painel_diario!$J460=1),EXP(Painel_diario!$L460),1)-1</f>
        <v/>
      </c>
      <c r="D464" s="22">
        <f>(1+D463)*IF(AND(Painel_diario!$H460="ED_JD",Painel_diario!$J460=1),EXP(Painel_diario!$L460),1)-1</f>
        <v/>
      </c>
      <c r="E464" s="22">
        <f>(1+E463)*IF(AND(Painel_diario!$H460="ED_JU",Painel_diario!$J460=1),EXP(Painel_diario!$L460),1)-1</f>
        <v/>
      </c>
    </row>
    <row r="465">
      <c r="A465" s="25" t="n">
        <v>39497</v>
      </c>
      <c r="B465" s="22">
        <f>(1+B464)*IF(AND(Painel_diario!$H461="EU_JD",Painel_diario!$J461=1),EXP(Painel_diario!$L461),1)-1</f>
        <v/>
      </c>
      <c r="C465" s="22">
        <f>(1+C464)*IF(AND(Painel_diario!$H461="EU_JU",Painel_diario!$J461=1),EXP(Painel_diario!$L461),1)-1</f>
        <v/>
      </c>
      <c r="D465" s="22">
        <f>(1+D464)*IF(AND(Painel_diario!$H461="ED_JD",Painel_diario!$J461=1),EXP(Painel_diario!$L461),1)-1</f>
        <v/>
      </c>
      <c r="E465" s="22">
        <f>(1+E464)*IF(AND(Painel_diario!$H461="ED_JU",Painel_diario!$J461=1),EXP(Painel_diario!$L461),1)-1</f>
        <v/>
      </c>
    </row>
    <row r="466">
      <c r="A466" s="25" t="n">
        <v>39498</v>
      </c>
      <c r="B466" s="22">
        <f>(1+B465)*IF(AND(Painel_diario!$H462="EU_JD",Painel_diario!$J462=1),EXP(Painel_diario!$L462),1)-1</f>
        <v/>
      </c>
      <c r="C466" s="22">
        <f>(1+C465)*IF(AND(Painel_diario!$H462="EU_JU",Painel_diario!$J462=1),EXP(Painel_diario!$L462),1)-1</f>
        <v/>
      </c>
      <c r="D466" s="22">
        <f>(1+D465)*IF(AND(Painel_diario!$H462="ED_JD",Painel_diario!$J462=1),EXP(Painel_diario!$L462),1)-1</f>
        <v/>
      </c>
      <c r="E466" s="22">
        <f>(1+E465)*IF(AND(Painel_diario!$H462="ED_JU",Painel_diario!$J462=1),EXP(Painel_diario!$L462),1)-1</f>
        <v/>
      </c>
    </row>
    <row r="467">
      <c r="A467" s="25" t="n">
        <v>39499</v>
      </c>
      <c r="B467" s="22">
        <f>(1+B466)*IF(AND(Painel_diario!$H463="EU_JD",Painel_diario!$J463=1),EXP(Painel_diario!$L463),1)-1</f>
        <v/>
      </c>
      <c r="C467" s="22">
        <f>(1+C466)*IF(AND(Painel_diario!$H463="EU_JU",Painel_diario!$J463=1),EXP(Painel_diario!$L463),1)-1</f>
        <v/>
      </c>
      <c r="D467" s="22">
        <f>(1+D466)*IF(AND(Painel_diario!$H463="ED_JD",Painel_diario!$J463=1),EXP(Painel_diario!$L463),1)-1</f>
        <v/>
      </c>
      <c r="E467" s="22">
        <f>(1+E466)*IF(AND(Painel_diario!$H463="ED_JU",Painel_diario!$J463=1),EXP(Painel_diario!$L463),1)-1</f>
        <v/>
      </c>
    </row>
    <row r="468">
      <c r="A468" s="25" t="n">
        <v>39500</v>
      </c>
      <c r="B468" s="22">
        <f>(1+B467)*IF(AND(Painel_diario!$H464="EU_JD",Painel_diario!$J464=1),EXP(Painel_diario!$L464),1)-1</f>
        <v/>
      </c>
      <c r="C468" s="22">
        <f>(1+C467)*IF(AND(Painel_diario!$H464="EU_JU",Painel_diario!$J464=1),EXP(Painel_diario!$L464),1)-1</f>
        <v/>
      </c>
      <c r="D468" s="22">
        <f>(1+D467)*IF(AND(Painel_diario!$H464="ED_JD",Painel_diario!$J464=1),EXP(Painel_diario!$L464),1)-1</f>
        <v/>
      </c>
      <c r="E468" s="22">
        <f>(1+E467)*IF(AND(Painel_diario!$H464="ED_JU",Painel_diario!$J464=1),EXP(Painel_diario!$L464),1)-1</f>
        <v/>
      </c>
    </row>
    <row r="469">
      <c r="A469" s="25" t="n">
        <v>39503</v>
      </c>
      <c r="B469" s="22">
        <f>(1+B468)*IF(AND(Painel_diario!$H465="EU_JD",Painel_diario!$J465=1),EXP(Painel_diario!$L465),1)-1</f>
        <v/>
      </c>
      <c r="C469" s="22">
        <f>(1+C468)*IF(AND(Painel_diario!$H465="EU_JU",Painel_diario!$J465=1),EXP(Painel_diario!$L465),1)-1</f>
        <v/>
      </c>
      <c r="D469" s="22">
        <f>(1+D468)*IF(AND(Painel_diario!$H465="ED_JD",Painel_diario!$J465=1),EXP(Painel_diario!$L465),1)-1</f>
        <v/>
      </c>
      <c r="E469" s="22">
        <f>(1+E468)*IF(AND(Painel_diario!$H465="ED_JU",Painel_diario!$J465=1),EXP(Painel_diario!$L465),1)-1</f>
        <v/>
      </c>
    </row>
    <row r="470">
      <c r="A470" s="25" t="n">
        <v>39504</v>
      </c>
      <c r="B470" s="22">
        <f>(1+B469)*IF(AND(Painel_diario!$H466="EU_JD",Painel_diario!$J466=1),EXP(Painel_diario!$L466),1)-1</f>
        <v/>
      </c>
      <c r="C470" s="22">
        <f>(1+C469)*IF(AND(Painel_diario!$H466="EU_JU",Painel_diario!$J466=1),EXP(Painel_diario!$L466),1)-1</f>
        <v/>
      </c>
      <c r="D470" s="22">
        <f>(1+D469)*IF(AND(Painel_diario!$H466="ED_JD",Painel_diario!$J466=1),EXP(Painel_diario!$L466),1)-1</f>
        <v/>
      </c>
      <c r="E470" s="22">
        <f>(1+E469)*IF(AND(Painel_diario!$H466="ED_JU",Painel_diario!$J466=1),EXP(Painel_diario!$L466),1)-1</f>
        <v/>
      </c>
    </row>
    <row r="471">
      <c r="A471" s="25" t="n">
        <v>39505</v>
      </c>
      <c r="B471" s="22">
        <f>(1+B470)*IF(AND(Painel_diario!$H467="EU_JD",Painel_diario!$J467=1),EXP(Painel_diario!$L467),1)-1</f>
        <v/>
      </c>
      <c r="C471" s="22">
        <f>(1+C470)*IF(AND(Painel_diario!$H467="EU_JU",Painel_diario!$J467=1),EXP(Painel_diario!$L467),1)-1</f>
        <v/>
      </c>
      <c r="D471" s="22">
        <f>(1+D470)*IF(AND(Painel_diario!$H467="ED_JD",Painel_diario!$J467=1),EXP(Painel_diario!$L467),1)-1</f>
        <v/>
      </c>
      <c r="E471" s="22">
        <f>(1+E470)*IF(AND(Painel_diario!$H467="ED_JU",Painel_diario!$J467=1),EXP(Painel_diario!$L467),1)-1</f>
        <v/>
      </c>
    </row>
    <row r="472">
      <c r="A472" s="25" t="n">
        <v>39506</v>
      </c>
      <c r="B472" s="22">
        <f>(1+B471)*IF(AND(Painel_diario!$H468="EU_JD",Painel_diario!$J468=1),EXP(Painel_diario!$L468),1)-1</f>
        <v/>
      </c>
      <c r="C472" s="22">
        <f>(1+C471)*IF(AND(Painel_diario!$H468="EU_JU",Painel_diario!$J468=1),EXP(Painel_diario!$L468),1)-1</f>
        <v/>
      </c>
      <c r="D472" s="22">
        <f>(1+D471)*IF(AND(Painel_diario!$H468="ED_JD",Painel_diario!$J468=1),EXP(Painel_diario!$L468),1)-1</f>
        <v/>
      </c>
      <c r="E472" s="22">
        <f>(1+E471)*IF(AND(Painel_diario!$H468="ED_JU",Painel_diario!$J468=1),EXP(Painel_diario!$L468),1)-1</f>
        <v/>
      </c>
    </row>
    <row r="473">
      <c r="A473" s="25" t="n">
        <v>39510</v>
      </c>
      <c r="B473" s="22">
        <f>(1+B472)*IF(AND(Painel_diario!$H469="EU_JD",Painel_diario!$J469=1),EXP(Painel_diario!$L469),1)-1</f>
        <v/>
      </c>
      <c r="C473" s="22">
        <f>(1+C472)*IF(AND(Painel_diario!$H469="EU_JU",Painel_diario!$J469=1),EXP(Painel_diario!$L469),1)-1</f>
        <v/>
      </c>
      <c r="D473" s="22">
        <f>(1+D472)*IF(AND(Painel_diario!$H469="ED_JD",Painel_diario!$J469=1),EXP(Painel_diario!$L469),1)-1</f>
        <v/>
      </c>
      <c r="E473" s="22">
        <f>(1+E472)*IF(AND(Painel_diario!$H469="ED_JU",Painel_diario!$J469=1),EXP(Painel_diario!$L469),1)-1</f>
        <v/>
      </c>
    </row>
    <row r="474">
      <c r="A474" s="25" t="n">
        <v>39511</v>
      </c>
      <c r="B474" s="22">
        <f>(1+B473)*IF(AND(Painel_diario!$H470="EU_JD",Painel_diario!$J470=1),EXP(Painel_diario!$L470),1)-1</f>
        <v/>
      </c>
      <c r="C474" s="22">
        <f>(1+C473)*IF(AND(Painel_diario!$H470="EU_JU",Painel_diario!$J470=1),EXP(Painel_diario!$L470),1)-1</f>
        <v/>
      </c>
      <c r="D474" s="22">
        <f>(1+D473)*IF(AND(Painel_diario!$H470="ED_JD",Painel_diario!$J470=1),EXP(Painel_diario!$L470),1)-1</f>
        <v/>
      </c>
      <c r="E474" s="22">
        <f>(1+E473)*IF(AND(Painel_diario!$H470="ED_JU",Painel_diario!$J470=1),EXP(Painel_diario!$L470),1)-1</f>
        <v/>
      </c>
    </row>
    <row r="475">
      <c r="A475" s="25" t="n">
        <v>39512</v>
      </c>
      <c r="B475" s="22">
        <f>(1+B474)*IF(AND(Painel_diario!$H471="EU_JD",Painel_diario!$J471=1),EXP(Painel_diario!$L471),1)-1</f>
        <v/>
      </c>
      <c r="C475" s="22">
        <f>(1+C474)*IF(AND(Painel_diario!$H471="EU_JU",Painel_diario!$J471=1),EXP(Painel_diario!$L471),1)-1</f>
        <v/>
      </c>
      <c r="D475" s="22">
        <f>(1+D474)*IF(AND(Painel_diario!$H471="ED_JD",Painel_diario!$J471=1),EXP(Painel_diario!$L471),1)-1</f>
        <v/>
      </c>
      <c r="E475" s="22">
        <f>(1+E474)*IF(AND(Painel_diario!$H471="ED_JU",Painel_diario!$J471=1),EXP(Painel_diario!$L471),1)-1</f>
        <v/>
      </c>
    </row>
    <row r="476">
      <c r="A476" s="25" t="n">
        <v>39513</v>
      </c>
      <c r="B476" s="22">
        <f>(1+B475)*IF(AND(Painel_diario!$H472="EU_JD",Painel_diario!$J472=1),EXP(Painel_diario!$L472),1)-1</f>
        <v/>
      </c>
      <c r="C476" s="22">
        <f>(1+C475)*IF(AND(Painel_diario!$H472="EU_JU",Painel_diario!$J472=1),EXP(Painel_diario!$L472),1)-1</f>
        <v/>
      </c>
      <c r="D476" s="22">
        <f>(1+D475)*IF(AND(Painel_diario!$H472="ED_JD",Painel_diario!$J472=1),EXP(Painel_diario!$L472),1)-1</f>
        <v/>
      </c>
      <c r="E476" s="22">
        <f>(1+E475)*IF(AND(Painel_diario!$H472="ED_JU",Painel_diario!$J472=1),EXP(Painel_diario!$L472),1)-1</f>
        <v/>
      </c>
    </row>
    <row r="477">
      <c r="A477" s="25" t="n">
        <v>39514</v>
      </c>
      <c r="B477" s="22">
        <f>(1+B476)*IF(AND(Painel_diario!$H473="EU_JD",Painel_diario!$J473=1),EXP(Painel_diario!$L473),1)-1</f>
        <v/>
      </c>
      <c r="C477" s="22">
        <f>(1+C476)*IF(AND(Painel_diario!$H473="EU_JU",Painel_diario!$J473=1),EXP(Painel_diario!$L473),1)-1</f>
        <v/>
      </c>
      <c r="D477" s="22">
        <f>(1+D476)*IF(AND(Painel_diario!$H473="ED_JD",Painel_diario!$J473=1),EXP(Painel_diario!$L473),1)-1</f>
        <v/>
      </c>
      <c r="E477" s="22">
        <f>(1+E476)*IF(AND(Painel_diario!$H473="ED_JU",Painel_diario!$J473=1),EXP(Painel_diario!$L473),1)-1</f>
        <v/>
      </c>
    </row>
    <row r="478">
      <c r="A478" s="25" t="n">
        <v>39517</v>
      </c>
      <c r="B478" s="22">
        <f>(1+B477)*IF(AND(Painel_diario!$H474="EU_JD",Painel_diario!$J474=1),EXP(Painel_diario!$L474),1)-1</f>
        <v/>
      </c>
      <c r="C478" s="22">
        <f>(1+C477)*IF(AND(Painel_diario!$H474="EU_JU",Painel_diario!$J474=1),EXP(Painel_diario!$L474),1)-1</f>
        <v/>
      </c>
      <c r="D478" s="22">
        <f>(1+D477)*IF(AND(Painel_diario!$H474="ED_JD",Painel_diario!$J474=1),EXP(Painel_diario!$L474),1)-1</f>
        <v/>
      </c>
      <c r="E478" s="22">
        <f>(1+E477)*IF(AND(Painel_diario!$H474="ED_JU",Painel_diario!$J474=1),EXP(Painel_diario!$L474),1)-1</f>
        <v/>
      </c>
    </row>
    <row r="479">
      <c r="A479" s="25" t="n">
        <v>39518</v>
      </c>
      <c r="B479" s="22">
        <f>(1+B478)*IF(AND(Painel_diario!$H475="EU_JD",Painel_diario!$J475=1),EXP(Painel_diario!$L475),1)-1</f>
        <v/>
      </c>
      <c r="C479" s="22">
        <f>(1+C478)*IF(AND(Painel_diario!$H475="EU_JU",Painel_diario!$J475=1),EXP(Painel_diario!$L475),1)-1</f>
        <v/>
      </c>
      <c r="D479" s="22">
        <f>(1+D478)*IF(AND(Painel_diario!$H475="ED_JD",Painel_diario!$J475=1),EXP(Painel_diario!$L475),1)-1</f>
        <v/>
      </c>
      <c r="E479" s="22">
        <f>(1+E478)*IF(AND(Painel_diario!$H475="ED_JU",Painel_diario!$J475=1),EXP(Painel_diario!$L475),1)-1</f>
        <v/>
      </c>
    </row>
    <row r="480">
      <c r="A480" s="25" t="n">
        <v>39519</v>
      </c>
      <c r="B480" s="22">
        <f>(1+B479)*IF(AND(Painel_diario!$H476="EU_JD",Painel_diario!$J476=1),EXP(Painel_diario!$L476),1)-1</f>
        <v/>
      </c>
      <c r="C480" s="22">
        <f>(1+C479)*IF(AND(Painel_diario!$H476="EU_JU",Painel_diario!$J476=1),EXP(Painel_diario!$L476),1)-1</f>
        <v/>
      </c>
      <c r="D480" s="22">
        <f>(1+D479)*IF(AND(Painel_diario!$H476="ED_JD",Painel_diario!$J476=1),EXP(Painel_diario!$L476),1)-1</f>
        <v/>
      </c>
      <c r="E480" s="22">
        <f>(1+E479)*IF(AND(Painel_diario!$H476="ED_JU",Painel_diario!$J476=1),EXP(Painel_diario!$L476),1)-1</f>
        <v/>
      </c>
    </row>
    <row r="481">
      <c r="A481" s="25" t="n">
        <v>39520</v>
      </c>
      <c r="B481" s="22">
        <f>(1+B480)*IF(AND(Painel_diario!$H477="EU_JD",Painel_diario!$J477=1),EXP(Painel_diario!$L477),1)-1</f>
        <v/>
      </c>
      <c r="C481" s="22">
        <f>(1+C480)*IF(AND(Painel_diario!$H477="EU_JU",Painel_diario!$J477=1),EXP(Painel_diario!$L477),1)-1</f>
        <v/>
      </c>
      <c r="D481" s="22">
        <f>(1+D480)*IF(AND(Painel_diario!$H477="ED_JD",Painel_diario!$J477=1),EXP(Painel_diario!$L477),1)-1</f>
        <v/>
      </c>
      <c r="E481" s="22">
        <f>(1+E480)*IF(AND(Painel_diario!$H477="ED_JU",Painel_diario!$J477=1),EXP(Painel_diario!$L477),1)-1</f>
        <v/>
      </c>
    </row>
    <row r="482">
      <c r="A482" s="25" t="n">
        <v>39521</v>
      </c>
      <c r="B482" s="22">
        <f>(1+B481)*IF(AND(Painel_diario!$H478="EU_JD",Painel_diario!$J478=1),EXP(Painel_diario!$L478),1)-1</f>
        <v/>
      </c>
      <c r="C482" s="22">
        <f>(1+C481)*IF(AND(Painel_diario!$H478="EU_JU",Painel_diario!$J478=1),EXP(Painel_diario!$L478),1)-1</f>
        <v/>
      </c>
      <c r="D482" s="22">
        <f>(1+D481)*IF(AND(Painel_diario!$H478="ED_JD",Painel_diario!$J478=1),EXP(Painel_diario!$L478),1)-1</f>
        <v/>
      </c>
      <c r="E482" s="22">
        <f>(1+E481)*IF(AND(Painel_diario!$H478="ED_JU",Painel_diario!$J478=1),EXP(Painel_diario!$L478),1)-1</f>
        <v/>
      </c>
    </row>
    <row r="483">
      <c r="A483" s="25" t="n">
        <v>39524</v>
      </c>
      <c r="B483" s="22">
        <f>(1+B482)*IF(AND(Painel_diario!$H479="EU_JD",Painel_diario!$J479=1),EXP(Painel_diario!$L479),1)-1</f>
        <v/>
      </c>
      <c r="C483" s="22">
        <f>(1+C482)*IF(AND(Painel_diario!$H479="EU_JU",Painel_diario!$J479=1),EXP(Painel_diario!$L479),1)-1</f>
        <v/>
      </c>
      <c r="D483" s="22">
        <f>(1+D482)*IF(AND(Painel_diario!$H479="ED_JD",Painel_diario!$J479=1),EXP(Painel_diario!$L479),1)-1</f>
        <v/>
      </c>
      <c r="E483" s="22">
        <f>(1+E482)*IF(AND(Painel_diario!$H479="ED_JU",Painel_diario!$J479=1),EXP(Painel_diario!$L479),1)-1</f>
        <v/>
      </c>
    </row>
    <row r="484">
      <c r="A484" s="25" t="n">
        <v>39525</v>
      </c>
      <c r="B484" s="22">
        <f>(1+B483)*IF(AND(Painel_diario!$H480="EU_JD",Painel_diario!$J480=1),EXP(Painel_diario!$L480),1)-1</f>
        <v/>
      </c>
      <c r="C484" s="22">
        <f>(1+C483)*IF(AND(Painel_diario!$H480="EU_JU",Painel_diario!$J480=1),EXP(Painel_diario!$L480),1)-1</f>
        <v/>
      </c>
      <c r="D484" s="22">
        <f>(1+D483)*IF(AND(Painel_diario!$H480="ED_JD",Painel_diario!$J480=1),EXP(Painel_diario!$L480),1)-1</f>
        <v/>
      </c>
      <c r="E484" s="22">
        <f>(1+E483)*IF(AND(Painel_diario!$H480="ED_JU",Painel_diario!$J480=1),EXP(Painel_diario!$L480),1)-1</f>
        <v/>
      </c>
    </row>
    <row r="485">
      <c r="A485" s="25" t="n">
        <v>39526</v>
      </c>
      <c r="B485" s="22">
        <f>(1+B484)*IF(AND(Painel_diario!$H481="EU_JD",Painel_diario!$J481=1),EXP(Painel_diario!$L481),1)-1</f>
        <v/>
      </c>
      <c r="C485" s="22">
        <f>(1+C484)*IF(AND(Painel_diario!$H481="EU_JU",Painel_diario!$J481=1),EXP(Painel_diario!$L481),1)-1</f>
        <v/>
      </c>
      <c r="D485" s="22">
        <f>(1+D484)*IF(AND(Painel_diario!$H481="ED_JD",Painel_diario!$J481=1),EXP(Painel_diario!$L481),1)-1</f>
        <v/>
      </c>
      <c r="E485" s="22">
        <f>(1+E484)*IF(AND(Painel_diario!$H481="ED_JU",Painel_diario!$J481=1),EXP(Painel_diario!$L481),1)-1</f>
        <v/>
      </c>
    </row>
    <row r="486">
      <c r="A486" s="25" t="n">
        <v>39527</v>
      </c>
      <c r="B486" s="22">
        <f>(1+B485)*IF(AND(Painel_diario!$H482="EU_JD",Painel_diario!$J482=1),EXP(Painel_diario!$L482),1)-1</f>
        <v/>
      </c>
      <c r="C486" s="22">
        <f>(1+C485)*IF(AND(Painel_diario!$H482="EU_JU",Painel_diario!$J482=1),EXP(Painel_diario!$L482),1)-1</f>
        <v/>
      </c>
      <c r="D486" s="22">
        <f>(1+D485)*IF(AND(Painel_diario!$H482="ED_JD",Painel_diario!$J482=1),EXP(Painel_diario!$L482),1)-1</f>
        <v/>
      </c>
      <c r="E486" s="22">
        <f>(1+E485)*IF(AND(Painel_diario!$H482="ED_JU",Painel_diario!$J482=1),EXP(Painel_diario!$L482),1)-1</f>
        <v/>
      </c>
    </row>
    <row r="487">
      <c r="A487" s="25" t="n">
        <v>39531</v>
      </c>
      <c r="B487" s="22">
        <f>(1+B486)*IF(AND(Painel_diario!$H483="EU_JD",Painel_diario!$J483=1),EXP(Painel_diario!$L483),1)-1</f>
        <v/>
      </c>
      <c r="C487" s="22">
        <f>(1+C486)*IF(AND(Painel_diario!$H483="EU_JU",Painel_diario!$J483=1),EXP(Painel_diario!$L483),1)-1</f>
        <v/>
      </c>
      <c r="D487" s="22">
        <f>(1+D486)*IF(AND(Painel_diario!$H483="ED_JD",Painel_diario!$J483=1),EXP(Painel_diario!$L483),1)-1</f>
        <v/>
      </c>
      <c r="E487" s="22">
        <f>(1+E486)*IF(AND(Painel_diario!$H483="ED_JU",Painel_diario!$J483=1),EXP(Painel_diario!$L483),1)-1</f>
        <v/>
      </c>
    </row>
    <row r="488">
      <c r="A488" s="25" t="n">
        <v>39532</v>
      </c>
      <c r="B488" s="22">
        <f>(1+B487)*IF(AND(Painel_diario!$H484="EU_JD",Painel_diario!$J484=1),EXP(Painel_diario!$L484),1)-1</f>
        <v/>
      </c>
      <c r="C488" s="22">
        <f>(1+C487)*IF(AND(Painel_diario!$H484="EU_JU",Painel_diario!$J484=1),EXP(Painel_diario!$L484),1)-1</f>
        <v/>
      </c>
      <c r="D488" s="22">
        <f>(1+D487)*IF(AND(Painel_diario!$H484="ED_JD",Painel_diario!$J484=1),EXP(Painel_diario!$L484),1)-1</f>
        <v/>
      </c>
      <c r="E488" s="22">
        <f>(1+E487)*IF(AND(Painel_diario!$H484="ED_JU",Painel_diario!$J484=1),EXP(Painel_diario!$L484),1)-1</f>
        <v/>
      </c>
    </row>
    <row r="489">
      <c r="A489" s="25" t="n">
        <v>39533</v>
      </c>
      <c r="B489" s="22">
        <f>(1+B488)*IF(AND(Painel_diario!$H485="EU_JD",Painel_diario!$J485=1),EXP(Painel_diario!$L485),1)-1</f>
        <v/>
      </c>
      <c r="C489" s="22">
        <f>(1+C488)*IF(AND(Painel_diario!$H485="EU_JU",Painel_diario!$J485=1),EXP(Painel_diario!$L485),1)-1</f>
        <v/>
      </c>
      <c r="D489" s="22">
        <f>(1+D488)*IF(AND(Painel_diario!$H485="ED_JD",Painel_diario!$J485=1),EXP(Painel_diario!$L485),1)-1</f>
        <v/>
      </c>
      <c r="E489" s="22">
        <f>(1+E488)*IF(AND(Painel_diario!$H485="ED_JU",Painel_diario!$J485=1),EXP(Painel_diario!$L485),1)-1</f>
        <v/>
      </c>
    </row>
    <row r="490">
      <c r="A490" s="25" t="n">
        <v>39534</v>
      </c>
      <c r="B490" s="22">
        <f>(1+B489)*IF(AND(Painel_diario!$H486="EU_JD",Painel_diario!$J486=1),EXP(Painel_diario!$L486),1)-1</f>
        <v/>
      </c>
      <c r="C490" s="22">
        <f>(1+C489)*IF(AND(Painel_diario!$H486="EU_JU",Painel_diario!$J486=1),EXP(Painel_diario!$L486),1)-1</f>
        <v/>
      </c>
      <c r="D490" s="22">
        <f>(1+D489)*IF(AND(Painel_diario!$H486="ED_JD",Painel_diario!$J486=1),EXP(Painel_diario!$L486),1)-1</f>
        <v/>
      </c>
      <c r="E490" s="22">
        <f>(1+E489)*IF(AND(Painel_diario!$H486="ED_JU",Painel_diario!$J486=1),EXP(Painel_diario!$L486),1)-1</f>
        <v/>
      </c>
    </row>
    <row r="491">
      <c r="A491" s="25" t="n">
        <v>39535</v>
      </c>
      <c r="B491" s="22">
        <f>(1+B490)*IF(AND(Painel_diario!$H487="EU_JD",Painel_diario!$J487=1),EXP(Painel_diario!$L487),1)-1</f>
        <v/>
      </c>
      <c r="C491" s="22">
        <f>(1+C490)*IF(AND(Painel_diario!$H487="EU_JU",Painel_diario!$J487=1),EXP(Painel_diario!$L487),1)-1</f>
        <v/>
      </c>
      <c r="D491" s="22">
        <f>(1+D490)*IF(AND(Painel_diario!$H487="ED_JD",Painel_diario!$J487=1),EXP(Painel_diario!$L487),1)-1</f>
        <v/>
      </c>
      <c r="E491" s="22">
        <f>(1+E490)*IF(AND(Painel_diario!$H487="ED_JU",Painel_diario!$J487=1),EXP(Painel_diario!$L487),1)-1</f>
        <v/>
      </c>
    </row>
    <row r="492">
      <c r="A492" s="25" t="n">
        <v>39538</v>
      </c>
      <c r="B492" s="22">
        <f>(1+B491)*IF(AND(Painel_diario!$H488="EU_JD",Painel_diario!$J488=1),EXP(Painel_diario!$L488),1)-1</f>
        <v/>
      </c>
      <c r="C492" s="22">
        <f>(1+C491)*IF(AND(Painel_diario!$H488="EU_JU",Painel_diario!$J488=1),EXP(Painel_diario!$L488),1)-1</f>
        <v/>
      </c>
      <c r="D492" s="22">
        <f>(1+D491)*IF(AND(Painel_diario!$H488="ED_JD",Painel_diario!$J488=1),EXP(Painel_diario!$L488),1)-1</f>
        <v/>
      </c>
      <c r="E492" s="22">
        <f>(1+E491)*IF(AND(Painel_diario!$H488="ED_JU",Painel_diario!$J488=1),EXP(Painel_diario!$L488),1)-1</f>
        <v/>
      </c>
    </row>
    <row r="493">
      <c r="A493" s="25" t="n">
        <v>39539</v>
      </c>
      <c r="B493" s="22">
        <f>(1+B492)*IF(AND(Painel_diario!$H489="EU_JD",Painel_diario!$J489=1),EXP(Painel_diario!$L489),1)-1</f>
        <v/>
      </c>
      <c r="C493" s="22">
        <f>(1+C492)*IF(AND(Painel_diario!$H489="EU_JU",Painel_diario!$J489=1),EXP(Painel_diario!$L489),1)-1</f>
        <v/>
      </c>
      <c r="D493" s="22">
        <f>(1+D492)*IF(AND(Painel_diario!$H489="ED_JD",Painel_diario!$J489=1),EXP(Painel_diario!$L489),1)-1</f>
        <v/>
      </c>
      <c r="E493" s="22">
        <f>(1+E492)*IF(AND(Painel_diario!$H489="ED_JU",Painel_diario!$J489=1),EXP(Painel_diario!$L489),1)-1</f>
        <v/>
      </c>
    </row>
    <row r="494">
      <c r="A494" s="25" t="n">
        <v>39540</v>
      </c>
      <c r="B494" s="22">
        <f>(1+B493)*IF(AND(Painel_diario!$H490="EU_JD",Painel_diario!$J490=1),EXP(Painel_diario!$L490),1)-1</f>
        <v/>
      </c>
      <c r="C494" s="22">
        <f>(1+C493)*IF(AND(Painel_diario!$H490="EU_JU",Painel_diario!$J490=1),EXP(Painel_diario!$L490),1)-1</f>
        <v/>
      </c>
      <c r="D494" s="22">
        <f>(1+D493)*IF(AND(Painel_diario!$H490="ED_JD",Painel_diario!$J490=1),EXP(Painel_diario!$L490),1)-1</f>
        <v/>
      </c>
      <c r="E494" s="22">
        <f>(1+E493)*IF(AND(Painel_diario!$H490="ED_JU",Painel_diario!$J490=1),EXP(Painel_diario!$L490),1)-1</f>
        <v/>
      </c>
    </row>
    <row r="495">
      <c r="A495" s="25" t="n">
        <v>39541</v>
      </c>
      <c r="B495" s="22">
        <f>(1+B494)*IF(AND(Painel_diario!$H491="EU_JD",Painel_diario!$J491=1),EXP(Painel_diario!$L491),1)-1</f>
        <v/>
      </c>
      <c r="C495" s="22">
        <f>(1+C494)*IF(AND(Painel_diario!$H491="EU_JU",Painel_diario!$J491=1),EXP(Painel_diario!$L491),1)-1</f>
        <v/>
      </c>
      <c r="D495" s="22">
        <f>(1+D494)*IF(AND(Painel_diario!$H491="ED_JD",Painel_diario!$J491=1),EXP(Painel_diario!$L491),1)-1</f>
        <v/>
      </c>
      <c r="E495" s="22">
        <f>(1+E494)*IF(AND(Painel_diario!$H491="ED_JU",Painel_diario!$J491=1),EXP(Painel_diario!$L491),1)-1</f>
        <v/>
      </c>
    </row>
    <row r="496">
      <c r="A496" s="25" t="n">
        <v>39542</v>
      </c>
      <c r="B496" s="22">
        <f>(1+B495)*IF(AND(Painel_diario!$H492="EU_JD",Painel_diario!$J492=1),EXP(Painel_diario!$L492),1)-1</f>
        <v/>
      </c>
      <c r="C496" s="22">
        <f>(1+C495)*IF(AND(Painel_diario!$H492="EU_JU",Painel_diario!$J492=1),EXP(Painel_diario!$L492),1)-1</f>
        <v/>
      </c>
      <c r="D496" s="22">
        <f>(1+D495)*IF(AND(Painel_diario!$H492="ED_JD",Painel_diario!$J492=1),EXP(Painel_diario!$L492),1)-1</f>
        <v/>
      </c>
      <c r="E496" s="22">
        <f>(1+E495)*IF(AND(Painel_diario!$H492="ED_JU",Painel_diario!$J492=1),EXP(Painel_diario!$L492),1)-1</f>
        <v/>
      </c>
    </row>
    <row r="497">
      <c r="A497" s="25" t="n">
        <v>39545</v>
      </c>
      <c r="B497" s="22">
        <f>(1+B496)*IF(AND(Painel_diario!$H493="EU_JD",Painel_diario!$J493=1),EXP(Painel_diario!$L493),1)-1</f>
        <v/>
      </c>
      <c r="C497" s="22">
        <f>(1+C496)*IF(AND(Painel_diario!$H493="EU_JU",Painel_diario!$J493=1),EXP(Painel_diario!$L493),1)-1</f>
        <v/>
      </c>
      <c r="D497" s="22">
        <f>(1+D496)*IF(AND(Painel_diario!$H493="ED_JD",Painel_diario!$J493=1),EXP(Painel_diario!$L493),1)-1</f>
        <v/>
      </c>
      <c r="E497" s="22">
        <f>(1+E496)*IF(AND(Painel_diario!$H493="ED_JU",Painel_diario!$J493=1),EXP(Painel_diario!$L493),1)-1</f>
        <v/>
      </c>
    </row>
    <row r="498">
      <c r="A498" s="25" t="n">
        <v>39546</v>
      </c>
      <c r="B498" s="22">
        <f>(1+B497)*IF(AND(Painel_diario!$H494="EU_JD",Painel_diario!$J494=1),EXP(Painel_diario!$L494),1)-1</f>
        <v/>
      </c>
      <c r="C498" s="22">
        <f>(1+C497)*IF(AND(Painel_diario!$H494="EU_JU",Painel_diario!$J494=1),EXP(Painel_diario!$L494),1)-1</f>
        <v/>
      </c>
      <c r="D498" s="22">
        <f>(1+D497)*IF(AND(Painel_diario!$H494="ED_JD",Painel_diario!$J494=1),EXP(Painel_diario!$L494),1)-1</f>
        <v/>
      </c>
      <c r="E498" s="22">
        <f>(1+E497)*IF(AND(Painel_diario!$H494="ED_JU",Painel_diario!$J494=1),EXP(Painel_diario!$L494),1)-1</f>
        <v/>
      </c>
    </row>
    <row r="499">
      <c r="A499" s="25" t="n">
        <v>39547</v>
      </c>
      <c r="B499" s="22">
        <f>(1+B498)*IF(AND(Painel_diario!$H495="EU_JD",Painel_diario!$J495=1),EXP(Painel_diario!$L495),1)-1</f>
        <v/>
      </c>
      <c r="C499" s="22">
        <f>(1+C498)*IF(AND(Painel_diario!$H495="EU_JU",Painel_diario!$J495=1),EXP(Painel_diario!$L495),1)-1</f>
        <v/>
      </c>
      <c r="D499" s="22">
        <f>(1+D498)*IF(AND(Painel_diario!$H495="ED_JD",Painel_diario!$J495=1),EXP(Painel_diario!$L495),1)-1</f>
        <v/>
      </c>
      <c r="E499" s="22">
        <f>(1+E498)*IF(AND(Painel_diario!$H495="ED_JU",Painel_diario!$J495=1),EXP(Painel_diario!$L495),1)-1</f>
        <v/>
      </c>
    </row>
    <row r="500">
      <c r="A500" s="25" t="n">
        <v>39548</v>
      </c>
      <c r="B500" s="22">
        <f>(1+B499)*IF(AND(Painel_diario!$H496="EU_JD",Painel_diario!$J496=1),EXP(Painel_diario!$L496),1)-1</f>
        <v/>
      </c>
      <c r="C500" s="22">
        <f>(1+C499)*IF(AND(Painel_diario!$H496="EU_JU",Painel_diario!$J496=1),EXP(Painel_diario!$L496),1)-1</f>
        <v/>
      </c>
      <c r="D500" s="22">
        <f>(1+D499)*IF(AND(Painel_diario!$H496="ED_JD",Painel_diario!$J496=1),EXP(Painel_diario!$L496),1)-1</f>
        <v/>
      </c>
      <c r="E500" s="22">
        <f>(1+E499)*IF(AND(Painel_diario!$H496="ED_JU",Painel_diario!$J496=1),EXP(Painel_diario!$L496),1)-1</f>
        <v/>
      </c>
    </row>
    <row r="501">
      <c r="A501" s="25" t="n">
        <v>39549</v>
      </c>
      <c r="B501" s="22">
        <f>(1+B500)*IF(AND(Painel_diario!$H497="EU_JD",Painel_diario!$J497=1),EXP(Painel_diario!$L497),1)-1</f>
        <v/>
      </c>
      <c r="C501" s="22">
        <f>(1+C500)*IF(AND(Painel_diario!$H497="EU_JU",Painel_diario!$J497=1),EXP(Painel_diario!$L497),1)-1</f>
        <v/>
      </c>
      <c r="D501" s="22">
        <f>(1+D500)*IF(AND(Painel_diario!$H497="ED_JD",Painel_diario!$J497=1),EXP(Painel_diario!$L497),1)-1</f>
        <v/>
      </c>
      <c r="E501" s="22">
        <f>(1+E500)*IF(AND(Painel_diario!$H497="ED_JU",Painel_diario!$J497=1),EXP(Painel_diario!$L497),1)-1</f>
        <v/>
      </c>
    </row>
    <row r="502">
      <c r="A502" s="25" t="n">
        <v>39552</v>
      </c>
      <c r="B502" s="22">
        <f>(1+B501)*IF(AND(Painel_diario!$H498="EU_JD",Painel_diario!$J498=1),EXP(Painel_diario!$L498),1)-1</f>
        <v/>
      </c>
      <c r="C502" s="22">
        <f>(1+C501)*IF(AND(Painel_diario!$H498="EU_JU",Painel_diario!$J498=1),EXP(Painel_diario!$L498),1)-1</f>
        <v/>
      </c>
      <c r="D502" s="22">
        <f>(1+D501)*IF(AND(Painel_diario!$H498="ED_JD",Painel_diario!$J498=1),EXP(Painel_diario!$L498),1)-1</f>
        <v/>
      </c>
      <c r="E502" s="22">
        <f>(1+E501)*IF(AND(Painel_diario!$H498="ED_JU",Painel_diario!$J498=1),EXP(Painel_diario!$L498),1)-1</f>
        <v/>
      </c>
    </row>
    <row r="503">
      <c r="A503" s="25" t="n">
        <v>39553</v>
      </c>
      <c r="B503" s="22">
        <f>(1+B502)*IF(AND(Painel_diario!$H499="EU_JD",Painel_diario!$J499=1),EXP(Painel_diario!$L499),1)-1</f>
        <v/>
      </c>
      <c r="C503" s="22">
        <f>(1+C502)*IF(AND(Painel_diario!$H499="EU_JU",Painel_diario!$J499=1),EXP(Painel_diario!$L499),1)-1</f>
        <v/>
      </c>
      <c r="D503" s="22">
        <f>(1+D502)*IF(AND(Painel_diario!$H499="ED_JD",Painel_diario!$J499=1),EXP(Painel_diario!$L499),1)-1</f>
        <v/>
      </c>
      <c r="E503" s="22">
        <f>(1+E502)*IF(AND(Painel_diario!$H499="ED_JU",Painel_diario!$J499=1),EXP(Painel_diario!$L499),1)-1</f>
        <v/>
      </c>
    </row>
    <row r="504">
      <c r="A504" s="25" t="n">
        <v>39554</v>
      </c>
      <c r="B504" s="22">
        <f>(1+B503)*IF(AND(Painel_diario!$H500="EU_JD",Painel_diario!$J500=1),EXP(Painel_diario!$L500),1)-1</f>
        <v/>
      </c>
      <c r="C504" s="22">
        <f>(1+C503)*IF(AND(Painel_diario!$H500="EU_JU",Painel_diario!$J500=1),EXP(Painel_diario!$L500),1)-1</f>
        <v/>
      </c>
      <c r="D504" s="22">
        <f>(1+D503)*IF(AND(Painel_diario!$H500="ED_JD",Painel_diario!$J500=1),EXP(Painel_diario!$L500),1)-1</f>
        <v/>
      </c>
      <c r="E504" s="22">
        <f>(1+E503)*IF(AND(Painel_diario!$H500="ED_JU",Painel_diario!$J500=1),EXP(Painel_diario!$L500),1)-1</f>
        <v/>
      </c>
    </row>
    <row r="505">
      <c r="A505" s="25" t="n">
        <v>39555</v>
      </c>
      <c r="B505" s="22">
        <f>(1+B504)*IF(AND(Painel_diario!$H501="EU_JD",Painel_diario!$J501=1),EXP(Painel_diario!$L501),1)-1</f>
        <v/>
      </c>
      <c r="C505" s="22">
        <f>(1+C504)*IF(AND(Painel_diario!$H501="EU_JU",Painel_diario!$J501=1),EXP(Painel_diario!$L501),1)-1</f>
        <v/>
      </c>
      <c r="D505" s="22">
        <f>(1+D504)*IF(AND(Painel_diario!$H501="ED_JD",Painel_diario!$J501=1),EXP(Painel_diario!$L501),1)-1</f>
        <v/>
      </c>
      <c r="E505" s="22">
        <f>(1+E504)*IF(AND(Painel_diario!$H501="ED_JU",Painel_diario!$J501=1),EXP(Painel_diario!$L501),1)-1</f>
        <v/>
      </c>
    </row>
    <row r="506">
      <c r="A506" s="25" t="n">
        <v>39556</v>
      </c>
      <c r="B506" s="22">
        <f>(1+B505)*IF(AND(Painel_diario!$H502="EU_JD",Painel_diario!$J502=1),EXP(Painel_diario!$L502),1)-1</f>
        <v/>
      </c>
      <c r="C506" s="22">
        <f>(1+C505)*IF(AND(Painel_diario!$H502="EU_JU",Painel_diario!$J502=1),EXP(Painel_diario!$L502),1)-1</f>
        <v/>
      </c>
      <c r="D506" s="22">
        <f>(1+D505)*IF(AND(Painel_diario!$H502="ED_JD",Painel_diario!$J502=1),EXP(Painel_diario!$L502),1)-1</f>
        <v/>
      </c>
      <c r="E506" s="22">
        <f>(1+E505)*IF(AND(Painel_diario!$H502="ED_JU",Painel_diario!$J502=1),EXP(Painel_diario!$L502),1)-1</f>
        <v/>
      </c>
    </row>
    <row r="507">
      <c r="A507" s="25" t="n">
        <v>39560</v>
      </c>
      <c r="B507" s="22">
        <f>(1+B506)*IF(AND(Painel_diario!$H503="EU_JD",Painel_diario!$J503=1),EXP(Painel_diario!$L503),1)-1</f>
        <v/>
      </c>
      <c r="C507" s="22">
        <f>(1+C506)*IF(AND(Painel_diario!$H503="EU_JU",Painel_diario!$J503=1),EXP(Painel_diario!$L503),1)-1</f>
        <v/>
      </c>
      <c r="D507" s="22">
        <f>(1+D506)*IF(AND(Painel_diario!$H503="ED_JD",Painel_diario!$J503=1),EXP(Painel_diario!$L503),1)-1</f>
        <v/>
      </c>
      <c r="E507" s="22">
        <f>(1+E506)*IF(AND(Painel_diario!$H503="ED_JU",Painel_diario!$J503=1),EXP(Painel_diario!$L503),1)-1</f>
        <v/>
      </c>
    </row>
    <row r="508">
      <c r="A508" s="25" t="n">
        <v>39561</v>
      </c>
      <c r="B508" s="22">
        <f>(1+B507)*IF(AND(Painel_diario!$H504="EU_JD",Painel_diario!$J504=1),EXP(Painel_diario!$L504),1)-1</f>
        <v/>
      </c>
      <c r="C508" s="22">
        <f>(1+C507)*IF(AND(Painel_diario!$H504="EU_JU",Painel_diario!$J504=1),EXP(Painel_diario!$L504),1)-1</f>
        <v/>
      </c>
      <c r="D508" s="22">
        <f>(1+D507)*IF(AND(Painel_diario!$H504="ED_JD",Painel_diario!$J504=1),EXP(Painel_diario!$L504),1)-1</f>
        <v/>
      </c>
      <c r="E508" s="22">
        <f>(1+E507)*IF(AND(Painel_diario!$H504="ED_JU",Painel_diario!$J504=1),EXP(Painel_diario!$L504),1)-1</f>
        <v/>
      </c>
    </row>
    <row r="509">
      <c r="A509" s="25" t="n">
        <v>39562</v>
      </c>
      <c r="B509" s="22">
        <f>(1+B508)*IF(AND(Painel_diario!$H505="EU_JD",Painel_diario!$J505=1),EXP(Painel_diario!$L505),1)-1</f>
        <v/>
      </c>
      <c r="C509" s="22">
        <f>(1+C508)*IF(AND(Painel_diario!$H505="EU_JU",Painel_diario!$J505=1),EXP(Painel_diario!$L505),1)-1</f>
        <v/>
      </c>
      <c r="D509" s="22">
        <f>(1+D508)*IF(AND(Painel_diario!$H505="ED_JD",Painel_diario!$J505=1),EXP(Painel_diario!$L505),1)-1</f>
        <v/>
      </c>
      <c r="E509" s="22">
        <f>(1+E508)*IF(AND(Painel_diario!$H505="ED_JU",Painel_diario!$J505=1),EXP(Painel_diario!$L505),1)-1</f>
        <v/>
      </c>
    </row>
    <row r="510">
      <c r="A510" s="25" t="n">
        <v>39563</v>
      </c>
      <c r="B510" s="22">
        <f>(1+B509)*IF(AND(Painel_diario!$H506="EU_JD",Painel_diario!$J506=1),EXP(Painel_diario!$L506),1)-1</f>
        <v/>
      </c>
      <c r="C510" s="22">
        <f>(1+C509)*IF(AND(Painel_diario!$H506="EU_JU",Painel_diario!$J506=1),EXP(Painel_diario!$L506),1)-1</f>
        <v/>
      </c>
      <c r="D510" s="22">
        <f>(1+D509)*IF(AND(Painel_diario!$H506="ED_JD",Painel_diario!$J506=1),EXP(Painel_diario!$L506),1)-1</f>
        <v/>
      </c>
      <c r="E510" s="22">
        <f>(1+E509)*IF(AND(Painel_diario!$H506="ED_JU",Painel_diario!$J506=1),EXP(Painel_diario!$L506),1)-1</f>
        <v/>
      </c>
    </row>
    <row r="511">
      <c r="A511" s="25" t="n">
        <v>39566</v>
      </c>
      <c r="B511" s="22">
        <f>(1+B510)*IF(AND(Painel_diario!$H507="EU_JD",Painel_diario!$J507=1),EXP(Painel_diario!$L507),1)-1</f>
        <v/>
      </c>
      <c r="C511" s="22">
        <f>(1+C510)*IF(AND(Painel_diario!$H507="EU_JU",Painel_diario!$J507=1),EXP(Painel_diario!$L507),1)-1</f>
        <v/>
      </c>
      <c r="D511" s="22">
        <f>(1+D510)*IF(AND(Painel_diario!$H507="ED_JD",Painel_diario!$J507=1),EXP(Painel_diario!$L507),1)-1</f>
        <v/>
      </c>
      <c r="E511" s="22">
        <f>(1+E510)*IF(AND(Painel_diario!$H507="ED_JU",Painel_diario!$J507=1),EXP(Painel_diario!$L507),1)-1</f>
        <v/>
      </c>
    </row>
    <row r="512">
      <c r="A512" s="25" t="n">
        <v>39567</v>
      </c>
      <c r="B512" s="22">
        <f>(1+B511)*IF(AND(Painel_diario!$H508="EU_JD",Painel_diario!$J508=1),EXP(Painel_diario!$L508),1)-1</f>
        <v/>
      </c>
      <c r="C512" s="22">
        <f>(1+C511)*IF(AND(Painel_diario!$H508="EU_JU",Painel_diario!$J508=1),EXP(Painel_diario!$L508),1)-1</f>
        <v/>
      </c>
      <c r="D512" s="22">
        <f>(1+D511)*IF(AND(Painel_diario!$H508="ED_JD",Painel_diario!$J508=1),EXP(Painel_diario!$L508),1)-1</f>
        <v/>
      </c>
      <c r="E512" s="22">
        <f>(1+E511)*IF(AND(Painel_diario!$H508="ED_JU",Painel_diario!$J508=1),EXP(Painel_diario!$L508),1)-1</f>
        <v/>
      </c>
    </row>
    <row r="513">
      <c r="A513" s="25" t="n">
        <v>39568</v>
      </c>
      <c r="B513" s="22">
        <f>(1+B512)*IF(AND(Painel_diario!$H509="EU_JD",Painel_diario!$J509=1),EXP(Painel_diario!$L509),1)-1</f>
        <v/>
      </c>
      <c r="C513" s="22">
        <f>(1+C512)*IF(AND(Painel_diario!$H509="EU_JU",Painel_diario!$J509=1),EXP(Painel_diario!$L509),1)-1</f>
        <v/>
      </c>
      <c r="D513" s="22">
        <f>(1+D512)*IF(AND(Painel_diario!$H509="ED_JD",Painel_diario!$J509=1),EXP(Painel_diario!$L509),1)-1</f>
        <v/>
      </c>
      <c r="E513" s="22">
        <f>(1+E512)*IF(AND(Painel_diario!$H509="ED_JU",Painel_diario!$J509=1),EXP(Painel_diario!$L509),1)-1</f>
        <v/>
      </c>
    </row>
    <row r="514">
      <c r="A514" s="25" t="n">
        <v>39570</v>
      </c>
      <c r="B514" s="22">
        <f>(1+B513)*IF(AND(Painel_diario!$H510="EU_JD",Painel_diario!$J510=1),EXP(Painel_diario!$L510),1)-1</f>
        <v/>
      </c>
      <c r="C514" s="22">
        <f>(1+C513)*IF(AND(Painel_diario!$H510="EU_JU",Painel_diario!$J510=1),EXP(Painel_diario!$L510),1)-1</f>
        <v/>
      </c>
      <c r="D514" s="22">
        <f>(1+D513)*IF(AND(Painel_diario!$H510="ED_JD",Painel_diario!$J510=1),EXP(Painel_diario!$L510),1)-1</f>
        <v/>
      </c>
      <c r="E514" s="22">
        <f>(1+E513)*IF(AND(Painel_diario!$H510="ED_JU",Painel_diario!$J510=1),EXP(Painel_diario!$L510),1)-1</f>
        <v/>
      </c>
    </row>
    <row r="515">
      <c r="A515" s="25" t="n">
        <v>39573</v>
      </c>
      <c r="B515" s="22">
        <f>(1+B514)*IF(AND(Painel_diario!$H511="EU_JD",Painel_diario!$J511=1),EXP(Painel_diario!$L511),1)-1</f>
        <v/>
      </c>
      <c r="C515" s="22">
        <f>(1+C514)*IF(AND(Painel_diario!$H511="EU_JU",Painel_diario!$J511=1),EXP(Painel_diario!$L511),1)-1</f>
        <v/>
      </c>
      <c r="D515" s="22">
        <f>(1+D514)*IF(AND(Painel_diario!$H511="ED_JD",Painel_diario!$J511=1),EXP(Painel_diario!$L511),1)-1</f>
        <v/>
      </c>
      <c r="E515" s="22">
        <f>(1+E514)*IF(AND(Painel_diario!$H511="ED_JU",Painel_diario!$J511=1),EXP(Painel_diario!$L511),1)-1</f>
        <v/>
      </c>
    </row>
    <row r="516">
      <c r="A516" s="25" t="n">
        <v>39574</v>
      </c>
      <c r="B516" s="22">
        <f>(1+B515)*IF(AND(Painel_diario!$H512="EU_JD",Painel_diario!$J512=1),EXP(Painel_diario!$L512),1)-1</f>
        <v/>
      </c>
      <c r="C516" s="22">
        <f>(1+C515)*IF(AND(Painel_diario!$H512="EU_JU",Painel_diario!$J512=1),EXP(Painel_diario!$L512),1)-1</f>
        <v/>
      </c>
      <c r="D516" s="22">
        <f>(1+D515)*IF(AND(Painel_diario!$H512="ED_JD",Painel_diario!$J512=1),EXP(Painel_diario!$L512),1)-1</f>
        <v/>
      </c>
      <c r="E516" s="22">
        <f>(1+E515)*IF(AND(Painel_diario!$H512="ED_JU",Painel_diario!$J512=1),EXP(Painel_diario!$L512),1)-1</f>
        <v/>
      </c>
    </row>
    <row r="517">
      <c r="A517" s="25" t="n">
        <v>39575</v>
      </c>
      <c r="B517" s="22">
        <f>(1+B516)*IF(AND(Painel_diario!$H513="EU_JD",Painel_diario!$J513=1),EXP(Painel_diario!$L513),1)-1</f>
        <v/>
      </c>
      <c r="C517" s="22">
        <f>(1+C516)*IF(AND(Painel_diario!$H513="EU_JU",Painel_diario!$J513=1),EXP(Painel_diario!$L513),1)-1</f>
        <v/>
      </c>
      <c r="D517" s="22">
        <f>(1+D516)*IF(AND(Painel_diario!$H513="ED_JD",Painel_diario!$J513=1),EXP(Painel_diario!$L513),1)-1</f>
        <v/>
      </c>
      <c r="E517" s="22">
        <f>(1+E516)*IF(AND(Painel_diario!$H513="ED_JU",Painel_diario!$J513=1),EXP(Painel_diario!$L513),1)-1</f>
        <v/>
      </c>
    </row>
    <row r="518">
      <c r="A518" s="25" t="n">
        <v>39576</v>
      </c>
      <c r="B518" s="22">
        <f>(1+B517)*IF(AND(Painel_diario!$H514="EU_JD",Painel_diario!$J514=1),EXP(Painel_diario!$L514),1)-1</f>
        <v/>
      </c>
      <c r="C518" s="22">
        <f>(1+C517)*IF(AND(Painel_diario!$H514="EU_JU",Painel_diario!$J514=1),EXP(Painel_diario!$L514),1)-1</f>
        <v/>
      </c>
      <c r="D518" s="22">
        <f>(1+D517)*IF(AND(Painel_diario!$H514="ED_JD",Painel_diario!$J514=1),EXP(Painel_diario!$L514),1)-1</f>
        <v/>
      </c>
      <c r="E518" s="22">
        <f>(1+E517)*IF(AND(Painel_diario!$H514="ED_JU",Painel_diario!$J514=1),EXP(Painel_diario!$L514),1)-1</f>
        <v/>
      </c>
    </row>
    <row r="519">
      <c r="A519" s="25" t="n">
        <v>39577</v>
      </c>
      <c r="B519" s="22">
        <f>(1+B518)*IF(AND(Painel_diario!$H515="EU_JD",Painel_diario!$J515=1),EXP(Painel_diario!$L515),1)-1</f>
        <v/>
      </c>
      <c r="C519" s="22">
        <f>(1+C518)*IF(AND(Painel_diario!$H515="EU_JU",Painel_diario!$J515=1),EXP(Painel_diario!$L515),1)-1</f>
        <v/>
      </c>
      <c r="D519" s="22">
        <f>(1+D518)*IF(AND(Painel_diario!$H515="ED_JD",Painel_diario!$J515=1),EXP(Painel_diario!$L515),1)-1</f>
        <v/>
      </c>
      <c r="E519" s="22">
        <f>(1+E518)*IF(AND(Painel_diario!$H515="ED_JU",Painel_diario!$J515=1),EXP(Painel_diario!$L515),1)-1</f>
        <v/>
      </c>
    </row>
    <row r="520">
      <c r="A520" s="25" t="n">
        <v>39580</v>
      </c>
      <c r="B520" s="22">
        <f>(1+B519)*IF(AND(Painel_diario!$H516="EU_JD",Painel_diario!$J516=1),EXP(Painel_diario!$L516),1)-1</f>
        <v/>
      </c>
      <c r="C520" s="22">
        <f>(1+C519)*IF(AND(Painel_diario!$H516="EU_JU",Painel_diario!$J516=1),EXP(Painel_diario!$L516),1)-1</f>
        <v/>
      </c>
      <c r="D520" s="22">
        <f>(1+D519)*IF(AND(Painel_diario!$H516="ED_JD",Painel_diario!$J516=1),EXP(Painel_diario!$L516),1)-1</f>
        <v/>
      </c>
      <c r="E520" s="22">
        <f>(1+E519)*IF(AND(Painel_diario!$H516="ED_JU",Painel_diario!$J516=1),EXP(Painel_diario!$L516),1)-1</f>
        <v/>
      </c>
    </row>
    <row r="521">
      <c r="A521" s="25" t="n">
        <v>39581</v>
      </c>
      <c r="B521" s="22">
        <f>(1+B520)*IF(AND(Painel_diario!$H517="EU_JD",Painel_diario!$J517=1),EXP(Painel_diario!$L517),1)-1</f>
        <v/>
      </c>
      <c r="C521" s="22">
        <f>(1+C520)*IF(AND(Painel_diario!$H517="EU_JU",Painel_diario!$J517=1),EXP(Painel_diario!$L517),1)-1</f>
        <v/>
      </c>
      <c r="D521" s="22">
        <f>(1+D520)*IF(AND(Painel_diario!$H517="ED_JD",Painel_diario!$J517=1),EXP(Painel_diario!$L517),1)-1</f>
        <v/>
      </c>
      <c r="E521" s="22">
        <f>(1+E520)*IF(AND(Painel_diario!$H517="ED_JU",Painel_diario!$J517=1),EXP(Painel_diario!$L517),1)-1</f>
        <v/>
      </c>
    </row>
    <row r="522">
      <c r="A522" s="25" t="n">
        <v>39582</v>
      </c>
      <c r="B522" s="22">
        <f>(1+B521)*IF(AND(Painel_diario!$H518="EU_JD",Painel_diario!$J518=1),EXP(Painel_diario!$L518),1)-1</f>
        <v/>
      </c>
      <c r="C522" s="22">
        <f>(1+C521)*IF(AND(Painel_diario!$H518="EU_JU",Painel_diario!$J518=1),EXP(Painel_diario!$L518),1)-1</f>
        <v/>
      </c>
      <c r="D522" s="22">
        <f>(1+D521)*IF(AND(Painel_diario!$H518="ED_JD",Painel_diario!$J518=1),EXP(Painel_diario!$L518),1)-1</f>
        <v/>
      </c>
      <c r="E522" s="22">
        <f>(1+E521)*IF(AND(Painel_diario!$H518="ED_JU",Painel_diario!$J518=1),EXP(Painel_diario!$L518),1)-1</f>
        <v/>
      </c>
    </row>
    <row r="523">
      <c r="A523" s="25" t="n">
        <v>39583</v>
      </c>
      <c r="B523" s="22">
        <f>(1+B522)*IF(AND(Painel_diario!$H519="EU_JD",Painel_diario!$J519=1),EXP(Painel_diario!$L519),1)-1</f>
        <v/>
      </c>
      <c r="C523" s="22">
        <f>(1+C522)*IF(AND(Painel_diario!$H519="EU_JU",Painel_diario!$J519=1),EXP(Painel_diario!$L519),1)-1</f>
        <v/>
      </c>
      <c r="D523" s="22">
        <f>(1+D522)*IF(AND(Painel_diario!$H519="ED_JD",Painel_diario!$J519=1),EXP(Painel_diario!$L519),1)-1</f>
        <v/>
      </c>
      <c r="E523" s="22">
        <f>(1+E522)*IF(AND(Painel_diario!$H519="ED_JU",Painel_diario!$J519=1),EXP(Painel_diario!$L519),1)-1</f>
        <v/>
      </c>
    </row>
    <row r="524">
      <c r="A524" s="25" t="n">
        <v>39584</v>
      </c>
      <c r="B524" s="22">
        <f>(1+B523)*IF(AND(Painel_diario!$H520="EU_JD",Painel_diario!$J520=1),EXP(Painel_diario!$L520),1)-1</f>
        <v/>
      </c>
      <c r="C524" s="22">
        <f>(1+C523)*IF(AND(Painel_diario!$H520="EU_JU",Painel_diario!$J520=1),EXP(Painel_diario!$L520),1)-1</f>
        <v/>
      </c>
      <c r="D524" s="22">
        <f>(1+D523)*IF(AND(Painel_diario!$H520="ED_JD",Painel_diario!$J520=1),EXP(Painel_diario!$L520),1)-1</f>
        <v/>
      </c>
      <c r="E524" s="22">
        <f>(1+E523)*IF(AND(Painel_diario!$H520="ED_JU",Painel_diario!$J520=1),EXP(Painel_diario!$L520),1)-1</f>
        <v/>
      </c>
    </row>
    <row r="525">
      <c r="A525" s="25" t="n">
        <v>39587</v>
      </c>
      <c r="B525" s="22">
        <f>(1+B524)*IF(AND(Painel_diario!$H521="EU_JD",Painel_diario!$J521=1),EXP(Painel_diario!$L521),1)-1</f>
        <v/>
      </c>
      <c r="C525" s="22">
        <f>(1+C524)*IF(AND(Painel_diario!$H521="EU_JU",Painel_diario!$J521=1),EXP(Painel_diario!$L521),1)-1</f>
        <v/>
      </c>
      <c r="D525" s="22">
        <f>(1+D524)*IF(AND(Painel_diario!$H521="ED_JD",Painel_diario!$J521=1),EXP(Painel_diario!$L521),1)-1</f>
        <v/>
      </c>
      <c r="E525" s="22">
        <f>(1+E524)*IF(AND(Painel_diario!$H521="ED_JU",Painel_diario!$J521=1),EXP(Painel_diario!$L521),1)-1</f>
        <v/>
      </c>
    </row>
    <row r="526">
      <c r="A526" s="25" t="n">
        <v>39588</v>
      </c>
      <c r="B526" s="22">
        <f>(1+B525)*IF(AND(Painel_diario!$H522="EU_JD",Painel_diario!$J522=1),EXP(Painel_diario!$L522),1)-1</f>
        <v/>
      </c>
      <c r="C526" s="22">
        <f>(1+C525)*IF(AND(Painel_diario!$H522="EU_JU",Painel_diario!$J522=1),EXP(Painel_diario!$L522),1)-1</f>
        <v/>
      </c>
      <c r="D526" s="22">
        <f>(1+D525)*IF(AND(Painel_diario!$H522="ED_JD",Painel_diario!$J522=1),EXP(Painel_diario!$L522),1)-1</f>
        <v/>
      </c>
      <c r="E526" s="22">
        <f>(1+E525)*IF(AND(Painel_diario!$H522="ED_JU",Painel_diario!$J522=1),EXP(Painel_diario!$L522),1)-1</f>
        <v/>
      </c>
    </row>
    <row r="527">
      <c r="A527" s="25" t="n">
        <v>39589</v>
      </c>
      <c r="B527" s="22">
        <f>(1+B526)*IF(AND(Painel_diario!$H523="EU_JD",Painel_diario!$J523=1),EXP(Painel_diario!$L523),1)-1</f>
        <v/>
      </c>
      <c r="C527" s="22">
        <f>(1+C526)*IF(AND(Painel_diario!$H523="EU_JU",Painel_diario!$J523=1),EXP(Painel_diario!$L523),1)-1</f>
        <v/>
      </c>
      <c r="D527" s="22">
        <f>(1+D526)*IF(AND(Painel_diario!$H523="ED_JD",Painel_diario!$J523=1),EXP(Painel_diario!$L523),1)-1</f>
        <v/>
      </c>
      <c r="E527" s="22">
        <f>(1+E526)*IF(AND(Painel_diario!$H523="ED_JU",Painel_diario!$J523=1),EXP(Painel_diario!$L523),1)-1</f>
        <v/>
      </c>
    </row>
    <row r="528">
      <c r="A528" s="25" t="n">
        <v>39591</v>
      </c>
      <c r="B528" s="22">
        <f>(1+B527)*IF(AND(Painel_diario!$H524="EU_JD",Painel_diario!$J524=1),EXP(Painel_diario!$L524),1)-1</f>
        <v/>
      </c>
      <c r="C528" s="22">
        <f>(1+C527)*IF(AND(Painel_diario!$H524="EU_JU",Painel_diario!$J524=1),EXP(Painel_diario!$L524),1)-1</f>
        <v/>
      </c>
      <c r="D528" s="22">
        <f>(1+D527)*IF(AND(Painel_diario!$H524="ED_JD",Painel_diario!$J524=1),EXP(Painel_diario!$L524),1)-1</f>
        <v/>
      </c>
      <c r="E528" s="22">
        <f>(1+E527)*IF(AND(Painel_diario!$H524="ED_JU",Painel_diario!$J524=1),EXP(Painel_diario!$L524),1)-1</f>
        <v/>
      </c>
    </row>
    <row r="529">
      <c r="A529" s="25" t="n">
        <v>39594</v>
      </c>
      <c r="B529" s="22">
        <f>(1+B528)*IF(AND(Painel_diario!$H525="EU_JD",Painel_diario!$J525=1),EXP(Painel_diario!$L525),1)-1</f>
        <v/>
      </c>
      <c r="C529" s="22">
        <f>(1+C528)*IF(AND(Painel_diario!$H525="EU_JU",Painel_diario!$J525=1),EXP(Painel_diario!$L525),1)-1</f>
        <v/>
      </c>
      <c r="D529" s="22">
        <f>(1+D528)*IF(AND(Painel_diario!$H525="ED_JD",Painel_diario!$J525=1),EXP(Painel_diario!$L525),1)-1</f>
        <v/>
      </c>
      <c r="E529" s="22">
        <f>(1+E528)*IF(AND(Painel_diario!$H525="ED_JU",Painel_diario!$J525=1),EXP(Painel_diario!$L525),1)-1</f>
        <v/>
      </c>
    </row>
    <row r="530">
      <c r="A530" s="25" t="n">
        <v>39595</v>
      </c>
      <c r="B530" s="22">
        <f>(1+B529)*IF(AND(Painel_diario!$H526="EU_JD",Painel_diario!$J526=1),EXP(Painel_diario!$L526),1)-1</f>
        <v/>
      </c>
      <c r="C530" s="22">
        <f>(1+C529)*IF(AND(Painel_diario!$H526="EU_JU",Painel_diario!$J526=1),EXP(Painel_diario!$L526),1)-1</f>
        <v/>
      </c>
      <c r="D530" s="22">
        <f>(1+D529)*IF(AND(Painel_diario!$H526="ED_JD",Painel_diario!$J526=1),EXP(Painel_diario!$L526),1)-1</f>
        <v/>
      </c>
      <c r="E530" s="22">
        <f>(1+E529)*IF(AND(Painel_diario!$H526="ED_JU",Painel_diario!$J526=1),EXP(Painel_diario!$L526),1)-1</f>
        <v/>
      </c>
    </row>
    <row r="531">
      <c r="A531" s="25" t="n">
        <v>39596</v>
      </c>
      <c r="B531" s="22">
        <f>(1+B530)*IF(AND(Painel_diario!$H527="EU_JD",Painel_diario!$J527=1),EXP(Painel_diario!$L527),1)-1</f>
        <v/>
      </c>
      <c r="C531" s="22">
        <f>(1+C530)*IF(AND(Painel_diario!$H527="EU_JU",Painel_diario!$J527=1),EXP(Painel_diario!$L527),1)-1</f>
        <v/>
      </c>
      <c r="D531" s="22">
        <f>(1+D530)*IF(AND(Painel_diario!$H527="ED_JD",Painel_diario!$J527=1),EXP(Painel_diario!$L527),1)-1</f>
        <v/>
      </c>
      <c r="E531" s="22">
        <f>(1+E530)*IF(AND(Painel_diario!$H527="ED_JU",Painel_diario!$J527=1),EXP(Painel_diario!$L527),1)-1</f>
        <v/>
      </c>
    </row>
    <row r="532">
      <c r="A532" s="25" t="n">
        <v>39597</v>
      </c>
      <c r="B532" s="22">
        <f>(1+B531)*IF(AND(Painel_diario!$H528="EU_JD",Painel_diario!$J528=1),EXP(Painel_diario!$L528),1)-1</f>
        <v/>
      </c>
      <c r="C532" s="22">
        <f>(1+C531)*IF(AND(Painel_diario!$H528="EU_JU",Painel_diario!$J528=1),EXP(Painel_diario!$L528),1)-1</f>
        <v/>
      </c>
      <c r="D532" s="22">
        <f>(1+D531)*IF(AND(Painel_diario!$H528="ED_JD",Painel_diario!$J528=1),EXP(Painel_diario!$L528),1)-1</f>
        <v/>
      </c>
      <c r="E532" s="22">
        <f>(1+E531)*IF(AND(Painel_diario!$H528="ED_JU",Painel_diario!$J528=1),EXP(Painel_diario!$L528),1)-1</f>
        <v/>
      </c>
    </row>
    <row r="533">
      <c r="A533" s="25" t="n">
        <v>39598</v>
      </c>
      <c r="B533" s="22">
        <f>(1+B532)*IF(AND(Painel_diario!$H529="EU_JD",Painel_diario!$J529=1),EXP(Painel_diario!$L529),1)-1</f>
        <v/>
      </c>
      <c r="C533" s="22">
        <f>(1+C532)*IF(AND(Painel_diario!$H529="EU_JU",Painel_diario!$J529=1),EXP(Painel_diario!$L529),1)-1</f>
        <v/>
      </c>
      <c r="D533" s="22">
        <f>(1+D532)*IF(AND(Painel_diario!$H529="ED_JD",Painel_diario!$J529=1),EXP(Painel_diario!$L529),1)-1</f>
        <v/>
      </c>
      <c r="E533" s="22">
        <f>(1+E532)*IF(AND(Painel_diario!$H529="ED_JU",Painel_diario!$J529=1),EXP(Painel_diario!$L529),1)-1</f>
        <v/>
      </c>
    </row>
    <row r="534">
      <c r="A534" s="25" t="n">
        <v>39601</v>
      </c>
      <c r="B534" s="22">
        <f>(1+B533)*IF(AND(Painel_diario!$H530="EU_JD",Painel_diario!$J530=1),EXP(Painel_diario!$L530),1)-1</f>
        <v/>
      </c>
      <c r="C534" s="22">
        <f>(1+C533)*IF(AND(Painel_diario!$H530="EU_JU",Painel_diario!$J530=1),EXP(Painel_diario!$L530),1)-1</f>
        <v/>
      </c>
      <c r="D534" s="22">
        <f>(1+D533)*IF(AND(Painel_diario!$H530="ED_JD",Painel_diario!$J530=1),EXP(Painel_diario!$L530),1)-1</f>
        <v/>
      </c>
      <c r="E534" s="22">
        <f>(1+E533)*IF(AND(Painel_diario!$H530="ED_JU",Painel_diario!$J530=1),EXP(Painel_diario!$L530),1)-1</f>
        <v/>
      </c>
    </row>
    <row r="535">
      <c r="A535" s="25" t="n">
        <v>39602</v>
      </c>
      <c r="B535" s="22">
        <f>(1+B534)*IF(AND(Painel_diario!$H531="EU_JD",Painel_diario!$J531=1),EXP(Painel_diario!$L531),1)-1</f>
        <v/>
      </c>
      <c r="C535" s="22">
        <f>(1+C534)*IF(AND(Painel_diario!$H531="EU_JU",Painel_diario!$J531=1),EXP(Painel_diario!$L531),1)-1</f>
        <v/>
      </c>
      <c r="D535" s="22">
        <f>(1+D534)*IF(AND(Painel_diario!$H531="ED_JD",Painel_diario!$J531=1),EXP(Painel_diario!$L531),1)-1</f>
        <v/>
      </c>
      <c r="E535" s="22">
        <f>(1+E534)*IF(AND(Painel_diario!$H531="ED_JU",Painel_diario!$J531=1),EXP(Painel_diario!$L531),1)-1</f>
        <v/>
      </c>
    </row>
    <row r="536">
      <c r="A536" s="25" t="n">
        <v>39603</v>
      </c>
      <c r="B536" s="22">
        <f>(1+B535)*IF(AND(Painel_diario!$H532="EU_JD",Painel_diario!$J532=1),EXP(Painel_diario!$L532),1)-1</f>
        <v/>
      </c>
      <c r="C536" s="22">
        <f>(1+C535)*IF(AND(Painel_diario!$H532="EU_JU",Painel_diario!$J532=1),EXP(Painel_diario!$L532),1)-1</f>
        <v/>
      </c>
      <c r="D536" s="22">
        <f>(1+D535)*IF(AND(Painel_diario!$H532="ED_JD",Painel_diario!$J532=1),EXP(Painel_diario!$L532),1)-1</f>
        <v/>
      </c>
      <c r="E536" s="22">
        <f>(1+E535)*IF(AND(Painel_diario!$H532="ED_JU",Painel_diario!$J532=1),EXP(Painel_diario!$L532),1)-1</f>
        <v/>
      </c>
    </row>
    <row r="537">
      <c r="A537" s="25" t="n">
        <v>39604</v>
      </c>
      <c r="B537" s="22">
        <f>(1+B536)*IF(AND(Painel_diario!$H533="EU_JD",Painel_diario!$J533=1),EXP(Painel_diario!$L533),1)-1</f>
        <v/>
      </c>
      <c r="C537" s="22">
        <f>(1+C536)*IF(AND(Painel_diario!$H533="EU_JU",Painel_diario!$J533=1),EXP(Painel_diario!$L533),1)-1</f>
        <v/>
      </c>
      <c r="D537" s="22">
        <f>(1+D536)*IF(AND(Painel_diario!$H533="ED_JD",Painel_diario!$J533=1),EXP(Painel_diario!$L533),1)-1</f>
        <v/>
      </c>
      <c r="E537" s="22">
        <f>(1+E536)*IF(AND(Painel_diario!$H533="ED_JU",Painel_diario!$J533=1),EXP(Painel_diario!$L533),1)-1</f>
        <v/>
      </c>
    </row>
    <row r="538">
      <c r="A538" s="25" t="n">
        <v>39605</v>
      </c>
      <c r="B538" s="22">
        <f>(1+B537)*IF(AND(Painel_diario!$H534="EU_JD",Painel_diario!$J534=1),EXP(Painel_diario!$L534),1)-1</f>
        <v/>
      </c>
      <c r="C538" s="22">
        <f>(1+C537)*IF(AND(Painel_diario!$H534="EU_JU",Painel_diario!$J534=1),EXP(Painel_diario!$L534),1)-1</f>
        <v/>
      </c>
      <c r="D538" s="22">
        <f>(1+D537)*IF(AND(Painel_diario!$H534="ED_JD",Painel_diario!$J534=1),EXP(Painel_diario!$L534),1)-1</f>
        <v/>
      </c>
      <c r="E538" s="22">
        <f>(1+E537)*IF(AND(Painel_diario!$H534="ED_JU",Painel_diario!$J534=1),EXP(Painel_diario!$L534),1)-1</f>
        <v/>
      </c>
    </row>
    <row r="539">
      <c r="A539" s="25" t="n">
        <v>39608</v>
      </c>
      <c r="B539" s="22">
        <f>(1+B538)*IF(AND(Painel_diario!$H535="EU_JD",Painel_diario!$J535=1),EXP(Painel_diario!$L535),1)-1</f>
        <v/>
      </c>
      <c r="C539" s="22">
        <f>(1+C538)*IF(AND(Painel_diario!$H535="EU_JU",Painel_diario!$J535=1),EXP(Painel_diario!$L535),1)-1</f>
        <v/>
      </c>
      <c r="D539" s="22">
        <f>(1+D538)*IF(AND(Painel_diario!$H535="ED_JD",Painel_diario!$J535=1),EXP(Painel_diario!$L535),1)-1</f>
        <v/>
      </c>
      <c r="E539" s="22">
        <f>(1+E538)*IF(AND(Painel_diario!$H535="ED_JU",Painel_diario!$J535=1),EXP(Painel_diario!$L535),1)-1</f>
        <v/>
      </c>
    </row>
    <row r="540">
      <c r="A540" s="25" t="n">
        <v>39609</v>
      </c>
      <c r="B540" s="22">
        <f>(1+B539)*IF(AND(Painel_diario!$H536="EU_JD",Painel_diario!$J536=1),EXP(Painel_diario!$L536),1)-1</f>
        <v/>
      </c>
      <c r="C540" s="22">
        <f>(1+C539)*IF(AND(Painel_diario!$H536="EU_JU",Painel_diario!$J536=1),EXP(Painel_diario!$L536),1)-1</f>
        <v/>
      </c>
      <c r="D540" s="22">
        <f>(1+D539)*IF(AND(Painel_diario!$H536="ED_JD",Painel_diario!$J536=1),EXP(Painel_diario!$L536),1)-1</f>
        <v/>
      </c>
      <c r="E540" s="22">
        <f>(1+E539)*IF(AND(Painel_diario!$H536="ED_JU",Painel_diario!$J536=1),EXP(Painel_diario!$L536),1)-1</f>
        <v/>
      </c>
    </row>
    <row r="541">
      <c r="A541" s="25" t="n">
        <v>39610</v>
      </c>
      <c r="B541" s="22">
        <f>(1+B540)*IF(AND(Painel_diario!$H537="EU_JD",Painel_diario!$J537=1),EXP(Painel_diario!$L537),1)-1</f>
        <v/>
      </c>
      <c r="C541" s="22">
        <f>(1+C540)*IF(AND(Painel_diario!$H537="EU_JU",Painel_diario!$J537=1),EXP(Painel_diario!$L537),1)-1</f>
        <v/>
      </c>
      <c r="D541" s="22">
        <f>(1+D540)*IF(AND(Painel_diario!$H537="ED_JD",Painel_diario!$J537=1),EXP(Painel_diario!$L537),1)-1</f>
        <v/>
      </c>
      <c r="E541" s="22">
        <f>(1+E540)*IF(AND(Painel_diario!$H537="ED_JU",Painel_diario!$J537=1),EXP(Painel_diario!$L537),1)-1</f>
        <v/>
      </c>
    </row>
    <row r="542">
      <c r="A542" s="25" t="n">
        <v>39611</v>
      </c>
      <c r="B542" s="22">
        <f>(1+B541)*IF(AND(Painel_diario!$H538="EU_JD",Painel_diario!$J538=1),EXP(Painel_diario!$L538),1)-1</f>
        <v/>
      </c>
      <c r="C542" s="22">
        <f>(1+C541)*IF(AND(Painel_diario!$H538="EU_JU",Painel_diario!$J538=1),EXP(Painel_diario!$L538),1)-1</f>
        <v/>
      </c>
      <c r="D542" s="22">
        <f>(1+D541)*IF(AND(Painel_diario!$H538="ED_JD",Painel_diario!$J538=1),EXP(Painel_diario!$L538),1)-1</f>
        <v/>
      </c>
      <c r="E542" s="22">
        <f>(1+E541)*IF(AND(Painel_diario!$H538="ED_JU",Painel_diario!$J538=1),EXP(Painel_diario!$L538),1)-1</f>
        <v/>
      </c>
    </row>
    <row r="543">
      <c r="A543" s="25" t="n">
        <v>39612</v>
      </c>
      <c r="B543" s="22">
        <f>(1+B542)*IF(AND(Painel_diario!$H539="EU_JD",Painel_diario!$J539=1),EXP(Painel_diario!$L539),1)-1</f>
        <v/>
      </c>
      <c r="C543" s="22">
        <f>(1+C542)*IF(AND(Painel_diario!$H539="EU_JU",Painel_diario!$J539=1),EXP(Painel_diario!$L539),1)-1</f>
        <v/>
      </c>
      <c r="D543" s="22">
        <f>(1+D542)*IF(AND(Painel_diario!$H539="ED_JD",Painel_diario!$J539=1),EXP(Painel_diario!$L539),1)-1</f>
        <v/>
      </c>
      <c r="E543" s="22">
        <f>(1+E542)*IF(AND(Painel_diario!$H539="ED_JU",Painel_diario!$J539=1),EXP(Painel_diario!$L539),1)-1</f>
        <v/>
      </c>
    </row>
    <row r="544">
      <c r="A544" s="25" t="n">
        <v>39615</v>
      </c>
      <c r="B544" s="22">
        <f>(1+B543)*IF(AND(Painel_diario!$H540="EU_JD",Painel_diario!$J540=1),EXP(Painel_diario!$L540),1)-1</f>
        <v/>
      </c>
      <c r="C544" s="22">
        <f>(1+C543)*IF(AND(Painel_diario!$H540="EU_JU",Painel_diario!$J540=1),EXP(Painel_diario!$L540),1)-1</f>
        <v/>
      </c>
      <c r="D544" s="22">
        <f>(1+D543)*IF(AND(Painel_diario!$H540="ED_JD",Painel_diario!$J540=1),EXP(Painel_diario!$L540),1)-1</f>
        <v/>
      </c>
      <c r="E544" s="22">
        <f>(1+E543)*IF(AND(Painel_diario!$H540="ED_JU",Painel_diario!$J540=1),EXP(Painel_diario!$L540),1)-1</f>
        <v/>
      </c>
    </row>
    <row r="545">
      <c r="A545" s="25" t="n">
        <v>39616</v>
      </c>
      <c r="B545" s="22">
        <f>(1+B544)*IF(AND(Painel_diario!$H541="EU_JD",Painel_diario!$J541=1),EXP(Painel_diario!$L541),1)-1</f>
        <v/>
      </c>
      <c r="C545" s="22">
        <f>(1+C544)*IF(AND(Painel_diario!$H541="EU_JU",Painel_diario!$J541=1),EXP(Painel_diario!$L541),1)-1</f>
        <v/>
      </c>
      <c r="D545" s="22">
        <f>(1+D544)*IF(AND(Painel_diario!$H541="ED_JD",Painel_diario!$J541=1),EXP(Painel_diario!$L541),1)-1</f>
        <v/>
      </c>
      <c r="E545" s="22">
        <f>(1+E544)*IF(AND(Painel_diario!$H541="ED_JU",Painel_diario!$J541=1),EXP(Painel_diario!$L541),1)-1</f>
        <v/>
      </c>
    </row>
    <row r="546">
      <c r="A546" s="25" t="n">
        <v>39617</v>
      </c>
      <c r="B546" s="22">
        <f>(1+B545)*IF(AND(Painel_diario!$H542="EU_JD",Painel_diario!$J542=1),EXP(Painel_diario!$L542),1)-1</f>
        <v/>
      </c>
      <c r="C546" s="22">
        <f>(1+C545)*IF(AND(Painel_diario!$H542="EU_JU",Painel_diario!$J542=1),EXP(Painel_diario!$L542),1)-1</f>
        <v/>
      </c>
      <c r="D546" s="22">
        <f>(1+D545)*IF(AND(Painel_diario!$H542="ED_JD",Painel_diario!$J542=1),EXP(Painel_diario!$L542),1)-1</f>
        <v/>
      </c>
      <c r="E546" s="22">
        <f>(1+E545)*IF(AND(Painel_diario!$H542="ED_JU",Painel_diario!$J542=1),EXP(Painel_diario!$L542),1)-1</f>
        <v/>
      </c>
    </row>
    <row r="547">
      <c r="A547" s="25" t="n">
        <v>39618</v>
      </c>
      <c r="B547" s="22">
        <f>(1+B546)*IF(AND(Painel_diario!$H543="EU_JD",Painel_diario!$J543=1),EXP(Painel_diario!$L543),1)-1</f>
        <v/>
      </c>
      <c r="C547" s="22">
        <f>(1+C546)*IF(AND(Painel_diario!$H543="EU_JU",Painel_diario!$J543=1),EXP(Painel_diario!$L543),1)-1</f>
        <v/>
      </c>
      <c r="D547" s="22">
        <f>(1+D546)*IF(AND(Painel_diario!$H543="ED_JD",Painel_diario!$J543=1),EXP(Painel_diario!$L543),1)-1</f>
        <v/>
      </c>
      <c r="E547" s="22">
        <f>(1+E546)*IF(AND(Painel_diario!$H543="ED_JU",Painel_diario!$J543=1),EXP(Painel_diario!$L543),1)-1</f>
        <v/>
      </c>
    </row>
    <row r="548">
      <c r="A548" s="25" t="n">
        <v>39619</v>
      </c>
      <c r="B548" s="22">
        <f>(1+B547)*IF(AND(Painel_diario!$H544="EU_JD",Painel_diario!$J544=1),EXP(Painel_diario!$L544),1)-1</f>
        <v/>
      </c>
      <c r="C548" s="22">
        <f>(1+C547)*IF(AND(Painel_diario!$H544="EU_JU",Painel_diario!$J544=1),EXP(Painel_diario!$L544),1)-1</f>
        <v/>
      </c>
      <c r="D548" s="22">
        <f>(1+D547)*IF(AND(Painel_diario!$H544="ED_JD",Painel_diario!$J544=1),EXP(Painel_diario!$L544),1)-1</f>
        <v/>
      </c>
      <c r="E548" s="22">
        <f>(1+E547)*IF(AND(Painel_diario!$H544="ED_JU",Painel_diario!$J544=1),EXP(Painel_diario!$L544),1)-1</f>
        <v/>
      </c>
    </row>
    <row r="549">
      <c r="A549" s="25" t="n">
        <v>39622</v>
      </c>
      <c r="B549" s="22">
        <f>(1+B548)*IF(AND(Painel_diario!$H545="EU_JD",Painel_diario!$J545=1),EXP(Painel_diario!$L545),1)-1</f>
        <v/>
      </c>
      <c r="C549" s="22">
        <f>(1+C548)*IF(AND(Painel_diario!$H545="EU_JU",Painel_diario!$J545=1),EXP(Painel_diario!$L545),1)-1</f>
        <v/>
      </c>
      <c r="D549" s="22">
        <f>(1+D548)*IF(AND(Painel_diario!$H545="ED_JD",Painel_diario!$J545=1),EXP(Painel_diario!$L545),1)-1</f>
        <v/>
      </c>
      <c r="E549" s="22">
        <f>(1+E548)*IF(AND(Painel_diario!$H545="ED_JU",Painel_diario!$J545=1),EXP(Painel_diario!$L545),1)-1</f>
        <v/>
      </c>
    </row>
    <row r="550">
      <c r="A550" s="25" t="n">
        <v>39623</v>
      </c>
      <c r="B550" s="22">
        <f>(1+B549)*IF(AND(Painel_diario!$H546="EU_JD",Painel_diario!$J546=1),EXP(Painel_diario!$L546),1)-1</f>
        <v/>
      </c>
      <c r="C550" s="22">
        <f>(1+C549)*IF(AND(Painel_diario!$H546="EU_JU",Painel_diario!$J546=1),EXP(Painel_diario!$L546),1)-1</f>
        <v/>
      </c>
      <c r="D550" s="22">
        <f>(1+D549)*IF(AND(Painel_diario!$H546="ED_JD",Painel_diario!$J546=1),EXP(Painel_diario!$L546),1)-1</f>
        <v/>
      </c>
      <c r="E550" s="22">
        <f>(1+E549)*IF(AND(Painel_diario!$H546="ED_JU",Painel_diario!$J546=1),EXP(Painel_diario!$L546),1)-1</f>
        <v/>
      </c>
    </row>
    <row r="551">
      <c r="A551" s="25" t="n">
        <v>39624</v>
      </c>
      <c r="B551" s="22">
        <f>(1+B550)*IF(AND(Painel_diario!$H547="EU_JD",Painel_diario!$J547=1),EXP(Painel_diario!$L547),1)-1</f>
        <v/>
      </c>
      <c r="C551" s="22">
        <f>(1+C550)*IF(AND(Painel_diario!$H547="EU_JU",Painel_diario!$J547=1),EXP(Painel_diario!$L547),1)-1</f>
        <v/>
      </c>
      <c r="D551" s="22">
        <f>(1+D550)*IF(AND(Painel_diario!$H547="ED_JD",Painel_diario!$J547=1),EXP(Painel_diario!$L547),1)-1</f>
        <v/>
      </c>
      <c r="E551" s="22">
        <f>(1+E550)*IF(AND(Painel_diario!$H547="ED_JU",Painel_diario!$J547=1),EXP(Painel_diario!$L547),1)-1</f>
        <v/>
      </c>
    </row>
    <row r="552">
      <c r="A552" s="25" t="n">
        <v>39625</v>
      </c>
      <c r="B552" s="22">
        <f>(1+B551)*IF(AND(Painel_diario!$H548="EU_JD",Painel_diario!$J548=1),EXP(Painel_diario!$L548),1)-1</f>
        <v/>
      </c>
      <c r="C552" s="22">
        <f>(1+C551)*IF(AND(Painel_diario!$H548="EU_JU",Painel_diario!$J548=1),EXP(Painel_diario!$L548),1)-1</f>
        <v/>
      </c>
      <c r="D552" s="22">
        <f>(1+D551)*IF(AND(Painel_diario!$H548="ED_JD",Painel_diario!$J548=1),EXP(Painel_diario!$L548),1)-1</f>
        <v/>
      </c>
      <c r="E552" s="22">
        <f>(1+E551)*IF(AND(Painel_diario!$H548="ED_JU",Painel_diario!$J548=1),EXP(Painel_diario!$L548),1)-1</f>
        <v/>
      </c>
    </row>
    <row r="553">
      <c r="A553" s="25" t="n">
        <v>39626</v>
      </c>
      <c r="B553" s="22">
        <f>(1+B552)*IF(AND(Painel_diario!$H549="EU_JD",Painel_diario!$J549=1),EXP(Painel_diario!$L549),1)-1</f>
        <v/>
      </c>
      <c r="C553" s="22">
        <f>(1+C552)*IF(AND(Painel_diario!$H549="EU_JU",Painel_diario!$J549=1),EXP(Painel_diario!$L549),1)-1</f>
        <v/>
      </c>
      <c r="D553" s="22">
        <f>(1+D552)*IF(AND(Painel_diario!$H549="ED_JD",Painel_diario!$J549=1),EXP(Painel_diario!$L549),1)-1</f>
        <v/>
      </c>
      <c r="E553" s="22">
        <f>(1+E552)*IF(AND(Painel_diario!$H549="ED_JU",Painel_diario!$J549=1),EXP(Painel_diario!$L549),1)-1</f>
        <v/>
      </c>
    </row>
    <row r="554">
      <c r="A554" s="25" t="n">
        <v>39629</v>
      </c>
      <c r="B554" s="22">
        <f>(1+B553)*IF(AND(Painel_diario!$H550="EU_JD",Painel_diario!$J550=1),EXP(Painel_diario!$L550),1)-1</f>
        <v/>
      </c>
      <c r="C554" s="22">
        <f>(1+C553)*IF(AND(Painel_diario!$H550="EU_JU",Painel_diario!$J550=1),EXP(Painel_diario!$L550),1)-1</f>
        <v/>
      </c>
      <c r="D554" s="22">
        <f>(1+D553)*IF(AND(Painel_diario!$H550="ED_JD",Painel_diario!$J550=1),EXP(Painel_diario!$L550),1)-1</f>
        <v/>
      </c>
      <c r="E554" s="22">
        <f>(1+E553)*IF(AND(Painel_diario!$H550="ED_JU",Painel_diario!$J550=1),EXP(Painel_diario!$L550),1)-1</f>
        <v/>
      </c>
    </row>
    <row r="555">
      <c r="A555" s="25" t="n">
        <v>39630</v>
      </c>
      <c r="B555" s="22">
        <f>(1+B554)*IF(AND(Painel_diario!$H551="EU_JD",Painel_diario!$J551=1),EXP(Painel_diario!$L551),1)-1</f>
        <v/>
      </c>
      <c r="C555" s="22">
        <f>(1+C554)*IF(AND(Painel_diario!$H551="EU_JU",Painel_diario!$J551=1),EXP(Painel_diario!$L551),1)-1</f>
        <v/>
      </c>
      <c r="D555" s="22">
        <f>(1+D554)*IF(AND(Painel_diario!$H551="ED_JD",Painel_diario!$J551=1),EXP(Painel_diario!$L551),1)-1</f>
        <v/>
      </c>
      <c r="E555" s="22">
        <f>(1+E554)*IF(AND(Painel_diario!$H551="ED_JU",Painel_diario!$J551=1),EXP(Painel_diario!$L551),1)-1</f>
        <v/>
      </c>
    </row>
    <row r="556">
      <c r="A556" s="25" t="n">
        <v>39631</v>
      </c>
      <c r="B556" s="22">
        <f>(1+B555)*IF(AND(Painel_diario!$H552="EU_JD",Painel_diario!$J552=1),EXP(Painel_diario!$L552),1)-1</f>
        <v/>
      </c>
      <c r="C556" s="22">
        <f>(1+C555)*IF(AND(Painel_diario!$H552="EU_JU",Painel_diario!$J552=1),EXP(Painel_diario!$L552),1)-1</f>
        <v/>
      </c>
      <c r="D556" s="22">
        <f>(1+D555)*IF(AND(Painel_diario!$H552="ED_JD",Painel_diario!$J552=1),EXP(Painel_diario!$L552),1)-1</f>
        <v/>
      </c>
      <c r="E556" s="22">
        <f>(1+E555)*IF(AND(Painel_diario!$H552="ED_JU",Painel_diario!$J552=1),EXP(Painel_diario!$L552),1)-1</f>
        <v/>
      </c>
    </row>
    <row r="557">
      <c r="A557" s="25" t="n">
        <v>39632</v>
      </c>
      <c r="B557" s="22">
        <f>(1+B556)*IF(AND(Painel_diario!$H553="EU_JD",Painel_diario!$J553=1),EXP(Painel_diario!$L553),1)-1</f>
        <v/>
      </c>
      <c r="C557" s="22">
        <f>(1+C556)*IF(AND(Painel_diario!$H553="EU_JU",Painel_diario!$J553=1),EXP(Painel_diario!$L553),1)-1</f>
        <v/>
      </c>
      <c r="D557" s="22">
        <f>(1+D556)*IF(AND(Painel_diario!$H553="ED_JD",Painel_diario!$J553=1),EXP(Painel_diario!$L553),1)-1</f>
        <v/>
      </c>
      <c r="E557" s="22">
        <f>(1+E556)*IF(AND(Painel_diario!$H553="ED_JU",Painel_diario!$J553=1),EXP(Painel_diario!$L553),1)-1</f>
        <v/>
      </c>
    </row>
    <row r="558">
      <c r="A558" s="25" t="n">
        <v>39633</v>
      </c>
      <c r="B558" s="22">
        <f>(1+B557)*IF(AND(Painel_diario!$H554="EU_JD",Painel_diario!$J554=1),EXP(Painel_diario!$L554),1)-1</f>
        <v/>
      </c>
      <c r="C558" s="22">
        <f>(1+C557)*IF(AND(Painel_diario!$H554="EU_JU",Painel_diario!$J554=1),EXP(Painel_diario!$L554),1)-1</f>
        <v/>
      </c>
      <c r="D558" s="22">
        <f>(1+D557)*IF(AND(Painel_diario!$H554="ED_JD",Painel_diario!$J554=1),EXP(Painel_diario!$L554),1)-1</f>
        <v/>
      </c>
      <c r="E558" s="22">
        <f>(1+E557)*IF(AND(Painel_diario!$H554="ED_JU",Painel_diario!$J554=1),EXP(Painel_diario!$L554),1)-1</f>
        <v/>
      </c>
    </row>
    <row r="559">
      <c r="A559" s="25" t="n">
        <v>39636</v>
      </c>
      <c r="B559" s="22">
        <f>(1+B558)*IF(AND(Painel_diario!$H555="EU_JD",Painel_diario!$J555=1),EXP(Painel_diario!$L555),1)-1</f>
        <v/>
      </c>
      <c r="C559" s="22">
        <f>(1+C558)*IF(AND(Painel_diario!$H555="EU_JU",Painel_diario!$J555=1),EXP(Painel_diario!$L555),1)-1</f>
        <v/>
      </c>
      <c r="D559" s="22">
        <f>(1+D558)*IF(AND(Painel_diario!$H555="ED_JD",Painel_diario!$J555=1),EXP(Painel_diario!$L555),1)-1</f>
        <v/>
      </c>
      <c r="E559" s="22">
        <f>(1+E558)*IF(AND(Painel_diario!$H555="ED_JU",Painel_diario!$J555=1),EXP(Painel_diario!$L555),1)-1</f>
        <v/>
      </c>
    </row>
    <row r="560">
      <c r="A560" s="25" t="n">
        <v>39637</v>
      </c>
      <c r="B560" s="22">
        <f>(1+B559)*IF(AND(Painel_diario!$H556="EU_JD",Painel_diario!$J556=1),EXP(Painel_diario!$L556),1)-1</f>
        <v/>
      </c>
      <c r="C560" s="22">
        <f>(1+C559)*IF(AND(Painel_diario!$H556="EU_JU",Painel_diario!$J556=1),EXP(Painel_diario!$L556),1)-1</f>
        <v/>
      </c>
      <c r="D560" s="22">
        <f>(1+D559)*IF(AND(Painel_diario!$H556="ED_JD",Painel_diario!$J556=1),EXP(Painel_diario!$L556),1)-1</f>
        <v/>
      </c>
      <c r="E560" s="22">
        <f>(1+E559)*IF(AND(Painel_diario!$H556="ED_JU",Painel_diario!$J556=1),EXP(Painel_diario!$L556),1)-1</f>
        <v/>
      </c>
    </row>
    <row r="561">
      <c r="A561" s="25" t="n">
        <v>39639</v>
      </c>
      <c r="B561" s="22">
        <f>(1+B560)*IF(AND(Painel_diario!$H557="EU_JD",Painel_diario!$J557=1),EXP(Painel_diario!$L557),1)-1</f>
        <v/>
      </c>
      <c r="C561" s="22">
        <f>(1+C560)*IF(AND(Painel_diario!$H557="EU_JU",Painel_diario!$J557=1),EXP(Painel_diario!$L557),1)-1</f>
        <v/>
      </c>
      <c r="D561" s="22">
        <f>(1+D560)*IF(AND(Painel_diario!$H557="ED_JD",Painel_diario!$J557=1),EXP(Painel_diario!$L557),1)-1</f>
        <v/>
      </c>
      <c r="E561" s="22">
        <f>(1+E560)*IF(AND(Painel_diario!$H557="ED_JU",Painel_diario!$J557=1),EXP(Painel_diario!$L557),1)-1</f>
        <v/>
      </c>
    </row>
    <row r="562">
      <c r="A562" s="25" t="n">
        <v>39640</v>
      </c>
      <c r="B562" s="22">
        <f>(1+B561)*IF(AND(Painel_diario!$H558="EU_JD",Painel_diario!$J558=1),EXP(Painel_diario!$L558),1)-1</f>
        <v/>
      </c>
      <c r="C562" s="22">
        <f>(1+C561)*IF(AND(Painel_diario!$H558="EU_JU",Painel_diario!$J558=1),EXP(Painel_diario!$L558),1)-1</f>
        <v/>
      </c>
      <c r="D562" s="22">
        <f>(1+D561)*IF(AND(Painel_diario!$H558="ED_JD",Painel_diario!$J558=1),EXP(Painel_diario!$L558),1)-1</f>
        <v/>
      </c>
      <c r="E562" s="22">
        <f>(1+E561)*IF(AND(Painel_diario!$H558="ED_JU",Painel_diario!$J558=1),EXP(Painel_diario!$L558),1)-1</f>
        <v/>
      </c>
    </row>
    <row r="563">
      <c r="A563" s="25" t="n">
        <v>39643</v>
      </c>
      <c r="B563" s="22">
        <f>(1+B562)*IF(AND(Painel_diario!$H559="EU_JD",Painel_diario!$J559=1),EXP(Painel_diario!$L559),1)-1</f>
        <v/>
      </c>
      <c r="C563" s="22">
        <f>(1+C562)*IF(AND(Painel_diario!$H559="EU_JU",Painel_diario!$J559=1),EXP(Painel_diario!$L559),1)-1</f>
        <v/>
      </c>
      <c r="D563" s="22">
        <f>(1+D562)*IF(AND(Painel_diario!$H559="ED_JD",Painel_diario!$J559=1),EXP(Painel_diario!$L559),1)-1</f>
        <v/>
      </c>
      <c r="E563" s="22">
        <f>(1+E562)*IF(AND(Painel_diario!$H559="ED_JU",Painel_diario!$J559=1),EXP(Painel_diario!$L559),1)-1</f>
        <v/>
      </c>
    </row>
    <row r="564">
      <c r="A564" s="25" t="n">
        <v>39644</v>
      </c>
      <c r="B564" s="22">
        <f>(1+B563)*IF(AND(Painel_diario!$H560="EU_JD",Painel_diario!$J560=1),EXP(Painel_diario!$L560),1)-1</f>
        <v/>
      </c>
      <c r="C564" s="22">
        <f>(1+C563)*IF(AND(Painel_diario!$H560="EU_JU",Painel_diario!$J560=1),EXP(Painel_diario!$L560),1)-1</f>
        <v/>
      </c>
      <c r="D564" s="22">
        <f>(1+D563)*IF(AND(Painel_diario!$H560="ED_JD",Painel_diario!$J560=1),EXP(Painel_diario!$L560),1)-1</f>
        <v/>
      </c>
      <c r="E564" s="22">
        <f>(1+E563)*IF(AND(Painel_diario!$H560="ED_JU",Painel_diario!$J560=1),EXP(Painel_diario!$L560),1)-1</f>
        <v/>
      </c>
    </row>
    <row r="565">
      <c r="A565" s="25" t="n">
        <v>39645</v>
      </c>
      <c r="B565" s="22">
        <f>(1+B564)*IF(AND(Painel_diario!$H561="EU_JD",Painel_diario!$J561=1),EXP(Painel_diario!$L561),1)-1</f>
        <v/>
      </c>
      <c r="C565" s="22">
        <f>(1+C564)*IF(AND(Painel_diario!$H561="EU_JU",Painel_diario!$J561=1),EXP(Painel_diario!$L561),1)-1</f>
        <v/>
      </c>
      <c r="D565" s="22">
        <f>(1+D564)*IF(AND(Painel_diario!$H561="ED_JD",Painel_diario!$J561=1),EXP(Painel_diario!$L561),1)-1</f>
        <v/>
      </c>
      <c r="E565" s="22">
        <f>(1+E564)*IF(AND(Painel_diario!$H561="ED_JU",Painel_diario!$J561=1),EXP(Painel_diario!$L561),1)-1</f>
        <v/>
      </c>
    </row>
    <row r="566">
      <c r="A566" s="25" t="n">
        <v>39646</v>
      </c>
      <c r="B566" s="22">
        <f>(1+B565)*IF(AND(Painel_diario!$H562="EU_JD",Painel_diario!$J562=1),EXP(Painel_diario!$L562),1)-1</f>
        <v/>
      </c>
      <c r="C566" s="22">
        <f>(1+C565)*IF(AND(Painel_diario!$H562="EU_JU",Painel_diario!$J562=1),EXP(Painel_diario!$L562),1)-1</f>
        <v/>
      </c>
      <c r="D566" s="22">
        <f>(1+D565)*IF(AND(Painel_diario!$H562="ED_JD",Painel_diario!$J562=1),EXP(Painel_diario!$L562),1)-1</f>
        <v/>
      </c>
      <c r="E566" s="22">
        <f>(1+E565)*IF(AND(Painel_diario!$H562="ED_JU",Painel_diario!$J562=1),EXP(Painel_diario!$L562),1)-1</f>
        <v/>
      </c>
    </row>
    <row r="567">
      <c r="A567" s="25" t="n">
        <v>39647</v>
      </c>
      <c r="B567" s="22">
        <f>(1+B566)*IF(AND(Painel_diario!$H563="EU_JD",Painel_diario!$J563=1),EXP(Painel_diario!$L563),1)-1</f>
        <v/>
      </c>
      <c r="C567" s="22">
        <f>(1+C566)*IF(AND(Painel_diario!$H563="EU_JU",Painel_diario!$J563=1),EXP(Painel_diario!$L563),1)-1</f>
        <v/>
      </c>
      <c r="D567" s="22">
        <f>(1+D566)*IF(AND(Painel_diario!$H563="ED_JD",Painel_diario!$J563=1),EXP(Painel_diario!$L563),1)-1</f>
        <v/>
      </c>
      <c r="E567" s="22">
        <f>(1+E566)*IF(AND(Painel_diario!$H563="ED_JU",Painel_diario!$J563=1),EXP(Painel_diario!$L563),1)-1</f>
        <v/>
      </c>
    </row>
    <row r="568">
      <c r="A568" s="25" t="n">
        <v>39650</v>
      </c>
      <c r="B568" s="22">
        <f>(1+B567)*IF(AND(Painel_diario!$H564="EU_JD",Painel_diario!$J564=1),EXP(Painel_diario!$L564),1)-1</f>
        <v/>
      </c>
      <c r="C568" s="22">
        <f>(1+C567)*IF(AND(Painel_diario!$H564="EU_JU",Painel_diario!$J564=1),EXP(Painel_diario!$L564),1)-1</f>
        <v/>
      </c>
      <c r="D568" s="22">
        <f>(1+D567)*IF(AND(Painel_diario!$H564="ED_JD",Painel_diario!$J564=1),EXP(Painel_diario!$L564),1)-1</f>
        <v/>
      </c>
      <c r="E568" s="22">
        <f>(1+E567)*IF(AND(Painel_diario!$H564="ED_JU",Painel_diario!$J564=1),EXP(Painel_diario!$L564),1)-1</f>
        <v/>
      </c>
    </row>
    <row r="569">
      <c r="A569" s="25" t="n">
        <v>39651</v>
      </c>
      <c r="B569" s="22">
        <f>(1+B568)*IF(AND(Painel_diario!$H565="EU_JD",Painel_diario!$J565=1),EXP(Painel_diario!$L565),1)-1</f>
        <v/>
      </c>
      <c r="C569" s="22">
        <f>(1+C568)*IF(AND(Painel_diario!$H565="EU_JU",Painel_diario!$J565=1),EXP(Painel_diario!$L565),1)-1</f>
        <v/>
      </c>
      <c r="D569" s="22">
        <f>(1+D568)*IF(AND(Painel_diario!$H565="ED_JD",Painel_diario!$J565=1),EXP(Painel_diario!$L565),1)-1</f>
        <v/>
      </c>
      <c r="E569" s="22">
        <f>(1+E568)*IF(AND(Painel_diario!$H565="ED_JU",Painel_diario!$J565=1),EXP(Painel_diario!$L565),1)-1</f>
        <v/>
      </c>
    </row>
    <row r="570">
      <c r="A570" s="25" t="n">
        <v>39652</v>
      </c>
      <c r="B570" s="22">
        <f>(1+B569)*IF(AND(Painel_diario!$H566="EU_JD",Painel_diario!$J566=1),EXP(Painel_diario!$L566),1)-1</f>
        <v/>
      </c>
      <c r="C570" s="22">
        <f>(1+C569)*IF(AND(Painel_diario!$H566="EU_JU",Painel_diario!$J566=1),EXP(Painel_diario!$L566),1)-1</f>
        <v/>
      </c>
      <c r="D570" s="22">
        <f>(1+D569)*IF(AND(Painel_diario!$H566="ED_JD",Painel_diario!$J566=1),EXP(Painel_diario!$L566),1)-1</f>
        <v/>
      </c>
      <c r="E570" s="22">
        <f>(1+E569)*IF(AND(Painel_diario!$H566="ED_JU",Painel_diario!$J566=1),EXP(Painel_diario!$L566),1)-1</f>
        <v/>
      </c>
    </row>
    <row r="571">
      <c r="A571" s="25" t="n">
        <v>39653</v>
      </c>
      <c r="B571" s="22">
        <f>(1+B570)*IF(AND(Painel_diario!$H567="EU_JD",Painel_diario!$J567=1),EXP(Painel_diario!$L567),1)-1</f>
        <v/>
      </c>
      <c r="C571" s="22">
        <f>(1+C570)*IF(AND(Painel_diario!$H567="EU_JU",Painel_diario!$J567=1),EXP(Painel_diario!$L567),1)-1</f>
        <v/>
      </c>
      <c r="D571" s="22">
        <f>(1+D570)*IF(AND(Painel_diario!$H567="ED_JD",Painel_diario!$J567=1),EXP(Painel_diario!$L567),1)-1</f>
        <v/>
      </c>
      <c r="E571" s="22">
        <f>(1+E570)*IF(AND(Painel_diario!$H567="ED_JU",Painel_diario!$J567=1),EXP(Painel_diario!$L567),1)-1</f>
        <v/>
      </c>
    </row>
    <row r="572">
      <c r="A572" s="25" t="n">
        <v>39654</v>
      </c>
      <c r="B572" s="22">
        <f>(1+B571)*IF(AND(Painel_diario!$H568="EU_JD",Painel_diario!$J568=1),EXP(Painel_diario!$L568),1)-1</f>
        <v/>
      </c>
      <c r="C572" s="22">
        <f>(1+C571)*IF(AND(Painel_diario!$H568="EU_JU",Painel_diario!$J568=1),EXP(Painel_diario!$L568),1)-1</f>
        <v/>
      </c>
      <c r="D572" s="22">
        <f>(1+D571)*IF(AND(Painel_diario!$H568="ED_JD",Painel_diario!$J568=1),EXP(Painel_diario!$L568),1)-1</f>
        <v/>
      </c>
      <c r="E572" s="22">
        <f>(1+E571)*IF(AND(Painel_diario!$H568="ED_JU",Painel_diario!$J568=1),EXP(Painel_diario!$L568),1)-1</f>
        <v/>
      </c>
    </row>
    <row r="573">
      <c r="A573" s="25" t="n">
        <v>39657</v>
      </c>
      <c r="B573" s="22">
        <f>(1+B572)*IF(AND(Painel_diario!$H569="EU_JD",Painel_diario!$J569=1),EXP(Painel_diario!$L569),1)-1</f>
        <v/>
      </c>
      <c r="C573" s="22">
        <f>(1+C572)*IF(AND(Painel_diario!$H569="EU_JU",Painel_diario!$J569=1),EXP(Painel_diario!$L569),1)-1</f>
        <v/>
      </c>
      <c r="D573" s="22">
        <f>(1+D572)*IF(AND(Painel_diario!$H569="ED_JD",Painel_diario!$J569=1),EXP(Painel_diario!$L569),1)-1</f>
        <v/>
      </c>
      <c r="E573" s="22">
        <f>(1+E572)*IF(AND(Painel_diario!$H569="ED_JU",Painel_diario!$J569=1),EXP(Painel_diario!$L569),1)-1</f>
        <v/>
      </c>
    </row>
    <row r="574">
      <c r="A574" s="25" t="n">
        <v>39658</v>
      </c>
      <c r="B574" s="22">
        <f>(1+B573)*IF(AND(Painel_diario!$H570="EU_JD",Painel_diario!$J570=1),EXP(Painel_diario!$L570),1)-1</f>
        <v/>
      </c>
      <c r="C574" s="22">
        <f>(1+C573)*IF(AND(Painel_diario!$H570="EU_JU",Painel_diario!$J570=1),EXP(Painel_diario!$L570),1)-1</f>
        <v/>
      </c>
      <c r="D574" s="22">
        <f>(1+D573)*IF(AND(Painel_diario!$H570="ED_JD",Painel_diario!$J570=1),EXP(Painel_diario!$L570),1)-1</f>
        <v/>
      </c>
      <c r="E574" s="22">
        <f>(1+E573)*IF(AND(Painel_diario!$H570="ED_JU",Painel_diario!$J570=1),EXP(Painel_diario!$L570),1)-1</f>
        <v/>
      </c>
    </row>
    <row r="575">
      <c r="A575" s="25" t="n">
        <v>39659</v>
      </c>
      <c r="B575" s="22">
        <f>(1+B574)*IF(AND(Painel_diario!$H571="EU_JD",Painel_diario!$J571=1),EXP(Painel_diario!$L571),1)-1</f>
        <v/>
      </c>
      <c r="C575" s="22">
        <f>(1+C574)*IF(AND(Painel_diario!$H571="EU_JU",Painel_diario!$J571=1),EXP(Painel_diario!$L571),1)-1</f>
        <v/>
      </c>
      <c r="D575" s="22">
        <f>(1+D574)*IF(AND(Painel_diario!$H571="ED_JD",Painel_diario!$J571=1),EXP(Painel_diario!$L571),1)-1</f>
        <v/>
      </c>
      <c r="E575" s="22">
        <f>(1+E574)*IF(AND(Painel_diario!$H571="ED_JU",Painel_diario!$J571=1),EXP(Painel_diario!$L571),1)-1</f>
        <v/>
      </c>
    </row>
    <row r="576">
      <c r="A576" s="25" t="n">
        <v>39660</v>
      </c>
      <c r="B576" s="22">
        <f>(1+B575)*IF(AND(Painel_diario!$H572="EU_JD",Painel_diario!$J572=1),EXP(Painel_diario!$L572),1)-1</f>
        <v/>
      </c>
      <c r="C576" s="22">
        <f>(1+C575)*IF(AND(Painel_diario!$H572="EU_JU",Painel_diario!$J572=1),EXP(Painel_diario!$L572),1)-1</f>
        <v/>
      </c>
      <c r="D576" s="22">
        <f>(1+D575)*IF(AND(Painel_diario!$H572="ED_JD",Painel_diario!$J572=1),EXP(Painel_diario!$L572),1)-1</f>
        <v/>
      </c>
      <c r="E576" s="22">
        <f>(1+E575)*IF(AND(Painel_diario!$H572="ED_JU",Painel_diario!$J572=1),EXP(Painel_diario!$L572),1)-1</f>
        <v/>
      </c>
    </row>
    <row r="577">
      <c r="A577" s="25" t="n">
        <v>39661</v>
      </c>
      <c r="B577" s="22">
        <f>(1+B576)*IF(AND(Painel_diario!$H573="EU_JD",Painel_diario!$J573=1),EXP(Painel_diario!$L573),1)-1</f>
        <v/>
      </c>
      <c r="C577" s="22">
        <f>(1+C576)*IF(AND(Painel_diario!$H573="EU_JU",Painel_diario!$J573=1),EXP(Painel_diario!$L573),1)-1</f>
        <v/>
      </c>
      <c r="D577" s="22">
        <f>(1+D576)*IF(AND(Painel_diario!$H573="ED_JD",Painel_diario!$J573=1),EXP(Painel_diario!$L573),1)-1</f>
        <v/>
      </c>
      <c r="E577" s="22">
        <f>(1+E576)*IF(AND(Painel_diario!$H573="ED_JU",Painel_diario!$J573=1),EXP(Painel_diario!$L573),1)-1</f>
        <v/>
      </c>
    </row>
    <row r="578">
      <c r="A578" s="25" t="n">
        <v>39664</v>
      </c>
      <c r="B578" s="22">
        <f>(1+B577)*IF(AND(Painel_diario!$H574="EU_JD",Painel_diario!$J574=1),EXP(Painel_diario!$L574),1)-1</f>
        <v/>
      </c>
      <c r="C578" s="22">
        <f>(1+C577)*IF(AND(Painel_diario!$H574="EU_JU",Painel_diario!$J574=1),EXP(Painel_diario!$L574),1)-1</f>
        <v/>
      </c>
      <c r="D578" s="22">
        <f>(1+D577)*IF(AND(Painel_diario!$H574="ED_JD",Painel_diario!$J574=1),EXP(Painel_diario!$L574),1)-1</f>
        <v/>
      </c>
      <c r="E578" s="22">
        <f>(1+E577)*IF(AND(Painel_diario!$H574="ED_JU",Painel_diario!$J574=1),EXP(Painel_diario!$L574),1)-1</f>
        <v/>
      </c>
    </row>
    <row r="579">
      <c r="A579" s="25" t="n">
        <v>39665</v>
      </c>
      <c r="B579" s="22">
        <f>(1+B578)*IF(AND(Painel_diario!$H575="EU_JD",Painel_diario!$J575=1),EXP(Painel_diario!$L575),1)-1</f>
        <v/>
      </c>
      <c r="C579" s="22">
        <f>(1+C578)*IF(AND(Painel_diario!$H575="EU_JU",Painel_diario!$J575=1),EXP(Painel_diario!$L575),1)-1</f>
        <v/>
      </c>
      <c r="D579" s="22">
        <f>(1+D578)*IF(AND(Painel_diario!$H575="ED_JD",Painel_diario!$J575=1),EXP(Painel_diario!$L575),1)-1</f>
        <v/>
      </c>
      <c r="E579" s="22">
        <f>(1+E578)*IF(AND(Painel_diario!$H575="ED_JU",Painel_diario!$J575=1),EXP(Painel_diario!$L575),1)-1</f>
        <v/>
      </c>
    </row>
    <row r="580">
      <c r="A580" s="25" t="n">
        <v>39666</v>
      </c>
      <c r="B580" s="22">
        <f>(1+B579)*IF(AND(Painel_diario!$H576="EU_JD",Painel_diario!$J576=1),EXP(Painel_diario!$L576),1)-1</f>
        <v/>
      </c>
      <c r="C580" s="22">
        <f>(1+C579)*IF(AND(Painel_diario!$H576="EU_JU",Painel_diario!$J576=1),EXP(Painel_diario!$L576),1)-1</f>
        <v/>
      </c>
      <c r="D580" s="22">
        <f>(1+D579)*IF(AND(Painel_diario!$H576="ED_JD",Painel_diario!$J576=1),EXP(Painel_diario!$L576),1)-1</f>
        <v/>
      </c>
      <c r="E580" s="22">
        <f>(1+E579)*IF(AND(Painel_diario!$H576="ED_JU",Painel_diario!$J576=1),EXP(Painel_diario!$L576),1)-1</f>
        <v/>
      </c>
    </row>
    <row r="581">
      <c r="A581" s="25" t="n">
        <v>39667</v>
      </c>
      <c r="B581" s="22">
        <f>(1+B580)*IF(AND(Painel_diario!$H577="EU_JD",Painel_diario!$J577=1),EXP(Painel_diario!$L577),1)-1</f>
        <v/>
      </c>
      <c r="C581" s="22">
        <f>(1+C580)*IF(AND(Painel_diario!$H577="EU_JU",Painel_diario!$J577=1),EXP(Painel_diario!$L577),1)-1</f>
        <v/>
      </c>
      <c r="D581" s="22">
        <f>(1+D580)*IF(AND(Painel_diario!$H577="ED_JD",Painel_diario!$J577=1),EXP(Painel_diario!$L577),1)-1</f>
        <v/>
      </c>
      <c r="E581" s="22">
        <f>(1+E580)*IF(AND(Painel_diario!$H577="ED_JU",Painel_diario!$J577=1),EXP(Painel_diario!$L577),1)-1</f>
        <v/>
      </c>
    </row>
    <row r="582">
      <c r="A582" s="25" t="n">
        <v>39668</v>
      </c>
      <c r="B582" s="22">
        <f>(1+B581)*IF(AND(Painel_diario!$H578="EU_JD",Painel_diario!$J578=1),EXP(Painel_diario!$L578),1)-1</f>
        <v/>
      </c>
      <c r="C582" s="22">
        <f>(1+C581)*IF(AND(Painel_diario!$H578="EU_JU",Painel_diario!$J578=1),EXP(Painel_diario!$L578),1)-1</f>
        <v/>
      </c>
      <c r="D582" s="22">
        <f>(1+D581)*IF(AND(Painel_diario!$H578="ED_JD",Painel_diario!$J578=1),EXP(Painel_diario!$L578),1)-1</f>
        <v/>
      </c>
      <c r="E582" s="22">
        <f>(1+E581)*IF(AND(Painel_diario!$H578="ED_JU",Painel_diario!$J578=1),EXP(Painel_diario!$L578),1)-1</f>
        <v/>
      </c>
    </row>
    <row r="583">
      <c r="A583" s="25" t="n">
        <v>39671</v>
      </c>
      <c r="B583" s="22">
        <f>(1+B582)*IF(AND(Painel_diario!$H579="EU_JD",Painel_diario!$J579=1),EXP(Painel_diario!$L579),1)-1</f>
        <v/>
      </c>
      <c r="C583" s="22">
        <f>(1+C582)*IF(AND(Painel_diario!$H579="EU_JU",Painel_diario!$J579=1),EXP(Painel_diario!$L579),1)-1</f>
        <v/>
      </c>
      <c r="D583" s="22">
        <f>(1+D582)*IF(AND(Painel_diario!$H579="ED_JD",Painel_diario!$J579=1),EXP(Painel_diario!$L579),1)-1</f>
        <v/>
      </c>
      <c r="E583" s="22">
        <f>(1+E582)*IF(AND(Painel_diario!$H579="ED_JU",Painel_diario!$J579=1),EXP(Painel_diario!$L579),1)-1</f>
        <v/>
      </c>
    </row>
    <row r="584">
      <c r="A584" s="25" t="n">
        <v>39672</v>
      </c>
      <c r="B584" s="22">
        <f>(1+B583)*IF(AND(Painel_diario!$H580="EU_JD",Painel_diario!$J580=1),EXP(Painel_diario!$L580),1)-1</f>
        <v/>
      </c>
      <c r="C584" s="22">
        <f>(1+C583)*IF(AND(Painel_diario!$H580="EU_JU",Painel_diario!$J580=1),EXP(Painel_diario!$L580),1)-1</f>
        <v/>
      </c>
      <c r="D584" s="22">
        <f>(1+D583)*IF(AND(Painel_diario!$H580="ED_JD",Painel_diario!$J580=1),EXP(Painel_diario!$L580),1)-1</f>
        <v/>
      </c>
      <c r="E584" s="22">
        <f>(1+E583)*IF(AND(Painel_diario!$H580="ED_JU",Painel_diario!$J580=1),EXP(Painel_diario!$L580),1)-1</f>
        <v/>
      </c>
    </row>
    <row r="585">
      <c r="A585" s="25" t="n">
        <v>39673</v>
      </c>
      <c r="B585" s="22">
        <f>(1+B584)*IF(AND(Painel_diario!$H581="EU_JD",Painel_diario!$J581=1),EXP(Painel_diario!$L581),1)-1</f>
        <v/>
      </c>
      <c r="C585" s="22">
        <f>(1+C584)*IF(AND(Painel_diario!$H581="EU_JU",Painel_diario!$J581=1),EXP(Painel_diario!$L581),1)-1</f>
        <v/>
      </c>
      <c r="D585" s="22">
        <f>(1+D584)*IF(AND(Painel_diario!$H581="ED_JD",Painel_diario!$J581=1),EXP(Painel_diario!$L581),1)-1</f>
        <v/>
      </c>
      <c r="E585" s="22">
        <f>(1+E584)*IF(AND(Painel_diario!$H581="ED_JU",Painel_diario!$J581=1),EXP(Painel_diario!$L581),1)-1</f>
        <v/>
      </c>
    </row>
    <row r="586">
      <c r="A586" s="25" t="n">
        <v>39674</v>
      </c>
      <c r="B586" s="22">
        <f>(1+B585)*IF(AND(Painel_diario!$H582="EU_JD",Painel_diario!$J582=1),EXP(Painel_diario!$L582),1)-1</f>
        <v/>
      </c>
      <c r="C586" s="22">
        <f>(1+C585)*IF(AND(Painel_diario!$H582="EU_JU",Painel_diario!$J582=1),EXP(Painel_diario!$L582),1)-1</f>
        <v/>
      </c>
      <c r="D586" s="22">
        <f>(1+D585)*IF(AND(Painel_diario!$H582="ED_JD",Painel_diario!$J582=1),EXP(Painel_diario!$L582),1)-1</f>
        <v/>
      </c>
      <c r="E586" s="22">
        <f>(1+E585)*IF(AND(Painel_diario!$H582="ED_JU",Painel_diario!$J582=1),EXP(Painel_diario!$L582),1)-1</f>
        <v/>
      </c>
    </row>
    <row r="587">
      <c r="A587" s="25" t="n">
        <v>39675</v>
      </c>
      <c r="B587" s="22">
        <f>(1+B586)*IF(AND(Painel_diario!$H583="EU_JD",Painel_diario!$J583=1),EXP(Painel_diario!$L583),1)-1</f>
        <v/>
      </c>
      <c r="C587" s="22">
        <f>(1+C586)*IF(AND(Painel_diario!$H583="EU_JU",Painel_diario!$J583=1),EXP(Painel_diario!$L583),1)-1</f>
        <v/>
      </c>
      <c r="D587" s="22">
        <f>(1+D586)*IF(AND(Painel_diario!$H583="ED_JD",Painel_diario!$J583=1),EXP(Painel_diario!$L583),1)-1</f>
        <v/>
      </c>
      <c r="E587" s="22">
        <f>(1+E586)*IF(AND(Painel_diario!$H583="ED_JU",Painel_diario!$J583=1),EXP(Painel_diario!$L583),1)-1</f>
        <v/>
      </c>
    </row>
    <row r="588">
      <c r="A588" s="25" t="n">
        <v>39678</v>
      </c>
      <c r="B588" s="22">
        <f>(1+B587)*IF(AND(Painel_diario!$H584="EU_JD",Painel_diario!$J584=1),EXP(Painel_diario!$L584),1)-1</f>
        <v/>
      </c>
      <c r="C588" s="22">
        <f>(1+C587)*IF(AND(Painel_diario!$H584="EU_JU",Painel_diario!$J584=1),EXP(Painel_diario!$L584),1)-1</f>
        <v/>
      </c>
      <c r="D588" s="22">
        <f>(1+D587)*IF(AND(Painel_diario!$H584="ED_JD",Painel_diario!$J584=1),EXP(Painel_diario!$L584),1)-1</f>
        <v/>
      </c>
      <c r="E588" s="22">
        <f>(1+E587)*IF(AND(Painel_diario!$H584="ED_JU",Painel_diario!$J584=1),EXP(Painel_diario!$L584),1)-1</f>
        <v/>
      </c>
    </row>
    <row r="589">
      <c r="A589" s="25" t="n">
        <v>39679</v>
      </c>
      <c r="B589" s="22">
        <f>(1+B588)*IF(AND(Painel_diario!$H585="EU_JD",Painel_diario!$J585=1),EXP(Painel_diario!$L585),1)-1</f>
        <v/>
      </c>
      <c r="C589" s="22">
        <f>(1+C588)*IF(AND(Painel_diario!$H585="EU_JU",Painel_diario!$J585=1),EXP(Painel_diario!$L585),1)-1</f>
        <v/>
      </c>
      <c r="D589" s="22">
        <f>(1+D588)*IF(AND(Painel_diario!$H585="ED_JD",Painel_diario!$J585=1),EXP(Painel_diario!$L585),1)-1</f>
        <v/>
      </c>
      <c r="E589" s="22">
        <f>(1+E588)*IF(AND(Painel_diario!$H585="ED_JU",Painel_diario!$J585=1),EXP(Painel_diario!$L585),1)-1</f>
        <v/>
      </c>
    </row>
    <row r="590">
      <c r="A590" s="25" t="n">
        <v>39680</v>
      </c>
      <c r="B590" s="22">
        <f>(1+B589)*IF(AND(Painel_diario!$H586="EU_JD",Painel_diario!$J586=1),EXP(Painel_diario!$L586),1)-1</f>
        <v/>
      </c>
      <c r="C590" s="22">
        <f>(1+C589)*IF(AND(Painel_diario!$H586="EU_JU",Painel_diario!$J586=1),EXP(Painel_diario!$L586),1)-1</f>
        <v/>
      </c>
      <c r="D590" s="22">
        <f>(1+D589)*IF(AND(Painel_diario!$H586="ED_JD",Painel_diario!$J586=1),EXP(Painel_diario!$L586),1)-1</f>
        <v/>
      </c>
      <c r="E590" s="22">
        <f>(1+E589)*IF(AND(Painel_diario!$H586="ED_JU",Painel_diario!$J586=1),EXP(Painel_diario!$L586),1)-1</f>
        <v/>
      </c>
    </row>
    <row r="591">
      <c r="A591" s="25" t="n">
        <v>39681</v>
      </c>
      <c r="B591" s="22">
        <f>(1+B590)*IF(AND(Painel_diario!$H587="EU_JD",Painel_diario!$J587=1),EXP(Painel_diario!$L587),1)-1</f>
        <v/>
      </c>
      <c r="C591" s="22">
        <f>(1+C590)*IF(AND(Painel_diario!$H587="EU_JU",Painel_diario!$J587=1),EXP(Painel_diario!$L587),1)-1</f>
        <v/>
      </c>
      <c r="D591" s="22">
        <f>(1+D590)*IF(AND(Painel_diario!$H587="ED_JD",Painel_diario!$J587=1),EXP(Painel_diario!$L587),1)-1</f>
        <v/>
      </c>
      <c r="E591" s="22">
        <f>(1+E590)*IF(AND(Painel_diario!$H587="ED_JU",Painel_diario!$J587=1),EXP(Painel_diario!$L587),1)-1</f>
        <v/>
      </c>
    </row>
    <row r="592">
      <c r="A592" s="25" t="n">
        <v>39682</v>
      </c>
      <c r="B592" s="22">
        <f>(1+B591)*IF(AND(Painel_diario!$H588="EU_JD",Painel_diario!$J588=1),EXP(Painel_diario!$L588),1)-1</f>
        <v/>
      </c>
      <c r="C592" s="22">
        <f>(1+C591)*IF(AND(Painel_diario!$H588="EU_JU",Painel_diario!$J588=1),EXP(Painel_diario!$L588),1)-1</f>
        <v/>
      </c>
      <c r="D592" s="22">
        <f>(1+D591)*IF(AND(Painel_diario!$H588="ED_JD",Painel_diario!$J588=1),EXP(Painel_diario!$L588),1)-1</f>
        <v/>
      </c>
      <c r="E592" s="22">
        <f>(1+E591)*IF(AND(Painel_diario!$H588="ED_JU",Painel_diario!$J588=1),EXP(Painel_diario!$L588),1)-1</f>
        <v/>
      </c>
    </row>
    <row r="593">
      <c r="A593" s="25" t="n">
        <v>39685</v>
      </c>
      <c r="B593" s="22">
        <f>(1+B592)*IF(AND(Painel_diario!$H589="EU_JD",Painel_diario!$J589=1),EXP(Painel_diario!$L589),1)-1</f>
        <v/>
      </c>
      <c r="C593" s="22">
        <f>(1+C592)*IF(AND(Painel_diario!$H589="EU_JU",Painel_diario!$J589=1),EXP(Painel_diario!$L589),1)-1</f>
        <v/>
      </c>
      <c r="D593" s="22">
        <f>(1+D592)*IF(AND(Painel_diario!$H589="ED_JD",Painel_diario!$J589=1),EXP(Painel_diario!$L589),1)-1</f>
        <v/>
      </c>
      <c r="E593" s="22">
        <f>(1+E592)*IF(AND(Painel_diario!$H589="ED_JU",Painel_diario!$J589=1),EXP(Painel_diario!$L589),1)-1</f>
        <v/>
      </c>
    </row>
    <row r="594">
      <c r="A594" s="25" t="n">
        <v>39686</v>
      </c>
      <c r="B594" s="22">
        <f>(1+B593)*IF(AND(Painel_diario!$H590="EU_JD",Painel_diario!$J590=1),EXP(Painel_diario!$L590),1)-1</f>
        <v/>
      </c>
      <c r="C594" s="22">
        <f>(1+C593)*IF(AND(Painel_diario!$H590="EU_JU",Painel_diario!$J590=1),EXP(Painel_diario!$L590),1)-1</f>
        <v/>
      </c>
      <c r="D594" s="22">
        <f>(1+D593)*IF(AND(Painel_diario!$H590="ED_JD",Painel_diario!$J590=1),EXP(Painel_diario!$L590),1)-1</f>
        <v/>
      </c>
      <c r="E594" s="22">
        <f>(1+E593)*IF(AND(Painel_diario!$H590="ED_JU",Painel_diario!$J590=1),EXP(Painel_diario!$L590),1)-1</f>
        <v/>
      </c>
    </row>
    <row r="595">
      <c r="A595" s="25" t="n">
        <v>39687</v>
      </c>
      <c r="B595" s="22">
        <f>(1+B594)*IF(AND(Painel_diario!$H591="EU_JD",Painel_diario!$J591=1),EXP(Painel_diario!$L591),1)-1</f>
        <v/>
      </c>
      <c r="C595" s="22">
        <f>(1+C594)*IF(AND(Painel_diario!$H591="EU_JU",Painel_diario!$J591=1),EXP(Painel_diario!$L591),1)-1</f>
        <v/>
      </c>
      <c r="D595" s="22">
        <f>(1+D594)*IF(AND(Painel_diario!$H591="ED_JD",Painel_diario!$J591=1),EXP(Painel_diario!$L591),1)-1</f>
        <v/>
      </c>
      <c r="E595" s="22">
        <f>(1+E594)*IF(AND(Painel_diario!$H591="ED_JU",Painel_diario!$J591=1),EXP(Painel_diario!$L591),1)-1</f>
        <v/>
      </c>
    </row>
    <row r="596">
      <c r="A596" s="25" t="n">
        <v>39688</v>
      </c>
      <c r="B596" s="22">
        <f>(1+B595)*IF(AND(Painel_diario!$H592="EU_JD",Painel_diario!$J592=1),EXP(Painel_diario!$L592),1)-1</f>
        <v/>
      </c>
      <c r="C596" s="22">
        <f>(1+C595)*IF(AND(Painel_diario!$H592="EU_JU",Painel_diario!$J592=1),EXP(Painel_diario!$L592),1)-1</f>
        <v/>
      </c>
      <c r="D596" s="22">
        <f>(1+D595)*IF(AND(Painel_diario!$H592="ED_JD",Painel_diario!$J592=1),EXP(Painel_diario!$L592),1)-1</f>
        <v/>
      </c>
      <c r="E596" s="22">
        <f>(1+E595)*IF(AND(Painel_diario!$H592="ED_JU",Painel_diario!$J592=1),EXP(Painel_diario!$L592),1)-1</f>
        <v/>
      </c>
    </row>
    <row r="597">
      <c r="A597" s="25" t="n">
        <v>39689</v>
      </c>
      <c r="B597" s="22">
        <f>(1+B596)*IF(AND(Painel_diario!$H593="EU_JD",Painel_diario!$J593=1),EXP(Painel_diario!$L593),1)-1</f>
        <v/>
      </c>
      <c r="C597" s="22">
        <f>(1+C596)*IF(AND(Painel_diario!$H593="EU_JU",Painel_diario!$J593=1),EXP(Painel_diario!$L593),1)-1</f>
        <v/>
      </c>
      <c r="D597" s="22">
        <f>(1+D596)*IF(AND(Painel_diario!$H593="ED_JD",Painel_diario!$J593=1),EXP(Painel_diario!$L593),1)-1</f>
        <v/>
      </c>
      <c r="E597" s="22">
        <f>(1+E596)*IF(AND(Painel_diario!$H593="ED_JU",Painel_diario!$J593=1),EXP(Painel_diario!$L593),1)-1</f>
        <v/>
      </c>
    </row>
    <row r="598">
      <c r="A598" s="25" t="n">
        <v>39692</v>
      </c>
      <c r="B598" s="22">
        <f>(1+B597)*IF(AND(Painel_diario!$H594="EU_JD",Painel_diario!$J594=1),EXP(Painel_diario!$L594),1)-1</f>
        <v/>
      </c>
      <c r="C598" s="22">
        <f>(1+C597)*IF(AND(Painel_diario!$H594="EU_JU",Painel_diario!$J594=1),EXP(Painel_diario!$L594),1)-1</f>
        <v/>
      </c>
      <c r="D598" s="22">
        <f>(1+D597)*IF(AND(Painel_diario!$H594="ED_JD",Painel_diario!$J594=1),EXP(Painel_diario!$L594),1)-1</f>
        <v/>
      </c>
      <c r="E598" s="22">
        <f>(1+E597)*IF(AND(Painel_diario!$H594="ED_JU",Painel_diario!$J594=1),EXP(Painel_diario!$L594),1)-1</f>
        <v/>
      </c>
    </row>
    <row r="599">
      <c r="A599" s="25" t="n">
        <v>39693</v>
      </c>
      <c r="B599" s="22">
        <f>(1+B598)*IF(AND(Painel_diario!$H595="EU_JD",Painel_diario!$J595=1),EXP(Painel_diario!$L595),1)-1</f>
        <v/>
      </c>
      <c r="C599" s="22">
        <f>(1+C598)*IF(AND(Painel_diario!$H595="EU_JU",Painel_diario!$J595=1),EXP(Painel_diario!$L595),1)-1</f>
        <v/>
      </c>
      <c r="D599" s="22">
        <f>(1+D598)*IF(AND(Painel_diario!$H595="ED_JD",Painel_diario!$J595=1),EXP(Painel_diario!$L595),1)-1</f>
        <v/>
      </c>
      <c r="E599" s="22">
        <f>(1+E598)*IF(AND(Painel_diario!$H595="ED_JU",Painel_diario!$J595=1),EXP(Painel_diario!$L595),1)-1</f>
        <v/>
      </c>
    </row>
    <row r="600">
      <c r="A600" s="25" t="n">
        <v>39694</v>
      </c>
      <c r="B600" s="22">
        <f>(1+B599)*IF(AND(Painel_diario!$H596="EU_JD",Painel_diario!$J596=1),EXP(Painel_diario!$L596),1)-1</f>
        <v/>
      </c>
      <c r="C600" s="22">
        <f>(1+C599)*IF(AND(Painel_diario!$H596="EU_JU",Painel_diario!$J596=1),EXP(Painel_diario!$L596),1)-1</f>
        <v/>
      </c>
      <c r="D600" s="22">
        <f>(1+D599)*IF(AND(Painel_diario!$H596="ED_JD",Painel_diario!$J596=1),EXP(Painel_diario!$L596),1)-1</f>
        <v/>
      </c>
      <c r="E600" s="22">
        <f>(1+E599)*IF(AND(Painel_diario!$H596="ED_JU",Painel_diario!$J596=1),EXP(Painel_diario!$L596),1)-1</f>
        <v/>
      </c>
    </row>
    <row r="601">
      <c r="A601" s="25" t="n">
        <v>39695</v>
      </c>
      <c r="B601" s="22">
        <f>(1+B600)*IF(AND(Painel_diario!$H597="EU_JD",Painel_diario!$J597=1),EXP(Painel_diario!$L597),1)-1</f>
        <v/>
      </c>
      <c r="C601" s="22">
        <f>(1+C600)*IF(AND(Painel_diario!$H597="EU_JU",Painel_diario!$J597=1),EXP(Painel_diario!$L597),1)-1</f>
        <v/>
      </c>
      <c r="D601" s="22">
        <f>(1+D600)*IF(AND(Painel_diario!$H597="ED_JD",Painel_diario!$J597=1),EXP(Painel_diario!$L597),1)-1</f>
        <v/>
      </c>
      <c r="E601" s="22">
        <f>(1+E600)*IF(AND(Painel_diario!$H597="ED_JU",Painel_diario!$J597=1),EXP(Painel_diario!$L597),1)-1</f>
        <v/>
      </c>
    </row>
    <row r="602">
      <c r="A602" s="25" t="n">
        <v>39696</v>
      </c>
      <c r="B602" s="22">
        <f>(1+B601)*IF(AND(Painel_diario!$H598="EU_JD",Painel_diario!$J598=1),EXP(Painel_diario!$L598),1)-1</f>
        <v/>
      </c>
      <c r="C602" s="22">
        <f>(1+C601)*IF(AND(Painel_diario!$H598="EU_JU",Painel_diario!$J598=1),EXP(Painel_diario!$L598),1)-1</f>
        <v/>
      </c>
      <c r="D602" s="22">
        <f>(1+D601)*IF(AND(Painel_diario!$H598="ED_JD",Painel_diario!$J598=1),EXP(Painel_diario!$L598),1)-1</f>
        <v/>
      </c>
      <c r="E602" s="22">
        <f>(1+E601)*IF(AND(Painel_diario!$H598="ED_JU",Painel_diario!$J598=1),EXP(Painel_diario!$L598),1)-1</f>
        <v/>
      </c>
    </row>
    <row r="603">
      <c r="A603" s="25" t="n">
        <v>39699</v>
      </c>
      <c r="B603" s="22">
        <f>(1+B602)*IF(AND(Painel_diario!$H599="EU_JD",Painel_diario!$J599=1),EXP(Painel_diario!$L599),1)-1</f>
        <v/>
      </c>
      <c r="C603" s="22">
        <f>(1+C602)*IF(AND(Painel_diario!$H599="EU_JU",Painel_diario!$J599=1),EXP(Painel_diario!$L599),1)-1</f>
        <v/>
      </c>
      <c r="D603" s="22">
        <f>(1+D602)*IF(AND(Painel_diario!$H599="ED_JD",Painel_diario!$J599=1),EXP(Painel_diario!$L599),1)-1</f>
        <v/>
      </c>
      <c r="E603" s="22">
        <f>(1+E602)*IF(AND(Painel_diario!$H599="ED_JU",Painel_diario!$J599=1),EXP(Painel_diario!$L599),1)-1</f>
        <v/>
      </c>
    </row>
    <row r="604">
      <c r="A604" s="25" t="n">
        <v>39700</v>
      </c>
      <c r="B604" s="22">
        <f>(1+B603)*IF(AND(Painel_diario!$H600="EU_JD",Painel_diario!$J600=1),EXP(Painel_diario!$L600),1)-1</f>
        <v/>
      </c>
      <c r="C604" s="22">
        <f>(1+C603)*IF(AND(Painel_diario!$H600="EU_JU",Painel_diario!$J600=1),EXP(Painel_diario!$L600),1)-1</f>
        <v/>
      </c>
      <c r="D604" s="22">
        <f>(1+D603)*IF(AND(Painel_diario!$H600="ED_JD",Painel_diario!$J600=1),EXP(Painel_diario!$L600),1)-1</f>
        <v/>
      </c>
      <c r="E604" s="22">
        <f>(1+E603)*IF(AND(Painel_diario!$H600="ED_JU",Painel_diario!$J600=1),EXP(Painel_diario!$L600),1)-1</f>
        <v/>
      </c>
    </row>
    <row r="605">
      <c r="A605" s="25" t="n">
        <v>39701</v>
      </c>
      <c r="B605" s="22">
        <f>(1+B604)*IF(AND(Painel_diario!$H601="EU_JD",Painel_diario!$J601=1),EXP(Painel_diario!$L601),1)-1</f>
        <v/>
      </c>
      <c r="C605" s="22">
        <f>(1+C604)*IF(AND(Painel_diario!$H601="EU_JU",Painel_diario!$J601=1),EXP(Painel_diario!$L601),1)-1</f>
        <v/>
      </c>
      <c r="D605" s="22">
        <f>(1+D604)*IF(AND(Painel_diario!$H601="ED_JD",Painel_diario!$J601=1),EXP(Painel_diario!$L601),1)-1</f>
        <v/>
      </c>
      <c r="E605" s="22">
        <f>(1+E604)*IF(AND(Painel_diario!$H601="ED_JU",Painel_diario!$J601=1),EXP(Painel_diario!$L601),1)-1</f>
        <v/>
      </c>
    </row>
    <row r="606">
      <c r="A606" s="25" t="n">
        <v>39702</v>
      </c>
      <c r="B606" s="22">
        <f>(1+B605)*IF(AND(Painel_diario!$H602="EU_JD",Painel_diario!$J602=1),EXP(Painel_diario!$L602),1)-1</f>
        <v/>
      </c>
      <c r="C606" s="22">
        <f>(1+C605)*IF(AND(Painel_diario!$H602="EU_JU",Painel_diario!$J602=1),EXP(Painel_diario!$L602),1)-1</f>
        <v/>
      </c>
      <c r="D606" s="22">
        <f>(1+D605)*IF(AND(Painel_diario!$H602="ED_JD",Painel_diario!$J602=1),EXP(Painel_diario!$L602),1)-1</f>
        <v/>
      </c>
      <c r="E606" s="22">
        <f>(1+E605)*IF(AND(Painel_diario!$H602="ED_JU",Painel_diario!$J602=1),EXP(Painel_diario!$L602),1)-1</f>
        <v/>
      </c>
    </row>
    <row r="607">
      <c r="A607" s="25" t="n">
        <v>39703</v>
      </c>
      <c r="B607" s="22">
        <f>(1+B606)*IF(AND(Painel_diario!$H603="EU_JD",Painel_diario!$J603=1),EXP(Painel_diario!$L603),1)-1</f>
        <v/>
      </c>
      <c r="C607" s="22">
        <f>(1+C606)*IF(AND(Painel_diario!$H603="EU_JU",Painel_diario!$J603=1),EXP(Painel_diario!$L603),1)-1</f>
        <v/>
      </c>
      <c r="D607" s="22">
        <f>(1+D606)*IF(AND(Painel_diario!$H603="ED_JD",Painel_diario!$J603=1),EXP(Painel_diario!$L603),1)-1</f>
        <v/>
      </c>
      <c r="E607" s="22">
        <f>(1+E606)*IF(AND(Painel_diario!$H603="ED_JU",Painel_diario!$J603=1),EXP(Painel_diario!$L603),1)-1</f>
        <v/>
      </c>
    </row>
    <row r="608">
      <c r="A608" s="25" t="n">
        <v>39706</v>
      </c>
      <c r="B608" s="22">
        <f>(1+B607)*IF(AND(Painel_diario!$H604="EU_JD",Painel_diario!$J604=1),EXP(Painel_diario!$L604),1)-1</f>
        <v/>
      </c>
      <c r="C608" s="22">
        <f>(1+C607)*IF(AND(Painel_diario!$H604="EU_JU",Painel_diario!$J604=1),EXP(Painel_diario!$L604),1)-1</f>
        <v/>
      </c>
      <c r="D608" s="22">
        <f>(1+D607)*IF(AND(Painel_diario!$H604="ED_JD",Painel_diario!$J604=1),EXP(Painel_diario!$L604),1)-1</f>
        <v/>
      </c>
      <c r="E608" s="22">
        <f>(1+E607)*IF(AND(Painel_diario!$H604="ED_JU",Painel_diario!$J604=1),EXP(Painel_diario!$L604),1)-1</f>
        <v/>
      </c>
    </row>
    <row r="609">
      <c r="A609" s="25" t="n">
        <v>39707</v>
      </c>
      <c r="B609" s="22">
        <f>(1+B608)*IF(AND(Painel_diario!$H605="EU_JD",Painel_diario!$J605=1),EXP(Painel_diario!$L605),1)-1</f>
        <v/>
      </c>
      <c r="C609" s="22">
        <f>(1+C608)*IF(AND(Painel_diario!$H605="EU_JU",Painel_diario!$J605=1),EXP(Painel_diario!$L605),1)-1</f>
        <v/>
      </c>
      <c r="D609" s="22">
        <f>(1+D608)*IF(AND(Painel_diario!$H605="ED_JD",Painel_diario!$J605=1),EXP(Painel_diario!$L605),1)-1</f>
        <v/>
      </c>
      <c r="E609" s="22">
        <f>(1+E608)*IF(AND(Painel_diario!$H605="ED_JU",Painel_diario!$J605=1),EXP(Painel_diario!$L605),1)-1</f>
        <v/>
      </c>
    </row>
    <row r="610">
      <c r="A610" s="25" t="n">
        <v>39708</v>
      </c>
      <c r="B610" s="22">
        <f>(1+B609)*IF(AND(Painel_diario!$H606="EU_JD",Painel_diario!$J606=1),EXP(Painel_diario!$L606),1)-1</f>
        <v/>
      </c>
      <c r="C610" s="22">
        <f>(1+C609)*IF(AND(Painel_diario!$H606="EU_JU",Painel_diario!$J606=1),EXP(Painel_diario!$L606),1)-1</f>
        <v/>
      </c>
      <c r="D610" s="22">
        <f>(1+D609)*IF(AND(Painel_diario!$H606="ED_JD",Painel_diario!$J606=1),EXP(Painel_diario!$L606),1)-1</f>
        <v/>
      </c>
      <c r="E610" s="22">
        <f>(1+E609)*IF(AND(Painel_diario!$H606="ED_JU",Painel_diario!$J606=1),EXP(Painel_diario!$L606),1)-1</f>
        <v/>
      </c>
    </row>
    <row r="611">
      <c r="A611" s="25" t="n">
        <v>39709</v>
      </c>
      <c r="B611" s="22">
        <f>(1+B610)*IF(AND(Painel_diario!$H607="EU_JD",Painel_diario!$J607=1),EXP(Painel_diario!$L607),1)-1</f>
        <v/>
      </c>
      <c r="C611" s="22">
        <f>(1+C610)*IF(AND(Painel_diario!$H607="EU_JU",Painel_diario!$J607=1),EXP(Painel_diario!$L607),1)-1</f>
        <v/>
      </c>
      <c r="D611" s="22">
        <f>(1+D610)*IF(AND(Painel_diario!$H607="ED_JD",Painel_diario!$J607=1),EXP(Painel_diario!$L607),1)-1</f>
        <v/>
      </c>
      <c r="E611" s="22">
        <f>(1+E610)*IF(AND(Painel_diario!$H607="ED_JU",Painel_diario!$J607=1),EXP(Painel_diario!$L607),1)-1</f>
        <v/>
      </c>
    </row>
    <row r="612">
      <c r="A612" s="25" t="n">
        <v>39710</v>
      </c>
      <c r="B612" s="22">
        <f>(1+B611)*IF(AND(Painel_diario!$H608="EU_JD",Painel_diario!$J608=1),EXP(Painel_diario!$L608),1)-1</f>
        <v/>
      </c>
      <c r="C612" s="22">
        <f>(1+C611)*IF(AND(Painel_diario!$H608="EU_JU",Painel_diario!$J608=1),EXP(Painel_diario!$L608),1)-1</f>
        <v/>
      </c>
      <c r="D612" s="22">
        <f>(1+D611)*IF(AND(Painel_diario!$H608="ED_JD",Painel_diario!$J608=1),EXP(Painel_diario!$L608),1)-1</f>
        <v/>
      </c>
      <c r="E612" s="22">
        <f>(1+E611)*IF(AND(Painel_diario!$H608="ED_JU",Painel_diario!$J608=1),EXP(Painel_diario!$L608),1)-1</f>
        <v/>
      </c>
    </row>
    <row r="613">
      <c r="A613" s="25" t="n">
        <v>39713</v>
      </c>
      <c r="B613" s="22">
        <f>(1+B612)*IF(AND(Painel_diario!$H609="EU_JD",Painel_diario!$J609=1),EXP(Painel_diario!$L609),1)-1</f>
        <v/>
      </c>
      <c r="C613" s="22">
        <f>(1+C612)*IF(AND(Painel_diario!$H609="EU_JU",Painel_diario!$J609=1),EXP(Painel_diario!$L609),1)-1</f>
        <v/>
      </c>
      <c r="D613" s="22">
        <f>(1+D612)*IF(AND(Painel_diario!$H609="ED_JD",Painel_diario!$J609=1),EXP(Painel_diario!$L609),1)-1</f>
        <v/>
      </c>
      <c r="E613" s="22">
        <f>(1+E612)*IF(AND(Painel_diario!$H609="ED_JU",Painel_diario!$J609=1),EXP(Painel_diario!$L609),1)-1</f>
        <v/>
      </c>
    </row>
    <row r="614">
      <c r="A614" s="25" t="n">
        <v>39714</v>
      </c>
      <c r="B614" s="22">
        <f>(1+B613)*IF(AND(Painel_diario!$H610="EU_JD",Painel_diario!$J610=1),EXP(Painel_diario!$L610),1)-1</f>
        <v/>
      </c>
      <c r="C614" s="22">
        <f>(1+C613)*IF(AND(Painel_diario!$H610="EU_JU",Painel_diario!$J610=1),EXP(Painel_diario!$L610),1)-1</f>
        <v/>
      </c>
      <c r="D614" s="22">
        <f>(1+D613)*IF(AND(Painel_diario!$H610="ED_JD",Painel_diario!$J610=1),EXP(Painel_diario!$L610),1)-1</f>
        <v/>
      </c>
      <c r="E614" s="22">
        <f>(1+E613)*IF(AND(Painel_diario!$H610="ED_JU",Painel_diario!$J610=1),EXP(Painel_diario!$L610),1)-1</f>
        <v/>
      </c>
    </row>
    <row r="615">
      <c r="A615" s="25" t="n">
        <v>39715</v>
      </c>
      <c r="B615" s="22">
        <f>(1+B614)*IF(AND(Painel_diario!$H611="EU_JD",Painel_diario!$J611=1),EXP(Painel_diario!$L611),1)-1</f>
        <v/>
      </c>
      <c r="C615" s="22">
        <f>(1+C614)*IF(AND(Painel_diario!$H611="EU_JU",Painel_diario!$J611=1),EXP(Painel_diario!$L611),1)-1</f>
        <v/>
      </c>
      <c r="D615" s="22">
        <f>(1+D614)*IF(AND(Painel_diario!$H611="ED_JD",Painel_diario!$J611=1),EXP(Painel_diario!$L611),1)-1</f>
        <v/>
      </c>
      <c r="E615" s="22">
        <f>(1+E614)*IF(AND(Painel_diario!$H611="ED_JU",Painel_diario!$J611=1),EXP(Painel_diario!$L611),1)-1</f>
        <v/>
      </c>
    </row>
    <row r="616">
      <c r="A616" s="25" t="n">
        <v>39716</v>
      </c>
      <c r="B616" s="22">
        <f>(1+B615)*IF(AND(Painel_diario!$H612="EU_JD",Painel_diario!$J612=1),EXP(Painel_diario!$L612),1)-1</f>
        <v/>
      </c>
      <c r="C616" s="22">
        <f>(1+C615)*IF(AND(Painel_diario!$H612="EU_JU",Painel_diario!$J612=1),EXP(Painel_diario!$L612),1)-1</f>
        <v/>
      </c>
      <c r="D616" s="22">
        <f>(1+D615)*IF(AND(Painel_diario!$H612="ED_JD",Painel_diario!$J612=1),EXP(Painel_diario!$L612),1)-1</f>
        <v/>
      </c>
      <c r="E616" s="22">
        <f>(1+E615)*IF(AND(Painel_diario!$H612="ED_JU",Painel_diario!$J612=1),EXP(Painel_diario!$L612),1)-1</f>
        <v/>
      </c>
    </row>
    <row r="617">
      <c r="A617" s="25" t="n">
        <v>39717</v>
      </c>
      <c r="B617" s="22">
        <f>(1+B616)*IF(AND(Painel_diario!$H613="EU_JD",Painel_diario!$J613=1),EXP(Painel_diario!$L613),1)-1</f>
        <v/>
      </c>
      <c r="C617" s="22">
        <f>(1+C616)*IF(AND(Painel_diario!$H613="EU_JU",Painel_diario!$J613=1),EXP(Painel_diario!$L613),1)-1</f>
        <v/>
      </c>
      <c r="D617" s="22">
        <f>(1+D616)*IF(AND(Painel_diario!$H613="ED_JD",Painel_diario!$J613=1),EXP(Painel_diario!$L613),1)-1</f>
        <v/>
      </c>
      <c r="E617" s="22">
        <f>(1+E616)*IF(AND(Painel_diario!$H613="ED_JU",Painel_diario!$J613=1),EXP(Painel_diario!$L613),1)-1</f>
        <v/>
      </c>
    </row>
    <row r="618">
      <c r="A618" s="25" t="n">
        <v>39720</v>
      </c>
      <c r="B618" s="22">
        <f>(1+B617)*IF(AND(Painel_diario!$H614="EU_JD",Painel_diario!$J614=1),EXP(Painel_diario!$L614),1)-1</f>
        <v/>
      </c>
      <c r="C618" s="22">
        <f>(1+C617)*IF(AND(Painel_diario!$H614="EU_JU",Painel_diario!$J614=1),EXP(Painel_diario!$L614),1)-1</f>
        <v/>
      </c>
      <c r="D618" s="22">
        <f>(1+D617)*IF(AND(Painel_diario!$H614="ED_JD",Painel_diario!$J614=1),EXP(Painel_diario!$L614),1)-1</f>
        <v/>
      </c>
      <c r="E618" s="22">
        <f>(1+E617)*IF(AND(Painel_diario!$H614="ED_JU",Painel_diario!$J614=1),EXP(Painel_diario!$L614),1)-1</f>
        <v/>
      </c>
    </row>
    <row r="619">
      <c r="A619" s="25" t="n">
        <v>39721</v>
      </c>
      <c r="B619" s="22">
        <f>(1+B618)*IF(AND(Painel_diario!$H615="EU_JD",Painel_diario!$J615=1),EXP(Painel_diario!$L615),1)-1</f>
        <v/>
      </c>
      <c r="C619" s="22">
        <f>(1+C618)*IF(AND(Painel_diario!$H615="EU_JU",Painel_diario!$J615=1),EXP(Painel_diario!$L615),1)-1</f>
        <v/>
      </c>
      <c r="D619" s="22">
        <f>(1+D618)*IF(AND(Painel_diario!$H615="ED_JD",Painel_diario!$J615=1),EXP(Painel_diario!$L615),1)-1</f>
        <v/>
      </c>
      <c r="E619" s="22">
        <f>(1+E618)*IF(AND(Painel_diario!$H615="ED_JU",Painel_diario!$J615=1),EXP(Painel_diario!$L615),1)-1</f>
        <v/>
      </c>
    </row>
    <row r="620">
      <c r="A620" s="25" t="n">
        <v>39722</v>
      </c>
      <c r="B620" s="22">
        <f>(1+B619)*IF(AND(Painel_diario!$H616="EU_JD",Painel_diario!$J616=1),EXP(Painel_diario!$L616),1)-1</f>
        <v/>
      </c>
      <c r="C620" s="22">
        <f>(1+C619)*IF(AND(Painel_diario!$H616="EU_JU",Painel_diario!$J616=1),EXP(Painel_diario!$L616),1)-1</f>
        <v/>
      </c>
      <c r="D620" s="22">
        <f>(1+D619)*IF(AND(Painel_diario!$H616="ED_JD",Painel_diario!$J616=1),EXP(Painel_diario!$L616),1)-1</f>
        <v/>
      </c>
      <c r="E620" s="22">
        <f>(1+E619)*IF(AND(Painel_diario!$H616="ED_JU",Painel_diario!$J616=1),EXP(Painel_diario!$L616),1)-1</f>
        <v/>
      </c>
    </row>
    <row r="621">
      <c r="A621" s="25" t="n">
        <v>39723</v>
      </c>
      <c r="B621" s="22">
        <f>(1+B620)*IF(AND(Painel_diario!$H617="EU_JD",Painel_diario!$J617=1),EXP(Painel_diario!$L617),1)-1</f>
        <v/>
      </c>
      <c r="C621" s="22">
        <f>(1+C620)*IF(AND(Painel_diario!$H617="EU_JU",Painel_diario!$J617=1),EXP(Painel_diario!$L617),1)-1</f>
        <v/>
      </c>
      <c r="D621" s="22">
        <f>(1+D620)*IF(AND(Painel_diario!$H617="ED_JD",Painel_diario!$J617=1),EXP(Painel_diario!$L617),1)-1</f>
        <v/>
      </c>
      <c r="E621" s="22">
        <f>(1+E620)*IF(AND(Painel_diario!$H617="ED_JU",Painel_diario!$J617=1),EXP(Painel_diario!$L617),1)-1</f>
        <v/>
      </c>
    </row>
    <row r="622">
      <c r="A622" s="25" t="n">
        <v>39724</v>
      </c>
      <c r="B622" s="22">
        <f>(1+B621)*IF(AND(Painel_diario!$H618="EU_JD",Painel_diario!$J618=1),EXP(Painel_diario!$L618),1)-1</f>
        <v/>
      </c>
      <c r="C622" s="22">
        <f>(1+C621)*IF(AND(Painel_diario!$H618="EU_JU",Painel_diario!$J618=1),EXP(Painel_diario!$L618),1)-1</f>
        <v/>
      </c>
      <c r="D622" s="22">
        <f>(1+D621)*IF(AND(Painel_diario!$H618="ED_JD",Painel_diario!$J618=1),EXP(Painel_diario!$L618),1)-1</f>
        <v/>
      </c>
      <c r="E622" s="22">
        <f>(1+E621)*IF(AND(Painel_diario!$H618="ED_JU",Painel_diario!$J618=1),EXP(Painel_diario!$L618),1)-1</f>
        <v/>
      </c>
    </row>
    <row r="623">
      <c r="A623" s="25" t="n">
        <v>39727</v>
      </c>
      <c r="B623" s="22">
        <f>(1+B622)*IF(AND(Painel_diario!$H619="EU_JD",Painel_diario!$J619=1),EXP(Painel_diario!$L619),1)-1</f>
        <v/>
      </c>
      <c r="C623" s="22">
        <f>(1+C622)*IF(AND(Painel_diario!$H619="EU_JU",Painel_diario!$J619=1),EXP(Painel_diario!$L619),1)-1</f>
        <v/>
      </c>
      <c r="D623" s="22">
        <f>(1+D622)*IF(AND(Painel_diario!$H619="ED_JD",Painel_diario!$J619=1),EXP(Painel_diario!$L619),1)-1</f>
        <v/>
      </c>
      <c r="E623" s="22">
        <f>(1+E622)*IF(AND(Painel_diario!$H619="ED_JU",Painel_diario!$J619=1),EXP(Painel_diario!$L619),1)-1</f>
        <v/>
      </c>
    </row>
    <row r="624">
      <c r="A624" s="25" t="n">
        <v>39728</v>
      </c>
      <c r="B624" s="22">
        <f>(1+B623)*IF(AND(Painel_diario!$H620="EU_JD",Painel_diario!$J620=1),EXP(Painel_diario!$L620),1)-1</f>
        <v/>
      </c>
      <c r="C624" s="22">
        <f>(1+C623)*IF(AND(Painel_diario!$H620="EU_JU",Painel_diario!$J620=1),EXP(Painel_diario!$L620),1)-1</f>
        <v/>
      </c>
      <c r="D624" s="22">
        <f>(1+D623)*IF(AND(Painel_diario!$H620="ED_JD",Painel_diario!$J620=1),EXP(Painel_diario!$L620),1)-1</f>
        <v/>
      </c>
      <c r="E624" s="22">
        <f>(1+E623)*IF(AND(Painel_diario!$H620="ED_JU",Painel_diario!$J620=1),EXP(Painel_diario!$L620),1)-1</f>
        <v/>
      </c>
    </row>
    <row r="625">
      <c r="A625" s="25" t="n">
        <v>39729</v>
      </c>
      <c r="B625" s="22">
        <f>(1+B624)*IF(AND(Painel_diario!$H621="EU_JD",Painel_diario!$J621=1),EXP(Painel_diario!$L621),1)-1</f>
        <v/>
      </c>
      <c r="C625" s="22">
        <f>(1+C624)*IF(AND(Painel_diario!$H621="EU_JU",Painel_diario!$J621=1),EXP(Painel_diario!$L621),1)-1</f>
        <v/>
      </c>
      <c r="D625" s="22">
        <f>(1+D624)*IF(AND(Painel_diario!$H621="ED_JD",Painel_diario!$J621=1),EXP(Painel_diario!$L621),1)-1</f>
        <v/>
      </c>
      <c r="E625" s="22">
        <f>(1+E624)*IF(AND(Painel_diario!$H621="ED_JU",Painel_diario!$J621=1),EXP(Painel_diario!$L621),1)-1</f>
        <v/>
      </c>
    </row>
    <row r="626">
      <c r="A626" s="25" t="n">
        <v>39730</v>
      </c>
      <c r="B626" s="22">
        <f>(1+B625)*IF(AND(Painel_diario!$H622="EU_JD",Painel_diario!$J622=1),EXP(Painel_diario!$L622),1)-1</f>
        <v/>
      </c>
      <c r="C626" s="22">
        <f>(1+C625)*IF(AND(Painel_diario!$H622="EU_JU",Painel_diario!$J622=1),EXP(Painel_diario!$L622),1)-1</f>
        <v/>
      </c>
      <c r="D626" s="22">
        <f>(1+D625)*IF(AND(Painel_diario!$H622="ED_JD",Painel_diario!$J622=1),EXP(Painel_diario!$L622),1)-1</f>
        <v/>
      </c>
      <c r="E626" s="22">
        <f>(1+E625)*IF(AND(Painel_diario!$H622="ED_JU",Painel_diario!$J622=1),EXP(Painel_diario!$L622),1)-1</f>
        <v/>
      </c>
    </row>
    <row r="627">
      <c r="A627" s="25" t="n">
        <v>39731</v>
      </c>
      <c r="B627" s="22">
        <f>(1+B626)*IF(AND(Painel_diario!$H623="EU_JD",Painel_diario!$J623=1),EXP(Painel_diario!$L623),1)-1</f>
        <v/>
      </c>
      <c r="C627" s="22">
        <f>(1+C626)*IF(AND(Painel_diario!$H623="EU_JU",Painel_diario!$J623=1),EXP(Painel_diario!$L623),1)-1</f>
        <v/>
      </c>
      <c r="D627" s="22">
        <f>(1+D626)*IF(AND(Painel_diario!$H623="ED_JD",Painel_diario!$J623=1),EXP(Painel_diario!$L623),1)-1</f>
        <v/>
      </c>
      <c r="E627" s="22">
        <f>(1+E626)*IF(AND(Painel_diario!$H623="ED_JU",Painel_diario!$J623=1),EXP(Painel_diario!$L623),1)-1</f>
        <v/>
      </c>
    </row>
    <row r="628">
      <c r="A628" s="25" t="n">
        <v>39734</v>
      </c>
      <c r="B628" s="22">
        <f>(1+B627)*IF(AND(Painel_diario!$H624="EU_JD",Painel_diario!$J624=1),EXP(Painel_diario!$L624),1)-1</f>
        <v/>
      </c>
      <c r="C628" s="22">
        <f>(1+C627)*IF(AND(Painel_diario!$H624="EU_JU",Painel_diario!$J624=1),EXP(Painel_diario!$L624),1)-1</f>
        <v/>
      </c>
      <c r="D628" s="22">
        <f>(1+D627)*IF(AND(Painel_diario!$H624="ED_JD",Painel_diario!$J624=1),EXP(Painel_diario!$L624),1)-1</f>
        <v/>
      </c>
      <c r="E628" s="22">
        <f>(1+E627)*IF(AND(Painel_diario!$H624="ED_JU",Painel_diario!$J624=1),EXP(Painel_diario!$L624),1)-1</f>
        <v/>
      </c>
    </row>
    <row r="629">
      <c r="A629" s="25" t="n">
        <v>39735</v>
      </c>
      <c r="B629" s="22">
        <f>(1+B628)*IF(AND(Painel_diario!$H625="EU_JD",Painel_diario!$J625=1),EXP(Painel_diario!$L625),1)-1</f>
        <v/>
      </c>
      <c r="C629" s="22">
        <f>(1+C628)*IF(AND(Painel_diario!$H625="EU_JU",Painel_diario!$J625=1),EXP(Painel_diario!$L625),1)-1</f>
        <v/>
      </c>
      <c r="D629" s="22">
        <f>(1+D628)*IF(AND(Painel_diario!$H625="ED_JD",Painel_diario!$J625=1),EXP(Painel_diario!$L625),1)-1</f>
        <v/>
      </c>
      <c r="E629" s="22">
        <f>(1+E628)*IF(AND(Painel_diario!$H625="ED_JU",Painel_diario!$J625=1),EXP(Painel_diario!$L625),1)-1</f>
        <v/>
      </c>
    </row>
    <row r="630">
      <c r="A630" s="25" t="n">
        <v>39736</v>
      </c>
      <c r="B630" s="22">
        <f>(1+B629)*IF(AND(Painel_diario!$H626="EU_JD",Painel_diario!$J626=1),EXP(Painel_diario!$L626),1)-1</f>
        <v/>
      </c>
      <c r="C630" s="22">
        <f>(1+C629)*IF(AND(Painel_diario!$H626="EU_JU",Painel_diario!$J626=1),EXP(Painel_diario!$L626),1)-1</f>
        <v/>
      </c>
      <c r="D630" s="22">
        <f>(1+D629)*IF(AND(Painel_diario!$H626="ED_JD",Painel_diario!$J626=1),EXP(Painel_diario!$L626),1)-1</f>
        <v/>
      </c>
      <c r="E630" s="22">
        <f>(1+E629)*IF(AND(Painel_diario!$H626="ED_JU",Painel_diario!$J626=1),EXP(Painel_diario!$L626),1)-1</f>
        <v/>
      </c>
    </row>
    <row r="631">
      <c r="A631" s="25" t="n">
        <v>39737</v>
      </c>
      <c r="B631" s="22">
        <f>(1+B630)*IF(AND(Painel_diario!$H627="EU_JD",Painel_diario!$J627=1),EXP(Painel_diario!$L627),1)-1</f>
        <v/>
      </c>
      <c r="C631" s="22">
        <f>(1+C630)*IF(AND(Painel_diario!$H627="EU_JU",Painel_diario!$J627=1),EXP(Painel_diario!$L627),1)-1</f>
        <v/>
      </c>
      <c r="D631" s="22">
        <f>(1+D630)*IF(AND(Painel_diario!$H627="ED_JD",Painel_diario!$J627=1),EXP(Painel_diario!$L627),1)-1</f>
        <v/>
      </c>
      <c r="E631" s="22">
        <f>(1+E630)*IF(AND(Painel_diario!$H627="ED_JU",Painel_diario!$J627=1),EXP(Painel_diario!$L627),1)-1</f>
        <v/>
      </c>
    </row>
    <row r="632">
      <c r="A632" s="25" t="n">
        <v>39738</v>
      </c>
      <c r="B632" s="22">
        <f>(1+B631)*IF(AND(Painel_diario!$H628="EU_JD",Painel_diario!$J628=1),EXP(Painel_diario!$L628),1)-1</f>
        <v/>
      </c>
      <c r="C632" s="22">
        <f>(1+C631)*IF(AND(Painel_diario!$H628="EU_JU",Painel_diario!$J628=1),EXP(Painel_diario!$L628),1)-1</f>
        <v/>
      </c>
      <c r="D632" s="22">
        <f>(1+D631)*IF(AND(Painel_diario!$H628="ED_JD",Painel_diario!$J628=1),EXP(Painel_diario!$L628),1)-1</f>
        <v/>
      </c>
      <c r="E632" s="22">
        <f>(1+E631)*IF(AND(Painel_diario!$H628="ED_JU",Painel_diario!$J628=1),EXP(Painel_diario!$L628),1)-1</f>
        <v/>
      </c>
    </row>
    <row r="633">
      <c r="A633" s="25" t="n">
        <v>39741</v>
      </c>
      <c r="B633" s="22">
        <f>(1+B632)*IF(AND(Painel_diario!$H629="EU_JD",Painel_diario!$J629=1),EXP(Painel_diario!$L629),1)-1</f>
        <v/>
      </c>
      <c r="C633" s="22">
        <f>(1+C632)*IF(AND(Painel_diario!$H629="EU_JU",Painel_diario!$J629=1),EXP(Painel_diario!$L629),1)-1</f>
        <v/>
      </c>
      <c r="D633" s="22">
        <f>(1+D632)*IF(AND(Painel_diario!$H629="ED_JD",Painel_diario!$J629=1),EXP(Painel_diario!$L629),1)-1</f>
        <v/>
      </c>
      <c r="E633" s="22">
        <f>(1+E632)*IF(AND(Painel_diario!$H629="ED_JU",Painel_diario!$J629=1),EXP(Painel_diario!$L629),1)-1</f>
        <v/>
      </c>
    </row>
    <row r="634">
      <c r="A634" s="25" t="n">
        <v>39742</v>
      </c>
      <c r="B634" s="22">
        <f>(1+B633)*IF(AND(Painel_diario!$H630="EU_JD",Painel_diario!$J630=1),EXP(Painel_diario!$L630),1)-1</f>
        <v/>
      </c>
      <c r="C634" s="22">
        <f>(1+C633)*IF(AND(Painel_diario!$H630="EU_JU",Painel_diario!$J630=1),EXP(Painel_diario!$L630),1)-1</f>
        <v/>
      </c>
      <c r="D634" s="22">
        <f>(1+D633)*IF(AND(Painel_diario!$H630="ED_JD",Painel_diario!$J630=1),EXP(Painel_diario!$L630),1)-1</f>
        <v/>
      </c>
      <c r="E634" s="22">
        <f>(1+E633)*IF(AND(Painel_diario!$H630="ED_JU",Painel_diario!$J630=1),EXP(Painel_diario!$L630),1)-1</f>
        <v/>
      </c>
    </row>
    <row r="635">
      <c r="A635" s="25" t="n">
        <v>39743</v>
      </c>
      <c r="B635" s="22">
        <f>(1+B634)*IF(AND(Painel_diario!$H631="EU_JD",Painel_diario!$J631=1),EXP(Painel_diario!$L631),1)-1</f>
        <v/>
      </c>
      <c r="C635" s="22">
        <f>(1+C634)*IF(AND(Painel_diario!$H631="EU_JU",Painel_diario!$J631=1),EXP(Painel_diario!$L631),1)-1</f>
        <v/>
      </c>
      <c r="D635" s="22">
        <f>(1+D634)*IF(AND(Painel_diario!$H631="ED_JD",Painel_diario!$J631=1),EXP(Painel_diario!$L631),1)-1</f>
        <v/>
      </c>
      <c r="E635" s="22">
        <f>(1+E634)*IF(AND(Painel_diario!$H631="ED_JU",Painel_diario!$J631=1),EXP(Painel_diario!$L631),1)-1</f>
        <v/>
      </c>
    </row>
    <row r="636">
      <c r="A636" s="25" t="n">
        <v>39744</v>
      </c>
      <c r="B636" s="22">
        <f>(1+B635)*IF(AND(Painel_diario!$H632="EU_JD",Painel_diario!$J632=1),EXP(Painel_diario!$L632),1)-1</f>
        <v/>
      </c>
      <c r="C636" s="22">
        <f>(1+C635)*IF(AND(Painel_diario!$H632="EU_JU",Painel_diario!$J632=1),EXP(Painel_diario!$L632),1)-1</f>
        <v/>
      </c>
      <c r="D636" s="22">
        <f>(1+D635)*IF(AND(Painel_diario!$H632="ED_JD",Painel_diario!$J632=1),EXP(Painel_diario!$L632),1)-1</f>
        <v/>
      </c>
      <c r="E636" s="22">
        <f>(1+E635)*IF(AND(Painel_diario!$H632="ED_JU",Painel_diario!$J632=1),EXP(Painel_diario!$L632),1)-1</f>
        <v/>
      </c>
    </row>
    <row r="637">
      <c r="A637" s="25" t="n">
        <v>39745</v>
      </c>
      <c r="B637" s="22">
        <f>(1+B636)*IF(AND(Painel_diario!$H633="EU_JD",Painel_diario!$J633=1),EXP(Painel_diario!$L633),1)-1</f>
        <v/>
      </c>
      <c r="C637" s="22">
        <f>(1+C636)*IF(AND(Painel_diario!$H633="EU_JU",Painel_diario!$J633=1),EXP(Painel_diario!$L633),1)-1</f>
        <v/>
      </c>
      <c r="D637" s="22">
        <f>(1+D636)*IF(AND(Painel_diario!$H633="ED_JD",Painel_diario!$J633=1),EXP(Painel_diario!$L633),1)-1</f>
        <v/>
      </c>
      <c r="E637" s="22">
        <f>(1+E636)*IF(AND(Painel_diario!$H633="ED_JU",Painel_diario!$J633=1),EXP(Painel_diario!$L633),1)-1</f>
        <v/>
      </c>
    </row>
    <row r="638">
      <c r="A638" s="25" t="n">
        <v>39748</v>
      </c>
      <c r="B638" s="22">
        <f>(1+B637)*IF(AND(Painel_diario!$H634="EU_JD",Painel_diario!$J634=1),EXP(Painel_diario!$L634),1)-1</f>
        <v/>
      </c>
      <c r="C638" s="22">
        <f>(1+C637)*IF(AND(Painel_diario!$H634="EU_JU",Painel_diario!$J634=1),EXP(Painel_diario!$L634),1)-1</f>
        <v/>
      </c>
      <c r="D638" s="22">
        <f>(1+D637)*IF(AND(Painel_diario!$H634="ED_JD",Painel_diario!$J634=1),EXP(Painel_diario!$L634),1)-1</f>
        <v/>
      </c>
      <c r="E638" s="22">
        <f>(1+E637)*IF(AND(Painel_diario!$H634="ED_JU",Painel_diario!$J634=1),EXP(Painel_diario!$L634),1)-1</f>
        <v/>
      </c>
    </row>
    <row r="639">
      <c r="A639" s="25" t="n">
        <v>39749</v>
      </c>
      <c r="B639" s="22">
        <f>(1+B638)*IF(AND(Painel_diario!$H635="EU_JD",Painel_diario!$J635=1),EXP(Painel_diario!$L635),1)-1</f>
        <v/>
      </c>
      <c r="C639" s="22">
        <f>(1+C638)*IF(AND(Painel_diario!$H635="EU_JU",Painel_diario!$J635=1),EXP(Painel_diario!$L635),1)-1</f>
        <v/>
      </c>
      <c r="D639" s="22">
        <f>(1+D638)*IF(AND(Painel_diario!$H635="ED_JD",Painel_diario!$J635=1),EXP(Painel_diario!$L635),1)-1</f>
        <v/>
      </c>
      <c r="E639" s="22">
        <f>(1+E638)*IF(AND(Painel_diario!$H635="ED_JU",Painel_diario!$J635=1),EXP(Painel_diario!$L635),1)-1</f>
        <v/>
      </c>
    </row>
    <row r="640">
      <c r="A640" s="25" t="n">
        <v>39750</v>
      </c>
      <c r="B640" s="22">
        <f>(1+B639)*IF(AND(Painel_diario!$H636="EU_JD",Painel_diario!$J636=1),EXP(Painel_diario!$L636),1)-1</f>
        <v/>
      </c>
      <c r="C640" s="22">
        <f>(1+C639)*IF(AND(Painel_diario!$H636="EU_JU",Painel_diario!$J636=1),EXP(Painel_diario!$L636),1)-1</f>
        <v/>
      </c>
      <c r="D640" s="22">
        <f>(1+D639)*IF(AND(Painel_diario!$H636="ED_JD",Painel_diario!$J636=1),EXP(Painel_diario!$L636),1)-1</f>
        <v/>
      </c>
      <c r="E640" s="22">
        <f>(1+E639)*IF(AND(Painel_diario!$H636="ED_JU",Painel_diario!$J636=1),EXP(Painel_diario!$L636),1)-1</f>
        <v/>
      </c>
    </row>
    <row r="641">
      <c r="A641" s="25" t="n">
        <v>39751</v>
      </c>
      <c r="B641" s="22">
        <f>(1+B640)*IF(AND(Painel_diario!$H637="EU_JD",Painel_diario!$J637=1),EXP(Painel_diario!$L637),1)-1</f>
        <v/>
      </c>
      <c r="C641" s="22">
        <f>(1+C640)*IF(AND(Painel_diario!$H637="EU_JU",Painel_diario!$J637=1),EXP(Painel_diario!$L637),1)-1</f>
        <v/>
      </c>
      <c r="D641" s="22">
        <f>(1+D640)*IF(AND(Painel_diario!$H637="ED_JD",Painel_diario!$J637=1),EXP(Painel_diario!$L637),1)-1</f>
        <v/>
      </c>
      <c r="E641" s="22">
        <f>(1+E640)*IF(AND(Painel_diario!$H637="ED_JU",Painel_diario!$J637=1),EXP(Painel_diario!$L637),1)-1</f>
        <v/>
      </c>
    </row>
    <row r="642">
      <c r="A642" s="25" t="n">
        <v>39752</v>
      </c>
      <c r="B642" s="22">
        <f>(1+B641)*IF(AND(Painel_diario!$H638="EU_JD",Painel_diario!$J638=1),EXP(Painel_diario!$L638),1)-1</f>
        <v/>
      </c>
      <c r="C642" s="22">
        <f>(1+C641)*IF(AND(Painel_diario!$H638="EU_JU",Painel_diario!$J638=1),EXP(Painel_diario!$L638),1)-1</f>
        <v/>
      </c>
      <c r="D642" s="22">
        <f>(1+D641)*IF(AND(Painel_diario!$H638="ED_JD",Painel_diario!$J638=1),EXP(Painel_diario!$L638),1)-1</f>
        <v/>
      </c>
      <c r="E642" s="22">
        <f>(1+E641)*IF(AND(Painel_diario!$H638="ED_JU",Painel_diario!$J638=1),EXP(Painel_diario!$L638),1)-1</f>
        <v/>
      </c>
    </row>
    <row r="643">
      <c r="A643" s="25" t="n">
        <v>39755</v>
      </c>
      <c r="B643" s="22">
        <f>(1+B642)*IF(AND(Painel_diario!$H639="EU_JD",Painel_diario!$J639=1),EXP(Painel_diario!$L639),1)-1</f>
        <v/>
      </c>
      <c r="C643" s="22">
        <f>(1+C642)*IF(AND(Painel_diario!$H639="EU_JU",Painel_diario!$J639=1),EXP(Painel_diario!$L639),1)-1</f>
        <v/>
      </c>
      <c r="D643" s="22">
        <f>(1+D642)*IF(AND(Painel_diario!$H639="ED_JD",Painel_diario!$J639=1),EXP(Painel_diario!$L639),1)-1</f>
        <v/>
      </c>
      <c r="E643" s="22">
        <f>(1+E642)*IF(AND(Painel_diario!$H639="ED_JU",Painel_diario!$J639=1),EXP(Painel_diario!$L639),1)-1</f>
        <v/>
      </c>
    </row>
    <row r="644">
      <c r="A644" s="25" t="n">
        <v>39756</v>
      </c>
      <c r="B644" s="22">
        <f>(1+B643)*IF(AND(Painel_diario!$H640="EU_JD",Painel_diario!$J640=1),EXP(Painel_diario!$L640),1)-1</f>
        <v/>
      </c>
      <c r="C644" s="22">
        <f>(1+C643)*IF(AND(Painel_diario!$H640="EU_JU",Painel_diario!$J640=1),EXP(Painel_diario!$L640),1)-1</f>
        <v/>
      </c>
      <c r="D644" s="22">
        <f>(1+D643)*IF(AND(Painel_diario!$H640="ED_JD",Painel_diario!$J640=1),EXP(Painel_diario!$L640),1)-1</f>
        <v/>
      </c>
      <c r="E644" s="22">
        <f>(1+E643)*IF(AND(Painel_diario!$H640="ED_JU",Painel_diario!$J640=1),EXP(Painel_diario!$L640),1)-1</f>
        <v/>
      </c>
    </row>
    <row r="645">
      <c r="A645" s="25" t="n">
        <v>39757</v>
      </c>
      <c r="B645" s="22">
        <f>(1+B644)*IF(AND(Painel_diario!$H641="EU_JD",Painel_diario!$J641=1),EXP(Painel_diario!$L641),1)-1</f>
        <v/>
      </c>
      <c r="C645" s="22">
        <f>(1+C644)*IF(AND(Painel_diario!$H641="EU_JU",Painel_diario!$J641=1),EXP(Painel_diario!$L641),1)-1</f>
        <v/>
      </c>
      <c r="D645" s="22">
        <f>(1+D644)*IF(AND(Painel_diario!$H641="ED_JD",Painel_diario!$J641=1),EXP(Painel_diario!$L641),1)-1</f>
        <v/>
      </c>
      <c r="E645" s="22">
        <f>(1+E644)*IF(AND(Painel_diario!$H641="ED_JU",Painel_diario!$J641=1),EXP(Painel_diario!$L641),1)-1</f>
        <v/>
      </c>
    </row>
    <row r="646">
      <c r="A646" s="25" t="n">
        <v>39758</v>
      </c>
      <c r="B646" s="22">
        <f>(1+B645)*IF(AND(Painel_diario!$H642="EU_JD",Painel_diario!$J642=1),EXP(Painel_diario!$L642),1)-1</f>
        <v/>
      </c>
      <c r="C646" s="22">
        <f>(1+C645)*IF(AND(Painel_diario!$H642="EU_JU",Painel_diario!$J642=1),EXP(Painel_diario!$L642),1)-1</f>
        <v/>
      </c>
      <c r="D646" s="22">
        <f>(1+D645)*IF(AND(Painel_diario!$H642="ED_JD",Painel_diario!$J642=1),EXP(Painel_diario!$L642),1)-1</f>
        <v/>
      </c>
      <c r="E646" s="22">
        <f>(1+E645)*IF(AND(Painel_diario!$H642="ED_JU",Painel_diario!$J642=1),EXP(Painel_diario!$L642),1)-1</f>
        <v/>
      </c>
    </row>
    <row r="647">
      <c r="A647" s="25" t="n">
        <v>39759</v>
      </c>
      <c r="B647" s="22">
        <f>(1+B646)*IF(AND(Painel_diario!$H643="EU_JD",Painel_diario!$J643=1),EXP(Painel_diario!$L643),1)-1</f>
        <v/>
      </c>
      <c r="C647" s="22">
        <f>(1+C646)*IF(AND(Painel_diario!$H643="EU_JU",Painel_diario!$J643=1),EXP(Painel_diario!$L643),1)-1</f>
        <v/>
      </c>
      <c r="D647" s="22">
        <f>(1+D646)*IF(AND(Painel_diario!$H643="ED_JD",Painel_diario!$J643=1),EXP(Painel_diario!$L643),1)-1</f>
        <v/>
      </c>
      <c r="E647" s="22">
        <f>(1+E646)*IF(AND(Painel_diario!$H643="ED_JU",Painel_diario!$J643=1),EXP(Painel_diario!$L643),1)-1</f>
        <v/>
      </c>
    </row>
    <row r="648">
      <c r="A648" s="25" t="n">
        <v>39762</v>
      </c>
      <c r="B648" s="22">
        <f>(1+B647)*IF(AND(Painel_diario!$H644="EU_JD",Painel_diario!$J644=1),EXP(Painel_diario!$L644),1)-1</f>
        <v/>
      </c>
      <c r="C648" s="22">
        <f>(1+C647)*IF(AND(Painel_diario!$H644="EU_JU",Painel_diario!$J644=1),EXP(Painel_diario!$L644),1)-1</f>
        <v/>
      </c>
      <c r="D648" s="22">
        <f>(1+D647)*IF(AND(Painel_diario!$H644="ED_JD",Painel_diario!$J644=1),EXP(Painel_diario!$L644),1)-1</f>
        <v/>
      </c>
      <c r="E648" s="22">
        <f>(1+E647)*IF(AND(Painel_diario!$H644="ED_JU",Painel_diario!$J644=1),EXP(Painel_diario!$L644),1)-1</f>
        <v/>
      </c>
    </row>
    <row r="649">
      <c r="A649" s="25" t="n">
        <v>39763</v>
      </c>
      <c r="B649" s="22">
        <f>(1+B648)*IF(AND(Painel_diario!$H645="EU_JD",Painel_diario!$J645=1),EXP(Painel_diario!$L645),1)-1</f>
        <v/>
      </c>
      <c r="C649" s="22">
        <f>(1+C648)*IF(AND(Painel_diario!$H645="EU_JU",Painel_diario!$J645=1),EXP(Painel_diario!$L645),1)-1</f>
        <v/>
      </c>
      <c r="D649" s="22">
        <f>(1+D648)*IF(AND(Painel_diario!$H645="ED_JD",Painel_diario!$J645=1),EXP(Painel_diario!$L645),1)-1</f>
        <v/>
      </c>
      <c r="E649" s="22">
        <f>(1+E648)*IF(AND(Painel_diario!$H645="ED_JU",Painel_diario!$J645=1),EXP(Painel_diario!$L645),1)-1</f>
        <v/>
      </c>
    </row>
    <row r="650">
      <c r="A650" s="25" t="n">
        <v>39764</v>
      </c>
      <c r="B650" s="22">
        <f>(1+B649)*IF(AND(Painel_diario!$H646="EU_JD",Painel_diario!$J646=1),EXP(Painel_diario!$L646),1)-1</f>
        <v/>
      </c>
      <c r="C650" s="22">
        <f>(1+C649)*IF(AND(Painel_diario!$H646="EU_JU",Painel_diario!$J646=1),EXP(Painel_diario!$L646),1)-1</f>
        <v/>
      </c>
      <c r="D650" s="22">
        <f>(1+D649)*IF(AND(Painel_diario!$H646="ED_JD",Painel_diario!$J646=1),EXP(Painel_diario!$L646),1)-1</f>
        <v/>
      </c>
      <c r="E650" s="22">
        <f>(1+E649)*IF(AND(Painel_diario!$H646="ED_JU",Painel_diario!$J646=1),EXP(Painel_diario!$L646),1)-1</f>
        <v/>
      </c>
    </row>
    <row r="651">
      <c r="A651" s="25" t="n">
        <v>39765</v>
      </c>
      <c r="B651" s="22">
        <f>(1+B650)*IF(AND(Painel_diario!$H647="EU_JD",Painel_diario!$J647=1),EXP(Painel_diario!$L647),1)-1</f>
        <v/>
      </c>
      <c r="C651" s="22">
        <f>(1+C650)*IF(AND(Painel_diario!$H647="EU_JU",Painel_diario!$J647=1),EXP(Painel_diario!$L647),1)-1</f>
        <v/>
      </c>
      <c r="D651" s="22">
        <f>(1+D650)*IF(AND(Painel_diario!$H647="ED_JD",Painel_diario!$J647=1),EXP(Painel_diario!$L647),1)-1</f>
        <v/>
      </c>
      <c r="E651" s="22">
        <f>(1+E650)*IF(AND(Painel_diario!$H647="ED_JU",Painel_diario!$J647=1),EXP(Painel_diario!$L647),1)-1</f>
        <v/>
      </c>
    </row>
    <row r="652">
      <c r="A652" s="25" t="n">
        <v>39766</v>
      </c>
      <c r="B652" s="22">
        <f>(1+B651)*IF(AND(Painel_diario!$H648="EU_JD",Painel_diario!$J648=1),EXP(Painel_diario!$L648),1)-1</f>
        <v/>
      </c>
      <c r="C652" s="22">
        <f>(1+C651)*IF(AND(Painel_diario!$H648="EU_JU",Painel_diario!$J648=1),EXP(Painel_diario!$L648),1)-1</f>
        <v/>
      </c>
      <c r="D652" s="22">
        <f>(1+D651)*IF(AND(Painel_diario!$H648="ED_JD",Painel_diario!$J648=1),EXP(Painel_diario!$L648),1)-1</f>
        <v/>
      </c>
      <c r="E652" s="22">
        <f>(1+E651)*IF(AND(Painel_diario!$H648="ED_JU",Painel_diario!$J648=1),EXP(Painel_diario!$L648),1)-1</f>
        <v/>
      </c>
    </row>
    <row r="653">
      <c r="A653" s="25" t="n">
        <v>39769</v>
      </c>
      <c r="B653" s="22">
        <f>(1+B652)*IF(AND(Painel_diario!$H649="EU_JD",Painel_diario!$J649=1),EXP(Painel_diario!$L649),1)-1</f>
        <v/>
      </c>
      <c r="C653" s="22">
        <f>(1+C652)*IF(AND(Painel_diario!$H649="EU_JU",Painel_diario!$J649=1),EXP(Painel_diario!$L649),1)-1</f>
        <v/>
      </c>
      <c r="D653" s="22">
        <f>(1+D652)*IF(AND(Painel_diario!$H649="ED_JD",Painel_diario!$J649=1),EXP(Painel_diario!$L649),1)-1</f>
        <v/>
      </c>
      <c r="E653" s="22">
        <f>(1+E652)*IF(AND(Painel_diario!$H649="ED_JU",Painel_diario!$J649=1),EXP(Painel_diario!$L649),1)-1</f>
        <v/>
      </c>
    </row>
    <row r="654">
      <c r="A654" s="25" t="n">
        <v>39770</v>
      </c>
      <c r="B654" s="22">
        <f>(1+B653)*IF(AND(Painel_diario!$H650="EU_JD",Painel_diario!$J650=1),EXP(Painel_diario!$L650),1)-1</f>
        <v/>
      </c>
      <c r="C654" s="22">
        <f>(1+C653)*IF(AND(Painel_diario!$H650="EU_JU",Painel_diario!$J650=1),EXP(Painel_diario!$L650),1)-1</f>
        <v/>
      </c>
      <c r="D654" s="22">
        <f>(1+D653)*IF(AND(Painel_diario!$H650="ED_JD",Painel_diario!$J650=1),EXP(Painel_diario!$L650),1)-1</f>
        <v/>
      </c>
      <c r="E654" s="22">
        <f>(1+E653)*IF(AND(Painel_diario!$H650="ED_JU",Painel_diario!$J650=1),EXP(Painel_diario!$L650),1)-1</f>
        <v/>
      </c>
    </row>
    <row r="655">
      <c r="A655" s="25" t="n">
        <v>39771</v>
      </c>
      <c r="B655" s="22">
        <f>(1+B654)*IF(AND(Painel_diario!$H651="EU_JD",Painel_diario!$J651=1),EXP(Painel_diario!$L651),1)-1</f>
        <v/>
      </c>
      <c r="C655" s="22">
        <f>(1+C654)*IF(AND(Painel_diario!$H651="EU_JU",Painel_diario!$J651=1),EXP(Painel_diario!$L651),1)-1</f>
        <v/>
      </c>
      <c r="D655" s="22">
        <f>(1+D654)*IF(AND(Painel_diario!$H651="ED_JD",Painel_diario!$J651=1),EXP(Painel_diario!$L651),1)-1</f>
        <v/>
      </c>
      <c r="E655" s="22">
        <f>(1+E654)*IF(AND(Painel_diario!$H651="ED_JU",Painel_diario!$J651=1),EXP(Painel_diario!$L651),1)-1</f>
        <v/>
      </c>
    </row>
    <row r="656">
      <c r="A656" s="25" t="n">
        <v>39773</v>
      </c>
      <c r="B656" s="22">
        <f>(1+B655)*IF(AND(Painel_diario!$H652="EU_JD",Painel_diario!$J652=1),EXP(Painel_diario!$L652),1)-1</f>
        <v/>
      </c>
      <c r="C656" s="22">
        <f>(1+C655)*IF(AND(Painel_diario!$H652="EU_JU",Painel_diario!$J652=1),EXP(Painel_diario!$L652),1)-1</f>
        <v/>
      </c>
      <c r="D656" s="22">
        <f>(1+D655)*IF(AND(Painel_diario!$H652="ED_JD",Painel_diario!$J652=1),EXP(Painel_diario!$L652),1)-1</f>
        <v/>
      </c>
      <c r="E656" s="22">
        <f>(1+E655)*IF(AND(Painel_diario!$H652="ED_JU",Painel_diario!$J652=1),EXP(Painel_diario!$L652),1)-1</f>
        <v/>
      </c>
    </row>
    <row r="657">
      <c r="A657" s="25" t="n">
        <v>39776</v>
      </c>
      <c r="B657" s="22">
        <f>(1+B656)*IF(AND(Painel_diario!$H653="EU_JD",Painel_diario!$J653=1),EXP(Painel_diario!$L653),1)-1</f>
        <v/>
      </c>
      <c r="C657" s="22">
        <f>(1+C656)*IF(AND(Painel_diario!$H653="EU_JU",Painel_diario!$J653=1),EXP(Painel_diario!$L653),1)-1</f>
        <v/>
      </c>
      <c r="D657" s="22">
        <f>(1+D656)*IF(AND(Painel_diario!$H653="ED_JD",Painel_diario!$J653=1),EXP(Painel_diario!$L653),1)-1</f>
        <v/>
      </c>
      <c r="E657" s="22">
        <f>(1+E656)*IF(AND(Painel_diario!$H653="ED_JU",Painel_diario!$J653=1),EXP(Painel_diario!$L653),1)-1</f>
        <v/>
      </c>
    </row>
    <row r="658">
      <c r="A658" s="25" t="n">
        <v>39777</v>
      </c>
      <c r="B658" s="22">
        <f>(1+B657)*IF(AND(Painel_diario!$H654="EU_JD",Painel_diario!$J654=1),EXP(Painel_diario!$L654),1)-1</f>
        <v/>
      </c>
      <c r="C658" s="22">
        <f>(1+C657)*IF(AND(Painel_diario!$H654="EU_JU",Painel_diario!$J654=1),EXP(Painel_diario!$L654),1)-1</f>
        <v/>
      </c>
      <c r="D658" s="22">
        <f>(1+D657)*IF(AND(Painel_diario!$H654="ED_JD",Painel_diario!$J654=1),EXP(Painel_diario!$L654),1)-1</f>
        <v/>
      </c>
      <c r="E658" s="22">
        <f>(1+E657)*IF(AND(Painel_diario!$H654="ED_JU",Painel_diario!$J654=1),EXP(Painel_diario!$L654),1)-1</f>
        <v/>
      </c>
    </row>
    <row r="659">
      <c r="A659" s="25" t="n">
        <v>39778</v>
      </c>
      <c r="B659" s="22">
        <f>(1+B658)*IF(AND(Painel_diario!$H655="EU_JD",Painel_diario!$J655=1),EXP(Painel_diario!$L655),1)-1</f>
        <v/>
      </c>
      <c r="C659" s="22">
        <f>(1+C658)*IF(AND(Painel_diario!$H655="EU_JU",Painel_diario!$J655=1),EXP(Painel_diario!$L655),1)-1</f>
        <v/>
      </c>
      <c r="D659" s="22">
        <f>(1+D658)*IF(AND(Painel_diario!$H655="ED_JD",Painel_diario!$J655=1),EXP(Painel_diario!$L655),1)-1</f>
        <v/>
      </c>
      <c r="E659" s="22">
        <f>(1+E658)*IF(AND(Painel_diario!$H655="ED_JU",Painel_diario!$J655=1),EXP(Painel_diario!$L655),1)-1</f>
        <v/>
      </c>
    </row>
    <row r="660">
      <c r="A660" s="25" t="n">
        <v>39779</v>
      </c>
      <c r="B660" s="22">
        <f>(1+B659)*IF(AND(Painel_diario!$H656="EU_JD",Painel_diario!$J656=1),EXP(Painel_diario!$L656),1)-1</f>
        <v/>
      </c>
      <c r="C660" s="22">
        <f>(1+C659)*IF(AND(Painel_diario!$H656="EU_JU",Painel_diario!$J656=1),EXP(Painel_diario!$L656),1)-1</f>
        <v/>
      </c>
      <c r="D660" s="22">
        <f>(1+D659)*IF(AND(Painel_diario!$H656="ED_JD",Painel_diario!$J656=1),EXP(Painel_diario!$L656),1)-1</f>
        <v/>
      </c>
      <c r="E660" s="22">
        <f>(1+E659)*IF(AND(Painel_diario!$H656="ED_JU",Painel_diario!$J656=1),EXP(Painel_diario!$L656),1)-1</f>
        <v/>
      </c>
    </row>
    <row r="661">
      <c r="A661" s="25" t="n">
        <v>39780</v>
      </c>
      <c r="B661" s="22">
        <f>(1+B660)*IF(AND(Painel_diario!$H657="EU_JD",Painel_diario!$J657=1),EXP(Painel_diario!$L657),1)-1</f>
        <v/>
      </c>
      <c r="C661" s="22">
        <f>(1+C660)*IF(AND(Painel_diario!$H657="EU_JU",Painel_diario!$J657=1),EXP(Painel_diario!$L657),1)-1</f>
        <v/>
      </c>
      <c r="D661" s="22">
        <f>(1+D660)*IF(AND(Painel_diario!$H657="ED_JD",Painel_diario!$J657=1),EXP(Painel_diario!$L657),1)-1</f>
        <v/>
      </c>
      <c r="E661" s="22">
        <f>(1+E660)*IF(AND(Painel_diario!$H657="ED_JU",Painel_diario!$J657=1),EXP(Painel_diario!$L657),1)-1</f>
        <v/>
      </c>
    </row>
    <row r="662">
      <c r="A662" s="25" t="n">
        <v>39783</v>
      </c>
      <c r="B662" s="22">
        <f>(1+B661)*IF(AND(Painel_diario!$H658="EU_JD",Painel_diario!$J658=1),EXP(Painel_diario!$L658),1)-1</f>
        <v/>
      </c>
      <c r="C662" s="22">
        <f>(1+C661)*IF(AND(Painel_diario!$H658="EU_JU",Painel_diario!$J658=1),EXP(Painel_diario!$L658),1)-1</f>
        <v/>
      </c>
      <c r="D662" s="22">
        <f>(1+D661)*IF(AND(Painel_diario!$H658="ED_JD",Painel_diario!$J658=1),EXP(Painel_diario!$L658),1)-1</f>
        <v/>
      </c>
      <c r="E662" s="22">
        <f>(1+E661)*IF(AND(Painel_diario!$H658="ED_JU",Painel_diario!$J658=1),EXP(Painel_diario!$L658),1)-1</f>
        <v/>
      </c>
    </row>
    <row r="663">
      <c r="A663" s="25" t="n">
        <v>39784</v>
      </c>
      <c r="B663" s="22">
        <f>(1+B662)*IF(AND(Painel_diario!$H659="EU_JD",Painel_diario!$J659=1),EXP(Painel_diario!$L659),1)-1</f>
        <v/>
      </c>
      <c r="C663" s="22">
        <f>(1+C662)*IF(AND(Painel_diario!$H659="EU_JU",Painel_diario!$J659=1),EXP(Painel_diario!$L659),1)-1</f>
        <v/>
      </c>
      <c r="D663" s="22">
        <f>(1+D662)*IF(AND(Painel_diario!$H659="ED_JD",Painel_diario!$J659=1),EXP(Painel_diario!$L659),1)-1</f>
        <v/>
      </c>
      <c r="E663" s="22">
        <f>(1+E662)*IF(AND(Painel_diario!$H659="ED_JU",Painel_diario!$J659=1),EXP(Painel_diario!$L659),1)-1</f>
        <v/>
      </c>
    </row>
    <row r="664">
      <c r="A664" s="25" t="n">
        <v>39785</v>
      </c>
      <c r="B664" s="22">
        <f>(1+B663)*IF(AND(Painel_diario!$H660="EU_JD",Painel_diario!$J660=1),EXP(Painel_diario!$L660),1)-1</f>
        <v/>
      </c>
      <c r="C664" s="22">
        <f>(1+C663)*IF(AND(Painel_diario!$H660="EU_JU",Painel_diario!$J660=1),EXP(Painel_diario!$L660),1)-1</f>
        <v/>
      </c>
      <c r="D664" s="22">
        <f>(1+D663)*IF(AND(Painel_diario!$H660="ED_JD",Painel_diario!$J660=1),EXP(Painel_diario!$L660),1)-1</f>
        <v/>
      </c>
      <c r="E664" s="22">
        <f>(1+E663)*IF(AND(Painel_diario!$H660="ED_JU",Painel_diario!$J660=1),EXP(Painel_diario!$L660),1)-1</f>
        <v/>
      </c>
    </row>
    <row r="665">
      <c r="A665" s="25" t="n">
        <v>39786</v>
      </c>
      <c r="B665" s="22">
        <f>(1+B664)*IF(AND(Painel_diario!$H661="EU_JD",Painel_diario!$J661=1),EXP(Painel_diario!$L661),1)-1</f>
        <v/>
      </c>
      <c r="C665" s="22">
        <f>(1+C664)*IF(AND(Painel_diario!$H661="EU_JU",Painel_diario!$J661=1),EXP(Painel_diario!$L661),1)-1</f>
        <v/>
      </c>
      <c r="D665" s="22">
        <f>(1+D664)*IF(AND(Painel_diario!$H661="ED_JD",Painel_diario!$J661=1),EXP(Painel_diario!$L661),1)-1</f>
        <v/>
      </c>
      <c r="E665" s="22">
        <f>(1+E664)*IF(AND(Painel_diario!$H661="ED_JU",Painel_diario!$J661=1),EXP(Painel_diario!$L661),1)-1</f>
        <v/>
      </c>
    </row>
    <row r="666">
      <c r="A666" s="25" t="n">
        <v>39787</v>
      </c>
      <c r="B666" s="22">
        <f>(1+B665)*IF(AND(Painel_diario!$H662="EU_JD",Painel_diario!$J662=1),EXP(Painel_diario!$L662),1)-1</f>
        <v/>
      </c>
      <c r="C666" s="22">
        <f>(1+C665)*IF(AND(Painel_diario!$H662="EU_JU",Painel_diario!$J662=1),EXP(Painel_diario!$L662),1)-1</f>
        <v/>
      </c>
      <c r="D666" s="22">
        <f>(1+D665)*IF(AND(Painel_diario!$H662="ED_JD",Painel_diario!$J662=1),EXP(Painel_diario!$L662),1)-1</f>
        <v/>
      </c>
      <c r="E666" s="22">
        <f>(1+E665)*IF(AND(Painel_diario!$H662="ED_JU",Painel_diario!$J662=1),EXP(Painel_diario!$L662),1)-1</f>
        <v/>
      </c>
    </row>
    <row r="667">
      <c r="A667" s="25" t="n">
        <v>39790</v>
      </c>
      <c r="B667" s="22">
        <f>(1+B666)*IF(AND(Painel_diario!$H663="EU_JD",Painel_diario!$J663=1),EXP(Painel_diario!$L663),1)-1</f>
        <v/>
      </c>
      <c r="C667" s="22">
        <f>(1+C666)*IF(AND(Painel_diario!$H663="EU_JU",Painel_diario!$J663=1),EXP(Painel_diario!$L663),1)-1</f>
        <v/>
      </c>
      <c r="D667" s="22">
        <f>(1+D666)*IF(AND(Painel_diario!$H663="ED_JD",Painel_diario!$J663=1),EXP(Painel_diario!$L663),1)-1</f>
        <v/>
      </c>
      <c r="E667" s="22">
        <f>(1+E666)*IF(AND(Painel_diario!$H663="ED_JU",Painel_diario!$J663=1),EXP(Painel_diario!$L663),1)-1</f>
        <v/>
      </c>
    </row>
    <row r="668">
      <c r="A668" s="25" t="n">
        <v>39791</v>
      </c>
      <c r="B668" s="22">
        <f>(1+B667)*IF(AND(Painel_diario!$H664="EU_JD",Painel_diario!$J664=1),EXP(Painel_diario!$L664),1)-1</f>
        <v/>
      </c>
      <c r="C668" s="22">
        <f>(1+C667)*IF(AND(Painel_diario!$H664="EU_JU",Painel_diario!$J664=1),EXP(Painel_diario!$L664),1)-1</f>
        <v/>
      </c>
      <c r="D668" s="22">
        <f>(1+D667)*IF(AND(Painel_diario!$H664="ED_JD",Painel_diario!$J664=1),EXP(Painel_diario!$L664),1)-1</f>
        <v/>
      </c>
      <c r="E668" s="22">
        <f>(1+E667)*IF(AND(Painel_diario!$H664="ED_JU",Painel_diario!$J664=1),EXP(Painel_diario!$L664),1)-1</f>
        <v/>
      </c>
    </row>
    <row r="669">
      <c r="A669" s="25" t="n">
        <v>39792</v>
      </c>
      <c r="B669" s="22">
        <f>(1+B668)*IF(AND(Painel_diario!$H665="EU_JD",Painel_diario!$J665=1),EXP(Painel_diario!$L665),1)-1</f>
        <v/>
      </c>
      <c r="C669" s="22">
        <f>(1+C668)*IF(AND(Painel_diario!$H665="EU_JU",Painel_diario!$J665=1),EXP(Painel_diario!$L665),1)-1</f>
        <v/>
      </c>
      <c r="D669" s="22">
        <f>(1+D668)*IF(AND(Painel_diario!$H665="ED_JD",Painel_diario!$J665=1),EXP(Painel_diario!$L665),1)-1</f>
        <v/>
      </c>
      <c r="E669" s="22">
        <f>(1+E668)*IF(AND(Painel_diario!$H665="ED_JU",Painel_diario!$J665=1),EXP(Painel_diario!$L665),1)-1</f>
        <v/>
      </c>
    </row>
    <row r="670">
      <c r="A670" s="25" t="n">
        <v>39793</v>
      </c>
      <c r="B670" s="22">
        <f>(1+B669)*IF(AND(Painel_diario!$H666="EU_JD",Painel_diario!$J666=1),EXP(Painel_diario!$L666),1)-1</f>
        <v/>
      </c>
      <c r="C670" s="22">
        <f>(1+C669)*IF(AND(Painel_diario!$H666="EU_JU",Painel_diario!$J666=1),EXP(Painel_diario!$L666),1)-1</f>
        <v/>
      </c>
      <c r="D670" s="22">
        <f>(1+D669)*IF(AND(Painel_diario!$H666="ED_JD",Painel_diario!$J666=1),EXP(Painel_diario!$L666),1)-1</f>
        <v/>
      </c>
      <c r="E670" s="22">
        <f>(1+E669)*IF(AND(Painel_diario!$H666="ED_JU",Painel_diario!$J666=1),EXP(Painel_diario!$L666),1)-1</f>
        <v/>
      </c>
    </row>
    <row r="671">
      <c r="A671" s="25" t="n">
        <v>39794</v>
      </c>
      <c r="B671" s="22">
        <f>(1+B670)*IF(AND(Painel_diario!$H667="EU_JD",Painel_diario!$J667=1),EXP(Painel_diario!$L667),1)-1</f>
        <v/>
      </c>
      <c r="C671" s="22">
        <f>(1+C670)*IF(AND(Painel_diario!$H667="EU_JU",Painel_diario!$J667=1),EXP(Painel_diario!$L667),1)-1</f>
        <v/>
      </c>
      <c r="D671" s="22">
        <f>(1+D670)*IF(AND(Painel_diario!$H667="ED_JD",Painel_diario!$J667=1),EXP(Painel_diario!$L667),1)-1</f>
        <v/>
      </c>
      <c r="E671" s="22">
        <f>(1+E670)*IF(AND(Painel_diario!$H667="ED_JU",Painel_diario!$J667=1),EXP(Painel_diario!$L667),1)-1</f>
        <v/>
      </c>
    </row>
    <row r="672">
      <c r="A672" s="25" t="n">
        <v>39797</v>
      </c>
      <c r="B672" s="22">
        <f>(1+B671)*IF(AND(Painel_diario!$H668="EU_JD",Painel_diario!$J668=1),EXP(Painel_diario!$L668),1)-1</f>
        <v/>
      </c>
      <c r="C672" s="22">
        <f>(1+C671)*IF(AND(Painel_diario!$H668="EU_JU",Painel_diario!$J668=1),EXP(Painel_diario!$L668),1)-1</f>
        <v/>
      </c>
      <c r="D672" s="22">
        <f>(1+D671)*IF(AND(Painel_diario!$H668="ED_JD",Painel_diario!$J668=1),EXP(Painel_diario!$L668),1)-1</f>
        <v/>
      </c>
      <c r="E672" s="22">
        <f>(1+E671)*IF(AND(Painel_diario!$H668="ED_JU",Painel_diario!$J668=1),EXP(Painel_diario!$L668),1)-1</f>
        <v/>
      </c>
    </row>
    <row r="673">
      <c r="A673" s="25" t="n">
        <v>39798</v>
      </c>
      <c r="B673" s="22">
        <f>(1+B672)*IF(AND(Painel_diario!$H669="EU_JD",Painel_diario!$J669=1),EXP(Painel_diario!$L669),1)-1</f>
        <v/>
      </c>
      <c r="C673" s="22">
        <f>(1+C672)*IF(AND(Painel_diario!$H669="EU_JU",Painel_diario!$J669=1),EXP(Painel_diario!$L669),1)-1</f>
        <v/>
      </c>
      <c r="D673" s="22">
        <f>(1+D672)*IF(AND(Painel_diario!$H669="ED_JD",Painel_diario!$J669=1),EXP(Painel_diario!$L669),1)-1</f>
        <v/>
      </c>
      <c r="E673" s="22">
        <f>(1+E672)*IF(AND(Painel_diario!$H669="ED_JU",Painel_diario!$J669=1),EXP(Painel_diario!$L669),1)-1</f>
        <v/>
      </c>
    </row>
    <row r="674">
      <c r="A674" s="25" t="n">
        <v>39799</v>
      </c>
      <c r="B674" s="22">
        <f>(1+B673)*IF(AND(Painel_diario!$H670="EU_JD",Painel_diario!$J670=1),EXP(Painel_diario!$L670),1)-1</f>
        <v/>
      </c>
      <c r="C674" s="22">
        <f>(1+C673)*IF(AND(Painel_diario!$H670="EU_JU",Painel_diario!$J670=1),EXP(Painel_diario!$L670),1)-1</f>
        <v/>
      </c>
      <c r="D674" s="22">
        <f>(1+D673)*IF(AND(Painel_diario!$H670="ED_JD",Painel_diario!$J670=1),EXP(Painel_diario!$L670),1)-1</f>
        <v/>
      </c>
      <c r="E674" s="22">
        <f>(1+E673)*IF(AND(Painel_diario!$H670="ED_JU",Painel_diario!$J670=1),EXP(Painel_diario!$L670),1)-1</f>
        <v/>
      </c>
    </row>
    <row r="675">
      <c r="A675" s="25" t="n">
        <v>39800</v>
      </c>
      <c r="B675" s="22">
        <f>(1+B674)*IF(AND(Painel_diario!$H671="EU_JD",Painel_diario!$J671=1),EXP(Painel_diario!$L671),1)-1</f>
        <v/>
      </c>
      <c r="C675" s="22">
        <f>(1+C674)*IF(AND(Painel_diario!$H671="EU_JU",Painel_diario!$J671=1),EXP(Painel_diario!$L671),1)-1</f>
        <v/>
      </c>
      <c r="D675" s="22">
        <f>(1+D674)*IF(AND(Painel_diario!$H671="ED_JD",Painel_diario!$J671=1),EXP(Painel_diario!$L671),1)-1</f>
        <v/>
      </c>
      <c r="E675" s="22">
        <f>(1+E674)*IF(AND(Painel_diario!$H671="ED_JU",Painel_diario!$J671=1),EXP(Painel_diario!$L671),1)-1</f>
        <v/>
      </c>
    </row>
    <row r="676">
      <c r="A676" s="25" t="n">
        <v>39801</v>
      </c>
      <c r="B676" s="22">
        <f>(1+B675)*IF(AND(Painel_diario!$H672="EU_JD",Painel_diario!$J672=1),EXP(Painel_diario!$L672),1)-1</f>
        <v/>
      </c>
      <c r="C676" s="22">
        <f>(1+C675)*IF(AND(Painel_diario!$H672="EU_JU",Painel_diario!$J672=1),EXP(Painel_diario!$L672),1)-1</f>
        <v/>
      </c>
      <c r="D676" s="22">
        <f>(1+D675)*IF(AND(Painel_diario!$H672="ED_JD",Painel_diario!$J672=1),EXP(Painel_diario!$L672),1)-1</f>
        <v/>
      </c>
      <c r="E676" s="22">
        <f>(1+E675)*IF(AND(Painel_diario!$H672="ED_JU",Painel_diario!$J672=1),EXP(Painel_diario!$L672),1)-1</f>
        <v/>
      </c>
    </row>
    <row r="677">
      <c r="A677" s="25" t="n">
        <v>39804</v>
      </c>
      <c r="B677" s="22">
        <f>(1+B676)*IF(AND(Painel_diario!$H673="EU_JD",Painel_diario!$J673=1),EXP(Painel_diario!$L673),1)-1</f>
        <v/>
      </c>
      <c r="C677" s="22">
        <f>(1+C676)*IF(AND(Painel_diario!$H673="EU_JU",Painel_diario!$J673=1),EXP(Painel_diario!$L673),1)-1</f>
        <v/>
      </c>
      <c r="D677" s="22">
        <f>(1+D676)*IF(AND(Painel_diario!$H673="ED_JD",Painel_diario!$J673=1),EXP(Painel_diario!$L673),1)-1</f>
        <v/>
      </c>
      <c r="E677" s="22">
        <f>(1+E676)*IF(AND(Painel_diario!$H673="ED_JU",Painel_diario!$J673=1),EXP(Painel_diario!$L673),1)-1</f>
        <v/>
      </c>
    </row>
    <row r="678">
      <c r="A678" s="25" t="n">
        <v>39805</v>
      </c>
      <c r="B678" s="22">
        <f>(1+B677)*IF(AND(Painel_diario!$H674="EU_JD",Painel_diario!$J674=1),EXP(Painel_diario!$L674),1)-1</f>
        <v/>
      </c>
      <c r="C678" s="22">
        <f>(1+C677)*IF(AND(Painel_diario!$H674="EU_JU",Painel_diario!$J674=1),EXP(Painel_diario!$L674),1)-1</f>
        <v/>
      </c>
      <c r="D678" s="22">
        <f>(1+D677)*IF(AND(Painel_diario!$H674="ED_JD",Painel_diario!$J674=1),EXP(Painel_diario!$L674),1)-1</f>
        <v/>
      </c>
      <c r="E678" s="22">
        <f>(1+E677)*IF(AND(Painel_diario!$H674="ED_JU",Painel_diario!$J674=1),EXP(Painel_diario!$L674),1)-1</f>
        <v/>
      </c>
    </row>
    <row r="679">
      <c r="A679" s="25" t="n">
        <v>39808</v>
      </c>
      <c r="B679" s="22">
        <f>(1+B678)*IF(AND(Painel_diario!$H675="EU_JD",Painel_diario!$J675=1),EXP(Painel_diario!$L675),1)-1</f>
        <v/>
      </c>
      <c r="C679" s="22">
        <f>(1+C678)*IF(AND(Painel_diario!$H675="EU_JU",Painel_diario!$J675=1),EXP(Painel_diario!$L675),1)-1</f>
        <v/>
      </c>
      <c r="D679" s="22">
        <f>(1+D678)*IF(AND(Painel_diario!$H675="ED_JD",Painel_diario!$J675=1),EXP(Painel_diario!$L675),1)-1</f>
        <v/>
      </c>
      <c r="E679" s="22">
        <f>(1+E678)*IF(AND(Painel_diario!$H675="ED_JU",Painel_diario!$J675=1),EXP(Painel_diario!$L675),1)-1</f>
        <v/>
      </c>
    </row>
    <row r="680">
      <c r="A680" s="25" t="n">
        <v>39811</v>
      </c>
      <c r="B680" s="22">
        <f>(1+B679)*IF(AND(Painel_diario!$H676="EU_JD",Painel_diario!$J676=1),EXP(Painel_diario!$L676),1)-1</f>
        <v/>
      </c>
      <c r="C680" s="22">
        <f>(1+C679)*IF(AND(Painel_diario!$H676="EU_JU",Painel_diario!$J676=1),EXP(Painel_diario!$L676),1)-1</f>
        <v/>
      </c>
      <c r="D680" s="22">
        <f>(1+D679)*IF(AND(Painel_diario!$H676="ED_JD",Painel_diario!$J676=1),EXP(Painel_diario!$L676),1)-1</f>
        <v/>
      </c>
      <c r="E680" s="22">
        <f>(1+E679)*IF(AND(Painel_diario!$H676="ED_JU",Painel_diario!$J676=1),EXP(Painel_diario!$L676),1)-1</f>
        <v/>
      </c>
    </row>
    <row r="681">
      <c r="A681" s="25" t="n">
        <v>39812</v>
      </c>
      <c r="B681" s="22">
        <f>(1+B680)*IF(AND(Painel_diario!$H677="EU_JD",Painel_diario!$J677=1),EXP(Painel_diario!$L677),1)-1</f>
        <v/>
      </c>
      <c r="C681" s="22">
        <f>(1+C680)*IF(AND(Painel_diario!$H677="EU_JU",Painel_diario!$J677=1),EXP(Painel_diario!$L677),1)-1</f>
        <v/>
      </c>
      <c r="D681" s="22">
        <f>(1+D680)*IF(AND(Painel_diario!$H677="ED_JD",Painel_diario!$J677=1),EXP(Painel_diario!$L677),1)-1</f>
        <v/>
      </c>
      <c r="E681" s="22">
        <f>(1+E680)*IF(AND(Painel_diario!$H677="ED_JU",Painel_diario!$J677=1),EXP(Painel_diario!$L677),1)-1</f>
        <v/>
      </c>
    </row>
    <row r="682">
      <c r="A682" s="25" t="n">
        <v>39815</v>
      </c>
      <c r="B682" s="22">
        <f>(1+B681)*IF(AND(Painel_diario!$H678="EU_JD",Painel_diario!$J678=1),EXP(Painel_diario!$L678),1)-1</f>
        <v/>
      </c>
      <c r="C682" s="22">
        <f>(1+C681)*IF(AND(Painel_diario!$H678="EU_JU",Painel_diario!$J678=1),EXP(Painel_diario!$L678),1)-1</f>
        <v/>
      </c>
      <c r="D682" s="22">
        <f>(1+D681)*IF(AND(Painel_diario!$H678="ED_JD",Painel_diario!$J678=1),EXP(Painel_diario!$L678),1)-1</f>
        <v/>
      </c>
      <c r="E682" s="22">
        <f>(1+E681)*IF(AND(Painel_diario!$H678="ED_JU",Painel_diario!$J678=1),EXP(Painel_diario!$L678),1)-1</f>
        <v/>
      </c>
    </row>
    <row r="683">
      <c r="A683" s="25" t="n">
        <v>39818</v>
      </c>
      <c r="B683" s="22">
        <f>(1+B682)*IF(AND(Painel_diario!$H679="EU_JD",Painel_diario!$J679=1),EXP(Painel_diario!$L679),1)-1</f>
        <v/>
      </c>
      <c r="C683" s="22">
        <f>(1+C682)*IF(AND(Painel_diario!$H679="EU_JU",Painel_diario!$J679=1),EXP(Painel_diario!$L679),1)-1</f>
        <v/>
      </c>
      <c r="D683" s="22">
        <f>(1+D682)*IF(AND(Painel_diario!$H679="ED_JD",Painel_diario!$J679=1),EXP(Painel_diario!$L679),1)-1</f>
        <v/>
      </c>
      <c r="E683" s="22">
        <f>(1+E682)*IF(AND(Painel_diario!$H679="ED_JU",Painel_diario!$J679=1),EXP(Painel_diario!$L679),1)-1</f>
        <v/>
      </c>
    </row>
    <row r="684">
      <c r="A684" s="25" t="n">
        <v>39819</v>
      </c>
      <c r="B684" s="22">
        <f>(1+B683)*IF(AND(Painel_diario!$H680="EU_JD",Painel_diario!$J680=1),EXP(Painel_diario!$L680),1)-1</f>
        <v/>
      </c>
      <c r="C684" s="22">
        <f>(1+C683)*IF(AND(Painel_diario!$H680="EU_JU",Painel_diario!$J680=1),EXP(Painel_diario!$L680),1)-1</f>
        <v/>
      </c>
      <c r="D684" s="22">
        <f>(1+D683)*IF(AND(Painel_diario!$H680="ED_JD",Painel_diario!$J680=1),EXP(Painel_diario!$L680),1)-1</f>
        <v/>
      </c>
      <c r="E684" s="22">
        <f>(1+E683)*IF(AND(Painel_diario!$H680="ED_JU",Painel_diario!$J680=1),EXP(Painel_diario!$L680),1)-1</f>
        <v/>
      </c>
    </row>
    <row r="685">
      <c r="A685" s="25" t="n">
        <v>39820</v>
      </c>
      <c r="B685" s="22">
        <f>(1+B684)*IF(AND(Painel_diario!$H681="EU_JD",Painel_diario!$J681=1),EXP(Painel_diario!$L681),1)-1</f>
        <v/>
      </c>
      <c r="C685" s="22">
        <f>(1+C684)*IF(AND(Painel_diario!$H681="EU_JU",Painel_diario!$J681=1),EXP(Painel_diario!$L681),1)-1</f>
        <v/>
      </c>
      <c r="D685" s="22">
        <f>(1+D684)*IF(AND(Painel_diario!$H681="ED_JD",Painel_diario!$J681=1),EXP(Painel_diario!$L681),1)-1</f>
        <v/>
      </c>
      <c r="E685" s="22">
        <f>(1+E684)*IF(AND(Painel_diario!$H681="ED_JU",Painel_diario!$J681=1),EXP(Painel_diario!$L681),1)-1</f>
        <v/>
      </c>
    </row>
    <row r="686">
      <c r="A686" s="25" t="n">
        <v>39821</v>
      </c>
      <c r="B686" s="22">
        <f>(1+B685)*IF(AND(Painel_diario!$H682="EU_JD",Painel_diario!$J682=1),EXP(Painel_diario!$L682),1)-1</f>
        <v/>
      </c>
      <c r="C686" s="22">
        <f>(1+C685)*IF(AND(Painel_diario!$H682="EU_JU",Painel_diario!$J682=1),EXP(Painel_diario!$L682),1)-1</f>
        <v/>
      </c>
      <c r="D686" s="22">
        <f>(1+D685)*IF(AND(Painel_diario!$H682="ED_JD",Painel_diario!$J682=1),EXP(Painel_diario!$L682),1)-1</f>
        <v/>
      </c>
      <c r="E686" s="22">
        <f>(1+E685)*IF(AND(Painel_diario!$H682="ED_JU",Painel_diario!$J682=1),EXP(Painel_diario!$L682),1)-1</f>
        <v/>
      </c>
    </row>
    <row r="687">
      <c r="A687" s="25" t="n">
        <v>39822</v>
      </c>
      <c r="B687" s="22">
        <f>(1+B686)*IF(AND(Painel_diario!$H683="EU_JD",Painel_diario!$J683=1),EXP(Painel_diario!$L683),1)-1</f>
        <v/>
      </c>
      <c r="C687" s="22">
        <f>(1+C686)*IF(AND(Painel_diario!$H683="EU_JU",Painel_diario!$J683=1),EXP(Painel_diario!$L683),1)-1</f>
        <v/>
      </c>
      <c r="D687" s="22">
        <f>(1+D686)*IF(AND(Painel_diario!$H683="ED_JD",Painel_diario!$J683=1),EXP(Painel_diario!$L683),1)-1</f>
        <v/>
      </c>
      <c r="E687" s="22">
        <f>(1+E686)*IF(AND(Painel_diario!$H683="ED_JU",Painel_diario!$J683=1),EXP(Painel_diario!$L683),1)-1</f>
        <v/>
      </c>
    </row>
    <row r="688">
      <c r="A688" s="25" t="n">
        <v>39825</v>
      </c>
      <c r="B688" s="22">
        <f>(1+B687)*IF(AND(Painel_diario!$H684="EU_JD",Painel_diario!$J684=1),EXP(Painel_diario!$L684),1)-1</f>
        <v/>
      </c>
      <c r="C688" s="22">
        <f>(1+C687)*IF(AND(Painel_diario!$H684="EU_JU",Painel_diario!$J684=1),EXP(Painel_diario!$L684),1)-1</f>
        <v/>
      </c>
      <c r="D688" s="22">
        <f>(1+D687)*IF(AND(Painel_diario!$H684="ED_JD",Painel_diario!$J684=1),EXP(Painel_diario!$L684),1)-1</f>
        <v/>
      </c>
      <c r="E688" s="22">
        <f>(1+E687)*IF(AND(Painel_diario!$H684="ED_JU",Painel_diario!$J684=1),EXP(Painel_diario!$L684),1)-1</f>
        <v/>
      </c>
    </row>
    <row r="689">
      <c r="A689" s="25" t="n">
        <v>39826</v>
      </c>
      <c r="B689" s="22">
        <f>(1+B688)*IF(AND(Painel_diario!$H685="EU_JD",Painel_diario!$J685=1),EXP(Painel_diario!$L685),1)-1</f>
        <v/>
      </c>
      <c r="C689" s="22">
        <f>(1+C688)*IF(AND(Painel_diario!$H685="EU_JU",Painel_diario!$J685=1),EXP(Painel_diario!$L685),1)-1</f>
        <v/>
      </c>
      <c r="D689" s="22">
        <f>(1+D688)*IF(AND(Painel_diario!$H685="ED_JD",Painel_diario!$J685=1),EXP(Painel_diario!$L685),1)-1</f>
        <v/>
      </c>
      <c r="E689" s="22">
        <f>(1+E688)*IF(AND(Painel_diario!$H685="ED_JU",Painel_diario!$J685=1),EXP(Painel_diario!$L685),1)-1</f>
        <v/>
      </c>
    </row>
    <row r="690">
      <c r="A690" s="25" t="n">
        <v>39827</v>
      </c>
      <c r="B690" s="22">
        <f>(1+B689)*IF(AND(Painel_diario!$H686="EU_JD",Painel_diario!$J686=1),EXP(Painel_diario!$L686),1)-1</f>
        <v/>
      </c>
      <c r="C690" s="22">
        <f>(1+C689)*IF(AND(Painel_diario!$H686="EU_JU",Painel_diario!$J686=1),EXP(Painel_diario!$L686),1)-1</f>
        <v/>
      </c>
      <c r="D690" s="22">
        <f>(1+D689)*IF(AND(Painel_diario!$H686="ED_JD",Painel_diario!$J686=1),EXP(Painel_diario!$L686),1)-1</f>
        <v/>
      </c>
      <c r="E690" s="22">
        <f>(1+E689)*IF(AND(Painel_diario!$H686="ED_JU",Painel_diario!$J686=1),EXP(Painel_diario!$L686),1)-1</f>
        <v/>
      </c>
    </row>
    <row r="691">
      <c r="A691" s="25" t="n">
        <v>39828</v>
      </c>
      <c r="B691" s="22">
        <f>(1+B690)*IF(AND(Painel_diario!$H687="EU_JD",Painel_diario!$J687=1),EXP(Painel_diario!$L687),1)-1</f>
        <v/>
      </c>
      <c r="C691" s="22">
        <f>(1+C690)*IF(AND(Painel_diario!$H687="EU_JU",Painel_diario!$J687=1),EXP(Painel_diario!$L687),1)-1</f>
        <v/>
      </c>
      <c r="D691" s="22">
        <f>(1+D690)*IF(AND(Painel_diario!$H687="ED_JD",Painel_diario!$J687=1),EXP(Painel_diario!$L687),1)-1</f>
        <v/>
      </c>
      <c r="E691" s="22">
        <f>(1+E690)*IF(AND(Painel_diario!$H687="ED_JU",Painel_diario!$J687=1),EXP(Painel_diario!$L687),1)-1</f>
        <v/>
      </c>
    </row>
    <row r="692">
      <c r="A692" s="25" t="n">
        <v>39829</v>
      </c>
      <c r="B692" s="22">
        <f>(1+B691)*IF(AND(Painel_diario!$H688="EU_JD",Painel_diario!$J688=1),EXP(Painel_diario!$L688),1)-1</f>
        <v/>
      </c>
      <c r="C692" s="22">
        <f>(1+C691)*IF(AND(Painel_diario!$H688="EU_JU",Painel_diario!$J688=1),EXP(Painel_diario!$L688),1)-1</f>
        <v/>
      </c>
      <c r="D692" s="22">
        <f>(1+D691)*IF(AND(Painel_diario!$H688="ED_JD",Painel_diario!$J688=1),EXP(Painel_diario!$L688),1)-1</f>
        <v/>
      </c>
      <c r="E692" s="22">
        <f>(1+E691)*IF(AND(Painel_diario!$H688="ED_JU",Painel_diario!$J688=1),EXP(Painel_diario!$L688),1)-1</f>
        <v/>
      </c>
    </row>
    <row r="693">
      <c r="A693" s="25" t="n">
        <v>39832</v>
      </c>
      <c r="B693" s="22">
        <f>(1+B692)*IF(AND(Painel_diario!$H689="EU_JD",Painel_diario!$J689=1),EXP(Painel_diario!$L689),1)-1</f>
        <v/>
      </c>
      <c r="C693" s="22">
        <f>(1+C692)*IF(AND(Painel_diario!$H689="EU_JU",Painel_diario!$J689=1),EXP(Painel_diario!$L689),1)-1</f>
        <v/>
      </c>
      <c r="D693" s="22">
        <f>(1+D692)*IF(AND(Painel_diario!$H689="ED_JD",Painel_diario!$J689=1),EXP(Painel_diario!$L689),1)-1</f>
        <v/>
      </c>
      <c r="E693" s="22">
        <f>(1+E692)*IF(AND(Painel_diario!$H689="ED_JU",Painel_diario!$J689=1),EXP(Painel_diario!$L689),1)-1</f>
        <v/>
      </c>
    </row>
    <row r="694">
      <c r="A694" s="25" t="n">
        <v>39833</v>
      </c>
      <c r="B694" s="22">
        <f>(1+B693)*IF(AND(Painel_diario!$H690="EU_JD",Painel_diario!$J690=1),EXP(Painel_diario!$L690),1)-1</f>
        <v/>
      </c>
      <c r="C694" s="22">
        <f>(1+C693)*IF(AND(Painel_diario!$H690="EU_JU",Painel_diario!$J690=1),EXP(Painel_diario!$L690),1)-1</f>
        <v/>
      </c>
      <c r="D694" s="22">
        <f>(1+D693)*IF(AND(Painel_diario!$H690="ED_JD",Painel_diario!$J690=1),EXP(Painel_diario!$L690),1)-1</f>
        <v/>
      </c>
      <c r="E694" s="22">
        <f>(1+E693)*IF(AND(Painel_diario!$H690="ED_JU",Painel_diario!$J690=1),EXP(Painel_diario!$L690),1)-1</f>
        <v/>
      </c>
    </row>
    <row r="695">
      <c r="A695" s="25" t="n">
        <v>39834</v>
      </c>
      <c r="B695" s="22">
        <f>(1+B694)*IF(AND(Painel_diario!$H691="EU_JD",Painel_diario!$J691=1),EXP(Painel_diario!$L691),1)-1</f>
        <v/>
      </c>
      <c r="C695" s="22">
        <f>(1+C694)*IF(AND(Painel_diario!$H691="EU_JU",Painel_diario!$J691=1),EXP(Painel_diario!$L691),1)-1</f>
        <v/>
      </c>
      <c r="D695" s="22">
        <f>(1+D694)*IF(AND(Painel_diario!$H691="ED_JD",Painel_diario!$J691=1),EXP(Painel_diario!$L691),1)-1</f>
        <v/>
      </c>
      <c r="E695" s="22">
        <f>(1+E694)*IF(AND(Painel_diario!$H691="ED_JU",Painel_diario!$J691=1),EXP(Painel_diario!$L691),1)-1</f>
        <v/>
      </c>
    </row>
    <row r="696">
      <c r="A696" s="25" t="n">
        <v>39835</v>
      </c>
      <c r="B696" s="22">
        <f>(1+B695)*IF(AND(Painel_diario!$H692="EU_JD",Painel_diario!$J692=1),EXP(Painel_diario!$L692),1)-1</f>
        <v/>
      </c>
      <c r="C696" s="22">
        <f>(1+C695)*IF(AND(Painel_diario!$H692="EU_JU",Painel_diario!$J692=1),EXP(Painel_diario!$L692),1)-1</f>
        <v/>
      </c>
      <c r="D696" s="22">
        <f>(1+D695)*IF(AND(Painel_diario!$H692="ED_JD",Painel_diario!$J692=1),EXP(Painel_diario!$L692),1)-1</f>
        <v/>
      </c>
      <c r="E696" s="22">
        <f>(1+E695)*IF(AND(Painel_diario!$H692="ED_JU",Painel_diario!$J692=1),EXP(Painel_diario!$L692),1)-1</f>
        <v/>
      </c>
    </row>
    <row r="697">
      <c r="A697" s="25" t="n">
        <v>39836</v>
      </c>
      <c r="B697" s="22">
        <f>(1+B696)*IF(AND(Painel_diario!$H693="EU_JD",Painel_diario!$J693=1),EXP(Painel_diario!$L693),1)-1</f>
        <v/>
      </c>
      <c r="C697" s="22">
        <f>(1+C696)*IF(AND(Painel_diario!$H693="EU_JU",Painel_diario!$J693=1),EXP(Painel_diario!$L693),1)-1</f>
        <v/>
      </c>
      <c r="D697" s="22">
        <f>(1+D696)*IF(AND(Painel_diario!$H693="ED_JD",Painel_diario!$J693=1),EXP(Painel_diario!$L693),1)-1</f>
        <v/>
      </c>
      <c r="E697" s="22">
        <f>(1+E696)*IF(AND(Painel_diario!$H693="ED_JU",Painel_diario!$J693=1),EXP(Painel_diario!$L693),1)-1</f>
        <v/>
      </c>
    </row>
    <row r="698">
      <c r="A698" s="25" t="n">
        <v>39839</v>
      </c>
      <c r="B698" s="22">
        <f>(1+B697)*IF(AND(Painel_diario!$H694="EU_JD",Painel_diario!$J694=1),EXP(Painel_diario!$L694),1)-1</f>
        <v/>
      </c>
      <c r="C698" s="22">
        <f>(1+C697)*IF(AND(Painel_diario!$H694="EU_JU",Painel_diario!$J694=1),EXP(Painel_diario!$L694),1)-1</f>
        <v/>
      </c>
      <c r="D698" s="22">
        <f>(1+D697)*IF(AND(Painel_diario!$H694="ED_JD",Painel_diario!$J694=1),EXP(Painel_diario!$L694),1)-1</f>
        <v/>
      </c>
      <c r="E698" s="22">
        <f>(1+E697)*IF(AND(Painel_diario!$H694="ED_JU",Painel_diario!$J694=1),EXP(Painel_diario!$L694),1)-1</f>
        <v/>
      </c>
    </row>
    <row r="699">
      <c r="A699" s="25" t="n">
        <v>39840</v>
      </c>
      <c r="B699" s="22">
        <f>(1+B698)*IF(AND(Painel_diario!$H695="EU_JD",Painel_diario!$J695=1),EXP(Painel_diario!$L695),1)-1</f>
        <v/>
      </c>
      <c r="C699" s="22">
        <f>(1+C698)*IF(AND(Painel_diario!$H695="EU_JU",Painel_diario!$J695=1),EXP(Painel_diario!$L695),1)-1</f>
        <v/>
      </c>
      <c r="D699" s="22">
        <f>(1+D698)*IF(AND(Painel_diario!$H695="ED_JD",Painel_diario!$J695=1),EXP(Painel_diario!$L695),1)-1</f>
        <v/>
      </c>
      <c r="E699" s="22">
        <f>(1+E698)*IF(AND(Painel_diario!$H695="ED_JU",Painel_diario!$J695=1),EXP(Painel_diario!$L695),1)-1</f>
        <v/>
      </c>
    </row>
    <row r="700">
      <c r="A700" s="25" t="n">
        <v>39841</v>
      </c>
      <c r="B700" s="22">
        <f>(1+B699)*IF(AND(Painel_diario!$H696="EU_JD",Painel_diario!$J696=1),EXP(Painel_diario!$L696),1)-1</f>
        <v/>
      </c>
      <c r="C700" s="22">
        <f>(1+C699)*IF(AND(Painel_diario!$H696="EU_JU",Painel_diario!$J696=1),EXP(Painel_diario!$L696),1)-1</f>
        <v/>
      </c>
      <c r="D700" s="22">
        <f>(1+D699)*IF(AND(Painel_diario!$H696="ED_JD",Painel_diario!$J696=1),EXP(Painel_diario!$L696),1)-1</f>
        <v/>
      </c>
      <c r="E700" s="22">
        <f>(1+E699)*IF(AND(Painel_diario!$H696="ED_JU",Painel_diario!$J696=1),EXP(Painel_diario!$L696),1)-1</f>
        <v/>
      </c>
    </row>
    <row r="701">
      <c r="A701" s="25" t="n">
        <v>39842</v>
      </c>
      <c r="B701" s="22">
        <f>(1+B700)*IF(AND(Painel_diario!$H697="EU_JD",Painel_diario!$J697=1),EXP(Painel_diario!$L697),1)-1</f>
        <v/>
      </c>
      <c r="C701" s="22">
        <f>(1+C700)*IF(AND(Painel_diario!$H697="EU_JU",Painel_diario!$J697=1),EXP(Painel_diario!$L697),1)-1</f>
        <v/>
      </c>
      <c r="D701" s="22">
        <f>(1+D700)*IF(AND(Painel_diario!$H697="ED_JD",Painel_diario!$J697=1),EXP(Painel_diario!$L697),1)-1</f>
        <v/>
      </c>
      <c r="E701" s="22">
        <f>(1+E700)*IF(AND(Painel_diario!$H697="ED_JU",Painel_diario!$J697=1),EXP(Painel_diario!$L697),1)-1</f>
        <v/>
      </c>
    </row>
    <row r="702">
      <c r="A702" s="25" t="n">
        <v>39843</v>
      </c>
      <c r="B702" s="22">
        <f>(1+B701)*IF(AND(Painel_diario!$H698="EU_JD",Painel_diario!$J698=1),EXP(Painel_diario!$L698),1)-1</f>
        <v/>
      </c>
      <c r="C702" s="22">
        <f>(1+C701)*IF(AND(Painel_diario!$H698="EU_JU",Painel_diario!$J698=1),EXP(Painel_diario!$L698),1)-1</f>
        <v/>
      </c>
      <c r="D702" s="22">
        <f>(1+D701)*IF(AND(Painel_diario!$H698="ED_JD",Painel_diario!$J698=1),EXP(Painel_diario!$L698),1)-1</f>
        <v/>
      </c>
      <c r="E702" s="22">
        <f>(1+E701)*IF(AND(Painel_diario!$H698="ED_JU",Painel_diario!$J698=1),EXP(Painel_diario!$L698),1)-1</f>
        <v/>
      </c>
    </row>
    <row r="703">
      <c r="A703" s="25" t="n">
        <v>39846</v>
      </c>
      <c r="B703" s="22">
        <f>(1+B702)*IF(AND(Painel_diario!$H699="EU_JD",Painel_diario!$J699=1),EXP(Painel_diario!$L699),1)-1</f>
        <v/>
      </c>
      <c r="C703" s="22">
        <f>(1+C702)*IF(AND(Painel_diario!$H699="EU_JU",Painel_diario!$J699=1),EXP(Painel_diario!$L699),1)-1</f>
        <v/>
      </c>
      <c r="D703" s="22">
        <f>(1+D702)*IF(AND(Painel_diario!$H699="ED_JD",Painel_diario!$J699=1),EXP(Painel_diario!$L699),1)-1</f>
        <v/>
      </c>
      <c r="E703" s="22">
        <f>(1+E702)*IF(AND(Painel_diario!$H699="ED_JU",Painel_diario!$J699=1),EXP(Painel_diario!$L699),1)-1</f>
        <v/>
      </c>
    </row>
    <row r="704">
      <c r="A704" s="25" t="n">
        <v>39847</v>
      </c>
      <c r="B704" s="22">
        <f>(1+B703)*IF(AND(Painel_diario!$H700="EU_JD",Painel_diario!$J700=1),EXP(Painel_diario!$L700),1)-1</f>
        <v/>
      </c>
      <c r="C704" s="22">
        <f>(1+C703)*IF(AND(Painel_diario!$H700="EU_JU",Painel_diario!$J700=1),EXP(Painel_diario!$L700),1)-1</f>
        <v/>
      </c>
      <c r="D704" s="22">
        <f>(1+D703)*IF(AND(Painel_diario!$H700="ED_JD",Painel_diario!$J700=1),EXP(Painel_diario!$L700),1)-1</f>
        <v/>
      </c>
      <c r="E704" s="22">
        <f>(1+E703)*IF(AND(Painel_diario!$H700="ED_JU",Painel_diario!$J700=1),EXP(Painel_diario!$L700),1)-1</f>
        <v/>
      </c>
    </row>
    <row r="705">
      <c r="A705" s="25" t="n">
        <v>39848</v>
      </c>
      <c r="B705" s="22">
        <f>(1+B704)*IF(AND(Painel_diario!$H701="EU_JD",Painel_diario!$J701=1),EXP(Painel_diario!$L701),1)-1</f>
        <v/>
      </c>
      <c r="C705" s="22">
        <f>(1+C704)*IF(AND(Painel_diario!$H701="EU_JU",Painel_diario!$J701=1),EXP(Painel_diario!$L701),1)-1</f>
        <v/>
      </c>
      <c r="D705" s="22">
        <f>(1+D704)*IF(AND(Painel_diario!$H701="ED_JD",Painel_diario!$J701=1),EXP(Painel_diario!$L701),1)-1</f>
        <v/>
      </c>
      <c r="E705" s="22">
        <f>(1+E704)*IF(AND(Painel_diario!$H701="ED_JU",Painel_diario!$J701=1),EXP(Painel_diario!$L701),1)-1</f>
        <v/>
      </c>
    </row>
    <row r="706">
      <c r="A706" s="25" t="n">
        <v>39849</v>
      </c>
      <c r="B706" s="22">
        <f>(1+B705)*IF(AND(Painel_diario!$H702="EU_JD",Painel_diario!$J702=1),EXP(Painel_diario!$L702),1)-1</f>
        <v/>
      </c>
      <c r="C706" s="22">
        <f>(1+C705)*IF(AND(Painel_diario!$H702="EU_JU",Painel_diario!$J702=1),EXP(Painel_diario!$L702),1)-1</f>
        <v/>
      </c>
      <c r="D706" s="22">
        <f>(1+D705)*IF(AND(Painel_diario!$H702="ED_JD",Painel_diario!$J702=1),EXP(Painel_diario!$L702),1)-1</f>
        <v/>
      </c>
      <c r="E706" s="22">
        <f>(1+E705)*IF(AND(Painel_diario!$H702="ED_JU",Painel_diario!$J702=1),EXP(Painel_diario!$L702),1)-1</f>
        <v/>
      </c>
    </row>
    <row r="707">
      <c r="A707" s="25" t="n">
        <v>39850</v>
      </c>
      <c r="B707" s="22">
        <f>(1+B706)*IF(AND(Painel_diario!$H703="EU_JD",Painel_diario!$J703=1),EXP(Painel_diario!$L703),1)-1</f>
        <v/>
      </c>
      <c r="C707" s="22">
        <f>(1+C706)*IF(AND(Painel_diario!$H703="EU_JU",Painel_diario!$J703=1),EXP(Painel_diario!$L703),1)-1</f>
        <v/>
      </c>
      <c r="D707" s="22">
        <f>(1+D706)*IF(AND(Painel_diario!$H703="ED_JD",Painel_diario!$J703=1),EXP(Painel_diario!$L703),1)-1</f>
        <v/>
      </c>
      <c r="E707" s="22">
        <f>(1+E706)*IF(AND(Painel_diario!$H703="ED_JU",Painel_diario!$J703=1),EXP(Painel_diario!$L703),1)-1</f>
        <v/>
      </c>
    </row>
    <row r="708">
      <c r="A708" s="25" t="n">
        <v>39853</v>
      </c>
      <c r="B708" s="22">
        <f>(1+B707)*IF(AND(Painel_diario!$H704="EU_JD",Painel_diario!$J704=1),EXP(Painel_diario!$L704),1)-1</f>
        <v/>
      </c>
      <c r="C708" s="22">
        <f>(1+C707)*IF(AND(Painel_diario!$H704="EU_JU",Painel_diario!$J704=1),EXP(Painel_diario!$L704),1)-1</f>
        <v/>
      </c>
      <c r="D708" s="22">
        <f>(1+D707)*IF(AND(Painel_diario!$H704="ED_JD",Painel_diario!$J704=1),EXP(Painel_diario!$L704),1)-1</f>
        <v/>
      </c>
      <c r="E708" s="22">
        <f>(1+E707)*IF(AND(Painel_diario!$H704="ED_JU",Painel_diario!$J704=1),EXP(Painel_diario!$L704),1)-1</f>
        <v/>
      </c>
    </row>
    <row r="709">
      <c r="A709" s="25" t="n">
        <v>39854</v>
      </c>
      <c r="B709" s="22">
        <f>(1+B708)*IF(AND(Painel_diario!$H705="EU_JD",Painel_diario!$J705=1),EXP(Painel_diario!$L705),1)-1</f>
        <v/>
      </c>
      <c r="C709" s="22">
        <f>(1+C708)*IF(AND(Painel_diario!$H705="EU_JU",Painel_diario!$J705=1),EXP(Painel_diario!$L705),1)-1</f>
        <v/>
      </c>
      <c r="D709" s="22">
        <f>(1+D708)*IF(AND(Painel_diario!$H705="ED_JD",Painel_diario!$J705=1),EXP(Painel_diario!$L705),1)-1</f>
        <v/>
      </c>
      <c r="E709" s="22">
        <f>(1+E708)*IF(AND(Painel_diario!$H705="ED_JU",Painel_diario!$J705=1),EXP(Painel_diario!$L705),1)-1</f>
        <v/>
      </c>
    </row>
    <row r="710">
      <c r="A710" s="25" t="n">
        <v>39855</v>
      </c>
      <c r="B710" s="22">
        <f>(1+B709)*IF(AND(Painel_diario!$H706="EU_JD",Painel_diario!$J706=1),EXP(Painel_diario!$L706),1)-1</f>
        <v/>
      </c>
      <c r="C710" s="22">
        <f>(1+C709)*IF(AND(Painel_diario!$H706="EU_JU",Painel_diario!$J706=1),EXP(Painel_diario!$L706),1)-1</f>
        <v/>
      </c>
      <c r="D710" s="22">
        <f>(1+D709)*IF(AND(Painel_diario!$H706="ED_JD",Painel_diario!$J706=1),EXP(Painel_diario!$L706),1)-1</f>
        <v/>
      </c>
      <c r="E710" s="22">
        <f>(1+E709)*IF(AND(Painel_diario!$H706="ED_JU",Painel_diario!$J706=1),EXP(Painel_diario!$L706),1)-1</f>
        <v/>
      </c>
    </row>
    <row r="711">
      <c r="A711" s="25" t="n">
        <v>39856</v>
      </c>
      <c r="B711" s="22">
        <f>(1+B710)*IF(AND(Painel_diario!$H707="EU_JD",Painel_diario!$J707=1),EXP(Painel_diario!$L707),1)-1</f>
        <v/>
      </c>
      <c r="C711" s="22">
        <f>(1+C710)*IF(AND(Painel_diario!$H707="EU_JU",Painel_diario!$J707=1),EXP(Painel_diario!$L707),1)-1</f>
        <v/>
      </c>
      <c r="D711" s="22">
        <f>(1+D710)*IF(AND(Painel_diario!$H707="ED_JD",Painel_diario!$J707=1),EXP(Painel_diario!$L707),1)-1</f>
        <v/>
      </c>
      <c r="E711" s="22">
        <f>(1+E710)*IF(AND(Painel_diario!$H707="ED_JU",Painel_diario!$J707=1),EXP(Painel_diario!$L707),1)-1</f>
        <v/>
      </c>
    </row>
    <row r="712">
      <c r="A712" s="25" t="n">
        <v>39857</v>
      </c>
      <c r="B712" s="22">
        <f>(1+B711)*IF(AND(Painel_diario!$H708="EU_JD",Painel_diario!$J708=1),EXP(Painel_diario!$L708),1)-1</f>
        <v/>
      </c>
      <c r="C712" s="22">
        <f>(1+C711)*IF(AND(Painel_diario!$H708="EU_JU",Painel_diario!$J708=1),EXP(Painel_diario!$L708),1)-1</f>
        <v/>
      </c>
      <c r="D712" s="22">
        <f>(1+D711)*IF(AND(Painel_diario!$H708="ED_JD",Painel_diario!$J708=1),EXP(Painel_diario!$L708),1)-1</f>
        <v/>
      </c>
      <c r="E712" s="22">
        <f>(1+E711)*IF(AND(Painel_diario!$H708="ED_JU",Painel_diario!$J708=1),EXP(Painel_diario!$L708),1)-1</f>
        <v/>
      </c>
    </row>
    <row r="713">
      <c r="A713" s="25" t="n">
        <v>39860</v>
      </c>
      <c r="B713" s="22">
        <f>(1+B712)*IF(AND(Painel_diario!$H709="EU_JD",Painel_diario!$J709=1),EXP(Painel_diario!$L709),1)-1</f>
        <v/>
      </c>
      <c r="C713" s="22">
        <f>(1+C712)*IF(AND(Painel_diario!$H709="EU_JU",Painel_diario!$J709=1),EXP(Painel_diario!$L709),1)-1</f>
        <v/>
      </c>
      <c r="D713" s="22">
        <f>(1+D712)*IF(AND(Painel_diario!$H709="ED_JD",Painel_diario!$J709=1),EXP(Painel_diario!$L709),1)-1</f>
        <v/>
      </c>
      <c r="E713" s="22">
        <f>(1+E712)*IF(AND(Painel_diario!$H709="ED_JU",Painel_diario!$J709=1),EXP(Painel_diario!$L709),1)-1</f>
        <v/>
      </c>
    </row>
    <row r="714">
      <c r="A714" s="25" t="n">
        <v>39861</v>
      </c>
      <c r="B714" s="22">
        <f>(1+B713)*IF(AND(Painel_diario!$H710="EU_JD",Painel_diario!$J710=1),EXP(Painel_diario!$L710),1)-1</f>
        <v/>
      </c>
      <c r="C714" s="22">
        <f>(1+C713)*IF(AND(Painel_diario!$H710="EU_JU",Painel_diario!$J710=1),EXP(Painel_diario!$L710),1)-1</f>
        <v/>
      </c>
      <c r="D714" s="22">
        <f>(1+D713)*IF(AND(Painel_diario!$H710="ED_JD",Painel_diario!$J710=1),EXP(Painel_diario!$L710),1)-1</f>
        <v/>
      </c>
      <c r="E714" s="22">
        <f>(1+E713)*IF(AND(Painel_diario!$H710="ED_JU",Painel_diario!$J710=1),EXP(Painel_diario!$L710),1)-1</f>
        <v/>
      </c>
    </row>
    <row r="715">
      <c r="A715" s="25" t="n">
        <v>39862</v>
      </c>
      <c r="B715" s="22">
        <f>(1+B714)*IF(AND(Painel_diario!$H711="EU_JD",Painel_diario!$J711=1),EXP(Painel_diario!$L711),1)-1</f>
        <v/>
      </c>
      <c r="C715" s="22">
        <f>(1+C714)*IF(AND(Painel_diario!$H711="EU_JU",Painel_diario!$J711=1),EXP(Painel_diario!$L711),1)-1</f>
        <v/>
      </c>
      <c r="D715" s="22">
        <f>(1+D714)*IF(AND(Painel_diario!$H711="ED_JD",Painel_diario!$J711=1),EXP(Painel_diario!$L711),1)-1</f>
        <v/>
      </c>
      <c r="E715" s="22">
        <f>(1+E714)*IF(AND(Painel_diario!$H711="ED_JU",Painel_diario!$J711=1),EXP(Painel_diario!$L711),1)-1</f>
        <v/>
      </c>
    </row>
    <row r="716">
      <c r="A716" s="25" t="n">
        <v>39863</v>
      </c>
      <c r="B716" s="22">
        <f>(1+B715)*IF(AND(Painel_diario!$H712="EU_JD",Painel_diario!$J712=1),EXP(Painel_diario!$L712),1)-1</f>
        <v/>
      </c>
      <c r="C716" s="22">
        <f>(1+C715)*IF(AND(Painel_diario!$H712="EU_JU",Painel_diario!$J712=1),EXP(Painel_diario!$L712),1)-1</f>
        <v/>
      </c>
      <c r="D716" s="22">
        <f>(1+D715)*IF(AND(Painel_diario!$H712="ED_JD",Painel_diario!$J712=1),EXP(Painel_diario!$L712),1)-1</f>
        <v/>
      </c>
      <c r="E716" s="22">
        <f>(1+E715)*IF(AND(Painel_diario!$H712="ED_JU",Painel_diario!$J712=1),EXP(Painel_diario!$L712),1)-1</f>
        <v/>
      </c>
    </row>
    <row r="717">
      <c r="A717" s="25" t="n">
        <v>39864</v>
      </c>
      <c r="B717" s="22">
        <f>(1+B716)*IF(AND(Painel_diario!$H713="EU_JD",Painel_diario!$J713=1),EXP(Painel_diario!$L713),1)-1</f>
        <v/>
      </c>
      <c r="C717" s="22">
        <f>(1+C716)*IF(AND(Painel_diario!$H713="EU_JU",Painel_diario!$J713=1),EXP(Painel_diario!$L713),1)-1</f>
        <v/>
      </c>
      <c r="D717" s="22">
        <f>(1+D716)*IF(AND(Painel_diario!$H713="ED_JD",Painel_diario!$J713=1),EXP(Painel_diario!$L713),1)-1</f>
        <v/>
      </c>
      <c r="E717" s="22">
        <f>(1+E716)*IF(AND(Painel_diario!$H713="ED_JU",Painel_diario!$J713=1),EXP(Painel_diario!$L713),1)-1</f>
        <v/>
      </c>
    </row>
    <row r="718">
      <c r="A718" s="25" t="n">
        <v>39869</v>
      </c>
      <c r="B718" s="22">
        <f>(1+B717)*IF(AND(Painel_diario!$H714="EU_JD",Painel_diario!$J714=1),EXP(Painel_diario!$L714),1)-1</f>
        <v/>
      </c>
      <c r="C718" s="22">
        <f>(1+C717)*IF(AND(Painel_diario!$H714="EU_JU",Painel_diario!$J714=1),EXP(Painel_diario!$L714),1)-1</f>
        <v/>
      </c>
      <c r="D718" s="22">
        <f>(1+D717)*IF(AND(Painel_diario!$H714="ED_JD",Painel_diario!$J714=1),EXP(Painel_diario!$L714),1)-1</f>
        <v/>
      </c>
      <c r="E718" s="22">
        <f>(1+E717)*IF(AND(Painel_diario!$H714="ED_JU",Painel_diario!$J714=1),EXP(Painel_diario!$L714),1)-1</f>
        <v/>
      </c>
    </row>
    <row r="719">
      <c r="A719" s="25" t="n">
        <v>39870</v>
      </c>
      <c r="B719" s="22">
        <f>(1+B718)*IF(AND(Painel_diario!$H715="EU_JD",Painel_diario!$J715=1),EXP(Painel_diario!$L715),1)-1</f>
        <v/>
      </c>
      <c r="C719" s="22">
        <f>(1+C718)*IF(AND(Painel_diario!$H715="EU_JU",Painel_diario!$J715=1),EXP(Painel_diario!$L715),1)-1</f>
        <v/>
      </c>
      <c r="D719" s="22">
        <f>(1+D718)*IF(AND(Painel_diario!$H715="ED_JD",Painel_diario!$J715=1),EXP(Painel_diario!$L715),1)-1</f>
        <v/>
      </c>
      <c r="E719" s="22">
        <f>(1+E718)*IF(AND(Painel_diario!$H715="ED_JU",Painel_diario!$J715=1),EXP(Painel_diario!$L715),1)-1</f>
        <v/>
      </c>
    </row>
    <row r="720">
      <c r="A720" s="25" t="n">
        <v>39871</v>
      </c>
      <c r="B720" s="22">
        <f>(1+B719)*IF(AND(Painel_diario!$H716="EU_JD",Painel_diario!$J716=1),EXP(Painel_diario!$L716),1)-1</f>
        <v/>
      </c>
      <c r="C720" s="22">
        <f>(1+C719)*IF(AND(Painel_diario!$H716="EU_JU",Painel_diario!$J716=1),EXP(Painel_diario!$L716),1)-1</f>
        <v/>
      </c>
      <c r="D720" s="22">
        <f>(1+D719)*IF(AND(Painel_diario!$H716="ED_JD",Painel_diario!$J716=1),EXP(Painel_diario!$L716),1)-1</f>
        <v/>
      </c>
      <c r="E720" s="22">
        <f>(1+E719)*IF(AND(Painel_diario!$H716="ED_JU",Painel_diario!$J716=1),EXP(Painel_diario!$L716),1)-1</f>
        <v/>
      </c>
    </row>
    <row r="721">
      <c r="A721" s="25" t="n">
        <v>39874</v>
      </c>
      <c r="B721" s="22">
        <f>(1+B720)*IF(AND(Painel_diario!$H717="EU_JD",Painel_diario!$J717=1),EXP(Painel_diario!$L717),1)-1</f>
        <v/>
      </c>
      <c r="C721" s="22">
        <f>(1+C720)*IF(AND(Painel_diario!$H717="EU_JU",Painel_diario!$J717=1),EXP(Painel_diario!$L717),1)-1</f>
        <v/>
      </c>
      <c r="D721" s="22">
        <f>(1+D720)*IF(AND(Painel_diario!$H717="ED_JD",Painel_diario!$J717=1),EXP(Painel_diario!$L717),1)-1</f>
        <v/>
      </c>
      <c r="E721" s="22">
        <f>(1+E720)*IF(AND(Painel_diario!$H717="ED_JU",Painel_diario!$J717=1),EXP(Painel_diario!$L717),1)-1</f>
        <v/>
      </c>
    </row>
    <row r="722">
      <c r="A722" s="25" t="n">
        <v>39875</v>
      </c>
      <c r="B722" s="22">
        <f>(1+B721)*IF(AND(Painel_diario!$H718="EU_JD",Painel_diario!$J718=1),EXP(Painel_diario!$L718),1)-1</f>
        <v/>
      </c>
      <c r="C722" s="22">
        <f>(1+C721)*IF(AND(Painel_diario!$H718="EU_JU",Painel_diario!$J718=1),EXP(Painel_diario!$L718),1)-1</f>
        <v/>
      </c>
      <c r="D722" s="22">
        <f>(1+D721)*IF(AND(Painel_diario!$H718="ED_JD",Painel_diario!$J718=1),EXP(Painel_diario!$L718),1)-1</f>
        <v/>
      </c>
      <c r="E722" s="22">
        <f>(1+E721)*IF(AND(Painel_diario!$H718="ED_JU",Painel_diario!$J718=1),EXP(Painel_diario!$L718),1)-1</f>
        <v/>
      </c>
    </row>
    <row r="723">
      <c r="A723" s="25" t="n">
        <v>39876</v>
      </c>
      <c r="B723" s="22">
        <f>(1+B722)*IF(AND(Painel_diario!$H719="EU_JD",Painel_diario!$J719=1),EXP(Painel_diario!$L719),1)-1</f>
        <v/>
      </c>
      <c r="C723" s="22">
        <f>(1+C722)*IF(AND(Painel_diario!$H719="EU_JU",Painel_diario!$J719=1),EXP(Painel_diario!$L719),1)-1</f>
        <v/>
      </c>
      <c r="D723" s="22">
        <f>(1+D722)*IF(AND(Painel_diario!$H719="ED_JD",Painel_diario!$J719=1),EXP(Painel_diario!$L719),1)-1</f>
        <v/>
      </c>
      <c r="E723" s="22">
        <f>(1+E722)*IF(AND(Painel_diario!$H719="ED_JU",Painel_diario!$J719=1),EXP(Painel_diario!$L719),1)-1</f>
        <v/>
      </c>
    </row>
    <row r="724">
      <c r="A724" s="25" t="n">
        <v>39877</v>
      </c>
      <c r="B724" s="22">
        <f>(1+B723)*IF(AND(Painel_diario!$H720="EU_JD",Painel_diario!$J720=1),EXP(Painel_diario!$L720),1)-1</f>
        <v/>
      </c>
      <c r="C724" s="22">
        <f>(1+C723)*IF(AND(Painel_diario!$H720="EU_JU",Painel_diario!$J720=1),EXP(Painel_diario!$L720),1)-1</f>
        <v/>
      </c>
      <c r="D724" s="22">
        <f>(1+D723)*IF(AND(Painel_diario!$H720="ED_JD",Painel_diario!$J720=1),EXP(Painel_diario!$L720),1)-1</f>
        <v/>
      </c>
      <c r="E724" s="22">
        <f>(1+E723)*IF(AND(Painel_diario!$H720="ED_JU",Painel_diario!$J720=1),EXP(Painel_diario!$L720),1)-1</f>
        <v/>
      </c>
    </row>
    <row r="725">
      <c r="A725" s="25" t="n">
        <v>39878</v>
      </c>
      <c r="B725" s="22">
        <f>(1+B724)*IF(AND(Painel_diario!$H721="EU_JD",Painel_diario!$J721=1),EXP(Painel_diario!$L721),1)-1</f>
        <v/>
      </c>
      <c r="C725" s="22">
        <f>(1+C724)*IF(AND(Painel_diario!$H721="EU_JU",Painel_diario!$J721=1),EXP(Painel_diario!$L721),1)-1</f>
        <v/>
      </c>
      <c r="D725" s="22">
        <f>(1+D724)*IF(AND(Painel_diario!$H721="ED_JD",Painel_diario!$J721=1),EXP(Painel_diario!$L721),1)-1</f>
        <v/>
      </c>
      <c r="E725" s="22">
        <f>(1+E724)*IF(AND(Painel_diario!$H721="ED_JU",Painel_diario!$J721=1),EXP(Painel_diario!$L721),1)-1</f>
        <v/>
      </c>
    </row>
    <row r="726">
      <c r="A726" s="25" t="n">
        <v>39881</v>
      </c>
      <c r="B726" s="22">
        <f>(1+B725)*IF(AND(Painel_diario!$H722="EU_JD",Painel_diario!$J722=1),EXP(Painel_diario!$L722),1)-1</f>
        <v/>
      </c>
      <c r="C726" s="22">
        <f>(1+C725)*IF(AND(Painel_diario!$H722="EU_JU",Painel_diario!$J722=1),EXP(Painel_diario!$L722),1)-1</f>
        <v/>
      </c>
      <c r="D726" s="22">
        <f>(1+D725)*IF(AND(Painel_diario!$H722="ED_JD",Painel_diario!$J722=1),EXP(Painel_diario!$L722),1)-1</f>
        <v/>
      </c>
      <c r="E726" s="22">
        <f>(1+E725)*IF(AND(Painel_diario!$H722="ED_JU",Painel_diario!$J722=1),EXP(Painel_diario!$L722),1)-1</f>
        <v/>
      </c>
    </row>
    <row r="727">
      <c r="A727" s="25" t="n">
        <v>39882</v>
      </c>
      <c r="B727" s="22">
        <f>(1+B726)*IF(AND(Painel_diario!$H723="EU_JD",Painel_diario!$J723=1),EXP(Painel_diario!$L723),1)-1</f>
        <v/>
      </c>
      <c r="C727" s="22">
        <f>(1+C726)*IF(AND(Painel_diario!$H723="EU_JU",Painel_diario!$J723=1),EXP(Painel_diario!$L723),1)-1</f>
        <v/>
      </c>
      <c r="D727" s="22">
        <f>(1+D726)*IF(AND(Painel_diario!$H723="ED_JD",Painel_diario!$J723=1),EXP(Painel_diario!$L723),1)-1</f>
        <v/>
      </c>
      <c r="E727" s="22">
        <f>(1+E726)*IF(AND(Painel_diario!$H723="ED_JU",Painel_diario!$J723=1),EXP(Painel_diario!$L723),1)-1</f>
        <v/>
      </c>
    </row>
    <row r="728">
      <c r="A728" s="25" t="n">
        <v>39883</v>
      </c>
      <c r="B728" s="22">
        <f>(1+B727)*IF(AND(Painel_diario!$H724="EU_JD",Painel_diario!$J724=1),EXP(Painel_diario!$L724),1)-1</f>
        <v/>
      </c>
      <c r="C728" s="22">
        <f>(1+C727)*IF(AND(Painel_diario!$H724="EU_JU",Painel_diario!$J724=1),EXP(Painel_diario!$L724),1)-1</f>
        <v/>
      </c>
      <c r="D728" s="22">
        <f>(1+D727)*IF(AND(Painel_diario!$H724="ED_JD",Painel_diario!$J724=1),EXP(Painel_diario!$L724),1)-1</f>
        <v/>
      </c>
      <c r="E728" s="22">
        <f>(1+E727)*IF(AND(Painel_diario!$H724="ED_JU",Painel_diario!$J724=1),EXP(Painel_diario!$L724),1)-1</f>
        <v/>
      </c>
    </row>
    <row r="729">
      <c r="A729" s="25" t="n">
        <v>39884</v>
      </c>
      <c r="B729" s="22">
        <f>(1+B728)*IF(AND(Painel_diario!$H725="EU_JD",Painel_diario!$J725=1),EXP(Painel_diario!$L725),1)-1</f>
        <v/>
      </c>
      <c r="C729" s="22">
        <f>(1+C728)*IF(AND(Painel_diario!$H725="EU_JU",Painel_diario!$J725=1),EXP(Painel_diario!$L725),1)-1</f>
        <v/>
      </c>
      <c r="D729" s="22">
        <f>(1+D728)*IF(AND(Painel_diario!$H725="ED_JD",Painel_diario!$J725=1),EXP(Painel_diario!$L725),1)-1</f>
        <v/>
      </c>
      <c r="E729" s="22">
        <f>(1+E728)*IF(AND(Painel_diario!$H725="ED_JU",Painel_diario!$J725=1),EXP(Painel_diario!$L725),1)-1</f>
        <v/>
      </c>
    </row>
    <row r="730">
      <c r="A730" s="25" t="n">
        <v>39885</v>
      </c>
      <c r="B730" s="22">
        <f>(1+B729)*IF(AND(Painel_diario!$H726="EU_JD",Painel_diario!$J726=1),EXP(Painel_diario!$L726),1)-1</f>
        <v/>
      </c>
      <c r="C730" s="22">
        <f>(1+C729)*IF(AND(Painel_diario!$H726="EU_JU",Painel_diario!$J726=1),EXP(Painel_diario!$L726),1)-1</f>
        <v/>
      </c>
      <c r="D730" s="22">
        <f>(1+D729)*IF(AND(Painel_diario!$H726="ED_JD",Painel_diario!$J726=1),EXP(Painel_diario!$L726),1)-1</f>
        <v/>
      </c>
      <c r="E730" s="22">
        <f>(1+E729)*IF(AND(Painel_diario!$H726="ED_JU",Painel_diario!$J726=1),EXP(Painel_diario!$L726),1)-1</f>
        <v/>
      </c>
    </row>
    <row r="731">
      <c r="A731" s="25" t="n">
        <v>39888</v>
      </c>
      <c r="B731" s="22">
        <f>(1+B730)*IF(AND(Painel_diario!$H727="EU_JD",Painel_diario!$J727=1),EXP(Painel_diario!$L727),1)-1</f>
        <v/>
      </c>
      <c r="C731" s="22">
        <f>(1+C730)*IF(AND(Painel_diario!$H727="EU_JU",Painel_diario!$J727=1),EXP(Painel_diario!$L727),1)-1</f>
        <v/>
      </c>
      <c r="D731" s="22">
        <f>(1+D730)*IF(AND(Painel_diario!$H727="ED_JD",Painel_diario!$J727=1),EXP(Painel_diario!$L727),1)-1</f>
        <v/>
      </c>
      <c r="E731" s="22">
        <f>(1+E730)*IF(AND(Painel_diario!$H727="ED_JU",Painel_diario!$J727=1),EXP(Painel_diario!$L727),1)-1</f>
        <v/>
      </c>
    </row>
    <row r="732">
      <c r="A732" s="25" t="n">
        <v>39889</v>
      </c>
      <c r="B732" s="22">
        <f>(1+B731)*IF(AND(Painel_diario!$H728="EU_JD",Painel_diario!$J728=1),EXP(Painel_diario!$L728),1)-1</f>
        <v/>
      </c>
      <c r="C732" s="22">
        <f>(1+C731)*IF(AND(Painel_diario!$H728="EU_JU",Painel_diario!$J728=1),EXP(Painel_diario!$L728),1)-1</f>
        <v/>
      </c>
      <c r="D732" s="22">
        <f>(1+D731)*IF(AND(Painel_diario!$H728="ED_JD",Painel_diario!$J728=1),EXP(Painel_diario!$L728),1)-1</f>
        <v/>
      </c>
      <c r="E732" s="22">
        <f>(1+E731)*IF(AND(Painel_diario!$H728="ED_JU",Painel_diario!$J728=1),EXP(Painel_diario!$L728),1)-1</f>
        <v/>
      </c>
    </row>
    <row r="733">
      <c r="A733" s="25" t="n">
        <v>39890</v>
      </c>
      <c r="B733" s="22">
        <f>(1+B732)*IF(AND(Painel_diario!$H729="EU_JD",Painel_diario!$J729=1),EXP(Painel_diario!$L729),1)-1</f>
        <v/>
      </c>
      <c r="C733" s="22">
        <f>(1+C732)*IF(AND(Painel_diario!$H729="EU_JU",Painel_diario!$J729=1),EXP(Painel_diario!$L729),1)-1</f>
        <v/>
      </c>
      <c r="D733" s="22">
        <f>(1+D732)*IF(AND(Painel_diario!$H729="ED_JD",Painel_diario!$J729=1),EXP(Painel_diario!$L729),1)-1</f>
        <v/>
      </c>
      <c r="E733" s="22">
        <f>(1+E732)*IF(AND(Painel_diario!$H729="ED_JU",Painel_diario!$J729=1),EXP(Painel_diario!$L729),1)-1</f>
        <v/>
      </c>
    </row>
    <row r="734">
      <c r="A734" s="25" t="n">
        <v>39891</v>
      </c>
      <c r="B734" s="22">
        <f>(1+B733)*IF(AND(Painel_diario!$H730="EU_JD",Painel_diario!$J730=1),EXP(Painel_diario!$L730),1)-1</f>
        <v/>
      </c>
      <c r="C734" s="22">
        <f>(1+C733)*IF(AND(Painel_diario!$H730="EU_JU",Painel_diario!$J730=1),EXP(Painel_diario!$L730),1)-1</f>
        <v/>
      </c>
      <c r="D734" s="22">
        <f>(1+D733)*IF(AND(Painel_diario!$H730="ED_JD",Painel_diario!$J730=1),EXP(Painel_diario!$L730),1)-1</f>
        <v/>
      </c>
      <c r="E734" s="22">
        <f>(1+E733)*IF(AND(Painel_diario!$H730="ED_JU",Painel_diario!$J730=1),EXP(Painel_diario!$L730),1)-1</f>
        <v/>
      </c>
    </row>
    <row r="735">
      <c r="A735" s="25" t="n">
        <v>39892</v>
      </c>
      <c r="B735" s="22">
        <f>(1+B734)*IF(AND(Painel_diario!$H731="EU_JD",Painel_diario!$J731=1),EXP(Painel_diario!$L731),1)-1</f>
        <v/>
      </c>
      <c r="C735" s="22">
        <f>(1+C734)*IF(AND(Painel_diario!$H731="EU_JU",Painel_diario!$J731=1),EXP(Painel_diario!$L731),1)-1</f>
        <v/>
      </c>
      <c r="D735" s="22">
        <f>(1+D734)*IF(AND(Painel_diario!$H731="ED_JD",Painel_diario!$J731=1),EXP(Painel_diario!$L731),1)-1</f>
        <v/>
      </c>
      <c r="E735" s="22">
        <f>(1+E734)*IF(AND(Painel_diario!$H731="ED_JU",Painel_diario!$J731=1),EXP(Painel_diario!$L731),1)-1</f>
        <v/>
      </c>
    </row>
    <row r="736">
      <c r="A736" s="25" t="n">
        <v>39895</v>
      </c>
      <c r="B736" s="22">
        <f>(1+B735)*IF(AND(Painel_diario!$H732="EU_JD",Painel_diario!$J732=1),EXP(Painel_diario!$L732),1)-1</f>
        <v/>
      </c>
      <c r="C736" s="22">
        <f>(1+C735)*IF(AND(Painel_diario!$H732="EU_JU",Painel_diario!$J732=1),EXP(Painel_diario!$L732),1)-1</f>
        <v/>
      </c>
      <c r="D736" s="22">
        <f>(1+D735)*IF(AND(Painel_diario!$H732="ED_JD",Painel_diario!$J732=1),EXP(Painel_diario!$L732),1)-1</f>
        <v/>
      </c>
      <c r="E736" s="22">
        <f>(1+E735)*IF(AND(Painel_diario!$H732="ED_JU",Painel_diario!$J732=1),EXP(Painel_diario!$L732),1)-1</f>
        <v/>
      </c>
    </row>
    <row r="737">
      <c r="A737" s="25" t="n">
        <v>39896</v>
      </c>
      <c r="B737" s="22">
        <f>(1+B736)*IF(AND(Painel_diario!$H733="EU_JD",Painel_diario!$J733=1),EXP(Painel_diario!$L733),1)-1</f>
        <v/>
      </c>
      <c r="C737" s="22">
        <f>(1+C736)*IF(AND(Painel_diario!$H733="EU_JU",Painel_diario!$J733=1),EXP(Painel_diario!$L733),1)-1</f>
        <v/>
      </c>
      <c r="D737" s="22">
        <f>(1+D736)*IF(AND(Painel_diario!$H733="ED_JD",Painel_diario!$J733=1),EXP(Painel_diario!$L733),1)-1</f>
        <v/>
      </c>
      <c r="E737" s="22">
        <f>(1+E736)*IF(AND(Painel_diario!$H733="ED_JU",Painel_diario!$J733=1),EXP(Painel_diario!$L733),1)-1</f>
        <v/>
      </c>
    </row>
    <row r="738">
      <c r="A738" s="25" t="n">
        <v>39897</v>
      </c>
      <c r="B738" s="22">
        <f>(1+B737)*IF(AND(Painel_diario!$H734="EU_JD",Painel_diario!$J734=1),EXP(Painel_diario!$L734),1)-1</f>
        <v/>
      </c>
      <c r="C738" s="22">
        <f>(1+C737)*IF(AND(Painel_diario!$H734="EU_JU",Painel_diario!$J734=1),EXP(Painel_diario!$L734),1)-1</f>
        <v/>
      </c>
      <c r="D738" s="22">
        <f>(1+D737)*IF(AND(Painel_diario!$H734="ED_JD",Painel_diario!$J734=1),EXP(Painel_diario!$L734),1)-1</f>
        <v/>
      </c>
      <c r="E738" s="22">
        <f>(1+E737)*IF(AND(Painel_diario!$H734="ED_JU",Painel_diario!$J734=1),EXP(Painel_diario!$L734),1)-1</f>
        <v/>
      </c>
    </row>
    <row r="739">
      <c r="A739" s="25" t="n">
        <v>39898</v>
      </c>
      <c r="B739" s="22">
        <f>(1+B738)*IF(AND(Painel_diario!$H735="EU_JD",Painel_diario!$J735=1),EXP(Painel_diario!$L735),1)-1</f>
        <v/>
      </c>
      <c r="C739" s="22">
        <f>(1+C738)*IF(AND(Painel_diario!$H735="EU_JU",Painel_diario!$J735=1),EXP(Painel_diario!$L735),1)-1</f>
        <v/>
      </c>
      <c r="D739" s="22">
        <f>(1+D738)*IF(AND(Painel_diario!$H735="ED_JD",Painel_diario!$J735=1),EXP(Painel_diario!$L735),1)-1</f>
        <v/>
      </c>
      <c r="E739" s="22">
        <f>(1+E738)*IF(AND(Painel_diario!$H735="ED_JU",Painel_diario!$J735=1),EXP(Painel_diario!$L735),1)-1</f>
        <v/>
      </c>
    </row>
    <row r="740">
      <c r="A740" s="25" t="n">
        <v>39899</v>
      </c>
      <c r="B740" s="22">
        <f>(1+B739)*IF(AND(Painel_diario!$H736="EU_JD",Painel_diario!$J736=1),EXP(Painel_diario!$L736),1)-1</f>
        <v/>
      </c>
      <c r="C740" s="22">
        <f>(1+C739)*IF(AND(Painel_diario!$H736="EU_JU",Painel_diario!$J736=1),EXP(Painel_diario!$L736),1)-1</f>
        <v/>
      </c>
      <c r="D740" s="22">
        <f>(1+D739)*IF(AND(Painel_diario!$H736="ED_JD",Painel_diario!$J736=1),EXP(Painel_diario!$L736),1)-1</f>
        <v/>
      </c>
      <c r="E740" s="22">
        <f>(1+E739)*IF(AND(Painel_diario!$H736="ED_JU",Painel_diario!$J736=1),EXP(Painel_diario!$L736),1)-1</f>
        <v/>
      </c>
    </row>
    <row r="741">
      <c r="A741" s="25" t="n">
        <v>39902</v>
      </c>
      <c r="B741" s="22">
        <f>(1+B740)*IF(AND(Painel_diario!$H737="EU_JD",Painel_diario!$J737=1),EXP(Painel_diario!$L737),1)-1</f>
        <v/>
      </c>
      <c r="C741" s="22">
        <f>(1+C740)*IF(AND(Painel_diario!$H737="EU_JU",Painel_diario!$J737=1),EXP(Painel_diario!$L737),1)-1</f>
        <v/>
      </c>
      <c r="D741" s="22">
        <f>(1+D740)*IF(AND(Painel_diario!$H737="ED_JD",Painel_diario!$J737=1),EXP(Painel_diario!$L737),1)-1</f>
        <v/>
      </c>
      <c r="E741" s="22">
        <f>(1+E740)*IF(AND(Painel_diario!$H737="ED_JU",Painel_diario!$J737=1),EXP(Painel_diario!$L737),1)-1</f>
        <v/>
      </c>
    </row>
    <row r="742">
      <c r="A742" s="25" t="n">
        <v>39903</v>
      </c>
      <c r="B742" s="22">
        <f>(1+B741)*IF(AND(Painel_diario!$H738="EU_JD",Painel_diario!$J738=1),EXP(Painel_diario!$L738),1)-1</f>
        <v/>
      </c>
      <c r="C742" s="22">
        <f>(1+C741)*IF(AND(Painel_diario!$H738="EU_JU",Painel_diario!$J738=1),EXP(Painel_diario!$L738),1)-1</f>
        <v/>
      </c>
      <c r="D742" s="22">
        <f>(1+D741)*IF(AND(Painel_diario!$H738="ED_JD",Painel_diario!$J738=1),EXP(Painel_diario!$L738),1)-1</f>
        <v/>
      </c>
      <c r="E742" s="22">
        <f>(1+E741)*IF(AND(Painel_diario!$H738="ED_JU",Painel_diario!$J738=1),EXP(Painel_diario!$L738),1)-1</f>
        <v/>
      </c>
    </row>
    <row r="743">
      <c r="A743" s="25" t="n">
        <v>39904</v>
      </c>
      <c r="B743" s="22">
        <f>(1+B742)*IF(AND(Painel_diario!$H739="EU_JD",Painel_diario!$J739=1),EXP(Painel_diario!$L739),1)-1</f>
        <v/>
      </c>
      <c r="C743" s="22">
        <f>(1+C742)*IF(AND(Painel_diario!$H739="EU_JU",Painel_diario!$J739=1),EXP(Painel_diario!$L739),1)-1</f>
        <v/>
      </c>
      <c r="D743" s="22">
        <f>(1+D742)*IF(AND(Painel_diario!$H739="ED_JD",Painel_diario!$J739=1),EXP(Painel_diario!$L739),1)-1</f>
        <v/>
      </c>
      <c r="E743" s="22">
        <f>(1+E742)*IF(AND(Painel_diario!$H739="ED_JU",Painel_diario!$J739=1),EXP(Painel_diario!$L739),1)-1</f>
        <v/>
      </c>
    </row>
    <row r="744">
      <c r="A744" s="25" t="n">
        <v>39905</v>
      </c>
      <c r="B744" s="22">
        <f>(1+B743)*IF(AND(Painel_diario!$H740="EU_JD",Painel_diario!$J740=1),EXP(Painel_diario!$L740),1)-1</f>
        <v/>
      </c>
      <c r="C744" s="22">
        <f>(1+C743)*IF(AND(Painel_diario!$H740="EU_JU",Painel_diario!$J740=1),EXP(Painel_diario!$L740),1)-1</f>
        <v/>
      </c>
      <c r="D744" s="22">
        <f>(1+D743)*IF(AND(Painel_diario!$H740="ED_JD",Painel_diario!$J740=1),EXP(Painel_diario!$L740),1)-1</f>
        <v/>
      </c>
      <c r="E744" s="22">
        <f>(1+E743)*IF(AND(Painel_diario!$H740="ED_JU",Painel_diario!$J740=1),EXP(Painel_diario!$L740),1)-1</f>
        <v/>
      </c>
    </row>
    <row r="745">
      <c r="A745" s="25" t="n">
        <v>39906</v>
      </c>
      <c r="B745" s="22">
        <f>(1+B744)*IF(AND(Painel_diario!$H741="EU_JD",Painel_diario!$J741=1),EXP(Painel_diario!$L741),1)-1</f>
        <v/>
      </c>
      <c r="C745" s="22">
        <f>(1+C744)*IF(AND(Painel_diario!$H741="EU_JU",Painel_diario!$J741=1),EXP(Painel_diario!$L741),1)-1</f>
        <v/>
      </c>
      <c r="D745" s="22">
        <f>(1+D744)*IF(AND(Painel_diario!$H741="ED_JD",Painel_diario!$J741=1),EXP(Painel_diario!$L741),1)-1</f>
        <v/>
      </c>
      <c r="E745" s="22">
        <f>(1+E744)*IF(AND(Painel_diario!$H741="ED_JU",Painel_diario!$J741=1),EXP(Painel_diario!$L741),1)-1</f>
        <v/>
      </c>
    </row>
    <row r="746">
      <c r="A746" s="25" t="n">
        <v>39909</v>
      </c>
      <c r="B746" s="22">
        <f>(1+B745)*IF(AND(Painel_diario!$H742="EU_JD",Painel_diario!$J742=1),EXP(Painel_diario!$L742),1)-1</f>
        <v/>
      </c>
      <c r="C746" s="22">
        <f>(1+C745)*IF(AND(Painel_diario!$H742="EU_JU",Painel_diario!$J742=1),EXP(Painel_diario!$L742),1)-1</f>
        <v/>
      </c>
      <c r="D746" s="22">
        <f>(1+D745)*IF(AND(Painel_diario!$H742="ED_JD",Painel_diario!$J742=1),EXP(Painel_diario!$L742),1)-1</f>
        <v/>
      </c>
      <c r="E746" s="22">
        <f>(1+E745)*IF(AND(Painel_diario!$H742="ED_JU",Painel_diario!$J742=1),EXP(Painel_diario!$L742),1)-1</f>
        <v/>
      </c>
    </row>
    <row r="747">
      <c r="A747" s="25" t="n">
        <v>39910</v>
      </c>
      <c r="B747" s="22">
        <f>(1+B746)*IF(AND(Painel_diario!$H743="EU_JD",Painel_diario!$J743=1),EXP(Painel_diario!$L743),1)-1</f>
        <v/>
      </c>
      <c r="C747" s="22">
        <f>(1+C746)*IF(AND(Painel_diario!$H743="EU_JU",Painel_diario!$J743=1),EXP(Painel_diario!$L743),1)-1</f>
        <v/>
      </c>
      <c r="D747" s="22">
        <f>(1+D746)*IF(AND(Painel_diario!$H743="ED_JD",Painel_diario!$J743=1),EXP(Painel_diario!$L743),1)-1</f>
        <v/>
      </c>
      <c r="E747" s="22">
        <f>(1+E746)*IF(AND(Painel_diario!$H743="ED_JU",Painel_diario!$J743=1),EXP(Painel_diario!$L743),1)-1</f>
        <v/>
      </c>
    </row>
    <row r="748">
      <c r="A748" s="25" t="n">
        <v>39911</v>
      </c>
      <c r="B748" s="22">
        <f>(1+B747)*IF(AND(Painel_diario!$H744="EU_JD",Painel_diario!$J744=1),EXP(Painel_diario!$L744),1)-1</f>
        <v/>
      </c>
      <c r="C748" s="22">
        <f>(1+C747)*IF(AND(Painel_diario!$H744="EU_JU",Painel_diario!$J744=1),EXP(Painel_diario!$L744),1)-1</f>
        <v/>
      </c>
      <c r="D748" s="22">
        <f>(1+D747)*IF(AND(Painel_diario!$H744="ED_JD",Painel_diario!$J744=1),EXP(Painel_diario!$L744),1)-1</f>
        <v/>
      </c>
      <c r="E748" s="22">
        <f>(1+E747)*IF(AND(Painel_diario!$H744="ED_JU",Painel_diario!$J744=1),EXP(Painel_diario!$L744),1)-1</f>
        <v/>
      </c>
    </row>
    <row r="749">
      <c r="A749" s="25" t="n">
        <v>39912</v>
      </c>
      <c r="B749" s="22">
        <f>(1+B748)*IF(AND(Painel_diario!$H745="EU_JD",Painel_diario!$J745=1),EXP(Painel_diario!$L745),1)-1</f>
        <v/>
      </c>
      <c r="C749" s="22">
        <f>(1+C748)*IF(AND(Painel_diario!$H745="EU_JU",Painel_diario!$J745=1),EXP(Painel_diario!$L745),1)-1</f>
        <v/>
      </c>
      <c r="D749" s="22">
        <f>(1+D748)*IF(AND(Painel_diario!$H745="ED_JD",Painel_diario!$J745=1),EXP(Painel_diario!$L745),1)-1</f>
        <v/>
      </c>
      <c r="E749" s="22">
        <f>(1+E748)*IF(AND(Painel_diario!$H745="ED_JU",Painel_diario!$J745=1),EXP(Painel_diario!$L745),1)-1</f>
        <v/>
      </c>
    </row>
    <row r="750">
      <c r="A750" s="25" t="n">
        <v>39916</v>
      </c>
      <c r="B750" s="22">
        <f>(1+B749)*IF(AND(Painel_diario!$H746="EU_JD",Painel_diario!$J746=1),EXP(Painel_diario!$L746),1)-1</f>
        <v/>
      </c>
      <c r="C750" s="22">
        <f>(1+C749)*IF(AND(Painel_diario!$H746="EU_JU",Painel_diario!$J746=1),EXP(Painel_diario!$L746),1)-1</f>
        <v/>
      </c>
      <c r="D750" s="22">
        <f>(1+D749)*IF(AND(Painel_diario!$H746="ED_JD",Painel_diario!$J746=1),EXP(Painel_diario!$L746),1)-1</f>
        <v/>
      </c>
      <c r="E750" s="22">
        <f>(1+E749)*IF(AND(Painel_diario!$H746="ED_JU",Painel_diario!$J746=1),EXP(Painel_diario!$L746),1)-1</f>
        <v/>
      </c>
    </row>
    <row r="751">
      <c r="A751" s="25" t="n">
        <v>39917</v>
      </c>
      <c r="B751" s="22">
        <f>(1+B750)*IF(AND(Painel_diario!$H747="EU_JD",Painel_diario!$J747=1),EXP(Painel_diario!$L747),1)-1</f>
        <v/>
      </c>
      <c r="C751" s="22">
        <f>(1+C750)*IF(AND(Painel_diario!$H747="EU_JU",Painel_diario!$J747=1),EXP(Painel_diario!$L747),1)-1</f>
        <v/>
      </c>
      <c r="D751" s="22">
        <f>(1+D750)*IF(AND(Painel_diario!$H747="ED_JD",Painel_diario!$J747=1),EXP(Painel_diario!$L747),1)-1</f>
        <v/>
      </c>
      <c r="E751" s="22">
        <f>(1+E750)*IF(AND(Painel_diario!$H747="ED_JU",Painel_diario!$J747=1),EXP(Painel_diario!$L747),1)-1</f>
        <v/>
      </c>
    </row>
    <row r="752">
      <c r="A752" s="25" t="n">
        <v>39918</v>
      </c>
      <c r="B752" s="22">
        <f>(1+B751)*IF(AND(Painel_diario!$H748="EU_JD",Painel_diario!$J748=1),EXP(Painel_diario!$L748),1)-1</f>
        <v/>
      </c>
      <c r="C752" s="22">
        <f>(1+C751)*IF(AND(Painel_diario!$H748="EU_JU",Painel_diario!$J748=1),EXP(Painel_diario!$L748),1)-1</f>
        <v/>
      </c>
      <c r="D752" s="22">
        <f>(1+D751)*IF(AND(Painel_diario!$H748="ED_JD",Painel_diario!$J748=1),EXP(Painel_diario!$L748),1)-1</f>
        <v/>
      </c>
      <c r="E752" s="22">
        <f>(1+E751)*IF(AND(Painel_diario!$H748="ED_JU",Painel_diario!$J748=1),EXP(Painel_diario!$L748),1)-1</f>
        <v/>
      </c>
    </row>
    <row r="753">
      <c r="A753" s="25" t="n">
        <v>39919</v>
      </c>
      <c r="B753" s="22">
        <f>(1+B752)*IF(AND(Painel_diario!$H749="EU_JD",Painel_diario!$J749=1),EXP(Painel_diario!$L749),1)-1</f>
        <v/>
      </c>
      <c r="C753" s="22">
        <f>(1+C752)*IF(AND(Painel_diario!$H749="EU_JU",Painel_diario!$J749=1),EXP(Painel_diario!$L749),1)-1</f>
        <v/>
      </c>
      <c r="D753" s="22">
        <f>(1+D752)*IF(AND(Painel_diario!$H749="ED_JD",Painel_diario!$J749=1),EXP(Painel_diario!$L749),1)-1</f>
        <v/>
      </c>
      <c r="E753" s="22">
        <f>(1+E752)*IF(AND(Painel_diario!$H749="ED_JU",Painel_diario!$J749=1),EXP(Painel_diario!$L749),1)-1</f>
        <v/>
      </c>
    </row>
    <row r="754">
      <c r="A754" s="25" t="n">
        <v>39920</v>
      </c>
      <c r="B754" s="22">
        <f>(1+B753)*IF(AND(Painel_diario!$H750="EU_JD",Painel_diario!$J750=1),EXP(Painel_diario!$L750),1)-1</f>
        <v/>
      </c>
      <c r="C754" s="22">
        <f>(1+C753)*IF(AND(Painel_diario!$H750="EU_JU",Painel_diario!$J750=1),EXP(Painel_diario!$L750),1)-1</f>
        <v/>
      </c>
      <c r="D754" s="22">
        <f>(1+D753)*IF(AND(Painel_diario!$H750="ED_JD",Painel_diario!$J750=1),EXP(Painel_diario!$L750),1)-1</f>
        <v/>
      </c>
      <c r="E754" s="22">
        <f>(1+E753)*IF(AND(Painel_diario!$H750="ED_JU",Painel_diario!$J750=1),EXP(Painel_diario!$L750),1)-1</f>
        <v/>
      </c>
    </row>
    <row r="755">
      <c r="A755" s="25" t="n">
        <v>39923</v>
      </c>
      <c r="B755" s="22">
        <f>(1+B754)*IF(AND(Painel_diario!$H751="EU_JD",Painel_diario!$J751=1),EXP(Painel_diario!$L751),1)-1</f>
        <v/>
      </c>
      <c r="C755" s="22">
        <f>(1+C754)*IF(AND(Painel_diario!$H751="EU_JU",Painel_diario!$J751=1),EXP(Painel_diario!$L751),1)-1</f>
        <v/>
      </c>
      <c r="D755" s="22">
        <f>(1+D754)*IF(AND(Painel_diario!$H751="ED_JD",Painel_diario!$J751=1),EXP(Painel_diario!$L751),1)-1</f>
        <v/>
      </c>
      <c r="E755" s="22">
        <f>(1+E754)*IF(AND(Painel_diario!$H751="ED_JU",Painel_diario!$J751=1),EXP(Painel_diario!$L751),1)-1</f>
        <v/>
      </c>
    </row>
    <row r="756">
      <c r="A756" s="25" t="n">
        <v>39925</v>
      </c>
      <c r="B756" s="22">
        <f>(1+B755)*IF(AND(Painel_diario!$H752="EU_JD",Painel_diario!$J752=1),EXP(Painel_diario!$L752),1)-1</f>
        <v/>
      </c>
      <c r="C756" s="22">
        <f>(1+C755)*IF(AND(Painel_diario!$H752="EU_JU",Painel_diario!$J752=1),EXP(Painel_diario!$L752),1)-1</f>
        <v/>
      </c>
      <c r="D756" s="22">
        <f>(1+D755)*IF(AND(Painel_diario!$H752="ED_JD",Painel_diario!$J752=1),EXP(Painel_diario!$L752),1)-1</f>
        <v/>
      </c>
      <c r="E756" s="22">
        <f>(1+E755)*IF(AND(Painel_diario!$H752="ED_JU",Painel_diario!$J752=1),EXP(Painel_diario!$L752),1)-1</f>
        <v/>
      </c>
    </row>
    <row r="757">
      <c r="A757" s="25" t="n">
        <v>39926</v>
      </c>
      <c r="B757" s="22">
        <f>(1+B756)*IF(AND(Painel_diario!$H753="EU_JD",Painel_diario!$J753=1),EXP(Painel_diario!$L753),1)-1</f>
        <v/>
      </c>
      <c r="C757" s="22">
        <f>(1+C756)*IF(AND(Painel_diario!$H753="EU_JU",Painel_diario!$J753=1),EXP(Painel_diario!$L753),1)-1</f>
        <v/>
      </c>
      <c r="D757" s="22">
        <f>(1+D756)*IF(AND(Painel_diario!$H753="ED_JD",Painel_diario!$J753=1),EXP(Painel_diario!$L753),1)-1</f>
        <v/>
      </c>
      <c r="E757" s="22">
        <f>(1+E756)*IF(AND(Painel_diario!$H753="ED_JU",Painel_diario!$J753=1),EXP(Painel_diario!$L753),1)-1</f>
        <v/>
      </c>
    </row>
    <row r="758">
      <c r="A758" s="25" t="n">
        <v>39927</v>
      </c>
      <c r="B758" s="22">
        <f>(1+B757)*IF(AND(Painel_diario!$H754="EU_JD",Painel_diario!$J754=1),EXP(Painel_diario!$L754),1)-1</f>
        <v/>
      </c>
      <c r="C758" s="22">
        <f>(1+C757)*IF(AND(Painel_diario!$H754="EU_JU",Painel_diario!$J754=1),EXP(Painel_diario!$L754),1)-1</f>
        <v/>
      </c>
      <c r="D758" s="22">
        <f>(1+D757)*IF(AND(Painel_diario!$H754="ED_JD",Painel_diario!$J754=1),EXP(Painel_diario!$L754),1)-1</f>
        <v/>
      </c>
      <c r="E758" s="22">
        <f>(1+E757)*IF(AND(Painel_diario!$H754="ED_JU",Painel_diario!$J754=1),EXP(Painel_diario!$L754),1)-1</f>
        <v/>
      </c>
    </row>
    <row r="759">
      <c r="A759" s="25" t="n">
        <v>39930</v>
      </c>
      <c r="B759" s="22">
        <f>(1+B758)*IF(AND(Painel_diario!$H755="EU_JD",Painel_diario!$J755=1),EXP(Painel_diario!$L755),1)-1</f>
        <v/>
      </c>
      <c r="C759" s="22">
        <f>(1+C758)*IF(AND(Painel_diario!$H755="EU_JU",Painel_diario!$J755=1),EXP(Painel_diario!$L755),1)-1</f>
        <v/>
      </c>
      <c r="D759" s="22">
        <f>(1+D758)*IF(AND(Painel_diario!$H755="ED_JD",Painel_diario!$J755=1),EXP(Painel_diario!$L755),1)-1</f>
        <v/>
      </c>
      <c r="E759" s="22">
        <f>(1+E758)*IF(AND(Painel_diario!$H755="ED_JU",Painel_diario!$J755=1),EXP(Painel_diario!$L755),1)-1</f>
        <v/>
      </c>
    </row>
    <row r="760">
      <c r="A760" s="25" t="n">
        <v>39931</v>
      </c>
      <c r="B760" s="22">
        <f>(1+B759)*IF(AND(Painel_diario!$H756="EU_JD",Painel_diario!$J756=1),EXP(Painel_diario!$L756),1)-1</f>
        <v/>
      </c>
      <c r="C760" s="22">
        <f>(1+C759)*IF(AND(Painel_diario!$H756="EU_JU",Painel_diario!$J756=1),EXP(Painel_diario!$L756),1)-1</f>
        <v/>
      </c>
      <c r="D760" s="22">
        <f>(1+D759)*IF(AND(Painel_diario!$H756="ED_JD",Painel_diario!$J756=1),EXP(Painel_diario!$L756),1)-1</f>
        <v/>
      </c>
      <c r="E760" s="22">
        <f>(1+E759)*IF(AND(Painel_diario!$H756="ED_JU",Painel_diario!$J756=1),EXP(Painel_diario!$L756),1)-1</f>
        <v/>
      </c>
    </row>
    <row r="761">
      <c r="A761" s="25" t="n">
        <v>39932</v>
      </c>
      <c r="B761" s="22">
        <f>(1+B760)*IF(AND(Painel_diario!$H757="EU_JD",Painel_diario!$J757=1),EXP(Painel_diario!$L757),1)-1</f>
        <v/>
      </c>
      <c r="C761" s="22">
        <f>(1+C760)*IF(AND(Painel_diario!$H757="EU_JU",Painel_diario!$J757=1),EXP(Painel_diario!$L757),1)-1</f>
        <v/>
      </c>
      <c r="D761" s="22">
        <f>(1+D760)*IF(AND(Painel_diario!$H757="ED_JD",Painel_diario!$J757=1),EXP(Painel_diario!$L757),1)-1</f>
        <v/>
      </c>
      <c r="E761" s="22">
        <f>(1+E760)*IF(AND(Painel_diario!$H757="ED_JU",Painel_diario!$J757=1),EXP(Painel_diario!$L757),1)-1</f>
        <v/>
      </c>
    </row>
    <row r="762">
      <c r="A762" s="25" t="n">
        <v>39933</v>
      </c>
      <c r="B762" s="22">
        <f>(1+B761)*IF(AND(Painel_diario!$H758="EU_JD",Painel_diario!$J758=1),EXP(Painel_diario!$L758),1)-1</f>
        <v/>
      </c>
      <c r="C762" s="22">
        <f>(1+C761)*IF(AND(Painel_diario!$H758="EU_JU",Painel_diario!$J758=1),EXP(Painel_diario!$L758),1)-1</f>
        <v/>
      </c>
      <c r="D762" s="22">
        <f>(1+D761)*IF(AND(Painel_diario!$H758="ED_JD",Painel_diario!$J758=1),EXP(Painel_diario!$L758),1)-1</f>
        <v/>
      </c>
      <c r="E762" s="22">
        <f>(1+E761)*IF(AND(Painel_diario!$H758="ED_JU",Painel_diario!$J758=1),EXP(Painel_diario!$L758),1)-1</f>
        <v/>
      </c>
    </row>
    <row r="763">
      <c r="A763" s="25" t="n">
        <v>39937</v>
      </c>
      <c r="B763" s="22">
        <f>(1+B762)*IF(AND(Painel_diario!$H759="EU_JD",Painel_diario!$J759=1),EXP(Painel_diario!$L759),1)-1</f>
        <v/>
      </c>
      <c r="C763" s="22">
        <f>(1+C762)*IF(AND(Painel_diario!$H759="EU_JU",Painel_diario!$J759=1),EXP(Painel_diario!$L759),1)-1</f>
        <v/>
      </c>
      <c r="D763" s="22">
        <f>(1+D762)*IF(AND(Painel_diario!$H759="ED_JD",Painel_diario!$J759=1),EXP(Painel_diario!$L759),1)-1</f>
        <v/>
      </c>
      <c r="E763" s="22">
        <f>(1+E762)*IF(AND(Painel_diario!$H759="ED_JU",Painel_diario!$J759=1),EXP(Painel_diario!$L759),1)-1</f>
        <v/>
      </c>
    </row>
    <row r="764">
      <c r="A764" s="25" t="n">
        <v>39938</v>
      </c>
      <c r="B764" s="22">
        <f>(1+B763)*IF(AND(Painel_diario!$H760="EU_JD",Painel_diario!$J760=1),EXP(Painel_diario!$L760),1)-1</f>
        <v/>
      </c>
      <c r="C764" s="22">
        <f>(1+C763)*IF(AND(Painel_diario!$H760="EU_JU",Painel_diario!$J760=1),EXP(Painel_diario!$L760),1)-1</f>
        <v/>
      </c>
      <c r="D764" s="22">
        <f>(1+D763)*IF(AND(Painel_diario!$H760="ED_JD",Painel_diario!$J760=1),EXP(Painel_diario!$L760),1)-1</f>
        <v/>
      </c>
      <c r="E764" s="22">
        <f>(1+E763)*IF(AND(Painel_diario!$H760="ED_JU",Painel_diario!$J760=1),EXP(Painel_diario!$L760),1)-1</f>
        <v/>
      </c>
    </row>
    <row r="765">
      <c r="A765" s="25" t="n">
        <v>39939</v>
      </c>
      <c r="B765" s="22">
        <f>(1+B764)*IF(AND(Painel_diario!$H761="EU_JD",Painel_diario!$J761=1),EXP(Painel_diario!$L761),1)-1</f>
        <v/>
      </c>
      <c r="C765" s="22">
        <f>(1+C764)*IF(AND(Painel_diario!$H761="EU_JU",Painel_diario!$J761=1),EXP(Painel_diario!$L761),1)-1</f>
        <v/>
      </c>
      <c r="D765" s="22">
        <f>(1+D764)*IF(AND(Painel_diario!$H761="ED_JD",Painel_diario!$J761=1),EXP(Painel_diario!$L761),1)-1</f>
        <v/>
      </c>
      <c r="E765" s="22">
        <f>(1+E764)*IF(AND(Painel_diario!$H761="ED_JU",Painel_diario!$J761=1),EXP(Painel_diario!$L761),1)-1</f>
        <v/>
      </c>
    </row>
    <row r="766">
      <c r="A766" s="25" t="n">
        <v>39940</v>
      </c>
      <c r="B766" s="22">
        <f>(1+B765)*IF(AND(Painel_diario!$H762="EU_JD",Painel_diario!$J762=1),EXP(Painel_diario!$L762),1)-1</f>
        <v/>
      </c>
      <c r="C766" s="22">
        <f>(1+C765)*IF(AND(Painel_diario!$H762="EU_JU",Painel_diario!$J762=1),EXP(Painel_diario!$L762),1)-1</f>
        <v/>
      </c>
      <c r="D766" s="22">
        <f>(1+D765)*IF(AND(Painel_diario!$H762="ED_JD",Painel_diario!$J762=1),EXP(Painel_diario!$L762),1)-1</f>
        <v/>
      </c>
      <c r="E766" s="22">
        <f>(1+E765)*IF(AND(Painel_diario!$H762="ED_JU",Painel_diario!$J762=1),EXP(Painel_diario!$L762),1)-1</f>
        <v/>
      </c>
    </row>
    <row r="767">
      <c r="A767" s="25" t="n">
        <v>39941</v>
      </c>
      <c r="B767" s="22">
        <f>(1+B766)*IF(AND(Painel_diario!$H763="EU_JD",Painel_diario!$J763=1),EXP(Painel_diario!$L763),1)-1</f>
        <v/>
      </c>
      <c r="C767" s="22">
        <f>(1+C766)*IF(AND(Painel_diario!$H763="EU_JU",Painel_diario!$J763=1),EXP(Painel_diario!$L763),1)-1</f>
        <v/>
      </c>
      <c r="D767" s="22">
        <f>(1+D766)*IF(AND(Painel_diario!$H763="ED_JD",Painel_diario!$J763=1),EXP(Painel_diario!$L763),1)-1</f>
        <v/>
      </c>
      <c r="E767" s="22">
        <f>(1+E766)*IF(AND(Painel_diario!$H763="ED_JU",Painel_diario!$J763=1),EXP(Painel_diario!$L763),1)-1</f>
        <v/>
      </c>
    </row>
    <row r="768">
      <c r="A768" s="25" t="n">
        <v>39944</v>
      </c>
      <c r="B768" s="22">
        <f>(1+B767)*IF(AND(Painel_diario!$H764="EU_JD",Painel_diario!$J764=1),EXP(Painel_diario!$L764),1)-1</f>
        <v/>
      </c>
      <c r="C768" s="22">
        <f>(1+C767)*IF(AND(Painel_diario!$H764="EU_JU",Painel_diario!$J764=1),EXP(Painel_diario!$L764),1)-1</f>
        <v/>
      </c>
      <c r="D768" s="22">
        <f>(1+D767)*IF(AND(Painel_diario!$H764="ED_JD",Painel_diario!$J764=1),EXP(Painel_diario!$L764),1)-1</f>
        <v/>
      </c>
      <c r="E768" s="22">
        <f>(1+E767)*IF(AND(Painel_diario!$H764="ED_JU",Painel_diario!$J764=1),EXP(Painel_diario!$L764),1)-1</f>
        <v/>
      </c>
    </row>
    <row r="769">
      <c r="A769" s="25" t="n">
        <v>39945</v>
      </c>
      <c r="B769" s="22">
        <f>(1+B768)*IF(AND(Painel_diario!$H765="EU_JD",Painel_diario!$J765=1),EXP(Painel_diario!$L765),1)-1</f>
        <v/>
      </c>
      <c r="C769" s="22">
        <f>(1+C768)*IF(AND(Painel_diario!$H765="EU_JU",Painel_diario!$J765=1),EXP(Painel_diario!$L765),1)-1</f>
        <v/>
      </c>
      <c r="D769" s="22">
        <f>(1+D768)*IF(AND(Painel_diario!$H765="ED_JD",Painel_diario!$J765=1),EXP(Painel_diario!$L765),1)-1</f>
        <v/>
      </c>
      <c r="E769" s="22">
        <f>(1+E768)*IF(AND(Painel_diario!$H765="ED_JU",Painel_diario!$J765=1),EXP(Painel_diario!$L765),1)-1</f>
        <v/>
      </c>
    </row>
    <row r="770">
      <c r="A770" s="25" t="n">
        <v>39946</v>
      </c>
      <c r="B770" s="22">
        <f>(1+B769)*IF(AND(Painel_diario!$H766="EU_JD",Painel_diario!$J766=1),EXP(Painel_diario!$L766),1)-1</f>
        <v/>
      </c>
      <c r="C770" s="22">
        <f>(1+C769)*IF(AND(Painel_diario!$H766="EU_JU",Painel_diario!$J766=1),EXP(Painel_diario!$L766),1)-1</f>
        <v/>
      </c>
      <c r="D770" s="22">
        <f>(1+D769)*IF(AND(Painel_diario!$H766="ED_JD",Painel_diario!$J766=1),EXP(Painel_diario!$L766),1)-1</f>
        <v/>
      </c>
      <c r="E770" s="22">
        <f>(1+E769)*IF(AND(Painel_diario!$H766="ED_JU",Painel_diario!$J766=1),EXP(Painel_diario!$L766),1)-1</f>
        <v/>
      </c>
    </row>
    <row r="771">
      <c r="A771" s="25" t="n">
        <v>39947</v>
      </c>
      <c r="B771" s="22">
        <f>(1+B770)*IF(AND(Painel_diario!$H767="EU_JD",Painel_diario!$J767=1),EXP(Painel_diario!$L767),1)-1</f>
        <v/>
      </c>
      <c r="C771" s="22">
        <f>(1+C770)*IF(AND(Painel_diario!$H767="EU_JU",Painel_diario!$J767=1),EXP(Painel_diario!$L767),1)-1</f>
        <v/>
      </c>
      <c r="D771" s="22">
        <f>(1+D770)*IF(AND(Painel_diario!$H767="ED_JD",Painel_diario!$J767=1),EXP(Painel_diario!$L767),1)-1</f>
        <v/>
      </c>
      <c r="E771" s="22">
        <f>(1+E770)*IF(AND(Painel_diario!$H767="ED_JU",Painel_diario!$J767=1),EXP(Painel_diario!$L767),1)-1</f>
        <v/>
      </c>
    </row>
    <row r="772">
      <c r="A772" s="25" t="n">
        <v>39948</v>
      </c>
      <c r="B772" s="22">
        <f>(1+B771)*IF(AND(Painel_diario!$H768="EU_JD",Painel_diario!$J768=1),EXP(Painel_diario!$L768),1)-1</f>
        <v/>
      </c>
      <c r="C772" s="22">
        <f>(1+C771)*IF(AND(Painel_diario!$H768="EU_JU",Painel_diario!$J768=1),EXP(Painel_diario!$L768),1)-1</f>
        <v/>
      </c>
      <c r="D772" s="22">
        <f>(1+D771)*IF(AND(Painel_diario!$H768="ED_JD",Painel_diario!$J768=1),EXP(Painel_diario!$L768),1)-1</f>
        <v/>
      </c>
      <c r="E772" s="22">
        <f>(1+E771)*IF(AND(Painel_diario!$H768="ED_JU",Painel_diario!$J768=1),EXP(Painel_diario!$L768),1)-1</f>
        <v/>
      </c>
    </row>
    <row r="773">
      <c r="A773" s="25" t="n">
        <v>39951</v>
      </c>
      <c r="B773" s="22">
        <f>(1+B772)*IF(AND(Painel_diario!$H769="EU_JD",Painel_diario!$J769=1),EXP(Painel_diario!$L769),1)-1</f>
        <v/>
      </c>
      <c r="C773" s="22">
        <f>(1+C772)*IF(AND(Painel_diario!$H769="EU_JU",Painel_diario!$J769=1),EXP(Painel_diario!$L769),1)-1</f>
        <v/>
      </c>
      <c r="D773" s="22">
        <f>(1+D772)*IF(AND(Painel_diario!$H769="ED_JD",Painel_diario!$J769=1),EXP(Painel_diario!$L769),1)-1</f>
        <v/>
      </c>
      <c r="E773" s="22">
        <f>(1+E772)*IF(AND(Painel_diario!$H769="ED_JU",Painel_diario!$J769=1),EXP(Painel_diario!$L769),1)-1</f>
        <v/>
      </c>
    </row>
    <row r="774">
      <c r="A774" s="25" t="n">
        <v>39952</v>
      </c>
      <c r="B774" s="22">
        <f>(1+B773)*IF(AND(Painel_diario!$H770="EU_JD",Painel_diario!$J770=1),EXP(Painel_diario!$L770),1)-1</f>
        <v/>
      </c>
      <c r="C774" s="22">
        <f>(1+C773)*IF(AND(Painel_diario!$H770="EU_JU",Painel_diario!$J770=1),EXP(Painel_diario!$L770),1)-1</f>
        <v/>
      </c>
      <c r="D774" s="22">
        <f>(1+D773)*IF(AND(Painel_diario!$H770="ED_JD",Painel_diario!$J770=1),EXP(Painel_diario!$L770),1)-1</f>
        <v/>
      </c>
      <c r="E774" s="22">
        <f>(1+E773)*IF(AND(Painel_diario!$H770="ED_JU",Painel_diario!$J770=1),EXP(Painel_diario!$L770),1)-1</f>
        <v/>
      </c>
    </row>
    <row r="775">
      <c r="A775" s="25" t="n">
        <v>39953</v>
      </c>
      <c r="B775" s="22">
        <f>(1+B774)*IF(AND(Painel_diario!$H771="EU_JD",Painel_diario!$J771=1),EXP(Painel_diario!$L771),1)-1</f>
        <v/>
      </c>
      <c r="C775" s="22">
        <f>(1+C774)*IF(AND(Painel_diario!$H771="EU_JU",Painel_diario!$J771=1),EXP(Painel_diario!$L771),1)-1</f>
        <v/>
      </c>
      <c r="D775" s="22">
        <f>(1+D774)*IF(AND(Painel_diario!$H771="ED_JD",Painel_diario!$J771=1),EXP(Painel_diario!$L771),1)-1</f>
        <v/>
      </c>
      <c r="E775" s="22">
        <f>(1+E774)*IF(AND(Painel_diario!$H771="ED_JU",Painel_diario!$J771=1),EXP(Painel_diario!$L771),1)-1</f>
        <v/>
      </c>
    </row>
    <row r="776">
      <c r="A776" s="25" t="n">
        <v>39954</v>
      </c>
      <c r="B776" s="22">
        <f>(1+B775)*IF(AND(Painel_diario!$H772="EU_JD",Painel_diario!$J772=1),EXP(Painel_diario!$L772),1)-1</f>
        <v/>
      </c>
      <c r="C776" s="22">
        <f>(1+C775)*IF(AND(Painel_diario!$H772="EU_JU",Painel_diario!$J772=1),EXP(Painel_diario!$L772),1)-1</f>
        <v/>
      </c>
      <c r="D776" s="22">
        <f>(1+D775)*IF(AND(Painel_diario!$H772="ED_JD",Painel_diario!$J772=1),EXP(Painel_diario!$L772),1)-1</f>
        <v/>
      </c>
      <c r="E776" s="22">
        <f>(1+E775)*IF(AND(Painel_diario!$H772="ED_JU",Painel_diario!$J772=1),EXP(Painel_diario!$L772),1)-1</f>
        <v/>
      </c>
    </row>
    <row r="777">
      <c r="A777" s="25" t="n">
        <v>39955</v>
      </c>
      <c r="B777" s="22">
        <f>(1+B776)*IF(AND(Painel_diario!$H773="EU_JD",Painel_diario!$J773=1),EXP(Painel_diario!$L773),1)-1</f>
        <v/>
      </c>
      <c r="C777" s="22">
        <f>(1+C776)*IF(AND(Painel_diario!$H773="EU_JU",Painel_diario!$J773=1),EXP(Painel_diario!$L773),1)-1</f>
        <v/>
      </c>
      <c r="D777" s="22">
        <f>(1+D776)*IF(AND(Painel_diario!$H773="ED_JD",Painel_diario!$J773=1),EXP(Painel_diario!$L773),1)-1</f>
        <v/>
      </c>
      <c r="E777" s="22">
        <f>(1+E776)*IF(AND(Painel_diario!$H773="ED_JU",Painel_diario!$J773=1),EXP(Painel_diario!$L773),1)-1</f>
        <v/>
      </c>
    </row>
    <row r="778">
      <c r="A778" s="25" t="n">
        <v>39958</v>
      </c>
      <c r="B778" s="22">
        <f>(1+B777)*IF(AND(Painel_diario!$H774="EU_JD",Painel_diario!$J774=1),EXP(Painel_diario!$L774),1)-1</f>
        <v/>
      </c>
      <c r="C778" s="22">
        <f>(1+C777)*IF(AND(Painel_diario!$H774="EU_JU",Painel_diario!$J774=1),EXP(Painel_diario!$L774),1)-1</f>
        <v/>
      </c>
      <c r="D778" s="22">
        <f>(1+D777)*IF(AND(Painel_diario!$H774="ED_JD",Painel_diario!$J774=1),EXP(Painel_diario!$L774),1)-1</f>
        <v/>
      </c>
      <c r="E778" s="22">
        <f>(1+E777)*IF(AND(Painel_diario!$H774="ED_JU",Painel_diario!$J774=1),EXP(Painel_diario!$L774),1)-1</f>
        <v/>
      </c>
    </row>
    <row r="779">
      <c r="A779" s="25" t="n">
        <v>39959</v>
      </c>
      <c r="B779" s="22">
        <f>(1+B778)*IF(AND(Painel_diario!$H775="EU_JD",Painel_diario!$J775=1),EXP(Painel_diario!$L775),1)-1</f>
        <v/>
      </c>
      <c r="C779" s="22">
        <f>(1+C778)*IF(AND(Painel_diario!$H775="EU_JU",Painel_diario!$J775=1),EXP(Painel_diario!$L775),1)-1</f>
        <v/>
      </c>
      <c r="D779" s="22">
        <f>(1+D778)*IF(AND(Painel_diario!$H775="ED_JD",Painel_diario!$J775=1),EXP(Painel_diario!$L775),1)-1</f>
        <v/>
      </c>
      <c r="E779" s="22">
        <f>(1+E778)*IF(AND(Painel_diario!$H775="ED_JU",Painel_diario!$J775=1),EXP(Painel_diario!$L775),1)-1</f>
        <v/>
      </c>
    </row>
    <row r="780">
      <c r="A780" s="25" t="n">
        <v>39960</v>
      </c>
      <c r="B780" s="22">
        <f>(1+B779)*IF(AND(Painel_diario!$H776="EU_JD",Painel_diario!$J776=1),EXP(Painel_diario!$L776),1)-1</f>
        <v/>
      </c>
      <c r="C780" s="22">
        <f>(1+C779)*IF(AND(Painel_diario!$H776="EU_JU",Painel_diario!$J776=1),EXP(Painel_diario!$L776),1)-1</f>
        <v/>
      </c>
      <c r="D780" s="22">
        <f>(1+D779)*IF(AND(Painel_diario!$H776="ED_JD",Painel_diario!$J776=1),EXP(Painel_diario!$L776),1)-1</f>
        <v/>
      </c>
      <c r="E780" s="22">
        <f>(1+E779)*IF(AND(Painel_diario!$H776="ED_JU",Painel_diario!$J776=1),EXP(Painel_diario!$L776),1)-1</f>
        <v/>
      </c>
    </row>
    <row r="781">
      <c r="A781" s="25" t="n">
        <v>39961</v>
      </c>
      <c r="B781" s="22">
        <f>(1+B780)*IF(AND(Painel_diario!$H777="EU_JD",Painel_diario!$J777=1),EXP(Painel_diario!$L777),1)-1</f>
        <v/>
      </c>
      <c r="C781" s="22">
        <f>(1+C780)*IF(AND(Painel_diario!$H777="EU_JU",Painel_diario!$J777=1),EXP(Painel_diario!$L777),1)-1</f>
        <v/>
      </c>
      <c r="D781" s="22">
        <f>(1+D780)*IF(AND(Painel_diario!$H777="ED_JD",Painel_diario!$J777=1),EXP(Painel_diario!$L777),1)-1</f>
        <v/>
      </c>
      <c r="E781" s="22">
        <f>(1+E780)*IF(AND(Painel_diario!$H777="ED_JU",Painel_diario!$J777=1),EXP(Painel_diario!$L777),1)-1</f>
        <v/>
      </c>
    </row>
    <row r="782">
      <c r="A782" s="25" t="n">
        <v>39962</v>
      </c>
      <c r="B782" s="22">
        <f>(1+B781)*IF(AND(Painel_diario!$H778="EU_JD",Painel_diario!$J778=1),EXP(Painel_diario!$L778),1)-1</f>
        <v/>
      </c>
      <c r="C782" s="22">
        <f>(1+C781)*IF(AND(Painel_diario!$H778="EU_JU",Painel_diario!$J778=1),EXP(Painel_diario!$L778),1)-1</f>
        <v/>
      </c>
      <c r="D782" s="22">
        <f>(1+D781)*IF(AND(Painel_diario!$H778="ED_JD",Painel_diario!$J778=1),EXP(Painel_diario!$L778),1)-1</f>
        <v/>
      </c>
      <c r="E782" s="22">
        <f>(1+E781)*IF(AND(Painel_diario!$H778="ED_JU",Painel_diario!$J778=1),EXP(Painel_diario!$L778),1)-1</f>
        <v/>
      </c>
    </row>
    <row r="783">
      <c r="A783" s="25" t="n">
        <v>39965</v>
      </c>
      <c r="B783" s="22">
        <f>(1+B782)*IF(AND(Painel_diario!$H779="EU_JD",Painel_diario!$J779=1),EXP(Painel_diario!$L779),1)-1</f>
        <v/>
      </c>
      <c r="C783" s="22">
        <f>(1+C782)*IF(AND(Painel_diario!$H779="EU_JU",Painel_diario!$J779=1),EXP(Painel_diario!$L779),1)-1</f>
        <v/>
      </c>
      <c r="D783" s="22">
        <f>(1+D782)*IF(AND(Painel_diario!$H779="ED_JD",Painel_diario!$J779=1),EXP(Painel_diario!$L779),1)-1</f>
        <v/>
      </c>
      <c r="E783" s="22">
        <f>(1+E782)*IF(AND(Painel_diario!$H779="ED_JU",Painel_diario!$J779=1),EXP(Painel_diario!$L779),1)-1</f>
        <v/>
      </c>
    </row>
    <row r="784">
      <c r="A784" s="25" t="n">
        <v>39966</v>
      </c>
      <c r="B784" s="22">
        <f>(1+B783)*IF(AND(Painel_diario!$H780="EU_JD",Painel_diario!$J780=1),EXP(Painel_diario!$L780),1)-1</f>
        <v/>
      </c>
      <c r="C784" s="22">
        <f>(1+C783)*IF(AND(Painel_diario!$H780="EU_JU",Painel_diario!$J780=1),EXP(Painel_diario!$L780),1)-1</f>
        <v/>
      </c>
      <c r="D784" s="22">
        <f>(1+D783)*IF(AND(Painel_diario!$H780="ED_JD",Painel_diario!$J780=1),EXP(Painel_diario!$L780),1)-1</f>
        <v/>
      </c>
      <c r="E784" s="22">
        <f>(1+E783)*IF(AND(Painel_diario!$H780="ED_JU",Painel_diario!$J780=1),EXP(Painel_diario!$L780),1)-1</f>
        <v/>
      </c>
    </row>
    <row r="785">
      <c r="A785" s="25" t="n">
        <v>39967</v>
      </c>
      <c r="B785" s="22">
        <f>(1+B784)*IF(AND(Painel_diario!$H781="EU_JD",Painel_diario!$J781=1),EXP(Painel_diario!$L781),1)-1</f>
        <v/>
      </c>
      <c r="C785" s="22">
        <f>(1+C784)*IF(AND(Painel_diario!$H781="EU_JU",Painel_diario!$J781=1),EXP(Painel_diario!$L781),1)-1</f>
        <v/>
      </c>
      <c r="D785" s="22">
        <f>(1+D784)*IF(AND(Painel_diario!$H781="ED_JD",Painel_diario!$J781=1),EXP(Painel_diario!$L781),1)-1</f>
        <v/>
      </c>
      <c r="E785" s="22">
        <f>(1+E784)*IF(AND(Painel_diario!$H781="ED_JU",Painel_diario!$J781=1),EXP(Painel_diario!$L781),1)-1</f>
        <v/>
      </c>
    </row>
    <row r="786">
      <c r="A786" s="25" t="n">
        <v>39968</v>
      </c>
      <c r="B786" s="22">
        <f>(1+B785)*IF(AND(Painel_diario!$H782="EU_JD",Painel_diario!$J782=1),EXP(Painel_diario!$L782),1)-1</f>
        <v/>
      </c>
      <c r="C786" s="22">
        <f>(1+C785)*IF(AND(Painel_diario!$H782="EU_JU",Painel_diario!$J782=1),EXP(Painel_diario!$L782),1)-1</f>
        <v/>
      </c>
      <c r="D786" s="22">
        <f>(1+D785)*IF(AND(Painel_diario!$H782="ED_JD",Painel_diario!$J782=1),EXP(Painel_diario!$L782),1)-1</f>
        <v/>
      </c>
      <c r="E786" s="22">
        <f>(1+E785)*IF(AND(Painel_diario!$H782="ED_JU",Painel_diario!$J782=1),EXP(Painel_diario!$L782),1)-1</f>
        <v/>
      </c>
    </row>
    <row r="787">
      <c r="A787" s="25" t="n">
        <v>39969</v>
      </c>
      <c r="B787" s="22">
        <f>(1+B786)*IF(AND(Painel_diario!$H783="EU_JD",Painel_diario!$J783=1),EXP(Painel_diario!$L783),1)-1</f>
        <v/>
      </c>
      <c r="C787" s="22">
        <f>(1+C786)*IF(AND(Painel_diario!$H783="EU_JU",Painel_diario!$J783=1),EXP(Painel_diario!$L783),1)-1</f>
        <v/>
      </c>
      <c r="D787" s="22">
        <f>(1+D786)*IF(AND(Painel_diario!$H783="ED_JD",Painel_diario!$J783=1),EXP(Painel_diario!$L783),1)-1</f>
        <v/>
      </c>
      <c r="E787" s="22">
        <f>(1+E786)*IF(AND(Painel_diario!$H783="ED_JU",Painel_diario!$J783=1),EXP(Painel_diario!$L783),1)-1</f>
        <v/>
      </c>
    </row>
    <row r="788">
      <c r="A788" s="25" t="n">
        <v>39972</v>
      </c>
      <c r="B788" s="22">
        <f>(1+B787)*IF(AND(Painel_diario!$H784="EU_JD",Painel_diario!$J784=1),EXP(Painel_diario!$L784),1)-1</f>
        <v/>
      </c>
      <c r="C788" s="22">
        <f>(1+C787)*IF(AND(Painel_diario!$H784="EU_JU",Painel_diario!$J784=1),EXP(Painel_diario!$L784),1)-1</f>
        <v/>
      </c>
      <c r="D788" s="22">
        <f>(1+D787)*IF(AND(Painel_diario!$H784="ED_JD",Painel_diario!$J784=1),EXP(Painel_diario!$L784),1)-1</f>
        <v/>
      </c>
      <c r="E788" s="22">
        <f>(1+E787)*IF(AND(Painel_diario!$H784="ED_JU",Painel_diario!$J784=1),EXP(Painel_diario!$L784),1)-1</f>
        <v/>
      </c>
    </row>
    <row r="789">
      <c r="A789" s="25" t="n">
        <v>39973</v>
      </c>
      <c r="B789" s="22">
        <f>(1+B788)*IF(AND(Painel_diario!$H785="EU_JD",Painel_diario!$J785=1),EXP(Painel_diario!$L785),1)-1</f>
        <v/>
      </c>
      <c r="C789" s="22">
        <f>(1+C788)*IF(AND(Painel_diario!$H785="EU_JU",Painel_diario!$J785=1),EXP(Painel_diario!$L785),1)-1</f>
        <v/>
      </c>
      <c r="D789" s="22">
        <f>(1+D788)*IF(AND(Painel_diario!$H785="ED_JD",Painel_diario!$J785=1),EXP(Painel_diario!$L785),1)-1</f>
        <v/>
      </c>
      <c r="E789" s="22">
        <f>(1+E788)*IF(AND(Painel_diario!$H785="ED_JU",Painel_diario!$J785=1),EXP(Painel_diario!$L785),1)-1</f>
        <v/>
      </c>
    </row>
    <row r="790">
      <c r="A790" s="25" t="n">
        <v>39974</v>
      </c>
      <c r="B790" s="22">
        <f>(1+B789)*IF(AND(Painel_diario!$H786="EU_JD",Painel_diario!$J786=1),EXP(Painel_diario!$L786),1)-1</f>
        <v/>
      </c>
      <c r="C790" s="22">
        <f>(1+C789)*IF(AND(Painel_diario!$H786="EU_JU",Painel_diario!$J786=1),EXP(Painel_diario!$L786),1)-1</f>
        <v/>
      </c>
      <c r="D790" s="22">
        <f>(1+D789)*IF(AND(Painel_diario!$H786="ED_JD",Painel_diario!$J786=1),EXP(Painel_diario!$L786),1)-1</f>
        <v/>
      </c>
      <c r="E790" s="22">
        <f>(1+E789)*IF(AND(Painel_diario!$H786="ED_JU",Painel_diario!$J786=1),EXP(Painel_diario!$L786),1)-1</f>
        <v/>
      </c>
    </row>
    <row r="791">
      <c r="A791" s="25" t="n">
        <v>39976</v>
      </c>
      <c r="B791" s="22">
        <f>(1+B790)*IF(AND(Painel_diario!$H787="EU_JD",Painel_diario!$J787=1),EXP(Painel_diario!$L787),1)-1</f>
        <v/>
      </c>
      <c r="C791" s="22">
        <f>(1+C790)*IF(AND(Painel_diario!$H787="EU_JU",Painel_diario!$J787=1),EXP(Painel_diario!$L787),1)-1</f>
        <v/>
      </c>
      <c r="D791" s="22">
        <f>(1+D790)*IF(AND(Painel_diario!$H787="ED_JD",Painel_diario!$J787=1),EXP(Painel_diario!$L787),1)-1</f>
        <v/>
      </c>
      <c r="E791" s="22">
        <f>(1+E790)*IF(AND(Painel_diario!$H787="ED_JU",Painel_diario!$J787=1),EXP(Painel_diario!$L787),1)-1</f>
        <v/>
      </c>
    </row>
    <row r="792">
      <c r="A792" s="25" t="n">
        <v>39979</v>
      </c>
      <c r="B792" s="22">
        <f>(1+B791)*IF(AND(Painel_diario!$H788="EU_JD",Painel_diario!$J788=1),EXP(Painel_diario!$L788),1)-1</f>
        <v/>
      </c>
      <c r="C792" s="22">
        <f>(1+C791)*IF(AND(Painel_diario!$H788="EU_JU",Painel_diario!$J788=1),EXP(Painel_diario!$L788),1)-1</f>
        <v/>
      </c>
      <c r="D792" s="22">
        <f>(1+D791)*IF(AND(Painel_diario!$H788="ED_JD",Painel_diario!$J788=1),EXP(Painel_diario!$L788),1)-1</f>
        <v/>
      </c>
      <c r="E792" s="22">
        <f>(1+E791)*IF(AND(Painel_diario!$H788="ED_JU",Painel_diario!$J788=1),EXP(Painel_diario!$L788),1)-1</f>
        <v/>
      </c>
    </row>
    <row r="793">
      <c r="A793" s="25" t="n">
        <v>39980</v>
      </c>
      <c r="B793" s="22">
        <f>(1+B792)*IF(AND(Painel_diario!$H789="EU_JD",Painel_diario!$J789=1),EXP(Painel_diario!$L789),1)-1</f>
        <v/>
      </c>
      <c r="C793" s="22">
        <f>(1+C792)*IF(AND(Painel_diario!$H789="EU_JU",Painel_diario!$J789=1),EXP(Painel_diario!$L789),1)-1</f>
        <v/>
      </c>
      <c r="D793" s="22">
        <f>(1+D792)*IF(AND(Painel_diario!$H789="ED_JD",Painel_diario!$J789=1),EXP(Painel_diario!$L789),1)-1</f>
        <v/>
      </c>
      <c r="E793" s="22">
        <f>(1+E792)*IF(AND(Painel_diario!$H789="ED_JU",Painel_diario!$J789=1),EXP(Painel_diario!$L789),1)-1</f>
        <v/>
      </c>
    </row>
    <row r="794">
      <c r="A794" s="25" t="n">
        <v>39981</v>
      </c>
      <c r="B794" s="22">
        <f>(1+B793)*IF(AND(Painel_diario!$H790="EU_JD",Painel_diario!$J790=1),EXP(Painel_diario!$L790),1)-1</f>
        <v/>
      </c>
      <c r="C794" s="22">
        <f>(1+C793)*IF(AND(Painel_diario!$H790="EU_JU",Painel_diario!$J790=1),EXP(Painel_diario!$L790),1)-1</f>
        <v/>
      </c>
      <c r="D794" s="22">
        <f>(1+D793)*IF(AND(Painel_diario!$H790="ED_JD",Painel_diario!$J790=1),EXP(Painel_diario!$L790),1)-1</f>
        <v/>
      </c>
      <c r="E794" s="22">
        <f>(1+E793)*IF(AND(Painel_diario!$H790="ED_JU",Painel_diario!$J790=1),EXP(Painel_diario!$L790),1)-1</f>
        <v/>
      </c>
    </row>
    <row r="795">
      <c r="A795" s="25" t="n">
        <v>39982</v>
      </c>
      <c r="B795" s="22">
        <f>(1+B794)*IF(AND(Painel_diario!$H791="EU_JD",Painel_diario!$J791=1),EXP(Painel_diario!$L791),1)-1</f>
        <v/>
      </c>
      <c r="C795" s="22">
        <f>(1+C794)*IF(AND(Painel_diario!$H791="EU_JU",Painel_diario!$J791=1),EXP(Painel_diario!$L791),1)-1</f>
        <v/>
      </c>
      <c r="D795" s="22">
        <f>(1+D794)*IF(AND(Painel_diario!$H791="ED_JD",Painel_diario!$J791=1),EXP(Painel_diario!$L791),1)-1</f>
        <v/>
      </c>
      <c r="E795" s="22">
        <f>(1+E794)*IF(AND(Painel_diario!$H791="ED_JU",Painel_diario!$J791=1),EXP(Painel_diario!$L791),1)-1</f>
        <v/>
      </c>
    </row>
    <row r="796">
      <c r="A796" s="25" t="n">
        <v>39983</v>
      </c>
      <c r="B796" s="22">
        <f>(1+B795)*IF(AND(Painel_diario!$H792="EU_JD",Painel_diario!$J792=1),EXP(Painel_diario!$L792),1)-1</f>
        <v/>
      </c>
      <c r="C796" s="22">
        <f>(1+C795)*IF(AND(Painel_diario!$H792="EU_JU",Painel_diario!$J792=1),EXP(Painel_diario!$L792),1)-1</f>
        <v/>
      </c>
      <c r="D796" s="22">
        <f>(1+D795)*IF(AND(Painel_diario!$H792="ED_JD",Painel_diario!$J792=1),EXP(Painel_diario!$L792),1)-1</f>
        <v/>
      </c>
      <c r="E796" s="22">
        <f>(1+E795)*IF(AND(Painel_diario!$H792="ED_JU",Painel_diario!$J792=1),EXP(Painel_diario!$L792),1)-1</f>
        <v/>
      </c>
    </row>
    <row r="797">
      <c r="A797" s="25" t="n">
        <v>39986</v>
      </c>
      <c r="B797" s="22">
        <f>(1+B796)*IF(AND(Painel_diario!$H793="EU_JD",Painel_diario!$J793=1),EXP(Painel_diario!$L793),1)-1</f>
        <v/>
      </c>
      <c r="C797" s="22">
        <f>(1+C796)*IF(AND(Painel_diario!$H793="EU_JU",Painel_diario!$J793=1),EXP(Painel_diario!$L793),1)-1</f>
        <v/>
      </c>
      <c r="D797" s="22">
        <f>(1+D796)*IF(AND(Painel_diario!$H793="ED_JD",Painel_diario!$J793=1),EXP(Painel_diario!$L793),1)-1</f>
        <v/>
      </c>
      <c r="E797" s="22">
        <f>(1+E796)*IF(AND(Painel_diario!$H793="ED_JU",Painel_diario!$J793=1),EXP(Painel_diario!$L793),1)-1</f>
        <v/>
      </c>
    </row>
    <row r="798">
      <c r="A798" s="25" t="n">
        <v>39987</v>
      </c>
      <c r="B798" s="22">
        <f>(1+B797)*IF(AND(Painel_diario!$H794="EU_JD",Painel_diario!$J794=1),EXP(Painel_diario!$L794),1)-1</f>
        <v/>
      </c>
      <c r="C798" s="22">
        <f>(1+C797)*IF(AND(Painel_diario!$H794="EU_JU",Painel_diario!$J794=1),EXP(Painel_diario!$L794),1)-1</f>
        <v/>
      </c>
      <c r="D798" s="22">
        <f>(1+D797)*IF(AND(Painel_diario!$H794="ED_JD",Painel_diario!$J794=1),EXP(Painel_diario!$L794),1)-1</f>
        <v/>
      </c>
      <c r="E798" s="22">
        <f>(1+E797)*IF(AND(Painel_diario!$H794="ED_JU",Painel_diario!$J794=1),EXP(Painel_diario!$L794),1)-1</f>
        <v/>
      </c>
    </row>
    <row r="799">
      <c r="A799" s="25" t="n">
        <v>39988</v>
      </c>
      <c r="B799" s="22">
        <f>(1+B798)*IF(AND(Painel_diario!$H795="EU_JD",Painel_diario!$J795=1),EXP(Painel_diario!$L795),1)-1</f>
        <v/>
      </c>
      <c r="C799" s="22">
        <f>(1+C798)*IF(AND(Painel_diario!$H795="EU_JU",Painel_diario!$J795=1),EXP(Painel_diario!$L795),1)-1</f>
        <v/>
      </c>
      <c r="D799" s="22">
        <f>(1+D798)*IF(AND(Painel_diario!$H795="ED_JD",Painel_diario!$J795=1),EXP(Painel_diario!$L795),1)-1</f>
        <v/>
      </c>
      <c r="E799" s="22">
        <f>(1+E798)*IF(AND(Painel_diario!$H795="ED_JU",Painel_diario!$J795=1),EXP(Painel_diario!$L795),1)-1</f>
        <v/>
      </c>
    </row>
    <row r="800">
      <c r="A800" s="25" t="n">
        <v>39989</v>
      </c>
      <c r="B800" s="22">
        <f>(1+B799)*IF(AND(Painel_diario!$H796="EU_JD",Painel_diario!$J796=1),EXP(Painel_diario!$L796),1)-1</f>
        <v/>
      </c>
      <c r="C800" s="22">
        <f>(1+C799)*IF(AND(Painel_diario!$H796="EU_JU",Painel_diario!$J796=1),EXP(Painel_diario!$L796),1)-1</f>
        <v/>
      </c>
      <c r="D800" s="22">
        <f>(1+D799)*IF(AND(Painel_diario!$H796="ED_JD",Painel_diario!$J796=1),EXP(Painel_diario!$L796),1)-1</f>
        <v/>
      </c>
      <c r="E800" s="22">
        <f>(1+E799)*IF(AND(Painel_diario!$H796="ED_JU",Painel_diario!$J796=1),EXP(Painel_diario!$L796),1)-1</f>
        <v/>
      </c>
    </row>
    <row r="801">
      <c r="A801" s="25" t="n">
        <v>39990</v>
      </c>
      <c r="B801" s="22">
        <f>(1+B800)*IF(AND(Painel_diario!$H797="EU_JD",Painel_diario!$J797=1),EXP(Painel_diario!$L797),1)-1</f>
        <v/>
      </c>
      <c r="C801" s="22">
        <f>(1+C800)*IF(AND(Painel_diario!$H797="EU_JU",Painel_diario!$J797=1),EXP(Painel_diario!$L797),1)-1</f>
        <v/>
      </c>
      <c r="D801" s="22">
        <f>(1+D800)*IF(AND(Painel_diario!$H797="ED_JD",Painel_diario!$J797=1),EXP(Painel_diario!$L797),1)-1</f>
        <v/>
      </c>
      <c r="E801" s="22">
        <f>(1+E800)*IF(AND(Painel_diario!$H797="ED_JU",Painel_diario!$J797=1),EXP(Painel_diario!$L797),1)-1</f>
        <v/>
      </c>
    </row>
    <row r="802">
      <c r="A802" s="25" t="n">
        <v>39993</v>
      </c>
      <c r="B802" s="22">
        <f>(1+B801)*IF(AND(Painel_diario!$H798="EU_JD",Painel_diario!$J798=1),EXP(Painel_diario!$L798),1)-1</f>
        <v/>
      </c>
      <c r="C802" s="22">
        <f>(1+C801)*IF(AND(Painel_diario!$H798="EU_JU",Painel_diario!$J798=1),EXP(Painel_diario!$L798),1)-1</f>
        <v/>
      </c>
      <c r="D802" s="22">
        <f>(1+D801)*IF(AND(Painel_diario!$H798="ED_JD",Painel_diario!$J798=1),EXP(Painel_diario!$L798),1)-1</f>
        <v/>
      </c>
      <c r="E802" s="22">
        <f>(1+E801)*IF(AND(Painel_diario!$H798="ED_JU",Painel_diario!$J798=1),EXP(Painel_diario!$L798),1)-1</f>
        <v/>
      </c>
    </row>
    <row r="803">
      <c r="A803" s="25" t="n">
        <v>39994</v>
      </c>
      <c r="B803" s="22">
        <f>(1+B802)*IF(AND(Painel_diario!$H799="EU_JD",Painel_diario!$J799=1),EXP(Painel_diario!$L799),1)-1</f>
        <v/>
      </c>
      <c r="C803" s="22">
        <f>(1+C802)*IF(AND(Painel_diario!$H799="EU_JU",Painel_diario!$J799=1),EXP(Painel_diario!$L799),1)-1</f>
        <v/>
      </c>
      <c r="D803" s="22">
        <f>(1+D802)*IF(AND(Painel_diario!$H799="ED_JD",Painel_diario!$J799=1),EXP(Painel_diario!$L799),1)-1</f>
        <v/>
      </c>
      <c r="E803" s="22">
        <f>(1+E802)*IF(AND(Painel_diario!$H799="ED_JU",Painel_diario!$J799=1),EXP(Painel_diario!$L799),1)-1</f>
        <v/>
      </c>
    </row>
    <row r="804">
      <c r="A804" s="25" t="n">
        <v>39995</v>
      </c>
      <c r="B804" s="22">
        <f>(1+B803)*IF(AND(Painel_diario!$H800="EU_JD",Painel_diario!$J800=1),EXP(Painel_diario!$L800),1)-1</f>
        <v/>
      </c>
      <c r="C804" s="22">
        <f>(1+C803)*IF(AND(Painel_diario!$H800="EU_JU",Painel_diario!$J800=1),EXP(Painel_diario!$L800),1)-1</f>
        <v/>
      </c>
      <c r="D804" s="22">
        <f>(1+D803)*IF(AND(Painel_diario!$H800="ED_JD",Painel_diario!$J800=1),EXP(Painel_diario!$L800),1)-1</f>
        <v/>
      </c>
      <c r="E804" s="22">
        <f>(1+E803)*IF(AND(Painel_diario!$H800="ED_JU",Painel_diario!$J800=1),EXP(Painel_diario!$L800),1)-1</f>
        <v/>
      </c>
    </row>
    <row r="805">
      <c r="A805" s="25" t="n">
        <v>39996</v>
      </c>
      <c r="B805" s="22">
        <f>(1+B804)*IF(AND(Painel_diario!$H801="EU_JD",Painel_diario!$J801=1),EXP(Painel_diario!$L801),1)-1</f>
        <v/>
      </c>
      <c r="C805" s="22">
        <f>(1+C804)*IF(AND(Painel_diario!$H801="EU_JU",Painel_diario!$J801=1),EXP(Painel_diario!$L801),1)-1</f>
        <v/>
      </c>
      <c r="D805" s="22">
        <f>(1+D804)*IF(AND(Painel_diario!$H801="ED_JD",Painel_diario!$J801=1),EXP(Painel_diario!$L801),1)-1</f>
        <v/>
      </c>
      <c r="E805" s="22">
        <f>(1+E804)*IF(AND(Painel_diario!$H801="ED_JU",Painel_diario!$J801=1),EXP(Painel_diario!$L801),1)-1</f>
        <v/>
      </c>
    </row>
    <row r="806">
      <c r="A806" s="25" t="n">
        <v>39997</v>
      </c>
      <c r="B806" s="22">
        <f>(1+B805)*IF(AND(Painel_diario!$H802="EU_JD",Painel_diario!$J802=1),EXP(Painel_diario!$L802),1)-1</f>
        <v/>
      </c>
      <c r="C806" s="22">
        <f>(1+C805)*IF(AND(Painel_diario!$H802="EU_JU",Painel_diario!$J802=1),EXP(Painel_diario!$L802),1)-1</f>
        <v/>
      </c>
      <c r="D806" s="22">
        <f>(1+D805)*IF(AND(Painel_diario!$H802="ED_JD",Painel_diario!$J802=1),EXP(Painel_diario!$L802),1)-1</f>
        <v/>
      </c>
      <c r="E806" s="22">
        <f>(1+E805)*IF(AND(Painel_diario!$H802="ED_JU",Painel_diario!$J802=1),EXP(Painel_diario!$L802),1)-1</f>
        <v/>
      </c>
    </row>
    <row r="807">
      <c r="A807" s="25" t="n">
        <v>40000</v>
      </c>
      <c r="B807" s="22">
        <f>(1+B806)*IF(AND(Painel_diario!$H803="EU_JD",Painel_diario!$J803=1),EXP(Painel_diario!$L803),1)-1</f>
        <v/>
      </c>
      <c r="C807" s="22">
        <f>(1+C806)*IF(AND(Painel_diario!$H803="EU_JU",Painel_diario!$J803=1),EXP(Painel_diario!$L803),1)-1</f>
        <v/>
      </c>
      <c r="D807" s="22">
        <f>(1+D806)*IF(AND(Painel_diario!$H803="ED_JD",Painel_diario!$J803=1),EXP(Painel_diario!$L803),1)-1</f>
        <v/>
      </c>
      <c r="E807" s="22">
        <f>(1+E806)*IF(AND(Painel_diario!$H803="ED_JU",Painel_diario!$J803=1),EXP(Painel_diario!$L803),1)-1</f>
        <v/>
      </c>
    </row>
    <row r="808">
      <c r="A808" s="25" t="n">
        <v>40001</v>
      </c>
      <c r="B808" s="22">
        <f>(1+B807)*IF(AND(Painel_diario!$H804="EU_JD",Painel_diario!$J804=1),EXP(Painel_diario!$L804),1)-1</f>
        <v/>
      </c>
      <c r="C808" s="22">
        <f>(1+C807)*IF(AND(Painel_diario!$H804="EU_JU",Painel_diario!$J804=1),EXP(Painel_diario!$L804),1)-1</f>
        <v/>
      </c>
      <c r="D808" s="22">
        <f>(1+D807)*IF(AND(Painel_diario!$H804="ED_JD",Painel_diario!$J804=1),EXP(Painel_diario!$L804),1)-1</f>
        <v/>
      </c>
      <c r="E808" s="22">
        <f>(1+E807)*IF(AND(Painel_diario!$H804="ED_JU",Painel_diario!$J804=1),EXP(Painel_diario!$L804),1)-1</f>
        <v/>
      </c>
    </row>
    <row r="809">
      <c r="A809" s="25" t="n">
        <v>40002</v>
      </c>
      <c r="B809" s="22">
        <f>(1+B808)*IF(AND(Painel_diario!$H805="EU_JD",Painel_diario!$J805=1),EXP(Painel_diario!$L805),1)-1</f>
        <v/>
      </c>
      <c r="C809" s="22">
        <f>(1+C808)*IF(AND(Painel_diario!$H805="EU_JU",Painel_diario!$J805=1),EXP(Painel_diario!$L805),1)-1</f>
        <v/>
      </c>
      <c r="D809" s="22">
        <f>(1+D808)*IF(AND(Painel_diario!$H805="ED_JD",Painel_diario!$J805=1),EXP(Painel_diario!$L805),1)-1</f>
        <v/>
      </c>
      <c r="E809" s="22">
        <f>(1+E808)*IF(AND(Painel_diario!$H805="ED_JU",Painel_diario!$J805=1),EXP(Painel_diario!$L805),1)-1</f>
        <v/>
      </c>
    </row>
    <row r="810">
      <c r="A810" s="25" t="n">
        <v>40004</v>
      </c>
      <c r="B810" s="22">
        <f>(1+B809)*IF(AND(Painel_diario!$H806="EU_JD",Painel_diario!$J806=1),EXP(Painel_diario!$L806),1)-1</f>
        <v/>
      </c>
      <c r="C810" s="22">
        <f>(1+C809)*IF(AND(Painel_diario!$H806="EU_JU",Painel_diario!$J806=1),EXP(Painel_diario!$L806),1)-1</f>
        <v/>
      </c>
      <c r="D810" s="22">
        <f>(1+D809)*IF(AND(Painel_diario!$H806="ED_JD",Painel_diario!$J806=1),EXP(Painel_diario!$L806),1)-1</f>
        <v/>
      </c>
      <c r="E810" s="22">
        <f>(1+E809)*IF(AND(Painel_diario!$H806="ED_JU",Painel_diario!$J806=1),EXP(Painel_diario!$L806),1)-1</f>
        <v/>
      </c>
    </row>
    <row r="811">
      <c r="A811" s="25" t="n">
        <v>40007</v>
      </c>
      <c r="B811" s="22">
        <f>(1+B810)*IF(AND(Painel_diario!$H807="EU_JD",Painel_diario!$J807=1),EXP(Painel_diario!$L807),1)-1</f>
        <v/>
      </c>
      <c r="C811" s="22">
        <f>(1+C810)*IF(AND(Painel_diario!$H807="EU_JU",Painel_diario!$J807=1),EXP(Painel_diario!$L807),1)-1</f>
        <v/>
      </c>
      <c r="D811" s="22">
        <f>(1+D810)*IF(AND(Painel_diario!$H807="ED_JD",Painel_diario!$J807=1),EXP(Painel_diario!$L807),1)-1</f>
        <v/>
      </c>
      <c r="E811" s="22">
        <f>(1+E810)*IF(AND(Painel_diario!$H807="ED_JU",Painel_diario!$J807=1),EXP(Painel_diario!$L807),1)-1</f>
        <v/>
      </c>
    </row>
    <row r="812">
      <c r="A812" s="25" t="n">
        <v>40008</v>
      </c>
      <c r="B812" s="22">
        <f>(1+B811)*IF(AND(Painel_diario!$H808="EU_JD",Painel_diario!$J808=1),EXP(Painel_diario!$L808),1)-1</f>
        <v/>
      </c>
      <c r="C812" s="22">
        <f>(1+C811)*IF(AND(Painel_diario!$H808="EU_JU",Painel_diario!$J808=1),EXP(Painel_diario!$L808),1)-1</f>
        <v/>
      </c>
      <c r="D812" s="22">
        <f>(1+D811)*IF(AND(Painel_diario!$H808="ED_JD",Painel_diario!$J808=1),EXP(Painel_diario!$L808),1)-1</f>
        <v/>
      </c>
      <c r="E812" s="22">
        <f>(1+E811)*IF(AND(Painel_diario!$H808="ED_JU",Painel_diario!$J808=1),EXP(Painel_diario!$L808),1)-1</f>
        <v/>
      </c>
    </row>
    <row r="813">
      <c r="A813" s="25" t="n">
        <v>40009</v>
      </c>
      <c r="B813" s="22">
        <f>(1+B812)*IF(AND(Painel_diario!$H809="EU_JD",Painel_diario!$J809=1),EXP(Painel_diario!$L809),1)-1</f>
        <v/>
      </c>
      <c r="C813" s="22">
        <f>(1+C812)*IF(AND(Painel_diario!$H809="EU_JU",Painel_diario!$J809=1),EXP(Painel_diario!$L809),1)-1</f>
        <v/>
      </c>
      <c r="D813" s="22">
        <f>(1+D812)*IF(AND(Painel_diario!$H809="ED_JD",Painel_diario!$J809=1),EXP(Painel_diario!$L809),1)-1</f>
        <v/>
      </c>
      <c r="E813" s="22">
        <f>(1+E812)*IF(AND(Painel_diario!$H809="ED_JU",Painel_diario!$J809=1),EXP(Painel_diario!$L809),1)-1</f>
        <v/>
      </c>
    </row>
    <row r="814">
      <c r="A814" s="25" t="n">
        <v>40010</v>
      </c>
      <c r="B814" s="22">
        <f>(1+B813)*IF(AND(Painel_diario!$H810="EU_JD",Painel_diario!$J810=1),EXP(Painel_diario!$L810),1)-1</f>
        <v/>
      </c>
      <c r="C814" s="22">
        <f>(1+C813)*IF(AND(Painel_diario!$H810="EU_JU",Painel_diario!$J810=1),EXP(Painel_diario!$L810),1)-1</f>
        <v/>
      </c>
      <c r="D814" s="22">
        <f>(1+D813)*IF(AND(Painel_diario!$H810="ED_JD",Painel_diario!$J810=1),EXP(Painel_diario!$L810),1)-1</f>
        <v/>
      </c>
      <c r="E814" s="22">
        <f>(1+E813)*IF(AND(Painel_diario!$H810="ED_JU",Painel_diario!$J810=1),EXP(Painel_diario!$L810),1)-1</f>
        <v/>
      </c>
    </row>
    <row r="815">
      <c r="A815" s="25" t="n">
        <v>40011</v>
      </c>
      <c r="B815" s="22">
        <f>(1+B814)*IF(AND(Painel_diario!$H811="EU_JD",Painel_diario!$J811=1),EXP(Painel_diario!$L811),1)-1</f>
        <v/>
      </c>
      <c r="C815" s="22">
        <f>(1+C814)*IF(AND(Painel_diario!$H811="EU_JU",Painel_diario!$J811=1),EXP(Painel_diario!$L811),1)-1</f>
        <v/>
      </c>
      <c r="D815" s="22">
        <f>(1+D814)*IF(AND(Painel_diario!$H811="ED_JD",Painel_diario!$J811=1),EXP(Painel_diario!$L811),1)-1</f>
        <v/>
      </c>
      <c r="E815" s="22">
        <f>(1+E814)*IF(AND(Painel_diario!$H811="ED_JU",Painel_diario!$J811=1),EXP(Painel_diario!$L811),1)-1</f>
        <v/>
      </c>
    </row>
    <row r="816">
      <c r="A816" s="25" t="n">
        <v>40014</v>
      </c>
      <c r="B816" s="22">
        <f>(1+B815)*IF(AND(Painel_diario!$H812="EU_JD",Painel_diario!$J812=1),EXP(Painel_diario!$L812),1)-1</f>
        <v/>
      </c>
      <c r="C816" s="22">
        <f>(1+C815)*IF(AND(Painel_diario!$H812="EU_JU",Painel_diario!$J812=1),EXP(Painel_diario!$L812),1)-1</f>
        <v/>
      </c>
      <c r="D816" s="22">
        <f>(1+D815)*IF(AND(Painel_diario!$H812="ED_JD",Painel_diario!$J812=1),EXP(Painel_diario!$L812),1)-1</f>
        <v/>
      </c>
      <c r="E816" s="22">
        <f>(1+E815)*IF(AND(Painel_diario!$H812="ED_JU",Painel_diario!$J812=1),EXP(Painel_diario!$L812),1)-1</f>
        <v/>
      </c>
    </row>
    <row r="817">
      <c r="A817" s="25" t="n">
        <v>40015</v>
      </c>
      <c r="B817" s="22">
        <f>(1+B816)*IF(AND(Painel_diario!$H813="EU_JD",Painel_diario!$J813=1),EXP(Painel_diario!$L813),1)-1</f>
        <v/>
      </c>
      <c r="C817" s="22">
        <f>(1+C816)*IF(AND(Painel_diario!$H813="EU_JU",Painel_diario!$J813=1),EXP(Painel_diario!$L813),1)-1</f>
        <v/>
      </c>
      <c r="D817" s="22">
        <f>(1+D816)*IF(AND(Painel_diario!$H813="ED_JD",Painel_diario!$J813=1),EXP(Painel_diario!$L813),1)-1</f>
        <v/>
      </c>
      <c r="E817" s="22">
        <f>(1+E816)*IF(AND(Painel_diario!$H813="ED_JU",Painel_diario!$J813=1),EXP(Painel_diario!$L813),1)-1</f>
        <v/>
      </c>
    </row>
    <row r="818">
      <c r="A818" s="25" t="n">
        <v>40016</v>
      </c>
      <c r="B818" s="22">
        <f>(1+B817)*IF(AND(Painel_diario!$H814="EU_JD",Painel_diario!$J814=1),EXP(Painel_diario!$L814),1)-1</f>
        <v/>
      </c>
      <c r="C818" s="22">
        <f>(1+C817)*IF(AND(Painel_diario!$H814="EU_JU",Painel_diario!$J814=1),EXP(Painel_diario!$L814),1)-1</f>
        <v/>
      </c>
      <c r="D818" s="22">
        <f>(1+D817)*IF(AND(Painel_diario!$H814="ED_JD",Painel_diario!$J814=1),EXP(Painel_diario!$L814),1)-1</f>
        <v/>
      </c>
      <c r="E818" s="22">
        <f>(1+E817)*IF(AND(Painel_diario!$H814="ED_JU",Painel_diario!$J814=1),EXP(Painel_diario!$L814),1)-1</f>
        <v/>
      </c>
    </row>
    <row r="819">
      <c r="A819" s="25" t="n">
        <v>40017</v>
      </c>
      <c r="B819" s="22">
        <f>(1+B818)*IF(AND(Painel_diario!$H815="EU_JD",Painel_diario!$J815=1),EXP(Painel_diario!$L815),1)-1</f>
        <v/>
      </c>
      <c r="C819" s="22">
        <f>(1+C818)*IF(AND(Painel_diario!$H815="EU_JU",Painel_diario!$J815=1),EXP(Painel_diario!$L815),1)-1</f>
        <v/>
      </c>
      <c r="D819" s="22">
        <f>(1+D818)*IF(AND(Painel_diario!$H815="ED_JD",Painel_diario!$J815=1),EXP(Painel_diario!$L815),1)-1</f>
        <v/>
      </c>
      <c r="E819" s="22">
        <f>(1+E818)*IF(AND(Painel_diario!$H815="ED_JU",Painel_diario!$J815=1),EXP(Painel_diario!$L815),1)-1</f>
        <v/>
      </c>
    </row>
    <row r="820">
      <c r="A820" s="25" t="n">
        <v>40018</v>
      </c>
      <c r="B820" s="22">
        <f>(1+B819)*IF(AND(Painel_diario!$H816="EU_JD",Painel_diario!$J816=1),EXP(Painel_diario!$L816),1)-1</f>
        <v/>
      </c>
      <c r="C820" s="22">
        <f>(1+C819)*IF(AND(Painel_diario!$H816="EU_JU",Painel_diario!$J816=1),EXP(Painel_diario!$L816),1)-1</f>
        <v/>
      </c>
      <c r="D820" s="22">
        <f>(1+D819)*IF(AND(Painel_diario!$H816="ED_JD",Painel_diario!$J816=1),EXP(Painel_diario!$L816),1)-1</f>
        <v/>
      </c>
      <c r="E820" s="22">
        <f>(1+E819)*IF(AND(Painel_diario!$H816="ED_JU",Painel_diario!$J816=1),EXP(Painel_diario!$L816),1)-1</f>
        <v/>
      </c>
    </row>
    <row r="821">
      <c r="A821" s="25" t="n">
        <v>40021</v>
      </c>
      <c r="B821" s="22">
        <f>(1+B820)*IF(AND(Painel_diario!$H817="EU_JD",Painel_diario!$J817=1),EXP(Painel_diario!$L817),1)-1</f>
        <v/>
      </c>
      <c r="C821" s="22">
        <f>(1+C820)*IF(AND(Painel_diario!$H817="EU_JU",Painel_diario!$J817=1),EXP(Painel_diario!$L817),1)-1</f>
        <v/>
      </c>
      <c r="D821" s="22">
        <f>(1+D820)*IF(AND(Painel_diario!$H817="ED_JD",Painel_diario!$J817=1),EXP(Painel_diario!$L817),1)-1</f>
        <v/>
      </c>
      <c r="E821" s="22">
        <f>(1+E820)*IF(AND(Painel_diario!$H817="ED_JU",Painel_diario!$J817=1),EXP(Painel_diario!$L817),1)-1</f>
        <v/>
      </c>
    </row>
    <row r="822">
      <c r="A822" s="25" t="n">
        <v>40022</v>
      </c>
      <c r="B822" s="22">
        <f>(1+B821)*IF(AND(Painel_diario!$H818="EU_JD",Painel_diario!$J818=1),EXP(Painel_diario!$L818),1)-1</f>
        <v/>
      </c>
      <c r="C822" s="22">
        <f>(1+C821)*IF(AND(Painel_diario!$H818="EU_JU",Painel_diario!$J818=1),EXP(Painel_diario!$L818),1)-1</f>
        <v/>
      </c>
      <c r="D822" s="22">
        <f>(1+D821)*IF(AND(Painel_diario!$H818="ED_JD",Painel_diario!$J818=1),EXP(Painel_diario!$L818),1)-1</f>
        <v/>
      </c>
      <c r="E822" s="22">
        <f>(1+E821)*IF(AND(Painel_diario!$H818="ED_JU",Painel_diario!$J818=1),EXP(Painel_diario!$L818),1)-1</f>
        <v/>
      </c>
    </row>
    <row r="823">
      <c r="A823" s="25" t="n">
        <v>40023</v>
      </c>
      <c r="B823" s="22">
        <f>(1+B822)*IF(AND(Painel_diario!$H819="EU_JD",Painel_diario!$J819=1),EXP(Painel_diario!$L819),1)-1</f>
        <v/>
      </c>
      <c r="C823" s="22">
        <f>(1+C822)*IF(AND(Painel_diario!$H819="EU_JU",Painel_diario!$J819=1),EXP(Painel_diario!$L819),1)-1</f>
        <v/>
      </c>
      <c r="D823" s="22">
        <f>(1+D822)*IF(AND(Painel_diario!$H819="ED_JD",Painel_diario!$J819=1),EXP(Painel_diario!$L819),1)-1</f>
        <v/>
      </c>
      <c r="E823" s="22">
        <f>(1+E822)*IF(AND(Painel_diario!$H819="ED_JU",Painel_diario!$J819=1),EXP(Painel_diario!$L819),1)-1</f>
        <v/>
      </c>
    </row>
    <row r="824">
      <c r="A824" s="25" t="n">
        <v>40024</v>
      </c>
      <c r="B824" s="22">
        <f>(1+B823)*IF(AND(Painel_diario!$H820="EU_JD",Painel_diario!$J820=1),EXP(Painel_diario!$L820),1)-1</f>
        <v/>
      </c>
      <c r="C824" s="22">
        <f>(1+C823)*IF(AND(Painel_diario!$H820="EU_JU",Painel_diario!$J820=1),EXP(Painel_diario!$L820),1)-1</f>
        <v/>
      </c>
      <c r="D824" s="22">
        <f>(1+D823)*IF(AND(Painel_diario!$H820="ED_JD",Painel_diario!$J820=1),EXP(Painel_diario!$L820),1)-1</f>
        <v/>
      </c>
      <c r="E824" s="22">
        <f>(1+E823)*IF(AND(Painel_diario!$H820="ED_JU",Painel_diario!$J820=1),EXP(Painel_diario!$L820),1)-1</f>
        <v/>
      </c>
    </row>
    <row r="825">
      <c r="A825" s="25" t="n">
        <v>40025</v>
      </c>
      <c r="B825" s="22">
        <f>(1+B824)*IF(AND(Painel_diario!$H821="EU_JD",Painel_diario!$J821=1),EXP(Painel_diario!$L821),1)-1</f>
        <v/>
      </c>
      <c r="C825" s="22">
        <f>(1+C824)*IF(AND(Painel_diario!$H821="EU_JU",Painel_diario!$J821=1),EXP(Painel_diario!$L821),1)-1</f>
        <v/>
      </c>
      <c r="D825" s="22">
        <f>(1+D824)*IF(AND(Painel_diario!$H821="ED_JD",Painel_diario!$J821=1),EXP(Painel_diario!$L821),1)-1</f>
        <v/>
      </c>
      <c r="E825" s="22">
        <f>(1+E824)*IF(AND(Painel_diario!$H821="ED_JU",Painel_diario!$J821=1),EXP(Painel_diario!$L821),1)-1</f>
        <v/>
      </c>
    </row>
    <row r="826">
      <c r="A826" s="25" t="n">
        <v>40028</v>
      </c>
      <c r="B826" s="22">
        <f>(1+B825)*IF(AND(Painel_diario!$H822="EU_JD",Painel_diario!$J822=1),EXP(Painel_diario!$L822),1)-1</f>
        <v/>
      </c>
      <c r="C826" s="22">
        <f>(1+C825)*IF(AND(Painel_diario!$H822="EU_JU",Painel_diario!$J822=1),EXP(Painel_diario!$L822),1)-1</f>
        <v/>
      </c>
      <c r="D826" s="22">
        <f>(1+D825)*IF(AND(Painel_diario!$H822="ED_JD",Painel_diario!$J822=1),EXP(Painel_diario!$L822),1)-1</f>
        <v/>
      </c>
      <c r="E826" s="22">
        <f>(1+E825)*IF(AND(Painel_diario!$H822="ED_JU",Painel_diario!$J822=1),EXP(Painel_diario!$L822),1)-1</f>
        <v/>
      </c>
    </row>
    <row r="827">
      <c r="A827" s="25" t="n">
        <v>40029</v>
      </c>
      <c r="B827" s="22">
        <f>(1+B826)*IF(AND(Painel_diario!$H823="EU_JD",Painel_diario!$J823=1),EXP(Painel_diario!$L823),1)-1</f>
        <v/>
      </c>
      <c r="C827" s="22">
        <f>(1+C826)*IF(AND(Painel_diario!$H823="EU_JU",Painel_diario!$J823=1),EXP(Painel_diario!$L823),1)-1</f>
        <v/>
      </c>
      <c r="D827" s="22">
        <f>(1+D826)*IF(AND(Painel_diario!$H823="ED_JD",Painel_diario!$J823=1),EXP(Painel_diario!$L823),1)-1</f>
        <v/>
      </c>
      <c r="E827" s="22">
        <f>(1+E826)*IF(AND(Painel_diario!$H823="ED_JU",Painel_diario!$J823=1),EXP(Painel_diario!$L823),1)-1</f>
        <v/>
      </c>
    </row>
    <row r="828">
      <c r="A828" s="25" t="n">
        <v>40030</v>
      </c>
      <c r="B828" s="22">
        <f>(1+B827)*IF(AND(Painel_diario!$H824="EU_JD",Painel_diario!$J824=1),EXP(Painel_diario!$L824),1)-1</f>
        <v/>
      </c>
      <c r="C828" s="22">
        <f>(1+C827)*IF(AND(Painel_diario!$H824="EU_JU",Painel_diario!$J824=1),EXP(Painel_diario!$L824),1)-1</f>
        <v/>
      </c>
      <c r="D828" s="22">
        <f>(1+D827)*IF(AND(Painel_diario!$H824="ED_JD",Painel_diario!$J824=1),EXP(Painel_diario!$L824),1)-1</f>
        <v/>
      </c>
      <c r="E828" s="22">
        <f>(1+E827)*IF(AND(Painel_diario!$H824="ED_JU",Painel_diario!$J824=1),EXP(Painel_diario!$L824),1)-1</f>
        <v/>
      </c>
    </row>
    <row r="829">
      <c r="A829" s="25" t="n">
        <v>40031</v>
      </c>
      <c r="B829" s="22">
        <f>(1+B828)*IF(AND(Painel_diario!$H825="EU_JD",Painel_diario!$J825=1),EXP(Painel_diario!$L825),1)-1</f>
        <v/>
      </c>
      <c r="C829" s="22">
        <f>(1+C828)*IF(AND(Painel_diario!$H825="EU_JU",Painel_diario!$J825=1),EXP(Painel_diario!$L825),1)-1</f>
        <v/>
      </c>
      <c r="D829" s="22">
        <f>(1+D828)*IF(AND(Painel_diario!$H825="ED_JD",Painel_diario!$J825=1),EXP(Painel_diario!$L825),1)-1</f>
        <v/>
      </c>
      <c r="E829" s="22">
        <f>(1+E828)*IF(AND(Painel_diario!$H825="ED_JU",Painel_diario!$J825=1),EXP(Painel_diario!$L825),1)-1</f>
        <v/>
      </c>
    </row>
    <row r="830">
      <c r="A830" s="25" t="n">
        <v>40032</v>
      </c>
      <c r="B830" s="22">
        <f>(1+B829)*IF(AND(Painel_diario!$H826="EU_JD",Painel_diario!$J826=1),EXP(Painel_diario!$L826),1)-1</f>
        <v/>
      </c>
      <c r="C830" s="22">
        <f>(1+C829)*IF(AND(Painel_diario!$H826="EU_JU",Painel_diario!$J826=1),EXP(Painel_diario!$L826),1)-1</f>
        <v/>
      </c>
      <c r="D830" s="22">
        <f>(1+D829)*IF(AND(Painel_diario!$H826="ED_JD",Painel_diario!$J826=1),EXP(Painel_diario!$L826),1)-1</f>
        <v/>
      </c>
      <c r="E830" s="22">
        <f>(1+E829)*IF(AND(Painel_diario!$H826="ED_JU",Painel_diario!$J826=1),EXP(Painel_diario!$L826),1)-1</f>
        <v/>
      </c>
    </row>
    <row r="831">
      <c r="A831" s="25" t="n">
        <v>40035</v>
      </c>
      <c r="B831" s="22">
        <f>(1+B830)*IF(AND(Painel_diario!$H827="EU_JD",Painel_diario!$J827=1),EXP(Painel_diario!$L827),1)-1</f>
        <v/>
      </c>
      <c r="C831" s="22">
        <f>(1+C830)*IF(AND(Painel_diario!$H827="EU_JU",Painel_diario!$J827=1),EXP(Painel_diario!$L827),1)-1</f>
        <v/>
      </c>
      <c r="D831" s="22">
        <f>(1+D830)*IF(AND(Painel_diario!$H827="ED_JD",Painel_diario!$J827=1),EXP(Painel_diario!$L827),1)-1</f>
        <v/>
      </c>
      <c r="E831" s="22">
        <f>(1+E830)*IF(AND(Painel_diario!$H827="ED_JU",Painel_diario!$J827=1),EXP(Painel_diario!$L827),1)-1</f>
        <v/>
      </c>
    </row>
    <row r="832">
      <c r="A832" s="25" t="n">
        <v>40036</v>
      </c>
      <c r="B832" s="22">
        <f>(1+B831)*IF(AND(Painel_diario!$H828="EU_JD",Painel_diario!$J828=1),EXP(Painel_diario!$L828),1)-1</f>
        <v/>
      </c>
      <c r="C832" s="22">
        <f>(1+C831)*IF(AND(Painel_diario!$H828="EU_JU",Painel_diario!$J828=1),EXP(Painel_diario!$L828),1)-1</f>
        <v/>
      </c>
      <c r="D832" s="22">
        <f>(1+D831)*IF(AND(Painel_diario!$H828="ED_JD",Painel_diario!$J828=1),EXP(Painel_diario!$L828),1)-1</f>
        <v/>
      </c>
      <c r="E832" s="22">
        <f>(1+E831)*IF(AND(Painel_diario!$H828="ED_JU",Painel_diario!$J828=1),EXP(Painel_diario!$L828),1)-1</f>
        <v/>
      </c>
    </row>
    <row r="833">
      <c r="A833" s="25" t="n">
        <v>40037</v>
      </c>
      <c r="B833" s="22">
        <f>(1+B832)*IF(AND(Painel_diario!$H829="EU_JD",Painel_diario!$J829=1),EXP(Painel_diario!$L829),1)-1</f>
        <v/>
      </c>
      <c r="C833" s="22">
        <f>(1+C832)*IF(AND(Painel_diario!$H829="EU_JU",Painel_diario!$J829=1),EXP(Painel_diario!$L829),1)-1</f>
        <v/>
      </c>
      <c r="D833" s="22">
        <f>(1+D832)*IF(AND(Painel_diario!$H829="ED_JD",Painel_diario!$J829=1),EXP(Painel_diario!$L829),1)-1</f>
        <v/>
      </c>
      <c r="E833" s="22">
        <f>(1+E832)*IF(AND(Painel_diario!$H829="ED_JU",Painel_diario!$J829=1),EXP(Painel_diario!$L829),1)-1</f>
        <v/>
      </c>
    </row>
    <row r="834">
      <c r="A834" s="25" t="n">
        <v>40038</v>
      </c>
      <c r="B834" s="22">
        <f>(1+B833)*IF(AND(Painel_diario!$H830="EU_JD",Painel_diario!$J830=1),EXP(Painel_diario!$L830),1)-1</f>
        <v/>
      </c>
      <c r="C834" s="22">
        <f>(1+C833)*IF(AND(Painel_diario!$H830="EU_JU",Painel_diario!$J830=1),EXP(Painel_diario!$L830),1)-1</f>
        <v/>
      </c>
      <c r="D834" s="22">
        <f>(1+D833)*IF(AND(Painel_diario!$H830="ED_JD",Painel_diario!$J830=1),EXP(Painel_diario!$L830),1)-1</f>
        <v/>
      </c>
      <c r="E834" s="22">
        <f>(1+E833)*IF(AND(Painel_diario!$H830="ED_JU",Painel_diario!$J830=1),EXP(Painel_diario!$L830),1)-1</f>
        <v/>
      </c>
    </row>
    <row r="835">
      <c r="A835" s="25" t="n">
        <v>40039</v>
      </c>
      <c r="B835" s="22">
        <f>(1+B834)*IF(AND(Painel_diario!$H831="EU_JD",Painel_diario!$J831=1),EXP(Painel_diario!$L831),1)-1</f>
        <v/>
      </c>
      <c r="C835" s="22">
        <f>(1+C834)*IF(AND(Painel_diario!$H831="EU_JU",Painel_diario!$J831=1),EXP(Painel_diario!$L831),1)-1</f>
        <v/>
      </c>
      <c r="D835" s="22">
        <f>(1+D834)*IF(AND(Painel_diario!$H831="ED_JD",Painel_diario!$J831=1),EXP(Painel_diario!$L831),1)-1</f>
        <v/>
      </c>
      <c r="E835" s="22">
        <f>(1+E834)*IF(AND(Painel_diario!$H831="ED_JU",Painel_diario!$J831=1),EXP(Painel_diario!$L831),1)-1</f>
        <v/>
      </c>
    </row>
    <row r="836">
      <c r="A836" s="25" t="n">
        <v>40042</v>
      </c>
      <c r="B836" s="22">
        <f>(1+B835)*IF(AND(Painel_diario!$H832="EU_JD",Painel_diario!$J832=1),EXP(Painel_diario!$L832),1)-1</f>
        <v/>
      </c>
      <c r="C836" s="22">
        <f>(1+C835)*IF(AND(Painel_diario!$H832="EU_JU",Painel_diario!$J832=1),EXP(Painel_diario!$L832),1)-1</f>
        <v/>
      </c>
      <c r="D836" s="22">
        <f>(1+D835)*IF(AND(Painel_diario!$H832="ED_JD",Painel_diario!$J832=1),EXP(Painel_diario!$L832),1)-1</f>
        <v/>
      </c>
      <c r="E836" s="22">
        <f>(1+E835)*IF(AND(Painel_diario!$H832="ED_JU",Painel_diario!$J832=1),EXP(Painel_diario!$L832),1)-1</f>
        <v/>
      </c>
    </row>
    <row r="837">
      <c r="A837" s="25" t="n">
        <v>40043</v>
      </c>
      <c r="B837" s="22">
        <f>(1+B836)*IF(AND(Painel_diario!$H833="EU_JD",Painel_diario!$J833=1),EXP(Painel_diario!$L833),1)-1</f>
        <v/>
      </c>
      <c r="C837" s="22">
        <f>(1+C836)*IF(AND(Painel_diario!$H833="EU_JU",Painel_diario!$J833=1),EXP(Painel_diario!$L833),1)-1</f>
        <v/>
      </c>
      <c r="D837" s="22">
        <f>(1+D836)*IF(AND(Painel_diario!$H833="ED_JD",Painel_diario!$J833=1),EXP(Painel_diario!$L833),1)-1</f>
        <v/>
      </c>
      <c r="E837" s="22">
        <f>(1+E836)*IF(AND(Painel_diario!$H833="ED_JU",Painel_diario!$J833=1),EXP(Painel_diario!$L833),1)-1</f>
        <v/>
      </c>
    </row>
    <row r="838">
      <c r="A838" s="25" t="n">
        <v>40044</v>
      </c>
      <c r="B838" s="22">
        <f>(1+B837)*IF(AND(Painel_diario!$H834="EU_JD",Painel_diario!$J834=1),EXP(Painel_diario!$L834),1)-1</f>
        <v/>
      </c>
      <c r="C838" s="22">
        <f>(1+C837)*IF(AND(Painel_diario!$H834="EU_JU",Painel_diario!$J834=1),EXP(Painel_diario!$L834),1)-1</f>
        <v/>
      </c>
      <c r="D838" s="22">
        <f>(1+D837)*IF(AND(Painel_diario!$H834="ED_JD",Painel_diario!$J834=1),EXP(Painel_diario!$L834),1)-1</f>
        <v/>
      </c>
      <c r="E838" s="22">
        <f>(1+E837)*IF(AND(Painel_diario!$H834="ED_JU",Painel_diario!$J834=1),EXP(Painel_diario!$L834),1)-1</f>
        <v/>
      </c>
    </row>
    <row r="839">
      <c r="A839" s="25" t="n">
        <v>40045</v>
      </c>
      <c r="B839" s="22">
        <f>(1+B838)*IF(AND(Painel_diario!$H835="EU_JD",Painel_diario!$J835=1),EXP(Painel_diario!$L835),1)-1</f>
        <v/>
      </c>
      <c r="C839" s="22">
        <f>(1+C838)*IF(AND(Painel_diario!$H835="EU_JU",Painel_diario!$J835=1),EXP(Painel_diario!$L835),1)-1</f>
        <v/>
      </c>
      <c r="D839" s="22">
        <f>(1+D838)*IF(AND(Painel_diario!$H835="ED_JD",Painel_diario!$J835=1),EXP(Painel_diario!$L835),1)-1</f>
        <v/>
      </c>
      <c r="E839" s="22">
        <f>(1+E838)*IF(AND(Painel_diario!$H835="ED_JU",Painel_diario!$J835=1),EXP(Painel_diario!$L835),1)-1</f>
        <v/>
      </c>
    </row>
    <row r="840">
      <c r="A840" s="25" t="n">
        <v>40046</v>
      </c>
      <c r="B840" s="22">
        <f>(1+B839)*IF(AND(Painel_diario!$H836="EU_JD",Painel_diario!$J836=1),EXP(Painel_diario!$L836),1)-1</f>
        <v/>
      </c>
      <c r="C840" s="22">
        <f>(1+C839)*IF(AND(Painel_diario!$H836="EU_JU",Painel_diario!$J836=1),EXP(Painel_diario!$L836),1)-1</f>
        <v/>
      </c>
      <c r="D840" s="22">
        <f>(1+D839)*IF(AND(Painel_diario!$H836="ED_JD",Painel_diario!$J836=1),EXP(Painel_diario!$L836),1)-1</f>
        <v/>
      </c>
      <c r="E840" s="22">
        <f>(1+E839)*IF(AND(Painel_diario!$H836="ED_JU",Painel_diario!$J836=1),EXP(Painel_diario!$L836),1)-1</f>
        <v/>
      </c>
    </row>
    <row r="841">
      <c r="A841" s="25" t="n">
        <v>40049</v>
      </c>
      <c r="B841" s="22">
        <f>(1+B840)*IF(AND(Painel_diario!$H837="EU_JD",Painel_diario!$J837=1),EXP(Painel_diario!$L837),1)-1</f>
        <v/>
      </c>
      <c r="C841" s="22">
        <f>(1+C840)*IF(AND(Painel_diario!$H837="EU_JU",Painel_diario!$J837=1),EXP(Painel_diario!$L837),1)-1</f>
        <v/>
      </c>
      <c r="D841" s="22">
        <f>(1+D840)*IF(AND(Painel_diario!$H837="ED_JD",Painel_diario!$J837=1),EXP(Painel_diario!$L837),1)-1</f>
        <v/>
      </c>
      <c r="E841" s="22">
        <f>(1+E840)*IF(AND(Painel_diario!$H837="ED_JU",Painel_diario!$J837=1),EXP(Painel_diario!$L837),1)-1</f>
        <v/>
      </c>
    </row>
    <row r="842">
      <c r="A842" s="25" t="n">
        <v>40050</v>
      </c>
      <c r="B842" s="22">
        <f>(1+B841)*IF(AND(Painel_diario!$H838="EU_JD",Painel_diario!$J838=1),EXP(Painel_diario!$L838),1)-1</f>
        <v/>
      </c>
      <c r="C842" s="22">
        <f>(1+C841)*IF(AND(Painel_diario!$H838="EU_JU",Painel_diario!$J838=1),EXP(Painel_diario!$L838),1)-1</f>
        <v/>
      </c>
      <c r="D842" s="22">
        <f>(1+D841)*IF(AND(Painel_diario!$H838="ED_JD",Painel_diario!$J838=1),EXP(Painel_diario!$L838),1)-1</f>
        <v/>
      </c>
      <c r="E842" s="22">
        <f>(1+E841)*IF(AND(Painel_diario!$H838="ED_JU",Painel_diario!$J838=1),EXP(Painel_diario!$L838),1)-1</f>
        <v/>
      </c>
    </row>
    <row r="843">
      <c r="A843" s="25" t="n">
        <v>40051</v>
      </c>
      <c r="B843" s="22">
        <f>(1+B842)*IF(AND(Painel_diario!$H839="EU_JD",Painel_diario!$J839=1),EXP(Painel_diario!$L839),1)-1</f>
        <v/>
      </c>
      <c r="C843" s="22">
        <f>(1+C842)*IF(AND(Painel_diario!$H839="EU_JU",Painel_diario!$J839=1),EXP(Painel_diario!$L839),1)-1</f>
        <v/>
      </c>
      <c r="D843" s="22">
        <f>(1+D842)*IF(AND(Painel_diario!$H839="ED_JD",Painel_diario!$J839=1),EXP(Painel_diario!$L839),1)-1</f>
        <v/>
      </c>
      <c r="E843" s="22">
        <f>(1+E842)*IF(AND(Painel_diario!$H839="ED_JU",Painel_diario!$J839=1),EXP(Painel_diario!$L839),1)-1</f>
        <v/>
      </c>
    </row>
    <row r="844">
      <c r="A844" s="25" t="n">
        <v>40052</v>
      </c>
      <c r="B844" s="22">
        <f>(1+B843)*IF(AND(Painel_diario!$H840="EU_JD",Painel_diario!$J840=1),EXP(Painel_diario!$L840),1)-1</f>
        <v/>
      </c>
      <c r="C844" s="22">
        <f>(1+C843)*IF(AND(Painel_diario!$H840="EU_JU",Painel_diario!$J840=1),EXP(Painel_diario!$L840),1)-1</f>
        <v/>
      </c>
      <c r="D844" s="22">
        <f>(1+D843)*IF(AND(Painel_diario!$H840="ED_JD",Painel_diario!$J840=1),EXP(Painel_diario!$L840),1)-1</f>
        <v/>
      </c>
      <c r="E844" s="22">
        <f>(1+E843)*IF(AND(Painel_diario!$H840="ED_JU",Painel_diario!$J840=1),EXP(Painel_diario!$L840),1)-1</f>
        <v/>
      </c>
    </row>
    <row r="845">
      <c r="A845" s="25" t="n">
        <v>40053</v>
      </c>
      <c r="B845" s="22">
        <f>(1+B844)*IF(AND(Painel_diario!$H841="EU_JD",Painel_diario!$J841=1),EXP(Painel_diario!$L841),1)-1</f>
        <v/>
      </c>
      <c r="C845" s="22">
        <f>(1+C844)*IF(AND(Painel_diario!$H841="EU_JU",Painel_diario!$J841=1),EXP(Painel_diario!$L841),1)-1</f>
        <v/>
      </c>
      <c r="D845" s="22">
        <f>(1+D844)*IF(AND(Painel_diario!$H841="ED_JD",Painel_diario!$J841=1),EXP(Painel_diario!$L841),1)-1</f>
        <v/>
      </c>
      <c r="E845" s="22">
        <f>(1+E844)*IF(AND(Painel_diario!$H841="ED_JU",Painel_diario!$J841=1),EXP(Painel_diario!$L841),1)-1</f>
        <v/>
      </c>
    </row>
    <row r="846">
      <c r="A846" s="25" t="n">
        <v>40056</v>
      </c>
      <c r="B846" s="22">
        <f>(1+B845)*IF(AND(Painel_diario!$H842="EU_JD",Painel_diario!$J842=1),EXP(Painel_diario!$L842),1)-1</f>
        <v/>
      </c>
      <c r="C846" s="22">
        <f>(1+C845)*IF(AND(Painel_diario!$H842="EU_JU",Painel_diario!$J842=1),EXP(Painel_diario!$L842),1)-1</f>
        <v/>
      </c>
      <c r="D846" s="22">
        <f>(1+D845)*IF(AND(Painel_diario!$H842="ED_JD",Painel_diario!$J842=1),EXP(Painel_diario!$L842),1)-1</f>
        <v/>
      </c>
      <c r="E846" s="22">
        <f>(1+E845)*IF(AND(Painel_diario!$H842="ED_JU",Painel_diario!$J842=1),EXP(Painel_diario!$L842),1)-1</f>
        <v/>
      </c>
    </row>
    <row r="847">
      <c r="A847" s="25" t="n">
        <v>40057</v>
      </c>
      <c r="B847" s="22">
        <f>(1+B846)*IF(AND(Painel_diario!$H843="EU_JD",Painel_diario!$J843=1),EXP(Painel_diario!$L843),1)-1</f>
        <v/>
      </c>
      <c r="C847" s="22">
        <f>(1+C846)*IF(AND(Painel_diario!$H843="EU_JU",Painel_diario!$J843=1),EXP(Painel_diario!$L843),1)-1</f>
        <v/>
      </c>
      <c r="D847" s="22">
        <f>(1+D846)*IF(AND(Painel_diario!$H843="ED_JD",Painel_diario!$J843=1),EXP(Painel_diario!$L843),1)-1</f>
        <v/>
      </c>
      <c r="E847" s="22">
        <f>(1+E846)*IF(AND(Painel_diario!$H843="ED_JU",Painel_diario!$J843=1),EXP(Painel_diario!$L843),1)-1</f>
        <v/>
      </c>
    </row>
    <row r="848">
      <c r="A848" s="25" t="n">
        <v>40058</v>
      </c>
      <c r="B848" s="22">
        <f>(1+B847)*IF(AND(Painel_diario!$H844="EU_JD",Painel_diario!$J844=1),EXP(Painel_diario!$L844),1)-1</f>
        <v/>
      </c>
      <c r="C848" s="22">
        <f>(1+C847)*IF(AND(Painel_diario!$H844="EU_JU",Painel_diario!$J844=1),EXP(Painel_diario!$L844),1)-1</f>
        <v/>
      </c>
      <c r="D848" s="22">
        <f>(1+D847)*IF(AND(Painel_diario!$H844="ED_JD",Painel_diario!$J844=1),EXP(Painel_diario!$L844),1)-1</f>
        <v/>
      </c>
      <c r="E848" s="22">
        <f>(1+E847)*IF(AND(Painel_diario!$H844="ED_JU",Painel_diario!$J844=1),EXP(Painel_diario!$L844),1)-1</f>
        <v/>
      </c>
    </row>
    <row r="849">
      <c r="A849" s="25" t="n">
        <v>40059</v>
      </c>
      <c r="B849" s="22">
        <f>(1+B848)*IF(AND(Painel_diario!$H845="EU_JD",Painel_diario!$J845=1),EXP(Painel_diario!$L845),1)-1</f>
        <v/>
      </c>
      <c r="C849" s="22">
        <f>(1+C848)*IF(AND(Painel_diario!$H845="EU_JU",Painel_diario!$J845=1),EXP(Painel_diario!$L845),1)-1</f>
        <v/>
      </c>
      <c r="D849" s="22">
        <f>(1+D848)*IF(AND(Painel_diario!$H845="ED_JD",Painel_diario!$J845=1),EXP(Painel_diario!$L845),1)-1</f>
        <v/>
      </c>
      <c r="E849" s="22">
        <f>(1+E848)*IF(AND(Painel_diario!$H845="ED_JU",Painel_diario!$J845=1),EXP(Painel_diario!$L845),1)-1</f>
        <v/>
      </c>
    </row>
    <row r="850">
      <c r="A850" s="25" t="n">
        <v>40060</v>
      </c>
      <c r="B850" s="22">
        <f>(1+B849)*IF(AND(Painel_diario!$H846="EU_JD",Painel_diario!$J846=1),EXP(Painel_diario!$L846),1)-1</f>
        <v/>
      </c>
      <c r="C850" s="22">
        <f>(1+C849)*IF(AND(Painel_diario!$H846="EU_JU",Painel_diario!$J846=1),EXP(Painel_diario!$L846),1)-1</f>
        <v/>
      </c>
      <c r="D850" s="22">
        <f>(1+D849)*IF(AND(Painel_diario!$H846="ED_JD",Painel_diario!$J846=1),EXP(Painel_diario!$L846),1)-1</f>
        <v/>
      </c>
      <c r="E850" s="22">
        <f>(1+E849)*IF(AND(Painel_diario!$H846="ED_JU",Painel_diario!$J846=1),EXP(Painel_diario!$L846),1)-1</f>
        <v/>
      </c>
    </row>
    <row r="851">
      <c r="A851" s="25" t="n">
        <v>40064</v>
      </c>
      <c r="B851" s="22">
        <f>(1+B850)*IF(AND(Painel_diario!$H847="EU_JD",Painel_diario!$J847=1),EXP(Painel_diario!$L847),1)-1</f>
        <v/>
      </c>
      <c r="C851" s="22">
        <f>(1+C850)*IF(AND(Painel_diario!$H847="EU_JU",Painel_diario!$J847=1),EXP(Painel_diario!$L847),1)-1</f>
        <v/>
      </c>
      <c r="D851" s="22">
        <f>(1+D850)*IF(AND(Painel_diario!$H847="ED_JD",Painel_diario!$J847=1),EXP(Painel_diario!$L847),1)-1</f>
        <v/>
      </c>
      <c r="E851" s="22">
        <f>(1+E850)*IF(AND(Painel_diario!$H847="ED_JU",Painel_diario!$J847=1),EXP(Painel_diario!$L847),1)-1</f>
        <v/>
      </c>
    </row>
    <row r="852">
      <c r="A852" s="25" t="n">
        <v>40065</v>
      </c>
      <c r="B852" s="22">
        <f>(1+B851)*IF(AND(Painel_diario!$H848="EU_JD",Painel_diario!$J848=1),EXP(Painel_diario!$L848),1)-1</f>
        <v/>
      </c>
      <c r="C852" s="22">
        <f>(1+C851)*IF(AND(Painel_diario!$H848="EU_JU",Painel_diario!$J848=1),EXP(Painel_diario!$L848),1)-1</f>
        <v/>
      </c>
      <c r="D852" s="22">
        <f>(1+D851)*IF(AND(Painel_diario!$H848="ED_JD",Painel_diario!$J848=1),EXP(Painel_diario!$L848),1)-1</f>
        <v/>
      </c>
      <c r="E852" s="22">
        <f>(1+E851)*IF(AND(Painel_diario!$H848="ED_JU",Painel_diario!$J848=1),EXP(Painel_diario!$L848),1)-1</f>
        <v/>
      </c>
    </row>
    <row r="853">
      <c r="A853" s="25" t="n">
        <v>40066</v>
      </c>
      <c r="B853" s="22">
        <f>(1+B852)*IF(AND(Painel_diario!$H849="EU_JD",Painel_diario!$J849=1),EXP(Painel_diario!$L849),1)-1</f>
        <v/>
      </c>
      <c r="C853" s="22">
        <f>(1+C852)*IF(AND(Painel_diario!$H849="EU_JU",Painel_diario!$J849=1),EXP(Painel_diario!$L849),1)-1</f>
        <v/>
      </c>
      <c r="D853" s="22">
        <f>(1+D852)*IF(AND(Painel_diario!$H849="ED_JD",Painel_diario!$J849=1),EXP(Painel_diario!$L849),1)-1</f>
        <v/>
      </c>
      <c r="E853" s="22">
        <f>(1+E852)*IF(AND(Painel_diario!$H849="ED_JU",Painel_diario!$J849=1),EXP(Painel_diario!$L849),1)-1</f>
        <v/>
      </c>
    </row>
    <row r="854">
      <c r="A854" s="25" t="n">
        <v>40067</v>
      </c>
      <c r="B854" s="22">
        <f>(1+B853)*IF(AND(Painel_diario!$H850="EU_JD",Painel_diario!$J850=1),EXP(Painel_diario!$L850),1)-1</f>
        <v/>
      </c>
      <c r="C854" s="22">
        <f>(1+C853)*IF(AND(Painel_diario!$H850="EU_JU",Painel_diario!$J850=1),EXP(Painel_diario!$L850),1)-1</f>
        <v/>
      </c>
      <c r="D854" s="22">
        <f>(1+D853)*IF(AND(Painel_diario!$H850="ED_JD",Painel_diario!$J850=1),EXP(Painel_diario!$L850),1)-1</f>
        <v/>
      </c>
      <c r="E854" s="22">
        <f>(1+E853)*IF(AND(Painel_diario!$H850="ED_JU",Painel_diario!$J850=1),EXP(Painel_diario!$L850),1)-1</f>
        <v/>
      </c>
    </row>
    <row r="855">
      <c r="A855" s="25" t="n">
        <v>40070</v>
      </c>
      <c r="B855" s="22">
        <f>(1+B854)*IF(AND(Painel_diario!$H851="EU_JD",Painel_diario!$J851=1),EXP(Painel_diario!$L851),1)-1</f>
        <v/>
      </c>
      <c r="C855" s="22">
        <f>(1+C854)*IF(AND(Painel_diario!$H851="EU_JU",Painel_diario!$J851=1),EXP(Painel_diario!$L851),1)-1</f>
        <v/>
      </c>
      <c r="D855" s="22">
        <f>(1+D854)*IF(AND(Painel_diario!$H851="ED_JD",Painel_diario!$J851=1),EXP(Painel_diario!$L851),1)-1</f>
        <v/>
      </c>
      <c r="E855" s="22">
        <f>(1+E854)*IF(AND(Painel_diario!$H851="ED_JU",Painel_diario!$J851=1),EXP(Painel_diario!$L851),1)-1</f>
        <v/>
      </c>
    </row>
    <row r="856">
      <c r="A856" s="25" t="n">
        <v>40071</v>
      </c>
      <c r="B856" s="22">
        <f>(1+B855)*IF(AND(Painel_diario!$H852="EU_JD",Painel_diario!$J852=1),EXP(Painel_diario!$L852),1)-1</f>
        <v/>
      </c>
      <c r="C856" s="22">
        <f>(1+C855)*IF(AND(Painel_diario!$H852="EU_JU",Painel_diario!$J852=1),EXP(Painel_diario!$L852),1)-1</f>
        <v/>
      </c>
      <c r="D856" s="22">
        <f>(1+D855)*IF(AND(Painel_diario!$H852="ED_JD",Painel_diario!$J852=1),EXP(Painel_diario!$L852),1)-1</f>
        <v/>
      </c>
      <c r="E856" s="22">
        <f>(1+E855)*IF(AND(Painel_diario!$H852="ED_JU",Painel_diario!$J852=1),EXP(Painel_diario!$L852),1)-1</f>
        <v/>
      </c>
    </row>
    <row r="857">
      <c r="A857" s="25" t="n">
        <v>40072</v>
      </c>
      <c r="B857" s="22">
        <f>(1+B856)*IF(AND(Painel_diario!$H853="EU_JD",Painel_diario!$J853=1),EXP(Painel_diario!$L853),1)-1</f>
        <v/>
      </c>
      <c r="C857" s="22">
        <f>(1+C856)*IF(AND(Painel_diario!$H853="EU_JU",Painel_diario!$J853=1),EXP(Painel_diario!$L853),1)-1</f>
        <v/>
      </c>
      <c r="D857" s="22">
        <f>(1+D856)*IF(AND(Painel_diario!$H853="ED_JD",Painel_diario!$J853=1),EXP(Painel_diario!$L853),1)-1</f>
        <v/>
      </c>
      <c r="E857" s="22">
        <f>(1+E856)*IF(AND(Painel_diario!$H853="ED_JU",Painel_diario!$J853=1),EXP(Painel_diario!$L853),1)-1</f>
        <v/>
      </c>
    </row>
    <row r="858">
      <c r="A858" s="25" t="n">
        <v>40073</v>
      </c>
      <c r="B858" s="22">
        <f>(1+B857)*IF(AND(Painel_diario!$H854="EU_JD",Painel_diario!$J854=1),EXP(Painel_diario!$L854),1)-1</f>
        <v/>
      </c>
      <c r="C858" s="22">
        <f>(1+C857)*IF(AND(Painel_diario!$H854="EU_JU",Painel_diario!$J854=1),EXP(Painel_diario!$L854),1)-1</f>
        <v/>
      </c>
      <c r="D858" s="22">
        <f>(1+D857)*IF(AND(Painel_diario!$H854="ED_JD",Painel_diario!$J854=1),EXP(Painel_diario!$L854),1)-1</f>
        <v/>
      </c>
      <c r="E858" s="22">
        <f>(1+E857)*IF(AND(Painel_diario!$H854="ED_JU",Painel_diario!$J854=1),EXP(Painel_diario!$L854),1)-1</f>
        <v/>
      </c>
    </row>
    <row r="859">
      <c r="A859" s="25" t="n">
        <v>40074</v>
      </c>
      <c r="B859" s="22">
        <f>(1+B858)*IF(AND(Painel_diario!$H855="EU_JD",Painel_diario!$J855=1),EXP(Painel_diario!$L855),1)-1</f>
        <v/>
      </c>
      <c r="C859" s="22">
        <f>(1+C858)*IF(AND(Painel_diario!$H855="EU_JU",Painel_diario!$J855=1),EXP(Painel_diario!$L855),1)-1</f>
        <v/>
      </c>
      <c r="D859" s="22">
        <f>(1+D858)*IF(AND(Painel_diario!$H855="ED_JD",Painel_diario!$J855=1),EXP(Painel_diario!$L855),1)-1</f>
        <v/>
      </c>
      <c r="E859" s="22">
        <f>(1+E858)*IF(AND(Painel_diario!$H855="ED_JU",Painel_diario!$J855=1),EXP(Painel_diario!$L855),1)-1</f>
        <v/>
      </c>
    </row>
    <row r="860">
      <c r="A860" s="25" t="n">
        <v>40077</v>
      </c>
      <c r="B860" s="22">
        <f>(1+B859)*IF(AND(Painel_diario!$H856="EU_JD",Painel_diario!$J856=1),EXP(Painel_diario!$L856),1)-1</f>
        <v/>
      </c>
      <c r="C860" s="22">
        <f>(1+C859)*IF(AND(Painel_diario!$H856="EU_JU",Painel_diario!$J856=1),EXP(Painel_diario!$L856),1)-1</f>
        <v/>
      </c>
      <c r="D860" s="22">
        <f>(1+D859)*IF(AND(Painel_diario!$H856="ED_JD",Painel_diario!$J856=1),EXP(Painel_diario!$L856),1)-1</f>
        <v/>
      </c>
      <c r="E860" s="22">
        <f>(1+E859)*IF(AND(Painel_diario!$H856="ED_JU",Painel_diario!$J856=1),EXP(Painel_diario!$L856),1)-1</f>
        <v/>
      </c>
    </row>
    <row r="861">
      <c r="A861" s="25" t="n">
        <v>40078</v>
      </c>
      <c r="B861" s="22">
        <f>(1+B860)*IF(AND(Painel_diario!$H857="EU_JD",Painel_diario!$J857=1),EXP(Painel_diario!$L857),1)-1</f>
        <v/>
      </c>
      <c r="C861" s="22">
        <f>(1+C860)*IF(AND(Painel_diario!$H857="EU_JU",Painel_diario!$J857=1),EXP(Painel_diario!$L857),1)-1</f>
        <v/>
      </c>
      <c r="D861" s="22">
        <f>(1+D860)*IF(AND(Painel_diario!$H857="ED_JD",Painel_diario!$J857=1),EXP(Painel_diario!$L857),1)-1</f>
        <v/>
      </c>
      <c r="E861" s="22">
        <f>(1+E860)*IF(AND(Painel_diario!$H857="ED_JU",Painel_diario!$J857=1),EXP(Painel_diario!$L857),1)-1</f>
        <v/>
      </c>
    </row>
    <row r="862">
      <c r="A862" s="25" t="n">
        <v>40079</v>
      </c>
      <c r="B862" s="22">
        <f>(1+B861)*IF(AND(Painel_diario!$H858="EU_JD",Painel_diario!$J858=1),EXP(Painel_diario!$L858),1)-1</f>
        <v/>
      </c>
      <c r="C862" s="22">
        <f>(1+C861)*IF(AND(Painel_diario!$H858="EU_JU",Painel_diario!$J858=1),EXP(Painel_diario!$L858),1)-1</f>
        <v/>
      </c>
      <c r="D862" s="22">
        <f>(1+D861)*IF(AND(Painel_diario!$H858="ED_JD",Painel_diario!$J858=1),EXP(Painel_diario!$L858),1)-1</f>
        <v/>
      </c>
      <c r="E862" s="22">
        <f>(1+E861)*IF(AND(Painel_diario!$H858="ED_JU",Painel_diario!$J858=1),EXP(Painel_diario!$L858),1)-1</f>
        <v/>
      </c>
    </row>
    <row r="863">
      <c r="A863" s="25" t="n">
        <v>40080</v>
      </c>
      <c r="B863" s="22">
        <f>(1+B862)*IF(AND(Painel_diario!$H859="EU_JD",Painel_diario!$J859=1),EXP(Painel_diario!$L859),1)-1</f>
        <v/>
      </c>
      <c r="C863" s="22">
        <f>(1+C862)*IF(AND(Painel_diario!$H859="EU_JU",Painel_diario!$J859=1),EXP(Painel_diario!$L859),1)-1</f>
        <v/>
      </c>
      <c r="D863" s="22">
        <f>(1+D862)*IF(AND(Painel_diario!$H859="ED_JD",Painel_diario!$J859=1),EXP(Painel_diario!$L859),1)-1</f>
        <v/>
      </c>
      <c r="E863" s="22">
        <f>(1+E862)*IF(AND(Painel_diario!$H859="ED_JU",Painel_diario!$J859=1),EXP(Painel_diario!$L859),1)-1</f>
        <v/>
      </c>
    </row>
    <row r="864">
      <c r="A864" s="25" t="n">
        <v>40081</v>
      </c>
      <c r="B864" s="22">
        <f>(1+B863)*IF(AND(Painel_diario!$H860="EU_JD",Painel_diario!$J860=1),EXP(Painel_diario!$L860),1)-1</f>
        <v/>
      </c>
      <c r="C864" s="22">
        <f>(1+C863)*IF(AND(Painel_diario!$H860="EU_JU",Painel_diario!$J860=1),EXP(Painel_diario!$L860),1)-1</f>
        <v/>
      </c>
      <c r="D864" s="22">
        <f>(1+D863)*IF(AND(Painel_diario!$H860="ED_JD",Painel_diario!$J860=1),EXP(Painel_diario!$L860),1)-1</f>
        <v/>
      </c>
      <c r="E864" s="22">
        <f>(1+E863)*IF(AND(Painel_diario!$H860="ED_JU",Painel_diario!$J860=1),EXP(Painel_diario!$L860),1)-1</f>
        <v/>
      </c>
    </row>
    <row r="865">
      <c r="A865" s="25" t="n">
        <v>40084</v>
      </c>
      <c r="B865" s="22">
        <f>(1+B864)*IF(AND(Painel_diario!$H861="EU_JD",Painel_diario!$J861=1),EXP(Painel_diario!$L861),1)-1</f>
        <v/>
      </c>
      <c r="C865" s="22">
        <f>(1+C864)*IF(AND(Painel_diario!$H861="EU_JU",Painel_diario!$J861=1),EXP(Painel_diario!$L861),1)-1</f>
        <v/>
      </c>
      <c r="D865" s="22">
        <f>(1+D864)*IF(AND(Painel_diario!$H861="ED_JD",Painel_diario!$J861=1),EXP(Painel_diario!$L861),1)-1</f>
        <v/>
      </c>
      <c r="E865" s="22">
        <f>(1+E864)*IF(AND(Painel_diario!$H861="ED_JU",Painel_diario!$J861=1),EXP(Painel_diario!$L861),1)-1</f>
        <v/>
      </c>
    </row>
    <row r="866">
      <c r="A866" s="25" t="n">
        <v>40085</v>
      </c>
      <c r="B866" s="22">
        <f>(1+B865)*IF(AND(Painel_diario!$H862="EU_JD",Painel_diario!$J862=1),EXP(Painel_diario!$L862),1)-1</f>
        <v/>
      </c>
      <c r="C866" s="22">
        <f>(1+C865)*IF(AND(Painel_diario!$H862="EU_JU",Painel_diario!$J862=1),EXP(Painel_diario!$L862),1)-1</f>
        <v/>
      </c>
      <c r="D866" s="22">
        <f>(1+D865)*IF(AND(Painel_diario!$H862="ED_JD",Painel_diario!$J862=1),EXP(Painel_diario!$L862),1)-1</f>
        <v/>
      </c>
      <c r="E866" s="22">
        <f>(1+E865)*IF(AND(Painel_diario!$H862="ED_JU",Painel_diario!$J862=1),EXP(Painel_diario!$L862),1)-1</f>
        <v/>
      </c>
    </row>
    <row r="867">
      <c r="A867" s="25" t="n">
        <v>40086</v>
      </c>
      <c r="B867" s="22">
        <f>(1+B866)*IF(AND(Painel_diario!$H863="EU_JD",Painel_diario!$J863=1),EXP(Painel_diario!$L863),1)-1</f>
        <v/>
      </c>
      <c r="C867" s="22">
        <f>(1+C866)*IF(AND(Painel_diario!$H863="EU_JU",Painel_diario!$J863=1),EXP(Painel_diario!$L863),1)-1</f>
        <v/>
      </c>
      <c r="D867" s="22">
        <f>(1+D866)*IF(AND(Painel_diario!$H863="ED_JD",Painel_diario!$J863=1),EXP(Painel_diario!$L863),1)-1</f>
        <v/>
      </c>
      <c r="E867" s="22">
        <f>(1+E866)*IF(AND(Painel_diario!$H863="ED_JU",Painel_diario!$J863=1),EXP(Painel_diario!$L863),1)-1</f>
        <v/>
      </c>
    </row>
    <row r="868">
      <c r="A868" s="25" t="n">
        <v>40087</v>
      </c>
      <c r="B868" s="22">
        <f>(1+B867)*IF(AND(Painel_diario!$H864="EU_JD",Painel_diario!$J864=1),EXP(Painel_diario!$L864),1)-1</f>
        <v/>
      </c>
      <c r="C868" s="22">
        <f>(1+C867)*IF(AND(Painel_diario!$H864="EU_JU",Painel_diario!$J864=1),EXP(Painel_diario!$L864),1)-1</f>
        <v/>
      </c>
      <c r="D868" s="22">
        <f>(1+D867)*IF(AND(Painel_diario!$H864="ED_JD",Painel_diario!$J864=1),EXP(Painel_diario!$L864),1)-1</f>
        <v/>
      </c>
      <c r="E868" s="22">
        <f>(1+E867)*IF(AND(Painel_diario!$H864="ED_JU",Painel_diario!$J864=1),EXP(Painel_diario!$L864),1)-1</f>
        <v/>
      </c>
    </row>
    <row r="869">
      <c r="A869" s="25" t="n">
        <v>40088</v>
      </c>
      <c r="B869" s="22">
        <f>(1+B868)*IF(AND(Painel_diario!$H865="EU_JD",Painel_diario!$J865=1),EXP(Painel_diario!$L865),1)-1</f>
        <v/>
      </c>
      <c r="C869" s="22">
        <f>(1+C868)*IF(AND(Painel_diario!$H865="EU_JU",Painel_diario!$J865=1),EXP(Painel_diario!$L865),1)-1</f>
        <v/>
      </c>
      <c r="D869" s="22">
        <f>(1+D868)*IF(AND(Painel_diario!$H865="ED_JD",Painel_diario!$J865=1),EXP(Painel_diario!$L865),1)-1</f>
        <v/>
      </c>
      <c r="E869" s="22">
        <f>(1+E868)*IF(AND(Painel_diario!$H865="ED_JU",Painel_diario!$J865=1),EXP(Painel_diario!$L865),1)-1</f>
        <v/>
      </c>
    </row>
    <row r="870">
      <c r="A870" s="25" t="n">
        <v>40091</v>
      </c>
      <c r="B870" s="22">
        <f>(1+B869)*IF(AND(Painel_diario!$H866="EU_JD",Painel_diario!$J866=1),EXP(Painel_diario!$L866),1)-1</f>
        <v/>
      </c>
      <c r="C870" s="22">
        <f>(1+C869)*IF(AND(Painel_diario!$H866="EU_JU",Painel_diario!$J866=1),EXP(Painel_diario!$L866),1)-1</f>
        <v/>
      </c>
      <c r="D870" s="22">
        <f>(1+D869)*IF(AND(Painel_diario!$H866="ED_JD",Painel_diario!$J866=1),EXP(Painel_diario!$L866),1)-1</f>
        <v/>
      </c>
      <c r="E870" s="22">
        <f>(1+E869)*IF(AND(Painel_diario!$H866="ED_JU",Painel_diario!$J866=1),EXP(Painel_diario!$L866),1)-1</f>
        <v/>
      </c>
    </row>
    <row r="871">
      <c r="A871" s="25" t="n">
        <v>40092</v>
      </c>
      <c r="B871" s="22">
        <f>(1+B870)*IF(AND(Painel_diario!$H867="EU_JD",Painel_diario!$J867=1),EXP(Painel_diario!$L867),1)-1</f>
        <v/>
      </c>
      <c r="C871" s="22">
        <f>(1+C870)*IF(AND(Painel_diario!$H867="EU_JU",Painel_diario!$J867=1),EXP(Painel_diario!$L867),1)-1</f>
        <v/>
      </c>
      <c r="D871" s="22">
        <f>(1+D870)*IF(AND(Painel_diario!$H867="ED_JD",Painel_diario!$J867=1),EXP(Painel_diario!$L867),1)-1</f>
        <v/>
      </c>
      <c r="E871" s="22">
        <f>(1+E870)*IF(AND(Painel_diario!$H867="ED_JU",Painel_diario!$J867=1),EXP(Painel_diario!$L867),1)-1</f>
        <v/>
      </c>
    </row>
    <row r="872">
      <c r="A872" s="25" t="n">
        <v>40093</v>
      </c>
      <c r="B872" s="22">
        <f>(1+B871)*IF(AND(Painel_diario!$H868="EU_JD",Painel_diario!$J868=1),EXP(Painel_diario!$L868),1)-1</f>
        <v/>
      </c>
      <c r="C872" s="22">
        <f>(1+C871)*IF(AND(Painel_diario!$H868="EU_JU",Painel_diario!$J868=1),EXP(Painel_diario!$L868),1)-1</f>
        <v/>
      </c>
      <c r="D872" s="22">
        <f>(1+D871)*IF(AND(Painel_diario!$H868="ED_JD",Painel_diario!$J868=1),EXP(Painel_diario!$L868),1)-1</f>
        <v/>
      </c>
      <c r="E872" s="22">
        <f>(1+E871)*IF(AND(Painel_diario!$H868="ED_JU",Painel_diario!$J868=1),EXP(Painel_diario!$L868),1)-1</f>
        <v/>
      </c>
    </row>
    <row r="873">
      <c r="A873" s="25" t="n">
        <v>40094</v>
      </c>
      <c r="B873" s="22">
        <f>(1+B872)*IF(AND(Painel_diario!$H869="EU_JD",Painel_diario!$J869=1),EXP(Painel_diario!$L869),1)-1</f>
        <v/>
      </c>
      <c r="C873" s="22">
        <f>(1+C872)*IF(AND(Painel_diario!$H869="EU_JU",Painel_diario!$J869=1),EXP(Painel_diario!$L869),1)-1</f>
        <v/>
      </c>
      <c r="D873" s="22">
        <f>(1+D872)*IF(AND(Painel_diario!$H869="ED_JD",Painel_diario!$J869=1),EXP(Painel_diario!$L869),1)-1</f>
        <v/>
      </c>
      <c r="E873" s="22">
        <f>(1+E872)*IF(AND(Painel_diario!$H869="ED_JU",Painel_diario!$J869=1),EXP(Painel_diario!$L869),1)-1</f>
        <v/>
      </c>
    </row>
    <row r="874">
      <c r="A874" s="25" t="n">
        <v>40095</v>
      </c>
      <c r="B874" s="22">
        <f>(1+B873)*IF(AND(Painel_diario!$H870="EU_JD",Painel_diario!$J870=1),EXP(Painel_diario!$L870),1)-1</f>
        <v/>
      </c>
      <c r="C874" s="22">
        <f>(1+C873)*IF(AND(Painel_diario!$H870="EU_JU",Painel_diario!$J870=1),EXP(Painel_diario!$L870),1)-1</f>
        <v/>
      </c>
      <c r="D874" s="22">
        <f>(1+D873)*IF(AND(Painel_diario!$H870="ED_JD",Painel_diario!$J870=1),EXP(Painel_diario!$L870),1)-1</f>
        <v/>
      </c>
      <c r="E874" s="22">
        <f>(1+E873)*IF(AND(Painel_diario!$H870="ED_JU",Painel_diario!$J870=1),EXP(Painel_diario!$L870),1)-1</f>
        <v/>
      </c>
    </row>
    <row r="875">
      <c r="A875" s="25" t="n">
        <v>40099</v>
      </c>
      <c r="B875" s="22">
        <f>(1+B874)*IF(AND(Painel_diario!$H871="EU_JD",Painel_diario!$J871=1),EXP(Painel_diario!$L871),1)-1</f>
        <v/>
      </c>
      <c r="C875" s="22">
        <f>(1+C874)*IF(AND(Painel_diario!$H871="EU_JU",Painel_diario!$J871=1),EXP(Painel_diario!$L871),1)-1</f>
        <v/>
      </c>
      <c r="D875" s="22">
        <f>(1+D874)*IF(AND(Painel_diario!$H871="ED_JD",Painel_diario!$J871=1),EXP(Painel_diario!$L871),1)-1</f>
        <v/>
      </c>
      <c r="E875" s="22">
        <f>(1+E874)*IF(AND(Painel_diario!$H871="ED_JU",Painel_diario!$J871=1),EXP(Painel_diario!$L871),1)-1</f>
        <v/>
      </c>
    </row>
    <row r="876">
      <c r="A876" s="25" t="n">
        <v>40100</v>
      </c>
      <c r="B876" s="22">
        <f>(1+B875)*IF(AND(Painel_diario!$H872="EU_JD",Painel_diario!$J872=1),EXP(Painel_diario!$L872),1)-1</f>
        <v/>
      </c>
      <c r="C876" s="22">
        <f>(1+C875)*IF(AND(Painel_diario!$H872="EU_JU",Painel_diario!$J872=1),EXP(Painel_diario!$L872),1)-1</f>
        <v/>
      </c>
      <c r="D876" s="22">
        <f>(1+D875)*IF(AND(Painel_diario!$H872="ED_JD",Painel_diario!$J872=1),EXP(Painel_diario!$L872),1)-1</f>
        <v/>
      </c>
      <c r="E876" s="22">
        <f>(1+E875)*IF(AND(Painel_diario!$H872="ED_JU",Painel_diario!$J872=1),EXP(Painel_diario!$L872),1)-1</f>
        <v/>
      </c>
    </row>
    <row r="877">
      <c r="A877" s="25" t="n">
        <v>40101</v>
      </c>
      <c r="B877" s="22">
        <f>(1+B876)*IF(AND(Painel_diario!$H873="EU_JD",Painel_diario!$J873=1),EXP(Painel_diario!$L873),1)-1</f>
        <v/>
      </c>
      <c r="C877" s="22">
        <f>(1+C876)*IF(AND(Painel_diario!$H873="EU_JU",Painel_diario!$J873=1),EXP(Painel_diario!$L873),1)-1</f>
        <v/>
      </c>
      <c r="D877" s="22">
        <f>(1+D876)*IF(AND(Painel_diario!$H873="ED_JD",Painel_diario!$J873=1),EXP(Painel_diario!$L873),1)-1</f>
        <v/>
      </c>
      <c r="E877" s="22">
        <f>(1+E876)*IF(AND(Painel_diario!$H873="ED_JU",Painel_diario!$J873=1),EXP(Painel_diario!$L873),1)-1</f>
        <v/>
      </c>
    </row>
    <row r="878">
      <c r="A878" s="25" t="n">
        <v>40102</v>
      </c>
      <c r="B878" s="22">
        <f>(1+B877)*IF(AND(Painel_diario!$H874="EU_JD",Painel_diario!$J874=1),EXP(Painel_diario!$L874),1)-1</f>
        <v/>
      </c>
      <c r="C878" s="22">
        <f>(1+C877)*IF(AND(Painel_diario!$H874="EU_JU",Painel_diario!$J874=1),EXP(Painel_diario!$L874),1)-1</f>
        <v/>
      </c>
      <c r="D878" s="22">
        <f>(1+D877)*IF(AND(Painel_diario!$H874="ED_JD",Painel_diario!$J874=1),EXP(Painel_diario!$L874),1)-1</f>
        <v/>
      </c>
      <c r="E878" s="22">
        <f>(1+E877)*IF(AND(Painel_diario!$H874="ED_JU",Painel_diario!$J874=1),EXP(Painel_diario!$L874),1)-1</f>
        <v/>
      </c>
    </row>
    <row r="879">
      <c r="A879" s="25" t="n">
        <v>40105</v>
      </c>
      <c r="B879" s="22">
        <f>(1+B878)*IF(AND(Painel_diario!$H875="EU_JD",Painel_diario!$J875=1),EXP(Painel_diario!$L875),1)-1</f>
        <v/>
      </c>
      <c r="C879" s="22">
        <f>(1+C878)*IF(AND(Painel_diario!$H875="EU_JU",Painel_diario!$J875=1),EXP(Painel_diario!$L875),1)-1</f>
        <v/>
      </c>
      <c r="D879" s="22">
        <f>(1+D878)*IF(AND(Painel_diario!$H875="ED_JD",Painel_diario!$J875=1),EXP(Painel_diario!$L875),1)-1</f>
        <v/>
      </c>
      <c r="E879" s="22">
        <f>(1+E878)*IF(AND(Painel_diario!$H875="ED_JU",Painel_diario!$J875=1),EXP(Painel_diario!$L875),1)-1</f>
        <v/>
      </c>
    </row>
    <row r="880">
      <c r="A880" s="25" t="n">
        <v>40106</v>
      </c>
      <c r="B880" s="22">
        <f>(1+B879)*IF(AND(Painel_diario!$H876="EU_JD",Painel_diario!$J876=1),EXP(Painel_diario!$L876),1)-1</f>
        <v/>
      </c>
      <c r="C880" s="22">
        <f>(1+C879)*IF(AND(Painel_diario!$H876="EU_JU",Painel_diario!$J876=1),EXP(Painel_diario!$L876),1)-1</f>
        <v/>
      </c>
      <c r="D880" s="22">
        <f>(1+D879)*IF(AND(Painel_diario!$H876="ED_JD",Painel_diario!$J876=1),EXP(Painel_diario!$L876),1)-1</f>
        <v/>
      </c>
      <c r="E880" s="22">
        <f>(1+E879)*IF(AND(Painel_diario!$H876="ED_JU",Painel_diario!$J876=1),EXP(Painel_diario!$L876),1)-1</f>
        <v/>
      </c>
    </row>
    <row r="881">
      <c r="A881" s="25" t="n">
        <v>40107</v>
      </c>
      <c r="B881" s="22">
        <f>(1+B880)*IF(AND(Painel_diario!$H877="EU_JD",Painel_diario!$J877=1),EXP(Painel_diario!$L877),1)-1</f>
        <v/>
      </c>
      <c r="C881" s="22">
        <f>(1+C880)*IF(AND(Painel_diario!$H877="EU_JU",Painel_diario!$J877=1),EXP(Painel_diario!$L877),1)-1</f>
        <v/>
      </c>
      <c r="D881" s="22">
        <f>(1+D880)*IF(AND(Painel_diario!$H877="ED_JD",Painel_diario!$J877=1),EXP(Painel_diario!$L877),1)-1</f>
        <v/>
      </c>
      <c r="E881" s="22">
        <f>(1+E880)*IF(AND(Painel_diario!$H877="ED_JU",Painel_diario!$J877=1),EXP(Painel_diario!$L877),1)-1</f>
        <v/>
      </c>
    </row>
    <row r="882">
      <c r="A882" s="25" t="n">
        <v>40108</v>
      </c>
      <c r="B882" s="22">
        <f>(1+B881)*IF(AND(Painel_diario!$H878="EU_JD",Painel_diario!$J878=1),EXP(Painel_diario!$L878),1)-1</f>
        <v/>
      </c>
      <c r="C882" s="22">
        <f>(1+C881)*IF(AND(Painel_diario!$H878="EU_JU",Painel_diario!$J878=1),EXP(Painel_diario!$L878),1)-1</f>
        <v/>
      </c>
      <c r="D882" s="22">
        <f>(1+D881)*IF(AND(Painel_diario!$H878="ED_JD",Painel_diario!$J878=1),EXP(Painel_diario!$L878),1)-1</f>
        <v/>
      </c>
      <c r="E882" s="22">
        <f>(1+E881)*IF(AND(Painel_diario!$H878="ED_JU",Painel_diario!$J878=1),EXP(Painel_diario!$L878),1)-1</f>
        <v/>
      </c>
    </row>
    <row r="883">
      <c r="A883" s="25" t="n">
        <v>40109</v>
      </c>
      <c r="B883" s="22">
        <f>(1+B882)*IF(AND(Painel_diario!$H879="EU_JD",Painel_diario!$J879=1),EXP(Painel_diario!$L879),1)-1</f>
        <v/>
      </c>
      <c r="C883" s="22">
        <f>(1+C882)*IF(AND(Painel_diario!$H879="EU_JU",Painel_diario!$J879=1),EXP(Painel_diario!$L879),1)-1</f>
        <v/>
      </c>
      <c r="D883" s="22">
        <f>(1+D882)*IF(AND(Painel_diario!$H879="ED_JD",Painel_diario!$J879=1),EXP(Painel_diario!$L879),1)-1</f>
        <v/>
      </c>
      <c r="E883" s="22">
        <f>(1+E882)*IF(AND(Painel_diario!$H879="ED_JU",Painel_diario!$J879=1),EXP(Painel_diario!$L879),1)-1</f>
        <v/>
      </c>
    </row>
    <row r="884">
      <c r="A884" s="25" t="n">
        <v>40112</v>
      </c>
      <c r="B884" s="22">
        <f>(1+B883)*IF(AND(Painel_diario!$H880="EU_JD",Painel_diario!$J880=1),EXP(Painel_diario!$L880),1)-1</f>
        <v/>
      </c>
      <c r="C884" s="22">
        <f>(1+C883)*IF(AND(Painel_diario!$H880="EU_JU",Painel_diario!$J880=1),EXP(Painel_diario!$L880),1)-1</f>
        <v/>
      </c>
      <c r="D884" s="22">
        <f>(1+D883)*IF(AND(Painel_diario!$H880="ED_JD",Painel_diario!$J880=1),EXP(Painel_diario!$L880),1)-1</f>
        <v/>
      </c>
      <c r="E884" s="22">
        <f>(1+E883)*IF(AND(Painel_diario!$H880="ED_JU",Painel_diario!$J880=1),EXP(Painel_diario!$L880),1)-1</f>
        <v/>
      </c>
    </row>
    <row r="885">
      <c r="A885" s="25" t="n">
        <v>40113</v>
      </c>
      <c r="B885" s="22">
        <f>(1+B884)*IF(AND(Painel_diario!$H881="EU_JD",Painel_diario!$J881=1),EXP(Painel_diario!$L881),1)-1</f>
        <v/>
      </c>
      <c r="C885" s="22">
        <f>(1+C884)*IF(AND(Painel_diario!$H881="EU_JU",Painel_diario!$J881=1),EXP(Painel_diario!$L881),1)-1</f>
        <v/>
      </c>
      <c r="D885" s="22">
        <f>(1+D884)*IF(AND(Painel_diario!$H881="ED_JD",Painel_diario!$J881=1),EXP(Painel_diario!$L881),1)-1</f>
        <v/>
      </c>
      <c r="E885" s="22">
        <f>(1+E884)*IF(AND(Painel_diario!$H881="ED_JU",Painel_diario!$J881=1),EXP(Painel_diario!$L881),1)-1</f>
        <v/>
      </c>
    </row>
    <row r="886">
      <c r="A886" s="25" t="n">
        <v>40114</v>
      </c>
      <c r="B886" s="22">
        <f>(1+B885)*IF(AND(Painel_diario!$H882="EU_JD",Painel_diario!$J882=1),EXP(Painel_diario!$L882),1)-1</f>
        <v/>
      </c>
      <c r="C886" s="22">
        <f>(1+C885)*IF(AND(Painel_diario!$H882="EU_JU",Painel_diario!$J882=1),EXP(Painel_diario!$L882),1)-1</f>
        <v/>
      </c>
      <c r="D886" s="22">
        <f>(1+D885)*IF(AND(Painel_diario!$H882="ED_JD",Painel_diario!$J882=1),EXP(Painel_diario!$L882),1)-1</f>
        <v/>
      </c>
      <c r="E886" s="22">
        <f>(1+E885)*IF(AND(Painel_diario!$H882="ED_JU",Painel_diario!$J882=1),EXP(Painel_diario!$L882),1)-1</f>
        <v/>
      </c>
    </row>
    <row r="887">
      <c r="A887" s="25" t="n">
        <v>40115</v>
      </c>
      <c r="B887" s="22">
        <f>(1+B886)*IF(AND(Painel_diario!$H883="EU_JD",Painel_diario!$J883=1),EXP(Painel_diario!$L883),1)-1</f>
        <v/>
      </c>
      <c r="C887" s="22">
        <f>(1+C886)*IF(AND(Painel_diario!$H883="EU_JU",Painel_diario!$J883=1),EXP(Painel_diario!$L883),1)-1</f>
        <v/>
      </c>
      <c r="D887" s="22">
        <f>(1+D886)*IF(AND(Painel_diario!$H883="ED_JD",Painel_diario!$J883=1),EXP(Painel_diario!$L883),1)-1</f>
        <v/>
      </c>
      <c r="E887" s="22">
        <f>(1+E886)*IF(AND(Painel_diario!$H883="ED_JU",Painel_diario!$J883=1),EXP(Painel_diario!$L883),1)-1</f>
        <v/>
      </c>
    </row>
    <row r="888">
      <c r="A888" s="25" t="n">
        <v>40116</v>
      </c>
      <c r="B888" s="22">
        <f>(1+B887)*IF(AND(Painel_diario!$H884="EU_JD",Painel_diario!$J884=1),EXP(Painel_diario!$L884),1)-1</f>
        <v/>
      </c>
      <c r="C888" s="22">
        <f>(1+C887)*IF(AND(Painel_diario!$H884="EU_JU",Painel_diario!$J884=1),EXP(Painel_diario!$L884),1)-1</f>
        <v/>
      </c>
      <c r="D888" s="22">
        <f>(1+D887)*IF(AND(Painel_diario!$H884="ED_JD",Painel_diario!$J884=1),EXP(Painel_diario!$L884),1)-1</f>
        <v/>
      </c>
      <c r="E888" s="22">
        <f>(1+E887)*IF(AND(Painel_diario!$H884="ED_JU",Painel_diario!$J884=1),EXP(Painel_diario!$L884),1)-1</f>
        <v/>
      </c>
    </row>
    <row r="889">
      <c r="A889" s="25" t="n">
        <v>40120</v>
      </c>
      <c r="B889" s="22">
        <f>(1+B888)*IF(AND(Painel_diario!$H885="EU_JD",Painel_diario!$J885=1),EXP(Painel_diario!$L885),1)-1</f>
        <v/>
      </c>
      <c r="C889" s="22">
        <f>(1+C888)*IF(AND(Painel_diario!$H885="EU_JU",Painel_diario!$J885=1),EXP(Painel_diario!$L885),1)-1</f>
        <v/>
      </c>
      <c r="D889" s="22">
        <f>(1+D888)*IF(AND(Painel_diario!$H885="ED_JD",Painel_diario!$J885=1),EXP(Painel_diario!$L885),1)-1</f>
        <v/>
      </c>
      <c r="E889" s="22">
        <f>(1+E888)*IF(AND(Painel_diario!$H885="ED_JU",Painel_diario!$J885=1),EXP(Painel_diario!$L885),1)-1</f>
        <v/>
      </c>
    </row>
    <row r="890">
      <c r="A890" s="25" t="n">
        <v>40121</v>
      </c>
      <c r="B890" s="22">
        <f>(1+B889)*IF(AND(Painel_diario!$H886="EU_JD",Painel_diario!$J886=1),EXP(Painel_diario!$L886),1)-1</f>
        <v/>
      </c>
      <c r="C890" s="22">
        <f>(1+C889)*IF(AND(Painel_diario!$H886="EU_JU",Painel_diario!$J886=1),EXP(Painel_diario!$L886),1)-1</f>
        <v/>
      </c>
      <c r="D890" s="22">
        <f>(1+D889)*IF(AND(Painel_diario!$H886="ED_JD",Painel_diario!$J886=1),EXP(Painel_diario!$L886),1)-1</f>
        <v/>
      </c>
      <c r="E890" s="22">
        <f>(1+E889)*IF(AND(Painel_diario!$H886="ED_JU",Painel_diario!$J886=1),EXP(Painel_diario!$L886),1)-1</f>
        <v/>
      </c>
    </row>
    <row r="891">
      <c r="A891" s="25" t="n">
        <v>40122</v>
      </c>
      <c r="B891" s="22">
        <f>(1+B890)*IF(AND(Painel_diario!$H887="EU_JD",Painel_diario!$J887=1),EXP(Painel_diario!$L887),1)-1</f>
        <v/>
      </c>
      <c r="C891" s="22">
        <f>(1+C890)*IF(AND(Painel_diario!$H887="EU_JU",Painel_diario!$J887=1),EXP(Painel_diario!$L887),1)-1</f>
        <v/>
      </c>
      <c r="D891" s="22">
        <f>(1+D890)*IF(AND(Painel_diario!$H887="ED_JD",Painel_diario!$J887=1),EXP(Painel_diario!$L887),1)-1</f>
        <v/>
      </c>
      <c r="E891" s="22">
        <f>(1+E890)*IF(AND(Painel_diario!$H887="ED_JU",Painel_diario!$J887=1),EXP(Painel_diario!$L887),1)-1</f>
        <v/>
      </c>
    </row>
    <row r="892">
      <c r="A892" s="25" t="n">
        <v>40123</v>
      </c>
      <c r="B892" s="22">
        <f>(1+B891)*IF(AND(Painel_diario!$H888="EU_JD",Painel_diario!$J888=1),EXP(Painel_diario!$L888),1)-1</f>
        <v/>
      </c>
      <c r="C892" s="22">
        <f>(1+C891)*IF(AND(Painel_diario!$H888="EU_JU",Painel_diario!$J888=1),EXP(Painel_diario!$L888),1)-1</f>
        <v/>
      </c>
      <c r="D892" s="22">
        <f>(1+D891)*IF(AND(Painel_diario!$H888="ED_JD",Painel_diario!$J888=1),EXP(Painel_diario!$L888),1)-1</f>
        <v/>
      </c>
      <c r="E892" s="22">
        <f>(1+E891)*IF(AND(Painel_diario!$H888="ED_JU",Painel_diario!$J888=1),EXP(Painel_diario!$L888),1)-1</f>
        <v/>
      </c>
    </row>
    <row r="893">
      <c r="A893" s="25" t="n">
        <v>40126</v>
      </c>
      <c r="B893" s="22">
        <f>(1+B892)*IF(AND(Painel_diario!$H889="EU_JD",Painel_diario!$J889=1),EXP(Painel_diario!$L889),1)-1</f>
        <v/>
      </c>
      <c r="C893" s="22">
        <f>(1+C892)*IF(AND(Painel_diario!$H889="EU_JU",Painel_diario!$J889=1),EXP(Painel_diario!$L889),1)-1</f>
        <v/>
      </c>
      <c r="D893" s="22">
        <f>(1+D892)*IF(AND(Painel_diario!$H889="ED_JD",Painel_diario!$J889=1),EXP(Painel_diario!$L889),1)-1</f>
        <v/>
      </c>
      <c r="E893" s="22">
        <f>(1+E892)*IF(AND(Painel_diario!$H889="ED_JU",Painel_diario!$J889=1),EXP(Painel_diario!$L889),1)-1</f>
        <v/>
      </c>
    </row>
    <row r="894">
      <c r="A894" s="25" t="n">
        <v>40127</v>
      </c>
      <c r="B894" s="22">
        <f>(1+B893)*IF(AND(Painel_diario!$H890="EU_JD",Painel_diario!$J890=1),EXP(Painel_diario!$L890),1)-1</f>
        <v/>
      </c>
      <c r="C894" s="22">
        <f>(1+C893)*IF(AND(Painel_diario!$H890="EU_JU",Painel_diario!$J890=1),EXP(Painel_diario!$L890),1)-1</f>
        <v/>
      </c>
      <c r="D894" s="22">
        <f>(1+D893)*IF(AND(Painel_diario!$H890="ED_JD",Painel_diario!$J890=1),EXP(Painel_diario!$L890),1)-1</f>
        <v/>
      </c>
      <c r="E894" s="22">
        <f>(1+E893)*IF(AND(Painel_diario!$H890="ED_JU",Painel_diario!$J890=1),EXP(Painel_diario!$L890),1)-1</f>
        <v/>
      </c>
    </row>
    <row r="895">
      <c r="A895" s="25" t="n">
        <v>40128</v>
      </c>
      <c r="B895" s="22">
        <f>(1+B894)*IF(AND(Painel_diario!$H891="EU_JD",Painel_diario!$J891=1),EXP(Painel_diario!$L891),1)-1</f>
        <v/>
      </c>
      <c r="C895" s="22">
        <f>(1+C894)*IF(AND(Painel_diario!$H891="EU_JU",Painel_diario!$J891=1),EXP(Painel_diario!$L891),1)-1</f>
        <v/>
      </c>
      <c r="D895" s="22">
        <f>(1+D894)*IF(AND(Painel_diario!$H891="ED_JD",Painel_diario!$J891=1),EXP(Painel_diario!$L891),1)-1</f>
        <v/>
      </c>
      <c r="E895" s="22">
        <f>(1+E894)*IF(AND(Painel_diario!$H891="ED_JU",Painel_diario!$J891=1),EXP(Painel_diario!$L891),1)-1</f>
        <v/>
      </c>
    </row>
    <row r="896">
      <c r="A896" s="25" t="n">
        <v>40129</v>
      </c>
      <c r="B896" s="22">
        <f>(1+B895)*IF(AND(Painel_diario!$H892="EU_JD",Painel_diario!$J892=1),EXP(Painel_diario!$L892),1)-1</f>
        <v/>
      </c>
      <c r="C896" s="22">
        <f>(1+C895)*IF(AND(Painel_diario!$H892="EU_JU",Painel_diario!$J892=1),EXP(Painel_diario!$L892),1)-1</f>
        <v/>
      </c>
      <c r="D896" s="22">
        <f>(1+D895)*IF(AND(Painel_diario!$H892="ED_JD",Painel_diario!$J892=1),EXP(Painel_diario!$L892),1)-1</f>
        <v/>
      </c>
      <c r="E896" s="22">
        <f>(1+E895)*IF(AND(Painel_diario!$H892="ED_JU",Painel_diario!$J892=1),EXP(Painel_diario!$L892),1)-1</f>
        <v/>
      </c>
    </row>
    <row r="897">
      <c r="A897" s="25" t="n">
        <v>40130</v>
      </c>
      <c r="B897" s="22">
        <f>(1+B896)*IF(AND(Painel_diario!$H893="EU_JD",Painel_diario!$J893=1),EXP(Painel_diario!$L893),1)-1</f>
        <v/>
      </c>
      <c r="C897" s="22">
        <f>(1+C896)*IF(AND(Painel_diario!$H893="EU_JU",Painel_diario!$J893=1),EXP(Painel_diario!$L893),1)-1</f>
        <v/>
      </c>
      <c r="D897" s="22">
        <f>(1+D896)*IF(AND(Painel_diario!$H893="ED_JD",Painel_diario!$J893=1),EXP(Painel_diario!$L893),1)-1</f>
        <v/>
      </c>
      <c r="E897" s="22">
        <f>(1+E896)*IF(AND(Painel_diario!$H893="ED_JU",Painel_diario!$J893=1),EXP(Painel_diario!$L893),1)-1</f>
        <v/>
      </c>
    </row>
    <row r="898">
      <c r="A898" s="25" t="n">
        <v>40133</v>
      </c>
      <c r="B898" s="22">
        <f>(1+B897)*IF(AND(Painel_diario!$H894="EU_JD",Painel_diario!$J894=1),EXP(Painel_diario!$L894),1)-1</f>
        <v/>
      </c>
      <c r="C898" s="22">
        <f>(1+C897)*IF(AND(Painel_diario!$H894="EU_JU",Painel_diario!$J894=1),EXP(Painel_diario!$L894),1)-1</f>
        <v/>
      </c>
      <c r="D898" s="22">
        <f>(1+D897)*IF(AND(Painel_diario!$H894="ED_JD",Painel_diario!$J894=1),EXP(Painel_diario!$L894),1)-1</f>
        <v/>
      </c>
      <c r="E898" s="22">
        <f>(1+E897)*IF(AND(Painel_diario!$H894="ED_JU",Painel_diario!$J894=1),EXP(Painel_diario!$L894),1)-1</f>
        <v/>
      </c>
    </row>
    <row r="899">
      <c r="A899" s="25" t="n">
        <v>40134</v>
      </c>
      <c r="B899" s="22">
        <f>(1+B898)*IF(AND(Painel_diario!$H895="EU_JD",Painel_diario!$J895=1),EXP(Painel_diario!$L895),1)-1</f>
        <v/>
      </c>
      <c r="C899" s="22">
        <f>(1+C898)*IF(AND(Painel_diario!$H895="EU_JU",Painel_diario!$J895=1),EXP(Painel_diario!$L895),1)-1</f>
        <v/>
      </c>
      <c r="D899" s="22">
        <f>(1+D898)*IF(AND(Painel_diario!$H895="ED_JD",Painel_diario!$J895=1),EXP(Painel_diario!$L895),1)-1</f>
        <v/>
      </c>
      <c r="E899" s="22">
        <f>(1+E898)*IF(AND(Painel_diario!$H895="ED_JU",Painel_diario!$J895=1),EXP(Painel_diario!$L895),1)-1</f>
        <v/>
      </c>
    </row>
    <row r="900">
      <c r="A900" s="25" t="n">
        <v>40135</v>
      </c>
      <c r="B900" s="22">
        <f>(1+B899)*IF(AND(Painel_diario!$H896="EU_JD",Painel_diario!$J896=1),EXP(Painel_diario!$L896),1)-1</f>
        <v/>
      </c>
      <c r="C900" s="22">
        <f>(1+C899)*IF(AND(Painel_diario!$H896="EU_JU",Painel_diario!$J896=1),EXP(Painel_diario!$L896),1)-1</f>
        <v/>
      </c>
      <c r="D900" s="22">
        <f>(1+D899)*IF(AND(Painel_diario!$H896="ED_JD",Painel_diario!$J896=1),EXP(Painel_diario!$L896),1)-1</f>
        <v/>
      </c>
      <c r="E900" s="22">
        <f>(1+E899)*IF(AND(Painel_diario!$H896="ED_JU",Painel_diario!$J896=1),EXP(Painel_diario!$L896),1)-1</f>
        <v/>
      </c>
    </row>
    <row r="901">
      <c r="A901" s="25" t="n">
        <v>40136</v>
      </c>
      <c r="B901" s="22">
        <f>(1+B900)*IF(AND(Painel_diario!$H897="EU_JD",Painel_diario!$J897=1),EXP(Painel_diario!$L897),1)-1</f>
        <v/>
      </c>
      <c r="C901" s="22">
        <f>(1+C900)*IF(AND(Painel_diario!$H897="EU_JU",Painel_diario!$J897=1),EXP(Painel_diario!$L897),1)-1</f>
        <v/>
      </c>
      <c r="D901" s="22">
        <f>(1+D900)*IF(AND(Painel_diario!$H897="ED_JD",Painel_diario!$J897=1),EXP(Painel_diario!$L897),1)-1</f>
        <v/>
      </c>
      <c r="E901" s="22">
        <f>(1+E900)*IF(AND(Painel_diario!$H897="ED_JU",Painel_diario!$J897=1),EXP(Painel_diario!$L897),1)-1</f>
        <v/>
      </c>
    </row>
    <row r="902">
      <c r="A902" s="25" t="n">
        <v>40140</v>
      </c>
      <c r="B902" s="22">
        <f>(1+B901)*IF(AND(Painel_diario!$H898="EU_JD",Painel_diario!$J898=1),EXP(Painel_diario!$L898),1)-1</f>
        <v/>
      </c>
      <c r="C902" s="22">
        <f>(1+C901)*IF(AND(Painel_diario!$H898="EU_JU",Painel_diario!$J898=1),EXP(Painel_diario!$L898),1)-1</f>
        <v/>
      </c>
      <c r="D902" s="22">
        <f>(1+D901)*IF(AND(Painel_diario!$H898="ED_JD",Painel_diario!$J898=1),EXP(Painel_diario!$L898),1)-1</f>
        <v/>
      </c>
      <c r="E902" s="22">
        <f>(1+E901)*IF(AND(Painel_diario!$H898="ED_JU",Painel_diario!$J898=1),EXP(Painel_diario!$L898),1)-1</f>
        <v/>
      </c>
    </row>
    <row r="903">
      <c r="A903" s="25" t="n">
        <v>40141</v>
      </c>
      <c r="B903" s="22">
        <f>(1+B902)*IF(AND(Painel_diario!$H899="EU_JD",Painel_diario!$J899=1),EXP(Painel_diario!$L899),1)-1</f>
        <v/>
      </c>
      <c r="C903" s="22">
        <f>(1+C902)*IF(AND(Painel_diario!$H899="EU_JU",Painel_diario!$J899=1),EXP(Painel_diario!$L899),1)-1</f>
        <v/>
      </c>
      <c r="D903" s="22">
        <f>(1+D902)*IF(AND(Painel_diario!$H899="ED_JD",Painel_diario!$J899=1),EXP(Painel_diario!$L899),1)-1</f>
        <v/>
      </c>
      <c r="E903" s="22">
        <f>(1+E902)*IF(AND(Painel_diario!$H899="ED_JU",Painel_diario!$J899=1),EXP(Painel_diario!$L899),1)-1</f>
        <v/>
      </c>
    </row>
    <row r="904">
      <c r="A904" s="25" t="n">
        <v>40142</v>
      </c>
      <c r="B904" s="22">
        <f>(1+B903)*IF(AND(Painel_diario!$H900="EU_JD",Painel_diario!$J900=1),EXP(Painel_diario!$L900),1)-1</f>
        <v/>
      </c>
      <c r="C904" s="22">
        <f>(1+C903)*IF(AND(Painel_diario!$H900="EU_JU",Painel_diario!$J900=1),EXP(Painel_diario!$L900),1)-1</f>
        <v/>
      </c>
      <c r="D904" s="22">
        <f>(1+D903)*IF(AND(Painel_diario!$H900="ED_JD",Painel_diario!$J900=1),EXP(Painel_diario!$L900),1)-1</f>
        <v/>
      </c>
      <c r="E904" s="22">
        <f>(1+E903)*IF(AND(Painel_diario!$H900="ED_JU",Painel_diario!$J900=1),EXP(Painel_diario!$L900),1)-1</f>
        <v/>
      </c>
    </row>
    <row r="905">
      <c r="A905" s="25" t="n">
        <v>40143</v>
      </c>
      <c r="B905" s="22">
        <f>(1+B904)*IF(AND(Painel_diario!$H901="EU_JD",Painel_diario!$J901=1),EXP(Painel_diario!$L901),1)-1</f>
        <v/>
      </c>
      <c r="C905" s="22">
        <f>(1+C904)*IF(AND(Painel_diario!$H901="EU_JU",Painel_diario!$J901=1),EXP(Painel_diario!$L901),1)-1</f>
        <v/>
      </c>
      <c r="D905" s="22">
        <f>(1+D904)*IF(AND(Painel_diario!$H901="ED_JD",Painel_diario!$J901=1),EXP(Painel_diario!$L901),1)-1</f>
        <v/>
      </c>
      <c r="E905" s="22">
        <f>(1+E904)*IF(AND(Painel_diario!$H901="ED_JU",Painel_diario!$J901=1),EXP(Painel_diario!$L901),1)-1</f>
        <v/>
      </c>
    </row>
    <row r="906">
      <c r="A906" s="25" t="n">
        <v>40144</v>
      </c>
      <c r="B906" s="22">
        <f>(1+B905)*IF(AND(Painel_diario!$H902="EU_JD",Painel_diario!$J902=1),EXP(Painel_diario!$L902),1)-1</f>
        <v/>
      </c>
      <c r="C906" s="22">
        <f>(1+C905)*IF(AND(Painel_diario!$H902="EU_JU",Painel_diario!$J902=1),EXP(Painel_diario!$L902),1)-1</f>
        <v/>
      </c>
      <c r="D906" s="22">
        <f>(1+D905)*IF(AND(Painel_diario!$H902="ED_JD",Painel_diario!$J902=1),EXP(Painel_diario!$L902),1)-1</f>
        <v/>
      </c>
      <c r="E906" s="22">
        <f>(1+E905)*IF(AND(Painel_diario!$H902="ED_JU",Painel_diario!$J902=1),EXP(Painel_diario!$L902),1)-1</f>
        <v/>
      </c>
    </row>
    <row r="907">
      <c r="A907" s="25" t="n">
        <v>40147</v>
      </c>
      <c r="B907" s="22">
        <f>(1+B906)*IF(AND(Painel_diario!$H903="EU_JD",Painel_diario!$J903=1),EXP(Painel_diario!$L903),1)-1</f>
        <v/>
      </c>
      <c r="C907" s="22">
        <f>(1+C906)*IF(AND(Painel_diario!$H903="EU_JU",Painel_diario!$J903=1),EXP(Painel_diario!$L903),1)-1</f>
        <v/>
      </c>
      <c r="D907" s="22">
        <f>(1+D906)*IF(AND(Painel_diario!$H903="ED_JD",Painel_diario!$J903=1),EXP(Painel_diario!$L903),1)-1</f>
        <v/>
      </c>
      <c r="E907" s="22">
        <f>(1+E906)*IF(AND(Painel_diario!$H903="ED_JU",Painel_diario!$J903=1),EXP(Painel_diario!$L903),1)-1</f>
        <v/>
      </c>
    </row>
    <row r="908">
      <c r="A908" s="25" t="n">
        <v>40148</v>
      </c>
      <c r="B908" s="22">
        <f>(1+B907)*IF(AND(Painel_diario!$H904="EU_JD",Painel_diario!$J904=1),EXP(Painel_diario!$L904),1)-1</f>
        <v/>
      </c>
      <c r="C908" s="22">
        <f>(1+C907)*IF(AND(Painel_diario!$H904="EU_JU",Painel_diario!$J904=1),EXP(Painel_diario!$L904),1)-1</f>
        <v/>
      </c>
      <c r="D908" s="22">
        <f>(1+D907)*IF(AND(Painel_diario!$H904="ED_JD",Painel_diario!$J904=1),EXP(Painel_diario!$L904),1)-1</f>
        <v/>
      </c>
      <c r="E908" s="22">
        <f>(1+E907)*IF(AND(Painel_diario!$H904="ED_JU",Painel_diario!$J904=1),EXP(Painel_diario!$L904),1)-1</f>
        <v/>
      </c>
    </row>
    <row r="909">
      <c r="A909" s="25" t="n">
        <v>40149</v>
      </c>
      <c r="B909" s="22">
        <f>(1+B908)*IF(AND(Painel_diario!$H905="EU_JD",Painel_diario!$J905=1),EXP(Painel_diario!$L905),1)-1</f>
        <v/>
      </c>
      <c r="C909" s="22">
        <f>(1+C908)*IF(AND(Painel_diario!$H905="EU_JU",Painel_diario!$J905=1),EXP(Painel_diario!$L905),1)-1</f>
        <v/>
      </c>
      <c r="D909" s="22">
        <f>(1+D908)*IF(AND(Painel_diario!$H905="ED_JD",Painel_diario!$J905=1),EXP(Painel_diario!$L905),1)-1</f>
        <v/>
      </c>
      <c r="E909" s="22">
        <f>(1+E908)*IF(AND(Painel_diario!$H905="ED_JU",Painel_diario!$J905=1),EXP(Painel_diario!$L905),1)-1</f>
        <v/>
      </c>
    </row>
    <row r="910">
      <c r="A910" s="25" t="n">
        <v>40150</v>
      </c>
      <c r="B910" s="22">
        <f>(1+B909)*IF(AND(Painel_diario!$H906="EU_JD",Painel_diario!$J906=1),EXP(Painel_diario!$L906),1)-1</f>
        <v/>
      </c>
      <c r="C910" s="22">
        <f>(1+C909)*IF(AND(Painel_diario!$H906="EU_JU",Painel_diario!$J906=1),EXP(Painel_diario!$L906),1)-1</f>
        <v/>
      </c>
      <c r="D910" s="22">
        <f>(1+D909)*IF(AND(Painel_diario!$H906="ED_JD",Painel_diario!$J906=1),EXP(Painel_diario!$L906),1)-1</f>
        <v/>
      </c>
      <c r="E910" s="22">
        <f>(1+E909)*IF(AND(Painel_diario!$H906="ED_JU",Painel_diario!$J906=1),EXP(Painel_diario!$L906),1)-1</f>
        <v/>
      </c>
    </row>
    <row r="911">
      <c r="A911" s="25" t="n">
        <v>40151</v>
      </c>
      <c r="B911" s="22">
        <f>(1+B910)*IF(AND(Painel_diario!$H907="EU_JD",Painel_diario!$J907=1),EXP(Painel_diario!$L907),1)-1</f>
        <v/>
      </c>
      <c r="C911" s="22">
        <f>(1+C910)*IF(AND(Painel_diario!$H907="EU_JU",Painel_diario!$J907=1),EXP(Painel_diario!$L907),1)-1</f>
        <v/>
      </c>
      <c r="D911" s="22">
        <f>(1+D910)*IF(AND(Painel_diario!$H907="ED_JD",Painel_diario!$J907=1),EXP(Painel_diario!$L907),1)-1</f>
        <v/>
      </c>
      <c r="E911" s="22">
        <f>(1+E910)*IF(AND(Painel_diario!$H907="ED_JU",Painel_diario!$J907=1),EXP(Painel_diario!$L907),1)-1</f>
        <v/>
      </c>
    </row>
    <row r="912">
      <c r="A912" s="25" t="n">
        <v>40154</v>
      </c>
      <c r="B912" s="22">
        <f>(1+B911)*IF(AND(Painel_diario!$H908="EU_JD",Painel_diario!$J908=1),EXP(Painel_diario!$L908),1)-1</f>
        <v/>
      </c>
      <c r="C912" s="22">
        <f>(1+C911)*IF(AND(Painel_diario!$H908="EU_JU",Painel_diario!$J908=1),EXP(Painel_diario!$L908),1)-1</f>
        <v/>
      </c>
      <c r="D912" s="22">
        <f>(1+D911)*IF(AND(Painel_diario!$H908="ED_JD",Painel_diario!$J908=1),EXP(Painel_diario!$L908),1)-1</f>
        <v/>
      </c>
      <c r="E912" s="22">
        <f>(1+E911)*IF(AND(Painel_diario!$H908="ED_JU",Painel_diario!$J908=1),EXP(Painel_diario!$L908),1)-1</f>
        <v/>
      </c>
    </row>
    <row r="913">
      <c r="A913" s="25" t="n">
        <v>40155</v>
      </c>
      <c r="B913" s="22">
        <f>(1+B912)*IF(AND(Painel_diario!$H909="EU_JD",Painel_diario!$J909=1),EXP(Painel_diario!$L909),1)-1</f>
        <v/>
      </c>
      <c r="C913" s="22">
        <f>(1+C912)*IF(AND(Painel_diario!$H909="EU_JU",Painel_diario!$J909=1),EXP(Painel_diario!$L909),1)-1</f>
        <v/>
      </c>
      <c r="D913" s="22">
        <f>(1+D912)*IF(AND(Painel_diario!$H909="ED_JD",Painel_diario!$J909=1),EXP(Painel_diario!$L909),1)-1</f>
        <v/>
      </c>
      <c r="E913" s="22">
        <f>(1+E912)*IF(AND(Painel_diario!$H909="ED_JU",Painel_diario!$J909=1),EXP(Painel_diario!$L909),1)-1</f>
        <v/>
      </c>
    </row>
    <row r="914">
      <c r="A914" s="25" t="n">
        <v>40156</v>
      </c>
      <c r="B914" s="22">
        <f>(1+B913)*IF(AND(Painel_diario!$H910="EU_JD",Painel_diario!$J910=1),EXP(Painel_diario!$L910),1)-1</f>
        <v/>
      </c>
      <c r="C914" s="22">
        <f>(1+C913)*IF(AND(Painel_diario!$H910="EU_JU",Painel_diario!$J910=1),EXP(Painel_diario!$L910),1)-1</f>
        <v/>
      </c>
      <c r="D914" s="22">
        <f>(1+D913)*IF(AND(Painel_diario!$H910="ED_JD",Painel_diario!$J910=1),EXP(Painel_diario!$L910),1)-1</f>
        <v/>
      </c>
      <c r="E914" s="22">
        <f>(1+E913)*IF(AND(Painel_diario!$H910="ED_JU",Painel_diario!$J910=1),EXP(Painel_diario!$L910),1)-1</f>
        <v/>
      </c>
    </row>
    <row r="915">
      <c r="A915" s="25" t="n">
        <v>40157</v>
      </c>
      <c r="B915" s="22">
        <f>(1+B914)*IF(AND(Painel_diario!$H911="EU_JD",Painel_diario!$J911=1),EXP(Painel_diario!$L911),1)-1</f>
        <v/>
      </c>
      <c r="C915" s="22">
        <f>(1+C914)*IF(AND(Painel_diario!$H911="EU_JU",Painel_diario!$J911=1),EXP(Painel_diario!$L911),1)-1</f>
        <v/>
      </c>
      <c r="D915" s="22">
        <f>(1+D914)*IF(AND(Painel_diario!$H911="ED_JD",Painel_diario!$J911=1),EXP(Painel_diario!$L911),1)-1</f>
        <v/>
      </c>
      <c r="E915" s="22">
        <f>(1+E914)*IF(AND(Painel_diario!$H911="ED_JU",Painel_diario!$J911=1),EXP(Painel_diario!$L911),1)-1</f>
        <v/>
      </c>
    </row>
    <row r="916">
      <c r="A916" s="25" t="n">
        <v>40158</v>
      </c>
      <c r="B916" s="22">
        <f>(1+B915)*IF(AND(Painel_diario!$H912="EU_JD",Painel_diario!$J912=1),EXP(Painel_diario!$L912),1)-1</f>
        <v/>
      </c>
      <c r="C916" s="22">
        <f>(1+C915)*IF(AND(Painel_diario!$H912="EU_JU",Painel_diario!$J912=1),EXP(Painel_diario!$L912),1)-1</f>
        <v/>
      </c>
      <c r="D916" s="22">
        <f>(1+D915)*IF(AND(Painel_diario!$H912="ED_JD",Painel_diario!$J912=1),EXP(Painel_diario!$L912),1)-1</f>
        <v/>
      </c>
      <c r="E916" s="22">
        <f>(1+E915)*IF(AND(Painel_diario!$H912="ED_JU",Painel_diario!$J912=1),EXP(Painel_diario!$L912),1)-1</f>
        <v/>
      </c>
    </row>
    <row r="917">
      <c r="A917" s="25" t="n">
        <v>40161</v>
      </c>
      <c r="B917" s="22">
        <f>(1+B916)*IF(AND(Painel_diario!$H913="EU_JD",Painel_diario!$J913=1),EXP(Painel_diario!$L913),1)-1</f>
        <v/>
      </c>
      <c r="C917" s="22">
        <f>(1+C916)*IF(AND(Painel_diario!$H913="EU_JU",Painel_diario!$J913=1),EXP(Painel_diario!$L913),1)-1</f>
        <v/>
      </c>
      <c r="D917" s="22">
        <f>(1+D916)*IF(AND(Painel_diario!$H913="ED_JD",Painel_diario!$J913=1),EXP(Painel_diario!$L913),1)-1</f>
        <v/>
      </c>
      <c r="E917" s="22">
        <f>(1+E916)*IF(AND(Painel_diario!$H913="ED_JU",Painel_diario!$J913=1),EXP(Painel_diario!$L913),1)-1</f>
        <v/>
      </c>
    </row>
    <row r="918">
      <c r="A918" s="25" t="n">
        <v>40162</v>
      </c>
      <c r="B918" s="22">
        <f>(1+B917)*IF(AND(Painel_diario!$H914="EU_JD",Painel_diario!$J914=1),EXP(Painel_diario!$L914),1)-1</f>
        <v/>
      </c>
      <c r="C918" s="22">
        <f>(1+C917)*IF(AND(Painel_diario!$H914="EU_JU",Painel_diario!$J914=1),EXP(Painel_diario!$L914),1)-1</f>
        <v/>
      </c>
      <c r="D918" s="22">
        <f>(1+D917)*IF(AND(Painel_diario!$H914="ED_JD",Painel_diario!$J914=1),EXP(Painel_diario!$L914),1)-1</f>
        <v/>
      </c>
      <c r="E918" s="22">
        <f>(1+E917)*IF(AND(Painel_diario!$H914="ED_JU",Painel_diario!$J914=1),EXP(Painel_diario!$L914),1)-1</f>
        <v/>
      </c>
    </row>
    <row r="919">
      <c r="A919" s="25" t="n">
        <v>40163</v>
      </c>
      <c r="B919" s="22">
        <f>(1+B918)*IF(AND(Painel_diario!$H915="EU_JD",Painel_diario!$J915=1),EXP(Painel_diario!$L915),1)-1</f>
        <v/>
      </c>
      <c r="C919" s="22">
        <f>(1+C918)*IF(AND(Painel_diario!$H915="EU_JU",Painel_diario!$J915=1),EXP(Painel_diario!$L915),1)-1</f>
        <v/>
      </c>
      <c r="D919" s="22">
        <f>(1+D918)*IF(AND(Painel_diario!$H915="ED_JD",Painel_diario!$J915=1),EXP(Painel_diario!$L915),1)-1</f>
        <v/>
      </c>
      <c r="E919" s="22">
        <f>(1+E918)*IF(AND(Painel_diario!$H915="ED_JU",Painel_diario!$J915=1),EXP(Painel_diario!$L915),1)-1</f>
        <v/>
      </c>
    </row>
    <row r="920">
      <c r="A920" s="25" t="n">
        <v>40164</v>
      </c>
      <c r="B920" s="22">
        <f>(1+B919)*IF(AND(Painel_diario!$H916="EU_JD",Painel_diario!$J916=1),EXP(Painel_diario!$L916),1)-1</f>
        <v/>
      </c>
      <c r="C920" s="22">
        <f>(1+C919)*IF(AND(Painel_diario!$H916="EU_JU",Painel_diario!$J916=1),EXP(Painel_diario!$L916),1)-1</f>
        <v/>
      </c>
      <c r="D920" s="22">
        <f>(1+D919)*IF(AND(Painel_diario!$H916="ED_JD",Painel_diario!$J916=1),EXP(Painel_diario!$L916),1)-1</f>
        <v/>
      </c>
      <c r="E920" s="22">
        <f>(1+E919)*IF(AND(Painel_diario!$H916="ED_JU",Painel_diario!$J916=1),EXP(Painel_diario!$L916),1)-1</f>
        <v/>
      </c>
    </row>
    <row r="921">
      <c r="A921" s="25" t="n">
        <v>40165</v>
      </c>
      <c r="B921" s="22">
        <f>(1+B920)*IF(AND(Painel_diario!$H917="EU_JD",Painel_diario!$J917=1),EXP(Painel_diario!$L917),1)-1</f>
        <v/>
      </c>
      <c r="C921" s="22">
        <f>(1+C920)*IF(AND(Painel_diario!$H917="EU_JU",Painel_diario!$J917=1),EXP(Painel_diario!$L917),1)-1</f>
        <v/>
      </c>
      <c r="D921" s="22">
        <f>(1+D920)*IF(AND(Painel_diario!$H917="ED_JD",Painel_diario!$J917=1),EXP(Painel_diario!$L917),1)-1</f>
        <v/>
      </c>
      <c r="E921" s="22">
        <f>(1+E920)*IF(AND(Painel_diario!$H917="ED_JU",Painel_diario!$J917=1),EXP(Painel_diario!$L917),1)-1</f>
        <v/>
      </c>
    </row>
    <row r="922">
      <c r="A922" s="25" t="n">
        <v>40168</v>
      </c>
      <c r="B922" s="22">
        <f>(1+B921)*IF(AND(Painel_diario!$H918="EU_JD",Painel_diario!$J918=1),EXP(Painel_diario!$L918),1)-1</f>
        <v/>
      </c>
      <c r="C922" s="22">
        <f>(1+C921)*IF(AND(Painel_diario!$H918="EU_JU",Painel_diario!$J918=1),EXP(Painel_diario!$L918),1)-1</f>
        <v/>
      </c>
      <c r="D922" s="22">
        <f>(1+D921)*IF(AND(Painel_diario!$H918="ED_JD",Painel_diario!$J918=1),EXP(Painel_diario!$L918),1)-1</f>
        <v/>
      </c>
      <c r="E922" s="22">
        <f>(1+E921)*IF(AND(Painel_diario!$H918="ED_JU",Painel_diario!$J918=1),EXP(Painel_diario!$L918),1)-1</f>
        <v/>
      </c>
    </row>
    <row r="923">
      <c r="A923" s="25" t="n">
        <v>40169</v>
      </c>
      <c r="B923" s="22">
        <f>(1+B922)*IF(AND(Painel_diario!$H919="EU_JD",Painel_diario!$J919=1),EXP(Painel_diario!$L919),1)-1</f>
        <v/>
      </c>
      <c r="C923" s="22">
        <f>(1+C922)*IF(AND(Painel_diario!$H919="EU_JU",Painel_diario!$J919=1),EXP(Painel_diario!$L919),1)-1</f>
        <v/>
      </c>
      <c r="D923" s="22">
        <f>(1+D922)*IF(AND(Painel_diario!$H919="ED_JD",Painel_diario!$J919=1),EXP(Painel_diario!$L919),1)-1</f>
        <v/>
      </c>
      <c r="E923" s="22">
        <f>(1+E922)*IF(AND(Painel_diario!$H919="ED_JU",Painel_diario!$J919=1),EXP(Painel_diario!$L919),1)-1</f>
        <v/>
      </c>
    </row>
    <row r="924">
      <c r="A924" s="25" t="n">
        <v>40170</v>
      </c>
      <c r="B924" s="22">
        <f>(1+B923)*IF(AND(Painel_diario!$H920="EU_JD",Painel_diario!$J920=1),EXP(Painel_diario!$L920),1)-1</f>
        <v/>
      </c>
      <c r="C924" s="22">
        <f>(1+C923)*IF(AND(Painel_diario!$H920="EU_JU",Painel_diario!$J920=1),EXP(Painel_diario!$L920),1)-1</f>
        <v/>
      </c>
      <c r="D924" s="22">
        <f>(1+D923)*IF(AND(Painel_diario!$H920="ED_JD",Painel_diario!$J920=1),EXP(Painel_diario!$L920),1)-1</f>
        <v/>
      </c>
      <c r="E924" s="22">
        <f>(1+E923)*IF(AND(Painel_diario!$H920="ED_JU",Painel_diario!$J920=1),EXP(Painel_diario!$L920),1)-1</f>
        <v/>
      </c>
    </row>
    <row r="925">
      <c r="A925" s="25" t="n">
        <v>40175</v>
      </c>
      <c r="B925" s="22">
        <f>(1+B924)*IF(AND(Painel_diario!$H921="EU_JD",Painel_diario!$J921=1),EXP(Painel_diario!$L921),1)-1</f>
        <v/>
      </c>
      <c r="C925" s="22">
        <f>(1+C924)*IF(AND(Painel_diario!$H921="EU_JU",Painel_diario!$J921=1),EXP(Painel_diario!$L921),1)-1</f>
        <v/>
      </c>
      <c r="D925" s="22">
        <f>(1+D924)*IF(AND(Painel_diario!$H921="ED_JD",Painel_diario!$J921=1),EXP(Painel_diario!$L921),1)-1</f>
        <v/>
      </c>
      <c r="E925" s="22">
        <f>(1+E924)*IF(AND(Painel_diario!$H921="ED_JU",Painel_diario!$J921=1),EXP(Painel_diario!$L921),1)-1</f>
        <v/>
      </c>
    </row>
    <row r="926">
      <c r="A926" s="25" t="n">
        <v>40176</v>
      </c>
      <c r="B926" s="22">
        <f>(1+B925)*IF(AND(Painel_diario!$H922="EU_JD",Painel_diario!$J922=1),EXP(Painel_diario!$L922),1)-1</f>
        <v/>
      </c>
      <c r="C926" s="22">
        <f>(1+C925)*IF(AND(Painel_diario!$H922="EU_JU",Painel_diario!$J922=1),EXP(Painel_diario!$L922),1)-1</f>
        <v/>
      </c>
      <c r="D926" s="22">
        <f>(1+D925)*IF(AND(Painel_diario!$H922="ED_JD",Painel_diario!$J922=1),EXP(Painel_diario!$L922),1)-1</f>
        <v/>
      </c>
      <c r="E926" s="22">
        <f>(1+E925)*IF(AND(Painel_diario!$H922="ED_JU",Painel_diario!$J922=1),EXP(Painel_diario!$L922),1)-1</f>
        <v/>
      </c>
    </row>
    <row r="927">
      <c r="A927" s="25" t="n">
        <v>40177</v>
      </c>
      <c r="B927" s="22">
        <f>(1+B926)*IF(AND(Painel_diario!$H923="EU_JD",Painel_diario!$J923=1),EXP(Painel_diario!$L923),1)-1</f>
        <v/>
      </c>
      <c r="C927" s="22">
        <f>(1+C926)*IF(AND(Painel_diario!$H923="EU_JU",Painel_diario!$J923=1),EXP(Painel_diario!$L923),1)-1</f>
        <v/>
      </c>
      <c r="D927" s="22">
        <f>(1+D926)*IF(AND(Painel_diario!$H923="ED_JD",Painel_diario!$J923=1),EXP(Painel_diario!$L923),1)-1</f>
        <v/>
      </c>
      <c r="E927" s="22">
        <f>(1+E926)*IF(AND(Painel_diario!$H923="ED_JU",Painel_diario!$J923=1),EXP(Painel_diario!$L923),1)-1</f>
        <v/>
      </c>
    </row>
    <row r="928">
      <c r="A928" s="25" t="n">
        <v>40182</v>
      </c>
      <c r="B928" s="22">
        <f>(1+B927)*IF(AND(Painel_diario!$H924="EU_JD",Painel_diario!$J924=1),EXP(Painel_diario!$L924),1)-1</f>
        <v/>
      </c>
      <c r="C928" s="22">
        <f>(1+C927)*IF(AND(Painel_diario!$H924="EU_JU",Painel_diario!$J924=1),EXP(Painel_diario!$L924),1)-1</f>
        <v/>
      </c>
      <c r="D928" s="22">
        <f>(1+D927)*IF(AND(Painel_diario!$H924="ED_JD",Painel_diario!$J924=1),EXP(Painel_diario!$L924),1)-1</f>
        <v/>
      </c>
      <c r="E928" s="22">
        <f>(1+E927)*IF(AND(Painel_diario!$H924="ED_JU",Painel_diario!$J924=1),EXP(Painel_diario!$L924),1)-1</f>
        <v/>
      </c>
    </row>
    <row r="929">
      <c r="A929" s="25" t="n">
        <v>40183</v>
      </c>
      <c r="B929" s="22">
        <f>(1+B928)*IF(AND(Painel_diario!$H925="EU_JD",Painel_diario!$J925=1),EXP(Painel_diario!$L925),1)-1</f>
        <v/>
      </c>
      <c r="C929" s="22">
        <f>(1+C928)*IF(AND(Painel_diario!$H925="EU_JU",Painel_diario!$J925=1),EXP(Painel_diario!$L925),1)-1</f>
        <v/>
      </c>
      <c r="D929" s="22">
        <f>(1+D928)*IF(AND(Painel_diario!$H925="ED_JD",Painel_diario!$J925=1),EXP(Painel_diario!$L925),1)-1</f>
        <v/>
      </c>
      <c r="E929" s="22">
        <f>(1+E928)*IF(AND(Painel_diario!$H925="ED_JU",Painel_diario!$J925=1),EXP(Painel_diario!$L925),1)-1</f>
        <v/>
      </c>
    </row>
    <row r="930">
      <c r="A930" s="25" t="n">
        <v>40184</v>
      </c>
      <c r="B930" s="22">
        <f>(1+B929)*IF(AND(Painel_diario!$H926="EU_JD",Painel_diario!$J926=1),EXP(Painel_diario!$L926),1)-1</f>
        <v/>
      </c>
      <c r="C930" s="22">
        <f>(1+C929)*IF(AND(Painel_diario!$H926="EU_JU",Painel_diario!$J926=1),EXP(Painel_diario!$L926),1)-1</f>
        <v/>
      </c>
      <c r="D930" s="22">
        <f>(1+D929)*IF(AND(Painel_diario!$H926="ED_JD",Painel_diario!$J926=1),EXP(Painel_diario!$L926),1)-1</f>
        <v/>
      </c>
      <c r="E930" s="22">
        <f>(1+E929)*IF(AND(Painel_diario!$H926="ED_JU",Painel_diario!$J926=1),EXP(Painel_diario!$L926),1)-1</f>
        <v/>
      </c>
    </row>
    <row r="931">
      <c r="A931" s="25" t="n">
        <v>40185</v>
      </c>
      <c r="B931" s="22">
        <f>(1+B930)*IF(AND(Painel_diario!$H927="EU_JD",Painel_diario!$J927=1),EXP(Painel_diario!$L927),1)-1</f>
        <v/>
      </c>
      <c r="C931" s="22">
        <f>(1+C930)*IF(AND(Painel_diario!$H927="EU_JU",Painel_diario!$J927=1),EXP(Painel_diario!$L927),1)-1</f>
        <v/>
      </c>
      <c r="D931" s="22">
        <f>(1+D930)*IF(AND(Painel_diario!$H927="ED_JD",Painel_diario!$J927=1),EXP(Painel_diario!$L927),1)-1</f>
        <v/>
      </c>
      <c r="E931" s="22">
        <f>(1+E930)*IF(AND(Painel_diario!$H927="ED_JU",Painel_diario!$J927=1),EXP(Painel_diario!$L927),1)-1</f>
        <v/>
      </c>
    </row>
    <row r="932">
      <c r="A932" s="25" t="n">
        <v>40186</v>
      </c>
      <c r="B932" s="22">
        <f>(1+B931)*IF(AND(Painel_diario!$H928="EU_JD",Painel_diario!$J928=1),EXP(Painel_diario!$L928),1)-1</f>
        <v/>
      </c>
      <c r="C932" s="22">
        <f>(1+C931)*IF(AND(Painel_diario!$H928="EU_JU",Painel_diario!$J928=1),EXP(Painel_diario!$L928),1)-1</f>
        <v/>
      </c>
      <c r="D932" s="22">
        <f>(1+D931)*IF(AND(Painel_diario!$H928="ED_JD",Painel_diario!$J928=1),EXP(Painel_diario!$L928),1)-1</f>
        <v/>
      </c>
      <c r="E932" s="22">
        <f>(1+E931)*IF(AND(Painel_diario!$H928="ED_JU",Painel_diario!$J928=1),EXP(Painel_diario!$L928),1)-1</f>
        <v/>
      </c>
    </row>
    <row r="933">
      <c r="A933" s="25" t="n">
        <v>40189</v>
      </c>
      <c r="B933" s="22">
        <f>(1+B932)*IF(AND(Painel_diario!$H929="EU_JD",Painel_diario!$J929=1),EXP(Painel_diario!$L929),1)-1</f>
        <v/>
      </c>
      <c r="C933" s="22">
        <f>(1+C932)*IF(AND(Painel_diario!$H929="EU_JU",Painel_diario!$J929=1),EXP(Painel_diario!$L929),1)-1</f>
        <v/>
      </c>
      <c r="D933" s="22">
        <f>(1+D932)*IF(AND(Painel_diario!$H929="ED_JD",Painel_diario!$J929=1),EXP(Painel_diario!$L929),1)-1</f>
        <v/>
      </c>
      <c r="E933" s="22">
        <f>(1+E932)*IF(AND(Painel_diario!$H929="ED_JU",Painel_diario!$J929=1),EXP(Painel_diario!$L929),1)-1</f>
        <v/>
      </c>
    </row>
    <row r="934">
      <c r="A934" s="25" t="n">
        <v>40190</v>
      </c>
      <c r="B934" s="22">
        <f>(1+B933)*IF(AND(Painel_diario!$H930="EU_JD",Painel_diario!$J930=1),EXP(Painel_diario!$L930),1)-1</f>
        <v/>
      </c>
      <c r="C934" s="22">
        <f>(1+C933)*IF(AND(Painel_diario!$H930="EU_JU",Painel_diario!$J930=1),EXP(Painel_diario!$L930),1)-1</f>
        <v/>
      </c>
      <c r="D934" s="22">
        <f>(1+D933)*IF(AND(Painel_diario!$H930="ED_JD",Painel_diario!$J930=1),EXP(Painel_diario!$L930),1)-1</f>
        <v/>
      </c>
      <c r="E934" s="22">
        <f>(1+E933)*IF(AND(Painel_diario!$H930="ED_JU",Painel_diario!$J930=1),EXP(Painel_diario!$L930),1)-1</f>
        <v/>
      </c>
    </row>
    <row r="935">
      <c r="A935" s="25" t="n">
        <v>40191</v>
      </c>
      <c r="B935" s="22">
        <f>(1+B934)*IF(AND(Painel_diario!$H931="EU_JD",Painel_diario!$J931=1),EXP(Painel_diario!$L931),1)-1</f>
        <v/>
      </c>
      <c r="C935" s="22">
        <f>(1+C934)*IF(AND(Painel_diario!$H931="EU_JU",Painel_diario!$J931=1),EXP(Painel_diario!$L931),1)-1</f>
        <v/>
      </c>
      <c r="D935" s="22">
        <f>(1+D934)*IF(AND(Painel_diario!$H931="ED_JD",Painel_diario!$J931=1),EXP(Painel_diario!$L931),1)-1</f>
        <v/>
      </c>
      <c r="E935" s="22">
        <f>(1+E934)*IF(AND(Painel_diario!$H931="ED_JU",Painel_diario!$J931=1),EXP(Painel_diario!$L931),1)-1</f>
        <v/>
      </c>
    </row>
    <row r="936">
      <c r="A936" s="25" t="n">
        <v>40192</v>
      </c>
      <c r="B936" s="22">
        <f>(1+B935)*IF(AND(Painel_diario!$H932="EU_JD",Painel_diario!$J932=1),EXP(Painel_diario!$L932),1)-1</f>
        <v/>
      </c>
      <c r="C936" s="22">
        <f>(1+C935)*IF(AND(Painel_diario!$H932="EU_JU",Painel_diario!$J932=1),EXP(Painel_diario!$L932),1)-1</f>
        <v/>
      </c>
      <c r="D936" s="22">
        <f>(1+D935)*IF(AND(Painel_diario!$H932="ED_JD",Painel_diario!$J932=1),EXP(Painel_diario!$L932),1)-1</f>
        <v/>
      </c>
      <c r="E936" s="22">
        <f>(1+E935)*IF(AND(Painel_diario!$H932="ED_JU",Painel_diario!$J932=1),EXP(Painel_diario!$L932),1)-1</f>
        <v/>
      </c>
    </row>
    <row r="937">
      <c r="A937" s="25" t="n">
        <v>40193</v>
      </c>
      <c r="B937" s="22">
        <f>(1+B936)*IF(AND(Painel_diario!$H933="EU_JD",Painel_diario!$J933=1),EXP(Painel_diario!$L933),1)-1</f>
        <v/>
      </c>
      <c r="C937" s="22">
        <f>(1+C936)*IF(AND(Painel_diario!$H933="EU_JU",Painel_diario!$J933=1),EXP(Painel_diario!$L933),1)-1</f>
        <v/>
      </c>
      <c r="D937" s="22">
        <f>(1+D936)*IF(AND(Painel_diario!$H933="ED_JD",Painel_diario!$J933=1),EXP(Painel_diario!$L933),1)-1</f>
        <v/>
      </c>
      <c r="E937" s="22">
        <f>(1+E936)*IF(AND(Painel_diario!$H933="ED_JU",Painel_diario!$J933=1),EXP(Painel_diario!$L933),1)-1</f>
        <v/>
      </c>
    </row>
    <row r="938">
      <c r="A938" s="25" t="n">
        <v>40196</v>
      </c>
      <c r="B938" s="22">
        <f>(1+B937)*IF(AND(Painel_diario!$H934="EU_JD",Painel_diario!$J934=1),EXP(Painel_diario!$L934),1)-1</f>
        <v/>
      </c>
      <c r="C938" s="22">
        <f>(1+C937)*IF(AND(Painel_diario!$H934="EU_JU",Painel_diario!$J934=1),EXP(Painel_diario!$L934),1)-1</f>
        <v/>
      </c>
      <c r="D938" s="22">
        <f>(1+D937)*IF(AND(Painel_diario!$H934="ED_JD",Painel_diario!$J934=1),EXP(Painel_diario!$L934),1)-1</f>
        <v/>
      </c>
      <c r="E938" s="22">
        <f>(1+E937)*IF(AND(Painel_diario!$H934="ED_JU",Painel_diario!$J934=1),EXP(Painel_diario!$L934),1)-1</f>
        <v/>
      </c>
    </row>
    <row r="939">
      <c r="A939" s="25" t="n">
        <v>40197</v>
      </c>
      <c r="B939" s="22">
        <f>(1+B938)*IF(AND(Painel_diario!$H935="EU_JD",Painel_diario!$J935=1),EXP(Painel_diario!$L935),1)-1</f>
        <v/>
      </c>
      <c r="C939" s="22">
        <f>(1+C938)*IF(AND(Painel_diario!$H935="EU_JU",Painel_diario!$J935=1),EXP(Painel_diario!$L935),1)-1</f>
        <v/>
      </c>
      <c r="D939" s="22">
        <f>(1+D938)*IF(AND(Painel_diario!$H935="ED_JD",Painel_diario!$J935=1),EXP(Painel_diario!$L935),1)-1</f>
        <v/>
      </c>
      <c r="E939" s="22">
        <f>(1+E938)*IF(AND(Painel_diario!$H935="ED_JU",Painel_diario!$J935=1),EXP(Painel_diario!$L935),1)-1</f>
        <v/>
      </c>
    </row>
    <row r="940">
      <c r="A940" s="25" t="n">
        <v>40198</v>
      </c>
      <c r="B940" s="22">
        <f>(1+B939)*IF(AND(Painel_diario!$H936="EU_JD",Painel_diario!$J936=1),EXP(Painel_diario!$L936),1)-1</f>
        <v/>
      </c>
      <c r="C940" s="22">
        <f>(1+C939)*IF(AND(Painel_diario!$H936="EU_JU",Painel_diario!$J936=1),EXP(Painel_diario!$L936),1)-1</f>
        <v/>
      </c>
      <c r="D940" s="22">
        <f>(1+D939)*IF(AND(Painel_diario!$H936="ED_JD",Painel_diario!$J936=1),EXP(Painel_diario!$L936),1)-1</f>
        <v/>
      </c>
      <c r="E940" s="22">
        <f>(1+E939)*IF(AND(Painel_diario!$H936="ED_JU",Painel_diario!$J936=1),EXP(Painel_diario!$L936),1)-1</f>
        <v/>
      </c>
    </row>
    <row r="941">
      <c r="A941" s="25" t="n">
        <v>40199</v>
      </c>
      <c r="B941" s="22">
        <f>(1+B940)*IF(AND(Painel_diario!$H937="EU_JD",Painel_diario!$J937=1),EXP(Painel_diario!$L937),1)-1</f>
        <v/>
      </c>
      <c r="C941" s="22">
        <f>(1+C940)*IF(AND(Painel_diario!$H937="EU_JU",Painel_diario!$J937=1),EXP(Painel_diario!$L937),1)-1</f>
        <v/>
      </c>
      <c r="D941" s="22">
        <f>(1+D940)*IF(AND(Painel_diario!$H937="ED_JD",Painel_diario!$J937=1),EXP(Painel_diario!$L937),1)-1</f>
        <v/>
      </c>
      <c r="E941" s="22">
        <f>(1+E940)*IF(AND(Painel_diario!$H937="ED_JU",Painel_diario!$J937=1),EXP(Painel_diario!$L937),1)-1</f>
        <v/>
      </c>
    </row>
    <row r="942">
      <c r="A942" s="25" t="n">
        <v>40200</v>
      </c>
      <c r="B942" s="22">
        <f>(1+B941)*IF(AND(Painel_diario!$H938="EU_JD",Painel_diario!$J938=1),EXP(Painel_diario!$L938),1)-1</f>
        <v/>
      </c>
      <c r="C942" s="22">
        <f>(1+C941)*IF(AND(Painel_diario!$H938="EU_JU",Painel_diario!$J938=1),EXP(Painel_diario!$L938),1)-1</f>
        <v/>
      </c>
      <c r="D942" s="22">
        <f>(1+D941)*IF(AND(Painel_diario!$H938="ED_JD",Painel_diario!$J938=1),EXP(Painel_diario!$L938),1)-1</f>
        <v/>
      </c>
      <c r="E942" s="22">
        <f>(1+E941)*IF(AND(Painel_diario!$H938="ED_JU",Painel_diario!$J938=1),EXP(Painel_diario!$L938),1)-1</f>
        <v/>
      </c>
    </row>
    <row r="943">
      <c r="A943" s="25" t="n">
        <v>40204</v>
      </c>
      <c r="B943" s="22">
        <f>(1+B942)*IF(AND(Painel_diario!$H939="EU_JD",Painel_diario!$J939=1),EXP(Painel_diario!$L939),1)-1</f>
        <v/>
      </c>
      <c r="C943" s="22">
        <f>(1+C942)*IF(AND(Painel_diario!$H939="EU_JU",Painel_diario!$J939=1),EXP(Painel_diario!$L939),1)-1</f>
        <v/>
      </c>
      <c r="D943" s="22">
        <f>(1+D942)*IF(AND(Painel_diario!$H939="ED_JD",Painel_diario!$J939=1),EXP(Painel_diario!$L939),1)-1</f>
        <v/>
      </c>
      <c r="E943" s="22">
        <f>(1+E942)*IF(AND(Painel_diario!$H939="ED_JU",Painel_diario!$J939=1),EXP(Painel_diario!$L939),1)-1</f>
        <v/>
      </c>
    </row>
    <row r="944">
      <c r="A944" s="25" t="n">
        <v>40205</v>
      </c>
      <c r="B944" s="22">
        <f>(1+B943)*IF(AND(Painel_diario!$H940="EU_JD",Painel_diario!$J940=1),EXP(Painel_diario!$L940),1)-1</f>
        <v/>
      </c>
      <c r="C944" s="22">
        <f>(1+C943)*IF(AND(Painel_diario!$H940="EU_JU",Painel_diario!$J940=1),EXP(Painel_diario!$L940),1)-1</f>
        <v/>
      </c>
      <c r="D944" s="22">
        <f>(1+D943)*IF(AND(Painel_diario!$H940="ED_JD",Painel_diario!$J940=1),EXP(Painel_diario!$L940),1)-1</f>
        <v/>
      </c>
      <c r="E944" s="22">
        <f>(1+E943)*IF(AND(Painel_diario!$H940="ED_JU",Painel_diario!$J940=1),EXP(Painel_diario!$L940),1)-1</f>
        <v/>
      </c>
    </row>
    <row r="945">
      <c r="A945" s="25" t="n">
        <v>40206</v>
      </c>
      <c r="B945" s="22">
        <f>(1+B944)*IF(AND(Painel_diario!$H941="EU_JD",Painel_diario!$J941=1),EXP(Painel_diario!$L941),1)-1</f>
        <v/>
      </c>
      <c r="C945" s="22">
        <f>(1+C944)*IF(AND(Painel_diario!$H941="EU_JU",Painel_diario!$J941=1),EXP(Painel_diario!$L941),1)-1</f>
        <v/>
      </c>
      <c r="D945" s="22">
        <f>(1+D944)*IF(AND(Painel_diario!$H941="ED_JD",Painel_diario!$J941=1),EXP(Painel_diario!$L941),1)-1</f>
        <v/>
      </c>
      <c r="E945" s="22">
        <f>(1+E944)*IF(AND(Painel_diario!$H941="ED_JU",Painel_diario!$J941=1),EXP(Painel_diario!$L941),1)-1</f>
        <v/>
      </c>
    </row>
    <row r="946">
      <c r="A946" s="25" t="n">
        <v>40207</v>
      </c>
      <c r="B946" s="22">
        <f>(1+B945)*IF(AND(Painel_diario!$H942="EU_JD",Painel_diario!$J942=1),EXP(Painel_diario!$L942),1)-1</f>
        <v/>
      </c>
      <c r="C946" s="22">
        <f>(1+C945)*IF(AND(Painel_diario!$H942="EU_JU",Painel_diario!$J942=1),EXP(Painel_diario!$L942),1)-1</f>
        <v/>
      </c>
      <c r="D946" s="22">
        <f>(1+D945)*IF(AND(Painel_diario!$H942="ED_JD",Painel_diario!$J942=1),EXP(Painel_diario!$L942),1)-1</f>
        <v/>
      </c>
      <c r="E946" s="22">
        <f>(1+E945)*IF(AND(Painel_diario!$H942="ED_JU",Painel_diario!$J942=1),EXP(Painel_diario!$L942),1)-1</f>
        <v/>
      </c>
    </row>
    <row r="947">
      <c r="A947" s="25" t="n">
        <v>40210</v>
      </c>
      <c r="B947" s="22">
        <f>(1+B946)*IF(AND(Painel_diario!$H943="EU_JD",Painel_diario!$J943=1),EXP(Painel_diario!$L943),1)-1</f>
        <v/>
      </c>
      <c r="C947" s="22">
        <f>(1+C946)*IF(AND(Painel_diario!$H943="EU_JU",Painel_diario!$J943=1),EXP(Painel_diario!$L943),1)-1</f>
        <v/>
      </c>
      <c r="D947" s="22">
        <f>(1+D946)*IF(AND(Painel_diario!$H943="ED_JD",Painel_diario!$J943=1),EXP(Painel_diario!$L943),1)-1</f>
        <v/>
      </c>
      <c r="E947" s="22">
        <f>(1+E946)*IF(AND(Painel_diario!$H943="ED_JU",Painel_diario!$J943=1),EXP(Painel_diario!$L943),1)-1</f>
        <v/>
      </c>
    </row>
    <row r="948">
      <c r="A948" s="25" t="n">
        <v>40211</v>
      </c>
      <c r="B948" s="22">
        <f>(1+B947)*IF(AND(Painel_diario!$H944="EU_JD",Painel_diario!$J944=1),EXP(Painel_diario!$L944),1)-1</f>
        <v/>
      </c>
      <c r="C948" s="22">
        <f>(1+C947)*IF(AND(Painel_diario!$H944="EU_JU",Painel_diario!$J944=1),EXP(Painel_diario!$L944),1)-1</f>
        <v/>
      </c>
      <c r="D948" s="22">
        <f>(1+D947)*IF(AND(Painel_diario!$H944="ED_JD",Painel_diario!$J944=1),EXP(Painel_diario!$L944),1)-1</f>
        <v/>
      </c>
      <c r="E948" s="22">
        <f>(1+E947)*IF(AND(Painel_diario!$H944="ED_JU",Painel_diario!$J944=1),EXP(Painel_diario!$L944),1)-1</f>
        <v/>
      </c>
    </row>
    <row r="949">
      <c r="A949" s="25" t="n">
        <v>40212</v>
      </c>
      <c r="B949" s="22">
        <f>(1+B948)*IF(AND(Painel_diario!$H945="EU_JD",Painel_diario!$J945=1),EXP(Painel_diario!$L945),1)-1</f>
        <v/>
      </c>
      <c r="C949" s="22">
        <f>(1+C948)*IF(AND(Painel_diario!$H945="EU_JU",Painel_diario!$J945=1),EXP(Painel_diario!$L945),1)-1</f>
        <v/>
      </c>
      <c r="D949" s="22">
        <f>(1+D948)*IF(AND(Painel_diario!$H945="ED_JD",Painel_diario!$J945=1),EXP(Painel_diario!$L945),1)-1</f>
        <v/>
      </c>
      <c r="E949" s="22">
        <f>(1+E948)*IF(AND(Painel_diario!$H945="ED_JU",Painel_diario!$J945=1),EXP(Painel_diario!$L945),1)-1</f>
        <v/>
      </c>
    </row>
    <row r="950">
      <c r="A950" s="25" t="n">
        <v>40213</v>
      </c>
      <c r="B950" s="22">
        <f>(1+B949)*IF(AND(Painel_diario!$H946="EU_JD",Painel_diario!$J946=1),EXP(Painel_diario!$L946),1)-1</f>
        <v/>
      </c>
      <c r="C950" s="22">
        <f>(1+C949)*IF(AND(Painel_diario!$H946="EU_JU",Painel_diario!$J946=1),EXP(Painel_diario!$L946),1)-1</f>
        <v/>
      </c>
      <c r="D950" s="22">
        <f>(1+D949)*IF(AND(Painel_diario!$H946="ED_JD",Painel_diario!$J946=1),EXP(Painel_diario!$L946),1)-1</f>
        <v/>
      </c>
      <c r="E950" s="22">
        <f>(1+E949)*IF(AND(Painel_diario!$H946="ED_JU",Painel_diario!$J946=1),EXP(Painel_diario!$L946),1)-1</f>
        <v/>
      </c>
    </row>
    <row r="951">
      <c r="A951" s="25" t="n">
        <v>40214</v>
      </c>
      <c r="B951" s="22">
        <f>(1+B950)*IF(AND(Painel_diario!$H947="EU_JD",Painel_diario!$J947=1),EXP(Painel_diario!$L947),1)-1</f>
        <v/>
      </c>
      <c r="C951" s="22">
        <f>(1+C950)*IF(AND(Painel_diario!$H947="EU_JU",Painel_diario!$J947=1),EXP(Painel_diario!$L947),1)-1</f>
        <v/>
      </c>
      <c r="D951" s="22">
        <f>(1+D950)*IF(AND(Painel_diario!$H947="ED_JD",Painel_diario!$J947=1),EXP(Painel_diario!$L947),1)-1</f>
        <v/>
      </c>
      <c r="E951" s="22">
        <f>(1+E950)*IF(AND(Painel_diario!$H947="ED_JU",Painel_diario!$J947=1),EXP(Painel_diario!$L947),1)-1</f>
        <v/>
      </c>
    </row>
    <row r="952">
      <c r="A952" s="25" t="n">
        <v>40217</v>
      </c>
      <c r="B952" s="22">
        <f>(1+B951)*IF(AND(Painel_diario!$H948="EU_JD",Painel_diario!$J948=1),EXP(Painel_diario!$L948),1)-1</f>
        <v/>
      </c>
      <c r="C952" s="22">
        <f>(1+C951)*IF(AND(Painel_diario!$H948="EU_JU",Painel_diario!$J948=1),EXP(Painel_diario!$L948),1)-1</f>
        <v/>
      </c>
      <c r="D952" s="22">
        <f>(1+D951)*IF(AND(Painel_diario!$H948="ED_JD",Painel_diario!$J948=1),EXP(Painel_diario!$L948),1)-1</f>
        <v/>
      </c>
      <c r="E952" s="22">
        <f>(1+E951)*IF(AND(Painel_diario!$H948="ED_JU",Painel_diario!$J948=1),EXP(Painel_diario!$L948),1)-1</f>
        <v/>
      </c>
    </row>
    <row r="953">
      <c r="A953" s="25" t="n">
        <v>40218</v>
      </c>
      <c r="B953" s="22">
        <f>(1+B952)*IF(AND(Painel_diario!$H949="EU_JD",Painel_diario!$J949=1),EXP(Painel_diario!$L949),1)-1</f>
        <v/>
      </c>
      <c r="C953" s="22">
        <f>(1+C952)*IF(AND(Painel_diario!$H949="EU_JU",Painel_diario!$J949=1),EXP(Painel_diario!$L949),1)-1</f>
        <v/>
      </c>
      <c r="D953" s="22">
        <f>(1+D952)*IF(AND(Painel_diario!$H949="ED_JD",Painel_diario!$J949=1),EXP(Painel_diario!$L949),1)-1</f>
        <v/>
      </c>
      <c r="E953" s="22">
        <f>(1+E952)*IF(AND(Painel_diario!$H949="ED_JU",Painel_diario!$J949=1),EXP(Painel_diario!$L949),1)-1</f>
        <v/>
      </c>
    </row>
    <row r="954">
      <c r="A954" s="25" t="n">
        <v>40219</v>
      </c>
      <c r="B954" s="22">
        <f>(1+B953)*IF(AND(Painel_diario!$H950="EU_JD",Painel_diario!$J950=1),EXP(Painel_diario!$L950),1)-1</f>
        <v/>
      </c>
      <c r="C954" s="22">
        <f>(1+C953)*IF(AND(Painel_diario!$H950="EU_JU",Painel_diario!$J950=1),EXP(Painel_diario!$L950),1)-1</f>
        <v/>
      </c>
      <c r="D954" s="22">
        <f>(1+D953)*IF(AND(Painel_diario!$H950="ED_JD",Painel_diario!$J950=1),EXP(Painel_diario!$L950),1)-1</f>
        <v/>
      </c>
      <c r="E954" s="22">
        <f>(1+E953)*IF(AND(Painel_diario!$H950="ED_JU",Painel_diario!$J950=1),EXP(Painel_diario!$L950),1)-1</f>
        <v/>
      </c>
    </row>
    <row r="955">
      <c r="A955" s="25" t="n">
        <v>40220</v>
      </c>
      <c r="B955" s="22">
        <f>(1+B954)*IF(AND(Painel_diario!$H951="EU_JD",Painel_diario!$J951=1),EXP(Painel_diario!$L951),1)-1</f>
        <v/>
      </c>
      <c r="C955" s="22">
        <f>(1+C954)*IF(AND(Painel_diario!$H951="EU_JU",Painel_diario!$J951=1),EXP(Painel_diario!$L951),1)-1</f>
        <v/>
      </c>
      <c r="D955" s="22">
        <f>(1+D954)*IF(AND(Painel_diario!$H951="ED_JD",Painel_diario!$J951=1),EXP(Painel_diario!$L951),1)-1</f>
        <v/>
      </c>
      <c r="E955" s="22">
        <f>(1+E954)*IF(AND(Painel_diario!$H951="ED_JU",Painel_diario!$J951=1),EXP(Painel_diario!$L951),1)-1</f>
        <v/>
      </c>
    </row>
    <row r="956">
      <c r="A956" s="25" t="n">
        <v>40221</v>
      </c>
      <c r="B956" s="22">
        <f>(1+B955)*IF(AND(Painel_diario!$H952="EU_JD",Painel_diario!$J952=1),EXP(Painel_diario!$L952),1)-1</f>
        <v/>
      </c>
      <c r="C956" s="22">
        <f>(1+C955)*IF(AND(Painel_diario!$H952="EU_JU",Painel_diario!$J952=1),EXP(Painel_diario!$L952),1)-1</f>
        <v/>
      </c>
      <c r="D956" s="22">
        <f>(1+D955)*IF(AND(Painel_diario!$H952="ED_JD",Painel_diario!$J952=1),EXP(Painel_diario!$L952),1)-1</f>
        <v/>
      </c>
      <c r="E956" s="22">
        <f>(1+E955)*IF(AND(Painel_diario!$H952="ED_JU",Painel_diario!$J952=1),EXP(Painel_diario!$L952),1)-1</f>
        <v/>
      </c>
    </row>
    <row r="957">
      <c r="A957" s="25" t="n">
        <v>40226</v>
      </c>
      <c r="B957" s="22">
        <f>(1+B956)*IF(AND(Painel_diario!$H953="EU_JD",Painel_diario!$J953=1),EXP(Painel_diario!$L953),1)-1</f>
        <v/>
      </c>
      <c r="C957" s="22">
        <f>(1+C956)*IF(AND(Painel_diario!$H953="EU_JU",Painel_diario!$J953=1),EXP(Painel_diario!$L953),1)-1</f>
        <v/>
      </c>
      <c r="D957" s="22">
        <f>(1+D956)*IF(AND(Painel_diario!$H953="ED_JD",Painel_diario!$J953=1),EXP(Painel_diario!$L953),1)-1</f>
        <v/>
      </c>
      <c r="E957" s="22">
        <f>(1+E956)*IF(AND(Painel_diario!$H953="ED_JU",Painel_diario!$J953=1),EXP(Painel_diario!$L953),1)-1</f>
        <v/>
      </c>
    </row>
    <row r="958">
      <c r="A958" s="25" t="n">
        <v>40227</v>
      </c>
      <c r="B958" s="22">
        <f>(1+B957)*IF(AND(Painel_diario!$H954="EU_JD",Painel_diario!$J954=1),EXP(Painel_diario!$L954),1)-1</f>
        <v/>
      </c>
      <c r="C958" s="22">
        <f>(1+C957)*IF(AND(Painel_diario!$H954="EU_JU",Painel_diario!$J954=1),EXP(Painel_diario!$L954),1)-1</f>
        <v/>
      </c>
      <c r="D958" s="22">
        <f>(1+D957)*IF(AND(Painel_diario!$H954="ED_JD",Painel_diario!$J954=1),EXP(Painel_diario!$L954),1)-1</f>
        <v/>
      </c>
      <c r="E958" s="22">
        <f>(1+E957)*IF(AND(Painel_diario!$H954="ED_JU",Painel_diario!$J954=1),EXP(Painel_diario!$L954),1)-1</f>
        <v/>
      </c>
    </row>
    <row r="959">
      <c r="A959" s="25" t="n">
        <v>40228</v>
      </c>
      <c r="B959" s="22">
        <f>(1+B958)*IF(AND(Painel_diario!$H955="EU_JD",Painel_diario!$J955=1),EXP(Painel_diario!$L955),1)-1</f>
        <v/>
      </c>
      <c r="C959" s="22">
        <f>(1+C958)*IF(AND(Painel_diario!$H955="EU_JU",Painel_diario!$J955=1),EXP(Painel_diario!$L955),1)-1</f>
        <v/>
      </c>
      <c r="D959" s="22">
        <f>(1+D958)*IF(AND(Painel_diario!$H955="ED_JD",Painel_diario!$J955=1),EXP(Painel_diario!$L955),1)-1</f>
        <v/>
      </c>
      <c r="E959" s="22">
        <f>(1+E958)*IF(AND(Painel_diario!$H955="ED_JU",Painel_diario!$J955=1),EXP(Painel_diario!$L955),1)-1</f>
        <v/>
      </c>
    </row>
    <row r="960">
      <c r="A960" s="25" t="n">
        <v>40231</v>
      </c>
      <c r="B960" s="22">
        <f>(1+B959)*IF(AND(Painel_diario!$H956="EU_JD",Painel_diario!$J956=1),EXP(Painel_diario!$L956),1)-1</f>
        <v/>
      </c>
      <c r="C960" s="22">
        <f>(1+C959)*IF(AND(Painel_diario!$H956="EU_JU",Painel_diario!$J956=1),EXP(Painel_diario!$L956),1)-1</f>
        <v/>
      </c>
      <c r="D960" s="22">
        <f>(1+D959)*IF(AND(Painel_diario!$H956="ED_JD",Painel_diario!$J956=1),EXP(Painel_diario!$L956),1)-1</f>
        <v/>
      </c>
      <c r="E960" s="22">
        <f>(1+E959)*IF(AND(Painel_diario!$H956="ED_JU",Painel_diario!$J956=1),EXP(Painel_diario!$L956),1)-1</f>
        <v/>
      </c>
    </row>
    <row r="961">
      <c r="A961" s="25" t="n">
        <v>40232</v>
      </c>
      <c r="B961" s="22">
        <f>(1+B960)*IF(AND(Painel_diario!$H957="EU_JD",Painel_diario!$J957=1),EXP(Painel_diario!$L957),1)-1</f>
        <v/>
      </c>
      <c r="C961" s="22">
        <f>(1+C960)*IF(AND(Painel_diario!$H957="EU_JU",Painel_diario!$J957=1),EXP(Painel_diario!$L957),1)-1</f>
        <v/>
      </c>
      <c r="D961" s="22">
        <f>(1+D960)*IF(AND(Painel_diario!$H957="ED_JD",Painel_diario!$J957=1),EXP(Painel_diario!$L957),1)-1</f>
        <v/>
      </c>
      <c r="E961" s="22">
        <f>(1+E960)*IF(AND(Painel_diario!$H957="ED_JU",Painel_diario!$J957=1),EXP(Painel_diario!$L957),1)-1</f>
        <v/>
      </c>
    </row>
    <row r="962">
      <c r="A962" s="25" t="n">
        <v>40233</v>
      </c>
      <c r="B962" s="22">
        <f>(1+B961)*IF(AND(Painel_diario!$H958="EU_JD",Painel_diario!$J958=1),EXP(Painel_diario!$L958),1)-1</f>
        <v/>
      </c>
      <c r="C962" s="22">
        <f>(1+C961)*IF(AND(Painel_diario!$H958="EU_JU",Painel_diario!$J958=1),EXP(Painel_diario!$L958),1)-1</f>
        <v/>
      </c>
      <c r="D962" s="22">
        <f>(1+D961)*IF(AND(Painel_diario!$H958="ED_JD",Painel_diario!$J958=1),EXP(Painel_diario!$L958),1)-1</f>
        <v/>
      </c>
      <c r="E962" s="22">
        <f>(1+E961)*IF(AND(Painel_diario!$H958="ED_JU",Painel_diario!$J958=1),EXP(Painel_diario!$L958),1)-1</f>
        <v/>
      </c>
    </row>
    <row r="963">
      <c r="A963" s="25" t="n">
        <v>40234</v>
      </c>
      <c r="B963" s="22">
        <f>(1+B962)*IF(AND(Painel_diario!$H959="EU_JD",Painel_diario!$J959=1),EXP(Painel_diario!$L959),1)-1</f>
        <v/>
      </c>
      <c r="C963" s="22">
        <f>(1+C962)*IF(AND(Painel_diario!$H959="EU_JU",Painel_diario!$J959=1),EXP(Painel_diario!$L959),1)-1</f>
        <v/>
      </c>
      <c r="D963" s="22">
        <f>(1+D962)*IF(AND(Painel_diario!$H959="ED_JD",Painel_diario!$J959=1),EXP(Painel_diario!$L959),1)-1</f>
        <v/>
      </c>
      <c r="E963" s="22">
        <f>(1+E962)*IF(AND(Painel_diario!$H959="ED_JU",Painel_diario!$J959=1),EXP(Painel_diario!$L959),1)-1</f>
        <v/>
      </c>
    </row>
    <row r="964">
      <c r="A964" s="25" t="n">
        <v>40235</v>
      </c>
      <c r="B964" s="22">
        <f>(1+B963)*IF(AND(Painel_diario!$H960="EU_JD",Painel_diario!$J960=1),EXP(Painel_diario!$L960),1)-1</f>
        <v/>
      </c>
      <c r="C964" s="22">
        <f>(1+C963)*IF(AND(Painel_diario!$H960="EU_JU",Painel_diario!$J960=1),EXP(Painel_diario!$L960),1)-1</f>
        <v/>
      </c>
      <c r="D964" s="22">
        <f>(1+D963)*IF(AND(Painel_diario!$H960="ED_JD",Painel_diario!$J960=1),EXP(Painel_diario!$L960),1)-1</f>
        <v/>
      </c>
      <c r="E964" s="22">
        <f>(1+E963)*IF(AND(Painel_diario!$H960="ED_JU",Painel_diario!$J960=1),EXP(Painel_diario!$L960),1)-1</f>
        <v/>
      </c>
    </row>
    <row r="965">
      <c r="A965" s="25" t="n">
        <v>40238</v>
      </c>
      <c r="B965" s="22">
        <f>(1+B964)*IF(AND(Painel_diario!$H961="EU_JD",Painel_diario!$J961=1),EXP(Painel_diario!$L961),1)-1</f>
        <v/>
      </c>
      <c r="C965" s="22">
        <f>(1+C964)*IF(AND(Painel_diario!$H961="EU_JU",Painel_diario!$J961=1),EXP(Painel_diario!$L961),1)-1</f>
        <v/>
      </c>
      <c r="D965" s="22">
        <f>(1+D964)*IF(AND(Painel_diario!$H961="ED_JD",Painel_diario!$J961=1),EXP(Painel_diario!$L961),1)-1</f>
        <v/>
      </c>
      <c r="E965" s="22">
        <f>(1+E964)*IF(AND(Painel_diario!$H961="ED_JU",Painel_diario!$J961=1),EXP(Painel_diario!$L961),1)-1</f>
        <v/>
      </c>
    </row>
    <row r="966">
      <c r="A966" s="25" t="n">
        <v>40239</v>
      </c>
      <c r="B966" s="22">
        <f>(1+B965)*IF(AND(Painel_diario!$H962="EU_JD",Painel_diario!$J962=1),EXP(Painel_diario!$L962),1)-1</f>
        <v/>
      </c>
      <c r="C966" s="22">
        <f>(1+C965)*IF(AND(Painel_diario!$H962="EU_JU",Painel_diario!$J962=1),EXP(Painel_diario!$L962),1)-1</f>
        <v/>
      </c>
      <c r="D966" s="22">
        <f>(1+D965)*IF(AND(Painel_diario!$H962="ED_JD",Painel_diario!$J962=1),EXP(Painel_diario!$L962),1)-1</f>
        <v/>
      </c>
      <c r="E966" s="22">
        <f>(1+E965)*IF(AND(Painel_diario!$H962="ED_JU",Painel_diario!$J962=1),EXP(Painel_diario!$L962),1)-1</f>
        <v/>
      </c>
    </row>
    <row r="967">
      <c r="A967" s="25" t="n">
        <v>40240</v>
      </c>
      <c r="B967" s="22">
        <f>(1+B966)*IF(AND(Painel_diario!$H963="EU_JD",Painel_diario!$J963=1),EXP(Painel_diario!$L963),1)-1</f>
        <v/>
      </c>
      <c r="C967" s="22">
        <f>(1+C966)*IF(AND(Painel_diario!$H963="EU_JU",Painel_diario!$J963=1),EXP(Painel_diario!$L963),1)-1</f>
        <v/>
      </c>
      <c r="D967" s="22">
        <f>(1+D966)*IF(AND(Painel_diario!$H963="ED_JD",Painel_diario!$J963=1),EXP(Painel_diario!$L963),1)-1</f>
        <v/>
      </c>
      <c r="E967" s="22">
        <f>(1+E966)*IF(AND(Painel_diario!$H963="ED_JU",Painel_diario!$J963=1),EXP(Painel_diario!$L963),1)-1</f>
        <v/>
      </c>
    </row>
    <row r="968">
      <c r="A968" s="25" t="n">
        <v>40241</v>
      </c>
      <c r="B968" s="22">
        <f>(1+B967)*IF(AND(Painel_diario!$H964="EU_JD",Painel_diario!$J964=1),EXP(Painel_diario!$L964),1)-1</f>
        <v/>
      </c>
      <c r="C968" s="22">
        <f>(1+C967)*IF(AND(Painel_diario!$H964="EU_JU",Painel_diario!$J964=1),EXP(Painel_diario!$L964),1)-1</f>
        <v/>
      </c>
      <c r="D968" s="22">
        <f>(1+D967)*IF(AND(Painel_diario!$H964="ED_JD",Painel_diario!$J964=1),EXP(Painel_diario!$L964),1)-1</f>
        <v/>
      </c>
      <c r="E968" s="22">
        <f>(1+E967)*IF(AND(Painel_diario!$H964="ED_JU",Painel_diario!$J964=1),EXP(Painel_diario!$L964),1)-1</f>
        <v/>
      </c>
    </row>
    <row r="969">
      <c r="A969" s="25" t="n">
        <v>40242</v>
      </c>
      <c r="B969" s="22">
        <f>(1+B968)*IF(AND(Painel_diario!$H965="EU_JD",Painel_diario!$J965=1),EXP(Painel_diario!$L965),1)-1</f>
        <v/>
      </c>
      <c r="C969" s="22">
        <f>(1+C968)*IF(AND(Painel_diario!$H965="EU_JU",Painel_diario!$J965=1),EXP(Painel_diario!$L965),1)-1</f>
        <v/>
      </c>
      <c r="D969" s="22">
        <f>(1+D968)*IF(AND(Painel_diario!$H965="ED_JD",Painel_diario!$J965=1),EXP(Painel_diario!$L965),1)-1</f>
        <v/>
      </c>
      <c r="E969" s="22">
        <f>(1+E968)*IF(AND(Painel_diario!$H965="ED_JU",Painel_diario!$J965=1),EXP(Painel_diario!$L965),1)-1</f>
        <v/>
      </c>
    </row>
    <row r="970">
      <c r="A970" s="25" t="n">
        <v>40245</v>
      </c>
      <c r="B970" s="22">
        <f>(1+B969)*IF(AND(Painel_diario!$H966="EU_JD",Painel_diario!$J966=1),EXP(Painel_diario!$L966),1)-1</f>
        <v/>
      </c>
      <c r="C970" s="22">
        <f>(1+C969)*IF(AND(Painel_diario!$H966="EU_JU",Painel_diario!$J966=1),EXP(Painel_diario!$L966),1)-1</f>
        <v/>
      </c>
      <c r="D970" s="22">
        <f>(1+D969)*IF(AND(Painel_diario!$H966="ED_JD",Painel_diario!$J966=1),EXP(Painel_diario!$L966),1)-1</f>
        <v/>
      </c>
      <c r="E970" s="22">
        <f>(1+E969)*IF(AND(Painel_diario!$H966="ED_JU",Painel_diario!$J966=1),EXP(Painel_diario!$L966),1)-1</f>
        <v/>
      </c>
    </row>
    <row r="971">
      <c r="A971" s="25" t="n">
        <v>40246</v>
      </c>
      <c r="B971" s="22">
        <f>(1+B970)*IF(AND(Painel_diario!$H967="EU_JD",Painel_diario!$J967=1),EXP(Painel_diario!$L967),1)-1</f>
        <v/>
      </c>
      <c r="C971" s="22">
        <f>(1+C970)*IF(AND(Painel_diario!$H967="EU_JU",Painel_diario!$J967=1),EXP(Painel_diario!$L967),1)-1</f>
        <v/>
      </c>
      <c r="D971" s="22">
        <f>(1+D970)*IF(AND(Painel_diario!$H967="ED_JD",Painel_diario!$J967=1),EXP(Painel_diario!$L967),1)-1</f>
        <v/>
      </c>
      <c r="E971" s="22">
        <f>(1+E970)*IF(AND(Painel_diario!$H967="ED_JU",Painel_diario!$J967=1),EXP(Painel_diario!$L967),1)-1</f>
        <v/>
      </c>
    </row>
    <row r="972">
      <c r="A972" s="25" t="n">
        <v>40247</v>
      </c>
      <c r="B972" s="22">
        <f>(1+B971)*IF(AND(Painel_diario!$H968="EU_JD",Painel_diario!$J968=1),EXP(Painel_diario!$L968),1)-1</f>
        <v/>
      </c>
      <c r="C972" s="22">
        <f>(1+C971)*IF(AND(Painel_diario!$H968="EU_JU",Painel_diario!$J968=1),EXP(Painel_diario!$L968),1)-1</f>
        <v/>
      </c>
      <c r="D972" s="22">
        <f>(1+D971)*IF(AND(Painel_diario!$H968="ED_JD",Painel_diario!$J968=1),EXP(Painel_diario!$L968),1)-1</f>
        <v/>
      </c>
      <c r="E972" s="22">
        <f>(1+E971)*IF(AND(Painel_diario!$H968="ED_JU",Painel_diario!$J968=1),EXP(Painel_diario!$L968),1)-1</f>
        <v/>
      </c>
    </row>
    <row r="973">
      <c r="A973" s="25" t="n">
        <v>40248</v>
      </c>
      <c r="B973" s="22">
        <f>(1+B972)*IF(AND(Painel_diario!$H969="EU_JD",Painel_diario!$J969=1),EXP(Painel_diario!$L969),1)-1</f>
        <v/>
      </c>
      <c r="C973" s="22">
        <f>(1+C972)*IF(AND(Painel_diario!$H969="EU_JU",Painel_diario!$J969=1),EXP(Painel_diario!$L969),1)-1</f>
        <v/>
      </c>
      <c r="D973" s="22">
        <f>(1+D972)*IF(AND(Painel_diario!$H969="ED_JD",Painel_diario!$J969=1),EXP(Painel_diario!$L969),1)-1</f>
        <v/>
      </c>
      <c r="E973" s="22">
        <f>(1+E972)*IF(AND(Painel_diario!$H969="ED_JU",Painel_diario!$J969=1),EXP(Painel_diario!$L969),1)-1</f>
        <v/>
      </c>
    </row>
    <row r="974">
      <c r="A974" s="25" t="n">
        <v>40249</v>
      </c>
      <c r="B974" s="22">
        <f>(1+B973)*IF(AND(Painel_diario!$H970="EU_JD",Painel_diario!$J970=1),EXP(Painel_diario!$L970),1)-1</f>
        <v/>
      </c>
      <c r="C974" s="22">
        <f>(1+C973)*IF(AND(Painel_diario!$H970="EU_JU",Painel_diario!$J970=1),EXP(Painel_diario!$L970),1)-1</f>
        <v/>
      </c>
      <c r="D974" s="22">
        <f>(1+D973)*IF(AND(Painel_diario!$H970="ED_JD",Painel_diario!$J970=1),EXP(Painel_diario!$L970),1)-1</f>
        <v/>
      </c>
      <c r="E974" s="22">
        <f>(1+E973)*IF(AND(Painel_diario!$H970="ED_JU",Painel_diario!$J970=1),EXP(Painel_diario!$L970),1)-1</f>
        <v/>
      </c>
    </row>
    <row r="975">
      <c r="A975" s="25" t="n">
        <v>40252</v>
      </c>
      <c r="B975" s="22">
        <f>(1+B974)*IF(AND(Painel_diario!$H971="EU_JD",Painel_diario!$J971=1),EXP(Painel_diario!$L971),1)-1</f>
        <v/>
      </c>
      <c r="C975" s="22">
        <f>(1+C974)*IF(AND(Painel_diario!$H971="EU_JU",Painel_diario!$J971=1),EXP(Painel_diario!$L971),1)-1</f>
        <v/>
      </c>
      <c r="D975" s="22">
        <f>(1+D974)*IF(AND(Painel_diario!$H971="ED_JD",Painel_diario!$J971=1),EXP(Painel_diario!$L971),1)-1</f>
        <v/>
      </c>
      <c r="E975" s="22">
        <f>(1+E974)*IF(AND(Painel_diario!$H971="ED_JU",Painel_diario!$J971=1),EXP(Painel_diario!$L971),1)-1</f>
        <v/>
      </c>
    </row>
    <row r="976">
      <c r="A976" s="25" t="n">
        <v>40253</v>
      </c>
      <c r="B976" s="22">
        <f>(1+B975)*IF(AND(Painel_diario!$H972="EU_JD",Painel_diario!$J972=1),EXP(Painel_diario!$L972),1)-1</f>
        <v/>
      </c>
      <c r="C976" s="22">
        <f>(1+C975)*IF(AND(Painel_diario!$H972="EU_JU",Painel_diario!$J972=1),EXP(Painel_diario!$L972),1)-1</f>
        <v/>
      </c>
      <c r="D976" s="22">
        <f>(1+D975)*IF(AND(Painel_diario!$H972="ED_JD",Painel_diario!$J972=1),EXP(Painel_diario!$L972),1)-1</f>
        <v/>
      </c>
      <c r="E976" s="22">
        <f>(1+E975)*IF(AND(Painel_diario!$H972="ED_JU",Painel_diario!$J972=1),EXP(Painel_diario!$L972),1)-1</f>
        <v/>
      </c>
    </row>
    <row r="977">
      <c r="A977" s="25" t="n">
        <v>40254</v>
      </c>
      <c r="B977" s="22">
        <f>(1+B976)*IF(AND(Painel_diario!$H973="EU_JD",Painel_diario!$J973=1),EXP(Painel_diario!$L973),1)-1</f>
        <v/>
      </c>
      <c r="C977" s="22">
        <f>(1+C976)*IF(AND(Painel_diario!$H973="EU_JU",Painel_diario!$J973=1),EXP(Painel_diario!$L973),1)-1</f>
        <v/>
      </c>
      <c r="D977" s="22">
        <f>(1+D976)*IF(AND(Painel_diario!$H973="ED_JD",Painel_diario!$J973=1),EXP(Painel_diario!$L973),1)-1</f>
        <v/>
      </c>
      <c r="E977" s="22">
        <f>(1+E976)*IF(AND(Painel_diario!$H973="ED_JU",Painel_diario!$J973=1),EXP(Painel_diario!$L973),1)-1</f>
        <v/>
      </c>
    </row>
    <row r="978">
      <c r="A978" s="25" t="n">
        <v>40255</v>
      </c>
      <c r="B978" s="22">
        <f>(1+B977)*IF(AND(Painel_diario!$H974="EU_JD",Painel_diario!$J974=1),EXP(Painel_diario!$L974),1)-1</f>
        <v/>
      </c>
      <c r="C978" s="22">
        <f>(1+C977)*IF(AND(Painel_diario!$H974="EU_JU",Painel_diario!$J974=1),EXP(Painel_diario!$L974),1)-1</f>
        <v/>
      </c>
      <c r="D978" s="22">
        <f>(1+D977)*IF(AND(Painel_diario!$H974="ED_JD",Painel_diario!$J974=1),EXP(Painel_diario!$L974),1)-1</f>
        <v/>
      </c>
      <c r="E978" s="22">
        <f>(1+E977)*IF(AND(Painel_diario!$H974="ED_JU",Painel_diario!$J974=1),EXP(Painel_diario!$L974),1)-1</f>
        <v/>
      </c>
    </row>
    <row r="979">
      <c r="A979" s="25" t="n">
        <v>40256</v>
      </c>
      <c r="B979" s="22">
        <f>(1+B978)*IF(AND(Painel_diario!$H975="EU_JD",Painel_diario!$J975=1),EXP(Painel_diario!$L975),1)-1</f>
        <v/>
      </c>
      <c r="C979" s="22">
        <f>(1+C978)*IF(AND(Painel_diario!$H975="EU_JU",Painel_diario!$J975=1),EXP(Painel_diario!$L975),1)-1</f>
        <v/>
      </c>
      <c r="D979" s="22">
        <f>(1+D978)*IF(AND(Painel_diario!$H975="ED_JD",Painel_diario!$J975=1),EXP(Painel_diario!$L975),1)-1</f>
        <v/>
      </c>
      <c r="E979" s="22">
        <f>(1+E978)*IF(AND(Painel_diario!$H975="ED_JU",Painel_diario!$J975=1),EXP(Painel_diario!$L975),1)-1</f>
        <v/>
      </c>
    </row>
    <row r="980">
      <c r="A980" s="25" t="n">
        <v>40259</v>
      </c>
      <c r="B980" s="22">
        <f>(1+B979)*IF(AND(Painel_diario!$H976="EU_JD",Painel_diario!$J976=1),EXP(Painel_diario!$L976),1)-1</f>
        <v/>
      </c>
      <c r="C980" s="22">
        <f>(1+C979)*IF(AND(Painel_diario!$H976="EU_JU",Painel_diario!$J976=1),EXP(Painel_diario!$L976),1)-1</f>
        <v/>
      </c>
      <c r="D980" s="22">
        <f>(1+D979)*IF(AND(Painel_diario!$H976="ED_JD",Painel_diario!$J976=1),EXP(Painel_diario!$L976),1)-1</f>
        <v/>
      </c>
      <c r="E980" s="22">
        <f>(1+E979)*IF(AND(Painel_diario!$H976="ED_JU",Painel_diario!$J976=1),EXP(Painel_diario!$L976),1)-1</f>
        <v/>
      </c>
    </row>
    <row r="981">
      <c r="A981" s="25" t="n">
        <v>40260</v>
      </c>
      <c r="B981" s="22">
        <f>(1+B980)*IF(AND(Painel_diario!$H977="EU_JD",Painel_diario!$J977=1),EXP(Painel_diario!$L977),1)-1</f>
        <v/>
      </c>
      <c r="C981" s="22">
        <f>(1+C980)*IF(AND(Painel_diario!$H977="EU_JU",Painel_diario!$J977=1),EXP(Painel_diario!$L977),1)-1</f>
        <v/>
      </c>
      <c r="D981" s="22">
        <f>(1+D980)*IF(AND(Painel_diario!$H977="ED_JD",Painel_diario!$J977=1),EXP(Painel_diario!$L977),1)-1</f>
        <v/>
      </c>
      <c r="E981" s="22">
        <f>(1+E980)*IF(AND(Painel_diario!$H977="ED_JU",Painel_diario!$J977=1),EXP(Painel_diario!$L977),1)-1</f>
        <v/>
      </c>
    </row>
    <row r="982">
      <c r="A982" s="25" t="n">
        <v>40261</v>
      </c>
      <c r="B982" s="22">
        <f>(1+B981)*IF(AND(Painel_diario!$H978="EU_JD",Painel_diario!$J978=1),EXP(Painel_diario!$L978),1)-1</f>
        <v/>
      </c>
      <c r="C982" s="22">
        <f>(1+C981)*IF(AND(Painel_diario!$H978="EU_JU",Painel_diario!$J978=1),EXP(Painel_diario!$L978),1)-1</f>
        <v/>
      </c>
      <c r="D982" s="22">
        <f>(1+D981)*IF(AND(Painel_diario!$H978="ED_JD",Painel_diario!$J978=1),EXP(Painel_diario!$L978),1)-1</f>
        <v/>
      </c>
      <c r="E982" s="22">
        <f>(1+E981)*IF(AND(Painel_diario!$H978="ED_JU",Painel_diario!$J978=1),EXP(Painel_diario!$L978),1)-1</f>
        <v/>
      </c>
    </row>
    <row r="983">
      <c r="A983" s="25" t="n">
        <v>40262</v>
      </c>
      <c r="B983" s="22">
        <f>(1+B982)*IF(AND(Painel_diario!$H979="EU_JD",Painel_diario!$J979=1),EXP(Painel_diario!$L979),1)-1</f>
        <v/>
      </c>
      <c r="C983" s="22">
        <f>(1+C982)*IF(AND(Painel_diario!$H979="EU_JU",Painel_diario!$J979=1),EXP(Painel_diario!$L979),1)-1</f>
        <v/>
      </c>
      <c r="D983" s="22">
        <f>(1+D982)*IF(AND(Painel_diario!$H979="ED_JD",Painel_diario!$J979=1),EXP(Painel_diario!$L979),1)-1</f>
        <v/>
      </c>
      <c r="E983" s="22">
        <f>(1+E982)*IF(AND(Painel_diario!$H979="ED_JU",Painel_diario!$J979=1),EXP(Painel_diario!$L979),1)-1</f>
        <v/>
      </c>
    </row>
    <row r="984">
      <c r="A984" s="25" t="n">
        <v>40263</v>
      </c>
      <c r="B984" s="22">
        <f>(1+B983)*IF(AND(Painel_diario!$H980="EU_JD",Painel_diario!$J980=1),EXP(Painel_diario!$L980),1)-1</f>
        <v/>
      </c>
      <c r="C984" s="22">
        <f>(1+C983)*IF(AND(Painel_diario!$H980="EU_JU",Painel_diario!$J980=1),EXP(Painel_diario!$L980),1)-1</f>
        <v/>
      </c>
      <c r="D984" s="22">
        <f>(1+D983)*IF(AND(Painel_diario!$H980="ED_JD",Painel_diario!$J980=1),EXP(Painel_diario!$L980),1)-1</f>
        <v/>
      </c>
      <c r="E984" s="22">
        <f>(1+E983)*IF(AND(Painel_diario!$H980="ED_JU",Painel_diario!$J980=1),EXP(Painel_diario!$L980),1)-1</f>
        <v/>
      </c>
    </row>
    <row r="985">
      <c r="A985" s="25" t="n">
        <v>40266</v>
      </c>
      <c r="B985" s="22">
        <f>(1+B984)*IF(AND(Painel_diario!$H981="EU_JD",Painel_diario!$J981=1),EXP(Painel_diario!$L981),1)-1</f>
        <v/>
      </c>
      <c r="C985" s="22">
        <f>(1+C984)*IF(AND(Painel_diario!$H981="EU_JU",Painel_diario!$J981=1),EXP(Painel_diario!$L981),1)-1</f>
        <v/>
      </c>
      <c r="D985" s="22">
        <f>(1+D984)*IF(AND(Painel_diario!$H981="ED_JD",Painel_diario!$J981=1),EXP(Painel_diario!$L981),1)-1</f>
        <v/>
      </c>
      <c r="E985" s="22">
        <f>(1+E984)*IF(AND(Painel_diario!$H981="ED_JU",Painel_diario!$J981=1),EXP(Painel_diario!$L981),1)-1</f>
        <v/>
      </c>
    </row>
    <row r="986">
      <c r="A986" s="25" t="n">
        <v>40267</v>
      </c>
      <c r="B986" s="22">
        <f>(1+B985)*IF(AND(Painel_diario!$H982="EU_JD",Painel_diario!$J982=1),EXP(Painel_diario!$L982),1)-1</f>
        <v/>
      </c>
      <c r="C986" s="22">
        <f>(1+C985)*IF(AND(Painel_diario!$H982="EU_JU",Painel_diario!$J982=1),EXP(Painel_diario!$L982),1)-1</f>
        <v/>
      </c>
      <c r="D986" s="22">
        <f>(1+D985)*IF(AND(Painel_diario!$H982="ED_JD",Painel_diario!$J982=1),EXP(Painel_diario!$L982),1)-1</f>
        <v/>
      </c>
      <c r="E986" s="22">
        <f>(1+E985)*IF(AND(Painel_diario!$H982="ED_JU",Painel_diario!$J982=1),EXP(Painel_diario!$L982),1)-1</f>
        <v/>
      </c>
    </row>
    <row r="987">
      <c r="A987" s="25" t="n">
        <v>40268</v>
      </c>
      <c r="B987" s="22">
        <f>(1+B986)*IF(AND(Painel_diario!$H983="EU_JD",Painel_diario!$J983=1),EXP(Painel_diario!$L983),1)-1</f>
        <v/>
      </c>
      <c r="C987" s="22">
        <f>(1+C986)*IF(AND(Painel_diario!$H983="EU_JU",Painel_diario!$J983=1),EXP(Painel_diario!$L983),1)-1</f>
        <v/>
      </c>
      <c r="D987" s="22">
        <f>(1+D986)*IF(AND(Painel_diario!$H983="ED_JD",Painel_diario!$J983=1),EXP(Painel_diario!$L983),1)-1</f>
        <v/>
      </c>
      <c r="E987" s="22">
        <f>(1+E986)*IF(AND(Painel_diario!$H983="ED_JU",Painel_diario!$J983=1),EXP(Painel_diario!$L983),1)-1</f>
        <v/>
      </c>
    </row>
    <row r="988">
      <c r="A988" s="25" t="n">
        <v>40269</v>
      </c>
      <c r="B988" s="22">
        <f>(1+B987)*IF(AND(Painel_diario!$H984="EU_JD",Painel_diario!$J984=1),EXP(Painel_diario!$L984),1)-1</f>
        <v/>
      </c>
      <c r="C988" s="22">
        <f>(1+C987)*IF(AND(Painel_diario!$H984="EU_JU",Painel_diario!$J984=1),EXP(Painel_diario!$L984),1)-1</f>
        <v/>
      </c>
      <c r="D988" s="22">
        <f>(1+D987)*IF(AND(Painel_diario!$H984="ED_JD",Painel_diario!$J984=1),EXP(Painel_diario!$L984),1)-1</f>
        <v/>
      </c>
      <c r="E988" s="22">
        <f>(1+E987)*IF(AND(Painel_diario!$H984="ED_JU",Painel_diario!$J984=1),EXP(Painel_diario!$L984),1)-1</f>
        <v/>
      </c>
    </row>
    <row r="989">
      <c r="A989" s="25" t="n">
        <v>40273</v>
      </c>
      <c r="B989" s="22">
        <f>(1+B988)*IF(AND(Painel_diario!$H985="EU_JD",Painel_diario!$J985=1),EXP(Painel_diario!$L985),1)-1</f>
        <v/>
      </c>
      <c r="C989" s="22">
        <f>(1+C988)*IF(AND(Painel_diario!$H985="EU_JU",Painel_diario!$J985=1),EXP(Painel_diario!$L985),1)-1</f>
        <v/>
      </c>
      <c r="D989" s="22">
        <f>(1+D988)*IF(AND(Painel_diario!$H985="ED_JD",Painel_diario!$J985=1),EXP(Painel_diario!$L985),1)-1</f>
        <v/>
      </c>
      <c r="E989" s="22">
        <f>(1+E988)*IF(AND(Painel_diario!$H985="ED_JU",Painel_diario!$J985=1),EXP(Painel_diario!$L985),1)-1</f>
        <v/>
      </c>
    </row>
    <row r="990">
      <c r="A990" s="25" t="n">
        <v>40274</v>
      </c>
      <c r="B990" s="22">
        <f>(1+B989)*IF(AND(Painel_diario!$H986="EU_JD",Painel_diario!$J986=1),EXP(Painel_diario!$L986),1)-1</f>
        <v/>
      </c>
      <c r="C990" s="22">
        <f>(1+C989)*IF(AND(Painel_diario!$H986="EU_JU",Painel_diario!$J986=1),EXP(Painel_diario!$L986),1)-1</f>
        <v/>
      </c>
      <c r="D990" s="22">
        <f>(1+D989)*IF(AND(Painel_diario!$H986="ED_JD",Painel_diario!$J986=1),EXP(Painel_diario!$L986),1)-1</f>
        <v/>
      </c>
      <c r="E990" s="22">
        <f>(1+E989)*IF(AND(Painel_diario!$H986="ED_JU",Painel_diario!$J986=1),EXP(Painel_diario!$L986),1)-1</f>
        <v/>
      </c>
    </row>
    <row r="991">
      <c r="A991" s="25" t="n">
        <v>40275</v>
      </c>
      <c r="B991" s="22">
        <f>(1+B990)*IF(AND(Painel_diario!$H987="EU_JD",Painel_diario!$J987=1),EXP(Painel_diario!$L987),1)-1</f>
        <v/>
      </c>
      <c r="C991" s="22">
        <f>(1+C990)*IF(AND(Painel_diario!$H987="EU_JU",Painel_diario!$J987=1),EXP(Painel_diario!$L987),1)-1</f>
        <v/>
      </c>
      <c r="D991" s="22">
        <f>(1+D990)*IF(AND(Painel_diario!$H987="ED_JD",Painel_diario!$J987=1),EXP(Painel_diario!$L987),1)-1</f>
        <v/>
      </c>
      <c r="E991" s="22">
        <f>(1+E990)*IF(AND(Painel_diario!$H987="ED_JU",Painel_diario!$J987=1),EXP(Painel_diario!$L987),1)-1</f>
        <v/>
      </c>
    </row>
    <row r="992">
      <c r="A992" s="25" t="n">
        <v>40276</v>
      </c>
      <c r="B992" s="22">
        <f>(1+B991)*IF(AND(Painel_diario!$H988="EU_JD",Painel_diario!$J988=1),EXP(Painel_diario!$L988),1)-1</f>
        <v/>
      </c>
      <c r="C992" s="22">
        <f>(1+C991)*IF(AND(Painel_diario!$H988="EU_JU",Painel_diario!$J988=1),EXP(Painel_diario!$L988),1)-1</f>
        <v/>
      </c>
      <c r="D992" s="22">
        <f>(1+D991)*IF(AND(Painel_diario!$H988="ED_JD",Painel_diario!$J988=1),EXP(Painel_diario!$L988),1)-1</f>
        <v/>
      </c>
      <c r="E992" s="22">
        <f>(1+E991)*IF(AND(Painel_diario!$H988="ED_JU",Painel_diario!$J988=1),EXP(Painel_diario!$L988),1)-1</f>
        <v/>
      </c>
    </row>
    <row r="993">
      <c r="A993" s="25" t="n">
        <v>40277</v>
      </c>
      <c r="B993" s="22">
        <f>(1+B992)*IF(AND(Painel_diario!$H989="EU_JD",Painel_diario!$J989=1),EXP(Painel_diario!$L989),1)-1</f>
        <v/>
      </c>
      <c r="C993" s="22">
        <f>(1+C992)*IF(AND(Painel_diario!$H989="EU_JU",Painel_diario!$J989=1),EXP(Painel_diario!$L989),1)-1</f>
        <v/>
      </c>
      <c r="D993" s="22">
        <f>(1+D992)*IF(AND(Painel_diario!$H989="ED_JD",Painel_diario!$J989=1),EXP(Painel_diario!$L989),1)-1</f>
        <v/>
      </c>
      <c r="E993" s="22">
        <f>(1+E992)*IF(AND(Painel_diario!$H989="ED_JU",Painel_diario!$J989=1),EXP(Painel_diario!$L989),1)-1</f>
        <v/>
      </c>
    </row>
    <row r="994">
      <c r="A994" s="25" t="n">
        <v>40280</v>
      </c>
      <c r="B994" s="22">
        <f>(1+B993)*IF(AND(Painel_diario!$H990="EU_JD",Painel_diario!$J990=1),EXP(Painel_diario!$L990),1)-1</f>
        <v/>
      </c>
      <c r="C994" s="22">
        <f>(1+C993)*IF(AND(Painel_diario!$H990="EU_JU",Painel_diario!$J990=1),EXP(Painel_diario!$L990),1)-1</f>
        <v/>
      </c>
      <c r="D994" s="22">
        <f>(1+D993)*IF(AND(Painel_diario!$H990="ED_JD",Painel_diario!$J990=1),EXP(Painel_diario!$L990),1)-1</f>
        <v/>
      </c>
      <c r="E994" s="22">
        <f>(1+E993)*IF(AND(Painel_diario!$H990="ED_JU",Painel_diario!$J990=1),EXP(Painel_diario!$L990),1)-1</f>
        <v/>
      </c>
    </row>
    <row r="995">
      <c r="A995" s="25" t="n">
        <v>40281</v>
      </c>
      <c r="B995" s="22">
        <f>(1+B994)*IF(AND(Painel_diario!$H991="EU_JD",Painel_diario!$J991=1),EXP(Painel_diario!$L991),1)-1</f>
        <v/>
      </c>
      <c r="C995" s="22">
        <f>(1+C994)*IF(AND(Painel_diario!$H991="EU_JU",Painel_diario!$J991=1),EXP(Painel_diario!$L991),1)-1</f>
        <v/>
      </c>
      <c r="D995" s="22">
        <f>(1+D994)*IF(AND(Painel_diario!$H991="ED_JD",Painel_diario!$J991=1),EXP(Painel_diario!$L991),1)-1</f>
        <v/>
      </c>
      <c r="E995" s="22">
        <f>(1+E994)*IF(AND(Painel_diario!$H991="ED_JU",Painel_diario!$J991=1),EXP(Painel_diario!$L991),1)-1</f>
        <v/>
      </c>
    </row>
    <row r="996">
      <c r="A996" s="25" t="n">
        <v>40282</v>
      </c>
      <c r="B996" s="22">
        <f>(1+B995)*IF(AND(Painel_diario!$H992="EU_JD",Painel_diario!$J992=1),EXP(Painel_diario!$L992),1)-1</f>
        <v/>
      </c>
      <c r="C996" s="22">
        <f>(1+C995)*IF(AND(Painel_diario!$H992="EU_JU",Painel_diario!$J992=1),EXP(Painel_diario!$L992),1)-1</f>
        <v/>
      </c>
      <c r="D996" s="22">
        <f>(1+D995)*IF(AND(Painel_diario!$H992="ED_JD",Painel_diario!$J992=1),EXP(Painel_diario!$L992),1)-1</f>
        <v/>
      </c>
      <c r="E996" s="22">
        <f>(1+E995)*IF(AND(Painel_diario!$H992="ED_JU",Painel_diario!$J992=1),EXP(Painel_diario!$L992),1)-1</f>
        <v/>
      </c>
    </row>
    <row r="997">
      <c r="A997" s="25" t="n">
        <v>40283</v>
      </c>
      <c r="B997" s="22">
        <f>(1+B996)*IF(AND(Painel_diario!$H993="EU_JD",Painel_diario!$J993=1),EXP(Painel_diario!$L993),1)-1</f>
        <v/>
      </c>
      <c r="C997" s="22">
        <f>(1+C996)*IF(AND(Painel_diario!$H993="EU_JU",Painel_diario!$J993=1),EXP(Painel_diario!$L993),1)-1</f>
        <v/>
      </c>
      <c r="D997" s="22">
        <f>(1+D996)*IF(AND(Painel_diario!$H993="ED_JD",Painel_diario!$J993=1),EXP(Painel_diario!$L993),1)-1</f>
        <v/>
      </c>
      <c r="E997" s="22">
        <f>(1+E996)*IF(AND(Painel_diario!$H993="ED_JU",Painel_diario!$J993=1),EXP(Painel_diario!$L993),1)-1</f>
        <v/>
      </c>
    </row>
    <row r="998">
      <c r="A998" s="25" t="n">
        <v>40284</v>
      </c>
      <c r="B998" s="22">
        <f>(1+B997)*IF(AND(Painel_diario!$H994="EU_JD",Painel_diario!$J994=1),EXP(Painel_diario!$L994),1)-1</f>
        <v/>
      </c>
      <c r="C998" s="22">
        <f>(1+C997)*IF(AND(Painel_diario!$H994="EU_JU",Painel_diario!$J994=1),EXP(Painel_diario!$L994),1)-1</f>
        <v/>
      </c>
      <c r="D998" s="22">
        <f>(1+D997)*IF(AND(Painel_diario!$H994="ED_JD",Painel_diario!$J994=1),EXP(Painel_diario!$L994),1)-1</f>
        <v/>
      </c>
      <c r="E998" s="22">
        <f>(1+E997)*IF(AND(Painel_diario!$H994="ED_JU",Painel_diario!$J994=1),EXP(Painel_diario!$L994),1)-1</f>
        <v/>
      </c>
    </row>
    <row r="999">
      <c r="A999" s="25" t="n">
        <v>40287</v>
      </c>
      <c r="B999" s="22">
        <f>(1+B998)*IF(AND(Painel_diario!$H995="EU_JD",Painel_diario!$J995=1),EXP(Painel_diario!$L995),1)-1</f>
        <v/>
      </c>
      <c r="C999" s="22">
        <f>(1+C998)*IF(AND(Painel_diario!$H995="EU_JU",Painel_diario!$J995=1),EXP(Painel_diario!$L995),1)-1</f>
        <v/>
      </c>
      <c r="D999" s="22">
        <f>(1+D998)*IF(AND(Painel_diario!$H995="ED_JD",Painel_diario!$J995=1),EXP(Painel_diario!$L995),1)-1</f>
        <v/>
      </c>
      <c r="E999" s="22">
        <f>(1+E998)*IF(AND(Painel_diario!$H995="ED_JU",Painel_diario!$J995=1),EXP(Painel_diario!$L995),1)-1</f>
        <v/>
      </c>
    </row>
    <row r="1000">
      <c r="A1000" s="25" t="n">
        <v>40288</v>
      </c>
      <c r="B1000" s="22">
        <f>(1+B999)*IF(AND(Painel_diario!$H996="EU_JD",Painel_diario!$J996=1),EXP(Painel_diario!$L996),1)-1</f>
        <v/>
      </c>
      <c r="C1000" s="22">
        <f>(1+C999)*IF(AND(Painel_diario!$H996="EU_JU",Painel_diario!$J996=1),EXP(Painel_diario!$L996),1)-1</f>
        <v/>
      </c>
      <c r="D1000" s="22">
        <f>(1+D999)*IF(AND(Painel_diario!$H996="ED_JD",Painel_diario!$J996=1),EXP(Painel_diario!$L996),1)-1</f>
        <v/>
      </c>
      <c r="E1000" s="22">
        <f>(1+E999)*IF(AND(Painel_diario!$H996="ED_JU",Painel_diario!$J996=1),EXP(Painel_diario!$L996),1)-1</f>
        <v/>
      </c>
    </row>
    <row r="1001">
      <c r="A1001" s="25" t="n">
        <v>40290</v>
      </c>
      <c r="B1001" s="22">
        <f>(1+B1000)*IF(AND(Painel_diario!$H997="EU_JD",Painel_diario!$J997=1),EXP(Painel_diario!$L997),1)-1</f>
        <v/>
      </c>
      <c r="C1001" s="22">
        <f>(1+C1000)*IF(AND(Painel_diario!$H997="EU_JU",Painel_diario!$J997=1),EXP(Painel_diario!$L997),1)-1</f>
        <v/>
      </c>
      <c r="D1001" s="22">
        <f>(1+D1000)*IF(AND(Painel_diario!$H997="ED_JD",Painel_diario!$J997=1),EXP(Painel_diario!$L997),1)-1</f>
        <v/>
      </c>
      <c r="E1001" s="22">
        <f>(1+E1000)*IF(AND(Painel_diario!$H997="ED_JU",Painel_diario!$J997=1),EXP(Painel_diario!$L997),1)-1</f>
        <v/>
      </c>
    </row>
    <row r="1002">
      <c r="A1002" s="25" t="n">
        <v>40291</v>
      </c>
      <c r="B1002" s="22">
        <f>(1+B1001)*IF(AND(Painel_diario!$H998="EU_JD",Painel_diario!$J998=1),EXP(Painel_diario!$L998),1)-1</f>
        <v/>
      </c>
      <c r="C1002" s="22">
        <f>(1+C1001)*IF(AND(Painel_diario!$H998="EU_JU",Painel_diario!$J998=1),EXP(Painel_diario!$L998),1)-1</f>
        <v/>
      </c>
      <c r="D1002" s="22">
        <f>(1+D1001)*IF(AND(Painel_diario!$H998="ED_JD",Painel_diario!$J998=1),EXP(Painel_diario!$L998),1)-1</f>
        <v/>
      </c>
      <c r="E1002" s="22">
        <f>(1+E1001)*IF(AND(Painel_diario!$H998="ED_JU",Painel_diario!$J998=1),EXP(Painel_diario!$L998),1)-1</f>
        <v/>
      </c>
    </row>
    <row r="1003">
      <c r="A1003" s="25" t="n">
        <v>40294</v>
      </c>
      <c r="B1003" s="22">
        <f>(1+B1002)*IF(AND(Painel_diario!$H999="EU_JD",Painel_diario!$J999=1),EXP(Painel_diario!$L999),1)-1</f>
        <v/>
      </c>
      <c r="C1003" s="22">
        <f>(1+C1002)*IF(AND(Painel_diario!$H999="EU_JU",Painel_diario!$J999=1),EXP(Painel_diario!$L999),1)-1</f>
        <v/>
      </c>
      <c r="D1003" s="22">
        <f>(1+D1002)*IF(AND(Painel_diario!$H999="ED_JD",Painel_diario!$J999=1),EXP(Painel_diario!$L999),1)-1</f>
        <v/>
      </c>
      <c r="E1003" s="22">
        <f>(1+E1002)*IF(AND(Painel_diario!$H999="ED_JU",Painel_diario!$J999=1),EXP(Painel_diario!$L999),1)-1</f>
        <v/>
      </c>
    </row>
    <row r="1004">
      <c r="A1004" s="25" t="n">
        <v>40295</v>
      </c>
      <c r="B1004" s="22">
        <f>(1+B1003)*IF(AND(Painel_diario!$H1000="EU_JD",Painel_diario!$J1000=1),EXP(Painel_diario!$L1000),1)-1</f>
        <v/>
      </c>
      <c r="C1004" s="22">
        <f>(1+C1003)*IF(AND(Painel_diario!$H1000="EU_JU",Painel_diario!$J1000=1),EXP(Painel_diario!$L1000),1)-1</f>
        <v/>
      </c>
      <c r="D1004" s="22">
        <f>(1+D1003)*IF(AND(Painel_diario!$H1000="ED_JD",Painel_diario!$J1000=1),EXP(Painel_diario!$L1000),1)-1</f>
        <v/>
      </c>
      <c r="E1004" s="22">
        <f>(1+E1003)*IF(AND(Painel_diario!$H1000="ED_JU",Painel_diario!$J1000=1),EXP(Painel_diario!$L1000),1)-1</f>
        <v/>
      </c>
    </row>
    <row r="1005">
      <c r="A1005" s="25" t="n">
        <v>40296</v>
      </c>
      <c r="B1005" s="22">
        <f>(1+B1004)*IF(AND(Painel_diario!$H1001="EU_JD",Painel_diario!$J1001=1),EXP(Painel_diario!$L1001),1)-1</f>
        <v/>
      </c>
      <c r="C1005" s="22">
        <f>(1+C1004)*IF(AND(Painel_diario!$H1001="EU_JU",Painel_diario!$J1001=1),EXP(Painel_diario!$L1001),1)-1</f>
        <v/>
      </c>
      <c r="D1005" s="22">
        <f>(1+D1004)*IF(AND(Painel_diario!$H1001="ED_JD",Painel_diario!$J1001=1),EXP(Painel_diario!$L1001),1)-1</f>
        <v/>
      </c>
      <c r="E1005" s="22">
        <f>(1+E1004)*IF(AND(Painel_diario!$H1001="ED_JU",Painel_diario!$J1001=1),EXP(Painel_diario!$L1001),1)-1</f>
        <v/>
      </c>
    </row>
    <row r="1006">
      <c r="A1006" s="25" t="n">
        <v>40297</v>
      </c>
      <c r="B1006" s="22">
        <f>(1+B1005)*IF(AND(Painel_diario!$H1002="EU_JD",Painel_diario!$J1002=1),EXP(Painel_diario!$L1002),1)-1</f>
        <v/>
      </c>
      <c r="C1006" s="22">
        <f>(1+C1005)*IF(AND(Painel_diario!$H1002="EU_JU",Painel_diario!$J1002=1),EXP(Painel_diario!$L1002),1)-1</f>
        <v/>
      </c>
      <c r="D1006" s="22">
        <f>(1+D1005)*IF(AND(Painel_diario!$H1002="ED_JD",Painel_diario!$J1002=1),EXP(Painel_diario!$L1002),1)-1</f>
        <v/>
      </c>
      <c r="E1006" s="22">
        <f>(1+E1005)*IF(AND(Painel_diario!$H1002="ED_JU",Painel_diario!$J1002=1),EXP(Painel_diario!$L1002),1)-1</f>
        <v/>
      </c>
    </row>
    <row r="1007">
      <c r="A1007" s="25" t="n">
        <v>40298</v>
      </c>
      <c r="B1007" s="22">
        <f>(1+B1006)*IF(AND(Painel_diario!$H1003="EU_JD",Painel_diario!$J1003=1),EXP(Painel_diario!$L1003),1)-1</f>
        <v/>
      </c>
      <c r="C1007" s="22">
        <f>(1+C1006)*IF(AND(Painel_diario!$H1003="EU_JU",Painel_diario!$J1003=1),EXP(Painel_diario!$L1003),1)-1</f>
        <v/>
      </c>
      <c r="D1007" s="22">
        <f>(1+D1006)*IF(AND(Painel_diario!$H1003="ED_JD",Painel_diario!$J1003=1),EXP(Painel_diario!$L1003),1)-1</f>
        <v/>
      </c>
      <c r="E1007" s="22">
        <f>(1+E1006)*IF(AND(Painel_diario!$H1003="ED_JU",Painel_diario!$J1003=1),EXP(Painel_diario!$L1003),1)-1</f>
        <v/>
      </c>
    </row>
    <row r="1008">
      <c r="A1008" s="25" t="n">
        <v>40301</v>
      </c>
      <c r="B1008" s="22">
        <f>(1+B1007)*IF(AND(Painel_diario!$H1004="EU_JD",Painel_diario!$J1004=1),EXP(Painel_diario!$L1004),1)-1</f>
        <v/>
      </c>
      <c r="C1008" s="22">
        <f>(1+C1007)*IF(AND(Painel_diario!$H1004="EU_JU",Painel_diario!$J1004=1),EXP(Painel_diario!$L1004),1)-1</f>
        <v/>
      </c>
      <c r="D1008" s="22">
        <f>(1+D1007)*IF(AND(Painel_diario!$H1004="ED_JD",Painel_diario!$J1004=1),EXP(Painel_diario!$L1004),1)-1</f>
        <v/>
      </c>
      <c r="E1008" s="22">
        <f>(1+E1007)*IF(AND(Painel_diario!$H1004="ED_JU",Painel_diario!$J1004=1),EXP(Painel_diario!$L1004),1)-1</f>
        <v/>
      </c>
    </row>
    <row r="1009">
      <c r="A1009" s="25" t="n">
        <v>40302</v>
      </c>
      <c r="B1009" s="22">
        <f>(1+B1008)*IF(AND(Painel_diario!$H1005="EU_JD",Painel_diario!$J1005=1),EXP(Painel_diario!$L1005),1)-1</f>
        <v/>
      </c>
      <c r="C1009" s="22">
        <f>(1+C1008)*IF(AND(Painel_diario!$H1005="EU_JU",Painel_diario!$J1005=1),EXP(Painel_diario!$L1005),1)-1</f>
        <v/>
      </c>
      <c r="D1009" s="22">
        <f>(1+D1008)*IF(AND(Painel_diario!$H1005="ED_JD",Painel_diario!$J1005=1),EXP(Painel_diario!$L1005),1)-1</f>
        <v/>
      </c>
      <c r="E1009" s="22">
        <f>(1+E1008)*IF(AND(Painel_diario!$H1005="ED_JU",Painel_diario!$J1005=1),EXP(Painel_diario!$L1005),1)-1</f>
        <v/>
      </c>
    </row>
    <row r="1010">
      <c r="A1010" s="25" t="n">
        <v>40303</v>
      </c>
      <c r="B1010" s="22">
        <f>(1+B1009)*IF(AND(Painel_diario!$H1006="EU_JD",Painel_diario!$J1006=1),EXP(Painel_diario!$L1006),1)-1</f>
        <v/>
      </c>
      <c r="C1010" s="22">
        <f>(1+C1009)*IF(AND(Painel_diario!$H1006="EU_JU",Painel_diario!$J1006=1),EXP(Painel_diario!$L1006),1)-1</f>
        <v/>
      </c>
      <c r="D1010" s="22">
        <f>(1+D1009)*IF(AND(Painel_diario!$H1006="ED_JD",Painel_diario!$J1006=1),EXP(Painel_diario!$L1006),1)-1</f>
        <v/>
      </c>
      <c r="E1010" s="22">
        <f>(1+E1009)*IF(AND(Painel_diario!$H1006="ED_JU",Painel_diario!$J1006=1),EXP(Painel_diario!$L1006),1)-1</f>
        <v/>
      </c>
    </row>
    <row r="1011">
      <c r="A1011" s="25" t="n">
        <v>40305</v>
      </c>
      <c r="B1011" s="22">
        <f>(1+B1010)*IF(AND(Painel_diario!$H1007="EU_JD",Painel_diario!$J1007=1),EXP(Painel_diario!$L1007),1)-1</f>
        <v/>
      </c>
      <c r="C1011" s="22">
        <f>(1+C1010)*IF(AND(Painel_diario!$H1007="EU_JU",Painel_diario!$J1007=1),EXP(Painel_diario!$L1007),1)-1</f>
        <v/>
      </c>
      <c r="D1011" s="22">
        <f>(1+D1010)*IF(AND(Painel_diario!$H1007="ED_JD",Painel_diario!$J1007=1),EXP(Painel_diario!$L1007),1)-1</f>
        <v/>
      </c>
      <c r="E1011" s="22">
        <f>(1+E1010)*IF(AND(Painel_diario!$H1007="ED_JU",Painel_diario!$J1007=1),EXP(Painel_diario!$L1007),1)-1</f>
        <v/>
      </c>
    </row>
    <row r="1012">
      <c r="A1012" s="25" t="n">
        <v>40308</v>
      </c>
      <c r="B1012" s="22">
        <f>(1+B1011)*IF(AND(Painel_diario!$H1008="EU_JD",Painel_diario!$J1008=1),EXP(Painel_diario!$L1008),1)-1</f>
        <v/>
      </c>
      <c r="C1012" s="22">
        <f>(1+C1011)*IF(AND(Painel_diario!$H1008="EU_JU",Painel_diario!$J1008=1),EXP(Painel_diario!$L1008),1)-1</f>
        <v/>
      </c>
      <c r="D1012" s="22">
        <f>(1+D1011)*IF(AND(Painel_diario!$H1008="ED_JD",Painel_diario!$J1008=1),EXP(Painel_diario!$L1008),1)-1</f>
        <v/>
      </c>
      <c r="E1012" s="22">
        <f>(1+E1011)*IF(AND(Painel_diario!$H1008="ED_JU",Painel_diario!$J1008=1),EXP(Painel_diario!$L1008),1)-1</f>
        <v/>
      </c>
    </row>
    <row r="1013">
      <c r="A1013" s="25" t="n">
        <v>40309</v>
      </c>
      <c r="B1013" s="22">
        <f>(1+B1012)*IF(AND(Painel_diario!$H1009="EU_JD",Painel_diario!$J1009=1),EXP(Painel_diario!$L1009),1)-1</f>
        <v/>
      </c>
      <c r="C1013" s="22">
        <f>(1+C1012)*IF(AND(Painel_diario!$H1009="EU_JU",Painel_diario!$J1009=1),EXP(Painel_diario!$L1009),1)-1</f>
        <v/>
      </c>
      <c r="D1013" s="22">
        <f>(1+D1012)*IF(AND(Painel_diario!$H1009="ED_JD",Painel_diario!$J1009=1),EXP(Painel_diario!$L1009),1)-1</f>
        <v/>
      </c>
      <c r="E1013" s="22">
        <f>(1+E1012)*IF(AND(Painel_diario!$H1009="ED_JU",Painel_diario!$J1009=1),EXP(Painel_diario!$L1009),1)-1</f>
        <v/>
      </c>
    </row>
    <row r="1014">
      <c r="A1014" s="25" t="n">
        <v>40310</v>
      </c>
      <c r="B1014" s="22">
        <f>(1+B1013)*IF(AND(Painel_diario!$H1010="EU_JD",Painel_diario!$J1010=1),EXP(Painel_diario!$L1010),1)-1</f>
        <v/>
      </c>
      <c r="C1014" s="22">
        <f>(1+C1013)*IF(AND(Painel_diario!$H1010="EU_JU",Painel_diario!$J1010=1),EXP(Painel_diario!$L1010),1)-1</f>
        <v/>
      </c>
      <c r="D1014" s="22">
        <f>(1+D1013)*IF(AND(Painel_diario!$H1010="ED_JD",Painel_diario!$J1010=1),EXP(Painel_diario!$L1010),1)-1</f>
        <v/>
      </c>
      <c r="E1014" s="22">
        <f>(1+E1013)*IF(AND(Painel_diario!$H1010="ED_JU",Painel_diario!$J1010=1),EXP(Painel_diario!$L1010),1)-1</f>
        <v/>
      </c>
    </row>
    <row r="1015">
      <c r="A1015" s="25" t="n">
        <v>40311</v>
      </c>
      <c r="B1015" s="22">
        <f>(1+B1014)*IF(AND(Painel_diario!$H1011="EU_JD",Painel_diario!$J1011=1),EXP(Painel_diario!$L1011),1)-1</f>
        <v/>
      </c>
      <c r="C1015" s="22">
        <f>(1+C1014)*IF(AND(Painel_diario!$H1011="EU_JU",Painel_diario!$J1011=1),EXP(Painel_diario!$L1011),1)-1</f>
        <v/>
      </c>
      <c r="D1015" s="22">
        <f>(1+D1014)*IF(AND(Painel_diario!$H1011="ED_JD",Painel_diario!$J1011=1),EXP(Painel_diario!$L1011),1)-1</f>
        <v/>
      </c>
      <c r="E1015" s="22">
        <f>(1+E1014)*IF(AND(Painel_diario!$H1011="ED_JU",Painel_diario!$J1011=1),EXP(Painel_diario!$L1011),1)-1</f>
        <v/>
      </c>
    </row>
    <row r="1016">
      <c r="A1016" s="25" t="n">
        <v>40312</v>
      </c>
      <c r="B1016" s="22">
        <f>(1+B1015)*IF(AND(Painel_diario!$H1012="EU_JD",Painel_diario!$J1012=1),EXP(Painel_diario!$L1012),1)-1</f>
        <v/>
      </c>
      <c r="C1016" s="22">
        <f>(1+C1015)*IF(AND(Painel_diario!$H1012="EU_JU",Painel_diario!$J1012=1),EXP(Painel_diario!$L1012),1)-1</f>
        <v/>
      </c>
      <c r="D1016" s="22">
        <f>(1+D1015)*IF(AND(Painel_diario!$H1012="ED_JD",Painel_diario!$J1012=1),EXP(Painel_diario!$L1012),1)-1</f>
        <v/>
      </c>
      <c r="E1016" s="22">
        <f>(1+E1015)*IF(AND(Painel_diario!$H1012="ED_JU",Painel_diario!$J1012=1),EXP(Painel_diario!$L1012),1)-1</f>
        <v/>
      </c>
    </row>
    <row r="1017">
      <c r="A1017" s="25" t="n">
        <v>40315</v>
      </c>
      <c r="B1017" s="22">
        <f>(1+B1016)*IF(AND(Painel_diario!$H1013="EU_JD",Painel_diario!$J1013=1),EXP(Painel_diario!$L1013),1)-1</f>
        <v/>
      </c>
      <c r="C1017" s="22">
        <f>(1+C1016)*IF(AND(Painel_diario!$H1013="EU_JU",Painel_diario!$J1013=1),EXP(Painel_diario!$L1013),1)-1</f>
        <v/>
      </c>
      <c r="D1017" s="22">
        <f>(1+D1016)*IF(AND(Painel_diario!$H1013="ED_JD",Painel_diario!$J1013=1),EXP(Painel_diario!$L1013),1)-1</f>
        <v/>
      </c>
      <c r="E1017" s="22">
        <f>(1+E1016)*IF(AND(Painel_diario!$H1013="ED_JU",Painel_diario!$J1013=1),EXP(Painel_diario!$L1013),1)-1</f>
        <v/>
      </c>
    </row>
    <row r="1018">
      <c r="A1018" s="25" t="n">
        <v>40316</v>
      </c>
      <c r="B1018" s="22">
        <f>(1+B1017)*IF(AND(Painel_diario!$H1014="EU_JD",Painel_diario!$J1014=1),EXP(Painel_diario!$L1014),1)-1</f>
        <v/>
      </c>
      <c r="C1018" s="22">
        <f>(1+C1017)*IF(AND(Painel_diario!$H1014="EU_JU",Painel_diario!$J1014=1),EXP(Painel_diario!$L1014),1)-1</f>
        <v/>
      </c>
      <c r="D1018" s="22">
        <f>(1+D1017)*IF(AND(Painel_diario!$H1014="ED_JD",Painel_diario!$J1014=1),EXP(Painel_diario!$L1014),1)-1</f>
        <v/>
      </c>
      <c r="E1018" s="22">
        <f>(1+E1017)*IF(AND(Painel_diario!$H1014="ED_JU",Painel_diario!$J1014=1),EXP(Painel_diario!$L1014),1)-1</f>
        <v/>
      </c>
    </row>
    <row r="1019">
      <c r="A1019" s="25" t="n">
        <v>40317</v>
      </c>
      <c r="B1019" s="22">
        <f>(1+B1018)*IF(AND(Painel_diario!$H1015="EU_JD",Painel_diario!$J1015=1),EXP(Painel_diario!$L1015),1)-1</f>
        <v/>
      </c>
      <c r="C1019" s="22">
        <f>(1+C1018)*IF(AND(Painel_diario!$H1015="EU_JU",Painel_diario!$J1015=1),EXP(Painel_diario!$L1015),1)-1</f>
        <v/>
      </c>
      <c r="D1019" s="22">
        <f>(1+D1018)*IF(AND(Painel_diario!$H1015="ED_JD",Painel_diario!$J1015=1),EXP(Painel_diario!$L1015),1)-1</f>
        <v/>
      </c>
      <c r="E1019" s="22">
        <f>(1+E1018)*IF(AND(Painel_diario!$H1015="ED_JU",Painel_diario!$J1015=1),EXP(Painel_diario!$L1015),1)-1</f>
        <v/>
      </c>
    </row>
    <row r="1020">
      <c r="A1020" s="25" t="n">
        <v>40318</v>
      </c>
      <c r="B1020" s="22">
        <f>(1+B1019)*IF(AND(Painel_diario!$H1016="EU_JD",Painel_diario!$J1016=1),EXP(Painel_diario!$L1016),1)-1</f>
        <v/>
      </c>
      <c r="C1020" s="22">
        <f>(1+C1019)*IF(AND(Painel_diario!$H1016="EU_JU",Painel_diario!$J1016=1),EXP(Painel_diario!$L1016),1)-1</f>
        <v/>
      </c>
      <c r="D1020" s="22">
        <f>(1+D1019)*IF(AND(Painel_diario!$H1016="ED_JD",Painel_diario!$J1016=1),EXP(Painel_diario!$L1016),1)-1</f>
        <v/>
      </c>
      <c r="E1020" s="22">
        <f>(1+E1019)*IF(AND(Painel_diario!$H1016="ED_JU",Painel_diario!$J1016=1),EXP(Painel_diario!$L1016),1)-1</f>
        <v/>
      </c>
    </row>
    <row r="1021">
      <c r="A1021" s="25" t="n">
        <v>40319</v>
      </c>
      <c r="B1021" s="22">
        <f>(1+B1020)*IF(AND(Painel_diario!$H1017="EU_JD",Painel_diario!$J1017=1),EXP(Painel_diario!$L1017),1)-1</f>
        <v/>
      </c>
      <c r="C1021" s="22">
        <f>(1+C1020)*IF(AND(Painel_diario!$H1017="EU_JU",Painel_diario!$J1017=1),EXP(Painel_diario!$L1017),1)-1</f>
        <v/>
      </c>
      <c r="D1021" s="22">
        <f>(1+D1020)*IF(AND(Painel_diario!$H1017="ED_JD",Painel_diario!$J1017=1),EXP(Painel_diario!$L1017),1)-1</f>
        <v/>
      </c>
      <c r="E1021" s="22">
        <f>(1+E1020)*IF(AND(Painel_diario!$H1017="ED_JU",Painel_diario!$J1017=1),EXP(Painel_diario!$L1017),1)-1</f>
        <v/>
      </c>
    </row>
    <row r="1022">
      <c r="A1022" s="25" t="n">
        <v>40322</v>
      </c>
      <c r="B1022" s="22">
        <f>(1+B1021)*IF(AND(Painel_diario!$H1018="EU_JD",Painel_diario!$J1018=1),EXP(Painel_diario!$L1018),1)-1</f>
        <v/>
      </c>
      <c r="C1022" s="22">
        <f>(1+C1021)*IF(AND(Painel_diario!$H1018="EU_JU",Painel_diario!$J1018=1),EXP(Painel_diario!$L1018),1)-1</f>
        <v/>
      </c>
      <c r="D1022" s="22">
        <f>(1+D1021)*IF(AND(Painel_diario!$H1018="ED_JD",Painel_diario!$J1018=1),EXP(Painel_diario!$L1018),1)-1</f>
        <v/>
      </c>
      <c r="E1022" s="22">
        <f>(1+E1021)*IF(AND(Painel_diario!$H1018="ED_JU",Painel_diario!$J1018=1),EXP(Painel_diario!$L1018),1)-1</f>
        <v/>
      </c>
    </row>
    <row r="1023">
      <c r="A1023" s="25" t="n">
        <v>40323</v>
      </c>
      <c r="B1023" s="22">
        <f>(1+B1022)*IF(AND(Painel_diario!$H1019="EU_JD",Painel_diario!$J1019=1),EXP(Painel_diario!$L1019),1)-1</f>
        <v/>
      </c>
      <c r="C1023" s="22">
        <f>(1+C1022)*IF(AND(Painel_diario!$H1019="EU_JU",Painel_diario!$J1019=1),EXP(Painel_diario!$L1019),1)-1</f>
        <v/>
      </c>
      <c r="D1023" s="22">
        <f>(1+D1022)*IF(AND(Painel_diario!$H1019="ED_JD",Painel_diario!$J1019=1),EXP(Painel_diario!$L1019),1)-1</f>
        <v/>
      </c>
      <c r="E1023" s="22">
        <f>(1+E1022)*IF(AND(Painel_diario!$H1019="ED_JU",Painel_diario!$J1019=1),EXP(Painel_diario!$L1019),1)-1</f>
        <v/>
      </c>
    </row>
    <row r="1024">
      <c r="A1024" s="25" t="n">
        <v>40324</v>
      </c>
      <c r="B1024" s="22">
        <f>(1+B1023)*IF(AND(Painel_diario!$H1020="EU_JD",Painel_diario!$J1020=1),EXP(Painel_diario!$L1020),1)-1</f>
        <v/>
      </c>
      <c r="C1024" s="22">
        <f>(1+C1023)*IF(AND(Painel_diario!$H1020="EU_JU",Painel_diario!$J1020=1),EXP(Painel_diario!$L1020),1)-1</f>
        <v/>
      </c>
      <c r="D1024" s="22">
        <f>(1+D1023)*IF(AND(Painel_diario!$H1020="ED_JD",Painel_diario!$J1020=1),EXP(Painel_diario!$L1020),1)-1</f>
        <v/>
      </c>
      <c r="E1024" s="22">
        <f>(1+E1023)*IF(AND(Painel_diario!$H1020="ED_JU",Painel_diario!$J1020=1),EXP(Painel_diario!$L1020),1)-1</f>
        <v/>
      </c>
    </row>
    <row r="1025">
      <c r="A1025" s="25" t="n">
        <v>40325</v>
      </c>
      <c r="B1025" s="22">
        <f>(1+B1024)*IF(AND(Painel_diario!$H1021="EU_JD",Painel_diario!$J1021=1),EXP(Painel_diario!$L1021),1)-1</f>
        <v/>
      </c>
      <c r="C1025" s="22">
        <f>(1+C1024)*IF(AND(Painel_diario!$H1021="EU_JU",Painel_diario!$J1021=1),EXP(Painel_diario!$L1021),1)-1</f>
        <v/>
      </c>
      <c r="D1025" s="22">
        <f>(1+D1024)*IF(AND(Painel_diario!$H1021="ED_JD",Painel_diario!$J1021=1),EXP(Painel_diario!$L1021),1)-1</f>
        <v/>
      </c>
      <c r="E1025" s="22">
        <f>(1+E1024)*IF(AND(Painel_diario!$H1021="ED_JU",Painel_diario!$J1021=1),EXP(Painel_diario!$L1021),1)-1</f>
        <v/>
      </c>
    </row>
    <row r="1026">
      <c r="A1026" s="25" t="n">
        <v>40326</v>
      </c>
      <c r="B1026" s="22">
        <f>(1+B1025)*IF(AND(Painel_diario!$H1022="EU_JD",Painel_diario!$J1022=1),EXP(Painel_diario!$L1022),1)-1</f>
        <v/>
      </c>
      <c r="C1026" s="22">
        <f>(1+C1025)*IF(AND(Painel_diario!$H1022="EU_JU",Painel_diario!$J1022=1),EXP(Painel_diario!$L1022),1)-1</f>
        <v/>
      </c>
      <c r="D1026" s="22">
        <f>(1+D1025)*IF(AND(Painel_diario!$H1022="ED_JD",Painel_diario!$J1022=1),EXP(Painel_diario!$L1022),1)-1</f>
        <v/>
      </c>
      <c r="E1026" s="22">
        <f>(1+E1025)*IF(AND(Painel_diario!$H1022="ED_JU",Painel_diario!$J1022=1),EXP(Painel_diario!$L1022),1)-1</f>
        <v/>
      </c>
    </row>
    <row r="1027">
      <c r="A1027" s="25" t="n">
        <v>40329</v>
      </c>
      <c r="B1027" s="22">
        <f>(1+B1026)*IF(AND(Painel_diario!$H1023="EU_JD",Painel_diario!$J1023=1),EXP(Painel_diario!$L1023),1)-1</f>
        <v/>
      </c>
      <c r="C1027" s="22">
        <f>(1+C1026)*IF(AND(Painel_diario!$H1023="EU_JU",Painel_diario!$J1023=1),EXP(Painel_diario!$L1023),1)-1</f>
        <v/>
      </c>
      <c r="D1027" s="22">
        <f>(1+D1026)*IF(AND(Painel_diario!$H1023="ED_JD",Painel_diario!$J1023=1),EXP(Painel_diario!$L1023),1)-1</f>
        <v/>
      </c>
      <c r="E1027" s="22">
        <f>(1+E1026)*IF(AND(Painel_diario!$H1023="ED_JU",Painel_diario!$J1023=1),EXP(Painel_diario!$L1023),1)-1</f>
        <v/>
      </c>
    </row>
    <row r="1028">
      <c r="A1028" s="25" t="n">
        <v>40330</v>
      </c>
      <c r="B1028" s="22">
        <f>(1+B1027)*IF(AND(Painel_diario!$H1024="EU_JD",Painel_diario!$J1024=1),EXP(Painel_diario!$L1024),1)-1</f>
        <v/>
      </c>
      <c r="C1028" s="22">
        <f>(1+C1027)*IF(AND(Painel_diario!$H1024="EU_JU",Painel_diario!$J1024=1),EXP(Painel_diario!$L1024),1)-1</f>
        <v/>
      </c>
      <c r="D1028" s="22">
        <f>(1+D1027)*IF(AND(Painel_diario!$H1024="ED_JD",Painel_diario!$J1024=1),EXP(Painel_diario!$L1024),1)-1</f>
        <v/>
      </c>
      <c r="E1028" s="22">
        <f>(1+E1027)*IF(AND(Painel_diario!$H1024="ED_JU",Painel_diario!$J1024=1),EXP(Painel_diario!$L1024),1)-1</f>
        <v/>
      </c>
    </row>
    <row r="1029">
      <c r="A1029" s="25" t="n">
        <v>40331</v>
      </c>
      <c r="B1029" s="22">
        <f>(1+B1028)*IF(AND(Painel_diario!$H1025="EU_JD",Painel_diario!$J1025=1),EXP(Painel_diario!$L1025),1)-1</f>
        <v/>
      </c>
      <c r="C1029" s="22">
        <f>(1+C1028)*IF(AND(Painel_diario!$H1025="EU_JU",Painel_diario!$J1025=1),EXP(Painel_diario!$L1025),1)-1</f>
        <v/>
      </c>
      <c r="D1029" s="22">
        <f>(1+D1028)*IF(AND(Painel_diario!$H1025="ED_JD",Painel_diario!$J1025=1),EXP(Painel_diario!$L1025),1)-1</f>
        <v/>
      </c>
      <c r="E1029" s="22">
        <f>(1+E1028)*IF(AND(Painel_diario!$H1025="ED_JU",Painel_diario!$J1025=1),EXP(Painel_diario!$L1025),1)-1</f>
        <v/>
      </c>
    </row>
    <row r="1030">
      <c r="A1030" s="25" t="n">
        <v>40333</v>
      </c>
      <c r="B1030" s="22">
        <f>(1+B1029)*IF(AND(Painel_diario!$H1026="EU_JD",Painel_diario!$J1026=1),EXP(Painel_diario!$L1026),1)-1</f>
        <v/>
      </c>
      <c r="C1030" s="22">
        <f>(1+C1029)*IF(AND(Painel_diario!$H1026="EU_JU",Painel_diario!$J1026=1),EXP(Painel_diario!$L1026),1)-1</f>
        <v/>
      </c>
      <c r="D1030" s="22">
        <f>(1+D1029)*IF(AND(Painel_diario!$H1026="ED_JD",Painel_diario!$J1026=1),EXP(Painel_diario!$L1026),1)-1</f>
        <v/>
      </c>
      <c r="E1030" s="22">
        <f>(1+E1029)*IF(AND(Painel_diario!$H1026="ED_JU",Painel_diario!$J1026=1),EXP(Painel_diario!$L1026),1)-1</f>
        <v/>
      </c>
    </row>
    <row r="1031">
      <c r="A1031" s="25" t="n">
        <v>40336</v>
      </c>
      <c r="B1031" s="22">
        <f>(1+B1030)*IF(AND(Painel_diario!$H1027="EU_JD",Painel_diario!$J1027=1),EXP(Painel_diario!$L1027),1)-1</f>
        <v/>
      </c>
      <c r="C1031" s="22">
        <f>(1+C1030)*IF(AND(Painel_diario!$H1027="EU_JU",Painel_diario!$J1027=1),EXP(Painel_diario!$L1027),1)-1</f>
        <v/>
      </c>
      <c r="D1031" s="22">
        <f>(1+D1030)*IF(AND(Painel_diario!$H1027="ED_JD",Painel_diario!$J1027=1),EXP(Painel_diario!$L1027),1)-1</f>
        <v/>
      </c>
      <c r="E1031" s="22">
        <f>(1+E1030)*IF(AND(Painel_diario!$H1027="ED_JU",Painel_diario!$J1027=1),EXP(Painel_diario!$L1027),1)-1</f>
        <v/>
      </c>
    </row>
    <row r="1032">
      <c r="A1032" s="25" t="n">
        <v>40337</v>
      </c>
      <c r="B1032" s="22">
        <f>(1+B1031)*IF(AND(Painel_diario!$H1028="EU_JD",Painel_diario!$J1028=1),EXP(Painel_diario!$L1028),1)-1</f>
        <v/>
      </c>
      <c r="C1032" s="22">
        <f>(1+C1031)*IF(AND(Painel_diario!$H1028="EU_JU",Painel_diario!$J1028=1),EXP(Painel_diario!$L1028),1)-1</f>
        <v/>
      </c>
      <c r="D1032" s="22">
        <f>(1+D1031)*IF(AND(Painel_diario!$H1028="ED_JD",Painel_diario!$J1028=1),EXP(Painel_diario!$L1028),1)-1</f>
        <v/>
      </c>
      <c r="E1032" s="22">
        <f>(1+E1031)*IF(AND(Painel_diario!$H1028="ED_JU",Painel_diario!$J1028=1),EXP(Painel_diario!$L1028),1)-1</f>
        <v/>
      </c>
    </row>
    <row r="1033">
      <c r="A1033" s="25" t="n">
        <v>40338</v>
      </c>
      <c r="B1033" s="22">
        <f>(1+B1032)*IF(AND(Painel_diario!$H1029="EU_JD",Painel_diario!$J1029=1),EXP(Painel_diario!$L1029),1)-1</f>
        <v/>
      </c>
      <c r="C1033" s="22">
        <f>(1+C1032)*IF(AND(Painel_diario!$H1029="EU_JU",Painel_diario!$J1029=1),EXP(Painel_diario!$L1029),1)-1</f>
        <v/>
      </c>
      <c r="D1033" s="22">
        <f>(1+D1032)*IF(AND(Painel_diario!$H1029="ED_JD",Painel_diario!$J1029=1),EXP(Painel_diario!$L1029),1)-1</f>
        <v/>
      </c>
      <c r="E1033" s="22">
        <f>(1+E1032)*IF(AND(Painel_diario!$H1029="ED_JU",Painel_diario!$J1029=1),EXP(Painel_diario!$L1029),1)-1</f>
        <v/>
      </c>
    </row>
    <row r="1034">
      <c r="A1034" s="25" t="n">
        <v>40339</v>
      </c>
      <c r="B1034" s="22">
        <f>(1+B1033)*IF(AND(Painel_diario!$H1030="EU_JD",Painel_diario!$J1030=1),EXP(Painel_diario!$L1030),1)-1</f>
        <v/>
      </c>
      <c r="C1034" s="22">
        <f>(1+C1033)*IF(AND(Painel_diario!$H1030="EU_JU",Painel_diario!$J1030=1),EXP(Painel_diario!$L1030),1)-1</f>
        <v/>
      </c>
      <c r="D1034" s="22">
        <f>(1+D1033)*IF(AND(Painel_diario!$H1030="ED_JD",Painel_diario!$J1030=1),EXP(Painel_diario!$L1030),1)-1</f>
        <v/>
      </c>
      <c r="E1034" s="22">
        <f>(1+E1033)*IF(AND(Painel_diario!$H1030="ED_JU",Painel_diario!$J1030=1),EXP(Painel_diario!$L1030),1)-1</f>
        <v/>
      </c>
    </row>
    <row r="1035">
      <c r="A1035" s="25" t="n">
        <v>40340</v>
      </c>
      <c r="B1035" s="22">
        <f>(1+B1034)*IF(AND(Painel_diario!$H1031="EU_JD",Painel_diario!$J1031=1),EXP(Painel_diario!$L1031),1)-1</f>
        <v/>
      </c>
      <c r="C1035" s="22">
        <f>(1+C1034)*IF(AND(Painel_diario!$H1031="EU_JU",Painel_diario!$J1031=1),EXP(Painel_diario!$L1031),1)-1</f>
        <v/>
      </c>
      <c r="D1035" s="22">
        <f>(1+D1034)*IF(AND(Painel_diario!$H1031="ED_JD",Painel_diario!$J1031=1),EXP(Painel_diario!$L1031),1)-1</f>
        <v/>
      </c>
      <c r="E1035" s="22">
        <f>(1+E1034)*IF(AND(Painel_diario!$H1031="ED_JU",Painel_diario!$J1031=1),EXP(Painel_diario!$L1031),1)-1</f>
        <v/>
      </c>
    </row>
    <row r="1036">
      <c r="A1036" s="25" t="n">
        <v>40343</v>
      </c>
      <c r="B1036" s="22">
        <f>(1+B1035)*IF(AND(Painel_diario!$H1032="EU_JD",Painel_diario!$J1032=1),EXP(Painel_diario!$L1032),1)-1</f>
        <v/>
      </c>
      <c r="C1036" s="22">
        <f>(1+C1035)*IF(AND(Painel_diario!$H1032="EU_JU",Painel_diario!$J1032=1),EXP(Painel_diario!$L1032),1)-1</f>
        <v/>
      </c>
      <c r="D1036" s="22">
        <f>(1+D1035)*IF(AND(Painel_diario!$H1032="ED_JD",Painel_diario!$J1032=1),EXP(Painel_diario!$L1032),1)-1</f>
        <v/>
      </c>
      <c r="E1036" s="22">
        <f>(1+E1035)*IF(AND(Painel_diario!$H1032="ED_JU",Painel_diario!$J1032=1),EXP(Painel_diario!$L1032),1)-1</f>
        <v/>
      </c>
    </row>
    <row r="1037">
      <c r="A1037" s="25" t="n">
        <v>40344</v>
      </c>
      <c r="B1037" s="22">
        <f>(1+B1036)*IF(AND(Painel_diario!$H1033="EU_JD",Painel_diario!$J1033=1),EXP(Painel_diario!$L1033),1)-1</f>
        <v/>
      </c>
      <c r="C1037" s="22">
        <f>(1+C1036)*IF(AND(Painel_diario!$H1033="EU_JU",Painel_diario!$J1033=1),EXP(Painel_diario!$L1033),1)-1</f>
        <v/>
      </c>
      <c r="D1037" s="22">
        <f>(1+D1036)*IF(AND(Painel_diario!$H1033="ED_JD",Painel_diario!$J1033=1),EXP(Painel_diario!$L1033),1)-1</f>
        <v/>
      </c>
      <c r="E1037" s="22">
        <f>(1+E1036)*IF(AND(Painel_diario!$H1033="ED_JU",Painel_diario!$J1033=1),EXP(Painel_diario!$L1033),1)-1</f>
        <v/>
      </c>
    </row>
    <row r="1038">
      <c r="A1038" s="25" t="n">
        <v>40345</v>
      </c>
      <c r="B1038" s="22">
        <f>(1+B1037)*IF(AND(Painel_diario!$H1034="EU_JD",Painel_diario!$J1034=1),EXP(Painel_diario!$L1034),1)-1</f>
        <v/>
      </c>
      <c r="C1038" s="22">
        <f>(1+C1037)*IF(AND(Painel_diario!$H1034="EU_JU",Painel_diario!$J1034=1),EXP(Painel_diario!$L1034),1)-1</f>
        <v/>
      </c>
      <c r="D1038" s="22">
        <f>(1+D1037)*IF(AND(Painel_diario!$H1034="ED_JD",Painel_diario!$J1034=1),EXP(Painel_diario!$L1034),1)-1</f>
        <v/>
      </c>
      <c r="E1038" s="22">
        <f>(1+E1037)*IF(AND(Painel_diario!$H1034="ED_JU",Painel_diario!$J1034=1),EXP(Painel_diario!$L1034),1)-1</f>
        <v/>
      </c>
    </row>
    <row r="1039">
      <c r="A1039" s="25" t="n">
        <v>40346</v>
      </c>
      <c r="B1039" s="22">
        <f>(1+B1038)*IF(AND(Painel_diario!$H1035="EU_JD",Painel_diario!$J1035=1),EXP(Painel_diario!$L1035),1)-1</f>
        <v/>
      </c>
      <c r="C1039" s="22">
        <f>(1+C1038)*IF(AND(Painel_diario!$H1035="EU_JU",Painel_diario!$J1035=1),EXP(Painel_diario!$L1035),1)-1</f>
        <v/>
      </c>
      <c r="D1039" s="22">
        <f>(1+D1038)*IF(AND(Painel_diario!$H1035="ED_JD",Painel_diario!$J1035=1),EXP(Painel_diario!$L1035),1)-1</f>
        <v/>
      </c>
      <c r="E1039" s="22">
        <f>(1+E1038)*IF(AND(Painel_diario!$H1035="ED_JU",Painel_diario!$J1035=1),EXP(Painel_diario!$L1035),1)-1</f>
        <v/>
      </c>
    </row>
    <row r="1040">
      <c r="A1040" s="25" t="n">
        <v>40347</v>
      </c>
      <c r="B1040" s="22">
        <f>(1+B1039)*IF(AND(Painel_diario!$H1036="EU_JD",Painel_diario!$J1036=1),EXP(Painel_diario!$L1036),1)-1</f>
        <v/>
      </c>
      <c r="C1040" s="22">
        <f>(1+C1039)*IF(AND(Painel_diario!$H1036="EU_JU",Painel_diario!$J1036=1),EXP(Painel_diario!$L1036),1)-1</f>
        <v/>
      </c>
      <c r="D1040" s="22">
        <f>(1+D1039)*IF(AND(Painel_diario!$H1036="ED_JD",Painel_diario!$J1036=1),EXP(Painel_diario!$L1036),1)-1</f>
        <v/>
      </c>
      <c r="E1040" s="22">
        <f>(1+E1039)*IF(AND(Painel_diario!$H1036="ED_JU",Painel_diario!$J1036=1),EXP(Painel_diario!$L1036),1)-1</f>
        <v/>
      </c>
    </row>
    <row r="1041">
      <c r="A1041" s="25" t="n">
        <v>40350</v>
      </c>
      <c r="B1041" s="22">
        <f>(1+B1040)*IF(AND(Painel_diario!$H1037="EU_JD",Painel_diario!$J1037=1),EXP(Painel_diario!$L1037),1)-1</f>
        <v/>
      </c>
      <c r="C1041" s="22">
        <f>(1+C1040)*IF(AND(Painel_diario!$H1037="EU_JU",Painel_diario!$J1037=1),EXP(Painel_diario!$L1037),1)-1</f>
        <v/>
      </c>
      <c r="D1041" s="22">
        <f>(1+D1040)*IF(AND(Painel_diario!$H1037="ED_JD",Painel_diario!$J1037=1),EXP(Painel_diario!$L1037),1)-1</f>
        <v/>
      </c>
      <c r="E1041" s="22">
        <f>(1+E1040)*IF(AND(Painel_diario!$H1037="ED_JU",Painel_diario!$J1037=1),EXP(Painel_diario!$L1037),1)-1</f>
        <v/>
      </c>
    </row>
    <row r="1042">
      <c r="A1042" s="25" t="n">
        <v>40351</v>
      </c>
      <c r="B1042" s="22">
        <f>(1+B1041)*IF(AND(Painel_diario!$H1038="EU_JD",Painel_diario!$J1038=1),EXP(Painel_diario!$L1038),1)-1</f>
        <v/>
      </c>
      <c r="C1042" s="22">
        <f>(1+C1041)*IF(AND(Painel_diario!$H1038="EU_JU",Painel_diario!$J1038=1),EXP(Painel_diario!$L1038),1)-1</f>
        <v/>
      </c>
      <c r="D1042" s="22">
        <f>(1+D1041)*IF(AND(Painel_diario!$H1038="ED_JD",Painel_diario!$J1038=1),EXP(Painel_diario!$L1038),1)-1</f>
        <v/>
      </c>
      <c r="E1042" s="22">
        <f>(1+E1041)*IF(AND(Painel_diario!$H1038="ED_JU",Painel_diario!$J1038=1),EXP(Painel_diario!$L1038),1)-1</f>
        <v/>
      </c>
    </row>
    <row r="1043">
      <c r="A1043" s="25" t="n">
        <v>40352</v>
      </c>
      <c r="B1043" s="22">
        <f>(1+B1042)*IF(AND(Painel_diario!$H1039="EU_JD",Painel_diario!$J1039=1),EXP(Painel_diario!$L1039),1)-1</f>
        <v/>
      </c>
      <c r="C1043" s="22">
        <f>(1+C1042)*IF(AND(Painel_diario!$H1039="EU_JU",Painel_diario!$J1039=1),EXP(Painel_diario!$L1039),1)-1</f>
        <v/>
      </c>
      <c r="D1043" s="22">
        <f>(1+D1042)*IF(AND(Painel_diario!$H1039="ED_JD",Painel_diario!$J1039=1),EXP(Painel_diario!$L1039),1)-1</f>
        <v/>
      </c>
      <c r="E1043" s="22">
        <f>(1+E1042)*IF(AND(Painel_diario!$H1039="ED_JU",Painel_diario!$J1039=1),EXP(Painel_diario!$L1039),1)-1</f>
        <v/>
      </c>
    </row>
    <row r="1044">
      <c r="A1044" s="25" t="n">
        <v>40353</v>
      </c>
      <c r="B1044" s="22">
        <f>(1+B1043)*IF(AND(Painel_diario!$H1040="EU_JD",Painel_diario!$J1040=1),EXP(Painel_diario!$L1040),1)-1</f>
        <v/>
      </c>
      <c r="C1044" s="22">
        <f>(1+C1043)*IF(AND(Painel_diario!$H1040="EU_JU",Painel_diario!$J1040=1),EXP(Painel_diario!$L1040),1)-1</f>
        <v/>
      </c>
      <c r="D1044" s="22">
        <f>(1+D1043)*IF(AND(Painel_diario!$H1040="ED_JD",Painel_diario!$J1040=1),EXP(Painel_diario!$L1040),1)-1</f>
        <v/>
      </c>
      <c r="E1044" s="22">
        <f>(1+E1043)*IF(AND(Painel_diario!$H1040="ED_JU",Painel_diario!$J1040=1),EXP(Painel_diario!$L1040),1)-1</f>
        <v/>
      </c>
    </row>
    <row r="1045">
      <c r="A1045" s="25" t="n">
        <v>40354</v>
      </c>
      <c r="B1045" s="22">
        <f>(1+B1044)*IF(AND(Painel_diario!$H1041="EU_JD",Painel_diario!$J1041=1),EXP(Painel_diario!$L1041),1)-1</f>
        <v/>
      </c>
      <c r="C1045" s="22">
        <f>(1+C1044)*IF(AND(Painel_diario!$H1041="EU_JU",Painel_diario!$J1041=1),EXP(Painel_diario!$L1041),1)-1</f>
        <v/>
      </c>
      <c r="D1045" s="22">
        <f>(1+D1044)*IF(AND(Painel_diario!$H1041="ED_JD",Painel_diario!$J1041=1),EXP(Painel_diario!$L1041),1)-1</f>
        <v/>
      </c>
      <c r="E1045" s="22">
        <f>(1+E1044)*IF(AND(Painel_diario!$H1041="ED_JU",Painel_diario!$J1041=1),EXP(Painel_diario!$L1041),1)-1</f>
        <v/>
      </c>
    </row>
    <row r="1046">
      <c r="A1046" s="25" t="n">
        <v>40357</v>
      </c>
      <c r="B1046" s="22">
        <f>(1+B1045)*IF(AND(Painel_diario!$H1042="EU_JD",Painel_diario!$J1042=1),EXP(Painel_diario!$L1042),1)-1</f>
        <v/>
      </c>
      <c r="C1046" s="22">
        <f>(1+C1045)*IF(AND(Painel_diario!$H1042="EU_JU",Painel_diario!$J1042=1),EXP(Painel_diario!$L1042),1)-1</f>
        <v/>
      </c>
      <c r="D1046" s="22">
        <f>(1+D1045)*IF(AND(Painel_diario!$H1042="ED_JD",Painel_diario!$J1042=1),EXP(Painel_diario!$L1042),1)-1</f>
        <v/>
      </c>
      <c r="E1046" s="22">
        <f>(1+E1045)*IF(AND(Painel_diario!$H1042="ED_JU",Painel_diario!$J1042=1),EXP(Painel_diario!$L1042),1)-1</f>
        <v/>
      </c>
    </row>
    <row r="1047">
      <c r="A1047" s="25" t="n">
        <v>40359</v>
      </c>
      <c r="B1047" s="22">
        <f>(1+B1046)*IF(AND(Painel_diario!$H1043="EU_JD",Painel_diario!$J1043=1),EXP(Painel_diario!$L1043),1)-1</f>
        <v/>
      </c>
      <c r="C1047" s="22">
        <f>(1+C1046)*IF(AND(Painel_diario!$H1043="EU_JU",Painel_diario!$J1043=1),EXP(Painel_diario!$L1043),1)-1</f>
        <v/>
      </c>
      <c r="D1047" s="22">
        <f>(1+D1046)*IF(AND(Painel_diario!$H1043="ED_JD",Painel_diario!$J1043=1),EXP(Painel_diario!$L1043),1)-1</f>
        <v/>
      </c>
      <c r="E1047" s="22">
        <f>(1+E1046)*IF(AND(Painel_diario!$H1043="ED_JU",Painel_diario!$J1043=1),EXP(Painel_diario!$L1043),1)-1</f>
        <v/>
      </c>
    </row>
    <row r="1048">
      <c r="A1048" s="25" t="n">
        <v>40360</v>
      </c>
      <c r="B1048" s="22">
        <f>(1+B1047)*IF(AND(Painel_diario!$H1044="EU_JD",Painel_diario!$J1044=1),EXP(Painel_diario!$L1044),1)-1</f>
        <v/>
      </c>
      <c r="C1048" s="22">
        <f>(1+C1047)*IF(AND(Painel_diario!$H1044="EU_JU",Painel_diario!$J1044=1),EXP(Painel_diario!$L1044),1)-1</f>
        <v/>
      </c>
      <c r="D1048" s="22">
        <f>(1+D1047)*IF(AND(Painel_diario!$H1044="ED_JD",Painel_diario!$J1044=1),EXP(Painel_diario!$L1044),1)-1</f>
        <v/>
      </c>
      <c r="E1048" s="22">
        <f>(1+E1047)*IF(AND(Painel_diario!$H1044="ED_JU",Painel_diario!$J1044=1),EXP(Painel_diario!$L1044),1)-1</f>
        <v/>
      </c>
    </row>
    <row r="1049">
      <c r="A1049" s="25" t="n">
        <v>40361</v>
      </c>
      <c r="B1049" s="22">
        <f>(1+B1048)*IF(AND(Painel_diario!$H1045="EU_JD",Painel_diario!$J1045=1),EXP(Painel_diario!$L1045),1)-1</f>
        <v/>
      </c>
      <c r="C1049" s="22">
        <f>(1+C1048)*IF(AND(Painel_diario!$H1045="EU_JU",Painel_diario!$J1045=1),EXP(Painel_diario!$L1045),1)-1</f>
        <v/>
      </c>
      <c r="D1049" s="22">
        <f>(1+D1048)*IF(AND(Painel_diario!$H1045="ED_JD",Painel_diario!$J1045=1),EXP(Painel_diario!$L1045),1)-1</f>
        <v/>
      </c>
      <c r="E1049" s="22">
        <f>(1+E1048)*IF(AND(Painel_diario!$H1045="ED_JU",Painel_diario!$J1045=1),EXP(Painel_diario!$L1045),1)-1</f>
        <v/>
      </c>
    </row>
    <row r="1050">
      <c r="A1050" s="25" t="n">
        <v>40364</v>
      </c>
      <c r="B1050" s="22">
        <f>(1+B1049)*IF(AND(Painel_diario!$H1046="EU_JD",Painel_diario!$J1046=1),EXP(Painel_diario!$L1046),1)-1</f>
        <v/>
      </c>
      <c r="C1050" s="22">
        <f>(1+C1049)*IF(AND(Painel_diario!$H1046="EU_JU",Painel_diario!$J1046=1),EXP(Painel_diario!$L1046),1)-1</f>
        <v/>
      </c>
      <c r="D1050" s="22">
        <f>(1+D1049)*IF(AND(Painel_diario!$H1046="ED_JD",Painel_diario!$J1046=1),EXP(Painel_diario!$L1046),1)-1</f>
        <v/>
      </c>
      <c r="E1050" s="22">
        <f>(1+E1049)*IF(AND(Painel_diario!$H1046="ED_JU",Painel_diario!$J1046=1),EXP(Painel_diario!$L1046),1)-1</f>
        <v/>
      </c>
    </row>
    <row r="1051">
      <c r="A1051" s="25" t="n">
        <v>40365</v>
      </c>
      <c r="B1051" s="22">
        <f>(1+B1050)*IF(AND(Painel_diario!$H1047="EU_JD",Painel_diario!$J1047=1),EXP(Painel_diario!$L1047),1)-1</f>
        <v/>
      </c>
      <c r="C1051" s="22">
        <f>(1+C1050)*IF(AND(Painel_diario!$H1047="EU_JU",Painel_diario!$J1047=1),EXP(Painel_diario!$L1047),1)-1</f>
        <v/>
      </c>
      <c r="D1051" s="22">
        <f>(1+D1050)*IF(AND(Painel_diario!$H1047="ED_JD",Painel_diario!$J1047=1),EXP(Painel_diario!$L1047),1)-1</f>
        <v/>
      </c>
      <c r="E1051" s="22">
        <f>(1+E1050)*IF(AND(Painel_diario!$H1047="ED_JU",Painel_diario!$J1047=1),EXP(Painel_diario!$L1047),1)-1</f>
        <v/>
      </c>
    </row>
    <row r="1052">
      <c r="A1052" s="25" t="n">
        <v>40366</v>
      </c>
      <c r="B1052" s="22">
        <f>(1+B1051)*IF(AND(Painel_diario!$H1048="EU_JD",Painel_diario!$J1048=1),EXP(Painel_diario!$L1048),1)-1</f>
        <v/>
      </c>
      <c r="C1052" s="22">
        <f>(1+C1051)*IF(AND(Painel_diario!$H1048="EU_JU",Painel_diario!$J1048=1),EXP(Painel_diario!$L1048),1)-1</f>
        <v/>
      </c>
      <c r="D1052" s="22">
        <f>(1+D1051)*IF(AND(Painel_diario!$H1048="ED_JD",Painel_diario!$J1048=1),EXP(Painel_diario!$L1048),1)-1</f>
        <v/>
      </c>
      <c r="E1052" s="22">
        <f>(1+E1051)*IF(AND(Painel_diario!$H1048="ED_JU",Painel_diario!$J1048=1),EXP(Painel_diario!$L1048),1)-1</f>
        <v/>
      </c>
    </row>
    <row r="1053">
      <c r="A1053" s="25" t="n">
        <v>40367</v>
      </c>
      <c r="B1053" s="22">
        <f>(1+B1052)*IF(AND(Painel_diario!$H1049="EU_JD",Painel_diario!$J1049=1),EXP(Painel_diario!$L1049),1)-1</f>
        <v/>
      </c>
      <c r="C1053" s="22">
        <f>(1+C1052)*IF(AND(Painel_diario!$H1049="EU_JU",Painel_diario!$J1049=1),EXP(Painel_diario!$L1049),1)-1</f>
        <v/>
      </c>
      <c r="D1053" s="22">
        <f>(1+D1052)*IF(AND(Painel_diario!$H1049="ED_JD",Painel_diario!$J1049=1),EXP(Painel_diario!$L1049),1)-1</f>
        <v/>
      </c>
      <c r="E1053" s="22">
        <f>(1+E1052)*IF(AND(Painel_diario!$H1049="ED_JU",Painel_diario!$J1049=1),EXP(Painel_diario!$L1049),1)-1</f>
        <v/>
      </c>
    </row>
    <row r="1054">
      <c r="A1054" s="25" t="n">
        <v>40371</v>
      </c>
      <c r="B1054" s="22">
        <f>(1+B1053)*IF(AND(Painel_diario!$H1050="EU_JD",Painel_diario!$J1050=1),EXP(Painel_diario!$L1050),1)-1</f>
        <v/>
      </c>
      <c r="C1054" s="22">
        <f>(1+C1053)*IF(AND(Painel_diario!$H1050="EU_JU",Painel_diario!$J1050=1),EXP(Painel_diario!$L1050),1)-1</f>
        <v/>
      </c>
      <c r="D1054" s="22">
        <f>(1+D1053)*IF(AND(Painel_diario!$H1050="ED_JD",Painel_diario!$J1050=1),EXP(Painel_diario!$L1050),1)-1</f>
        <v/>
      </c>
      <c r="E1054" s="22">
        <f>(1+E1053)*IF(AND(Painel_diario!$H1050="ED_JU",Painel_diario!$J1050=1),EXP(Painel_diario!$L1050),1)-1</f>
        <v/>
      </c>
    </row>
    <row r="1055">
      <c r="A1055" s="25" t="n">
        <v>40372</v>
      </c>
      <c r="B1055" s="22">
        <f>(1+B1054)*IF(AND(Painel_diario!$H1051="EU_JD",Painel_diario!$J1051=1),EXP(Painel_diario!$L1051),1)-1</f>
        <v/>
      </c>
      <c r="C1055" s="22">
        <f>(1+C1054)*IF(AND(Painel_diario!$H1051="EU_JU",Painel_diario!$J1051=1),EXP(Painel_diario!$L1051),1)-1</f>
        <v/>
      </c>
      <c r="D1055" s="22">
        <f>(1+D1054)*IF(AND(Painel_diario!$H1051="ED_JD",Painel_diario!$J1051=1),EXP(Painel_diario!$L1051),1)-1</f>
        <v/>
      </c>
      <c r="E1055" s="22">
        <f>(1+E1054)*IF(AND(Painel_diario!$H1051="ED_JU",Painel_diario!$J1051=1),EXP(Painel_diario!$L1051),1)-1</f>
        <v/>
      </c>
    </row>
    <row r="1056">
      <c r="A1056" s="25" t="n">
        <v>40373</v>
      </c>
      <c r="B1056" s="22">
        <f>(1+B1055)*IF(AND(Painel_diario!$H1052="EU_JD",Painel_diario!$J1052=1),EXP(Painel_diario!$L1052),1)-1</f>
        <v/>
      </c>
      <c r="C1056" s="22">
        <f>(1+C1055)*IF(AND(Painel_diario!$H1052="EU_JU",Painel_diario!$J1052=1),EXP(Painel_diario!$L1052),1)-1</f>
        <v/>
      </c>
      <c r="D1056" s="22">
        <f>(1+D1055)*IF(AND(Painel_diario!$H1052="ED_JD",Painel_diario!$J1052=1),EXP(Painel_diario!$L1052),1)-1</f>
        <v/>
      </c>
      <c r="E1056" s="22">
        <f>(1+E1055)*IF(AND(Painel_diario!$H1052="ED_JU",Painel_diario!$J1052=1),EXP(Painel_diario!$L1052),1)-1</f>
        <v/>
      </c>
    </row>
    <row r="1057">
      <c r="A1057" s="25" t="n">
        <v>40374</v>
      </c>
      <c r="B1057" s="22">
        <f>(1+B1056)*IF(AND(Painel_diario!$H1053="EU_JD",Painel_diario!$J1053=1),EXP(Painel_diario!$L1053),1)-1</f>
        <v/>
      </c>
      <c r="C1057" s="22">
        <f>(1+C1056)*IF(AND(Painel_diario!$H1053="EU_JU",Painel_diario!$J1053=1),EXP(Painel_diario!$L1053),1)-1</f>
        <v/>
      </c>
      <c r="D1057" s="22">
        <f>(1+D1056)*IF(AND(Painel_diario!$H1053="ED_JD",Painel_diario!$J1053=1),EXP(Painel_diario!$L1053),1)-1</f>
        <v/>
      </c>
      <c r="E1057" s="22">
        <f>(1+E1056)*IF(AND(Painel_diario!$H1053="ED_JU",Painel_diario!$J1053=1),EXP(Painel_diario!$L1053),1)-1</f>
        <v/>
      </c>
    </row>
    <row r="1058">
      <c r="A1058" s="25" t="n">
        <v>40375</v>
      </c>
      <c r="B1058" s="22">
        <f>(1+B1057)*IF(AND(Painel_diario!$H1054="EU_JD",Painel_diario!$J1054=1),EXP(Painel_diario!$L1054),1)-1</f>
        <v/>
      </c>
      <c r="C1058" s="22">
        <f>(1+C1057)*IF(AND(Painel_diario!$H1054="EU_JU",Painel_diario!$J1054=1),EXP(Painel_diario!$L1054),1)-1</f>
        <v/>
      </c>
      <c r="D1058" s="22">
        <f>(1+D1057)*IF(AND(Painel_diario!$H1054="ED_JD",Painel_diario!$J1054=1),EXP(Painel_diario!$L1054),1)-1</f>
        <v/>
      </c>
      <c r="E1058" s="22">
        <f>(1+E1057)*IF(AND(Painel_diario!$H1054="ED_JU",Painel_diario!$J1054=1),EXP(Painel_diario!$L1054),1)-1</f>
        <v/>
      </c>
    </row>
    <row r="1059">
      <c r="A1059" s="25" t="n">
        <v>40378</v>
      </c>
      <c r="B1059" s="22">
        <f>(1+B1058)*IF(AND(Painel_diario!$H1055="EU_JD",Painel_diario!$J1055=1),EXP(Painel_diario!$L1055),1)-1</f>
        <v/>
      </c>
      <c r="C1059" s="22">
        <f>(1+C1058)*IF(AND(Painel_diario!$H1055="EU_JU",Painel_diario!$J1055=1),EXP(Painel_diario!$L1055),1)-1</f>
        <v/>
      </c>
      <c r="D1059" s="22">
        <f>(1+D1058)*IF(AND(Painel_diario!$H1055="ED_JD",Painel_diario!$J1055=1),EXP(Painel_diario!$L1055),1)-1</f>
        <v/>
      </c>
      <c r="E1059" s="22">
        <f>(1+E1058)*IF(AND(Painel_diario!$H1055="ED_JU",Painel_diario!$J1055=1),EXP(Painel_diario!$L1055),1)-1</f>
        <v/>
      </c>
    </row>
    <row r="1060">
      <c r="A1060" s="25" t="n">
        <v>40379</v>
      </c>
      <c r="B1060" s="22">
        <f>(1+B1059)*IF(AND(Painel_diario!$H1056="EU_JD",Painel_diario!$J1056=1),EXP(Painel_diario!$L1056),1)-1</f>
        <v/>
      </c>
      <c r="C1060" s="22">
        <f>(1+C1059)*IF(AND(Painel_diario!$H1056="EU_JU",Painel_diario!$J1056=1),EXP(Painel_diario!$L1056),1)-1</f>
        <v/>
      </c>
      <c r="D1060" s="22">
        <f>(1+D1059)*IF(AND(Painel_diario!$H1056="ED_JD",Painel_diario!$J1056=1),EXP(Painel_diario!$L1056),1)-1</f>
        <v/>
      </c>
      <c r="E1060" s="22">
        <f>(1+E1059)*IF(AND(Painel_diario!$H1056="ED_JU",Painel_diario!$J1056=1),EXP(Painel_diario!$L1056),1)-1</f>
        <v/>
      </c>
    </row>
    <row r="1061">
      <c r="A1061" s="25" t="n">
        <v>40380</v>
      </c>
      <c r="B1061" s="22">
        <f>(1+B1060)*IF(AND(Painel_diario!$H1057="EU_JD",Painel_diario!$J1057=1),EXP(Painel_diario!$L1057),1)-1</f>
        <v/>
      </c>
      <c r="C1061" s="22">
        <f>(1+C1060)*IF(AND(Painel_diario!$H1057="EU_JU",Painel_diario!$J1057=1),EXP(Painel_diario!$L1057),1)-1</f>
        <v/>
      </c>
      <c r="D1061" s="22">
        <f>(1+D1060)*IF(AND(Painel_diario!$H1057="ED_JD",Painel_diario!$J1057=1),EXP(Painel_diario!$L1057),1)-1</f>
        <v/>
      </c>
      <c r="E1061" s="22">
        <f>(1+E1060)*IF(AND(Painel_diario!$H1057="ED_JU",Painel_diario!$J1057=1),EXP(Painel_diario!$L1057),1)-1</f>
        <v/>
      </c>
    </row>
    <row r="1062">
      <c r="A1062" s="25" t="n">
        <v>40381</v>
      </c>
      <c r="B1062" s="22">
        <f>(1+B1061)*IF(AND(Painel_diario!$H1058="EU_JD",Painel_diario!$J1058=1),EXP(Painel_diario!$L1058),1)-1</f>
        <v/>
      </c>
      <c r="C1062" s="22">
        <f>(1+C1061)*IF(AND(Painel_diario!$H1058="EU_JU",Painel_diario!$J1058=1),EXP(Painel_diario!$L1058),1)-1</f>
        <v/>
      </c>
      <c r="D1062" s="22">
        <f>(1+D1061)*IF(AND(Painel_diario!$H1058="ED_JD",Painel_diario!$J1058=1),EXP(Painel_diario!$L1058),1)-1</f>
        <v/>
      </c>
      <c r="E1062" s="22">
        <f>(1+E1061)*IF(AND(Painel_diario!$H1058="ED_JU",Painel_diario!$J1058=1),EXP(Painel_diario!$L1058),1)-1</f>
        <v/>
      </c>
    </row>
    <row r="1063">
      <c r="A1063" s="25" t="n">
        <v>40382</v>
      </c>
      <c r="B1063" s="22">
        <f>(1+B1062)*IF(AND(Painel_diario!$H1059="EU_JD",Painel_diario!$J1059=1),EXP(Painel_diario!$L1059),1)-1</f>
        <v/>
      </c>
      <c r="C1063" s="22">
        <f>(1+C1062)*IF(AND(Painel_diario!$H1059="EU_JU",Painel_diario!$J1059=1),EXP(Painel_diario!$L1059),1)-1</f>
        <v/>
      </c>
      <c r="D1063" s="22">
        <f>(1+D1062)*IF(AND(Painel_diario!$H1059="ED_JD",Painel_diario!$J1059=1),EXP(Painel_diario!$L1059),1)-1</f>
        <v/>
      </c>
      <c r="E1063" s="22">
        <f>(1+E1062)*IF(AND(Painel_diario!$H1059="ED_JU",Painel_diario!$J1059=1),EXP(Painel_diario!$L1059),1)-1</f>
        <v/>
      </c>
    </row>
    <row r="1064">
      <c r="A1064" s="25" t="n">
        <v>40385</v>
      </c>
      <c r="B1064" s="22">
        <f>(1+B1063)*IF(AND(Painel_diario!$H1060="EU_JD",Painel_diario!$J1060=1),EXP(Painel_diario!$L1060),1)-1</f>
        <v/>
      </c>
      <c r="C1064" s="22">
        <f>(1+C1063)*IF(AND(Painel_diario!$H1060="EU_JU",Painel_diario!$J1060=1),EXP(Painel_diario!$L1060),1)-1</f>
        <v/>
      </c>
      <c r="D1064" s="22">
        <f>(1+D1063)*IF(AND(Painel_diario!$H1060="ED_JD",Painel_diario!$J1060=1),EXP(Painel_diario!$L1060),1)-1</f>
        <v/>
      </c>
      <c r="E1064" s="22">
        <f>(1+E1063)*IF(AND(Painel_diario!$H1060="ED_JU",Painel_diario!$J1060=1),EXP(Painel_diario!$L1060),1)-1</f>
        <v/>
      </c>
    </row>
    <row r="1065">
      <c r="A1065" s="25" t="n">
        <v>40386</v>
      </c>
      <c r="B1065" s="22">
        <f>(1+B1064)*IF(AND(Painel_diario!$H1061="EU_JD",Painel_diario!$J1061=1),EXP(Painel_diario!$L1061),1)-1</f>
        <v/>
      </c>
      <c r="C1065" s="22">
        <f>(1+C1064)*IF(AND(Painel_diario!$H1061="EU_JU",Painel_diario!$J1061=1),EXP(Painel_diario!$L1061),1)-1</f>
        <v/>
      </c>
      <c r="D1065" s="22">
        <f>(1+D1064)*IF(AND(Painel_diario!$H1061="ED_JD",Painel_diario!$J1061=1),EXP(Painel_diario!$L1061),1)-1</f>
        <v/>
      </c>
      <c r="E1065" s="22">
        <f>(1+E1064)*IF(AND(Painel_diario!$H1061="ED_JU",Painel_diario!$J1061=1),EXP(Painel_diario!$L1061),1)-1</f>
        <v/>
      </c>
    </row>
    <row r="1066">
      <c r="A1066" s="25" t="n">
        <v>40387</v>
      </c>
      <c r="B1066" s="22">
        <f>(1+B1065)*IF(AND(Painel_diario!$H1062="EU_JD",Painel_diario!$J1062=1),EXP(Painel_diario!$L1062),1)-1</f>
        <v/>
      </c>
      <c r="C1066" s="22">
        <f>(1+C1065)*IF(AND(Painel_diario!$H1062="EU_JU",Painel_diario!$J1062=1),EXP(Painel_diario!$L1062),1)-1</f>
        <v/>
      </c>
      <c r="D1066" s="22">
        <f>(1+D1065)*IF(AND(Painel_diario!$H1062="ED_JD",Painel_diario!$J1062=1),EXP(Painel_diario!$L1062),1)-1</f>
        <v/>
      </c>
      <c r="E1066" s="22">
        <f>(1+E1065)*IF(AND(Painel_diario!$H1062="ED_JU",Painel_diario!$J1062=1),EXP(Painel_diario!$L1062),1)-1</f>
        <v/>
      </c>
    </row>
    <row r="1067">
      <c r="A1067" s="25" t="n">
        <v>40388</v>
      </c>
      <c r="B1067" s="22">
        <f>(1+B1066)*IF(AND(Painel_diario!$H1063="EU_JD",Painel_diario!$J1063=1),EXP(Painel_diario!$L1063),1)-1</f>
        <v/>
      </c>
      <c r="C1067" s="22">
        <f>(1+C1066)*IF(AND(Painel_diario!$H1063="EU_JU",Painel_diario!$J1063=1),EXP(Painel_diario!$L1063),1)-1</f>
        <v/>
      </c>
      <c r="D1067" s="22">
        <f>(1+D1066)*IF(AND(Painel_diario!$H1063="ED_JD",Painel_diario!$J1063=1),EXP(Painel_diario!$L1063),1)-1</f>
        <v/>
      </c>
      <c r="E1067" s="22">
        <f>(1+E1066)*IF(AND(Painel_diario!$H1063="ED_JU",Painel_diario!$J1063=1),EXP(Painel_diario!$L1063),1)-1</f>
        <v/>
      </c>
    </row>
    <row r="1068">
      <c r="A1068" s="25" t="n">
        <v>40389</v>
      </c>
      <c r="B1068" s="22">
        <f>(1+B1067)*IF(AND(Painel_diario!$H1064="EU_JD",Painel_diario!$J1064=1),EXP(Painel_diario!$L1064),1)-1</f>
        <v/>
      </c>
      <c r="C1068" s="22">
        <f>(1+C1067)*IF(AND(Painel_diario!$H1064="EU_JU",Painel_diario!$J1064=1),EXP(Painel_diario!$L1064),1)-1</f>
        <v/>
      </c>
      <c r="D1068" s="22">
        <f>(1+D1067)*IF(AND(Painel_diario!$H1064="ED_JD",Painel_diario!$J1064=1),EXP(Painel_diario!$L1064),1)-1</f>
        <v/>
      </c>
      <c r="E1068" s="22">
        <f>(1+E1067)*IF(AND(Painel_diario!$H1064="ED_JU",Painel_diario!$J1064=1),EXP(Painel_diario!$L1064),1)-1</f>
        <v/>
      </c>
    </row>
    <row r="1069">
      <c r="A1069" s="25" t="n">
        <v>40392</v>
      </c>
      <c r="B1069" s="22">
        <f>(1+B1068)*IF(AND(Painel_diario!$H1065="EU_JD",Painel_diario!$J1065=1),EXP(Painel_diario!$L1065),1)-1</f>
        <v/>
      </c>
      <c r="C1069" s="22">
        <f>(1+C1068)*IF(AND(Painel_diario!$H1065="EU_JU",Painel_diario!$J1065=1),EXP(Painel_diario!$L1065),1)-1</f>
        <v/>
      </c>
      <c r="D1069" s="22">
        <f>(1+D1068)*IF(AND(Painel_diario!$H1065="ED_JD",Painel_diario!$J1065=1),EXP(Painel_diario!$L1065),1)-1</f>
        <v/>
      </c>
      <c r="E1069" s="22">
        <f>(1+E1068)*IF(AND(Painel_diario!$H1065="ED_JU",Painel_diario!$J1065=1),EXP(Painel_diario!$L1065),1)-1</f>
        <v/>
      </c>
    </row>
    <row r="1070">
      <c r="A1070" s="25" t="n">
        <v>40393</v>
      </c>
      <c r="B1070" s="22">
        <f>(1+B1069)*IF(AND(Painel_diario!$H1066="EU_JD",Painel_diario!$J1066=1),EXP(Painel_diario!$L1066),1)-1</f>
        <v/>
      </c>
      <c r="C1070" s="22">
        <f>(1+C1069)*IF(AND(Painel_diario!$H1066="EU_JU",Painel_diario!$J1066=1),EXP(Painel_diario!$L1066),1)-1</f>
        <v/>
      </c>
      <c r="D1070" s="22">
        <f>(1+D1069)*IF(AND(Painel_diario!$H1066="ED_JD",Painel_diario!$J1066=1),EXP(Painel_diario!$L1066),1)-1</f>
        <v/>
      </c>
      <c r="E1070" s="22">
        <f>(1+E1069)*IF(AND(Painel_diario!$H1066="ED_JU",Painel_diario!$J1066=1),EXP(Painel_diario!$L1066),1)-1</f>
        <v/>
      </c>
    </row>
    <row r="1071">
      <c r="A1071" s="25" t="n">
        <v>40394</v>
      </c>
      <c r="B1071" s="22">
        <f>(1+B1070)*IF(AND(Painel_diario!$H1067="EU_JD",Painel_diario!$J1067=1),EXP(Painel_diario!$L1067),1)-1</f>
        <v/>
      </c>
      <c r="C1071" s="22">
        <f>(1+C1070)*IF(AND(Painel_diario!$H1067="EU_JU",Painel_diario!$J1067=1),EXP(Painel_diario!$L1067),1)-1</f>
        <v/>
      </c>
      <c r="D1071" s="22">
        <f>(1+D1070)*IF(AND(Painel_diario!$H1067="ED_JD",Painel_diario!$J1067=1),EXP(Painel_diario!$L1067),1)-1</f>
        <v/>
      </c>
      <c r="E1071" s="22">
        <f>(1+E1070)*IF(AND(Painel_diario!$H1067="ED_JU",Painel_diario!$J1067=1),EXP(Painel_diario!$L1067),1)-1</f>
        <v/>
      </c>
    </row>
    <row r="1072">
      <c r="A1072" s="25" t="n">
        <v>40395</v>
      </c>
      <c r="B1072" s="22">
        <f>(1+B1071)*IF(AND(Painel_diario!$H1068="EU_JD",Painel_diario!$J1068=1),EXP(Painel_diario!$L1068),1)-1</f>
        <v/>
      </c>
      <c r="C1072" s="22">
        <f>(1+C1071)*IF(AND(Painel_diario!$H1068="EU_JU",Painel_diario!$J1068=1),EXP(Painel_diario!$L1068),1)-1</f>
        <v/>
      </c>
      <c r="D1072" s="22">
        <f>(1+D1071)*IF(AND(Painel_diario!$H1068="ED_JD",Painel_diario!$J1068=1),EXP(Painel_diario!$L1068),1)-1</f>
        <v/>
      </c>
      <c r="E1072" s="22">
        <f>(1+E1071)*IF(AND(Painel_diario!$H1068="ED_JU",Painel_diario!$J1068=1),EXP(Painel_diario!$L1068),1)-1</f>
        <v/>
      </c>
    </row>
    <row r="1073">
      <c r="A1073" s="25" t="n">
        <v>40396</v>
      </c>
      <c r="B1073" s="22">
        <f>(1+B1072)*IF(AND(Painel_diario!$H1069="EU_JD",Painel_diario!$J1069=1),EXP(Painel_diario!$L1069),1)-1</f>
        <v/>
      </c>
      <c r="C1073" s="22">
        <f>(1+C1072)*IF(AND(Painel_diario!$H1069="EU_JU",Painel_diario!$J1069=1),EXP(Painel_diario!$L1069),1)-1</f>
        <v/>
      </c>
      <c r="D1073" s="22">
        <f>(1+D1072)*IF(AND(Painel_diario!$H1069="ED_JD",Painel_diario!$J1069=1),EXP(Painel_diario!$L1069),1)-1</f>
        <v/>
      </c>
      <c r="E1073" s="22">
        <f>(1+E1072)*IF(AND(Painel_diario!$H1069="ED_JU",Painel_diario!$J1069=1),EXP(Painel_diario!$L1069),1)-1</f>
        <v/>
      </c>
    </row>
    <row r="1074">
      <c r="A1074" s="25" t="n">
        <v>40399</v>
      </c>
      <c r="B1074" s="22">
        <f>(1+B1073)*IF(AND(Painel_diario!$H1070="EU_JD",Painel_diario!$J1070=1),EXP(Painel_diario!$L1070),1)-1</f>
        <v/>
      </c>
      <c r="C1074" s="22">
        <f>(1+C1073)*IF(AND(Painel_diario!$H1070="EU_JU",Painel_diario!$J1070=1),EXP(Painel_diario!$L1070),1)-1</f>
        <v/>
      </c>
      <c r="D1074" s="22">
        <f>(1+D1073)*IF(AND(Painel_diario!$H1070="ED_JD",Painel_diario!$J1070=1),EXP(Painel_diario!$L1070),1)-1</f>
        <v/>
      </c>
      <c r="E1074" s="22">
        <f>(1+E1073)*IF(AND(Painel_diario!$H1070="ED_JU",Painel_diario!$J1070=1),EXP(Painel_diario!$L1070),1)-1</f>
        <v/>
      </c>
    </row>
    <row r="1075">
      <c r="A1075" s="25" t="n">
        <v>40400</v>
      </c>
      <c r="B1075" s="22">
        <f>(1+B1074)*IF(AND(Painel_diario!$H1071="EU_JD",Painel_diario!$J1071=1),EXP(Painel_diario!$L1071),1)-1</f>
        <v/>
      </c>
      <c r="C1075" s="22">
        <f>(1+C1074)*IF(AND(Painel_diario!$H1071="EU_JU",Painel_diario!$J1071=1),EXP(Painel_diario!$L1071),1)-1</f>
        <v/>
      </c>
      <c r="D1075" s="22">
        <f>(1+D1074)*IF(AND(Painel_diario!$H1071="ED_JD",Painel_diario!$J1071=1),EXP(Painel_diario!$L1071),1)-1</f>
        <v/>
      </c>
      <c r="E1075" s="22">
        <f>(1+E1074)*IF(AND(Painel_diario!$H1071="ED_JU",Painel_diario!$J1071=1),EXP(Painel_diario!$L1071),1)-1</f>
        <v/>
      </c>
    </row>
    <row r="1076">
      <c r="A1076" s="25" t="n">
        <v>40401</v>
      </c>
      <c r="B1076" s="22">
        <f>(1+B1075)*IF(AND(Painel_diario!$H1072="EU_JD",Painel_diario!$J1072=1),EXP(Painel_diario!$L1072),1)-1</f>
        <v/>
      </c>
      <c r="C1076" s="22">
        <f>(1+C1075)*IF(AND(Painel_diario!$H1072="EU_JU",Painel_diario!$J1072=1),EXP(Painel_diario!$L1072),1)-1</f>
        <v/>
      </c>
      <c r="D1076" s="22">
        <f>(1+D1075)*IF(AND(Painel_diario!$H1072="ED_JD",Painel_diario!$J1072=1),EXP(Painel_diario!$L1072),1)-1</f>
        <v/>
      </c>
      <c r="E1076" s="22">
        <f>(1+E1075)*IF(AND(Painel_diario!$H1072="ED_JU",Painel_diario!$J1072=1),EXP(Painel_diario!$L1072),1)-1</f>
        <v/>
      </c>
    </row>
    <row r="1077">
      <c r="A1077" s="25" t="n">
        <v>40402</v>
      </c>
      <c r="B1077" s="22">
        <f>(1+B1076)*IF(AND(Painel_diario!$H1073="EU_JD",Painel_diario!$J1073=1),EXP(Painel_diario!$L1073),1)-1</f>
        <v/>
      </c>
      <c r="C1077" s="22">
        <f>(1+C1076)*IF(AND(Painel_diario!$H1073="EU_JU",Painel_diario!$J1073=1),EXP(Painel_diario!$L1073),1)-1</f>
        <v/>
      </c>
      <c r="D1077" s="22">
        <f>(1+D1076)*IF(AND(Painel_diario!$H1073="ED_JD",Painel_diario!$J1073=1),EXP(Painel_diario!$L1073),1)-1</f>
        <v/>
      </c>
      <c r="E1077" s="22">
        <f>(1+E1076)*IF(AND(Painel_diario!$H1073="ED_JU",Painel_diario!$J1073=1),EXP(Painel_diario!$L1073),1)-1</f>
        <v/>
      </c>
    </row>
    <row r="1078">
      <c r="A1078" s="25" t="n">
        <v>40403</v>
      </c>
      <c r="B1078" s="22">
        <f>(1+B1077)*IF(AND(Painel_diario!$H1074="EU_JD",Painel_diario!$J1074=1),EXP(Painel_diario!$L1074),1)-1</f>
        <v/>
      </c>
      <c r="C1078" s="22">
        <f>(1+C1077)*IF(AND(Painel_diario!$H1074="EU_JU",Painel_diario!$J1074=1),EXP(Painel_diario!$L1074),1)-1</f>
        <v/>
      </c>
      <c r="D1078" s="22">
        <f>(1+D1077)*IF(AND(Painel_diario!$H1074="ED_JD",Painel_diario!$J1074=1),EXP(Painel_diario!$L1074),1)-1</f>
        <v/>
      </c>
      <c r="E1078" s="22">
        <f>(1+E1077)*IF(AND(Painel_diario!$H1074="ED_JU",Painel_diario!$J1074=1),EXP(Painel_diario!$L1074),1)-1</f>
        <v/>
      </c>
    </row>
    <row r="1079">
      <c r="A1079" s="25" t="n">
        <v>40406</v>
      </c>
      <c r="B1079" s="22">
        <f>(1+B1078)*IF(AND(Painel_diario!$H1075="EU_JD",Painel_diario!$J1075=1),EXP(Painel_diario!$L1075),1)-1</f>
        <v/>
      </c>
      <c r="C1079" s="22">
        <f>(1+C1078)*IF(AND(Painel_diario!$H1075="EU_JU",Painel_diario!$J1075=1),EXP(Painel_diario!$L1075),1)-1</f>
        <v/>
      </c>
      <c r="D1079" s="22">
        <f>(1+D1078)*IF(AND(Painel_diario!$H1075="ED_JD",Painel_diario!$J1075=1),EXP(Painel_diario!$L1075),1)-1</f>
        <v/>
      </c>
      <c r="E1079" s="22">
        <f>(1+E1078)*IF(AND(Painel_diario!$H1075="ED_JU",Painel_diario!$J1075=1),EXP(Painel_diario!$L1075),1)-1</f>
        <v/>
      </c>
    </row>
    <row r="1080">
      <c r="A1080" s="25" t="n">
        <v>40407</v>
      </c>
      <c r="B1080" s="22">
        <f>(1+B1079)*IF(AND(Painel_diario!$H1076="EU_JD",Painel_diario!$J1076=1),EXP(Painel_diario!$L1076),1)-1</f>
        <v/>
      </c>
      <c r="C1080" s="22">
        <f>(1+C1079)*IF(AND(Painel_diario!$H1076="EU_JU",Painel_diario!$J1076=1),EXP(Painel_diario!$L1076),1)-1</f>
        <v/>
      </c>
      <c r="D1080" s="22">
        <f>(1+D1079)*IF(AND(Painel_diario!$H1076="ED_JD",Painel_diario!$J1076=1),EXP(Painel_diario!$L1076),1)-1</f>
        <v/>
      </c>
      <c r="E1080" s="22">
        <f>(1+E1079)*IF(AND(Painel_diario!$H1076="ED_JU",Painel_diario!$J1076=1),EXP(Painel_diario!$L1076),1)-1</f>
        <v/>
      </c>
    </row>
    <row r="1081">
      <c r="A1081" s="25" t="n">
        <v>40408</v>
      </c>
      <c r="B1081" s="22">
        <f>(1+B1080)*IF(AND(Painel_diario!$H1077="EU_JD",Painel_diario!$J1077=1),EXP(Painel_diario!$L1077),1)-1</f>
        <v/>
      </c>
      <c r="C1081" s="22">
        <f>(1+C1080)*IF(AND(Painel_diario!$H1077="EU_JU",Painel_diario!$J1077=1),EXP(Painel_diario!$L1077),1)-1</f>
        <v/>
      </c>
      <c r="D1081" s="22">
        <f>(1+D1080)*IF(AND(Painel_diario!$H1077="ED_JD",Painel_diario!$J1077=1),EXP(Painel_diario!$L1077),1)-1</f>
        <v/>
      </c>
      <c r="E1081" s="22">
        <f>(1+E1080)*IF(AND(Painel_diario!$H1077="ED_JU",Painel_diario!$J1077=1),EXP(Painel_diario!$L1077),1)-1</f>
        <v/>
      </c>
    </row>
    <row r="1082">
      <c r="A1082" s="25" t="n">
        <v>40409</v>
      </c>
      <c r="B1082" s="22">
        <f>(1+B1081)*IF(AND(Painel_diario!$H1078="EU_JD",Painel_diario!$J1078=1),EXP(Painel_diario!$L1078),1)-1</f>
        <v/>
      </c>
      <c r="C1082" s="22">
        <f>(1+C1081)*IF(AND(Painel_diario!$H1078="EU_JU",Painel_diario!$J1078=1),EXP(Painel_diario!$L1078),1)-1</f>
        <v/>
      </c>
      <c r="D1082" s="22">
        <f>(1+D1081)*IF(AND(Painel_diario!$H1078="ED_JD",Painel_diario!$J1078=1),EXP(Painel_diario!$L1078),1)-1</f>
        <v/>
      </c>
      <c r="E1082" s="22">
        <f>(1+E1081)*IF(AND(Painel_diario!$H1078="ED_JU",Painel_diario!$J1078=1),EXP(Painel_diario!$L1078),1)-1</f>
        <v/>
      </c>
    </row>
    <row r="1083">
      <c r="A1083" s="25" t="n">
        <v>40410</v>
      </c>
      <c r="B1083" s="22">
        <f>(1+B1082)*IF(AND(Painel_diario!$H1079="EU_JD",Painel_diario!$J1079=1),EXP(Painel_diario!$L1079),1)-1</f>
        <v/>
      </c>
      <c r="C1083" s="22">
        <f>(1+C1082)*IF(AND(Painel_diario!$H1079="EU_JU",Painel_diario!$J1079=1),EXP(Painel_diario!$L1079),1)-1</f>
        <v/>
      </c>
      <c r="D1083" s="22">
        <f>(1+D1082)*IF(AND(Painel_diario!$H1079="ED_JD",Painel_diario!$J1079=1),EXP(Painel_diario!$L1079),1)-1</f>
        <v/>
      </c>
      <c r="E1083" s="22">
        <f>(1+E1082)*IF(AND(Painel_diario!$H1079="ED_JU",Painel_diario!$J1079=1),EXP(Painel_diario!$L1079),1)-1</f>
        <v/>
      </c>
    </row>
    <row r="1084">
      <c r="A1084" s="25" t="n">
        <v>40413</v>
      </c>
      <c r="B1084" s="22">
        <f>(1+B1083)*IF(AND(Painel_diario!$H1080="EU_JD",Painel_diario!$J1080=1),EXP(Painel_diario!$L1080),1)-1</f>
        <v/>
      </c>
      <c r="C1084" s="22">
        <f>(1+C1083)*IF(AND(Painel_diario!$H1080="EU_JU",Painel_diario!$J1080=1),EXP(Painel_diario!$L1080),1)-1</f>
        <v/>
      </c>
      <c r="D1084" s="22">
        <f>(1+D1083)*IF(AND(Painel_diario!$H1080="ED_JD",Painel_diario!$J1080=1),EXP(Painel_diario!$L1080),1)-1</f>
        <v/>
      </c>
      <c r="E1084" s="22">
        <f>(1+E1083)*IF(AND(Painel_diario!$H1080="ED_JU",Painel_diario!$J1080=1),EXP(Painel_diario!$L1080),1)-1</f>
        <v/>
      </c>
    </row>
    <row r="1085">
      <c r="A1085" s="25" t="n">
        <v>40414</v>
      </c>
      <c r="B1085" s="22">
        <f>(1+B1084)*IF(AND(Painel_diario!$H1081="EU_JD",Painel_diario!$J1081=1),EXP(Painel_diario!$L1081),1)-1</f>
        <v/>
      </c>
      <c r="C1085" s="22">
        <f>(1+C1084)*IF(AND(Painel_diario!$H1081="EU_JU",Painel_diario!$J1081=1),EXP(Painel_diario!$L1081),1)-1</f>
        <v/>
      </c>
      <c r="D1085" s="22">
        <f>(1+D1084)*IF(AND(Painel_diario!$H1081="ED_JD",Painel_diario!$J1081=1),EXP(Painel_diario!$L1081),1)-1</f>
        <v/>
      </c>
      <c r="E1085" s="22">
        <f>(1+E1084)*IF(AND(Painel_diario!$H1081="ED_JU",Painel_diario!$J1081=1),EXP(Painel_diario!$L1081),1)-1</f>
        <v/>
      </c>
    </row>
    <row r="1086">
      <c r="A1086" s="25" t="n">
        <v>40415</v>
      </c>
      <c r="B1086" s="22">
        <f>(1+B1085)*IF(AND(Painel_diario!$H1082="EU_JD",Painel_diario!$J1082=1),EXP(Painel_diario!$L1082),1)-1</f>
        <v/>
      </c>
      <c r="C1086" s="22">
        <f>(1+C1085)*IF(AND(Painel_diario!$H1082="EU_JU",Painel_diario!$J1082=1),EXP(Painel_diario!$L1082),1)-1</f>
        <v/>
      </c>
      <c r="D1086" s="22">
        <f>(1+D1085)*IF(AND(Painel_diario!$H1082="ED_JD",Painel_diario!$J1082=1),EXP(Painel_diario!$L1082),1)-1</f>
        <v/>
      </c>
      <c r="E1086" s="22">
        <f>(1+E1085)*IF(AND(Painel_diario!$H1082="ED_JU",Painel_diario!$J1082=1),EXP(Painel_diario!$L1082),1)-1</f>
        <v/>
      </c>
    </row>
    <row r="1087">
      <c r="A1087" s="25" t="n">
        <v>40416</v>
      </c>
      <c r="B1087" s="22">
        <f>(1+B1086)*IF(AND(Painel_diario!$H1083="EU_JD",Painel_diario!$J1083=1),EXP(Painel_diario!$L1083),1)-1</f>
        <v/>
      </c>
      <c r="C1087" s="22">
        <f>(1+C1086)*IF(AND(Painel_diario!$H1083="EU_JU",Painel_diario!$J1083=1),EXP(Painel_diario!$L1083),1)-1</f>
        <v/>
      </c>
      <c r="D1087" s="22">
        <f>(1+D1086)*IF(AND(Painel_diario!$H1083="ED_JD",Painel_diario!$J1083=1),EXP(Painel_diario!$L1083),1)-1</f>
        <v/>
      </c>
      <c r="E1087" s="22">
        <f>(1+E1086)*IF(AND(Painel_diario!$H1083="ED_JU",Painel_diario!$J1083=1),EXP(Painel_diario!$L1083),1)-1</f>
        <v/>
      </c>
    </row>
    <row r="1088">
      <c r="A1088" s="25" t="n">
        <v>40417</v>
      </c>
      <c r="B1088" s="22">
        <f>(1+B1087)*IF(AND(Painel_diario!$H1084="EU_JD",Painel_diario!$J1084=1),EXP(Painel_diario!$L1084),1)-1</f>
        <v/>
      </c>
      <c r="C1088" s="22">
        <f>(1+C1087)*IF(AND(Painel_diario!$H1084="EU_JU",Painel_diario!$J1084=1),EXP(Painel_diario!$L1084),1)-1</f>
        <v/>
      </c>
      <c r="D1088" s="22">
        <f>(1+D1087)*IF(AND(Painel_diario!$H1084="ED_JD",Painel_diario!$J1084=1),EXP(Painel_diario!$L1084),1)-1</f>
        <v/>
      </c>
      <c r="E1088" s="22">
        <f>(1+E1087)*IF(AND(Painel_diario!$H1084="ED_JU",Painel_diario!$J1084=1),EXP(Painel_diario!$L1084),1)-1</f>
        <v/>
      </c>
    </row>
    <row r="1089">
      <c r="A1089" s="25" t="n">
        <v>40420</v>
      </c>
      <c r="B1089" s="22">
        <f>(1+B1088)*IF(AND(Painel_diario!$H1085="EU_JD",Painel_diario!$J1085=1),EXP(Painel_diario!$L1085),1)-1</f>
        <v/>
      </c>
      <c r="C1089" s="22">
        <f>(1+C1088)*IF(AND(Painel_diario!$H1085="EU_JU",Painel_diario!$J1085=1),EXP(Painel_diario!$L1085),1)-1</f>
        <v/>
      </c>
      <c r="D1089" s="22">
        <f>(1+D1088)*IF(AND(Painel_diario!$H1085="ED_JD",Painel_diario!$J1085=1),EXP(Painel_diario!$L1085),1)-1</f>
        <v/>
      </c>
      <c r="E1089" s="22">
        <f>(1+E1088)*IF(AND(Painel_diario!$H1085="ED_JU",Painel_diario!$J1085=1),EXP(Painel_diario!$L1085),1)-1</f>
        <v/>
      </c>
    </row>
    <row r="1090">
      <c r="A1090" s="25" t="n">
        <v>40421</v>
      </c>
      <c r="B1090" s="22">
        <f>(1+B1089)*IF(AND(Painel_diario!$H1086="EU_JD",Painel_diario!$J1086=1),EXP(Painel_diario!$L1086),1)-1</f>
        <v/>
      </c>
      <c r="C1090" s="22">
        <f>(1+C1089)*IF(AND(Painel_diario!$H1086="EU_JU",Painel_diario!$J1086=1),EXP(Painel_diario!$L1086),1)-1</f>
        <v/>
      </c>
      <c r="D1090" s="22">
        <f>(1+D1089)*IF(AND(Painel_diario!$H1086="ED_JD",Painel_diario!$J1086=1),EXP(Painel_diario!$L1086),1)-1</f>
        <v/>
      </c>
      <c r="E1090" s="22">
        <f>(1+E1089)*IF(AND(Painel_diario!$H1086="ED_JU",Painel_diario!$J1086=1),EXP(Painel_diario!$L1086),1)-1</f>
        <v/>
      </c>
    </row>
    <row r="1091">
      <c r="A1091" s="25" t="n">
        <v>40422</v>
      </c>
      <c r="B1091" s="22">
        <f>(1+B1090)*IF(AND(Painel_diario!$H1087="EU_JD",Painel_diario!$J1087=1),EXP(Painel_diario!$L1087),1)-1</f>
        <v/>
      </c>
      <c r="C1091" s="22">
        <f>(1+C1090)*IF(AND(Painel_diario!$H1087="EU_JU",Painel_diario!$J1087=1),EXP(Painel_diario!$L1087),1)-1</f>
        <v/>
      </c>
      <c r="D1091" s="22">
        <f>(1+D1090)*IF(AND(Painel_diario!$H1087="ED_JD",Painel_diario!$J1087=1),EXP(Painel_diario!$L1087),1)-1</f>
        <v/>
      </c>
      <c r="E1091" s="22">
        <f>(1+E1090)*IF(AND(Painel_diario!$H1087="ED_JU",Painel_diario!$J1087=1),EXP(Painel_diario!$L1087),1)-1</f>
        <v/>
      </c>
    </row>
    <row r="1092">
      <c r="A1092" s="25" t="n">
        <v>40423</v>
      </c>
      <c r="B1092" s="22">
        <f>(1+B1091)*IF(AND(Painel_diario!$H1088="EU_JD",Painel_diario!$J1088=1),EXP(Painel_diario!$L1088),1)-1</f>
        <v/>
      </c>
      <c r="C1092" s="22">
        <f>(1+C1091)*IF(AND(Painel_diario!$H1088="EU_JU",Painel_diario!$J1088=1),EXP(Painel_diario!$L1088),1)-1</f>
        <v/>
      </c>
      <c r="D1092" s="22">
        <f>(1+D1091)*IF(AND(Painel_diario!$H1088="ED_JD",Painel_diario!$J1088=1),EXP(Painel_diario!$L1088),1)-1</f>
        <v/>
      </c>
      <c r="E1092" s="22">
        <f>(1+E1091)*IF(AND(Painel_diario!$H1088="ED_JU",Painel_diario!$J1088=1),EXP(Painel_diario!$L1088),1)-1</f>
        <v/>
      </c>
    </row>
    <row r="1093">
      <c r="A1093" s="25" t="n">
        <v>40424</v>
      </c>
      <c r="B1093" s="22">
        <f>(1+B1092)*IF(AND(Painel_diario!$H1089="EU_JD",Painel_diario!$J1089=1),EXP(Painel_diario!$L1089),1)-1</f>
        <v/>
      </c>
      <c r="C1093" s="22">
        <f>(1+C1092)*IF(AND(Painel_diario!$H1089="EU_JU",Painel_diario!$J1089=1),EXP(Painel_diario!$L1089),1)-1</f>
        <v/>
      </c>
      <c r="D1093" s="22">
        <f>(1+D1092)*IF(AND(Painel_diario!$H1089="ED_JD",Painel_diario!$J1089=1),EXP(Painel_diario!$L1089),1)-1</f>
        <v/>
      </c>
      <c r="E1093" s="22">
        <f>(1+E1092)*IF(AND(Painel_diario!$H1089="ED_JU",Painel_diario!$J1089=1),EXP(Painel_diario!$L1089),1)-1</f>
        <v/>
      </c>
    </row>
    <row r="1094">
      <c r="A1094" s="25" t="n">
        <v>40427</v>
      </c>
      <c r="B1094" s="22">
        <f>(1+B1093)*IF(AND(Painel_diario!$H1090="EU_JD",Painel_diario!$J1090=1),EXP(Painel_diario!$L1090),1)-1</f>
        <v/>
      </c>
      <c r="C1094" s="22">
        <f>(1+C1093)*IF(AND(Painel_diario!$H1090="EU_JU",Painel_diario!$J1090=1),EXP(Painel_diario!$L1090),1)-1</f>
        <v/>
      </c>
      <c r="D1094" s="22">
        <f>(1+D1093)*IF(AND(Painel_diario!$H1090="ED_JD",Painel_diario!$J1090=1),EXP(Painel_diario!$L1090),1)-1</f>
        <v/>
      </c>
      <c r="E1094" s="22">
        <f>(1+E1093)*IF(AND(Painel_diario!$H1090="ED_JU",Painel_diario!$J1090=1),EXP(Painel_diario!$L1090),1)-1</f>
        <v/>
      </c>
    </row>
    <row r="1095">
      <c r="A1095" s="25" t="n">
        <v>40429</v>
      </c>
      <c r="B1095" s="22">
        <f>(1+B1094)*IF(AND(Painel_diario!$H1091="EU_JD",Painel_diario!$J1091=1),EXP(Painel_diario!$L1091),1)-1</f>
        <v/>
      </c>
      <c r="C1095" s="22">
        <f>(1+C1094)*IF(AND(Painel_diario!$H1091="EU_JU",Painel_diario!$J1091=1),EXP(Painel_diario!$L1091),1)-1</f>
        <v/>
      </c>
      <c r="D1095" s="22">
        <f>(1+D1094)*IF(AND(Painel_diario!$H1091="ED_JD",Painel_diario!$J1091=1),EXP(Painel_diario!$L1091),1)-1</f>
        <v/>
      </c>
      <c r="E1095" s="22">
        <f>(1+E1094)*IF(AND(Painel_diario!$H1091="ED_JU",Painel_diario!$J1091=1),EXP(Painel_diario!$L1091),1)-1</f>
        <v/>
      </c>
    </row>
    <row r="1096">
      <c r="A1096" s="25" t="n">
        <v>40430</v>
      </c>
      <c r="B1096" s="22">
        <f>(1+B1095)*IF(AND(Painel_diario!$H1092="EU_JD",Painel_diario!$J1092=1),EXP(Painel_diario!$L1092),1)-1</f>
        <v/>
      </c>
      <c r="C1096" s="22">
        <f>(1+C1095)*IF(AND(Painel_diario!$H1092="EU_JU",Painel_diario!$J1092=1),EXP(Painel_diario!$L1092),1)-1</f>
        <v/>
      </c>
      <c r="D1096" s="22">
        <f>(1+D1095)*IF(AND(Painel_diario!$H1092="ED_JD",Painel_diario!$J1092=1),EXP(Painel_diario!$L1092),1)-1</f>
        <v/>
      </c>
      <c r="E1096" s="22">
        <f>(1+E1095)*IF(AND(Painel_diario!$H1092="ED_JU",Painel_diario!$J1092=1),EXP(Painel_diario!$L1092),1)-1</f>
        <v/>
      </c>
    </row>
    <row r="1097">
      <c r="A1097" s="25" t="n">
        <v>40431</v>
      </c>
      <c r="B1097" s="22">
        <f>(1+B1096)*IF(AND(Painel_diario!$H1093="EU_JD",Painel_diario!$J1093=1),EXP(Painel_diario!$L1093),1)-1</f>
        <v/>
      </c>
      <c r="C1097" s="22">
        <f>(1+C1096)*IF(AND(Painel_diario!$H1093="EU_JU",Painel_diario!$J1093=1),EXP(Painel_diario!$L1093),1)-1</f>
        <v/>
      </c>
      <c r="D1097" s="22">
        <f>(1+D1096)*IF(AND(Painel_diario!$H1093="ED_JD",Painel_diario!$J1093=1),EXP(Painel_diario!$L1093),1)-1</f>
        <v/>
      </c>
      <c r="E1097" s="22">
        <f>(1+E1096)*IF(AND(Painel_diario!$H1093="ED_JU",Painel_diario!$J1093=1),EXP(Painel_diario!$L1093),1)-1</f>
        <v/>
      </c>
    </row>
    <row r="1098">
      <c r="A1098" s="25" t="n">
        <v>40434</v>
      </c>
      <c r="B1098" s="22">
        <f>(1+B1097)*IF(AND(Painel_diario!$H1094="EU_JD",Painel_diario!$J1094=1),EXP(Painel_diario!$L1094),1)-1</f>
        <v/>
      </c>
      <c r="C1098" s="22">
        <f>(1+C1097)*IF(AND(Painel_diario!$H1094="EU_JU",Painel_diario!$J1094=1),EXP(Painel_diario!$L1094),1)-1</f>
        <v/>
      </c>
      <c r="D1098" s="22">
        <f>(1+D1097)*IF(AND(Painel_diario!$H1094="ED_JD",Painel_diario!$J1094=1),EXP(Painel_diario!$L1094),1)-1</f>
        <v/>
      </c>
      <c r="E1098" s="22">
        <f>(1+E1097)*IF(AND(Painel_diario!$H1094="ED_JU",Painel_diario!$J1094=1),EXP(Painel_diario!$L1094),1)-1</f>
        <v/>
      </c>
    </row>
    <row r="1099">
      <c r="A1099" s="25" t="n">
        <v>40435</v>
      </c>
      <c r="B1099" s="22">
        <f>(1+B1098)*IF(AND(Painel_diario!$H1095="EU_JD",Painel_diario!$J1095=1),EXP(Painel_diario!$L1095),1)-1</f>
        <v/>
      </c>
      <c r="C1099" s="22">
        <f>(1+C1098)*IF(AND(Painel_diario!$H1095="EU_JU",Painel_diario!$J1095=1),EXP(Painel_diario!$L1095),1)-1</f>
        <v/>
      </c>
      <c r="D1099" s="22">
        <f>(1+D1098)*IF(AND(Painel_diario!$H1095="ED_JD",Painel_diario!$J1095=1),EXP(Painel_diario!$L1095),1)-1</f>
        <v/>
      </c>
      <c r="E1099" s="22">
        <f>(1+E1098)*IF(AND(Painel_diario!$H1095="ED_JU",Painel_diario!$J1095=1),EXP(Painel_diario!$L1095),1)-1</f>
        <v/>
      </c>
    </row>
    <row r="1100">
      <c r="A1100" s="25" t="n">
        <v>40436</v>
      </c>
      <c r="B1100" s="22">
        <f>(1+B1099)*IF(AND(Painel_diario!$H1096="EU_JD",Painel_diario!$J1096=1),EXP(Painel_diario!$L1096),1)-1</f>
        <v/>
      </c>
      <c r="C1100" s="22">
        <f>(1+C1099)*IF(AND(Painel_diario!$H1096="EU_JU",Painel_diario!$J1096=1),EXP(Painel_diario!$L1096),1)-1</f>
        <v/>
      </c>
      <c r="D1100" s="22">
        <f>(1+D1099)*IF(AND(Painel_diario!$H1096="ED_JD",Painel_diario!$J1096=1),EXP(Painel_diario!$L1096),1)-1</f>
        <v/>
      </c>
      <c r="E1100" s="22">
        <f>(1+E1099)*IF(AND(Painel_diario!$H1096="ED_JU",Painel_diario!$J1096=1),EXP(Painel_diario!$L1096),1)-1</f>
        <v/>
      </c>
    </row>
    <row r="1101">
      <c r="A1101" s="25" t="n">
        <v>40437</v>
      </c>
      <c r="B1101" s="22">
        <f>(1+B1100)*IF(AND(Painel_diario!$H1097="EU_JD",Painel_diario!$J1097=1),EXP(Painel_diario!$L1097),1)-1</f>
        <v/>
      </c>
      <c r="C1101" s="22">
        <f>(1+C1100)*IF(AND(Painel_diario!$H1097="EU_JU",Painel_diario!$J1097=1),EXP(Painel_diario!$L1097),1)-1</f>
        <v/>
      </c>
      <c r="D1101" s="22">
        <f>(1+D1100)*IF(AND(Painel_diario!$H1097="ED_JD",Painel_diario!$J1097=1),EXP(Painel_diario!$L1097),1)-1</f>
        <v/>
      </c>
      <c r="E1101" s="22">
        <f>(1+E1100)*IF(AND(Painel_diario!$H1097="ED_JU",Painel_diario!$J1097=1),EXP(Painel_diario!$L1097),1)-1</f>
        <v/>
      </c>
    </row>
    <row r="1102">
      <c r="A1102" s="25" t="n">
        <v>40438</v>
      </c>
      <c r="B1102" s="22">
        <f>(1+B1101)*IF(AND(Painel_diario!$H1098="EU_JD",Painel_diario!$J1098=1),EXP(Painel_diario!$L1098),1)-1</f>
        <v/>
      </c>
      <c r="C1102" s="22">
        <f>(1+C1101)*IF(AND(Painel_diario!$H1098="EU_JU",Painel_diario!$J1098=1),EXP(Painel_diario!$L1098),1)-1</f>
        <v/>
      </c>
      <c r="D1102" s="22">
        <f>(1+D1101)*IF(AND(Painel_diario!$H1098="ED_JD",Painel_diario!$J1098=1),EXP(Painel_diario!$L1098),1)-1</f>
        <v/>
      </c>
      <c r="E1102" s="22">
        <f>(1+E1101)*IF(AND(Painel_diario!$H1098="ED_JU",Painel_diario!$J1098=1),EXP(Painel_diario!$L1098),1)-1</f>
        <v/>
      </c>
    </row>
    <row r="1103">
      <c r="A1103" s="25" t="n">
        <v>40441</v>
      </c>
      <c r="B1103" s="22">
        <f>(1+B1102)*IF(AND(Painel_diario!$H1099="EU_JD",Painel_diario!$J1099=1),EXP(Painel_diario!$L1099),1)-1</f>
        <v/>
      </c>
      <c r="C1103" s="22">
        <f>(1+C1102)*IF(AND(Painel_diario!$H1099="EU_JU",Painel_diario!$J1099=1),EXP(Painel_diario!$L1099),1)-1</f>
        <v/>
      </c>
      <c r="D1103" s="22">
        <f>(1+D1102)*IF(AND(Painel_diario!$H1099="ED_JD",Painel_diario!$J1099=1),EXP(Painel_diario!$L1099),1)-1</f>
        <v/>
      </c>
      <c r="E1103" s="22">
        <f>(1+E1102)*IF(AND(Painel_diario!$H1099="ED_JU",Painel_diario!$J1099=1),EXP(Painel_diario!$L1099),1)-1</f>
        <v/>
      </c>
    </row>
    <row r="1104">
      <c r="A1104" s="25" t="n">
        <v>40442</v>
      </c>
      <c r="B1104" s="22">
        <f>(1+B1103)*IF(AND(Painel_diario!$H1100="EU_JD",Painel_diario!$J1100=1),EXP(Painel_diario!$L1100),1)-1</f>
        <v/>
      </c>
      <c r="C1104" s="22">
        <f>(1+C1103)*IF(AND(Painel_diario!$H1100="EU_JU",Painel_diario!$J1100=1),EXP(Painel_diario!$L1100),1)-1</f>
        <v/>
      </c>
      <c r="D1104" s="22">
        <f>(1+D1103)*IF(AND(Painel_diario!$H1100="ED_JD",Painel_diario!$J1100=1),EXP(Painel_diario!$L1100),1)-1</f>
        <v/>
      </c>
      <c r="E1104" s="22">
        <f>(1+E1103)*IF(AND(Painel_diario!$H1100="ED_JU",Painel_diario!$J1100=1),EXP(Painel_diario!$L1100),1)-1</f>
        <v/>
      </c>
    </row>
    <row r="1105">
      <c r="A1105" s="25" t="n">
        <v>40443</v>
      </c>
      <c r="B1105" s="22">
        <f>(1+B1104)*IF(AND(Painel_diario!$H1101="EU_JD",Painel_diario!$J1101=1),EXP(Painel_diario!$L1101),1)-1</f>
        <v/>
      </c>
      <c r="C1105" s="22">
        <f>(1+C1104)*IF(AND(Painel_diario!$H1101="EU_JU",Painel_diario!$J1101=1),EXP(Painel_diario!$L1101),1)-1</f>
        <v/>
      </c>
      <c r="D1105" s="22">
        <f>(1+D1104)*IF(AND(Painel_diario!$H1101="ED_JD",Painel_diario!$J1101=1),EXP(Painel_diario!$L1101),1)-1</f>
        <v/>
      </c>
      <c r="E1105" s="22">
        <f>(1+E1104)*IF(AND(Painel_diario!$H1101="ED_JU",Painel_diario!$J1101=1),EXP(Painel_diario!$L1101),1)-1</f>
        <v/>
      </c>
    </row>
    <row r="1106">
      <c r="A1106" s="25" t="n">
        <v>40444</v>
      </c>
      <c r="B1106" s="22">
        <f>(1+B1105)*IF(AND(Painel_diario!$H1102="EU_JD",Painel_diario!$J1102=1),EXP(Painel_diario!$L1102),1)-1</f>
        <v/>
      </c>
      <c r="C1106" s="22">
        <f>(1+C1105)*IF(AND(Painel_diario!$H1102="EU_JU",Painel_diario!$J1102=1),EXP(Painel_diario!$L1102),1)-1</f>
        <v/>
      </c>
      <c r="D1106" s="22">
        <f>(1+D1105)*IF(AND(Painel_diario!$H1102="ED_JD",Painel_diario!$J1102=1),EXP(Painel_diario!$L1102),1)-1</f>
        <v/>
      </c>
      <c r="E1106" s="22">
        <f>(1+E1105)*IF(AND(Painel_diario!$H1102="ED_JU",Painel_diario!$J1102=1),EXP(Painel_diario!$L1102),1)-1</f>
        <v/>
      </c>
    </row>
    <row r="1107">
      <c r="A1107" s="25" t="n">
        <v>40445</v>
      </c>
      <c r="B1107" s="22">
        <f>(1+B1106)*IF(AND(Painel_diario!$H1103="EU_JD",Painel_diario!$J1103=1),EXP(Painel_diario!$L1103),1)-1</f>
        <v/>
      </c>
      <c r="C1107" s="22">
        <f>(1+C1106)*IF(AND(Painel_diario!$H1103="EU_JU",Painel_diario!$J1103=1),EXP(Painel_diario!$L1103),1)-1</f>
        <v/>
      </c>
      <c r="D1107" s="22">
        <f>(1+D1106)*IF(AND(Painel_diario!$H1103="ED_JD",Painel_diario!$J1103=1),EXP(Painel_diario!$L1103),1)-1</f>
        <v/>
      </c>
      <c r="E1107" s="22">
        <f>(1+E1106)*IF(AND(Painel_diario!$H1103="ED_JU",Painel_diario!$J1103=1),EXP(Painel_diario!$L1103),1)-1</f>
        <v/>
      </c>
    </row>
    <row r="1108">
      <c r="A1108" s="25" t="n">
        <v>40448</v>
      </c>
      <c r="B1108" s="22">
        <f>(1+B1107)*IF(AND(Painel_diario!$H1104="EU_JD",Painel_diario!$J1104=1),EXP(Painel_diario!$L1104),1)-1</f>
        <v/>
      </c>
      <c r="C1108" s="22">
        <f>(1+C1107)*IF(AND(Painel_diario!$H1104="EU_JU",Painel_diario!$J1104=1),EXP(Painel_diario!$L1104),1)-1</f>
        <v/>
      </c>
      <c r="D1108" s="22">
        <f>(1+D1107)*IF(AND(Painel_diario!$H1104="ED_JD",Painel_diario!$J1104=1),EXP(Painel_diario!$L1104),1)-1</f>
        <v/>
      </c>
      <c r="E1108" s="22">
        <f>(1+E1107)*IF(AND(Painel_diario!$H1104="ED_JU",Painel_diario!$J1104=1),EXP(Painel_diario!$L1104),1)-1</f>
        <v/>
      </c>
    </row>
    <row r="1109">
      <c r="A1109" s="25" t="n">
        <v>40449</v>
      </c>
      <c r="B1109" s="22">
        <f>(1+B1108)*IF(AND(Painel_diario!$H1105="EU_JD",Painel_diario!$J1105=1),EXP(Painel_diario!$L1105),1)-1</f>
        <v/>
      </c>
      <c r="C1109" s="22">
        <f>(1+C1108)*IF(AND(Painel_diario!$H1105="EU_JU",Painel_diario!$J1105=1),EXP(Painel_diario!$L1105),1)-1</f>
        <v/>
      </c>
      <c r="D1109" s="22">
        <f>(1+D1108)*IF(AND(Painel_diario!$H1105="ED_JD",Painel_diario!$J1105=1),EXP(Painel_diario!$L1105),1)-1</f>
        <v/>
      </c>
      <c r="E1109" s="22">
        <f>(1+E1108)*IF(AND(Painel_diario!$H1105="ED_JU",Painel_diario!$J1105=1),EXP(Painel_diario!$L1105),1)-1</f>
        <v/>
      </c>
    </row>
    <row r="1110">
      <c r="A1110" s="25" t="n">
        <v>40450</v>
      </c>
      <c r="B1110" s="22">
        <f>(1+B1109)*IF(AND(Painel_diario!$H1106="EU_JD",Painel_diario!$J1106=1),EXP(Painel_diario!$L1106),1)-1</f>
        <v/>
      </c>
      <c r="C1110" s="22">
        <f>(1+C1109)*IF(AND(Painel_diario!$H1106="EU_JU",Painel_diario!$J1106=1),EXP(Painel_diario!$L1106),1)-1</f>
        <v/>
      </c>
      <c r="D1110" s="22">
        <f>(1+D1109)*IF(AND(Painel_diario!$H1106="ED_JD",Painel_diario!$J1106=1),EXP(Painel_diario!$L1106),1)-1</f>
        <v/>
      </c>
      <c r="E1110" s="22">
        <f>(1+E1109)*IF(AND(Painel_diario!$H1106="ED_JU",Painel_diario!$J1106=1),EXP(Painel_diario!$L1106),1)-1</f>
        <v/>
      </c>
    </row>
    <row r="1111">
      <c r="A1111" s="25" t="n">
        <v>40451</v>
      </c>
      <c r="B1111" s="22">
        <f>(1+B1110)*IF(AND(Painel_diario!$H1107="EU_JD",Painel_diario!$J1107=1),EXP(Painel_diario!$L1107),1)-1</f>
        <v/>
      </c>
      <c r="C1111" s="22">
        <f>(1+C1110)*IF(AND(Painel_diario!$H1107="EU_JU",Painel_diario!$J1107=1),EXP(Painel_diario!$L1107),1)-1</f>
        <v/>
      </c>
      <c r="D1111" s="22">
        <f>(1+D1110)*IF(AND(Painel_diario!$H1107="ED_JD",Painel_diario!$J1107=1),EXP(Painel_diario!$L1107),1)-1</f>
        <v/>
      </c>
      <c r="E1111" s="22">
        <f>(1+E1110)*IF(AND(Painel_diario!$H1107="ED_JU",Painel_diario!$J1107=1),EXP(Painel_diario!$L1107),1)-1</f>
        <v/>
      </c>
    </row>
    <row r="1112">
      <c r="A1112" s="25" t="n">
        <v>40452</v>
      </c>
      <c r="B1112" s="22">
        <f>(1+B1111)*IF(AND(Painel_diario!$H1108="EU_JD",Painel_diario!$J1108=1),EXP(Painel_diario!$L1108),1)-1</f>
        <v/>
      </c>
      <c r="C1112" s="22">
        <f>(1+C1111)*IF(AND(Painel_diario!$H1108="EU_JU",Painel_diario!$J1108=1),EXP(Painel_diario!$L1108),1)-1</f>
        <v/>
      </c>
      <c r="D1112" s="22">
        <f>(1+D1111)*IF(AND(Painel_diario!$H1108="ED_JD",Painel_diario!$J1108=1),EXP(Painel_diario!$L1108),1)-1</f>
        <v/>
      </c>
      <c r="E1112" s="22">
        <f>(1+E1111)*IF(AND(Painel_diario!$H1108="ED_JU",Painel_diario!$J1108=1),EXP(Painel_diario!$L1108),1)-1</f>
        <v/>
      </c>
    </row>
    <row r="1113">
      <c r="A1113" s="25" t="n">
        <v>40455</v>
      </c>
      <c r="B1113" s="22">
        <f>(1+B1112)*IF(AND(Painel_diario!$H1109="EU_JD",Painel_diario!$J1109=1),EXP(Painel_diario!$L1109),1)-1</f>
        <v/>
      </c>
      <c r="C1113" s="22">
        <f>(1+C1112)*IF(AND(Painel_diario!$H1109="EU_JU",Painel_diario!$J1109=1),EXP(Painel_diario!$L1109),1)-1</f>
        <v/>
      </c>
      <c r="D1113" s="22">
        <f>(1+D1112)*IF(AND(Painel_diario!$H1109="ED_JD",Painel_diario!$J1109=1),EXP(Painel_diario!$L1109),1)-1</f>
        <v/>
      </c>
      <c r="E1113" s="22">
        <f>(1+E1112)*IF(AND(Painel_diario!$H1109="ED_JU",Painel_diario!$J1109=1),EXP(Painel_diario!$L1109),1)-1</f>
        <v/>
      </c>
    </row>
    <row r="1114">
      <c r="A1114" s="25" t="n">
        <v>40456</v>
      </c>
      <c r="B1114" s="22">
        <f>(1+B1113)*IF(AND(Painel_diario!$H1110="EU_JD",Painel_diario!$J1110=1),EXP(Painel_diario!$L1110),1)-1</f>
        <v/>
      </c>
      <c r="C1114" s="22">
        <f>(1+C1113)*IF(AND(Painel_diario!$H1110="EU_JU",Painel_diario!$J1110=1),EXP(Painel_diario!$L1110),1)-1</f>
        <v/>
      </c>
      <c r="D1114" s="22">
        <f>(1+D1113)*IF(AND(Painel_diario!$H1110="ED_JD",Painel_diario!$J1110=1),EXP(Painel_diario!$L1110),1)-1</f>
        <v/>
      </c>
      <c r="E1114" s="22">
        <f>(1+E1113)*IF(AND(Painel_diario!$H1110="ED_JU",Painel_diario!$J1110=1),EXP(Painel_diario!$L1110),1)-1</f>
        <v/>
      </c>
    </row>
    <row r="1115">
      <c r="A1115" s="25" t="n">
        <v>40457</v>
      </c>
      <c r="B1115" s="22">
        <f>(1+B1114)*IF(AND(Painel_diario!$H1111="EU_JD",Painel_diario!$J1111=1),EXP(Painel_diario!$L1111),1)-1</f>
        <v/>
      </c>
      <c r="C1115" s="22">
        <f>(1+C1114)*IF(AND(Painel_diario!$H1111="EU_JU",Painel_diario!$J1111=1),EXP(Painel_diario!$L1111),1)-1</f>
        <v/>
      </c>
      <c r="D1115" s="22">
        <f>(1+D1114)*IF(AND(Painel_diario!$H1111="ED_JD",Painel_diario!$J1111=1),EXP(Painel_diario!$L1111),1)-1</f>
        <v/>
      </c>
      <c r="E1115" s="22">
        <f>(1+E1114)*IF(AND(Painel_diario!$H1111="ED_JU",Painel_diario!$J1111=1),EXP(Painel_diario!$L1111),1)-1</f>
        <v/>
      </c>
    </row>
    <row r="1116">
      <c r="A1116" s="25" t="n">
        <v>40458</v>
      </c>
      <c r="B1116" s="22">
        <f>(1+B1115)*IF(AND(Painel_diario!$H1112="EU_JD",Painel_diario!$J1112=1),EXP(Painel_diario!$L1112),1)-1</f>
        <v/>
      </c>
      <c r="C1116" s="22">
        <f>(1+C1115)*IF(AND(Painel_diario!$H1112="EU_JU",Painel_diario!$J1112=1),EXP(Painel_diario!$L1112),1)-1</f>
        <v/>
      </c>
      <c r="D1116" s="22">
        <f>(1+D1115)*IF(AND(Painel_diario!$H1112="ED_JD",Painel_diario!$J1112=1),EXP(Painel_diario!$L1112),1)-1</f>
        <v/>
      </c>
      <c r="E1116" s="22">
        <f>(1+E1115)*IF(AND(Painel_diario!$H1112="ED_JU",Painel_diario!$J1112=1),EXP(Painel_diario!$L1112),1)-1</f>
        <v/>
      </c>
    </row>
    <row r="1117">
      <c r="A1117" s="25" t="n">
        <v>40459</v>
      </c>
      <c r="B1117" s="22">
        <f>(1+B1116)*IF(AND(Painel_diario!$H1113="EU_JD",Painel_diario!$J1113=1),EXP(Painel_diario!$L1113),1)-1</f>
        <v/>
      </c>
      <c r="C1117" s="22">
        <f>(1+C1116)*IF(AND(Painel_diario!$H1113="EU_JU",Painel_diario!$J1113=1),EXP(Painel_diario!$L1113),1)-1</f>
        <v/>
      </c>
      <c r="D1117" s="22">
        <f>(1+D1116)*IF(AND(Painel_diario!$H1113="ED_JD",Painel_diario!$J1113=1),EXP(Painel_diario!$L1113),1)-1</f>
        <v/>
      </c>
      <c r="E1117" s="22">
        <f>(1+E1116)*IF(AND(Painel_diario!$H1113="ED_JU",Painel_diario!$J1113=1),EXP(Painel_diario!$L1113),1)-1</f>
        <v/>
      </c>
    </row>
    <row r="1118">
      <c r="A1118" s="25" t="n">
        <v>40462</v>
      </c>
      <c r="B1118" s="22">
        <f>(1+B1117)*IF(AND(Painel_diario!$H1114="EU_JD",Painel_diario!$J1114=1),EXP(Painel_diario!$L1114),1)-1</f>
        <v/>
      </c>
      <c r="C1118" s="22">
        <f>(1+C1117)*IF(AND(Painel_diario!$H1114="EU_JU",Painel_diario!$J1114=1),EXP(Painel_diario!$L1114),1)-1</f>
        <v/>
      </c>
      <c r="D1118" s="22">
        <f>(1+D1117)*IF(AND(Painel_diario!$H1114="ED_JD",Painel_diario!$J1114=1),EXP(Painel_diario!$L1114),1)-1</f>
        <v/>
      </c>
      <c r="E1118" s="22">
        <f>(1+E1117)*IF(AND(Painel_diario!$H1114="ED_JU",Painel_diario!$J1114=1),EXP(Painel_diario!$L1114),1)-1</f>
        <v/>
      </c>
    </row>
    <row r="1119">
      <c r="A1119" s="25" t="n">
        <v>40464</v>
      </c>
      <c r="B1119" s="22">
        <f>(1+B1118)*IF(AND(Painel_diario!$H1115="EU_JD",Painel_diario!$J1115=1),EXP(Painel_diario!$L1115),1)-1</f>
        <v/>
      </c>
      <c r="C1119" s="22">
        <f>(1+C1118)*IF(AND(Painel_diario!$H1115="EU_JU",Painel_diario!$J1115=1),EXP(Painel_diario!$L1115),1)-1</f>
        <v/>
      </c>
      <c r="D1119" s="22">
        <f>(1+D1118)*IF(AND(Painel_diario!$H1115="ED_JD",Painel_diario!$J1115=1),EXP(Painel_diario!$L1115),1)-1</f>
        <v/>
      </c>
      <c r="E1119" s="22">
        <f>(1+E1118)*IF(AND(Painel_diario!$H1115="ED_JU",Painel_diario!$J1115=1),EXP(Painel_diario!$L1115),1)-1</f>
        <v/>
      </c>
    </row>
    <row r="1120">
      <c r="A1120" s="25" t="n">
        <v>40465</v>
      </c>
      <c r="B1120" s="22">
        <f>(1+B1119)*IF(AND(Painel_diario!$H1116="EU_JD",Painel_diario!$J1116=1),EXP(Painel_diario!$L1116),1)-1</f>
        <v/>
      </c>
      <c r="C1120" s="22">
        <f>(1+C1119)*IF(AND(Painel_diario!$H1116="EU_JU",Painel_diario!$J1116=1),EXP(Painel_diario!$L1116),1)-1</f>
        <v/>
      </c>
      <c r="D1120" s="22">
        <f>(1+D1119)*IF(AND(Painel_diario!$H1116="ED_JD",Painel_diario!$J1116=1),EXP(Painel_diario!$L1116),1)-1</f>
        <v/>
      </c>
      <c r="E1120" s="22">
        <f>(1+E1119)*IF(AND(Painel_diario!$H1116="ED_JU",Painel_diario!$J1116=1),EXP(Painel_diario!$L1116),1)-1</f>
        <v/>
      </c>
    </row>
    <row r="1121">
      <c r="A1121" s="25" t="n">
        <v>40466</v>
      </c>
      <c r="B1121" s="22">
        <f>(1+B1120)*IF(AND(Painel_diario!$H1117="EU_JD",Painel_diario!$J1117=1),EXP(Painel_diario!$L1117),1)-1</f>
        <v/>
      </c>
      <c r="C1121" s="22">
        <f>(1+C1120)*IF(AND(Painel_diario!$H1117="EU_JU",Painel_diario!$J1117=1),EXP(Painel_diario!$L1117),1)-1</f>
        <v/>
      </c>
      <c r="D1121" s="22">
        <f>(1+D1120)*IF(AND(Painel_diario!$H1117="ED_JD",Painel_diario!$J1117=1),EXP(Painel_diario!$L1117),1)-1</f>
        <v/>
      </c>
      <c r="E1121" s="22">
        <f>(1+E1120)*IF(AND(Painel_diario!$H1117="ED_JU",Painel_diario!$J1117=1),EXP(Painel_diario!$L1117),1)-1</f>
        <v/>
      </c>
    </row>
    <row r="1122">
      <c r="A1122" s="25" t="n">
        <v>40469</v>
      </c>
      <c r="B1122" s="22">
        <f>(1+B1121)*IF(AND(Painel_diario!$H1118="EU_JD",Painel_diario!$J1118=1),EXP(Painel_diario!$L1118),1)-1</f>
        <v/>
      </c>
      <c r="C1122" s="22">
        <f>(1+C1121)*IF(AND(Painel_diario!$H1118="EU_JU",Painel_diario!$J1118=1),EXP(Painel_diario!$L1118),1)-1</f>
        <v/>
      </c>
      <c r="D1122" s="22">
        <f>(1+D1121)*IF(AND(Painel_diario!$H1118="ED_JD",Painel_diario!$J1118=1),EXP(Painel_diario!$L1118),1)-1</f>
        <v/>
      </c>
      <c r="E1122" s="22">
        <f>(1+E1121)*IF(AND(Painel_diario!$H1118="ED_JU",Painel_diario!$J1118=1),EXP(Painel_diario!$L1118),1)-1</f>
        <v/>
      </c>
    </row>
    <row r="1123">
      <c r="A1123" s="25" t="n">
        <v>40470</v>
      </c>
      <c r="B1123" s="22">
        <f>(1+B1122)*IF(AND(Painel_diario!$H1119="EU_JD",Painel_diario!$J1119=1),EXP(Painel_diario!$L1119),1)-1</f>
        <v/>
      </c>
      <c r="C1123" s="22">
        <f>(1+C1122)*IF(AND(Painel_diario!$H1119="EU_JU",Painel_diario!$J1119=1),EXP(Painel_diario!$L1119),1)-1</f>
        <v/>
      </c>
      <c r="D1123" s="22">
        <f>(1+D1122)*IF(AND(Painel_diario!$H1119="ED_JD",Painel_diario!$J1119=1),EXP(Painel_diario!$L1119),1)-1</f>
        <v/>
      </c>
      <c r="E1123" s="22">
        <f>(1+E1122)*IF(AND(Painel_diario!$H1119="ED_JU",Painel_diario!$J1119=1),EXP(Painel_diario!$L1119),1)-1</f>
        <v/>
      </c>
    </row>
    <row r="1124">
      <c r="A1124" s="25" t="n">
        <v>40471</v>
      </c>
      <c r="B1124" s="22">
        <f>(1+B1123)*IF(AND(Painel_diario!$H1120="EU_JD",Painel_diario!$J1120=1),EXP(Painel_diario!$L1120),1)-1</f>
        <v/>
      </c>
      <c r="C1124" s="22">
        <f>(1+C1123)*IF(AND(Painel_diario!$H1120="EU_JU",Painel_diario!$J1120=1),EXP(Painel_diario!$L1120),1)-1</f>
        <v/>
      </c>
      <c r="D1124" s="22">
        <f>(1+D1123)*IF(AND(Painel_diario!$H1120="ED_JD",Painel_diario!$J1120=1),EXP(Painel_diario!$L1120),1)-1</f>
        <v/>
      </c>
      <c r="E1124" s="22">
        <f>(1+E1123)*IF(AND(Painel_diario!$H1120="ED_JU",Painel_diario!$J1120=1),EXP(Painel_diario!$L1120),1)-1</f>
        <v/>
      </c>
    </row>
    <row r="1125">
      <c r="A1125" s="25" t="n">
        <v>40472</v>
      </c>
      <c r="B1125" s="22">
        <f>(1+B1124)*IF(AND(Painel_diario!$H1121="EU_JD",Painel_diario!$J1121=1),EXP(Painel_diario!$L1121),1)-1</f>
        <v/>
      </c>
      <c r="C1125" s="22">
        <f>(1+C1124)*IF(AND(Painel_diario!$H1121="EU_JU",Painel_diario!$J1121=1),EXP(Painel_diario!$L1121),1)-1</f>
        <v/>
      </c>
      <c r="D1125" s="22">
        <f>(1+D1124)*IF(AND(Painel_diario!$H1121="ED_JD",Painel_diario!$J1121=1),EXP(Painel_diario!$L1121),1)-1</f>
        <v/>
      </c>
      <c r="E1125" s="22">
        <f>(1+E1124)*IF(AND(Painel_diario!$H1121="ED_JU",Painel_diario!$J1121=1),EXP(Painel_diario!$L1121),1)-1</f>
        <v/>
      </c>
    </row>
    <row r="1126">
      <c r="A1126" s="25" t="n">
        <v>40473</v>
      </c>
      <c r="B1126" s="22">
        <f>(1+B1125)*IF(AND(Painel_diario!$H1122="EU_JD",Painel_diario!$J1122=1),EXP(Painel_diario!$L1122),1)-1</f>
        <v/>
      </c>
      <c r="C1126" s="22">
        <f>(1+C1125)*IF(AND(Painel_diario!$H1122="EU_JU",Painel_diario!$J1122=1),EXP(Painel_diario!$L1122),1)-1</f>
        <v/>
      </c>
      <c r="D1126" s="22">
        <f>(1+D1125)*IF(AND(Painel_diario!$H1122="ED_JD",Painel_diario!$J1122=1),EXP(Painel_diario!$L1122),1)-1</f>
        <v/>
      </c>
      <c r="E1126" s="22">
        <f>(1+E1125)*IF(AND(Painel_diario!$H1122="ED_JU",Painel_diario!$J1122=1),EXP(Painel_diario!$L1122),1)-1</f>
        <v/>
      </c>
    </row>
    <row r="1127">
      <c r="A1127" s="25" t="n">
        <v>40476</v>
      </c>
      <c r="B1127" s="22">
        <f>(1+B1126)*IF(AND(Painel_diario!$H1123="EU_JD",Painel_diario!$J1123=1),EXP(Painel_diario!$L1123),1)-1</f>
        <v/>
      </c>
      <c r="C1127" s="22">
        <f>(1+C1126)*IF(AND(Painel_diario!$H1123="EU_JU",Painel_diario!$J1123=1),EXP(Painel_diario!$L1123),1)-1</f>
        <v/>
      </c>
      <c r="D1127" s="22">
        <f>(1+D1126)*IF(AND(Painel_diario!$H1123="ED_JD",Painel_diario!$J1123=1),EXP(Painel_diario!$L1123),1)-1</f>
        <v/>
      </c>
      <c r="E1127" s="22">
        <f>(1+E1126)*IF(AND(Painel_diario!$H1123="ED_JU",Painel_diario!$J1123=1),EXP(Painel_diario!$L1123),1)-1</f>
        <v/>
      </c>
    </row>
    <row r="1128">
      <c r="A1128" s="25" t="n">
        <v>40477</v>
      </c>
      <c r="B1128" s="22">
        <f>(1+B1127)*IF(AND(Painel_diario!$H1124="EU_JD",Painel_diario!$J1124=1),EXP(Painel_diario!$L1124),1)-1</f>
        <v/>
      </c>
      <c r="C1128" s="22">
        <f>(1+C1127)*IF(AND(Painel_diario!$H1124="EU_JU",Painel_diario!$J1124=1),EXP(Painel_diario!$L1124),1)-1</f>
        <v/>
      </c>
      <c r="D1128" s="22">
        <f>(1+D1127)*IF(AND(Painel_diario!$H1124="ED_JD",Painel_diario!$J1124=1),EXP(Painel_diario!$L1124),1)-1</f>
        <v/>
      </c>
      <c r="E1128" s="22">
        <f>(1+E1127)*IF(AND(Painel_diario!$H1124="ED_JU",Painel_diario!$J1124=1),EXP(Painel_diario!$L1124),1)-1</f>
        <v/>
      </c>
    </row>
    <row r="1129">
      <c r="A1129" s="25" t="n">
        <v>40478</v>
      </c>
      <c r="B1129" s="22">
        <f>(1+B1128)*IF(AND(Painel_diario!$H1125="EU_JD",Painel_diario!$J1125=1),EXP(Painel_diario!$L1125),1)-1</f>
        <v/>
      </c>
      <c r="C1129" s="22">
        <f>(1+C1128)*IF(AND(Painel_diario!$H1125="EU_JU",Painel_diario!$J1125=1),EXP(Painel_diario!$L1125),1)-1</f>
        <v/>
      </c>
      <c r="D1129" s="22">
        <f>(1+D1128)*IF(AND(Painel_diario!$H1125="ED_JD",Painel_diario!$J1125=1),EXP(Painel_diario!$L1125),1)-1</f>
        <v/>
      </c>
      <c r="E1129" s="22">
        <f>(1+E1128)*IF(AND(Painel_diario!$H1125="ED_JU",Painel_diario!$J1125=1),EXP(Painel_diario!$L1125),1)-1</f>
        <v/>
      </c>
    </row>
    <row r="1130">
      <c r="A1130" s="25" t="n">
        <v>40479</v>
      </c>
      <c r="B1130" s="22">
        <f>(1+B1129)*IF(AND(Painel_diario!$H1126="EU_JD",Painel_diario!$J1126=1),EXP(Painel_diario!$L1126),1)-1</f>
        <v/>
      </c>
      <c r="C1130" s="22">
        <f>(1+C1129)*IF(AND(Painel_diario!$H1126="EU_JU",Painel_diario!$J1126=1),EXP(Painel_diario!$L1126),1)-1</f>
        <v/>
      </c>
      <c r="D1130" s="22">
        <f>(1+D1129)*IF(AND(Painel_diario!$H1126="ED_JD",Painel_diario!$J1126=1),EXP(Painel_diario!$L1126),1)-1</f>
        <v/>
      </c>
      <c r="E1130" s="22">
        <f>(1+E1129)*IF(AND(Painel_diario!$H1126="ED_JU",Painel_diario!$J1126=1),EXP(Painel_diario!$L1126),1)-1</f>
        <v/>
      </c>
    </row>
    <row r="1131">
      <c r="A1131" s="25" t="n">
        <v>40480</v>
      </c>
      <c r="B1131" s="22">
        <f>(1+B1130)*IF(AND(Painel_diario!$H1127="EU_JD",Painel_diario!$J1127=1),EXP(Painel_diario!$L1127),1)-1</f>
        <v/>
      </c>
      <c r="C1131" s="22">
        <f>(1+C1130)*IF(AND(Painel_diario!$H1127="EU_JU",Painel_diario!$J1127=1),EXP(Painel_diario!$L1127),1)-1</f>
        <v/>
      </c>
      <c r="D1131" s="22">
        <f>(1+D1130)*IF(AND(Painel_diario!$H1127="ED_JD",Painel_diario!$J1127=1),EXP(Painel_diario!$L1127),1)-1</f>
        <v/>
      </c>
      <c r="E1131" s="22">
        <f>(1+E1130)*IF(AND(Painel_diario!$H1127="ED_JU",Painel_diario!$J1127=1),EXP(Painel_diario!$L1127),1)-1</f>
        <v/>
      </c>
    </row>
    <row r="1132">
      <c r="A1132" s="25" t="n">
        <v>40483</v>
      </c>
      <c r="B1132" s="22">
        <f>(1+B1131)*IF(AND(Painel_diario!$H1128="EU_JD",Painel_diario!$J1128=1),EXP(Painel_diario!$L1128),1)-1</f>
        <v/>
      </c>
      <c r="C1132" s="22">
        <f>(1+C1131)*IF(AND(Painel_diario!$H1128="EU_JU",Painel_diario!$J1128=1),EXP(Painel_diario!$L1128),1)-1</f>
        <v/>
      </c>
      <c r="D1132" s="22">
        <f>(1+D1131)*IF(AND(Painel_diario!$H1128="ED_JD",Painel_diario!$J1128=1),EXP(Painel_diario!$L1128),1)-1</f>
        <v/>
      </c>
      <c r="E1132" s="22">
        <f>(1+E1131)*IF(AND(Painel_diario!$H1128="ED_JU",Painel_diario!$J1128=1),EXP(Painel_diario!$L1128),1)-1</f>
        <v/>
      </c>
    </row>
    <row r="1133">
      <c r="A1133" s="25" t="n">
        <v>40485</v>
      </c>
      <c r="B1133" s="22">
        <f>(1+B1132)*IF(AND(Painel_diario!$H1129="EU_JD",Painel_diario!$J1129=1),EXP(Painel_diario!$L1129),1)-1</f>
        <v/>
      </c>
      <c r="C1133" s="22">
        <f>(1+C1132)*IF(AND(Painel_diario!$H1129="EU_JU",Painel_diario!$J1129=1),EXP(Painel_diario!$L1129),1)-1</f>
        <v/>
      </c>
      <c r="D1133" s="22">
        <f>(1+D1132)*IF(AND(Painel_diario!$H1129="ED_JD",Painel_diario!$J1129=1),EXP(Painel_diario!$L1129),1)-1</f>
        <v/>
      </c>
      <c r="E1133" s="22">
        <f>(1+E1132)*IF(AND(Painel_diario!$H1129="ED_JU",Painel_diario!$J1129=1),EXP(Painel_diario!$L1129),1)-1</f>
        <v/>
      </c>
    </row>
    <row r="1134">
      <c r="A1134" s="25" t="n">
        <v>40486</v>
      </c>
      <c r="B1134" s="22">
        <f>(1+B1133)*IF(AND(Painel_diario!$H1130="EU_JD",Painel_diario!$J1130=1),EXP(Painel_diario!$L1130),1)-1</f>
        <v/>
      </c>
      <c r="C1134" s="22">
        <f>(1+C1133)*IF(AND(Painel_diario!$H1130="EU_JU",Painel_diario!$J1130=1),EXP(Painel_diario!$L1130),1)-1</f>
        <v/>
      </c>
      <c r="D1134" s="22">
        <f>(1+D1133)*IF(AND(Painel_diario!$H1130="ED_JD",Painel_diario!$J1130=1),EXP(Painel_diario!$L1130),1)-1</f>
        <v/>
      </c>
      <c r="E1134" s="22">
        <f>(1+E1133)*IF(AND(Painel_diario!$H1130="ED_JU",Painel_diario!$J1130=1),EXP(Painel_diario!$L1130),1)-1</f>
        <v/>
      </c>
    </row>
    <row r="1135">
      <c r="A1135" s="25" t="n">
        <v>40487</v>
      </c>
      <c r="B1135" s="22">
        <f>(1+B1134)*IF(AND(Painel_diario!$H1131="EU_JD",Painel_diario!$J1131=1),EXP(Painel_diario!$L1131),1)-1</f>
        <v/>
      </c>
      <c r="C1135" s="22">
        <f>(1+C1134)*IF(AND(Painel_diario!$H1131="EU_JU",Painel_diario!$J1131=1),EXP(Painel_diario!$L1131),1)-1</f>
        <v/>
      </c>
      <c r="D1135" s="22">
        <f>(1+D1134)*IF(AND(Painel_diario!$H1131="ED_JD",Painel_diario!$J1131=1),EXP(Painel_diario!$L1131),1)-1</f>
        <v/>
      </c>
      <c r="E1135" s="22">
        <f>(1+E1134)*IF(AND(Painel_diario!$H1131="ED_JU",Painel_diario!$J1131=1),EXP(Painel_diario!$L1131),1)-1</f>
        <v/>
      </c>
    </row>
    <row r="1136">
      <c r="A1136" s="25" t="n">
        <v>40490</v>
      </c>
      <c r="B1136" s="22">
        <f>(1+B1135)*IF(AND(Painel_diario!$H1132="EU_JD",Painel_diario!$J1132=1),EXP(Painel_diario!$L1132),1)-1</f>
        <v/>
      </c>
      <c r="C1136" s="22">
        <f>(1+C1135)*IF(AND(Painel_diario!$H1132="EU_JU",Painel_diario!$J1132=1),EXP(Painel_diario!$L1132),1)-1</f>
        <v/>
      </c>
      <c r="D1136" s="22">
        <f>(1+D1135)*IF(AND(Painel_diario!$H1132="ED_JD",Painel_diario!$J1132=1),EXP(Painel_diario!$L1132),1)-1</f>
        <v/>
      </c>
      <c r="E1136" s="22">
        <f>(1+E1135)*IF(AND(Painel_diario!$H1132="ED_JU",Painel_diario!$J1132=1),EXP(Painel_diario!$L1132),1)-1</f>
        <v/>
      </c>
    </row>
    <row r="1137">
      <c r="A1137" s="25" t="n">
        <v>40491</v>
      </c>
      <c r="B1137" s="22">
        <f>(1+B1136)*IF(AND(Painel_diario!$H1133="EU_JD",Painel_diario!$J1133=1),EXP(Painel_diario!$L1133),1)-1</f>
        <v/>
      </c>
      <c r="C1137" s="22">
        <f>(1+C1136)*IF(AND(Painel_diario!$H1133="EU_JU",Painel_diario!$J1133=1),EXP(Painel_diario!$L1133),1)-1</f>
        <v/>
      </c>
      <c r="D1137" s="22">
        <f>(1+D1136)*IF(AND(Painel_diario!$H1133="ED_JD",Painel_diario!$J1133=1),EXP(Painel_diario!$L1133),1)-1</f>
        <v/>
      </c>
      <c r="E1137" s="22">
        <f>(1+E1136)*IF(AND(Painel_diario!$H1133="ED_JU",Painel_diario!$J1133=1),EXP(Painel_diario!$L1133),1)-1</f>
        <v/>
      </c>
    </row>
    <row r="1138">
      <c r="A1138" s="25" t="n">
        <v>40492</v>
      </c>
      <c r="B1138" s="22">
        <f>(1+B1137)*IF(AND(Painel_diario!$H1134="EU_JD",Painel_diario!$J1134=1),EXP(Painel_diario!$L1134),1)-1</f>
        <v/>
      </c>
      <c r="C1138" s="22">
        <f>(1+C1137)*IF(AND(Painel_diario!$H1134="EU_JU",Painel_diario!$J1134=1),EXP(Painel_diario!$L1134),1)-1</f>
        <v/>
      </c>
      <c r="D1138" s="22">
        <f>(1+D1137)*IF(AND(Painel_diario!$H1134="ED_JD",Painel_diario!$J1134=1),EXP(Painel_diario!$L1134),1)-1</f>
        <v/>
      </c>
      <c r="E1138" s="22">
        <f>(1+E1137)*IF(AND(Painel_diario!$H1134="ED_JU",Painel_diario!$J1134=1),EXP(Painel_diario!$L1134),1)-1</f>
        <v/>
      </c>
    </row>
    <row r="1139">
      <c r="A1139" s="25" t="n">
        <v>40493</v>
      </c>
      <c r="B1139" s="22">
        <f>(1+B1138)*IF(AND(Painel_diario!$H1135="EU_JD",Painel_diario!$J1135=1),EXP(Painel_diario!$L1135),1)-1</f>
        <v/>
      </c>
      <c r="C1139" s="22">
        <f>(1+C1138)*IF(AND(Painel_diario!$H1135="EU_JU",Painel_diario!$J1135=1),EXP(Painel_diario!$L1135),1)-1</f>
        <v/>
      </c>
      <c r="D1139" s="22">
        <f>(1+D1138)*IF(AND(Painel_diario!$H1135="ED_JD",Painel_diario!$J1135=1),EXP(Painel_diario!$L1135),1)-1</f>
        <v/>
      </c>
      <c r="E1139" s="22">
        <f>(1+E1138)*IF(AND(Painel_diario!$H1135="ED_JU",Painel_diario!$J1135=1),EXP(Painel_diario!$L1135),1)-1</f>
        <v/>
      </c>
    </row>
    <row r="1140">
      <c r="A1140" s="25" t="n">
        <v>40494</v>
      </c>
      <c r="B1140" s="22">
        <f>(1+B1139)*IF(AND(Painel_diario!$H1136="EU_JD",Painel_diario!$J1136=1),EXP(Painel_diario!$L1136),1)-1</f>
        <v/>
      </c>
      <c r="C1140" s="22">
        <f>(1+C1139)*IF(AND(Painel_diario!$H1136="EU_JU",Painel_diario!$J1136=1),EXP(Painel_diario!$L1136),1)-1</f>
        <v/>
      </c>
      <c r="D1140" s="22">
        <f>(1+D1139)*IF(AND(Painel_diario!$H1136="ED_JD",Painel_diario!$J1136=1),EXP(Painel_diario!$L1136),1)-1</f>
        <v/>
      </c>
      <c r="E1140" s="22">
        <f>(1+E1139)*IF(AND(Painel_diario!$H1136="ED_JU",Painel_diario!$J1136=1),EXP(Painel_diario!$L1136),1)-1</f>
        <v/>
      </c>
    </row>
    <row r="1141">
      <c r="A1141" s="25" t="n">
        <v>40498</v>
      </c>
      <c r="B1141" s="22">
        <f>(1+B1140)*IF(AND(Painel_diario!$H1137="EU_JD",Painel_diario!$J1137=1),EXP(Painel_diario!$L1137),1)-1</f>
        <v/>
      </c>
      <c r="C1141" s="22">
        <f>(1+C1140)*IF(AND(Painel_diario!$H1137="EU_JU",Painel_diario!$J1137=1),EXP(Painel_diario!$L1137),1)-1</f>
        <v/>
      </c>
      <c r="D1141" s="22">
        <f>(1+D1140)*IF(AND(Painel_diario!$H1137="ED_JD",Painel_diario!$J1137=1),EXP(Painel_diario!$L1137),1)-1</f>
        <v/>
      </c>
      <c r="E1141" s="22">
        <f>(1+E1140)*IF(AND(Painel_diario!$H1137="ED_JU",Painel_diario!$J1137=1),EXP(Painel_diario!$L1137),1)-1</f>
        <v/>
      </c>
    </row>
    <row r="1142">
      <c r="A1142" s="25" t="n">
        <v>40499</v>
      </c>
      <c r="B1142" s="22">
        <f>(1+B1141)*IF(AND(Painel_diario!$H1138="EU_JD",Painel_diario!$J1138=1),EXP(Painel_diario!$L1138),1)-1</f>
        <v/>
      </c>
      <c r="C1142" s="22">
        <f>(1+C1141)*IF(AND(Painel_diario!$H1138="EU_JU",Painel_diario!$J1138=1),EXP(Painel_diario!$L1138),1)-1</f>
        <v/>
      </c>
      <c r="D1142" s="22">
        <f>(1+D1141)*IF(AND(Painel_diario!$H1138="ED_JD",Painel_diario!$J1138=1),EXP(Painel_diario!$L1138),1)-1</f>
        <v/>
      </c>
      <c r="E1142" s="22">
        <f>(1+E1141)*IF(AND(Painel_diario!$H1138="ED_JU",Painel_diario!$J1138=1),EXP(Painel_diario!$L1138),1)-1</f>
        <v/>
      </c>
    </row>
    <row r="1143">
      <c r="A1143" s="25" t="n">
        <v>40500</v>
      </c>
      <c r="B1143" s="22">
        <f>(1+B1142)*IF(AND(Painel_diario!$H1139="EU_JD",Painel_diario!$J1139=1),EXP(Painel_diario!$L1139),1)-1</f>
        <v/>
      </c>
      <c r="C1143" s="22">
        <f>(1+C1142)*IF(AND(Painel_diario!$H1139="EU_JU",Painel_diario!$J1139=1),EXP(Painel_diario!$L1139),1)-1</f>
        <v/>
      </c>
      <c r="D1143" s="22">
        <f>(1+D1142)*IF(AND(Painel_diario!$H1139="ED_JD",Painel_diario!$J1139=1),EXP(Painel_diario!$L1139),1)-1</f>
        <v/>
      </c>
      <c r="E1143" s="22">
        <f>(1+E1142)*IF(AND(Painel_diario!$H1139="ED_JU",Painel_diario!$J1139=1),EXP(Painel_diario!$L1139),1)-1</f>
        <v/>
      </c>
    </row>
    <row r="1144">
      <c r="A1144" s="25" t="n">
        <v>40501</v>
      </c>
      <c r="B1144" s="22">
        <f>(1+B1143)*IF(AND(Painel_diario!$H1140="EU_JD",Painel_diario!$J1140=1),EXP(Painel_diario!$L1140),1)-1</f>
        <v/>
      </c>
      <c r="C1144" s="22">
        <f>(1+C1143)*IF(AND(Painel_diario!$H1140="EU_JU",Painel_diario!$J1140=1),EXP(Painel_diario!$L1140),1)-1</f>
        <v/>
      </c>
      <c r="D1144" s="22">
        <f>(1+D1143)*IF(AND(Painel_diario!$H1140="ED_JD",Painel_diario!$J1140=1),EXP(Painel_diario!$L1140),1)-1</f>
        <v/>
      </c>
      <c r="E1144" s="22">
        <f>(1+E1143)*IF(AND(Painel_diario!$H1140="ED_JU",Painel_diario!$J1140=1),EXP(Painel_diario!$L1140),1)-1</f>
        <v/>
      </c>
    </row>
    <row r="1145">
      <c r="A1145" s="25" t="n">
        <v>40504</v>
      </c>
      <c r="B1145" s="22">
        <f>(1+B1144)*IF(AND(Painel_diario!$H1141="EU_JD",Painel_diario!$J1141=1),EXP(Painel_diario!$L1141),1)-1</f>
        <v/>
      </c>
      <c r="C1145" s="22">
        <f>(1+C1144)*IF(AND(Painel_diario!$H1141="EU_JU",Painel_diario!$J1141=1),EXP(Painel_diario!$L1141),1)-1</f>
        <v/>
      </c>
      <c r="D1145" s="22">
        <f>(1+D1144)*IF(AND(Painel_diario!$H1141="ED_JD",Painel_diario!$J1141=1),EXP(Painel_diario!$L1141),1)-1</f>
        <v/>
      </c>
      <c r="E1145" s="22">
        <f>(1+E1144)*IF(AND(Painel_diario!$H1141="ED_JU",Painel_diario!$J1141=1),EXP(Painel_diario!$L1141),1)-1</f>
        <v/>
      </c>
    </row>
    <row r="1146">
      <c r="A1146" s="25" t="n">
        <v>40505</v>
      </c>
      <c r="B1146" s="22">
        <f>(1+B1145)*IF(AND(Painel_diario!$H1142="EU_JD",Painel_diario!$J1142=1),EXP(Painel_diario!$L1142),1)-1</f>
        <v/>
      </c>
      <c r="C1146" s="22">
        <f>(1+C1145)*IF(AND(Painel_diario!$H1142="EU_JU",Painel_diario!$J1142=1),EXP(Painel_diario!$L1142),1)-1</f>
        <v/>
      </c>
      <c r="D1146" s="22">
        <f>(1+D1145)*IF(AND(Painel_diario!$H1142="ED_JD",Painel_diario!$J1142=1),EXP(Painel_diario!$L1142),1)-1</f>
        <v/>
      </c>
      <c r="E1146" s="22">
        <f>(1+E1145)*IF(AND(Painel_diario!$H1142="ED_JU",Painel_diario!$J1142=1),EXP(Painel_diario!$L1142),1)-1</f>
        <v/>
      </c>
    </row>
    <row r="1147">
      <c r="A1147" s="25" t="n">
        <v>40506</v>
      </c>
      <c r="B1147" s="22">
        <f>(1+B1146)*IF(AND(Painel_diario!$H1143="EU_JD",Painel_diario!$J1143=1),EXP(Painel_diario!$L1143),1)-1</f>
        <v/>
      </c>
      <c r="C1147" s="22">
        <f>(1+C1146)*IF(AND(Painel_diario!$H1143="EU_JU",Painel_diario!$J1143=1),EXP(Painel_diario!$L1143),1)-1</f>
        <v/>
      </c>
      <c r="D1147" s="22">
        <f>(1+D1146)*IF(AND(Painel_diario!$H1143="ED_JD",Painel_diario!$J1143=1),EXP(Painel_diario!$L1143),1)-1</f>
        <v/>
      </c>
      <c r="E1147" s="22">
        <f>(1+E1146)*IF(AND(Painel_diario!$H1143="ED_JU",Painel_diario!$J1143=1),EXP(Painel_diario!$L1143),1)-1</f>
        <v/>
      </c>
    </row>
    <row r="1148">
      <c r="A1148" s="25" t="n">
        <v>40507</v>
      </c>
      <c r="B1148" s="22">
        <f>(1+B1147)*IF(AND(Painel_diario!$H1144="EU_JD",Painel_diario!$J1144=1),EXP(Painel_diario!$L1144),1)-1</f>
        <v/>
      </c>
      <c r="C1148" s="22">
        <f>(1+C1147)*IF(AND(Painel_diario!$H1144="EU_JU",Painel_diario!$J1144=1),EXP(Painel_diario!$L1144),1)-1</f>
        <v/>
      </c>
      <c r="D1148" s="22">
        <f>(1+D1147)*IF(AND(Painel_diario!$H1144="ED_JD",Painel_diario!$J1144=1),EXP(Painel_diario!$L1144),1)-1</f>
        <v/>
      </c>
      <c r="E1148" s="22">
        <f>(1+E1147)*IF(AND(Painel_diario!$H1144="ED_JU",Painel_diario!$J1144=1),EXP(Painel_diario!$L1144),1)-1</f>
        <v/>
      </c>
    </row>
    <row r="1149">
      <c r="A1149" s="25" t="n">
        <v>40508</v>
      </c>
      <c r="B1149" s="22">
        <f>(1+B1148)*IF(AND(Painel_diario!$H1145="EU_JD",Painel_diario!$J1145=1),EXP(Painel_diario!$L1145),1)-1</f>
        <v/>
      </c>
      <c r="C1149" s="22">
        <f>(1+C1148)*IF(AND(Painel_diario!$H1145="EU_JU",Painel_diario!$J1145=1),EXP(Painel_diario!$L1145),1)-1</f>
        <v/>
      </c>
      <c r="D1149" s="22">
        <f>(1+D1148)*IF(AND(Painel_diario!$H1145="ED_JD",Painel_diario!$J1145=1),EXP(Painel_diario!$L1145),1)-1</f>
        <v/>
      </c>
      <c r="E1149" s="22">
        <f>(1+E1148)*IF(AND(Painel_diario!$H1145="ED_JU",Painel_diario!$J1145=1),EXP(Painel_diario!$L1145),1)-1</f>
        <v/>
      </c>
    </row>
    <row r="1150">
      <c r="A1150" s="25" t="n">
        <v>40511</v>
      </c>
      <c r="B1150" s="22">
        <f>(1+B1149)*IF(AND(Painel_diario!$H1146="EU_JD",Painel_diario!$J1146=1),EXP(Painel_diario!$L1146),1)-1</f>
        <v/>
      </c>
      <c r="C1150" s="22">
        <f>(1+C1149)*IF(AND(Painel_diario!$H1146="EU_JU",Painel_diario!$J1146=1),EXP(Painel_diario!$L1146),1)-1</f>
        <v/>
      </c>
      <c r="D1150" s="22">
        <f>(1+D1149)*IF(AND(Painel_diario!$H1146="ED_JD",Painel_diario!$J1146=1),EXP(Painel_diario!$L1146),1)-1</f>
        <v/>
      </c>
      <c r="E1150" s="22">
        <f>(1+E1149)*IF(AND(Painel_diario!$H1146="ED_JU",Painel_diario!$J1146=1),EXP(Painel_diario!$L1146),1)-1</f>
        <v/>
      </c>
    </row>
    <row r="1151">
      <c r="A1151" s="25" t="n">
        <v>40512</v>
      </c>
      <c r="B1151" s="22">
        <f>(1+B1150)*IF(AND(Painel_diario!$H1147="EU_JD",Painel_diario!$J1147=1),EXP(Painel_diario!$L1147),1)-1</f>
        <v/>
      </c>
      <c r="C1151" s="22">
        <f>(1+C1150)*IF(AND(Painel_diario!$H1147="EU_JU",Painel_diario!$J1147=1),EXP(Painel_diario!$L1147),1)-1</f>
        <v/>
      </c>
      <c r="D1151" s="22">
        <f>(1+D1150)*IF(AND(Painel_diario!$H1147="ED_JD",Painel_diario!$J1147=1),EXP(Painel_diario!$L1147),1)-1</f>
        <v/>
      </c>
      <c r="E1151" s="22">
        <f>(1+E1150)*IF(AND(Painel_diario!$H1147="ED_JU",Painel_diario!$J1147=1),EXP(Painel_diario!$L1147),1)-1</f>
        <v/>
      </c>
    </row>
    <row r="1152">
      <c r="A1152" s="25" t="n">
        <v>40513</v>
      </c>
      <c r="B1152" s="22">
        <f>(1+B1151)*IF(AND(Painel_diario!$H1148="EU_JD",Painel_diario!$J1148=1),EXP(Painel_diario!$L1148),1)-1</f>
        <v/>
      </c>
      <c r="C1152" s="22">
        <f>(1+C1151)*IF(AND(Painel_diario!$H1148="EU_JU",Painel_diario!$J1148=1),EXP(Painel_diario!$L1148),1)-1</f>
        <v/>
      </c>
      <c r="D1152" s="22">
        <f>(1+D1151)*IF(AND(Painel_diario!$H1148="ED_JD",Painel_diario!$J1148=1),EXP(Painel_diario!$L1148),1)-1</f>
        <v/>
      </c>
      <c r="E1152" s="22">
        <f>(1+E1151)*IF(AND(Painel_diario!$H1148="ED_JU",Painel_diario!$J1148=1),EXP(Painel_diario!$L1148),1)-1</f>
        <v/>
      </c>
    </row>
    <row r="1153">
      <c r="A1153" s="25" t="n">
        <v>40514</v>
      </c>
      <c r="B1153" s="22">
        <f>(1+B1152)*IF(AND(Painel_diario!$H1149="EU_JD",Painel_diario!$J1149=1),EXP(Painel_diario!$L1149),1)-1</f>
        <v/>
      </c>
      <c r="C1153" s="22">
        <f>(1+C1152)*IF(AND(Painel_diario!$H1149="EU_JU",Painel_diario!$J1149=1),EXP(Painel_diario!$L1149),1)-1</f>
        <v/>
      </c>
      <c r="D1153" s="22">
        <f>(1+D1152)*IF(AND(Painel_diario!$H1149="ED_JD",Painel_diario!$J1149=1),EXP(Painel_diario!$L1149),1)-1</f>
        <v/>
      </c>
      <c r="E1153" s="22">
        <f>(1+E1152)*IF(AND(Painel_diario!$H1149="ED_JU",Painel_diario!$J1149=1),EXP(Painel_diario!$L1149),1)-1</f>
        <v/>
      </c>
    </row>
    <row r="1154">
      <c r="A1154" s="25" t="n">
        <v>40515</v>
      </c>
      <c r="B1154" s="22">
        <f>(1+B1153)*IF(AND(Painel_diario!$H1150="EU_JD",Painel_diario!$J1150=1),EXP(Painel_diario!$L1150),1)-1</f>
        <v/>
      </c>
      <c r="C1154" s="22">
        <f>(1+C1153)*IF(AND(Painel_diario!$H1150="EU_JU",Painel_diario!$J1150=1),EXP(Painel_diario!$L1150),1)-1</f>
        <v/>
      </c>
      <c r="D1154" s="22">
        <f>(1+D1153)*IF(AND(Painel_diario!$H1150="ED_JD",Painel_diario!$J1150=1),EXP(Painel_diario!$L1150),1)-1</f>
        <v/>
      </c>
      <c r="E1154" s="22">
        <f>(1+E1153)*IF(AND(Painel_diario!$H1150="ED_JU",Painel_diario!$J1150=1),EXP(Painel_diario!$L1150),1)-1</f>
        <v/>
      </c>
    </row>
    <row r="1155">
      <c r="A1155" s="25" t="n">
        <v>40518</v>
      </c>
      <c r="B1155" s="22">
        <f>(1+B1154)*IF(AND(Painel_diario!$H1151="EU_JD",Painel_diario!$J1151=1),EXP(Painel_diario!$L1151),1)-1</f>
        <v/>
      </c>
      <c r="C1155" s="22">
        <f>(1+C1154)*IF(AND(Painel_diario!$H1151="EU_JU",Painel_diario!$J1151=1),EXP(Painel_diario!$L1151),1)-1</f>
        <v/>
      </c>
      <c r="D1155" s="22">
        <f>(1+D1154)*IF(AND(Painel_diario!$H1151="ED_JD",Painel_diario!$J1151=1),EXP(Painel_diario!$L1151),1)-1</f>
        <v/>
      </c>
      <c r="E1155" s="22">
        <f>(1+E1154)*IF(AND(Painel_diario!$H1151="ED_JU",Painel_diario!$J1151=1),EXP(Painel_diario!$L1151),1)-1</f>
        <v/>
      </c>
    </row>
    <row r="1156">
      <c r="A1156" s="25" t="n">
        <v>40519</v>
      </c>
      <c r="B1156" s="22">
        <f>(1+B1155)*IF(AND(Painel_diario!$H1152="EU_JD",Painel_diario!$J1152=1),EXP(Painel_diario!$L1152),1)-1</f>
        <v/>
      </c>
      <c r="C1156" s="22">
        <f>(1+C1155)*IF(AND(Painel_diario!$H1152="EU_JU",Painel_diario!$J1152=1),EXP(Painel_diario!$L1152),1)-1</f>
        <v/>
      </c>
      <c r="D1156" s="22">
        <f>(1+D1155)*IF(AND(Painel_diario!$H1152="ED_JD",Painel_diario!$J1152=1),EXP(Painel_diario!$L1152),1)-1</f>
        <v/>
      </c>
      <c r="E1156" s="22">
        <f>(1+E1155)*IF(AND(Painel_diario!$H1152="ED_JU",Painel_diario!$J1152=1),EXP(Painel_diario!$L1152),1)-1</f>
        <v/>
      </c>
    </row>
    <row r="1157">
      <c r="A1157" s="25" t="n">
        <v>40520</v>
      </c>
      <c r="B1157" s="22">
        <f>(1+B1156)*IF(AND(Painel_diario!$H1153="EU_JD",Painel_diario!$J1153=1),EXP(Painel_diario!$L1153),1)-1</f>
        <v/>
      </c>
      <c r="C1157" s="22">
        <f>(1+C1156)*IF(AND(Painel_diario!$H1153="EU_JU",Painel_diario!$J1153=1),EXP(Painel_diario!$L1153),1)-1</f>
        <v/>
      </c>
      <c r="D1157" s="22">
        <f>(1+D1156)*IF(AND(Painel_diario!$H1153="ED_JD",Painel_diario!$J1153=1),EXP(Painel_diario!$L1153),1)-1</f>
        <v/>
      </c>
      <c r="E1157" s="22">
        <f>(1+E1156)*IF(AND(Painel_diario!$H1153="ED_JU",Painel_diario!$J1153=1),EXP(Painel_diario!$L1153),1)-1</f>
        <v/>
      </c>
    </row>
    <row r="1158">
      <c r="A1158" s="25" t="n">
        <v>40521</v>
      </c>
      <c r="B1158" s="22">
        <f>(1+B1157)*IF(AND(Painel_diario!$H1154="EU_JD",Painel_diario!$J1154=1),EXP(Painel_diario!$L1154),1)-1</f>
        <v/>
      </c>
      <c r="C1158" s="22">
        <f>(1+C1157)*IF(AND(Painel_diario!$H1154="EU_JU",Painel_diario!$J1154=1),EXP(Painel_diario!$L1154),1)-1</f>
        <v/>
      </c>
      <c r="D1158" s="22">
        <f>(1+D1157)*IF(AND(Painel_diario!$H1154="ED_JD",Painel_diario!$J1154=1),EXP(Painel_diario!$L1154),1)-1</f>
        <v/>
      </c>
      <c r="E1158" s="22">
        <f>(1+E1157)*IF(AND(Painel_diario!$H1154="ED_JU",Painel_diario!$J1154=1),EXP(Painel_diario!$L1154),1)-1</f>
        <v/>
      </c>
    </row>
    <row r="1159">
      <c r="A1159" s="25" t="n">
        <v>40522</v>
      </c>
      <c r="B1159" s="22">
        <f>(1+B1158)*IF(AND(Painel_diario!$H1155="EU_JD",Painel_diario!$J1155=1),EXP(Painel_diario!$L1155),1)-1</f>
        <v/>
      </c>
      <c r="C1159" s="22">
        <f>(1+C1158)*IF(AND(Painel_diario!$H1155="EU_JU",Painel_diario!$J1155=1),EXP(Painel_diario!$L1155),1)-1</f>
        <v/>
      </c>
      <c r="D1159" s="22">
        <f>(1+D1158)*IF(AND(Painel_diario!$H1155="ED_JD",Painel_diario!$J1155=1),EXP(Painel_diario!$L1155),1)-1</f>
        <v/>
      </c>
      <c r="E1159" s="22">
        <f>(1+E1158)*IF(AND(Painel_diario!$H1155="ED_JU",Painel_diario!$J1155=1),EXP(Painel_diario!$L1155),1)-1</f>
        <v/>
      </c>
    </row>
    <row r="1160">
      <c r="A1160" s="25" t="n">
        <v>40525</v>
      </c>
      <c r="B1160" s="22">
        <f>(1+B1159)*IF(AND(Painel_diario!$H1156="EU_JD",Painel_diario!$J1156=1),EXP(Painel_diario!$L1156),1)-1</f>
        <v/>
      </c>
      <c r="C1160" s="22">
        <f>(1+C1159)*IF(AND(Painel_diario!$H1156="EU_JU",Painel_diario!$J1156=1),EXP(Painel_diario!$L1156),1)-1</f>
        <v/>
      </c>
      <c r="D1160" s="22">
        <f>(1+D1159)*IF(AND(Painel_diario!$H1156="ED_JD",Painel_diario!$J1156=1),EXP(Painel_diario!$L1156),1)-1</f>
        <v/>
      </c>
      <c r="E1160" s="22">
        <f>(1+E1159)*IF(AND(Painel_diario!$H1156="ED_JU",Painel_diario!$J1156=1),EXP(Painel_diario!$L1156),1)-1</f>
        <v/>
      </c>
    </row>
    <row r="1161">
      <c r="A1161" s="25" t="n">
        <v>40526</v>
      </c>
      <c r="B1161" s="22">
        <f>(1+B1160)*IF(AND(Painel_diario!$H1157="EU_JD",Painel_diario!$J1157=1),EXP(Painel_diario!$L1157),1)-1</f>
        <v/>
      </c>
      <c r="C1161" s="22">
        <f>(1+C1160)*IF(AND(Painel_diario!$H1157="EU_JU",Painel_diario!$J1157=1),EXP(Painel_diario!$L1157),1)-1</f>
        <v/>
      </c>
      <c r="D1161" s="22">
        <f>(1+D1160)*IF(AND(Painel_diario!$H1157="ED_JD",Painel_diario!$J1157=1),EXP(Painel_diario!$L1157),1)-1</f>
        <v/>
      </c>
      <c r="E1161" s="22">
        <f>(1+E1160)*IF(AND(Painel_diario!$H1157="ED_JU",Painel_diario!$J1157=1),EXP(Painel_diario!$L1157),1)-1</f>
        <v/>
      </c>
    </row>
    <row r="1162">
      <c r="A1162" s="25" t="n">
        <v>40527</v>
      </c>
      <c r="B1162" s="22">
        <f>(1+B1161)*IF(AND(Painel_diario!$H1158="EU_JD",Painel_diario!$J1158=1),EXP(Painel_diario!$L1158),1)-1</f>
        <v/>
      </c>
      <c r="C1162" s="22">
        <f>(1+C1161)*IF(AND(Painel_diario!$H1158="EU_JU",Painel_diario!$J1158=1),EXP(Painel_diario!$L1158),1)-1</f>
        <v/>
      </c>
      <c r="D1162" s="22">
        <f>(1+D1161)*IF(AND(Painel_diario!$H1158="ED_JD",Painel_diario!$J1158=1),EXP(Painel_diario!$L1158),1)-1</f>
        <v/>
      </c>
      <c r="E1162" s="22">
        <f>(1+E1161)*IF(AND(Painel_diario!$H1158="ED_JU",Painel_diario!$J1158=1),EXP(Painel_diario!$L1158),1)-1</f>
        <v/>
      </c>
    </row>
    <row r="1163">
      <c r="A1163" s="25" t="n">
        <v>40528</v>
      </c>
      <c r="B1163" s="22">
        <f>(1+B1162)*IF(AND(Painel_diario!$H1159="EU_JD",Painel_diario!$J1159=1),EXP(Painel_diario!$L1159),1)-1</f>
        <v/>
      </c>
      <c r="C1163" s="22">
        <f>(1+C1162)*IF(AND(Painel_diario!$H1159="EU_JU",Painel_diario!$J1159=1),EXP(Painel_diario!$L1159),1)-1</f>
        <v/>
      </c>
      <c r="D1163" s="22">
        <f>(1+D1162)*IF(AND(Painel_diario!$H1159="ED_JD",Painel_diario!$J1159=1),EXP(Painel_diario!$L1159),1)-1</f>
        <v/>
      </c>
      <c r="E1163" s="22">
        <f>(1+E1162)*IF(AND(Painel_diario!$H1159="ED_JU",Painel_diario!$J1159=1),EXP(Painel_diario!$L1159),1)-1</f>
        <v/>
      </c>
    </row>
    <row r="1164">
      <c r="A1164" s="25" t="n">
        <v>40529</v>
      </c>
      <c r="B1164" s="22">
        <f>(1+B1163)*IF(AND(Painel_diario!$H1160="EU_JD",Painel_diario!$J1160=1),EXP(Painel_diario!$L1160),1)-1</f>
        <v/>
      </c>
      <c r="C1164" s="22">
        <f>(1+C1163)*IF(AND(Painel_diario!$H1160="EU_JU",Painel_diario!$J1160=1),EXP(Painel_diario!$L1160),1)-1</f>
        <v/>
      </c>
      <c r="D1164" s="22">
        <f>(1+D1163)*IF(AND(Painel_diario!$H1160="ED_JD",Painel_diario!$J1160=1),EXP(Painel_diario!$L1160),1)-1</f>
        <v/>
      </c>
      <c r="E1164" s="22">
        <f>(1+E1163)*IF(AND(Painel_diario!$H1160="ED_JU",Painel_diario!$J1160=1),EXP(Painel_diario!$L1160),1)-1</f>
        <v/>
      </c>
    </row>
    <row r="1165">
      <c r="A1165" s="25" t="n">
        <v>40532</v>
      </c>
      <c r="B1165" s="22">
        <f>(1+B1164)*IF(AND(Painel_diario!$H1161="EU_JD",Painel_diario!$J1161=1),EXP(Painel_diario!$L1161),1)-1</f>
        <v/>
      </c>
      <c r="C1165" s="22">
        <f>(1+C1164)*IF(AND(Painel_diario!$H1161="EU_JU",Painel_diario!$J1161=1),EXP(Painel_diario!$L1161),1)-1</f>
        <v/>
      </c>
      <c r="D1165" s="22">
        <f>(1+D1164)*IF(AND(Painel_diario!$H1161="ED_JD",Painel_diario!$J1161=1),EXP(Painel_diario!$L1161),1)-1</f>
        <v/>
      </c>
      <c r="E1165" s="22">
        <f>(1+E1164)*IF(AND(Painel_diario!$H1161="ED_JU",Painel_diario!$J1161=1),EXP(Painel_diario!$L1161),1)-1</f>
        <v/>
      </c>
    </row>
    <row r="1166">
      <c r="A1166" s="25" t="n">
        <v>40533</v>
      </c>
      <c r="B1166" s="22">
        <f>(1+B1165)*IF(AND(Painel_diario!$H1162="EU_JD",Painel_diario!$J1162=1),EXP(Painel_diario!$L1162),1)-1</f>
        <v/>
      </c>
      <c r="C1166" s="22">
        <f>(1+C1165)*IF(AND(Painel_diario!$H1162="EU_JU",Painel_diario!$J1162=1),EXP(Painel_diario!$L1162),1)-1</f>
        <v/>
      </c>
      <c r="D1166" s="22">
        <f>(1+D1165)*IF(AND(Painel_diario!$H1162="ED_JD",Painel_diario!$J1162=1),EXP(Painel_diario!$L1162),1)-1</f>
        <v/>
      </c>
      <c r="E1166" s="22">
        <f>(1+E1165)*IF(AND(Painel_diario!$H1162="ED_JU",Painel_diario!$J1162=1),EXP(Painel_diario!$L1162),1)-1</f>
        <v/>
      </c>
    </row>
    <row r="1167">
      <c r="A1167" s="25" t="n">
        <v>40534</v>
      </c>
      <c r="B1167" s="22">
        <f>(1+B1166)*IF(AND(Painel_diario!$H1163="EU_JD",Painel_diario!$J1163=1),EXP(Painel_diario!$L1163),1)-1</f>
        <v/>
      </c>
      <c r="C1167" s="22">
        <f>(1+C1166)*IF(AND(Painel_diario!$H1163="EU_JU",Painel_diario!$J1163=1),EXP(Painel_diario!$L1163),1)-1</f>
        <v/>
      </c>
      <c r="D1167" s="22">
        <f>(1+D1166)*IF(AND(Painel_diario!$H1163="ED_JD",Painel_diario!$J1163=1),EXP(Painel_diario!$L1163),1)-1</f>
        <v/>
      </c>
      <c r="E1167" s="22">
        <f>(1+E1166)*IF(AND(Painel_diario!$H1163="ED_JU",Painel_diario!$J1163=1),EXP(Painel_diario!$L1163),1)-1</f>
        <v/>
      </c>
    </row>
    <row r="1168">
      <c r="A1168" s="25" t="n">
        <v>40535</v>
      </c>
      <c r="B1168" s="22">
        <f>(1+B1167)*IF(AND(Painel_diario!$H1164="EU_JD",Painel_diario!$J1164=1),EXP(Painel_diario!$L1164),1)-1</f>
        <v/>
      </c>
      <c r="C1168" s="22">
        <f>(1+C1167)*IF(AND(Painel_diario!$H1164="EU_JU",Painel_diario!$J1164=1),EXP(Painel_diario!$L1164),1)-1</f>
        <v/>
      </c>
      <c r="D1168" s="22">
        <f>(1+D1167)*IF(AND(Painel_diario!$H1164="ED_JD",Painel_diario!$J1164=1),EXP(Painel_diario!$L1164),1)-1</f>
        <v/>
      </c>
      <c r="E1168" s="22">
        <f>(1+E1167)*IF(AND(Painel_diario!$H1164="ED_JU",Painel_diario!$J1164=1),EXP(Painel_diario!$L1164),1)-1</f>
        <v/>
      </c>
    </row>
    <row r="1169">
      <c r="A1169" s="25" t="n">
        <v>40539</v>
      </c>
      <c r="B1169" s="22">
        <f>(1+B1168)*IF(AND(Painel_diario!$H1165="EU_JD",Painel_diario!$J1165=1),EXP(Painel_diario!$L1165),1)-1</f>
        <v/>
      </c>
      <c r="C1169" s="22">
        <f>(1+C1168)*IF(AND(Painel_diario!$H1165="EU_JU",Painel_diario!$J1165=1),EXP(Painel_diario!$L1165),1)-1</f>
        <v/>
      </c>
      <c r="D1169" s="22">
        <f>(1+D1168)*IF(AND(Painel_diario!$H1165="ED_JD",Painel_diario!$J1165=1),EXP(Painel_diario!$L1165),1)-1</f>
        <v/>
      </c>
      <c r="E1169" s="22">
        <f>(1+E1168)*IF(AND(Painel_diario!$H1165="ED_JU",Painel_diario!$J1165=1),EXP(Painel_diario!$L1165),1)-1</f>
        <v/>
      </c>
    </row>
    <row r="1170">
      <c r="A1170" s="25" t="n">
        <v>40540</v>
      </c>
      <c r="B1170" s="22">
        <f>(1+B1169)*IF(AND(Painel_diario!$H1166="EU_JD",Painel_diario!$J1166=1),EXP(Painel_diario!$L1166),1)-1</f>
        <v/>
      </c>
      <c r="C1170" s="22">
        <f>(1+C1169)*IF(AND(Painel_diario!$H1166="EU_JU",Painel_diario!$J1166=1),EXP(Painel_diario!$L1166),1)-1</f>
        <v/>
      </c>
      <c r="D1170" s="22">
        <f>(1+D1169)*IF(AND(Painel_diario!$H1166="ED_JD",Painel_diario!$J1166=1),EXP(Painel_diario!$L1166),1)-1</f>
        <v/>
      </c>
      <c r="E1170" s="22">
        <f>(1+E1169)*IF(AND(Painel_diario!$H1166="ED_JU",Painel_diario!$J1166=1),EXP(Painel_diario!$L1166),1)-1</f>
        <v/>
      </c>
    </row>
    <row r="1171">
      <c r="A1171" s="25" t="n">
        <v>40541</v>
      </c>
      <c r="B1171" s="22">
        <f>(1+B1170)*IF(AND(Painel_diario!$H1167="EU_JD",Painel_diario!$J1167=1),EXP(Painel_diario!$L1167),1)-1</f>
        <v/>
      </c>
      <c r="C1171" s="22">
        <f>(1+C1170)*IF(AND(Painel_diario!$H1167="EU_JU",Painel_diario!$J1167=1),EXP(Painel_diario!$L1167),1)-1</f>
        <v/>
      </c>
      <c r="D1171" s="22">
        <f>(1+D1170)*IF(AND(Painel_diario!$H1167="ED_JD",Painel_diario!$J1167=1),EXP(Painel_diario!$L1167),1)-1</f>
        <v/>
      </c>
      <c r="E1171" s="22">
        <f>(1+E1170)*IF(AND(Painel_diario!$H1167="ED_JU",Painel_diario!$J1167=1),EXP(Painel_diario!$L1167),1)-1</f>
        <v/>
      </c>
    </row>
    <row r="1172">
      <c r="A1172" s="25" t="n">
        <v>40542</v>
      </c>
      <c r="B1172" s="22">
        <f>(1+B1171)*IF(AND(Painel_diario!$H1168="EU_JD",Painel_diario!$J1168=1),EXP(Painel_diario!$L1168),1)-1</f>
        <v/>
      </c>
      <c r="C1172" s="22">
        <f>(1+C1171)*IF(AND(Painel_diario!$H1168="EU_JU",Painel_diario!$J1168=1),EXP(Painel_diario!$L1168),1)-1</f>
        <v/>
      </c>
      <c r="D1172" s="22">
        <f>(1+D1171)*IF(AND(Painel_diario!$H1168="ED_JD",Painel_diario!$J1168=1),EXP(Painel_diario!$L1168),1)-1</f>
        <v/>
      </c>
      <c r="E1172" s="22">
        <f>(1+E1171)*IF(AND(Painel_diario!$H1168="ED_JU",Painel_diario!$J1168=1),EXP(Painel_diario!$L1168),1)-1</f>
        <v/>
      </c>
    </row>
    <row r="1173">
      <c r="A1173" s="25" t="n">
        <v>40546</v>
      </c>
      <c r="B1173" s="22">
        <f>(1+B1172)*IF(AND(Painel_diario!$H1169="EU_JD",Painel_diario!$J1169=1),EXP(Painel_diario!$L1169),1)-1</f>
        <v/>
      </c>
      <c r="C1173" s="22">
        <f>(1+C1172)*IF(AND(Painel_diario!$H1169="EU_JU",Painel_diario!$J1169=1),EXP(Painel_diario!$L1169),1)-1</f>
        <v/>
      </c>
      <c r="D1173" s="22">
        <f>(1+D1172)*IF(AND(Painel_diario!$H1169="ED_JD",Painel_diario!$J1169=1),EXP(Painel_diario!$L1169),1)-1</f>
        <v/>
      </c>
      <c r="E1173" s="22">
        <f>(1+E1172)*IF(AND(Painel_diario!$H1169="ED_JU",Painel_diario!$J1169=1),EXP(Painel_diario!$L1169),1)-1</f>
        <v/>
      </c>
    </row>
    <row r="1174">
      <c r="A1174" s="25" t="n">
        <v>40547</v>
      </c>
      <c r="B1174" s="22">
        <f>(1+B1173)*IF(AND(Painel_diario!$H1170="EU_JD",Painel_diario!$J1170=1),EXP(Painel_diario!$L1170),1)-1</f>
        <v/>
      </c>
      <c r="C1174" s="22">
        <f>(1+C1173)*IF(AND(Painel_diario!$H1170="EU_JU",Painel_diario!$J1170=1),EXP(Painel_diario!$L1170),1)-1</f>
        <v/>
      </c>
      <c r="D1174" s="22">
        <f>(1+D1173)*IF(AND(Painel_diario!$H1170="ED_JD",Painel_diario!$J1170=1),EXP(Painel_diario!$L1170),1)-1</f>
        <v/>
      </c>
      <c r="E1174" s="22">
        <f>(1+E1173)*IF(AND(Painel_diario!$H1170="ED_JU",Painel_diario!$J1170=1),EXP(Painel_diario!$L1170),1)-1</f>
        <v/>
      </c>
    </row>
    <row r="1175">
      <c r="A1175" s="25" t="n">
        <v>40548</v>
      </c>
      <c r="B1175" s="22">
        <f>(1+B1174)*IF(AND(Painel_diario!$H1171="EU_JD",Painel_diario!$J1171=1),EXP(Painel_diario!$L1171),1)-1</f>
        <v/>
      </c>
      <c r="C1175" s="22">
        <f>(1+C1174)*IF(AND(Painel_diario!$H1171="EU_JU",Painel_diario!$J1171=1),EXP(Painel_diario!$L1171),1)-1</f>
        <v/>
      </c>
      <c r="D1175" s="22">
        <f>(1+D1174)*IF(AND(Painel_diario!$H1171="ED_JD",Painel_diario!$J1171=1),EXP(Painel_diario!$L1171),1)-1</f>
        <v/>
      </c>
      <c r="E1175" s="22">
        <f>(1+E1174)*IF(AND(Painel_diario!$H1171="ED_JU",Painel_diario!$J1171=1),EXP(Painel_diario!$L1171),1)-1</f>
        <v/>
      </c>
    </row>
    <row r="1176">
      <c r="A1176" s="25" t="n">
        <v>40549</v>
      </c>
      <c r="B1176" s="22">
        <f>(1+B1175)*IF(AND(Painel_diario!$H1172="EU_JD",Painel_diario!$J1172=1),EXP(Painel_diario!$L1172),1)-1</f>
        <v/>
      </c>
      <c r="C1176" s="22">
        <f>(1+C1175)*IF(AND(Painel_diario!$H1172="EU_JU",Painel_diario!$J1172=1),EXP(Painel_diario!$L1172),1)-1</f>
        <v/>
      </c>
      <c r="D1176" s="22">
        <f>(1+D1175)*IF(AND(Painel_diario!$H1172="ED_JD",Painel_diario!$J1172=1),EXP(Painel_diario!$L1172),1)-1</f>
        <v/>
      </c>
      <c r="E1176" s="22">
        <f>(1+E1175)*IF(AND(Painel_diario!$H1172="ED_JU",Painel_diario!$J1172=1),EXP(Painel_diario!$L1172),1)-1</f>
        <v/>
      </c>
    </row>
    <row r="1177">
      <c r="A1177" s="25" t="n">
        <v>40550</v>
      </c>
      <c r="B1177" s="22">
        <f>(1+B1176)*IF(AND(Painel_diario!$H1173="EU_JD",Painel_diario!$J1173=1),EXP(Painel_diario!$L1173),1)-1</f>
        <v/>
      </c>
      <c r="C1177" s="22">
        <f>(1+C1176)*IF(AND(Painel_diario!$H1173="EU_JU",Painel_diario!$J1173=1),EXP(Painel_diario!$L1173),1)-1</f>
        <v/>
      </c>
      <c r="D1177" s="22">
        <f>(1+D1176)*IF(AND(Painel_diario!$H1173="ED_JD",Painel_diario!$J1173=1),EXP(Painel_diario!$L1173),1)-1</f>
        <v/>
      </c>
      <c r="E1177" s="22">
        <f>(1+E1176)*IF(AND(Painel_diario!$H1173="ED_JU",Painel_diario!$J1173=1),EXP(Painel_diario!$L1173),1)-1</f>
        <v/>
      </c>
    </row>
    <row r="1178">
      <c r="A1178" s="25" t="n">
        <v>40553</v>
      </c>
      <c r="B1178" s="22">
        <f>(1+B1177)*IF(AND(Painel_diario!$H1174="EU_JD",Painel_diario!$J1174=1),EXP(Painel_diario!$L1174),1)-1</f>
        <v/>
      </c>
      <c r="C1178" s="22">
        <f>(1+C1177)*IF(AND(Painel_diario!$H1174="EU_JU",Painel_diario!$J1174=1),EXP(Painel_diario!$L1174),1)-1</f>
        <v/>
      </c>
      <c r="D1178" s="22">
        <f>(1+D1177)*IF(AND(Painel_diario!$H1174="ED_JD",Painel_diario!$J1174=1),EXP(Painel_diario!$L1174),1)-1</f>
        <v/>
      </c>
      <c r="E1178" s="22">
        <f>(1+E1177)*IF(AND(Painel_diario!$H1174="ED_JU",Painel_diario!$J1174=1),EXP(Painel_diario!$L1174),1)-1</f>
        <v/>
      </c>
    </row>
    <row r="1179">
      <c r="A1179" s="25" t="n">
        <v>40554</v>
      </c>
      <c r="B1179" s="22">
        <f>(1+B1178)*IF(AND(Painel_diario!$H1175="EU_JD",Painel_diario!$J1175=1),EXP(Painel_diario!$L1175),1)-1</f>
        <v/>
      </c>
      <c r="C1179" s="22">
        <f>(1+C1178)*IF(AND(Painel_diario!$H1175="EU_JU",Painel_diario!$J1175=1),EXP(Painel_diario!$L1175),1)-1</f>
        <v/>
      </c>
      <c r="D1179" s="22">
        <f>(1+D1178)*IF(AND(Painel_diario!$H1175="ED_JD",Painel_diario!$J1175=1),EXP(Painel_diario!$L1175),1)-1</f>
        <v/>
      </c>
      <c r="E1179" s="22">
        <f>(1+E1178)*IF(AND(Painel_diario!$H1175="ED_JU",Painel_diario!$J1175=1),EXP(Painel_diario!$L1175),1)-1</f>
        <v/>
      </c>
    </row>
    <row r="1180">
      <c r="A1180" s="25" t="n">
        <v>40555</v>
      </c>
      <c r="B1180" s="22">
        <f>(1+B1179)*IF(AND(Painel_diario!$H1176="EU_JD",Painel_diario!$J1176=1),EXP(Painel_diario!$L1176),1)-1</f>
        <v/>
      </c>
      <c r="C1180" s="22">
        <f>(1+C1179)*IF(AND(Painel_diario!$H1176="EU_JU",Painel_diario!$J1176=1),EXP(Painel_diario!$L1176),1)-1</f>
        <v/>
      </c>
      <c r="D1180" s="22">
        <f>(1+D1179)*IF(AND(Painel_diario!$H1176="ED_JD",Painel_diario!$J1176=1),EXP(Painel_diario!$L1176),1)-1</f>
        <v/>
      </c>
      <c r="E1180" s="22">
        <f>(1+E1179)*IF(AND(Painel_diario!$H1176="ED_JU",Painel_diario!$J1176=1),EXP(Painel_diario!$L1176),1)-1</f>
        <v/>
      </c>
    </row>
    <row r="1181">
      <c r="A1181" s="25" t="n">
        <v>40556</v>
      </c>
      <c r="B1181" s="22">
        <f>(1+B1180)*IF(AND(Painel_diario!$H1177="EU_JD",Painel_diario!$J1177=1),EXP(Painel_diario!$L1177),1)-1</f>
        <v/>
      </c>
      <c r="C1181" s="22">
        <f>(1+C1180)*IF(AND(Painel_diario!$H1177="EU_JU",Painel_diario!$J1177=1),EXP(Painel_diario!$L1177),1)-1</f>
        <v/>
      </c>
      <c r="D1181" s="22">
        <f>(1+D1180)*IF(AND(Painel_diario!$H1177="ED_JD",Painel_diario!$J1177=1),EXP(Painel_diario!$L1177),1)-1</f>
        <v/>
      </c>
      <c r="E1181" s="22">
        <f>(1+E1180)*IF(AND(Painel_diario!$H1177="ED_JU",Painel_diario!$J1177=1),EXP(Painel_diario!$L1177),1)-1</f>
        <v/>
      </c>
    </row>
    <row r="1182">
      <c r="A1182" s="25" t="n">
        <v>40557</v>
      </c>
      <c r="B1182" s="22">
        <f>(1+B1181)*IF(AND(Painel_diario!$H1178="EU_JD",Painel_diario!$J1178=1),EXP(Painel_diario!$L1178),1)-1</f>
        <v/>
      </c>
      <c r="C1182" s="22">
        <f>(1+C1181)*IF(AND(Painel_diario!$H1178="EU_JU",Painel_diario!$J1178=1),EXP(Painel_diario!$L1178),1)-1</f>
        <v/>
      </c>
      <c r="D1182" s="22">
        <f>(1+D1181)*IF(AND(Painel_diario!$H1178="ED_JD",Painel_diario!$J1178=1),EXP(Painel_diario!$L1178),1)-1</f>
        <v/>
      </c>
      <c r="E1182" s="22">
        <f>(1+E1181)*IF(AND(Painel_diario!$H1178="ED_JU",Painel_diario!$J1178=1),EXP(Painel_diario!$L1178),1)-1</f>
        <v/>
      </c>
    </row>
    <row r="1183">
      <c r="A1183" s="25" t="n">
        <v>40560</v>
      </c>
      <c r="B1183" s="22">
        <f>(1+B1182)*IF(AND(Painel_diario!$H1179="EU_JD",Painel_diario!$J1179=1),EXP(Painel_diario!$L1179),1)-1</f>
        <v/>
      </c>
      <c r="C1183" s="22">
        <f>(1+C1182)*IF(AND(Painel_diario!$H1179="EU_JU",Painel_diario!$J1179=1),EXP(Painel_diario!$L1179),1)-1</f>
        <v/>
      </c>
      <c r="D1183" s="22">
        <f>(1+D1182)*IF(AND(Painel_diario!$H1179="ED_JD",Painel_diario!$J1179=1),EXP(Painel_diario!$L1179),1)-1</f>
        <v/>
      </c>
      <c r="E1183" s="22">
        <f>(1+E1182)*IF(AND(Painel_diario!$H1179="ED_JU",Painel_diario!$J1179=1),EXP(Painel_diario!$L1179),1)-1</f>
        <v/>
      </c>
    </row>
    <row r="1184">
      <c r="A1184" s="25" t="n">
        <v>40561</v>
      </c>
      <c r="B1184" s="22">
        <f>(1+B1183)*IF(AND(Painel_diario!$H1180="EU_JD",Painel_diario!$J1180=1),EXP(Painel_diario!$L1180),1)-1</f>
        <v/>
      </c>
      <c r="C1184" s="22">
        <f>(1+C1183)*IF(AND(Painel_diario!$H1180="EU_JU",Painel_diario!$J1180=1),EXP(Painel_diario!$L1180),1)-1</f>
        <v/>
      </c>
      <c r="D1184" s="22">
        <f>(1+D1183)*IF(AND(Painel_diario!$H1180="ED_JD",Painel_diario!$J1180=1),EXP(Painel_diario!$L1180),1)-1</f>
        <v/>
      </c>
      <c r="E1184" s="22">
        <f>(1+E1183)*IF(AND(Painel_diario!$H1180="ED_JU",Painel_diario!$J1180=1),EXP(Painel_diario!$L1180),1)-1</f>
        <v/>
      </c>
    </row>
    <row r="1185">
      <c r="A1185" s="25" t="n">
        <v>40562</v>
      </c>
      <c r="B1185" s="22">
        <f>(1+B1184)*IF(AND(Painel_diario!$H1181="EU_JD",Painel_diario!$J1181=1),EXP(Painel_diario!$L1181),1)-1</f>
        <v/>
      </c>
      <c r="C1185" s="22">
        <f>(1+C1184)*IF(AND(Painel_diario!$H1181="EU_JU",Painel_diario!$J1181=1),EXP(Painel_diario!$L1181),1)-1</f>
        <v/>
      </c>
      <c r="D1185" s="22">
        <f>(1+D1184)*IF(AND(Painel_diario!$H1181="ED_JD",Painel_diario!$J1181=1),EXP(Painel_diario!$L1181),1)-1</f>
        <v/>
      </c>
      <c r="E1185" s="22">
        <f>(1+E1184)*IF(AND(Painel_diario!$H1181="ED_JU",Painel_diario!$J1181=1),EXP(Painel_diario!$L1181),1)-1</f>
        <v/>
      </c>
    </row>
    <row r="1186">
      <c r="A1186" s="25" t="n">
        <v>40563</v>
      </c>
      <c r="B1186" s="22">
        <f>(1+B1185)*IF(AND(Painel_diario!$H1182="EU_JD",Painel_diario!$J1182=1),EXP(Painel_diario!$L1182),1)-1</f>
        <v/>
      </c>
      <c r="C1186" s="22">
        <f>(1+C1185)*IF(AND(Painel_diario!$H1182="EU_JU",Painel_diario!$J1182=1),EXP(Painel_diario!$L1182),1)-1</f>
        <v/>
      </c>
      <c r="D1186" s="22">
        <f>(1+D1185)*IF(AND(Painel_diario!$H1182="ED_JD",Painel_diario!$J1182=1),EXP(Painel_diario!$L1182),1)-1</f>
        <v/>
      </c>
      <c r="E1186" s="22">
        <f>(1+E1185)*IF(AND(Painel_diario!$H1182="ED_JU",Painel_diario!$J1182=1),EXP(Painel_diario!$L1182),1)-1</f>
        <v/>
      </c>
    </row>
    <row r="1187">
      <c r="A1187" s="25" t="n">
        <v>40564</v>
      </c>
      <c r="B1187" s="22">
        <f>(1+B1186)*IF(AND(Painel_diario!$H1183="EU_JD",Painel_diario!$J1183=1),EXP(Painel_diario!$L1183),1)-1</f>
        <v/>
      </c>
      <c r="C1187" s="22">
        <f>(1+C1186)*IF(AND(Painel_diario!$H1183="EU_JU",Painel_diario!$J1183=1),EXP(Painel_diario!$L1183),1)-1</f>
        <v/>
      </c>
      <c r="D1187" s="22">
        <f>(1+D1186)*IF(AND(Painel_diario!$H1183="ED_JD",Painel_diario!$J1183=1),EXP(Painel_diario!$L1183),1)-1</f>
        <v/>
      </c>
      <c r="E1187" s="22">
        <f>(1+E1186)*IF(AND(Painel_diario!$H1183="ED_JU",Painel_diario!$J1183=1),EXP(Painel_diario!$L1183),1)-1</f>
        <v/>
      </c>
    </row>
    <row r="1188">
      <c r="A1188" s="25" t="n">
        <v>40567</v>
      </c>
      <c r="B1188" s="22">
        <f>(1+B1187)*IF(AND(Painel_diario!$H1184="EU_JD",Painel_diario!$J1184=1),EXP(Painel_diario!$L1184),1)-1</f>
        <v/>
      </c>
      <c r="C1188" s="22">
        <f>(1+C1187)*IF(AND(Painel_diario!$H1184="EU_JU",Painel_diario!$J1184=1),EXP(Painel_diario!$L1184),1)-1</f>
        <v/>
      </c>
      <c r="D1188" s="22">
        <f>(1+D1187)*IF(AND(Painel_diario!$H1184="ED_JD",Painel_diario!$J1184=1),EXP(Painel_diario!$L1184),1)-1</f>
        <v/>
      </c>
      <c r="E1188" s="22">
        <f>(1+E1187)*IF(AND(Painel_diario!$H1184="ED_JU",Painel_diario!$J1184=1),EXP(Painel_diario!$L1184),1)-1</f>
        <v/>
      </c>
    </row>
    <row r="1189">
      <c r="A1189" s="25" t="n">
        <v>40569</v>
      </c>
      <c r="B1189" s="22">
        <f>(1+B1188)*IF(AND(Painel_diario!$H1185="EU_JD",Painel_diario!$J1185=1),EXP(Painel_diario!$L1185),1)-1</f>
        <v/>
      </c>
      <c r="C1189" s="22">
        <f>(1+C1188)*IF(AND(Painel_diario!$H1185="EU_JU",Painel_diario!$J1185=1),EXP(Painel_diario!$L1185),1)-1</f>
        <v/>
      </c>
      <c r="D1189" s="22">
        <f>(1+D1188)*IF(AND(Painel_diario!$H1185="ED_JD",Painel_diario!$J1185=1),EXP(Painel_diario!$L1185),1)-1</f>
        <v/>
      </c>
      <c r="E1189" s="22">
        <f>(1+E1188)*IF(AND(Painel_diario!$H1185="ED_JU",Painel_diario!$J1185=1),EXP(Painel_diario!$L1185),1)-1</f>
        <v/>
      </c>
    </row>
    <row r="1190">
      <c r="A1190" s="25" t="n">
        <v>40570</v>
      </c>
      <c r="B1190" s="22">
        <f>(1+B1189)*IF(AND(Painel_diario!$H1186="EU_JD",Painel_diario!$J1186=1),EXP(Painel_diario!$L1186),1)-1</f>
        <v/>
      </c>
      <c r="C1190" s="22">
        <f>(1+C1189)*IF(AND(Painel_diario!$H1186="EU_JU",Painel_diario!$J1186=1),EXP(Painel_diario!$L1186),1)-1</f>
        <v/>
      </c>
      <c r="D1190" s="22">
        <f>(1+D1189)*IF(AND(Painel_diario!$H1186="ED_JD",Painel_diario!$J1186=1),EXP(Painel_diario!$L1186),1)-1</f>
        <v/>
      </c>
      <c r="E1190" s="22">
        <f>(1+E1189)*IF(AND(Painel_diario!$H1186="ED_JU",Painel_diario!$J1186=1),EXP(Painel_diario!$L1186),1)-1</f>
        <v/>
      </c>
    </row>
    <row r="1191">
      <c r="A1191" s="25" t="n">
        <v>40571</v>
      </c>
      <c r="B1191" s="22">
        <f>(1+B1190)*IF(AND(Painel_diario!$H1187="EU_JD",Painel_diario!$J1187=1),EXP(Painel_diario!$L1187),1)-1</f>
        <v/>
      </c>
      <c r="C1191" s="22">
        <f>(1+C1190)*IF(AND(Painel_diario!$H1187="EU_JU",Painel_diario!$J1187=1),EXP(Painel_diario!$L1187),1)-1</f>
        <v/>
      </c>
      <c r="D1191" s="22">
        <f>(1+D1190)*IF(AND(Painel_diario!$H1187="ED_JD",Painel_diario!$J1187=1),EXP(Painel_diario!$L1187),1)-1</f>
        <v/>
      </c>
      <c r="E1191" s="22">
        <f>(1+E1190)*IF(AND(Painel_diario!$H1187="ED_JU",Painel_diario!$J1187=1),EXP(Painel_diario!$L1187),1)-1</f>
        <v/>
      </c>
    </row>
    <row r="1192">
      <c r="A1192" s="25" t="n">
        <v>40574</v>
      </c>
      <c r="B1192" s="22">
        <f>(1+B1191)*IF(AND(Painel_diario!$H1188="EU_JD",Painel_diario!$J1188=1),EXP(Painel_diario!$L1188),1)-1</f>
        <v/>
      </c>
      <c r="C1192" s="22">
        <f>(1+C1191)*IF(AND(Painel_diario!$H1188="EU_JU",Painel_diario!$J1188=1),EXP(Painel_diario!$L1188),1)-1</f>
        <v/>
      </c>
      <c r="D1192" s="22">
        <f>(1+D1191)*IF(AND(Painel_diario!$H1188="ED_JD",Painel_diario!$J1188=1),EXP(Painel_diario!$L1188),1)-1</f>
        <v/>
      </c>
      <c r="E1192" s="22">
        <f>(1+E1191)*IF(AND(Painel_diario!$H1188="ED_JU",Painel_diario!$J1188=1),EXP(Painel_diario!$L1188),1)-1</f>
        <v/>
      </c>
    </row>
    <row r="1193">
      <c r="A1193" s="25" t="n">
        <v>40575</v>
      </c>
      <c r="B1193" s="22">
        <f>(1+B1192)*IF(AND(Painel_diario!$H1189="EU_JD",Painel_diario!$J1189=1),EXP(Painel_diario!$L1189),1)-1</f>
        <v/>
      </c>
      <c r="C1193" s="22">
        <f>(1+C1192)*IF(AND(Painel_diario!$H1189="EU_JU",Painel_diario!$J1189=1),EXP(Painel_diario!$L1189),1)-1</f>
        <v/>
      </c>
      <c r="D1193" s="22">
        <f>(1+D1192)*IF(AND(Painel_diario!$H1189="ED_JD",Painel_diario!$J1189=1),EXP(Painel_diario!$L1189),1)-1</f>
        <v/>
      </c>
      <c r="E1193" s="22">
        <f>(1+E1192)*IF(AND(Painel_diario!$H1189="ED_JU",Painel_diario!$J1189=1),EXP(Painel_diario!$L1189),1)-1</f>
        <v/>
      </c>
    </row>
    <row r="1194">
      <c r="A1194" s="25" t="n">
        <v>40576</v>
      </c>
      <c r="B1194" s="22">
        <f>(1+B1193)*IF(AND(Painel_diario!$H1190="EU_JD",Painel_diario!$J1190=1),EXP(Painel_diario!$L1190),1)-1</f>
        <v/>
      </c>
      <c r="C1194" s="22">
        <f>(1+C1193)*IF(AND(Painel_diario!$H1190="EU_JU",Painel_diario!$J1190=1),EXP(Painel_diario!$L1190),1)-1</f>
        <v/>
      </c>
      <c r="D1194" s="22">
        <f>(1+D1193)*IF(AND(Painel_diario!$H1190="ED_JD",Painel_diario!$J1190=1),EXP(Painel_diario!$L1190),1)-1</f>
        <v/>
      </c>
      <c r="E1194" s="22">
        <f>(1+E1193)*IF(AND(Painel_diario!$H1190="ED_JU",Painel_diario!$J1190=1),EXP(Painel_diario!$L1190),1)-1</f>
        <v/>
      </c>
    </row>
    <row r="1195">
      <c r="A1195" s="25" t="n">
        <v>40577</v>
      </c>
      <c r="B1195" s="22">
        <f>(1+B1194)*IF(AND(Painel_diario!$H1191="EU_JD",Painel_diario!$J1191=1),EXP(Painel_diario!$L1191),1)-1</f>
        <v/>
      </c>
      <c r="C1195" s="22">
        <f>(1+C1194)*IF(AND(Painel_diario!$H1191="EU_JU",Painel_diario!$J1191=1),EXP(Painel_diario!$L1191),1)-1</f>
        <v/>
      </c>
      <c r="D1195" s="22">
        <f>(1+D1194)*IF(AND(Painel_diario!$H1191="ED_JD",Painel_diario!$J1191=1),EXP(Painel_diario!$L1191),1)-1</f>
        <v/>
      </c>
      <c r="E1195" s="22">
        <f>(1+E1194)*IF(AND(Painel_diario!$H1191="ED_JU",Painel_diario!$J1191=1),EXP(Painel_diario!$L1191),1)-1</f>
        <v/>
      </c>
    </row>
    <row r="1196">
      <c r="A1196" s="25" t="n">
        <v>40578</v>
      </c>
      <c r="B1196" s="22">
        <f>(1+B1195)*IF(AND(Painel_diario!$H1192="EU_JD",Painel_diario!$J1192=1),EXP(Painel_diario!$L1192),1)-1</f>
        <v/>
      </c>
      <c r="C1196" s="22">
        <f>(1+C1195)*IF(AND(Painel_diario!$H1192="EU_JU",Painel_diario!$J1192=1),EXP(Painel_diario!$L1192),1)-1</f>
        <v/>
      </c>
      <c r="D1196" s="22">
        <f>(1+D1195)*IF(AND(Painel_diario!$H1192="ED_JD",Painel_diario!$J1192=1),EXP(Painel_diario!$L1192),1)-1</f>
        <v/>
      </c>
      <c r="E1196" s="22">
        <f>(1+E1195)*IF(AND(Painel_diario!$H1192="ED_JU",Painel_diario!$J1192=1),EXP(Painel_diario!$L1192),1)-1</f>
        <v/>
      </c>
    </row>
    <row r="1197">
      <c r="A1197" s="25" t="n">
        <v>40581</v>
      </c>
      <c r="B1197" s="22">
        <f>(1+B1196)*IF(AND(Painel_diario!$H1193="EU_JD",Painel_diario!$J1193=1),EXP(Painel_diario!$L1193),1)-1</f>
        <v/>
      </c>
      <c r="C1197" s="22">
        <f>(1+C1196)*IF(AND(Painel_diario!$H1193="EU_JU",Painel_diario!$J1193=1),EXP(Painel_diario!$L1193),1)-1</f>
        <v/>
      </c>
      <c r="D1197" s="22">
        <f>(1+D1196)*IF(AND(Painel_diario!$H1193="ED_JD",Painel_diario!$J1193=1),EXP(Painel_diario!$L1193),1)-1</f>
        <v/>
      </c>
      <c r="E1197" s="22">
        <f>(1+E1196)*IF(AND(Painel_diario!$H1193="ED_JU",Painel_diario!$J1193=1),EXP(Painel_diario!$L1193),1)-1</f>
        <v/>
      </c>
    </row>
    <row r="1198">
      <c r="A1198" s="25" t="n">
        <v>40582</v>
      </c>
      <c r="B1198" s="22">
        <f>(1+B1197)*IF(AND(Painel_diario!$H1194="EU_JD",Painel_diario!$J1194=1),EXP(Painel_diario!$L1194),1)-1</f>
        <v/>
      </c>
      <c r="C1198" s="22">
        <f>(1+C1197)*IF(AND(Painel_diario!$H1194="EU_JU",Painel_diario!$J1194=1),EXP(Painel_diario!$L1194),1)-1</f>
        <v/>
      </c>
      <c r="D1198" s="22">
        <f>(1+D1197)*IF(AND(Painel_diario!$H1194="ED_JD",Painel_diario!$J1194=1),EXP(Painel_diario!$L1194),1)-1</f>
        <v/>
      </c>
      <c r="E1198" s="22">
        <f>(1+E1197)*IF(AND(Painel_diario!$H1194="ED_JU",Painel_diario!$J1194=1),EXP(Painel_diario!$L1194),1)-1</f>
        <v/>
      </c>
    </row>
    <row r="1199">
      <c r="A1199" s="25" t="n">
        <v>40583</v>
      </c>
      <c r="B1199" s="22">
        <f>(1+B1198)*IF(AND(Painel_diario!$H1195="EU_JD",Painel_diario!$J1195=1),EXP(Painel_diario!$L1195),1)-1</f>
        <v/>
      </c>
      <c r="C1199" s="22">
        <f>(1+C1198)*IF(AND(Painel_diario!$H1195="EU_JU",Painel_diario!$J1195=1),EXP(Painel_diario!$L1195),1)-1</f>
        <v/>
      </c>
      <c r="D1199" s="22">
        <f>(1+D1198)*IF(AND(Painel_diario!$H1195="ED_JD",Painel_diario!$J1195=1),EXP(Painel_diario!$L1195),1)-1</f>
        <v/>
      </c>
      <c r="E1199" s="22">
        <f>(1+E1198)*IF(AND(Painel_diario!$H1195="ED_JU",Painel_diario!$J1195=1),EXP(Painel_diario!$L1195),1)-1</f>
        <v/>
      </c>
    </row>
    <row r="1200">
      <c r="A1200" s="25" t="n">
        <v>40584</v>
      </c>
      <c r="B1200" s="22">
        <f>(1+B1199)*IF(AND(Painel_diario!$H1196="EU_JD",Painel_diario!$J1196=1),EXP(Painel_diario!$L1196),1)-1</f>
        <v/>
      </c>
      <c r="C1200" s="22">
        <f>(1+C1199)*IF(AND(Painel_diario!$H1196="EU_JU",Painel_diario!$J1196=1),EXP(Painel_diario!$L1196),1)-1</f>
        <v/>
      </c>
      <c r="D1200" s="22">
        <f>(1+D1199)*IF(AND(Painel_diario!$H1196="ED_JD",Painel_diario!$J1196=1),EXP(Painel_diario!$L1196),1)-1</f>
        <v/>
      </c>
      <c r="E1200" s="22">
        <f>(1+E1199)*IF(AND(Painel_diario!$H1196="ED_JU",Painel_diario!$J1196=1),EXP(Painel_diario!$L1196),1)-1</f>
        <v/>
      </c>
    </row>
    <row r="1201">
      <c r="A1201" s="25" t="n">
        <v>40585</v>
      </c>
      <c r="B1201" s="22">
        <f>(1+B1200)*IF(AND(Painel_diario!$H1197="EU_JD",Painel_diario!$J1197=1),EXP(Painel_diario!$L1197),1)-1</f>
        <v/>
      </c>
      <c r="C1201" s="22">
        <f>(1+C1200)*IF(AND(Painel_diario!$H1197="EU_JU",Painel_diario!$J1197=1),EXP(Painel_diario!$L1197),1)-1</f>
        <v/>
      </c>
      <c r="D1201" s="22">
        <f>(1+D1200)*IF(AND(Painel_diario!$H1197="ED_JD",Painel_diario!$J1197=1),EXP(Painel_diario!$L1197),1)-1</f>
        <v/>
      </c>
      <c r="E1201" s="22">
        <f>(1+E1200)*IF(AND(Painel_diario!$H1197="ED_JU",Painel_diario!$J1197=1),EXP(Painel_diario!$L1197),1)-1</f>
        <v/>
      </c>
    </row>
    <row r="1202">
      <c r="A1202" s="25" t="n">
        <v>40588</v>
      </c>
      <c r="B1202" s="22">
        <f>(1+B1201)*IF(AND(Painel_diario!$H1198="EU_JD",Painel_diario!$J1198=1),EXP(Painel_diario!$L1198),1)-1</f>
        <v/>
      </c>
      <c r="C1202" s="22">
        <f>(1+C1201)*IF(AND(Painel_diario!$H1198="EU_JU",Painel_diario!$J1198=1),EXP(Painel_diario!$L1198),1)-1</f>
        <v/>
      </c>
      <c r="D1202" s="22">
        <f>(1+D1201)*IF(AND(Painel_diario!$H1198="ED_JD",Painel_diario!$J1198=1),EXP(Painel_diario!$L1198),1)-1</f>
        <v/>
      </c>
      <c r="E1202" s="22">
        <f>(1+E1201)*IF(AND(Painel_diario!$H1198="ED_JU",Painel_diario!$J1198=1),EXP(Painel_diario!$L1198),1)-1</f>
        <v/>
      </c>
    </row>
    <row r="1203">
      <c r="A1203" s="25" t="n">
        <v>40589</v>
      </c>
      <c r="B1203" s="22">
        <f>(1+B1202)*IF(AND(Painel_diario!$H1199="EU_JD",Painel_diario!$J1199=1),EXP(Painel_diario!$L1199),1)-1</f>
        <v/>
      </c>
      <c r="C1203" s="22">
        <f>(1+C1202)*IF(AND(Painel_diario!$H1199="EU_JU",Painel_diario!$J1199=1),EXP(Painel_diario!$L1199),1)-1</f>
        <v/>
      </c>
      <c r="D1203" s="22">
        <f>(1+D1202)*IF(AND(Painel_diario!$H1199="ED_JD",Painel_diario!$J1199=1),EXP(Painel_diario!$L1199),1)-1</f>
        <v/>
      </c>
      <c r="E1203" s="22">
        <f>(1+E1202)*IF(AND(Painel_diario!$H1199="ED_JU",Painel_diario!$J1199=1),EXP(Painel_diario!$L1199),1)-1</f>
        <v/>
      </c>
    </row>
    <row r="1204">
      <c r="A1204" s="25" t="n">
        <v>40590</v>
      </c>
      <c r="B1204" s="22">
        <f>(1+B1203)*IF(AND(Painel_diario!$H1200="EU_JD",Painel_diario!$J1200=1),EXP(Painel_diario!$L1200),1)-1</f>
        <v/>
      </c>
      <c r="C1204" s="22">
        <f>(1+C1203)*IF(AND(Painel_diario!$H1200="EU_JU",Painel_diario!$J1200=1),EXP(Painel_diario!$L1200),1)-1</f>
        <v/>
      </c>
      <c r="D1204" s="22">
        <f>(1+D1203)*IF(AND(Painel_diario!$H1200="ED_JD",Painel_diario!$J1200=1),EXP(Painel_diario!$L1200),1)-1</f>
        <v/>
      </c>
      <c r="E1204" s="22">
        <f>(1+E1203)*IF(AND(Painel_diario!$H1200="ED_JU",Painel_diario!$J1200=1),EXP(Painel_diario!$L1200),1)-1</f>
        <v/>
      </c>
    </row>
    <row r="1205">
      <c r="A1205" s="25" t="n">
        <v>40591</v>
      </c>
      <c r="B1205" s="22">
        <f>(1+B1204)*IF(AND(Painel_diario!$H1201="EU_JD",Painel_diario!$J1201=1),EXP(Painel_diario!$L1201),1)-1</f>
        <v/>
      </c>
      <c r="C1205" s="22">
        <f>(1+C1204)*IF(AND(Painel_diario!$H1201="EU_JU",Painel_diario!$J1201=1),EXP(Painel_diario!$L1201),1)-1</f>
        <v/>
      </c>
      <c r="D1205" s="22">
        <f>(1+D1204)*IF(AND(Painel_diario!$H1201="ED_JD",Painel_diario!$J1201=1),EXP(Painel_diario!$L1201),1)-1</f>
        <v/>
      </c>
      <c r="E1205" s="22">
        <f>(1+E1204)*IF(AND(Painel_diario!$H1201="ED_JU",Painel_diario!$J1201=1),EXP(Painel_diario!$L1201),1)-1</f>
        <v/>
      </c>
    </row>
    <row r="1206">
      <c r="A1206" s="25" t="n">
        <v>40592</v>
      </c>
      <c r="B1206" s="22">
        <f>(1+B1205)*IF(AND(Painel_diario!$H1202="EU_JD",Painel_diario!$J1202=1),EXP(Painel_diario!$L1202),1)-1</f>
        <v/>
      </c>
      <c r="C1206" s="22">
        <f>(1+C1205)*IF(AND(Painel_diario!$H1202="EU_JU",Painel_diario!$J1202=1),EXP(Painel_diario!$L1202),1)-1</f>
        <v/>
      </c>
      <c r="D1206" s="22">
        <f>(1+D1205)*IF(AND(Painel_diario!$H1202="ED_JD",Painel_diario!$J1202=1),EXP(Painel_diario!$L1202),1)-1</f>
        <v/>
      </c>
      <c r="E1206" s="22">
        <f>(1+E1205)*IF(AND(Painel_diario!$H1202="ED_JU",Painel_diario!$J1202=1),EXP(Painel_diario!$L1202),1)-1</f>
        <v/>
      </c>
    </row>
    <row r="1207">
      <c r="A1207" s="25" t="n">
        <v>40595</v>
      </c>
      <c r="B1207" s="22">
        <f>(1+B1206)*IF(AND(Painel_diario!$H1203="EU_JD",Painel_diario!$J1203=1),EXP(Painel_diario!$L1203),1)-1</f>
        <v/>
      </c>
      <c r="C1207" s="22">
        <f>(1+C1206)*IF(AND(Painel_diario!$H1203="EU_JU",Painel_diario!$J1203=1),EXP(Painel_diario!$L1203),1)-1</f>
        <v/>
      </c>
      <c r="D1207" s="22">
        <f>(1+D1206)*IF(AND(Painel_diario!$H1203="ED_JD",Painel_diario!$J1203=1),EXP(Painel_diario!$L1203),1)-1</f>
        <v/>
      </c>
      <c r="E1207" s="22">
        <f>(1+E1206)*IF(AND(Painel_diario!$H1203="ED_JU",Painel_diario!$J1203=1),EXP(Painel_diario!$L1203),1)-1</f>
        <v/>
      </c>
    </row>
    <row r="1208">
      <c r="A1208" s="25" t="n">
        <v>40596</v>
      </c>
      <c r="B1208" s="22">
        <f>(1+B1207)*IF(AND(Painel_diario!$H1204="EU_JD",Painel_diario!$J1204=1),EXP(Painel_diario!$L1204),1)-1</f>
        <v/>
      </c>
      <c r="C1208" s="22">
        <f>(1+C1207)*IF(AND(Painel_diario!$H1204="EU_JU",Painel_diario!$J1204=1),EXP(Painel_diario!$L1204),1)-1</f>
        <v/>
      </c>
      <c r="D1208" s="22">
        <f>(1+D1207)*IF(AND(Painel_diario!$H1204="ED_JD",Painel_diario!$J1204=1),EXP(Painel_diario!$L1204),1)-1</f>
        <v/>
      </c>
      <c r="E1208" s="22">
        <f>(1+E1207)*IF(AND(Painel_diario!$H1204="ED_JU",Painel_diario!$J1204=1),EXP(Painel_diario!$L1204),1)-1</f>
        <v/>
      </c>
    </row>
    <row r="1209">
      <c r="A1209" s="25" t="n">
        <v>40597</v>
      </c>
      <c r="B1209" s="22">
        <f>(1+B1208)*IF(AND(Painel_diario!$H1205="EU_JD",Painel_diario!$J1205=1),EXP(Painel_diario!$L1205),1)-1</f>
        <v/>
      </c>
      <c r="C1209" s="22">
        <f>(1+C1208)*IF(AND(Painel_diario!$H1205="EU_JU",Painel_diario!$J1205=1),EXP(Painel_diario!$L1205),1)-1</f>
        <v/>
      </c>
      <c r="D1209" s="22">
        <f>(1+D1208)*IF(AND(Painel_diario!$H1205="ED_JD",Painel_diario!$J1205=1),EXP(Painel_diario!$L1205),1)-1</f>
        <v/>
      </c>
      <c r="E1209" s="22">
        <f>(1+E1208)*IF(AND(Painel_diario!$H1205="ED_JU",Painel_diario!$J1205=1),EXP(Painel_diario!$L1205),1)-1</f>
        <v/>
      </c>
    </row>
    <row r="1210">
      <c r="A1210" s="25" t="n">
        <v>40598</v>
      </c>
      <c r="B1210" s="22">
        <f>(1+B1209)*IF(AND(Painel_diario!$H1206="EU_JD",Painel_diario!$J1206=1),EXP(Painel_diario!$L1206),1)-1</f>
        <v/>
      </c>
      <c r="C1210" s="22">
        <f>(1+C1209)*IF(AND(Painel_diario!$H1206="EU_JU",Painel_diario!$J1206=1),EXP(Painel_diario!$L1206),1)-1</f>
        <v/>
      </c>
      <c r="D1210" s="22">
        <f>(1+D1209)*IF(AND(Painel_diario!$H1206="ED_JD",Painel_diario!$J1206=1),EXP(Painel_diario!$L1206),1)-1</f>
        <v/>
      </c>
      <c r="E1210" s="22">
        <f>(1+E1209)*IF(AND(Painel_diario!$H1206="ED_JU",Painel_diario!$J1206=1),EXP(Painel_diario!$L1206),1)-1</f>
        <v/>
      </c>
    </row>
    <row r="1211">
      <c r="A1211" s="25" t="n">
        <v>40599</v>
      </c>
      <c r="B1211" s="22">
        <f>(1+B1210)*IF(AND(Painel_diario!$H1207="EU_JD",Painel_diario!$J1207=1),EXP(Painel_diario!$L1207),1)-1</f>
        <v/>
      </c>
      <c r="C1211" s="22">
        <f>(1+C1210)*IF(AND(Painel_diario!$H1207="EU_JU",Painel_diario!$J1207=1),EXP(Painel_diario!$L1207),1)-1</f>
        <v/>
      </c>
      <c r="D1211" s="22">
        <f>(1+D1210)*IF(AND(Painel_diario!$H1207="ED_JD",Painel_diario!$J1207=1),EXP(Painel_diario!$L1207),1)-1</f>
        <v/>
      </c>
      <c r="E1211" s="22">
        <f>(1+E1210)*IF(AND(Painel_diario!$H1207="ED_JU",Painel_diario!$J1207=1),EXP(Painel_diario!$L1207),1)-1</f>
        <v/>
      </c>
    </row>
    <row r="1212">
      <c r="A1212" s="25" t="n">
        <v>40602</v>
      </c>
      <c r="B1212" s="22">
        <f>(1+B1211)*IF(AND(Painel_diario!$H1208="EU_JD",Painel_diario!$J1208=1),EXP(Painel_diario!$L1208),1)-1</f>
        <v/>
      </c>
      <c r="C1212" s="22">
        <f>(1+C1211)*IF(AND(Painel_diario!$H1208="EU_JU",Painel_diario!$J1208=1),EXP(Painel_diario!$L1208),1)-1</f>
        <v/>
      </c>
      <c r="D1212" s="22">
        <f>(1+D1211)*IF(AND(Painel_diario!$H1208="ED_JD",Painel_diario!$J1208=1),EXP(Painel_diario!$L1208),1)-1</f>
        <v/>
      </c>
      <c r="E1212" s="22">
        <f>(1+E1211)*IF(AND(Painel_diario!$H1208="ED_JU",Painel_diario!$J1208=1),EXP(Painel_diario!$L1208),1)-1</f>
        <v/>
      </c>
    </row>
    <row r="1213">
      <c r="A1213" s="25" t="n">
        <v>40603</v>
      </c>
      <c r="B1213" s="22">
        <f>(1+B1212)*IF(AND(Painel_diario!$H1209="EU_JD",Painel_diario!$J1209=1),EXP(Painel_diario!$L1209),1)-1</f>
        <v/>
      </c>
      <c r="C1213" s="22">
        <f>(1+C1212)*IF(AND(Painel_diario!$H1209="EU_JU",Painel_diario!$J1209=1),EXP(Painel_diario!$L1209),1)-1</f>
        <v/>
      </c>
      <c r="D1213" s="22">
        <f>(1+D1212)*IF(AND(Painel_diario!$H1209="ED_JD",Painel_diario!$J1209=1),EXP(Painel_diario!$L1209),1)-1</f>
        <v/>
      </c>
      <c r="E1213" s="22">
        <f>(1+E1212)*IF(AND(Painel_diario!$H1209="ED_JU",Painel_diario!$J1209=1),EXP(Painel_diario!$L1209),1)-1</f>
        <v/>
      </c>
    </row>
    <row r="1214">
      <c r="A1214" s="25" t="n">
        <v>40604</v>
      </c>
      <c r="B1214" s="22">
        <f>(1+B1213)*IF(AND(Painel_diario!$H1210="EU_JD",Painel_diario!$J1210=1),EXP(Painel_diario!$L1210),1)-1</f>
        <v/>
      </c>
      <c r="C1214" s="22">
        <f>(1+C1213)*IF(AND(Painel_diario!$H1210="EU_JU",Painel_diario!$J1210=1),EXP(Painel_diario!$L1210),1)-1</f>
        <v/>
      </c>
      <c r="D1214" s="22">
        <f>(1+D1213)*IF(AND(Painel_diario!$H1210="ED_JD",Painel_diario!$J1210=1),EXP(Painel_diario!$L1210),1)-1</f>
        <v/>
      </c>
      <c r="E1214" s="22">
        <f>(1+E1213)*IF(AND(Painel_diario!$H1210="ED_JU",Painel_diario!$J1210=1),EXP(Painel_diario!$L1210),1)-1</f>
        <v/>
      </c>
    </row>
    <row r="1215">
      <c r="A1215" s="25" t="n">
        <v>40605</v>
      </c>
      <c r="B1215" s="22">
        <f>(1+B1214)*IF(AND(Painel_diario!$H1211="EU_JD",Painel_diario!$J1211=1),EXP(Painel_diario!$L1211),1)-1</f>
        <v/>
      </c>
      <c r="C1215" s="22">
        <f>(1+C1214)*IF(AND(Painel_diario!$H1211="EU_JU",Painel_diario!$J1211=1),EXP(Painel_diario!$L1211),1)-1</f>
        <v/>
      </c>
      <c r="D1215" s="22">
        <f>(1+D1214)*IF(AND(Painel_diario!$H1211="ED_JD",Painel_diario!$J1211=1),EXP(Painel_diario!$L1211),1)-1</f>
        <v/>
      </c>
      <c r="E1215" s="22">
        <f>(1+E1214)*IF(AND(Painel_diario!$H1211="ED_JU",Painel_diario!$J1211=1),EXP(Painel_diario!$L1211),1)-1</f>
        <v/>
      </c>
    </row>
    <row r="1216">
      <c r="A1216" s="25" t="n">
        <v>40606</v>
      </c>
      <c r="B1216" s="22">
        <f>(1+B1215)*IF(AND(Painel_diario!$H1212="EU_JD",Painel_diario!$J1212=1),EXP(Painel_diario!$L1212),1)-1</f>
        <v/>
      </c>
      <c r="C1216" s="22">
        <f>(1+C1215)*IF(AND(Painel_diario!$H1212="EU_JU",Painel_diario!$J1212=1),EXP(Painel_diario!$L1212),1)-1</f>
        <v/>
      </c>
      <c r="D1216" s="22">
        <f>(1+D1215)*IF(AND(Painel_diario!$H1212="ED_JD",Painel_diario!$J1212=1),EXP(Painel_diario!$L1212),1)-1</f>
        <v/>
      </c>
      <c r="E1216" s="22">
        <f>(1+E1215)*IF(AND(Painel_diario!$H1212="ED_JU",Painel_diario!$J1212=1),EXP(Painel_diario!$L1212),1)-1</f>
        <v/>
      </c>
    </row>
    <row r="1217">
      <c r="A1217" s="25" t="n">
        <v>40611</v>
      </c>
      <c r="B1217" s="22">
        <f>(1+B1216)*IF(AND(Painel_diario!$H1213="EU_JD",Painel_diario!$J1213=1),EXP(Painel_diario!$L1213),1)-1</f>
        <v/>
      </c>
      <c r="C1217" s="22">
        <f>(1+C1216)*IF(AND(Painel_diario!$H1213="EU_JU",Painel_diario!$J1213=1),EXP(Painel_diario!$L1213),1)-1</f>
        <v/>
      </c>
      <c r="D1217" s="22">
        <f>(1+D1216)*IF(AND(Painel_diario!$H1213="ED_JD",Painel_diario!$J1213=1),EXP(Painel_diario!$L1213),1)-1</f>
        <v/>
      </c>
      <c r="E1217" s="22">
        <f>(1+E1216)*IF(AND(Painel_diario!$H1213="ED_JU",Painel_diario!$J1213=1),EXP(Painel_diario!$L1213),1)-1</f>
        <v/>
      </c>
    </row>
    <row r="1218">
      <c r="A1218" s="25" t="n">
        <v>40612</v>
      </c>
      <c r="B1218" s="22">
        <f>(1+B1217)*IF(AND(Painel_diario!$H1214="EU_JD",Painel_diario!$J1214=1),EXP(Painel_diario!$L1214),1)-1</f>
        <v/>
      </c>
      <c r="C1218" s="22">
        <f>(1+C1217)*IF(AND(Painel_diario!$H1214="EU_JU",Painel_diario!$J1214=1),EXP(Painel_diario!$L1214),1)-1</f>
        <v/>
      </c>
      <c r="D1218" s="22">
        <f>(1+D1217)*IF(AND(Painel_diario!$H1214="ED_JD",Painel_diario!$J1214=1),EXP(Painel_diario!$L1214),1)-1</f>
        <v/>
      </c>
      <c r="E1218" s="22">
        <f>(1+E1217)*IF(AND(Painel_diario!$H1214="ED_JU",Painel_diario!$J1214=1),EXP(Painel_diario!$L1214),1)-1</f>
        <v/>
      </c>
    </row>
    <row r="1219">
      <c r="A1219" s="25" t="n">
        <v>40613</v>
      </c>
      <c r="B1219" s="22">
        <f>(1+B1218)*IF(AND(Painel_diario!$H1215="EU_JD",Painel_diario!$J1215=1),EXP(Painel_diario!$L1215),1)-1</f>
        <v/>
      </c>
      <c r="C1219" s="22">
        <f>(1+C1218)*IF(AND(Painel_diario!$H1215="EU_JU",Painel_diario!$J1215=1),EXP(Painel_diario!$L1215),1)-1</f>
        <v/>
      </c>
      <c r="D1219" s="22">
        <f>(1+D1218)*IF(AND(Painel_diario!$H1215="ED_JD",Painel_diario!$J1215=1),EXP(Painel_diario!$L1215),1)-1</f>
        <v/>
      </c>
      <c r="E1219" s="22">
        <f>(1+E1218)*IF(AND(Painel_diario!$H1215="ED_JU",Painel_diario!$J1215=1),EXP(Painel_diario!$L1215),1)-1</f>
        <v/>
      </c>
    </row>
    <row r="1220">
      <c r="A1220" s="25" t="n">
        <v>40616</v>
      </c>
      <c r="B1220" s="22">
        <f>(1+B1219)*IF(AND(Painel_diario!$H1216="EU_JD",Painel_diario!$J1216=1),EXP(Painel_diario!$L1216),1)-1</f>
        <v/>
      </c>
      <c r="C1220" s="22">
        <f>(1+C1219)*IF(AND(Painel_diario!$H1216="EU_JU",Painel_diario!$J1216=1),EXP(Painel_diario!$L1216),1)-1</f>
        <v/>
      </c>
      <c r="D1220" s="22">
        <f>(1+D1219)*IF(AND(Painel_diario!$H1216="ED_JD",Painel_diario!$J1216=1),EXP(Painel_diario!$L1216),1)-1</f>
        <v/>
      </c>
      <c r="E1220" s="22">
        <f>(1+E1219)*IF(AND(Painel_diario!$H1216="ED_JU",Painel_diario!$J1216=1),EXP(Painel_diario!$L1216),1)-1</f>
        <v/>
      </c>
    </row>
    <row r="1221">
      <c r="A1221" s="25" t="n">
        <v>40617</v>
      </c>
      <c r="B1221" s="22">
        <f>(1+B1220)*IF(AND(Painel_diario!$H1217="EU_JD",Painel_diario!$J1217=1),EXP(Painel_diario!$L1217),1)-1</f>
        <v/>
      </c>
      <c r="C1221" s="22">
        <f>(1+C1220)*IF(AND(Painel_diario!$H1217="EU_JU",Painel_diario!$J1217=1),EXP(Painel_diario!$L1217),1)-1</f>
        <v/>
      </c>
      <c r="D1221" s="22">
        <f>(1+D1220)*IF(AND(Painel_diario!$H1217="ED_JD",Painel_diario!$J1217=1),EXP(Painel_diario!$L1217),1)-1</f>
        <v/>
      </c>
      <c r="E1221" s="22">
        <f>(1+E1220)*IF(AND(Painel_diario!$H1217="ED_JU",Painel_diario!$J1217=1),EXP(Painel_diario!$L1217),1)-1</f>
        <v/>
      </c>
    </row>
    <row r="1222">
      <c r="A1222" s="25" t="n">
        <v>40618</v>
      </c>
      <c r="B1222" s="22">
        <f>(1+B1221)*IF(AND(Painel_diario!$H1218="EU_JD",Painel_diario!$J1218=1),EXP(Painel_diario!$L1218),1)-1</f>
        <v/>
      </c>
      <c r="C1222" s="22">
        <f>(1+C1221)*IF(AND(Painel_diario!$H1218="EU_JU",Painel_diario!$J1218=1),EXP(Painel_diario!$L1218),1)-1</f>
        <v/>
      </c>
      <c r="D1222" s="22">
        <f>(1+D1221)*IF(AND(Painel_diario!$H1218="ED_JD",Painel_diario!$J1218=1),EXP(Painel_diario!$L1218),1)-1</f>
        <v/>
      </c>
      <c r="E1222" s="22">
        <f>(1+E1221)*IF(AND(Painel_diario!$H1218="ED_JU",Painel_diario!$J1218=1),EXP(Painel_diario!$L1218),1)-1</f>
        <v/>
      </c>
    </row>
    <row r="1223">
      <c r="A1223" s="25" t="n">
        <v>40619</v>
      </c>
      <c r="B1223" s="22">
        <f>(1+B1222)*IF(AND(Painel_diario!$H1219="EU_JD",Painel_diario!$J1219=1),EXP(Painel_diario!$L1219),1)-1</f>
        <v/>
      </c>
      <c r="C1223" s="22">
        <f>(1+C1222)*IF(AND(Painel_diario!$H1219="EU_JU",Painel_diario!$J1219=1),EXP(Painel_diario!$L1219),1)-1</f>
        <v/>
      </c>
      <c r="D1223" s="22">
        <f>(1+D1222)*IF(AND(Painel_diario!$H1219="ED_JD",Painel_diario!$J1219=1),EXP(Painel_diario!$L1219),1)-1</f>
        <v/>
      </c>
      <c r="E1223" s="22">
        <f>(1+E1222)*IF(AND(Painel_diario!$H1219="ED_JU",Painel_diario!$J1219=1),EXP(Painel_diario!$L1219),1)-1</f>
        <v/>
      </c>
    </row>
    <row r="1224">
      <c r="A1224" s="25" t="n">
        <v>40620</v>
      </c>
      <c r="B1224" s="22">
        <f>(1+B1223)*IF(AND(Painel_diario!$H1220="EU_JD",Painel_diario!$J1220=1),EXP(Painel_diario!$L1220),1)-1</f>
        <v/>
      </c>
      <c r="C1224" s="22">
        <f>(1+C1223)*IF(AND(Painel_diario!$H1220="EU_JU",Painel_diario!$J1220=1),EXP(Painel_diario!$L1220),1)-1</f>
        <v/>
      </c>
      <c r="D1224" s="22">
        <f>(1+D1223)*IF(AND(Painel_diario!$H1220="ED_JD",Painel_diario!$J1220=1),EXP(Painel_diario!$L1220),1)-1</f>
        <v/>
      </c>
      <c r="E1224" s="22">
        <f>(1+E1223)*IF(AND(Painel_diario!$H1220="ED_JU",Painel_diario!$J1220=1),EXP(Painel_diario!$L1220),1)-1</f>
        <v/>
      </c>
    </row>
    <row r="1225">
      <c r="A1225" s="25" t="n">
        <v>40623</v>
      </c>
      <c r="B1225" s="22">
        <f>(1+B1224)*IF(AND(Painel_diario!$H1221="EU_JD",Painel_diario!$J1221=1),EXP(Painel_diario!$L1221),1)-1</f>
        <v/>
      </c>
      <c r="C1225" s="22">
        <f>(1+C1224)*IF(AND(Painel_diario!$H1221="EU_JU",Painel_diario!$J1221=1),EXP(Painel_diario!$L1221),1)-1</f>
        <v/>
      </c>
      <c r="D1225" s="22">
        <f>(1+D1224)*IF(AND(Painel_diario!$H1221="ED_JD",Painel_diario!$J1221=1),EXP(Painel_diario!$L1221),1)-1</f>
        <v/>
      </c>
      <c r="E1225" s="22">
        <f>(1+E1224)*IF(AND(Painel_diario!$H1221="ED_JU",Painel_diario!$J1221=1),EXP(Painel_diario!$L1221),1)-1</f>
        <v/>
      </c>
    </row>
    <row r="1226">
      <c r="A1226" s="25" t="n">
        <v>40624</v>
      </c>
      <c r="B1226" s="22">
        <f>(1+B1225)*IF(AND(Painel_diario!$H1222="EU_JD",Painel_diario!$J1222=1),EXP(Painel_diario!$L1222),1)-1</f>
        <v/>
      </c>
      <c r="C1226" s="22">
        <f>(1+C1225)*IF(AND(Painel_diario!$H1222="EU_JU",Painel_diario!$J1222=1),EXP(Painel_diario!$L1222),1)-1</f>
        <v/>
      </c>
      <c r="D1226" s="22">
        <f>(1+D1225)*IF(AND(Painel_diario!$H1222="ED_JD",Painel_diario!$J1222=1),EXP(Painel_diario!$L1222),1)-1</f>
        <v/>
      </c>
      <c r="E1226" s="22">
        <f>(1+E1225)*IF(AND(Painel_diario!$H1222="ED_JU",Painel_diario!$J1222=1),EXP(Painel_diario!$L1222),1)-1</f>
        <v/>
      </c>
    </row>
    <row r="1227">
      <c r="A1227" s="25" t="n">
        <v>40625</v>
      </c>
      <c r="B1227" s="22">
        <f>(1+B1226)*IF(AND(Painel_diario!$H1223="EU_JD",Painel_diario!$J1223=1),EXP(Painel_diario!$L1223),1)-1</f>
        <v/>
      </c>
      <c r="C1227" s="22">
        <f>(1+C1226)*IF(AND(Painel_diario!$H1223="EU_JU",Painel_diario!$J1223=1),EXP(Painel_diario!$L1223),1)-1</f>
        <v/>
      </c>
      <c r="D1227" s="22">
        <f>(1+D1226)*IF(AND(Painel_diario!$H1223="ED_JD",Painel_diario!$J1223=1),EXP(Painel_diario!$L1223),1)-1</f>
        <v/>
      </c>
      <c r="E1227" s="22">
        <f>(1+E1226)*IF(AND(Painel_diario!$H1223="ED_JU",Painel_diario!$J1223=1),EXP(Painel_diario!$L1223),1)-1</f>
        <v/>
      </c>
    </row>
    <row r="1228">
      <c r="A1228" s="25" t="n">
        <v>40626</v>
      </c>
      <c r="B1228" s="22">
        <f>(1+B1227)*IF(AND(Painel_diario!$H1224="EU_JD",Painel_diario!$J1224=1),EXP(Painel_diario!$L1224),1)-1</f>
        <v/>
      </c>
      <c r="C1228" s="22">
        <f>(1+C1227)*IF(AND(Painel_diario!$H1224="EU_JU",Painel_diario!$J1224=1),EXP(Painel_diario!$L1224),1)-1</f>
        <v/>
      </c>
      <c r="D1228" s="22">
        <f>(1+D1227)*IF(AND(Painel_diario!$H1224="ED_JD",Painel_diario!$J1224=1),EXP(Painel_diario!$L1224),1)-1</f>
        <v/>
      </c>
      <c r="E1228" s="22">
        <f>(1+E1227)*IF(AND(Painel_diario!$H1224="ED_JU",Painel_diario!$J1224=1),EXP(Painel_diario!$L1224),1)-1</f>
        <v/>
      </c>
    </row>
    <row r="1229">
      <c r="A1229" s="25" t="n">
        <v>40627</v>
      </c>
      <c r="B1229" s="22">
        <f>(1+B1228)*IF(AND(Painel_diario!$H1225="EU_JD",Painel_diario!$J1225=1),EXP(Painel_diario!$L1225),1)-1</f>
        <v/>
      </c>
      <c r="C1229" s="22">
        <f>(1+C1228)*IF(AND(Painel_diario!$H1225="EU_JU",Painel_diario!$J1225=1),EXP(Painel_diario!$L1225),1)-1</f>
        <v/>
      </c>
      <c r="D1229" s="22">
        <f>(1+D1228)*IF(AND(Painel_diario!$H1225="ED_JD",Painel_diario!$J1225=1),EXP(Painel_diario!$L1225),1)-1</f>
        <v/>
      </c>
      <c r="E1229" s="22">
        <f>(1+E1228)*IF(AND(Painel_diario!$H1225="ED_JU",Painel_diario!$J1225=1),EXP(Painel_diario!$L1225),1)-1</f>
        <v/>
      </c>
    </row>
    <row r="1230">
      <c r="A1230" s="25" t="n">
        <v>40630</v>
      </c>
      <c r="B1230" s="22">
        <f>(1+B1229)*IF(AND(Painel_diario!$H1226="EU_JD",Painel_diario!$J1226=1),EXP(Painel_diario!$L1226),1)-1</f>
        <v/>
      </c>
      <c r="C1230" s="22">
        <f>(1+C1229)*IF(AND(Painel_diario!$H1226="EU_JU",Painel_diario!$J1226=1),EXP(Painel_diario!$L1226),1)-1</f>
        <v/>
      </c>
      <c r="D1230" s="22">
        <f>(1+D1229)*IF(AND(Painel_diario!$H1226="ED_JD",Painel_diario!$J1226=1),EXP(Painel_diario!$L1226),1)-1</f>
        <v/>
      </c>
      <c r="E1230" s="22">
        <f>(1+E1229)*IF(AND(Painel_diario!$H1226="ED_JU",Painel_diario!$J1226=1),EXP(Painel_diario!$L1226),1)-1</f>
        <v/>
      </c>
    </row>
    <row r="1231">
      <c r="A1231" s="25" t="n">
        <v>40631</v>
      </c>
      <c r="B1231" s="22">
        <f>(1+B1230)*IF(AND(Painel_diario!$H1227="EU_JD",Painel_diario!$J1227=1),EXP(Painel_diario!$L1227),1)-1</f>
        <v/>
      </c>
      <c r="C1231" s="22">
        <f>(1+C1230)*IF(AND(Painel_diario!$H1227="EU_JU",Painel_diario!$J1227=1),EXP(Painel_diario!$L1227),1)-1</f>
        <v/>
      </c>
      <c r="D1231" s="22">
        <f>(1+D1230)*IF(AND(Painel_diario!$H1227="ED_JD",Painel_diario!$J1227=1),EXP(Painel_diario!$L1227),1)-1</f>
        <v/>
      </c>
      <c r="E1231" s="22">
        <f>(1+E1230)*IF(AND(Painel_diario!$H1227="ED_JU",Painel_diario!$J1227=1),EXP(Painel_diario!$L1227),1)-1</f>
        <v/>
      </c>
    </row>
    <row r="1232">
      <c r="A1232" s="25" t="n">
        <v>40632</v>
      </c>
      <c r="B1232" s="22">
        <f>(1+B1231)*IF(AND(Painel_diario!$H1228="EU_JD",Painel_diario!$J1228=1),EXP(Painel_diario!$L1228),1)-1</f>
        <v/>
      </c>
      <c r="C1232" s="22">
        <f>(1+C1231)*IF(AND(Painel_diario!$H1228="EU_JU",Painel_diario!$J1228=1),EXP(Painel_diario!$L1228),1)-1</f>
        <v/>
      </c>
      <c r="D1232" s="22">
        <f>(1+D1231)*IF(AND(Painel_diario!$H1228="ED_JD",Painel_diario!$J1228=1),EXP(Painel_diario!$L1228),1)-1</f>
        <v/>
      </c>
      <c r="E1232" s="22">
        <f>(1+E1231)*IF(AND(Painel_diario!$H1228="ED_JU",Painel_diario!$J1228=1),EXP(Painel_diario!$L1228),1)-1</f>
        <v/>
      </c>
    </row>
    <row r="1233">
      <c r="A1233" s="25" t="n">
        <v>40633</v>
      </c>
      <c r="B1233" s="22">
        <f>(1+B1232)*IF(AND(Painel_diario!$H1229="EU_JD",Painel_diario!$J1229=1),EXP(Painel_diario!$L1229),1)-1</f>
        <v/>
      </c>
      <c r="C1233" s="22">
        <f>(1+C1232)*IF(AND(Painel_diario!$H1229="EU_JU",Painel_diario!$J1229=1),EXP(Painel_diario!$L1229),1)-1</f>
        <v/>
      </c>
      <c r="D1233" s="22">
        <f>(1+D1232)*IF(AND(Painel_diario!$H1229="ED_JD",Painel_diario!$J1229=1),EXP(Painel_diario!$L1229),1)-1</f>
        <v/>
      </c>
      <c r="E1233" s="22">
        <f>(1+E1232)*IF(AND(Painel_diario!$H1229="ED_JU",Painel_diario!$J1229=1),EXP(Painel_diario!$L1229),1)-1</f>
        <v/>
      </c>
    </row>
    <row r="1234">
      <c r="A1234" s="25" t="n">
        <v>40634</v>
      </c>
      <c r="B1234" s="22">
        <f>(1+B1233)*IF(AND(Painel_diario!$H1230="EU_JD",Painel_diario!$J1230=1),EXP(Painel_diario!$L1230),1)-1</f>
        <v/>
      </c>
      <c r="C1234" s="22">
        <f>(1+C1233)*IF(AND(Painel_diario!$H1230="EU_JU",Painel_diario!$J1230=1),EXP(Painel_diario!$L1230),1)-1</f>
        <v/>
      </c>
      <c r="D1234" s="22">
        <f>(1+D1233)*IF(AND(Painel_diario!$H1230="ED_JD",Painel_diario!$J1230=1),EXP(Painel_diario!$L1230),1)-1</f>
        <v/>
      </c>
      <c r="E1234" s="22">
        <f>(1+E1233)*IF(AND(Painel_diario!$H1230="ED_JU",Painel_diario!$J1230=1),EXP(Painel_diario!$L1230),1)-1</f>
        <v/>
      </c>
    </row>
    <row r="1235">
      <c r="A1235" s="25" t="n">
        <v>40637</v>
      </c>
      <c r="B1235" s="22">
        <f>(1+B1234)*IF(AND(Painel_diario!$H1231="EU_JD",Painel_diario!$J1231=1),EXP(Painel_diario!$L1231),1)-1</f>
        <v/>
      </c>
      <c r="C1235" s="22">
        <f>(1+C1234)*IF(AND(Painel_diario!$H1231="EU_JU",Painel_diario!$J1231=1),EXP(Painel_diario!$L1231),1)-1</f>
        <v/>
      </c>
      <c r="D1235" s="22">
        <f>(1+D1234)*IF(AND(Painel_diario!$H1231="ED_JD",Painel_diario!$J1231=1),EXP(Painel_diario!$L1231),1)-1</f>
        <v/>
      </c>
      <c r="E1235" s="22">
        <f>(1+E1234)*IF(AND(Painel_diario!$H1231="ED_JU",Painel_diario!$J1231=1),EXP(Painel_diario!$L1231),1)-1</f>
        <v/>
      </c>
    </row>
    <row r="1236">
      <c r="A1236" s="25" t="n">
        <v>40638</v>
      </c>
      <c r="B1236" s="22">
        <f>(1+B1235)*IF(AND(Painel_diario!$H1232="EU_JD",Painel_diario!$J1232=1),EXP(Painel_diario!$L1232),1)-1</f>
        <v/>
      </c>
      <c r="C1236" s="22">
        <f>(1+C1235)*IF(AND(Painel_diario!$H1232="EU_JU",Painel_diario!$J1232=1),EXP(Painel_diario!$L1232),1)-1</f>
        <v/>
      </c>
      <c r="D1236" s="22">
        <f>(1+D1235)*IF(AND(Painel_diario!$H1232="ED_JD",Painel_diario!$J1232=1),EXP(Painel_diario!$L1232),1)-1</f>
        <v/>
      </c>
      <c r="E1236" s="22">
        <f>(1+E1235)*IF(AND(Painel_diario!$H1232="ED_JU",Painel_diario!$J1232=1),EXP(Painel_diario!$L1232),1)-1</f>
        <v/>
      </c>
    </row>
    <row r="1237">
      <c r="A1237" s="25" t="n">
        <v>40639</v>
      </c>
      <c r="B1237" s="22">
        <f>(1+B1236)*IF(AND(Painel_diario!$H1233="EU_JD",Painel_diario!$J1233=1),EXP(Painel_diario!$L1233),1)-1</f>
        <v/>
      </c>
      <c r="C1237" s="22">
        <f>(1+C1236)*IF(AND(Painel_diario!$H1233="EU_JU",Painel_diario!$J1233=1),EXP(Painel_diario!$L1233),1)-1</f>
        <v/>
      </c>
      <c r="D1237" s="22">
        <f>(1+D1236)*IF(AND(Painel_diario!$H1233="ED_JD",Painel_diario!$J1233=1),EXP(Painel_diario!$L1233),1)-1</f>
        <v/>
      </c>
      <c r="E1237" s="22">
        <f>(1+E1236)*IF(AND(Painel_diario!$H1233="ED_JU",Painel_diario!$J1233=1),EXP(Painel_diario!$L1233),1)-1</f>
        <v/>
      </c>
    </row>
    <row r="1238">
      <c r="A1238" s="25" t="n">
        <v>40640</v>
      </c>
      <c r="B1238" s="22">
        <f>(1+B1237)*IF(AND(Painel_diario!$H1234="EU_JD",Painel_diario!$J1234=1),EXP(Painel_diario!$L1234),1)-1</f>
        <v/>
      </c>
      <c r="C1238" s="22">
        <f>(1+C1237)*IF(AND(Painel_diario!$H1234="EU_JU",Painel_diario!$J1234=1),EXP(Painel_diario!$L1234),1)-1</f>
        <v/>
      </c>
      <c r="D1238" s="22">
        <f>(1+D1237)*IF(AND(Painel_diario!$H1234="ED_JD",Painel_diario!$J1234=1),EXP(Painel_diario!$L1234),1)-1</f>
        <v/>
      </c>
      <c r="E1238" s="22">
        <f>(1+E1237)*IF(AND(Painel_diario!$H1234="ED_JU",Painel_diario!$J1234=1),EXP(Painel_diario!$L1234),1)-1</f>
        <v/>
      </c>
    </row>
    <row r="1239">
      <c r="A1239" s="25" t="n">
        <v>40641</v>
      </c>
      <c r="B1239" s="22">
        <f>(1+B1238)*IF(AND(Painel_diario!$H1235="EU_JD",Painel_diario!$J1235=1),EXP(Painel_diario!$L1235),1)-1</f>
        <v/>
      </c>
      <c r="C1239" s="22">
        <f>(1+C1238)*IF(AND(Painel_diario!$H1235="EU_JU",Painel_diario!$J1235=1),EXP(Painel_diario!$L1235),1)-1</f>
        <v/>
      </c>
      <c r="D1239" s="22">
        <f>(1+D1238)*IF(AND(Painel_diario!$H1235="ED_JD",Painel_diario!$J1235=1),EXP(Painel_diario!$L1235),1)-1</f>
        <v/>
      </c>
      <c r="E1239" s="22">
        <f>(1+E1238)*IF(AND(Painel_diario!$H1235="ED_JU",Painel_diario!$J1235=1),EXP(Painel_diario!$L1235),1)-1</f>
        <v/>
      </c>
    </row>
    <row r="1240">
      <c r="A1240" s="25" t="n">
        <v>40644</v>
      </c>
      <c r="B1240" s="22">
        <f>(1+B1239)*IF(AND(Painel_diario!$H1236="EU_JD",Painel_diario!$J1236=1),EXP(Painel_diario!$L1236),1)-1</f>
        <v/>
      </c>
      <c r="C1240" s="22">
        <f>(1+C1239)*IF(AND(Painel_diario!$H1236="EU_JU",Painel_diario!$J1236=1),EXP(Painel_diario!$L1236),1)-1</f>
        <v/>
      </c>
      <c r="D1240" s="22">
        <f>(1+D1239)*IF(AND(Painel_diario!$H1236="ED_JD",Painel_diario!$J1236=1),EXP(Painel_diario!$L1236),1)-1</f>
        <v/>
      </c>
      <c r="E1240" s="22">
        <f>(1+E1239)*IF(AND(Painel_diario!$H1236="ED_JU",Painel_diario!$J1236=1),EXP(Painel_diario!$L1236),1)-1</f>
        <v/>
      </c>
    </row>
    <row r="1241">
      <c r="A1241" s="25" t="n">
        <v>40645</v>
      </c>
      <c r="B1241" s="22">
        <f>(1+B1240)*IF(AND(Painel_diario!$H1237="EU_JD",Painel_diario!$J1237=1),EXP(Painel_diario!$L1237),1)-1</f>
        <v/>
      </c>
      <c r="C1241" s="22">
        <f>(1+C1240)*IF(AND(Painel_diario!$H1237="EU_JU",Painel_diario!$J1237=1),EXP(Painel_diario!$L1237),1)-1</f>
        <v/>
      </c>
      <c r="D1241" s="22">
        <f>(1+D1240)*IF(AND(Painel_diario!$H1237="ED_JD",Painel_diario!$J1237=1),EXP(Painel_diario!$L1237),1)-1</f>
        <v/>
      </c>
      <c r="E1241" s="22">
        <f>(1+E1240)*IF(AND(Painel_diario!$H1237="ED_JU",Painel_diario!$J1237=1),EXP(Painel_diario!$L1237),1)-1</f>
        <v/>
      </c>
    </row>
    <row r="1242">
      <c r="A1242" s="25" t="n">
        <v>40646</v>
      </c>
      <c r="B1242" s="22">
        <f>(1+B1241)*IF(AND(Painel_diario!$H1238="EU_JD",Painel_diario!$J1238=1),EXP(Painel_diario!$L1238),1)-1</f>
        <v/>
      </c>
      <c r="C1242" s="22">
        <f>(1+C1241)*IF(AND(Painel_diario!$H1238="EU_JU",Painel_diario!$J1238=1),EXP(Painel_diario!$L1238),1)-1</f>
        <v/>
      </c>
      <c r="D1242" s="22">
        <f>(1+D1241)*IF(AND(Painel_diario!$H1238="ED_JD",Painel_diario!$J1238=1),EXP(Painel_diario!$L1238),1)-1</f>
        <v/>
      </c>
      <c r="E1242" s="22">
        <f>(1+E1241)*IF(AND(Painel_diario!$H1238="ED_JU",Painel_diario!$J1238=1),EXP(Painel_diario!$L1238),1)-1</f>
        <v/>
      </c>
    </row>
    <row r="1243">
      <c r="A1243" s="25" t="n">
        <v>40647</v>
      </c>
      <c r="B1243" s="22">
        <f>(1+B1242)*IF(AND(Painel_diario!$H1239="EU_JD",Painel_diario!$J1239=1),EXP(Painel_diario!$L1239),1)-1</f>
        <v/>
      </c>
      <c r="C1243" s="22">
        <f>(1+C1242)*IF(AND(Painel_diario!$H1239="EU_JU",Painel_diario!$J1239=1),EXP(Painel_diario!$L1239),1)-1</f>
        <v/>
      </c>
      <c r="D1243" s="22">
        <f>(1+D1242)*IF(AND(Painel_diario!$H1239="ED_JD",Painel_diario!$J1239=1),EXP(Painel_diario!$L1239),1)-1</f>
        <v/>
      </c>
      <c r="E1243" s="22">
        <f>(1+E1242)*IF(AND(Painel_diario!$H1239="ED_JU",Painel_diario!$J1239=1),EXP(Painel_diario!$L1239),1)-1</f>
        <v/>
      </c>
    </row>
    <row r="1244">
      <c r="A1244" s="25" t="n">
        <v>40648</v>
      </c>
      <c r="B1244" s="22">
        <f>(1+B1243)*IF(AND(Painel_diario!$H1240="EU_JD",Painel_diario!$J1240=1),EXP(Painel_diario!$L1240),1)-1</f>
        <v/>
      </c>
      <c r="C1244" s="22">
        <f>(1+C1243)*IF(AND(Painel_diario!$H1240="EU_JU",Painel_diario!$J1240=1),EXP(Painel_diario!$L1240),1)-1</f>
        <v/>
      </c>
      <c r="D1244" s="22">
        <f>(1+D1243)*IF(AND(Painel_diario!$H1240="ED_JD",Painel_diario!$J1240=1),EXP(Painel_diario!$L1240),1)-1</f>
        <v/>
      </c>
      <c r="E1244" s="22">
        <f>(1+E1243)*IF(AND(Painel_diario!$H1240="ED_JU",Painel_diario!$J1240=1),EXP(Painel_diario!$L1240),1)-1</f>
        <v/>
      </c>
    </row>
    <row r="1245">
      <c r="A1245" s="25" t="n">
        <v>40651</v>
      </c>
      <c r="B1245" s="22">
        <f>(1+B1244)*IF(AND(Painel_diario!$H1241="EU_JD",Painel_diario!$J1241=1),EXP(Painel_diario!$L1241),1)-1</f>
        <v/>
      </c>
      <c r="C1245" s="22">
        <f>(1+C1244)*IF(AND(Painel_diario!$H1241="EU_JU",Painel_diario!$J1241=1),EXP(Painel_diario!$L1241),1)-1</f>
        <v/>
      </c>
      <c r="D1245" s="22">
        <f>(1+D1244)*IF(AND(Painel_diario!$H1241="ED_JD",Painel_diario!$J1241=1),EXP(Painel_diario!$L1241),1)-1</f>
        <v/>
      </c>
      <c r="E1245" s="22">
        <f>(1+E1244)*IF(AND(Painel_diario!$H1241="ED_JU",Painel_diario!$J1241=1),EXP(Painel_diario!$L1241),1)-1</f>
        <v/>
      </c>
    </row>
    <row r="1246">
      <c r="A1246" s="25" t="n">
        <v>40652</v>
      </c>
      <c r="B1246" s="22">
        <f>(1+B1245)*IF(AND(Painel_diario!$H1242="EU_JD",Painel_diario!$J1242=1),EXP(Painel_diario!$L1242),1)-1</f>
        <v/>
      </c>
      <c r="C1246" s="22">
        <f>(1+C1245)*IF(AND(Painel_diario!$H1242="EU_JU",Painel_diario!$J1242=1),EXP(Painel_diario!$L1242),1)-1</f>
        <v/>
      </c>
      <c r="D1246" s="22">
        <f>(1+D1245)*IF(AND(Painel_diario!$H1242="ED_JD",Painel_diario!$J1242=1),EXP(Painel_diario!$L1242),1)-1</f>
        <v/>
      </c>
      <c r="E1246" s="22">
        <f>(1+E1245)*IF(AND(Painel_diario!$H1242="ED_JU",Painel_diario!$J1242=1),EXP(Painel_diario!$L1242),1)-1</f>
        <v/>
      </c>
    </row>
    <row r="1247">
      <c r="A1247" s="25" t="n">
        <v>40653</v>
      </c>
      <c r="B1247" s="22">
        <f>(1+B1246)*IF(AND(Painel_diario!$H1243="EU_JD",Painel_diario!$J1243=1),EXP(Painel_diario!$L1243),1)-1</f>
        <v/>
      </c>
      <c r="C1247" s="22">
        <f>(1+C1246)*IF(AND(Painel_diario!$H1243="EU_JU",Painel_diario!$J1243=1),EXP(Painel_diario!$L1243),1)-1</f>
        <v/>
      </c>
      <c r="D1247" s="22">
        <f>(1+D1246)*IF(AND(Painel_diario!$H1243="ED_JD",Painel_diario!$J1243=1),EXP(Painel_diario!$L1243),1)-1</f>
        <v/>
      </c>
      <c r="E1247" s="22">
        <f>(1+E1246)*IF(AND(Painel_diario!$H1243="ED_JU",Painel_diario!$J1243=1),EXP(Painel_diario!$L1243),1)-1</f>
        <v/>
      </c>
    </row>
    <row r="1248">
      <c r="A1248" s="25" t="n">
        <v>40658</v>
      </c>
      <c r="B1248" s="22">
        <f>(1+B1247)*IF(AND(Painel_diario!$H1244="EU_JD",Painel_diario!$J1244=1),EXP(Painel_diario!$L1244),1)-1</f>
        <v/>
      </c>
      <c r="C1248" s="22">
        <f>(1+C1247)*IF(AND(Painel_diario!$H1244="EU_JU",Painel_diario!$J1244=1),EXP(Painel_diario!$L1244),1)-1</f>
        <v/>
      </c>
      <c r="D1248" s="22">
        <f>(1+D1247)*IF(AND(Painel_diario!$H1244="ED_JD",Painel_diario!$J1244=1),EXP(Painel_diario!$L1244),1)-1</f>
        <v/>
      </c>
      <c r="E1248" s="22">
        <f>(1+E1247)*IF(AND(Painel_diario!$H1244="ED_JU",Painel_diario!$J1244=1),EXP(Painel_diario!$L1244),1)-1</f>
        <v/>
      </c>
    </row>
    <row r="1249">
      <c r="A1249" s="25" t="n">
        <v>40659</v>
      </c>
      <c r="B1249" s="22">
        <f>(1+B1248)*IF(AND(Painel_diario!$H1245="EU_JD",Painel_diario!$J1245=1),EXP(Painel_diario!$L1245),1)-1</f>
        <v/>
      </c>
      <c r="C1249" s="22">
        <f>(1+C1248)*IF(AND(Painel_diario!$H1245="EU_JU",Painel_diario!$J1245=1),EXP(Painel_diario!$L1245),1)-1</f>
        <v/>
      </c>
      <c r="D1249" s="22">
        <f>(1+D1248)*IF(AND(Painel_diario!$H1245="ED_JD",Painel_diario!$J1245=1),EXP(Painel_diario!$L1245),1)-1</f>
        <v/>
      </c>
      <c r="E1249" s="22">
        <f>(1+E1248)*IF(AND(Painel_diario!$H1245="ED_JU",Painel_diario!$J1245=1),EXP(Painel_diario!$L1245),1)-1</f>
        <v/>
      </c>
    </row>
    <row r="1250">
      <c r="A1250" s="25" t="n">
        <v>40660</v>
      </c>
      <c r="B1250" s="22">
        <f>(1+B1249)*IF(AND(Painel_diario!$H1246="EU_JD",Painel_diario!$J1246=1),EXP(Painel_diario!$L1246),1)-1</f>
        <v/>
      </c>
      <c r="C1250" s="22">
        <f>(1+C1249)*IF(AND(Painel_diario!$H1246="EU_JU",Painel_diario!$J1246=1),EXP(Painel_diario!$L1246),1)-1</f>
        <v/>
      </c>
      <c r="D1250" s="22">
        <f>(1+D1249)*IF(AND(Painel_diario!$H1246="ED_JD",Painel_diario!$J1246=1),EXP(Painel_diario!$L1246),1)-1</f>
        <v/>
      </c>
      <c r="E1250" s="22">
        <f>(1+E1249)*IF(AND(Painel_diario!$H1246="ED_JU",Painel_diario!$J1246=1),EXP(Painel_diario!$L1246),1)-1</f>
        <v/>
      </c>
    </row>
    <row r="1251">
      <c r="A1251" s="25" t="n">
        <v>40661</v>
      </c>
      <c r="B1251" s="22">
        <f>(1+B1250)*IF(AND(Painel_diario!$H1247="EU_JD",Painel_diario!$J1247=1),EXP(Painel_diario!$L1247),1)-1</f>
        <v/>
      </c>
      <c r="C1251" s="22">
        <f>(1+C1250)*IF(AND(Painel_diario!$H1247="EU_JU",Painel_diario!$J1247=1),EXP(Painel_diario!$L1247),1)-1</f>
        <v/>
      </c>
      <c r="D1251" s="22">
        <f>(1+D1250)*IF(AND(Painel_diario!$H1247="ED_JD",Painel_diario!$J1247=1),EXP(Painel_diario!$L1247),1)-1</f>
        <v/>
      </c>
      <c r="E1251" s="22">
        <f>(1+E1250)*IF(AND(Painel_diario!$H1247="ED_JU",Painel_diario!$J1247=1),EXP(Painel_diario!$L1247),1)-1</f>
        <v/>
      </c>
    </row>
    <row r="1252">
      <c r="A1252" s="25" t="n">
        <v>40662</v>
      </c>
      <c r="B1252" s="22">
        <f>(1+B1251)*IF(AND(Painel_diario!$H1248="EU_JD",Painel_diario!$J1248=1),EXP(Painel_diario!$L1248),1)-1</f>
        <v/>
      </c>
      <c r="C1252" s="22">
        <f>(1+C1251)*IF(AND(Painel_diario!$H1248="EU_JU",Painel_diario!$J1248=1),EXP(Painel_diario!$L1248),1)-1</f>
        <v/>
      </c>
      <c r="D1252" s="22">
        <f>(1+D1251)*IF(AND(Painel_diario!$H1248="ED_JD",Painel_diario!$J1248=1),EXP(Painel_diario!$L1248),1)-1</f>
        <v/>
      </c>
      <c r="E1252" s="22">
        <f>(1+E1251)*IF(AND(Painel_diario!$H1248="ED_JU",Painel_diario!$J1248=1),EXP(Painel_diario!$L1248),1)-1</f>
        <v/>
      </c>
    </row>
    <row r="1253">
      <c r="A1253" s="25" t="n">
        <v>40665</v>
      </c>
      <c r="B1253" s="22">
        <f>(1+B1252)*IF(AND(Painel_diario!$H1249="EU_JD",Painel_diario!$J1249=1),EXP(Painel_diario!$L1249),1)-1</f>
        <v/>
      </c>
      <c r="C1253" s="22">
        <f>(1+C1252)*IF(AND(Painel_diario!$H1249="EU_JU",Painel_diario!$J1249=1),EXP(Painel_diario!$L1249),1)-1</f>
        <v/>
      </c>
      <c r="D1253" s="22">
        <f>(1+D1252)*IF(AND(Painel_diario!$H1249="ED_JD",Painel_diario!$J1249=1),EXP(Painel_diario!$L1249),1)-1</f>
        <v/>
      </c>
      <c r="E1253" s="22">
        <f>(1+E1252)*IF(AND(Painel_diario!$H1249="ED_JU",Painel_diario!$J1249=1),EXP(Painel_diario!$L1249),1)-1</f>
        <v/>
      </c>
    </row>
    <row r="1254">
      <c r="A1254" s="25" t="n">
        <v>40666</v>
      </c>
      <c r="B1254" s="22">
        <f>(1+B1253)*IF(AND(Painel_diario!$H1250="EU_JD",Painel_diario!$J1250=1),EXP(Painel_diario!$L1250),1)-1</f>
        <v/>
      </c>
      <c r="C1254" s="22">
        <f>(1+C1253)*IF(AND(Painel_diario!$H1250="EU_JU",Painel_diario!$J1250=1),EXP(Painel_diario!$L1250),1)-1</f>
        <v/>
      </c>
      <c r="D1254" s="22">
        <f>(1+D1253)*IF(AND(Painel_diario!$H1250="ED_JD",Painel_diario!$J1250=1),EXP(Painel_diario!$L1250),1)-1</f>
        <v/>
      </c>
      <c r="E1254" s="22">
        <f>(1+E1253)*IF(AND(Painel_diario!$H1250="ED_JU",Painel_diario!$J1250=1),EXP(Painel_diario!$L1250),1)-1</f>
        <v/>
      </c>
    </row>
    <row r="1255">
      <c r="A1255" s="25" t="n">
        <v>40667</v>
      </c>
      <c r="B1255" s="22">
        <f>(1+B1254)*IF(AND(Painel_diario!$H1251="EU_JD",Painel_diario!$J1251=1),EXP(Painel_diario!$L1251),1)-1</f>
        <v/>
      </c>
      <c r="C1255" s="22">
        <f>(1+C1254)*IF(AND(Painel_diario!$H1251="EU_JU",Painel_diario!$J1251=1),EXP(Painel_diario!$L1251),1)-1</f>
        <v/>
      </c>
      <c r="D1255" s="22">
        <f>(1+D1254)*IF(AND(Painel_diario!$H1251="ED_JD",Painel_diario!$J1251=1),EXP(Painel_diario!$L1251),1)-1</f>
        <v/>
      </c>
      <c r="E1255" s="22">
        <f>(1+E1254)*IF(AND(Painel_diario!$H1251="ED_JU",Painel_diario!$J1251=1),EXP(Painel_diario!$L1251),1)-1</f>
        <v/>
      </c>
    </row>
    <row r="1256">
      <c r="A1256" s="25" t="n">
        <v>40668</v>
      </c>
      <c r="B1256" s="22">
        <f>(1+B1255)*IF(AND(Painel_diario!$H1252="EU_JD",Painel_diario!$J1252=1),EXP(Painel_diario!$L1252),1)-1</f>
        <v/>
      </c>
      <c r="C1256" s="22">
        <f>(1+C1255)*IF(AND(Painel_diario!$H1252="EU_JU",Painel_diario!$J1252=1),EXP(Painel_diario!$L1252),1)-1</f>
        <v/>
      </c>
      <c r="D1256" s="22">
        <f>(1+D1255)*IF(AND(Painel_diario!$H1252="ED_JD",Painel_diario!$J1252=1),EXP(Painel_diario!$L1252),1)-1</f>
        <v/>
      </c>
      <c r="E1256" s="22">
        <f>(1+E1255)*IF(AND(Painel_diario!$H1252="ED_JU",Painel_diario!$J1252=1),EXP(Painel_diario!$L1252),1)-1</f>
        <v/>
      </c>
    </row>
    <row r="1257">
      <c r="A1257" s="25" t="n">
        <v>40669</v>
      </c>
      <c r="B1257" s="22">
        <f>(1+B1256)*IF(AND(Painel_diario!$H1253="EU_JD",Painel_diario!$J1253=1),EXP(Painel_diario!$L1253),1)-1</f>
        <v/>
      </c>
      <c r="C1257" s="22">
        <f>(1+C1256)*IF(AND(Painel_diario!$H1253="EU_JU",Painel_diario!$J1253=1),EXP(Painel_diario!$L1253),1)-1</f>
        <v/>
      </c>
      <c r="D1257" s="22">
        <f>(1+D1256)*IF(AND(Painel_diario!$H1253="ED_JD",Painel_diario!$J1253=1),EXP(Painel_diario!$L1253),1)-1</f>
        <v/>
      </c>
      <c r="E1257" s="22">
        <f>(1+E1256)*IF(AND(Painel_diario!$H1253="ED_JU",Painel_diario!$J1253=1),EXP(Painel_diario!$L1253),1)-1</f>
        <v/>
      </c>
    </row>
    <row r="1258">
      <c r="A1258" s="25" t="n">
        <v>40672</v>
      </c>
      <c r="B1258" s="22">
        <f>(1+B1257)*IF(AND(Painel_diario!$H1254="EU_JD",Painel_diario!$J1254=1),EXP(Painel_diario!$L1254),1)-1</f>
        <v/>
      </c>
      <c r="C1258" s="22">
        <f>(1+C1257)*IF(AND(Painel_diario!$H1254="EU_JU",Painel_diario!$J1254=1),EXP(Painel_diario!$L1254),1)-1</f>
        <v/>
      </c>
      <c r="D1258" s="22">
        <f>(1+D1257)*IF(AND(Painel_diario!$H1254="ED_JD",Painel_diario!$J1254=1),EXP(Painel_diario!$L1254),1)-1</f>
        <v/>
      </c>
      <c r="E1258" s="22">
        <f>(1+E1257)*IF(AND(Painel_diario!$H1254="ED_JU",Painel_diario!$J1254=1),EXP(Painel_diario!$L1254),1)-1</f>
        <v/>
      </c>
    </row>
    <row r="1259">
      <c r="A1259" s="25" t="n">
        <v>40673</v>
      </c>
      <c r="B1259" s="22">
        <f>(1+B1258)*IF(AND(Painel_diario!$H1255="EU_JD",Painel_diario!$J1255=1),EXP(Painel_diario!$L1255),1)-1</f>
        <v/>
      </c>
      <c r="C1259" s="22">
        <f>(1+C1258)*IF(AND(Painel_diario!$H1255="EU_JU",Painel_diario!$J1255=1),EXP(Painel_diario!$L1255),1)-1</f>
        <v/>
      </c>
      <c r="D1259" s="22">
        <f>(1+D1258)*IF(AND(Painel_diario!$H1255="ED_JD",Painel_diario!$J1255=1),EXP(Painel_diario!$L1255),1)-1</f>
        <v/>
      </c>
      <c r="E1259" s="22">
        <f>(1+E1258)*IF(AND(Painel_diario!$H1255="ED_JU",Painel_diario!$J1255=1),EXP(Painel_diario!$L1255),1)-1</f>
        <v/>
      </c>
    </row>
    <row r="1260">
      <c r="A1260" s="25" t="n">
        <v>40674</v>
      </c>
      <c r="B1260" s="22">
        <f>(1+B1259)*IF(AND(Painel_diario!$H1256="EU_JD",Painel_diario!$J1256=1),EXP(Painel_diario!$L1256),1)-1</f>
        <v/>
      </c>
      <c r="C1260" s="22">
        <f>(1+C1259)*IF(AND(Painel_diario!$H1256="EU_JU",Painel_diario!$J1256=1),EXP(Painel_diario!$L1256),1)-1</f>
        <v/>
      </c>
      <c r="D1260" s="22">
        <f>(1+D1259)*IF(AND(Painel_diario!$H1256="ED_JD",Painel_diario!$J1256=1),EXP(Painel_diario!$L1256),1)-1</f>
        <v/>
      </c>
      <c r="E1260" s="22">
        <f>(1+E1259)*IF(AND(Painel_diario!$H1256="ED_JU",Painel_diario!$J1256=1),EXP(Painel_diario!$L1256),1)-1</f>
        <v/>
      </c>
    </row>
    <row r="1261">
      <c r="A1261" s="25" t="n">
        <v>40675</v>
      </c>
      <c r="B1261" s="22">
        <f>(1+B1260)*IF(AND(Painel_diario!$H1257="EU_JD",Painel_diario!$J1257=1),EXP(Painel_diario!$L1257),1)-1</f>
        <v/>
      </c>
      <c r="C1261" s="22">
        <f>(1+C1260)*IF(AND(Painel_diario!$H1257="EU_JU",Painel_diario!$J1257=1),EXP(Painel_diario!$L1257),1)-1</f>
        <v/>
      </c>
      <c r="D1261" s="22">
        <f>(1+D1260)*IF(AND(Painel_diario!$H1257="ED_JD",Painel_diario!$J1257=1),EXP(Painel_diario!$L1257),1)-1</f>
        <v/>
      </c>
      <c r="E1261" s="22">
        <f>(1+E1260)*IF(AND(Painel_diario!$H1257="ED_JU",Painel_diario!$J1257=1),EXP(Painel_diario!$L1257),1)-1</f>
        <v/>
      </c>
    </row>
    <row r="1262">
      <c r="A1262" s="25" t="n">
        <v>40676</v>
      </c>
      <c r="B1262" s="22">
        <f>(1+B1261)*IF(AND(Painel_diario!$H1258="EU_JD",Painel_diario!$J1258=1),EXP(Painel_diario!$L1258),1)-1</f>
        <v/>
      </c>
      <c r="C1262" s="22">
        <f>(1+C1261)*IF(AND(Painel_diario!$H1258="EU_JU",Painel_diario!$J1258=1),EXP(Painel_diario!$L1258),1)-1</f>
        <v/>
      </c>
      <c r="D1262" s="22">
        <f>(1+D1261)*IF(AND(Painel_diario!$H1258="ED_JD",Painel_diario!$J1258=1),EXP(Painel_diario!$L1258),1)-1</f>
        <v/>
      </c>
      <c r="E1262" s="22">
        <f>(1+E1261)*IF(AND(Painel_diario!$H1258="ED_JU",Painel_diario!$J1258=1),EXP(Painel_diario!$L1258),1)-1</f>
        <v/>
      </c>
    </row>
    <row r="1263">
      <c r="A1263" s="25" t="n">
        <v>40679</v>
      </c>
      <c r="B1263" s="22">
        <f>(1+B1262)*IF(AND(Painel_diario!$H1259="EU_JD",Painel_diario!$J1259=1),EXP(Painel_diario!$L1259),1)-1</f>
        <v/>
      </c>
      <c r="C1263" s="22">
        <f>(1+C1262)*IF(AND(Painel_diario!$H1259="EU_JU",Painel_diario!$J1259=1),EXP(Painel_diario!$L1259),1)-1</f>
        <v/>
      </c>
      <c r="D1263" s="22">
        <f>(1+D1262)*IF(AND(Painel_diario!$H1259="ED_JD",Painel_diario!$J1259=1),EXP(Painel_diario!$L1259),1)-1</f>
        <v/>
      </c>
      <c r="E1263" s="22">
        <f>(1+E1262)*IF(AND(Painel_diario!$H1259="ED_JU",Painel_diario!$J1259=1),EXP(Painel_diario!$L1259),1)-1</f>
        <v/>
      </c>
    </row>
    <row r="1264">
      <c r="A1264" s="25" t="n">
        <v>40680</v>
      </c>
      <c r="B1264" s="22">
        <f>(1+B1263)*IF(AND(Painel_diario!$H1260="EU_JD",Painel_diario!$J1260=1),EXP(Painel_diario!$L1260),1)-1</f>
        <v/>
      </c>
      <c r="C1264" s="22">
        <f>(1+C1263)*IF(AND(Painel_diario!$H1260="EU_JU",Painel_diario!$J1260=1),EXP(Painel_diario!$L1260),1)-1</f>
        <v/>
      </c>
      <c r="D1264" s="22">
        <f>(1+D1263)*IF(AND(Painel_diario!$H1260="ED_JD",Painel_diario!$J1260=1),EXP(Painel_diario!$L1260),1)-1</f>
        <v/>
      </c>
      <c r="E1264" s="22">
        <f>(1+E1263)*IF(AND(Painel_diario!$H1260="ED_JU",Painel_diario!$J1260=1),EXP(Painel_diario!$L1260),1)-1</f>
        <v/>
      </c>
    </row>
    <row r="1265">
      <c r="A1265" s="25" t="n">
        <v>40681</v>
      </c>
      <c r="B1265" s="22">
        <f>(1+B1264)*IF(AND(Painel_diario!$H1261="EU_JD",Painel_diario!$J1261=1),EXP(Painel_diario!$L1261),1)-1</f>
        <v/>
      </c>
      <c r="C1265" s="22">
        <f>(1+C1264)*IF(AND(Painel_diario!$H1261="EU_JU",Painel_diario!$J1261=1),EXP(Painel_diario!$L1261),1)-1</f>
        <v/>
      </c>
      <c r="D1265" s="22">
        <f>(1+D1264)*IF(AND(Painel_diario!$H1261="ED_JD",Painel_diario!$J1261=1),EXP(Painel_diario!$L1261),1)-1</f>
        <v/>
      </c>
      <c r="E1265" s="22">
        <f>(1+E1264)*IF(AND(Painel_diario!$H1261="ED_JU",Painel_diario!$J1261=1),EXP(Painel_diario!$L1261),1)-1</f>
        <v/>
      </c>
    </row>
    <row r="1266">
      <c r="A1266" s="25" t="n">
        <v>40682</v>
      </c>
      <c r="B1266" s="22">
        <f>(1+B1265)*IF(AND(Painel_diario!$H1262="EU_JD",Painel_diario!$J1262=1),EXP(Painel_diario!$L1262),1)-1</f>
        <v/>
      </c>
      <c r="C1266" s="22">
        <f>(1+C1265)*IF(AND(Painel_diario!$H1262="EU_JU",Painel_diario!$J1262=1),EXP(Painel_diario!$L1262),1)-1</f>
        <v/>
      </c>
      <c r="D1266" s="22">
        <f>(1+D1265)*IF(AND(Painel_diario!$H1262="ED_JD",Painel_diario!$J1262=1),EXP(Painel_diario!$L1262),1)-1</f>
        <v/>
      </c>
      <c r="E1266" s="22">
        <f>(1+E1265)*IF(AND(Painel_diario!$H1262="ED_JU",Painel_diario!$J1262=1),EXP(Painel_diario!$L1262),1)-1</f>
        <v/>
      </c>
    </row>
    <row r="1267">
      <c r="A1267" s="25" t="n">
        <v>40683</v>
      </c>
      <c r="B1267" s="22">
        <f>(1+B1266)*IF(AND(Painel_diario!$H1263="EU_JD",Painel_diario!$J1263=1),EXP(Painel_diario!$L1263),1)-1</f>
        <v/>
      </c>
      <c r="C1267" s="22">
        <f>(1+C1266)*IF(AND(Painel_diario!$H1263="EU_JU",Painel_diario!$J1263=1),EXP(Painel_diario!$L1263),1)-1</f>
        <v/>
      </c>
      <c r="D1267" s="22">
        <f>(1+D1266)*IF(AND(Painel_diario!$H1263="ED_JD",Painel_diario!$J1263=1),EXP(Painel_diario!$L1263),1)-1</f>
        <v/>
      </c>
      <c r="E1267" s="22">
        <f>(1+E1266)*IF(AND(Painel_diario!$H1263="ED_JU",Painel_diario!$J1263=1),EXP(Painel_diario!$L1263),1)-1</f>
        <v/>
      </c>
    </row>
    <row r="1268">
      <c r="A1268" s="25" t="n">
        <v>40686</v>
      </c>
      <c r="B1268" s="22">
        <f>(1+B1267)*IF(AND(Painel_diario!$H1264="EU_JD",Painel_diario!$J1264=1),EXP(Painel_diario!$L1264),1)-1</f>
        <v/>
      </c>
      <c r="C1268" s="22">
        <f>(1+C1267)*IF(AND(Painel_diario!$H1264="EU_JU",Painel_diario!$J1264=1),EXP(Painel_diario!$L1264),1)-1</f>
        <v/>
      </c>
      <c r="D1268" s="22">
        <f>(1+D1267)*IF(AND(Painel_diario!$H1264="ED_JD",Painel_diario!$J1264=1),EXP(Painel_diario!$L1264),1)-1</f>
        <v/>
      </c>
      <c r="E1268" s="22">
        <f>(1+E1267)*IF(AND(Painel_diario!$H1264="ED_JU",Painel_diario!$J1264=1),EXP(Painel_diario!$L1264),1)-1</f>
        <v/>
      </c>
    </row>
    <row r="1269">
      <c r="A1269" s="25" t="n">
        <v>40687</v>
      </c>
      <c r="B1269" s="22">
        <f>(1+B1268)*IF(AND(Painel_diario!$H1265="EU_JD",Painel_diario!$J1265=1),EXP(Painel_diario!$L1265),1)-1</f>
        <v/>
      </c>
      <c r="C1269" s="22">
        <f>(1+C1268)*IF(AND(Painel_diario!$H1265="EU_JU",Painel_diario!$J1265=1),EXP(Painel_diario!$L1265),1)-1</f>
        <v/>
      </c>
      <c r="D1269" s="22">
        <f>(1+D1268)*IF(AND(Painel_diario!$H1265="ED_JD",Painel_diario!$J1265=1),EXP(Painel_diario!$L1265),1)-1</f>
        <v/>
      </c>
      <c r="E1269" s="22">
        <f>(1+E1268)*IF(AND(Painel_diario!$H1265="ED_JU",Painel_diario!$J1265=1),EXP(Painel_diario!$L1265),1)-1</f>
        <v/>
      </c>
    </row>
    <row r="1270">
      <c r="A1270" s="25" t="n">
        <v>40688</v>
      </c>
      <c r="B1270" s="22">
        <f>(1+B1269)*IF(AND(Painel_diario!$H1266="EU_JD",Painel_diario!$J1266=1),EXP(Painel_diario!$L1266),1)-1</f>
        <v/>
      </c>
      <c r="C1270" s="22">
        <f>(1+C1269)*IF(AND(Painel_diario!$H1266="EU_JU",Painel_diario!$J1266=1),EXP(Painel_diario!$L1266),1)-1</f>
        <v/>
      </c>
      <c r="D1270" s="22">
        <f>(1+D1269)*IF(AND(Painel_diario!$H1266="ED_JD",Painel_diario!$J1266=1),EXP(Painel_diario!$L1266),1)-1</f>
        <v/>
      </c>
      <c r="E1270" s="22">
        <f>(1+E1269)*IF(AND(Painel_diario!$H1266="ED_JU",Painel_diario!$J1266=1),EXP(Painel_diario!$L1266),1)-1</f>
        <v/>
      </c>
    </row>
    <row r="1271">
      <c r="A1271" s="25" t="n">
        <v>40689</v>
      </c>
      <c r="B1271" s="22">
        <f>(1+B1270)*IF(AND(Painel_diario!$H1267="EU_JD",Painel_diario!$J1267=1),EXP(Painel_diario!$L1267),1)-1</f>
        <v/>
      </c>
      <c r="C1271" s="22">
        <f>(1+C1270)*IF(AND(Painel_diario!$H1267="EU_JU",Painel_diario!$J1267=1),EXP(Painel_diario!$L1267),1)-1</f>
        <v/>
      </c>
      <c r="D1271" s="22">
        <f>(1+D1270)*IF(AND(Painel_diario!$H1267="ED_JD",Painel_diario!$J1267=1),EXP(Painel_diario!$L1267),1)-1</f>
        <v/>
      </c>
      <c r="E1271" s="22">
        <f>(1+E1270)*IF(AND(Painel_diario!$H1267="ED_JU",Painel_diario!$J1267=1),EXP(Painel_diario!$L1267),1)-1</f>
        <v/>
      </c>
    </row>
    <row r="1272">
      <c r="A1272" s="25" t="n">
        <v>40690</v>
      </c>
      <c r="B1272" s="22">
        <f>(1+B1271)*IF(AND(Painel_diario!$H1268="EU_JD",Painel_diario!$J1268=1),EXP(Painel_diario!$L1268),1)-1</f>
        <v/>
      </c>
      <c r="C1272" s="22">
        <f>(1+C1271)*IF(AND(Painel_diario!$H1268="EU_JU",Painel_diario!$J1268=1),EXP(Painel_diario!$L1268),1)-1</f>
        <v/>
      </c>
      <c r="D1272" s="22">
        <f>(1+D1271)*IF(AND(Painel_diario!$H1268="ED_JD",Painel_diario!$J1268=1),EXP(Painel_diario!$L1268),1)-1</f>
        <v/>
      </c>
      <c r="E1272" s="22">
        <f>(1+E1271)*IF(AND(Painel_diario!$H1268="ED_JU",Painel_diario!$J1268=1),EXP(Painel_diario!$L1268),1)-1</f>
        <v/>
      </c>
    </row>
    <row r="1273">
      <c r="A1273" s="25" t="n">
        <v>40693</v>
      </c>
      <c r="B1273" s="22">
        <f>(1+B1272)*IF(AND(Painel_diario!$H1269="EU_JD",Painel_diario!$J1269=1),EXP(Painel_diario!$L1269),1)-1</f>
        <v/>
      </c>
      <c r="C1273" s="22">
        <f>(1+C1272)*IF(AND(Painel_diario!$H1269="EU_JU",Painel_diario!$J1269=1),EXP(Painel_diario!$L1269),1)-1</f>
        <v/>
      </c>
      <c r="D1273" s="22">
        <f>(1+D1272)*IF(AND(Painel_diario!$H1269="ED_JD",Painel_diario!$J1269=1),EXP(Painel_diario!$L1269),1)-1</f>
        <v/>
      </c>
      <c r="E1273" s="22">
        <f>(1+E1272)*IF(AND(Painel_diario!$H1269="ED_JU",Painel_diario!$J1269=1),EXP(Painel_diario!$L1269),1)-1</f>
        <v/>
      </c>
    </row>
    <row r="1274">
      <c r="A1274" s="25" t="n">
        <v>40694</v>
      </c>
      <c r="B1274" s="22">
        <f>(1+B1273)*IF(AND(Painel_diario!$H1270="EU_JD",Painel_diario!$J1270=1),EXP(Painel_diario!$L1270),1)-1</f>
        <v/>
      </c>
      <c r="C1274" s="22">
        <f>(1+C1273)*IF(AND(Painel_diario!$H1270="EU_JU",Painel_diario!$J1270=1),EXP(Painel_diario!$L1270),1)-1</f>
        <v/>
      </c>
      <c r="D1274" s="22">
        <f>(1+D1273)*IF(AND(Painel_diario!$H1270="ED_JD",Painel_diario!$J1270=1),EXP(Painel_diario!$L1270),1)-1</f>
        <v/>
      </c>
      <c r="E1274" s="22">
        <f>(1+E1273)*IF(AND(Painel_diario!$H1270="ED_JU",Painel_diario!$J1270=1),EXP(Painel_diario!$L1270),1)-1</f>
        <v/>
      </c>
    </row>
    <row r="1275">
      <c r="A1275" s="25" t="n">
        <v>40695</v>
      </c>
      <c r="B1275" s="22">
        <f>(1+B1274)*IF(AND(Painel_diario!$H1271="EU_JD",Painel_diario!$J1271=1),EXP(Painel_diario!$L1271),1)-1</f>
        <v/>
      </c>
      <c r="C1275" s="22">
        <f>(1+C1274)*IF(AND(Painel_diario!$H1271="EU_JU",Painel_diario!$J1271=1),EXP(Painel_diario!$L1271),1)-1</f>
        <v/>
      </c>
      <c r="D1275" s="22">
        <f>(1+D1274)*IF(AND(Painel_diario!$H1271="ED_JD",Painel_diario!$J1271=1),EXP(Painel_diario!$L1271),1)-1</f>
        <v/>
      </c>
      <c r="E1275" s="22">
        <f>(1+E1274)*IF(AND(Painel_diario!$H1271="ED_JU",Painel_diario!$J1271=1),EXP(Painel_diario!$L1271),1)-1</f>
        <v/>
      </c>
    </row>
    <row r="1276">
      <c r="A1276" s="25" t="n">
        <v>40696</v>
      </c>
      <c r="B1276" s="22">
        <f>(1+B1275)*IF(AND(Painel_diario!$H1272="EU_JD",Painel_diario!$J1272=1),EXP(Painel_diario!$L1272),1)-1</f>
        <v/>
      </c>
      <c r="C1276" s="22">
        <f>(1+C1275)*IF(AND(Painel_diario!$H1272="EU_JU",Painel_diario!$J1272=1),EXP(Painel_diario!$L1272),1)-1</f>
        <v/>
      </c>
      <c r="D1276" s="22">
        <f>(1+D1275)*IF(AND(Painel_diario!$H1272="ED_JD",Painel_diario!$J1272=1),EXP(Painel_diario!$L1272),1)-1</f>
        <v/>
      </c>
      <c r="E1276" s="22">
        <f>(1+E1275)*IF(AND(Painel_diario!$H1272="ED_JU",Painel_diario!$J1272=1),EXP(Painel_diario!$L1272),1)-1</f>
        <v/>
      </c>
    </row>
    <row r="1277">
      <c r="A1277" s="25" t="n">
        <v>40697</v>
      </c>
      <c r="B1277" s="22">
        <f>(1+B1276)*IF(AND(Painel_diario!$H1273="EU_JD",Painel_diario!$J1273=1),EXP(Painel_diario!$L1273),1)-1</f>
        <v/>
      </c>
      <c r="C1277" s="22">
        <f>(1+C1276)*IF(AND(Painel_diario!$H1273="EU_JU",Painel_diario!$J1273=1),EXP(Painel_diario!$L1273),1)-1</f>
        <v/>
      </c>
      <c r="D1277" s="22">
        <f>(1+D1276)*IF(AND(Painel_diario!$H1273="ED_JD",Painel_diario!$J1273=1),EXP(Painel_diario!$L1273),1)-1</f>
        <v/>
      </c>
      <c r="E1277" s="22">
        <f>(1+E1276)*IF(AND(Painel_diario!$H1273="ED_JU",Painel_diario!$J1273=1),EXP(Painel_diario!$L1273),1)-1</f>
        <v/>
      </c>
    </row>
    <row r="1278">
      <c r="A1278" s="25" t="n">
        <v>40700</v>
      </c>
      <c r="B1278" s="22">
        <f>(1+B1277)*IF(AND(Painel_diario!$H1274="EU_JD",Painel_diario!$J1274=1),EXP(Painel_diario!$L1274),1)-1</f>
        <v/>
      </c>
      <c r="C1278" s="22">
        <f>(1+C1277)*IF(AND(Painel_diario!$H1274="EU_JU",Painel_diario!$J1274=1),EXP(Painel_diario!$L1274),1)-1</f>
        <v/>
      </c>
      <c r="D1278" s="22">
        <f>(1+D1277)*IF(AND(Painel_diario!$H1274="ED_JD",Painel_diario!$J1274=1),EXP(Painel_diario!$L1274),1)-1</f>
        <v/>
      </c>
      <c r="E1278" s="22">
        <f>(1+E1277)*IF(AND(Painel_diario!$H1274="ED_JU",Painel_diario!$J1274=1),EXP(Painel_diario!$L1274),1)-1</f>
        <v/>
      </c>
    </row>
    <row r="1279">
      <c r="A1279" s="25" t="n">
        <v>40701</v>
      </c>
      <c r="B1279" s="22">
        <f>(1+B1278)*IF(AND(Painel_diario!$H1275="EU_JD",Painel_diario!$J1275=1),EXP(Painel_diario!$L1275),1)-1</f>
        <v/>
      </c>
      <c r="C1279" s="22">
        <f>(1+C1278)*IF(AND(Painel_diario!$H1275="EU_JU",Painel_diario!$J1275=1),EXP(Painel_diario!$L1275),1)-1</f>
        <v/>
      </c>
      <c r="D1279" s="22">
        <f>(1+D1278)*IF(AND(Painel_diario!$H1275="ED_JD",Painel_diario!$J1275=1),EXP(Painel_diario!$L1275),1)-1</f>
        <v/>
      </c>
      <c r="E1279" s="22">
        <f>(1+E1278)*IF(AND(Painel_diario!$H1275="ED_JU",Painel_diario!$J1275=1),EXP(Painel_diario!$L1275),1)-1</f>
        <v/>
      </c>
    </row>
    <row r="1280">
      <c r="A1280" s="25" t="n">
        <v>40702</v>
      </c>
      <c r="B1280" s="22">
        <f>(1+B1279)*IF(AND(Painel_diario!$H1276="EU_JD",Painel_diario!$J1276=1),EXP(Painel_diario!$L1276),1)-1</f>
        <v/>
      </c>
      <c r="C1280" s="22">
        <f>(1+C1279)*IF(AND(Painel_diario!$H1276="EU_JU",Painel_diario!$J1276=1),EXP(Painel_diario!$L1276),1)-1</f>
        <v/>
      </c>
      <c r="D1280" s="22">
        <f>(1+D1279)*IF(AND(Painel_diario!$H1276="ED_JD",Painel_diario!$J1276=1),EXP(Painel_diario!$L1276),1)-1</f>
        <v/>
      </c>
      <c r="E1280" s="22">
        <f>(1+E1279)*IF(AND(Painel_diario!$H1276="ED_JU",Painel_diario!$J1276=1),EXP(Painel_diario!$L1276),1)-1</f>
        <v/>
      </c>
    </row>
    <row r="1281">
      <c r="A1281" s="25" t="n">
        <v>40703</v>
      </c>
      <c r="B1281" s="22">
        <f>(1+B1280)*IF(AND(Painel_diario!$H1277="EU_JD",Painel_diario!$J1277=1),EXP(Painel_diario!$L1277),1)-1</f>
        <v/>
      </c>
      <c r="C1281" s="22">
        <f>(1+C1280)*IF(AND(Painel_diario!$H1277="EU_JU",Painel_diario!$J1277=1),EXP(Painel_diario!$L1277),1)-1</f>
        <v/>
      </c>
      <c r="D1281" s="22">
        <f>(1+D1280)*IF(AND(Painel_diario!$H1277="ED_JD",Painel_diario!$J1277=1),EXP(Painel_diario!$L1277),1)-1</f>
        <v/>
      </c>
      <c r="E1281" s="22">
        <f>(1+E1280)*IF(AND(Painel_diario!$H1277="ED_JU",Painel_diario!$J1277=1),EXP(Painel_diario!$L1277),1)-1</f>
        <v/>
      </c>
    </row>
    <row r="1282">
      <c r="A1282" s="25" t="n">
        <v>40704</v>
      </c>
      <c r="B1282" s="22">
        <f>(1+B1281)*IF(AND(Painel_diario!$H1278="EU_JD",Painel_diario!$J1278=1),EXP(Painel_diario!$L1278),1)-1</f>
        <v/>
      </c>
      <c r="C1282" s="22">
        <f>(1+C1281)*IF(AND(Painel_diario!$H1278="EU_JU",Painel_diario!$J1278=1),EXP(Painel_diario!$L1278),1)-1</f>
        <v/>
      </c>
      <c r="D1282" s="22">
        <f>(1+D1281)*IF(AND(Painel_diario!$H1278="ED_JD",Painel_diario!$J1278=1),EXP(Painel_diario!$L1278),1)-1</f>
        <v/>
      </c>
      <c r="E1282" s="22">
        <f>(1+E1281)*IF(AND(Painel_diario!$H1278="ED_JU",Painel_diario!$J1278=1),EXP(Painel_diario!$L1278),1)-1</f>
        <v/>
      </c>
    </row>
    <row r="1283">
      <c r="A1283" s="25" t="n">
        <v>40707</v>
      </c>
      <c r="B1283" s="22">
        <f>(1+B1282)*IF(AND(Painel_diario!$H1279="EU_JD",Painel_diario!$J1279=1),EXP(Painel_diario!$L1279),1)-1</f>
        <v/>
      </c>
      <c r="C1283" s="22">
        <f>(1+C1282)*IF(AND(Painel_diario!$H1279="EU_JU",Painel_diario!$J1279=1),EXP(Painel_diario!$L1279),1)-1</f>
        <v/>
      </c>
      <c r="D1283" s="22">
        <f>(1+D1282)*IF(AND(Painel_diario!$H1279="ED_JD",Painel_diario!$J1279=1),EXP(Painel_diario!$L1279),1)-1</f>
        <v/>
      </c>
      <c r="E1283" s="22">
        <f>(1+E1282)*IF(AND(Painel_diario!$H1279="ED_JU",Painel_diario!$J1279=1),EXP(Painel_diario!$L1279),1)-1</f>
        <v/>
      </c>
    </row>
    <row r="1284">
      <c r="A1284" s="25" t="n">
        <v>40708</v>
      </c>
      <c r="B1284" s="22">
        <f>(1+B1283)*IF(AND(Painel_diario!$H1280="EU_JD",Painel_diario!$J1280=1),EXP(Painel_diario!$L1280),1)-1</f>
        <v/>
      </c>
      <c r="C1284" s="22">
        <f>(1+C1283)*IF(AND(Painel_diario!$H1280="EU_JU",Painel_diario!$J1280=1),EXP(Painel_diario!$L1280),1)-1</f>
        <v/>
      </c>
      <c r="D1284" s="22">
        <f>(1+D1283)*IF(AND(Painel_diario!$H1280="ED_JD",Painel_diario!$J1280=1),EXP(Painel_diario!$L1280),1)-1</f>
        <v/>
      </c>
      <c r="E1284" s="22">
        <f>(1+E1283)*IF(AND(Painel_diario!$H1280="ED_JU",Painel_diario!$J1280=1),EXP(Painel_diario!$L1280),1)-1</f>
        <v/>
      </c>
    </row>
    <row r="1285">
      <c r="A1285" s="25" t="n">
        <v>40709</v>
      </c>
      <c r="B1285" s="22">
        <f>(1+B1284)*IF(AND(Painel_diario!$H1281="EU_JD",Painel_diario!$J1281=1),EXP(Painel_diario!$L1281),1)-1</f>
        <v/>
      </c>
      <c r="C1285" s="22">
        <f>(1+C1284)*IF(AND(Painel_diario!$H1281="EU_JU",Painel_diario!$J1281=1),EXP(Painel_diario!$L1281),1)-1</f>
        <v/>
      </c>
      <c r="D1285" s="22">
        <f>(1+D1284)*IF(AND(Painel_diario!$H1281="ED_JD",Painel_diario!$J1281=1),EXP(Painel_diario!$L1281),1)-1</f>
        <v/>
      </c>
      <c r="E1285" s="22">
        <f>(1+E1284)*IF(AND(Painel_diario!$H1281="ED_JU",Painel_diario!$J1281=1),EXP(Painel_diario!$L1281),1)-1</f>
        <v/>
      </c>
    </row>
    <row r="1286">
      <c r="A1286" s="25" t="n">
        <v>40710</v>
      </c>
      <c r="B1286" s="22">
        <f>(1+B1285)*IF(AND(Painel_diario!$H1282="EU_JD",Painel_diario!$J1282=1),EXP(Painel_diario!$L1282),1)-1</f>
        <v/>
      </c>
      <c r="C1286" s="22">
        <f>(1+C1285)*IF(AND(Painel_diario!$H1282="EU_JU",Painel_diario!$J1282=1),EXP(Painel_diario!$L1282),1)-1</f>
        <v/>
      </c>
      <c r="D1286" s="22">
        <f>(1+D1285)*IF(AND(Painel_diario!$H1282="ED_JD",Painel_diario!$J1282=1),EXP(Painel_diario!$L1282),1)-1</f>
        <v/>
      </c>
      <c r="E1286" s="22">
        <f>(1+E1285)*IF(AND(Painel_diario!$H1282="ED_JU",Painel_diario!$J1282=1),EXP(Painel_diario!$L1282),1)-1</f>
        <v/>
      </c>
    </row>
    <row r="1287">
      <c r="A1287" s="25" t="n">
        <v>40711</v>
      </c>
      <c r="B1287" s="22">
        <f>(1+B1286)*IF(AND(Painel_diario!$H1283="EU_JD",Painel_diario!$J1283=1),EXP(Painel_diario!$L1283),1)-1</f>
        <v/>
      </c>
      <c r="C1287" s="22">
        <f>(1+C1286)*IF(AND(Painel_diario!$H1283="EU_JU",Painel_diario!$J1283=1),EXP(Painel_diario!$L1283),1)-1</f>
        <v/>
      </c>
      <c r="D1287" s="22">
        <f>(1+D1286)*IF(AND(Painel_diario!$H1283="ED_JD",Painel_diario!$J1283=1),EXP(Painel_diario!$L1283),1)-1</f>
        <v/>
      </c>
      <c r="E1287" s="22">
        <f>(1+E1286)*IF(AND(Painel_diario!$H1283="ED_JU",Painel_diario!$J1283=1),EXP(Painel_diario!$L1283),1)-1</f>
        <v/>
      </c>
    </row>
    <row r="1288">
      <c r="A1288" s="25" t="n">
        <v>40714</v>
      </c>
      <c r="B1288" s="22">
        <f>(1+B1287)*IF(AND(Painel_diario!$H1284="EU_JD",Painel_diario!$J1284=1),EXP(Painel_diario!$L1284),1)-1</f>
        <v/>
      </c>
      <c r="C1288" s="22">
        <f>(1+C1287)*IF(AND(Painel_diario!$H1284="EU_JU",Painel_diario!$J1284=1),EXP(Painel_diario!$L1284),1)-1</f>
        <v/>
      </c>
      <c r="D1288" s="22">
        <f>(1+D1287)*IF(AND(Painel_diario!$H1284="ED_JD",Painel_diario!$J1284=1),EXP(Painel_diario!$L1284),1)-1</f>
        <v/>
      </c>
      <c r="E1288" s="22">
        <f>(1+E1287)*IF(AND(Painel_diario!$H1284="ED_JU",Painel_diario!$J1284=1),EXP(Painel_diario!$L1284),1)-1</f>
        <v/>
      </c>
    </row>
    <row r="1289">
      <c r="A1289" s="25" t="n">
        <v>40715</v>
      </c>
      <c r="B1289" s="22">
        <f>(1+B1288)*IF(AND(Painel_diario!$H1285="EU_JD",Painel_diario!$J1285=1),EXP(Painel_diario!$L1285),1)-1</f>
        <v/>
      </c>
      <c r="C1289" s="22">
        <f>(1+C1288)*IF(AND(Painel_diario!$H1285="EU_JU",Painel_diario!$J1285=1),EXP(Painel_diario!$L1285),1)-1</f>
        <v/>
      </c>
      <c r="D1289" s="22">
        <f>(1+D1288)*IF(AND(Painel_diario!$H1285="ED_JD",Painel_diario!$J1285=1),EXP(Painel_diario!$L1285),1)-1</f>
        <v/>
      </c>
      <c r="E1289" s="22">
        <f>(1+E1288)*IF(AND(Painel_diario!$H1285="ED_JU",Painel_diario!$J1285=1),EXP(Painel_diario!$L1285),1)-1</f>
        <v/>
      </c>
    </row>
    <row r="1290">
      <c r="A1290" s="25" t="n">
        <v>40716</v>
      </c>
      <c r="B1290" s="22">
        <f>(1+B1289)*IF(AND(Painel_diario!$H1286="EU_JD",Painel_diario!$J1286=1),EXP(Painel_diario!$L1286),1)-1</f>
        <v/>
      </c>
      <c r="C1290" s="22">
        <f>(1+C1289)*IF(AND(Painel_diario!$H1286="EU_JU",Painel_diario!$J1286=1),EXP(Painel_diario!$L1286),1)-1</f>
        <v/>
      </c>
      <c r="D1290" s="22">
        <f>(1+D1289)*IF(AND(Painel_diario!$H1286="ED_JD",Painel_diario!$J1286=1),EXP(Painel_diario!$L1286),1)-1</f>
        <v/>
      </c>
      <c r="E1290" s="22">
        <f>(1+E1289)*IF(AND(Painel_diario!$H1286="ED_JU",Painel_diario!$J1286=1),EXP(Painel_diario!$L1286),1)-1</f>
        <v/>
      </c>
    </row>
    <row r="1291">
      <c r="A1291" s="25" t="n">
        <v>40718</v>
      </c>
      <c r="B1291" s="22">
        <f>(1+B1290)*IF(AND(Painel_diario!$H1287="EU_JD",Painel_diario!$J1287=1),EXP(Painel_diario!$L1287),1)-1</f>
        <v/>
      </c>
      <c r="C1291" s="22">
        <f>(1+C1290)*IF(AND(Painel_diario!$H1287="EU_JU",Painel_diario!$J1287=1),EXP(Painel_diario!$L1287),1)-1</f>
        <v/>
      </c>
      <c r="D1291" s="22">
        <f>(1+D1290)*IF(AND(Painel_diario!$H1287="ED_JD",Painel_diario!$J1287=1),EXP(Painel_diario!$L1287),1)-1</f>
        <v/>
      </c>
      <c r="E1291" s="22">
        <f>(1+E1290)*IF(AND(Painel_diario!$H1287="ED_JU",Painel_diario!$J1287=1),EXP(Painel_diario!$L1287),1)-1</f>
        <v/>
      </c>
    </row>
    <row r="1292">
      <c r="A1292" s="25" t="n">
        <v>40721</v>
      </c>
      <c r="B1292" s="22">
        <f>(1+B1291)*IF(AND(Painel_diario!$H1288="EU_JD",Painel_diario!$J1288=1),EXP(Painel_diario!$L1288),1)-1</f>
        <v/>
      </c>
      <c r="C1292" s="22">
        <f>(1+C1291)*IF(AND(Painel_diario!$H1288="EU_JU",Painel_diario!$J1288=1),EXP(Painel_diario!$L1288),1)-1</f>
        <v/>
      </c>
      <c r="D1292" s="22">
        <f>(1+D1291)*IF(AND(Painel_diario!$H1288="ED_JD",Painel_diario!$J1288=1),EXP(Painel_diario!$L1288),1)-1</f>
        <v/>
      </c>
      <c r="E1292" s="22">
        <f>(1+E1291)*IF(AND(Painel_diario!$H1288="ED_JU",Painel_diario!$J1288=1),EXP(Painel_diario!$L1288),1)-1</f>
        <v/>
      </c>
    </row>
    <row r="1293">
      <c r="A1293" s="25" t="n">
        <v>40722</v>
      </c>
      <c r="B1293" s="22">
        <f>(1+B1292)*IF(AND(Painel_diario!$H1289="EU_JD",Painel_diario!$J1289=1),EXP(Painel_diario!$L1289),1)-1</f>
        <v/>
      </c>
      <c r="C1293" s="22">
        <f>(1+C1292)*IF(AND(Painel_diario!$H1289="EU_JU",Painel_diario!$J1289=1),EXP(Painel_diario!$L1289),1)-1</f>
        <v/>
      </c>
      <c r="D1293" s="22">
        <f>(1+D1292)*IF(AND(Painel_diario!$H1289="ED_JD",Painel_diario!$J1289=1),EXP(Painel_diario!$L1289),1)-1</f>
        <v/>
      </c>
      <c r="E1293" s="22">
        <f>(1+E1292)*IF(AND(Painel_diario!$H1289="ED_JU",Painel_diario!$J1289=1),EXP(Painel_diario!$L1289),1)-1</f>
        <v/>
      </c>
    </row>
    <row r="1294">
      <c r="A1294" s="25" t="n">
        <v>40723</v>
      </c>
      <c r="B1294" s="22">
        <f>(1+B1293)*IF(AND(Painel_diario!$H1290="EU_JD",Painel_diario!$J1290=1),EXP(Painel_diario!$L1290),1)-1</f>
        <v/>
      </c>
      <c r="C1294" s="22">
        <f>(1+C1293)*IF(AND(Painel_diario!$H1290="EU_JU",Painel_diario!$J1290=1),EXP(Painel_diario!$L1290),1)-1</f>
        <v/>
      </c>
      <c r="D1294" s="22">
        <f>(1+D1293)*IF(AND(Painel_diario!$H1290="ED_JD",Painel_diario!$J1290=1),EXP(Painel_diario!$L1290),1)-1</f>
        <v/>
      </c>
      <c r="E1294" s="22">
        <f>(1+E1293)*IF(AND(Painel_diario!$H1290="ED_JU",Painel_diario!$J1290=1),EXP(Painel_diario!$L1290),1)-1</f>
        <v/>
      </c>
    </row>
    <row r="1295">
      <c r="A1295" s="25" t="n">
        <v>40724</v>
      </c>
      <c r="B1295" s="22">
        <f>(1+B1294)*IF(AND(Painel_diario!$H1291="EU_JD",Painel_diario!$J1291=1),EXP(Painel_diario!$L1291),1)-1</f>
        <v/>
      </c>
      <c r="C1295" s="22">
        <f>(1+C1294)*IF(AND(Painel_diario!$H1291="EU_JU",Painel_diario!$J1291=1),EXP(Painel_diario!$L1291),1)-1</f>
        <v/>
      </c>
      <c r="D1295" s="22">
        <f>(1+D1294)*IF(AND(Painel_diario!$H1291="ED_JD",Painel_diario!$J1291=1),EXP(Painel_diario!$L1291),1)-1</f>
        <v/>
      </c>
      <c r="E1295" s="22">
        <f>(1+E1294)*IF(AND(Painel_diario!$H1291="ED_JU",Painel_diario!$J1291=1),EXP(Painel_diario!$L1291),1)-1</f>
        <v/>
      </c>
    </row>
    <row r="1296">
      <c r="A1296" s="25" t="n">
        <v>40725</v>
      </c>
      <c r="B1296" s="22">
        <f>(1+B1295)*IF(AND(Painel_diario!$H1292="EU_JD",Painel_diario!$J1292=1),EXP(Painel_diario!$L1292),1)-1</f>
        <v/>
      </c>
      <c r="C1296" s="22">
        <f>(1+C1295)*IF(AND(Painel_diario!$H1292="EU_JU",Painel_diario!$J1292=1),EXP(Painel_diario!$L1292),1)-1</f>
        <v/>
      </c>
      <c r="D1296" s="22">
        <f>(1+D1295)*IF(AND(Painel_diario!$H1292="ED_JD",Painel_diario!$J1292=1),EXP(Painel_diario!$L1292),1)-1</f>
        <v/>
      </c>
      <c r="E1296" s="22">
        <f>(1+E1295)*IF(AND(Painel_diario!$H1292="ED_JU",Painel_diario!$J1292=1),EXP(Painel_diario!$L1292),1)-1</f>
        <v/>
      </c>
    </row>
    <row r="1297">
      <c r="A1297" s="25" t="n">
        <v>40728</v>
      </c>
      <c r="B1297" s="22">
        <f>(1+B1296)*IF(AND(Painel_diario!$H1293="EU_JD",Painel_diario!$J1293=1),EXP(Painel_diario!$L1293),1)-1</f>
        <v/>
      </c>
      <c r="C1297" s="22">
        <f>(1+C1296)*IF(AND(Painel_diario!$H1293="EU_JU",Painel_diario!$J1293=1),EXP(Painel_diario!$L1293),1)-1</f>
        <v/>
      </c>
      <c r="D1297" s="22">
        <f>(1+D1296)*IF(AND(Painel_diario!$H1293="ED_JD",Painel_diario!$J1293=1),EXP(Painel_diario!$L1293),1)-1</f>
        <v/>
      </c>
      <c r="E1297" s="22">
        <f>(1+E1296)*IF(AND(Painel_diario!$H1293="ED_JU",Painel_diario!$J1293=1),EXP(Painel_diario!$L1293),1)-1</f>
        <v/>
      </c>
    </row>
    <row r="1298">
      <c r="A1298" s="25" t="n">
        <v>40729</v>
      </c>
      <c r="B1298" s="22">
        <f>(1+B1297)*IF(AND(Painel_diario!$H1294="EU_JD",Painel_diario!$J1294=1),EXP(Painel_diario!$L1294),1)-1</f>
        <v/>
      </c>
      <c r="C1298" s="22">
        <f>(1+C1297)*IF(AND(Painel_diario!$H1294="EU_JU",Painel_diario!$J1294=1),EXP(Painel_diario!$L1294),1)-1</f>
        <v/>
      </c>
      <c r="D1298" s="22">
        <f>(1+D1297)*IF(AND(Painel_diario!$H1294="ED_JD",Painel_diario!$J1294=1),EXP(Painel_diario!$L1294),1)-1</f>
        <v/>
      </c>
      <c r="E1298" s="22">
        <f>(1+E1297)*IF(AND(Painel_diario!$H1294="ED_JU",Painel_diario!$J1294=1),EXP(Painel_diario!$L1294),1)-1</f>
        <v/>
      </c>
    </row>
    <row r="1299">
      <c r="A1299" s="25" t="n">
        <v>40730</v>
      </c>
      <c r="B1299" s="22">
        <f>(1+B1298)*IF(AND(Painel_diario!$H1295="EU_JD",Painel_diario!$J1295=1),EXP(Painel_diario!$L1295),1)-1</f>
        <v/>
      </c>
      <c r="C1299" s="22">
        <f>(1+C1298)*IF(AND(Painel_diario!$H1295="EU_JU",Painel_diario!$J1295=1),EXP(Painel_diario!$L1295),1)-1</f>
        <v/>
      </c>
      <c r="D1299" s="22">
        <f>(1+D1298)*IF(AND(Painel_diario!$H1295="ED_JD",Painel_diario!$J1295=1),EXP(Painel_diario!$L1295),1)-1</f>
        <v/>
      </c>
      <c r="E1299" s="22">
        <f>(1+E1298)*IF(AND(Painel_diario!$H1295="ED_JU",Painel_diario!$J1295=1),EXP(Painel_diario!$L1295),1)-1</f>
        <v/>
      </c>
    </row>
    <row r="1300">
      <c r="A1300" s="25" t="n">
        <v>40731</v>
      </c>
      <c r="B1300" s="22">
        <f>(1+B1299)*IF(AND(Painel_diario!$H1296="EU_JD",Painel_diario!$J1296=1),EXP(Painel_diario!$L1296),1)-1</f>
        <v/>
      </c>
      <c r="C1300" s="22">
        <f>(1+C1299)*IF(AND(Painel_diario!$H1296="EU_JU",Painel_diario!$J1296=1),EXP(Painel_diario!$L1296),1)-1</f>
        <v/>
      </c>
      <c r="D1300" s="22">
        <f>(1+D1299)*IF(AND(Painel_diario!$H1296="ED_JD",Painel_diario!$J1296=1),EXP(Painel_diario!$L1296),1)-1</f>
        <v/>
      </c>
      <c r="E1300" s="22">
        <f>(1+E1299)*IF(AND(Painel_diario!$H1296="ED_JU",Painel_diario!$J1296=1),EXP(Painel_diario!$L1296),1)-1</f>
        <v/>
      </c>
    </row>
    <row r="1301">
      <c r="A1301" s="25" t="n">
        <v>40732</v>
      </c>
      <c r="B1301" s="22">
        <f>(1+B1300)*IF(AND(Painel_diario!$H1297="EU_JD",Painel_diario!$J1297=1),EXP(Painel_diario!$L1297),1)-1</f>
        <v/>
      </c>
      <c r="C1301" s="22">
        <f>(1+C1300)*IF(AND(Painel_diario!$H1297="EU_JU",Painel_diario!$J1297=1),EXP(Painel_diario!$L1297),1)-1</f>
        <v/>
      </c>
      <c r="D1301" s="22">
        <f>(1+D1300)*IF(AND(Painel_diario!$H1297="ED_JD",Painel_diario!$J1297=1),EXP(Painel_diario!$L1297),1)-1</f>
        <v/>
      </c>
      <c r="E1301" s="22">
        <f>(1+E1300)*IF(AND(Painel_diario!$H1297="ED_JU",Painel_diario!$J1297=1),EXP(Painel_diario!$L1297),1)-1</f>
        <v/>
      </c>
    </row>
    <row r="1302">
      <c r="A1302" s="25" t="n">
        <v>40735</v>
      </c>
      <c r="B1302" s="22">
        <f>(1+B1301)*IF(AND(Painel_diario!$H1298="EU_JD",Painel_diario!$J1298=1),EXP(Painel_diario!$L1298),1)-1</f>
        <v/>
      </c>
      <c r="C1302" s="22">
        <f>(1+C1301)*IF(AND(Painel_diario!$H1298="EU_JU",Painel_diario!$J1298=1),EXP(Painel_diario!$L1298),1)-1</f>
        <v/>
      </c>
      <c r="D1302" s="22">
        <f>(1+D1301)*IF(AND(Painel_diario!$H1298="ED_JD",Painel_diario!$J1298=1),EXP(Painel_diario!$L1298),1)-1</f>
        <v/>
      </c>
      <c r="E1302" s="22">
        <f>(1+E1301)*IF(AND(Painel_diario!$H1298="ED_JU",Painel_diario!$J1298=1),EXP(Painel_diario!$L1298),1)-1</f>
        <v/>
      </c>
    </row>
    <row r="1303">
      <c r="A1303" s="25" t="n">
        <v>40736</v>
      </c>
      <c r="B1303" s="22">
        <f>(1+B1302)*IF(AND(Painel_diario!$H1299="EU_JD",Painel_diario!$J1299=1),EXP(Painel_diario!$L1299),1)-1</f>
        <v/>
      </c>
      <c r="C1303" s="22">
        <f>(1+C1302)*IF(AND(Painel_diario!$H1299="EU_JU",Painel_diario!$J1299=1),EXP(Painel_diario!$L1299),1)-1</f>
        <v/>
      </c>
      <c r="D1303" s="22">
        <f>(1+D1302)*IF(AND(Painel_diario!$H1299="ED_JD",Painel_diario!$J1299=1),EXP(Painel_diario!$L1299),1)-1</f>
        <v/>
      </c>
      <c r="E1303" s="22">
        <f>(1+E1302)*IF(AND(Painel_diario!$H1299="ED_JU",Painel_diario!$J1299=1),EXP(Painel_diario!$L1299),1)-1</f>
        <v/>
      </c>
    </row>
    <row r="1304">
      <c r="A1304" s="25" t="n">
        <v>40737</v>
      </c>
      <c r="B1304" s="22">
        <f>(1+B1303)*IF(AND(Painel_diario!$H1300="EU_JD",Painel_diario!$J1300=1),EXP(Painel_diario!$L1300),1)-1</f>
        <v/>
      </c>
      <c r="C1304" s="22">
        <f>(1+C1303)*IF(AND(Painel_diario!$H1300="EU_JU",Painel_diario!$J1300=1),EXP(Painel_diario!$L1300),1)-1</f>
        <v/>
      </c>
      <c r="D1304" s="22">
        <f>(1+D1303)*IF(AND(Painel_diario!$H1300="ED_JD",Painel_diario!$J1300=1),EXP(Painel_diario!$L1300),1)-1</f>
        <v/>
      </c>
      <c r="E1304" s="22">
        <f>(1+E1303)*IF(AND(Painel_diario!$H1300="ED_JU",Painel_diario!$J1300=1),EXP(Painel_diario!$L1300),1)-1</f>
        <v/>
      </c>
    </row>
    <row r="1305">
      <c r="A1305" s="25" t="n">
        <v>40738</v>
      </c>
      <c r="B1305" s="22">
        <f>(1+B1304)*IF(AND(Painel_diario!$H1301="EU_JD",Painel_diario!$J1301=1),EXP(Painel_diario!$L1301),1)-1</f>
        <v/>
      </c>
      <c r="C1305" s="22">
        <f>(1+C1304)*IF(AND(Painel_diario!$H1301="EU_JU",Painel_diario!$J1301=1),EXP(Painel_diario!$L1301),1)-1</f>
        <v/>
      </c>
      <c r="D1305" s="22">
        <f>(1+D1304)*IF(AND(Painel_diario!$H1301="ED_JD",Painel_diario!$J1301=1),EXP(Painel_diario!$L1301),1)-1</f>
        <v/>
      </c>
      <c r="E1305" s="22">
        <f>(1+E1304)*IF(AND(Painel_diario!$H1301="ED_JU",Painel_diario!$J1301=1),EXP(Painel_diario!$L1301),1)-1</f>
        <v/>
      </c>
    </row>
    <row r="1306">
      <c r="A1306" s="25" t="n">
        <v>40739</v>
      </c>
      <c r="B1306" s="22">
        <f>(1+B1305)*IF(AND(Painel_diario!$H1302="EU_JD",Painel_diario!$J1302=1),EXP(Painel_diario!$L1302),1)-1</f>
        <v/>
      </c>
      <c r="C1306" s="22">
        <f>(1+C1305)*IF(AND(Painel_diario!$H1302="EU_JU",Painel_diario!$J1302=1),EXP(Painel_diario!$L1302),1)-1</f>
        <v/>
      </c>
      <c r="D1306" s="22">
        <f>(1+D1305)*IF(AND(Painel_diario!$H1302="ED_JD",Painel_diario!$J1302=1),EXP(Painel_diario!$L1302),1)-1</f>
        <v/>
      </c>
      <c r="E1306" s="22">
        <f>(1+E1305)*IF(AND(Painel_diario!$H1302="ED_JU",Painel_diario!$J1302=1),EXP(Painel_diario!$L1302),1)-1</f>
        <v/>
      </c>
    </row>
    <row r="1307">
      <c r="A1307" s="25" t="n">
        <v>40742</v>
      </c>
      <c r="B1307" s="22">
        <f>(1+B1306)*IF(AND(Painel_diario!$H1303="EU_JD",Painel_diario!$J1303=1),EXP(Painel_diario!$L1303),1)-1</f>
        <v/>
      </c>
      <c r="C1307" s="22">
        <f>(1+C1306)*IF(AND(Painel_diario!$H1303="EU_JU",Painel_diario!$J1303=1),EXP(Painel_diario!$L1303),1)-1</f>
        <v/>
      </c>
      <c r="D1307" s="22">
        <f>(1+D1306)*IF(AND(Painel_diario!$H1303="ED_JD",Painel_diario!$J1303=1),EXP(Painel_diario!$L1303),1)-1</f>
        <v/>
      </c>
      <c r="E1307" s="22">
        <f>(1+E1306)*IF(AND(Painel_diario!$H1303="ED_JU",Painel_diario!$J1303=1),EXP(Painel_diario!$L1303),1)-1</f>
        <v/>
      </c>
    </row>
    <row r="1308">
      <c r="A1308" s="25" t="n">
        <v>40743</v>
      </c>
      <c r="B1308" s="22">
        <f>(1+B1307)*IF(AND(Painel_diario!$H1304="EU_JD",Painel_diario!$J1304=1),EXP(Painel_diario!$L1304),1)-1</f>
        <v/>
      </c>
      <c r="C1308" s="22">
        <f>(1+C1307)*IF(AND(Painel_diario!$H1304="EU_JU",Painel_diario!$J1304=1),EXP(Painel_diario!$L1304),1)-1</f>
        <v/>
      </c>
      <c r="D1308" s="22">
        <f>(1+D1307)*IF(AND(Painel_diario!$H1304="ED_JD",Painel_diario!$J1304=1),EXP(Painel_diario!$L1304),1)-1</f>
        <v/>
      </c>
      <c r="E1308" s="22">
        <f>(1+E1307)*IF(AND(Painel_diario!$H1304="ED_JU",Painel_diario!$J1304=1),EXP(Painel_diario!$L1304),1)-1</f>
        <v/>
      </c>
    </row>
    <row r="1309">
      <c r="A1309" s="25" t="n">
        <v>40744</v>
      </c>
      <c r="B1309" s="22">
        <f>(1+B1308)*IF(AND(Painel_diario!$H1305="EU_JD",Painel_diario!$J1305=1),EXP(Painel_diario!$L1305),1)-1</f>
        <v/>
      </c>
      <c r="C1309" s="22">
        <f>(1+C1308)*IF(AND(Painel_diario!$H1305="EU_JU",Painel_diario!$J1305=1),EXP(Painel_diario!$L1305),1)-1</f>
        <v/>
      </c>
      <c r="D1309" s="22">
        <f>(1+D1308)*IF(AND(Painel_diario!$H1305="ED_JD",Painel_diario!$J1305=1),EXP(Painel_diario!$L1305),1)-1</f>
        <v/>
      </c>
      <c r="E1309" s="22">
        <f>(1+E1308)*IF(AND(Painel_diario!$H1305="ED_JU",Painel_diario!$J1305=1),EXP(Painel_diario!$L1305),1)-1</f>
        <v/>
      </c>
    </row>
    <row r="1310">
      <c r="A1310" s="25" t="n">
        <v>40745</v>
      </c>
      <c r="B1310" s="22">
        <f>(1+B1309)*IF(AND(Painel_diario!$H1306="EU_JD",Painel_diario!$J1306=1),EXP(Painel_diario!$L1306),1)-1</f>
        <v/>
      </c>
      <c r="C1310" s="22">
        <f>(1+C1309)*IF(AND(Painel_diario!$H1306="EU_JU",Painel_diario!$J1306=1),EXP(Painel_diario!$L1306),1)-1</f>
        <v/>
      </c>
      <c r="D1310" s="22">
        <f>(1+D1309)*IF(AND(Painel_diario!$H1306="ED_JD",Painel_diario!$J1306=1),EXP(Painel_diario!$L1306),1)-1</f>
        <v/>
      </c>
      <c r="E1310" s="22">
        <f>(1+E1309)*IF(AND(Painel_diario!$H1306="ED_JU",Painel_diario!$J1306=1),EXP(Painel_diario!$L1306),1)-1</f>
        <v/>
      </c>
    </row>
    <row r="1311">
      <c r="A1311" s="25" t="n">
        <v>40746</v>
      </c>
      <c r="B1311" s="22">
        <f>(1+B1310)*IF(AND(Painel_diario!$H1307="EU_JD",Painel_diario!$J1307=1),EXP(Painel_diario!$L1307),1)-1</f>
        <v/>
      </c>
      <c r="C1311" s="22">
        <f>(1+C1310)*IF(AND(Painel_diario!$H1307="EU_JU",Painel_diario!$J1307=1),EXP(Painel_diario!$L1307),1)-1</f>
        <v/>
      </c>
      <c r="D1311" s="22">
        <f>(1+D1310)*IF(AND(Painel_diario!$H1307="ED_JD",Painel_diario!$J1307=1),EXP(Painel_diario!$L1307),1)-1</f>
        <v/>
      </c>
      <c r="E1311" s="22">
        <f>(1+E1310)*IF(AND(Painel_diario!$H1307="ED_JU",Painel_diario!$J1307=1),EXP(Painel_diario!$L1307),1)-1</f>
        <v/>
      </c>
    </row>
    <row r="1312">
      <c r="A1312" s="25" t="n">
        <v>40749</v>
      </c>
      <c r="B1312" s="22">
        <f>(1+B1311)*IF(AND(Painel_diario!$H1308="EU_JD",Painel_diario!$J1308=1),EXP(Painel_diario!$L1308),1)-1</f>
        <v/>
      </c>
      <c r="C1312" s="22">
        <f>(1+C1311)*IF(AND(Painel_diario!$H1308="EU_JU",Painel_diario!$J1308=1),EXP(Painel_diario!$L1308),1)-1</f>
        <v/>
      </c>
      <c r="D1312" s="22">
        <f>(1+D1311)*IF(AND(Painel_diario!$H1308="ED_JD",Painel_diario!$J1308=1),EXP(Painel_diario!$L1308),1)-1</f>
        <v/>
      </c>
      <c r="E1312" s="22">
        <f>(1+E1311)*IF(AND(Painel_diario!$H1308="ED_JU",Painel_diario!$J1308=1),EXP(Painel_diario!$L1308),1)-1</f>
        <v/>
      </c>
    </row>
    <row r="1313">
      <c r="A1313" s="25" t="n">
        <v>40750</v>
      </c>
      <c r="B1313" s="22">
        <f>(1+B1312)*IF(AND(Painel_diario!$H1309="EU_JD",Painel_diario!$J1309=1),EXP(Painel_diario!$L1309),1)-1</f>
        <v/>
      </c>
      <c r="C1313" s="22">
        <f>(1+C1312)*IF(AND(Painel_diario!$H1309="EU_JU",Painel_diario!$J1309=1),EXP(Painel_diario!$L1309),1)-1</f>
        <v/>
      </c>
      <c r="D1313" s="22">
        <f>(1+D1312)*IF(AND(Painel_diario!$H1309="ED_JD",Painel_diario!$J1309=1),EXP(Painel_diario!$L1309),1)-1</f>
        <v/>
      </c>
      <c r="E1313" s="22">
        <f>(1+E1312)*IF(AND(Painel_diario!$H1309="ED_JU",Painel_diario!$J1309=1),EXP(Painel_diario!$L1309),1)-1</f>
        <v/>
      </c>
    </row>
    <row r="1314">
      <c r="A1314" s="25" t="n">
        <v>40751</v>
      </c>
      <c r="B1314" s="22">
        <f>(1+B1313)*IF(AND(Painel_diario!$H1310="EU_JD",Painel_diario!$J1310=1),EXP(Painel_diario!$L1310),1)-1</f>
        <v/>
      </c>
      <c r="C1314" s="22">
        <f>(1+C1313)*IF(AND(Painel_diario!$H1310="EU_JU",Painel_diario!$J1310=1),EXP(Painel_diario!$L1310),1)-1</f>
        <v/>
      </c>
      <c r="D1314" s="22">
        <f>(1+D1313)*IF(AND(Painel_diario!$H1310="ED_JD",Painel_diario!$J1310=1),EXP(Painel_diario!$L1310),1)-1</f>
        <v/>
      </c>
      <c r="E1314" s="22">
        <f>(1+E1313)*IF(AND(Painel_diario!$H1310="ED_JU",Painel_diario!$J1310=1),EXP(Painel_diario!$L1310),1)-1</f>
        <v/>
      </c>
    </row>
    <row r="1315">
      <c r="A1315" s="25" t="n">
        <v>40752</v>
      </c>
      <c r="B1315" s="22">
        <f>(1+B1314)*IF(AND(Painel_diario!$H1311="EU_JD",Painel_diario!$J1311=1),EXP(Painel_diario!$L1311),1)-1</f>
        <v/>
      </c>
      <c r="C1315" s="22">
        <f>(1+C1314)*IF(AND(Painel_diario!$H1311="EU_JU",Painel_diario!$J1311=1),EXP(Painel_diario!$L1311),1)-1</f>
        <v/>
      </c>
      <c r="D1315" s="22">
        <f>(1+D1314)*IF(AND(Painel_diario!$H1311="ED_JD",Painel_diario!$J1311=1),EXP(Painel_diario!$L1311),1)-1</f>
        <v/>
      </c>
      <c r="E1315" s="22">
        <f>(1+E1314)*IF(AND(Painel_diario!$H1311="ED_JU",Painel_diario!$J1311=1),EXP(Painel_diario!$L1311),1)-1</f>
        <v/>
      </c>
    </row>
    <row r="1316">
      <c r="A1316" s="25" t="n">
        <v>40753</v>
      </c>
      <c r="B1316" s="22">
        <f>(1+B1315)*IF(AND(Painel_diario!$H1312="EU_JD",Painel_diario!$J1312=1),EXP(Painel_diario!$L1312),1)-1</f>
        <v/>
      </c>
      <c r="C1316" s="22">
        <f>(1+C1315)*IF(AND(Painel_diario!$H1312="EU_JU",Painel_diario!$J1312=1),EXP(Painel_diario!$L1312),1)-1</f>
        <v/>
      </c>
      <c r="D1316" s="22">
        <f>(1+D1315)*IF(AND(Painel_diario!$H1312="ED_JD",Painel_diario!$J1312=1),EXP(Painel_diario!$L1312),1)-1</f>
        <v/>
      </c>
      <c r="E1316" s="22">
        <f>(1+E1315)*IF(AND(Painel_diario!$H1312="ED_JU",Painel_diario!$J1312=1),EXP(Painel_diario!$L1312),1)-1</f>
        <v/>
      </c>
    </row>
    <row r="1317">
      <c r="A1317" s="25" t="n">
        <v>40756</v>
      </c>
      <c r="B1317" s="22">
        <f>(1+B1316)*IF(AND(Painel_diario!$H1313="EU_JD",Painel_diario!$J1313=1),EXP(Painel_diario!$L1313),1)-1</f>
        <v/>
      </c>
      <c r="C1317" s="22">
        <f>(1+C1316)*IF(AND(Painel_diario!$H1313="EU_JU",Painel_diario!$J1313=1),EXP(Painel_diario!$L1313),1)-1</f>
        <v/>
      </c>
      <c r="D1317" s="22">
        <f>(1+D1316)*IF(AND(Painel_diario!$H1313="ED_JD",Painel_diario!$J1313=1),EXP(Painel_diario!$L1313),1)-1</f>
        <v/>
      </c>
      <c r="E1317" s="22">
        <f>(1+E1316)*IF(AND(Painel_diario!$H1313="ED_JU",Painel_diario!$J1313=1),EXP(Painel_diario!$L1313),1)-1</f>
        <v/>
      </c>
    </row>
    <row r="1318">
      <c r="A1318" s="25" t="n">
        <v>40757</v>
      </c>
      <c r="B1318" s="22">
        <f>(1+B1317)*IF(AND(Painel_diario!$H1314="EU_JD",Painel_diario!$J1314=1),EXP(Painel_diario!$L1314),1)-1</f>
        <v/>
      </c>
      <c r="C1318" s="22">
        <f>(1+C1317)*IF(AND(Painel_diario!$H1314="EU_JU",Painel_diario!$J1314=1),EXP(Painel_diario!$L1314),1)-1</f>
        <v/>
      </c>
      <c r="D1318" s="22">
        <f>(1+D1317)*IF(AND(Painel_diario!$H1314="ED_JD",Painel_diario!$J1314=1),EXP(Painel_diario!$L1314),1)-1</f>
        <v/>
      </c>
      <c r="E1318" s="22">
        <f>(1+E1317)*IF(AND(Painel_diario!$H1314="ED_JU",Painel_diario!$J1314=1),EXP(Painel_diario!$L1314),1)-1</f>
        <v/>
      </c>
    </row>
    <row r="1319">
      <c r="A1319" s="25" t="n">
        <v>40758</v>
      </c>
      <c r="B1319" s="22">
        <f>(1+B1318)*IF(AND(Painel_diario!$H1315="EU_JD",Painel_diario!$J1315=1),EXP(Painel_diario!$L1315),1)-1</f>
        <v/>
      </c>
      <c r="C1319" s="22">
        <f>(1+C1318)*IF(AND(Painel_diario!$H1315="EU_JU",Painel_diario!$J1315=1),EXP(Painel_diario!$L1315),1)-1</f>
        <v/>
      </c>
      <c r="D1319" s="22">
        <f>(1+D1318)*IF(AND(Painel_diario!$H1315="ED_JD",Painel_diario!$J1315=1),EXP(Painel_diario!$L1315),1)-1</f>
        <v/>
      </c>
      <c r="E1319" s="22">
        <f>(1+E1318)*IF(AND(Painel_diario!$H1315="ED_JU",Painel_diario!$J1315=1),EXP(Painel_diario!$L1315),1)-1</f>
        <v/>
      </c>
    </row>
    <row r="1320">
      <c r="A1320" s="25" t="n">
        <v>40759</v>
      </c>
      <c r="B1320" s="22">
        <f>(1+B1319)*IF(AND(Painel_diario!$H1316="EU_JD",Painel_diario!$J1316=1),EXP(Painel_diario!$L1316),1)-1</f>
        <v/>
      </c>
      <c r="C1320" s="22">
        <f>(1+C1319)*IF(AND(Painel_diario!$H1316="EU_JU",Painel_diario!$J1316=1),EXP(Painel_diario!$L1316),1)-1</f>
        <v/>
      </c>
      <c r="D1320" s="22">
        <f>(1+D1319)*IF(AND(Painel_diario!$H1316="ED_JD",Painel_diario!$J1316=1),EXP(Painel_diario!$L1316),1)-1</f>
        <v/>
      </c>
      <c r="E1320" s="22">
        <f>(1+E1319)*IF(AND(Painel_diario!$H1316="ED_JU",Painel_diario!$J1316=1),EXP(Painel_diario!$L1316),1)-1</f>
        <v/>
      </c>
    </row>
    <row r="1321">
      <c r="A1321" s="25" t="n">
        <v>40760</v>
      </c>
      <c r="B1321" s="22">
        <f>(1+B1320)*IF(AND(Painel_diario!$H1317="EU_JD",Painel_diario!$J1317=1),EXP(Painel_diario!$L1317),1)-1</f>
        <v/>
      </c>
      <c r="C1321" s="22">
        <f>(1+C1320)*IF(AND(Painel_diario!$H1317="EU_JU",Painel_diario!$J1317=1),EXP(Painel_diario!$L1317),1)-1</f>
        <v/>
      </c>
      <c r="D1321" s="22">
        <f>(1+D1320)*IF(AND(Painel_diario!$H1317="ED_JD",Painel_diario!$J1317=1),EXP(Painel_diario!$L1317),1)-1</f>
        <v/>
      </c>
      <c r="E1321" s="22">
        <f>(1+E1320)*IF(AND(Painel_diario!$H1317="ED_JU",Painel_diario!$J1317=1),EXP(Painel_diario!$L1317),1)-1</f>
        <v/>
      </c>
    </row>
    <row r="1322">
      <c r="A1322" s="25" t="n">
        <v>40763</v>
      </c>
      <c r="B1322" s="22">
        <f>(1+B1321)*IF(AND(Painel_diario!$H1318="EU_JD",Painel_diario!$J1318=1),EXP(Painel_diario!$L1318),1)-1</f>
        <v/>
      </c>
      <c r="C1322" s="22">
        <f>(1+C1321)*IF(AND(Painel_diario!$H1318="EU_JU",Painel_diario!$J1318=1),EXP(Painel_diario!$L1318),1)-1</f>
        <v/>
      </c>
      <c r="D1322" s="22">
        <f>(1+D1321)*IF(AND(Painel_diario!$H1318="ED_JD",Painel_diario!$J1318=1),EXP(Painel_diario!$L1318),1)-1</f>
        <v/>
      </c>
      <c r="E1322" s="22">
        <f>(1+E1321)*IF(AND(Painel_diario!$H1318="ED_JU",Painel_diario!$J1318=1),EXP(Painel_diario!$L1318),1)-1</f>
        <v/>
      </c>
    </row>
    <row r="1323">
      <c r="A1323" s="25" t="n">
        <v>40764</v>
      </c>
      <c r="B1323" s="22">
        <f>(1+B1322)*IF(AND(Painel_diario!$H1319="EU_JD",Painel_diario!$J1319=1),EXP(Painel_diario!$L1319),1)-1</f>
        <v/>
      </c>
      <c r="C1323" s="22">
        <f>(1+C1322)*IF(AND(Painel_diario!$H1319="EU_JU",Painel_diario!$J1319=1),EXP(Painel_diario!$L1319),1)-1</f>
        <v/>
      </c>
      <c r="D1323" s="22">
        <f>(1+D1322)*IF(AND(Painel_diario!$H1319="ED_JD",Painel_diario!$J1319=1),EXP(Painel_diario!$L1319),1)-1</f>
        <v/>
      </c>
      <c r="E1323" s="22">
        <f>(1+E1322)*IF(AND(Painel_diario!$H1319="ED_JU",Painel_diario!$J1319=1),EXP(Painel_diario!$L1319),1)-1</f>
        <v/>
      </c>
    </row>
    <row r="1324">
      <c r="A1324" s="25" t="n">
        <v>40765</v>
      </c>
      <c r="B1324" s="22">
        <f>(1+B1323)*IF(AND(Painel_diario!$H1320="EU_JD",Painel_diario!$J1320=1),EXP(Painel_diario!$L1320),1)-1</f>
        <v/>
      </c>
      <c r="C1324" s="22">
        <f>(1+C1323)*IF(AND(Painel_diario!$H1320="EU_JU",Painel_diario!$J1320=1),EXP(Painel_diario!$L1320),1)-1</f>
        <v/>
      </c>
      <c r="D1324" s="22">
        <f>(1+D1323)*IF(AND(Painel_diario!$H1320="ED_JD",Painel_diario!$J1320=1),EXP(Painel_diario!$L1320),1)-1</f>
        <v/>
      </c>
      <c r="E1324" s="22">
        <f>(1+E1323)*IF(AND(Painel_diario!$H1320="ED_JU",Painel_diario!$J1320=1),EXP(Painel_diario!$L1320),1)-1</f>
        <v/>
      </c>
    </row>
    <row r="1325">
      <c r="A1325" s="25" t="n">
        <v>40766</v>
      </c>
      <c r="B1325" s="22">
        <f>(1+B1324)*IF(AND(Painel_diario!$H1321="EU_JD",Painel_diario!$J1321=1),EXP(Painel_diario!$L1321),1)-1</f>
        <v/>
      </c>
      <c r="C1325" s="22">
        <f>(1+C1324)*IF(AND(Painel_diario!$H1321="EU_JU",Painel_diario!$J1321=1),EXP(Painel_diario!$L1321),1)-1</f>
        <v/>
      </c>
      <c r="D1325" s="22">
        <f>(1+D1324)*IF(AND(Painel_diario!$H1321="ED_JD",Painel_diario!$J1321=1),EXP(Painel_diario!$L1321),1)-1</f>
        <v/>
      </c>
      <c r="E1325" s="22">
        <f>(1+E1324)*IF(AND(Painel_diario!$H1321="ED_JU",Painel_diario!$J1321=1),EXP(Painel_diario!$L1321),1)-1</f>
        <v/>
      </c>
    </row>
    <row r="1326">
      <c r="A1326" s="25" t="n">
        <v>40767</v>
      </c>
      <c r="B1326" s="22">
        <f>(1+B1325)*IF(AND(Painel_diario!$H1322="EU_JD",Painel_diario!$J1322=1),EXP(Painel_diario!$L1322),1)-1</f>
        <v/>
      </c>
      <c r="C1326" s="22">
        <f>(1+C1325)*IF(AND(Painel_diario!$H1322="EU_JU",Painel_diario!$J1322=1),EXP(Painel_diario!$L1322),1)-1</f>
        <v/>
      </c>
      <c r="D1326" s="22">
        <f>(1+D1325)*IF(AND(Painel_diario!$H1322="ED_JD",Painel_diario!$J1322=1),EXP(Painel_diario!$L1322),1)-1</f>
        <v/>
      </c>
      <c r="E1326" s="22">
        <f>(1+E1325)*IF(AND(Painel_diario!$H1322="ED_JU",Painel_diario!$J1322=1),EXP(Painel_diario!$L1322),1)-1</f>
        <v/>
      </c>
    </row>
    <row r="1327">
      <c r="A1327" s="25" t="n">
        <v>40770</v>
      </c>
      <c r="B1327" s="22">
        <f>(1+B1326)*IF(AND(Painel_diario!$H1323="EU_JD",Painel_diario!$J1323=1),EXP(Painel_diario!$L1323),1)-1</f>
        <v/>
      </c>
      <c r="C1327" s="22">
        <f>(1+C1326)*IF(AND(Painel_diario!$H1323="EU_JU",Painel_diario!$J1323=1),EXP(Painel_diario!$L1323),1)-1</f>
        <v/>
      </c>
      <c r="D1327" s="22">
        <f>(1+D1326)*IF(AND(Painel_diario!$H1323="ED_JD",Painel_diario!$J1323=1),EXP(Painel_diario!$L1323),1)-1</f>
        <v/>
      </c>
      <c r="E1327" s="22">
        <f>(1+E1326)*IF(AND(Painel_diario!$H1323="ED_JU",Painel_diario!$J1323=1),EXP(Painel_diario!$L1323),1)-1</f>
        <v/>
      </c>
    </row>
    <row r="1328">
      <c r="A1328" s="25" t="n">
        <v>40771</v>
      </c>
      <c r="B1328" s="22">
        <f>(1+B1327)*IF(AND(Painel_diario!$H1324="EU_JD",Painel_diario!$J1324=1),EXP(Painel_diario!$L1324),1)-1</f>
        <v/>
      </c>
      <c r="C1328" s="22">
        <f>(1+C1327)*IF(AND(Painel_diario!$H1324="EU_JU",Painel_diario!$J1324=1),EXP(Painel_diario!$L1324),1)-1</f>
        <v/>
      </c>
      <c r="D1328" s="22">
        <f>(1+D1327)*IF(AND(Painel_diario!$H1324="ED_JD",Painel_diario!$J1324=1),EXP(Painel_diario!$L1324),1)-1</f>
        <v/>
      </c>
      <c r="E1328" s="22">
        <f>(1+E1327)*IF(AND(Painel_diario!$H1324="ED_JU",Painel_diario!$J1324=1),EXP(Painel_diario!$L1324),1)-1</f>
        <v/>
      </c>
    </row>
    <row r="1329">
      <c r="A1329" s="25" t="n">
        <v>40772</v>
      </c>
      <c r="B1329" s="22">
        <f>(1+B1328)*IF(AND(Painel_diario!$H1325="EU_JD",Painel_diario!$J1325=1),EXP(Painel_diario!$L1325),1)-1</f>
        <v/>
      </c>
      <c r="C1329" s="22">
        <f>(1+C1328)*IF(AND(Painel_diario!$H1325="EU_JU",Painel_diario!$J1325=1),EXP(Painel_diario!$L1325),1)-1</f>
        <v/>
      </c>
      <c r="D1329" s="22">
        <f>(1+D1328)*IF(AND(Painel_diario!$H1325="ED_JD",Painel_diario!$J1325=1),EXP(Painel_diario!$L1325),1)-1</f>
        <v/>
      </c>
      <c r="E1329" s="22">
        <f>(1+E1328)*IF(AND(Painel_diario!$H1325="ED_JU",Painel_diario!$J1325=1),EXP(Painel_diario!$L1325),1)-1</f>
        <v/>
      </c>
    </row>
    <row r="1330">
      <c r="A1330" s="25" t="n">
        <v>40773</v>
      </c>
      <c r="B1330" s="22">
        <f>(1+B1329)*IF(AND(Painel_diario!$H1326="EU_JD",Painel_diario!$J1326=1),EXP(Painel_diario!$L1326),1)-1</f>
        <v/>
      </c>
      <c r="C1330" s="22">
        <f>(1+C1329)*IF(AND(Painel_diario!$H1326="EU_JU",Painel_diario!$J1326=1),EXP(Painel_diario!$L1326),1)-1</f>
        <v/>
      </c>
      <c r="D1330" s="22">
        <f>(1+D1329)*IF(AND(Painel_diario!$H1326="ED_JD",Painel_diario!$J1326=1),EXP(Painel_diario!$L1326),1)-1</f>
        <v/>
      </c>
      <c r="E1330" s="22">
        <f>(1+E1329)*IF(AND(Painel_diario!$H1326="ED_JU",Painel_diario!$J1326=1),EXP(Painel_diario!$L1326),1)-1</f>
        <v/>
      </c>
    </row>
    <row r="1331">
      <c r="A1331" s="25" t="n">
        <v>40774</v>
      </c>
      <c r="B1331" s="22">
        <f>(1+B1330)*IF(AND(Painel_diario!$H1327="EU_JD",Painel_diario!$J1327=1),EXP(Painel_diario!$L1327),1)-1</f>
        <v/>
      </c>
      <c r="C1331" s="22">
        <f>(1+C1330)*IF(AND(Painel_diario!$H1327="EU_JU",Painel_diario!$J1327=1),EXP(Painel_diario!$L1327),1)-1</f>
        <v/>
      </c>
      <c r="D1331" s="22">
        <f>(1+D1330)*IF(AND(Painel_diario!$H1327="ED_JD",Painel_diario!$J1327=1),EXP(Painel_diario!$L1327),1)-1</f>
        <v/>
      </c>
      <c r="E1331" s="22">
        <f>(1+E1330)*IF(AND(Painel_diario!$H1327="ED_JU",Painel_diario!$J1327=1),EXP(Painel_diario!$L1327),1)-1</f>
        <v/>
      </c>
    </row>
    <row r="1332">
      <c r="A1332" s="25" t="n">
        <v>40777</v>
      </c>
      <c r="B1332" s="22">
        <f>(1+B1331)*IF(AND(Painel_diario!$H1328="EU_JD",Painel_diario!$J1328=1),EXP(Painel_diario!$L1328),1)-1</f>
        <v/>
      </c>
      <c r="C1332" s="22">
        <f>(1+C1331)*IF(AND(Painel_diario!$H1328="EU_JU",Painel_diario!$J1328=1),EXP(Painel_diario!$L1328),1)-1</f>
        <v/>
      </c>
      <c r="D1332" s="22">
        <f>(1+D1331)*IF(AND(Painel_diario!$H1328="ED_JD",Painel_diario!$J1328=1),EXP(Painel_diario!$L1328),1)-1</f>
        <v/>
      </c>
      <c r="E1332" s="22">
        <f>(1+E1331)*IF(AND(Painel_diario!$H1328="ED_JU",Painel_diario!$J1328=1),EXP(Painel_diario!$L1328),1)-1</f>
        <v/>
      </c>
    </row>
    <row r="1333">
      <c r="A1333" s="25" t="n">
        <v>40778</v>
      </c>
      <c r="B1333" s="22">
        <f>(1+B1332)*IF(AND(Painel_diario!$H1329="EU_JD",Painel_diario!$J1329=1),EXP(Painel_diario!$L1329),1)-1</f>
        <v/>
      </c>
      <c r="C1333" s="22">
        <f>(1+C1332)*IF(AND(Painel_diario!$H1329="EU_JU",Painel_diario!$J1329=1),EXP(Painel_diario!$L1329),1)-1</f>
        <v/>
      </c>
      <c r="D1333" s="22">
        <f>(1+D1332)*IF(AND(Painel_diario!$H1329="ED_JD",Painel_diario!$J1329=1),EXP(Painel_diario!$L1329),1)-1</f>
        <v/>
      </c>
      <c r="E1333" s="22">
        <f>(1+E1332)*IF(AND(Painel_diario!$H1329="ED_JU",Painel_diario!$J1329=1),EXP(Painel_diario!$L1329),1)-1</f>
        <v/>
      </c>
    </row>
    <row r="1334">
      <c r="A1334" s="25" t="n">
        <v>40779</v>
      </c>
      <c r="B1334" s="22">
        <f>(1+B1333)*IF(AND(Painel_diario!$H1330="EU_JD",Painel_diario!$J1330=1),EXP(Painel_diario!$L1330),1)-1</f>
        <v/>
      </c>
      <c r="C1334" s="22">
        <f>(1+C1333)*IF(AND(Painel_diario!$H1330="EU_JU",Painel_diario!$J1330=1),EXP(Painel_diario!$L1330),1)-1</f>
        <v/>
      </c>
      <c r="D1334" s="22">
        <f>(1+D1333)*IF(AND(Painel_diario!$H1330="ED_JD",Painel_diario!$J1330=1),EXP(Painel_diario!$L1330),1)-1</f>
        <v/>
      </c>
      <c r="E1334" s="22">
        <f>(1+E1333)*IF(AND(Painel_diario!$H1330="ED_JU",Painel_diario!$J1330=1),EXP(Painel_diario!$L1330),1)-1</f>
        <v/>
      </c>
    </row>
    <row r="1335">
      <c r="A1335" s="25" t="n">
        <v>40780</v>
      </c>
      <c r="B1335" s="22">
        <f>(1+B1334)*IF(AND(Painel_diario!$H1331="EU_JD",Painel_diario!$J1331=1),EXP(Painel_diario!$L1331),1)-1</f>
        <v/>
      </c>
      <c r="C1335" s="22">
        <f>(1+C1334)*IF(AND(Painel_diario!$H1331="EU_JU",Painel_diario!$J1331=1),EXP(Painel_diario!$L1331),1)-1</f>
        <v/>
      </c>
      <c r="D1335" s="22">
        <f>(1+D1334)*IF(AND(Painel_diario!$H1331="ED_JD",Painel_diario!$J1331=1),EXP(Painel_diario!$L1331),1)-1</f>
        <v/>
      </c>
      <c r="E1335" s="22">
        <f>(1+E1334)*IF(AND(Painel_diario!$H1331="ED_JU",Painel_diario!$J1331=1),EXP(Painel_diario!$L1331),1)-1</f>
        <v/>
      </c>
    </row>
    <row r="1336">
      <c r="A1336" s="25" t="n">
        <v>40781</v>
      </c>
      <c r="B1336" s="22">
        <f>(1+B1335)*IF(AND(Painel_diario!$H1332="EU_JD",Painel_diario!$J1332=1),EXP(Painel_diario!$L1332),1)-1</f>
        <v/>
      </c>
      <c r="C1336" s="22">
        <f>(1+C1335)*IF(AND(Painel_diario!$H1332="EU_JU",Painel_diario!$J1332=1),EXP(Painel_diario!$L1332),1)-1</f>
        <v/>
      </c>
      <c r="D1336" s="22">
        <f>(1+D1335)*IF(AND(Painel_diario!$H1332="ED_JD",Painel_diario!$J1332=1),EXP(Painel_diario!$L1332),1)-1</f>
        <v/>
      </c>
      <c r="E1336" s="22">
        <f>(1+E1335)*IF(AND(Painel_diario!$H1332="ED_JU",Painel_diario!$J1332=1),EXP(Painel_diario!$L1332),1)-1</f>
        <v/>
      </c>
    </row>
    <row r="1337">
      <c r="A1337" s="25" t="n">
        <v>40784</v>
      </c>
      <c r="B1337" s="22">
        <f>(1+B1336)*IF(AND(Painel_diario!$H1333="EU_JD",Painel_diario!$J1333=1),EXP(Painel_diario!$L1333),1)-1</f>
        <v/>
      </c>
      <c r="C1337" s="22">
        <f>(1+C1336)*IF(AND(Painel_diario!$H1333="EU_JU",Painel_diario!$J1333=1),EXP(Painel_diario!$L1333),1)-1</f>
        <v/>
      </c>
      <c r="D1337" s="22">
        <f>(1+D1336)*IF(AND(Painel_diario!$H1333="ED_JD",Painel_diario!$J1333=1),EXP(Painel_diario!$L1333),1)-1</f>
        <v/>
      </c>
      <c r="E1337" s="22">
        <f>(1+E1336)*IF(AND(Painel_diario!$H1333="ED_JU",Painel_diario!$J1333=1),EXP(Painel_diario!$L1333),1)-1</f>
        <v/>
      </c>
    </row>
    <row r="1338">
      <c r="A1338" s="25" t="n">
        <v>40785</v>
      </c>
      <c r="B1338" s="22">
        <f>(1+B1337)*IF(AND(Painel_diario!$H1334="EU_JD",Painel_diario!$J1334=1),EXP(Painel_diario!$L1334),1)-1</f>
        <v/>
      </c>
      <c r="C1338" s="22">
        <f>(1+C1337)*IF(AND(Painel_diario!$H1334="EU_JU",Painel_diario!$J1334=1),EXP(Painel_diario!$L1334),1)-1</f>
        <v/>
      </c>
      <c r="D1338" s="22">
        <f>(1+D1337)*IF(AND(Painel_diario!$H1334="ED_JD",Painel_diario!$J1334=1),EXP(Painel_diario!$L1334),1)-1</f>
        <v/>
      </c>
      <c r="E1338" s="22">
        <f>(1+E1337)*IF(AND(Painel_diario!$H1334="ED_JU",Painel_diario!$J1334=1),EXP(Painel_diario!$L1334),1)-1</f>
        <v/>
      </c>
    </row>
    <row r="1339">
      <c r="A1339" s="25" t="n">
        <v>40786</v>
      </c>
      <c r="B1339" s="22">
        <f>(1+B1338)*IF(AND(Painel_diario!$H1335="EU_JD",Painel_diario!$J1335=1),EXP(Painel_diario!$L1335),1)-1</f>
        <v/>
      </c>
      <c r="C1339" s="22">
        <f>(1+C1338)*IF(AND(Painel_diario!$H1335="EU_JU",Painel_diario!$J1335=1),EXP(Painel_diario!$L1335),1)-1</f>
        <v/>
      </c>
      <c r="D1339" s="22">
        <f>(1+D1338)*IF(AND(Painel_diario!$H1335="ED_JD",Painel_diario!$J1335=1),EXP(Painel_diario!$L1335),1)-1</f>
        <v/>
      </c>
      <c r="E1339" s="22">
        <f>(1+E1338)*IF(AND(Painel_diario!$H1335="ED_JU",Painel_diario!$J1335=1),EXP(Painel_diario!$L1335),1)-1</f>
        <v/>
      </c>
    </row>
    <row r="1340">
      <c r="A1340" s="25" t="n">
        <v>40787</v>
      </c>
      <c r="B1340" s="22">
        <f>(1+B1339)*IF(AND(Painel_diario!$H1336="EU_JD",Painel_diario!$J1336=1),EXP(Painel_diario!$L1336),1)-1</f>
        <v/>
      </c>
      <c r="C1340" s="22">
        <f>(1+C1339)*IF(AND(Painel_diario!$H1336="EU_JU",Painel_diario!$J1336=1),EXP(Painel_diario!$L1336),1)-1</f>
        <v/>
      </c>
      <c r="D1340" s="22">
        <f>(1+D1339)*IF(AND(Painel_diario!$H1336="ED_JD",Painel_diario!$J1336=1),EXP(Painel_diario!$L1336),1)-1</f>
        <v/>
      </c>
      <c r="E1340" s="22">
        <f>(1+E1339)*IF(AND(Painel_diario!$H1336="ED_JU",Painel_diario!$J1336=1),EXP(Painel_diario!$L1336),1)-1</f>
        <v/>
      </c>
    </row>
    <row r="1341">
      <c r="A1341" s="25" t="n">
        <v>40788</v>
      </c>
      <c r="B1341" s="22">
        <f>(1+B1340)*IF(AND(Painel_diario!$H1337="EU_JD",Painel_diario!$J1337=1),EXP(Painel_diario!$L1337),1)-1</f>
        <v/>
      </c>
      <c r="C1341" s="22">
        <f>(1+C1340)*IF(AND(Painel_diario!$H1337="EU_JU",Painel_diario!$J1337=1),EXP(Painel_diario!$L1337),1)-1</f>
        <v/>
      </c>
      <c r="D1341" s="22">
        <f>(1+D1340)*IF(AND(Painel_diario!$H1337="ED_JD",Painel_diario!$J1337=1),EXP(Painel_diario!$L1337),1)-1</f>
        <v/>
      </c>
      <c r="E1341" s="22">
        <f>(1+E1340)*IF(AND(Painel_diario!$H1337="ED_JU",Painel_diario!$J1337=1),EXP(Painel_diario!$L1337),1)-1</f>
        <v/>
      </c>
    </row>
    <row r="1342">
      <c r="A1342" s="25" t="n">
        <v>40791</v>
      </c>
      <c r="B1342" s="22">
        <f>(1+B1341)*IF(AND(Painel_diario!$H1338="EU_JD",Painel_diario!$J1338=1),EXP(Painel_diario!$L1338),1)-1</f>
        <v/>
      </c>
      <c r="C1342" s="22">
        <f>(1+C1341)*IF(AND(Painel_diario!$H1338="EU_JU",Painel_diario!$J1338=1),EXP(Painel_diario!$L1338),1)-1</f>
        <v/>
      </c>
      <c r="D1342" s="22">
        <f>(1+D1341)*IF(AND(Painel_diario!$H1338="ED_JD",Painel_diario!$J1338=1),EXP(Painel_diario!$L1338),1)-1</f>
        <v/>
      </c>
      <c r="E1342" s="22">
        <f>(1+E1341)*IF(AND(Painel_diario!$H1338="ED_JU",Painel_diario!$J1338=1),EXP(Painel_diario!$L1338),1)-1</f>
        <v/>
      </c>
    </row>
    <row r="1343">
      <c r="A1343" s="25" t="n">
        <v>40792</v>
      </c>
      <c r="B1343" s="22">
        <f>(1+B1342)*IF(AND(Painel_diario!$H1339="EU_JD",Painel_diario!$J1339=1),EXP(Painel_diario!$L1339),1)-1</f>
        <v/>
      </c>
      <c r="C1343" s="22">
        <f>(1+C1342)*IF(AND(Painel_diario!$H1339="EU_JU",Painel_diario!$J1339=1),EXP(Painel_diario!$L1339),1)-1</f>
        <v/>
      </c>
      <c r="D1343" s="22">
        <f>(1+D1342)*IF(AND(Painel_diario!$H1339="ED_JD",Painel_diario!$J1339=1),EXP(Painel_diario!$L1339),1)-1</f>
        <v/>
      </c>
      <c r="E1343" s="22">
        <f>(1+E1342)*IF(AND(Painel_diario!$H1339="ED_JU",Painel_diario!$J1339=1),EXP(Painel_diario!$L1339),1)-1</f>
        <v/>
      </c>
    </row>
    <row r="1344">
      <c r="A1344" s="25" t="n">
        <v>40794</v>
      </c>
      <c r="B1344" s="22">
        <f>(1+B1343)*IF(AND(Painel_diario!$H1340="EU_JD",Painel_diario!$J1340=1),EXP(Painel_diario!$L1340),1)-1</f>
        <v/>
      </c>
      <c r="C1344" s="22">
        <f>(1+C1343)*IF(AND(Painel_diario!$H1340="EU_JU",Painel_diario!$J1340=1),EXP(Painel_diario!$L1340),1)-1</f>
        <v/>
      </c>
      <c r="D1344" s="22">
        <f>(1+D1343)*IF(AND(Painel_diario!$H1340="ED_JD",Painel_diario!$J1340=1),EXP(Painel_diario!$L1340),1)-1</f>
        <v/>
      </c>
      <c r="E1344" s="22">
        <f>(1+E1343)*IF(AND(Painel_diario!$H1340="ED_JU",Painel_diario!$J1340=1),EXP(Painel_diario!$L1340),1)-1</f>
        <v/>
      </c>
    </row>
    <row r="1345">
      <c r="A1345" s="25" t="n">
        <v>40795</v>
      </c>
      <c r="B1345" s="22">
        <f>(1+B1344)*IF(AND(Painel_diario!$H1341="EU_JD",Painel_diario!$J1341=1),EXP(Painel_diario!$L1341),1)-1</f>
        <v/>
      </c>
      <c r="C1345" s="22">
        <f>(1+C1344)*IF(AND(Painel_diario!$H1341="EU_JU",Painel_diario!$J1341=1),EXP(Painel_diario!$L1341),1)-1</f>
        <v/>
      </c>
      <c r="D1345" s="22">
        <f>(1+D1344)*IF(AND(Painel_diario!$H1341="ED_JD",Painel_diario!$J1341=1),EXP(Painel_diario!$L1341),1)-1</f>
        <v/>
      </c>
      <c r="E1345" s="22">
        <f>(1+E1344)*IF(AND(Painel_diario!$H1341="ED_JU",Painel_diario!$J1341=1),EXP(Painel_diario!$L1341),1)-1</f>
        <v/>
      </c>
    </row>
    <row r="1346">
      <c r="A1346" s="25" t="n">
        <v>40798</v>
      </c>
      <c r="B1346" s="22">
        <f>(1+B1345)*IF(AND(Painel_diario!$H1342="EU_JD",Painel_diario!$J1342=1),EXP(Painel_diario!$L1342),1)-1</f>
        <v/>
      </c>
      <c r="C1346" s="22">
        <f>(1+C1345)*IF(AND(Painel_diario!$H1342="EU_JU",Painel_diario!$J1342=1),EXP(Painel_diario!$L1342),1)-1</f>
        <v/>
      </c>
      <c r="D1346" s="22">
        <f>(1+D1345)*IF(AND(Painel_diario!$H1342="ED_JD",Painel_diario!$J1342=1),EXP(Painel_diario!$L1342),1)-1</f>
        <v/>
      </c>
      <c r="E1346" s="22">
        <f>(1+E1345)*IF(AND(Painel_diario!$H1342="ED_JU",Painel_diario!$J1342=1),EXP(Painel_diario!$L1342),1)-1</f>
        <v/>
      </c>
    </row>
    <row r="1347">
      <c r="A1347" s="25" t="n">
        <v>40799</v>
      </c>
      <c r="B1347" s="22">
        <f>(1+B1346)*IF(AND(Painel_diario!$H1343="EU_JD",Painel_diario!$J1343=1),EXP(Painel_diario!$L1343),1)-1</f>
        <v/>
      </c>
      <c r="C1347" s="22">
        <f>(1+C1346)*IF(AND(Painel_diario!$H1343="EU_JU",Painel_diario!$J1343=1),EXP(Painel_diario!$L1343),1)-1</f>
        <v/>
      </c>
      <c r="D1347" s="22">
        <f>(1+D1346)*IF(AND(Painel_diario!$H1343="ED_JD",Painel_diario!$J1343=1),EXP(Painel_diario!$L1343),1)-1</f>
        <v/>
      </c>
      <c r="E1347" s="22">
        <f>(1+E1346)*IF(AND(Painel_diario!$H1343="ED_JU",Painel_diario!$J1343=1),EXP(Painel_diario!$L1343),1)-1</f>
        <v/>
      </c>
    </row>
    <row r="1348">
      <c r="A1348" s="25" t="n">
        <v>40800</v>
      </c>
      <c r="B1348" s="22">
        <f>(1+B1347)*IF(AND(Painel_diario!$H1344="EU_JD",Painel_diario!$J1344=1),EXP(Painel_diario!$L1344),1)-1</f>
        <v/>
      </c>
      <c r="C1348" s="22">
        <f>(1+C1347)*IF(AND(Painel_diario!$H1344="EU_JU",Painel_diario!$J1344=1),EXP(Painel_diario!$L1344),1)-1</f>
        <v/>
      </c>
      <c r="D1348" s="22">
        <f>(1+D1347)*IF(AND(Painel_diario!$H1344="ED_JD",Painel_diario!$J1344=1),EXP(Painel_diario!$L1344),1)-1</f>
        <v/>
      </c>
      <c r="E1348" s="22">
        <f>(1+E1347)*IF(AND(Painel_diario!$H1344="ED_JU",Painel_diario!$J1344=1),EXP(Painel_diario!$L1344),1)-1</f>
        <v/>
      </c>
    </row>
    <row r="1349">
      <c r="A1349" s="25" t="n">
        <v>40801</v>
      </c>
      <c r="B1349" s="22">
        <f>(1+B1348)*IF(AND(Painel_diario!$H1345="EU_JD",Painel_diario!$J1345=1),EXP(Painel_diario!$L1345),1)-1</f>
        <v/>
      </c>
      <c r="C1349" s="22">
        <f>(1+C1348)*IF(AND(Painel_diario!$H1345="EU_JU",Painel_diario!$J1345=1),EXP(Painel_diario!$L1345),1)-1</f>
        <v/>
      </c>
      <c r="D1349" s="22">
        <f>(1+D1348)*IF(AND(Painel_diario!$H1345="ED_JD",Painel_diario!$J1345=1),EXP(Painel_diario!$L1345),1)-1</f>
        <v/>
      </c>
      <c r="E1349" s="22">
        <f>(1+E1348)*IF(AND(Painel_diario!$H1345="ED_JU",Painel_diario!$J1345=1),EXP(Painel_diario!$L1345),1)-1</f>
        <v/>
      </c>
    </row>
    <row r="1350">
      <c r="A1350" s="25" t="n">
        <v>40802</v>
      </c>
      <c r="B1350" s="22">
        <f>(1+B1349)*IF(AND(Painel_diario!$H1346="EU_JD",Painel_diario!$J1346=1),EXP(Painel_diario!$L1346),1)-1</f>
        <v/>
      </c>
      <c r="C1350" s="22">
        <f>(1+C1349)*IF(AND(Painel_diario!$H1346="EU_JU",Painel_diario!$J1346=1),EXP(Painel_diario!$L1346),1)-1</f>
        <v/>
      </c>
      <c r="D1350" s="22">
        <f>(1+D1349)*IF(AND(Painel_diario!$H1346="ED_JD",Painel_diario!$J1346=1),EXP(Painel_diario!$L1346),1)-1</f>
        <v/>
      </c>
      <c r="E1350" s="22">
        <f>(1+E1349)*IF(AND(Painel_diario!$H1346="ED_JU",Painel_diario!$J1346=1),EXP(Painel_diario!$L1346),1)-1</f>
        <v/>
      </c>
    </row>
    <row r="1351">
      <c r="A1351" s="25" t="n">
        <v>40805</v>
      </c>
      <c r="B1351" s="22">
        <f>(1+B1350)*IF(AND(Painel_diario!$H1347="EU_JD",Painel_diario!$J1347=1),EXP(Painel_diario!$L1347),1)-1</f>
        <v/>
      </c>
      <c r="C1351" s="22">
        <f>(1+C1350)*IF(AND(Painel_diario!$H1347="EU_JU",Painel_diario!$J1347=1),EXP(Painel_diario!$L1347),1)-1</f>
        <v/>
      </c>
      <c r="D1351" s="22">
        <f>(1+D1350)*IF(AND(Painel_diario!$H1347="ED_JD",Painel_diario!$J1347=1),EXP(Painel_diario!$L1347),1)-1</f>
        <v/>
      </c>
      <c r="E1351" s="22">
        <f>(1+E1350)*IF(AND(Painel_diario!$H1347="ED_JU",Painel_diario!$J1347=1),EXP(Painel_diario!$L1347),1)-1</f>
        <v/>
      </c>
    </row>
    <row r="1352">
      <c r="A1352" s="25" t="n">
        <v>40806</v>
      </c>
      <c r="B1352" s="22">
        <f>(1+B1351)*IF(AND(Painel_diario!$H1348="EU_JD",Painel_diario!$J1348=1),EXP(Painel_diario!$L1348),1)-1</f>
        <v/>
      </c>
      <c r="C1352" s="22">
        <f>(1+C1351)*IF(AND(Painel_diario!$H1348="EU_JU",Painel_diario!$J1348=1),EXP(Painel_diario!$L1348),1)-1</f>
        <v/>
      </c>
      <c r="D1352" s="22">
        <f>(1+D1351)*IF(AND(Painel_diario!$H1348="ED_JD",Painel_diario!$J1348=1),EXP(Painel_diario!$L1348),1)-1</f>
        <v/>
      </c>
      <c r="E1352" s="22">
        <f>(1+E1351)*IF(AND(Painel_diario!$H1348="ED_JU",Painel_diario!$J1348=1),EXP(Painel_diario!$L1348),1)-1</f>
        <v/>
      </c>
    </row>
    <row r="1353">
      <c r="A1353" s="25" t="n">
        <v>40807</v>
      </c>
      <c r="B1353" s="22">
        <f>(1+B1352)*IF(AND(Painel_diario!$H1349="EU_JD",Painel_diario!$J1349=1),EXP(Painel_diario!$L1349),1)-1</f>
        <v/>
      </c>
      <c r="C1353" s="22">
        <f>(1+C1352)*IF(AND(Painel_diario!$H1349="EU_JU",Painel_diario!$J1349=1),EXP(Painel_diario!$L1349),1)-1</f>
        <v/>
      </c>
      <c r="D1353" s="22">
        <f>(1+D1352)*IF(AND(Painel_diario!$H1349="ED_JD",Painel_diario!$J1349=1),EXP(Painel_diario!$L1349),1)-1</f>
        <v/>
      </c>
      <c r="E1353" s="22">
        <f>(1+E1352)*IF(AND(Painel_diario!$H1349="ED_JU",Painel_diario!$J1349=1),EXP(Painel_diario!$L1349),1)-1</f>
        <v/>
      </c>
    </row>
    <row r="1354">
      <c r="A1354" s="25" t="n">
        <v>40808</v>
      </c>
      <c r="B1354" s="22">
        <f>(1+B1353)*IF(AND(Painel_diario!$H1350="EU_JD",Painel_diario!$J1350=1),EXP(Painel_diario!$L1350),1)-1</f>
        <v/>
      </c>
      <c r="C1354" s="22">
        <f>(1+C1353)*IF(AND(Painel_diario!$H1350="EU_JU",Painel_diario!$J1350=1),EXP(Painel_diario!$L1350),1)-1</f>
        <v/>
      </c>
      <c r="D1354" s="22">
        <f>(1+D1353)*IF(AND(Painel_diario!$H1350="ED_JD",Painel_diario!$J1350=1),EXP(Painel_diario!$L1350),1)-1</f>
        <v/>
      </c>
      <c r="E1354" s="22">
        <f>(1+E1353)*IF(AND(Painel_diario!$H1350="ED_JU",Painel_diario!$J1350=1),EXP(Painel_diario!$L1350),1)-1</f>
        <v/>
      </c>
    </row>
    <row r="1355">
      <c r="A1355" s="25" t="n">
        <v>40809</v>
      </c>
      <c r="B1355" s="22">
        <f>(1+B1354)*IF(AND(Painel_diario!$H1351="EU_JD",Painel_diario!$J1351=1),EXP(Painel_diario!$L1351),1)-1</f>
        <v/>
      </c>
      <c r="C1355" s="22">
        <f>(1+C1354)*IF(AND(Painel_diario!$H1351="EU_JU",Painel_diario!$J1351=1),EXP(Painel_diario!$L1351),1)-1</f>
        <v/>
      </c>
      <c r="D1355" s="22">
        <f>(1+D1354)*IF(AND(Painel_diario!$H1351="ED_JD",Painel_diario!$J1351=1),EXP(Painel_diario!$L1351),1)-1</f>
        <v/>
      </c>
      <c r="E1355" s="22">
        <f>(1+E1354)*IF(AND(Painel_diario!$H1351="ED_JU",Painel_diario!$J1351=1),EXP(Painel_diario!$L1351),1)-1</f>
        <v/>
      </c>
    </row>
    <row r="1356">
      <c r="A1356" s="25" t="n">
        <v>40812</v>
      </c>
      <c r="B1356" s="22">
        <f>(1+B1355)*IF(AND(Painel_diario!$H1352="EU_JD",Painel_diario!$J1352=1),EXP(Painel_diario!$L1352),1)-1</f>
        <v/>
      </c>
      <c r="C1356" s="22">
        <f>(1+C1355)*IF(AND(Painel_diario!$H1352="EU_JU",Painel_diario!$J1352=1),EXP(Painel_diario!$L1352),1)-1</f>
        <v/>
      </c>
      <c r="D1356" s="22">
        <f>(1+D1355)*IF(AND(Painel_diario!$H1352="ED_JD",Painel_diario!$J1352=1),EXP(Painel_diario!$L1352),1)-1</f>
        <v/>
      </c>
      <c r="E1356" s="22">
        <f>(1+E1355)*IF(AND(Painel_diario!$H1352="ED_JU",Painel_diario!$J1352=1),EXP(Painel_diario!$L1352),1)-1</f>
        <v/>
      </c>
    </row>
    <row r="1357">
      <c r="A1357" s="25" t="n">
        <v>40813</v>
      </c>
      <c r="B1357" s="22">
        <f>(1+B1356)*IF(AND(Painel_diario!$H1353="EU_JD",Painel_diario!$J1353=1),EXP(Painel_diario!$L1353),1)-1</f>
        <v/>
      </c>
      <c r="C1357" s="22">
        <f>(1+C1356)*IF(AND(Painel_diario!$H1353="EU_JU",Painel_diario!$J1353=1),EXP(Painel_diario!$L1353),1)-1</f>
        <v/>
      </c>
      <c r="D1357" s="22">
        <f>(1+D1356)*IF(AND(Painel_diario!$H1353="ED_JD",Painel_diario!$J1353=1),EXP(Painel_diario!$L1353),1)-1</f>
        <v/>
      </c>
      <c r="E1357" s="22">
        <f>(1+E1356)*IF(AND(Painel_diario!$H1353="ED_JU",Painel_diario!$J1353=1),EXP(Painel_diario!$L1353),1)-1</f>
        <v/>
      </c>
    </row>
    <row r="1358">
      <c r="A1358" s="25" t="n">
        <v>40814</v>
      </c>
      <c r="B1358" s="22">
        <f>(1+B1357)*IF(AND(Painel_diario!$H1354="EU_JD",Painel_diario!$J1354=1),EXP(Painel_diario!$L1354),1)-1</f>
        <v/>
      </c>
      <c r="C1358" s="22">
        <f>(1+C1357)*IF(AND(Painel_diario!$H1354="EU_JU",Painel_diario!$J1354=1),EXP(Painel_diario!$L1354),1)-1</f>
        <v/>
      </c>
      <c r="D1358" s="22">
        <f>(1+D1357)*IF(AND(Painel_diario!$H1354="ED_JD",Painel_diario!$J1354=1),EXP(Painel_diario!$L1354),1)-1</f>
        <v/>
      </c>
      <c r="E1358" s="22">
        <f>(1+E1357)*IF(AND(Painel_diario!$H1354="ED_JU",Painel_diario!$J1354=1),EXP(Painel_diario!$L1354),1)-1</f>
        <v/>
      </c>
    </row>
    <row r="1359">
      <c r="A1359" s="25" t="n">
        <v>40815</v>
      </c>
      <c r="B1359" s="22">
        <f>(1+B1358)*IF(AND(Painel_diario!$H1355="EU_JD",Painel_diario!$J1355=1),EXP(Painel_diario!$L1355),1)-1</f>
        <v/>
      </c>
      <c r="C1359" s="22">
        <f>(1+C1358)*IF(AND(Painel_diario!$H1355="EU_JU",Painel_diario!$J1355=1),EXP(Painel_diario!$L1355),1)-1</f>
        <v/>
      </c>
      <c r="D1359" s="22">
        <f>(1+D1358)*IF(AND(Painel_diario!$H1355="ED_JD",Painel_diario!$J1355=1),EXP(Painel_diario!$L1355),1)-1</f>
        <v/>
      </c>
      <c r="E1359" s="22">
        <f>(1+E1358)*IF(AND(Painel_diario!$H1355="ED_JU",Painel_diario!$J1355=1),EXP(Painel_diario!$L1355),1)-1</f>
        <v/>
      </c>
    </row>
    <row r="1360">
      <c r="A1360" s="25" t="n">
        <v>40816</v>
      </c>
      <c r="B1360" s="22">
        <f>(1+B1359)*IF(AND(Painel_diario!$H1356="EU_JD",Painel_diario!$J1356=1),EXP(Painel_diario!$L1356),1)-1</f>
        <v/>
      </c>
      <c r="C1360" s="22">
        <f>(1+C1359)*IF(AND(Painel_diario!$H1356="EU_JU",Painel_diario!$J1356=1),EXP(Painel_diario!$L1356),1)-1</f>
        <v/>
      </c>
      <c r="D1360" s="22">
        <f>(1+D1359)*IF(AND(Painel_diario!$H1356="ED_JD",Painel_diario!$J1356=1),EXP(Painel_diario!$L1356),1)-1</f>
        <v/>
      </c>
      <c r="E1360" s="22">
        <f>(1+E1359)*IF(AND(Painel_diario!$H1356="ED_JU",Painel_diario!$J1356=1),EXP(Painel_diario!$L1356),1)-1</f>
        <v/>
      </c>
    </row>
    <row r="1361">
      <c r="A1361" s="25" t="n">
        <v>40819</v>
      </c>
      <c r="B1361" s="22">
        <f>(1+B1360)*IF(AND(Painel_diario!$H1357="EU_JD",Painel_diario!$J1357=1),EXP(Painel_diario!$L1357),1)-1</f>
        <v/>
      </c>
      <c r="C1361" s="22">
        <f>(1+C1360)*IF(AND(Painel_diario!$H1357="EU_JU",Painel_diario!$J1357=1),EXP(Painel_diario!$L1357),1)-1</f>
        <v/>
      </c>
      <c r="D1361" s="22">
        <f>(1+D1360)*IF(AND(Painel_diario!$H1357="ED_JD",Painel_diario!$J1357=1),EXP(Painel_diario!$L1357),1)-1</f>
        <v/>
      </c>
      <c r="E1361" s="22">
        <f>(1+E1360)*IF(AND(Painel_diario!$H1357="ED_JU",Painel_diario!$J1357=1),EXP(Painel_diario!$L1357),1)-1</f>
        <v/>
      </c>
    </row>
    <row r="1362">
      <c r="A1362" s="25" t="n">
        <v>40820</v>
      </c>
      <c r="B1362" s="22">
        <f>(1+B1361)*IF(AND(Painel_diario!$H1358="EU_JD",Painel_diario!$J1358=1),EXP(Painel_diario!$L1358),1)-1</f>
        <v/>
      </c>
      <c r="C1362" s="22">
        <f>(1+C1361)*IF(AND(Painel_diario!$H1358="EU_JU",Painel_diario!$J1358=1),EXP(Painel_diario!$L1358),1)-1</f>
        <v/>
      </c>
      <c r="D1362" s="22">
        <f>(1+D1361)*IF(AND(Painel_diario!$H1358="ED_JD",Painel_diario!$J1358=1),EXP(Painel_diario!$L1358),1)-1</f>
        <v/>
      </c>
      <c r="E1362" s="22">
        <f>(1+E1361)*IF(AND(Painel_diario!$H1358="ED_JU",Painel_diario!$J1358=1),EXP(Painel_diario!$L1358),1)-1</f>
        <v/>
      </c>
    </row>
    <row r="1363">
      <c r="A1363" s="25" t="n">
        <v>40821</v>
      </c>
      <c r="B1363" s="22">
        <f>(1+B1362)*IF(AND(Painel_diario!$H1359="EU_JD",Painel_diario!$J1359=1),EXP(Painel_diario!$L1359),1)-1</f>
        <v/>
      </c>
      <c r="C1363" s="22">
        <f>(1+C1362)*IF(AND(Painel_diario!$H1359="EU_JU",Painel_diario!$J1359=1),EXP(Painel_diario!$L1359),1)-1</f>
        <v/>
      </c>
      <c r="D1363" s="22">
        <f>(1+D1362)*IF(AND(Painel_diario!$H1359="ED_JD",Painel_diario!$J1359=1),EXP(Painel_diario!$L1359),1)-1</f>
        <v/>
      </c>
      <c r="E1363" s="22">
        <f>(1+E1362)*IF(AND(Painel_diario!$H1359="ED_JU",Painel_diario!$J1359=1),EXP(Painel_diario!$L1359),1)-1</f>
        <v/>
      </c>
    </row>
    <row r="1364">
      <c r="A1364" s="25" t="n">
        <v>40822</v>
      </c>
      <c r="B1364" s="22">
        <f>(1+B1363)*IF(AND(Painel_diario!$H1360="EU_JD",Painel_diario!$J1360=1),EXP(Painel_diario!$L1360),1)-1</f>
        <v/>
      </c>
      <c r="C1364" s="22">
        <f>(1+C1363)*IF(AND(Painel_diario!$H1360="EU_JU",Painel_diario!$J1360=1),EXP(Painel_diario!$L1360),1)-1</f>
        <v/>
      </c>
      <c r="D1364" s="22">
        <f>(1+D1363)*IF(AND(Painel_diario!$H1360="ED_JD",Painel_diario!$J1360=1),EXP(Painel_diario!$L1360),1)-1</f>
        <v/>
      </c>
      <c r="E1364" s="22">
        <f>(1+E1363)*IF(AND(Painel_diario!$H1360="ED_JU",Painel_diario!$J1360=1),EXP(Painel_diario!$L1360),1)-1</f>
        <v/>
      </c>
    </row>
    <row r="1365">
      <c r="A1365" s="25" t="n">
        <v>40823</v>
      </c>
      <c r="B1365" s="22">
        <f>(1+B1364)*IF(AND(Painel_diario!$H1361="EU_JD",Painel_diario!$J1361=1),EXP(Painel_diario!$L1361),1)-1</f>
        <v/>
      </c>
      <c r="C1365" s="22">
        <f>(1+C1364)*IF(AND(Painel_diario!$H1361="EU_JU",Painel_diario!$J1361=1),EXP(Painel_diario!$L1361),1)-1</f>
        <v/>
      </c>
      <c r="D1365" s="22">
        <f>(1+D1364)*IF(AND(Painel_diario!$H1361="ED_JD",Painel_diario!$J1361=1),EXP(Painel_diario!$L1361),1)-1</f>
        <v/>
      </c>
      <c r="E1365" s="22">
        <f>(1+E1364)*IF(AND(Painel_diario!$H1361="ED_JU",Painel_diario!$J1361=1),EXP(Painel_diario!$L1361),1)-1</f>
        <v/>
      </c>
    </row>
    <row r="1366">
      <c r="A1366" s="25" t="n">
        <v>40826</v>
      </c>
      <c r="B1366" s="22">
        <f>(1+B1365)*IF(AND(Painel_diario!$H1362="EU_JD",Painel_diario!$J1362=1),EXP(Painel_diario!$L1362),1)-1</f>
        <v/>
      </c>
      <c r="C1366" s="22">
        <f>(1+C1365)*IF(AND(Painel_diario!$H1362="EU_JU",Painel_diario!$J1362=1),EXP(Painel_diario!$L1362),1)-1</f>
        <v/>
      </c>
      <c r="D1366" s="22">
        <f>(1+D1365)*IF(AND(Painel_diario!$H1362="ED_JD",Painel_diario!$J1362=1),EXP(Painel_diario!$L1362),1)-1</f>
        <v/>
      </c>
      <c r="E1366" s="22">
        <f>(1+E1365)*IF(AND(Painel_diario!$H1362="ED_JU",Painel_diario!$J1362=1),EXP(Painel_diario!$L1362),1)-1</f>
        <v/>
      </c>
    </row>
    <row r="1367">
      <c r="A1367" s="25" t="n">
        <v>40827</v>
      </c>
      <c r="B1367" s="22">
        <f>(1+B1366)*IF(AND(Painel_diario!$H1363="EU_JD",Painel_diario!$J1363=1),EXP(Painel_diario!$L1363),1)-1</f>
        <v/>
      </c>
      <c r="C1367" s="22">
        <f>(1+C1366)*IF(AND(Painel_diario!$H1363="EU_JU",Painel_diario!$J1363=1),EXP(Painel_diario!$L1363),1)-1</f>
        <v/>
      </c>
      <c r="D1367" s="22">
        <f>(1+D1366)*IF(AND(Painel_diario!$H1363="ED_JD",Painel_diario!$J1363=1),EXP(Painel_diario!$L1363),1)-1</f>
        <v/>
      </c>
      <c r="E1367" s="22">
        <f>(1+E1366)*IF(AND(Painel_diario!$H1363="ED_JU",Painel_diario!$J1363=1),EXP(Painel_diario!$L1363),1)-1</f>
        <v/>
      </c>
    </row>
    <row r="1368">
      <c r="A1368" s="25" t="n">
        <v>40829</v>
      </c>
      <c r="B1368" s="22">
        <f>(1+B1367)*IF(AND(Painel_diario!$H1364="EU_JD",Painel_diario!$J1364=1),EXP(Painel_diario!$L1364),1)-1</f>
        <v/>
      </c>
      <c r="C1368" s="22">
        <f>(1+C1367)*IF(AND(Painel_diario!$H1364="EU_JU",Painel_diario!$J1364=1),EXP(Painel_diario!$L1364),1)-1</f>
        <v/>
      </c>
      <c r="D1368" s="22">
        <f>(1+D1367)*IF(AND(Painel_diario!$H1364="ED_JD",Painel_diario!$J1364=1),EXP(Painel_diario!$L1364),1)-1</f>
        <v/>
      </c>
      <c r="E1368" s="22">
        <f>(1+E1367)*IF(AND(Painel_diario!$H1364="ED_JU",Painel_diario!$J1364=1),EXP(Painel_diario!$L1364),1)-1</f>
        <v/>
      </c>
    </row>
    <row r="1369">
      <c r="A1369" s="25" t="n">
        <v>40830</v>
      </c>
      <c r="B1369" s="22">
        <f>(1+B1368)*IF(AND(Painel_diario!$H1365="EU_JD",Painel_diario!$J1365=1),EXP(Painel_diario!$L1365),1)-1</f>
        <v/>
      </c>
      <c r="C1369" s="22">
        <f>(1+C1368)*IF(AND(Painel_diario!$H1365="EU_JU",Painel_diario!$J1365=1),EXP(Painel_diario!$L1365),1)-1</f>
        <v/>
      </c>
      <c r="D1369" s="22">
        <f>(1+D1368)*IF(AND(Painel_diario!$H1365="ED_JD",Painel_diario!$J1365=1),EXP(Painel_diario!$L1365),1)-1</f>
        <v/>
      </c>
      <c r="E1369" s="22">
        <f>(1+E1368)*IF(AND(Painel_diario!$H1365="ED_JU",Painel_diario!$J1365=1),EXP(Painel_diario!$L1365),1)-1</f>
        <v/>
      </c>
    </row>
    <row r="1370">
      <c r="A1370" s="25" t="n">
        <v>40833</v>
      </c>
      <c r="B1370" s="22">
        <f>(1+B1369)*IF(AND(Painel_diario!$H1366="EU_JD",Painel_diario!$J1366=1),EXP(Painel_diario!$L1366),1)-1</f>
        <v/>
      </c>
      <c r="C1370" s="22">
        <f>(1+C1369)*IF(AND(Painel_diario!$H1366="EU_JU",Painel_diario!$J1366=1),EXP(Painel_diario!$L1366),1)-1</f>
        <v/>
      </c>
      <c r="D1370" s="22">
        <f>(1+D1369)*IF(AND(Painel_diario!$H1366="ED_JD",Painel_diario!$J1366=1),EXP(Painel_diario!$L1366),1)-1</f>
        <v/>
      </c>
      <c r="E1370" s="22">
        <f>(1+E1369)*IF(AND(Painel_diario!$H1366="ED_JU",Painel_diario!$J1366=1),EXP(Painel_diario!$L1366),1)-1</f>
        <v/>
      </c>
    </row>
    <row r="1371">
      <c r="A1371" s="25" t="n">
        <v>40834</v>
      </c>
      <c r="B1371" s="22">
        <f>(1+B1370)*IF(AND(Painel_diario!$H1367="EU_JD",Painel_diario!$J1367=1),EXP(Painel_diario!$L1367),1)-1</f>
        <v/>
      </c>
      <c r="C1371" s="22">
        <f>(1+C1370)*IF(AND(Painel_diario!$H1367="EU_JU",Painel_diario!$J1367=1),EXP(Painel_diario!$L1367),1)-1</f>
        <v/>
      </c>
      <c r="D1371" s="22">
        <f>(1+D1370)*IF(AND(Painel_diario!$H1367="ED_JD",Painel_diario!$J1367=1),EXP(Painel_diario!$L1367),1)-1</f>
        <v/>
      </c>
      <c r="E1371" s="22">
        <f>(1+E1370)*IF(AND(Painel_diario!$H1367="ED_JU",Painel_diario!$J1367=1),EXP(Painel_diario!$L1367),1)-1</f>
        <v/>
      </c>
    </row>
    <row r="1372">
      <c r="A1372" s="25" t="n">
        <v>40835</v>
      </c>
      <c r="B1372" s="22">
        <f>(1+B1371)*IF(AND(Painel_diario!$H1368="EU_JD",Painel_diario!$J1368=1),EXP(Painel_diario!$L1368),1)-1</f>
        <v/>
      </c>
      <c r="C1372" s="22">
        <f>(1+C1371)*IF(AND(Painel_diario!$H1368="EU_JU",Painel_diario!$J1368=1),EXP(Painel_diario!$L1368),1)-1</f>
        <v/>
      </c>
      <c r="D1372" s="22">
        <f>(1+D1371)*IF(AND(Painel_diario!$H1368="ED_JD",Painel_diario!$J1368=1),EXP(Painel_diario!$L1368),1)-1</f>
        <v/>
      </c>
      <c r="E1372" s="22">
        <f>(1+E1371)*IF(AND(Painel_diario!$H1368="ED_JU",Painel_diario!$J1368=1),EXP(Painel_diario!$L1368),1)-1</f>
        <v/>
      </c>
    </row>
    <row r="1373">
      <c r="A1373" s="25" t="n">
        <v>40836</v>
      </c>
      <c r="B1373" s="22">
        <f>(1+B1372)*IF(AND(Painel_diario!$H1369="EU_JD",Painel_diario!$J1369=1),EXP(Painel_diario!$L1369),1)-1</f>
        <v/>
      </c>
      <c r="C1373" s="22">
        <f>(1+C1372)*IF(AND(Painel_diario!$H1369="EU_JU",Painel_diario!$J1369=1),EXP(Painel_diario!$L1369),1)-1</f>
        <v/>
      </c>
      <c r="D1373" s="22">
        <f>(1+D1372)*IF(AND(Painel_diario!$H1369="ED_JD",Painel_diario!$J1369=1),EXP(Painel_diario!$L1369),1)-1</f>
        <v/>
      </c>
      <c r="E1373" s="22">
        <f>(1+E1372)*IF(AND(Painel_diario!$H1369="ED_JU",Painel_diario!$J1369=1),EXP(Painel_diario!$L1369),1)-1</f>
        <v/>
      </c>
    </row>
    <row r="1374">
      <c r="A1374" s="25" t="n">
        <v>40837</v>
      </c>
      <c r="B1374" s="22">
        <f>(1+B1373)*IF(AND(Painel_diario!$H1370="EU_JD",Painel_diario!$J1370=1),EXP(Painel_diario!$L1370),1)-1</f>
        <v/>
      </c>
      <c r="C1374" s="22">
        <f>(1+C1373)*IF(AND(Painel_diario!$H1370="EU_JU",Painel_diario!$J1370=1),EXP(Painel_diario!$L1370),1)-1</f>
        <v/>
      </c>
      <c r="D1374" s="22">
        <f>(1+D1373)*IF(AND(Painel_diario!$H1370="ED_JD",Painel_diario!$J1370=1),EXP(Painel_diario!$L1370),1)-1</f>
        <v/>
      </c>
      <c r="E1374" s="22">
        <f>(1+E1373)*IF(AND(Painel_diario!$H1370="ED_JU",Painel_diario!$J1370=1),EXP(Painel_diario!$L1370),1)-1</f>
        <v/>
      </c>
    </row>
    <row r="1375">
      <c r="A1375" s="25" t="n">
        <v>40840</v>
      </c>
      <c r="B1375" s="22">
        <f>(1+B1374)*IF(AND(Painel_diario!$H1371="EU_JD",Painel_diario!$J1371=1),EXP(Painel_diario!$L1371),1)-1</f>
        <v/>
      </c>
      <c r="C1375" s="22">
        <f>(1+C1374)*IF(AND(Painel_diario!$H1371="EU_JU",Painel_diario!$J1371=1),EXP(Painel_diario!$L1371),1)-1</f>
        <v/>
      </c>
      <c r="D1375" s="22">
        <f>(1+D1374)*IF(AND(Painel_diario!$H1371="ED_JD",Painel_diario!$J1371=1),EXP(Painel_diario!$L1371),1)-1</f>
        <v/>
      </c>
      <c r="E1375" s="22">
        <f>(1+E1374)*IF(AND(Painel_diario!$H1371="ED_JU",Painel_diario!$J1371=1),EXP(Painel_diario!$L1371),1)-1</f>
        <v/>
      </c>
    </row>
    <row r="1376">
      <c r="A1376" s="25" t="n">
        <v>40841</v>
      </c>
      <c r="B1376" s="22">
        <f>(1+B1375)*IF(AND(Painel_diario!$H1372="EU_JD",Painel_diario!$J1372=1),EXP(Painel_diario!$L1372),1)-1</f>
        <v/>
      </c>
      <c r="C1376" s="22">
        <f>(1+C1375)*IF(AND(Painel_diario!$H1372="EU_JU",Painel_diario!$J1372=1),EXP(Painel_diario!$L1372),1)-1</f>
        <v/>
      </c>
      <c r="D1376" s="22">
        <f>(1+D1375)*IF(AND(Painel_diario!$H1372="ED_JD",Painel_diario!$J1372=1),EXP(Painel_diario!$L1372),1)-1</f>
        <v/>
      </c>
      <c r="E1376" s="22">
        <f>(1+E1375)*IF(AND(Painel_diario!$H1372="ED_JU",Painel_diario!$J1372=1),EXP(Painel_diario!$L1372),1)-1</f>
        <v/>
      </c>
    </row>
    <row r="1377">
      <c r="A1377" s="25" t="n">
        <v>40842</v>
      </c>
      <c r="B1377" s="22">
        <f>(1+B1376)*IF(AND(Painel_diario!$H1373="EU_JD",Painel_diario!$J1373=1),EXP(Painel_diario!$L1373),1)-1</f>
        <v/>
      </c>
      <c r="C1377" s="22">
        <f>(1+C1376)*IF(AND(Painel_diario!$H1373="EU_JU",Painel_diario!$J1373=1),EXP(Painel_diario!$L1373),1)-1</f>
        <v/>
      </c>
      <c r="D1377" s="22">
        <f>(1+D1376)*IF(AND(Painel_diario!$H1373="ED_JD",Painel_diario!$J1373=1),EXP(Painel_diario!$L1373),1)-1</f>
        <v/>
      </c>
      <c r="E1377" s="22">
        <f>(1+E1376)*IF(AND(Painel_diario!$H1373="ED_JU",Painel_diario!$J1373=1),EXP(Painel_diario!$L1373),1)-1</f>
        <v/>
      </c>
    </row>
    <row r="1378">
      <c r="A1378" s="25" t="n">
        <v>40843</v>
      </c>
      <c r="B1378" s="22">
        <f>(1+B1377)*IF(AND(Painel_diario!$H1374="EU_JD",Painel_diario!$J1374=1),EXP(Painel_diario!$L1374),1)-1</f>
        <v/>
      </c>
      <c r="C1378" s="22">
        <f>(1+C1377)*IF(AND(Painel_diario!$H1374="EU_JU",Painel_diario!$J1374=1),EXP(Painel_diario!$L1374),1)-1</f>
        <v/>
      </c>
      <c r="D1378" s="22">
        <f>(1+D1377)*IF(AND(Painel_diario!$H1374="ED_JD",Painel_diario!$J1374=1),EXP(Painel_diario!$L1374),1)-1</f>
        <v/>
      </c>
      <c r="E1378" s="22">
        <f>(1+E1377)*IF(AND(Painel_diario!$H1374="ED_JU",Painel_diario!$J1374=1),EXP(Painel_diario!$L1374),1)-1</f>
        <v/>
      </c>
    </row>
    <row r="1379">
      <c r="A1379" s="25" t="n">
        <v>40844</v>
      </c>
      <c r="B1379" s="22">
        <f>(1+B1378)*IF(AND(Painel_diario!$H1375="EU_JD",Painel_diario!$J1375=1),EXP(Painel_diario!$L1375),1)-1</f>
        <v/>
      </c>
      <c r="C1379" s="22">
        <f>(1+C1378)*IF(AND(Painel_diario!$H1375="EU_JU",Painel_diario!$J1375=1),EXP(Painel_diario!$L1375),1)-1</f>
        <v/>
      </c>
      <c r="D1379" s="22">
        <f>(1+D1378)*IF(AND(Painel_diario!$H1375="ED_JD",Painel_diario!$J1375=1),EXP(Painel_diario!$L1375),1)-1</f>
        <v/>
      </c>
      <c r="E1379" s="22">
        <f>(1+E1378)*IF(AND(Painel_diario!$H1375="ED_JU",Painel_diario!$J1375=1),EXP(Painel_diario!$L1375),1)-1</f>
        <v/>
      </c>
    </row>
    <row r="1380">
      <c r="A1380" s="25" t="n">
        <v>40847</v>
      </c>
      <c r="B1380" s="22">
        <f>(1+B1379)*IF(AND(Painel_diario!$H1376="EU_JD",Painel_diario!$J1376=1),EXP(Painel_diario!$L1376),1)-1</f>
        <v/>
      </c>
      <c r="C1380" s="22">
        <f>(1+C1379)*IF(AND(Painel_diario!$H1376="EU_JU",Painel_diario!$J1376=1),EXP(Painel_diario!$L1376),1)-1</f>
        <v/>
      </c>
      <c r="D1380" s="22">
        <f>(1+D1379)*IF(AND(Painel_diario!$H1376="ED_JD",Painel_diario!$J1376=1),EXP(Painel_diario!$L1376),1)-1</f>
        <v/>
      </c>
      <c r="E1380" s="22">
        <f>(1+E1379)*IF(AND(Painel_diario!$H1376="ED_JU",Painel_diario!$J1376=1),EXP(Painel_diario!$L1376),1)-1</f>
        <v/>
      </c>
    </row>
    <row r="1381">
      <c r="A1381" s="25" t="n">
        <v>40848</v>
      </c>
      <c r="B1381" s="22">
        <f>(1+B1380)*IF(AND(Painel_diario!$H1377="EU_JD",Painel_diario!$J1377=1),EXP(Painel_diario!$L1377),1)-1</f>
        <v/>
      </c>
      <c r="C1381" s="22">
        <f>(1+C1380)*IF(AND(Painel_diario!$H1377="EU_JU",Painel_diario!$J1377=1),EXP(Painel_diario!$L1377),1)-1</f>
        <v/>
      </c>
      <c r="D1381" s="22">
        <f>(1+D1380)*IF(AND(Painel_diario!$H1377="ED_JD",Painel_diario!$J1377=1),EXP(Painel_diario!$L1377),1)-1</f>
        <v/>
      </c>
      <c r="E1381" s="22">
        <f>(1+E1380)*IF(AND(Painel_diario!$H1377="ED_JU",Painel_diario!$J1377=1),EXP(Painel_diario!$L1377),1)-1</f>
        <v/>
      </c>
    </row>
    <row r="1382">
      <c r="A1382" s="25" t="n">
        <v>40850</v>
      </c>
      <c r="B1382" s="22">
        <f>(1+B1381)*IF(AND(Painel_diario!$H1378="EU_JD",Painel_diario!$J1378=1),EXP(Painel_diario!$L1378),1)-1</f>
        <v/>
      </c>
      <c r="C1382" s="22">
        <f>(1+C1381)*IF(AND(Painel_diario!$H1378="EU_JU",Painel_diario!$J1378=1),EXP(Painel_diario!$L1378),1)-1</f>
        <v/>
      </c>
      <c r="D1382" s="22">
        <f>(1+D1381)*IF(AND(Painel_diario!$H1378="ED_JD",Painel_diario!$J1378=1),EXP(Painel_diario!$L1378),1)-1</f>
        <v/>
      </c>
      <c r="E1382" s="22">
        <f>(1+E1381)*IF(AND(Painel_diario!$H1378="ED_JU",Painel_diario!$J1378=1),EXP(Painel_diario!$L1378),1)-1</f>
        <v/>
      </c>
    </row>
    <row r="1383">
      <c r="A1383" s="25" t="n">
        <v>40851</v>
      </c>
      <c r="B1383" s="22">
        <f>(1+B1382)*IF(AND(Painel_diario!$H1379="EU_JD",Painel_diario!$J1379=1),EXP(Painel_diario!$L1379),1)-1</f>
        <v/>
      </c>
      <c r="C1383" s="22">
        <f>(1+C1382)*IF(AND(Painel_diario!$H1379="EU_JU",Painel_diario!$J1379=1),EXP(Painel_diario!$L1379),1)-1</f>
        <v/>
      </c>
      <c r="D1383" s="22">
        <f>(1+D1382)*IF(AND(Painel_diario!$H1379="ED_JD",Painel_diario!$J1379=1),EXP(Painel_diario!$L1379),1)-1</f>
        <v/>
      </c>
      <c r="E1383" s="22">
        <f>(1+E1382)*IF(AND(Painel_diario!$H1379="ED_JU",Painel_diario!$J1379=1),EXP(Painel_diario!$L1379),1)-1</f>
        <v/>
      </c>
    </row>
    <row r="1384">
      <c r="A1384" s="25" t="n">
        <v>40854</v>
      </c>
      <c r="B1384" s="22">
        <f>(1+B1383)*IF(AND(Painel_diario!$H1380="EU_JD",Painel_diario!$J1380=1),EXP(Painel_diario!$L1380),1)-1</f>
        <v/>
      </c>
      <c r="C1384" s="22">
        <f>(1+C1383)*IF(AND(Painel_diario!$H1380="EU_JU",Painel_diario!$J1380=1),EXP(Painel_diario!$L1380),1)-1</f>
        <v/>
      </c>
      <c r="D1384" s="22">
        <f>(1+D1383)*IF(AND(Painel_diario!$H1380="ED_JD",Painel_diario!$J1380=1),EXP(Painel_diario!$L1380),1)-1</f>
        <v/>
      </c>
      <c r="E1384" s="22">
        <f>(1+E1383)*IF(AND(Painel_diario!$H1380="ED_JU",Painel_diario!$J1380=1),EXP(Painel_diario!$L1380),1)-1</f>
        <v/>
      </c>
    </row>
    <row r="1385">
      <c r="A1385" s="25" t="n">
        <v>40855</v>
      </c>
      <c r="B1385" s="22">
        <f>(1+B1384)*IF(AND(Painel_diario!$H1381="EU_JD",Painel_diario!$J1381=1),EXP(Painel_diario!$L1381),1)-1</f>
        <v/>
      </c>
      <c r="C1385" s="22">
        <f>(1+C1384)*IF(AND(Painel_diario!$H1381="EU_JU",Painel_diario!$J1381=1),EXP(Painel_diario!$L1381),1)-1</f>
        <v/>
      </c>
      <c r="D1385" s="22">
        <f>(1+D1384)*IF(AND(Painel_diario!$H1381="ED_JD",Painel_diario!$J1381=1),EXP(Painel_diario!$L1381),1)-1</f>
        <v/>
      </c>
      <c r="E1385" s="22">
        <f>(1+E1384)*IF(AND(Painel_diario!$H1381="ED_JU",Painel_diario!$J1381=1),EXP(Painel_diario!$L1381),1)-1</f>
        <v/>
      </c>
    </row>
    <row r="1386">
      <c r="A1386" s="25" t="n">
        <v>40856</v>
      </c>
      <c r="B1386" s="22">
        <f>(1+B1385)*IF(AND(Painel_diario!$H1382="EU_JD",Painel_diario!$J1382=1),EXP(Painel_diario!$L1382),1)-1</f>
        <v/>
      </c>
      <c r="C1386" s="22">
        <f>(1+C1385)*IF(AND(Painel_diario!$H1382="EU_JU",Painel_diario!$J1382=1),EXP(Painel_diario!$L1382),1)-1</f>
        <v/>
      </c>
      <c r="D1386" s="22">
        <f>(1+D1385)*IF(AND(Painel_diario!$H1382="ED_JD",Painel_diario!$J1382=1),EXP(Painel_diario!$L1382),1)-1</f>
        <v/>
      </c>
      <c r="E1386" s="22">
        <f>(1+E1385)*IF(AND(Painel_diario!$H1382="ED_JU",Painel_diario!$J1382=1),EXP(Painel_diario!$L1382),1)-1</f>
        <v/>
      </c>
    </row>
    <row r="1387">
      <c r="A1387" s="25" t="n">
        <v>40857</v>
      </c>
      <c r="B1387" s="22">
        <f>(1+B1386)*IF(AND(Painel_diario!$H1383="EU_JD",Painel_diario!$J1383=1),EXP(Painel_diario!$L1383),1)-1</f>
        <v/>
      </c>
      <c r="C1387" s="22">
        <f>(1+C1386)*IF(AND(Painel_diario!$H1383="EU_JU",Painel_diario!$J1383=1),EXP(Painel_diario!$L1383),1)-1</f>
        <v/>
      </c>
      <c r="D1387" s="22">
        <f>(1+D1386)*IF(AND(Painel_diario!$H1383="ED_JD",Painel_diario!$J1383=1),EXP(Painel_diario!$L1383),1)-1</f>
        <v/>
      </c>
      <c r="E1387" s="22">
        <f>(1+E1386)*IF(AND(Painel_diario!$H1383="ED_JU",Painel_diario!$J1383=1),EXP(Painel_diario!$L1383),1)-1</f>
        <v/>
      </c>
    </row>
    <row r="1388">
      <c r="A1388" s="25" t="n">
        <v>40858</v>
      </c>
      <c r="B1388" s="22">
        <f>(1+B1387)*IF(AND(Painel_diario!$H1384="EU_JD",Painel_diario!$J1384=1),EXP(Painel_diario!$L1384),1)-1</f>
        <v/>
      </c>
      <c r="C1388" s="22">
        <f>(1+C1387)*IF(AND(Painel_diario!$H1384="EU_JU",Painel_diario!$J1384=1),EXP(Painel_diario!$L1384),1)-1</f>
        <v/>
      </c>
      <c r="D1388" s="22">
        <f>(1+D1387)*IF(AND(Painel_diario!$H1384="ED_JD",Painel_diario!$J1384=1),EXP(Painel_diario!$L1384),1)-1</f>
        <v/>
      </c>
      <c r="E1388" s="22">
        <f>(1+E1387)*IF(AND(Painel_diario!$H1384="ED_JU",Painel_diario!$J1384=1),EXP(Painel_diario!$L1384),1)-1</f>
        <v/>
      </c>
    </row>
    <row r="1389">
      <c r="A1389" s="25" t="n">
        <v>40861</v>
      </c>
      <c r="B1389" s="22">
        <f>(1+B1388)*IF(AND(Painel_diario!$H1385="EU_JD",Painel_diario!$J1385=1),EXP(Painel_diario!$L1385),1)-1</f>
        <v/>
      </c>
      <c r="C1389" s="22">
        <f>(1+C1388)*IF(AND(Painel_diario!$H1385="EU_JU",Painel_diario!$J1385=1),EXP(Painel_diario!$L1385),1)-1</f>
        <v/>
      </c>
      <c r="D1389" s="22">
        <f>(1+D1388)*IF(AND(Painel_diario!$H1385="ED_JD",Painel_diario!$J1385=1),EXP(Painel_diario!$L1385),1)-1</f>
        <v/>
      </c>
      <c r="E1389" s="22">
        <f>(1+E1388)*IF(AND(Painel_diario!$H1385="ED_JU",Painel_diario!$J1385=1),EXP(Painel_diario!$L1385),1)-1</f>
        <v/>
      </c>
    </row>
    <row r="1390">
      <c r="A1390" s="25" t="n">
        <v>40863</v>
      </c>
      <c r="B1390" s="22">
        <f>(1+B1389)*IF(AND(Painel_diario!$H1386="EU_JD",Painel_diario!$J1386=1),EXP(Painel_diario!$L1386),1)-1</f>
        <v/>
      </c>
      <c r="C1390" s="22">
        <f>(1+C1389)*IF(AND(Painel_diario!$H1386="EU_JU",Painel_diario!$J1386=1),EXP(Painel_diario!$L1386),1)-1</f>
        <v/>
      </c>
      <c r="D1390" s="22">
        <f>(1+D1389)*IF(AND(Painel_diario!$H1386="ED_JD",Painel_diario!$J1386=1),EXP(Painel_diario!$L1386),1)-1</f>
        <v/>
      </c>
      <c r="E1390" s="22">
        <f>(1+E1389)*IF(AND(Painel_diario!$H1386="ED_JU",Painel_diario!$J1386=1),EXP(Painel_diario!$L1386),1)-1</f>
        <v/>
      </c>
    </row>
    <row r="1391">
      <c r="A1391" s="25" t="n">
        <v>40864</v>
      </c>
      <c r="B1391" s="22">
        <f>(1+B1390)*IF(AND(Painel_diario!$H1387="EU_JD",Painel_diario!$J1387=1),EXP(Painel_diario!$L1387),1)-1</f>
        <v/>
      </c>
      <c r="C1391" s="22">
        <f>(1+C1390)*IF(AND(Painel_diario!$H1387="EU_JU",Painel_diario!$J1387=1),EXP(Painel_diario!$L1387),1)-1</f>
        <v/>
      </c>
      <c r="D1391" s="22">
        <f>(1+D1390)*IF(AND(Painel_diario!$H1387="ED_JD",Painel_diario!$J1387=1),EXP(Painel_diario!$L1387),1)-1</f>
        <v/>
      </c>
      <c r="E1391" s="22">
        <f>(1+E1390)*IF(AND(Painel_diario!$H1387="ED_JU",Painel_diario!$J1387=1),EXP(Painel_diario!$L1387),1)-1</f>
        <v/>
      </c>
    </row>
    <row r="1392">
      <c r="A1392" s="25" t="n">
        <v>40865</v>
      </c>
      <c r="B1392" s="22">
        <f>(1+B1391)*IF(AND(Painel_diario!$H1388="EU_JD",Painel_diario!$J1388=1),EXP(Painel_diario!$L1388),1)-1</f>
        <v/>
      </c>
      <c r="C1392" s="22">
        <f>(1+C1391)*IF(AND(Painel_diario!$H1388="EU_JU",Painel_diario!$J1388=1),EXP(Painel_diario!$L1388),1)-1</f>
        <v/>
      </c>
      <c r="D1392" s="22">
        <f>(1+D1391)*IF(AND(Painel_diario!$H1388="ED_JD",Painel_diario!$J1388=1),EXP(Painel_diario!$L1388),1)-1</f>
        <v/>
      </c>
      <c r="E1392" s="22">
        <f>(1+E1391)*IF(AND(Painel_diario!$H1388="ED_JU",Painel_diario!$J1388=1),EXP(Painel_diario!$L1388),1)-1</f>
        <v/>
      </c>
    </row>
    <row r="1393">
      <c r="A1393" s="25" t="n">
        <v>40868</v>
      </c>
      <c r="B1393" s="22">
        <f>(1+B1392)*IF(AND(Painel_diario!$H1389="EU_JD",Painel_diario!$J1389=1),EXP(Painel_diario!$L1389),1)-1</f>
        <v/>
      </c>
      <c r="C1393" s="22">
        <f>(1+C1392)*IF(AND(Painel_diario!$H1389="EU_JU",Painel_diario!$J1389=1),EXP(Painel_diario!$L1389),1)-1</f>
        <v/>
      </c>
      <c r="D1393" s="22">
        <f>(1+D1392)*IF(AND(Painel_diario!$H1389="ED_JD",Painel_diario!$J1389=1),EXP(Painel_diario!$L1389),1)-1</f>
        <v/>
      </c>
      <c r="E1393" s="22">
        <f>(1+E1392)*IF(AND(Painel_diario!$H1389="ED_JU",Painel_diario!$J1389=1),EXP(Painel_diario!$L1389),1)-1</f>
        <v/>
      </c>
    </row>
    <row r="1394">
      <c r="A1394" s="25" t="n">
        <v>40869</v>
      </c>
      <c r="B1394" s="22">
        <f>(1+B1393)*IF(AND(Painel_diario!$H1390="EU_JD",Painel_diario!$J1390=1),EXP(Painel_diario!$L1390),1)-1</f>
        <v/>
      </c>
      <c r="C1394" s="22">
        <f>(1+C1393)*IF(AND(Painel_diario!$H1390="EU_JU",Painel_diario!$J1390=1),EXP(Painel_diario!$L1390),1)-1</f>
        <v/>
      </c>
      <c r="D1394" s="22">
        <f>(1+D1393)*IF(AND(Painel_diario!$H1390="ED_JD",Painel_diario!$J1390=1),EXP(Painel_diario!$L1390),1)-1</f>
        <v/>
      </c>
      <c r="E1394" s="22">
        <f>(1+E1393)*IF(AND(Painel_diario!$H1390="ED_JU",Painel_diario!$J1390=1),EXP(Painel_diario!$L1390),1)-1</f>
        <v/>
      </c>
    </row>
    <row r="1395">
      <c r="A1395" s="25" t="n">
        <v>40870</v>
      </c>
      <c r="B1395" s="22">
        <f>(1+B1394)*IF(AND(Painel_diario!$H1391="EU_JD",Painel_diario!$J1391=1),EXP(Painel_diario!$L1391),1)-1</f>
        <v/>
      </c>
      <c r="C1395" s="22">
        <f>(1+C1394)*IF(AND(Painel_diario!$H1391="EU_JU",Painel_diario!$J1391=1),EXP(Painel_diario!$L1391),1)-1</f>
        <v/>
      </c>
      <c r="D1395" s="22">
        <f>(1+D1394)*IF(AND(Painel_diario!$H1391="ED_JD",Painel_diario!$J1391=1),EXP(Painel_diario!$L1391),1)-1</f>
        <v/>
      </c>
      <c r="E1395" s="22">
        <f>(1+E1394)*IF(AND(Painel_diario!$H1391="ED_JU",Painel_diario!$J1391=1),EXP(Painel_diario!$L1391),1)-1</f>
        <v/>
      </c>
    </row>
    <row r="1396">
      <c r="A1396" s="25" t="n">
        <v>40871</v>
      </c>
      <c r="B1396" s="22">
        <f>(1+B1395)*IF(AND(Painel_diario!$H1392="EU_JD",Painel_diario!$J1392=1),EXP(Painel_diario!$L1392),1)-1</f>
        <v/>
      </c>
      <c r="C1396" s="22">
        <f>(1+C1395)*IF(AND(Painel_diario!$H1392="EU_JU",Painel_diario!$J1392=1),EXP(Painel_diario!$L1392),1)-1</f>
        <v/>
      </c>
      <c r="D1396" s="22">
        <f>(1+D1395)*IF(AND(Painel_diario!$H1392="ED_JD",Painel_diario!$J1392=1),EXP(Painel_diario!$L1392),1)-1</f>
        <v/>
      </c>
      <c r="E1396" s="22">
        <f>(1+E1395)*IF(AND(Painel_diario!$H1392="ED_JU",Painel_diario!$J1392=1),EXP(Painel_diario!$L1392),1)-1</f>
        <v/>
      </c>
    </row>
    <row r="1397">
      <c r="A1397" s="25" t="n">
        <v>40872</v>
      </c>
      <c r="B1397" s="22">
        <f>(1+B1396)*IF(AND(Painel_diario!$H1393="EU_JD",Painel_diario!$J1393=1),EXP(Painel_diario!$L1393),1)-1</f>
        <v/>
      </c>
      <c r="C1397" s="22">
        <f>(1+C1396)*IF(AND(Painel_diario!$H1393="EU_JU",Painel_diario!$J1393=1),EXP(Painel_diario!$L1393),1)-1</f>
        <v/>
      </c>
      <c r="D1397" s="22">
        <f>(1+D1396)*IF(AND(Painel_diario!$H1393="ED_JD",Painel_diario!$J1393=1),EXP(Painel_diario!$L1393),1)-1</f>
        <v/>
      </c>
      <c r="E1397" s="22">
        <f>(1+E1396)*IF(AND(Painel_diario!$H1393="ED_JU",Painel_diario!$J1393=1),EXP(Painel_diario!$L1393),1)-1</f>
        <v/>
      </c>
    </row>
    <row r="1398">
      <c r="A1398" s="25" t="n">
        <v>40875</v>
      </c>
      <c r="B1398" s="22">
        <f>(1+B1397)*IF(AND(Painel_diario!$H1394="EU_JD",Painel_diario!$J1394=1),EXP(Painel_diario!$L1394),1)-1</f>
        <v/>
      </c>
      <c r="C1398" s="22">
        <f>(1+C1397)*IF(AND(Painel_diario!$H1394="EU_JU",Painel_diario!$J1394=1),EXP(Painel_diario!$L1394),1)-1</f>
        <v/>
      </c>
      <c r="D1398" s="22">
        <f>(1+D1397)*IF(AND(Painel_diario!$H1394="ED_JD",Painel_diario!$J1394=1),EXP(Painel_diario!$L1394),1)-1</f>
        <v/>
      </c>
      <c r="E1398" s="22">
        <f>(1+E1397)*IF(AND(Painel_diario!$H1394="ED_JU",Painel_diario!$J1394=1),EXP(Painel_diario!$L1394),1)-1</f>
        <v/>
      </c>
    </row>
    <row r="1399">
      <c r="A1399" s="25" t="n">
        <v>40876</v>
      </c>
      <c r="B1399" s="22">
        <f>(1+B1398)*IF(AND(Painel_diario!$H1395="EU_JD",Painel_diario!$J1395=1),EXP(Painel_diario!$L1395),1)-1</f>
        <v/>
      </c>
      <c r="C1399" s="22">
        <f>(1+C1398)*IF(AND(Painel_diario!$H1395="EU_JU",Painel_diario!$J1395=1),EXP(Painel_diario!$L1395),1)-1</f>
        <v/>
      </c>
      <c r="D1399" s="22">
        <f>(1+D1398)*IF(AND(Painel_diario!$H1395="ED_JD",Painel_diario!$J1395=1),EXP(Painel_diario!$L1395),1)-1</f>
        <v/>
      </c>
      <c r="E1399" s="22">
        <f>(1+E1398)*IF(AND(Painel_diario!$H1395="ED_JU",Painel_diario!$J1395=1),EXP(Painel_diario!$L1395),1)-1</f>
        <v/>
      </c>
    </row>
    <row r="1400">
      <c r="A1400" s="25" t="n">
        <v>40877</v>
      </c>
      <c r="B1400" s="22">
        <f>(1+B1399)*IF(AND(Painel_diario!$H1396="EU_JD",Painel_diario!$J1396=1),EXP(Painel_diario!$L1396),1)-1</f>
        <v/>
      </c>
      <c r="C1400" s="22">
        <f>(1+C1399)*IF(AND(Painel_diario!$H1396="EU_JU",Painel_diario!$J1396=1),EXP(Painel_diario!$L1396),1)-1</f>
        <v/>
      </c>
      <c r="D1400" s="22">
        <f>(1+D1399)*IF(AND(Painel_diario!$H1396="ED_JD",Painel_diario!$J1396=1),EXP(Painel_diario!$L1396),1)-1</f>
        <v/>
      </c>
      <c r="E1400" s="22">
        <f>(1+E1399)*IF(AND(Painel_diario!$H1396="ED_JU",Painel_diario!$J1396=1),EXP(Painel_diario!$L1396),1)-1</f>
        <v/>
      </c>
    </row>
    <row r="1401">
      <c r="A1401" s="25" t="n">
        <v>40878</v>
      </c>
      <c r="B1401" s="22">
        <f>(1+B1400)*IF(AND(Painel_diario!$H1397="EU_JD",Painel_diario!$J1397=1),EXP(Painel_diario!$L1397),1)-1</f>
        <v/>
      </c>
      <c r="C1401" s="22">
        <f>(1+C1400)*IF(AND(Painel_diario!$H1397="EU_JU",Painel_diario!$J1397=1),EXP(Painel_diario!$L1397),1)-1</f>
        <v/>
      </c>
      <c r="D1401" s="22">
        <f>(1+D1400)*IF(AND(Painel_diario!$H1397="ED_JD",Painel_diario!$J1397=1),EXP(Painel_diario!$L1397),1)-1</f>
        <v/>
      </c>
      <c r="E1401" s="22">
        <f>(1+E1400)*IF(AND(Painel_diario!$H1397="ED_JU",Painel_diario!$J1397=1),EXP(Painel_diario!$L1397),1)-1</f>
        <v/>
      </c>
    </row>
    <row r="1402">
      <c r="A1402" s="25" t="n">
        <v>40879</v>
      </c>
      <c r="B1402" s="22">
        <f>(1+B1401)*IF(AND(Painel_diario!$H1398="EU_JD",Painel_diario!$J1398=1),EXP(Painel_diario!$L1398),1)-1</f>
        <v/>
      </c>
      <c r="C1402" s="22">
        <f>(1+C1401)*IF(AND(Painel_diario!$H1398="EU_JU",Painel_diario!$J1398=1),EXP(Painel_diario!$L1398),1)-1</f>
        <v/>
      </c>
      <c r="D1402" s="22">
        <f>(1+D1401)*IF(AND(Painel_diario!$H1398="ED_JD",Painel_diario!$J1398=1),EXP(Painel_diario!$L1398),1)-1</f>
        <v/>
      </c>
      <c r="E1402" s="22">
        <f>(1+E1401)*IF(AND(Painel_diario!$H1398="ED_JU",Painel_diario!$J1398=1),EXP(Painel_diario!$L1398),1)-1</f>
        <v/>
      </c>
    </row>
    <row r="1403">
      <c r="A1403" s="25" t="n">
        <v>40882</v>
      </c>
      <c r="B1403" s="22">
        <f>(1+B1402)*IF(AND(Painel_diario!$H1399="EU_JD",Painel_diario!$J1399=1),EXP(Painel_diario!$L1399),1)-1</f>
        <v/>
      </c>
      <c r="C1403" s="22">
        <f>(1+C1402)*IF(AND(Painel_diario!$H1399="EU_JU",Painel_diario!$J1399=1),EXP(Painel_diario!$L1399),1)-1</f>
        <v/>
      </c>
      <c r="D1403" s="22">
        <f>(1+D1402)*IF(AND(Painel_diario!$H1399="ED_JD",Painel_diario!$J1399=1),EXP(Painel_diario!$L1399),1)-1</f>
        <v/>
      </c>
      <c r="E1403" s="22">
        <f>(1+E1402)*IF(AND(Painel_diario!$H1399="ED_JU",Painel_diario!$J1399=1),EXP(Painel_diario!$L1399),1)-1</f>
        <v/>
      </c>
    </row>
    <row r="1404">
      <c r="A1404" s="25" t="n">
        <v>40883</v>
      </c>
      <c r="B1404" s="22">
        <f>(1+B1403)*IF(AND(Painel_diario!$H1400="EU_JD",Painel_diario!$J1400=1),EXP(Painel_diario!$L1400),1)-1</f>
        <v/>
      </c>
      <c r="C1404" s="22">
        <f>(1+C1403)*IF(AND(Painel_diario!$H1400="EU_JU",Painel_diario!$J1400=1),EXP(Painel_diario!$L1400),1)-1</f>
        <v/>
      </c>
      <c r="D1404" s="22">
        <f>(1+D1403)*IF(AND(Painel_diario!$H1400="ED_JD",Painel_diario!$J1400=1),EXP(Painel_diario!$L1400),1)-1</f>
        <v/>
      </c>
      <c r="E1404" s="22">
        <f>(1+E1403)*IF(AND(Painel_diario!$H1400="ED_JU",Painel_diario!$J1400=1),EXP(Painel_diario!$L1400),1)-1</f>
        <v/>
      </c>
    </row>
    <row r="1405">
      <c r="A1405" s="25" t="n">
        <v>40884</v>
      </c>
      <c r="B1405" s="22">
        <f>(1+B1404)*IF(AND(Painel_diario!$H1401="EU_JD",Painel_diario!$J1401=1),EXP(Painel_diario!$L1401),1)-1</f>
        <v/>
      </c>
      <c r="C1405" s="22">
        <f>(1+C1404)*IF(AND(Painel_diario!$H1401="EU_JU",Painel_diario!$J1401=1),EXP(Painel_diario!$L1401),1)-1</f>
        <v/>
      </c>
      <c r="D1405" s="22">
        <f>(1+D1404)*IF(AND(Painel_diario!$H1401="ED_JD",Painel_diario!$J1401=1),EXP(Painel_diario!$L1401),1)-1</f>
        <v/>
      </c>
      <c r="E1405" s="22">
        <f>(1+E1404)*IF(AND(Painel_diario!$H1401="ED_JU",Painel_diario!$J1401=1),EXP(Painel_diario!$L1401),1)-1</f>
        <v/>
      </c>
    </row>
    <row r="1406">
      <c r="A1406" s="25" t="n">
        <v>40885</v>
      </c>
      <c r="B1406" s="22">
        <f>(1+B1405)*IF(AND(Painel_diario!$H1402="EU_JD",Painel_diario!$J1402=1),EXP(Painel_diario!$L1402),1)-1</f>
        <v/>
      </c>
      <c r="C1406" s="22">
        <f>(1+C1405)*IF(AND(Painel_diario!$H1402="EU_JU",Painel_diario!$J1402=1),EXP(Painel_diario!$L1402),1)-1</f>
        <v/>
      </c>
      <c r="D1406" s="22">
        <f>(1+D1405)*IF(AND(Painel_diario!$H1402="ED_JD",Painel_diario!$J1402=1),EXP(Painel_diario!$L1402),1)-1</f>
        <v/>
      </c>
      <c r="E1406" s="22">
        <f>(1+E1405)*IF(AND(Painel_diario!$H1402="ED_JU",Painel_diario!$J1402=1),EXP(Painel_diario!$L1402),1)-1</f>
        <v/>
      </c>
    </row>
    <row r="1407">
      <c r="A1407" s="25" t="n">
        <v>40886</v>
      </c>
      <c r="B1407" s="22">
        <f>(1+B1406)*IF(AND(Painel_diario!$H1403="EU_JD",Painel_diario!$J1403=1),EXP(Painel_diario!$L1403),1)-1</f>
        <v/>
      </c>
      <c r="C1407" s="22">
        <f>(1+C1406)*IF(AND(Painel_diario!$H1403="EU_JU",Painel_diario!$J1403=1),EXP(Painel_diario!$L1403),1)-1</f>
        <v/>
      </c>
      <c r="D1407" s="22">
        <f>(1+D1406)*IF(AND(Painel_diario!$H1403="ED_JD",Painel_diario!$J1403=1),EXP(Painel_diario!$L1403),1)-1</f>
        <v/>
      </c>
      <c r="E1407" s="22">
        <f>(1+E1406)*IF(AND(Painel_diario!$H1403="ED_JU",Painel_diario!$J1403=1),EXP(Painel_diario!$L1403),1)-1</f>
        <v/>
      </c>
    </row>
    <row r="1408">
      <c r="A1408" s="25" t="n">
        <v>40889</v>
      </c>
      <c r="B1408" s="22">
        <f>(1+B1407)*IF(AND(Painel_diario!$H1404="EU_JD",Painel_diario!$J1404=1),EXP(Painel_diario!$L1404),1)-1</f>
        <v/>
      </c>
      <c r="C1408" s="22">
        <f>(1+C1407)*IF(AND(Painel_diario!$H1404="EU_JU",Painel_diario!$J1404=1),EXP(Painel_diario!$L1404),1)-1</f>
        <v/>
      </c>
      <c r="D1408" s="22">
        <f>(1+D1407)*IF(AND(Painel_diario!$H1404="ED_JD",Painel_diario!$J1404=1),EXP(Painel_diario!$L1404),1)-1</f>
        <v/>
      </c>
      <c r="E1408" s="22">
        <f>(1+E1407)*IF(AND(Painel_diario!$H1404="ED_JU",Painel_diario!$J1404=1),EXP(Painel_diario!$L1404),1)-1</f>
        <v/>
      </c>
    </row>
    <row r="1409">
      <c r="A1409" s="25" t="n">
        <v>40890</v>
      </c>
      <c r="B1409" s="22">
        <f>(1+B1408)*IF(AND(Painel_diario!$H1405="EU_JD",Painel_diario!$J1405=1),EXP(Painel_diario!$L1405),1)-1</f>
        <v/>
      </c>
      <c r="C1409" s="22">
        <f>(1+C1408)*IF(AND(Painel_diario!$H1405="EU_JU",Painel_diario!$J1405=1),EXP(Painel_diario!$L1405),1)-1</f>
        <v/>
      </c>
      <c r="D1409" s="22">
        <f>(1+D1408)*IF(AND(Painel_diario!$H1405="ED_JD",Painel_diario!$J1405=1),EXP(Painel_diario!$L1405),1)-1</f>
        <v/>
      </c>
      <c r="E1409" s="22">
        <f>(1+E1408)*IF(AND(Painel_diario!$H1405="ED_JU",Painel_diario!$J1405=1),EXP(Painel_diario!$L1405),1)-1</f>
        <v/>
      </c>
    </row>
    <row r="1410">
      <c r="A1410" s="25" t="n">
        <v>40891</v>
      </c>
      <c r="B1410" s="22">
        <f>(1+B1409)*IF(AND(Painel_diario!$H1406="EU_JD",Painel_diario!$J1406=1),EXP(Painel_diario!$L1406),1)-1</f>
        <v/>
      </c>
      <c r="C1410" s="22">
        <f>(1+C1409)*IF(AND(Painel_diario!$H1406="EU_JU",Painel_diario!$J1406=1),EXP(Painel_diario!$L1406),1)-1</f>
        <v/>
      </c>
      <c r="D1410" s="22">
        <f>(1+D1409)*IF(AND(Painel_diario!$H1406="ED_JD",Painel_diario!$J1406=1),EXP(Painel_diario!$L1406),1)-1</f>
        <v/>
      </c>
      <c r="E1410" s="22">
        <f>(1+E1409)*IF(AND(Painel_diario!$H1406="ED_JU",Painel_diario!$J1406=1),EXP(Painel_diario!$L1406),1)-1</f>
        <v/>
      </c>
    </row>
    <row r="1411">
      <c r="A1411" s="25" t="n">
        <v>40892</v>
      </c>
      <c r="B1411" s="22">
        <f>(1+B1410)*IF(AND(Painel_diario!$H1407="EU_JD",Painel_diario!$J1407=1),EXP(Painel_diario!$L1407),1)-1</f>
        <v/>
      </c>
      <c r="C1411" s="22">
        <f>(1+C1410)*IF(AND(Painel_diario!$H1407="EU_JU",Painel_diario!$J1407=1),EXP(Painel_diario!$L1407),1)-1</f>
        <v/>
      </c>
      <c r="D1411" s="22">
        <f>(1+D1410)*IF(AND(Painel_diario!$H1407="ED_JD",Painel_diario!$J1407=1),EXP(Painel_diario!$L1407),1)-1</f>
        <v/>
      </c>
      <c r="E1411" s="22">
        <f>(1+E1410)*IF(AND(Painel_diario!$H1407="ED_JU",Painel_diario!$J1407=1),EXP(Painel_diario!$L1407),1)-1</f>
        <v/>
      </c>
    </row>
    <row r="1412">
      <c r="A1412" s="25" t="n">
        <v>40893</v>
      </c>
      <c r="B1412" s="22">
        <f>(1+B1411)*IF(AND(Painel_diario!$H1408="EU_JD",Painel_diario!$J1408=1),EXP(Painel_diario!$L1408),1)-1</f>
        <v/>
      </c>
      <c r="C1412" s="22">
        <f>(1+C1411)*IF(AND(Painel_diario!$H1408="EU_JU",Painel_diario!$J1408=1),EXP(Painel_diario!$L1408),1)-1</f>
        <v/>
      </c>
      <c r="D1412" s="22">
        <f>(1+D1411)*IF(AND(Painel_diario!$H1408="ED_JD",Painel_diario!$J1408=1),EXP(Painel_diario!$L1408),1)-1</f>
        <v/>
      </c>
      <c r="E1412" s="22">
        <f>(1+E1411)*IF(AND(Painel_diario!$H1408="ED_JU",Painel_diario!$J1408=1),EXP(Painel_diario!$L1408),1)-1</f>
        <v/>
      </c>
    </row>
    <row r="1413">
      <c r="A1413" s="25" t="n">
        <v>40896</v>
      </c>
      <c r="B1413" s="22">
        <f>(1+B1412)*IF(AND(Painel_diario!$H1409="EU_JD",Painel_diario!$J1409=1),EXP(Painel_diario!$L1409),1)-1</f>
        <v/>
      </c>
      <c r="C1413" s="22">
        <f>(1+C1412)*IF(AND(Painel_diario!$H1409="EU_JU",Painel_diario!$J1409=1),EXP(Painel_diario!$L1409),1)-1</f>
        <v/>
      </c>
      <c r="D1413" s="22">
        <f>(1+D1412)*IF(AND(Painel_diario!$H1409="ED_JD",Painel_diario!$J1409=1),EXP(Painel_diario!$L1409),1)-1</f>
        <v/>
      </c>
      <c r="E1413" s="22">
        <f>(1+E1412)*IF(AND(Painel_diario!$H1409="ED_JU",Painel_diario!$J1409=1),EXP(Painel_diario!$L1409),1)-1</f>
        <v/>
      </c>
    </row>
    <row r="1414">
      <c r="A1414" s="25" t="n">
        <v>40897</v>
      </c>
      <c r="B1414" s="22">
        <f>(1+B1413)*IF(AND(Painel_diario!$H1410="EU_JD",Painel_diario!$J1410=1),EXP(Painel_diario!$L1410),1)-1</f>
        <v/>
      </c>
      <c r="C1414" s="22">
        <f>(1+C1413)*IF(AND(Painel_diario!$H1410="EU_JU",Painel_diario!$J1410=1),EXP(Painel_diario!$L1410),1)-1</f>
        <v/>
      </c>
      <c r="D1414" s="22">
        <f>(1+D1413)*IF(AND(Painel_diario!$H1410="ED_JD",Painel_diario!$J1410=1),EXP(Painel_diario!$L1410),1)-1</f>
        <v/>
      </c>
      <c r="E1414" s="22">
        <f>(1+E1413)*IF(AND(Painel_diario!$H1410="ED_JU",Painel_diario!$J1410=1),EXP(Painel_diario!$L1410),1)-1</f>
        <v/>
      </c>
    </row>
    <row r="1415">
      <c r="A1415" s="25" t="n">
        <v>40898</v>
      </c>
      <c r="B1415" s="22">
        <f>(1+B1414)*IF(AND(Painel_diario!$H1411="EU_JD",Painel_diario!$J1411=1),EXP(Painel_diario!$L1411),1)-1</f>
        <v/>
      </c>
      <c r="C1415" s="22">
        <f>(1+C1414)*IF(AND(Painel_diario!$H1411="EU_JU",Painel_diario!$J1411=1),EXP(Painel_diario!$L1411),1)-1</f>
        <v/>
      </c>
      <c r="D1415" s="22">
        <f>(1+D1414)*IF(AND(Painel_diario!$H1411="ED_JD",Painel_diario!$J1411=1),EXP(Painel_diario!$L1411),1)-1</f>
        <v/>
      </c>
      <c r="E1415" s="22">
        <f>(1+E1414)*IF(AND(Painel_diario!$H1411="ED_JU",Painel_diario!$J1411=1),EXP(Painel_diario!$L1411),1)-1</f>
        <v/>
      </c>
    </row>
    <row r="1416">
      <c r="A1416" s="25" t="n">
        <v>40899</v>
      </c>
      <c r="B1416" s="22">
        <f>(1+B1415)*IF(AND(Painel_diario!$H1412="EU_JD",Painel_diario!$J1412=1),EXP(Painel_diario!$L1412),1)-1</f>
        <v/>
      </c>
      <c r="C1416" s="22">
        <f>(1+C1415)*IF(AND(Painel_diario!$H1412="EU_JU",Painel_diario!$J1412=1),EXP(Painel_diario!$L1412),1)-1</f>
        <v/>
      </c>
      <c r="D1416" s="22">
        <f>(1+D1415)*IF(AND(Painel_diario!$H1412="ED_JD",Painel_diario!$J1412=1),EXP(Painel_diario!$L1412),1)-1</f>
        <v/>
      </c>
      <c r="E1416" s="22">
        <f>(1+E1415)*IF(AND(Painel_diario!$H1412="ED_JU",Painel_diario!$J1412=1),EXP(Painel_diario!$L1412),1)-1</f>
        <v/>
      </c>
    </row>
    <row r="1417">
      <c r="A1417" s="25" t="n">
        <v>40900</v>
      </c>
      <c r="B1417" s="22">
        <f>(1+B1416)*IF(AND(Painel_diario!$H1413="EU_JD",Painel_diario!$J1413=1),EXP(Painel_diario!$L1413),1)-1</f>
        <v/>
      </c>
      <c r="C1417" s="22">
        <f>(1+C1416)*IF(AND(Painel_diario!$H1413="EU_JU",Painel_diario!$J1413=1),EXP(Painel_diario!$L1413),1)-1</f>
        <v/>
      </c>
      <c r="D1417" s="22">
        <f>(1+D1416)*IF(AND(Painel_diario!$H1413="ED_JD",Painel_diario!$J1413=1),EXP(Painel_diario!$L1413),1)-1</f>
        <v/>
      </c>
      <c r="E1417" s="22">
        <f>(1+E1416)*IF(AND(Painel_diario!$H1413="ED_JU",Painel_diario!$J1413=1),EXP(Painel_diario!$L1413),1)-1</f>
        <v/>
      </c>
    </row>
    <row r="1418">
      <c r="A1418" s="25" t="n">
        <v>40903</v>
      </c>
      <c r="B1418" s="22">
        <f>(1+B1417)*IF(AND(Painel_diario!$H1414="EU_JD",Painel_diario!$J1414=1),EXP(Painel_diario!$L1414),1)-1</f>
        <v/>
      </c>
      <c r="C1418" s="22">
        <f>(1+C1417)*IF(AND(Painel_diario!$H1414="EU_JU",Painel_diario!$J1414=1),EXP(Painel_diario!$L1414),1)-1</f>
        <v/>
      </c>
      <c r="D1418" s="22">
        <f>(1+D1417)*IF(AND(Painel_diario!$H1414="ED_JD",Painel_diario!$J1414=1),EXP(Painel_diario!$L1414),1)-1</f>
        <v/>
      </c>
      <c r="E1418" s="22">
        <f>(1+E1417)*IF(AND(Painel_diario!$H1414="ED_JU",Painel_diario!$J1414=1),EXP(Painel_diario!$L1414),1)-1</f>
        <v/>
      </c>
    </row>
    <row r="1419">
      <c r="A1419" s="25" t="n">
        <v>40904</v>
      </c>
      <c r="B1419" s="22">
        <f>(1+B1418)*IF(AND(Painel_diario!$H1415="EU_JD",Painel_diario!$J1415=1),EXP(Painel_diario!$L1415),1)-1</f>
        <v/>
      </c>
      <c r="C1419" s="22">
        <f>(1+C1418)*IF(AND(Painel_diario!$H1415="EU_JU",Painel_diario!$J1415=1),EXP(Painel_diario!$L1415),1)-1</f>
        <v/>
      </c>
      <c r="D1419" s="22">
        <f>(1+D1418)*IF(AND(Painel_diario!$H1415="ED_JD",Painel_diario!$J1415=1),EXP(Painel_diario!$L1415),1)-1</f>
        <v/>
      </c>
      <c r="E1419" s="22">
        <f>(1+E1418)*IF(AND(Painel_diario!$H1415="ED_JU",Painel_diario!$J1415=1),EXP(Painel_diario!$L1415),1)-1</f>
        <v/>
      </c>
    </row>
    <row r="1420">
      <c r="A1420" s="25" t="n">
        <v>40905</v>
      </c>
      <c r="B1420" s="22">
        <f>(1+B1419)*IF(AND(Painel_diario!$H1416="EU_JD",Painel_diario!$J1416=1),EXP(Painel_diario!$L1416),1)-1</f>
        <v/>
      </c>
      <c r="C1420" s="22">
        <f>(1+C1419)*IF(AND(Painel_diario!$H1416="EU_JU",Painel_diario!$J1416=1),EXP(Painel_diario!$L1416),1)-1</f>
        <v/>
      </c>
      <c r="D1420" s="22">
        <f>(1+D1419)*IF(AND(Painel_diario!$H1416="ED_JD",Painel_diario!$J1416=1),EXP(Painel_diario!$L1416),1)-1</f>
        <v/>
      </c>
      <c r="E1420" s="22">
        <f>(1+E1419)*IF(AND(Painel_diario!$H1416="ED_JU",Painel_diario!$J1416=1),EXP(Painel_diario!$L1416),1)-1</f>
        <v/>
      </c>
    </row>
    <row r="1421">
      <c r="A1421" s="25" t="n">
        <v>40906</v>
      </c>
      <c r="B1421" s="22">
        <f>(1+B1420)*IF(AND(Painel_diario!$H1417="EU_JD",Painel_diario!$J1417=1),EXP(Painel_diario!$L1417),1)-1</f>
        <v/>
      </c>
      <c r="C1421" s="22">
        <f>(1+C1420)*IF(AND(Painel_diario!$H1417="EU_JU",Painel_diario!$J1417=1),EXP(Painel_diario!$L1417),1)-1</f>
        <v/>
      </c>
      <c r="D1421" s="22">
        <f>(1+D1420)*IF(AND(Painel_diario!$H1417="ED_JD",Painel_diario!$J1417=1),EXP(Painel_diario!$L1417),1)-1</f>
        <v/>
      </c>
      <c r="E1421" s="22">
        <f>(1+E1420)*IF(AND(Painel_diario!$H1417="ED_JU",Painel_diario!$J1417=1),EXP(Painel_diario!$L1417),1)-1</f>
        <v/>
      </c>
    </row>
    <row r="1422">
      <c r="A1422" s="25" t="n">
        <v>40910</v>
      </c>
      <c r="B1422" s="22">
        <f>(1+B1421)*IF(AND(Painel_diario!$H1418="EU_JD",Painel_diario!$J1418=1),EXP(Painel_diario!$L1418),1)-1</f>
        <v/>
      </c>
      <c r="C1422" s="22">
        <f>(1+C1421)*IF(AND(Painel_diario!$H1418="EU_JU",Painel_diario!$J1418=1),EXP(Painel_diario!$L1418),1)-1</f>
        <v/>
      </c>
      <c r="D1422" s="22">
        <f>(1+D1421)*IF(AND(Painel_diario!$H1418="ED_JD",Painel_diario!$J1418=1),EXP(Painel_diario!$L1418),1)-1</f>
        <v/>
      </c>
      <c r="E1422" s="22">
        <f>(1+E1421)*IF(AND(Painel_diario!$H1418="ED_JU",Painel_diario!$J1418=1),EXP(Painel_diario!$L1418),1)-1</f>
        <v/>
      </c>
    </row>
    <row r="1423">
      <c r="A1423" s="25" t="n">
        <v>40911</v>
      </c>
      <c r="B1423" s="22">
        <f>(1+B1422)*IF(AND(Painel_diario!$H1419="EU_JD",Painel_diario!$J1419=1),EXP(Painel_diario!$L1419),1)-1</f>
        <v/>
      </c>
      <c r="C1423" s="22">
        <f>(1+C1422)*IF(AND(Painel_diario!$H1419="EU_JU",Painel_diario!$J1419=1),EXP(Painel_diario!$L1419),1)-1</f>
        <v/>
      </c>
      <c r="D1423" s="22">
        <f>(1+D1422)*IF(AND(Painel_diario!$H1419="ED_JD",Painel_diario!$J1419=1),EXP(Painel_diario!$L1419),1)-1</f>
        <v/>
      </c>
      <c r="E1423" s="22">
        <f>(1+E1422)*IF(AND(Painel_diario!$H1419="ED_JU",Painel_diario!$J1419=1),EXP(Painel_diario!$L1419),1)-1</f>
        <v/>
      </c>
    </row>
    <row r="1424">
      <c r="A1424" s="25" t="n">
        <v>40912</v>
      </c>
      <c r="B1424" s="22">
        <f>(1+B1423)*IF(AND(Painel_diario!$H1420="EU_JD",Painel_diario!$J1420=1),EXP(Painel_diario!$L1420),1)-1</f>
        <v/>
      </c>
      <c r="C1424" s="22">
        <f>(1+C1423)*IF(AND(Painel_diario!$H1420="EU_JU",Painel_diario!$J1420=1),EXP(Painel_diario!$L1420),1)-1</f>
        <v/>
      </c>
      <c r="D1424" s="22">
        <f>(1+D1423)*IF(AND(Painel_diario!$H1420="ED_JD",Painel_diario!$J1420=1),EXP(Painel_diario!$L1420),1)-1</f>
        <v/>
      </c>
      <c r="E1424" s="22">
        <f>(1+E1423)*IF(AND(Painel_diario!$H1420="ED_JU",Painel_diario!$J1420=1),EXP(Painel_diario!$L1420),1)-1</f>
        <v/>
      </c>
    </row>
    <row r="1425">
      <c r="A1425" s="25" t="n">
        <v>40913</v>
      </c>
      <c r="B1425" s="22">
        <f>(1+B1424)*IF(AND(Painel_diario!$H1421="EU_JD",Painel_diario!$J1421=1),EXP(Painel_diario!$L1421),1)-1</f>
        <v/>
      </c>
      <c r="C1425" s="22">
        <f>(1+C1424)*IF(AND(Painel_diario!$H1421="EU_JU",Painel_diario!$J1421=1),EXP(Painel_diario!$L1421),1)-1</f>
        <v/>
      </c>
      <c r="D1425" s="22">
        <f>(1+D1424)*IF(AND(Painel_diario!$H1421="ED_JD",Painel_diario!$J1421=1),EXP(Painel_diario!$L1421),1)-1</f>
        <v/>
      </c>
      <c r="E1425" s="22">
        <f>(1+E1424)*IF(AND(Painel_diario!$H1421="ED_JU",Painel_diario!$J1421=1),EXP(Painel_diario!$L1421),1)-1</f>
        <v/>
      </c>
    </row>
    <row r="1426">
      <c r="A1426" s="25" t="n">
        <v>40914</v>
      </c>
      <c r="B1426" s="22">
        <f>(1+B1425)*IF(AND(Painel_diario!$H1422="EU_JD",Painel_diario!$J1422=1),EXP(Painel_diario!$L1422),1)-1</f>
        <v/>
      </c>
      <c r="C1426" s="22">
        <f>(1+C1425)*IF(AND(Painel_diario!$H1422="EU_JU",Painel_diario!$J1422=1),EXP(Painel_diario!$L1422),1)-1</f>
        <v/>
      </c>
      <c r="D1426" s="22">
        <f>(1+D1425)*IF(AND(Painel_diario!$H1422="ED_JD",Painel_diario!$J1422=1),EXP(Painel_diario!$L1422),1)-1</f>
        <v/>
      </c>
      <c r="E1426" s="22">
        <f>(1+E1425)*IF(AND(Painel_diario!$H1422="ED_JU",Painel_diario!$J1422=1),EXP(Painel_diario!$L1422),1)-1</f>
        <v/>
      </c>
    </row>
    <row r="1427">
      <c r="A1427" s="25" t="n">
        <v>40917</v>
      </c>
      <c r="B1427" s="22">
        <f>(1+B1426)*IF(AND(Painel_diario!$H1423="EU_JD",Painel_diario!$J1423=1),EXP(Painel_diario!$L1423),1)-1</f>
        <v/>
      </c>
      <c r="C1427" s="22">
        <f>(1+C1426)*IF(AND(Painel_diario!$H1423="EU_JU",Painel_diario!$J1423=1),EXP(Painel_diario!$L1423),1)-1</f>
        <v/>
      </c>
      <c r="D1427" s="22">
        <f>(1+D1426)*IF(AND(Painel_diario!$H1423="ED_JD",Painel_diario!$J1423=1),EXP(Painel_diario!$L1423),1)-1</f>
        <v/>
      </c>
      <c r="E1427" s="22">
        <f>(1+E1426)*IF(AND(Painel_diario!$H1423="ED_JU",Painel_diario!$J1423=1),EXP(Painel_diario!$L1423),1)-1</f>
        <v/>
      </c>
    </row>
    <row r="1428">
      <c r="A1428" s="25" t="n">
        <v>40918</v>
      </c>
      <c r="B1428" s="22">
        <f>(1+B1427)*IF(AND(Painel_diario!$H1424="EU_JD",Painel_diario!$J1424=1),EXP(Painel_diario!$L1424),1)-1</f>
        <v/>
      </c>
      <c r="C1428" s="22">
        <f>(1+C1427)*IF(AND(Painel_diario!$H1424="EU_JU",Painel_diario!$J1424=1),EXP(Painel_diario!$L1424),1)-1</f>
        <v/>
      </c>
      <c r="D1428" s="22">
        <f>(1+D1427)*IF(AND(Painel_diario!$H1424="ED_JD",Painel_diario!$J1424=1),EXP(Painel_diario!$L1424),1)-1</f>
        <v/>
      </c>
      <c r="E1428" s="22">
        <f>(1+E1427)*IF(AND(Painel_diario!$H1424="ED_JU",Painel_diario!$J1424=1),EXP(Painel_diario!$L1424),1)-1</f>
        <v/>
      </c>
    </row>
    <row r="1429">
      <c r="A1429" s="25" t="n">
        <v>40919</v>
      </c>
      <c r="B1429" s="22">
        <f>(1+B1428)*IF(AND(Painel_diario!$H1425="EU_JD",Painel_diario!$J1425=1),EXP(Painel_diario!$L1425),1)-1</f>
        <v/>
      </c>
      <c r="C1429" s="22">
        <f>(1+C1428)*IF(AND(Painel_diario!$H1425="EU_JU",Painel_diario!$J1425=1),EXP(Painel_diario!$L1425),1)-1</f>
        <v/>
      </c>
      <c r="D1429" s="22">
        <f>(1+D1428)*IF(AND(Painel_diario!$H1425="ED_JD",Painel_diario!$J1425=1),EXP(Painel_diario!$L1425),1)-1</f>
        <v/>
      </c>
      <c r="E1429" s="22">
        <f>(1+E1428)*IF(AND(Painel_diario!$H1425="ED_JU",Painel_diario!$J1425=1),EXP(Painel_diario!$L1425),1)-1</f>
        <v/>
      </c>
    </row>
    <row r="1430">
      <c r="A1430" s="25" t="n">
        <v>40920</v>
      </c>
      <c r="B1430" s="22">
        <f>(1+B1429)*IF(AND(Painel_diario!$H1426="EU_JD",Painel_diario!$J1426=1),EXP(Painel_diario!$L1426),1)-1</f>
        <v/>
      </c>
      <c r="C1430" s="22">
        <f>(1+C1429)*IF(AND(Painel_diario!$H1426="EU_JU",Painel_diario!$J1426=1),EXP(Painel_diario!$L1426),1)-1</f>
        <v/>
      </c>
      <c r="D1430" s="22">
        <f>(1+D1429)*IF(AND(Painel_diario!$H1426="ED_JD",Painel_diario!$J1426=1),EXP(Painel_diario!$L1426),1)-1</f>
        <v/>
      </c>
      <c r="E1430" s="22">
        <f>(1+E1429)*IF(AND(Painel_diario!$H1426="ED_JU",Painel_diario!$J1426=1),EXP(Painel_diario!$L1426),1)-1</f>
        <v/>
      </c>
    </row>
    <row r="1431">
      <c r="A1431" s="25" t="n">
        <v>40921</v>
      </c>
      <c r="B1431" s="22">
        <f>(1+B1430)*IF(AND(Painel_diario!$H1427="EU_JD",Painel_diario!$J1427=1),EXP(Painel_diario!$L1427),1)-1</f>
        <v/>
      </c>
      <c r="C1431" s="22">
        <f>(1+C1430)*IF(AND(Painel_diario!$H1427="EU_JU",Painel_diario!$J1427=1),EXP(Painel_diario!$L1427),1)-1</f>
        <v/>
      </c>
      <c r="D1431" s="22">
        <f>(1+D1430)*IF(AND(Painel_diario!$H1427="ED_JD",Painel_diario!$J1427=1),EXP(Painel_diario!$L1427),1)-1</f>
        <v/>
      </c>
      <c r="E1431" s="22">
        <f>(1+E1430)*IF(AND(Painel_diario!$H1427="ED_JU",Painel_diario!$J1427=1),EXP(Painel_diario!$L1427),1)-1</f>
        <v/>
      </c>
    </row>
    <row r="1432">
      <c r="A1432" s="25" t="n">
        <v>40924</v>
      </c>
      <c r="B1432" s="22">
        <f>(1+B1431)*IF(AND(Painel_diario!$H1428="EU_JD",Painel_diario!$J1428=1),EXP(Painel_diario!$L1428),1)-1</f>
        <v/>
      </c>
      <c r="C1432" s="22">
        <f>(1+C1431)*IF(AND(Painel_diario!$H1428="EU_JU",Painel_diario!$J1428=1),EXP(Painel_diario!$L1428),1)-1</f>
        <v/>
      </c>
      <c r="D1432" s="22">
        <f>(1+D1431)*IF(AND(Painel_diario!$H1428="ED_JD",Painel_diario!$J1428=1),EXP(Painel_diario!$L1428),1)-1</f>
        <v/>
      </c>
      <c r="E1432" s="22">
        <f>(1+E1431)*IF(AND(Painel_diario!$H1428="ED_JU",Painel_diario!$J1428=1),EXP(Painel_diario!$L1428),1)-1</f>
        <v/>
      </c>
    </row>
    <row r="1433">
      <c r="A1433" s="25" t="n">
        <v>40925</v>
      </c>
      <c r="B1433" s="22">
        <f>(1+B1432)*IF(AND(Painel_diario!$H1429="EU_JD",Painel_diario!$J1429=1),EXP(Painel_diario!$L1429),1)-1</f>
        <v/>
      </c>
      <c r="C1433" s="22">
        <f>(1+C1432)*IF(AND(Painel_diario!$H1429="EU_JU",Painel_diario!$J1429=1),EXP(Painel_diario!$L1429),1)-1</f>
        <v/>
      </c>
      <c r="D1433" s="22">
        <f>(1+D1432)*IF(AND(Painel_diario!$H1429="ED_JD",Painel_diario!$J1429=1),EXP(Painel_diario!$L1429),1)-1</f>
        <v/>
      </c>
      <c r="E1433" s="22">
        <f>(1+E1432)*IF(AND(Painel_diario!$H1429="ED_JU",Painel_diario!$J1429=1),EXP(Painel_diario!$L1429),1)-1</f>
        <v/>
      </c>
    </row>
    <row r="1434">
      <c r="A1434" s="25" t="n">
        <v>40926</v>
      </c>
      <c r="B1434" s="22">
        <f>(1+B1433)*IF(AND(Painel_diario!$H1430="EU_JD",Painel_diario!$J1430=1),EXP(Painel_diario!$L1430),1)-1</f>
        <v/>
      </c>
      <c r="C1434" s="22">
        <f>(1+C1433)*IF(AND(Painel_diario!$H1430="EU_JU",Painel_diario!$J1430=1),EXP(Painel_diario!$L1430),1)-1</f>
        <v/>
      </c>
      <c r="D1434" s="22">
        <f>(1+D1433)*IF(AND(Painel_diario!$H1430="ED_JD",Painel_diario!$J1430=1),EXP(Painel_diario!$L1430),1)-1</f>
        <v/>
      </c>
      <c r="E1434" s="22">
        <f>(1+E1433)*IF(AND(Painel_diario!$H1430="ED_JU",Painel_diario!$J1430=1),EXP(Painel_diario!$L1430),1)-1</f>
        <v/>
      </c>
    </row>
    <row r="1435">
      <c r="A1435" s="25" t="n">
        <v>40927</v>
      </c>
      <c r="B1435" s="22">
        <f>(1+B1434)*IF(AND(Painel_diario!$H1431="EU_JD",Painel_diario!$J1431=1),EXP(Painel_diario!$L1431),1)-1</f>
        <v/>
      </c>
      <c r="C1435" s="22">
        <f>(1+C1434)*IF(AND(Painel_diario!$H1431="EU_JU",Painel_diario!$J1431=1),EXP(Painel_diario!$L1431),1)-1</f>
        <v/>
      </c>
      <c r="D1435" s="22">
        <f>(1+D1434)*IF(AND(Painel_diario!$H1431="ED_JD",Painel_diario!$J1431=1),EXP(Painel_diario!$L1431),1)-1</f>
        <v/>
      </c>
      <c r="E1435" s="22">
        <f>(1+E1434)*IF(AND(Painel_diario!$H1431="ED_JU",Painel_diario!$J1431=1),EXP(Painel_diario!$L1431),1)-1</f>
        <v/>
      </c>
    </row>
    <row r="1436">
      <c r="A1436" s="25" t="n">
        <v>40928</v>
      </c>
      <c r="B1436" s="22">
        <f>(1+B1435)*IF(AND(Painel_diario!$H1432="EU_JD",Painel_diario!$J1432=1),EXP(Painel_diario!$L1432),1)-1</f>
        <v/>
      </c>
      <c r="C1436" s="22">
        <f>(1+C1435)*IF(AND(Painel_diario!$H1432="EU_JU",Painel_diario!$J1432=1),EXP(Painel_diario!$L1432),1)-1</f>
        <v/>
      </c>
      <c r="D1436" s="22">
        <f>(1+D1435)*IF(AND(Painel_diario!$H1432="ED_JD",Painel_diario!$J1432=1),EXP(Painel_diario!$L1432),1)-1</f>
        <v/>
      </c>
      <c r="E1436" s="22">
        <f>(1+E1435)*IF(AND(Painel_diario!$H1432="ED_JU",Painel_diario!$J1432=1),EXP(Painel_diario!$L1432),1)-1</f>
        <v/>
      </c>
    </row>
    <row r="1437">
      <c r="A1437" s="25" t="n">
        <v>40931</v>
      </c>
      <c r="B1437" s="22">
        <f>(1+B1436)*IF(AND(Painel_diario!$H1433="EU_JD",Painel_diario!$J1433=1),EXP(Painel_diario!$L1433),1)-1</f>
        <v/>
      </c>
      <c r="C1437" s="22">
        <f>(1+C1436)*IF(AND(Painel_diario!$H1433="EU_JU",Painel_diario!$J1433=1),EXP(Painel_diario!$L1433),1)-1</f>
        <v/>
      </c>
      <c r="D1437" s="22">
        <f>(1+D1436)*IF(AND(Painel_diario!$H1433="ED_JD",Painel_diario!$J1433=1),EXP(Painel_diario!$L1433),1)-1</f>
        <v/>
      </c>
      <c r="E1437" s="22">
        <f>(1+E1436)*IF(AND(Painel_diario!$H1433="ED_JU",Painel_diario!$J1433=1),EXP(Painel_diario!$L1433),1)-1</f>
        <v/>
      </c>
    </row>
    <row r="1438">
      <c r="A1438" s="25" t="n">
        <v>40932</v>
      </c>
      <c r="B1438" s="22">
        <f>(1+B1437)*IF(AND(Painel_diario!$H1434="EU_JD",Painel_diario!$J1434=1),EXP(Painel_diario!$L1434),1)-1</f>
        <v/>
      </c>
      <c r="C1438" s="22">
        <f>(1+C1437)*IF(AND(Painel_diario!$H1434="EU_JU",Painel_diario!$J1434=1),EXP(Painel_diario!$L1434),1)-1</f>
        <v/>
      </c>
      <c r="D1438" s="22">
        <f>(1+D1437)*IF(AND(Painel_diario!$H1434="ED_JD",Painel_diario!$J1434=1),EXP(Painel_diario!$L1434),1)-1</f>
        <v/>
      </c>
      <c r="E1438" s="22">
        <f>(1+E1437)*IF(AND(Painel_diario!$H1434="ED_JU",Painel_diario!$J1434=1),EXP(Painel_diario!$L1434),1)-1</f>
        <v/>
      </c>
    </row>
    <row r="1439">
      <c r="A1439" s="25" t="n">
        <v>40934</v>
      </c>
      <c r="B1439" s="22">
        <f>(1+B1438)*IF(AND(Painel_diario!$H1435="EU_JD",Painel_diario!$J1435=1),EXP(Painel_diario!$L1435),1)-1</f>
        <v/>
      </c>
      <c r="C1439" s="22">
        <f>(1+C1438)*IF(AND(Painel_diario!$H1435="EU_JU",Painel_diario!$J1435=1),EXP(Painel_diario!$L1435),1)-1</f>
        <v/>
      </c>
      <c r="D1439" s="22">
        <f>(1+D1438)*IF(AND(Painel_diario!$H1435="ED_JD",Painel_diario!$J1435=1),EXP(Painel_diario!$L1435),1)-1</f>
        <v/>
      </c>
      <c r="E1439" s="22">
        <f>(1+E1438)*IF(AND(Painel_diario!$H1435="ED_JU",Painel_diario!$J1435=1),EXP(Painel_diario!$L1435),1)-1</f>
        <v/>
      </c>
    </row>
    <row r="1440">
      <c r="A1440" s="25" t="n">
        <v>40935</v>
      </c>
      <c r="B1440" s="22">
        <f>(1+B1439)*IF(AND(Painel_diario!$H1436="EU_JD",Painel_diario!$J1436=1),EXP(Painel_diario!$L1436),1)-1</f>
        <v/>
      </c>
      <c r="C1440" s="22">
        <f>(1+C1439)*IF(AND(Painel_diario!$H1436="EU_JU",Painel_diario!$J1436=1),EXP(Painel_diario!$L1436),1)-1</f>
        <v/>
      </c>
      <c r="D1440" s="22">
        <f>(1+D1439)*IF(AND(Painel_diario!$H1436="ED_JD",Painel_diario!$J1436=1),EXP(Painel_diario!$L1436),1)-1</f>
        <v/>
      </c>
      <c r="E1440" s="22">
        <f>(1+E1439)*IF(AND(Painel_diario!$H1436="ED_JU",Painel_diario!$J1436=1),EXP(Painel_diario!$L1436),1)-1</f>
        <v/>
      </c>
    </row>
    <row r="1441">
      <c r="A1441" s="25" t="n">
        <v>40938</v>
      </c>
      <c r="B1441" s="22">
        <f>(1+B1440)*IF(AND(Painel_diario!$H1437="EU_JD",Painel_diario!$J1437=1),EXP(Painel_diario!$L1437),1)-1</f>
        <v/>
      </c>
      <c r="C1441" s="22">
        <f>(1+C1440)*IF(AND(Painel_diario!$H1437="EU_JU",Painel_diario!$J1437=1),EXP(Painel_diario!$L1437),1)-1</f>
        <v/>
      </c>
      <c r="D1441" s="22">
        <f>(1+D1440)*IF(AND(Painel_diario!$H1437="ED_JD",Painel_diario!$J1437=1),EXP(Painel_diario!$L1437),1)-1</f>
        <v/>
      </c>
      <c r="E1441" s="22">
        <f>(1+E1440)*IF(AND(Painel_diario!$H1437="ED_JU",Painel_diario!$J1437=1),EXP(Painel_diario!$L1437),1)-1</f>
        <v/>
      </c>
    </row>
    <row r="1442">
      <c r="A1442" s="25" t="n">
        <v>40939</v>
      </c>
      <c r="B1442" s="22">
        <f>(1+B1441)*IF(AND(Painel_diario!$H1438="EU_JD",Painel_diario!$J1438=1),EXP(Painel_diario!$L1438),1)-1</f>
        <v/>
      </c>
      <c r="C1442" s="22">
        <f>(1+C1441)*IF(AND(Painel_diario!$H1438="EU_JU",Painel_diario!$J1438=1),EXP(Painel_diario!$L1438),1)-1</f>
        <v/>
      </c>
      <c r="D1442" s="22">
        <f>(1+D1441)*IF(AND(Painel_diario!$H1438="ED_JD",Painel_diario!$J1438=1),EXP(Painel_diario!$L1438),1)-1</f>
        <v/>
      </c>
      <c r="E1442" s="22">
        <f>(1+E1441)*IF(AND(Painel_diario!$H1438="ED_JU",Painel_diario!$J1438=1),EXP(Painel_diario!$L1438),1)-1</f>
        <v/>
      </c>
    </row>
    <row r="1443">
      <c r="A1443" s="25" t="n">
        <v>40940</v>
      </c>
      <c r="B1443" s="22">
        <f>(1+B1442)*IF(AND(Painel_diario!$H1439="EU_JD",Painel_diario!$J1439=1),EXP(Painel_diario!$L1439),1)-1</f>
        <v/>
      </c>
      <c r="C1443" s="22">
        <f>(1+C1442)*IF(AND(Painel_diario!$H1439="EU_JU",Painel_diario!$J1439=1),EXP(Painel_diario!$L1439),1)-1</f>
        <v/>
      </c>
      <c r="D1443" s="22">
        <f>(1+D1442)*IF(AND(Painel_diario!$H1439="ED_JD",Painel_diario!$J1439=1),EXP(Painel_diario!$L1439),1)-1</f>
        <v/>
      </c>
      <c r="E1443" s="22">
        <f>(1+E1442)*IF(AND(Painel_diario!$H1439="ED_JU",Painel_diario!$J1439=1),EXP(Painel_diario!$L1439),1)-1</f>
        <v/>
      </c>
    </row>
    <row r="1444">
      <c r="A1444" s="25" t="n">
        <v>40941</v>
      </c>
      <c r="B1444" s="22">
        <f>(1+B1443)*IF(AND(Painel_diario!$H1440="EU_JD",Painel_diario!$J1440=1),EXP(Painel_diario!$L1440),1)-1</f>
        <v/>
      </c>
      <c r="C1444" s="22">
        <f>(1+C1443)*IF(AND(Painel_diario!$H1440="EU_JU",Painel_diario!$J1440=1),EXP(Painel_diario!$L1440),1)-1</f>
        <v/>
      </c>
      <c r="D1444" s="22">
        <f>(1+D1443)*IF(AND(Painel_diario!$H1440="ED_JD",Painel_diario!$J1440=1),EXP(Painel_diario!$L1440),1)-1</f>
        <v/>
      </c>
      <c r="E1444" s="22">
        <f>(1+E1443)*IF(AND(Painel_diario!$H1440="ED_JU",Painel_diario!$J1440=1),EXP(Painel_diario!$L1440),1)-1</f>
        <v/>
      </c>
    </row>
    <row r="1445">
      <c r="A1445" s="25" t="n">
        <v>40942</v>
      </c>
      <c r="B1445" s="22">
        <f>(1+B1444)*IF(AND(Painel_diario!$H1441="EU_JD",Painel_diario!$J1441=1),EXP(Painel_diario!$L1441),1)-1</f>
        <v/>
      </c>
      <c r="C1445" s="22">
        <f>(1+C1444)*IF(AND(Painel_diario!$H1441="EU_JU",Painel_diario!$J1441=1),EXP(Painel_diario!$L1441),1)-1</f>
        <v/>
      </c>
      <c r="D1445" s="22">
        <f>(1+D1444)*IF(AND(Painel_diario!$H1441="ED_JD",Painel_diario!$J1441=1),EXP(Painel_diario!$L1441),1)-1</f>
        <v/>
      </c>
      <c r="E1445" s="22">
        <f>(1+E1444)*IF(AND(Painel_diario!$H1441="ED_JU",Painel_diario!$J1441=1),EXP(Painel_diario!$L1441),1)-1</f>
        <v/>
      </c>
    </row>
    <row r="1446">
      <c r="A1446" s="25" t="n">
        <v>40945</v>
      </c>
      <c r="B1446" s="22">
        <f>(1+B1445)*IF(AND(Painel_diario!$H1442="EU_JD",Painel_diario!$J1442=1),EXP(Painel_diario!$L1442),1)-1</f>
        <v/>
      </c>
      <c r="C1446" s="22">
        <f>(1+C1445)*IF(AND(Painel_diario!$H1442="EU_JU",Painel_diario!$J1442=1),EXP(Painel_diario!$L1442),1)-1</f>
        <v/>
      </c>
      <c r="D1446" s="22">
        <f>(1+D1445)*IF(AND(Painel_diario!$H1442="ED_JD",Painel_diario!$J1442=1),EXP(Painel_diario!$L1442),1)-1</f>
        <v/>
      </c>
      <c r="E1446" s="22">
        <f>(1+E1445)*IF(AND(Painel_diario!$H1442="ED_JU",Painel_diario!$J1442=1),EXP(Painel_diario!$L1442),1)-1</f>
        <v/>
      </c>
    </row>
    <row r="1447">
      <c r="A1447" s="25" t="n">
        <v>40946</v>
      </c>
      <c r="B1447" s="22">
        <f>(1+B1446)*IF(AND(Painel_diario!$H1443="EU_JD",Painel_diario!$J1443=1),EXP(Painel_diario!$L1443),1)-1</f>
        <v/>
      </c>
      <c r="C1447" s="22">
        <f>(1+C1446)*IF(AND(Painel_diario!$H1443="EU_JU",Painel_diario!$J1443=1),EXP(Painel_diario!$L1443),1)-1</f>
        <v/>
      </c>
      <c r="D1447" s="22">
        <f>(1+D1446)*IF(AND(Painel_diario!$H1443="ED_JD",Painel_diario!$J1443=1),EXP(Painel_diario!$L1443),1)-1</f>
        <v/>
      </c>
      <c r="E1447" s="22">
        <f>(1+E1446)*IF(AND(Painel_diario!$H1443="ED_JU",Painel_diario!$J1443=1),EXP(Painel_diario!$L1443),1)-1</f>
        <v/>
      </c>
    </row>
    <row r="1448">
      <c r="A1448" s="25" t="n">
        <v>40947</v>
      </c>
      <c r="B1448" s="22">
        <f>(1+B1447)*IF(AND(Painel_diario!$H1444="EU_JD",Painel_diario!$J1444=1),EXP(Painel_diario!$L1444),1)-1</f>
        <v/>
      </c>
      <c r="C1448" s="22">
        <f>(1+C1447)*IF(AND(Painel_diario!$H1444="EU_JU",Painel_diario!$J1444=1),EXP(Painel_diario!$L1444),1)-1</f>
        <v/>
      </c>
      <c r="D1448" s="22">
        <f>(1+D1447)*IF(AND(Painel_diario!$H1444="ED_JD",Painel_diario!$J1444=1),EXP(Painel_diario!$L1444),1)-1</f>
        <v/>
      </c>
      <c r="E1448" s="22">
        <f>(1+E1447)*IF(AND(Painel_diario!$H1444="ED_JU",Painel_diario!$J1444=1),EXP(Painel_diario!$L1444),1)-1</f>
        <v/>
      </c>
    </row>
    <row r="1449">
      <c r="A1449" s="25" t="n">
        <v>40948</v>
      </c>
      <c r="B1449" s="22">
        <f>(1+B1448)*IF(AND(Painel_diario!$H1445="EU_JD",Painel_diario!$J1445=1),EXP(Painel_diario!$L1445),1)-1</f>
        <v/>
      </c>
      <c r="C1449" s="22">
        <f>(1+C1448)*IF(AND(Painel_diario!$H1445="EU_JU",Painel_diario!$J1445=1),EXP(Painel_diario!$L1445),1)-1</f>
        <v/>
      </c>
      <c r="D1449" s="22">
        <f>(1+D1448)*IF(AND(Painel_diario!$H1445="ED_JD",Painel_diario!$J1445=1),EXP(Painel_diario!$L1445),1)-1</f>
        <v/>
      </c>
      <c r="E1449" s="22">
        <f>(1+E1448)*IF(AND(Painel_diario!$H1445="ED_JU",Painel_diario!$J1445=1),EXP(Painel_diario!$L1445),1)-1</f>
        <v/>
      </c>
    </row>
    <row r="1450">
      <c r="A1450" s="25" t="n">
        <v>40949</v>
      </c>
      <c r="B1450" s="22">
        <f>(1+B1449)*IF(AND(Painel_diario!$H1446="EU_JD",Painel_diario!$J1446=1),EXP(Painel_diario!$L1446),1)-1</f>
        <v/>
      </c>
      <c r="C1450" s="22">
        <f>(1+C1449)*IF(AND(Painel_diario!$H1446="EU_JU",Painel_diario!$J1446=1),EXP(Painel_diario!$L1446),1)-1</f>
        <v/>
      </c>
      <c r="D1450" s="22">
        <f>(1+D1449)*IF(AND(Painel_diario!$H1446="ED_JD",Painel_diario!$J1446=1),EXP(Painel_diario!$L1446),1)-1</f>
        <v/>
      </c>
      <c r="E1450" s="22">
        <f>(1+E1449)*IF(AND(Painel_diario!$H1446="ED_JU",Painel_diario!$J1446=1),EXP(Painel_diario!$L1446),1)-1</f>
        <v/>
      </c>
    </row>
    <row r="1451">
      <c r="A1451" s="25" t="n">
        <v>40952</v>
      </c>
      <c r="B1451" s="22">
        <f>(1+B1450)*IF(AND(Painel_diario!$H1447="EU_JD",Painel_diario!$J1447=1),EXP(Painel_diario!$L1447),1)-1</f>
        <v/>
      </c>
      <c r="C1451" s="22">
        <f>(1+C1450)*IF(AND(Painel_diario!$H1447="EU_JU",Painel_diario!$J1447=1),EXP(Painel_diario!$L1447),1)-1</f>
        <v/>
      </c>
      <c r="D1451" s="22">
        <f>(1+D1450)*IF(AND(Painel_diario!$H1447="ED_JD",Painel_diario!$J1447=1),EXP(Painel_diario!$L1447),1)-1</f>
        <v/>
      </c>
      <c r="E1451" s="22">
        <f>(1+E1450)*IF(AND(Painel_diario!$H1447="ED_JU",Painel_diario!$J1447=1),EXP(Painel_diario!$L1447),1)-1</f>
        <v/>
      </c>
    </row>
    <row r="1452">
      <c r="A1452" s="25" t="n">
        <v>40953</v>
      </c>
      <c r="B1452" s="22">
        <f>(1+B1451)*IF(AND(Painel_diario!$H1448="EU_JD",Painel_diario!$J1448=1),EXP(Painel_diario!$L1448),1)-1</f>
        <v/>
      </c>
      <c r="C1452" s="22">
        <f>(1+C1451)*IF(AND(Painel_diario!$H1448="EU_JU",Painel_diario!$J1448=1),EXP(Painel_diario!$L1448),1)-1</f>
        <v/>
      </c>
      <c r="D1452" s="22">
        <f>(1+D1451)*IF(AND(Painel_diario!$H1448="ED_JD",Painel_diario!$J1448=1),EXP(Painel_diario!$L1448),1)-1</f>
        <v/>
      </c>
      <c r="E1452" s="22">
        <f>(1+E1451)*IF(AND(Painel_diario!$H1448="ED_JU",Painel_diario!$J1448=1),EXP(Painel_diario!$L1448),1)-1</f>
        <v/>
      </c>
    </row>
    <row r="1453">
      <c r="A1453" s="25" t="n">
        <v>40954</v>
      </c>
      <c r="B1453" s="22">
        <f>(1+B1452)*IF(AND(Painel_diario!$H1449="EU_JD",Painel_diario!$J1449=1),EXP(Painel_diario!$L1449),1)-1</f>
        <v/>
      </c>
      <c r="C1453" s="22">
        <f>(1+C1452)*IF(AND(Painel_diario!$H1449="EU_JU",Painel_diario!$J1449=1),EXP(Painel_diario!$L1449),1)-1</f>
        <v/>
      </c>
      <c r="D1453" s="22">
        <f>(1+D1452)*IF(AND(Painel_diario!$H1449="ED_JD",Painel_diario!$J1449=1),EXP(Painel_diario!$L1449),1)-1</f>
        <v/>
      </c>
      <c r="E1453" s="22">
        <f>(1+E1452)*IF(AND(Painel_diario!$H1449="ED_JU",Painel_diario!$J1449=1),EXP(Painel_diario!$L1449),1)-1</f>
        <v/>
      </c>
    </row>
    <row r="1454">
      <c r="A1454" s="25" t="n">
        <v>40955</v>
      </c>
      <c r="B1454" s="22">
        <f>(1+B1453)*IF(AND(Painel_diario!$H1450="EU_JD",Painel_diario!$J1450=1),EXP(Painel_diario!$L1450),1)-1</f>
        <v/>
      </c>
      <c r="C1454" s="22">
        <f>(1+C1453)*IF(AND(Painel_diario!$H1450="EU_JU",Painel_diario!$J1450=1),EXP(Painel_diario!$L1450),1)-1</f>
        <v/>
      </c>
      <c r="D1454" s="22">
        <f>(1+D1453)*IF(AND(Painel_diario!$H1450="ED_JD",Painel_diario!$J1450=1),EXP(Painel_diario!$L1450),1)-1</f>
        <v/>
      </c>
      <c r="E1454" s="22">
        <f>(1+E1453)*IF(AND(Painel_diario!$H1450="ED_JU",Painel_diario!$J1450=1),EXP(Painel_diario!$L1450),1)-1</f>
        <v/>
      </c>
    </row>
    <row r="1455">
      <c r="A1455" s="25" t="n">
        <v>40956</v>
      </c>
      <c r="B1455" s="22">
        <f>(1+B1454)*IF(AND(Painel_diario!$H1451="EU_JD",Painel_diario!$J1451=1),EXP(Painel_diario!$L1451),1)-1</f>
        <v/>
      </c>
      <c r="C1455" s="22">
        <f>(1+C1454)*IF(AND(Painel_diario!$H1451="EU_JU",Painel_diario!$J1451=1),EXP(Painel_diario!$L1451),1)-1</f>
        <v/>
      </c>
      <c r="D1455" s="22">
        <f>(1+D1454)*IF(AND(Painel_diario!$H1451="ED_JD",Painel_diario!$J1451=1),EXP(Painel_diario!$L1451),1)-1</f>
        <v/>
      </c>
      <c r="E1455" s="22">
        <f>(1+E1454)*IF(AND(Painel_diario!$H1451="ED_JU",Painel_diario!$J1451=1),EXP(Painel_diario!$L1451),1)-1</f>
        <v/>
      </c>
    </row>
    <row r="1456">
      <c r="A1456" s="25" t="n">
        <v>40961</v>
      </c>
      <c r="B1456" s="22">
        <f>(1+B1455)*IF(AND(Painel_diario!$H1452="EU_JD",Painel_diario!$J1452=1),EXP(Painel_diario!$L1452),1)-1</f>
        <v/>
      </c>
      <c r="C1456" s="22">
        <f>(1+C1455)*IF(AND(Painel_diario!$H1452="EU_JU",Painel_diario!$J1452=1),EXP(Painel_diario!$L1452),1)-1</f>
        <v/>
      </c>
      <c r="D1456" s="22">
        <f>(1+D1455)*IF(AND(Painel_diario!$H1452="ED_JD",Painel_diario!$J1452=1),EXP(Painel_diario!$L1452),1)-1</f>
        <v/>
      </c>
      <c r="E1456" s="22">
        <f>(1+E1455)*IF(AND(Painel_diario!$H1452="ED_JU",Painel_diario!$J1452=1),EXP(Painel_diario!$L1452),1)-1</f>
        <v/>
      </c>
    </row>
    <row r="1457">
      <c r="A1457" s="25" t="n">
        <v>40962</v>
      </c>
      <c r="B1457" s="22">
        <f>(1+B1456)*IF(AND(Painel_diario!$H1453="EU_JD",Painel_diario!$J1453=1),EXP(Painel_diario!$L1453),1)-1</f>
        <v/>
      </c>
      <c r="C1457" s="22">
        <f>(1+C1456)*IF(AND(Painel_diario!$H1453="EU_JU",Painel_diario!$J1453=1),EXP(Painel_diario!$L1453),1)-1</f>
        <v/>
      </c>
      <c r="D1457" s="22">
        <f>(1+D1456)*IF(AND(Painel_diario!$H1453="ED_JD",Painel_diario!$J1453=1),EXP(Painel_diario!$L1453),1)-1</f>
        <v/>
      </c>
      <c r="E1457" s="22">
        <f>(1+E1456)*IF(AND(Painel_diario!$H1453="ED_JU",Painel_diario!$J1453=1),EXP(Painel_diario!$L1453),1)-1</f>
        <v/>
      </c>
    </row>
    <row r="1458">
      <c r="A1458" s="25" t="n">
        <v>40963</v>
      </c>
      <c r="B1458" s="22">
        <f>(1+B1457)*IF(AND(Painel_diario!$H1454="EU_JD",Painel_diario!$J1454=1),EXP(Painel_diario!$L1454),1)-1</f>
        <v/>
      </c>
      <c r="C1458" s="22">
        <f>(1+C1457)*IF(AND(Painel_diario!$H1454="EU_JU",Painel_diario!$J1454=1),EXP(Painel_diario!$L1454),1)-1</f>
        <v/>
      </c>
      <c r="D1458" s="22">
        <f>(1+D1457)*IF(AND(Painel_diario!$H1454="ED_JD",Painel_diario!$J1454=1),EXP(Painel_diario!$L1454),1)-1</f>
        <v/>
      </c>
      <c r="E1458" s="22">
        <f>(1+E1457)*IF(AND(Painel_diario!$H1454="ED_JU",Painel_diario!$J1454=1),EXP(Painel_diario!$L1454),1)-1</f>
        <v/>
      </c>
    </row>
    <row r="1459">
      <c r="A1459" s="25" t="n">
        <v>40966</v>
      </c>
      <c r="B1459" s="22">
        <f>(1+B1458)*IF(AND(Painel_diario!$H1455="EU_JD",Painel_diario!$J1455=1),EXP(Painel_diario!$L1455),1)-1</f>
        <v/>
      </c>
      <c r="C1459" s="22">
        <f>(1+C1458)*IF(AND(Painel_diario!$H1455="EU_JU",Painel_diario!$J1455=1),EXP(Painel_diario!$L1455),1)-1</f>
        <v/>
      </c>
      <c r="D1459" s="22">
        <f>(1+D1458)*IF(AND(Painel_diario!$H1455="ED_JD",Painel_diario!$J1455=1),EXP(Painel_diario!$L1455),1)-1</f>
        <v/>
      </c>
      <c r="E1459" s="22">
        <f>(1+E1458)*IF(AND(Painel_diario!$H1455="ED_JU",Painel_diario!$J1455=1),EXP(Painel_diario!$L1455),1)-1</f>
        <v/>
      </c>
    </row>
    <row r="1460">
      <c r="A1460" s="25" t="n">
        <v>40967</v>
      </c>
      <c r="B1460" s="22">
        <f>(1+B1459)*IF(AND(Painel_diario!$H1456="EU_JD",Painel_diario!$J1456=1),EXP(Painel_diario!$L1456),1)-1</f>
        <v/>
      </c>
      <c r="C1460" s="22">
        <f>(1+C1459)*IF(AND(Painel_diario!$H1456="EU_JU",Painel_diario!$J1456=1),EXP(Painel_diario!$L1456),1)-1</f>
        <v/>
      </c>
      <c r="D1460" s="22">
        <f>(1+D1459)*IF(AND(Painel_diario!$H1456="ED_JD",Painel_diario!$J1456=1),EXP(Painel_diario!$L1456),1)-1</f>
        <v/>
      </c>
      <c r="E1460" s="22">
        <f>(1+E1459)*IF(AND(Painel_diario!$H1456="ED_JU",Painel_diario!$J1456=1),EXP(Painel_diario!$L1456),1)-1</f>
        <v/>
      </c>
    </row>
    <row r="1461">
      <c r="A1461" s="25" t="n">
        <v>40968</v>
      </c>
      <c r="B1461" s="22">
        <f>(1+B1460)*IF(AND(Painel_diario!$H1457="EU_JD",Painel_diario!$J1457=1),EXP(Painel_diario!$L1457),1)-1</f>
        <v/>
      </c>
      <c r="C1461" s="22">
        <f>(1+C1460)*IF(AND(Painel_diario!$H1457="EU_JU",Painel_diario!$J1457=1),EXP(Painel_diario!$L1457),1)-1</f>
        <v/>
      </c>
      <c r="D1461" s="22">
        <f>(1+D1460)*IF(AND(Painel_diario!$H1457="ED_JD",Painel_diario!$J1457=1),EXP(Painel_diario!$L1457),1)-1</f>
        <v/>
      </c>
      <c r="E1461" s="22">
        <f>(1+E1460)*IF(AND(Painel_diario!$H1457="ED_JU",Painel_diario!$J1457=1),EXP(Painel_diario!$L1457),1)-1</f>
        <v/>
      </c>
    </row>
    <row r="1462">
      <c r="A1462" s="25" t="n">
        <v>40969</v>
      </c>
      <c r="B1462" s="22">
        <f>(1+B1461)*IF(AND(Painel_diario!$H1458="EU_JD",Painel_diario!$J1458=1),EXP(Painel_diario!$L1458),1)-1</f>
        <v/>
      </c>
      <c r="C1462" s="22">
        <f>(1+C1461)*IF(AND(Painel_diario!$H1458="EU_JU",Painel_diario!$J1458=1),EXP(Painel_diario!$L1458),1)-1</f>
        <v/>
      </c>
      <c r="D1462" s="22">
        <f>(1+D1461)*IF(AND(Painel_diario!$H1458="ED_JD",Painel_diario!$J1458=1),EXP(Painel_diario!$L1458),1)-1</f>
        <v/>
      </c>
      <c r="E1462" s="22">
        <f>(1+E1461)*IF(AND(Painel_diario!$H1458="ED_JU",Painel_diario!$J1458=1),EXP(Painel_diario!$L1458),1)-1</f>
        <v/>
      </c>
    </row>
    <row r="1463">
      <c r="A1463" s="25" t="n">
        <v>40970</v>
      </c>
      <c r="B1463" s="22">
        <f>(1+B1462)*IF(AND(Painel_diario!$H1459="EU_JD",Painel_diario!$J1459=1),EXP(Painel_diario!$L1459),1)-1</f>
        <v/>
      </c>
      <c r="C1463" s="22">
        <f>(1+C1462)*IF(AND(Painel_diario!$H1459="EU_JU",Painel_diario!$J1459=1),EXP(Painel_diario!$L1459),1)-1</f>
        <v/>
      </c>
      <c r="D1463" s="22">
        <f>(1+D1462)*IF(AND(Painel_diario!$H1459="ED_JD",Painel_diario!$J1459=1),EXP(Painel_diario!$L1459),1)-1</f>
        <v/>
      </c>
      <c r="E1463" s="22">
        <f>(1+E1462)*IF(AND(Painel_diario!$H1459="ED_JU",Painel_diario!$J1459=1),EXP(Painel_diario!$L1459),1)-1</f>
        <v/>
      </c>
    </row>
    <row r="1464">
      <c r="A1464" s="25" t="n">
        <v>40973</v>
      </c>
      <c r="B1464" s="22">
        <f>(1+B1463)*IF(AND(Painel_diario!$H1460="EU_JD",Painel_diario!$J1460=1),EXP(Painel_diario!$L1460),1)-1</f>
        <v/>
      </c>
      <c r="C1464" s="22">
        <f>(1+C1463)*IF(AND(Painel_diario!$H1460="EU_JU",Painel_diario!$J1460=1),EXP(Painel_diario!$L1460),1)-1</f>
        <v/>
      </c>
      <c r="D1464" s="22">
        <f>(1+D1463)*IF(AND(Painel_diario!$H1460="ED_JD",Painel_diario!$J1460=1),EXP(Painel_diario!$L1460),1)-1</f>
        <v/>
      </c>
      <c r="E1464" s="22">
        <f>(1+E1463)*IF(AND(Painel_diario!$H1460="ED_JU",Painel_diario!$J1460=1),EXP(Painel_diario!$L1460),1)-1</f>
        <v/>
      </c>
    </row>
    <row r="1465">
      <c r="A1465" s="25" t="n">
        <v>40974</v>
      </c>
      <c r="B1465" s="22">
        <f>(1+B1464)*IF(AND(Painel_diario!$H1461="EU_JD",Painel_diario!$J1461=1),EXP(Painel_diario!$L1461),1)-1</f>
        <v/>
      </c>
      <c r="C1465" s="22">
        <f>(1+C1464)*IF(AND(Painel_diario!$H1461="EU_JU",Painel_diario!$J1461=1),EXP(Painel_diario!$L1461),1)-1</f>
        <v/>
      </c>
      <c r="D1465" s="22">
        <f>(1+D1464)*IF(AND(Painel_diario!$H1461="ED_JD",Painel_diario!$J1461=1),EXP(Painel_diario!$L1461),1)-1</f>
        <v/>
      </c>
      <c r="E1465" s="22">
        <f>(1+E1464)*IF(AND(Painel_diario!$H1461="ED_JU",Painel_diario!$J1461=1),EXP(Painel_diario!$L1461),1)-1</f>
        <v/>
      </c>
    </row>
    <row r="1466">
      <c r="A1466" s="25" t="n">
        <v>40975</v>
      </c>
      <c r="B1466" s="22">
        <f>(1+B1465)*IF(AND(Painel_diario!$H1462="EU_JD",Painel_diario!$J1462=1),EXP(Painel_diario!$L1462),1)-1</f>
        <v/>
      </c>
      <c r="C1466" s="22">
        <f>(1+C1465)*IF(AND(Painel_diario!$H1462="EU_JU",Painel_diario!$J1462=1),EXP(Painel_diario!$L1462),1)-1</f>
        <v/>
      </c>
      <c r="D1466" s="22">
        <f>(1+D1465)*IF(AND(Painel_diario!$H1462="ED_JD",Painel_diario!$J1462=1),EXP(Painel_diario!$L1462),1)-1</f>
        <v/>
      </c>
      <c r="E1466" s="22">
        <f>(1+E1465)*IF(AND(Painel_diario!$H1462="ED_JU",Painel_diario!$J1462=1),EXP(Painel_diario!$L1462),1)-1</f>
        <v/>
      </c>
    </row>
    <row r="1467">
      <c r="A1467" s="25" t="n">
        <v>40976</v>
      </c>
      <c r="B1467" s="22">
        <f>(1+B1466)*IF(AND(Painel_diario!$H1463="EU_JD",Painel_diario!$J1463=1),EXP(Painel_diario!$L1463),1)-1</f>
        <v/>
      </c>
      <c r="C1467" s="22">
        <f>(1+C1466)*IF(AND(Painel_diario!$H1463="EU_JU",Painel_diario!$J1463=1),EXP(Painel_diario!$L1463),1)-1</f>
        <v/>
      </c>
      <c r="D1467" s="22">
        <f>(1+D1466)*IF(AND(Painel_diario!$H1463="ED_JD",Painel_diario!$J1463=1),EXP(Painel_diario!$L1463),1)-1</f>
        <v/>
      </c>
      <c r="E1467" s="22">
        <f>(1+E1466)*IF(AND(Painel_diario!$H1463="ED_JU",Painel_diario!$J1463=1),EXP(Painel_diario!$L1463),1)-1</f>
        <v/>
      </c>
    </row>
    <row r="1468">
      <c r="A1468" s="25" t="n">
        <v>40977</v>
      </c>
      <c r="B1468" s="22">
        <f>(1+B1467)*IF(AND(Painel_diario!$H1464="EU_JD",Painel_diario!$J1464=1),EXP(Painel_diario!$L1464),1)-1</f>
        <v/>
      </c>
      <c r="C1468" s="22">
        <f>(1+C1467)*IF(AND(Painel_diario!$H1464="EU_JU",Painel_diario!$J1464=1),EXP(Painel_diario!$L1464),1)-1</f>
        <v/>
      </c>
      <c r="D1468" s="22">
        <f>(1+D1467)*IF(AND(Painel_diario!$H1464="ED_JD",Painel_diario!$J1464=1),EXP(Painel_diario!$L1464),1)-1</f>
        <v/>
      </c>
      <c r="E1468" s="22">
        <f>(1+E1467)*IF(AND(Painel_diario!$H1464="ED_JU",Painel_diario!$J1464=1),EXP(Painel_diario!$L1464),1)-1</f>
        <v/>
      </c>
    </row>
    <row r="1469">
      <c r="A1469" s="25" t="n">
        <v>40980</v>
      </c>
      <c r="B1469" s="22">
        <f>(1+B1468)*IF(AND(Painel_diario!$H1465="EU_JD",Painel_diario!$J1465=1),EXP(Painel_diario!$L1465),1)-1</f>
        <v/>
      </c>
      <c r="C1469" s="22">
        <f>(1+C1468)*IF(AND(Painel_diario!$H1465="EU_JU",Painel_diario!$J1465=1),EXP(Painel_diario!$L1465),1)-1</f>
        <v/>
      </c>
      <c r="D1469" s="22">
        <f>(1+D1468)*IF(AND(Painel_diario!$H1465="ED_JD",Painel_diario!$J1465=1),EXP(Painel_diario!$L1465),1)-1</f>
        <v/>
      </c>
      <c r="E1469" s="22">
        <f>(1+E1468)*IF(AND(Painel_diario!$H1465="ED_JU",Painel_diario!$J1465=1),EXP(Painel_diario!$L1465),1)-1</f>
        <v/>
      </c>
    </row>
    <row r="1470">
      <c r="A1470" s="25" t="n">
        <v>40981</v>
      </c>
      <c r="B1470" s="22">
        <f>(1+B1469)*IF(AND(Painel_diario!$H1466="EU_JD",Painel_diario!$J1466=1),EXP(Painel_diario!$L1466),1)-1</f>
        <v/>
      </c>
      <c r="C1470" s="22">
        <f>(1+C1469)*IF(AND(Painel_diario!$H1466="EU_JU",Painel_diario!$J1466=1),EXP(Painel_diario!$L1466),1)-1</f>
        <v/>
      </c>
      <c r="D1470" s="22">
        <f>(1+D1469)*IF(AND(Painel_diario!$H1466="ED_JD",Painel_diario!$J1466=1),EXP(Painel_diario!$L1466),1)-1</f>
        <v/>
      </c>
      <c r="E1470" s="22">
        <f>(1+E1469)*IF(AND(Painel_diario!$H1466="ED_JU",Painel_diario!$J1466=1),EXP(Painel_diario!$L1466),1)-1</f>
        <v/>
      </c>
    </row>
    <row r="1471">
      <c r="A1471" s="25" t="n">
        <v>40982</v>
      </c>
      <c r="B1471" s="22">
        <f>(1+B1470)*IF(AND(Painel_diario!$H1467="EU_JD",Painel_diario!$J1467=1),EXP(Painel_diario!$L1467),1)-1</f>
        <v/>
      </c>
      <c r="C1471" s="22">
        <f>(1+C1470)*IF(AND(Painel_diario!$H1467="EU_JU",Painel_diario!$J1467=1),EXP(Painel_diario!$L1467),1)-1</f>
        <v/>
      </c>
      <c r="D1471" s="22">
        <f>(1+D1470)*IF(AND(Painel_diario!$H1467="ED_JD",Painel_diario!$J1467=1),EXP(Painel_diario!$L1467),1)-1</f>
        <v/>
      </c>
      <c r="E1471" s="22">
        <f>(1+E1470)*IF(AND(Painel_diario!$H1467="ED_JU",Painel_diario!$J1467=1),EXP(Painel_diario!$L1467),1)-1</f>
        <v/>
      </c>
    </row>
    <row r="1472">
      <c r="A1472" s="25" t="n">
        <v>40983</v>
      </c>
      <c r="B1472" s="22">
        <f>(1+B1471)*IF(AND(Painel_diario!$H1468="EU_JD",Painel_diario!$J1468=1),EXP(Painel_diario!$L1468),1)-1</f>
        <v/>
      </c>
      <c r="C1472" s="22">
        <f>(1+C1471)*IF(AND(Painel_diario!$H1468="EU_JU",Painel_diario!$J1468=1),EXP(Painel_diario!$L1468),1)-1</f>
        <v/>
      </c>
      <c r="D1472" s="22">
        <f>(1+D1471)*IF(AND(Painel_diario!$H1468="ED_JD",Painel_diario!$J1468=1),EXP(Painel_diario!$L1468),1)-1</f>
        <v/>
      </c>
      <c r="E1472" s="22">
        <f>(1+E1471)*IF(AND(Painel_diario!$H1468="ED_JU",Painel_diario!$J1468=1),EXP(Painel_diario!$L1468),1)-1</f>
        <v/>
      </c>
    </row>
    <row r="1473">
      <c r="A1473" s="25" t="n">
        <v>40984</v>
      </c>
      <c r="B1473" s="22">
        <f>(1+B1472)*IF(AND(Painel_diario!$H1469="EU_JD",Painel_diario!$J1469=1),EXP(Painel_diario!$L1469),1)-1</f>
        <v/>
      </c>
      <c r="C1473" s="22">
        <f>(1+C1472)*IF(AND(Painel_diario!$H1469="EU_JU",Painel_diario!$J1469=1),EXP(Painel_diario!$L1469),1)-1</f>
        <v/>
      </c>
      <c r="D1473" s="22">
        <f>(1+D1472)*IF(AND(Painel_diario!$H1469="ED_JD",Painel_diario!$J1469=1),EXP(Painel_diario!$L1469),1)-1</f>
        <v/>
      </c>
      <c r="E1473" s="22">
        <f>(1+E1472)*IF(AND(Painel_diario!$H1469="ED_JU",Painel_diario!$J1469=1),EXP(Painel_diario!$L1469),1)-1</f>
        <v/>
      </c>
    </row>
    <row r="1474">
      <c r="A1474" s="25" t="n">
        <v>40987</v>
      </c>
      <c r="B1474" s="22">
        <f>(1+B1473)*IF(AND(Painel_diario!$H1470="EU_JD",Painel_diario!$J1470=1),EXP(Painel_diario!$L1470),1)-1</f>
        <v/>
      </c>
      <c r="C1474" s="22">
        <f>(1+C1473)*IF(AND(Painel_diario!$H1470="EU_JU",Painel_diario!$J1470=1),EXP(Painel_diario!$L1470),1)-1</f>
        <v/>
      </c>
      <c r="D1474" s="22">
        <f>(1+D1473)*IF(AND(Painel_diario!$H1470="ED_JD",Painel_diario!$J1470=1),EXP(Painel_diario!$L1470),1)-1</f>
        <v/>
      </c>
      <c r="E1474" s="22">
        <f>(1+E1473)*IF(AND(Painel_diario!$H1470="ED_JU",Painel_diario!$J1470=1),EXP(Painel_diario!$L1470),1)-1</f>
        <v/>
      </c>
    </row>
    <row r="1475">
      <c r="A1475" s="25" t="n">
        <v>40988</v>
      </c>
      <c r="B1475" s="22">
        <f>(1+B1474)*IF(AND(Painel_diario!$H1471="EU_JD",Painel_diario!$J1471=1),EXP(Painel_diario!$L1471),1)-1</f>
        <v/>
      </c>
      <c r="C1475" s="22">
        <f>(1+C1474)*IF(AND(Painel_diario!$H1471="EU_JU",Painel_diario!$J1471=1),EXP(Painel_diario!$L1471),1)-1</f>
        <v/>
      </c>
      <c r="D1475" s="22">
        <f>(1+D1474)*IF(AND(Painel_diario!$H1471="ED_JD",Painel_diario!$J1471=1),EXP(Painel_diario!$L1471),1)-1</f>
        <v/>
      </c>
      <c r="E1475" s="22">
        <f>(1+E1474)*IF(AND(Painel_diario!$H1471="ED_JU",Painel_diario!$J1471=1),EXP(Painel_diario!$L1471),1)-1</f>
        <v/>
      </c>
    </row>
    <row r="1476">
      <c r="A1476" s="25" t="n">
        <v>40989</v>
      </c>
      <c r="B1476" s="22">
        <f>(1+B1475)*IF(AND(Painel_diario!$H1472="EU_JD",Painel_diario!$J1472=1),EXP(Painel_diario!$L1472),1)-1</f>
        <v/>
      </c>
      <c r="C1476" s="22">
        <f>(1+C1475)*IF(AND(Painel_diario!$H1472="EU_JU",Painel_diario!$J1472=1),EXP(Painel_diario!$L1472),1)-1</f>
        <v/>
      </c>
      <c r="D1476" s="22">
        <f>(1+D1475)*IF(AND(Painel_diario!$H1472="ED_JD",Painel_diario!$J1472=1),EXP(Painel_diario!$L1472),1)-1</f>
        <v/>
      </c>
      <c r="E1476" s="22">
        <f>(1+E1475)*IF(AND(Painel_diario!$H1472="ED_JU",Painel_diario!$J1472=1),EXP(Painel_diario!$L1472),1)-1</f>
        <v/>
      </c>
    </row>
    <row r="1477">
      <c r="A1477" s="25" t="n">
        <v>40990</v>
      </c>
      <c r="B1477" s="22">
        <f>(1+B1476)*IF(AND(Painel_diario!$H1473="EU_JD",Painel_diario!$J1473=1),EXP(Painel_diario!$L1473),1)-1</f>
        <v/>
      </c>
      <c r="C1477" s="22">
        <f>(1+C1476)*IF(AND(Painel_diario!$H1473="EU_JU",Painel_diario!$J1473=1),EXP(Painel_diario!$L1473),1)-1</f>
        <v/>
      </c>
      <c r="D1477" s="22">
        <f>(1+D1476)*IF(AND(Painel_diario!$H1473="ED_JD",Painel_diario!$J1473=1),EXP(Painel_diario!$L1473),1)-1</f>
        <v/>
      </c>
      <c r="E1477" s="22">
        <f>(1+E1476)*IF(AND(Painel_diario!$H1473="ED_JU",Painel_diario!$J1473=1),EXP(Painel_diario!$L1473),1)-1</f>
        <v/>
      </c>
    </row>
    <row r="1478">
      <c r="A1478" s="25" t="n">
        <v>40991</v>
      </c>
      <c r="B1478" s="22">
        <f>(1+B1477)*IF(AND(Painel_diario!$H1474="EU_JD",Painel_diario!$J1474=1),EXP(Painel_diario!$L1474),1)-1</f>
        <v/>
      </c>
      <c r="C1478" s="22">
        <f>(1+C1477)*IF(AND(Painel_diario!$H1474="EU_JU",Painel_diario!$J1474=1),EXP(Painel_diario!$L1474),1)-1</f>
        <v/>
      </c>
      <c r="D1478" s="22">
        <f>(1+D1477)*IF(AND(Painel_diario!$H1474="ED_JD",Painel_diario!$J1474=1),EXP(Painel_diario!$L1474),1)-1</f>
        <v/>
      </c>
      <c r="E1478" s="22">
        <f>(1+E1477)*IF(AND(Painel_diario!$H1474="ED_JU",Painel_diario!$J1474=1),EXP(Painel_diario!$L1474),1)-1</f>
        <v/>
      </c>
    </row>
    <row r="1479">
      <c r="A1479" s="25" t="n">
        <v>40994</v>
      </c>
      <c r="B1479" s="22">
        <f>(1+B1478)*IF(AND(Painel_diario!$H1475="EU_JD",Painel_diario!$J1475=1),EXP(Painel_diario!$L1475),1)-1</f>
        <v/>
      </c>
      <c r="C1479" s="22">
        <f>(1+C1478)*IF(AND(Painel_diario!$H1475="EU_JU",Painel_diario!$J1475=1),EXP(Painel_diario!$L1475),1)-1</f>
        <v/>
      </c>
      <c r="D1479" s="22">
        <f>(1+D1478)*IF(AND(Painel_diario!$H1475="ED_JD",Painel_diario!$J1475=1),EXP(Painel_diario!$L1475),1)-1</f>
        <v/>
      </c>
      <c r="E1479" s="22">
        <f>(1+E1478)*IF(AND(Painel_diario!$H1475="ED_JU",Painel_diario!$J1475=1),EXP(Painel_diario!$L1475),1)-1</f>
        <v/>
      </c>
    </row>
    <row r="1480">
      <c r="A1480" s="25" t="n">
        <v>40995</v>
      </c>
      <c r="B1480" s="22">
        <f>(1+B1479)*IF(AND(Painel_diario!$H1476="EU_JD",Painel_diario!$J1476=1),EXP(Painel_diario!$L1476),1)-1</f>
        <v/>
      </c>
      <c r="C1480" s="22">
        <f>(1+C1479)*IF(AND(Painel_diario!$H1476="EU_JU",Painel_diario!$J1476=1),EXP(Painel_diario!$L1476),1)-1</f>
        <v/>
      </c>
      <c r="D1480" s="22">
        <f>(1+D1479)*IF(AND(Painel_diario!$H1476="ED_JD",Painel_diario!$J1476=1),EXP(Painel_diario!$L1476),1)-1</f>
        <v/>
      </c>
      <c r="E1480" s="22">
        <f>(1+E1479)*IF(AND(Painel_diario!$H1476="ED_JU",Painel_diario!$J1476=1),EXP(Painel_diario!$L1476),1)-1</f>
        <v/>
      </c>
    </row>
    <row r="1481">
      <c r="A1481" s="25" t="n">
        <v>40996</v>
      </c>
      <c r="B1481" s="22">
        <f>(1+B1480)*IF(AND(Painel_diario!$H1477="EU_JD",Painel_diario!$J1477=1),EXP(Painel_diario!$L1477),1)-1</f>
        <v/>
      </c>
      <c r="C1481" s="22">
        <f>(1+C1480)*IF(AND(Painel_diario!$H1477="EU_JU",Painel_diario!$J1477=1),EXP(Painel_diario!$L1477),1)-1</f>
        <v/>
      </c>
      <c r="D1481" s="22">
        <f>(1+D1480)*IF(AND(Painel_diario!$H1477="ED_JD",Painel_diario!$J1477=1),EXP(Painel_diario!$L1477),1)-1</f>
        <v/>
      </c>
      <c r="E1481" s="22">
        <f>(1+E1480)*IF(AND(Painel_diario!$H1477="ED_JU",Painel_diario!$J1477=1),EXP(Painel_diario!$L1477),1)-1</f>
        <v/>
      </c>
    </row>
    <row r="1482">
      <c r="A1482" s="25" t="n">
        <v>40997</v>
      </c>
      <c r="B1482" s="22">
        <f>(1+B1481)*IF(AND(Painel_diario!$H1478="EU_JD",Painel_diario!$J1478=1),EXP(Painel_diario!$L1478),1)-1</f>
        <v/>
      </c>
      <c r="C1482" s="22">
        <f>(1+C1481)*IF(AND(Painel_diario!$H1478="EU_JU",Painel_diario!$J1478=1),EXP(Painel_diario!$L1478),1)-1</f>
        <v/>
      </c>
      <c r="D1482" s="22">
        <f>(1+D1481)*IF(AND(Painel_diario!$H1478="ED_JD",Painel_diario!$J1478=1),EXP(Painel_diario!$L1478),1)-1</f>
        <v/>
      </c>
      <c r="E1482" s="22">
        <f>(1+E1481)*IF(AND(Painel_diario!$H1478="ED_JU",Painel_diario!$J1478=1),EXP(Painel_diario!$L1478),1)-1</f>
        <v/>
      </c>
    </row>
    <row r="1483">
      <c r="A1483" s="25" t="n">
        <v>40998</v>
      </c>
      <c r="B1483" s="22">
        <f>(1+B1482)*IF(AND(Painel_diario!$H1479="EU_JD",Painel_diario!$J1479=1),EXP(Painel_diario!$L1479),1)-1</f>
        <v/>
      </c>
      <c r="C1483" s="22">
        <f>(1+C1482)*IF(AND(Painel_diario!$H1479="EU_JU",Painel_diario!$J1479=1),EXP(Painel_diario!$L1479),1)-1</f>
        <v/>
      </c>
      <c r="D1483" s="22">
        <f>(1+D1482)*IF(AND(Painel_diario!$H1479="ED_JD",Painel_diario!$J1479=1),EXP(Painel_diario!$L1479),1)-1</f>
        <v/>
      </c>
      <c r="E1483" s="22">
        <f>(1+E1482)*IF(AND(Painel_diario!$H1479="ED_JU",Painel_diario!$J1479=1),EXP(Painel_diario!$L1479),1)-1</f>
        <v/>
      </c>
    </row>
    <row r="1484">
      <c r="A1484" s="25" t="n">
        <v>41001</v>
      </c>
      <c r="B1484" s="22">
        <f>(1+B1483)*IF(AND(Painel_diario!$H1480="EU_JD",Painel_diario!$J1480=1),EXP(Painel_diario!$L1480),1)-1</f>
        <v/>
      </c>
      <c r="C1484" s="22">
        <f>(1+C1483)*IF(AND(Painel_diario!$H1480="EU_JU",Painel_diario!$J1480=1),EXP(Painel_diario!$L1480),1)-1</f>
        <v/>
      </c>
      <c r="D1484" s="22">
        <f>(1+D1483)*IF(AND(Painel_diario!$H1480="ED_JD",Painel_diario!$J1480=1),EXP(Painel_diario!$L1480),1)-1</f>
        <v/>
      </c>
      <c r="E1484" s="22">
        <f>(1+E1483)*IF(AND(Painel_diario!$H1480="ED_JU",Painel_diario!$J1480=1),EXP(Painel_diario!$L1480),1)-1</f>
        <v/>
      </c>
    </row>
    <row r="1485">
      <c r="A1485" s="25" t="n">
        <v>41002</v>
      </c>
      <c r="B1485" s="22">
        <f>(1+B1484)*IF(AND(Painel_diario!$H1481="EU_JD",Painel_diario!$J1481=1),EXP(Painel_diario!$L1481),1)-1</f>
        <v/>
      </c>
      <c r="C1485" s="22">
        <f>(1+C1484)*IF(AND(Painel_diario!$H1481="EU_JU",Painel_diario!$J1481=1),EXP(Painel_diario!$L1481),1)-1</f>
        <v/>
      </c>
      <c r="D1485" s="22">
        <f>(1+D1484)*IF(AND(Painel_diario!$H1481="ED_JD",Painel_diario!$J1481=1),EXP(Painel_diario!$L1481),1)-1</f>
        <v/>
      </c>
      <c r="E1485" s="22">
        <f>(1+E1484)*IF(AND(Painel_diario!$H1481="ED_JU",Painel_diario!$J1481=1),EXP(Painel_diario!$L1481),1)-1</f>
        <v/>
      </c>
    </row>
    <row r="1486">
      <c r="A1486" s="25" t="n">
        <v>41003</v>
      </c>
      <c r="B1486" s="22">
        <f>(1+B1485)*IF(AND(Painel_diario!$H1482="EU_JD",Painel_diario!$J1482=1),EXP(Painel_diario!$L1482),1)-1</f>
        <v/>
      </c>
      <c r="C1486" s="22">
        <f>(1+C1485)*IF(AND(Painel_diario!$H1482="EU_JU",Painel_diario!$J1482=1),EXP(Painel_diario!$L1482),1)-1</f>
        <v/>
      </c>
      <c r="D1486" s="22">
        <f>(1+D1485)*IF(AND(Painel_diario!$H1482="ED_JD",Painel_diario!$J1482=1),EXP(Painel_diario!$L1482),1)-1</f>
        <v/>
      </c>
      <c r="E1486" s="22">
        <f>(1+E1485)*IF(AND(Painel_diario!$H1482="ED_JU",Painel_diario!$J1482=1),EXP(Painel_diario!$L1482),1)-1</f>
        <v/>
      </c>
    </row>
    <row r="1487">
      <c r="A1487" s="25" t="n">
        <v>41004</v>
      </c>
      <c r="B1487" s="22">
        <f>(1+B1486)*IF(AND(Painel_diario!$H1483="EU_JD",Painel_diario!$J1483=1),EXP(Painel_diario!$L1483),1)-1</f>
        <v/>
      </c>
      <c r="C1487" s="22">
        <f>(1+C1486)*IF(AND(Painel_diario!$H1483="EU_JU",Painel_diario!$J1483=1),EXP(Painel_diario!$L1483),1)-1</f>
        <v/>
      </c>
      <c r="D1487" s="22">
        <f>(1+D1486)*IF(AND(Painel_diario!$H1483="ED_JD",Painel_diario!$J1483=1),EXP(Painel_diario!$L1483),1)-1</f>
        <v/>
      </c>
      <c r="E1487" s="22">
        <f>(1+E1486)*IF(AND(Painel_diario!$H1483="ED_JU",Painel_diario!$J1483=1),EXP(Painel_diario!$L1483),1)-1</f>
        <v/>
      </c>
    </row>
    <row r="1488">
      <c r="A1488" s="25" t="n">
        <v>41008</v>
      </c>
      <c r="B1488" s="22">
        <f>(1+B1487)*IF(AND(Painel_diario!$H1484="EU_JD",Painel_diario!$J1484=1),EXP(Painel_diario!$L1484),1)-1</f>
        <v/>
      </c>
      <c r="C1488" s="22">
        <f>(1+C1487)*IF(AND(Painel_diario!$H1484="EU_JU",Painel_diario!$J1484=1),EXP(Painel_diario!$L1484),1)-1</f>
        <v/>
      </c>
      <c r="D1488" s="22">
        <f>(1+D1487)*IF(AND(Painel_diario!$H1484="ED_JD",Painel_diario!$J1484=1),EXP(Painel_diario!$L1484),1)-1</f>
        <v/>
      </c>
      <c r="E1488" s="22">
        <f>(1+E1487)*IF(AND(Painel_diario!$H1484="ED_JU",Painel_diario!$J1484=1),EXP(Painel_diario!$L1484),1)-1</f>
        <v/>
      </c>
    </row>
    <row r="1489">
      <c r="A1489" s="25" t="n">
        <v>41009</v>
      </c>
      <c r="B1489" s="22">
        <f>(1+B1488)*IF(AND(Painel_diario!$H1485="EU_JD",Painel_diario!$J1485=1),EXP(Painel_diario!$L1485),1)-1</f>
        <v/>
      </c>
      <c r="C1489" s="22">
        <f>(1+C1488)*IF(AND(Painel_diario!$H1485="EU_JU",Painel_diario!$J1485=1),EXP(Painel_diario!$L1485),1)-1</f>
        <v/>
      </c>
      <c r="D1489" s="22">
        <f>(1+D1488)*IF(AND(Painel_diario!$H1485="ED_JD",Painel_diario!$J1485=1),EXP(Painel_diario!$L1485),1)-1</f>
        <v/>
      </c>
      <c r="E1489" s="22">
        <f>(1+E1488)*IF(AND(Painel_diario!$H1485="ED_JU",Painel_diario!$J1485=1),EXP(Painel_diario!$L1485),1)-1</f>
        <v/>
      </c>
    </row>
    <row r="1490">
      <c r="A1490" s="25" t="n">
        <v>41010</v>
      </c>
      <c r="B1490" s="22">
        <f>(1+B1489)*IF(AND(Painel_diario!$H1486="EU_JD",Painel_diario!$J1486=1),EXP(Painel_diario!$L1486),1)-1</f>
        <v/>
      </c>
      <c r="C1490" s="22">
        <f>(1+C1489)*IF(AND(Painel_diario!$H1486="EU_JU",Painel_diario!$J1486=1),EXP(Painel_diario!$L1486),1)-1</f>
        <v/>
      </c>
      <c r="D1490" s="22">
        <f>(1+D1489)*IF(AND(Painel_diario!$H1486="ED_JD",Painel_diario!$J1486=1),EXP(Painel_diario!$L1486),1)-1</f>
        <v/>
      </c>
      <c r="E1490" s="22">
        <f>(1+E1489)*IF(AND(Painel_diario!$H1486="ED_JU",Painel_diario!$J1486=1),EXP(Painel_diario!$L1486),1)-1</f>
        <v/>
      </c>
    </row>
    <row r="1491">
      <c r="A1491" s="25" t="n">
        <v>41011</v>
      </c>
      <c r="B1491" s="22">
        <f>(1+B1490)*IF(AND(Painel_diario!$H1487="EU_JD",Painel_diario!$J1487=1),EXP(Painel_diario!$L1487),1)-1</f>
        <v/>
      </c>
      <c r="C1491" s="22">
        <f>(1+C1490)*IF(AND(Painel_diario!$H1487="EU_JU",Painel_diario!$J1487=1),EXP(Painel_diario!$L1487),1)-1</f>
        <v/>
      </c>
      <c r="D1491" s="22">
        <f>(1+D1490)*IF(AND(Painel_diario!$H1487="ED_JD",Painel_diario!$J1487=1),EXP(Painel_diario!$L1487),1)-1</f>
        <v/>
      </c>
      <c r="E1491" s="22">
        <f>(1+E1490)*IF(AND(Painel_diario!$H1487="ED_JU",Painel_diario!$J1487=1),EXP(Painel_diario!$L1487),1)-1</f>
        <v/>
      </c>
    </row>
    <row r="1492">
      <c r="A1492" s="25" t="n">
        <v>41012</v>
      </c>
      <c r="B1492" s="22">
        <f>(1+B1491)*IF(AND(Painel_diario!$H1488="EU_JD",Painel_diario!$J1488=1),EXP(Painel_diario!$L1488),1)-1</f>
        <v/>
      </c>
      <c r="C1492" s="22">
        <f>(1+C1491)*IF(AND(Painel_diario!$H1488="EU_JU",Painel_diario!$J1488=1),EXP(Painel_diario!$L1488),1)-1</f>
        <v/>
      </c>
      <c r="D1492" s="22">
        <f>(1+D1491)*IF(AND(Painel_diario!$H1488="ED_JD",Painel_diario!$J1488=1),EXP(Painel_diario!$L1488),1)-1</f>
        <v/>
      </c>
      <c r="E1492" s="22">
        <f>(1+E1491)*IF(AND(Painel_diario!$H1488="ED_JU",Painel_diario!$J1488=1),EXP(Painel_diario!$L1488),1)-1</f>
        <v/>
      </c>
    </row>
    <row r="1493">
      <c r="A1493" s="25" t="n">
        <v>41015</v>
      </c>
      <c r="B1493" s="22">
        <f>(1+B1492)*IF(AND(Painel_diario!$H1489="EU_JD",Painel_diario!$J1489=1),EXP(Painel_diario!$L1489),1)-1</f>
        <v/>
      </c>
      <c r="C1493" s="22">
        <f>(1+C1492)*IF(AND(Painel_diario!$H1489="EU_JU",Painel_diario!$J1489=1),EXP(Painel_diario!$L1489),1)-1</f>
        <v/>
      </c>
      <c r="D1493" s="22">
        <f>(1+D1492)*IF(AND(Painel_diario!$H1489="ED_JD",Painel_diario!$J1489=1),EXP(Painel_diario!$L1489),1)-1</f>
        <v/>
      </c>
      <c r="E1493" s="22">
        <f>(1+E1492)*IF(AND(Painel_diario!$H1489="ED_JU",Painel_diario!$J1489=1),EXP(Painel_diario!$L1489),1)-1</f>
        <v/>
      </c>
    </row>
    <row r="1494">
      <c r="A1494" s="25" t="n">
        <v>41016</v>
      </c>
      <c r="B1494" s="22">
        <f>(1+B1493)*IF(AND(Painel_diario!$H1490="EU_JD",Painel_diario!$J1490=1),EXP(Painel_diario!$L1490),1)-1</f>
        <v/>
      </c>
      <c r="C1494" s="22">
        <f>(1+C1493)*IF(AND(Painel_diario!$H1490="EU_JU",Painel_diario!$J1490=1),EXP(Painel_diario!$L1490),1)-1</f>
        <v/>
      </c>
      <c r="D1494" s="22">
        <f>(1+D1493)*IF(AND(Painel_diario!$H1490="ED_JD",Painel_diario!$J1490=1),EXP(Painel_diario!$L1490),1)-1</f>
        <v/>
      </c>
      <c r="E1494" s="22">
        <f>(1+E1493)*IF(AND(Painel_diario!$H1490="ED_JU",Painel_diario!$J1490=1),EXP(Painel_diario!$L1490),1)-1</f>
        <v/>
      </c>
    </row>
    <row r="1495">
      <c r="A1495" s="25" t="n">
        <v>41017</v>
      </c>
      <c r="B1495" s="22">
        <f>(1+B1494)*IF(AND(Painel_diario!$H1491="EU_JD",Painel_diario!$J1491=1),EXP(Painel_diario!$L1491),1)-1</f>
        <v/>
      </c>
      <c r="C1495" s="22">
        <f>(1+C1494)*IF(AND(Painel_diario!$H1491="EU_JU",Painel_diario!$J1491=1),EXP(Painel_diario!$L1491),1)-1</f>
        <v/>
      </c>
      <c r="D1495" s="22">
        <f>(1+D1494)*IF(AND(Painel_diario!$H1491="ED_JD",Painel_diario!$J1491=1),EXP(Painel_diario!$L1491),1)-1</f>
        <v/>
      </c>
      <c r="E1495" s="22">
        <f>(1+E1494)*IF(AND(Painel_diario!$H1491="ED_JU",Painel_diario!$J1491=1),EXP(Painel_diario!$L1491),1)-1</f>
        <v/>
      </c>
    </row>
    <row r="1496">
      <c r="A1496" s="25" t="n">
        <v>41018</v>
      </c>
      <c r="B1496" s="22">
        <f>(1+B1495)*IF(AND(Painel_diario!$H1492="EU_JD",Painel_diario!$J1492=1),EXP(Painel_diario!$L1492),1)-1</f>
        <v/>
      </c>
      <c r="C1496" s="22">
        <f>(1+C1495)*IF(AND(Painel_diario!$H1492="EU_JU",Painel_diario!$J1492=1),EXP(Painel_diario!$L1492),1)-1</f>
        <v/>
      </c>
      <c r="D1496" s="22">
        <f>(1+D1495)*IF(AND(Painel_diario!$H1492="ED_JD",Painel_diario!$J1492=1),EXP(Painel_diario!$L1492),1)-1</f>
        <v/>
      </c>
      <c r="E1496" s="22">
        <f>(1+E1495)*IF(AND(Painel_diario!$H1492="ED_JU",Painel_diario!$J1492=1),EXP(Painel_diario!$L1492),1)-1</f>
        <v/>
      </c>
    </row>
    <row r="1497">
      <c r="A1497" s="25" t="n">
        <v>41019</v>
      </c>
      <c r="B1497" s="22">
        <f>(1+B1496)*IF(AND(Painel_diario!$H1493="EU_JD",Painel_diario!$J1493=1),EXP(Painel_diario!$L1493),1)-1</f>
        <v/>
      </c>
      <c r="C1497" s="22">
        <f>(1+C1496)*IF(AND(Painel_diario!$H1493="EU_JU",Painel_diario!$J1493=1),EXP(Painel_diario!$L1493),1)-1</f>
        <v/>
      </c>
      <c r="D1497" s="22">
        <f>(1+D1496)*IF(AND(Painel_diario!$H1493="ED_JD",Painel_diario!$J1493=1),EXP(Painel_diario!$L1493),1)-1</f>
        <v/>
      </c>
      <c r="E1497" s="22">
        <f>(1+E1496)*IF(AND(Painel_diario!$H1493="ED_JU",Painel_diario!$J1493=1),EXP(Painel_diario!$L1493),1)-1</f>
        <v/>
      </c>
    </row>
    <row r="1498">
      <c r="A1498" s="25" t="n">
        <v>41022</v>
      </c>
      <c r="B1498" s="22">
        <f>(1+B1497)*IF(AND(Painel_diario!$H1494="EU_JD",Painel_diario!$J1494=1),EXP(Painel_diario!$L1494),1)-1</f>
        <v/>
      </c>
      <c r="C1498" s="22">
        <f>(1+C1497)*IF(AND(Painel_diario!$H1494="EU_JU",Painel_diario!$J1494=1),EXP(Painel_diario!$L1494),1)-1</f>
        <v/>
      </c>
      <c r="D1498" s="22">
        <f>(1+D1497)*IF(AND(Painel_diario!$H1494="ED_JD",Painel_diario!$J1494=1),EXP(Painel_diario!$L1494),1)-1</f>
        <v/>
      </c>
      <c r="E1498" s="22">
        <f>(1+E1497)*IF(AND(Painel_diario!$H1494="ED_JU",Painel_diario!$J1494=1),EXP(Painel_diario!$L1494),1)-1</f>
        <v/>
      </c>
    </row>
    <row r="1499">
      <c r="A1499" s="25" t="n">
        <v>41023</v>
      </c>
      <c r="B1499" s="22">
        <f>(1+B1498)*IF(AND(Painel_diario!$H1495="EU_JD",Painel_diario!$J1495=1),EXP(Painel_diario!$L1495),1)-1</f>
        <v/>
      </c>
      <c r="C1499" s="22">
        <f>(1+C1498)*IF(AND(Painel_diario!$H1495="EU_JU",Painel_diario!$J1495=1),EXP(Painel_diario!$L1495),1)-1</f>
        <v/>
      </c>
      <c r="D1499" s="22">
        <f>(1+D1498)*IF(AND(Painel_diario!$H1495="ED_JD",Painel_diario!$J1495=1),EXP(Painel_diario!$L1495),1)-1</f>
        <v/>
      </c>
      <c r="E1499" s="22">
        <f>(1+E1498)*IF(AND(Painel_diario!$H1495="ED_JU",Painel_diario!$J1495=1),EXP(Painel_diario!$L1495),1)-1</f>
        <v/>
      </c>
    </row>
    <row r="1500">
      <c r="A1500" s="25" t="n">
        <v>41024</v>
      </c>
      <c r="B1500" s="22">
        <f>(1+B1499)*IF(AND(Painel_diario!$H1496="EU_JD",Painel_diario!$J1496=1),EXP(Painel_diario!$L1496),1)-1</f>
        <v/>
      </c>
      <c r="C1500" s="22">
        <f>(1+C1499)*IF(AND(Painel_diario!$H1496="EU_JU",Painel_diario!$J1496=1),EXP(Painel_diario!$L1496),1)-1</f>
        <v/>
      </c>
      <c r="D1500" s="22">
        <f>(1+D1499)*IF(AND(Painel_diario!$H1496="ED_JD",Painel_diario!$J1496=1),EXP(Painel_diario!$L1496),1)-1</f>
        <v/>
      </c>
      <c r="E1500" s="22">
        <f>(1+E1499)*IF(AND(Painel_diario!$H1496="ED_JU",Painel_diario!$J1496=1),EXP(Painel_diario!$L1496),1)-1</f>
        <v/>
      </c>
    </row>
    <row r="1501">
      <c r="A1501" s="25" t="n">
        <v>41025</v>
      </c>
      <c r="B1501" s="22">
        <f>(1+B1500)*IF(AND(Painel_diario!$H1497="EU_JD",Painel_diario!$J1497=1),EXP(Painel_diario!$L1497),1)-1</f>
        <v/>
      </c>
      <c r="C1501" s="22">
        <f>(1+C1500)*IF(AND(Painel_diario!$H1497="EU_JU",Painel_diario!$J1497=1),EXP(Painel_diario!$L1497),1)-1</f>
        <v/>
      </c>
      <c r="D1501" s="22">
        <f>(1+D1500)*IF(AND(Painel_diario!$H1497="ED_JD",Painel_diario!$J1497=1),EXP(Painel_diario!$L1497),1)-1</f>
        <v/>
      </c>
      <c r="E1501" s="22">
        <f>(1+E1500)*IF(AND(Painel_diario!$H1497="ED_JU",Painel_diario!$J1497=1),EXP(Painel_diario!$L1497),1)-1</f>
        <v/>
      </c>
    </row>
    <row r="1502">
      <c r="A1502" s="25" t="n">
        <v>41026</v>
      </c>
      <c r="B1502" s="22">
        <f>(1+B1501)*IF(AND(Painel_diario!$H1498="EU_JD",Painel_diario!$J1498=1),EXP(Painel_diario!$L1498),1)-1</f>
        <v/>
      </c>
      <c r="C1502" s="22">
        <f>(1+C1501)*IF(AND(Painel_diario!$H1498="EU_JU",Painel_diario!$J1498=1),EXP(Painel_diario!$L1498),1)-1</f>
        <v/>
      </c>
      <c r="D1502" s="22">
        <f>(1+D1501)*IF(AND(Painel_diario!$H1498="ED_JD",Painel_diario!$J1498=1),EXP(Painel_diario!$L1498),1)-1</f>
        <v/>
      </c>
      <c r="E1502" s="22">
        <f>(1+E1501)*IF(AND(Painel_diario!$H1498="ED_JU",Painel_diario!$J1498=1),EXP(Painel_diario!$L1498),1)-1</f>
        <v/>
      </c>
    </row>
    <row r="1503">
      <c r="A1503" s="25" t="n">
        <v>41029</v>
      </c>
      <c r="B1503" s="22">
        <f>(1+B1502)*IF(AND(Painel_diario!$H1499="EU_JD",Painel_diario!$J1499=1),EXP(Painel_diario!$L1499),1)-1</f>
        <v/>
      </c>
      <c r="C1503" s="22">
        <f>(1+C1502)*IF(AND(Painel_diario!$H1499="EU_JU",Painel_diario!$J1499=1),EXP(Painel_diario!$L1499),1)-1</f>
        <v/>
      </c>
      <c r="D1503" s="22">
        <f>(1+D1502)*IF(AND(Painel_diario!$H1499="ED_JD",Painel_diario!$J1499=1),EXP(Painel_diario!$L1499),1)-1</f>
        <v/>
      </c>
      <c r="E1503" s="22">
        <f>(1+E1502)*IF(AND(Painel_diario!$H1499="ED_JU",Painel_diario!$J1499=1),EXP(Painel_diario!$L1499),1)-1</f>
        <v/>
      </c>
    </row>
    <row r="1504">
      <c r="A1504" s="25" t="n">
        <v>41031</v>
      </c>
      <c r="B1504" s="22">
        <f>(1+B1503)*IF(AND(Painel_diario!$H1500="EU_JD",Painel_diario!$J1500=1),EXP(Painel_diario!$L1500),1)-1</f>
        <v/>
      </c>
      <c r="C1504" s="22">
        <f>(1+C1503)*IF(AND(Painel_diario!$H1500="EU_JU",Painel_diario!$J1500=1),EXP(Painel_diario!$L1500),1)-1</f>
        <v/>
      </c>
      <c r="D1504" s="22">
        <f>(1+D1503)*IF(AND(Painel_diario!$H1500="ED_JD",Painel_diario!$J1500=1),EXP(Painel_diario!$L1500),1)-1</f>
        <v/>
      </c>
      <c r="E1504" s="22">
        <f>(1+E1503)*IF(AND(Painel_diario!$H1500="ED_JU",Painel_diario!$J1500=1),EXP(Painel_diario!$L1500),1)-1</f>
        <v/>
      </c>
    </row>
    <row r="1505">
      <c r="A1505" s="25" t="n">
        <v>41032</v>
      </c>
      <c r="B1505" s="22">
        <f>(1+B1504)*IF(AND(Painel_diario!$H1501="EU_JD",Painel_diario!$J1501=1),EXP(Painel_diario!$L1501),1)-1</f>
        <v/>
      </c>
      <c r="C1505" s="22">
        <f>(1+C1504)*IF(AND(Painel_diario!$H1501="EU_JU",Painel_diario!$J1501=1),EXP(Painel_diario!$L1501),1)-1</f>
        <v/>
      </c>
      <c r="D1505" s="22">
        <f>(1+D1504)*IF(AND(Painel_diario!$H1501="ED_JD",Painel_diario!$J1501=1),EXP(Painel_diario!$L1501),1)-1</f>
        <v/>
      </c>
      <c r="E1505" s="22">
        <f>(1+E1504)*IF(AND(Painel_diario!$H1501="ED_JU",Painel_diario!$J1501=1),EXP(Painel_diario!$L1501),1)-1</f>
        <v/>
      </c>
    </row>
    <row r="1506">
      <c r="A1506" s="25" t="n">
        <v>41033</v>
      </c>
      <c r="B1506" s="22">
        <f>(1+B1505)*IF(AND(Painel_diario!$H1502="EU_JD",Painel_diario!$J1502=1),EXP(Painel_diario!$L1502),1)-1</f>
        <v/>
      </c>
      <c r="C1506" s="22">
        <f>(1+C1505)*IF(AND(Painel_diario!$H1502="EU_JU",Painel_diario!$J1502=1),EXP(Painel_diario!$L1502),1)-1</f>
        <v/>
      </c>
      <c r="D1506" s="22">
        <f>(1+D1505)*IF(AND(Painel_diario!$H1502="ED_JD",Painel_diario!$J1502=1),EXP(Painel_diario!$L1502),1)-1</f>
        <v/>
      </c>
      <c r="E1506" s="22">
        <f>(1+E1505)*IF(AND(Painel_diario!$H1502="ED_JU",Painel_diario!$J1502=1),EXP(Painel_diario!$L1502),1)-1</f>
        <v/>
      </c>
    </row>
    <row r="1507">
      <c r="A1507" s="25" t="n">
        <v>41036</v>
      </c>
      <c r="B1507" s="22">
        <f>(1+B1506)*IF(AND(Painel_diario!$H1503="EU_JD",Painel_diario!$J1503=1),EXP(Painel_diario!$L1503),1)-1</f>
        <v/>
      </c>
      <c r="C1507" s="22">
        <f>(1+C1506)*IF(AND(Painel_diario!$H1503="EU_JU",Painel_diario!$J1503=1),EXP(Painel_diario!$L1503),1)-1</f>
        <v/>
      </c>
      <c r="D1507" s="22">
        <f>(1+D1506)*IF(AND(Painel_diario!$H1503="ED_JD",Painel_diario!$J1503=1),EXP(Painel_diario!$L1503),1)-1</f>
        <v/>
      </c>
      <c r="E1507" s="22">
        <f>(1+E1506)*IF(AND(Painel_diario!$H1503="ED_JU",Painel_diario!$J1503=1),EXP(Painel_diario!$L1503),1)-1</f>
        <v/>
      </c>
    </row>
    <row r="1508">
      <c r="A1508" s="25" t="n">
        <v>41037</v>
      </c>
      <c r="B1508" s="22">
        <f>(1+B1507)*IF(AND(Painel_diario!$H1504="EU_JD",Painel_diario!$J1504=1),EXP(Painel_diario!$L1504),1)-1</f>
        <v/>
      </c>
      <c r="C1508" s="22">
        <f>(1+C1507)*IF(AND(Painel_diario!$H1504="EU_JU",Painel_diario!$J1504=1),EXP(Painel_diario!$L1504),1)-1</f>
        <v/>
      </c>
      <c r="D1508" s="22">
        <f>(1+D1507)*IF(AND(Painel_diario!$H1504="ED_JD",Painel_diario!$J1504=1),EXP(Painel_diario!$L1504),1)-1</f>
        <v/>
      </c>
      <c r="E1508" s="22">
        <f>(1+E1507)*IF(AND(Painel_diario!$H1504="ED_JU",Painel_diario!$J1504=1),EXP(Painel_diario!$L1504),1)-1</f>
        <v/>
      </c>
    </row>
    <row r="1509">
      <c r="A1509" s="25" t="n">
        <v>41038</v>
      </c>
      <c r="B1509" s="22">
        <f>(1+B1508)*IF(AND(Painel_diario!$H1505="EU_JD",Painel_diario!$J1505=1),EXP(Painel_diario!$L1505),1)-1</f>
        <v/>
      </c>
      <c r="C1509" s="22">
        <f>(1+C1508)*IF(AND(Painel_diario!$H1505="EU_JU",Painel_diario!$J1505=1),EXP(Painel_diario!$L1505),1)-1</f>
        <v/>
      </c>
      <c r="D1509" s="22">
        <f>(1+D1508)*IF(AND(Painel_diario!$H1505="ED_JD",Painel_diario!$J1505=1),EXP(Painel_diario!$L1505),1)-1</f>
        <v/>
      </c>
      <c r="E1509" s="22">
        <f>(1+E1508)*IF(AND(Painel_diario!$H1505="ED_JU",Painel_diario!$J1505=1),EXP(Painel_diario!$L1505),1)-1</f>
        <v/>
      </c>
    </row>
    <row r="1510">
      <c r="A1510" s="25" t="n">
        <v>41039</v>
      </c>
      <c r="B1510" s="22">
        <f>(1+B1509)*IF(AND(Painel_diario!$H1506="EU_JD",Painel_diario!$J1506=1),EXP(Painel_diario!$L1506),1)-1</f>
        <v/>
      </c>
      <c r="C1510" s="22">
        <f>(1+C1509)*IF(AND(Painel_diario!$H1506="EU_JU",Painel_diario!$J1506=1),EXP(Painel_diario!$L1506),1)-1</f>
        <v/>
      </c>
      <c r="D1510" s="22">
        <f>(1+D1509)*IF(AND(Painel_diario!$H1506="ED_JD",Painel_diario!$J1506=1),EXP(Painel_diario!$L1506),1)-1</f>
        <v/>
      </c>
      <c r="E1510" s="22">
        <f>(1+E1509)*IF(AND(Painel_diario!$H1506="ED_JU",Painel_diario!$J1506=1),EXP(Painel_diario!$L1506),1)-1</f>
        <v/>
      </c>
    </row>
    <row r="1511">
      <c r="A1511" s="25" t="n">
        <v>41040</v>
      </c>
      <c r="B1511" s="22">
        <f>(1+B1510)*IF(AND(Painel_diario!$H1507="EU_JD",Painel_diario!$J1507=1),EXP(Painel_diario!$L1507),1)-1</f>
        <v/>
      </c>
      <c r="C1511" s="22">
        <f>(1+C1510)*IF(AND(Painel_diario!$H1507="EU_JU",Painel_diario!$J1507=1),EXP(Painel_diario!$L1507),1)-1</f>
        <v/>
      </c>
      <c r="D1511" s="22">
        <f>(1+D1510)*IF(AND(Painel_diario!$H1507="ED_JD",Painel_diario!$J1507=1),EXP(Painel_diario!$L1507),1)-1</f>
        <v/>
      </c>
      <c r="E1511" s="22">
        <f>(1+E1510)*IF(AND(Painel_diario!$H1507="ED_JU",Painel_diario!$J1507=1),EXP(Painel_diario!$L1507),1)-1</f>
        <v/>
      </c>
    </row>
    <row r="1512">
      <c r="A1512" s="25" t="n">
        <v>41043</v>
      </c>
      <c r="B1512" s="22">
        <f>(1+B1511)*IF(AND(Painel_diario!$H1508="EU_JD",Painel_diario!$J1508=1),EXP(Painel_diario!$L1508),1)-1</f>
        <v/>
      </c>
      <c r="C1512" s="22">
        <f>(1+C1511)*IF(AND(Painel_diario!$H1508="EU_JU",Painel_diario!$J1508=1),EXP(Painel_diario!$L1508),1)-1</f>
        <v/>
      </c>
      <c r="D1512" s="22">
        <f>(1+D1511)*IF(AND(Painel_diario!$H1508="ED_JD",Painel_diario!$J1508=1),EXP(Painel_diario!$L1508),1)-1</f>
        <v/>
      </c>
      <c r="E1512" s="22">
        <f>(1+E1511)*IF(AND(Painel_diario!$H1508="ED_JU",Painel_diario!$J1508=1),EXP(Painel_diario!$L1508),1)-1</f>
        <v/>
      </c>
    </row>
    <row r="1513">
      <c r="A1513" s="25" t="n">
        <v>41044</v>
      </c>
      <c r="B1513" s="22">
        <f>(1+B1512)*IF(AND(Painel_diario!$H1509="EU_JD",Painel_diario!$J1509=1),EXP(Painel_diario!$L1509),1)-1</f>
        <v/>
      </c>
      <c r="C1513" s="22">
        <f>(1+C1512)*IF(AND(Painel_diario!$H1509="EU_JU",Painel_diario!$J1509=1),EXP(Painel_diario!$L1509),1)-1</f>
        <v/>
      </c>
      <c r="D1513" s="22">
        <f>(1+D1512)*IF(AND(Painel_diario!$H1509="ED_JD",Painel_diario!$J1509=1),EXP(Painel_diario!$L1509),1)-1</f>
        <v/>
      </c>
      <c r="E1513" s="22">
        <f>(1+E1512)*IF(AND(Painel_diario!$H1509="ED_JU",Painel_diario!$J1509=1),EXP(Painel_diario!$L1509),1)-1</f>
        <v/>
      </c>
    </row>
    <row r="1514">
      <c r="A1514" s="25" t="n">
        <v>41045</v>
      </c>
      <c r="B1514" s="22">
        <f>(1+B1513)*IF(AND(Painel_diario!$H1510="EU_JD",Painel_diario!$J1510=1),EXP(Painel_diario!$L1510),1)-1</f>
        <v/>
      </c>
      <c r="C1514" s="22">
        <f>(1+C1513)*IF(AND(Painel_diario!$H1510="EU_JU",Painel_diario!$J1510=1),EXP(Painel_diario!$L1510),1)-1</f>
        <v/>
      </c>
      <c r="D1514" s="22">
        <f>(1+D1513)*IF(AND(Painel_diario!$H1510="ED_JD",Painel_diario!$J1510=1),EXP(Painel_diario!$L1510),1)-1</f>
        <v/>
      </c>
      <c r="E1514" s="22">
        <f>(1+E1513)*IF(AND(Painel_diario!$H1510="ED_JU",Painel_diario!$J1510=1),EXP(Painel_diario!$L1510),1)-1</f>
        <v/>
      </c>
    </row>
    <row r="1515">
      <c r="A1515" s="25" t="n">
        <v>41046</v>
      </c>
      <c r="B1515" s="22">
        <f>(1+B1514)*IF(AND(Painel_diario!$H1511="EU_JD",Painel_diario!$J1511=1),EXP(Painel_diario!$L1511),1)-1</f>
        <v/>
      </c>
      <c r="C1515" s="22">
        <f>(1+C1514)*IF(AND(Painel_diario!$H1511="EU_JU",Painel_diario!$J1511=1),EXP(Painel_diario!$L1511),1)-1</f>
        <v/>
      </c>
      <c r="D1515" s="22">
        <f>(1+D1514)*IF(AND(Painel_diario!$H1511="ED_JD",Painel_diario!$J1511=1),EXP(Painel_diario!$L1511),1)-1</f>
        <v/>
      </c>
      <c r="E1515" s="22">
        <f>(1+E1514)*IF(AND(Painel_diario!$H1511="ED_JU",Painel_diario!$J1511=1),EXP(Painel_diario!$L1511),1)-1</f>
        <v/>
      </c>
    </row>
    <row r="1516">
      <c r="A1516" s="25" t="n">
        <v>41047</v>
      </c>
      <c r="B1516" s="22">
        <f>(1+B1515)*IF(AND(Painel_diario!$H1512="EU_JD",Painel_diario!$J1512=1),EXP(Painel_diario!$L1512),1)-1</f>
        <v/>
      </c>
      <c r="C1516" s="22">
        <f>(1+C1515)*IF(AND(Painel_diario!$H1512="EU_JU",Painel_diario!$J1512=1),EXP(Painel_diario!$L1512),1)-1</f>
        <v/>
      </c>
      <c r="D1516" s="22">
        <f>(1+D1515)*IF(AND(Painel_diario!$H1512="ED_JD",Painel_diario!$J1512=1),EXP(Painel_diario!$L1512),1)-1</f>
        <v/>
      </c>
      <c r="E1516" s="22">
        <f>(1+E1515)*IF(AND(Painel_diario!$H1512="ED_JU",Painel_diario!$J1512=1),EXP(Painel_diario!$L1512),1)-1</f>
        <v/>
      </c>
    </row>
    <row r="1517">
      <c r="A1517" s="25" t="n">
        <v>41050</v>
      </c>
      <c r="B1517" s="22">
        <f>(1+B1516)*IF(AND(Painel_diario!$H1513="EU_JD",Painel_diario!$J1513=1),EXP(Painel_diario!$L1513),1)-1</f>
        <v/>
      </c>
      <c r="C1517" s="22">
        <f>(1+C1516)*IF(AND(Painel_diario!$H1513="EU_JU",Painel_diario!$J1513=1),EXP(Painel_diario!$L1513),1)-1</f>
        <v/>
      </c>
      <c r="D1517" s="22">
        <f>(1+D1516)*IF(AND(Painel_diario!$H1513="ED_JD",Painel_diario!$J1513=1),EXP(Painel_diario!$L1513),1)-1</f>
        <v/>
      </c>
      <c r="E1517" s="22">
        <f>(1+E1516)*IF(AND(Painel_diario!$H1513="ED_JU",Painel_diario!$J1513=1),EXP(Painel_diario!$L1513),1)-1</f>
        <v/>
      </c>
    </row>
    <row r="1518">
      <c r="A1518" s="25" t="n">
        <v>41051</v>
      </c>
      <c r="B1518" s="22">
        <f>(1+B1517)*IF(AND(Painel_diario!$H1514="EU_JD",Painel_diario!$J1514=1),EXP(Painel_diario!$L1514),1)-1</f>
        <v/>
      </c>
      <c r="C1518" s="22">
        <f>(1+C1517)*IF(AND(Painel_diario!$H1514="EU_JU",Painel_diario!$J1514=1),EXP(Painel_diario!$L1514),1)-1</f>
        <v/>
      </c>
      <c r="D1518" s="22">
        <f>(1+D1517)*IF(AND(Painel_diario!$H1514="ED_JD",Painel_diario!$J1514=1),EXP(Painel_diario!$L1514),1)-1</f>
        <v/>
      </c>
      <c r="E1518" s="22">
        <f>(1+E1517)*IF(AND(Painel_diario!$H1514="ED_JU",Painel_diario!$J1514=1),EXP(Painel_diario!$L1514),1)-1</f>
        <v/>
      </c>
    </row>
    <row r="1519">
      <c r="A1519" s="25" t="n">
        <v>41052</v>
      </c>
      <c r="B1519" s="22">
        <f>(1+B1518)*IF(AND(Painel_diario!$H1515="EU_JD",Painel_diario!$J1515=1),EXP(Painel_diario!$L1515),1)-1</f>
        <v/>
      </c>
      <c r="C1519" s="22">
        <f>(1+C1518)*IF(AND(Painel_diario!$H1515="EU_JU",Painel_diario!$J1515=1),EXP(Painel_diario!$L1515),1)-1</f>
        <v/>
      </c>
      <c r="D1519" s="22">
        <f>(1+D1518)*IF(AND(Painel_diario!$H1515="ED_JD",Painel_diario!$J1515=1),EXP(Painel_diario!$L1515),1)-1</f>
        <v/>
      </c>
      <c r="E1519" s="22">
        <f>(1+E1518)*IF(AND(Painel_diario!$H1515="ED_JU",Painel_diario!$J1515=1),EXP(Painel_diario!$L1515),1)-1</f>
        <v/>
      </c>
    </row>
    <row r="1520">
      <c r="A1520" s="25" t="n">
        <v>41053</v>
      </c>
      <c r="B1520" s="22">
        <f>(1+B1519)*IF(AND(Painel_diario!$H1516="EU_JD",Painel_diario!$J1516=1),EXP(Painel_diario!$L1516),1)-1</f>
        <v/>
      </c>
      <c r="C1520" s="22">
        <f>(1+C1519)*IF(AND(Painel_diario!$H1516="EU_JU",Painel_diario!$J1516=1),EXP(Painel_diario!$L1516),1)-1</f>
        <v/>
      </c>
      <c r="D1520" s="22">
        <f>(1+D1519)*IF(AND(Painel_diario!$H1516="ED_JD",Painel_diario!$J1516=1),EXP(Painel_diario!$L1516),1)-1</f>
        <v/>
      </c>
      <c r="E1520" s="22">
        <f>(1+E1519)*IF(AND(Painel_diario!$H1516="ED_JU",Painel_diario!$J1516=1),EXP(Painel_diario!$L1516),1)-1</f>
        <v/>
      </c>
    </row>
    <row r="1521">
      <c r="A1521" s="25" t="n">
        <v>41054</v>
      </c>
      <c r="B1521" s="22">
        <f>(1+B1520)*IF(AND(Painel_diario!$H1517="EU_JD",Painel_diario!$J1517=1),EXP(Painel_diario!$L1517),1)-1</f>
        <v/>
      </c>
      <c r="C1521" s="22">
        <f>(1+C1520)*IF(AND(Painel_diario!$H1517="EU_JU",Painel_diario!$J1517=1),EXP(Painel_diario!$L1517),1)-1</f>
        <v/>
      </c>
      <c r="D1521" s="22">
        <f>(1+D1520)*IF(AND(Painel_diario!$H1517="ED_JD",Painel_diario!$J1517=1),EXP(Painel_diario!$L1517),1)-1</f>
        <v/>
      </c>
      <c r="E1521" s="22">
        <f>(1+E1520)*IF(AND(Painel_diario!$H1517="ED_JU",Painel_diario!$J1517=1),EXP(Painel_diario!$L1517),1)-1</f>
        <v/>
      </c>
    </row>
    <row r="1522">
      <c r="A1522" s="25" t="n">
        <v>41057</v>
      </c>
      <c r="B1522" s="22">
        <f>(1+B1521)*IF(AND(Painel_diario!$H1518="EU_JD",Painel_diario!$J1518=1),EXP(Painel_diario!$L1518),1)-1</f>
        <v/>
      </c>
      <c r="C1522" s="22">
        <f>(1+C1521)*IF(AND(Painel_diario!$H1518="EU_JU",Painel_diario!$J1518=1),EXP(Painel_diario!$L1518),1)-1</f>
        <v/>
      </c>
      <c r="D1522" s="22">
        <f>(1+D1521)*IF(AND(Painel_diario!$H1518="ED_JD",Painel_diario!$J1518=1),EXP(Painel_diario!$L1518),1)-1</f>
        <v/>
      </c>
      <c r="E1522" s="22">
        <f>(1+E1521)*IF(AND(Painel_diario!$H1518="ED_JU",Painel_diario!$J1518=1),EXP(Painel_diario!$L1518),1)-1</f>
        <v/>
      </c>
    </row>
    <row r="1523">
      <c r="A1523" s="25" t="n">
        <v>41058</v>
      </c>
      <c r="B1523" s="22">
        <f>(1+B1522)*IF(AND(Painel_diario!$H1519="EU_JD",Painel_diario!$J1519=1),EXP(Painel_diario!$L1519),1)-1</f>
        <v/>
      </c>
      <c r="C1523" s="22">
        <f>(1+C1522)*IF(AND(Painel_diario!$H1519="EU_JU",Painel_diario!$J1519=1),EXP(Painel_diario!$L1519),1)-1</f>
        <v/>
      </c>
      <c r="D1523" s="22">
        <f>(1+D1522)*IF(AND(Painel_diario!$H1519="ED_JD",Painel_diario!$J1519=1),EXP(Painel_diario!$L1519),1)-1</f>
        <v/>
      </c>
      <c r="E1523" s="22">
        <f>(1+E1522)*IF(AND(Painel_diario!$H1519="ED_JU",Painel_diario!$J1519=1),EXP(Painel_diario!$L1519),1)-1</f>
        <v/>
      </c>
    </row>
    <row r="1524">
      <c r="A1524" s="25" t="n">
        <v>41059</v>
      </c>
      <c r="B1524" s="22">
        <f>(1+B1523)*IF(AND(Painel_diario!$H1520="EU_JD",Painel_diario!$J1520=1),EXP(Painel_diario!$L1520),1)-1</f>
        <v/>
      </c>
      <c r="C1524" s="22">
        <f>(1+C1523)*IF(AND(Painel_diario!$H1520="EU_JU",Painel_diario!$J1520=1),EXP(Painel_diario!$L1520),1)-1</f>
        <v/>
      </c>
      <c r="D1524" s="22">
        <f>(1+D1523)*IF(AND(Painel_diario!$H1520="ED_JD",Painel_diario!$J1520=1),EXP(Painel_diario!$L1520),1)-1</f>
        <v/>
      </c>
      <c r="E1524" s="22">
        <f>(1+E1523)*IF(AND(Painel_diario!$H1520="ED_JU",Painel_diario!$J1520=1),EXP(Painel_diario!$L1520),1)-1</f>
        <v/>
      </c>
    </row>
    <row r="1525">
      <c r="A1525" s="25" t="n">
        <v>41060</v>
      </c>
      <c r="B1525" s="22">
        <f>(1+B1524)*IF(AND(Painel_diario!$H1521="EU_JD",Painel_diario!$J1521=1),EXP(Painel_diario!$L1521),1)-1</f>
        <v/>
      </c>
      <c r="C1525" s="22">
        <f>(1+C1524)*IF(AND(Painel_diario!$H1521="EU_JU",Painel_diario!$J1521=1),EXP(Painel_diario!$L1521),1)-1</f>
        <v/>
      </c>
      <c r="D1525" s="22">
        <f>(1+D1524)*IF(AND(Painel_diario!$H1521="ED_JD",Painel_diario!$J1521=1),EXP(Painel_diario!$L1521),1)-1</f>
        <v/>
      </c>
      <c r="E1525" s="22">
        <f>(1+E1524)*IF(AND(Painel_diario!$H1521="ED_JU",Painel_diario!$J1521=1),EXP(Painel_diario!$L1521),1)-1</f>
        <v/>
      </c>
    </row>
    <row r="1526">
      <c r="A1526" s="25" t="n">
        <v>41061</v>
      </c>
      <c r="B1526" s="22">
        <f>(1+B1525)*IF(AND(Painel_diario!$H1522="EU_JD",Painel_diario!$J1522=1),EXP(Painel_diario!$L1522),1)-1</f>
        <v/>
      </c>
      <c r="C1526" s="22">
        <f>(1+C1525)*IF(AND(Painel_diario!$H1522="EU_JU",Painel_diario!$J1522=1),EXP(Painel_diario!$L1522),1)-1</f>
        <v/>
      </c>
      <c r="D1526" s="22">
        <f>(1+D1525)*IF(AND(Painel_diario!$H1522="ED_JD",Painel_diario!$J1522=1),EXP(Painel_diario!$L1522),1)-1</f>
        <v/>
      </c>
      <c r="E1526" s="22">
        <f>(1+E1525)*IF(AND(Painel_diario!$H1522="ED_JU",Painel_diario!$J1522=1),EXP(Painel_diario!$L1522),1)-1</f>
        <v/>
      </c>
    </row>
    <row r="1527">
      <c r="A1527" s="25" t="n">
        <v>41064</v>
      </c>
      <c r="B1527" s="22">
        <f>(1+B1526)*IF(AND(Painel_diario!$H1523="EU_JD",Painel_diario!$J1523=1),EXP(Painel_diario!$L1523),1)-1</f>
        <v/>
      </c>
      <c r="C1527" s="22">
        <f>(1+C1526)*IF(AND(Painel_diario!$H1523="EU_JU",Painel_diario!$J1523=1),EXP(Painel_diario!$L1523),1)-1</f>
        <v/>
      </c>
      <c r="D1527" s="22">
        <f>(1+D1526)*IF(AND(Painel_diario!$H1523="ED_JD",Painel_diario!$J1523=1),EXP(Painel_diario!$L1523),1)-1</f>
        <v/>
      </c>
      <c r="E1527" s="22">
        <f>(1+E1526)*IF(AND(Painel_diario!$H1523="ED_JU",Painel_diario!$J1523=1),EXP(Painel_diario!$L1523),1)-1</f>
        <v/>
      </c>
    </row>
    <row r="1528">
      <c r="A1528" s="25" t="n">
        <v>41065</v>
      </c>
      <c r="B1528" s="22">
        <f>(1+B1527)*IF(AND(Painel_diario!$H1524="EU_JD",Painel_diario!$J1524=1),EXP(Painel_diario!$L1524),1)-1</f>
        <v/>
      </c>
      <c r="C1528" s="22">
        <f>(1+C1527)*IF(AND(Painel_diario!$H1524="EU_JU",Painel_diario!$J1524=1),EXP(Painel_diario!$L1524),1)-1</f>
        <v/>
      </c>
      <c r="D1528" s="22">
        <f>(1+D1527)*IF(AND(Painel_diario!$H1524="ED_JD",Painel_diario!$J1524=1),EXP(Painel_diario!$L1524),1)-1</f>
        <v/>
      </c>
      <c r="E1528" s="22">
        <f>(1+E1527)*IF(AND(Painel_diario!$H1524="ED_JU",Painel_diario!$J1524=1),EXP(Painel_diario!$L1524),1)-1</f>
        <v/>
      </c>
    </row>
    <row r="1529">
      <c r="A1529" s="25" t="n">
        <v>41066</v>
      </c>
      <c r="B1529" s="22">
        <f>(1+B1528)*IF(AND(Painel_diario!$H1525="EU_JD",Painel_diario!$J1525=1),EXP(Painel_diario!$L1525),1)-1</f>
        <v/>
      </c>
      <c r="C1529" s="22">
        <f>(1+C1528)*IF(AND(Painel_diario!$H1525="EU_JU",Painel_diario!$J1525=1),EXP(Painel_diario!$L1525),1)-1</f>
        <v/>
      </c>
      <c r="D1529" s="22">
        <f>(1+D1528)*IF(AND(Painel_diario!$H1525="ED_JD",Painel_diario!$J1525=1),EXP(Painel_diario!$L1525),1)-1</f>
        <v/>
      </c>
      <c r="E1529" s="22">
        <f>(1+E1528)*IF(AND(Painel_diario!$H1525="ED_JU",Painel_diario!$J1525=1),EXP(Painel_diario!$L1525),1)-1</f>
        <v/>
      </c>
    </row>
    <row r="1530">
      <c r="A1530" s="25" t="n">
        <v>41068</v>
      </c>
      <c r="B1530" s="22">
        <f>(1+B1529)*IF(AND(Painel_diario!$H1526="EU_JD",Painel_diario!$J1526=1),EXP(Painel_diario!$L1526),1)-1</f>
        <v/>
      </c>
      <c r="C1530" s="22">
        <f>(1+C1529)*IF(AND(Painel_diario!$H1526="EU_JU",Painel_diario!$J1526=1),EXP(Painel_diario!$L1526),1)-1</f>
        <v/>
      </c>
      <c r="D1530" s="22">
        <f>(1+D1529)*IF(AND(Painel_diario!$H1526="ED_JD",Painel_diario!$J1526=1),EXP(Painel_diario!$L1526),1)-1</f>
        <v/>
      </c>
      <c r="E1530" s="22">
        <f>(1+E1529)*IF(AND(Painel_diario!$H1526="ED_JU",Painel_diario!$J1526=1),EXP(Painel_diario!$L1526),1)-1</f>
        <v/>
      </c>
    </row>
    <row r="1531">
      <c r="A1531" s="25" t="n">
        <v>41071</v>
      </c>
      <c r="B1531" s="22">
        <f>(1+B1530)*IF(AND(Painel_diario!$H1527="EU_JD",Painel_diario!$J1527=1),EXP(Painel_diario!$L1527),1)-1</f>
        <v/>
      </c>
      <c r="C1531" s="22">
        <f>(1+C1530)*IF(AND(Painel_diario!$H1527="EU_JU",Painel_diario!$J1527=1),EXP(Painel_diario!$L1527),1)-1</f>
        <v/>
      </c>
      <c r="D1531" s="22">
        <f>(1+D1530)*IF(AND(Painel_diario!$H1527="ED_JD",Painel_diario!$J1527=1),EXP(Painel_diario!$L1527),1)-1</f>
        <v/>
      </c>
      <c r="E1531" s="22">
        <f>(1+E1530)*IF(AND(Painel_diario!$H1527="ED_JU",Painel_diario!$J1527=1),EXP(Painel_diario!$L1527),1)-1</f>
        <v/>
      </c>
    </row>
    <row r="1532">
      <c r="A1532" s="25" t="n">
        <v>41072</v>
      </c>
      <c r="B1532" s="22">
        <f>(1+B1531)*IF(AND(Painel_diario!$H1528="EU_JD",Painel_diario!$J1528=1),EXP(Painel_diario!$L1528),1)-1</f>
        <v/>
      </c>
      <c r="C1532" s="22">
        <f>(1+C1531)*IF(AND(Painel_diario!$H1528="EU_JU",Painel_diario!$J1528=1),EXP(Painel_diario!$L1528),1)-1</f>
        <v/>
      </c>
      <c r="D1532" s="22">
        <f>(1+D1531)*IF(AND(Painel_diario!$H1528="ED_JD",Painel_diario!$J1528=1),EXP(Painel_diario!$L1528),1)-1</f>
        <v/>
      </c>
      <c r="E1532" s="22">
        <f>(1+E1531)*IF(AND(Painel_diario!$H1528="ED_JU",Painel_diario!$J1528=1),EXP(Painel_diario!$L1528),1)-1</f>
        <v/>
      </c>
    </row>
    <row r="1533">
      <c r="A1533" s="25" t="n">
        <v>41073</v>
      </c>
      <c r="B1533" s="22">
        <f>(1+B1532)*IF(AND(Painel_diario!$H1529="EU_JD",Painel_diario!$J1529=1),EXP(Painel_diario!$L1529),1)-1</f>
        <v/>
      </c>
      <c r="C1533" s="22">
        <f>(1+C1532)*IF(AND(Painel_diario!$H1529="EU_JU",Painel_diario!$J1529=1),EXP(Painel_diario!$L1529),1)-1</f>
        <v/>
      </c>
      <c r="D1533" s="22">
        <f>(1+D1532)*IF(AND(Painel_diario!$H1529="ED_JD",Painel_diario!$J1529=1),EXP(Painel_diario!$L1529),1)-1</f>
        <v/>
      </c>
      <c r="E1533" s="22">
        <f>(1+E1532)*IF(AND(Painel_diario!$H1529="ED_JU",Painel_diario!$J1529=1),EXP(Painel_diario!$L1529),1)-1</f>
        <v/>
      </c>
    </row>
    <row r="1534">
      <c r="A1534" s="25" t="n">
        <v>41074</v>
      </c>
      <c r="B1534" s="22">
        <f>(1+B1533)*IF(AND(Painel_diario!$H1530="EU_JD",Painel_diario!$J1530=1),EXP(Painel_diario!$L1530),1)-1</f>
        <v/>
      </c>
      <c r="C1534" s="22">
        <f>(1+C1533)*IF(AND(Painel_diario!$H1530="EU_JU",Painel_diario!$J1530=1),EXP(Painel_diario!$L1530),1)-1</f>
        <v/>
      </c>
      <c r="D1534" s="22">
        <f>(1+D1533)*IF(AND(Painel_diario!$H1530="ED_JD",Painel_diario!$J1530=1),EXP(Painel_diario!$L1530),1)-1</f>
        <v/>
      </c>
      <c r="E1534" s="22">
        <f>(1+E1533)*IF(AND(Painel_diario!$H1530="ED_JU",Painel_diario!$J1530=1),EXP(Painel_diario!$L1530),1)-1</f>
        <v/>
      </c>
    </row>
    <row r="1535">
      <c r="A1535" s="25" t="n">
        <v>41075</v>
      </c>
      <c r="B1535" s="22">
        <f>(1+B1534)*IF(AND(Painel_diario!$H1531="EU_JD",Painel_diario!$J1531=1),EXP(Painel_diario!$L1531),1)-1</f>
        <v/>
      </c>
      <c r="C1535" s="22">
        <f>(1+C1534)*IF(AND(Painel_diario!$H1531="EU_JU",Painel_diario!$J1531=1),EXP(Painel_diario!$L1531),1)-1</f>
        <v/>
      </c>
      <c r="D1535" s="22">
        <f>(1+D1534)*IF(AND(Painel_diario!$H1531="ED_JD",Painel_diario!$J1531=1),EXP(Painel_diario!$L1531),1)-1</f>
        <v/>
      </c>
      <c r="E1535" s="22">
        <f>(1+E1534)*IF(AND(Painel_diario!$H1531="ED_JU",Painel_diario!$J1531=1),EXP(Painel_diario!$L1531),1)-1</f>
        <v/>
      </c>
    </row>
    <row r="1536">
      <c r="A1536" s="25" t="n">
        <v>41078</v>
      </c>
      <c r="B1536" s="22">
        <f>(1+B1535)*IF(AND(Painel_diario!$H1532="EU_JD",Painel_diario!$J1532=1),EXP(Painel_diario!$L1532),1)-1</f>
        <v/>
      </c>
      <c r="C1536" s="22">
        <f>(1+C1535)*IF(AND(Painel_diario!$H1532="EU_JU",Painel_diario!$J1532=1),EXP(Painel_diario!$L1532),1)-1</f>
        <v/>
      </c>
      <c r="D1536" s="22">
        <f>(1+D1535)*IF(AND(Painel_diario!$H1532="ED_JD",Painel_diario!$J1532=1),EXP(Painel_diario!$L1532),1)-1</f>
        <v/>
      </c>
      <c r="E1536" s="22">
        <f>(1+E1535)*IF(AND(Painel_diario!$H1532="ED_JU",Painel_diario!$J1532=1),EXP(Painel_diario!$L1532),1)-1</f>
        <v/>
      </c>
    </row>
    <row r="1537">
      <c r="A1537" s="25" t="n">
        <v>41079</v>
      </c>
      <c r="B1537" s="22">
        <f>(1+B1536)*IF(AND(Painel_diario!$H1533="EU_JD",Painel_diario!$J1533=1),EXP(Painel_diario!$L1533),1)-1</f>
        <v/>
      </c>
      <c r="C1537" s="22">
        <f>(1+C1536)*IF(AND(Painel_diario!$H1533="EU_JU",Painel_diario!$J1533=1),EXP(Painel_diario!$L1533),1)-1</f>
        <v/>
      </c>
      <c r="D1537" s="22">
        <f>(1+D1536)*IF(AND(Painel_diario!$H1533="ED_JD",Painel_diario!$J1533=1),EXP(Painel_diario!$L1533),1)-1</f>
        <v/>
      </c>
      <c r="E1537" s="22">
        <f>(1+E1536)*IF(AND(Painel_diario!$H1533="ED_JU",Painel_diario!$J1533=1),EXP(Painel_diario!$L1533),1)-1</f>
        <v/>
      </c>
    </row>
    <row r="1538">
      <c r="A1538" s="25" t="n">
        <v>41080</v>
      </c>
      <c r="B1538" s="22">
        <f>(1+B1537)*IF(AND(Painel_diario!$H1534="EU_JD",Painel_diario!$J1534=1),EXP(Painel_diario!$L1534),1)-1</f>
        <v/>
      </c>
      <c r="C1538" s="22">
        <f>(1+C1537)*IF(AND(Painel_diario!$H1534="EU_JU",Painel_diario!$J1534=1),EXP(Painel_diario!$L1534),1)-1</f>
        <v/>
      </c>
      <c r="D1538" s="22">
        <f>(1+D1537)*IF(AND(Painel_diario!$H1534="ED_JD",Painel_diario!$J1534=1),EXP(Painel_diario!$L1534),1)-1</f>
        <v/>
      </c>
      <c r="E1538" s="22">
        <f>(1+E1537)*IF(AND(Painel_diario!$H1534="ED_JU",Painel_diario!$J1534=1),EXP(Painel_diario!$L1534),1)-1</f>
        <v/>
      </c>
    </row>
    <row r="1539">
      <c r="A1539" s="25" t="n">
        <v>41081</v>
      </c>
      <c r="B1539" s="22">
        <f>(1+B1538)*IF(AND(Painel_diario!$H1535="EU_JD",Painel_diario!$J1535=1),EXP(Painel_diario!$L1535),1)-1</f>
        <v/>
      </c>
      <c r="C1539" s="22">
        <f>(1+C1538)*IF(AND(Painel_diario!$H1535="EU_JU",Painel_diario!$J1535=1),EXP(Painel_diario!$L1535),1)-1</f>
        <v/>
      </c>
      <c r="D1539" s="22">
        <f>(1+D1538)*IF(AND(Painel_diario!$H1535="ED_JD",Painel_diario!$J1535=1),EXP(Painel_diario!$L1535),1)-1</f>
        <v/>
      </c>
      <c r="E1539" s="22">
        <f>(1+E1538)*IF(AND(Painel_diario!$H1535="ED_JU",Painel_diario!$J1535=1),EXP(Painel_diario!$L1535),1)-1</f>
        <v/>
      </c>
    </row>
    <row r="1540">
      <c r="A1540" s="25" t="n">
        <v>41082</v>
      </c>
      <c r="B1540" s="22">
        <f>(1+B1539)*IF(AND(Painel_diario!$H1536="EU_JD",Painel_diario!$J1536=1),EXP(Painel_diario!$L1536),1)-1</f>
        <v/>
      </c>
      <c r="C1540" s="22">
        <f>(1+C1539)*IF(AND(Painel_diario!$H1536="EU_JU",Painel_diario!$J1536=1),EXP(Painel_diario!$L1536),1)-1</f>
        <v/>
      </c>
      <c r="D1540" s="22">
        <f>(1+D1539)*IF(AND(Painel_diario!$H1536="ED_JD",Painel_diario!$J1536=1),EXP(Painel_diario!$L1536),1)-1</f>
        <v/>
      </c>
      <c r="E1540" s="22">
        <f>(1+E1539)*IF(AND(Painel_diario!$H1536="ED_JU",Painel_diario!$J1536=1),EXP(Painel_diario!$L1536),1)-1</f>
        <v/>
      </c>
    </row>
    <row r="1541">
      <c r="A1541" s="25" t="n">
        <v>41085</v>
      </c>
      <c r="B1541" s="22">
        <f>(1+B1540)*IF(AND(Painel_diario!$H1537="EU_JD",Painel_diario!$J1537=1),EXP(Painel_diario!$L1537),1)-1</f>
        <v/>
      </c>
      <c r="C1541" s="22">
        <f>(1+C1540)*IF(AND(Painel_diario!$H1537="EU_JU",Painel_diario!$J1537=1),EXP(Painel_diario!$L1537),1)-1</f>
        <v/>
      </c>
      <c r="D1541" s="22">
        <f>(1+D1540)*IF(AND(Painel_diario!$H1537="ED_JD",Painel_diario!$J1537=1),EXP(Painel_diario!$L1537),1)-1</f>
        <v/>
      </c>
      <c r="E1541" s="22">
        <f>(1+E1540)*IF(AND(Painel_diario!$H1537="ED_JU",Painel_diario!$J1537=1),EXP(Painel_diario!$L1537),1)-1</f>
        <v/>
      </c>
    </row>
    <row r="1542">
      <c r="A1542" s="25" t="n">
        <v>41086</v>
      </c>
      <c r="B1542" s="22">
        <f>(1+B1541)*IF(AND(Painel_diario!$H1538="EU_JD",Painel_diario!$J1538=1),EXP(Painel_diario!$L1538),1)-1</f>
        <v/>
      </c>
      <c r="C1542" s="22">
        <f>(1+C1541)*IF(AND(Painel_diario!$H1538="EU_JU",Painel_diario!$J1538=1),EXP(Painel_diario!$L1538),1)-1</f>
        <v/>
      </c>
      <c r="D1542" s="22">
        <f>(1+D1541)*IF(AND(Painel_diario!$H1538="ED_JD",Painel_diario!$J1538=1),EXP(Painel_diario!$L1538),1)-1</f>
        <v/>
      </c>
      <c r="E1542" s="22">
        <f>(1+E1541)*IF(AND(Painel_diario!$H1538="ED_JU",Painel_diario!$J1538=1),EXP(Painel_diario!$L1538),1)-1</f>
        <v/>
      </c>
    </row>
    <row r="1543">
      <c r="A1543" s="25" t="n">
        <v>41087</v>
      </c>
      <c r="B1543" s="22">
        <f>(1+B1542)*IF(AND(Painel_diario!$H1539="EU_JD",Painel_diario!$J1539=1),EXP(Painel_diario!$L1539),1)-1</f>
        <v/>
      </c>
      <c r="C1543" s="22">
        <f>(1+C1542)*IF(AND(Painel_diario!$H1539="EU_JU",Painel_diario!$J1539=1),EXP(Painel_diario!$L1539),1)-1</f>
        <v/>
      </c>
      <c r="D1543" s="22">
        <f>(1+D1542)*IF(AND(Painel_diario!$H1539="ED_JD",Painel_diario!$J1539=1),EXP(Painel_diario!$L1539),1)-1</f>
        <v/>
      </c>
      <c r="E1543" s="22">
        <f>(1+E1542)*IF(AND(Painel_diario!$H1539="ED_JU",Painel_diario!$J1539=1),EXP(Painel_diario!$L1539),1)-1</f>
        <v/>
      </c>
    </row>
    <row r="1544">
      <c r="A1544" s="25" t="n">
        <v>41088</v>
      </c>
      <c r="B1544" s="22">
        <f>(1+B1543)*IF(AND(Painel_diario!$H1540="EU_JD",Painel_diario!$J1540=1),EXP(Painel_diario!$L1540),1)-1</f>
        <v/>
      </c>
      <c r="C1544" s="22">
        <f>(1+C1543)*IF(AND(Painel_diario!$H1540="EU_JU",Painel_diario!$J1540=1),EXP(Painel_diario!$L1540),1)-1</f>
        <v/>
      </c>
      <c r="D1544" s="22">
        <f>(1+D1543)*IF(AND(Painel_diario!$H1540="ED_JD",Painel_diario!$J1540=1),EXP(Painel_diario!$L1540),1)-1</f>
        <v/>
      </c>
      <c r="E1544" s="22">
        <f>(1+E1543)*IF(AND(Painel_diario!$H1540="ED_JU",Painel_diario!$J1540=1),EXP(Painel_diario!$L1540),1)-1</f>
        <v/>
      </c>
    </row>
    <row r="1545">
      <c r="A1545" s="25" t="n">
        <v>41089</v>
      </c>
      <c r="B1545" s="22">
        <f>(1+B1544)*IF(AND(Painel_diario!$H1541="EU_JD",Painel_diario!$J1541=1),EXP(Painel_diario!$L1541),1)-1</f>
        <v/>
      </c>
      <c r="C1545" s="22">
        <f>(1+C1544)*IF(AND(Painel_diario!$H1541="EU_JU",Painel_diario!$J1541=1),EXP(Painel_diario!$L1541),1)-1</f>
        <v/>
      </c>
      <c r="D1545" s="22">
        <f>(1+D1544)*IF(AND(Painel_diario!$H1541="ED_JD",Painel_diario!$J1541=1),EXP(Painel_diario!$L1541),1)-1</f>
        <v/>
      </c>
      <c r="E1545" s="22">
        <f>(1+E1544)*IF(AND(Painel_diario!$H1541="ED_JU",Painel_diario!$J1541=1),EXP(Painel_diario!$L1541),1)-1</f>
        <v/>
      </c>
    </row>
    <row r="1546">
      <c r="A1546" s="25" t="n">
        <v>41092</v>
      </c>
      <c r="B1546" s="22">
        <f>(1+B1545)*IF(AND(Painel_diario!$H1542="EU_JD",Painel_diario!$J1542=1),EXP(Painel_diario!$L1542),1)-1</f>
        <v/>
      </c>
      <c r="C1546" s="22">
        <f>(1+C1545)*IF(AND(Painel_diario!$H1542="EU_JU",Painel_diario!$J1542=1),EXP(Painel_diario!$L1542),1)-1</f>
        <v/>
      </c>
      <c r="D1546" s="22">
        <f>(1+D1545)*IF(AND(Painel_diario!$H1542="ED_JD",Painel_diario!$J1542=1),EXP(Painel_diario!$L1542),1)-1</f>
        <v/>
      </c>
      <c r="E1546" s="22">
        <f>(1+E1545)*IF(AND(Painel_diario!$H1542="ED_JU",Painel_diario!$J1542=1),EXP(Painel_diario!$L1542),1)-1</f>
        <v/>
      </c>
    </row>
    <row r="1547">
      <c r="A1547" s="25" t="n">
        <v>41093</v>
      </c>
      <c r="B1547" s="22">
        <f>(1+B1546)*IF(AND(Painel_diario!$H1543="EU_JD",Painel_diario!$J1543=1),EXP(Painel_diario!$L1543),1)-1</f>
        <v/>
      </c>
      <c r="C1547" s="22">
        <f>(1+C1546)*IF(AND(Painel_diario!$H1543="EU_JU",Painel_diario!$J1543=1),EXP(Painel_diario!$L1543),1)-1</f>
        <v/>
      </c>
      <c r="D1547" s="22">
        <f>(1+D1546)*IF(AND(Painel_diario!$H1543="ED_JD",Painel_diario!$J1543=1),EXP(Painel_diario!$L1543),1)-1</f>
        <v/>
      </c>
      <c r="E1547" s="22">
        <f>(1+E1546)*IF(AND(Painel_diario!$H1543="ED_JU",Painel_diario!$J1543=1),EXP(Painel_diario!$L1543),1)-1</f>
        <v/>
      </c>
    </row>
    <row r="1548">
      <c r="A1548" s="25" t="n">
        <v>41094</v>
      </c>
      <c r="B1548" s="22">
        <f>(1+B1547)*IF(AND(Painel_diario!$H1544="EU_JD",Painel_diario!$J1544=1),EXP(Painel_diario!$L1544),1)-1</f>
        <v/>
      </c>
      <c r="C1548" s="22">
        <f>(1+C1547)*IF(AND(Painel_diario!$H1544="EU_JU",Painel_diario!$J1544=1),EXP(Painel_diario!$L1544),1)-1</f>
        <v/>
      </c>
      <c r="D1548" s="22">
        <f>(1+D1547)*IF(AND(Painel_diario!$H1544="ED_JD",Painel_diario!$J1544=1),EXP(Painel_diario!$L1544),1)-1</f>
        <v/>
      </c>
      <c r="E1548" s="22">
        <f>(1+E1547)*IF(AND(Painel_diario!$H1544="ED_JU",Painel_diario!$J1544=1),EXP(Painel_diario!$L1544),1)-1</f>
        <v/>
      </c>
    </row>
    <row r="1549">
      <c r="A1549" s="25" t="n">
        <v>41095</v>
      </c>
      <c r="B1549" s="22">
        <f>(1+B1548)*IF(AND(Painel_diario!$H1545="EU_JD",Painel_diario!$J1545=1),EXP(Painel_diario!$L1545),1)-1</f>
        <v/>
      </c>
      <c r="C1549" s="22">
        <f>(1+C1548)*IF(AND(Painel_diario!$H1545="EU_JU",Painel_diario!$J1545=1),EXP(Painel_diario!$L1545),1)-1</f>
        <v/>
      </c>
      <c r="D1549" s="22">
        <f>(1+D1548)*IF(AND(Painel_diario!$H1545="ED_JD",Painel_diario!$J1545=1),EXP(Painel_diario!$L1545),1)-1</f>
        <v/>
      </c>
      <c r="E1549" s="22">
        <f>(1+E1548)*IF(AND(Painel_diario!$H1545="ED_JU",Painel_diario!$J1545=1),EXP(Painel_diario!$L1545),1)-1</f>
        <v/>
      </c>
    </row>
    <row r="1550">
      <c r="A1550" s="25" t="n">
        <v>41096</v>
      </c>
      <c r="B1550" s="22">
        <f>(1+B1549)*IF(AND(Painel_diario!$H1546="EU_JD",Painel_diario!$J1546=1),EXP(Painel_diario!$L1546),1)-1</f>
        <v/>
      </c>
      <c r="C1550" s="22">
        <f>(1+C1549)*IF(AND(Painel_diario!$H1546="EU_JU",Painel_diario!$J1546=1),EXP(Painel_diario!$L1546),1)-1</f>
        <v/>
      </c>
      <c r="D1550" s="22">
        <f>(1+D1549)*IF(AND(Painel_diario!$H1546="ED_JD",Painel_diario!$J1546=1),EXP(Painel_diario!$L1546),1)-1</f>
        <v/>
      </c>
      <c r="E1550" s="22">
        <f>(1+E1549)*IF(AND(Painel_diario!$H1546="ED_JU",Painel_diario!$J1546=1),EXP(Painel_diario!$L1546),1)-1</f>
        <v/>
      </c>
    </row>
    <row r="1551">
      <c r="A1551" s="25" t="n">
        <v>41100</v>
      </c>
      <c r="B1551" s="22">
        <f>(1+B1550)*IF(AND(Painel_diario!$H1547="EU_JD",Painel_diario!$J1547=1),EXP(Painel_diario!$L1547),1)-1</f>
        <v/>
      </c>
      <c r="C1551" s="22">
        <f>(1+C1550)*IF(AND(Painel_diario!$H1547="EU_JU",Painel_diario!$J1547=1),EXP(Painel_diario!$L1547),1)-1</f>
        <v/>
      </c>
      <c r="D1551" s="22">
        <f>(1+D1550)*IF(AND(Painel_diario!$H1547="ED_JD",Painel_diario!$J1547=1),EXP(Painel_diario!$L1547),1)-1</f>
        <v/>
      </c>
      <c r="E1551" s="22">
        <f>(1+E1550)*IF(AND(Painel_diario!$H1547="ED_JU",Painel_diario!$J1547=1),EXP(Painel_diario!$L1547),1)-1</f>
        <v/>
      </c>
    </row>
    <row r="1552">
      <c r="A1552" s="25" t="n">
        <v>41101</v>
      </c>
      <c r="B1552" s="22">
        <f>(1+B1551)*IF(AND(Painel_diario!$H1548="EU_JD",Painel_diario!$J1548=1),EXP(Painel_diario!$L1548),1)-1</f>
        <v/>
      </c>
      <c r="C1552" s="22">
        <f>(1+C1551)*IF(AND(Painel_diario!$H1548="EU_JU",Painel_diario!$J1548=1),EXP(Painel_diario!$L1548),1)-1</f>
        <v/>
      </c>
      <c r="D1552" s="22">
        <f>(1+D1551)*IF(AND(Painel_diario!$H1548="ED_JD",Painel_diario!$J1548=1),EXP(Painel_diario!$L1548),1)-1</f>
        <v/>
      </c>
      <c r="E1552" s="22">
        <f>(1+E1551)*IF(AND(Painel_diario!$H1548="ED_JU",Painel_diario!$J1548=1),EXP(Painel_diario!$L1548),1)-1</f>
        <v/>
      </c>
    </row>
    <row r="1553">
      <c r="A1553" s="25" t="n">
        <v>41102</v>
      </c>
      <c r="B1553" s="22">
        <f>(1+B1552)*IF(AND(Painel_diario!$H1549="EU_JD",Painel_diario!$J1549=1),EXP(Painel_diario!$L1549),1)-1</f>
        <v/>
      </c>
      <c r="C1553" s="22">
        <f>(1+C1552)*IF(AND(Painel_diario!$H1549="EU_JU",Painel_diario!$J1549=1),EXP(Painel_diario!$L1549),1)-1</f>
        <v/>
      </c>
      <c r="D1553" s="22">
        <f>(1+D1552)*IF(AND(Painel_diario!$H1549="ED_JD",Painel_diario!$J1549=1),EXP(Painel_diario!$L1549),1)-1</f>
        <v/>
      </c>
      <c r="E1553" s="22">
        <f>(1+E1552)*IF(AND(Painel_diario!$H1549="ED_JU",Painel_diario!$J1549=1),EXP(Painel_diario!$L1549),1)-1</f>
        <v/>
      </c>
    </row>
    <row r="1554">
      <c r="A1554" s="25" t="n">
        <v>41103</v>
      </c>
      <c r="B1554" s="22">
        <f>(1+B1553)*IF(AND(Painel_diario!$H1550="EU_JD",Painel_diario!$J1550=1),EXP(Painel_diario!$L1550),1)-1</f>
        <v/>
      </c>
      <c r="C1554" s="22">
        <f>(1+C1553)*IF(AND(Painel_diario!$H1550="EU_JU",Painel_diario!$J1550=1),EXP(Painel_diario!$L1550),1)-1</f>
        <v/>
      </c>
      <c r="D1554" s="22">
        <f>(1+D1553)*IF(AND(Painel_diario!$H1550="ED_JD",Painel_diario!$J1550=1),EXP(Painel_diario!$L1550),1)-1</f>
        <v/>
      </c>
      <c r="E1554" s="22">
        <f>(1+E1553)*IF(AND(Painel_diario!$H1550="ED_JU",Painel_diario!$J1550=1),EXP(Painel_diario!$L1550),1)-1</f>
        <v/>
      </c>
    </row>
    <row r="1555">
      <c r="A1555" s="25" t="n">
        <v>41106</v>
      </c>
      <c r="B1555" s="22">
        <f>(1+B1554)*IF(AND(Painel_diario!$H1551="EU_JD",Painel_diario!$J1551=1),EXP(Painel_diario!$L1551),1)-1</f>
        <v/>
      </c>
      <c r="C1555" s="22">
        <f>(1+C1554)*IF(AND(Painel_diario!$H1551="EU_JU",Painel_diario!$J1551=1),EXP(Painel_diario!$L1551),1)-1</f>
        <v/>
      </c>
      <c r="D1555" s="22">
        <f>(1+D1554)*IF(AND(Painel_diario!$H1551="ED_JD",Painel_diario!$J1551=1),EXP(Painel_diario!$L1551),1)-1</f>
        <v/>
      </c>
      <c r="E1555" s="22">
        <f>(1+E1554)*IF(AND(Painel_diario!$H1551="ED_JU",Painel_diario!$J1551=1),EXP(Painel_diario!$L1551),1)-1</f>
        <v/>
      </c>
    </row>
    <row r="1556">
      <c r="A1556" s="25" t="n">
        <v>41107</v>
      </c>
      <c r="B1556" s="22">
        <f>(1+B1555)*IF(AND(Painel_diario!$H1552="EU_JD",Painel_diario!$J1552=1),EXP(Painel_diario!$L1552),1)-1</f>
        <v/>
      </c>
      <c r="C1556" s="22">
        <f>(1+C1555)*IF(AND(Painel_diario!$H1552="EU_JU",Painel_diario!$J1552=1),EXP(Painel_diario!$L1552),1)-1</f>
        <v/>
      </c>
      <c r="D1556" s="22">
        <f>(1+D1555)*IF(AND(Painel_diario!$H1552="ED_JD",Painel_diario!$J1552=1),EXP(Painel_diario!$L1552),1)-1</f>
        <v/>
      </c>
      <c r="E1556" s="22">
        <f>(1+E1555)*IF(AND(Painel_diario!$H1552="ED_JU",Painel_diario!$J1552=1),EXP(Painel_diario!$L1552),1)-1</f>
        <v/>
      </c>
    </row>
    <row r="1557">
      <c r="A1557" s="25" t="n">
        <v>41108</v>
      </c>
      <c r="B1557" s="22">
        <f>(1+B1556)*IF(AND(Painel_diario!$H1553="EU_JD",Painel_diario!$J1553=1),EXP(Painel_diario!$L1553),1)-1</f>
        <v/>
      </c>
      <c r="C1557" s="22">
        <f>(1+C1556)*IF(AND(Painel_diario!$H1553="EU_JU",Painel_diario!$J1553=1),EXP(Painel_diario!$L1553),1)-1</f>
        <v/>
      </c>
      <c r="D1557" s="22">
        <f>(1+D1556)*IF(AND(Painel_diario!$H1553="ED_JD",Painel_diario!$J1553=1),EXP(Painel_diario!$L1553),1)-1</f>
        <v/>
      </c>
      <c r="E1557" s="22">
        <f>(1+E1556)*IF(AND(Painel_diario!$H1553="ED_JU",Painel_diario!$J1553=1),EXP(Painel_diario!$L1553),1)-1</f>
        <v/>
      </c>
    </row>
    <row r="1558">
      <c r="A1558" s="25" t="n">
        <v>41109</v>
      </c>
      <c r="B1558" s="22">
        <f>(1+B1557)*IF(AND(Painel_diario!$H1554="EU_JD",Painel_diario!$J1554=1),EXP(Painel_diario!$L1554),1)-1</f>
        <v/>
      </c>
      <c r="C1558" s="22">
        <f>(1+C1557)*IF(AND(Painel_diario!$H1554="EU_JU",Painel_diario!$J1554=1),EXP(Painel_diario!$L1554),1)-1</f>
        <v/>
      </c>
      <c r="D1558" s="22">
        <f>(1+D1557)*IF(AND(Painel_diario!$H1554="ED_JD",Painel_diario!$J1554=1),EXP(Painel_diario!$L1554),1)-1</f>
        <v/>
      </c>
      <c r="E1558" s="22">
        <f>(1+E1557)*IF(AND(Painel_diario!$H1554="ED_JU",Painel_diario!$J1554=1),EXP(Painel_diario!$L1554),1)-1</f>
        <v/>
      </c>
    </row>
    <row r="1559">
      <c r="A1559" s="25" t="n">
        <v>41110</v>
      </c>
      <c r="B1559" s="22">
        <f>(1+B1558)*IF(AND(Painel_diario!$H1555="EU_JD",Painel_diario!$J1555=1),EXP(Painel_diario!$L1555),1)-1</f>
        <v/>
      </c>
      <c r="C1559" s="22">
        <f>(1+C1558)*IF(AND(Painel_diario!$H1555="EU_JU",Painel_diario!$J1555=1),EXP(Painel_diario!$L1555),1)-1</f>
        <v/>
      </c>
      <c r="D1559" s="22">
        <f>(1+D1558)*IF(AND(Painel_diario!$H1555="ED_JD",Painel_diario!$J1555=1),EXP(Painel_diario!$L1555),1)-1</f>
        <v/>
      </c>
      <c r="E1559" s="22">
        <f>(1+E1558)*IF(AND(Painel_diario!$H1555="ED_JU",Painel_diario!$J1555=1),EXP(Painel_diario!$L1555),1)-1</f>
        <v/>
      </c>
    </row>
    <row r="1560">
      <c r="A1560" s="25" t="n">
        <v>41113</v>
      </c>
      <c r="B1560" s="22">
        <f>(1+B1559)*IF(AND(Painel_diario!$H1556="EU_JD",Painel_diario!$J1556=1),EXP(Painel_diario!$L1556),1)-1</f>
        <v/>
      </c>
      <c r="C1560" s="22">
        <f>(1+C1559)*IF(AND(Painel_diario!$H1556="EU_JU",Painel_diario!$J1556=1),EXP(Painel_diario!$L1556),1)-1</f>
        <v/>
      </c>
      <c r="D1560" s="22">
        <f>(1+D1559)*IF(AND(Painel_diario!$H1556="ED_JD",Painel_diario!$J1556=1),EXP(Painel_diario!$L1556),1)-1</f>
        <v/>
      </c>
      <c r="E1560" s="22">
        <f>(1+E1559)*IF(AND(Painel_diario!$H1556="ED_JU",Painel_diario!$J1556=1),EXP(Painel_diario!$L1556),1)-1</f>
        <v/>
      </c>
    </row>
    <row r="1561">
      <c r="A1561" s="25" t="n">
        <v>41114</v>
      </c>
      <c r="B1561" s="22">
        <f>(1+B1560)*IF(AND(Painel_diario!$H1557="EU_JD",Painel_diario!$J1557=1),EXP(Painel_diario!$L1557),1)-1</f>
        <v/>
      </c>
      <c r="C1561" s="22">
        <f>(1+C1560)*IF(AND(Painel_diario!$H1557="EU_JU",Painel_diario!$J1557=1),EXP(Painel_diario!$L1557),1)-1</f>
        <v/>
      </c>
      <c r="D1561" s="22">
        <f>(1+D1560)*IF(AND(Painel_diario!$H1557="ED_JD",Painel_diario!$J1557=1),EXP(Painel_diario!$L1557),1)-1</f>
        <v/>
      </c>
      <c r="E1561" s="22">
        <f>(1+E1560)*IF(AND(Painel_diario!$H1557="ED_JU",Painel_diario!$J1557=1),EXP(Painel_diario!$L1557),1)-1</f>
        <v/>
      </c>
    </row>
    <row r="1562">
      <c r="A1562" s="25" t="n">
        <v>41115</v>
      </c>
      <c r="B1562" s="22">
        <f>(1+B1561)*IF(AND(Painel_diario!$H1558="EU_JD",Painel_diario!$J1558=1),EXP(Painel_diario!$L1558),1)-1</f>
        <v/>
      </c>
      <c r="C1562" s="22">
        <f>(1+C1561)*IF(AND(Painel_diario!$H1558="EU_JU",Painel_diario!$J1558=1),EXP(Painel_diario!$L1558),1)-1</f>
        <v/>
      </c>
      <c r="D1562" s="22">
        <f>(1+D1561)*IF(AND(Painel_diario!$H1558="ED_JD",Painel_diario!$J1558=1),EXP(Painel_diario!$L1558),1)-1</f>
        <v/>
      </c>
      <c r="E1562" s="22">
        <f>(1+E1561)*IF(AND(Painel_diario!$H1558="ED_JU",Painel_diario!$J1558=1),EXP(Painel_diario!$L1558),1)-1</f>
        <v/>
      </c>
    </row>
    <row r="1563">
      <c r="A1563" s="25" t="n">
        <v>41116</v>
      </c>
      <c r="B1563" s="22">
        <f>(1+B1562)*IF(AND(Painel_diario!$H1559="EU_JD",Painel_diario!$J1559=1),EXP(Painel_diario!$L1559),1)-1</f>
        <v/>
      </c>
      <c r="C1563" s="22">
        <f>(1+C1562)*IF(AND(Painel_diario!$H1559="EU_JU",Painel_diario!$J1559=1),EXP(Painel_diario!$L1559),1)-1</f>
        <v/>
      </c>
      <c r="D1563" s="22">
        <f>(1+D1562)*IF(AND(Painel_diario!$H1559="ED_JD",Painel_diario!$J1559=1),EXP(Painel_diario!$L1559),1)-1</f>
        <v/>
      </c>
      <c r="E1563" s="22">
        <f>(1+E1562)*IF(AND(Painel_diario!$H1559="ED_JU",Painel_diario!$J1559=1),EXP(Painel_diario!$L1559),1)-1</f>
        <v/>
      </c>
    </row>
    <row r="1564">
      <c r="A1564" s="25" t="n">
        <v>41117</v>
      </c>
      <c r="B1564" s="22">
        <f>(1+B1563)*IF(AND(Painel_diario!$H1560="EU_JD",Painel_diario!$J1560=1),EXP(Painel_diario!$L1560),1)-1</f>
        <v/>
      </c>
      <c r="C1564" s="22">
        <f>(1+C1563)*IF(AND(Painel_diario!$H1560="EU_JU",Painel_diario!$J1560=1),EXP(Painel_diario!$L1560),1)-1</f>
        <v/>
      </c>
      <c r="D1564" s="22">
        <f>(1+D1563)*IF(AND(Painel_diario!$H1560="ED_JD",Painel_diario!$J1560=1),EXP(Painel_diario!$L1560),1)-1</f>
        <v/>
      </c>
      <c r="E1564" s="22">
        <f>(1+E1563)*IF(AND(Painel_diario!$H1560="ED_JU",Painel_diario!$J1560=1),EXP(Painel_diario!$L1560),1)-1</f>
        <v/>
      </c>
    </row>
    <row r="1565">
      <c r="A1565" s="25" t="n">
        <v>41120</v>
      </c>
      <c r="B1565" s="22">
        <f>(1+B1564)*IF(AND(Painel_diario!$H1561="EU_JD",Painel_diario!$J1561=1),EXP(Painel_diario!$L1561),1)-1</f>
        <v/>
      </c>
      <c r="C1565" s="22">
        <f>(1+C1564)*IF(AND(Painel_diario!$H1561="EU_JU",Painel_diario!$J1561=1),EXP(Painel_diario!$L1561),1)-1</f>
        <v/>
      </c>
      <c r="D1565" s="22">
        <f>(1+D1564)*IF(AND(Painel_diario!$H1561="ED_JD",Painel_diario!$J1561=1),EXP(Painel_diario!$L1561),1)-1</f>
        <v/>
      </c>
      <c r="E1565" s="22">
        <f>(1+E1564)*IF(AND(Painel_diario!$H1561="ED_JU",Painel_diario!$J1561=1),EXP(Painel_diario!$L1561),1)-1</f>
        <v/>
      </c>
    </row>
    <row r="1566">
      <c r="A1566" s="25" t="n">
        <v>41121</v>
      </c>
      <c r="B1566" s="22">
        <f>(1+B1565)*IF(AND(Painel_diario!$H1562="EU_JD",Painel_diario!$J1562=1),EXP(Painel_diario!$L1562),1)-1</f>
        <v/>
      </c>
      <c r="C1566" s="22">
        <f>(1+C1565)*IF(AND(Painel_diario!$H1562="EU_JU",Painel_diario!$J1562=1),EXP(Painel_diario!$L1562),1)-1</f>
        <v/>
      </c>
      <c r="D1566" s="22">
        <f>(1+D1565)*IF(AND(Painel_diario!$H1562="ED_JD",Painel_diario!$J1562=1),EXP(Painel_diario!$L1562),1)-1</f>
        <v/>
      </c>
      <c r="E1566" s="22">
        <f>(1+E1565)*IF(AND(Painel_diario!$H1562="ED_JU",Painel_diario!$J1562=1),EXP(Painel_diario!$L1562),1)-1</f>
        <v/>
      </c>
    </row>
    <row r="1567">
      <c r="A1567" s="25" t="n">
        <v>41122</v>
      </c>
      <c r="B1567" s="22">
        <f>(1+B1566)*IF(AND(Painel_diario!$H1563="EU_JD",Painel_diario!$J1563=1),EXP(Painel_diario!$L1563),1)-1</f>
        <v/>
      </c>
      <c r="C1567" s="22">
        <f>(1+C1566)*IF(AND(Painel_diario!$H1563="EU_JU",Painel_diario!$J1563=1),EXP(Painel_diario!$L1563),1)-1</f>
        <v/>
      </c>
      <c r="D1567" s="22">
        <f>(1+D1566)*IF(AND(Painel_diario!$H1563="ED_JD",Painel_diario!$J1563=1),EXP(Painel_diario!$L1563),1)-1</f>
        <v/>
      </c>
      <c r="E1567" s="22">
        <f>(1+E1566)*IF(AND(Painel_diario!$H1563="ED_JU",Painel_diario!$J1563=1),EXP(Painel_diario!$L1563),1)-1</f>
        <v/>
      </c>
    </row>
    <row r="1568">
      <c r="A1568" s="25" t="n">
        <v>41123</v>
      </c>
      <c r="B1568" s="22">
        <f>(1+B1567)*IF(AND(Painel_diario!$H1564="EU_JD",Painel_diario!$J1564=1),EXP(Painel_diario!$L1564),1)-1</f>
        <v/>
      </c>
      <c r="C1568" s="22">
        <f>(1+C1567)*IF(AND(Painel_diario!$H1564="EU_JU",Painel_diario!$J1564=1),EXP(Painel_diario!$L1564),1)-1</f>
        <v/>
      </c>
      <c r="D1568" s="22">
        <f>(1+D1567)*IF(AND(Painel_diario!$H1564="ED_JD",Painel_diario!$J1564=1),EXP(Painel_diario!$L1564),1)-1</f>
        <v/>
      </c>
      <c r="E1568" s="22">
        <f>(1+E1567)*IF(AND(Painel_diario!$H1564="ED_JU",Painel_diario!$J1564=1),EXP(Painel_diario!$L1564),1)-1</f>
        <v/>
      </c>
    </row>
    <row r="1569">
      <c r="A1569" s="25" t="n">
        <v>41124</v>
      </c>
      <c r="B1569" s="22">
        <f>(1+B1568)*IF(AND(Painel_diario!$H1565="EU_JD",Painel_diario!$J1565=1),EXP(Painel_diario!$L1565),1)-1</f>
        <v/>
      </c>
      <c r="C1569" s="22">
        <f>(1+C1568)*IF(AND(Painel_diario!$H1565="EU_JU",Painel_diario!$J1565=1),EXP(Painel_diario!$L1565),1)-1</f>
        <v/>
      </c>
      <c r="D1569" s="22">
        <f>(1+D1568)*IF(AND(Painel_diario!$H1565="ED_JD",Painel_diario!$J1565=1),EXP(Painel_diario!$L1565),1)-1</f>
        <v/>
      </c>
      <c r="E1569" s="22">
        <f>(1+E1568)*IF(AND(Painel_diario!$H1565="ED_JU",Painel_diario!$J1565=1),EXP(Painel_diario!$L1565),1)-1</f>
        <v/>
      </c>
    </row>
    <row r="1570">
      <c r="A1570" s="25" t="n">
        <v>41127</v>
      </c>
      <c r="B1570" s="22">
        <f>(1+B1569)*IF(AND(Painel_diario!$H1566="EU_JD",Painel_diario!$J1566=1),EXP(Painel_diario!$L1566),1)-1</f>
        <v/>
      </c>
      <c r="C1570" s="22">
        <f>(1+C1569)*IF(AND(Painel_diario!$H1566="EU_JU",Painel_diario!$J1566=1),EXP(Painel_diario!$L1566),1)-1</f>
        <v/>
      </c>
      <c r="D1570" s="22">
        <f>(1+D1569)*IF(AND(Painel_diario!$H1566="ED_JD",Painel_diario!$J1566=1),EXP(Painel_diario!$L1566),1)-1</f>
        <v/>
      </c>
      <c r="E1570" s="22">
        <f>(1+E1569)*IF(AND(Painel_diario!$H1566="ED_JU",Painel_diario!$J1566=1),EXP(Painel_diario!$L1566),1)-1</f>
        <v/>
      </c>
    </row>
    <row r="1571">
      <c r="A1571" s="25" t="n">
        <v>41128</v>
      </c>
      <c r="B1571" s="22">
        <f>(1+B1570)*IF(AND(Painel_diario!$H1567="EU_JD",Painel_diario!$J1567=1),EXP(Painel_diario!$L1567),1)-1</f>
        <v/>
      </c>
      <c r="C1571" s="22">
        <f>(1+C1570)*IF(AND(Painel_diario!$H1567="EU_JU",Painel_diario!$J1567=1),EXP(Painel_diario!$L1567),1)-1</f>
        <v/>
      </c>
      <c r="D1571" s="22">
        <f>(1+D1570)*IF(AND(Painel_diario!$H1567="ED_JD",Painel_diario!$J1567=1),EXP(Painel_diario!$L1567),1)-1</f>
        <v/>
      </c>
      <c r="E1571" s="22">
        <f>(1+E1570)*IF(AND(Painel_diario!$H1567="ED_JU",Painel_diario!$J1567=1),EXP(Painel_diario!$L1567),1)-1</f>
        <v/>
      </c>
    </row>
    <row r="1572">
      <c r="A1572" s="25" t="n">
        <v>41129</v>
      </c>
      <c r="B1572" s="22">
        <f>(1+B1571)*IF(AND(Painel_diario!$H1568="EU_JD",Painel_diario!$J1568=1),EXP(Painel_diario!$L1568),1)-1</f>
        <v/>
      </c>
      <c r="C1572" s="22">
        <f>(1+C1571)*IF(AND(Painel_diario!$H1568="EU_JU",Painel_diario!$J1568=1),EXP(Painel_diario!$L1568),1)-1</f>
        <v/>
      </c>
      <c r="D1572" s="22">
        <f>(1+D1571)*IF(AND(Painel_diario!$H1568="ED_JD",Painel_diario!$J1568=1),EXP(Painel_diario!$L1568),1)-1</f>
        <v/>
      </c>
      <c r="E1572" s="22">
        <f>(1+E1571)*IF(AND(Painel_diario!$H1568="ED_JU",Painel_diario!$J1568=1),EXP(Painel_diario!$L1568),1)-1</f>
        <v/>
      </c>
    </row>
    <row r="1573">
      <c r="A1573" s="25" t="n">
        <v>41130</v>
      </c>
      <c r="B1573" s="22">
        <f>(1+B1572)*IF(AND(Painel_diario!$H1569="EU_JD",Painel_diario!$J1569=1),EXP(Painel_diario!$L1569),1)-1</f>
        <v/>
      </c>
      <c r="C1573" s="22">
        <f>(1+C1572)*IF(AND(Painel_diario!$H1569="EU_JU",Painel_diario!$J1569=1),EXP(Painel_diario!$L1569),1)-1</f>
        <v/>
      </c>
      <c r="D1573" s="22">
        <f>(1+D1572)*IF(AND(Painel_diario!$H1569="ED_JD",Painel_diario!$J1569=1),EXP(Painel_diario!$L1569),1)-1</f>
        <v/>
      </c>
      <c r="E1573" s="22">
        <f>(1+E1572)*IF(AND(Painel_diario!$H1569="ED_JU",Painel_diario!$J1569=1),EXP(Painel_diario!$L1569),1)-1</f>
        <v/>
      </c>
    </row>
    <row r="1574">
      <c r="A1574" s="25" t="n">
        <v>41131</v>
      </c>
      <c r="B1574" s="22">
        <f>(1+B1573)*IF(AND(Painel_diario!$H1570="EU_JD",Painel_diario!$J1570=1),EXP(Painel_diario!$L1570),1)-1</f>
        <v/>
      </c>
      <c r="C1574" s="22">
        <f>(1+C1573)*IF(AND(Painel_diario!$H1570="EU_JU",Painel_diario!$J1570=1),EXP(Painel_diario!$L1570),1)-1</f>
        <v/>
      </c>
      <c r="D1574" s="22">
        <f>(1+D1573)*IF(AND(Painel_diario!$H1570="ED_JD",Painel_diario!$J1570=1),EXP(Painel_diario!$L1570),1)-1</f>
        <v/>
      </c>
      <c r="E1574" s="22">
        <f>(1+E1573)*IF(AND(Painel_diario!$H1570="ED_JU",Painel_diario!$J1570=1),EXP(Painel_diario!$L1570),1)-1</f>
        <v/>
      </c>
    </row>
    <row r="1575">
      <c r="A1575" s="25" t="n">
        <v>41134</v>
      </c>
      <c r="B1575" s="22">
        <f>(1+B1574)*IF(AND(Painel_diario!$H1571="EU_JD",Painel_diario!$J1571=1),EXP(Painel_diario!$L1571),1)-1</f>
        <v/>
      </c>
      <c r="C1575" s="22">
        <f>(1+C1574)*IF(AND(Painel_diario!$H1571="EU_JU",Painel_diario!$J1571=1),EXP(Painel_diario!$L1571),1)-1</f>
        <v/>
      </c>
      <c r="D1575" s="22">
        <f>(1+D1574)*IF(AND(Painel_diario!$H1571="ED_JD",Painel_diario!$J1571=1),EXP(Painel_diario!$L1571),1)-1</f>
        <v/>
      </c>
      <c r="E1575" s="22">
        <f>(1+E1574)*IF(AND(Painel_diario!$H1571="ED_JU",Painel_diario!$J1571=1),EXP(Painel_diario!$L1571),1)-1</f>
        <v/>
      </c>
    </row>
    <row r="1576">
      <c r="A1576" s="25" t="n">
        <v>41135</v>
      </c>
      <c r="B1576" s="22">
        <f>(1+B1575)*IF(AND(Painel_diario!$H1572="EU_JD",Painel_diario!$J1572=1),EXP(Painel_diario!$L1572),1)-1</f>
        <v/>
      </c>
      <c r="C1576" s="22">
        <f>(1+C1575)*IF(AND(Painel_diario!$H1572="EU_JU",Painel_diario!$J1572=1),EXP(Painel_diario!$L1572),1)-1</f>
        <v/>
      </c>
      <c r="D1576" s="22">
        <f>(1+D1575)*IF(AND(Painel_diario!$H1572="ED_JD",Painel_diario!$J1572=1),EXP(Painel_diario!$L1572),1)-1</f>
        <v/>
      </c>
      <c r="E1576" s="22">
        <f>(1+E1575)*IF(AND(Painel_diario!$H1572="ED_JU",Painel_diario!$J1572=1),EXP(Painel_diario!$L1572),1)-1</f>
        <v/>
      </c>
    </row>
    <row r="1577">
      <c r="A1577" s="25" t="n">
        <v>41136</v>
      </c>
      <c r="B1577" s="22">
        <f>(1+B1576)*IF(AND(Painel_diario!$H1573="EU_JD",Painel_diario!$J1573=1),EXP(Painel_diario!$L1573),1)-1</f>
        <v/>
      </c>
      <c r="C1577" s="22">
        <f>(1+C1576)*IF(AND(Painel_diario!$H1573="EU_JU",Painel_diario!$J1573=1),EXP(Painel_diario!$L1573),1)-1</f>
        <v/>
      </c>
      <c r="D1577" s="22">
        <f>(1+D1576)*IF(AND(Painel_diario!$H1573="ED_JD",Painel_diario!$J1573=1),EXP(Painel_diario!$L1573),1)-1</f>
        <v/>
      </c>
      <c r="E1577" s="22">
        <f>(1+E1576)*IF(AND(Painel_diario!$H1573="ED_JU",Painel_diario!$J1573=1),EXP(Painel_diario!$L1573),1)-1</f>
        <v/>
      </c>
    </row>
    <row r="1578">
      <c r="A1578" s="25" t="n">
        <v>41137</v>
      </c>
      <c r="B1578" s="22">
        <f>(1+B1577)*IF(AND(Painel_diario!$H1574="EU_JD",Painel_diario!$J1574=1),EXP(Painel_diario!$L1574),1)-1</f>
        <v/>
      </c>
      <c r="C1578" s="22">
        <f>(1+C1577)*IF(AND(Painel_diario!$H1574="EU_JU",Painel_diario!$J1574=1),EXP(Painel_diario!$L1574),1)-1</f>
        <v/>
      </c>
      <c r="D1578" s="22">
        <f>(1+D1577)*IF(AND(Painel_diario!$H1574="ED_JD",Painel_diario!$J1574=1),EXP(Painel_diario!$L1574),1)-1</f>
        <v/>
      </c>
      <c r="E1578" s="22">
        <f>(1+E1577)*IF(AND(Painel_diario!$H1574="ED_JU",Painel_diario!$J1574=1),EXP(Painel_diario!$L1574),1)-1</f>
        <v/>
      </c>
    </row>
    <row r="1579">
      <c r="A1579" s="25" t="n">
        <v>41138</v>
      </c>
      <c r="B1579" s="22">
        <f>(1+B1578)*IF(AND(Painel_diario!$H1575="EU_JD",Painel_diario!$J1575=1),EXP(Painel_diario!$L1575),1)-1</f>
        <v/>
      </c>
      <c r="C1579" s="22">
        <f>(1+C1578)*IF(AND(Painel_diario!$H1575="EU_JU",Painel_diario!$J1575=1),EXP(Painel_diario!$L1575),1)-1</f>
        <v/>
      </c>
      <c r="D1579" s="22">
        <f>(1+D1578)*IF(AND(Painel_diario!$H1575="ED_JD",Painel_diario!$J1575=1),EXP(Painel_diario!$L1575),1)-1</f>
        <v/>
      </c>
      <c r="E1579" s="22">
        <f>(1+E1578)*IF(AND(Painel_diario!$H1575="ED_JU",Painel_diario!$J1575=1),EXP(Painel_diario!$L1575),1)-1</f>
        <v/>
      </c>
    </row>
    <row r="1580">
      <c r="A1580" s="25" t="n">
        <v>41141</v>
      </c>
      <c r="B1580" s="22">
        <f>(1+B1579)*IF(AND(Painel_diario!$H1576="EU_JD",Painel_diario!$J1576=1),EXP(Painel_diario!$L1576),1)-1</f>
        <v/>
      </c>
      <c r="C1580" s="22">
        <f>(1+C1579)*IF(AND(Painel_diario!$H1576="EU_JU",Painel_diario!$J1576=1),EXP(Painel_diario!$L1576),1)-1</f>
        <v/>
      </c>
      <c r="D1580" s="22">
        <f>(1+D1579)*IF(AND(Painel_diario!$H1576="ED_JD",Painel_diario!$J1576=1),EXP(Painel_diario!$L1576),1)-1</f>
        <v/>
      </c>
      <c r="E1580" s="22">
        <f>(1+E1579)*IF(AND(Painel_diario!$H1576="ED_JU",Painel_diario!$J1576=1),EXP(Painel_diario!$L1576),1)-1</f>
        <v/>
      </c>
    </row>
    <row r="1581">
      <c r="A1581" s="25" t="n">
        <v>41142</v>
      </c>
      <c r="B1581" s="22">
        <f>(1+B1580)*IF(AND(Painel_diario!$H1577="EU_JD",Painel_diario!$J1577=1),EXP(Painel_diario!$L1577),1)-1</f>
        <v/>
      </c>
      <c r="C1581" s="22">
        <f>(1+C1580)*IF(AND(Painel_diario!$H1577="EU_JU",Painel_diario!$J1577=1),EXP(Painel_diario!$L1577),1)-1</f>
        <v/>
      </c>
      <c r="D1581" s="22">
        <f>(1+D1580)*IF(AND(Painel_diario!$H1577="ED_JD",Painel_diario!$J1577=1),EXP(Painel_diario!$L1577),1)-1</f>
        <v/>
      </c>
      <c r="E1581" s="22">
        <f>(1+E1580)*IF(AND(Painel_diario!$H1577="ED_JU",Painel_diario!$J1577=1),EXP(Painel_diario!$L1577),1)-1</f>
        <v/>
      </c>
    </row>
    <row r="1582">
      <c r="A1582" s="25" t="n">
        <v>41143</v>
      </c>
      <c r="B1582" s="22">
        <f>(1+B1581)*IF(AND(Painel_diario!$H1578="EU_JD",Painel_diario!$J1578=1),EXP(Painel_diario!$L1578),1)-1</f>
        <v/>
      </c>
      <c r="C1582" s="22">
        <f>(1+C1581)*IF(AND(Painel_diario!$H1578="EU_JU",Painel_diario!$J1578=1),EXP(Painel_diario!$L1578),1)-1</f>
        <v/>
      </c>
      <c r="D1582" s="22">
        <f>(1+D1581)*IF(AND(Painel_diario!$H1578="ED_JD",Painel_diario!$J1578=1),EXP(Painel_diario!$L1578),1)-1</f>
        <v/>
      </c>
      <c r="E1582" s="22">
        <f>(1+E1581)*IF(AND(Painel_diario!$H1578="ED_JU",Painel_diario!$J1578=1),EXP(Painel_diario!$L1578),1)-1</f>
        <v/>
      </c>
    </row>
    <row r="1583">
      <c r="A1583" s="25" t="n">
        <v>41144</v>
      </c>
      <c r="B1583" s="22">
        <f>(1+B1582)*IF(AND(Painel_diario!$H1579="EU_JD",Painel_diario!$J1579=1),EXP(Painel_diario!$L1579),1)-1</f>
        <v/>
      </c>
      <c r="C1583" s="22">
        <f>(1+C1582)*IF(AND(Painel_diario!$H1579="EU_JU",Painel_diario!$J1579=1),EXP(Painel_diario!$L1579),1)-1</f>
        <v/>
      </c>
      <c r="D1583" s="22">
        <f>(1+D1582)*IF(AND(Painel_diario!$H1579="ED_JD",Painel_diario!$J1579=1),EXP(Painel_diario!$L1579),1)-1</f>
        <v/>
      </c>
      <c r="E1583" s="22">
        <f>(1+E1582)*IF(AND(Painel_diario!$H1579="ED_JU",Painel_diario!$J1579=1),EXP(Painel_diario!$L1579),1)-1</f>
        <v/>
      </c>
    </row>
    <row r="1584">
      <c r="A1584" s="25" t="n">
        <v>41145</v>
      </c>
      <c r="B1584" s="22">
        <f>(1+B1583)*IF(AND(Painel_diario!$H1580="EU_JD",Painel_diario!$J1580=1),EXP(Painel_diario!$L1580),1)-1</f>
        <v/>
      </c>
      <c r="C1584" s="22">
        <f>(1+C1583)*IF(AND(Painel_diario!$H1580="EU_JU",Painel_diario!$J1580=1),EXP(Painel_diario!$L1580),1)-1</f>
        <v/>
      </c>
      <c r="D1584" s="22">
        <f>(1+D1583)*IF(AND(Painel_diario!$H1580="ED_JD",Painel_diario!$J1580=1),EXP(Painel_diario!$L1580),1)-1</f>
        <v/>
      </c>
      <c r="E1584" s="22">
        <f>(1+E1583)*IF(AND(Painel_diario!$H1580="ED_JU",Painel_diario!$J1580=1),EXP(Painel_diario!$L1580),1)-1</f>
        <v/>
      </c>
    </row>
    <row r="1585">
      <c r="A1585" s="25" t="n">
        <v>41148</v>
      </c>
      <c r="B1585" s="22">
        <f>(1+B1584)*IF(AND(Painel_diario!$H1581="EU_JD",Painel_diario!$J1581=1),EXP(Painel_diario!$L1581),1)-1</f>
        <v/>
      </c>
      <c r="C1585" s="22">
        <f>(1+C1584)*IF(AND(Painel_diario!$H1581="EU_JU",Painel_diario!$J1581=1),EXP(Painel_diario!$L1581),1)-1</f>
        <v/>
      </c>
      <c r="D1585" s="22">
        <f>(1+D1584)*IF(AND(Painel_diario!$H1581="ED_JD",Painel_diario!$J1581=1),EXP(Painel_diario!$L1581),1)-1</f>
        <v/>
      </c>
      <c r="E1585" s="22">
        <f>(1+E1584)*IF(AND(Painel_diario!$H1581="ED_JU",Painel_diario!$J1581=1),EXP(Painel_diario!$L1581),1)-1</f>
        <v/>
      </c>
    </row>
    <row r="1586">
      <c r="A1586" s="25" t="n">
        <v>41149</v>
      </c>
      <c r="B1586" s="22">
        <f>(1+B1585)*IF(AND(Painel_diario!$H1582="EU_JD",Painel_diario!$J1582=1),EXP(Painel_diario!$L1582),1)-1</f>
        <v/>
      </c>
      <c r="C1586" s="22">
        <f>(1+C1585)*IF(AND(Painel_diario!$H1582="EU_JU",Painel_diario!$J1582=1),EXP(Painel_diario!$L1582),1)-1</f>
        <v/>
      </c>
      <c r="D1586" s="22">
        <f>(1+D1585)*IF(AND(Painel_diario!$H1582="ED_JD",Painel_diario!$J1582=1),EXP(Painel_diario!$L1582),1)-1</f>
        <v/>
      </c>
      <c r="E1586" s="22">
        <f>(1+E1585)*IF(AND(Painel_diario!$H1582="ED_JU",Painel_diario!$J1582=1),EXP(Painel_diario!$L1582),1)-1</f>
        <v/>
      </c>
    </row>
    <row r="1587">
      <c r="A1587" s="25" t="n">
        <v>41150</v>
      </c>
      <c r="B1587" s="22">
        <f>(1+B1586)*IF(AND(Painel_diario!$H1583="EU_JD",Painel_diario!$J1583=1),EXP(Painel_diario!$L1583),1)-1</f>
        <v/>
      </c>
      <c r="C1587" s="22">
        <f>(1+C1586)*IF(AND(Painel_diario!$H1583="EU_JU",Painel_diario!$J1583=1),EXP(Painel_diario!$L1583),1)-1</f>
        <v/>
      </c>
      <c r="D1587" s="22">
        <f>(1+D1586)*IF(AND(Painel_diario!$H1583="ED_JD",Painel_diario!$J1583=1),EXP(Painel_diario!$L1583),1)-1</f>
        <v/>
      </c>
      <c r="E1587" s="22">
        <f>(1+E1586)*IF(AND(Painel_diario!$H1583="ED_JU",Painel_diario!$J1583=1),EXP(Painel_diario!$L1583),1)-1</f>
        <v/>
      </c>
    </row>
    <row r="1588">
      <c r="A1588" s="25" t="n">
        <v>41151</v>
      </c>
      <c r="B1588" s="22">
        <f>(1+B1587)*IF(AND(Painel_diario!$H1584="EU_JD",Painel_diario!$J1584=1),EXP(Painel_diario!$L1584),1)-1</f>
        <v/>
      </c>
      <c r="C1588" s="22">
        <f>(1+C1587)*IF(AND(Painel_diario!$H1584="EU_JU",Painel_diario!$J1584=1),EXP(Painel_diario!$L1584),1)-1</f>
        <v/>
      </c>
      <c r="D1588" s="22">
        <f>(1+D1587)*IF(AND(Painel_diario!$H1584="ED_JD",Painel_diario!$J1584=1),EXP(Painel_diario!$L1584),1)-1</f>
        <v/>
      </c>
      <c r="E1588" s="22">
        <f>(1+E1587)*IF(AND(Painel_diario!$H1584="ED_JU",Painel_diario!$J1584=1),EXP(Painel_diario!$L1584),1)-1</f>
        <v/>
      </c>
    </row>
    <row r="1589">
      <c r="A1589" s="25" t="n">
        <v>41152</v>
      </c>
      <c r="B1589" s="22">
        <f>(1+B1588)*IF(AND(Painel_diario!$H1585="EU_JD",Painel_diario!$J1585=1),EXP(Painel_diario!$L1585),1)-1</f>
        <v/>
      </c>
      <c r="C1589" s="22">
        <f>(1+C1588)*IF(AND(Painel_diario!$H1585="EU_JU",Painel_diario!$J1585=1),EXP(Painel_diario!$L1585),1)-1</f>
        <v/>
      </c>
      <c r="D1589" s="22">
        <f>(1+D1588)*IF(AND(Painel_diario!$H1585="ED_JD",Painel_diario!$J1585=1),EXP(Painel_diario!$L1585),1)-1</f>
        <v/>
      </c>
      <c r="E1589" s="22">
        <f>(1+E1588)*IF(AND(Painel_diario!$H1585="ED_JU",Painel_diario!$J1585=1),EXP(Painel_diario!$L1585),1)-1</f>
        <v/>
      </c>
    </row>
    <row r="1590">
      <c r="A1590" s="25" t="n">
        <v>41155</v>
      </c>
      <c r="B1590" s="22">
        <f>(1+B1589)*IF(AND(Painel_diario!$H1586="EU_JD",Painel_diario!$J1586=1),EXP(Painel_diario!$L1586),1)-1</f>
        <v/>
      </c>
      <c r="C1590" s="22">
        <f>(1+C1589)*IF(AND(Painel_diario!$H1586="EU_JU",Painel_diario!$J1586=1),EXP(Painel_diario!$L1586),1)-1</f>
        <v/>
      </c>
      <c r="D1590" s="22">
        <f>(1+D1589)*IF(AND(Painel_diario!$H1586="ED_JD",Painel_diario!$J1586=1),EXP(Painel_diario!$L1586),1)-1</f>
        <v/>
      </c>
      <c r="E1590" s="22">
        <f>(1+E1589)*IF(AND(Painel_diario!$H1586="ED_JU",Painel_diario!$J1586=1),EXP(Painel_diario!$L1586),1)-1</f>
        <v/>
      </c>
    </row>
    <row r="1591">
      <c r="A1591" s="25" t="n">
        <v>41156</v>
      </c>
      <c r="B1591" s="22">
        <f>(1+B1590)*IF(AND(Painel_diario!$H1587="EU_JD",Painel_diario!$J1587=1),EXP(Painel_diario!$L1587),1)-1</f>
        <v/>
      </c>
      <c r="C1591" s="22">
        <f>(1+C1590)*IF(AND(Painel_diario!$H1587="EU_JU",Painel_diario!$J1587=1),EXP(Painel_diario!$L1587),1)-1</f>
        <v/>
      </c>
      <c r="D1591" s="22">
        <f>(1+D1590)*IF(AND(Painel_diario!$H1587="ED_JD",Painel_diario!$J1587=1),EXP(Painel_diario!$L1587),1)-1</f>
        <v/>
      </c>
      <c r="E1591" s="22">
        <f>(1+E1590)*IF(AND(Painel_diario!$H1587="ED_JU",Painel_diario!$J1587=1),EXP(Painel_diario!$L1587),1)-1</f>
        <v/>
      </c>
    </row>
    <row r="1592">
      <c r="A1592" s="25" t="n">
        <v>41157</v>
      </c>
      <c r="B1592" s="22">
        <f>(1+B1591)*IF(AND(Painel_diario!$H1588="EU_JD",Painel_diario!$J1588=1),EXP(Painel_diario!$L1588),1)-1</f>
        <v/>
      </c>
      <c r="C1592" s="22">
        <f>(1+C1591)*IF(AND(Painel_diario!$H1588="EU_JU",Painel_diario!$J1588=1),EXP(Painel_diario!$L1588),1)-1</f>
        <v/>
      </c>
      <c r="D1592" s="22">
        <f>(1+D1591)*IF(AND(Painel_diario!$H1588="ED_JD",Painel_diario!$J1588=1),EXP(Painel_diario!$L1588),1)-1</f>
        <v/>
      </c>
      <c r="E1592" s="22">
        <f>(1+E1591)*IF(AND(Painel_diario!$H1588="ED_JU",Painel_diario!$J1588=1),EXP(Painel_diario!$L1588),1)-1</f>
        <v/>
      </c>
    </row>
    <row r="1593">
      <c r="A1593" s="25" t="n">
        <v>41158</v>
      </c>
      <c r="B1593" s="22">
        <f>(1+B1592)*IF(AND(Painel_diario!$H1589="EU_JD",Painel_diario!$J1589=1),EXP(Painel_diario!$L1589),1)-1</f>
        <v/>
      </c>
      <c r="C1593" s="22">
        <f>(1+C1592)*IF(AND(Painel_diario!$H1589="EU_JU",Painel_diario!$J1589=1),EXP(Painel_diario!$L1589),1)-1</f>
        <v/>
      </c>
      <c r="D1593" s="22">
        <f>(1+D1592)*IF(AND(Painel_diario!$H1589="ED_JD",Painel_diario!$J1589=1),EXP(Painel_diario!$L1589),1)-1</f>
        <v/>
      </c>
      <c r="E1593" s="22">
        <f>(1+E1592)*IF(AND(Painel_diario!$H1589="ED_JU",Painel_diario!$J1589=1),EXP(Painel_diario!$L1589),1)-1</f>
        <v/>
      </c>
    </row>
    <row r="1594">
      <c r="A1594" s="25" t="n">
        <v>41162</v>
      </c>
      <c r="B1594" s="22">
        <f>(1+B1593)*IF(AND(Painel_diario!$H1590="EU_JD",Painel_diario!$J1590=1),EXP(Painel_diario!$L1590),1)-1</f>
        <v/>
      </c>
      <c r="C1594" s="22">
        <f>(1+C1593)*IF(AND(Painel_diario!$H1590="EU_JU",Painel_diario!$J1590=1),EXP(Painel_diario!$L1590),1)-1</f>
        <v/>
      </c>
      <c r="D1594" s="22">
        <f>(1+D1593)*IF(AND(Painel_diario!$H1590="ED_JD",Painel_diario!$J1590=1),EXP(Painel_diario!$L1590),1)-1</f>
        <v/>
      </c>
      <c r="E1594" s="22">
        <f>(1+E1593)*IF(AND(Painel_diario!$H1590="ED_JU",Painel_diario!$J1590=1),EXP(Painel_diario!$L1590),1)-1</f>
        <v/>
      </c>
    </row>
    <row r="1595">
      <c r="A1595" s="25" t="n">
        <v>41163</v>
      </c>
      <c r="B1595" s="22">
        <f>(1+B1594)*IF(AND(Painel_diario!$H1591="EU_JD",Painel_diario!$J1591=1),EXP(Painel_diario!$L1591),1)-1</f>
        <v/>
      </c>
      <c r="C1595" s="22">
        <f>(1+C1594)*IF(AND(Painel_diario!$H1591="EU_JU",Painel_diario!$J1591=1),EXP(Painel_diario!$L1591),1)-1</f>
        <v/>
      </c>
      <c r="D1595" s="22">
        <f>(1+D1594)*IF(AND(Painel_diario!$H1591="ED_JD",Painel_diario!$J1591=1),EXP(Painel_diario!$L1591),1)-1</f>
        <v/>
      </c>
      <c r="E1595" s="22">
        <f>(1+E1594)*IF(AND(Painel_diario!$H1591="ED_JU",Painel_diario!$J1591=1),EXP(Painel_diario!$L1591),1)-1</f>
        <v/>
      </c>
    </row>
    <row r="1596">
      <c r="A1596" s="25" t="n">
        <v>41164</v>
      </c>
      <c r="B1596" s="22">
        <f>(1+B1595)*IF(AND(Painel_diario!$H1592="EU_JD",Painel_diario!$J1592=1),EXP(Painel_diario!$L1592),1)-1</f>
        <v/>
      </c>
      <c r="C1596" s="22">
        <f>(1+C1595)*IF(AND(Painel_diario!$H1592="EU_JU",Painel_diario!$J1592=1),EXP(Painel_diario!$L1592),1)-1</f>
        <v/>
      </c>
      <c r="D1596" s="22">
        <f>(1+D1595)*IF(AND(Painel_diario!$H1592="ED_JD",Painel_diario!$J1592=1),EXP(Painel_diario!$L1592),1)-1</f>
        <v/>
      </c>
      <c r="E1596" s="22">
        <f>(1+E1595)*IF(AND(Painel_diario!$H1592="ED_JU",Painel_diario!$J1592=1),EXP(Painel_diario!$L1592),1)-1</f>
        <v/>
      </c>
    </row>
    <row r="1597">
      <c r="A1597" s="25" t="n">
        <v>41165</v>
      </c>
      <c r="B1597" s="22">
        <f>(1+B1596)*IF(AND(Painel_diario!$H1593="EU_JD",Painel_diario!$J1593=1),EXP(Painel_diario!$L1593),1)-1</f>
        <v/>
      </c>
      <c r="C1597" s="22">
        <f>(1+C1596)*IF(AND(Painel_diario!$H1593="EU_JU",Painel_diario!$J1593=1),EXP(Painel_diario!$L1593),1)-1</f>
        <v/>
      </c>
      <c r="D1597" s="22">
        <f>(1+D1596)*IF(AND(Painel_diario!$H1593="ED_JD",Painel_diario!$J1593=1),EXP(Painel_diario!$L1593),1)-1</f>
        <v/>
      </c>
      <c r="E1597" s="22">
        <f>(1+E1596)*IF(AND(Painel_diario!$H1593="ED_JU",Painel_diario!$J1593=1),EXP(Painel_diario!$L1593),1)-1</f>
        <v/>
      </c>
    </row>
    <row r="1598">
      <c r="A1598" s="25" t="n">
        <v>41166</v>
      </c>
      <c r="B1598" s="22">
        <f>(1+B1597)*IF(AND(Painel_diario!$H1594="EU_JD",Painel_diario!$J1594=1),EXP(Painel_diario!$L1594),1)-1</f>
        <v/>
      </c>
      <c r="C1598" s="22">
        <f>(1+C1597)*IF(AND(Painel_diario!$H1594="EU_JU",Painel_diario!$J1594=1),EXP(Painel_diario!$L1594),1)-1</f>
        <v/>
      </c>
      <c r="D1598" s="22">
        <f>(1+D1597)*IF(AND(Painel_diario!$H1594="ED_JD",Painel_diario!$J1594=1),EXP(Painel_diario!$L1594),1)-1</f>
        <v/>
      </c>
      <c r="E1598" s="22">
        <f>(1+E1597)*IF(AND(Painel_diario!$H1594="ED_JU",Painel_diario!$J1594=1),EXP(Painel_diario!$L1594),1)-1</f>
        <v/>
      </c>
    </row>
    <row r="1599">
      <c r="A1599" s="25" t="n">
        <v>41169</v>
      </c>
      <c r="B1599" s="22">
        <f>(1+B1598)*IF(AND(Painel_diario!$H1595="EU_JD",Painel_diario!$J1595=1),EXP(Painel_diario!$L1595),1)-1</f>
        <v/>
      </c>
      <c r="C1599" s="22">
        <f>(1+C1598)*IF(AND(Painel_diario!$H1595="EU_JU",Painel_diario!$J1595=1),EXP(Painel_diario!$L1595),1)-1</f>
        <v/>
      </c>
      <c r="D1599" s="22">
        <f>(1+D1598)*IF(AND(Painel_diario!$H1595="ED_JD",Painel_diario!$J1595=1),EXP(Painel_diario!$L1595),1)-1</f>
        <v/>
      </c>
      <c r="E1599" s="22">
        <f>(1+E1598)*IF(AND(Painel_diario!$H1595="ED_JU",Painel_diario!$J1595=1),EXP(Painel_diario!$L1595),1)-1</f>
        <v/>
      </c>
    </row>
    <row r="1600">
      <c r="A1600" s="25" t="n">
        <v>41170</v>
      </c>
      <c r="B1600" s="22">
        <f>(1+B1599)*IF(AND(Painel_diario!$H1596="EU_JD",Painel_diario!$J1596=1),EXP(Painel_diario!$L1596),1)-1</f>
        <v/>
      </c>
      <c r="C1600" s="22">
        <f>(1+C1599)*IF(AND(Painel_diario!$H1596="EU_JU",Painel_diario!$J1596=1),EXP(Painel_diario!$L1596),1)-1</f>
        <v/>
      </c>
      <c r="D1600" s="22">
        <f>(1+D1599)*IF(AND(Painel_diario!$H1596="ED_JD",Painel_diario!$J1596=1),EXP(Painel_diario!$L1596),1)-1</f>
        <v/>
      </c>
      <c r="E1600" s="22">
        <f>(1+E1599)*IF(AND(Painel_diario!$H1596="ED_JU",Painel_diario!$J1596=1),EXP(Painel_diario!$L1596),1)-1</f>
        <v/>
      </c>
    </row>
    <row r="1601">
      <c r="A1601" s="25" t="n">
        <v>41171</v>
      </c>
      <c r="B1601" s="22">
        <f>(1+B1600)*IF(AND(Painel_diario!$H1597="EU_JD",Painel_diario!$J1597=1),EXP(Painel_diario!$L1597),1)-1</f>
        <v/>
      </c>
      <c r="C1601" s="22">
        <f>(1+C1600)*IF(AND(Painel_diario!$H1597="EU_JU",Painel_diario!$J1597=1),EXP(Painel_diario!$L1597),1)-1</f>
        <v/>
      </c>
      <c r="D1601" s="22">
        <f>(1+D1600)*IF(AND(Painel_diario!$H1597="ED_JD",Painel_diario!$J1597=1),EXP(Painel_diario!$L1597),1)-1</f>
        <v/>
      </c>
      <c r="E1601" s="22">
        <f>(1+E1600)*IF(AND(Painel_diario!$H1597="ED_JU",Painel_diario!$J1597=1),EXP(Painel_diario!$L1597),1)-1</f>
        <v/>
      </c>
    </row>
    <row r="1602">
      <c r="A1602" s="25" t="n">
        <v>41172</v>
      </c>
      <c r="B1602" s="22">
        <f>(1+B1601)*IF(AND(Painel_diario!$H1598="EU_JD",Painel_diario!$J1598=1),EXP(Painel_diario!$L1598),1)-1</f>
        <v/>
      </c>
      <c r="C1602" s="22">
        <f>(1+C1601)*IF(AND(Painel_diario!$H1598="EU_JU",Painel_diario!$J1598=1),EXP(Painel_diario!$L1598),1)-1</f>
        <v/>
      </c>
      <c r="D1602" s="22">
        <f>(1+D1601)*IF(AND(Painel_diario!$H1598="ED_JD",Painel_diario!$J1598=1),EXP(Painel_diario!$L1598),1)-1</f>
        <v/>
      </c>
      <c r="E1602" s="22">
        <f>(1+E1601)*IF(AND(Painel_diario!$H1598="ED_JU",Painel_diario!$J1598=1),EXP(Painel_diario!$L1598),1)-1</f>
        <v/>
      </c>
    </row>
    <row r="1603">
      <c r="A1603" s="25" t="n">
        <v>41173</v>
      </c>
      <c r="B1603" s="22">
        <f>(1+B1602)*IF(AND(Painel_diario!$H1599="EU_JD",Painel_diario!$J1599=1),EXP(Painel_diario!$L1599),1)-1</f>
        <v/>
      </c>
      <c r="C1603" s="22">
        <f>(1+C1602)*IF(AND(Painel_diario!$H1599="EU_JU",Painel_diario!$J1599=1),EXP(Painel_diario!$L1599),1)-1</f>
        <v/>
      </c>
      <c r="D1603" s="22">
        <f>(1+D1602)*IF(AND(Painel_diario!$H1599="ED_JD",Painel_diario!$J1599=1),EXP(Painel_diario!$L1599),1)-1</f>
        <v/>
      </c>
      <c r="E1603" s="22">
        <f>(1+E1602)*IF(AND(Painel_diario!$H1599="ED_JU",Painel_diario!$J1599=1),EXP(Painel_diario!$L1599),1)-1</f>
        <v/>
      </c>
    </row>
    <row r="1604">
      <c r="A1604" s="25" t="n">
        <v>41176</v>
      </c>
      <c r="B1604" s="22">
        <f>(1+B1603)*IF(AND(Painel_diario!$H1600="EU_JD",Painel_diario!$J1600=1),EXP(Painel_diario!$L1600),1)-1</f>
        <v/>
      </c>
      <c r="C1604" s="22">
        <f>(1+C1603)*IF(AND(Painel_diario!$H1600="EU_JU",Painel_diario!$J1600=1),EXP(Painel_diario!$L1600),1)-1</f>
        <v/>
      </c>
      <c r="D1604" s="22">
        <f>(1+D1603)*IF(AND(Painel_diario!$H1600="ED_JD",Painel_diario!$J1600=1),EXP(Painel_diario!$L1600),1)-1</f>
        <v/>
      </c>
      <c r="E1604" s="22">
        <f>(1+E1603)*IF(AND(Painel_diario!$H1600="ED_JU",Painel_diario!$J1600=1),EXP(Painel_diario!$L1600),1)-1</f>
        <v/>
      </c>
    </row>
    <row r="1605">
      <c r="A1605" s="25" t="n">
        <v>41177</v>
      </c>
      <c r="B1605" s="22">
        <f>(1+B1604)*IF(AND(Painel_diario!$H1601="EU_JD",Painel_diario!$J1601=1),EXP(Painel_diario!$L1601),1)-1</f>
        <v/>
      </c>
      <c r="C1605" s="22">
        <f>(1+C1604)*IF(AND(Painel_diario!$H1601="EU_JU",Painel_diario!$J1601=1),EXP(Painel_diario!$L1601),1)-1</f>
        <v/>
      </c>
      <c r="D1605" s="22">
        <f>(1+D1604)*IF(AND(Painel_diario!$H1601="ED_JD",Painel_diario!$J1601=1),EXP(Painel_diario!$L1601),1)-1</f>
        <v/>
      </c>
      <c r="E1605" s="22">
        <f>(1+E1604)*IF(AND(Painel_diario!$H1601="ED_JU",Painel_diario!$J1601=1),EXP(Painel_diario!$L1601),1)-1</f>
        <v/>
      </c>
    </row>
    <row r="1606">
      <c r="A1606" s="25" t="n">
        <v>41178</v>
      </c>
      <c r="B1606" s="22">
        <f>(1+B1605)*IF(AND(Painel_diario!$H1602="EU_JD",Painel_diario!$J1602=1),EXP(Painel_diario!$L1602),1)-1</f>
        <v/>
      </c>
      <c r="C1606" s="22">
        <f>(1+C1605)*IF(AND(Painel_diario!$H1602="EU_JU",Painel_diario!$J1602=1),EXP(Painel_diario!$L1602),1)-1</f>
        <v/>
      </c>
      <c r="D1606" s="22">
        <f>(1+D1605)*IF(AND(Painel_diario!$H1602="ED_JD",Painel_diario!$J1602=1),EXP(Painel_diario!$L1602),1)-1</f>
        <v/>
      </c>
      <c r="E1606" s="22">
        <f>(1+E1605)*IF(AND(Painel_diario!$H1602="ED_JU",Painel_diario!$J1602=1),EXP(Painel_diario!$L1602),1)-1</f>
        <v/>
      </c>
    </row>
    <row r="1607">
      <c r="A1607" s="25" t="n">
        <v>41179</v>
      </c>
      <c r="B1607" s="22">
        <f>(1+B1606)*IF(AND(Painel_diario!$H1603="EU_JD",Painel_diario!$J1603=1),EXP(Painel_diario!$L1603),1)-1</f>
        <v/>
      </c>
      <c r="C1607" s="22">
        <f>(1+C1606)*IF(AND(Painel_diario!$H1603="EU_JU",Painel_diario!$J1603=1),EXP(Painel_diario!$L1603),1)-1</f>
        <v/>
      </c>
      <c r="D1607" s="22">
        <f>(1+D1606)*IF(AND(Painel_diario!$H1603="ED_JD",Painel_diario!$J1603=1),EXP(Painel_diario!$L1603),1)-1</f>
        <v/>
      </c>
      <c r="E1607" s="22">
        <f>(1+E1606)*IF(AND(Painel_diario!$H1603="ED_JU",Painel_diario!$J1603=1),EXP(Painel_diario!$L1603),1)-1</f>
        <v/>
      </c>
    </row>
    <row r="1608">
      <c r="A1608" s="25" t="n">
        <v>41180</v>
      </c>
      <c r="B1608" s="22">
        <f>(1+B1607)*IF(AND(Painel_diario!$H1604="EU_JD",Painel_diario!$J1604=1),EXP(Painel_diario!$L1604),1)-1</f>
        <v/>
      </c>
      <c r="C1608" s="22">
        <f>(1+C1607)*IF(AND(Painel_diario!$H1604="EU_JU",Painel_diario!$J1604=1),EXP(Painel_diario!$L1604),1)-1</f>
        <v/>
      </c>
      <c r="D1608" s="22">
        <f>(1+D1607)*IF(AND(Painel_diario!$H1604="ED_JD",Painel_diario!$J1604=1),EXP(Painel_diario!$L1604),1)-1</f>
        <v/>
      </c>
      <c r="E1608" s="22">
        <f>(1+E1607)*IF(AND(Painel_diario!$H1604="ED_JU",Painel_diario!$J1604=1),EXP(Painel_diario!$L1604),1)-1</f>
        <v/>
      </c>
    </row>
    <row r="1609">
      <c r="A1609" s="25" t="n">
        <v>41183</v>
      </c>
      <c r="B1609" s="22">
        <f>(1+B1608)*IF(AND(Painel_diario!$H1605="EU_JD",Painel_diario!$J1605=1),EXP(Painel_diario!$L1605),1)-1</f>
        <v/>
      </c>
      <c r="C1609" s="22">
        <f>(1+C1608)*IF(AND(Painel_diario!$H1605="EU_JU",Painel_diario!$J1605=1),EXP(Painel_diario!$L1605),1)-1</f>
        <v/>
      </c>
      <c r="D1609" s="22">
        <f>(1+D1608)*IF(AND(Painel_diario!$H1605="ED_JD",Painel_diario!$J1605=1),EXP(Painel_diario!$L1605),1)-1</f>
        <v/>
      </c>
      <c r="E1609" s="22">
        <f>(1+E1608)*IF(AND(Painel_diario!$H1605="ED_JU",Painel_diario!$J1605=1),EXP(Painel_diario!$L1605),1)-1</f>
        <v/>
      </c>
    </row>
    <row r="1610">
      <c r="A1610" s="25" t="n">
        <v>41184</v>
      </c>
      <c r="B1610" s="22">
        <f>(1+B1609)*IF(AND(Painel_diario!$H1606="EU_JD",Painel_diario!$J1606=1),EXP(Painel_diario!$L1606),1)-1</f>
        <v/>
      </c>
      <c r="C1610" s="22">
        <f>(1+C1609)*IF(AND(Painel_diario!$H1606="EU_JU",Painel_diario!$J1606=1),EXP(Painel_diario!$L1606),1)-1</f>
        <v/>
      </c>
      <c r="D1610" s="22">
        <f>(1+D1609)*IF(AND(Painel_diario!$H1606="ED_JD",Painel_diario!$J1606=1),EXP(Painel_diario!$L1606),1)-1</f>
        <v/>
      </c>
      <c r="E1610" s="22">
        <f>(1+E1609)*IF(AND(Painel_diario!$H1606="ED_JU",Painel_diario!$J1606=1),EXP(Painel_diario!$L1606),1)-1</f>
        <v/>
      </c>
    </row>
    <row r="1611">
      <c r="A1611" s="25" t="n">
        <v>41185</v>
      </c>
      <c r="B1611" s="22">
        <f>(1+B1610)*IF(AND(Painel_diario!$H1607="EU_JD",Painel_diario!$J1607=1),EXP(Painel_diario!$L1607),1)-1</f>
        <v/>
      </c>
      <c r="C1611" s="22">
        <f>(1+C1610)*IF(AND(Painel_diario!$H1607="EU_JU",Painel_diario!$J1607=1),EXP(Painel_diario!$L1607),1)-1</f>
        <v/>
      </c>
      <c r="D1611" s="22">
        <f>(1+D1610)*IF(AND(Painel_diario!$H1607="ED_JD",Painel_diario!$J1607=1),EXP(Painel_diario!$L1607),1)-1</f>
        <v/>
      </c>
      <c r="E1611" s="22">
        <f>(1+E1610)*IF(AND(Painel_diario!$H1607="ED_JU",Painel_diario!$J1607=1),EXP(Painel_diario!$L1607),1)-1</f>
        <v/>
      </c>
    </row>
    <row r="1612">
      <c r="A1612" s="25" t="n">
        <v>41186</v>
      </c>
      <c r="B1612" s="22">
        <f>(1+B1611)*IF(AND(Painel_diario!$H1608="EU_JD",Painel_diario!$J1608=1),EXP(Painel_diario!$L1608),1)-1</f>
        <v/>
      </c>
      <c r="C1612" s="22">
        <f>(1+C1611)*IF(AND(Painel_diario!$H1608="EU_JU",Painel_diario!$J1608=1),EXP(Painel_diario!$L1608),1)-1</f>
        <v/>
      </c>
      <c r="D1612" s="22">
        <f>(1+D1611)*IF(AND(Painel_diario!$H1608="ED_JD",Painel_diario!$J1608=1),EXP(Painel_diario!$L1608),1)-1</f>
        <v/>
      </c>
      <c r="E1612" s="22">
        <f>(1+E1611)*IF(AND(Painel_diario!$H1608="ED_JU",Painel_diario!$J1608=1),EXP(Painel_diario!$L1608),1)-1</f>
        <v/>
      </c>
    </row>
    <row r="1613">
      <c r="A1613" s="25" t="n">
        <v>41187</v>
      </c>
      <c r="B1613" s="22">
        <f>(1+B1612)*IF(AND(Painel_diario!$H1609="EU_JD",Painel_diario!$J1609=1),EXP(Painel_diario!$L1609),1)-1</f>
        <v/>
      </c>
      <c r="C1613" s="22">
        <f>(1+C1612)*IF(AND(Painel_diario!$H1609="EU_JU",Painel_diario!$J1609=1),EXP(Painel_diario!$L1609),1)-1</f>
        <v/>
      </c>
      <c r="D1613" s="22">
        <f>(1+D1612)*IF(AND(Painel_diario!$H1609="ED_JD",Painel_diario!$J1609=1),EXP(Painel_diario!$L1609),1)-1</f>
        <v/>
      </c>
      <c r="E1613" s="22">
        <f>(1+E1612)*IF(AND(Painel_diario!$H1609="ED_JU",Painel_diario!$J1609=1),EXP(Painel_diario!$L1609),1)-1</f>
        <v/>
      </c>
    </row>
    <row r="1614">
      <c r="A1614" s="25" t="n">
        <v>41190</v>
      </c>
      <c r="B1614" s="22">
        <f>(1+B1613)*IF(AND(Painel_diario!$H1610="EU_JD",Painel_diario!$J1610=1),EXP(Painel_diario!$L1610),1)-1</f>
        <v/>
      </c>
      <c r="C1614" s="22">
        <f>(1+C1613)*IF(AND(Painel_diario!$H1610="EU_JU",Painel_diario!$J1610=1),EXP(Painel_diario!$L1610),1)-1</f>
        <v/>
      </c>
      <c r="D1614" s="22">
        <f>(1+D1613)*IF(AND(Painel_diario!$H1610="ED_JD",Painel_diario!$J1610=1),EXP(Painel_diario!$L1610),1)-1</f>
        <v/>
      </c>
      <c r="E1614" s="22">
        <f>(1+E1613)*IF(AND(Painel_diario!$H1610="ED_JU",Painel_diario!$J1610=1),EXP(Painel_diario!$L1610),1)-1</f>
        <v/>
      </c>
    </row>
    <row r="1615">
      <c r="A1615" s="25" t="n">
        <v>41191</v>
      </c>
      <c r="B1615" s="22">
        <f>(1+B1614)*IF(AND(Painel_diario!$H1611="EU_JD",Painel_diario!$J1611=1),EXP(Painel_diario!$L1611),1)-1</f>
        <v/>
      </c>
      <c r="C1615" s="22">
        <f>(1+C1614)*IF(AND(Painel_diario!$H1611="EU_JU",Painel_diario!$J1611=1),EXP(Painel_diario!$L1611),1)-1</f>
        <v/>
      </c>
      <c r="D1615" s="22">
        <f>(1+D1614)*IF(AND(Painel_diario!$H1611="ED_JD",Painel_diario!$J1611=1),EXP(Painel_diario!$L1611),1)-1</f>
        <v/>
      </c>
      <c r="E1615" s="22">
        <f>(1+E1614)*IF(AND(Painel_diario!$H1611="ED_JU",Painel_diario!$J1611=1),EXP(Painel_diario!$L1611),1)-1</f>
        <v/>
      </c>
    </row>
    <row r="1616">
      <c r="A1616" s="25" t="n">
        <v>41192</v>
      </c>
      <c r="B1616" s="22">
        <f>(1+B1615)*IF(AND(Painel_diario!$H1612="EU_JD",Painel_diario!$J1612=1),EXP(Painel_diario!$L1612),1)-1</f>
        <v/>
      </c>
      <c r="C1616" s="22">
        <f>(1+C1615)*IF(AND(Painel_diario!$H1612="EU_JU",Painel_diario!$J1612=1),EXP(Painel_diario!$L1612),1)-1</f>
        <v/>
      </c>
      <c r="D1616" s="22">
        <f>(1+D1615)*IF(AND(Painel_diario!$H1612="ED_JD",Painel_diario!$J1612=1),EXP(Painel_diario!$L1612),1)-1</f>
        <v/>
      </c>
      <c r="E1616" s="22">
        <f>(1+E1615)*IF(AND(Painel_diario!$H1612="ED_JU",Painel_diario!$J1612=1),EXP(Painel_diario!$L1612),1)-1</f>
        <v/>
      </c>
    </row>
    <row r="1617">
      <c r="A1617" s="25" t="n">
        <v>41193</v>
      </c>
      <c r="B1617" s="22">
        <f>(1+B1616)*IF(AND(Painel_diario!$H1613="EU_JD",Painel_diario!$J1613=1),EXP(Painel_diario!$L1613),1)-1</f>
        <v/>
      </c>
      <c r="C1617" s="22">
        <f>(1+C1616)*IF(AND(Painel_diario!$H1613="EU_JU",Painel_diario!$J1613=1),EXP(Painel_diario!$L1613),1)-1</f>
        <v/>
      </c>
      <c r="D1617" s="22">
        <f>(1+D1616)*IF(AND(Painel_diario!$H1613="ED_JD",Painel_diario!$J1613=1),EXP(Painel_diario!$L1613),1)-1</f>
        <v/>
      </c>
      <c r="E1617" s="22">
        <f>(1+E1616)*IF(AND(Painel_diario!$H1613="ED_JU",Painel_diario!$J1613=1),EXP(Painel_diario!$L1613),1)-1</f>
        <v/>
      </c>
    </row>
    <row r="1618">
      <c r="A1618" s="25" t="n">
        <v>41197</v>
      </c>
      <c r="B1618" s="22">
        <f>(1+B1617)*IF(AND(Painel_diario!$H1614="EU_JD",Painel_diario!$J1614=1),EXP(Painel_diario!$L1614),1)-1</f>
        <v/>
      </c>
      <c r="C1618" s="22">
        <f>(1+C1617)*IF(AND(Painel_diario!$H1614="EU_JU",Painel_diario!$J1614=1),EXP(Painel_diario!$L1614),1)-1</f>
        <v/>
      </c>
      <c r="D1618" s="22">
        <f>(1+D1617)*IF(AND(Painel_diario!$H1614="ED_JD",Painel_diario!$J1614=1),EXP(Painel_diario!$L1614),1)-1</f>
        <v/>
      </c>
      <c r="E1618" s="22">
        <f>(1+E1617)*IF(AND(Painel_diario!$H1614="ED_JU",Painel_diario!$J1614=1),EXP(Painel_diario!$L1614),1)-1</f>
        <v/>
      </c>
    </row>
    <row r="1619">
      <c r="A1619" s="25" t="n">
        <v>41198</v>
      </c>
      <c r="B1619" s="22">
        <f>(1+B1618)*IF(AND(Painel_diario!$H1615="EU_JD",Painel_diario!$J1615=1),EXP(Painel_diario!$L1615),1)-1</f>
        <v/>
      </c>
      <c r="C1619" s="22">
        <f>(1+C1618)*IF(AND(Painel_diario!$H1615="EU_JU",Painel_diario!$J1615=1),EXP(Painel_diario!$L1615),1)-1</f>
        <v/>
      </c>
      <c r="D1619" s="22">
        <f>(1+D1618)*IF(AND(Painel_diario!$H1615="ED_JD",Painel_diario!$J1615=1),EXP(Painel_diario!$L1615),1)-1</f>
        <v/>
      </c>
      <c r="E1619" s="22">
        <f>(1+E1618)*IF(AND(Painel_diario!$H1615="ED_JU",Painel_diario!$J1615=1),EXP(Painel_diario!$L1615),1)-1</f>
        <v/>
      </c>
    </row>
    <row r="1620">
      <c r="A1620" s="25" t="n">
        <v>41199</v>
      </c>
      <c r="B1620" s="22">
        <f>(1+B1619)*IF(AND(Painel_diario!$H1616="EU_JD",Painel_diario!$J1616=1),EXP(Painel_diario!$L1616),1)-1</f>
        <v/>
      </c>
      <c r="C1620" s="22">
        <f>(1+C1619)*IF(AND(Painel_diario!$H1616="EU_JU",Painel_diario!$J1616=1),EXP(Painel_diario!$L1616),1)-1</f>
        <v/>
      </c>
      <c r="D1620" s="22">
        <f>(1+D1619)*IF(AND(Painel_diario!$H1616="ED_JD",Painel_diario!$J1616=1),EXP(Painel_diario!$L1616),1)-1</f>
        <v/>
      </c>
      <c r="E1620" s="22">
        <f>(1+E1619)*IF(AND(Painel_diario!$H1616="ED_JU",Painel_diario!$J1616=1),EXP(Painel_diario!$L1616),1)-1</f>
        <v/>
      </c>
    </row>
    <row r="1621">
      <c r="A1621" s="25" t="n">
        <v>41200</v>
      </c>
      <c r="B1621" s="22">
        <f>(1+B1620)*IF(AND(Painel_diario!$H1617="EU_JD",Painel_diario!$J1617=1),EXP(Painel_diario!$L1617),1)-1</f>
        <v/>
      </c>
      <c r="C1621" s="22">
        <f>(1+C1620)*IF(AND(Painel_diario!$H1617="EU_JU",Painel_diario!$J1617=1),EXP(Painel_diario!$L1617),1)-1</f>
        <v/>
      </c>
      <c r="D1621" s="22">
        <f>(1+D1620)*IF(AND(Painel_diario!$H1617="ED_JD",Painel_diario!$J1617=1),EXP(Painel_diario!$L1617),1)-1</f>
        <v/>
      </c>
      <c r="E1621" s="22">
        <f>(1+E1620)*IF(AND(Painel_diario!$H1617="ED_JU",Painel_diario!$J1617=1),EXP(Painel_diario!$L1617),1)-1</f>
        <v/>
      </c>
    </row>
    <row r="1622">
      <c r="A1622" s="25" t="n">
        <v>41201</v>
      </c>
      <c r="B1622" s="22">
        <f>(1+B1621)*IF(AND(Painel_diario!$H1618="EU_JD",Painel_diario!$J1618=1),EXP(Painel_diario!$L1618),1)-1</f>
        <v/>
      </c>
      <c r="C1622" s="22">
        <f>(1+C1621)*IF(AND(Painel_diario!$H1618="EU_JU",Painel_diario!$J1618=1),EXP(Painel_diario!$L1618),1)-1</f>
        <v/>
      </c>
      <c r="D1622" s="22">
        <f>(1+D1621)*IF(AND(Painel_diario!$H1618="ED_JD",Painel_diario!$J1618=1),EXP(Painel_diario!$L1618),1)-1</f>
        <v/>
      </c>
      <c r="E1622" s="22">
        <f>(1+E1621)*IF(AND(Painel_diario!$H1618="ED_JU",Painel_diario!$J1618=1),EXP(Painel_diario!$L1618),1)-1</f>
        <v/>
      </c>
    </row>
    <row r="1623">
      <c r="A1623" s="25" t="n">
        <v>41204</v>
      </c>
      <c r="B1623" s="22">
        <f>(1+B1622)*IF(AND(Painel_diario!$H1619="EU_JD",Painel_diario!$J1619=1),EXP(Painel_diario!$L1619),1)-1</f>
        <v/>
      </c>
      <c r="C1623" s="22">
        <f>(1+C1622)*IF(AND(Painel_diario!$H1619="EU_JU",Painel_diario!$J1619=1),EXP(Painel_diario!$L1619),1)-1</f>
        <v/>
      </c>
      <c r="D1623" s="22">
        <f>(1+D1622)*IF(AND(Painel_diario!$H1619="ED_JD",Painel_diario!$J1619=1),EXP(Painel_diario!$L1619),1)-1</f>
        <v/>
      </c>
      <c r="E1623" s="22">
        <f>(1+E1622)*IF(AND(Painel_diario!$H1619="ED_JU",Painel_diario!$J1619=1),EXP(Painel_diario!$L1619),1)-1</f>
        <v/>
      </c>
    </row>
    <row r="1624">
      <c r="A1624" s="25" t="n">
        <v>41205</v>
      </c>
      <c r="B1624" s="22">
        <f>(1+B1623)*IF(AND(Painel_diario!$H1620="EU_JD",Painel_diario!$J1620=1),EXP(Painel_diario!$L1620),1)-1</f>
        <v/>
      </c>
      <c r="C1624" s="22">
        <f>(1+C1623)*IF(AND(Painel_diario!$H1620="EU_JU",Painel_diario!$J1620=1),EXP(Painel_diario!$L1620),1)-1</f>
        <v/>
      </c>
      <c r="D1624" s="22">
        <f>(1+D1623)*IF(AND(Painel_diario!$H1620="ED_JD",Painel_diario!$J1620=1),EXP(Painel_diario!$L1620),1)-1</f>
        <v/>
      </c>
      <c r="E1624" s="22">
        <f>(1+E1623)*IF(AND(Painel_diario!$H1620="ED_JU",Painel_diario!$J1620=1),EXP(Painel_diario!$L1620),1)-1</f>
        <v/>
      </c>
    </row>
    <row r="1625">
      <c r="A1625" s="25" t="n">
        <v>41206</v>
      </c>
      <c r="B1625" s="22">
        <f>(1+B1624)*IF(AND(Painel_diario!$H1621="EU_JD",Painel_diario!$J1621=1),EXP(Painel_diario!$L1621),1)-1</f>
        <v/>
      </c>
      <c r="C1625" s="22">
        <f>(1+C1624)*IF(AND(Painel_diario!$H1621="EU_JU",Painel_diario!$J1621=1),EXP(Painel_diario!$L1621),1)-1</f>
        <v/>
      </c>
      <c r="D1625" s="22">
        <f>(1+D1624)*IF(AND(Painel_diario!$H1621="ED_JD",Painel_diario!$J1621=1),EXP(Painel_diario!$L1621),1)-1</f>
        <v/>
      </c>
      <c r="E1625" s="22">
        <f>(1+E1624)*IF(AND(Painel_diario!$H1621="ED_JU",Painel_diario!$J1621=1),EXP(Painel_diario!$L1621),1)-1</f>
        <v/>
      </c>
    </row>
    <row r="1626">
      <c r="A1626" s="25" t="n">
        <v>41207</v>
      </c>
      <c r="B1626" s="22">
        <f>(1+B1625)*IF(AND(Painel_diario!$H1622="EU_JD",Painel_diario!$J1622=1),EXP(Painel_diario!$L1622),1)-1</f>
        <v/>
      </c>
      <c r="C1626" s="22">
        <f>(1+C1625)*IF(AND(Painel_diario!$H1622="EU_JU",Painel_diario!$J1622=1),EXP(Painel_diario!$L1622),1)-1</f>
        <v/>
      </c>
      <c r="D1626" s="22">
        <f>(1+D1625)*IF(AND(Painel_diario!$H1622="ED_JD",Painel_diario!$J1622=1),EXP(Painel_diario!$L1622),1)-1</f>
        <v/>
      </c>
      <c r="E1626" s="22">
        <f>(1+E1625)*IF(AND(Painel_diario!$H1622="ED_JU",Painel_diario!$J1622=1),EXP(Painel_diario!$L1622),1)-1</f>
        <v/>
      </c>
    </row>
    <row r="1627">
      <c r="A1627" s="25" t="n">
        <v>41208</v>
      </c>
      <c r="B1627" s="22">
        <f>(1+B1626)*IF(AND(Painel_diario!$H1623="EU_JD",Painel_diario!$J1623=1),EXP(Painel_diario!$L1623),1)-1</f>
        <v/>
      </c>
      <c r="C1627" s="22">
        <f>(1+C1626)*IF(AND(Painel_diario!$H1623="EU_JU",Painel_diario!$J1623=1),EXP(Painel_diario!$L1623),1)-1</f>
        <v/>
      </c>
      <c r="D1627" s="22">
        <f>(1+D1626)*IF(AND(Painel_diario!$H1623="ED_JD",Painel_diario!$J1623=1),EXP(Painel_diario!$L1623),1)-1</f>
        <v/>
      </c>
      <c r="E1627" s="22">
        <f>(1+E1626)*IF(AND(Painel_diario!$H1623="ED_JU",Painel_diario!$J1623=1),EXP(Painel_diario!$L1623),1)-1</f>
        <v/>
      </c>
    </row>
    <row r="1628">
      <c r="A1628" s="25" t="n">
        <v>41211</v>
      </c>
      <c r="B1628" s="22">
        <f>(1+B1627)*IF(AND(Painel_diario!$H1624="EU_JD",Painel_diario!$J1624=1),EXP(Painel_diario!$L1624),1)-1</f>
        <v/>
      </c>
      <c r="C1628" s="22">
        <f>(1+C1627)*IF(AND(Painel_diario!$H1624="EU_JU",Painel_diario!$J1624=1),EXP(Painel_diario!$L1624),1)-1</f>
        <v/>
      </c>
      <c r="D1628" s="22">
        <f>(1+D1627)*IF(AND(Painel_diario!$H1624="ED_JD",Painel_diario!$J1624=1),EXP(Painel_diario!$L1624),1)-1</f>
        <v/>
      </c>
      <c r="E1628" s="22">
        <f>(1+E1627)*IF(AND(Painel_diario!$H1624="ED_JU",Painel_diario!$J1624=1),EXP(Painel_diario!$L1624),1)-1</f>
        <v/>
      </c>
    </row>
    <row r="1629">
      <c r="A1629" s="25" t="n">
        <v>41212</v>
      </c>
      <c r="B1629" s="22">
        <f>(1+B1628)*IF(AND(Painel_diario!$H1625="EU_JD",Painel_diario!$J1625=1),EXP(Painel_diario!$L1625),1)-1</f>
        <v/>
      </c>
      <c r="C1629" s="22">
        <f>(1+C1628)*IF(AND(Painel_diario!$H1625="EU_JU",Painel_diario!$J1625=1),EXP(Painel_diario!$L1625),1)-1</f>
        <v/>
      </c>
      <c r="D1629" s="22">
        <f>(1+D1628)*IF(AND(Painel_diario!$H1625="ED_JD",Painel_diario!$J1625=1),EXP(Painel_diario!$L1625),1)-1</f>
        <v/>
      </c>
      <c r="E1629" s="22">
        <f>(1+E1628)*IF(AND(Painel_diario!$H1625="ED_JU",Painel_diario!$J1625=1),EXP(Painel_diario!$L1625),1)-1</f>
        <v/>
      </c>
    </row>
    <row r="1630">
      <c r="A1630" s="25" t="n">
        <v>41213</v>
      </c>
      <c r="B1630" s="22">
        <f>(1+B1629)*IF(AND(Painel_diario!$H1626="EU_JD",Painel_diario!$J1626=1),EXP(Painel_diario!$L1626),1)-1</f>
        <v/>
      </c>
      <c r="C1630" s="22">
        <f>(1+C1629)*IF(AND(Painel_diario!$H1626="EU_JU",Painel_diario!$J1626=1),EXP(Painel_diario!$L1626),1)-1</f>
        <v/>
      </c>
      <c r="D1630" s="22">
        <f>(1+D1629)*IF(AND(Painel_diario!$H1626="ED_JD",Painel_diario!$J1626=1),EXP(Painel_diario!$L1626),1)-1</f>
        <v/>
      </c>
      <c r="E1630" s="22">
        <f>(1+E1629)*IF(AND(Painel_diario!$H1626="ED_JU",Painel_diario!$J1626=1),EXP(Painel_diario!$L1626),1)-1</f>
        <v/>
      </c>
    </row>
    <row r="1631">
      <c r="A1631" s="25" t="n">
        <v>41214</v>
      </c>
      <c r="B1631" s="22">
        <f>(1+B1630)*IF(AND(Painel_diario!$H1627="EU_JD",Painel_diario!$J1627=1),EXP(Painel_diario!$L1627),1)-1</f>
        <v/>
      </c>
      <c r="C1631" s="22">
        <f>(1+C1630)*IF(AND(Painel_diario!$H1627="EU_JU",Painel_diario!$J1627=1),EXP(Painel_diario!$L1627),1)-1</f>
        <v/>
      </c>
      <c r="D1631" s="22">
        <f>(1+D1630)*IF(AND(Painel_diario!$H1627="ED_JD",Painel_diario!$J1627=1),EXP(Painel_diario!$L1627),1)-1</f>
        <v/>
      </c>
      <c r="E1631" s="22">
        <f>(1+E1630)*IF(AND(Painel_diario!$H1627="ED_JU",Painel_diario!$J1627=1),EXP(Painel_diario!$L1627),1)-1</f>
        <v/>
      </c>
    </row>
    <row r="1632">
      <c r="A1632" s="25" t="n">
        <v>41218</v>
      </c>
      <c r="B1632" s="22">
        <f>(1+B1631)*IF(AND(Painel_diario!$H1628="EU_JD",Painel_diario!$J1628=1),EXP(Painel_diario!$L1628),1)-1</f>
        <v/>
      </c>
      <c r="C1632" s="22">
        <f>(1+C1631)*IF(AND(Painel_diario!$H1628="EU_JU",Painel_diario!$J1628=1),EXP(Painel_diario!$L1628),1)-1</f>
        <v/>
      </c>
      <c r="D1632" s="22">
        <f>(1+D1631)*IF(AND(Painel_diario!$H1628="ED_JD",Painel_diario!$J1628=1),EXP(Painel_diario!$L1628),1)-1</f>
        <v/>
      </c>
      <c r="E1632" s="22">
        <f>(1+E1631)*IF(AND(Painel_diario!$H1628="ED_JU",Painel_diario!$J1628=1),EXP(Painel_diario!$L1628),1)-1</f>
        <v/>
      </c>
    </row>
    <row r="1633">
      <c r="A1633" s="25" t="n">
        <v>41219</v>
      </c>
      <c r="B1633" s="22">
        <f>(1+B1632)*IF(AND(Painel_diario!$H1629="EU_JD",Painel_diario!$J1629=1),EXP(Painel_diario!$L1629),1)-1</f>
        <v/>
      </c>
      <c r="C1633" s="22">
        <f>(1+C1632)*IF(AND(Painel_diario!$H1629="EU_JU",Painel_diario!$J1629=1),EXP(Painel_diario!$L1629),1)-1</f>
        <v/>
      </c>
      <c r="D1633" s="22">
        <f>(1+D1632)*IF(AND(Painel_diario!$H1629="ED_JD",Painel_diario!$J1629=1),EXP(Painel_diario!$L1629),1)-1</f>
        <v/>
      </c>
      <c r="E1633" s="22">
        <f>(1+E1632)*IF(AND(Painel_diario!$H1629="ED_JU",Painel_diario!$J1629=1),EXP(Painel_diario!$L1629),1)-1</f>
        <v/>
      </c>
    </row>
    <row r="1634">
      <c r="A1634" s="25" t="n">
        <v>41220</v>
      </c>
      <c r="B1634" s="22">
        <f>(1+B1633)*IF(AND(Painel_diario!$H1630="EU_JD",Painel_diario!$J1630=1),EXP(Painel_diario!$L1630),1)-1</f>
        <v/>
      </c>
      <c r="C1634" s="22">
        <f>(1+C1633)*IF(AND(Painel_diario!$H1630="EU_JU",Painel_diario!$J1630=1),EXP(Painel_diario!$L1630),1)-1</f>
        <v/>
      </c>
      <c r="D1634" s="22">
        <f>(1+D1633)*IF(AND(Painel_diario!$H1630="ED_JD",Painel_diario!$J1630=1),EXP(Painel_diario!$L1630),1)-1</f>
        <v/>
      </c>
      <c r="E1634" s="22">
        <f>(1+E1633)*IF(AND(Painel_diario!$H1630="ED_JU",Painel_diario!$J1630=1),EXP(Painel_diario!$L1630),1)-1</f>
        <v/>
      </c>
    </row>
    <row r="1635">
      <c r="A1635" s="25" t="n">
        <v>41221</v>
      </c>
      <c r="B1635" s="22">
        <f>(1+B1634)*IF(AND(Painel_diario!$H1631="EU_JD",Painel_diario!$J1631=1),EXP(Painel_diario!$L1631),1)-1</f>
        <v/>
      </c>
      <c r="C1635" s="22">
        <f>(1+C1634)*IF(AND(Painel_diario!$H1631="EU_JU",Painel_diario!$J1631=1),EXP(Painel_diario!$L1631),1)-1</f>
        <v/>
      </c>
      <c r="D1635" s="22">
        <f>(1+D1634)*IF(AND(Painel_diario!$H1631="ED_JD",Painel_diario!$J1631=1),EXP(Painel_diario!$L1631),1)-1</f>
        <v/>
      </c>
      <c r="E1635" s="22">
        <f>(1+E1634)*IF(AND(Painel_diario!$H1631="ED_JU",Painel_diario!$J1631=1),EXP(Painel_diario!$L1631),1)-1</f>
        <v/>
      </c>
    </row>
    <row r="1636">
      <c r="A1636" s="25" t="n">
        <v>41222</v>
      </c>
      <c r="B1636" s="22">
        <f>(1+B1635)*IF(AND(Painel_diario!$H1632="EU_JD",Painel_diario!$J1632=1),EXP(Painel_diario!$L1632),1)-1</f>
        <v/>
      </c>
      <c r="C1636" s="22">
        <f>(1+C1635)*IF(AND(Painel_diario!$H1632="EU_JU",Painel_diario!$J1632=1),EXP(Painel_diario!$L1632),1)-1</f>
        <v/>
      </c>
      <c r="D1636" s="22">
        <f>(1+D1635)*IF(AND(Painel_diario!$H1632="ED_JD",Painel_diario!$J1632=1),EXP(Painel_diario!$L1632),1)-1</f>
        <v/>
      </c>
      <c r="E1636" s="22">
        <f>(1+E1635)*IF(AND(Painel_diario!$H1632="ED_JU",Painel_diario!$J1632=1),EXP(Painel_diario!$L1632),1)-1</f>
        <v/>
      </c>
    </row>
    <row r="1637">
      <c r="A1637" s="25" t="n">
        <v>41225</v>
      </c>
      <c r="B1637" s="22">
        <f>(1+B1636)*IF(AND(Painel_diario!$H1633="EU_JD",Painel_diario!$J1633=1),EXP(Painel_diario!$L1633),1)-1</f>
        <v/>
      </c>
      <c r="C1637" s="22">
        <f>(1+C1636)*IF(AND(Painel_diario!$H1633="EU_JU",Painel_diario!$J1633=1),EXP(Painel_diario!$L1633),1)-1</f>
        <v/>
      </c>
      <c r="D1637" s="22">
        <f>(1+D1636)*IF(AND(Painel_diario!$H1633="ED_JD",Painel_diario!$J1633=1),EXP(Painel_diario!$L1633),1)-1</f>
        <v/>
      </c>
      <c r="E1637" s="22">
        <f>(1+E1636)*IF(AND(Painel_diario!$H1633="ED_JU",Painel_diario!$J1633=1),EXP(Painel_diario!$L1633),1)-1</f>
        <v/>
      </c>
    </row>
    <row r="1638">
      <c r="A1638" s="25" t="n">
        <v>41226</v>
      </c>
      <c r="B1638" s="22">
        <f>(1+B1637)*IF(AND(Painel_diario!$H1634="EU_JD",Painel_diario!$J1634=1),EXP(Painel_diario!$L1634),1)-1</f>
        <v/>
      </c>
      <c r="C1638" s="22">
        <f>(1+C1637)*IF(AND(Painel_diario!$H1634="EU_JU",Painel_diario!$J1634=1),EXP(Painel_diario!$L1634),1)-1</f>
        <v/>
      </c>
      <c r="D1638" s="22">
        <f>(1+D1637)*IF(AND(Painel_diario!$H1634="ED_JD",Painel_diario!$J1634=1),EXP(Painel_diario!$L1634),1)-1</f>
        <v/>
      </c>
      <c r="E1638" s="22">
        <f>(1+E1637)*IF(AND(Painel_diario!$H1634="ED_JU",Painel_diario!$J1634=1),EXP(Painel_diario!$L1634),1)-1</f>
        <v/>
      </c>
    </row>
    <row r="1639">
      <c r="A1639" s="25" t="n">
        <v>41227</v>
      </c>
      <c r="B1639" s="22">
        <f>(1+B1638)*IF(AND(Painel_diario!$H1635="EU_JD",Painel_diario!$J1635=1),EXP(Painel_diario!$L1635),1)-1</f>
        <v/>
      </c>
      <c r="C1639" s="22">
        <f>(1+C1638)*IF(AND(Painel_diario!$H1635="EU_JU",Painel_diario!$J1635=1),EXP(Painel_diario!$L1635),1)-1</f>
        <v/>
      </c>
      <c r="D1639" s="22">
        <f>(1+D1638)*IF(AND(Painel_diario!$H1635="ED_JD",Painel_diario!$J1635=1),EXP(Painel_diario!$L1635),1)-1</f>
        <v/>
      </c>
      <c r="E1639" s="22">
        <f>(1+E1638)*IF(AND(Painel_diario!$H1635="ED_JU",Painel_diario!$J1635=1),EXP(Painel_diario!$L1635),1)-1</f>
        <v/>
      </c>
    </row>
    <row r="1640">
      <c r="A1640" s="25" t="n">
        <v>41229</v>
      </c>
      <c r="B1640" s="22">
        <f>(1+B1639)*IF(AND(Painel_diario!$H1636="EU_JD",Painel_diario!$J1636=1),EXP(Painel_diario!$L1636),1)-1</f>
        <v/>
      </c>
      <c r="C1640" s="22">
        <f>(1+C1639)*IF(AND(Painel_diario!$H1636="EU_JU",Painel_diario!$J1636=1),EXP(Painel_diario!$L1636),1)-1</f>
        <v/>
      </c>
      <c r="D1640" s="22">
        <f>(1+D1639)*IF(AND(Painel_diario!$H1636="ED_JD",Painel_diario!$J1636=1),EXP(Painel_diario!$L1636),1)-1</f>
        <v/>
      </c>
      <c r="E1640" s="22">
        <f>(1+E1639)*IF(AND(Painel_diario!$H1636="ED_JU",Painel_diario!$J1636=1),EXP(Painel_diario!$L1636),1)-1</f>
        <v/>
      </c>
    </row>
    <row r="1641">
      <c r="A1641" s="25" t="n">
        <v>41232</v>
      </c>
      <c r="B1641" s="22">
        <f>(1+B1640)*IF(AND(Painel_diario!$H1637="EU_JD",Painel_diario!$J1637=1),EXP(Painel_diario!$L1637),1)-1</f>
        <v/>
      </c>
      <c r="C1641" s="22">
        <f>(1+C1640)*IF(AND(Painel_diario!$H1637="EU_JU",Painel_diario!$J1637=1),EXP(Painel_diario!$L1637),1)-1</f>
        <v/>
      </c>
      <c r="D1641" s="22">
        <f>(1+D1640)*IF(AND(Painel_diario!$H1637="ED_JD",Painel_diario!$J1637=1),EXP(Painel_diario!$L1637),1)-1</f>
        <v/>
      </c>
      <c r="E1641" s="22">
        <f>(1+E1640)*IF(AND(Painel_diario!$H1637="ED_JU",Painel_diario!$J1637=1),EXP(Painel_diario!$L1637),1)-1</f>
        <v/>
      </c>
    </row>
    <row r="1642">
      <c r="A1642" s="25" t="n">
        <v>41234</v>
      </c>
      <c r="B1642" s="22">
        <f>(1+B1641)*IF(AND(Painel_diario!$H1638="EU_JD",Painel_diario!$J1638=1),EXP(Painel_diario!$L1638),1)-1</f>
        <v/>
      </c>
      <c r="C1642" s="22">
        <f>(1+C1641)*IF(AND(Painel_diario!$H1638="EU_JU",Painel_diario!$J1638=1),EXP(Painel_diario!$L1638),1)-1</f>
        <v/>
      </c>
      <c r="D1642" s="22">
        <f>(1+D1641)*IF(AND(Painel_diario!$H1638="ED_JD",Painel_diario!$J1638=1),EXP(Painel_diario!$L1638),1)-1</f>
        <v/>
      </c>
      <c r="E1642" s="22">
        <f>(1+E1641)*IF(AND(Painel_diario!$H1638="ED_JU",Painel_diario!$J1638=1),EXP(Painel_diario!$L1638),1)-1</f>
        <v/>
      </c>
    </row>
    <row r="1643">
      <c r="A1643" s="25" t="n">
        <v>41235</v>
      </c>
      <c r="B1643" s="22">
        <f>(1+B1642)*IF(AND(Painel_diario!$H1639="EU_JD",Painel_diario!$J1639=1),EXP(Painel_diario!$L1639),1)-1</f>
        <v/>
      </c>
      <c r="C1643" s="22">
        <f>(1+C1642)*IF(AND(Painel_diario!$H1639="EU_JU",Painel_diario!$J1639=1),EXP(Painel_diario!$L1639),1)-1</f>
        <v/>
      </c>
      <c r="D1643" s="22">
        <f>(1+D1642)*IF(AND(Painel_diario!$H1639="ED_JD",Painel_diario!$J1639=1),EXP(Painel_diario!$L1639),1)-1</f>
        <v/>
      </c>
      <c r="E1643" s="22">
        <f>(1+E1642)*IF(AND(Painel_diario!$H1639="ED_JU",Painel_diario!$J1639=1),EXP(Painel_diario!$L1639),1)-1</f>
        <v/>
      </c>
    </row>
    <row r="1644">
      <c r="A1644" s="25" t="n">
        <v>41236</v>
      </c>
      <c r="B1644" s="22">
        <f>(1+B1643)*IF(AND(Painel_diario!$H1640="EU_JD",Painel_diario!$J1640=1),EXP(Painel_diario!$L1640),1)-1</f>
        <v/>
      </c>
      <c r="C1644" s="22">
        <f>(1+C1643)*IF(AND(Painel_diario!$H1640="EU_JU",Painel_diario!$J1640=1),EXP(Painel_diario!$L1640),1)-1</f>
        <v/>
      </c>
      <c r="D1644" s="22">
        <f>(1+D1643)*IF(AND(Painel_diario!$H1640="ED_JD",Painel_diario!$J1640=1),EXP(Painel_diario!$L1640),1)-1</f>
        <v/>
      </c>
      <c r="E1644" s="22">
        <f>(1+E1643)*IF(AND(Painel_diario!$H1640="ED_JU",Painel_diario!$J1640=1),EXP(Painel_diario!$L1640),1)-1</f>
        <v/>
      </c>
    </row>
    <row r="1645">
      <c r="A1645" s="25" t="n">
        <v>41239</v>
      </c>
      <c r="B1645" s="22">
        <f>(1+B1644)*IF(AND(Painel_diario!$H1641="EU_JD",Painel_diario!$J1641=1),EXP(Painel_diario!$L1641),1)-1</f>
        <v/>
      </c>
      <c r="C1645" s="22">
        <f>(1+C1644)*IF(AND(Painel_diario!$H1641="EU_JU",Painel_diario!$J1641=1),EXP(Painel_diario!$L1641),1)-1</f>
        <v/>
      </c>
      <c r="D1645" s="22">
        <f>(1+D1644)*IF(AND(Painel_diario!$H1641="ED_JD",Painel_diario!$J1641=1),EXP(Painel_diario!$L1641),1)-1</f>
        <v/>
      </c>
      <c r="E1645" s="22">
        <f>(1+E1644)*IF(AND(Painel_diario!$H1641="ED_JU",Painel_diario!$J1641=1),EXP(Painel_diario!$L1641),1)-1</f>
        <v/>
      </c>
    </row>
    <row r="1646">
      <c r="A1646" s="25" t="n">
        <v>41240</v>
      </c>
      <c r="B1646" s="22">
        <f>(1+B1645)*IF(AND(Painel_diario!$H1642="EU_JD",Painel_diario!$J1642=1),EXP(Painel_diario!$L1642),1)-1</f>
        <v/>
      </c>
      <c r="C1646" s="22">
        <f>(1+C1645)*IF(AND(Painel_diario!$H1642="EU_JU",Painel_diario!$J1642=1),EXP(Painel_diario!$L1642),1)-1</f>
        <v/>
      </c>
      <c r="D1646" s="22">
        <f>(1+D1645)*IF(AND(Painel_diario!$H1642="ED_JD",Painel_diario!$J1642=1),EXP(Painel_diario!$L1642),1)-1</f>
        <v/>
      </c>
      <c r="E1646" s="22">
        <f>(1+E1645)*IF(AND(Painel_diario!$H1642="ED_JU",Painel_diario!$J1642=1),EXP(Painel_diario!$L1642),1)-1</f>
        <v/>
      </c>
    </row>
    <row r="1647">
      <c r="A1647" s="25" t="n">
        <v>41241</v>
      </c>
      <c r="B1647" s="22">
        <f>(1+B1646)*IF(AND(Painel_diario!$H1643="EU_JD",Painel_diario!$J1643=1),EXP(Painel_diario!$L1643),1)-1</f>
        <v/>
      </c>
      <c r="C1647" s="22">
        <f>(1+C1646)*IF(AND(Painel_diario!$H1643="EU_JU",Painel_diario!$J1643=1),EXP(Painel_diario!$L1643),1)-1</f>
        <v/>
      </c>
      <c r="D1647" s="22">
        <f>(1+D1646)*IF(AND(Painel_diario!$H1643="ED_JD",Painel_diario!$J1643=1),EXP(Painel_diario!$L1643),1)-1</f>
        <v/>
      </c>
      <c r="E1647" s="22">
        <f>(1+E1646)*IF(AND(Painel_diario!$H1643="ED_JU",Painel_diario!$J1643=1),EXP(Painel_diario!$L1643),1)-1</f>
        <v/>
      </c>
    </row>
    <row r="1648">
      <c r="A1648" s="25" t="n">
        <v>41242</v>
      </c>
      <c r="B1648" s="22">
        <f>(1+B1647)*IF(AND(Painel_diario!$H1644="EU_JD",Painel_diario!$J1644=1),EXP(Painel_diario!$L1644),1)-1</f>
        <v/>
      </c>
      <c r="C1648" s="22">
        <f>(1+C1647)*IF(AND(Painel_diario!$H1644="EU_JU",Painel_diario!$J1644=1),EXP(Painel_diario!$L1644),1)-1</f>
        <v/>
      </c>
      <c r="D1648" s="22">
        <f>(1+D1647)*IF(AND(Painel_diario!$H1644="ED_JD",Painel_diario!$J1644=1),EXP(Painel_diario!$L1644),1)-1</f>
        <v/>
      </c>
      <c r="E1648" s="22">
        <f>(1+E1647)*IF(AND(Painel_diario!$H1644="ED_JU",Painel_diario!$J1644=1),EXP(Painel_diario!$L1644),1)-1</f>
        <v/>
      </c>
    </row>
    <row r="1649">
      <c r="A1649" s="25" t="n">
        <v>41243</v>
      </c>
      <c r="B1649" s="22">
        <f>(1+B1648)*IF(AND(Painel_diario!$H1645="EU_JD",Painel_diario!$J1645=1),EXP(Painel_diario!$L1645),1)-1</f>
        <v/>
      </c>
      <c r="C1649" s="22">
        <f>(1+C1648)*IF(AND(Painel_diario!$H1645="EU_JU",Painel_diario!$J1645=1),EXP(Painel_diario!$L1645),1)-1</f>
        <v/>
      </c>
      <c r="D1649" s="22">
        <f>(1+D1648)*IF(AND(Painel_diario!$H1645="ED_JD",Painel_diario!$J1645=1),EXP(Painel_diario!$L1645),1)-1</f>
        <v/>
      </c>
      <c r="E1649" s="22">
        <f>(1+E1648)*IF(AND(Painel_diario!$H1645="ED_JU",Painel_diario!$J1645=1),EXP(Painel_diario!$L1645),1)-1</f>
        <v/>
      </c>
    </row>
    <row r="1650">
      <c r="A1650" s="25" t="n">
        <v>41246</v>
      </c>
      <c r="B1650" s="22">
        <f>(1+B1649)*IF(AND(Painel_diario!$H1646="EU_JD",Painel_diario!$J1646=1),EXP(Painel_diario!$L1646),1)-1</f>
        <v/>
      </c>
      <c r="C1650" s="22">
        <f>(1+C1649)*IF(AND(Painel_diario!$H1646="EU_JU",Painel_diario!$J1646=1),EXP(Painel_diario!$L1646),1)-1</f>
        <v/>
      </c>
      <c r="D1650" s="22">
        <f>(1+D1649)*IF(AND(Painel_diario!$H1646="ED_JD",Painel_diario!$J1646=1),EXP(Painel_diario!$L1646),1)-1</f>
        <v/>
      </c>
      <c r="E1650" s="22">
        <f>(1+E1649)*IF(AND(Painel_diario!$H1646="ED_JU",Painel_diario!$J1646=1),EXP(Painel_diario!$L1646),1)-1</f>
        <v/>
      </c>
    </row>
    <row r="1651">
      <c r="A1651" s="25" t="n">
        <v>41247</v>
      </c>
      <c r="B1651" s="22">
        <f>(1+B1650)*IF(AND(Painel_diario!$H1647="EU_JD",Painel_diario!$J1647=1),EXP(Painel_diario!$L1647),1)-1</f>
        <v/>
      </c>
      <c r="C1651" s="22">
        <f>(1+C1650)*IF(AND(Painel_diario!$H1647="EU_JU",Painel_diario!$J1647=1),EXP(Painel_diario!$L1647),1)-1</f>
        <v/>
      </c>
      <c r="D1651" s="22">
        <f>(1+D1650)*IF(AND(Painel_diario!$H1647="ED_JD",Painel_diario!$J1647=1),EXP(Painel_diario!$L1647),1)-1</f>
        <v/>
      </c>
      <c r="E1651" s="22">
        <f>(1+E1650)*IF(AND(Painel_diario!$H1647="ED_JU",Painel_diario!$J1647=1),EXP(Painel_diario!$L1647),1)-1</f>
        <v/>
      </c>
    </row>
    <row r="1652">
      <c r="A1652" s="25" t="n">
        <v>41248</v>
      </c>
      <c r="B1652" s="22">
        <f>(1+B1651)*IF(AND(Painel_diario!$H1648="EU_JD",Painel_diario!$J1648=1),EXP(Painel_diario!$L1648),1)-1</f>
        <v/>
      </c>
      <c r="C1652" s="22">
        <f>(1+C1651)*IF(AND(Painel_diario!$H1648="EU_JU",Painel_diario!$J1648=1),EXP(Painel_diario!$L1648),1)-1</f>
        <v/>
      </c>
      <c r="D1652" s="22">
        <f>(1+D1651)*IF(AND(Painel_diario!$H1648="ED_JD",Painel_diario!$J1648=1),EXP(Painel_diario!$L1648),1)-1</f>
        <v/>
      </c>
      <c r="E1652" s="22">
        <f>(1+E1651)*IF(AND(Painel_diario!$H1648="ED_JU",Painel_diario!$J1648=1),EXP(Painel_diario!$L1648),1)-1</f>
        <v/>
      </c>
    </row>
    <row r="1653">
      <c r="A1653" s="25" t="n">
        <v>41249</v>
      </c>
      <c r="B1653" s="22">
        <f>(1+B1652)*IF(AND(Painel_diario!$H1649="EU_JD",Painel_diario!$J1649=1),EXP(Painel_diario!$L1649),1)-1</f>
        <v/>
      </c>
      <c r="C1653" s="22">
        <f>(1+C1652)*IF(AND(Painel_diario!$H1649="EU_JU",Painel_diario!$J1649=1),EXP(Painel_diario!$L1649),1)-1</f>
        <v/>
      </c>
      <c r="D1653" s="22">
        <f>(1+D1652)*IF(AND(Painel_diario!$H1649="ED_JD",Painel_diario!$J1649=1),EXP(Painel_diario!$L1649),1)-1</f>
        <v/>
      </c>
      <c r="E1653" s="22">
        <f>(1+E1652)*IF(AND(Painel_diario!$H1649="ED_JU",Painel_diario!$J1649=1),EXP(Painel_diario!$L1649),1)-1</f>
        <v/>
      </c>
    </row>
    <row r="1654">
      <c r="A1654" s="25" t="n">
        <v>41250</v>
      </c>
      <c r="B1654" s="22">
        <f>(1+B1653)*IF(AND(Painel_diario!$H1650="EU_JD",Painel_diario!$J1650=1),EXP(Painel_diario!$L1650),1)-1</f>
        <v/>
      </c>
      <c r="C1654" s="22">
        <f>(1+C1653)*IF(AND(Painel_diario!$H1650="EU_JU",Painel_diario!$J1650=1),EXP(Painel_diario!$L1650),1)-1</f>
        <v/>
      </c>
      <c r="D1654" s="22">
        <f>(1+D1653)*IF(AND(Painel_diario!$H1650="ED_JD",Painel_diario!$J1650=1),EXP(Painel_diario!$L1650),1)-1</f>
        <v/>
      </c>
      <c r="E1654" s="22">
        <f>(1+E1653)*IF(AND(Painel_diario!$H1650="ED_JU",Painel_diario!$J1650=1),EXP(Painel_diario!$L1650),1)-1</f>
        <v/>
      </c>
    </row>
    <row r="1655">
      <c r="A1655" s="25" t="n">
        <v>41253</v>
      </c>
      <c r="B1655" s="22">
        <f>(1+B1654)*IF(AND(Painel_diario!$H1651="EU_JD",Painel_diario!$J1651=1),EXP(Painel_diario!$L1651),1)-1</f>
        <v/>
      </c>
      <c r="C1655" s="22">
        <f>(1+C1654)*IF(AND(Painel_diario!$H1651="EU_JU",Painel_diario!$J1651=1),EXP(Painel_diario!$L1651),1)-1</f>
        <v/>
      </c>
      <c r="D1655" s="22">
        <f>(1+D1654)*IF(AND(Painel_diario!$H1651="ED_JD",Painel_diario!$J1651=1),EXP(Painel_diario!$L1651),1)-1</f>
        <v/>
      </c>
      <c r="E1655" s="22">
        <f>(1+E1654)*IF(AND(Painel_diario!$H1651="ED_JU",Painel_diario!$J1651=1),EXP(Painel_diario!$L1651),1)-1</f>
        <v/>
      </c>
    </row>
    <row r="1656">
      <c r="A1656" s="25" t="n">
        <v>41254</v>
      </c>
      <c r="B1656" s="22">
        <f>(1+B1655)*IF(AND(Painel_diario!$H1652="EU_JD",Painel_diario!$J1652=1),EXP(Painel_diario!$L1652),1)-1</f>
        <v/>
      </c>
      <c r="C1656" s="22">
        <f>(1+C1655)*IF(AND(Painel_diario!$H1652="EU_JU",Painel_diario!$J1652=1),EXP(Painel_diario!$L1652),1)-1</f>
        <v/>
      </c>
      <c r="D1656" s="22">
        <f>(1+D1655)*IF(AND(Painel_diario!$H1652="ED_JD",Painel_diario!$J1652=1),EXP(Painel_diario!$L1652),1)-1</f>
        <v/>
      </c>
      <c r="E1656" s="22">
        <f>(1+E1655)*IF(AND(Painel_diario!$H1652="ED_JU",Painel_diario!$J1652=1),EXP(Painel_diario!$L1652),1)-1</f>
        <v/>
      </c>
    </row>
    <row r="1657">
      <c r="A1657" s="25" t="n">
        <v>41255</v>
      </c>
      <c r="B1657" s="22">
        <f>(1+B1656)*IF(AND(Painel_diario!$H1653="EU_JD",Painel_diario!$J1653=1),EXP(Painel_diario!$L1653),1)-1</f>
        <v/>
      </c>
      <c r="C1657" s="22">
        <f>(1+C1656)*IF(AND(Painel_diario!$H1653="EU_JU",Painel_diario!$J1653=1),EXP(Painel_diario!$L1653),1)-1</f>
        <v/>
      </c>
      <c r="D1657" s="22">
        <f>(1+D1656)*IF(AND(Painel_diario!$H1653="ED_JD",Painel_diario!$J1653=1),EXP(Painel_diario!$L1653),1)-1</f>
        <v/>
      </c>
      <c r="E1657" s="22">
        <f>(1+E1656)*IF(AND(Painel_diario!$H1653="ED_JU",Painel_diario!$J1653=1),EXP(Painel_diario!$L1653),1)-1</f>
        <v/>
      </c>
    </row>
    <row r="1658">
      <c r="A1658" s="25" t="n">
        <v>41256</v>
      </c>
      <c r="B1658" s="22">
        <f>(1+B1657)*IF(AND(Painel_diario!$H1654="EU_JD",Painel_diario!$J1654=1),EXP(Painel_diario!$L1654),1)-1</f>
        <v/>
      </c>
      <c r="C1658" s="22">
        <f>(1+C1657)*IF(AND(Painel_diario!$H1654="EU_JU",Painel_diario!$J1654=1),EXP(Painel_diario!$L1654),1)-1</f>
        <v/>
      </c>
      <c r="D1658" s="22">
        <f>(1+D1657)*IF(AND(Painel_diario!$H1654="ED_JD",Painel_diario!$J1654=1),EXP(Painel_diario!$L1654),1)-1</f>
        <v/>
      </c>
      <c r="E1658" s="22">
        <f>(1+E1657)*IF(AND(Painel_diario!$H1654="ED_JU",Painel_diario!$J1654=1),EXP(Painel_diario!$L1654),1)-1</f>
        <v/>
      </c>
    </row>
    <row r="1659">
      <c r="A1659" s="25" t="n">
        <v>41257</v>
      </c>
      <c r="B1659" s="22">
        <f>(1+B1658)*IF(AND(Painel_diario!$H1655="EU_JD",Painel_diario!$J1655=1),EXP(Painel_diario!$L1655),1)-1</f>
        <v/>
      </c>
      <c r="C1659" s="22">
        <f>(1+C1658)*IF(AND(Painel_diario!$H1655="EU_JU",Painel_diario!$J1655=1),EXP(Painel_diario!$L1655),1)-1</f>
        <v/>
      </c>
      <c r="D1659" s="22">
        <f>(1+D1658)*IF(AND(Painel_diario!$H1655="ED_JD",Painel_diario!$J1655=1),EXP(Painel_diario!$L1655),1)-1</f>
        <v/>
      </c>
      <c r="E1659" s="22">
        <f>(1+E1658)*IF(AND(Painel_diario!$H1655="ED_JU",Painel_diario!$J1655=1),EXP(Painel_diario!$L1655),1)-1</f>
        <v/>
      </c>
    </row>
    <row r="1660">
      <c r="A1660" s="25" t="n">
        <v>41260</v>
      </c>
      <c r="B1660" s="22">
        <f>(1+B1659)*IF(AND(Painel_diario!$H1656="EU_JD",Painel_diario!$J1656=1),EXP(Painel_diario!$L1656),1)-1</f>
        <v/>
      </c>
      <c r="C1660" s="22">
        <f>(1+C1659)*IF(AND(Painel_diario!$H1656="EU_JU",Painel_diario!$J1656=1),EXP(Painel_diario!$L1656),1)-1</f>
        <v/>
      </c>
      <c r="D1660" s="22">
        <f>(1+D1659)*IF(AND(Painel_diario!$H1656="ED_JD",Painel_diario!$J1656=1),EXP(Painel_diario!$L1656),1)-1</f>
        <v/>
      </c>
      <c r="E1660" s="22">
        <f>(1+E1659)*IF(AND(Painel_diario!$H1656="ED_JU",Painel_diario!$J1656=1),EXP(Painel_diario!$L1656),1)-1</f>
        <v/>
      </c>
    </row>
    <row r="1661">
      <c r="A1661" s="25" t="n">
        <v>41261</v>
      </c>
      <c r="B1661" s="22">
        <f>(1+B1660)*IF(AND(Painel_diario!$H1657="EU_JD",Painel_diario!$J1657=1),EXP(Painel_diario!$L1657),1)-1</f>
        <v/>
      </c>
      <c r="C1661" s="22">
        <f>(1+C1660)*IF(AND(Painel_diario!$H1657="EU_JU",Painel_diario!$J1657=1),EXP(Painel_diario!$L1657),1)-1</f>
        <v/>
      </c>
      <c r="D1661" s="22">
        <f>(1+D1660)*IF(AND(Painel_diario!$H1657="ED_JD",Painel_diario!$J1657=1),EXP(Painel_diario!$L1657),1)-1</f>
        <v/>
      </c>
      <c r="E1661" s="22">
        <f>(1+E1660)*IF(AND(Painel_diario!$H1657="ED_JU",Painel_diario!$J1657=1),EXP(Painel_diario!$L1657),1)-1</f>
        <v/>
      </c>
    </row>
    <row r="1662">
      <c r="A1662" s="25" t="n">
        <v>41262</v>
      </c>
      <c r="B1662" s="22">
        <f>(1+B1661)*IF(AND(Painel_diario!$H1658="EU_JD",Painel_diario!$J1658=1),EXP(Painel_diario!$L1658),1)-1</f>
        <v/>
      </c>
      <c r="C1662" s="22">
        <f>(1+C1661)*IF(AND(Painel_diario!$H1658="EU_JU",Painel_diario!$J1658=1),EXP(Painel_diario!$L1658),1)-1</f>
        <v/>
      </c>
      <c r="D1662" s="22">
        <f>(1+D1661)*IF(AND(Painel_diario!$H1658="ED_JD",Painel_diario!$J1658=1),EXP(Painel_diario!$L1658),1)-1</f>
        <v/>
      </c>
      <c r="E1662" s="22">
        <f>(1+E1661)*IF(AND(Painel_diario!$H1658="ED_JU",Painel_diario!$J1658=1),EXP(Painel_diario!$L1658),1)-1</f>
        <v/>
      </c>
    </row>
    <row r="1663">
      <c r="A1663" s="25" t="n">
        <v>41263</v>
      </c>
      <c r="B1663" s="22">
        <f>(1+B1662)*IF(AND(Painel_diario!$H1659="EU_JD",Painel_diario!$J1659=1),EXP(Painel_diario!$L1659),1)-1</f>
        <v/>
      </c>
      <c r="C1663" s="22">
        <f>(1+C1662)*IF(AND(Painel_diario!$H1659="EU_JU",Painel_diario!$J1659=1),EXP(Painel_diario!$L1659),1)-1</f>
        <v/>
      </c>
      <c r="D1663" s="22">
        <f>(1+D1662)*IF(AND(Painel_diario!$H1659="ED_JD",Painel_diario!$J1659=1),EXP(Painel_diario!$L1659),1)-1</f>
        <v/>
      </c>
      <c r="E1663" s="22">
        <f>(1+E1662)*IF(AND(Painel_diario!$H1659="ED_JU",Painel_diario!$J1659=1),EXP(Painel_diario!$L1659),1)-1</f>
        <v/>
      </c>
    </row>
    <row r="1664">
      <c r="A1664" s="25" t="n">
        <v>41264</v>
      </c>
      <c r="B1664" s="22">
        <f>(1+B1663)*IF(AND(Painel_diario!$H1660="EU_JD",Painel_diario!$J1660=1),EXP(Painel_diario!$L1660),1)-1</f>
        <v/>
      </c>
      <c r="C1664" s="22">
        <f>(1+C1663)*IF(AND(Painel_diario!$H1660="EU_JU",Painel_diario!$J1660=1),EXP(Painel_diario!$L1660),1)-1</f>
        <v/>
      </c>
      <c r="D1664" s="22">
        <f>(1+D1663)*IF(AND(Painel_diario!$H1660="ED_JD",Painel_diario!$J1660=1),EXP(Painel_diario!$L1660),1)-1</f>
        <v/>
      </c>
      <c r="E1664" s="22">
        <f>(1+E1663)*IF(AND(Painel_diario!$H1660="ED_JU",Painel_diario!$J1660=1),EXP(Painel_diario!$L1660),1)-1</f>
        <v/>
      </c>
    </row>
    <row r="1665">
      <c r="A1665" s="25" t="n">
        <v>41269</v>
      </c>
      <c r="B1665" s="22">
        <f>(1+B1664)*IF(AND(Painel_diario!$H1661="EU_JD",Painel_diario!$J1661=1),EXP(Painel_diario!$L1661),1)-1</f>
        <v/>
      </c>
      <c r="C1665" s="22">
        <f>(1+C1664)*IF(AND(Painel_diario!$H1661="EU_JU",Painel_diario!$J1661=1),EXP(Painel_diario!$L1661),1)-1</f>
        <v/>
      </c>
      <c r="D1665" s="22">
        <f>(1+D1664)*IF(AND(Painel_diario!$H1661="ED_JD",Painel_diario!$J1661=1),EXP(Painel_diario!$L1661),1)-1</f>
        <v/>
      </c>
      <c r="E1665" s="22">
        <f>(1+E1664)*IF(AND(Painel_diario!$H1661="ED_JU",Painel_diario!$J1661=1),EXP(Painel_diario!$L1661),1)-1</f>
        <v/>
      </c>
    </row>
    <row r="1666">
      <c r="A1666" s="25" t="n">
        <v>41270</v>
      </c>
      <c r="B1666" s="22">
        <f>(1+B1665)*IF(AND(Painel_diario!$H1662="EU_JD",Painel_diario!$J1662=1),EXP(Painel_diario!$L1662),1)-1</f>
        <v/>
      </c>
      <c r="C1666" s="22">
        <f>(1+C1665)*IF(AND(Painel_diario!$H1662="EU_JU",Painel_diario!$J1662=1),EXP(Painel_diario!$L1662),1)-1</f>
        <v/>
      </c>
      <c r="D1666" s="22">
        <f>(1+D1665)*IF(AND(Painel_diario!$H1662="ED_JD",Painel_diario!$J1662=1),EXP(Painel_diario!$L1662),1)-1</f>
        <v/>
      </c>
      <c r="E1666" s="22">
        <f>(1+E1665)*IF(AND(Painel_diario!$H1662="ED_JU",Painel_diario!$J1662=1),EXP(Painel_diario!$L1662),1)-1</f>
        <v/>
      </c>
    </row>
    <row r="1667">
      <c r="A1667" s="25" t="n">
        <v>41271</v>
      </c>
      <c r="B1667" s="22">
        <f>(1+B1666)*IF(AND(Painel_diario!$H1663="EU_JD",Painel_diario!$J1663=1),EXP(Painel_diario!$L1663),1)-1</f>
        <v/>
      </c>
      <c r="C1667" s="22">
        <f>(1+C1666)*IF(AND(Painel_diario!$H1663="EU_JU",Painel_diario!$J1663=1),EXP(Painel_diario!$L1663),1)-1</f>
        <v/>
      </c>
      <c r="D1667" s="22">
        <f>(1+D1666)*IF(AND(Painel_diario!$H1663="ED_JD",Painel_diario!$J1663=1),EXP(Painel_diario!$L1663),1)-1</f>
        <v/>
      </c>
      <c r="E1667" s="22">
        <f>(1+E1666)*IF(AND(Painel_diario!$H1663="ED_JU",Painel_diario!$J1663=1),EXP(Painel_diario!$L1663),1)-1</f>
        <v/>
      </c>
    </row>
    <row r="1668">
      <c r="A1668" s="25" t="n">
        <v>41276</v>
      </c>
      <c r="B1668" s="22">
        <f>(1+B1667)*IF(AND(Painel_diario!$H1664="EU_JD",Painel_diario!$J1664=1),EXP(Painel_diario!$L1664),1)-1</f>
        <v/>
      </c>
      <c r="C1668" s="22">
        <f>(1+C1667)*IF(AND(Painel_diario!$H1664="EU_JU",Painel_diario!$J1664=1),EXP(Painel_diario!$L1664),1)-1</f>
        <v/>
      </c>
      <c r="D1668" s="22">
        <f>(1+D1667)*IF(AND(Painel_diario!$H1664="ED_JD",Painel_diario!$J1664=1),EXP(Painel_diario!$L1664),1)-1</f>
        <v/>
      </c>
      <c r="E1668" s="22">
        <f>(1+E1667)*IF(AND(Painel_diario!$H1664="ED_JU",Painel_diario!$J1664=1),EXP(Painel_diario!$L1664),1)-1</f>
        <v/>
      </c>
    </row>
    <row r="1669">
      <c r="A1669" s="25" t="n">
        <v>41277</v>
      </c>
      <c r="B1669" s="22">
        <f>(1+B1668)*IF(AND(Painel_diario!$H1665="EU_JD",Painel_diario!$J1665=1),EXP(Painel_diario!$L1665),1)-1</f>
        <v/>
      </c>
      <c r="C1669" s="22">
        <f>(1+C1668)*IF(AND(Painel_diario!$H1665="EU_JU",Painel_diario!$J1665=1),EXP(Painel_diario!$L1665),1)-1</f>
        <v/>
      </c>
      <c r="D1669" s="22">
        <f>(1+D1668)*IF(AND(Painel_diario!$H1665="ED_JD",Painel_diario!$J1665=1),EXP(Painel_diario!$L1665),1)-1</f>
        <v/>
      </c>
      <c r="E1669" s="22">
        <f>(1+E1668)*IF(AND(Painel_diario!$H1665="ED_JU",Painel_diario!$J1665=1),EXP(Painel_diario!$L1665),1)-1</f>
        <v/>
      </c>
    </row>
    <row r="1670">
      <c r="A1670" s="25" t="n">
        <v>41278</v>
      </c>
      <c r="B1670" s="22">
        <f>(1+B1669)*IF(AND(Painel_diario!$H1666="EU_JD",Painel_diario!$J1666=1),EXP(Painel_diario!$L1666),1)-1</f>
        <v/>
      </c>
      <c r="C1670" s="22">
        <f>(1+C1669)*IF(AND(Painel_diario!$H1666="EU_JU",Painel_diario!$J1666=1),EXP(Painel_diario!$L1666),1)-1</f>
        <v/>
      </c>
      <c r="D1670" s="22">
        <f>(1+D1669)*IF(AND(Painel_diario!$H1666="ED_JD",Painel_diario!$J1666=1),EXP(Painel_diario!$L1666),1)-1</f>
        <v/>
      </c>
      <c r="E1670" s="22">
        <f>(1+E1669)*IF(AND(Painel_diario!$H1666="ED_JU",Painel_diario!$J1666=1),EXP(Painel_diario!$L1666),1)-1</f>
        <v/>
      </c>
    </row>
    <row r="1671">
      <c r="A1671" s="25" t="n">
        <v>41281</v>
      </c>
      <c r="B1671" s="22">
        <f>(1+B1670)*IF(AND(Painel_diario!$H1667="EU_JD",Painel_diario!$J1667=1),EXP(Painel_diario!$L1667),1)-1</f>
        <v/>
      </c>
      <c r="C1671" s="22">
        <f>(1+C1670)*IF(AND(Painel_diario!$H1667="EU_JU",Painel_diario!$J1667=1),EXP(Painel_diario!$L1667),1)-1</f>
        <v/>
      </c>
      <c r="D1671" s="22">
        <f>(1+D1670)*IF(AND(Painel_diario!$H1667="ED_JD",Painel_diario!$J1667=1),EXP(Painel_diario!$L1667),1)-1</f>
        <v/>
      </c>
      <c r="E1671" s="22">
        <f>(1+E1670)*IF(AND(Painel_diario!$H1667="ED_JU",Painel_diario!$J1667=1),EXP(Painel_diario!$L1667),1)-1</f>
        <v/>
      </c>
    </row>
    <row r="1672">
      <c r="A1672" s="25" t="n">
        <v>41282</v>
      </c>
      <c r="B1672" s="22">
        <f>(1+B1671)*IF(AND(Painel_diario!$H1668="EU_JD",Painel_diario!$J1668=1),EXP(Painel_diario!$L1668),1)-1</f>
        <v/>
      </c>
      <c r="C1672" s="22">
        <f>(1+C1671)*IF(AND(Painel_diario!$H1668="EU_JU",Painel_diario!$J1668=1),EXP(Painel_diario!$L1668),1)-1</f>
        <v/>
      </c>
      <c r="D1672" s="22">
        <f>(1+D1671)*IF(AND(Painel_diario!$H1668="ED_JD",Painel_diario!$J1668=1),EXP(Painel_diario!$L1668),1)-1</f>
        <v/>
      </c>
      <c r="E1672" s="22">
        <f>(1+E1671)*IF(AND(Painel_diario!$H1668="ED_JU",Painel_diario!$J1668=1),EXP(Painel_diario!$L1668),1)-1</f>
        <v/>
      </c>
    </row>
    <row r="1673">
      <c r="A1673" s="25" t="n">
        <v>41283</v>
      </c>
      <c r="B1673" s="22">
        <f>(1+B1672)*IF(AND(Painel_diario!$H1669="EU_JD",Painel_diario!$J1669=1),EXP(Painel_diario!$L1669),1)-1</f>
        <v/>
      </c>
      <c r="C1673" s="22">
        <f>(1+C1672)*IF(AND(Painel_diario!$H1669="EU_JU",Painel_diario!$J1669=1),EXP(Painel_diario!$L1669),1)-1</f>
        <v/>
      </c>
      <c r="D1673" s="22">
        <f>(1+D1672)*IF(AND(Painel_diario!$H1669="ED_JD",Painel_diario!$J1669=1),EXP(Painel_diario!$L1669),1)-1</f>
        <v/>
      </c>
      <c r="E1673" s="22">
        <f>(1+E1672)*IF(AND(Painel_diario!$H1669="ED_JU",Painel_diario!$J1669=1),EXP(Painel_diario!$L1669),1)-1</f>
        <v/>
      </c>
    </row>
    <row r="1674">
      <c r="A1674" s="25" t="n">
        <v>41284</v>
      </c>
      <c r="B1674" s="22">
        <f>(1+B1673)*IF(AND(Painel_diario!$H1670="EU_JD",Painel_diario!$J1670=1),EXP(Painel_diario!$L1670),1)-1</f>
        <v/>
      </c>
      <c r="C1674" s="22">
        <f>(1+C1673)*IF(AND(Painel_diario!$H1670="EU_JU",Painel_diario!$J1670=1),EXP(Painel_diario!$L1670),1)-1</f>
        <v/>
      </c>
      <c r="D1674" s="22">
        <f>(1+D1673)*IF(AND(Painel_diario!$H1670="ED_JD",Painel_diario!$J1670=1),EXP(Painel_diario!$L1670),1)-1</f>
        <v/>
      </c>
      <c r="E1674" s="22">
        <f>(1+E1673)*IF(AND(Painel_diario!$H1670="ED_JU",Painel_diario!$J1670=1),EXP(Painel_diario!$L1670),1)-1</f>
        <v/>
      </c>
    </row>
    <row r="1675">
      <c r="A1675" s="25" t="n">
        <v>41285</v>
      </c>
      <c r="B1675" s="22">
        <f>(1+B1674)*IF(AND(Painel_diario!$H1671="EU_JD",Painel_diario!$J1671=1),EXP(Painel_diario!$L1671),1)-1</f>
        <v/>
      </c>
      <c r="C1675" s="22">
        <f>(1+C1674)*IF(AND(Painel_diario!$H1671="EU_JU",Painel_diario!$J1671=1),EXP(Painel_diario!$L1671),1)-1</f>
        <v/>
      </c>
      <c r="D1675" s="22">
        <f>(1+D1674)*IF(AND(Painel_diario!$H1671="ED_JD",Painel_diario!$J1671=1),EXP(Painel_diario!$L1671),1)-1</f>
        <v/>
      </c>
      <c r="E1675" s="22">
        <f>(1+E1674)*IF(AND(Painel_diario!$H1671="ED_JU",Painel_diario!$J1671=1),EXP(Painel_diario!$L1671),1)-1</f>
        <v/>
      </c>
    </row>
    <row r="1676">
      <c r="A1676" s="25" t="n">
        <v>41288</v>
      </c>
      <c r="B1676" s="22">
        <f>(1+B1675)*IF(AND(Painel_diario!$H1672="EU_JD",Painel_diario!$J1672=1),EXP(Painel_diario!$L1672),1)-1</f>
        <v/>
      </c>
      <c r="C1676" s="22">
        <f>(1+C1675)*IF(AND(Painel_diario!$H1672="EU_JU",Painel_diario!$J1672=1),EXP(Painel_diario!$L1672),1)-1</f>
        <v/>
      </c>
      <c r="D1676" s="22">
        <f>(1+D1675)*IF(AND(Painel_diario!$H1672="ED_JD",Painel_diario!$J1672=1),EXP(Painel_diario!$L1672),1)-1</f>
        <v/>
      </c>
      <c r="E1676" s="22">
        <f>(1+E1675)*IF(AND(Painel_diario!$H1672="ED_JU",Painel_diario!$J1672=1),EXP(Painel_diario!$L1672),1)-1</f>
        <v/>
      </c>
    </row>
    <row r="1677">
      <c r="A1677" s="25" t="n">
        <v>41289</v>
      </c>
      <c r="B1677" s="22">
        <f>(1+B1676)*IF(AND(Painel_diario!$H1673="EU_JD",Painel_diario!$J1673=1),EXP(Painel_diario!$L1673),1)-1</f>
        <v/>
      </c>
      <c r="C1677" s="22">
        <f>(1+C1676)*IF(AND(Painel_diario!$H1673="EU_JU",Painel_diario!$J1673=1),EXP(Painel_diario!$L1673),1)-1</f>
        <v/>
      </c>
      <c r="D1677" s="22">
        <f>(1+D1676)*IF(AND(Painel_diario!$H1673="ED_JD",Painel_diario!$J1673=1),EXP(Painel_diario!$L1673),1)-1</f>
        <v/>
      </c>
      <c r="E1677" s="22">
        <f>(1+E1676)*IF(AND(Painel_diario!$H1673="ED_JU",Painel_diario!$J1673=1),EXP(Painel_diario!$L1673),1)-1</f>
        <v/>
      </c>
    </row>
    <row r="1678">
      <c r="A1678" s="25" t="n">
        <v>41290</v>
      </c>
      <c r="B1678" s="22">
        <f>(1+B1677)*IF(AND(Painel_diario!$H1674="EU_JD",Painel_diario!$J1674=1),EXP(Painel_diario!$L1674),1)-1</f>
        <v/>
      </c>
      <c r="C1678" s="22">
        <f>(1+C1677)*IF(AND(Painel_diario!$H1674="EU_JU",Painel_diario!$J1674=1),EXP(Painel_diario!$L1674),1)-1</f>
        <v/>
      </c>
      <c r="D1678" s="22">
        <f>(1+D1677)*IF(AND(Painel_diario!$H1674="ED_JD",Painel_diario!$J1674=1),EXP(Painel_diario!$L1674),1)-1</f>
        <v/>
      </c>
      <c r="E1678" s="22">
        <f>(1+E1677)*IF(AND(Painel_diario!$H1674="ED_JU",Painel_diario!$J1674=1),EXP(Painel_diario!$L1674),1)-1</f>
        <v/>
      </c>
    </row>
    <row r="1679">
      <c r="A1679" s="25" t="n">
        <v>41291</v>
      </c>
      <c r="B1679" s="22">
        <f>(1+B1678)*IF(AND(Painel_diario!$H1675="EU_JD",Painel_diario!$J1675=1),EXP(Painel_diario!$L1675),1)-1</f>
        <v/>
      </c>
      <c r="C1679" s="22">
        <f>(1+C1678)*IF(AND(Painel_diario!$H1675="EU_JU",Painel_diario!$J1675=1),EXP(Painel_diario!$L1675),1)-1</f>
        <v/>
      </c>
      <c r="D1679" s="22">
        <f>(1+D1678)*IF(AND(Painel_diario!$H1675="ED_JD",Painel_diario!$J1675=1),EXP(Painel_diario!$L1675),1)-1</f>
        <v/>
      </c>
      <c r="E1679" s="22">
        <f>(1+E1678)*IF(AND(Painel_diario!$H1675="ED_JU",Painel_diario!$J1675=1),EXP(Painel_diario!$L1675),1)-1</f>
        <v/>
      </c>
    </row>
    <row r="1680">
      <c r="A1680" s="25" t="n">
        <v>41292</v>
      </c>
      <c r="B1680" s="22">
        <f>(1+B1679)*IF(AND(Painel_diario!$H1676="EU_JD",Painel_diario!$J1676=1),EXP(Painel_diario!$L1676),1)-1</f>
        <v/>
      </c>
      <c r="C1680" s="22">
        <f>(1+C1679)*IF(AND(Painel_diario!$H1676="EU_JU",Painel_diario!$J1676=1),EXP(Painel_diario!$L1676),1)-1</f>
        <v/>
      </c>
      <c r="D1680" s="22">
        <f>(1+D1679)*IF(AND(Painel_diario!$H1676="ED_JD",Painel_diario!$J1676=1),EXP(Painel_diario!$L1676),1)-1</f>
        <v/>
      </c>
      <c r="E1680" s="22">
        <f>(1+E1679)*IF(AND(Painel_diario!$H1676="ED_JU",Painel_diario!$J1676=1),EXP(Painel_diario!$L1676),1)-1</f>
        <v/>
      </c>
    </row>
    <row r="1681">
      <c r="A1681" s="25" t="n">
        <v>41295</v>
      </c>
      <c r="B1681" s="22">
        <f>(1+B1680)*IF(AND(Painel_diario!$H1677="EU_JD",Painel_diario!$J1677=1),EXP(Painel_diario!$L1677),1)-1</f>
        <v/>
      </c>
      <c r="C1681" s="22">
        <f>(1+C1680)*IF(AND(Painel_diario!$H1677="EU_JU",Painel_diario!$J1677=1),EXP(Painel_diario!$L1677),1)-1</f>
        <v/>
      </c>
      <c r="D1681" s="22">
        <f>(1+D1680)*IF(AND(Painel_diario!$H1677="ED_JD",Painel_diario!$J1677=1),EXP(Painel_diario!$L1677),1)-1</f>
        <v/>
      </c>
      <c r="E1681" s="22">
        <f>(1+E1680)*IF(AND(Painel_diario!$H1677="ED_JU",Painel_diario!$J1677=1),EXP(Painel_diario!$L1677),1)-1</f>
        <v/>
      </c>
    </row>
    <row r="1682">
      <c r="A1682" s="25" t="n">
        <v>41296</v>
      </c>
      <c r="B1682" s="22">
        <f>(1+B1681)*IF(AND(Painel_diario!$H1678="EU_JD",Painel_diario!$J1678=1),EXP(Painel_diario!$L1678),1)-1</f>
        <v/>
      </c>
      <c r="C1682" s="22">
        <f>(1+C1681)*IF(AND(Painel_diario!$H1678="EU_JU",Painel_diario!$J1678=1),EXP(Painel_diario!$L1678),1)-1</f>
        <v/>
      </c>
      <c r="D1682" s="22">
        <f>(1+D1681)*IF(AND(Painel_diario!$H1678="ED_JD",Painel_diario!$J1678=1),EXP(Painel_diario!$L1678),1)-1</f>
        <v/>
      </c>
      <c r="E1682" s="22">
        <f>(1+E1681)*IF(AND(Painel_diario!$H1678="ED_JU",Painel_diario!$J1678=1),EXP(Painel_diario!$L1678),1)-1</f>
        <v/>
      </c>
    </row>
    <row r="1683">
      <c r="A1683" s="25" t="n">
        <v>41297</v>
      </c>
      <c r="B1683" s="22">
        <f>(1+B1682)*IF(AND(Painel_diario!$H1679="EU_JD",Painel_diario!$J1679=1),EXP(Painel_diario!$L1679),1)-1</f>
        <v/>
      </c>
      <c r="C1683" s="22">
        <f>(1+C1682)*IF(AND(Painel_diario!$H1679="EU_JU",Painel_diario!$J1679=1),EXP(Painel_diario!$L1679),1)-1</f>
        <v/>
      </c>
      <c r="D1683" s="22">
        <f>(1+D1682)*IF(AND(Painel_diario!$H1679="ED_JD",Painel_diario!$J1679=1),EXP(Painel_diario!$L1679),1)-1</f>
        <v/>
      </c>
      <c r="E1683" s="22">
        <f>(1+E1682)*IF(AND(Painel_diario!$H1679="ED_JU",Painel_diario!$J1679=1),EXP(Painel_diario!$L1679),1)-1</f>
        <v/>
      </c>
    </row>
    <row r="1684">
      <c r="A1684" s="25" t="n">
        <v>41298</v>
      </c>
      <c r="B1684" s="22">
        <f>(1+B1683)*IF(AND(Painel_diario!$H1680="EU_JD",Painel_diario!$J1680=1),EXP(Painel_diario!$L1680),1)-1</f>
        <v/>
      </c>
      <c r="C1684" s="22">
        <f>(1+C1683)*IF(AND(Painel_diario!$H1680="EU_JU",Painel_diario!$J1680=1),EXP(Painel_diario!$L1680),1)-1</f>
        <v/>
      </c>
      <c r="D1684" s="22">
        <f>(1+D1683)*IF(AND(Painel_diario!$H1680="ED_JD",Painel_diario!$J1680=1),EXP(Painel_diario!$L1680),1)-1</f>
        <v/>
      </c>
      <c r="E1684" s="22">
        <f>(1+E1683)*IF(AND(Painel_diario!$H1680="ED_JU",Painel_diario!$J1680=1),EXP(Painel_diario!$L1680),1)-1</f>
        <v/>
      </c>
    </row>
    <row r="1685">
      <c r="A1685" s="25" t="n">
        <v>41302</v>
      </c>
      <c r="B1685" s="22">
        <f>(1+B1684)*IF(AND(Painel_diario!$H1681="EU_JD",Painel_diario!$J1681=1),EXP(Painel_diario!$L1681),1)-1</f>
        <v/>
      </c>
      <c r="C1685" s="22">
        <f>(1+C1684)*IF(AND(Painel_diario!$H1681="EU_JU",Painel_diario!$J1681=1),EXP(Painel_diario!$L1681),1)-1</f>
        <v/>
      </c>
      <c r="D1685" s="22">
        <f>(1+D1684)*IF(AND(Painel_diario!$H1681="ED_JD",Painel_diario!$J1681=1),EXP(Painel_diario!$L1681),1)-1</f>
        <v/>
      </c>
      <c r="E1685" s="22">
        <f>(1+E1684)*IF(AND(Painel_diario!$H1681="ED_JU",Painel_diario!$J1681=1),EXP(Painel_diario!$L1681),1)-1</f>
        <v/>
      </c>
    </row>
    <row r="1686">
      <c r="A1686" s="25" t="n">
        <v>41303</v>
      </c>
      <c r="B1686" s="22">
        <f>(1+B1685)*IF(AND(Painel_diario!$H1682="EU_JD",Painel_diario!$J1682=1),EXP(Painel_diario!$L1682),1)-1</f>
        <v/>
      </c>
      <c r="C1686" s="22">
        <f>(1+C1685)*IF(AND(Painel_diario!$H1682="EU_JU",Painel_diario!$J1682=1),EXP(Painel_diario!$L1682),1)-1</f>
        <v/>
      </c>
      <c r="D1686" s="22">
        <f>(1+D1685)*IF(AND(Painel_diario!$H1682="ED_JD",Painel_diario!$J1682=1),EXP(Painel_diario!$L1682),1)-1</f>
        <v/>
      </c>
      <c r="E1686" s="22">
        <f>(1+E1685)*IF(AND(Painel_diario!$H1682="ED_JU",Painel_diario!$J1682=1),EXP(Painel_diario!$L1682),1)-1</f>
        <v/>
      </c>
    </row>
    <row r="1687">
      <c r="A1687" s="25" t="n">
        <v>41304</v>
      </c>
      <c r="B1687" s="22">
        <f>(1+B1686)*IF(AND(Painel_diario!$H1683="EU_JD",Painel_diario!$J1683=1),EXP(Painel_diario!$L1683),1)-1</f>
        <v/>
      </c>
      <c r="C1687" s="22">
        <f>(1+C1686)*IF(AND(Painel_diario!$H1683="EU_JU",Painel_diario!$J1683=1),EXP(Painel_diario!$L1683),1)-1</f>
        <v/>
      </c>
      <c r="D1687" s="22">
        <f>(1+D1686)*IF(AND(Painel_diario!$H1683="ED_JD",Painel_diario!$J1683=1),EXP(Painel_diario!$L1683),1)-1</f>
        <v/>
      </c>
      <c r="E1687" s="22">
        <f>(1+E1686)*IF(AND(Painel_diario!$H1683="ED_JU",Painel_diario!$J1683=1),EXP(Painel_diario!$L1683),1)-1</f>
        <v/>
      </c>
    </row>
    <row r="1688">
      <c r="A1688" s="25" t="n">
        <v>41305</v>
      </c>
      <c r="B1688" s="22">
        <f>(1+B1687)*IF(AND(Painel_diario!$H1684="EU_JD",Painel_diario!$J1684=1),EXP(Painel_diario!$L1684),1)-1</f>
        <v/>
      </c>
      <c r="C1688" s="22">
        <f>(1+C1687)*IF(AND(Painel_diario!$H1684="EU_JU",Painel_diario!$J1684=1),EXP(Painel_diario!$L1684),1)-1</f>
        <v/>
      </c>
      <c r="D1688" s="22">
        <f>(1+D1687)*IF(AND(Painel_diario!$H1684="ED_JD",Painel_diario!$J1684=1),EXP(Painel_diario!$L1684),1)-1</f>
        <v/>
      </c>
      <c r="E1688" s="22">
        <f>(1+E1687)*IF(AND(Painel_diario!$H1684="ED_JU",Painel_diario!$J1684=1),EXP(Painel_diario!$L1684),1)-1</f>
        <v/>
      </c>
    </row>
    <row r="1689">
      <c r="A1689" s="25" t="n">
        <v>41306</v>
      </c>
      <c r="B1689" s="22">
        <f>(1+B1688)*IF(AND(Painel_diario!$H1685="EU_JD",Painel_diario!$J1685=1),EXP(Painel_diario!$L1685),1)-1</f>
        <v/>
      </c>
      <c r="C1689" s="22">
        <f>(1+C1688)*IF(AND(Painel_diario!$H1685="EU_JU",Painel_diario!$J1685=1),EXP(Painel_diario!$L1685),1)-1</f>
        <v/>
      </c>
      <c r="D1689" s="22">
        <f>(1+D1688)*IF(AND(Painel_diario!$H1685="ED_JD",Painel_diario!$J1685=1),EXP(Painel_diario!$L1685),1)-1</f>
        <v/>
      </c>
      <c r="E1689" s="22">
        <f>(1+E1688)*IF(AND(Painel_diario!$H1685="ED_JU",Painel_diario!$J1685=1),EXP(Painel_diario!$L1685),1)-1</f>
        <v/>
      </c>
    </row>
    <row r="1690">
      <c r="A1690" s="25" t="n">
        <v>41309</v>
      </c>
      <c r="B1690" s="22">
        <f>(1+B1689)*IF(AND(Painel_diario!$H1686="EU_JD",Painel_diario!$J1686=1),EXP(Painel_diario!$L1686),1)-1</f>
        <v/>
      </c>
      <c r="C1690" s="22">
        <f>(1+C1689)*IF(AND(Painel_diario!$H1686="EU_JU",Painel_diario!$J1686=1),EXP(Painel_diario!$L1686),1)-1</f>
        <v/>
      </c>
      <c r="D1690" s="22">
        <f>(1+D1689)*IF(AND(Painel_diario!$H1686="ED_JD",Painel_diario!$J1686=1),EXP(Painel_diario!$L1686),1)-1</f>
        <v/>
      </c>
      <c r="E1690" s="22">
        <f>(1+E1689)*IF(AND(Painel_diario!$H1686="ED_JU",Painel_diario!$J1686=1),EXP(Painel_diario!$L1686),1)-1</f>
        <v/>
      </c>
    </row>
    <row r="1691">
      <c r="A1691" s="25" t="n">
        <v>41310</v>
      </c>
      <c r="B1691" s="22">
        <f>(1+B1690)*IF(AND(Painel_diario!$H1687="EU_JD",Painel_diario!$J1687=1),EXP(Painel_diario!$L1687),1)-1</f>
        <v/>
      </c>
      <c r="C1691" s="22">
        <f>(1+C1690)*IF(AND(Painel_diario!$H1687="EU_JU",Painel_diario!$J1687=1),EXP(Painel_diario!$L1687),1)-1</f>
        <v/>
      </c>
      <c r="D1691" s="22">
        <f>(1+D1690)*IF(AND(Painel_diario!$H1687="ED_JD",Painel_diario!$J1687=1),EXP(Painel_diario!$L1687),1)-1</f>
        <v/>
      </c>
      <c r="E1691" s="22">
        <f>(1+E1690)*IF(AND(Painel_diario!$H1687="ED_JU",Painel_diario!$J1687=1),EXP(Painel_diario!$L1687),1)-1</f>
        <v/>
      </c>
    </row>
    <row r="1692">
      <c r="A1692" s="25" t="n">
        <v>41311</v>
      </c>
      <c r="B1692" s="22">
        <f>(1+B1691)*IF(AND(Painel_diario!$H1688="EU_JD",Painel_diario!$J1688=1),EXP(Painel_diario!$L1688),1)-1</f>
        <v/>
      </c>
      <c r="C1692" s="22">
        <f>(1+C1691)*IF(AND(Painel_diario!$H1688="EU_JU",Painel_diario!$J1688=1),EXP(Painel_diario!$L1688),1)-1</f>
        <v/>
      </c>
      <c r="D1692" s="22">
        <f>(1+D1691)*IF(AND(Painel_diario!$H1688="ED_JD",Painel_diario!$J1688=1),EXP(Painel_diario!$L1688),1)-1</f>
        <v/>
      </c>
      <c r="E1692" s="22">
        <f>(1+E1691)*IF(AND(Painel_diario!$H1688="ED_JU",Painel_diario!$J1688=1),EXP(Painel_diario!$L1688),1)-1</f>
        <v/>
      </c>
    </row>
    <row r="1693">
      <c r="A1693" s="25" t="n">
        <v>41312</v>
      </c>
      <c r="B1693" s="22">
        <f>(1+B1692)*IF(AND(Painel_diario!$H1689="EU_JD",Painel_diario!$J1689=1),EXP(Painel_diario!$L1689),1)-1</f>
        <v/>
      </c>
      <c r="C1693" s="22">
        <f>(1+C1692)*IF(AND(Painel_diario!$H1689="EU_JU",Painel_diario!$J1689=1),EXP(Painel_diario!$L1689),1)-1</f>
        <v/>
      </c>
      <c r="D1693" s="22">
        <f>(1+D1692)*IF(AND(Painel_diario!$H1689="ED_JD",Painel_diario!$J1689=1),EXP(Painel_diario!$L1689),1)-1</f>
        <v/>
      </c>
      <c r="E1693" s="22">
        <f>(1+E1692)*IF(AND(Painel_diario!$H1689="ED_JU",Painel_diario!$J1689=1),EXP(Painel_diario!$L1689),1)-1</f>
        <v/>
      </c>
    </row>
    <row r="1694">
      <c r="A1694" s="25" t="n">
        <v>41313</v>
      </c>
      <c r="B1694" s="22">
        <f>(1+B1693)*IF(AND(Painel_diario!$H1690="EU_JD",Painel_diario!$J1690=1),EXP(Painel_diario!$L1690),1)-1</f>
        <v/>
      </c>
      <c r="C1694" s="22">
        <f>(1+C1693)*IF(AND(Painel_diario!$H1690="EU_JU",Painel_diario!$J1690=1),EXP(Painel_diario!$L1690),1)-1</f>
        <v/>
      </c>
      <c r="D1694" s="22">
        <f>(1+D1693)*IF(AND(Painel_diario!$H1690="ED_JD",Painel_diario!$J1690=1),EXP(Painel_diario!$L1690),1)-1</f>
        <v/>
      </c>
      <c r="E1694" s="22">
        <f>(1+E1693)*IF(AND(Painel_diario!$H1690="ED_JU",Painel_diario!$J1690=1),EXP(Painel_diario!$L1690),1)-1</f>
        <v/>
      </c>
    </row>
    <row r="1695">
      <c r="A1695" s="25" t="n">
        <v>41318</v>
      </c>
      <c r="B1695" s="22">
        <f>(1+B1694)*IF(AND(Painel_diario!$H1691="EU_JD",Painel_diario!$J1691=1),EXP(Painel_diario!$L1691),1)-1</f>
        <v/>
      </c>
      <c r="C1695" s="22">
        <f>(1+C1694)*IF(AND(Painel_diario!$H1691="EU_JU",Painel_diario!$J1691=1),EXP(Painel_diario!$L1691),1)-1</f>
        <v/>
      </c>
      <c r="D1695" s="22">
        <f>(1+D1694)*IF(AND(Painel_diario!$H1691="ED_JD",Painel_diario!$J1691=1),EXP(Painel_diario!$L1691),1)-1</f>
        <v/>
      </c>
      <c r="E1695" s="22">
        <f>(1+E1694)*IF(AND(Painel_diario!$H1691="ED_JU",Painel_diario!$J1691=1),EXP(Painel_diario!$L1691),1)-1</f>
        <v/>
      </c>
    </row>
    <row r="1696">
      <c r="A1696" s="25" t="n">
        <v>41319</v>
      </c>
      <c r="B1696" s="22">
        <f>(1+B1695)*IF(AND(Painel_diario!$H1692="EU_JD",Painel_diario!$J1692=1),EXP(Painel_diario!$L1692),1)-1</f>
        <v/>
      </c>
      <c r="C1696" s="22">
        <f>(1+C1695)*IF(AND(Painel_diario!$H1692="EU_JU",Painel_diario!$J1692=1),EXP(Painel_diario!$L1692),1)-1</f>
        <v/>
      </c>
      <c r="D1696" s="22">
        <f>(1+D1695)*IF(AND(Painel_diario!$H1692="ED_JD",Painel_diario!$J1692=1),EXP(Painel_diario!$L1692),1)-1</f>
        <v/>
      </c>
      <c r="E1696" s="22">
        <f>(1+E1695)*IF(AND(Painel_diario!$H1692="ED_JU",Painel_diario!$J1692=1),EXP(Painel_diario!$L1692),1)-1</f>
        <v/>
      </c>
    </row>
    <row r="1697">
      <c r="A1697" s="25" t="n">
        <v>41320</v>
      </c>
      <c r="B1697" s="22">
        <f>(1+B1696)*IF(AND(Painel_diario!$H1693="EU_JD",Painel_diario!$J1693=1),EXP(Painel_diario!$L1693),1)-1</f>
        <v/>
      </c>
      <c r="C1697" s="22">
        <f>(1+C1696)*IF(AND(Painel_diario!$H1693="EU_JU",Painel_diario!$J1693=1),EXP(Painel_diario!$L1693),1)-1</f>
        <v/>
      </c>
      <c r="D1697" s="22">
        <f>(1+D1696)*IF(AND(Painel_diario!$H1693="ED_JD",Painel_diario!$J1693=1),EXP(Painel_diario!$L1693),1)-1</f>
        <v/>
      </c>
      <c r="E1697" s="22">
        <f>(1+E1696)*IF(AND(Painel_diario!$H1693="ED_JU",Painel_diario!$J1693=1),EXP(Painel_diario!$L1693),1)-1</f>
        <v/>
      </c>
    </row>
    <row r="1698">
      <c r="A1698" s="25" t="n">
        <v>41323</v>
      </c>
      <c r="B1698" s="22">
        <f>(1+B1697)*IF(AND(Painel_diario!$H1694="EU_JD",Painel_diario!$J1694=1),EXP(Painel_diario!$L1694),1)-1</f>
        <v/>
      </c>
      <c r="C1698" s="22">
        <f>(1+C1697)*IF(AND(Painel_diario!$H1694="EU_JU",Painel_diario!$J1694=1),EXP(Painel_diario!$L1694),1)-1</f>
        <v/>
      </c>
      <c r="D1698" s="22">
        <f>(1+D1697)*IF(AND(Painel_diario!$H1694="ED_JD",Painel_diario!$J1694=1),EXP(Painel_diario!$L1694),1)-1</f>
        <v/>
      </c>
      <c r="E1698" s="22">
        <f>(1+E1697)*IF(AND(Painel_diario!$H1694="ED_JU",Painel_diario!$J1694=1),EXP(Painel_diario!$L1694),1)-1</f>
        <v/>
      </c>
    </row>
    <row r="1699">
      <c r="A1699" s="25" t="n">
        <v>41324</v>
      </c>
      <c r="B1699" s="22">
        <f>(1+B1698)*IF(AND(Painel_diario!$H1695="EU_JD",Painel_diario!$J1695=1),EXP(Painel_diario!$L1695),1)-1</f>
        <v/>
      </c>
      <c r="C1699" s="22">
        <f>(1+C1698)*IF(AND(Painel_diario!$H1695="EU_JU",Painel_diario!$J1695=1),EXP(Painel_diario!$L1695),1)-1</f>
        <v/>
      </c>
      <c r="D1699" s="22">
        <f>(1+D1698)*IF(AND(Painel_diario!$H1695="ED_JD",Painel_diario!$J1695=1),EXP(Painel_diario!$L1695),1)-1</f>
        <v/>
      </c>
      <c r="E1699" s="22">
        <f>(1+E1698)*IF(AND(Painel_diario!$H1695="ED_JU",Painel_diario!$J1695=1),EXP(Painel_diario!$L1695),1)-1</f>
        <v/>
      </c>
    </row>
    <row r="1700">
      <c r="A1700" s="25" t="n">
        <v>41325</v>
      </c>
      <c r="B1700" s="22">
        <f>(1+B1699)*IF(AND(Painel_diario!$H1696="EU_JD",Painel_diario!$J1696=1),EXP(Painel_diario!$L1696),1)-1</f>
        <v/>
      </c>
      <c r="C1700" s="22">
        <f>(1+C1699)*IF(AND(Painel_diario!$H1696="EU_JU",Painel_diario!$J1696=1),EXP(Painel_diario!$L1696),1)-1</f>
        <v/>
      </c>
      <c r="D1700" s="22">
        <f>(1+D1699)*IF(AND(Painel_diario!$H1696="ED_JD",Painel_diario!$J1696=1),EXP(Painel_diario!$L1696),1)-1</f>
        <v/>
      </c>
      <c r="E1700" s="22">
        <f>(1+E1699)*IF(AND(Painel_diario!$H1696="ED_JU",Painel_diario!$J1696=1),EXP(Painel_diario!$L1696),1)-1</f>
        <v/>
      </c>
    </row>
    <row r="1701">
      <c r="A1701" s="25" t="n">
        <v>41326</v>
      </c>
      <c r="B1701" s="22">
        <f>(1+B1700)*IF(AND(Painel_diario!$H1697="EU_JD",Painel_diario!$J1697=1),EXP(Painel_diario!$L1697),1)-1</f>
        <v/>
      </c>
      <c r="C1701" s="22">
        <f>(1+C1700)*IF(AND(Painel_diario!$H1697="EU_JU",Painel_diario!$J1697=1),EXP(Painel_diario!$L1697),1)-1</f>
        <v/>
      </c>
      <c r="D1701" s="22">
        <f>(1+D1700)*IF(AND(Painel_diario!$H1697="ED_JD",Painel_diario!$J1697=1),EXP(Painel_diario!$L1697),1)-1</f>
        <v/>
      </c>
      <c r="E1701" s="22">
        <f>(1+E1700)*IF(AND(Painel_diario!$H1697="ED_JU",Painel_diario!$J1697=1),EXP(Painel_diario!$L1697),1)-1</f>
        <v/>
      </c>
    </row>
    <row r="1702">
      <c r="A1702" s="25" t="n">
        <v>41327</v>
      </c>
      <c r="B1702" s="22">
        <f>(1+B1701)*IF(AND(Painel_diario!$H1698="EU_JD",Painel_diario!$J1698=1),EXP(Painel_diario!$L1698),1)-1</f>
        <v/>
      </c>
      <c r="C1702" s="22">
        <f>(1+C1701)*IF(AND(Painel_diario!$H1698="EU_JU",Painel_diario!$J1698=1),EXP(Painel_diario!$L1698),1)-1</f>
        <v/>
      </c>
      <c r="D1702" s="22">
        <f>(1+D1701)*IF(AND(Painel_diario!$H1698="ED_JD",Painel_diario!$J1698=1),EXP(Painel_diario!$L1698),1)-1</f>
        <v/>
      </c>
      <c r="E1702" s="22">
        <f>(1+E1701)*IF(AND(Painel_diario!$H1698="ED_JU",Painel_diario!$J1698=1),EXP(Painel_diario!$L1698),1)-1</f>
        <v/>
      </c>
    </row>
    <row r="1703">
      <c r="A1703" s="25" t="n">
        <v>41330</v>
      </c>
      <c r="B1703" s="22">
        <f>(1+B1702)*IF(AND(Painel_diario!$H1699="EU_JD",Painel_diario!$J1699=1),EXP(Painel_diario!$L1699),1)-1</f>
        <v/>
      </c>
      <c r="C1703" s="22">
        <f>(1+C1702)*IF(AND(Painel_diario!$H1699="EU_JU",Painel_diario!$J1699=1),EXP(Painel_diario!$L1699),1)-1</f>
        <v/>
      </c>
      <c r="D1703" s="22">
        <f>(1+D1702)*IF(AND(Painel_diario!$H1699="ED_JD",Painel_diario!$J1699=1),EXP(Painel_diario!$L1699),1)-1</f>
        <v/>
      </c>
      <c r="E1703" s="22">
        <f>(1+E1702)*IF(AND(Painel_diario!$H1699="ED_JU",Painel_diario!$J1699=1),EXP(Painel_diario!$L1699),1)-1</f>
        <v/>
      </c>
    </row>
    <row r="1704">
      <c r="A1704" s="25" t="n">
        <v>41331</v>
      </c>
      <c r="B1704" s="22">
        <f>(1+B1703)*IF(AND(Painel_diario!$H1700="EU_JD",Painel_diario!$J1700=1),EXP(Painel_diario!$L1700),1)-1</f>
        <v/>
      </c>
      <c r="C1704" s="22">
        <f>(1+C1703)*IF(AND(Painel_diario!$H1700="EU_JU",Painel_diario!$J1700=1),EXP(Painel_diario!$L1700),1)-1</f>
        <v/>
      </c>
      <c r="D1704" s="22">
        <f>(1+D1703)*IF(AND(Painel_diario!$H1700="ED_JD",Painel_diario!$J1700=1),EXP(Painel_diario!$L1700),1)-1</f>
        <v/>
      </c>
      <c r="E1704" s="22">
        <f>(1+E1703)*IF(AND(Painel_diario!$H1700="ED_JU",Painel_diario!$J1700=1),EXP(Painel_diario!$L1700),1)-1</f>
        <v/>
      </c>
    </row>
    <row r="1705">
      <c r="A1705" s="25" t="n">
        <v>41332</v>
      </c>
      <c r="B1705" s="22">
        <f>(1+B1704)*IF(AND(Painel_diario!$H1701="EU_JD",Painel_diario!$J1701=1),EXP(Painel_diario!$L1701),1)-1</f>
        <v/>
      </c>
      <c r="C1705" s="22">
        <f>(1+C1704)*IF(AND(Painel_diario!$H1701="EU_JU",Painel_diario!$J1701=1),EXP(Painel_diario!$L1701),1)-1</f>
        <v/>
      </c>
      <c r="D1705" s="22">
        <f>(1+D1704)*IF(AND(Painel_diario!$H1701="ED_JD",Painel_diario!$J1701=1),EXP(Painel_diario!$L1701),1)-1</f>
        <v/>
      </c>
      <c r="E1705" s="22">
        <f>(1+E1704)*IF(AND(Painel_diario!$H1701="ED_JU",Painel_diario!$J1701=1),EXP(Painel_diario!$L1701),1)-1</f>
        <v/>
      </c>
    </row>
    <row r="1706">
      <c r="A1706" s="25" t="n">
        <v>41333</v>
      </c>
      <c r="B1706" s="22">
        <f>(1+B1705)*IF(AND(Painel_diario!$H1702="EU_JD",Painel_diario!$J1702=1),EXP(Painel_diario!$L1702),1)-1</f>
        <v/>
      </c>
      <c r="C1706" s="22">
        <f>(1+C1705)*IF(AND(Painel_diario!$H1702="EU_JU",Painel_diario!$J1702=1),EXP(Painel_diario!$L1702),1)-1</f>
        <v/>
      </c>
      <c r="D1706" s="22">
        <f>(1+D1705)*IF(AND(Painel_diario!$H1702="ED_JD",Painel_diario!$J1702=1),EXP(Painel_diario!$L1702),1)-1</f>
        <v/>
      </c>
      <c r="E1706" s="22">
        <f>(1+E1705)*IF(AND(Painel_diario!$H1702="ED_JU",Painel_diario!$J1702=1),EXP(Painel_diario!$L1702),1)-1</f>
        <v/>
      </c>
    </row>
    <row r="1707">
      <c r="A1707" s="25" t="n">
        <v>41334</v>
      </c>
      <c r="B1707" s="22">
        <f>(1+B1706)*IF(AND(Painel_diario!$H1703="EU_JD",Painel_diario!$J1703=1),EXP(Painel_diario!$L1703),1)-1</f>
        <v/>
      </c>
      <c r="C1707" s="22">
        <f>(1+C1706)*IF(AND(Painel_diario!$H1703="EU_JU",Painel_diario!$J1703=1),EXP(Painel_diario!$L1703),1)-1</f>
        <v/>
      </c>
      <c r="D1707" s="22">
        <f>(1+D1706)*IF(AND(Painel_diario!$H1703="ED_JD",Painel_diario!$J1703=1),EXP(Painel_diario!$L1703),1)-1</f>
        <v/>
      </c>
      <c r="E1707" s="22">
        <f>(1+E1706)*IF(AND(Painel_diario!$H1703="ED_JU",Painel_diario!$J1703=1),EXP(Painel_diario!$L1703),1)-1</f>
        <v/>
      </c>
    </row>
    <row r="1708">
      <c r="A1708" s="25" t="n">
        <v>41337</v>
      </c>
      <c r="B1708" s="22">
        <f>(1+B1707)*IF(AND(Painel_diario!$H1704="EU_JD",Painel_diario!$J1704=1),EXP(Painel_diario!$L1704),1)-1</f>
        <v/>
      </c>
      <c r="C1708" s="22">
        <f>(1+C1707)*IF(AND(Painel_diario!$H1704="EU_JU",Painel_diario!$J1704=1),EXP(Painel_diario!$L1704),1)-1</f>
        <v/>
      </c>
      <c r="D1708" s="22">
        <f>(1+D1707)*IF(AND(Painel_diario!$H1704="ED_JD",Painel_diario!$J1704=1),EXP(Painel_diario!$L1704),1)-1</f>
        <v/>
      </c>
      <c r="E1708" s="22">
        <f>(1+E1707)*IF(AND(Painel_diario!$H1704="ED_JU",Painel_diario!$J1704=1),EXP(Painel_diario!$L1704),1)-1</f>
        <v/>
      </c>
    </row>
    <row r="1709">
      <c r="A1709" s="25" t="n">
        <v>41338</v>
      </c>
      <c r="B1709" s="22">
        <f>(1+B1708)*IF(AND(Painel_diario!$H1705="EU_JD",Painel_diario!$J1705=1),EXP(Painel_diario!$L1705),1)-1</f>
        <v/>
      </c>
      <c r="C1709" s="22">
        <f>(1+C1708)*IF(AND(Painel_diario!$H1705="EU_JU",Painel_diario!$J1705=1),EXP(Painel_diario!$L1705),1)-1</f>
        <v/>
      </c>
      <c r="D1709" s="22">
        <f>(1+D1708)*IF(AND(Painel_diario!$H1705="ED_JD",Painel_diario!$J1705=1),EXP(Painel_diario!$L1705),1)-1</f>
        <v/>
      </c>
      <c r="E1709" s="22">
        <f>(1+E1708)*IF(AND(Painel_diario!$H1705="ED_JU",Painel_diario!$J1705=1),EXP(Painel_diario!$L1705),1)-1</f>
        <v/>
      </c>
    </row>
    <row r="1710">
      <c r="A1710" s="25" t="n">
        <v>41339</v>
      </c>
      <c r="B1710" s="22">
        <f>(1+B1709)*IF(AND(Painel_diario!$H1706="EU_JD",Painel_diario!$J1706=1),EXP(Painel_diario!$L1706),1)-1</f>
        <v/>
      </c>
      <c r="C1710" s="22">
        <f>(1+C1709)*IF(AND(Painel_diario!$H1706="EU_JU",Painel_diario!$J1706=1),EXP(Painel_diario!$L1706),1)-1</f>
        <v/>
      </c>
      <c r="D1710" s="22">
        <f>(1+D1709)*IF(AND(Painel_diario!$H1706="ED_JD",Painel_diario!$J1706=1),EXP(Painel_diario!$L1706),1)-1</f>
        <v/>
      </c>
      <c r="E1710" s="22">
        <f>(1+E1709)*IF(AND(Painel_diario!$H1706="ED_JU",Painel_diario!$J1706=1),EXP(Painel_diario!$L1706),1)-1</f>
        <v/>
      </c>
    </row>
    <row r="1711">
      <c r="A1711" s="25" t="n">
        <v>41340</v>
      </c>
      <c r="B1711" s="22">
        <f>(1+B1710)*IF(AND(Painel_diario!$H1707="EU_JD",Painel_diario!$J1707=1),EXP(Painel_diario!$L1707),1)-1</f>
        <v/>
      </c>
      <c r="C1711" s="22">
        <f>(1+C1710)*IF(AND(Painel_diario!$H1707="EU_JU",Painel_diario!$J1707=1),EXP(Painel_diario!$L1707),1)-1</f>
        <v/>
      </c>
      <c r="D1711" s="22">
        <f>(1+D1710)*IF(AND(Painel_diario!$H1707="ED_JD",Painel_diario!$J1707=1),EXP(Painel_diario!$L1707),1)-1</f>
        <v/>
      </c>
      <c r="E1711" s="22">
        <f>(1+E1710)*IF(AND(Painel_diario!$H1707="ED_JU",Painel_diario!$J1707=1),EXP(Painel_diario!$L1707),1)-1</f>
        <v/>
      </c>
    </row>
    <row r="1712">
      <c r="A1712" s="25" t="n">
        <v>41341</v>
      </c>
      <c r="B1712" s="22">
        <f>(1+B1711)*IF(AND(Painel_diario!$H1708="EU_JD",Painel_diario!$J1708=1),EXP(Painel_diario!$L1708),1)-1</f>
        <v/>
      </c>
      <c r="C1712" s="22">
        <f>(1+C1711)*IF(AND(Painel_diario!$H1708="EU_JU",Painel_diario!$J1708=1),EXP(Painel_diario!$L1708),1)-1</f>
        <v/>
      </c>
      <c r="D1712" s="22">
        <f>(1+D1711)*IF(AND(Painel_diario!$H1708="ED_JD",Painel_diario!$J1708=1),EXP(Painel_diario!$L1708),1)-1</f>
        <v/>
      </c>
      <c r="E1712" s="22">
        <f>(1+E1711)*IF(AND(Painel_diario!$H1708="ED_JU",Painel_diario!$J1708=1),EXP(Painel_diario!$L1708),1)-1</f>
        <v/>
      </c>
    </row>
    <row r="1713">
      <c r="A1713" s="25" t="n">
        <v>41344</v>
      </c>
      <c r="B1713" s="22">
        <f>(1+B1712)*IF(AND(Painel_diario!$H1709="EU_JD",Painel_diario!$J1709=1),EXP(Painel_diario!$L1709),1)-1</f>
        <v/>
      </c>
      <c r="C1713" s="22">
        <f>(1+C1712)*IF(AND(Painel_diario!$H1709="EU_JU",Painel_diario!$J1709=1),EXP(Painel_diario!$L1709),1)-1</f>
        <v/>
      </c>
      <c r="D1713" s="22">
        <f>(1+D1712)*IF(AND(Painel_diario!$H1709="ED_JD",Painel_diario!$J1709=1),EXP(Painel_diario!$L1709),1)-1</f>
        <v/>
      </c>
      <c r="E1713" s="22">
        <f>(1+E1712)*IF(AND(Painel_diario!$H1709="ED_JU",Painel_diario!$J1709=1),EXP(Painel_diario!$L1709),1)-1</f>
        <v/>
      </c>
    </row>
    <row r="1714">
      <c r="A1714" s="25" t="n">
        <v>41345</v>
      </c>
      <c r="B1714" s="22">
        <f>(1+B1713)*IF(AND(Painel_diario!$H1710="EU_JD",Painel_diario!$J1710=1),EXP(Painel_diario!$L1710),1)-1</f>
        <v/>
      </c>
      <c r="C1714" s="22">
        <f>(1+C1713)*IF(AND(Painel_diario!$H1710="EU_JU",Painel_diario!$J1710=1),EXP(Painel_diario!$L1710),1)-1</f>
        <v/>
      </c>
      <c r="D1714" s="22">
        <f>(1+D1713)*IF(AND(Painel_diario!$H1710="ED_JD",Painel_diario!$J1710=1),EXP(Painel_diario!$L1710),1)-1</f>
        <v/>
      </c>
      <c r="E1714" s="22">
        <f>(1+E1713)*IF(AND(Painel_diario!$H1710="ED_JU",Painel_diario!$J1710=1),EXP(Painel_diario!$L1710),1)-1</f>
        <v/>
      </c>
    </row>
    <row r="1715">
      <c r="A1715" s="25" t="n">
        <v>41346</v>
      </c>
      <c r="B1715" s="22">
        <f>(1+B1714)*IF(AND(Painel_diario!$H1711="EU_JD",Painel_diario!$J1711=1),EXP(Painel_diario!$L1711),1)-1</f>
        <v/>
      </c>
      <c r="C1715" s="22">
        <f>(1+C1714)*IF(AND(Painel_diario!$H1711="EU_JU",Painel_diario!$J1711=1),EXP(Painel_diario!$L1711),1)-1</f>
        <v/>
      </c>
      <c r="D1715" s="22">
        <f>(1+D1714)*IF(AND(Painel_diario!$H1711="ED_JD",Painel_diario!$J1711=1),EXP(Painel_diario!$L1711),1)-1</f>
        <v/>
      </c>
      <c r="E1715" s="22">
        <f>(1+E1714)*IF(AND(Painel_diario!$H1711="ED_JU",Painel_diario!$J1711=1),EXP(Painel_diario!$L1711),1)-1</f>
        <v/>
      </c>
    </row>
    <row r="1716">
      <c r="A1716" s="25" t="n">
        <v>41347</v>
      </c>
      <c r="B1716" s="22">
        <f>(1+B1715)*IF(AND(Painel_diario!$H1712="EU_JD",Painel_diario!$J1712=1),EXP(Painel_diario!$L1712),1)-1</f>
        <v/>
      </c>
      <c r="C1716" s="22">
        <f>(1+C1715)*IF(AND(Painel_diario!$H1712="EU_JU",Painel_diario!$J1712=1),EXP(Painel_diario!$L1712),1)-1</f>
        <v/>
      </c>
      <c r="D1716" s="22">
        <f>(1+D1715)*IF(AND(Painel_diario!$H1712="ED_JD",Painel_diario!$J1712=1),EXP(Painel_diario!$L1712),1)-1</f>
        <v/>
      </c>
      <c r="E1716" s="22">
        <f>(1+E1715)*IF(AND(Painel_diario!$H1712="ED_JU",Painel_diario!$J1712=1),EXP(Painel_diario!$L1712),1)-1</f>
        <v/>
      </c>
    </row>
    <row r="1717">
      <c r="A1717" s="25" t="n">
        <v>41348</v>
      </c>
      <c r="B1717" s="22">
        <f>(1+B1716)*IF(AND(Painel_diario!$H1713="EU_JD",Painel_diario!$J1713=1),EXP(Painel_diario!$L1713),1)-1</f>
        <v/>
      </c>
      <c r="C1717" s="22">
        <f>(1+C1716)*IF(AND(Painel_diario!$H1713="EU_JU",Painel_diario!$J1713=1),EXP(Painel_diario!$L1713),1)-1</f>
        <v/>
      </c>
      <c r="D1717" s="22">
        <f>(1+D1716)*IF(AND(Painel_diario!$H1713="ED_JD",Painel_diario!$J1713=1),EXP(Painel_diario!$L1713),1)-1</f>
        <v/>
      </c>
      <c r="E1717" s="22">
        <f>(1+E1716)*IF(AND(Painel_diario!$H1713="ED_JU",Painel_diario!$J1713=1),EXP(Painel_diario!$L1713),1)-1</f>
        <v/>
      </c>
    </row>
    <row r="1718">
      <c r="A1718" s="25" t="n">
        <v>41351</v>
      </c>
      <c r="B1718" s="22">
        <f>(1+B1717)*IF(AND(Painel_diario!$H1714="EU_JD",Painel_diario!$J1714=1),EXP(Painel_diario!$L1714),1)-1</f>
        <v/>
      </c>
      <c r="C1718" s="22">
        <f>(1+C1717)*IF(AND(Painel_diario!$H1714="EU_JU",Painel_diario!$J1714=1),EXP(Painel_diario!$L1714),1)-1</f>
        <v/>
      </c>
      <c r="D1718" s="22">
        <f>(1+D1717)*IF(AND(Painel_diario!$H1714="ED_JD",Painel_diario!$J1714=1),EXP(Painel_diario!$L1714),1)-1</f>
        <v/>
      </c>
      <c r="E1718" s="22">
        <f>(1+E1717)*IF(AND(Painel_diario!$H1714="ED_JU",Painel_diario!$J1714=1),EXP(Painel_diario!$L1714),1)-1</f>
        <v/>
      </c>
    </row>
    <row r="1719">
      <c r="A1719" s="25" t="n">
        <v>41352</v>
      </c>
      <c r="B1719" s="22">
        <f>(1+B1718)*IF(AND(Painel_diario!$H1715="EU_JD",Painel_diario!$J1715=1),EXP(Painel_diario!$L1715),1)-1</f>
        <v/>
      </c>
      <c r="C1719" s="22">
        <f>(1+C1718)*IF(AND(Painel_diario!$H1715="EU_JU",Painel_diario!$J1715=1),EXP(Painel_diario!$L1715),1)-1</f>
        <v/>
      </c>
      <c r="D1719" s="22">
        <f>(1+D1718)*IF(AND(Painel_diario!$H1715="ED_JD",Painel_diario!$J1715=1),EXP(Painel_diario!$L1715),1)-1</f>
        <v/>
      </c>
      <c r="E1719" s="22">
        <f>(1+E1718)*IF(AND(Painel_diario!$H1715="ED_JU",Painel_diario!$J1715=1),EXP(Painel_diario!$L1715),1)-1</f>
        <v/>
      </c>
    </row>
    <row r="1720">
      <c r="A1720" s="25" t="n">
        <v>41353</v>
      </c>
      <c r="B1720" s="22">
        <f>(1+B1719)*IF(AND(Painel_diario!$H1716="EU_JD",Painel_diario!$J1716=1),EXP(Painel_diario!$L1716),1)-1</f>
        <v/>
      </c>
      <c r="C1720" s="22">
        <f>(1+C1719)*IF(AND(Painel_diario!$H1716="EU_JU",Painel_diario!$J1716=1),EXP(Painel_diario!$L1716),1)-1</f>
        <v/>
      </c>
      <c r="D1720" s="22">
        <f>(1+D1719)*IF(AND(Painel_diario!$H1716="ED_JD",Painel_diario!$J1716=1),EXP(Painel_diario!$L1716),1)-1</f>
        <v/>
      </c>
      <c r="E1720" s="22">
        <f>(1+E1719)*IF(AND(Painel_diario!$H1716="ED_JU",Painel_diario!$J1716=1),EXP(Painel_diario!$L1716),1)-1</f>
        <v/>
      </c>
    </row>
    <row r="1721">
      <c r="A1721" s="25" t="n">
        <v>41354</v>
      </c>
      <c r="B1721" s="22">
        <f>(1+B1720)*IF(AND(Painel_diario!$H1717="EU_JD",Painel_diario!$J1717=1),EXP(Painel_diario!$L1717),1)-1</f>
        <v/>
      </c>
      <c r="C1721" s="22">
        <f>(1+C1720)*IF(AND(Painel_diario!$H1717="EU_JU",Painel_diario!$J1717=1),EXP(Painel_diario!$L1717),1)-1</f>
        <v/>
      </c>
      <c r="D1721" s="22">
        <f>(1+D1720)*IF(AND(Painel_diario!$H1717="ED_JD",Painel_diario!$J1717=1),EXP(Painel_diario!$L1717),1)-1</f>
        <v/>
      </c>
      <c r="E1721" s="22">
        <f>(1+E1720)*IF(AND(Painel_diario!$H1717="ED_JU",Painel_diario!$J1717=1),EXP(Painel_diario!$L1717),1)-1</f>
        <v/>
      </c>
    </row>
    <row r="1722">
      <c r="A1722" s="25" t="n">
        <v>41355</v>
      </c>
      <c r="B1722" s="22">
        <f>(1+B1721)*IF(AND(Painel_diario!$H1718="EU_JD",Painel_diario!$J1718=1),EXP(Painel_diario!$L1718),1)-1</f>
        <v/>
      </c>
      <c r="C1722" s="22">
        <f>(1+C1721)*IF(AND(Painel_diario!$H1718="EU_JU",Painel_diario!$J1718=1),EXP(Painel_diario!$L1718),1)-1</f>
        <v/>
      </c>
      <c r="D1722" s="22">
        <f>(1+D1721)*IF(AND(Painel_diario!$H1718="ED_JD",Painel_diario!$J1718=1),EXP(Painel_diario!$L1718),1)-1</f>
        <v/>
      </c>
      <c r="E1722" s="22">
        <f>(1+E1721)*IF(AND(Painel_diario!$H1718="ED_JU",Painel_diario!$J1718=1),EXP(Painel_diario!$L1718),1)-1</f>
        <v/>
      </c>
    </row>
    <row r="1723">
      <c r="A1723" s="25" t="n">
        <v>41358</v>
      </c>
      <c r="B1723" s="22">
        <f>(1+B1722)*IF(AND(Painel_diario!$H1719="EU_JD",Painel_diario!$J1719=1),EXP(Painel_diario!$L1719),1)-1</f>
        <v/>
      </c>
      <c r="C1723" s="22">
        <f>(1+C1722)*IF(AND(Painel_diario!$H1719="EU_JU",Painel_diario!$J1719=1),EXP(Painel_diario!$L1719),1)-1</f>
        <v/>
      </c>
      <c r="D1723" s="22">
        <f>(1+D1722)*IF(AND(Painel_diario!$H1719="ED_JD",Painel_diario!$J1719=1),EXP(Painel_diario!$L1719),1)-1</f>
        <v/>
      </c>
      <c r="E1723" s="22">
        <f>(1+E1722)*IF(AND(Painel_diario!$H1719="ED_JU",Painel_diario!$J1719=1),EXP(Painel_diario!$L1719),1)-1</f>
        <v/>
      </c>
    </row>
    <row r="1724">
      <c r="A1724" s="25" t="n">
        <v>41359</v>
      </c>
      <c r="B1724" s="22">
        <f>(1+B1723)*IF(AND(Painel_diario!$H1720="EU_JD",Painel_diario!$J1720=1),EXP(Painel_diario!$L1720),1)-1</f>
        <v/>
      </c>
      <c r="C1724" s="22">
        <f>(1+C1723)*IF(AND(Painel_diario!$H1720="EU_JU",Painel_diario!$J1720=1),EXP(Painel_diario!$L1720),1)-1</f>
        <v/>
      </c>
      <c r="D1724" s="22">
        <f>(1+D1723)*IF(AND(Painel_diario!$H1720="ED_JD",Painel_diario!$J1720=1),EXP(Painel_diario!$L1720),1)-1</f>
        <v/>
      </c>
      <c r="E1724" s="22">
        <f>(1+E1723)*IF(AND(Painel_diario!$H1720="ED_JU",Painel_diario!$J1720=1),EXP(Painel_diario!$L1720),1)-1</f>
        <v/>
      </c>
    </row>
    <row r="1725">
      <c r="A1725" s="25" t="n">
        <v>41360</v>
      </c>
      <c r="B1725" s="22">
        <f>(1+B1724)*IF(AND(Painel_diario!$H1721="EU_JD",Painel_diario!$J1721=1),EXP(Painel_diario!$L1721),1)-1</f>
        <v/>
      </c>
      <c r="C1725" s="22">
        <f>(1+C1724)*IF(AND(Painel_diario!$H1721="EU_JU",Painel_diario!$J1721=1),EXP(Painel_diario!$L1721),1)-1</f>
        <v/>
      </c>
      <c r="D1725" s="22">
        <f>(1+D1724)*IF(AND(Painel_diario!$H1721="ED_JD",Painel_diario!$J1721=1),EXP(Painel_diario!$L1721),1)-1</f>
        <v/>
      </c>
      <c r="E1725" s="22">
        <f>(1+E1724)*IF(AND(Painel_diario!$H1721="ED_JU",Painel_diario!$J1721=1),EXP(Painel_diario!$L1721),1)-1</f>
        <v/>
      </c>
    </row>
    <row r="1726">
      <c r="A1726" s="25" t="n">
        <v>41361</v>
      </c>
      <c r="B1726" s="22">
        <f>(1+B1725)*IF(AND(Painel_diario!$H1722="EU_JD",Painel_diario!$J1722=1),EXP(Painel_diario!$L1722),1)-1</f>
        <v/>
      </c>
      <c r="C1726" s="22">
        <f>(1+C1725)*IF(AND(Painel_diario!$H1722="EU_JU",Painel_diario!$J1722=1),EXP(Painel_diario!$L1722),1)-1</f>
        <v/>
      </c>
      <c r="D1726" s="22">
        <f>(1+D1725)*IF(AND(Painel_diario!$H1722="ED_JD",Painel_diario!$J1722=1),EXP(Painel_diario!$L1722),1)-1</f>
        <v/>
      </c>
      <c r="E1726" s="22">
        <f>(1+E1725)*IF(AND(Painel_diario!$H1722="ED_JU",Painel_diario!$J1722=1),EXP(Painel_diario!$L1722),1)-1</f>
        <v/>
      </c>
    </row>
    <row r="1727">
      <c r="A1727" s="25" t="n">
        <v>41365</v>
      </c>
      <c r="B1727" s="22">
        <f>(1+B1726)*IF(AND(Painel_diario!$H1723="EU_JD",Painel_diario!$J1723=1),EXP(Painel_diario!$L1723),1)-1</f>
        <v/>
      </c>
      <c r="C1727" s="22">
        <f>(1+C1726)*IF(AND(Painel_diario!$H1723="EU_JU",Painel_diario!$J1723=1),EXP(Painel_diario!$L1723),1)-1</f>
        <v/>
      </c>
      <c r="D1727" s="22">
        <f>(1+D1726)*IF(AND(Painel_diario!$H1723="ED_JD",Painel_diario!$J1723=1),EXP(Painel_diario!$L1723),1)-1</f>
        <v/>
      </c>
      <c r="E1727" s="22">
        <f>(1+E1726)*IF(AND(Painel_diario!$H1723="ED_JU",Painel_diario!$J1723=1),EXP(Painel_diario!$L1723),1)-1</f>
        <v/>
      </c>
    </row>
    <row r="1728">
      <c r="A1728" s="25" t="n">
        <v>41366</v>
      </c>
      <c r="B1728" s="22">
        <f>(1+B1727)*IF(AND(Painel_diario!$H1724="EU_JD",Painel_diario!$J1724=1),EXP(Painel_diario!$L1724),1)-1</f>
        <v/>
      </c>
      <c r="C1728" s="22">
        <f>(1+C1727)*IF(AND(Painel_diario!$H1724="EU_JU",Painel_diario!$J1724=1),EXP(Painel_diario!$L1724),1)-1</f>
        <v/>
      </c>
      <c r="D1728" s="22">
        <f>(1+D1727)*IF(AND(Painel_diario!$H1724="ED_JD",Painel_diario!$J1724=1),EXP(Painel_diario!$L1724),1)-1</f>
        <v/>
      </c>
      <c r="E1728" s="22">
        <f>(1+E1727)*IF(AND(Painel_diario!$H1724="ED_JU",Painel_diario!$J1724=1),EXP(Painel_diario!$L1724),1)-1</f>
        <v/>
      </c>
    </row>
    <row r="1729">
      <c r="A1729" s="25" t="n">
        <v>41367</v>
      </c>
      <c r="B1729" s="22">
        <f>(1+B1728)*IF(AND(Painel_diario!$H1725="EU_JD",Painel_diario!$J1725=1),EXP(Painel_diario!$L1725),1)-1</f>
        <v/>
      </c>
      <c r="C1729" s="22">
        <f>(1+C1728)*IF(AND(Painel_diario!$H1725="EU_JU",Painel_diario!$J1725=1),EXP(Painel_diario!$L1725),1)-1</f>
        <v/>
      </c>
      <c r="D1729" s="22">
        <f>(1+D1728)*IF(AND(Painel_diario!$H1725="ED_JD",Painel_diario!$J1725=1),EXP(Painel_diario!$L1725),1)-1</f>
        <v/>
      </c>
      <c r="E1729" s="22">
        <f>(1+E1728)*IF(AND(Painel_diario!$H1725="ED_JU",Painel_diario!$J1725=1),EXP(Painel_diario!$L1725),1)-1</f>
        <v/>
      </c>
    </row>
    <row r="1730">
      <c r="A1730" s="25" t="n">
        <v>41368</v>
      </c>
      <c r="B1730" s="22">
        <f>(1+B1729)*IF(AND(Painel_diario!$H1726="EU_JD",Painel_diario!$J1726=1),EXP(Painel_diario!$L1726),1)-1</f>
        <v/>
      </c>
      <c r="C1730" s="22">
        <f>(1+C1729)*IF(AND(Painel_diario!$H1726="EU_JU",Painel_diario!$J1726=1),EXP(Painel_diario!$L1726),1)-1</f>
        <v/>
      </c>
      <c r="D1730" s="22">
        <f>(1+D1729)*IF(AND(Painel_diario!$H1726="ED_JD",Painel_diario!$J1726=1),EXP(Painel_diario!$L1726),1)-1</f>
        <v/>
      </c>
      <c r="E1730" s="22">
        <f>(1+E1729)*IF(AND(Painel_diario!$H1726="ED_JU",Painel_diario!$J1726=1),EXP(Painel_diario!$L1726),1)-1</f>
        <v/>
      </c>
    </row>
    <row r="1731">
      <c r="A1731" s="25" t="n">
        <v>41369</v>
      </c>
      <c r="B1731" s="22">
        <f>(1+B1730)*IF(AND(Painel_diario!$H1727="EU_JD",Painel_diario!$J1727=1),EXP(Painel_diario!$L1727),1)-1</f>
        <v/>
      </c>
      <c r="C1731" s="22">
        <f>(1+C1730)*IF(AND(Painel_diario!$H1727="EU_JU",Painel_diario!$J1727=1),EXP(Painel_diario!$L1727),1)-1</f>
        <v/>
      </c>
      <c r="D1731" s="22">
        <f>(1+D1730)*IF(AND(Painel_diario!$H1727="ED_JD",Painel_diario!$J1727=1),EXP(Painel_diario!$L1727),1)-1</f>
        <v/>
      </c>
      <c r="E1731" s="22">
        <f>(1+E1730)*IF(AND(Painel_diario!$H1727="ED_JU",Painel_diario!$J1727=1),EXP(Painel_diario!$L1727),1)-1</f>
        <v/>
      </c>
    </row>
    <row r="1732">
      <c r="A1732" s="25" t="n">
        <v>41372</v>
      </c>
      <c r="B1732" s="22">
        <f>(1+B1731)*IF(AND(Painel_diario!$H1728="EU_JD",Painel_diario!$J1728=1),EXP(Painel_diario!$L1728),1)-1</f>
        <v/>
      </c>
      <c r="C1732" s="22">
        <f>(1+C1731)*IF(AND(Painel_diario!$H1728="EU_JU",Painel_diario!$J1728=1),EXP(Painel_diario!$L1728),1)-1</f>
        <v/>
      </c>
      <c r="D1732" s="22">
        <f>(1+D1731)*IF(AND(Painel_diario!$H1728="ED_JD",Painel_diario!$J1728=1),EXP(Painel_diario!$L1728),1)-1</f>
        <v/>
      </c>
      <c r="E1732" s="22">
        <f>(1+E1731)*IF(AND(Painel_diario!$H1728="ED_JU",Painel_diario!$J1728=1),EXP(Painel_diario!$L1728),1)-1</f>
        <v/>
      </c>
    </row>
    <row r="1733">
      <c r="A1733" s="25" t="n">
        <v>41373</v>
      </c>
      <c r="B1733" s="22">
        <f>(1+B1732)*IF(AND(Painel_diario!$H1729="EU_JD",Painel_diario!$J1729=1),EXP(Painel_diario!$L1729),1)-1</f>
        <v/>
      </c>
      <c r="C1733" s="22">
        <f>(1+C1732)*IF(AND(Painel_diario!$H1729="EU_JU",Painel_diario!$J1729=1),EXP(Painel_diario!$L1729),1)-1</f>
        <v/>
      </c>
      <c r="D1733" s="22">
        <f>(1+D1732)*IF(AND(Painel_diario!$H1729="ED_JD",Painel_diario!$J1729=1),EXP(Painel_diario!$L1729),1)-1</f>
        <v/>
      </c>
      <c r="E1733" s="22">
        <f>(1+E1732)*IF(AND(Painel_diario!$H1729="ED_JU",Painel_diario!$J1729=1),EXP(Painel_diario!$L1729),1)-1</f>
        <v/>
      </c>
    </row>
    <row r="1734">
      <c r="A1734" s="25" t="n">
        <v>41374</v>
      </c>
      <c r="B1734" s="22">
        <f>(1+B1733)*IF(AND(Painel_diario!$H1730="EU_JD",Painel_diario!$J1730=1),EXP(Painel_diario!$L1730),1)-1</f>
        <v/>
      </c>
      <c r="C1734" s="22">
        <f>(1+C1733)*IF(AND(Painel_diario!$H1730="EU_JU",Painel_diario!$J1730=1),EXP(Painel_diario!$L1730),1)-1</f>
        <v/>
      </c>
      <c r="D1734" s="22">
        <f>(1+D1733)*IF(AND(Painel_diario!$H1730="ED_JD",Painel_diario!$J1730=1),EXP(Painel_diario!$L1730),1)-1</f>
        <v/>
      </c>
      <c r="E1734" s="22">
        <f>(1+E1733)*IF(AND(Painel_diario!$H1730="ED_JU",Painel_diario!$J1730=1),EXP(Painel_diario!$L1730),1)-1</f>
        <v/>
      </c>
    </row>
    <row r="1735">
      <c r="A1735" s="25" t="n">
        <v>41375</v>
      </c>
      <c r="B1735" s="22">
        <f>(1+B1734)*IF(AND(Painel_diario!$H1731="EU_JD",Painel_diario!$J1731=1),EXP(Painel_diario!$L1731),1)-1</f>
        <v/>
      </c>
      <c r="C1735" s="22">
        <f>(1+C1734)*IF(AND(Painel_diario!$H1731="EU_JU",Painel_diario!$J1731=1),EXP(Painel_diario!$L1731),1)-1</f>
        <v/>
      </c>
      <c r="D1735" s="22">
        <f>(1+D1734)*IF(AND(Painel_diario!$H1731="ED_JD",Painel_diario!$J1731=1),EXP(Painel_diario!$L1731),1)-1</f>
        <v/>
      </c>
      <c r="E1735" s="22">
        <f>(1+E1734)*IF(AND(Painel_diario!$H1731="ED_JU",Painel_diario!$J1731=1),EXP(Painel_diario!$L1731),1)-1</f>
        <v/>
      </c>
    </row>
    <row r="1736">
      <c r="A1736" s="25" t="n">
        <v>41376</v>
      </c>
      <c r="B1736" s="22">
        <f>(1+B1735)*IF(AND(Painel_diario!$H1732="EU_JD",Painel_diario!$J1732=1),EXP(Painel_diario!$L1732),1)-1</f>
        <v/>
      </c>
      <c r="C1736" s="22">
        <f>(1+C1735)*IF(AND(Painel_diario!$H1732="EU_JU",Painel_diario!$J1732=1),EXP(Painel_diario!$L1732),1)-1</f>
        <v/>
      </c>
      <c r="D1736" s="22">
        <f>(1+D1735)*IF(AND(Painel_diario!$H1732="ED_JD",Painel_diario!$J1732=1),EXP(Painel_diario!$L1732),1)-1</f>
        <v/>
      </c>
      <c r="E1736" s="22">
        <f>(1+E1735)*IF(AND(Painel_diario!$H1732="ED_JU",Painel_diario!$J1732=1),EXP(Painel_diario!$L1732),1)-1</f>
        <v/>
      </c>
    </row>
    <row r="1737">
      <c r="A1737" s="25" t="n">
        <v>41379</v>
      </c>
      <c r="B1737" s="22">
        <f>(1+B1736)*IF(AND(Painel_diario!$H1733="EU_JD",Painel_diario!$J1733=1),EXP(Painel_diario!$L1733),1)-1</f>
        <v/>
      </c>
      <c r="C1737" s="22">
        <f>(1+C1736)*IF(AND(Painel_diario!$H1733="EU_JU",Painel_diario!$J1733=1),EXP(Painel_diario!$L1733),1)-1</f>
        <v/>
      </c>
      <c r="D1737" s="22">
        <f>(1+D1736)*IF(AND(Painel_diario!$H1733="ED_JD",Painel_diario!$J1733=1),EXP(Painel_diario!$L1733),1)-1</f>
        <v/>
      </c>
      <c r="E1737" s="22">
        <f>(1+E1736)*IF(AND(Painel_diario!$H1733="ED_JU",Painel_diario!$J1733=1),EXP(Painel_diario!$L1733),1)-1</f>
        <v/>
      </c>
    </row>
    <row r="1738">
      <c r="A1738" s="25" t="n">
        <v>41380</v>
      </c>
      <c r="B1738" s="22">
        <f>(1+B1737)*IF(AND(Painel_diario!$H1734="EU_JD",Painel_diario!$J1734=1),EXP(Painel_diario!$L1734),1)-1</f>
        <v/>
      </c>
      <c r="C1738" s="22">
        <f>(1+C1737)*IF(AND(Painel_diario!$H1734="EU_JU",Painel_diario!$J1734=1),EXP(Painel_diario!$L1734),1)-1</f>
        <v/>
      </c>
      <c r="D1738" s="22">
        <f>(1+D1737)*IF(AND(Painel_diario!$H1734="ED_JD",Painel_diario!$J1734=1),EXP(Painel_diario!$L1734),1)-1</f>
        <v/>
      </c>
      <c r="E1738" s="22">
        <f>(1+E1737)*IF(AND(Painel_diario!$H1734="ED_JU",Painel_diario!$J1734=1),EXP(Painel_diario!$L1734),1)-1</f>
        <v/>
      </c>
    </row>
    <row r="1739">
      <c r="A1739" s="25" t="n">
        <v>41381</v>
      </c>
      <c r="B1739" s="22">
        <f>(1+B1738)*IF(AND(Painel_diario!$H1735="EU_JD",Painel_diario!$J1735=1),EXP(Painel_diario!$L1735),1)-1</f>
        <v/>
      </c>
      <c r="C1739" s="22">
        <f>(1+C1738)*IF(AND(Painel_diario!$H1735="EU_JU",Painel_diario!$J1735=1),EXP(Painel_diario!$L1735),1)-1</f>
        <v/>
      </c>
      <c r="D1739" s="22">
        <f>(1+D1738)*IF(AND(Painel_diario!$H1735="ED_JD",Painel_diario!$J1735=1),EXP(Painel_diario!$L1735),1)-1</f>
        <v/>
      </c>
      <c r="E1739" s="22">
        <f>(1+E1738)*IF(AND(Painel_diario!$H1735="ED_JU",Painel_diario!$J1735=1),EXP(Painel_diario!$L1735),1)-1</f>
        <v/>
      </c>
    </row>
    <row r="1740">
      <c r="A1740" s="25" t="n">
        <v>41382</v>
      </c>
      <c r="B1740" s="22">
        <f>(1+B1739)*IF(AND(Painel_diario!$H1736="EU_JD",Painel_diario!$J1736=1),EXP(Painel_diario!$L1736),1)-1</f>
        <v/>
      </c>
      <c r="C1740" s="22">
        <f>(1+C1739)*IF(AND(Painel_diario!$H1736="EU_JU",Painel_diario!$J1736=1),EXP(Painel_diario!$L1736),1)-1</f>
        <v/>
      </c>
      <c r="D1740" s="22">
        <f>(1+D1739)*IF(AND(Painel_diario!$H1736="ED_JD",Painel_diario!$J1736=1),EXP(Painel_diario!$L1736),1)-1</f>
        <v/>
      </c>
      <c r="E1740" s="22">
        <f>(1+E1739)*IF(AND(Painel_diario!$H1736="ED_JU",Painel_diario!$J1736=1),EXP(Painel_diario!$L1736),1)-1</f>
        <v/>
      </c>
    </row>
    <row r="1741">
      <c r="A1741" s="25" t="n">
        <v>41383</v>
      </c>
      <c r="B1741" s="22">
        <f>(1+B1740)*IF(AND(Painel_diario!$H1737="EU_JD",Painel_diario!$J1737=1),EXP(Painel_diario!$L1737),1)-1</f>
        <v/>
      </c>
      <c r="C1741" s="22">
        <f>(1+C1740)*IF(AND(Painel_diario!$H1737="EU_JU",Painel_diario!$J1737=1),EXP(Painel_diario!$L1737),1)-1</f>
        <v/>
      </c>
      <c r="D1741" s="22">
        <f>(1+D1740)*IF(AND(Painel_diario!$H1737="ED_JD",Painel_diario!$J1737=1),EXP(Painel_diario!$L1737),1)-1</f>
        <v/>
      </c>
      <c r="E1741" s="22">
        <f>(1+E1740)*IF(AND(Painel_diario!$H1737="ED_JU",Painel_diario!$J1737=1),EXP(Painel_diario!$L1737),1)-1</f>
        <v/>
      </c>
    </row>
    <row r="1742">
      <c r="A1742" s="25" t="n">
        <v>41386</v>
      </c>
      <c r="B1742" s="22">
        <f>(1+B1741)*IF(AND(Painel_diario!$H1738="EU_JD",Painel_diario!$J1738=1),EXP(Painel_diario!$L1738),1)-1</f>
        <v/>
      </c>
      <c r="C1742" s="22">
        <f>(1+C1741)*IF(AND(Painel_diario!$H1738="EU_JU",Painel_diario!$J1738=1),EXP(Painel_diario!$L1738),1)-1</f>
        <v/>
      </c>
      <c r="D1742" s="22">
        <f>(1+D1741)*IF(AND(Painel_diario!$H1738="ED_JD",Painel_diario!$J1738=1),EXP(Painel_diario!$L1738),1)-1</f>
        <v/>
      </c>
      <c r="E1742" s="22">
        <f>(1+E1741)*IF(AND(Painel_diario!$H1738="ED_JU",Painel_diario!$J1738=1),EXP(Painel_diario!$L1738),1)-1</f>
        <v/>
      </c>
    </row>
    <row r="1743">
      <c r="A1743" s="25" t="n">
        <v>41387</v>
      </c>
      <c r="B1743" s="22">
        <f>(1+B1742)*IF(AND(Painel_diario!$H1739="EU_JD",Painel_diario!$J1739=1),EXP(Painel_diario!$L1739),1)-1</f>
        <v/>
      </c>
      <c r="C1743" s="22">
        <f>(1+C1742)*IF(AND(Painel_diario!$H1739="EU_JU",Painel_diario!$J1739=1),EXP(Painel_diario!$L1739),1)-1</f>
        <v/>
      </c>
      <c r="D1743" s="22">
        <f>(1+D1742)*IF(AND(Painel_diario!$H1739="ED_JD",Painel_diario!$J1739=1),EXP(Painel_diario!$L1739),1)-1</f>
        <v/>
      </c>
      <c r="E1743" s="22">
        <f>(1+E1742)*IF(AND(Painel_diario!$H1739="ED_JU",Painel_diario!$J1739=1),EXP(Painel_diario!$L1739),1)-1</f>
        <v/>
      </c>
    </row>
    <row r="1744">
      <c r="A1744" s="25" t="n">
        <v>41388</v>
      </c>
      <c r="B1744" s="22">
        <f>(1+B1743)*IF(AND(Painel_diario!$H1740="EU_JD",Painel_diario!$J1740=1),EXP(Painel_diario!$L1740),1)-1</f>
        <v/>
      </c>
      <c r="C1744" s="22">
        <f>(1+C1743)*IF(AND(Painel_diario!$H1740="EU_JU",Painel_diario!$J1740=1),EXP(Painel_diario!$L1740),1)-1</f>
        <v/>
      </c>
      <c r="D1744" s="22">
        <f>(1+D1743)*IF(AND(Painel_diario!$H1740="ED_JD",Painel_diario!$J1740=1),EXP(Painel_diario!$L1740),1)-1</f>
        <v/>
      </c>
      <c r="E1744" s="22">
        <f>(1+E1743)*IF(AND(Painel_diario!$H1740="ED_JU",Painel_diario!$J1740=1),EXP(Painel_diario!$L1740),1)-1</f>
        <v/>
      </c>
    </row>
    <row r="1745">
      <c r="A1745" s="25" t="n">
        <v>41389</v>
      </c>
      <c r="B1745" s="22">
        <f>(1+B1744)*IF(AND(Painel_diario!$H1741="EU_JD",Painel_diario!$J1741=1),EXP(Painel_diario!$L1741),1)-1</f>
        <v/>
      </c>
      <c r="C1745" s="22">
        <f>(1+C1744)*IF(AND(Painel_diario!$H1741="EU_JU",Painel_diario!$J1741=1),EXP(Painel_diario!$L1741),1)-1</f>
        <v/>
      </c>
      <c r="D1745" s="22">
        <f>(1+D1744)*IF(AND(Painel_diario!$H1741="ED_JD",Painel_diario!$J1741=1),EXP(Painel_diario!$L1741),1)-1</f>
        <v/>
      </c>
      <c r="E1745" s="22">
        <f>(1+E1744)*IF(AND(Painel_diario!$H1741="ED_JU",Painel_diario!$J1741=1),EXP(Painel_diario!$L1741),1)-1</f>
        <v/>
      </c>
    </row>
    <row r="1746">
      <c r="A1746" s="25" t="n">
        <v>41390</v>
      </c>
      <c r="B1746" s="22">
        <f>(1+B1745)*IF(AND(Painel_diario!$H1742="EU_JD",Painel_diario!$J1742=1),EXP(Painel_diario!$L1742),1)-1</f>
        <v/>
      </c>
      <c r="C1746" s="22">
        <f>(1+C1745)*IF(AND(Painel_diario!$H1742="EU_JU",Painel_diario!$J1742=1),EXP(Painel_diario!$L1742),1)-1</f>
        <v/>
      </c>
      <c r="D1746" s="22">
        <f>(1+D1745)*IF(AND(Painel_diario!$H1742="ED_JD",Painel_diario!$J1742=1),EXP(Painel_diario!$L1742),1)-1</f>
        <v/>
      </c>
      <c r="E1746" s="22">
        <f>(1+E1745)*IF(AND(Painel_diario!$H1742="ED_JU",Painel_diario!$J1742=1),EXP(Painel_diario!$L1742),1)-1</f>
        <v/>
      </c>
    </row>
    <row r="1747">
      <c r="A1747" s="25" t="n">
        <v>41393</v>
      </c>
      <c r="B1747" s="22">
        <f>(1+B1746)*IF(AND(Painel_diario!$H1743="EU_JD",Painel_diario!$J1743=1),EXP(Painel_diario!$L1743),1)-1</f>
        <v/>
      </c>
      <c r="C1747" s="22">
        <f>(1+C1746)*IF(AND(Painel_diario!$H1743="EU_JU",Painel_diario!$J1743=1),EXP(Painel_diario!$L1743),1)-1</f>
        <v/>
      </c>
      <c r="D1747" s="22">
        <f>(1+D1746)*IF(AND(Painel_diario!$H1743="ED_JD",Painel_diario!$J1743=1),EXP(Painel_diario!$L1743),1)-1</f>
        <v/>
      </c>
      <c r="E1747" s="22">
        <f>(1+E1746)*IF(AND(Painel_diario!$H1743="ED_JU",Painel_diario!$J1743=1),EXP(Painel_diario!$L1743),1)-1</f>
        <v/>
      </c>
    </row>
    <row r="1748">
      <c r="A1748" s="25" t="n">
        <v>41394</v>
      </c>
      <c r="B1748" s="22">
        <f>(1+B1747)*IF(AND(Painel_diario!$H1744="EU_JD",Painel_diario!$J1744=1),EXP(Painel_diario!$L1744),1)-1</f>
        <v/>
      </c>
      <c r="C1748" s="22">
        <f>(1+C1747)*IF(AND(Painel_diario!$H1744="EU_JU",Painel_diario!$J1744=1),EXP(Painel_diario!$L1744),1)-1</f>
        <v/>
      </c>
      <c r="D1748" s="22">
        <f>(1+D1747)*IF(AND(Painel_diario!$H1744="ED_JD",Painel_diario!$J1744=1),EXP(Painel_diario!$L1744),1)-1</f>
        <v/>
      </c>
      <c r="E1748" s="22">
        <f>(1+E1747)*IF(AND(Painel_diario!$H1744="ED_JU",Painel_diario!$J1744=1),EXP(Painel_diario!$L1744),1)-1</f>
        <v/>
      </c>
    </row>
    <row r="1749">
      <c r="A1749" s="25" t="n">
        <v>41396</v>
      </c>
      <c r="B1749" s="22">
        <f>(1+B1748)*IF(AND(Painel_diario!$H1745="EU_JD",Painel_diario!$J1745=1),EXP(Painel_diario!$L1745),1)-1</f>
        <v/>
      </c>
      <c r="C1749" s="22">
        <f>(1+C1748)*IF(AND(Painel_diario!$H1745="EU_JU",Painel_diario!$J1745=1),EXP(Painel_diario!$L1745),1)-1</f>
        <v/>
      </c>
      <c r="D1749" s="22">
        <f>(1+D1748)*IF(AND(Painel_diario!$H1745="ED_JD",Painel_diario!$J1745=1),EXP(Painel_diario!$L1745),1)-1</f>
        <v/>
      </c>
      <c r="E1749" s="22">
        <f>(1+E1748)*IF(AND(Painel_diario!$H1745="ED_JU",Painel_diario!$J1745=1),EXP(Painel_diario!$L1745),1)-1</f>
        <v/>
      </c>
    </row>
    <row r="1750">
      <c r="A1750" s="25" t="n">
        <v>41397</v>
      </c>
      <c r="B1750" s="22">
        <f>(1+B1749)*IF(AND(Painel_diario!$H1746="EU_JD",Painel_diario!$J1746=1),EXP(Painel_diario!$L1746),1)-1</f>
        <v/>
      </c>
      <c r="C1750" s="22">
        <f>(1+C1749)*IF(AND(Painel_diario!$H1746="EU_JU",Painel_diario!$J1746=1),EXP(Painel_diario!$L1746),1)-1</f>
        <v/>
      </c>
      <c r="D1750" s="22">
        <f>(1+D1749)*IF(AND(Painel_diario!$H1746="ED_JD",Painel_diario!$J1746=1),EXP(Painel_diario!$L1746),1)-1</f>
        <v/>
      </c>
      <c r="E1750" s="22">
        <f>(1+E1749)*IF(AND(Painel_diario!$H1746="ED_JU",Painel_diario!$J1746=1),EXP(Painel_diario!$L1746),1)-1</f>
        <v/>
      </c>
    </row>
    <row r="1751">
      <c r="A1751" s="25" t="n">
        <v>41400</v>
      </c>
      <c r="B1751" s="22">
        <f>(1+B1750)*IF(AND(Painel_diario!$H1747="EU_JD",Painel_diario!$J1747=1),EXP(Painel_diario!$L1747),1)-1</f>
        <v/>
      </c>
      <c r="C1751" s="22">
        <f>(1+C1750)*IF(AND(Painel_diario!$H1747="EU_JU",Painel_diario!$J1747=1),EXP(Painel_diario!$L1747),1)-1</f>
        <v/>
      </c>
      <c r="D1751" s="22">
        <f>(1+D1750)*IF(AND(Painel_diario!$H1747="ED_JD",Painel_diario!$J1747=1),EXP(Painel_diario!$L1747),1)-1</f>
        <v/>
      </c>
      <c r="E1751" s="22">
        <f>(1+E1750)*IF(AND(Painel_diario!$H1747="ED_JU",Painel_diario!$J1747=1),EXP(Painel_diario!$L1747),1)-1</f>
        <v/>
      </c>
    </row>
    <row r="1752">
      <c r="A1752" s="25" t="n">
        <v>41401</v>
      </c>
      <c r="B1752" s="22">
        <f>(1+B1751)*IF(AND(Painel_diario!$H1748="EU_JD",Painel_diario!$J1748=1),EXP(Painel_diario!$L1748),1)-1</f>
        <v/>
      </c>
      <c r="C1752" s="22">
        <f>(1+C1751)*IF(AND(Painel_diario!$H1748="EU_JU",Painel_diario!$J1748=1),EXP(Painel_diario!$L1748),1)-1</f>
        <v/>
      </c>
      <c r="D1752" s="22">
        <f>(1+D1751)*IF(AND(Painel_diario!$H1748="ED_JD",Painel_diario!$J1748=1),EXP(Painel_diario!$L1748),1)-1</f>
        <v/>
      </c>
      <c r="E1752" s="22">
        <f>(1+E1751)*IF(AND(Painel_diario!$H1748="ED_JU",Painel_diario!$J1748=1),EXP(Painel_diario!$L1748),1)-1</f>
        <v/>
      </c>
    </row>
    <row r="1753">
      <c r="A1753" s="25" t="n">
        <v>41402</v>
      </c>
      <c r="B1753" s="22">
        <f>(1+B1752)*IF(AND(Painel_diario!$H1749="EU_JD",Painel_diario!$J1749=1),EXP(Painel_diario!$L1749),1)-1</f>
        <v/>
      </c>
      <c r="C1753" s="22">
        <f>(1+C1752)*IF(AND(Painel_diario!$H1749="EU_JU",Painel_diario!$J1749=1),EXP(Painel_diario!$L1749),1)-1</f>
        <v/>
      </c>
      <c r="D1753" s="22">
        <f>(1+D1752)*IF(AND(Painel_diario!$H1749="ED_JD",Painel_diario!$J1749=1),EXP(Painel_diario!$L1749),1)-1</f>
        <v/>
      </c>
      <c r="E1753" s="22">
        <f>(1+E1752)*IF(AND(Painel_diario!$H1749="ED_JU",Painel_diario!$J1749=1),EXP(Painel_diario!$L1749),1)-1</f>
        <v/>
      </c>
    </row>
    <row r="1754">
      <c r="A1754" s="25" t="n">
        <v>41403</v>
      </c>
      <c r="B1754" s="22">
        <f>(1+B1753)*IF(AND(Painel_diario!$H1750="EU_JD",Painel_diario!$J1750=1),EXP(Painel_diario!$L1750),1)-1</f>
        <v/>
      </c>
      <c r="C1754" s="22">
        <f>(1+C1753)*IF(AND(Painel_diario!$H1750="EU_JU",Painel_diario!$J1750=1),EXP(Painel_diario!$L1750),1)-1</f>
        <v/>
      </c>
      <c r="D1754" s="22">
        <f>(1+D1753)*IF(AND(Painel_diario!$H1750="ED_JD",Painel_diario!$J1750=1),EXP(Painel_diario!$L1750),1)-1</f>
        <v/>
      </c>
      <c r="E1754" s="22">
        <f>(1+E1753)*IF(AND(Painel_diario!$H1750="ED_JU",Painel_diario!$J1750=1),EXP(Painel_diario!$L1750),1)-1</f>
        <v/>
      </c>
    </row>
    <row r="1755">
      <c r="A1755" s="25" t="n">
        <v>41404</v>
      </c>
      <c r="B1755" s="22">
        <f>(1+B1754)*IF(AND(Painel_diario!$H1751="EU_JD",Painel_diario!$J1751=1),EXP(Painel_diario!$L1751),1)-1</f>
        <v/>
      </c>
      <c r="C1755" s="22">
        <f>(1+C1754)*IF(AND(Painel_diario!$H1751="EU_JU",Painel_diario!$J1751=1),EXP(Painel_diario!$L1751),1)-1</f>
        <v/>
      </c>
      <c r="D1755" s="22">
        <f>(1+D1754)*IF(AND(Painel_diario!$H1751="ED_JD",Painel_diario!$J1751=1),EXP(Painel_diario!$L1751),1)-1</f>
        <v/>
      </c>
      <c r="E1755" s="22">
        <f>(1+E1754)*IF(AND(Painel_diario!$H1751="ED_JU",Painel_diario!$J1751=1),EXP(Painel_diario!$L1751),1)-1</f>
        <v/>
      </c>
    </row>
    <row r="1756">
      <c r="A1756" s="25" t="n">
        <v>41407</v>
      </c>
      <c r="B1756" s="22">
        <f>(1+B1755)*IF(AND(Painel_diario!$H1752="EU_JD",Painel_diario!$J1752=1),EXP(Painel_diario!$L1752),1)-1</f>
        <v/>
      </c>
      <c r="C1756" s="22">
        <f>(1+C1755)*IF(AND(Painel_diario!$H1752="EU_JU",Painel_diario!$J1752=1),EXP(Painel_diario!$L1752),1)-1</f>
        <v/>
      </c>
      <c r="D1756" s="22">
        <f>(1+D1755)*IF(AND(Painel_diario!$H1752="ED_JD",Painel_diario!$J1752=1),EXP(Painel_diario!$L1752),1)-1</f>
        <v/>
      </c>
      <c r="E1756" s="22">
        <f>(1+E1755)*IF(AND(Painel_diario!$H1752="ED_JU",Painel_diario!$J1752=1),EXP(Painel_diario!$L1752),1)-1</f>
        <v/>
      </c>
    </row>
    <row r="1757">
      <c r="A1757" s="25" t="n">
        <v>41408</v>
      </c>
      <c r="B1757" s="22">
        <f>(1+B1756)*IF(AND(Painel_diario!$H1753="EU_JD",Painel_diario!$J1753=1),EXP(Painel_diario!$L1753),1)-1</f>
        <v/>
      </c>
      <c r="C1757" s="22">
        <f>(1+C1756)*IF(AND(Painel_diario!$H1753="EU_JU",Painel_diario!$J1753=1),EXP(Painel_diario!$L1753),1)-1</f>
        <v/>
      </c>
      <c r="D1757" s="22">
        <f>(1+D1756)*IF(AND(Painel_diario!$H1753="ED_JD",Painel_diario!$J1753=1),EXP(Painel_diario!$L1753),1)-1</f>
        <v/>
      </c>
      <c r="E1757" s="22">
        <f>(1+E1756)*IF(AND(Painel_diario!$H1753="ED_JU",Painel_diario!$J1753=1),EXP(Painel_diario!$L1753),1)-1</f>
        <v/>
      </c>
    </row>
    <row r="1758">
      <c r="A1758" s="25" t="n">
        <v>41409</v>
      </c>
      <c r="B1758" s="22">
        <f>(1+B1757)*IF(AND(Painel_diario!$H1754="EU_JD",Painel_diario!$J1754=1),EXP(Painel_diario!$L1754),1)-1</f>
        <v/>
      </c>
      <c r="C1758" s="22">
        <f>(1+C1757)*IF(AND(Painel_diario!$H1754="EU_JU",Painel_diario!$J1754=1),EXP(Painel_diario!$L1754),1)-1</f>
        <v/>
      </c>
      <c r="D1758" s="22">
        <f>(1+D1757)*IF(AND(Painel_diario!$H1754="ED_JD",Painel_diario!$J1754=1),EXP(Painel_diario!$L1754),1)-1</f>
        <v/>
      </c>
      <c r="E1758" s="22">
        <f>(1+E1757)*IF(AND(Painel_diario!$H1754="ED_JU",Painel_diario!$J1754=1),EXP(Painel_diario!$L1754),1)-1</f>
        <v/>
      </c>
    </row>
    <row r="1759">
      <c r="A1759" s="25" t="n">
        <v>41410</v>
      </c>
      <c r="B1759" s="22">
        <f>(1+B1758)*IF(AND(Painel_diario!$H1755="EU_JD",Painel_diario!$J1755=1),EXP(Painel_diario!$L1755),1)-1</f>
        <v/>
      </c>
      <c r="C1759" s="22">
        <f>(1+C1758)*IF(AND(Painel_diario!$H1755="EU_JU",Painel_diario!$J1755=1),EXP(Painel_diario!$L1755),1)-1</f>
        <v/>
      </c>
      <c r="D1759" s="22">
        <f>(1+D1758)*IF(AND(Painel_diario!$H1755="ED_JD",Painel_diario!$J1755=1),EXP(Painel_diario!$L1755),1)-1</f>
        <v/>
      </c>
      <c r="E1759" s="22">
        <f>(1+E1758)*IF(AND(Painel_diario!$H1755="ED_JU",Painel_diario!$J1755=1),EXP(Painel_diario!$L1755),1)-1</f>
        <v/>
      </c>
    </row>
    <row r="1760">
      <c r="A1760" s="25" t="n">
        <v>41411</v>
      </c>
      <c r="B1760" s="22">
        <f>(1+B1759)*IF(AND(Painel_diario!$H1756="EU_JD",Painel_diario!$J1756=1),EXP(Painel_diario!$L1756),1)-1</f>
        <v/>
      </c>
      <c r="C1760" s="22">
        <f>(1+C1759)*IF(AND(Painel_diario!$H1756="EU_JU",Painel_diario!$J1756=1),EXP(Painel_diario!$L1756),1)-1</f>
        <v/>
      </c>
      <c r="D1760" s="22">
        <f>(1+D1759)*IF(AND(Painel_diario!$H1756="ED_JD",Painel_diario!$J1756=1),EXP(Painel_diario!$L1756),1)-1</f>
        <v/>
      </c>
      <c r="E1760" s="22">
        <f>(1+E1759)*IF(AND(Painel_diario!$H1756="ED_JU",Painel_diario!$J1756=1),EXP(Painel_diario!$L1756),1)-1</f>
        <v/>
      </c>
    </row>
    <row r="1761">
      <c r="A1761" s="25" t="n">
        <v>41414</v>
      </c>
      <c r="B1761" s="22">
        <f>(1+B1760)*IF(AND(Painel_diario!$H1757="EU_JD",Painel_diario!$J1757=1),EXP(Painel_diario!$L1757),1)-1</f>
        <v/>
      </c>
      <c r="C1761" s="22">
        <f>(1+C1760)*IF(AND(Painel_diario!$H1757="EU_JU",Painel_diario!$J1757=1),EXP(Painel_diario!$L1757),1)-1</f>
        <v/>
      </c>
      <c r="D1761" s="22">
        <f>(1+D1760)*IF(AND(Painel_diario!$H1757="ED_JD",Painel_diario!$J1757=1),EXP(Painel_diario!$L1757),1)-1</f>
        <v/>
      </c>
      <c r="E1761" s="22">
        <f>(1+E1760)*IF(AND(Painel_diario!$H1757="ED_JU",Painel_diario!$J1757=1),EXP(Painel_diario!$L1757),1)-1</f>
        <v/>
      </c>
    </row>
    <row r="1762">
      <c r="A1762" s="25" t="n">
        <v>41415</v>
      </c>
      <c r="B1762" s="22">
        <f>(1+B1761)*IF(AND(Painel_diario!$H1758="EU_JD",Painel_diario!$J1758=1),EXP(Painel_diario!$L1758),1)-1</f>
        <v/>
      </c>
      <c r="C1762" s="22">
        <f>(1+C1761)*IF(AND(Painel_diario!$H1758="EU_JU",Painel_diario!$J1758=1),EXP(Painel_diario!$L1758),1)-1</f>
        <v/>
      </c>
      <c r="D1762" s="22">
        <f>(1+D1761)*IF(AND(Painel_diario!$H1758="ED_JD",Painel_diario!$J1758=1),EXP(Painel_diario!$L1758),1)-1</f>
        <v/>
      </c>
      <c r="E1762" s="22">
        <f>(1+E1761)*IF(AND(Painel_diario!$H1758="ED_JU",Painel_diario!$J1758=1),EXP(Painel_diario!$L1758),1)-1</f>
        <v/>
      </c>
    </row>
    <row r="1763">
      <c r="A1763" s="25" t="n">
        <v>41416</v>
      </c>
      <c r="B1763" s="22">
        <f>(1+B1762)*IF(AND(Painel_diario!$H1759="EU_JD",Painel_diario!$J1759=1),EXP(Painel_diario!$L1759),1)-1</f>
        <v/>
      </c>
      <c r="C1763" s="22">
        <f>(1+C1762)*IF(AND(Painel_diario!$H1759="EU_JU",Painel_diario!$J1759=1),EXP(Painel_diario!$L1759),1)-1</f>
        <v/>
      </c>
      <c r="D1763" s="22">
        <f>(1+D1762)*IF(AND(Painel_diario!$H1759="ED_JD",Painel_diario!$J1759=1),EXP(Painel_diario!$L1759),1)-1</f>
        <v/>
      </c>
      <c r="E1763" s="22">
        <f>(1+E1762)*IF(AND(Painel_diario!$H1759="ED_JU",Painel_diario!$J1759=1),EXP(Painel_diario!$L1759),1)-1</f>
        <v/>
      </c>
    </row>
    <row r="1764">
      <c r="A1764" s="25" t="n">
        <v>41417</v>
      </c>
      <c r="B1764" s="22">
        <f>(1+B1763)*IF(AND(Painel_diario!$H1760="EU_JD",Painel_diario!$J1760=1),EXP(Painel_diario!$L1760),1)-1</f>
        <v/>
      </c>
      <c r="C1764" s="22">
        <f>(1+C1763)*IF(AND(Painel_diario!$H1760="EU_JU",Painel_diario!$J1760=1),EXP(Painel_diario!$L1760),1)-1</f>
        <v/>
      </c>
      <c r="D1764" s="22">
        <f>(1+D1763)*IF(AND(Painel_diario!$H1760="ED_JD",Painel_diario!$J1760=1),EXP(Painel_diario!$L1760),1)-1</f>
        <v/>
      </c>
      <c r="E1764" s="22">
        <f>(1+E1763)*IF(AND(Painel_diario!$H1760="ED_JU",Painel_diario!$J1760=1),EXP(Painel_diario!$L1760),1)-1</f>
        <v/>
      </c>
    </row>
    <row r="1765">
      <c r="A1765" s="25" t="n">
        <v>41418</v>
      </c>
      <c r="B1765" s="22">
        <f>(1+B1764)*IF(AND(Painel_diario!$H1761="EU_JD",Painel_diario!$J1761=1),EXP(Painel_diario!$L1761),1)-1</f>
        <v/>
      </c>
      <c r="C1765" s="22">
        <f>(1+C1764)*IF(AND(Painel_diario!$H1761="EU_JU",Painel_diario!$J1761=1),EXP(Painel_diario!$L1761),1)-1</f>
        <v/>
      </c>
      <c r="D1765" s="22">
        <f>(1+D1764)*IF(AND(Painel_diario!$H1761="ED_JD",Painel_diario!$J1761=1),EXP(Painel_diario!$L1761),1)-1</f>
        <v/>
      </c>
      <c r="E1765" s="22">
        <f>(1+E1764)*IF(AND(Painel_diario!$H1761="ED_JU",Painel_diario!$J1761=1),EXP(Painel_diario!$L1761),1)-1</f>
        <v/>
      </c>
    </row>
    <row r="1766">
      <c r="A1766" s="25" t="n">
        <v>41421</v>
      </c>
      <c r="B1766" s="22">
        <f>(1+B1765)*IF(AND(Painel_diario!$H1762="EU_JD",Painel_diario!$J1762=1),EXP(Painel_diario!$L1762),1)-1</f>
        <v/>
      </c>
      <c r="C1766" s="22">
        <f>(1+C1765)*IF(AND(Painel_diario!$H1762="EU_JU",Painel_diario!$J1762=1),EXP(Painel_diario!$L1762),1)-1</f>
        <v/>
      </c>
      <c r="D1766" s="22">
        <f>(1+D1765)*IF(AND(Painel_diario!$H1762="ED_JD",Painel_diario!$J1762=1),EXP(Painel_diario!$L1762),1)-1</f>
        <v/>
      </c>
      <c r="E1766" s="22">
        <f>(1+E1765)*IF(AND(Painel_diario!$H1762="ED_JU",Painel_diario!$J1762=1),EXP(Painel_diario!$L1762),1)-1</f>
        <v/>
      </c>
    </row>
    <row r="1767">
      <c r="A1767" s="25" t="n">
        <v>41422</v>
      </c>
      <c r="B1767" s="22">
        <f>(1+B1766)*IF(AND(Painel_diario!$H1763="EU_JD",Painel_diario!$J1763=1),EXP(Painel_diario!$L1763),1)-1</f>
        <v/>
      </c>
      <c r="C1767" s="22">
        <f>(1+C1766)*IF(AND(Painel_diario!$H1763="EU_JU",Painel_diario!$J1763=1),EXP(Painel_diario!$L1763),1)-1</f>
        <v/>
      </c>
      <c r="D1767" s="22">
        <f>(1+D1766)*IF(AND(Painel_diario!$H1763="ED_JD",Painel_diario!$J1763=1),EXP(Painel_diario!$L1763),1)-1</f>
        <v/>
      </c>
      <c r="E1767" s="22">
        <f>(1+E1766)*IF(AND(Painel_diario!$H1763="ED_JU",Painel_diario!$J1763=1),EXP(Painel_diario!$L1763),1)-1</f>
        <v/>
      </c>
    </row>
    <row r="1768">
      <c r="A1768" s="25" t="n">
        <v>41423</v>
      </c>
      <c r="B1768" s="22">
        <f>(1+B1767)*IF(AND(Painel_diario!$H1764="EU_JD",Painel_diario!$J1764=1),EXP(Painel_diario!$L1764),1)-1</f>
        <v/>
      </c>
      <c r="C1768" s="22">
        <f>(1+C1767)*IF(AND(Painel_diario!$H1764="EU_JU",Painel_diario!$J1764=1),EXP(Painel_diario!$L1764),1)-1</f>
        <v/>
      </c>
      <c r="D1768" s="22">
        <f>(1+D1767)*IF(AND(Painel_diario!$H1764="ED_JD",Painel_diario!$J1764=1),EXP(Painel_diario!$L1764),1)-1</f>
        <v/>
      </c>
      <c r="E1768" s="22">
        <f>(1+E1767)*IF(AND(Painel_diario!$H1764="ED_JU",Painel_diario!$J1764=1),EXP(Painel_diario!$L1764),1)-1</f>
        <v/>
      </c>
    </row>
    <row r="1769">
      <c r="A1769" s="25" t="n">
        <v>41425</v>
      </c>
      <c r="B1769" s="22">
        <f>(1+B1768)*IF(AND(Painel_diario!$H1765="EU_JD",Painel_diario!$J1765=1),EXP(Painel_diario!$L1765),1)-1</f>
        <v/>
      </c>
      <c r="C1769" s="22">
        <f>(1+C1768)*IF(AND(Painel_diario!$H1765="EU_JU",Painel_diario!$J1765=1),EXP(Painel_diario!$L1765),1)-1</f>
        <v/>
      </c>
      <c r="D1769" s="22">
        <f>(1+D1768)*IF(AND(Painel_diario!$H1765="ED_JD",Painel_diario!$J1765=1),EXP(Painel_diario!$L1765),1)-1</f>
        <v/>
      </c>
      <c r="E1769" s="22">
        <f>(1+E1768)*IF(AND(Painel_diario!$H1765="ED_JU",Painel_diario!$J1765=1),EXP(Painel_diario!$L1765),1)-1</f>
        <v/>
      </c>
    </row>
    <row r="1770">
      <c r="A1770" s="25" t="n">
        <v>41428</v>
      </c>
      <c r="B1770" s="22">
        <f>(1+B1769)*IF(AND(Painel_diario!$H1766="EU_JD",Painel_diario!$J1766=1),EXP(Painel_diario!$L1766),1)-1</f>
        <v/>
      </c>
      <c r="C1770" s="22">
        <f>(1+C1769)*IF(AND(Painel_diario!$H1766="EU_JU",Painel_diario!$J1766=1),EXP(Painel_diario!$L1766),1)-1</f>
        <v/>
      </c>
      <c r="D1770" s="22">
        <f>(1+D1769)*IF(AND(Painel_diario!$H1766="ED_JD",Painel_diario!$J1766=1),EXP(Painel_diario!$L1766),1)-1</f>
        <v/>
      </c>
      <c r="E1770" s="22">
        <f>(1+E1769)*IF(AND(Painel_diario!$H1766="ED_JU",Painel_diario!$J1766=1),EXP(Painel_diario!$L1766),1)-1</f>
        <v/>
      </c>
    </row>
    <row r="1771">
      <c r="A1771" s="25" t="n">
        <v>41429</v>
      </c>
      <c r="B1771" s="22">
        <f>(1+B1770)*IF(AND(Painel_diario!$H1767="EU_JD",Painel_diario!$J1767=1),EXP(Painel_diario!$L1767),1)-1</f>
        <v/>
      </c>
      <c r="C1771" s="22">
        <f>(1+C1770)*IF(AND(Painel_diario!$H1767="EU_JU",Painel_diario!$J1767=1),EXP(Painel_diario!$L1767),1)-1</f>
        <v/>
      </c>
      <c r="D1771" s="22">
        <f>(1+D1770)*IF(AND(Painel_diario!$H1767="ED_JD",Painel_diario!$J1767=1),EXP(Painel_diario!$L1767),1)-1</f>
        <v/>
      </c>
      <c r="E1771" s="22">
        <f>(1+E1770)*IF(AND(Painel_diario!$H1767="ED_JU",Painel_diario!$J1767=1),EXP(Painel_diario!$L1767),1)-1</f>
        <v/>
      </c>
    </row>
    <row r="1772">
      <c r="A1772" s="25" t="n">
        <v>41430</v>
      </c>
      <c r="B1772" s="22">
        <f>(1+B1771)*IF(AND(Painel_diario!$H1768="EU_JD",Painel_diario!$J1768=1),EXP(Painel_diario!$L1768),1)-1</f>
        <v/>
      </c>
      <c r="C1772" s="22">
        <f>(1+C1771)*IF(AND(Painel_diario!$H1768="EU_JU",Painel_diario!$J1768=1),EXP(Painel_diario!$L1768),1)-1</f>
        <v/>
      </c>
      <c r="D1772" s="22">
        <f>(1+D1771)*IF(AND(Painel_diario!$H1768="ED_JD",Painel_diario!$J1768=1),EXP(Painel_diario!$L1768),1)-1</f>
        <v/>
      </c>
      <c r="E1772" s="22">
        <f>(1+E1771)*IF(AND(Painel_diario!$H1768="ED_JU",Painel_diario!$J1768=1),EXP(Painel_diario!$L1768),1)-1</f>
        <v/>
      </c>
    </row>
    <row r="1773">
      <c r="A1773" s="25" t="n">
        <v>41431</v>
      </c>
      <c r="B1773" s="22">
        <f>(1+B1772)*IF(AND(Painel_diario!$H1769="EU_JD",Painel_diario!$J1769=1),EXP(Painel_diario!$L1769),1)-1</f>
        <v/>
      </c>
      <c r="C1773" s="22">
        <f>(1+C1772)*IF(AND(Painel_diario!$H1769="EU_JU",Painel_diario!$J1769=1),EXP(Painel_diario!$L1769),1)-1</f>
        <v/>
      </c>
      <c r="D1773" s="22">
        <f>(1+D1772)*IF(AND(Painel_diario!$H1769="ED_JD",Painel_diario!$J1769=1),EXP(Painel_diario!$L1769),1)-1</f>
        <v/>
      </c>
      <c r="E1773" s="22">
        <f>(1+E1772)*IF(AND(Painel_diario!$H1769="ED_JU",Painel_diario!$J1769=1),EXP(Painel_diario!$L1769),1)-1</f>
        <v/>
      </c>
    </row>
    <row r="1774">
      <c r="A1774" s="25" t="n">
        <v>41432</v>
      </c>
      <c r="B1774" s="22">
        <f>(1+B1773)*IF(AND(Painel_diario!$H1770="EU_JD",Painel_diario!$J1770=1),EXP(Painel_diario!$L1770),1)-1</f>
        <v/>
      </c>
      <c r="C1774" s="22">
        <f>(1+C1773)*IF(AND(Painel_diario!$H1770="EU_JU",Painel_diario!$J1770=1),EXP(Painel_diario!$L1770),1)-1</f>
        <v/>
      </c>
      <c r="D1774" s="22">
        <f>(1+D1773)*IF(AND(Painel_diario!$H1770="ED_JD",Painel_diario!$J1770=1),EXP(Painel_diario!$L1770),1)-1</f>
        <v/>
      </c>
      <c r="E1774" s="22">
        <f>(1+E1773)*IF(AND(Painel_diario!$H1770="ED_JU",Painel_diario!$J1770=1),EXP(Painel_diario!$L1770),1)-1</f>
        <v/>
      </c>
    </row>
    <row r="1775">
      <c r="A1775" s="25" t="n">
        <v>41435</v>
      </c>
      <c r="B1775" s="22">
        <f>(1+B1774)*IF(AND(Painel_diario!$H1771="EU_JD",Painel_diario!$J1771=1),EXP(Painel_diario!$L1771),1)-1</f>
        <v/>
      </c>
      <c r="C1775" s="22">
        <f>(1+C1774)*IF(AND(Painel_diario!$H1771="EU_JU",Painel_diario!$J1771=1),EXP(Painel_diario!$L1771),1)-1</f>
        <v/>
      </c>
      <c r="D1775" s="22">
        <f>(1+D1774)*IF(AND(Painel_diario!$H1771="ED_JD",Painel_diario!$J1771=1),EXP(Painel_diario!$L1771),1)-1</f>
        <v/>
      </c>
      <c r="E1775" s="22">
        <f>(1+E1774)*IF(AND(Painel_diario!$H1771="ED_JU",Painel_diario!$J1771=1),EXP(Painel_diario!$L1771),1)-1</f>
        <v/>
      </c>
    </row>
    <row r="1776">
      <c r="A1776" s="25" t="n">
        <v>41436</v>
      </c>
      <c r="B1776" s="22">
        <f>(1+B1775)*IF(AND(Painel_diario!$H1772="EU_JD",Painel_diario!$J1772=1),EXP(Painel_diario!$L1772),1)-1</f>
        <v/>
      </c>
      <c r="C1776" s="22">
        <f>(1+C1775)*IF(AND(Painel_diario!$H1772="EU_JU",Painel_diario!$J1772=1),EXP(Painel_diario!$L1772),1)-1</f>
        <v/>
      </c>
      <c r="D1776" s="22">
        <f>(1+D1775)*IF(AND(Painel_diario!$H1772="ED_JD",Painel_diario!$J1772=1),EXP(Painel_diario!$L1772),1)-1</f>
        <v/>
      </c>
      <c r="E1776" s="22">
        <f>(1+E1775)*IF(AND(Painel_diario!$H1772="ED_JU",Painel_diario!$J1772=1),EXP(Painel_diario!$L1772),1)-1</f>
        <v/>
      </c>
    </row>
    <row r="1777">
      <c r="A1777" s="25" t="n">
        <v>41437</v>
      </c>
      <c r="B1777" s="22">
        <f>(1+B1776)*IF(AND(Painel_diario!$H1773="EU_JD",Painel_diario!$J1773=1),EXP(Painel_diario!$L1773),1)-1</f>
        <v/>
      </c>
      <c r="C1777" s="22">
        <f>(1+C1776)*IF(AND(Painel_diario!$H1773="EU_JU",Painel_diario!$J1773=1),EXP(Painel_diario!$L1773),1)-1</f>
        <v/>
      </c>
      <c r="D1777" s="22">
        <f>(1+D1776)*IF(AND(Painel_diario!$H1773="ED_JD",Painel_diario!$J1773=1),EXP(Painel_diario!$L1773),1)-1</f>
        <v/>
      </c>
      <c r="E1777" s="22">
        <f>(1+E1776)*IF(AND(Painel_diario!$H1773="ED_JU",Painel_diario!$J1773=1),EXP(Painel_diario!$L1773),1)-1</f>
        <v/>
      </c>
    </row>
    <row r="1778">
      <c r="A1778" s="25" t="n">
        <v>41438</v>
      </c>
      <c r="B1778" s="22">
        <f>(1+B1777)*IF(AND(Painel_diario!$H1774="EU_JD",Painel_diario!$J1774=1),EXP(Painel_diario!$L1774),1)-1</f>
        <v/>
      </c>
      <c r="C1778" s="22">
        <f>(1+C1777)*IF(AND(Painel_diario!$H1774="EU_JU",Painel_diario!$J1774=1),EXP(Painel_diario!$L1774),1)-1</f>
        <v/>
      </c>
      <c r="D1778" s="22">
        <f>(1+D1777)*IF(AND(Painel_diario!$H1774="ED_JD",Painel_diario!$J1774=1),EXP(Painel_diario!$L1774),1)-1</f>
        <v/>
      </c>
      <c r="E1778" s="22">
        <f>(1+E1777)*IF(AND(Painel_diario!$H1774="ED_JU",Painel_diario!$J1774=1),EXP(Painel_diario!$L1774),1)-1</f>
        <v/>
      </c>
    </row>
    <row r="1779">
      <c r="A1779" s="25" t="n">
        <v>41439</v>
      </c>
      <c r="B1779" s="22">
        <f>(1+B1778)*IF(AND(Painel_diario!$H1775="EU_JD",Painel_diario!$J1775=1),EXP(Painel_diario!$L1775),1)-1</f>
        <v/>
      </c>
      <c r="C1779" s="22">
        <f>(1+C1778)*IF(AND(Painel_diario!$H1775="EU_JU",Painel_diario!$J1775=1),EXP(Painel_diario!$L1775),1)-1</f>
        <v/>
      </c>
      <c r="D1779" s="22">
        <f>(1+D1778)*IF(AND(Painel_diario!$H1775="ED_JD",Painel_diario!$J1775=1),EXP(Painel_diario!$L1775),1)-1</f>
        <v/>
      </c>
      <c r="E1779" s="22">
        <f>(1+E1778)*IF(AND(Painel_diario!$H1775="ED_JU",Painel_diario!$J1775=1),EXP(Painel_diario!$L1775),1)-1</f>
        <v/>
      </c>
    </row>
    <row r="1780">
      <c r="A1780" s="25" t="n">
        <v>41442</v>
      </c>
      <c r="B1780" s="22">
        <f>(1+B1779)*IF(AND(Painel_diario!$H1776="EU_JD",Painel_diario!$J1776=1),EXP(Painel_diario!$L1776),1)-1</f>
        <v/>
      </c>
      <c r="C1780" s="22">
        <f>(1+C1779)*IF(AND(Painel_diario!$H1776="EU_JU",Painel_diario!$J1776=1),EXP(Painel_diario!$L1776),1)-1</f>
        <v/>
      </c>
      <c r="D1780" s="22">
        <f>(1+D1779)*IF(AND(Painel_diario!$H1776="ED_JD",Painel_diario!$J1776=1),EXP(Painel_diario!$L1776),1)-1</f>
        <v/>
      </c>
      <c r="E1780" s="22">
        <f>(1+E1779)*IF(AND(Painel_diario!$H1776="ED_JU",Painel_diario!$J1776=1),EXP(Painel_diario!$L1776),1)-1</f>
        <v/>
      </c>
    </row>
    <row r="1781">
      <c r="A1781" s="25" t="n">
        <v>41443</v>
      </c>
      <c r="B1781" s="22">
        <f>(1+B1780)*IF(AND(Painel_diario!$H1777="EU_JD",Painel_diario!$J1777=1),EXP(Painel_diario!$L1777),1)-1</f>
        <v/>
      </c>
      <c r="C1781" s="22">
        <f>(1+C1780)*IF(AND(Painel_diario!$H1777="EU_JU",Painel_diario!$J1777=1),EXP(Painel_diario!$L1777),1)-1</f>
        <v/>
      </c>
      <c r="D1781" s="22">
        <f>(1+D1780)*IF(AND(Painel_diario!$H1777="ED_JD",Painel_diario!$J1777=1),EXP(Painel_diario!$L1777),1)-1</f>
        <v/>
      </c>
      <c r="E1781" s="22">
        <f>(1+E1780)*IF(AND(Painel_diario!$H1777="ED_JU",Painel_diario!$J1777=1),EXP(Painel_diario!$L1777),1)-1</f>
        <v/>
      </c>
    </row>
    <row r="1782">
      <c r="A1782" s="25" t="n">
        <v>41444</v>
      </c>
      <c r="B1782" s="22">
        <f>(1+B1781)*IF(AND(Painel_diario!$H1778="EU_JD",Painel_diario!$J1778=1),EXP(Painel_diario!$L1778),1)-1</f>
        <v/>
      </c>
      <c r="C1782" s="22">
        <f>(1+C1781)*IF(AND(Painel_diario!$H1778="EU_JU",Painel_diario!$J1778=1),EXP(Painel_diario!$L1778),1)-1</f>
        <v/>
      </c>
      <c r="D1782" s="22">
        <f>(1+D1781)*IF(AND(Painel_diario!$H1778="ED_JD",Painel_diario!$J1778=1),EXP(Painel_diario!$L1778),1)-1</f>
        <v/>
      </c>
      <c r="E1782" s="22">
        <f>(1+E1781)*IF(AND(Painel_diario!$H1778="ED_JU",Painel_diario!$J1778=1),EXP(Painel_diario!$L1778),1)-1</f>
        <v/>
      </c>
    </row>
    <row r="1783">
      <c r="A1783" s="25" t="n">
        <v>41445</v>
      </c>
      <c r="B1783" s="22">
        <f>(1+B1782)*IF(AND(Painel_diario!$H1779="EU_JD",Painel_diario!$J1779=1),EXP(Painel_diario!$L1779),1)-1</f>
        <v/>
      </c>
      <c r="C1783" s="22">
        <f>(1+C1782)*IF(AND(Painel_diario!$H1779="EU_JU",Painel_diario!$J1779=1),EXP(Painel_diario!$L1779),1)-1</f>
        <v/>
      </c>
      <c r="D1783" s="22">
        <f>(1+D1782)*IF(AND(Painel_diario!$H1779="ED_JD",Painel_diario!$J1779=1),EXP(Painel_diario!$L1779),1)-1</f>
        <v/>
      </c>
      <c r="E1783" s="22">
        <f>(1+E1782)*IF(AND(Painel_diario!$H1779="ED_JU",Painel_diario!$J1779=1),EXP(Painel_diario!$L1779),1)-1</f>
        <v/>
      </c>
    </row>
    <row r="1784">
      <c r="A1784" s="25" t="n">
        <v>41446</v>
      </c>
      <c r="B1784" s="22">
        <f>(1+B1783)*IF(AND(Painel_diario!$H1780="EU_JD",Painel_diario!$J1780=1),EXP(Painel_diario!$L1780),1)-1</f>
        <v/>
      </c>
      <c r="C1784" s="22">
        <f>(1+C1783)*IF(AND(Painel_diario!$H1780="EU_JU",Painel_diario!$J1780=1),EXP(Painel_diario!$L1780),1)-1</f>
        <v/>
      </c>
      <c r="D1784" s="22">
        <f>(1+D1783)*IF(AND(Painel_diario!$H1780="ED_JD",Painel_diario!$J1780=1),EXP(Painel_diario!$L1780),1)-1</f>
        <v/>
      </c>
      <c r="E1784" s="22">
        <f>(1+E1783)*IF(AND(Painel_diario!$H1780="ED_JU",Painel_diario!$J1780=1),EXP(Painel_diario!$L1780),1)-1</f>
        <v/>
      </c>
    </row>
    <row r="1785">
      <c r="A1785" s="25" t="n">
        <v>41449</v>
      </c>
      <c r="B1785" s="22">
        <f>(1+B1784)*IF(AND(Painel_diario!$H1781="EU_JD",Painel_diario!$J1781=1),EXP(Painel_diario!$L1781),1)-1</f>
        <v/>
      </c>
      <c r="C1785" s="22">
        <f>(1+C1784)*IF(AND(Painel_diario!$H1781="EU_JU",Painel_diario!$J1781=1),EXP(Painel_diario!$L1781),1)-1</f>
        <v/>
      </c>
      <c r="D1785" s="22">
        <f>(1+D1784)*IF(AND(Painel_diario!$H1781="ED_JD",Painel_diario!$J1781=1),EXP(Painel_diario!$L1781),1)-1</f>
        <v/>
      </c>
      <c r="E1785" s="22">
        <f>(1+E1784)*IF(AND(Painel_diario!$H1781="ED_JU",Painel_diario!$J1781=1),EXP(Painel_diario!$L1781),1)-1</f>
        <v/>
      </c>
    </row>
    <row r="1786">
      <c r="A1786" s="25" t="n">
        <v>41450</v>
      </c>
      <c r="B1786" s="22">
        <f>(1+B1785)*IF(AND(Painel_diario!$H1782="EU_JD",Painel_diario!$J1782=1),EXP(Painel_diario!$L1782),1)-1</f>
        <v/>
      </c>
      <c r="C1786" s="22">
        <f>(1+C1785)*IF(AND(Painel_diario!$H1782="EU_JU",Painel_diario!$J1782=1),EXP(Painel_diario!$L1782),1)-1</f>
        <v/>
      </c>
      <c r="D1786" s="22">
        <f>(1+D1785)*IF(AND(Painel_diario!$H1782="ED_JD",Painel_diario!$J1782=1),EXP(Painel_diario!$L1782),1)-1</f>
        <v/>
      </c>
      <c r="E1786" s="22">
        <f>(1+E1785)*IF(AND(Painel_diario!$H1782="ED_JU",Painel_diario!$J1782=1),EXP(Painel_diario!$L1782),1)-1</f>
        <v/>
      </c>
    </row>
    <row r="1787">
      <c r="A1787" s="25" t="n">
        <v>41451</v>
      </c>
      <c r="B1787" s="22">
        <f>(1+B1786)*IF(AND(Painel_diario!$H1783="EU_JD",Painel_diario!$J1783=1),EXP(Painel_diario!$L1783),1)-1</f>
        <v/>
      </c>
      <c r="C1787" s="22">
        <f>(1+C1786)*IF(AND(Painel_diario!$H1783="EU_JU",Painel_diario!$J1783=1),EXP(Painel_diario!$L1783),1)-1</f>
        <v/>
      </c>
      <c r="D1787" s="22">
        <f>(1+D1786)*IF(AND(Painel_diario!$H1783="ED_JD",Painel_diario!$J1783=1),EXP(Painel_diario!$L1783),1)-1</f>
        <v/>
      </c>
      <c r="E1787" s="22">
        <f>(1+E1786)*IF(AND(Painel_diario!$H1783="ED_JU",Painel_diario!$J1783=1),EXP(Painel_diario!$L1783),1)-1</f>
        <v/>
      </c>
    </row>
    <row r="1788">
      <c r="A1788" s="25" t="n">
        <v>41452</v>
      </c>
      <c r="B1788" s="22">
        <f>(1+B1787)*IF(AND(Painel_diario!$H1784="EU_JD",Painel_diario!$J1784=1),EXP(Painel_diario!$L1784),1)-1</f>
        <v/>
      </c>
      <c r="C1788" s="22">
        <f>(1+C1787)*IF(AND(Painel_diario!$H1784="EU_JU",Painel_diario!$J1784=1),EXP(Painel_diario!$L1784),1)-1</f>
        <v/>
      </c>
      <c r="D1788" s="22">
        <f>(1+D1787)*IF(AND(Painel_diario!$H1784="ED_JD",Painel_diario!$J1784=1),EXP(Painel_diario!$L1784),1)-1</f>
        <v/>
      </c>
      <c r="E1788" s="22">
        <f>(1+E1787)*IF(AND(Painel_diario!$H1784="ED_JU",Painel_diario!$J1784=1),EXP(Painel_diario!$L1784),1)-1</f>
        <v/>
      </c>
    </row>
    <row r="1789">
      <c r="A1789" s="25" t="n">
        <v>41453</v>
      </c>
      <c r="B1789" s="22">
        <f>(1+B1788)*IF(AND(Painel_diario!$H1785="EU_JD",Painel_diario!$J1785=1),EXP(Painel_diario!$L1785),1)-1</f>
        <v/>
      </c>
      <c r="C1789" s="22">
        <f>(1+C1788)*IF(AND(Painel_diario!$H1785="EU_JU",Painel_diario!$J1785=1),EXP(Painel_diario!$L1785),1)-1</f>
        <v/>
      </c>
      <c r="D1789" s="22">
        <f>(1+D1788)*IF(AND(Painel_diario!$H1785="ED_JD",Painel_diario!$J1785=1),EXP(Painel_diario!$L1785),1)-1</f>
        <v/>
      </c>
      <c r="E1789" s="22">
        <f>(1+E1788)*IF(AND(Painel_diario!$H1785="ED_JU",Painel_diario!$J1785=1),EXP(Painel_diario!$L1785),1)-1</f>
        <v/>
      </c>
    </row>
    <row r="1790">
      <c r="A1790" s="25" t="n">
        <v>41456</v>
      </c>
      <c r="B1790" s="22">
        <f>(1+B1789)*IF(AND(Painel_diario!$H1786="EU_JD",Painel_diario!$J1786=1),EXP(Painel_diario!$L1786),1)-1</f>
        <v/>
      </c>
      <c r="C1790" s="22">
        <f>(1+C1789)*IF(AND(Painel_diario!$H1786="EU_JU",Painel_diario!$J1786=1),EXP(Painel_diario!$L1786),1)-1</f>
        <v/>
      </c>
      <c r="D1790" s="22">
        <f>(1+D1789)*IF(AND(Painel_diario!$H1786="ED_JD",Painel_diario!$J1786=1),EXP(Painel_diario!$L1786),1)-1</f>
        <v/>
      </c>
      <c r="E1790" s="22">
        <f>(1+E1789)*IF(AND(Painel_diario!$H1786="ED_JU",Painel_diario!$J1786=1),EXP(Painel_diario!$L1786),1)-1</f>
        <v/>
      </c>
    </row>
    <row r="1791">
      <c r="A1791" s="25" t="n">
        <v>41457</v>
      </c>
      <c r="B1791" s="22">
        <f>(1+B1790)*IF(AND(Painel_diario!$H1787="EU_JD",Painel_diario!$J1787=1),EXP(Painel_diario!$L1787),1)-1</f>
        <v/>
      </c>
      <c r="C1791" s="22">
        <f>(1+C1790)*IF(AND(Painel_diario!$H1787="EU_JU",Painel_diario!$J1787=1),EXP(Painel_diario!$L1787),1)-1</f>
        <v/>
      </c>
      <c r="D1791" s="22">
        <f>(1+D1790)*IF(AND(Painel_diario!$H1787="ED_JD",Painel_diario!$J1787=1),EXP(Painel_diario!$L1787),1)-1</f>
        <v/>
      </c>
      <c r="E1791" s="22">
        <f>(1+E1790)*IF(AND(Painel_diario!$H1787="ED_JU",Painel_diario!$J1787=1),EXP(Painel_diario!$L1787),1)-1</f>
        <v/>
      </c>
    </row>
    <row r="1792">
      <c r="A1792" s="25" t="n">
        <v>41458</v>
      </c>
      <c r="B1792" s="22">
        <f>(1+B1791)*IF(AND(Painel_diario!$H1788="EU_JD",Painel_diario!$J1788=1),EXP(Painel_diario!$L1788),1)-1</f>
        <v/>
      </c>
      <c r="C1792" s="22">
        <f>(1+C1791)*IF(AND(Painel_diario!$H1788="EU_JU",Painel_diario!$J1788=1),EXP(Painel_diario!$L1788),1)-1</f>
        <v/>
      </c>
      <c r="D1792" s="22">
        <f>(1+D1791)*IF(AND(Painel_diario!$H1788="ED_JD",Painel_diario!$J1788=1),EXP(Painel_diario!$L1788),1)-1</f>
        <v/>
      </c>
      <c r="E1792" s="22">
        <f>(1+E1791)*IF(AND(Painel_diario!$H1788="ED_JU",Painel_diario!$J1788=1),EXP(Painel_diario!$L1788),1)-1</f>
        <v/>
      </c>
    </row>
    <row r="1793">
      <c r="A1793" s="25" t="n">
        <v>41459</v>
      </c>
      <c r="B1793" s="22">
        <f>(1+B1792)*IF(AND(Painel_diario!$H1789="EU_JD",Painel_diario!$J1789=1),EXP(Painel_diario!$L1789),1)-1</f>
        <v/>
      </c>
      <c r="C1793" s="22">
        <f>(1+C1792)*IF(AND(Painel_diario!$H1789="EU_JU",Painel_diario!$J1789=1),EXP(Painel_diario!$L1789),1)-1</f>
        <v/>
      </c>
      <c r="D1793" s="22">
        <f>(1+D1792)*IF(AND(Painel_diario!$H1789="ED_JD",Painel_diario!$J1789=1),EXP(Painel_diario!$L1789),1)-1</f>
        <v/>
      </c>
      <c r="E1793" s="22">
        <f>(1+E1792)*IF(AND(Painel_diario!$H1789="ED_JU",Painel_diario!$J1789=1),EXP(Painel_diario!$L1789),1)-1</f>
        <v/>
      </c>
    </row>
    <row r="1794">
      <c r="A1794" s="25" t="n">
        <v>41460</v>
      </c>
      <c r="B1794" s="22">
        <f>(1+B1793)*IF(AND(Painel_diario!$H1790="EU_JD",Painel_diario!$J1790=1),EXP(Painel_diario!$L1790),1)-1</f>
        <v/>
      </c>
      <c r="C1794" s="22">
        <f>(1+C1793)*IF(AND(Painel_diario!$H1790="EU_JU",Painel_diario!$J1790=1),EXP(Painel_diario!$L1790),1)-1</f>
        <v/>
      </c>
      <c r="D1794" s="22">
        <f>(1+D1793)*IF(AND(Painel_diario!$H1790="ED_JD",Painel_diario!$J1790=1),EXP(Painel_diario!$L1790),1)-1</f>
        <v/>
      </c>
      <c r="E1794" s="22">
        <f>(1+E1793)*IF(AND(Painel_diario!$H1790="ED_JU",Painel_diario!$J1790=1),EXP(Painel_diario!$L1790),1)-1</f>
        <v/>
      </c>
    </row>
    <row r="1795">
      <c r="A1795" s="25" t="n">
        <v>41463</v>
      </c>
      <c r="B1795" s="22">
        <f>(1+B1794)*IF(AND(Painel_diario!$H1791="EU_JD",Painel_diario!$J1791=1),EXP(Painel_diario!$L1791),1)-1</f>
        <v/>
      </c>
      <c r="C1795" s="22">
        <f>(1+C1794)*IF(AND(Painel_diario!$H1791="EU_JU",Painel_diario!$J1791=1),EXP(Painel_diario!$L1791),1)-1</f>
        <v/>
      </c>
      <c r="D1795" s="22">
        <f>(1+D1794)*IF(AND(Painel_diario!$H1791="ED_JD",Painel_diario!$J1791=1),EXP(Painel_diario!$L1791),1)-1</f>
        <v/>
      </c>
      <c r="E1795" s="22">
        <f>(1+E1794)*IF(AND(Painel_diario!$H1791="ED_JU",Painel_diario!$J1791=1),EXP(Painel_diario!$L1791),1)-1</f>
        <v/>
      </c>
    </row>
    <row r="1796">
      <c r="A1796" s="25" t="n">
        <v>41465</v>
      </c>
      <c r="B1796" s="22">
        <f>(1+B1795)*IF(AND(Painel_diario!$H1792="EU_JD",Painel_diario!$J1792=1),EXP(Painel_diario!$L1792),1)-1</f>
        <v/>
      </c>
      <c r="C1796" s="22">
        <f>(1+C1795)*IF(AND(Painel_diario!$H1792="EU_JU",Painel_diario!$J1792=1),EXP(Painel_diario!$L1792),1)-1</f>
        <v/>
      </c>
      <c r="D1796" s="22">
        <f>(1+D1795)*IF(AND(Painel_diario!$H1792="ED_JD",Painel_diario!$J1792=1),EXP(Painel_diario!$L1792),1)-1</f>
        <v/>
      </c>
      <c r="E1796" s="22">
        <f>(1+E1795)*IF(AND(Painel_diario!$H1792="ED_JU",Painel_diario!$J1792=1),EXP(Painel_diario!$L1792),1)-1</f>
        <v/>
      </c>
    </row>
    <row r="1797">
      <c r="A1797" s="25" t="n">
        <v>41466</v>
      </c>
      <c r="B1797" s="22">
        <f>(1+B1796)*IF(AND(Painel_diario!$H1793="EU_JD",Painel_diario!$J1793=1),EXP(Painel_diario!$L1793),1)-1</f>
        <v/>
      </c>
      <c r="C1797" s="22">
        <f>(1+C1796)*IF(AND(Painel_diario!$H1793="EU_JU",Painel_diario!$J1793=1),EXP(Painel_diario!$L1793),1)-1</f>
        <v/>
      </c>
      <c r="D1797" s="22">
        <f>(1+D1796)*IF(AND(Painel_diario!$H1793="ED_JD",Painel_diario!$J1793=1),EXP(Painel_diario!$L1793),1)-1</f>
        <v/>
      </c>
      <c r="E1797" s="22">
        <f>(1+E1796)*IF(AND(Painel_diario!$H1793="ED_JU",Painel_diario!$J1793=1),EXP(Painel_diario!$L1793),1)-1</f>
        <v/>
      </c>
    </row>
    <row r="1798">
      <c r="A1798" s="25" t="n">
        <v>41467</v>
      </c>
      <c r="B1798" s="22">
        <f>(1+B1797)*IF(AND(Painel_diario!$H1794="EU_JD",Painel_diario!$J1794=1),EXP(Painel_diario!$L1794),1)-1</f>
        <v/>
      </c>
      <c r="C1798" s="22">
        <f>(1+C1797)*IF(AND(Painel_diario!$H1794="EU_JU",Painel_diario!$J1794=1),EXP(Painel_diario!$L1794),1)-1</f>
        <v/>
      </c>
      <c r="D1798" s="22">
        <f>(1+D1797)*IF(AND(Painel_diario!$H1794="ED_JD",Painel_diario!$J1794=1),EXP(Painel_diario!$L1794),1)-1</f>
        <v/>
      </c>
      <c r="E1798" s="22">
        <f>(1+E1797)*IF(AND(Painel_diario!$H1794="ED_JU",Painel_diario!$J1794=1),EXP(Painel_diario!$L1794),1)-1</f>
        <v/>
      </c>
    </row>
    <row r="1799">
      <c r="A1799" s="25" t="n">
        <v>41470</v>
      </c>
      <c r="B1799" s="22">
        <f>(1+B1798)*IF(AND(Painel_diario!$H1795="EU_JD",Painel_diario!$J1795=1),EXP(Painel_diario!$L1795),1)-1</f>
        <v/>
      </c>
      <c r="C1799" s="22">
        <f>(1+C1798)*IF(AND(Painel_diario!$H1795="EU_JU",Painel_diario!$J1795=1),EXP(Painel_diario!$L1795),1)-1</f>
        <v/>
      </c>
      <c r="D1799" s="22">
        <f>(1+D1798)*IF(AND(Painel_diario!$H1795="ED_JD",Painel_diario!$J1795=1),EXP(Painel_diario!$L1795),1)-1</f>
        <v/>
      </c>
      <c r="E1799" s="22">
        <f>(1+E1798)*IF(AND(Painel_diario!$H1795="ED_JU",Painel_diario!$J1795=1),EXP(Painel_diario!$L1795),1)-1</f>
        <v/>
      </c>
    </row>
    <row r="1800">
      <c r="A1800" s="25" t="n">
        <v>41471</v>
      </c>
      <c r="B1800" s="22">
        <f>(1+B1799)*IF(AND(Painel_diario!$H1796="EU_JD",Painel_diario!$J1796=1),EXP(Painel_diario!$L1796),1)-1</f>
        <v/>
      </c>
      <c r="C1800" s="22">
        <f>(1+C1799)*IF(AND(Painel_diario!$H1796="EU_JU",Painel_diario!$J1796=1),EXP(Painel_diario!$L1796),1)-1</f>
        <v/>
      </c>
      <c r="D1800" s="22">
        <f>(1+D1799)*IF(AND(Painel_diario!$H1796="ED_JD",Painel_diario!$J1796=1),EXP(Painel_diario!$L1796),1)-1</f>
        <v/>
      </c>
      <c r="E1800" s="22">
        <f>(1+E1799)*IF(AND(Painel_diario!$H1796="ED_JU",Painel_diario!$J1796=1),EXP(Painel_diario!$L1796),1)-1</f>
        <v/>
      </c>
    </row>
    <row r="1801">
      <c r="A1801" s="25" t="n">
        <v>41472</v>
      </c>
      <c r="B1801" s="22">
        <f>(1+B1800)*IF(AND(Painel_diario!$H1797="EU_JD",Painel_diario!$J1797=1),EXP(Painel_diario!$L1797),1)-1</f>
        <v/>
      </c>
      <c r="C1801" s="22">
        <f>(1+C1800)*IF(AND(Painel_diario!$H1797="EU_JU",Painel_diario!$J1797=1),EXP(Painel_diario!$L1797),1)-1</f>
        <v/>
      </c>
      <c r="D1801" s="22">
        <f>(1+D1800)*IF(AND(Painel_diario!$H1797="ED_JD",Painel_diario!$J1797=1),EXP(Painel_diario!$L1797),1)-1</f>
        <v/>
      </c>
      <c r="E1801" s="22">
        <f>(1+E1800)*IF(AND(Painel_diario!$H1797="ED_JU",Painel_diario!$J1797=1),EXP(Painel_diario!$L1797),1)-1</f>
        <v/>
      </c>
    </row>
    <row r="1802">
      <c r="A1802" s="25" t="n">
        <v>41473</v>
      </c>
      <c r="B1802" s="22">
        <f>(1+B1801)*IF(AND(Painel_diario!$H1798="EU_JD",Painel_diario!$J1798=1),EXP(Painel_diario!$L1798),1)-1</f>
        <v/>
      </c>
      <c r="C1802" s="22">
        <f>(1+C1801)*IF(AND(Painel_diario!$H1798="EU_JU",Painel_diario!$J1798=1),EXP(Painel_diario!$L1798),1)-1</f>
        <v/>
      </c>
      <c r="D1802" s="22">
        <f>(1+D1801)*IF(AND(Painel_diario!$H1798="ED_JD",Painel_diario!$J1798=1),EXP(Painel_diario!$L1798),1)-1</f>
        <v/>
      </c>
      <c r="E1802" s="22">
        <f>(1+E1801)*IF(AND(Painel_diario!$H1798="ED_JU",Painel_diario!$J1798=1),EXP(Painel_diario!$L1798),1)-1</f>
        <v/>
      </c>
    </row>
    <row r="1803">
      <c r="A1803" s="25" t="n">
        <v>41474</v>
      </c>
      <c r="B1803" s="22">
        <f>(1+B1802)*IF(AND(Painel_diario!$H1799="EU_JD",Painel_diario!$J1799=1),EXP(Painel_diario!$L1799),1)-1</f>
        <v/>
      </c>
      <c r="C1803" s="22">
        <f>(1+C1802)*IF(AND(Painel_diario!$H1799="EU_JU",Painel_diario!$J1799=1),EXP(Painel_diario!$L1799),1)-1</f>
        <v/>
      </c>
      <c r="D1803" s="22">
        <f>(1+D1802)*IF(AND(Painel_diario!$H1799="ED_JD",Painel_diario!$J1799=1),EXP(Painel_diario!$L1799),1)-1</f>
        <v/>
      </c>
      <c r="E1803" s="22">
        <f>(1+E1802)*IF(AND(Painel_diario!$H1799="ED_JU",Painel_diario!$J1799=1),EXP(Painel_diario!$L1799),1)-1</f>
        <v/>
      </c>
    </row>
    <row r="1804">
      <c r="A1804" s="25" t="n">
        <v>41477</v>
      </c>
      <c r="B1804" s="22">
        <f>(1+B1803)*IF(AND(Painel_diario!$H1800="EU_JD",Painel_diario!$J1800=1),EXP(Painel_diario!$L1800),1)-1</f>
        <v/>
      </c>
      <c r="C1804" s="22">
        <f>(1+C1803)*IF(AND(Painel_diario!$H1800="EU_JU",Painel_diario!$J1800=1),EXP(Painel_diario!$L1800),1)-1</f>
        <v/>
      </c>
      <c r="D1804" s="22">
        <f>(1+D1803)*IF(AND(Painel_diario!$H1800="ED_JD",Painel_diario!$J1800=1),EXP(Painel_diario!$L1800),1)-1</f>
        <v/>
      </c>
      <c r="E1804" s="22">
        <f>(1+E1803)*IF(AND(Painel_diario!$H1800="ED_JU",Painel_diario!$J1800=1),EXP(Painel_diario!$L1800),1)-1</f>
        <v/>
      </c>
    </row>
    <row r="1805">
      <c r="A1805" s="25" t="n">
        <v>41478</v>
      </c>
      <c r="B1805" s="22">
        <f>(1+B1804)*IF(AND(Painel_diario!$H1801="EU_JD",Painel_diario!$J1801=1),EXP(Painel_diario!$L1801),1)-1</f>
        <v/>
      </c>
      <c r="C1805" s="22">
        <f>(1+C1804)*IF(AND(Painel_diario!$H1801="EU_JU",Painel_diario!$J1801=1),EXP(Painel_diario!$L1801),1)-1</f>
        <v/>
      </c>
      <c r="D1805" s="22">
        <f>(1+D1804)*IF(AND(Painel_diario!$H1801="ED_JD",Painel_diario!$J1801=1),EXP(Painel_diario!$L1801),1)-1</f>
        <v/>
      </c>
      <c r="E1805" s="22">
        <f>(1+E1804)*IF(AND(Painel_diario!$H1801="ED_JU",Painel_diario!$J1801=1),EXP(Painel_diario!$L1801),1)-1</f>
        <v/>
      </c>
    </row>
    <row r="1806">
      <c r="A1806" s="25" t="n">
        <v>41479</v>
      </c>
      <c r="B1806" s="22">
        <f>(1+B1805)*IF(AND(Painel_diario!$H1802="EU_JD",Painel_diario!$J1802=1),EXP(Painel_diario!$L1802),1)-1</f>
        <v/>
      </c>
      <c r="C1806" s="22">
        <f>(1+C1805)*IF(AND(Painel_diario!$H1802="EU_JU",Painel_diario!$J1802=1),EXP(Painel_diario!$L1802),1)-1</f>
        <v/>
      </c>
      <c r="D1806" s="22">
        <f>(1+D1805)*IF(AND(Painel_diario!$H1802="ED_JD",Painel_diario!$J1802=1),EXP(Painel_diario!$L1802),1)-1</f>
        <v/>
      </c>
      <c r="E1806" s="22">
        <f>(1+E1805)*IF(AND(Painel_diario!$H1802="ED_JU",Painel_diario!$J1802=1),EXP(Painel_diario!$L1802),1)-1</f>
        <v/>
      </c>
    </row>
    <row r="1807">
      <c r="A1807" s="25" t="n">
        <v>41480</v>
      </c>
      <c r="B1807" s="22">
        <f>(1+B1806)*IF(AND(Painel_diario!$H1803="EU_JD",Painel_diario!$J1803=1),EXP(Painel_diario!$L1803),1)-1</f>
        <v/>
      </c>
      <c r="C1807" s="22">
        <f>(1+C1806)*IF(AND(Painel_diario!$H1803="EU_JU",Painel_diario!$J1803=1),EXP(Painel_diario!$L1803),1)-1</f>
        <v/>
      </c>
      <c r="D1807" s="22">
        <f>(1+D1806)*IF(AND(Painel_diario!$H1803="ED_JD",Painel_diario!$J1803=1),EXP(Painel_diario!$L1803),1)-1</f>
        <v/>
      </c>
      <c r="E1807" s="22">
        <f>(1+E1806)*IF(AND(Painel_diario!$H1803="ED_JU",Painel_diario!$J1803=1),EXP(Painel_diario!$L1803),1)-1</f>
        <v/>
      </c>
    </row>
    <row r="1808">
      <c r="A1808" s="25" t="n">
        <v>41481</v>
      </c>
      <c r="B1808" s="22">
        <f>(1+B1807)*IF(AND(Painel_diario!$H1804="EU_JD",Painel_diario!$J1804=1),EXP(Painel_diario!$L1804),1)-1</f>
        <v/>
      </c>
      <c r="C1808" s="22">
        <f>(1+C1807)*IF(AND(Painel_diario!$H1804="EU_JU",Painel_diario!$J1804=1),EXP(Painel_diario!$L1804),1)-1</f>
        <v/>
      </c>
      <c r="D1808" s="22">
        <f>(1+D1807)*IF(AND(Painel_diario!$H1804="ED_JD",Painel_diario!$J1804=1),EXP(Painel_diario!$L1804),1)-1</f>
        <v/>
      </c>
      <c r="E1808" s="22">
        <f>(1+E1807)*IF(AND(Painel_diario!$H1804="ED_JU",Painel_diario!$J1804=1),EXP(Painel_diario!$L1804),1)-1</f>
        <v/>
      </c>
    </row>
    <row r="1809">
      <c r="A1809" s="25" t="n">
        <v>41484</v>
      </c>
      <c r="B1809" s="22">
        <f>(1+B1808)*IF(AND(Painel_diario!$H1805="EU_JD",Painel_diario!$J1805=1),EXP(Painel_diario!$L1805),1)-1</f>
        <v/>
      </c>
      <c r="C1809" s="22">
        <f>(1+C1808)*IF(AND(Painel_diario!$H1805="EU_JU",Painel_diario!$J1805=1),EXP(Painel_diario!$L1805),1)-1</f>
        <v/>
      </c>
      <c r="D1809" s="22">
        <f>(1+D1808)*IF(AND(Painel_diario!$H1805="ED_JD",Painel_diario!$J1805=1),EXP(Painel_diario!$L1805),1)-1</f>
        <v/>
      </c>
      <c r="E1809" s="22">
        <f>(1+E1808)*IF(AND(Painel_diario!$H1805="ED_JU",Painel_diario!$J1805=1),EXP(Painel_diario!$L1805),1)-1</f>
        <v/>
      </c>
    </row>
    <row r="1810">
      <c r="A1810" s="25" t="n">
        <v>41485</v>
      </c>
      <c r="B1810" s="22">
        <f>(1+B1809)*IF(AND(Painel_diario!$H1806="EU_JD",Painel_diario!$J1806=1),EXP(Painel_diario!$L1806),1)-1</f>
        <v/>
      </c>
      <c r="C1810" s="22">
        <f>(1+C1809)*IF(AND(Painel_diario!$H1806="EU_JU",Painel_diario!$J1806=1),EXP(Painel_diario!$L1806),1)-1</f>
        <v/>
      </c>
      <c r="D1810" s="22">
        <f>(1+D1809)*IF(AND(Painel_diario!$H1806="ED_JD",Painel_diario!$J1806=1),EXP(Painel_diario!$L1806),1)-1</f>
        <v/>
      </c>
      <c r="E1810" s="22">
        <f>(1+E1809)*IF(AND(Painel_diario!$H1806="ED_JU",Painel_diario!$J1806=1),EXP(Painel_diario!$L1806),1)-1</f>
        <v/>
      </c>
    </row>
    <row r="1811">
      <c r="A1811" s="25" t="n">
        <v>41486</v>
      </c>
      <c r="B1811" s="22">
        <f>(1+B1810)*IF(AND(Painel_diario!$H1807="EU_JD",Painel_diario!$J1807=1),EXP(Painel_diario!$L1807),1)-1</f>
        <v/>
      </c>
      <c r="C1811" s="22">
        <f>(1+C1810)*IF(AND(Painel_diario!$H1807="EU_JU",Painel_diario!$J1807=1),EXP(Painel_diario!$L1807),1)-1</f>
        <v/>
      </c>
      <c r="D1811" s="22">
        <f>(1+D1810)*IF(AND(Painel_diario!$H1807="ED_JD",Painel_diario!$J1807=1),EXP(Painel_diario!$L1807),1)-1</f>
        <v/>
      </c>
      <c r="E1811" s="22">
        <f>(1+E1810)*IF(AND(Painel_diario!$H1807="ED_JU",Painel_diario!$J1807=1),EXP(Painel_diario!$L1807),1)-1</f>
        <v/>
      </c>
    </row>
    <row r="1812">
      <c r="A1812" s="25" t="n">
        <v>41487</v>
      </c>
      <c r="B1812" s="22">
        <f>(1+B1811)*IF(AND(Painel_diario!$H1808="EU_JD",Painel_diario!$J1808=1),EXP(Painel_diario!$L1808),1)-1</f>
        <v/>
      </c>
      <c r="C1812" s="22">
        <f>(1+C1811)*IF(AND(Painel_diario!$H1808="EU_JU",Painel_diario!$J1808=1),EXP(Painel_diario!$L1808),1)-1</f>
        <v/>
      </c>
      <c r="D1812" s="22">
        <f>(1+D1811)*IF(AND(Painel_diario!$H1808="ED_JD",Painel_diario!$J1808=1),EXP(Painel_diario!$L1808),1)-1</f>
        <v/>
      </c>
      <c r="E1812" s="22">
        <f>(1+E1811)*IF(AND(Painel_diario!$H1808="ED_JU",Painel_diario!$J1808=1),EXP(Painel_diario!$L1808),1)-1</f>
        <v/>
      </c>
    </row>
    <row r="1813">
      <c r="A1813" s="25" t="n">
        <v>41488</v>
      </c>
      <c r="B1813" s="22">
        <f>(1+B1812)*IF(AND(Painel_diario!$H1809="EU_JD",Painel_diario!$J1809=1),EXP(Painel_diario!$L1809),1)-1</f>
        <v/>
      </c>
      <c r="C1813" s="22">
        <f>(1+C1812)*IF(AND(Painel_diario!$H1809="EU_JU",Painel_diario!$J1809=1),EXP(Painel_diario!$L1809),1)-1</f>
        <v/>
      </c>
      <c r="D1813" s="22">
        <f>(1+D1812)*IF(AND(Painel_diario!$H1809="ED_JD",Painel_diario!$J1809=1),EXP(Painel_diario!$L1809),1)-1</f>
        <v/>
      </c>
      <c r="E1813" s="22">
        <f>(1+E1812)*IF(AND(Painel_diario!$H1809="ED_JU",Painel_diario!$J1809=1),EXP(Painel_diario!$L1809),1)-1</f>
        <v/>
      </c>
    </row>
    <row r="1814">
      <c r="A1814" s="25" t="n">
        <v>41491</v>
      </c>
      <c r="B1814" s="22">
        <f>(1+B1813)*IF(AND(Painel_diario!$H1810="EU_JD",Painel_diario!$J1810=1),EXP(Painel_diario!$L1810),1)-1</f>
        <v/>
      </c>
      <c r="C1814" s="22">
        <f>(1+C1813)*IF(AND(Painel_diario!$H1810="EU_JU",Painel_diario!$J1810=1),EXP(Painel_diario!$L1810),1)-1</f>
        <v/>
      </c>
      <c r="D1814" s="22">
        <f>(1+D1813)*IF(AND(Painel_diario!$H1810="ED_JD",Painel_diario!$J1810=1),EXP(Painel_diario!$L1810),1)-1</f>
        <v/>
      </c>
      <c r="E1814" s="22">
        <f>(1+E1813)*IF(AND(Painel_diario!$H1810="ED_JU",Painel_diario!$J1810=1),EXP(Painel_diario!$L1810),1)-1</f>
        <v/>
      </c>
    </row>
    <row r="1815">
      <c r="A1815" s="25" t="n">
        <v>41492</v>
      </c>
      <c r="B1815" s="22">
        <f>(1+B1814)*IF(AND(Painel_diario!$H1811="EU_JD",Painel_diario!$J1811=1),EXP(Painel_diario!$L1811),1)-1</f>
        <v/>
      </c>
      <c r="C1815" s="22">
        <f>(1+C1814)*IF(AND(Painel_diario!$H1811="EU_JU",Painel_diario!$J1811=1),EXP(Painel_diario!$L1811),1)-1</f>
        <v/>
      </c>
      <c r="D1815" s="22">
        <f>(1+D1814)*IF(AND(Painel_diario!$H1811="ED_JD",Painel_diario!$J1811=1),EXP(Painel_diario!$L1811),1)-1</f>
        <v/>
      </c>
      <c r="E1815" s="22">
        <f>(1+E1814)*IF(AND(Painel_diario!$H1811="ED_JU",Painel_diario!$J1811=1),EXP(Painel_diario!$L1811),1)-1</f>
        <v/>
      </c>
    </row>
    <row r="1816">
      <c r="A1816" s="25" t="n">
        <v>41493</v>
      </c>
      <c r="B1816" s="22">
        <f>(1+B1815)*IF(AND(Painel_diario!$H1812="EU_JD",Painel_diario!$J1812=1),EXP(Painel_diario!$L1812),1)-1</f>
        <v/>
      </c>
      <c r="C1816" s="22">
        <f>(1+C1815)*IF(AND(Painel_diario!$H1812="EU_JU",Painel_diario!$J1812=1),EXP(Painel_diario!$L1812),1)-1</f>
        <v/>
      </c>
      <c r="D1816" s="22">
        <f>(1+D1815)*IF(AND(Painel_diario!$H1812="ED_JD",Painel_diario!$J1812=1),EXP(Painel_diario!$L1812),1)-1</f>
        <v/>
      </c>
      <c r="E1816" s="22">
        <f>(1+E1815)*IF(AND(Painel_diario!$H1812="ED_JU",Painel_diario!$J1812=1),EXP(Painel_diario!$L1812),1)-1</f>
        <v/>
      </c>
    </row>
    <row r="1817">
      <c r="A1817" s="25" t="n">
        <v>41494</v>
      </c>
      <c r="B1817" s="22">
        <f>(1+B1816)*IF(AND(Painel_diario!$H1813="EU_JD",Painel_diario!$J1813=1),EXP(Painel_diario!$L1813),1)-1</f>
        <v/>
      </c>
      <c r="C1817" s="22">
        <f>(1+C1816)*IF(AND(Painel_diario!$H1813="EU_JU",Painel_diario!$J1813=1),EXP(Painel_diario!$L1813),1)-1</f>
        <v/>
      </c>
      <c r="D1817" s="22">
        <f>(1+D1816)*IF(AND(Painel_diario!$H1813="ED_JD",Painel_diario!$J1813=1),EXP(Painel_diario!$L1813),1)-1</f>
        <v/>
      </c>
      <c r="E1817" s="22">
        <f>(1+E1816)*IF(AND(Painel_diario!$H1813="ED_JU",Painel_diario!$J1813=1),EXP(Painel_diario!$L1813),1)-1</f>
        <v/>
      </c>
    </row>
    <row r="1818">
      <c r="A1818" s="25" t="n">
        <v>41495</v>
      </c>
      <c r="B1818" s="22">
        <f>(1+B1817)*IF(AND(Painel_diario!$H1814="EU_JD",Painel_diario!$J1814=1),EXP(Painel_diario!$L1814),1)-1</f>
        <v/>
      </c>
      <c r="C1818" s="22">
        <f>(1+C1817)*IF(AND(Painel_diario!$H1814="EU_JU",Painel_diario!$J1814=1),EXP(Painel_diario!$L1814),1)-1</f>
        <v/>
      </c>
      <c r="D1818" s="22">
        <f>(1+D1817)*IF(AND(Painel_diario!$H1814="ED_JD",Painel_diario!$J1814=1),EXP(Painel_diario!$L1814),1)-1</f>
        <v/>
      </c>
      <c r="E1818" s="22">
        <f>(1+E1817)*IF(AND(Painel_diario!$H1814="ED_JU",Painel_diario!$J1814=1),EXP(Painel_diario!$L1814),1)-1</f>
        <v/>
      </c>
    </row>
    <row r="1819">
      <c r="A1819" s="25" t="n">
        <v>41498</v>
      </c>
      <c r="B1819" s="22">
        <f>(1+B1818)*IF(AND(Painel_diario!$H1815="EU_JD",Painel_diario!$J1815=1),EXP(Painel_diario!$L1815),1)-1</f>
        <v/>
      </c>
      <c r="C1819" s="22">
        <f>(1+C1818)*IF(AND(Painel_diario!$H1815="EU_JU",Painel_diario!$J1815=1),EXP(Painel_diario!$L1815),1)-1</f>
        <v/>
      </c>
      <c r="D1819" s="22">
        <f>(1+D1818)*IF(AND(Painel_diario!$H1815="ED_JD",Painel_diario!$J1815=1),EXP(Painel_diario!$L1815),1)-1</f>
        <v/>
      </c>
      <c r="E1819" s="22">
        <f>(1+E1818)*IF(AND(Painel_diario!$H1815="ED_JU",Painel_diario!$J1815=1),EXP(Painel_diario!$L1815),1)-1</f>
        <v/>
      </c>
    </row>
    <row r="1820">
      <c r="A1820" s="25" t="n">
        <v>41499</v>
      </c>
      <c r="B1820" s="22">
        <f>(1+B1819)*IF(AND(Painel_diario!$H1816="EU_JD",Painel_diario!$J1816=1),EXP(Painel_diario!$L1816),1)-1</f>
        <v/>
      </c>
      <c r="C1820" s="22">
        <f>(1+C1819)*IF(AND(Painel_diario!$H1816="EU_JU",Painel_diario!$J1816=1),EXP(Painel_diario!$L1816),1)-1</f>
        <v/>
      </c>
      <c r="D1820" s="22">
        <f>(1+D1819)*IF(AND(Painel_diario!$H1816="ED_JD",Painel_diario!$J1816=1),EXP(Painel_diario!$L1816),1)-1</f>
        <v/>
      </c>
      <c r="E1820" s="22">
        <f>(1+E1819)*IF(AND(Painel_diario!$H1816="ED_JU",Painel_diario!$J1816=1),EXP(Painel_diario!$L1816),1)-1</f>
        <v/>
      </c>
    </row>
    <row r="1821">
      <c r="A1821" s="25" t="n">
        <v>41500</v>
      </c>
      <c r="B1821" s="22">
        <f>(1+B1820)*IF(AND(Painel_diario!$H1817="EU_JD",Painel_diario!$J1817=1),EXP(Painel_diario!$L1817),1)-1</f>
        <v/>
      </c>
      <c r="C1821" s="22">
        <f>(1+C1820)*IF(AND(Painel_diario!$H1817="EU_JU",Painel_diario!$J1817=1),EXP(Painel_diario!$L1817),1)-1</f>
        <v/>
      </c>
      <c r="D1821" s="22">
        <f>(1+D1820)*IF(AND(Painel_diario!$H1817="ED_JD",Painel_diario!$J1817=1),EXP(Painel_diario!$L1817),1)-1</f>
        <v/>
      </c>
      <c r="E1821" s="22">
        <f>(1+E1820)*IF(AND(Painel_diario!$H1817="ED_JU",Painel_diario!$J1817=1),EXP(Painel_diario!$L1817),1)-1</f>
        <v/>
      </c>
    </row>
    <row r="1822">
      <c r="A1822" s="25" t="n">
        <v>41501</v>
      </c>
      <c r="B1822" s="22">
        <f>(1+B1821)*IF(AND(Painel_diario!$H1818="EU_JD",Painel_diario!$J1818=1),EXP(Painel_diario!$L1818),1)-1</f>
        <v/>
      </c>
      <c r="C1822" s="22">
        <f>(1+C1821)*IF(AND(Painel_diario!$H1818="EU_JU",Painel_diario!$J1818=1),EXP(Painel_diario!$L1818),1)-1</f>
        <v/>
      </c>
      <c r="D1822" s="22">
        <f>(1+D1821)*IF(AND(Painel_diario!$H1818="ED_JD",Painel_diario!$J1818=1),EXP(Painel_diario!$L1818),1)-1</f>
        <v/>
      </c>
      <c r="E1822" s="22">
        <f>(1+E1821)*IF(AND(Painel_diario!$H1818="ED_JU",Painel_diario!$J1818=1),EXP(Painel_diario!$L1818),1)-1</f>
        <v/>
      </c>
    </row>
    <row r="1823">
      <c r="A1823" s="25" t="n">
        <v>41502</v>
      </c>
      <c r="B1823" s="22">
        <f>(1+B1822)*IF(AND(Painel_diario!$H1819="EU_JD",Painel_diario!$J1819=1),EXP(Painel_diario!$L1819),1)-1</f>
        <v/>
      </c>
      <c r="C1823" s="22">
        <f>(1+C1822)*IF(AND(Painel_diario!$H1819="EU_JU",Painel_diario!$J1819=1),EXP(Painel_diario!$L1819),1)-1</f>
        <v/>
      </c>
      <c r="D1823" s="22">
        <f>(1+D1822)*IF(AND(Painel_diario!$H1819="ED_JD",Painel_diario!$J1819=1),EXP(Painel_diario!$L1819),1)-1</f>
        <v/>
      </c>
      <c r="E1823" s="22">
        <f>(1+E1822)*IF(AND(Painel_diario!$H1819="ED_JU",Painel_diario!$J1819=1),EXP(Painel_diario!$L1819),1)-1</f>
        <v/>
      </c>
    </row>
    <row r="1824">
      <c r="A1824" s="25" t="n">
        <v>41505</v>
      </c>
      <c r="B1824" s="22">
        <f>(1+B1823)*IF(AND(Painel_diario!$H1820="EU_JD",Painel_diario!$J1820=1),EXP(Painel_diario!$L1820),1)-1</f>
        <v/>
      </c>
      <c r="C1824" s="22">
        <f>(1+C1823)*IF(AND(Painel_diario!$H1820="EU_JU",Painel_diario!$J1820=1),EXP(Painel_diario!$L1820),1)-1</f>
        <v/>
      </c>
      <c r="D1824" s="22">
        <f>(1+D1823)*IF(AND(Painel_diario!$H1820="ED_JD",Painel_diario!$J1820=1),EXP(Painel_diario!$L1820),1)-1</f>
        <v/>
      </c>
      <c r="E1824" s="22">
        <f>(1+E1823)*IF(AND(Painel_diario!$H1820="ED_JU",Painel_diario!$J1820=1),EXP(Painel_diario!$L1820),1)-1</f>
        <v/>
      </c>
    </row>
    <row r="1825">
      <c r="A1825" s="25" t="n">
        <v>41506</v>
      </c>
      <c r="B1825" s="22">
        <f>(1+B1824)*IF(AND(Painel_diario!$H1821="EU_JD",Painel_diario!$J1821=1),EXP(Painel_diario!$L1821),1)-1</f>
        <v/>
      </c>
      <c r="C1825" s="22">
        <f>(1+C1824)*IF(AND(Painel_diario!$H1821="EU_JU",Painel_diario!$J1821=1),EXP(Painel_diario!$L1821),1)-1</f>
        <v/>
      </c>
      <c r="D1825" s="22">
        <f>(1+D1824)*IF(AND(Painel_diario!$H1821="ED_JD",Painel_diario!$J1821=1),EXP(Painel_diario!$L1821),1)-1</f>
        <v/>
      </c>
      <c r="E1825" s="22">
        <f>(1+E1824)*IF(AND(Painel_diario!$H1821="ED_JU",Painel_diario!$J1821=1),EXP(Painel_diario!$L1821),1)-1</f>
        <v/>
      </c>
    </row>
    <row r="1826">
      <c r="A1826" s="25" t="n">
        <v>41507</v>
      </c>
      <c r="B1826" s="22">
        <f>(1+B1825)*IF(AND(Painel_diario!$H1822="EU_JD",Painel_diario!$J1822=1),EXP(Painel_diario!$L1822),1)-1</f>
        <v/>
      </c>
      <c r="C1826" s="22">
        <f>(1+C1825)*IF(AND(Painel_diario!$H1822="EU_JU",Painel_diario!$J1822=1),EXP(Painel_diario!$L1822),1)-1</f>
        <v/>
      </c>
      <c r="D1826" s="22">
        <f>(1+D1825)*IF(AND(Painel_diario!$H1822="ED_JD",Painel_diario!$J1822=1),EXP(Painel_diario!$L1822),1)-1</f>
        <v/>
      </c>
      <c r="E1826" s="22">
        <f>(1+E1825)*IF(AND(Painel_diario!$H1822="ED_JU",Painel_diario!$J1822=1),EXP(Painel_diario!$L1822),1)-1</f>
        <v/>
      </c>
    </row>
    <row r="1827">
      <c r="A1827" s="25" t="n">
        <v>41508</v>
      </c>
      <c r="B1827" s="22">
        <f>(1+B1826)*IF(AND(Painel_diario!$H1823="EU_JD",Painel_diario!$J1823=1),EXP(Painel_diario!$L1823),1)-1</f>
        <v/>
      </c>
      <c r="C1827" s="22">
        <f>(1+C1826)*IF(AND(Painel_diario!$H1823="EU_JU",Painel_diario!$J1823=1),EXP(Painel_diario!$L1823),1)-1</f>
        <v/>
      </c>
      <c r="D1827" s="22">
        <f>(1+D1826)*IF(AND(Painel_diario!$H1823="ED_JD",Painel_diario!$J1823=1),EXP(Painel_diario!$L1823),1)-1</f>
        <v/>
      </c>
      <c r="E1827" s="22">
        <f>(1+E1826)*IF(AND(Painel_diario!$H1823="ED_JU",Painel_diario!$J1823=1),EXP(Painel_diario!$L1823),1)-1</f>
        <v/>
      </c>
    </row>
    <row r="1828">
      <c r="A1828" s="25" t="n">
        <v>41509</v>
      </c>
      <c r="B1828" s="22">
        <f>(1+B1827)*IF(AND(Painel_diario!$H1824="EU_JD",Painel_diario!$J1824=1),EXP(Painel_diario!$L1824),1)-1</f>
        <v/>
      </c>
      <c r="C1828" s="22">
        <f>(1+C1827)*IF(AND(Painel_diario!$H1824="EU_JU",Painel_diario!$J1824=1),EXP(Painel_diario!$L1824),1)-1</f>
        <v/>
      </c>
      <c r="D1828" s="22">
        <f>(1+D1827)*IF(AND(Painel_diario!$H1824="ED_JD",Painel_diario!$J1824=1),EXP(Painel_diario!$L1824),1)-1</f>
        <v/>
      </c>
      <c r="E1828" s="22">
        <f>(1+E1827)*IF(AND(Painel_diario!$H1824="ED_JU",Painel_diario!$J1824=1),EXP(Painel_diario!$L1824),1)-1</f>
        <v/>
      </c>
    </row>
    <row r="1829">
      <c r="A1829" s="25" t="n">
        <v>41512</v>
      </c>
      <c r="B1829" s="22">
        <f>(1+B1828)*IF(AND(Painel_diario!$H1825="EU_JD",Painel_diario!$J1825=1),EXP(Painel_diario!$L1825),1)-1</f>
        <v/>
      </c>
      <c r="C1829" s="22">
        <f>(1+C1828)*IF(AND(Painel_diario!$H1825="EU_JU",Painel_diario!$J1825=1),EXP(Painel_diario!$L1825),1)-1</f>
        <v/>
      </c>
      <c r="D1829" s="22">
        <f>(1+D1828)*IF(AND(Painel_diario!$H1825="ED_JD",Painel_diario!$J1825=1),EXP(Painel_diario!$L1825),1)-1</f>
        <v/>
      </c>
      <c r="E1829" s="22">
        <f>(1+E1828)*IF(AND(Painel_diario!$H1825="ED_JU",Painel_diario!$J1825=1),EXP(Painel_diario!$L1825),1)-1</f>
        <v/>
      </c>
    </row>
    <row r="1830">
      <c r="A1830" s="25" t="n">
        <v>41513</v>
      </c>
      <c r="B1830" s="22">
        <f>(1+B1829)*IF(AND(Painel_diario!$H1826="EU_JD",Painel_diario!$J1826=1),EXP(Painel_diario!$L1826),1)-1</f>
        <v/>
      </c>
      <c r="C1830" s="22">
        <f>(1+C1829)*IF(AND(Painel_diario!$H1826="EU_JU",Painel_diario!$J1826=1),EXP(Painel_diario!$L1826),1)-1</f>
        <v/>
      </c>
      <c r="D1830" s="22">
        <f>(1+D1829)*IF(AND(Painel_diario!$H1826="ED_JD",Painel_diario!$J1826=1),EXP(Painel_diario!$L1826),1)-1</f>
        <v/>
      </c>
      <c r="E1830" s="22">
        <f>(1+E1829)*IF(AND(Painel_diario!$H1826="ED_JU",Painel_diario!$J1826=1),EXP(Painel_diario!$L1826),1)-1</f>
        <v/>
      </c>
    </row>
    <row r="1831">
      <c r="A1831" s="25" t="n">
        <v>41514</v>
      </c>
      <c r="B1831" s="22">
        <f>(1+B1830)*IF(AND(Painel_diario!$H1827="EU_JD",Painel_diario!$J1827=1),EXP(Painel_diario!$L1827),1)-1</f>
        <v/>
      </c>
      <c r="C1831" s="22">
        <f>(1+C1830)*IF(AND(Painel_diario!$H1827="EU_JU",Painel_diario!$J1827=1),EXP(Painel_diario!$L1827),1)-1</f>
        <v/>
      </c>
      <c r="D1831" s="22">
        <f>(1+D1830)*IF(AND(Painel_diario!$H1827="ED_JD",Painel_diario!$J1827=1),EXP(Painel_diario!$L1827),1)-1</f>
        <v/>
      </c>
      <c r="E1831" s="22">
        <f>(1+E1830)*IF(AND(Painel_diario!$H1827="ED_JU",Painel_diario!$J1827=1),EXP(Painel_diario!$L1827),1)-1</f>
        <v/>
      </c>
    </row>
    <row r="1832">
      <c r="A1832" s="25" t="n">
        <v>41515</v>
      </c>
      <c r="B1832" s="22">
        <f>(1+B1831)*IF(AND(Painel_diario!$H1828="EU_JD",Painel_diario!$J1828=1),EXP(Painel_diario!$L1828),1)-1</f>
        <v/>
      </c>
      <c r="C1832" s="22">
        <f>(1+C1831)*IF(AND(Painel_diario!$H1828="EU_JU",Painel_diario!$J1828=1),EXP(Painel_diario!$L1828),1)-1</f>
        <v/>
      </c>
      <c r="D1832" s="22">
        <f>(1+D1831)*IF(AND(Painel_diario!$H1828="ED_JD",Painel_diario!$J1828=1),EXP(Painel_diario!$L1828),1)-1</f>
        <v/>
      </c>
      <c r="E1832" s="22">
        <f>(1+E1831)*IF(AND(Painel_diario!$H1828="ED_JU",Painel_diario!$J1828=1),EXP(Painel_diario!$L1828),1)-1</f>
        <v/>
      </c>
    </row>
    <row r="1833">
      <c r="A1833" s="25" t="n">
        <v>41516</v>
      </c>
      <c r="B1833" s="22">
        <f>(1+B1832)*IF(AND(Painel_diario!$H1829="EU_JD",Painel_diario!$J1829=1),EXP(Painel_diario!$L1829),1)-1</f>
        <v/>
      </c>
      <c r="C1833" s="22">
        <f>(1+C1832)*IF(AND(Painel_diario!$H1829="EU_JU",Painel_diario!$J1829=1),EXP(Painel_diario!$L1829),1)-1</f>
        <v/>
      </c>
      <c r="D1833" s="22">
        <f>(1+D1832)*IF(AND(Painel_diario!$H1829="ED_JD",Painel_diario!$J1829=1),EXP(Painel_diario!$L1829),1)-1</f>
        <v/>
      </c>
      <c r="E1833" s="22">
        <f>(1+E1832)*IF(AND(Painel_diario!$H1829="ED_JU",Painel_diario!$J1829=1),EXP(Painel_diario!$L1829),1)-1</f>
        <v/>
      </c>
    </row>
    <row r="1834">
      <c r="A1834" s="25" t="n">
        <v>41519</v>
      </c>
      <c r="B1834" s="22">
        <f>(1+B1833)*IF(AND(Painel_diario!$H1830="EU_JD",Painel_diario!$J1830=1),EXP(Painel_diario!$L1830),1)-1</f>
        <v/>
      </c>
      <c r="C1834" s="22">
        <f>(1+C1833)*IF(AND(Painel_diario!$H1830="EU_JU",Painel_diario!$J1830=1),EXP(Painel_diario!$L1830),1)-1</f>
        <v/>
      </c>
      <c r="D1834" s="22">
        <f>(1+D1833)*IF(AND(Painel_diario!$H1830="ED_JD",Painel_diario!$J1830=1),EXP(Painel_diario!$L1830),1)-1</f>
        <v/>
      </c>
      <c r="E1834" s="22">
        <f>(1+E1833)*IF(AND(Painel_diario!$H1830="ED_JU",Painel_diario!$J1830=1),EXP(Painel_diario!$L1830),1)-1</f>
        <v/>
      </c>
    </row>
    <row r="1835">
      <c r="A1835" s="25" t="n">
        <v>41520</v>
      </c>
      <c r="B1835" s="22">
        <f>(1+B1834)*IF(AND(Painel_diario!$H1831="EU_JD",Painel_diario!$J1831=1),EXP(Painel_diario!$L1831),1)-1</f>
        <v/>
      </c>
      <c r="C1835" s="22">
        <f>(1+C1834)*IF(AND(Painel_diario!$H1831="EU_JU",Painel_diario!$J1831=1),EXP(Painel_diario!$L1831),1)-1</f>
        <v/>
      </c>
      <c r="D1835" s="22">
        <f>(1+D1834)*IF(AND(Painel_diario!$H1831="ED_JD",Painel_diario!$J1831=1),EXP(Painel_diario!$L1831),1)-1</f>
        <v/>
      </c>
      <c r="E1835" s="22">
        <f>(1+E1834)*IF(AND(Painel_diario!$H1831="ED_JU",Painel_diario!$J1831=1),EXP(Painel_diario!$L1831),1)-1</f>
        <v/>
      </c>
    </row>
    <row r="1836">
      <c r="A1836" s="25" t="n">
        <v>41521</v>
      </c>
      <c r="B1836" s="22">
        <f>(1+B1835)*IF(AND(Painel_diario!$H1832="EU_JD",Painel_diario!$J1832=1),EXP(Painel_diario!$L1832),1)-1</f>
        <v/>
      </c>
      <c r="C1836" s="22">
        <f>(1+C1835)*IF(AND(Painel_diario!$H1832="EU_JU",Painel_diario!$J1832=1),EXP(Painel_diario!$L1832),1)-1</f>
        <v/>
      </c>
      <c r="D1836" s="22">
        <f>(1+D1835)*IF(AND(Painel_diario!$H1832="ED_JD",Painel_diario!$J1832=1),EXP(Painel_diario!$L1832),1)-1</f>
        <v/>
      </c>
      <c r="E1836" s="22">
        <f>(1+E1835)*IF(AND(Painel_diario!$H1832="ED_JU",Painel_diario!$J1832=1),EXP(Painel_diario!$L1832),1)-1</f>
        <v/>
      </c>
    </row>
    <row r="1837">
      <c r="A1837" s="25" t="n">
        <v>41522</v>
      </c>
      <c r="B1837" s="22">
        <f>(1+B1836)*IF(AND(Painel_diario!$H1833="EU_JD",Painel_diario!$J1833=1),EXP(Painel_diario!$L1833),1)-1</f>
        <v/>
      </c>
      <c r="C1837" s="22">
        <f>(1+C1836)*IF(AND(Painel_diario!$H1833="EU_JU",Painel_diario!$J1833=1),EXP(Painel_diario!$L1833),1)-1</f>
        <v/>
      </c>
      <c r="D1837" s="22">
        <f>(1+D1836)*IF(AND(Painel_diario!$H1833="ED_JD",Painel_diario!$J1833=1),EXP(Painel_diario!$L1833),1)-1</f>
        <v/>
      </c>
      <c r="E1837" s="22">
        <f>(1+E1836)*IF(AND(Painel_diario!$H1833="ED_JU",Painel_diario!$J1833=1),EXP(Painel_diario!$L1833),1)-1</f>
        <v/>
      </c>
    </row>
    <row r="1838">
      <c r="A1838" s="25" t="n">
        <v>41523</v>
      </c>
      <c r="B1838" s="22">
        <f>(1+B1837)*IF(AND(Painel_diario!$H1834="EU_JD",Painel_diario!$J1834=1),EXP(Painel_diario!$L1834),1)-1</f>
        <v/>
      </c>
      <c r="C1838" s="22">
        <f>(1+C1837)*IF(AND(Painel_diario!$H1834="EU_JU",Painel_diario!$J1834=1),EXP(Painel_diario!$L1834),1)-1</f>
        <v/>
      </c>
      <c r="D1838" s="22">
        <f>(1+D1837)*IF(AND(Painel_diario!$H1834="ED_JD",Painel_diario!$J1834=1),EXP(Painel_diario!$L1834),1)-1</f>
        <v/>
      </c>
      <c r="E1838" s="22">
        <f>(1+E1837)*IF(AND(Painel_diario!$H1834="ED_JU",Painel_diario!$J1834=1),EXP(Painel_diario!$L1834),1)-1</f>
        <v/>
      </c>
    </row>
    <row r="1839">
      <c r="A1839" s="25" t="n">
        <v>41526</v>
      </c>
      <c r="B1839" s="22">
        <f>(1+B1838)*IF(AND(Painel_diario!$H1835="EU_JD",Painel_diario!$J1835=1),EXP(Painel_diario!$L1835),1)-1</f>
        <v/>
      </c>
      <c r="C1839" s="22">
        <f>(1+C1838)*IF(AND(Painel_diario!$H1835="EU_JU",Painel_diario!$J1835=1),EXP(Painel_diario!$L1835),1)-1</f>
        <v/>
      </c>
      <c r="D1839" s="22">
        <f>(1+D1838)*IF(AND(Painel_diario!$H1835="ED_JD",Painel_diario!$J1835=1),EXP(Painel_diario!$L1835),1)-1</f>
        <v/>
      </c>
      <c r="E1839" s="22">
        <f>(1+E1838)*IF(AND(Painel_diario!$H1835="ED_JU",Painel_diario!$J1835=1),EXP(Painel_diario!$L1835),1)-1</f>
        <v/>
      </c>
    </row>
    <row r="1840">
      <c r="A1840" s="25" t="n">
        <v>41527</v>
      </c>
      <c r="B1840" s="22">
        <f>(1+B1839)*IF(AND(Painel_diario!$H1836="EU_JD",Painel_diario!$J1836=1),EXP(Painel_diario!$L1836),1)-1</f>
        <v/>
      </c>
      <c r="C1840" s="22">
        <f>(1+C1839)*IF(AND(Painel_diario!$H1836="EU_JU",Painel_diario!$J1836=1),EXP(Painel_diario!$L1836),1)-1</f>
        <v/>
      </c>
      <c r="D1840" s="22">
        <f>(1+D1839)*IF(AND(Painel_diario!$H1836="ED_JD",Painel_diario!$J1836=1),EXP(Painel_diario!$L1836),1)-1</f>
        <v/>
      </c>
      <c r="E1840" s="22">
        <f>(1+E1839)*IF(AND(Painel_diario!$H1836="ED_JU",Painel_diario!$J1836=1),EXP(Painel_diario!$L1836),1)-1</f>
        <v/>
      </c>
    </row>
    <row r="1841">
      <c r="A1841" s="25" t="n">
        <v>41528</v>
      </c>
      <c r="B1841" s="22">
        <f>(1+B1840)*IF(AND(Painel_diario!$H1837="EU_JD",Painel_diario!$J1837=1),EXP(Painel_diario!$L1837),1)-1</f>
        <v/>
      </c>
      <c r="C1841" s="22">
        <f>(1+C1840)*IF(AND(Painel_diario!$H1837="EU_JU",Painel_diario!$J1837=1),EXP(Painel_diario!$L1837),1)-1</f>
        <v/>
      </c>
      <c r="D1841" s="22">
        <f>(1+D1840)*IF(AND(Painel_diario!$H1837="ED_JD",Painel_diario!$J1837=1),EXP(Painel_diario!$L1837),1)-1</f>
        <v/>
      </c>
      <c r="E1841" s="22">
        <f>(1+E1840)*IF(AND(Painel_diario!$H1837="ED_JU",Painel_diario!$J1837=1),EXP(Painel_diario!$L1837),1)-1</f>
        <v/>
      </c>
    </row>
    <row r="1842">
      <c r="A1842" s="25" t="n">
        <v>41529</v>
      </c>
      <c r="B1842" s="22">
        <f>(1+B1841)*IF(AND(Painel_diario!$H1838="EU_JD",Painel_diario!$J1838=1),EXP(Painel_diario!$L1838),1)-1</f>
        <v/>
      </c>
      <c r="C1842" s="22">
        <f>(1+C1841)*IF(AND(Painel_diario!$H1838="EU_JU",Painel_diario!$J1838=1),EXP(Painel_diario!$L1838),1)-1</f>
        <v/>
      </c>
      <c r="D1842" s="22">
        <f>(1+D1841)*IF(AND(Painel_diario!$H1838="ED_JD",Painel_diario!$J1838=1),EXP(Painel_diario!$L1838),1)-1</f>
        <v/>
      </c>
      <c r="E1842" s="22">
        <f>(1+E1841)*IF(AND(Painel_diario!$H1838="ED_JU",Painel_diario!$J1838=1),EXP(Painel_diario!$L1838),1)-1</f>
        <v/>
      </c>
    </row>
    <row r="1843">
      <c r="A1843" s="25" t="n">
        <v>41530</v>
      </c>
      <c r="B1843" s="22">
        <f>(1+B1842)*IF(AND(Painel_diario!$H1839="EU_JD",Painel_diario!$J1839=1),EXP(Painel_diario!$L1839),1)-1</f>
        <v/>
      </c>
      <c r="C1843" s="22">
        <f>(1+C1842)*IF(AND(Painel_diario!$H1839="EU_JU",Painel_diario!$J1839=1),EXP(Painel_diario!$L1839),1)-1</f>
        <v/>
      </c>
      <c r="D1843" s="22">
        <f>(1+D1842)*IF(AND(Painel_diario!$H1839="ED_JD",Painel_diario!$J1839=1),EXP(Painel_diario!$L1839),1)-1</f>
        <v/>
      </c>
      <c r="E1843" s="22">
        <f>(1+E1842)*IF(AND(Painel_diario!$H1839="ED_JU",Painel_diario!$J1839=1),EXP(Painel_diario!$L1839),1)-1</f>
        <v/>
      </c>
    </row>
    <row r="1844">
      <c r="A1844" s="25" t="n">
        <v>41533</v>
      </c>
      <c r="B1844" s="22">
        <f>(1+B1843)*IF(AND(Painel_diario!$H1840="EU_JD",Painel_diario!$J1840=1),EXP(Painel_diario!$L1840),1)-1</f>
        <v/>
      </c>
      <c r="C1844" s="22">
        <f>(1+C1843)*IF(AND(Painel_diario!$H1840="EU_JU",Painel_diario!$J1840=1),EXP(Painel_diario!$L1840),1)-1</f>
        <v/>
      </c>
      <c r="D1844" s="22">
        <f>(1+D1843)*IF(AND(Painel_diario!$H1840="ED_JD",Painel_diario!$J1840=1),EXP(Painel_diario!$L1840),1)-1</f>
        <v/>
      </c>
      <c r="E1844" s="22">
        <f>(1+E1843)*IF(AND(Painel_diario!$H1840="ED_JU",Painel_diario!$J1840=1),EXP(Painel_diario!$L1840),1)-1</f>
        <v/>
      </c>
    </row>
    <row r="1845">
      <c r="A1845" s="25" t="n">
        <v>41534</v>
      </c>
      <c r="B1845" s="22">
        <f>(1+B1844)*IF(AND(Painel_diario!$H1841="EU_JD",Painel_diario!$J1841=1),EXP(Painel_diario!$L1841),1)-1</f>
        <v/>
      </c>
      <c r="C1845" s="22">
        <f>(1+C1844)*IF(AND(Painel_diario!$H1841="EU_JU",Painel_diario!$J1841=1),EXP(Painel_diario!$L1841),1)-1</f>
        <v/>
      </c>
      <c r="D1845" s="22">
        <f>(1+D1844)*IF(AND(Painel_diario!$H1841="ED_JD",Painel_diario!$J1841=1),EXP(Painel_diario!$L1841),1)-1</f>
        <v/>
      </c>
      <c r="E1845" s="22">
        <f>(1+E1844)*IF(AND(Painel_diario!$H1841="ED_JU",Painel_diario!$J1841=1),EXP(Painel_diario!$L1841),1)-1</f>
        <v/>
      </c>
    </row>
    <row r="1846">
      <c r="A1846" s="25" t="n">
        <v>41535</v>
      </c>
      <c r="B1846" s="22">
        <f>(1+B1845)*IF(AND(Painel_diario!$H1842="EU_JD",Painel_diario!$J1842=1),EXP(Painel_diario!$L1842),1)-1</f>
        <v/>
      </c>
      <c r="C1846" s="22">
        <f>(1+C1845)*IF(AND(Painel_diario!$H1842="EU_JU",Painel_diario!$J1842=1),EXP(Painel_diario!$L1842),1)-1</f>
        <v/>
      </c>
      <c r="D1846" s="22">
        <f>(1+D1845)*IF(AND(Painel_diario!$H1842="ED_JD",Painel_diario!$J1842=1),EXP(Painel_diario!$L1842),1)-1</f>
        <v/>
      </c>
      <c r="E1846" s="22">
        <f>(1+E1845)*IF(AND(Painel_diario!$H1842="ED_JU",Painel_diario!$J1842=1),EXP(Painel_diario!$L1842),1)-1</f>
        <v/>
      </c>
    </row>
    <row r="1847">
      <c r="A1847" s="25" t="n">
        <v>41536</v>
      </c>
      <c r="B1847" s="22">
        <f>(1+B1846)*IF(AND(Painel_diario!$H1843="EU_JD",Painel_diario!$J1843=1),EXP(Painel_diario!$L1843),1)-1</f>
        <v/>
      </c>
      <c r="C1847" s="22">
        <f>(1+C1846)*IF(AND(Painel_diario!$H1843="EU_JU",Painel_diario!$J1843=1),EXP(Painel_diario!$L1843),1)-1</f>
        <v/>
      </c>
      <c r="D1847" s="22">
        <f>(1+D1846)*IF(AND(Painel_diario!$H1843="ED_JD",Painel_diario!$J1843=1),EXP(Painel_diario!$L1843),1)-1</f>
        <v/>
      </c>
      <c r="E1847" s="22">
        <f>(1+E1846)*IF(AND(Painel_diario!$H1843="ED_JU",Painel_diario!$J1843=1),EXP(Painel_diario!$L1843),1)-1</f>
        <v/>
      </c>
    </row>
    <row r="1848">
      <c r="A1848" s="25" t="n">
        <v>41537</v>
      </c>
      <c r="B1848" s="22">
        <f>(1+B1847)*IF(AND(Painel_diario!$H1844="EU_JD",Painel_diario!$J1844=1),EXP(Painel_diario!$L1844),1)-1</f>
        <v/>
      </c>
      <c r="C1848" s="22">
        <f>(1+C1847)*IF(AND(Painel_diario!$H1844="EU_JU",Painel_diario!$J1844=1),EXP(Painel_diario!$L1844),1)-1</f>
        <v/>
      </c>
      <c r="D1848" s="22">
        <f>(1+D1847)*IF(AND(Painel_diario!$H1844="ED_JD",Painel_diario!$J1844=1),EXP(Painel_diario!$L1844),1)-1</f>
        <v/>
      </c>
      <c r="E1848" s="22">
        <f>(1+E1847)*IF(AND(Painel_diario!$H1844="ED_JU",Painel_diario!$J1844=1),EXP(Painel_diario!$L1844),1)-1</f>
        <v/>
      </c>
    </row>
    <row r="1849">
      <c r="A1849" s="25" t="n">
        <v>41540</v>
      </c>
      <c r="B1849" s="22">
        <f>(1+B1848)*IF(AND(Painel_diario!$H1845="EU_JD",Painel_diario!$J1845=1),EXP(Painel_diario!$L1845),1)-1</f>
        <v/>
      </c>
      <c r="C1849" s="22">
        <f>(1+C1848)*IF(AND(Painel_diario!$H1845="EU_JU",Painel_diario!$J1845=1),EXP(Painel_diario!$L1845),1)-1</f>
        <v/>
      </c>
      <c r="D1849" s="22">
        <f>(1+D1848)*IF(AND(Painel_diario!$H1845="ED_JD",Painel_diario!$J1845=1),EXP(Painel_diario!$L1845),1)-1</f>
        <v/>
      </c>
      <c r="E1849" s="22">
        <f>(1+E1848)*IF(AND(Painel_diario!$H1845="ED_JU",Painel_diario!$J1845=1),EXP(Painel_diario!$L1845),1)-1</f>
        <v/>
      </c>
    </row>
    <row r="1850">
      <c r="A1850" s="25" t="n">
        <v>41541</v>
      </c>
      <c r="B1850" s="22">
        <f>(1+B1849)*IF(AND(Painel_diario!$H1846="EU_JD",Painel_diario!$J1846=1),EXP(Painel_diario!$L1846),1)-1</f>
        <v/>
      </c>
      <c r="C1850" s="22">
        <f>(1+C1849)*IF(AND(Painel_diario!$H1846="EU_JU",Painel_diario!$J1846=1),EXP(Painel_diario!$L1846),1)-1</f>
        <v/>
      </c>
      <c r="D1850" s="22">
        <f>(1+D1849)*IF(AND(Painel_diario!$H1846="ED_JD",Painel_diario!$J1846=1),EXP(Painel_diario!$L1846),1)-1</f>
        <v/>
      </c>
      <c r="E1850" s="22">
        <f>(1+E1849)*IF(AND(Painel_diario!$H1846="ED_JU",Painel_diario!$J1846=1),EXP(Painel_diario!$L1846),1)-1</f>
        <v/>
      </c>
    </row>
    <row r="1851">
      <c r="A1851" s="25" t="n">
        <v>41542</v>
      </c>
      <c r="B1851" s="22">
        <f>(1+B1850)*IF(AND(Painel_diario!$H1847="EU_JD",Painel_diario!$J1847=1),EXP(Painel_diario!$L1847),1)-1</f>
        <v/>
      </c>
      <c r="C1851" s="22">
        <f>(1+C1850)*IF(AND(Painel_diario!$H1847="EU_JU",Painel_diario!$J1847=1),EXP(Painel_diario!$L1847),1)-1</f>
        <v/>
      </c>
      <c r="D1851" s="22">
        <f>(1+D1850)*IF(AND(Painel_diario!$H1847="ED_JD",Painel_diario!$J1847=1),EXP(Painel_diario!$L1847),1)-1</f>
        <v/>
      </c>
      <c r="E1851" s="22">
        <f>(1+E1850)*IF(AND(Painel_diario!$H1847="ED_JU",Painel_diario!$J1847=1),EXP(Painel_diario!$L1847),1)-1</f>
        <v/>
      </c>
    </row>
    <row r="1852">
      <c r="A1852" s="25" t="n">
        <v>41543</v>
      </c>
      <c r="B1852" s="22">
        <f>(1+B1851)*IF(AND(Painel_diario!$H1848="EU_JD",Painel_diario!$J1848=1),EXP(Painel_diario!$L1848),1)-1</f>
        <v/>
      </c>
      <c r="C1852" s="22">
        <f>(1+C1851)*IF(AND(Painel_diario!$H1848="EU_JU",Painel_diario!$J1848=1),EXP(Painel_diario!$L1848),1)-1</f>
        <v/>
      </c>
      <c r="D1852" s="22">
        <f>(1+D1851)*IF(AND(Painel_diario!$H1848="ED_JD",Painel_diario!$J1848=1),EXP(Painel_diario!$L1848),1)-1</f>
        <v/>
      </c>
      <c r="E1852" s="22">
        <f>(1+E1851)*IF(AND(Painel_diario!$H1848="ED_JU",Painel_diario!$J1848=1),EXP(Painel_diario!$L1848),1)-1</f>
        <v/>
      </c>
    </row>
    <row r="1853">
      <c r="A1853" s="25" t="n">
        <v>41544</v>
      </c>
      <c r="B1853" s="22">
        <f>(1+B1852)*IF(AND(Painel_diario!$H1849="EU_JD",Painel_diario!$J1849=1),EXP(Painel_diario!$L1849),1)-1</f>
        <v/>
      </c>
      <c r="C1853" s="22">
        <f>(1+C1852)*IF(AND(Painel_diario!$H1849="EU_JU",Painel_diario!$J1849=1),EXP(Painel_diario!$L1849),1)-1</f>
        <v/>
      </c>
      <c r="D1853" s="22">
        <f>(1+D1852)*IF(AND(Painel_diario!$H1849="ED_JD",Painel_diario!$J1849=1),EXP(Painel_diario!$L1849),1)-1</f>
        <v/>
      </c>
      <c r="E1853" s="22">
        <f>(1+E1852)*IF(AND(Painel_diario!$H1849="ED_JU",Painel_diario!$J1849=1),EXP(Painel_diario!$L1849),1)-1</f>
        <v/>
      </c>
    </row>
    <row r="1854">
      <c r="A1854" s="25" t="n">
        <v>41547</v>
      </c>
      <c r="B1854" s="22">
        <f>(1+B1853)*IF(AND(Painel_diario!$H1850="EU_JD",Painel_diario!$J1850=1),EXP(Painel_diario!$L1850),1)-1</f>
        <v/>
      </c>
      <c r="C1854" s="22">
        <f>(1+C1853)*IF(AND(Painel_diario!$H1850="EU_JU",Painel_diario!$J1850=1),EXP(Painel_diario!$L1850),1)-1</f>
        <v/>
      </c>
      <c r="D1854" s="22">
        <f>(1+D1853)*IF(AND(Painel_diario!$H1850="ED_JD",Painel_diario!$J1850=1),EXP(Painel_diario!$L1850),1)-1</f>
        <v/>
      </c>
      <c r="E1854" s="22">
        <f>(1+E1853)*IF(AND(Painel_diario!$H1850="ED_JU",Painel_diario!$J1850=1),EXP(Painel_diario!$L1850),1)-1</f>
        <v/>
      </c>
    </row>
    <row r="1855">
      <c r="A1855" s="25" t="n">
        <v>41548</v>
      </c>
      <c r="B1855" s="22">
        <f>(1+B1854)*IF(AND(Painel_diario!$H1851="EU_JD",Painel_diario!$J1851=1),EXP(Painel_diario!$L1851),1)-1</f>
        <v/>
      </c>
      <c r="C1855" s="22">
        <f>(1+C1854)*IF(AND(Painel_diario!$H1851="EU_JU",Painel_diario!$J1851=1),EXP(Painel_diario!$L1851),1)-1</f>
        <v/>
      </c>
      <c r="D1855" s="22">
        <f>(1+D1854)*IF(AND(Painel_diario!$H1851="ED_JD",Painel_diario!$J1851=1),EXP(Painel_diario!$L1851),1)-1</f>
        <v/>
      </c>
      <c r="E1855" s="22">
        <f>(1+E1854)*IF(AND(Painel_diario!$H1851="ED_JU",Painel_diario!$J1851=1),EXP(Painel_diario!$L1851),1)-1</f>
        <v/>
      </c>
    </row>
    <row r="1856">
      <c r="A1856" s="25" t="n">
        <v>41549</v>
      </c>
      <c r="B1856" s="22">
        <f>(1+B1855)*IF(AND(Painel_diario!$H1852="EU_JD",Painel_diario!$J1852=1),EXP(Painel_diario!$L1852),1)-1</f>
        <v/>
      </c>
      <c r="C1856" s="22">
        <f>(1+C1855)*IF(AND(Painel_diario!$H1852="EU_JU",Painel_diario!$J1852=1),EXP(Painel_diario!$L1852),1)-1</f>
        <v/>
      </c>
      <c r="D1856" s="22">
        <f>(1+D1855)*IF(AND(Painel_diario!$H1852="ED_JD",Painel_diario!$J1852=1),EXP(Painel_diario!$L1852),1)-1</f>
        <v/>
      </c>
      <c r="E1856" s="22">
        <f>(1+E1855)*IF(AND(Painel_diario!$H1852="ED_JU",Painel_diario!$J1852=1),EXP(Painel_diario!$L1852),1)-1</f>
        <v/>
      </c>
    </row>
    <row r="1857">
      <c r="A1857" s="25" t="n">
        <v>41550</v>
      </c>
      <c r="B1857" s="22">
        <f>(1+B1856)*IF(AND(Painel_diario!$H1853="EU_JD",Painel_diario!$J1853=1),EXP(Painel_diario!$L1853),1)-1</f>
        <v/>
      </c>
      <c r="C1857" s="22">
        <f>(1+C1856)*IF(AND(Painel_diario!$H1853="EU_JU",Painel_diario!$J1853=1),EXP(Painel_diario!$L1853),1)-1</f>
        <v/>
      </c>
      <c r="D1857" s="22">
        <f>(1+D1856)*IF(AND(Painel_diario!$H1853="ED_JD",Painel_diario!$J1853=1),EXP(Painel_diario!$L1853),1)-1</f>
        <v/>
      </c>
      <c r="E1857" s="22">
        <f>(1+E1856)*IF(AND(Painel_diario!$H1853="ED_JU",Painel_diario!$J1853=1),EXP(Painel_diario!$L1853),1)-1</f>
        <v/>
      </c>
    </row>
    <row r="1858">
      <c r="A1858" s="25" t="n">
        <v>41551</v>
      </c>
      <c r="B1858" s="22">
        <f>(1+B1857)*IF(AND(Painel_diario!$H1854="EU_JD",Painel_diario!$J1854=1),EXP(Painel_diario!$L1854),1)-1</f>
        <v/>
      </c>
      <c r="C1858" s="22">
        <f>(1+C1857)*IF(AND(Painel_diario!$H1854="EU_JU",Painel_diario!$J1854=1),EXP(Painel_diario!$L1854),1)-1</f>
        <v/>
      </c>
      <c r="D1858" s="22">
        <f>(1+D1857)*IF(AND(Painel_diario!$H1854="ED_JD",Painel_diario!$J1854=1),EXP(Painel_diario!$L1854),1)-1</f>
        <v/>
      </c>
      <c r="E1858" s="22">
        <f>(1+E1857)*IF(AND(Painel_diario!$H1854="ED_JU",Painel_diario!$J1854=1),EXP(Painel_diario!$L1854),1)-1</f>
        <v/>
      </c>
    </row>
    <row r="1859">
      <c r="A1859" s="25" t="n">
        <v>41554</v>
      </c>
      <c r="B1859" s="22">
        <f>(1+B1858)*IF(AND(Painel_diario!$H1855="EU_JD",Painel_diario!$J1855=1),EXP(Painel_diario!$L1855),1)-1</f>
        <v/>
      </c>
      <c r="C1859" s="22">
        <f>(1+C1858)*IF(AND(Painel_diario!$H1855="EU_JU",Painel_diario!$J1855=1),EXP(Painel_diario!$L1855),1)-1</f>
        <v/>
      </c>
      <c r="D1859" s="22">
        <f>(1+D1858)*IF(AND(Painel_diario!$H1855="ED_JD",Painel_diario!$J1855=1),EXP(Painel_diario!$L1855),1)-1</f>
        <v/>
      </c>
      <c r="E1859" s="22">
        <f>(1+E1858)*IF(AND(Painel_diario!$H1855="ED_JU",Painel_diario!$J1855=1),EXP(Painel_diario!$L1855),1)-1</f>
        <v/>
      </c>
    </row>
    <row r="1860">
      <c r="A1860" s="25" t="n">
        <v>41555</v>
      </c>
      <c r="B1860" s="22">
        <f>(1+B1859)*IF(AND(Painel_diario!$H1856="EU_JD",Painel_diario!$J1856=1),EXP(Painel_diario!$L1856),1)-1</f>
        <v/>
      </c>
      <c r="C1860" s="22">
        <f>(1+C1859)*IF(AND(Painel_diario!$H1856="EU_JU",Painel_diario!$J1856=1),EXP(Painel_diario!$L1856),1)-1</f>
        <v/>
      </c>
      <c r="D1860" s="22">
        <f>(1+D1859)*IF(AND(Painel_diario!$H1856="ED_JD",Painel_diario!$J1856=1),EXP(Painel_diario!$L1856),1)-1</f>
        <v/>
      </c>
      <c r="E1860" s="22">
        <f>(1+E1859)*IF(AND(Painel_diario!$H1856="ED_JU",Painel_diario!$J1856=1),EXP(Painel_diario!$L1856),1)-1</f>
        <v/>
      </c>
    </row>
    <row r="1861">
      <c r="A1861" s="25" t="n">
        <v>41556</v>
      </c>
      <c r="B1861" s="22">
        <f>(1+B1860)*IF(AND(Painel_diario!$H1857="EU_JD",Painel_diario!$J1857=1),EXP(Painel_diario!$L1857),1)-1</f>
        <v/>
      </c>
      <c r="C1861" s="22">
        <f>(1+C1860)*IF(AND(Painel_diario!$H1857="EU_JU",Painel_diario!$J1857=1),EXP(Painel_diario!$L1857),1)-1</f>
        <v/>
      </c>
      <c r="D1861" s="22">
        <f>(1+D1860)*IF(AND(Painel_diario!$H1857="ED_JD",Painel_diario!$J1857=1),EXP(Painel_diario!$L1857),1)-1</f>
        <v/>
      </c>
      <c r="E1861" s="22">
        <f>(1+E1860)*IF(AND(Painel_diario!$H1857="ED_JU",Painel_diario!$J1857=1),EXP(Painel_diario!$L1857),1)-1</f>
        <v/>
      </c>
    </row>
    <row r="1862">
      <c r="A1862" s="25" t="n">
        <v>41557</v>
      </c>
      <c r="B1862" s="22">
        <f>(1+B1861)*IF(AND(Painel_diario!$H1858="EU_JD",Painel_diario!$J1858=1),EXP(Painel_diario!$L1858),1)-1</f>
        <v/>
      </c>
      <c r="C1862" s="22">
        <f>(1+C1861)*IF(AND(Painel_diario!$H1858="EU_JU",Painel_diario!$J1858=1),EXP(Painel_diario!$L1858),1)-1</f>
        <v/>
      </c>
      <c r="D1862" s="22">
        <f>(1+D1861)*IF(AND(Painel_diario!$H1858="ED_JD",Painel_diario!$J1858=1),EXP(Painel_diario!$L1858),1)-1</f>
        <v/>
      </c>
      <c r="E1862" s="22">
        <f>(1+E1861)*IF(AND(Painel_diario!$H1858="ED_JU",Painel_diario!$J1858=1),EXP(Painel_diario!$L1858),1)-1</f>
        <v/>
      </c>
    </row>
    <row r="1863">
      <c r="A1863" s="25" t="n">
        <v>41558</v>
      </c>
      <c r="B1863" s="22">
        <f>(1+B1862)*IF(AND(Painel_diario!$H1859="EU_JD",Painel_diario!$J1859=1),EXP(Painel_diario!$L1859),1)-1</f>
        <v/>
      </c>
      <c r="C1863" s="22">
        <f>(1+C1862)*IF(AND(Painel_diario!$H1859="EU_JU",Painel_diario!$J1859=1),EXP(Painel_diario!$L1859),1)-1</f>
        <v/>
      </c>
      <c r="D1863" s="22">
        <f>(1+D1862)*IF(AND(Painel_diario!$H1859="ED_JD",Painel_diario!$J1859=1),EXP(Painel_diario!$L1859),1)-1</f>
        <v/>
      </c>
      <c r="E1863" s="22">
        <f>(1+E1862)*IF(AND(Painel_diario!$H1859="ED_JU",Painel_diario!$J1859=1),EXP(Painel_diario!$L1859),1)-1</f>
        <v/>
      </c>
    </row>
    <row r="1864">
      <c r="A1864" s="25" t="n">
        <v>41561</v>
      </c>
      <c r="B1864" s="22">
        <f>(1+B1863)*IF(AND(Painel_diario!$H1860="EU_JD",Painel_diario!$J1860=1),EXP(Painel_diario!$L1860),1)-1</f>
        <v/>
      </c>
      <c r="C1864" s="22">
        <f>(1+C1863)*IF(AND(Painel_diario!$H1860="EU_JU",Painel_diario!$J1860=1),EXP(Painel_diario!$L1860),1)-1</f>
        <v/>
      </c>
      <c r="D1864" s="22">
        <f>(1+D1863)*IF(AND(Painel_diario!$H1860="ED_JD",Painel_diario!$J1860=1),EXP(Painel_diario!$L1860),1)-1</f>
        <v/>
      </c>
      <c r="E1864" s="22">
        <f>(1+E1863)*IF(AND(Painel_diario!$H1860="ED_JU",Painel_diario!$J1860=1),EXP(Painel_diario!$L1860),1)-1</f>
        <v/>
      </c>
    </row>
    <row r="1865">
      <c r="A1865" s="25" t="n">
        <v>41562</v>
      </c>
      <c r="B1865" s="22">
        <f>(1+B1864)*IF(AND(Painel_diario!$H1861="EU_JD",Painel_diario!$J1861=1),EXP(Painel_diario!$L1861),1)-1</f>
        <v/>
      </c>
      <c r="C1865" s="22">
        <f>(1+C1864)*IF(AND(Painel_diario!$H1861="EU_JU",Painel_diario!$J1861=1),EXP(Painel_diario!$L1861),1)-1</f>
        <v/>
      </c>
      <c r="D1865" s="22">
        <f>(1+D1864)*IF(AND(Painel_diario!$H1861="ED_JD",Painel_diario!$J1861=1),EXP(Painel_diario!$L1861),1)-1</f>
        <v/>
      </c>
      <c r="E1865" s="22">
        <f>(1+E1864)*IF(AND(Painel_diario!$H1861="ED_JU",Painel_diario!$J1861=1),EXP(Painel_diario!$L1861),1)-1</f>
        <v/>
      </c>
    </row>
    <row r="1866">
      <c r="A1866" s="25" t="n">
        <v>41563</v>
      </c>
      <c r="B1866" s="22">
        <f>(1+B1865)*IF(AND(Painel_diario!$H1862="EU_JD",Painel_diario!$J1862=1),EXP(Painel_diario!$L1862),1)-1</f>
        <v/>
      </c>
      <c r="C1866" s="22">
        <f>(1+C1865)*IF(AND(Painel_diario!$H1862="EU_JU",Painel_diario!$J1862=1),EXP(Painel_diario!$L1862),1)-1</f>
        <v/>
      </c>
      <c r="D1866" s="22">
        <f>(1+D1865)*IF(AND(Painel_diario!$H1862="ED_JD",Painel_diario!$J1862=1),EXP(Painel_diario!$L1862),1)-1</f>
        <v/>
      </c>
      <c r="E1866" s="22">
        <f>(1+E1865)*IF(AND(Painel_diario!$H1862="ED_JU",Painel_diario!$J1862=1),EXP(Painel_diario!$L1862),1)-1</f>
        <v/>
      </c>
    </row>
    <row r="1867">
      <c r="A1867" s="25" t="n">
        <v>41564</v>
      </c>
      <c r="B1867" s="22">
        <f>(1+B1866)*IF(AND(Painel_diario!$H1863="EU_JD",Painel_diario!$J1863=1),EXP(Painel_diario!$L1863),1)-1</f>
        <v/>
      </c>
      <c r="C1867" s="22">
        <f>(1+C1866)*IF(AND(Painel_diario!$H1863="EU_JU",Painel_diario!$J1863=1),EXP(Painel_diario!$L1863),1)-1</f>
        <v/>
      </c>
      <c r="D1867" s="22">
        <f>(1+D1866)*IF(AND(Painel_diario!$H1863="ED_JD",Painel_diario!$J1863=1),EXP(Painel_diario!$L1863),1)-1</f>
        <v/>
      </c>
      <c r="E1867" s="22">
        <f>(1+E1866)*IF(AND(Painel_diario!$H1863="ED_JU",Painel_diario!$J1863=1),EXP(Painel_diario!$L1863),1)-1</f>
        <v/>
      </c>
    </row>
    <row r="1868">
      <c r="A1868" s="25" t="n">
        <v>41565</v>
      </c>
      <c r="B1868" s="22">
        <f>(1+B1867)*IF(AND(Painel_diario!$H1864="EU_JD",Painel_diario!$J1864=1),EXP(Painel_diario!$L1864),1)-1</f>
        <v/>
      </c>
      <c r="C1868" s="22">
        <f>(1+C1867)*IF(AND(Painel_diario!$H1864="EU_JU",Painel_diario!$J1864=1),EXP(Painel_diario!$L1864),1)-1</f>
        <v/>
      </c>
      <c r="D1868" s="22">
        <f>(1+D1867)*IF(AND(Painel_diario!$H1864="ED_JD",Painel_diario!$J1864=1),EXP(Painel_diario!$L1864),1)-1</f>
        <v/>
      </c>
      <c r="E1868" s="22">
        <f>(1+E1867)*IF(AND(Painel_diario!$H1864="ED_JU",Painel_diario!$J1864=1),EXP(Painel_diario!$L1864),1)-1</f>
        <v/>
      </c>
    </row>
    <row r="1869">
      <c r="A1869" s="25" t="n">
        <v>41568</v>
      </c>
      <c r="B1869" s="22">
        <f>(1+B1868)*IF(AND(Painel_diario!$H1865="EU_JD",Painel_diario!$J1865=1),EXP(Painel_diario!$L1865),1)-1</f>
        <v/>
      </c>
      <c r="C1869" s="22">
        <f>(1+C1868)*IF(AND(Painel_diario!$H1865="EU_JU",Painel_diario!$J1865=1),EXP(Painel_diario!$L1865),1)-1</f>
        <v/>
      </c>
      <c r="D1869" s="22">
        <f>(1+D1868)*IF(AND(Painel_diario!$H1865="ED_JD",Painel_diario!$J1865=1),EXP(Painel_diario!$L1865),1)-1</f>
        <v/>
      </c>
      <c r="E1869" s="22">
        <f>(1+E1868)*IF(AND(Painel_diario!$H1865="ED_JU",Painel_diario!$J1865=1),EXP(Painel_diario!$L1865),1)-1</f>
        <v/>
      </c>
    </row>
    <row r="1870">
      <c r="A1870" s="25" t="n">
        <v>41569</v>
      </c>
      <c r="B1870" s="22">
        <f>(1+B1869)*IF(AND(Painel_diario!$H1866="EU_JD",Painel_diario!$J1866=1),EXP(Painel_diario!$L1866),1)-1</f>
        <v/>
      </c>
      <c r="C1870" s="22">
        <f>(1+C1869)*IF(AND(Painel_diario!$H1866="EU_JU",Painel_diario!$J1866=1),EXP(Painel_diario!$L1866),1)-1</f>
        <v/>
      </c>
      <c r="D1870" s="22">
        <f>(1+D1869)*IF(AND(Painel_diario!$H1866="ED_JD",Painel_diario!$J1866=1),EXP(Painel_diario!$L1866),1)-1</f>
        <v/>
      </c>
      <c r="E1870" s="22">
        <f>(1+E1869)*IF(AND(Painel_diario!$H1866="ED_JU",Painel_diario!$J1866=1),EXP(Painel_diario!$L1866),1)-1</f>
        <v/>
      </c>
    </row>
    <row r="1871">
      <c r="A1871" s="25" t="n">
        <v>41570</v>
      </c>
      <c r="B1871" s="22">
        <f>(1+B1870)*IF(AND(Painel_diario!$H1867="EU_JD",Painel_diario!$J1867=1),EXP(Painel_diario!$L1867),1)-1</f>
        <v/>
      </c>
      <c r="C1871" s="22">
        <f>(1+C1870)*IF(AND(Painel_diario!$H1867="EU_JU",Painel_diario!$J1867=1),EXP(Painel_diario!$L1867),1)-1</f>
        <v/>
      </c>
      <c r="D1871" s="22">
        <f>(1+D1870)*IF(AND(Painel_diario!$H1867="ED_JD",Painel_diario!$J1867=1),EXP(Painel_diario!$L1867),1)-1</f>
        <v/>
      </c>
      <c r="E1871" s="22">
        <f>(1+E1870)*IF(AND(Painel_diario!$H1867="ED_JU",Painel_diario!$J1867=1),EXP(Painel_diario!$L1867),1)-1</f>
        <v/>
      </c>
    </row>
    <row r="1872">
      <c r="A1872" s="25" t="n">
        <v>41571</v>
      </c>
      <c r="B1872" s="22">
        <f>(1+B1871)*IF(AND(Painel_diario!$H1868="EU_JD",Painel_diario!$J1868=1),EXP(Painel_diario!$L1868),1)-1</f>
        <v/>
      </c>
      <c r="C1872" s="22">
        <f>(1+C1871)*IF(AND(Painel_diario!$H1868="EU_JU",Painel_diario!$J1868=1),EXP(Painel_diario!$L1868),1)-1</f>
        <v/>
      </c>
      <c r="D1872" s="22">
        <f>(1+D1871)*IF(AND(Painel_diario!$H1868="ED_JD",Painel_diario!$J1868=1),EXP(Painel_diario!$L1868),1)-1</f>
        <v/>
      </c>
      <c r="E1872" s="22">
        <f>(1+E1871)*IF(AND(Painel_diario!$H1868="ED_JU",Painel_diario!$J1868=1),EXP(Painel_diario!$L1868),1)-1</f>
        <v/>
      </c>
    </row>
    <row r="1873">
      <c r="A1873" s="25" t="n">
        <v>41572</v>
      </c>
      <c r="B1873" s="22">
        <f>(1+B1872)*IF(AND(Painel_diario!$H1869="EU_JD",Painel_diario!$J1869=1),EXP(Painel_diario!$L1869),1)-1</f>
        <v/>
      </c>
      <c r="C1873" s="22">
        <f>(1+C1872)*IF(AND(Painel_diario!$H1869="EU_JU",Painel_diario!$J1869=1),EXP(Painel_diario!$L1869),1)-1</f>
        <v/>
      </c>
      <c r="D1873" s="22">
        <f>(1+D1872)*IF(AND(Painel_diario!$H1869="ED_JD",Painel_diario!$J1869=1),EXP(Painel_diario!$L1869),1)-1</f>
        <v/>
      </c>
      <c r="E1873" s="22">
        <f>(1+E1872)*IF(AND(Painel_diario!$H1869="ED_JU",Painel_diario!$J1869=1),EXP(Painel_diario!$L1869),1)-1</f>
        <v/>
      </c>
    </row>
    <row r="1874">
      <c r="A1874" s="25" t="n">
        <v>41575</v>
      </c>
      <c r="B1874" s="22">
        <f>(1+B1873)*IF(AND(Painel_diario!$H1870="EU_JD",Painel_diario!$J1870=1),EXP(Painel_diario!$L1870),1)-1</f>
        <v/>
      </c>
      <c r="C1874" s="22">
        <f>(1+C1873)*IF(AND(Painel_diario!$H1870="EU_JU",Painel_diario!$J1870=1),EXP(Painel_diario!$L1870),1)-1</f>
        <v/>
      </c>
      <c r="D1874" s="22">
        <f>(1+D1873)*IF(AND(Painel_diario!$H1870="ED_JD",Painel_diario!$J1870=1),EXP(Painel_diario!$L1870),1)-1</f>
        <v/>
      </c>
      <c r="E1874" s="22">
        <f>(1+E1873)*IF(AND(Painel_diario!$H1870="ED_JU",Painel_diario!$J1870=1),EXP(Painel_diario!$L1870),1)-1</f>
        <v/>
      </c>
    </row>
    <row r="1875">
      <c r="A1875" s="25" t="n">
        <v>41576</v>
      </c>
      <c r="B1875" s="22">
        <f>(1+B1874)*IF(AND(Painel_diario!$H1871="EU_JD",Painel_diario!$J1871=1),EXP(Painel_diario!$L1871),1)-1</f>
        <v/>
      </c>
      <c r="C1875" s="22">
        <f>(1+C1874)*IF(AND(Painel_diario!$H1871="EU_JU",Painel_diario!$J1871=1),EXP(Painel_diario!$L1871),1)-1</f>
        <v/>
      </c>
      <c r="D1875" s="22">
        <f>(1+D1874)*IF(AND(Painel_diario!$H1871="ED_JD",Painel_diario!$J1871=1),EXP(Painel_diario!$L1871),1)-1</f>
        <v/>
      </c>
      <c r="E1875" s="22">
        <f>(1+E1874)*IF(AND(Painel_diario!$H1871="ED_JU",Painel_diario!$J1871=1),EXP(Painel_diario!$L1871),1)-1</f>
        <v/>
      </c>
    </row>
    <row r="1876">
      <c r="A1876" s="25" t="n">
        <v>41577</v>
      </c>
      <c r="B1876" s="22">
        <f>(1+B1875)*IF(AND(Painel_diario!$H1872="EU_JD",Painel_diario!$J1872=1),EXP(Painel_diario!$L1872),1)-1</f>
        <v/>
      </c>
      <c r="C1876" s="22">
        <f>(1+C1875)*IF(AND(Painel_diario!$H1872="EU_JU",Painel_diario!$J1872=1),EXP(Painel_diario!$L1872),1)-1</f>
        <v/>
      </c>
      <c r="D1876" s="22">
        <f>(1+D1875)*IF(AND(Painel_diario!$H1872="ED_JD",Painel_diario!$J1872=1),EXP(Painel_diario!$L1872),1)-1</f>
        <v/>
      </c>
      <c r="E1876" s="22">
        <f>(1+E1875)*IF(AND(Painel_diario!$H1872="ED_JU",Painel_diario!$J1872=1),EXP(Painel_diario!$L1872),1)-1</f>
        <v/>
      </c>
    </row>
    <row r="1877">
      <c r="A1877" s="25" t="n">
        <v>41578</v>
      </c>
      <c r="B1877" s="22">
        <f>(1+B1876)*IF(AND(Painel_diario!$H1873="EU_JD",Painel_diario!$J1873=1),EXP(Painel_diario!$L1873),1)-1</f>
        <v/>
      </c>
      <c r="C1877" s="22">
        <f>(1+C1876)*IF(AND(Painel_diario!$H1873="EU_JU",Painel_diario!$J1873=1),EXP(Painel_diario!$L1873),1)-1</f>
        <v/>
      </c>
      <c r="D1877" s="22">
        <f>(1+D1876)*IF(AND(Painel_diario!$H1873="ED_JD",Painel_diario!$J1873=1),EXP(Painel_diario!$L1873),1)-1</f>
        <v/>
      </c>
      <c r="E1877" s="22">
        <f>(1+E1876)*IF(AND(Painel_diario!$H1873="ED_JU",Painel_diario!$J1873=1),EXP(Painel_diario!$L1873),1)-1</f>
        <v/>
      </c>
    </row>
    <row r="1878">
      <c r="A1878" s="25" t="n">
        <v>41579</v>
      </c>
      <c r="B1878" s="22">
        <f>(1+B1877)*IF(AND(Painel_diario!$H1874="EU_JD",Painel_diario!$J1874=1),EXP(Painel_diario!$L1874),1)-1</f>
        <v/>
      </c>
      <c r="C1878" s="22">
        <f>(1+C1877)*IF(AND(Painel_diario!$H1874="EU_JU",Painel_diario!$J1874=1),EXP(Painel_diario!$L1874),1)-1</f>
        <v/>
      </c>
      <c r="D1878" s="22">
        <f>(1+D1877)*IF(AND(Painel_diario!$H1874="ED_JD",Painel_diario!$J1874=1),EXP(Painel_diario!$L1874),1)-1</f>
        <v/>
      </c>
      <c r="E1878" s="22">
        <f>(1+E1877)*IF(AND(Painel_diario!$H1874="ED_JU",Painel_diario!$J1874=1),EXP(Painel_diario!$L1874),1)-1</f>
        <v/>
      </c>
    </row>
    <row r="1879">
      <c r="A1879" s="25" t="n">
        <v>41582</v>
      </c>
      <c r="B1879" s="22">
        <f>(1+B1878)*IF(AND(Painel_diario!$H1875="EU_JD",Painel_diario!$J1875=1),EXP(Painel_diario!$L1875),1)-1</f>
        <v/>
      </c>
      <c r="C1879" s="22">
        <f>(1+C1878)*IF(AND(Painel_diario!$H1875="EU_JU",Painel_diario!$J1875=1),EXP(Painel_diario!$L1875),1)-1</f>
        <v/>
      </c>
      <c r="D1879" s="22">
        <f>(1+D1878)*IF(AND(Painel_diario!$H1875="ED_JD",Painel_diario!$J1875=1),EXP(Painel_diario!$L1875),1)-1</f>
        <v/>
      </c>
      <c r="E1879" s="22">
        <f>(1+E1878)*IF(AND(Painel_diario!$H1875="ED_JU",Painel_diario!$J1875=1),EXP(Painel_diario!$L1875),1)-1</f>
        <v/>
      </c>
    </row>
    <row r="1880">
      <c r="A1880" s="25" t="n">
        <v>41583</v>
      </c>
      <c r="B1880" s="22">
        <f>(1+B1879)*IF(AND(Painel_diario!$H1876="EU_JD",Painel_diario!$J1876=1),EXP(Painel_diario!$L1876),1)-1</f>
        <v/>
      </c>
      <c r="C1880" s="22">
        <f>(1+C1879)*IF(AND(Painel_diario!$H1876="EU_JU",Painel_diario!$J1876=1),EXP(Painel_diario!$L1876),1)-1</f>
        <v/>
      </c>
      <c r="D1880" s="22">
        <f>(1+D1879)*IF(AND(Painel_diario!$H1876="ED_JD",Painel_diario!$J1876=1),EXP(Painel_diario!$L1876),1)-1</f>
        <v/>
      </c>
      <c r="E1880" s="22">
        <f>(1+E1879)*IF(AND(Painel_diario!$H1876="ED_JU",Painel_diario!$J1876=1),EXP(Painel_diario!$L1876),1)-1</f>
        <v/>
      </c>
    </row>
    <row r="1881">
      <c r="A1881" s="25" t="n">
        <v>41584</v>
      </c>
      <c r="B1881" s="22">
        <f>(1+B1880)*IF(AND(Painel_diario!$H1877="EU_JD",Painel_diario!$J1877=1),EXP(Painel_diario!$L1877),1)-1</f>
        <v/>
      </c>
      <c r="C1881" s="22">
        <f>(1+C1880)*IF(AND(Painel_diario!$H1877="EU_JU",Painel_diario!$J1877=1),EXP(Painel_diario!$L1877),1)-1</f>
        <v/>
      </c>
      <c r="D1881" s="22">
        <f>(1+D1880)*IF(AND(Painel_diario!$H1877="ED_JD",Painel_diario!$J1877=1),EXP(Painel_diario!$L1877),1)-1</f>
        <v/>
      </c>
      <c r="E1881" s="22">
        <f>(1+E1880)*IF(AND(Painel_diario!$H1877="ED_JU",Painel_diario!$J1877=1),EXP(Painel_diario!$L1877),1)-1</f>
        <v/>
      </c>
    </row>
    <row r="1882">
      <c r="A1882" s="25" t="n">
        <v>41585</v>
      </c>
      <c r="B1882" s="22">
        <f>(1+B1881)*IF(AND(Painel_diario!$H1878="EU_JD",Painel_diario!$J1878=1),EXP(Painel_diario!$L1878),1)-1</f>
        <v/>
      </c>
      <c r="C1882" s="22">
        <f>(1+C1881)*IF(AND(Painel_diario!$H1878="EU_JU",Painel_diario!$J1878=1),EXP(Painel_diario!$L1878),1)-1</f>
        <v/>
      </c>
      <c r="D1882" s="22">
        <f>(1+D1881)*IF(AND(Painel_diario!$H1878="ED_JD",Painel_diario!$J1878=1),EXP(Painel_diario!$L1878),1)-1</f>
        <v/>
      </c>
      <c r="E1882" s="22">
        <f>(1+E1881)*IF(AND(Painel_diario!$H1878="ED_JU",Painel_diario!$J1878=1),EXP(Painel_diario!$L1878),1)-1</f>
        <v/>
      </c>
    </row>
    <row r="1883">
      <c r="A1883" s="25" t="n">
        <v>41586</v>
      </c>
      <c r="B1883" s="22">
        <f>(1+B1882)*IF(AND(Painel_diario!$H1879="EU_JD",Painel_diario!$J1879=1),EXP(Painel_diario!$L1879),1)-1</f>
        <v/>
      </c>
      <c r="C1883" s="22">
        <f>(1+C1882)*IF(AND(Painel_diario!$H1879="EU_JU",Painel_diario!$J1879=1),EXP(Painel_diario!$L1879),1)-1</f>
        <v/>
      </c>
      <c r="D1883" s="22">
        <f>(1+D1882)*IF(AND(Painel_diario!$H1879="ED_JD",Painel_diario!$J1879=1),EXP(Painel_diario!$L1879),1)-1</f>
        <v/>
      </c>
      <c r="E1883" s="22">
        <f>(1+E1882)*IF(AND(Painel_diario!$H1879="ED_JU",Painel_diario!$J1879=1),EXP(Painel_diario!$L1879),1)-1</f>
        <v/>
      </c>
    </row>
    <row r="1884">
      <c r="A1884" s="25" t="n">
        <v>41589</v>
      </c>
      <c r="B1884" s="22">
        <f>(1+B1883)*IF(AND(Painel_diario!$H1880="EU_JD",Painel_diario!$J1880=1),EXP(Painel_diario!$L1880),1)-1</f>
        <v/>
      </c>
      <c r="C1884" s="22">
        <f>(1+C1883)*IF(AND(Painel_diario!$H1880="EU_JU",Painel_diario!$J1880=1),EXP(Painel_diario!$L1880),1)-1</f>
        <v/>
      </c>
      <c r="D1884" s="22">
        <f>(1+D1883)*IF(AND(Painel_diario!$H1880="ED_JD",Painel_diario!$J1880=1),EXP(Painel_diario!$L1880),1)-1</f>
        <v/>
      </c>
      <c r="E1884" s="22">
        <f>(1+E1883)*IF(AND(Painel_diario!$H1880="ED_JU",Painel_diario!$J1880=1),EXP(Painel_diario!$L1880),1)-1</f>
        <v/>
      </c>
    </row>
    <row r="1885">
      <c r="A1885" s="25" t="n">
        <v>41590</v>
      </c>
      <c r="B1885" s="22">
        <f>(1+B1884)*IF(AND(Painel_diario!$H1881="EU_JD",Painel_diario!$J1881=1),EXP(Painel_diario!$L1881),1)-1</f>
        <v/>
      </c>
      <c r="C1885" s="22">
        <f>(1+C1884)*IF(AND(Painel_diario!$H1881="EU_JU",Painel_diario!$J1881=1),EXP(Painel_diario!$L1881),1)-1</f>
        <v/>
      </c>
      <c r="D1885" s="22">
        <f>(1+D1884)*IF(AND(Painel_diario!$H1881="ED_JD",Painel_diario!$J1881=1),EXP(Painel_diario!$L1881),1)-1</f>
        <v/>
      </c>
      <c r="E1885" s="22">
        <f>(1+E1884)*IF(AND(Painel_diario!$H1881="ED_JU",Painel_diario!$J1881=1),EXP(Painel_diario!$L1881),1)-1</f>
        <v/>
      </c>
    </row>
    <row r="1886">
      <c r="A1886" s="25" t="n">
        <v>41591</v>
      </c>
      <c r="B1886" s="22">
        <f>(1+B1885)*IF(AND(Painel_diario!$H1882="EU_JD",Painel_diario!$J1882=1),EXP(Painel_diario!$L1882),1)-1</f>
        <v/>
      </c>
      <c r="C1886" s="22">
        <f>(1+C1885)*IF(AND(Painel_diario!$H1882="EU_JU",Painel_diario!$J1882=1),EXP(Painel_diario!$L1882),1)-1</f>
        <v/>
      </c>
      <c r="D1886" s="22">
        <f>(1+D1885)*IF(AND(Painel_diario!$H1882="ED_JD",Painel_diario!$J1882=1),EXP(Painel_diario!$L1882),1)-1</f>
        <v/>
      </c>
      <c r="E1886" s="22">
        <f>(1+E1885)*IF(AND(Painel_diario!$H1882="ED_JU",Painel_diario!$J1882=1),EXP(Painel_diario!$L1882),1)-1</f>
        <v/>
      </c>
    </row>
    <row r="1887">
      <c r="A1887" s="25" t="n">
        <v>41592</v>
      </c>
      <c r="B1887" s="22">
        <f>(1+B1886)*IF(AND(Painel_diario!$H1883="EU_JD",Painel_diario!$J1883=1),EXP(Painel_diario!$L1883),1)-1</f>
        <v/>
      </c>
      <c r="C1887" s="22">
        <f>(1+C1886)*IF(AND(Painel_diario!$H1883="EU_JU",Painel_diario!$J1883=1),EXP(Painel_diario!$L1883),1)-1</f>
        <v/>
      </c>
      <c r="D1887" s="22">
        <f>(1+D1886)*IF(AND(Painel_diario!$H1883="ED_JD",Painel_diario!$J1883=1),EXP(Painel_diario!$L1883),1)-1</f>
        <v/>
      </c>
      <c r="E1887" s="22">
        <f>(1+E1886)*IF(AND(Painel_diario!$H1883="ED_JU",Painel_diario!$J1883=1),EXP(Painel_diario!$L1883),1)-1</f>
        <v/>
      </c>
    </row>
    <row r="1888">
      <c r="A1888" s="25" t="n">
        <v>41596</v>
      </c>
      <c r="B1888" s="22">
        <f>(1+B1887)*IF(AND(Painel_diario!$H1884="EU_JD",Painel_diario!$J1884=1),EXP(Painel_diario!$L1884),1)-1</f>
        <v/>
      </c>
      <c r="C1888" s="22">
        <f>(1+C1887)*IF(AND(Painel_diario!$H1884="EU_JU",Painel_diario!$J1884=1),EXP(Painel_diario!$L1884),1)-1</f>
        <v/>
      </c>
      <c r="D1888" s="22">
        <f>(1+D1887)*IF(AND(Painel_diario!$H1884="ED_JD",Painel_diario!$J1884=1),EXP(Painel_diario!$L1884),1)-1</f>
        <v/>
      </c>
      <c r="E1888" s="22">
        <f>(1+E1887)*IF(AND(Painel_diario!$H1884="ED_JU",Painel_diario!$J1884=1),EXP(Painel_diario!$L1884),1)-1</f>
        <v/>
      </c>
    </row>
    <row r="1889">
      <c r="A1889" s="25" t="n">
        <v>41597</v>
      </c>
      <c r="B1889" s="22">
        <f>(1+B1888)*IF(AND(Painel_diario!$H1885="EU_JD",Painel_diario!$J1885=1),EXP(Painel_diario!$L1885),1)-1</f>
        <v/>
      </c>
      <c r="C1889" s="22">
        <f>(1+C1888)*IF(AND(Painel_diario!$H1885="EU_JU",Painel_diario!$J1885=1),EXP(Painel_diario!$L1885),1)-1</f>
        <v/>
      </c>
      <c r="D1889" s="22">
        <f>(1+D1888)*IF(AND(Painel_diario!$H1885="ED_JD",Painel_diario!$J1885=1),EXP(Painel_diario!$L1885),1)-1</f>
        <v/>
      </c>
      <c r="E1889" s="22">
        <f>(1+E1888)*IF(AND(Painel_diario!$H1885="ED_JU",Painel_diario!$J1885=1),EXP(Painel_diario!$L1885),1)-1</f>
        <v/>
      </c>
    </row>
    <row r="1890">
      <c r="A1890" s="25" t="n">
        <v>41599</v>
      </c>
      <c r="B1890" s="22">
        <f>(1+B1889)*IF(AND(Painel_diario!$H1886="EU_JD",Painel_diario!$J1886=1),EXP(Painel_diario!$L1886),1)-1</f>
        <v/>
      </c>
      <c r="C1890" s="22">
        <f>(1+C1889)*IF(AND(Painel_diario!$H1886="EU_JU",Painel_diario!$J1886=1),EXP(Painel_diario!$L1886),1)-1</f>
        <v/>
      </c>
      <c r="D1890" s="22">
        <f>(1+D1889)*IF(AND(Painel_diario!$H1886="ED_JD",Painel_diario!$J1886=1),EXP(Painel_diario!$L1886),1)-1</f>
        <v/>
      </c>
      <c r="E1890" s="22">
        <f>(1+E1889)*IF(AND(Painel_diario!$H1886="ED_JU",Painel_diario!$J1886=1),EXP(Painel_diario!$L1886),1)-1</f>
        <v/>
      </c>
    </row>
    <row r="1891">
      <c r="A1891" s="25" t="n">
        <v>41600</v>
      </c>
      <c r="B1891" s="22">
        <f>(1+B1890)*IF(AND(Painel_diario!$H1887="EU_JD",Painel_diario!$J1887=1),EXP(Painel_diario!$L1887),1)-1</f>
        <v/>
      </c>
      <c r="C1891" s="22">
        <f>(1+C1890)*IF(AND(Painel_diario!$H1887="EU_JU",Painel_diario!$J1887=1),EXP(Painel_diario!$L1887),1)-1</f>
        <v/>
      </c>
      <c r="D1891" s="22">
        <f>(1+D1890)*IF(AND(Painel_diario!$H1887="ED_JD",Painel_diario!$J1887=1),EXP(Painel_diario!$L1887),1)-1</f>
        <v/>
      </c>
      <c r="E1891" s="22">
        <f>(1+E1890)*IF(AND(Painel_diario!$H1887="ED_JU",Painel_diario!$J1887=1),EXP(Painel_diario!$L1887),1)-1</f>
        <v/>
      </c>
    </row>
    <row r="1892">
      <c r="A1892" s="25" t="n">
        <v>41603</v>
      </c>
      <c r="B1892" s="22">
        <f>(1+B1891)*IF(AND(Painel_diario!$H1888="EU_JD",Painel_diario!$J1888=1),EXP(Painel_diario!$L1888),1)-1</f>
        <v/>
      </c>
      <c r="C1892" s="22">
        <f>(1+C1891)*IF(AND(Painel_diario!$H1888="EU_JU",Painel_diario!$J1888=1),EXP(Painel_diario!$L1888),1)-1</f>
        <v/>
      </c>
      <c r="D1892" s="22">
        <f>(1+D1891)*IF(AND(Painel_diario!$H1888="ED_JD",Painel_diario!$J1888=1),EXP(Painel_diario!$L1888),1)-1</f>
        <v/>
      </c>
      <c r="E1892" s="22">
        <f>(1+E1891)*IF(AND(Painel_diario!$H1888="ED_JU",Painel_diario!$J1888=1),EXP(Painel_diario!$L1888),1)-1</f>
        <v/>
      </c>
    </row>
    <row r="1893">
      <c r="A1893" s="25" t="n">
        <v>41604</v>
      </c>
      <c r="B1893" s="22">
        <f>(1+B1892)*IF(AND(Painel_diario!$H1889="EU_JD",Painel_diario!$J1889=1),EXP(Painel_diario!$L1889),1)-1</f>
        <v/>
      </c>
      <c r="C1893" s="22">
        <f>(1+C1892)*IF(AND(Painel_diario!$H1889="EU_JU",Painel_diario!$J1889=1),EXP(Painel_diario!$L1889),1)-1</f>
        <v/>
      </c>
      <c r="D1893" s="22">
        <f>(1+D1892)*IF(AND(Painel_diario!$H1889="ED_JD",Painel_diario!$J1889=1),EXP(Painel_diario!$L1889),1)-1</f>
        <v/>
      </c>
      <c r="E1893" s="22">
        <f>(1+E1892)*IF(AND(Painel_diario!$H1889="ED_JU",Painel_diario!$J1889=1),EXP(Painel_diario!$L1889),1)-1</f>
        <v/>
      </c>
    </row>
    <row r="1894">
      <c r="A1894" s="25" t="n">
        <v>41605</v>
      </c>
      <c r="B1894" s="22">
        <f>(1+B1893)*IF(AND(Painel_diario!$H1890="EU_JD",Painel_diario!$J1890=1),EXP(Painel_diario!$L1890),1)-1</f>
        <v/>
      </c>
      <c r="C1894" s="22">
        <f>(1+C1893)*IF(AND(Painel_diario!$H1890="EU_JU",Painel_diario!$J1890=1),EXP(Painel_diario!$L1890),1)-1</f>
        <v/>
      </c>
      <c r="D1894" s="22">
        <f>(1+D1893)*IF(AND(Painel_diario!$H1890="ED_JD",Painel_diario!$J1890=1),EXP(Painel_diario!$L1890),1)-1</f>
        <v/>
      </c>
      <c r="E1894" s="22">
        <f>(1+E1893)*IF(AND(Painel_diario!$H1890="ED_JU",Painel_diario!$J1890=1),EXP(Painel_diario!$L1890),1)-1</f>
        <v/>
      </c>
    </row>
    <row r="1895">
      <c r="A1895" s="25" t="n">
        <v>41606</v>
      </c>
      <c r="B1895" s="22">
        <f>(1+B1894)*IF(AND(Painel_diario!$H1891="EU_JD",Painel_diario!$J1891=1),EXP(Painel_diario!$L1891),1)-1</f>
        <v/>
      </c>
      <c r="C1895" s="22">
        <f>(1+C1894)*IF(AND(Painel_diario!$H1891="EU_JU",Painel_diario!$J1891=1),EXP(Painel_diario!$L1891),1)-1</f>
        <v/>
      </c>
      <c r="D1895" s="22">
        <f>(1+D1894)*IF(AND(Painel_diario!$H1891="ED_JD",Painel_diario!$J1891=1),EXP(Painel_diario!$L1891),1)-1</f>
        <v/>
      </c>
      <c r="E1895" s="22">
        <f>(1+E1894)*IF(AND(Painel_diario!$H1891="ED_JU",Painel_diario!$J1891=1),EXP(Painel_diario!$L1891),1)-1</f>
        <v/>
      </c>
    </row>
    <row r="1896">
      <c r="A1896" s="25" t="n">
        <v>41607</v>
      </c>
      <c r="B1896" s="22">
        <f>(1+B1895)*IF(AND(Painel_diario!$H1892="EU_JD",Painel_diario!$J1892=1),EXP(Painel_diario!$L1892),1)-1</f>
        <v/>
      </c>
      <c r="C1896" s="22">
        <f>(1+C1895)*IF(AND(Painel_diario!$H1892="EU_JU",Painel_diario!$J1892=1),EXP(Painel_diario!$L1892),1)-1</f>
        <v/>
      </c>
      <c r="D1896" s="22">
        <f>(1+D1895)*IF(AND(Painel_diario!$H1892="ED_JD",Painel_diario!$J1892=1),EXP(Painel_diario!$L1892),1)-1</f>
        <v/>
      </c>
      <c r="E1896" s="22">
        <f>(1+E1895)*IF(AND(Painel_diario!$H1892="ED_JU",Painel_diario!$J1892=1),EXP(Painel_diario!$L1892),1)-1</f>
        <v/>
      </c>
    </row>
    <row r="1897">
      <c r="A1897" s="25" t="n">
        <v>41610</v>
      </c>
      <c r="B1897" s="22">
        <f>(1+B1896)*IF(AND(Painel_diario!$H1893="EU_JD",Painel_diario!$J1893=1),EXP(Painel_diario!$L1893),1)-1</f>
        <v/>
      </c>
      <c r="C1897" s="22">
        <f>(1+C1896)*IF(AND(Painel_diario!$H1893="EU_JU",Painel_diario!$J1893=1),EXP(Painel_diario!$L1893),1)-1</f>
        <v/>
      </c>
      <c r="D1897" s="22">
        <f>(1+D1896)*IF(AND(Painel_diario!$H1893="ED_JD",Painel_diario!$J1893=1),EXP(Painel_diario!$L1893),1)-1</f>
        <v/>
      </c>
      <c r="E1897" s="22">
        <f>(1+E1896)*IF(AND(Painel_diario!$H1893="ED_JU",Painel_diario!$J1893=1),EXP(Painel_diario!$L1893),1)-1</f>
        <v/>
      </c>
    </row>
    <row r="1898">
      <c r="A1898" s="25" t="n">
        <v>41611</v>
      </c>
      <c r="B1898" s="22">
        <f>(1+B1897)*IF(AND(Painel_diario!$H1894="EU_JD",Painel_diario!$J1894=1),EXP(Painel_diario!$L1894),1)-1</f>
        <v/>
      </c>
      <c r="C1898" s="22">
        <f>(1+C1897)*IF(AND(Painel_diario!$H1894="EU_JU",Painel_diario!$J1894=1),EXP(Painel_diario!$L1894),1)-1</f>
        <v/>
      </c>
      <c r="D1898" s="22">
        <f>(1+D1897)*IF(AND(Painel_diario!$H1894="ED_JD",Painel_diario!$J1894=1),EXP(Painel_diario!$L1894),1)-1</f>
        <v/>
      </c>
      <c r="E1898" s="22">
        <f>(1+E1897)*IF(AND(Painel_diario!$H1894="ED_JU",Painel_diario!$J1894=1),EXP(Painel_diario!$L1894),1)-1</f>
        <v/>
      </c>
    </row>
    <row r="1899">
      <c r="A1899" s="25" t="n">
        <v>41612</v>
      </c>
      <c r="B1899" s="22">
        <f>(1+B1898)*IF(AND(Painel_diario!$H1895="EU_JD",Painel_diario!$J1895=1),EXP(Painel_diario!$L1895),1)-1</f>
        <v/>
      </c>
      <c r="C1899" s="22">
        <f>(1+C1898)*IF(AND(Painel_diario!$H1895="EU_JU",Painel_diario!$J1895=1),EXP(Painel_diario!$L1895),1)-1</f>
        <v/>
      </c>
      <c r="D1899" s="22">
        <f>(1+D1898)*IF(AND(Painel_diario!$H1895="ED_JD",Painel_diario!$J1895=1),EXP(Painel_diario!$L1895),1)-1</f>
        <v/>
      </c>
      <c r="E1899" s="22">
        <f>(1+E1898)*IF(AND(Painel_diario!$H1895="ED_JU",Painel_diario!$J1895=1),EXP(Painel_diario!$L1895),1)-1</f>
        <v/>
      </c>
    </row>
    <row r="1900">
      <c r="A1900" s="25" t="n">
        <v>41613</v>
      </c>
      <c r="B1900" s="22">
        <f>(1+B1899)*IF(AND(Painel_diario!$H1896="EU_JD",Painel_diario!$J1896=1),EXP(Painel_diario!$L1896),1)-1</f>
        <v/>
      </c>
      <c r="C1900" s="22">
        <f>(1+C1899)*IF(AND(Painel_diario!$H1896="EU_JU",Painel_diario!$J1896=1),EXP(Painel_diario!$L1896),1)-1</f>
        <v/>
      </c>
      <c r="D1900" s="22">
        <f>(1+D1899)*IF(AND(Painel_diario!$H1896="ED_JD",Painel_diario!$J1896=1),EXP(Painel_diario!$L1896),1)-1</f>
        <v/>
      </c>
      <c r="E1900" s="22">
        <f>(1+E1899)*IF(AND(Painel_diario!$H1896="ED_JU",Painel_diario!$J1896=1),EXP(Painel_diario!$L1896),1)-1</f>
        <v/>
      </c>
    </row>
    <row r="1901">
      <c r="A1901" s="25" t="n">
        <v>41614</v>
      </c>
      <c r="B1901" s="22">
        <f>(1+B1900)*IF(AND(Painel_diario!$H1897="EU_JD",Painel_diario!$J1897=1),EXP(Painel_diario!$L1897),1)-1</f>
        <v/>
      </c>
      <c r="C1901" s="22">
        <f>(1+C1900)*IF(AND(Painel_diario!$H1897="EU_JU",Painel_diario!$J1897=1),EXP(Painel_diario!$L1897),1)-1</f>
        <v/>
      </c>
      <c r="D1901" s="22">
        <f>(1+D1900)*IF(AND(Painel_diario!$H1897="ED_JD",Painel_diario!$J1897=1),EXP(Painel_diario!$L1897),1)-1</f>
        <v/>
      </c>
      <c r="E1901" s="22">
        <f>(1+E1900)*IF(AND(Painel_diario!$H1897="ED_JU",Painel_diario!$J1897=1),EXP(Painel_diario!$L1897),1)-1</f>
        <v/>
      </c>
    </row>
    <row r="1902">
      <c r="A1902" s="25" t="n">
        <v>41617</v>
      </c>
      <c r="B1902" s="22">
        <f>(1+B1901)*IF(AND(Painel_diario!$H1898="EU_JD",Painel_diario!$J1898=1),EXP(Painel_diario!$L1898),1)-1</f>
        <v/>
      </c>
      <c r="C1902" s="22">
        <f>(1+C1901)*IF(AND(Painel_diario!$H1898="EU_JU",Painel_diario!$J1898=1),EXP(Painel_diario!$L1898),1)-1</f>
        <v/>
      </c>
      <c r="D1902" s="22">
        <f>(1+D1901)*IF(AND(Painel_diario!$H1898="ED_JD",Painel_diario!$J1898=1),EXP(Painel_diario!$L1898),1)-1</f>
        <v/>
      </c>
      <c r="E1902" s="22">
        <f>(1+E1901)*IF(AND(Painel_diario!$H1898="ED_JU",Painel_diario!$J1898=1),EXP(Painel_diario!$L1898),1)-1</f>
        <v/>
      </c>
    </row>
    <row r="1903">
      <c r="A1903" s="25" t="n">
        <v>41618</v>
      </c>
      <c r="B1903" s="22">
        <f>(1+B1902)*IF(AND(Painel_diario!$H1899="EU_JD",Painel_diario!$J1899=1),EXP(Painel_diario!$L1899),1)-1</f>
        <v/>
      </c>
      <c r="C1903" s="22">
        <f>(1+C1902)*IF(AND(Painel_diario!$H1899="EU_JU",Painel_diario!$J1899=1),EXP(Painel_diario!$L1899),1)-1</f>
        <v/>
      </c>
      <c r="D1903" s="22">
        <f>(1+D1902)*IF(AND(Painel_diario!$H1899="ED_JD",Painel_diario!$J1899=1),EXP(Painel_diario!$L1899),1)-1</f>
        <v/>
      </c>
      <c r="E1903" s="22">
        <f>(1+E1902)*IF(AND(Painel_diario!$H1899="ED_JU",Painel_diario!$J1899=1),EXP(Painel_diario!$L1899),1)-1</f>
        <v/>
      </c>
    </row>
    <row r="1904">
      <c r="A1904" s="25" t="n">
        <v>41619</v>
      </c>
      <c r="B1904" s="22">
        <f>(1+B1903)*IF(AND(Painel_diario!$H1900="EU_JD",Painel_diario!$J1900=1),EXP(Painel_diario!$L1900),1)-1</f>
        <v/>
      </c>
      <c r="C1904" s="22">
        <f>(1+C1903)*IF(AND(Painel_diario!$H1900="EU_JU",Painel_diario!$J1900=1),EXP(Painel_diario!$L1900),1)-1</f>
        <v/>
      </c>
      <c r="D1904" s="22">
        <f>(1+D1903)*IF(AND(Painel_diario!$H1900="ED_JD",Painel_diario!$J1900=1),EXP(Painel_diario!$L1900),1)-1</f>
        <v/>
      </c>
      <c r="E1904" s="22">
        <f>(1+E1903)*IF(AND(Painel_diario!$H1900="ED_JU",Painel_diario!$J1900=1),EXP(Painel_diario!$L1900),1)-1</f>
        <v/>
      </c>
    </row>
    <row r="1905">
      <c r="A1905" s="25" t="n">
        <v>41620</v>
      </c>
      <c r="B1905" s="22">
        <f>(1+B1904)*IF(AND(Painel_diario!$H1901="EU_JD",Painel_diario!$J1901=1),EXP(Painel_diario!$L1901),1)-1</f>
        <v/>
      </c>
      <c r="C1905" s="22">
        <f>(1+C1904)*IF(AND(Painel_diario!$H1901="EU_JU",Painel_diario!$J1901=1),EXP(Painel_diario!$L1901),1)-1</f>
        <v/>
      </c>
      <c r="D1905" s="22">
        <f>(1+D1904)*IF(AND(Painel_diario!$H1901="ED_JD",Painel_diario!$J1901=1),EXP(Painel_diario!$L1901),1)-1</f>
        <v/>
      </c>
      <c r="E1905" s="22">
        <f>(1+E1904)*IF(AND(Painel_diario!$H1901="ED_JU",Painel_diario!$J1901=1),EXP(Painel_diario!$L1901),1)-1</f>
        <v/>
      </c>
    </row>
    <row r="1906">
      <c r="A1906" s="25" t="n">
        <v>41621</v>
      </c>
      <c r="B1906" s="22">
        <f>(1+B1905)*IF(AND(Painel_diario!$H1902="EU_JD",Painel_diario!$J1902=1),EXP(Painel_diario!$L1902),1)-1</f>
        <v/>
      </c>
      <c r="C1906" s="22">
        <f>(1+C1905)*IF(AND(Painel_diario!$H1902="EU_JU",Painel_diario!$J1902=1),EXP(Painel_diario!$L1902),1)-1</f>
        <v/>
      </c>
      <c r="D1906" s="22">
        <f>(1+D1905)*IF(AND(Painel_diario!$H1902="ED_JD",Painel_diario!$J1902=1),EXP(Painel_diario!$L1902),1)-1</f>
        <v/>
      </c>
      <c r="E1906" s="22">
        <f>(1+E1905)*IF(AND(Painel_diario!$H1902="ED_JU",Painel_diario!$J1902=1),EXP(Painel_diario!$L1902),1)-1</f>
        <v/>
      </c>
    </row>
    <row r="1907">
      <c r="A1907" s="25" t="n">
        <v>41624</v>
      </c>
      <c r="B1907" s="22">
        <f>(1+B1906)*IF(AND(Painel_diario!$H1903="EU_JD",Painel_diario!$J1903=1),EXP(Painel_diario!$L1903),1)-1</f>
        <v/>
      </c>
      <c r="C1907" s="22">
        <f>(1+C1906)*IF(AND(Painel_diario!$H1903="EU_JU",Painel_diario!$J1903=1),EXP(Painel_diario!$L1903),1)-1</f>
        <v/>
      </c>
      <c r="D1907" s="22">
        <f>(1+D1906)*IF(AND(Painel_diario!$H1903="ED_JD",Painel_diario!$J1903=1),EXP(Painel_diario!$L1903),1)-1</f>
        <v/>
      </c>
      <c r="E1907" s="22">
        <f>(1+E1906)*IF(AND(Painel_diario!$H1903="ED_JU",Painel_diario!$J1903=1),EXP(Painel_diario!$L1903),1)-1</f>
        <v/>
      </c>
    </row>
    <row r="1908">
      <c r="A1908" s="25" t="n">
        <v>41625</v>
      </c>
      <c r="B1908" s="22">
        <f>(1+B1907)*IF(AND(Painel_diario!$H1904="EU_JD",Painel_diario!$J1904=1),EXP(Painel_diario!$L1904),1)-1</f>
        <v/>
      </c>
      <c r="C1908" s="22">
        <f>(1+C1907)*IF(AND(Painel_diario!$H1904="EU_JU",Painel_diario!$J1904=1),EXP(Painel_diario!$L1904),1)-1</f>
        <v/>
      </c>
      <c r="D1908" s="22">
        <f>(1+D1907)*IF(AND(Painel_diario!$H1904="ED_JD",Painel_diario!$J1904=1),EXP(Painel_diario!$L1904),1)-1</f>
        <v/>
      </c>
      <c r="E1908" s="22">
        <f>(1+E1907)*IF(AND(Painel_diario!$H1904="ED_JU",Painel_diario!$J1904=1),EXP(Painel_diario!$L1904),1)-1</f>
        <v/>
      </c>
    </row>
    <row r="1909">
      <c r="A1909" s="25" t="n">
        <v>41626</v>
      </c>
      <c r="B1909" s="22">
        <f>(1+B1908)*IF(AND(Painel_diario!$H1905="EU_JD",Painel_diario!$J1905=1),EXP(Painel_diario!$L1905),1)-1</f>
        <v/>
      </c>
      <c r="C1909" s="22">
        <f>(1+C1908)*IF(AND(Painel_diario!$H1905="EU_JU",Painel_diario!$J1905=1),EXP(Painel_diario!$L1905),1)-1</f>
        <v/>
      </c>
      <c r="D1909" s="22">
        <f>(1+D1908)*IF(AND(Painel_diario!$H1905="ED_JD",Painel_diario!$J1905=1),EXP(Painel_diario!$L1905),1)-1</f>
        <v/>
      </c>
      <c r="E1909" s="22">
        <f>(1+E1908)*IF(AND(Painel_diario!$H1905="ED_JU",Painel_diario!$J1905=1),EXP(Painel_diario!$L1905),1)-1</f>
        <v/>
      </c>
    </row>
    <row r="1910">
      <c r="A1910" s="25" t="n">
        <v>41627</v>
      </c>
      <c r="B1910" s="22">
        <f>(1+B1909)*IF(AND(Painel_diario!$H1906="EU_JD",Painel_diario!$J1906=1),EXP(Painel_diario!$L1906),1)-1</f>
        <v/>
      </c>
      <c r="C1910" s="22">
        <f>(1+C1909)*IF(AND(Painel_diario!$H1906="EU_JU",Painel_diario!$J1906=1),EXP(Painel_diario!$L1906),1)-1</f>
        <v/>
      </c>
      <c r="D1910" s="22">
        <f>(1+D1909)*IF(AND(Painel_diario!$H1906="ED_JD",Painel_diario!$J1906=1),EXP(Painel_diario!$L1906),1)-1</f>
        <v/>
      </c>
      <c r="E1910" s="22">
        <f>(1+E1909)*IF(AND(Painel_diario!$H1906="ED_JU",Painel_diario!$J1906=1),EXP(Painel_diario!$L1906),1)-1</f>
        <v/>
      </c>
    </row>
    <row r="1911">
      <c r="A1911" s="25" t="n">
        <v>41628</v>
      </c>
      <c r="B1911" s="22">
        <f>(1+B1910)*IF(AND(Painel_diario!$H1907="EU_JD",Painel_diario!$J1907=1),EXP(Painel_diario!$L1907),1)-1</f>
        <v/>
      </c>
      <c r="C1911" s="22">
        <f>(1+C1910)*IF(AND(Painel_diario!$H1907="EU_JU",Painel_diario!$J1907=1),EXP(Painel_diario!$L1907),1)-1</f>
        <v/>
      </c>
      <c r="D1911" s="22">
        <f>(1+D1910)*IF(AND(Painel_diario!$H1907="ED_JD",Painel_diario!$J1907=1),EXP(Painel_diario!$L1907),1)-1</f>
        <v/>
      </c>
      <c r="E1911" s="22">
        <f>(1+E1910)*IF(AND(Painel_diario!$H1907="ED_JU",Painel_diario!$J1907=1),EXP(Painel_diario!$L1907),1)-1</f>
        <v/>
      </c>
    </row>
    <row r="1912">
      <c r="A1912" s="25" t="n">
        <v>41631</v>
      </c>
      <c r="B1912" s="22">
        <f>(1+B1911)*IF(AND(Painel_diario!$H1908="EU_JD",Painel_diario!$J1908=1),EXP(Painel_diario!$L1908),1)-1</f>
        <v/>
      </c>
      <c r="C1912" s="22">
        <f>(1+C1911)*IF(AND(Painel_diario!$H1908="EU_JU",Painel_diario!$J1908=1),EXP(Painel_diario!$L1908),1)-1</f>
        <v/>
      </c>
      <c r="D1912" s="22">
        <f>(1+D1911)*IF(AND(Painel_diario!$H1908="ED_JD",Painel_diario!$J1908=1),EXP(Painel_diario!$L1908),1)-1</f>
        <v/>
      </c>
      <c r="E1912" s="22">
        <f>(1+E1911)*IF(AND(Painel_diario!$H1908="ED_JU",Painel_diario!$J1908=1),EXP(Painel_diario!$L1908),1)-1</f>
        <v/>
      </c>
    </row>
    <row r="1913">
      <c r="A1913" s="25" t="n">
        <v>41634</v>
      </c>
      <c r="B1913" s="22">
        <f>(1+B1912)*IF(AND(Painel_diario!$H1909="EU_JD",Painel_diario!$J1909=1),EXP(Painel_diario!$L1909),1)-1</f>
        <v/>
      </c>
      <c r="C1913" s="22">
        <f>(1+C1912)*IF(AND(Painel_diario!$H1909="EU_JU",Painel_diario!$J1909=1),EXP(Painel_diario!$L1909),1)-1</f>
        <v/>
      </c>
      <c r="D1913" s="22">
        <f>(1+D1912)*IF(AND(Painel_diario!$H1909="ED_JD",Painel_diario!$J1909=1),EXP(Painel_diario!$L1909),1)-1</f>
        <v/>
      </c>
      <c r="E1913" s="22">
        <f>(1+E1912)*IF(AND(Painel_diario!$H1909="ED_JU",Painel_diario!$J1909=1),EXP(Painel_diario!$L1909),1)-1</f>
        <v/>
      </c>
    </row>
    <row r="1914">
      <c r="A1914" s="25" t="n">
        <v>41635</v>
      </c>
      <c r="B1914" s="22">
        <f>(1+B1913)*IF(AND(Painel_diario!$H1910="EU_JD",Painel_diario!$J1910=1),EXP(Painel_diario!$L1910),1)-1</f>
        <v/>
      </c>
      <c r="C1914" s="22">
        <f>(1+C1913)*IF(AND(Painel_diario!$H1910="EU_JU",Painel_diario!$J1910=1),EXP(Painel_diario!$L1910),1)-1</f>
        <v/>
      </c>
      <c r="D1914" s="22">
        <f>(1+D1913)*IF(AND(Painel_diario!$H1910="ED_JD",Painel_diario!$J1910=1),EXP(Painel_diario!$L1910),1)-1</f>
        <v/>
      </c>
      <c r="E1914" s="22">
        <f>(1+E1913)*IF(AND(Painel_diario!$H1910="ED_JU",Painel_diario!$J1910=1),EXP(Painel_diario!$L1910),1)-1</f>
        <v/>
      </c>
    </row>
    <row r="1915">
      <c r="A1915" s="25" t="n">
        <v>41638</v>
      </c>
      <c r="B1915" s="22">
        <f>(1+B1914)*IF(AND(Painel_diario!$H1911="EU_JD",Painel_diario!$J1911=1),EXP(Painel_diario!$L1911),1)-1</f>
        <v/>
      </c>
      <c r="C1915" s="22">
        <f>(1+C1914)*IF(AND(Painel_diario!$H1911="EU_JU",Painel_diario!$J1911=1),EXP(Painel_diario!$L1911),1)-1</f>
        <v/>
      </c>
      <c r="D1915" s="22">
        <f>(1+D1914)*IF(AND(Painel_diario!$H1911="ED_JD",Painel_diario!$J1911=1),EXP(Painel_diario!$L1911),1)-1</f>
        <v/>
      </c>
      <c r="E1915" s="22">
        <f>(1+E1914)*IF(AND(Painel_diario!$H1911="ED_JU",Painel_diario!$J1911=1),EXP(Painel_diario!$L1911),1)-1</f>
        <v/>
      </c>
    </row>
    <row r="1916">
      <c r="A1916" s="25" t="n">
        <v>41641</v>
      </c>
      <c r="B1916" s="22">
        <f>(1+B1915)*IF(AND(Painel_diario!$H1912="EU_JD",Painel_diario!$J1912=1),EXP(Painel_diario!$L1912),1)-1</f>
        <v/>
      </c>
      <c r="C1916" s="22">
        <f>(1+C1915)*IF(AND(Painel_diario!$H1912="EU_JU",Painel_diario!$J1912=1),EXP(Painel_diario!$L1912),1)-1</f>
        <v/>
      </c>
      <c r="D1916" s="22">
        <f>(1+D1915)*IF(AND(Painel_diario!$H1912="ED_JD",Painel_diario!$J1912=1),EXP(Painel_diario!$L1912),1)-1</f>
        <v/>
      </c>
      <c r="E1916" s="22">
        <f>(1+E1915)*IF(AND(Painel_diario!$H1912="ED_JU",Painel_diario!$J1912=1),EXP(Painel_diario!$L1912),1)-1</f>
        <v/>
      </c>
    </row>
    <row r="1917">
      <c r="A1917" s="25" t="n">
        <v>41642</v>
      </c>
      <c r="B1917" s="22">
        <f>(1+B1916)*IF(AND(Painel_diario!$H1913="EU_JD",Painel_diario!$J1913=1),EXP(Painel_diario!$L1913),1)-1</f>
        <v/>
      </c>
      <c r="C1917" s="22">
        <f>(1+C1916)*IF(AND(Painel_diario!$H1913="EU_JU",Painel_diario!$J1913=1),EXP(Painel_diario!$L1913),1)-1</f>
        <v/>
      </c>
      <c r="D1917" s="22">
        <f>(1+D1916)*IF(AND(Painel_diario!$H1913="ED_JD",Painel_diario!$J1913=1),EXP(Painel_diario!$L1913),1)-1</f>
        <v/>
      </c>
      <c r="E1917" s="22">
        <f>(1+E1916)*IF(AND(Painel_diario!$H1913="ED_JU",Painel_diario!$J1913=1),EXP(Painel_diario!$L1913),1)-1</f>
        <v/>
      </c>
    </row>
    <row r="1918">
      <c r="A1918" s="25" t="n">
        <v>41645</v>
      </c>
      <c r="B1918" s="22">
        <f>(1+B1917)*IF(AND(Painel_diario!$H1914="EU_JD",Painel_diario!$J1914=1),EXP(Painel_diario!$L1914),1)-1</f>
        <v/>
      </c>
      <c r="C1918" s="22">
        <f>(1+C1917)*IF(AND(Painel_diario!$H1914="EU_JU",Painel_diario!$J1914=1),EXP(Painel_diario!$L1914),1)-1</f>
        <v/>
      </c>
      <c r="D1918" s="22">
        <f>(1+D1917)*IF(AND(Painel_diario!$H1914="ED_JD",Painel_diario!$J1914=1),EXP(Painel_diario!$L1914),1)-1</f>
        <v/>
      </c>
      <c r="E1918" s="22">
        <f>(1+E1917)*IF(AND(Painel_diario!$H1914="ED_JU",Painel_diario!$J1914=1),EXP(Painel_diario!$L1914),1)-1</f>
        <v/>
      </c>
    </row>
    <row r="1919">
      <c r="A1919" s="25" t="n">
        <v>41646</v>
      </c>
      <c r="B1919" s="22">
        <f>(1+B1918)*IF(AND(Painel_diario!$H1915="EU_JD",Painel_diario!$J1915=1),EXP(Painel_diario!$L1915),1)-1</f>
        <v/>
      </c>
      <c r="C1919" s="22">
        <f>(1+C1918)*IF(AND(Painel_diario!$H1915="EU_JU",Painel_diario!$J1915=1),EXP(Painel_diario!$L1915),1)-1</f>
        <v/>
      </c>
      <c r="D1919" s="22">
        <f>(1+D1918)*IF(AND(Painel_diario!$H1915="ED_JD",Painel_diario!$J1915=1),EXP(Painel_diario!$L1915),1)-1</f>
        <v/>
      </c>
      <c r="E1919" s="22">
        <f>(1+E1918)*IF(AND(Painel_diario!$H1915="ED_JU",Painel_diario!$J1915=1),EXP(Painel_diario!$L1915),1)-1</f>
        <v/>
      </c>
    </row>
    <row r="1920">
      <c r="A1920" s="25" t="n">
        <v>41647</v>
      </c>
      <c r="B1920" s="22">
        <f>(1+B1919)*IF(AND(Painel_diario!$H1916="EU_JD",Painel_diario!$J1916=1),EXP(Painel_diario!$L1916),1)-1</f>
        <v/>
      </c>
      <c r="C1920" s="22">
        <f>(1+C1919)*IF(AND(Painel_diario!$H1916="EU_JU",Painel_diario!$J1916=1),EXP(Painel_diario!$L1916),1)-1</f>
        <v/>
      </c>
      <c r="D1920" s="22">
        <f>(1+D1919)*IF(AND(Painel_diario!$H1916="ED_JD",Painel_diario!$J1916=1),EXP(Painel_diario!$L1916),1)-1</f>
        <v/>
      </c>
      <c r="E1920" s="22">
        <f>(1+E1919)*IF(AND(Painel_diario!$H1916="ED_JU",Painel_diario!$J1916=1),EXP(Painel_diario!$L1916),1)-1</f>
        <v/>
      </c>
    </row>
    <row r="1921">
      <c r="A1921" s="25" t="n">
        <v>41648</v>
      </c>
      <c r="B1921" s="22">
        <f>(1+B1920)*IF(AND(Painel_diario!$H1917="EU_JD",Painel_diario!$J1917=1),EXP(Painel_diario!$L1917),1)-1</f>
        <v/>
      </c>
      <c r="C1921" s="22">
        <f>(1+C1920)*IF(AND(Painel_diario!$H1917="EU_JU",Painel_diario!$J1917=1),EXP(Painel_diario!$L1917),1)-1</f>
        <v/>
      </c>
      <c r="D1921" s="22">
        <f>(1+D1920)*IF(AND(Painel_diario!$H1917="ED_JD",Painel_diario!$J1917=1),EXP(Painel_diario!$L1917),1)-1</f>
        <v/>
      </c>
      <c r="E1921" s="22">
        <f>(1+E1920)*IF(AND(Painel_diario!$H1917="ED_JU",Painel_diario!$J1917=1),EXP(Painel_diario!$L1917),1)-1</f>
        <v/>
      </c>
    </row>
    <row r="1922">
      <c r="A1922" s="25" t="n">
        <v>41649</v>
      </c>
      <c r="B1922" s="22">
        <f>(1+B1921)*IF(AND(Painel_diario!$H1918="EU_JD",Painel_diario!$J1918=1),EXP(Painel_diario!$L1918),1)-1</f>
        <v/>
      </c>
      <c r="C1922" s="22">
        <f>(1+C1921)*IF(AND(Painel_diario!$H1918="EU_JU",Painel_diario!$J1918=1),EXP(Painel_diario!$L1918),1)-1</f>
        <v/>
      </c>
      <c r="D1922" s="22">
        <f>(1+D1921)*IF(AND(Painel_diario!$H1918="ED_JD",Painel_diario!$J1918=1),EXP(Painel_diario!$L1918),1)-1</f>
        <v/>
      </c>
      <c r="E1922" s="22">
        <f>(1+E1921)*IF(AND(Painel_diario!$H1918="ED_JU",Painel_diario!$J1918=1),EXP(Painel_diario!$L1918),1)-1</f>
        <v/>
      </c>
    </row>
    <row r="1923">
      <c r="A1923" s="25" t="n">
        <v>41652</v>
      </c>
      <c r="B1923" s="22">
        <f>(1+B1922)*IF(AND(Painel_diario!$H1919="EU_JD",Painel_diario!$J1919=1),EXP(Painel_diario!$L1919),1)-1</f>
        <v/>
      </c>
      <c r="C1923" s="22">
        <f>(1+C1922)*IF(AND(Painel_diario!$H1919="EU_JU",Painel_diario!$J1919=1),EXP(Painel_diario!$L1919),1)-1</f>
        <v/>
      </c>
      <c r="D1923" s="22">
        <f>(1+D1922)*IF(AND(Painel_diario!$H1919="ED_JD",Painel_diario!$J1919=1),EXP(Painel_diario!$L1919),1)-1</f>
        <v/>
      </c>
      <c r="E1923" s="22">
        <f>(1+E1922)*IF(AND(Painel_diario!$H1919="ED_JU",Painel_diario!$J1919=1),EXP(Painel_diario!$L1919),1)-1</f>
        <v/>
      </c>
    </row>
    <row r="1924">
      <c r="A1924" s="25" t="n">
        <v>41653</v>
      </c>
      <c r="B1924" s="22">
        <f>(1+B1923)*IF(AND(Painel_diario!$H1920="EU_JD",Painel_diario!$J1920=1),EXP(Painel_diario!$L1920),1)-1</f>
        <v/>
      </c>
      <c r="C1924" s="22">
        <f>(1+C1923)*IF(AND(Painel_diario!$H1920="EU_JU",Painel_diario!$J1920=1),EXP(Painel_diario!$L1920),1)-1</f>
        <v/>
      </c>
      <c r="D1924" s="22">
        <f>(1+D1923)*IF(AND(Painel_diario!$H1920="ED_JD",Painel_diario!$J1920=1),EXP(Painel_diario!$L1920),1)-1</f>
        <v/>
      </c>
      <c r="E1924" s="22">
        <f>(1+E1923)*IF(AND(Painel_diario!$H1920="ED_JU",Painel_diario!$J1920=1),EXP(Painel_diario!$L1920),1)-1</f>
        <v/>
      </c>
    </row>
    <row r="1925">
      <c r="A1925" s="25" t="n">
        <v>41654</v>
      </c>
      <c r="B1925" s="22">
        <f>(1+B1924)*IF(AND(Painel_diario!$H1921="EU_JD",Painel_diario!$J1921=1),EXP(Painel_diario!$L1921),1)-1</f>
        <v/>
      </c>
      <c r="C1925" s="22">
        <f>(1+C1924)*IF(AND(Painel_diario!$H1921="EU_JU",Painel_diario!$J1921=1),EXP(Painel_diario!$L1921),1)-1</f>
        <v/>
      </c>
      <c r="D1925" s="22">
        <f>(1+D1924)*IF(AND(Painel_diario!$H1921="ED_JD",Painel_diario!$J1921=1),EXP(Painel_diario!$L1921),1)-1</f>
        <v/>
      </c>
      <c r="E1925" s="22">
        <f>(1+E1924)*IF(AND(Painel_diario!$H1921="ED_JU",Painel_diario!$J1921=1),EXP(Painel_diario!$L1921),1)-1</f>
        <v/>
      </c>
    </row>
    <row r="1926">
      <c r="A1926" s="25" t="n">
        <v>41655</v>
      </c>
      <c r="B1926" s="22">
        <f>(1+B1925)*IF(AND(Painel_diario!$H1922="EU_JD",Painel_diario!$J1922=1),EXP(Painel_diario!$L1922),1)-1</f>
        <v/>
      </c>
      <c r="C1926" s="22">
        <f>(1+C1925)*IF(AND(Painel_diario!$H1922="EU_JU",Painel_diario!$J1922=1),EXP(Painel_diario!$L1922),1)-1</f>
        <v/>
      </c>
      <c r="D1926" s="22">
        <f>(1+D1925)*IF(AND(Painel_diario!$H1922="ED_JD",Painel_diario!$J1922=1),EXP(Painel_diario!$L1922),1)-1</f>
        <v/>
      </c>
      <c r="E1926" s="22">
        <f>(1+E1925)*IF(AND(Painel_diario!$H1922="ED_JU",Painel_diario!$J1922=1),EXP(Painel_diario!$L1922),1)-1</f>
        <v/>
      </c>
    </row>
    <row r="1927">
      <c r="A1927" s="25" t="n">
        <v>41656</v>
      </c>
      <c r="B1927" s="22">
        <f>(1+B1926)*IF(AND(Painel_diario!$H1923="EU_JD",Painel_diario!$J1923=1),EXP(Painel_diario!$L1923),1)-1</f>
        <v/>
      </c>
      <c r="C1927" s="22">
        <f>(1+C1926)*IF(AND(Painel_diario!$H1923="EU_JU",Painel_diario!$J1923=1),EXP(Painel_diario!$L1923),1)-1</f>
        <v/>
      </c>
      <c r="D1927" s="22">
        <f>(1+D1926)*IF(AND(Painel_diario!$H1923="ED_JD",Painel_diario!$J1923=1),EXP(Painel_diario!$L1923),1)-1</f>
        <v/>
      </c>
      <c r="E1927" s="22">
        <f>(1+E1926)*IF(AND(Painel_diario!$H1923="ED_JU",Painel_diario!$J1923=1),EXP(Painel_diario!$L1923),1)-1</f>
        <v/>
      </c>
    </row>
    <row r="1928">
      <c r="A1928" s="25" t="n">
        <v>41659</v>
      </c>
      <c r="B1928" s="22">
        <f>(1+B1927)*IF(AND(Painel_diario!$H1924="EU_JD",Painel_diario!$J1924=1),EXP(Painel_diario!$L1924),1)-1</f>
        <v/>
      </c>
      <c r="C1928" s="22">
        <f>(1+C1927)*IF(AND(Painel_diario!$H1924="EU_JU",Painel_diario!$J1924=1),EXP(Painel_diario!$L1924),1)-1</f>
        <v/>
      </c>
      <c r="D1928" s="22">
        <f>(1+D1927)*IF(AND(Painel_diario!$H1924="ED_JD",Painel_diario!$J1924=1),EXP(Painel_diario!$L1924),1)-1</f>
        <v/>
      </c>
      <c r="E1928" s="22">
        <f>(1+E1927)*IF(AND(Painel_diario!$H1924="ED_JU",Painel_diario!$J1924=1),EXP(Painel_diario!$L1924),1)-1</f>
        <v/>
      </c>
    </row>
    <row r="1929">
      <c r="A1929" s="25" t="n">
        <v>41660</v>
      </c>
      <c r="B1929" s="22">
        <f>(1+B1928)*IF(AND(Painel_diario!$H1925="EU_JD",Painel_diario!$J1925=1),EXP(Painel_diario!$L1925),1)-1</f>
        <v/>
      </c>
      <c r="C1929" s="22">
        <f>(1+C1928)*IF(AND(Painel_diario!$H1925="EU_JU",Painel_diario!$J1925=1),EXP(Painel_diario!$L1925),1)-1</f>
        <v/>
      </c>
      <c r="D1929" s="22">
        <f>(1+D1928)*IF(AND(Painel_diario!$H1925="ED_JD",Painel_diario!$J1925=1),EXP(Painel_diario!$L1925),1)-1</f>
        <v/>
      </c>
      <c r="E1929" s="22">
        <f>(1+E1928)*IF(AND(Painel_diario!$H1925="ED_JU",Painel_diario!$J1925=1),EXP(Painel_diario!$L1925),1)-1</f>
        <v/>
      </c>
    </row>
    <row r="1930">
      <c r="A1930" s="25" t="n">
        <v>41661</v>
      </c>
      <c r="B1930" s="22">
        <f>(1+B1929)*IF(AND(Painel_diario!$H1926="EU_JD",Painel_diario!$J1926=1),EXP(Painel_diario!$L1926),1)-1</f>
        <v/>
      </c>
      <c r="C1930" s="22">
        <f>(1+C1929)*IF(AND(Painel_diario!$H1926="EU_JU",Painel_diario!$J1926=1),EXP(Painel_diario!$L1926),1)-1</f>
        <v/>
      </c>
      <c r="D1930" s="22">
        <f>(1+D1929)*IF(AND(Painel_diario!$H1926="ED_JD",Painel_diario!$J1926=1),EXP(Painel_diario!$L1926),1)-1</f>
        <v/>
      </c>
      <c r="E1930" s="22">
        <f>(1+E1929)*IF(AND(Painel_diario!$H1926="ED_JU",Painel_diario!$J1926=1),EXP(Painel_diario!$L1926),1)-1</f>
        <v/>
      </c>
    </row>
    <row r="1931">
      <c r="A1931" s="25" t="n">
        <v>41662</v>
      </c>
      <c r="B1931" s="22">
        <f>(1+B1930)*IF(AND(Painel_diario!$H1927="EU_JD",Painel_diario!$J1927=1),EXP(Painel_diario!$L1927),1)-1</f>
        <v/>
      </c>
      <c r="C1931" s="22">
        <f>(1+C1930)*IF(AND(Painel_diario!$H1927="EU_JU",Painel_diario!$J1927=1),EXP(Painel_diario!$L1927),1)-1</f>
        <v/>
      </c>
      <c r="D1931" s="22">
        <f>(1+D1930)*IF(AND(Painel_diario!$H1927="ED_JD",Painel_diario!$J1927=1),EXP(Painel_diario!$L1927),1)-1</f>
        <v/>
      </c>
      <c r="E1931" s="22">
        <f>(1+E1930)*IF(AND(Painel_diario!$H1927="ED_JU",Painel_diario!$J1927=1),EXP(Painel_diario!$L1927),1)-1</f>
        <v/>
      </c>
    </row>
    <row r="1932">
      <c r="A1932" s="25" t="n">
        <v>41663</v>
      </c>
      <c r="B1932" s="22">
        <f>(1+B1931)*IF(AND(Painel_diario!$H1928="EU_JD",Painel_diario!$J1928=1),EXP(Painel_diario!$L1928),1)-1</f>
        <v/>
      </c>
      <c r="C1932" s="22">
        <f>(1+C1931)*IF(AND(Painel_diario!$H1928="EU_JU",Painel_diario!$J1928=1),EXP(Painel_diario!$L1928),1)-1</f>
        <v/>
      </c>
      <c r="D1932" s="22">
        <f>(1+D1931)*IF(AND(Painel_diario!$H1928="ED_JD",Painel_diario!$J1928=1),EXP(Painel_diario!$L1928),1)-1</f>
        <v/>
      </c>
      <c r="E1932" s="22">
        <f>(1+E1931)*IF(AND(Painel_diario!$H1928="ED_JU",Painel_diario!$J1928=1),EXP(Painel_diario!$L1928),1)-1</f>
        <v/>
      </c>
    </row>
    <row r="1933">
      <c r="A1933" s="25" t="n">
        <v>41666</v>
      </c>
      <c r="B1933" s="22">
        <f>(1+B1932)*IF(AND(Painel_diario!$H1929="EU_JD",Painel_diario!$J1929=1),EXP(Painel_diario!$L1929),1)-1</f>
        <v/>
      </c>
      <c r="C1933" s="22">
        <f>(1+C1932)*IF(AND(Painel_diario!$H1929="EU_JU",Painel_diario!$J1929=1),EXP(Painel_diario!$L1929),1)-1</f>
        <v/>
      </c>
      <c r="D1933" s="22">
        <f>(1+D1932)*IF(AND(Painel_diario!$H1929="ED_JD",Painel_diario!$J1929=1),EXP(Painel_diario!$L1929),1)-1</f>
        <v/>
      </c>
      <c r="E1933" s="22">
        <f>(1+E1932)*IF(AND(Painel_diario!$H1929="ED_JU",Painel_diario!$J1929=1),EXP(Painel_diario!$L1929),1)-1</f>
        <v/>
      </c>
    </row>
    <row r="1934">
      <c r="A1934" s="25" t="n">
        <v>41667</v>
      </c>
      <c r="B1934" s="22">
        <f>(1+B1933)*IF(AND(Painel_diario!$H1930="EU_JD",Painel_diario!$J1930=1),EXP(Painel_diario!$L1930),1)-1</f>
        <v/>
      </c>
      <c r="C1934" s="22">
        <f>(1+C1933)*IF(AND(Painel_diario!$H1930="EU_JU",Painel_diario!$J1930=1),EXP(Painel_diario!$L1930),1)-1</f>
        <v/>
      </c>
      <c r="D1934" s="22">
        <f>(1+D1933)*IF(AND(Painel_diario!$H1930="ED_JD",Painel_diario!$J1930=1),EXP(Painel_diario!$L1930),1)-1</f>
        <v/>
      </c>
      <c r="E1934" s="22">
        <f>(1+E1933)*IF(AND(Painel_diario!$H1930="ED_JU",Painel_diario!$J1930=1),EXP(Painel_diario!$L1930),1)-1</f>
        <v/>
      </c>
    </row>
    <row r="1935">
      <c r="A1935" s="25" t="n">
        <v>41668</v>
      </c>
      <c r="B1935" s="22">
        <f>(1+B1934)*IF(AND(Painel_diario!$H1931="EU_JD",Painel_diario!$J1931=1),EXP(Painel_diario!$L1931),1)-1</f>
        <v/>
      </c>
      <c r="C1935" s="22">
        <f>(1+C1934)*IF(AND(Painel_diario!$H1931="EU_JU",Painel_diario!$J1931=1),EXP(Painel_diario!$L1931),1)-1</f>
        <v/>
      </c>
      <c r="D1935" s="22">
        <f>(1+D1934)*IF(AND(Painel_diario!$H1931="ED_JD",Painel_diario!$J1931=1),EXP(Painel_diario!$L1931),1)-1</f>
        <v/>
      </c>
      <c r="E1935" s="22">
        <f>(1+E1934)*IF(AND(Painel_diario!$H1931="ED_JU",Painel_diario!$J1931=1),EXP(Painel_diario!$L1931),1)-1</f>
        <v/>
      </c>
    </row>
    <row r="1936">
      <c r="A1936" s="25" t="n">
        <v>41669</v>
      </c>
      <c r="B1936" s="22">
        <f>(1+B1935)*IF(AND(Painel_diario!$H1932="EU_JD",Painel_diario!$J1932=1),EXP(Painel_diario!$L1932),1)-1</f>
        <v/>
      </c>
      <c r="C1936" s="22">
        <f>(1+C1935)*IF(AND(Painel_diario!$H1932="EU_JU",Painel_diario!$J1932=1),EXP(Painel_diario!$L1932),1)-1</f>
        <v/>
      </c>
      <c r="D1936" s="22">
        <f>(1+D1935)*IF(AND(Painel_diario!$H1932="ED_JD",Painel_diario!$J1932=1),EXP(Painel_diario!$L1932),1)-1</f>
        <v/>
      </c>
      <c r="E1936" s="22">
        <f>(1+E1935)*IF(AND(Painel_diario!$H1932="ED_JU",Painel_diario!$J1932=1),EXP(Painel_diario!$L1932),1)-1</f>
        <v/>
      </c>
    </row>
    <row r="1937">
      <c r="A1937" s="25" t="n">
        <v>41670</v>
      </c>
      <c r="B1937" s="22">
        <f>(1+B1936)*IF(AND(Painel_diario!$H1933="EU_JD",Painel_diario!$J1933=1),EXP(Painel_diario!$L1933),1)-1</f>
        <v/>
      </c>
      <c r="C1937" s="22">
        <f>(1+C1936)*IF(AND(Painel_diario!$H1933="EU_JU",Painel_diario!$J1933=1),EXP(Painel_diario!$L1933),1)-1</f>
        <v/>
      </c>
      <c r="D1937" s="22">
        <f>(1+D1936)*IF(AND(Painel_diario!$H1933="ED_JD",Painel_diario!$J1933=1),EXP(Painel_diario!$L1933),1)-1</f>
        <v/>
      </c>
      <c r="E1937" s="22">
        <f>(1+E1936)*IF(AND(Painel_diario!$H1933="ED_JU",Painel_diario!$J1933=1),EXP(Painel_diario!$L1933),1)-1</f>
        <v/>
      </c>
    </row>
    <row r="1938">
      <c r="A1938" s="25" t="n">
        <v>41673</v>
      </c>
      <c r="B1938" s="22">
        <f>(1+B1937)*IF(AND(Painel_diario!$H1934="EU_JD",Painel_diario!$J1934=1),EXP(Painel_diario!$L1934),1)-1</f>
        <v/>
      </c>
      <c r="C1938" s="22">
        <f>(1+C1937)*IF(AND(Painel_diario!$H1934="EU_JU",Painel_diario!$J1934=1),EXP(Painel_diario!$L1934),1)-1</f>
        <v/>
      </c>
      <c r="D1938" s="22">
        <f>(1+D1937)*IF(AND(Painel_diario!$H1934="ED_JD",Painel_diario!$J1934=1),EXP(Painel_diario!$L1934),1)-1</f>
        <v/>
      </c>
      <c r="E1938" s="22">
        <f>(1+E1937)*IF(AND(Painel_diario!$H1934="ED_JU",Painel_diario!$J1934=1),EXP(Painel_diario!$L1934),1)-1</f>
        <v/>
      </c>
    </row>
    <row r="1939">
      <c r="A1939" s="25" t="n">
        <v>41674</v>
      </c>
      <c r="B1939" s="22">
        <f>(1+B1938)*IF(AND(Painel_diario!$H1935="EU_JD",Painel_diario!$J1935=1),EXP(Painel_diario!$L1935),1)-1</f>
        <v/>
      </c>
      <c r="C1939" s="22">
        <f>(1+C1938)*IF(AND(Painel_diario!$H1935="EU_JU",Painel_diario!$J1935=1),EXP(Painel_diario!$L1935),1)-1</f>
        <v/>
      </c>
      <c r="D1939" s="22">
        <f>(1+D1938)*IF(AND(Painel_diario!$H1935="ED_JD",Painel_diario!$J1935=1),EXP(Painel_diario!$L1935),1)-1</f>
        <v/>
      </c>
      <c r="E1939" s="22">
        <f>(1+E1938)*IF(AND(Painel_diario!$H1935="ED_JU",Painel_diario!$J1935=1),EXP(Painel_diario!$L1935),1)-1</f>
        <v/>
      </c>
    </row>
    <row r="1940">
      <c r="A1940" s="25" t="n">
        <v>41675</v>
      </c>
      <c r="B1940" s="22">
        <f>(1+B1939)*IF(AND(Painel_diario!$H1936="EU_JD",Painel_diario!$J1936=1),EXP(Painel_diario!$L1936),1)-1</f>
        <v/>
      </c>
      <c r="C1940" s="22">
        <f>(1+C1939)*IF(AND(Painel_diario!$H1936="EU_JU",Painel_diario!$J1936=1),EXP(Painel_diario!$L1936),1)-1</f>
        <v/>
      </c>
      <c r="D1940" s="22">
        <f>(1+D1939)*IF(AND(Painel_diario!$H1936="ED_JD",Painel_diario!$J1936=1),EXP(Painel_diario!$L1936),1)-1</f>
        <v/>
      </c>
      <c r="E1940" s="22">
        <f>(1+E1939)*IF(AND(Painel_diario!$H1936="ED_JU",Painel_diario!$J1936=1),EXP(Painel_diario!$L1936),1)-1</f>
        <v/>
      </c>
    </row>
    <row r="1941">
      <c r="A1941" s="25" t="n">
        <v>41676</v>
      </c>
      <c r="B1941" s="22">
        <f>(1+B1940)*IF(AND(Painel_diario!$H1937="EU_JD",Painel_diario!$J1937=1),EXP(Painel_diario!$L1937),1)-1</f>
        <v/>
      </c>
      <c r="C1941" s="22">
        <f>(1+C1940)*IF(AND(Painel_diario!$H1937="EU_JU",Painel_diario!$J1937=1),EXP(Painel_diario!$L1937),1)-1</f>
        <v/>
      </c>
      <c r="D1941" s="22">
        <f>(1+D1940)*IF(AND(Painel_diario!$H1937="ED_JD",Painel_diario!$J1937=1),EXP(Painel_diario!$L1937),1)-1</f>
        <v/>
      </c>
      <c r="E1941" s="22">
        <f>(1+E1940)*IF(AND(Painel_diario!$H1937="ED_JU",Painel_diario!$J1937=1),EXP(Painel_diario!$L1937),1)-1</f>
        <v/>
      </c>
    </row>
    <row r="1942">
      <c r="A1942" s="25" t="n">
        <v>41677</v>
      </c>
      <c r="B1942" s="22">
        <f>(1+B1941)*IF(AND(Painel_diario!$H1938="EU_JD",Painel_diario!$J1938=1),EXP(Painel_diario!$L1938),1)-1</f>
        <v/>
      </c>
      <c r="C1942" s="22">
        <f>(1+C1941)*IF(AND(Painel_diario!$H1938="EU_JU",Painel_diario!$J1938=1),EXP(Painel_diario!$L1938),1)-1</f>
        <v/>
      </c>
      <c r="D1942" s="22">
        <f>(1+D1941)*IF(AND(Painel_diario!$H1938="ED_JD",Painel_diario!$J1938=1),EXP(Painel_diario!$L1938),1)-1</f>
        <v/>
      </c>
      <c r="E1942" s="22">
        <f>(1+E1941)*IF(AND(Painel_diario!$H1938="ED_JU",Painel_diario!$J1938=1),EXP(Painel_diario!$L1938),1)-1</f>
        <v/>
      </c>
    </row>
    <row r="1943">
      <c r="A1943" s="25" t="n">
        <v>41680</v>
      </c>
      <c r="B1943" s="22">
        <f>(1+B1942)*IF(AND(Painel_diario!$H1939="EU_JD",Painel_diario!$J1939=1),EXP(Painel_diario!$L1939),1)-1</f>
        <v/>
      </c>
      <c r="C1943" s="22">
        <f>(1+C1942)*IF(AND(Painel_diario!$H1939="EU_JU",Painel_diario!$J1939=1),EXP(Painel_diario!$L1939),1)-1</f>
        <v/>
      </c>
      <c r="D1943" s="22">
        <f>(1+D1942)*IF(AND(Painel_diario!$H1939="ED_JD",Painel_diario!$J1939=1),EXP(Painel_diario!$L1939),1)-1</f>
        <v/>
      </c>
      <c r="E1943" s="22">
        <f>(1+E1942)*IF(AND(Painel_diario!$H1939="ED_JU",Painel_diario!$J1939=1),EXP(Painel_diario!$L1939),1)-1</f>
        <v/>
      </c>
    </row>
    <row r="1944">
      <c r="A1944" s="25" t="n">
        <v>41681</v>
      </c>
      <c r="B1944" s="22">
        <f>(1+B1943)*IF(AND(Painel_diario!$H1940="EU_JD",Painel_diario!$J1940=1),EXP(Painel_diario!$L1940),1)-1</f>
        <v/>
      </c>
      <c r="C1944" s="22">
        <f>(1+C1943)*IF(AND(Painel_diario!$H1940="EU_JU",Painel_diario!$J1940=1),EXP(Painel_diario!$L1940),1)-1</f>
        <v/>
      </c>
      <c r="D1944" s="22">
        <f>(1+D1943)*IF(AND(Painel_diario!$H1940="ED_JD",Painel_diario!$J1940=1),EXP(Painel_diario!$L1940),1)-1</f>
        <v/>
      </c>
      <c r="E1944" s="22">
        <f>(1+E1943)*IF(AND(Painel_diario!$H1940="ED_JU",Painel_diario!$J1940=1),EXP(Painel_diario!$L1940),1)-1</f>
        <v/>
      </c>
    </row>
    <row r="1945">
      <c r="A1945" s="25" t="n">
        <v>41682</v>
      </c>
      <c r="B1945" s="22">
        <f>(1+B1944)*IF(AND(Painel_diario!$H1941="EU_JD",Painel_diario!$J1941=1),EXP(Painel_diario!$L1941),1)-1</f>
        <v/>
      </c>
      <c r="C1945" s="22">
        <f>(1+C1944)*IF(AND(Painel_diario!$H1941="EU_JU",Painel_diario!$J1941=1),EXP(Painel_diario!$L1941),1)-1</f>
        <v/>
      </c>
      <c r="D1945" s="22">
        <f>(1+D1944)*IF(AND(Painel_diario!$H1941="ED_JD",Painel_diario!$J1941=1),EXP(Painel_diario!$L1941),1)-1</f>
        <v/>
      </c>
      <c r="E1945" s="22">
        <f>(1+E1944)*IF(AND(Painel_diario!$H1941="ED_JU",Painel_diario!$J1941=1),EXP(Painel_diario!$L1941),1)-1</f>
        <v/>
      </c>
    </row>
    <row r="1946">
      <c r="A1946" s="25" t="n">
        <v>41683</v>
      </c>
      <c r="B1946" s="22">
        <f>(1+B1945)*IF(AND(Painel_diario!$H1942="EU_JD",Painel_diario!$J1942=1),EXP(Painel_diario!$L1942),1)-1</f>
        <v/>
      </c>
      <c r="C1946" s="22">
        <f>(1+C1945)*IF(AND(Painel_diario!$H1942="EU_JU",Painel_diario!$J1942=1),EXP(Painel_diario!$L1942),1)-1</f>
        <v/>
      </c>
      <c r="D1946" s="22">
        <f>(1+D1945)*IF(AND(Painel_diario!$H1942="ED_JD",Painel_diario!$J1942=1),EXP(Painel_diario!$L1942),1)-1</f>
        <v/>
      </c>
      <c r="E1946" s="22">
        <f>(1+E1945)*IF(AND(Painel_diario!$H1942="ED_JU",Painel_diario!$J1942=1),EXP(Painel_diario!$L1942),1)-1</f>
        <v/>
      </c>
    </row>
    <row r="1947">
      <c r="A1947" s="25" t="n">
        <v>41684</v>
      </c>
      <c r="B1947" s="22">
        <f>(1+B1946)*IF(AND(Painel_diario!$H1943="EU_JD",Painel_diario!$J1943=1),EXP(Painel_diario!$L1943),1)-1</f>
        <v/>
      </c>
      <c r="C1947" s="22">
        <f>(1+C1946)*IF(AND(Painel_diario!$H1943="EU_JU",Painel_diario!$J1943=1),EXP(Painel_diario!$L1943),1)-1</f>
        <v/>
      </c>
      <c r="D1947" s="22">
        <f>(1+D1946)*IF(AND(Painel_diario!$H1943="ED_JD",Painel_diario!$J1943=1),EXP(Painel_diario!$L1943),1)-1</f>
        <v/>
      </c>
      <c r="E1947" s="22">
        <f>(1+E1946)*IF(AND(Painel_diario!$H1943="ED_JU",Painel_diario!$J1943=1),EXP(Painel_diario!$L1943),1)-1</f>
        <v/>
      </c>
    </row>
    <row r="1948">
      <c r="A1948" s="25" t="n">
        <v>41687</v>
      </c>
      <c r="B1948" s="22">
        <f>(1+B1947)*IF(AND(Painel_diario!$H1944="EU_JD",Painel_diario!$J1944=1),EXP(Painel_diario!$L1944),1)-1</f>
        <v/>
      </c>
      <c r="C1948" s="22">
        <f>(1+C1947)*IF(AND(Painel_diario!$H1944="EU_JU",Painel_diario!$J1944=1),EXP(Painel_diario!$L1944),1)-1</f>
        <v/>
      </c>
      <c r="D1948" s="22">
        <f>(1+D1947)*IF(AND(Painel_diario!$H1944="ED_JD",Painel_diario!$J1944=1),EXP(Painel_diario!$L1944),1)-1</f>
        <v/>
      </c>
      <c r="E1948" s="22">
        <f>(1+E1947)*IF(AND(Painel_diario!$H1944="ED_JU",Painel_diario!$J1944=1),EXP(Painel_diario!$L1944),1)-1</f>
        <v/>
      </c>
    </row>
    <row r="1949">
      <c r="A1949" s="25" t="n">
        <v>41688</v>
      </c>
      <c r="B1949" s="22">
        <f>(1+B1948)*IF(AND(Painel_diario!$H1945="EU_JD",Painel_diario!$J1945=1),EXP(Painel_diario!$L1945),1)-1</f>
        <v/>
      </c>
      <c r="C1949" s="22">
        <f>(1+C1948)*IF(AND(Painel_diario!$H1945="EU_JU",Painel_diario!$J1945=1),EXP(Painel_diario!$L1945),1)-1</f>
        <v/>
      </c>
      <c r="D1949" s="22">
        <f>(1+D1948)*IF(AND(Painel_diario!$H1945="ED_JD",Painel_diario!$J1945=1),EXP(Painel_diario!$L1945),1)-1</f>
        <v/>
      </c>
      <c r="E1949" s="22">
        <f>(1+E1948)*IF(AND(Painel_diario!$H1945="ED_JU",Painel_diario!$J1945=1),EXP(Painel_diario!$L1945),1)-1</f>
        <v/>
      </c>
    </row>
    <row r="1950">
      <c r="A1950" s="25" t="n">
        <v>41689</v>
      </c>
      <c r="B1950" s="22">
        <f>(1+B1949)*IF(AND(Painel_diario!$H1946="EU_JD",Painel_diario!$J1946=1),EXP(Painel_diario!$L1946),1)-1</f>
        <v/>
      </c>
      <c r="C1950" s="22">
        <f>(1+C1949)*IF(AND(Painel_diario!$H1946="EU_JU",Painel_diario!$J1946=1),EXP(Painel_diario!$L1946),1)-1</f>
        <v/>
      </c>
      <c r="D1950" s="22">
        <f>(1+D1949)*IF(AND(Painel_diario!$H1946="ED_JD",Painel_diario!$J1946=1),EXP(Painel_diario!$L1946),1)-1</f>
        <v/>
      </c>
      <c r="E1950" s="22">
        <f>(1+E1949)*IF(AND(Painel_diario!$H1946="ED_JU",Painel_diario!$J1946=1),EXP(Painel_diario!$L1946),1)-1</f>
        <v/>
      </c>
    </row>
    <row r="1951">
      <c r="A1951" s="25" t="n">
        <v>41690</v>
      </c>
      <c r="B1951" s="22">
        <f>(1+B1950)*IF(AND(Painel_diario!$H1947="EU_JD",Painel_diario!$J1947=1),EXP(Painel_diario!$L1947),1)-1</f>
        <v/>
      </c>
      <c r="C1951" s="22">
        <f>(1+C1950)*IF(AND(Painel_diario!$H1947="EU_JU",Painel_diario!$J1947=1),EXP(Painel_diario!$L1947),1)-1</f>
        <v/>
      </c>
      <c r="D1951" s="22">
        <f>(1+D1950)*IF(AND(Painel_diario!$H1947="ED_JD",Painel_diario!$J1947=1),EXP(Painel_diario!$L1947),1)-1</f>
        <v/>
      </c>
      <c r="E1951" s="22">
        <f>(1+E1950)*IF(AND(Painel_diario!$H1947="ED_JU",Painel_diario!$J1947=1),EXP(Painel_diario!$L1947),1)-1</f>
        <v/>
      </c>
    </row>
    <row r="1952">
      <c r="A1952" s="25" t="n">
        <v>41691</v>
      </c>
      <c r="B1952" s="22">
        <f>(1+B1951)*IF(AND(Painel_diario!$H1948="EU_JD",Painel_diario!$J1948=1),EXP(Painel_diario!$L1948),1)-1</f>
        <v/>
      </c>
      <c r="C1952" s="22">
        <f>(1+C1951)*IF(AND(Painel_diario!$H1948="EU_JU",Painel_diario!$J1948=1),EXP(Painel_diario!$L1948),1)-1</f>
        <v/>
      </c>
      <c r="D1952" s="22">
        <f>(1+D1951)*IF(AND(Painel_diario!$H1948="ED_JD",Painel_diario!$J1948=1),EXP(Painel_diario!$L1948),1)-1</f>
        <v/>
      </c>
      <c r="E1952" s="22">
        <f>(1+E1951)*IF(AND(Painel_diario!$H1948="ED_JU",Painel_diario!$J1948=1),EXP(Painel_diario!$L1948),1)-1</f>
        <v/>
      </c>
    </row>
    <row r="1953">
      <c r="A1953" s="25" t="n">
        <v>41694</v>
      </c>
      <c r="B1953" s="22">
        <f>(1+B1952)*IF(AND(Painel_diario!$H1949="EU_JD",Painel_diario!$J1949=1),EXP(Painel_diario!$L1949),1)-1</f>
        <v/>
      </c>
      <c r="C1953" s="22">
        <f>(1+C1952)*IF(AND(Painel_diario!$H1949="EU_JU",Painel_diario!$J1949=1),EXP(Painel_diario!$L1949),1)-1</f>
        <v/>
      </c>
      <c r="D1953" s="22">
        <f>(1+D1952)*IF(AND(Painel_diario!$H1949="ED_JD",Painel_diario!$J1949=1),EXP(Painel_diario!$L1949),1)-1</f>
        <v/>
      </c>
      <c r="E1953" s="22">
        <f>(1+E1952)*IF(AND(Painel_diario!$H1949="ED_JU",Painel_diario!$J1949=1),EXP(Painel_diario!$L1949),1)-1</f>
        <v/>
      </c>
    </row>
    <row r="1954">
      <c r="A1954" s="25" t="n">
        <v>41695</v>
      </c>
      <c r="B1954" s="22">
        <f>(1+B1953)*IF(AND(Painel_diario!$H1950="EU_JD",Painel_diario!$J1950=1),EXP(Painel_diario!$L1950),1)-1</f>
        <v/>
      </c>
      <c r="C1954" s="22">
        <f>(1+C1953)*IF(AND(Painel_diario!$H1950="EU_JU",Painel_diario!$J1950=1),EXP(Painel_diario!$L1950),1)-1</f>
        <v/>
      </c>
      <c r="D1954" s="22">
        <f>(1+D1953)*IF(AND(Painel_diario!$H1950="ED_JD",Painel_diario!$J1950=1),EXP(Painel_diario!$L1950),1)-1</f>
        <v/>
      </c>
      <c r="E1954" s="22">
        <f>(1+E1953)*IF(AND(Painel_diario!$H1950="ED_JU",Painel_diario!$J1950=1),EXP(Painel_diario!$L1950),1)-1</f>
        <v/>
      </c>
    </row>
    <row r="1955">
      <c r="A1955" s="25" t="n">
        <v>41696</v>
      </c>
      <c r="B1955" s="22">
        <f>(1+B1954)*IF(AND(Painel_diario!$H1951="EU_JD",Painel_diario!$J1951=1),EXP(Painel_diario!$L1951),1)-1</f>
        <v/>
      </c>
      <c r="C1955" s="22">
        <f>(1+C1954)*IF(AND(Painel_diario!$H1951="EU_JU",Painel_diario!$J1951=1),EXP(Painel_diario!$L1951),1)-1</f>
        <v/>
      </c>
      <c r="D1955" s="22">
        <f>(1+D1954)*IF(AND(Painel_diario!$H1951="ED_JD",Painel_diario!$J1951=1),EXP(Painel_diario!$L1951),1)-1</f>
        <v/>
      </c>
      <c r="E1955" s="22">
        <f>(1+E1954)*IF(AND(Painel_diario!$H1951="ED_JU",Painel_diario!$J1951=1),EXP(Painel_diario!$L1951),1)-1</f>
        <v/>
      </c>
    </row>
    <row r="1956">
      <c r="A1956" s="25" t="n">
        <v>41697</v>
      </c>
      <c r="B1956" s="22">
        <f>(1+B1955)*IF(AND(Painel_diario!$H1952="EU_JD",Painel_diario!$J1952=1),EXP(Painel_diario!$L1952),1)-1</f>
        <v/>
      </c>
      <c r="C1956" s="22">
        <f>(1+C1955)*IF(AND(Painel_diario!$H1952="EU_JU",Painel_diario!$J1952=1),EXP(Painel_diario!$L1952),1)-1</f>
        <v/>
      </c>
      <c r="D1956" s="22">
        <f>(1+D1955)*IF(AND(Painel_diario!$H1952="ED_JD",Painel_diario!$J1952=1),EXP(Painel_diario!$L1952),1)-1</f>
        <v/>
      </c>
      <c r="E1956" s="22">
        <f>(1+E1955)*IF(AND(Painel_diario!$H1952="ED_JU",Painel_diario!$J1952=1),EXP(Painel_diario!$L1952),1)-1</f>
        <v/>
      </c>
    </row>
    <row r="1957">
      <c r="A1957" s="25" t="n">
        <v>41698</v>
      </c>
      <c r="B1957" s="22">
        <f>(1+B1956)*IF(AND(Painel_diario!$H1953="EU_JD",Painel_diario!$J1953=1),EXP(Painel_diario!$L1953),1)-1</f>
        <v/>
      </c>
      <c r="C1957" s="22">
        <f>(1+C1956)*IF(AND(Painel_diario!$H1953="EU_JU",Painel_diario!$J1953=1),EXP(Painel_diario!$L1953),1)-1</f>
        <v/>
      </c>
      <c r="D1957" s="22">
        <f>(1+D1956)*IF(AND(Painel_diario!$H1953="ED_JD",Painel_diario!$J1953=1),EXP(Painel_diario!$L1953),1)-1</f>
        <v/>
      </c>
      <c r="E1957" s="22">
        <f>(1+E1956)*IF(AND(Painel_diario!$H1953="ED_JU",Painel_diario!$J1953=1),EXP(Painel_diario!$L1953),1)-1</f>
        <v/>
      </c>
    </row>
    <row r="1958">
      <c r="A1958" s="25" t="n">
        <v>41703</v>
      </c>
      <c r="B1958" s="22">
        <f>(1+B1957)*IF(AND(Painel_diario!$H1954="EU_JD",Painel_diario!$J1954=1),EXP(Painel_diario!$L1954),1)-1</f>
        <v/>
      </c>
      <c r="C1958" s="22">
        <f>(1+C1957)*IF(AND(Painel_diario!$H1954="EU_JU",Painel_diario!$J1954=1),EXP(Painel_diario!$L1954),1)-1</f>
        <v/>
      </c>
      <c r="D1958" s="22">
        <f>(1+D1957)*IF(AND(Painel_diario!$H1954="ED_JD",Painel_diario!$J1954=1),EXP(Painel_diario!$L1954),1)-1</f>
        <v/>
      </c>
      <c r="E1958" s="22">
        <f>(1+E1957)*IF(AND(Painel_diario!$H1954="ED_JU",Painel_diario!$J1954=1),EXP(Painel_diario!$L1954),1)-1</f>
        <v/>
      </c>
    </row>
    <row r="1959">
      <c r="A1959" s="25" t="n">
        <v>41704</v>
      </c>
      <c r="B1959" s="22">
        <f>(1+B1958)*IF(AND(Painel_diario!$H1955="EU_JD",Painel_diario!$J1955=1),EXP(Painel_diario!$L1955),1)-1</f>
        <v/>
      </c>
      <c r="C1959" s="22">
        <f>(1+C1958)*IF(AND(Painel_diario!$H1955="EU_JU",Painel_diario!$J1955=1),EXP(Painel_diario!$L1955),1)-1</f>
        <v/>
      </c>
      <c r="D1959" s="22">
        <f>(1+D1958)*IF(AND(Painel_diario!$H1955="ED_JD",Painel_diario!$J1955=1),EXP(Painel_diario!$L1955),1)-1</f>
        <v/>
      </c>
      <c r="E1959" s="22">
        <f>(1+E1958)*IF(AND(Painel_diario!$H1955="ED_JU",Painel_diario!$J1955=1),EXP(Painel_diario!$L1955),1)-1</f>
        <v/>
      </c>
    </row>
    <row r="1960">
      <c r="A1960" s="25" t="n">
        <v>41705</v>
      </c>
      <c r="B1960" s="22">
        <f>(1+B1959)*IF(AND(Painel_diario!$H1956="EU_JD",Painel_diario!$J1956=1),EXP(Painel_diario!$L1956),1)-1</f>
        <v/>
      </c>
      <c r="C1960" s="22">
        <f>(1+C1959)*IF(AND(Painel_diario!$H1956="EU_JU",Painel_diario!$J1956=1),EXP(Painel_diario!$L1956),1)-1</f>
        <v/>
      </c>
      <c r="D1960" s="22">
        <f>(1+D1959)*IF(AND(Painel_diario!$H1956="ED_JD",Painel_diario!$J1956=1),EXP(Painel_diario!$L1956),1)-1</f>
        <v/>
      </c>
      <c r="E1960" s="22">
        <f>(1+E1959)*IF(AND(Painel_diario!$H1956="ED_JU",Painel_diario!$J1956=1),EXP(Painel_diario!$L1956),1)-1</f>
        <v/>
      </c>
    </row>
    <row r="1961">
      <c r="A1961" s="25" t="n">
        <v>41708</v>
      </c>
      <c r="B1961" s="22">
        <f>(1+B1960)*IF(AND(Painel_diario!$H1957="EU_JD",Painel_diario!$J1957=1),EXP(Painel_diario!$L1957),1)-1</f>
        <v/>
      </c>
      <c r="C1961" s="22">
        <f>(1+C1960)*IF(AND(Painel_diario!$H1957="EU_JU",Painel_diario!$J1957=1),EXP(Painel_diario!$L1957),1)-1</f>
        <v/>
      </c>
      <c r="D1961" s="22">
        <f>(1+D1960)*IF(AND(Painel_diario!$H1957="ED_JD",Painel_diario!$J1957=1),EXP(Painel_diario!$L1957),1)-1</f>
        <v/>
      </c>
      <c r="E1961" s="22">
        <f>(1+E1960)*IF(AND(Painel_diario!$H1957="ED_JU",Painel_diario!$J1957=1),EXP(Painel_diario!$L1957),1)-1</f>
        <v/>
      </c>
    </row>
    <row r="1962">
      <c r="A1962" s="25" t="n">
        <v>41709</v>
      </c>
      <c r="B1962" s="22">
        <f>(1+B1961)*IF(AND(Painel_diario!$H1958="EU_JD",Painel_diario!$J1958=1),EXP(Painel_diario!$L1958),1)-1</f>
        <v/>
      </c>
      <c r="C1962" s="22">
        <f>(1+C1961)*IF(AND(Painel_diario!$H1958="EU_JU",Painel_diario!$J1958=1),EXP(Painel_diario!$L1958),1)-1</f>
        <v/>
      </c>
      <c r="D1962" s="22">
        <f>(1+D1961)*IF(AND(Painel_diario!$H1958="ED_JD",Painel_diario!$J1958=1),EXP(Painel_diario!$L1958),1)-1</f>
        <v/>
      </c>
      <c r="E1962" s="22">
        <f>(1+E1961)*IF(AND(Painel_diario!$H1958="ED_JU",Painel_diario!$J1958=1),EXP(Painel_diario!$L1958),1)-1</f>
        <v/>
      </c>
    </row>
    <row r="1963">
      <c r="A1963" s="25" t="n">
        <v>41710</v>
      </c>
      <c r="B1963" s="22">
        <f>(1+B1962)*IF(AND(Painel_diario!$H1959="EU_JD",Painel_diario!$J1959=1),EXP(Painel_diario!$L1959),1)-1</f>
        <v/>
      </c>
      <c r="C1963" s="22">
        <f>(1+C1962)*IF(AND(Painel_diario!$H1959="EU_JU",Painel_diario!$J1959=1),EXP(Painel_diario!$L1959),1)-1</f>
        <v/>
      </c>
      <c r="D1963" s="22">
        <f>(1+D1962)*IF(AND(Painel_diario!$H1959="ED_JD",Painel_diario!$J1959=1),EXP(Painel_diario!$L1959),1)-1</f>
        <v/>
      </c>
      <c r="E1963" s="22">
        <f>(1+E1962)*IF(AND(Painel_diario!$H1959="ED_JU",Painel_diario!$J1959=1),EXP(Painel_diario!$L1959),1)-1</f>
        <v/>
      </c>
    </row>
    <row r="1964">
      <c r="A1964" s="25" t="n">
        <v>41711</v>
      </c>
      <c r="B1964" s="22">
        <f>(1+B1963)*IF(AND(Painel_diario!$H1960="EU_JD",Painel_diario!$J1960=1),EXP(Painel_diario!$L1960),1)-1</f>
        <v/>
      </c>
      <c r="C1964" s="22">
        <f>(1+C1963)*IF(AND(Painel_diario!$H1960="EU_JU",Painel_diario!$J1960=1),EXP(Painel_diario!$L1960),1)-1</f>
        <v/>
      </c>
      <c r="D1964" s="22">
        <f>(1+D1963)*IF(AND(Painel_diario!$H1960="ED_JD",Painel_diario!$J1960=1),EXP(Painel_diario!$L1960),1)-1</f>
        <v/>
      </c>
      <c r="E1964" s="22">
        <f>(1+E1963)*IF(AND(Painel_diario!$H1960="ED_JU",Painel_diario!$J1960=1),EXP(Painel_diario!$L1960),1)-1</f>
        <v/>
      </c>
    </row>
    <row r="1965">
      <c r="A1965" s="25" t="n">
        <v>41712</v>
      </c>
      <c r="B1965" s="22">
        <f>(1+B1964)*IF(AND(Painel_diario!$H1961="EU_JD",Painel_diario!$J1961=1),EXP(Painel_diario!$L1961),1)-1</f>
        <v/>
      </c>
      <c r="C1965" s="22">
        <f>(1+C1964)*IF(AND(Painel_diario!$H1961="EU_JU",Painel_diario!$J1961=1),EXP(Painel_diario!$L1961),1)-1</f>
        <v/>
      </c>
      <c r="D1965" s="22">
        <f>(1+D1964)*IF(AND(Painel_diario!$H1961="ED_JD",Painel_diario!$J1961=1),EXP(Painel_diario!$L1961),1)-1</f>
        <v/>
      </c>
      <c r="E1965" s="22">
        <f>(1+E1964)*IF(AND(Painel_diario!$H1961="ED_JU",Painel_diario!$J1961=1),EXP(Painel_diario!$L1961),1)-1</f>
        <v/>
      </c>
    </row>
    <row r="1966">
      <c r="A1966" s="25" t="n">
        <v>41715</v>
      </c>
      <c r="B1966" s="22">
        <f>(1+B1965)*IF(AND(Painel_diario!$H1962="EU_JD",Painel_diario!$J1962=1),EXP(Painel_diario!$L1962),1)-1</f>
        <v/>
      </c>
      <c r="C1966" s="22">
        <f>(1+C1965)*IF(AND(Painel_diario!$H1962="EU_JU",Painel_diario!$J1962=1),EXP(Painel_diario!$L1962),1)-1</f>
        <v/>
      </c>
      <c r="D1966" s="22">
        <f>(1+D1965)*IF(AND(Painel_diario!$H1962="ED_JD",Painel_diario!$J1962=1),EXP(Painel_diario!$L1962),1)-1</f>
        <v/>
      </c>
      <c r="E1966" s="22">
        <f>(1+E1965)*IF(AND(Painel_diario!$H1962="ED_JU",Painel_diario!$J1962=1),EXP(Painel_diario!$L1962),1)-1</f>
        <v/>
      </c>
    </row>
    <row r="1967">
      <c r="A1967" s="25" t="n">
        <v>41716</v>
      </c>
      <c r="B1967" s="22">
        <f>(1+B1966)*IF(AND(Painel_diario!$H1963="EU_JD",Painel_diario!$J1963=1),EXP(Painel_diario!$L1963),1)-1</f>
        <v/>
      </c>
      <c r="C1967" s="22">
        <f>(1+C1966)*IF(AND(Painel_diario!$H1963="EU_JU",Painel_diario!$J1963=1),EXP(Painel_diario!$L1963),1)-1</f>
        <v/>
      </c>
      <c r="D1967" s="22">
        <f>(1+D1966)*IF(AND(Painel_diario!$H1963="ED_JD",Painel_diario!$J1963=1),EXP(Painel_diario!$L1963),1)-1</f>
        <v/>
      </c>
      <c r="E1967" s="22">
        <f>(1+E1966)*IF(AND(Painel_diario!$H1963="ED_JU",Painel_diario!$J1963=1),EXP(Painel_diario!$L1963),1)-1</f>
        <v/>
      </c>
    </row>
    <row r="1968">
      <c r="A1968" s="25" t="n">
        <v>41717</v>
      </c>
      <c r="B1968" s="22">
        <f>(1+B1967)*IF(AND(Painel_diario!$H1964="EU_JD",Painel_diario!$J1964=1),EXP(Painel_diario!$L1964),1)-1</f>
        <v/>
      </c>
      <c r="C1968" s="22">
        <f>(1+C1967)*IF(AND(Painel_diario!$H1964="EU_JU",Painel_diario!$J1964=1),EXP(Painel_diario!$L1964),1)-1</f>
        <v/>
      </c>
      <c r="D1968" s="22">
        <f>(1+D1967)*IF(AND(Painel_diario!$H1964="ED_JD",Painel_diario!$J1964=1),EXP(Painel_diario!$L1964),1)-1</f>
        <v/>
      </c>
      <c r="E1968" s="22">
        <f>(1+E1967)*IF(AND(Painel_diario!$H1964="ED_JU",Painel_diario!$J1964=1),EXP(Painel_diario!$L1964),1)-1</f>
        <v/>
      </c>
    </row>
    <row r="1969">
      <c r="A1969" s="25" t="n">
        <v>41718</v>
      </c>
      <c r="B1969" s="22">
        <f>(1+B1968)*IF(AND(Painel_diario!$H1965="EU_JD",Painel_diario!$J1965=1),EXP(Painel_diario!$L1965),1)-1</f>
        <v/>
      </c>
      <c r="C1969" s="22">
        <f>(1+C1968)*IF(AND(Painel_diario!$H1965="EU_JU",Painel_diario!$J1965=1),EXP(Painel_diario!$L1965),1)-1</f>
        <v/>
      </c>
      <c r="D1969" s="22">
        <f>(1+D1968)*IF(AND(Painel_diario!$H1965="ED_JD",Painel_diario!$J1965=1),EXP(Painel_diario!$L1965),1)-1</f>
        <v/>
      </c>
      <c r="E1969" s="22">
        <f>(1+E1968)*IF(AND(Painel_diario!$H1965="ED_JU",Painel_diario!$J1965=1),EXP(Painel_diario!$L1965),1)-1</f>
        <v/>
      </c>
    </row>
    <row r="1970">
      <c r="A1970" s="25" t="n">
        <v>41719</v>
      </c>
      <c r="B1970" s="22">
        <f>(1+B1969)*IF(AND(Painel_diario!$H1966="EU_JD",Painel_diario!$J1966=1),EXP(Painel_diario!$L1966),1)-1</f>
        <v/>
      </c>
      <c r="C1970" s="22">
        <f>(1+C1969)*IF(AND(Painel_diario!$H1966="EU_JU",Painel_diario!$J1966=1),EXP(Painel_diario!$L1966),1)-1</f>
        <v/>
      </c>
      <c r="D1970" s="22">
        <f>(1+D1969)*IF(AND(Painel_diario!$H1966="ED_JD",Painel_diario!$J1966=1),EXP(Painel_diario!$L1966),1)-1</f>
        <v/>
      </c>
      <c r="E1970" s="22">
        <f>(1+E1969)*IF(AND(Painel_diario!$H1966="ED_JU",Painel_diario!$J1966=1),EXP(Painel_diario!$L1966),1)-1</f>
        <v/>
      </c>
    </row>
    <row r="1971">
      <c r="A1971" s="25" t="n">
        <v>41722</v>
      </c>
      <c r="B1971" s="22">
        <f>(1+B1970)*IF(AND(Painel_diario!$H1967="EU_JD",Painel_diario!$J1967=1),EXP(Painel_diario!$L1967),1)-1</f>
        <v/>
      </c>
      <c r="C1971" s="22">
        <f>(1+C1970)*IF(AND(Painel_diario!$H1967="EU_JU",Painel_diario!$J1967=1),EXP(Painel_diario!$L1967),1)-1</f>
        <v/>
      </c>
      <c r="D1971" s="22">
        <f>(1+D1970)*IF(AND(Painel_diario!$H1967="ED_JD",Painel_diario!$J1967=1),EXP(Painel_diario!$L1967),1)-1</f>
        <v/>
      </c>
      <c r="E1971" s="22">
        <f>(1+E1970)*IF(AND(Painel_diario!$H1967="ED_JU",Painel_diario!$J1967=1),EXP(Painel_diario!$L1967),1)-1</f>
        <v/>
      </c>
    </row>
    <row r="1972">
      <c r="A1972" s="25" t="n">
        <v>41723</v>
      </c>
      <c r="B1972" s="22">
        <f>(1+B1971)*IF(AND(Painel_diario!$H1968="EU_JD",Painel_diario!$J1968=1),EXP(Painel_diario!$L1968),1)-1</f>
        <v/>
      </c>
      <c r="C1972" s="22">
        <f>(1+C1971)*IF(AND(Painel_diario!$H1968="EU_JU",Painel_diario!$J1968=1),EXP(Painel_diario!$L1968),1)-1</f>
        <v/>
      </c>
      <c r="D1972" s="22">
        <f>(1+D1971)*IF(AND(Painel_diario!$H1968="ED_JD",Painel_diario!$J1968=1),EXP(Painel_diario!$L1968),1)-1</f>
        <v/>
      </c>
      <c r="E1972" s="22">
        <f>(1+E1971)*IF(AND(Painel_diario!$H1968="ED_JU",Painel_diario!$J1968=1),EXP(Painel_diario!$L1968),1)-1</f>
        <v/>
      </c>
    </row>
    <row r="1973">
      <c r="A1973" s="25" t="n">
        <v>41724</v>
      </c>
      <c r="B1973" s="22">
        <f>(1+B1972)*IF(AND(Painel_diario!$H1969="EU_JD",Painel_diario!$J1969=1),EXP(Painel_diario!$L1969),1)-1</f>
        <v/>
      </c>
      <c r="C1973" s="22">
        <f>(1+C1972)*IF(AND(Painel_diario!$H1969="EU_JU",Painel_diario!$J1969=1),EXP(Painel_diario!$L1969),1)-1</f>
        <v/>
      </c>
      <c r="D1973" s="22">
        <f>(1+D1972)*IF(AND(Painel_diario!$H1969="ED_JD",Painel_diario!$J1969=1),EXP(Painel_diario!$L1969),1)-1</f>
        <v/>
      </c>
      <c r="E1973" s="22">
        <f>(1+E1972)*IF(AND(Painel_diario!$H1969="ED_JU",Painel_diario!$J1969=1),EXP(Painel_diario!$L1969),1)-1</f>
        <v/>
      </c>
    </row>
    <row r="1974">
      <c r="A1974" s="25" t="n">
        <v>41725</v>
      </c>
      <c r="B1974" s="22">
        <f>(1+B1973)*IF(AND(Painel_diario!$H1970="EU_JD",Painel_diario!$J1970=1),EXP(Painel_diario!$L1970),1)-1</f>
        <v/>
      </c>
      <c r="C1974" s="22">
        <f>(1+C1973)*IF(AND(Painel_diario!$H1970="EU_JU",Painel_diario!$J1970=1),EXP(Painel_diario!$L1970),1)-1</f>
        <v/>
      </c>
      <c r="D1974" s="22">
        <f>(1+D1973)*IF(AND(Painel_diario!$H1970="ED_JD",Painel_diario!$J1970=1),EXP(Painel_diario!$L1970),1)-1</f>
        <v/>
      </c>
      <c r="E1974" s="22">
        <f>(1+E1973)*IF(AND(Painel_diario!$H1970="ED_JU",Painel_diario!$J1970=1),EXP(Painel_diario!$L1970),1)-1</f>
        <v/>
      </c>
    </row>
    <row r="1975">
      <c r="A1975" s="25" t="n">
        <v>41726</v>
      </c>
      <c r="B1975" s="22">
        <f>(1+B1974)*IF(AND(Painel_diario!$H1971="EU_JD",Painel_diario!$J1971=1),EXP(Painel_diario!$L1971),1)-1</f>
        <v/>
      </c>
      <c r="C1975" s="22">
        <f>(1+C1974)*IF(AND(Painel_diario!$H1971="EU_JU",Painel_diario!$J1971=1),EXP(Painel_diario!$L1971),1)-1</f>
        <v/>
      </c>
      <c r="D1975" s="22">
        <f>(1+D1974)*IF(AND(Painel_diario!$H1971="ED_JD",Painel_diario!$J1971=1),EXP(Painel_diario!$L1971),1)-1</f>
        <v/>
      </c>
      <c r="E1975" s="22">
        <f>(1+E1974)*IF(AND(Painel_diario!$H1971="ED_JU",Painel_diario!$J1971=1),EXP(Painel_diario!$L1971),1)-1</f>
        <v/>
      </c>
    </row>
    <row r="1976">
      <c r="A1976" s="25" t="n">
        <v>41729</v>
      </c>
      <c r="B1976" s="22">
        <f>(1+B1975)*IF(AND(Painel_diario!$H1972="EU_JD",Painel_diario!$J1972=1),EXP(Painel_diario!$L1972),1)-1</f>
        <v/>
      </c>
      <c r="C1976" s="22">
        <f>(1+C1975)*IF(AND(Painel_diario!$H1972="EU_JU",Painel_diario!$J1972=1),EXP(Painel_diario!$L1972),1)-1</f>
        <v/>
      </c>
      <c r="D1976" s="22">
        <f>(1+D1975)*IF(AND(Painel_diario!$H1972="ED_JD",Painel_diario!$J1972=1),EXP(Painel_diario!$L1972),1)-1</f>
        <v/>
      </c>
      <c r="E1976" s="22">
        <f>(1+E1975)*IF(AND(Painel_diario!$H1972="ED_JU",Painel_diario!$J1972=1),EXP(Painel_diario!$L1972),1)-1</f>
        <v/>
      </c>
    </row>
    <row r="1977">
      <c r="A1977" s="25" t="n">
        <v>41730</v>
      </c>
      <c r="B1977" s="22">
        <f>(1+B1976)*IF(AND(Painel_diario!$H1973="EU_JD",Painel_diario!$J1973=1),EXP(Painel_diario!$L1973),1)-1</f>
        <v/>
      </c>
      <c r="C1977" s="22">
        <f>(1+C1976)*IF(AND(Painel_diario!$H1973="EU_JU",Painel_diario!$J1973=1),EXP(Painel_diario!$L1973),1)-1</f>
        <v/>
      </c>
      <c r="D1977" s="22">
        <f>(1+D1976)*IF(AND(Painel_diario!$H1973="ED_JD",Painel_diario!$J1973=1),EXP(Painel_diario!$L1973),1)-1</f>
        <v/>
      </c>
      <c r="E1977" s="22">
        <f>(1+E1976)*IF(AND(Painel_diario!$H1973="ED_JU",Painel_diario!$J1973=1),EXP(Painel_diario!$L1973),1)-1</f>
        <v/>
      </c>
    </row>
    <row r="1978">
      <c r="A1978" s="25" t="n">
        <v>41731</v>
      </c>
      <c r="B1978" s="22">
        <f>(1+B1977)*IF(AND(Painel_diario!$H1974="EU_JD",Painel_diario!$J1974=1),EXP(Painel_diario!$L1974),1)-1</f>
        <v/>
      </c>
      <c r="C1978" s="22">
        <f>(1+C1977)*IF(AND(Painel_diario!$H1974="EU_JU",Painel_diario!$J1974=1),EXP(Painel_diario!$L1974),1)-1</f>
        <v/>
      </c>
      <c r="D1978" s="22">
        <f>(1+D1977)*IF(AND(Painel_diario!$H1974="ED_JD",Painel_diario!$J1974=1),EXP(Painel_diario!$L1974),1)-1</f>
        <v/>
      </c>
      <c r="E1978" s="22">
        <f>(1+E1977)*IF(AND(Painel_diario!$H1974="ED_JU",Painel_diario!$J1974=1),EXP(Painel_diario!$L1974),1)-1</f>
        <v/>
      </c>
    </row>
    <row r="1979">
      <c r="A1979" s="25" t="n">
        <v>41732</v>
      </c>
      <c r="B1979" s="22">
        <f>(1+B1978)*IF(AND(Painel_diario!$H1975="EU_JD",Painel_diario!$J1975=1),EXP(Painel_diario!$L1975),1)-1</f>
        <v/>
      </c>
      <c r="C1979" s="22">
        <f>(1+C1978)*IF(AND(Painel_diario!$H1975="EU_JU",Painel_diario!$J1975=1),EXP(Painel_diario!$L1975),1)-1</f>
        <v/>
      </c>
      <c r="D1979" s="22">
        <f>(1+D1978)*IF(AND(Painel_diario!$H1975="ED_JD",Painel_diario!$J1975=1),EXP(Painel_diario!$L1975),1)-1</f>
        <v/>
      </c>
      <c r="E1979" s="22">
        <f>(1+E1978)*IF(AND(Painel_diario!$H1975="ED_JU",Painel_diario!$J1975=1),EXP(Painel_diario!$L1975),1)-1</f>
        <v/>
      </c>
    </row>
    <row r="1980">
      <c r="A1980" s="25" t="n">
        <v>41733</v>
      </c>
      <c r="B1980" s="22">
        <f>(1+B1979)*IF(AND(Painel_diario!$H1976="EU_JD",Painel_diario!$J1976=1),EXP(Painel_diario!$L1976),1)-1</f>
        <v/>
      </c>
      <c r="C1980" s="22">
        <f>(1+C1979)*IF(AND(Painel_diario!$H1976="EU_JU",Painel_diario!$J1976=1),EXP(Painel_diario!$L1976),1)-1</f>
        <v/>
      </c>
      <c r="D1980" s="22">
        <f>(1+D1979)*IF(AND(Painel_diario!$H1976="ED_JD",Painel_diario!$J1976=1),EXP(Painel_diario!$L1976),1)-1</f>
        <v/>
      </c>
      <c r="E1980" s="22">
        <f>(1+E1979)*IF(AND(Painel_diario!$H1976="ED_JU",Painel_diario!$J1976=1),EXP(Painel_diario!$L1976),1)-1</f>
        <v/>
      </c>
    </row>
    <row r="1981">
      <c r="A1981" s="25" t="n">
        <v>41736</v>
      </c>
      <c r="B1981" s="22">
        <f>(1+B1980)*IF(AND(Painel_diario!$H1977="EU_JD",Painel_diario!$J1977=1),EXP(Painel_diario!$L1977),1)-1</f>
        <v/>
      </c>
      <c r="C1981" s="22">
        <f>(1+C1980)*IF(AND(Painel_diario!$H1977="EU_JU",Painel_diario!$J1977=1),EXP(Painel_diario!$L1977),1)-1</f>
        <v/>
      </c>
      <c r="D1981" s="22">
        <f>(1+D1980)*IF(AND(Painel_diario!$H1977="ED_JD",Painel_diario!$J1977=1),EXP(Painel_diario!$L1977),1)-1</f>
        <v/>
      </c>
      <c r="E1981" s="22">
        <f>(1+E1980)*IF(AND(Painel_diario!$H1977="ED_JU",Painel_diario!$J1977=1),EXP(Painel_diario!$L1977),1)-1</f>
        <v/>
      </c>
    </row>
    <row r="1982">
      <c r="A1982" s="25" t="n">
        <v>41737</v>
      </c>
      <c r="B1982" s="22">
        <f>(1+B1981)*IF(AND(Painel_diario!$H1978="EU_JD",Painel_diario!$J1978=1),EXP(Painel_diario!$L1978),1)-1</f>
        <v/>
      </c>
      <c r="C1982" s="22">
        <f>(1+C1981)*IF(AND(Painel_diario!$H1978="EU_JU",Painel_diario!$J1978=1),EXP(Painel_diario!$L1978),1)-1</f>
        <v/>
      </c>
      <c r="D1982" s="22">
        <f>(1+D1981)*IF(AND(Painel_diario!$H1978="ED_JD",Painel_diario!$J1978=1),EXP(Painel_diario!$L1978),1)-1</f>
        <v/>
      </c>
      <c r="E1982" s="22">
        <f>(1+E1981)*IF(AND(Painel_diario!$H1978="ED_JU",Painel_diario!$J1978=1),EXP(Painel_diario!$L1978),1)-1</f>
        <v/>
      </c>
    </row>
    <row r="1983">
      <c r="A1983" s="25" t="n">
        <v>41738</v>
      </c>
      <c r="B1983" s="22">
        <f>(1+B1982)*IF(AND(Painel_diario!$H1979="EU_JD",Painel_diario!$J1979=1),EXP(Painel_diario!$L1979),1)-1</f>
        <v/>
      </c>
      <c r="C1983" s="22">
        <f>(1+C1982)*IF(AND(Painel_diario!$H1979="EU_JU",Painel_diario!$J1979=1),EXP(Painel_diario!$L1979),1)-1</f>
        <v/>
      </c>
      <c r="D1983" s="22">
        <f>(1+D1982)*IF(AND(Painel_diario!$H1979="ED_JD",Painel_diario!$J1979=1),EXP(Painel_diario!$L1979),1)-1</f>
        <v/>
      </c>
      <c r="E1983" s="22">
        <f>(1+E1982)*IF(AND(Painel_diario!$H1979="ED_JU",Painel_diario!$J1979=1),EXP(Painel_diario!$L1979),1)-1</f>
        <v/>
      </c>
    </row>
    <row r="1984">
      <c r="A1984" s="25" t="n">
        <v>41739</v>
      </c>
      <c r="B1984" s="22">
        <f>(1+B1983)*IF(AND(Painel_diario!$H1980="EU_JD",Painel_diario!$J1980=1),EXP(Painel_diario!$L1980),1)-1</f>
        <v/>
      </c>
      <c r="C1984" s="22">
        <f>(1+C1983)*IF(AND(Painel_diario!$H1980="EU_JU",Painel_diario!$J1980=1),EXP(Painel_diario!$L1980),1)-1</f>
        <v/>
      </c>
      <c r="D1984" s="22">
        <f>(1+D1983)*IF(AND(Painel_diario!$H1980="ED_JD",Painel_diario!$J1980=1),EXP(Painel_diario!$L1980),1)-1</f>
        <v/>
      </c>
      <c r="E1984" s="22">
        <f>(1+E1983)*IF(AND(Painel_diario!$H1980="ED_JU",Painel_diario!$J1980=1),EXP(Painel_diario!$L1980),1)-1</f>
        <v/>
      </c>
    </row>
    <row r="1985">
      <c r="A1985" s="25" t="n">
        <v>41740</v>
      </c>
      <c r="B1985" s="22">
        <f>(1+B1984)*IF(AND(Painel_diario!$H1981="EU_JD",Painel_diario!$J1981=1),EXP(Painel_diario!$L1981),1)-1</f>
        <v/>
      </c>
      <c r="C1985" s="22">
        <f>(1+C1984)*IF(AND(Painel_diario!$H1981="EU_JU",Painel_diario!$J1981=1),EXP(Painel_diario!$L1981),1)-1</f>
        <v/>
      </c>
      <c r="D1985" s="22">
        <f>(1+D1984)*IF(AND(Painel_diario!$H1981="ED_JD",Painel_diario!$J1981=1),EXP(Painel_diario!$L1981),1)-1</f>
        <v/>
      </c>
      <c r="E1985" s="22">
        <f>(1+E1984)*IF(AND(Painel_diario!$H1981="ED_JU",Painel_diario!$J1981=1),EXP(Painel_diario!$L1981),1)-1</f>
        <v/>
      </c>
    </row>
    <row r="1986">
      <c r="A1986" s="25" t="n">
        <v>41743</v>
      </c>
      <c r="B1986" s="22">
        <f>(1+B1985)*IF(AND(Painel_diario!$H1982="EU_JD",Painel_diario!$J1982=1),EXP(Painel_diario!$L1982),1)-1</f>
        <v/>
      </c>
      <c r="C1986" s="22">
        <f>(1+C1985)*IF(AND(Painel_diario!$H1982="EU_JU",Painel_diario!$J1982=1),EXP(Painel_diario!$L1982),1)-1</f>
        <v/>
      </c>
      <c r="D1986" s="22">
        <f>(1+D1985)*IF(AND(Painel_diario!$H1982="ED_JD",Painel_diario!$J1982=1),EXP(Painel_diario!$L1982),1)-1</f>
        <v/>
      </c>
      <c r="E1986" s="22">
        <f>(1+E1985)*IF(AND(Painel_diario!$H1982="ED_JU",Painel_diario!$J1982=1),EXP(Painel_diario!$L1982),1)-1</f>
        <v/>
      </c>
    </row>
    <row r="1987">
      <c r="A1987" s="25" t="n">
        <v>41744</v>
      </c>
      <c r="B1987" s="22">
        <f>(1+B1986)*IF(AND(Painel_diario!$H1983="EU_JD",Painel_diario!$J1983=1),EXP(Painel_diario!$L1983),1)-1</f>
        <v/>
      </c>
      <c r="C1987" s="22">
        <f>(1+C1986)*IF(AND(Painel_diario!$H1983="EU_JU",Painel_diario!$J1983=1),EXP(Painel_diario!$L1983),1)-1</f>
        <v/>
      </c>
      <c r="D1987" s="22">
        <f>(1+D1986)*IF(AND(Painel_diario!$H1983="ED_JD",Painel_diario!$J1983=1),EXP(Painel_diario!$L1983),1)-1</f>
        <v/>
      </c>
      <c r="E1987" s="22">
        <f>(1+E1986)*IF(AND(Painel_diario!$H1983="ED_JU",Painel_diario!$J1983=1),EXP(Painel_diario!$L1983),1)-1</f>
        <v/>
      </c>
    </row>
    <row r="1988">
      <c r="A1988" s="25" t="n">
        <v>41745</v>
      </c>
      <c r="B1988" s="22">
        <f>(1+B1987)*IF(AND(Painel_diario!$H1984="EU_JD",Painel_diario!$J1984=1),EXP(Painel_diario!$L1984),1)-1</f>
        <v/>
      </c>
      <c r="C1988" s="22">
        <f>(1+C1987)*IF(AND(Painel_diario!$H1984="EU_JU",Painel_diario!$J1984=1),EXP(Painel_diario!$L1984),1)-1</f>
        <v/>
      </c>
      <c r="D1988" s="22">
        <f>(1+D1987)*IF(AND(Painel_diario!$H1984="ED_JD",Painel_diario!$J1984=1),EXP(Painel_diario!$L1984),1)-1</f>
        <v/>
      </c>
      <c r="E1988" s="22">
        <f>(1+E1987)*IF(AND(Painel_diario!$H1984="ED_JU",Painel_diario!$J1984=1),EXP(Painel_diario!$L1984),1)-1</f>
        <v/>
      </c>
    </row>
    <row r="1989">
      <c r="A1989" s="25" t="n">
        <v>41746</v>
      </c>
      <c r="B1989" s="22">
        <f>(1+B1988)*IF(AND(Painel_diario!$H1985="EU_JD",Painel_diario!$J1985=1),EXP(Painel_diario!$L1985),1)-1</f>
        <v/>
      </c>
      <c r="C1989" s="22">
        <f>(1+C1988)*IF(AND(Painel_diario!$H1985="EU_JU",Painel_diario!$J1985=1),EXP(Painel_diario!$L1985),1)-1</f>
        <v/>
      </c>
      <c r="D1989" s="22">
        <f>(1+D1988)*IF(AND(Painel_diario!$H1985="ED_JD",Painel_diario!$J1985=1),EXP(Painel_diario!$L1985),1)-1</f>
        <v/>
      </c>
      <c r="E1989" s="22">
        <f>(1+E1988)*IF(AND(Painel_diario!$H1985="ED_JU",Painel_diario!$J1985=1),EXP(Painel_diario!$L1985),1)-1</f>
        <v/>
      </c>
    </row>
    <row r="1990">
      <c r="A1990" s="25" t="n">
        <v>41751</v>
      </c>
      <c r="B1990" s="22">
        <f>(1+B1989)*IF(AND(Painel_diario!$H1986="EU_JD",Painel_diario!$J1986=1),EXP(Painel_diario!$L1986),1)-1</f>
        <v/>
      </c>
      <c r="C1990" s="22">
        <f>(1+C1989)*IF(AND(Painel_diario!$H1986="EU_JU",Painel_diario!$J1986=1),EXP(Painel_diario!$L1986),1)-1</f>
        <v/>
      </c>
      <c r="D1990" s="22">
        <f>(1+D1989)*IF(AND(Painel_diario!$H1986="ED_JD",Painel_diario!$J1986=1),EXP(Painel_diario!$L1986),1)-1</f>
        <v/>
      </c>
      <c r="E1990" s="22">
        <f>(1+E1989)*IF(AND(Painel_diario!$H1986="ED_JU",Painel_diario!$J1986=1),EXP(Painel_diario!$L1986),1)-1</f>
        <v/>
      </c>
    </row>
    <row r="1991">
      <c r="A1991" s="25" t="n">
        <v>41752</v>
      </c>
      <c r="B1991" s="22">
        <f>(1+B1990)*IF(AND(Painel_diario!$H1987="EU_JD",Painel_diario!$J1987=1),EXP(Painel_diario!$L1987),1)-1</f>
        <v/>
      </c>
      <c r="C1991" s="22">
        <f>(1+C1990)*IF(AND(Painel_diario!$H1987="EU_JU",Painel_diario!$J1987=1),EXP(Painel_diario!$L1987),1)-1</f>
        <v/>
      </c>
      <c r="D1991" s="22">
        <f>(1+D1990)*IF(AND(Painel_diario!$H1987="ED_JD",Painel_diario!$J1987=1),EXP(Painel_diario!$L1987),1)-1</f>
        <v/>
      </c>
      <c r="E1991" s="22">
        <f>(1+E1990)*IF(AND(Painel_diario!$H1987="ED_JU",Painel_diario!$J1987=1),EXP(Painel_diario!$L1987),1)-1</f>
        <v/>
      </c>
    </row>
    <row r="1992">
      <c r="A1992" s="25" t="n">
        <v>41753</v>
      </c>
      <c r="B1992" s="22">
        <f>(1+B1991)*IF(AND(Painel_diario!$H1988="EU_JD",Painel_diario!$J1988=1),EXP(Painel_diario!$L1988),1)-1</f>
        <v/>
      </c>
      <c r="C1992" s="22">
        <f>(1+C1991)*IF(AND(Painel_diario!$H1988="EU_JU",Painel_diario!$J1988=1),EXP(Painel_diario!$L1988),1)-1</f>
        <v/>
      </c>
      <c r="D1992" s="22">
        <f>(1+D1991)*IF(AND(Painel_diario!$H1988="ED_JD",Painel_diario!$J1988=1),EXP(Painel_diario!$L1988),1)-1</f>
        <v/>
      </c>
      <c r="E1992" s="22">
        <f>(1+E1991)*IF(AND(Painel_diario!$H1988="ED_JU",Painel_diario!$J1988=1),EXP(Painel_diario!$L1988),1)-1</f>
        <v/>
      </c>
    </row>
    <row r="1993">
      <c r="A1993" s="25" t="n">
        <v>41754</v>
      </c>
      <c r="B1993" s="22">
        <f>(1+B1992)*IF(AND(Painel_diario!$H1989="EU_JD",Painel_diario!$J1989=1),EXP(Painel_diario!$L1989),1)-1</f>
        <v/>
      </c>
      <c r="C1993" s="22">
        <f>(1+C1992)*IF(AND(Painel_diario!$H1989="EU_JU",Painel_diario!$J1989=1),EXP(Painel_diario!$L1989),1)-1</f>
        <v/>
      </c>
      <c r="D1993" s="22">
        <f>(1+D1992)*IF(AND(Painel_diario!$H1989="ED_JD",Painel_diario!$J1989=1),EXP(Painel_diario!$L1989),1)-1</f>
        <v/>
      </c>
      <c r="E1993" s="22">
        <f>(1+E1992)*IF(AND(Painel_diario!$H1989="ED_JU",Painel_diario!$J1989=1),EXP(Painel_diario!$L1989),1)-1</f>
        <v/>
      </c>
    </row>
    <row r="1994">
      <c r="A1994" s="25" t="n">
        <v>41757</v>
      </c>
      <c r="B1994" s="22">
        <f>(1+B1993)*IF(AND(Painel_diario!$H1990="EU_JD",Painel_diario!$J1990=1),EXP(Painel_diario!$L1990),1)-1</f>
        <v/>
      </c>
      <c r="C1994" s="22">
        <f>(1+C1993)*IF(AND(Painel_diario!$H1990="EU_JU",Painel_diario!$J1990=1),EXP(Painel_diario!$L1990),1)-1</f>
        <v/>
      </c>
      <c r="D1994" s="22">
        <f>(1+D1993)*IF(AND(Painel_diario!$H1990="ED_JD",Painel_diario!$J1990=1),EXP(Painel_diario!$L1990),1)-1</f>
        <v/>
      </c>
      <c r="E1994" s="22">
        <f>(1+E1993)*IF(AND(Painel_diario!$H1990="ED_JU",Painel_diario!$J1990=1),EXP(Painel_diario!$L1990),1)-1</f>
        <v/>
      </c>
    </row>
    <row r="1995">
      <c r="A1995" s="25" t="n">
        <v>41758</v>
      </c>
      <c r="B1995" s="22">
        <f>(1+B1994)*IF(AND(Painel_diario!$H1991="EU_JD",Painel_diario!$J1991=1),EXP(Painel_diario!$L1991),1)-1</f>
        <v/>
      </c>
      <c r="C1995" s="22">
        <f>(1+C1994)*IF(AND(Painel_diario!$H1991="EU_JU",Painel_diario!$J1991=1),EXP(Painel_diario!$L1991),1)-1</f>
        <v/>
      </c>
      <c r="D1995" s="22">
        <f>(1+D1994)*IF(AND(Painel_diario!$H1991="ED_JD",Painel_diario!$J1991=1),EXP(Painel_diario!$L1991),1)-1</f>
        <v/>
      </c>
      <c r="E1995" s="22">
        <f>(1+E1994)*IF(AND(Painel_diario!$H1991="ED_JU",Painel_diario!$J1991=1),EXP(Painel_diario!$L1991),1)-1</f>
        <v/>
      </c>
    </row>
    <row r="1996">
      <c r="A1996" s="25" t="n">
        <v>41759</v>
      </c>
      <c r="B1996" s="22">
        <f>(1+B1995)*IF(AND(Painel_diario!$H1992="EU_JD",Painel_diario!$J1992=1),EXP(Painel_diario!$L1992),1)-1</f>
        <v/>
      </c>
      <c r="C1996" s="22">
        <f>(1+C1995)*IF(AND(Painel_diario!$H1992="EU_JU",Painel_diario!$J1992=1),EXP(Painel_diario!$L1992),1)-1</f>
        <v/>
      </c>
      <c r="D1996" s="22">
        <f>(1+D1995)*IF(AND(Painel_diario!$H1992="ED_JD",Painel_diario!$J1992=1),EXP(Painel_diario!$L1992),1)-1</f>
        <v/>
      </c>
      <c r="E1996" s="22">
        <f>(1+E1995)*IF(AND(Painel_diario!$H1992="ED_JU",Painel_diario!$J1992=1),EXP(Painel_diario!$L1992),1)-1</f>
        <v/>
      </c>
    </row>
    <row r="1997">
      <c r="A1997" s="25" t="n">
        <v>41761</v>
      </c>
      <c r="B1997" s="22">
        <f>(1+B1996)*IF(AND(Painel_diario!$H1993="EU_JD",Painel_diario!$J1993=1),EXP(Painel_diario!$L1993),1)-1</f>
        <v/>
      </c>
      <c r="C1997" s="22">
        <f>(1+C1996)*IF(AND(Painel_diario!$H1993="EU_JU",Painel_diario!$J1993=1),EXP(Painel_diario!$L1993),1)-1</f>
        <v/>
      </c>
      <c r="D1997" s="22">
        <f>(1+D1996)*IF(AND(Painel_diario!$H1993="ED_JD",Painel_diario!$J1993=1),EXP(Painel_diario!$L1993),1)-1</f>
        <v/>
      </c>
      <c r="E1997" s="22">
        <f>(1+E1996)*IF(AND(Painel_diario!$H1993="ED_JU",Painel_diario!$J1993=1),EXP(Painel_diario!$L1993),1)-1</f>
        <v/>
      </c>
    </row>
    <row r="1998">
      <c r="A1998" s="25" t="n">
        <v>41764</v>
      </c>
      <c r="B1998" s="22">
        <f>(1+B1997)*IF(AND(Painel_diario!$H1994="EU_JD",Painel_diario!$J1994=1),EXP(Painel_diario!$L1994),1)-1</f>
        <v/>
      </c>
      <c r="C1998" s="22">
        <f>(1+C1997)*IF(AND(Painel_diario!$H1994="EU_JU",Painel_diario!$J1994=1),EXP(Painel_diario!$L1994),1)-1</f>
        <v/>
      </c>
      <c r="D1998" s="22">
        <f>(1+D1997)*IF(AND(Painel_diario!$H1994="ED_JD",Painel_diario!$J1994=1),EXP(Painel_diario!$L1994),1)-1</f>
        <v/>
      </c>
      <c r="E1998" s="22">
        <f>(1+E1997)*IF(AND(Painel_diario!$H1994="ED_JU",Painel_diario!$J1994=1),EXP(Painel_diario!$L1994),1)-1</f>
        <v/>
      </c>
    </row>
    <row r="1999">
      <c r="A1999" s="25" t="n">
        <v>41765</v>
      </c>
      <c r="B1999" s="22">
        <f>(1+B1998)*IF(AND(Painel_diario!$H1995="EU_JD",Painel_diario!$J1995=1),EXP(Painel_diario!$L1995),1)-1</f>
        <v/>
      </c>
      <c r="C1999" s="22">
        <f>(1+C1998)*IF(AND(Painel_diario!$H1995="EU_JU",Painel_diario!$J1995=1),EXP(Painel_diario!$L1995),1)-1</f>
        <v/>
      </c>
      <c r="D1999" s="22">
        <f>(1+D1998)*IF(AND(Painel_diario!$H1995="ED_JD",Painel_diario!$J1995=1),EXP(Painel_diario!$L1995),1)-1</f>
        <v/>
      </c>
      <c r="E1999" s="22">
        <f>(1+E1998)*IF(AND(Painel_diario!$H1995="ED_JU",Painel_diario!$J1995=1),EXP(Painel_diario!$L1995),1)-1</f>
        <v/>
      </c>
    </row>
    <row r="2000">
      <c r="A2000" s="25" t="n">
        <v>41766</v>
      </c>
      <c r="B2000" s="22">
        <f>(1+B1999)*IF(AND(Painel_diario!$H1996="EU_JD",Painel_diario!$J1996=1),EXP(Painel_diario!$L1996),1)-1</f>
        <v/>
      </c>
      <c r="C2000" s="22">
        <f>(1+C1999)*IF(AND(Painel_diario!$H1996="EU_JU",Painel_diario!$J1996=1),EXP(Painel_diario!$L1996),1)-1</f>
        <v/>
      </c>
      <c r="D2000" s="22">
        <f>(1+D1999)*IF(AND(Painel_diario!$H1996="ED_JD",Painel_diario!$J1996=1),EXP(Painel_diario!$L1996),1)-1</f>
        <v/>
      </c>
      <c r="E2000" s="22">
        <f>(1+E1999)*IF(AND(Painel_diario!$H1996="ED_JU",Painel_diario!$J1996=1),EXP(Painel_diario!$L1996),1)-1</f>
        <v/>
      </c>
    </row>
    <row r="2001">
      <c r="A2001" s="25" t="n">
        <v>41767</v>
      </c>
      <c r="B2001" s="22">
        <f>(1+B2000)*IF(AND(Painel_diario!$H1997="EU_JD",Painel_diario!$J1997=1),EXP(Painel_diario!$L1997),1)-1</f>
        <v/>
      </c>
      <c r="C2001" s="22">
        <f>(1+C2000)*IF(AND(Painel_diario!$H1997="EU_JU",Painel_diario!$J1997=1),EXP(Painel_diario!$L1997),1)-1</f>
        <v/>
      </c>
      <c r="D2001" s="22">
        <f>(1+D2000)*IF(AND(Painel_diario!$H1997="ED_JD",Painel_diario!$J1997=1),EXP(Painel_diario!$L1997),1)-1</f>
        <v/>
      </c>
      <c r="E2001" s="22">
        <f>(1+E2000)*IF(AND(Painel_diario!$H1997="ED_JU",Painel_diario!$J1997=1),EXP(Painel_diario!$L1997),1)-1</f>
        <v/>
      </c>
    </row>
    <row r="2002">
      <c r="A2002" s="25" t="n">
        <v>41768</v>
      </c>
      <c r="B2002" s="22">
        <f>(1+B2001)*IF(AND(Painel_diario!$H1998="EU_JD",Painel_diario!$J1998=1),EXP(Painel_diario!$L1998),1)-1</f>
        <v/>
      </c>
      <c r="C2002" s="22">
        <f>(1+C2001)*IF(AND(Painel_diario!$H1998="EU_JU",Painel_diario!$J1998=1),EXP(Painel_diario!$L1998),1)-1</f>
        <v/>
      </c>
      <c r="D2002" s="22">
        <f>(1+D2001)*IF(AND(Painel_diario!$H1998="ED_JD",Painel_diario!$J1998=1),EXP(Painel_diario!$L1998),1)-1</f>
        <v/>
      </c>
      <c r="E2002" s="22">
        <f>(1+E2001)*IF(AND(Painel_diario!$H1998="ED_JU",Painel_diario!$J1998=1),EXP(Painel_diario!$L1998),1)-1</f>
        <v/>
      </c>
    </row>
    <row r="2003">
      <c r="A2003" s="25" t="n">
        <v>41771</v>
      </c>
      <c r="B2003" s="22">
        <f>(1+B2002)*IF(AND(Painel_diario!$H1999="EU_JD",Painel_diario!$J1999=1),EXP(Painel_diario!$L1999),1)-1</f>
        <v/>
      </c>
      <c r="C2003" s="22">
        <f>(1+C2002)*IF(AND(Painel_diario!$H1999="EU_JU",Painel_diario!$J1999=1),EXP(Painel_diario!$L1999),1)-1</f>
        <v/>
      </c>
      <c r="D2003" s="22">
        <f>(1+D2002)*IF(AND(Painel_diario!$H1999="ED_JD",Painel_diario!$J1999=1),EXP(Painel_diario!$L1999),1)-1</f>
        <v/>
      </c>
      <c r="E2003" s="22">
        <f>(1+E2002)*IF(AND(Painel_diario!$H1999="ED_JU",Painel_diario!$J1999=1),EXP(Painel_diario!$L1999),1)-1</f>
        <v/>
      </c>
    </row>
    <row r="2004">
      <c r="A2004" s="25" t="n">
        <v>41772</v>
      </c>
      <c r="B2004" s="22">
        <f>(1+B2003)*IF(AND(Painel_diario!$H2000="EU_JD",Painel_diario!$J2000=1),EXP(Painel_diario!$L2000),1)-1</f>
        <v/>
      </c>
      <c r="C2004" s="22">
        <f>(1+C2003)*IF(AND(Painel_diario!$H2000="EU_JU",Painel_diario!$J2000=1),EXP(Painel_diario!$L2000),1)-1</f>
        <v/>
      </c>
      <c r="D2004" s="22">
        <f>(1+D2003)*IF(AND(Painel_diario!$H2000="ED_JD",Painel_diario!$J2000=1),EXP(Painel_diario!$L2000),1)-1</f>
        <v/>
      </c>
      <c r="E2004" s="22">
        <f>(1+E2003)*IF(AND(Painel_diario!$H2000="ED_JU",Painel_diario!$J2000=1),EXP(Painel_diario!$L2000),1)-1</f>
        <v/>
      </c>
    </row>
    <row r="2005">
      <c r="A2005" s="25" t="n">
        <v>41773</v>
      </c>
      <c r="B2005" s="22">
        <f>(1+B2004)*IF(AND(Painel_diario!$H2001="EU_JD",Painel_diario!$J2001=1),EXP(Painel_diario!$L2001),1)-1</f>
        <v/>
      </c>
      <c r="C2005" s="22">
        <f>(1+C2004)*IF(AND(Painel_diario!$H2001="EU_JU",Painel_diario!$J2001=1),EXP(Painel_diario!$L2001),1)-1</f>
        <v/>
      </c>
      <c r="D2005" s="22">
        <f>(1+D2004)*IF(AND(Painel_diario!$H2001="ED_JD",Painel_diario!$J2001=1),EXP(Painel_diario!$L2001),1)-1</f>
        <v/>
      </c>
      <c r="E2005" s="22">
        <f>(1+E2004)*IF(AND(Painel_diario!$H2001="ED_JU",Painel_diario!$J2001=1),EXP(Painel_diario!$L2001),1)-1</f>
        <v/>
      </c>
    </row>
    <row r="2006">
      <c r="A2006" s="25" t="n">
        <v>41774</v>
      </c>
      <c r="B2006" s="22">
        <f>(1+B2005)*IF(AND(Painel_diario!$H2002="EU_JD",Painel_diario!$J2002=1),EXP(Painel_diario!$L2002),1)-1</f>
        <v/>
      </c>
      <c r="C2006" s="22">
        <f>(1+C2005)*IF(AND(Painel_diario!$H2002="EU_JU",Painel_diario!$J2002=1),EXP(Painel_diario!$L2002),1)-1</f>
        <v/>
      </c>
      <c r="D2006" s="22">
        <f>(1+D2005)*IF(AND(Painel_diario!$H2002="ED_JD",Painel_diario!$J2002=1),EXP(Painel_diario!$L2002),1)-1</f>
        <v/>
      </c>
      <c r="E2006" s="22">
        <f>(1+E2005)*IF(AND(Painel_diario!$H2002="ED_JU",Painel_diario!$J2002=1),EXP(Painel_diario!$L2002),1)-1</f>
        <v/>
      </c>
    </row>
    <row r="2007">
      <c r="A2007" s="25" t="n">
        <v>41775</v>
      </c>
      <c r="B2007" s="22">
        <f>(1+B2006)*IF(AND(Painel_diario!$H2003="EU_JD",Painel_diario!$J2003=1),EXP(Painel_diario!$L2003),1)-1</f>
        <v/>
      </c>
      <c r="C2007" s="22">
        <f>(1+C2006)*IF(AND(Painel_diario!$H2003="EU_JU",Painel_diario!$J2003=1),EXP(Painel_diario!$L2003),1)-1</f>
        <v/>
      </c>
      <c r="D2007" s="22">
        <f>(1+D2006)*IF(AND(Painel_diario!$H2003="ED_JD",Painel_diario!$J2003=1),EXP(Painel_diario!$L2003),1)-1</f>
        <v/>
      </c>
      <c r="E2007" s="22">
        <f>(1+E2006)*IF(AND(Painel_diario!$H2003="ED_JU",Painel_diario!$J2003=1),EXP(Painel_diario!$L2003),1)-1</f>
        <v/>
      </c>
    </row>
    <row r="2008">
      <c r="A2008" s="25" t="n">
        <v>41778</v>
      </c>
      <c r="B2008" s="22">
        <f>(1+B2007)*IF(AND(Painel_diario!$H2004="EU_JD",Painel_diario!$J2004=1),EXP(Painel_diario!$L2004),1)-1</f>
        <v/>
      </c>
      <c r="C2008" s="22">
        <f>(1+C2007)*IF(AND(Painel_diario!$H2004="EU_JU",Painel_diario!$J2004=1),EXP(Painel_diario!$L2004),1)-1</f>
        <v/>
      </c>
      <c r="D2008" s="22">
        <f>(1+D2007)*IF(AND(Painel_diario!$H2004="ED_JD",Painel_diario!$J2004=1),EXP(Painel_diario!$L2004),1)-1</f>
        <v/>
      </c>
      <c r="E2008" s="22">
        <f>(1+E2007)*IF(AND(Painel_diario!$H2004="ED_JU",Painel_diario!$J2004=1),EXP(Painel_diario!$L2004),1)-1</f>
        <v/>
      </c>
    </row>
    <row r="2009">
      <c r="A2009" s="25" t="n">
        <v>41779</v>
      </c>
      <c r="B2009" s="22">
        <f>(1+B2008)*IF(AND(Painel_diario!$H2005="EU_JD",Painel_diario!$J2005=1),EXP(Painel_diario!$L2005),1)-1</f>
        <v/>
      </c>
      <c r="C2009" s="22">
        <f>(1+C2008)*IF(AND(Painel_diario!$H2005="EU_JU",Painel_diario!$J2005=1),EXP(Painel_diario!$L2005),1)-1</f>
        <v/>
      </c>
      <c r="D2009" s="22">
        <f>(1+D2008)*IF(AND(Painel_diario!$H2005="ED_JD",Painel_diario!$J2005=1),EXP(Painel_diario!$L2005),1)-1</f>
        <v/>
      </c>
      <c r="E2009" s="22">
        <f>(1+E2008)*IF(AND(Painel_diario!$H2005="ED_JU",Painel_diario!$J2005=1),EXP(Painel_diario!$L2005),1)-1</f>
        <v/>
      </c>
    </row>
    <row r="2010">
      <c r="A2010" s="25" t="n">
        <v>41780</v>
      </c>
      <c r="B2010" s="22">
        <f>(1+B2009)*IF(AND(Painel_diario!$H2006="EU_JD",Painel_diario!$J2006=1),EXP(Painel_diario!$L2006),1)-1</f>
        <v/>
      </c>
      <c r="C2010" s="22">
        <f>(1+C2009)*IF(AND(Painel_diario!$H2006="EU_JU",Painel_diario!$J2006=1),EXP(Painel_diario!$L2006),1)-1</f>
        <v/>
      </c>
      <c r="D2010" s="22">
        <f>(1+D2009)*IF(AND(Painel_diario!$H2006="ED_JD",Painel_diario!$J2006=1),EXP(Painel_diario!$L2006),1)-1</f>
        <v/>
      </c>
      <c r="E2010" s="22">
        <f>(1+E2009)*IF(AND(Painel_diario!$H2006="ED_JU",Painel_diario!$J2006=1),EXP(Painel_diario!$L2006),1)-1</f>
        <v/>
      </c>
    </row>
    <row r="2011">
      <c r="A2011" s="25" t="n">
        <v>41781</v>
      </c>
      <c r="B2011" s="22">
        <f>(1+B2010)*IF(AND(Painel_diario!$H2007="EU_JD",Painel_diario!$J2007=1),EXP(Painel_diario!$L2007),1)-1</f>
        <v/>
      </c>
      <c r="C2011" s="22">
        <f>(1+C2010)*IF(AND(Painel_diario!$H2007="EU_JU",Painel_diario!$J2007=1),EXP(Painel_diario!$L2007),1)-1</f>
        <v/>
      </c>
      <c r="D2011" s="22">
        <f>(1+D2010)*IF(AND(Painel_diario!$H2007="ED_JD",Painel_diario!$J2007=1),EXP(Painel_diario!$L2007),1)-1</f>
        <v/>
      </c>
      <c r="E2011" s="22">
        <f>(1+E2010)*IF(AND(Painel_diario!$H2007="ED_JU",Painel_diario!$J2007=1),EXP(Painel_diario!$L2007),1)-1</f>
        <v/>
      </c>
    </row>
    <row r="2012">
      <c r="A2012" s="25" t="n">
        <v>41782</v>
      </c>
      <c r="B2012" s="22">
        <f>(1+B2011)*IF(AND(Painel_diario!$H2008="EU_JD",Painel_diario!$J2008=1),EXP(Painel_diario!$L2008),1)-1</f>
        <v/>
      </c>
      <c r="C2012" s="22">
        <f>(1+C2011)*IF(AND(Painel_diario!$H2008="EU_JU",Painel_diario!$J2008=1),EXP(Painel_diario!$L2008),1)-1</f>
        <v/>
      </c>
      <c r="D2012" s="22">
        <f>(1+D2011)*IF(AND(Painel_diario!$H2008="ED_JD",Painel_diario!$J2008=1),EXP(Painel_diario!$L2008),1)-1</f>
        <v/>
      </c>
      <c r="E2012" s="22">
        <f>(1+E2011)*IF(AND(Painel_diario!$H2008="ED_JU",Painel_diario!$J2008=1),EXP(Painel_diario!$L2008),1)-1</f>
        <v/>
      </c>
    </row>
    <row r="2013">
      <c r="A2013" s="25" t="n">
        <v>41785</v>
      </c>
      <c r="B2013" s="22">
        <f>(1+B2012)*IF(AND(Painel_diario!$H2009="EU_JD",Painel_diario!$J2009=1),EXP(Painel_diario!$L2009),1)-1</f>
        <v/>
      </c>
      <c r="C2013" s="22">
        <f>(1+C2012)*IF(AND(Painel_diario!$H2009="EU_JU",Painel_diario!$J2009=1),EXP(Painel_diario!$L2009),1)-1</f>
        <v/>
      </c>
      <c r="D2013" s="22">
        <f>(1+D2012)*IF(AND(Painel_diario!$H2009="ED_JD",Painel_diario!$J2009=1),EXP(Painel_diario!$L2009),1)-1</f>
        <v/>
      </c>
      <c r="E2013" s="22">
        <f>(1+E2012)*IF(AND(Painel_diario!$H2009="ED_JU",Painel_diario!$J2009=1),EXP(Painel_diario!$L2009),1)-1</f>
        <v/>
      </c>
    </row>
    <row r="2014">
      <c r="A2014" s="25" t="n">
        <v>41786</v>
      </c>
      <c r="B2014" s="22">
        <f>(1+B2013)*IF(AND(Painel_diario!$H2010="EU_JD",Painel_diario!$J2010=1),EXP(Painel_diario!$L2010),1)-1</f>
        <v/>
      </c>
      <c r="C2014" s="22">
        <f>(1+C2013)*IF(AND(Painel_diario!$H2010="EU_JU",Painel_diario!$J2010=1),EXP(Painel_diario!$L2010),1)-1</f>
        <v/>
      </c>
      <c r="D2014" s="22">
        <f>(1+D2013)*IF(AND(Painel_diario!$H2010="ED_JD",Painel_diario!$J2010=1),EXP(Painel_diario!$L2010),1)-1</f>
        <v/>
      </c>
      <c r="E2014" s="22">
        <f>(1+E2013)*IF(AND(Painel_diario!$H2010="ED_JU",Painel_diario!$J2010=1),EXP(Painel_diario!$L2010),1)-1</f>
        <v/>
      </c>
    </row>
    <row r="2015">
      <c r="A2015" s="25" t="n">
        <v>41787</v>
      </c>
      <c r="B2015" s="22">
        <f>(1+B2014)*IF(AND(Painel_diario!$H2011="EU_JD",Painel_diario!$J2011=1),EXP(Painel_diario!$L2011),1)-1</f>
        <v/>
      </c>
      <c r="C2015" s="22">
        <f>(1+C2014)*IF(AND(Painel_diario!$H2011="EU_JU",Painel_diario!$J2011=1),EXP(Painel_diario!$L2011),1)-1</f>
        <v/>
      </c>
      <c r="D2015" s="22">
        <f>(1+D2014)*IF(AND(Painel_diario!$H2011="ED_JD",Painel_diario!$J2011=1),EXP(Painel_diario!$L2011),1)-1</f>
        <v/>
      </c>
      <c r="E2015" s="22">
        <f>(1+E2014)*IF(AND(Painel_diario!$H2011="ED_JU",Painel_diario!$J2011=1),EXP(Painel_diario!$L2011),1)-1</f>
        <v/>
      </c>
    </row>
    <row r="2016">
      <c r="A2016" s="25" t="n">
        <v>41788</v>
      </c>
      <c r="B2016" s="22">
        <f>(1+B2015)*IF(AND(Painel_diario!$H2012="EU_JD",Painel_diario!$J2012=1),EXP(Painel_diario!$L2012),1)-1</f>
        <v/>
      </c>
      <c r="C2016" s="22">
        <f>(1+C2015)*IF(AND(Painel_diario!$H2012="EU_JU",Painel_diario!$J2012=1),EXP(Painel_diario!$L2012),1)-1</f>
        <v/>
      </c>
      <c r="D2016" s="22">
        <f>(1+D2015)*IF(AND(Painel_diario!$H2012="ED_JD",Painel_diario!$J2012=1),EXP(Painel_diario!$L2012),1)-1</f>
        <v/>
      </c>
      <c r="E2016" s="22">
        <f>(1+E2015)*IF(AND(Painel_diario!$H2012="ED_JU",Painel_diario!$J2012=1),EXP(Painel_diario!$L2012),1)-1</f>
        <v/>
      </c>
    </row>
    <row r="2017">
      <c r="A2017" s="25" t="n">
        <v>41789</v>
      </c>
      <c r="B2017" s="22">
        <f>(1+B2016)*IF(AND(Painel_diario!$H2013="EU_JD",Painel_diario!$J2013=1),EXP(Painel_diario!$L2013),1)-1</f>
        <v/>
      </c>
      <c r="C2017" s="22">
        <f>(1+C2016)*IF(AND(Painel_diario!$H2013="EU_JU",Painel_diario!$J2013=1),EXP(Painel_diario!$L2013),1)-1</f>
        <v/>
      </c>
      <c r="D2017" s="22">
        <f>(1+D2016)*IF(AND(Painel_diario!$H2013="ED_JD",Painel_diario!$J2013=1),EXP(Painel_diario!$L2013),1)-1</f>
        <v/>
      </c>
      <c r="E2017" s="22">
        <f>(1+E2016)*IF(AND(Painel_diario!$H2013="ED_JU",Painel_diario!$J2013=1),EXP(Painel_diario!$L2013),1)-1</f>
        <v/>
      </c>
    </row>
    <row r="2018">
      <c r="A2018" s="25" t="n">
        <v>41792</v>
      </c>
      <c r="B2018" s="22">
        <f>(1+B2017)*IF(AND(Painel_diario!$H2014="EU_JD",Painel_diario!$J2014=1),EXP(Painel_diario!$L2014),1)-1</f>
        <v/>
      </c>
      <c r="C2018" s="22">
        <f>(1+C2017)*IF(AND(Painel_diario!$H2014="EU_JU",Painel_diario!$J2014=1),EXP(Painel_diario!$L2014),1)-1</f>
        <v/>
      </c>
      <c r="D2018" s="22">
        <f>(1+D2017)*IF(AND(Painel_diario!$H2014="ED_JD",Painel_diario!$J2014=1),EXP(Painel_diario!$L2014),1)-1</f>
        <v/>
      </c>
      <c r="E2018" s="22">
        <f>(1+E2017)*IF(AND(Painel_diario!$H2014="ED_JU",Painel_diario!$J2014=1),EXP(Painel_diario!$L2014),1)-1</f>
        <v/>
      </c>
    </row>
    <row r="2019">
      <c r="A2019" s="25" t="n">
        <v>41793</v>
      </c>
      <c r="B2019" s="22">
        <f>(1+B2018)*IF(AND(Painel_diario!$H2015="EU_JD",Painel_diario!$J2015=1),EXP(Painel_diario!$L2015),1)-1</f>
        <v/>
      </c>
      <c r="C2019" s="22">
        <f>(1+C2018)*IF(AND(Painel_diario!$H2015="EU_JU",Painel_diario!$J2015=1),EXP(Painel_diario!$L2015),1)-1</f>
        <v/>
      </c>
      <c r="D2019" s="22">
        <f>(1+D2018)*IF(AND(Painel_diario!$H2015="ED_JD",Painel_diario!$J2015=1),EXP(Painel_diario!$L2015),1)-1</f>
        <v/>
      </c>
      <c r="E2019" s="22">
        <f>(1+E2018)*IF(AND(Painel_diario!$H2015="ED_JU",Painel_diario!$J2015=1),EXP(Painel_diario!$L2015),1)-1</f>
        <v/>
      </c>
    </row>
    <row r="2020">
      <c r="A2020" s="25" t="n">
        <v>41794</v>
      </c>
      <c r="B2020" s="22">
        <f>(1+B2019)*IF(AND(Painel_diario!$H2016="EU_JD",Painel_diario!$J2016=1),EXP(Painel_diario!$L2016),1)-1</f>
        <v/>
      </c>
      <c r="C2020" s="22">
        <f>(1+C2019)*IF(AND(Painel_diario!$H2016="EU_JU",Painel_diario!$J2016=1),EXP(Painel_diario!$L2016),1)-1</f>
        <v/>
      </c>
      <c r="D2020" s="22">
        <f>(1+D2019)*IF(AND(Painel_diario!$H2016="ED_JD",Painel_diario!$J2016=1),EXP(Painel_diario!$L2016),1)-1</f>
        <v/>
      </c>
      <c r="E2020" s="22">
        <f>(1+E2019)*IF(AND(Painel_diario!$H2016="ED_JU",Painel_diario!$J2016=1),EXP(Painel_diario!$L2016),1)-1</f>
        <v/>
      </c>
    </row>
    <row r="2021">
      <c r="A2021" s="25" t="n">
        <v>41795</v>
      </c>
      <c r="B2021" s="22">
        <f>(1+B2020)*IF(AND(Painel_diario!$H2017="EU_JD",Painel_diario!$J2017=1),EXP(Painel_diario!$L2017),1)-1</f>
        <v/>
      </c>
      <c r="C2021" s="22">
        <f>(1+C2020)*IF(AND(Painel_diario!$H2017="EU_JU",Painel_diario!$J2017=1),EXP(Painel_diario!$L2017),1)-1</f>
        <v/>
      </c>
      <c r="D2021" s="22">
        <f>(1+D2020)*IF(AND(Painel_diario!$H2017="ED_JD",Painel_diario!$J2017=1),EXP(Painel_diario!$L2017),1)-1</f>
        <v/>
      </c>
      <c r="E2021" s="22">
        <f>(1+E2020)*IF(AND(Painel_diario!$H2017="ED_JU",Painel_diario!$J2017=1),EXP(Painel_diario!$L2017),1)-1</f>
        <v/>
      </c>
    </row>
    <row r="2022">
      <c r="A2022" s="25" t="n">
        <v>41796</v>
      </c>
      <c r="B2022" s="22">
        <f>(1+B2021)*IF(AND(Painel_diario!$H2018="EU_JD",Painel_diario!$J2018=1),EXP(Painel_diario!$L2018),1)-1</f>
        <v/>
      </c>
      <c r="C2022" s="22">
        <f>(1+C2021)*IF(AND(Painel_diario!$H2018="EU_JU",Painel_diario!$J2018=1),EXP(Painel_diario!$L2018),1)-1</f>
        <v/>
      </c>
      <c r="D2022" s="22">
        <f>(1+D2021)*IF(AND(Painel_diario!$H2018="ED_JD",Painel_diario!$J2018=1),EXP(Painel_diario!$L2018),1)-1</f>
        <v/>
      </c>
      <c r="E2022" s="22">
        <f>(1+E2021)*IF(AND(Painel_diario!$H2018="ED_JU",Painel_diario!$J2018=1),EXP(Painel_diario!$L2018),1)-1</f>
        <v/>
      </c>
    </row>
    <row r="2023">
      <c r="A2023" s="25" t="n">
        <v>41799</v>
      </c>
      <c r="B2023" s="22">
        <f>(1+B2022)*IF(AND(Painel_diario!$H2019="EU_JD",Painel_diario!$J2019=1),EXP(Painel_diario!$L2019),1)-1</f>
        <v/>
      </c>
      <c r="C2023" s="22">
        <f>(1+C2022)*IF(AND(Painel_diario!$H2019="EU_JU",Painel_diario!$J2019=1),EXP(Painel_diario!$L2019),1)-1</f>
        <v/>
      </c>
      <c r="D2023" s="22">
        <f>(1+D2022)*IF(AND(Painel_diario!$H2019="ED_JD",Painel_diario!$J2019=1),EXP(Painel_diario!$L2019),1)-1</f>
        <v/>
      </c>
      <c r="E2023" s="22">
        <f>(1+E2022)*IF(AND(Painel_diario!$H2019="ED_JU",Painel_diario!$J2019=1),EXP(Painel_diario!$L2019),1)-1</f>
        <v/>
      </c>
    </row>
    <row r="2024">
      <c r="A2024" s="25" t="n">
        <v>41800</v>
      </c>
      <c r="B2024" s="22">
        <f>(1+B2023)*IF(AND(Painel_diario!$H2020="EU_JD",Painel_diario!$J2020=1),EXP(Painel_diario!$L2020),1)-1</f>
        <v/>
      </c>
      <c r="C2024" s="22">
        <f>(1+C2023)*IF(AND(Painel_diario!$H2020="EU_JU",Painel_diario!$J2020=1),EXP(Painel_diario!$L2020),1)-1</f>
        <v/>
      </c>
      <c r="D2024" s="22">
        <f>(1+D2023)*IF(AND(Painel_diario!$H2020="ED_JD",Painel_diario!$J2020=1),EXP(Painel_diario!$L2020),1)-1</f>
        <v/>
      </c>
      <c r="E2024" s="22">
        <f>(1+E2023)*IF(AND(Painel_diario!$H2020="ED_JU",Painel_diario!$J2020=1),EXP(Painel_diario!$L2020),1)-1</f>
        <v/>
      </c>
    </row>
    <row r="2025">
      <c r="A2025" s="25" t="n">
        <v>41801</v>
      </c>
      <c r="B2025" s="22">
        <f>(1+B2024)*IF(AND(Painel_diario!$H2021="EU_JD",Painel_diario!$J2021=1),EXP(Painel_diario!$L2021),1)-1</f>
        <v/>
      </c>
      <c r="C2025" s="22">
        <f>(1+C2024)*IF(AND(Painel_diario!$H2021="EU_JU",Painel_diario!$J2021=1),EXP(Painel_diario!$L2021),1)-1</f>
        <v/>
      </c>
      <c r="D2025" s="22">
        <f>(1+D2024)*IF(AND(Painel_diario!$H2021="ED_JD",Painel_diario!$J2021=1),EXP(Painel_diario!$L2021),1)-1</f>
        <v/>
      </c>
      <c r="E2025" s="22">
        <f>(1+E2024)*IF(AND(Painel_diario!$H2021="ED_JU",Painel_diario!$J2021=1),EXP(Painel_diario!$L2021),1)-1</f>
        <v/>
      </c>
    </row>
    <row r="2026">
      <c r="A2026" s="25" t="n">
        <v>41803</v>
      </c>
      <c r="B2026" s="22">
        <f>(1+B2025)*IF(AND(Painel_diario!$H2022="EU_JD",Painel_diario!$J2022=1),EXP(Painel_diario!$L2022),1)-1</f>
        <v/>
      </c>
      <c r="C2026" s="22">
        <f>(1+C2025)*IF(AND(Painel_diario!$H2022="EU_JU",Painel_diario!$J2022=1),EXP(Painel_diario!$L2022),1)-1</f>
        <v/>
      </c>
      <c r="D2026" s="22">
        <f>(1+D2025)*IF(AND(Painel_diario!$H2022="ED_JD",Painel_diario!$J2022=1),EXP(Painel_diario!$L2022),1)-1</f>
        <v/>
      </c>
      <c r="E2026" s="22">
        <f>(1+E2025)*IF(AND(Painel_diario!$H2022="ED_JU",Painel_diario!$J2022=1),EXP(Painel_diario!$L2022),1)-1</f>
        <v/>
      </c>
    </row>
    <row r="2027">
      <c r="A2027" s="25" t="n">
        <v>41806</v>
      </c>
      <c r="B2027" s="22">
        <f>(1+B2026)*IF(AND(Painel_diario!$H2023="EU_JD",Painel_diario!$J2023=1),EXP(Painel_diario!$L2023),1)-1</f>
        <v/>
      </c>
      <c r="C2027" s="22">
        <f>(1+C2026)*IF(AND(Painel_diario!$H2023="EU_JU",Painel_diario!$J2023=1),EXP(Painel_diario!$L2023),1)-1</f>
        <v/>
      </c>
      <c r="D2027" s="22">
        <f>(1+D2026)*IF(AND(Painel_diario!$H2023="ED_JD",Painel_diario!$J2023=1),EXP(Painel_diario!$L2023),1)-1</f>
        <v/>
      </c>
      <c r="E2027" s="22">
        <f>(1+E2026)*IF(AND(Painel_diario!$H2023="ED_JU",Painel_diario!$J2023=1),EXP(Painel_diario!$L2023),1)-1</f>
        <v/>
      </c>
    </row>
    <row r="2028">
      <c r="A2028" s="25" t="n">
        <v>41807</v>
      </c>
      <c r="B2028" s="22">
        <f>(1+B2027)*IF(AND(Painel_diario!$H2024="EU_JD",Painel_diario!$J2024=1),EXP(Painel_diario!$L2024),1)-1</f>
        <v/>
      </c>
      <c r="C2028" s="22">
        <f>(1+C2027)*IF(AND(Painel_diario!$H2024="EU_JU",Painel_diario!$J2024=1),EXP(Painel_diario!$L2024),1)-1</f>
        <v/>
      </c>
      <c r="D2028" s="22">
        <f>(1+D2027)*IF(AND(Painel_diario!$H2024="ED_JD",Painel_diario!$J2024=1),EXP(Painel_diario!$L2024),1)-1</f>
        <v/>
      </c>
      <c r="E2028" s="22">
        <f>(1+E2027)*IF(AND(Painel_diario!$H2024="ED_JU",Painel_diario!$J2024=1),EXP(Painel_diario!$L2024),1)-1</f>
        <v/>
      </c>
    </row>
    <row r="2029">
      <c r="A2029" s="25" t="n">
        <v>41808</v>
      </c>
      <c r="B2029" s="22">
        <f>(1+B2028)*IF(AND(Painel_diario!$H2025="EU_JD",Painel_diario!$J2025=1),EXP(Painel_diario!$L2025),1)-1</f>
        <v/>
      </c>
      <c r="C2029" s="22">
        <f>(1+C2028)*IF(AND(Painel_diario!$H2025="EU_JU",Painel_diario!$J2025=1),EXP(Painel_diario!$L2025),1)-1</f>
        <v/>
      </c>
      <c r="D2029" s="22">
        <f>(1+D2028)*IF(AND(Painel_diario!$H2025="ED_JD",Painel_diario!$J2025=1),EXP(Painel_diario!$L2025),1)-1</f>
        <v/>
      </c>
      <c r="E2029" s="22">
        <f>(1+E2028)*IF(AND(Painel_diario!$H2025="ED_JU",Painel_diario!$J2025=1),EXP(Painel_diario!$L2025),1)-1</f>
        <v/>
      </c>
    </row>
    <row r="2030">
      <c r="A2030" s="25" t="n">
        <v>41810</v>
      </c>
      <c r="B2030" s="22">
        <f>(1+B2029)*IF(AND(Painel_diario!$H2026="EU_JD",Painel_diario!$J2026=1),EXP(Painel_diario!$L2026),1)-1</f>
        <v/>
      </c>
      <c r="C2030" s="22">
        <f>(1+C2029)*IF(AND(Painel_diario!$H2026="EU_JU",Painel_diario!$J2026=1),EXP(Painel_diario!$L2026),1)-1</f>
        <v/>
      </c>
      <c r="D2030" s="22">
        <f>(1+D2029)*IF(AND(Painel_diario!$H2026="ED_JD",Painel_diario!$J2026=1),EXP(Painel_diario!$L2026),1)-1</f>
        <v/>
      </c>
      <c r="E2030" s="22">
        <f>(1+E2029)*IF(AND(Painel_diario!$H2026="ED_JU",Painel_diario!$J2026=1),EXP(Painel_diario!$L2026),1)-1</f>
        <v/>
      </c>
    </row>
    <row r="2031">
      <c r="A2031" s="25" t="n">
        <v>41813</v>
      </c>
      <c r="B2031" s="22">
        <f>(1+B2030)*IF(AND(Painel_diario!$H2027="EU_JD",Painel_diario!$J2027=1),EXP(Painel_diario!$L2027),1)-1</f>
        <v/>
      </c>
      <c r="C2031" s="22">
        <f>(1+C2030)*IF(AND(Painel_diario!$H2027="EU_JU",Painel_diario!$J2027=1),EXP(Painel_diario!$L2027),1)-1</f>
        <v/>
      </c>
      <c r="D2031" s="22">
        <f>(1+D2030)*IF(AND(Painel_diario!$H2027="ED_JD",Painel_diario!$J2027=1),EXP(Painel_diario!$L2027),1)-1</f>
        <v/>
      </c>
      <c r="E2031" s="22">
        <f>(1+E2030)*IF(AND(Painel_diario!$H2027="ED_JU",Painel_diario!$J2027=1),EXP(Painel_diario!$L2027),1)-1</f>
        <v/>
      </c>
    </row>
    <row r="2032">
      <c r="A2032" s="25" t="n">
        <v>41814</v>
      </c>
      <c r="B2032" s="22">
        <f>(1+B2031)*IF(AND(Painel_diario!$H2028="EU_JD",Painel_diario!$J2028=1),EXP(Painel_diario!$L2028),1)-1</f>
        <v/>
      </c>
      <c r="C2032" s="22">
        <f>(1+C2031)*IF(AND(Painel_diario!$H2028="EU_JU",Painel_diario!$J2028=1),EXP(Painel_diario!$L2028),1)-1</f>
        <v/>
      </c>
      <c r="D2032" s="22">
        <f>(1+D2031)*IF(AND(Painel_diario!$H2028="ED_JD",Painel_diario!$J2028=1),EXP(Painel_diario!$L2028),1)-1</f>
        <v/>
      </c>
      <c r="E2032" s="22">
        <f>(1+E2031)*IF(AND(Painel_diario!$H2028="ED_JU",Painel_diario!$J2028=1),EXP(Painel_diario!$L2028),1)-1</f>
        <v/>
      </c>
    </row>
    <row r="2033">
      <c r="A2033" s="25" t="n">
        <v>41815</v>
      </c>
      <c r="B2033" s="22">
        <f>(1+B2032)*IF(AND(Painel_diario!$H2029="EU_JD",Painel_diario!$J2029=1),EXP(Painel_diario!$L2029),1)-1</f>
        <v/>
      </c>
      <c r="C2033" s="22">
        <f>(1+C2032)*IF(AND(Painel_diario!$H2029="EU_JU",Painel_diario!$J2029=1),EXP(Painel_diario!$L2029),1)-1</f>
        <v/>
      </c>
      <c r="D2033" s="22">
        <f>(1+D2032)*IF(AND(Painel_diario!$H2029="ED_JD",Painel_diario!$J2029=1),EXP(Painel_diario!$L2029),1)-1</f>
        <v/>
      </c>
      <c r="E2033" s="22">
        <f>(1+E2032)*IF(AND(Painel_diario!$H2029="ED_JU",Painel_diario!$J2029=1),EXP(Painel_diario!$L2029),1)-1</f>
        <v/>
      </c>
    </row>
    <row r="2034">
      <c r="A2034" s="25" t="n">
        <v>41816</v>
      </c>
      <c r="B2034" s="22">
        <f>(1+B2033)*IF(AND(Painel_diario!$H2030="EU_JD",Painel_diario!$J2030=1),EXP(Painel_diario!$L2030),1)-1</f>
        <v/>
      </c>
      <c r="C2034" s="22">
        <f>(1+C2033)*IF(AND(Painel_diario!$H2030="EU_JU",Painel_diario!$J2030=1),EXP(Painel_diario!$L2030),1)-1</f>
        <v/>
      </c>
      <c r="D2034" s="22">
        <f>(1+D2033)*IF(AND(Painel_diario!$H2030="ED_JD",Painel_diario!$J2030=1),EXP(Painel_diario!$L2030),1)-1</f>
        <v/>
      </c>
      <c r="E2034" s="22">
        <f>(1+E2033)*IF(AND(Painel_diario!$H2030="ED_JU",Painel_diario!$J2030=1),EXP(Painel_diario!$L2030),1)-1</f>
        <v/>
      </c>
    </row>
    <row r="2035">
      <c r="A2035" s="25" t="n">
        <v>41817</v>
      </c>
      <c r="B2035" s="22">
        <f>(1+B2034)*IF(AND(Painel_diario!$H2031="EU_JD",Painel_diario!$J2031=1),EXP(Painel_diario!$L2031),1)-1</f>
        <v/>
      </c>
      <c r="C2035" s="22">
        <f>(1+C2034)*IF(AND(Painel_diario!$H2031="EU_JU",Painel_diario!$J2031=1),EXP(Painel_diario!$L2031),1)-1</f>
        <v/>
      </c>
      <c r="D2035" s="22">
        <f>(1+D2034)*IF(AND(Painel_diario!$H2031="ED_JD",Painel_diario!$J2031=1),EXP(Painel_diario!$L2031),1)-1</f>
        <v/>
      </c>
      <c r="E2035" s="22">
        <f>(1+E2034)*IF(AND(Painel_diario!$H2031="ED_JU",Painel_diario!$J2031=1),EXP(Painel_diario!$L2031),1)-1</f>
        <v/>
      </c>
    </row>
    <row r="2036">
      <c r="A2036" s="25" t="n">
        <v>41820</v>
      </c>
      <c r="B2036" s="22">
        <f>(1+B2035)*IF(AND(Painel_diario!$H2032="EU_JD",Painel_diario!$J2032=1),EXP(Painel_diario!$L2032),1)-1</f>
        <v/>
      </c>
      <c r="C2036" s="22">
        <f>(1+C2035)*IF(AND(Painel_diario!$H2032="EU_JU",Painel_diario!$J2032=1),EXP(Painel_diario!$L2032),1)-1</f>
        <v/>
      </c>
      <c r="D2036" s="22">
        <f>(1+D2035)*IF(AND(Painel_diario!$H2032="ED_JD",Painel_diario!$J2032=1),EXP(Painel_diario!$L2032),1)-1</f>
        <v/>
      </c>
      <c r="E2036" s="22">
        <f>(1+E2035)*IF(AND(Painel_diario!$H2032="ED_JU",Painel_diario!$J2032=1),EXP(Painel_diario!$L2032),1)-1</f>
        <v/>
      </c>
    </row>
    <row r="2037">
      <c r="A2037" s="25" t="n">
        <v>41821</v>
      </c>
      <c r="B2037" s="22">
        <f>(1+B2036)*IF(AND(Painel_diario!$H2033="EU_JD",Painel_diario!$J2033=1),EXP(Painel_diario!$L2033),1)-1</f>
        <v/>
      </c>
      <c r="C2037" s="22">
        <f>(1+C2036)*IF(AND(Painel_diario!$H2033="EU_JU",Painel_diario!$J2033=1),EXP(Painel_diario!$L2033),1)-1</f>
        <v/>
      </c>
      <c r="D2037" s="22">
        <f>(1+D2036)*IF(AND(Painel_diario!$H2033="ED_JD",Painel_diario!$J2033=1),EXP(Painel_diario!$L2033),1)-1</f>
        <v/>
      </c>
      <c r="E2037" s="22">
        <f>(1+E2036)*IF(AND(Painel_diario!$H2033="ED_JU",Painel_diario!$J2033=1),EXP(Painel_diario!$L2033),1)-1</f>
        <v/>
      </c>
    </row>
    <row r="2038">
      <c r="A2038" s="25" t="n">
        <v>41822</v>
      </c>
      <c r="B2038" s="22">
        <f>(1+B2037)*IF(AND(Painel_diario!$H2034="EU_JD",Painel_diario!$J2034=1),EXP(Painel_diario!$L2034),1)-1</f>
        <v/>
      </c>
      <c r="C2038" s="22">
        <f>(1+C2037)*IF(AND(Painel_diario!$H2034="EU_JU",Painel_diario!$J2034=1),EXP(Painel_diario!$L2034),1)-1</f>
        <v/>
      </c>
      <c r="D2038" s="22">
        <f>(1+D2037)*IF(AND(Painel_diario!$H2034="ED_JD",Painel_diario!$J2034=1),EXP(Painel_diario!$L2034),1)-1</f>
        <v/>
      </c>
      <c r="E2038" s="22">
        <f>(1+E2037)*IF(AND(Painel_diario!$H2034="ED_JU",Painel_diario!$J2034=1),EXP(Painel_diario!$L2034),1)-1</f>
        <v/>
      </c>
    </row>
    <row r="2039">
      <c r="A2039" s="25" t="n">
        <v>41823</v>
      </c>
      <c r="B2039" s="22">
        <f>(1+B2038)*IF(AND(Painel_diario!$H2035="EU_JD",Painel_diario!$J2035=1),EXP(Painel_diario!$L2035),1)-1</f>
        <v/>
      </c>
      <c r="C2039" s="22">
        <f>(1+C2038)*IF(AND(Painel_diario!$H2035="EU_JU",Painel_diario!$J2035=1),EXP(Painel_diario!$L2035),1)-1</f>
        <v/>
      </c>
      <c r="D2039" s="22">
        <f>(1+D2038)*IF(AND(Painel_diario!$H2035="ED_JD",Painel_diario!$J2035=1),EXP(Painel_diario!$L2035),1)-1</f>
        <v/>
      </c>
      <c r="E2039" s="22">
        <f>(1+E2038)*IF(AND(Painel_diario!$H2035="ED_JU",Painel_diario!$J2035=1),EXP(Painel_diario!$L2035),1)-1</f>
        <v/>
      </c>
    </row>
    <row r="2040">
      <c r="A2040" s="25" t="n">
        <v>41824</v>
      </c>
      <c r="B2040" s="22">
        <f>(1+B2039)*IF(AND(Painel_diario!$H2036="EU_JD",Painel_diario!$J2036=1),EXP(Painel_diario!$L2036),1)-1</f>
        <v/>
      </c>
      <c r="C2040" s="22">
        <f>(1+C2039)*IF(AND(Painel_diario!$H2036="EU_JU",Painel_diario!$J2036=1),EXP(Painel_diario!$L2036),1)-1</f>
        <v/>
      </c>
      <c r="D2040" s="22">
        <f>(1+D2039)*IF(AND(Painel_diario!$H2036="ED_JD",Painel_diario!$J2036=1),EXP(Painel_diario!$L2036),1)-1</f>
        <v/>
      </c>
      <c r="E2040" s="22">
        <f>(1+E2039)*IF(AND(Painel_diario!$H2036="ED_JU",Painel_diario!$J2036=1),EXP(Painel_diario!$L2036),1)-1</f>
        <v/>
      </c>
    </row>
    <row r="2041">
      <c r="A2041" s="25" t="n">
        <v>41827</v>
      </c>
      <c r="B2041" s="22">
        <f>(1+B2040)*IF(AND(Painel_diario!$H2037="EU_JD",Painel_diario!$J2037=1),EXP(Painel_diario!$L2037),1)-1</f>
        <v/>
      </c>
      <c r="C2041" s="22">
        <f>(1+C2040)*IF(AND(Painel_diario!$H2037="EU_JU",Painel_diario!$J2037=1),EXP(Painel_diario!$L2037),1)-1</f>
        <v/>
      </c>
      <c r="D2041" s="22">
        <f>(1+D2040)*IF(AND(Painel_diario!$H2037="ED_JD",Painel_diario!$J2037=1),EXP(Painel_diario!$L2037),1)-1</f>
        <v/>
      </c>
      <c r="E2041" s="22">
        <f>(1+E2040)*IF(AND(Painel_diario!$H2037="ED_JU",Painel_diario!$J2037=1),EXP(Painel_diario!$L2037),1)-1</f>
        <v/>
      </c>
    </row>
    <row r="2042">
      <c r="A2042" s="25" t="n">
        <v>41828</v>
      </c>
      <c r="B2042" s="22">
        <f>(1+B2041)*IF(AND(Painel_diario!$H2038="EU_JD",Painel_diario!$J2038=1),EXP(Painel_diario!$L2038),1)-1</f>
        <v/>
      </c>
      <c r="C2042" s="22">
        <f>(1+C2041)*IF(AND(Painel_diario!$H2038="EU_JU",Painel_diario!$J2038=1),EXP(Painel_diario!$L2038),1)-1</f>
        <v/>
      </c>
      <c r="D2042" s="22">
        <f>(1+D2041)*IF(AND(Painel_diario!$H2038="ED_JD",Painel_diario!$J2038=1),EXP(Painel_diario!$L2038),1)-1</f>
        <v/>
      </c>
      <c r="E2042" s="22">
        <f>(1+E2041)*IF(AND(Painel_diario!$H2038="ED_JU",Painel_diario!$J2038=1),EXP(Painel_diario!$L2038),1)-1</f>
        <v/>
      </c>
    </row>
    <row r="2043">
      <c r="A2043" s="25" t="n">
        <v>41830</v>
      </c>
      <c r="B2043" s="22">
        <f>(1+B2042)*IF(AND(Painel_diario!$H2039="EU_JD",Painel_diario!$J2039=1),EXP(Painel_diario!$L2039),1)-1</f>
        <v/>
      </c>
      <c r="C2043" s="22">
        <f>(1+C2042)*IF(AND(Painel_diario!$H2039="EU_JU",Painel_diario!$J2039=1),EXP(Painel_diario!$L2039),1)-1</f>
        <v/>
      </c>
      <c r="D2043" s="22">
        <f>(1+D2042)*IF(AND(Painel_diario!$H2039="ED_JD",Painel_diario!$J2039=1),EXP(Painel_diario!$L2039),1)-1</f>
        <v/>
      </c>
      <c r="E2043" s="22">
        <f>(1+E2042)*IF(AND(Painel_diario!$H2039="ED_JU",Painel_diario!$J2039=1),EXP(Painel_diario!$L2039),1)-1</f>
        <v/>
      </c>
    </row>
    <row r="2044">
      <c r="A2044" s="25" t="n">
        <v>41831</v>
      </c>
      <c r="B2044" s="22">
        <f>(1+B2043)*IF(AND(Painel_diario!$H2040="EU_JD",Painel_diario!$J2040=1),EXP(Painel_diario!$L2040),1)-1</f>
        <v/>
      </c>
      <c r="C2044" s="22">
        <f>(1+C2043)*IF(AND(Painel_diario!$H2040="EU_JU",Painel_diario!$J2040=1),EXP(Painel_diario!$L2040),1)-1</f>
        <v/>
      </c>
      <c r="D2044" s="22">
        <f>(1+D2043)*IF(AND(Painel_diario!$H2040="ED_JD",Painel_diario!$J2040=1),EXP(Painel_diario!$L2040),1)-1</f>
        <v/>
      </c>
      <c r="E2044" s="22">
        <f>(1+E2043)*IF(AND(Painel_diario!$H2040="ED_JU",Painel_diario!$J2040=1),EXP(Painel_diario!$L2040),1)-1</f>
        <v/>
      </c>
    </row>
    <row r="2045">
      <c r="A2045" s="25" t="n">
        <v>41834</v>
      </c>
      <c r="B2045" s="22">
        <f>(1+B2044)*IF(AND(Painel_diario!$H2041="EU_JD",Painel_diario!$J2041=1),EXP(Painel_diario!$L2041),1)-1</f>
        <v/>
      </c>
      <c r="C2045" s="22">
        <f>(1+C2044)*IF(AND(Painel_diario!$H2041="EU_JU",Painel_diario!$J2041=1),EXP(Painel_diario!$L2041),1)-1</f>
        <v/>
      </c>
      <c r="D2045" s="22">
        <f>(1+D2044)*IF(AND(Painel_diario!$H2041="ED_JD",Painel_diario!$J2041=1),EXP(Painel_diario!$L2041),1)-1</f>
        <v/>
      </c>
      <c r="E2045" s="22">
        <f>(1+E2044)*IF(AND(Painel_diario!$H2041="ED_JU",Painel_diario!$J2041=1),EXP(Painel_diario!$L2041),1)-1</f>
        <v/>
      </c>
    </row>
    <row r="2046">
      <c r="A2046" s="25" t="n">
        <v>41835</v>
      </c>
      <c r="B2046" s="22">
        <f>(1+B2045)*IF(AND(Painel_diario!$H2042="EU_JD",Painel_diario!$J2042=1),EXP(Painel_diario!$L2042),1)-1</f>
        <v/>
      </c>
      <c r="C2046" s="22">
        <f>(1+C2045)*IF(AND(Painel_diario!$H2042="EU_JU",Painel_diario!$J2042=1),EXP(Painel_diario!$L2042),1)-1</f>
        <v/>
      </c>
      <c r="D2046" s="22">
        <f>(1+D2045)*IF(AND(Painel_diario!$H2042="ED_JD",Painel_diario!$J2042=1),EXP(Painel_diario!$L2042),1)-1</f>
        <v/>
      </c>
      <c r="E2046" s="22">
        <f>(1+E2045)*IF(AND(Painel_diario!$H2042="ED_JU",Painel_diario!$J2042=1),EXP(Painel_diario!$L2042),1)-1</f>
        <v/>
      </c>
    </row>
    <row r="2047">
      <c r="A2047" s="25" t="n">
        <v>41836</v>
      </c>
      <c r="B2047" s="22">
        <f>(1+B2046)*IF(AND(Painel_diario!$H2043="EU_JD",Painel_diario!$J2043=1),EXP(Painel_diario!$L2043),1)-1</f>
        <v/>
      </c>
      <c r="C2047" s="22">
        <f>(1+C2046)*IF(AND(Painel_diario!$H2043="EU_JU",Painel_diario!$J2043=1),EXP(Painel_diario!$L2043),1)-1</f>
        <v/>
      </c>
      <c r="D2047" s="22">
        <f>(1+D2046)*IF(AND(Painel_diario!$H2043="ED_JD",Painel_diario!$J2043=1),EXP(Painel_diario!$L2043),1)-1</f>
        <v/>
      </c>
      <c r="E2047" s="22">
        <f>(1+E2046)*IF(AND(Painel_diario!$H2043="ED_JU",Painel_diario!$J2043=1),EXP(Painel_diario!$L2043),1)-1</f>
        <v/>
      </c>
    </row>
    <row r="2048">
      <c r="A2048" s="25" t="n">
        <v>41837</v>
      </c>
      <c r="B2048" s="22">
        <f>(1+B2047)*IF(AND(Painel_diario!$H2044="EU_JD",Painel_diario!$J2044=1),EXP(Painel_diario!$L2044),1)-1</f>
        <v/>
      </c>
      <c r="C2048" s="22">
        <f>(1+C2047)*IF(AND(Painel_diario!$H2044="EU_JU",Painel_diario!$J2044=1),EXP(Painel_diario!$L2044),1)-1</f>
        <v/>
      </c>
      <c r="D2048" s="22">
        <f>(1+D2047)*IF(AND(Painel_diario!$H2044="ED_JD",Painel_diario!$J2044=1),EXP(Painel_diario!$L2044),1)-1</f>
        <v/>
      </c>
      <c r="E2048" s="22">
        <f>(1+E2047)*IF(AND(Painel_diario!$H2044="ED_JU",Painel_diario!$J2044=1),EXP(Painel_diario!$L2044),1)-1</f>
        <v/>
      </c>
    </row>
    <row r="2049">
      <c r="A2049" s="25" t="n">
        <v>41838</v>
      </c>
      <c r="B2049" s="22">
        <f>(1+B2048)*IF(AND(Painel_diario!$H2045="EU_JD",Painel_diario!$J2045=1),EXP(Painel_diario!$L2045),1)-1</f>
        <v/>
      </c>
      <c r="C2049" s="22">
        <f>(1+C2048)*IF(AND(Painel_diario!$H2045="EU_JU",Painel_diario!$J2045=1),EXP(Painel_diario!$L2045),1)-1</f>
        <v/>
      </c>
      <c r="D2049" s="22">
        <f>(1+D2048)*IF(AND(Painel_diario!$H2045="ED_JD",Painel_diario!$J2045=1),EXP(Painel_diario!$L2045),1)-1</f>
        <v/>
      </c>
      <c r="E2049" s="22">
        <f>(1+E2048)*IF(AND(Painel_diario!$H2045="ED_JU",Painel_diario!$J2045=1),EXP(Painel_diario!$L2045),1)-1</f>
        <v/>
      </c>
    </row>
    <row r="2050">
      <c r="A2050" s="25" t="n">
        <v>41841</v>
      </c>
      <c r="B2050" s="22">
        <f>(1+B2049)*IF(AND(Painel_diario!$H2046="EU_JD",Painel_diario!$J2046=1),EXP(Painel_diario!$L2046),1)-1</f>
        <v/>
      </c>
      <c r="C2050" s="22">
        <f>(1+C2049)*IF(AND(Painel_diario!$H2046="EU_JU",Painel_diario!$J2046=1),EXP(Painel_diario!$L2046),1)-1</f>
        <v/>
      </c>
      <c r="D2050" s="22">
        <f>(1+D2049)*IF(AND(Painel_diario!$H2046="ED_JD",Painel_diario!$J2046=1),EXP(Painel_diario!$L2046),1)-1</f>
        <v/>
      </c>
      <c r="E2050" s="22">
        <f>(1+E2049)*IF(AND(Painel_diario!$H2046="ED_JU",Painel_diario!$J2046=1),EXP(Painel_diario!$L2046),1)-1</f>
        <v/>
      </c>
    </row>
    <row r="2051">
      <c r="A2051" s="25" t="n">
        <v>41842</v>
      </c>
      <c r="B2051" s="22">
        <f>(1+B2050)*IF(AND(Painel_diario!$H2047="EU_JD",Painel_diario!$J2047=1),EXP(Painel_diario!$L2047),1)-1</f>
        <v/>
      </c>
      <c r="C2051" s="22">
        <f>(1+C2050)*IF(AND(Painel_diario!$H2047="EU_JU",Painel_diario!$J2047=1),EXP(Painel_diario!$L2047),1)-1</f>
        <v/>
      </c>
      <c r="D2051" s="22">
        <f>(1+D2050)*IF(AND(Painel_diario!$H2047="ED_JD",Painel_diario!$J2047=1),EXP(Painel_diario!$L2047),1)-1</f>
        <v/>
      </c>
      <c r="E2051" s="22">
        <f>(1+E2050)*IF(AND(Painel_diario!$H2047="ED_JU",Painel_diario!$J2047=1),EXP(Painel_diario!$L2047),1)-1</f>
        <v/>
      </c>
    </row>
    <row r="2052">
      <c r="A2052" s="25" t="n">
        <v>41843</v>
      </c>
      <c r="B2052" s="22">
        <f>(1+B2051)*IF(AND(Painel_diario!$H2048="EU_JD",Painel_diario!$J2048=1),EXP(Painel_diario!$L2048),1)-1</f>
        <v/>
      </c>
      <c r="C2052" s="22">
        <f>(1+C2051)*IF(AND(Painel_diario!$H2048="EU_JU",Painel_diario!$J2048=1),EXP(Painel_diario!$L2048),1)-1</f>
        <v/>
      </c>
      <c r="D2052" s="22">
        <f>(1+D2051)*IF(AND(Painel_diario!$H2048="ED_JD",Painel_diario!$J2048=1),EXP(Painel_diario!$L2048),1)-1</f>
        <v/>
      </c>
      <c r="E2052" s="22">
        <f>(1+E2051)*IF(AND(Painel_diario!$H2048="ED_JU",Painel_diario!$J2048=1),EXP(Painel_diario!$L2048),1)-1</f>
        <v/>
      </c>
    </row>
    <row r="2053">
      <c r="A2053" s="25" t="n">
        <v>41844</v>
      </c>
      <c r="B2053" s="22">
        <f>(1+B2052)*IF(AND(Painel_diario!$H2049="EU_JD",Painel_diario!$J2049=1),EXP(Painel_diario!$L2049),1)-1</f>
        <v/>
      </c>
      <c r="C2053" s="22">
        <f>(1+C2052)*IF(AND(Painel_diario!$H2049="EU_JU",Painel_diario!$J2049=1),EXP(Painel_diario!$L2049),1)-1</f>
        <v/>
      </c>
      <c r="D2053" s="22">
        <f>(1+D2052)*IF(AND(Painel_diario!$H2049="ED_JD",Painel_diario!$J2049=1),EXP(Painel_diario!$L2049),1)-1</f>
        <v/>
      </c>
      <c r="E2053" s="22">
        <f>(1+E2052)*IF(AND(Painel_diario!$H2049="ED_JU",Painel_diario!$J2049=1),EXP(Painel_diario!$L2049),1)-1</f>
        <v/>
      </c>
    </row>
    <row r="2054">
      <c r="A2054" s="25" t="n">
        <v>41845</v>
      </c>
      <c r="B2054" s="22">
        <f>(1+B2053)*IF(AND(Painel_diario!$H2050="EU_JD",Painel_diario!$J2050=1),EXP(Painel_diario!$L2050),1)-1</f>
        <v/>
      </c>
      <c r="C2054" s="22">
        <f>(1+C2053)*IF(AND(Painel_diario!$H2050="EU_JU",Painel_diario!$J2050=1),EXP(Painel_diario!$L2050),1)-1</f>
        <v/>
      </c>
      <c r="D2054" s="22">
        <f>(1+D2053)*IF(AND(Painel_diario!$H2050="ED_JD",Painel_diario!$J2050=1),EXP(Painel_diario!$L2050),1)-1</f>
        <v/>
      </c>
      <c r="E2054" s="22">
        <f>(1+E2053)*IF(AND(Painel_diario!$H2050="ED_JU",Painel_diario!$J2050=1),EXP(Painel_diario!$L2050),1)-1</f>
        <v/>
      </c>
    </row>
    <row r="2055">
      <c r="A2055" s="25" t="n">
        <v>41848</v>
      </c>
      <c r="B2055" s="22">
        <f>(1+B2054)*IF(AND(Painel_diario!$H2051="EU_JD",Painel_diario!$J2051=1),EXP(Painel_diario!$L2051),1)-1</f>
        <v/>
      </c>
      <c r="C2055" s="22">
        <f>(1+C2054)*IF(AND(Painel_diario!$H2051="EU_JU",Painel_diario!$J2051=1),EXP(Painel_diario!$L2051),1)-1</f>
        <v/>
      </c>
      <c r="D2055" s="22">
        <f>(1+D2054)*IF(AND(Painel_diario!$H2051="ED_JD",Painel_diario!$J2051=1),EXP(Painel_diario!$L2051),1)-1</f>
        <v/>
      </c>
      <c r="E2055" s="22">
        <f>(1+E2054)*IF(AND(Painel_diario!$H2051="ED_JU",Painel_diario!$J2051=1),EXP(Painel_diario!$L2051),1)-1</f>
        <v/>
      </c>
    </row>
    <row r="2056">
      <c r="A2056" s="25" t="n">
        <v>41849</v>
      </c>
      <c r="B2056" s="22">
        <f>(1+B2055)*IF(AND(Painel_diario!$H2052="EU_JD",Painel_diario!$J2052=1),EXP(Painel_diario!$L2052),1)-1</f>
        <v/>
      </c>
      <c r="C2056" s="22">
        <f>(1+C2055)*IF(AND(Painel_diario!$H2052="EU_JU",Painel_diario!$J2052=1),EXP(Painel_diario!$L2052),1)-1</f>
        <v/>
      </c>
      <c r="D2056" s="22">
        <f>(1+D2055)*IF(AND(Painel_diario!$H2052="ED_JD",Painel_diario!$J2052=1),EXP(Painel_diario!$L2052),1)-1</f>
        <v/>
      </c>
      <c r="E2056" s="22">
        <f>(1+E2055)*IF(AND(Painel_diario!$H2052="ED_JU",Painel_diario!$J2052=1),EXP(Painel_diario!$L2052),1)-1</f>
        <v/>
      </c>
    </row>
    <row r="2057">
      <c r="A2057" s="25" t="n">
        <v>41850</v>
      </c>
      <c r="B2057" s="22">
        <f>(1+B2056)*IF(AND(Painel_diario!$H2053="EU_JD",Painel_diario!$J2053=1),EXP(Painel_diario!$L2053),1)-1</f>
        <v/>
      </c>
      <c r="C2057" s="22">
        <f>(1+C2056)*IF(AND(Painel_diario!$H2053="EU_JU",Painel_diario!$J2053=1),EXP(Painel_diario!$L2053),1)-1</f>
        <v/>
      </c>
      <c r="D2057" s="22">
        <f>(1+D2056)*IF(AND(Painel_diario!$H2053="ED_JD",Painel_diario!$J2053=1),EXP(Painel_diario!$L2053),1)-1</f>
        <v/>
      </c>
      <c r="E2057" s="22">
        <f>(1+E2056)*IF(AND(Painel_diario!$H2053="ED_JU",Painel_diario!$J2053=1),EXP(Painel_diario!$L2053),1)-1</f>
        <v/>
      </c>
    </row>
    <row r="2058">
      <c r="A2058" s="25" t="n">
        <v>41851</v>
      </c>
      <c r="B2058" s="22">
        <f>(1+B2057)*IF(AND(Painel_diario!$H2054="EU_JD",Painel_diario!$J2054=1),EXP(Painel_diario!$L2054),1)-1</f>
        <v/>
      </c>
      <c r="C2058" s="22">
        <f>(1+C2057)*IF(AND(Painel_diario!$H2054="EU_JU",Painel_diario!$J2054=1),EXP(Painel_diario!$L2054),1)-1</f>
        <v/>
      </c>
      <c r="D2058" s="22">
        <f>(1+D2057)*IF(AND(Painel_diario!$H2054="ED_JD",Painel_diario!$J2054=1),EXP(Painel_diario!$L2054),1)-1</f>
        <v/>
      </c>
      <c r="E2058" s="22">
        <f>(1+E2057)*IF(AND(Painel_diario!$H2054="ED_JU",Painel_diario!$J2054=1),EXP(Painel_diario!$L2054),1)-1</f>
        <v/>
      </c>
    </row>
    <row r="2059">
      <c r="A2059" s="25" t="n">
        <v>41852</v>
      </c>
      <c r="B2059" s="22">
        <f>(1+B2058)*IF(AND(Painel_diario!$H2055="EU_JD",Painel_diario!$J2055=1),EXP(Painel_diario!$L2055),1)-1</f>
        <v/>
      </c>
      <c r="C2059" s="22">
        <f>(1+C2058)*IF(AND(Painel_diario!$H2055="EU_JU",Painel_diario!$J2055=1),EXP(Painel_diario!$L2055),1)-1</f>
        <v/>
      </c>
      <c r="D2059" s="22">
        <f>(1+D2058)*IF(AND(Painel_diario!$H2055="ED_JD",Painel_diario!$J2055=1),EXP(Painel_diario!$L2055),1)-1</f>
        <v/>
      </c>
      <c r="E2059" s="22">
        <f>(1+E2058)*IF(AND(Painel_diario!$H2055="ED_JU",Painel_diario!$J2055=1),EXP(Painel_diario!$L2055),1)-1</f>
        <v/>
      </c>
    </row>
    <row r="2060">
      <c r="A2060" s="25" t="n">
        <v>41855</v>
      </c>
      <c r="B2060" s="22">
        <f>(1+B2059)*IF(AND(Painel_diario!$H2056="EU_JD",Painel_diario!$J2056=1),EXP(Painel_diario!$L2056),1)-1</f>
        <v/>
      </c>
      <c r="C2060" s="22">
        <f>(1+C2059)*IF(AND(Painel_diario!$H2056="EU_JU",Painel_diario!$J2056=1),EXP(Painel_diario!$L2056),1)-1</f>
        <v/>
      </c>
      <c r="D2060" s="22">
        <f>(1+D2059)*IF(AND(Painel_diario!$H2056="ED_JD",Painel_diario!$J2056=1),EXP(Painel_diario!$L2056),1)-1</f>
        <v/>
      </c>
      <c r="E2060" s="22">
        <f>(1+E2059)*IF(AND(Painel_diario!$H2056="ED_JU",Painel_diario!$J2056=1),EXP(Painel_diario!$L2056),1)-1</f>
        <v/>
      </c>
    </row>
    <row r="2061">
      <c r="A2061" s="25" t="n">
        <v>41856</v>
      </c>
      <c r="B2061" s="22">
        <f>(1+B2060)*IF(AND(Painel_diario!$H2057="EU_JD",Painel_diario!$J2057=1),EXP(Painel_diario!$L2057),1)-1</f>
        <v/>
      </c>
      <c r="C2061" s="22">
        <f>(1+C2060)*IF(AND(Painel_diario!$H2057="EU_JU",Painel_diario!$J2057=1),EXP(Painel_diario!$L2057),1)-1</f>
        <v/>
      </c>
      <c r="D2061" s="22">
        <f>(1+D2060)*IF(AND(Painel_diario!$H2057="ED_JD",Painel_diario!$J2057=1),EXP(Painel_diario!$L2057),1)-1</f>
        <v/>
      </c>
      <c r="E2061" s="22">
        <f>(1+E2060)*IF(AND(Painel_diario!$H2057="ED_JU",Painel_diario!$J2057=1),EXP(Painel_diario!$L2057),1)-1</f>
        <v/>
      </c>
    </row>
    <row r="2062">
      <c r="A2062" s="25" t="n">
        <v>41857</v>
      </c>
      <c r="B2062" s="22">
        <f>(1+B2061)*IF(AND(Painel_diario!$H2058="EU_JD",Painel_diario!$J2058=1),EXP(Painel_diario!$L2058),1)-1</f>
        <v/>
      </c>
      <c r="C2062" s="22">
        <f>(1+C2061)*IF(AND(Painel_diario!$H2058="EU_JU",Painel_diario!$J2058=1),EXP(Painel_diario!$L2058),1)-1</f>
        <v/>
      </c>
      <c r="D2062" s="22">
        <f>(1+D2061)*IF(AND(Painel_diario!$H2058="ED_JD",Painel_diario!$J2058=1),EXP(Painel_diario!$L2058),1)-1</f>
        <v/>
      </c>
      <c r="E2062" s="22">
        <f>(1+E2061)*IF(AND(Painel_diario!$H2058="ED_JU",Painel_diario!$J2058=1),EXP(Painel_diario!$L2058),1)-1</f>
        <v/>
      </c>
    </row>
    <row r="2063">
      <c r="A2063" s="25" t="n">
        <v>41858</v>
      </c>
      <c r="B2063" s="22">
        <f>(1+B2062)*IF(AND(Painel_diario!$H2059="EU_JD",Painel_diario!$J2059=1),EXP(Painel_diario!$L2059),1)-1</f>
        <v/>
      </c>
      <c r="C2063" s="22">
        <f>(1+C2062)*IF(AND(Painel_diario!$H2059="EU_JU",Painel_diario!$J2059=1),EXP(Painel_diario!$L2059),1)-1</f>
        <v/>
      </c>
      <c r="D2063" s="22">
        <f>(1+D2062)*IF(AND(Painel_diario!$H2059="ED_JD",Painel_diario!$J2059=1),EXP(Painel_diario!$L2059),1)-1</f>
        <v/>
      </c>
      <c r="E2063" s="22">
        <f>(1+E2062)*IF(AND(Painel_diario!$H2059="ED_JU",Painel_diario!$J2059=1),EXP(Painel_diario!$L2059),1)-1</f>
        <v/>
      </c>
    </row>
    <row r="2064">
      <c r="A2064" s="25" t="n">
        <v>41859</v>
      </c>
      <c r="B2064" s="22">
        <f>(1+B2063)*IF(AND(Painel_diario!$H2060="EU_JD",Painel_diario!$J2060=1),EXP(Painel_diario!$L2060),1)-1</f>
        <v/>
      </c>
      <c r="C2064" s="22">
        <f>(1+C2063)*IF(AND(Painel_diario!$H2060="EU_JU",Painel_diario!$J2060=1),EXP(Painel_diario!$L2060),1)-1</f>
        <v/>
      </c>
      <c r="D2064" s="22">
        <f>(1+D2063)*IF(AND(Painel_diario!$H2060="ED_JD",Painel_diario!$J2060=1),EXP(Painel_diario!$L2060),1)-1</f>
        <v/>
      </c>
      <c r="E2064" s="22">
        <f>(1+E2063)*IF(AND(Painel_diario!$H2060="ED_JU",Painel_diario!$J2060=1),EXP(Painel_diario!$L2060),1)-1</f>
        <v/>
      </c>
    </row>
    <row r="2065">
      <c r="A2065" s="25" t="n">
        <v>41862</v>
      </c>
      <c r="B2065" s="22">
        <f>(1+B2064)*IF(AND(Painel_diario!$H2061="EU_JD",Painel_diario!$J2061=1),EXP(Painel_diario!$L2061),1)-1</f>
        <v/>
      </c>
      <c r="C2065" s="22">
        <f>(1+C2064)*IF(AND(Painel_diario!$H2061="EU_JU",Painel_diario!$J2061=1),EXP(Painel_diario!$L2061),1)-1</f>
        <v/>
      </c>
      <c r="D2065" s="22">
        <f>(1+D2064)*IF(AND(Painel_diario!$H2061="ED_JD",Painel_diario!$J2061=1),EXP(Painel_diario!$L2061),1)-1</f>
        <v/>
      </c>
      <c r="E2065" s="22">
        <f>(1+E2064)*IF(AND(Painel_diario!$H2061="ED_JU",Painel_diario!$J2061=1),EXP(Painel_diario!$L2061),1)-1</f>
        <v/>
      </c>
    </row>
    <row r="2066">
      <c r="A2066" s="25" t="n">
        <v>41863</v>
      </c>
      <c r="B2066" s="22">
        <f>(1+B2065)*IF(AND(Painel_diario!$H2062="EU_JD",Painel_diario!$J2062=1),EXP(Painel_diario!$L2062),1)-1</f>
        <v/>
      </c>
      <c r="C2066" s="22">
        <f>(1+C2065)*IF(AND(Painel_diario!$H2062="EU_JU",Painel_diario!$J2062=1),EXP(Painel_diario!$L2062),1)-1</f>
        <v/>
      </c>
      <c r="D2066" s="22">
        <f>(1+D2065)*IF(AND(Painel_diario!$H2062="ED_JD",Painel_diario!$J2062=1),EXP(Painel_diario!$L2062),1)-1</f>
        <v/>
      </c>
      <c r="E2066" s="22">
        <f>(1+E2065)*IF(AND(Painel_diario!$H2062="ED_JU",Painel_diario!$J2062=1),EXP(Painel_diario!$L2062),1)-1</f>
        <v/>
      </c>
    </row>
    <row r="2067">
      <c r="A2067" s="25" t="n">
        <v>41864</v>
      </c>
      <c r="B2067" s="22">
        <f>(1+B2066)*IF(AND(Painel_diario!$H2063="EU_JD",Painel_diario!$J2063=1),EXP(Painel_diario!$L2063),1)-1</f>
        <v/>
      </c>
      <c r="C2067" s="22">
        <f>(1+C2066)*IF(AND(Painel_diario!$H2063="EU_JU",Painel_diario!$J2063=1),EXP(Painel_diario!$L2063),1)-1</f>
        <v/>
      </c>
      <c r="D2067" s="22">
        <f>(1+D2066)*IF(AND(Painel_diario!$H2063="ED_JD",Painel_diario!$J2063=1),EXP(Painel_diario!$L2063),1)-1</f>
        <v/>
      </c>
      <c r="E2067" s="22">
        <f>(1+E2066)*IF(AND(Painel_diario!$H2063="ED_JU",Painel_diario!$J2063=1),EXP(Painel_diario!$L2063),1)-1</f>
        <v/>
      </c>
    </row>
    <row r="2068">
      <c r="A2068" s="25" t="n">
        <v>41865</v>
      </c>
      <c r="B2068" s="22">
        <f>(1+B2067)*IF(AND(Painel_diario!$H2064="EU_JD",Painel_diario!$J2064=1),EXP(Painel_diario!$L2064),1)-1</f>
        <v/>
      </c>
      <c r="C2068" s="22">
        <f>(1+C2067)*IF(AND(Painel_diario!$H2064="EU_JU",Painel_diario!$J2064=1),EXP(Painel_diario!$L2064),1)-1</f>
        <v/>
      </c>
      <c r="D2068" s="22">
        <f>(1+D2067)*IF(AND(Painel_diario!$H2064="ED_JD",Painel_diario!$J2064=1),EXP(Painel_diario!$L2064),1)-1</f>
        <v/>
      </c>
      <c r="E2068" s="22">
        <f>(1+E2067)*IF(AND(Painel_diario!$H2064="ED_JU",Painel_diario!$J2064=1),EXP(Painel_diario!$L2064),1)-1</f>
        <v/>
      </c>
    </row>
    <row r="2069">
      <c r="A2069" s="25" t="n">
        <v>41866</v>
      </c>
      <c r="B2069" s="22">
        <f>(1+B2068)*IF(AND(Painel_diario!$H2065="EU_JD",Painel_diario!$J2065=1),EXP(Painel_diario!$L2065),1)-1</f>
        <v/>
      </c>
      <c r="C2069" s="22">
        <f>(1+C2068)*IF(AND(Painel_diario!$H2065="EU_JU",Painel_diario!$J2065=1),EXP(Painel_diario!$L2065),1)-1</f>
        <v/>
      </c>
      <c r="D2069" s="22">
        <f>(1+D2068)*IF(AND(Painel_diario!$H2065="ED_JD",Painel_diario!$J2065=1),EXP(Painel_diario!$L2065),1)-1</f>
        <v/>
      </c>
      <c r="E2069" s="22">
        <f>(1+E2068)*IF(AND(Painel_diario!$H2065="ED_JU",Painel_diario!$J2065=1),EXP(Painel_diario!$L2065),1)-1</f>
        <v/>
      </c>
    </row>
    <row r="2070">
      <c r="A2070" s="25" t="n">
        <v>41869</v>
      </c>
      <c r="B2070" s="22">
        <f>(1+B2069)*IF(AND(Painel_diario!$H2066="EU_JD",Painel_diario!$J2066=1),EXP(Painel_diario!$L2066),1)-1</f>
        <v/>
      </c>
      <c r="C2070" s="22">
        <f>(1+C2069)*IF(AND(Painel_diario!$H2066="EU_JU",Painel_diario!$J2066=1),EXP(Painel_diario!$L2066),1)-1</f>
        <v/>
      </c>
      <c r="D2070" s="22">
        <f>(1+D2069)*IF(AND(Painel_diario!$H2066="ED_JD",Painel_diario!$J2066=1),EXP(Painel_diario!$L2066),1)-1</f>
        <v/>
      </c>
      <c r="E2070" s="22">
        <f>(1+E2069)*IF(AND(Painel_diario!$H2066="ED_JU",Painel_diario!$J2066=1),EXP(Painel_diario!$L2066),1)-1</f>
        <v/>
      </c>
    </row>
    <row r="2071">
      <c r="A2071" s="25" t="n">
        <v>41870</v>
      </c>
      <c r="B2071" s="22">
        <f>(1+B2070)*IF(AND(Painel_diario!$H2067="EU_JD",Painel_diario!$J2067=1),EXP(Painel_diario!$L2067),1)-1</f>
        <v/>
      </c>
      <c r="C2071" s="22">
        <f>(1+C2070)*IF(AND(Painel_diario!$H2067="EU_JU",Painel_diario!$J2067=1),EXP(Painel_diario!$L2067),1)-1</f>
        <v/>
      </c>
      <c r="D2071" s="22">
        <f>(1+D2070)*IF(AND(Painel_diario!$H2067="ED_JD",Painel_diario!$J2067=1),EXP(Painel_diario!$L2067),1)-1</f>
        <v/>
      </c>
      <c r="E2071" s="22">
        <f>(1+E2070)*IF(AND(Painel_diario!$H2067="ED_JU",Painel_diario!$J2067=1),EXP(Painel_diario!$L2067),1)-1</f>
        <v/>
      </c>
    </row>
    <row r="2072">
      <c r="A2072" s="25" t="n">
        <v>41871</v>
      </c>
      <c r="B2072" s="22">
        <f>(1+B2071)*IF(AND(Painel_diario!$H2068="EU_JD",Painel_diario!$J2068=1),EXP(Painel_diario!$L2068),1)-1</f>
        <v/>
      </c>
      <c r="C2072" s="22">
        <f>(1+C2071)*IF(AND(Painel_diario!$H2068="EU_JU",Painel_diario!$J2068=1),EXP(Painel_diario!$L2068),1)-1</f>
        <v/>
      </c>
      <c r="D2072" s="22">
        <f>(1+D2071)*IF(AND(Painel_diario!$H2068="ED_JD",Painel_diario!$J2068=1),EXP(Painel_diario!$L2068),1)-1</f>
        <v/>
      </c>
      <c r="E2072" s="22">
        <f>(1+E2071)*IF(AND(Painel_diario!$H2068="ED_JU",Painel_diario!$J2068=1),EXP(Painel_diario!$L2068),1)-1</f>
        <v/>
      </c>
    </row>
    <row r="2073">
      <c r="A2073" s="25" t="n">
        <v>41872</v>
      </c>
      <c r="B2073" s="22">
        <f>(1+B2072)*IF(AND(Painel_diario!$H2069="EU_JD",Painel_diario!$J2069=1),EXP(Painel_diario!$L2069),1)-1</f>
        <v/>
      </c>
      <c r="C2073" s="22">
        <f>(1+C2072)*IF(AND(Painel_diario!$H2069="EU_JU",Painel_diario!$J2069=1),EXP(Painel_diario!$L2069),1)-1</f>
        <v/>
      </c>
      <c r="D2073" s="22">
        <f>(1+D2072)*IF(AND(Painel_diario!$H2069="ED_JD",Painel_diario!$J2069=1),EXP(Painel_diario!$L2069),1)-1</f>
        <v/>
      </c>
      <c r="E2073" s="22">
        <f>(1+E2072)*IF(AND(Painel_diario!$H2069="ED_JU",Painel_diario!$J2069=1),EXP(Painel_diario!$L2069),1)-1</f>
        <v/>
      </c>
    </row>
    <row r="2074">
      <c r="A2074" s="25" t="n">
        <v>41873</v>
      </c>
      <c r="B2074" s="22">
        <f>(1+B2073)*IF(AND(Painel_diario!$H2070="EU_JD",Painel_diario!$J2070=1),EXP(Painel_diario!$L2070),1)-1</f>
        <v/>
      </c>
      <c r="C2074" s="22">
        <f>(1+C2073)*IF(AND(Painel_diario!$H2070="EU_JU",Painel_diario!$J2070=1),EXP(Painel_diario!$L2070),1)-1</f>
        <v/>
      </c>
      <c r="D2074" s="22">
        <f>(1+D2073)*IF(AND(Painel_diario!$H2070="ED_JD",Painel_diario!$J2070=1),EXP(Painel_diario!$L2070),1)-1</f>
        <v/>
      </c>
      <c r="E2074" s="22">
        <f>(1+E2073)*IF(AND(Painel_diario!$H2070="ED_JU",Painel_diario!$J2070=1),EXP(Painel_diario!$L2070),1)-1</f>
        <v/>
      </c>
    </row>
    <row r="2075">
      <c r="A2075" s="25" t="n">
        <v>41876</v>
      </c>
      <c r="B2075" s="22">
        <f>(1+B2074)*IF(AND(Painel_diario!$H2071="EU_JD",Painel_diario!$J2071=1),EXP(Painel_diario!$L2071),1)-1</f>
        <v/>
      </c>
      <c r="C2075" s="22">
        <f>(1+C2074)*IF(AND(Painel_diario!$H2071="EU_JU",Painel_diario!$J2071=1),EXP(Painel_diario!$L2071),1)-1</f>
        <v/>
      </c>
      <c r="D2075" s="22">
        <f>(1+D2074)*IF(AND(Painel_diario!$H2071="ED_JD",Painel_diario!$J2071=1),EXP(Painel_diario!$L2071),1)-1</f>
        <v/>
      </c>
      <c r="E2075" s="22">
        <f>(1+E2074)*IF(AND(Painel_diario!$H2071="ED_JU",Painel_diario!$J2071=1),EXP(Painel_diario!$L2071),1)-1</f>
        <v/>
      </c>
    </row>
    <row r="2076">
      <c r="A2076" s="25" t="n">
        <v>41877</v>
      </c>
      <c r="B2076" s="22">
        <f>(1+B2075)*IF(AND(Painel_diario!$H2072="EU_JD",Painel_diario!$J2072=1),EXP(Painel_diario!$L2072),1)-1</f>
        <v/>
      </c>
      <c r="C2076" s="22">
        <f>(1+C2075)*IF(AND(Painel_diario!$H2072="EU_JU",Painel_diario!$J2072=1),EXP(Painel_diario!$L2072),1)-1</f>
        <v/>
      </c>
      <c r="D2076" s="22">
        <f>(1+D2075)*IF(AND(Painel_diario!$H2072="ED_JD",Painel_diario!$J2072=1),EXP(Painel_diario!$L2072),1)-1</f>
        <v/>
      </c>
      <c r="E2076" s="22">
        <f>(1+E2075)*IF(AND(Painel_diario!$H2072="ED_JU",Painel_diario!$J2072=1),EXP(Painel_diario!$L2072),1)-1</f>
        <v/>
      </c>
    </row>
    <row r="2077">
      <c r="A2077" s="25" t="n">
        <v>41878</v>
      </c>
      <c r="B2077" s="22">
        <f>(1+B2076)*IF(AND(Painel_diario!$H2073="EU_JD",Painel_diario!$J2073=1),EXP(Painel_diario!$L2073),1)-1</f>
        <v/>
      </c>
      <c r="C2077" s="22">
        <f>(1+C2076)*IF(AND(Painel_diario!$H2073="EU_JU",Painel_diario!$J2073=1),EXP(Painel_diario!$L2073),1)-1</f>
        <v/>
      </c>
      <c r="D2077" s="22">
        <f>(1+D2076)*IF(AND(Painel_diario!$H2073="ED_JD",Painel_diario!$J2073=1),EXP(Painel_diario!$L2073),1)-1</f>
        <v/>
      </c>
      <c r="E2077" s="22">
        <f>(1+E2076)*IF(AND(Painel_diario!$H2073="ED_JU",Painel_diario!$J2073=1),EXP(Painel_diario!$L2073),1)-1</f>
        <v/>
      </c>
    </row>
    <row r="2078">
      <c r="A2078" s="25" t="n">
        <v>41879</v>
      </c>
      <c r="B2078" s="22">
        <f>(1+B2077)*IF(AND(Painel_diario!$H2074="EU_JD",Painel_diario!$J2074=1),EXP(Painel_diario!$L2074),1)-1</f>
        <v/>
      </c>
      <c r="C2078" s="22">
        <f>(1+C2077)*IF(AND(Painel_diario!$H2074="EU_JU",Painel_diario!$J2074=1),EXP(Painel_diario!$L2074),1)-1</f>
        <v/>
      </c>
      <c r="D2078" s="22">
        <f>(1+D2077)*IF(AND(Painel_diario!$H2074="ED_JD",Painel_diario!$J2074=1),EXP(Painel_diario!$L2074),1)-1</f>
        <v/>
      </c>
      <c r="E2078" s="22">
        <f>(1+E2077)*IF(AND(Painel_diario!$H2074="ED_JU",Painel_diario!$J2074=1),EXP(Painel_diario!$L2074),1)-1</f>
        <v/>
      </c>
    </row>
    <row r="2079">
      <c r="A2079" s="25" t="n">
        <v>41880</v>
      </c>
      <c r="B2079" s="22">
        <f>(1+B2078)*IF(AND(Painel_diario!$H2075="EU_JD",Painel_diario!$J2075=1),EXP(Painel_diario!$L2075),1)-1</f>
        <v/>
      </c>
      <c r="C2079" s="22">
        <f>(1+C2078)*IF(AND(Painel_diario!$H2075="EU_JU",Painel_diario!$J2075=1),EXP(Painel_diario!$L2075),1)-1</f>
        <v/>
      </c>
      <c r="D2079" s="22">
        <f>(1+D2078)*IF(AND(Painel_diario!$H2075="ED_JD",Painel_diario!$J2075=1),EXP(Painel_diario!$L2075),1)-1</f>
        <v/>
      </c>
      <c r="E2079" s="22">
        <f>(1+E2078)*IF(AND(Painel_diario!$H2075="ED_JU",Painel_diario!$J2075=1),EXP(Painel_diario!$L2075),1)-1</f>
        <v/>
      </c>
    </row>
    <row r="2080">
      <c r="A2080" s="25" t="n">
        <v>41883</v>
      </c>
      <c r="B2080" s="22">
        <f>(1+B2079)*IF(AND(Painel_diario!$H2076="EU_JD",Painel_diario!$J2076=1),EXP(Painel_diario!$L2076),1)-1</f>
        <v/>
      </c>
      <c r="C2080" s="22">
        <f>(1+C2079)*IF(AND(Painel_diario!$H2076="EU_JU",Painel_diario!$J2076=1),EXP(Painel_diario!$L2076),1)-1</f>
        <v/>
      </c>
      <c r="D2080" s="22">
        <f>(1+D2079)*IF(AND(Painel_diario!$H2076="ED_JD",Painel_diario!$J2076=1),EXP(Painel_diario!$L2076),1)-1</f>
        <v/>
      </c>
      <c r="E2080" s="22">
        <f>(1+E2079)*IF(AND(Painel_diario!$H2076="ED_JU",Painel_diario!$J2076=1),EXP(Painel_diario!$L2076),1)-1</f>
        <v/>
      </c>
    </row>
    <row r="2081">
      <c r="A2081" s="25" t="n">
        <v>41884</v>
      </c>
      <c r="B2081" s="22">
        <f>(1+B2080)*IF(AND(Painel_diario!$H2077="EU_JD",Painel_diario!$J2077=1),EXP(Painel_diario!$L2077),1)-1</f>
        <v/>
      </c>
      <c r="C2081" s="22">
        <f>(1+C2080)*IF(AND(Painel_diario!$H2077="EU_JU",Painel_diario!$J2077=1),EXP(Painel_diario!$L2077),1)-1</f>
        <v/>
      </c>
      <c r="D2081" s="22">
        <f>(1+D2080)*IF(AND(Painel_diario!$H2077="ED_JD",Painel_diario!$J2077=1),EXP(Painel_diario!$L2077),1)-1</f>
        <v/>
      </c>
      <c r="E2081" s="22">
        <f>(1+E2080)*IF(AND(Painel_diario!$H2077="ED_JU",Painel_diario!$J2077=1),EXP(Painel_diario!$L2077),1)-1</f>
        <v/>
      </c>
    </row>
    <row r="2082">
      <c r="A2082" s="25" t="n">
        <v>41885</v>
      </c>
      <c r="B2082" s="22">
        <f>(1+B2081)*IF(AND(Painel_diario!$H2078="EU_JD",Painel_diario!$J2078=1),EXP(Painel_diario!$L2078),1)-1</f>
        <v/>
      </c>
      <c r="C2082" s="22">
        <f>(1+C2081)*IF(AND(Painel_diario!$H2078="EU_JU",Painel_diario!$J2078=1),EXP(Painel_diario!$L2078),1)-1</f>
        <v/>
      </c>
      <c r="D2082" s="22">
        <f>(1+D2081)*IF(AND(Painel_diario!$H2078="ED_JD",Painel_diario!$J2078=1),EXP(Painel_diario!$L2078),1)-1</f>
        <v/>
      </c>
      <c r="E2082" s="22">
        <f>(1+E2081)*IF(AND(Painel_diario!$H2078="ED_JU",Painel_diario!$J2078=1),EXP(Painel_diario!$L2078),1)-1</f>
        <v/>
      </c>
    </row>
    <row r="2083">
      <c r="A2083" s="25" t="n">
        <v>41886</v>
      </c>
      <c r="B2083" s="22">
        <f>(1+B2082)*IF(AND(Painel_diario!$H2079="EU_JD",Painel_diario!$J2079=1),EXP(Painel_diario!$L2079),1)-1</f>
        <v/>
      </c>
      <c r="C2083" s="22">
        <f>(1+C2082)*IF(AND(Painel_diario!$H2079="EU_JU",Painel_diario!$J2079=1),EXP(Painel_diario!$L2079),1)-1</f>
        <v/>
      </c>
      <c r="D2083" s="22">
        <f>(1+D2082)*IF(AND(Painel_diario!$H2079="ED_JD",Painel_diario!$J2079=1),EXP(Painel_diario!$L2079),1)-1</f>
        <v/>
      </c>
      <c r="E2083" s="22">
        <f>(1+E2082)*IF(AND(Painel_diario!$H2079="ED_JU",Painel_diario!$J2079=1),EXP(Painel_diario!$L2079),1)-1</f>
        <v/>
      </c>
    </row>
    <row r="2084">
      <c r="A2084" s="25" t="n">
        <v>41887</v>
      </c>
      <c r="B2084" s="22">
        <f>(1+B2083)*IF(AND(Painel_diario!$H2080="EU_JD",Painel_diario!$J2080=1),EXP(Painel_diario!$L2080),1)-1</f>
        <v/>
      </c>
      <c r="C2084" s="22">
        <f>(1+C2083)*IF(AND(Painel_diario!$H2080="EU_JU",Painel_diario!$J2080=1),EXP(Painel_diario!$L2080),1)-1</f>
        <v/>
      </c>
      <c r="D2084" s="22">
        <f>(1+D2083)*IF(AND(Painel_diario!$H2080="ED_JD",Painel_diario!$J2080=1),EXP(Painel_diario!$L2080),1)-1</f>
        <v/>
      </c>
      <c r="E2084" s="22">
        <f>(1+E2083)*IF(AND(Painel_diario!$H2080="ED_JU",Painel_diario!$J2080=1),EXP(Painel_diario!$L2080),1)-1</f>
        <v/>
      </c>
    </row>
    <row r="2085">
      <c r="A2085" s="25" t="n">
        <v>41890</v>
      </c>
      <c r="B2085" s="22">
        <f>(1+B2084)*IF(AND(Painel_diario!$H2081="EU_JD",Painel_diario!$J2081=1),EXP(Painel_diario!$L2081),1)-1</f>
        <v/>
      </c>
      <c r="C2085" s="22">
        <f>(1+C2084)*IF(AND(Painel_diario!$H2081="EU_JU",Painel_diario!$J2081=1),EXP(Painel_diario!$L2081),1)-1</f>
        <v/>
      </c>
      <c r="D2085" s="22">
        <f>(1+D2084)*IF(AND(Painel_diario!$H2081="ED_JD",Painel_diario!$J2081=1),EXP(Painel_diario!$L2081),1)-1</f>
        <v/>
      </c>
      <c r="E2085" s="22">
        <f>(1+E2084)*IF(AND(Painel_diario!$H2081="ED_JU",Painel_diario!$J2081=1),EXP(Painel_diario!$L2081),1)-1</f>
        <v/>
      </c>
    </row>
    <row r="2086">
      <c r="A2086" s="25" t="n">
        <v>41891</v>
      </c>
      <c r="B2086" s="22">
        <f>(1+B2085)*IF(AND(Painel_diario!$H2082="EU_JD",Painel_diario!$J2082=1),EXP(Painel_diario!$L2082),1)-1</f>
        <v/>
      </c>
      <c r="C2086" s="22">
        <f>(1+C2085)*IF(AND(Painel_diario!$H2082="EU_JU",Painel_diario!$J2082=1),EXP(Painel_diario!$L2082),1)-1</f>
        <v/>
      </c>
      <c r="D2086" s="22">
        <f>(1+D2085)*IF(AND(Painel_diario!$H2082="ED_JD",Painel_diario!$J2082=1),EXP(Painel_diario!$L2082),1)-1</f>
        <v/>
      </c>
      <c r="E2086" s="22">
        <f>(1+E2085)*IF(AND(Painel_diario!$H2082="ED_JU",Painel_diario!$J2082=1),EXP(Painel_diario!$L2082),1)-1</f>
        <v/>
      </c>
    </row>
    <row r="2087">
      <c r="A2087" s="25" t="n">
        <v>41892</v>
      </c>
      <c r="B2087" s="22">
        <f>(1+B2086)*IF(AND(Painel_diario!$H2083="EU_JD",Painel_diario!$J2083=1),EXP(Painel_diario!$L2083),1)-1</f>
        <v/>
      </c>
      <c r="C2087" s="22">
        <f>(1+C2086)*IF(AND(Painel_diario!$H2083="EU_JU",Painel_diario!$J2083=1),EXP(Painel_diario!$L2083),1)-1</f>
        <v/>
      </c>
      <c r="D2087" s="22">
        <f>(1+D2086)*IF(AND(Painel_diario!$H2083="ED_JD",Painel_diario!$J2083=1),EXP(Painel_diario!$L2083),1)-1</f>
        <v/>
      </c>
      <c r="E2087" s="22">
        <f>(1+E2086)*IF(AND(Painel_diario!$H2083="ED_JU",Painel_diario!$J2083=1),EXP(Painel_diario!$L2083),1)-1</f>
        <v/>
      </c>
    </row>
    <row r="2088">
      <c r="A2088" s="25" t="n">
        <v>41893</v>
      </c>
      <c r="B2088" s="22">
        <f>(1+B2087)*IF(AND(Painel_diario!$H2084="EU_JD",Painel_diario!$J2084=1),EXP(Painel_diario!$L2084),1)-1</f>
        <v/>
      </c>
      <c r="C2088" s="22">
        <f>(1+C2087)*IF(AND(Painel_diario!$H2084="EU_JU",Painel_diario!$J2084=1),EXP(Painel_diario!$L2084),1)-1</f>
        <v/>
      </c>
      <c r="D2088" s="22">
        <f>(1+D2087)*IF(AND(Painel_diario!$H2084="ED_JD",Painel_diario!$J2084=1),EXP(Painel_diario!$L2084),1)-1</f>
        <v/>
      </c>
      <c r="E2088" s="22">
        <f>(1+E2087)*IF(AND(Painel_diario!$H2084="ED_JU",Painel_diario!$J2084=1),EXP(Painel_diario!$L2084),1)-1</f>
        <v/>
      </c>
    </row>
    <row r="2089">
      <c r="A2089" s="25" t="n">
        <v>41894</v>
      </c>
      <c r="B2089" s="22">
        <f>(1+B2088)*IF(AND(Painel_diario!$H2085="EU_JD",Painel_diario!$J2085=1),EXP(Painel_diario!$L2085),1)-1</f>
        <v/>
      </c>
      <c r="C2089" s="22">
        <f>(1+C2088)*IF(AND(Painel_diario!$H2085="EU_JU",Painel_diario!$J2085=1),EXP(Painel_diario!$L2085),1)-1</f>
        <v/>
      </c>
      <c r="D2089" s="22">
        <f>(1+D2088)*IF(AND(Painel_diario!$H2085="ED_JD",Painel_diario!$J2085=1),EXP(Painel_diario!$L2085),1)-1</f>
        <v/>
      </c>
      <c r="E2089" s="22">
        <f>(1+E2088)*IF(AND(Painel_diario!$H2085="ED_JU",Painel_diario!$J2085=1),EXP(Painel_diario!$L2085),1)-1</f>
        <v/>
      </c>
    </row>
    <row r="2090">
      <c r="A2090" s="25" t="n">
        <v>41897</v>
      </c>
      <c r="B2090" s="22">
        <f>(1+B2089)*IF(AND(Painel_diario!$H2086="EU_JD",Painel_diario!$J2086=1),EXP(Painel_diario!$L2086),1)-1</f>
        <v/>
      </c>
      <c r="C2090" s="22">
        <f>(1+C2089)*IF(AND(Painel_diario!$H2086="EU_JU",Painel_diario!$J2086=1),EXP(Painel_diario!$L2086),1)-1</f>
        <v/>
      </c>
      <c r="D2090" s="22">
        <f>(1+D2089)*IF(AND(Painel_diario!$H2086="ED_JD",Painel_diario!$J2086=1),EXP(Painel_diario!$L2086),1)-1</f>
        <v/>
      </c>
      <c r="E2090" s="22">
        <f>(1+E2089)*IF(AND(Painel_diario!$H2086="ED_JU",Painel_diario!$J2086=1),EXP(Painel_diario!$L2086),1)-1</f>
        <v/>
      </c>
    </row>
    <row r="2091">
      <c r="A2091" s="25" t="n">
        <v>41898</v>
      </c>
      <c r="B2091" s="22">
        <f>(1+B2090)*IF(AND(Painel_diario!$H2087="EU_JD",Painel_diario!$J2087=1),EXP(Painel_diario!$L2087),1)-1</f>
        <v/>
      </c>
      <c r="C2091" s="22">
        <f>(1+C2090)*IF(AND(Painel_diario!$H2087="EU_JU",Painel_diario!$J2087=1),EXP(Painel_diario!$L2087),1)-1</f>
        <v/>
      </c>
      <c r="D2091" s="22">
        <f>(1+D2090)*IF(AND(Painel_diario!$H2087="ED_JD",Painel_diario!$J2087=1),EXP(Painel_diario!$L2087),1)-1</f>
        <v/>
      </c>
      <c r="E2091" s="22">
        <f>(1+E2090)*IF(AND(Painel_diario!$H2087="ED_JU",Painel_diario!$J2087=1),EXP(Painel_diario!$L2087),1)-1</f>
        <v/>
      </c>
    </row>
    <row r="2092">
      <c r="A2092" s="25" t="n">
        <v>41899</v>
      </c>
      <c r="B2092" s="22">
        <f>(1+B2091)*IF(AND(Painel_diario!$H2088="EU_JD",Painel_diario!$J2088=1),EXP(Painel_diario!$L2088),1)-1</f>
        <v/>
      </c>
      <c r="C2092" s="22">
        <f>(1+C2091)*IF(AND(Painel_diario!$H2088="EU_JU",Painel_diario!$J2088=1),EXP(Painel_diario!$L2088),1)-1</f>
        <v/>
      </c>
      <c r="D2092" s="22">
        <f>(1+D2091)*IF(AND(Painel_diario!$H2088="ED_JD",Painel_diario!$J2088=1),EXP(Painel_diario!$L2088),1)-1</f>
        <v/>
      </c>
      <c r="E2092" s="22">
        <f>(1+E2091)*IF(AND(Painel_diario!$H2088="ED_JU",Painel_diario!$J2088=1),EXP(Painel_diario!$L2088),1)-1</f>
        <v/>
      </c>
    </row>
    <row r="2093">
      <c r="A2093" s="25" t="n">
        <v>41900</v>
      </c>
      <c r="B2093" s="22">
        <f>(1+B2092)*IF(AND(Painel_diario!$H2089="EU_JD",Painel_diario!$J2089=1),EXP(Painel_diario!$L2089),1)-1</f>
        <v/>
      </c>
      <c r="C2093" s="22">
        <f>(1+C2092)*IF(AND(Painel_diario!$H2089="EU_JU",Painel_diario!$J2089=1),EXP(Painel_diario!$L2089),1)-1</f>
        <v/>
      </c>
      <c r="D2093" s="22">
        <f>(1+D2092)*IF(AND(Painel_diario!$H2089="ED_JD",Painel_diario!$J2089=1),EXP(Painel_diario!$L2089),1)-1</f>
        <v/>
      </c>
      <c r="E2093" s="22">
        <f>(1+E2092)*IF(AND(Painel_diario!$H2089="ED_JU",Painel_diario!$J2089=1),EXP(Painel_diario!$L2089),1)-1</f>
        <v/>
      </c>
    </row>
    <row r="2094">
      <c r="A2094" s="25" t="n">
        <v>41901</v>
      </c>
      <c r="B2094" s="22">
        <f>(1+B2093)*IF(AND(Painel_diario!$H2090="EU_JD",Painel_diario!$J2090=1),EXP(Painel_diario!$L2090),1)-1</f>
        <v/>
      </c>
      <c r="C2094" s="22">
        <f>(1+C2093)*IF(AND(Painel_diario!$H2090="EU_JU",Painel_diario!$J2090=1),EXP(Painel_diario!$L2090),1)-1</f>
        <v/>
      </c>
      <c r="D2094" s="22">
        <f>(1+D2093)*IF(AND(Painel_diario!$H2090="ED_JD",Painel_diario!$J2090=1),EXP(Painel_diario!$L2090),1)-1</f>
        <v/>
      </c>
      <c r="E2094" s="22">
        <f>(1+E2093)*IF(AND(Painel_diario!$H2090="ED_JU",Painel_diario!$J2090=1),EXP(Painel_diario!$L2090),1)-1</f>
        <v/>
      </c>
    </row>
    <row r="2095">
      <c r="A2095" s="25" t="n">
        <v>41904</v>
      </c>
      <c r="B2095" s="22">
        <f>(1+B2094)*IF(AND(Painel_diario!$H2091="EU_JD",Painel_diario!$J2091=1),EXP(Painel_diario!$L2091),1)-1</f>
        <v/>
      </c>
      <c r="C2095" s="22">
        <f>(1+C2094)*IF(AND(Painel_diario!$H2091="EU_JU",Painel_diario!$J2091=1),EXP(Painel_diario!$L2091),1)-1</f>
        <v/>
      </c>
      <c r="D2095" s="22">
        <f>(1+D2094)*IF(AND(Painel_diario!$H2091="ED_JD",Painel_diario!$J2091=1),EXP(Painel_diario!$L2091),1)-1</f>
        <v/>
      </c>
      <c r="E2095" s="22">
        <f>(1+E2094)*IF(AND(Painel_diario!$H2091="ED_JU",Painel_diario!$J2091=1),EXP(Painel_diario!$L2091),1)-1</f>
        <v/>
      </c>
    </row>
    <row r="2096">
      <c r="A2096" s="25" t="n">
        <v>41905</v>
      </c>
      <c r="B2096" s="22">
        <f>(1+B2095)*IF(AND(Painel_diario!$H2092="EU_JD",Painel_diario!$J2092=1),EXP(Painel_diario!$L2092),1)-1</f>
        <v/>
      </c>
      <c r="C2096" s="22">
        <f>(1+C2095)*IF(AND(Painel_diario!$H2092="EU_JU",Painel_diario!$J2092=1),EXP(Painel_diario!$L2092),1)-1</f>
        <v/>
      </c>
      <c r="D2096" s="22">
        <f>(1+D2095)*IF(AND(Painel_diario!$H2092="ED_JD",Painel_diario!$J2092=1),EXP(Painel_diario!$L2092),1)-1</f>
        <v/>
      </c>
      <c r="E2096" s="22">
        <f>(1+E2095)*IF(AND(Painel_diario!$H2092="ED_JU",Painel_diario!$J2092=1),EXP(Painel_diario!$L2092),1)-1</f>
        <v/>
      </c>
    </row>
    <row r="2097">
      <c r="A2097" s="25" t="n">
        <v>41906</v>
      </c>
      <c r="B2097" s="22">
        <f>(1+B2096)*IF(AND(Painel_diario!$H2093="EU_JD",Painel_diario!$J2093=1),EXP(Painel_diario!$L2093),1)-1</f>
        <v/>
      </c>
      <c r="C2097" s="22">
        <f>(1+C2096)*IF(AND(Painel_diario!$H2093="EU_JU",Painel_diario!$J2093=1),EXP(Painel_diario!$L2093),1)-1</f>
        <v/>
      </c>
      <c r="D2097" s="22">
        <f>(1+D2096)*IF(AND(Painel_diario!$H2093="ED_JD",Painel_diario!$J2093=1),EXP(Painel_diario!$L2093),1)-1</f>
        <v/>
      </c>
      <c r="E2097" s="22">
        <f>(1+E2096)*IF(AND(Painel_diario!$H2093="ED_JU",Painel_diario!$J2093=1),EXP(Painel_diario!$L2093),1)-1</f>
        <v/>
      </c>
    </row>
    <row r="2098">
      <c r="A2098" s="25" t="n">
        <v>41907</v>
      </c>
      <c r="B2098" s="22">
        <f>(1+B2097)*IF(AND(Painel_diario!$H2094="EU_JD",Painel_diario!$J2094=1),EXP(Painel_diario!$L2094),1)-1</f>
        <v/>
      </c>
      <c r="C2098" s="22">
        <f>(1+C2097)*IF(AND(Painel_diario!$H2094="EU_JU",Painel_diario!$J2094=1),EXP(Painel_diario!$L2094),1)-1</f>
        <v/>
      </c>
      <c r="D2098" s="22">
        <f>(1+D2097)*IF(AND(Painel_diario!$H2094="ED_JD",Painel_diario!$J2094=1),EXP(Painel_diario!$L2094),1)-1</f>
        <v/>
      </c>
      <c r="E2098" s="22">
        <f>(1+E2097)*IF(AND(Painel_diario!$H2094="ED_JU",Painel_diario!$J2094=1),EXP(Painel_diario!$L2094),1)-1</f>
        <v/>
      </c>
    </row>
    <row r="2099">
      <c r="A2099" s="25" t="n">
        <v>41908</v>
      </c>
      <c r="B2099" s="22">
        <f>(1+B2098)*IF(AND(Painel_diario!$H2095="EU_JD",Painel_diario!$J2095=1),EXP(Painel_diario!$L2095),1)-1</f>
        <v/>
      </c>
      <c r="C2099" s="22">
        <f>(1+C2098)*IF(AND(Painel_diario!$H2095="EU_JU",Painel_diario!$J2095=1),EXP(Painel_diario!$L2095),1)-1</f>
        <v/>
      </c>
      <c r="D2099" s="22">
        <f>(1+D2098)*IF(AND(Painel_diario!$H2095="ED_JD",Painel_diario!$J2095=1),EXP(Painel_diario!$L2095),1)-1</f>
        <v/>
      </c>
      <c r="E2099" s="22">
        <f>(1+E2098)*IF(AND(Painel_diario!$H2095="ED_JU",Painel_diario!$J2095=1),EXP(Painel_diario!$L2095),1)-1</f>
        <v/>
      </c>
    </row>
    <row r="2100">
      <c r="A2100" s="25" t="n">
        <v>41911</v>
      </c>
      <c r="B2100" s="22">
        <f>(1+B2099)*IF(AND(Painel_diario!$H2096="EU_JD",Painel_diario!$J2096=1),EXP(Painel_diario!$L2096),1)-1</f>
        <v/>
      </c>
      <c r="C2100" s="22">
        <f>(1+C2099)*IF(AND(Painel_diario!$H2096="EU_JU",Painel_diario!$J2096=1),EXP(Painel_diario!$L2096),1)-1</f>
        <v/>
      </c>
      <c r="D2100" s="22">
        <f>(1+D2099)*IF(AND(Painel_diario!$H2096="ED_JD",Painel_diario!$J2096=1),EXP(Painel_diario!$L2096),1)-1</f>
        <v/>
      </c>
      <c r="E2100" s="22">
        <f>(1+E2099)*IF(AND(Painel_diario!$H2096="ED_JU",Painel_diario!$J2096=1),EXP(Painel_diario!$L2096),1)-1</f>
        <v/>
      </c>
    </row>
    <row r="2101">
      <c r="A2101" s="25" t="n">
        <v>41912</v>
      </c>
      <c r="B2101" s="22">
        <f>(1+B2100)*IF(AND(Painel_diario!$H2097="EU_JD",Painel_diario!$J2097=1),EXP(Painel_diario!$L2097),1)-1</f>
        <v/>
      </c>
      <c r="C2101" s="22">
        <f>(1+C2100)*IF(AND(Painel_diario!$H2097="EU_JU",Painel_diario!$J2097=1),EXP(Painel_diario!$L2097),1)-1</f>
        <v/>
      </c>
      <c r="D2101" s="22">
        <f>(1+D2100)*IF(AND(Painel_diario!$H2097="ED_JD",Painel_diario!$J2097=1),EXP(Painel_diario!$L2097),1)-1</f>
        <v/>
      </c>
      <c r="E2101" s="22">
        <f>(1+E2100)*IF(AND(Painel_diario!$H2097="ED_JU",Painel_diario!$J2097=1),EXP(Painel_diario!$L2097),1)-1</f>
        <v/>
      </c>
    </row>
    <row r="2102">
      <c r="A2102" s="25" t="n">
        <v>41913</v>
      </c>
      <c r="B2102" s="22">
        <f>(1+B2101)*IF(AND(Painel_diario!$H2098="EU_JD",Painel_diario!$J2098=1),EXP(Painel_diario!$L2098),1)-1</f>
        <v/>
      </c>
      <c r="C2102" s="22">
        <f>(1+C2101)*IF(AND(Painel_diario!$H2098="EU_JU",Painel_diario!$J2098=1),EXP(Painel_diario!$L2098),1)-1</f>
        <v/>
      </c>
      <c r="D2102" s="22">
        <f>(1+D2101)*IF(AND(Painel_diario!$H2098="ED_JD",Painel_diario!$J2098=1),EXP(Painel_diario!$L2098),1)-1</f>
        <v/>
      </c>
      <c r="E2102" s="22">
        <f>(1+E2101)*IF(AND(Painel_diario!$H2098="ED_JU",Painel_diario!$J2098=1),EXP(Painel_diario!$L2098),1)-1</f>
        <v/>
      </c>
    </row>
    <row r="2103">
      <c r="A2103" s="25" t="n">
        <v>41914</v>
      </c>
      <c r="B2103" s="22">
        <f>(1+B2102)*IF(AND(Painel_diario!$H2099="EU_JD",Painel_diario!$J2099=1),EXP(Painel_diario!$L2099),1)-1</f>
        <v/>
      </c>
      <c r="C2103" s="22">
        <f>(1+C2102)*IF(AND(Painel_diario!$H2099="EU_JU",Painel_diario!$J2099=1),EXP(Painel_diario!$L2099),1)-1</f>
        <v/>
      </c>
      <c r="D2103" s="22">
        <f>(1+D2102)*IF(AND(Painel_diario!$H2099="ED_JD",Painel_diario!$J2099=1),EXP(Painel_diario!$L2099),1)-1</f>
        <v/>
      </c>
      <c r="E2103" s="22">
        <f>(1+E2102)*IF(AND(Painel_diario!$H2099="ED_JU",Painel_diario!$J2099=1),EXP(Painel_diario!$L2099),1)-1</f>
        <v/>
      </c>
    </row>
    <row r="2104">
      <c r="A2104" s="25" t="n">
        <v>41915</v>
      </c>
      <c r="B2104" s="22">
        <f>(1+B2103)*IF(AND(Painel_diario!$H2100="EU_JD",Painel_diario!$J2100=1),EXP(Painel_diario!$L2100),1)-1</f>
        <v/>
      </c>
      <c r="C2104" s="22">
        <f>(1+C2103)*IF(AND(Painel_diario!$H2100="EU_JU",Painel_diario!$J2100=1),EXP(Painel_diario!$L2100),1)-1</f>
        <v/>
      </c>
      <c r="D2104" s="22">
        <f>(1+D2103)*IF(AND(Painel_diario!$H2100="ED_JD",Painel_diario!$J2100=1),EXP(Painel_diario!$L2100),1)-1</f>
        <v/>
      </c>
      <c r="E2104" s="22">
        <f>(1+E2103)*IF(AND(Painel_diario!$H2100="ED_JU",Painel_diario!$J2100=1),EXP(Painel_diario!$L2100),1)-1</f>
        <v/>
      </c>
    </row>
    <row r="2105">
      <c r="A2105" s="25" t="n">
        <v>41918</v>
      </c>
      <c r="B2105" s="22">
        <f>(1+B2104)*IF(AND(Painel_diario!$H2101="EU_JD",Painel_diario!$J2101=1),EXP(Painel_diario!$L2101),1)-1</f>
        <v/>
      </c>
      <c r="C2105" s="22">
        <f>(1+C2104)*IF(AND(Painel_diario!$H2101="EU_JU",Painel_diario!$J2101=1),EXP(Painel_diario!$L2101),1)-1</f>
        <v/>
      </c>
      <c r="D2105" s="22">
        <f>(1+D2104)*IF(AND(Painel_diario!$H2101="ED_JD",Painel_diario!$J2101=1),EXP(Painel_diario!$L2101),1)-1</f>
        <v/>
      </c>
      <c r="E2105" s="22">
        <f>(1+E2104)*IF(AND(Painel_diario!$H2101="ED_JU",Painel_diario!$J2101=1),EXP(Painel_diario!$L2101),1)-1</f>
        <v/>
      </c>
    </row>
    <row r="2106">
      <c r="A2106" s="25" t="n">
        <v>41919</v>
      </c>
      <c r="B2106" s="22">
        <f>(1+B2105)*IF(AND(Painel_diario!$H2102="EU_JD",Painel_diario!$J2102=1),EXP(Painel_diario!$L2102),1)-1</f>
        <v/>
      </c>
      <c r="C2106" s="22">
        <f>(1+C2105)*IF(AND(Painel_diario!$H2102="EU_JU",Painel_diario!$J2102=1),EXP(Painel_diario!$L2102),1)-1</f>
        <v/>
      </c>
      <c r="D2106" s="22">
        <f>(1+D2105)*IF(AND(Painel_diario!$H2102="ED_JD",Painel_diario!$J2102=1),EXP(Painel_diario!$L2102),1)-1</f>
        <v/>
      </c>
      <c r="E2106" s="22">
        <f>(1+E2105)*IF(AND(Painel_diario!$H2102="ED_JU",Painel_diario!$J2102=1),EXP(Painel_diario!$L2102),1)-1</f>
        <v/>
      </c>
    </row>
    <row r="2107">
      <c r="A2107" s="25" t="n">
        <v>41920</v>
      </c>
      <c r="B2107" s="22">
        <f>(1+B2106)*IF(AND(Painel_diario!$H2103="EU_JD",Painel_diario!$J2103=1),EXP(Painel_diario!$L2103),1)-1</f>
        <v/>
      </c>
      <c r="C2107" s="22">
        <f>(1+C2106)*IF(AND(Painel_diario!$H2103="EU_JU",Painel_diario!$J2103=1),EXP(Painel_diario!$L2103),1)-1</f>
        <v/>
      </c>
      <c r="D2107" s="22">
        <f>(1+D2106)*IF(AND(Painel_diario!$H2103="ED_JD",Painel_diario!$J2103=1),EXP(Painel_diario!$L2103),1)-1</f>
        <v/>
      </c>
      <c r="E2107" s="22">
        <f>(1+E2106)*IF(AND(Painel_diario!$H2103="ED_JU",Painel_diario!$J2103=1),EXP(Painel_diario!$L2103),1)-1</f>
        <v/>
      </c>
    </row>
    <row r="2108">
      <c r="A2108" s="25" t="n">
        <v>41921</v>
      </c>
      <c r="B2108" s="22">
        <f>(1+B2107)*IF(AND(Painel_diario!$H2104="EU_JD",Painel_diario!$J2104=1),EXP(Painel_diario!$L2104),1)-1</f>
        <v/>
      </c>
      <c r="C2108" s="22">
        <f>(1+C2107)*IF(AND(Painel_diario!$H2104="EU_JU",Painel_diario!$J2104=1),EXP(Painel_diario!$L2104),1)-1</f>
        <v/>
      </c>
      <c r="D2108" s="22">
        <f>(1+D2107)*IF(AND(Painel_diario!$H2104="ED_JD",Painel_diario!$J2104=1),EXP(Painel_diario!$L2104),1)-1</f>
        <v/>
      </c>
      <c r="E2108" s="22">
        <f>(1+E2107)*IF(AND(Painel_diario!$H2104="ED_JU",Painel_diario!$J2104=1),EXP(Painel_diario!$L2104),1)-1</f>
        <v/>
      </c>
    </row>
    <row r="2109">
      <c r="A2109" s="25" t="n">
        <v>41922</v>
      </c>
      <c r="B2109" s="22">
        <f>(1+B2108)*IF(AND(Painel_diario!$H2105="EU_JD",Painel_diario!$J2105=1),EXP(Painel_diario!$L2105),1)-1</f>
        <v/>
      </c>
      <c r="C2109" s="22">
        <f>(1+C2108)*IF(AND(Painel_diario!$H2105="EU_JU",Painel_diario!$J2105=1),EXP(Painel_diario!$L2105),1)-1</f>
        <v/>
      </c>
      <c r="D2109" s="22">
        <f>(1+D2108)*IF(AND(Painel_diario!$H2105="ED_JD",Painel_diario!$J2105=1),EXP(Painel_diario!$L2105),1)-1</f>
        <v/>
      </c>
      <c r="E2109" s="22">
        <f>(1+E2108)*IF(AND(Painel_diario!$H2105="ED_JU",Painel_diario!$J2105=1),EXP(Painel_diario!$L2105),1)-1</f>
        <v/>
      </c>
    </row>
    <row r="2110">
      <c r="A2110" s="25" t="n">
        <v>41925</v>
      </c>
      <c r="B2110" s="22">
        <f>(1+B2109)*IF(AND(Painel_diario!$H2106="EU_JD",Painel_diario!$J2106=1),EXP(Painel_diario!$L2106),1)-1</f>
        <v/>
      </c>
      <c r="C2110" s="22">
        <f>(1+C2109)*IF(AND(Painel_diario!$H2106="EU_JU",Painel_diario!$J2106=1),EXP(Painel_diario!$L2106),1)-1</f>
        <v/>
      </c>
      <c r="D2110" s="22">
        <f>(1+D2109)*IF(AND(Painel_diario!$H2106="ED_JD",Painel_diario!$J2106=1),EXP(Painel_diario!$L2106),1)-1</f>
        <v/>
      </c>
      <c r="E2110" s="22">
        <f>(1+E2109)*IF(AND(Painel_diario!$H2106="ED_JU",Painel_diario!$J2106=1),EXP(Painel_diario!$L2106),1)-1</f>
        <v/>
      </c>
    </row>
    <row r="2111">
      <c r="A2111" s="25" t="n">
        <v>41926</v>
      </c>
      <c r="B2111" s="22">
        <f>(1+B2110)*IF(AND(Painel_diario!$H2107="EU_JD",Painel_diario!$J2107=1),EXP(Painel_diario!$L2107),1)-1</f>
        <v/>
      </c>
      <c r="C2111" s="22">
        <f>(1+C2110)*IF(AND(Painel_diario!$H2107="EU_JU",Painel_diario!$J2107=1),EXP(Painel_diario!$L2107),1)-1</f>
        <v/>
      </c>
      <c r="D2111" s="22">
        <f>(1+D2110)*IF(AND(Painel_diario!$H2107="ED_JD",Painel_diario!$J2107=1),EXP(Painel_diario!$L2107),1)-1</f>
        <v/>
      </c>
      <c r="E2111" s="22">
        <f>(1+E2110)*IF(AND(Painel_diario!$H2107="ED_JU",Painel_diario!$J2107=1),EXP(Painel_diario!$L2107),1)-1</f>
        <v/>
      </c>
    </row>
    <row r="2112">
      <c r="A2112" s="25" t="n">
        <v>41927</v>
      </c>
      <c r="B2112" s="22">
        <f>(1+B2111)*IF(AND(Painel_diario!$H2108="EU_JD",Painel_diario!$J2108=1),EXP(Painel_diario!$L2108),1)-1</f>
        <v/>
      </c>
      <c r="C2112" s="22">
        <f>(1+C2111)*IF(AND(Painel_diario!$H2108="EU_JU",Painel_diario!$J2108=1),EXP(Painel_diario!$L2108),1)-1</f>
        <v/>
      </c>
      <c r="D2112" s="22">
        <f>(1+D2111)*IF(AND(Painel_diario!$H2108="ED_JD",Painel_diario!$J2108=1),EXP(Painel_diario!$L2108),1)-1</f>
        <v/>
      </c>
      <c r="E2112" s="22">
        <f>(1+E2111)*IF(AND(Painel_diario!$H2108="ED_JU",Painel_diario!$J2108=1),EXP(Painel_diario!$L2108),1)-1</f>
        <v/>
      </c>
    </row>
    <row r="2113">
      <c r="A2113" s="25" t="n">
        <v>41928</v>
      </c>
      <c r="B2113" s="22">
        <f>(1+B2112)*IF(AND(Painel_diario!$H2109="EU_JD",Painel_diario!$J2109=1),EXP(Painel_diario!$L2109),1)-1</f>
        <v/>
      </c>
      <c r="C2113" s="22">
        <f>(1+C2112)*IF(AND(Painel_diario!$H2109="EU_JU",Painel_diario!$J2109=1),EXP(Painel_diario!$L2109),1)-1</f>
        <v/>
      </c>
      <c r="D2113" s="22">
        <f>(1+D2112)*IF(AND(Painel_diario!$H2109="ED_JD",Painel_diario!$J2109=1),EXP(Painel_diario!$L2109),1)-1</f>
        <v/>
      </c>
      <c r="E2113" s="22">
        <f>(1+E2112)*IF(AND(Painel_diario!$H2109="ED_JU",Painel_diario!$J2109=1),EXP(Painel_diario!$L2109),1)-1</f>
        <v/>
      </c>
    </row>
    <row r="2114">
      <c r="A2114" s="25" t="n">
        <v>41929</v>
      </c>
      <c r="B2114" s="22">
        <f>(1+B2113)*IF(AND(Painel_diario!$H2110="EU_JD",Painel_diario!$J2110=1),EXP(Painel_diario!$L2110),1)-1</f>
        <v/>
      </c>
      <c r="C2114" s="22">
        <f>(1+C2113)*IF(AND(Painel_diario!$H2110="EU_JU",Painel_diario!$J2110=1),EXP(Painel_diario!$L2110),1)-1</f>
        <v/>
      </c>
      <c r="D2114" s="22">
        <f>(1+D2113)*IF(AND(Painel_diario!$H2110="ED_JD",Painel_diario!$J2110=1),EXP(Painel_diario!$L2110),1)-1</f>
        <v/>
      </c>
      <c r="E2114" s="22">
        <f>(1+E2113)*IF(AND(Painel_diario!$H2110="ED_JU",Painel_diario!$J2110=1),EXP(Painel_diario!$L2110),1)-1</f>
        <v/>
      </c>
    </row>
    <row r="2115">
      <c r="A2115" s="25" t="n">
        <v>41932</v>
      </c>
      <c r="B2115" s="22">
        <f>(1+B2114)*IF(AND(Painel_diario!$H2111="EU_JD",Painel_diario!$J2111=1),EXP(Painel_diario!$L2111),1)-1</f>
        <v/>
      </c>
      <c r="C2115" s="22">
        <f>(1+C2114)*IF(AND(Painel_diario!$H2111="EU_JU",Painel_diario!$J2111=1),EXP(Painel_diario!$L2111),1)-1</f>
        <v/>
      </c>
      <c r="D2115" s="22">
        <f>(1+D2114)*IF(AND(Painel_diario!$H2111="ED_JD",Painel_diario!$J2111=1),EXP(Painel_diario!$L2111),1)-1</f>
        <v/>
      </c>
      <c r="E2115" s="22">
        <f>(1+E2114)*IF(AND(Painel_diario!$H2111="ED_JU",Painel_diario!$J2111=1),EXP(Painel_diario!$L2111),1)-1</f>
        <v/>
      </c>
    </row>
    <row r="2116">
      <c r="A2116" s="25" t="n">
        <v>41933</v>
      </c>
      <c r="B2116" s="22">
        <f>(1+B2115)*IF(AND(Painel_diario!$H2112="EU_JD",Painel_diario!$J2112=1),EXP(Painel_diario!$L2112),1)-1</f>
        <v/>
      </c>
      <c r="C2116" s="22">
        <f>(1+C2115)*IF(AND(Painel_diario!$H2112="EU_JU",Painel_diario!$J2112=1),EXP(Painel_diario!$L2112),1)-1</f>
        <v/>
      </c>
      <c r="D2116" s="22">
        <f>(1+D2115)*IF(AND(Painel_diario!$H2112="ED_JD",Painel_diario!$J2112=1),EXP(Painel_diario!$L2112),1)-1</f>
        <v/>
      </c>
      <c r="E2116" s="22">
        <f>(1+E2115)*IF(AND(Painel_diario!$H2112="ED_JU",Painel_diario!$J2112=1),EXP(Painel_diario!$L2112),1)-1</f>
        <v/>
      </c>
    </row>
    <row r="2117">
      <c r="A2117" s="25" t="n">
        <v>41934</v>
      </c>
      <c r="B2117" s="22">
        <f>(1+B2116)*IF(AND(Painel_diario!$H2113="EU_JD",Painel_diario!$J2113=1),EXP(Painel_diario!$L2113),1)-1</f>
        <v/>
      </c>
      <c r="C2117" s="22">
        <f>(1+C2116)*IF(AND(Painel_diario!$H2113="EU_JU",Painel_diario!$J2113=1),EXP(Painel_diario!$L2113),1)-1</f>
        <v/>
      </c>
      <c r="D2117" s="22">
        <f>(1+D2116)*IF(AND(Painel_diario!$H2113="ED_JD",Painel_diario!$J2113=1),EXP(Painel_diario!$L2113),1)-1</f>
        <v/>
      </c>
      <c r="E2117" s="22">
        <f>(1+E2116)*IF(AND(Painel_diario!$H2113="ED_JU",Painel_diario!$J2113=1),EXP(Painel_diario!$L2113),1)-1</f>
        <v/>
      </c>
    </row>
    <row r="2118">
      <c r="A2118" s="25" t="n">
        <v>41935</v>
      </c>
      <c r="B2118" s="22">
        <f>(1+B2117)*IF(AND(Painel_diario!$H2114="EU_JD",Painel_diario!$J2114=1),EXP(Painel_diario!$L2114),1)-1</f>
        <v/>
      </c>
      <c r="C2118" s="22">
        <f>(1+C2117)*IF(AND(Painel_diario!$H2114="EU_JU",Painel_diario!$J2114=1),EXP(Painel_diario!$L2114),1)-1</f>
        <v/>
      </c>
      <c r="D2118" s="22">
        <f>(1+D2117)*IF(AND(Painel_diario!$H2114="ED_JD",Painel_diario!$J2114=1),EXP(Painel_diario!$L2114),1)-1</f>
        <v/>
      </c>
      <c r="E2118" s="22">
        <f>(1+E2117)*IF(AND(Painel_diario!$H2114="ED_JU",Painel_diario!$J2114=1),EXP(Painel_diario!$L2114),1)-1</f>
        <v/>
      </c>
    </row>
    <row r="2119">
      <c r="A2119" s="25" t="n">
        <v>41936</v>
      </c>
      <c r="B2119" s="22">
        <f>(1+B2118)*IF(AND(Painel_diario!$H2115="EU_JD",Painel_diario!$J2115=1),EXP(Painel_diario!$L2115),1)-1</f>
        <v/>
      </c>
      <c r="C2119" s="22">
        <f>(1+C2118)*IF(AND(Painel_diario!$H2115="EU_JU",Painel_diario!$J2115=1),EXP(Painel_diario!$L2115),1)-1</f>
        <v/>
      </c>
      <c r="D2119" s="22">
        <f>(1+D2118)*IF(AND(Painel_diario!$H2115="ED_JD",Painel_diario!$J2115=1),EXP(Painel_diario!$L2115),1)-1</f>
        <v/>
      </c>
      <c r="E2119" s="22">
        <f>(1+E2118)*IF(AND(Painel_diario!$H2115="ED_JU",Painel_diario!$J2115=1),EXP(Painel_diario!$L2115),1)-1</f>
        <v/>
      </c>
    </row>
    <row r="2120">
      <c r="A2120" s="25" t="n">
        <v>41939</v>
      </c>
      <c r="B2120" s="22">
        <f>(1+B2119)*IF(AND(Painel_diario!$H2116="EU_JD",Painel_diario!$J2116=1),EXP(Painel_diario!$L2116),1)-1</f>
        <v/>
      </c>
      <c r="C2120" s="22">
        <f>(1+C2119)*IF(AND(Painel_diario!$H2116="EU_JU",Painel_diario!$J2116=1),EXP(Painel_diario!$L2116),1)-1</f>
        <v/>
      </c>
      <c r="D2120" s="22">
        <f>(1+D2119)*IF(AND(Painel_diario!$H2116="ED_JD",Painel_diario!$J2116=1),EXP(Painel_diario!$L2116),1)-1</f>
        <v/>
      </c>
      <c r="E2120" s="22">
        <f>(1+E2119)*IF(AND(Painel_diario!$H2116="ED_JU",Painel_diario!$J2116=1),EXP(Painel_diario!$L2116),1)-1</f>
        <v/>
      </c>
    </row>
    <row r="2121">
      <c r="A2121" s="25" t="n">
        <v>41940</v>
      </c>
      <c r="B2121" s="22">
        <f>(1+B2120)*IF(AND(Painel_diario!$H2117="EU_JD",Painel_diario!$J2117=1),EXP(Painel_diario!$L2117),1)-1</f>
        <v/>
      </c>
      <c r="C2121" s="22">
        <f>(1+C2120)*IF(AND(Painel_diario!$H2117="EU_JU",Painel_diario!$J2117=1),EXP(Painel_diario!$L2117),1)-1</f>
        <v/>
      </c>
      <c r="D2121" s="22">
        <f>(1+D2120)*IF(AND(Painel_diario!$H2117="ED_JD",Painel_diario!$J2117=1),EXP(Painel_diario!$L2117),1)-1</f>
        <v/>
      </c>
      <c r="E2121" s="22">
        <f>(1+E2120)*IF(AND(Painel_diario!$H2117="ED_JU",Painel_diario!$J2117=1),EXP(Painel_diario!$L2117),1)-1</f>
        <v/>
      </c>
    </row>
    <row r="2122">
      <c r="A2122" s="25" t="n">
        <v>41941</v>
      </c>
      <c r="B2122" s="22">
        <f>(1+B2121)*IF(AND(Painel_diario!$H2118="EU_JD",Painel_diario!$J2118=1),EXP(Painel_diario!$L2118),1)-1</f>
        <v/>
      </c>
      <c r="C2122" s="22">
        <f>(1+C2121)*IF(AND(Painel_diario!$H2118="EU_JU",Painel_diario!$J2118=1),EXP(Painel_diario!$L2118),1)-1</f>
        <v/>
      </c>
      <c r="D2122" s="22">
        <f>(1+D2121)*IF(AND(Painel_diario!$H2118="ED_JD",Painel_diario!$J2118=1),EXP(Painel_diario!$L2118),1)-1</f>
        <v/>
      </c>
      <c r="E2122" s="22">
        <f>(1+E2121)*IF(AND(Painel_diario!$H2118="ED_JU",Painel_diario!$J2118=1),EXP(Painel_diario!$L2118),1)-1</f>
        <v/>
      </c>
    </row>
    <row r="2123">
      <c r="A2123" s="25" t="n">
        <v>41942</v>
      </c>
      <c r="B2123" s="22">
        <f>(1+B2122)*IF(AND(Painel_diario!$H2119="EU_JD",Painel_diario!$J2119=1),EXP(Painel_diario!$L2119),1)-1</f>
        <v/>
      </c>
      <c r="C2123" s="22">
        <f>(1+C2122)*IF(AND(Painel_diario!$H2119="EU_JU",Painel_diario!$J2119=1),EXP(Painel_diario!$L2119),1)-1</f>
        <v/>
      </c>
      <c r="D2123" s="22">
        <f>(1+D2122)*IF(AND(Painel_diario!$H2119="ED_JD",Painel_diario!$J2119=1),EXP(Painel_diario!$L2119),1)-1</f>
        <v/>
      </c>
      <c r="E2123" s="22">
        <f>(1+E2122)*IF(AND(Painel_diario!$H2119="ED_JU",Painel_diario!$J2119=1),EXP(Painel_diario!$L2119),1)-1</f>
        <v/>
      </c>
    </row>
    <row r="2124">
      <c r="A2124" s="25" t="n">
        <v>41943</v>
      </c>
      <c r="B2124" s="22">
        <f>(1+B2123)*IF(AND(Painel_diario!$H2120="EU_JD",Painel_diario!$J2120=1),EXP(Painel_diario!$L2120),1)-1</f>
        <v/>
      </c>
      <c r="C2124" s="22">
        <f>(1+C2123)*IF(AND(Painel_diario!$H2120="EU_JU",Painel_diario!$J2120=1),EXP(Painel_diario!$L2120),1)-1</f>
        <v/>
      </c>
      <c r="D2124" s="22">
        <f>(1+D2123)*IF(AND(Painel_diario!$H2120="ED_JD",Painel_diario!$J2120=1),EXP(Painel_diario!$L2120),1)-1</f>
        <v/>
      </c>
      <c r="E2124" s="22">
        <f>(1+E2123)*IF(AND(Painel_diario!$H2120="ED_JU",Painel_diario!$J2120=1),EXP(Painel_diario!$L2120),1)-1</f>
        <v/>
      </c>
    </row>
    <row r="2125">
      <c r="A2125" s="25" t="n">
        <v>41946</v>
      </c>
      <c r="B2125" s="22">
        <f>(1+B2124)*IF(AND(Painel_diario!$H2121="EU_JD",Painel_diario!$J2121=1),EXP(Painel_diario!$L2121),1)-1</f>
        <v/>
      </c>
      <c r="C2125" s="22">
        <f>(1+C2124)*IF(AND(Painel_diario!$H2121="EU_JU",Painel_diario!$J2121=1),EXP(Painel_diario!$L2121),1)-1</f>
        <v/>
      </c>
      <c r="D2125" s="22">
        <f>(1+D2124)*IF(AND(Painel_diario!$H2121="ED_JD",Painel_diario!$J2121=1),EXP(Painel_diario!$L2121),1)-1</f>
        <v/>
      </c>
      <c r="E2125" s="22">
        <f>(1+E2124)*IF(AND(Painel_diario!$H2121="ED_JU",Painel_diario!$J2121=1),EXP(Painel_diario!$L2121),1)-1</f>
        <v/>
      </c>
    </row>
    <row r="2126">
      <c r="A2126" s="25" t="n">
        <v>41947</v>
      </c>
      <c r="B2126" s="22">
        <f>(1+B2125)*IF(AND(Painel_diario!$H2122="EU_JD",Painel_diario!$J2122=1),EXP(Painel_diario!$L2122),1)-1</f>
        <v/>
      </c>
      <c r="C2126" s="22">
        <f>(1+C2125)*IF(AND(Painel_diario!$H2122="EU_JU",Painel_diario!$J2122=1),EXP(Painel_diario!$L2122),1)-1</f>
        <v/>
      </c>
      <c r="D2126" s="22">
        <f>(1+D2125)*IF(AND(Painel_diario!$H2122="ED_JD",Painel_diario!$J2122=1),EXP(Painel_diario!$L2122),1)-1</f>
        <v/>
      </c>
      <c r="E2126" s="22">
        <f>(1+E2125)*IF(AND(Painel_diario!$H2122="ED_JU",Painel_diario!$J2122=1),EXP(Painel_diario!$L2122),1)-1</f>
        <v/>
      </c>
    </row>
    <row r="2127">
      <c r="A2127" s="25" t="n">
        <v>41948</v>
      </c>
      <c r="B2127" s="22">
        <f>(1+B2126)*IF(AND(Painel_diario!$H2123="EU_JD",Painel_diario!$J2123=1),EXP(Painel_diario!$L2123),1)-1</f>
        <v/>
      </c>
      <c r="C2127" s="22">
        <f>(1+C2126)*IF(AND(Painel_diario!$H2123="EU_JU",Painel_diario!$J2123=1),EXP(Painel_diario!$L2123),1)-1</f>
        <v/>
      </c>
      <c r="D2127" s="22">
        <f>(1+D2126)*IF(AND(Painel_diario!$H2123="ED_JD",Painel_diario!$J2123=1),EXP(Painel_diario!$L2123),1)-1</f>
        <v/>
      </c>
      <c r="E2127" s="22">
        <f>(1+E2126)*IF(AND(Painel_diario!$H2123="ED_JU",Painel_diario!$J2123=1),EXP(Painel_diario!$L2123),1)-1</f>
        <v/>
      </c>
    </row>
    <row r="2128">
      <c r="A2128" s="25" t="n">
        <v>41949</v>
      </c>
      <c r="B2128" s="22">
        <f>(1+B2127)*IF(AND(Painel_diario!$H2124="EU_JD",Painel_diario!$J2124=1),EXP(Painel_diario!$L2124),1)-1</f>
        <v/>
      </c>
      <c r="C2128" s="22">
        <f>(1+C2127)*IF(AND(Painel_diario!$H2124="EU_JU",Painel_diario!$J2124=1),EXP(Painel_diario!$L2124),1)-1</f>
        <v/>
      </c>
      <c r="D2128" s="22">
        <f>(1+D2127)*IF(AND(Painel_diario!$H2124="ED_JD",Painel_diario!$J2124=1),EXP(Painel_diario!$L2124),1)-1</f>
        <v/>
      </c>
      <c r="E2128" s="22">
        <f>(1+E2127)*IF(AND(Painel_diario!$H2124="ED_JU",Painel_diario!$J2124=1),EXP(Painel_diario!$L2124),1)-1</f>
        <v/>
      </c>
    </row>
    <row r="2129">
      <c r="A2129" s="25" t="n">
        <v>41950</v>
      </c>
      <c r="B2129" s="22">
        <f>(1+B2128)*IF(AND(Painel_diario!$H2125="EU_JD",Painel_diario!$J2125=1),EXP(Painel_diario!$L2125),1)-1</f>
        <v/>
      </c>
      <c r="C2129" s="22">
        <f>(1+C2128)*IF(AND(Painel_diario!$H2125="EU_JU",Painel_diario!$J2125=1),EXP(Painel_diario!$L2125),1)-1</f>
        <v/>
      </c>
      <c r="D2129" s="22">
        <f>(1+D2128)*IF(AND(Painel_diario!$H2125="ED_JD",Painel_diario!$J2125=1),EXP(Painel_diario!$L2125),1)-1</f>
        <v/>
      </c>
      <c r="E2129" s="22">
        <f>(1+E2128)*IF(AND(Painel_diario!$H2125="ED_JU",Painel_diario!$J2125=1),EXP(Painel_diario!$L2125),1)-1</f>
        <v/>
      </c>
    </row>
    <row r="2130">
      <c r="A2130" s="25" t="n">
        <v>41953</v>
      </c>
      <c r="B2130" s="22">
        <f>(1+B2129)*IF(AND(Painel_diario!$H2126="EU_JD",Painel_diario!$J2126=1),EXP(Painel_diario!$L2126),1)-1</f>
        <v/>
      </c>
      <c r="C2130" s="22">
        <f>(1+C2129)*IF(AND(Painel_diario!$H2126="EU_JU",Painel_diario!$J2126=1),EXP(Painel_diario!$L2126),1)-1</f>
        <v/>
      </c>
      <c r="D2130" s="22">
        <f>(1+D2129)*IF(AND(Painel_diario!$H2126="ED_JD",Painel_diario!$J2126=1),EXP(Painel_diario!$L2126),1)-1</f>
        <v/>
      </c>
      <c r="E2130" s="22">
        <f>(1+E2129)*IF(AND(Painel_diario!$H2126="ED_JU",Painel_diario!$J2126=1),EXP(Painel_diario!$L2126),1)-1</f>
        <v/>
      </c>
    </row>
    <row r="2131">
      <c r="A2131" s="25" t="n">
        <v>41954</v>
      </c>
      <c r="B2131" s="22">
        <f>(1+B2130)*IF(AND(Painel_diario!$H2127="EU_JD",Painel_diario!$J2127=1),EXP(Painel_diario!$L2127),1)-1</f>
        <v/>
      </c>
      <c r="C2131" s="22">
        <f>(1+C2130)*IF(AND(Painel_diario!$H2127="EU_JU",Painel_diario!$J2127=1),EXP(Painel_diario!$L2127),1)-1</f>
        <v/>
      </c>
      <c r="D2131" s="22">
        <f>(1+D2130)*IF(AND(Painel_diario!$H2127="ED_JD",Painel_diario!$J2127=1),EXP(Painel_diario!$L2127),1)-1</f>
        <v/>
      </c>
      <c r="E2131" s="22">
        <f>(1+E2130)*IF(AND(Painel_diario!$H2127="ED_JU",Painel_diario!$J2127=1),EXP(Painel_diario!$L2127),1)-1</f>
        <v/>
      </c>
    </row>
    <row r="2132">
      <c r="A2132" s="25" t="n">
        <v>41955</v>
      </c>
      <c r="B2132" s="22">
        <f>(1+B2131)*IF(AND(Painel_diario!$H2128="EU_JD",Painel_diario!$J2128=1),EXP(Painel_diario!$L2128),1)-1</f>
        <v/>
      </c>
      <c r="C2132" s="22">
        <f>(1+C2131)*IF(AND(Painel_diario!$H2128="EU_JU",Painel_diario!$J2128=1),EXP(Painel_diario!$L2128),1)-1</f>
        <v/>
      </c>
      <c r="D2132" s="22">
        <f>(1+D2131)*IF(AND(Painel_diario!$H2128="ED_JD",Painel_diario!$J2128=1),EXP(Painel_diario!$L2128),1)-1</f>
        <v/>
      </c>
      <c r="E2132" s="22">
        <f>(1+E2131)*IF(AND(Painel_diario!$H2128="ED_JU",Painel_diario!$J2128=1),EXP(Painel_diario!$L2128),1)-1</f>
        <v/>
      </c>
    </row>
    <row r="2133">
      <c r="A2133" s="25" t="n">
        <v>41956</v>
      </c>
      <c r="B2133" s="22">
        <f>(1+B2132)*IF(AND(Painel_diario!$H2129="EU_JD",Painel_diario!$J2129=1),EXP(Painel_diario!$L2129),1)-1</f>
        <v/>
      </c>
      <c r="C2133" s="22">
        <f>(1+C2132)*IF(AND(Painel_diario!$H2129="EU_JU",Painel_diario!$J2129=1),EXP(Painel_diario!$L2129),1)-1</f>
        <v/>
      </c>
      <c r="D2133" s="22">
        <f>(1+D2132)*IF(AND(Painel_diario!$H2129="ED_JD",Painel_diario!$J2129=1),EXP(Painel_diario!$L2129),1)-1</f>
        <v/>
      </c>
      <c r="E2133" s="22">
        <f>(1+E2132)*IF(AND(Painel_diario!$H2129="ED_JU",Painel_diario!$J2129=1),EXP(Painel_diario!$L2129),1)-1</f>
        <v/>
      </c>
    </row>
    <row r="2134">
      <c r="A2134" s="25" t="n">
        <v>41957</v>
      </c>
      <c r="B2134" s="22">
        <f>(1+B2133)*IF(AND(Painel_diario!$H2130="EU_JD",Painel_diario!$J2130=1),EXP(Painel_diario!$L2130),1)-1</f>
        <v/>
      </c>
      <c r="C2134" s="22">
        <f>(1+C2133)*IF(AND(Painel_diario!$H2130="EU_JU",Painel_diario!$J2130=1),EXP(Painel_diario!$L2130),1)-1</f>
        <v/>
      </c>
      <c r="D2134" s="22">
        <f>(1+D2133)*IF(AND(Painel_diario!$H2130="ED_JD",Painel_diario!$J2130=1),EXP(Painel_diario!$L2130),1)-1</f>
        <v/>
      </c>
      <c r="E2134" s="22">
        <f>(1+E2133)*IF(AND(Painel_diario!$H2130="ED_JU",Painel_diario!$J2130=1),EXP(Painel_diario!$L2130),1)-1</f>
        <v/>
      </c>
    </row>
    <row r="2135">
      <c r="A2135" s="25" t="n">
        <v>41960</v>
      </c>
      <c r="B2135" s="22">
        <f>(1+B2134)*IF(AND(Painel_diario!$H2131="EU_JD",Painel_diario!$J2131=1),EXP(Painel_diario!$L2131),1)-1</f>
        <v/>
      </c>
      <c r="C2135" s="22">
        <f>(1+C2134)*IF(AND(Painel_diario!$H2131="EU_JU",Painel_diario!$J2131=1),EXP(Painel_diario!$L2131),1)-1</f>
        <v/>
      </c>
      <c r="D2135" s="22">
        <f>(1+D2134)*IF(AND(Painel_diario!$H2131="ED_JD",Painel_diario!$J2131=1),EXP(Painel_diario!$L2131),1)-1</f>
        <v/>
      </c>
      <c r="E2135" s="22">
        <f>(1+E2134)*IF(AND(Painel_diario!$H2131="ED_JU",Painel_diario!$J2131=1),EXP(Painel_diario!$L2131),1)-1</f>
        <v/>
      </c>
    </row>
    <row r="2136">
      <c r="A2136" s="25" t="n">
        <v>41961</v>
      </c>
      <c r="B2136" s="22">
        <f>(1+B2135)*IF(AND(Painel_diario!$H2132="EU_JD",Painel_diario!$J2132=1),EXP(Painel_diario!$L2132),1)-1</f>
        <v/>
      </c>
      <c r="C2136" s="22">
        <f>(1+C2135)*IF(AND(Painel_diario!$H2132="EU_JU",Painel_diario!$J2132=1),EXP(Painel_diario!$L2132),1)-1</f>
        <v/>
      </c>
      <c r="D2136" s="22">
        <f>(1+D2135)*IF(AND(Painel_diario!$H2132="ED_JD",Painel_diario!$J2132=1),EXP(Painel_diario!$L2132),1)-1</f>
        <v/>
      </c>
      <c r="E2136" s="22">
        <f>(1+E2135)*IF(AND(Painel_diario!$H2132="ED_JU",Painel_diario!$J2132=1),EXP(Painel_diario!$L2132),1)-1</f>
        <v/>
      </c>
    </row>
    <row r="2137">
      <c r="A2137" s="25" t="n">
        <v>41962</v>
      </c>
      <c r="B2137" s="22">
        <f>(1+B2136)*IF(AND(Painel_diario!$H2133="EU_JD",Painel_diario!$J2133=1),EXP(Painel_diario!$L2133),1)-1</f>
        <v/>
      </c>
      <c r="C2137" s="22">
        <f>(1+C2136)*IF(AND(Painel_diario!$H2133="EU_JU",Painel_diario!$J2133=1),EXP(Painel_diario!$L2133),1)-1</f>
        <v/>
      </c>
      <c r="D2137" s="22">
        <f>(1+D2136)*IF(AND(Painel_diario!$H2133="ED_JD",Painel_diario!$J2133=1),EXP(Painel_diario!$L2133),1)-1</f>
        <v/>
      </c>
      <c r="E2137" s="22">
        <f>(1+E2136)*IF(AND(Painel_diario!$H2133="ED_JU",Painel_diario!$J2133=1),EXP(Painel_diario!$L2133),1)-1</f>
        <v/>
      </c>
    </row>
    <row r="2138">
      <c r="A2138" s="25" t="n">
        <v>41964</v>
      </c>
      <c r="B2138" s="22">
        <f>(1+B2137)*IF(AND(Painel_diario!$H2134="EU_JD",Painel_diario!$J2134=1),EXP(Painel_diario!$L2134),1)-1</f>
        <v/>
      </c>
      <c r="C2138" s="22">
        <f>(1+C2137)*IF(AND(Painel_diario!$H2134="EU_JU",Painel_diario!$J2134=1),EXP(Painel_diario!$L2134),1)-1</f>
        <v/>
      </c>
      <c r="D2138" s="22">
        <f>(1+D2137)*IF(AND(Painel_diario!$H2134="ED_JD",Painel_diario!$J2134=1),EXP(Painel_diario!$L2134),1)-1</f>
        <v/>
      </c>
      <c r="E2138" s="22">
        <f>(1+E2137)*IF(AND(Painel_diario!$H2134="ED_JU",Painel_diario!$J2134=1),EXP(Painel_diario!$L2134),1)-1</f>
        <v/>
      </c>
    </row>
    <row r="2139">
      <c r="A2139" s="25" t="n">
        <v>41967</v>
      </c>
      <c r="B2139" s="22">
        <f>(1+B2138)*IF(AND(Painel_diario!$H2135="EU_JD",Painel_diario!$J2135=1),EXP(Painel_diario!$L2135),1)-1</f>
        <v/>
      </c>
      <c r="C2139" s="22">
        <f>(1+C2138)*IF(AND(Painel_diario!$H2135="EU_JU",Painel_diario!$J2135=1),EXP(Painel_diario!$L2135),1)-1</f>
        <v/>
      </c>
      <c r="D2139" s="22">
        <f>(1+D2138)*IF(AND(Painel_diario!$H2135="ED_JD",Painel_diario!$J2135=1),EXP(Painel_diario!$L2135),1)-1</f>
        <v/>
      </c>
      <c r="E2139" s="22">
        <f>(1+E2138)*IF(AND(Painel_diario!$H2135="ED_JU",Painel_diario!$J2135=1),EXP(Painel_diario!$L2135),1)-1</f>
        <v/>
      </c>
    </row>
    <row r="2140">
      <c r="A2140" s="25" t="n">
        <v>41968</v>
      </c>
      <c r="B2140" s="22">
        <f>(1+B2139)*IF(AND(Painel_diario!$H2136="EU_JD",Painel_diario!$J2136=1),EXP(Painel_diario!$L2136),1)-1</f>
        <v/>
      </c>
      <c r="C2140" s="22">
        <f>(1+C2139)*IF(AND(Painel_diario!$H2136="EU_JU",Painel_diario!$J2136=1),EXP(Painel_diario!$L2136),1)-1</f>
        <v/>
      </c>
      <c r="D2140" s="22">
        <f>(1+D2139)*IF(AND(Painel_diario!$H2136="ED_JD",Painel_diario!$J2136=1),EXP(Painel_diario!$L2136),1)-1</f>
        <v/>
      </c>
      <c r="E2140" s="22">
        <f>(1+E2139)*IF(AND(Painel_diario!$H2136="ED_JU",Painel_diario!$J2136=1),EXP(Painel_diario!$L2136),1)-1</f>
        <v/>
      </c>
    </row>
    <row r="2141">
      <c r="A2141" s="25" t="n">
        <v>41969</v>
      </c>
      <c r="B2141" s="22">
        <f>(1+B2140)*IF(AND(Painel_diario!$H2137="EU_JD",Painel_diario!$J2137=1),EXP(Painel_diario!$L2137),1)-1</f>
        <v/>
      </c>
      <c r="C2141" s="22">
        <f>(1+C2140)*IF(AND(Painel_diario!$H2137="EU_JU",Painel_diario!$J2137=1),EXP(Painel_diario!$L2137),1)-1</f>
        <v/>
      </c>
      <c r="D2141" s="22">
        <f>(1+D2140)*IF(AND(Painel_diario!$H2137="ED_JD",Painel_diario!$J2137=1),EXP(Painel_diario!$L2137),1)-1</f>
        <v/>
      </c>
      <c r="E2141" s="22">
        <f>(1+E2140)*IF(AND(Painel_diario!$H2137="ED_JU",Painel_diario!$J2137=1),EXP(Painel_diario!$L2137),1)-1</f>
        <v/>
      </c>
    </row>
    <row r="2142">
      <c r="A2142" s="25" t="n">
        <v>41970</v>
      </c>
      <c r="B2142" s="22">
        <f>(1+B2141)*IF(AND(Painel_diario!$H2138="EU_JD",Painel_diario!$J2138=1),EXP(Painel_diario!$L2138),1)-1</f>
        <v/>
      </c>
      <c r="C2142" s="22">
        <f>(1+C2141)*IF(AND(Painel_diario!$H2138="EU_JU",Painel_diario!$J2138=1),EXP(Painel_diario!$L2138),1)-1</f>
        <v/>
      </c>
      <c r="D2142" s="22">
        <f>(1+D2141)*IF(AND(Painel_diario!$H2138="ED_JD",Painel_diario!$J2138=1),EXP(Painel_diario!$L2138),1)-1</f>
        <v/>
      </c>
      <c r="E2142" s="22">
        <f>(1+E2141)*IF(AND(Painel_diario!$H2138="ED_JU",Painel_diario!$J2138=1),EXP(Painel_diario!$L2138),1)-1</f>
        <v/>
      </c>
    </row>
    <row r="2143">
      <c r="A2143" s="25" t="n">
        <v>41971</v>
      </c>
      <c r="B2143" s="22">
        <f>(1+B2142)*IF(AND(Painel_diario!$H2139="EU_JD",Painel_diario!$J2139=1),EXP(Painel_diario!$L2139),1)-1</f>
        <v/>
      </c>
      <c r="C2143" s="22">
        <f>(1+C2142)*IF(AND(Painel_diario!$H2139="EU_JU",Painel_diario!$J2139=1),EXP(Painel_diario!$L2139),1)-1</f>
        <v/>
      </c>
      <c r="D2143" s="22">
        <f>(1+D2142)*IF(AND(Painel_diario!$H2139="ED_JD",Painel_diario!$J2139=1),EXP(Painel_diario!$L2139),1)-1</f>
        <v/>
      </c>
      <c r="E2143" s="22">
        <f>(1+E2142)*IF(AND(Painel_diario!$H2139="ED_JU",Painel_diario!$J2139=1),EXP(Painel_diario!$L2139),1)-1</f>
        <v/>
      </c>
    </row>
    <row r="2144">
      <c r="A2144" s="25" t="n">
        <v>41974</v>
      </c>
      <c r="B2144" s="22">
        <f>(1+B2143)*IF(AND(Painel_diario!$H2140="EU_JD",Painel_diario!$J2140=1),EXP(Painel_diario!$L2140),1)-1</f>
        <v/>
      </c>
      <c r="C2144" s="22">
        <f>(1+C2143)*IF(AND(Painel_diario!$H2140="EU_JU",Painel_diario!$J2140=1),EXP(Painel_diario!$L2140),1)-1</f>
        <v/>
      </c>
      <c r="D2144" s="22">
        <f>(1+D2143)*IF(AND(Painel_diario!$H2140="ED_JD",Painel_diario!$J2140=1),EXP(Painel_diario!$L2140),1)-1</f>
        <v/>
      </c>
      <c r="E2144" s="22">
        <f>(1+E2143)*IF(AND(Painel_diario!$H2140="ED_JU",Painel_diario!$J2140=1),EXP(Painel_diario!$L2140),1)-1</f>
        <v/>
      </c>
    </row>
    <row r="2145">
      <c r="A2145" s="25" t="n">
        <v>41975</v>
      </c>
      <c r="B2145" s="22">
        <f>(1+B2144)*IF(AND(Painel_diario!$H2141="EU_JD",Painel_diario!$J2141=1),EXP(Painel_diario!$L2141),1)-1</f>
        <v/>
      </c>
      <c r="C2145" s="22">
        <f>(1+C2144)*IF(AND(Painel_diario!$H2141="EU_JU",Painel_diario!$J2141=1),EXP(Painel_diario!$L2141),1)-1</f>
        <v/>
      </c>
      <c r="D2145" s="22">
        <f>(1+D2144)*IF(AND(Painel_diario!$H2141="ED_JD",Painel_diario!$J2141=1),EXP(Painel_diario!$L2141),1)-1</f>
        <v/>
      </c>
      <c r="E2145" s="22">
        <f>(1+E2144)*IF(AND(Painel_diario!$H2141="ED_JU",Painel_diario!$J2141=1),EXP(Painel_diario!$L2141),1)-1</f>
        <v/>
      </c>
    </row>
    <row r="2146">
      <c r="A2146" s="25" t="n">
        <v>41976</v>
      </c>
      <c r="B2146" s="22">
        <f>(1+B2145)*IF(AND(Painel_diario!$H2142="EU_JD",Painel_diario!$J2142=1),EXP(Painel_diario!$L2142),1)-1</f>
        <v/>
      </c>
      <c r="C2146" s="22">
        <f>(1+C2145)*IF(AND(Painel_diario!$H2142="EU_JU",Painel_diario!$J2142=1),EXP(Painel_diario!$L2142),1)-1</f>
        <v/>
      </c>
      <c r="D2146" s="22">
        <f>(1+D2145)*IF(AND(Painel_diario!$H2142="ED_JD",Painel_diario!$J2142=1),EXP(Painel_diario!$L2142),1)-1</f>
        <v/>
      </c>
      <c r="E2146" s="22">
        <f>(1+E2145)*IF(AND(Painel_diario!$H2142="ED_JU",Painel_diario!$J2142=1),EXP(Painel_diario!$L2142),1)-1</f>
        <v/>
      </c>
    </row>
    <row r="2147">
      <c r="A2147" s="25" t="n">
        <v>41977</v>
      </c>
      <c r="B2147" s="22">
        <f>(1+B2146)*IF(AND(Painel_diario!$H2143="EU_JD",Painel_diario!$J2143=1),EXP(Painel_diario!$L2143),1)-1</f>
        <v/>
      </c>
      <c r="C2147" s="22">
        <f>(1+C2146)*IF(AND(Painel_diario!$H2143="EU_JU",Painel_diario!$J2143=1),EXP(Painel_diario!$L2143),1)-1</f>
        <v/>
      </c>
      <c r="D2147" s="22">
        <f>(1+D2146)*IF(AND(Painel_diario!$H2143="ED_JD",Painel_diario!$J2143=1),EXP(Painel_diario!$L2143),1)-1</f>
        <v/>
      </c>
      <c r="E2147" s="22">
        <f>(1+E2146)*IF(AND(Painel_diario!$H2143="ED_JU",Painel_diario!$J2143=1),EXP(Painel_diario!$L2143),1)-1</f>
        <v/>
      </c>
    </row>
    <row r="2148">
      <c r="A2148" s="25" t="n">
        <v>41978</v>
      </c>
      <c r="B2148" s="22">
        <f>(1+B2147)*IF(AND(Painel_diario!$H2144="EU_JD",Painel_diario!$J2144=1),EXP(Painel_diario!$L2144),1)-1</f>
        <v/>
      </c>
      <c r="C2148" s="22">
        <f>(1+C2147)*IF(AND(Painel_diario!$H2144="EU_JU",Painel_diario!$J2144=1),EXP(Painel_diario!$L2144),1)-1</f>
        <v/>
      </c>
      <c r="D2148" s="22">
        <f>(1+D2147)*IF(AND(Painel_diario!$H2144="ED_JD",Painel_diario!$J2144=1),EXP(Painel_diario!$L2144),1)-1</f>
        <v/>
      </c>
      <c r="E2148" s="22">
        <f>(1+E2147)*IF(AND(Painel_diario!$H2144="ED_JU",Painel_diario!$J2144=1),EXP(Painel_diario!$L2144),1)-1</f>
        <v/>
      </c>
    </row>
    <row r="2149">
      <c r="A2149" s="25" t="n">
        <v>41981</v>
      </c>
      <c r="B2149" s="22">
        <f>(1+B2148)*IF(AND(Painel_diario!$H2145="EU_JD",Painel_diario!$J2145=1),EXP(Painel_diario!$L2145),1)-1</f>
        <v/>
      </c>
      <c r="C2149" s="22">
        <f>(1+C2148)*IF(AND(Painel_diario!$H2145="EU_JU",Painel_diario!$J2145=1),EXP(Painel_diario!$L2145),1)-1</f>
        <v/>
      </c>
      <c r="D2149" s="22">
        <f>(1+D2148)*IF(AND(Painel_diario!$H2145="ED_JD",Painel_diario!$J2145=1),EXP(Painel_diario!$L2145),1)-1</f>
        <v/>
      </c>
      <c r="E2149" s="22">
        <f>(1+E2148)*IF(AND(Painel_diario!$H2145="ED_JU",Painel_diario!$J2145=1),EXP(Painel_diario!$L2145),1)-1</f>
        <v/>
      </c>
    </row>
    <row r="2150">
      <c r="A2150" s="25" t="n">
        <v>41982</v>
      </c>
      <c r="B2150" s="22">
        <f>(1+B2149)*IF(AND(Painel_diario!$H2146="EU_JD",Painel_diario!$J2146=1),EXP(Painel_diario!$L2146),1)-1</f>
        <v/>
      </c>
      <c r="C2150" s="22">
        <f>(1+C2149)*IF(AND(Painel_diario!$H2146="EU_JU",Painel_diario!$J2146=1),EXP(Painel_diario!$L2146),1)-1</f>
        <v/>
      </c>
      <c r="D2150" s="22">
        <f>(1+D2149)*IF(AND(Painel_diario!$H2146="ED_JD",Painel_diario!$J2146=1),EXP(Painel_diario!$L2146),1)-1</f>
        <v/>
      </c>
      <c r="E2150" s="22">
        <f>(1+E2149)*IF(AND(Painel_diario!$H2146="ED_JU",Painel_diario!$J2146=1),EXP(Painel_diario!$L2146),1)-1</f>
        <v/>
      </c>
    </row>
    <row r="2151">
      <c r="A2151" s="25" t="n">
        <v>41983</v>
      </c>
      <c r="B2151" s="22">
        <f>(1+B2150)*IF(AND(Painel_diario!$H2147="EU_JD",Painel_diario!$J2147=1),EXP(Painel_diario!$L2147),1)-1</f>
        <v/>
      </c>
      <c r="C2151" s="22">
        <f>(1+C2150)*IF(AND(Painel_diario!$H2147="EU_JU",Painel_diario!$J2147=1),EXP(Painel_diario!$L2147),1)-1</f>
        <v/>
      </c>
      <c r="D2151" s="22">
        <f>(1+D2150)*IF(AND(Painel_diario!$H2147="ED_JD",Painel_diario!$J2147=1),EXP(Painel_diario!$L2147),1)-1</f>
        <v/>
      </c>
      <c r="E2151" s="22">
        <f>(1+E2150)*IF(AND(Painel_diario!$H2147="ED_JU",Painel_diario!$J2147=1),EXP(Painel_diario!$L2147),1)-1</f>
        <v/>
      </c>
    </row>
    <row r="2152">
      <c r="A2152" s="25" t="n">
        <v>41984</v>
      </c>
      <c r="B2152" s="22">
        <f>(1+B2151)*IF(AND(Painel_diario!$H2148="EU_JD",Painel_diario!$J2148=1),EXP(Painel_diario!$L2148),1)-1</f>
        <v/>
      </c>
      <c r="C2152" s="22">
        <f>(1+C2151)*IF(AND(Painel_diario!$H2148="EU_JU",Painel_diario!$J2148=1),EXP(Painel_diario!$L2148),1)-1</f>
        <v/>
      </c>
      <c r="D2152" s="22">
        <f>(1+D2151)*IF(AND(Painel_diario!$H2148="ED_JD",Painel_diario!$J2148=1),EXP(Painel_diario!$L2148),1)-1</f>
        <v/>
      </c>
      <c r="E2152" s="22">
        <f>(1+E2151)*IF(AND(Painel_diario!$H2148="ED_JU",Painel_diario!$J2148=1),EXP(Painel_diario!$L2148),1)-1</f>
        <v/>
      </c>
    </row>
    <row r="2153">
      <c r="A2153" s="25" t="n">
        <v>41985</v>
      </c>
      <c r="B2153" s="22">
        <f>(1+B2152)*IF(AND(Painel_diario!$H2149="EU_JD",Painel_diario!$J2149=1),EXP(Painel_diario!$L2149),1)-1</f>
        <v/>
      </c>
      <c r="C2153" s="22">
        <f>(1+C2152)*IF(AND(Painel_diario!$H2149="EU_JU",Painel_diario!$J2149=1),EXP(Painel_diario!$L2149),1)-1</f>
        <v/>
      </c>
      <c r="D2153" s="22">
        <f>(1+D2152)*IF(AND(Painel_diario!$H2149="ED_JD",Painel_diario!$J2149=1),EXP(Painel_diario!$L2149),1)-1</f>
        <v/>
      </c>
      <c r="E2153" s="22">
        <f>(1+E2152)*IF(AND(Painel_diario!$H2149="ED_JU",Painel_diario!$J2149=1),EXP(Painel_diario!$L2149),1)-1</f>
        <v/>
      </c>
    </row>
    <row r="2154">
      <c r="A2154" s="25" t="n">
        <v>41988</v>
      </c>
      <c r="B2154" s="22">
        <f>(1+B2153)*IF(AND(Painel_diario!$H2150="EU_JD",Painel_diario!$J2150=1),EXP(Painel_diario!$L2150),1)-1</f>
        <v/>
      </c>
      <c r="C2154" s="22">
        <f>(1+C2153)*IF(AND(Painel_diario!$H2150="EU_JU",Painel_diario!$J2150=1),EXP(Painel_diario!$L2150),1)-1</f>
        <v/>
      </c>
      <c r="D2154" s="22">
        <f>(1+D2153)*IF(AND(Painel_diario!$H2150="ED_JD",Painel_diario!$J2150=1),EXP(Painel_diario!$L2150),1)-1</f>
        <v/>
      </c>
      <c r="E2154" s="22">
        <f>(1+E2153)*IF(AND(Painel_diario!$H2150="ED_JU",Painel_diario!$J2150=1),EXP(Painel_diario!$L2150),1)-1</f>
        <v/>
      </c>
    </row>
    <row r="2155">
      <c r="A2155" s="25" t="n">
        <v>41989</v>
      </c>
      <c r="B2155" s="22">
        <f>(1+B2154)*IF(AND(Painel_diario!$H2151="EU_JD",Painel_diario!$J2151=1),EXP(Painel_diario!$L2151),1)-1</f>
        <v/>
      </c>
      <c r="C2155" s="22">
        <f>(1+C2154)*IF(AND(Painel_diario!$H2151="EU_JU",Painel_diario!$J2151=1),EXP(Painel_diario!$L2151),1)-1</f>
        <v/>
      </c>
      <c r="D2155" s="22">
        <f>(1+D2154)*IF(AND(Painel_diario!$H2151="ED_JD",Painel_diario!$J2151=1),EXP(Painel_diario!$L2151),1)-1</f>
        <v/>
      </c>
      <c r="E2155" s="22">
        <f>(1+E2154)*IF(AND(Painel_diario!$H2151="ED_JU",Painel_diario!$J2151=1),EXP(Painel_diario!$L2151),1)-1</f>
        <v/>
      </c>
    </row>
    <row r="2156">
      <c r="A2156" s="25" t="n">
        <v>41990</v>
      </c>
      <c r="B2156" s="22">
        <f>(1+B2155)*IF(AND(Painel_diario!$H2152="EU_JD",Painel_diario!$J2152=1),EXP(Painel_diario!$L2152),1)-1</f>
        <v/>
      </c>
      <c r="C2156" s="22">
        <f>(1+C2155)*IF(AND(Painel_diario!$H2152="EU_JU",Painel_diario!$J2152=1),EXP(Painel_diario!$L2152),1)-1</f>
        <v/>
      </c>
      <c r="D2156" s="22">
        <f>(1+D2155)*IF(AND(Painel_diario!$H2152="ED_JD",Painel_diario!$J2152=1),EXP(Painel_diario!$L2152),1)-1</f>
        <v/>
      </c>
      <c r="E2156" s="22">
        <f>(1+E2155)*IF(AND(Painel_diario!$H2152="ED_JU",Painel_diario!$J2152=1),EXP(Painel_diario!$L2152),1)-1</f>
        <v/>
      </c>
    </row>
    <row r="2157">
      <c r="A2157" s="25" t="n">
        <v>41991</v>
      </c>
      <c r="B2157" s="22">
        <f>(1+B2156)*IF(AND(Painel_diario!$H2153="EU_JD",Painel_diario!$J2153=1),EXP(Painel_diario!$L2153),1)-1</f>
        <v/>
      </c>
      <c r="C2157" s="22">
        <f>(1+C2156)*IF(AND(Painel_diario!$H2153="EU_JU",Painel_diario!$J2153=1),EXP(Painel_diario!$L2153),1)-1</f>
        <v/>
      </c>
      <c r="D2157" s="22">
        <f>(1+D2156)*IF(AND(Painel_diario!$H2153="ED_JD",Painel_diario!$J2153=1),EXP(Painel_diario!$L2153),1)-1</f>
        <v/>
      </c>
      <c r="E2157" s="22">
        <f>(1+E2156)*IF(AND(Painel_diario!$H2153="ED_JU",Painel_diario!$J2153=1),EXP(Painel_diario!$L2153),1)-1</f>
        <v/>
      </c>
    </row>
    <row r="2158">
      <c r="A2158" s="25" t="n">
        <v>41992</v>
      </c>
      <c r="B2158" s="22">
        <f>(1+B2157)*IF(AND(Painel_diario!$H2154="EU_JD",Painel_diario!$J2154=1),EXP(Painel_diario!$L2154),1)-1</f>
        <v/>
      </c>
      <c r="C2158" s="22">
        <f>(1+C2157)*IF(AND(Painel_diario!$H2154="EU_JU",Painel_diario!$J2154=1),EXP(Painel_diario!$L2154),1)-1</f>
        <v/>
      </c>
      <c r="D2158" s="22">
        <f>(1+D2157)*IF(AND(Painel_diario!$H2154="ED_JD",Painel_diario!$J2154=1),EXP(Painel_diario!$L2154),1)-1</f>
        <v/>
      </c>
      <c r="E2158" s="22">
        <f>(1+E2157)*IF(AND(Painel_diario!$H2154="ED_JU",Painel_diario!$J2154=1),EXP(Painel_diario!$L2154),1)-1</f>
        <v/>
      </c>
    </row>
    <row r="2159">
      <c r="A2159" s="25" t="n">
        <v>41995</v>
      </c>
      <c r="B2159" s="22">
        <f>(1+B2158)*IF(AND(Painel_diario!$H2155="EU_JD",Painel_diario!$J2155=1),EXP(Painel_diario!$L2155),1)-1</f>
        <v/>
      </c>
      <c r="C2159" s="22">
        <f>(1+C2158)*IF(AND(Painel_diario!$H2155="EU_JU",Painel_diario!$J2155=1),EXP(Painel_diario!$L2155),1)-1</f>
        <v/>
      </c>
      <c r="D2159" s="22">
        <f>(1+D2158)*IF(AND(Painel_diario!$H2155="ED_JD",Painel_diario!$J2155=1),EXP(Painel_diario!$L2155),1)-1</f>
        <v/>
      </c>
      <c r="E2159" s="22">
        <f>(1+E2158)*IF(AND(Painel_diario!$H2155="ED_JU",Painel_diario!$J2155=1),EXP(Painel_diario!$L2155),1)-1</f>
        <v/>
      </c>
    </row>
    <row r="2160">
      <c r="A2160" s="25" t="n">
        <v>41996</v>
      </c>
      <c r="B2160" s="22">
        <f>(1+B2159)*IF(AND(Painel_diario!$H2156="EU_JD",Painel_diario!$J2156=1),EXP(Painel_diario!$L2156),1)-1</f>
        <v/>
      </c>
      <c r="C2160" s="22">
        <f>(1+C2159)*IF(AND(Painel_diario!$H2156="EU_JU",Painel_diario!$J2156=1),EXP(Painel_diario!$L2156),1)-1</f>
        <v/>
      </c>
      <c r="D2160" s="22">
        <f>(1+D2159)*IF(AND(Painel_diario!$H2156="ED_JD",Painel_diario!$J2156=1),EXP(Painel_diario!$L2156),1)-1</f>
        <v/>
      </c>
      <c r="E2160" s="22">
        <f>(1+E2159)*IF(AND(Painel_diario!$H2156="ED_JU",Painel_diario!$J2156=1),EXP(Painel_diario!$L2156),1)-1</f>
        <v/>
      </c>
    </row>
    <row r="2161">
      <c r="A2161" s="25" t="n">
        <v>41999</v>
      </c>
      <c r="B2161" s="22">
        <f>(1+B2160)*IF(AND(Painel_diario!$H2157="EU_JD",Painel_diario!$J2157=1),EXP(Painel_diario!$L2157),1)-1</f>
        <v/>
      </c>
      <c r="C2161" s="22">
        <f>(1+C2160)*IF(AND(Painel_diario!$H2157="EU_JU",Painel_diario!$J2157=1),EXP(Painel_diario!$L2157),1)-1</f>
        <v/>
      </c>
      <c r="D2161" s="22">
        <f>(1+D2160)*IF(AND(Painel_diario!$H2157="ED_JD",Painel_diario!$J2157=1),EXP(Painel_diario!$L2157),1)-1</f>
        <v/>
      </c>
      <c r="E2161" s="22">
        <f>(1+E2160)*IF(AND(Painel_diario!$H2157="ED_JU",Painel_diario!$J2157=1),EXP(Painel_diario!$L2157),1)-1</f>
        <v/>
      </c>
    </row>
    <row r="2162">
      <c r="A2162" s="25" t="n">
        <v>42002</v>
      </c>
      <c r="B2162" s="22">
        <f>(1+B2161)*IF(AND(Painel_diario!$H2158="EU_JD",Painel_diario!$J2158=1),EXP(Painel_diario!$L2158),1)-1</f>
        <v/>
      </c>
      <c r="C2162" s="22">
        <f>(1+C2161)*IF(AND(Painel_diario!$H2158="EU_JU",Painel_diario!$J2158=1),EXP(Painel_diario!$L2158),1)-1</f>
        <v/>
      </c>
      <c r="D2162" s="22">
        <f>(1+D2161)*IF(AND(Painel_diario!$H2158="ED_JD",Painel_diario!$J2158=1),EXP(Painel_diario!$L2158),1)-1</f>
        <v/>
      </c>
      <c r="E2162" s="22">
        <f>(1+E2161)*IF(AND(Painel_diario!$H2158="ED_JU",Painel_diario!$J2158=1),EXP(Painel_diario!$L2158),1)-1</f>
        <v/>
      </c>
    </row>
    <row r="2163">
      <c r="A2163" s="25" t="n">
        <v>42003</v>
      </c>
      <c r="B2163" s="22">
        <f>(1+B2162)*IF(AND(Painel_diario!$H2159="EU_JD",Painel_diario!$J2159=1),EXP(Painel_diario!$L2159),1)-1</f>
        <v/>
      </c>
      <c r="C2163" s="22">
        <f>(1+C2162)*IF(AND(Painel_diario!$H2159="EU_JU",Painel_diario!$J2159=1),EXP(Painel_diario!$L2159),1)-1</f>
        <v/>
      </c>
      <c r="D2163" s="22">
        <f>(1+D2162)*IF(AND(Painel_diario!$H2159="ED_JD",Painel_diario!$J2159=1),EXP(Painel_diario!$L2159),1)-1</f>
        <v/>
      </c>
      <c r="E2163" s="22">
        <f>(1+E2162)*IF(AND(Painel_diario!$H2159="ED_JU",Painel_diario!$J2159=1),EXP(Painel_diario!$L2159),1)-1</f>
        <v/>
      </c>
    </row>
    <row r="2164">
      <c r="A2164" s="25" t="n">
        <v>42006</v>
      </c>
      <c r="B2164" s="22">
        <f>(1+B2163)*IF(AND(Painel_diario!$H2160="EU_JD",Painel_diario!$J2160=1),EXP(Painel_diario!$L2160),1)-1</f>
        <v/>
      </c>
      <c r="C2164" s="22">
        <f>(1+C2163)*IF(AND(Painel_diario!$H2160="EU_JU",Painel_diario!$J2160=1),EXP(Painel_diario!$L2160),1)-1</f>
        <v/>
      </c>
      <c r="D2164" s="22">
        <f>(1+D2163)*IF(AND(Painel_diario!$H2160="ED_JD",Painel_diario!$J2160=1),EXP(Painel_diario!$L2160),1)-1</f>
        <v/>
      </c>
      <c r="E2164" s="22">
        <f>(1+E2163)*IF(AND(Painel_diario!$H2160="ED_JU",Painel_diario!$J2160=1),EXP(Painel_diario!$L2160),1)-1</f>
        <v/>
      </c>
    </row>
    <row r="2165">
      <c r="A2165" s="25" t="n">
        <v>42009</v>
      </c>
      <c r="B2165" s="22">
        <f>(1+B2164)*IF(AND(Painel_diario!$H2161="EU_JD",Painel_diario!$J2161=1),EXP(Painel_diario!$L2161),1)-1</f>
        <v/>
      </c>
      <c r="C2165" s="22">
        <f>(1+C2164)*IF(AND(Painel_diario!$H2161="EU_JU",Painel_diario!$J2161=1),EXP(Painel_diario!$L2161),1)-1</f>
        <v/>
      </c>
      <c r="D2165" s="22">
        <f>(1+D2164)*IF(AND(Painel_diario!$H2161="ED_JD",Painel_diario!$J2161=1),EXP(Painel_diario!$L2161),1)-1</f>
        <v/>
      </c>
      <c r="E2165" s="22">
        <f>(1+E2164)*IF(AND(Painel_diario!$H2161="ED_JU",Painel_diario!$J2161=1),EXP(Painel_diario!$L2161),1)-1</f>
        <v/>
      </c>
    </row>
    <row r="2166">
      <c r="A2166" s="25" t="n">
        <v>42010</v>
      </c>
      <c r="B2166" s="22">
        <f>(1+B2165)*IF(AND(Painel_diario!$H2162="EU_JD",Painel_diario!$J2162=1),EXP(Painel_diario!$L2162),1)-1</f>
        <v/>
      </c>
      <c r="C2166" s="22">
        <f>(1+C2165)*IF(AND(Painel_diario!$H2162="EU_JU",Painel_diario!$J2162=1),EXP(Painel_diario!$L2162),1)-1</f>
        <v/>
      </c>
      <c r="D2166" s="22">
        <f>(1+D2165)*IF(AND(Painel_diario!$H2162="ED_JD",Painel_diario!$J2162=1),EXP(Painel_diario!$L2162),1)-1</f>
        <v/>
      </c>
      <c r="E2166" s="22">
        <f>(1+E2165)*IF(AND(Painel_diario!$H2162="ED_JU",Painel_diario!$J2162=1),EXP(Painel_diario!$L2162),1)-1</f>
        <v/>
      </c>
    </row>
    <row r="2167">
      <c r="A2167" s="25" t="n">
        <v>42011</v>
      </c>
      <c r="B2167" s="22">
        <f>(1+B2166)*IF(AND(Painel_diario!$H2163="EU_JD",Painel_diario!$J2163=1),EXP(Painel_diario!$L2163),1)-1</f>
        <v/>
      </c>
      <c r="C2167" s="22">
        <f>(1+C2166)*IF(AND(Painel_diario!$H2163="EU_JU",Painel_diario!$J2163=1),EXP(Painel_diario!$L2163),1)-1</f>
        <v/>
      </c>
      <c r="D2167" s="22">
        <f>(1+D2166)*IF(AND(Painel_diario!$H2163="ED_JD",Painel_diario!$J2163=1),EXP(Painel_diario!$L2163),1)-1</f>
        <v/>
      </c>
      <c r="E2167" s="22">
        <f>(1+E2166)*IF(AND(Painel_diario!$H2163="ED_JU",Painel_diario!$J2163=1),EXP(Painel_diario!$L2163),1)-1</f>
        <v/>
      </c>
    </row>
    <row r="2168">
      <c r="A2168" s="25" t="n">
        <v>42012</v>
      </c>
      <c r="B2168" s="22">
        <f>(1+B2167)*IF(AND(Painel_diario!$H2164="EU_JD",Painel_diario!$J2164=1),EXP(Painel_diario!$L2164),1)-1</f>
        <v/>
      </c>
      <c r="C2168" s="22">
        <f>(1+C2167)*IF(AND(Painel_diario!$H2164="EU_JU",Painel_diario!$J2164=1),EXP(Painel_diario!$L2164),1)-1</f>
        <v/>
      </c>
      <c r="D2168" s="22">
        <f>(1+D2167)*IF(AND(Painel_diario!$H2164="ED_JD",Painel_diario!$J2164=1),EXP(Painel_diario!$L2164),1)-1</f>
        <v/>
      </c>
      <c r="E2168" s="22">
        <f>(1+E2167)*IF(AND(Painel_diario!$H2164="ED_JU",Painel_diario!$J2164=1),EXP(Painel_diario!$L2164),1)-1</f>
        <v/>
      </c>
    </row>
    <row r="2169">
      <c r="A2169" s="25" t="n">
        <v>42013</v>
      </c>
      <c r="B2169" s="22">
        <f>(1+B2168)*IF(AND(Painel_diario!$H2165="EU_JD",Painel_diario!$J2165=1),EXP(Painel_diario!$L2165),1)-1</f>
        <v/>
      </c>
      <c r="C2169" s="22">
        <f>(1+C2168)*IF(AND(Painel_diario!$H2165="EU_JU",Painel_diario!$J2165=1),EXP(Painel_diario!$L2165),1)-1</f>
        <v/>
      </c>
      <c r="D2169" s="22">
        <f>(1+D2168)*IF(AND(Painel_diario!$H2165="ED_JD",Painel_diario!$J2165=1),EXP(Painel_diario!$L2165),1)-1</f>
        <v/>
      </c>
      <c r="E2169" s="22">
        <f>(1+E2168)*IF(AND(Painel_diario!$H2165="ED_JU",Painel_diario!$J2165=1),EXP(Painel_diario!$L2165),1)-1</f>
        <v/>
      </c>
    </row>
    <row r="2170">
      <c r="A2170" s="25" t="n">
        <v>42016</v>
      </c>
      <c r="B2170" s="22">
        <f>(1+B2169)*IF(AND(Painel_diario!$H2166="EU_JD",Painel_diario!$J2166=1),EXP(Painel_diario!$L2166),1)-1</f>
        <v/>
      </c>
      <c r="C2170" s="22">
        <f>(1+C2169)*IF(AND(Painel_diario!$H2166="EU_JU",Painel_diario!$J2166=1),EXP(Painel_diario!$L2166),1)-1</f>
        <v/>
      </c>
      <c r="D2170" s="22">
        <f>(1+D2169)*IF(AND(Painel_diario!$H2166="ED_JD",Painel_diario!$J2166=1),EXP(Painel_diario!$L2166),1)-1</f>
        <v/>
      </c>
      <c r="E2170" s="22">
        <f>(1+E2169)*IF(AND(Painel_diario!$H2166="ED_JU",Painel_diario!$J2166=1),EXP(Painel_diario!$L2166),1)-1</f>
        <v/>
      </c>
    </row>
    <row r="2171">
      <c r="A2171" s="25" t="n">
        <v>42017</v>
      </c>
      <c r="B2171" s="22">
        <f>(1+B2170)*IF(AND(Painel_diario!$H2167="EU_JD",Painel_diario!$J2167=1),EXP(Painel_diario!$L2167),1)-1</f>
        <v/>
      </c>
      <c r="C2171" s="22">
        <f>(1+C2170)*IF(AND(Painel_diario!$H2167="EU_JU",Painel_diario!$J2167=1),EXP(Painel_diario!$L2167),1)-1</f>
        <v/>
      </c>
      <c r="D2171" s="22">
        <f>(1+D2170)*IF(AND(Painel_diario!$H2167="ED_JD",Painel_diario!$J2167=1),EXP(Painel_diario!$L2167),1)-1</f>
        <v/>
      </c>
      <c r="E2171" s="22">
        <f>(1+E2170)*IF(AND(Painel_diario!$H2167="ED_JU",Painel_diario!$J2167=1),EXP(Painel_diario!$L2167),1)-1</f>
        <v/>
      </c>
    </row>
    <row r="2172">
      <c r="A2172" s="25" t="n">
        <v>42018</v>
      </c>
      <c r="B2172" s="22">
        <f>(1+B2171)*IF(AND(Painel_diario!$H2168="EU_JD",Painel_diario!$J2168=1),EXP(Painel_diario!$L2168),1)-1</f>
        <v/>
      </c>
      <c r="C2172" s="22">
        <f>(1+C2171)*IF(AND(Painel_diario!$H2168="EU_JU",Painel_diario!$J2168=1),EXP(Painel_diario!$L2168),1)-1</f>
        <v/>
      </c>
      <c r="D2172" s="22">
        <f>(1+D2171)*IF(AND(Painel_diario!$H2168="ED_JD",Painel_diario!$J2168=1),EXP(Painel_diario!$L2168),1)-1</f>
        <v/>
      </c>
      <c r="E2172" s="22">
        <f>(1+E2171)*IF(AND(Painel_diario!$H2168="ED_JU",Painel_diario!$J2168=1),EXP(Painel_diario!$L2168),1)-1</f>
        <v/>
      </c>
    </row>
    <row r="2173">
      <c r="A2173" s="25" t="n">
        <v>42019</v>
      </c>
      <c r="B2173" s="22">
        <f>(1+B2172)*IF(AND(Painel_diario!$H2169="EU_JD",Painel_diario!$J2169=1),EXP(Painel_diario!$L2169),1)-1</f>
        <v/>
      </c>
      <c r="C2173" s="22">
        <f>(1+C2172)*IF(AND(Painel_diario!$H2169="EU_JU",Painel_diario!$J2169=1),EXP(Painel_diario!$L2169),1)-1</f>
        <v/>
      </c>
      <c r="D2173" s="22">
        <f>(1+D2172)*IF(AND(Painel_diario!$H2169="ED_JD",Painel_diario!$J2169=1),EXP(Painel_diario!$L2169),1)-1</f>
        <v/>
      </c>
      <c r="E2173" s="22">
        <f>(1+E2172)*IF(AND(Painel_diario!$H2169="ED_JU",Painel_diario!$J2169=1),EXP(Painel_diario!$L2169),1)-1</f>
        <v/>
      </c>
    </row>
    <row r="2174">
      <c r="A2174" s="25" t="n">
        <v>42020</v>
      </c>
      <c r="B2174" s="22">
        <f>(1+B2173)*IF(AND(Painel_diario!$H2170="EU_JD",Painel_diario!$J2170=1),EXP(Painel_diario!$L2170),1)-1</f>
        <v/>
      </c>
      <c r="C2174" s="22">
        <f>(1+C2173)*IF(AND(Painel_diario!$H2170="EU_JU",Painel_diario!$J2170=1),EXP(Painel_diario!$L2170),1)-1</f>
        <v/>
      </c>
      <c r="D2174" s="22">
        <f>(1+D2173)*IF(AND(Painel_diario!$H2170="ED_JD",Painel_diario!$J2170=1),EXP(Painel_diario!$L2170),1)-1</f>
        <v/>
      </c>
      <c r="E2174" s="22">
        <f>(1+E2173)*IF(AND(Painel_diario!$H2170="ED_JU",Painel_diario!$J2170=1),EXP(Painel_diario!$L2170),1)-1</f>
        <v/>
      </c>
    </row>
    <row r="2175">
      <c r="A2175" s="25" t="n">
        <v>42023</v>
      </c>
      <c r="B2175" s="22">
        <f>(1+B2174)*IF(AND(Painel_diario!$H2171="EU_JD",Painel_diario!$J2171=1),EXP(Painel_diario!$L2171),1)-1</f>
        <v/>
      </c>
      <c r="C2175" s="22">
        <f>(1+C2174)*IF(AND(Painel_diario!$H2171="EU_JU",Painel_diario!$J2171=1),EXP(Painel_diario!$L2171),1)-1</f>
        <v/>
      </c>
      <c r="D2175" s="22">
        <f>(1+D2174)*IF(AND(Painel_diario!$H2171="ED_JD",Painel_diario!$J2171=1),EXP(Painel_diario!$L2171),1)-1</f>
        <v/>
      </c>
      <c r="E2175" s="22">
        <f>(1+E2174)*IF(AND(Painel_diario!$H2171="ED_JU",Painel_diario!$J2171=1),EXP(Painel_diario!$L2171),1)-1</f>
        <v/>
      </c>
    </row>
    <row r="2176">
      <c r="A2176" s="25" t="n">
        <v>42024</v>
      </c>
      <c r="B2176" s="22">
        <f>(1+B2175)*IF(AND(Painel_diario!$H2172="EU_JD",Painel_diario!$J2172=1),EXP(Painel_diario!$L2172),1)-1</f>
        <v/>
      </c>
      <c r="C2176" s="22">
        <f>(1+C2175)*IF(AND(Painel_diario!$H2172="EU_JU",Painel_diario!$J2172=1),EXP(Painel_diario!$L2172),1)-1</f>
        <v/>
      </c>
      <c r="D2176" s="22">
        <f>(1+D2175)*IF(AND(Painel_diario!$H2172="ED_JD",Painel_diario!$J2172=1),EXP(Painel_diario!$L2172),1)-1</f>
        <v/>
      </c>
      <c r="E2176" s="22">
        <f>(1+E2175)*IF(AND(Painel_diario!$H2172="ED_JU",Painel_diario!$J2172=1),EXP(Painel_diario!$L2172),1)-1</f>
        <v/>
      </c>
    </row>
    <row r="2177">
      <c r="A2177" s="25" t="n">
        <v>42025</v>
      </c>
      <c r="B2177" s="22">
        <f>(1+B2176)*IF(AND(Painel_diario!$H2173="EU_JD",Painel_diario!$J2173=1),EXP(Painel_diario!$L2173),1)-1</f>
        <v/>
      </c>
      <c r="C2177" s="22">
        <f>(1+C2176)*IF(AND(Painel_diario!$H2173="EU_JU",Painel_diario!$J2173=1),EXP(Painel_diario!$L2173),1)-1</f>
        <v/>
      </c>
      <c r="D2177" s="22">
        <f>(1+D2176)*IF(AND(Painel_diario!$H2173="ED_JD",Painel_diario!$J2173=1),EXP(Painel_diario!$L2173),1)-1</f>
        <v/>
      </c>
      <c r="E2177" s="22">
        <f>(1+E2176)*IF(AND(Painel_diario!$H2173="ED_JU",Painel_diario!$J2173=1),EXP(Painel_diario!$L2173),1)-1</f>
        <v/>
      </c>
    </row>
    <row r="2178">
      <c r="A2178" s="25" t="n">
        <v>42026</v>
      </c>
      <c r="B2178" s="22">
        <f>(1+B2177)*IF(AND(Painel_diario!$H2174="EU_JD",Painel_diario!$J2174=1),EXP(Painel_diario!$L2174),1)-1</f>
        <v/>
      </c>
      <c r="C2178" s="22">
        <f>(1+C2177)*IF(AND(Painel_diario!$H2174="EU_JU",Painel_diario!$J2174=1),EXP(Painel_diario!$L2174),1)-1</f>
        <v/>
      </c>
      <c r="D2178" s="22">
        <f>(1+D2177)*IF(AND(Painel_diario!$H2174="ED_JD",Painel_diario!$J2174=1),EXP(Painel_diario!$L2174),1)-1</f>
        <v/>
      </c>
      <c r="E2178" s="22">
        <f>(1+E2177)*IF(AND(Painel_diario!$H2174="ED_JU",Painel_diario!$J2174=1),EXP(Painel_diario!$L2174),1)-1</f>
        <v/>
      </c>
    </row>
    <row r="2179">
      <c r="A2179" s="25" t="n">
        <v>42027</v>
      </c>
      <c r="B2179" s="22">
        <f>(1+B2178)*IF(AND(Painel_diario!$H2175="EU_JD",Painel_diario!$J2175=1),EXP(Painel_diario!$L2175),1)-1</f>
        <v/>
      </c>
      <c r="C2179" s="22">
        <f>(1+C2178)*IF(AND(Painel_diario!$H2175="EU_JU",Painel_diario!$J2175=1),EXP(Painel_diario!$L2175),1)-1</f>
        <v/>
      </c>
      <c r="D2179" s="22">
        <f>(1+D2178)*IF(AND(Painel_diario!$H2175="ED_JD",Painel_diario!$J2175=1),EXP(Painel_diario!$L2175),1)-1</f>
        <v/>
      </c>
      <c r="E2179" s="22">
        <f>(1+E2178)*IF(AND(Painel_diario!$H2175="ED_JU",Painel_diario!$J2175=1),EXP(Painel_diario!$L2175),1)-1</f>
        <v/>
      </c>
    </row>
    <row r="2180">
      <c r="A2180" s="25" t="n">
        <v>42030</v>
      </c>
      <c r="B2180" s="22">
        <f>(1+B2179)*IF(AND(Painel_diario!$H2176="EU_JD",Painel_diario!$J2176=1),EXP(Painel_diario!$L2176),1)-1</f>
        <v/>
      </c>
      <c r="C2180" s="22">
        <f>(1+C2179)*IF(AND(Painel_diario!$H2176="EU_JU",Painel_diario!$J2176=1),EXP(Painel_diario!$L2176),1)-1</f>
        <v/>
      </c>
      <c r="D2180" s="22">
        <f>(1+D2179)*IF(AND(Painel_diario!$H2176="ED_JD",Painel_diario!$J2176=1),EXP(Painel_diario!$L2176),1)-1</f>
        <v/>
      </c>
      <c r="E2180" s="22">
        <f>(1+E2179)*IF(AND(Painel_diario!$H2176="ED_JU",Painel_diario!$J2176=1),EXP(Painel_diario!$L2176),1)-1</f>
        <v/>
      </c>
    </row>
    <row r="2181">
      <c r="A2181" s="25" t="n">
        <v>42031</v>
      </c>
      <c r="B2181" s="22">
        <f>(1+B2180)*IF(AND(Painel_diario!$H2177="EU_JD",Painel_diario!$J2177=1),EXP(Painel_diario!$L2177),1)-1</f>
        <v/>
      </c>
      <c r="C2181" s="22">
        <f>(1+C2180)*IF(AND(Painel_diario!$H2177="EU_JU",Painel_diario!$J2177=1),EXP(Painel_diario!$L2177),1)-1</f>
        <v/>
      </c>
      <c r="D2181" s="22">
        <f>(1+D2180)*IF(AND(Painel_diario!$H2177="ED_JD",Painel_diario!$J2177=1),EXP(Painel_diario!$L2177),1)-1</f>
        <v/>
      </c>
      <c r="E2181" s="22">
        <f>(1+E2180)*IF(AND(Painel_diario!$H2177="ED_JU",Painel_diario!$J2177=1),EXP(Painel_diario!$L2177),1)-1</f>
        <v/>
      </c>
    </row>
    <row r="2182">
      <c r="A2182" s="25" t="n">
        <v>42032</v>
      </c>
      <c r="B2182" s="22">
        <f>(1+B2181)*IF(AND(Painel_diario!$H2178="EU_JD",Painel_diario!$J2178=1),EXP(Painel_diario!$L2178),1)-1</f>
        <v/>
      </c>
      <c r="C2182" s="22">
        <f>(1+C2181)*IF(AND(Painel_diario!$H2178="EU_JU",Painel_diario!$J2178=1),EXP(Painel_diario!$L2178),1)-1</f>
        <v/>
      </c>
      <c r="D2182" s="22">
        <f>(1+D2181)*IF(AND(Painel_diario!$H2178="ED_JD",Painel_diario!$J2178=1),EXP(Painel_diario!$L2178),1)-1</f>
        <v/>
      </c>
      <c r="E2182" s="22">
        <f>(1+E2181)*IF(AND(Painel_diario!$H2178="ED_JU",Painel_diario!$J2178=1),EXP(Painel_diario!$L2178),1)-1</f>
        <v/>
      </c>
    </row>
    <row r="2183">
      <c r="A2183" s="25" t="n">
        <v>42033</v>
      </c>
      <c r="B2183" s="22">
        <f>(1+B2182)*IF(AND(Painel_diario!$H2179="EU_JD",Painel_diario!$J2179=1),EXP(Painel_diario!$L2179),1)-1</f>
        <v/>
      </c>
      <c r="C2183" s="22">
        <f>(1+C2182)*IF(AND(Painel_diario!$H2179="EU_JU",Painel_diario!$J2179=1),EXP(Painel_diario!$L2179),1)-1</f>
        <v/>
      </c>
      <c r="D2183" s="22">
        <f>(1+D2182)*IF(AND(Painel_diario!$H2179="ED_JD",Painel_diario!$J2179=1),EXP(Painel_diario!$L2179),1)-1</f>
        <v/>
      </c>
      <c r="E2183" s="22">
        <f>(1+E2182)*IF(AND(Painel_diario!$H2179="ED_JU",Painel_diario!$J2179=1),EXP(Painel_diario!$L2179),1)-1</f>
        <v/>
      </c>
    </row>
    <row r="2184">
      <c r="A2184" s="25" t="n">
        <v>42034</v>
      </c>
      <c r="B2184" s="22">
        <f>(1+B2183)*IF(AND(Painel_diario!$H2180="EU_JD",Painel_diario!$J2180=1),EXP(Painel_diario!$L2180),1)-1</f>
        <v/>
      </c>
      <c r="C2184" s="22">
        <f>(1+C2183)*IF(AND(Painel_diario!$H2180="EU_JU",Painel_diario!$J2180=1),EXP(Painel_diario!$L2180),1)-1</f>
        <v/>
      </c>
      <c r="D2184" s="22">
        <f>(1+D2183)*IF(AND(Painel_diario!$H2180="ED_JD",Painel_diario!$J2180=1),EXP(Painel_diario!$L2180),1)-1</f>
        <v/>
      </c>
      <c r="E2184" s="22">
        <f>(1+E2183)*IF(AND(Painel_diario!$H2180="ED_JU",Painel_diario!$J2180=1),EXP(Painel_diario!$L2180),1)-1</f>
        <v/>
      </c>
    </row>
    <row r="2185">
      <c r="A2185" s="25" t="n">
        <v>42037</v>
      </c>
      <c r="B2185" s="22">
        <f>(1+B2184)*IF(AND(Painel_diario!$H2181="EU_JD",Painel_diario!$J2181=1),EXP(Painel_diario!$L2181),1)-1</f>
        <v/>
      </c>
      <c r="C2185" s="22">
        <f>(1+C2184)*IF(AND(Painel_diario!$H2181="EU_JU",Painel_diario!$J2181=1),EXP(Painel_diario!$L2181),1)-1</f>
        <v/>
      </c>
      <c r="D2185" s="22">
        <f>(1+D2184)*IF(AND(Painel_diario!$H2181="ED_JD",Painel_diario!$J2181=1),EXP(Painel_diario!$L2181),1)-1</f>
        <v/>
      </c>
      <c r="E2185" s="22">
        <f>(1+E2184)*IF(AND(Painel_diario!$H2181="ED_JU",Painel_diario!$J2181=1),EXP(Painel_diario!$L2181),1)-1</f>
        <v/>
      </c>
    </row>
    <row r="2186">
      <c r="A2186" s="25" t="n">
        <v>42038</v>
      </c>
      <c r="B2186" s="22">
        <f>(1+B2185)*IF(AND(Painel_diario!$H2182="EU_JD",Painel_diario!$J2182=1),EXP(Painel_diario!$L2182),1)-1</f>
        <v/>
      </c>
      <c r="C2186" s="22">
        <f>(1+C2185)*IF(AND(Painel_diario!$H2182="EU_JU",Painel_diario!$J2182=1),EXP(Painel_diario!$L2182),1)-1</f>
        <v/>
      </c>
      <c r="D2186" s="22">
        <f>(1+D2185)*IF(AND(Painel_diario!$H2182="ED_JD",Painel_diario!$J2182=1),EXP(Painel_diario!$L2182),1)-1</f>
        <v/>
      </c>
      <c r="E2186" s="22">
        <f>(1+E2185)*IF(AND(Painel_diario!$H2182="ED_JU",Painel_diario!$J2182=1),EXP(Painel_diario!$L2182),1)-1</f>
        <v/>
      </c>
    </row>
    <row r="2187">
      <c r="A2187" s="25" t="n">
        <v>42039</v>
      </c>
      <c r="B2187" s="22">
        <f>(1+B2186)*IF(AND(Painel_diario!$H2183="EU_JD",Painel_diario!$J2183=1),EXP(Painel_diario!$L2183),1)-1</f>
        <v/>
      </c>
      <c r="C2187" s="22">
        <f>(1+C2186)*IF(AND(Painel_diario!$H2183="EU_JU",Painel_diario!$J2183=1),EXP(Painel_diario!$L2183),1)-1</f>
        <v/>
      </c>
      <c r="D2187" s="22">
        <f>(1+D2186)*IF(AND(Painel_diario!$H2183="ED_JD",Painel_diario!$J2183=1),EXP(Painel_diario!$L2183),1)-1</f>
        <v/>
      </c>
      <c r="E2187" s="22">
        <f>(1+E2186)*IF(AND(Painel_diario!$H2183="ED_JU",Painel_diario!$J2183=1),EXP(Painel_diario!$L2183),1)-1</f>
        <v/>
      </c>
    </row>
    <row r="2188">
      <c r="A2188" s="25" t="n">
        <v>42040</v>
      </c>
      <c r="B2188" s="22">
        <f>(1+B2187)*IF(AND(Painel_diario!$H2184="EU_JD",Painel_diario!$J2184=1),EXP(Painel_diario!$L2184),1)-1</f>
        <v/>
      </c>
      <c r="C2188" s="22">
        <f>(1+C2187)*IF(AND(Painel_diario!$H2184="EU_JU",Painel_diario!$J2184=1),EXP(Painel_diario!$L2184),1)-1</f>
        <v/>
      </c>
      <c r="D2188" s="22">
        <f>(1+D2187)*IF(AND(Painel_diario!$H2184="ED_JD",Painel_diario!$J2184=1),EXP(Painel_diario!$L2184),1)-1</f>
        <v/>
      </c>
      <c r="E2188" s="22">
        <f>(1+E2187)*IF(AND(Painel_diario!$H2184="ED_JU",Painel_diario!$J2184=1),EXP(Painel_diario!$L2184),1)-1</f>
        <v/>
      </c>
    </row>
    <row r="2189">
      <c r="A2189" s="25" t="n">
        <v>42041</v>
      </c>
      <c r="B2189" s="22">
        <f>(1+B2188)*IF(AND(Painel_diario!$H2185="EU_JD",Painel_diario!$J2185=1),EXP(Painel_diario!$L2185),1)-1</f>
        <v/>
      </c>
      <c r="C2189" s="22">
        <f>(1+C2188)*IF(AND(Painel_diario!$H2185="EU_JU",Painel_diario!$J2185=1),EXP(Painel_diario!$L2185),1)-1</f>
        <v/>
      </c>
      <c r="D2189" s="22">
        <f>(1+D2188)*IF(AND(Painel_diario!$H2185="ED_JD",Painel_diario!$J2185=1),EXP(Painel_diario!$L2185),1)-1</f>
        <v/>
      </c>
      <c r="E2189" s="22">
        <f>(1+E2188)*IF(AND(Painel_diario!$H2185="ED_JU",Painel_diario!$J2185=1),EXP(Painel_diario!$L2185),1)-1</f>
        <v/>
      </c>
    </row>
    <row r="2190">
      <c r="A2190" s="25" t="n">
        <v>42044</v>
      </c>
      <c r="B2190" s="22">
        <f>(1+B2189)*IF(AND(Painel_diario!$H2186="EU_JD",Painel_diario!$J2186=1),EXP(Painel_diario!$L2186),1)-1</f>
        <v/>
      </c>
      <c r="C2190" s="22">
        <f>(1+C2189)*IF(AND(Painel_diario!$H2186="EU_JU",Painel_diario!$J2186=1),EXP(Painel_diario!$L2186),1)-1</f>
        <v/>
      </c>
      <c r="D2190" s="22">
        <f>(1+D2189)*IF(AND(Painel_diario!$H2186="ED_JD",Painel_diario!$J2186=1),EXP(Painel_diario!$L2186),1)-1</f>
        <v/>
      </c>
      <c r="E2190" s="22">
        <f>(1+E2189)*IF(AND(Painel_diario!$H2186="ED_JU",Painel_diario!$J2186=1),EXP(Painel_diario!$L2186),1)-1</f>
        <v/>
      </c>
    </row>
    <row r="2191">
      <c r="A2191" s="25" t="n">
        <v>42045</v>
      </c>
      <c r="B2191" s="22">
        <f>(1+B2190)*IF(AND(Painel_diario!$H2187="EU_JD",Painel_diario!$J2187=1),EXP(Painel_diario!$L2187),1)-1</f>
        <v/>
      </c>
      <c r="C2191" s="22">
        <f>(1+C2190)*IF(AND(Painel_diario!$H2187="EU_JU",Painel_diario!$J2187=1),EXP(Painel_diario!$L2187),1)-1</f>
        <v/>
      </c>
      <c r="D2191" s="22">
        <f>(1+D2190)*IF(AND(Painel_diario!$H2187="ED_JD",Painel_diario!$J2187=1),EXP(Painel_diario!$L2187),1)-1</f>
        <v/>
      </c>
      <c r="E2191" s="22">
        <f>(1+E2190)*IF(AND(Painel_diario!$H2187="ED_JU",Painel_diario!$J2187=1),EXP(Painel_diario!$L2187),1)-1</f>
        <v/>
      </c>
    </row>
    <row r="2192">
      <c r="A2192" s="25" t="n">
        <v>42046</v>
      </c>
      <c r="B2192" s="22">
        <f>(1+B2191)*IF(AND(Painel_diario!$H2188="EU_JD",Painel_diario!$J2188=1),EXP(Painel_diario!$L2188),1)-1</f>
        <v/>
      </c>
      <c r="C2192" s="22">
        <f>(1+C2191)*IF(AND(Painel_diario!$H2188="EU_JU",Painel_diario!$J2188=1),EXP(Painel_diario!$L2188),1)-1</f>
        <v/>
      </c>
      <c r="D2192" s="22">
        <f>(1+D2191)*IF(AND(Painel_diario!$H2188="ED_JD",Painel_diario!$J2188=1),EXP(Painel_diario!$L2188),1)-1</f>
        <v/>
      </c>
      <c r="E2192" s="22">
        <f>(1+E2191)*IF(AND(Painel_diario!$H2188="ED_JU",Painel_diario!$J2188=1),EXP(Painel_diario!$L2188),1)-1</f>
        <v/>
      </c>
    </row>
    <row r="2193">
      <c r="A2193" s="25" t="n">
        <v>42047</v>
      </c>
      <c r="B2193" s="22">
        <f>(1+B2192)*IF(AND(Painel_diario!$H2189="EU_JD",Painel_diario!$J2189=1),EXP(Painel_diario!$L2189),1)-1</f>
        <v/>
      </c>
      <c r="C2193" s="22">
        <f>(1+C2192)*IF(AND(Painel_diario!$H2189="EU_JU",Painel_diario!$J2189=1),EXP(Painel_diario!$L2189),1)-1</f>
        <v/>
      </c>
      <c r="D2193" s="22">
        <f>(1+D2192)*IF(AND(Painel_diario!$H2189="ED_JD",Painel_diario!$J2189=1),EXP(Painel_diario!$L2189),1)-1</f>
        <v/>
      </c>
      <c r="E2193" s="22">
        <f>(1+E2192)*IF(AND(Painel_diario!$H2189="ED_JU",Painel_diario!$J2189=1),EXP(Painel_diario!$L2189),1)-1</f>
        <v/>
      </c>
    </row>
    <row r="2194">
      <c r="A2194" s="25" t="n">
        <v>42048</v>
      </c>
      <c r="B2194" s="22">
        <f>(1+B2193)*IF(AND(Painel_diario!$H2190="EU_JD",Painel_diario!$J2190=1),EXP(Painel_diario!$L2190),1)-1</f>
        <v/>
      </c>
      <c r="C2194" s="22">
        <f>(1+C2193)*IF(AND(Painel_diario!$H2190="EU_JU",Painel_diario!$J2190=1),EXP(Painel_diario!$L2190),1)-1</f>
        <v/>
      </c>
      <c r="D2194" s="22">
        <f>(1+D2193)*IF(AND(Painel_diario!$H2190="ED_JD",Painel_diario!$J2190=1),EXP(Painel_diario!$L2190),1)-1</f>
        <v/>
      </c>
      <c r="E2194" s="22">
        <f>(1+E2193)*IF(AND(Painel_diario!$H2190="ED_JU",Painel_diario!$J2190=1),EXP(Painel_diario!$L2190),1)-1</f>
        <v/>
      </c>
    </row>
    <row r="2195">
      <c r="A2195" s="25" t="n">
        <v>42053</v>
      </c>
      <c r="B2195" s="22">
        <f>(1+B2194)*IF(AND(Painel_diario!$H2191="EU_JD",Painel_diario!$J2191=1),EXP(Painel_diario!$L2191),1)-1</f>
        <v/>
      </c>
      <c r="C2195" s="22">
        <f>(1+C2194)*IF(AND(Painel_diario!$H2191="EU_JU",Painel_diario!$J2191=1),EXP(Painel_diario!$L2191),1)-1</f>
        <v/>
      </c>
      <c r="D2195" s="22">
        <f>(1+D2194)*IF(AND(Painel_diario!$H2191="ED_JD",Painel_diario!$J2191=1),EXP(Painel_diario!$L2191),1)-1</f>
        <v/>
      </c>
      <c r="E2195" s="22">
        <f>(1+E2194)*IF(AND(Painel_diario!$H2191="ED_JU",Painel_diario!$J2191=1),EXP(Painel_diario!$L2191),1)-1</f>
        <v/>
      </c>
    </row>
    <row r="2196">
      <c r="A2196" s="25" t="n">
        <v>42054</v>
      </c>
      <c r="B2196" s="22">
        <f>(1+B2195)*IF(AND(Painel_diario!$H2192="EU_JD",Painel_diario!$J2192=1),EXP(Painel_diario!$L2192),1)-1</f>
        <v/>
      </c>
      <c r="C2196" s="22">
        <f>(1+C2195)*IF(AND(Painel_diario!$H2192="EU_JU",Painel_diario!$J2192=1),EXP(Painel_diario!$L2192),1)-1</f>
        <v/>
      </c>
      <c r="D2196" s="22">
        <f>(1+D2195)*IF(AND(Painel_diario!$H2192="ED_JD",Painel_diario!$J2192=1),EXP(Painel_diario!$L2192),1)-1</f>
        <v/>
      </c>
      <c r="E2196" s="22">
        <f>(1+E2195)*IF(AND(Painel_diario!$H2192="ED_JU",Painel_diario!$J2192=1),EXP(Painel_diario!$L2192),1)-1</f>
        <v/>
      </c>
    </row>
    <row r="2197">
      <c r="A2197" s="25" t="n">
        <v>42055</v>
      </c>
      <c r="B2197" s="22">
        <f>(1+B2196)*IF(AND(Painel_diario!$H2193="EU_JD",Painel_diario!$J2193=1),EXP(Painel_diario!$L2193),1)-1</f>
        <v/>
      </c>
      <c r="C2197" s="22">
        <f>(1+C2196)*IF(AND(Painel_diario!$H2193="EU_JU",Painel_diario!$J2193=1),EXP(Painel_diario!$L2193),1)-1</f>
        <v/>
      </c>
      <c r="D2197" s="22">
        <f>(1+D2196)*IF(AND(Painel_diario!$H2193="ED_JD",Painel_diario!$J2193=1),EXP(Painel_diario!$L2193),1)-1</f>
        <v/>
      </c>
      <c r="E2197" s="22">
        <f>(1+E2196)*IF(AND(Painel_diario!$H2193="ED_JU",Painel_diario!$J2193=1),EXP(Painel_diario!$L2193),1)-1</f>
        <v/>
      </c>
    </row>
    <row r="2198">
      <c r="A2198" s="25" t="n">
        <v>42058</v>
      </c>
      <c r="B2198" s="22">
        <f>(1+B2197)*IF(AND(Painel_diario!$H2194="EU_JD",Painel_diario!$J2194=1),EXP(Painel_diario!$L2194),1)-1</f>
        <v/>
      </c>
      <c r="C2198" s="22">
        <f>(1+C2197)*IF(AND(Painel_diario!$H2194="EU_JU",Painel_diario!$J2194=1),EXP(Painel_diario!$L2194),1)-1</f>
        <v/>
      </c>
      <c r="D2198" s="22">
        <f>(1+D2197)*IF(AND(Painel_diario!$H2194="ED_JD",Painel_diario!$J2194=1),EXP(Painel_diario!$L2194),1)-1</f>
        <v/>
      </c>
      <c r="E2198" s="22">
        <f>(1+E2197)*IF(AND(Painel_diario!$H2194="ED_JU",Painel_diario!$J2194=1),EXP(Painel_diario!$L2194),1)-1</f>
        <v/>
      </c>
    </row>
    <row r="2199">
      <c r="A2199" s="25" t="n">
        <v>42059</v>
      </c>
      <c r="B2199" s="22">
        <f>(1+B2198)*IF(AND(Painel_diario!$H2195="EU_JD",Painel_diario!$J2195=1),EXP(Painel_diario!$L2195),1)-1</f>
        <v/>
      </c>
      <c r="C2199" s="22">
        <f>(1+C2198)*IF(AND(Painel_diario!$H2195="EU_JU",Painel_diario!$J2195=1),EXP(Painel_diario!$L2195),1)-1</f>
        <v/>
      </c>
      <c r="D2199" s="22">
        <f>(1+D2198)*IF(AND(Painel_diario!$H2195="ED_JD",Painel_diario!$J2195=1),EXP(Painel_diario!$L2195),1)-1</f>
        <v/>
      </c>
      <c r="E2199" s="22">
        <f>(1+E2198)*IF(AND(Painel_diario!$H2195="ED_JU",Painel_diario!$J2195=1),EXP(Painel_diario!$L2195),1)-1</f>
        <v/>
      </c>
    </row>
    <row r="2200">
      <c r="A2200" s="25" t="n">
        <v>42060</v>
      </c>
      <c r="B2200" s="22">
        <f>(1+B2199)*IF(AND(Painel_diario!$H2196="EU_JD",Painel_diario!$J2196=1),EXP(Painel_diario!$L2196),1)-1</f>
        <v/>
      </c>
      <c r="C2200" s="22">
        <f>(1+C2199)*IF(AND(Painel_diario!$H2196="EU_JU",Painel_diario!$J2196=1),EXP(Painel_diario!$L2196),1)-1</f>
        <v/>
      </c>
      <c r="D2200" s="22">
        <f>(1+D2199)*IF(AND(Painel_diario!$H2196="ED_JD",Painel_diario!$J2196=1),EXP(Painel_diario!$L2196),1)-1</f>
        <v/>
      </c>
      <c r="E2200" s="22">
        <f>(1+E2199)*IF(AND(Painel_diario!$H2196="ED_JU",Painel_diario!$J2196=1),EXP(Painel_diario!$L2196),1)-1</f>
        <v/>
      </c>
    </row>
    <row r="2201">
      <c r="A2201" s="25" t="n">
        <v>42061</v>
      </c>
      <c r="B2201" s="22">
        <f>(1+B2200)*IF(AND(Painel_diario!$H2197="EU_JD",Painel_diario!$J2197=1),EXP(Painel_diario!$L2197),1)-1</f>
        <v/>
      </c>
      <c r="C2201" s="22">
        <f>(1+C2200)*IF(AND(Painel_diario!$H2197="EU_JU",Painel_diario!$J2197=1),EXP(Painel_diario!$L2197),1)-1</f>
        <v/>
      </c>
      <c r="D2201" s="22">
        <f>(1+D2200)*IF(AND(Painel_diario!$H2197="ED_JD",Painel_diario!$J2197=1),EXP(Painel_diario!$L2197),1)-1</f>
        <v/>
      </c>
      <c r="E2201" s="22">
        <f>(1+E2200)*IF(AND(Painel_diario!$H2197="ED_JU",Painel_diario!$J2197=1),EXP(Painel_diario!$L2197),1)-1</f>
        <v/>
      </c>
    </row>
    <row r="2202">
      <c r="A2202" s="25" t="n">
        <v>42062</v>
      </c>
      <c r="B2202" s="22">
        <f>(1+B2201)*IF(AND(Painel_diario!$H2198="EU_JD",Painel_diario!$J2198=1),EXP(Painel_diario!$L2198),1)-1</f>
        <v/>
      </c>
      <c r="C2202" s="22">
        <f>(1+C2201)*IF(AND(Painel_diario!$H2198="EU_JU",Painel_diario!$J2198=1),EXP(Painel_diario!$L2198),1)-1</f>
        <v/>
      </c>
      <c r="D2202" s="22">
        <f>(1+D2201)*IF(AND(Painel_diario!$H2198="ED_JD",Painel_diario!$J2198=1),EXP(Painel_diario!$L2198),1)-1</f>
        <v/>
      </c>
      <c r="E2202" s="22">
        <f>(1+E2201)*IF(AND(Painel_diario!$H2198="ED_JU",Painel_diario!$J2198=1),EXP(Painel_diario!$L2198),1)-1</f>
        <v/>
      </c>
    </row>
    <row r="2203">
      <c r="A2203" s="25" t="n">
        <v>42065</v>
      </c>
      <c r="B2203" s="22">
        <f>(1+B2202)*IF(AND(Painel_diario!$H2199="EU_JD",Painel_diario!$J2199=1),EXP(Painel_diario!$L2199),1)-1</f>
        <v/>
      </c>
      <c r="C2203" s="22">
        <f>(1+C2202)*IF(AND(Painel_diario!$H2199="EU_JU",Painel_diario!$J2199=1),EXP(Painel_diario!$L2199),1)-1</f>
        <v/>
      </c>
      <c r="D2203" s="22">
        <f>(1+D2202)*IF(AND(Painel_diario!$H2199="ED_JD",Painel_diario!$J2199=1),EXP(Painel_diario!$L2199),1)-1</f>
        <v/>
      </c>
      <c r="E2203" s="22">
        <f>(1+E2202)*IF(AND(Painel_diario!$H2199="ED_JU",Painel_diario!$J2199=1),EXP(Painel_diario!$L2199),1)-1</f>
        <v/>
      </c>
    </row>
    <row r="2204">
      <c r="A2204" s="25" t="n">
        <v>42066</v>
      </c>
      <c r="B2204" s="22">
        <f>(1+B2203)*IF(AND(Painel_diario!$H2200="EU_JD",Painel_diario!$J2200=1),EXP(Painel_diario!$L2200),1)-1</f>
        <v/>
      </c>
      <c r="C2204" s="22">
        <f>(1+C2203)*IF(AND(Painel_diario!$H2200="EU_JU",Painel_diario!$J2200=1),EXP(Painel_diario!$L2200),1)-1</f>
        <v/>
      </c>
      <c r="D2204" s="22">
        <f>(1+D2203)*IF(AND(Painel_diario!$H2200="ED_JD",Painel_diario!$J2200=1),EXP(Painel_diario!$L2200),1)-1</f>
        <v/>
      </c>
      <c r="E2204" s="22">
        <f>(1+E2203)*IF(AND(Painel_diario!$H2200="ED_JU",Painel_diario!$J2200=1),EXP(Painel_diario!$L2200),1)-1</f>
        <v/>
      </c>
    </row>
    <row r="2205">
      <c r="A2205" s="25" t="n">
        <v>42067</v>
      </c>
      <c r="B2205" s="22">
        <f>(1+B2204)*IF(AND(Painel_diario!$H2201="EU_JD",Painel_diario!$J2201=1),EXP(Painel_diario!$L2201),1)-1</f>
        <v/>
      </c>
      <c r="C2205" s="22">
        <f>(1+C2204)*IF(AND(Painel_diario!$H2201="EU_JU",Painel_diario!$J2201=1),EXP(Painel_diario!$L2201),1)-1</f>
        <v/>
      </c>
      <c r="D2205" s="22">
        <f>(1+D2204)*IF(AND(Painel_diario!$H2201="ED_JD",Painel_diario!$J2201=1),EXP(Painel_diario!$L2201),1)-1</f>
        <v/>
      </c>
      <c r="E2205" s="22">
        <f>(1+E2204)*IF(AND(Painel_diario!$H2201="ED_JU",Painel_diario!$J2201=1),EXP(Painel_diario!$L2201),1)-1</f>
        <v/>
      </c>
    </row>
    <row r="2206">
      <c r="A2206" s="25" t="n">
        <v>42068</v>
      </c>
      <c r="B2206" s="22">
        <f>(1+B2205)*IF(AND(Painel_diario!$H2202="EU_JD",Painel_diario!$J2202=1),EXP(Painel_diario!$L2202),1)-1</f>
        <v/>
      </c>
      <c r="C2206" s="22">
        <f>(1+C2205)*IF(AND(Painel_diario!$H2202="EU_JU",Painel_diario!$J2202=1),EXP(Painel_diario!$L2202),1)-1</f>
        <v/>
      </c>
      <c r="D2206" s="22">
        <f>(1+D2205)*IF(AND(Painel_diario!$H2202="ED_JD",Painel_diario!$J2202=1),EXP(Painel_diario!$L2202),1)-1</f>
        <v/>
      </c>
      <c r="E2206" s="22">
        <f>(1+E2205)*IF(AND(Painel_diario!$H2202="ED_JU",Painel_diario!$J2202=1),EXP(Painel_diario!$L2202),1)-1</f>
        <v/>
      </c>
    </row>
    <row r="2207">
      <c r="A2207" s="25" t="n">
        <v>42069</v>
      </c>
      <c r="B2207" s="22">
        <f>(1+B2206)*IF(AND(Painel_diario!$H2203="EU_JD",Painel_diario!$J2203=1),EXP(Painel_diario!$L2203),1)-1</f>
        <v/>
      </c>
      <c r="C2207" s="22">
        <f>(1+C2206)*IF(AND(Painel_diario!$H2203="EU_JU",Painel_diario!$J2203=1),EXP(Painel_diario!$L2203),1)-1</f>
        <v/>
      </c>
      <c r="D2207" s="22">
        <f>(1+D2206)*IF(AND(Painel_diario!$H2203="ED_JD",Painel_diario!$J2203=1),EXP(Painel_diario!$L2203),1)-1</f>
        <v/>
      </c>
      <c r="E2207" s="22">
        <f>(1+E2206)*IF(AND(Painel_diario!$H2203="ED_JU",Painel_diario!$J2203=1),EXP(Painel_diario!$L2203),1)-1</f>
        <v/>
      </c>
    </row>
    <row r="2208">
      <c r="A2208" s="25" t="n">
        <v>42072</v>
      </c>
      <c r="B2208" s="22">
        <f>(1+B2207)*IF(AND(Painel_diario!$H2204="EU_JD",Painel_diario!$J2204=1),EXP(Painel_diario!$L2204),1)-1</f>
        <v/>
      </c>
      <c r="C2208" s="22">
        <f>(1+C2207)*IF(AND(Painel_diario!$H2204="EU_JU",Painel_diario!$J2204=1),EXP(Painel_diario!$L2204),1)-1</f>
        <v/>
      </c>
      <c r="D2208" s="22">
        <f>(1+D2207)*IF(AND(Painel_diario!$H2204="ED_JD",Painel_diario!$J2204=1),EXP(Painel_diario!$L2204),1)-1</f>
        <v/>
      </c>
      <c r="E2208" s="22">
        <f>(1+E2207)*IF(AND(Painel_diario!$H2204="ED_JU",Painel_diario!$J2204=1),EXP(Painel_diario!$L2204),1)-1</f>
        <v/>
      </c>
    </row>
    <row r="2209">
      <c r="A2209" s="25" t="n">
        <v>42073</v>
      </c>
      <c r="B2209" s="22">
        <f>(1+B2208)*IF(AND(Painel_diario!$H2205="EU_JD",Painel_diario!$J2205=1),EXP(Painel_diario!$L2205),1)-1</f>
        <v/>
      </c>
      <c r="C2209" s="22">
        <f>(1+C2208)*IF(AND(Painel_diario!$H2205="EU_JU",Painel_diario!$J2205=1),EXP(Painel_diario!$L2205),1)-1</f>
        <v/>
      </c>
      <c r="D2209" s="22">
        <f>(1+D2208)*IF(AND(Painel_diario!$H2205="ED_JD",Painel_diario!$J2205=1),EXP(Painel_diario!$L2205),1)-1</f>
        <v/>
      </c>
      <c r="E2209" s="22">
        <f>(1+E2208)*IF(AND(Painel_diario!$H2205="ED_JU",Painel_diario!$J2205=1),EXP(Painel_diario!$L2205),1)-1</f>
        <v/>
      </c>
    </row>
    <row r="2210">
      <c r="A2210" s="25" t="n">
        <v>42074</v>
      </c>
      <c r="B2210" s="22">
        <f>(1+B2209)*IF(AND(Painel_diario!$H2206="EU_JD",Painel_diario!$J2206=1),EXP(Painel_diario!$L2206),1)-1</f>
        <v/>
      </c>
      <c r="C2210" s="22">
        <f>(1+C2209)*IF(AND(Painel_diario!$H2206="EU_JU",Painel_diario!$J2206=1),EXP(Painel_diario!$L2206),1)-1</f>
        <v/>
      </c>
      <c r="D2210" s="22">
        <f>(1+D2209)*IF(AND(Painel_diario!$H2206="ED_JD",Painel_diario!$J2206=1),EXP(Painel_diario!$L2206),1)-1</f>
        <v/>
      </c>
      <c r="E2210" s="22">
        <f>(1+E2209)*IF(AND(Painel_diario!$H2206="ED_JU",Painel_diario!$J2206=1),EXP(Painel_diario!$L2206),1)-1</f>
        <v/>
      </c>
    </row>
    <row r="2211">
      <c r="A2211" s="25" t="n">
        <v>42075</v>
      </c>
      <c r="B2211" s="22">
        <f>(1+B2210)*IF(AND(Painel_diario!$H2207="EU_JD",Painel_diario!$J2207=1),EXP(Painel_diario!$L2207),1)-1</f>
        <v/>
      </c>
      <c r="C2211" s="22">
        <f>(1+C2210)*IF(AND(Painel_diario!$H2207="EU_JU",Painel_diario!$J2207=1),EXP(Painel_diario!$L2207),1)-1</f>
        <v/>
      </c>
      <c r="D2211" s="22">
        <f>(1+D2210)*IF(AND(Painel_diario!$H2207="ED_JD",Painel_diario!$J2207=1),EXP(Painel_diario!$L2207),1)-1</f>
        <v/>
      </c>
      <c r="E2211" s="22">
        <f>(1+E2210)*IF(AND(Painel_diario!$H2207="ED_JU",Painel_diario!$J2207=1),EXP(Painel_diario!$L2207),1)-1</f>
        <v/>
      </c>
    </row>
    <row r="2212">
      <c r="A2212" s="25" t="n">
        <v>42076</v>
      </c>
      <c r="B2212" s="22">
        <f>(1+B2211)*IF(AND(Painel_diario!$H2208="EU_JD",Painel_diario!$J2208=1),EXP(Painel_diario!$L2208),1)-1</f>
        <v/>
      </c>
      <c r="C2212" s="22">
        <f>(1+C2211)*IF(AND(Painel_diario!$H2208="EU_JU",Painel_diario!$J2208=1),EXP(Painel_diario!$L2208),1)-1</f>
        <v/>
      </c>
      <c r="D2212" s="22">
        <f>(1+D2211)*IF(AND(Painel_diario!$H2208="ED_JD",Painel_diario!$J2208=1),EXP(Painel_diario!$L2208),1)-1</f>
        <v/>
      </c>
      <c r="E2212" s="22">
        <f>(1+E2211)*IF(AND(Painel_diario!$H2208="ED_JU",Painel_diario!$J2208=1),EXP(Painel_diario!$L2208),1)-1</f>
        <v/>
      </c>
    </row>
    <row r="2213">
      <c r="A2213" s="25" t="n">
        <v>42079</v>
      </c>
      <c r="B2213" s="22">
        <f>(1+B2212)*IF(AND(Painel_diario!$H2209="EU_JD",Painel_diario!$J2209=1),EXP(Painel_diario!$L2209),1)-1</f>
        <v/>
      </c>
      <c r="C2213" s="22">
        <f>(1+C2212)*IF(AND(Painel_diario!$H2209="EU_JU",Painel_diario!$J2209=1),EXP(Painel_diario!$L2209),1)-1</f>
        <v/>
      </c>
      <c r="D2213" s="22">
        <f>(1+D2212)*IF(AND(Painel_diario!$H2209="ED_JD",Painel_diario!$J2209=1),EXP(Painel_diario!$L2209),1)-1</f>
        <v/>
      </c>
      <c r="E2213" s="22">
        <f>(1+E2212)*IF(AND(Painel_diario!$H2209="ED_JU",Painel_diario!$J2209=1),EXP(Painel_diario!$L2209),1)-1</f>
        <v/>
      </c>
    </row>
    <row r="2214">
      <c r="A2214" s="25" t="n">
        <v>42080</v>
      </c>
      <c r="B2214" s="22">
        <f>(1+B2213)*IF(AND(Painel_diario!$H2210="EU_JD",Painel_diario!$J2210=1),EXP(Painel_diario!$L2210),1)-1</f>
        <v/>
      </c>
      <c r="C2214" s="22">
        <f>(1+C2213)*IF(AND(Painel_diario!$H2210="EU_JU",Painel_diario!$J2210=1),EXP(Painel_diario!$L2210),1)-1</f>
        <v/>
      </c>
      <c r="D2214" s="22">
        <f>(1+D2213)*IF(AND(Painel_diario!$H2210="ED_JD",Painel_diario!$J2210=1),EXP(Painel_diario!$L2210),1)-1</f>
        <v/>
      </c>
      <c r="E2214" s="22">
        <f>(1+E2213)*IF(AND(Painel_diario!$H2210="ED_JU",Painel_diario!$J2210=1),EXP(Painel_diario!$L2210),1)-1</f>
        <v/>
      </c>
    </row>
    <row r="2215">
      <c r="A2215" s="25" t="n">
        <v>42081</v>
      </c>
      <c r="B2215" s="22">
        <f>(1+B2214)*IF(AND(Painel_diario!$H2211="EU_JD",Painel_diario!$J2211=1),EXP(Painel_diario!$L2211),1)-1</f>
        <v/>
      </c>
      <c r="C2215" s="22">
        <f>(1+C2214)*IF(AND(Painel_diario!$H2211="EU_JU",Painel_diario!$J2211=1),EXP(Painel_diario!$L2211),1)-1</f>
        <v/>
      </c>
      <c r="D2215" s="22">
        <f>(1+D2214)*IF(AND(Painel_diario!$H2211="ED_JD",Painel_diario!$J2211=1),EXP(Painel_diario!$L2211),1)-1</f>
        <v/>
      </c>
      <c r="E2215" s="22">
        <f>(1+E2214)*IF(AND(Painel_diario!$H2211="ED_JU",Painel_diario!$J2211=1),EXP(Painel_diario!$L2211),1)-1</f>
        <v/>
      </c>
    </row>
    <row r="2216">
      <c r="A2216" s="25" t="n">
        <v>42082</v>
      </c>
      <c r="B2216" s="22">
        <f>(1+B2215)*IF(AND(Painel_diario!$H2212="EU_JD",Painel_diario!$J2212=1),EXP(Painel_diario!$L2212),1)-1</f>
        <v/>
      </c>
      <c r="C2216" s="22">
        <f>(1+C2215)*IF(AND(Painel_diario!$H2212="EU_JU",Painel_diario!$J2212=1),EXP(Painel_diario!$L2212),1)-1</f>
        <v/>
      </c>
      <c r="D2216" s="22">
        <f>(1+D2215)*IF(AND(Painel_diario!$H2212="ED_JD",Painel_diario!$J2212=1),EXP(Painel_diario!$L2212),1)-1</f>
        <v/>
      </c>
      <c r="E2216" s="22">
        <f>(1+E2215)*IF(AND(Painel_diario!$H2212="ED_JU",Painel_diario!$J2212=1),EXP(Painel_diario!$L2212),1)-1</f>
        <v/>
      </c>
    </row>
    <row r="2217">
      <c r="A2217" s="25" t="n">
        <v>42083</v>
      </c>
      <c r="B2217" s="22">
        <f>(1+B2216)*IF(AND(Painel_diario!$H2213="EU_JD",Painel_diario!$J2213=1),EXP(Painel_diario!$L2213),1)-1</f>
        <v/>
      </c>
      <c r="C2217" s="22">
        <f>(1+C2216)*IF(AND(Painel_diario!$H2213="EU_JU",Painel_diario!$J2213=1),EXP(Painel_diario!$L2213),1)-1</f>
        <v/>
      </c>
      <c r="D2217" s="22">
        <f>(1+D2216)*IF(AND(Painel_diario!$H2213="ED_JD",Painel_diario!$J2213=1),EXP(Painel_diario!$L2213),1)-1</f>
        <v/>
      </c>
      <c r="E2217" s="22">
        <f>(1+E2216)*IF(AND(Painel_diario!$H2213="ED_JU",Painel_diario!$J2213=1),EXP(Painel_diario!$L2213),1)-1</f>
        <v/>
      </c>
    </row>
    <row r="2218">
      <c r="A2218" s="25" t="n">
        <v>42086</v>
      </c>
      <c r="B2218" s="22">
        <f>(1+B2217)*IF(AND(Painel_diario!$H2214="EU_JD",Painel_diario!$J2214=1),EXP(Painel_diario!$L2214),1)-1</f>
        <v/>
      </c>
      <c r="C2218" s="22">
        <f>(1+C2217)*IF(AND(Painel_diario!$H2214="EU_JU",Painel_diario!$J2214=1),EXP(Painel_diario!$L2214),1)-1</f>
        <v/>
      </c>
      <c r="D2218" s="22">
        <f>(1+D2217)*IF(AND(Painel_diario!$H2214="ED_JD",Painel_diario!$J2214=1),EXP(Painel_diario!$L2214),1)-1</f>
        <v/>
      </c>
      <c r="E2218" s="22">
        <f>(1+E2217)*IF(AND(Painel_diario!$H2214="ED_JU",Painel_diario!$J2214=1),EXP(Painel_diario!$L2214),1)-1</f>
        <v/>
      </c>
    </row>
    <row r="2219">
      <c r="A2219" s="25" t="n">
        <v>42087</v>
      </c>
      <c r="B2219" s="22">
        <f>(1+B2218)*IF(AND(Painel_diario!$H2215="EU_JD",Painel_diario!$J2215=1),EXP(Painel_diario!$L2215),1)-1</f>
        <v/>
      </c>
      <c r="C2219" s="22">
        <f>(1+C2218)*IF(AND(Painel_diario!$H2215="EU_JU",Painel_diario!$J2215=1),EXP(Painel_diario!$L2215),1)-1</f>
        <v/>
      </c>
      <c r="D2219" s="22">
        <f>(1+D2218)*IF(AND(Painel_diario!$H2215="ED_JD",Painel_diario!$J2215=1),EXP(Painel_diario!$L2215),1)-1</f>
        <v/>
      </c>
      <c r="E2219" s="22">
        <f>(1+E2218)*IF(AND(Painel_diario!$H2215="ED_JU",Painel_diario!$J2215=1),EXP(Painel_diario!$L2215),1)-1</f>
        <v/>
      </c>
    </row>
    <row r="2220">
      <c r="A2220" s="25" t="n">
        <v>42088</v>
      </c>
      <c r="B2220" s="22">
        <f>(1+B2219)*IF(AND(Painel_diario!$H2216="EU_JD",Painel_diario!$J2216=1),EXP(Painel_diario!$L2216),1)-1</f>
        <v/>
      </c>
      <c r="C2220" s="22">
        <f>(1+C2219)*IF(AND(Painel_diario!$H2216="EU_JU",Painel_diario!$J2216=1),EXP(Painel_diario!$L2216),1)-1</f>
        <v/>
      </c>
      <c r="D2220" s="22">
        <f>(1+D2219)*IF(AND(Painel_diario!$H2216="ED_JD",Painel_diario!$J2216=1),EXP(Painel_diario!$L2216),1)-1</f>
        <v/>
      </c>
      <c r="E2220" s="22">
        <f>(1+E2219)*IF(AND(Painel_diario!$H2216="ED_JU",Painel_diario!$J2216=1),EXP(Painel_diario!$L2216),1)-1</f>
        <v/>
      </c>
    </row>
    <row r="2221">
      <c r="A2221" s="25" t="n">
        <v>42089</v>
      </c>
      <c r="B2221" s="22">
        <f>(1+B2220)*IF(AND(Painel_diario!$H2217="EU_JD",Painel_diario!$J2217=1),EXP(Painel_diario!$L2217),1)-1</f>
        <v/>
      </c>
      <c r="C2221" s="22">
        <f>(1+C2220)*IF(AND(Painel_diario!$H2217="EU_JU",Painel_diario!$J2217=1),EXP(Painel_diario!$L2217),1)-1</f>
        <v/>
      </c>
      <c r="D2221" s="22">
        <f>(1+D2220)*IF(AND(Painel_diario!$H2217="ED_JD",Painel_diario!$J2217=1),EXP(Painel_diario!$L2217),1)-1</f>
        <v/>
      </c>
      <c r="E2221" s="22">
        <f>(1+E2220)*IF(AND(Painel_diario!$H2217="ED_JU",Painel_diario!$J2217=1),EXP(Painel_diario!$L2217),1)-1</f>
        <v/>
      </c>
    </row>
    <row r="2222">
      <c r="A2222" s="25" t="n">
        <v>42090</v>
      </c>
      <c r="B2222" s="22">
        <f>(1+B2221)*IF(AND(Painel_diario!$H2218="EU_JD",Painel_diario!$J2218=1),EXP(Painel_diario!$L2218),1)-1</f>
        <v/>
      </c>
      <c r="C2222" s="22">
        <f>(1+C2221)*IF(AND(Painel_diario!$H2218="EU_JU",Painel_diario!$J2218=1),EXP(Painel_diario!$L2218),1)-1</f>
        <v/>
      </c>
      <c r="D2222" s="22">
        <f>(1+D2221)*IF(AND(Painel_diario!$H2218="ED_JD",Painel_diario!$J2218=1),EXP(Painel_diario!$L2218),1)-1</f>
        <v/>
      </c>
      <c r="E2222" s="22">
        <f>(1+E2221)*IF(AND(Painel_diario!$H2218="ED_JU",Painel_diario!$J2218=1),EXP(Painel_diario!$L2218),1)-1</f>
        <v/>
      </c>
    </row>
    <row r="2223">
      <c r="A2223" s="25" t="n">
        <v>42093</v>
      </c>
      <c r="B2223" s="22">
        <f>(1+B2222)*IF(AND(Painel_diario!$H2219="EU_JD",Painel_diario!$J2219=1),EXP(Painel_diario!$L2219),1)-1</f>
        <v/>
      </c>
      <c r="C2223" s="22">
        <f>(1+C2222)*IF(AND(Painel_diario!$H2219="EU_JU",Painel_diario!$J2219=1),EXP(Painel_diario!$L2219),1)-1</f>
        <v/>
      </c>
      <c r="D2223" s="22">
        <f>(1+D2222)*IF(AND(Painel_diario!$H2219="ED_JD",Painel_diario!$J2219=1),EXP(Painel_diario!$L2219),1)-1</f>
        <v/>
      </c>
      <c r="E2223" s="22">
        <f>(1+E2222)*IF(AND(Painel_diario!$H2219="ED_JU",Painel_diario!$J2219=1),EXP(Painel_diario!$L2219),1)-1</f>
        <v/>
      </c>
    </row>
    <row r="2224">
      <c r="A2224" s="25" t="n">
        <v>42094</v>
      </c>
      <c r="B2224" s="22">
        <f>(1+B2223)*IF(AND(Painel_diario!$H2220="EU_JD",Painel_diario!$J2220=1),EXP(Painel_diario!$L2220),1)-1</f>
        <v/>
      </c>
      <c r="C2224" s="22">
        <f>(1+C2223)*IF(AND(Painel_diario!$H2220="EU_JU",Painel_diario!$J2220=1),EXP(Painel_diario!$L2220),1)-1</f>
        <v/>
      </c>
      <c r="D2224" s="22">
        <f>(1+D2223)*IF(AND(Painel_diario!$H2220="ED_JD",Painel_diario!$J2220=1),EXP(Painel_diario!$L2220),1)-1</f>
        <v/>
      </c>
      <c r="E2224" s="22">
        <f>(1+E2223)*IF(AND(Painel_diario!$H2220="ED_JU",Painel_diario!$J2220=1),EXP(Painel_diario!$L2220),1)-1</f>
        <v/>
      </c>
    </row>
    <row r="2225">
      <c r="A2225" s="25" t="n">
        <v>42095</v>
      </c>
      <c r="B2225" s="22">
        <f>(1+B2224)*IF(AND(Painel_diario!$H2221="EU_JD",Painel_diario!$J2221=1),EXP(Painel_diario!$L2221),1)-1</f>
        <v/>
      </c>
      <c r="C2225" s="22">
        <f>(1+C2224)*IF(AND(Painel_diario!$H2221="EU_JU",Painel_diario!$J2221=1),EXP(Painel_diario!$L2221),1)-1</f>
        <v/>
      </c>
      <c r="D2225" s="22">
        <f>(1+D2224)*IF(AND(Painel_diario!$H2221="ED_JD",Painel_diario!$J2221=1),EXP(Painel_diario!$L2221),1)-1</f>
        <v/>
      </c>
      <c r="E2225" s="22">
        <f>(1+E2224)*IF(AND(Painel_diario!$H2221="ED_JU",Painel_diario!$J2221=1),EXP(Painel_diario!$L2221),1)-1</f>
        <v/>
      </c>
    </row>
    <row r="2226">
      <c r="A2226" s="25" t="n">
        <v>42096</v>
      </c>
      <c r="B2226" s="22">
        <f>(1+B2225)*IF(AND(Painel_diario!$H2222="EU_JD",Painel_diario!$J2222=1),EXP(Painel_diario!$L2222),1)-1</f>
        <v/>
      </c>
      <c r="C2226" s="22">
        <f>(1+C2225)*IF(AND(Painel_diario!$H2222="EU_JU",Painel_diario!$J2222=1),EXP(Painel_diario!$L2222),1)-1</f>
        <v/>
      </c>
      <c r="D2226" s="22">
        <f>(1+D2225)*IF(AND(Painel_diario!$H2222="ED_JD",Painel_diario!$J2222=1),EXP(Painel_diario!$L2222),1)-1</f>
        <v/>
      </c>
      <c r="E2226" s="22">
        <f>(1+E2225)*IF(AND(Painel_diario!$H2222="ED_JU",Painel_diario!$J2222=1),EXP(Painel_diario!$L2222),1)-1</f>
        <v/>
      </c>
    </row>
    <row r="2227">
      <c r="A2227" s="25" t="n">
        <v>42100</v>
      </c>
      <c r="B2227" s="22">
        <f>(1+B2226)*IF(AND(Painel_diario!$H2223="EU_JD",Painel_diario!$J2223=1),EXP(Painel_diario!$L2223),1)-1</f>
        <v/>
      </c>
      <c r="C2227" s="22">
        <f>(1+C2226)*IF(AND(Painel_diario!$H2223="EU_JU",Painel_diario!$J2223=1),EXP(Painel_diario!$L2223),1)-1</f>
        <v/>
      </c>
      <c r="D2227" s="22">
        <f>(1+D2226)*IF(AND(Painel_diario!$H2223="ED_JD",Painel_diario!$J2223=1),EXP(Painel_diario!$L2223),1)-1</f>
        <v/>
      </c>
      <c r="E2227" s="22">
        <f>(1+E2226)*IF(AND(Painel_diario!$H2223="ED_JU",Painel_diario!$J2223=1),EXP(Painel_diario!$L2223),1)-1</f>
        <v/>
      </c>
    </row>
    <row r="2228">
      <c r="A2228" s="25" t="n">
        <v>42101</v>
      </c>
      <c r="B2228" s="22">
        <f>(1+B2227)*IF(AND(Painel_diario!$H2224="EU_JD",Painel_diario!$J2224=1),EXP(Painel_diario!$L2224),1)-1</f>
        <v/>
      </c>
      <c r="C2228" s="22">
        <f>(1+C2227)*IF(AND(Painel_diario!$H2224="EU_JU",Painel_diario!$J2224=1),EXP(Painel_diario!$L2224),1)-1</f>
        <v/>
      </c>
      <c r="D2228" s="22">
        <f>(1+D2227)*IF(AND(Painel_diario!$H2224="ED_JD",Painel_diario!$J2224=1),EXP(Painel_diario!$L2224),1)-1</f>
        <v/>
      </c>
      <c r="E2228" s="22">
        <f>(1+E2227)*IF(AND(Painel_diario!$H2224="ED_JU",Painel_diario!$J2224=1),EXP(Painel_diario!$L2224),1)-1</f>
        <v/>
      </c>
    </row>
    <row r="2229">
      <c r="A2229" s="25" t="n">
        <v>42102</v>
      </c>
      <c r="B2229" s="22">
        <f>(1+B2228)*IF(AND(Painel_diario!$H2225="EU_JD",Painel_diario!$J2225=1),EXP(Painel_diario!$L2225),1)-1</f>
        <v/>
      </c>
      <c r="C2229" s="22">
        <f>(1+C2228)*IF(AND(Painel_diario!$H2225="EU_JU",Painel_diario!$J2225=1),EXP(Painel_diario!$L2225),1)-1</f>
        <v/>
      </c>
      <c r="D2229" s="22">
        <f>(1+D2228)*IF(AND(Painel_diario!$H2225="ED_JD",Painel_diario!$J2225=1),EXP(Painel_diario!$L2225),1)-1</f>
        <v/>
      </c>
      <c r="E2229" s="22">
        <f>(1+E2228)*IF(AND(Painel_diario!$H2225="ED_JU",Painel_diario!$J2225=1),EXP(Painel_diario!$L2225),1)-1</f>
        <v/>
      </c>
    </row>
    <row r="2230">
      <c r="A2230" s="25" t="n">
        <v>42103</v>
      </c>
      <c r="B2230" s="22">
        <f>(1+B2229)*IF(AND(Painel_diario!$H2226="EU_JD",Painel_diario!$J2226=1),EXP(Painel_diario!$L2226),1)-1</f>
        <v/>
      </c>
      <c r="C2230" s="22">
        <f>(1+C2229)*IF(AND(Painel_diario!$H2226="EU_JU",Painel_diario!$J2226=1),EXP(Painel_diario!$L2226),1)-1</f>
        <v/>
      </c>
      <c r="D2230" s="22">
        <f>(1+D2229)*IF(AND(Painel_diario!$H2226="ED_JD",Painel_diario!$J2226=1),EXP(Painel_diario!$L2226),1)-1</f>
        <v/>
      </c>
      <c r="E2230" s="22">
        <f>(1+E2229)*IF(AND(Painel_diario!$H2226="ED_JU",Painel_diario!$J2226=1),EXP(Painel_diario!$L2226),1)-1</f>
        <v/>
      </c>
    </row>
    <row r="2231">
      <c r="A2231" s="25" t="n">
        <v>42104</v>
      </c>
      <c r="B2231" s="22">
        <f>(1+B2230)*IF(AND(Painel_diario!$H2227="EU_JD",Painel_diario!$J2227=1),EXP(Painel_diario!$L2227),1)-1</f>
        <v/>
      </c>
      <c r="C2231" s="22">
        <f>(1+C2230)*IF(AND(Painel_diario!$H2227="EU_JU",Painel_diario!$J2227=1),EXP(Painel_diario!$L2227),1)-1</f>
        <v/>
      </c>
      <c r="D2231" s="22">
        <f>(1+D2230)*IF(AND(Painel_diario!$H2227="ED_JD",Painel_diario!$J2227=1),EXP(Painel_diario!$L2227),1)-1</f>
        <v/>
      </c>
      <c r="E2231" s="22">
        <f>(1+E2230)*IF(AND(Painel_diario!$H2227="ED_JU",Painel_diario!$J2227=1),EXP(Painel_diario!$L2227),1)-1</f>
        <v/>
      </c>
    </row>
    <row r="2232">
      <c r="A2232" s="25" t="n">
        <v>42107</v>
      </c>
      <c r="B2232" s="22">
        <f>(1+B2231)*IF(AND(Painel_diario!$H2228="EU_JD",Painel_diario!$J2228=1),EXP(Painel_diario!$L2228),1)-1</f>
        <v/>
      </c>
      <c r="C2232" s="22">
        <f>(1+C2231)*IF(AND(Painel_diario!$H2228="EU_JU",Painel_diario!$J2228=1),EXP(Painel_diario!$L2228),1)-1</f>
        <v/>
      </c>
      <c r="D2232" s="22">
        <f>(1+D2231)*IF(AND(Painel_diario!$H2228="ED_JD",Painel_diario!$J2228=1),EXP(Painel_diario!$L2228),1)-1</f>
        <v/>
      </c>
      <c r="E2232" s="22">
        <f>(1+E2231)*IF(AND(Painel_diario!$H2228="ED_JU",Painel_diario!$J2228=1),EXP(Painel_diario!$L2228),1)-1</f>
        <v/>
      </c>
    </row>
    <row r="2233">
      <c r="A2233" s="25" t="n">
        <v>42108</v>
      </c>
      <c r="B2233" s="22">
        <f>(1+B2232)*IF(AND(Painel_diario!$H2229="EU_JD",Painel_diario!$J2229=1),EXP(Painel_diario!$L2229),1)-1</f>
        <v/>
      </c>
      <c r="C2233" s="22">
        <f>(1+C2232)*IF(AND(Painel_diario!$H2229="EU_JU",Painel_diario!$J2229=1),EXP(Painel_diario!$L2229),1)-1</f>
        <v/>
      </c>
      <c r="D2233" s="22">
        <f>(1+D2232)*IF(AND(Painel_diario!$H2229="ED_JD",Painel_diario!$J2229=1),EXP(Painel_diario!$L2229),1)-1</f>
        <v/>
      </c>
      <c r="E2233" s="22">
        <f>(1+E2232)*IF(AND(Painel_diario!$H2229="ED_JU",Painel_diario!$J2229=1),EXP(Painel_diario!$L2229),1)-1</f>
        <v/>
      </c>
    </row>
    <row r="2234">
      <c r="A2234" s="25" t="n">
        <v>42109</v>
      </c>
      <c r="B2234" s="22">
        <f>(1+B2233)*IF(AND(Painel_diario!$H2230="EU_JD",Painel_diario!$J2230=1),EXP(Painel_diario!$L2230),1)-1</f>
        <v/>
      </c>
      <c r="C2234" s="22">
        <f>(1+C2233)*IF(AND(Painel_diario!$H2230="EU_JU",Painel_diario!$J2230=1),EXP(Painel_diario!$L2230),1)-1</f>
        <v/>
      </c>
      <c r="D2234" s="22">
        <f>(1+D2233)*IF(AND(Painel_diario!$H2230="ED_JD",Painel_diario!$J2230=1),EXP(Painel_diario!$L2230),1)-1</f>
        <v/>
      </c>
      <c r="E2234" s="22">
        <f>(1+E2233)*IF(AND(Painel_diario!$H2230="ED_JU",Painel_diario!$J2230=1),EXP(Painel_diario!$L2230),1)-1</f>
        <v/>
      </c>
    </row>
    <row r="2235">
      <c r="A2235" s="25" t="n">
        <v>42110</v>
      </c>
      <c r="B2235" s="22">
        <f>(1+B2234)*IF(AND(Painel_diario!$H2231="EU_JD",Painel_diario!$J2231=1),EXP(Painel_diario!$L2231),1)-1</f>
        <v/>
      </c>
      <c r="C2235" s="22">
        <f>(1+C2234)*IF(AND(Painel_diario!$H2231="EU_JU",Painel_diario!$J2231=1),EXP(Painel_diario!$L2231),1)-1</f>
        <v/>
      </c>
      <c r="D2235" s="22">
        <f>(1+D2234)*IF(AND(Painel_diario!$H2231="ED_JD",Painel_diario!$J2231=1),EXP(Painel_diario!$L2231),1)-1</f>
        <v/>
      </c>
      <c r="E2235" s="22">
        <f>(1+E2234)*IF(AND(Painel_diario!$H2231="ED_JU",Painel_diario!$J2231=1),EXP(Painel_diario!$L2231),1)-1</f>
        <v/>
      </c>
    </row>
    <row r="2236">
      <c r="A2236" s="25" t="n">
        <v>42111</v>
      </c>
      <c r="B2236" s="22">
        <f>(1+B2235)*IF(AND(Painel_diario!$H2232="EU_JD",Painel_diario!$J2232=1),EXP(Painel_diario!$L2232),1)-1</f>
        <v/>
      </c>
      <c r="C2236" s="22">
        <f>(1+C2235)*IF(AND(Painel_diario!$H2232="EU_JU",Painel_diario!$J2232=1),EXP(Painel_diario!$L2232),1)-1</f>
        <v/>
      </c>
      <c r="D2236" s="22">
        <f>(1+D2235)*IF(AND(Painel_diario!$H2232="ED_JD",Painel_diario!$J2232=1),EXP(Painel_diario!$L2232),1)-1</f>
        <v/>
      </c>
      <c r="E2236" s="22">
        <f>(1+E2235)*IF(AND(Painel_diario!$H2232="ED_JU",Painel_diario!$J2232=1),EXP(Painel_diario!$L2232),1)-1</f>
        <v/>
      </c>
    </row>
    <row r="2237">
      <c r="A2237" s="25" t="n">
        <v>42114</v>
      </c>
      <c r="B2237" s="22">
        <f>(1+B2236)*IF(AND(Painel_diario!$H2233="EU_JD",Painel_diario!$J2233=1),EXP(Painel_diario!$L2233),1)-1</f>
        <v/>
      </c>
      <c r="C2237" s="22">
        <f>(1+C2236)*IF(AND(Painel_diario!$H2233="EU_JU",Painel_diario!$J2233=1),EXP(Painel_diario!$L2233),1)-1</f>
        <v/>
      </c>
      <c r="D2237" s="22">
        <f>(1+D2236)*IF(AND(Painel_diario!$H2233="ED_JD",Painel_diario!$J2233=1),EXP(Painel_diario!$L2233),1)-1</f>
        <v/>
      </c>
      <c r="E2237" s="22">
        <f>(1+E2236)*IF(AND(Painel_diario!$H2233="ED_JU",Painel_diario!$J2233=1),EXP(Painel_diario!$L2233),1)-1</f>
        <v/>
      </c>
    </row>
    <row r="2238">
      <c r="A2238" s="25" t="n">
        <v>42116</v>
      </c>
      <c r="B2238" s="22">
        <f>(1+B2237)*IF(AND(Painel_diario!$H2234="EU_JD",Painel_diario!$J2234=1),EXP(Painel_diario!$L2234),1)-1</f>
        <v/>
      </c>
      <c r="C2238" s="22">
        <f>(1+C2237)*IF(AND(Painel_diario!$H2234="EU_JU",Painel_diario!$J2234=1),EXP(Painel_diario!$L2234),1)-1</f>
        <v/>
      </c>
      <c r="D2238" s="22">
        <f>(1+D2237)*IF(AND(Painel_diario!$H2234="ED_JD",Painel_diario!$J2234=1),EXP(Painel_diario!$L2234),1)-1</f>
        <v/>
      </c>
      <c r="E2238" s="22">
        <f>(1+E2237)*IF(AND(Painel_diario!$H2234="ED_JU",Painel_diario!$J2234=1),EXP(Painel_diario!$L2234),1)-1</f>
        <v/>
      </c>
    </row>
    <row r="2239">
      <c r="A2239" s="25" t="n">
        <v>42117</v>
      </c>
      <c r="B2239" s="22">
        <f>(1+B2238)*IF(AND(Painel_diario!$H2235="EU_JD",Painel_diario!$J2235=1),EXP(Painel_diario!$L2235),1)-1</f>
        <v/>
      </c>
      <c r="C2239" s="22">
        <f>(1+C2238)*IF(AND(Painel_diario!$H2235="EU_JU",Painel_diario!$J2235=1),EXP(Painel_diario!$L2235),1)-1</f>
        <v/>
      </c>
      <c r="D2239" s="22">
        <f>(1+D2238)*IF(AND(Painel_diario!$H2235="ED_JD",Painel_diario!$J2235=1),EXP(Painel_diario!$L2235),1)-1</f>
        <v/>
      </c>
      <c r="E2239" s="22">
        <f>(1+E2238)*IF(AND(Painel_diario!$H2235="ED_JU",Painel_diario!$J2235=1),EXP(Painel_diario!$L2235),1)-1</f>
        <v/>
      </c>
    </row>
    <row r="2240">
      <c r="A2240" s="25" t="n">
        <v>42118</v>
      </c>
      <c r="B2240" s="22">
        <f>(1+B2239)*IF(AND(Painel_diario!$H2236="EU_JD",Painel_diario!$J2236=1),EXP(Painel_diario!$L2236),1)-1</f>
        <v/>
      </c>
      <c r="C2240" s="22">
        <f>(1+C2239)*IF(AND(Painel_diario!$H2236="EU_JU",Painel_diario!$J2236=1),EXP(Painel_diario!$L2236),1)-1</f>
        <v/>
      </c>
      <c r="D2240" s="22">
        <f>(1+D2239)*IF(AND(Painel_diario!$H2236="ED_JD",Painel_diario!$J2236=1),EXP(Painel_diario!$L2236),1)-1</f>
        <v/>
      </c>
      <c r="E2240" s="22">
        <f>(1+E2239)*IF(AND(Painel_diario!$H2236="ED_JU",Painel_diario!$J2236=1),EXP(Painel_diario!$L2236),1)-1</f>
        <v/>
      </c>
    </row>
    <row r="2241">
      <c r="A2241" s="25" t="n">
        <v>42121</v>
      </c>
      <c r="B2241" s="22">
        <f>(1+B2240)*IF(AND(Painel_diario!$H2237="EU_JD",Painel_diario!$J2237=1),EXP(Painel_diario!$L2237),1)-1</f>
        <v/>
      </c>
      <c r="C2241" s="22">
        <f>(1+C2240)*IF(AND(Painel_diario!$H2237="EU_JU",Painel_diario!$J2237=1),EXP(Painel_diario!$L2237),1)-1</f>
        <v/>
      </c>
      <c r="D2241" s="22">
        <f>(1+D2240)*IF(AND(Painel_diario!$H2237="ED_JD",Painel_diario!$J2237=1),EXP(Painel_diario!$L2237),1)-1</f>
        <v/>
      </c>
      <c r="E2241" s="22">
        <f>(1+E2240)*IF(AND(Painel_diario!$H2237="ED_JU",Painel_diario!$J2237=1),EXP(Painel_diario!$L2237),1)-1</f>
        <v/>
      </c>
    </row>
    <row r="2242">
      <c r="A2242" s="25" t="n">
        <v>42122</v>
      </c>
      <c r="B2242" s="22">
        <f>(1+B2241)*IF(AND(Painel_diario!$H2238="EU_JD",Painel_diario!$J2238=1),EXP(Painel_diario!$L2238),1)-1</f>
        <v/>
      </c>
      <c r="C2242" s="22">
        <f>(1+C2241)*IF(AND(Painel_diario!$H2238="EU_JU",Painel_diario!$J2238=1),EXP(Painel_diario!$L2238),1)-1</f>
        <v/>
      </c>
      <c r="D2242" s="22">
        <f>(1+D2241)*IF(AND(Painel_diario!$H2238="ED_JD",Painel_diario!$J2238=1),EXP(Painel_diario!$L2238),1)-1</f>
        <v/>
      </c>
      <c r="E2242" s="22">
        <f>(1+E2241)*IF(AND(Painel_diario!$H2238="ED_JU",Painel_diario!$J2238=1),EXP(Painel_diario!$L2238),1)-1</f>
        <v/>
      </c>
    </row>
    <row r="2243">
      <c r="A2243" s="25" t="n">
        <v>42123</v>
      </c>
      <c r="B2243" s="22">
        <f>(1+B2242)*IF(AND(Painel_diario!$H2239="EU_JD",Painel_diario!$J2239=1),EXP(Painel_diario!$L2239),1)-1</f>
        <v/>
      </c>
      <c r="C2243" s="22">
        <f>(1+C2242)*IF(AND(Painel_diario!$H2239="EU_JU",Painel_diario!$J2239=1),EXP(Painel_diario!$L2239),1)-1</f>
        <v/>
      </c>
      <c r="D2243" s="22">
        <f>(1+D2242)*IF(AND(Painel_diario!$H2239="ED_JD",Painel_diario!$J2239=1),EXP(Painel_diario!$L2239),1)-1</f>
        <v/>
      </c>
      <c r="E2243" s="22">
        <f>(1+E2242)*IF(AND(Painel_diario!$H2239="ED_JU",Painel_diario!$J2239=1),EXP(Painel_diario!$L2239),1)-1</f>
        <v/>
      </c>
    </row>
    <row r="2244">
      <c r="A2244" s="25" t="n">
        <v>42124</v>
      </c>
      <c r="B2244" s="22">
        <f>(1+B2243)*IF(AND(Painel_diario!$H2240="EU_JD",Painel_diario!$J2240=1),EXP(Painel_diario!$L2240),1)-1</f>
        <v/>
      </c>
      <c r="C2244" s="22">
        <f>(1+C2243)*IF(AND(Painel_diario!$H2240="EU_JU",Painel_diario!$J2240=1),EXP(Painel_diario!$L2240),1)-1</f>
        <v/>
      </c>
      <c r="D2244" s="22">
        <f>(1+D2243)*IF(AND(Painel_diario!$H2240="ED_JD",Painel_diario!$J2240=1),EXP(Painel_diario!$L2240),1)-1</f>
        <v/>
      </c>
      <c r="E2244" s="22">
        <f>(1+E2243)*IF(AND(Painel_diario!$H2240="ED_JU",Painel_diario!$J2240=1),EXP(Painel_diario!$L2240),1)-1</f>
        <v/>
      </c>
    </row>
    <row r="2245">
      <c r="A2245" s="25" t="n">
        <v>42128</v>
      </c>
      <c r="B2245" s="22">
        <f>(1+B2244)*IF(AND(Painel_diario!$H2241="EU_JD",Painel_diario!$J2241=1),EXP(Painel_diario!$L2241),1)-1</f>
        <v/>
      </c>
      <c r="C2245" s="22">
        <f>(1+C2244)*IF(AND(Painel_diario!$H2241="EU_JU",Painel_diario!$J2241=1),EXP(Painel_diario!$L2241),1)-1</f>
        <v/>
      </c>
      <c r="D2245" s="22">
        <f>(1+D2244)*IF(AND(Painel_diario!$H2241="ED_JD",Painel_diario!$J2241=1),EXP(Painel_diario!$L2241),1)-1</f>
        <v/>
      </c>
      <c r="E2245" s="22">
        <f>(1+E2244)*IF(AND(Painel_diario!$H2241="ED_JU",Painel_diario!$J2241=1),EXP(Painel_diario!$L2241),1)-1</f>
        <v/>
      </c>
    </row>
    <row r="2246">
      <c r="A2246" s="25" t="n">
        <v>42129</v>
      </c>
      <c r="B2246" s="22">
        <f>(1+B2245)*IF(AND(Painel_diario!$H2242="EU_JD",Painel_diario!$J2242=1),EXP(Painel_diario!$L2242),1)-1</f>
        <v/>
      </c>
      <c r="C2246" s="22">
        <f>(1+C2245)*IF(AND(Painel_diario!$H2242="EU_JU",Painel_diario!$J2242=1),EXP(Painel_diario!$L2242),1)-1</f>
        <v/>
      </c>
      <c r="D2246" s="22">
        <f>(1+D2245)*IF(AND(Painel_diario!$H2242="ED_JD",Painel_diario!$J2242=1),EXP(Painel_diario!$L2242),1)-1</f>
        <v/>
      </c>
      <c r="E2246" s="22">
        <f>(1+E2245)*IF(AND(Painel_diario!$H2242="ED_JU",Painel_diario!$J2242=1),EXP(Painel_diario!$L2242),1)-1</f>
        <v/>
      </c>
    </row>
    <row r="2247">
      <c r="A2247" s="25" t="n">
        <v>42130</v>
      </c>
      <c r="B2247" s="22">
        <f>(1+B2246)*IF(AND(Painel_diario!$H2243="EU_JD",Painel_diario!$J2243=1),EXP(Painel_diario!$L2243),1)-1</f>
        <v/>
      </c>
      <c r="C2247" s="22">
        <f>(1+C2246)*IF(AND(Painel_diario!$H2243="EU_JU",Painel_diario!$J2243=1),EXP(Painel_diario!$L2243),1)-1</f>
        <v/>
      </c>
      <c r="D2247" s="22">
        <f>(1+D2246)*IF(AND(Painel_diario!$H2243="ED_JD",Painel_diario!$J2243=1),EXP(Painel_diario!$L2243),1)-1</f>
        <v/>
      </c>
      <c r="E2247" s="22">
        <f>(1+E2246)*IF(AND(Painel_diario!$H2243="ED_JU",Painel_diario!$J2243=1),EXP(Painel_diario!$L2243),1)-1</f>
        <v/>
      </c>
    </row>
    <row r="2248">
      <c r="A2248" s="25" t="n">
        <v>42131</v>
      </c>
      <c r="B2248" s="22">
        <f>(1+B2247)*IF(AND(Painel_diario!$H2244="EU_JD",Painel_diario!$J2244=1),EXP(Painel_diario!$L2244),1)-1</f>
        <v/>
      </c>
      <c r="C2248" s="22">
        <f>(1+C2247)*IF(AND(Painel_diario!$H2244="EU_JU",Painel_diario!$J2244=1),EXP(Painel_diario!$L2244),1)-1</f>
        <v/>
      </c>
      <c r="D2248" s="22">
        <f>(1+D2247)*IF(AND(Painel_diario!$H2244="ED_JD",Painel_diario!$J2244=1),EXP(Painel_diario!$L2244),1)-1</f>
        <v/>
      </c>
      <c r="E2248" s="22">
        <f>(1+E2247)*IF(AND(Painel_diario!$H2244="ED_JU",Painel_diario!$J2244=1),EXP(Painel_diario!$L2244),1)-1</f>
        <v/>
      </c>
    </row>
    <row r="2249">
      <c r="A2249" s="25" t="n">
        <v>42132</v>
      </c>
      <c r="B2249" s="22">
        <f>(1+B2248)*IF(AND(Painel_diario!$H2245="EU_JD",Painel_diario!$J2245=1),EXP(Painel_diario!$L2245),1)-1</f>
        <v/>
      </c>
      <c r="C2249" s="22">
        <f>(1+C2248)*IF(AND(Painel_diario!$H2245="EU_JU",Painel_diario!$J2245=1),EXP(Painel_diario!$L2245),1)-1</f>
        <v/>
      </c>
      <c r="D2249" s="22">
        <f>(1+D2248)*IF(AND(Painel_diario!$H2245="ED_JD",Painel_diario!$J2245=1),EXP(Painel_diario!$L2245),1)-1</f>
        <v/>
      </c>
      <c r="E2249" s="22">
        <f>(1+E2248)*IF(AND(Painel_diario!$H2245="ED_JU",Painel_diario!$J2245=1),EXP(Painel_diario!$L2245),1)-1</f>
        <v/>
      </c>
    </row>
    <row r="2250">
      <c r="A2250" s="25" t="n">
        <v>42136</v>
      </c>
      <c r="B2250" s="22">
        <f>(1+B2249)*IF(AND(Painel_diario!$H2246="EU_JD",Painel_diario!$J2246=1),EXP(Painel_diario!$L2246),1)-1</f>
        <v/>
      </c>
      <c r="C2250" s="22">
        <f>(1+C2249)*IF(AND(Painel_diario!$H2246="EU_JU",Painel_diario!$J2246=1),EXP(Painel_diario!$L2246),1)-1</f>
        <v/>
      </c>
      <c r="D2250" s="22">
        <f>(1+D2249)*IF(AND(Painel_diario!$H2246="ED_JD",Painel_diario!$J2246=1),EXP(Painel_diario!$L2246),1)-1</f>
        <v/>
      </c>
      <c r="E2250" s="22">
        <f>(1+E2249)*IF(AND(Painel_diario!$H2246="ED_JU",Painel_diario!$J2246=1),EXP(Painel_diario!$L2246),1)-1</f>
        <v/>
      </c>
    </row>
    <row r="2251">
      <c r="A2251" s="25" t="n">
        <v>42137</v>
      </c>
      <c r="B2251" s="22">
        <f>(1+B2250)*IF(AND(Painel_diario!$H2247="EU_JD",Painel_diario!$J2247=1),EXP(Painel_diario!$L2247),1)-1</f>
        <v/>
      </c>
      <c r="C2251" s="22">
        <f>(1+C2250)*IF(AND(Painel_diario!$H2247="EU_JU",Painel_diario!$J2247=1),EXP(Painel_diario!$L2247),1)-1</f>
        <v/>
      </c>
      <c r="D2251" s="22">
        <f>(1+D2250)*IF(AND(Painel_diario!$H2247="ED_JD",Painel_diario!$J2247=1),EXP(Painel_diario!$L2247),1)-1</f>
        <v/>
      </c>
      <c r="E2251" s="22">
        <f>(1+E2250)*IF(AND(Painel_diario!$H2247="ED_JU",Painel_diario!$J2247=1),EXP(Painel_diario!$L2247),1)-1</f>
        <v/>
      </c>
    </row>
    <row r="2252">
      <c r="A2252" s="25" t="n">
        <v>42138</v>
      </c>
      <c r="B2252" s="22">
        <f>(1+B2251)*IF(AND(Painel_diario!$H2248="EU_JD",Painel_diario!$J2248=1),EXP(Painel_diario!$L2248),1)-1</f>
        <v/>
      </c>
      <c r="C2252" s="22">
        <f>(1+C2251)*IF(AND(Painel_diario!$H2248="EU_JU",Painel_diario!$J2248=1),EXP(Painel_diario!$L2248),1)-1</f>
        <v/>
      </c>
      <c r="D2252" s="22">
        <f>(1+D2251)*IF(AND(Painel_diario!$H2248="ED_JD",Painel_diario!$J2248=1),EXP(Painel_diario!$L2248),1)-1</f>
        <v/>
      </c>
      <c r="E2252" s="22">
        <f>(1+E2251)*IF(AND(Painel_diario!$H2248="ED_JU",Painel_diario!$J2248=1),EXP(Painel_diario!$L2248),1)-1</f>
        <v/>
      </c>
    </row>
    <row r="2253">
      <c r="A2253" s="25" t="n">
        <v>42139</v>
      </c>
      <c r="B2253" s="22">
        <f>(1+B2252)*IF(AND(Painel_diario!$H2249="EU_JD",Painel_diario!$J2249=1),EXP(Painel_diario!$L2249),1)-1</f>
        <v/>
      </c>
      <c r="C2253" s="22">
        <f>(1+C2252)*IF(AND(Painel_diario!$H2249="EU_JU",Painel_diario!$J2249=1),EXP(Painel_diario!$L2249),1)-1</f>
        <v/>
      </c>
      <c r="D2253" s="22">
        <f>(1+D2252)*IF(AND(Painel_diario!$H2249="ED_JD",Painel_diario!$J2249=1),EXP(Painel_diario!$L2249),1)-1</f>
        <v/>
      </c>
      <c r="E2253" s="22">
        <f>(1+E2252)*IF(AND(Painel_diario!$H2249="ED_JU",Painel_diario!$J2249=1),EXP(Painel_diario!$L2249),1)-1</f>
        <v/>
      </c>
    </row>
    <row r="2254">
      <c r="A2254" s="25" t="n">
        <v>42142</v>
      </c>
      <c r="B2254" s="22">
        <f>(1+B2253)*IF(AND(Painel_diario!$H2250="EU_JD",Painel_diario!$J2250=1),EXP(Painel_diario!$L2250),1)-1</f>
        <v/>
      </c>
      <c r="C2254" s="22">
        <f>(1+C2253)*IF(AND(Painel_diario!$H2250="EU_JU",Painel_diario!$J2250=1),EXP(Painel_diario!$L2250),1)-1</f>
        <v/>
      </c>
      <c r="D2254" s="22">
        <f>(1+D2253)*IF(AND(Painel_diario!$H2250="ED_JD",Painel_diario!$J2250=1),EXP(Painel_diario!$L2250),1)-1</f>
        <v/>
      </c>
      <c r="E2254" s="22">
        <f>(1+E2253)*IF(AND(Painel_diario!$H2250="ED_JU",Painel_diario!$J2250=1),EXP(Painel_diario!$L2250),1)-1</f>
        <v/>
      </c>
    </row>
    <row r="2255">
      <c r="A2255" s="25" t="n">
        <v>42143</v>
      </c>
      <c r="B2255" s="22">
        <f>(1+B2254)*IF(AND(Painel_diario!$H2251="EU_JD",Painel_diario!$J2251=1),EXP(Painel_diario!$L2251),1)-1</f>
        <v/>
      </c>
      <c r="C2255" s="22">
        <f>(1+C2254)*IF(AND(Painel_diario!$H2251="EU_JU",Painel_diario!$J2251=1),EXP(Painel_diario!$L2251),1)-1</f>
        <v/>
      </c>
      <c r="D2255" s="22">
        <f>(1+D2254)*IF(AND(Painel_diario!$H2251="ED_JD",Painel_diario!$J2251=1),EXP(Painel_diario!$L2251),1)-1</f>
        <v/>
      </c>
      <c r="E2255" s="22">
        <f>(1+E2254)*IF(AND(Painel_diario!$H2251="ED_JU",Painel_diario!$J2251=1),EXP(Painel_diario!$L2251),1)-1</f>
        <v/>
      </c>
    </row>
    <row r="2256">
      <c r="A2256" s="25" t="n">
        <v>42144</v>
      </c>
      <c r="B2256" s="22">
        <f>(1+B2255)*IF(AND(Painel_diario!$H2252="EU_JD",Painel_diario!$J2252=1),EXP(Painel_diario!$L2252),1)-1</f>
        <v/>
      </c>
      <c r="C2256" s="22">
        <f>(1+C2255)*IF(AND(Painel_diario!$H2252="EU_JU",Painel_diario!$J2252=1),EXP(Painel_diario!$L2252),1)-1</f>
        <v/>
      </c>
      <c r="D2256" s="22">
        <f>(1+D2255)*IF(AND(Painel_diario!$H2252="ED_JD",Painel_diario!$J2252=1),EXP(Painel_diario!$L2252),1)-1</f>
        <v/>
      </c>
      <c r="E2256" s="22">
        <f>(1+E2255)*IF(AND(Painel_diario!$H2252="ED_JU",Painel_diario!$J2252=1),EXP(Painel_diario!$L2252),1)-1</f>
        <v/>
      </c>
    </row>
    <row r="2257">
      <c r="A2257" s="25" t="n">
        <v>42145</v>
      </c>
      <c r="B2257" s="22">
        <f>(1+B2256)*IF(AND(Painel_diario!$H2253="EU_JD",Painel_diario!$J2253=1),EXP(Painel_diario!$L2253),1)-1</f>
        <v/>
      </c>
      <c r="C2257" s="22">
        <f>(1+C2256)*IF(AND(Painel_diario!$H2253="EU_JU",Painel_diario!$J2253=1),EXP(Painel_diario!$L2253),1)-1</f>
        <v/>
      </c>
      <c r="D2257" s="22">
        <f>(1+D2256)*IF(AND(Painel_diario!$H2253="ED_JD",Painel_diario!$J2253=1),EXP(Painel_diario!$L2253),1)-1</f>
        <v/>
      </c>
      <c r="E2257" s="22">
        <f>(1+E2256)*IF(AND(Painel_diario!$H2253="ED_JU",Painel_diario!$J2253=1),EXP(Painel_diario!$L2253),1)-1</f>
        <v/>
      </c>
    </row>
    <row r="2258">
      <c r="A2258" s="25" t="n">
        <v>42146</v>
      </c>
      <c r="B2258" s="22">
        <f>(1+B2257)*IF(AND(Painel_diario!$H2254="EU_JD",Painel_diario!$J2254=1),EXP(Painel_diario!$L2254),1)-1</f>
        <v/>
      </c>
      <c r="C2258" s="22">
        <f>(1+C2257)*IF(AND(Painel_diario!$H2254="EU_JU",Painel_diario!$J2254=1),EXP(Painel_diario!$L2254),1)-1</f>
        <v/>
      </c>
      <c r="D2258" s="22">
        <f>(1+D2257)*IF(AND(Painel_diario!$H2254="ED_JD",Painel_diario!$J2254=1),EXP(Painel_diario!$L2254),1)-1</f>
        <v/>
      </c>
      <c r="E2258" s="22">
        <f>(1+E2257)*IF(AND(Painel_diario!$H2254="ED_JU",Painel_diario!$J2254=1),EXP(Painel_diario!$L2254),1)-1</f>
        <v/>
      </c>
    </row>
    <row r="2259">
      <c r="A2259" s="25" t="n">
        <v>42149</v>
      </c>
      <c r="B2259" s="22">
        <f>(1+B2258)*IF(AND(Painel_diario!$H2255="EU_JD",Painel_diario!$J2255=1),EXP(Painel_diario!$L2255),1)-1</f>
        <v/>
      </c>
      <c r="C2259" s="22">
        <f>(1+C2258)*IF(AND(Painel_diario!$H2255="EU_JU",Painel_diario!$J2255=1),EXP(Painel_diario!$L2255),1)-1</f>
        <v/>
      </c>
      <c r="D2259" s="22">
        <f>(1+D2258)*IF(AND(Painel_diario!$H2255="ED_JD",Painel_diario!$J2255=1),EXP(Painel_diario!$L2255),1)-1</f>
        <v/>
      </c>
      <c r="E2259" s="22">
        <f>(1+E2258)*IF(AND(Painel_diario!$H2255="ED_JU",Painel_diario!$J2255=1),EXP(Painel_diario!$L2255),1)-1</f>
        <v/>
      </c>
    </row>
    <row r="2260">
      <c r="A2260" s="25" t="n">
        <v>42150</v>
      </c>
      <c r="B2260" s="22">
        <f>(1+B2259)*IF(AND(Painel_diario!$H2256="EU_JD",Painel_diario!$J2256=1),EXP(Painel_diario!$L2256),1)-1</f>
        <v/>
      </c>
      <c r="C2260" s="22">
        <f>(1+C2259)*IF(AND(Painel_diario!$H2256="EU_JU",Painel_diario!$J2256=1),EXP(Painel_diario!$L2256),1)-1</f>
        <v/>
      </c>
      <c r="D2260" s="22">
        <f>(1+D2259)*IF(AND(Painel_diario!$H2256="ED_JD",Painel_diario!$J2256=1),EXP(Painel_diario!$L2256),1)-1</f>
        <v/>
      </c>
      <c r="E2260" s="22">
        <f>(1+E2259)*IF(AND(Painel_diario!$H2256="ED_JU",Painel_diario!$J2256=1),EXP(Painel_diario!$L2256),1)-1</f>
        <v/>
      </c>
    </row>
    <row r="2261">
      <c r="A2261" s="25" t="n">
        <v>42151</v>
      </c>
      <c r="B2261" s="22">
        <f>(1+B2260)*IF(AND(Painel_diario!$H2257="EU_JD",Painel_diario!$J2257=1),EXP(Painel_diario!$L2257),1)-1</f>
        <v/>
      </c>
      <c r="C2261" s="22">
        <f>(1+C2260)*IF(AND(Painel_diario!$H2257="EU_JU",Painel_diario!$J2257=1),EXP(Painel_diario!$L2257),1)-1</f>
        <v/>
      </c>
      <c r="D2261" s="22">
        <f>(1+D2260)*IF(AND(Painel_diario!$H2257="ED_JD",Painel_diario!$J2257=1),EXP(Painel_diario!$L2257),1)-1</f>
        <v/>
      </c>
      <c r="E2261" s="22">
        <f>(1+E2260)*IF(AND(Painel_diario!$H2257="ED_JU",Painel_diario!$J2257=1),EXP(Painel_diario!$L2257),1)-1</f>
        <v/>
      </c>
    </row>
    <row r="2262">
      <c r="A2262" s="25" t="n">
        <v>42152</v>
      </c>
      <c r="B2262" s="22">
        <f>(1+B2261)*IF(AND(Painel_diario!$H2258="EU_JD",Painel_diario!$J2258=1),EXP(Painel_diario!$L2258),1)-1</f>
        <v/>
      </c>
      <c r="C2262" s="22">
        <f>(1+C2261)*IF(AND(Painel_diario!$H2258="EU_JU",Painel_diario!$J2258=1),EXP(Painel_diario!$L2258),1)-1</f>
        <v/>
      </c>
      <c r="D2262" s="22">
        <f>(1+D2261)*IF(AND(Painel_diario!$H2258="ED_JD",Painel_diario!$J2258=1),EXP(Painel_diario!$L2258),1)-1</f>
        <v/>
      </c>
      <c r="E2262" s="22">
        <f>(1+E2261)*IF(AND(Painel_diario!$H2258="ED_JU",Painel_diario!$J2258=1),EXP(Painel_diario!$L2258),1)-1</f>
        <v/>
      </c>
    </row>
    <row r="2263">
      <c r="A2263" s="25" t="n">
        <v>42153</v>
      </c>
      <c r="B2263" s="22">
        <f>(1+B2262)*IF(AND(Painel_diario!$H2259="EU_JD",Painel_diario!$J2259=1),EXP(Painel_diario!$L2259),1)-1</f>
        <v/>
      </c>
      <c r="C2263" s="22">
        <f>(1+C2262)*IF(AND(Painel_diario!$H2259="EU_JU",Painel_diario!$J2259=1),EXP(Painel_diario!$L2259),1)-1</f>
        <v/>
      </c>
      <c r="D2263" s="22">
        <f>(1+D2262)*IF(AND(Painel_diario!$H2259="ED_JD",Painel_diario!$J2259=1),EXP(Painel_diario!$L2259),1)-1</f>
        <v/>
      </c>
      <c r="E2263" s="22">
        <f>(1+E2262)*IF(AND(Painel_diario!$H2259="ED_JU",Painel_diario!$J2259=1),EXP(Painel_diario!$L2259),1)-1</f>
        <v/>
      </c>
    </row>
    <row r="2264">
      <c r="A2264" s="25" t="n">
        <v>42156</v>
      </c>
      <c r="B2264" s="22">
        <f>(1+B2263)*IF(AND(Painel_diario!$H2260="EU_JD",Painel_diario!$J2260=1),EXP(Painel_diario!$L2260),1)-1</f>
        <v/>
      </c>
      <c r="C2264" s="22">
        <f>(1+C2263)*IF(AND(Painel_diario!$H2260="EU_JU",Painel_diario!$J2260=1),EXP(Painel_diario!$L2260),1)-1</f>
        <v/>
      </c>
      <c r="D2264" s="22">
        <f>(1+D2263)*IF(AND(Painel_diario!$H2260="ED_JD",Painel_diario!$J2260=1),EXP(Painel_diario!$L2260),1)-1</f>
        <v/>
      </c>
      <c r="E2264" s="22">
        <f>(1+E2263)*IF(AND(Painel_diario!$H2260="ED_JU",Painel_diario!$J2260=1),EXP(Painel_diario!$L2260),1)-1</f>
        <v/>
      </c>
    </row>
    <row r="2265">
      <c r="A2265" s="25" t="n">
        <v>42157</v>
      </c>
      <c r="B2265" s="22">
        <f>(1+B2264)*IF(AND(Painel_diario!$H2261="EU_JD",Painel_diario!$J2261=1),EXP(Painel_diario!$L2261),1)-1</f>
        <v/>
      </c>
      <c r="C2265" s="22">
        <f>(1+C2264)*IF(AND(Painel_diario!$H2261="EU_JU",Painel_diario!$J2261=1),EXP(Painel_diario!$L2261),1)-1</f>
        <v/>
      </c>
      <c r="D2265" s="22">
        <f>(1+D2264)*IF(AND(Painel_diario!$H2261="ED_JD",Painel_diario!$J2261=1),EXP(Painel_diario!$L2261),1)-1</f>
        <v/>
      </c>
      <c r="E2265" s="22">
        <f>(1+E2264)*IF(AND(Painel_diario!$H2261="ED_JU",Painel_diario!$J2261=1),EXP(Painel_diario!$L2261),1)-1</f>
        <v/>
      </c>
    </row>
    <row r="2266">
      <c r="A2266" s="25" t="n">
        <v>42158</v>
      </c>
      <c r="B2266" s="22">
        <f>(1+B2265)*IF(AND(Painel_diario!$H2262="EU_JD",Painel_diario!$J2262=1),EXP(Painel_diario!$L2262),1)-1</f>
        <v/>
      </c>
      <c r="C2266" s="22">
        <f>(1+C2265)*IF(AND(Painel_diario!$H2262="EU_JU",Painel_diario!$J2262=1),EXP(Painel_diario!$L2262),1)-1</f>
        <v/>
      </c>
      <c r="D2266" s="22">
        <f>(1+D2265)*IF(AND(Painel_diario!$H2262="ED_JD",Painel_diario!$J2262=1),EXP(Painel_diario!$L2262),1)-1</f>
        <v/>
      </c>
      <c r="E2266" s="22">
        <f>(1+E2265)*IF(AND(Painel_diario!$H2262="ED_JU",Painel_diario!$J2262=1),EXP(Painel_diario!$L2262),1)-1</f>
        <v/>
      </c>
    </row>
    <row r="2267">
      <c r="A2267" s="25" t="n">
        <v>42160</v>
      </c>
      <c r="B2267" s="22">
        <f>(1+B2266)*IF(AND(Painel_diario!$H2263="EU_JD",Painel_diario!$J2263=1),EXP(Painel_diario!$L2263),1)-1</f>
        <v/>
      </c>
      <c r="C2267" s="22">
        <f>(1+C2266)*IF(AND(Painel_diario!$H2263="EU_JU",Painel_diario!$J2263=1),EXP(Painel_diario!$L2263),1)-1</f>
        <v/>
      </c>
      <c r="D2267" s="22">
        <f>(1+D2266)*IF(AND(Painel_diario!$H2263="ED_JD",Painel_diario!$J2263=1),EXP(Painel_diario!$L2263),1)-1</f>
        <v/>
      </c>
      <c r="E2267" s="22">
        <f>(1+E2266)*IF(AND(Painel_diario!$H2263="ED_JU",Painel_diario!$J2263=1),EXP(Painel_diario!$L2263),1)-1</f>
        <v/>
      </c>
    </row>
    <row r="2268">
      <c r="A2268" s="25" t="n">
        <v>42163</v>
      </c>
      <c r="B2268" s="22">
        <f>(1+B2267)*IF(AND(Painel_diario!$H2264="EU_JD",Painel_diario!$J2264=1),EXP(Painel_diario!$L2264),1)-1</f>
        <v/>
      </c>
      <c r="C2268" s="22">
        <f>(1+C2267)*IF(AND(Painel_diario!$H2264="EU_JU",Painel_diario!$J2264=1),EXP(Painel_diario!$L2264),1)-1</f>
        <v/>
      </c>
      <c r="D2268" s="22">
        <f>(1+D2267)*IF(AND(Painel_diario!$H2264="ED_JD",Painel_diario!$J2264=1),EXP(Painel_diario!$L2264),1)-1</f>
        <v/>
      </c>
      <c r="E2268" s="22">
        <f>(1+E2267)*IF(AND(Painel_diario!$H2264="ED_JU",Painel_diario!$J2264=1),EXP(Painel_diario!$L2264),1)-1</f>
        <v/>
      </c>
    </row>
    <row r="2269">
      <c r="A2269" s="25" t="n">
        <v>42164</v>
      </c>
      <c r="B2269" s="22">
        <f>(1+B2268)*IF(AND(Painel_diario!$H2265="EU_JD",Painel_diario!$J2265=1),EXP(Painel_diario!$L2265),1)-1</f>
        <v/>
      </c>
      <c r="C2269" s="22">
        <f>(1+C2268)*IF(AND(Painel_diario!$H2265="EU_JU",Painel_diario!$J2265=1),EXP(Painel_diario!$L2265),1)-1</f>
        <v/>
      </c>
      <c r="D2269" s="22">
        <f>(1+D2268)*IF(AND(Painel_diario!$H2265="ED_JD",Painel_diario!$J2265=1),EXP(Painel_diario!$L2265),1)-1</f>
        <v/>
      </c>
      <c r="E2269" s="22">
        <f>(1+E2268)*IF(AND(Painel_diario!$H2265="ED_JU",Painel_diario!$J2265=1),EXP(Painel_diario!$L2265),1)-1</f>
        <v/>
      </c>
    </row>
    <row r="2270">
      <c r="A2270" s="25" t="n">
        <v>42165</v>
      </c>
      <c r="B2270" s="22">
        <f>(1+B2269)*IF(AND(Painel_diario!$H2266="EU_JD",Painel_diario!$J2266=1),EXP(Painel_diario!$L2266),1)-1</f>
        <v/>
      </c>
      <c r="C2270" s="22">
        <f>(1+C2269)*IF(AND(Painel_diario!$H2266="EU_JU",Painel_diario!$J2266=1),EXP(Painel_diario!$L2266),1)-1</f>
        <v/>
      </c>
      <c r="D2270" s="22">
        <f>(1+D2269)*IF(AND(Painel_diario!$H2266="ED_JD",Painel_diario!$J2266=1),EXP(Painel_diario!$L2266),1)-1</f>
        <v/>
      </c>
      <c r="E2270" s="22">
        <f>(1+E2269)*IF(AND(Painel_diario!$H2266="ED_JU",Painel_diario!$J2266=1),EXP(Painel_diario!$L2266),1)-1</f>
        <v/>
      </c>
    </row>
    <row r="2271">
      <c r="A2271" s="25" t="n">
        <v>42166</v>
      </c>
      <c r="B2271" s="22">
        <f>(1+B2270)*IF(AND(Painel_diario!$H2267="EU_JD",Painel_diario!$J2267=1),EXP(Painel_diario!$L2267),1)-1</f>
        <v/>
      </c>
      <c r="C2271" s="22">
        <f>(1+C2270)*IF(AND(Painel_diario!$H2267="EU_JU",Painel_diario!$J2267=1),EXP(Painel_diario!$L2267),1)-1</f>
        <v/>
      </c>
      <c r="D2271" s="22">
        <f>(1+D2270)*IF(AND(Painel_diario!$H2267="ED_JD",Painel_diario!$J2267=1),EXP(Painel_diario!$L2267),1)-1</f>
        <v/>
      </c>
      <c r="E2271" s="22">
        <f>(1+E2270)*IF(AND(Painel_diario!$H2267="ED_JU",Painel_diario!$J2267=1),EXP(Painel_diario!$L2267),1)-1</f>
        <v/>
      </c>
    </row>
    <row r="2272">
      <c r="A2272" s="25" t="n">
        <v>42167</v>
      </c>
      <c r="B2272" s="22">
        <f>(1+B2271)*IF(AND(Painel_diario!$H2268="EU_JD",Painel_diario!$J2268=1),EXP(Painel_diario!$L2268),1)-1</f>
        <v/>
      </c>
      <c r="C2272" s="22">
        <f>(1+C2271)*IF(AND(Painel_diario!$H2268="EU_JU",Painel_diario!$J2268=1),EXP(Painel_diario!$L2268),1)-1</f>
        <v/>
      </c>
      <c r="D2272" s="22">
        <f>(1+D2271)*IF(AND(Painel_diario!$H2268="ED_JD",Painel_diario!$J2268=1),EXP(Painel_diario!$L2268),1)-1</f>
        <v/>
      </c>
      <c r="E2272" s="22">
        <f>(1+E2271)*IF(AND(Painel_diario!$H2268="ED_JU",Painel_diario!$J2268=1),EXP(Painel_diario!$L2268),1)-1</f>
        <v/>
      </c>
    </row>
    <row r="2273">
      <c r="A2273" s="25" t="n">
        <v>42170</v>
      </c>
      <c r="B2273" s="22">
        <f>(1+B2272)*IF(AND(Painel_diario!$H2269="EU_JD",Painel_diario!$J2269=1),EXP(Painel_diario!$L2269),1)-1</f>
        <v/>
      </c>
      <c r="C2273" s="22">
        <f>(1+C2272)*IF(AND(Painel_diario!$H2269="EU_JU",Painel_diario!$J2269=1),EXP(Painel_diario!$L2269),1)-1</f>
        <v/>
      </c>
      <c r="D2273" s="22">
        <f>(1+D2272)*IF(AND(Painel_diario!$H2269="ED_JD",Painel_diario!$J2269=1),EXP(Painel_diario!$L2269),1)-1</f>
        <v/>
      </c>
      <c r="E2273" s="22">
        <f>(1+E2272)*IF(AND(Painel_diario!$H2269="ED_JU",Painel_diario!$J2269=1),EXP(Painel_diario!$L2269),1)-1</f>
        <v/>
      </c>
    </row>
    <row r="2274">
      <c r="A2274" s="25" t="n">
        <v>42171</v>
      </c>
      <c r="B2274" s="22">
        <f>(1+B2273)*IF(AND(Painel_diario!$H2270="EU_JD",Painel_diario!$J2270=1),EXP(Painel_diario!$L2270),1)-1</f>
        <v/>
      </c>
      <c r="C2274" s="22">
        <f>(1+C2273)*IF(AND(Painel_diario!$H2270="EU_JU",Painel_diario!$J2270=1),EXP(Painel_diario!$L2270),1)-1</f>
        <v/>
      </c>
      <c r="D2274" s="22">
        <f>(1+D2273)*IF(AND(Painel_diario!$H2270="ED_JD",Painel_diario!$J2270=1),EXP(Painel_diario!$L2270),1)-1</f>
        <v/>
      </c>
      <c r="E2274" s="22">
        <f>(1+E2273)*IF(AND(Painel_diario!$H2270="ED_JU",Painel_diario!$J2270=1),EXP(Painel_diario!$L2270),1)-1</f>
        <v/>
      </c>
    </row>
    <row r="2275">
      <c r="A2275" s="25" t="n">
        <v>42172</v>
      </c>
      <c r="B2275" s="22">
        <f>(1+B2274)*IF(AND(Painel_diario!$H2271="EU_JD",Painel_diario!$J2271=1),EXP(Painel_diario!$L2271),1)-1</f>
        <v/>
      </c>
      <c r="C2275" s="22">
        <f>(1+C2274)*IF(AND(Painel_diario!$H2271="EU_JU",Painel_diario!$J2271=1),EXP(Painel_diario!$L2271),1)-1</f>
        <v/>
      </c>
      <c r="D2275" s="22">
        <f>(1+D2274)*IF(AND(Painel_diario!$H2271="ED_JD",Painel_diario!$J2271=1),EXP(Painel_diario!$L2271),1)-1</f>
        <v/>
      </c>
      <c r="E2275" s="22">
        <f>(1+E2274)*IF(AND(Painel_diario!$H2271="ED_JU",Painel_diario!$J2271=1),EXP(Painel_diario!$L2271),1)-1</f>
        <v/>
      </c>
    </row>
    <row r="2276">
      <c r="A2276" s="25" t="n">
        <v>42173</v>
      </c>
      <c r="B2276" s="22">
        <f>(1+B2275)*IF(AND(Painel_diario!$H2272="EU_JD",Painel_diario!$J2272=1),EXP(Painel_diario!$L2272),1)-1</f>
        <v/>
      </c>
      <c r="C2276" s="22">
        <f>(1+C2275)*IF(AND(Painel_diario!$H2272="EU_JU",Painel_diario!$J2272=1),EXP(Painel_diario!$L2272),1)-1</f>
        <v/>
      </c>
      <c r="D2276" s="22">
        <f>(1+D2275)*IF(AND(Painel_diario!$H2272="ED_JD",Painel_diario!$J2272=1),EXP(Painel_diario!$L2272),1)-1</f>
        <v/>
      </c>
      <c r="E2276" s="22">
        <f>(1+E2275)*IF(AND(Painel_diario!$H2272="ED_JU",Painel_diario!$J2272=1),EXP(Painel_diario!$L2272),1)-1</f>
        <v/>
      </c>
    </row>
    <row r="2277">
      <c r="A2277" s="25" t="n">
        <v>42174</v>
      </c>
      <c r="B2277" s="22">
        <f>(1+B2276)*IF(AND(Painel_diario!$H2273="EU_JD",Painel_diario!$J2273=1),EXP(Painel_diario!$L2273),1)-1</f>
        <v/>
      </c>
      <c r="C2277" s="22">
        <f>(1+C2276)*IF(AND(Painel_diario!$H2273="EU_JU",Painel_diario!$J2273=1),EXP(Painel_diario!$L2273),1)-1</f>
        <v/>
      </c>
      <c r="D2277" s="22">
        <f>(1+D2276)*IF(AND(Painel_diario!$H2273="ED_JD",Painel_diario!$J2273=1),EXP(Painel_diario!$L2273),1)-1</f>
        <v/>
      </c>
      <c r="E2277" s="22">
        <f>(1+E2276)*IF(AND(Painel_diario!$H2273="ED_JU",Painel_diario!$J2273=1),EXP(Painel_diario!$L2273),1)-1</f>
        <v/>
      </c>
    </row>
    <row r="2278">
      <c r="A2278" s="25" t="n">
        <v>42177</v>
      </c>
      <c r="B2278" s="22">
        <f>(1+B2277)*IF(AND(Painel_diario!$H2274="EU_JD",Painel_diario!$J2274=1),EXP(Painel_diario!$L2274),1)-1</f>
        <v/>
      </c>
      <c r="C2278" s="22">
        <f>(1+C2277)*IF(AND(Painel_diario!$H2274="EU_JU",Painel_diario!$J2274=1),EXP(Painel_diario!$L2274),1)-1</f>
        <v/>
      </c>
      <c r="D2278" s="22">
        <f>(1+D2277)*IF(AND(Painel_diario!$H2274="ED_JD",Painel_diario!$J2274=1),EXP(Painel_diario!$L2274),1)-1</f>
        <v/>
      </c>
      <c r="E2278" s="22">
        <f>(1+E2277)*IF(AND(Painel_diario!$H2274="ED_JU",Painel_diario!$J2274=1),EXP(Painel_diario!$L2274),1)-1</f>
        <v/>
      </c>
    </row>
    <row r="2279">
      <c r="A2279" s="25" t="n">
        <v>42178</v>
      </c>
      <c r="B2279" s="22">
        <f>(1+B2278)*IF(AND(Painel_diario!$H2275="EU_JD",Painel_diario!$J2275=1),EXP(Painel_diario!$L2275),1)-1</f>
        <v/>
      </c>
      <c r="C2279" s="22">
        <f>(1+C2278)*IF(AND(Painel_diario!$H2275="EU_JU",Painel_diario!$J2275=1),EXP(Painel_diario!$L2275),1)-1</f>
        <v/>
      </c>
      <c r="D2279" s="22">
        <f>(1+D2278)*IF(AND(Painel_diario!$H2275="ED_JD",Painel_diario!$J2275=1),EXP(Painel_diario!$L2275),1)-1</f>
        <v/>
      </c>
      <c r="E2279" s="22">
        <f>(1+E2278)*IF(AND(Painel_diario!$H2275="ED_JU",Painel_diario!$J2275=1),EXP(Painel_diario!$L2275),1)-1</f>
        <v/>
      </c>
    </row>
    <row r="2280">
      <c r="A2280" s="25" t="n">
        <v>42179</v>
      </c>
      <c r="B2280" s="22">
        <f>(1+B2279)*IF(AND(Painel_diario!$H2276="EU_JD",Painel_diario!$J2276=1),EXP(Painel_diario!$L2276),1)-1</f>
        <v/>
      </c>
      <c r="C2280" s="22">
        <f>(1+C2279)*IF(AND(Painel_diario!$H2276="EU_JU",Painel_diario!$J2276=1),EXP(Painel_diario!$L2276),1)-1</f>
        <v/>
      </c>
      <c r="D2280" s="22">
        <f>(1+D2279)*IF(AND(Painel_diario!$H2276="ED_JD",Painel_diario!$J2276=1),EXP(Painel_diario!$L2276),1)-1</f>
        <v/>
      </c>
      <c r="E2280" s="22">
        <f>(1+E2279)*IF(AND(Painel_diario!$H2276="ED_JU",Painel_diario!$J2276=1),EXP(Painel_diario!$L2276),1)-1</f>
        <v/>
      </c>
    </row>
    <row r="2281">
      <c r="A2281" s="25" t="n">
        <v>42180</v>
      </c>
      <c r="B2281" s="22">
        <f>(1+B2280)*IF(AND(Painel_diario!$H2277="EU_JD",Painel_diario!$J2277=1),EXP(Painel_diario!$L2277),1)-1</f>
        <v/>
      </c>
      <c r="C2281" s="22">
        <f>(1+C2280)*IF(AND(Painel_diario!$H2277="EU_JU",Painel_diario!$J2277=1),EXP(Painel_diario!$L2277),1)-1</f>
        <v/>
      </c>
      <c r="D2281" s="22">
        <f>(1+D2280)*IF(AND(Painel_diario!$H2277="ED_JD",Painel_diario!$J2277=1),EXP(Painel_diario!$L2277),1)-1</f>
        <v/>
      </c>
      <c r="E2281" s="22">
        <f>(1+E2280)*IF(AND(Painel_diario!$H2277="ED_JU",Painel_diario!$J2277=1),EXP(Painel_diario!$L2277),1)-1</f>
        <v/>
      </c>
    </row>
    <row r="2282">
      <c r="A2282" s="25" t="n">
        <v>42181</v>
      </c>
      <c r="B2282" s="22">
        <f>(1+B2281)*IF(AND(Painel_diario!$H2278="EU_JD",Painel_diario!$J2278=1),EXP(Painel_diario!$L2278),1)-1</f>
        <v/>
      </c>
      <c r="C2282" s="22">
        <f>(1+C2281)*IF(AND(Painel_diario!$H2278="EU_JU",Painel_diario!$J2278=1),EXP(Painel_diario!$L2278),1)-1</f>
        <v/>
      </c>
      <c r="D2282" s="22">
        <f>(1+D2281)*IF(AND(Painel_diario!$H2278="ED_JD",Painel_diario!$J2278=1),EXP(Painel_diario!$L2278),1)-1</f>
        <v/>
      </c>
      <c r="E2282" s="22">
        <f>(1+E2281)*IF(AND(Painel_diario!$H2278="ED_JU",Painel_diario!$J2278=1),EXP(Painel_diario!$L2278),1)-1</f>
        <v/>
      </c>
    </row>
    <row r="2283">
      <c r="A2283" s="25" t="n">
        <v>42184</v>
      </c>
      <c r="B2283" s="22">
        <f>(1+B2282)*IF(AND(Painel_diario!$H2279="EU_JD",Painel_diario!$J2279=1),EXP(Painel_diario!$L2279),1)-1</f>
        <v/>
      </c>
      <c r="C2283" s="22">
        <f>(1+C2282)*IF(AND(Painel_diario!$H2279="EU_JU",Painel_diario!$J2279=1),EXP(Painel_diario!$L2279),1)-1</f>
        <v/>
      </c>
      <c r="D2283" s="22">
        <f>(1+D2282)*IF(AND(Painel_diario!$H2279="ED_JD",Painel_diario!$J2279=1),EXP(Painel_diario!$L2279),1)-1</f>
        <v/>
      </c>
      <c r="E2283" s="22">
        <f>(1+E2282)*IF(AND(Painel_diario!$H2279="ED_JU",Painel_diario!$J2279=1),EXP(Painel_diario!$L2279),1)-1</f>
        <v/>
      </c>
    </row>
    <row r="2284">
      <c r="A2284" s="25" t="n">
        <v>42185</v>
      </c>
      <c r="B2284" s="22">
        <f>(1+B2283)*IF(AND(Painel_diario!$H2280="EU_JD",Painel_diario!$J2280=1),EXP(Painel_diario!$L2280),1)-1</f>
        <v/>
      </c>
      <c r="C2284" s="22">
        <f>(1+C2283)*IF(AND(Painel_diario!$H2280="EU_JU",Painel_diario!$J2280=1),EXP(Painel_diario!$L2280),1)-1</f>
        <v/>
      </c>
      <c r="D2284" s="22">
        <f>(1+D2283)*IF(AND(Painel_diario!$H2280="ED_JD",Painel_diario!$J2280=1),EXP(Painel_diario!$L2280),1)-1</f>
        <v/>
      </c>
      <c r="E2284" s="22">
        <f>(1+E2283)*IF(AND(Painel_diario!$H2280="ED_JU",Painel_diario!$J2280=1),EXP(Painel_diario!$L2280),1)-1</f>
        <v/>
      </c>
    </row>
    <row r="2285">
      <c r="A2285" s="25" t="n">
        <v>42186</v>
      </c>
      <c r="B2285" s="22">
        <f>(1+B2284)*IF(AND(Painel_diario!$H2281="EU_JD",Painel_diario!$J2281=1),EXP(Painel_diario!$L2281),1)-1</f>
        <v/>
      </c>
      <c r="C2285" s="22">
        <f>(1+C2284)*IF(AND(Painel_diario!$H2281="EU_JU",Painel_diario!$J2281=1),EXP(Painel_diario!$L2281),1)-1</f>
        <v/>
      </c>
      <c r="D2285" s="22">
        <f>(1+D2284)*IF(AND(Painel_diario!$H2281="ED_JD",Painel_diario!$J2281=1),EXP(Painel_diario!$L2281),1)-1</f>
        <v/>
      </c>
      <c r="E2285" s="22">
        <f>(1+E2284)*IF(AND(Painel_diario!$H2281="ED_JU",Painel_diario!$J2281=1),EXP(Painel_diario!$L2281),1)-1</f>
        <v/>
      </c>
    </row>
    <row r="2286">
      <c r="A2286" s="25" t="n">
        <v>42187</v>
      </c>
      <c r="B2286" s="22">
        <f>(1+B2285)*IF(AND(Painel_diario!$H2282="EU_JD",Painel_diario!$J2282=1),EXP(Painel_diario!$L2282),1)-1</f>
        <v/>
      </c>
      <c r="C2286" s="22">
        <f>(1+C2285)*IF(AND(Painel_diario!$H2282="EU_JU",Painel_diario!$J2282=1),EXP(Painel_diario!$L2282),1)-1</f>
        <v/>
      </c>
      <c r="D2286" s="22">
        <f>(1+D2285)*IF(AND(Painel_diario!$H2282="ED_JD",Painel_diario!$J2282=1),EXP(Painel_diario!$L2282),1)-1</f>
        <v/>
      </c>
      <c r="E2286" s="22">
        <f>(1+E2285)*IF(AND(Painel_diario!$H2282="ED_JU",Painel_diario!$J2282=1),EXP(Painel_diario!$L2282),1)-1</f>
        <v/>
      </c>
    </row>
    <row r="2287">
      <c r="A2287" s="25" t="n">
        <v>42188</v>
      </c>
      <c r="B2287" s="22">
        <f>(1+B2286)*IF(AND(Painel_diario!$H2283="EU_JD",Painel_diario!$J2283=1),EXP(Painel_diario!$L2283),1)-1</f>
        <v/>
      </c>
      <c r="C2287" s="22">
        <f>(1+C2286)*IF(AND(Painel_diario!$H2283="EU_JU",Painel_diario!$J2283=1),EXP(Painel_diario!$L2283),1)-1</f>
        <v/>
      </c>
      <c r="D2287" s="22">
        <f>(1+D2286)*IF(AND(Painel_diario!$H2283="ED_JD",Painel_diario!$J2283=1),EXP(Painel_diario!$L2283),1)-1</f>
        <v/>
      </c>
      <c r="E2287" s="22">
        <f>(1+E2286)*IF(AND(Painel_diario!$H2283="ED_JU",Painel_diario!$J2283=1),EXP(Painel_diario!$L2283),1)-1</f>
        <v/>
      </c>
    </row>
    <row r="2288">
      <c r="A2288" s="25" t="n">
        <v>42191</v>
      </c>
      <c r="B2288" s="22">
        <f>(1+B2287)*IF(AND(Painel_diario!$H2284="EU_JD",Painel_diario!$J2284=1),EXP(Painel_diario!$L2284),1)-1</f>
        <v/>
      </c>
      <c r="C2288" s="22">
        <f>(1+C2287)*IF(AND(Painel_diario!$H2284="EU_JU",Painel_diario!$J2284=1),EXP(Painel_diario!$L2284),1)-1</f>
        <v/>
      </c>
      <c r="D2288" s="22">
        <f>(1+D2287)*IF(AND(Painel_diario!$H2284="ED_JD",Painel_diario!$J2284=1),EXP(Painel_diario!$L2284),1)-1</f>
        <v/>
      </c>
      <c r="E2288" s="22">
        <f>(1+E2287)*IF(AND(Painel_diario!$H2284="ED_JU",Painel_diario!$J2284=1),EXP(Painel_diario!$L2284),1)-1</f>
        <v/>
      </c>
    </row>
    <row r="2289">
      <c r="A2289" s="25" t="n">
        <v>42192</v>
      </c>
      <c r="B2289" s="22">
        <f>(1+B2288)*IF(AND(Painel_diario!$H2285="EU_JD",Painel_diario!$J2285=1),EXP(Painel_diario!$L2285),1)-1</f>
        <v/>
      </c>
      <c r="C2289" s="22">
        <f>(1+C2288)*IF(AND(Painel_diario!$H2285="EU_JU",Painel_diario!$J2285=1),EXP(Painel_diario!$L2285),1)-1</f>
        <v/>
      </c>
      <c r="D2289" s="22">
        <f>(1+D2288)*IF(AND(Painel_diario!$H2285="ED_JD",Painel_diario!$J2285=1),EXP(Painel_diario!$L2285),1)-1</f>
        <v/>
      </c>
      <c r="E2289" s="22">
        <f>(1+E2288)*IF(AND(Painel_diario!$H2285="ED_JU",Painel_diario!$J2285=1),EXP(Painel_diario!$L2285),1)-1</f>
        <v/>
      </c>
    </row>
    <row r="2290">
      <c r="A2290" s="25" t="n">
        <v>42193</v>
      </c>
      <c r="B2290" s="22">
        <f>(1+B2289)*IF(AND(Painel_diario!$H2286="EU_JD",Painel_diario!$J2286=1),EXP(Painel_diario!$L2286),1)-1</f>
        <v/>
      </c>
      <c r="C2290" s="22">
        <f>(1+C2289)*IF(AND(Painel_diario!$H2286="EU_JU",Painel_diario!$J2286=1),EXP(Painel_diario!$L2286),1)-1</f>
        <v/>
      </c>
      <c r="D2290" s="22">
        <f>(1+D2289)*IF(AND(Painel_diario!$H2286="ED_JD",Painel_diario!$J2286=1),EXP(Painel_diario!$L2286),1)-1</f>
        <v/>
      </c>
      <c r="E2290" s="22">
        <f>(1+E2289)*IF(AND(Painel_diario!$H2286="ED_JU",Painel_diario!$J2286=1),EXP(Painel_diario!$L2286),1)-1</f>
        <v/>
      </c>
    </row>
    <row r="2291">
      <c r="A2291" s="25" t="n">
        <v>42195</v>
      </c>
      <c r="B2291" s="22">
        <f>(1+B2290)*IF(AND(Painel_diario!$H2287="EU_JD",Painel_diario!$J2287=1),EXP(Painel_diario!$L2287),1)-1</f>
        <v/>
      </c>
      <c r="C2291" s="22">
        <f>(1+C2290)*IF(AND(Painel_diario!$H2287="EU_JU",Painel_diario!$J2287=1),EXP(Painel_diario!$L2287),1)-1</f>
        <v/>
      </c>
      <c r="D2291" s="22">
        <f>(1+D2290)*IF(AND(Painel_diario!$H2287="ED_JD",Painel_diario!$J2287=1),EXP(Painel_diario!$L2287),1)-1</f>
        <v/>
      </c>
      <c r="E2291" s="22">
        <f>(1+E2290)*IF(AND(Painel_diario!$H2287="ED_JU",Painel_diario!$J2287=1),EXP(Painel_diario!$L2287),1)-1</f>
        <v/>
      </c>
    </row>
    <row r="2292">
      <c r="A2292" s="25" t="n">
        <v>42198</v>
      </c>
      <c r="B2292" s="22">
        <f>(1+B2291)*IF(AND(Painel_diario!$H2288="EU_JD",Painel_diario!$J2288=1),EXP(Painel_diario!$L2288),1)-1</f>
        <v/>
      </c>
      <c r="C2292" s="22">
        <f>(1+C2291)*IF(AND(Painel_diario!$H2288="EU_JU",Painel_diario!$J2288=1),EXP(Painel_diario!$L2288),1)-1</f>
        <v/>
      </c>
      <c r="D2292" s="22">
        <f>(1+D2291)*IF(AND(Painel_diario!$H2288="ED_JD",Painel_diario!$J2288=1),EXP(Painel_diario!$L2288),1)-1</f>
        <v/>
      </c>
      <c r="E2292" s="22">
        <f>(1+E2291)*IF(AND(Painel_diario!$H2288="ED_JU",Painel_diario!$J2288=1),EXP(Painel_diario!$L2288),1)-1</f>
        <v/>
      </c>
    </row>
    <row r="2293">
      <c r="A2293" s="25" t="n">
        <v>42199</v>
      </c>
      <c r="B2293" s="22">
        <f>(1+B2292)*IF(AND(Painel_diario!$H2289="EU_JD",Painel_diario!$J2289=1),EXP(Painel_diario!$L2289),1)-1</f>
        <v/>
      </c>
      <c r="C2293" s="22">
        <f>(1+C2292)*IF(AND(Painel_diario!$H2289="EU_JU",Painel_diario!$J2289=1),EXP(Painel_diario!$L2289),1)-1</f>
        <v/>
      </c>
      <c r="D2293" s="22">
        <f>(1+D2292)*IF(AND(Painel_diario!$H2289="ED_JD",Painel_diario!$J2289=1),EXP(Painel_diario!$L2289),1)-1</f>
        <v/>
      </c>
      <c r="E2293" s="22">
        <f>(1+E2292)*IF(AND(Painel_diario!$H2289="ED_JU",Painel_diario!$J2289=1),EXP(Painel_diario!$L2289),1)-1</f>
        <v/>
      </c>
    </row>
    <row r="2294">
      <c r="A2294" s="25" t="n">
        <v>42200</v>
      </c>
      <c r="B2294" s="22">
        <f>(1+B2293)*IF(AND(Painel_diario!$H2290="EU_JD",Painel_diario!$J2290=1),EXP(Painel_diario!$L2290),1)-1</f>
        <v/>
      </c>
      <c r="C2294" s="22">
        <f>(1+C2293)*IF(AND(Painel_diario!$H2290="EU_JU",Painel_diario!$J2290=1),EXP(Painel_diario!$L2290),1)-1</f>
        <v/>
      </c>
      <c r="D2294" s="22">
        <f>(1+D2293)*IF(AND(Painel_diario!$H2290="ED_JD",Painel_diario!$J2290=1),EXP(Painel_diario!$L2290),1)-1</f>
        <v/>
      </c>
      <c r="E2294" s="22">
        <f>(1+E2293)*IF(AND(Painel_diario!$H2290="ED_JU",Painel_diario!$J2290=1),EXP(Painel_diario!$L2290),1)-1</f>
        <v/>
      </c>
    </row>
    <row r="2295">
      <c r="A2295" s="25" t="n">
        <v>42201</v>
      </c>
      <c r="B2295" s="22">
        <f>(1+B2294)*IF(AND(Painel_diario!$H2291="EU_JD",Painel_diario!$J2291=1),EXP(Painel_diario!$L2291),1)-1</f>
        <v/>
      </c>
      <c r="C2295" s="22">
        <f>(1+C2294)*IF(AND(Painel_diario!$H2291="EU_JU",Painel_diario!$J2291=1),EXP(Painel_diario!$L2291),1)-1</f>
        <v/>
      </c>
      <c r="D2295" s="22">
        <f>(1+D2294)*IF(AND(Painel_diario!$H2291="ED_JD",Painel_diario!$J2291=1),EXP(Painel_diario!$L2291),1)-1</f>
        <v/>
      </c>
      <c r="E2295" s="22">
        <f>(1+E2294)*IF(AND(Painel_diario!$H2291="ED_JU",Painel_diario!$J2291=1),EXP(Painel_diario!$L2291),1)-1</f>
        <v/>
      </c>
    </row>
    <row r="2296">
      <c r="A2296" s="25" t="n">
        <v>42202</v>
      </c>
      <c r="B2296" s="22">
        <f>(1+B2295)*IF(AND(Painel_diario!$H2292="EU_JD",Painel_diario!$J2292=1),EXP(Painel_diario!$L2292),1)-1</f>
        <v/>
      </c>
      <c r="C2296" s="22">
        <f>(1+C2295)*IF(AND(Painel_diario!$H2292="EU_JU",Painel_diario!$J2292=1),EXP(Painel_diario!$L2292),1)-1</f>
        <v/>
      </c>
      <c r="D2296" s="22">
        <f>(1+D2295)*IF(AND(Painel_diario!$H2292="ED_JD",Painel_diario!$J2292=1),EXP(Painel_diario!$L2292),1)-1</f>
        <v/>
      </c>
      <c r="E2296" s="22">
        <f>(1+E2295)*IF(AND(Painel_diario!$H2292="ED_JU",Painel_diario!$J2292=1),EXP(Painel_diario!$L2292),1)-1</f>
        <v/>
      </c>
    </row>
    <row r="2297">
      <c r="A2297" s="25" t="n">
        <v>42205</v>
      </c>
      <c r="B2297" s="22">
        <f>(1+B2296)*IF(AND(Painel_diario!$H2293="EU_JD",Painel_diario!$J2293=1),EXP(Painel_diario!$L2293),1)-1</f>
        <v/>
      </c>
      <c r="C2297" s="22">
        <f>(1+C2296)*IF(AND(Painel_diario!$H2293="EU_JU",Painel_diario!$J2293=1),EXP(Painel_diario!$L2293),1)-1</f>
        <v/>
      </c>
      <c r="D2297" s="22">
        <f>(1+D2296)*IF(AND(Painel_diario!$H2293="ED_JD",Painel_diario!$J2293=1),EXP(Painel_diario!$L2293),1)-1</f>
        <v/>
      </c>
      <c r="E2297" s="22">
        <f>(1+E2296)*IF(AND(Painel_diario!$H2293="ED_JU",Painel_diario!$J2293=1),EXP(Painel_diario!$L2293),1)-1</f>
        <v/>
      </c>
    </row>
    <row r="2298">
      <c r="A2298" s="25" t="n">
        <v>42206</v>
      </c>
      <c r="B2298" s="22">
        <f>(1+B2297)*IF(AND(Painel_diario!$H2294="EU_JD",Painel_diario!$J2294=1),EXP(Painel_diario!$L2294),1)-1</f>
        <v/>
      </c>
      <c r="C2298" s="22">
        <f>(1+C2297)*IF(AND(Painel_diario!$H2294="EU_JU",Painel_diario!$J2294=1),EXP(Painel_diario!$L2294),1)-1</f>
        <v/>
      </c>
      <c r="D2298" s="22">
        <f>(1+D2297)*IF(AND(Painel_diario!$H2294="ED_JD",Painel_diario!$J2294=1),EXP(Painel_diario!$L2294),1)-1</f>
        <v/>
      </c>
      <c r="E2298" s="22">
        <f>(1+E2297)*IF(AND(Painel_diario!$H2294="ED_JU",Painel_diario!$J2294=1),EXP(Painel_diario!$L2294),1)-1</f>
        <v/>
      </c>
    </row>
    <row r="2299">
      <c r="A2299" s="25" t="n">
        <v>42207</v>
      </c>
      <c r="B2299" s="22">
        <f>(1+B2298)*IF(AND(Painel_diario!$H2295="EU_JD",Painel_diario!$J2295=1),EXP(Painel_diario!$L2295),1)-1</f>
        <v/>
      </c>
      <c r="C2299" s="22">
        <f>(1+C2298)*IF(AND(Painel_diario!$H2295="EU_JU",Painel_diario!$J2295=1),EXP(Painel_diario!$L2295),1)-1</f>
        <v/>
      </c>
      <c r="D2299" s="22">
        <f>(1+D2298)*IF(AND(Painel_diario!$H2295="ED_JD",Painel_diario!$J2295=1),EXP(Painel_diario!$L2295),1)-1</f>
        <v/>
      </c>
      <c r="E2299" s="22">
        <f>(1+E2298)*IF(AND(Painel_diario!$H2295="ED_JU",Painel_diario!$J2295=1),EXP(Painel_diario!$L2295),1)-1</f>
        <v/>
      </c>
    </row>
    <row r="2300">
      <c r="A2300" s="25" t="n">
        <v>42208</v>
      </c>
      <c r="B2300" s="22">
        <f>(1+B2299)*IF(AND(Painel_diario!$H2296="EU_JD",Painel_diario!$J2296=1),EXP(Painel_diario!$L2296),1)-1</f>
        <v/>
      </c>
      <c r="C2300" s="22">
        <f>(1+C2299)*IF(AND(Painel_diario!$H2296="EU_JU",Painel_diario!$J2296=1),EXP(Painel_diario!$L2296),1)-1</f>
        <v/>
      </c>
      <c r="D2300" s="22">
        <f>(1+D2299)*IF(AND(Painel_diario!$H2296="ED_JD",Painel_diario!$J2296=1),EXP(Painel_diario!$L2296),1)-1</f>
        <v/>
      </c>
      <c r="E2300" s="22">
        <f>(1+E2299)*IF(AND(Painel_diario!$H2296="ED_JU",Painel_diario!$J2296=1),EXP(Painel_diario!$L2296),1)-1</f>
        <v/>
      </c>
    </row>
    <row r="2301">
      <c r="A2301" s="25" t="n">
        <v>42209</v>
      </c>
      <c r="B2301" s="22">
        <f>(1+B2300)*IF(AND(Painel_diario!$H2297="EU_JD",Painel_diario!$J2297=1),EXP(Painel_diario!$L2297),1)-1</f>
        <v/>
      </c>
      <c r="C2301" s="22">
        <f>(1+C2300)*IF(AND(Painel_diario!$H2297="EU_JU",Painel_diario!$J2297=1),EXP(Painel_diario!$L2297),1)-1</f>
        <v/>
      </c>
      <c r="D2301" s="22">
        <f>(1+D2300)*IF(AND(Painel_diario!$H2297="ED_JD",Painel_diario!$J2297=1),EXP(Painel_diario!$L2297),1)-1</f>
        <v/>
      </c>
      <c r="E2301" s="22">
        <f>(1+E2300)*IF(AND(Painel_diario!$H2297="ED_JU",Painel_diario!$J2297=1),EXP(Painel_diario!$L2297),1)-1</f>
        <v/>
      </c>
    </row>
    <row r="2302">
      <c r="A2302" s="25" t="n">
        <v>42212</v>
      </c>
      <c r="B2302" s="22">
        <f>(1+B2301)*IF(AND(Painel_diario!$H2298="EU_JD",Painel_diario!$J2298=1),EXP(Painel_diario!$L2298),1)-1</f>
        <v/>
      </c>
      <c r="C2302" s="22">
        <f>(1+C2301)*IF(AND(Painel_diario!$H2298="EU_JU",Painel_diario!$J2298=1),EXP(Painel_diario!$L2298),1)-1</f>
        <v/>
      </c>
      <c r="D2302" s="22">
        <f>(1+D2301)*IF(AND(Painel_diario!$H2298="ED_JD",Painel_diario!$J2298=1),EXP(Painel_diario!$L2298),1)-1</f>
        <v/>
      </c>
      <c r="E2302" s="22">
        <f>(1+E2301)*IF(AND(Painel_diario!$H2298="ED_JU",Painel_diario!$J2298=1),EXP(Painel_diario!$L2298),1)-1</f>
        <v/>
      </c>
    </row>
    <row r="2303">
      <c r="A2303" s="25" t="n">
        <v>42213</v>
      </c>
      <c r="B2303" s="22">
        <f>(1+B2302)*IF(AND(Painel_diario!$H2299="EU_JD",Painel_diario!$J2299=1),EXP(Painel_diario!$L2299),1)-1</f>
        <v/>
      </c>
      <c r="C2303" s="22">
        <f>(1+C2302)*IF(AND(Painel_diario!$H2299="EU_JU",Painel_diario!$J2299=1),EXP(Painel_diario!$L2299),1)-1</f>
        <v/>
      </c>
      <c r="D2303" s="22">
        <f>(1+D2302)*IF(AND(Painel_diario!$H2299="ED_JD",Painel_diario!$J2299=1),EXP(Painel_diario!$L2299),1)-1</f>
        <v/>
      </c>
      <c r="E2303" s="22">
        <f>(1+E2302)*IF(AND(Painel_diario!$H2299="ED_JU",Painel_diario!$J2299=1),EXP(Painel_diario!$L2299),1)-1</f>
        <v/>
      </c>
    </row>
    <row r="2304">
      <c r="A2304" s="25" t="n">
        <v>42214</v>
      </c>
      <c r="B2304" s="22">
        <f>(1+B2303)*IF(AND(Painel_diario!$H2300="EU_JD",Painel_diario!$J2300=1),EXP(Painel_diario!$L2300),1)-1</f>
        <v/>
      </c>
      <c r="C2304" s="22">
        <f>(1+C2303)*IF(AND(Painel_diario!$H2300="EU_JU",Painel_diario!$J2300=1),EXP(Painel_diario!$L2300),1)-1</f>
        <v/>
      </c>
      <c r="D2304" s="22">
        <f>(1+D2303)*IF(AND(Painel_diario!$H2300="ED_JD",Painel_diario!$J2300=1),EXP(Painel_diario!$L2300),1)-1</f>
        <v/>
      </c>
      <c r="E2304" s="22">
        <f>(1+E2303)*IF(AND(Painel_diario!$H2300="ED_JU",Painel_diario!$J2300=1),EXP(Painel_diario!$L2300),1)-1</f>
        <v/>
      </c>
    </row>
    <row r="2305">
      <c r="A2305" s="25" t="n">
        <v>42215</v>
      </c>
      <c r="B2305" s="22">
        <f>(1+B2304)*IF(AND(Painel_diario!$H2301="EU_JD",Painel_diario!$J2301=1),EXP(Painel_diario!$L2301),1)-1</f>
        <v/>
      </c>
      <c r="C2305" s="22">
        <f>(1+C2304)*IF(AND(Painel_diario!$H2301="EU_JU",Painel_diario!$J2301=1),EXP(Painel_diario!$L2301),1)-1</f>
        <v/>
      </c>
      <c r="D2305" s="22">
        <f>(1+D2304)*IF(AND(Painel_diario!$H2301="ED_JD",Painel_diario!$J2301=1),EXP(Painel_diario!$L2301),1)-1</f>
        <v/>
      </c>
      <c r="E2305" s="22">
        <f>(1+E2304)*IF(AND(Painel_diario!$H2301="ED_JU",Painel_diario!$J2301=1),EXP(Painel_diario!$L2301),1)-1</f>
        <v/>
      </c>
    </row>
    <row r="2306">
      <c r="A2306" s="25" t="n">
        <v>42216</v>
      </c>
      <c r="B2306" s="22">
        <f>(1+B2305)*IF(AND(Painel_diario!$H2302="EU_JD",Painel_diario!$J2302=1),EXP(Painel_diario!$L2302),1)-1</f>
        <v/>
      </c>
      <c r="C2306" s="22">
        <f>(1+C2305)*IF(AND(Painel_diario!$H2302="EU_JU",Painel_diario!$J2302=1),EXP(Painel_diario!$L2302),1)-1</f>
        <v/>
      </c>
      <c r="D2306" s="22">
        <f>(1+D2305)*IF(AND(Painel_diario!$H2302="ED_JD",Painel_diario!$J2302=1),EXP(Painel_diario!$L2302),1)-1</f>
        <v/>
      </c>
      <c r="E2306" s="22">
        <f>(1+E2305)*IF(AND(Painel_diario!$H2302="ED_JU",Painel_diario!$J2302=1),EXP(Painel_diario!$L2302),1)-1</f>
        <v/>
      </c>
    </row>
    <row r="2307">
      <c r="A2307" s="25" t="n">
        <v>42219</v>
      </c>
      <c r="B2307" s="22">
        <f>(1+B2306)*IF(AND(Painel_diario!$H2303="EU_JD",Painel_diario!$J2303=1),EXP(Painel_diario!$L2303),1)-1</f>
        <v/>
      </c>
      <c r="C2307" s="22">
        <f>(1+C2306)*IF(AND(Painel_diario!$H2303="EU_JU",Painel_diario!$J2303=1),EXP(Painel_diario!$L2303),1)-1</f>
        <v/>
      </c>
      <c r="D2307" s="22">
        <f>(1+D2306)*IF(AND(Painel_diario!$H2303="ED_JD",Painel_diario!$J2303=1),EXP(Painel_diario!$L2303),1)-1</f>
        <v/>
      </c>
      <c r="E2307" s="22">
        <f>(1+E2306)*IF(AND(Painel_diario!$H2303="ED_JU",Painel_diario!$J2303=1),EXP(Painel_diario!$L2303),1)-1</f>
        <v/>
      </c>
    </row>
    <row r="2308">
      <c r="A2308" s="25" t="n">
        <v>42220</v>
      </c>
      <c r="B2308" s="22">
        <f>(1+B2307)*IF(AND(Painel_diario!$H2304="EU_JD",Painel_diario!$J2304=1),EXP(Painel_diario!$L2304),1)-1</f>
        <v/>
      </c>
      <c r="C2308" s="22">
        <f>(1+C2307)*IF(AND(Painel_diario!$H2304="EU_JU",Painel_diario!$J2304=1),EXP(Painel_diario!$L2304),1)-1</f>
        <v/>
      </c>
      <c r="D2308" s="22">
        <f>(1+D2307)*IF(AND(Painel_diario!$H2304="ED_JD",Painel_diario!$J2304=1),EXP(Painel_diario!$L2304),1)-1</f>
        <v/>
      </c>
      <c r="E2308" s="22">
        <f>(1+E2307)*IF(AND(Painel_diario!$H2304="ED_JU",Painel_diario!$J2304=1),EXP(Painel_diario!$L2304),1)-1</f>
        <v/>
      </c>
    </row>
    <row r="2309">
      <c r="A2309" s="25" t="n">
        <v>42221</v>
      </c>
      <c r="B2309" s="22">
        <f>(1+B2308)*IF(AND(Painel_diario!$H2305="EU_JD",Painel_diario!$J2305=1),EXP(Painel_diario!$L2305),1)-1</f>
        <v/>
      </c>
      <c r="C2309" s="22">
        <f>(1+C2308)*IF(AND(Painel_diario!$H2305="EU_JU",Painel_diario!$J2305=1),EXP(Painel_diario!$L2305),1)-1</f>
        <v/>
      </c>
      <c r="D2309" s="22">
        <f>(1+D2308)*IF(AND(Painel_diario!$H2305="ED_JD",Painel_diario!$J2305=1),EXP(Painel_diario!$L2305),1)-1</f>
        <v/>
      </c>
      <c r="E2309" s="22">
        <f>(1+E2308)*IF(AND(Painel_diario!$H2305="ED_JU",Painel_diario!$J2305=1),EXP(Painel_diario!$L2305),1)-1</f>
        <v/>
      </c>
    </row>
    <row r="2310">
      <c r="A2310" s="25" t="n">
        <v>42222</v>
      </c>
      <c r="B2310" s="22">
        <f>(1+B2309)*IF(AND(Painel_diario!$H2306="EU_JD",Painel_diario!$J2306=1),EXP(Painel_diario!$L2306),1)-1</f>
        <v/>
      </c>
      <c r="C2310" s="22">
        <f>(1+C2309)*IF(AND(Painel_diario!$H2306="EU_JU",Painel_diario!$J2306=1),EXP(Painel_diario!$L2306),1)-1</f>
        <v/>
      </c>
      <c r="D2310" s="22">
        <f>(1+D2309)*IF(AND(Painel_diario!$H2306="ED_JD",Painel_diario!$J2306=1),EXP(Painel_diario!$L2306),1)-1</f>
        <v/>
      </c>
      <c r="E2310" s="22">
        <f>(1+E2309)*IF(AND(Painel_diario!$H2306="ED_JU",Painel_diario!$J2306=1),EXP(Painel_diario!$L2306),1)-1</f>
        <v/>
      </c>
    </row>
    <row r="2311">
      <c r="A2311" s="25" t="n">
        <v>42223</v>
      </c>
      <c r="B2311" s="22">
        <f>(1+B2310)*IF(AND(Painel_diario!$H2307="EU_JD",Painel_diario!$J2307=1),EXP(Painel_diario!$L2307),1)-1</f>
        <v/>
      </c>
      <c r="C2311" s="22">
        <f>(1+C2310)*IF(AND(Painel_diario!$H2307="EU_JU",Painel_diario!$J2307=1),EXP(Painel_diario!$L2307),1)-1</f>
        <v/>
      </c>
      <c r="D2311" s="22">
        <f>(1+D2310)*IF(AND(Painel_diario!$H2307="ED_JD",Painel_diario!$J2307=1),EXP(Painel_diario!$L2307),1)-1</f>
        <v/>
      </c>
      <c r="E2311" s="22">
        <f>(1+E2310)*IF(AND(Painel_diario!$H2307="ED_JU",Painel_diario!$J2307=1),EXP(Painel_diario!$L2307),1)-1</f>
        <v/>
      </c>
    </row>
    <row r="2312">
      <c r="A2312" s="25" t="n">
        <v>42226</v>
      </c>
      <c r="B2312" s="22">
        <f>(1+B2311)*IF(AND(Painel_diario!$H2308="EU_JD",Painel_diario!$J2308=1),EXP(Painel_diario!$L2308),1)-1</f>
        <v/>
      </c>
      <c r="C2312" s="22">
        <f>(1+C2311)*IF(AND(Painel_diario!$H2308="EU_JU",Painel_diario!$J2308=1),EXP(Painel_diario!$L2308),1)-1</f>
        <v/>
      </c>
      <c r="D2312" s="22">
        <f>(1+D2311)*IF(AND(Painel_diario!$H2308="ED_JD",Painel_diario!$J2308=1),EXP(Painel_diario!$L2308),1)-1</f>
        <v/>
      </c>
      <c r="E2312" s="22">
        <f>(1+E2311)*IF(AND(Painel_diario!$H2308="ED_JU",Painel_diario!$J2308=1),EXP(Painel_diario!$L2308),1)-1</f>
        <v/>
      </c>
    </row>
    <row r="2313">
      <c r="A2313" s="25" t="n">
        <v>42227</v>
      </c>
      <c r="B2313" s="22">
        <f>(1+B2312)*IF(AND(Painel_diario!$H2309="EU_JD",Painel_diario!$J2309=1),EXP(Painel_diario!$L2309),1)-1</f>
        <v/>
      </c>
      <c r="C2313" s="22">
        <f>(1+C2312)*IF(AND(Painel_diario!$H2309="EU_JU",Painel_diario!$J2309=1),EXP(Painel_diario!$L2309),1)-1</f>
        <v/>
      </c>
      <c r="D2313" s="22">
        <f>(1+D2312)*IF(AND(Painel_diario!$H2309="ED_JD",Painel_diario!$J2309=1),EXP(Painel_diario!$L2309),1)-1</f>
        <v/>
      </c>
      <c r="E2313" s="22">
        <f>(1+E2312)*IF(AND(Painel_diario!$H2309="ED_JU",Painel_diario!$J2309=1),EXP(Painel_diario!$L2309),1)-1</f>
        <v/>
      </c>
    </row>
    <row r="2314">
      <c r="A2314" s="25" t="n">
        <v>42228</v>
      </c>
      <c r="B2314" s="22">
        <f>(1+B2313)*IF(AND(Painel_diario!$H2310="EU_JD",Painel_diario!$J2310=1),EXP(Painel_diario!$L2310),1)-1</f>
        <v/>
      </c>
      <c r="C2314" s="22">
        <f>(1+C2313)*IF(AND(Painel_diario!$H2310="EU_JU",Painel_diario!$J2310=1),EXP(Painel_diario!$L2310),1)-1</f>
        <v/>
      </c>
      <c r="D2314" s="22">
        <f>(1+D2313)*IF(AND(Painel_diario!$H2310="ED_JD",Painel_diario!$J2310=1),EXP(Painel_diario!$L2310),1)-1</f>
        <v/>
      </c>
      <c r="E2314" s="22">
        <f>(1+E2313)*IF(AND(Painel_diario!$H2310="ED_JU",Painel_diario!$J2310=1),EXP(Painel_diario!$L2310),1)-1</f>
        <v/>
      </c>
    </row>
    <row r="2315">
      <c r="A2315" s="25" t="n">
        <v>42229</v>
      </c>
      <c r="B2315" s="22">
        <f>(1+B2314)*IF(AND(Painel_diario!$H2311="EU_JD",Painel_diario!$J2311=1),EXP(Painel_diario!$L2311),1)-1</f>
        <v/>
      </c>
      <c r="C2315" s="22">
        <f>(1+C2314)*IF(AND(Painel_diario!$H2311="EU_JU",Painel_diario!$J2311=1),EXP(Painel_diario!$L2311),1)-1</f>
        <v/>
      </c>
      <c r="D2315" s="22">
        <f>(1+D2314)*IF(AND(Painel_diario!$H2311="ED_JD",Painel_diario!$J2311=1),EXP(Painel_diario!$L2311),1)-1</f>
        <v/>
      </c>
      <c r="E2315" s="22">
        <f>(1+E2314)*IF(AND(Painel_diario!$H2311="ED_JU",Painel_diario!$J2311=1),EXP(Painel_diario!$L2311),1)-1</f>
        <v/>
      </c>
    </row>
    <row r="2316">
      <c r="A2316" s="25" t="n">
        <v>42230</v>
      </c>
      <c r="B2316" s="22">
        <f>(1+B2315)*IF(AND(Painel_diario!$H2312="EU_JD",Painel_diario!$J2312=1),EXP(Painel_diario!$L2312),1)-1</f>
        <v/>
      </c>
      <c r="C2316" s="22">
        <f>(1+C2315)*IF(AND(Painel_diario!$H2312="EU_JU",Painel_diario!$J2312=1),EXP(Painel_diario!$L2312),1)-1</f>
        <v/>
      </c>
      <c r="D2316" s="22">
        <f>(1+D2315)*IF(AND(Painel_diario!$H2312="ED_JD",Painel_diario!$J2312=1),EXP(Painel_diario!$L2312),1)-1</f>
        <v/>
      </c>
      <c r="E2316" s="22">
        <f>(1+E2315)*IF(AND(Painel_diario!$H2312="ED_JU",Painel_diario!$J2312=1),EXP(Painel_diario!$L2312),1)-1</f>
        <v/>
      </c>
    </row>
    <row r="2317">
      <c r="A2317" s="25" t="n">
        <v>42233</v>
      </c>
      <c r="B2317" s="22">
        <f>(1+B2316)*IF(AND(Painel_diario!$H2313="EU_JD",Painel_diario!$J2313=1),EXP(Painel_diario!$L2313),1)-1</f>
        <v/>
      </c>
      <c r="C2317" s="22">
        <f>(1+C2316)*IF(AND(Painel_diario!$H2313="EU_JU",Painel_diario!$J2313=1),EXP(Painel_diario!$L2313),1)-1</f>
        <v/>
      </c>
      <c r="D2317" s="22">
        <f>(1+D2316)*IF(AND(Painel_diario!$H2313="ED_JD",Painel_diario!$J2313=1),EXP(Painel_diario!$L2313),1)-1</f>
        <v/>
      </c>
      <c r="E2317" s="22">
        <f>(1+E2316)*IF(AND(Painel_diario!$H2313="ED_JU",Painel_diario!$J2313=1),EXP(Painel_diario!$L2313),1)-1</f>
        <v/>
      </c>
    </row>
    <row r="2318">
      <c r="A2318" s="25" t="n">
        <v>42234</v>
      </c>
      <c r="B2318" s="22">
        <f>(1+B2317)*IF(AND(Painel_diario!$H2314="EU_JD",Painel_diario!$J2314=1),EXP(Painel_diario!$L2314),1)-1</f>
        <v/>
      </c>
      <c r="C2318" s="22">
        <f>(1+C2317)*IF(AND(Painel_diario!$H2314="EU_JU",Painel_diario!$J2314=1),EXP(Painel_diario!$L2314),1)-1</f>
        <v/>
      </c>
      <c r="D2318" s="22">
        <f>(1+D2317)*IF(AND(Painel_diario!$H2314="ED_JD",Painel_diario!$J2314=1),EXP(Painel_diario!$L2314),1)-1</f>
        <v/>
      </c>
      <c r="E2318" s="22">
        <f>(1+E2317)*IF(AND(Painel_diario!$H2314="ED_JU",Painel_diario!$J2314=1),EXP(Painel_diario!$L2314),1)-1</f>
        <v/>
      </c>
    </row>
    <row r="2319">
      <c r="A2319" s="25" t="n">
        <v>42235</v>
      </c>
      <c r="B2319" s="22">
        <f>(1+B2318)*IF(AND(Painel_diario!$H2315="EU_JD",Painel_diario!$J2315=1),EXP(Painel_diario!$L2315),1)-1</f>
        <v/>
      </c>
      <c r="C2319" s="22">
        <f>(1+C2318)*IF(AND(Painel_diario!$H2315="EU_JU",Painel_diario!$J2315=1),EXP(Painel_diario!$L2315),1)-1</f>
        <v/>
      </c>
      <c r="D2319" s="22">
        <f>(1+D2318)*IF(AND(Painel_diario!$H2315="ED_JD",Painel_diario!$J2315=1),EXP(Painel_diario!$L2315),1)-1</f>
        <v/>
      </c>
      <c r="E2319" s="22">
        <f>(1+E2318)*IF(AND(Painel_diario!$H2315="ED_JU",Painel_diario!$J2315=1),EXP(Painel_diario!$L2315),1)-1</f>
        <v/>
      </c>
    </row>
    <row r="2320">
      <c r="A2320" s="25" t="n">
        <v>42236</v>
      </c>
      <c r="B2320" s="22">
        <f>(1+B2319)*IF(AND(Painel_diario!$H2316="EU_JD",Painel_diario!$J2316=1),EXP(Painel_diario!$L2316),1)-1</f>
        <v/>
      </c>
      <c r="C2320" s="22">
        <f>(1+C2319)*IF(AND(Painel_diario!$H2316="EU_JU",Painel_diario!$J2316=1),EXP(Painel_diario!$L2316),1)-1</f>
        <v/>
      </c>
      <c r="D2320" s="22">
        <f>(1+D2319)*IF(AND(Painel_diario!$H2316="ED_JD",Painel_diario!$J2316=1),EXP(Painel_diario!$L2316),1)-1</f>
        <v/>
      </c>
      <c r="E2320" s="22">
        <f>(1+E2319)*IF(AND(Painel_diario!$H2316="ED_JU",Painel_diario!$J2316=1),EXP(Painel_diario!$L2316),1)-1</f>
        <v/>
      </c>
    </row>
    <row r="2321">
      <c r="A2321" s="25" t="n">
        <v>42237</v>
      </c>
      <c r="B2321" s="22">
        <f>(1+B2320)*IF(AND(Painel_diario!$H2317="EU_JD",Painel_diario!$J2317=1),EXP(Painel_diario!$L2317),1)-1</f>
        <v/>
      </c>
      <c r="C2321" s="22">
        <f>(1+C2320)*IF(AND(Painel_diario!$H2317="EU_JU",Painel_diario!$J2317=1),EXP(Painel_diario!$L2317),1)-1</f>
        <v/>
      </c>
      <c r="D2321" s="22">
        <f>(1+D2320)*IF(AND(Painel_diario!$H2317="ED_JD",Painel_diario!$J2317=1),EXP(Painel_diario!$L2317),1)-1</f>
        <v/>
      </c>
      <c r="E2321" s="22">
        <f>(1+E2320)*IF(AND(Painel_diario!$H2317="ED_JU",Painel_diario!$J2317=1),EXP(Painel_diario!$L2317),1)-1</f>
        <v/>
      </c>
    </row>
    <row r="2322">
      <c r="A2322" s="25" t="n">
        <v>42240</v>
      </c>
      <c r="B2322" s="22">
        <f>(1+B2321)*IF(AND(Painel_diario!$H2318="EU_JD",Painel_diario!$J2318=1),EXP(Painel_diario!$L2318),1)-1</f>
        <v/>
      </c>
      <c r="C2322" s="22">
        <f>(1+C2321)*IF(AND(Painel_diario!$H2318="EU_JU",Painel_diario!$J2318=1),EXP(Painel_diario!$L2318),1)-1</f>
        <v/>
      </c>
      <c r="D2322" s="22">
        <f>(1+D2321)*IF(AND(Painel_diario!$H2318="ED_JD",Painel_diario!$J2318=1),EXP(Painel_diario!$L2318),1)-1</f>
        <v/>
      </c>
      <c r="E2322" s="22">
        <f>(1+E2321)*IF(AND(Painel_diario!$H2318="ED_JU",Painel_diario!$J2318=1),EXP(Painel_diario!$L2318),1)-1</f>
        <v/>
      </c>
    </row>
    <row r="2323">
      <c r="A2323" s="25" t="n">
        <v>42241</v>
      </c>
      <c r="B2323" s="22">
        <f>(1+B2322)*IF(AND(Painel_diario!$H2319="EU_JD",Painel_diario!$J2319=1),EXP(Painel_diario!$L2319),1)-1</f>
        <v/>
      </c>
      <c r="C2323" s="22">
        <f>(1+C2322)*IF(AND(Painel_diario!$H2319="EU_JU",Painel_diario!$J2319=1),EXP(Painel_diario!$L2319),1)-1</f>
        <v/>
      </c>
      <c r="D2323" s="22">
        <f>(1+D2322)*IF(AND(Painel_diario!$H2319="ED_JD",Painel_diario!$J2319=1),EXP(Painel_diario!$L2319),1)-1</f>
        <v/>
      </c>
      <c r="E2323" s="22">
        <f>(1+E2322)*IF(AND(Painel_diario!$H2319="ED_JU",Painel_diario!$J2319=1),EXP(Painel_diario!$L2319),1)-1</f>
        <v/>
      </c>
    </row>
    <row r="2324">
      <c r="A2324" s="25" t="n">
        <v>42242</v>
      </c>
      <c r="B2324" s="22">
        <f>(1+B2323)*IF(AND(Painel_diario!$H2320="EU_JD",Painel_diario!$J2320=1),EXP(Painel_diario!$L2320),1)-1</f>
        <v/>
      </c>
      <c r="C2324" s="22">
        <f>(1+C2323)*IF(AND(Painel_diario!$H2320="EU_JU",Painel_diario!$J2320=1),EXP(Painel_diario!$L2320),1)-1</f>
        <v/>
      </c>
      <c r="D2324" s="22">
        <f>(1+D2323)*IF(AND(Painel_diario!$H2320="ED_JD",Painel_diario!$J2320=1),EXP(Painel_diario!$L2320),1)-1</f>
        <v/>
      </c>
      <c r="E2324" s="22">
        <f>(1+E2323)*IF(AND(Painel_diario!$H2320="ED_JU",Painel_diario!$J2320=1),EXP(Painel_diario!$L2320),1)-1</f>
        <v/>
      </c>
    </row>
    <row r="2325">
      <c r="A2325" s="25" t="n">
        <v>42243</v>
      </c>
      <c r="B2325" s="22">
        <f>(1+B2324)*IF(AND(Painel_diario!$H2321="EU_JD",Painel_diario!$J2321=1),EXP(Painel_diario!$L2321),1)-1</f>
        <v/>
      </c>
      <c r="C2325" s="22">
        <f>(1+C2324)*IF(AND(Painel_diario!$H2321="EU_JU",Painel_diario!$J2321=1),EXP(Painel_diario!$L2321),1)-1</f>
        <v/>
      </c>
      <c r="D2325" s="22">
        <f>(1+D2324)*IF(AND(Painel_diario!$H2321="ED_JD",Painel_diario!$J2321=1),EXP(Painel_diario!$L2321),1)-1</f>
        <v/>
      </c>
      <c r="E2325" s="22">
        <f>(1+E2324)*IF(AND(Painel_diario!$H2321="ED_JU",Painel_diario!$J2321=1),EXP(Painel_diario!$L2321),1)-1</f>
        <v/>
      </c>
    </row>
    <row r="2326">
      <c r="A2326" s="25" t="n">
        <v>42244</v>
      </c>
      <c r="B2326" s="22">
        <f>(1+B2325)*IF(AND(Painel_diario!$H2322="EU_JD",Painel_diario!$J2322=1),EXP(Painel_diario!$L2322),1)-1</f>
        <v/>
      </c>
      <c r="C2326" s="22">
        <f>(1+C2325)*IF(AND(Painel_diario!$H2322="EU_JU",Painel_diario!$J2322=1),EXP(Painel_diario!$L2322),1)-1</f>
        <v/>
      </c>
      <c r="D2326" s="22">
        <f>(1+D2325)*IF(AND(Painel_diario!$H2322="ED_JD",Painel_diario!$J2322=1),EXP(Painel_diario!$L2322),1)-1</f>
        <v/>
      </c>
      <c r="E2326" s="22">
        <f>(1+E2325)*IF(AND(Painel_diario!$H2322="ED_JU",Painel_diario!$J2322=1),EXP(Painel_diario!$L2322),1)-1</f>
        <v/>
      </c>
    </row>
    <row r="2327">
      <c r="A2327" s="25" t="n">
        <v>42247</v>
      </c>
      <c r="B2327" s="22">
        <f>(1+B2326)*IF(AND(Painel_diario!$H2323="EU_JD",Painel_diario!$J2323=1),EXP(Painel_diario!$L2323),1)-1</f>
        <v/>
      </c>
      <c r="C2327" s="22">
        <f>(1+C2326)*IF(AND(Painel_diario!$H2323="EU_JU",Painel_diario!$J2323=1),EXP(Painel_diario!$L2323),1)-1</f>
        <v/>
      </c>
      <c r="D2327" s="22">
        <f>(1+D2326)*IF(AND(Painel_diario!$H2323="ED_JD",Painel_diario!$J2323=1),EXP(Painel_diario!$L2323),1)-1</f>
        <v/>
      </c>
      <c r="E2327" s="22">
        <f>(1+E2326)*IF(AND(Painel_diario!$H2323="ED_JU",Painel_diario!$J2323=1),EXP(Painel_diario!$L2323),1)-1</f>
        <v/>
      </c>
    </row>
    <row r="2328">
      <c r="A2328" s="25" t="n">
        <v>42248</v>
      </c>
      <c r="B2328" s="22">
        <f>(1+B2327)*IF(AND(Painel_diario!$H2324="EU_JD",Painel_diario!$J2324=1),EXP(Painel_diario!$L2324),1)-1</f>
        <v/>
      </c>
      <c r="C2328" s="22">
        <f>(1+C2327)*IF(AND(Painel_diario!$H2324="EU_JU",Painel_diario!$J2324=1),EXP(Painel_diario!$L2324),1)-1</f>
        <v/>
      </c>
      <c r="D2328" s="22">
        <f>(1+D2327)*IF(AND(Painel_diario!$H2324="ED_JD",Painel_diario!$J2324=1),EXP(Painel_diario!$L2324),1)-1</f>
        <v/>
      </c>
      <c r="E2328" s="22">
        <f>(1+E2327)*IF(AND(Painel_diario!$H2324="ED_JU",Painel_diario!$J2324=1),EXP(Painel_diario!$L2324),1)-1</f>
        <v/>
      </c>
    </row>
    <row r="2329">
      <c r="A2329" s="25" t="n">
        <v>42249</v>
      </c>
      <c r="B2329" s="22">
        <f>(1+B2328)*IF(AND(Painel_diario!$H2325="EU_JD",Painel_diario!$J2325=1),EXP(Painel_diario!$L2325),1)-1</f>
        <v/>
      </c>
      <c r="C2329" s="22">
        <f>(1+C2328)*IF(AND(Painel_diario!$H2325="EU_JU",Painel_diario!$J2325=1),EXP(Painel_diario!$L2325),1)-1</f>
        <v/>
      </c>
      <c r="D2329" s="22">
        <f>(1+D2328)*IF(AND(Painel_diario!$H2325="ED_JD",Painel_diario!$J2325=1),EXP(Painel_diario!$L2325),1)-1</f>
        <v/>
      </c>
      <c r="E2329" s="22">
        <f>(1+E2328)*IF(AND(Painel_diario!$H2325="ED_JU",Painel_diario!$J2325=1),EXP(Painel_diario!$L2325),1)-1</f>
        <v/>
      </c>
    </row>
    <row r="2330">
      <c r="A2330" s="25" t="n">
        <v>42250</v>
      </c>
      <c r="B2330" s="22">
        <f>(1+B2329)*IF(AND(Painel_diario!$H2326="EU_JD",Painel_diario!$J2326=1),EXP(Painel_diario!$L2326),1)-1</f>
        <v/>
      </c>
      <c r="C2330" s="22">
        <f>(1+C2329)*IF(AND(Painel_diario!$H2326="EU_JU",Painel_diario!$J2326=1),EXP(Painel_diario!$L2326),1)-1</f>
        <v/>
      </c>
      <c r="D2330" s="22">
        <f>(1+D2329)*IF(AND(Painel_diario!$H2326="ED_JD",Painel_diario!$J2326=1),EXP(Painel_diario!$L2326),1)-1</f>
        <v/>
      </c>
      <c r="E2330" s="22">
        <f>(1+E2329)*IF(AND(Painel_diario!$H2326="ED_JU",Painel_diario!$J2326=1),EXP(Painel_diario!$L2326),1)-1</f>
        <v/>
      </c>
    </row>
    <row r="2331">
      <c r="A2331" s="25" t="n">
        <v>42251</v>
      </c>
      <c r="B2331" s="22">
        <f>(1+B2330)*IF(AND(Painel_diario!$H2327="EU_JD",Painel_diario!$J2327=1),EXP(Painel_diario!$L2327),1)-1</f>
        <v/>
      </c>
      <c r="C2331" s="22">
        <f>(1+C2330)*IF(AND(Painel_diario!$H2327="EU_JU",Painel_diario!$J2327=1),EXP(Painel_diario!$L2327),1)-1</f>
        <v/>
      </c>
      <c r="D2331" s="22">
        <f>(1+D2330)*IF(AND(Painel_diario!$H2327="ED_JD",Painel_diario!$J2327=1),EXP(Painel_diario!$L2327),1)-1</f>
        <v/>
      </c>
      <c r="E2331" s="22">
        <f>(1+E2330)*IF(AND(Painel_diario!$H2327="ED_JU",Painel_diario!$J2327=1),EXP(Painel_diario!$L2327),1)-1</f>
        <v/>
      </c>
    </row>
    <row r="2332">
      <c r="A2332" s="25" t="n">
        <v>42255</v>
      </c>
      <c r="B2332" s="22">
        <f>(1+B2331)*IF(AND(Painel_diario!$H2328="EU_JD",Painel_diario!$J2328=1),EXP(Painel_diario!$L2328),1)-1</f>
        <v/>
      </c>
      <c r="C2332" s="22">
        <f>(1+C2331)*IF(AND(Painel_diario!$H2328="EU_JU",Painel_diario!$J2328=1),EXP(Painel_diario!$L2328),1)-1</f>
        <v/>
      </c>
      <c r="D2332" s="22">
        <f>(1+D2331)*IF(AND(Painel_diario!$H2328="ED_JD",Painel_diario!$J2328=1),EXP(Painel_diario!$L2328),1)-1</f>
        <v/>
      </c>
      <c r="E2332" s="22">
        <f>(1+E2331)*IF(AND(Painel_diario!$H2328="ED_JU",Painel_diario!$J2328=1),EXP(Painel_diario!$L2328),1)-1</f>
        <v/>
      </c>
    </row>
    <row r="2333">
      <c r="A2333" s="25" t="n">
        <v>42256</v>
      </c>
      <c r="B2333" s="22">
        <f>(1+B2332)*IF(AND(Painel_diario!$H2329="EU_JD",Painel_diario!$J2329=1),EXP(Painel_diario!$L2329),1)-1</f>
        <v/>
      </c>
      <c r="C2333" s="22">
        <f>(1+C2332)*IF(AND(Painel_diario!$H2329="EU_JU",Painel_diario!$J2329=1),EXP(Painel_diario!$L2329),1)-1</f>
        <v/>
      </c>
      <c r="D2333" s="22">
        <f>(1+D2332)*IF(AND(Painel_diario!$H2329="ED_JD",Painel_diario!$J2329=1),EXP(Painel_diario!$L2329),1)-1</f>
        <v/>
      </c>
      <c r="E2333" s="22">
        <f>(1+E2332)*IF(AND(Painel_diario!$H2329="ED_JU",Painel_diario!$J2329=1),EXP(Painel_diario!$L2329),1)-1</f>
        <v/>
      </c>
    </row>
    <row r="2334">
      <c r="A2334" s="25" t="n">
        <v>42257</v>
      </c>
      <c r="B2334" s="22">
        <f>(1+B2333)*IF(AND(Painel_diario!$H2330="EU_JD",Painel_diario!$J2330=1),EXP(Painel_diario!$L2330),1)-1</f>
        <v/>
      </c>
      <c r="C2334" s="22">
        <f>(1+C2333)*IF(AND(Painel_diario!$H2330="EU_JU",Painel_diario!$J2330=1),EXP(Painel_diario!$L2330),1)-1</f>
        <v/>
      </c>
      <c r="D2334" s="22">
        <f>(1+D2333)*IF(AND(Painel_diario!$H2330="ED_JD",Painel_diario!$J2330=1),EXP(Painel_diario!$L2330),1)-1</f>
        <v/>
      </c>
      <c r="E2334" s="22">
        <f>(1+E2333)*IF(AND(Painel_diario!$H2330="ED_JU",Painel_diario!$J2330=1),EXP(Painel_diario!$L2330),1)-1</f>
        <v/>
      </c>
    </row>
    <row r="2335">
      <c r="A2335" s="25" t="n">
        <v>42258</v>
      </c>
      <c r="B2335" s="22">
        <f>(1+B2334)*IF(AND(Painel_diario!$H2331="EU_JD",Painel_diario!$J2331=1),EXP(Painel_diario!$L2331),1)-1</f>
        <v/>
      </c>
      <c r="C2335" s="22">
        <f>(1+C2334)*IF(AND(Painel_diario!$H2331="EU_JU",Painel_diario!$J2331=1),EXP(Painel_diario!$L2331),1)-1</f>
        <v/>
      </c>
      <c r="D2335" s="22">
        <f>(1+D2334)*IF(AND(Painel_diario!$H2331="ED_JD",Painel_diario!$J2331=1),EXP(Painel_diario!$L2331),1)-1</f>
        <v/>
      </c>
      <c r="E2335" s="22">
        <f>(1+E2334)*IF(AND(Painel_diario!$H2331="ED_JU",Painel_diario!$J2331=1),EXP(Painel_diario!$L2331),1)-1</f>
        <v/>
      </c>
    </row>
    <row r="2336">
      <c r="A2336" s="25" t="n">
        <v>42261</v>
      </c>
      <c r="B2336" s="22">
        <f>(1+B2335)*IF(AND(Painel_diario!$H2332="EU_JD",Painel_diario!$J2332=1),EXP(Painel_diario!$L2332),1)-1</f>
        <v/>
      </c>
      <c r="C2336" s="22">
        <f>(1+C2335)*IF(AND(Painel_diario!$H2332="EU_JU",Painel_diario!$J2332=1),EXP(Painel_diario!$L2332),1)-1</f>
        <v/>
      </c>
      <c r="D2336" s="22">
        <f>(1+D2335)*IF(AND(Painel_diario!$H2332="ED_JD",Painel_diario!$J2332=1),EXP(Painel_diario!$L2332),1)-1</f>
        <v/>
      </c>
      <c r="E2336" s="22">
        <f>(1+E2335)*IF(AND(Painel_diario!$H2332="ED_JU",Painel_diario!$J2332=1),EXP(Painel_diario!$L2332),1)-1</f>
        <v/>
      </c>
    </row>
    <row r="2337">
      <c r="A2337" s="25" t="n">
        <v>42262</v>
      </c>
      <c r="B2337" s="22">
        <f>(1+B2336)*IF(AND(Painel_diario!$H2333="EU_JD",Painel_diario!$J2333=1),EXP(Painel_diario!$L2333),1)-1</f>
        <v/>
      </c>
      <c r="C2337" s="22">
        <f>(1+C2336)*IF(AND(Painel_diario!$H2333="EU_JU",Painel_diario!$J2333=1),EXP(Painel_diario!$L2333),1)-1</f>
        <v/>
      </c>
      <c r="D2337" s="22">
        <f>(1+D2336)*IF(AND(Painel_diario!$H2333="ED_JD",Painel_diario!$J2333=1),EXP(Painel_diario!$L2333),1)-1</f>
        <v/>
      </c>
      <c r="E2337" s="22">
        <f>(1+E2336)*IF(AND(Painel_diario!$H2333="ED_JU",Painel_diario!$J2333=1),EXP(Painel_diario!$L2333),1)-1</f>
        <v/>
      </c>
    </row>
    <row r="2338">
      <c r="A2338" s="25" t="n">
        <v>42263</v>
      </c>
      <c r="B2338" s="22">
        <f>(1+B2337)*IF(AND(Painel_diario!$H2334="EU_JD",Painel_diario!$J2334=1),EXP(Painel_diario!$L2334),1)-1</f>
        <v/>
      </c>
      <c r="C2338" s="22">
        <f>(1+C2337)*IF(AND(Painel_diario!$H2334="EU_JU",Painel_diario!$J2334=1),EXP(Painel_diario!$L2334),1)-1</f>
        <v/>
      </c>
      <c r="D2338" s="22">
        <f>(1+D2337)*IF(AND(Painel_diario!$H2334="ED_JD",Painel_diario!$J2334=1),EXP(Painel_diario!$L2334),1)-1</f>
        <v/>
      </c>
      <c r="E2338" s="22">
        <f>(1+E2337)*IF(AND(Painel_diario!$H2334="ED_JU",Painel_diario!$J2334=1),EXP(Painel_diario!$L2334),1)-1</f>
        <v/>
      </c>
    </row>
    <row r="2339">
      <c r="A2339" s="25" t="n">
        <v>42264</v>
      </c>
      <c r="B2339" s="22">
        <f>(1+B2338)*IF(AND(Painel_diario!$H2335="EU_JD",Painel_diario!$J2335=1),EXP(Painel_diario!$L2335),1)-1</f>
        <v/>
      </c>
      <c r="C2339" s="22">
        <f>(1+C2338)*IF(AND(Painel_diario!$H2335="EU_JU",Painel_diario!$J2335=1),EXP(Painel_diario!$L2335),1)-1</f>
        <v/>
      </c>
      <c r="D2339" s="22">
        <f>(1+D2338)*IF(AND(Painel_diario!$H2335="ED_JD",Painel_diario!$J2335=1),EXP(Painel_diario!$L2335),1)-1</f>
        <v/>
      </c>
      <c r="E2339" s="22">
        <f>(1+E2338)*IF(AND(Painel_diario!$H2335="ED_JU",Painel_diario!$J2335=1),EXP(Painel_diario!$L2335),1)-1</f>
        <v/>
      </c>
    </row>
    <row r="2340">
      <c r="A2340" s="25" t="n">
        <v>42265</v>
      </c>
      <c r="B2340" s="22">
        <f>(1+B2339)*IF(AND(Painel_diario!$H2336="EU_JD",Painel_diario!$J2336=1),EXP(Painel_diario!$L2336),1)-1</f>
        <v/>
      </c>
      <c r="C2340" s="22">
        <f>(1+C2339)*IF(AND(Painel_diario!$H2336="EU_JU",Painel_diario!$J2336=1),EXP(Painel_diario!$L2336),1)-1</f>
        <v/>
      </c>
      <c r="D2340" s="22">
        <f>(1+D2339)*IF(AND(Painel_diario!$H2336="ED_JD",Painel_diario!$J2336=1),EXP(Painel_diario!$L2336),1)-1</f>
        <v/>
      </c>
      <c r="E2340" s="22">
        <f>(1+E2339)*IF(AND(Painel_diario!$H2336="ED_JU",Painel_diario!$J2336=1),EXP(Painel_diario!$L2336),1)-1</f>
        <v/>
      </c>
    </row>
    <row r="2341">
      <c r="A2341" s="25" t="n">
        <v>42268</v>
      </c>
      <c r="B2341" s="22">
        <f>(1+B2340)*IF(AND(Painel_diario!$H2337="EU_JD",Painel_diario!$J2337=1),EXP(Painel_diario!$L2337),1)-1</f>
        <v/>
      </c>
      <c r="C2341" s="22">
        <f>(1+C2340)*IF(AND(Painel_diario!$H2337="EU_JU",Painel_diario!$J2337=1),EXP(Painel_diario!$L2337),1)-1</f>
        <v/>
      </c>
      <c r="D2341" s="22">
        <f>(1+D2340)*IF(AND(Painel_diario!$H2337="ED_JD",Painel_diario!$J2337=1),EXP(Painel_diario!$L2337),1)-1</f>
        <v/>
      </c>
      <c r="E2341" s="22">
        <f>(1+E2340)*IF(AND(Painel_diario!$H2337="ED_JU",Painel_diario!$J2337=1),EXP(Painel_diario!$L2337),1)-1</f>
        <v/>
      </c>
    </row>
    <row r="2342">
      <c r="A2342" s="25" t="n">
        <v>42269</v>
      </c>
      <c r="B2342" s="22">
        <f>(1+B2341)*IF(AND(Painel_diario!$H2338="EU_JD",Painel_diario!$J2338=1),EXP(Painel_diario!$L2338),1)-1</f>
        <v/>
      </c>
      <c r="C2342" s="22">
        <f>(1+C2341)*IF(AND(Painel_diario!$H2338="EU_JU",Painel_diario!$J2338=1),EXP(Painel_diario!$L2338),1)-1</f>
        <v/>
      </c>
      <c r="D2342" s="22">
        <f>(1+D2341)*IF(AND(Painel_diario!$H2338="ED_JD",Painel_diario!$J2338=1),EXP(Painel_diario!$L2338),1)-1</f>
        <v/>
      </c>
      <c r="E2342" s="22">
        <f>(1+E2341)*IF(AND(Painel_diario!$H2338="ED_JU",Painel_diario!$J2338=1),EXP(Painel_diario!$L2338),1)-1</f>
        <v/>
      </c>
    </row>
    <row r="2343">
      <c r="A2343" s="25" t="n">
        <v>42270</v>
      </c>
      <c r="B2343" s="22">
        <f>(1+B2342)*IF(AND(Painel_diario!$H2339="EU_JD",Painel_diario!$J2339=1),EXP(Painel_diario!$L2339),1)-1</f>
        <v/>
      </c>
      <c r="C2343" s="22">
        <f>(1+C2342)*IF(AND(Painel_diario!$H2339="EU_JU",Painel_diario!$J2339=1),EXP(Painel_diario!$L2339),1)-1</f>
        <v/>
      </c>
      <c r="D2343" s="22">
        <f>(1+D2342)*IF(AND(Painel_diario!$H2339="ED_JD",Painel_diario!$J2339=1),EXP(Painel_diario!$L2339),1)-1</f>
        <v/>
      </c>
      <c r="E2343" s="22">
        <f>(1+E2342)*IF(AND(Painel_diario!$H2339="ED_JU",Painel_diario!$J2339=1),EXP(Painel_diario!$L2339),1)-1</f>
        <v/>
      </c>
    </row>
    <row r="2344">
      <c r="A2344" s="25" t="n">
        <v>42271</v>
      </c>
      <c r="B2344" s="22">
        <f>(1+B2343)*IF(AND(Painel_diario!$H2340="EU_JD",Painel_diario!$J2340=1),EXP(Painel_diario!$L2340),1)-1</f>
        <v/>
      </c>
      <c r="C2344" s="22">
        <f>(1+C2343)*IF(AND(Painel_diario!$H2340="EU_JU",Painel_diario!$J2340=1),EXP(Painel_diario!$L2340),1)-1</f>
        <v/>
      </c>
      <c r="D2344" s="22">
        <f>(1+D2343)*IF(AND(Painel_diario!$H2340="ED_JD",Painel_diario!$J2340=1),EXP(Painel_diario!$L2340),1)-1</f>
        <v/>
      </c>
      <c r="E2344" s="22">
        <f>(1+E2343)*IF(AND(Painel_diario!$H2340="ED_JU",Painel_diario!$J2340=1),EXP(Painel_diario!$L2340),1)-1</f>
        <v/>
      </c>
    </row>
    <row r="2345">
      <c r="A2345" s="25" t="n">
        <v>42272</v>
      </c>
      <c r="B2345" s="22">
        <f>(1+B2344)*IF(AND(Painel_diario!$H2341="EU_JD",Painel_diario!$J2341=1),EXP(Painel_diario!$L2341),1)-1</f>
        <v/>
      </c>
      <c r="C2345" s="22">
        <f>(1+C2344)*IF(AND(Painel_diario!$H2341="EU_JU",Painel_diario!$J2341=1),EXP(Painel_diario!$L2341),1)-1</f>
        <v/>
      </c>
      <c r="D2345" s="22">
        <f>(1+D2344)*IF(AND(Painel_diario!$H2341="ED_JD",Painel_diario!$J2341=1),EXP(Painel_diario!$L2341),1)-1</f>
        <v/>
      </c>
      <c r="E2345" s="22">
        <f>(1+E2344)*IF(AND(Painel_diario!$H2341="ED_JU",Painel_diario!$J2341=1),EXP(Painel_diario!$L2341),1)-1</f>
        <v/>
      </c>
    </row>
    <row r="2346">
      <c r="A2346" s="25" t="n">
        <v>42275</v>
      </c>
      <c r="B2346" s="22">
        <f>(1+B2345)*IF(AND(Painel_diario!$H2342="EU_JD",Painel_diario!$J2342=1),EXP(Painel_diario!$L2342),1)-1</f>
        <v/>
      </c>
      <c r="C2346" s="22">
        <f>(1+C2345)*IF(AND(Painel_diario!$H2342="EU_JU",Painel_diario!$J2342=1),EXP(Painel_diario!$L2342),1)-1</f>
        <v/>
      </c>
      <c r="D2346" s="22">
        <f>(1+D2345)*IF(AND(Painel_diario!$H2342="ED_JD",Painel_diario!$J2342=1),EXP(Painel_diario!$L2342),1)-1</f>
        <v/>
      </c>
      <c r="E2346" s="22">
        <f>(1+E2345)*IF(AND(Painel_diario!$H2342="ED_JU",Painel_diario!$J2342=1),EXP(Painel_diario!$L2342),1)-1</f>
        <v/>
      </c>
    </row>
    <row r="2347">
      <c r="A2347" s="25" t="n">
        <v>42276</v>
      </c>
      <c r="B2347" s="22">
        <f>(1+B2346)*IF(AND(Painel_diario!$H2343="EU_JD",Painel_diario!$J2343=1),EXP(Painel_diario!$L2343),1)-1</f>
        <v/>
      </c>
      <c r="C2347" s="22">
        <f>(1+C2346)*IF(AND(Painel_diario!$H2343="EU_JU",Painel_diario!$J2343=1),EXP(Painel_diario!$L2343),1)-1</f>
        <v/>
      </c>
      <c r="D2347" s="22">
        <f>(1+D2346)*IF(AND(Painel_diario!$H2343="ED_JD",Painel_diario!$J2343=1),EXP(Painel_diario!$L2343),1)-1</f>
        <v/>
      </c>
      <c r="E2347" s="22">
        <f>(1+E2346)*IF(AND(Painel_diario!$H2343="ED_JU",Painel_diario!$J2343=1),EXP(Painel_diario!$L2343),1)-1</f>
        <v/>
      </c>
    </row>
    <row r="2348">
      <c r="A2348" s="25" t="n">
        <v>42277</v>
      </c>
      <c r="B2348" s="22">
        <f>(1+B2347)*IF(AND(Painel_diario!$H2344="EU_JD",Painel_diario!$J2344=1),EXP(Painel_diario!$L2344),1)-1</f>
        <v/>
      </c>
      <c r="C2348" s="22">
        <f>(1+C2347)*IF(AND(Painel_diario!$H2344="EU_JU",Painel_diario!$J2344=1),EXP(Painel_diario!$L2344),1)-1</f>
        <v/>
      </c>
      <c r="D2348" s="22">
        <f>(1+D2347)*IF(AND(Painel_diario!$H2344="ED_JD",Painel_diario!$J2344=1),EXP(Painel_diario!$L2344),1)-1</f>
        <v/>
      </c>
      <c r="E2348" s="22">
        <f>(1+E2347)*IF(AND(Painel_diario!$H2344="ED_JU",Painel_diario!$J2344=1),EXP(Painel_diario!$L2344),1)-1</f>
        <v/>
      </c>
    </row>
    <row r="2349">
      <c r="A2349" s="25" t="n">
        <v>42278</v>
      </c>
      <c r="B2349" s="22">
        <f>(1+B2348)*IF(AND(Painel_diario!$H2345="EU_JD",Painel_diario!$J2345=1),EXP(Painel_diario!$L2345),1)-1</f>
        <v/>
      </c>
      <c r="C2349" s="22">
        <f>(1+C2348)*IF(AND(Painel_diario!$H2345="EU_JU",Painel_diario!$J2345=1),EXP(Painel_diario!$L2345),1)-1</f>
        <v/>
      </c>
      <c r="D2349" s="22">
        <f>(1+D2348)*IF(AND(Painel_diario!$H2345="ED_JD",Painel_diario!$J2345=1),EXP(Painel_diario!$L2345),1)-1</f>
        <v/>
      </c>
      <c r="E2349" s="22">
        <f>(1+E2348)*IF(AND(Painel_diario!$H2345="ED_JU",Painel_diario!$J2345=1),EXP(Painel_diario!$L2345),1)-1</f>
        <v/>
      </c>
    </row>
    <row r="2350">
      <c r="A2350" s="25" t="n">
        <v>42279</v>
      </c>
      <c r="B2350" s="22">
        <f>(1+B2349)*IF(AND(Painel_diario!$H2346="EU_JD",Painel_diario!$J2346=1),EXP(Painel_diario!$L2346),1)-1</f>
        <v/>
      </c>
      <c r="C2350" s="22">
        <f>(1+C2349)*IF(AND(Painel_diario!$H2346="EU_JU",Painel_diario!$J2346=1),EXP(Painel_diario!$L2346),1)-1</f>
        <v/>
      </c>
      <c r="D2350" s="22">
        <f>(1+D2349)*IF(AND(Painel_diario!$H2346="ED_JD",Painel_diario!$J2346=1),EXP(Painel_diario!$L2346),1)-1</f>
        <v/>
      </c>
      <c r="E2350" s="22">
        <f>(1+E2349)*IF(AND(Painel_diario!$H2346="ED_JU",Painel_diario!$J2346=1),EXP(Painel_diario!$L2346),1)-1</f>
        <v/>
      </c>
    </row>
    <row r="2351">
      <c r="A2351" s="25" t="n">
        <v>42282</v>
      </c>
      <c r="B2351" s="22">
        <f>(1+B2350)*IF(AND(Painel_diario!$H2347="EU_JD",Painel_diario!$J2347=1),EXP(Painel_diario!$L2347),1)-1</f>
        <v/>
      </c>
      <c r="C2351" s="22">
        <f>(1+C2350)*IF(AND(Painel_diario!$H2347="EU_JU",Painel_diario!$J2347=1),EXP(Painel_diario!$L2347),1)-1</f>
        <v/>
      </c>
      <c r="D2351" s="22">
        <f>(1+D2350)*IF(AND(Painel_diario!$H2347="ED_JD",Painel_diario!$J2347=1),EXP(Painel_diario!$L2347),1)-1</f>
        <v/>
      </c>
      <c r="E2351" s="22">
        <f>(1+E2350)*IF(AND(Painel_diario!$H2347="ED_JU",Painel_diario!$J2347=1),EXP(Painel_diario!$L2347),1)-1</f>
        <v/>
      </c>
    </row>
    <row r="2352">
      <c r="A2352" s="25" t="n">
        <v>42283</v>
      </c>
      <c r="B2352" s="22">
        <f>(1+B2351)*IF(AND(Painel_diario!$H2348="EU_JD",Painel_diario!$J2348=1),EXP(Painel_diario!$L2348),1)-1</f>
        <v/>
      </c>
      <c r="C2352" s="22">
        <f>(1+C2351)*IF(AND(Painel_diario!$H2348="EU_JU",Painel_diario!$J2348=1),EXP(Painel_diario!$L2348),1)-1</f>
        <v/>
      </c>
      <c r="D2352" s="22">
        <f>(1+D2351)*IF(AND(Painel_diario!$H2348="ED_JD",Painel_diario!$J2348=1),EXP(Painel_diario!$L2348),1)-1</f>
        <v/>
      </c>
      <c r="E2352" s="22">
        <f>(1+E2351)*IF(AND(Painel_diario!$H2348="ED_JU",Painel_diario!$J2348=1),EXP(Painel_diario!$L2348),1)-1</f>
        <v/>
      </c>
    </row>
    <row r="2353">
      <c r="A2353" s="25" t="n">
        <v>42284</v>
      </c>
      <c r="B2353" s="22">
        <f>(1+B2352)*IF(AND(Painel_diario!$H2349="EU_JD",Painel_diario!$J2349=1),EXP(Painel_diario!$L2349),1)-1</f>
        <v/>
      </c>
      <c r="C2353" s="22">
        <f>(1+C2352)*IF(AND(Painel_diario!$H2349="EU_JU",Painel_diario!$J2349=1),EXP(Painel_diario!$L2349),1)-1</f>
        <v/>
      </c>
      <c r="D2353" s="22">
        <f>(1+D2352)*IF(AND(Painel_diario!$H2349="ED_JD",Painel_diario!$J2349=1),EXP(Painel_diario!$L2349),1)-1</f>
        <v/>
      </c>
      <c r="E2353" s="22">
        <f>(1+E2352)*IF(AND(Painel_diario!$H2349="ED_JU",Painel_diario!$J2349=1),EXP(Painel_diario!$L2349),1)-1</f>
        <v/>
      </c>
    </row>
    <row r="2354">
      <c r="A2354" s="25" t="n">
        <v>42285</v>
      </c>
      <c r="B2354" s="22">
        <f>(1+B2353)*IF(AND(Painel_diario!$H2350="EU_JD",Painel_diario!$J2350=1),EXP(Painel_diario!$L2350),1)-1</f>
        <v/>
      </c>
      <c r="C2354" s="22">
        <f>(1+C2353)*IF(AND(Painel_diario!$H2350="EU_JU",Painel_diario!$J2350=1),EXP(Painel_diario!$L2350),1)-1</f>
        <v/>
      </c>
      <c r="D2354" s="22">
        <f>(1+D2353)*IF(AND(Painel_diario!$H2350="ED_JD",Painel_diario!$J2350=1),EXP(Painel_diario!$L2350),1)-1</f>
        <v/>
      </c>
      <c r="E2354" s="22">
        <f>(1+E2353)*IF(AND(Painel_diario!$H2350="ED_JU",Painel_diario!$J2350=1),EXP(Painel_diario!$L2350),1)-1</f>
        <v/>
      </c>
    </row>
    <row r="2355">
      <c r="A2355" s="25" t="n">
        <v>42286</v>
      </c>
      <c r="B2355" s="22">
        <f>(1+B2354)*IF(AND(Painel_diario!$H2351="EU_JD",Painel_diario!$J2351=1),EXP(Painel_diario!$L2351),1)-1</f>
        <v/>
      </c>
      <c r="C2355" s="22">
        <f>(1+C2354)*IF(AND(Painel_diario!$H2351="EU_JU",Painel_diario!$J2351=1),EXP(Painel_diario!$L2351),1)-1</f>
        <v/>
      </c>
      <c r="D2355" s="22">
        <f>(1+D2354)*IF(AND(Painel_diario!$H2351="ED_JD",Painel_diario!$J2351=1),EXP(Painel_diario!$L2351),1)-1</f>
        <v/>
      </c>
      <c r="E2355" s="22">
        <f>(1+E2354)*IF(AND(Painel_diario!$H2351="ED_JU",Painel_diario!$J2351=1),EXP(Painel_diario!$L2351),1)-1</f>
        <v/>
      </c>
    </row>
    <row r="2356">
      <c r="A2356" s="25" t="n">
        <v>42290</v>
      </c>
      <c r="B2356" s="22">
        <f>(1+B2355)*IF(AND(Painel_diario!$H2352="EU_JD",Painel_diario!$J2352=1),EXP(Painel_diario!$L2352),1)-1</f>
        <v/>
      </c>
      <c r="C2356" s="22">
        <f>(1+C2355)*IF(AND(Painel_diario!$H2352="EU_JU",Painel_diario!$J2352=1),EXP(Painel_diario!$L2352),1)-1</f>
        <v/>
      </c>
      <c r="D2356" s="22">
        <f>(1+D2355)*IF(AND(Painel_diario!$H2352="ED_JD",Painel_diario!$J2352=1),EXP(Painel_diario!$L2352),1)-1</f>
        <v/>
      </c>
      <c r="E2356" s="22">
        <f>(1+E2355)*IF(AND(Painel_diario!$H2352="ED_JU",Painel_diario!$J2352=1),EXP(Painel_diario!$L2352),1)-1</f>
        <v/>
      </c>
    </row>
    <row r="2357">
      <c r="A2357" s="25" t="n">
        <v>42291</v>
      </c>
      <c r="B2357" s="22">
        <f>(1+B2356)*IF(AND(Painel_diario!$H2353="EU_JD",Painel_diario!$J2353=1),EXP(Painel_diario!$L2353),1)-1</f>
        <v/>
      </c>
      <c r="C2357" s="22">
        <f>(1+C2356)*IF(AND(Painel_diario!$H2353="EU_JU",Painel_diario!$J2353=1),EXP(Painel_diario!$L2353),1)-1</f>
        <v/>
      </c>
      <c r="D2357" s="22">
        <f>(1+D2356)*IF(AND(Painel_diario!$H2353="ED_JD",Painel_diario!$J2353=1),EXP(Painel_diario!$L2353),1)-1</f>
        <v/>
      </c>
      <c r="E2357" s="22">
        <f>(1+E2356)*IF(AND(Painel_diario!$H2353="ED_JU",Painel_diario!$J2353=1),EXP(Painel_diario!$L2353),1)-1</f>
        <v/>
      </c>
    </row>
    <row r="2358">
      <c r="A2358" s="25" t="n">
        <v>42292</v>
      </c>
      <c r="B2358" s="22">
        <f>(1+B2357)*IF(AND(Painel_diario!$H2354="EU_JD",Painel_diario!$J2354=1),EXP(Painel_diario!$L2354),1)-1</f>
        <v/>
      </c>
      <c r="C2358" s="22">
        <f>(1+C2357)*IF(AND(Painel_diario!$H2354="EU_JU",Painel_diario!$J2354=1),EXP(Painel_diario!$L2354),1)-1</f>
        <v/>
      </c>
      <c r="D2358" s="22">
        <f>(1+D2357)*IF(AND(Painel_diario!$H2354="ED_JD",Painel_diario!$J2354=1),EXP(Painel_diario!$L2354),1)-1</f>
        <v/>
      </c>
      <c r="E2358" s="22">
        <f>(1+E2357)*IF(AND(Painel_diario!$H2354="ED_JU",Painel_diario!$J2354=1),EXP(Painel_diario!$L2354),1)-1</f>
        <v/>
      </c>
    </row>
    <row r="2359">
      <c r="A2359" s="25" t="n">
        <v>42293</v>
      </c>
      <c r="B2359" s="22">
        <f>(1+B2358)*IF(AND(Painel_diario!$H2355="EU_JD",Painel_diario!$J2355=1),EXP(Painel_diario!$L2355),1)-1</f>
        <v/>
      </c>
      <c r="C2359" s="22">
        <f>(1+C2358)*IF(AND(Painel_diario!$H2355="EU_JU",Painel_diario!$J2355=1),EXP(Painel_diario!$L2355),1)-1</f>
        <v/>
      </c>
      <c r="D2359" s="22">
        <f>(1+D2358)*IF(AND(Painel_diario!$H2355="ED_JD",Painel_diario!$J2355=1),EXP(Painel_diario!$L2355),1)-1</f>
        <v/>
      </c>
      <c r="E2359" s="22">
        <f>(1+E2358)*IF(AND(Painel_diario!$H2355="ED_JU",Painel_diario!$J2355=1),EXP(Painel_diario!$L2355),1)-1</f>
        <v/>
      </c>
    </row>
    <row r="2360">
      <c r="A2360" s="25" t="n">
        <v>42296</v>
      </c>
      <c r="B2360" s="22">
        <f>(1+B2359)*IF(AND(Painel_diario!$H2356="EU_JD",Painel_diario!$J2356=1),EXP(Painel_diario!$L2356),1)-1</f>
        <v/>
      </c>
      <c r="C2360" s="22">
        <f>(1+C2359)*IF(AND(Painel_diario!$H2356="EU_JU",Painel_diario!$J2356=1),EXP(Painel_diario!$L2356),1)-1</f>
        <v/>
      </c>
      <c r="D2360" s="22">
        <f>(1+D2359)*IF(AND(Painel_diario!$H2356="ED_JD",Painel_diario!$J2356=1),EXP(Painel_diario!$L2356),1)-1</f>
        <v/>
      </c>
      <c r="E2360" s="22">
        <f>(1+E2359)*IF(AND(Painel_diario!$H2356="ED_JU",Painel_diario!$J2356=1),EXP(Painel_diario!$L2356),1)-1</f>
        <v/>
      </c>
    </row>
    <row r="2361">
      <c r="A2361" s="25" t="n">
        <v>42297</v>
      </c>
      <c r="B2361" s="22">
        <f>(1+B2360)*IF(AND(Painel_diario!$H2357="EU_JD",Painel_diario!$J2357=1),EXP(Painel_diario!$L2357),1)-1</f>
        <v/>
      </c>
      <c r="C2361" s="22">
        <f>(1+C2360)*IF(AND(Painel_diario!$H2357="EU_JU",Painel_diario!$J2357=1),EXP(Painel_diario!$L2357),1)-1</f>
        <v/>
      </c>
      <c r="D2361" s="22">
        <f>(1+D2360)*IF(AND(Painel_diario!$H2357="ED_JD",Painel_diario!$J2357=1),EXP(Painel_diario!$L2357),1)-1</f>
        <v/>
      </c>
      <c r="E2361" s="22">
        <f>(1+E2360)*IF(AND(Painel_diario!$H2357="ED_JU",Painel_diario!$J2357=1),EXP(Painel_diario!$L2357),1)-1</f>
        <v/>
      </c>
    </row>
    <row r="2362">
      <c r="A2362" s="25" t="n">
        <v>42298</v>
      </c>
      <c r="B2362" s="22">
        <f>(1+B2361)*IF(AND(Painel_diario!$H2358="EU_JD",Painel_diario!$J2358=1),EXP(Painel_diario!$L2358),1)-1</f>
        <v/>
      </c>
      <c r="C2362" s="22">
        <f>(1+C2361)*IF(AND(Painel_diario!$H2358="EU_JU",Painel_diario!$J2358=1),EXP(Painel_diario!$L2358),1)-1</f>
        <v/>
      </c>
      <c r="D2362" s="22">
        <f>(1+D2361)*IF(AND(Painel_diario!$H2358="ED_JD",Painel_diario!$J2358=1),EXP(Painel_diario!$L2358),1)-1</f>
        <v/>
      </c>
      <c r="E2362" s="22">
        <f>(1+E2361)*IF(AND(Painel_diario!$H2358="ED_JU",Painel_diario!$J2358=1),EXP(Painel_diario!$L2358),1)-1</f>
        <v/>
      </c>
    </row>
    <row r="2363">
      <c r="A2363" s="25" t="n">
        <v>42299</v>
      </c>
      <c r="B2363" s="22">
        <f>(1+B2362)*IF(AND(Painel_diario!$H2359="EU_JD",Painel_diario!$J2359=1),EXP(Painel_diario!$L2359),1)-1</f>
        <v/>
      </c>
      <c r="C2363" s="22">
        <f>(1+C2362)*IF(AND(Painel_diario!$H2359="EU_JU",Painel_diario!$J2359=1),EXP(Painel_diario!$L2359),1)-1</f>
        <v/>
      </c>
      <c r="D2363" s="22">
        <f>(1+D2362)*IF(AND(Painel_diario!$H2359="ED_JD",Painel_diario!$J2359=1),EXP(Painel_diario!$L2359),1)-1</f>
        <v/>
      </c>
      <c r="E2363" s="22">
        <f>(1+E2362)*IF(AND(Painel_diario!$H2359="ED_JU",Painel_diario!$J2359=1),EXP(Painel_diario!$L2359),1)-1</f>
        <v/>
      </c>
    </row>
    <row r="2364">
      <c r="A2364" s="25" t="n">
        <v>42300</v>
      </c>
      <c r="B2364" s="22">
        <f>(1+B2363)*IF(AND(Painel_diario!$H2360="EU_JD",Painel_diario!$J2360=1),EXP(Painel_diario!$L2360),1)-1</f>
        <v/>
      </c>
      <c r="C2364" s="22">
        <f>(1+C2363)*IF(AND(Painel_diario!$H2360="EU_JU",Painel_diario!$J2360=1),EXP(Painel_diario!$L2360),1)-1</f>
        <v/>
      </c>
      <c r="D2364" s="22">
        <f>(1+D2363)*IF(AND(Painel_diario!$H2360="ED_JD",Painel_diario!$J2360=1),EXP(Painel_diario!$L2360),1)-1</f>
        <v/>
      </c>
      <c r="E2364" s="22">
        <f>(1+E2363)*IF(AND(Painel_diario!$H2360="ED_JU",Painel_diario!$J2360=1),EXP(Painel_diario!$L2360),1)-1</f>
        <v/>
      </c>
    </row>
    <row r="2365">
      <c r="A2365" s="25" t="n">
        <v>42303</v>
      </c>
      <c r="B2365" s="22">
        <f>(1+B2364)*IF(AND(Painel_diario!$H2361="EU_JD",Painel_diario!$J2361=1),EXP(Painel_diario!$L2361),1)-1</f>
        <v/>
      </c>
      <c r="C2365" s="22">
        <f>(1+C2364)*IF(AND(Painel_diario!$H2361="EU_JU",Painel_diario!$J2361=1),EXP(Painel_diario!$L2361),1)-1</f>
        <v/>
      </c>
      <c r="D2365" s="22">
        <f>(1+D2364)*IF(AND(Painel_diario!$H2361="ED_JD",Painel_diario!$J2361=1),EXP(Painel_diario!$L2361),1)-1</f>
        <v/>
      </c>
      <c r="E2365" s="22">
        <f>(1+E2364)*IF(AND(Painel_diario!$H2361="ED_JU",Painel_diario!$J2361=1),EXP(Painel_diario!$L2361),1)-1</f>
        <v/>
      </c>
    </row>
    <row r="2366">
      <c r="A2366" s="25" t="n">
        <v>42304</v>
      </c>
      <c r="B2366" s="22">
        <f>(1+B2365)*IF(AND(Painel_diario!$H2362="EU_JD",Painel_diario!$J2362=1),EXP(Painel_diario!$L2362),1)-1</f>
        <v/>
      </c>
      <c r="C2366" s="22">
        <f>(1+C2365)*IF(AND(Painel_diario!$H2362="EU_JU",Painel_diario!$J2362=1),EXP(Painel_diario!$L2362),1)-1</f>
        <v/>
      </c>
      <c r="D2366" s="22">
        <f>(1+D2365)*IF(AND(Painel_diario!$H2362="ED_JD",Painel_diario!$J2362=1),EXP(Painel_diario!$L2362),1)-1</f>
        <v/>
      </c>
      <c r="E2366" s="22">
        <f>(1+E2365)*IF(AND(Painel_diario!$H2362="ED_JU",Painel_diario!$J2362=1),EXP(Painel_diario!$L2362),1)-1</f>
        <v/>
      </c>
    </row>
    <row r="2367">
      <c r="A2367" s="25" t="n">
        <v>42305</v>
      </c>
      <c r="B2367" s="22">
        <f>(1+B2366)*IF(AND(Painel_diario!$H2363="EU_JD",Painel_diario!$J2363=1),EXP(Painel_diario!$L2363),1)-1</f>
        <v/>
      </c>
      <c r="C2367" s="22">
        <f>(1+C2366)*IF(AND(Painel_diario!$H2363="EU_JU",Painel_diario!$J2363=1),EXP(Painel_diario!$L2363),1)-1</f>
        <v/>
      </c>
      <c r="D2367" s="22">
        <f>(1+D2366)*IF(AND(Painel_diario!$H2363="ED_JD",Painel_diario!$J2363=1),EXP(Painel_diario!$L2363),1)-1</f>
        <v/>
      </c>
      <c r="E2367" s="22">
        <f>(1+E2366)*IF(AND(Painel_diario!$H2363="ED_JU",Painel_diario!$J2363=1),EXP(Painel_diario!$L2363),1)-1</f>
        <v/>
      </c>
    </row>
    <row r="2368">
      <c r="A2368" s="25" t="n">
        <v>42306</v>
      </c>
      <c r="B2368" s="22">
        <f>(1+B2367)*IF(AND(Painel_diario!$H2364="EU_JD",Painel_diario!$J2364=1),EXP(Painel_diario!$L2364),1)-1</f>
        <v/>
      </c>
      <c r="C2368" s="22">
        <f>(1+C2367)*IF(AND(Painel_diario!$H2364="EU_JU",Painel_diario!$J2364=1),EXP(Painel_diario!$L2364),1)-1</f>
        <v/>
      </c>
      <c r="D2368" s="22">
        <f>(1+D2367)*IF(AND(Painel_diario!$H2364="ED_JD",Painel_diario!$J2364=1),EXP(Painel_diario!$L2364),1)-1</f>
        <v/>
      </c>
      <c r="E2368" s="22">
        <f>(1+E2367)*IF(AND(Painel_diario!$H2364="ED_JU",Painel_diario!$J2364=1),EXP(Painel_diario!$L2364),1)-1</f>
        <v/>
      </c>
    </row>
    <row r="2369">
      <c r="A2369" s="25" t="n">
        <v>42307</v>
      </c>
      <c r="B2369" s="22">
        <f>(1+B2368)*IF(AND(Painel_diario!$H2365="EU_JD",Painel_diario!$J2365=1),EXP(Painel_diario!$L2365),1)-1</f>
        <v/>
      </c>
      <c r="C2369" s="22">
        <f>(1+C2368)*IF(AND(Painel_diario!$H2365="EU_JU",Painel_diario!$J2365=1),EXP(Painel_diario!$L2365),1)-1</f>
        <v/>
      </c>
      <c r="D2369" s="22">
        <f>(1+D2368)*IF(AND(Painel_diario!$H2365="ED_JD",Painel_diario!$J2365=1),EXP(Painel_diario!$L2365),1)-1</f>
        <v/>
      </c>
      <c r="E2369" s="22">
        <f>(1+E2368)*IF(AND(Painel_diario!$H2365="ED_JU",Painel_diario!$J2365=1),EXP(Painel_diario!$L2365),1)-1</f>
        <v/>
      </c>
    </row>
    <row r="2370">
      <c r="A2370" s="25" t="n">
        <v>42311</v>
      </c>
      <c r="B2370" s="22">
        <f>(1+B2369)*IF(AND(Painel_diario!$H2366="EU_JD",Painel_diario!$J2366=1),EXP(Painel_diario!$L2366),1)-1</f>
        <v/>
      </c>
      <c r="C2370" s="22">
        <f>(1+C2369)*IF(AND(Painel_diario!$H2366="EU_JU",Painel_diario!$J2366=1),EXP(Painel_diario!$L2366),1)-1</f>
        <v/>
      </c>
      <c r="D2370" s="22">
        <f>(1+D2369)*IF(AND(Painel_diario!$H2366="ED_JD",Painel_diario!$J2366=1),EXP(Painel_diario!$L2366),1)-1</f>
        <v/>
      </c>
      <c r="E2370" s="22">
        <f>(1+E2369)*IF(AND(Painel_diario!$H2366="ED_JU",Painel_diario!$J2366=1),EXP(Painel_diario!$L2366),1)-1</f>
        <v/>
      </c>
    </row>
    <row r="2371">
      <c r="A2371" s="25" t="n">
        <v>42312</v>
      </c>
      <c r="B2371" s="22">
        <f>(1+B2370)*IF(AND(Painel_diario!$H2367="EU_JD",Painel_diario!$J2367=1),EXP(Painel_diario!$L2367),1)-1</f>
        <v/>
      </c>
      <c r="C2371" s="22">
        <f>(1+C2370)*IF(AND(Painel_diario!$H2367="EU_JU",Painel_diario!$J2367=1),EXP(Painel_diario!$L2367),1)-1</f>
        <v/>
      </c>
      <c r="D2371" s="22">
        <f>(1+D2370)*IF(AND(Painel_diario!$H2367="ED_JD",Painel_diario!$J2367=1),EXP(Painel_diario!$L2367),1)-1</f>
        <v/>
      </c>
      <c r="E2371" s="22">
        <f>(1+E2370)*IF(AND(Painel_diario!$H2367="ED_JU",Painel_diario!$J2367=1),EXP(Painel_diario!$L2367),1)-1</f>
        <v/>
      </c>
    </row>
    <row r="2372">
      <c r="A2372" s="25" t="n">
        <v>42313</v>
      </c>
      <c r="B2372" s="22">
        <f>(1+B2371)*IF(AND(Painel_diario!$H2368="EU_JD",Painel_diario!$J2368=1),EXP(Painel_diario!$L2368),1)-1</f>
        <v/>
      </c>
      <c r="C2372" s="22">
        <f>(1+C2371)*IF(AND(Painel_diario!$H2368="EU_JU",Painel_diario!$J2368=1),EXP(Painel_diario!$L2368),1)-1</f>
        <v/>
      </c>
      <c r="D2372" s="22">
        <f>(1+D2371)*IF(AND(Painel_diario!$H2368="ED_JD",Painel_diario!$J2368=1),EXP(Painel_diario!$L2368),1)-1</f>
        <v/>
      </c>
      <c r="E2372" s="22">
        <f>(1+E2371)*IF(AND(Painel_diario!$H2368="ED_JU",Painel_diario!$J2368=1),EXP(Painel_diario!$L2368),1)-1</f>
        <v/>
      </c>
    </row>
    <row r="2373">
      <c r="A2373" s="25" t="n">
        <v>42314</v>
      </c>
      <c r="B2373" s="22">
        <f>(1+B2372)*IF(AND(Painel_diario!$H2369="EU_JD",Painel_diario!$J2369=1),EXP(Painel_diario!$L2369),1)-1</f>
        <v/>
      </c>
      <c r="C2373" s="22">
        <f>(1+C2372)*IF(AND(Painel_diario!$H2369="EU_JU",Painel_diario!$J2369=1),EXP(Painel_diario!$L2369),1)-1</f>
        <v/>
      </c>
      <c r="D2373" s="22">
        <f>(1+D2372)*IF(AND(Painel_diario!$H2369="ED_JD",Painel_diario!$J2369=1),EXP(Painel_diario!$L2369),1)-1</f>
        <v/>
      </c>
      <c r="E2373" s="22">
        <f>(1+E2372)*IF(AND(Painel_diario!$H2369="ED_JU",Painel_diario!$J2369=1),EXP(Painel_diario!$L2369),1)-1</f>
        <v/>
      </c>
    </row>
    <row r="2374">
      <c r="A2374" s="25" t="n">
        <v>42317</v>
      </c>
      <c r="B2374" s="22">
        <f>(1+B2373)*IF(AND(Painel_diario!$H2370="EU_JD",Painel_diario!$J2370=1),EXP(Painel_diario!$L2370),1)-1</f>
        <v/>
      </c>
      <c r="C2374" s="22">
        <f>(1+C2373)*IF(AND(Painel_diario!$H2370="EU_JU",Painel_diario!$J2370=1),EXP(Painel_diario!$L2370),1)-1</f>
        <v/>
      </c>
      <c r="D2374" s="22">
        <f>(1+D2373)*IF(AND(Painel_diario!$H2370="ED_JD",Painel_diario!$J2370=1),EXP(Painel_diario!$L2370),1)-1</f>
        <v/>
      </c>
      <c r="E2374" s="22">
        <f>(1+E2373)*IF(AND(Painel_diario!$H2370="ED_JU",Painel_diario!$J2370=1),EXP(Painel_diario!$L2370),1)-1</f>
        <v/>
      </c>
    </row>
    <row r="2375">
      <c r="A2375" s="25" t="n">
        <v>42318</v>
      </c>
      <c r="B2375" s="22">
        <f>(1+B2374)*IF(AND(Painel_diario!$H2371="EU_JD",Painel_diario!$J2371=1),EXP(Painel_diario!$L2371),1)-1</f>
        <v/>
      </c>
      <c r="C2375" s="22">
        <f>(1+C2374)*IF(AND(Painel_diario!$H2371="EU_JU",Painel_diario!$J2371=1),EXP(Painel_diario!$L2371),1)-1</f>
        <v/>
      </c>
      <c r="D2375" s="22">
        <f>(1+D2374)*IF(AND(Painel_diario!$H2371="ED_JD",Painel_diario!$J2371=1),EXP(Painel_diario!$L2371),1)-1</f>
        <v/>
      </c>
      <c r="E2375" s="22">
        <f>(1+E2374)*IF(AND(Painel_diario!$H2371="ED_JU",Painel_diario!$J2371=1),EXP(Painel_diario!$L2371),1)-1</f>
        <v/>
      </c>
    </row>
    <row r="2376">
      <c r="A2376" s="25" t="n">
        <v>42319</v>
      </c>
      <c r="B2376" s="22">
        <f>(1+B2375)*IF(AND(Painel_diario!$H2372="EU_JD",Painel_diario!$J2372=1),EXP(Painel_diario!$L2372),1)-1</f>
        <v/>
      </c>
      <c r="C2376" s="22">
        <f>(1+C2375)*IF(AND(Painel_diario!$H2372="EU_JU",Painel_diario!$J2372=1),EXP(Painel_diario!$L2372),1)-1</f>
        <v/>
      </c>
      <c r="D2376" s="22">
        <f>(1+D2375)*IF(AND(Painel_diario!$H2372="ED_JD",Painel_diario!$J2372=1),EXP(Painel_diario!$L2372),1)-1</f>
        <v/>
      </c>
      <c r="E2376" s="22">
        <f>(1+E2375)*IF(AND(Painel_diario!$H2372="ED_JU",Painel_diario!$J2372=1),EXP(Painel_diario!$L2372),1)-1</f>
        <v/>
      </c>
    </row>
    <row r="2377">
      <c r="A2377" s="25" t="n">
        <v>42320</v>
      </c>
      <c r="B2377" s="22">
        <f>(1+B2376)*IF(AND(Painel_diario!$H2373="EU_JD",Painel_diario!$J2373=1),EXP(Painel_diario!$L2373),1)-1</f>
        <v/>
      </c>
      <c r="C2377" s="22">
        <f>(1+C2376)*IF(AND(Painel_diario!$H2373="EU_JU",Painel_diario!$J2373=1),EXP(Painel_diario!$L2373),1)-1</f>
        <v/>
      </c>
      <c r="D2377" s="22">
        <f>(1+D2376)*IF(AND(Painel_diario!$H2373="ED_JD",Painel_diario!$J2373=1),EXP(Painel_diario!$L2373),1)-1</f>
        <v/>
      </c>
      <c r="E2377" s="22">
        <f>(1+E2376)*IF(AND(Painel_diario!$H2373="ED_JU",Painel_diario!$J2373=1),EXP(Painel_diario!$L2373),1)-1</f>
        <v/>
      </c>
    </row>
    <row r="2378">
      <c r="A2378" s="25" t="n">
        <v>42321</v>
      </c>
      <c r="B2378" s="22">
        <f>(1+B2377)*IF(AND(Painel_diario!$H2374="EU_JD",Painel_diario!$J2374=1),EXP(Painel_diario!$L2374),1)-1</f>
        <v/>
      </c>
      <c r="C2378" s="22">
        <f>(1+C2377)*IF(AND(Painel_diario!$H2374="EU_JU",Painel_diario!$J2374=1),EXP(Painel_diario!$L2374),1)-1</f>
        <v/>
      </c>
      <c r="D2378" s="22">
        <f>(1+D2377)*IF(AND(Painel_diario!$H2374="ED_JD",Painel_diario!$J2374=1),EXP(Painel_diario!$L2374),1)-1</f>
        <v/>
      </c>
      <c r="E2378" s="22">
        <f>(1+E2377)*IF(AND(Painel_diario!$H2374="ED_JU",Painel_diario!$J2374=1),EXP(Painel_diario!$L2374),1)-1</f>
        <v/>
      </c>
    </row>
    <row r="2379">
      <c r="A2379" s="25" t="n">
        <v>42324</v>
      </c>
      <c r="B2379" s="22">
        <f>(1+B2378)*IF(AND(Painel_diario!$H2375="EU_JD",Painel_diario!$J2375=1),EXP(Painel_diario!$L2375),1)-1</f>
        <v/>
      </c>
      <c r="C2379" s="22">
        <f>(1+C2378)*IF(AND(Painel_diario!$H2375="EU_JU",Painel_diario!$J2375=1),EXP(Painel_diario!$L2375),1)-1</f>
        <v/>
      </c>
      <c r="D2379" s="22">
        <f>(1+D2378)*IF(AND(Painel_diario!$H2375="ED_JD",Painel_diario!$J2375=1),EXP(Painel_diario!$L2375),1)-1</f>
        <v/>
      </c>
      <c r="E2379" s="22">
        <f>(1+E2378)*IF(AND(Painel_diario!$H2375="ED_JU",Painel_diario!$J2375=1),EXP(Painel_diario!$L2375),1)-1</f>
        <v/>
      </c>
    </row>
    <row r="2380">
      <c r="A2380" s="25" t="n">
        <v>42325</v>
      </c>
      <c r="B2380" s="22">
        <f>(1+B2379)*IF(AND(Painel_diario!$H2376="EU_JD",Painel_diario!$J2376=1),EXP(Painel_diario!$L2376),1)-1</f>
        <v/>
      </c>
      <c r="C2380" s="22">
        <f>(1+C2379)*IF(AND(Painel_diario!$H2376="EU_JU",Painel_diario!$J2376=1),EXP(Painel_diario!$L2376),1)-1</f>
        <v/>
      </c>
      <c r="D2380" s="22">
        <f>(1+D2379)*IF(AND(Painel_diario!$H2376="ED_JD",Painel_diario!$J2376=1),EXP(Painel_diario!$L2376),1)-1</f>
        <v/>
      </c>
      <c r="E2380" s="22">
        <f>(1+E2379)*IF(AND(Painel_diario!$H2376="ED_JU",Painel_diario!$J2376=1),EXP(Painel_diario!$L2376),1)-1</f>
        <v/>
      </c>
    </row>
    <row r="2381">
      <c r="A2381" s="25" t="n">
        <v>42326</v>
      </c>
      <c r="B2381" s="22">
        <f>(1+B2380)*IF(AND(Painel_diario!$H2377="EU_JD",Painel_diario!$J2377=1),EXP(Painel_diario!$L2377),1)-1</f>
        <v/>
      </c>
      <c r="C2381" s="22">
        <f>(1+C2380)*IF(AND(Painel_diario!$H2377="EU_JU",Painel_diario!$J2377=1),EXP(Painel_diario!$L2377),1)-1</f>
        <v/>
      </c>
      <c r="D2381" s="22">
        <f>(1+D2380)*IF(AND(Painel_diario!$H2377="ED_JD",Painel_diario!$J2377=1),EXP(Painel_diario!$L2377),1)-1</f>
        <v/>
      </c>
      <c r="E2381" s="22">
        <f>(1+E2380)*IF(AND(Painel_diario!$H2377="ED_JU",Painel_diario!$J2377=1),EXP(Painel_diario!$L2377),1)-1</f>
        <v/>
      </c>
    </row>
    <row r="2382">
      <c r="A2382" s="25" t="n">
        <v>42327</v>
      </c>
      <c r="B2382" s="22">
        <f>(1+B2381)*IF(AND(Painel_diario!$H2378="EU_JD",Painel_diario!$J2378=1),EXP(Painel_diario!$L2378),1)-1</f>
        <v/>
      </c>
      <c r="C2382" s="22">
        <f>(1+C2381)*IF(AND(Painel_diario!$H2378="EU_JU",Painel_diario!$J2378=1),EXP(Painel_diario!$L2378),1)-1</f>
        <v/>
      </c>
      <c r="D2382" s="22">
        <f>(1+D2381)*IF(AND(Painel_diario!$H2378="ED_JD",Painel_diario!$J2378=1),EXP(Painel_diario!$L2378),1)-1</f>
        <v/>
      </c>
      <c r="E2382" s="22">
        <f>(1+E2381)*IF(AND(Painel_diario!$H2378="ED_JU",Painel_diario!$J2378=1),EXP(Painel_diario!$L2378),1)-1</f>
        <v/>
      </c>
    </row>
    <row r="2383">
      <c r="A2383" s="25" t="n">
        <v>42331</v>
      </c>
      <c r="B2383" s="22">
        <f>(1+B2382)*IF(AND(Painel_diario!$H2379="EU_JD",Painel_diario!$J2379=1),EXP(Painel_diario!$L2379),1)-1</f>
        <v/>
      </c>
      <c r="C2383" s="22">
        <f>(1+C2382)*IF(AND(Painel_diario!$H2379="EU_JU",Painel_diario!$J2379=1),EXP(Painel_diario!$L2379),1)-1</f>
        <v/>
      </c>
      <c r="D2383" s="22">
        <f>(1+D2382)*IF(AND(Painel_diario!$H2379="ED_JD",Painel_diario!$J2379=1),EXP(Painel_diario!$L2379),1)-1</f>
        <v/>
      </c>
      <c r="E2383" s="22">
        <f>(1+E2382)*IF(AND(Painel_diario!$H2379="ED_JU",Painel_diario!$J2379=1),EXP(Painel_diario!$L2379),1)-1</f>
        <v/>
      </c>
    </row>
    <row r="2384">
      <c r="A2384" s="25" t="n">
        <v>42332</v>
      </c>
      <c r="B2384" s="22">
        <f>(1+B2383)*IF(AND(Painel_diario!$H2380="EU_JD",Painel_diario!$J2380=1),EXP(Painel_diario!$L2380),1)-1</f>
        <v/>
      </c>
      <c r="C2384" s="22">
        <f>(1+C2383)*IF(AND(Painel_diario!$H2380="EU_JU",Painel_diario!$J2380=1),EXP(Painel_diario!$L2380),1)-1</f>
        <v/>
      </c>
      <c r="D2384" s="22">
        <f>(1+D2383)*IF(AND(Painel_diario!$H2380="ED_JD",Painel_diario!$J2380=1),EXP(Painel_diario!$L2380),1)-1</f>
        <v/>
      </c>
      <c r="E2384" s="22">
        <f>(1+E2383)*IF(AND(Painel_diario!$H2380="ED_JU",Painel_diario!$J2380=1),EXP(Painel_diario!$L2380),1)-1</f>
        <v/>
      </c>
    </row>
    <row r="2385">
      <c r="A2385" s="25" t="n">
        <v>42333</v>
      </c>
      <c r="B2385" s="22">
        <f>(1+B2384)*IF(AND(Painel_diario!$H2381="EU_JD",Painel_diario!$J2381=1),EXP(Painel_diario!$L2381),1)-1</f>
        <v/>
      </c>
      <c r="C2385" s="22">
        <f>(1+C2384)*IF(AND(Painel_diario!$H2381="EU_JU",Painel_diario!$J2381=1),EXP(Painel_diario!$L2381),1)-1</f>
        <v/>
      </c>
      <c r="D2385" s="22">
        <f>(1+D2384)*IF(AND(Painel_diario!$H2381="ED_JD",Painel_diario!$J2381=1),EXP(Painel_diario!$L2381),1)-1</f>
        <v/>
      </c>
      <c r="E2385" s="22">
        <f>(1+E2384)*IF(AND(Painel_diario!$H2381="ED_JU",Painel_diario!$J2381=1),EXP(Painel_diario!$L2381),1)-1</f>
        <v/>
      </c>
    </row>
    <row r="2386">
      <c r="A2386" s="25" t="n">
        <v>42334</v>
      </c>
      <c r="B2386" s="22">
        <f>(1+B2385)*IF(AND(Painel_diario!$H2382="EU_JD",Painel_diario!$J2382=1),EXP(Painel_diario!$L2382),1)-1</f>
        <v/>
      </c>
      <c r="C2386" s="22">
        <f>(1+C2385)*IF(AND(Painel_diario!$H2382="EU_JU",Painel_diario!$J2382=1),EXP(Painel_diario!$L2382),1)-1</f>
        <v/>
      </c>
      <c r="D2386" s="22">
        <f>(1+D2385)*IF(AND(Painel_diario!$H2382="ED_JD",Painel_diario!$J2382=1),EXP(Painel_diario!$L2382),1)-1</f>
        <v/>
      </c>
      <c r="E2386" s="22">
        <f>(1+E2385)*IF(AND(Painel_diario!$H2382="ED_JU",Painel_diario!$J2382=1),EXP(Painel_diario!$L2382),1)-1</f>
        <v/>
      </c>
    </row>
    <row r="2387">
      <c r="A2387" s="25" t="n">
        <v>42335</v>
      </c>
      <c r="B2387" s="22">
        <f>(1+B2386)*IF(AND(Painel_diario!$H2383="EU_JD",Painel_diario!$J2383=1),EXP(Painel_diario!$L2383),1)-1</f>
        <v/>
      </c>
      <c r="C2387" s="22">
        <f>(1+C2386)*IF(AND(Painel_diario!$H2383="EU_JU",Painel_diario!$J2383=1),EXP(Painel_diario!$L2383),1)-1</f>
        <v/>
      </c>
      <c r="D2387" s="22">
        <f>(1+D2386)*IF(AND(Painel_diario!$H2383="ED_JD",Painel_diario!$J2383=1),EXP(Painel_diario!$L2383),1)-1</f>
        <v/>
      </c>
      <c r="E2387" s="22">
        <f>(1+E2386)*IF(AND(Painel_diario!$H2383="ED_JU",Painel_diario!$J2383=1),EXP(Painel_diario!$L2383),1)-1</f>
        <v/>
      </c>
    </row>
    <row r="2388">
      <c r="A2388" s="25" t="n">
        <v>42338</v>
      </c>
      <c r="B2388" s="22">
        <f>(1+B2387)*IF(AND(Painel_diario!$H2384="EU_JD",Painel_diario!$J2384=1),EXP(Painel_diario!$L2384),1)-1</f>
        <v/>
      </c>
      <c r="C2388" s="22">
        <f>(1+C2387)*IF(AND(Painel_diario!$H2384="EU_JU",Painel_diario!$J2384=1),EXP(Painel_diario!$L2384),1)-1</f>
        <v/>
      </c>
      <c r="D2388" s="22">
        <f>(1+D2387)*IF(AND(Painel_diario!$H2384="ED_JD",Painel_diario!$J2384=1),EXP(Painel_diario!$L2384),1)-1</f>
        <v/>
      </c>
      <c r="E2388" s="22">
        <f>(1+E2387)*IF(AND(Painel_diario!$H2384="ED_JU",Painel_diario!$J2384=1),EXP(Painel_diario!$L2384),1)-1</f>
        <v/>
      </c>
    </row>
    <row r="2389">
      <c r="A2389" s="25" t="n">
        <v>42339</v>
      </c>
      <c r="B2389" s="22">
        <f>(1+B2388)*IF(AND(Painel_diario!$H2385="EU_JD",Painel_diario!$J2385=1),EXP(Painel_diario!$L2385),1)-1</f>
        <v/>
      </c>
      <c r="C2389" s="22">
        <f>(1+C2388)*IF(AND(Painel_diario!$H2385="EU_JU",Painel_diario!$J2385=1),EXP(Painel_diario!$L2385),1)-1</f>
        <v/>
      </c>
      <c r="D2389" s="22">
        <f>(1+D2388)*IF(AND(Painel_diario!$H2385="ED_JD",Painel_diario!$J2385=1),EXP(Painel_diario!$L2385),1)-1</f>
        <v/>
      </c>
      <c r="E2389" s="22">
        <f>(1+E2388)*IF(AND(Painel_diario!$H2385="ED_JU",Painel_diario!$J2385=1),EXP(Painel_diario!$L2385),1)-1</f>
        <v/>
      </c>
    </row>
    <row r="2390">
      <c r="A2390" s="25" t="n">
        <v>42340</v>
      </c>
      <c r="B2390" s="22">
        <f>(1+B2389)*IF(AND(Painel_diario!$H2386="EU_JD",Painel_diario!$J2386=1),EXP(Painel_diario!$L2386),1)-1</f>
        <v/>
      </c>
      <c r="C2390" s="22">
        <f>(1+C2389)*IF(AND(Painel_diario!$H2386="EU_JU",Painel_diario!$J2386=1),EXP(Painel_diario!$L2386),1)-1</f>
        <v/>
      </c>
      <c r="D2390" s="22">
        <f>(1+D2389)*IF(AND(Painel_diario!$H2386="ED_JD",Painel_diario!$J2386=1),EXP(Painel_diario!$L2386),1)-1</f>
        <v/>
      </c>
      <c r="E2390" s="22">
        <f>(1+E2389)*IF(AND(Painel_diario!$H2386="ED_JU",Painel_diario!$J2386=1),EXP(Painel_diario!$L2386),1)-1</f>
        <v/>
      </c>
    </row>
    <row r="2391">
      <c r="A2391" s="25" t="n">
        <v>42341</v>
      </c>
      <c r="B2391" s="22">
        <f>(1+B2390)*IF(AND(Painel_diario!$H2387="EU_JD",Painel_diario!$J2387=1),EXP(Painel_diario!$L2387),1)-1</f>
        <v/>
      </c>
      <c r="C2391" s="22">
        <f>(1+C2390)*IF(AND(Painel_diario!$H2387="EU_JU",Painel_diario!$J2387=1),EXP(Painel_diario!$L2387),1)-1</f>
        <v/>
      </c>
      <c r="D2391" s="22">
        <f>(1+D2390)*IF(AND(Painel_diario!$H2387="ED_JD",Painel_diario!$J2387=1),EXP(Painel_diario!$L2387),1)-1</f>
        <v/>
      </c>
      <c r="E2391" s="22">
        <f>(1+E2390)*IF(AND(Painel_diario!$H2387="ED_JU",Painel_diario!$J2387=1),EXP(Painel_diario!$L2387),1)-1</f>
        <v/>
      </c>
    </row>
    <row r="2392">
      <c r="A2392" s="25" t="n">
        <v>42342</v>
      </c>
      <c r="B2392" s="22">
        <f>(1+B2391)*IF(AND(Painel_diario!$H2388="EU_JD",Painel_diario!$J2388=1),EXP(Painel_diario!$L2388),1)-1</f>
        <v/>
      </c>
      <c r="C2392" s="22">
        <f>(1+C2391)*IF(AND(Painel_diario!$H2388="EU_JU",Painel_diario!$J2388=1),EXP(Painel_diario!$L2388),1)-1</f>
        <v/>
      </c>
      <c r="D2392" s="22">
        <f>(1+D2391)*IF(AND(Painel_diario!$H2388="ED_JD",Painel_diario!$J2388=1),EXP(Painel_diario!$L2388),1)-1</f>
        <v/>
      </c>
      <c r="E2392" s="22">
        <f>(1+E2391)*IF(AND(Painel_diario!$H2388="ED_JU",Painel_diario!$J2388=1),EXP(Painel_diario!$L2388),1)-1</f>
        <v/>
      </c>
    </row>
    <row r="2393">
      <c r="A2393" s="25" t="n">
        <v>42345</v>
      </c>
      <c r="B2393" s="22">
        <f>(1+B2392)*IF(AND(Painel_diario!$H2389="EU_JD",Painel_diario!$J2389=1),EXP(Painel_diario!$L2389),1)-1</f>
        <v/>
      </c>
      <c r="C2393" s="22">
        <f>(1+C2392)*IF(AND(Painel_diario!$H2389="EU_JU",Painel_diario!$J2389=1),EXP(Painel_diario!$L2389),1)-1</f>
        <v/>
      </c>
      <c r="D2393" s="22">
        <f>(1+D2392)*IF(AND(Painel_diario!$H2389="ED_JD",Painel_diario!$J2389=1),EXP(Painel_diario!$L2389),1)-1</f>
        <v/>
      </c>
      <c r="E2393" s="22">
        <f>(1+E2392)*IF(AND(Painel_diario!$H2389="ED_JU",Painel_diario!$J2389=1),EXP(Painel_diario!$L2389),1)-1</f>
        <v/>
      </c>
    </row>
    <row r="2394">
      <c r="A2394" s="25" t="n">
        <v>42346</v>
      </c>
      <c r="B2394" s="22">
        <f>(1+B2393)*IF(AND(Painel_diario!$H2390="EU_JD",Painel_diario!$J2390=1),EXP(Painel_diario!$L2390),1)-1</f>
        <v/>
      </c>
      <c r="C2394" s="22">
        <f>(1+C2393)*IF(AND(Painel_diario!$H2390="EU_JU",Painel_diario!$J2390=1),EXP(Painel_diario!$L2390),1)-1</f>
        <v/>
      </c>
      <c r="D2394" s="22">
        <f>(1+D2393)*IF(AND(Painel_diario!$H2390="ED_JD",Painel_diario!$J2390=1),EXP(Painel_diario!$L2390),1)-1</f>
        <v/>
      </c>
      <c r="E2394" s="22">
        <f>(1+E2393)*IF(AND(Painel_diario!$H2390="ED_JU",Painel_diario!$J2390=1),EXP(Painel_diario!$L2390),1)-1</f>
        <v/>
      </c>
    </row>
    <row r="2395">
      <c r="A2395" s="25" t="n">
        <v>42347</v>
      </c>
      <c r="B2395" s="22">
        <f>(1+B2394)*IF(AND(Painel_diario!$H2391="EU_JD",Painel_diario!$J2391=1),EXP(Painel_diario!$L2391),1)-1</f>
        <v/>
      </c>
      <c r="C2395" s="22">
        <f>(1+C2394)*IF(AND(Painel_diario!$H2391="EU_JU",Painel_diario!$J2391=1),EXP(Painel_diario!$L2391),1)-1</f>
        <v/>
      </c>
      <c r="D2395" s="22">
        <f>(1+D2394)*IF(AND(Painel_diario!$H2391="ED_JD",Painel_diario!$J2391=1),EXP(Painel_diario!$L2391),1)-1</f>
        <v/>
      </c>
      <c r="E2395" s="22">
        <f>(1+E2394)*IF(AND(Painel_diario!$H2391="ED_JU",Painel_diario!$J2391=1),EXP(Painel_diario!$L2391),1)-1</f>
        <v/>
      </c>
    </row>
    <row r="2396">
      <c r="A2396" s="25" t="n">
        <v>42348</v>
      </c>
      <c r="B2396" s="22">
        <f>(1+B2395)*IF(AND(Painel_diario!$H2392="EU_JD",Painel_diario!$J2392=1),EXP(Painel_diario!$L2392),1)-1</f>
        <v/>
      </c>
      <c r="C2396" s="22">
        <f>(1+C2395)*IF(AND(Painel_diario!$H2392="EU_JU",Painel_diario!$J2392=1),EXP(Painel_diario!$L2392),1)-1</f>
        <v/>
      </c>
      <c r="D2396" s="22">
        <f>(1+D2395)*IF(AND(Painel_diario!$H2392="ED_JD",Painel_diario!$J2392=1),EXP(Painel_diario!$L2392),1)-1</f>
        <v/>
      </c>
      <c r="E2396" s="22">
        <f>(1+E2395)*IF(AND(Painel_diario!$H2392="ED_JU",Painel_diario!$J2392=1),EXP(Painel_diario!$L2392),1)-1</f>
        <v/>
      </c>
    </row>
    <row r="2397">
      <c r="A2397" s="25" t="n">
        <v>42349</v>
      </c>
      <c r="B2397" s="22">
        <f>(1+B2396)*IF(AND(Painel_diario!$H2393="EU_JD",Painel_diario!$J2393=1),EXP(Painel_diario!$L2393),1)-1</f>
        <v/>
      </c>
      <c r="C2397" s="22">
        <f>(1+C2396)*IF(AND(Painel_diario!$H2393="EU_JU",Painel_diario!$J2393=1),EXP(Painel_diario!$L2393),1)-1</f>
        <v/>
      </c>
      <c r="D2397" s="22">
        <f>(1+D2396)*IF(AND(Painel_diario!$H2393="ED_JD",Painel_diario!$J2393=1),EXP(Painel_diario!$L2393),1)-1</f>
        <v/>
      </c>
      <c r="E2397" s="22">
        <f>(1+E2396)*IF(AND(Painel_diario!$H2393="ED_JU",Painel_diario!$J2393=1),EXP(Painel_diario!$L2393),1)-1</f>
        <v/>
      </c>
    </row>
    <row r="2398">
      <c r="A2398" s="25" t="n">
        <v>42352</v>
      </c>
      <c r="B2398" s="22">
        <f>(1+B2397)*IF(AND(Painel_diario!$H2394="EU_JD",Painel_diario!$J2394=1),EXP(Painel_diario!$L2394),1)-1</f>
        <v/>
      </c>
      <c r="C2398" s="22">
        <f>(1+C2397)*IF(AND(Painel_diario!$H2394="EU_JU",Painel_diario!$J2394=1),EXP(Painel_diario!$L2394),1)-1</f>
        <v/>
      </c>
      <c r="D2398" s="22">
        <f>(1+D2397)*IF(AND(Painel_diario!$H2394="ED_JD",Painel_diario!$J2394=1),EXP(Painel_diario!$L2394),1)-1</f>
        <v/>
      </c>
      <c r="E2398" s="22">
        <f>(1+E2397)*IF(AND(Painel_diario!$H2394="ED_JU",Painel_diario!$J2394=1),EXP(Painel_diario!$L2394),1)-1</f>
        <v/>
      </c>
    </row>
    <row r="2399">
      <c r="A2399" s="25" t="n">
        <v>42353</v>
      </c>
      <c r="B2399" s="22">
        <f>(1+B2398)*IF(AND(Painel_diario!$H2395="EU_JD",Painel_diario!$J2395=1),EXP(Painel_diario!$L2395),1)-1</f>
        <v/>
      </c>
      <c r="C2399" s="22">
        <f>(1+C2398)*IF(AND(Painel_diario!$H2395="EU_JU",Painel_diario!$J2395=1),EXP(Painel_diario!$L2395),1)-1</f>
        <v/>
      </c>
      <c r="D2399" s="22">
        <f>(1+D2398)*IF(AND(Painel_diario!$H2395="ED_JD",Painel_diario!$J2395=1),EXP(Painel_diario!$L2395),1)-1</f>
        <v/>
      </c>
      <c r="E2399" s="22">
        <f>(1+E2398)*IF(AND(Painel_diario!$H2395="ED_JU",Painel_diario!$J2395=1),EXP(Painel_diario!$L2395),1)-1</f>
        <v/>
      </c>
    </row>
    <row r="2400">
      <c r="A2400" s="25" t="n">
        <v>42354</v>
      </c>
      <c r="B2400" s="22">
        <f>(1+B2399)*IF(AND(Painel_diario!$H2396="EU_JD",Painel_diario!$J2396=1),EXP(Painel_diario!$L2396),1)-1</f>
        <v/>
      </c>
      <c r="C2400" s="22">
        <f>(1+C2399)*IF(AND(Painel_diario!$H2396="EU_JU",Painel_diario!$J2396=1),EXP(Painel_diario!$L2396),1)-1</f>
        <v/>
      </c>
      <c r="D2400" s="22">
        <f>(1+D2399)*IF(AND(Painel_diario!$H2396="ED_JD",Painel_diario!$J2396=1),EXP(Painel_diario!$L2396),1)-1</f>
        <v/>
      </c>
      <c r="E2400" s="22">
        <f>(1+E2399)*IF(AND(Painel_diario!$H2396="ED_JU",Painel_diario!$J2396=1),EXP(Painel_diario!$L2396),1)-1</f>
        <v/>
      </c>
    </row>
    <row r="2401">
      <c r="A2401" s="25" t="n">
        <v>42355</v>
      </c>
      <c r="B2401" s="22">
        <f>(1+B2400)*IF(AND(Painel_diario!$H2397="EU_JD",Painel_diario!$J2397=1),EXP(Painel_diario!$L2397),1)-1</f>
        <v/>
      </c>
      <c r="C2401" s="22">
        <f>(1+C2400)*IF(AND(Painel_diario!$H2397="EU_JU",Painel_diario!$J2397=1),EXP(Painel_diario!$L2397),1)-1</f>
        <v/>
      </c>
      <c r="D2401" s="22">
        <f>(1+D2400)*IF(AND(Painel_diario!$H2397="ED_JD",Painel_diario!$J2397=1),EXP(Painel_diario!$L2397),1)-1</f>
        <v/>
      </c>
      <c r="E2401" s="22">
        <f>(1+E2400)*IF(AND(Painel_diario!$H2397="ED_JU",Painel_diario!$J2397=1),EXP(Painel_diario!$L2397),1)-1</f>
        <v/>
      </c>
    </row>
    <row r="2402">
      <c r="A2402" s="25" t="n">
        <v>42356</v>
      </c>
      <c r="B2402" s="22">
        <f>(1+B2401)*IF(AND(Painel_diario!$H2398="EU_JD",Painel_diario!$J2398=1),EXP(Painel_diario!$L2398),1)-1</f>
        <v/>
      </c>
      <c r="C2402" s="22">
        <f>(1+C2401)*IF(AND(Painel_diario!$H2398="EU_JU",Painel_diario!$J2398=1),EXP(Painel_diario!$L2398),1)-1</f>
        <v/>
      </c>
      <c r="D2402" s="22">
        <f>(1+D2401)*IF(AND(Painel_diario!$H2398="ED_JD",Painel_diario!$J2398=1),EXP(Painel_diario!$L2398),1)-1</f>
        <v/>
      </c>
      <c r="E2402" s="22">
        <f>(1+E2401)*IF(AND(Painel_diario!$H2398="ED_JU",Painel_diario!$J2398=1),EXP(Painel_diario!$L2398),1)-1</f>
        <v/>
      </c>
    </row>
    <row r="2403">
      <c r="A2403" s="25" t="n">
        <v>42359</v>
      </c>
      <c r="B2403" s="22">
        <f>(1+B2402)*IF(AND(Painel_diario!$H2399="EU_JD",Painel_diario!$J2399=1),EXP(Painel_diario!$L2399),1)-1</f>
        <v/>
      </c>
      <c r="C2403" s="22">
        <f>(1+C2402)*IF(AND(Painel_diario!$H2399="EU_JU",Painel_diario!$J2399=1),EXP(Painel_diario!$L2399),1)-1</f>
        <v/>
      </c>
      <c r="D2403" s="22">
        <f>(1+D2402)*IF(AND(Painel_diario!$H2399="ED_JD",Painel_diario!$J2399=1),EXP(Painel_diario!$L2399),1)-1</f>
        <v/>
      </c>
      <c r="E2403" s="22">
        <f>(1+E2402)*IF(AND(Painel_diario!$H2399="ED_JU",Painel_diario!$J2399=1),EXP(Painel_diario!$L2399),1)-1</f>
        <v/>
      </c>
    </row>
    <row r="2404">
      <c r="A2404" s="25" t="n">
        <v>42360</v>
      </c>
      <c r="B2404" s="22">
        <f>(1+B2403)*IF(AND(Painel_diario!$H2400="EU_JD",Painel_diario!$J2400=1),EXP(Painel_diario!$L2400),1)-1</f>
        <v/>
      </c>
      <c r="C2404" s="22">
        <f>(1+C2403)*IF(AND(Painel_diario!$H2400="EU_JU",Painel_diario!$J2400=1),EXP(Painel_diario!$L2400),1)-1</f>
        <v/>
      </c>
      <c r="D2404" s="22">
        <f>(1+D2403)*IF(AND(Painel_diario!$H2400="ED_JD",Painel_diario!$J2400=1),EXP(Painel_diario!$L2400),1)-1</f>
        <v/>
      </c>
      <c r="E2404" s="22">
        <f>(1+E2403)*IF(AND(Painel_diario!$H2400="ED_JU",Painel_diario!$J2400=1),EXP(Painel_diario!$L2400),1)-1</f>
        <v/>
      </c>
    </row>
    <row r="2405">
      <c r="A2405" s="25" t="n">
        <v>42361</v>
      </c>
      <c r="B2405" s="22">
        <f>(1+B2404)*IF(AND(Painel_diario!$H2401="EU_JD",Painel_diario!$J2401=1),EXP(Painel_diario!$L2401),1)-1</f>
        <v/>
      </c>
      <c r="C2405" s="22">
        <f>(1+C2404)*IF(AND(Painel_diario!$H2401="EU_JU",Painel_diario!$J2401=1),EXP(Painel_diario!$L2401),1)-1</f>
        <v/>
      </c>
      <c r="D2405" s="22">
        <f>(1+D2404)*IF(AND(Painel_diario!$H2401="ED_JD",Painel_diario!$J2401=1),EXP(Painel_diario!$L2401),1)-1</f>
        <v/>
      </c>
      <c r="E2405" s="22">
        <f>(1+E2404)*IF(AND(Painel_diario!$H2401="ED_JU",Painel_diario!$J2401=1),EXP(Painel_diario!$L2401),1)-1</f>
        <v/>
      </c>
    </row>
    <row r="2406">
      <c r="A2406" s="25" t="n">
        <v>42366</v>
      </c>
      <c r="B2406" s="22">
        <f>(1+B2405)*IF(AND(Painel_diario!$H2402="EU_JD",Painel_diario!$J2402=1),EXP(Painel_diario!$L2402),1)-1</f>
        <v/>
      </c>
      <c r="C2406" s="22">
        <f>(1+C2405)*IF(AND(Painel_diario!$H2402="EU_JU",Painel_diario!$J2402=1),EXP(Painel_diario!$L2402),1)-1</f>
        <v/>
      </c>
      <c r="D2406" s="22">
        <f>(1+D2405)*IF(AND(Painel_diario!$H2402="ED_JD",Painel_diario!$J2402=1),EXP(Painel_diario!$L2402),1)-1</f>
        <v/>
      </c>
      <c r="E2406" s="22">
        <f>(1+E2405)*IF(AND(Painel_diario!$H2402="ED_JU",Painel_diario!$J2402=1),EXP(Painel_diario!$L2402),1)-1</f>
        <v/>
      </c>
    </row>
    <row r="2407">
      <c r="A2407" s="25" t="n">
        <v>42367</v>
      </c>
      <c r="B2407" s="22">
        <f>(1+B2406)*IF(AND(Painel_diario!$H2403="EU_JD",Painel_diario!$J2403=1),EXP(Painel_diario!$L2403),1)-1</f>
        <v/>
      </c>
      <c r="C2407" s="22">
        <f>(1+C2406)*IF(AND(Painel_diario!$H2403="EU_JU",Painel_diario!$J2403=1),EXP(Painel_diario!$L2403),1)-1</f>
        <v/>
      </c>
      <c r="D2407" s="22">
        <f>(1+D2406)*IF(AND(Painel_diario!$H2403="ED_JD",Painel_diario!$J2403=1),EXP(Painel_diario!$L2403),1)-1</f>
        <v/>
      </c>
      <c r="E2407" s="22">
        <f>(1+E2406)*IF(AND(Painel_diario!$H2403="ED_JU",Painel_diario!$J2403=1),EXP(Painel_diario!$L2403),1)-1</f>
        <v/>
      </c>
    </row>
    <row r="2408">
      <c r="A2408" s="25" t="n">
        <v>42368</v>
      </c>
      <c r="B2408" s="22">
        <f>(1+B2407)*IF(AND(Painel_diario!$H2404="EU_JD",Painel_diario!$J2404=1),EXP(Painel_diario!$L2404),1)-1</f>
        <v/>
      </c>
      <c r="C2408" s="22">
        <f>(1+C2407)*IF(AND(Painel_diario!$H2404="EU_JU",Painel_diario!$J2404=1),EXP(Painel_diario!$L2404),1)-1</f>
        <v/>
      </c>
      <c r="D2408" s="22">
        <f>(1+D2407)*IF(AND(Painel_diario!$H2404="ED_JD",Painel_diario!$J2404=1),EXP(Painel_diario!$L2404),1)-1</f>
        <v/>
      </c>
      <c r="E2408" s="22">
        <f>(1+E2407)*IF(AND(Painel_diario!$H2404="ED_JU",Painel_diario!$J2404=1),EXP(Painel_diario!$L2404),1)-1</f>
        <v/>
      </c>
    </row>
    <row r="2409">
      <c r="A2409" s="25" t="n">
        <v>42373</v>
      </c>
      <c r="B2409" s="22">
        <f>(1+B2408)*IF(AND(Painel_diario!$H2405="EU_JD",Painel_diario!$J2405=1),EXP(Painel_diario!$L2405),1)-1</f>
        <v/>
      </c>
      <c r="C2409" s="22">
        <f>(1+C2408)*IF(AND(Painel_diario!$H2405="EU_JU",Painel_diario!$J2405=1),EXP(Painel_diario!$L2405),1)-1</f>
        <v/>
      </c>
      <c r="D2409" s="22">
        <f>(1+D2408)*IF(AND(Painel_diario!$H2405="ED_JD",Painel_diario!$J2405=1),EXP(Painel_diario!$L2405),1)-1</f>
        <v/>
      </c>
      <c r="E2409" s="22">
        <f>(1+E2408)*IF(AND(Painel_diario!$H2405="ED_JU",Painel_diario!$J2405=1),EXP(Painel_diario!$L2405),1)-1</f>
        <v/>
      </c>
    </row>
    <row r="2410">
      <c r="A2410" s="25" t="n">
        <v>42374</v>
      </c>
      <c r="B2410" s="22">
        <f>(1+B2409)*IF(AND(Painel_diario!$H2406="EU_JD",Painel_diario!$J2406=1),EXP(Painel_diario!$L2406),1)-1</f>
        <v/>
      </c>
      <c r="C2410" s="22">
        <f>(1+C2409)*IF(AND(Painel_diario!$H2406="EU_JU",Painel_diario!$J2406=1),EXP(Painel_diario!$L2406),1)-1</f>
        <v/>
      </c>
      <c r="D2410" s="22">
        <f>(1+D2409)*IF(AND(Painel_diario!$H2406="ED_JD",Painel_diario!$J2406=1),EXP(Painel_diario!$L2406),1)-1</f>
        <v/>
      </c>
      <c r="E2410" s="22">
        <f>(1+E2409)*IF(AND(Painel_diario!$H2406="ED_JU",Painel_diario!$J2406=1),EXP(Painel_diario!$L2406),1)-1</f>
        <v/>
      </c>
    </row>
    <row r="2411">
      <c r="A2411" s="25" t="n">
        <v>42375</v>
      </c>
      <c r="B2411" s="22">
        <f>(1+B2410)*IF(AND(Painel_diario!$H2407="EU_JD",Painel_diario!$J2407=1),EXP(Painel_diario!$L2407),1)-1</f>
        <v/>
      </c>
      <c r="C2411" s="22">
        <f>(1+C2410)*IF(AND(Painel_diario!$H2407="EU_JU",Painel_diario!$J2407=1),EXP(Painel_diario!$L2407),1)-1</f>
        <v/>
      </c>
      <c r="D2411" s="22">
        <f>(1+D2410)*IF(AND(Painel_diario!$H2407="ED_JD",Painel_diario!$J2407=1),EXP(Painel_diario!$L2407),1)-1</f>
        <v/>
      </c>
      <c r="E2411" s="22">
        <f>(1+E2410)*IF(AND(Painel_diario!$H2407="ED_JU",Painel_diario!$J2407=1),EXP(Painel_diario!$L2407),1)-1</f>
        <v/>
      </c>
    </row>
    <row r="2412">
      <c r="A2412" s="25" t="n">
        <v>42376</v>
      </c>
      <c r="B2412" s="22">
        <f>(1+B2411)*IF(AND(Painel_diario!$H2408="EU_JD",Painel_diario!$J2408=1),EXP(Painel_diario!$L2408),1)-1</f>
        <v/>
      </c>
      <c r="C2412" s="22">
        <f>(1+C2411)*IF(AND(Painel_diario!$H2408="EU_JU",Painel_diario!$J2408=1),EXP(Painel_diario!$L2408),1)-1</f>
        <v/>
      </c>
      <c r="D2412" s="22">
        <f>(1+D2411)*IF(AND(Painel_diario!$H2408="ED_JD",Painel_diario!$J2408=1),EXP(Painel_diario!$L2408),1)-1</f>
        <v/>
      </c>
      <c r="E2412" s="22">
        <f>(1+E2411)*IF(AND(Painel_diario!$H2408="ED_JU",Painel_diario!$J2408=1),EXP(Painel_diario!$L2408),1)-1</f>
        <v/>
      </c>
    </row>
    <row r="2413">
      <c r="A2413" s="25" t="n">
        <v>42377</v>
      </c>
      <c r="B2413" s="22">
        <f>(1+B2412)*IF(AND(Painel_diario!$H2409="EU_JD",Painel_diario!$J2409=1),EXP(Painel_diario!$L2409),1)-1</f>
        <v/>
      </c>
      <c r="C2413" s="22">
        <f>(1+C2412)*IF(AND(Painel_diario!$H2409="EU_JU",Painel_diario!$J2409=1),EXP(Painel_diario!$L2409),1)-1</f>
        <v/>
      </c>
      <c r="D2413" s="22">
        <f>(1+D2412)*IF(AND(Painel_diario!$H2409="ED_JD",Painel_diario!$J2409=1),EXP(Painel_diario!$L2409),1)-1</f>
        <v/>
      </c>
      <c r="E2413" s="22">
        <f>(1+E2412)*IF(AND(Painel_diario!$H2409="ED_JU",Painel_diario!$J2409=1),EXP(Painel_diario!$L2409),1)-1</f>
        <v/>
      </c>
    </row>
    <row r="2414">
      <c r="A2414" s="25" t="n">
        <v>42380</v>
      </c>
      <c r="B2414" s="22">
        <f>(1+B2413)*IF(AND(Painel_diario!$H2410="EU_JD",Painel_diario!$J2410=1),EXP(Painel_diario!$L2410),1)-1</f>
        <v/>
      </c>
      <c r="C2414" s="22">
        <f>(1+C2413)*IF(AND(Painel_diario!$H2410="EU_JU",Painel_diario!$J2410=1),EXP(Painel_diario!$L2410),1)-1</f>
        <v/>
      </c>
      <c r="D2414" s="22">
        <f>(1+D2413)*IF(AND(Painel_diario!$H2410="ED_JD",Painel_diario!$J2410=1),EXP(Painel_diario!$L2410),1)-1</f>
        <v/>
      </c>
      <c r="E2414" s="22">
        <f>(1+E2413)*IF(AND(Painel_diario!$H2410="ED_JU",Painel_diario!$J2410=1),EXP(Painel_diario!$L2410),1)-1</f>
        <v/>
      </c>
    </row>
    <row r="2415">
      <c r="A2415" s="25" t="n">
        <v>42381</v>
      </c>
      <c r="B2415" s="22">
        <f>(1+B2414)*IF(AND(Painel_diario!$H2411="EU_JD",Painel_diario!$J2411=1),EXP(Painel_diario!$L2411),1)-1</f>
        <v/>
      </c>
      <c r="C2415" s="22">
        <f>(1+C2414)*IF(AND(Painel_diario!$H2411="EU_JU",Painel_diario!$J2411=1),EXP(Painel_diario!$L2411),1)-1</f>
        <v/>
      </c>
      <c r="D2415" s="22">
        <f>(1+D2414)*IF(AND(Painel_diario!$H2411="ED_JD",Painel_diario!$J2411=1),EXP(Painel_diario!$L2411),1)-1</f>
        <v/>
      </c>
      <c r="E2415" s="22">
        <f>(1+E2414)*IF(AND(Painel_diario!$H2411="ED_JU",Painel_diario!$J2411=1),EXP(Painel_diario!$L2411),1)-1</f>
        <v/>
      </c>
    </row>
    <row r="2416">
      <c r="A2416" s="25" t="n">
        <v>42382</v>
      </c>
      <c r="B2416" s="22">
        <f>(1+B2415)*IF(AND(Painel_diario!$H2412="EU_JD",Painel_diario!$J2412=1),EXP(Painel_diario!$L2412),1)-1</f>
        <v/>
      </c>
      <c r="C2416" s="22">
        <f>(1+C2415)*IF(AND(Painel_diario!$H2412="EU_JU",Painel_diario!$J2412=1),EXP(Painel_diario!$L2412),1)-1</f>
        <v/>
      </c>
      <c r="D2416" s="22">
        <f>(1+D2415)*IF(AND(Painel_diario!$H2412="ED_JD",Painel_diario!$J2412=1),EXP(Painel_diario!$L2412),1)-1</f>
        <v/>
      </c>
      <c r="E2416" s="22">
        <f>(1+E2415)*IF(AND(Painel_diario!$H2412="ED_JU",Painel_diario!$J2412=1),EXP(Painel_diario!$L2412),1)-1</f>
        <v/>
      </c>
    </row>
    <row r="2417">
      <c r="A2417" s="25" t="n">
        <v>42383</v>
      </c>
      <c r="B2417" s="22">
        <f>(1+B2416)*IF(AND(Painel_diario!$H2413="EU_JD",Painel_diario!$J2413=1),EXP(Painel_diario!$L2413),1)-1</f>
        <v/>
      </c>
      <c r="C2417" s="22">
        <f>(1+C2416)*IF(AND(Painel_diario!$H2413="EU_JU",Painel_diario!$J2413=1),EXP(Painel_diario!$L2413),1)-1</f>
        <v/>
      </c>
      <c r="D2417" s="22">
        <f>(1+D2416)*IF(AND(Painel_diario!$H2413="ED_JD",Painel_diario!$J2413=1),EXP(Painel_diario!$L2413),1)-1</f>
        <v/>
      </c>
      <c r="E2417" s="22">
        <f>(1+E2416)*IF(AND(Painel_diario!$H2413="ED_JU",Painel_diario!$J2413=1),EXP(Painel_diario!$L2413),1)-1</f>
        <v/>
      </c>
    </row>
    <row r="2418">
      <c r="A2418" s="25" t="n">
        <v>42384</v>
      </c>
      <c r="B2418" s="22">
        <f>(1+B2417)*IF(AND(Painel_diario!$H2414="EU_JD",Painel_diario!$J2414=1),EXP(Painel_diario!$L2414),1)-1</f>
        <v/>
      </c>
      <c r="C2418" s="22">
        <f>(1+C2417)*IF(AND(Painel_diario!$H2414="EU_JU",Painel_diario!$J2414=1),EXP(Painel_diario!$L2414),1)-1</f>
        <v/>
      </c>
      <c r="D2418" s="22">
        <f>(1+D2417)*IF(AND(Painel_diario!$H2414="ED_JD",Painel_diario!$J2414=1),EXP(Painel_diario!$L2414),1)-1</f>
        <v/>
      </c>
      <c r="E2418" s="22">
        <f>(1+E2417)*IF(AND(Painel_diario!$H2414="ED_JU",Painel_diario!$J2414=1),EXP(Painel_diario!$L2414),1)-1</f>
        <v/>
      </c>
    </row>
    <row r="2419">
      <c r="A2419" s="25" t="n">
        <v>42387</v>
      </c>
      <c r="B2419" s="22">
        <f>(1+B2418)*IF(AND(Painel_diario!$H2415="EU_JD",Painel_diario!$J2415=1),EXP(Painel_diario!$L2415),1)-1</f>
        <v/>
      </c>
      <c r="C2419" s="22">
        <f>(1+C2418)*IF(AND(Painel_diario!$H2415="EU_JU",Painel_diario!$J2415=1),EXP(Painel_diario!$L2415),1)-1</f>
        <v/>
      </c>
      <c r="D2419" s="22">
        <f>(1+D2418)*IF(AND(Painel_diario!$H2415="ED_JD",Painel_diario!$J2415=1),EXP(Painel_diario!$L2415),1)-1</f>
        <v/>
      </c>
      <c r="E2419" s="22">
        <f>(1+E2418)*IF(AND(Painel_diario!$H2415="ED_JU",Painel_diario!$J2415=1),EXP(Painel_diario!$L2415),1)-1</f>
        <v/>
      </c>
    </row>
    <row r="2420">
      <c r="A2420" s="25" t="n">
        <v>42388</v>
      </c>
      <c r="B2420" s="22">
        <f>(1+B2419)*IF(AND(Painel_diario!$H2416="EU_JD",Painel_diario!$J2416=1),EXP(Painel_diario!$L2416),1)-1</f>
        <v/>
      </c>
      <c r="C2420" s="22">
        <f>(1+C2419)*IF(AND(Painel_diario!$H2416="EU_JU",Painel_diario!$J2416=1),EXP(Painel_diario!$L2416),1)-1</f>
        <v/>
      </c>
      <c r="D2420" s="22">
        <f>(1+D2419)*IF(AND(Painel_diario!$H2416="ED_JD",Painel_diario!$J2416=1),EXP(Painel_diario!$L2416),1)-1</f>
        <v/>
      </c>
      <c r="E2420" s="22">
        <f>(1+E2419)*IF(AND(Painel_diario!$H2416="ED_JU",Painel_diario!$J2416=1),EXP(Painel_diario!$L2416),1)-1</f>
        <v/>
      </c>
    </row>
    <row r="2421">
      <c r="A2421" s="25" t="n">
        <v>42389</v>
      </c>
      <c r="B2421" s="22">
        <f>(1+B2420)*IF(AND(Painel_diario!$H2417="EU_JD",Painel_diario!$J2417=1),EXP(Painel_diario!$L2417),1)-1</f>
        <v/>
      </c>
      <c r="C2421" s="22">
        <f>(1+C2420)*IF(AND(Painel_diario!$H2417="EU_JU",Painel_diario!$J2417=1),EXP(Painel_diario!$L2417),1)-1</f>
        <v/>
      </c>
      <c r="D2421" s="22">
        <f>(1+D2420)*IF(AND(Painel_diario!$H2417="ED_JD",Painel_diario!$J2417=1),EXP(Painel_diario!$L2417),1)-1</f>
        <v/>
      </c>
      <c r="E2421" s="22">
        <f>(1+E2420)*IF(AND(Painel_diario!$H2417="ED_JU",Painel_diario!$J2417=1),EXP(Painel_diario!$L2417),1)-1</f>
        <v/>
      </c>
    </row>
    <row r="2422">
      <c r="A2422" s="25" t="n">
        <v>42390</v>
      </c>
      <c r="B2422" s="22">
        <f>(1+B2421)*IF(AND(Painel_diario!$H2418="EU_JD",Painel_diario!$J2418=1),EXP(Painel_diario!$L2418),1)-1</f>
        <v/>
      </c>
      <c r="C2422" s="22">
        <f>(1+C2421)*IF(AND(Painel_diario!$H2418="EU_JU",Painel_diario!$J2418=1),EXP(Painel_diario!$L2418),1)-1</f>
        <v/>
      </c>
      <c r="D2422" s="22">
        <f>(1+D2421)*IF(AND(Painel_diario!$H2418="ED_JD",Painel_diario!$J2418=1),EXP(Painel_diario!$L2418),1)-1</f>
        <v/>
      </c>
      <c r="E2422" s="22">
        <f>(1+E2421)*IF(AND(Painel_diario!$H2418="ED_JU",Painel_diario!$J2418=1),EXP(Painel_diario!$L2418),1)-1</f>
        <v/>
      </c>
    </row>
    <row r="2423">
      <c r="A2423" s="25" t="n">
        <v>42391</v>
      </c>
      <c r="B2423" s="22">
        <f>(1+B2422)*IF(AND(Painel_diario!$H2419="EU_JD",Painel_diario!$J2419=1),EXP(Painel_diario!$L2419),1)-1</f>
        <v/>
      </c>
      <c r="C2423" s="22">
        <f>(1+C2422)*IF(AND(Painel_diario!$H2419="EU_JU",Painel_diario!$J2419=1),EXP(Painel_diario!$L2419),1)-1</f>
        <v/>
      </c>
      <c r="D2423" s="22">
        <f>(1+D2422)*IF(AND(Painel_diario!$H2419="ED_JD",Painel_diario!$J2419=1),EXP(Painel_diario!$L2419),1)-1</f>
        <v/>
      </c>
      <c r="E2423" s="22">
        <f>(1+E2422)*IF(AND(Painel_diario!$H2419="ED_JU",Painel_diario!$J2419=1),EXP(Painel_diario!$L2419),1)-1</f>
        <v/>
      </c>
    </row>
    <row r="2424">
      <c r="A2424" s="25" t="n">
        <v>42395</v>
      </c>
      <c r="B2424" s="22">
        <f>(1+B2423)*IF(AND(Painel_diario!$H2420="EU_JD",Painel_diario!$J2420=1),EXP(Painel_diario!$L2420),1)-1</f>
        <v/>
      </c>
      <c r="C2424" s="22">
        <f>(1+C2423)*IF(AND(Painel_diario!$H2420="EU_JU",Painel_diario!$J2420=1),EXP(Painel_diario!$L2420),1)-1</f>
        <v/>
      </c>
      <c r="D2424" s="22">
        <f>(1+D2423)*IF(AND(Painel_diario!$H2420="ED_JD",Painel_diario!$J2420=1),EXP(Painel_diario!$L2420),1)-1</f>
        <v/>
      </c>
      <c r="E2424" s="22">
        <f>(1+E2423)*IF(AND(Painel_diario!$H2420="ED_JU",Painel_diario!$J2420=1),EXP(Painel_diario!$L2420),1)-1</f>
        <v/>
      </c>
    </row>
    <row r="2425">
      <c r="A2425" s="25" t="n">
        <v>42396</v>
      </c>
      <c r="B2425" s="22">
        <f>(1+B2424)*IF(AND(Painel_diario!$H2421="EU_JD",Painel_diario!$J2421=1),EXP(Painel_diario!$L2421),1)-1</f>
        <v/>
      </c>
      <c r="C2425" s="22">
        <f>(1+C2424)*IF(AND(Painel_diario!$H2421="EU_JU",Painel_diario!$J2421=1),EXP(Painel_diario!$L2421),1)-1</f>
        <v/>
      </c>
      <c r="D2425" s="22">
        <f>(1+D2424)*IF(AND(Painel_diario!$H2421="ED_JD",Painel_diario!$J2421=1),EXP(Painel_diario!$L2421),1)-1</f>
        <v/>
      </c>
      <c r="E2425" s="22">
        <f>(1+E2424)*IF(AND(Painel_diario!$H2421="ED_JU",Painel_diario!$J2421=1),EXP(Painel_diario!$L2421),1)-1</f>
        <v/>
      </c>
    </row>
    <row r="2426">
      <c r="A2426" s="25" t="n">
        <v>42397</v>
      </c>
      <c r="B2426" s="22">
        <f>(1+B2425)*IF(AND(Painel_diario!$H2422="EU_JD",Painel_diario!$J2422=1),EXP(Painel_diario!$L2422),1)-1</f>
        <v/>
      </c>
      <c r="C2426" s="22">
        <f>(1+C2425)*IF(AND(Painel_diario!$H2422="EU_JU",Painel_diario!$J2422=1),EXP(Painel_diario!$L2422),1)-1</f>
        <v/>
      </c>
      <c r="D2426" s="22">
        <f>(1+D2425)*IF(AND(Painel_diario!$H2422="ED_JD",Painel_diario!$J2422=1),EXP(Painel_diario!$L2422),1)-1</f>
        <v/>
      </c>
      <c r="E2426" s="22">
        <f>(1+E2425)*IF(AND(Painel_diario!$H2422="ED_JU",Painel_diario!$J2422=1),EXP(Painel_diario!$L2422),1)-1</f>
        <v/>
      </c>
    </row>
    <row r="2427">
      <c r="A2427" s="25" t="n">
        <v>42398</v>
      </c>
      <c r="B2427" s="22">
        <f>(1+B2426)*IF(AND(Painel_diario!$H2423="EU_JD",Painel_diario!$J2423=1),EXP(Painel_diario!$L2423),1)-1</f>
        <v/>
      </c>
      <c r="C2427" s="22">
        <f>(1+C2426)*IF(AND(Painel_diario!$H2423="EU_JU",Painel_diario!$J2423=1),EXP(Painel_diario!$L2423),1)-1</f>
        <v/>
      </c>
      <c r="D2427" s="22">
        <f>(1+D2426)*IF(AND(Painel_diario!$H2423="ED_JD",Painel_diario!$J2423=1),EXP(Painel_diario!$L2423),1)-1</f>
        <v/>
      </c>
      <c r="E2427" s="22">
        <f>(1+E2426)*IF(AND(Painel_diario!$H2423="ED_JU",Painel_diario!$J2423=1),EXP(Painel_diario!$L2423),1)-1</f>
        <v/>
      </c>
    </row>
    <row r="2428">
      <c r="A2428" s="25" t="n">
        <v>42401</v>
      </c>
      <c r="B2428" s="22">
        <f>(1+B2427)*IF(AND(Painel_diario!$H2424="EU_JD",Painel_diario!$J2424=1),EXP(Painel_diario!$L2424),1)-1</f>
        <v/>
      </c>
      <c r="C2428" s="22">
        <f>(1+C2427)*IF(AND(Painel_diario!$H2424="EU_JU",Painel_diario!$J2424=1),EXP(Painel_diario!$L2424),1)-1</f>
        <v/>
      </c>
      <c r="D2428" s="22">
        <f>(1+D2427)*IF(AND(Painel_diario!$H2424="ED_JD",Painel_diario!$J2424=1),EXP(Painel_diario!$L2424),1)-1</f>
        <v/>
      </c>
      <c r="E2428" s="22">
        <f>(1+E2427)*IF(AND(Painel_diario!$H2424="ED_JU",Painel_diario!$J2424=1),EXP(Painel_diario!$L2424),1)-1</f>
        <v/>
      </c>
    </row>
    <row r="2429">
      <c r="A2429" s="25" t="n">
        <v>42402</v>
      </c>
      <c r="B2429" s="22">
        <f>(1+B2428)*IF(AND(Painel_diario!$H2425="EU_JD",Painel_diario!$J2425=1),EXP(Painel_diario!$L2425),1)-1</f>
        <v/>
      </c>
      <c r="C2429" s="22">
        <f>(1+C2428)*IF(AND(Painel_diario!$H2425="EU_JU",Painel_diario!$J2425=1),EXP(Painel_diario!$L2425),1)-1</f>
        <v/>
      </c>
      <c r="D2429" s="22">
        <f>(1+D2428)*IF(AND(Painel_diario!$H2425="ED_JD",Painel_diario!$J2425=1),EXP(Painel_diario!$L2425),1)-1</f>
        <v/>
      </c>
      <c r="E2429" s="22">
        <f>(1+E2428)*IF(AND(Painel_diario!$H2425="ED_JU",Painel_diario!$J2425=1),EXP(Painel_diario!$L2425),1)-1</f>
        <v/>
      </c>
    </row>
    <row r="2430">
      <c r="A2430" s="25" t="n">
        <v>42403</v>
      </c>
      <c r="B2430" s="22">
        <f>(1+B2429)*IF(AND(Painel_diario!$H2426="EU_JD",Painel_diario!$J2426=1),EXP(Painel_diario!$L2426),1)-1</f>
        <v/>
      </c>
      <c r="C2430" s="22">
        <f>(1+C2429)*IF(AND(Painel_diario!$H2426="EU_JU",Painel_diario!$J2426=1),EXP(Painel_diario!$L2426),1)-1</f>
        <v/>
      </c>
      <c r="D2430" s="22">
        <f>(1+D2429)*IF(AND(Painel_diario!$H2426="ED_JD",Painel_diario!$J2426=1),EXP(Painel_diario!$L2426),1)-1</f>
        <v/>
      </c>
      <c r="E2430" s="22">
        <f>(1+E2429)*IF(AND(Painel_diario!$H2426="ED_JU",Painel_diario!$J2426=1),EXP(Painel_diario!$L2426),1)-1</f>
        <v/>
      </c>
    </row>
    <row r="2431">
      <c r="A2431" s="25" t="n">
        <v>42404</v>
      </c>
      <c r="B2431" s="22">
        <f>(1+B2430)*IF(AND(Painel_diario!$H2427="EU_JD",Painel_diario!$J2427=1),EXP(Painel_diario!$L2427),1)-1</f>
        <v/>
      </c>
      <c r="C2431" s="22">
        <f>(1+C2430)*IF(AND(Painel_diario!$H2427="EU_JU",Painel_diario!$J2427=1),EXP(Painel_diario!$L2427),1)-1</f>
        <v/>
      </c>
      <c r="D2431" s="22">
        <f>(1+D2430)*IF(AND(Painel_diario!$H2427="ED_JD",Painel_diario!$J2427=1),EXP(Painel_diario!$L2427),1)-1</f>
        <v/>
      </c>
      <c r="E2431" s="22">
        <f>(1+E2430)*IF(AND(Painel_diario!$H2427="ED_JU",Painel_diario!$J2427=1),EXP(Painel_diario!$L2427),1)-1</f>
        <v/>
      </c>
    </row>
    <row r="2432">
      <c r="A2432" s="25" t="n">
        <v>42405</v>
      </c>
      <c r="B2432" s="22">
        <f>(1+B2431)*IF(AND(Painel_diario!$H2428="EU_JD",Painel_diario!$J2428=1),EXP(Painel_diario!$L2428),1)-1</f>
        <v/>
      </c>
      <c r="C2432" s="22">
        <f>(1+C2431)*IF(AND(Painel_diario!$H2428="EU_JU",Painel_diario!$J2428=1),EXP(Painel_diario!$L2428),1)-1</f>
        <v/>
      </c>
      <c r="D2432" s="22">
        <f>(1+D2431)*IF(AND(Painel_diario!$H2428="ED_JD",Painel_diario!$J2428=1),EXP(Painel_diario!$L2428),1)-1</f>
        <v/>
      </c>
      <c r="E2432" s="22">
        <f>(1+E2431)*IF(AND(Painel_diario!$H2428="ED_JU",Painel_diario!$J2428=1),EXP(Painel_diario!$L2428),1)-1</f>
        <v/>
      </c>
    </row>
    <row r="2433">
      <c r="A2433" s="25" t="n">
        <v>42410</v>
      </c>
      <c r="B2433" s="22">
        <f>(1+B2432)*IF(AND(Painel_diario!$H2429="EU_JD",Painel_diario!$J2429=1),EXP(Painel_diario!$L2429),1)-1</f>
        <v/>
      </c>
      <c r="C2433" s="22">
        <f>(1+C2432)*IF(AND(Painel_diario!$H2429="EU_JU",Painel_diario!$J2429=1),EXP(Painel_diario!$L2429),1)-1</f>
        <v/>
      </c>
      <c r="D2433" s="22">
        <f>(1+D2432)*IF(AND(Painel_diario!$H2429="ED_JD",Painel_diario!$J2429=1),EXP(Painel_diario!$L2429),1)-1</f>
        <v/>
      </c>
      <c r="E2433" s="22">
        <f>(1+E2432)*IF(AND(Painel_diario!$H2429="ED_JU",Painel_diario!$J2429=1),EXP(Painel_diario!$L2429),1)-1</f>
        <v/>
      </c>
    </row>
    <row r="2434">
      <c r="A2434" s="25" t="n">
        <v>42411</v>
      </c>
      <c r="B2434" s="22">
        <f>(1+B2433)*IF(AND(Painel_diario!$H2430="EU_JD",Painel_diario!$J2430=1),EXP(Painel_diario!$L2430),1)-1</f>
        <v/>
      </c>
      <c r="C2434" s="22">
        <f>(1+C2433)*IF(AND(Painel_diario!$H2430="EU_JU",Painel_diario!$J2430=1),EXP(Painel_diario!$L2430),1)-1</f>
        <v/>
      </c>
      <c r="D2434" s="22">
        <f>(1+D2433)*IF(AND(Painel_diario!$H2430="ED_JD",Painel_diario!$J2430=1),EXP(Painel_diario!$L2430),1)-1</f>
        <v/>
      </c>
      <c r="E2434" s="22">
        <f>(1+E2433)*IF(AND(Painel_diario!$H2430="ED_JU",Painel_diario!$J2430=1),EXP(Painel_diario!$L2430),1)-1</f>
        <v/>
      </c>
    </row>
    <row r="2435">
      <c r="A2435" s="25" t="n">
        <v>42412</v>
      </c>
      <c r="B2435" s="22">
        <f>(1+B2434)*IF(AND(Painel_diario!$H2431="EU_JD",Painel_diario!$J2431=1),EXP(Painel_diario!$L2431),1)-1</f>
        <v/>
      </c>
      <c r="C2435" s="22">
        <f>(1+C2434)*IF(AND(Painel_diario!$H2431="EU_JU",Painel_diario!$J2431=1),EXP(Painel_diario!$L2431),1)-1</f>
        <v/>
      </c>
      <c r="D2435" s="22">
        <f>(1+D2434)*IF(AND(Painel_diario!$H2431="ED_JD",Painel_diario!$J2431=1),EXP(Painel_diario!$L2431),1)-1</f>
        <v/>
      </c>
      <c r="E2435" s="22">
        <f>(1+E2434)*IF(AND(Painel_diario!$H2431="ED_JU",Painel_diario!$J2431=1),EXP(Painel_diario!$L2431),1)-1</f>
        <v/>
      </c>
    </row>
    <row r="2436">
      <c r="A2436" s="25" t="n">
        <v>42415</v>
      </c>
      <c r="B2436" s="22">
        <f>(1+B2435)*IF(AND(Painel_diario!$H2432="EU_JD",Painel_diario!$J2432=1),EXP(Painel_diario!$L2432),1)-1</f>
        <v/>
      </c>
      <c r="C2436" s="22">
        <f>(1+C2435)*IF(AND(Painel_diario!$H2432="EU_JU",Painel_diario!$J2432=1),EXP(Painel_diario!$L2432),1)-1</f>
        <v/>
      </c>
      <c r="D2436" s="22">
        <f>(1+D2435)*IF(AND(Painel_diario!$H2432="ED_JD",Painel_diario!$J2432=1),EXP(Painel_diario!$L2432),1)-1</f>
        <v/>
      </c>
      <c r="E2436" s="22">
        <f>(1+E2435)*IF(AND(Painel_diario!$H2432="ED_JU",Painel_diario!$J2432=1),EXP(Painel_diario!$L2432),1)-1</f>
        <v/>
      </c>
    </row>
    <row r="2437">
      <c r="A2437" s="25" t="n">
        <v>42416</v>
      </c>
      <c r="B2437" s="22">
        <f>(1+B2436)*IF(AND(Painel_diario!$H2433="EU_JD",Painel_diario!$J2433=1),EXP(Painel_diario!$L2433),1)-1</f>
        <v/>
      </c>
      <c r="C2437" s="22">
        <f>(1+C2436)*IF(AND(Painel_diario!$H2433="EU_JU",Painel_diario!$J2433=1),EXP(Painel_diario!$L2433),1)-1</f>
        <v/>
      </c>
      <c r="D2437" s="22">
        <f>(1+D2436)*IF(AND(Painel_diario!$H2433="ED_JD",Painel_diario!$J2433=1),EXP(Painel_diario!$L2433),1)-1</f>
        <v/>
      </c>
      <c r="E2437" s="22">
        <f>(1+E2436)*IF(AND(Painel_diario!$H2433="ED_JU",Painel_diario!$J2433=1),EXP(Painel_diario!$L2433),1)-1</f>
        <v/>
      </c>
    </row>
    <row r="2438">
      <c r="A2438" s="25" t="n">
        <v>42417</v>
      </c>
      <c r="B2438" s="22">
        <f>(1+B2437)*IF(AND(Painel_diario!$H2434="EU_JD",Painel_diario!$J2434=1),EXP(Painel_diario!$L2434),1)-1</f>
        <v/>
      </c>
      <c r="C2438" s="22">
        <f>(1+C2437)*IF(AND(Painel_diario!$H2434="EU_JU",Painel_diario!$J2434=1),EXP(Painel_diario!$L2434),1)-1</f>
        <v/>
      </c>
      <c r="D2438" s="22">
        <f>(1+D2437)*IF(AND(Painel_diario!$H2434="ED_JD",Painel_diario!$J2434=1),EXP(Painel_diario!$L2434),1)-1</f>
        <v/>
      </c>
      <c r="E2438" s="22">
        <f>(1+E2437)*IF(AND(Painel_diario!$H2434="ED_JU",Painel_diario!$J2434=1),EXP(Painel_diario!$L2434),1)-1</f>
        <v/>
      </c>
    </row>
    <row r="2439">
      <c r="A2439" s="25" t="n">
        <v>42418</v>
      </c>
      <c r="B2439" s="22">
        <f>(1+B2438)*IF(AND(Painel_diario!$H2435="EU_JD",Painel_diario!$J2435=1),EXP(Painel_diario!$L2435),1)-1</f>
        <v/>
      </c>
      <c r="C2439" s="22">
        <f>(1+C2438)*IF(AND(Painel_diario!$H2435="EU_JU",Painel_diario!$J2435=1),EXP(Painel_diario!$L2435),1)-1</f>
        <v/>
      </c>
      <c r="D2439" s="22">
        <f>(1+D2438)*IF(AND(Painel_diario!$H2435="ED_JD",Painel_diario!$J2435=1),EXP(Painel_diario!$L2435),1)-1</f>
        <v/>
      </c>
      <c r="E2439" s="22">
        <f>(1+E2438)*IF(AND(Painel_diario!$H2435="ED_JU",Painel_diario!$J2435=1),EXP(Painel_diario!$L2435),1)-1</f>
        <v/>
      </c>
    </row>
    <row r="2440">
      <c r="A2440" s="25" t="n">
        <v>42419</v>
      </c>
      <c r="B2440" s="22">
        <f>(1+B2439)*IF(AND(Painel_diario!$H2436="EU_JD",Painel_diario!$J2436=1),EXP(Painel_diario!$L2436),1)-1</f>
        <v/>
      </c>
      <c r="C2440" s="22">
        <f>(1+C2439)*IF(AND(Painel_diario!$H2436="EU_JU",Painel_diario!$J2436=1),EXP(Painel_diario!$L2436),1)-1</f>
        <v/>
      </c>
      <c r="D2440" s="22">
        <f>(1+D2439)*IF(AND(Painel_diario!$H2436="ED_JD",Painel_diario!$J2436=1),EXP(Painel_diario!$L2436),1)-1</f>
        <v/>
      </c>
      <c r="E2440" s="22">
        <f>(1+E2439)*IF(AND(Painel_diario!$H2436="ED_JU",Painel_diario!$J2436=1),EXP(Painel_diario!$L2436),1)-1</f>
        <v/>
      </c>
    </row>
    <row r="2441">
      <c r="A2441" s="25" t="n">
        <v>42422</v>
      </c>
      <c r="B2441" s="22">
        <f>(1+B2440)*IF(AND(Painel_diario!$H2437="EU_JD",Painel_diario!$J2437=1),EXP(Painel_diario!$L2437),1)-1</f>
        <v/>
      </c>
      <c r="C2441" s="22">
        <f>(1+C2440)*IF(AND(Painel_diario!$H2437="EU_JU",Painel_diario!$J2437=1),EXP(Painel_diario!$L2437),1)-1</f>
        <v/>
      </c>
      <c r="D2441" s="22">
        <f>(1+D2440)*IF(AND(Painel_diario!$H2437="ED_JD",Painel_diario!$J2437=1),EXP(Painel_diario!$L2437),1)-1</f>
        <v/>
      </c>
      <c r="E2441" s="22">
        <f>(1+E2440)*IF(AND(Painel_diario!$H2437="ED_JU",Painel_diario!$J2437=1),EXP(Painel_diario!$L2437),1)-1</f>
        <v/>
      </c>
    </row>
    <row r="2442">
      <c r="A2442" s="25" t="n">
        <v>42423</v>
      </c>
      <c r="B2442" s="22">
        <f>(1+B2441)*IF(AND(Painel_diario!$H2438="EU_JD",Painel_diario!$J2438=1),EXP(Painel_diario!$L2438),1)-1</f>
        <v/>
      </c>
      <c r="C2442" s="22">
        <f>(1+C2441)*IF(AND(Painel_diario!$H2438="EU_JU",Painel_diario!$J2438=1),EXP(Painel_diario!$L2438),1)-1</f>
        <v/>
      </c>
      <c r="D2442" s="22">
        <f>(1+D2441)*IF(AND(Painel_diario!$H2438="ED_JD",Painel_diario!$J2438=1),EXP(Painel_diario!$L2438),1)-1</f>
        <v/>
      </c>
      <c r="E2442" s="22">
        <f>(1+E2441)*IF(AND(Painel_diario!$H2438="ED_JU",Painel_diario!$J2438=1),EXP(Painel_diario!$L2438),1)-1</f>
        <v/>
      </c>
    </row>
    <row r="2443">
      <c r="A2443" s="25" t="n">
        <v>42424</v>
      </c>
      <c r="B2443" s="22">
        <f>(1+B2442)*IF(AND(Painel_diario!$H2439="EU_JD",Painel_diario!$J2439=1),EXP(Painel_diario!$L2439),1)-1</f>
        <v/>
      </c>
      <c r="C2443" s="22">
        <f>(1+C2442)*IF(AND(Painel_diario!$H2439="EU_JU",Painel_diario!$J2439=1),EXP(Painel_diario!$L2439),1)-1</f>
        <v/>
      </c>
      <c r="D2443" s="22">
        <f>(1+D2442)*IF(AND(Painel_diario!$H2439="ED_JD",Painel_diario!$J2439=1),EXP(Painel_diario!$L2439),1)-1</f>
        <v/>
      </c>
      <c r="E2443" s="22">
        <f>(1+E2442)*IF(AND(Painel_diario!$H2439="ED_JU",Painel_diario!$J2439=1),EXP(Painel_diario!$L2439),1)-1</f>
        <v/>
      </c>
    </row>
    <row r="2444">
      <c r="A2444" s="25" t="n">
        <v>42425</v>
      </c>
      <c r="B2444" s="22">
        <f>(1+B2443)*IF(AND(Painel_diario!$H2440="EU_JD",Painel_diario!$J2440=1),EXP(Painel_diario!$L2440),1)-1</f>
        <v/>
      </c>
      <c r="C2444" s="22">
        <f>(1+C2443)*IF(AND(Painel_diario!$H2440="EU_JU",Painel_diario!$J2440=1),EXP(Painel_diario!$L2440),1)-1</f>
        <v/>
      </c>
      <c r="D2444" s="22">
        <f>(1+D2443)*IF(AND(Painel_diario!$H2440="ED_JD",Painel_diario!$J2440=1),EXP(Painel_diario!$L2440),1)-1</f>
        <v/>
      </c>
      <c r="E2444" s="22">
        <f>(1+E2443)*IF(AND(Painel_diario!$H2440="ED_JU",Painel_diario!$J2440=1),EXP(Painel_diario!$L2440),1)-1</f>
        <v/>
      </c>
    </row>
    <row r="2445">
      <c r="A2445" s="25" t="n">
        <v>42426</v>
      </c>
      <c r="B2445" s="22">
        <f>(1+B2444)*IF(AND(Painel_diario!$H2441="EU_JD",Painel_diario!$J2441=1),EXP(Painel_diario!$L2441),1)-1</f>
        <v/>
      </c>
      <c r="C2445" s="22">
        <f>(1+C2444)*IF(AND(Painel_diario!$H2441="EU_JU",Painel_diario!$J2441=1),EXP(Painel_diario!$L2441),1)-1</f>
        <v/>
      </c>
      <c r="D2445" s="22">
        <f>(1+D2444)*IF(AND(Painel_diario!$H2441="ED_JD",Painel_diario!$J2441=1),EXP(Painel_diario!$L2441),1)-1</f>
        <v/>
      </c>
      <c r="E2445" s="22">
        <f>(1+E2444)*IF(AND(Painel_diario!$H2441="ED_JU",Painel_diario!$J2441=1),EXP(Painel_diario!$L2441),1)-1</f>
        <v/>
      </c>
    </row>
    <row r="2446">
      <c r="A2446" s="25" t="n">
        <v>42429</v>
      </c>
      <c r="B2446" s="22">
        <f>(1+B2445)*IF(AND(Painel_diario!$H2442="EU_JD",Painel_diario!$J2442=1),EXP(Painel_diario!$L2442),1)-1</f>
        <v/>
      </c>
      <c r="C2446" s="22">
        <f>(1+C2445)*IF(AND(Painel_diario!$H2442="EU_JU",Painel_diario!$J2442=1),EXP(Painel_diario!$L2442),1)-1</f>
        <v/>
      </c>
      <c r="D2446" s="22">
        <f>(1+D2445)*IF(AND(Painel_diario!$H2442="ED_JD",Painel_diario!$J2442=1),EXP(Painel_diario!$L2442),1)-1</f>
        <v/>
      </c>
      <c r="E2446" s="22">
        <f>(1+E2445)*IF(AND(Painel_diario!$H2442="ED_JU",Painel_diario!$J2442=1),EXP(Painel_diario!$L2442),1)-1</f>
        <v/>
      </c>
    </row>
    <row r="2447">
      <c r="A2447" s="25" t="n">
        <v>42430</v>
      </c>
      <c r="B2447" s="22">
        <f>(1+B2446)*IF(AND(Painel_diario!$H2443="EU_JD",Painel_diario!$J2443=1),EXP(Painel_diario!$L2443),1)-1</f>
        <v/>
      </c>
      <c r="C2447" s="22">
        <f>(1+C2446)*IF(AND(Painel_diario!$H2443="EU_JU",Painel_diario!$J2443=1),EXP(Painel_diario!$L2443),1)-1</f>
        <v/>
      </c>
      <c r="D2447" s="22">
        <f>(1+D2446)*IF(AND(Painel_diario!$H2443="ED_JD",Painel_diario!$J2443=1),EXP(Painel_diario!$L2443),1)-1</f>
        <v/>
      </c>
      <c r="E2447" s="22">
        <f>(1+E2446)*IF(AND(Painel_diario!$H2443="ED_JU",Painel_diario!$J2443=1),EXP(Painel_diario!$L2443),1)-1</f>
        <v/>
      </c>
    </row>
    <row r="2448">
      <c r="A2448" s="25" t="n">
        <v>42431</v>
      </c>
      <c r="B2448" s="22">
        <f>(1+B2447)*IF(AND(Painel_diario!$H2444="EU_JD",Painel_diario!$J2444=1),EXP(Painel_diario!$L2444),1)-1</f>
        <v/>
      </c>
      <c r="C2448" s="22">
        <f>(1+C2447)*IF(AND(Painel_diario!$H2444="EU_JU",Painel_diario!$J2444=1),EXP(Painel_diario!$L2444),1)-1</f>
        <v/>
      </c>
      <c r="D2448" s="22">
        <f>(1+D2447)*IF(AND(Painel_diario!$H2444="ED_JD",Painel_diario!$J2444=1),EXP(Painel_diario!$L2444),1)-1</f>
        <v/>
      </c>
      <c r="E2448" s="22">
        <f>(1+E2447)*IF(AND(Painel_diario!$H2444="ED_JU",Painel_diario!$J2444=1),EXP(Painel_diario!$L2444),1)-1</f>
        <v/>
      </c>
    </row>
    <row r="2449">
      <c r="A2449" s="25" t="n">
        <v>42432</v>
      </c>
      <c r="B2449" s="22">
        <f>(1+B2448)*IF(AND(Painel_diario!$H2445="EU_JD",Painel_diario!$J2445=1),EXP(Painel_diario!$L2445),1)-1</f>
        <v/>
      </c>
      <c r="C2449" s="22">
        <f>(1+C2448)*IF(AND(Painel_diario!$H2445="EU_JU",Painel_diario!$J2445=1),EXP(Painel_diario!$L2445),1)-1</f>
        <v/>
      </c>
      <c r="D2449" s="22">
        <f>(1+D2448)*IF(AND(Painel_diario!$H2445="ED_JD",Painel_diario!$J2445=1),EXP(Painel_diario!$L2445),1)-1</f>
        <v/>
      </c>
      <c r="E2449" s="22">
        <f>(1+E2448)*IF(AND(Painel_diario!$H2445="ED_JU",Painel_diario!$J2445=1),EXP(Painel_diario!$L2445),1)-1</f>
        <v/>
      </c>
    </row>
    <row r="2450">
      <c r="A2450" s="25" t="n">
        <v>42433</v>
      </c>
      <c r="B2450" s="22">
        <f>(1+B2449)*IF(AND(Painel_diario!$H2446="EU_JD",Painel_diario!$J2446=1),EXP(Painel_diario!$L2446),1)-1</f>
        <v/>
      </c>
      <c r="C2450" s="22">
        <f>(1+C2449)*IF(AND(Painel_diario!$H2446="EU_JU",Painel_diario!$J2446=1),EXP(Painel_diario!$L2446),1)-1</f>
        <v/>
      </c>
      <c r="D2450" s="22">
        <f>(1+D2449)*IF(AND(Painel_diario!$H2446="ED_JD",Painel_diario!$J2446=1),EXP(Painel_diario!$L2446),1)-1</f>
        <v/>
      </c>
      <c r="E2450" s="22">
        <f>(1+E2449)*IF(AND(Painel_diario!$H2446="ED_JU",Painel_diario!$J2446=1),EXP(Painel_diario!$L2446),1)-1</f>
        <v/>
      </c>
    </row>
    <row r="2451">
      <c r="A2451" s="25" t="n">
        <v>42437</v>
      </c>
      <c r="B2451" s="22">
        <f>(1+B2450)*IF(AND(Painel_diario!$H2447="EU_JD",Painel_diario!$J2447=1),EXP(Painel_diario!$L2447),1)-1</f>
        <v/>
      </c>
      <c r="C2451" s="22">
        <f>(1+C2450)*IF(AND(Painel_diario!$H2447="EU_JU",Painel_diario!$J2447=1),EXP(Painel_diario!$L2447),1)-1</f>
        <v/>
      </c>
      <c r="D2451" s="22">
        <f>(1+D2450)*IF(AND(Painel_diario!$H2447="ED_JD",Painel_diario!$J2447=1),EXP(Painel_diario!$L2447),1)-1</f>
        <v/>
      </c>
      <c r="E2451" s="22">
        <f>(1+E2450)*IF(AND(Painel_diario!$H2447="ED_JU",Painel_diario!$J2447=1),EXP(Painel_diario!$L2447),1)-1</f>
        <v/>
      </c>
    </row>
    <row r="2452">
      <c r="A2452" s="25" t="n">
        <v>42438</v>
      </c>
      <c r="B2452" s="22">
        <f>(1+B2451)*IF(AND(Painel_diario!$H2448="EU_JD",Painel_diario!$J2448=1),EXP(Painel_diario!$L2448),1)-1</f>
        <v/>
      </c>
      <c r="C2452" s="22">
        <f>(1+C2451)*IF(AND(Painel_diario!$H2448="EU_JU",Painel_diario!$J2448=1),EXP(Painel_diario!$L2448),1)-1</f>
        <v/>
      </c>
      <c r="D2452" s="22">
        <f>(1+D2451)*IF(AND(Painel_diario!$H2448="ED_JD",Painel_diario!$J2448=1),EXP(Painel_diario!$L2448),1)-1</f>
        <v/>
      </c>
      <c r="E2452" s="22">
        <f>(1+E2451)*IF(AND(Painel_diario!$H2448="ED_JU",Painel_diario!$J2448=1),EXP(Painel_diario!$L2448),1)-1</f>
        <v/>
      </c>
    </row>
    <row r="2453">
      <c r="A2453" s="25" t="n">
        <v>42439</v>
      </c>
      <c r="B2453" s="22">
        <f>(1+B2452)*IF(AND(Painel_diario!$H2449="EU_JD",Painel_diario!$J2449=1),EXP(Painel_diario!$L2449),1)-1</f>
        <v/>
      </c>
      <c r="C2453" s="22">
        <f>(1+C2452)*IF(AND(Painel_diario!$H2449="EU_JU",Painel_diario!$J2449=1),EXP(Painel_diario!$L2449),1)-1</f>
        <v/>
      </c>
      <c r="D2453" s="22">
        <f>(1+D2452)*IF(AND(Painel_diario!$H2449="ED_JD",Painel_diario!$J2449=1),EXP(Painel_diario!$L2449),1)-1</f>
        <v/>
      </c>
      <c r="E2453" s="22">
        <f>(1+E2452)*IF(AND(Painel_diario!$H2449="ED_JU",Painel_diario!$J2449=1),EXP(Painel_diario!$L2449),1)-1</f>
        <v/>
      </c>
    </row>
    <row r="2454">
      <c r="A2454" s="25" t="n">
        <v>42440</v>
      </c>
      <c r="B2454" s="22">
        <f>(1+B2453)*IF(AND(Painel_diario!$H2450="EU_JD",Painel_diario!$J2450=1),EXP(Painel_diario!$L2450),1)-1</f>
        <v/>
      </c>
      <c r="C2454" s="22">
        <f>(1+C2453)*IF(AND(Painel_diario!$H2450="EU_JU",Painel_diario!$J2450=1),EXP(Painel_diario!$L2450),1)-1</f>
        <v/>
      </c>
      <c r="D2454" s="22">
        <f>(1+D2453)*IF(AND(Painel_diario!$H2450="ED_JD",Painel_diario!$J2450=1),EXP(Painel_diario!$L2450),1)-1</f>
        <v/>
      </c>
      <c r="E2454" s="22">
        <f>(1+E2453)*IF(AND(Painel_diario!$H2450="ED_JU",Painel_diario!$J2450=1),EXP(Painel_diario!$L2450),1)-1</f>
        <v/>
      </c>
    </row>
    <row r="2455">
      <c r="A2455" s="25" t="n">
        <v>42443</v>
      </c>
      <c r="B2455" s="22">
        <f>(1+B2454)*IF(AND(Painel_diario!$H2451="EU_JD",Painel_diario!$J2451=1),EXP(Painel_diario!$L2451),1)-1</f>
        <v/>
      </c>
      <c r="C2455" s="22">
        <f>(1+C2454)*IF(AND(Painel_diario!$H2451="EU_JU",Painel_diario!$J2451=1),EXP(Painel_diario!$L2451),1)-1</f>
        <v/>
      </c>
      <c r="D2455" s="22">
        <f>(1+D2454)*IF(AND(Painel_diario!$H2451="ED_JD",Painel_diario!$J2451=1),EXP(Painel_diario!$L2451),1)-1</f>
        <v/>
      </c>
      <c r="E2455" s="22">
        <f>(1+E2454)*IF(AND(Painel_diario!$H2451="ED_JU",Painel_diario!$J2451=1),EXP(Painel_diario!$L2451),1)-1</f>
        <v/>
      </c>
    </row>
    <row r="2456">
      <c r="A2456" s="25" t="n">
        <v>42444</v>
      </c>
      <c r="B2456" s="22">
        <f>(1+B2455)*IF(AND(Painel_diario!$H2452="EU_JD",Painel_diario!$J2452=1),EXP(Painel_diario!$L2452),1)-1</f>
        <v/>
      </c>
      <c r="C2456" s="22">
        <f>(1+C2455)*IF(AND(Painel_diario!$H2452="EU_JU",Painel_diario!$J2452=1),EXP(Painel_diario!$L2452),1)-1</f>
        <v/>
      </c>
      <c r="D2456" s="22">
        <f>(1+D2455)*IF(AND(Painel_diario!$H2452="ED_JD",Painel_diario!$J2452=1),EXP(Painel_diario!$L2452),1)-1</f>
        <v/>
      </c>
      <c r="E2456" s="22">
        <f>(1+E2455)*IF(AND(Painel_diario!$H2452="ED_JU",Painel_diario!$J2452=1),EXP(Painel_diario!$L2452),1)-1</f>
        <v/>
      </c>
    </row>
    <row r="2457">
      <c r="A2457" s="25" t="n">
        <v>42445</v>
      </c>
      <c r="B2457" s="22">
        <f>(1+B2456)*IF(AND(Painel_diario!$H2453="EU_JD",Painel_diario!$J2453=1),EXP(Painel_diario!$L2453),1)-1</f>
        <v/>
      </c>
      <c r="C2457" s="22">
        <f>(1+C2456)*IF(AND(Painel_diario!$H2453="EU_JU",Painel_diario!$J2453=1),EXP(Painel_diario!$L2453),1)-1</f>
        <v/>
      </c>
      <c r="D2457" s="22">
        <f>(1+D2456)*IF(AND(Painel_diario!$H2453="ED_JD",Painel_diario!$J2453=1),EXP(Painel_diario!$L2453),1)-1</f>
        <v/>
      </c>
      <c r="E2457" s="22">
        <f>(1+E2456)*IF(AND(Painel_diario!$H2453="ED_JU",Painel_diario!$J2453=1),EXP(Painel_diario!$L2453),1)-1</f>
        <v/>
      </c>
    </row>
    <row r="2458">
      <c r="A2458" s="25" t="n">
        <v>42446</v>
      </c>
      <c r="B2458" s="22">
        <f>(1+B2457)*IF(AND(Painel_diario!$H2454="EU_JD",Painel_diario!$J2454=1),EXP(Painel_diario!$L2454),1)-1</f>
        <v/>
      </c>
      <c r="C2458" s="22">
        <f>(1+C2457)*IF(AND(Painel_diario!$H2454="EU_JU",Painel_diario!$J2454=1),EXP(Painel_diario!$L2454),1)-1</f>
        <v/>
      </c>
      <c r="D2458" s="22">
        <f>(1+D2457)*IF(AND(Painel_diario!$H2454="ED_JD",Painel_diario!$J2454=1),EXP(Painel_diario!$L2454),1)-1</f>
        <v/>
      </c>
      <c r="E2458" s="22">
        <f>(1+E2457)*IF(AND(Painel_diario!$H2454="ED_JU",Painel_diario!$J2454=1),EXP(Painel_diario!$L2454),1)-1</f>
        <v/>
      </c>
    </row>
    <row r="2459">
      <c r="A2459" s="25" t="n">
        <v>42447</v>
      </c>
      <c r="B2459" s="22">
        <f>(1+B2458)*IF(AND(Painel_diario!$H2455="EU_JD",Painel_diario!$J2455=1),EXP(Painel_diario!$L2455),1)-1</f>
        <v/>
      </c>
      <c r="C2459" s="22">
        <f>(1+C2458)*IF(AND(Painel_diario!$H2455="EU_JU",Painel_diario!$J2455=1),EXP(Painel_diario!$L2455),1)-1</f>
        <v/>
      </c>
      <c r="D2459" s="22">
        <f>(1+D2458)*IF(AND(Painel_diario!$H2455="ED_JD",Painel_diario!$J2455=1),EXP(Painel_diario!$L2455),1)-1</f>
        <v/>
      </c>
      <c r="E2459" s="22">
        <f>(1+E2458)*IF(AND(Painel_diario!$H2455="ED_JU",Painel_diario!$J2455=1),EXP(Painel_diario!$L2455),1)-1</f>
        <v/>
      </c>
    </row>
    <row r="2460">
      <c r="A2460" s="25" t="n">
        <v>42450</v>
      </c>
      <c r="B2460" s="22">
        <f>(1+B2459)*IF(AND(Painel_diario!$H2456="EU_JD",Painel_diario!$J2456=1),EXP(Painel_diario!$L2456),1)-1</f>
        <v/>
      </c>
      <c r="C2460" s="22">
        <f>(1+C2459)*IF(AND(Painel_diario!$H2456="EU_JU",Painel_diario!$J2456=1),EXP(Painel_diario!$L2456),1)-1</f>
        <v/>
      </c>
      <c r="D2460" s="22">
        <f>(1+D2459)*IF(AND(Painel_diario!$H2456="ED_JD",Painel_diario!$J2456=1),EXP(Painel_diario!$L2456),1)-1</f>
        <v/>
      </c>
      <c r="E2460" s="22">
        <f>(1+E2459)*IF(AND(Painel_diario!$H2456="ED_JU",Painel_diario!$J2456=1),EXP(Painel_diario!$L2456),1)-1</f>
        <v/>
      </c>
    </row>
    <row r="2461">
      <c r="A2461" s="25" t="n">
        <v>42451</v>
      </c>
      <c r="B2461" s="22">
        <f>(1+B2460)*IF(AND(Painel_diario!$H2457="EU_JD",Painel_diario!$J2457=1),EXP(Painel_diario!$L2457),1)-1</f>
        <v/>
      </c>
      <c r="C2461" s="22">
        <f>(1+C2460)*IF(AND(Painel_diario!$H2457="EU_JU",Painel_diario!$J2457=1),EXP(Painel_diario!$L2457),1)-1</f>
        <v/>
      </c>
      <c r="D2461" s="22">
        <f>(1+D2460)*IF(AND(Painel_diario!$H2457="ED_JD",Painel_diario!$J2457=1),EXP(Painel_diario!$L2457),1)-1</f>
        <v/>
      </c>
      <c r="E2461" s="22">
        <f>(1+E2460)*IF(AND(Painel_diario!$H2457="ED_JU",Painel_diario!$J2457=1),EXP(Painel_diario!$L2457),1)-1</f>
        <v/>
      </c>
    </row>
    <row r="2462">
      <c r="A2462" s="25" t="n">
        <v>42452</v>
      </c>
      <c r="B2462" s="22">
        <f>(1+B2461)*IF(AND(Painel_diario!$H2458="EU_JD",Painel_diario!$J2458=1),EXP(Painel_diario!$L2458),1)-1</f>
        <v/>
      </c>
      <c r="C2462" s="22">
        <f>(1+C2461)*IF(AND(Painel_diario!$H2458="EU_JU",Painel_diario!$J2458=1),EXP(Painel_diario!$L2458),1)-1</f>
        <v/>
      </c>
      <c r="D2462" s="22">
        <f>(1+D2461)*IF(AND(Painel_diario!$H2458="ED_JD",Painel_diario!$J2458=1),EXP(Painel_diario!$L2458),1)-1</f>
        <v/>
      </c>
      <c r="E2462" s="22">
        <f>(1+E2461)*IF(AND(Painel_diario!$H2458="ED_JU",Painel_diario!$J2458=1),EXP(Painel_diario!$L2458),1)-1</f>
        <v/>
      </c>
    </row>
    <row r="2463">
      <c r="A2463" s="25" t="n">
        <v>42453</v>
      </c>
      <c r="B2463" s="22">
        <f>(1+B2462)*IF(AND(Painel_diario!$H2459="EU_JD",Painel_diario!$J2459=1),EXP(Painel_diario!$L2459),1)-1</f>
        <v/>
      </c>
      <c r="C2463" s="22">
        <f>(1+C2462)*IF(AND(Painel_diario!$H2459="EU_JU",Painel_diario!$J2459=1),EXP(Painel_diario!$L2459),1)-1</f>
        <v/>
      </c>
      <c r="D2463" s="22">
        <f>(1+D2462)*IF(AND(Painel_diario!$H2459="ED_JD",Painel_diario!$J2459=1),EXP(Painel_diario!$L2459),1)-1</f>
        <v/>
      </c>
      <c r="E2463" s="22">
        <f>(1+E2462)*IF(AND(Painel_diario!$H2459="ED_JU",Painel_diario!$J2459=1),EXP(Painel_diario!$L2459),1)-1</f>
        <v/>
      </c>
    </row>
    <row r="2464">
      <c r="A2464" s="25" t="n">
        <v>42457</v>
      </c>
      <c r="B2464" s="22">
        <f>(1+B2463)*IF(AND(Painel_diario!$H2460="EU_JD",Painel_diario!$J2460=1),EXP(Painel_diario!$L2460),1)-1</f>
        <v/>
      </c>
      <c r="C2464" s="22">
        <f>(1+C2463)*IF(AND(Painel_diario!$H2460="EU_JU",Painel_diario!$J2460=1),EXP(Painel_diario!$L2460),1)-1</f>
        <v/>
      </c>
      <c r="D2464" s="22">
        <f>(1+D2463)*IF(AND(Painel_diario!$H2460="ED_JD",Painel_diario!$J2460=1),EXP(Painel_diario!$L2460),1)-1</f>
        <v/>
      </c>
      <c r="E2464" s="22">
        <f>(1+E2463)*IF(AND(Painel_diario!$H2460="ED_JU",Painel_diario!$J2460=1),EXP(Painel_diario!$L2460),1)-1</f>
        <v/>
      </c>
    </row>
    <row r="2465">
      <c r="A2465" s="25" t="n">
        <v>42458</v>
      </c>
      <c r="B2465" s="22">
        <f>(1+B2464)*IF(AND(Painel_diario!$H2461="EU_JD",Painel_diario!$J2461=1),EXP(Painel_diario!$L2461),1)-1</f>
        <v/>
      </c>
      <c r="C2465" s="22">
        <f>(1+C2464)*IF(AND(Painel_diario!$H2461="EU_JU",Painel_diario!$J2461=1),EXP(Painel_diario!$L2461),1)-1</f>
        <v/>
      </c>
      <c r="D2465" s="22">
        <f>(1+D2464)*IF(AND(Painel_diario!$H2461="ED_JD",Painel_diario!$J2461=1),EXP(Painel_diario!$L2461),1)-1</f>
        <v/>
      </c>
      <c r="E2465" s="22">
        <f>(1+E2464)*IF(AND(Painel_diario!$H2461="ED_JU",Painel_diario!$J2461=1),EXP(Painel_diario!$L2461),1)-1</f>
        <v/>
      </c>
    </row>
    <row r="2466">
      <c r="A2466" s="25" t="n">
        <v>42459</v>
      </c>
      <c r="B2466" s="22">
        <f>(1+B2465)*IF(AND(Painel_diario!$H2462="EU_JD",Painel_diario!$J2462=1),EXP(Painel_diario!$L2462),1)-1</f>
        <v/>
      </c>
      <c r="C2466" s="22">
        <f>(1+C2465)*IF(AND(Painel_diario!$H2462="EU_JU",Painel_diario!$J2462=1),EXP(Painel_diario!$L2462),1)-1</f>
        <v/>
      </c>
      <c r="D2466" s="22">
        <f>(1+D2465)*IF(AND(Painel_diario!$H2462="ED_JD",Painel_diario!$J2462=1),EXP(Painel_diario!$L2462),1)-1</f>
        <v/>
      </c>
      <c r="E2466" s="22">
        <f>(1+E2465)*IF(AND(Painel_diario!$H2462="ED_JU",Painel_diario!$J2462=1),EXP(Painel_diario!$L2462),1)-1</f>
        <v/>
      </c>
    </row>
    <row r="2467">
      <c r="A2467" s="25" t="n">
        <v>42460</v>
      </c>
      <c r="B2467" s="22">
        <f>(1+B2466)*IF(AND(Painel_diario!$H2463="EU_JD",Painel_diario!$J2463=1),EXP(Painel_diario!$L2463),1)-1</f>
        <v/>
      </c>
      <c r="C2467" s="22">
        <f>(1+C2466)*IF(AND(Painel_diario!$H2463="EU_JU",Painel_diario!$J2463=1),EXP(Painel_diario!$L2463),1)-1</f>
        <v/>
      </c>
      <c r="D2467" s="22">
        <f>(1+D2466)*IF(AND(Painel_diario!$H2463="ED_JD",Painel_diario!$J2463=1),EXP(Painel_diario!$L2463),1)-1</f>
        <v/>
      </c>
      <c r="E2467" s="22">
        <f>(1+E2466)*IF(AND(Painel_diario!$H2463="ED_JU",Painel_diario!$J2463=1),EXP(Painel_diario!$L2463),1)-1</f>
        <v/>
      </c>
    </row>
    <row r="2468">
      <c r="A2468" s="25" t="n">
        <v>42461</v>
      </c>
      <c r="B2468" s="22">
        <f>(1+B2467)*IF(AND(Painel_diario!$H2464="EU_JD",Painel_diario!$J2464=1),EXP(Painel_diario!$L2464),1)-1</f>
        <v/>
      </c>
      <c r="C2468" s="22">
        <f>(1+C2467)*IF(AND(Painel_diario!$H2464="EU_JU",Painel_diario!$J2464=1),EXP(Painel_diario!$L2464),1)-1</f>
        <v/>
      </c>
      <c r="D2468" s="22">
        <f>(1+D2467)*IF(AND(Painel_diario!$H2464="ED_JD",Painel_diario!$J2464=1),EXP(Painel_diario!$L2464),1)-1</f>
        <v/>
      </c>
      <c r="E2468" s="22">
        <f>(1+E2467)*IF(AND(Painel_diario!$H2464="ED_JU",Painel_diario!$J2464=1),EXP(Painel_diario!$L2464),1)-1</f>
        <v/>
      </c>
    </row>
    <row r="2469">
      <c r="A2469" s="25" t="n">
        <v>42464</v>
      </c>
      <c r="B2469" s="22">
        <f>(1+B2468)*IF(AND(Painel_diario!$H2465="EU_JD",Painel_diario!$J2465=1),EXP(Painel_diario!$L2465),1)-1</f>
        <v/>
      </c>
      <c r="C2469" s="22">
        <f>(1+C2468)*IF(AND(Painel_diario!$H2465="EU_JU",Painel_diario!$J2465=1),EXP(Painel_diario!$L2465),1)-1</f>
        <v/>
      </c>
      <c r="D2469" s="22">
        <f>(1+D2468)*IF(AND(Painel_diario!$H2465="ED_JD",Painel_diario!$J2465=1),EXP(Painel_diario!$L2465),1)-1</f>
        <v/>
      </c>
      <c r="E2469" s="22">
        <f>(1+E2468)*IF(AND(Painel_diario!$H2465="ED_JU",Painel_diario!$J2465=1),EXP(Painel_diario!$L2465),1)-1</f>
        <v/>
      </c>
    </row>
    <row r="2470">
      <c r="A2470" s="25" t="n">
        <v>42465</v>
      </c>
      <c r="B2470" s="22">
        <f>(1+B2469)*IF(AND(Painel_diario!$H2466="EU_JD",Painel_diario!$J2466=1),EXP(Painel_diario!$L2466),1)-1</f>
        <v/>
      </c>
      <c r="C2470" s="22">
        <f>(1+C2469)*IF(AND(Painel_diario!$H2466="EU_JU",Painel_diario!$J2466=1),EXP(Painel_diario!$L2466),1)-1</f>
        <v/>
      </c>
      <c r="D2470" s="22">
        <f>(1+D2469)*IF(AND(Painel_diario!$H2466="ED_JD",Painel_diario!$J2466=1),EXP(Painel_diario!$L2466),1)-1</f>
        <v/>
      </c>
      <c r="E2470" s="22">
        <f>(1+E2469)*IF(AND(Painel_diario!$H2466="ED_JU",Painel_diario!$J2466=1),EXP(Painel_diario!$L2466),1)-1</f>
        <v/>
      </c>
    </row>
    <row r="2471">
      <c r="A2471" s="25" t="n">
        <v>42466</v>
      </c>
      <c r="B2471" s="22">
        <f>(1+B2470)*IF(AND(Painel_diario!$H2467="EU_JD",Painel_diario!$J2467=1),EXP(Painel_diario!$L2467),1)-1</f>
        <v/>
      </c>
      <c r="C2471" s="22">
        <f>(1+C2470)*IF(AND(Painel_diario!$H2467="EU_JU",Painel_diario!$J2467=1),EXP(Painel_diario!$L2467),1)-1</f>
        <v/>
      </c>
      <c r="D2471" s="22">
        <f>(1+D2470)*IF(AND(Painel_diario!$H2467="ED_JD",Painel_diario!$J2467=1),EXP(Painel_diario!$L2467),1)-1</f>
        <v/>
      </c>
      <c r="E2471" s="22">
        <f>(1+E2470)*IF(AND(Painel_diario!$H2467="ED_JU",Painel_diario!$J2467=1),EXP(Painel_diario!$L2467),1)-1</f>
        <v/>
      </c>
    </row>
    <row r="2472">
      <c r="A2472" s="25" t="n">
        <v>42467</v>
      </c>
      <c r="B2472" s="22">
        <f>(1+B2471)*IF(AND(Painel_diario!$H2468="EU_JD",Painel_diario!$J2468=1),EXP(Painel_diario!$L2468),1)-1</f>
        <v/>
      </c>
      <c r="C2472" s="22">
        <f>(1+C2471)*IF(AND(Painel_diario!$H2468="EU_JU",Painel_diario!$J2468=1),EXP(Painel_diario!$L2468),1)-1</f>
        <v/>
      </c>
      <c r="D2472" s="22">
        <f>(1+D2471)*IF(AND(Painel_diario!$H2468="ED_JD",Painel_diario!$J2468=1),EXP(Painel_diario!$L2468),1)-1</f>
        <v/>
      </c>
      <c r="E2472" s="22">
        <f>(1+E2471)*IF(AND(Painel_diario!$H2468="ED_JU",Painel_diario!$J2468=1),EXP(Painel_diario!$L2468),1)-1</f>
        <v/>
      </c>
    </row>
    <row r="2473">
      <c r="A2473" s="25" t="n">
        <v>42468</v>
      </c>
      <c r="B2473" s="22">
        <f>(1+B2472)*IF(AND(Painel_diario!$H2469="EU_JD",Painel_diario!$J2469=1),EXP(Painel_diario!$L2469),1)-1</f>
        <v/>
      </c>
      <c r="C2473" s="22">
        <f>(1+C2472)*IF(AND(Painel_diario!$H2469="EU_JU",Painel_diario!$J2469=1),EXP(Painel_diario!$L2469),1)-1</f>
        <v/>
      </c>
      <c r="D2473" s="22">
        <f>(1+D2472)*IF(AND(Painel_diario!$H2469="ED_JD",Painel_diario!$J2469=1),EXP(Painel_diario!$L2469),1)-1</f>
        <v/>
      </c>
      <c r="E2473" s="22">
        <f>(1+E2472)*IF(AND(Painel_diario!$H2469="ED_JU",Painel_diario!$J2469=1),EXP(Painel_diario!$L2469),1)-1</f>
        <v/>
      </c>
    </row>
    <row r="2474">
      <c r="A2474" s="25" t="n">
        <v>42471</v>
      </c>
      <c r="B2474" s="22">
        <f>(1+B2473)*IF(AND(Painel_diario!$H2470="EU_JD",Painel_diario!$J2470=1),EXP(Painel_diario!$L2470),1)-1</f>
        <v/>
      </c>
      <c r="C2474" s="22">
        <f>(1+C2473)*IF(AND(Painel_diario!$H2470="EU_JU",Painel_diario!$J2470=1),EXP(Painel_diario!$L2470),1)-1</f>
        <v/>
      </c>
      <c r="D2474" s="22">
        <f>(1+D2473)*IF(AND(Painel_diario!$H2470="ED_JD",Painel_diario!$J2470=1),EXP(Painel_diario!$L2470),1)-1</f>
        <v/>
      </c>
      <c r="E2474" s="22">
        <f>(1+E2473)*IF(AND(Painel_diario!$H2470="ED_JU",Painel_diario!$J2470=1),EXP(Painel_diario!$L2470),1)-1</f>
        <v/>
      </c>
    </row>
    <row r="2475">
      <c r="A2475" s="25" t="n">
        <v>42472</v>
      </c>
      <c r="B2475" s="22">
        <f>(1+B2474)*IF(AND(Painel_diario!$H2471="EU_JD",Painel_diario!$J2471=1),EXP(Painel_diario!$L2471),1)-1</f>
        <v/>
      </c>
      <c r="C2475" s="22">
        <f>(1+C2474)*IF(AND(Painel_diario!$H2471="EU_JU",Painel_diario!$J2471=1),EXP(Painel_diario!$L2471),1)-1</f>
        <v/>
      </c>
      <c r="D2475" s="22">
        <f>(1+D2474)*IF(AND(Painel_diario!$H2471="ED_JD",Painel_diario!$J2471=1),EXP(Painel_diario!$L2471),1)-1</f>
        <v/>
      </c>
      <c r="E2475" s="22">
        <f>(1+E2474)*IF(AND(Painel_diario!$H2471="ED_JU",Painel_diario!$J2471=1),EXP(Painel_diario!$L2471),1)-1</f>
        <v/>
      </c>
    </row>
    <row r="2476">
      <c r="A2476" s="25" t="n">
        <v>42473</v>
      </c>
      <c r="B2476" s="22">
        <f>(1+B2475)*IF(AND(Painel_diario!$H2472="EU_JD",Painel_diario!$J2472=1),EXP(Painel_diario!$L2472),1)-1</f>
        <v/>
      </c>
      <c r="C2476" s="22">
        <f>(1+C2475)*IF(AND(Painel_diario!$H2472="EU_JU",Painel_diario!$J2472=1),EXP(Painel_diario!$L2472),1)-1</f>
        <v/>
      </c>
      <c r="D2476" s="22">
        <f>(1+D2475)*IF(AND(Painel_diario!$H2472="ED_JD",Painel_diario!$J2472=1),EXP(Painel_diario!$L2472),1)-1</f>
        <v/>
      </c>
      <c r="E2476" s="22">
        <f>(1+E2475)*IF(AND(Painel_diario!$H2472="ED_JU",Painel_diario!$J2472=1),EXP(Painel_diario!$L2472),1)-1</f>
        <v/>
      </c>
    </row>
    <row r="2477">
      <c r="A2477" s="25" t="n">
        <v>42474</v>
      </c>
      <c r="B2477" s="22">
        <f>(1+B2476)*IF(AND(Painel_diario!$H2473="EU_JD",Painel_diario!$J2473=1),EXP(Painel_diario!$L2473),1)-1</f>
        <v/>
      </c>
      <c r="C2477" s="22">
        <f>(1+C2476)*IF(AND(Painel_diario!$H2473="EU_JU",Painel_diario!$J2473=1),EXP(Painel_diario!$L2473),1)-1</f>
        <v/>
      </c>
      <c r="D2477" s="22">
        <f>(1+D2476)*IF(AND(Painel_diario!$H2473="ED_JD",Painel_diario!$J2473=1),EXP(Painel_diario!$L2473),1)-1</f>
        <v/>
      </c>
      <c r="E2477" s="22">
        <f>(1+E2476)*IF(AND(Painel_diario!$H2473="ED_JU",Painel_diario!$J2473=1),EXP(Painel_diario!$L2473),1)-1</f>
        <v/>
      </c>
    </row>
    <row r="2478">
      <c r="A2478" s="25" t="n">
        <v>42475</v>
      </c>
      <c r="B2478" s="22">
        <f>(1+B2477)*IF(AND(Painel_diario!$H2474="EU_JD",Painel_diario!$J2474=1),EXP(Painel_diario!$L2474),1)-1</f>
        <v/>
      </c>
      <c r="C2478" s="22">
        <f>(1+C2477)*IF(AND(Painel_diario!$H2474="EU_JU",Painel_diario!$J2474=1),EXP(Painel_diario!$L2474),1)-1</f>
        <v/>
      </c>
      <c r="D2478" s="22">
        <f>(1+D2477)*IF(AND(Painel_diario!$H2474="ED_JD",Painel_diario!$J2474=1),EXP(Painel_diario!$L2474),1)-1</f>
        <v/>
      </c>
      <c r="E2478" s="22">
        <f>(1+E2477)*IF(AND(Painel_diario!$H2474="ED_JU",Painel_diario!$J2474=1),EXP(Painel_diario!$L2474),1)-1</f>
        <v/>
      </c>
    </row>
    <row r="2479">
      <c r="A2479" s="25" t="n">
        <v>42478</v>
      </c>
      <c r="B2479" s="22">
        <f>(1+B2478)*IF(AND(Painel_diario!$H2475="EU_JD",Painel_diario!$J2475=1),EXP(Painel_diario!$L2475),1)-1</f>
        <v/>
      </c>
      <c r="C2479" s="22">
        <f>(1+C2478)*IF(AND(Painel_diario!$H2475="EU_JU",Painel_diario!$J2475=1),EXP(Painel_diario!$L2475),1)-1</f>
        <v/>
      </c>
      <c r="D2479" s="22">
        <f>(1+D2478)*IF(AND(Painel_diario!$H2475="ED_JD",Painel_diario!$J2475=1),EXP(Painel_diario!$L2475),1)-1</f>
        <v/>
      </c>
      <c r="E2479" s="22">
        <f>(1+E2478)*IF(AND(Painel_diario!$H2475="ED_JU",Painel_diario!$J2475=1),EXP(Painel_diario!$L2475),1)-1</f>
        <v/>
      </c>
    </row>
    <row r="2480">
      <c r="A2480" s="25" t="n">
        <v>42479</v>
      </c>
      <c r="B2480" s="22">
        <f>(1+B2479)*IF(AND(Painel_diario!$H2476="EU_JD",Painel_diario!$J2476=1),EXP(Painel_diario!$L2476),1)-1</f>
        <v/>
      </c>
      <c r="C2480" s="22">
        <f>(1+C2479)*IF(AND(Painel_diario!$H2476="EU_JU",Painel_diario!$J2476=1),EXP(Painel_diario!$L2476),1)-1</f>
        <v/>
      </c>
      <c r="D2480" s="22">
        <f>(1+D2479)*IF(AND(Painel_diario!$H2476="ED_JD",Painel_diario!$J2476=1),EXP(Painel_diario!$L2476),1)-1</f>
        <v/>
      </c>
      <c r="E2480" s="22">
        <f>(1+E2479)*IF(AND(Painel_diario!$H2476="ED_JU",Painel_diario!$J2476=1),EXP(Painel_diario!$L2476),1)-1</f>
        <v/>
      </c>
    </row>
    <row r="2481">
      <c r="A2481" s="25" t="n">
        <v>42480</v>
      </c>
      <c r="B2481" s="22">
        <f>(1+B2480)*IF(AND(Painel_diario!$H2477="EU_JD",Painel_diario!$J2477=1),EXP(Painel_diario!$L2477),1)-1</f>
        <v/>
      </c>
      <c r="C2481" s="22">
        <f>(1+C2480)*IF(AND(Painel_diario!$H2477="EU_JU",Painel_diario!$J2477=1),EXP(Painel_diario!$L2477),1)-1</f>
        <v/>
      </c>
      <c r="D2481" s="22">
        <f>(1+D2480)*IF(AND(Painel_diario!$H2477="ED_JD",Painel_diario!$J2477=1),EXP(Painel_diario!$L2477),1)-1</f>
        <v/>
      </c>
      <c r="E2481" s="22">
        <f>(1+E2480)*IF(AND(Painel_diario!$H2477="ED_JU",Painel_diario!$J2477=1),EXP(Painel_diario!$L2477),1)-1</f>
        <v/>
      </c>
    </row>
    <row r="2482">
      <c r="A2482" s="25" t="n">
        <v>42482</v>
      </c>
      <c r="B2482" s="22">
        <f>(1+B2481)*IF(AND(Painel_diario!$H2478="EU_JD",Painel_diario!$J2478=1),EXP(Painel_diario!$L2478),1)-1</f>
        <v/>
      </c>
      <c r="C2482" s="22">
        <f>(1+C2481)*IF(AND(Painel_diario!$H2478="EU_JU",Painel_diario!$J2478=1),EXP(Painel_diario!$L2478),1)-1</f>
        <v/>
      </c>
      <c r="D2482" s="22">
        <f>(1+D2481)*IF(AND(Painel_diario!$H2478="ED_JD",Painel_diario!$J2478=1),EXP(Painel_diario!$L2478),1)-1</f>
        <v/>
      </c>
      <c r="E2482" s="22">
        <f>(1+E2481)*IF(AND(Painel_diario!$H2478="ED_JU",Painel_diario!$J2478=1),EXP(Painel_diario!$L2478),1)-1</f>
        <v/>
      </c>
    </row>
    <row r="2483">
      <c r="A2483" s="25" t="n">
        <v>42485</v>
      </c>
      <c r="B2483" s="22">
        <f>(1+B2482)*IF(AND(Painel_diario!$H2479="EU_JD",Painel_diario!$J2479=1),EXP(Painel_diario!$L2479),1)-1</f>
        <v/>
      </c>
      <c r="C2483" s="22">
        <f>(1+C2482)*IF(AND(Painel_diario!$H2479="EU_JU",Painel_diario!$J2479=1),EXP(Painel_diario!$L2479),1)-1</f>
        <v/>
      </c>
      <c r="D2483" s="22">
        <f>(1+D2482)*IF(AND(Painel_diario!$H2479="ED_JD",Painel_diario!$J2479=1),EXP(Painel_diario!$L2479),1)-1</f>
        <v/>
      </c>
      <c r="E2483" s="22">
        <f>(1+E2482)*IF(AND(Painel_diario!$H2479="ED_JU",Painel_diario!$J2479=1),EXP(Painel_diario!$L2479),1)-1</f>
        <v/>
      </c>
    </row>
    <row r="2484">
      <c r="A2484" s="25" t="n">
        <v>42486</v>
      </c>
      <c r="B2484" s="22">
        <f>(1+B2483)*IF(AND(Painel_diario!$H2480="EU_JD",Painel_diario!$J2480=1),EXP(Painel_diario!$L2480),1)-1</f>
        <v/>
      </c>
      <c r="C2484" s="22">
        <f>(1+C2483)*IF(AND(Painel_diario!$H2480="EU_JU",Painel_diario!$J2480=1),EXP(Painel_diario!$L2480),1)-1</f>
        <v/>
      </c>
      <c r="D2484" s="22">
        <f>(1+D2483)*IF(AND(Painel_diario!$H2480="ED_JD",Painel_diario!$J2480=1),EXP(Painel_diario!$L2480),1)-1</f>
        <v/>
      </c>
      <c r="E2484" s="22">
        <f>(1+E2483)*IF(AND(Painel_diario!$H2480="ED_JU",Painel_diario!$J2480=1),EXP(Painel_diario!$L2480),1)-1</f>
        <v/>
      </c>
    </row>
    <row r="2485">
      <c r="A2485" s="25" t="n">
        <v>42487</v>
      </c>
      <c r="B2485" s="22">
        <f>(1+B2484)*IF(AND(Painel_diario!$H2481="EU_JD",Painel_diario!$J2481=1),EXP(Painel_diario!$L2481),1)-1</f>
        <v/>
      </c>
      <c r="C2485" s="22">
        <f>(1+C2484)*IF(AND(Painel_diario!$H2481="EU_JU",Painel_diario!$J2481=1),EXP(Painel_diario!$L2481),1)-1</f>
        <v/>
      </c>
      <c r="D2485" s="22">
        <f>(1+D2484)*IF(AND(Painel_diario!$H2481="ED_JD",Painel_diario!$J2481=1),EXP(Painel_diario!$L2481),1)-1</f>
        <v/>
      </c>
      <c r="E2485" s="22">
        <f>(1+E2484)*IF(AND(Painel_diario!$H2481="ED_JU",Painel_diario!$J2481=1),EXP(Painel_diario!$L2481),1)-1</f>
        <v/>
      </c>
    </row>
    <row r="2486">
      <c r="A2486" s="25" t="n">
        <v>42488</v>
      </c>
      <c r="B2486" s="22">
        <f>(1+B2485)*IF(AND(Painel_diario!$H2482="EU_JD",Painel_diario!$J2482=1),EXP(Painel_diario!$L2482),1)-1</f>
        <v/>
      </c>
      <c r="C2486" s="22">
        <f>(1+C2485)*IF(AND(Painel_diario!$H2482="EU_JU",Painel_diario!$J2482=1),EXP(Painel_diario!$L2482),1)-1</f>
        <v/>
      </c>
      <c r="D2486" s="22">
        <f>(1+D2485)*IF(AND(Painel_diario!$H2482="ED_JD",Painel_diario!$J2482=1),EXP(Painel_diario!$L2482),1)-1</f>
        <v/>
      </c>
      <c r="E2486" s="22">
        <f>(1+E2485)*IF(AND(Painel_diario!$H2482="ED_JU",Painel_diario!$J2482=1),EXP(Painel_diario!$L2482),1)-1</f>
        <v/>
      </c>
    </row>
    <row r="2487">
      <c r="A2487" s="25" t="n">
        <v>42489</v>
      </c>
      <c r="B2487" s="22">
        <f>(1+B2486)*IF(AND(Painel_diario!$H2483="EU_JD",Painel_diario!$J2483=1),EXP(Painel_diario!$L2483),1)-1</f>
        <v/>
      </c>
      <c r="C2487" s="22">
        <f>(1+C2486)*IF(AND(Painel_diario!$H2483="EU_JU",Painel_diario!$J2483=1),EXP(Painel_diario!$L2483),1)-1</f>
        <v/>
      </c>
      <c r="D2487" s="22">
        <f>(1+D2486)*IF(AND(Painel_diario!$H2483="ED_JD",Painel_diario!$J2483=1),EXP(Painel_diario!$L2483),1)-1</f>
        <v/>
      </c>
      <c r="E2487" s="22">
        <f>(1+E2486)*IF(AND(Painel_diario!$H2483="ED_JU",Painel_diario!$J2483=1),EXP(Painel_diario!$L2483),1)-1</f>
        <v/>
      </c>
    </row>
    <row r="2488">
      <c r="A2488" s="25" t="n">
        <v>42492</v>
      </c>
      <c r="B2488" s="22">
        <f>(1+B2487)*IF(AND(Painel_diario!$H2484="EU_JD",Painel_diario!$J2484=1),EXP(Painel_diario!$L2484),1)-1</f>
        <v/>
      </c>
      <c r="C2488" s="22">
        <f>(1+C2487)*IF(AND(Painel_diario!$H2484="EU_JU",Painel_diario!$J2484=1),EXP(Painel_diario!$L2484),1)-1</f>
        <v/>
      </c>
      <c r="D2488" s="22">
        <f>(1+D2487)*IF(AND(Painel_diario!$H2484="ED_JD",Painel_diario!$J2484=1),EXP(Painel_diario!$L2484),1)-1</f>
        <v/>
      </c>
      <c r="E2488" s="22">
        <f>(1+E2487)*IF(AND(Painel_diario!$H2484="ED_JU",Painel_diario!$J2484=1),EXP(Painel_diario!$L2484),1)-1</f>
        <v/>
      </c>
    </row>
    <row r="2489">
      <c r="A2489" s="25" t="n">
        <v>42493</v>
      </c>
      <c r="B2489" s="22">
        <f>(1+B2488)*IF(AND(Painel_diario!$H2485="EU_JD",Painel_diario!$J2485=1),EXP(Painel_diario!$L2485),1)-1</f>
        <v/>
      </c>
      <c r="C2489" s="22">
        <f>(1+C2488)*IF(AND(Painel_diario!$H2485="EU_JU",Painel_diario!$J2485=1),EXP(Painel_diario!$L2485),1)-1</f>
        <v/>
      </c>
      <c r="D2489" s="22">
        <f>(1+D2488)*IF(AND(Painel_diario!$H2485="ED_JD",Painel_diario!$J2485=1),EXP(Painel_diario!$L2485),1)-1</f>
        <v/>
      </c>
      <c r="E2489" s="22">
        <f>(1+E2488)*IF(AND(Painel_diario!$H2485="ED_JU",Painel_diario!$J2485=1),EXP(Painel_diario!$L2485),1)-1</f>
        <v/>
      </c>
    </row>
    <row r="2490">
      <c r="A2490" s="25" t="n">
        <v>42494</v>
      </c>
      <c r="B2490" s="22">
        <f>(1+B2489)*IF(AND(Painel_diario!$H2486="EU_JD",Painel_diario!$J2486=1),EXP(Painel_diario!$L2486),1)-1</f>
        <v/>
      </c>
      <c r="C2490" s="22">
        <f>(1+C2489)*IF(AND(Painel_diario!$H2486="EU_JU",Painel_diario!$J2486=1),EXP(Painel_diario!$L2486),1)-1</f>
        <v/>
      </c>
      <c r="D2490" s="22">
        <f>(1+D2489)*IF(AND(Painel_diario!$H2486="ED_JD",Painel_diario!$J2486=1),EXP(Painel_diario!$L2486),1)-1</f>
        <v/>
      </c>
      <c r="E2490" s="22">
        <f>(1+E2489)*IF(AND(Painel_diario!$H2486="ED_JU",Painel_diario!$J2486=1),EXP(Painel_diario!$L2486),1)-1</f>
        <v/>
      </c>
    </row>
    <row r="2491">
      <c r="A2491" s="25" t="n">
        <v>42495</v>
      </c>
      <c r="B2491" s="22">
        <f>(1+B2490)*IF(AND(Painel_diario!$H2487="EU_JD",Painel_diario!$J2487=1),EXP(Painel_diario!$L2487),1)-1</f>
        <v/>
      </c>
      <c r="C2491" s="22">
        <f>(1+C2490)*IF(AND(Painel_diario!$H2487="EU_JU",Painel_diario!$J2487=1),EXP(Painel_diario!$L2487),1)-1</f>
        <v/>
      </c>
      <c r="D2491" s="22">
        <f>(1+D2490)*IF(AND(Painel_diario!$H2487="ED_JD",Painel_diario!$J2487=1),EXP(Painel_diario!$L2487),1)-1</f>
        <v/>
      </c>
      <c r="E2491" s="22">
        <f>(1+E2490)*IF(AND(Painel_diario!$H2487="ED_JU",Painel_diario!$J2487=1),EXP(Painel_diario!$L2487),1)-1</f>
        <v/>
      </c>
    </row>
    <row r="2492">
      <c r="A2492" s="25" t="n">
        <v>42496</v>
      </c>
      <c r="B2492" s="22">
        <f>(1+B2491)*IF(AND(Painel_diario!$H2488="EU_JD",Painel_diario!$J2488=1),EXP(Painel_diario!$L2488),1)-1</f>
        <v/>
      </c>
      <c r="C2492" s="22">
        <f>(1+C2491)*IF(AND(Painel_diario!$H2488="EU_JU",Painel_diario!$J2488=1),EXP(Painel_diario!$L2488),1)-1</f>
        <v/>
      </c>
      <c r="D2492" s="22">
        <f>(1+D2491)*IF(AND(Painel_diario!$H2488="ED_JD",Painel_diario!$J2488=1),EXP(Painel_diario!$L2488),1)-1</f>
        <v/>
      </c>
      <c r="E2492" s="22">
        <f>(1+E2491)*IF(AND(Painel_diario!$H2488="ED_JU",Painel_diario!$J2488=1),EXP(Painel_diario!$L2488),1)-1</f>
        <v/>
      </c>
    </row>
    <row r="2493">
      <c r="A2493" s="25" t="n">
        <v>42499</v>
      </c>
      <c r="B2493" s="22">
        <f>(1+B2492)*IF(AND(Painel_diario!$H2489="EU_JD",Painel_diario!$J2489=1),EXP(Painel_diario!$L2489),1)-1</f>
        <v/>
      </c>
      <c r="C2493" s="22">
        <f>(1+C2492)*IF(AND(Painel_diario!$H2489="EU_JU",Painel_diario!$J2489=1),EXP(Painel_diario!$L2489),1)-1</f>
        <v/>
      </c>
      <c r="D2493" s="22">
        <f>(1+D2492)*IF(AND(Painel_diario!$H2489="ED_JD",Painel_diario!$J2489=1),EXP(Painel_diario!$L2489),1)-1</f>
        <v/>
      </c>
      <c r="E2493" s="22">
        <f>(1+E2492)*IF(AND(Painel_diario!$H2489="ED_JU",Painel_diario!$J2489=1),EXP(Painel_diario!$L2489),1)-1</f>
        <v/>
      </c>
    </row>
    <row r="2494">
      <c r="A2494" s="25" t="n">
        <v>42500</v>
      </c>
      <c r="B2494" s="22">
        <f>(1+B2493)*IF(AND(Painel_diario!$H2490="EU_JD",Painel_diario!$J2490=1),EXP(Painel_diario!$L2490),1)-1</f>
        <v/>
      </c>
      <c r="C2494" s="22">
        <f>(1+C2493)*IF(AND(Painel_diario!$H2490="EU_JU",Painel_diario!$J2490=1),EXP(Painel_diario!$L2490),1)-1</f>
        <v/>
      </c>
      <c r="D2494" s="22">
        <f>(1+D2493)*IF(AND(Painel_diario!$H2490="ED_JD",Painel_diario!$J2490=1),EXP(Painel_diario!$L2490),1)-1</f>
        <v/>
      </c>
      <c r="E2494" s="22">
        <f>(1+E2493)*IF(AND(Painel_diario!$H2490="ED_JU",Painel_diario!$J2490=1),EXP(Painel_diario!$L2490),1)-1</f>
        <v/>
      </c>
    </row>
    <row r="2495">
      <c r="A2495" s="25" t="n">
        <v>42501</v>
      </c>
      <c r="B2495" s="22">
        <f>(1+B2494)*IF(AND(Painel_diario!$H2491="EU_JD",Painel_diario!$J2491=1),EXP(Painel_diario!$L2491),1)-1</f>
        <v/>
      </c>
      <c r="C2495" s="22">
        <f>(1+C2494)*IF(AND(Painel_diario!$H2491="EU_JU",Painel_diario!$J2491=1),EXP(Painel_diario!$L2491),1)-1</f>
        <v/>
      </c>
      <c r="D2495" s="22">
        <f>(1+D2494)*IF(AND(Painel_diario!$H2491="ED_JD",Painel_diario!$J2491=1),EXP(Painel_diario!$L2491),1)-1</f>
        <v/>
      </c>
      <c r="E2495" s="22">
        <f>(1+E2494)*IF(AND(Painel_diario!$H2491="ED_JU",Painel_diario!$J2491=1),EXP(Painel_diario!$L2491),1)-1</f>
        <v/>
      </c>
    </row>
    <row r="2496">
      <c r="A2496" s="25" t="n">
        <v>42502</v>
      </c>
      <c r="B2496" s="22">
        <f>(1+B2495)*IF(AND(Painel_diario!$H2492="EU_JD",Painel_diario!$J2492=1),EXP(Painel_diario!$L2492),1)-1</f>
        <v/>
      </c>
      <c r="C2496" s="22">
        <f>(1+C2495)*IF(AND(Painel_diario!$H2492="EU_JU",Painel_diario!$J2492=1),EXP(Painel_diario!$L2492),1)-1</f>
        <v/>
      </c>
      <c r="D2496" s="22">
        <f>(1+D2495)*IF(AND(Painel_diario!$H2492="ED_JD",Painel_diario!$J2492=1),EXP(Painel_diario!$L2492),1)-1</f>
        <v/>
      </c>
      <c r="E2496" s="22">
        <f>(1+E2495)*IF(AND(Painel_diario!$H2492="ED_JU",Painel_diario!$J2492=1),EXP(Painel_diario!$L2492),1)-1</f>
        <v/>
      </c>
    </row>
    <row r="2497">
      <c r="A2497" s="25" t="n">
        <v>42503</v>
      </c>
      <c r="B2497" s="22">
        <f>(1+B2496)*IF(AND(Painel_diario!$H2493="EU_JD",Painel_diario!$J2493=1),EXP(Painel_diario!$L2493),1)-1</f>
        <v/>
      </c>
      <c r="C2497" s="22">
        <f>(1+C2496)*IF(AND(Painel_diario!$H2493="EU_JU",Painel_diario!$J2493=1),EXP(Painel_diario!$L2493),1)-1</f>
        <v/>
      </c>
      <c r="D2497" s="22">
        <f>(1+D2496)*IF(AND(Painel_diario!$H2493="ED_JD",Painel_diario!$J2493=1),EXP(Painel_diario!$L2493),1)-1</f>
        <v/>
      </c>
      <c r="E2497" s="22">
        <f>(1+E2496)*IF(AND(Painel_diario!$H2493="ED_JU",Painel_diario!$J2493=1),EXP(Painel_diario!$L2493),1)-1</f>
        <v/>
      </c>
    </row>
    <row r="2498">
      <c r="A2498" s="25" t="n">
        <v>42506</v>
      </c>
      <c r="B2498" s="22">
        <f>(1+B2497)*IF(AND(Painel_diario!$H2494="EU_JD",Painel_diario!$J2494=1),EXP(Painel_diario!$L2494),1)-1</f>
        <v/>
      </c>
      <c r="C2498" s="22">
        <f>(1+C2497)*IF(AND(Painel_diario!$H2494="EU_JU",Painel_diario!$J2494=1),EXP(Painel_diario!$L2494),1)-1</f>
        <v/>
      </c>
      <c r="D2498" s="22">
        <f>(1+D2497)*IF(AND(Painel_diario!$H2494="ED_JD",Painel_diario!$J2494=1),EXP(Painel_diario!$L2494),1)-1</f>
        <v/>
      </c>
      <c r="E2498" s="22">
        <f>(1+E2497)*IF(AND(Painel_diario!$H2494="ED_JU",Painel_diario!$J2494=1),EXP(Painel_diario!$L2494),1)-1</f>
        <v/>
      </c>
    </row>
    <row r="2499">
      <c r="A2499" s="25" t="n">
        <v>42507</v>
      </c>
      <c r="B2499" s="22">
        <f>(1+B2498)*IF(AND(Painel_diario!$H2495="EU_JD",Painel_diario!$J2495=1),EXP(Painel_diario!$L2495),1)-1</f>
        <v/>
      </c>
      <c r="C2499" s="22">
        <f>(1+C2498)*IF(AND(Painel_diario!$H2495="EU_JU",Painel_diario!$J2495=1),EXP(Painel_diario!$L2495),1)-1</f>
        <v/>
      </c>
      <c r="D2499" s="22">
        <f>(1+D2498)*IF(AND(Painel_diario!$H2495="ED_JD",Painel_diario!$J2495=1),EXP(Painel_diario!$L2495),1)-1</f>
        <v/>
      </c>
      <c r="E2499" s="22">
        <f>(1+E2498)*IF(AND(Painel_diario!$H2495="ED_JU",Painel_diario!$J2495=1),EXP(Painel_diario!$L2495),1)-1</f>
        <v/>
      </c>
    </row>
    <row r="2500">
      <c r="A2500" s="25" t="n">
        <v>42508</v>
      </c>
      <c r="B2500" s="22">
        <f>(1+B2499)*IF(AND(Painel_diario!$H2496="EU_JD",Painel_diario!$J2496=1),EXP(Painel_diario!$L2496),1)-1</f>
        <v/>
      </c>
      <c r="C2500" s="22">
        <f>(1+C2499)*IF(AND(Painel_diario!$H2496="EU_JU",Painel_diario!$J2496=1),EXP(Painel_diario!$L2496),1)-1</f>
        <v/>
      </c>
      <c r="D2500" s="22">
        <f>(1+D2499)*IF(AND(Painel_diario!$H2496="ED_JD",Painel_diario!$J2496=1),EXP(Painel_diario!$L2496),1)-1</f>
        <v/>
      </c>
      <c r="E2500" s="22">
        <f>(1+E2499)*IF(AND(Painel_diario!$H2496="ED_JU",Painel_diario!$J2496=1),EXP(Painel_diario!$L2496),1)-1</f>
        <v/>
      </c>
    </row>
    <row r="2501">
      <c r="A2501" s="25" t="n">
        <v>42509</v>
      </c>
      <c r="B2501" s="22">
        <f>(1+B2500)*IF(AND(Painel_diario!$H2497="EU_JD",Painel_diario!$J2497=1),EXP(Painel_diario!$L2497),1)-1</f>
        <v/>
      </c>
      <c r="C2501" s="22">
        <f>(1+C2500)*IF(AND(Painel_diario!$H2497="EU_JU",Painel_diario!$J2497=1),EXP(Painel_diario!$L2497),1)-1</f>
        <v/>
      </c>
      <c r="D2501" s="22">
        <f>(1+D2500)*IF(AND(Painel_diario!$H2497="ED_JD",Painel_diario!$J2497=1),EXP(Painel_diario!$L2497),1)-1</f>
        <v/>
      </c>
      <c r="E2501" s="22">
        <f>(1+E2500)*IF(AND(Painel_diario!$H2497="ED_JU",Painel_diario!$J2497=1),EXP(Painel_diario!$L2497),1)-1</f>
        <v/>
      </c>
    </row>
    <row r="2502">
      <c r="A2502" s="25" t="n">
        <v>42510</v>
      </c>
      <c r="B2502" s="22">
        <f>(1+B2501)*IF(AND(Painel_diario!$H2498="EU_JD",Painel_diario!$J2498=1),EXP(Painel_diario!$L2498),1)-1</f>
        <v/>
      </c>
      <c r="C2502" s="22">
        <f>(1+C2501)*IF(AND(Painel_diario!$H2498="EU_JU",Painel_diario!$J2498=1),EXP(Painel_diario!$L2498),1)-1</f>
        <v/>
      </c>
      <c r="D2502" s="22">
        <f>(1+D2501)*IF(AND(Painel_diario!$H2498="ED_JD",Painel_diario!$J2498=1),EXP(Painel_diario!$L2498),1)-1</f>
        <v/>
      </c>
      <c r="E2502" s="22">
        <f>(1+E2501)*IF(AND(Painel_diario!$H2498="ED_JU",Painel_diario!$J2498=1),EXP(Painel_diario!$L2498),1)-1</f>
        <v/>
      </c>
    </row>
    <row r="2503">
      <c r="A2503" s="25" t="n">
        <v>42513</v>
      </c>
      <c r="B2503" s="22">
        <f>(1+B2502)*IF(AND(Painel_diario!$H2499="EU_JD",Painel_diario!$J2499=1),EXP(Painel_diario!$L2499),1)-1</f>
        <v/>
      </c>
      <c r="C2503" s="22">
        <f>(1+C2502)*IF(AND(Painel_diario!$H2499="EU_JU",Painel_diario!$J2499=1),EXP(Painel_diario!$L2499),1)-1</f>
        <v/>
      </c>
      <c r="D2503" s="22">
        <f>(1+D2502)*IF(AND(Painel_diario!$H2499="ED_JD",Painel_diario!$J2499=1),EXP(Painel_diario!$L2499),1)-1</f>
        <v/>
      </c>
      <c r="E2503" s="22">
        <f>(1+E2502)*IF(AND(Painel_diario!$H2499="ED_JU",Painel_diario!$J2499=1),EXP(Painel_diario!$L2499),1)-1</f>
        <v/>
      </c>
    </row>
    <row r="2504">
      <c r="A2504" s="25" t="n">
        <v>42514</v>
      </c>
      <c r="B2504" s="22">
        <f>(1+B2503)*IF(AND(Painel_diario!$H2500="EU_JD",Painel_diario!$J2500=1),EXP(Painel_diario!$L2500),1)-1</f>
        <v/>
      </c>
      <c r="C2504" s="22">
        <f>(1+C2503)*IF(AND(Painel_diario!$H2500="EU_JU",Painel_diario!$J2500=1),EXP(Painel_diario!$L2500),1)-1</f>
        <v/>
      </c>
      <c r="D2504" s="22">
        <f>(1+D2503)*IF(AND(Painel_diario!$H2500="ED_JD",Painel_diario!$J2500=1),EXP(Painel_diario!$L2500),1)-1</f>
        <v/>
      </c>
      <c r="E2504" s="22">
        <f>(1+E2503)*IF(AND(Painel_diario!$H2500="ED_JU",Painel_diario!$J2500=1),EXP(Painel_diario!$L2500),1)-1</f>
        <v/>
      </c>
    </row>
    <row r="2505">
      <c r="A2505" s="25" t="n">
        <v>42515</v>
      </c>
      <c r="B2505" s="22">
        <f>(1+B2504)*IF(AND(Painel_diario!$H2501="EU_JD",Painel_diario!$J2501=1),EXP(Painel_diario!$L2501),1)-1</f>
        <v/>
      </c>
      <c r="C2505" s="22">
        <f>(1+C2504)*IF(AND(Painel_diario!$H2501="EU_JU",Painel_diario!$J2501=1),EXP(Painel_diario!$L2501),1)-1</f>
        <v/>
      </c>
      <c r="D2505" s="22">
        <f>(1+D2504)*IF(AND(Painel_diario!$H2501="ED_JD",Painel_diario!$J2501=1),EXP(Painel_diario!$L2501),1)-1</f>
        <v/>
      </c>
      <c r="E2505" s="22">
        <f>(1+E2504)*IF(AND(Painel_diario!$H2501="ED_JU",Painel_diario!$J2501=1),EXP(Painel_diario!$L2501),1)-1</f>
        <v/>
      </c>
    </row>
    <row r="2506">
      <c r="A2506" s="25" t="n">
        <v>42517</v>
      </c>
      <c r="B2506" s="22">
        <f>(1+B2505)*IF(AND(Painel_diario!$H2502="EU_JD",Painel_diario!$J2502=1),EXP(Painel_diario!$L2502),1)-1</f>
        <v/>
      </c>
      <c r="C2506" s="22">
        <f>(1+C2505)*IF(AND(Painel_diario!$H2502="EU_JU",Painel_diario!$J2502=1),EXP(Painel_diario!$L2502),1)-1</f>
        <v/>
      </c>
      <c r="D2506" s="22">
        <f>(1+D2505)*IF(AND(Painel_diario!$H2502="ED_JD",Painel_diario!$J2502=1),EXP(Painel_diario!$L2502),1)-1</f>
        <v/>
      </c>
      <c r="E2506" s="22">
        <f>(1+E2505)*IF(AND(Painel_diario!$H2502="ED_JU",Painel_diario!$J2502=1),EXP(Painel_diario!$L2502),1)-1</f>
        <v/>
      </c>
    </row>
    <row r="2507">
      <c r="A2507" s="25" t="n">
        <v>42520</v>
      </c>
      <c r="B2507" s="22">
        <f>(1+B2506)*IF(AND(Painel_diario!$H2503="EU_JD",Painel_diario!$J2503=1),EXP(Painel_diario!$L2503),1)-1</f>
        <v/>
      </c>
      <c r="C2507" s="22">
        <f>(1+C2506)*IF(AND(Painel_diario!$H2503="EU_JU",Painel_diario!$J2503=1),EXP(Painel_diario!$L2503),1)-1</f>
        <v/>
      </c>
      <c r="D2507" s="22">
        <f>(1+D2506)*IF(AND(Painel_diario!$H2503="ED_JD",Painel_diario!$J2503=1),EXP(Painel_diario!$L2503),1)-1</f>
        <v/>
      </c>
      <c r="E2507" s="22">
        <f>(1+E2506)*IF(AND(Painel_diario!$H2503="ED_JU",Painel_diario!$J2503=1),EXP(Painel_diario!$L2503),1)-1</f>
        <v/>
      </c>
    </row>
    <row r="2508">
      <c r="A2508" s="25" t="n">
        <v>42521</v>
      </c>
      <c r="B2508" s="22">
        <f>(1+B2507)*IF(AND(Painel_diario!$H2504="EU_JD",Painel_diario!$J2504=1),EXP(Painel_diario!$L2504),1)-1</f>
        <v/>
      </c>
      <c r="C2508" s="22">
        <f>(1+C2507)*IF(AND(Painel_diario!$H2504="EU_JU",Painel_diario!$J2504=1),EXP(Painel_diario!$L2504),1)-1</f>
        <v/>
      </c>
      <c r="D2508" s="22">
        <f>(1+D2507)*IF(AND(Painel_diario!$H2504="ED_JD",Painel_diario!$J2504=1),EXP(Painel_diario!$L2504),1)-1</f>
        <v/>
      </c>
      <c r="E2508" s="22">
        <f>(1+E2507)*IF(AND(Painel_diario!$H2504="ED_JU",Painel_diario!$J2504=1),EXP(Painel_diario!$L2504),1)-1</f>
        <v/>
      </c>
    </row>
    <row r="2509">
      <c r="A2509" s="25" t="n">
        <v>42522</v>
      </c>
      <c r="B2509" s="22">
        <f>(1+B2508)*IF(AND(Painel_diario!$H2505="EU_JD",Painel_diario!$J2505=1),EXP(Painel_diario!$L2505),1)-1</f>
        <v/>
      </c>
      <c r="C2509" s="22">
        <f>(1+C2508)*IF(AND(Painel_diario!$H2505="EU_JU",Painel_diario!$J2505=1),EXP(Painel_diario!$L2505),1)-1</f>
        <v/>
      </c>
      <c r="D2509" s="22">
        <f>(1+D2508)*IF(AND(Painel_diario!$H2505="ED_JD",Painel_diario!$J2505=1),EXP(Painel_diario!$L2505),1)-1</f>
        <v/>
      </c>
      <c r="E2509" s="22">
        <f>(1+E2508)*IF(AND(Painel_diario!$H2505="ED_JU",Painel_diario!$J2505=1),EXP(Painel_diario!$L2505),1)-1</f>
        <v/>
      </c>
    </row>
    <row r="2510">
      <c r="A2510" s="25" t="n">
        <v>42523</v>
      </c>
      <c r="B2510" s="22">
        <f>(1+B2509)*IF(AND(Painel_diario!$H2506="EU_JD",Painel_diario!$J2506=1),EXP(Painel_diario!$L2506),1)-1</f>
        <v/>
      </c>
      <c r="C2510" s="22">
        <f>(1+C2509)*IF(AND(Painel_diario!$H2506="EU_JU",Painel_diario!$J2506=1),EXP(Painel_diario!$L2506),1)-1</f>
        <v/>
      </c>
      <c r="D2510" s="22">
        <f>(1+D2509)*IF(AND(Painel_diario!$H2506="ED_JD",Painel_diario!$J2506=1),EXP(Painel_diario!$L2506),1)-1</f>
        <v/>
      </c>
      <c r="E2510" s="22">
        <f>(1+E2509)*IF(AND(Painel_diario!$H2506="ED_JU",Painel_diario!$J2506=1),EXP(Painel_diario!$L2506),1)-1</f>
        <v/>
      </c>
    </row>
    <row r="2511">
      <c r="A2511" s="25" t="n">
        <v>42524</v>
      </c>
      <c r="B2511" s="22">
        <f>(1+B2510)*IF(AND(Painel_diario!$H2507="EU_JD",Painel_diario!$J2507=1),EXP(Painel_diario!$L2507),1)-1</f>
        <v/>
      </c>
      <c r="C2511" s="22">
        <f>(1+C2510)*IF(AND(Painel_diario!$H2507="EU_JU",Painel_diario!$J2507=1),EXP(Painel_diario!$L2507),1)-1</f>
        <v/>
      </c>
      <c r="D2511" s="22">
        <f>(1+D2510)*IF(AND(Painel_diario!$H2507="ED_JD",Painel_diario!$J2507=1),EXP(Painel_diario!$L2507),1)-1</f>
        <v/>
      </c>
      <c r="E2511" s="22">
        <f>(1+E2510)*IF(AND(Painel_diario!$H2507="ED_JU",Painel_diario!$J2507=1),EXP(Painel_diario!$L2507),1)-1</f>
        <v/>
      </c>
    </row>
    <row r="2512">
      <c r="A2512" s="25" t="n">
        <v>42527</v>
      </c>
      <c r="B2512" s="22">
        <f>(1+B2511)*IF(AND(Painel_diario!$H2508="EU_JD",Painel_diario!$J2508=1),EXP(Painel_diario!$L2508),1)-1</f>
        <v/>
      </c>
      <c r="C2512" s="22">
        <f>(1+C2511)*IF(AND(Painel_diario!$H2508="EU_JU",Painel_diario!$J2508=1),EXP(Painel_diario!$L2508),1)-1</f>
        <v/>
      </c>
      <c r="D2512" s="22">
        <f>(1+D2511)*IF(AND(Painel_diario!$H2508="ED_JD",Painel_diario!$J2508=1),EXP(Painel_diario!$L2508),1)-1</f>
        <v/>
      </c>
      <c r="E2512" s="22">
        <f>(1+E2511)*IF(AND(Painel_diario!$H2508="ED_JU",Painel_diario!$J2508=1),EXP(Painel_diario!$L2508),1)-1</f>
        <v/>
      </c>
    </row>
    <row r="2513">
      <c r="A2513" s="25" t="n">
        <v>42528</v>
      </c>
      <c r="B2513" s="22">
        <f>(1+B2512)*IF(AND(Painel_diario!$H2509="EU_JD",Painel_diario!$J2509=1),EXP(Painel_diario!$L2509),1)-1</f>
        <v/>
      </c>
      <c r="C2513" s="22">
        <f>(1+C2512)*IF(AND(Painel_diario!$H2509="EU_JU",Painel_diario!$J2509=1),EXP(Painel_diario!$L2509),1)-1</f>
        <v/>
      </c>
      <c r="D2513" s="22">
        <f>(1+D2512)*IF(AND(Painel_diario!$H2509="ED_JD",Painel_diario!$J2509=1),EXP(Painel_diario!$L2509),1)-1</f>
        <v/>
      </c>
      <c r="E2513" s="22">
        <f>(1+E2512)*IF(AND(Painel_diario!$H2509="ED_JU",Painel_diario!$J2509=1),EXP(Painel_diario!$L2509),1)-1</f>
        <v/>
      </c>
    </row>
    <row r="2514">
      <c r="A2514" s="25" t="n">
        <v>42529</v>
      </c>
      <c r="B2514" s="22">
        <f>(1+B2513)*IF(AND(Painel_diario!$H2510="EU_JD",Painel_diario!$J2510=1),EXP(Painel_diario!$L2510),1)-1</f>
        <v/>
      </c>
      <c r="C2514" s="22">
        <f>(1+C2513)*IF(AND(Painel_diario!$H2510="EU_JU",Painel_diario!$J2510=1),EXP(Painel_diario!$L2510),1)-1</f>
        <v/>
      </c>
      <c r="D2514" s="22">
        <f>(1+D2513)*IF(AND(Painel_diario!$H2510="ED_JD",Painel_diario!$J2510=1),EXP(Painel_diario!$L2510),1)-1</f>
        <v/>
      </c>
      <c r="E2514" s="22">
        <f>(1+E2513)*IF(AND(Painel_diario!$H2510="ED_JU",Painel_diario!$J2510=1),EXP(Painel_diario!$L2510),1)-1</f>
        <v/>
      </c>
    </row>
    <row r="2515">
      <c r="A2515" s="25" t="n">
        <v>42530</v>
      </c>
      <c r="B2515" s="22">
        <f>(1+B2514)*IF(AND(Painel_diario!$H2511="EU_JD",Painel_diario!$J2511=1),EXP(Painel_diario!$L2511),1)-1</f>
        <v/>
      </c>
      <c r="C2515" s="22">
        <f>(1+C2514)*IF(AND(Painel_diario!$H2511="EU_JU",Painel_diario!$J2511=1),EXP(Painel_diario!$L2511),1)-1</f>
        <v/>
      </c>
      <c r="D2515" s="22">
        <f>(1+D2514)*IF(AND(Painel_diario!$H2511="ED_JD",Painel_diario!$J2511=1),EXP(Painel_diario!$L2511),1)-1</f>
        <v/>
      </c>
      <c r="E2515" s="22">
        <f>(1+E2514)*IF(AND(Painel_diario!$H2511="ED_JU",Painel_diario!$J2511=1),EXP(Painel_diario!$L2511),1)-1</f>
        <v/>
      </c>
    </row>
    <row r="2516">
      <c r="A2516" s="25" t="n">
        <v>42531</v>
      </c>
      <c r="B2516" s="22">
        <f>(1+B2515)*IF(AND(Painel_diario!$H2512="EU_JD",Painel_diario!$J2512=1),EXP(Painel_diario!$L2512),1)-1</f>
        <v/>
      </c>
      <c r="C2516" s="22">
        <f>(1+C2515)*IF(AND(Painel_diario!$H2512="EU_JU",Painel_diario!$J2512=1),EXP(Painel_diario!$L2512),1)-1</f>
        <v/>
      </c>
      <c r="D2516" s="22">
        <f>(1+D2515)*IF(AND(Painel_diario!$H2512="ED_JD",Painel_diario!$J2512=1),EXP(Painel_diario!$L2512),1)-1</f>
        <v/>
      </c>
      <c r="E2516" s="22">
        <f>(1+E2515)*IF(AND(Painel_diario!$H2512="ED_JU",Painel_diario!$J2512=1),EXP(Painel_diario!$L2512),1)-1</f>
        <v/>
      </c>
    </row>
    <row r="2517">
      <c r="A2517" s="25" t="n">
        <v>42534</v>
      </c>
      <c r="B2517" s="22">
        <f>(1+B2516)*IF(AND(Painel_diario!$H2513="EU_JD",Painel_diario!$J2513=1),EXP(Painel_diario!$L2513),1)-1</f>
        <v/>
      </c>
      <c r="C2517" s="22">
        <f>(1+C2516)*IF(AND(Painel_diario!$H2513="EU_JU",Painel_diario!$J2513=1),EXP(Painel_diario!$L2513),1)-1</f>
        <v/>
      </c>
      <c r="D2517" s="22">
        <f>(1+D2516)*IF(AND(Painel_diario!$H2513="ED_JD",Painel_diario!$J2513=1),EXP(Painel_diario!$L2513),1)-1</f>
        <v/>
      </c>
      <c r="E2517" s="22">
        <f>(1+E2516)*IF(AND(Painel_diario!$H2513="ED_JU",Painel_diario!$J2513=1),EXP(Painel_diario!$L2513),1)-1</f>
        <v/>
      </c>
    </row>
    <row r="2518">
      <c r="A2518" s="25" t="n">
        <v>42535</v>
      </c>
      <c r="B2518" s="22">
        <f>(1+B2517)*IF(AND(Painel_diario!$H2514="EU_JD",Painel_diario!$J2514=1),EXP(Painel_diario!$L2514),1)-1</f>
        <v/>
      </c>
      <c r="C2518" s="22">
        <f>(1+C2517)*IF(AND(Painel_diario!$H2514="EU_JU",Painel_diario!$J2514=1),EXP(Painel_diario!$L2514),1)-1</f>
        <v/>
      </c>
      <c r="D2518" s="22">
        <f>(1+D2517)*IF(AND(Painel_diario!$H2514="ED_JD",Painel_diario!$J2514=1),EXP(Painel_diario!$L2514),1)-1</f>
        <v/>
      </c>
      <c r="E2518" s="22">
        <f>(1+E2517)*IF(AND(Painel_diario!$H2514="ED_JU",Painel_diario!$J2514=1),EXP(Painel_diario!$L2514),1)-1</f>
        <v/>
      </c>
    </row>
    <row r="2519">
      <c r="A2519" s="25" t="n">
        <v>42536</v>
      </c>
      <c r="B2519" s="22">
        <f>(1+B2518)*IF(AND(Painel_diario!$H2515="EU_JD",Painel_diario!$J2515=1),EXP(Painel_diario!$L2515),1)-1</f>
        <v/>
      </c>
      <c r="C2519" s="22">
        <f>(1+C2518)*IF(AND(Painel_diario!$H2515="EU_JU",Painel_diario!$J2515=1),EXP(Painel_diario!$L2515),1)-1</f>
        <v/>
      </c>
      <c r="D2519" s="22">
        <f>(1+D2518)*IF(AND(Painel_diario!$H2515="ED_JD",Painel_diario!$J2515=1),EXP(Painel_diario!$L2515),1)-1</f>
        <v/>
      </c>
      <c r="E2519" s="22">
        <f>(1+E2518)*IF(AND(Painel_diario!$H2515="ED_JU",Painel_diario!$J2515=1),EXP(Painel_diario!$L2515),1)-1</f>
        <v/>
      </c>
    </row>
    <row r="2520">
      <c r="A2520" s="25" t="n">
        <v>42537</v>
      </c>
      <c r="B2520" s="22">
        <f>(1+B2519)*IF(AND(Painel_diario!$H2516="EU_JD",Painel_diario!$J2516=1),EXP(Painel_diario!$L2516),1)-1</f>
        <v/>
      </c>
      <c r="C2520" s="22">
        <f>(1+C2519)*IF(AND(Painel_diario!$H2516="EU_JU",Painel_diario!$J2516=1),EXP(Painel_diario!$L2516),1)-1</f>
        <v/>
      </c>
      <c r="D2520" s="22">
        <f>(1+D2519)*IF(AND(Painel_diario!$H2516="ED_JD",Painel_diario!$J2516=1),EXP(Painel_diario!$L2516),1)-1</f>
        <v/>
      </c>
      <c r="E2520" s="22">
        <f>(1+E2519)*IF(AND(Painel_diario!$H2516="ED_JU",Painel_diario!$J2516=1),EXP(Painel_diario!$L2516),1)-1</f>
        <v/>
      </c>
    </row>
    <row r="2521">
      <c r="A2521" s="25" t="n">
        <v>42538</v>
      </c>
      <c r="B2521" s="22">
        <f>(1+B2520)*IF(AND(Painel_diario!$H2517="EU_JD",Painel_diario!$J2517=1),EXP(Painel_diario!$L2517),1)-1</f>
        <v/>
      </c>
      <c r="C2521" s="22">
        <f>(1+C2520)*IF(AND(Painel_diario!$H2517="EU_JU",Painel_diario!$J2517=1),EXP(Painel_diario!$L2517),1)-1</f>
        <v/>
      </c>
      <c r="D2521" s="22">
        <f>(1+D2520)*IF(AND(Painel_diario!$H2517="ED_JD",Painel_diario!$J2517=1),EXP(Painel_diario!$L2517),1)-1</f>
        <v/>
      </c>
      <c r="E2521" s="22">
        <f>(1+E2520)*IF(AND(Painel_diario!$H2517="ED_JU",Painel_diario!$J2517=1),EXP(Painel_diario!$L2517),1)-1</f>
        <v/>
      </c>
    </row>
    <row r="2522">
      <c r="A2522" s="25" t="n">
        <v>42541</v>
      </c>
      <c r="B2522" s="22">
        <f>(1+B2521)*IF(AND(Painel_diario!$H2518="EU_JD",Painel_diario!$J2518=1),EXP(Painel_diario!$L2518),1)-1</f>
        <v/>
      </c>
      <c r="C2522" s="22">
        <f>(1+C2521)*IF(AND(Painel_diario!$H2518="EU_JU",Painel_diario!$J2518=1),EXP(Painel_diario!$L2518),1)-1</f>
        <v/>
      </c>
      <c r="D2522" s="22">
        <f>(1+D2521)*IF(AND(Painel_diario!$H2518="ED_JD",Painel_diario!$J2518=1),EXP(Painel_diario!$L2518),1)-1</f>
        <v/>
      </c>
      <c r="E2522" s="22">
        <f>(1+E2521)*IF(AND(Painel_diario!$H2518="ED_JU",Painel_diario!$J2518=1),EXP(Painel_diario!$L2518),1)-1</f>
        <v/>
      </c>
    </row>
    <row r="2523">
      <c r="A2523" s="25" t="n">
        <v>42542</v>
      </c>
      <c r="B2523" s="22">
        <f>(1+B2522)*IF(AND(Painel_diario!$H2519="EU_JD",Painel_diario!$J2519=1),EXP(Painel_diario!$L2519),1)-1</f>
        <v/>
      </c>
      <c r="C2523" s="22">
        <f>(1+C2522)*IF(AND(Painel_diario!$H2519="EU_JU",Painel_diario!$J2519=1),EXP(Painel_diario!$L2519),1)-1</f>
        <v/>
      </c>
      <c r="D2523" s="22">
        <f>(1+D2522)*IF(AND(Painel_diario!$H2519="ED_JD",Painel_diario!$J2519=1),EXP(Painel_diario!$L2519),1)-1</f>
        <v/>
      </c>
      <c r="E2523" s="22">
        <f>(1+E2522)*IF(AND(Painel_diario!$H2519="ED_JU",Painel_diario!$J2519=1),EXP(Painel_diario!$L2519),1)-1</f>
        <v/>
      </c>
    </row>
    <row r="2524">
      <c r="A2524" s="25" t="n">
        <v>42543</v>
      </c>
      <c r="B2524" s="22">
        <f>(1+B2523)*IF(AND(Painel_diario!$H2520="EU_JD",Painel_diario!$J2520=1),EXP(Painel_diario!$L2520),1)-1</f>
        <v/>
      </c>
      <c r="C2524" s="22">
        <f>(1+C2523)*IF(AND(Painel_diario!$H2520="EU_JU",Painel_diario!$J2520=1),EXP(Painel_diario!$L2520),1)-1</f>
        <v/>
      </c>
      <c r="D2524" s="22">
        <f>(1+D2523)*IF(AND(Painel_diario!$H2520="ED_JD",Painel_diario!$J2520=1),EXP(Painel_diario!$L2520),1)-1</f>
        <v/>
      </c>
      <c r="E2524" s="22">
        <f>(1+E2523)*IF(AND(Painel_diario!$H2520="ED_JU",Painel_diario!$J2520=1),EXP(Painel_diario!$L2520),1)-1</f>
        <v/>
      </c>
    </row>
    <row r="2525">
      <c r="A2525" s="25" t="n">
        <v>42544</v>
      </c>
      <c r="B2525" s="22">
        <f>(1+B2524)*IF(AND(Painel_diario!$H2521="EU_JD",Painel_diario!$J2521=1),EXP(Painel_diario!$L2521),1)-1</f>
        <v/>
      </c>
      <c r="C2525" s="22">
        <f>(1+C2524)*IF(AND(Painel_diario!$H2521="EU_JU",Painel_diario!$J2521=1),EXP(Painel_diario!$L2521),1)-1</f>
        <v/>
      </c>
      <c r="D2525" s="22">
        <f>(1+D2524)*IF(AND(Painel_diario!$H2521="ED_JD",Painel_diario!$J2521=1),EXP(Painel_diario!$L2521),1)-1</f>
        <v/>
      </c>
      <c r="E2525" s="22">
        <f>(1+E2524)*IF(AND(Painel_diario!$H2521="ED_JU",Painel_diario!$J2521=1),EXP(Painel_diario!$L2521),1)-1</f>
        <v/>
      </c>
    </row>
    <row r="2526">
      <c r="A2526" s="25" t="n">
        <v>42545</v>
      </c>
      <c r="B2526" s="22">
        <f>(1+B2525)*IF(AND(Painel_diario!$H2522="EU_JD",Painel_diario!$J2522=1),EXP(Painel_diario!$L2522),1)-1</f>
        <v/>
      </c>
      <c r="C2526" s="22">
        <f>(1+C2525)*IF(AND(Painel_diario!$H2522="EU_JU",Painel_diario!$J2522=1),EXP(Painel_diario!$L2522),1)-1</f>
        <v/>
      </c>
      <c r="D2526" s="22">
        <f>(1+D2525)*IF(AND(Painel_diario!$H2522="ED_JD",Painel_diario!$J2522=1),EXP(Painel_diario!$L2522),1)-1</f>
        <v/>
      </c>
      <c r="E2526" s="22">
        <f>(1+E2525)*IF(AND(Painel_diario!$H2522="ED_JU",Painel_diario!$J2522=1),EXP(Painel_diario!$L2522),1)-1</f>
        <v/>
      </c>
    </row>
    <row r="2527">
      <c r="A2527" s="25" t="n">
        <v>42548</v>
      </c>
      <c r="B2527" s="22">
        <f>(1+B2526)*IF(AND(Painel_diario!$H2523="EU_JD",Painel_diario!$J2523=1),EXP(Painel_diario!$L2523),1)-1</f>
        <v/>
      </c>
      <c r="C2527" s="22">
        <f>(1+C2526)*IF(AND(Painel_diario!$H2523="EU_JU",Painel_diario!$J2523=1),EXP(Painel_diario!$L2523),1)-1</f>
        <v/>
      </c>
      <c r="D2527" s="22">
        <f>(1+D2526)*IF(AND(Painel_diario!$H2523="ED_JD",Painel_diario!$J2523=1),EXP(Painel_diario!$L2523),1)-1</f>
        <v/>
      </c>
      <c r="E2527" s="22">
        <f>(1+E2526)*IF(AND(Painel_diario!$H2523="ED_JU",Painel_diario!$J2523=1),EXP(Painel_diario!$L2523),1)-1</f>
        <v/>
      </c>
    </row>
    <row r="2528">
      <c r="A2528" s="25" t="n">
        <v>42549</v>
      </c>
      <c r="B2528" s="22">
        <f>(1+B2527)*IF(AND(Painel_diario!$H2524="EU_JD",Painel_diario!$J2524=1),EXP(Painel_diario!$L2524),1)-1</f>
        <v/>
      </c>
      <c r="C2528" s="22">
        <f>(1+C2527)*IF(AND(Painel_diario!$H2524="EU_JU",Painel_diario!$J2524=1),EXP(Painel_diario!$L2524),1)-1</f>
        <v/>
      </c>
      <c r="D2528" s="22">
        <f>(1+D2527)*IF(AND(Painel_diario!$H2524="ED_JD",Painel_diario!$J2524=1),EXP(Painel_diario!$L2524),1)-1</f>
        <v/>
      </c>
      <c r="E2528" s="22">
        <f>(1+E2527)*IF(AND(Painel_diario!$H2524="ED_JU",Painel_diario!$J2524=1),EXP(Painel_diario!$L2524),1)-1</f>
        <v/>
      </c>
    </row>
    <row r="2529">
      <c r="A2529" s="25" t="n">
        <v>42550</v>
      </c>
      <c r="B2529" s="22">
        <f>(1+B2528)*IF(AND(Painel_diario!$H2525="EU_JD",Painel_diario!$J2525=1),EXP(Painel_diario!$L2525),1)-1</f>
        <v/>
      </c>
      <c r="C2529" s="22">
        <f>(1+C2528)*IF(AND(Painel_diario!$H2525="EU_JU",Painel_diario!$J2525=1),EXP(Painel_diario!$L2525),1)-1</f>
        <v/>
      </c>
      <c r="D2529" s="22">
        <f>(1+D2528)*IF(AND(Painel_diario!$H2525="ED_JD",Painel_diario!$J2525=1),EXP(Painel_diario!$L2525),1)-1</f>
        <v/>
      </c>
      <c r="E2529" s="22">
        <f>(1+E2528)*IF(AND(Painel_diario!$H2525="ED_JU",Painel_diario!$J2525=1),EXP(Painel_diario!$L2525),1)-1</f>
        <v/>
      </c>
    </row>
    <row r="2530">
      <c r="A2530" s="25" t="n">
        <v>42551</v>
      </c>
      <c r="B2530" s="22">
        <f>(1+B2529)*IF(AND(Painel_diario!$H2526="EU_JD",Painel_diario!$J2526=1),EXP(Painel_diario!$L2526),1)-1</f>
        <v/>
      </c>
      <c r="C2530" s="22">
        <f>(1+C2529)*IF(AND(Painel_diario!$H2526="EU_JU",Painel_diario!$J2526=1),EXP(Painel_diario!$L2526),1)-1</f>
        <v/>
      </c>
      <c r="D2530" s="22">
        <f>(1+D2529)*IF(AND(Painel_diario!$H2526="ED_JD",Painel_diario!$J2526=1),EXP(Painel_diario!$L2526),1)-1</f>
        <v/>
      </c>
      <c r="E2530" s="22">
        <f>(1+E2529)*IF(AND(Painel_diario!$H2526="ED_JU",Painel_diario!$J2526=1),EXP(Painel_diario!$L2526),1)-1</f>
        <v/>
      </c>
    </row>
    <row r="2531">
      <c r="A2531" s="25" t="n">
        <v>42552</v>
      </c>
      <c r="B2531" s="22">
        <f>(1+B2530)*IF(AND(Painel_diario!$H2527="EU_JD",Painel_diario!$J2527=1),EXP(Painel_diario!$L2527),1)-1</f>
        <v/>
      </c>
      <c r="C2531" s="22">
        <f>(1+C2530)*IF(AND(Painel_diario!$H2527="EU_JU",Painel_diario!$J2527=1),EXP(Painel_diario!$L2527),1)-1</f>
        <v/>
      </c>
      <c r="D2531" s="22">
        <f>(1+D2530)*IF(AND(Painel_diario!$H2527="ED_JD",Painel_diario!$J2527=1),EXP(Painel_diario!$L2527),1)-1</f>
        <v/>
      </c>
      <c r="E2531" s="22">
        <f>(1+E2530)*IF(AND(Painel_diario!$H2527="ED_JU",Painel_diario!$J2527=1),EXP(Painel_diario!$L2527),1)-1</f>
        <v/>
      </c>
    </row>
    <row r="2532">
      <c r="A2532" s="25" t="n">
        <v>42555</v>
      </c>
      <c r="B2532" s="22">
        <f>(1+B2531)*IF(AND(Painel_diario!$H2528="EU_JD",Painel_diario!$J2528=1),EXP(Painel_diario!$L2528),1)-1</f>
        <v/>
      </c>
      <c r="C2532" s="22">
        <f>(1+C2531)*IF(AND(Painel_diario!$H2528="EU_JU",Painel_diario!$J2528=1),EXP(Painel_diario!$L2528),1)-1</f>
        <v/>
      </c>
      <c r="D2532" s="22">
        <f>(1+D2531)*IF(AND(Painel_diario!$H2528="ED_JD",Painel_diario!$J2528=1),EXP(Painel_diario!$L2528),1)-1</f>
        <v/>
      </c>
      <c r="E2532" s="22">
        <f>(1+E2531)*IF(AND(Painel_diario!$H2528="ED_JU",Painel_diario!$J2528=1),EXP(Painel_diario!$L2528),1)-1</f>
        <v/>
      </c>
    </row>
    <row r="2533">
      <c r="A2533" s="25" t="n">
        <v>42556</v>
      </c>
      <c r="B2533" s="22">
        <f>(1+B2532)*IF(AND(Painel_diario!$H2529="EU_JD",Painel_diario!$J2529=1),EXP(Painel_diario!$L2529),1)-1</f>
        <v/>
      </c>
      <c r="C2533" s="22">
        <f>(1+C2532)*IF(AND(Painel_diario!$H2529="EU_JU",Painel_diario!$J2529=1),EXP(Painel_diario!$L2529),1)-1</f>
        <v/>
      </c>
      <c r="D2533" s="22">
        <f>(1+D2532)*IF(AND(Painel_diario!$H2529="ED_JD",Painel_diario!$J2529=1),EXP(Painel_diario!$L2529),1)-1</f>
        <v/>
      </c>
      <c r="E2533" s="22">
        <f>(1+E2532)*IF(AND(Painel_diario!$H2529="ED_JU",Painel_diario!$J2529=1),EXP(Painel_diario!$L2529),1)-1</f>
        <v/>
      </c>
    </row>
    <row r="2534">
      <c r="A2534" s="25" t="n">
        <v>42557</v>
      </c>
      <c r="B2534" s="22">
        <f>(1+B2533)*IF(AND(Painel_diario!$H2530="EU_JD",Painel_diario!$J2530=1),EXP(Painel_diario!$L2530),1)-1</f>
        <v/>
      </c>
      <c r="C2534" s="22">
        <f>(1+C2533)*IF(AND(Painel_diario!$H2530="EU_JU",Painel_diario!$J2530=1),EXP(Painel_diario!$L2530),1)-1</f>
        <v/>
      </c>
      <c r="D2534" s="22">
        <f>(1+D2533)*IF(AND(Painel_diario!$H2530="ED_JD",Painel_diario!$J2530=1),EXP(Painel_diario!$L2530),1)-1</f>
        <v/>
      </c>
      <c r="E2534" s="22">
        <f>(1+E2533)*IF(AND(Painel_diario!$H2530="ED_JU",Painel_diario!$J2530=1),EXP(Painel_diario!$L2530),1)-1</f>
        <v/>
      </c>
    </row>
    <row r="2535">
      <c r="A2535" s="25" t="n">
        <v>42558</v>
      </c>
      <c r="B2535" s="22">
        <f>(1+B2534)*IF(AND(Painel_diario!$H2531="EU_JD",Painel_diario!$J2531=1),EXP(Painel_diario!$L2531),1)-1</f>
        <v/>
      </c>
      <c r="C2535" s="22">
        <f>(1+C2534)*IF(AND(Painel_diario!$H2531="EU_JU",Painel_diario!$J2531=1),EXP(Painel_diario!$L2531),1)-1</f>
        <v/>
      </c>
      <c r="D2535" s="22">
        <f>(1+D2534)*IF(AND(Painel_diario!$H2531="ED_JD",Painel_diario!$J2531=1),EXP(Painel_diario!$L2531),1)-1</f>
        <v/>
      </c>
      <c r="E2535" s="22">
        <f>(1+E2534)*IF(AND(Painel_diario!$H2531="ED_JU",Painel_diario!$J2531=1),EXP(Painel_diario!$L2531),1)-1</f>
        <v/>
      </c>
    </row>
    <row r="2536">
      <c r="A2536" s="25" t="n">
        <v>42559</v>
      </c>
      <c r="B2536" s="22">
        <f>(1+B2535)*IF(AND(Painel_diario!$H2532="EU_JD",Painel_diario!$J2532=1),EXP(Painel_diario!$L2532),1)-1</f>
        <v/>
      </c>
      <c r="C2536" s="22">
        <f>(1+C2535)*IF(AND(Painel_diario!$H2532="EU_JU",Painel_diario!$J2532=1),EXP(Painel_diario!$L2532),1)-1</f>
        <v/>
      </c>
      <c r="D2536" s="22">
        <f>(1+D2535)*IF(AND(Painel_diario!$H2532="ED_JD",Painel_diario!$J2532=1),EXP(Painel_diario!$L2532),1)-1</f>
        <v/>
      </c>
      <c r="E2536" s="22">
        <f>(1+E2535)*IF(AND(Painel_diario!$H2532="ED_JU",Painel_diario!$J2532=1),EXP(Painel_diario!$L2532),1)-1</f>
        <v/>
      </c>
    </row>
    <row r="2537">
      <c r="A2537" s="25" t="n">
        <v>42562</v>
      </c>
      <c r="B2537" s="22">
        <f>(1+B2536)*IF(AND(Painel_diario!$H2533="EU_JD",Painel_diario!$J2533=1),EXP(Painel_diario!$L2533),1)-1</f>
        <v/>
      </c>
      <c r="C2537" s="22">
        <f>(1+C2536)*IF(AND(Painel_diario!$H2533="EU_JU",Painel_diario!$J2533=1),EXP(Painel_diario!$L2533),1)-1</f>
        <v/>
      </c>
      <c r="D2537" s="22">
        <f>(1+D2536)*IF(AND(Painel_diario!$H2533="ED_JD",Painel_diario!$J2533=1),EXP(Painel_diario!$L2533),1)-1</f>
        <v/>
      </c>
      <c r="E2537" s="22">
        <f>(1+E2536)*IF(AND(Painel_diario!$H2533="ED_JU",Painel_diario!$J2533=1),EXP(Painel_diario!$L2533),1)-1</f>
        <v/>
      </c>
    </row>
    <row r="2538">
      <c r="A2538" s="25" t="n">
        <v>42563</v>
      </c>
      <c r="B2538" s="22">
        <f>(1+B2537)*IF(AND(Painel_diario!$H2534="EU_JD",Painel_diario!$J2534=1),EXP(Painel_diario!$L2534),1)-1</f>
        <v/>
      </c>
      <c r="C2538" s="22">
        <f>(1+C2537)*IF(AND(Painel_diario!$H2534="EU_JU",Painel_diario!$J2534=1),EXP(Painel_diario!$L2534),1)-1</f>
        <v/>
      </c>
      <c r="D2538" s="22">
        <f>(1+D2537)*IF(AND(Painel_diario!$H2534="ED_JD",Painel_diario!$J2534=1),EXP(Painel_diario!$L2534),1)-1</f>
        <v/>
      </c>
      <c r="E2538" s="22">
        <f>(1+E2537)*IF(AND(Painel_diario!$H2534="ED_JU",Painel_diario!$J2534=1),EXP(Painel_diario!$L2534),1)-1</f>
        <v/>
      </c>
    </row>
    <row r="2539">
      <c r="A2539" s="25" t="n">
        <v>42564</v>
      </c>
      <c r="B2539" s="22">
        <f>(1+B2538)*IF(AND(Painel_diario!$H2535="EU_JD",Painel_diario!$J2535=1),EXP(Painel_diario!$L2535),1)-1</f>
        <v/>
      </c>
      <c r="C2539" s="22">
        <f>(1+C2538)*IF(AND(Painel_diario!$H2535="EU_JU",Painel_diario!$J2535=1),EXP(Painel_diario!$L2535),1)-1</f>
        <v/>
      </c>
      <c r="D2539" s="22">
        <f>(1+D2538)*IF(AND(Painel_diario!$H2535="ED_JD",Painel_diario!$J2535=1),EXP(Painel_diario!$L2535),1)-1</f>
        <v/>
      </c>
      <c r="E2539" s="22">
        <f>(1+E2538)*IF(AND(Painel_diario!$H2535="ED_JU",Painel_diario!$J2535=1),EXP(Painel_diario!$L2535),1)-1</f>
        <v/>
      </c>
    </row>
    <row r="2540">
      <c r="A2540" s="25" t="n">
        <v>42565</v>
      </c>
      <c r="B2540" s="22">
        <f>(1+B2539)*IF(AND(Painel_diario!$H2536="EU_JD",Painel_diario!$J2536=1),EXP(Painel_diario!$L2536),1)-1</f>
        <v/>
      </c>
      <c r="C2540" s="22">
        <f>(1+C2539)*IF(AND(Painel_diario!$H2536="EU_JU",Painel_diario!$J2536=1),EXP(Painel_diario!$L2536),1)-1</f>
        <v/>
      </c>
      <c r="D2540" s="22">
        <f>(1+D2539)*IF(AND(Painel_diario!$H2536="ED_JD",Painel_diario!$J2536=1),EXP(Painel_diario!$L2536),1)-1</f>
        <v/>
      </c>
      <c r="E2540" s="22">
        <f>(1+E2539)*IF(AND(Painel_diario!$H2536="ED_JU",Painel_diario!$J2536=1),EXP(Painel_diario!$L2536),1)-1</f>
        <v/>
      </c>
    </row>
    <row r="2541">
      <c r="A2541" s="25" t="n">
        <v>42566</v>
      </c>
      <c r="B2541" s="22">
        <f>(1+B2540)*IF(AND(Painel_diario!$H2537="EU_JD",Painel_diario!$J2537=1),EXP(Painel_diario!$L2537),1)-1</f>
        <v/>
      </c>
      <c r="C2541" s="22">
        <f>(1+C2540)*IF(AND(Painel_diario!$H2537="EU_JU",Painel_diario!$J2537=1),EXP(Painel_diario!$L2537),1)-1</f>
        <v/>
      </c>
      <c r="D2541" s="22">
        <f>(1+D2540)*IF(AND(Painel_diario!$H2537="ED_JD",Painel_diario!$J2537=1),EXP(Painel_diario!$L2537),1)-1</f>
        <v/>
      </c>
      <c r="E2541" s="22">
        <f>(1+E2540)*IF(AND(Painel_diario!$H2537="ED_JU",Painel_diario!$J2537=1),EXP(Painel_diario!$L2537),1)-1</f>
        <v/>
      </c>
    </row>
    <row r="2542">
      <c r="A2542" s="25" t="n">
        <v>42569</v>
      </c>
      <c r="B2542" s="22">
        <f>(1+B2541)*IF(AND(Painel_diario!$H2538="EU_JD",Painel_diario!$J2538=1),EXP(Painel_diario!$L2538),1)-1</f>
        <v/>
      </c>
      <c r="C2542" s="22">
        <f>(1+C2541)*IF(AND(Painel_diario!$H2538="EU_JU",Painel_diario!$J2538=1),EXP(Painel_diario!$L2538),1)-1</f>
        <v/>
      </c>
      <c r="D2542" s="22">
        <f>(1+D2541)*IF(AND(Painel_diario!$H2538="ED_JD",Painel_diario!$J2538=1),EXP(Painel_diario!$L2538),1)-1</f>
        <v/>
      </c>
      <c r="E2542" s="22">
        <f>(1+E2541)*IF(AND(Painel_diario!$H2538="ED_JU",Painel_diario!$J2538=1),EXP(Painel_diario!$L2538),1)-1</f>
        <v/>
      </c>
    </row>
    <row r="2543">
      <c r="A2543" s="25" t="n">
        <v>42570</v>
      </c>
      <c r="B2543" s="22">
        <f>(1+B2542)*IF(AND(Painel_diario!$H2539="EU_JD",Painel_diario!$J2539=1),EXP(Painel_diario!$L2539),1)-1</f>
        <v/>
      </c>
      <c r="C2543" s="22">
        <f>(1+C2542)*IF(AND(Painel_diario!$H2539="EU_JU",Painel_diario!$J2539=1),EXP(Painel_diario!$L2539),1)-1</f>
        <v/>
      </c>
      <c r="D2543" s="22">
        <f>(1+D2542)*IF(AND(Painel_diario!$H2539="ED_JD",Painel_diario!$J2539=1),EXP(Painel_diario!$L2539),1)-1</f>
        <v/>
      </c>
      <c r="E2543" s="22">
        <f>(1+E2542)*IF(AND(Painel_diario!$H2539="ED_JU",Painel_diario!$J2539=1),EXP(Painel_diario!$L2539),1)-1</f>
        <v/>
      </c>
    </row>
    <row r="2544">
      <c r="A2544" s="25" t="n">
        <v>42571</v>
      </c>
      <c r="B2544" s="22">
        <f>(1+B2543)*IF(AND(Painel_diario!$H2540="EU_JD",Painel_diario!$J2540=1),EXP(Painel_diario!$L2540),1)-1</f>
        <v/>
      </c>
      <c r="C2544" s="22">
        <f>(1+C2543)*IF(AND(Painel_diario!$H2540="EU_JU",Painel_diario!$J2540=1),EXP(Painel_diario!$L2540),1)-1</f>
        <v/>
      </c>
      <c r="D2544" s="22">
        <f>(1+D2543)*IF(AND(Painel_diario!$H2540="ED_JD",Painel_diario!$J2540=1),EXP(Painel_diario!$L2540),1)-1</f>
        <v/>
      </c>
      <c r="E2544" s="22">
        <f>(1+E2543)*IF(AND(Painel_diario!$H2540="ED_JU",Painel_diario!$J2540=1),EXP(Painel_diario!$L2540),1)-1</f>
        <v/>
      </c>
    </row>
    <row r="2545">
      <c r="A2545" s="25" t="n">
        <v>42572</v>
      </c>
      <c r="B2545" s="22">
        <f>(1+B2544)*IF(AND(Painel_diario!$H2541="EU_JD",Painel_diario!$J2541=1),EXP(Painel_diario!$L2541),1)-1</f>
        <v/>
      </c>
      <c r="C2545" s="22">
        <f>(1+C2544)*IF(AND(Painel_diario!$H2541="EU_JU",Painel_diario!$J2541=1),EXP(Painel_diario!$L2541),1)-1</f>
        <v/>
      </c>
      <c r="D2545" s="22">
        <f>(1+D2544)*IF(AND(Painel_diario!$H2541="ED_JD",Painel_diario!$J2541=1),EXP(Painel_diario!$L2541),1)-1</f>
        <v/>
      </c>
      <c r="E2545" s="22">
        <f>(1+E2544)*IF(AND(Painel_diario!$H2541="ED_JU",Painel_diario!$J2541=1),EXP(Painel_diario!$L2541),1)-1</f>
        <v/>
      </c>
    </row>
    <row r="2546">
      <c r="A2546" s="25" t="n">
        <v>42573</v>
      </c>
      <c r="B2546" s="22">
        <f>(1+B2545)*IF(AND(Painel_diario!$H2542="EU_JD",Painel_diario!$J2542=1),EXP(Painel_diario!$L2542),1)-1</f>
        <v/>
      </c>
      <c r="C2546" s="22">
        <f>(1+C2545)*IF(AND(Painel_diario!$H2542="EU_JU",Painel_diario!$J2542=1),EXP(Painel_diario!$L2542),1)-1</f>
        <v/>
      </c>
      <c r="D2546" s="22">
        <f>(1+D2545)*IF(AND(Painel_diario!$H2542="ED_JD",Painel_diario!$J2542=1),EXP(Painel_diario!$L2542),1)-1</f>
        <v/>
      </c>
      <c r="E2546" s="22">
        <f>(1+E2545)*IF(AND(Painel_diario!$H2542="ED_JU",Painel_diario!$J2542=1),EXP(Painel_diario!$L2542),1)-1</f>
        <v/>
      </c>
    </row>
    <row r="2547">
      <c r="A2547" s="25" t="n">
        <v>42576</v>
      </c>
      <c r="B2547" s="22">
        <f>(1+B2546)*IF(AND(Painel_diario!$H2543="EU_JD",Painel_diario!$J2543=1),EXP(Painel_diario!$L2543),1)-1</f>
        <v/>
      </c>
      <c r="C2547" s="22">
        <f>(1+C2546)*IF(AND(Painel_diario!$H2543="EU_JU",Painel_diario!$J2543=1),EXP(Painel_diario!$L2543),1)-1</f>
        <v/>
      </c>
      <c r="D2547" s="22">
        <f>(1+D2546)*IF(AND(Painel_diario!$H2543="ED_JD",Painel_diario!$J2543=1),EXP(Painel_diario!$L2543),1)-1</f>
        <v/>
      </c>
      <c r="E2547" s="22">
        <f>(1+E2546)*IF(AND(Painel_diario!$H2543="ED_JU",Painel_diario!$J2543=1),EXP(Painel_diario!$L2543),1)-1</f>
        <v/>
      </c>
    </row>
    <row r="2548">
      <c r="A2548" s="25" t="n">
        <v>42577</v>
      </c>
      <c r="B2548" s="22">
        <f>(1+B2547)*IF(AND(Painel_diario!$H2544="EU_JD",Painel_diario!$J2544=1),EXP(Painel_diario!$L2544),1)-1</f>
        <v/>
      </c>
      <c r="C2548" s="22">
        <f>(1+C2547)*IF(AND(Painel_diario!$H2544="EU_JU",Painel_diario!$J2544=1),EXP(Painel_diario!$L2544),1)-1</f>
        <v/>
      </c>
      <c r="D2548" s="22">
        <f>(1+D2547)*IF(AND(Painel_diario!$H2544="ED_JD",Painel_diario!$J2544=1),EXP(Painel_diario!$L2544),1)-1</f>
        <v/>
      </c>
      <c r="E2548" s="22">
        <f>(1+E2547)*IF(AND(Painel_diario!$H2544="ED_JU",Painel_diario!$J2544=1),EXP(Painel_diario!$L2544),1)-1</f>
        <v/>
      </c>
    </row>
    <row r="2549">
      <c r="A2549" s="25" t="n">
        <v>42578</v>
      </c>
      <c r="B2549" s="22">
        <f>(1+B2548)*IF(AND(Painel_diario!$H2545="EU_JD",Painel_diario!$J2545=1),EXP(Painel_diario!$L2545),1)-1</f>
        <v/>
      </c>
      <c r="C2549" s="22">
        <f>(1+C2548)*IF(AND(Painel_diario!$H2545="EU_JU",Painel_diario!$J2545=1),EXP(Painel_diario!$L2545),1)-1</f>
        <v/>
      </c>
      <c r="D2549" s="22">
        <f>(1+D2548)*IF(AND(Painel_diario!$H2545="ED_JD",Painel_diario!$J2545=1),EXP(Painel_diario!$L2545),1)-1</f>
        <v/>
      </c>
      <c r="E2549" s="22">
        <f>(1+E2548)*IF(AND(Painel_diario!$H2545="ED_JU",Painel_diario!$J2545=1),EXP(Painel_diario!$L2545),1)-1</f>
        <v/>
      </c>
    </row>
    <row r="2550">
      <c r="A2550" s="25" t="n">
        <v>42579</v>
      </c>
      <c r="B2550" s="22">
        <f>(1+B2549)*IF(AND(Painel_diario!$H2546="EU_JD",Painel_diario!$J2546=1),EXP(Painel_diario!$L2546),1)-1</f>
        <v/>
      </c>
      <c r="C2550" s="22">
        <f>(1+C2549)*IF(AND(Painel_diario!$H2546="EU_JU",Painel_diario!$J2546=1),EXP(Painel_diario!$L2546),1)-1</f>
        <v/>
      </c>
      <c r="D2550" s="22">
        <f>(1+D2549)*IF(AND(Painel_diario!$H2546="ED_JD",Painel_diario!$J2546=1),EXP(Painel_diario!$L2546),1)-1</f>
        <v/>
      </c>
      <c r="E2550" s="22">
        <f>(1+E2549)*IF(AND(Painel_diario!$H2546="ED_JU",Painel_diario!$J2546=1),EXP(Painel_diario!$L2546),1)-1</f>
        <v/>
      </c>
    </row>
    <row r="2551">
      <c r="A2551" s="25" t="n">
        <v>42580</v>
      </c>
      <c r="B2551" s="22">
        <f>(1+B2550)*IF(AND(Painel_diario!$H2547="EU_JD",Painel_diario!$J2547=1),EXP(Painel_diario!$L2547),1)-1</f>
        <v/>
      </c>
      <c r="C2551" s="22">
        <f>(1+C2550)*IF(AND(Painel_diario!$H2547="EU_JU",Painel_diario!$J2547=1),EXP(Painel_diario!$L2547),1)-1</f>
        <v/>
      </c>
      <c r="D2551" s="22">
        <f>(1+D2550)*IF(AND(Painel_diario!$H2547="ED_JD",Painel_diario!$J2547=1),EXP(Painel_diario!$L2547),1)-1</f>
        <v/>
      </c>
      <c r="E2551" s="22">
        <f>(1+E2550)*IF(AND(Painel_diario!$H2547="ED_JU",Painel_diario!$J2547=1),EXP(Painel_diario!$L2547),1)-1</f>
        <v/>
      </c>
    </row>
    <row r="2552">
      <c r="A2552" s="25" t="n">
        <v>42583</v>
      </c>
      <c r="B2552" s="22">
        <f>(1+B2551)*IF(AND(Painel_diario!$H2548="EU_JD",Painel_diario!$J2548=1),EXP(Painel_diario!$L2548),1)-1</f>
        <v/>
      </c>
      <c r="C2552" s="22">
        <f>(1+C2551)*IF(AND(Painel_diario!$H2548="EU_JU",Painel_diario!$J2548=1),EXP(Painel_diario!$L2548),1)-1</f>
        <v/>
      </c>
      <c r="D2552" s="22">
        <f>(1+D2551)*IF(AND(Painel_diario!$H2548="ED_JD",Painel_diario!$J2548=1),EXP(Painel_diario!$L2548),1)-1</f>
        <v/>
      </c>
      <c r="E2552" s="22">
        <f>(1+E2551)*IF(AND(Painel_diario!$H2548="ED_JU",Painel_diario!$J2548=1),EXP(Painel_diario!$L2548),1)-1</f>
        <v/>
      </c>
    </row>
    <row r="2553">
      <c r="A2553" s="25" t="n">
        <v>42584</v>
      </c>
      <c r="B2553" s="22">
        <f>(1+B2552)*IF(AND(Painel_diario!$H2549="EU_JD",Painel_diario!$J2549=1),EXP(Painel_diario!$L2549),1)-1</f>
        <v/>
      </c>
      <c r="C2553" s="22">
        <f>(1+C2552)*IF(AND(Painel_diario!$H2549="EU_JU",Painel_diario!$J2549=1),EXP(Painel_diario!$L2549),1)-1</f>
        <v/>
      </c>
      <c r="D2553" s="22">
        <f>(1+D2552)*IF(AND(Painel_diario!$H2549="ED_JD",Painel_diario!$J2549=1),EXP(Painel_diario!$L2549),1)-1</f>
        <v/>
      </c>
      <c r="E2553" s="22">
        <f>(1+E2552)*IF(AND(Painel_diario!$H2549="ED_JU",Painel_diario!$J2549=1),EXP(Painel_diario!$L2549),1)-1</f>
        <v/>
      </c>
    </row>
    <row r="2554">
      <c r="A2554" s="25" t="n">
        <v>42585</v>
      </c>
      <c r="B2554" s="22">
        <f>(1+B2553)*IF(AND(Painel_diario!$H2550="EU_JD",Painel_diario!$J2550=1),EXP(Painel_diario!$L2550),1)-1</f>
        <v/>
      </c>
      <c r="C2554" s="22">
        <f>(1+C2553)*IF(AND(Painel_diario!$H2550="EU_JU",Painel_diario!$J2550=1),EXP(Painel_diario!$L2550),1)-1</f>
        <v/>
      </c>
      <c r="D2554" s="22">
        <f>(1+D2553)*IF(AND(Painel_diario!$H2550="ED_JD",Painel_diario!$J2550=1),EXP(Painel_diario!$L2550),1)-1</f>
        <v/>
      </c>
      <c r="E2554" s="22">
        <f>(1+E2553)*IF(AND(Painel_diario!$H2550="ED_JU",Painel_diario!$J2550=1),EXP(Painel_diario!$L2550),1)-1</f>
        <v/>
      </c>
    </row>
    <row r="2555">
      <c r="A2555" s="25" t="n">
        <v>42586</v>
      </c>
      <c r="B2555" s="22">
        <f>(1+B2554)*IF(AND(Painel_diario!$H2551="EU_JD",Painel_diario!$J2551=1),EXP(Painel_diario!$L2551),1)-1</f>
        <v/>
      </c>
      <c r="C2555" s="22">
        <f>(1+C2554)*IF(AND(Painel_diario!$H2551="EU_JU",Painel_diario!$J2551=1),EXP(Painel_diario!$L2551),1)-1</f>
        <v/>
      </c>
      <c r="D2555" s="22">
        <f>(1+D2554)*IF(AND(Painel_diario!$H2551="ED_JD",Painel_diario!$J2551=1),EXP(Painel_diario!$L2551),1)-1</f>
        <v/>
      </c>
      <c r="E2555" s="22">
        <f>(1+E2554)*IF(AND(Painel_diario!$H2551="ED_JU",Painel_diario!$J2551=1),EXP(Painel_diario!$L2551),1)-1</f>
        <v/>
      </c>
    </row>
    <row r="2556">
      <c r="A2556" s="25" t="n">
        <v>42587</v>
      </c>
      <c r="B2556" s="22">
        <f>(1+B2555)*IF(AND(Painel_diario!$H2552="EU_JD",Painel_diario!$J2552=1),EXP(Painel_diario!$L2552),1)-1</f>
        <v/>
      </c>
      <c r="C2556" s="22">
        <f>(1+C2555)*IF(AND(Painel_diario!$H2552="EU_JU",Painel_diario!$J2552=1),EXP(Painel_diario!$L2552),1)-1</f>
        <v/>
      </c>
      <c r="D2556" s="22">
        <f>(1+D2555)*IF(AND(Painel_diario!$H2552="ED_JD",Painel_diario!$J2552=1),EXP(Painel_diario!$L2552),1)-1</f>
        <v/>
      </c>
      <c r="E2556" s="22">
        <f>(1+E2555)*IF(AND(Painel_diario!$H2552="ED_JU",Painel_diario!$J2552=1),EXP(Painel_diario!$L2552),1)-1</f>
        <v/>
      </c>
    </row>
    <row r="2557">
      <c r="A2557" s="25" t="n">
        <v>42590</v>
      </c>
      <c r="B2557" s="22">
        <f>(1+B2556)*IF(AND(Painel_diario!$H2553="EU_JD",Painel_diario!$J2553=1),EXP(Painel_diario!$L2553),1)-1</f>
        <v/>
      </c>
      <c r="C2557" s="22">
        <f>(1+C2556)*IF(AND(Painel_diario!$H2553="EU_JU",Painel_diario!$J2553=1),EXP(Painel_diario!$L2553),1)-1</f>
        <v/>
      </c>
      <c r="D2557" s="22">
        <f>(1+D2556)*IF(AND(Painel_diario!$H2553="ED_JD",Painel_diario!$J2553=1),EXP(Painel_diario!$L2553),1)-1</f>
        <v/>
      </c>
      <c r="E2557" s="22">
        <f>(1+E2556)*IF(AND(Painel_diario!$H2553="ED_JU",Painel_diario!$J2553=1),EXP(Painel_diario!$L2553),1)-1</f>
        <v/>
      </c>
    </row>
    <row r="2558">
      <c r="A2558" s="25" t="n">
        <v>42591</v>
      </c>
      <c r="B2558" s="22">
        <f>(1+B2557)*IF(AND(Painel_diario!$H2554="EU_JD",Painel_diario!$J2554=1),EXP(Painel_diario!$L2554),1)-1</f>
        <v/>
      </c>
      <c r="C2558" s="22">
        <f>(1+C2557)*IF(AND(Painel_diario!$H2554="EU_JU",Painel_diario!$J2554=1),EXP(Painel_diario!$L2554),1)-1</f>
        <v/>
      </c>
      <c r="D2558" s="22">
        <f>(1+D2557)*IF(AND(Painel_diario!$H2554="ED_JD",Painel_diario!$J2554=1),EXP(Painel_diario!$L2554),1)-1</f>
        <v/>
      </c>
      <c r="E2558" s="22">
        <f>(1+E2557)*IF(AND(Painel_diario!$H2554="ED_JU",Painel_diario!$J2554=1),EXP(Painel_diario!$L2554),1)-1</f>
        <v/>
      </c>
    </row>
    <row r="2559">
      <c r="A2559" s="25" t="n">
        <v>42592</v>
      </c>
      <c r="B2559" s="22">
        <f>(1+B2558)*IF(AND(Painel_diario!$H2555="EU_JD",Painel_diario!$J2555=1),EXP(Painel_diario!$L2555),1)-1</f>
        <v/>
      </c>
      <c r="C2559" s="22">
        <f>(1+C2558)*IF(AND(Painel_diario!$H2555="EU_JU",Painel_diario!$J2555=1),EXP(Painel_diario!$L2555),1)-1</f>
        <v/>
      </c>
      <c r="D2559" s="22">
        <f>(1+D2558)*IF(AND(Painel_diario!$H2555="ED_JD",Painel_diario!$J2555=1),EXP(Painel_diario!$L2555),1)-1</f>
        <v/>
      </c>
      <c r="E2559" s="22">
        <f>(1+E2558)*IF(AND(Painel_diario!$H2555="ED_JU",Painel_diario!$J2555=1),EXP(Painel_diario!$L2555),1)-1</f>
        <v/>
      </c>
    </row>
    <row r="2560">
      <c r="A2560" s="25" t="n">
        <v>42593</v>
      </c>
      <c r="B2560" s="22">
        <f>(1+B2559)*IF(AND(Painel_diario!$H2556="EU_JD",Painel_diario!$J2556=1),EXP(Painel_diario!$L2556),1)-1</f>
        <v/>
      </c>
      <c r="C2560" s="22">
        <f>(1+C2559)*IF(AND(Painel_diario!$H2556="EU_JU",Painel_diario!$J2556=1),EXP(Painel_diario!$L2556),1)-1</f>
        <v/>
      </c>
      <c r="D2560" s="22">
        <f>(1+D2559)*IF(AND(Painel_diario!$H2556="ED_JD",Painel_diario!$J2556=1),EXP(Painel_diario!$L2556),1)-1</f>
        <v/>
      </c>
      <c r="E2560" s="22">
        <f>(1+E2559)*IF(AND(Painel_diario!$H2556="ED_JU",Painel_diario!$J2556=1),EXP(Painel_diario!$L2556),1)-1</f>
        <v/>
      </c>
    </row>
    <row r="2561">
      <c r="A2561" s="25" t="n">
        <v>42594</v>
      </c>
      <c r="B2561" s="22">
        <f>(1+B2560)*IF(AND(Painel_diario!$H2557="EU_JD",Painel_diario!$J2557=1),EXP(Painel_diario!$L2557),1)-1</f>
        <v/>
      </c>
      <c r="C2561" s="22">
        <f>(1+C2560)*IF(AND(Painel_diario!$H2557="EU_JU",Painel_diario!$J2557=1),EXP(Painel_diario!$L2557),1)-1</f>
        <v/>
      </c>
      <c r="D2561" s="22">
        <f>(1+D2560)*IF(AND(Painel_diario!$H2557="ED_JD",Painel_diario!$J2557=1),EXP(Painel_diario!$L2557),1)-1</f>
        <v/>
      </c>
      <c r="E2561" s="22">
        <f>(1+E2560)*IF(AND(Painel_diario!$H2557="ED_JU",Painel_diario!$J2557=1),EXP(Painel_diario!$L2557),1)-1</f>
        <v/>
      </c>
    </row>
    <row r="2562">
      <c r="A2562" s="25" t="n">
        <v>42597</v>
      </c>
      <c r="B2562" s="22">
        <f>(1+B2561)*IF(AND(Painel_diario!$H2558="EU_JD",Painel_diario!$J2558=1),EXP(Painel_diario!$L2558),1)-1</f>
        <v/>
      </c>
      <c r="C2562" s="22">
        <f>(1+C2561)*IF(AND(Painel_diario!$H2558="EU_JU",Painel_diario!$J2558=1),EXP(Painel_diario!$L2558),1)-1</f>
        <v/>
      </c>
      <c r="D2562" s="22">
        <f>(1+D2561)*IF(AND(Painel_diario!$H2558="ED_JD",Painel_diario!$J2558=1),EXP(Painel_diario!$L2558),1)-1</f>
        <v/>
      </c>
      <c r="E2562" s="22">
        <f>(1+E2561)*IF(AND(Painel_diario!$H2558="ED_JU",Painel_diario!$J2558=1),EXP(Painel_diario!$L2558),1)-1</f>
        <v/>
      </c>
    </row>
    <row r="2563">
      <c r="A2563" s="25" t="n">
        <v>42598</v>
      </c>
      <c r="B2563" s="22">
        <f>(1+B2562)*IF(AND(Painel_diario!$H2559="EU_JD",Painel_diario!$J2559=1),EXP(Painel_diario!$L2559),1)-1</f>
        <v/>
      </c>
      <c r="C2563" s="22">
        <f>(1+C2562)*IF(AND(Painel_diario!$H2559="EU_JU",Painel_diario!$J2559=1),EXP(Painel_diario!$L2559),1)-1</f>
        <v/>
      </c>
      <c r="D2563" s="22">
        <f>(1+D2562)*IF(AND(Painel_diario!$H2559="ED_JD",Painel_diario!$J2559=1),EXP(Painel_diario!$L2559),1)-1</f>
        <v/>
      </c>
      <c r="E2563" s="22">
        <f>(1+E2562)*IF(AND(Painel_diario!$H2559="ED_JU",Painel_diario!$J2559=1),EXP(Painel_diario!$L2559),1)-1</f>
        <v/>
      </c>
    </row>
    <row r="2564">
      <c r="A2564" s="25" t="n">
        <v>42599</v>
      </c>
      <c r="B2564" s="22">
        <f>(1+B2563)*IF(AND(Painel_diario!$H2560="EU_JD",Painel_diario!$J2560=1),EXP(Painel_diario!$L2560),1)-1</f>
        <v/>
      </c>
      <c r="C2564" s="22">
        <f>(1+C2563)*IF(AND(Painel_diario!$H2560="EU_JU",Painel_diario!$J2560=1),EXP(Painel_diario!$L2560),1)-1</f>
        <v/>
      </c>
      <c r="D2564" s="22">
        <f>(1+D2563)*IF(AND(Painel_diario!$H2560="ED_JD",Painel_diario!$J2560=1),EXP(Painel_diario!$L2560),1)-1</f>
        <v/>
      </c>
      <c r="E2564" s="22">
        <f>(1+E2563)*IF(AND(Painel_diario!$H2560="ED_JU",Painel_diario!$J2560=1),EXP(Painel_diario!$L2560),1)-1</f>
        <v/>
      </c>
    </row>
    <row r="2565">
      <c r="A2565" s="25" t="n">
        <v>42600</v>
      </c>
      <c r="B2565" s="22">
        <f>(1+B2564)*IF(AND(Painel_diario!$H2561="EU_JD",Painel_diario!$J2561=1),EXP(Painel_diario!$L2561),1)-1</f>
        <v/>
      </c>
      <c r="C2565" s="22">
        <f>(1+C2564)*IF(AND(Painel_diario!$H2561="EU_JU",Painel_diario!$J2561=1),EXP(Painel_diario!$L2561),1)-1</f>
        <v/>
      </c>
      <c r="D2565" s="22">
        <f>(1+D2564)*IF(AND(Painel_diario!$H2561="ED_JD",Painel_diario!$J2561=1),EXP(Painel_diario!$L2561),1)-1</f>
        <v/>
      </c>
      <c r="E2565" s="22">
        <f>(1+E2564)*IF(AND(Painel_diario!$H2561="ED_JU",Painel_diario!$J2561=1),EXP(Painel_diario!$L2561),1)-1</f>
        <v/>
      </c>
    </row>
    <row r="2566">
      <c r="A2566" s="25" t="n">
        <v>42601</v>
      </c>
      <c r="B2566" s="22">
        <f>(1+B2565)*IF(AND(Painel_diario!$H2562="EU_JD",Painel_diario!$J2562=1),EXP(Painel_diario!$L2562),1)-1</f>
        <v/>
      </c>
      <c r="C2566" s="22">
        <f>(1+C2565)*IF(AND(Painel_diario!$H2562="EU_JU",Painel_diario!$J2562=1),EXP(Painel_diario!$L2562),1)-1</f>
        <v/>
      </c>
      <c r="D2566" s="22">
        <f>(1+D2565)*IF(AND(Painel_diario!$H2562="ED_JD",Painel_diario!$J2562=1),EXP(Painel_diario!$L2562),1)-1</f>
        <v/>
      </c>
      <c r="E2566" s="22">
        <f>(1+E2565)*IF(AND(Painel_diario!$H2562="ED_JU",Painel_diario!$J2562=1),EXP(Painel_diario!$L2562),1)-1</f>
        <v/>
      </c>
    </row>
    <row r="2567">
      <c r="A2567" s="25" t="n">
        <v>42604</v>
      </c>
      <c r="B2567" s="22">
        <f>(1+B2566)*IF(AND(Painel_diario!$H2563="EU_JD",Painel_diario!$J2563=1),EXP(Painel_diario!$L2563),1)-1</f>
        <v/>
      </c>
      <c r="C2567" s="22">
        <f>(1+C2566)*IF(AND(Painel_diario!$H2563="EU_JU",Painel_diario!$J2563=1),EXP(Painel_diario!$L2563),1)-1</f>
        <v/>
      </c>
      <c r="D2567" s="22">
        <f>(1+D2566)*IF(AND(Painel_diario!$H2563="ED_JD",Painel_diario!$J2563=1),EXP(Painel_diario!$L2563),1)-1</f>
        <v/>
      </c>
      <c r="E2567" s="22">
        <f>(1+E2566)*IF(AND(Painel_diario!$H2563="ED_JU",Painel_diario!$J2563=1),EXP(Painel_diario!$L2563),1)-1</f>
        <v/>
      </c>
    </row>
    <row r="2568">
      <c r="A2568" s="25" t="n">
        <v>42605</v>
      </c>
      <c r="B2568" s="22">
        <f>(1+B2567)*IF(AND(Painel_diario!$H2564="EU_JD",Painel_diario!$J2564=1),EXP(Painel_diario!$L2564),1)-1</f>
        <v/>
      </c>
      <c r="C2568" s="22">
        <f>(1+C2567)*IF(AND(Painel_diario!$H2564="EU_JU",Painel_diario!$J2564=1),EXP(Painel_diario!$L2564),1)-1</f>
        <v/>
      </c>
      <c r="D2568" s="22">
        <f>(1+D2567)*IF(AND(Painel_diario!$H2564="ED_JD",Painel_diario!$J2564=1),EXP(Painel_diario!$L2564),1)-1</f>
        <v/>
      </c>
      <c r="E2568" s="22">
        <f>(1+E2567)*IF(AND(Painel_diario!$H2564="ED_JU",Painel_diario!$J2564=1),EXP(Painel_diario!$L2564),1)-1</f>
        <v/>
      </c>
    </row>
    <row r="2569">
      <c r="A2569" s="25" t="n">
        <v>42606</v>
      </c>
      <c r="B2569" s="22">
        <f>(1+B2568)*IF(AND(Painel_diario!$H2565="EU_JD",Painel_diario!$J2565=1),EXP(Painel_diario!$L2565),1)-1</f>
        <v/>
      </c>
      <c r="C2569" s="22">
        <f>(1+C2568)*IF(AND(Painel_diario!$H2565="EU_JU",Painel_diario!$J2565=1),EXP(Painel_diario!$L2565),1)-1</f>
        <v/>
      </c>
      <c r="D2569" s="22">
        <f>(1+D2568)*IF(AND(Painel_diario!$H2565="ED_JD",Painel_diario!$J2565=1),EXP(Painel_diario!$L2565),1)-1</f>
        <v/>
      </c>
      <c r="E2569" s="22">
        <f>(1+E2568)*IF(AND(Painel_diario!$H2565="ED_JU",Painel_diario!$J2565=1),EXP(Painel_diario!$L2565),1)-1</f>
        <v/>
      </c>
    </row>
    <row r="2570">
      <c r="A2570" s="25" t="n">
        <v>42607</v>
      </c>
      <c r="B2570" s="22">
        <f>(1+B2569)*IF(AND(Painel_diario!$H2566="EU_JD",Painel_diario!$J2566=1),EXP(Painel_diario!$L2566),1)-1</f>
        <v/>
      </c>
      <c r="C2570" s="22">
        <f>(1+C2569)*IF(AND(Painel_diario!$H2566="EU_JU",Painel_diario!$J2566=1),EXP(Painel_diario!$L2566),1)-1</f>
        <v/>
      </c>
      <c r="D2570" s="22">
        <f>(1+D2569)*IF(AND(Painel_diario!$H2566="ED_JD",Painel_diario!$J2566=1),EXP(Painel_diario!$L2566),1)-1</f>
        <v/>
      </c>
      <c r="E2570" s="22">
        <f>(1+E2569)*IF(AND(Painel_diario!$H2566="ED_JU",Painel_diario!$J2566=1),EXP(Painel_diario!$L2566),1)-1</f>
        <v/>
      </c>
    </row>
    <row r="2571">
      <c r="A2571" s="25" t="n">
        <v>42608</v>
      </c>
      <c r="B2571" s="22">
        <f>(1+B2570)*IF(AND(Painel_diario!$H2567="EU_JD",Painel_diario!$J2567=1),EXP(Painel_diario!$L2567),1)-1</f>
        <v/>
      </c>
      <c r="C2571" s="22">
        <f>(1+C2570)*IF(AND(Painel_diario!$H2567="EU_JU",Painel_diario!$J2567=1),EXP(Painel_diario!$L2567),1)-1</f>
        <v/>
      </c>
      <c r="D2571" s="22">
        <f>(1+D2570)*IF(AND(Painel_diario!$H2567="ED_JD",Painel_diario!$J2567=1),EXP(Painel_diario!$L2567),1)-1</f>
        <v/>
      </c>
      <c r="E2571" s="22">
        <f>(1+E2570)*IF(AND(Painel_diario!$H2567="ED_JU",Painel_diario!$J2567=1),EXP(Painel_diario!$L2567),1)-1</f>
        <v/>
      </c>
    </row>
    <row r="2572">
      <c r="A2572" s="25" t="n">
        <v>42611</v>
      </c>
      <c r="B2572" s="22">
        <f>(1+B2571)*IF(AND(Painel_diario!$H2568="EU_JD",Painel_diario!$J2568=1),EXP(Painel_diario!$L2568),1)-1</f>
        <v/>
      </c>
      <c r="C2572" s="22">
        <f>(1+C2571)*IF(AND(Painel_diario!$H2568="EU_JU",Painel_diario!$J2568=1),EXP(Painel_diario!$L2568),1)-1</f>
        <v/>
      </c>
      <c r="D2572" s="22">
        <f>(1+D2571)*IF(AND(Painel_diario!$H2568="ED_JD",Painel_diario!$J2568=1),EXP(Painel_diario!$L2568),1)-1</f>
        <v/>
      </c>
      <c r="E2572" s="22">
        <f>(1+E2571)*IF(AND(Painel_diario!$H2568="ED_JU",Painel_diario!$J2568=1),EXP(Painel_diario!$L2568),1)-1</f>
        <v/>
      </c>
    </row>
    <row r="2573">
      <c r="A2573" s="25" t="n">
        <v>42612</v>
      </c>
      <c r="B2573" s="22">
        <f>(1+B2572)*IF(AND(Painel_diario!$H2569="EU_JD",Painel_diario!$J2569=1),EXP(Painel_diario!$L2569),1)-1</f>
        <v/>
      </c>
      <c r="C2573" s="22">
        <f>(1+C2572)*IF(AND(Painel_diario!$H2569="EU_JU",Painel_diario!$J2569=1),EXP(Painel_diario!$L2569),1)-1</f>
        <v/>
      </c>
      <c r="D2573" s="22">
        <f>(1+D2572)*IF(AND(Painel_diario!$H2569="ED_JD",Painel_diario!$J2569=1),EXP(Painel_diario!$L2569),1)-1</f>
        <v/>
      </c>
      <c r="E2573" s="22">
        <f>(1+E2572)*IF(AND(Painel_diario!$H2569="ED_JU",Painel_diario!$J2569=1),EXP(Painel_diario!$L2569),1)-1</f>
        <v/>
      </c>
    </row>
    <row r="2574">
      <c r="A2574" s="25" t="n">
        <v>42613</v>
      </c>
      <c r="B2574" s="22">
        <f>(1+B2573)*IF(AND(Painel_diario!$H2570="EU_JD",Painel_diario!$J2570=1),EXP(Painel_diario!$L2570),1)-1</f>
        <v/>
      </c>
      <c r="C2574" s="22">
        <f>(1+C2573)*IF(AND(Painel_diario!$H2570="EU_JU",Painel_diario!$J2570=1),EXP(Painel_diario!$L2570),1)-1</f>
        <v/>
      </c>
      <c r="D2574" s="22">
        <f>(1+D2573)*IF(AND(Painel_diario!$H2570="ED_JD",Painel_diario!$J2570=1),EXP(Painel_diario!$L2570),1)-1</f>
        <v/>
      </c>
      <c r="E2574" s="22">
        <f>(1+E2573)*IF(AND(Painel_diario!$H2570="ED_JU",Painel_diario!$J2570=1),EXP(Painel_diario!$L2570),1)-1</f>
        <v/>
      </c>
    </row>
    <row r="2575">
      <c r="A2575" s="25" t="n">
        <v>42614</v>
      </c>
      <c r="B2575" s="22">
        <f>(1+B2574)*IF(AND(Painel_diario!$H2571="EU_JD",Painel_diario!$J2571=1),EXP(Painel_diario!$L2571),1)-1</f>
        <v/>
      </c>
      <c r="C2575" s="22">
        <f>(1+C2574)*IF(AND(Painel_diario!$H2571="EU_JU",Painel_diario!$J2571=1),EXP(Painel_diario!$L2571),1)-1</f>
        <v/>
      </c>
      <c r="D2575" s="22">
        <f>(1+D2574)*IF(AND(Painel_diario!$H2571="ED_JD",Painel_diario!$J2571=1),EXP(Painel_diario!$L2571),1)-1</f>
        <v/>
      </c>
      <c r="E2575" s="22">
        <f>(1+E2574)*IF(AND(Painel_diario!$H2571="ED_JU",Painel_diario!$J2571=1),EXP(Painel_diario!$L2571),1)-1</f>
        <v/>
      </c>
    </row>
    <row r="2576">
      <c r="A2576" s="25" t="n">
        <v>42615</v>
      </c>
      <c r="B2576" s="22">
        <f>(1+B2575)*IF(AND(Painel_diario!$H2572="EU_JD",Painel_diario!$J2572=1),EXP(Painel_diario!$L2572),1)-1</f>
        <v/>
      </c>
      <c r="C2576" s="22">
        <f>(1+C2575)*IF(AND(Painel_diario!$H2572="EU_JU",Painel_diario!$J2572=1),EXP(Painel_diario!$L2572),1)-1</f>
        <v/>
      </c>
      <c r="D2576" s="22">
        <f>(1+D2575)*IF(AND(Painel_diario!$H2572="ED_JD",Painel_diario!$J2572=1),EXP(Painel_diario!$L2572),1)-1</f>
        <v/>
      </c>
      <c r="E2576" s="22">
        <f>(1+E2575)*IF(AND(Painel_diario!$H2572="ED_JU",Painel_diario!$J2572=1),EXP(Painel_diario!$L2572),1)-1</f>
        <v/>
      </c>
    </row>
    <row r="2577">
      <c r="A2577" s="25" t="n">
        <v>42618</v>
      </c>
      <c r="B2577" s="22">
        <f>(1+B2576)*IF(AND(Painel_diario!$H2573="EU_JD",Painel_diario!$J2573=1),EXP(Painel_diario!$L2573),1)-1</f>
        <v/>
      </c>
      <c r="C2577" s="22">
        <f>(1+C2576)*IF(AND(Painel_diario!$H2573="EU_JU",Painel_diario!$J2573=1),EXP(Painel_diario!$L2573),1)-1</f>
        <v/>
      </c>
      <c r="D2577" s="22">
        <f>(1+D2576)*IF(AND(Painel_diario!$H2573="ED_JD",Painel_diario!$J2573=1),EXP(Painel_diario!$L2573),1)-1</f>
        <v/>
      </c>
      <c r="E2577" s="22">
        <f>(1+E2576)*IF(AND(Painel_diario!$H2573="ED_JU",Painel_diario!$J2573=1),EXP(Painel_diario!$L2573),1)-1</f>
        <v/>
      </c>
    </row>
    <row r="2578">
      <c r="A2578" s="25" t="n">
        <v>42619</v>
      </c>
      <c r="B2578" s="22">
        <f>(1+B2577)*IF(AND(Painel_diario!$H2574="EU_JD",Painel_diario!$J2574=1),EXP(Painel_diario!$L2574),1)-1</f>
        <v/>
      </c>
      <c r="C2578" s="22">
        <f>(1+C2577)*IF(AND(Painel_diario!$H2574="EU_JU",Painel_diario!$J2574=1),EXP(Painel_diario!$L2574),1)-1</f>
        <v/>
      </c>
      <c r="D2578" s="22">
        <f>(1+D2577)*IF(AND(Painel_diario!$H2574="ED_JD",Painel_diario!$J2574=1),EXP(Painel_diario!$L2574),1)-1</f>
        <v/>
      </c>
      <c r="E2578" s="22">
        <f>(1+E2577)*IF(AND(Painel_diario!$H2574="ED_JU",Painel_diario!$J2574=1),EXP(Painel_diario!$L2574),1)-1</f>
        <v/>
      </c>
    </row>
    <row r="2579">
      <c r="A2579" s="25" t="n">
        <v>42621</v>
      </c>
      <c r="B2579" s="22">
        <f>(1+B2578)*IF(AND(Painel_diario!$H2575="EU_JD",Painel_diario!$J2575=1),EXP(Painel_diario!$L2575),1)-1</f>
        <v/>
      </c>
      <c r="C2579" s="22">
        <f>(1+C2578)*IF(AND(Painel_diario!$H2575="EU_JU",Painel_diario!$J2575=1),EXP(Painel_diario!$L2575),1)-1</f>
        <v/>
      </c>
      <c r="D2579" s="22">
        <f>(1+D2578)*IF(AND(Painel_diario!$H2575="ED_JD",Painel_diario!$J2575=1),EXP(Painel_diario!$L2575),1)-1</f>
        <v/>
      </c>
      <c r="E2579" s="22">
        <f>(1+E2578)*IF(AND(Painel_diario!$H2575="ED_JU",Painel_diario!$J2575=1),EXP(Painel_diario!$L2575),1)-1</f>
        <v/>
      </c>
    </row>
    <row r="2580">
      <c r="A2580" s="25" t="n">
        <v>42622</v>
      </c>
      <c r="B2580" s="22">
        <f>(1+B2579)*IF(AND(Painel_diario!$H2576="EU_JD",Painel_diario!$J2576=1),EXP(Painel_diario!$L2576),1)-1</f>
        <v/>
      </c>
      <c r="C2580" s="22">
        <f>(1+C2579)*IF(AND(Painel_diario!$H2576="EU_JU",Painel_diario!$J2576=1),EXP(Painel_diario!$L2576),1)-1</f>
        <v/>
      </c>
      <c r="D2580" s="22">
        <f>(1+D2579)*IF(AND(Painel_diario!$H2576="ED_JD",Painel_diario!$J2576=1),EXP(Painel_diario!$L2576),1)-1</f>
        <v/>
      </c>
      <c r="E2580" s="22">
        <f>(1+E2579)*IF(AND(Painel_diario!$H2576="ED_JU",Painel_diario!$J2576=1),EXP(Painel_diario!$L2576),1)-1</f>
        <v/>
      </c>
    </row>
    <row r="2581">
      <c r="A2581" s="25" t="n">
        <v>42625</v>
      </c>
      <c r="B2581" s="22">
        <f>(1+B2580)*IF(AND(Painel_diario!$H2577="EU_JD",Painel_diario!$J2577=1),EXP(Painel_diario!$L2577),1)-1</f>
        <v/>
      </c>
      <c r="C2581" s="22">
        <f>(1+C2580)*IF(AND(Painel_diario!$H2577="EU_JU",Painel_diario!$J2577=1),EXP(Painel_diario!$L2577),1)-1</f>
        <v/>
      </c>
      <c r="D2581" s="22">
        <f>(1+D2580)*IF(AND(Painel_diario!$H2577="ED_JD",Painel_diario!$J2577=1),EXP(Painel_diario!$L2577),1)-1</f>
        <v/>
      </c>
      <c r="E2581" s="22">
        <f>(1+E2580)*IF(AND(Painel_diario!$H2577="ED_JU",Painel_diario!$J2577=1),EXP(Painel_diario!$L2577),1)-1</f>
        <v/>
      </c>
    </row>
    <row r="2582">
      <c r="A2582" s="25" t="n">
        <v>42626</v>
      </c>
      <c r="B2582" s="22">
        <f>(1+B2581)*IF(AND(Painel_diario!$H2578="EU_JD",Painel_diario!$J2578=1),EXP(Painel_diario!$L2578),1)-1</f>
        <v/>
      </c>
      <c r="C2582" s="22">
        <f>(1+C2581)*IF(AND(Painel_diario!$H2578="EU_JU",Painel_diario!$J2578=1),EXP(Painel_diario!$L2578),1)-1</f>
        <v/>
      </c>
      <c r="D2582" s="22">
        <f>(1+D2581)*IF(AND(Painel_diario!$H2578="ED_JD",Painel_diario!$J2578=1),EXP(Painel_diario!$L2578),1)-1</f>
        <v/>
      </c>
      <c r="E2582" s="22">
        <f>(1+E2581)*IF(AND(Painel_diario!$H2578="ED_JU",Painel_diario!$J2578=1),EXP(Painel_diario!$L2578),1)-1</f>
        <v/>
      </c>
    </row>
    <row r="2583">
      <c r="A2583" s="25" t="n">
        <v>42627</v>
      </c>
      <c r="B2583" s="22">
        <f>(1+B2582)*IF(AND(Painel_diario!$H2579="EU_JD",Painel_diario!$J2579=1),EXP(Painel_diario!$L2579),1)-1</f>
        <v/>
      </c>
      <c r="C2583" s="22">
        <f>(1+C2582)*IF(AND(Painel_diario!$H2579="EU_JU",Painel_diario!$J2579=1),EXP(Painel_diario!$L2579),1)-1</f>
        <v/>
      </c>
      <c r="D2583" s="22">
        <f>(1+D2582)*IF(AND(Painel_diario!$H2579="ED_JD",Painel_diario!$J2579=1),EXP(Painel_diario!$L2579),1)-1</f>
        <v/>
      </c>
      <c r="E2583" s="22">
        <f>(1+E2582)*IF(AND(Painel_diario!$H2579="ED_JU",Painel_diario!$J2579=1),EXP(Painel_diario!$L2579),1)-1</f>
        <v/>
      </c>
    </row>
    <row r="2584">
      <c r="A2584" s="25" t="n">
        <v>42628</v>
      </c>
      <c r="B2584" s="22">
        <f>(1+B2583)*IF(AND(Painel_diario!$H2580="EU_JD",Painel_diario!$J2580=1),EXP(Painel_diario!$L2580),1)-1</f>
        <v/>
      </c>
      <c r="C2584" s="22">
        <f>(1+C2583)*IF(AND(Painel_diario!$H2580="EU_JU",Painel_diario!$J2580=1),EXP(Painel_diario!$L2580),1)-1</f>
        <v/>
      </c>
      <c r="D2584" s="22">
        <f>(1+D2583)*IF(AND(Painel_diario!$H2580="ED_JD",Painel_diario!$J2580=1),EXP(Painel_diario!$L2580),1)-1</f>
        <v/>
      </c>
      <c r="E2584" s="22">
        <f>(1+E2583)*IF(AND(Painel_diario!$H2580="ED_JU",Painel_diario!$J2580=1),EXP(Painel_diario!$L2580),1)-1</f>
        <v/>
      </c>
    </row>
    <row r="2585">
      <c r="A2585" s="25" t="n">
        <v>42629</v>
      </c>
      <c r="B2585" s="22">
        <f>(1+B2584)*IF(AND(Painel_diario!$H2581="EU_JD",Painel_diario!$J2581=1),EXP(Painel_diario!$L2581),1)-1</f>
        <v/>
      </c>
      <c r="C2585" s="22">
        <f>(1+C2584)*IF(AND(Painel_diario!$H2581="EU_JU",Painel_diario!$J2581=1),EXP(Painel_diario!$L2581),1)-1</f>
        <v/>
      </c>
      <c r="D2585" s="22">
        <f>(1+D2584)*IF(AND(Painel_diario!$H2581="ED_JD",Painel_diario!$J2581=1),EXP(Painel_diario!$L2581),1)-1</f>
        <v/>
      </c>
      <c r="E2585" s="22">
        <f>(1+E2584)*IF(AND(Painel_diario!$H2581="ED_JU",Painel_diario!$J2581=1),EXP(Painel_diario!$L2581),1)-1</f>
        <v/>
      </c>
    </row>
    <row r="2586">
      <c r="A2586" s="25" t="n">
        <v>42632</v>
      </c>
      <c r="B2586" s="22">
        <f>(1+B2585)*IF(AND(Painel_diario!$H2582="EU_JD",Painel_diario!$J2582=1),EXP(Painel_diario!$L2582),1)-1</f>
        <v/>
      </c>
      <c r="C2586" s="22">
        <f>(1+C2585)*IF(AND(Painel_diario!$H2582="EU_JU",Painel_diario!$J2582=1),EXP(Painel_diario!$L2582),1)-1</f>
        <v/>
      </c>
      <c r="D2586" s="22">
        <f>(1+D2585)*IF(AND(Painel_diario!$H2582="ED_JD",Painel_diario!$J2582=1),EXP(Painel_diario!$L2582),1)-1</f>
        <v/>
      </c>
      <c r="E2586" s="22">
        <f>(1+E2585)*IF(AND(Painel_diario!$H2582="ED_JU",Painel_diario!$J2582=1),EXP(Painel_diario!$L2582),1)-1</f>
        <v/>
      </c>
    </row>
    <row r="2587">
      <c r="A2587" s="25" t="n">
        <v>42633</v>
      </c>
      <c r="B2587" s="22">
        <f>(1+B2586)*IF(AND(Painel_diario!$H2583="EU_JD",Painel_diario!$J2583=1),EXP(Painel_diario!$L2583),1)-1</f>
        <v/>
      </c>
      <c r="C2587" s="22">
        <f>(1+C2586)*IF(AND(Painel_diario!$H2583="EU_JU",Painel_diario!$J2583=1),EXP(Painel_diario!$L2583),1)-1</f>
        <v/>
      </c>
      <c r="D2587" s="22">
        <f>(1+D2586)*IF(AND(Painel_diario!$H2583="ED_JD",Painel_diario!$J2583=1),EXP(Painel_diario!$L2583),1)-1</f>
        <v/>
      </c>
      <c r="E2587" s="22">
        <f>(1+E2586)*IF(AND(Painel_diario!$H2583="ED_JU",Painel_diario!$J2583=1),EXP(Painel_diario!$L2583),1)-1</f>
        <v/>
      </c>
    </row>
    <row r="2588">
      <c r="A2588" s="25" t="n">
        <v>42634</v>
      </c>
      <c r="B2588" s="22">
        <f>(1+B2587)*IF(AND(Painel_diario!$H2584="EU_JD",Painel_diario!$J2584=1),EXP(Painel_diario!$L2584),1)-1</f>
        <v/>
      </c>
      <c r="C2588" s="22">
        <f>(1+C2587)*IF(AND(Painel_diario!$H2584="EU_JU",Painel_diario!$J2584=1),EXP(Painel_diario!$L2584),1)-1</f>
        <v/>
      </c>
      <c r="D2588" s="22">
        <f>(1+D2587)*IF(AND(Painel_diario!$H2584="ED_JD",Painel_diario!$J2584=1),EXP(Painel_diario!$L2584),1)-1</f>
        <v/>
      </c>
      <c r="E2588" s="22">
        <f>(1+E2587)*IF(AND(Painel_diario!$H2584="ED_JU",Painel_diario!$J2584=1),EXP(Painel_diario!$L2584),1)-1</f>
        <v/>
      </c>
    </row>
    <row r="2589">
      <c r="A2589" s="25" t="n">
        <v>42635</v>
      </c>
      <c r="B2589" s="22">
        <f>(1+B2588)*IF(AND(Painel_diario!$H2585="EU_JD",Painel_diario!$J2585=1),EXP(Painel_diario!$L2585),1)-1</f>
        <v/>
      </c>
      <c r="C2589" s="22">
        <f>(1+C2588)*IF(AND(Painel_diario!$H2585="EU_JU",Painel_diario!$J2585=1),EXP(Painel_diario!$L2585),1)-1</f>
        <v/>
      </c>
      <c r="D2589" s="22">
        <f>(1+D2588)*IF(AND(Painel_diario!$H2585="ED_JD",Painel_diario!$J2585=1),EXP(Painel_diario!$L2585),1)-1</f>
        <v/>
      </c>
      <c r="E2589" s="22">
        <f>(1+E2588)*IF(AND(Painel_diario!$H2585="ED_JU",Painel_diario!$J2585=1),EXP(Painel_diario!$L2585),1)-1</f>
        <v/>
      </c>
    </row>
    <row r="2590">
      <c r="A2590" s="25" t="n">
        <v>42636</v>
      </c>
      <c r="B2590" s="22">
        <f>(1+B2589)*IF(AND(Painel_diario!$H2586="EU_JD",Painel_diario!$J2586=1),EXP(Painel_diario!$L2586),1)-1</f>
        <v/>
      </c>
      <c r="C2590" s="22">
        <f>(1+C2589)*IF(AND(Painel_diario!$H2586="EU_JU",Painel_diario!$J2586=1),EXP(Painel_diario!$L2586),1)-1</f>
        <v/>
      </c>
      <c r="D2590" s="22">
        <f>(1+D2589)*IF(AND(Painel_diario!$H2586="ED_JD",Painel_diario!$J2586=1),EXP(Painel_diario!$L2586),1)-1</f>
        <v/>
      </c>
      <c r="E2590" s="22">
        <f>(1+E2589)*IF(AND(Painel_diario!$H2586="ED_JU",Painel_diario!$J2586=1),EXP(Painel_diario!$L2586),1)-1</f>
        <v/>
      </c>
    </row>
    <row r="2591">
      <c r="A2591" s="25" t="n">
        <v>42639</v>
      </c>
      <c r="B2591" s="22">
        <f>(1+B2590)*IF(AND(Painel_diario!$H2587="EU_JD",Painel_diario!$J2587=1),EXP(Painel_diario!$L2587),1)-1</f>
        <v/>
      </c>
      <c r="C2591" s="22">
        <f>(1+C2590)*IF(AND(Painel_diario!$H2587="EU_JU",Painel_diario!$J2587=1),EXP(Painel_diario!$L2587),1)-1</f>
        <v/>
      </c>
      <c r="D2591" s="22">
        <f>(1+D2590)*IF(AND(Painel_diario!$H2587="ED_JD",Painel_diario!$J2587=1),EXP(Painel_diario!$L2587),1)-1</f>
        <v/>
      </c>
      <c r="E2591" s="22">
        <f>(1+E2590)*IF(AND(Painel_diario!$H2587="ED_JU",Painel_diario!$J2587=1),EXP(Painel_diario!$L2587),1)-1</f>
        <v/>
      </c>
    </row>
    <row r="2592">
      <c r="A2592" s="25" t="n">
        <v>42640</v>
      </c>
      <c r="B2592" s="22">
        <f>(1+B2591)*IF(AND(Painel_diario!$H2588="EU_JD",Painel_diario!$J2588=1),EXP(Painel_diario!$L2588),1)-1</f>
        <v/>
      </c>
      <c r="C2592" s="22">
        <f>(1+C2591)*IF(AND(Painel_diario!$H2588="EU_JU",Painel_diario!$J2588=1),EXP(Painel_diario!$L2588),1)-1</f>
        <v/>
      </c>
      <c r="D2592" s="22">
        <f>(1+D2591)*IF(AND(Painel_diario!$H2588="ED_JD",Painel_diario!$J2588=1),EXP(Painel_diario!$L2588),1)-1</f>
        <v/>
      </c>
      <c r="E2592" s="22">
        <f>(1+E2591)*IF(AND(Painel_diario!$H2588="ED_JU",Painel_diario!$J2588=1),EXP(Painel_diario!$L2588),1)-1</f>
        <v/>
      </c>
    </row>
    <row r="2593">
      <c r="A2593" s="25" t="n">
        <v>42641</v>
      </c>
      <c r="B2593" s="22">
        <f>(1+B2592)*IF(AND(Painel_diario!$H2589="EU_JD",Painel_diario!$J2589=1),EXP(Painel_diario!$L2589),1)-1</f>
        <v/>
      </c>
      <c r="C2593" s="22">
        <f>(1+C2592)*IF(AND(Painel_diario!$H2589="EU_JU",Painel_diario!$J2589=1),EXP(Painel_diario!$L2589),1)-1</f>
        <v/>
      </c>
      <c r="D2593" s="22">
        <f>(1+D2592)*IF(AND(Painel_diario!$H2589="ED_JD",Painel_diario!$J2589=1),EXP(Painel_diario!$L2589),1)-1</f>
        <v/>
      </c>
      <c r="E2593" s="22">
        <f>(1+E2592)*IF(AND(Painel_diario!$H2589="ED_JU",Painel_diario!$J2589=1),EXP(Painel_diario!$L2589),1)-1</f>
        <v/>
      </c>
    </row>
    <row r="2594">
      <c r="A2594" s="25" t="n">
        <v>42642</v>
      </c>
      <c r="B2594" s="22">
        <f>(1+B2593)*IF(AND(Painel_diario!$H2590="EU_JD",Painel_diario!$J2590=1),EXP(Painel_diario!$L2590),1)-1</f>
        <v/>
      </c>
      <c r="C2594" s="22">
        <f>(1+C2593)*IF(AND(Painel_diario!$H2590="EU_JU",Painel_diario!$J2590=1),EXP(Painel_diario!$L2590),1)-1</f>
        <v/>
      </c>
      <c r="D2594" s="22">
        <f>(1+D2593)*IF(AND(Painel_diario!$H2590="ED_JD",Painel_diario!$J2590=1),EXP(Painel_diario!$L2590),1)-1</f>
        <v/>
      </c>
      <c r="E2594" s="22">
        <f>(1+E2593)*IF(AND(Painel_diario!$H2590="ED_JU",Painel_diario!$J2590=1),EXP(Painel_diario!$L2590),1)-1</f>
        <v/>
      </c>
    </row>
    <row r="2595">
      <c r="A2595" s="25" t="n">
        <v>42643</v>
      </c>
      <c r="B2595" s="22">
        <f>(1+B2594)*IF(AND(Painel_diario!$H2591="EU_JD",Painel_diario!$J2591=1),EXP(Painel_diario!$L2591),1)-1</f>
        <v/>
      </c>
      <c r="C2595" s="22">
        <f>(1+C2594)*IF(AND(Painel_diario!$H2591="EU_JU",Painel_diario!$J2591=1),EXP(Painel_diario!$L2591),1)-1</f>
        <v/>
      </c>
      <c r="D2595" s="22">
        <f>(1+D2594)*IF(AND(Painel_diario!$H2591="ED_JD",Painel_diario!$J2591=1),EXP(Painel_diario!$L2591),1)-1</f>
        <v/>
      </c>
      <c r="E2595" s="22">
        <f>(1+E2594)*IF(AND(Painel_diario!$H2591="ED_JU",Painel_diario!$J2591=1),EXP(Painel_diario!$L2591),1)-1</f>
        <v/>
      </c>
    </row>
    <row r="2596">
      <c r="A2596" s="25" t="n">
        <v>42646</v>
      </c>
      <c r="B2596" s="22">
        <f>(1+B2595)*IF(AND(Painel_diario!$H2592="EU_JD",Painel_diario!$J2592=1),EXP(Painel_diario!$L2592),1)-1</f>
        <v/>
      </c>
      <c r="C2596" s="22">
        <f>(1+C2595)*IF(AND(Painel_diario!$H2592="EU_JU",Painel_diario!$J2592=1),EXP(Painel_diario!$L2592),1)-1</f>
        <v/>
      </c>
      <c r="D2596" s="22">
        <f>(1+D2595)*IF(AND(Painel_diario!$H2592="ED_JD",Painel_diario!$J2592=1),EXP(Painel_diario!$L2592),1)-1</f>
        <v/>
      </c>
      <c r="E2596" s="22">
        <f>(1+E2595)*IF(AND(Painel_diario!$H2592="ED_JU",Painel_diario!$J2592=1),EXP(Painel_diario!$L2592),1)-1</f>
        <v/>
      </c>
    </row>
    <row r="2597">
      <c r="A2597" s="25" t="n">
        <v>42647</v>
      </c>
      <c r="B2597" s="22">
        <f>(1+B2596)*IF(AND(Painel_diario!$H2593="EU_JD",Painel_diario!$J2593=1),EXP(Painel_diario!$L2593),1)-1</f>
        <v/>
      </c>
      <c r="C2597" s="22">
        <f>(1+C2596)*IF(AND(Painel_diario!$H2593="EU_JU",Painel_diario!$J2593=1),EXP(Painel_diario!$L2593),1)-1</f>
        <v/>
      </c>
      <c r="D2597" s="22">
        <f>(1+D2596)*IF(AND(Painel_diario!$H2593="ED_JD",Painel_diario!$J2593=1),EXP(Painel_diario!$L2593),1)-1</f>
        <v/>
      </c>
      <c r="E2597" s="22">
        <f>(1+E2596)*IF(AND(Painel_diario!$H2593="ED_JU",Painel_diario!$J2593=1),EXP(Painel_diario!$L2593),1)-1</f>
        <v/>
      </c>
    </row>
    <row r="2598">
      <c r="A2598" s="25" t="n">
        <v>42648</v>
      </c>
      <c r="B2598" s="22">
        <f>(1+B2597)*IF(AND(Painel_diario!$H2594="EU_JD",Painel_diario!$J2594=1),EXP(Painel_diario!$L2594),1)-1</f>
        <v/>
      </c>
      <c r="C2598" s="22">
        <f>(1+C2597)*IF(AND(Painel_diario!$H2594="EU_JU",Painel_diario!$J2594=1),EXP(Painel_diario!$L2594),1)-1</f>
        <v/>
      </c>
      <c r="D2598" s="22">
        <f>(1+D2597)*IF(AND(Painel_diario!$H2594="ED_JD",Painel_diario!$J2594=1),EXP(Painel_diario!$L2594),1)-1</f>
        <v/>
      </c>
      <c r="E2598" s="22">
        <f>(1+E2597)*IF(AND(Painel_diario!$H2594="ED_JU",Painel_diario!$J2594=1),EXP(Painel_diario!$L2594),1)-1</f>
        <v/>
      </c>
    </row>
    <row r="2599">
      <c r="A2599" s="25" t="n">
        <v>42649</v>
      </c>
      <c r="B2599" s="22">
        <f>(1+B2598)*IF(AND(Painel_diario!$H2595="EU_JD",Painel_diario!$J2595=1),EXP(Painel_diario!$L2595),1)-1</f>
        <v/>
      </c>
      <c r="C2599" s="22">
        <f>(1+C2598)*IF(AND(Painel_diario!$H2595="EU_JU",Painel_diario!$J2595=1),EXP(Painel_diario!$L2595),1)-1</f>
        <v/>
      </c>
      <c r="D2599" s="22">
        <f>(1+D2598)*IF(AND(Painel_diario!$H2595="ED_JD",Painel_diario!$J2595=1),EXP(Painel_diario!$L2595),1)-1</f>
        <v/>
      </c>
      <c r="E2599" s="22">
        <f>(1+E2598)*IF(AND(Painel_diario!$H2595="ED_JU",Painel_diario!$J2595=1),EXP(Painel_diario!$L2595),1)-1</f>
        <v/>
      </c>
    </row>
    <row r="2600">
      <c r="A2600" s="25" t="n">
        <v>42650</v>
      </c>
      <c r="B2600" s="22">
        <f>(1+B2599)*IF(AND(Painel_diario!$H2596="EU_JD",Painel_diario!$J2596=1),EXP(Painel_diario!$L2596),1)-1</f>
        <v/>
      </c>
      <c r="C2600" s="22">
        <f>(1+C2599)*IF(AND(Painel_diario!$H2596="EU_JU",Painel_diario!$J2596=1),EXP(Painel_diario!$L2596),1)-1</f>
        <v/>
      </c>
      <c r="D2600" s="22">
        <f>(1+D2599)*IF(AND(Painel_diario!$H2596="ED_JD",Painel_diario!$J2596=1),EXP(Painel_diario!$L2596),1)-1</f>
        <v/>
      </c>
      <c r="E2600" s="22">
        <f>(1+E2599)*IF(AND(Painel_diario!$H2596="ED_JU",Painel_diario!$J2596=1),EXP(Painel_diario!$L2596),1)-1</f>
        <v/>
      </c>
    </row>
    <row r="2601">
      <c r="A2601" s="25" t="n">
        <v>42653</v>
      </c>
      <c r="B2601" s="22">
        <f>(1+B2600)*IF(AND(Painel_diario!$H2597="EU_JD",Painel_diario!$J2597=1),EXP(Painel_diario!$L2597),1)-1</f>
        <v/>
      </c>
      <c r="C2601" s="22">
        <f>(1+C2600)*IF(AND(Painel_diario!$H2597="EU_JU",Painel_diario!$J2597=1),EXP(Painel_diario!$L2597),1)-1</f>
        <v/>
      </c>
      <c r="D2601" s="22">
        <f>(1+D2600)*IF(AND(Painel_diario!$H2597="ED_JD",Painel_diario!$J2597=1),EXP(Painel_diario!$L2597),1)-1</f>
        <v/>
      </c>
      <c r="E2601" s="22">
        <f>(1+E2600)*IF(AND(Painel_diario!$H2597="ED_JU",Painel_diario!$J2597=1),EXP(Painel_diario!$L2597),1)-1</f>
        <v/>
      </c>
    </row>
    <row r="2602">
      <c r="A2602" s="25" t="n">
        <v>42654</v>
      </c>
      <c r="B2602" s="22">
        <f>(1+B2601)*IF(AND(Painel_diario!$H2598="EU_JD",Painel_diario!$J2598=1),EXP(Painel_diario!$L2598),1)-1</f>
        <v/>
      </c>
      <c r="C2602" s="22">
        <f>(1+C2601)*IF(AND(Painel_diario!$H2598="EU_JU",Painel_diario!$J2598=1),EXP(Painel_diario!$L2598),1)-1</f>
        <v/>
      </c>
      <c r="D2602" s="22">
        <f>(1+D2601)*IF(AND(Painel_diario!$H2598="ED_JD",Painel_diario!$J2598=1),EXP(Painel_diario!$L2598),1)-1</f>
        <v/>
      </c>
      <c r="E2602" s="22">
        <f>(1+E2601)*IF(AND(Painel_diario!$H2598="ED_JU",Painel_diario!$J2598=1),EXP(Painel_diario!$L2598),1)-1</f>
        <v/>
      </c>
    </row>
    <row r="2603">
      <c r="A2603" s="25" t="n">
        <v>42656</v>
      </c>
      <c r="B2603" s="22">
        <f>(1+B2602)*IF(AND(Painel_diario!$H2599="EU_JD",Painel_diario!$J2599=1),EXP(Painel_diario!$L2599),1)-1</f>
        <v/>
      </c>
      <c r="C2603" s="22">
        <f>(1+C2602)*IF(AND(Painel_diario!$H2599="EU_JU",Painel_diario!$J2599=1),EXP(Painel_diario!$L2599),1)-1</f>
        <v/>
      </c>
      <c r="D2603" s="22">
        <f>(1+D2602)*IF(AND(Painel_diario!$H2599="ED_JD",Painel_diario!$J2599=1),EXP(Painel_diario!$L2599),1)-1</f>
        <v/>
      </c>
      <c r="E2603" s="22">
        <f>(1+E2602)*IF(AND(Painel_diario!$H2599="ED_JU",Painel_diario!$J2599=1),EXP(Painel_diario!$L2599),1)-1</f>
        <v/>
      </c>
    </row>
    <row r="2604">
      <c r="A2604" s="25" t="n">
        <v>42657</v>
      </c>
      <c r="B2604" s="22">
        <f>(1+B2603)*IF(AND(Painel_diario!$H2600="EU_JD",Painel_diario!$J2600=1),EXP(Painel_diario!$L2600),1)-1</f>
        <v/>
      </c>
      <c r="C2604" s="22">
        <f>(1+C2603)*IF(AND(Painel_diario!$H2600="EU_JU",Painel_diario!$J2600=1),EXP(Painel_diario!$L2600),1)-1</f>
        <v/>
      </c>
      <c r="D2604" s="22">
        <f>(1+D2603)*IF(AND(Painel_diario!$H2600="ED_JD",Painel_diario!$J2600=1),EXP(Painel_diario!$L2600),1)-1</f>
        <v/>
      </c>
      <c r="E2604" s="22">
        <f>(1+E2603)*IF(AND(Painel_diario!$H2600="ED_JU",Painel_diario!$J2600=1),EXP(Painel_diario!$L2600),1)-1</f>
        <v/>
      </c>
    </row>
    <row r="2605">
      <c r="A2605" s="25" t="n">
        <v>42660</v>
      </c>
      <c r="B2605" s="22">
        <f>(1+B2604)*IF(AND(Painel_diario!$H2601="EU_JD",Painel_diario!$J2601=1),EXP(Painel_diario!$L2601),1)-1</f>
        <v/>
      </c>
      <c r="C2605" s="22">
        <f>(1+C2604)*IF(AND(Painel_diario!$H2601="EU_JU",Painel_diario!$J2601=1),EXP(Painel_diario!$L2601),1)-1</f>
        <v/>
      </c>
      <c r="D2605" s="22">
        <f>(1+D2604)*IF(AND(Painel_diario!$H2601="ED_JD",Painel_diario!$J2601=1),EXP(Painel_diario!$L2601),1)-1</f>
        <v/>
      </c>
      <c r="E2605" s="22">
        <f>(1+E2604)*IF(AND(Painel_diario!$H2601="ED_JU",Painel_diario!$J2601=1),EXP(Painel_diario!$L2601),1)-1</f>
        <v/>
      </c>
    </row>
    <row r="2606">
      <c r="A2606" s="25" t="n">
        <v>42661</v>
      </c>
      <c r="B2606" s="22">
        <f>(1+B2605)*IF(AND(Painel_diario!$H2602="EU_JD",Painel_diario!$J2602=1),EXP(Painel_diario!$L2602),1)-1</f>
        <v/>
      </c>
      <c r="C2606" s="22">
        <f>(1+C2605)*IF(AND(Painel_diario!$H2602="EU_JU",Painel_diario!$J2602=1),EXP(Painel_diario!$L2602),1)-1</f>
        <v/>
      </c>
      <c r="D2606" s="22">
        <f>(1+D2605)*IF(AND(Painel_diario!$H2602="ED_JD",Painel_diario!$J2602=1),EXP(Painel_diario!$L2602),1)-1</f>
        <v/>
      </c>
      <c r="E2606" s="22">
        <f>(1+E2605)*IF(AND(Painel_diario!$H2602="ED_JU",Painel_diario!$J2602=1),EXP(Painel_diario!$L2602),1)-1</f>
        <v/>
      </c>
    </row>
    <row r="2607">
      <c r="A2607" s="25" t="n">
        <v>42662</v>
      </c>
      <c r="B2607" s="22">
        <f>(1+B2606)*IF(AND(Painel_diario!$H2603="EU_JD",Painel_diario!$J2603=1),EXP(Painel_diario!$L2603),1)-1</f>
        <v/>
      </c>
      <c r="C2607" s="22">
        <f>(1+C2606)*IF(AND(Painel_diario!$H2603="EU_JU",Painel_diario!$J2603=1),EXP(Painel_diario!$L2603),1)-1</f>
        <v/>
      </c>
      <c r="D2607" s="22">
        <f>(1+D2606)*IF(AND(Painel_diario!$H2603="ED_JD",Painel_diario!$J2603=1),EXP(Painel_diario!$L2603),1)-1</f>
        <v/>
      </c>
      <c r="E2607" s="22">
        <f>(1+E2606)*IF(AND(Painel_diario!$H2603="ED_JU",Painel_diario!$J2603=1),EXP(Painel_diario!$L2603),1)-1</f>
        <v/>
      </c>
    </row>
    <row r="2608">
      <c r="A2608" s="25" t="n">
        <v>42663</v>
      </c>
      <c r="B2608" s="22">
        <f>(1+B2607)*IF(AND(Painel_diario!$H2604="EU_JD",Painel_diario!$J2604=1),EXP(Painel_diario!$L2604),1)-1</f>
        <v/>
      </c>
      <c r="C2608" s="22">
        <f>(1+C2607)*IF(AND(Painel_diario!$H2604="EU_JU",Painel_diario!$J2604=1),EXP(Painel_diario!$L2604),1)-1</f>
        <v/>
      </c>
      <c r="D2608" s="22">
        <f>(1+D2607)*IF(AND(Painel_diario!$H2604="ED_JD",Painel_diario!$J2604=1),EXP(Painel_diario!$L2604),1)-1</f>
        <v/>
      </c>
      <c r="E2608" s="22">
        <f>(1+E2607)*IF(AND(Painel_diario!$H2604="ED_JU",Painel_diario!$J2604=1),EXP(Painel_diario!$L2604),1)-1</f>
        <v/>
      </c>
    </row>
    <row r="2609">
      <c r="A2609" s="25" t="n">
        <v>42664</v>
      </c>
      <c r="B2609" s="22">
        <f>(1+B2608)*IF(AND(Painel_diario!$H2605="EU_JD",Painel_diario!$J2605=1),EXP(Painel_diario!$L2605),1)-1</f>
        <v/>
      </c>
      <c r="C2609" s="22">
        <f>(1+C2608)*IF(AND(Painel_diario!$H2605="EU_JU",Painel_diario!$J2605=1),EXP(Painel_diario!$L2605),1)-1</f>
        <v/>
      </c>
      <c r="D2609" s="22">
        <f>(1+D2608)*IF(AND(Painel_diario!$H2605="ED_JD",Painel_diario!$J2605=1),EXP(Painel_diario!$L2605),1)-1</f>
        <v/>
      </c>
      <c r="E2609" s="22">
        <f>(1+E2608)*IF(AND(Painel_diario!$H2605="ED_JU",Painel_diario!$J2605=1),EXP(Painel_diario!$L2605),1)-1</f>
        <v/>
      </c>
    </row>
    <row r="2610">
      <c r="A2610" s="25" t="n">
        <v>42667</v>
      </c>
      <c r="B2610" s="22">
        <f>(1+B2609)*IF(AND(Painel_diario!$H2606="EU_JD",Painel_diario!$J2606=1),EXP(Painel_diario!$L2606),1)-1</f>
        <v/>
      </c>
      <c r="C2610" s="22">
        <f>(1+C2609)*IF(AND(Painel_diario!$H2606="EU_JU",Painel_diario!$J2606=1),EXP(Painel_diario!$L2606),1)-1</f>
        <v/>
      </c>
      <c r="D2610" s="22">
        <f>(1+D2609)*IF(AND(Painel_diario!$H2606="ED_JD",Painel_diario!$J2606=1),EXP(Painel_diario!$L2606),1)-1</f>
        <v/>
      </c>
      <c r="E2610" s="22">
        <f>(1+E2609)*IF(AND(Painel_diario!$H2606="ED_JU",Painel_diario!$J2606=1),EXP(Painel_diario!$L2606),1)-1</f>
        <v/>
      </c>
    </row>
    <row r="2611">
      <c r="A2611" s="25" t="n">
        <v>42668</v>
      </c>
      <c r="B2611" s="22">
        <f>(1+B2610)*IF(AND(Painel_diario!$H2607="EU_JD",Painel_diario!$J2607=1),EXP(Painel_diario!$L2607),1)-1</f>
        <v/>
      </c>
      <c r="C2611" s="22">
        <f>(1+C2610)*IF(AND(Painel_diario!$H2607="EU_JU",Painel_diario!$J2607=1),EXP(Painel_diario!$L2607),1)-1</f>
        <v/>
      </c>
      <c r="D2611" s="22">
        <f>(1+D2610)*IF(AND(Painel_diario!$H2607="ED_JD",Painel_diario!$J2607=1),EXP(Painel_diario!$L2607),1)-1</f>
        <v/>
      </c>
      <c r="E2611" s="22">
        <f>(1+E2610)*IF(AND(Painel_diario!$H2607="ED_JU",Painel_diario!$J2607=1),EXP(Painel_diario!$L2607),1)-1</f>
        <v/>
      </c>
    </row>
    <row r="2612">
      <c r="A2612" s="25" t="n">
        <v>42669</v>
      </c>
      <c r="B2612" s="22">
        <f>(1+B2611)*IF(AND(Painel_diario!$H2608="EU_JD",Painel_diario!$J2608=1),EXP(Painel_diario!$L2608),1)-1</f>
        <v/>
      </c>
      <c r="C2612" s="22">
        <f>(1+C2611)*IF(AND(Painel_diario!$H2608="EU_JU",Painel_diario!$J2608=1),EXP(Painel_diario!$L2608),1)-1</f>
        <v/>
      </c>
      <c r="D2612" s="22">
        <f>(1+D2611)*IF(AND(Painel_diario!$H2608="ED_JD",Painel_diario!$J2608=1),EXP(Painel_diario!$L2608),1)-1</f>
        <v/>
      </c>
      <c r="E2612" s="22">
        <f>(1+E2611)*IF(AND(Painel_diario!$H2608="ED_JU",Painel_diario!$J2608=1),EXP(Painel_diario!$L2608),1)-1</f>
        <v/>
      </c>
    </row>
    <row r="2613">
      <c r="A2613" s="25" t="n">
        <v>42670</v>
      </c>
      <c r="B2613" s="22">
        <f>(1+B2612)*IF(AND(Painel_diario!$H2609="EU_JD",Painel_diario!$J2609=1),EXP(Painel_diario!$L2609),1)-1</f>
        <v/>
      </c>
      <c r="C2613" s="22">
        <f>(1+C2612)*IF(AND(Painel_diario!$H2609="EU_JU",Painel_diario!$J2609=1),EXP(Painel_diario!$L2609),1)-1</f>
        <v/>
      </c>
      <c r="D2613" s="22">
        <f>(1+D2612)*IF(AND(Painel_diario!$H2609="ED_JD",Painel_diario!$J2609=1),EXP(Painel_diario!$L2609),1)-1</f>
        <v/>
      </c>
      <c r="E2613" s="22">
        <f>(1+E2612)*IF(AND(Painel_diario!$H2609="ED_JU",Painel_diario!$J2609=1),EXP(Painel_diario!$L2609),1)-1</f>
        <v/>
      </c>
    </row>
    <row r="2614">
      <c r="A2614" s="25" t="n">
        <v>42671</v>
      </c>
      <c r="B2614" s="22">
        <f>(1+B2613)*IF(AND(Painel_diario!$H2610="EU_JD",Painel_diario!$J2610=1),EXP(Painel_diario!$L2610),1)-1</f>
        <v/>
      </c>
      <c r="C2614" s="22">
        <f>(1+C2613)*IF(AND(Painel_diario!$H2610="EU_JU",Painel_diario!$J2610=1),EXP(Painel_diario!$L2610),1)-1</f>
        <v/>
      </c>
      <c r="D2614" s="22">
        <f>(1+D2613)*IF(AND(Painel_diario!$H2610="ED_JD",Painel_diario!$J2610=1),EXP(Painel_diario!$L2610),1)-1</f>
        <v/>
      </c>
      <c r="E2614" s="22">
        <f>(1+E2613)*IF(AND(Painel_diario!$H2610="ED_JU",Painel_diario!$J2610=1),EXP(Painel_diario!$L2610),1)-1</f>
        <v/>
      </c>
    </row>
    <row r="2615">
      <c r="A2615" s="25" t="n">
        <v>42674</v>
      </c>
      <c r="B2615" s="22">
        <f>(1+B2614)*IF(AND(Painel_diario!$H2611="EU_JD",Painel_diario!$J2611=1),EXP(Painel_diario!$L2611),1)-1</f>
        <v/>
      </c>
      <c r="C2615" s="22">
        <f>(1+C2614)*IF(AND(Painel_diario!$H2611="EU_JU",Painel_diario!$J2611=1),EXP(Painel_diario!$L2611),1)-1</f>
        <v/>
      </c>
      <c r="D2615" s="22">
        <f>(1+D2614)*IF(AND(Painel_diario!$H2611="ED_JD",Painel_diario!$J2611=1),EXP(Painel_diario!$L2611),1)-1</f>
        <v/>
      </c>
      <c r="E2615" s="22">
        <f>(1+E2614)*IF(AND(Painel_diario!$H2611="ED_JU",Painel_diario!$J2611=1),EXP(Painel_diario!$L2611),1)-1</f>
        <v/>
      </c>
    </row>
    <row r="2616">
      <c r="A2616" s="25" t="n">
        <v>42675</v>
      </c>
      <c r="B2616" s="22">
        <f>(1+B2615)*IF(AND(Painel_diario!$H2612="EU_JD",Painel_diario!$J2612=1),EXP(Painel_diario!$L2612),1)-1</f>
        <v/>
      </c>
      <c r="C2616" s="22">
        <f>(1+C2615)*IF(AND(Painel_diario!$H2612="EU_JU",Painel_diario!$J2612=1),EXP(Painel_diario!$L2612),1)-1</f>
        <v/>
      </c>
      <c r="D2616" s="22">
        <f>(1+D2615)*IF(AND(Painel_diario!$H2612="ED_JD",Painel_diario!$J2612=1),EXP(Painel_diario!$L2612),1)-1</f>
        <v/>
      </c>
      <c r="E2616" s="22">
        <f>(1+E2615)*IF(AND(Painel_diario!$H2612="ED_JU",Painel_diario!$J2612=1),EXP(Painel_diario!$L2612),1)-1</f>
        <v/>
      </c>
    </row>
    <row r="2617">
      <c r="A2617" s="25" t="n">
        <v>42677</v>
      </c>
      <c r="B2617" s="22">
        <f>(1+B2616)*IF(AND(Painel_diario!$H2613="EU_JD",Painel_diario!$J2613=1),EXP(Painel_diario!$L2613),1)-1</f>
        <v/>
      </c>
      <c r="C2617" s="22">
        <f>(1+C2616)*IF(AND(Painel_diario!$H2613="EU_JU",Painel_diario!$J2613=1),EXP(Painel_diario!$L2613),1)-1</f>
        <v/>
      </c>
      <c r="D2617" s="22">
        <f>(1+D2616)*IF(AND(Painel_diario!$H2613="ED_JD",Painel_diario!$J2613=1),EXP(Painel_diario!$L2613),1)-1</f>
        <v/>
      </c>
      <c r="E2617" s="22">
        <f>(1+E2616)*IF(AND(Painel_diario!$H2613="ED_JU",Painel_diario!$J2613=1),EXP(Painel_diario!$L2613),1)-1</f>
        <v/>
      </c>
    </row>
    <row r="2618">
      <c r="A2618" s="25" t="n">
        <v>42678</v>
      </c>
      <c r="B2618" s="22">
        <f>(1+B2617)*IF(AND(Painel_diario!$H2614="EU_JD",Painel_diario!$J2614=1),EXP(Painel_diario!$L2614),1)-1</f>
        <v/>
      </c>
      <c r="C2618" s="22">
        <f>(1+C2617)*IF(AND(Painel_diario!$H2614="EU_JU",Painel_diario!$J2614=1),EXP(Painel_diario!$L2614),1)-1</f>
        <v/>
      </c>
      <c r="D2618" s="22">
        <f>(1+D2617)*IF(AND(Painel_diario!$H2614="ED_JD",Painel_diario!$J2614=1),EXP(Painel_diario!$L2614),1)-1</f>
        <v/>
      </c>
      <c r="E2618" s="22">
        <f>(1+E2617)*IF(AND(Painel_diario!$H2614="ED_JU",Painel_diario!$J2614=1),EXP(Painel_diario!$L2614),1)-1</f>
        <v/>
      </c>
    </row>
    <row r="2619">
      <c r="A2619" s="25" t="n">
        <v>42681</v>
      </c>
      <c r="B2619" s="22">
        <f>(1+B2618)*IF(AND(Painel_diario!$H2615="EU_JD",Painel_diario!$J2615=1),EXP(Painel_diario!$L2615),1)-1</f>
        <v/>
      </c>
      <c r="C2619" s="22">
        <f>(1+C2618)*IF(AND(Painel_diario!$H2615="EU_JU",Painel_diario!$J2615=1),EXP(Painel_diario!$L2615),1)-1</f>
        <v/>
      </c>
      <c r="D2619" s="22">
        <f>(1+D2618)*IF(AND(Painel_diario!$H2615="ED_JD",Painel_diario!$J2615=1),EXP(Painel_diario!$L2615),1)-1</f>
        <v/>
      </c>
      <c r="E2619" s="22">
        <f>(1+E2618)*IF(AND(Painel_diario!$H2615="ED_JU",Painel_diario!$J2615=1),EXP(Painel_diario!$L2615),1)-1</f>
        <v/>
      </c>
    </row>
    <row r="2620">
      <c r="A2620" s="25" t="n">
        <v>42682</v>
      </c>
      <c r="B2620" s="22">
        <f>(1+B2619)*IF(AND(Painel_diario!$H2616="EU_JD",Painel_diario!$J2616=1),EXP(Painel_diario!$L2616),1)-1</f>
        <v/>
      </c>
      <c r="C2620" s="22">
        <f>(1+C2619)*IF(AND(Painel_diario!$H2616="EU_JU",Painel_diario!$J2616=1),EXP(Painel_diario!$L2616),1)-1</f>
        <v/>
      </c>
      <c r="D2620" s="22">
        <f>(1+D2619)*IF(AND(Painel_diario!$H2616="ED_JD",Painel_diario!$J2616=1),EXP(Painel_diario!$L2616),1)-1</f>
        <v/>
      </c>
      <c r="E2620" s="22">
        <f>(1+E2619)*IF(AND(Painel_diario!$H2616="ED_JU",Painel_diario!$J2616=1),EXP(Painel_diario!$L2616),1)-1</f>
        <v/>
      </c>
    </row>
    <row r="2621">
      <c r="A2621" s="25" t="n">
        <v>42683</v>
      </c>
      <c r="B2621" s="22">
        <f>(1+B2620)*IF(AND(Painel_diario!$H2617="EU_JD",Painel_diario!$J2617=1),EXP(Painel_diario!$L2617),1)-1</f>
        <v/>
      </c>
      <c r="C2621" s="22">
        <f>(1+C2620)*IF(AND(Painel_diario!$H2617="EU_JU",Painel_diario!$J2617=1),EXP(Painel_diario!$L2617),1)-1</f>
        <v/>
      </c>
      <c r="D2621" s="22">
        <f>(1+D2620)*IF(AND(Painel_diario!$H2617="ED_JD",Painel_diario!$J2617=1),EXP(Painel_diario!$L2617),1)-1</f>
        <v/>
      </c>
      <c r="E2621" s="22">
        <f>(1+E2620)*IF(AND(Painel_diario!$H2617="ED_JU",Painel_diario!$J2617=1),EXP(Painel_diario!$L2617),1)-1</f>
        <v/>
      </c>
    </row>
    <row r="2622">
      <c r="A2622" s="25" t="n">
        <v>42684</v>
      </c>
      <c r="B2622" s="22">
        <f>(1+B2621)*IF(AND(Painel_diario!$H2618="EU_JD",Painel_diario!$J2618=1),EXP(Painel_diario!$L2618),1)-1</f>
        <v/>
      </c>
      <c r="C2622" s="22">
        <f>(1+C2621)*IF(AND(Painel_diario!$H2618="EU_JU",Painel_diario!$J2618=1),EXP(Painel_diario!$L2618),1)-1</f>
        <v/>
      </c>
      <c r="D2622" s="22">
        <f>(1+D2621)*IF(AND(Painel_diario!$H2618="ED_JD",Painel_diario!$J2618=1),EXP(Painel_diario!$L2618),1)-1</f>
        <v/>
      </c>
      <c r="E2622" s="22">
        <f>(1+E2621)*IF(AND(Painel_diario!$H2618="ED_JU",Painel_diario!$J2618=1),EXP(Painel_diario!$L2618),1)-1</f>
        <v/>
      </c>
    </row>
    <row r="2623">
      <c r="A2623" s="25" t="n">
        <v>42685</v>
      </c>
      <c r="B2623" s="22">
        <f>(1+B2622)*IF(AND(Painel_diario!$H2619="EU_JD",Painel_diario!$J2619=1),EXP(Painel_diario!$L2619),1)-1</f>
        <v/>
      </c>
      <c r="C2623" s="22">
        <f>(1+C2622)*IF(AND(Painel_diario!$H2619="EU_JU",Painel_diario!$J2619=1),EXP(Painel_diario!$L2619),1)-1</f>
        <v/>
      </c>
      <c r="D2623" s="22">
        <f>(1+D2622)*IF(AND(Painel_diario!$H2619="ED_JD",Painel_diario!$J2619=1),EXP(Painel_diario!$L2619),1)-1</f>
        <v/>
      </c>
      <c r="E2623" s="22">
        <f>(1+E2622)*IF(AND(Painel_diario!$H2619="ED_JU",Painel_diario!$J2619=1),EXP(Painel_diario!$L2619),1)-1</f>
        <v/>
      </c>
    </row>
    <row r="2624">
      <c r="A2624" s="25" t="n">
        <v>42688</v>
      </c>
      <c r="B2624" s="22">
        <f>(1+B2623)*IF(AND(Painel_diario!$H2620="EU_JD",Painel_diario!$J2620=1),EXP(Painel_diario!$L2620),1)-1</f>
        <v/>
      </c>
      <c r="C2624" s="22">
        <f>(1+C2623)*IF(AND(Painel_diario!$H2620="EU_JU",Painel_diario!$J2620=1),EXP(Painel_diario!$L2620),1)-1</f>
        <v/>
      </c>
      <c r="D2624" s="22">
        <f>(1+D2623)*IF(AND(Painel_diario!$H2620="ED_JD",Painel_diario!$J2620=1),EXP(Painel_diario!$L2620),1)-1</f>
        <v/>
      </c>
      <c r="E2624" s="22">
        <f>(1+E2623)*IF(AND(Painel_diario!$H2620="ED_JU",Painel_diario!$J2620=1),EXP(Painel_diario!$L2620),1)-1</f>
        <v/>
      </c>
    </row>
    <row r="2625">
      <c r="A2625" s="25" t="n">
        <v>42690</v>
      </c>
      <c r="B2625" s="22">
        <f>(1+B2624)*IF(AND(Painel_diario!$H2621="EU_JD",Painel_diario!$J2621=1),EXP(Painel_diario!$L2621),1)-1</f>
        <v/>
      </c>
      <c r="C2625" s="22">
        <f>(1+C2624)*IF(AND(Painel_diario!$H2621="EU_JU",Painel_diario!$J2621=1),EXP(Painel_diario!$L2621),1)-1</f>
        <v/>
      </c>
      <c r="D2625" s="22">
        <f>(1+D2624)*IF(AND(Painel_diario!$H2621="ED_JD",Painel_diario!$J2621=1),EXP(Painel_diario!$L2621),1)-1</f>
        <v/>
      </c>
      <c r="E2625" s="22">
        <f>(1+E2624)*IF(AND(Painel_diario!$H2621="ED_JU",Painel_diario!$J2621=1),EXP(Painel_diario!$L2621),1)-1</f>
        <v/>
      </c>
    </row>
    <row r="2626">
      <c r="A2626" s="25" t="n">
        <v>42691</v>
      </c>
      <c r="B2626" s="22">
        <f>(1+B2625)*IF(AND(Painel_diario!$H2622="EU_JD",Painel_diario!$J2622=1),EXP(Painel_diario!$L2622),1)-1</f>
        <v/>
      </c>
      <c r="C2626" s="22">
        <f>(1+C2625)*IF(AND(Painel_diario!$H2622="EU_JU",Painel_diario!$J2622=1),EXP(Painel_diario!$L2622),1)-1</f>
        <v/>
      </c>
      <c r="D2626" s="22">
        <f>(1+D2625)*IF(AND(Painel_diario!$H2622="ED_JD",Painel_diario!$J2622=1),EXP(Painel_diario!$L2622),1)-1</f>
        <v/>
      </c>
      <c r="E2626" s="22">
        <f>(1+E2625)*IF(AND(Painel_diario!$H2622="ED_JU",Painel_diario!$J2622=1),EXP(Painel_diario!$L2622),1)-1</f>
        <v/>
      </c>
    </row>
    <row r="2627">
      <c r="A2627" s="25" t="n">
        <v>42692</v>
      </c>
      <c r="B2627" s="22">
        <f>(1+B2626)*IF(AND(Painel_diario!$H2623="EU_JD",Painel_diario!$J2623=1),EXP(Painel_diario!$L2623),1)-1</f>
        <v/>
      </c>
      <c r="C2627" s="22">
        <f>(1+C2626)*IF(AND(Painel_diario!$H2623="EU_JU",Painel_diario!$J2623=1),EXP(Painel_diario!$L2623),1)-1</f>
        <v/>
      </c>
      <c r="D2627" s="22">
        <f>(1+D2626)*IF(AND(Painel_diario!$H2623="ED_JD",Painel_diario!$J2623=1),EXP(Painel_diario!$L2623),1)-1</f>
        <v/>
      </c>
      <c r="E2627" s="22">
        <f>(1+E2626)*IF(AND(Painel_diario!$H2623="ED_JU",Painel_diario!$J2623=1),EXP(Painel_diario!$L2623),1)-1</f>
        <v/>
      </c>
    </row>
    <row r="2628">
      <c r="A2628" s="25" t="n">
        <v>42695</v>
      </c>
      <c r="B2628" s="22">
        <f>(1+B2627)*IF(AND(Painel_diario!$H2624="EU_JD",Painel_diario!$J2624=1),EXP(Painel_diario!$L2624),1)-1</f>
        <v/>
      </c>
      <c r="C2628" s="22">
        <f>(1+C2627)*IF(AND(Painel_diario!$H2624="EU_JU",Painel_diario!$J2624=1),EXP(Painel_diario!$L2624),1)-1</f>
        <v/>
      </c>
      <c r="D2628" s="22">
        <f>(1+D2627)*IF(AND(Painel_diario!$H2624="ED_JD",Painel_diario!$J2624=1),EXP(Painel_diario!$L2624),1)-1</f>
        <v/>
      </c>
      <c r="E2628" s="22">
        <f>(1+E2627)*IF(AND(Painel_diario!$H2624="ED_JU",Painel_diario!$J2624=1),EXP(Painel_diario!$L2624),1)-1</f>
        <v/>
      </c>
    </row>
    <row r="2629">
      <c r="A2629" s="25" t="n">
        <v>42696</v>
      </c>
      <c r="B2629" s="22">
        <f>(1+B2628)*IF(AND(Painel_diario!$H2625="EU_JD",Painel_diario!$J2625=1),EXP(Painel_diario!$L2625),1)-1</f>
        <v/>
      </c>
      <c r="C2629" s="22">
        <f>(1+C2628)*IF(AND(Painel_diario!$H2625="EU_JU",Painel_diario!$J2625=1),EXP(Painel_diario!$L2625),1)-1</f>
        <v/>
      </c>
      <c r="D2629" s="22">
        <f>(1+D2628)*IF(AND(Painel_diario!$H2625="ED_JD",Painel_diario!$J2625=1),EXP(Painel_diario!$L2625),1)-1</f>
        <v/>
      </c>
      <c r="E2629" s="22">
        <f>(1+E2628)*IF(AND(Painel_diario!$H2625="ED_JU",Painel_diario!$J2625=1),EXP(Painel_diario!$L2625),1)-1</f>
        <v/>
      </c>
    </row>
    <row r="2630">
      <c r="A2630" s="25" t="n">
        <v>42697</v>
      </c>
      <c r="B2630" s="22">
        <f>(1+B2629)*IF(AND(Painel_diario!$H2626="EU_JD",Painel_diario!$J2626=1),EXP(Painel_diario!$L2626),1)-1</f>
        <v/>
      </c>
      <c r="C2630" s="22">
        <f>(1+C2629)*IF(AND(Painel_diario!$H2626="EU_JU",Painel_diario!$J2626=1),EXP(Painel_diario!$L2626),1)-1</f>
        <v/>
      </c>
      <c r="D2630" s="22">
        <f>(1+D2629)*IF(AND(Painel_diario!$H2626="ED_JD",Painel_diario!$J2626=1),EXP(Painel_diario!$L2626),1)-1</f>
        <v/>
      </c>
      <c r="E2630" s="22">
        <f>(1+E2629)*IF(AND(Painel_diario!$H2626="ED_JU",Painel_diario!$J2626=1),EXP(Painel_diario!$L2626),1)-1</f>
        <v/>
      </c>
    </row>
    <row r="2631">
      <c r="A2631" s="25" t="n">
        <v>42698</v>
      </c>
      <c r="B2631" s="22">
        <f>(1+B2630)*IF(AND(Painel_diario!$H2627="EU_JD",Painel_diario!$J2627=1),EXP(Painel_diario!$L2627),1)-1</f>
        <v/>
      </c>
      <c r="C2631" s="22">
        <f>(1+C2630)*IF(AND(Painel_diario!$H2627="EU_JU",Painel_diario!$J2627=1),EXP(Painel_diario!$L2627),1)-1</f>
        <v/>
      </c>
      <c r="D2631" s="22">
        <f>(1+D2630)*IF(AND(Painel_diario!$H2627="ED_JD",Painel_diario!$J2627=1),EXP(Painel_diario!$L2627),1)-1</f>
        <v/>
      </c>
      <c r="E2631" s="22">
        <f>(1+E2630)*IF(AND(Painel_diario!$H2627="ED_JU",Painel_diario!$J2627=1),EXP(Painel_diario!$L2627),1)-1</f>
        <v/>
      </c>
    </row>
    <row r="2632">
      <c r="A2632" s="25" t="n">
        <v>42699</v>
      </c>
      <c r="B2632" s="22">
        <f>(1+B2631)*IF(AND(Painel_diario!$H2628="EU_JD",Painel_diario!$J2628=1),EXP(Painel_diario!$L2628),1)-1</f>
        <v/>
      </c>
      <c r="C2632" s="22">
        <f>(1+C2631)*IF(AND(Painel_diario!$H2628="EU_JU",Painel_diario!$J2628=1),EXP(Painel_diario!$L2628),1)-1</f>
        <v/>
      </c>
      <c r="D2632" s="22">
        <f>(1+D2631)*IF(AND(Painel_diario!$H2628="ED_JD",Painel_diario!$J2628=1),EXP(Painel_diario!$L2628),1)-1</f>
        <v/>
      </c>
      <c r="E2632" s="22">
        <f>(1+E2631)*IF(AND(Painel_diario!$H2628="ED_JU",Painel_diario!$J2628=1),EXP(Painel_diario!$L2628),1)-1</f>
        <v/>
      </c>
    </row>
    <row r="2633">
      <c r="A2633" s="25" t="n">
        <v>42702</v>
      </c>
      <c r="B2633" s="22">
        <f>(1+B2632)*IF(AND(Painel_diario!$H2629="EU_JD",Painel_diario!$J2629=1),EXP(Painel_diario!$L2629),1)-1</f>
        <v/>
      </c>
      <c r="C2633" s="22">
        <f>(1+C2632)*IF(AND(Painel_diario!$H2629="EU_JU",Painel_diario!$J2629=1),EXP(Painel_diario!$L2629),1)-1</f>
        <v/>
      </c>
      <c r="D2633" s="22">
        <f>(1+D2632)*IF(AND(Painel_diario!$H2629="ED_JD",Painel_diario!$J2629=1),EXP(Painel_diario!$L2629),1)-1</f>
        <v/>
      </c>
      <c r="E2633" s="22">
        <f>(1+E2632)*IF(AND(Painel_diario!$H2629="ED_JU",Painel_diario!$J2629=1),EXP(Painel_diario!$L2629),1)-1</f>
        <v/>
      </c>
    </row>
    <row r="2634">
      <c r="A2634" s="25" t="n">
        <v>42703</v>
      </c>
      <c r="B2634" s="22">
        <f>(1+B2633)*IF(AND(Painel_diario!$H2630="EU_JD",Painel_diario!$J2630=1),EXP(Painel_diario!$L2630),1)-1</f>
        <v/>
      </c>
      <c r="C2634" s="22">
        <f>(1+C2633)*IF(AND(Painel_diario!$H2630="EU_JU",Painel_diario!$J2630=1),EXP(Painel_diario!$L2630),1)-1</f>
        <v/>
      </c>
      <c r="D2634" s="22">
        <f>(1+D2633)*IF(AND(Painel_diario!$H2630="ED_JD",Painel_diario!$J2630=1),EXP(Painel_diario!$L2630),1)-1</f>
        <v/>
      </c>
      <c r="E2634" s="22">
        <f>(1+E2633)*IF(AND(Painel_diario!$H2630="ED_JU",Painel_diario!$J2630=1),EXP(Painel_diario!$L2630),1)-1</f>
        <v/>
      </c>
    </row>
    <row r="2635">
      <c r="A2635" s="25" t="n">
        <v>42704</v>
      </c>
      <c r="B2635" s="22">
        <f>(1+B2634)*IF(AND(Painel_diario!$H2631="EU_JD",Painel_diario!$J2631=1),EXP(Painel_diario!$L2631),1)-1</f>
        <v/>
      </c>
      <c r="C2635" s="22">
        <f>(1+C2634)*IF(AND(Painel_diario!$H2631="EU_JU",Painel_diario!$J2631=1),EXP(Painel_diario!$L2631),1)-1</f>
        <v/>
      </c>
      <c r="D2635" s="22">
        <f>(1+D2634)*IF(AND(Painel_diario!$H2631="ED_JD",Painel_diario!$J2631=1),EXP(Painel_diario!$L2631),1)-1</f>
        <v/>
      </c>
      <c r="E2635" s="22">
        <f>(1+E2634)*IF(AND(Painel_diario!$H2631="ED_JU",Painel_diario!$J2631=1),EXP(Painel_diario!$L2631),1)-1</f>
        <v/>
      </c>
    </row>
    <row r="2636">
      <c r="A2636" s="25" t="n">
        <v>42705</v>
      </c>
      <c r="B2636" s="22">
        <f>(1+B2635)*IF(AND(Painel_diario!$H2632="EU_JD",Painel_diario!$J2632=1),EXP(Painel_diario!$L2632),1)-1</f>
        <v/>
      </c>
      <c r="C2636" s="22">
        <f>(1+C2635)*IF(AND(Painel_diario!$H2632="EU_JU",Painel_diario!$J2632=1),EXP(Painel_diario!$L2632),1)-1</f>
        <v/>
      </c>
      <c r="D2636" s="22">
        <f>(1+D2635)*IF(AND(Painel_diario!$H2632="ED_JD",Painel_diario!$J2632=1),EXP(Painel_diario!$L2632),1)-1</f>
        <v/>
      </c>
      <c r="E2636" s="22">
        <f>(1+E2635)*IF(AND(Painel_diario!$H2632="ED_JU",Painel_diario!$J2632=1),EXP(Painel_diario!$L2632),1)-1</f>
        <v/>
      </c>
    </row>
    <row r="2637">
      <c r="A2637" s="25" t="n">
        <v>42706</v>
      </c>
      <c r="B2637" s="22">
        <f>(1+B2636)*IF(AND(Painel_diario!$H2633="EU_JD",Painel_diario!$J2633=1),EXP(Painel_diario!$L2633),1)-1</f>
        <v/>
      </c>
      <c r="C2637" s="22">
        <f>(1+C2636)*IF(AND(Painel_diario!$H2633="EU_JU",Painel_diario!$J2633=1),EXP(Painel_diario!$L2633),1)-1</f>
        <v/>
      </c>
      <c r="D2637" s="22">
        <f>(1+D2636)*IF(AND(Painel_diario!$H2633="ED_JD",Painel_diario!$J2633=1),EXP(Painel_diario!$L2633),1)-1</f>
        <v/>
      </c>
      <c r="E2637" s="22">
        <f>(1+E2636)*IF(AND(Painel_diario!$H2633="ED_JU",Painel_diario!$J2633=1),EXP(Painel_diario!$L2633),1)-1</f>
        <v/>
      </c>
    </row>
    <row r="2638">
      <c r="A2638" s="25" t="n">
        <v>42709</v>
      </c>
      <c r="B2638" s="22">
        <f>(1+B2637)*IF(AND(Painel_diario!$H2634="EU_JD",Painel_diario!$J2634=1),EXP(Painel_diario!$L2634),1)-1</f>
        <v/>
      </c>
      <c r="C2638" s="22">
        <f>(1+C2637)*IF(AND(Painel_diario!$H2634="EU_JU",Painel_diario!$J2634=1),EXP(Painel_diario!$L2634),1)-1</f>
        <v/>
      </c>
      <c r="D2638" s="22">
        <f>(1+D2637)*IF(AND(Painel_diario!$H2634="ED_JD",Painel_diario!$J2634=1),EXP(Painel_diario!$L2634),1)-1</f>
        <v/>
      </c>
      <c r="E2638" s="22">
        <f>(1+E2637)*IF(AND(Painel_diario!$H2634="ED_JU",Painel_diario!$J2634=1),EXP(Painel_diario!$L2634),1)-1</f>
        <v/>
      </c>
    </row>
    <row r="2639">
      <c r="A2639" s="25" t="n">
        <v>42710</v>
      </c>
      <c r="B2639" s="22">
        <f>(1+B2638)*IF(AND(Painel_diario!$H2635="EU_JD",Painel_diario!$J2635=1),EXP(Painel_diario!$L2635),1)-1</f>
        <v/>
      </c>
      <c r="C2639" s="22">
        <f>(1+C2638)*IF(AND(Painel_diario!$H2635="EU_JU",Painel_diario!$J2635=1),EXP(Painel_diario!$L2635),1)-1</f>
        <v/>
      </c>
      <c r="D2639" s="22">
        <f>(1+D2638)*IF(AND(Painel_diario!$H2635="ED_JD",Painel_diario!$J2635=1),EXP(Painel_diario!$L2635),1)-1</f>
        <v/>
      </c>
      <c r="E2639" s="22">
        <f>(1+E2638)*IF(AND(Painel_diario!$H2635="ED_JU",Painel_diario!$J2635=1),EXP(Painel_diario!$L2635),1)-1</f>
        <v/>
      </c>
    </row>
    <row r="2640">
      <c r="A2640" s="25" t="n">
        <v>42711</v>
      </c>
      <c r="B2640" s="22">
        <f>(1+B2639)*IF(AND(Painel_diario!$H2636="EU_JD",Painel_diario!$J2636=1),EXP(Painel_diario!$L2636),1)-1</f>
        <v/>
      </c>
      <c r="C2640" s="22">
        <f>(1+C2639)*IF(AND(Painel_diario!$H2636="EU_JU",Painel_diario!$J2636=1),EXP(Painel_diario!$L2636),1)-1</f>
        <v/>
      </c>
      <c r="D2640" s="22">
        <f>(1+D2639)*IF(AND(Painel_diario!$H2636="ED_JD",Painel_diario!$J2636=1),EXP(Painel_diario!$L2636),1)-1</f>
        <v/>
      </c>
      <c r="E2640" s="22">
        <f>(1+E2639)*IF(AND(Painel_diario!$H2636="ED_JU",Painel_diario!$J2636=1),EXP(Painel_diario!$L2636),1)-1</f>
        <v/>
      </c>
    </row>
    <row r="2641">
      <c r="A2641" s="25" t="n">
        <v>42712</v>
      </c>
      <c r="B2641" s="22">
        <f>(1+B2640)*IF(AND(Painel_diario!$H2637="EU_JD",Painel_diario!$J2637=1),EXP(Painel_diario!$L2637),1)-1</f>
        <v/>
      </c>
      <c r="C2641" s="22">
        <f>(1+C2640)*IF(AND(Painel_diario!$H2637="EU_JU",Painel_diario!$J2637=1),EXP(Painel_diario!$L2637),1)-1</f>
        <v/>
      </c>
      <c r="D2641" s="22">
        <f>(1+D2640)*IF(AND(Painel_diario!$H2637="ED_JD",Painel_diario!$J2637=1),EXP(Painel_diario!$L2637),1)-1</f>
        <v/>
      </c>
      <c r="E2641" s="22">
        <f>(1+E2640)*IF(AND(Painel_diario!$H2637="ED_JU",Painel_diario!$J2637=1),EXP(Painel_diario!$L2637),1)-1</f>
        <v/>
      </c>
    </row>
    <row r="2642">
      <c r="A2642" s="25" t="n">
        <v>42713</v>
      </c>
      <c r="B2642" s="22">
        <f>(1+B2641)*IF(AND(Painel_diario!$H2638="EU_JD",Painel_diario!$J2638=1),EXP(Painel_diario!$L2638),1)-1</f>
        <v/>
      </c>
      <c r="C2642" s="22">
        <f>(1+C2641)*IF(AND(Painel_diario!$H2638="EU_JU",Painel_diario!$J2638=1),EXP(Painel_diario!$L2638),1)-1</f>
        <v/>
      </c>
      <c r="D2642" s="22">
        <f>(1+D2641)*IF(AND(Painel_diario!$H2638="ED_JD",Painel_diario!$J2638=1),EXP(Painel_diario!$L2638),1)-1</f>
        <v/>
      </c>
      <c r="E2642" s="22">
        <f>(1+E2641)*IF(AND(Painel_diario!$H2638="ED_JU",Painel_diario!$J2638=1),EXP(Painel_diario!$L2638),1)-1</f>
        <v/>
      </c>
    </row>
    <row r="2643">
      <c r="A2643" s="25" t="n">
        <v>42716</v>
      </c>
      <c r="B2643" s="22">
        <f>(1+B2642)*IF(AND(Painel_diario!$H2639="EU_JD",Painel_diario!$J2639=1),EXP(Painel_diario!$L2639),1)-1</f>
        <v/>
      </c>
      <c r="C2643" s="22">
        <f>(1+C2642)*IF(AND(Painel_diario!$H2639="EU_JU",Painel_diario!$J2639=1),EXP(Painel_diario!$L2639),1)-1</f>
        <v/>
      </c>
      <c r="D2643" s="22">
        <f>(1+D2642)*IF(AND(Painel_diario!$H2639="ED_JD",Painel_diario!$J2639=1),EXP(Painel_diario!$L2639),1)-1</f>
        <v/>
      </c>
      <c r="E2643" s="22">
        <f>(1+E2642)*IF(AND(Painel_diario!$H2639="ED_JU",Painel_diario!$J2639=1),EXP(Painel_diario!$L2639),1)-1</f>
        <v/>
      </c>
    </row>
    <row r="2644">
      <c r="A2644" s="25" t="n">
        <v>42717</v>
      </c>
      <c r="B2644" s="22">
        <f>(1+B2643)*IF(AND(Painel_diario!$H2640="EU_JD",Painel_diario!$J2640=1),EXP(Painel_diario!$L2640),1)-1</f>
        <v/>
      </c>
      <c r="C2644" s="22">
        <f>(1+C2643)*IF(AND(Painel_diario!$H2640="EU_JU",Painel_diario!$J2640=1),EXP(Painel_diario!$L2640),1)-1</f>
        <v/>
      </c>
      <c r="D2644" s="22">
        <f>(1+D2643)*IF(AND(Painel_diario!$H2640="ED_JD",Painel_diario!$J2640=1),EXP(Painel_diario!$L2640),1)-1</f>
        <v/>
      </c>
      <c r="E2644" s="22">
        <f>(1+E2643)*IF(AND(Painel_diario!$H2640="ED_JU",Painel_diario!$J2640=1),EXP(Painel_diario!$L2640),1)-1</f>
        <v/>
      </c>
    </row>
    <row r="2645">
      <c r="A2645" s="25" t="n">
        <v>42718</v>
      </c>
      <c r="B2645" s="22">
        <f>(1+B2644)*IF(AND(Painel_diario!$H2641="EU_JD",Painel_diario!$J2641=1),EXP(Painel_diario!$L2641),1)-1</f>
        <v/>
      </c>
      <c r="C2645" s="22">
        <f>(1+C2644)*IF(AND(Painel_diario!$H2641="EU_JU",Painel_diario!$J2641=1),EXP(Painel_diario!$L2641),1)-1</f>
        <v/>
      </c>
      <c r="D2645" s="22">
        <f>(1+D2644)*IF(AND(Painel_diario!$H2641="ED_JD",Painel_diario!$J2641=1),EXP(Painel_diario!$L2641),1)-1</f>
        <v/>
      </c>
      <c r="E2645" s="22">
        <f>(1+E2644)*IF(AND(Painel_diario!$H2641="ED_JU",Painel_diario!$J2641=1),EXP(Painel_diario!$L2641),1)-1</f>
        <v/>
      </c>
    </row>
    <row r="2646">
      <c r="A2646" s="25" t="n">
        <v>42719</v>
      </c>
      <c r="B2646" s="22">
        <f>(1+B2645)*IF(AND(Painel_diario!$H2642="EU_JD",Painel_diario!$J2642=1),EXP(Painel_diario!$L2642),1)-1</f>
        <v/>
      </c>
      <c r="C2646" s="22">
        <f>(1+C2645)*IF(AND(Painel_diario!$H2642="EU_JU",Painel_diario!$J2642=1),EXP(Painel_diario!$L2642),1)-1</f>
        <v/>
      </c>
      <c r="D2646" s="22">
        <f>(1+D2645)*IF(AND(Painel_diario!$H2642="ED_JD",Painel_diario!$J2642=1),EXP(Painel_diario!$L2642),1)-1</f>
        <v/>
      </c>
      <c r="E2646" s="22">
        <f>(1+E2645)*IF(AND(Painel_diario!$H2642="ED_JU",Painel_diario!$J2642=1),EXP(Painel_diario!$L2642),1)-1</f>
        <v/>
      </c>
    </row>
    <row r="2647">
      <c r="A2647" s="25" t="n">
        <v>42720</v>
      </c>
      <c r="B2647" s="22">
        <f>(1+B2646)*IF(AND(Painel_diario!$H2643="EU_JD",Painel_diario!$J2643=1),EXP(Painel_diario!$L2643),1)-1</f>
        <v/>
      </c>
      <c r="C2647" s="22">
        <f>(1+C2646)*IF(AND(Painel_diario!$H2643="EU_JU",Painel_diario!$J2643=1),EXP(Painel_diario!$L2643),1)-1</f>
        <v/>
      </c>
      <c r="D2647" s="22">
        <f>(1+D2646)*IF(AND(Painel_diario!$H2643="ED_JD",Painel_diario!$J2643=1),EXP(Painel_diario!$L2643),1)-1</f>
        <v/>
      </c>
      <c r="E2647" s="22">
        <f>(1+E2646)*IF(AND(Painel_diario!$H2643="ED_JU",Painel_diario!$J2643=1),EXP(Painel_diario!$L2643),1)-1</f>
        <v/>
      </c>
    </row>
    <row r="2648">
      <c r="A2648" s="25" t="n">
        <v>42723</v>
      </c>
      <c r="B2648" s="22">
        <f>(1+B2647)*IF(AND(Painel_diario!$H2644="EU_JD",Painel_diario!$J2644=1),EXP(Painel_diario!$L2644),1)-1</f>
        <v/>
      </c>
      <c r="C2648" s="22">
        <f>(1+C2647)*IF(AND(Painel_diario!$H2644="EU_JU",Painel_diario!$J2644=1),EXP(Painel_diario!$L2644),1)-1</f>
        <v/>
      </c>
      <c r="D2648" s="22">
        <f>(1+D2647)*IF(AND(Painel_diario!$H2644="ED_JD",Painel_diario!$J2644=1),EXP(Painel_diario!$L2644),1)-1</f>
        <v/>
      </c>
      <c r="E2648" s="22">
        <f>(1+E2647)*IF(AND(Painel_diario!$H2644="ED_JU",Painel_diario!$J2644=1),EXP(Painel_diario!$L2644),1)-1</f>
        <v/>
      </c>
    </row>
    <row r="2649">
      <c r="A2649" s="25" t="n">
        <v>42724</v>
      </c>
      <c r="B2649" s="22">
        <f>(1+B2648)*IF(AND(Painel_diario!$H2645="EU_JD",Painel_diario!$J2645=1),EXP(Painel_diario!$L2645),1)-1</f>
        <v/>
      </c>
      <c r="C2649" s="22">
        <f>(1+C2648)*IF(AND(Painel_diario!$H2645="EU_JU",Painel_diario!$J2645=1),EXP(Painel_diario!$L2645),1)-1</f>
        <v/>
      </c>
      <c r="D2649" s="22">
        <f>(1+D2648)*IF(AND(Painel_diario!$H2645="ED_JD",Painel_diario!$J2645=1),EXP(Painel_diario!$L2645),1)-1</f>
        <v/>
      </c>
      <c r="E2649" s="22">
        <f>(1+E2648)*IF(AND(Painel_diario!$H2645="ED_JU",Painel_diario!$J2645=1),EXP(Painel_diario!$L2645),1)-1</f>
        <v/>
      </c>
    </row>
    <row r="2650">
      <c r="A2650" s="25" t="n">
        <v>42725</v>
      </c>
      <c r="B2650" s="22">
        <f>(1+B2649)*IF(AND(Painel_diario!$H2646="EU_JD",Painel_diario!$J2646=1),EXP(Painel_diario!$L2646),1)-1</f>
        <v/>
      </c>
      <c r="C2650" s="22">
        <f>(1+C2649)*IF(AND(Painel_diario!$H2646="EU_JU",Painel_diario!$J2646=1),EXP(Painel_diario!$L2646),1)-1</f>
        <v/>
      </c>
      <c r="D2650" s="22">
        <f>(1+D2649)*IF(AND(Painel_diario!$H2646="ED_JD",Painel_diario!$J2646=1),EXP(Painel_diario!$L2646),1)-1</f>
        <v/>
      </c>
      <c r="E2650" s="22">
        <f>(1+E2649)*IF(AND(Painel_diario!$H2646="ED_JU",Painel_diario!$J2646=1),EXP(Painel_diario!$L2646),1)-1</f>
        <v/>
      </c>
    </row>
    <row r="2651">
      <c r="A2651" s="25" t="n">
        <v>42726</v>
      </c>
      <c r="B2651" s="22">
        <f>(1+B2650)*IF(AND(Painel_diario!$H2647="EU_JD",Painel_diario!$J2647=1),EXP(Painel_diario!$L2647),1)-1</f>
        <v/>
      </c>
      <c r="C2651" s="22">
        <f>(1+C2650)*IF(AND(Painel_diario!$H2647="EU_JU",Painel_diario!$J2647=1),EXP(Painel_diario!$L2647),1)-1</f>
        <v/>
      </c>
      <c r="D2651" s="22">
        <f>(1+D2650)*IF(AND(Painel_diario!$H2647="ED_JD",Painel_diario!$J2647=1),EXP(Painel_diario!$L2647),1)-1</f>
        <v/>
      </c>
      <c r="E2651" s="22">
        <f>(1+E2650)*IF(AND(Painel_diario!$H2647="ED_JU",Painel_diario!$J2647=1),EXP(Painel_diario!$L2647),1)-1</f>
        <v/>
      </c>
    </row>
    <row r="2652">
      <c r="A2652" s="25" t="n">
        <v>42727</v>
      </c>
      <c r="B2652" s="22">
        <f>(1+B2651)*IF(AND(Painel_diario!$H2648="EU_JD",Painel_diario!$J2648=1),EXP(Painel_diario!$L2648),1)-1</f>
        <v/>
      </c>
      <c r="C2652" s="22">
        <f>(1+C2651)*IF(AND(Painel_diario!$H2648="EU_JU",Painel_diario!$J2648=1),EXP(Painel_diario!$L2648),1)-1</f>
        <v/>
      </c>
      <c r="D2652" s="22">
        <f>(1+D2651)*IF(AND(Painel_diario!$H2648="ED_JD",Painel_diario!$J2648=1),EXP(Painel_diario!$L2648),1)-1</f>
        <v/>
      </c>
      <c r="E2652" s="22">
        <f>(1+E2651)*IF(AND(Painel_diario!$H2648="ED_JU",Painel_diario!$J2648=1),EXP(Painel_diario!$L2648),1)-1</f>
        <v/>
      </c>
    </row>
    <row r="2653">
      <c r="A2653" s="25" t="n">
        <v>42730</v>
      </c>
      <c r="B2653" s="22">
        <f>(1+B2652)*IF(AND(Painel_diario!$H2649="EU_JD",Painel_diario!$J2649=1),EXP(Painel_diario!$L2649),1)-1</f>
        <v/>
      </c>
      <c r="C2653" s="22">
        <f>(1+C2652)*IF(AND(Painel_diario!$H2649="EU_JU",Painel_diario!$J2649=1),EXP(Painel_diario!$L2649),1)-1</f>
        <v/>
      </c>
      <c r="D2653" s="22">
        <f>(1+D2652)*IF(AND(Painel_diario!$H2649="ED_JD",Painel_diario!$J2649=1),EXP(Painel_diario!$L2649),1)-1</f>
        <v/>
      </c>
      <c r="E2653" s="22">
        <f>(1+E2652)*IF(AND(Painel_diario!$H2649="ED_JU",Painel_diario!$J2649=1),EXP(Painel_diario!$L2649),1)-1</f>
        <v/>
      </c>
    </row>
    <row r="2654">
      <c r="A2654" s="25" t="n">
        <v>42731</v>
      </c>
      <c r="B2654" s="22">
        <f>(1+B2653)*IF(AND(Painel_diario!$H2650="EU_JD",Painel_diario!$J2650=1),EXP(Painel_diario!$L2650),1)-1</f>
        <v/>
      </c>
      <c r="C2654" s="22">
        <f>(1+C2653)*IF(AND(Painel_diario!$H2650="EU_JU",Painel_diario!$J2650=1),EXP(Painel_diario!$L2650),1)-1</f>
        <v/>
      </c>
      <c r="D2654" s="22">
        <f>(1+D2653)*IF(AND(Painel_diario!$H2650="ED_JD",Painel_diario!$J2650=1),EXP(Painel_diario!$L2650),1)-1</f>
        <v/>
      </c>
      <c r="E2654" s="22">
        <f>(1+E2653)*IF(AND(Painel_diario!$H2650="ED_JU",Painel_diario!$J2650=1),EXP(Painel_diario!$L2650),1)-1</f>
        <v/>
      </c>
    </row>
    <row r="2655">
      <c r="A2655" s="25" t="n">
        <v>42732</v>
      </c>
      <c r="B2655" s="22">
        <f>(1+B2654)*IF(AND(Painel_diario!$H2651="EU_JD",Painel_diario!$J2651=1),EXP(Painel_diario!$L2651),1)-1</f>
        <v/>
      </c>
      <c r="C2655" s="22">
        <f>(1+C2654)*IF(AND(Painel_diario!$H2651="EU_JU",Painel_diario!$J2651=1),EXP(Painel_diario!$L2651),1)-1</f>
        <v/>
      </c>
      <c r="D2655" s="22">
        <f>(1+D2654)*IF(AND(Painel_diario!$H2651="ED_JD",Painel_diario!$J2651=1),EXP(Painel_diario!$L2651),1)-1</f>
        <v/>
      </c>
      <c r="E2655" s="22">
        <f>(1+E2654)*IF(AND(Painel_diario!$H2651="ED_JU",Painel_diario!$J2651=1),EXP(Painel_diario!$L2651),1)-1</f>
        <v/>
      </c>
    </row>
    <row r="2656">
      <c r="A2656" s="25" t="n">
        <v>42733</v>
      </c>
      <c r="B2656" s="22">
        <f>(1+B2655)*IF(AND(Painel_diario!$H2652="EU_JD",Painel_diario!$J2652=1),EXP(Painel_diario!$L2652),1)-1</f>
        <v/>
      </c>
      <c r="C2656" s="22">
        <f>(1+C2655)*IF(AND(Painel_diario!$H2652="EU_JU",Painel_diario!$J2652=1),EXP(Painel_diario!$L2652),1)-1</f>
        <v/>
      </c>
      <c r="D2656" s="22">
        <f>(1+D2655)*IF(AND(Painel_diario!$H2652="ED_JD",Painel_diario!$J2652=1),EXP(Painel_diario!$L2652),1)-1</f>
        <v/>
      </c>
      <c r="E2656" s="22">
        <f>(1+E2655)*IF(AND(Painel_diario!$H2652="ED_JU",Painel_diario!$J2652=1),EXP(Painel_diario!$L2652),1)-1</f>
        <v/>
      </c>
    </row>
    <row r="2657">
      <c r="A2657" s="25" t="n">
        <v>42737</v>
      </c>
      <c r="B2657" s="22">
        <f>(1+B2656)*IF(AND(Painel_diario!$H2653="EU_JD",Painel_diario!$J2653=1),EXP(Painel_diario!$L2653),1)-1</f>
        <v/>
      </c>
      <c r="C2657" s="22">
        <f>(1+C2656)*IF(AND(Painel_diario!$H2653="EU_JU",Painel_diario!$J2653=1),EXP(Painel_diario!$L2653),1)-1</f>
        <v/>
      </c>
      <c r="D2657" s="22">
        <f>(1+D2656)*IF(AND(Painel_diario!$H2653="ED_JD",Painel_diario!$J2653=1),EXP(Painel_diario!$L2653),1)-1</f>
        <v/>
      </c>
      <c r="E2657" s="22">
        <f>(1+E2656)*IF(AND(Painel_diario!$H2653="ED_JU",Painel_diario!$J2653=1),EXP(Painel_diario!$L2653),1)-1</f>
        <v/>
      </c>
    </row>
    <row r="2658">
      <c r="A2658" s="25" t="n">
        <v>42738</v>
      </c>
      <c r="B2658" s="22">
        <f>(1+B2657)*IF(AND(Painel_diario!$H2654="EU_JD",Painel_diario!$J2654=1),EXP(Painel_diario!$L2654),1)-1</f>
        <v/>
      </c>
      <c r="C2658" s="22">
        <f>(1+C2657)*IF(AND(Painel_diario!$H2654="EU_JU",Painel_diario!$J2654=1),EXP(Painel_diario!$L2654),1)-1</f>
        <v/>
      </c>
      <c r="D2658" s="22">
        <f>(1+D2657)*IF(AND(Painel_diario!$H2654="ED_JD",Painel_diario!$J2654=1),EXP(Painel_diario!$L2654),1)-1</f>
        <v/>
      </c>
      <c r="E2658" s="22">
        <f>(1+E2657)*IF(AND(Painel_diario!$H2654="ED_JU",Painel_diario!$J2654=1),EXP(Painel_diario!$L2654),1)-1</f>
        <v/>
      </c>
    </row>
    <row r="2659">
      <c r="A2659" s="25" t="n">
        <v>42739</v>
      </c>
      <c r="B2659" s="22">
        <f>(1+B2658)*IF(AND(Painel_diario!$H2655="EU_JD",Painel_diario!$J2655=1),EXP(Painel_diario!$L2655),1)-1</f>
        <v/>
      </c>
      <c r="C2659" s="22">
        <f>(1+C2658)*IF(AND(Painel_diario!$H2655="EU_JU",Painel_diario!$J2655=1),EXP(Painel_diario!$L2655),1)-1</f>
        <v/>
      </c>
      <c r="D2659" s="22">
        <f>(1+D2658)*IF(AND(Painel_diario!$H2655="ED_JD",Painel_diario!$J2655=1),EXP(Painel_diario!$L2655),1)-1</f>
        <v/>
      </c>
      <c r="E2659" s="22">
        <f>(1+E2658)*IF(AND(Painel_diario!$H2655="ED_JU",Painel_diario!$J2655=1),EXP(Painel_diario!$L2655),1)-1</f>
        <v/>
      </c>
    </row>
    <row r="2660">
      <c r="A2660" s="25" t="n">
        <v>42740</v>
      </c>
      <c r="B2660" s="22">
        <f>(1+B2659)*IF(AND(Painel_diario!$H2656="EU_JD",Painel_diario!$J2656=1),EXP(Painel_diario!$L2656),1)-1</f>
        <v/>
      </c>
      <c r="C2660" s="22">
        <f>(1+C2659)*IF(AND(Painel_diario!$H2656="EU_JU",Painel_diario!$J2656=1),EXP(Painel_diario!$L2656),1)-1</f>
        <v/>
      </c>
      <c r="D2660" s="22">
        <f>(1+D2659)*IF(AND(Painel_diario!$H2656="ED_JD",Painel_diario!$J2656=1),EXP(Painel_diario!$L2656),1)-1</f>
        <v/>
      </c>
      <c r="E2660" s="22">
        <f>(1+E2659)*IF(AND(Painel_diario!$H2656="ED_JU",Painel_diario!$J2656=1),EXP(Painel_diario!$L2656),1)-1</f>
        <v/>
      </c>
    </row>
    <row r="2661">
      <c r="A2661" s="25" t="n">
        <v>42741</v>
      </c>
      <c r="B2661" s="22">
        <f>(1+B2660)*IF(AND(Painel_diario!$H2657="EU_JD",Painel_diario!$J2657=1),EXP(Painel_diario!$L2657),1)-1</f>
        <v/>
      </c>
      <c r="C2661" s="22">
        <f>(1+C2660)*IF(AND(Painel_diario!$H2657="EU_JU",Painel_diario!$J2657=1),EXP(Painel_diario!$L2657),1)-1</f>
        <v/>
      </c>
      <c r="D2661" s="22">
        <f>(1+D2660)*IF(AND(Painel_diario!$H2657="ED_JD",Painel_diario!$J2657=1),EXP(Painel_diario!$L2657),1)-1</f>
        <v/>
      </c>
      <c r="E2661" s="22">
        <f>(1+E2660)*IF(AND(Painel_diario!$H2657="ED_JU",Painel_diario!$J2657=1),EXP(Painel_diario!$L2657),1)-1</f>
        <v/>
      </c>
    </row>
    <row r="2662">
      <c r="A2662" s="25" t="n">
        <v>42744</v>
      </c>
      <c r="B2662" s="22">
        <f>(1+B2661)*IF(AND(Painel_diario!$H2658="EU_JD",Painel_diario!$J2658=1),EXP(Painel_diario!$L2658),1)-1</f>
        <v/>
      </c>
      <c r="C2662" s="22">
        <f>(1+C2661)*IF(AND(Painel_diario!$H2658="EU_JU",Painel_diario!$J2658=1),EXP(Painel_diario!$L2658),1)-1</f>
        <v/>
      </c>
      <c r="D2662" s="22">
        <f>(1+D2661)*IF(AND(Painel_diario!$H2658="ED_JD",Painel_diario!$J2658=1),EXP(Painel_diario!$L2658),1)-1</f>
        <v/>
      </c>
      <c r="E2662" s="22">
        <f>(1+E2661)*IF(AND(Painel_diario!$H2658="ED_JU",Painel_diario!$J2658=1),EXP(Painel_diario!$L2658),1)-1</f>
        <v/>
      </c>
    </row>
    <row r="2663">
      <c r="A2663" s="25" t="n">
        <v>42745</v>
      </c>
      <c r="B2663" s="22">
        <f>(1+B2662)*IF(AND(Painel_diario!$H2659="EU_JD",Painel_diario!$J2659=1),EXP(Painel_diario!$L2659),1)-1</f>
        <v/>
      </c>
      <c r="C2663" s="22">
        <f>(1+C2662)*IF(AND(Painel_diario!$H2659="EU_JU",Painel_diario!$J2659=1),EXP(Painel_diario!$L2659),1)-1</f>
        <v/>
      </c>
      <c r="D2663" s="22">
        <f>(1+D2662)*IF(AND(Painel_diario!$H2659="ED_JD",Painel_diario!$J2659=1),EXP(Painel_diario!$L2659),1)-1</f>
        <v/>
      </c>
      <c r="E2663" s="22">
        <f>(1+E2662)*IF(AND(Painel_diario!$H2659="ED_JU",Painel_diario!$J2659=1),EXP(Painel_diario!$L2659),1)-1</f>
        <v/>
      </c>
    </row>
    <row r="2664">
      <c r="A2664" s="25" t="n">
        <v>42746</v>
      </c>
      <c r="B2664" s="22">
        <f>(1+B2663)*IF(AND(Painel_diario!$H2660="EU_JD",Painel_diario!$J2660=1),EXP(Painel_diario!$L2660),1)-1</f>
        <v/>
      </c>
      <c r="C2664" s="22">
        <f>(1+C2663)*IF(AND(Painel_diario!$H2660="EU_JU",Painel_diario!$J2660=1),EXP(Painel_diario!$L2660),1)-1</f>
        <v/>
      </c>
      <c r="D2664" s="22">
        <f>(1+D2663)*IF(AND(Painel_diario!$H2660="ED_JD",Painel_diario!$J2660=1),EXP(Painel_diario!$L2660),1)-1</f>
        <v/>
      </c>
      <c r="E2664" s="22">
        <f>(1+E2663)*IF(AND(Painel_diario!$H2660="ED_JU",Painel_diario!$J2660=1),EXP(Painel_diario!$L2660),1)-1</f>
        <v/>
      </c>
    </row>
    <row r="2665">
      <c r="A2665" s="25" t="n">
        <v>42747</v>
      </c>
      <c r="B2665" s="22">
        <f>(1+B2664)*IF(AND(Painel_diario!$H2661="EU_JD",Painel_diario!$J2661=1),EXP(Painel_diario!$L2661),1)-1</f>
        <v/>
      </c>
      <c r="C2665" s="22">
        <f>(1+C2664)*IF(AND(Painel_diario!$H2661="EU_JU",Painel_diario!$J2661=1),EXP(Painel_diario!$L2661),1)-1</f>
        <v/>
      </c>
      <c r="D2665" s="22">
        <f>(1+D2664)*IF(AND(Painel_diario!$H2661="ED_JD",Painel_diario!$J2661=1),EXP(Painel_diario!$L2661),1)-1</f>
        <v/>
      </c>
      <c r="E2665" s="22">
        <f>(1+E2664)*IF(AND(Painel_diario!$H2661="ED_JU",Painel_diario!$J2661=1),EXP(Painel_diario!$L2661),1)-1</f>
        <v/>
      </c>
    </row>
    <row r="2666">
      <c r="A2666" s="25" t="n">
        <v>42748</v>
      </c>
      <c r="B2666" s="22">
        <f>(1+B2665)*IF(AND(Painel_diario!$H2662="EU_JD",Painel_diario!$J2662=1),EXP(Painel_diario!$L2662),1)-1</f>
        <v/>
      </c>
      <c r="C2666" s="22">
        <f>(1+C2665)*IF(AND(Painel_diario!$H2662="EU_JU",Painel_diario!$J2662=1),EXP(Painel_diario!$L2662),1)-1</f>
        <v/>
      </c>
      <c r="D2666" s="22">
        <f>(1+D2665)*IF(AND(Painel_diario!$H2662="ED_JD",Painel_diario!$J2662=1),EXP(Painel_diario!$L2662),1)-1</f>
        <v/>
      </c>
      <c r="E2666" s="22">
        <f>(1+E2665)*IF(AND(Painel_diario!$H2662="ED_JU",Painel_diario!$J2662=1),EXP(Painel_diario!$L2662),1)-1</f>
        <v/>
      </c>
    </row>
    <row r="2667">
      <c r="A2667" s="25" t="n">
        <v>42751</v>
      </c>
      <c r="B2667" s="22">
        <f>(1+B2666)*IF(AND(Painel_diario!$H2663="EU_JD",Painel_diario!$J2663=1),EXP(Painel_diario!$L2663),1)-1</f>
        <v/>
      </c>
      <c r="C2667" s="22">
        <f>(1+C2666)*IF(AND(Painel_diario!$H2663="EU_JU",Painel_diario!$J2663=1),EXP(Painel_diario!$L2663),1)-1</f>
        <v/>
      </c>
      <c r="D2667" s="22">
        <f>(1+D2666)*IF(AND(Painel_diario!$H2663="ED_JD",Painel_diario!$J2663=1),EXP(Painel_diario!$L2663),1)-1</f>
        <v/>
      </c>
      <c r="E2667" s="22">
        <f>(1+E2666)*IF(AND(Painel_diario!$H2663="ED_JU",Painel_diario!$J2663=1),EXP(Painel_diario!$L2663),1)-1</f>
        <v/>
      </c>
    </row>
    <row r="2668">
      <c r="A2668" s="25" t="n">
        <v>42752</v>
      </c>
      <c r="B2668" s="22">
        <f>(1+B2667)*IF(AND(Painel_diario!$H2664="EU_JD",Painel_diario!$J2664=1),EXP(Painel_diario!$L2664),1)-1</f>
        <v/>
      </c>
      <c r="C2668" s="22">
        <f>(1+C2667)*IF(AND(Painel_diario!$H2664="EU_JU",Painel_diario!$J2664=1),EXP(Painel_diario!$L2664),1)-1</f>
        <v/>
      </c>
      <c r="D2668" s="22">
        <f>(1+D2667)*IF(AND(Painel_diario!$H2664="ED_JD",Painel_diario!$J2664=1),EXP(Painel_diario!$L2664),1)-1</f>
        <v/>
      </c>
      <c r="E2668" s="22">
        <f>(1+E2667)*IF(AND(Painel_diario!$H2664="ED_JU",Painel_diario!$J2664=1),EXP(Painel_diario!$L2664),1)-1</f>
        <v/>
      </c>
    </row>
    <row r="2669">
      <c r="A2669" s="25" t="n">
        <v>42753</v>
      </c>
      <c r="B2669" s="22">
        <f>(1+B2668)*IF(AND(Painel_diario!$H2665="EU_JD",Painel_diario!$J2665=1),EXP(Painel_diario!$L2665),1)-1</f>
        <v/>
      </c>
      <c r="C2669" s="22">
        <f>(1+C2668)*IF(AND(Painel_diario!$H2665="EU_JU",Painel_diario!$J2665=1),EXP(Painel_diario!$L2665),1)-1</f>
        <v/>
      </c>
      <c r="D2669" s="22">
        <f>(1+D2668)*IF(AND(Painel_diario!$H2665="ED_JD",Painel_diario!$J2665=1),EXP(Painel_diario!$L2665),1)-1</f>
        <v/>
      </c>
      <c r="E2669" s="22">
        <f>(1+E2668)*IF(AND(Painel_diario!$H2665="ED_JU",Painel_diario!$J2665=1),EXP(Painel_diario!$L2665),1)-1</f>
        <v/>
      </c>
    </row>
    <row r="2670">
      <c r="A2670" s="25" t="n">
        <v>42754</v>
      </c>
      <c r="B2670" s="22">
        <f>(1+B2669)*IF(AND(Painel_diario!$H2666="EU_JD",Painel_diario!$J2666=1),EXP(Painel_diario!$L2666),1)-1</f>
        <v/>
      </c>
      <c r="C2670" s="22">
        <f>(1+C2669)*IF(AND(Painel_diario!$H2666="EU_JU",Painel_diario!$J2666=1),EXP(Painel_diario!$L2666),1)-1</f>
        <v/>
      </c>
      <c r="D2670" s="22">
        <f>(1+D2669)*IF(AND(Painel_diario!$H2666="ED_JD",Painel_diario!$J2666=1),EXP(Painel_diario!$L2666),1)-1</f>
        <v/>
      </c>
      <c r="E2670" s="22">
        <f>(1+E2669)*IF(AND(Painel_diario!$H2666="ED_JU",Painel_diario!$J2666=1),EXP(Painel_diario!$L2666),1)-1</f>
        <v/>
      </c>
    </row>
    <row r="2671">
      <c r="A2671" s="25" t="n">
        <v>42755</v>
      </c>
      <c r="B2671" s="22">
        <f>(1+B2670)*IF(AND(Painel_diario!$H2667="EU_JD",Painel_diario!$J2667=1),EXP(Painel_diario!$L2667),1)-1</f>
        <v/>
      </c>
      <c r="C2671" s="22">
        <f>(1+C2670)*IF(AND(Painel_diario!$H2667="EU_JU",Painel_diario!$J2667=1),EXP(Painel_diario!$L2667),1)-1</f>
        <v/>
      </c>
      <c r="D2671" s="22">
        <f>(1+D2670)*IF(AND(Painel_diario!$H2667="ED_JD",Painel_diario!$J2667=1),EXP(Painel_diario!$L2667),1)-1</f>
        <v/>
      </c>
      <c r="E2671" s="22">
        <f>(1+E2670)*IF(AND(Painel_diario!$H2667="ED_JU",Painel_diario!$J2667=1),EXP(Painel_diario!$L2667),1)-1</f>
        <v/>
      </c>
    </row>
    <row r="2672">
      <c r="A2672" s="25" t="n">
        <v>42758</v>
      </c>
      <c r="B2672" s="22">
        <f>(1+B2671)*IF(AND(Painel_diario!$H2668="EU_JD",Painel_diario!$J2668=1),EXP(Painel_diario!$L2668),1)-1</f>
        <v/>
      </c>
      <c r="C2672" s="22">
        <f>(1+C2671)*IF(AND(Painel_diario!$H2668="EU_JU",Painel_diario!$J2668=1),EXP(Painel_diario!$L2668),1)-1</f>
        <v/>
      </c>
      <c r="D2672" s="22">
        <f>(1+D2671)*IF(AND(Painel_diario!$H2668="ED_JD",Painel_diario!$J2668=1),EXP(Painel_diario!$L2668),1)-1</f>
        <v/>
      </c>
      <c r="E2672" s="22">
        <f>(1+E2671)*IF(AND(Painel_diario!$H2668="ED_JU",Painel_diario!$J2668=1),EXP(Painel_diario!$L2668),1)-1</f>
        <v/>
      </c>
    </row>
    <row r="2673">
      <c r="A2673" s="25" t="n">
        <v>42759</v>
      </c>
      <c r="B2673" s="22">
        <f>(1+B2672)*IF(AND(Painel_diario!$H2669="EU_JD",Painel_diario!$J2669=1),EXP(Painel_diario!$L2669),1)-1</f>
        <v/>
      </c>
      <c r="C2673" s="22">
        <f>(1+C2672)*IF(AND(Painel_diario!$H2669="EU_JU",Painel_diario!$J2669=1),EXP(Painel_diario!$L2669),1)-1</f>
        <v/>
      </c>
      <c r="D2673" s="22">
        <f>(1+D2672)*IF(AND(Painel_diario!$H2669="ED_JD",Painel_diario!$J2669=1),EXP(Painel_diario!$L2669),1)-1</f>
        <v/>
      </c>
      <c r="E2673" s="22">
        <f>(1+E2672)*IF(AND(Painel_diario!$H2669="ED_JU",Painel_diario!$J2669=1),EXP(Painel_diario!$L2669),1)-1</f>
        <v/>
      </c>
    </row>
    <row r="2674">
      <c r="A2674" s="25" t="n">
        <v>42761</v>
      </c>
      <c r="B2674" s="22">
        <f>(1+B2673)*IF(AND(Painel_diario!$H2670="EU_JD",Painel_diario!$J2670=1),EXP(Painel_diario!$L2670),1)-1</f>
        <v/>
      </c>
      <c r="C2674" s="22">
        <f>(1+C2673)*IF(AND(Painel_diario!$H2670="EU_JU",Painel_diario!$J2670=1),EXP(Painel_diario!$L2670),1)-1</f>
        <v/>
      </c>
      <c r="D2674" s="22">
        <f>(1+D2673)*IF(AND(Painel_diario!$H2670="ED_JD",Painel_diario!$J2670=1),EXP(Painel_diario!$L2670),1)-1</f>
        <v/>
      </c>
      <c r="E2674" s="22">
        <f>(1+E2673)*IF(AND(Painel_diario!$H2670="ED_JU",Painel_diario!$J2670=1),EXP(Painel_diario!$L2670),1)-1</f>
        <v/>
      </c>
    </row>
    <row r="2675">
      <c r="A2675" s="25" t="n">
        <v>42762</v>
      </c>
      <c r="B2675" s="22">
        <f>(1+B2674)*IF(AND(Painel_diario!$H2671="EU_JD",Painel_diario!$J2671=1),EXP(Painel_diario!$L2671),1)-1</f>
        <v/>
      </c>
      <c r="C2675" s="22">
        <f>(1+C2674)*IF(AND(Painel_diario!$H2671="EU_JU",Painel_diario!$J2671=1),EXP(Painel_diario!$L2671),1)-1</f>
        <v/>
      </c>
      <c r="D2675" s="22">
        <f>(1+D2674)*IF(AND(Painel_diario!$H2671="ED_JD",Painel_diario!$J2671=1),EXP(Painel_diario!$L2671),1)-1</f>
        <v/>
      </c>
      <c r="E2675" s="22">
        <f>(1+E2674)*IF(AND(Painel_diario!$H2671="ED_JU",Painel_diario!$J2671=1),EXP(Painel_diario!$L2671),1)-1</f>
        <v/>
      </c>
    </row>
    <row r="2676">
      <c r="A2676" s="25" t="n">
        <v>42765</v>
      </c>
      <c r="B2676" s="22">
        <f>(1+B2675)*IF(AND(Painel_diario!$H2672="EU_JD",Painel_diario!$J2672=1),EXP(Painel_diario!$L2672),1)-1</f>
        <v/>
      </c>
      <c r="C2676" s="22">
        <f>(1+C2675)*IF(AND(Painel_diario!$H2672="EU_JU",Painel_diario!$J2672=1),EXP(Painel_diario!$L2672),1)-1</f>
        <v/>
      </c>
      <c r="D2676" s="22">
        <f>(1+D2675)*IF(AND(Painel_diario!$H2672="ED_JD",Painel_diario!$J2672=1),EXP(Painel_diario!$L2672),1)-1</f>
        <v/>
      </c>
      <c r="E2676" s="22">
        <f>(1+E2675)*IF(AND(Painel_diario!$H2672="ED_JU",Painel_diario!$J2672=1),EXP(Painel_diario!$L2672),1)-1</f>
        <v/>
      </c>
    </row>
    <row r="2677">
      <c r="A2677" s="25" t="n">
        <v>42766</v>
      </c>
      <c r="B2677" s="22">
        <f>(1+B2676)*IF(AND(Painel_diario!$H2673="EU_JD",Painel_diario!$J2673=1),EXP(Painel_diario!$L2673),1)-1</f>
        <v/>
      </c>
      <c r="C2677" s="22">
        <f>(1+C2676)*IF(AND(Painel_diario!$H2673="EU_JU",Painel_diario!$J2673=1),EXP(Painel_diario!$L2673),1)-1</f>
        <v/>
      </c>
      <c r="D2677" s="22">
        <f>(1+D2676)*IF(AND(Painel_diario!$H2673="ED_JD",Painel_diario!$J2673=1),EXP(Painel_diario!$L2673),1)-1</f>
        <v/>
      </c>
      <c r="E2677" s="22">
        <f>(1+E2676)*IF(AND(Painel_diario!$H2673="ED_JU",Painel_diario!$J2673=1),EXP(Painel_diario!$L2673),1)-1</f>
        <v/>
      </c>
    </row>
    <row r="2678">
      <c r="A2678" s="25" t="n">
        <v>42767</v>
      </c>
      <c r="B2678" s="22">
        <f>(1+B2677)*IF(AND(Painel_diario!$H2674="EU_JD",Painel_diario!$J2674=1),EXP(Painel_diario!$L2674),1)-1</f>
        <v/>
      </c>
      <c r="C2678" s="22">
        <f>(1+C2677)*IF(AND(Painel_diario!$H2674="EU_JU",Painel_diario!$J2674=1),EXP(Painel_diario!$L2674),1)-1</f>
        <v/>
      </c>
      <c r="D2678" s="22">
        <f>(1+D2677)*IF(AND(Painel_diario!$H2674="ED_JD",Painel_diario!$J2674=1),EXP(Painel_diario!$L2674),1)-1</f>
        <v/>
      </c>
      <c r="E2678" s="22">
        <f>(1+E2677)*IF(AND(Painel_diario!$H2674="ED_JU",Painel_diario!$J2674=1),EXP(Painel_diario!$L2674),1)-1</f>
        <v/>
      </c>
    </row>
    <row r="2679">
      <c r="A2679" s="25" t="n">
        <v>42768</v>
      </c>
      <c r="B2679" s="22">
        <f>(1+B2678)*IF(AND(Painel_diario!$H2675="EU_JD",Painel_diario!$J2675=1),EXP(Painel_diario!$L2675),1)-1</f>
        <v/>
      </c>
      <c r="C2679" s="22">
        <f>(1+C2678)*IF(AND(Painel_diario!$H2675="EU_JU",Painel_diario!$J2675=1),EXP(Painel_diario!$L2675),1)-1</f>
        <v/>
      </c>
      <c r="D2679" s="22">
        <f>(1+D2678)*IF(AND(Painel_diario!$H2675="ED_JD",Painel_diario!$J2675=1),EXP(Painel_diario!$L2675),1)-1</f>
        <v/>
      </c>
      <c r="E2679" s="22">
        <f>(1+E2678)*IF(AND(Painel_diario!$H2675="ED_JU",Painel_diario!$J2675=1),EXP(Painel_diario!$L2675),1)-1</f>
        <v/>
      </c>
    </row>
    <row r="2680">
      <c r="A2680" s="25" t="n">
        <v>42769</v>
      </c>
      <c r="B2680" s="22">
        <f>(1+B2679)*IF(AND(Painel_diario!$H2676="EU_JD",Painel_diario!$J2676=1),EXP(Painel_diario!$L2676),1)-1</f>
        <v/>
      </c>
      <c r="C2680" s="22">
        <f>(1+C2679)*IF(AND(Painel_diario!$H2676="EU_JU",Painel_diario!$J2676=1),EXP(Painel_diario!$L2676),1)-1</f>
        <v/>
      </c>
      <c r="D2680" s="22">
        <f>(1+D2679)*IF(AND(Painel_diario!$H2676="ED_JD",Painel_diario!$J2676=1),EXP(Painel_diario!$L2676),1)-1</f>
        <v/>
      </c>
      <c r="E2680" s="22">
        <f>(1+E2679)*IF(AND(Painel_diario!$H2676="ED_JU",Painel_diario!$J2676=1),EXP(Painel_diario!$L2676),1)-1</f>
        <v/>
      </c>
    </row>
    <row r="2681">
      <c r="A2681" s="25" t="n">
        <v>42772</v>
      </c>
      <c r="B2681" s="22">
        <f>(1+B2680)*IF(AND(Painel_diario!$H2677="EU_JD",Painel_diario!$J2677=1),EXP(Painel_diario!$L2677),1)-1</f>
        <v/>
      </c>
      <c r="C2681" s="22">
        <f>(1+C2680)*IF(AND(Painel_diario!$H2677="EU_JU",Painel_diario!$J2677=1),EXP(Painel_diario!$L2677),1)-1</f>
        <v/>
      </c>
      <c r="D2681" s="22">
        <f>(1+D2680)*IF(AND(Painel_diario!$H2677="ED_JD",Painel_diario!$J2677=1),EXP(Painel_diario!$L2677),1)-1</f>
        <v/>
      </c>
      <c r="E2681" s="22">
        <f>(1+E2680)*IF(AND(Painel_diario!$H2677="ED_JU",Painel_diario!$J2677=1),EXP(Painel_diario!$L2677),1)-1</f>
        <v/>
      </c>
    </row>
    <row r="2682">
      <c r="A2682" s="25" t="n">
        <v>42773</v>
      </c>
      <c r="B2682" s="22">
        <f>(1+B2681)*IF(AND(Painel_diario!$H2678="EU_JD",Painel_diario!$J2678=1),EXP(Painel_diario!$L2678),1)-1</f>
        <v/>
      </c>
      <c r="C2682" s="22">
        <f>(1+C2681)*IF(AND(Painel_diario!$H2678="EU_JU",Painel_diario!$J2678=1),EXP(Painel_diario!$L2678),1)-1</f>
        <v/>
      </c>
      <c r="D2682" s="22">
        <f>(1+D2681)*IF(AND(Painel_diario!$H2678="ED_JD",Painel_diario!$J2678=1),EXP(Painel_diario!$L2678),1)-1</f>
        <v/>
      </c>
      <c r="E2682" s="22">
        <f>(1+E2681)*IF(AND(Painel_diario!$H2678="ED_JU",Painel_diario!$J2678=1),EXP(Painel_diario!$L2678),1)-1</f>
        <v/>
      </c>
    </row>
    <row r="2683">
      <c r="A2683" s="25" t="n">
        <v>42774</v>
      </c>
      <c r="B2683" s="22">
        <f>(1+B2682)*IF(AND(Painel_diario!$H2679="EU_JD",Painel_diario!$J2679=1),EXP(Painel_diario!$L2679),1)-1</f>
        <v/>
      </c>
      <c r="C2683" s="22">
        <f>(1+C2682)*IF(AND(Painel_diario!$H2679="EU_JU",Painel_diario!$J2679=1),EXP(Painel_diario!$L2679),1)-1</f>
        <v/>
      </c>
      <c r="D2683" s="22">
        <f>(1+D2682)*IF(AND(Painel_diario!$H2679="ED_JD",Painel_diario!$J2679=1),EXP(Painel_diario!$L2679),1)-1</f>
        <v/>
      </c>
      <c r="E2683" s="22">
        <f>(1+E2682)*IF(AND(Painel_diario!$H2679="ED_JU",Painel_diario!$J2679=1),EXP(Painel_diario!$L2679),1)-1</f>
        <v/>
      </c>
    </row>
    <row r="2684">
      <c r="A2684" s="25" t="n">
        <v>42775</v>
      </c>
      <c r="B2684" s="22">
        <f>(1+B2683)*IF(AND(Painel_diario!$H2680="EU_JD",Painel_diario!$J2680=1),EXP(Painel_diario!$L2680),1)-1</f>
        <v/>
      </c>
      <c r="C2684" s="22">
        <f>(1+C2683)*IF(AND(Painel_diario!$H2680="EU_JU",Painel_diario!$J2680=1),EXP(Painel_diario!$L2680),1)-1</f>
        <v/>
      </c>
      <c r="D2684" s="22">
        <f>(1+D2683)*IF(AND(Painel_diario!$H2680="ED_JD",Painel_diario!$J2680=1),EXP(Painel_diario!$L2680),1)-1</f>
        <v/>
      </c>
      <c r="E2684" s="22">
        <f>(1+E2683)*IF(AND(Painel_diario!$H2680="ED_JU",Painel_diario!$J2680=1),EXP(Painel_diario!$L2680),1)-1</f>
        <v/>
      </c>
    </row>
    <row r="2685">
      <c r="A2685" s="25" t="n">
        <v>42776</v>
      </c>
      <c r="B2685" s="22">
        <f>(1+B2684)*IF(AND(Painel_diario!$H2681="EU_JD",Painel_diario!$J2681=1),EXP(Painel_diario!$L2681),1)-1</f>
        <v/>
      </c>
      <c r="C2685" s="22">
        <f>(1+C2684)*IF(AND(Painel_diario!$H2681="EU_JU",Painel_diario!$J2681=1),EXP(Painel_diario!$L2681),1)-1</f>
        <v/>
      </c>
      <c r="D2685" s="22">
        <f>(1+D2684)*IF(AND(Painel_diario!$H2681="ED_JD",Painel_diario!$J2681=1),EXP(Painel_diario!$L2681),1)-1</f>
        <v/>
      </c>
      <c r="E2685" s="22">
        <f>(1+E2684)*IF(AND(Painel_diario!$H2681="ED_JU",Painel_diario!$J2681=1),EXP(Painel_diario!$L2681),1)-1</f>
        <v/>
      </c>
    </row>
    <row r="2686">
      <c r="A2686" s="25" t="n">
        <v>42779</v>
      </c>
      <c r="B2686" s="22">
        <f>(1+B2685)*IF(AND(Painel_diario!$H2682="EU_JD",Painel_diario!$J2682=1),EXP(Painel_diario!$L2682),1)-1</f>
        <v/>
      </c>
      <c r="C2686" s="22">
        <f>(1+C2685)*IF(AND(Painel_diario!$H2682="EU_JU",Painel_diario!$J2682=1),EXP(Painel_diario!$L2682),1)-1</f>
        <v/>
      </c>
      <c r="D2686" s="22">
        <f>(1+D2685)*IF(AND(Painel_diario!$H2682="ED_JD",Painel_diario!$J2682=1),EXP(Painel_diario!$L2682),1)-1</f>
        <v/>
      </c>
      <c r="E2686" s="22">
        <f>(1+E2685)*IF(AND(Painel_diario!$H2682="ED_JU",Painel_diario!$J2682=1),EXP(Painel_diario!$L2682),1)-1</f>
        <v/>
      </c>
    </row>
    <row r="2687">
      <c r="A2687" s="25" t="n">
        <v>42780</v>
      </c>
      <c r="B2687" s="22">
        <f>(1+B2686)*IF(AND(Painel_diario!$H2683="EU_JD",Painel_diario!$J2683=1),EXP(Painel_diario!$L2683),1)-1</f>
        <v/>
      </c>
      <c r="C2687" s="22">
        <f>(1+C2686)*IF(AND(Painel_diario!$H2683="EU_JU",Painel_diario!$J2683=1),EXP(Painel_diario!$L2683),1)-1</f>
        <v/>
      </c>
      <c r="D2687" s="22">
        <f>(1+D2686)*IF(AND(Painel_diario!$H2683="ED_JD",Painel_diario!$J2683=1),EXP(Painel_diario!$L2683),1)-1</f>
        <v/>
      </c>
      <c r="E2687" s="22">
        <f>(1+E2686)*IF(AND(Painel_diario!$H2683="ED_JU",Painel_diario!$J2683=1),EXP(Painel_diario!$L2683),1)-1</f>
        <v/>
      </c>
    </row>
    <row r="2688">
      <c r="A2688" s="25" t="n">
        <v>42781</v>
      </c>
      <c r="B2688" s="22">
        <f>(1+B2687)*IF(AND(Painel_diario!$H2684="EU_JD",Painel_diario!$J2684=1),EXP(Painel_diario!$L2684),1)-1</f>
        <v/>
      </c>
      <c r="C2688" s="22">
        <f>(1+C2687)*IF(AND(Painel_diario!$H2684="EU_JU",Painel_diario!$J2684=1),EXP(Painel_diario!$L2684),1)-1</f>
        <v/>
      </c>
      <c r="D2688" s="22">
        <f>(1+D2687)*IF(AND(Painel_diario!$H2684="ED_JD",Painel_diario!$J2684=1),EXP(Painel_diario!$L2684),1)-1</f>
        <v/>
      </c>
      <c r="E2688" s="22">
        <f>(1+E2687)*IF(AND(Painel_diario!$H2684="ED_JU",Painel_diario!$J2684=1),EXP(Painel_diario!$L2684),1)-1</f>
        <v/>
      </c>
    </row>
    <row r="2689">
      <c r="A2689" s="25" t="n">
        <v>42782</v>
      </c>
      <c r="B2689" s="22">
        <f>(1+B2688)*IF(AND(Painel_diario!$H2685="EU_JD",Painel_diario!$J2685=1),EXP(Painel_diario!$L2685),1)-1</f>
        <v/>
      </c>
      <c r="C2689" s="22">
        <f>(1+C2688)*IF(AND(Painel_diario!$H2685="EU_JU",Painel_diario!$J2685=1),EXP(Painel_diario!$L2685),1)-1</f>
        <v/>
      </c>
      <c r="D2689" s="22">
        <f>(1+D2688)*IF(AND(Painel_diario!$H2685="ED_JD",Painel_diario!$J2685=1),EXP(Painel_diario!$L2685),1)-1</f>
        <v/>
      </c>
      <c r="E2689" s="22">
        <f>(1+E2688)*IF(AND(Painel_diario!$H2685="ED_JU",Painel_diario!$J2685=1),EXP(Painel_diario!$L2685),1)-1</f>
        <v/>
      </c>
    </row>
    <row r="2690">
      <c r="A2690" s="25" t="n">
        <v>42783</v>
      </c>
      <c r="B2690" s="22">
        <f>(1+B2689)*IF(AND(Painel_diario!$H2686="EU_JD",Painel_diario!$J2686=1),EXP(Painel_diario!$L2686),1)-1</f>
        <v/>
      </c>
      <c r="C2690" s="22">
        <f>(1+C2689)*IF(AND(Painel_diario!$H2686="EU_JU",Painel_diario!$J2686=1),EXP(Painel_diario!$L2686),1)-1</f>
        <v/>
      </c>
      <c r="D2690" s="22">
        <f>(1+D2689)*IF(AND(Painel_diario!$H2686="ED_JD",Painel_diario!$J2686=1),EXP(Painel_diario!$L2686),1)-1</f>
        <v/>
      </c>
      <c r="E2690" s="22">
        <f>(1+E2689)*IF(AND(Painel_diario!$H2686="ED_JU",Painel_diario!$J2686=1),EXP(Painel_diario!$L2686),1)-1</f>
        <v/>
      </c>
    </row>
    <row r="2691">
      <c r="A2691" s="25" t="n">
        <v>42786</v>
      </c>
      <c r="B2691" s="22">
        <f>(1+B2690)*IF(AND(Painel_diario!$H2687="EU_JD",Painel_diario!$J2687=1),EXP(Painel_diario!$L2687),1)-1</f>
        <v/>
      </c>
      <c r="C2691" s="22">
        <f>(1+C2690)*IF(AND(Painel_diario!$H2687="EU_JU",Painel_diario!$J2687=1),EXP(Painel_diario!$L2687),1)-1</f>
        <v/>
      </c>
      <c r="D2691" s="22">
        <f>(1+D2690)*IF(AND(Painel_diario!$H2687="ED_JD",Painel_diario!$J2687=1),EXP(Painel_diario!$L2687),1)-1</f>
        <v/>
      </c>
      <c r="E2691" s="22">
        <f>(1+E2690)*IF(AND(Painel_diario!$H2687="ED_JU",Painel_diario!$J2687=1),EXP(Painel_diario!$L2687),1)-1</f>
        <v/>
      </c>
    </row>
    <row r="2692">
      <c r="A2692" s="25" t="n">
        <v>42787</v>
      </c>
      <c r="B2692" s="22">
        <f>(1+B2691)*IF(AND(Painel_diario!$H2688="EU_JD",Painel_diario!$J2688=1),EXP(Painel_diario!$L2688),1)-1</f>
        <v/>
      </c>
      <c r="C2692" s="22">
        <f>(1+C2691)*IF(AND(Painel_diario!$H2688="EU_JU",Painel_diario!$J2688=1),EXP(Painel_diario!$L2688),1)-1</f>
        <v/>
      </c>
      <c r="D2692" s="22">
        <f>(1+D2691)*IF(AND(Painel_diario!$H2688="ED_JD",Painel_diario!$J2688=1),EXP(Painel_diario!$L2688),1)-1</f>
        <v/>
      </c>
      <c r="E2692" s="22">
        <f>(1+E2691)*IF(AND(Painel_diario!$H2688="ED_JU",Painel_diario!$J2688=1),EXP(Painel_diario!$L2688),1)-1</f>
        <v/>
      </c>
    </row>
    <row r="2693">
      <c r="A2693" s="25" t="n">
        <v>42788</v>
      </c>
      <c r="B2693" s="22">
        <f>(1+B2692)*IF(AND(Painel_diario!$H2689="EU_JD",Painel_diario!$J2689=1),EXP(Painel_diario!$L2689),1)-1</f>
        <v/>
      </c>
      <c r="C2693" s="22">
        <f>(1+C2692)*IF(AND(Painel_diario!$H2689="EU_JU",Painel_diario!$J2689=1),EXP(Painel_diario!$L2689),1)-1</f>
        <v/>
      </c>
      <c r="D2693" s="22">
        <f>(1+D2692)*IF(AND(Painel_diario!$H2689="ED_JD",Painel_diario!$J2689=1),EXP(Painel_diario!$L2689),1)-1</f>
        <v/>
      </c>
      <c r="E2693" s="22">
        <f>(1+E2692)*IF(AND(Painel_diario!$H2689="ED_JU",Painel_diario!$J2689=1),EXP(Painel_diario!$L2689),1)-1</f>
        <v/>
      </c>
    </row>
    <row r="2694">
      <c r="A2694" s="25" t="n">
        <v>42789</v>
      </c>
      <c r="B2694" s="22">
        <f>(1+B2693)*IF(AND(Painel_diario!$H2690="EU_JD",Painel_diario!$J2690=1),EXP(Painel_diario!$L2690),1)-1</f>
        <v/>
      </c>
      <c r="C2694" s="22">
        <f>(1+C2693)*IF(AND(Painel_diario!$H2690="EU_JU",Painel_diario!$J2690=1),EXP(Painel_diario!$L2690),1)-1</f>
        <v/>
      </c>
      <c r="D2694" s="22">
        <f>(1+D2693)*IF(AND(Painel_diario!$H2690="ED_JD",Painel_diario!$J2690=1),EXP(Painel_diario!$L2690),1)-1</f>
        <v/>
      </c>
      <c r="E2694" s="22">
        <f>(1+E2693)*IF(AND(Painel_diario!$H2690="ED_JU",Painel_diario!$J2690=1),EXP(Painel_diario!$L2690),1)-1</f>
        <v/>
      </c>
    </row>
    <row r="2695">
      <c r="A2695" s="25" t="n">
        <v>42790</v>
      </c>
      <c r="B2695" s="22">
        <f>(1+B2694)*IF(AND(Painel_diario!$H2691="EU_JD",Painel_diario!$J2691=1),EXP(Painel_diario!$L2691),1)-1</f>
        <v/>
      </c>
      <c r="C2695" s="22">
        <f>(1+C2694)*IF(AND(Painel_diario!$H2691="EU_JU",Painel_diario!$J2691=1),EXP(Painel_diario!$L2691),1)-1</f>
        <v/>
      </c>
      <c r="D2695" s="22">
        <f>(1+D2694)*IF(AND(Painel_diario!$H2691="ED_JD",Painel_diario!$J2691=1),EXP(Painel_diario!$L2691),1)-1</f>
        <v/>
      </c>
      <c r="E2695" s="22">
        <f>(1+E2694)*IF(AND(Painel_diario!$H2691="ED_JU",Painel_diario!$J2691=1),EXP(Painel_diario!$L2691),1)-1</f>
        <v/>
      </c>
    </row>
    <row r="2696">
      <c r="A2696" s="25" t="n">
        <v>42795</v>
      </c>
      <c r="B2696" s="22">
        <f>(1+B2695)*IF(AND(Painel_diario!$H2692="EU_JD",Painel_diario!$J2692=1),EXP(Painel_diario!$L2692),1)-1</f>
        <v/>
      </c>
      <c r="C2696" s="22">
        <f>(1+C2695)*IF(AND(Painel_diario!$H2692="EU_JU",Painel_diario!$J2692=1),EXP(Painel_diario!$L2692),1)-1</f>
        <v/>
      </c>
      <c r="D2696" s="22">
        <f>(1+D2695)*IF(AND(Painel_diario!$H2692="ED_JD",Painel_diario!$J2692=1),EXP(Painel_diario!$L2692),1)-1</f>
        <v/>
      </c>
      <c r="E2696" s="22">
        <f>(1+E2695)*IF(AND(Painel_diario!$H2692="ED_JU",Painel_diario!$J2692=1),EXP(Painel_diario!$L2692),1)-1</f>
        <v/>
      </c>
    </row>
    <row r="2697">
      <c r="A2697" s="25" t="n">
        <v>42796</v>
      </c>
      <c r="B2697" s="22">
        <f>(1+B2696)*IF(AND(Painel_diario!$H2693="EU_JD",Painel_diario!$J2693=1),EXP(Painel_diario!$L2693),1)-1</f>
        <v/>
      </c>
      <c r="C2697" s="22">
        <f>(1+C2696)*IF(AND(Painel_diario!$H2693="EU_JU",Painel_diario!$J2693=1),EXP(Painel_diario!$L2693),1)-1</f>
        <v/>
      </c>
      <c r="D2697" s="22">
        <f>(1+D2696)*IF(AND(Painel_diario!$H2693="ED_JD",Painel_diario!$J2693=1),EXP(Painel_diario!$L2693),1)-1</f>
        <v/>
      </c>
      <c r="E2697" s="22">
        <f>(1+E2696)*IF(AND(Painel_diario!$H2693="ED_JU",Painel_diario!$J2693=1),EXP(Painel_diario!$L2693),1)-1</f>
        <v/>
      </c>
    </row>
    <row r="2698">
      <c r="A2698" s="25" t="n">
        <v>42797</v>
      </c>
      <c r="B2698" s="22">
        <f>(1+B2697)*IF(AND(Painel_diario!$H2694="EU_JD",Painel_diario!$J2694=1),EXP(Painel_diario!$L2694),1)-1</f>
        <v/>
      </c>
      <c r="C2698" s="22">
        <f>(1+C2697)*IF(AND(Painel_diario!$H2694="EU_JU",Painel_diario!$J2694=1),EXP(Painel_diario!$L2694),1)-1</f>
        <v/>
      </c>
      <c r="D2698" s="22">
        <f>(1+D2697)*IF(AND(Painel_diario!$H2694="ED_JD",Painel_diario!$J2694=1),EXP(Painel_diario!$L2694),1)-1</f>
        <v/>
      </c>
      <c r="E2698" s="22">
        <f>(1+E2697)*IF(AND(Painel_diario!$H2694="ED_JU",Painel_diario!$J2694=1),EXP(Painel_diario!$L2694),1)-1</f>
        <v/>
      </c>
    </row>
    <row r="2699">
      <c r="A2699" s="25" t="n">
        <v>42800</v>
      </c>
      <c r="B2699" s="22">
        <f>(1+B2698)*IF(AND(Painel_diario!$H2695="EU_JD",Painel_diario!$J2695=1),EXP(Painel_diario!$L2695),1)-1</f>
        <v/>
      </c>
      <c r="C2699" s="22">
        <f>(1+C2698)*IF(AND(Painel_diario!$H2695="EU_JU",Painel_diario!$J2695=1),EXP(Painel_diario!$L2695),1)-1</f>
        <v/>
      </c>
      <c r="D2699" s="22">
        <f>(1+D2698)*IF(AND(Painel_diario!$H2695="ED_JD",Painel_diario!$J2695=1),EXP(Painel_diario!$L2695),1)-1</f>
        <v/>
      </c>
      <c r="E2699" s="22">
        <f>(1+E2698)*IF(AND(Painel_diario!$H2695="ED_JU",Painel_diario!$J2695=1),EXP(Painel_diario!$L2695),1)-1</f>
        <v/>
      </c>
    </row>
    <row r="2700">
      <c r="A2700" s="25" t="n">
        <v>42801</v>
      </c>
      <c r="B2700" s="22">
        <f>(1+B2699)*IF(AND(Painel_diario!$H2696="EU_JD",Painel_diario!$J2696=1),EXP(Painel_diario!$L2696),1)-1</f>
        <v/>
      </c>
      <c r="C2700" s="22">
        <f>(1+C2699)*IF(AND(Painel_diario!$H2696="EU_JU",Painel_diario!$J2696=1),EXP(Painel_diario!$L2696),1)-1</f>
        <v/>
      </c>
      <c r="D2700" s="22">
        <f>(1+D2699)*IF(AND(Painel_diario!$H2696="ED_JD",Painel_diario!$J2696=1),EXP(Painel_diario!$L2696),1)-1</f>
        <v/>
      </c>
      <c r="E2700" s="22">
        <f>(1+E2699)*IF(AND(Painel_diario!$H2696="ED_JU",Painel_diario!$J2696=1),EXP(Painel_diario!$L2696),1)-1</f>
        <v/>
      </c>
    </row>
    <row r="2701">
      <c r="A2701" s="25" t="n">
        <v>42802</v>
      </c>
      <c r="B2701" s="22">
        <f>(1+B2700)*IF(AND(Painel_diario!$H2697="EU_JD",Painel_diario!$J2697=1),EXP(Painel_diario!$L2697),1)-1</f>
        <v/>
      </c>
      <c r="C2701" s="22">
        <f>(1+C2700)*IF(AND(Painel_diario!$H2697="EU_JU",Painel_diario!$J2697=1),EXP(Painel_diario!$L2697),1)-1</f>
        <v/>
      </c>
      <c r="D2701" s="22">
        <f>(1+D2700)*IF(AND(Painel_diario!$H2697="ED_JD",Painel_diario!$J2697=1),EXP(Painel_diario!$L2697),1)-1</f>
        <v/>
      </c>
      <c r="E2701" s="22">
        <f>(1+E2700)*IF(AND(Painel_diario!$H2697="ED_JU",Painel_diario!$J2697=1),EXP(Painel_diario!$L2697),1)-1</f>
        <v/>
      </c>
    </row>
    <row r="2702">
      <c r="A2702" s="25" t="n">
        <v>42803</v>
      </c>
      <c r="B2702" s="22">
        <f>(1+B2701)*IF(AND(Painel_diario!$H2698="EU_JD",Painel_diario!$J2698=1),EXP(Painel_diario!$L2698),1)-1</f>
        <v/>
      </c>
      <c r="C2702" s="22">
        <f>(1+C2701)*IF(AND(Painel_diario!$H2698="EU_JU",Painel_diario!$J2698=1),EXP(Painel_diario!$L2698),1)-1</f>
        <v/>
      </c>
      <c r="D2702" s="22">
        <f>(1+D2701)*IF(AND(Painel_diario!$H2698="ED_JD",Painel_diario!$J2698=1),EXP(Painel_diario!$L2698),1)-1</f>
        <v/>
      </c>
      <c r="E2702" s="22">
        <f>(1+E2701)*IF(AND(Painel_diario!$H2698="ED_JU",Painel_diario!$J2698=1),EXP(Painel_diario!$L2698),1)-1</f>
        <v/>
      </c>
    </row>
    <row r="2703">
      <c r="A2703" s="25" t="n">
        <v>42804</v>
      </c>
      <c r="B2703" s="22">
        <f>(1+B2702)*IF(AND(Painel_diario!$H2699="EU_JD",Painel_diario!$J2699=1),EXP(Painel_diario!$L2699),1)-1</f>
        <v/>
      </c>
      <c r="C2703" s="22">
        <f>(1+C2702)*IF(AND(Painel_diario!$H2699="EU_JU",Painel_diario!$J2699=1),EXP(Painel_diario!$L2699),1)-1</f>
        <v/>
      </c>
      <c r="D2703" s="22">
        <f>(1+D2702)*IF(AND(Painel_diario!$H2699="ED_JD",Painel_diario!$J2699=1),EXP(Painel_diario!$L2699),1)-1</f>
        <v/>
      </c>
      <c r="E2703" s="22">
        <f>(1+E2702)*IF(AND(Painel_diario!$H2699="ED_JU",Painel_diario!$J2699=1),EXP(Painel_diario!$L2699),1)-1</f>
        <v/>
      </c>
    </row>
    <row r="2704">
      <c r="A2704" s="25" t="n">
        <v>42807</v>
      </c>
      <c r="B2704" s="22">
        <f>(1+B2703)*IF(AND(Painel_diario!$H2700="EU_JD",Painel_diario!$J2700=1),EXP(Painel_diario!$L2700),1)-1</f>
        <v/>
      </c>
      <c r="C2704" s="22">
        <f>(1+C2703)*IF(AND(Painel_diario!$H2700="EU_JU",Painel_diario!$J2700=1),EXP(Painel_diario!$L2700),1)-1</f>
        <v/>
      </c>
      <c r="D2704" s="22">
        <f>(1+D2703)*IF(AND(Painel_diario!$H2700="ED_JD",Painel_diario!$J2700=1),EXP(Painel_diario!$L2700),1)-1</f>
        <v/>
      </c>
      <c r="E2704" s="22">
        <f>(1+E2703)*IF(AND(Painel_diario!$H2700="ED_JU",Painel_diario!$J2700=1),EXP(Painel_diario!$L2700),1)-1</f>
        <v/>
      </c>
    </row>
    <row r="2705">
      <c r="A2705" s="25" t="n">
        <v>42808</v>
      </c>
      <c r="B2705" s="22">
        <f>(1+B2704)*IF(AND(Painel_diario!$H2701="EU_JD",Painel_diario!$J2701=1),EXP(Painel_diario!$L2701),1)-1</f>
        <v/>
      </c>
      <c r="C2705" s="22">
        <f>(1+C2704)*IF(AND(Painel_diario!$H2701="EU_JU",Painel_diario!$J2701=1),EXP(Painel_diario!$L2701),1)-1</f>
        <v/>
      </c>
      <c r="D2705" s="22">
        <f>(1+D2704)*IF(AND(Painel_diario!$H2701="ED_JD",Painel_diario!$J2701=1),EXP(Painel_diario!$L2701),1)-1</f>
        <v/>
      </c>
      <c r="E2705" s="22">
        <f>(1+E2704)*IF(AND(Painel_diario!$H2701="ED_JU",Painel_diario!$J2701=1),EXP(Painel_diario!$L2701),1)-1</f>
        <v/>
      </c>
    </row>
    <row r="2706">
      <c r="A2706" s="25" t="n">
        <v>42809</v>
      </c>
      <c r="B2706" s="22">
        <f>(1+B2705)*IF(AND(Painel_diario!$H2702="EU_JD",Painel_diario!$J2702=1),EXP(Painel_diario!$L2702),1)-1</f>
        <v/>
      </c>
      <c r="C2706" s="22">
        <f>(1+C2705)*IF(AND(Painel_diario!$H2702="EU_JU",Painel_diario!$J2702=1),EXP(Painel_diario!$L2702),1)-1</f>
        <v/>
      </c>
      <c r="D2706" s="22">
        <f>(1+D2705)*IF(AND(Painel_diario!$H2702="ED_JD",Painel_diario!$J2702=1),EXP(Painel_diario!$L2702),1)-1</f>
        <v/>
      </c>
      <c r="E2706" s="22">
        <f>(1+E2705)*IF(AND(Painel_diario!$H2702="ED_JU",Painel_diario!$J2702=1),EXP(Painel_diario!$L2702),1)-1</f>
        <v/>
      </c>
    </row>
    <row r="2707">
      <c r="A2707" s="25" t="n">
        <v>42810</v>
      </c>
      <c r="B2707" s="22">
        <f>(1+B2706)*IF(AND(Painel_diario!$H2703="EU_JD",Painel_diario!$J2703=1),EXP(Painel_diario!$L2703),1)-1</f>
        <v/>
      </c>
      <c r="C2707" s="22">
        <f>(1+C2706)*IF(AND(Painel_diario!$H2703="EU_JU",Painel_diario!$J2703=1),EXP(Painel_diario!$L2703),1)-1</f>
        <v/>
      </c>
      <c r="D2707" s="22">
        <f>(1+D2706)*IF(AND(Painel_diario!$H2703="ED_JD",Painel_diario!$J2703=1),EXP(Painel_diario!$L2703),1)-1</f>
        <v/>
      </c>
      <c r="E2707" s="22">
        <f>(1+E2706)*IF(AND(Painel_diario!$H2703="ED_JU",Painel_diario!$J2703=1),EXP(Painel_diario!$L2703),1)-1</f>
        <v/>
      </c>
    </row>
    <row r="2708">
      <c r="A2708" s="25" t="n">
        <v>42811</v>
      </c>
      <c r="B2708" s="22">
        <f>(1+B2707)*IF(AND(Painel_diario!$H2704="EU_JD",Painel_diario!$J2704=1),EXP(Painel_diario!$L2704),1)-1</f>
        <v/>
      </c>
      <c r="C2708" s="22">
        <f>(1+C2707)*IF(AND(Painel_diario!$H2704="EU_JU",Painel_diario!$J2704=1),EXP(Painel_diario!$L2704),1)-1</f>
        <v/>
      </c>
      <c r="D2708" s="22">
        <f>(1+D2707)*IF(AND(Painel_diario!$H2704="ED_JD",Painel_diario!$J2704=1),EXP(Painel_diario!$L2704),1)-1</f>
        <v/>
      </c>
      <c r="E2708" s="22">
        <f>(1+E2707)*IF(AND(Painel_diario!$H2704="ED_JU",Painel_diario!$J2704=1),EXP(Painel_diario!$L2704),1)-1</f>
        <v/>
      </c>
    </row>
    <row r="2709">
      <c r="A2709" s="25" t="n">
        <v>42814</v>
      </c>
      <c r="B2709" s="22">
        <f>(1+B2708)*IF(AND(Painel_diario!$H2705="EU_JD",Painel_diario!$J2705=1),EXP(Painel_diario!$L2705),1)-1</f>
        <v/>
      </c>
      <c r="C2709" s="22">
        <f>(1+C2708)*IF(AND(Painel_diario!$H2705="EU_JU",Painel_diario!$J2705=1),EXP(Painel_diario!$L2705),1)-1</f>
        <v/>
      </c>
      <c r="D2709" s="22">
        <f>(1+D2708)*IF(AND(Painel_diario!$H2705="ED_JD",Painel_diario!$J2705=1),EXP(Painel_diario!$L2705),1)-1</f>
        <v/>
      </c>
      <c r="E2709" s="22">
        <f>(1+E2708)*IF(AND(Painel_diario!$H2705="ED_JU",Painel_diario!$J2705=1),EXP(Painel_diario!$L2705),1)-1</f>
        <v/>
      </c>
    </row>
    <row r="2710">
      <c r="A2710" s="25" t="n">
        <v>42815</v>
      </c>
      <c r="B2710" s="22">
        <f>(1+B2709)*IF(AND(Painel_diario!$H2706="EU_JD",Painel_diario!$J2706=1),EXP(Painel_diario!$L2706),1)-1</f>
        <v/>
      </c>
      <c r="C2710" s="22">
        <f>(1+C2709)*IF(AND(Painel_diario!$H2706="EU_JU",Painel_diario!$J2706=1),EXP(Painel_diario!$L2706),1)-1</f>
        <v/>
      </c>
      <c r="D2710" s="22">
        <f>(1+D2709)*IF(AND(Painel_diario!$H2706="ED_JD",Painel_diario!$J2706=1),EXP(Painel_diario!$L2706),1)-1</f>
        <v/>
      </c>
      <c r="E2710" s="22">
        <f>(1+E2709)*IF(AND(Painel_diario!$H2706="ED_JU",Painel_diario!$J2706=1),EXP(Painel_diario!$L2706),1)-1</f>
        <v/>
      </c>
    </row>
    <row r="2711">
      <c r="A2711" s="25" t="n">
        <v>42816</v>
      </c>
      <c r="B2711" s="22">
        <f>(1+B2710)*IF(AND(Painel_diario!$H2707="EU_JD",Painel_diario!$J2707=1),EXP(Painel_diario!$L2707),1)-1</f>
        <v/>
      </c>
      <c r="C2711" s="22">
        <f>(1+C2710)*IF(AND(Painel_diario!$H2707="EU_JU",Painel_diario!$J2707=1),EXP(Painel_diario!$L2707),1)-1</f>
        <v/>
      </c>
      <c r="D2711" s="22">
        <f>(1+D2710)*IF(AND(Painel_diario!$H2707="ED_JD",Painel_diario!$J2707=1),EXP(Painel_diario!$L2707),1)-1</f>
        <v/>
      </c>
      <c r="E2711" s="22">
        <f>(1+E2710)*IF(AND(Painel_diario!$H2707="ED_JU",Painel_diario!$J2707=1),EXP(Painel_diario!$L2707),1)-1</f>
        <v/>
      </c>
    </row>
    <row r="2712">
      <c r="A2712" s="25" t="n">
        <v>42817</v>
      </c>
      <c r="B2712" s="22">
        <f>(1+B2711)*IF(AND(Painel_diario!$H2708="EU_JD",Painel_diario!$J2708=1),EXP(Painel_diario!$L2708),1)-1</f>
        <v/>
      </c>
      <c r="C2712" s="22">
        <f>(1+C2711)*IF(AND(Painel_diario!$H2708="EU_JU",Painel_diario!$J2708=1),EXP(Painel_diario!$L2708),1)-1</f>
        <v/>
      </c>
      <c r="D2712" s="22">
        <f>(1+D2711)*IF(AND(Painel_diario!$H2708="ED_JD",Painel_diario!$J2708=1),EXP(Painel_diario!$L2708),1)-1</f>
        <v/>
      </c>
      <c r="E2712" s="22">
        <f>(1+E2711)*IF(AND(Painel_diario!$H2708="ED_JU",Painel_diario!$J2708=1),EXP(Painel_diario!$L2708),1)-1</f>
        <v/>
      </c>
    </row>
    <row r="2713">
      <c r="A2713" s="25" t="n">
        <v>42818</v>
      </c>
      <c r="B2713" s="22">
        <f>(1+B2712)*IF(AND(Painel_diario!$H2709="EU_JD",Painel_diario!$J2709=1),EXP(Painel_diario!$L2709),1)-1</f>
        <v/>
      </c>
      <c r="C2713" s="22">
        <f>(1+C2712)*IF(AND(Painel_diario!$H2709="EU_JU",Painel_diario!$J2709=1),EXP(Painel_diario!$L2709),1)-1</f>
        <v/>
      </c>
      <c r="D2713" s="22">
        <f>(1+D2712)*IF(AND(Painel_diario!$H2709="ED_JD",Painel_diario!$J2709=1),EXP(Painel_diario!$L2709),1)-1</f>
        <v/>
      </c>
      <c r="E2713" s="22">
        <f>(1+E2712)*IF(AND(Painel_diario!$H2709="ED_JU",Painel_diario!$J2709=1),EXP(Painel_diario!$L2709),1)-1</f>
        <v/>
      </c>
    </row>
    <row r="2714">
      <c r="A2714" s="25" t="n">
        <v>42821</v>
      </c>
      <c r="B2714" s="22">
        <f>(1+B2713)*IF(AND(Painel_diario!$H2710="EU_JD",Painel_diario!$J2710=1),EXP(Painel_diario!$L2710),1)-1</f>
        <v/>
      </c>
      <c r="C2714" s="22">
        <f>(1+C2713)*IF(AND(Painel_diario!$H2710="EU_JU",Painel_diario!$J2710=1),EXP(Painel_diario!$L2710),1)-1</f>
        <v/>
      </c>
      <c r="D2714" s="22">
        <f>(1+D2713)*IF(AND(Painel_diario!$H2710="ED_JD",Painel_diario!$J2710=1),EXP(Painel_diario!$L2710),1)-1</f>
        <v/>
      </c>
      <c r="E2714" s="22">
        <f>(1+E2713)*IF(AND(Painel_diario!$H2710="ED_JU",Painel_diario!$J2710=1),EXP(Painel_diario!$L2710),1)-1</f>
        <v/>
      </c>
    </row>
    <row r="2715">
      <c r="A2715" s="25" t="n">
        <v>42822</v>
      </c>
      <c r="B2715" s="22">
        <f>(1+B2714)*IF(AND(Painel_diario!$H2711="EU_JD",Painel_diario!$J2711=1),EXP(Painel_diario!$L2711),1)-1</f>
        <v/>
      </c>
      <c r="C2715" s="22">
        <f>(1+C2714)*IF(AND(Painel_diario!$H2711="EU_JU",Painel_diario!$J2711=1),EXP(Painel_diario!$L2711),1)-1</f>
        <v/>
      </c>
      <c r="D2715" s="22">
        <f>(1+D2714)*IF(AND(Painel_diario!$H2711="ED_JD",Painel_diario!$J2711=1),EXP(Painel_diario!$L2711),1)-1</f>
        <v/>
      </c>
      <c r="E2715" s="22">
        <f>(1+E2714)*IF(AND(Painel_diario!$H2711="ED_JU",Painel_diario!$J2711=1),EXP(Painel_diario!$L2711),1)-1</f>
        <v/>
      </c>
    </row>
    <row r="2716">
      <c r="A2716" s="25" t="n">
        <v>42823</v>
      </c>
      <c r="B2716" s="22">
        <f>(1+B2715)*IF(AND(Painel_diario!$H2712="EU_JD",Painel_diario!$J2712=1),EXP(Painel_diario!$L2712),1)-1</f>
        <v/>
      </c>
      <c r="C2716" s="22">
        <f>(1+C2715)*IF(AND(Painel_diario!$H2712="EU_JU",Painel_diario!$J2712=1),EXP(Painel_diario!$L2712),1)-1</f>
        <v/>
      </c>
      <c r="D2716" s="22">
        <f>(1+D2715)*IF(AND(Painel_diario!$H2712="ED_JD",Painel_diario!$J2712=1),EXP(Painel_diario!$L2712),1)-1</f>
        <v/>
      </c>
      <c r="E2716" s="22">
        <f>(1+E2715)*IF(AND(Painel_diario!$H2712="ED_JU",Painel_diario!$J2712=1),EXP(Painel_diario!$L2712),1)-1</f>
        <v/>
      </c>
    </row>
    <row r="2717">
      <c r="A2717" s="25" t="n">
        <v>42824</v>
      </c>
      <c r="B2717" s="22">
        <f>(1+B2716)*IF(AND(Painel_diario!$H2713="EU_JD",Painel_diario!$J2713=1),EXP(Painel_diario!$L2713),1)-1</f>
        <v/>
      </c>
      <c r="C2717" s="22">
        <f>(1+C2716)*IF(AND(Painel_diario!$H2713="EU_JU",Painel_diario!$J2713=1),EXP(Painel_diario!$L2713),1)-1</f>
        <v/>
      </c>
      <c r="D2717" s="22">
        <f>(1+D2716)*IF(AND(Painel_diario!$H2713="ED_JD",Painel_diario!$J2713=1),EXP(Painel_diario!$L2713),1)-1</f>
        <v/>
      </c>
      <c r="E2717" s="22">
        <f>(1+E2716)*IF(AND(Painel_diario!$H2713="ED_JU",Painel_diario!$J2713=1),EXP(Painel_diario!$L2713),1)-1</f>
        <v/>
      </c>
    </row>
    <row r="2718">
      <c r="A2718" s="25" t="n">
        <v>42825</v>
      </c>
      <c r="B2718" s="22">
        <f>(1+B2717)*IF(AND(Painel_diario!$H2714="EU_JD",Painel_diario!$J2714=1),EXP(Painel_diario!$L2714),1)-1</f>
        <v/>
      </c>
      <c r="C2718" s="22">
        <f>(1+C2717)*IF(AND(Painel_diario!$H2714="EU_JU",Painel_diario!$J2714=1),EXP(Painel_diario!$L2714),1)-1</f>
        <v/>
      </c>
      <c r="D2718" s="22">
        <f>(1+D2717)*IF(AND(Painel_diario!$H2714="ED_JD",Painel_diario!$J2714=1),EXP(Painel_diario!$L2714),1)-1</f>
        <v/>
      </c>
      <c r="E2718" s="22">
        <f>(1+E2717)*IF(AND(Painel_diario!$H2714="ED_JU",Painel_diario!$J2714=1),EXP(Painel_diario!$L2714),1)-1</f>
        <v/>
      </c>
    </row>
    <row r="2719">
      <c r="A2719" s="25" t="n">
        <v>42828</v>
      </c>
      <c r="B2719" s="22">
        <f>(1+B2718)*IF(AND(Painel_diario!$H2715="EU_JD",Painel_diario!$J2715=1),EXP(Painel_diario!$L2715),1)-1</f>
        <v/>
      </c>
      <c r="C2719" s="22">
        <f>(1+C2718)*IF(AND(Painel_diario!$H2715="EU_JU",Painel_diario!$J2715=1),EXP(Painel_diario!$L2715),1)-1</f>
        <v/>
      </c>
      <c r="D2719" s="22">
        <f>(1+D2718)*IF(AND(Painel_diario!$H2715="ED_JD",Painel_diario!$J2715=1),EXP(Painel_diario!$L2715),1)-1</f>
        <v/>
      </c>
      <c r="E2719" s="22">
        <f>(1+E2718)*IF(AND(Painel_diario!$H2715="ED_JU",Painel_diario!$J2715=1),EXP(Painel_diario!$L2715),1)-1</f>
        <v/>
      </c>
    </row>
    <row r="2720">
      <c r="A2720" s="25" t="n">
        <v>42829</v>
      </c>
      <c r="B2720" s="22">
        <f>(1+B2719)*IF(AND(Painel_diario!$H2716="EU_JD",Painel_diario!$J2716=1),EXP(Painel_diario!$L2716),1)-1</f>
        <v/>
      </c>
      <c r="C2720" s="22">
        <f>(1+C2719)*IF(AND(Painel_diario!$H2716="EU_JU",Painel_diario!$J2716=1),EXP(Painel_diario!$L2716),1)-1</f>
        <v/>
      </c>
      <c r="D2720" s="22">
        <f>(1+D2719)*IF(AND(Painel_diario!$H2716="ED_JD",Painel_diario!$J2716=1),EXP(Painel_diario!$L2716),1)-1</f>
        <v/>
      </c>
      <c r="E2720" s="22">
        <f>(1+E2719)*IF(AND(Painel_diario!$H2716="ED_JU",Painel_diario!$J2716=1),EXP(Painel_diario!$L2716),1)-1</f>
        <v/>
      </c>
    </row>
    <row r="2721">
      <c r="A2721" s="25" t="n">
        <v>42830</v>
      </c>
      <c r="B2721" s="22">
        <f>(1+B2720)*IF(AND(Painel_diario!$H2717="EU_JD",Painel_diario!$J2717=1),EXP(Painel_diario!$L2717),1)-1</f>
        <v/>
      </c>
      <c r="C2721" s="22">
        <f>(1+C2720)*IF(AND(Painel_diario!$H2717="EU_JU",Painel_diario!$J2717=1),EXP(Painel_diario!$L2717),1)-1</f>
        <v/>
      </c>
      <c r="D2721" s="22">
        <f>(1+D2720)*IF(AND(Painel_diario!$H2717="ED_JD",Painel_diario!$J2717=1),EXP(Painel_diario!$L2717),1)-1</f>
        <v/>
      </c>
      <c r="E2721" s="22">
        <f>(1+E2720)*IF(AND(Painel_diario!$H2717="ED_JU",Painel_diario!$J2717=1),EXP(Painel_diario!$L2717),1)-1</f>
        <v/>
      </c>
    </row>
    <row r="2722">
      <c r="A2722" s="25" t="n">
        <v>42831</v>
      </c>
      <c r="B2722" s="22">
        <f>(1+B2721)*IF(AND(Painel_diario!$H2718="EU_JD",Painel_diario!$J2718=1),EXP(Painel_diario!$L2718),1)-1</f>
        <v/>
      </c>
      <c r="C2722" s="22">
        <f>(1+C2721)*IF(AND(Painel_diario!$H2718="EU_JU",Painel_diario!$J2718=1),EXP(Painel_diario!$L2718),1)-1</f>
        <v/>
      </c>
      <c r="D2722" s="22">
        <f>(1+D2721)*IF(AND(Painel_diario!$H2718="ED_JD",Painel_diario!$J2718=1),EXP(Painel_diario!$L2718),1)-1</f>
        <v/>
      </c>
      <c r="E2722" s="22">
        <f>(1+E2721)*IF(AND(Painel_diario!$H2718="ED_JU",Painel_diario!$J2718=1),EXP(Painel_diario!$L2718),1)-1</f>
        <v/>
      </c>
    </row>
    <row r="2723">
      <c r="A2723" s="25" t="n">
        <v>42832</v>
      </c>
      <c r="B2723" s="22">
        <f>(1+B2722)*IF(AND(Painel_diario!$H2719="EU_JD",Painel_diario!$J2719=1),EXP(Painel_diario!$L2719),1)-1</f>
        <v/>
      </c>
      <c r="C2723" s="22">
        <f>(1+C2722)*IF(AND(Painel_diario!$H2719="EU_JU",Painel_diario!$J2719=1),EXP(Painel_diario!$L2719),1)-1</f>
        <v/>
      </c>
      <c r="D2723" s="22">
        <f>(1+D2722)*IF(AND(Painel_diario!$H2719="ED_JD",Painel_diario!$J2719=1),EXP(Painel_diario!$L2719),1)-1</f>
        <v/>
      </c>
      <c r="E2723" s="22">
        <f>(1+E2722)*IF(AND(Painel_diario!$H2719="ED_JU",Painel_diario!$J2719=1),EXP(Painel_diario!$L2719),1)-1</f>
        <v/>
      </c>
    </row>
    <row r="2724">
      <c r="A2724" s="25" t="n">
        <v>42835</v>
      </c>
      <c r="B2724" s="22">
        <f>(1+B2723)*IF(AND(Painel_diario!$H2720="EU_JD",Painel_diario!$J2720=1),EXP(Painel_diario!$L2720),1)-1</f>
        <v/>
      </c>
      <c r="C2724" s="22">
        <f>(1+C2723)*IF(AND(Painel_diario!$H2720="EU_JU",Painel_diario!$J2720=1),EXP(Painel_diario!$L2720),1)-1</f>
        <v/>
      </c>
      <c r="D2724" s="22">
        <f>(1+D2723)*IF(AND(Painel_diario!$H2720="ED_JD",Painel_diario!$J2720=1),EXP(Painel_diario!$L2720),1)-1</f>
        <v/>
      </c>
      <c r="E2724" s="22">
        <f>(1+E2723)*IF(AND(Painel_diario!$H2720="ED_JU",Painel_diario!$J2720=1),EXP(Painel_diario!$L2720),1)-1</f>
        <v/>
      </c>
    </row>
    <row r="2725">
      <c r="A2725" s="25" t="n">
        <v>42836</v>
      </c>
      <c r="B2725" s="22">
        <f>(1+B2724)*IF(AND(Painel_diario!$H2721="EU_JD",Painel_diario!$J2721=1),EXP(Painel_diario!$L2721),1)-1</f>
        <v/>
      </c>
      <c r="C2725" s="22">
        <f>(1+C2724)*IF(AND(Painel_diario!$H2721="EU_JU",Painel_diario!$J2721=1),EXP(Painel_diario!$L2721),1)-1</f>
        <v/>
      </c>
      <c r="D2725" s="22">
        <f>(1+D2724)*IF(AND(Painel_diario!$H2721="ED_JD",Painel_diario!$J2721=1),EXP(Painel_diario!$L2721),1)-1</f>
        <v/>
      </c>
      <c r="E2725" s="22">
        <f>(1+E2724)*IF(AND(Painel_diario!$H2721="ED_JU",Painel_diario!$J2721=1),EXP(Painel_diario!$L2721),1)-1</f>
        <v/>
      </c>
    </row>
    <row r="2726">
      <c r="A2726" s="25" t="n">
        <v>42837</v>
      </c>
      <c r="B2726" s="22">
        <f>(1+B2725)*IF(AND(Painel_diario!$H2722="EU_JD",Painel_diario!$J2722=1),EXP(Painel_diario!$L2722),1)-1</f>
        <v/>
      </c>
      <c r="C2726" s="22">
        <f>(1+C2725)*IF(AND(Painel_diario!$H2722="EU_JU",Painel_diario!$J2722=1),EXP(Painel_diario!$L2722),1)-1</f>
        <v/>
      </c>
      <c r="D2726" s="22">
        <f>(1+D2725)*IF(AND(Painel_diario!$H2722="ED_JD",Painel_diario!$J2722=1),EXP(Painel_diario!$L2722),1)-1</f>
        <v/>
      </c>
      <c r="E2726" s="22">
        <f>(1+E2725)*IF(AND(Painel_diario!$H2722="ED_JU",Painel_diario!$J2722=1),EXP(Painel_diario!$L2722),1)-1</f>
        <v/>
      </c>
    </row>
    <row r="2727">
      <c r="A2727" s="25" t="n">
        <v>42838</v>
      </c>
      <c r="B2727" s="22">
        <f>(1+B2726)*IF(AND(Painel_diario!$H2723="EU_JD",Painel_diario!$J2723=1),EXP(Painel_diario!$L2723),1)-1</f>
        <v/>
      </c>
      <c r="C2727" s="22">
        <f>(1+C2726)*IF(AND(Painel_diario!$H2723="EU_JU",Painel_diario!$J2723=1),EXP(Painel_diario!$L2723),1)-1</f>
        <v/>
      </c>
      <c r="D2727" s="22">
        <f>(1+D2726)*IF(AND(Painel_diario!$H2723="ED_JD",Painel_diario!$J2723=1),EXP(Painel_diario!$L2723),1)-1</f>
        <v/>
      </c>
      <c r="E2727" s="22">
        <f>(1+E2726)*IF(AND(Painel_diario!$H2723="ED_JU",Painel_diario!$J2723=1),EXP(Painel_diario!$L2723),1)-1</f>
        <v/>
      </c>
    </row>
    <row r="2728">
      <c r="A2728" s="25" t="n">
        <v>42842</v>
      </c>
      <c r="B2728" s="22">
        <f>(1+B2727)*IF(AND(Painel_diario!$H2724="EU_JD",Painel_diario!$J2724=1),EXP(Painel_diario!$L2724),1)-1</f>
        <v/>
      </c>
      <c r="C2728" s="22">
        <f>(1+C2727)*IF(AND(Painel_diario!$H2724="EU_JU",Painel_diario!$J2724=1),EXP(Painel_diario!$L2724),1)-1</f>
        <v/>
      </c>
      <c r="D2728" s="22">
        <f>(1+D2727)*IF(AND(Painel_diario!$H2724="ED_JD",Painel_diario!$J2724=1),EXP(Painel_diario!$L2724),1)-1</f>
        <v/>
      </c>
      <c r="E2728" s="22">
        <f>(1+E2727)*IF(AND(Painel_diario!$H2724="ED_JU",Painel_diario!$J2724=1),EXP(Painel_diario!$L2724),1)-1</f>
        <v/>
      </c>
    </row>
    <row r="2729">
      <c r="A2729" s="25" t="n">
        <v>42843</v>
      </c>
      <c r="B2729" s="22">
        <f>(1+B2728)*IF(AND(Painel_diario!$H2725="EU_JD",Painel_diario!$J2725=1),EXP(Painel_diario!$L2725),1)-1</f>
        <v/>
      </c>
      <c r="C2729" s="22">
        <f>(1+C2728)*IF(AND(Painel_diario!$H2725="EU_JU",Painel_diario!$J2725=1),EXP(Painel_diario!$L2725),1)-1</f>
        <v/>
      </c>
      <c r="D2729" s="22">
        <f>(1+D2728)*IF(AND(Painel_diario!$H2725="ED_JD",Painel_diario!$J2725=1),EXP(Painel_diario!$L2725),1)-1</f>
        <v/>
      </c>
      <c r="E2729" s="22">
        <f>(1+E2728)*IF(AND(Painel_diario!$H2725="ED_JU",Painel_diario!$J2725=1),EXP(Painel_diario!$L2725),1)-1</f>
        <v/>
      </c>
    </row>
    <row r="2730">
      <c r="A2730" s="25" t="n">
        <v>42844</v>
      </c>
      <c r="B2730" s="22">
        <f>(1+B2729)*IF(AND(Painel_diario!$H2726="EU_JD",Painel_diario!$J2726=1),EXP(Painel_diario!$L2726),1)-1</f>
        <v/>
      </c>
      <c r="C2730" s="22">
        <f>(1+C2729)*IF(AND(Painel_diario!$H2726="EU_JU",Painel_diario!$J2726=1),EXP(Painel_diario!$L2726),1)-1</f>
        <v/>
      </c>
      <c r="D2730" s="22">
        <f>(1+D2729)*IF(AND(Painel_diario!$H2726="ED_JD",Painel_diario!$J2726=1),EXP(Painel_diario!$L2726),1)-1</f>
        <v/>
      </c>
      <c r="E2730" s="22">
        <f>(1+E2729)*IF(AND(Painel_diario!$H2726="ED_JU",Painel_diario!$J2726=1),EXP(Painel_diario!$L2726),1)-1</f>
        <v/>
      </c>
    </row>
    <row r="2731">
      <c r="A2731" s="25" t="n">
        <v>42845</v>
      </c>
      <c r="B2731" s="22">
        <f>(1+B2730)*IF(AND(Painel_diario!$H2727="EU_JD",Painel_diario!$J2727=1),EXP(Painel_diario!$L2727),1)-1</f>
        <v/>
      </c>
      <c r="C2731" s="22">
        <f>(1+C2730)*IF(AND(Painel_diario!$H2727="EU_JU",Painel_diario!$J2727=1),EXP(Painel_diario!$L2727),1)-1</f>
        <v/>
      </c>
      <c r="D2731" s="22">
        <f>(1+D2730)*IF(AND(Painel_diario!$H2727="ED_JD",Painel_diario!$J2727=1),EXP(Painel_diario!$L2727),1)-1</f>
        <v/>
      </c>
      <c r="E2731" s="22">
        <f>(1+E2730)*IF(AND(Painel_diario!$H2727="ED_JU",Painel_diario!$J2727=1),EXP(Painel_diario!$L2727),1)-1</f>
        <v/>
      </c>
    </row>
    <row r="2732">
      <c r="A2732" s="25" t="n">
        <v>42849</v>
      </c>
      <c r="B2732" s="22">
        <f>(1+B2731)*IF(AND(Painel_diario!$H2728="EU_JD",Painel_diario!$J2728=1),EXP(Painel_diario!$L2728),1)-1</f>
        <v/>
      </c>
      <c r="C2732" s="22">
        <f>(1+C2731)*IF(AND(Painel_diario!$H2728="EU_JU",Painel_diario!$J2728=1),EXP(Painel_diario!$L2728),1)-1</f>
        <v/>
      </c>
      <c r="D2732" s="22">
        <f>(1+D2731)*IF(AND(Painel_diario!$H2728="ED_JD",Painel_diario!$J2728=1),EXP(Painel_diario!$L2728),1)-1</f>
        <v/>
      </c>
      <c r="E2732" s="22">
        <f>(1+E2731)*IF(AND(Painel_diario!$H2728="ED_JU",Painel_diario!$J2728=1),EXP(Painel_diario!$L2728),1)-1</f>
        <v/>
      </c>
    </row>
    <row r="2733">
      <c r="A2733" s="25" t="n">
        <v>42850</v>
      </c>
      <c r="B2733" s="22">
        <f>(1+B2732)*IF(AND(Painel_diario!$H2729="EU_JD",Painel_diario!$J2729=1),EXP(Painel_diario!$L2729),1)-1</f>
        <v/>
      </c>
      <c r="C2733" s="22">
        <f>(1+C2732)*IF(AND(Painel_diario!$H2729="EU_JU",Painel_diario!$J2729=1),EXP(Painel_diario!$L2729),1)-1</f>
        <v/>
      </c>
      <c r="D2733" s="22">
        <f>(1+D2732)*IF(AND(Painel_diario!$H2729="ED_JD",Painel_diario!$J2729=1),EXP(Painel_diario!$L2729),1)-1</f>
        <v/>
      </c>
      <c r="E2733" s="22">
        <f>(1+E2732)*IF(AND(Painel_diario!$H2729="ED_JU",Painel_diario!$J2729=1),EXP(Painel_diario!$L2729),1)-1</f>
        <v/>
      </c>
    </row>
    <row r="2734">
      <c r="A2734" s="25" t="n">
        <v>42851</v>
      </c>
      <c r="B2734" s="22">
        <f>(1+B2733)*IF(AND(Painel_diario!$H2730="EU_JD",Painel_diario!$J2730=1),EXP(Painel_diario!$L2730),1)-1</f>
        <v/>
      </c>
      <c r="C2734" s="22">
        <f>(1+C2733)*IF(AND(Painel_diario!$H2730="EU_JU",Painel_diario!$J2730=1),EXP(Painel_diario!$L2730),1)-1</f>
        <v/>
      </c>
      <c r="D2734" s="22">
        <f>(1+D2733)*IF(AND(Painel_diario!$H2730="ED_JD",Painel_diario!$J2730=1),EXP(Painel_diario!$L2730),1)-1</f>
        <v/>
      </c>
      <c r="E2734" s="22">
        <f>(1+E2733)*IF(AND(Painel_diario!$H2730="ED_JU",Painel_diario!$J2730=1),EXP(Painel_diario!$L2730),1)-1</f>
        <v/>
      </c>
    </row>
    <row r="2735">
      <c r="A2735" s="25" t="n">
        <v>42852</v>
      </c>
      <c r="B2735" s="22">
        <f>(1+B2734)*IF(AND(Painel_diario!$H2731="EU_JD",Painel_diario!$J2731=1),EXP(Painel_diario!$L2731),1)-1</f>
        <v/>
      </c>
      <c r="C2735" s="22">
        <f>(1+C2734)*IF(AND(Painel_diario!$H2731="EU_JU",Painel_diario!$J2731=1),EXP(Painel_diario!$L2731),1)-1</f>
        <v/>
      </c>
      <c r="D2735" s="22">
        <f>(1+D2734)*IF(AND(Painel_diario!$H2731="ED_JD",Painel_diario!$J2731=1),EXP(Painel_diario!$L2731),1)-1</f>
        <v/>
      </c>
      <c r="E2735" s="22">
        <f>(1+E2734)*IF(AND(Painel_diario!$H2731="ED_JU",Painel_diario!$J2731=1),EXP(Painel_diario!$L2731),1)-1</f>
        <v/>
      </c>
    </row>
    <row r="2736">
      <c r="A2736" s="25" t="n">
        <v>42853</v>
      </c>
      <c r="B2736" s="22">
        <f>(1+B2735)*IF(AND(Painel_diario!$H2732="EU_JD",Painel_diario!$J2732=1),EXP(Painel_diario!$L2732),1)-1</f>
        <v/>
      </c>
      <c r="C2736" s="22">
        <f>(1+C2735)*IF(AND(Painel_diario!$H2732="EU_JU",Painel_diario!$J2732=1),EXP(Painel_diario!$L2732),1)-1</f>
        <v/>
      </c>
      <c r="D2736" s="22">
        <f>(1+D2735)*IF(AND(Painel_diario!$H2732="ED_JD",Painel_diario!$J2732=1),EXP(Painel_diario!$L2732),1)-1</f>
        <v/>
      </c>
      <c r="E2736" s="22">
        <f>(1+E2735)*IF(AND(Painel_diario!$H2732="ED_JU",Painel_diario!$J2732=1),EXP(Painel_diario!$L2732),1)-1</f>
        <v/>
      </c>
    </row>
    <row r="2737">
      <c r="A2737" s="25" t="n">
        <v>42857</v>
      </c>
      <c r="B2737" s="22">
        <f>(1+B2736)*IF(AND(Painel_diario!$H2733="EU_JD",Painel_diario!$J2733=1),EXP(Painel_diario!$L2733),1)-1</f>
        <v/>
      </c>
      <c r="C2737" s="22">
        <f>(1+C2736)*IF(AND(Painel_diario!$H2733="EU_JU",Painel_diario!$J2733=1),EXP(Painel_diario!$L2733),1)-1</f>
        <v/>
      </c>
      <c r="D2737" s="22">
        <f>(1+D2736)*IF(AND(Painel_diario!$H2733="ED_JD",Painel_diario!$J2733=1),EXP(Painel_diario!$L2733),1)-1</f>
        <v/>
      </c>
      <c r="E2737" s="22">
        <f>(1+E2736)*IF(AND(Painel_diario!$H2733="ED_JU",Painel_diario!$J2733=1),EXP(Painel_diario!$L2733),1)-1</f>
        <v/>
      </c>
    </row>
    <row r="2738">
      <c r="A2738" s="25" t="n">
        <v>42858</v>
      </c>
      <c r="B2738" s="22">
        <f>(1+B2737)*IF(AND(Painel_diario!$H2734="EU_JD",Painel_diario!$J2734=1),EXP(Painel_diario!$L2734),1)-1</f>
        <v/>
      </c>
      <c r="C2738" s="22">
        <f>(1+C2737)*IF(AND(Painel_diario!$H2734="EU_JU",Painel_diario!$J2734=1),EXP(Painel_diario!$L2734),1)-1</f>
        <v/>
      </c>
      <c r="D2738" s="22">
        <f>(1+D2737)*IF(AND(Painel_diario!$H2734="ED_JD",Painel_diario!$J2734=1),EXP(Painel_diario!$L2734),1)-1</f>
        <v/>
      </c>
      <c r="E2738" s="22">
        <f>(1+E2737)*IF(AND(Painel_diario!$H2734="ED_JU",Painel_diario!$J2734=1),EXP(Painel_diario!$L2734),1)-1</f>
        <v/>
      </c>
    </row>
    <row r="2739">
      <c r="A2739" s="25" t="n">
        <v>42859</v>
      </c>
      <c r="B2739" s="22">
        <f>(1+B2738)*IF(AND(Painel_diario!$H2735="EU_JD",Painel_diario!$J2735=1),EXP(Painel_diario!$L2735),1)-1</f>
        <v/>
      </c>
      <c r="C2739" s="22">
        <f>(1+C2738)*IF(AND(Painel_diario!$H2735="EU_JU",Painel_diario!$J2735=1),EXP(Painel_diario!$L2735),1)-1</f>
        <v/>
      </c>
      <c r="D2739" s="22">
        <f>(1+D2738)*IF(AND(Painel_diario!$H2735="ED_JD",Painel_diario!$J2735=1),EXP(Painel_diario!$L2735),1)-1</f>
        <v/>
      </c>
      <c r="E2739" s="22">
        <f>(1+E2738)*IF(AND(Painel_diario!$H2735="ED_JU",Painel_diario!$J2735=1),EXP(Painel_diario!$L2735),1)-1</f>
        <v/>
      </c>
    </row>
    <row r="2740">
      <c r="A2740" s="25" t="n">
        <v>42860</v>
      </c>
      <c r="B2740" s="22">
        <f>(1+B2739)*IF(AND(Painel_diario!$H2736="EU_JD",Painel_diario!$J2736=1),EXP(Painel_diario!$L2736),1)-1</f>
        <v/>
      </c>
      <c r="C2740" s="22">
        <f>(1+C2739)*IF(AND(Painel_diario!$H2736="EU_JU",Painel_diario!$J2736=1),EXP(Painel_diario!$L2736),1)-1</f>
        <v/>
      </c>
      <c r="D2740" s="22">
        <f>(1+D2739)*IF(AND(Painel_diario!$H2736="ED_JD",Painel_diario!$J2736=1),EXP(Painel_diario!$L2736),1)-1</f>
        <v/>
      </c>
      <c r="E2740" s="22">
        <f>(1+E2739)*IF(AND(Painel_diario!$H2736="ED_JU",Painel_diario!$J2736=1),EXP(Painel_diario!$L2736),1)-1</f>
        <v/>
      </c>
    </row>
    <row r="2741">
      <c r="A2741" s="25" t="n">
        <v>42863</v>
      </c>
      <c r="B2741" s="22">
        <f>(1+B2740)*IF(AND(Painel_diario!$H2737="EU_JD",Painel_diario!$J2737=1),EXP(Painel_diario!$L2737),1)-1</f>
        <v/>
      </c>
      <c r="C2741" s="22">
        <f>(1+C2740)*IF(AND(Painel_diario!$H2737="EU_JU",Painel_diario!$J2737=1),EXP(Painel_diario!$L2737),1)-1</f>
        <v/>
      </c>
      <c r="D2741" s="22">
        <f>(1+D2740)*IF(AND(Painel_diario!$H2737="ED_JD",Painel_diario!$J2737=1),EXP(Painel_diario!$L2737),1)-1</f>
        <v/>
      </c>
      <c r="E2741" s="22">
        <f>(1+E2740)*IF(AND(Painel_diario!$H2737="ED_JU",Painel_diario!$J2737=1),EXP(Painel_diario!$L2737),1)-1</f>
        <v/>
      </c>
    </row>
    <row r="2742">
      <c r="A2742" s="25" t="n">
        <v>42864</v>
      </c>
      <c r="B2742" s="22">
        <f>(1+B2741)*IF(AND(Painel_diario!$H2738="EU_JD",Painel_diario!$J2738=1),EXP(Painel_diario!$L2738),1)-1</f>
        <v/>
      </c>
      <c r="C2742" s="22">
        <f>(1+C2741)*IF(AND(Painel_diario!$H2738="EU_JU",Painel_diario!$J2738=1),EXP(Painel_diario!$L2738),1)-1</f>
        <v/>
      </c>
      <c r="D2742" s="22">
        <f>(1+D2741)*IF(AND(Painel_diario!$H2738="ED_JD",Painel_diario!$J2738=1),EXP(Painel_diario!$L2738),1)-1</f>
        <v/>
      </c>
      <c r="E2742" s="22">
        <f>(1+E2741)*IF(AND(Painel_diario!$H2738="ED_JU",Painel_diario!$J2738=1),EXP(Painel_diario!$L2738),1)-1</f>
        <v/>
      </c>
    </row>
    <row r="2743">
      <c r="A2743" s="25" t="n">
        <v>42865</v>
      </c>
      <c r="B2743" s="22">
        <f>(1+B2742)*IF(AND(Painel_diario!$H2739="EU_JD",Painel_diario!$J2739=1),EXP(Painel_diario!$L2739),1)-1</f>
        <v/>
      </c>
      <c r="C2743" s="22">
        <f>(1+C2742)*IF(AND(Painel_diario!$H2739="EU_JU",Painel_diario!$J2739=1),EXP(Painel_diario!$L2739),1)-1</f>
        <v/>
      </c>
      <c r="D2743" s="22">
        <f>(1+D2742)*IF(AND(Painel_diario!$H2739="ED_JD",Painel_diario!$J2739=1),EXP(Painel_diario!$L2739),1)-1</f>
        <v/>
      </c>
      <c r="E2743" s="22">
        <f>(1+E2742)*IF(AND(Painel_diario!$H2739="ED_JU",Painel_diario!$J2739=1),EXP(Painel_diario!$L2739),1)-1</f>
        <v/>
      </c>
    </row>
    <row r="2744">
      <c r="A2744" s="25" t="n">
        <v>42866</v>
      </c>
      <c r="B2744" s="22">
        <f>(1+B2743)*IF(AND(Painel_diario!$H2740="EU_JD",Painel_diario!$J2740=1),EXP(Painel_diario!$L2740),1)-1</f>
        <v/>
      </c>
      <c r="C2744" s="22">
        <f>(1+C2743)*IF(AND(Painel_diario!$H2740="EU_JU",Painel_diario!$J2740=1),EXP(Painel_diario!$L2740),1)-1</f>
        <v/>
      </c>
      <c r="D2744" s="22">
        <f>(1+D2743)*IF(AND(Painel_diario!$H2740="ED_JD",Painel_diario!$J2740=1),EXP(Painel_diario!$L2740),1)-1</f>
        <v/>
      </c>
      <c r="E2744" s="22">
        <f>(1+E2743)*IF(AND(Painel_diario!$H2740="ED_JU",Painel_diario!$J2740=1),EXP(Painel_diario!$L2740),1)-1</f>
        <v/>
      </c>
    </row>
    <row r="2745">
      <c r="A2745" s="25" t="n">
        <v>42867</v>
      </c>
      <c r="B2745" s="22">
        <f>(1+B2744)*IF(AND(Painel_diario!$H2741="EU_JD",Painel_diario!$J2741=1),EXP(Painel_diario!$L2741),1)-1</f>
        <v/>
      </c>
      <c r="C2745" s="22">
        <f>(1+C2744)*IF(AND(Painel_diario!$H2741="EU_JU",Painel_diario!$J2741=1),EXP(Painel_diario!$L2741),1)-1</f>
        <v/>
      </c>
      <c r="D2745" s="22">
        <f>(1+D2744)*IF(AND(Painel_diario!$H2741="ED_JD",Painel_diario!$J2741=1),EXP(Painel_diario!$L2741),1)-1</f>
        <v/>
      </c>
      <c r="E2745" s="22">
        <f>(1+E2744)*IF(AND(Painel_diario!$H2741="ED_JU",Painel_diario!$J2741=1),EXP(Painel_diario!$L2741),1)-1</f>
        <v/>
      </c>
    </row>
    <row r="2746">
      <c r="A2746" s="25" t="n">
        <v>42870</v>
      </c>
      <c r="B2746" s="22">
        <f>(1+B2745)*IF(AND(Painel_diario!$H2742="EU_JD",Painel_diario!$J2742=1),EXP(Painel_diario!$L2742),1)-1</f>
        <v/>
      </c>
      <c r="C2746" s="22">
        <f>(1+C2745)*IF(AND(Painel_diario!$H2742="EU_JU",Painel_diario!$J2742=1),EXP(Painel_diario!$L2742),1)-1</f>
        <v/>
      </c>
      <c r="D2746" s="22">
        <f>(1+D2745)*IF(AND(Painel_diario!$H2742="ED_JD",Painel_diario!$J2742=1),EXP(Painel_diario!$L2742),1)-1</f>
        <v/>
      </c>
      <c r="E2746" s="22">
        <f>(1+E2745)*IF(AND(Painel_diario!$H2742="ED_JU",Painel_diario!$J2742=1),EXP(Painel_diario!$L2742),1)-1</f>
        <v/>
      </c>
    </row>
    <row r="2747">
      <c r="A2747" s="25" t="n">
        <v>42871</v>
      </c>
      <c r="B2747" s="22">
        <f>(1+B2746)*IF(AND(Painel_diario!$H2743="EU_JD",Painel_diario!$J2743=1),EXP(Painel_diario!$L2743),1)-1</f>
        <v/>
      </c>
      <c r="C2747" s="22">
        <f>(1+C2746)*IF(AND(Painel_diario!$H2743="EU_JU",Painel_diario!$J2743=1),EXP(Painel_diario!$L2743),1)-1</f>
        <v/>
      </c>
      <c r="D2747" s="22">
        <f>(1+D2746)*IF(AND(Painel_diario!$H2743="ED_JD",Painel_diario!$J2743=1),EXP(Painel_diario!$L2743),1)-1</f>
        <v/>
      </c>
      <c r="E2747" s="22">
        <f>(1+E2746)*IF(AND(Painel_diario!$H2743="ED_JU",Painel_diario!$J2743=1),EXP(Painel_diario!$L2743),1)-1</f>
        <v/>
      </c>
    </row>
    <row r="2748">
      <c r="A2748" s="25" t="n">
        <v>42872</v>
      </c>
      <c r="B2748" s="22">
        <f>(1+B2747)*IF(AND(Painel_diario!$H2744="EU_JD",Painel_diario!$J2744=1),EXP(Painel_diario!$L2744),1)-1</f>
        <v/>
      </c>
      <c r="C2748" s="22">
        <f>(1+C2747)*IF(AND(Painel_diario!$H2744="EU_JU",Painel_diario!$J2744=1),EXP(Painel_diario!$L2744),1)-1</f>
        <v/>
      </c>
      <c r="D2748" s="22">
        <f>(1+D2747)*IF(AND(Painel_diario!$H2744="ED_JD",Painel_diario!$J2744=1),EXP(Painel_diario!$L2744),1)-1</f>
        <v/>
      </c>
      <c r="E2748" s="22">
        <f>(1+E2747)*IF(AND(Painel_diario!$H2744="ED_JU",Painel_diario!$J2744=1),EXP(Painel_diario!$L2744),1)-1</f>
        <v/>
      </c>
    </row>
    <row r="2749">
      <c r="A2749" s="25" t="n">
        <v>42873</v>
      </c>
      <c r="B2749" s="22">
        <f>(1+B2748)*IF(AND(Painel_diario!$H2745="EU_JD",Painel_diario!$J2745=1),EXP(Painel_diario!$L2745),1)-1</f>
        <v/>
      </c>
      <c r="C2749" s="22">
        <f>(1+C2748)*IF(AND(Painel_diario!$H2745="EU_JU",Painel_diario!$J2745=1),EXP(Painel_diario!$L2745),1)-1</f>
        <v/>
      </c>
      <c r="D2749" s="22">
        <f>(1+D2748)*IF(AND(Painel_diario!$H2745="ED_JD",Painel_diario!$J2745=1),EXP(Painel_diario!$L2745),1)-1</f>
        <v/>
      </c>
      <c r="E2749" s="22">
        <f>(1+E2748)*IF(AND(Painel_diario!$H2745="ED_JU",Painel_diario!$J2745=1),EXP(Painel_diario!$L2745),1)-1</f>
        <v/>
      </c>
    </row>
    <row r="2750">
      <c r="A2750" s="25" t="n">
        <v>42874</v>
      </c>
      <c r="B2750" s="22">
        <f>(1+B2749)*IF(AND(Painel_diario!$H2746="EU_JD",Painel_diario!$J2746=1),EXP(Painel_diario!$L2746),1)-1</f>
        <v/>
      </c>
      <c r="C2750" s="22">
        <f>(1+C2749)*IF(AND(Painel_diario!$H2746="EU_JU",Painel_diario!$J2746=1),EXP(Painel_diario!$L2746),1)-1</f>
        <v/>
      </c>
      <c r="D2750" s="22">
        <f>(1+D2749)*IF(AND(Painel_diario!$H2746="ED_JD",Painel_diario!$J2746=1),EXP(Painel_diario!$L2746),1)-1</f>
        <v/>
      </c>
      <c r="E2750" s="22">
        <f>(1+E2749)*IF(AND(Painel_diario!$H2746="ED_JU",Painel_diario!$J2746=1),EXP(Painel_diario!$L2746),1)-1</f>
        <v/>
      </c>
    </row>
    <row r="2751">
      <c r="A2751" s="25" t="n">
        <v>42877</v>
      </c>
      <c r="B2751" s="22">
        <f>(1+B2750)*IF(AND(Painel_diario!$H2747="EU_JD",Painel_diario!$J2747=1),EXP(Painel_diario!$L2747),1)-1</f>
        <v/>
      </c>
      <c r="C2751" s="22">
        <f>(1+C2750)*IF(AND(Painel_diario!$H2747="EU_JU",Painel_diario!$J2747=1),EXP(Painel_diario!$L2747),1)-1</f>
        <v/>
      </c>
      <c r="D2751" s="22">
        <f>(1+D2750)*IF(AND(Painel_diario!$H2747="ED_JD",Painel_diario!$J2747=1),EXP(Painel_diario!$L2747),1)-1</f>
        <v/>
      </c>
      <c r="E2751" s="22">
        <f>(1+E2750)*IF(AND(Painel_diario!$H2747="ED_JU",Painel_diario!$J2747=1),EXP(Painel_diario!$L2747),1)-1</f>
        <v/>
      </c>
    </row>
    <row r="2752">
      <c r="A2752" s="25" t="n">
        <v>42878</v>
      </c>
      <c r="B2752" s="22">
        <f>(1+B2751)*IF(AND(Painel_diario!$H2748="EU_JD",Painel_diario!$J2748=1),EXP(Painel_diario!$L2748),1)-1</f>
        <v/>
      </c>
      <c r="C2752" s="22">
        <f>(1+C2751)*IF(AND(Painel_diario!$H2748="EU_JU",Painel_diario!$J2748=1),EXP(Painel_diario!$L2748),1)-1</f>
        <v/>
      </c>
      <c r="D2752" s="22">
        <f>(1+D2751)*IF(AND(Painel_diario!$H2748="ED_JD",Painel_diario!$J2748=1),EXP(Painel_diario!$L2748),1)-1</f>
        <v/>
      </c>
      <c r="E2752" s="22">
        <f>(1+E2751)*IF(AND(Painel_diario!$H2748="ED_JU",Painel_diario!$J2748=1),EXP(Painel_diario!$L2748),1)-1</f>
        <v/>
      </c>
    </row>
    <row r="2753">
      <c r="A2753" s="25" t="n">
        <v>42879</v>
      </c>
      <c r="B2753" s="22">
        <f>(1+B2752)*IF(AND(Painel_diario!$H2749="EU_JD",Painel_diario!$J2749=1),EXP(Painel_diario!$L2749),1)-1</f>
        <v/>
      </c>
      <c r="C2753" s="22">
        <f>(1+C2752)*IF(AND(Painel_diario!$H2749="EU_JU",Painel_diario!$J2749=1),EXP(Painel_diario!$L2749),1)-1</f>
        <v/>
      </c>
      <c r="D2753" s="22">
        <f>(1+D2752)*IF(AND(Painel_diario!$H2749="ED_JD",Painel_diario!$J2749=1),EXP(Painel_diario!$L2749),1)-1</f>
        <v/>
      </c>
      <c r="E2753" s="22">
        <f>(1+E2752)*IF(AND(Painel_diario!$H2749="ED_JU",Painel_diario!$J2749=1),EXP(Painel_diario!$L2749),1)-1</f>
        <v/>
      </c>
    </row>
    <row r="2754">
      <c r="A2754" s="25" t="n">
        <v>42880</v>
      </c>
      <c r="B2754" s="22">
        <f>(1+B2753)*IF(AND(Painel_diario!$H2750="EU_JD",Painel_diario!$J2750=1),EXP(Painel_diario!$L2750),1)-1</f>
        <v/>
      </c>
      <c r="C2754" s="22">
        <f>(1+C2753)*IF(AND(Painel_diario!$H2750="EU_JU",Painel_diario!$J2750=1),EXP(Painel_diario!$L2750),1)-1</f>
        <v/>
      </c>
      <c r="D2754" s="22">
        <f>(1+D2753)*IF(AND(Painel_diario!$H2750="ED_JD",Painel_diario!$J2750=1),EXP(Painel_diario!$L2750),1)-1</f>
        <v/>
      </c>
      <c r="E2754" s="22">
        <f>(1+E2753)*IF(AND(Painel_diario!$H2750="ED_JU",Painel_diario!$J2750=1),EXP(Painel_diario!$L2750),1)-1</f>
        <v/>
      </c>
    </row>
    <row r="2755">
      <c r="A2755" s="25" t="n">
        <v>42881</v>
      </c>
      <c r="B2755" s="22">
        <f>(1+B2754)*IF(AND(Painel_diario!$H2751="EU_JD",Painel_diario!$J2751=1),EXP(Painel_diario!$L2751),1)-1</f>
        <v/>
      </c>
      <c r="C2755" s="22">
        <f>(1+C2754)*IF(AND(Painel_diario!$H2751="EU_JU",Painel_diario!$J2751=1),EXP(Painel_diario!$L2751),1)-1</f>
        <v/>
      </c>
      <c r="D2755" s="22">
        <f>(1+D2754)*IF(AND(Painel_diario!$H2751="ED_JD",Painel_diario!$J2751=1),EXP(Painel_diario!$L2751),1)-1</f>
        <v/>
      </c>
      <c r="E2755" s="22">
        <f>(1+E2754)*IF(AND(Painel_diario!$H2751="ED_JU",Painel_diario!$J2751=1),EXP(Painel_diario!$L2751),1)-1</f>
        <v/>
      </c>
    </row>
    <row r="2756">
      <c r="A2756" s="25" t="n">
        <v>42884</v>
      </c>
      <c r="B2756" s="22">
        <f>(1+B2755)*IF(AND(Painel_diario!$H2752="EU_JD",Painel_diario!$J2752=1),EXP(Painel_diario!$L2752),1)-1</f>
        <v/>
      </c>
      <c r="C2756" s="22">
        <f>(1+C2755)*IF(AND(Painel_diario!$H2752="EU_JU",Painel_diario!$J2752=1),EXP(Painel_diario!$L2752),1)-1</f>
        <v/>
      </c>
      <c r="D2756" s="22">
        <f>(1+D2755)*IF(AND(Painel_diario!$H2752="ED_JD",Painel_diario!$J2752=1),EXP(Painel_diario!$L2752),1)-1</f>
        <v/>
      </c>
      <c r="E2756" s="22">
        <f>(1+E2755)*IF(AND(Painel_diario!$H2752="ED_JU",Painel_diario!$J2752=1),EXP(Painel_diario!$L2752),1)-1</f>
        <v/>
      </c>
    </row>
    <row r="2757">
      <c r="A2757" s="25" t="n">
        <v>42885</v>
      </c>
      <c r="B2757" s="22">
        <f>(1+B2756)*IF(AND(Painel_diario!$H2753="EU_JD",Painel_diario!$J2753=1),EXP(Painel_diario!$L2753),1)-1</f>
        <v/>
      </c>
      <c r="C2757" s="22">
        <f>(1+C2756)*IF(AND(Painel_diario!$H2753="EU_JU",Painel_diario!$J2753=1),EXP(Painel_diario!$L2753),1)-1</f>
        <v/>
      </c>
      <c r="D2757" s="22">
        <f>(1+D2756)*IF(AND(Painel_diario!$H2753="ED_JD",Painel_diario!$J2753=1),EXP(Painel_diario!$L2753),1)-1</f>
        <v/>
      </c>
      <c r="E2757" s="22">
        <f>(1+E2756)*IF(AND(Painel_diario!$H2753="ED_JU",Painel_diario!$J2753=1),EXP(Painel_diario!$L2753),1)-1</f>
        <v/>
      </c>
    </row>
    <row r="2758">
      <c r="A2758" s="25" t="n">
        <v>42886</v>
      </c>
      <c r="B2758" s="22">
        <f>(1+B2757)*IF(AND(Painel_diario!$H2754="EU_JD",Painel_diario!$J2754=1),EXP(Painel_diario!$L2754),1)-1</f>
        <v/>
      </c>
      <c r="C2758" s="22">
        <f>(1+C2757)*IF(AND(Painel_diario!$H2754="EU_JU",Painel_diario!$J2754=1),EXP(Painel_diario!$L2754),1)-1</f>
        <v/>
      </c>
      <c r="D2758" s="22">
        <f>(1+D2757)*IF(AND(Painel_diario!$H2754="ED_JD",Painel_diario!$J2754=1),EXP(Painel_diario!$L2754),1)-1</f>
        <v/>
      </c>
      <c r="E2758" s="22">
        <f>(1+E2757)*IF(AND(Painel_diario!$H2754="ED_JU",Painel_diario!$J2754=1),EXP(Painel_diario!$L2754),1)-1</f>
        <v/>
      </c>
    </row>
    <row r="2759">
      <c r="A2759" s="25" t="n">
        <v>42887</v>
      </c>
      <c r="B2759" s="22">
        <f>(1+B2758)*IF(AND(Painel_diario!$H2755="EU_JD",Painel_diario!$J2755=1),EXP(Painel_diario!$L2755),1)-1</f>
        <v/>
      </c>
      <c r="C2759" s="22">
        <f>(1+C2758)*IF(AND(Painel_diario!$H2755="EU_JU",Painel_diario!$J2755=1),EXP(Painel_diario!$L2755),1)-1</f>
        <v/>
      </c>
      <c r="D2759" s="22">
        <f>(1+D2758)*IF(AND(Painel_diario!$H2755="ED_JD",Painel_diario!$J2755=1),EXP(Painel_diario!$L2755),1)-1</f>
        <v/>
      </c>
      <c r="E2759" s="22">
        <f>(1+E2758)*IF(AND(Painel_diario!$H2755="ED_JU",Painel_diario!$J2755=1),EXP(Painel_diario!$L2755),1)-1</f>
        <v/>
      </c>
    </row>
    <row r="2760">
      <c r="A2760" s="25" t="n">
        <v>42888</v>
      </c>
      <c r="B2760" s="22">
        <f>(1+B2759)*IF(AND(Painel_diario!$H2756="EU_JD",Painel_diario!$J2756=1),EXP(Painel_diario!$L2756),1)-1</f>
        <v/>
      </c>
      <c r="C2760" s="22">
        <f>(1+C2759)*IF(AND(Painel_diario!$H2756="EU_JU",Painel_diario!$J2756=1),EXP(Painel_diario!$L2756),1)-1</f>
        <v/>
      </c>
      <c r="D2760" s="22">
        <f>(1+D2759)*IF(AND(Painel_diario!$H2756="ED_JD",Painel_diario!$J2756=1),EXP(Painel_diario!$L2756),1)-1</f>
        <v/>
      </c>
      <c r="E2760" s="22">
        <f>(1+E2759)*IF(AND(Painel_diario!$H2756="ED_JU",Painel_diario!$J2756=1),EXP(Painel_diario!$L2756),1)-1</f>
        <v/>
      </c>
    </row>
    <row r="2761">
      <c r="A2761" s="25" t="n">
        <v>42891</v>
      </c>
      <c r="B2761" s="22">
        <f>(1+B2760)*IF(AND(Painel_diario!$H2757="EU_JD",Painel_diario!$J2757=1),EXP(Painel_diario!$L2757),1)-1</f>
        <v/>
      </c>
      <c r="C2761" s="22">
        <f>(1+C2760)*IF(AND(Painel_diario!$H2757="EU_JU",Painel_diario!$J2757=1),EXP(Painel_diario!$L2757),1)-1</f>
        <v/>
      </c>
      <c r="D2761" s="22">
        <f>(1+D2760)*IF(AND(Painel_diario!$H2757="ED_JD",Painel_diario!$J2757=1),EXP(Painel_diario!$L2757),1)-1</f>
        <v/>
      </c>
      <c r="E2761" s="22">
        <f>(1+E2760)*IF(AND(Painel_diario!$H2757="ED_JU",Painel_diario!$J2757=1),EXP(Painel_diario!$L2757),1)-1</f>
        <v/>
      </c>
    </row>
    <row r="2762">
      <c r="A2762" s="25" t="n">
        <v>42892</v>
      </c>
      <c r="B2762" s="22">
        <f>(1+B2761)*IF(AND(Painel_diario!$H2758="EU_JD",Painel_diario!$J2758=1),EXP(Painel_diario!$L2758),1)-1</f>
        <v/>
      </c>
      <c r="C2762" s="22">
        <f>(1+C2761)*IF(AND(Painel_diario!$H2758="EU_JU",Painel_diario!$J2758=1),EXP(Painel_diario!$L2758),1)-1</f>
        <v/>
      </c>
      <c r="D2762" s="22">
        <f>(1+D2761)*IF(AND(Painel_diario!$H2758="ED_JD",Painel_diario!$J2758=1),EXP(Painel_diario!$L2758),1)-1</f>
        <v/>
      </c>
      <c r="E2762" s="22">
        <f>(1+E2761)*IF(AND(Painel_diario!$H2758="ED_JU",Painel_diario!$J2758=1),EXP(Painel_diario!$L2758),1)-1</f>
        <v/>
      </c>
    </row>
    <row r="2763">
      <c r="A2763" s="25" t="n">
        <v>42893</v>
      </c>
      <c r="B2763" s="22">
        <f>(1+B2762)*IF(AND(Painel_diario!$H2759="EU_JD",Painel_diario!$J2759=1),EXP(Painel_diario!$L2759),1)-1</f>
        <v/>
      </c>
      <c r="C2763" s="22">
        <f>(1+C2762)*IF(AND(Painel_diario!$H2759="EU_JU",Painel_diario!$J2759=1),EXP(Painel_diario!$L2759),1)-1</f>
        <v/>
      </c>
      <c r="D2763" s="22">
        <f>(1+D2762)*IF(AND(Painel_diario!$H2759="ED_JD",Painel_diario!$J2759=1),EXP(Painel_diario!$L2759),1)-1</f>
        <v/>
      </c>
      <c r="E2763" s="22">
        <f>(1+E2762)*IF(AND(Painel_diario!$H2759="ED_JU",Painel_diario!$J2759=1),EXP(Painel_diario!$L2759),1)-1</f>
        <v/>
      </c>
    </row>
    <row r="2764">
      <c r="A2764" s="25" t="n">
        <v>42894</v>
      </c>
      <c r="B2764" s="22">
        <f>(1+B2763)*IF(AND(Painel_diario!$H2760="EU_JD",Painel_diario!$J2760=1),EXP(Painel_diario!$L2760),1)-1</f>
        <v/>
      </c>
      <c r="C2764" s="22">
        <f>(1+C2763)*IF(AND(Painel_diario!$H2760="EU_JU",Painel_diario!$J2760=1),EXP(Painel_diario!$L2760),1)-1</f>
        <v/>
      </c>
      <c r="D2764" s="22">
        <f>(1+D2763)*IF(AND(Painel_diario!$H2760="ED_JD",Painel_diario!$J2760=1),EXP(Painel_diario!$L2760),1)-1</f>
        <v/>
      </c>
      <c r="E2764" s="22">
        <f>(1+E2763)*IF(AND(Painel_diario!$H2760="ED_JU",Painel_diario!$J2760=1),EXP(Painel_diario!$L2760),1)-1</f>
        <v/>
      </c>
    </row>
    <row r="2765">
      <c r="A2765" s="25" t="n">
        <v>42895</v>
      </c>
      <c r="B2765" s="22">
        <f>(1+B2764)*IF(AND(Painel_diario!$H2761="EU_JD",Painel_diario!$J2761=1),EXP(Painel_diario!$L2761),1)-1</f>
        <v/>
      </c>
      <c r="C2765" s="22">
        <f>(1+C2764)*IF(AND(Painel_diario!$H2761="EU_JU",Painel_diario!$J2761=1),EXP(Painel_diario!$L2761),1)-1</f>
        <v/>
      </c>
      <c r="D2765" s="22">
        <f>(1+D2764)*IF(AND(Painel_diario!$H2761="ED_JD",Painel_diario!$J2761=1),EXP(Painel_diario!$L2761),1)-1</f>
        <v/>
      </c>
      <c r="E2765" s="22">
        <f>(1+E2764)*IF(AND(Painel_diario!$H2761="ED_JU",Painel_diario!$J2761=1),EXP(Painel_diario!$L2761),1)-1</f>
        <v/>
      </c>
    </row>
    <row r="2766">
      <c r="A2766" s="25" t="n">
        <v>42898</v>
      </c>
      <c r="B2766" s="22">
        <f>(1+B2765)*IF(AND(Painel_diario!$H2762="EU_JD",Painel_diario!$J2762=1),EXP(Painel_diario!$L2762),1)-1</f>
        <v/>
      </c>
      <c r="C2766" s="22">
        <f>(1+C2765)*IF(AND(Painel_diario!$H2762="EU_JU",Painel_diario!$J2762=1),EXP(Painel_diario!$L2762),1)-1</f>
        <v/>
      </c>
      <c r="D2766" s="22">
        <f>(1+D2765)*IF(AND(Painel_diario!$H2762="ED_JD",Painel_diario!$J2762=1),EXP(Painel_diario!$L2762),1)-1</f>
        <v/>
      </c>
      <c r="E2766" s="22">
        <f>(1+E2765)*IF(AND(Painel_diario!$H2762="ED_JU",Painel_diario!$J2762=1),EXP(Painel_diario!$L2762),1)-1</f>
        <v/>
      </c>
    </row>
    <row r="2767">
      <c r="A2767" s="25" t="n">
        <v>42899</v>
      </c>
      <c r="B2767" s="22">
        <f>(1+B2766)*IF(AND(Painel_diario!$H2763="EU_JD",Painel_diario!$J2763=1),EXP(Painel_diario!$L2763),1)-1</f>
        <v/>
      </c>
      <c r="C2767" s="22">
        <f>(1+C2766)*IF(AND(Painel_diario!$H2763="EU_JU",Painel_diario!$J2763=1),EXP(Painel_diario!$L2763),1)-1</f>
        <v/>
      </c>
      <c r="D2767" s="22">
        <f>(1+D2766)*IF(AND(Painel_diario!$H2763="ED_JD",Painel_diario!$J2763=1),EXP(Painel_diario!$L2763),1)-1</f>
        <v/>
      </c>
      <c r="E2767" s="22">
        <f>(1+E2766)*IF(AND(Painel_diario!$H2763="ED_JU",Painel_diario!$J2763=1),EXP(Painel_diario!$L2763),1)-1</f>
        <v/>
      </c>
    </row>
    <row r="2768">
      <c r="A2768" s="25" t="n">
        <v>42900</v>
      </c>
      <c r="B2768" s="22">
        <f>(1+B2767)*IF(AND(Painel_diario!$H2764="EU_JD",Painel_diario!$J2764=1),EXP(Painel_diario!$L2764),1)-1</f>
        <v/>
      </c>
      <c r="C2768" s="22">
        <f>(1+C2767)*IF(AND(Painel_diario!$H2764="EU_JU",Painel_diario!$J2764=1),EXP(Painel_diario!$L2764),1)-1</f>
        <v/>
      </c>
      <c r="D2768" s="22">
        <f>(1+D2767)*IF(AND(Painel_diario!$H2764="ED_JD",Painel_diario!$J2764=1),EXP(Painel_diario!$L2764),1)-1</f>
        <v/>
      </c>
      <c r="E2768" s="22">
        <f>(1+E2767)*IF(AND(Painel_diario!$H2764="ED_JU",Painel_diario!$J2764=1),EXP(Painel_diario!$L2764),1)-1</f>
        <v/>
      </c>
    </row>
    <row r="2769">
      <c r="A2769" s="25" t="n">
        <v>42902</v>
      </c>
      <c r="B2769" s="22">
        <f>(1+B2768)*IF(AND(Painel_diario!$H2765="EU_JD",Painel_diario!$J2765=1),EXP(Painel_diario!$L2765),1)-1</f>
        <v/>
      </c>
      <c r="C2769" s="22">
        <f>(1+C2768)*IF(AND(Painel_diario!$H2765="EU_JU",Painel_diario!$J2765=1),EXP(Painel_diario!$L2765),1)-1</f>
        <v/>
      </c>
      <c r="D2769" s="22">
        <f>(1+D2768)*IF(AND(Painel_diario!$H2765="ED_JD",Painel_diario!$J2765=1),EXP(Painel_diario!$L2765),1)-1</f>
        <v/>
      </c>
      <c r="E2769" s="22">
        <f>(1+E2768)*IF(AND(Painel_diario!$H2765="ED_JU",Painel_diario!$J2765=1),EXP(Painel_diario!$L2765),1)-1</f>
        <v/>
      </c>
    </row>
    <row r="2770">
      <c r="A2770" s="25" t="n">
        <v>42905</v>
      </c>
      <c r="B2770" s="22">
        <f>(1+B2769)*IF(AND(Painel_diario!$H2766="EU_JD",Painel_diario!$J2766=1),EXP(Painel_diario!$L2766),1)-1</f>
        <v/>
      </c>
      <c r="C2770" s="22">
        <f>(1+C2769)*IF(AND(Painel_diario!$H2766="EU_JU",Painel_diario!$J2766=1),EXP(Painel_diario!$L2766),1)-1</f>
        <v/>
      </c>
      <c r="D2770" s="22">
        <f>(1+D2769)*IF(AND(Painel_diario!$H2766="ED_JD",Painel_diario!$J2766=1),EXP(Painel_diario!$L2766),1)-1</f>
        <v/>
      </c>
      <c r="E2770" s="22">
        <f>(1+E2769)*IF(AND(Painel_diario!$H2766="ED_JU",Painel_diario!$J2766=1),EXP(Painel_diario!$L2766),1)-1</f>
        <v/>
      </c>
    </row>
    <row r="2771">
      <c r="A2771" s="25" t="n">
        <v>42906</v>
      </c>
      <c r="B2771" s="22">
        <f>(1+B2770)*IF(AND(Painel_diario!$H2767="EU_JD",Painel_diario!$J2767=1),EXP(Painel_diario!$L2767),1)-1</f>
        <v/>
      </c>
      <c r="C2771" s="22">
        <f>(1+C2770)*IF(AND(Painel_diario!$H2767="EU_JU",Painel_diario!$J2767=1),EXP(Painel_diario!$L2767),1)-1</f>
        <v/>
      </c>
      <c r="D2771" s="22">
        <f>(1+D2770)*IF(AND(Painel_diario!$H2767="ED_JD",Painel_diario!$J2767=1),EXP(Painel_diario!$L2767),1)-1</f>
        <v/>
      </c>
      <c r="E2771" s="22">
        <f>(1+E2770)*IF(AND(Painel_diario!$H2767="ED_JU",Painel_diario!$J2767=1),EXP(Painel_diario!$L2767),1)-1</f>
        <v/>
      </c>
    </row>
    <row r="2772">
      <c r="A2772" s="25" t="n">
        <v>42907</v>
      </c>
      <c r="B2772" s="22">
        <f>(1+B2771)*IF(AND(Painel_diario!$H2768="EU_JD",Painel_diario!$J2768=1),EXP(Painel_diario!$L2768),1)-1</f>
        <v/>
      </c>
      <c r="C2772" s="22">
        <f>(1+C2771)*IF(AND(Painel_diario!$H2768="EU_JU",Painel_diario!$J2768=1),EXP(Painel_diario!$L2768),1)-1</f>
        <v/>
      </c>
      <c r="D2772" s="22">
        <f>(1+D2771)*IF(AND(Painel_diario!$H2768="ED_JD",Painel_diario!$J2768=1),EXP(Painel_diario!$L2768),1)-1</f>
        <v/>
      </c>
      <c r="E2772" s="22">
        <f>(1+E2771)*IF(AND(Painel_diario!$H2768="ED_JU",Painel_diario!$J2768=1),EXP(Painel_diario!$L2768),1)-1</f>
        <v/>
      </c>
    </row>
    <row r="2773">
      <c r="A2773" s="25" t="n">
        <v>42908</v>
      </c>
      <c r="B2773" s="22">
        <f>(1+B2772)*IF(AND(Painel_diario!$H2769="EU_JD",Painel_diario!$J2769=1),EXP(Painel_diario!$L2769),1)-1</f>
        <v/>
      </c>
      <c r="C2773" s="22">
        <f>(1+C2772)*IF(AND(Painel_diario!$H2769="EU_JU",Painel_diario!$J2769=1),EXP(Painel_diario!$L2769),1)-1</f>
        <v/>
      </c>
      <c r="D2773" s="22">
        <f>(1+D2772)*IF(AND(Painel_diario!$H2769="ED_JD",Painel_diario!$J2769=1),EXP(Painel_diario!$L2769),1)-1</f>
        <v/>
      </c>
      <c r="E2773" s="22">
        <f>(1+E2772)*IF(AND(Painel_diario!$H2769="ED_JU",Painel_diario!$J2769=1),EXP(Painel_diario!$L2769),1)-1</f>
        <v/>
      </c>
    </row>
    <row r="2774">
      <c r="A2774" s="25" t="n">
        <v>42909</v>
      </c>
      <c r="B2774" s="22">
        <f>(1+B2773)*IF(AND(Painel_diario!$H2770="EU_JD",Painel_diario!$J2770=1),EXP(Painel_diario!$L2770),1)-1</f>
        <v/>
      </c>
      <c r="C2774" s="22">
        <f>(1+C2773)*IF(AND(Painel_diario!$H2770="EU_JU",Painel_diario!$J2770=1),EXP(Painel_diario!$L2770),1)-1</f>
        <v/>
      </c>
      <c r="D2774" s="22">
        <f>(1+D2773)*IF(AND(Painel_diario!$H2770="ED_JD",Painel_diario!$J2770=1),EXP(Painel_diario!$L2770),1)-1</f>
        <v/>
      </c>
      <c r="E2774" s="22">
        <f>(1+E2773)*IF(AND(Painel_diario!$H2770="ED_JU",Painel_diario!$J2770=1),EXP(Painel_diario!$L2770),1)-1</f>
        <v/>
      </c>
    </row>
    <row r="2775">
      <c r="A2775" s="25" t="n">
        <v>42912</v>
      </c>
      <c r="B2775" s="22">
        <f>(1+B2774)*IF(AND(Painel_diario!$H2771="EU_JD",Painel_diario!$J2771=1),EXP(Painel_diario!$L2771),1)-1</f>
        <v/>
      </c>
      <c r="C2775" s="22">
        <f>(1+C2774)*IF(AND(Painel_diario!$H2771="EU_JU",Painel_diario!$J2771=1),EXP(Painel_diario!$L2771),1)-1</f>
        <v/>
      </c>
      <c r="D2775" s="22">
        <f>(1+D2774)*IF(AND(Painel_diario!$H2771="ED_JD",Painel_diario!$J2771=1),EXP(Painel_diario!$L2771),1)-1</f>
        <v/>
      </c>
      <c r="E2775" s="22">
        <f>(1+E2774)*IF(AND(Painel_diario!$H2771="ED_JU",Painel_diario!$J2771=1),EXP(Painel_diario!$L2771),1)-1</f>
        <v/>
      </c>
    </row>
    <row r="2776">
      <c r="A2776" s="25" t="n">
        <v>42913</v>
      </c>
      <c r="B2776" s="22">
        <f>(1+B2775)*IF(AND(Painel_diario!$H2772="EU_JD",Painel_diario!$J2772=1),EXP(Painel_diario!$L2772),1)-1</f>
        <v/>
      </c>
      <c r="C2776" s="22">
        <f>(1+C2775)*IF(AND(Painel_diario!$H2772="EU_JU",Painel_diario!$J2772=1),EXP(Painel_diario!$L2772),1)-1</f>
        <v/>
      </c>
      <c r="D2776" s="22">
        <f>(1+D2775)*IF(AND(Painel_diario!$H2772="ED_JD",Painel_diario!$J2772=1),EXP(Painel_diario!$L2772),1)-1</f>
        <v/>
      </c>
      <c r="E2776" s="22">
        <f>(1+E2775)*IF(AND(Painel_diario!$H2772="ED_JU",Painel_diario!$J2772=1),EXP(Painel_diario!$L2772),1)-1</f>
        <v/>
      </c>
    </row>
    <row r="2777">
      <c r="A2777" s="25" t="n">
        <v>42914</v>
      </c>
      <c r="B2777" s="22">
        <f>(1+B2776)*IF(AND(Painel_diario!$H2773="EU_JD",Painel_diario!$J2773=1),EXP(Painel_diario!$L2773),1)-1</f>
        <v/>
      </c>
      <c r="C2777" s="22">
        <f>(1+C2776)*IF(AND(Painel_diario!$H2773="EU_JU",Painel_diario!$J2773=1),EXP(Painel_diario!$L2773),1)-1</f>
        <v/>
      </c>
      <c r="D2777" s="22">
        <f>(1+D2776)*IF(AND(Painel_diario!$H2773="ED_JD",Painel_diario!$J2773=1),EXP(Painel_diario!$L2773),1)-1</f>
        <v/>
      </c>
      <c r="E2777" s="22">
        <f>(1+E2776)*IF(AND(Painel_diario!$H2773="ED_JU",Painel_diario!$J2773=1),EXP(Painel_diario!$L2773),1)-1</f>
        <v/>
      </c>
    </row>
    <row r="2778">
      <c r="A2778" s="25" t="n">
        <v>42915</v>
      </c>
      <c r="B2778" s="22">
        <f>(1+B2777)*IF(AND(Painel_diario!$H2774="EU_JD",Painel_diario!$J2774=1),EXP(Painel_diario!$L2774),1)-1</f>
        <v/>
      </c>
      <c r="C2778" s="22">
        <f>(1+C2777)*IF(AND(Painel_diario!$H2774="EU_JU",Painel_diario!$J2774=1),EXP(Painel_diario!$L2774),1)-1</f>
        <v/>
      </c>
      <c r="D2778" s="22">
        <f>(1+D2777)*IF(AND(Painel_diario!$H2774="ED_JD",Painel_diario!$J2774=1),EXP(Painel_diario!$L2774),1)-1</f>
        <v/>
      </c>
      <c r="E2778" s="22">
        <f>(1+E2777)*IF(AND(Painel_diario!$H2774="ED_JU",Painel_diario!$J2774=1),EXP(Painel_diario!$L2774),1)-1</f>
        <v/>
      </c>
    </row>
    <row r="2779">
      <c r="A2779" s="25" t="n">
        <v>42916</v>
      </c>
      <c r="B2779" s="22">
        <f>(1+B2778)*IF(AND(Painel_diario!$H2775="EU_JD",Painel_diario!$J2775=1),EXP(Painel_diario!$L2775),1)-1</f>
        <v/>
      </c>
      <c r="C2779" s="22">
        <f>(1+C2778)*IF(AND(Painel_diario!$H2775="EU_JU",Painel_diario!$J2775=1),EXP(Painel_diario!$L2775),1)-1</f>
        <v/>
      </c>
      <c r="D2779" s="22">
        <f>(1+D2778)*IF(AND(Painel_diario!$H2775="ED_JD",Painel_diario!$J2775=1),EXP(Painel_diario!$L2775),1)-1</f>
        <v/>
      </c>
      <c r="E2779" s="22">
        <f>(1+E2778)*IF(AND(Painel_diario!$H2775="ED_JU",Painel_diario!$J2775=1),EXP(Painel_diario!$L2775),1)-1</f>
        <v/>
      </c>
    </row>
    <row r="2780">
      <c r="A2780" s="25" t="n">
        <v>42919</v>
      </c>
      <c r="B2780" s="22">
        <f>(1+B2779)*IF(AND(Painel_diario!$H2776="EU_JD",Painel_diario!$J2776=1),EXP(Painel_diario!$L2776),1)-1</f>
        <v/>
      </c>
      <c r="C2780" s="22">
        <f>(1+C2779)*IF(AND(Painel_diario!$H2776="EU_JU",Painel_diario!$J2776=1),EXP(Painel_diario!$L2776),1)-1</f>
        <v/>
      </c>
      <c r="D2780" s="22">
        <f>(1+D2779)*IF(AND(Painel_diario!$H2776="ED_JD",Painel_diario!$J2776=1),EXP(Painel_diario!$L2776),1)-1</f>
        <v/>
      </c>
      <c r="E2780" s="22">
        <f>(1+E2779)*IF(AND(Painel_diario!$H2776="ED_JU",Painel_diario!$J2776=1),EXP(Painel_diario!$L2776),1)-1</f>
        <v/>
      </c>
    </row>
    <row r="2781">
      <c r="A2781" s="25" t="n">
        <v>42920</v>
      </c>
      <c r="B2781" s="22">
        <f>(1+B2780)*IF(AND(Painel_diario!$H2777="EU_JD",Painel_diario!$J2777=1),EXP(Painel_diario!$L2777),1)-1</f>
        <v/>
      </c>
      <c r="C2781" s="22">
        <f>(1+C2780)*IF(AND(Painel_diario!$H2777="EU_JU",Painel_diario!$J2777=1),EXP(Painel_diario!$L2777),1)-1</f>
        <v/>
      </c>
      <c r="D2781" s="22">
        <f>(1+D2780)*IF(AND(Painel_diario!$H2777="ED_JD",Painel_diario!$J2777=1),EXP(Painel_diario!$L2777),1)-1</f>
        <v/>
      </c>
      <c r="E2781" s="22">
        <f>(1+E2780)*IF(AND(Painel_diario!$H2777="ED_JU",Painel_diario!$J2777=1),EXP(Painel_diario!$L2777),1)-1</f>
        <v/>
      </c>
    </row>
    <row r="2782">
      <c r="A2782" s="25" t="n">
        <v>42921</v>
      </c>
      <c r="B2782" s="22">
        <f>(1+B2781)*IF(AND(Painel_diario!$H2778="EU_JD",Painel_diario!$J2778=1),EXP(Painel_diario!$L2778),1)-1</f>
        <v/>
      </c>
      <c r="C2782" s="22">
        <f>(1+C2781)*IF(AND(Painel_diario!$H2778="EU_JU",Painel_diario!$J2778=1),EXP(Painel_diario!$L2778),1)-1</f>
        <v/>
      </c>
      <c r="D2782" s="22">
        <f>(1+D2781)*IF(AND(Painel_diario!$H2778="ED_JD",Painel_diario!$J2778=1),EXP(Painel_diario!$L2778),1)-1</f>
        <v/>
      </c>
      <c r="E2782" s="22">
        <f>(1+E2781)*IF(AND(Painel_diario!$H2778="ED_JU",Painel_diario!$J2778=1),EXP(Painel_diario!$L2778),1)-1</f>
        <v/>
      </c>
    </row>
    <row r="2783">
      <c r="A2783" s="25" t="n">
        <v>42922</v>
      </c>
      <c r="B2783" s="22">
        <f>(1+B2782)*IF(AND(Painel_diario!$H2779="EU_JD",Painel_diario!$J2779=1),EXP(Painel_diario!$L2779),1)-1</f>
        <v/>
      </c>
      <c r="C2783" s="22">
        <f>(1+C2782)*IF(AND(Painel_diario!$H2779="EU_JU",Painel_diario!$J2779=1),EXP(Painel_diario!$L2779),1)-1</f>
        <v/>
      </c>
      <c r="D2783" s="22">
        <f>(1+D2782)*IF(AND(Painel_diario!$H2779="ED_JD",Painel_diario!$J2779=1),EXP(Painel_diario!$L2779),1)-1</f>
        <v/>
      </c>
      <c r="E2783" s="22">
        <f>(1+E2782)*IF(AND(Painel_diario!$H2779="ED_JU",Painel_diario!$J2779=1),EXP(Painel_diario!$L2779),1)-1</f>
        <v/>
      </c>
    </row>
    <row r="2784">
      <c r="A2784" s="25" t="n">
        <v>42923</v>
      </c>
      <c r="B2784" s="22">
        <f>(1+B2783)*IF(AND(Painel_diario!$H2780="EU_JD",Painel_diario!$J2780=1),EXP(Painel_diario!$L2780),1)-1</f>
        <v/>
      </c>
      <c r="C2784" s="22">
        <f>(1+C2783)*IF(AND(Painel_diario!$H2780="EU_JU",Painel_diario!$J2780=1),EXP(Painel_diario!$L2780),1)-1</f>
        <v/>
      </c>
      <c r="D2784" s="22">
        <f>(1+D2783)*IF(AND(Painel_diario!$H2780="ED_JD",Painel_diario!$J2780=1),EXP(Painel_diario!$L2780),1)-1</f>
        <v/>
      </c>
      <c r="E2784" s="22">
        <f>(1+E2783)*IF(AND(Painel_diario!$H2780="ED_JU",Painel_diario!$J2780=1),EXP(Painel_diario!$L2780),1)-1</f>
        <v/>
      </c>
    </row>
    <row r="2785">
      <c r="A2785" s="25" t="n">
        <v>42926</v>
      </c>
      <c r="B2785" s="22">
        <f>(1+B2784)*IF(AND(Painel_diario!$H2781="EU_JD",Painel_diario!$J2781=1),EXP(Painel_diario!$L2781),1)-1</f>
        <v/>
      </c>
      <c r="C2785" s="22">
        <f>(1+C2784)*IF(AND(Painel_diario!$H2781="EU_JU",Painel_diario!$J2781=1),EXP(Painel_diario!$L2781),1)-1</f>
        <v/>
      </c>
      <c r="D2785" s="22">
        <f>(1+D2784)*IF(AND(Painel_diario!$H2781="ED_JD",Painel_diario!$J2781=1),EXP(Painel_diario!$L2781),1)-1</f>
        <v/>
      </c>
      <c r="E2785" s="22">
        <f>(1+E2784)*IF(AND(Painel_diario!$H2781="ED_JU",Painel_diario!$J2781=1),EXP(Painel_diario!$L2781),1)-1</f>
        <v/>
      </c>
    </row>
    <row r="2786">
      <c r="A2786" s="25" t="n">
        <v>42927</v>
      </c>
      <c r="B2786" s="22">
        <f>(1+B2785)*IF(AND(Painel_diario!$H2782="EU_JD",Painel_diario!$J2782=1),EXP(Painel_diario!$L2782),1)-1</f>
        <v/>
      </c>
      <c r="C2786" s="22">
        <f>(1+C2785)*IF(AND(Painel_diario!$H2782="EU_JU",Painel_diario!$J2782=1),EXP(Painel_diario!$L2782),1)-1</f>
        <v/>
      </c>
      <c r="D2786" s="22">
        <f>(1+D2785)*IF(AND(Painel_diario!$H2782="ED_JD",Painel_diario!$J2782=1),EXP(Painel_diario!$L2782),1)-1</f>
        <v/>
      </c>
      <c r="E2786" s="22">
        <f>(1+E2785)*IF(AND(Painel_diario!$H2782="ED_JU",Painel_diario!$J2782=1),EXP(Painel_diario!$L2782),1)-1</f>
        <v/>
      </c>
    </row>
    <row r="2787">
      <c r="A2787" s="25" t="n">
        <v>42928</v>
      </c>
      <c r="B2787" s="22">
        <f>(1+B2786)*IF(AND(Painel_diario!$H2783="EU_JD",Painel_diario!$J2783=1),EXP(Painel_diario!$L2783),1)-1</f>
        <v/>
      </c>
      <c r="C2787" s="22">
        <f>(1+C2786)*IF(AND(Painel_diario!$H2783="EU_JU",Painel_diario!$J2783=1),EXP(Painel_diario!$L2783),1)-1</f>
        <v/>
      </c>
      <c r="D2787" s="22">
        <f>(1+D2786)*IF(AND(Painel_diario!$H2783="ED_JD",Painel_diario!$J2783=1),EXP(Painel_diario!$L2783),1)-1</f>
        <v/>
      </c>
      <c r="E2787" s="22">
        <f>(1+E2786)*IF(AND(Painel_diario!$H2783="ED_JU",Painel_diario!$J2783=1),EXP(Painel_diario!$L2783),1)-1</f>
        <v/>
      </c>
    </row>
    <row r="2788">
      <c r="A2788" s="25" t="n">
        <v>42929</v>
      </c>
      <c r="B2788" s="22">
        <f>(1+B2787)*IF(AND(Painel_diario!$H2784="EU_JD",Painel_diario!$J2784=1),EXP(Painel_diario!$L2784),1)-1</f>
        <v/>
      </c>
      <c r="C2788" s="22">
        <f>(1+C2787)*IF(AND(Painel_diario!$H2784="EU_JU",Painel_diario!$J2784=1),EXP(Painel_diario!$L2784),1)-1</f>
        <v/>
      </c>
      <c r="D2788" s="22">
        <f>(1+D2787)*IF(AND(Painel_diario!$H2784="ED_JD",Painel_diario!$J2784=1),EXP(Painel_diario!$L2784),1)-1</f>
        <v/>
      </c>
      <c r="E2788" s="22">
        <f>(1+E2787)*IF(AND(Painel_diario!$H2784="ED_JU",Painel_diario!$J2784=1),EXP(Painel_diario!$L2784),1)-1</f>
        <v/>
      </c>
    </row>
    <row r="2789">
      <c r="A2789" s="25" t="n">
        <v>42930</v>
      </c>
      <c r="B2789" s="22">
        <f>(1+B2788)*IF(AND(Painel_diario!$H2785="EU_JD",Painel_diario!$J2785=1),EXP(Painel_diario!$L2785),1)-1</f>
        <v/>
      </c>
      <c r="C2789" s="22">
        <f>(1+C2788)*IF(AND(Painel_diario!$H2785="EU_JU",Painel_diario!$J2785=1),EXP(Painel_diario!$L2785),1)-1</f>
        <v/>
      </c>
      <c r="D2789" s="22">
        <f>(1+D2788)*IF(AND(Painel_diario!$H2785="ED_JD",Painel_diario!$J2785=1),EXP(Painel_diario!$L2785),1)-1</f>
        <v/>
      </c>
      <c r="E2789" s="22">
        <f>(1+E2788)*IF(AND(Painel_diario!$H2785="ED_JU",Painel_diario!$J2785=1),EXP(Painel_diario!$L2785),1)-1</f>
        <v/>
      </c>
    </row>
    <row r="2790">
      <c r="A2790" s="25" t="n">
        <v>42933</v>
      </c>
      <c r="B2790" s="22">
        <f>(1+B2789)*IF(AND(Painel_diario!$H2786="EU_JD",Painel_diario!$J2786=1),EXP(Painel_diario!$L2786),1)-1</f>
        <v/>
      </c>
      <c r="C2790" s="22">
        <f>(1+C2789)*IF(AND(Painel_diario!$H2786="EU_JU",Painel_diario!$J2786=1),EXP(Painel_diario!$L2786),1)-1</f>
        <v/>
      </c>
      <c r="D2790" s="22">
        <f>(1+D2789)*IF(AND(Painel_diario!$H2786="ED_JD",Painel_diario!$J2786=1),EXP(Painel_diario!$L2786),1)-1</f>
        <v/>
      </c>
      <c r="E2790" s="22">
        <f>(1+E2789)*IF(AND(Painel_diario!$H2786="ED_JU",Painel_diario!$J2786=1),EXP(Painel_diario!$L2786),1)-1</f>
        <v/>
      </c>
    </row>
    <row r="2791">
      <c r="A2791" s="25" t="n">
        <v>42934</v>
      </c>
      <c r="B2791" s="22">
        <f>(1+B2790)*IF(AND(Painel_diario!$H2787="EU_JD",Painel_diario!$J2787=1),EXP(Painel_diario!$L2787),1)-1</f>
        <v/>
      </c>
      <c r="C2791" s="22">
        <f>(1+C2790)*IF(AND(Painel_diario!$H2787="EU_JU",Painel_diario!$J2787=1),EXP(Painel_diario!$L2787),1)-1</f>
        <v/>
      </c>
      <c r="D2791" s="22">
        <f>(1+D2790)*IF(AND(Painel_diario!$H2787="ED_JD",Painel_diario!$J2787=1),EXP(Painel_diario!$L2787),1)-1</f>
        <v/>
      </c>
      <c r="E2791" s="22">
        <f>(1+E2790)*IF(AND(Painel_diario!$H2787="ED_JU",Painel_diario!$J2787=1),EXP(Painel_diario!$L2787),1)-1</f>
        <v/>
      </c>
    </row>
    <row r="2792">
      <c r="A2792" s="25" t="n">
        <v>42935</v>
      </c>
      <c r="B2792" s="22">
        <f>(1+B2791)*IF(AND(Painel_diario!$H2788="EU_JD",Painel_diario!$J2788=1),EXP(Painel_diario!$L2788),1)-1</f>
        <v/>
      </c>
      <c r="C2792" s="22">
        <f>(1+C2791)*IF(AND(Painel_diario!$H2788="EU_JU",Painel_diario!$J2788=1),EXP(Painel_diario!$L2788),1)-1</f>
        <v/>
      </c>
      <c r="D2792" s="22">
        <f>(1+D2791)*IF(AND(Painel_diario!$H2788="ED_JD",Painel_diario!$J2788=1),EXP(Painel_diario!$L2788),1)-1</f>
        <v/>
      </c>
      <c r="E2792" s="22">
        <f>(1+E2791)*IF(AND(Painel_diario!$H2788="ED_JU",Painel_diario!$J2788=1),EXP(Painel_diario!$L2788),1)-1</f>
        <v/>
      </c>
    </row>
    <row r="2793">
      <c r="A2793" s="25" t="n">
        <v>42936</v>
      </c>
      <c r="B2793" s="22">
        <f>(1+B2792)*IF(AND(Painel_diario!$H2789="EU_JD",Painel_diario!$J2789=1),EXP(Painel_diario!$L2789),1)-1</f>
        <v/>
      </c>
      <c r="C2793" s="22">
        <f>(1+C2792)*IF(AND(Painel_diario!$H2789="EU_JU",Painel_diario!$J2789=1),EXP(Painel_diario!$L2789),1)-1</f>
        <v/>
      </c>
      <c r="D2793" s="22">
        <f>(1+D2792)*IF(AND(Painel_diario!$H2789="ED_JD",Painel_diario!$J2789=1),EXP(Painel_diario!$L2789),1)-1</f>
        <v/>
      </c>
      <c r="E2793" s="22">
        <f>(1+E2792)*IF(AND(Painel_diario!$H2789="ED_JU",Painel_diario!$J2789=1),EXP(Painel_diario!$L2789),1)-1</f>
        <v/>
      </c>
    </row>
    <row r="2794">
      <c r="A2794" s="25" t="n">
        <v>42937</v>
      </c>
      <c r="B2794" s="22">
        <f>(1+B2793)*IF(AND(Painel_diario!$H2790="EU_JD",Painel_diario!$J2790=1),EXP(Painel_diario!$L2790),1)-1</f>
        <v/>
      </c>
      <c r="C2794" s="22">
        <f>(1+C2793)*IF(AND(Painel_diario!$H2790="EU_JU",Painel_diario!$J2790=1),EXP(Painel_diario!$L2790),1)-1</f>
        <v/>
      </c>
      <c r="D2794" s="22">
        <f>(1+D2793)*IF(AND(Painel_diario!$H2790="ED_JD",Painel_diario!$J2790=1),EXP(Painel_diario!$L2790),1)-1</f>
        <v/>
      </c>
      <c r="E2794" s="22">
        <f>(1+E2793)*IF(AND(Painel_diario!$H2790="ED_JU",Painel_diario!$J2790=1),EXP(Painel_diario!$L2790),1)-1</f>
        <v/>
      </c>
    </row>
    <row r="2795">
      <c r="A2795" s="25" t="n">
        <v>42940</v>
      </c>
      <c r="B2795" s="22">
        <f>(1+B2794)*IF(AND(Painel_diario!$H2791="EU_JD",Painel_diario!$J2791=1),EXP(Painel_diario!$L2791),1)-1</f>
        <v/>
      </c>
      <c r="C2795" s="22">
        <f>(1+C2794)*IF(AND(Painel_diario!$H2791="EU_JU",Painel_diario!$J2791=1),EXP(Painel_diario!$L2791),1)-1</f>
        <v/>
      </c>
      <c r="D2795" s="22">
        <f>(1+D2794)*IF(AND(Painel_diario!$H2791="ED_JD",Painel_diario!$J2791=1),EXP(Painel_diario!$L2791),1)-1</f>
        <v/>
      </c>
      <c r="E2795" s="22">
        <f>(1+E2794)*IF(AND(Painel_diario!$H2791="ED_JU",Painel_diario!$J2791=1),EXP(Painel_diario!$L2791),1)-1</f>
        <v/>
      </c>
    </row>
    <row r="2796">
      <c r="A2796" s="25" t="n">
        <v>42941</v>
      </c>
      <c r="B2796" s="22">
        <f>(1+B2795)*IF(AND(Painel_diario!$H2792="EU_JD",Painel_diario!$J2792=1),EXP(Painel_diario!$L2792),1)-1</f>
        <v/>
      </c>
      <c r="C2796" s="22">
        <f>(1+C2795)*IF(AND(Painel_diario!$H2792="EU_JU",Painel_diario!$J2792=1),EXP(Painel_diario!$L2792),1)-1</f>
        <v/>
      </c>
      <c r="D2796" s="22">
        <f>(1+D2795)*IF(AND(Painel_diario!$H2792="ED_JD",Painel_diario!$J2792=1),EXP(Painel_diario!$L2792),1)-1</f>
        <v/>
      </c>
      <c r="E2796" s="22">
        <f>(1+E2795)*IF(AND(Painel_diario!$H2792="ED_JU",Painel_diario!$J2792=1),EXP(Painel_diario!$L2792),1)-1</f>
        <v/>
      </c>
    </row>
    <row r="2797">
      <c r="A2797" s="25" t="n">
        <v>42942</v>
      </c>
      <c r="B2797" s="22">
        <f>(1+B2796)*IF(AND(Painel_diario!$H2793="EU_JD",Painel_diario!$J2793=1),EXP(Painel_diario!$L2793),1)-1</f>
        <v/>
      </c>
      <c r="C2797" s="22">
        <f>(1+C2796)*IF(AND(Painel_diario!$H2793="EU_JU",Painel_diario!$J2793=1),EXP(Painel_diario!$L2793),1)-1</f>
        <v/>
      </c>
      <c r="D2797" s="22">
        <f>(1+D2796)*IF(AND(Painel_diario!$H2793="ED_JD",Painel_diario!$J2793=1),EXP(Painel_diario!$L2793),1)-1</f>
        <v/>
      </c>
      <c r="E2797" s="22">
        <f>(1+E2796)*IF(AND(Painel_diario!$H2793="ED_JU",Painel_diario!$J2793=1),EXP(Painel_diario!$L2793),1)-1</f>
        <v/>
      </c>
    </row>
    <row r="2798">
      <c r="A2798" s="25" t="n">
        <v>42943</v>
      </c>
      <c r="B2798" s="22">
        <f>(1+B2797)*IF(AND(Painel_diario!$H2794="EU_JD",Painel_diario!$J2794=1),EXP(Painel_diario!$L2794),1)-1</f>
        <v/>
      </c>
      <c r="C2798" s="22">
        <f>(1+C2797)*IF(AND(Painel_diario!$H2794="EU_JU",Painel_diario!$J2794=1),EXP(Painel_diario!$L2794),1)-1</f>
        <v/>
      </c>
      <c r="D2798" s="22">
        <f>(1+D2797)*IF(AND(Painel_diario!$H2794="ED_JD",Painel_diario!$J2794=1),EXP(Painel_diario!$L2794),1)-1</f>
        <v/>
      </c>
      <c r="E2798" s="22">
        <f>(1+E2797)*IF(AND(Painel_diario!$H2794="ED_JU",Painel_diario!$J2794=1),EXP(Painel_diario!$L2794),1)-1</f>
        <v/>
      </c>
    </row>
    <row r="2799">
      <c r="A2799" s="25" t="n">
        <v>42944</v>
      </c>
      <c r="B2799" s="22">
        <f>(1+B2798)*IF(AND(Painel_diario!$H2795="EU_JD",Painel_diario!$J2795=1),EXP(Painel_diario!$L2795),1)-1</f>
        <v/>
      </c>
      <c r="C2799" s="22">
        <f>(1+C2798)*IF(AND(Painel_diario!$H2795="EU_JU",Painel_diario!$J2795=1),EXP(Painel_diario!$L2795),1)-1</f>
        <v/>
      </c>
      <c r="D2799" s="22">
        <f>(1+D2798)*IF(AND(Painel_diario!$H2795="ED_JD",Painel_diario!$J2795=1),EXP(Painel_diario!$L2795),1)-1</f>
        <v/>
      </c>
      <c r="E2799" s="22">
        <f>(1+E2798)*IF(AND(Painel_diario!$H2795="ED_JU",Painel_diario!$J2795=1),EXP(Painel_diario!$L2795),1)-1</f>
        <v/>
      </c>
    </row>
    <row r="2800">
      <c r="A2800" s="25" t="n">
        <v>42947</v>
      </c>
      <c r="B2800" s="22">
        <f>(1+B2799)*IF(AND(Painel_diario!$H2796="EU_JD",Painel_diario!$J2796=1),EXP(Painel_diario!$L2796),1)-1</f>
        <v/>
      </c>
      <c r="C2800" s="22">
        <f>(1+C2799)*IF(AND(Painel_diario!$H2796="EU_JU",Painel_diario!$J2796=1),EXP(Painel_diario!$L2796),1)-1</f>
        <v/>
      </c>
      <c r="D2800" s="22">
        <f>(1+D2799)*IF(AND(Painel_diario!$H2796="ED_JD",Painel_diario!$J2796=1),EXP(Painel_diario!$L2796),1)-1</f>
        <v/>
      </c>
      <c r="E2800" s="22">
        <f>(1+E2799)*IF(AND(Painel_diario!$H2796="ED_JU",Painel_diario!$J2796=1),EXP(Painel_diario!$L2796),1)-1</f>
        <v/>
      </c>
    </row>
    <row r="2801">
      <c r="A2801" s="25" t="n">
        <v>42948</v>
      </c>
      <c r="B2801" s="22">
        <f>(1+B2800)*IF(AND(Painel_diario!$H2797="EU_JD",Painel_diario!$J2797=1),EXP(Painel_diario!$L2797),1)-1</f>
        <v/>
      </c>
      <c r="C2801" s="22">
        <f>(1+C2800)*IF(AND(Painel_diario!$H2797="EU_JU",Painel_diario!$J2797=1),EXP(Painel_diario!$L2797),1)-1</f>
        <v/>
      </c>
      <c r="D2801" s="22">
        <f>(1+D2800)*IF(AND(Painel_diario!$H2797="ED_JD",Painel_diario!$J2797=1),EXP(Painel_diario!$L2797),1)-1</f>
        <v/>
      </c>
      <c r="E2801" s="22">
        <f>(1+E2800)*IF(AND(Painel_diario!$H2797="ED_JU",Painel_diario!$J2797=1),EXP(Painel_diario!$L2797),1)-1</f>
        <v/>
      </c>
    </row>
    <row r="2802">
      <c r="A2802" s="25" t="n">
        <v>42949</v>
      </c>
      <c r="B2802" s="22">
        <f>(1+B2801)*IF(AND(Painel_diario!$H2798="EU_JD",Painel_diario!$J2798=1),EXP(Painel_diario!$L2798),1)-1</f>
        <v/>
      </c>
      <c r="C2802" s="22">
        <f>(1+C2801)*IF(AND(Painel_diario!$H2798="EU_JU",Painel_diario!$J2798=1),EXP(Painel_diario!$L2798),1)-1</f>
        <v/>
      </c>
      <c r="D2802" s="22">
        <f>(1+D2801)*IF(AND(Painel_diario!$H2798="ED_JD",Painel_diario!$J2798=1),EXP(Painel_diario!$L2798),1)-1</f>
        <v/>
      </c>
      <c r="E2802" s="22">
        <f>(1+E2801)*IF(AND(Painel_diario!$H2798="ED_JU",Painel_diario!$J2798=1),EXP(Painel_diario!$L2798),1)-1</f>
        <v/>
      </c>
    </row>
    <row r="2803">
      <c r="A2803" s="25" t="n">
        <v>42950</v>
      </c>
      <c r="B2803" s="22">
        <f>(1+B2802)*IF(AND(Painel_diario!$H2799="EU_JD",Painel_diario!$J2799=1),EXP(Painel_diario!$L2799),1)-1</f>
        <v/>
      </c>
      <c r="C2803" s="22">
        <f>(1+C2802)*IF(AND(Painel_diario!$H2799="EU_JU",Painel_diario!$J2799=1),EXP(Painel_diario!$L2799),1)-1</f>
        <v/>
      </c>
      <c r="D2803" s="22">
        <f>(1+D2802)*IF(AND(Painel_diario!$H2799="ED_JD",Painel_diario!$J2799=1),EXP(Painel_diario!$L2799),1)-1</f>
        <v/>
      </c>
      <c r="E2803" s="22">
        <f>(1+E2802)*IF(AND(Painel_diario!$H2799="ED_JU",Painel_diario!$J2799=1),EXP(Painel_diario!$L2799),1)-1</f>
        <v/>
      </c>
    </row>
    <row r="2804">
      <c r="A2804" s="25" t="n">
        <v>42951</v>
      </c>
      <c r="B2804" s="22">
        <f>(1+B2803)*IF(AND(Painel_diario!$H2800="EU_JD",Painel_diario!$J2800=1),EXP(Painel_diario!$L2800),1)-1</f>
        <v/>
      </c>
      <c r="C2804" s="22">
        <f>(1+C2803)*IF(AND(Painel_diario!$H2800="EU_JU",Painel_diario!$J2800=1),EXP(Painel_diario!$L2800),1)-1</f>
        <v/>
      </c>
      <c r="D2804" s="22">
        <f>(1+D2803)*IF(AND(Painel_diario!$H2800="ED_JD",Painel_diario!$J2800=1),EXP(Painel_diario!$L2800),1)-1</f>
        <v/>
      </c>
      <c r="E2804" s="22">
        <f>(1+E2803)*IF(AND(Painel_diario!$H2800="ED_JU",Painel_diario!$J2800=1),EXP(Painel_diario!$L2800),1)-1</f>
        <v/>
      </c>
    </row>
    <row r="2805">
      <c r="A2805" s="25" t="n">
        <v>42954</v>
      </c>
      <c r="B2805" s="22">
        <f>(1+B2804)*IF(AND(Painel_diario!$H2801="EU_JD",Painel_diario!$J2801=1),EXP(Painel_diario!$L2801),1)-1</f>
        <v/>
      </c>
      <c r="C2805" s="22">
        <f>(1+C2804)*IF(AND(Painel_diario!$H2801="EU_JU",Painel_diario!$J2801=1),EXP(Painel_diario!$L2801),1)-1</f>
        <v/>
      </c>
      <c r="D2805" s="22">
        <f>(1+D2804)*IF(AND(Painel_diario!$H2801="ED_JD",Painel_diario!$J2801=1),EXP(Painel_diario!$L2801),1)-1</f>
        <v/>
      </c>
      <c r="E2805" s="22">
        <f>(1+E2804)*IF(AND(Painel_diario!$H2801="ED_JU",Painel_diario!$J2801=1),EXP(Painel_diario!$L2801),1)-1</f>
        <v/>
      </c>
    </row>
    <row r="2806">
      <c r="A2806" s="25" t="n">
        <v>42955</v>
      </c>
      <c r="B2806" s="22">
        <f>(1+B2805)*IF(AND(Painel_diario!$H2802="EU_JD",Painel_diario!$J2802=1),EXP(Painel_diario!$L2802),1)-1</f>
        <v/>
      </c>
      <c r="C2806" s="22">
        <f>(1+C2805)*IF(AND(Painel_diario!$H2802="EU_JU",Painel_diario!$J2802=1),EXP(Painel_diario!$L2802),1)-1</f>
        <v/>
      </c>
      <c r="D2806" s="22">
        <f>(1+D2805)*IF(AND(Painel_diario!$H2802="ED_JD",Painel_diario!$J2802=1),EXP(Painel_diario!$L2802),1)-1</f>
        <v/>
      </c>
      <c r="E2806" s="22">
        <f>(1+E2805)*IF(AND(Painel_diario!$H2802="ED_JU",Painel_diario!$J2802=1),EXP(Painel_diario!$L2802),1)-1</f>
        <v/>
      </c>
    </row>
    <row r="2807">
      <c r="A2807" s="25" t="n">
        <v>42956</v>
      </c>
      <c r="B2807" s="22">
        <f>(1+B2806)*IF(AND(Painel_diario!$H2803="EU_JD",Painel_diario!$J2803=1),EXP(Painel_diario!$L2803),1)-1</f>
        <v/>
      </c>
      <c r="C2807" s="22">
        <f>(1+C2806)*IF(AND(Painel_diario!$H2803="EU_JU",Painel_diario!$J2803=1),EXP(Painel_diario!$L2803),1)-1</f>
        <v/>
      </c>
      <c r="D2807" s="22">
        <f>(1+D2806)*IF(AND(Painel_diario!$H2803="ED_JD",Painel_diario!$J2803=1),EXP(Painel_diario!$L2803),1)-1</f>
        <v/>
      </c>
      <c r="E2807" s="22">
        <f>(1+E2806)*IF(AND(Painel_diario!$H2803="ED_JU",Painel_diario!$J2803=1),EXP(Painel_diario!$L2803),1)-1</f>
        <v/>
      </c>
    </row>
    <row r="2808">
      <c r="A2808" s="25" t="n">
        <v>42957</v>
      </c>
      <c r="B2808" s="22">
        <f>(1+B2807)*IF(AND(Painel_diario!$H2804="EU_JD",Painel_diario!$J2804=1),EXP(Painel_diario!$L2804),1)-1</f>
        <v/>
      </c>
      <c r="C2808" s="22">
        <f>(1+C2807)*IF(AND(Painel_diario!$H2804="EU_JU",Painel_diario!$J2804=1),EXP(Painel_diario!$L2804),1)-1</f>
        <v/>
      </c>
      <c r="D2808" s="22">
        <f>(1+D2807)*IF(AND(Painel_diario!$H2804="ED_JD",Painel_diario!$J2804=1),EXP(Painel_diario!$L2804),1)-1</f>
        <v/>
      </c>
      <c r="E2808" s="22">
        <f>(1+E2807)*IF(AND(Painel_diario!$H2804="ED_JU",Painel_diario!$J2804=1),EXP(Painel_diario!$L2804),1)-1</f>
        <v/>
      </c>
    </row>
    <row r="2809">
      <c r="A2809" s="25" t="n">
        <v>42958</v>
      </c>
      <c r="B2809" s="22">
        <f>(1+B2808)*IF(AND(Painel_diario!$H2805="EU_JD",Painel_diario!$J2805=1),EXP(Painel_diario!$L2805),1)-1</f>
        <v/>
      </c>
      <c r="C2809" s="22">
        <f>(1+C2808)*IF(AND(Painel_diario!$H2805="EU_JU",Painel_diario!$J2805=1),EXP(Painel_diario!$L2805),1)-1</f>
        <v/>
      </c>
      <c r="D2809" s="22">
        <f>(1+D2808)*IF(AND(Painel_diario!$H2805="ED_JD",Painel_diario!$J2805=1),EXP(Painel_diario!$L2805),1)-1</f>
        <v/>
      </c>
      <c r="E2809" s="22">
        <f>(1+E2808)*IF(AND(Painel_diario!$H2805="ED_JU",Painel_diario!$J2805=1),EXP(Painel_diario!$L2805),1)-1</f>
        <v/>
      </c>
    </row>
    <row r="2810">
      <c r="A2810" s="25" t="n">
        <v>42961</v>
      </c>
      <c r="B2810" s="22">
        <f>(1+B2809)*IF(AND(Painel_diario!$H2806="EU_JD",Painel_diario!$J2806=1),EXP(Painel_diario!$L2806),1)-1</f>
        <v/>
      </c>
      <c r="C2810" s="22">
        <f>(1+C2809)*IF(AND(Painel_diario!$H2806="EU_JU",Painel_diario!$J2806=1),EXP(Painel_diario!$L2806),1)-1</f>
        <v/>
      </c>
      <c r="D2810" s="22">
        <f>(1+D2809)*IF(AND(Painel_diario!$H2806="ED_JD",Painel_diario!$J2806=1),EXP(Painel_diario!$L2806),1)-1</f>
        <v/>
      </c>
      <c r="E2810" s="22">
        <f>(1+E2809)*IF(AND(Painel_diario!$H2806="ED_JU",Painel_diario!$J2806=1),EXP(Painel_diario!$L2806),1)-1</f>
        <v/>
      </c>
    </row>
    <row r="2811">
      <c r="A2811" s="25" t="n">
        <v>42962</v>
      </c>
      <c r="B2811" s="22">
        <f>(1+B2810)*IF(AND(Painel_diario!$H2807="EU_JD",Painel_diario!$J2807=1),EXP(Painel_diario!$L2807),1)-1</f>
        <v/>
      </c>
      <c r="C2811" s="22">
        <f>(1+C2810)*IF(AND(Painel_diario!$H2807="EU_JU",Painel_diario!$J2807=1),EXP(Painel_diario!$L2807),1)-1</f>
        <v/>
      </c>
      <c r="D2811" s="22">
        <f>(1+D2810)*IF(AND(Painel_diario!$H2807="ED_JD",Painel_diario!$J2807=1),EXP(Painel_diario!$L2807),1)-1</f>
        <v/>
      </c>
      <c r="E2811" s="22">
        <f>(1+E2810)*IF(AND(Painel_diario!$H2807="ED_JU",Painel_diario!$J2807=1),EXP(Painel_diario!$L2807),1)-1</f>
        <v/>
      </c>
    </row>
    <row r="2812">
      <c r="A2812" s="25" t="n">
        <v>42963</v>
      </c>
      <c r="B2812" s="22">
        <f>(1+B2811)*IF(AND(Painel_diario!$H2808="EU_JD",Painel_diario!$J2808=1),EXP(Painel_diario!$L2808),1)-1</f>
        <v/>
      </c>
      <c r="C2812" s="22">
        <f>(1+C2811)*IF(AND(Painel_diario!$H2808="EU_JU",Painel_diario!$J2808=1),EXP(Painel_diario!$L2808),1)-1</f>
        <v/>
      </c>
      <c r="D2812" s="22">
        <f>(1+D2811)*IF(AND(Painel_diario!$H2808="ED_JD",Painel_diario!$J2808=1),EXP(Painel_diario!$L2808),1)-1</f>
        <v/>
      </c>
      <c r="E2812" s="22">
        <f>(1+E2811)*IF(AND(Painel_diario!$H2808="ED_JU",Painel_diario!$J2808=1),EXP(Painel_diario!$L2808),1)-1</f>
        <v/>
      </c>
    </row>
    <row r="2813">
      <c r="A2813" s="25" t="n">
        <v>42964</v>
      </c>
      <c r="B2813" s="22">
        <f>(1+B2812)*IF(AND(Painel_diario!$H2809="EU_JD",Painel_diario!$J2809=1),EXP(Painel_diario!$L2809),1)-1</f>
        <v/>
      </c>
      <c r="C2813" s="22">
        <f>(1+C2812)*IF(AND(Painel_diario!$H2809="EU_JU",Painel_diario!$J2809=1),EXP(Painel_diario!$L2809),1)-1</f>
        <v/>
      </c>
      <c r="D2813" s="22">
        <f>(1+D2812)*IF(AND(Painel_diario!$H2809="ED_JD",Painel_diario!$J2809=1),EXP(Painel_diario!$L2809),1)-1</f>
        <v/>
      </c>
      <c r="E2813" s="22">
        <f>(1+E2812)*IF(AND(Painel_diario!$H2809="ED_JU",Painel_diario!$J2809=1),EXP(Painel_diario!$L2809),1)-1</f>
        <v/>
      </c>
    </row>
    <row r="2814">
      <c r="A2814" s="25" t="n">
        <v>42965</v>
      </c>
      <c r="B2814" s="22">
        <f>(1+B2813)*IF(AND(Painel_diario!$H2810="EU_JD",Painel_diario!$J2810=1),EXP(Painel_diario!$L2810),1)-1</f>
        <v/>
      </c>
      <c r="C2814" s="22">
        <f>(1+C2813)*IF(AND(Painel_diario!$H2810="EU_JU",Painel_diario!$J2810=1),EXP(Painel_diario!$L2810),1)-1</f>
        <v/>
      </c>
      <c r="D2814" s="22">
        <f>(1+D2813)*IF(AND(Painel_diario!$H2810="ED_JD",Painel_diario!$J2810=1),EXP(Painel_diario!$L2810),1)-1</f>
        <v/>
      </c>
      <c r="E2814" s="22">
        <f>(1+E2813)*IF(AND(Painel_diario!$H2810="ED_JU",Painel_diario!$J2810=1),EXP(Painel_diario!$L2810),1)-1</f>
        <v/>
      </c>
    </row>
    <row r="2815">
      <c r="A2815" s="25" t="n">
        <v>42968</v>
      </c>
      <c r="B2815" s="22">
        <f>(1+B2814)*IF(AND(Painel_diario!$H2811="EU_JD",Painel_diario!$J2811=1),EXP(Painel_diario!$L2811),1)-1</f>
        <v/>
      </c>
      <c r="C2815" s="22">
        <f>(1+C2814)*IF(AND(Painel_diario!$H2811="EU_JU",Painel_diario!$J2811=1),EXP(Painel_diario!$L2811),1)-1</f>
        <v/>
      </c>
      <c r="D2815" s="22">
        <f>(1+D2814)*IF(AND(Painel_diario!$H2811="ED_JD",Painel_diario!$J2811=1),EXP(Painel_diario!$L2811),1)-1</f>
        <v/>
      </c>
      <c r="E2815" s="22">
        <f>(1+E2814)*IF(AND(Painel_diario!$H2811="ED_JU",Painel_diario!$J2811=1),EXP(Painel_diario!$L2811),1)-1</f>
        <v/>
      </c>
    </row>
    <row r="2816">
      <c r="A2816" s="25" t="n">
        <v>42969</v>
      </c>
      <c r="B2816" s="22">
        <f>(1+B2815)*IF(AND(Painel_diario!$H2812="EU_JD",Painel_diario!$J2812=1),EXP(Painel_diario!$L2812),1)-1</f>
        <v/>
      </c>
      <c r="C2816" s="22">
        <f>(1+C2815)*IF(AND(Painel_diario!$H2812="EU_JU",Painel_diario!$J2812=1),EXP(Painel_diario!$L2812),1)-1</f>
        <v/>
      </c>
      <c r="D2816" s="22">
        <f>(1+D2815)*IF(AND(Painel_diario!$H2812="ED_JD",Painel_diario!$J2812=1),EXP(Painel_diario!$L2812),1)-1</f>
        <v/>
      </c>
      <c r="E2816" s="22">
        <f>(1+E2815)*IF(AND(Painel_diario!$H2812="ED_JU",Painel_diario!$J2812=1),EXP(Painel_diario!$L2812),1)-1</f>
        <v/>
      </c>
    </row>
    <row r="2817">
      <c r="A2817" s="25" t="n">
        <v>42970</v>
      </c>
      <c r="B2817" s="22">
        <f>(1+B2816)*IF(AND(Painel_diario!$H2813="EU_JD",Painel_diario!$J2813=1),EXP(Painel_diario!$L2813),1)-1</f>
        <v/>
      </c>
      <c r="C2817" s="22">
        <f>(1+C2816)*IF(AND(Painel_diario!$H2813="EU_JU",Painel_diario!$J2813=1),EXP(Painel_diario!$L2813),1)-1</f>
        <v/>
      </c>
      <c r="D2817" s="22">
        <f>(1+D2816)*IF(AND(Painel_diario!$H2813="ED_JD",Painel_diario!$J2813=1),EXP(Painel_diario!$L2813),1)-1</f>
        <v/>
      </c>
      <c r="E2817" s="22">
        <f>(1+E2816)*IF(AND(Painel_diario!$H2813="ED_JU",Painel_diario!$J2813=1),EXP(Painel_diario!$L2813),1)-1</f>
        <v/>
      </c>
    </row>
    <row r="2818">
      <c r="A2818" s="25" t="n">
        <v>42971</v>
      </c>
      <c r="B2818" s="22">
        <f>(1+B2817)*IF(AND(Painel_diario!$H2814="EU_JD",Painel_diario!$J2814=1),EXP(Painel_diario!$L2814),1)-1</f>
        <v/>
      </c>
      <c r="C2818" s="22">
        <f>(1+C2817)*IF(AND(Painel_diario!$H2814="EU_JU",Painel_diario!$J2814=1),EXP(Painel_diario!$L2814),1)-1</f>
        <v/>
      </c>
      <c r="D2818" s="22">
        <f>(1+D2817)*IF(AND(Painel_diario!$H2814="ED_JD",Painel_diario!$J2814=1),EXP(Painel_diario!$L2814),1)-1</f>
        <v/>
      </c>
      <c r="E2818" s="22">
        <f>(1+E2817)*IF(AND(Painel_diario!$H2814="ED_JU",Painel_diario!$J2814=1),EXP(Painel_diario!$L2814),1)-1</f>
        <v/>
      </c>
    </row>
    <row r="2819">
      <c r="A2819" s="25" t="n">
        <v>42972</v>
      </c>
      <c r="B2819" s="22">
        <f>(1+B2818)*IF(AND(Painel_diario!$H2815="EU_JD",Painel_diario!$J2815=1),EXP(Painel_diario!$L2815),1)-1</f>
        <v/>
      </c>
      <c r="C2819" s="22">
        <f>(1+C2818)*IF(AND(Painel_diario!$H2815="EU_JU",Painel_diario!$J2815=1),EXP(Painel_diario!$L2815),1)-1</f>
        <v/>
      </c>
      <c r="D2819" s="22">
        <f>(1+D2818)*IF(AND(Painel_diario!$H2815="ED_JD",Painel_diario!$J2815=1),EXP(Painel_diario!$L2815),1)-1</f>
        <v/>
      </c>
      <c r="E2819" s="22">
        <f>(1+E2818)*IF(AND(Painel_diario!$H2815="ED_JU",Painel_diario!$J2815=1),EXP(Painel_diario!$L2815),1)-1</f>
        <v/>
      </c>
    </row>
    <row r="2820">
      <c r="A2820" s="25" t="n">
        <v>42975</v>
      </c>
      <c r="B2820" s="22">
        <f>(1+B2819)*IF(AND(Painel_diario!$H2816="EU_JD",Painel_diario!$J2816=1),EXP(Painel_diario!$L2816),1)-1</f>
        <v/>
      </c>
      <c r="C2820" s="22">
        <f>(1+C2819)*IF(AND(Painel_diario!$H2816="EU_JU",Painel_diario!$J2816=1),EXP(Painel_diario!$L2816),1)-1</f>
        <v/>
      </c>
      <c r="D2820" s="22">
        <f>(1+D2819)*IF(AND(Painel_diario!$H2816="ED_JD",Painel_diario!$J2816=1),EXP(Painel_diario!$L2816),1)-1</f>
        <v/>
      </c>
      <c r="E2820" s="22">
        <f>(1+E2819)*IF(AND(Painel_diario!$H2816="ED_JU",Painel_diario!$J2816=1),EXP(Painel_diario!$L2816),1)-1</f>
        <v/>
      </c>
    </row>
    <row r="2821">
      <c r="A2821" s="25" t="n">
        <v>42976</v>
      </c>
      <c r="B2821" s="22">
        <f>(1+B2820)*IF(AND(Painel_diario!$H2817="EU_JD",Painel_diario!$J2817=1),EXP(Painel_diario!$L2817),1)-1</f>
        <v/>
      </c>
      <c r="C2821" s="22">
        <f>(1+C2820)*IF(AND(Painel_diario!$H2817="EU_JU",Painel_diario!$J2817=1),EXP(Painel_diario!$L2817),1)-1</f>
        <v/>
      </c>
      <c r="D2821" s="22">
        <f>(1+D2820)*IF(AND(Painel_diario!$H2817="ED_JD",Painel_diario!$J2817=1),EXP(Painel_diario!$L2817),1)-1</f>
        <v/>
      </c>
      <c r="E2821" s="22">
        <f>(1+E2820)*IF(AND(Painel_diario!$H2817="ED_JU",Painel_diario!$J2817=1),EXP(Painel_diario!$L2817),1)-1</f>
        <v/>
      </c>
    </row>
    <row r="2822">
      <c r="A2822" s="25" t="n">
        <v>42977</v>
      </c>
      <c r="B2822" s="22">
        <f>(1+B2821)*IF(AND(Painel_diario!$H2818="EU_JD",Painel_diario!$J2818=1),EXP(Painel_diario!$L2818),1)-1</f>
        <v/>
      </c>
      <c r="C2822" s="22">
        <f>(1+C2821)*IF(AND(Painel_diario!$H2818="EU_JU",Painel_diario!$J2818=1),EXP(Painel_diario!$L2818),1)-1</f>
        <v/>
      </c>
      <c r="D2822" s="22">
        <f>(1+D2821)*IF(AND(Painel_diario!$H2818="ED_JD",Painel_diario!$J2818=1),EXP(Painel_diario!$L2818),1)-1</f>
        <v/>
      </c>
      <c r="E2822" s="22">
        <f>(1+E2821)*IF(AND(Painel_diario!$H2818="ED_JU",Painel_diario!$J2818=1),EXP(Painel_diario!$L2818),1)-1</f>
        <v/>
      </c>
    </row>
    <row r="2823">
      <c r="A2823" s="25" t="n">
        <v>42978</v>
      </c>
      <c r="B2823" s="22">
        <f>(1+B2822)*IF(AND(Painel_diario!$H2819="EU_JD",Painel_diario!$J2819=1),EXP(Painel_diario!$L2819),1)-1</f>
        <v/>
      </c>
      <c r="C2823" s="22">
        <f>(1+C2822)*IF(AND(Painel_diario!$H2819="EU_JU",Painel_diario!$J2819=1),EXP(Painel_diario!$L2819),1)-1</f>
        <v/>
      </c>
      <c r="D2823" s="22">
        <f>(1+D2822)*IF(AND(Painel_diario!$H2819="ED_JD",Painel_diario!$J2819=1),EXP(Painel_diario!$L2819),1)-1</f>
        <v/>
      </c>
      <c r="E2823" s="22">
        <f>(1+E2822)*IF(AND(Painel_diario!$H2819="ED_JU",Painel_diario!$J2819=1),EXP(Painel_diario!$L2819),1)-1</f>
        <v/>
      </c>
    </row>
    <row r="2824">
      <c r="A2824" s="25" t="n">
        <v>42979</v>
      </c>
      <c r="B2824" s="22">
        <f>(1+B2823)*IF(AND(Painel_diario!$H2820="EU_JD",Painel_diario!$J2820=1),EXP(Painel_diario!$L2820),1)-1</f>
        <v/>
      </c>
      <c r="C2824" s="22">
        <f>(1+C2823)*IF(AND(Painel_diario!$H2820="EU_JU",Painel_diario!$J2820=1),EXP(Painel_diario!$L2820),1)-1</f>
        <v/>
      </c>
      <c r="D2824" s="22">
        <f>(1+D2823)*IF(AND(Painel_diario!$H2820="ED_JD",Painel_diario!$J2820=1),EXP(Painel_diario!$L2820),1)-1</f>
        <v/>
      </c>
      <c r="E2824" s="22">
        <f>(1+E2823)*IF(AND(Painel_diario!$H2820="ED_JU",Painel_diario!$J2820=1),EXP(Painel_diario!$L2820),1)-1</f>
        <v/>
      </c>
    </row>
    <row r="2825">
      <c r="A2825" s="25" t="n">
        <v>42982</v>
      </c>
      <c r="B2825" s="22">
        <f>(1+B2824)*IF(AND(Painel_diario!$H2821="EU_JD",Painel_diario!$J2821=1),EXP(Painel_diario!$L2821),1)-1</f>
        <v/>
      </c>
      <c r="C2825" s="22">
        <f>(1+C2824)*IF(AND(Painel_diario!$H2821="EU_JU",Painel_diario!$J2821=1),EXP(Painel_diario!$L2821),1)-1</f>
        <v/>
      </c>
      <c r="D2825" s="22">
        <f>(1+D2824)*IF(AND(Painel_diario!$H2821="ED_JD",Painel_diario!$J2821=1),EXP(Painel_diario!$L2821),1)-1</f>
        <v/>
      </c>
      <c r="E2825" s="22">
        <f>(1+E2824)*IF(AND(Painel_diario!$H2821="ED_JU",Painel_diario!$J2821=1),EXP(Painel_diario!$L2821),1)-1</f>
        <v/>
      </c>
    </row>
    <row r="2826">
      <c r="A2826" s="25" t="n">
        <v>42983</v>
      </c>
      <c r="B2826" s="22">
        <f>(1+B2825)*IF(AND(Painel_diario!$H2822="EU_JD",Painel_diario!$J2822=1),EXP(Painel_diario!$L2822),1)-1</f>
        <v/>
      </c>
      <c r="C2826" s="22">
        <f>(1+C2825)*IF(AND(Painel_diario!$H2822="EU_JU",Painel_diario!$J2822=1),EXP(Painel_diario!$L2822),1)-1</f>
        <v/>
      </c>
      <c r="D2826" s="22">
        <f>(1+D2825)*IF(AND(Painel_diario!$H2822="ED_JD",Painel_diario!$J2822=1),EXP(Painel_diario!$L2822),1)-1</f>
        <v/>
      </c>
      <c r="E2826" s="22">
        <f>(1+E2825)*IF(AND(Painel_diario!$H2822="ED_JU",Painel_diario!$J2822=1),EXP(Painel_diario!$L2822),1)-1</f>
        <v/>
      </c>
    </row>
    <row r="2827">
      <c r="A2827" s="25" t="n">
        <v>42984</v>
      </c>
      <c r="B2827" s="22">
        <f>(1+B2826)*IF(AND(Painel_diario!$H2823="EU_JD",Painel_diario!$J2823=1),EXP(Painel_diario!$L2823),1)-1</f>
        <v/>
      </c>
      <c r="C2827" s="22">
        <f>(1+C2826)*IF(AND(Painel_diario!$H2823="EU_JU",Painel_diario!$J2823=1),EXP(Painel_diario!$L2823),1)-1</f>
        <v/>
      </c>
      <c r="D2827" s="22">
        <f>(1+D2826)*IF(AND(Painel_diario!$H2823="ED_JD",Painel_diario!$J2823=1),EXP(Painel_diario!$L2823),1)-1</f>
        <v/>
      </c>
      <c r="E2827" s="22">
        <f>(1+E2826)*IF(AND(Painel_diario!$H2823="ED_JU",Painel_diario!$J2823=1),EXP(Painel_diario!$L2823),1)-1</f>
        <v/>
      </c>
    </row>
    <row r="2828">
      <c r="A2828" s="25" t="n">
        <v>42986</v>
      </c>
      <c r="B2828" s="22">
        <f>(1+B2827)*IF(AND(Painel_diario!$H2824="EU_JD",Painel_diario!$J2824=1),EXP(Painel_diario!$L2824),1)-1</f>
        <v/>
      </c>
      <c r="C2828" s="22">
        <f>(1+C2827)*IF(AND(Painel_diario!$H2824="EU_JU",Painel_diario!$J2824=1),EXP(Painel_diario!$L2824),1)-1</f>
        <v/>
      </c>
      <c r="D2828" s="22">
        <f>(1+D2827)*IF(AND(Painel_diario!$H2824="ED_JD",Painel_diario!$J2824=1),EXP(Painel_diario!$L2824),1)-1</f>
        <v/>
      </c>
      <c r="E2828" s="22">
        <f>(1+E2827)*IF(AND(Painel_diario!$H2824="ED_JU",Painel_diario!$J2824=1),EXP(Painel_diario!$L2824),1)-1</f>
        <v/>
      </c>
    </row>
    <row r="2829">
      <c r="A2829" s="25" t="n">
        <v>42989</v>
      </c>
      <c r="B2829" s="22">
        <f>(1+B2828)*IF(AND(Painel_diario!$H2825="EU_JD",Painel_diario!$J2825=1),EXP(Painel_diario!$L2825),1)-1</f>
        <v/>
      </c>
      <c r="C2829" s="22">
        <f>(1+C2828)*IF(AND(Painel_diario!$H2825="EU_JU",Painel_diario!$J2825=1),EXP(Painel_diario!$L2825),1)-1</f>
        <v/>
      </c>
      <c r="D2829" s="22">
        <f>(1+D2828)*IF(AND(Painel_diario!$H2825="ED_JD",Painel_diario!$J2825=1),EXP(Painel_diario!$L2825),1)-1</f>
        <v/>
      </c>
      <c r="E2829" s="22">
        <f>(1+E2828)*IF(AND(Painel_diario!$H2825="ED_JU",Painel_diario!$J2825=1),EXP(Painel_diario!$L2825),1)-1</f>
        <v/>
      </c>
    </row>
    <row r="2830">
      <c r="A2830" s="25" t="n">
        <v>42990</v>
      </c>
      <c r="B2830" s="22">
        <f>(1+B2829)*IF(AND(Painel_diario!$H2826="EU_JD",Painel_diario!$J2826=1),EXP(Painel_diario!$L2826),1)-1</f>
        <v/>
      </c>
      <c r="C2830" s="22">
        <f>(1+C2829)*IF(AND(Painel_diario!$H2826="EU_JU",Painel_diario!$J2826=1),EXP(Painel_diario!$L2826),1)-1</f>
        <v/>
      </c>
      <c r="D2830" s="22">
        <f>(1+D2829)*IF(AND(Painel_diario!$H2826="ED_JD",Painel_diario!$J2826=1),EXP(Painel_diario!$L2826),1)-1</f>
        <v/>
      </c>
      <c r="E2830" s="22">
        <f>(1+E2829)*IF(AND(Painel_diario!$H2826="ED_JU",Painel_diario!$J2826=1),EXP(Painel_diario!$L2826),1)-1</f>
        <v/>
      </c>
    </row>
    <row r="2831">
      <c r="A2831" s="25" t="n">
        <v>42991</v>
      </c>
      <c r="B2831" s="22">
        <f>(1+B2830)*IF(AND(Painel_diario!$H2827="EU_JD",Painel_diario!$J2827=1),EXP(Painel_diario!$L2827),1)-1</f>
        <v/>
      </c>
      <c r="C2831" s="22">
        <f>(1+C2830)*IF(AND(Painel_diario!$H2827="EU_JU",Painel_diario!$J2827=1),EXP(Painel_diario!$L2827),1)-1</f>
        <v/>
      </c>
      <c r="D2831" s="22">
        <f>(1+D2830)*IF(AND(Painel_diario!$H2827="ED_JD",Painel_diario!$J2827=1),EXP(Painel_diario!$L2827),1)-1</f>
        <v/>
      </c>
      <c r="E2831" s="22">
        <f>(1+E2830)*IF(AND(Painel_diario!$H2827="ED_JU",Painel_diario!$J2827=1),EXP(Painel_diario!$L2827),1)-1</f>
        <v/>
      </c>
    </row>
    <row r="2832">
      <c r="A2832" s="25" t="n">
        <v>42992</v>
      </c>
      <c r="B2832" s="22">
        <f>(1+B2831)*IF(AND(Painel_diario!$H2828="EU_JD",Painel_diario!$J2828=1),EXP(Painel_diario!$L2828),1)-1</f>
        <v/>
      </c>
      <c r="C2832" s="22">
        <f>(1+C2831)*IF(AND(Painel_diario!$H2828="EU_JU",Painel_diario!$J2828=1),EXP(Painel_diario!$L2828),1)-1</f>
        <v/>
      </c>
      <c r="D2832" s="22">
        <f>(1+D2831)*IF(AND(Painel_diario!$H2828="ED_JD",Painel_diario!$J2828=1),EXP(Painel_diario!$L2828),1)-1</f>
        <v/>
      </c>
      <c r="E2832" s="22">
        <f>(1+E2831)*IF(AND(Painel_diario!$H2828="ED_JU",Painel_diario!$J2828=1),EXP(Painel_diario!$L2828),1)-1</f>
        <v/>
      </c>
    </row>
    <row r="2833">
      <c r="A2833" s="25" t="n">
        <v>42993</v>
      </c>
      <c r="B2833" s="22">
        <f>(1+B2832)*IF(AND(Painel_diario!$H2829="EU_JD",Painel_diario!$J2829=1),EXP(Painel_diario!$L2829),1)-1</f>
        <v/>
      </c>
      <c r="C2833" s="22">
        <f>(1+C2832)*IF(AND(Painel_diario!$H2829="EU_JU",Painel_diario!$J2829=1),EXP(Painel_diario!$L2829),1)-1</f>
        <v/>
      </c>
      <c r="D2833" s="22">
        <f>(1+D2832)*IF(AND(Painel_diario!$H2829="ED_JD",Painel_diario!$J2829=1),EXP(Painel_diario!$L2829),1)-1</f>
        <v/>
      </c>
      <c r="E2833" s="22">
        <f>(1+E2832)*IF(AND(Painel_diario!$H2829="ED_JU",Painel_diario!$J2829=1),EXP(Painel_diario!$L2829),1)-1</f>
        <v/>
      </c>
    </row>
    <row r="2834">
      <c r="A2834" s="25" t="n">
        <v>42996</v>
      </c>
      <c r="B2834" s="22">
        <f>(1+B2833)*IF(AND(Painel_diario!$H2830="EU_JD",Painel_diario!$J2830=1),EXP(Painel_diario!$L2830),1)-1</f>
        <v/>
      </c>
      <c r="C2834" s="22">
        <f>(1+C2833)*IF(AND(Painel_diario!$H2830="EU_JU",Painel_diario!$J2830=1),EXP(Painel_diario!$L2830),1)-1</f>
        <v/>
      </c>
      <c r="D2834" s="22">
        <f>(1+D2833)*IF(AND(Painel_diario!$H2830="ED_JD",Painel_diario!$J2830=1),EXP(Painel_diario!$L2830),1)-1</f>
        <v/>
      </c>
      <c r="E2834" s="22">
        <f>(1+E2833)*IF(AND(Painel_diario!$H2830="ED_JU",Painel_diario!$J2830=1),EXP(Painel_diario!$L2830),1)-1</f>
        <v/>
      </c>
    </row>
    <row r="2835">
      <c r="A2835" s="25" t="n">
        <v>42997</v>
      </c>
      <c r="B2835" s="22">
        <f>(1+B2834)*IF(AND(Painel_diario!$H2831="EU_JD",Painel_diario!$J2831=1),EXP(Painel_diario!$L2831),1)-1</f>
        <v/>
      </c>
      <c r="C2835" s="22">
        <f>(1+C2834)*IF(AND(Painel_diario!$H2831="EU_JU",Painel_diario!$J2831=1),EXP(Painel_diario!$L2831),1)-1</f>
        <v/>
      </c>
      <c r="D2835" s="22">
        <f>(1+D2834)*IF(AND(Painel_diario!$H2831="ED_JD",Painel_diario!$J2831=1),EXP(Painel_diario!$L2831),1)-1</f>
        <v/>
      </c>
      <c r="E2835" s="22">
        <f>(1+E2834)*IF(AND(Painel_diario!$H2831="ED_JU",Painel_diario!$J2831=1),EXP(Painel_diario!$L2831),1)-1</f>
        <v/>
      </c>
    </row>
    <row r="2836">
      <c r="A2836" s="25" t="n">
        <v>42998</v>
      </c>
      <c r="B2836" s="22">
        <f>(1+B2835)*IF(AND(Painel_diario!$H2832="EU_JD",Painel_diario!$J2832=1),EXP(Painel_diario!$L2832),1)-1</f>
        <v/>
      </c>
      <c r="C2836" s="22">
        <f>(1+C2835)*IF(AND(Painel_diario!$H2832="EU_JU",Painel_diario!$J2832=1),EXP(Painel_diario!$L2832),1)-1</f>
        <v/>
      </c>
      <c r="D2836" s="22">
        <f>(1+D2835)*IF(AND(Painel_diario!$H2832="ED_JD",Painel_diario!$J2832=1),EXP(Painel_diario!$L2832),1)-1</f>
        <v/>
      </c>
      <c r="E2836" s="22">
        <f>(1+E2835)*IF(AND(Painel_diario!$H2832="ED_JU",Painel_diario!$J2832=1),EXP(Painel_diario!$L2832),1)-1</f>
        <v/>
      </c>
    </row>
    <row r="2837">
      <c r="A2837" s="25" t="n">
        <v>42999</v>
      </c>
      <c r="B2837" s="22">
        <f>(1+B2836)*IF(AND(Painel_diario!$H2833="EU_JD",Painel_diario!$J2833=1),EXP(Painel_diario!$L2833),1)-1</f>
        <v/>
      </c>
      <c r="C2837" s="22">
        <f>(1+C2836)*IF(AND(Painel_diario!$H2833="EU_JU",Painel_diario!$J2833=1),EXP(Painel_diario!$L2833),1)-1</f>
        <v/>
      </c>
      <c r="D2837" s="22">
        <f>(1+D2836)*IF(AND(Painel_diario!$H2833="ED_JD",Painel_diario!$J2833=1),EXP(Painel_diario!$L2833),1)-1</f>
        <v/>
      </c>
      <c r="E2837" s="22">
        <f>(1+E2836)*IF(AND(Painel_diario!$H2833="ED_JU",Painel_diario!$J2833=1),EXP(Painel_diario!$L2833),1)-1</f>
        <v/>
      </c>
    </row>
    <row r="2838">
      <c r="A2838" s="25" t="n">
        <v>43000</v>
      </c>
      <c r="B2838" s="22">
        <f>(1+B2837)*IF(AND(Painel_diario!$H2834="EU_JD",Painel_diario!$J2834=1),EXP(Painel_diario!$L2834),1)-1</f>
        <v/>
      </c>
      <c r="C2838" s="22">
        <f>(1+C2837)*IF(AND(Painel_diario!$H2834="EU_JU",Painel_diario!$J2834=1),EXP(Painel_diario!$L2834),1)-1</f>
        <v/>
      </c>
      <c r="D2838" s="22">
        <f>(1+D2837)*IF(AND(Painel_diario!$H2834="ED_JD",Painel_diario!$J2834=1),EXP(Painel_diario!$L2834),1)-1</f>
        <v/>
      </c>
      <c r="E2838" s="22">
        <f>(1+E2837)*IF(AND(Painel_diario!$H2834="ED_JU",Painel_diario!$J2834=1),EXP(Painel_diario!$L2834),1)-1</f>
        <v/>
      </c>
    </row>
    <row r="2839">
      <c r="A2839" s="25" t="n">
        <v>43003</v>
      </c>
      <c r="B2839" s="22">
        <f>(1+B2838)*IF(AND(Painel_diario!$H2835="EU_JD",Painel_diario!$J2835=1),EXP(Painel_diario!$L2835),1)-1</f>
        <v/>
      </c>
      <c r="C2839" s="22">
        <f>(1+C2838)*IF(AND(Painel_diario!$H2835="EU_JU",Painel_diario!$J2835=1),EXP(Painel_diario!$L2835),1)-1</f>
        <v/>
      </c>
      <c r="D2839" s="22">
        <f>(1+D2838)*IF(AND(Painel_diario!$H2835="ED_JD",Painel_diario!$J2835=1),EXP(Painel_diario!$L2835),1)-1</f>
        <v/>
      </c>
      <c r="E2839" s="22">
        <f>(1+E2838)*IF(AND(Painel_diario!$H2835="ED_JU",Painel_diario!$J2835=1),EXP(Painel_diario!$L2835),1)-1</f>
        <v/>
      </c>
    </row>
    <row r="2840">
      <c r="A2840" s="25" t="n">
        <v>43004</v>
      </c>
      <c r="B2840" s="22">
        <f>(1+B2839)*IF(AND(Painel_diario!$H2836="EU_JD",Painel_diario!$J2836=1),EXP(Painel_diario!$L2836),1)-1</f>
        <v/>
      </c>
      <c r="C2840" s="22">
        <f>(1+C2839)*IF(AND(Painel_diario!$H2836="EU_JU",Painel_diario!$J2836=1),EXP(Painel_diario!$L2836),1)-1</f>
        <v/>
      </c>
      <c r="D2840" s="22">
        <f>(1+D2839)*IF(AND(Painel_diario!$H2836="ED_JD",Painel_diario!$J2836=1),EXP(Painel_diario!$L2836),1)-1</f>
        <v/>
      </c>
      <c r="E2840" s="22">
        <f>(1+E2839)*IF(AND(Painel_diario!$H2836="ED_JU",Painel_diario!$J2836=1),EXP(Painel_diario!$L2836),1)-1</f>
        <v/>
      </c>
    </row>
    <row r="2841">
      <c r="A2841" s="25" t="n">
        <v>43005</v>
      </c>
      <c r="B2841" s="22">
        <f>(1+B2840)*IF(AND(Painel_diario!$H2837="EU_JD",Painel_diario!$J2837=1),EXP(Painel_diario!$L2837),1)-1</f>
        <v/>
      </c>
      <c r="C2841" s="22">
        <f>(1+C2840)*IF(AND(Painel_diario!$H2837="EU_JU",Painel_diario!$J2837=1),EXP(Painel_diario!$L2837),1)-1</f>
        <v/>
      </c>
      <c r="D2841" s="22">
        <f>(1+D2840)*IF(AND(Painel_diario!$H2837="ED_JD",Painel_diario!$J2837=1),EXP(Painel_diario!$L2837),1)-1</f>
        <v/>
      </c>
      <c r="E2841" s="22">
        <f>(1+E2840)*IF(AND(Painel_diario!$H2837="ED_JU",Painel_diario!$J2837=1),EXP(Painel_diario!$L2837),1)-1</f>
        <v/>
      </c>
    </row>
    <row r="2842">
      <c r="A2842" s="25" t="n">
        <v>43006</v>
      </c>
      <c r="B2842" s="22">
        <f>(1+B2841)*IF(AND(Painel_diario!$H2838="EU_JD",Painel_diario!$J2838=1),EXP(Painel_diario!$L2838),1)-1</f>
        <v/>
      </c>
      <c r="C2842" s="22">
        <f>(1+C2841)*IF(AND(Painel_diario!$H2838="EU_JU",Painel_diario!$J2838=1),EXP(Painel_diario!$L2838),1)-1</f>
        <v/>
      </c>
      <c r="D2842" s="22">
        <f>(1+D2841)*IF(AND(Painel_diario!$H2838="ED_JD",Painel_diario!$J2838=1),EXP(Painel_diario!$L2838),1)-1</f>
        <v/>
      </c>
      <c r="E2842" s="22">
        <f>(1+E2841)*IF(AND(Painel_diario!$H2838="ED_JU",Painel_diario!$J2838=1),EXP(Painel_diario!$L2838),1)-1</f>
        <v/>
      </c>
    </row>
    <row r="2843">
      <c r="A2843" s="25" t="n">
        <v>43007</v>
      </c>
      <c r="B2843" s="22">
        <f>(1+B2842)*IF(AND(Painel_diario!$H2839="EU_JD",Painel_diario!$J2839=1),EXP(Painel_diario!$L2839),1)-1</f>
        <v/>
      </c>
      <c r="C2843" s="22">
        <f>(1+C2842)*IF(AND(Painel_diario!$H2839="EU_JU",Painel_diario!$J2839=1),EXP(Painel_diario!$L2839),1)-1</f>
        <v/>
      </c>
      <c r="D2843" s="22">
        <f>(1+D2842)*IF(AND(Painel_diario!$H2839="ED_JD",Painel_diario!$J2839=1),EXP(Painel_diario!$L2839),1)-1</f>
        <v/>
      </c>
      <c r="E2843" s="22">
        <f>(1+E2842)*IF(AND(Painel_diario!$H2839="ED_JU",Painel_diario!$J2839=1),EXP(Painel_diario!$L2839),1)-1</f>
        <v/>
      </c>
    </row>
    <row r="2844">
      <c r="A2844" s="25" t="n">
        <v>43010</v>
      </c>
      <c r="B2844" s="22">
        <f>(1+B2843)*IF(AND(Painel_diario!$H2840="EU_JD",Painel_diario!$J2840=1),EXP(Painel_diario!$L2840),1)-1</f>
        <v/>
      </c>
      <c r="C2844" s="22">
        <f>(1+C2843)*IF(AND(Painel_diario!$H2840="EU_JU",Painel_diario!$J2840=1),EXP(Painel_diario!$L2840),1)-1</f>
        <v/>
      </c>
      <c r="D2844" s="22">
        <f>(1+D2843)*IF(AND(Painel_diario!$H2840="ED_JD",Painel_diario!$J2840=1),EXP(Painel_diario!$L2840),1)-1</f>
        <v/>
      </c>
      <c r="E2844" s="22">
        <f>(1+E2843)*IF(AND(Painel_diario!$H2840="ED_JU",Painel_diario!$J2840=1),EXP(Painel_diario!$L2840),1)-1</f>
        <v/>
      </c>
    </row>
    <row r="2845">
      <c r="A2845" s="25" t="n">
        <v>43011</v>
      </c>
      <c r="B2845" s="22">
        <f>(1+B2844)*IF(AND(Painel_diario!$H2841="EU_JD",Painel_diario!$J2841=1),EXP(Painel_diario!$L2841),1)-1</f>
        <v/>
      </c>
      <c r="C2845" s="22">
        <f>(1+C2844)*IF(AND(Painel_diario!$H2841="EU_JU",Painel_diario!$J2841=1),EXP(Painel_diario!$L2841),1)-1</f>
        <v/>
      </c>
      <c r="D2845" s="22">
        <f>(1+D2844)*IF(AND(Painel_diario!$H2841="ED_JD",Painel_diario!$J2841=1),EXP(Painel_diario!$L2841),1)-1</f>
        <v/>
      </c>
      <c r="E2845" s="22">
        <f>(1+E2844)*IF(AND(Painel_diario!$H2841="ED_JU",Painel_diario!$J2841=1),EXP(Painel_diario!$L2841),1)-1</f>
        <v/>
      </c>
    </row>
    <row r="2846">
      <c r="A2846" s="25" t="n">
        <v>43012</v>
      </c>
      <c r="B2846" s="22">
        <f>(1+B2845)*IF(AND(Painel_diario!$H2842="EU_JD",Painel_diario!$J2842=1),EXP(Painel_diario!$L2842),1)-1</f>
        <v/>
      </c>
      <c r="C2846" s="22">
        <f>(1+C2845)*IF(AND(Painel_diario!$H2842="EU_JU",Painel_diario!$J2842=1),EXP(Painel_diario!$L2842),1)-1</f>
        <v/>
      </c>
      <c r="D2846" s="22">
        <f>(1+D2845)*IF(AND(Painel_diario!$H2842="ED_JD",Painel_diario!$J2842=1),EXP(Painel_diario!$L2842),1)-1</f>
        <v/>
      </c>
      <c r="E2846" s="22">
        <f>(1+E2845)*IF(AND(Painel_diario!$H2842="ED_JU",Painel_diario!$J2842=1),EXP(Painel_diario!$L2842),1)-1</f>
        <v/>
      </c>
    </row>
    <row r="2847">
      <c r="A2847" s="25" t="n">
        <v>43013</v>
      </c>
      <c r="B2847" s="22">
        <f>(1+B2846)*IF(AND(Painel_diario!$H2843="EU_JD",Painel_diario!$J2843=1),EXP(Painel_diario!$L2843),1)-1</f>
        <v/>
      </c>
      <c r="C2847" s="22">
        <f>(1+C2846)*IF(AND(Painel_diario!$H2843="EU_JU",Painel_diario!$J2843=1),EXP(Painel_diario!$L2843),1)-1</f>
        <v/>
      </c>
      <c r="D2847" s="22">
        <f>(1+D2846)*IF(AND(Painel_diario!$H2843="ED_JD",Painel_diario!$J2843=1),EXP(Painel_diario!$L2843),1)-1</f>
        <v/>
      </c>
      <c r="E2847" s="22">
        <f>(1+E2846)*IF(AND(Painel_diario!$H2843="ED_JU",Painel_diario!$J2843=1),EXP(Painel_diario!$L2843),1)-1</f>
        <v/>
      </c>
    </row>
    <row r="2848">
      <c r="A2848" s="25" t="n">
        <v>43014</v>
      </c>
      <c r="B2848" s="22">
        <f>(1+B2847)*IF(AND(Painel_diario!$H2844="EU_JD",Painel_diario!$J2844=1),EXP(Painel_diario!$L2844),1)-1</f>
        <v/>
      </c>
      <c r="C2848" s="22">
        <f>(1+C2847)*IF(AND(Painel_diario!$H2844="EU_JU",Painel_diario!$J2844=1),EXP(Painel_diario!$L2844),1)-1</f>
        <v/>
      </c>
      <c r="D2848" s="22">
        <f>(1+D2847)*IF(AND(Painel_diario!$H2844="ED_JD",Painel_diario!$J2844=1),EXP(Painel_diario!$L2844),1)-1</f>
        <v/>
      </c>
      <c r="E2848" s="22">
        <f>(1+E2847)*IF(AND(Painel_diario!$H2844="ED_JU",Painel_diario!$J2844=1),EXP(Painel_diario!$L2844),1)-1</f>
        <v/>
      </c>
    </row>
    <row r="2849">
      <c r="A2849" s="25" t="n">
        <v>43017</v>
      </c>
      <c r="B2849" s="22">
        <f>(1+B2848)*IF(AND(Painel_diario!$H2845="EU_JD",Painel_diario!$J2845=1),EXP(Painel_diario!$L2845),1)-1</f>
        <v/>
      </c>
      <c r="C2849" s="22">
        <f>(1+C2848)*IF(AND(Painel_diario!$H2845="EU_JU",Painel_diario!$J2845=1),EXP(Painel_diario!$L2845),1)-1</f>
        <v/>
      </c>
      <c r="D2849" s="22">
        <f>(1+D2848)*IF(AND(Painel_diario!$H2845="ED_JD",Painel_diario!$J2845=1),EXP(Painel_diario!$L2845),1)-1</f>
        <v/>
      </c>
      <c r="E2849" s="22">
        <f>(1+E2848)*IF(AND(Painel_diario!$H2845="ED_JU",Painel_diario!$J2845=1),EXP(Painel_diario!$L2845),1)-1</f>
        <v/>
      </c>
    </row>
    <row r="2850">
      <c r="A2850" s="25" t="n">
        <v>43018</v>
      </c>
      <c r="B2850" s="22">
        <f>(1+B2849)*IF(AND(Painel_diario!$H2846="EU_JD",Painel_diario!$J2846=1),EXP(Painel_diario!$L2846),1)-1</f>
        <v/>
      </c>
      <c r="C2850" s="22">
        <f>(1+C2849)*IF(AND(Painel_diario!$H2846="EU_JU",Painel_diario!$J2846=1),EXP(Painel_diario!$L2846),1)-1</f>
        <v/>
      </c>
      <c r="D2850" s="22">
        <f>(1+D2849)*IF(AND(Painel_diario!$H2846="ED_JD",Painel_diario!$J2846=1),EXP(Painel_diario!$L2846),1)-1</f>
        <v/>
      </c>
      <c r="E2850" s="22">
        <f>(1+E2849)*IF(AND(Painel_diario!$H2846="ED_JU",Painel_diario!$J2846=1),EXP(Painel_diario!$L2846),1)-1</f>
        <v/>
      </c>
    </row>
    <row r="2851">
      <c r="A2851" s="25" t="n">
        <v>43019</v>
      </c>
      <c r="B2851" s="22">
        <f>(1+B2850)*IF(AND(Painel_diario!$H2847="EU_JD",Painel_diario!$J2847=1),EXP(Painel_diario!$L2847),1)-1</f>
        <v/>
      </c>
      <c r="C2851" s="22">
        <f>(1+C2850)*IF(AND(Painel_diario!$H2847="EU_JU",Painel_diario!$J2847=1),EXP(Painel_diario!$L2847),1)-1</f>
        <v/>
      </c>
      <c r="D2851" s="22">
        <f>(1+D2850)*IF(AND(Painel_diario!$H2847="ED_JD",Painel_diario!$J2847=1),EXP(Painel_diario!$L2847),1)-1</f>
        <v/>
      </c>
      <c r="E2851" s="22">
        <f>(1+E2850)*IF(AND(Painel_diario!$H2847="ED_JU",Painel_diario!$J2847=1),EXP(Painel_diario!$L2847),1)-1</f>
        <v/>
      </c>
    </row>
    <row r="2852">
      <c r="A2852" s="25" t="n">
        <v>43021</v>
      </c>
      <c r="B2852" s="22">
        <f>(1+B2851)*IF(AND(Painel_diario!$H2848="EU_JD",Painel_diario!$J2848=1),EXP(Painel_diario!$L2848),1)-1</f>
        <v/>
      </c>
      <c r="C2852" s="22">
        <f>(1+C2851)*IF(AND(Painel_diario!$H2848="EU_JU",Painel_diario!$J2848=1),EXP(Painel_diario!$L2848),1)-1</f>
        <v/>
      </c>
      <c r="D2852" s="22">
        <f>(1+D2851)*IF(AND(Painel_diario!$H2848="ED_JD",Painel_diario!$J2848=1),EXP(Painel_diario!$L2848),1)-1</f>
        <v/>
      </c>
      <c r="E2852" s="22">
        <f>(1+E2851)*IF(AND(Painel_diario!$H2848="ED_JU",Painel_diario!$J2848=1),EXP(Painel_diario!$L2848),1)-1</f>
        <v/>
      </c>
    </row>
    <row r="2853">
      <c r="A2853" s="25" t="n">
        <v>43024</v>
      </c>
      <c r="B2853" s="22">
        <f>(1+B2852)*IF(AND(Painel_diario!$H2849="EU_JD",Painel_diario!$J2849=1),EXP(Painel_diario!$L2849),1)-1</f>
        <v/>
      </c>
      <c r="C2853" s="22">
        <f>(1+C2852)*IF(AND(Painel_diario!$H2849="EU_JU",Painel_diario!$J2849=1),EXP(Painel_diario!$L2849),1)-1</f>
        <v/>
      </c>
      <c r="D2853" s="22">
        <f>(1+D2852)*IF(AND(Painel_diario!$H2849="ED_JD",Painel_diario!$J2849=1),EXP(Painel_diario!$L2849),1)-1</f>
        <v/>
      </c>
      <c r="E2853" s="22">
        <f>(1+E2852)*IF(AND(Painel_diario!$H2849="ED_JU",Painel_diario!$J2849=1),EXP(Painel_diario!$L2849),1)-1</f>
        <v/>
      </c>
    </row>
    <row r="2854">
      <c r="A2854" s="25" t="n">
        <v>43025</v>
      </c>
      <c r="B2854" s="22">
        <f>(1+B2853)*IF(AND(Painel_diario!$H2850="EU_JD",Painel_diario!$J2850=1),EXP(Painel_diario!$L2850),1)-1</f>
        <v/>
      </c>
      <c r="C2854" s="22">
        <f>(1+C2853)*IF(AND(Painel_diario!$H2850="EU_JU",Painel_diario!$J2850=1),EXP(Painel_diario!$L2850),1)-1</f>
        <v/>
      </c>
      <c r="D2854" s="22">
        <f>(1+D2853)*IF(AND(Painel_diario!$H2850="ED_JD",Painel_diario!$J2850=1),EXP(Painel_diario!$L2850),1)-1</f>
        <v/>
      </c>
      <c r="E2854" s="22">
        <f>(1+E2853)*IF(AND(Painel_diario!$H2850="ED_JU",Painel_diario!$J2850=1),EXP(Painel_diario!$L2850),1)-1</f>
        <v/>
      </c>
    </row>
    <row r="2855">
      <c r="A2855" s="25" t="n">
        <v>43026</v>
      </c>
      <c r="B2855" s="22">
        <f>(1+B2854)*IF(AND(Painel_diario!$H2851="EU_JD",Painel_diario!$J2851=1),EXP(Painel_diario!$L2851),1)-1</f>
        <v/>
      </c>
      <c r="C2855" s="22">
        <f>(1+C2854)*IF(AND(Painel_diario!$H2851="EU_JU",Painel_diario!$J2851=1),EXP(Painel_diario!$L2851),1)-1</f>
        <v/>
      </c>
      <c r="D2855" s="22">
        <f>(1+D2854)*IF(AND(Painel_diario!$H2851="ED_JD",Painel_diario!$J2851=1),EXP(Painel_diario!$L2851),1)-1</f>
        <v/>
      </c>
      <c r="E2855" s="22">
        <f>(1+E2854)*IF(AND(Painel_diario!$H2851="ED_JU",Painel_diario!$J2851=1),EXP(Painel_diario!$L2851),1)-1</f>
        <v/>
      </c>
    </row>
    <row r="2856">
      <c r="A2856" s="25" t="n">
        <v>43027</v>
      </c>
      <c r="B2856" s="22">
        <f>(1+B2855)*IF(AND(Painel_diario!$H2852="EU_JD",Painel_diario!$J2852=1),EXP(Painel_diario!$L2852),1)-1</f>
        <v/>
      </c>
      <c r="C2856" s="22">
        <f>(1+C2855)*IF(AND(Painel_diario!$H2852="EU_JU",Painel_diario!$J2852=1),EXP(Painel_diario!$L2852),1)-1</f>
        <v/>
      </c>
      <c r="D2856" s="22">
        <f>(1+D2855)*IF(AND(Painel_diario!$H2852="ED_JD",Painel_diario!$J2852=1),EXP(Painel_diario!$L2852),1)-1</f>
        <v/>
      </c>
      <c r="E2856" s="22">
        <f>(1+E2855)*IF(AND(Painel_diario!$H2852="ED_JU",Painel_diario!$J2852=1),EXP(Painel_diario!$L2852),1)-1</f>
        <v/>
      </c>
    </row>
    <row r="2857">
      <c r="A2857" s="25" t="n">
        <v>43028</v>
      </c>
      <c r="B2857" s="22">
        <f>(1+B2856)*IF(AND(Painel_diario!$H2853="EU_JD",Painel_diario!$J2853=1),EXP(Painel_diario!$L2853),1)-1</f>
        <v/>
      </c>
      <c r="C2857" s="22">
        <f>(1+C2856)*IF(AND(Painel_diario!$H2853="EU_JU",Painel_diario!$J2853=1),EXP(Painel_diario!$L2853),1)-1</f>
        <v/>
      </c>
      <c r="D2857" s="22">
        <f>(1+D2856)*IF(AND(Painel_diario!$H2853="ED_JD",Painel_diario!$J2853=1),EXP(Painel_diario!$L2853),1)-1</f>
        <v/>
      </c>
      <c r="E2857" s="22">
        <f>(1+E2856)*IF(AND(Painel_diario!$H2853="ED_JU",Painel_diario!$J2853=1),EXP(Painel_diario!$L2853),1)-1</f>
        <v/>
      </c>
    </row>
    <row r="2858">
      <c r="A2858" s="25" t="n">
        <v>43031</v>
      </c>
      <c r="B2858" s="22">
        <f>(1+B2857)*IF(AND(Painel_diario!$H2854="EU_JD",Painel_diario!$J2854=1),EXP(Painel_diario!$L2854),1)-1</f>
        <v/>
      </c>
      <c r="C2858" s="22">
        <f>(1+C2857)*IF(AND(Painel_diario!$H2854="EU_JU",Painel_diario!$J2854=1),EXP(Painel_diario!$L2854),1)-1</f>
        <v/>
      </c>
      <c r="D2858" s="22">
        <f>(1+D2857)*IF(AND(Painel_diario!$H2854="ED_JD",Painel_diario!$J2854=1),EXP(Painel_diario!$L2854),1)-1</f>
        <v/>
      </c>
      <c r="E2858" s="22">
        <f>(1+E2857)*IF(AND(Painel_diario!$H2854="ED_JU",Painel_diario!$J2854=1),EXP(Painel_diario!$L2854),1)-1</f>
        <v/>
      </c>
    </row>
    <row r="2859">
      <c r="A2859" s="25" t="n">
        <v>43032</v>
      </c>
      <c r="B2859" s="22">
        <f>(1+B2858)*IF(AND(Painel_diario!$H2855="EU_JD",Painel_diario!$J2855=1),EXP(Painel_diario!$L2855),1)-1</f>
        <v/>
      </c>
      <c r="C2859" s="22">
        <f>(1+C2858)*IF(AND(Painel_diario!$H2855="EU_JU",Painel_diario!$J2855=1),EXP(Painel_diario!$L2855),1)-1</f>
        <v/>
      </c>
      <c r="D2859" s="22">
        <f>(1+D2858)*IF(AND(Painel_diario!$H2855="ED_JD",Painel_diario!$J2855=1),EXP(Painel_diario!$L2855),1)-1</f>
        <v/>
      </c>
      <c r="E2859" s="22">
        <f>(1+E2858)*IF(AND(Painel_diario!$H2855="ED_JU",Painel_diario!$J2855=1),EXP(Painel_diario!$L2855),1)-1</f>
        <v/>
      </c>
    </row>
    <row r="2860">
      <c r="A2860" s="25" t="n">
        <v>43033</v>
      </c>
      <c r="B2860" s="22">
        <f>(1+B2859)*IF(AND(Painel_diario!$H2856="EU_JD",Painel_diario!$J2856=1),EXP(Painel_diario!$L2856),1)-1</f>
        <v/>
      </c>
      <c r="C2860" s="22">
        <f>(1+C2859)*IF(AND(Painel_diario!$H2856="EU_JU",Painel_diario!$J2856=1),EXP(Painel_diario!$L2856),1)-1</f>
        <v/>
      </c>
      <c r="D2860" s="22">
        <f>(1+D2859)*IF(AND(Painel_diario!$H2856="ED_JD",Painel_diario!$J2856=1),EXP(Painel_diario!$L2856),1)-1</f>
        <v/>
      </c>
      <c r="E2860" s="22">
        <f>(1+E2859)*IF(AND(Painel_diario!$H2856="ED_JU",Painel_diario!$J2856=1),EXP(Painel_diario!$L2856),1)-1</f>
        <v/>
      </c>
    </row>
    <row r="2861">
      <c r="A2861" s="25" t="n">
        <v>43034</v>
      </c>
      <c r="B2861" s="22">
        <f>(1+B2860)*IF(AND(Painel_diario!$H2857="EU_JD",Painel_diario!$J2857=1),EXP(Painel_diario!$L2857),1)-1</f>
        <v/>
      </c>
      <c r="C2861" s="22">
        <f>(1+C2860)*IF(AND(Painel_diario!$H2857="EU_JU",Painel_diario!$J2857=1),EXP(Painel_diario!$L2857),1)-1</f>
        <v/>
      </c>
      <c r="D2861" s="22">
        <f>(1+D2860)*IF(AND(Painel_diario!$H2857="ED_JD",Painel_diario!$J2857=1),EXP(Painel_diario!$L2857),1)-1</f>
        <v/>
      </c>
      <c r="E2861" s="22">
        <f>(1+E2860)*IF(AND(Painel_diario!$H2857="ED_JU",Painel_diario!$J2857=1),EXP(Painel_diario!$L2857),1)-1</f>
        <v/>
      </c>
    </row>
    <row r="2862">
      <c r="A2862" s="25" t="n">
        <v>43035</v>
      </c>
      <c r="B2862" s="22">
        <f>(1+B2861)*IF(AND(Painel_diario!$H2858="EU_JD",Painel_diario!$J2858=1),EXP(Painel_diario!$L2858),1)-1</f>
        <v/>
      </c>
      <c r="C2862" s="22">
        <f>(1+C2861)*IF(AND(Painel_diario!$H2858="EU_JU",Painel_diario!$J2858=1),EXP(Painel_diario!$L2858),1)-1</f>
        <v/>
      </c>
      <c r="D2862" s="22">
        <f>(1+D2861)*IF(AND(Painel_diario!$H2858="ED_JD",Painel_diario!$J2858=1),EXP(Painel_diario!$L2858),1)-1</f>
        <v/>
      </c>
      <c r="E2862" s="22">
        <f>(1+E2861)*IF(AND(Painel_diario!$H2858="ED_JU",Painel_diario!$J2858=1),EXP(Painel_diario!$L2858),1)-1</f>
        <v/>
      </c>
    </row>
    <row r="2863">
      <c r="A2863" s="25" t="n">
        <v>43038</v>
      </c>
      <c r="B2863" s="22">
        <f>(1+B2862)*IF(AND(Painel_diario!$H2859="EU_JD",Painel_diario!$J2859=1),EXP(Painel_diario!$L2859),1)-1</f>
        <v/>
      </c>
      <c r="C2863" s="22">
        <f>(1+C2862)*IF(AND(Painel_diario!$H2859="EU_JU",Painel_diario!$J2859=1),EXP(Painel_diario!$L2859),1)-1</f>
        <v/>
      </c>
      <c r="D2863" s="22">
        <f>(1+D2862)*IF(AND(Painel_diario!$H2859="ED_JD",Painel_diario!$J2859=1),EXP(Painel_diario!$L2859),1)-1</f>
        <v/>
      </c>
      <c r="E2863" s="22">
        <f>(1+E2862)*IF(AND(Painel_diario!$H2859="ED_JU",Painel_diario!$J2859=1),EXP(Painel_diario!$L2859),1)-1</f>
        <v/>
      </c>
    </row>
    <row r="2864">
      <c r="A2864" s="25" t="n">
        <v>43039</v>
      </c>
      <c r="B2864" s="22">
        <f>(1+B2863)*IF(AND(Painel_diario!$H2860="EU_JD",Painel_diario!$J2860=1),EXP(Painel_diario!$L2860),1)-1</f>
        <v/>
      </c>
      <c r="C2864" s="22">
        <f>(1+C2863)*IF(AND(Painel_diario!$H2860="EU_JU",Painel_diario!$J2860=1),EXP(Painel_diario!$L2860),1)-1</f>
        <v/>
      </c>
      <c r="D2864" s="22">
        <f>(1+D2863)*IF(AND(Painel_diario!$H2860="ED_JD",Painel_diario!$J2860=1),EXP(Painel_diario!$L2860),1)-1</f>
        <v/>
      </c>
      <c r="E2864" s="22">
        <f>(1+E2863)*IF(AND(Painel_diario!$H2860="ED_JU",Painel_diario!$J2860=1),EXP(Painel_diario!$L2860),1)-1</f>
        <v/>
      </c>
    </row>
    <row r="2865">
      <c r="A2865" s="25" t="n">
        <v>43040</v>
      </c>
      <c r="B2865" s="22">
        <f>(1+B2864)*IF(AND(Painel_diario!$H2861="EU_JD",Painel_diario!$J2861=1),EXP(Painel_diario!$L2861),1)-1</f>
        <v/>
      </c>
      <c r="C2865" s="22">
        <f>(1+C2864)*IF(AND(Painel_diario!$H2861="EU_JU",Painel_diario!$J2861=1),EXP(Painel_diario!$L2861),1)-1</f>
        <v/>
      </c>
      <c r="D2865" s="22">
        <f>(1+D2864)*IF(AND(Painel_diario!$H2861="ED_JD",Painel_diario!$J2861=1),EXP(Painel_diario!$L2861),1)-1</f>
        <v/>
      </c>
      <c r="E2865" s="22">
        <f>(1+E2864)*IF(AND(Painel_diario!$H2861="ED_JU",Painel_diario!$J2861=1),EXP(Painel_diario!$L2861),1)-1</f>
        <v/>
      </c>
    </row>
    <row r="2866">
      <c r="A2866" s="25" t="n">
        <v>43042</v>
      </c>
      <c r="B2866" s="22">
        <f>(1+B2865)*IF(AND(Painel_diario!$H2862="EU_JD",Painel_diario!$J2862=1),EXP(Painel_diario!$L2862),1)-1</f>
        <v/>
      </c>
      <c r="C2866" s="22">
        <f>(1+C2865)*IF(AND(Painel_diario!$H2862="EU_JU",Painel_diario!$J2862=1),EXP(Painel_diario!$L2862),1)-1</f>
        <v/>
      </c>
      <c r="D2866" s="22">
        <f>(1+D2865)*IF(AND(Painel_diario!$H2862="ED_JD",Painel_diario!$J2862=1),EXP(Painel_diario!$L2862),1)-1</f>
        <v/>
      </c>
      <c r="E2866" s="22">
        <f>(1+E2865)*IF(AND(Painel_diario!$H2862="ED_JU",Painel_diario!$J2862=1),EXP(Painel_diario!$L2862),1)-1</f>
        <v/>
      </c>
    </row>
    <row r="2867">
      <c r="A2867" s="25" t="n">
        <v>43045</v>
      </c>
      <c r="B2867" s="22">
        <f>(1+B2866)*IF(AND(Painel_diario!$H2863="EU_JD",Painel_diario!$J2863=1),EXP(Painel_diario!$L2863),1)-1</f>
        <v/>
      </c>
      <c r="C2867" s="22">
        <f>(1+C2866)*IF(AND(Painel_diario!$H2863="EU_JU",Painel_diario!$J2863=1),EXP(Painel_diario!$L2863),1)-1</f>
        <v/>
      </c>
      <c r="D2867" s="22">
        <f>(1+D2866)*IF(AND(Painel_diario!$H2863="ED_JD",Painel_diario!$J2863=1),EXP(Painel_diario!$L2863),1)-1</f>
        <v/>
      </c>
      <c r="E2867" s="22">
        <f>(1+E2866)*IF(AND(Painel_diario!$H2863="ED_JU",Painel_diario!$J2863=1),EXP(Painel_diario!$L2863),1)-1</f>
        <v/>
      </c>
    </row>
    <row r="2868">
      <c r="A2868" s="25" t="n">
        <v>43046</v>
      </c>
      <c r="B2868" s="22">
        <f>(1+B2867)*IF(AND(Painel_diario!$H2864="EU_JD",Painel_diario!$J2864=1),EXP(Painel_diario!$L2864),1)-1</f>
        <v/>
      </c>
      <c r="C2868" s="22">
        <f>(1+C2867)*IF(AND(Painel_diario!$H2864="EU_JU",Painel_diario!$J2864=1),EXP(Painel_diario!$L2864),1)-1</f>
        <v/>
      </c>
      <c r="D2868" s="22">
        <f>(1+D2867)*IF(AND(Painel_diario!$H2864="ED_JD",Painel_diario!$J2864=1),EXP(Painel_diario!$L2864),1)-1</f>
        <v/>
      </c>
      <c r="E2868" s="22">
        <f>(1+E2867)*IF(AND(Painel_diario!$H2864="ED_JU",Painel_diario!$J2864=1),EXP(Painel_diario!$L2864),1)-1</f>
        <v/>
      </c>
    </row>
    <row r="2869">
      <c r="A2869" s="25" t="n">
        <v>43047</v>
      </c>
      <c r="B2869" s="22">
        <f>(1+B2868)*IF(AND(Painel_diario!$H2865="EU_JD",Painel_diario!$J2865=1),EXP(Painel_diario!$L2865),1)-1</f>
        <v/>
      </c>
      <c r="C2869" s="22">
        <f>(1+C2868)*IF(AND(Painel_diario!$H2865="EU_JU",Painel_diario!$J2865=1),EXP(Painel_diario!$L2865),1)-1</f>
        <v/>
      </c>
      <c r="D2869" s="22">
        <f>(1+D2868)*IF(AND(Painel_diario!$H2865="ED_JD",Painel_diario!$J2865=1),EXP(Painel_diario!$L2865),1)-1</f>
        <v/>
      </c>
      <c r="E2869" s="22">
        <f>(1+E2868)*IF(AND(Painel_diario!$H2865="ED_JU",Painel_diario!$J2865=1),EXP(Painel_diario!$L2865),1)-1</f>
        <v/>
      </c>
    </row>
    <row r="2870">
      <c r="A2870" s="25" t="n">
        <v>43048</v>
      </c>
      <c r="B2870" s="22">
        <f>(1+B2869)*IF(AND(Painel_diario!$H2866="EU_JD",Painel_diario!$J2866=1),EXP(Painel_diario!$L2866),1)-1</f>
        <v/>
      </c>
      <c r="C2870" s="22">
        <f>(1+C2869)*IF(AND(Painel_diario!$H2866="EU_JU",Painel_diario!$J2866=1),EXP(Painel_diario!$L2866),1)-1</f>
        <v/>
      </c>
      <c r="D2870" s="22">
        <f>(1+D2869)*IF(AND(Painel_diario!$H2866="ED_JD",Painel_diario!$J2866=1),EXP(Painel_diario!$L2866),1)-1</f>
        <v/>
      </c>
      <c r="E2870" s="22">
        <f>(1+E2869)*IF(AND(Painel_diario!$H2866="ED_JU",Painel_diario!$J2866=1),EXP(Painel_diario!$L2866),1)-1</f>
        <v/>
      </c>
    </row>
    <row r="2871">
      <c r="A2871" s="25" t="n">
        <v>43049</v>
      </c>
      <c r="B2871" s="22">
        <f>(1+B2870)*IF(AND(Painel_diario!$H2867="EU_JD",Painel_diario!$J2867=1),EXP(Painel_diario!$L2867),1)-1</f>
        <v/>
      </c>
      <c r="C2871" s="22">
        <f>(1+C2870)*IF(AND(Painel_diario!$H2867="EU_JU",Painel_diario!$J2867=1),EXP(Painel_diario!$L2867),1)-1</f>
        <v/>
      </c>
      <c r="D2871" s="22">
        <f>(1+D2870)*IF(AND(Painel_diario!$H2867="ED_JD",Painel_diario!$J2867=1),EXP(Painel_diario!$L2867),1)-1</f>
        <v/>
      </c>
      <c r="E2871" s="22">
        <f>(1+E2870)*IF(AND(Painel_diario!$H2867="ED_JU",Painel_diario!$J2867=1),EXP(Painel_diario!$L2867),1)-1</f>
        <v/>
      </c>
    </row>
    <row r="2872">
      <c r="A2872" s="25" t="n">
        <v>43052</v>
      </c>
      <c r="B2872" s="22">
        <f>(1+B2871)*IF(AND(Painel_diario!$H2868="EU_JD",Painel_diario!$J2868=1),EXP(Painel_diario!$L2868),1)-1</f>
        <v/>
      </c>
      <c r="C2872" s="22">
        <f>(1+C2871)*IF(AND(Painel_diario!$H2868="EU_JU",Painel_diario!$J2868=1),EXP(Painel_diario!$L2868),1)-1</f>
        <v/>
      </c>
      <c r="D2872" s="22">
        <f>(1+D2871)*IF(AND(Painel_diario!$H2868="ED_JD",Painel_diario!$J2868=1),EXP(Painel_diario!$L2868),1)-1</f>
        <v/>
      </c>
      <c r="E2872" s="22">
        <f>(1+E2871)*IF(AND(Painel_diario!$H2868="ED_JU",Painel_diario!$J2868=1),EXP(Painel_diario!$L2868),1)-1</f>
        <v/>
      </c>
    </row>
    <row r="2873">
      <c r="A2873" s="25" t="n">
        <v>43053</v>
      </c>
      <c r="B2873" s="22">
        <f>(1+B2872)*IF(AND(Painel_diario!$H2869="EU_JD",Painel_diario!$J2869=1),EXP(Painel_diario!$L2869),1)-1</f>
        <v/>
      </c>
      <c r="C2873" s="22">
        <f>(1+C2872)*IF(AND(Painel_diario!$H2869="EU_JU",Painel_diario!$J2869=1),EXP(Painel_diario!$L2869),1)-1</f>
        <v/>
      </c>
      <c r="D2873" s="22">
        <f>(1+D2872)*IF(AND(Painel_diario!$H2869="ED_JD",Painel_diario!$J2869=1),EXP(Painel_diario!$L2869),1)-1</f>
        <v/>
      </c>
      <c r="E2873" s="22">
        <f>(1+E2872)*IF(AND(Painel_diario!$H2869="ED_JU",Painel_diario!$J2869=1),EXP(Painel_diario!$L2869),1)-1</f>
        <v/>
      </c>
    </row>
    <row r="2874">
      <c r="A2874" s="25" t="n">
        <v>43055</v>
      </c>
      <c r="B2874" s="22">
        <f>(1+B2873)*IF(AND(Painel_diario!$H2870="EU_JD",Painel_diario!$J2870=1),EXP(Painel_diario!$L2870),1)-1</f>
        <v/>
      </c>
      <c r="C2874" s="22">
        <f>(1+C2873)*IF(AND(Painel_diario!$H2870="EU_JU",Painel_diario!$J2870=1),EXP(Painel_diario!$L2870),1)-1</f>
        <v/>
      </c>
      <c r="D2874" s="22">
        <f>(1+D2873)*IF(AND(Painel_diario!$H2870="ED_JD",Painel_diario!$J2870=1),EXP(Painel_diario!$L2870),1)-1</f>
        <v/>
      </c>
      <c r="E2874" s="22">
        <f>(1+E2873)*IF(AND(Painel_diario!$H2870="ED_JU",Painel_diario!$J2870=1),EXP(Painel_diario!$L2870),1)-1</f>
        <v/>
      </c>
    </row>
    <row r="2875">
      <c r="A2875" s="25" t="n">
        <v>43056</v>
      </c>
      <c r="B2875" s="22">
        <f>(1+B2874)*IF(AND(Painel_diario!$H2871="EU_JD",Painel_diario!$J2871=1),EXP(Painel_diario!$L2871),1)-1</f>
        <v/>
      </c>
      <c r="C2875" s="22">
        <f>(1+C2874)*IF(AND(Painel_diario!$H2871="EU_JU",Painel_diario!$J2871=1),EXP(Painel_diario!$L2871),1)-1</f>
        <v/>
      </c>
      <c r="D2875" s="22">
        <f>(1+D2874)*IF(AND(Painel_diario!$H2871="ED_JD",Painel_diario!$J2871=1),EXP(Painel_diario!$L2871),1)-1</f>
        <v/>
      </c>
      <c r="E2875" s="22">
        <f>(1+E2874)*IF(AND(Painel_diario!$H2871="ED_JU",Painel_diario!$J2871=1),EXP(Painel_diario!$L2871),1)-1</f>
        <v/>
      </c>
    </row>
    <row r="2876">
      <c r="A2876" s="25" t="n">
        <v>43060</v>
      </c>
      <c r="B2876" s="22">
        <f>(1+B2875)*IF(AND(Painel_diario!$H2872="EU_JD",Painel_diario!$J2872=1),EXP(Painel_diario!$L2872),1)-1</f>
        <v/>
      </c>
      <c r="C2876" s="22">
        <f>(1+C2875)*IF(AND(Painel_diario!$H2872="EU_JU",Painel_diario!$J2872=1),EXP(Painel_diario!$L2872),1)-1</f>
        <v/>
      </c>
      <c r="D2876" s="22">
        <f>(1+D2875)*IF(AND(Painel_diario!$H2872="ED_JD",Painel_diario!$J2872=1),EXP(Painel_diario!$L2872),1)-1</f>
        <v/>
      </c>
      <c r="E2876" s="22">
        <f>(1+E2875)*IF(AND(Painel_diario!$H2872="ED_JU",Painel_diario!$J2872=1),EXP(Painel_diario!$L2872),1)-1</f>
        <v/>
      </c>
    </row>
    <row r="2877">
      <c r="A2877" s="25" t="n">
        <v>43061</v>
      </c>
      <c r="B2877" s="22">
        <f>(1+B2876)*IF(AND(Painel_diario!$H2873="EU_JD",Painel_diario!$J2873=1),EXP(Painel_diario!$L2873),1)-1</f>
        <v/>
      </c>
      <c r="C2877" s="22">
        <f>(1+C2876)*IF(AND(Painel_diario!$H2873="EU_JU",Painel_diario!$J2873=1),EXP(Painel_diario!$L2873),1)-1</f>
        <v/>
      </c>
      <c r="D2877" s="22">
        <f>(1+D2876)*IF(AND(Painel_diario!$H2873="ED_JD",Painel_diario!$J2873=1),EXP(Painel_diario!$L2873),1)-1</f>
        <v/>
      </c>
      <c r="E2877" s="22">
        <f>(1+E2876)*IF(AND(Painel_diario!$H2873="ED_JU",Painel_diario!$J2873=1),EXP(Painel_diario!$L2873),1)-1</f>
        <v/>
      </c>
    </row>
    <row r="2878">
      <c r="A2878" s="25" t="n">
        <v>43062</v>
      </c>
      <c r="B2878" s="22">
        <f>(1+B2877)*IF(AND(Painel_diario!$H2874="EU_JD",Painel_diario!$J2874=1),EXP(Painel_diario!$L2874),1)-1</f>
        <v/>
      </c>
      <c r="C2878" s="22">
        <f>(1+C2877)*IF(AND(Painel_diario!$H2874="EU_JU",Painel_diario!$J2874=1),EXP(Painel_diario!$L2874),1)-1</f>
        <v/>
      </c>
      <c r="D2878" s="22">
        <f>(1+D2877)*IF(AND(Painel_diario!$H2874="ED_JD",Painel_diario!$J2874=1),EXP(Painel_diario!$L2874),1)-1</f>
        <v/>
      </c>
      <c r="E2878" s="22">
        <f>(1+E2877)*IF(AND(Painel_diario!$H2874="ED_JU",Painel_diario!$J2874=1),EXP(Painel_diario!$L2874),1)-1</f>
        <v/>
      </c>
    </row>
    <row r="2879">
      <c r="A2879" s="25" t="n">
        <v>43063</v>
      </c>
      <c r="B2879" s="22">
        <f>(1+B2878)*IF(AND(Painel_diario!$H2875="EU_JD",Painel_diario!$J2875=1),EXP(Painel_diario!$L2875),1)-1</f>
        <v/>
      </c>
      <c r="C2879" s="22">
        <f>(1+C2878)*IF(AND(Painel_diario!$H2875="EU_JU",Painel_diario!$J2875=1),EXP(Painel_diario!$L2875),1)-1</f>
        <v/>
      </c>
      <c r="D2879" s="22">
        <f>(1+D2878)*IF(AND(Painel_diario!$H2875="ED_JD",Painel_diario!$J2875=1),EXP(Painel_diario!$L2875),1)-1</f>
        <v/>
      </c>
      <c r="E2879" s="22">
        <f>(1+E2878)*IF(AND(Painel_diario!$H2875="ED_JU",Painel_diario!$J2875=1),EXP(Painel_diario!$L2875),1)-1</f>
        <v/>
      </c>
    </row>
    <row r="2880">
      <c r="A2880" s="25" t="n">
        <v>43066</v>
      </c>
      <c r="B2880" s="22">
        <f>(1+B2879)*IF(AND(Painel_diario!$H2876="EU_JD",Painel_diario!$J2876=1),EXP(Painel_diario!$L2876),1)-1</f>
        <v/>
      </c>
      <c r="C2880" s="22">
        <f>(1+C2879)*IF(AND(Painel_diario!$H2876="EU_JU",Painel_diario!$J2876=1),EXP(Painel_diario!$L2876),1)-1</f>
        <v/>
      </c>
      <c r="D2880" s="22">
        <f>(1+D2879)*IF(AND(Painel_diario!$H2876="ED_JD",Painel_diario!$J2876=1),EXP(Painel_diario!$L2876),1)-1</f>
        <v/>
      </c>
      <c r="E2880" s="22">
        <f>(1+E2879)*IF(AND(Painel_diario!$H2876="ED_JU",Painel_diario!$J2876=1),EXP(Painel_diario!$L2876),1)-1</f>
        <v/>
      </c>
    </row>
    <row r="2881">
      <c r="A2881" s="25" t="n">
        <v>43067</v>
      </c>
      <c r="B2881" s="22">
        <f>(1+B2880)*IF(AND(Painel_diario!$H2877="EU_JD",Painel_diario!$J2877=1),EXP(Painel_diario!$L2877),1)-1</f>
        <v/>
      </c>
      <c r="C2881" s="22">
        <f>(1+C2880)*IF(AND(Painel_diario!$H2877="EU_JU",Painel_diario!$J2877=1),EXP(Painel_diario!$L2877),1)-1</f>
        <v/>
      </c>
      <c r="D2881" s="22">
        <f>(1+D2880)*IF(AND(Painel_diario!$H2877="ED_JD",Painel_diario!$J2877=1),EXP(Painel_diario!$L2877),1)-1</f>
        <v/>
      </c>
      <c r="E2881" s="22">
        <f>(1+E2880)*IF(AND(Painel_diario!$H2877="ED_JU",Painel_diario!$J2877=1),EXP(Painel_diario!$L2877),1)-1</f>
        <v/>
      </c>
    </row>
    <row r="2882">
      <c r="A2882" s="25" t="n">
        <v>43068</v>
      </c>
      <c r="B2882" s="22">
        <f>(1+B2881)*IF(AND(Painel_diario!$H2878="EU_JD",Painel_diario!$J2878=1),EXP(Painel_diario!$L2878),1)-1</f>
        <v/>
      </c>
      <c r="C2882" s="22">
        <f>(1+C2881)*IF(AND(Painel_diario!$H2878="EU_JU",Painel_diario!$J2878=1),EXP(Painel_diario!$L2878),1)-1</f>
        <v/>
      </c>
      <c r="D2882" s="22">
        <f>(1+D2881)*IF(AND(Painel_diario!$H2878="ED_JD",Painel_diario!$J2878=1),EXP(Painel_diario!$L2878),1)-1</f>
        <v/>
      </c>
      <c r="E2882" s="22">
        <f>(1+E2881)*IF(AND(Painel_diario!$H2878="ED_JU",Painel_diario!$J2878=1),EXP(Painel_diario!$L2878),1)-1</f>
        <v/>
      </c>
    </row>
    <row r="2883">
      <c r="A2883" s="25" t="n">
        <v>43069</v>
      </c>
      <c r="B2883" s="22">
        <f>(1+B2882)*IF(AND(Painel_diario!$H2879="EU_JD",Painel_diario!$J2879=1),EXP(Painel_diario!$L2879),1)-1</f>
        <v/>
      </c>
      <c r="C2883" s="22">
        <f>(1+C2882)*IF(AND(Painel_diario!$H2879="EU_JU",Painel_diario!$J2879=1),EXP(Painel_diario!$L2879),1)-1</f>
        <v/>
      </c>
      <c r="D2883" s="22">
        <f>(1+D2882)*IF(AND(Painel_diario!$H2879="ED_JD",Painel_diario!$J2879=1),EXP(Painel_diario!$L2879),1)-1</f>
        <v/>
      </c>
      <c r="E2883" s="22">
        <f>(1+E2882)*IF(AND(Painel_diario!$H2879="ED_JU",Painel_diario!$J2879=1),EXP(Painel_diario!$L2879),1)-1</f>
        <v/>
      </c>
    </row>
    <row r="2884">
      <c r="A2884" s="25" t="n">
        <v>43070</v>
      </c>
      <c r="B2884" s="22">
        <f>(1+B2883)*IF(AND(Painel_diario!$H2880="EU_JD",Painel_diario!$J2880=1),EXP(Painel_diario!$L2880),1)-1</f>
        <v/>
      </c>
      <c r="C2884" s="22">
        <f>(1+C2883)*IF(AND(Painel_diario!$H2880="EU_JU",Painel_diario!$J2880=1),EXP(Painel_diario!$L2880),1)-1</f>
        <v/>
      </c>
      <c r="D2884" s="22">
        <f>(1+D2883)*IF(AND(Painel_diario!$H2880="ED_JD",Painel_diario!$J2880=1),EXP(Painel_diario!$L2880),1)-1</f>
        <v/>
      </c>
      <c r="E2884" s="22">
        <f>(1+E2883)*IF(AND(Painel_diario!$H2880="ED_JU",Painel_diario!$J2880=1),EXP(Painel_diario!$L2880),1)-1</f>
        <v/>
      </c>
    </row>
    <row r="2885">
      <c r="A2885" s="25" t="n">
        <v>43073</v>
      </c>
      <c r="B2885" s="22">
        <f>(1+B2884)*IF(AND(Painel_diario!$H2881="EU_JD",Painel_diario!$J2881=1),EXP(Painel_diario!$L2881),1)-1</f>
        <v/>
      </c>
      <c r="C2885" s="22">
        <f>(1+C2884)*IF(AND(Painel_diario!$H2881="EU_JU",Painel_diario!$J2881=1),EXP(Painel_diario!$L2881),1)-1</f>
        <v/>
      </c>
      <c r="D2885" s="22">
        <f>(1+D2884)*IF(AND(Painel_diario!$H2881="ED_JD",Painel_diario!$J2881=1),EXP(Painel_diario!$L2881),1)-1</f>
        <v/>
      </c>
      <c r="E2885" s="22">
        <f>(1+E2884)*IF(AND(Painel_diario!$H2881="ED_JU",Painel_diario!$J2881=1),EXP(Painel_diario!$L2881),1)-1</f>
        <v/>
      </c>
    </row>
    <row r="2886">
      <c r="A2886" s="25" t="n">
        <v>43074</v>
      </c>
      <c r="B2886" s="22">
        <f>(1+B2885)*IF(AND(Painel_diario!$H2882="EU_JD",Painel_diario!$J2882=1),EXP(Painel_diario!$L2882),1)-1</f>
        <v/>
      </c>
      <c r="C2886" s="22">
        <f>(1+C2885)*IF(AND(Painel_diario!$H2882="EU_JU",Painel_diario!$J2882=1),EXP(Painel_diario!$L2882),1)-1</f>
        <v/>
      </c>
      <c r="D2886" s="22">
        <f>(1+D2885)*IF(AND(Painel_diario!$H2882="ED_JD",Painel_diario!$J2882=1),EXP(Painel_diario!$L2882),1)-1</f>
        <v/>
      </c>
      <c r="E2886" s="22">
        <f>(1+E2885)*IF(AND(Painel_diario!$H2882="ED_JU",Painel_diario!$J2882=1),EXP(Painel_diario!$L2882),1)-1</f>
        <v/>
      </c>
    </row>
    <row r="2887">
      <c r="A2887" s="25" t="n">
        <v>43075</v>
      </c>
      <c r="B2887" s="22">
        <f>(1+B2886)*IF(AND(Painel_diario!$H2883="EU_JD",Painel_diario!$J2883=1),EXP(Painel_diario!$L2883),1)-1</f>
        <v/>
      </c>
      <c r="C2887" s="22">
        <f>(1+C2886)*IF(AND(Painel_diario!$H2883="EU_JU",Painel_diario!$J2883=1),EXP(Painel_diario!$L2883),1)-1</f>
        <v/>
      </c>
      <c r="D2887" s="22">
        <f>(1+D2886)*IF(AND(Painel_diario!$H2883="ED_JD",Painel_diario!$J2883=1),EXP(Painel_diario!$L2883),1)-1</f>
        <v/>
      </c>
      <c r="E2887" s="22">
        <f>(1+E2886)*IF(AND(Painel_diario!$H2883="ED_JU",Painel_diario!$J2883=1),EXP(Painel_diario!$L2883),1)-1</f>
        <v/>
      </c>
    </row>
    <row r="2888">
      <c r="A2888" s="25" t="n">
        <v>43076</v>
      </c>
      <c r="B2888" s="22">
        <f>(1+B2887)*IF(AND(Painel_diario!$H2884="EU_JD",Painel_diario!$J2884=1),EXP(Painel_diario!$L2884),1)-1</f>
        <v/>
      </c>
      <c r="C2888" s="22">
        <f>(1+C2887)*IF(AND(Painel_diario!$H2884="EU_JU",Painel_diario!$J2884=1),EXP(Painel_diario!$L2884),1)-1</f>
        <v/>
      </c>
      <c r="D2888" s="22">
        <f>(1+D2887)*IF(AND(Painel_diario!$H2884="ED_JD",Painel_diario!$J2884=1),EXP(Painel_diario!$L2884),1)-1</f>
        <v/>
      </c>
      <c r="E2888" s="22">
        <f>(1+E2887)*IF(AND(Painel_diario!$H2884="ED_JU",Painel_diario!$J2884=1),EXP(Painel_diario!$L2884),1)-1</f>
        <v/>
      </c>
    </row>
    <row r="2889">
      <c r="A2889" s="25" t="n">
        <v>43077</v>
      </c>
      <c r="B2889" s="22">
        <f>(1+B2888)*IF(AND(Painel_diario!$H2885="EU_JD",Painel_diario!$J2885=1),EXP(Painel_diario!$L2885),1)-1</f>
        <v/>
      </c>
      <c r="C2889" s="22">
        <f>(1+C2888)*IF(AND(Painel_diario!$H2885="EU_JU",Painel_diario!$J2885=1),EXP(Painel_diario!$L2885),1)-1</f>
        <v/>
      </c>
      <c r="D2889" s="22">
        <f>(1+D2888)*IF(AND(Painel_diario!$H2885="ED_JD",Painel_diario!$J2885=1),EXP(Painel_diario!$L2885),1)-1</f>
        <v/>
      </c>
      <c r="E2889" s="22">
        <f>(1+E2888)*IF(AND(Painel_diario!$H2885="ED_JU",Painel_diario!$J2885=1),EXP(Painel_diario!$L2885),1)-1</f>
        <v/>
      </c>
    </row>
    <row r="2890">
      <c r="A2890" s="25" t="n">
        <v>43080</v>
      </c>
      <c r="B2890" s="22">
        <f>(1+B2889)*IF(AND(Painel_diario!$H2886="EU_JD",Painel_diario!$J2886=1),EXP(Painel_diario!$L2886),1)-1</f>
        <v/>
      </c>
      <c r="C2890" s="22">
        <f>(1+C2889)*IF(AND(Painel_diario!$H2886="EU_JU",Painel_diario!$J2886=1),EXP(Painel_diario!$L2886),1)-1</f>
        <v/>
      </c>
      <c r="D2890" s="22">
        <f>(1+D2889)*IF(AND(Painel_diario!$H2886="ED_JD",Painel_diario!$J2886=1),EXP(Painel_diario!$L2886),1)-1</f>
        <v/>
      </c>
      <c r="E2890" s="22">
        <f>(1+E2889)*IF(AND(Painel_diario!$H2886="ED_JU",Painel_diario!$J2886=1),EXP(Painel_diario!$L2886),1)-1</f>
        <v/>
      </c>
    </row>
    <row r="2891">
      <c r="A2891" s="25" t="n">
        <v>43081</v>
      </c>
      <c r="B2891" s="22">
        <f>(1+B2890)*IF(AND(Painel_diario!$H2887="EU_JD",Painel_diario!$J2887=1),EXP(Painel_diario!$L2887),1)-1</f>
        <v/>
      </c>
      <c r="C2891" s="22">
        <f>(1+C2890)*IF(AND(Painel_diario!$H2887="EU_JU",Painel_diario!$J2887=1),EXP(Painel_diario!$L2887),1)-1</f>
        <v/>
      </c>
      <c r="D2891" s="22">
        <f>(1+D2890)*IF(AND(Painel_diario!$H2887="ED_JD",Painel_diario!$J2887=1),EXP(Painel_diario!$L2887),1)-1</f>
        <v/>
      </c>
      <c r="E2891" s="22">
        <f>(1+E2890)*IF(AND(Painel_diario!$H2887="ED_JU",Painel_diario!$J2887=1),EXP(Painel_diario!$L2887),1)-1</f>
        <v/>
      </c>
    </row>
    <row r="2892">
      <c r="A2892" s="25" t="n">
        <v>43082</v>
      </c>
      <c r="B2892" s="22">
        <f>(1+B2891)*IF(AND(Painel_diario!$H2888="EU_JD",Painel_diario!$J2888=1),EXP(Painel_diario!$L2888),1)-1</f>
        <v/>
      </c>
      <c r="C2892" s="22">
        <f>(1+C2891)*IF(AND(Painel_diario!$H2888="EU_JU",Painel_diario!$J2888=1),EXP(Painel_diario!$L2888),1)-1</f>
        <v/>
      </c>
      <c r="D2892" s="22">
        <f>(1+D2891)*IF(AND(Painel_diario!$H2888="ED_JD",Painel_diario!$J2888=1),EXP(Painel_diario!$L2888),1)-1</f>
        <v/>
      </c>
      <c r="E2892" s="22">
        <f>(1+E2891)*IF(AND(Painel_diario!$H2888="ED_JU",Painel_diario!$J2888=1),EXP(Painel_diario!$L2888),1)-1</f>
        <v/>
      </c>
    </row>
    <row r="2893">
      <c r="A2893" s="25" t="n">
        <v>43083</v>
      </c>
      <c r="B2893" s="22">
        <f>(1+B2892)*IF(AND(Painel_diario!$H2889="EU_JD",Painel_diario!$J2889=1),EXP(Painel_diario!$L2889),1)-1</f>
        <v/>
      </c>
      <c r="C2893" s="22">
        <f>(1+C2892)*IF(AND(Painel_diario!$H2889="EU_JU",Painel_diario!$J2889=1),EXP(Painel_diario!$L2889),1)-1</f>
        <v/>
      </c>
      <c r="D2893" s="22">
        <f>(1+D2892)*IF(AND(Painel_diario!$H2889="ED_JD",Painel_diario!$J2889=1),EXP(Painel_diario!$L2889),1)-1</f>
        <v/>
      </c>
      <c r="E2893" s="22">
        <f>(1+E2892)*IF(AND(Painel_diario!$H2889="ED_JU",Painel_diario!$J2889=1),EXP(Painel_diario!$L2889),1)-1</f>
        <v/>
      </c>
    </row>
    <row r="2894">
      <c r="A2894" s="25" t="n">
        <v>43084</v>
      </c>
      <c r="B2894" s="22">
        <f>(1+B2893)*IF(AND(Painel_diario!$H2890="EU_JD",Painel_diario!$J2890=1),EXP(Painel_diario!$L2890),1)-1</f>
        <v/>
      </c>
      <c r="C2894" s="22">
        <f>(1+C2893)*IF(AND(Painel_diario!$H2890="EU_JU",Painel_diario!$J2890=1),EXP(Painel_diario!$L2890),1)-1</f>
        <v/>
      </c>
      <c r="D2894" s="22">
        <f>(1+D2893)*IF(AND(Painel_diario!$H2890="ED_JD",Painel_diario!$J2890=1),EXP(Painel_diario!$L2890),1)-1</f>
        <v/>
      </c>
      <c r="E2894" s="22">
        <f>(1+E2893)*IF(AND(Painel_diario!$H2890="ED_JU",Painel_diario!$J2890=1),EXP(Painel_diario!$L2890),1)-1</f>
        <v/>
      </c>
    </row>
    <row r="2895">
      <c r="A2895" s="25" t="n">
        <v>43087</v>
      </c>
      <c r="B2895" s="22">
        <f>(1+B2894)*IF(AND(Painel_diario!$H2891="EU_JD",Painel_diario!$J2891=1),EXP(Painel_diario!$L2891),1)-1</f>
        <v/>
      </c>
      <c r="C2895" s="22">
        <f>(1+C2894)*IF(AND(Painel_diario!$H2891="EU_JU",Painel_diario!$J2891=1),EXP(Painel_diario!$L2891),1)-1</f>
        <v/>
      </c>
      <c r="D2895" s="22">
        <f>(1+D2894)*IF(AND(Painel_diario!$H2891="ED_JD",Painel_diario!$J2891=1),EXP(Painel_diario!$L2891),1)-1</f>
        <v/>
      </c>
      <c r="E2895" s="22">
        <f>(1+E2894)*IF(AND(Painel_diario!$H2891="ED_JU",Painel_diario!$J2891=1),EXP(Painel_diario!$L2891),1)-1</f>
        <v/>
      </c>
    </row>
    <row r="2896">
      <c r="A2896" s="25" t="n">
        <v>43088</v>
      </c>
      <c r="B2896" s="22">
        <f>(1+B2895)*IF(AND(Painel_diario!$H2892="EU_JD",Painel_diario!$J2892=1),EXP(Painel_diario!$L2892),1)-1</f>
        <v/>
      </c>
      <c r="C2896" s="22">
        <f>(1+C2895)*IF(AND(Painel_diario!$H2892="EU_JU",Painel_diario!$J2892=1),EXP(Painel_diario!$L2892),1)-1</f>
        <v/>
      </c>
      <c r="D2896" s="22">
        <f>(1+D2895)*IF(AND(Painel_diario!$H2892="ED_JD",Painel_diario!$J2892=1),EXP(Painel_diario!$L2892),1)-1</f>
        <v/>
      </c>
      <c r="E2896" s="22">
        <f>(1+E2895)*IF(AND(Painel_diario!$H2892="ED_JU",Painel_diario!$J2892=1),EXP(Painel_diario!$L2892),1)-1</f>
        <v/>
      </c>
    </row>
    <row r="2897">
      <c r="A2897" s="25" t="n">
        <v>43089</v>
      </c>
      <c r="B2897" s="22">
        <f>(1+B2896)*IF(AND(Painel_diario!$H2893="EU_JD",Painel_diario!$J2893=1),EXP(Painel_diario!$L2893),1)-1</f>
        <v/>
      </c>
      <c r="C2897" s="22">
        <f>(1+C2896)*IF(AND(Painel_diario!$H2893="EU_JU",Painel_diario!$J2893=1),EXP(Painel_diario!$L2893),1)-1</f>
        <v/>
      </c>
      <c r="D2897" s="22">
        <f>(1+D2896)*IF(AND(Painel_diario!$H2893="ED_JD",Painel_diario!$J2893=1),EXP(Painel_diario!$L2893),1)-1</f>
        <v/>
      </c>
      <c r="E2897" s="22">
        <f>(1+E2896)*IF(AND(Painel_diario!$H2893="ED_JU",Painel_diario!$J2893=1),EXP(Painel_diario!$L2893),1)-1</f>
        <v/>
      </c>
    </row>
    <row r="2898">
      <c r="A2898" s="25" t="n">
        <v>43090</v>
      </c>
      <c r="B2898" s="22">
        <f>(1+B2897)*IF(AND(Painel_diario!$H2894="EU_JD",Painel_diario!$J2894=1),EXP(Painel_diario!$L2894),1)-1</f>
        <v/>
      </c>
      <c r="C2898" s="22">
        <f>(1+C2897)*IF(AND(Painel_diario!$H2894="EU_JU",Painel_diario!$J2894=1),EXP(Painel_diario!$L2894),1)-1</f>
        <v/>
      </c>
      <c r="D2898" s="22">
        <f>(1+D2897)*IF(AND(Painel_diario!$H2894="ED_JD",Painel_diario!$J2894=1),EXP(Painel_diario!$L2894),1)-1</f>
        <v/>
      </c>
      <c r="E2898" s="22">
        <f>(1+E2897)*IF(AND(Painel_diario!$H2894="ED_JU",Painel_diario!$J2894=1),EXP(Painel_diario!$L2894),1)-1</f>
        <v/>
      </c>
    </row>
    <row r="2899">
      <c r="A2899" s="25" t="n">
        <v>43091</v>
      </c>
      <c r="B2899" s="22">
        <f>(1+B2898)*IF(AND(Painel_diario!$H2895="EU_JD",Painel_diario!$J2895=1),EXP(Painel_diario!$L2895),1)-1</f>
        <v/>
      </c>
      <c r="C2899" s="22">
        <f>(1+C2898)*IF(AND(Painel_diario!$H2895="EU_JU",Painel_diario!$J2895=1),EXP(Painel_diario!$L2895),1)-1</f>
        <v/>
      </c>
      <c r="D2899" s="22">
        <f>(1+D2898)*IF(AND(Painel_diario!$H2895="ED_JD",Painel_diario!$J2895=1),EXP(Painel_diario!$L2895),1)-1</f>
        <v/>
      </c>
      <c r="E2899" s="22">
        <f>(1+E2898)*IF(AND(Painel_diario!$H2895="ED_JU",Painel_diario!$J2895=1),EXP(Painel_diario!$L2895),1)-1</f>
        <v/>
      </c>
    </row>
    <row r="2900">
      <c r="A2900" s="25" t="n">
        <v>43095</v>
      </c>
      <c r="B2900" s="22">
        <f>(1+B2899)*IF(AND(Painel_diario!$H2896="EU_JD",Painel_diario!$J2896=1),EXP(Painel_diario!$L2896),1)-1</f>
        <v/>
      </c>
      <c r="C2900" s="22">
        <f>(1+C2899)*IF(AND(Painel_diario!$H2896="EU_JU",Painel_diario!$J2896=1),EXP(Painel_diario!$L2896),1)-1</f>
        <v/>
      </c>
      <c r="D2900" s="22">
        <f>(1+D2899)*IF(AND(Painel_diario!$H2896="ED_JD",Painel_diario!$J2896=1),EXP(Painel_diario!$L2896),1)-1</f>
        <v/>
      </c>
      <c r="E2900" s="22">
        <f>(1+E2899)*IF(AND(Painel_diario!$H2896="ED_JU",Painel_diario!$J2896=1),EXP(Painel_diario!$L2896),1)-1</f>
        <v/>
      </c>
    </row>
    <row r="2901">
      <c r="A2901" s="25" t="n">
        <v>43096</v>
      </c>
      <c r="B2901" s="22">
        <f>(1+B2900)*IF(AND(Painel_diario!$H2897="EU_JD",Painel_diario!$J2897=1),EXP(Painel_diario!$L2897),1)-1</f>
        <v/>
      </c>
      <c r="C2901" s="22">
        <f>(1+C2900)*IF(AND(Painel_diario!$H2897="EU_JU",Painel_diario!$J2897=1),EXP(Painel_diario!$L2897),1)-1</f>
        <v/>
      </c>
      <c r="D2901" s="22">
        <f>(1+D2900)*IF(AND(Painel_diario!$H2897="ED_JD",Painel_diario!$J2897=1),EXP(Painel_diario!$L2897),1)-1</f>
        <v/>
      </c>
      <c r="E2901" s="22">
        <f>(1+E2900)*IF(AND(Painel_diario!$H2897="ED_JU",Painel_diario!$J2897=1),EXP(Painel_diario!$L2897),1)-1</f>
        <v/>
      </c>
    </row>
    <row r="2902">
      <c r="A2902" s="25" t="n">
        <v>43097</v>
      </c>
      <c r="B2902" s="22">
        <f>(1+B2901)*IF(AND(Painel_diario!$H2898="EU_JD",Painel_diario!$J2898=1),EXP(Painel_diario!$L2898),1)-1</f>
        <v/>
      </c>
      <c r="C2902" s="22">
        <f>(1+C2901)*IF(AND(Painel_diario!$H2898="EU_JU",Painel_diario!$J2898=1),EXP(Painel_diario!$L2898),1)-1</f>
        <v/>
      </c>
      <c r="D2902" s="22">
        <f>(1+D2901)*IF(AND(Painel_diario!$H2898="ED_JD",Painel_diario!$J2898=1),EXP(Painel_diario!$L2898),1)-1</f>
        <v/>
      </c>
      <c r="E2902" s="22">
        <f>(1+E2901)*IF(AND(Painel_diario!$H2898="ED_JU",Painel_diario!$J2898=1),EXP(Painel_diario!$L2898),1)-1</f>
        <v/>
      </c>
    </row>
    <row r="2903">
      <c r="A2903" s="25" t="n">
        <v>43102</v>
      </c>
      <c r="B2903" s="22">
        <f>(1+B2902)*IF(AND(Painel_diario!$H2899="EU_JD",Painel_diario!$J2899=1),EXP(Painel_diario!$L2899),1)-1</f>
        <v/>
      </c>
      <c r="C2903" s="22">
        <f>(1+C2902)*IF(AND(Painel_diario!$H2899="EU_JU",Painel_diario!$J2899=1),EXP(Painel_diario!$L2899),1)-1</f>
        <v/>
      </c>
      <c r="D2903" s="22">
        <f>(1+D2902)*IF(AND(Painel_diario!$H2899="ED_JD",Painel_diario!$J2899=1),EXP(Painel_diario!$L2899),1)-1</f>
        <v/>
      </c>
      <c r="E2903" s="22">
        <f>(1+E2902)*IF(AND(Painel_diario!$H2899="ED_JU",Painel_diario!$J2899=1),EXP(Painel_diario!$L2899),1)-1</f>
        <v/>
      </c>
    </row>
    <row r="2904">
      <c r="A2904" s="25" t="n">
        <v>43103</v>
      </c>
      <c r="B2904" s="22">
        <f>(1+B2903)*IF(AND(Painel_diario!$H2900="EU_JD",Painel_diario!$J2900=1),EXP(Painel_diario!$L2900),1)-1</f>
        <v/>
      </c>
      <c r="C2904" s="22">
        <f>(1+C2903)*IF(AND(Painel_diario!$H2900="EU_JU",Painel_diario!$J2900=1),EXP(Painel_diario!$L2900),1)-1</f>
        <v/>
      </c>
      <c r="D2904" s="22">
        <f>(1+D2903)*IF(AND(Painel_diario!$H2900="ED_JD",Painel_diario!$J2900=1),EXP(Painel_diario!$L2900),1)-1</f>
        <v/>
      </c>
      <c r="E2904" s="22">
        <f>(1+E2903)*IF(AND(Painel_diario!$H2900="ED_JU",Painel_diario!$J2900=1),EXP(Painel_diario!$L2900),1)-1</f>
        <v/>
      </c>
    </row>
    <row r="2905">
      <c r="A2905" s="25" t="n">
        <v>43104</v>
      </c>
      <c r="B2905" s="22">
        <f>(1+B2904)*IF(AND(Painel_diario!$H2901="EU_JD",Painel_diario!$J2901=1),EXP(Painel_diario!$L2901),1)-1</f>
        <v/>
      </c>
      <c r="C2905" s="22">
        <f>(1+C2904)*IF(AND(Painel_diario!$H2901="EU_JU",Painel_diario!$J2901=1),EXP(Painel_diario!$L2901),1)-1</f>
        <v/>
      </c>
      <c r="D2905" s="22">
        <f>(1+D2904)*IF(AND(Painel_diario!$H2901="ED_JD",Painel_diario!$J2901=1),EXP(Painel_diario!$L2901),1)-1</f>
        <v/>
      </c>
      <c r="E2905" s="22">
        <f>(1+E2904)*IF(AND(Painel_diario!$H2901="ED_JU",Painel_diario!$J2901=1),EXP(Painel_diario!$L2901),1)-1</f>
        <v/>
      </c>
    </row>
    <row r="2906">
      <c r="A2906" s="25" t="n">
        <v>43105</v>
      </c>
      <c r="B2906" s="22">
        <f>(1+B2905)*IF(AND(Painel_diario!$H2902="EU_JD",Painel_diario!$J2902=1),EXP(Painel_diario!$L2902),1)-1</f>
        <v/>
      </c>
      <c r="C2906" s="22">
        <f>(1+C2905)*IF(AND(Painel_diario!$H2902="EU_JU",Painel_diario!$J2902=1),EXP(Painel_diario!$L2902),1)-1</f>
        <v/>
      </c>
      <c r="D2906" s="22">
        <f>(1+D2905)*IF(AND(Painel_diario!$H2902="ED_JD",Painel_diario!$J2902=1),EXP(Painel_diario!$L2902),1)-1</f>
        <v/>
      </c>
      <c r="E2906" s="22">
        <f>(1+E2905)*IF(AND(Painel_diario!$H2902="ED_JU",Painel_diario!$J2902=1),EXP(Painel_diario!$L2902),1)-1</f>
        <v/>
      </c>
    </row>
    <row r="2907">
      <c r="A2907" s="25" t="n">
        <v>43108</v>
      </c>
      <c r="B2907" s="22">
        <f>(1+B2906)*IF(AND(Painel_diario!$H2903="EU_JD",Painel_diario!$J2903=1),EXP(Painel_diario!$L2903),1)-1</f>
        <v/>
      </c>
      <c r="C2907" s="22">
        <f>(1+C2906)*IF(AND(Painel_diario!$H2903="EU_JU",Painel_diario!$J2903=1),EXP(Painel_diario!$L2903),1)-1</f>
        <v/>
      </c>
      <c r="D2907" s="22">
        <f>(1+D2906)*IF(AND(Painel_diario!$H2903="ED_JD",Painel_diario!$J2903=1),EXP(Painel_diario!$L2903),1)-1</f>
        <v/>
      </c>
      <c r="E2907" s="22">
        <f>(1+E2906)*IF(AND(Painel_diario!$H2903="ED_JU",Painel_diario!$J2903=1),EXP(Painel_diario!$L2903),1)-1</f>
        <v/>
      </c>
    </row>
    <row r="2908">
      <c r="A2908" s="25" t="n">
        <v>43109</v>
      </c>
      <c r="B2908" s="22">
        <f>(1+B2907)*IF(AND(Painel_diario!$H2904="EU_JD",Painel_diario!$J2904=1),EXP(Painel_diario!$L2904),1)-1</f>
        <v/>
      </c>
      <c r="C2908" s="22">
        <f>(1+C2907)*IF(AND(Painel_diario!$H2904="EU_JU",Painel_diario!$J2904=1),EXP(Painel_diario!$L2904),1)-1</f>
        <v/>
      </c>
      <c r="D2908" s="22">
        <f>(1+D2907)*IF(AND(Painel_diario!$H2904="ED_JD",Painel_diario!$J2904=1),EXP(Painel_diario!$L2904),1)-1</f>
        <v/>
      </c>
      <c r="E2908" s="22">
        <f>(1+E2907)*IF(AND(Painel_diario!$H2904="ED_JU",Painel_diario!$J2904=1),EXP(Painel_diario!$L2904),1)-1</f>
        <v/>
      </c>
    </row>
    <row r="2909">
      <c r="A2909" s="25" t="n">
        <v>43110</v>
      </c>
      <c r="B2909" s="22">
        <f>(1+B2908)*IF(AND(Painel_diario!$H2905="EU_JD",Painel_diario!$J2905=1),EXP(Painel_diario!$L2905),1)-1</f>
        <v/>
      </c>
      <c r="C2909" s="22">
        <f>(1+C2908)*IF(AND(Painel_diario!$H2905="EU_JU",Painel_diario!$J2905=1),EXP(Painel_diario!$L2905),1)-1</f>
        <v/>
      </c>
      <c r="D2909" s="22">
        <f>(1+D2908)*IF(AND(Painel_diario!$H2905="ED_JD",Painel_diario!$J2905=1),EXP(Painel_diario!$L2905),1)-1</f>
        <v/>
      </c>
      <c r="E2909" s="22">
        <f>(1+E2908)*IF(AND(Painel_diario!$H2905="ED_JU",Painel_diario!$J2905=1),EXP(Painel_diario!$L2905),1)-1</f>
        <v/>
      </c>
    </row>
    <row r="2910">
      <c r="A2910" s="25" t="n">
        <v>43111</v>
      </c>
      <c r="B2910" s="22">
        <f>(1+B2909)*IF(AND(Painel_diario!$H2906="EU_JD",Painel_diario!$J2906=1),EXP(Painel_diario!$L2906),1)-1</f>
        <v/>
      </c>
      <c r="C2910" s="22">
        <f>(1+C2909)*IF(AND(Painel_diario!$H2906="EU_JU",Painel_diario!$J2906=1),EXP(Painel_diario!$L2906),1)-1</f>
        <v/>
      </c>
      <c r="D2910" s="22">
        <f>(1+D2909)*IF(AND(Painel_diario!$H2906="ED_JD",Painel_diario!$J2906=1),EXP(Painel_diario!$L2906),1)-1</f>
        <v/>
      </c>
      <c r="E2910" s="22">
        <f>(1+E2909)*IF(AND(Painel_diario!$H2906="ED_JU",Painel_diario!$J2906=1),EXP(Painel_diario!$L2906),1)-1</f>
        <v/>
      </c>
    </row>
    <row r="2911">
      <c r="A2911" s="25" t="n">
        <v>43112</v>
      </c>
      <c r="B2911" s="22">
        <f>(1+B2910)*IF(AND(Painel_diario!$H2907="EU_JD",Painel_diario!$J2907=1),EXP(Painel_diario!$L2907),1)-1</f>
        <v/>
      </c>
      <c r="C2911" s="22">
        <f>(1+C2910)*IF(AND(Painel_diario!$H2907="EU_JU",Painel_diario!$J2907=1),EXP(Painel_diario!$L2907),1)-1</f>
        <v/>
      </c>
      <c r="D2911" s="22">
        <f>(1+D2910)*IF(AND(Painel_diario!$H2907="ED_JD",Painel_diario!$J2907=1),EXP(Painel_diario!$L2907),1)-1</f>
        <v/>
      </c>
      <c r="E2911" s="22">
        <f>(1+E2910)*IF(AND(Painel_diario!$H2907="ED_JU",Painel_diario!$J2907=1),EXP(Painel_diario!$L2907),1)-1</f>
        <v/>
      </c>
    </row>
    <row r="2912">
      <c r="A2912" s="25" t="n">
        <v>43115</v>
      </c>
      <c r="B2912" s="22">
        <f>(1+B2911)*IF(AND(Painel_diario!$H2908="EU_JD",Painel_diario!$J2908=1),EXP(Painel_diario!$L2908),1)-1</f>
        <v/>
      </c>
      <c r="C2912" s="22">
        <f>(1+C2911)*IF(AND(Painel_diario!$H2908="EU_JU",Painel_diario!$J2908=1),EXP(Painel_diario!$L2908),1)-1</f>
        <v/>
      </c>
      <c r="D2912" s="22">
        <f>(1+D2911)*IF(AND(Painel_diario!$H2908="ED_JD",Painel_diario!$J2908=1),EXP(Painel_diario!$L2908),1)-1</f>
        <v/>
      </c>
      <c r="E2912" s="22">
        <f>(1+E2911)*IF(AND(Painel_diario!$H2908="ED_JU",Painel_diario!$J2908=1),EXP(Painel_diario!$L2908),1)-1</f>
        <v/>
      </c>
    </row>
    <row r="2913">
      <c r="A2913" s="25" t="n">
        <v>43116</v>
      </c>
      <c r="B2913" s="22">
        <f>(1+B2912)*IF(AND(Painel_diario!$H2909="EU_JD",Painel_diario!$J2909=1),EXP(Painel_diario!$L2909),1)-1</f>
        <v/>
      </c>
      <c r="C2913" s="22">
        <f>(1+C2912)*IF(AND(Painel_diario!$H2909="EU_JU",Painel_diario!$J2909=1),EXP(Painel_diario!$L2909),1)-1</f>
        <v/>
      </c>
      <c r="D2913" s="22">
        <f>(1+D2912)*IF(AND(Painel_diario!$H2909="ED_JD",Painel_diario!$J2909=1),EXP(Painel_diario!$L2909),1)-1</f>
        <v/>
      </c>
      <c r="E2913" s="22">
        <f>(1+E2912)*IF(AND(Painel_diario!$H2909="ED_JU",Painel_diario!$J2909=1),EXP(Painel_diario!$L2909),1)-1</f>
        <v/>
      </c>
    </row>
    <row r="2914">
      <c r="A2914" s="25" t="n">
        <v>43117</v>
      </c>
      <c r="B2914" s="22">
        <f>(1+B2913)*IF(AND(Painel_diario!$H2910="EU_JD",Painel_diario!$J2910=1),EXP(Painel_diario!$L2910),1)-1</f>
        <v/>
      </c>
      <c r="C2914" s="22">
        <f>(1+C2913)*IF(AND(Painel_diario!$H2910="EU_JU",Painel_diario!$J2910=1),EXP(Painel_diario!$L2910),1)-1</f>
        <v/>
      </c>
      <c r="D2914" s="22">
        <f>(1+D2913)*IF(AND(Painel_diario!$H2910="ED_JD",Painel_diario!$J2910=1),EXP(Painel_diario!$L2910),1)-1</f>
        <v/>
      </c>
      <c r="E2914" s="22">
        <f>(1+E2913)*IF(AND(Painel_diario!$H2910="ED_JU",Painel_diario!$J2910=1),EXP(Painel_diario!$L2910),1)-1</f>
        <v/>
      </c>
    </row>
    <row r="2915">
      <c r="A2915" s="25" t="n">
        <v>43118</v>
      </c>
      <c r="B2915" s="22">
        <f>(1+B2914)*IF(AND(Painel_diario!$H2911="EU_JD",Painel_diario!$J2911=1),EXP(Painel_diario!$L2911),1)-1</f>
        <v/>
      </c>
      <c r="C2915" s="22">
        <f>(1+C2914)*IF(AND(Painel_diario!$H2911="EU_JU",Painel_diario!$J2911=1),EXP(Painel_diario!$L2911),1)-1</f>
        <v/>
      </c>
      <c r="D2915" s="22">
        <f>(1+D2914)*IF(AND(Painel_diario!$H2911="ED_JD",Painel_diario!$J2911=1),EXP(Painel_diario!$L2911),1)-1</f>
        <v/>
      </c>
      <c r="E2915" s="22">
        <f>(1+E2914)*IF(AND(Painel_diario!$H2911="ED_JU",Painel_diario!$J2911=1),EXP(Painel_diario!$L2911),1)-1</f>
        <v/>
      </c>
    </row>
    <row r="2916">
      <c r="A2916" s="25" t="n">
        <v>43119</v>
      </c>
      <c r="B2916" s="22">
        <f>(1+B2915)*IF(AND(Painel_diario!$H2912="EU_JD",Painel_diario!$J2912=1),EXP(Painel_diario!$L2912),1)-1</f>
        <v/>
      </c>
      <c r="C2916" s="22">
        <f>(1+C2915)*IF(AND(Painel_diario!$H2912="EU_JU",Painel_diario!$J2912=1),EXP(Painel_diario!$L2912),1)-1</f>
        <v/>
      </c>
      <c r="D2916" s="22">
        <f>(1+D2915)*IF(AND(Painel_diario!$H2912="ED_JD",Painel_diario!$J2912=1),EXP(Painel_diario!$L2912),1)-1</f>
        <v/>
      </c>
      <c r="E2916" s="22">
        <f>(1+E2915)*IF(AND(Painel_diario!$H2912="ED_JU",Painel_diario!$J2912=1),EXP(Painel_diario!$L2912),1)-1</f>
        <v/>
      </c>
    </row>
    <row r="2917">
      <c r="A2917" s="25" t="n">
        <v>43122</v>
      </c>
      <c r="B2917" s="22">
        <f>(1+B2916)*IF(AND(Painel_diario!$H2913="EU_JD",Painel_diario!$J2913=1),EXP(Painel_diario!$L2913),1)-1</f>
        <v/>
      </c>
      <c r="C2917" s="22">
        <f>(1+C2916)*IF(AND(Painel_diario!$H2913="EU_JU",Painel_diario!$J2913=1),EXP(Painel_diario!$L2913),1)-1</f>
        <v/>
      </c>
      <c r="D2917" s="22">
        <f>(1+D2916)*IF(AND(Painel_diario!$H2913="ED_JD",Painel_diario!$J2913=1),EXP(Painel_diario!$L2913),1)-1</f>
        <v/>
      </c>
      <c r="E2917" s="22">
        <f>(1+E2916)*IF(AND(Painel_diario!$H2913="ED_JU",Painel_diario!$J2913=1),EXP(Painel_diario!$L2913),1)-1</f>
        <v/>
      </c>
    </row>
    <row r="2918">
      <c r="A2918" s="25" t="n">
        <v>43123</v>
      </c>
      <c r="B2918" s="22">
        <f>(1+B2917)*IF(AND(Painel_diario!$H2914="EU_JD",Painel_diario!$J2914=1),EXP(Painel_diario!$L2914),1)-1</f>
        <v/>
      </c>
      <c r="C2918" s="22">
        <f>(1+C2917)*IF(AND(Painel_diario!$H2914="EU_JU",Painel_diario!$J2914=1),EXP(Painel_diario!$L2914),1)-1</f>
        <v/>
      </c>
      <c r="D2918" s="22">
        <f>(1+D2917)*IF(AND(Painel_diario!$H2914="ED_JD",Painel_diario!$J2914=1),EXP(Painel_diario!$L2914),1)-1</f>
        <v/>
      </c>
      <c r="E2918" s="22">
        <f>(1+E2917)*IF(AND(Painel_diario!$H2914="ED_JU",Painel_diario!$J2914=1),EXP(Painel_diario!$L2914),1)-1</f>
        <v/>
      </c>
    </row>
    <row r="2919">
      <c r="A2919" s="25" t="n">
        <v>43124</v>
      </c>
      <c r="B2919" s="22">
        <f>(1+B2918)*IF(AND(Painel_diario!$H2915="EU_JD",Painel_diario!$J2915=1),EXP(Painel_diario!$L2915),1)-1</f>
        <v/>
      </c>
      <c r="C2919" s="22">
        <f>(1+C2918)*IF(AND(Painel_diario!$H2915="EU_JU",Painel_diario!$J2915=1),EXP(Painel_diario!$L2915),1)-1</f>
        <v/>
      </c>
      <c r="D2919" s="22">
        <f>(1+D2918)*IF(AND(Painel_diario!$H2915="ED_JD",Painel_diario!$J2915=1),EXP(Painel_diario!$L2915),1)-1</f>
        <v/>
      </c>
      <c r="E2919" s="22">
        <f>(1+E2918)*IF(AND(Painel_diario!$H2915="ED_JU",Painel_diario!$J2915=1),EXP(Painel_diario!$L2915),1)-1</f>
        <v/>
      </c>
    </row>
    <row r="2920">
      <c r="A2920" s="25" t="n">
        <v>43126</v>
      </c>
      <c r="B2920" s="22">
        <f>(1+B2919)*IF(AND(Painel_diario!$H2916="EU_JD",Painel_diario!$J2916=1),EXP(Painel_diario!$L2916),1)-1</f>
        <v/>
      </c>
      <c r="C2920" s="22">
        <f>(1+C2919)*IF(AND(Painel_diario!$H2916="EU_JU",Painel_diario!$J2916=1),EXP(Painel_diario!$L2916),1)-1</f>
        <v/>
      </c>
      <c r="D2920" s="22">
        <f>(1+D2919)*IF(AND(Painel_diario!$H2916="ED_JD",Painel_diario!$J2916=1),EXP(Painel_diario!$L2916),1)-1</f>
        <v/>
      </c>
      <c r="E2920" s="22">
        <f>(1+E2919)*IF(AND(Painel_diario!$H2916="ED_JU",Painel_diario!$J2916=1),EXP(Painel_diario!$L2916),1)-1</f>
        <v/>
      </c>
    </row>
    <row r="2921">
      <c r="A2921" s="25" t="n">
        <v>43129</v>
      </c>
      <c r="B2921" s="22">
        <f>(1+B2920)*IF(AND(Painel_diario!$H2917="EU_JD",Painel_diario!$J2917=1),EXP(Painel_diario!$L2917),1)-1</f>
        <v/>
      </c>
      <c r="C2921" s="22">
        <f>(1+C2920)*IF(AND(Painel_diario!$H2917="EU_JU",Painel_diario!$J2917=1),EXP(Painel_diario!$L2917),1)-1</f>
        <v/>
      </c>
      <c r="D2921" s="22">
        <f>(1+D2920)*IF(AND(Painel_diario!$H2917="ED_JD",Painel_diario!$J2917=1),EXP(Painel_diario!$L2917),1)-1</f>
        <v/>
      </c>
      <c r="E2921" s="22">
        <f>(1+E2920)*IF(AND(Painel_diario!$H2917="ED_JU",Painel_diario!$J2917=1),EXP(Painel_diario!$L2917),1)-1</f>
        <v/>
      </c>
    </row>
    <row r="2922">
      <c r="A2922" s="25" t="n">
        <v>43130</v>
      </c>
      <c r="B2922" s="22">
        <f>(1+B2921)*IF(AND(Painel_diario!$H2918="EU_JD",Painel_diario!$J2918=1),EXP(Painel_diario!$L2918),1)-1</f>
        <v/>
      </c>
      <c r="C2922" s="22">
        <f>(1+C2921)*IF(AND(Painel_diario!$H2918="EU_JU",Painel_diario!$J2918=1),EXP(Painel_diario!$L2918),1)-1</f>
        <v/>
      </c>
      <c r="D2922" s="22">
        <f>(1+D2921)*IF(AND(Painel_diario!$H2918="ED_JD",Painel_diario!$J2918=1),EXP(Painel_diario!$L2918),1)-1</f>
        <v/>
      </c>
      <c r="E2922" s="22">
        <f>(1+E2921)*IF(AND(Painel_diario!$H2918="ED_JU",Painel_diario!$J2918=1),EXP(Painel_diario!$L2918),1)-1</f>
        <v/>
      </c>
    </row>
    <row r="2923">
      <c r="A2923" s="25" t="n">
        <v>43131</v>
      </c>
      <c r="B2923" s="22">
        <f>(1+B2922)*IF(AND(Painel_diario!$H2919="EU_JD",Painel_diario!$J2919=1),EXP(Painel_diario!$L2919),1)-1</f>
        <v/>
      </c>
      <c r="C2923" s="22">
        <f>(1+C2922)*IF(AND(Painel_diario!$H2919="EU_JU",Painel_diario!$J2919=1),EXP(Painel_diario!$L2919),1)-1</f>
        <v/>
      </c>
      <c r="D2923" s="22">
        <f>(1+D2922)*IF(AND(Painel_diario!$H2919="ED_JD",Painel_diario!$J2919=1),EXP(Painel_diario!$L2919),1)-1</f>
        <v/>
      </c>
      <c r="E2923" s="22">
        <f>(1+E2922)*IF(AND(Painel_diario!$H2919="ED_JU",Painel_diario!$J2919=1),EXP(Painel_diario!$L2919),1)-1</f>
        <v/>
      </c>
    </row>
    <row r="2924">
      <c r="A2924" s="25" t="n">
        <v>43132</v>
      </c>
      <c r="B2924" s="22">
        <f>(1+B2923)*IF(AND(Painel_diario!$H2920="EU_JD",Painel_diario!$J2920=1),EXP(Painel_diario!$L2920),1)-1</f>
        <v/>
      </c>
      <c r="C2924" s="22">
        <f>(1+C2923)*IF(AND(Painel_diario!$H2920="EU_JU",Painel_diario!$J2920=1),EXP(Painel_diario!$L2920),1)-1</f>
        <v/>
      </c>
      <c r="D2924" s="22">
        <f>(1+D2923)*IF(AND(Painel_diario!$H2920="ED_JD",Painel_diario!$J2920=1),EXP(Painel_diario!$L2920),1)-1</f>
        <v/>
      </c>
      <c r="E2924" s="22">
        <f>(1+E2923)*IF(AND(Painel_diario!$H2920="ED_JU",Painel_diario!$J2920=1),EXP(Painel_diario!$L2920),1)-1</f>
        <v/>
      </c>
    </row>
    <row r="2925">
      <c r="A2925" s="25" t="n">
        <v>43133</v>
      </c>
      <c r="B2925" s="22">
        <f>(1+B2924)*IF(AND(Painel_diario!$H2921="EU_JD",Painel_diario!$J2921=1),EXP(Painel_diario!$L2921),1)-1</f>
        <v/>
      </c>
      <c r="C2925" s="22">
        <f>(1+C2924)*IF(AND(Painel_diario!$H2921="EU_JU",Painel_diario!$J2921=1),EXP(Painel_diario!$L2921),1)-1</f>
        <v/>
      </c>
      <c r="D2925" s="22">
        <f>(1+D2924)*IF(AND(Painel_diario!$H2921="ED_JD",Painel_diario!$J2921=1),EXP(Painel_diario!$L2921),1)-1</f>
        <v/>
      </c>
      <c r="E2925" s="22">
        <f>(1+E2924)*IF(AND(Painel_diario!$H2921="ED_JU",Painel_diario!$J2921=1),EXP(Painel_diario!$L2921),1)-1</f>
        <v/>
      </c>
    </row>
    <row r="2926">
      <c r="A2926" s="25" t="n">
        <v>43136</v>
      </c>
      <c r="B2926" s="22">
        <f>(1+B2925)*IF(AND(Painel_diario!$H2922="EU_JD",Painel_diario!$J2922=1),EXP(Painel_diario!$L2922),1)-1</f>
        <v/>
      </c>
      <c r="C2926" s="22">
        <f>(1+C2925)*IF(AND(Painel_diario!$H2922="EU_JU",Painel_diario!$J2922=1),EXP(Painel_diario!$L2922),1)-1</f>
        <v/>
      </c>
      <c r="D2926" s="22">
        <f>(1+D2925)*IF(AND(Painel_diario!$H2922="ED_JD",Painel_diario!$J2922=1),EXP(Painel_diario!$L2922),1)-1</f>
        <v/>
      </c>
      <c r="E2926" s="22">
        <f>(1+E2925)*IF(AND(Painel_diario!$H2922="ED_JU",Painel_diario!$J2922=1),EXP(Painel_diario!$L2922),1)-1</f>
        <v/>
      </c>
    </row>
    <row r="2927">
      <c r="A2927" s="25" t="n">
        <v>43137</v>
      </c>
      <c r="B2927" s="22">
        <f>(1+B2926)*IF(AND(Painel_diario!$H2923="EU_JD",Painel_diario!$J2923=1),EXP(Painel_diario!$L2923),1)-1</f>
        <v/>
      </c>
      <c r="C2927" s="22">
        <f>(1+C2926)*IF(AND(Painel_diario!$H2923="EU_JU",Painel_diario!$J2923=1),EXP(Painel_diario!$L2923),1)-1</f>
        <v/>
      </c>
      <c r="D2927" s="22">
        <f>(1+D2926)*IF(AND(Painel_diario!$H2923="ED_JD",Painel_diario!$J2923=1),EXP(Painel_diario!$L2923),1)-1</f>
        <v/>
      </c>
      <c r="E2927" s="22">
        <f>(1+E2926)*IF(AND(Painel_diario!$H2923="ED_JU",Painel_diario!$J2923=1),EXP(Painel_diario!$L2923),1)-1</f>
        <v/>
      </c>
    </row>
    <row r="2928">
      <c r="A2928" s="25" t="n">
        <v>43138</v>
      </c>
      <c r="B2928" s="22">
        <f>(1+B2927)*IF(AND(Painel_diario!$H2924="EU_JD",Painel_diario!$J2924=1),EXP(Painel_diario!$L2924),1)-1</f>
        <v/>
      </c>
      <c r="C2928" s="22">
        <f>(1+C2927)*IF(AND(Painel_diario!$H2924="EU_JU",Painel_diario!$J2924=1),EXP(Painel_diario!$L2924),1)-1</f>
        <v/>
      </c>
      <c r="D2928" s="22">
        <f>(1+D2927)*IF(AND(Painel_diario!$H2924="ED_JD",Painel_diario!$J2924=1),EXP(Painel_diario!$L2924),1)-1</f>
        <v/>
      </c>
      <c r="E2928" s="22">
        <f>(1+E2927)*IF(AND(Painel_diario!$H2924="ED_JU",Painel_diario!$J2924=1),EXP(Painel_diario!$L2924),1)-1</f>
        <v/>
      </c>
    </row>
    <row r="2929">
      <c r="A2929" s="25" t="n">
        <v>43139</v>
      </c>
      <c r="B2929" s="22">
        <f>(1+B2928)*IF(AND(Painel_diario!$H2925="EU_JD",Painel_diario!$J2925=1),EXP(Painel_diario!$L2925),1)-1</f>
        <v/>
      </c>
      <c r="C2929" s="22">
        <f>(1+C2928)*IF(AND(Painel_diario!$H2925="EU_JU",Painel_diario!$J2925=1),EXP(Painel_diario!$L2925),1)-1</f>
        <v/>
      </c>
      <c r="D2929" s="22">
        <f>(1+D2928)*IF(AND(Painel_diario!$H2925="ED_JD",Painel_diario!$J2925=1),EXP(Painel_diario!$L2925),1)-1</f>
        <v/>
      </c>
      <c r="E2929" s="22">
        <f>(1+E2928)*IF(AND(Painel_diario!$H2925="ED_JU",Painel_diario!$J2925=1),EXP(Painel_diario!$L2925),1)-1</f>
        <v/>
      </c>
    </row>
    <row r="2930">
      <c r="A2930" s="25" t="n">
        <v>43140</v>
      </c>
      <c r="B2930" s="22">
        <f>(1+B2929)*IF(AND(Painel_diario!$H2926="EU_JD",Painel_diario!$J2926=1),EXP(Painel_diario!$L2926),1)-1</f>
        <v/>
      </c>
      <c r="C2930" s="22">
        <f>(1+C2929)*IF(AND(Painel_diario!$H2926="EU_JU",Painel_diario!$J2926=1),EXP(Painel_diario!$L2926),1)-1</f>
        <v/>
      </c>
      <c r="D2930" s="22">
        <f>(1+D2929)*IF(AND(Painel_diario!$H2926="ED_JD",Painel_diario!$J2926=1),EXP(Painel_diario!$L2926),1)-1</f>
        <v/>
      </c>
      <c r="E2930" s="22">
        <f>(1+E2929)*IF(AND(Painel_diario!$H2926="ED_JU",Painel_diario!$J2926=1),EXP(Painel_diario!$L2926),1)-1</f>
        <v/>
      </c>
    </row>
    <row r="2931">
      <c r="A2931" s="25" t="n">
        <v>43145</v>
      </c>
      <c r="B2931" s="22">
        <f>(1+B2930)*IF(AND(Painel_diario!$H2927="EU_JD",Painel_diario!$J2927=1),EXP(Painel_diario!$L2927),1)-1</f>
        <v/>
      </c>
      <c r="C2931" s="22">
        <f>(1+C2930)*IF(AND(Painel_diario!$H2927="EU_JU",Painel_diario!$J2927=1),EXP(Painel_diario!$L2927),1)-1</f>
        <v/>
      </c>
      <c r="D2931" s="22">
        <f>(1+D2930)*IF(AND(Painel_diario!$H2927="ED_JD",Painel_diario!$J2927=1),EXP(Painel_diario!$L2927),1)-1</f>
        <v/>
      </c>
      <c r="E2931" s="22">
        <f>(1+E2930)*IF(AND(Painel_diario!$H2927="ED_JU",Painel_diario!$J2927=1),EXP(Painel_diario!$L2927),1)-1</f>
        <v/>
      </c>
    </row>
    <row r="2932">
      <c r="A2932" s="25" t="n">
        <v>43146</v>
      </c>
      <c r="B2932" s="22">
        <f>(1+B2931)*IF(AND(Painel_diario!$H2928="EU_JD",Painel_diario!$J2928=1),EXP(Painel_diario!$L2928),1)-1</f>
        <v/>
      </c>
      <c r="C2932" s="22">
        <f>(1+C2931)*IF(AND(Painel_diario!$H2928="EU_JU",Painel_diario!$J2928=1),EXP(Painel_diario!$L2928),1)-1</f>
        <v/>
      </c>
      <c r="D2932" s="22">
        <f>(1+D2931)*IF(AND(Painel_diario!$H2928="ED_JD",Painel_diario!$J2928=1),EXP(Painel_diario!$L2928),1)-1</f>
        <v/>
      </c>
      <c r="E2932" s="22">
        <f>(1+E2931)*IF(AND(Painel_diario!$H2928="ED_JU",Painel_diario!$J2928=1),EXP(Painel_diario!$L2928),1)-1</f>
        <v/>
      </c>
    </row>
    <row r="2933">
      <c r="A2933" s="25" t="n">
        <v>43147</v>
      </c>
      <c r="B2933" s="22">
        <f>(1+B2932)*IF(AND(Painel_diario!$H2929="EU_JD",Painel_diario!$J2929=1),EXP(Painel_diario!$L2929),1)-1</f>
        <v/>
      </c>
      <c r="C2933" s="22">
        <f>(1+C2932)*IF(AND(Painel_diario!$H2929="EU_JU",Painel_diario!$J2929=1),EXP(Painel_diario!$L2929),1)-1</f>
        <v/>
      </c>
      <c r="D2933" s="22">
        <f>(1+D2932)*IF(AND(Painel_diario!$H2929="ED_JD",Painel_diario!$J2929=1),EXP(Painel_diario!$L2929),1)-1</f>
        <v/>
      </c>
      <c r="E2933" s="22">
        <f>(1+E2932)*IF(AND(Painel_diario!$H2929="ED_JU",Painel_diario!$J2929=1),EXP(Painel_diario!$L2929),1)-1</f>
        <v/>
      </c>
    </row>
    <row r="2934">
      <c r="A2934" s="25" t="n">
        <v>43150</v>
      </c>
      <c r="B2934" s="22">
        <f>(1+B2933)*IF(AND(Painel_diario!$H2930="EU_JD",Painel_diario!$J2930=1),EXP(Painel_diario!$L2930),1)-1</f>
        <v/>
      </c>
      <c r="C2934" s="22">
        <f>(1+C2933)*IF(AND(Painel_diario!$H2930="EU_JU",Painel_diario!$J2930=1),EXP(Painel_diario!$L2930),1)-1</f>
        <v/>
      </c>
      <c r="D2934" s="22">
        <f>(1+D2933)*IF(AND(Painel_diario!$H2930="ED_JD",Painel_diario!$J2930=1),EXP(Painel_diario!$L2930),1)-1</f>
        <v/>
      </c>
      <c r="E2934" s="22">
        <f>(1+E2933)*IF(AND(Painel_diario!$H2930="ED_JU",Painel_diario!$J2930=1),EXP(Painel_diario!$L2930),1)-1</f>
        <v/>
      </c>
    </row>
    <row r="2935">
      <c r="A2935" s="25" t="n">
        <v>43151</v>
      </c>
      <c r="B2935" s="22">
        <f>(1+B2934)*IF(AND(Painel_diario!$H2931="EU_JD",Painel_diario!$J2931=1),EXP(Painel_diario!$L2931),1)-1</f>
        <v/>
      </c>
      <c r="C2935" s="22">
        <f>(1+C2934)*IF(AND(Painel_diario!$H2931="EU_JU",Painel_diario!$J2931=1),EXP(Painel_diario!$L2931),1)-1</f>
        <v/>
      </c>
      <c r="D2935" s="22">
        <f>(1+D2934)*IF(AND(Painel_diario!$H2931="ED_JD",Painel_diario!$J2931=1),EXP(Painel_diario!$L2931),1)-1</f>
        <v/>
      </c>
      <c r="E2935" s="22">
        <f>(1+E2934)*IF(AND(Painel_diario!$H2931="ED_JU",Painel_diario!$J2931=1),EXP(Painel_diario!$L2931),1)-1</f>
        <v/>
      </c>
    </row>
    <row r="2936">
      <c r="A2936" s="25" t="n">
        <v>43152</v>
      </c>
      <c r="B2936" s="22">
        <f>(1+B2935)*IF(AND(Painel_diario!$H2932="EU_JD",Painel_diario!$J2932=1),EXP(Painel_diario!$L2932),1)-1</f>
        <v/>
      </c>
      <c r="C2936" s="22">
        <f>(1+C2935)*IF(AND(Painel_diario!$H2932="EU_JU",Painel_diario!$J2932=1),EXP(Painel_diario!$L2932),1)-1</f>
        <v/>
      </c>
      <c r="D2936" s="22">
        <f>(1+D2935)*IF(AND(Painel_diario!$H2932="ED_JD",Painel_diario!$J2932=1),EXP(Painel_diario!$L2932),1)-1</f>
        <v/>
      </c>
      <c r="E2936" s="22">
        <f>(1+E2935)*IF(AND(Painel_diario!$H2932="ED_JU",Painel_diario!$J2932=1),EXP(Painel_diario!$L2932),1)-1</f>
        <v/>
      </c>
    </row>
    <row r="2937">
      <c r="A2937" s="25" t="n">
        <v>43153</v>
      </c>
      <c r="B2937" s="22">
        <f>(1+B2936)*IF(AND(Painel_diario!$H2933="EU_JD",Painel_diario!$J2933=1),EXP(Painel_diario!$L2933),1)-1</f>
        <v/>
      </c>
      <c r="C2937" s="22">
        <f>(1+C2936)*IF(AND(Painel_diario!$H2933="EU_JU",Painel_diario!$J2933=1),EXP(Painel_diario!$L2933),1)-1</f>
        <v/>
      </c>
      <c r="D2937" s="22">
        <f>(1+D2936)*IF(AND(Painel_diario!$H2933="ED_JD",Painel_diario!$J2933=1),EXP(Painel_diario!$L2933),1)-1</f>
        <v/>
      </c>
      <c r="E2937" s="22">
        <f>(1+E2936)*IF(AND(Painel_diario!$H2933="ED_JU",Painel_diario!$J2933=1),EXP(Painel_diario!$L2933),1)-1</f>
        <v/>
      </c>
    </row>
    <row r="2938">
      <c r="A2938" s="25" t="n">
        <v>43154</v>
      </c>
      <c r="B2938" s="22">
        <f>(1+B2937)*IF(AND(Painel_diario!$H2934="EU_JD",Painel_diario!$J2934=1),EXP(Painel_diario!$L2934),1)-1</f>
        <v/>
      </c>
      <c r="C2938" s="22">
        <f>(1+C2937)*IF(AND(Painel_diario!$H2934="EU_JU",Painel_diario!$J2934=1),EXP(Painel_diario!$L2934),1)-1</f>
        <v/>
      </c>
      <c r="D2938" s="22">
        <f>(1+D2937)*IF(AND(Painel_diario!$H2934="ED_JD",Painel_diario!$J2934=1),EXP(Painel_diario!$L2934),1)-1</f>
        <v/>
      </c>
      <c r="E2938" s="22">
        <f>(1+E2937)*IF(AND(Painel_diario!$H2934="ED_JU",Painel_diario!$J2934=1),EXP(Painel_diario!$L2934),1)-1</f>
        <v/>
      </c>
    </row>
    <row r="2939">
      <c r="A2939" s="25" t="n">
        <v>43157</v>
      </c>
      <c r="B2939" s="22">
        <f>(1+B2938)*IF(AND(Painel_diario!$H2935="EU_JD",Painel_diario!$J2935=1),EXP(Painel_diario!$L2935),1)-1</f>
        <v/>
      </c>
      <c r="C2939" s="22">
        <f>(1+C2938)*IF(AND(Painel_diario!$H2935="EU_JU",Painel_diario!$J2935=1),EXP(Painel_diario!$L2935),1)-1</f>
        <v/>
      </c>
      <c r="D2939" s="22">
        <f>(1+D2938)*IF(AND(Painel_diario!$H2935="ED_JD",Painel_diario!$J2935=1),EXP(Painel_diario!$L2935),1)-1</f>
        <v/>
      </c>
      <c r="E2939" s="22">
        <f>(1+E2938)*IF(AND(Painel_diario!$H2935="ED_JU",Painel_diario!$J2935=1),EXP(Painel_diario!$L2935),1)-1</f>
        <v/>
      </c>
    </row>
    <row r="2940">
      <c r="A2940" s="25" t="n">
        <v>43158</v>
      </c>
      <c r="B2940" s="22">
        <f>(1+B2939)*IF(AND(Painel_diario!$H2936="EU_JD",Painel_diario!$J2936=1),EXP(Painel_diario!$L2936),1)-1</f>
        <v/>
      </c>
      <c r="C2940" s="22">
        <f>(1+C2939)*IF(AND(Painel_diario!$H2936="EU_JU",Painel_diario!$J2936=1),EXP(Painel_diario!$L2936),1)-1</f>
        <v/>
      </c>
      <c r="D2940" s="22">
        <f>(1+D2939)*IF(AND(Painel_diario!$H2936="ED_JD",Painel_diario!$J2936=1),EXP(Painel_diario!$L2936),1)-1</f>
        <v/>
      </c>
      <c r="E2940" s="22">
        <f>(1+E2939)*IF(AND(Painel_diario!$H2936="ED_JU",Painel_diario!$J2936=1),EXP(Painel_diario!$L2936),1)-1</f>
        <v/>
      </c>
    </row>
    <row r="2941">
      <c r="A2941" s="25" t="n">
        <v>43159</v>
      </c>
      <c r="B2941" s="22">
        <f>(1+B2940)*IF(AND(Painel_diario!$H2937="EU_JD",Painel_diario!$J2937=1),EXP(Painel_diario!$L2937),1)-1</f>
        <v/>
      </c>
      <c r="C2941" s="22">
        <f>(1+C2940)*IF(AND(Painel_diario!$H2937="EU_JU",Painel_diario!$J2937=1),EXP(Painel_diario!$L2937),1)-1</f>
        <v/>
      </c>
      <c r="D2941" s="22">
        <f>(1+D2940)*IF(AND(Painel_diario!$H2937="ED_JD",Painel_diario!$J2937=1),EXP(Painel_diario!$L2937),1)-1</f>
        <v/>
      </c>
      <c r="E2941" s="22">
        <f>(1+E2940)*IF(AND(Painel_diario!$H2937="ED_JU",Painel_diario!$J2937=1),EXP(Painel_diario!$L2937),1)-1</f>
        <v/>
      </c>
    </row>
    <row r="2942">
      <c r="A2942" s="25" t="n">
        <v>43160</v>
      </c>
      <c r="B2942" s="22">
        <f>(1+B2941)*IF(AND(Painel_diario!$H2938="EU_JD",Painel_diario!$J2938=1),EXP(Painel_diario!$L2938),1)-1</f>
        <v/>
      </c>
      <c r="C2942" s="22">
        <f>(1+C2941)*IF(AND(Painel_diario!$H2938="EU_JU",Painel_diario!$J2938=1),EXP(Painel_diario!$L2938),1)-1</f>
        <v/>
      </c>
      <c r="D2942" s="22">
        <f>(1+D2941)*IF(AND(Painel_diario!$H2938="ED_JD",Painel_diario!$J2938=1),EXP(Painel_diario!$L2938),1)-1</f>
        <v/>
      </c>
      <c r="E2942" s="22">
        <f>(1+E2941)*IF(AND(Painel_diario!$H2938="ED_JU",Painel_diario!$J2938=1),EXP(Painel_diario!$L2938),1)-1</f>
        <v/>
      </c>
    </row>
    <row r="2943">
      <c r="A2943" s="25" t="n">
        <v>43161</v>
      </c>
      <c r="B2943" s="22">
        <f>(1+B2942)*IF(AND(Painel_diario!$H2939="EU_JD",Painel_diario!$J2939=1),EXP(Painel_diario!$L2939),1)-1</f>
        <v/>
      </c>
      <c r="C2943" s="22">
        <f>(1+C2942)*IF(AND(Painel_diario!$H2939="EU_JU",Painel_diario!$J2939=1),EXP(Painel_diario!$L2939),1)-1</f>
        <v/>
      </c>
      <c r="D2943" s="22">
        <f>(1+D2942)*IF(AND(Painel_diario!$H2939="ED_JD",Painel_diario!$J2939=1),EXP(Painel_diario!$L2939),1)-1</f>
        <v/>
      </c>
      <c r="E2943" s="22">
        <f>(1+E2942)*IF(AND(Painel_diario!$H2939="ED_JU",Painel_diario!$J2939=1),EXP(Painel_diario!$L2939),1)-1</f>
        <v/>
      </c>
    </row>
    <row r="2944">
      <c r="A2944" s="25" t="n">
        <v>43164</v>
      </c>
      <c r="B2944" s="22">
        <f>(1+B2943)*IF(AND(Painel_diario!$H2940="EU_JD",Painel_diario!$J2940=1),EXP(Painel_diario!$L2940),1)-1</f>
        <v/>
      </c>
      <c r="C2944" s="22">
        <f>(1+C2943)*IF(AND(Painel_diario!$H2940="EU_JU",Painel_diario!$J2940=1),EXP(Painel_diario!$L2940),1)-1</f>
        <v/>
      </c>
      <c r="D2944" s="22">
        <f>(1+D2943)*IF(AND(Painel_diario!$H2940="ED_JD",Painel_diario!$J2940=1),EXP(Painel_diario!$L2940),1)-1</f>
        <v/>
      </c>
      <c r="E2944" s="22">
        <f>(1+E2943)*IF(AND(Painel_diario!$H2940="ED_JU",Painel_diario!$J2940=1),EXP(Painel_diario!$L2940),1)-1</f>
        <v/>
      </c>
    </row>
    <row r="2945">
      <c r="A2945" s="25" t="n">
        <v>43165</v>
      </c>
      <c r="B2945" s="22">
        <f>(1+B2944)*IF(AND(Painel_diario!$H2941="EU_JD",Painel_diario!$J2941=1),EXP(Painel_diario!$L2941),1)-1</f>
        <v/>
      </c>
      <c r="C2945" s="22">
        <f>(1+C2944)*IF(AND(Painel_diario!$H2941="EU_JU",Painel_diario!$J2941=1),EXP(Painel_diario!$L2941),1)-1</f>
        <v/>
      </c>
      <c r="D2945" s="22">
        <f>(1+D2944)*IF(AND(Painel_diario!$H2941="ED_JD",Painel_diario!$J2941=1),EXP(Painel_diario!$L2941),1)-1</f>
        <v/>
      </c>
      <c r="E2945" s="22">
        <f>(1+E2944)*IF(AND(Painel_diario!$H2941="ED_JU",Painel_diario!$J2941=1),EXP(Painel_diario!$L2941),1)-1</f>
        <v/>
      </c>
    </row>
    <row r="2946">
      <c r="A2946" s="25" t="n">
        <v>43166</v>
      </c>
      <c r="B2946" s="22">
        <f>(1+B2945)*IF(AND(Painel_diario!$H2942="EU_JD",Painel_diario!$J2942=1),EXP(Painel_diario!$L2942),1)-1</f>
        <v/>
      </c>
      <c r="C2946" s="22">
        <f>(1+C2945)*IF(AND(Painel_diario!$H2942="EU_JU",Painel_diario!$J2942=1),EXP(Painel_diario!$L2942),1)-1</f>
        <v/>
      </c>
      <c r="D2946" s="22">
        <f>(1+D2945)*IF(AND(Painel_diario!$H2942="ED_JD",Painel_diario!$J2942=1),EXP(Painel_diario!$L2942),1)-1</f>
        <v/>
      </c>
      <c r="E2946" s="22">
        <f>(1+E2945)*IF(AND(Painel_diario!$H2942="ED_JU",Painel_diario!$J2942=1),EXP(Painel_diario!$L2942),1)-1</f>
        <v/>
      </c>
    </row>
    <row r="2947">
      <c r="A2947" s="25" t="n">
        <v>43167</v>
      </c>
      <c r="B2947" s="22">
        <f>(1+B2946)*IF(AND(Painel_diario!$H2943="EU_JD",Painel_diario!$J2943=1),EXP(Painel_diario!$L2943),1)-1</f>
        <v/>
      </c>
      <c r="C2947" s="22">
        <f>(1+C2946)*IF(AND(Painel_diario!$H2943="EU_JU",Painel_diario!$J2943=1),EXP(Painel_diario!$L2943),1)-1</f>
        <v/>
      </c>
      <c r="D2947" s="22">
        <f>(1+D2946)*IF(AND(Painel_diario!$H2943="ED_JD",Painel_diario!$J2943=1),EXP(Painel_diario!$L2943),1)-1</f>
        <v/>
      </c>
      <c r="E2947" s="22">
        <f>(1+E2946)*IF(AND(Painel_diario!$H2943="ED_JU",Painel_diario!$J2943=1),EXP(Painel_diario!$L2943),1)-1</f>
        <v/>
      </c>
    </row>
    <row r="2948">
      <c r="A2948" s="25" t="n">
        <v>43168</v>
      </c>
      <c r="B2948" s="22">
        <f>(1+B2947)*IF(AND(Painel_diario!$H2944="EU_JD",Painel_diario!$J2944=1),EXP(Painel_diario!$L2944),1)-1</f>
        <v/>
      </c>
      <c r="C2948" s="22">
        <f>(1+C2947)*IF(AND(Painel_diario!$H2944="EU_JU",Painel_diario!$J2944=1),EXP(Painel_diario!$L2944),1)-1</f>
        <v/>
      </c>
      <c r="D2948" s="22">
        <f>(1+D2947)*IF(AND(Painel_diario!$H2944="ED_JD",Painel_diario!$J2944=1),EXP(Painel_diario!$L2944),1)-1</f>
        <v/>
      </c>
      <c r="E2948" s="22">
        <f>(1+E2947)*IF(AND(Painel_diario!$H2944="ED_JU",Painel_diario!$J2944=1),EXP(Painel_diario!$L2944),1)-1</f>
        <v/>
      </c>
    </row>
    <row r="2949">
      <c r="A2949" s="25" t="n">
        <v>43171</v>
      </c>
      <c r="B2949" s="22">
        <f>(1+B2948)*IF(AND(Painel_diario!$H2945="EU_JD",Painel_diario!$J2945=1),EXP(Painel_diario!$L2945),1)-1</f>
        <v/>
      </c>
      <c r="C2949" s="22">
        <f>(1+C2948)*IF(AND(Painel_diario!$H2945="EU_JU",Painel_diario!$J2945=1),EXP(Painel_diario!$L2945),1)-1</f>
        <v/>
      </c>
      <c r="D2949" s="22">
        <f>(1+D2948)*IF(AND(Painel_diario!$H2945="ED_JD",Painel_diario!$J2945=1),EXP(Painel_diario!$L2945),1)-1</f>
        <v/>
      </c>
      <c r="E2949" s="22">
        <f>(1+E2948)*IF(AND(Painel_diario!$H2945="ED_JU",Painel_diario!$J2945=1),EXP(Painel_diario!$L2945),1)-1</f>
        <v/>
      </c>
    </row>
    <row r="2950">
      <c r="A2950" s="25" t="n">
        <v>43172</v>
      </c>
      <c r="B2950" s="22">
        <f>(1+B2949)*IF(AND(Painel_diario!$H2946="EU_JD",Painel_diario!$J2946=1),EXP(Painel_diario!$L2946),1)-1</f>
        <v/>
      </c>
      <c r="C2950" s="22">
        <f>(1+C2949)*IF(AND(Painel_diario!$H2946="EU_JU",Painel_diario!$J2946=1),EXP(Painel_diario!$L2946),1)-1</f>
        <v/>
      </c>
      <c r="D2950" s="22">
        <f>(1+D2949)*IF(AND(Painel_diario!$H2946="ED_JD",Painel_diario!$J2946=1),EXP(Painel_diario!$L2946),1)-1</f>
        <v/>
      </c>
      <c r="E2950" s="22">
        <f>(1+E2949)*IF(AND(Painel_diario!$H2946="ED_JU",Painel_diario!$J2946=1),EXP(Painel_diario!$L2946),1)-1</f>
        <v/>
      </c>
    </row>
    <row r="2951">
      <c r="A2951" s="25" t="n">
        <v>43173</v>
      </c>
      <c r="B2951" s="22">
        <f>(1+B2950)*IF(AND(Painel_diario!$H2947="EU_JD",Painel_diario!$J2947=1),EXP(Painel_diario!$L2947),1)-1</f>
        <v/>
      </c>
      <c r="C2951" s="22">
        <f>(1+C2950)*IF(AND(Painel_diario!$H2947="EU_JU",Painel_diario!$J2947=1),EXP(Painel_diario!$L2947),1)-1</f>
        <v/>
      </c>
      <c r="D2951" s="22">
        <f>(1+D2950)*IF(AND(Painel_diario!$H2947="ED_JD",Painel_diario!$J2947=1),EXP(Painel_diario!$L2947),1)-1</f>
        <v/>
      </c>
      <c r="E2951" s="22">
        <f>(1+E2950)*IF(AND(Painel_diario!$H2947="ED_JU",Painel_diario!$J2947=1),EXP(Painel_diario!$L2947),1)-1</f>
        <v/>
      </c>
    </row>
    <row r="2952">
      <c r="A2952" s="25" t="n">
        <v>43174</v>
      </c>
      <c r="B2952" s="22">
        <f>(1+B2951)*IF(AND(Painel_diario!$H2948="EU_JD",Painel_diario!$J2948=1),EXP(Painel_diario!$L2948),1)-1</f>
        <v/>
      </c>
      <c r="C2952" s="22">
        <f>(1+C2951)*IF(AND(Painel_diario!$H2948="EU_JU",Painel_diario!$J2948=1),EXP(Painel_diario!$L2948),1)-1</f>
        <v/>
      </c>
      <c r="D2952" s="22">
        <f>(1+D2951)*IF(AND(Painel_diario!$H2948="ED_JD",Painel_diario!$J2948=1),EXP(Painel_diario!$L2948),1)-1</f>
        <v/>
      </c>
      <c r="E2952" s="22">
        <f>(1+E2951)*IF(AND(Painel_diario!$H2948="ED_JU",Painel_diario!$J2948=1),EXP(Painel_diario!$L2948),1)-1</f>
        <v/>
      </c>
    </row>
    <row r="2953">
      <c r="A2953" s="25" t="n">
        <v>43175</v>
      </c>
      <c r="B2953" s="22">
        <f>(1+B2952)*IF(AND(Painel_diario!$H2949="EU_JD",Painel_diario!$J2949=1),EXP(Painel_diario!$L2949),1)-1</f>
        <v/>
      </c>
      <c r="C2953" s="22">
        <f>(1+C2952)*IF(AND(Painel_diario!$H2949="EU_JU",Painel_diario!$J2949=1),EXP(Painel_diario!$L2949),1)-1</f>
        <v/>
      </c>
      <c r="D2953" s="22">
        <f>(1+D2952)*IF(AND(Painel_diario!$H2949="ED_JD",Painel_diario!$J2949=1),EXP(Painel_diario!$L2949),1)-1</f>
        <v/>
      </c>
      <c r="E2953" s="22">
        <f>(1+E2952)*IF(AND(Painel_diario!$H2949="ED_JU",Painel_diario!$J2949=1),EXP(Painel_diario!$L2949),1)-1</f>
        <v/>
      </c>
    </row>
    <row r="2954">
      <c r="A2954" s="25" t="n">
        <v>43178</v>
      </c>
      <c r="B2954" s="22">
        <f>(1+B2953)*IF(AND(Painel_diario!$H2950="EU_JD",Painel_diario!$J2950=1),EXP(Painel_diario!$L2950),1)-1</f>
        <v/>
      </c>
      <c r="C2954" s="22">
        <f>(1+C2953)*IF(AND(Painel_diario!$H2950="EU_JU",Painel_diario!$J2950=1),EXP(Painel_diario!$L2950),1)-1</f>
        <v/>
      </c>
      <c r="D2954" s="22">
        <f>(1+D2953)*IF(AND(Painel_diario!$H2950="ED_JD",Painel_diario!$J2950=1),EXP(Painel_diario!$L2950),1)-1</f>
        <v/>
      </c>
      <c r="E2954" s="22">
        <f>(1+E2953)*IF(AND(Painel_diario!$H2950="ED_JU",Painel_diario!$J2950=1),EXP(Painel_diario!$L2950),1)-1</f>
        <v/>
      </c>
    </row>
    <row r="2955">
      <c r="A2955" s="25" t="n">
        <v>43179</v>
      </c>
      <c r="B2955" s="22">
        <f>(1+B2954)*IF(AND(Painel_diario!$H2951="EU_JD",Painel_diario!$J2951=1),EXP(Painel_diario!$L2951),1)-1</f>
        <v/>
      </c>
      <c r="C2955" s="22">
        <f>(1+C2954)*IF(AND(Painel_diario!$H2951="EU_JU",Painel_diario!$J2951=1),EXP(Painel_diario!$L2951),1)-1</f>
        <v/>
      </c>
      <c r="D2955" s="22">
        <f>(1+D2954)*IF(AND(Painel_diario!$H2951="ED_JD",Painel_diario!$J2951=1),EXP(Painel_diario!$L2951),1)-1</f>
        <v/>
      </c>
      <c r="E2955" s="22">
        <f>(1+E2954)*IF(AND(Painel_diario!$H2951="ED_JU",Painel_diario!$J2951=1),EXP(Painel_diario!$L2951),1)-1</f>
        <v/>
      </c>
    </row>
    <row r="2956">
      <c r="A2956" s="25" t="n">
        <v>43180</v>
      </c>
      <c r="B2956" s="22">
        <f>(1+B2955)*IF(AND(Painel_diario!$H2952="EU_JD",Painel_diario!$J2952=1),EXP(Painel_diario!$L2952),1)-1</f>
        <v/>
      </c>
      <c r="C2956" s="22">
        <f>(1+C2955)*IF(AND(Painel_diario!$H2952="EU_JU",Painel_diario!$J2952=1),EXP(Painel_diario!$L2952),1)-1</f>
        <v/>
      </c>
      <c r="D2956" s="22">
        <f>(1+D2955)*IF(AND(Painel_diario!$H2952="ED_JD",Painel_diario!$J2952=1),EXP(Painel_diario!$L2952),1)-1</f>
        <v/>
      </c>
      <c r="E2956" s="22">
        <f>(1+E2955)*IF(AND(Painel_diario!$H2952="ED_JU",Painel_diario!$J2952=1),EXP(Painel_diario!$L2952),1)-1</f>
        <v/>
      </c>
    </row>
    <row r="2957">
      <c r="A2957" s="25" t="n">
        <v>43181</v>
      </c>
      <c r="B2957" s="22">
        <f>(1+B2956)*IF(AND(Painel_diario!$H2953="EU_JD",Painel_diario!$J2953=1),EXP(Painel_diario!$L2953),1)-1</f>
        <v/>
      </c>
      <c r="C2957" s="22">
        <f>(1+C2956)*IF(AND(Painel_diario!$H2953="EU_JU",Painel_diario!$J2953=1),EXP(Painel_diario!$L2953),1)-1</f>
        <v/>
      </c>
      <c r="D2957" s="22">
        <f>(1+D2956)*IF(AND(Painel_diario!$H2953="ED_JD",Painel_diario!$J2953=1),EXP(Painel_diario!$L2953),1)-1</f>
        <v/>
      </c>
      <c r="E2957" s="22">
        <f>(1+E2956)*IF(AND(Painel_diario!$H2953="ED_JU",Painel_diario!$J2953=1),EXP(Painel_diario!$L2953),1)-1</f>
        <v/>
      </c>
    </row>
    <row r="2958">
      <c r="A2958" s="25" t="n">
        <v>43182</v>
      </c>
      <c r="B2958" s="22">
        <f>(1+B2957)*IF(AND(Painel_diario!$H2954="EU_JD",Painel_diario!$J2954=1),EXP(Painel_diario!$L2954),1)-1</f>
        <v/>
      </c>
      <c r="C2958" s="22">
        <f>(1+C2957)*IF(AND(Painel_diario!$H2954="EU_JU",Painel_diario!$J2954=1),EXP(Painel_diario!$L2954),1)-1</f>
        <v/>
      </c>
      <c r="D2958" s="22">
        <f>(1+D2957)*IF(AND(Painel_diario!$H2954="ED_JD",Painel_diario!$J2954=1),EXP(Painel_diario!$L2954),1)-1</f>
        <v/>
      </c>
      <c r="E2958" s="22">
        <f>(1+E2957)*IF(AND(Painel_diario!$H2954="ED_JU",Painel_diario!$J2954=1),EXP(Painel_diario!$L2954),1)-1</f>
        <v/>
      </c>
    </row>
    <row r="2959">
      <c r="A2959" s="25" t="n">
        <v>43185</v>
      </c>
      <c r="B2959" s="22">
        <f>(1+B2958)*IF(AND(Painel_diario!$H2955="EU_JD",Painel_diario!$J2955=1),EXP(Painel_diario!$L2955),1)-1</f>
        <v/>
      </c>
      <c r="C2959" s="22">
        <f>(1+C2958)*IF(AND(Painel_diario!$H2955="EU_JU",Painel_diario!$J2955=1),EXP(Painel_diario!$L2955),1)-1</f>
        <v/>
      </c>
      <c r="D2959" s="22">
        <f>(1+D2958)*IF(AND(Painel_diario!$H2955="ED_JD",Painel_diario!$J2955=1),EXP(Painel_diario!$L2955),1)-1</f>
        <v/>
      </c>
      <c r="E2959" s="22">
        <f>(1+E2958)*IF(AND(Painel_diario!$H2955="ED_JU",Painel_diario!$J2955=1),EXP(Painel_diario!$L2955),1)-1</f>
        <v/>
      </c>
    </row>
    <row r="2960">
      <c r="A2960" s="25" t="n">
        <v>43186</v>
      </c>
      <c r="B2960" s="22">
        <f>(1+B2959)*IF(AND(Painel_diario!$H2956="EU_JD",Painel_diario!$J2956=1),EXP(Painel_diario!$L2956),1)-1</f>
        <v/>
      </c>
      <c r="C2960" s="22">
        <f>(1+C2959)*IF(AND(Painel_diario!$H2956="EU_JU",Painel_diario!$J2956=1),EXP(Painel_diario!$L2956),1)-1</f>
        <v/>
      </c>
      <c r="D2960" s="22">
        <f>(1+D2959)*IF(AND(Painel_diario!$H2956="ED_JD",Painel_diario!$J2956=1),EXP(Painel_diario!$L2956),1)-1</f>
        <v/>
      </c>
      <c r="E2960" s="22">
        <f>(1+E2959)*IF(AND(Painel_diario!$H2956="ED_JU",Painel_diario!$J2956=1),EXP(Painel_diario!$L2956),1)-1</f>
        <v/>
      </c>
    </row>
    <row r="2961">
      <c r="A2961" s="25" t="n">
        <v>43187</v>
      </c>
      <c r="B2961" s="22">
        <f>(1+B2960)*IF(AND(Painel_diario!$H2957="EU_JD",Painel_diario!$J2957=1),EXP(Painel_diario!$L2957),1)-1</f>
        <v/>
      </c>
      <c r="C2961" s="22">
        <f>(1+C2960)*IF(AND(Painel_diario!$H2957="EU_JU",Painel_diario!$J2957=1),EXP(Painel_diario!$L2957),1)-1</f>
        <v/>
      </c>
      <c r="D2961" s="22">
        <f>(1+D2960)*IF(AND(Painel_diario!$H2957="ED_JD",Painel_diario!$J2957=1),EXP(Painel_diario!$L2957),1)-1</f>
        <v/>
      </c>
      <c r="E2961" s="22">
        <f>(1+E2960)*IF(AND(Painel_diario!$H2957="ED_JU",Painel_diario!$J2957=1),EXP(Painel_diario!$L2957),1)-1</f>
        <v/>
      </c>
    </row>
    <row r="2962">
      <c r="A2962" s="25" t="n">
        <v>43188</v>
      </c>
      <c r="B2962" s="22">
        <f>(1+B2961)*IF(AND(Painel_diario!$H2958="EU_JD",Painel_diario!$J2958=1),EXP(Painel_diario!$L2958),1)-1</f>
        <v/>
      </c>
      <c r="C2962" s="22">
        <f>(1+C2961)*IF(AND(Painel_diario!$H2958="EU_JU",Painel_diario!$J2958=1),EXP(Painel_diario!$L2958),1)-1</f>
        <v/>
      </c>
      <c r="D2962" s="22">
        <f>(1+D2961)*IF(AND(Painel_diario!$H2958="ED_JD",Painel_diario!$J2958=1),EXP(Painel_diario!$L2958),1)-1</f>
        <v/>
      </c>
      <c r="E2962" s="22">
        <f>(1+E2961)*IF(AND(Painel_diario!$H2958="ED_JU",Painel_diario!$J2958=1),EXP(Painel_diario!$L2958),1)-1</f>
        <v/>
      </c>
    </row>
    <row r="2963">
      <c r="A2963" s="25" t="n">
        <v>43192</v>
      </c>
      <c r="B2963" s="22">
        <f>(1+B2962)*IF(AND(Painel_diario!$H2959="EU_JD",Painel_diario!$J2959=1),EXP(Painel_diario!$L2959),1)-1</f>
        <v/>
      </c>
      <c r="C2963" s="22">
        <f>(1+C2962)*IF(AND(Painel_diario!$H2959="EU_JU",Painel_diario!$J2959=1),EXP(Painel_diario!$L2959),1)-1</f>
        <v/>
      </c>
      <c r="D2963" s="22">
        <f>(1+D2962)*IF(AND(Painel_diario!$H2959="ED_JD",Painel_diario!$J2959=1),EXP(Painel_diario!$L2959),1)-1</f>
        <v/>
      </c>
      <c r="E2963" s="22">
        <f>(1+E2962)*IF(AND(Painel_diario!$H2959="ED_JU",Painel_diario!$J2959=1),EXP(Painel_diario!$L2959),1)-1</f>
        <v/>
      </c>
    </row>
    <row r="2964">
      <c r="A2964" s="25" t="n">
        <v>43193</v>
      </c>
      <c r="B2964" s="22">
        <f>(1+B2963)*IF(AND(Painel_diario!$H2960="EU_JD",Painel_diario!$J2960=1),EXP(Painel_diario!$L2960),1)-1</f>
        <v/>
      </c>
      <c r="C2964" s="22">
        <f>(1+C2963)*IF(AND(Painel_diario!$H2960="EU_JU",Painel_diario!$J2960=1),EXP(Painel_diario!$L2960),1)-1</f>
        <v/>
      </c>
      <c r="D2964" s="22">
        <f>(1+D2963)*IF(AND(Painel_diario!$H2960="ED_JD",Painel_diario!$J2960=1),EXP(Painel_diario!$L2960),1)-1</f>
        <v/>
      </c>
      <c r="E2964" s="22">
        <f>(1+E2963)*IF(AND(Painel_diario!$H2960="ED_JU",Painel_diario!$J2960=1),EXP(Painel_diario!$L2960),1)-1</f>
        <v/>
      </c>
    </row>
    <row r="2965">
      <c r="A2965" s="25" t="n">
        <v>43194</v>
      </c>
      <c r="B2965" s="22">
        <f>(1+B2964)*IF(AND(Painel_diario!$H2961="EU_JD",Painel_diario!$J2961=1),EXP(Painel_diario!$L2961),1)-1</f>
        <v/>
      </c>
      <c r="C2965" s="22">
        <f>(1+C2964)*IF(AND(Painel_diario!$H2961="EU_JU",Painel_diario!$J2961=1),EXP(Painel_diario!$L2961),1)-1</f>
        <v/>
      </c>
      <c r="D2965" s="22">
        <f>(1+D2964)*IF(AND(Painel_diario!$H2961="ED_JD",Painel_diario!$J2961=1),EXP(Painel_diario!$L2961),1)-1</f>
        <v/>
      </c>
      <c r="E2965" s="22">
        <f>(1+E2964)*IF(AND(Painel_diario!$H2961="ED_JU",Painel_diario!$J2961=1),EXP(Painel_diario!$L2961),1)-1</f>
        <v/>
      </c>
    </row>
    <row r="2966">
      <c r="A2966" s="25" t="n">
        <v>43195</v>
      </c>
      <c r="B2966" s="22">
        <f>(1+B2965)*IF(AND(Painel_diario!$H2962="EU_JD",Painel_diario!$J2962=1),EXP(Painel_diario!$L2962),1)-1</f>
        <v/>
      </c>
      <c r="C2966" s="22">
        <f>(1+C2965)*IF(AND(Painel_diario!$H2962="EU_JU",Painel_diario!$J2962=1),EXP(Painel_diario!$L2962),1)-1</f>
        <v/>
      </c>
      <c r="D2966" s="22">
        <f>(1+D2965)*IF(AND(Painel_diario!$H2962="ED_JD",Painel_diario!$J2962=1),EXP(Painel_diario!$L2962),1)-1</f>
        <v/>
      </c>
      <c r="E2966" s="22">
        <f>(1+E2965)*IF(AND(Painel_diario!$H2962="ED_JU",Painel_diario!$J2962=1),EXP(Painel_diario!$L2962),1)-1</f>
        <v/>
      </c>
    </row>
    <row r="2967">
      <c r="A2967" s="25" t="n">
        <v>43196</v>
      </c>
      <c r="B2967" s="22">
        <f>(1+B2966)*IF(AND(Painel_diario!$H2963="EU_JD",Painel_diario!$J2963=1),EXP(Painel_diario!$L2963),1)-1</f>
        <v/>
      </c>
      <c r="C2967" s="22">
        <f>(1+C2966)*IF(AND(Painel_diario!$H2963="EU_JU",Painel_diario!$J2963=1),EXP(Painel_diario!$L2963),1)-1</f>
        <v/>
      </c>
      <c r="D2967" s="22">
        <f>(1+D2966)*IF(AND(Painel_diario!$H2963="ED_JD",Painel_diario!$J2963=1),EXP(Painel_diario!$L2963),1)-1</f>
        <v/>
      </c>
      <c r="E2967" s="22">
        <f>(1+E2966)*IF(AND(Painel_diario!$H2963="ED_JU",Painel_diario!$J2963=1),EXP(Painel_diario!$L2963),1)-1</f>
        <v/>
      </c>
    </row>
    <row r="2968">
      <c r="A2968" s="25" t="n">
        <v>43199</v>
      </c>
      <c r="B2968" s="22">
        <f>(1+B2967)*IF(AND(Painel_diario!$H2964="EU_JD",Painel_diario!$J2964=1),EXP(Painel_diario!$L2964),1)-1</f>
        <v/>
      </c>
      <c r="C2968" s="22">
        <f>(1+C2967)*IF(AND(Painel_diario!$H2964="EU_JU",Painel_diario!$J2964=1),EXP(Painel_diario!$L2964),1)-1</f>
        <v/>
      </c>
      <c r="D2968" s="22">
        <f>(1+D2967)*IF(AND(Painel_diario!$H2964="ED_JD",Painel_diario!$J2964=1),EXP(Painel_diario!$L2964),1)-1</f>
        <v/>
      </c>
      <c r="E2968" s="22">
        <f>(1+E2967)*IF(AND(Painel_diario!$H2964="ED_JU",Painel_diario!$J2964=1),EXP(Painel_diario!$L2964),1)-1</f>
        <v/>
      </c>
    </row>
    <row r="2969">
      <c r="A2969" s="25" t="n">
        <v>43200</v>
      </c>
      <c r="B2969" s="22">
        <f>(1+B2968)*IF(AND(Painel_diario!$H2965="EU_JD",Painel_diario!$J2965=1),EXP(Painel_diario!$L2965),1)-1</f>
        <v/>
      </c>
      <c r="C2969" s="22">
        <f>(1+C2968)*IF(AND(Painel_diario!$H2965="EU_JU",Painel_diario!$J2965=1),EXP(Painel_diario!$L2965),1)-1</f>
        <v/>
      </c>
      <c r="D2969" s="22">
        <f>(1+D2968)*IF(AND(Painel_diario!$H2965="ED_JD",Painel_diario!$J2965=1),EXP(Painel_diario!$L2965),1)-1</f>
        <v/>
      </c>
      <c r="E2969" s="22">
        <f>(1+E2968)*IF(AND(Painel_diario!$H2965="ED_JU",Painel_diario!$J2965=1),EXP(Painel_diario!$L2965),1)-1</f>
        <v/>
      </c>
    </row>
    <row r="2970">
      <c r="A2970" s="25" t="n">
        <v>43201</v>
      </c>
      <c r="B2970" s="22">
        <f>(1+B2969)*IF(AND(Painel_diario!$H2966="EU_JD",Painel_diario!$J2966=1),EXP(Painel_diario!$L2966),1)-1</f>
        <v/>
      </c>
      <c r="C2970" s="22">
        <f>(1+C2969)*IF(AND(Painel_diario!$H2966="EU_JU",Painel_diario!$J2966=1),EXP(Painel_diario!$L2966),1)-1</f>
        <v/>
      </c>
      <c r="D2970" s="22">
        <f>(1+D2969)*IF(AND(Painel_diario!$H2966="ED_JD",Painel_diario!$J2966=1),EXP(Painel_diario!$L2966),1)-1</f>
        <v/>
      </c>
      <c r="E2970" s="22">
        <f>(1+E2969)*IF(AND(Painel_diario!$H2966="ED_JU",Painel_diario!$J2966=1),EXP(Painel_diario!$L2966),1)-1</f>
        <v/>
      </c>
    </row>
    <row r="2971">
      <c r="A2971" s="25" t="n">
        <v>43202</v>
      </c>
      <c r="B2971" s="22">
        <f>(1+B2970)*IF(AND(Painel_diario!$H2967="EU_JD",Painel_diario!$J2967=1),EXP(Painel_diario!$L2967),1)-1</f>
        <v/>
      </c>
      <c r="C2971" s="22">
        <f>(1+C2970)*IF(AND(Painel_diario!$H2967="EU_JU",Painel_diario!$J2967=1),EXP(Painel_diario!$L2967),1)-1</f>
        <v/>
      </c>
      <c r="D2971" s="22">
        <f>(1+D2970)*IF(AND(Painel_diario!$H2967="ED_JD",Painel_diario!$J2967=1),EXP(Painel_diario!$L2967),1)-1</f>
        <v/>
      </c>
      <c r="E2971" s="22">
        <f>(1+E2970)*IF(AND(Painel_diario!$H2967="ED_JU",Painel_diario!$J2967=1),EXP(Painel_diario!$L2967),1)-1</f>
        <v/>
      </c>
    </row>
    <row r="2972">
      <c r="A2972" s="25" t="n">
        <v>43203</v>
      </c>
      <c r="B2972" s="22">
        <f>(1+B2971)*IF(AND(Painel_diario!$H2968="EU_JD",Painel_diario!$J2968=1),EXP(Painel_diario!$L2968),1)-1</f>
        <v/>
      </c>
      <c r="C2972" s="22">
        <f>(1+C2971)*IF(AND(Painel_diario!$H2968="EU_JU",Painel_diario!$J2968=1),EXP(Painel_diario!$L2968),1)-1</f>
        <v/>
      </c>
      <c r="D2972" s="22">
        <f>(1+D2971)*IF(AND(Painel_diario!$H2968="ED_JD",Painel_diario!$J2968=1),EXP(Painel_diario!$L2968),1)-1</f>
        <v/>
      </c>
      <c r="E2972" s="22">
        <f>(1+E2971)*IF(AND(Painel_diario!$H2968="ED_JU",Painel_diario!$J2968=1),EXP(Painel_diario!$L2968),1)-1</f>
        <v/>
      </c>
    </row>
    <row r="2973">
      <c r="A2973" s="25" t="n">
        <v>43206</v>
      </c>
      <c r="B2973" s="22">
        <f>(1+B2972)*IF(AND(Painel_diario!$H2969="EU_JD",Painel_diario!$J2969=1),EXP(Painel_diario!$L2969),1)-1</f>
        <v/>
      </c>
      <c r="C2973" s="22">
        <f>(1+C2972)*IF(AND(Painel_diario!$H2969="EU_JU",Painel_diario!$J2969=1),EXP(Painel_diario!$L2969),1)-1</f>
        <v/>
      </c>
      <c r="D2973" s="22">
        <f>(1+D2972)*IF(AND(Painel_diario!$H2969="ED_JD",Painel_diario!$J2969=1),EXP(Painel_diario!$L2969),1)-1</f>
        <v/>
      </c>
      <c r="E2973" s="22">
        <f>(1+E2972)*IF(AND(Painel_diario!$H2969="ED_JU",Painel_diario!$J2969=1),EXP(Painel_diario!$L2969),1)-1</f>
        <v/>
      </c>
    </row>
    <row r="2974">
      <c r="A2974" s="25" t="n">
        <v>43207</v>
      </c>
      <c r="B2974" s="22">
        <f>(1+B2973)*IF(AND(Painel_diario!$H2970="EU_JD",Painel_diario!$J2970=1),EXP(Painel_diario!$L2970),1)-1</f>
        <v/>
      </c>
      <c r="C2974" s="22">
        <f>(1+C2973)*IF(AND(Painel_diario!$H2970="EU_JU",Painel_diario!$J2970=1),EXP(Painel_diario!$L2970),1)-1</f>
        <v/>
      </c>
      <c r="D2974" s="22">
        <f>(1+D2973)*IF(AND(Painel_diario!$H2970="ED_JD",Painel_diario!$J2970=1),EXP(Painel_diario!$L2970),1)-1</f>
        <v/>
      </c>
      <c r="E2974" s="22">
        <f>(1+E2973)*IF(AND(Painel_diario!$H2970="ED_JU",Painel_diario!$J2970=1),EXP(Painel_diario!$L2970),1)-1</f>
        <v/>
      </c>
    </row>
    <row r="2975">
      <c r="A2975" s="25" t="n">
        <v>43208</v>
      </c>
      <c r="B2975" s="22">
        <f>(1+B2974)*IF(AND(Painel_diario!$H2971="EU_JD",Painel_diario!$J2971=1),EXP(Painel_diario!$L2971),1)-1</f>
        <v/>
      </c>
      <c r="C2975" s="22">
        <f>(1+C2974)*IF(AND(Painel_diario!$H2971="EU_JU",Painel_diario!$J2971=1),EXP(Painel_diario!$L2971),1)-1</f>
        <v/>
      </c>
      <c r="D2975" s="22">
        <f>(1+D2974)*IF(AND(Painel_diario!$H2971="ED_JD",Painel_diario!$J2971=1),EXP(Painel_diario!$L2971),1)-1</f>
        <v/>
      </c>
      <c r="E2975" s="22">
        <f>(1+E2974)*IF(AND(Painel_diario!$H2971="ED_JU",Painel_diario!$J2971=1),EXP(Painel_diario!$L2971),1)-1</f>
        <v/>
      </c>
    </row>
    <row r="2976">
      <c r="A2976" s="25" t="n">
        <v>43209</v>
      </c>
      <c r="B2976" s="22">
        <f>(1+B2975)*IF(AND(Painel_diario!$H2972="EU_JD",Painel_diario!$J2972=1),EXP(Painel_diario!$L2972),1)-1</f>
        <v/>
      </c>
      <c r="C2976" s="22">
        <f>(1+C2975)*IF(AND(Painel_diario!$H2972="EU_JU",Painel_diario!$J2972=1),EXP(Painel_diario!$L2972),1)-1</f>
        <v/>
      </c>
      <c r="D2976" s="22">
        <f>(1+D2975)*IF(AND(Painel_diario!$H2972="ED_JD",Painel_diario!$J2972=1),EXP(Painel_diario!$L2972),1)-1</f>
        <v/>
      </c>
      <c r="E2976" s="22">
        <f>(1+E2975)*IF(AND(Painel_diario!$H2972="ED_JU",Painel_diario!$J2972=1),EXP(Painel_diario!$L2972),1)-1</f>
        <v/>
      </c>
    </row>
    <row r="2977">
      <c r="A2977" s="25" t="n">
        <v>43210</v>
      </c>
      <c r="B2977" s="22">
        <f>(1+B2976)*IF(AND(Painel_diario!$H2973="EU_JD",Painel_diario!$J2973=1),EXP(Painel_diario!$L2973),1)-1</f>
        <v/>
      </c>
      <c r="C2977" s="22">
        <f>(1+C2976)*IF(AND(Painel_diario!$H2973="EU_JU",Painel_diario!$J2973=1),EXP(Painel_diario!$L2973),1)-1</f>
        <v/>
      </c>
      <c r="D2977" s="22">
        <f>(1+D2976)*IF(AND(Painel_diario!$H2973="ED_JD",Painel_diario!$J2973=1),EXP(Painel_diario!$L2973),1)-1</f>
        <v/>
      </c>
      <c r="E2977" s="22">
        <f>(1+E2976)*IF(AND(Painel_diario!$H2973="ED_JU",Painel_diario!$J2973=1),EXP(Painel_diario!$L2973),1)-1</f>
        <v/>
      </c>
    </row>
    <row r="2978">
      <c r="A2978" s="25" t="n">
        <v>43213</v>
      </c>
      <c r="B2978" s="22">
        <f>(1+B2977)*IF(AND(Painel_diario!$H2974="EU_JD",Painel_diario!$J2974=1),EXP(Painel_diario!$L2974),1)-1</f>
        <v/>
      </c>
      <c r="C2978" s="22">
        <f>(1+C2977)*IF(AND(Painel_diario!$H2974="EU_JU",Painel_diario!$J2974=1),EXP(Painel_diario!$L2974),1)-1</f>
        <v/>
      </c>
      <c r="D2978" s="22">
        <f>(1+D2977)*IF(AND(Painel_diario!$H2974="ED_JD",Painel_diario!$J2974=1),EXP(Painel_diario!$L2974),1)-1</f>
        <v/>
      </c>
      <c r="E2978" s="22">
        <f>(1+E2977)*IF(AND(Painel_diario!$H2974="ED_JU",Painel_diario!$J2974=1),EXP(Painel_diario!$L2974),1)-1</f>
        <v/>
      </c>
    </row>
    <row r="2979">
      <c r="A2979" s="25" t="n">
        <v>43214</v>
      </c>
      <c r="B2979" s="22">
        <f>(1+B2978)*IF(AND(Painel_diario!$H2975="EU_JD",Painel_diario!$J2975=1),EXP(Painel_diario!$L2975),1)-1</f>
        <v/>
      </c>
      <c r="C2979" s="22">
        <f>(1+C2978)*IF(AND(Painel_diario!$H2975="EU_JU",Painel_diario!$J2975=1),EXP(Painel_diario!$L2975),1)-1</f>
        <v/>
      </c>
      <c r="D2979" s="22">
        <f>(1+D2978)*IF(AND(Painel_diario!$H2975="ED_JD",Painel_diario!$J2975=1),EXP(Painel_diario!$L2975),1)-1</f>
        <v/>
      </c>
      <c r="E2979" s="22">
        <f>(1+E2978)*IF(AND(Painel_diario!$H2975="ED_JU",Painel_diario!$J2975=1),EXP(Painel_diario!$L2975),1)-1</f>
        <v/>
      </c>
    </row>
    <row r="2980">
      <c r="A2980" s="25" t="n">
        <v>43215</v>
      </c>
      <c r="B2980" s="22">
        <f>(1+B2979)*IF(AND(Painel_diario!$H2976="EU_JD",Painel_diario!$J2976=1),EXP(Painel_diario!$L2976),1)-1</f>
        <v/>
      </c>
      <c r="C2980" s="22">
        <f>(1+C2979)*IF(AND(Painel_diario!$H2976="EU_JU",Painel_diario!$J2976=1),EXP(Painel_diario!$L2976),1)-1</f>
        <v/>
      </c>
      <c r="D2980" s="22">
        <f>(1+D2979)*IF(AND(Painel_diario!$H2976="ED_JD",Painel_diario!$J2976=1),EXP(Painel_diario!$L2976),1)-1</f>
        <v/>
      </c>
      <c r="E2980" s="22">
        <f>(1+E2979)*IF(AND(Painel_diario!$H2976="ED_JU",Painel_diario!$J2976=1),EXP(Painel_diario!$L2976),1)-1</f>
        <v/>
      </c>
    </row>
    <row r="2981">
      <c r="A2981" s="25" t="n">
        <v>43216</v>
      </c>
      <c r="B2981" s="22">
        <f>(1+B2980)*IF(AND(Painel_diario!$H2977="EU_JD",Painel_diario!$J2977=1),EXP(Painel_diario!$L2977),1)-1</f>
        <v/>
      </c>
      <c r="C2981" s="22">
        <f>(1+C2980)*IF(AND(Painel_diario!$H2977="EU_JU",Painel_diario!$J2977=1),EXP(Painel_diario!$L2977),1)-1</f>
        <v/>
      </c>
      <c r="D2981" s="22">
        <f>(1+D2980)*IF(AND(Painel_diario!$H2977="ED_JD",Painel_diario!$J2977=1),EXP(Painel_diario!$L2977),1)-1</f>
        <v/>
      </c>
      <c r="E2981" s="22">
        <f>(1+E2980)*IF(AND(Painel_diario!$H2977="ED_JU",Painel_diario!$J2977=1),EXP(Painel_diario!$L2977),1)-1</f>
        <v/>
      </c>
    </row>
    <row r="2982">
      <c r="A2982" s="25" t="n">
        <v>43217</v>
      </c>
      <c r="B2982" s="22">
        <f>(1+B2981)*IF(AND(Painel_diario!$H2978="EU_JD",Painel_diario!$J2978=1),EXP(Painel_diario!$L2978),1)-1</f>
        <v/>
      </c>
      <c r="C2982" s="22">
        <f>(1+C2981)*IF(AND(Painel_diario!$H2978="EU_JU",Painel_diario!$J2978=1),EXP(Painel_diario!$L2978),1)-1</f>
        <v/>
      </c>
      <c r="D2982" s="22">
        <f>(1+D2981)*IF(AND(Painel_diario!$H2978="ED_JD",Painel_diario!$J2978=1),EXP(Painel_diario!$L2978),1)-1</f>
        <v/>
      </c>
      <c r="E2982" s="22">
        <f>(1+E2981)*IF(AND(Painel_diario!$H2978="ED_JU",Painel_diario!$J2978=1),EXP(Painel_diario!$L2978),1)-1</f>
        <v/>
      </c>
    </row>
    <row r="2983">
      <c r="A2983" s="25" t="n">
        <v>43220</v>
      </c>
      <c r="B2983" s="22">
        <f>(1+B2982)*IF(AND(Painel_diario!$H2979="EU_JD",Painel_diario!$J2979=1),EXP(Painel_diario!$L2979),1)-1</f>
        <v/>
      </c>
      <c r="C2983" s="22">
        <f>(1+C2982)*IF(AND(Painel_diario!$H2979="EU_JU",Painel_diario!$J2979=1),EXP(Painel_diario!$L2979),1)-1</f>
        <v/>
      </c>
      <c r="D2983" s="22">
        <f>(1+D2982)*IF(AND(Painel_diario!$H2979="ED_JD",Painel_diario!$J2979=1),EXP(Painel_diario!$L2979),1)-1</f>
        <v/>
      </c>
      <c r="E2983" s="22">
        <f>(1+E2982)*IF(AND(Painel_diario!$H2979="ED_JU",Painel_diario!$J2979=1),EXP(Painel_diario!$L2979),1)-1</f>
        <v/>
      </c>
    </row>
    <row r="2984">
      <c r="A2984" s="25" t="n">
        <v>43222</v>
      </c>
      <c r="B2984" s="22">
        <f>(1+B2983)*IF(AND(Painel_diario!$H2980="EU_JD",Painel_diario!$J2980=1),EXP(Painel_diario!$L2980),1)-1</f>
        <v/>
      </c>
      <c r="C2984" s="22">
        <f>(1+C2983)*IF(AND(Painel_diario!$H2980="EU_JU",Painel_diario!$J2980=1),EXP(Painel_diario!$L2980),1)-1</f>
        <v/>
      </c>
      <c r="D2984" s="22">
        <f>(1+D2983)*IF(AND(Painel_diario!$H2980="ED_JD",Painel_diario!$J2980=1),EXP(Painel_diario!$L2980),1)-1</f>
        <v/>
      </c>
      <c r="E2984" s="22">
        <f>(1+E2983)*IF(AND(Painel_diario!$H2980="ED_JU",Painel_diario!$J2980=1),EXP(Painel_diario!$L2980),1)-1</f>
        <v/>
      </c>
    </row>
    <row r="2985">
      <c r="A2985" s="25" t="n">
        <v>43223</v>
      </c>
      <c r="B2985" s="22">
        <f>(1+B2984)*IF(AND(Painel_diario!$H2981="EU_JD",Painel_diario!$J2981=1),EXP(Painel_diario!$L2981),1)-1</f>
        <v/>
      </c>
      <c r="C2985" s="22">
        <f>(1+C2984)*IF(AND(Painel_diario!$H2981="EU_JU",Painel_diario!$J2981=1),EXP(Painel_diario!$L2981),1)-1</f>
        <v/>
      </c>
      <c r="D2985" s="22">
        <f>(1+D2984)*IF(AND(Painel_diario!$H2981="ED_JD",Painel_diario!$J2981=1),EXP(Painel_diario!$L2981),1)-1</f>
        <v/>
      </c>
      <c r="E2985" s="22">
        <f>(1+E2984)*IF(AND(Painel_diario!$H2981="ED_JU",Painel_diario!$J2981=1),EXP(Painel_diario!$L2981),1)-1</f>
        <v/>
      </c>
    </row>
    <row r="2986">
      <c r="A2986" s="25" t="n">
        <v>43224</v>
      </c>
      <c r="B2986" s="22">
        <f>(1+B2985)*IF(AND(Painel_diario!$H2982="EU_JD",Painel_diario!$J2982=1),EXP(Painel_diario!$L2982),1)-1</f>
        <v/>
      </c>
      <c r="C2986" s="22">
        <f>(1+C2985)*IF(AND(Painel_diario!$H2982="EU_JU",Painel_diario!$J2982=1),EXP(Painel_diario!$L2982),1)-1</f>
        <v/>
      </c>
      <c r="D2986" s="22">
        <f>(1+D2985)*IF(AND(Painel_diario!$H2982="ED_JD",Painel_diario!$J2982=1),EXP(Painel_diario!$L2982),1)-1</f>
        <v/>
      </c>
      <c r="E2986" s="22">
        <f>(1+E2985)*IF(AND(Painel_diario!$H2982="ED_JU",Painel_diario!$J2982=1),EXP(Painel_diario!$L2982),1)-1</f>
        <v/>
      </c>
    </row>
    <row r="2987">
      <c r="A2987" s="25" t="n">
        <v>43227</v>
      </c>
      <c r="B2987" s="22">
        <f>(1+B2986)*IF(AND(Painel_diario!$H2983="EU_JD",Painel_diario!$J2983=1),EXP(Painel_diario!$L2983),1)-1</f>
        <v/>
      </c>
      <c r="C2987" s="22">
        <f>(1+C2986)*IF(AND(Painel_diario!$H2983="EU_JU",Painel_diario!$J2983=1),EXP(Painel_diario!$L2983),1)-1</f>
        <v/>
      </c>
      <c r="D2987" s="22">
        <f>(1+D2986)*IF(AND(Painel_diario!$H2983="ED_JD",Painel_diario!$J2983=1),EXP(Painel_diario!$L2983),1)-1</f>
        <v/>
      </c>
      <c r="E2987" s="22">
        <f>(1+E2986)*IF(AND(Painel_diario!$H2983="ED_JU",Painel_diario!$J2983=1),EXP(Painel_diario!$L2983),1)-1</f>
        <v/>
      </c>
    </row>
    <row r="2988">
      <c r="A2988" s="25" t="n">
        <v>43228</v>
      </c>
      <c r="B2988" s="22">
        <f>(1+B2987)*IF(AND(Painel_diario!$H2984="EU_JD",Painel_diario!$J2984=1),EXP(Painel_diario!$L2984),1)-1</f>
        <v/>
      </c>
      <c r="C2988" s="22">
        <f>(1+C2987)*IF(AND(Painel_diario!$H2984="EU_JU",Painel_diario!$J2984=1),EXP(Painel_diario!$L2984),1)-1</f>
        <v/>
      </c>
      <c r="D2988" s="22">
        <f>(1+D2987)*IF(AND(Painel_diario!$H2984="ED_JD",Painel_diario!$J2984=1),EXP(Painel_diario!$L2984),1)-1</f>
        <v/>
      </c>
      <c r="E2988" s="22">
        <f>(1+E2987)*IF(AND(Painel_diario!$H2984="ED_JU",Painel_diario!$J2984=1),EXP(Painel_diario!$L2984),1)-1</f>
        <v/>
      </c>
    </row>
    <row r="2989">
      <c r="A2989" s="25" t="n">
        <v>43229</v>
      </c>
      <c r="B2989" s="22">
        <f>(1+B2988)*IF(AND(Painel_diario!$H2985="EU_JD",Painel_diario!$J2985=1),EXP(Painel_diario!$L2985),1)-1</f>
        <v/>
      </c>
      <c r="C2989" s="22">
        <f>(1+C2988)*IF(AND(Painel_diario!$H2985="EU_JU",Painel_diario!$J2985=1),EXP(Painel_diario!$L2985),1)-1</f>
        <v/>
      </c>
      <c r="D2989" s="22">
        <f>(1+D2988)*IF(AND(Painel_diario!$H2985="ED_JD",Painel_diario!$J2985=1),EXP(Painel_diario!$L2985),1)-1</f>
        <v/>
      </c>
      <c r="E2989" s="22">
        <f>(1+E2988)*IF(AND(Painel_diario!$H2985="ED_JU",Painel_diario!$J2985=1),EXP(Painel_diario!$L2985),1)-1</f>
        <v/>
      </c>
    </row>
    <row r="2990">
      <c r="A2990" s="25" t="n">
        <v>43230</v>
      </c>
      <c r="B2990" s="22">
        <f>(1+B2989)*IF(AND(Painel_diario!$H2986="EU_JD",Painel_diario!$J2986=1),EXP(Painel_diario!$L2986),1)-1</f>
        <v/>
      </c>
      <c r="C2990" s="22">
        <f>(1+C2989)*IF(AND(Painel_diario!$H2986="EU_JU",Painel_diario!$J2986=1),EXP(Painel_diario!$L2986),1)-1</f>
        <v/>
      </c>
      <c r="D2990" s="22">
        <f>(1+D2989)*IF(AND(Painel_diario!$H2986="ED_JD",Painel_diario!$J2986=1),EXP(Painel_diario!$L2986),1)-1</f>
        <v/>
      </c>
      <c r="E2990" s="22">
        <f>(1+E2989)*IF(AND(Painel_diario!$H2986="ED_JU",Painel_diario!$J2986=1),EXP(Painel_diario!$L2986),1)-1</f>
        <v/>
      </c>
    </row>
    <row r="2991">
      <c r="A2991" s="25" t="n">
        <v>43231</v>
      </c>
      <c r="B2991" s="22">
        <f>(1+B2990)*IF(AND(Painel_diario!$H2987="EU_JD",Painel_diario!$J2987=1),EXP(Painel_diario!$L2987),1)-1</f>
        <v/>
      </c>
      <c r="C2991" s="22">
        <f>(1+C2990)*IF(AND(Painel_diario!$H2987="EU_JU",Painel_diario!$J2987=1),EXP(Painel_diario!$L2987),1)-1</f>
        <v/>
      </c>
      <c r="D2991" s="22">
        <f>(1+D2990)*IF(AND(Painel_diario!$H2987="ED_JD",Painel_diario!$J2987=1),EXP(Painel_diario!$L2987),1)-1</f>
        <v/>
      </c>
      <c r="E2991" s="22">
        <f>(1+E2990)*IF(AND(Painel_diario!$H2987="ED_JU",Painel_diario!$J2987=1),EXP(Painel_diario!$L2987),1)-1</f>
        <v/>
      </c>
    </row>
    <row r="2992">
      <c r="A2992" s="25" t="n">
        <v>43234</v>
      </c>
      <c r="B2992" s="22">
        <f>(1+B2991)*IF(AND(Painel_diario!$H2988="EU_JD",Painel_diario!$J2988=1),EXP(Painel_diario!$L2988),1)-1</f>
        <v/>
      </c>
      <c r="C2992" s="22">
        <f>(1+C2991)*IF(AND(Painel_diario!$H2988="EU_JU",Painel_diario!$J2988=1),EXP(Painel_diario!$L2988),1)-1</f>
        <v/>
      </c>
      <c r="D2992" s="22">
        <f>(1+D2991)*IF(AND(Painel_diario!$H2988="ED_JD",Painel_diario!$J2988=1),EXP(Painel_diario!$L2988),1)-1</f>
        <v/>
      </c>
      <c r="E2992" s="22">
        <f>(1+E2991)*IF(AND(Painel_diario!$H2988="ED_JU",Painel_diario!$J2988=1),EXP(Painel_diario!$L2988),1)-1</f>
        <v/>
      </c>
    </row>
    <row r="2993">
      <c r="A2993" s="25" t="n">
        <v>43235</v>
      </c>
      <c r="B2993" s="22">
        <f>(1+B2992)*IF(AND(Painel_diario!$H2989="EU_JD",Painel_diario!$J2989=1),EXP(Painel_diario!$L2989),1)-1</f>
        <v/>
      </c>
      <c r="C2993" s="22">
        <f>(1+C2992)*IF(AND(Painel_diario!$H2989="EU_JU",Painel_diario!$J2989=1),EXP(Painel_diario!$L2989),1)-1</f>
        <v/>
      </c>
      <c r="D2993" s="22">
        <f>(1+D2992)*IF(AND(Painel_diario!$H2989="ED_JD",Painel_diario!$J2989=1),EXP(Painel_diario!$L2989),1)-1</f>
        <v/>
      </c>
      <c r="E2993" s="22">
        <f>(1+E2992)*IF(AND(Painel_diario!$H2989="ED_JU",Painel_diario!$J2989=1),EXP(Painel_diario!$L2989),1)-1</f>
        <v/>
      </c>
    </row>
    <row r="2994">
      <c r="A2994" s="25" t="n">
        <v>43236</v>
      </c>
      <c r="B2994" s="22">
        <f>(1+B2993)*IF(AND(Painel_diario!$H2990="EU_JD",Painel_diario!$J2990=1),EXP(Painel_diario!$L2990),1)-1</f>
        <v/>
      </c>
      <c r="C2994" s="22">
        <f>(1+C2993)*IF(AND(Painel_diario!$H2990="EU_JU",Painel_diario!$J2990=1),EXP(Painel_diario!$L2990),1)-1</f>
        <v/>
      </c>
      <c r="D2994" s="22">
        <f>(1+D2993)*IF(AND(Painel_diario!$H2990="ED_JD",Painel_diario!$J2990=1),EXP(Painel_diario!$L2990),1)-1</f>
        <v/>
      </c>
      <c r="E2994" s="22">
        <f>(1+E2993)*IF(AND(Painel_diario!$H2990="ED_JU",Painel_diario!$J2990=1),EXP(Painel_diario!$L2990),1)-1</f>
        <v/>
      </c>
    </row>
    <row r="2995">
      <c r="A2995" s="25" t="n">
        <v>43237</v>
      </c>
      <c r="B2995" s="22">
        <f>(1+B2994)*IF(AND(Painel_diario!$H2991="EU_JD",Painel_diario!$J2991=1),EXP(Painel_diario!$L2991),1)-1</f>
        <v/>
      </c>
      <c r="C2995" s="22">
        <f>(1+C2994)*IF(AND(Painel_diario!$H2991="EU_JU",Painel_diario!$J2991=1),EXP(Painel_diario!$L2991),1)-1</f>
        <v/>
      </c>
      <c r="D2995" s="22">
        <f>(1+D2994)*IF(AND(Painel_diario!$H2991="ED_JD",Painel_diario!$J2991=1),EXP(Painel_diario!$L2991),1)-1</f>
        <v/>
      </c>
      <c r="E2995" s="22">
        <f>(1+E2994)*IF(AND(Painel_diario!$H2991="ED_JU",Painel_diario!$J2991=1),EXP(Painel_diario!$L2991),1)-1</f>
        <v/>
      </c>
    </row>
    <row r="2996">
      <c r="A2996" s="25" t="n">
        <v>43238</v>
      </c>
      <c r="B2996" s="22">
        <f>(1+B2995)*IF(AND(Painel_diario!$H2992="EU_JD",Painel_diario!$J2992=1),EXP(Painel_diario!$L2992),1)-1</f>
        <v/>
      </c>
      <c r="C2996" s="22">
        <f>(1+C2995)*IF(AND(Painel_diario!$H2992="EU_JU",Painel_diario!$J2992=1),EXP(Painel_diario!$L2992),1)-1</f>
        <v/>
      </c>
      <c r="D2996" s="22">
        <f>(1+D2995)*IF(AND(Painel_diario!$H2992="ED_JD",Painel_diario!$J2992=1),EXP(Painel_diario!$L2992),1)-1</f>
        <v/>
      </c>
      <c r="E2996" s="22">
        <f>(1+E2995)*IF(AND(Painel_diario!$H2992="ED_JU",Painel_diario!$J2992=1),EXP(Painel_diario!$L2992),1)-1</f>
        <v/>
      </c>
    </row>
    <row r="2997">
      <c r="A2997" s="25" t="n">
        <v>43241</v>
      </c>
      <c r="B2997" s="22">
        <f>(1+B2996)*IF(AND(Painel_diario!$H2993="EU_JD",Painel_diario!$J2993=1),EXP(Painel_diario!$L2993),1)-1</f>
        <v/>
      </c>
      <c r="C2997" s="22">
        <f>(1+C2996)*IF(AND(Painel_diario!$H2993="EU_JU",Painel_diario!$J2993=1),EXP(Painel_diario!$L2993),1)-1</f>
        <v/>
      </c>
      <c r="D2997" s="22">
        <f>(1+D2996)*IF(AND(Painel_diario!$H2993="ED_JD",Painel_diario!$J2993=1),EXP(Painel_diario!$L2993),1)-1</f>
        <v/>
      </c>
      <c r="E2997" s="22">
        <f>(1+E2996)*IF(AND(Painel_diario!$H2993="ED_JU",Painel_diario!$J2993=1),EXP(Painel_diario!$L2993),1)-1</f>
        <v/>
      </c>
    </row>
    <row r="2998">
      <c r="A2998" s="25" t="n">
        <v>43242</v>
      </c>
      <c r="B2998" s="22">
        <f>(1+B2997)*IF(AND(Painel_diario!$H2994="EU_JD",Painel_diario!$J2994=1),EXP(Painel_diario!$L2994),1)-1</f>
        <v/>
      </c>
      <c r="C2998" s="22">
        <f>(1+C2997)*IF(AND(Painel_diario!$H2994="EU_JU",Painel_diario!$J2994=1),EXP(Painel_diario!$L2994),1)-1</f>
        <v/>
      </c>
      <c r="D2998" s="22">
        <f>(1+D2997)*IF(AND(Painel_diario!$H2994="ED_JD",Painel_diario!$J2994=1),EXP(Painel_diario!$L2994),1)-1</f>
        <v/>
      </c>
      <c r="E2998" s="22">
        <f>(1+E2997)*IF(AND(Painel_diario!$H2994="ED_JU",Painel_diario!$J2994=1),EXP(Painel_diario!$L2994),1)-1</f>
        <v/>
      </c>
    </row>
    <row r="2999">
      <c r="A2999" s="25" t="n">
        <v>43243</v>
      </c>
      <c r="B2999" s="22">
        <f>(1+B2998)*IF(AND(Painel_diario!$H2995="EU_JD",Painel_diario!$J2995=1),EXP(Painel_diario!$L2995),1)-1</f>
        <v/>
      </c>
      <c r="C2999" s="22">
        <f>(1+C2998)*IF(AND(Painel_diario!$H2995="EU_JU",Painel_diario!$J2995=1),EXP(Painel_diario!$L2995),1)-1</f>
        <v/>
      </c>
      <c r="D2999" s="22">
        <f>(1+D2998)*IF(AND(Painel_diario!$H2995="ED_JD",Painel_diario!$J2995=1),EXP(Painel_diario!$L2995),1)-1</f>
        <v/>
      </c>
      <c r="E2999" s="22">
        <f>(1+E2998)*IF(AND(Painel_diario!$H2995="ED_JU",Painel_diario!$J2995=1),EXP(Painel_diario!$L2995),1)-1</f>
        <v/>
      </c>
    </row>
    <row r="3000">
      <c r="A3000" s="25" t="n">
        <v>43244</v>
      </c>
      <c r="B3000" s="22">
        <f>(1+B2999)*IF(AND(Painel_diario!$H2996="EU_JD",Painel_diario!$J2996=1),EXP(Painel_diario!$L2996),1)-1</f>
        <v/>
      </c>
      <c r="C3000" s="22">
        <f>(1+C2999)*IF(AND(Painel_diario!$H2996="EU_JU",Painel_diario!$J2996=1),EXP(Painel_diario!$L2996),1)-1</f>
        <v/>
      </c>
      <c r="D3000" s="22">
        <f>(1+D2999)*IF(AND(Painel_diario!$H2996="ED_JD",Painel_diario!$J2996=1),EXP(Painel_diario!$L2996),1)-1</f>
        <v/>
      </c>
      <c r="E3000" s="22">
        <f>(1+E2999)*IF(AND(Painel_diario!$H2996="ED_JU",Painel_diario!$J2996=1),EXP(Painel_diario!$L2996),1)-1</f>
        <v/>
      </c>
    </row>
    <row r="3001">
      <c r="A3001" s="25" t="n">
        <v>43245</v>
      </c>
      <c r="B3001" s="22">
        <f>(1+B3000)*IF(AND(Painel_diario!$H2997="EU_JD",Painel_diario!$J2997=1),EXP(Painel_diario!$L2997),1)-1</f>
        <v/>
      </c>
      <c r="C3001" s="22">
        <f>(1+C3000)*IF(AND(Painel_diario!$H2997="EU_JU",Painel_diario!$J2997=1),EXP(Painel_diario!$L2997),1)-1</f>
        <v/>
      </c>
      <c r="D3001" s="22">
        <f>(1+D3000)*IF(AND(Painel_diario!$H2997="ED_JD",Painel_diario!$J2997=1),EXP(Painel_diario!$L2997),1)-1</f>
        <v/>
      </c>
      <c r="E3001" s="22">
        <f>(1+E3000)*IF(AND(Painel_diario!$H2997="ED_JU",Painel_diario!$J2997=1),EXP(Painel_diario!$L2997),1)-1</f>
        <v/>
      </c>
    </row>
    <row r="3002">
      <c r="A3002" s="25" t="n">
        <v>43248</v>
      </c>
      <c r="B3002" s="22">
        <f>(1+B3001)*IF(AND(Painel_diario!$H2998="EU_JD",Painel_diario!$J2998=1),EXP(Painel_diario!$L2998),1)-1</f>
        <v/>
      </c>
      <c r="C3002" s="22">
        <f>(1+C3001)*IF(AND(Painel_diario!$H2998="EU_JU",Painel_diario!$J2998=1),EXP(Painel_diario!$L2998),1)-1</f>
        <v/>
      </c>
      <c r="D3002" s="22">
        <f>(1+D3001)*IF(AND(Painel_diario!$H2998="ED_JD",Painel_diario!$J2998=1),EXP(Painel_diario!$L2998),1)-1</f>
        <v/>
      </c>
      <c r="E3002" s="22">
        <f>(1+E3001)*IF(AND(Painel_diario!$H2998="ED_JU",Painel_diario!$J2998=1),EXP(Painel_diario!$L2998),1)-1</f>
        <v/>
      </c>
    </row>
    <row r="3003">
      <c r="A3003" s="25" t="n">
        <v>43249</v>
      </c>
      <c r="B3003" s="22">
        <f>(1+B3002)*IF(AND(Painel_diario!$H2999="EU_JD",Painel_diario!$J2999=1),EXP(Painel_diario!$L2999),1)-1</f>
        <v/>
      </c>
      <c r="C3003" s="22">
        <f>(1+C3002)*IF(AND(Painel_diario!$H2999="EU_JU",Painel_diario!$J2999=1),EXP(Painel_diario!$L2999),1)-1</f>
        <v/>
      </c>
      <c r="D3003" s="22">
        <f>(1+D3002)*IF(AND(Painel_diario!$H2999="ED_JD",Painel_diario!$J2999=1),EXP(Painel_diario!$L2999),1)-1</f>
        <v/>
      </c>
      <c r="E3003" s="22">
        <f>(1+E3002)*IF(AND(Painel_diario!$H2999="ED_JU",Painel_diario!$J2999=1),EXP(Painel_diario!$L2999),1)-1</f>
        <v/>
      </c>
    </row>
    <row r="3004">
      <c r="A3004" s="25" t="n">
        <v>43250</v>
      </c>
      <c r="B3004" s="22">
        <f>(1+B3003)*IF(AND(Painel_diario!$H3000="EU_JD",Painel_diario!$J3000=1),EXP(Painel_diario!$L3000),1)-1</f>
        <v/>
      </c>
      <c r="C3004" s="22">
        <f>(1+C3003)*IF(AND(Painel_diario!$H3000="EU_JU",Painel_diario!$J3000=1),EXP(Painel_diario!$L3000),1)-1</f>
        <v/>
      </c>
      <c r="D3004" s="22">
        <f>(1+D3003)*IF(AND(Painel_diario!$H3000="ED_JD",Painel_diario!$J3000=1),EXP(Painel_diario!$L3000),1)-1</f>
        <v/>
      </c>
      <c r="E3004" s="22">
        <f>(1+E3003)*IF(AND(Painel_diario!$H3000="ED_JU",Painel_diario!$J3000=1),EXP(Painel_diario!$L3000),1)-1</f>
        <v/>
      </c>
    </row>
    <row r="3005">
      <c r="A3005" s="25" t="n">
        <v>43252</v>
      </c>
      <c r="B3005" s="22">
        <f>(1+B3004)*IF(AND(Painel_diario!$H3001="EU_JD",Painel_diario!$J3001=1),EXP(Painel_diario!$L3001),1)-1</f>
        <v/>
      </c>
      <c r="C3005" s="22">
        <f>(1+C3004)*IF(AND(Painel_diario!$H3001="EU_JU",Painel_diario!$J3001=1),EXP(Painel_diario!$L3001),1)-1</f>
        <v/>
      </c>
      <c r="D3005" s="22">
        <f>(1+D3004)*IF(AND(Painel_diario!$H3001="ED_JD",Painel_diario!$J3001=1),EXP(Painel_diario!$L3001),1)-1</f>
        <v/>
      </c>
      <c r="E3005" s="22">
        <f>(1+E3004)*IF(AND(Painel_diario!$H3001="ED_JU",Painel_diario!$J3001=1),EXP(Painel_diario!$L3001),1)-1</f>
        <v/>
      </c>
    </row>
    <row r="3006">
      <c r="A3006" s="25" t="n">
        <v>43255</v>
      </c>
      <c r="B3006" s="22">
        <f>(1+B3005)*IF(AND(Painel_diario!$H3002="EU_JD",Painel_diario!$J3002=1),EXP(Painel_diario!$L3002),1)-1</f>
        <v/>
      </c>
      <c r="C3006" s="22">
        <f>(1+C3005)*IF(AND(Painel_diario!$H3002="EU_JU",Painel_diario!$J3002=1),EXP(Painel_diario!$L3002),1)-1</f>
        <v/>
      </c>
      <c r="D3006" s="22">
        <f>(1+D3005)*IF(AND(Painel_diario!$H3002="ED_JD",Painel_diario!$J3002=1),EXP(Painel_diario!$L3002),1)-1</f>
        <v/>
      </c>
      <c r="E3006" s="22">
        <f>(1+E3005)*IF(AND(Painel_diario!$H3002="ED_JU",Painel_diario!$J3002=1),EXP(Painel_diario!$L3002),1)-1</f>
        <v/>
      </c>
    </row>
    <row r="3007">
      <c r="A3007" s="25" t="n">
        <v>43256</v>
      </c>
      <c r="B3007" s="22">
        <f>(1+B3006)*IF(AND(Painel_diario!$H3003="EU_JD",Painel_diario!$J3003=1),EXP(Painel_diario!$L3003),1)-1</f>
        <v/>
      </c>
      <c r="C3007" s="22">
        <f>(1+C3006)*IF(AND(Painel_diario!$H3003="EU_JU",Painel_diario!$J3003=1),EXP(Painel_diario!$L3003),1)-1</f>
        <v/>
      </c>
      <c r="D3007" s="22">
        <f>(1+D3006)*IF(AND(Painel_diario!$H3003="ED_JD",Painel_diario!$J3003=1),EXP(Painel_diario!$L3003),1)-1</f>
        <v/>
      </c>
      <c r="E3007" s="22">
        <f>(1+E3006)*IF(AND(Painel_diario!$H3003="ED_JU",Painel_diario!$J3003=1),EXP(Painel_diario!$L3003),1)-1</f>
        <v/>
      </c>
    </row>
    <row r="3008">
      <c r="A3008" s="25" t="n">
        <v>43257</v>
      </c>
      <c r="B3008" s="22">
        <f>(1+B3007)*IF(AND(Painel_diario!$H3004="EU_JD",Painel_diario!$J3004=1),EXP(Painel_diario!$L3004),1)-1</f>
        <v/>
      </c>
      <c r="C3008" s="22">
        <f>(1+C3007)*IF(AND(Painel_diario!$H3004="EU_JU",Painel_diario!$J3004=1),EXP(Painel_diario!$L3004),1)-1</f>
        <v/>
      </c>
      <c r="D3008" s="22">
        <f>(1+D3007)*IF(AND(Painel_diario!$H3004="ED_JD",Painel_diario!$J3004=1),EXP(Painel_diario!$L3004),1)-1</f>
        <v/>
      </c>
      <c r="E3008" s="22">
        <f>(1+E3007)*IF(AND(Painel_diario!$H3004="ED_JU",Painel_diario!$J3004=1),EXP(Painel_diario!$L3004),1)-1</f>
        <v/>
      </c>
    </row>
    <row r="3009">
      <c r="A3009" s="25" t="n">
        <v>43258</v>
      </c>
      <c r="B3009" s="22">
        <f>(1+B3008)*IF(AND(Painel_diario!$H3005="EU_JD",Painel_diario!$J3005=1),EXP(Painel_diario!$L3005),1)-1</f>
        <v/>
      </c>
      <c r="C3009" s="22">
        <f>(1+C3008)*IF(AND(Painel_diario!$H3005="EU_JU",Painel_diario!$J3005=1),EXP(Painel_diario!$L3005),1)-1</f>
        <v/>
      </c>
      <c r="D3009" s="22">
        <f>(1+D3008)*IF(AND(Painel_diario!$H3005="ED_JD",Painel_diario!$J3005=1),EXP(Painel_diario!$L3005),1)-1</f>
        <v/>
      </c>
      <c r="E3009" s="22">
        <f>(1+E3008)*IF(AND(Painel_diario!$H3005="ED_JU",Painel_diario!$J3005=1),EXP(Painel_diario!$L3005),1)-1</f>
        <v/>
      </c>
    </row>
    <row r="3010">
      <c r="A3010" s="25" t="n">
        <v>43259</v>
      </c>
      <c r="B3010" s="22">
        <f>(1+B3009)*IF(AND(Painel_diario!$H3006="EU_JD",Painel_diario!$J3006=1),EXP(Painel_diario!$L3006),1)-1</f>
        <v/>
      </c>
      <c r="C3010" s="22">
        <f>(1+C3009)*IF(AND(Painel_diario!$H3006="EU_JU",Painel_diario!$J3006=1),EXP(Painel_diario!$L3006),1)-1</f>
        <v/>
      </c>
      <c r="D3010" s="22">
        <f>(1+D3009)*IF(AND(Painel_diario!$H3006="ED_JD",Painel_diario!$J3006=1),EXP(Painel_diario!$L3006),1)-1</f>
        <v/>
      </c>
      <c r="E3010" s="22">
        <f>(1+E3009)*IF(AND(Painel_diario!$H3006="ED_JU",Painel_diario!$J3006=1),EXP(Painel_diario!$L3006),1)-1</f>
        <v/>
      </c>
    </row>
    <row r="3011">
      <c r="A3011" s="25" t="n">
        <v>43262</v>
      </c>
      <c r="B3011" s="22">
        <f>(1+B3010)*IF(AND(Painel_diario!$H3007="EU_JD",Painel_diario!$J3007=1),EXP(Painel_diario!$L3007),1)-1</f>
        <v/>
      </c>
      <c r="C3011" s="22">
        <f>(1+C3010)*IF(AND(Painel_diario!$H3007="EU_JU",Painel_diario!$J3007=1),EXP(Painel_diario!$L3007),1)-1</f>
        <v/>
      </c>
      <c r="D3011" s="22">
        <f>(1+D3010)*IF(AND(Painel_diario!$H3007="ED_JD",Painel_diario!$J3007=1),EXP(Painel_diario!$L3007),1)-1</f>
        <v/>
      </c>
      <c r="E3011" s="22">
        <f>(1+E3010)*IF(AND(Painel_diario!$H3007="ED_JU",Painel_diario!$J3007=1),EXP(Painel_diario!$L3007),1)-1</f>
        <v/>
      </c>
    </row>
    <row r="3012">
      <c r="A3012" s="25" t="n">
        <v>43263</v>
      </c>
      <c r="B3012" s="22">
        <f>(1+B3011)*IF(AND(Painel_diario!$H3008="EU_JD",Painel_diario!$J3008=1),EXP(Painel_diario!$L3008),1)-1</f>
        <v/>
      </c>
      <c r="C3012" s="22">
        <f>(1+C3011)*IF(AND(Painel_diario!$H3008="EU_JU",Painel_diario!$J3008=1),EXP(Painel_diario!$L3008),1)-1</f>
        <v/>
      </c>
      <c r="D3012" s="22">
        <f>(1+D3011)*IF(AND(Painel_diario!$H3008="ED_JD",Painel_diario!$J3008=1),EXP(Painel_diario!$L3008),1)-1</f>
        <v/>
      </c>
      <c r="E3012" s="22">
        <f>(1+E3011)*IF(AND(Painel_diario!$H3008="ED_JU",Painel_diario!$J3008=1),EXP(Painel_diario!$L3008),1)-1</f>
        <v/>
      </c>
    </row>
    <row r="3013">
      <c r="A3013" s="25" t="n">
        <v>43264</v>
      </c>
      <c r="B3013" s="22">
        <f>(1+B3012)*IF(AND(Painel_diario!$H3009="EU_JD",Painel_diario!$J3009=1),EXP(Painel_diario!$L3009),1)-1</f>
        <v/>
      </c>
      <c r="C3013" s="22">
        <f>(1+C3012)*IF(AND(Painel_diario!$H3009="EU_JU",Painel_diario!$J3009=1),EXP(Painel_diario!$L3009),1)-1</f>
        <v/>
      </c>
      <c r="D3013" s="22">
        <f>(1+D3012)*IF(AND(Painel_diario!$H3009="ED_JD",Painel_diario!$J3009=1),EXP(Painel_diario!$L3009),1)-1</f>
        <v/>
      </c>
      <c r="E3013" s="22">
        <f>(1+E3012)*IF(AND(Painel_diario!$H3009="ED_JU",Painel_diario!$J3009=1),EXP(Painel_diario!$L3009),1)-1</f>
        <v/>
      </c>
    </row>
    <row r="3014">
      <c r="A3014" s="25" t="n">
        <v>43265</v>
      </c>
      <c r="B3014" s="22">
        <f>(1+B3013)*IF(AND(Painel_diario!$H3010="EU_JD",Painel_diario!$J3010=1),EXP(Painel_diario!$L3010),1)-1</f>
        <v/>
      </c>
      <c r="C3014" s="22">
        <f>(1+C3013)*IF(AND(Painel_diario!$H3010="EU_JU",Painel_diario!$J3010=1),EXP(Painel_diario!$L3010),1)-1</f>
        <v/>
      </c>
      <c r="D3014" s="22">
        <f>(1+D3013)*IF(AND(Painel_diario!$H3010="ED_JD",Painel_diario!$J3010=1),EXP(Painel_diario!$L3010),1)-1</f>
        <v/>
      </c>
      <c r="E3014" s="22">
        <f>(1+E3013)*IF(AND(Painel_diario!$H3010="ED_JU",Painel_diario!$J3010=1),EXP(Painel_diario!$L3010),1)-1</f>
        <v/>
      </c>
    </row>
    <row r="3015">
      <c r="A3015" s="25" t="n">
        <v>43266</v>
      </c>
      <c r="B3015" s="22">
        <f>(1+B3014)*IF(AND(Painel_diario!$H3011="EU_JD",Painel_diario!$J3011=1),EXP(Painel_diario!$L3011),1)-1</f>
        <v/>
      </c>
      <c r="C3015" s="22">
        <f>(1+C3014)*IF(AND(Painel_diario!$H3011="EU_JU",Painel_diario!$J3011=1),EXP(Painel_diario!$L3011),1)-1</f>
        <v/>
      </c>
      <c r="D3015" s="22">
        <f>(1+D3014)*IF(AND(Painel_diario!$H3011="ED_JD",Painel_diario!$J3011=1),EXP(Painel_diario!$L3011),1)-1</f>
        <v/>
      </c>
      <c r="E3015" s="22">
        <f>(1+E3014)*IF(AND(Painel_diario!$H3011="ED_JU",Painel_diario!$J3011=1),EXP(Painel_diario!$L3011),1)-1</f>
        <v/>
      </c>
    </row>
    <row r="3016">
      <c r="A3016" s="25" t="n">
        <v>43269</v>
      </c>
      <c r="B3016" s="22">
        <f>(1+B3015)*IF(AND(Painel_diario!$H3012="EU_JD",Painel_diario!$J3012=1),EXP(Painel_diario!$L3012),1)-1</f>
        <v/>
      </c>
      <c r="C3016" s="22">
        <f>(1+C3015)*IF(AND(Painel_diario!$H3012="EU_JU",Painel_diario!$J3012=1),EXP(Painel_diario!$L3012),1)-1</f>
        <v/>
      </c>
      <c r="D3016" s="22">
        <f>(1+D3015)*IF(AND(Painel_diario!$H3012="ED_JD",Painel_diario!$J3012=1),EXP(Painel_diario!$L3012),1)-1</f>
        <v/>
      </c>
      <c r="E3016" s="22">
        <f>(1+E3015)*IF(AND(Painel_diario!$H3012="ED_JU",Painel_diario!$J3012=1),EXP(Painel_diario!$L3012),1)-1</f>
        <v/>
      </c>
    </row>
    <row r="3017">
      <c r="A3017" s="25" t="n">
        <v>43270</v>
      </c>
      <c r="B3017" s="22">
        <f>(1+B3016)*IF(AND(Painel_diario!$H3013="EU_JD",Painel_diario!$J3013=1),EXP(Painel_diario!$L3013),1)-1</f>
        <v/>
      </c>
      <c r="C3017" s="22">
        <f>(1+C3016)*IF(AND(Painel_diario!$H3013="EU_JU",Painel_diario!$J3013=1),EXP(Painel_diario!$L3013),1)-1</f>
        <v/>
      </c>
      <c r="D3017" s="22">
        <f>(1+D3016)*IF(AND(Painel_diario!$H3013="ED_JD",Painel_diario!$J3013=1),EXP(Painel_diario!$L3013),1)-1</f>
        <v/>
      </c>
      <c r="E3017" s="22">
        <f>(1+E3016)*IF(AND(Painel_diario!$H3013="ED_JU",Painel_diario!$J3013=1),EXP(Painel_diario!$L3013),1)-1</f>
        <v/>
      </c>
    </row>
    <row r="3018">
      <c r="A3018" s="25" t="n">
        <v>43271</v>
      </c>
      <c r="B3018" s="22">
        <f>(1+B3017)*IF(AND(Painel_diario!$H3014="EU_JD",Painel_diario!$J3014=1),EXP(Painel_diario!$L3014),1)-1</f>
        <v/>
      </c>
      <c r="C3018" s="22">
        <f>(1+C3017)*IF(AND(Painel_diario!$H3014="EU_JU",Painel_diario!$J3014=1),EXP(Painel_diario!$L3014),1)-1</f>
        <v/>
      </c>
      <c r="D3018" s="22">
        <f>(1+D3017)*IF(AND(Painel_diario!$H3014="ED_JD",Painel_diario!$J3014=1),EXP(Painel_diario!$L3014),1)-1</f>
        <v/>
      </c>
      <c r="E3018" s="22">
        <f>(1+E3017)*IF(AND(Painel_diario!$H3014="ED_JU",Painel_diario!$J3014=1),EXP(Painel_diario!$L3014),1)-1</f>
        <v/>
      </c>
    </row>
    <row r="3019">
      <c r="A3019" s="25" t="n">
        <v>43272</v>
      </c>
      <c r="B3019" s="22">
        <f>(1+B3018)*IF(AND(Painel_diario!$H3015="EU_JD",Painel_diario!$J3015=1),EXP(Painel_diario!$L3015),1)-1</f>
        <v/>
      </c>
      <c r="C3019" s="22">
        <f>(1+C3018)*IF(AND(Painel_diario!$H3015="EU_JU",Painel_diario!$J3015=1),EXP(Painel_diario!$L3015),1)-1</f>
        <v/>
      </c>
      <c r="D3019" s="22">
        <f>(1+D3018)*IF(AND(Painel_diario!$H3015="ED_JD",Painel_diario!$J3015=1),EXP(Painel_diario!$L3015),1)-1</f>
        <v/>
      </c>
      <c r="E3019" s="22">
        <f>(1+E3018)*IF(AND(Painel_diario!$H3015="ED_JU",Painel_diario!$J3015=1),EXP(Painel_diario!$L3015),1)-1</f>
        <v/>
      </c>
    </row>
    <row r="3020">
      <c r="A3020" s="25" t="n">
        <v>43273</v>
      </c>
      <c r="B3020" s="22">
        <f>(1+B3019)*IF(AND(Painel_diario!$H3016="EU_JD",Painel_diario!$J3016=1),EXP(Painel_diario!$L3016),1)-1</f>
        <v/>
      </c>
      <c r="C3020" s="22">
        <f>(1+C3019)*IF(AND(Painel_diario!$H3016="EU_JU",Painel_diario!$J3016=1),EXP(Painel_diario!$L3016),1)-1</f>
        <v/>
      </c>
      <c r="D3020" s="22">
        <f>(1+D3019)*IF(AND(Painel_diario!$H3016="ED_JD",Painel_diario!$J3016=1),EXP(Painel_diario!$L3016),1)-1</f>
        <v/>
      </c>
      <c r="E3020" s="22">
        <f>(1+E3019)*IF(AND(Painel_diario!$H3016="ED_JU",Painel_diario!$J3016=1),EXP(Painel_diario!$L3016),1)-1</f>
        <v/>
      </c>
    </row>
    <row r="3021">
      <c r="A3021" s="25" t="n">
        <v>43276</v>
      </c>
      <c r="B3021" s="22">
        <f>(1+B3020)*IF(AND(Painel_diario!$H3017="EU_JD",Painel_diario!$J3017=1),EXP(Painel_diario!$L3017),1)-1</f>
        <v/>
      </c>
      <c r="C3021" s="22">
        <f>(1+C3020)*IF(AND(Painel_diario!$H3017="EU_JU",Painel_diario!$J3017=1),EXP(Painel_diario!$L3017),1)-1</f>
        <v/>
      </c>
      <c r="D3021" s="22">
        <f>(1+D3020)*IF(AND(Painel_diario!$H3017="ED_JD",Painel_diario!$J3017=1),EXP(Painel_diario!$L3017),1)-1</f>
        <v/>
      </c>
      <c r="E3021" s="22">
        <f>(1+E3020)*IF(AND(Painel_diario!$H3017="ED_JU",Painel_diario!$J3017=1),EXP(Painel_diario!$L3017),1)-1</f>
        <v/>
      </c>
    </row>
    <row r="3022">
      <c r="A3022" s="25" t="n">
        <v>43277</v>
      </c>
      <c r="B3022" s="22">
        <f>(1+B3021)*IF(AND(Painel_diario!$H3018="EU_JD",Painel_diario!$J3018=1),EXP(Painel_diario!$L3018),1)-1</f>
        <v/>
      </c>
      <c r="C3022" s="22">
        <f>(1+C3021)*IF(AND(Painel_diario!$H3018="EU_JU",Painel_diario!$J3018=1),EXP(Painel_diario!$L3018),1)-1</f>
        <v/>
      </c>
      <c r="D3022" s="22">
        <f>(1+D3021)*IF(AND(Painel_diario!$H3018="ED_JD",Painel_diario!$J3018=1),EXP(Painel_diario!$L3018),1)-1</f>
        <v/>
      </c>
      <c r="E3022" s="22">
        <f>(1+E3021)*IF(AND(Painel_diario!$H3018="ED_JU",Painel_diario!$J3018=1),EXP(Painel_diario!$L3018),1)-1</f>
        <v/>
      </c>
    </row>
    <row r="3023">
      <c r="A3023" s="25" t="n">
        <v>43278</v>
      </c>
      <c r="B3023" s="22">
        <f>(1+B3022)*IF(AND(Painel_diario!$H3019="EU_JD",Painel_diario!$J3019=1),EXP(Painel_diario!$L3019),1)-1</f>
        <v/>
      </c>
      <c r="C3023" s="22">
        <f>(1+C3022)*IF(AND(Painel_diario!$H3019="EU_JU",Painel_diario!$J3019=1),EXP(Painel_diario!$L3019),1)-1</f>
        <v/>
      </c>
      <c r="D3023" s="22">
        <f>(1+D3022)*IF(AND(Painel_diario!$H3019="ED_JD",Painel_diario!$J3019=1),EXP(Painel_diario!$L3019),1)-1</f>
        <v/>
      </c>
      <c r="E3023" s="22">
        <f>(1+E3022)*IF(AND(Painel_diario!$H3019="ED_JU",Painel_diario!$J3019=1),EXP(Painel_diario!$L3019),1)-1</f>
        <v/>
      </c>
    </row>
    <row r="3024">
      <c r="A3024" s="25" t="n">
        <v>43279</v>
      </c>
      <c r="B3024" s="22">
        <f>(1+B3023)*IF(AND(Painel_diario!$H3020="EU_JD",Painel_diario!$J3020=1),EXP(Painel_diario!$L3020),1)-1</f>
        <v/>
      </c>
      <c r="C3024" s="22">
        <f>(1+C3023)*IF(AND(Painel_diario!$H3020="EU_JU",Painel_diario!$J3020=1),EXP(Painel_diario!$L3020),1)-1</f>
        <v/>
      </c>
      <c r="D3024" s="22">
        <f>(1+D3023)*IF(AND(Painel_diario!$H3020="ED_JD",Painel_diario!$J3020=1),EXP(Painel_diario!$L3020),1)-1</f>
        <v/>
      </c>
      <c r="E3024" s="22">
        <f>(1+E3023)*IF(AND(Painel_diario!$H3020="ED_JU",Painel_diario!$J3020=1),EXP(Painel_diario!$L3020),1)-1</f>
        <v/>
      </c>
    </row>
    <row r="3025">
      <c r="A3025" s="25" t="n">
        <v>43280</v>
      </c>
      <c r="B3025" s="22">
        <f>(1+B3024)*IF(AND(Painel_diario!$H3021="EU_JD",Painel_diario!$J3021=1),EXP(Painel_diario!$L3021),1)-1</f>
        <v/>
      </c>
      <c r="C3025" s="22">
        <f>(1+C3024)*IF(AND(Painel_diario!$H3021="EU_JU",Painel_diario!$J3021=1),EXP(Painel_diario!$L3021),1)-1</f>
        <v/>
      </c>
      <c r="D3025" s="22">
        <f>(1+D3024)*IF(AND(Painel_diario!$H3021="ED_JD",Painel_diario!$J3021=1),EXP(Painel_diario!$L3021),1)-1</f>
        <v/>
      </c>
      <c r="E3025" s="22">
        <f>(1+E3024)*IF(AND(Painel_diario!$H3021="ED_JU",Painel_diario!$J3021=1),EXP(Painel_diario!$L3021),1)-1</f>
        <v/>
      </c>
    </row>
    <row r="3026">
      <c r="A3026" s="25" t="n">
        <v>43283</v>
      </c>
      <c r="B3026" s="22">
        <f>(1+B3025)*IF(AND(Painel_diario!$H3022="EU_JD",Painel_diario!$J3022=1),EXP(Painel_diario!$L3022),1)-1</f>
        <v/>
      </c>
      <c r="C3026" s="22">
        <f>(1+C3025)*IF(AND(Painel_diario!$H3022="EU_JU",Painel_diario!$J3022=1),EXP(Painel_diario!$L3022),1)-1</f>
        <v/>
      </c>
      <c r="D3026" s="22">
        <f>(1+D3025)*IF(AND(Painel_diario!$H3022="ED_JD",Painel_diario!$J3022=1),EXP(Painel_diario!$L3022),1)-1</f>
        <v/>
      </c>
      <c r="E3026" s="22">
        <f>(1+E3025)*IF(AND(Painel_diario!$H3022="ED_JU",Painel_diario!$J3022=1),EXP(Painel_diario!$L3022),1)-1</f>
        <v/>
      </c>
    </row>
    <row r="3027">
      <c r="A3027" s="25" t="n">
        <v>43284</v>
      </c>
      <c r="B3027" s="22">
        <f>(1+B3026)*IF(AND(Painel_diario!$H3023="EU_JD",Painel_diario!$J3023=1),EXP(Painel_diario!$L3023),1)-1</f>
        <v/>
      </c>
      <c r="C3027" s="22">
        <f>(1+C3026)*IF(AND(Painel_diario!$H3023="EU_JU",Painel_diario!$J3023=1),EXP(Painel_diario!$L3023),1)-1</f>
        <v/>
      </c>
      <c r="D3027" s="22">
        <f>(1+D3026)*IF(AND(Painel_diario!$H3023="ED_JD",Painel_diario!$J3023=1),EXP(Painel_diario!$L3023),1)-1</f>
        <v/>
      </c>
      <c r="E3027" s="22">
        <f>(1+E3026)*IF(AND(Painel_diario!$H3023="ED_JU",Painel_diario!$J3023=1),EXP(Painel_diario!$L3023),1)-1</f>
        <v/>
      </c>
    </row>
    <row r="3028">
      <c r="A3028" s="25" t="n">
        <v>43285</v>
      </c>
      <c r="B3028" s="22">
        <f>(1+B3027)*IF(AND(Painel_diario!$H3024="EU_JD",Painel_diario!$J3024=1),EXP(Painel_diario!$L3024),1)-1</f>
        <v/>
      </c>
      <c r="C3028" s="22">
        <f>(1+C3027)*IF(AND(Painel_diario!$H3024="EU_JU",Painel_diario!$J3024=1),EXP(Painel_diario!$L3024),1)-1</f>
        <v/>
      </c>
      <c r="D3028" s="22">
        <f>(1+D3027)*IF(AND(Painel_diario!$H3024="ED_JD",Painel_diario!$J3024=1),EXP(Painel_diario!$L3024),1)-1</f>
        <v/>
      </c>
      <c r="E3028" s="22">
        <f>(1+E3027)*IF(AND(Painel_diario!$H3024="ED_JU",Painel_diario!$J3024=1),EXP(Painel_diario!$L3024),1)-1</f>
        <v/>
      </c>
    </row>
    <row r="3029">
      <c r="A3029" s="25" t="n">
        <v>43286</v>
      </c>
      <c r="B3029" s="22">
        <f>(1+B3028)*IF(AND(Painel_diario!$H3025="EU_JD",Painel_diario!$J3025=1),EXP(Painel_diario!$L3025),1)-1</f>
        <v/>
      </c>
      <c r="C3029" s="22">
        <f>(1+C3028)*IF(AND(Painel_diario!$H3025="EU_JU",Painel_diario!$J3025=1),EXP(Painel_diario!$L3025),1)-1</f>
        <v/>
      </c>
      <c r="D3029" s="22">
        <f>(1+D3028)*IF(AND(Painel_diario!$H3025="ED_JD",Painel_diario!$J3025=1),EXP(Painel_diario!$L3025),1)-1</f>
        <v/>
      </c>
      <c r="E3029" s="22">
        <f>(1+E3028)*IF(AND(Painel_diario!$H3025="ED_JU",Painel_diario!$J3025=1),EXP(Painel_diario!$L3025),1)-1</f>
        <v/>
      </c>
    </row>
    <row r="3030">
      <c r="A3030" s="25" t="n">
        <v>43287</v>
      </c>
      <c r="B3030" s="22">
        <f>(1+B3029)*IF(AND(Painel_diario!$H3026="EU_JD",Painel_diario!$J3026=1),EXP(Painel_diario!$L3026),1)-1</f>
        <v/>
      </c>
      <c r="C3030" s="22">
        <f>(1+C3029)*IF(AND(Painel_diario!$H3026="EU_JU",Painel_diario!$J3026=1),EXP(Painel_diario!$L3026),1)-1</f>
        <v/>
      </c>
      <c r="D3030" s="22">
        <f>(1+D3029)*IF(AND(Painel_diario!$H3026="ED_JD",Painel_diario!$J3026=1),EXP(Painel_diario!$L3026),1)-1</f>
        <v/>
      </c>
      <c r="E3030" s="22">
        <f>(1+E3029)*IF(AND(Painel_diario!$H3026="ED_JU",Painel_diario!$J3026=1),EXP(Painel_diario!$L3026),1)-1</f>
        <v/>
      </c>
    </row>
    <row r="3031">
      <c r="A3031" s="25" t="n">
        <v>43291</v>
      </c>
      <c r="B3031" s="22">
        <f>(1+B3030)*IF(AND(Painel_diario!$H3027="EU_JD",Painel_diario!$J3027=1),EXP(Painel_diario!$L3027),1)-1</f>
        <v/>
      </c>
      <c r="C3031" s="22">
        <f>(1+C3030)*IF(AND(Painel_diario!$H3027="EU_JU",Painel_diario!$J3027=1),EXP(Painel_diario!$L3027),1)-1</f>
        <v/>
      </c>
      <c r="D3031" s="22">
        <f>(1+D3030)*IF(AND(Painel_diario!$H3027="ED_JD",Painel_diario!$J3027=1),EXP(Painel_diario!$L3027),1)-1</f>
        <v/>
      </c>
      <c r="E3031" s="22">
        <f>(1+E3030)*IF(AND(Painel_diario!$H3027="ED_JU",Painel_diario!$J3027=1),EXP(Painel_diario!$L3027),1)-1</f>
        <v/>
      </c>
    </row>
    <row r="3032">
      <c r="A3032" s="25" t="n">
        <v>43292</v>
      </c>
      <c r="B3032" s="22">
        <f>(1+B3031)*IF(AND(Painel_diario!$H3028="EU_JD",Painel_diario!$J3028=1),EXP(Painel_diario!$L3028),1)-1</f>
        <v/>
      </c>
      <c r="C3032" s="22">
        <f>(1+C3031)*IF(AND(Painel_diario!$H3028="EU_JU",Painel_diario!$J3028=1),EXP(Painel_diario!$L3028),1)-1</f>
        <v/>
      </c>
      <c r="D3032" s="22">
        <f>(1+D3031)*IF(AND(Painel_diario!$H3028="ED_JD",Painel_diario!$J3028=1),EXP(Painel_diario!$L3028),1)-1</f>
        <v/>
      </c>
      <c r="E3032" s="22">
        <f>(1+E3031)*IF(AND(Painel_diario!$H3028="ED_JU",Painel_diario!$J3028=1),EXP(Painel_diario!$L3028),1)-1</f>
        <v/>
      </c>
    </row>
    <row r="3033">
      <c r="A3033" s="25" t="n">
        <v>43293</v>
      </c>
      <c r="B3033" s="22">
        <f>(1+B3032)*IF(AND(Painel_diario!$H3029="EU_JD",Painel_diario!$J3029=1),EXP(Painel_diario!$L3029),1)-1</f>
        <v/>
      </c>
      <c r="C3033" s="22">
        <f>(1+C3032)*IF(AND(Painel_diario!$H3029="EU_JU",Painel_diario!$J3029=1),EXP(Painel_diario!$L3029),1)-1</f>
        <v/>
      </c>
      <c r="D3033" s="22">
        <f>(1+D3032)*IF(AND(Painel_diario!$H3029="ED_JD",Painel_diario!$J3029=1),EXP(Painel_diario!$L3029),1)-1</f>
        <v/>
      </c>
      <c r="E3033" s="22">
        <f>(1+E3032)*IF(AND(Painel_diario!$H3029="ED_JU",Painel_diario!$J3029=1),EXP(Painel_diario!$L3029),1)-1</f>
        <v/>
      </c>
    </row>
    <row r="3034">
      <c r="A3034" s="25" t="n">
        <v>43294</v>
      </c>
      <c r="B3034" s="22">
        <f>(1+B3033)*IF(AND(Painel_diario!$H3030="EU_JD",Painel_diario!$J3030=1),EXP(Painel_diario!$L3030),1)-1</f>
        <v/>
      </c>
      <c r="C3034" s="22">
        <f>(1+C3033)*IF(AND(Painel_diario!$H3030="EU_JU",Painel_diario!$J3030=1),EXP(Painel_diario!$L3030),1)-1</f>
        <v/>
      </c>
      <c r="D3034" s="22">
        <f>(1+D3033)*IF(AND(Painel_diario!$H3030="ED_JD",Painel_diario!$J3030=1),EXP(Painel_diario!$L3030),1)-1</f>
        <v/>
      </c>
      <c r="E3034" s="22">
        <f>(1+E3033)*IF(AND(Painel_diario!$H3030="ED_JU",Painel_diario!$J3030=1),EXP(Painel_diario!$L3030),1)-1</f>
        <v/>
      </c>
    </row>
    <row r="3035">
      <c r="A3035" s="25" t="n">
        <v>43297</v>
      </c>
      <c r="B3035" s="22">
        <f>(1+B3034)*IF(AND(Painel_diario!$H3031="EU_JD",Painel_diario!$J3031=1),EXP(Painel_diario!$L3031),1)-1</f>
        <v/>
      </c>
      <c r="C3035" s="22">
        <f>(1+C3034)*IF(AND(Painel_diario!$H3031="EU_JU",Painel_diario!$J3031=1),EXP(Painel_diario!$L3031),1)-1</f>
        <v/>
      </c>
      <c r="D3035" s="22">
        <f>(1+D3034)*IF(AND(Painel_diario!$H3031="ED_JD",Painel_diario!$J3031=1),EXP(Painel_diario!$L3031),1)-1</f>
        <v/>
      </c>
      <c r="E3035" s="22">
        <f>(1+E3034)*IF(AND(Painel_diario!$H3031="ED_JU",Painel_diario!$J3031=1),EXP(Painel_diario!$L3031),1)-1</f>
        <v/>
      </c>
    </row>
    <row r="3036">
      <c r="A3036" s="25" t="n">
        <v>43298</v>
      </c>
      <c r="B3036" s="22">
        <f>(1+B3035)*IF(AND(Painel_diario!$H3032="EU_JD",Painel_diario!$J3032=1),EXP(Painel_diario!$L3032),1)-1</f>
        <v/>
      </c>
      <c r="C3036" s="22">
        <f>(1+C3035)*IF(AND(Painel_diario!$H3032="EU_JU",Painel_diario!$J3032=1),EXP(Painel_diario!$L3032),1)-1</f>
        <v/>
      </c>
      <c r="D3036" s="22">
        <f>(1+D3035)*IF(AND(Painel_diario!$H3032="ED_JD",Painel_diario!$J3032=1),EXP(Painel_diario!$L3032),1)-1</f>
        <v/>
      </c>
      <c r="E3036" s="22">
        <f>(1+E3035)*IF(AND(Painel_diario!$H3032="ED_JU",Painel_diario!$J3032=1),EXP(Painel_diario!$L3032),1)-1</f>
        <v/>
      </c>
    </row>
    <row r="3037">
      <c r="A3037" s="25" t="n">
        <v>43299</v>
      </c>
      <c r="B3037" s="22">
        <f>(1+B3036)*IF(AND(Painel_diario!$H3033="EU_JD",Painel_diario!$J3033=1),EXP(Painel_diario!$L3033),1)-1</f>
        <v/>
      </c>
      <c r="C3037" s="22">
        <f>(1+C3036)*IF(AND(Painel_diario!$H3033="EU_JU",Painel_diario!$J3033=1),EXP(Painel_diario!$L3033),1)-1</f>
        <v/>
      </c>
      <c r="D3037" s="22">
        <f>(1+D3036)*IF(AND(Painel_diario!$H3033="ED_JD",Painel_diario!$J3033=1),EXP(Painel_diario!$L3033),1)-1</f>
        <v/>
      </c>
      <c r="E3037" s="22">
        <f>(1+E3036)*IF(AND(Painel_diario!$H3033="ED_JU",Painel_diario!$J3033=1),EXP(Painel_diario!$L3033),1)-1</f>
        <v/>
      </c>
    </row>
    <row r="3038">
      <c r="A3038" s="25" t="n">
        <v>43300</v>
      </c>
      <c r="B3038" s="22">
        <f>(1+B3037)*IF(AND(Painel_diario!$H3034="EU_JD",Painel_diario!$J3034=1),EXP(Painel_diario!$L3034),1)-1</f>
        <v/>
      </c>
      <c r="C3038" s="22">
        <f>(1+C3037)*IF(AND(Painel_diario!$H3034="EU_JU",Painel_diario!$J3034=1),EXP(Painel_diario!$L3034),1)-1</f>
        <v/>
      </c>
      <c r="D3038" s="22">
        <f>(1+D3037)*IF(AND(Painel_diario!$H3034="ED_JD",Painel_diario!$J3034=1),EXP(Painel_diario!$L3034),1)-1</f>
        <v/>
      </c>
      <c r="E3038" s="22">
        <f>(1+E3037)*IF(AND(Painel_diario!$H3034="ED_JU",Painel_diario!$J3034=1),EXP(Painel_diario!$L3034),1)-1</f>
        <v/>
      </c>
    </row>
    <row r="3039">
      <c r="A3039" s="25" t="n">
        <v>43301</v>
      </c>
      <c r="B3039" s="22">
        <f>(1+B3038)*IF(AND(Painel_diario!$H3035="EU_JD",Painel_diario!$J3035=1),EXP(Painel_diario!$L3035),1)-1</f>
        <v/>
      </c>
      <c r="C3039" s="22">
        <f>(1+C3038)*IF(AND(Painel_diario!$H3035="EU_JU",Painel_diario!$J3035=1),EXP(Painel_diario!$L3035),1)-1</f>
        <v/>
      </c>
      <c r="D3039" s="22">
        <f>(1+D3038)*IF(AND(Painel_diario!$H3035="ED_JD",Painel_diario!$J3035=1),EXP(Painel_diario!$L3035),1)-1</f>
        <v/>
      </c>
      <c r="E3039" s="22">
        <f>(1+E3038)*IF(AND(Painel_diario!$H3035="ED_JU",Painel_diario!$J3035=1),EXP(Painel_diario!$L3035),1)-1</f>
        <v/>
      </c>
    </row>
    <row r="3040">
      <c r="A3040" s="25" t="n">
        <v>43304</v>
      </c>
      <c r="B3040" s="22">
        <f>(1+B3039)*IF(AND(Painel_diario!$H3036="EU_JD",Painel_diario!$J3036=1),EXP(Painel_diario!$L3036),1)-1</f>
        <v/>
      </c>
      <c r="C3040" s="22">
        <f>(1+C3039)*IF(AND(Painel_diario!$H3036="EU_JU",Painel_diario!$J3036=1),EXP(Painel_diario!$L3036),1)-1</f>
        <v/>
      </c>
      <c r="D3040" s="22">
        <f>(1+D3039)*IF(AND(Painel_diario!$H3036="ED_JD",Painel_diario!$J3036=1),EXP(Painel_diario!$L3036),1)-1</f>
        <v/>
      </c>
      <c r="E3040" s="22">
        <f>(1+E3039)*IF(AND(Painel_diario!$H3036="ED_JU",Painel_diario!$J3036=1),EXP(Painel_diario!$L3036),1)-1</f>
        <v/>
      </c>
    </row>
    <row r="3041">
      <c r="A3041" s="25" t="n">
        <v>43305</v>
      </c>
      <c r="B3041" s="22">
        <f>(1+B3040)*IF(AND(Painel_diario!$H3037="EU_JD",Painel_diario!$J3037=1),EXP(Painel_diario!$L3037),1)-1</f>
        <v/>
      </c>
      <c r="C3041" s="22">
        <f>(1+C3040)*IF(AND(Painel_diario!$H3037="EU_JU",Painel_diario!$J3037=1),EXP(Painel_diario!$L3037),1)-1</f>
        <v/>
      </c>
      <c r="D3041" s="22">
        <f>(1+D3040)*IF(AND(Painel_diario!$H3037="ED_JD",Painel_diario!$J3037=1),EXP(Painel_diario!$L3037),1)-1</f>
        <v/>
      </c>
      <c r="E3041" s="22">
        <f>(1+E3040)*IF(AND(Painel_diario!$H3037="ED_JU",Painel_diario!$J3037=1),EXP(Painel_diario!$L3037),1)-1</f>
        <v/>
      </c>
    </row>
    <row r="3042">
      <c r="A3042" s="25" t="n">
        <v>43306</v>
      </c>
      <c r="B3042" s="22">
        <f>(1+B3041)*IF(AND(Painel_diario!$H3038="EU_JD",Painel_diario!$J3038=1),EXP(Painel_diario!$L3038),1)-1</f>
        <v/>
      </c>
      <c r="C3042" s="22">
        <f>(1+C3041)*IF(AND(Painel_diario!$H3038="EU_JU",Painel_diario!$J3038=1),EXP(Painel_diario!$L3038),1)-1</f>
        <v/>
      </c>
      <c r="D3042" s="22">
        <f>(1+D3041)*IF(AND(Painel_diario!$H3038="ED_JD",Painel_diario!$J3038=1),EXP(Painel_diario!$L3038),1)-1</f>
        <v/>
      </c>
      <c r="E3042" s="22">
        <f>(1+E3041)*IF(AND(Painel_diario!$H3038="ED_JU",Painel_diario!$J3038=1),EXP(Painel_diario!$L3038),1)-1</f>
        <v/>
      </c>
    </row>
    <row r="3043">
      <c r="A3043" s="25" t="n">
        <v>43307</v>
      </c>
      <c r="B3043" s="22">
        <f>(1+B3042)*IF(AND(Painel_diario!$H3039="EU_JD",Painel_diario!$J3039=1),EXP(Painel_diario!$L3039),1)-1</f>
        <v/>
      </c>
      <c r="C3043" s="22">
        <f>(1+C3042)*IF(AND(Painel_diario!$H3039="EU_JU",Painel_diario!$J3039=1),EXP(Painel_diario!$L3039),1)-1</f>
        <v/>
      </c>
      <c r="D3043" s="22">
        <f>(1+D3042)*IF(AND(Painel_diario!$H3039="ED_JD",Painel_diario!$J3039=1),EXP(Painel_diario!$L3039),1)-1</f>
        <v/>
      </c>
      <c r="E3043" s="22">
        <f>(1+E3042)*IF(AND(Painel_diario!$H3039="ED_JU",Painel_diario!$J3039=1),EXP(Painel_diario!$L3039),1)-1</f>
        <v/>
      </c>
    </row>
    <row r="3044">
      <c r="A3044" s="25" t="n">
        <v>43308</v>
      </c>
      <c r="B3044" s="22">
        <f>(1+B3043)*IF(AND(Painel_diario!$H3040="EU_JD",Painel_diario!$J3040=1),EXP(Painel_diario!$L3040),1)-1</f>
        <v/>
      </c>
      <c r="C3044" s="22">
        <f>(1+C3043)*IF(AND(Painel_diario!$H3040="EU_JU",Painel_diario!$J3040=1),EXP(Painel_diario!$L3040),1)-1</f>
        <v/>
      </c>
      <c r="D3044" s="22">
        <f>(1+D3043)*IF(AND(Painel_diario!$H3040="ED_JD",Painel_diario!$J3040=1),EXP(Painel_diario!$L3040),1)-1</f>
        <v/>
      </c>
      <c r="E3044" s="22">
        <f>(1+E3043)*IF(AND(Painel_diario!$H3040="ED_JU",Painel_diario!$J3040=1),EXP(Painel_diario!$L3040),1)-1</f>
        <v/>
      </c>
    </row>
    <row r="3045">
      <c r="A3045" s="25" t="n">
        <v>43311</v>
      </c>
      <c r="B3045" s="22">
        <f>(1+B3044)*IF(AND(Painel_diario!$H3041="EU_JD",Painel_diario!$J3041=1),EXP(Painel_diario!$L3041),1)-1</f>
        <v/>
      </c>
      <c r="C3045" s="22">
        <f>(1+C3044)*IF(AND(Painel_diario!$H3041="EU_JU",Painel_diario!$J3041=1),EXP(Painel_diario!$L3041),1)-1</f>
        <v/>
      </c>
      <c r="D3045" s="22">
        <f>(1+D3044)*IF(AND(Painel_diario!$H3041="ED_JD",Painel_diario!$J3041=1),EXP(Painel_diario!$L3041),1)-1</f>
        <v/>
      </c>
      <c r="E3045" s="22">
        <f>(1+E3044)*IF(AND(Painel_diario!$H3041="ED_JU",Painel_diario!$J3041=1),EXP(Painel_diario!$L3041),1)-1</f>
        <v/>
      </c>
    </row>
    <row r="3046">
      <c r="A3046" s="25" t="n">
        <v>43312</v>
      </c>
      <c r="B3046" s="22">
        <f>(1+B3045)*IF(AND(Painel_diario!$H3042="EU_JD",Painel_diario!$J3042=1),EXP(Painel_diario!$L3042),1)-1</f>
        <v/>
      </c>
      <c r="C3046" s="22">
        <f>(1+C3045)*IF(AND(Painel_diario!$H3042="EU_JU",Painel_diario!$J3042=1),EXP(Painel_diario!$L3042),1)-1</f>
        <v/>
      </c>
      <c r="D3046" s="22">
        <f>(1+D3045)*IF(AND(Painel_diario!$H3042="ED_JD",Painel_diario!$J3042=1),EXP(Painel_diario!$L3042),1)-1</f>
        <v/>
      </c>
      <c r="E3046" s="22">
        <f>(1+E3045)*IF(AND(Painel_diario!$H3042="ED_JU",Painel_diario!$J3042=1),EXP(Painel_diario!$L3042),1)-1</f>
        <v/>
      </c>
    </row>
    <row r="3047">
      <c r="A3047" s="25" t="n">
        <v>43313</v>
      </c>
      <c r="B3047" s="22">
        <f>(1+B3046)*IF(AND(Painel_diario!$H3043="EU_JD",Painel_diario!$J3043=1),EXP(Painel_diario!$L3043),1)-1</f>
        <v/>
      </c>
      <c r="C3047" s="22">
        <f>(1+C3046)*IF(AND(Painel_diario!$H3043="EU_JU",Painel_diario!$J3043=1),EXP(Painel_diario!$L3043),1)-1</f>
        <v/>
      </c>
      <c r="D3047" s="22">
        <f>(1+D3046)*IF(AND(Painel_diario!$H3043="ED_JD",Painel_diario!$J3043=1),EXP(Painel_diario!$L3043),1)-1</f>
        <v/>
      </c>
      <c r="E3047" s="22">
        <f>(1+E3046)*IF(AND(Painel_diario!$H3043="ED_JU",Painel_diario!$J3043=1),EXP(Painel_diario!$L3043),1)-1</f>
        <v/>
      </c>
    </row>
    <row r="3048">
      <c r="A3048" s="25" t="n">
        <v>43314</v>
      </c>
      <c r="B3048" s="22">
        <f>(1+B3047)*IF(AND(Painel_diario!$H3044="EU_JD",Painel_diario!$J3044=1),EXP(Painel_diario!$L3044),1)-1</f>
        <v/>
      </c>
      <c r="C3048" s="22">
        <f>(1+C3047)*IF(AND(Painel_diario!$H3044="EU_JU",Painel_diario!$J3044=1),EXP(Painel_diario!$L3044),1)-1</f>
        <v/>
      </c>
      <c r="D3048" s="22">
        <f>(1+D3047)*IF(AND(Painel_diario!$H3044="ED_JD",Painel_diario!$J3044=1),EXP(Painel_diario!$L3044),1)-1</f>
        <v/>
      </c>
      <c r="E3048" s="22">
        <f>(1+E3047)*IF(AND(Painel_diario!$H3044="ED_JU",Painel_diario!$J3044=1),EXP(Painel_diario!$L3044),1)-1</f>
        <v/>
      </c>
    </row>
    <row r="3049">
      <c r="A3049" s="25" t="n">
        <v>43315</v>
      </c>
      <c r="B3049" s="22">
        <f>(1+B3048)*IF(AND(Painel_diario!$H3045="EU_JD",Painel_diario!$J3045=1),EXP(Painel_diario!$L3045),1)-1</f>
        <v/>
      </c>
      <c r="C3049" s="22">
        <f>(1+C3048)*IF(AND(Painel_diario!$H3045="EU_JU",Painel_diario!$J3045=1),EXP(Painel_diario!$L3045),1)-1</f>
        <v/>
      </c>
      <c r="D3049" s="22">
        <f>(1+D3048)*IF(AND(Painel_diario!$H3045="ED_JD",Painel_diario!$J3045=1),EXP(Painel_diario!$L3045),1)-1</f>
        <v/>
      </c>
      <c r="E3049" s="22">
        <f>(1+E3048)*IF(AND(Painel_diario!$H3045="ED_JU",Painel_diario!$J3045=1),EXP(Painel_diario!$L3045),1)-1</f>
        <v/>
      </c>
    </row>
    <row r="3050">
      <c r="A3050" s="25" t="n">
        <v>43318</v>
      </c>
      <c r="B3050" s="22">
        <f>(1+B3049)*IF(AND(Painel_diario!$H3046="EU_JD",Painel_diario!$J3046=1),EXP(Painel_diario!$L3046),1)-1</f>
        <v/>
      </c>
      <c r="C3050" s="22">
        <f>(1+C3049)*IF(AND(Painel_diario!$H3046="EU_JU",Painel_diario!$J3046=1),EXP(Painel_diario!$L3046),1)-1</f>
        <v/>
      </c>
      <c r="D3050" s="22">
        <f>(1+D3049)*IF(AND(Painel_diario!$H3046="ED_JD",Painel_diario!$J3046=1),EXP(Painel_diario!$L3046),1)-1</f>
        <v/>
      </c>
      <c r="E3050" s="22">
        <f>(1+E3049)*IF(AND(Painel_diario!$H3046="ED_JU",Painel_diario!$J3046=1),EXP(Painel_diario!$L3046),1)-1</f>
        <v/>
      </c>
    </row>
    <row r="3051">
      <c r="A3051" s="25" t="n">
        <v>43319</v>
      </c>
      <c r="B3051" s="22">
        <f>(1+B3050)*IF(AND(Painel_diario!$H3047="EU_JD",Painel_diario!$J3047=1),EXP(Painel_diario!$L3047),1)-1</f>
        <v/>
      </c>
      <c r="C3051" s="22">
        <f>(1+C3050)*IF(AND(Painel_diario!$H3047="EU_JU",Painel_diario!$J3047=1),EXP(Painel_diario!$L3047),1)-1</f>
        <v/>
      </c>
      <c r="D3051" s="22">
        <f>(1+D3050)*IF(AND(Painel_diario!$H3047="ED_JD",Painel_diario!$J3047=1),EXP(Painel_diario!$L3047),1)-1</f>
        <v/>
      </c>
      <c r="E3051" s="22">
        <f>(1+E3050)*IF(AND(Painel_diario!$H3047="ED_JU",Painel_diario!$J3047=1),EXP(Painel_diario!$L3047),1)-1</f>
        <v/>
      </c>
    </row>
    <row r="3052">
      <c r="A3052" s="25" t="n">
        <v>43320</v>
      </c>
      <c r="B3052" s="22">
        <f>(1+B3051)*IF(AND(Painel_diario!$H3048="EU_JD",Painel_diario!$J3048=1),EXP(Painel_diario!$L3048),1)-1</f>
        <v/>
      </c>
      <c r="C3052" s="22">
        <f>(1+C3051)*IF(AND(Painel_diario!$H3048="EU_JU",Painel_diario!$J3048=1),EXP(Painel_diario!$L3048),1)-1</f>
        <v/>
      </c>
      <c r="D3052" s="22">
        <f>(1+D3051)*IF(AND(Painel_diario!$H3048="ED_JD",Painel_diario!$J3048=1),EXP(Painel_diario!$L3048),1)-1</f>
        <v/>
      </c>
      <c r="E3052" s="22">
        <f>(1+E3051)*IF(AND(Painel_diario!$H3048="ED_JU",Painel_diario!$J3048=1),EXP(Painel_diario!$L3048),1)-1</f>
        <v/>
      </c>
    </row>
    <row r="3053">
      <c r="A3053" s="25" t="n">
        <v>43321</v>
      </c>
      <c r="B3053" s="22">
        <f>(1+B3052)*IF(AND(Painel_diario!$H3049="EU_JD",Painel_diario!$J3049=1),EXP(Painel_diario!$L3049),1)-1</f>
        <v/>
      </c>
      <c r="C3053" s="22">
        <f>(1+C3052)*IF(AND(Painel_diario!$H3049="EU_JU",Painel_diario!$J3049=1),EXP(Painel_diario!$L3049),1)-1</f>
        <v/>
      </c>
      <c r="D3053" s="22">
        <f>(1+D3052)*IF(AND(Painel_diario!$H3049="ED_JD",Painel_diario!$J3049=1),EXP(Painel_diario!$L3049),1)-1</f>
        <v/>
      </c>
      <c r="E3053" s="22">
        <f>(1+E3052)*IF(AND(Painel_diario!$H3049="ED_JU",Painel_diario!$J3049=1),EXP(Painel_diario!$L3049),1)-1</f>
        <v/>
      </c>
    </row>
    <row r="3054">
      <c r="A3054" s="25" t="n">
        <v>43322</v>
      </c>
      <c r="B3054" s="22">
        <f>(1+B3053)*IF(AND(Painel_diario!$H3050="EU_JD",Painel_diario!$J3050=1),EXP(Painel_diario!$L3050),1)-1</f>
        <v/>
      </c>
      <c r="C3054" s="22">
        <f>(1+C3053)*IF(AND(Painel_diario!$H3050="EU_JU",Painel_diario!$J3050=1),EXP(Painel_diario!$L3050),1)-1</f>
        <v/>
      </c>
      <c r="D3054" s="22">
        <f>(1+D3053)*IF(AND(Painel_diario!$H3050="ED_JD",Painel_diario!$J3050=1),EXP(Painel_diario!$L3050),1)-1</f>
        <v/>
      </c>
      <c r="E3054" s="22">
        <f>(1+E3053)*IF(AND(Painel_diario!$H3050="ED_JU",Painel_diario!$J3050=1),EXP(Painel_diario!$L3050),1)-1</f>
        <v/>
      </c>
    </row>
    <row r="3055">
      <c r="A3055" s="25" t="n">
        <v>43325</v>
      </c>
      <c r="B3055" s="22">
        <f>(1+B3054)*IF(AND(Painel_diario!$H3051="EU_JD",Painel_diario!$J3051=1),EXP(Painel_diario!$L3051),1)-1</f>
        <v/>
      </c>
      <c r="C3055" s="22">
        <f>(1+C3054)*IF(AND(Painel_diario!$H3051="EU_JU",Painel_diario!$J3051=1),EXP(Painel_diario!$L3051),1)-1</f>
        <v/>
      </c>
      <c r="D3055" s="22">
        <f>(1+D3054)*IF(AND(Painel_diario!$H3051="ED_JD",Painel_diario!$J3051=1),EXP(Painel_diario!$L3051),1)-1</f>
        <v/>
      </c>
      <c r="E3055" s="22">
        <f>(1+E3054)*IF(AND(Painel_diario!$H3051="ED_JU",Painel_diario!$J3051=1),EXP(Painel_diario!$L3051),1)-1</f>
        <v/>
      </c>
    </row>
    <row r="3056">
      <c r="A3056" s="25" t="n">
        <v>43326</v>
      </c>
      <c r="B3056" s="22">
        <f>(1+B3055)*IF(AND(Painel_diario!$H3052="EU_JD",Painel_diario!$J3052=1),EXP(Painel_diario!$L3052),1)-1</f>
        <v/>
      </c>
      <c r="C3056" s="22">
        <f>(1+C3055)*IF(AND(Painel_diario!$H3052="EU_JU",Painel_diario!$J3052=1),EXP(Painel_diario!$L3052),1)-1</f>
        <v/>
      </c>
      <c r="D3056" s="22">
        <f>(1+D3055)*IF(AND(Painel_diario!$H3052="ED_JD",Painel_diario!$J3052=1),EXP(Painel_diario!$L3052),1)-1</f>
        <v/>
      </c>
      <c r="E3056" s="22">
        <f>(1+E3055)*IF(AND(Painel_diario!$H3052="ED_JU",Painel_diario!$J3052=1),EXP(Painel_diario!$L3052),1)-1</f>
        <v/>
      </c>
    </row>
    <row r="3057">
      <c r="A3057" s="25" t="n">
        <v>43327</v>
      </c>
      <c r="B3057" s="22">
        <f>(1+B3056)*IF(AND(Painel_diario!$H3053="EU_JD",Painel_diario!$J3053=1),EXP(Painel_diario!$L3053),1)-1</f>
        <v/>
      </c>
      <c r="C3057" s="22">
        <f>(1+C3056)*IF(AND(Painel_diario!$H3053="EU_JU",Painel_diario!$J3053=1),EXP(Painel_diario!$L3053),1)-1</f>
        <v/>
      </c>
      <c r="D3057" s="22">
        <f>(1+D3056)*IF(AND(Painel_diario!$H3053="ED_JD",Painel_diario!$J3053=1),EXP(Painel_diario!$L3053),1)-1</f>
        <v/>
      </c>
      <c r="E3057" s="22">
        <f>(1+E3056)*IF(AND(Painel_diario!$H3053="ED_JU",Painel_diario!$J3053=1),EXP(Painel_diario!$L3053),1)-1</f>
        <v/>
      </c>
    </row>
    <row r="3058">
      <c r="A3058" s="25" t="n">
        <v>43328</v>
      </c>
      <c r="B3058" s="22">
        <f>(1+B3057)*IF(AND(Painel_diario!$H3054="EU_JD",Painel_diario!$J3054=1),EXP(Painel_diario!$L3054),1)-1</f>
        <v/>
      </c>
      <c r="C3058" s="22">
        <f>(1+C3057)*IF(AND(Painel_diario!$H3054="EU_JU",Painel_diario!$J3054=1),EXP(Painel_diario!$L3054),1)-1</f>
        <v/>
      </c>
      <c r="D3058" s="22">
        <f>(1+D3057)*IF(AND(Painel_diario!$H3054="ED_JD",Painel_diario!$J3054=1),EXP(Painel_diario!$L3054),1)-1</f>
        <v/>
      </c>
      <c r="E3058" s="22">
        <f>(1+E3057)*IF(AND(Painel_diario!$H3054="ED_JU",Painel_diario!$J3054=1),EXP(Painel_diario!$L3054),1)-1</f>
        <v/>
      </c>
    </row>
    <row r="3059">
      <c r="A3059" s="25" t="n">
        <v>43329</v>
      </c>
      <c r="B3059" s="22">
        <f>(1+B3058)*IF(AND(Painel_diario!$H3055="EU_JD",Painel_diario!$J3055=1),EXP(Painel_diario!$L3055),1)-1</f>
        <v/>
      </c>
      <c r="C3059" s="22">
        <f>(1+C3058)*IF(AND(Painel_diario!$H3055="EU_JU",Painel_diario!$J3055=1),EXP(Painel_diario!$L3055),1)-1</f>
        <v/>
      </c>
      <c r="D3059" s="22">
        <f>(1+D3058)*IF(AND(Painel_diario!$H3055="ED_JD",Painel_diario!$J3055=1),EXP(Painel_diario!$L3055),1)-1</f>
        <v/>
      </c>
      <c r="E3059" s="22">
        <f>(1+E3058)*IF(AND(Painel_diario!$H3055="ED_JU",Painel_diario!$J3055=1),EXP(Painel_diario!$L3055),1)-1</f>
        <v/>
      </c>
    </row>
    <row r="3060">
      <c r="A3060" s="25" t="n">
        <v>43332</v>
      </c>
      <c r="B3060" s="22">
        <f>(1+B3059)*IF(AND(Painel_diario!$H3056="EU_JD",Painel_diario!$J3056=1),EXP(Painel_diario!$L3056),1)-1</f>
        <v/>
      </c>
      <c r="C3060" s="22">
        <f>(1+C3059)*IF(AND(Painel_diario!$H3056="EU_JU",Painel_diario!$J3056=1),EXP(Painel_diario!$L3056),1)-1</f>
        <v/>
      </c>
      <c r="D3060" s="22">
        <f>(1+D3059)*IF(AND(Painel_diario!$H3056="ED_JD",Painel_diario!$J3056=1),EXP(Painel_diario!$L3056),1)-1</f>
        <v/>
      </c>
      <c r="E3060" s="22">
        <f>(1+E3059)*IF(AND(Painel_diario!$H3056="ED_JU",Painel_diario!$J3056=1),EXP(Painel_diario!$L3056),1)-1</f>
        <v/>
      </c>
    </row>
    <row r="3061">
      <c r="A3061" s="25" t="n">
        <v>43333</v>
      </c>
      <c r="B3061" s="22">
        <f>(1+B3060)*IF(AND(Painel_diario!$H3057="EU_JD",Painel_diario!$J3057=1),EXP(Painel_diario!$L3057),1)-1</f>
        <v/>
      </c>
      <c r="C3061" s="22">
        <f>(1+C3060)*IF(AND(Painel_diario!$H3057="EU_JU",Painel_diario!$J3057=1),EXP(Painel_diario!$L3057),1)-1</f>
        <v/>
      </c>
      <c r="D3061" s="22">
        <f>(1+D3060)*IF(AND(Painel_diario!$H3057="ED_JD",Painel_diario!$J3057=1),EXP(Painel_diario!$L3057),1)-1</f>
        <v/>
      </c>
      <c r="E3061" s="22">
        <f>(1+E3060)*IF(AND(Painel_diario!$H3057="ED_JU",Painel_diario!$J3057=1),EXP(Painel_diario!$L3057),1)-1</f>
        <v/>
      </c>
    </row>
    <row r="3062">
      <c r="A3062" s="25" t="n">
        <v>43334</v>
      </c>
      <c r="B3062" s="22">
        <f>(1+B3061)*IF(AND(Painel_diario!$H3058="EU_JD",Painel_diario!$J3058=1),EXP(Painel_diario!$L3058),1)-1</f>
        <v/>
      </c>
      <c r="C3062" s="22">
        <f>(1+C3061)*IF(AND(Painel_diario!$H3058="EU_JU",Painel_diario!$J3058=1),EXP(Painel_diario!$L3058),1)-1</f>
        <v/>
      </c>
      <c r="D3062" s="22">
        <f>(1+D3061)*IF(AND(Painel_diario!$H3058="ED_JD",Painel_diario!$J3058=1),EXP(Painel_diario!$L3058),1)-1</f>
        <v/>
      </c>
      <c r="E3062" s="22">
        <f>(1+E3061)*IF(AND(Painel_diario!$H3058="ED_JU",Painel_diario!$J3058=1),EXP(Painel_diario!$L3058),1)-1</f>
        <v/>
      </c>
    </row>
    <row r="3063">
      <c r="A3063" s="25" t="n">
        <v>43335</v>
      </c>
      <c r="B3063" s="22">
        <f>(1+B3062)*IF(AND(Painel_diario!$H3059="EU_JD",Painel_diario!$J3059=1),EXP(Painel_diario!$L3059),1)-1</f>
        <v/>
      </c>
      <c r="C3063" s="22">
        <f>(1+C3062)*IF(AND(Painel_diario!$H3059="EU_JU",Painel_diario!$J3059=1),EXP(Painel_diario!$L3059),1)-1</f>
        <v/>
      </c>
      <c r="D3063" s="22">
        <f>(1+D3062)*IF(AND(Painel_diario!$H3059="ED_JD",Painel_diario!$J3059=1),EXP(Painel_diario!$L3059),1)-1</f>
        <v/>
      </c>
      <c r="E3063" s="22">
        <f>(1+E3062)*IF(AND(Painel_diario!$H3059="ED_JU",Painel_diario!$J3059=1),EXP(Painel_diario!$L3059),1)-1</f>
        <v/>
      </c>
    </row>
    <row r="3064">
      <c r="A3064" s="25" t="n">
        <v>43336</v>
      </c>
      <c r="B3064" s="22">
        <f>(1+B3063)*IF(AND(Painel_diario!$H3060="EU_JD",Painel_diario!$J3060=1),EXP(Painel_diario!$L3060),1)-1</f>
        <v/>
      </c>
      <c r="C3064" s="22">
        <f>(1+C3063)*IF(AND(Painel_diario!$H3060="EU_JU",Painel_diario!$J3060=1),EXP(Painel_diario!$L3060),1)-1</f>
        <v/>
      </c>
      <c r="D3064" s="22">
        <f>(1+D3063)*IF(AND(Painel_diario!$H3060="ED_JD",Painel_diario!$J3060=1),EXP(Painel_diario!$L3060),1)-1</f>
        <v/>
      </c>
      <c r="E3064" s="22">
        <f>(1+E3063)*IF(AND(Painel_diario!$H3060="ED_JU",Painel_diario!$J3060=1),EXP(Painel_diario!$L3060),1)-1</f>
        <v/>
      </c>
    </row>
    <row r="3065">
      <c r="A3065" s="25" t="n">
        <v>43339</v>
      </c>
      <c r="B3065" s="22">
        <f>(1+B3064)*IF(AND(Painel_diario!$H3061="EU_JD",Painel_diario!$J3061=1),EXP(Painel_diario!$L3061),1)-1</f>
        <v/>
      </c>
      <c r="C3065" s="22">
        <f>(1+C3064)*IF(AND(Painel_diario!$H3061="EU_JU",Painel_diario!$J3061=1),EXP(Painel_diario!$L3061),1)-1</f>
        <v/>
      </c>
      <c r="D3065" s="22">
        <f>(1+D3064)*IF(AND(Painel_diario!$H3061="ED_JD",Painel_diario!$J3061=1),EXP(Painel_diario!$L3061),1)-1</f>
        <v/>
      </c>
      <c r="E3065" s="22">
        <f>(1+E3064)*IF(AND(Painel_diario!$H3061="ED_JU",Painel_diario!$J3061=1),EXP(Painel_diario!$L3061),1)-1</f>
        <v/>
      </c>
    </row>
    <row r="3066">
      <c r="A3066" s="25" t="n">
        <v>43340</v>
      </c>
      <c r="B3066" s="22">
        <f>(1+B3065)*IF(AND(Painel_diario!$H3062="EU_JD",Painel_diario!$J3062=1),EXP(Painel_diario!$L3062),1)-1</f>
        <v/>
      </c>
      <c r="C3066" s="22">
        <f>(1+C3065)*IF(AND(Painel_diario!$H3062="EU_JU",Painel_diario!$J3062=1),EXP(Painel_diario!$L3062),1)-1</f>
        <v/>
      </c>
      <c r="D3066" s="22">
        <f>(1+D3065)*IF(AND(Painel_diario!$H3062="ED_JD",Painel_diario!$J3062=1),EXP(Painel_diario!$L3062),1)-1</f>
        <v/>
      </c>
      <c r="E3066" s="22">
        <f>(1+E3065)*IF(AND(Painel_diario!$H3062="ED_JU",Painel_diario!$J3062=1),EXP(Painel_diario!$L3062),1)-1</f>
        <v/>
      </c>
    </row>
    <row r="3067">
      <c r="A3067" s="25" t="n">
        <v>43341</v>
      </c>
      <c r="B3067" s="22">
        <f>(1+B3066)*IF(AND(Painel_diario!$H3063="EU_JD",Painel_diario!$J3063=1),EXP(Painel_diario!$L3063),1)-1</f>
        <v/>
      </c>
      <c r="C3067" s="22">
        <f>(1+C3066)*IF(AND(Painel_diario!$H3063="EU_JU",Painel_diario!$J3063=1),EXP(Painel_diario!$L3063),1)-1</f>
        <v/>
      </c>
      <c r="D3067" s="22">
        <f>(1+D3066)*IF(AND(Painel_diario!$H3063="ED_JD",Painel_diario!$J3063=1),EXP(Painel_diario!$L3063),1)-1</f>
        <v/>
      </c>
      <c r="E3067" s="22">
        <f>(1+E3066)*IF(AND(Painel_diario!$H3063="ED_JU",Painel_diario!$J3063=1),EXP(Painel_diario!$L3063),1)-1</f>
        <v/>
      </c>
    </row>
    <row r="3068">
      <c r="A3068" s="25" t="n">
        <v>43342</v>
      </c>
      <c r="B3068" s="22">
        <f>(1+B3067)*IF(AND(Painel_diario!$H3064="EU_JD",Painel_diario!$J3064=1),EXP(Painel_diario!$L3064),1)-1</f>
        <v/>
      </c>
      <c r="C3068" s="22">
        <f>(1+C3067)*IF(AND(Painel_diario!$H3064="EU_JU",Painel_diario!$J3064=1),EXP(Painel_diario!$L3064),1)-1</f>
        <v/>
      </c>
      <c r="D3068" s="22">
        <f>(1+D3067)*IF(AND(Painel_diario!$H3064="ED_JD",Painel_diario!$J3064=1),EXP(Painel_diario!$L3064),1)-1</f>
        <v/>
      </c>
      <c r="E3068" s="22">
        <f>(1+E3067)*IF(AND(Painel_diario!$H3064="ED_JU",Painel_diario!$J3064=1),EXP(Painel_diario!$L3064),1)-1</f>
        <v/>
      </c>
    </row>
    <row r="3069">
      <c r="A3069" s="25" t="n">
        <v>43343</v>
      </c>
      <c r="B3069" s="22">
        <f>(1+B3068)*IF(AND(Painel_diario!$H3065="EU_JD",Painel_diario!$J3065=1),EXP(Painel_diario!$L3065),1)-1</f>
        <v/>
      </c>
      <c r="C3069" s="22">
        <f>(1+C3068)*IF(AND(Painel_diario!$H3065="EU_JU",Painel_diario!$J3065=1),EXP(Painel_diario!$L3065),1)-1</f>
        <v/>
      </c>
      <c r="D3069" s="22">
        <f>(1+D3068)*IF(AND(Painel_diario!$H3065="ED_JD",Painel_diario!$J3065=1),EXP(Painel_diario!$L3065),1)-1</f>
        <v/>
      </c>
      <c r="E3069" s="22">
        <f>(1+E3068)*IF(AND(Painel_diario!$H3065="ED_JU",Painel_diario!$J3065=1),EXP(Painel_diario!$L3065),1)-1</f>
        <v/>
      </c>
    </row>
    <row r="3070">
      <c r="A3070" s="25" t="n">
        <v>43346</v>
      </c>
      <c r="B3070" s="22">
        <f>(1+B3069)*IF(AND(Painel_diario!$H3066="EU_JD",Painel_diario!$J3066=1),EXP(Painel_diario!$L3066),1)-1</f>
        <v/>
      </c>
      <c r="C3070" s="22">
        <f>(1+C3069)*IF(AND(Painel_diario!$H3066="EU_JU",Painel_diario!$J3066=1),EXP(Painel_diario!$L3066),1)-1</f>
        <v/>
      </c>
      <c r="D3070" s="22">
        <f>(1+D3069)*IF(AND(Painel_diario!$H3066="ED_JD",Painel_diario!$J3066=1),EXP(Painel_diario!$L3066),1)-1</f>
        <v/>
      </c>
      <c r="E3070" s="22">
        <f>(1+E3069)*IF(AND(Painel_diario!$H3066="ED_JU",Painel_diario!$J3066=1),EXP(Painel_diario!$L3066),1)-1</f>
        <v/>
      </c>
    </row>
    <row r="3071">
      <c r="A3071" s="25" t="n">
        <v>43347</v>
      </c>
      <c r="B3071" s="22">
        <f>(1+B3070)*IF(AND(Painel_diario!$H3067="EU_JD",Painel_diario!$J3067=1),EXP(Painel_diario!$L3067),1)-1</f>
        <v/>
      </c>
      <c r="C3071" s="22">
        <f>(1+C3070)*IF(AND(Painel_diario!$H3067="EU_JU",Painel_diario!$J3067=1),EXP(Painel_diario!$L3067),1)-1</f>
        <v/>
      </c>
      <c r="D3071" s="22">
        <f>(1+D3070)*IF(AND(Painel_diario!$H3067="ED_JD",Painel_diario!$J3067=1),EXP(Painel_diario!$L3067),1)-1</f>
        <v/>
      </c>
      <c r="E3071" s="22">
        <f>(1+E3070)*IF(AND(Painel_diario!$H3067="ED_JU",Painel_diario!$J3067=1),EXP(Painel_diario!$L3067),1)-1</f>
        <v/>
      </c>
    </row>
    <row r="3072">
      <c r="A3072" s="25" t="n">
        <v>43348</v>
      </c>
      <c r="B3072" s="22">
        <f>(1+B3071)*IF(AND(Painel_diario!$H3068="EU_JD",Painel_diario!$J3068=1),EXP(Painel_diario!$L3068),1)-1</f>
        <v/>
      </c>
      <c r="C3072" s="22">
        <f>(1+C3071)*IF(AND(Painel_diario!$H3068="EU_JU",Painel_diario!$J3068=1),EXP(Painel_diario!$L3068),1)-1</f>
        <v/>
      </c>
      <c r="D3072" s="22">
        <f>(1+D3071)*IF(AND(Painel_diario!$H3068="ED_JD",Painel_diario!$J3068=1),EXP(Painel_diario!$L3068),1)-1</f>
        <v/>
      </c>
      <c r="E3072" s="22">
        <f>(1+E3071)*IF(AND(Painel_diario!$H3068="ED_JU",Painel_diario!$J3068=1),EXP(Painel_diario!$L3068),1)-1</f>
        <v/>
      </c>
    </row>
    <row r="3073">
      <c r="A3073" s="25" t="n">
        <v>43349</v>
      </c>
      <c r="B3073" s="22">
        <f>(1+B3072)*IF(AND(Painel_diario!$H3069="EU_JD",Painel_diario!$J3069=1),EXP(Painel_diario!$L3069),1)-1</f>
        <v/>
      </c>
      <c r="C3073" s="22">
        <f>(1+C3072)*IF(AND(Painel_diario!$H3069="EU_JU",Painel_diario!$J3069=1),EXP(Painel_diario!$L3069),1)-1</f>
        <v/>
      </c>
      <c r="D3073" s="22">
        <f>(1+D3072)*IF(AND(Painel_diario!$H3069="ED_JD",Painel_diario!$J3069=1),EXP(Painel_diario!$L3069),1)-1</f>
        <v/>
      </c>
      <c r="E3073" s="22">
        <f>(1+E3072)*IF(AND(Painel_diario!$H3069="ED_JU",Painel_diario!$J3069=1),EXP(Painel_diario!$L3069),1)-1</f>
        <v/>
      </c>
    </row>
    <row r="3074">
      <c r="A3074" s="25" t="n">
        <v>43353</v>
      </c>
      <c r="B3074" s="22">
        <f>(1+B3073)*IF(AND(Painel_diario!$H3070="EU_JD",Painel_diario!$J3070=1),EXP(Painel_diario!$L3070),1)-1</f>
        <v/>
      </c>
      <c r="C3074" s="22">
        <f>(1+C3073)*IF(AND(Painel_diario!$H3070="EU_JU",Painel_diario!$J3070=1),EXP(Painel_diario!$L3070),1)-1</f>
        <v/>
      </c>
      <c r="D3074" s="22">
        <f>(1+D3073)*IF(AND(Painel_diario!$H3070="ED_JD",Painel_diario!$J3070=1),EXP(Painel_diario!$L3070),1)-1</f>
        <v/>
      </c>
      <c r="E3074" s="22">
        <f>(1+E3073)*IF(AND(Painel_diario!$H3070="ED_JU",Painel_diario!$J3070=1),EXP(Painel_diario!$L3070),1)-1</f>
        <v/>
      </c>
    </row>
    <row r="3075">
      <c r="A3075" s="25" t="n">
        <v>43354</v>
      </c>
      <c r="B3075" s="22">
        <f>(1+B3074)*IF(AND(Painel_diario!$H3071="EU_JD",Painel_diario!$J3071=1),EXP(Painel_diario!$L3071),1)-1</f>
        <v/>
      </c>
      <c r="C3075" s="22">
        <f>(1+C3074)*IF(AND(Painel_diario!$H3071="EU_JU",Painel_diario!$J3071=1),EXP(Painel_diario!$L3071),1)-1</f>
        <v/>
      </c>
      <c r="D3075" s="22">
        <f>(1+D3074)*IF(AND(Painel_diario!$H3071="ED_JD",Painel_diario!$J3071=1),EXP(Painel_diario!$L3071),1)-1</f>
        <v/>
      </c>
      <c r="E3075" s="22">
        <f>(1+E3074)*IF(AND(Painel_diario!$H3071="ED_JU",Painel_diario!$J3071=1),EXP(Painel_diario!$L3071),1)-1</f>
        <v/>
      </c>
    </row>
    <row r="3076">
      <c r="A3076" s="25" t="n">
        <v>43355</v>
      </c>
      <c r="B3076" s="22">
        <f>(1+B3075)*IF(AND(Painel_diario!$H3072="EU_JD",Painel_diario!$J3072=1),EXP(Painel_diario!$L3072),1)-1</f>
        <v/>
      </c>
      <c r="C3076" s="22">
        <f>(1+C3075)*IF(AND(Painel_diario!$H3072="EU_JU",Painel_diario!$J3072=1),EXP(Painel_diario!$L3072),1)-1</f>
        <v/>
      </c>
      <c r="D3076" s="22">
        <f>(1+D3075)*IF(AND(Painel_diario!$H3072="ED_JD",Painel_diario!$J3072=1),EXP(Painel_diario!$L3072),1)-1</f>
        <v/>
      </c>
      <c r="E3076" s="22">
        <f>(1+E3075)*IF(AND(Painel_diario!$H3072="ED_JU",Painel_diario!$J3072=1),EXP(Painel_diario!$L3072),1)-1</f>
        <v/>
      </c>
    </row>
    <row r="3077">
      <c r="A3077" s="25" t="n">
        <v>43356</v>
      </c>
      <c r="B3077" s="22">
        <f>(1+B3076)*IF(AND(Painel_diario!$H3073="EU_JD",Painel_diario!$J3073=1),EXP(Painel_diario!$L3073),1)-1</f>
        <v/>
      </c>
      <c r="C3077" s="22">
        <f>(1+C3076)*IF(AND(Painel_diario!$H3073="EU_JU",Painel_diario!$J3073=1),EXP(Painel_diario!$L3073),1)-1</f>
        <v/>
      </c>
      <c r="D3077" s="22">
        <f>(1+D3076)*IF(AND(Painel_diario!$H3073="ED_JD",Painel_diario!$J3073=1),EXP(Painel_diario!$L3073),1)-1</f>
        <v/>
      </c>
      <c r="E3077" s="22">
        <f>(1+E3076)*IF(AND(Painel_diario!$H3073="ED_JU",Painel_diario!$J3073=1),EXP(Painel_diario!$L3073),1)-1</f>
        <v/>
      </c>
    </row>
    <row r="3078">
      <c r="A3078" s="25" t="n">
        <v>43357</v>
      </c>
      <c r="B3078" s="22">
        <f>(1+B3077)*IF(AND(Painel_diario!$H3074="EU_JD",Painel_diario!$J3074=1),EXP(Painel_diario!$L3074),1)-1</f>
        <v/>
      </c>
      <c r="C3078" s="22">
        <f>(1+C3077)*IF(AND(Painel_diario!$H3074="EU_JU",Painel_diario!$J3074=1),EXP(Painel_diario!$L3074),1)-1</f>
        <v/>
      </c>
      <c r="D3078" s="22">
        <f>(1+D3077)*IF(AND(Painel_diario!$H3074="ED_JD",Painel_diario!$J3074=1),EXP(Painel_diario!$L3074),1)-1</f>
        <v/>
      </c>
      <c r="E3078" s="22">
        <f>(1+E3077)*IF(AND(Painel_diario!$H3074="ED_JU",Painel_diario!$J3074=1),EXP(Painel_diario!$L3074),1)-1</f>
        <v/>
      </c>
    </row>
    <row r="3079">
      <c r="A3079" s="25" t="n">
        <v>43360</v>
      </c>
      <c r="B3079" s="22">
        <f>(1+B3078)*IF(AND(Painel_diario!$H3075="EU_JD",Painel_diario!$J3075=1),EXP(Painel_diario!$L3075),1)-1</f>
        <v/>
      </c>
      <c r="C3079" s="22">
        <f>(1+C3078)*IF(AND(Painel_diario!$H3075="EU_JU",Painel_diario!$J3075=1),EXP(Painel_diario!$L3075),1)-1</f>
        <v/>
      </c>
      <c r="D3079" s="22">
        <f>(1+D3078)*IF(AND(Painel_diario!$H3075="ED_JD",Painel_diario!$J3075=1),EXP(Painel_diario!$L3075),1)-1</f>
        <v/>
      </c>
      <c r="E3079" s="22">
        <f>(1+E3078)*IF(AND(Painel_diario!$H3075="ED_JU",Painel_diario!$J3075=1),EXP(Painel_diario!$L3075),1)-1</f>
        <v/>
      </c>
    </row>
    <row r="3080">
      <c r="A3080" s="25" t="n">
        <v>43361</v>
      </c>
      <c r="B3080" s="22">
        <f>(1+B3079)*IF(AND(Painel_diario!$H3076="EU_JD",Painel_diario!$J3076=1),EXP(Painel_diario!$L3076),1)-1</f>
        <v/>
      </c>
      <c r="C3080" s="22">
        <f>(1+C3079)*IF(AND(Painel_diario!$H3076="EU_JU",Painel_diario!$J3076=1),EXP(Painel_diario!$L3076),1)-1</f>
        <v/>
      </c>
      <c r="D3080" s="22">
        <f>(1+D3079)*IF(AND(Painel_diario!$H3076="ED_JD",Painel_diario!$J3076=1),EXP(Painel_diario!$L3076),1)-1</f>
        <v/>
      </c>
      <c r="E3080" s="22">
        <f>(1+E3079)*IF(AND(Painel_diario!$H3076="ED_JU",Painel_diario!$J3076=1),EXP(Painel_diario!$L3076),1)-1</f>
        <v/>
      </c>
    </row>
    <row r="3081">
      <c r="A3081" s="25" t="n">
        <v>43362</v>
      </c>
      <c r="B3081" s="22">
        <f>(1+B3080)*IF(AND(Painel_diario!$H3077="EU_JD",Painel_diario!$J3077=1),EXP(Painel_diario!$L3077),1)-1</f>
        <v/>
      </c>
      <c r="C3081" s="22">
        <f>(1+C3080)*IF(AND(Painel_diario!$H3077="EU_JU",Painel_diario!$J3077=1),EXP(Painel_diario!$L3077),1)-1</f>
        <v/>
      </c>
      <c r="D3081" s="22">
        <f>(1+D3080)*IF(AND(Painel_diario!$H3077="ED_JD",Painel_diario!$J3077=1),EXP(Painel_diario!$L3077),1)-1</f>
        <v/>
      </c>
      <c r="E3081" s="22">
        <f>(1+E3080)*IF(AND(Painel_diario!$H3077="ED_JU",Painel_diario!$J3077=1),EXP(Painel_diario!$L3077),1)-1</f>
        <v/>
      </c>
    </row>
    <row r="3082">
      <c r="A3082" s="25" t="n">
        <v>43363</v>
      </c>
      <c r="B3082" s="22">
        <f>(1+B3081)*IF(AND(Painel_diario!$H3078="EU_JD",Painel_diario!$J3078=1),EXP(Painel_diario!$L3078),1)-1</f>
        <v/>
      </c>
      <c r="C3082" s="22">
        <f>(1+C3081)*IF(AND(Painel_diario!$H3078="EU_JU",Painel_diario!$J3078=1),EXP(Painel_diario!$L3078),1)-1</f>
        <v/>
      </c>
      <c r="D3082" s="22">
        <f>(1+D3081)*IF(AND(Painel_diario!$H3078="ED_JD",Painel_diario!$J3078=1),EXP(Painel_diario!$L3078),1)-1</f>
        <v/>
      </c>
      <c r="E3082" s="22">
        <f>(1+E3081)*IF(AND(Painel_diario!$H3078="ED_JU",Painel_diario!$J3078=1),EXP(Painel_diario!$L3078),1)-1</f>
        <v/>
      </c>
    </row>
    <row r="3083">
      <c r="A3083" s="25" t="n">
        <v>43364</v>
      </c>
      <c r="B3083" s="22">
        <f>(1+B3082)*IF(AND(Painel_diario!$H3079="EU_JD",Painel_diario!$J3079=1),EXP(Painel_diario!$L3079),1)-1</f>
        <v/>
      </c>
      <c r="C3083" s="22">
        <f>(1+C3082)*IF(AND(Painel_diario!$H3079="EU_JU",Painel_diario!$J3079=1),EXP(Painel_diario!$L3079),1)-1</f>
        <v/>
      </c>
      <c r="D3083" s="22">
        <f>(1+D3082)*IF(AND(Painel_diario!$H3079="ED_JD",Painel_diario!$J3079=1),EXP(Painel_diario!$L3079),1)-1</f>
        <v/>
      </c>
      <c r="E3083" s="22">
        <f>(1+E3082)*IF(AND(Painel_diario!$H3079="ED_JU",Painel_diario!$J3079=1),EXP(Painel_diario!$L3079),1)-1</f>
        <v/>
      </c>
    </row>
    <row r="3084">
      <c r="A3084" s="25" t="n">
        <v>43367</v>
      </c>
      <c r="B3084" s="22">
        <f>(1+B3083)*IF(AND(Painel_diario!$H3080="EU_JD",Painel_diario!$J3080=1),EXP(Painel_diario!$L3080),1)-1</f>
        <v/>
      </c>
      <c r="C3084" s="22">
        <f>(1+C3083)*IF(AND(Painel_diario!$H3080="EU_JU",Painel_diario!$J3080=1),EXP(Painel_diario!$L3080),1)-1</f>
        <v/>
      </c>
      <c r="D3084" s="22">
        <f>(1+D3083)*IF(AND(Painel_diario!$H3080="ED_JD",Painel_diario!$J3080=1),EXP(Painel_diario!$L3080),1)-1</f>
        <v/>
      </c>
      <c r="E3084" s="22">
        <f>(1+E3083)*IF(AND(Painel_diario!$H3080="ED_JU",Painel_diario!$J3080=1),EXP(Painel_diario!$L3080),1)-1</f>
        <v/>
      </c>
    </row>
    <row r="3085">
      <c r="A3085" s="25" t="n">
        <v>43368</v>
      </c>
      <c r="B3085" s="22">
        <f>(1+B3084)*IF(AND(Painel_diario!$H3081="EU_JD",Painel_diario!$J3081=1),EXP(Painel_diario!$L3081),1)-1</f>
        <v/>
      </c>
      <c r="C3085" s="22">
        <f>(1+C3084)*IF(AND(Painel_diario!$H3081="EU_JU",Painel_diario!$J3081=1),EXP(Painel_diario!$L3081),1)-1</f>
        <v/>
      </c>
      <c r="D3085" s="22">
        <f>(1+D3084)*IF(AND(Painel_diario!$H3081="ED_JD",Painel_diario!$J3081=1),EXP(Painel_diario!$L3081),1)-1</f>
        <v/>
      </c>
      <c r="E3085" s="22">
        <f>(1+E3084)*IF(AND(Painel_diario!$H3081="ED_JU",Painel_diario!$J3081=1),EXP(Painel_diario!$L3081),1)-1</f>
        <v/>
      </c>
    </row>
    <row r="3086">
      <c r="A3086" s="25" t="n">
        <v>43369</v>
      </c>
      <c r="B3086" s="22">
        <f>(1+B3085)*IF(AND(Painel_diario!$H3082="EU_JD",Painel_diario!$J3082=1),EXP(Painel_diario!$L3082),1)-1</f>
        <v/>
      </c>
      <c r="C3086" s="22">
        <f>(1+C3085)*IF(AND(Painel_diario!$H3082="EU_JU",Painel_diario!$J3082=1),EXP(Painel_diario!$L3082),1)-1</f>
        <v/>
      </c>
      <c r="D3086" s="22">
        <f>(1+D3085)*IF(AND(Painel_diario!$H3082="ED_JD",Painel_diario!$J3082=1),EXP(Painel_diario!$L3082),1)-1</f>
        <v/>
      </c>
      <c r="E3086" s="22">
        <f>(1+E3085)*IF(AND(Painel_diario!$H3082="ED_JU",Painel_diario!$J3082=1),EXP(Painel_diario!$L3082),1)-1</f>
        <v/>
      </c>
    </row>
    <row r="3087">
      <c r="A3087" s="25" t="n">
        <v>43370</v>
      </c>
      <c r="B3087" s="22">
        <f>(1+B3086)*IF(AND(Painel_diario!$H3083="EU_JD",Painel_diario!$J3083=1),EXP(Painel_diario!$L3083),1)-1</f>
        <v/>
      </c>
      <c r="C3087" s="22">
        <f>(1+C3086)*IF(AND(Painel_diario!$H3083="EU_JU",Painel_diario!$J3083=1),EXP(Painel_diario!$L3083),1)-1</f>
        <v/>
      </c>
      <c r="D3087" s="22">
        <f>(1+D3086)*IF(AND(Painel_diario!$H3083="ED_JD",Painel_diario!$J3083=1),EXP(Painel_diario!$L3083),1)-1</f>
        <v/>
      </c>
      <c r="E3087" s="22">
        <f>(1+E3086)*IF(AND(Painel_diario!$H3083="ED_JU",Painel_diario!$J3083=1),EXP(Painel_diario!$L3083),1)-1</f>
        <v/>
      </c>
    </row>
    <row r="3088">
      <c r="A3088" s="25" t="n">
        <v>43371</v>
      </c>
      <c r="B3088" s="22">
        <f>(1+B3087)*IF(AND(Painel_diario!$H3084="EU_JD",Painel_diario!$J3084=1),EXP(Painel_diario!$L3084),1)-1</f>
        <v/>
      </c>
      <c r="C3088" s="22">
        <f>(1+C3087)*IF(AND(Painel_diario!$H3084="EU_JU",Painel_diario!$J3084=1),EXP(Painel_diario!$L3084),1)-1</f>
        <v/>
      </c>
      <c r="D3088" s="22">
        <f>(1+D3087)*IF(AND(Painel_diario!$H3084="ED_JD",Painel_diario!$J3084=1),EXP(Painel_diario!$L3084),1)-1</f>
        <v/>
      </c>
      <c r="E3088" s="22">
        <f>(1+E3087)*IF(AND(Painel_diario!$H3084="ED_JU",Painel_diario!$J3084=1),EXP(Painel_diario!$L3084),1)-1</f>
        <v/>
      </c>
    </row>
    <row r="3089">
      <c r="A3089" s="25" t="n">
        <v>43374</v>
      </c>
      <c r="B3089" s="22">
        <f>(1+B3088)*IF(AND(Painel_diario!$H3085="EU_JD",Painel_diario!$J3085=1),EXP(Painel_diario!$L3085),1)-1</f>
        <v/>
      </c>
      <c r="C3089" s="22">
        <f>(1+C3088)*IF(AND(Painel_diario!$H3085="EU_JU",Painel_diario!$J3085=1),EXP(Painel_diario!$L3085),1)-1</f>
        <v/>
      </c>
      <c r="D3089" s="22">
        <f>(1+D3088)*IF(AND(Painel_diario!$H3085="ED_JD",Painel_diario!$J3085=1),EXP(Painel_diario!$L3085),1)-1</f>
        <v/>
      </c>
      <c r="E3089" s="22">
        <f>(1+E3088)*IF(AND(Painel_diario!$H3085="ED_JU",Painel_diario!$J3085=1),EXP(Painel_diario!$L3085),1)-1</f>
        <v/>
      </c>
    </row>
    <row r="3090">
      <c r="A3090" s="25" t="n">
        <v>43375</v>
      </c>
      <c r="B3090" s="22">
        <f>(1+B3089)*IF(AND(Painel_diario!$H3086="EU_JD",Painel_diario!$J3086=1),EXP(Painel_diario!$L3086),1)-1</f>
        <v/>
      </c>
      <c r="C3090" s="22">
        <f>(1+C3089)*IF(AND(Painel_diario!$H3086="EU_JU",Painel_diario!$J3086=1),EXP(Painel_diario!$L3086),1)-1</f>
        <v/>
      </c>
      <c r="D3090" s="22">
        <f>(1+D3089)*IF(AND(Painel_diario!$H3086="ED_JD",Painel_diario!$J3086=1),EXP(Painel_diario!$L3086),1)-1</f>
        <v/>
      </c>
      <c r="E3090" s="22">
        <f>(1+E3089)*IF(AND(Painel_diario!$H3086="ED_JU",Painel_diario!$J3086=1),EXP(Painel_diario!$L3086),1)-1</f>
        <v/>
      </c>
    </row>
    <row r="3091">
      <c r="A3091" s="25" t="n">
        <v>43376</v>
      </c>
      <c r="B3091" s="22">
        <f>(1+B3090)*IF(AND(Painel_diario!$H3087="EU_JD",Painel_diario!$J3087=1),EXP(Painel_diario!$L3087),1)-1</f>
        <v/>
      </c>
      <c r="C3091" s="22">
        <f>(1+C3090)*IF(AND(Painel_diario!$H3087="EU_JU",Painel_diario!$J3087=1),EXP(Painel_diario!$L3087),1)-1</f>
        <v/>
      </c>
      <c r="D3091" s="22">
        <f>(1+D3090)*IF(AND(Painel_diario!$H3087="ED_JD",Painel_diario!$J3087=1),EXP(Painel_diario!$L3087),1)-1</f>
        <v/>
      </c>
      <c r="E3091" s="22">
        <f>(1+E3090)*IF(AND(Painel_diario!$H3087="ED_JU",Painel_diario!$J3087=1),EXP(Painel_diario!$L3087),1)-1</f>
        <v/>
      </c>
    </row>
    <row r="3092">
      <c r="A3092" s="25" t="n">
        <v>43377</v>
      </c>
      <c r="B3092" s="22">
        <f>(1+B3091)*IF(AND(Painel_diario!$H3088="EU_JD",Painel_diario!$J3088=1),EXP(Painel_diario!$L3088),1)-1</f>
        <v/>
      </c>
      <c r="C3092" s="22">
        <f>(1+C3091)*IF(AND(Painel_diario!$H3088="EU_JU",Painel_diario!$J3088=1),EXP(Painel_diario!$L3088),1)-1</f>
        <v/>
      </c>
      <c r="D3092" s="22">
        <f>(1+D3091)*IF(AND(Painel_diario!$H3088="ED_JD",Painel_diario!$J3088=1),EXP(Painel_diario!$L3088),1)-1</f>
        <v/>
      </c>
      <c r="E3092" s="22">
        <f>(1+E3091)*IF(AND(Painel_diario!$H3088="ED_JU",Painel_diario!$J3088=1),EXP(Painel_diario!$L3088),1)-1</f>
        <v/>
      </c>
    </row>
    <row r="3093">
      <c r="A3093" s="25" t="n">
        <v>43378</v>
      </c>
      <c r="B3093" s="22">
        <f>(1+B3092)*IF(AND(Painel_diario!$H3089="EU_JD",Painel_diario!$J3089=1),EXP(Painel_diario!$L3089),1)-1</f>
        <v/>
      </c>
      <c r="C3093" s="22">
        <f>(1+C3092)*IF(AND(Painel_diario!$H3089="EU_JU",Painel_diario!$J3089=1),EXP(Painel_diario!$L3089),1)-1</f>
        <v/>
      </c>
      <c r="D3093" s="22">
        <f>(1+D3092)*IF(AND(Painel_diario!$H3089="ED_JD",Painel_diario!$J3089=1),EXP(Painel_diario!$L3089),1)-1</f>
        <v/>
      </c>
      <c r="E3093" s="22">
        <f>(1+E3092)*IF(AND(Painel_diario!$H3089="ED_JU",Painel_diario!$J3089=1),EXP(Painel_diario!$L3089),1)-1</f>
        <v/>
      </c>
    </row>
    <row r="3094">
      <c r="A3094" s="25" t="n">
        <v>43381</v>
      </c>
      <c r="B3094" s="22">
        <f>(1+B3093)*IF(AND(Painel_diario!$H3090="EU_JD",Painel_diario!$J3090=1),EXP(Painel_diario!$L3090),1)-1</f>
        <v/>
      </c>
      <c r="C3094" s="22">
        <f>(1+C3093)*IF(AND(Painel_diario!$H3090="EU_JU",Painel_diario!$J3090=1),EXP(Painel_diario!$L3090),1)-1</f>
        <v/>
      </c>
      <c r="D3094" s="22">
        <f>(1+D3093)*IF(AND(Painel_diario!$H3090="ED_JD",Painel_diario!$J3090=1),EXP(Painel_diario!$L3090),1)-1</f>
        <v/>
      </c>
      <c r="E3094" s="22">
        <f>(1+E3093)*IF(AND(Painel_diario!$H3090="ED_JU",Painel_diario!$J3090=1),EXP(Painel_diario!$L3090),1)-1</f>
        <v/>
      </c>
    </row>
    <row r="3095">
      <c r="A3095" s="25" t="n">
        <v>43382</v>
      </c>
      <c r="B3095" s="22">
        <f>(1+B3094)*IF(AND(Painel_diario!$H3091="EU_JD",Painel_diario!$J3091=1),EXP(Painel_diario!$L3091),1)-1</f>
        <v/>
      </c>
      <c r="C3095" s="22">
        <f>(1+C3094)*IF(AND(Painel_diario!$H3091="EU_JU",Painel_diario!$J3091=1),EXP(Painel_diario!$L3091),1)-1</f>
        <v/>
      </c>
      <c r="D3095" s="22">
        <f>(1+D3094)*IF(AND(Painel_diario!$H3091="ED_JD",Painel_diario!$J3091=1),EXP(Painel_diario!$L3091),1)-1</f>
        <v/>
      </c>
      <c r="E3095" s="22">
        <f>(1+E3094)*IF(AND(Painel_diario!$H3091="ED_JU",Painel_diario!$J3091=1),EXP(Painel_diario!$L3091),1)-1</f>
        <v/>
      </c>
    </row>
    <row r="3096">
      <c r="A3096" s="25" t="n">
        <v>43383</v>
      </c>
      <c r="B3096" s="22">
        <f>(1+B3095)*IF(AND(Painel_diario!$H3092="EU_JD",Painel_diario!$J3092=1),EXP(Painel_diario!$L3092),1)-1</f>
        <v/>
      </c>
      <c r="C3096" s="22">
        <f>(1+C3095)*IF(AND(Painel_diario!$H3092="EU_JU",Painel_diario!$J3092=1),EXP(Painel_diario!$L3092),1)-1</f>
        <v/>
      </c>
      <c r="D3096" s="22">
        <f>(1+D3095)*IF(AND(Painel_diario!$H3092="ED_JD",Painel_diario!$J3092=1),EXP(Painel_diario!$L3092),1)-1</f>
        <v/>
      </c>
      <c r="E3096" s="22">
        <f>(1+E3095)*IF(AND(Painel_diario!$H3092="ED_JU",Painel_diario!$J3092=1),EXP(Painel_diario!$L3092),1)-1</f>
        <v/>
      </c>
    </row>
    <row r="3097">
      <c r="A3097" s="25" t="n">
        <v>43384</v>
      </c>
      <c r="B3097" s="22">
        <f>(1+B3096)*IF(AND(Painel_diario!$H3093="EU_JD",Painel_diario!$J3093=1),EXP(Painel_diario!$L3093),1)-1</f>
        <v/>
      </c>
      <c r="C3097" s="22">
        <f>(1+C3096)*IF(AND(Painel_diario!$H3093="EU_JU",Painel_diario!$J3093=1),EXP(Painel_diario!$L3093),1)-1</f>
        <v/>
      </c>
      <c r="D3097" s="22">
        <f>(1+D3096)*IF(AND(Painel_diario!$H3093="ED_JD",Painel_diario!$J3093=1),EXP(Painel_diario!$L3093),1)-1</f>
        <v/>
      </c>
      <c r="E3097" s="22">
        <f>(1+E3096)*IF(AND(Painel_diario!$H3093="ED_JU",Painel_diario!$J3093=1),EXP(Painel_diario!$L3093),1)-1</f>
        <v/>
      </c>
    </row>
    <row r="3098">
      <c r="A3098" s="25" t="n">
        <v>43388</v>
      </c>
      <c r="B3098" s="22">
        <f>(1+B3097)*IF(AND(Painel_diario!$H3094="EU_JD",Painel_diario!$J3094=1),EXP(Painel_diario!$L3094),1)-1</f>
        <v/>
      </c>
      <c r="C3098" s="22">
        <f>(1+C3097)*IF(AND(Painel_diario!$H3094="EU_JU",Painel_diario!$J3094=1),EXP(Painel_diario!$L3094),1)-1</f>
        <v/>
      </c>
      <c r="D3098" s="22">
        <f>(1+D3097)*IF(AND(Painel_diario!$H3094="ED_JD",Painel_diario!$J3094=1),EXP(Painel_diario!$L3094),1)-1</f>
        <v/>
      </c>
      <c r="E3098" s="22">
        <f>(1+E3097)*IF(AND(Painel_diario!$H3094="ED_JU",Painel_diario!$J3094=1),EXP(Painel_diario!$L3094),1)-1</f>
        <v/>
      </c>
    </row>
    <row r="3099">
      <c r="A3099" s="25" t="n">
        <v>43389</v>
      </c>
      <c r="B3099" s="22">
        <f>(1+B3098)*IF(AND(Painel_diario!$H3095="EU_JD",Painel_diario!$J3095=1),EXP(Painel_diario!$L3095),1)-1</f>
        <v/>
      </c>
      <c r="C3099" s="22">
        <f>(1+C3098)*IF(AND(Painel_diario!$H3095="EU_JU",Painel_diario!$J3095=1),EXP(Painel_diario!$L3095),1)-1</f>
        <v/>
      </c>
      <c r="D3099" s="22">
        <f>(1+D3098)*IF(AND(Painel_diario!$H3095="ED_JD",Painel_diario!$J3095=1),EXP(Painel_diario!$L3095),1)-1</f>
        <v/>
      </c>
      <c r="E3099" s="22">
        <f>(1+E3098)*IF(AND(Painel_diario!$H3095="ED_JU",Painel_diario!$J3095=1),EXP(Painel_diario!$L3095),1)-1</f>
        <v/>
      </c>
    </row>
    <row r="3100">
      <c r="A3100" s="25" t="n">
        <v>43390</v>
      </c>
      <c r="B3100" s="22">
        <f>(1+B3099)*IF(AND(Painel_diario!$H3096="EU_JD",Painel_diario!$J3096=1),EXP(Painel_diario!$L3096),1)-1</f>
        <v/>
      </c>
      <c r="C3100" s="22">
        <f>(1+C3099)*IF(AND(Painel_diario!$H3096="EU_JU",Painel_diario!$J3096=1),EXP(Painel_diario!$L3096),1)-1</f>
        <v/>
      </c>
      <c r="D3100" s="22">
        <f>(1+D3099)*IF(AND(Painel_diario!$H3096="ED_JD",Painel_diario!$J3096=1),EXP(Painel_diario!$L3096),1)-1</f>
        <v/>
      </c>
      <c r="E3100" s="22">
        <f>(1+E3099)*IF(AND(Painel_diario!$H3096="ED_JU",Painel_diario!$J3096=1),EXP(Painel_diario!$L3096),1)-1</f>
        <v/>
      </c>
    </row>
    <row r="3101">
      <c r="A3101" s="25" t="n">
        <v>43391</v>
      </c>
      <c r="B3101" s="22">
        <f>(1+B3100)*IF(AND(Painel_diario!$H3097="EU_JD",Painel_diario!$J3097=1),EXP(Painel_diario!$L3097),1)-1</f>
        <v/>
      </c>
      <c r="C3101" s="22">
        <f>(1+C3100)*IF(AND(Painel_diario!$H3097="EU_JU",Painel_diario!$J3097=1),EXP(Painel_diario!$L3097),1)-1</f>
        <v/>
      </c>
      <c r="D3101" s="22">
        <f>(1+D3100)*IF(AND(Painel_diario!$H3097="ED_JD",Painel_diario!$J3097=1),EXP(Painel_diario!$L3097),1)-1</f>
        <v/>
      </c>
      <c r="E3101" s="22">
        <f>(1+E3100)*IF(AND(Painel_diario!$H3097="ED_JU",Painel_diario!$J3097=1),EXP(Painel_diario!$L3097),1)-1</f>
        <v/>
      </c>
    </row>
    <row r="3102">
      <c r="A3102" s="25" t="n">
        <v>43392</v>
      </c>
      <c r="B3102" s="22">
        <f>(1+B3101)*IF(AND(Painel_diario!$H3098="EU_JD",Painel_diario!$J3098=1),EXP(Painel_diario!$L3098),1)-1</f>
        <v/>
      </c>
      <c r="C3102" s="22">
        <f>(1+C3101)*IF(AND(Painel_diario!$H3098="EU_JU",Painel_diario!$J3098=1),EXP(Painel_diario!$L3098),1)-1</f>
        <v/>
      </c>
      <c r="D3102" s="22">
        <f>(1+D3101)*IF(AND(Painel_diario!$H3098="ED_JD",Painel_diario!$J3098=1),EXP(Painel_diario!$L3098),1)-1</f>
        <v/>
      </c>
      <c r="E3102" s="22">
        <f>(1+E3101)*IF(AND(Painel_diario!$H3098="ED_JU",Painel_diario!$J3098=1),EXP(Painel_diario!$L3098),1)-1</f>
        <v/>
      </c>
    </row>
    <row r="3103">
      <c r="A3103" s="25" t="n">
        <v>43395</v>
      </c>
      <c r="B3103" s="22">
        <f>(1+B3102)*IF(AND(Painel_diario!$H3099="EU_JD",Painel_diario!$J3099=1),EXP(Painel_diario!$L3099),1)-1</f>
        <v/>
      </c>
      <c r="C3103" s="22">
        <f>(1+C3102)*IF(AND(Painel_diario!$H3099="EU_JU",Painel_diario!$J3099=1),EXP(Painel_diario!$L3099),1)-1</f>
        <v/>
      </c>
      <c r="D3103" s="22">
        <f>(1+D3102)*IF(AND(Painel_diario!$H3099="ED_JD",Painel_diario!$J3099=1),EXP(Painel_diario!$L3099),1)-1</f>
        <v/>
      </c>
      <c r="E3103" s="22">
        <f>(1+E3102)*IF(AND(Painel_diario!$H3099="ED_JU",Painel_diario!$J3099=1),EXP(Painel_diario!$L3099),1)-1</f>
        <v/>
      </c>
    </row>
    <row r="3104">
      <c r="A3104" s="25" t="n">
        <v>43396</v>
      </c>
      <c r="B3104" s="22">
        <f>(1+B3103)*IF(AND(Painel_diario!$H3100="EU_JD",Painel_diario!$J3100=1),EXP(Painel_diario!$L3100),1)-1</f>
        <v/>
      </c>
      <c r="C3104" s="22">
        <f>(1+C3103)*IF(AND(Painel_diario!$H3100="EU_JU",Painel_diario!$J3100=1),EXP(Painel_diario!$L3100),1)-1</f>
        <v/>
      </c>
      <c r="D3104" s="22">
        <f>(1+D3103)*IF(AND(Painel_diario!$H3100="ED_JD",Painel_diario!$J3100=1),EXP(Painel_diario!$L3100),1)-1</f>
        <v/>
      </c>
      <c r="E3104" s="22">
        <f>(1+E3103)*IF(AND(Painel_diario!$H3100="ED_JU",Painel_diario!$J3100=1),EXP(Painel_diario!$L3100),1)-1</f>
        <v/>
      </c>
    </row>
    <row r="3105">
      <c r="A3105" s="25" t="n">
        <v>43397</v>
      </c>
      <c r="B3105" s="22">
        <f>(1+B3104)*IF(AND(Painel_diario!$H3101="EU_JD",Painel_diario!$J3101=1),EXP(Painel_diario!$L3101),1)-1</f>
        <v/>
      </c>
      <c r="C3105" s="22">
        <f>(1+C3104)*IF(AND(Painel_diario!$H3101="EU_JU",Painel_diario!$J3101=1),EXP(Painel_diario!$L3101),1)-1</f>
        <v/>
      </c>
      <c r="D3105" s="22">
        <f>(1+D3104)*IF(AND(Painel_diario!$H3101="ED_JD",Painel_diario!$J3101=1),EXP(Painel_diario!$L3101),1)-1</f>
        <v/>
      </c>
      <c r="E3105" s="22">
        <f>(1+E3104)*IF(AND(Painel_diario!$H3101="ED_JU",Painel_diario!$J3101=1),EXP(Painel_diario!$L3101),1)-1</f>
        <v/>
      </c>
    </row>
    <row r="3106">
      <c r="A3106" s="25" t="n">
        <v>43398</v>
      </c>
      <c r="B3106" s="22">
        <f>(1+B3105)*IF(AND(Painel_diario!$H3102="EU_JD",Painel_diario!$J3102=1),EXP(Painel_diario!$L3102),1)-1</f>
        <v/>
      </c>
      <c r="C3106" s="22">
        <f>(1+C3105)*IF(AND(Painel_diario!$H3102="EU_JU",Painel_diario!$J3102=1),EXP(Painel_diario!$L3102),1)-1</f>
        <v/>
      </c>
      <c r="D3106" s="22">
        <f>(1+D3105)*IF(AND(Painel_diario!$H3102="ED_JD",Painel_diario!$J3102=1),EXP(Painel_diario!$L3102),1)-1</f>
        <v/>
      </c>
      <c r="E3106" s="22">
        <f>(1+E3105)*IF(AND(Painel_diario!$H3102="ED_JU",Painel_diario!$J3102=1),EXP(Painel_diario!$L3102),1)-1</f>
        <v/>
      </c>
    </row>
    <row r="3107">
      <c r="A3107" s="25" t="n">
        <v>43399</v>
      </c>
      <c r="B3107" s="22">
        <f>(1+B3106)*IF(AND(Painel_diario!$H3103="EU_JD",Painel_diario!$J3103=1),EXP(Painel_diario!$L3103),1)-1</f>
        <v/>
      </c>
      <c r="C3107" s="22">
        <f>(1+C3106)*IF(AND(Painel_diario!$H3103="EU_JU",Painel_diario!$J3103=1),EXP(Painel_diario!$L3103),1)-1</f>
        <v/>
      </c>
      <c r="D3107" s="22">
        <f>(1+D3106)*IF(AND(Painel_diario!$H3103="ED_JD",Painel_diario!$J3103=1),EXP(Painel_diario!$L3103),1)-1</f>
        <v/>
      </c>
      <c r="E3107" s="22">
        <f>(1+E3106)*IF(AND(Painel_diario!$H3103="ED_JU",Painel_diario!$J3103=1),EXP(Painel_diario!$L3103),1)-1</f>
        <v/>
      </c>
    </row>
    <row r="3108">
      <c r="A3108" s="25" t="n">
        <v>43402</v>
      </c>
      <c r="B3108" s="22">
        <f>(1+B3107)*IF(AND(Painel_diario!$H3104="EU_JD",Painel_diario!$J3104=1),EXP(Painel_diario!$L3104),1)-1</f>
        <v/>
      </c>
      <c r="C3108" s="22">
        <f>(1+C3107)*IF(AND(Painel_diario!$H3104="EU_JU",Painel_diario!$J3104=1),EXP(Painel_diario!$L3104),1)-1</f>
        <v/>
      </c>
      <c r="D3108" s="22">
        <f>(1+D3107)*IF(AND(Painel_diario!$H3104="ED_JD",Painel_diario!$J3104=1),EXP(Painel_diario!$L3104),1)-1</f>
        <v/>
      </c>
      <c r="E3108" s="22">
        <f>(1+E3107)*IF(AND(Painel_diario!$H3104="ED_JU",Painel_diario!$J3104=1),EXP(Painel_diario!$L3104),1)-1</f>
        <v/>
      </c>
    </row>
    <row r="3109">
      <c r="A3109" s="25" t="n">
        <v>43403</v>
      </c>
      <c r="B3109" s="22">
        <f>(1+B3108)*IF(AND(Painel_diario!$H3105="EU_JD",Painel_diario!$J3105=1),EXP(Painel_diario!$L3105),1)-1</f>
        <v/>
      </c>
      <c r="C3109" s="22">
        <f>(1+C3108)*IF(AND(Painel_diario!$H3105="EU_JU",Painel_diario!$J3105=1),EXP(Painel_diario!$L3105),1)-1</f>
        <v/>
      </c>
      <c r="D3109" s="22">
        <f>(1+D3108)*IF(AND(Painel_diario!$H3105="ED_JD",Painel_diario!$J3105=1),EXP(Painel_diario!$L3105),1)-1</f>
        <v/>
      </c>
      <c r="E3109" s="22">
        <f>(1+E3108)*IF(AND(Painel_diario!$H3105="ED_JU",Painel_diario!$J3105=1),EXP(Painel_diario!$L3105),1)-1</f>
        <v/>
      </c>
    </row>
    <row r="3110">
      <c r="A3110" s="25" t="n">
        <v>43404</v>
      </c>
      <c r="B3110" s="22">
        <f>(1+B3109)*IF(AND(Painel_diario!$H3106="EU_JD",Painel_diario!$J3106=1),EXP(Painel_diario!$L3106),1)-1</f>
        <v/>
      </c>
      <c r="C3110" s="22">
        <f>(1+C3109)*IF(AND(Painel_diario!$H3106="EU_JU",Painel_diario!$J3106=1),EXP(Painel_diario!$L3106),1)-1</f>
        <v/>
      </c>
      <c r="D3110" s="22">
        <f>(1+D3109)*IF(AND(Painel_diario!$H3106="ED_JD",Painel_diario!$J3106=1),EXP(Painel_diario!$L3106),1)-1</f>
        <v/>
      </c>
      <c r="E3110" s="22">
        <f>(1+E3109)*IF(AND(Painel_diario!$H3106="ED_JU",Painel_diario!$J3106=1),EXP(Painel_diario!$L3106),1)-1</f>
        <v/>
      </c>
    </row>
    <row r="3111">
      <c r="A3111" s="25" t="n">
        <v>43405</v>
      </c>
      <c r="B3111" s="22">
        <f>(1+B3110)*IF(AND(Painel_diario!$H3107="EU_JD",Painel_diario!$J3107=1),EXP(Painel_diario!$L3107),1)-1</f>
        <v/>
      </c>
      <c r="C3111" s="22">
        <f>(1+C3110)*IF(AND(Painel_diario!$H3107="EU_JU",Painel_diario!$J3107=1),EXP(Painel_diario!$L3107),1)-1</f>
        <v/>
      </c>
      <c r="D3111" s="22">
        <f>(1+D3110)*IF(AND(Painel_diario!$H3107="ED_JD",Painel_diario!$J3107=1),EXP(Painel_diario!$L3107),1)-1</f>
        <v/>
      </c>
      <c r="E3111" s="22">
        <f>(1+E3110)*IF(AND(Painel_diario!$H3107="ED_JU",Painel_diario!$J3107=1),EXP(Painel_diario!$L3107),1)-1</f>
        <v/>
      </c>
    </row>
    <row r="3112">
      <c r="A3112" s="25" t="n">
        <v>43410</v>
      </c>
      <c r="B3112" s="22">
        <f>(1+B3111)*IF(AND(Painel_diario!$H3108="EU_JD",Painel_diario!$J3108=1),EXP(Painel_diario!$L3108),1)-1</f>
        <v/>
      </c>
      <c r="C3112" s="22">
        <f>(1+C3111)*IF(AND(Painel_diario!$H3108="EU_JU",Painel_diario!$J3108=1),EXP(Painel_diario!$L3108),1)-1</f>
        <v/>
      </c>
      <c r="D3112" s="22">
        <f>(1+D3111)*IF(AND(Painel_diario!$H3108="ED_JD",Painel_diario!$J3108=1),EXP(Painel_diario!$L3108),1)-1</f>
        <v/>
      </c>
      <c r="E3112" s="22">
        <f>(1+E3111)*IF(AND(Painel_diario!$H3108="ED_JU",Painel_diario!$J3108=1),EXP(Painel_diario!$L3108),1)-1</f>
        <v/>
      </c>
    </row>
    <row r="3113">
      <c r="A3113" s="25" t="n">
        <v>43411</v>
      </c>
      <c r="B3113" s="22">
        <f>(1+B3112)*IF(AND(Painel_diario!$H3109="EU_JD",Painel_diario!$J3109=1),EXP(Painel_diario!$L3109),1)-1</f>
        <v/>
      </c>
      <c r="C3113" s="22">
        <f>(1+C3112)*IF(AND(Painel_diario!$H3109="EU_JU",Painel_diario!$J3109=1),EXP(Painel_diario!$L3109),1)-1</f>
        <v/>
      </c>
      <c r="D3113" s="22">
        <f>(1+D3112)*IF(AND(Painel_diario!$H3109="ED_JD",Painel_diario!$J3109=1),EXP(Painel_diario!$L3109),1)-1</f>
        <v/>
      </c>
      <c r="E3113" s="22">
        <f>(1+E3112)*IF(AND(Painel_diario!$H3109="ED_JU",Painel_diario!$J3109=1),EXP(Painel_diario!$L3109),1)-1</f>
        <v/>
      </c>
    </row>
    <row r="3114">
      <c r="A3114" s="25" t="n">
        <v>43412</v>
      </c>
      <c r="B3114" s="22">
        <f>(1+B3113)*IF(AND(Painel_diario!$H3110="EU_JD",Painel_diario!$J3110=1),EXP(Painel_diario!$L3110),1)-1</f>
        <v/>
      </c>
      <c r="C3114" s="22">
        <f>(1+C3113)*IF(AND(Painel_diario!$H3110="EU_JU",Painel_diario!$J3110=1),EXP(Painel_diario!$L3110),1)-1</f>
        <v/>
      </c>
      <c r="D3114" s="22">
        <f>(1+D3113)*IF(AND(Painel_diario!$H3110="ED_JD",Painel_diario!$J3110=1),EXP(Painel_diario!$L3110),1)-1</f>
        <v/>
      </c>
      <c r="E3114" s="22">
        <f>(1+E3113)*IF(AND(Painel_diario!$H3110="ED_JU",Painel_diario!$J3110=1),EXP(Painel_diario!$L3110),1)-1</f>
        <v/>
      </c>
    </row>
    <row r="3115">
      <c r="A3115" s="25" t="n">
        <v>43413</v>
      </c>
      <c r="B3115" s="22">
        <f>(1+B3114)*IF(AND(Painel_diario!$H3111="EU_JD",Painel_diario!$J3111=1),EXP(Painel_diario!$L3111),1)-1</f>
        <v/>
      </c>
      <c r="C3115" s="22">
        <f>(1+C3114)*IF(AND(Painel_diario!$H3111="EU_JU",Painel_diario!$J3111=1),EXP(Painel_diario!$L3111),1)-1</f>
        <v/>
      </c>
      <c r="D3115" s="22">
        <f>(1+D3114)*IF(AND(Painel_diario!$H3111="ED_JD",Painel_diario!$J3111=1),EXP(Painel_diario!$L3111),1)-1</f>
        <v/>
      </c>
      <c r="E3115" s="22">
        <f>(1+E3114)*IF(AND(Painel_diario!$H3111="ED_JU",Painel_diario!$J3111=1),EXP(Painel_diario!$L3111),1)-1</f>
        <v/>
      </c>
    </row>
    <row r="3116">
      <c r="A3116" s="25" t="n">
        <v>43416</v>
      </c>
      <c r="B3116" s="22">
        <f>(1+B3115)*IF(AND(Painel_diario!$H3112="EU_JD",Painel_diario!$J3112=1),EXP(Painel_diario!$L3112),1)-1</f>
        <v/>
      </c>
      <c r="C3116" s="22">
        <f>(1+C3115)*IF(AND(Painel_diario!$H3112="EU_JU",Painel_diario!$J3112=1),EXP(Painel_diario!$L3112),1)-1</f>
        <v/>
      </c>
      <c r="D3116" s="22">
        <f>(1+D3115)*IF(AND(Painel_diario!$H3112="ED_JD",Painel_diario!$J3112=1),EXP(Painel_diario!$L3112),1)-1</f>
        <v/>
      </c>
      <c r="E3116" s="22">
        <f>(1+E3115)*IF(AND(Painel_diario!$H3112="ED_JU",Painel_diario!$J3112=1),EXP(Painel_diario!$L3112),1)-1</f>
        <v/>
      </c>
    </row>
    <row r="3117">
      <c r="A3117" s="25" t="n">
        <v>43417</v>
      </c>
      <c r="B3117" s="22">
        <f>(1+B3116)*IF(AND(Painel_diario!$H3113="EU_JD",Painel_diario!$J3113=1),EXP(Painel_diario!$L3113),1)-1</f>
        <v/>
      </c>
      <c r="C3117" s="22">
        <f>(1+C3116)*IF(AND(Painel_diario!$H3113="EU_JU",Painel_diario!$J3113=1),EXP(Painel_diario!$L3113),1)-1</f>
        <v/>
      </c>
      <c r="D3117" s="22">
        <f>(1+D3116)*IF(AND(Painel_diario!$H3113="ED_JD",Painel_diario!$J3113=1),EXP(Painel_diario!$L3113),1)-1</f>
        <v/>
      </c>
      <c r="E3117" s="22">
        <f>(1+E3116)*IF(AND(Painel_diario!$H3113="ED_JU",Painel_diario!$J3113=1),EXP(Painel_diario!$L3113),1)-1</f>
        <v/>
      </c>
    </row>
    <row r="3118">
      <c r="A3118" s="25" t="n">
        <v>43418</v>
      </c>
      <c r="B3118" s="22">
        <f>(1+B3117)*IF(AND(Painel_diario!$H3114="EU_JD",Painel_diario!$J3114=1),EXP(Painel_diario!$L3114),1)-1</f>
        <v/>
      </c>
      <c r="C3118" s="22">
        <f>(1+C3117)*IF(AND(Painel_diario!$H3114="EU_JU",Painel_diario!$J3114=1),EXP(Painel_diario!$L3114),1)-1</f>
        <v/>
      </c>
      <c r="D3118" s="22">
        <f>(1+D3117)*IF(AND(Painel_diario!$H3114="ED_JD",Painel_diario!$J3114=1),EXP(Painel_diario!$L3114),1)-1</f>
        <v/>
      </c>
      <c r="E3118" s="22">
        <f>(1+E3117)*IF(AND(Painel_diario!$H3114="ED_JU",Painel_diario!$J3114=1),EXP(Painel_diario!$L3114),1)-1</f>
        <v/>
      </c>
    </row>
    <row r="3119">
      <c r="A3119" s="25" t="n">
        <v>43420</v>
      </c>
      <c r="B3119" s="22">
        <f>(1+B3118)*IF(AND(Painel_diario!$H3115="EU_JD",Painel_diario!$J3115=1),EXP(Painel_diario!$L3115),1)-1</f>
        <v/>
      </c>
      <c r="C3119" s="22">
        <f>(1+C3118)*IF(AND(Painel_diario!$H3115="EU_JU",Painel_diario!$J3115=1),EXP(Painel_diario!$L3115),1)-1</f>
        <v/>
      </c>
      <c r="D3119" s="22">
        <f>(1+D3118)*IF(AND(Painel_diario!$H3115="ED_JD",Painel_diario!$J3115=1),EXP(Painel_diario!$L3115),1)-1</f>
        <v/>
      </c>
      <c r="E3119" s="22">
        <f>(1+E3118)*IF(AND(Painel_diario!$H3115="ED_JU",Painel_diario!$J3115=1),EXP(Painel_diario!$L3115),1)-1</f>
        <v/>
      </c>
    </row>
    <row r="3120">
      <c r="A3120" s="25" t="n">
        <v>43423</v>
      </c>
      <c r="B3120" s="22">
        <f>(1+B3119)*IF(AND(Painel_diario!$H3116="EU_JD",Painel_diario!$J3116=1),EXP(Painel_diario!$L3116),1)-1</f>
        <v/>
      </c>
      <c r="C3120" s="22">
        <f>(1+C3119)*IF(AND(Painel_diario!$H3116="EU_JU",Painel_diario!$J3116=1),EXP(Painel_diario!$L3116),1)-1</f>
        <v/>
      </c>
      <c r="D3120" s="22">
        <f>(1+D3119)*IF(AND(Painel_diario!$H3116="ED_JD",Painel_diario!$J3116=1),EXP(Painel_diario!$L3116),1)-1</f>
        <v/>
      </c>
      <c r="E3120" s="22">
        <f>(1+E3119)*IF(AND(Painel_diario!$H3116="ED_JU",Painel_diario!$J3116=1),EXP(Painel_diario!$L3116),1)-1</f>
        <v/>
      </c>
    </row>
    <row r="3121">
      <c r="A3121" s="25" t="n">
        <v>43425</v>
      </c>
      <c r="B3121" s="22">
        <f>(1+B3120)*IF(AND(Painel_diario!$H3117="EU_JD",Painel_diario!$J3117=1),EXP(Painel_diario!$L3117),1)-1</f>
        <v/>
      </c>
      <c r="C3121" s="22">
        <f>(1+C3120)*IF(AND(Painel_diario!$H3117="EU_JU",Painel_diario!$J3117=1),EXP(Painel_diario!$L3117),1)-1</f>
        <v/>
      </c>
      <c r="D3121" s="22">
        <f>(1+D3120)*IF(AND(Painel_diario!$H3117="ED_JD",Painel_diario!$J3117=1),EXP(Painel_diario!$L3117),1)-1</f>
        <v/>
      </c>
      <c r="E3121" s="22">
        <f>(1+E3120)*IF(AND(Painel_diario!$H3117="ED_JU",Painel_diario!$J3117=1),EXP(Painel_diario!$L3117),1)-1</f>
        <v/>
      </c>
    </row>
    <row r="3122">
      <c r="A3122" s="25" t="n">
        <v>43426</v>
      </c>
      <c r="B3122" s="22">
        <f>(1+B3121)*IF(AND(Painel_diario!$H3118="EU_JD",Painel_diario!$J3118=1),EXP(Painel_diario!$L3118),1)-1</f>
        <v/>
      </c>
      <c r="C3122" s="22">
        <f>(1+C3121)*IF(AND(Painel_diario!$H3118="EU_JU",Painel_diario!$J3118=1),EXP(Painel_diario!$L3118),1)-1</f>
        <v/>
      </c>
      <c r="D3122" s="22">
        <f>(1+D3121)*IF(AND(Painel_diario!$H3118="ED_JD",Painel_diario!$J3118=1),EXP(Painel_diario!$L3118),1)-1</f>
        <v/>
      </c>
      <c r="E3122" s="22">
        <f>(1+E3121)*IF(AND(Painel_diario!$H3118="ED_JU",Painel_diario!$J3118=1),EXP(Painel_diario!$L3118),1)-1</f>
        <v/>
      </c>
    </row>
    <row r="3123">
      <c r="A3123" s="25" t="n">
        <v>43427</v>
      </c>
      <c r="B3123" s="22">
        <f>(1+B3122)*IF(AND(Painel_diario!$H3119="EU_JD",Painel_diario!$J3119=1),EXP(Painel_diario!$L3119),1)-1</f>
        <v/>
      </c>
      <c r="C3123" s="22">
        <f>(1+C3122)*IF(AND(Painel_diario!$H3119="EU_JU",Painel_diario!$J3119=1),EXP(Painel_diario!$L3119),1)-1</f>
        <v/>
      </c>
      <c r="D3123" s="22">
        <f>(1+D3122)*IF(AND(Painel_diario!$H3119="ED_JD",Painel_diario!$J3119=1),EXP(Painel_diario!$L3119),1)-1</f>
        <v/>
      </c>
      <c r="E3123" s="22">
        <f>(1+E3122)*IF(AND(Painel_diario!$H3119="ED_JU",Painel_diario!$J3119=1),EXP(Painel_diario!$L3119),1)-1</f>
        <v/>
      </c>
    </row>
    <row r="3124">
      <c r="A3124" s="25" t="n">
        <v>43430</v>
      </c>
      <c r="B3124" s="22">
        <f>(1+B3123)*IF(AND(Painel_diario!$H3120="EU_JD",Painel_diario!$J3120=1),EXP(Painel_diario!$L3120),1)-1</f>
        <v/>
      </c>
      <c r="C3124" s="22">
        <f>(1+C3123)*IF(AND(Painel_diario!$H3120="EU_JU",Painel_diario!$J3120=1),EXP(Painel_diario!$L3120),1)-1</f>
        <v/>
      </c>
      <c r="D3124" s="22">
        <f>(1+D3123)*IF(AND(Painel_diario!$H3120="ED_JD",Painel_diario!$J3120=1),EXP(Painel_diario!$L3120),1)-1</f>
        <v/>
      </c>
      <c r="E3124" s="22">
        <f>(1+E3123)*IF(AND(Painel_diario!$H3120="ED_JU",Painel_diario!$J3120=1),EXP(Painel_diario!$L3120),1)-1</f>
        <v/>
      </c>
    </row>
    <row r="3125">
      <c r="A3125" s="25" t="n">
        <v>43431</v>
      </c>
      <c r="B3125" s="22">
        <f>(1+B3124)*IF(AND(Painel_diario!$H3121="EU_JD",Painel_diario!$J3121=1),EXP(Painel_diario!$L3121),1)-1</f>
        <v/>
      </c>
      <c r="C3125" s="22">
        <f>(1+C3124)*IF(AND(Painel_diario!$H3121="EU_JU",Painel_diario!$J3121=1),EXP(Painel_diario!$L3121),1)-1</f>
        <v/>
      </c>
      <c r="D3125" s="22">
        <f>(1+D3124)*IF(AND(Painel_diario!$H3121="ED_JD",Painel_diario!$J3121=1),EXP(Painel_diario!$L3121),1)-1</f>
        <v/>
      </c>
      <c r="E3125" s="22">
        <f>(1+E3124)*IF(AND(Painel_diario!$H3121="ED_JU",Painel_diario!$J3121=1),EXP(Painel_diario!$L3121),1)-1</f>
        <v/>
      </c>
    </row>
    <row r="3126">
      <c r="A3126" s="25" t="n">
        <v>43432</v>
      </c>
      <c r="B3126" s="22">
        <f>(1+B3125)*IF(AND(Painel_diario!$H3122="EU_JD",Painel_diario!$J3122=1),EXP(Painel_diario!$L3122),1)-1</f>
        <v/>
      </c>
      <c r="C3126" s="22">
        <f>(1+C3125)*IF(AND(Painel_diario!$H3122="EU_JU",Painel_diario!$J3122=1),EXP(Painel_diario!$L3122),1)-1</f>
        <v/>
      </c>
      <c r="D3126" s="22">
        <f>(1+D3125)*IF(AND(Painel_diario!$H3122="ED_JD",Painel_diario!$J3122=1),EXP(Painel_diario!$L3122),1)-1</f>
        <v/>
      </c>
      <c r="E3126" s="22">
        <f>(1+E3125)*IF(AND(Painel_diario!$H3122="ED_JU",Painel_diario!$J3122=1),EXP(Painel_diario!$L3122),1)-1</f>
        <v/>
      </c>
    </row>
    <row r="3127">
      <c r="A3127" s="25" t="n">
        <v>43433</v>
      </c>
      <c r="B3127" s="22">
        <f>(1+B3126)*IF(AND(Painel_diario!$H3123="EU_JD",Painel_diario!$J3123=1),EXP(Painel_diario!$L3123),1)-1</f>
        <v/>
      </c>
      <c r="C3127" s="22">
        <f>(1+C3126)*IF(AND(Painel_diario!$H3123="EU_JU",Painel_diario!$J3123=1),EXP(Painel_diario!$L3123),1)-1</f>
        <v/>
      </c>
      <c r="D3127" s="22">
        <f>(1+D3126)*IF(AND(Painel_diario!$H3123="ED_JD",Painel_diario!$J3123=1),EXP(Painel_diario!$L3123),1)-1</f>
        <v/>
      </c>
      <c r="E3127" s="22">
        <f>(1+E3126)*IF(AND(Painel_diario!$H3123="ED_JU",Painel_diario!$J3123=1),EXP(Painel_diario!$L3123),1)-1</f>
        <v/>
      </c>
    </row>
    <row r="3128">
      <c r="A3128" s="25" t="n">
        <v>43434</v>
      </c>
      <c r="B3128" s="22">
        <f>(1+B3127)*IF(AND(Painel_diario!$H3124="EU_JD",Painel_diario!$J3124=1),EXP(Painel_diario!$L3124),1)-1</f>
        <v/>
      </c>
      <c r="C3128" s="22">
        <f>(1+C3127)*IF(AND(Painel_diario!$H3124="EU_JU",Painel_diario!$J3124=1),EXP(Painel_diario!$L3124),1)-1</f>
        <v/>
      </c>
      <c r="D3128" s="22">
        <f>(1+D3127)*IF(AND(Painel_diario!$H3124="ED_JD",Painel_diario!$J3124=1),EXP(Painel_diario!$L3124),1)-1</f>
        <v/>
      </c>
      <c r="E3128" s="22">
        <f>(1+E3127)*IF(AND(Painel_diario!$H3124="ED_JU",Painel_diario!$J3124=1),EXP(Painel_diario!$L3124),1)-1</f>
        <v/>
      </c>
    </row>
    <row r="3129">
      <c r="A3129" s="25" t="n">
        <v>43437</v>
      </c>
      <c r="B3129" s="22">
        <f>(1+B3128)*IF(AND(Painel_diario!$H3125="EU_JD",Painel_diario!$J3125=1),EXP(Painel_diario!$L3125),1)-1</f>
        <v/>
      </c>
      <c r="C3129" s="22">
        <f>(1+C3128)*IF(AND(Painel_diario!$H3125="EU_JU",Painel_diario!$J3125=1),EXP(Painel_diario!$L3125),1)-1</f>
        <v/>
      </c>
      <c r="D3129" s="22">
        <f>(1+D3128)*IF(AND(Painel_diario!$H3125="ED_JD",Painel_diario!$J3125=1),EXP(Painel_diario!$L3125),1)-1</f>
        <v/>
      </c>
      <c r="E3129" s="22">
        <f>(1+E3128)*IF(AND(Painel_diario!$H3125="ED_JU",Painel_diario!$J3125=1),EXP(Painel_diario!$L3125),1)-1</f>
        <v/>
      </c>
    </row>
    <row r="3130">
      <c r="A3130" s="25" t="n">
        <v>43438</v>
      </c>
      <c r="B3130" s="22">
        <f>(1+B3129)*IF(AND(Painel_diario!$H3126="EU_JD",Painel_diario!$J3126=1),EXP(Painel_diario!$L3126),1)-1</f>
        <v/>
      </c>
      <c r="C3130" s="22">
        <f>(1+C3129)*IF(AND(Painel_diario!$H3126="EU_JU",Painel_diario!$J3126=1),EXP(Painel_diario!$L3126),1)-1</f>
        <v/>
      </c>
      <c r="D3130" s="22">
        <f>(1+D3129)*IF(AND(Painel_diario!$H3126="ED_JD",Painel_diario!$J3126=1),EXP(Painel_diario!$L3126),1)-1</f>
        <v/>
      </c>
      <c r="E3130" s="22">
        <f>(1+E3129)*IF(AND(Painel_diario!$H3126="ED_JU",Painel_diario!$J3126=1),EXP(Painel_diario!$L3126),1)-1</f>
        <v/>
      </c>
    </row>
    <row r="3131">
      <c r="A3131" s="25" t="n">
        <v>43439</v>
      </c>
      <c r="B3131" s="22">
        <f>(1+B3130)*IF(AND(Painel_diario!$H3127="EU_JD",Painel_diario!$J3127=1),EXP(Painel_diario!$L3127),1)-1</f>
        <v/>
      </c>
      <c r="C3131" s="22">
        <f>(1+C3130)*IF(AND(Painel_diario!$H3127="EU_JU",Painel_diario!$J3127=1),EXP(Painel_diario!$L3127),1)-1</f>
        <v/>
      </c>
      <c r="D3131" s="22">
        <f>(1+D3130)*IF(AND(Painel_diario!$H3127="ED_JD",Painel_diario!$J3127=1),EXP(Painel_diario!$L3127),1)-1</f>
        <v/>
      </c>
      <c r="E3131" s="22">
        <f>(1+E3130)*IF(AND(Painel_diario!$H3127="ED_JU",Painel_diario!$J3127=1),EXP(Painel_diario!$L3127),1)-1</f>
        <v/>
      </c>
    </row>
    <row r="3132">
      <c r="A3132" s="25" t="n">
        <v>43440</v>
      </c>
      <c r="B3132" s="22">
        <f>(1+B3131)*IF(AND(Painel_diario!$H3128="EU_JD",Painel_diario!$J3128=1),EXP(Painel_diario!$L3128),1)-1</f>
        <v/>
      </c>
      <c r="C3132" s="22">
        <f>(1+C3131)*IF(AND(Painel_diario!$H3128="EU_JU",Painel_diario!$J3128=1),EXP(Painel_diario!$L3128),1)-1</f>
        <v/>
      </c>
      <c r="D3132" s="22">
        <f>(1+D3131)*IF(AND(Painel_diario!$H3128="ED_JD",Painel_diario!$J3128=1),EXP(Painel_diario!$L3128),1)-1</f>
        <v/>
      </c>
      <c r="E3132" s="22">
        <f>(1+E3131)*IF(AND(Painel_diario!$H3128="ED_JU",Painel_diario!$J3128=1),EXP(Painel_diario!$L3128),1)-1</f>
        <v/>
      </c>
    </row>
    <row r="3133">
      <c r="A3133" s="25" t="n">
        <v>43441</v>
      </c>
      <c r="B3133" s="22">
        <f>(1+B3132)*IF(AND(Painel_diario!$H3129="EU_JD",Painel_diario!$J3129=1),EXP(Painel_diario!$L3129),1)-1</f>
        <v/>
      </c>
      <c r="C3133" s="22">
        <f>(1+C3132)*IF(AND(Painel_diario!$H3129="EU_JU",Painel_diario!$J3129=1),EXP(Painel_diario!$L3129),1)-1</f>
        <v/>
      </c>
      <c r="D3133" s="22">
        <f>(1+D3132)*IF(AND(Painel_diario!$H3129="ED_JD",Painel_diario!$J3129=1),EXP(Painel_diario!$L3129),1)-1</f>
        <v/>
      </c>
      <c r="E3133" s="22">
        <f>(1+E3132)*IF(AND(Painel_diario!$H3129="ED_JU",Painel_diario!$J3129=1),EXP(Painel_diario!$L3129),1)-1</f>
        <v/>
      </c>
    </row>
    <row r="3134">
      <c r="A3134" s="25" t="n">
        <v>43444</v>
      </c>
      <c r="B3134" s="22">
        <f>(1+B3133)*IF(AND(Painel_diario!$H3130="EU_JD",Painel_diario!$J3130=1),EXP(Painel_diario!$L3130),1)-1</f>
        <v/>
      </c>
      <c r="C3134" s="22">
        <f>(1+C3133)*IF(AND(Painel_diario!$H3130="EU_JU",Painel_diario!$J3130=1),EXP(Painel_diario!$L3130),1)-1</f>
        <v/>
      </c>
      <c r="D3134" s="22">
        <f>(1+D3133)*IF(AND(Painel_diario!$H3130="ED_JD",Painel_diario!$J3130=1),EXP(Painel_diario!$L3130),1)-1</f>
        <v/>
      </c>
      <c r="E3134" s="22">
        <f>(1+E3133)*IF(AND(Painel_diario!$H3130="ED_JU",Painel_diario!$J3130=1),EXP(Painel_diario!$L3130),1)-1</f>
        <v/>
      </c>
    </row>
    <row r="3135">
      <c r="A3135" s="25" t="n">
        <v>43445</v>
      </c>
      <c r="B3135" s="22">
        <f>(1+B3134)*IF(AND(Painel_diario!$H3131="EU_JD",Painel_diario!$J3131=1),EXP(Painel_diario!$L3131),1)-1</f>
        <v/>
      </c>
      <c r="C3135" s="22">
        <f>(1+C3134)*IF(AND(Painel_diario!$H3131="EU_JU",Painel_diario!$J3131=1),EXP(Painel_diario!$L3131),1)-1</f>
        <v/>
      </c>
      <c r="D3135" s="22">
        <f>(1+D3134)*IF(AND(Painel_diario!$H3131="ED_JD",Painel_diario!$J3131=1),EXP(Painel_diario!$L3131),1)-1</f>
        <v/>
      </c>
      <c r="E3135" s="22">
        <f>(1+E3134)*IF(AND(Painel_diario!$H3131="ED_JU",Painel_diario!$J3131=1),EXP(Painel_diario!$L3131),1)-1</f>
        <v/>
      </c>
    </row>
    <row r="3136">
      <c r="A3136" s="25" t="n">
        <v>43446</v>
      </c>
      <c r="B3136" s="22">
        <f>(1+B3135)*IF(AND(Painel_diario!$H3132="EU_JD",Painel_diario!$J3132=1),EXP(Painel_diario!$L3132),1)-1</f>
        <v/>
      </c>
      <c r="C3136" s="22">
        <f>(1+C3135)*IF(AND(Painel_diario!$H3132="EU_JU",Painel_diario!$J3132=1),EXP(Painel_diario!$L3132),1)-1</f>
        <v/>
      </c>
      <c r="D3136" s="22">
        <f>(1+D3135)*IF(AND(Painel_diario!$H3132="ED_JD",Painel_diario!$J3132=1),EXP(Painel_diario!$L3132),1)-1</f>
        <v/>
      </c>
      <c r="E3136" s="22">
        <f>(1+E3135)*IF(AND(Painel_diario!$H3132="ED_JU",Painel_diario!$J3132=1),EXP(Painel_diario!$L3132),1)-1</f>
        <v/>
      </c>
    </row>
    <row r="3137">
      <c r="A3137" s="25" t="n">
        <v>43447</v>
      </c>
      <c r="B3137" s="22">
        <f>(1+B3136)*IF(AND(Painel_diario!$H3133="EU_JD",Painel_diario!$J3133=1),EXP(Painel_diario!$L3133),1)-1</f>
        <v/>
      </c>
      <c r="C3137" s="22">
        <f>(1+C3136)*IF(AND(Painel_diario!$H3133="EU_JU",Painel_diario!$J3133=1),EXP(Painel_diario!$L3133),1)-1</f>
        <v/>
      </c>
      <c r="D3137" s="22">
        <f>(1+D3136)*IF(AND(Painel_diario!$H3133="ED_JD",Painel_diario!$J3133=1),EXP(Painel_diario!$L3133),1)-1</f>
        <v/>
      </c>
      <c r="E3137" s="22">
        <f>(1+E3136)*IF(AND(Painel_diario!$H3133="ED_JU",Painel_diario!$J3133=1),EXP(Painel_diario!$L3133),1)-1</f>
        <v/>
      </c>
    </row>
    <row r="3138">
      <c r="A3138" s="25" t="n">
        <v>43448</v>
      </c>
      <c r="B3138" s="22">
        <f>(1+B3137)*IF(AND(Painel_diario!$H3134="EU_JD",Painel_diario!$J3134=1),EXP(Painel_diario!$L3134),1)-1</f>
        <v/>
      </c>
      <c r="C3138" s="22">
        <f>(1+C3137)*IF(AND(Painel_diario!$H3134="EU_JU",Painel_diario!$J3134=1),EXP(Painel_diario!$L3134),1)-1</f>
        <v/>
      </c>
      <c r="D3138" s="22">
        <f>(1+D3137)*IF(AND(Painel_diario!$H3134="ED_JD",Painel_diario!$J3134=1),EXP(Painel_diario!$L3134),1)-1</f>
        <v/>
      </c>
      <c r="E3138" s="22">
        <f>(1+E3137)*IF(AND(Painel_diario!$H3134="ED_JU",Painel_diario!$J3134=1),EXP(Painel_diario!$L3134),1)-1</f>
        <v/>
      </c>
    </row>
    <row r="3139">
      <c r="A3139" s="25" t="n">
        <v>43451</v>
      </c>
      <c r="B3139" s="22">
        <f>(1+B3138)*IF(AND(Painel_diario!$H3135="EU_JD",Painel_diario!$J3135=1),EXP(Painel_diario!$L3135),1)-1</f>
        <v/>
      </c>
      <c r="C3139" s="22">
        <f>(1+C3138)*IF(AND(Painel_diario!$H3135="EU_JU",Painel_diario!$J3135=1),EXP(Painel_diario!$L3135),1)-1</f>
        <v/>
      </c>
      <c r="D3139" s="22">
        <f>(1+D3138)*IF(AND(Painel_diario!$H3135="ED_JD",Painel_diario!$J3135=1),EXP(Painel_diario!$L3135),1)-1</f>
        <v/>
      </c>
      <c r="E3139" s="22">
        <f>(1+E3138)*IF(AND(Painel_diario!$H3135="ED_JU",Painel_diario!$J3135=1),EXP(Painel_diario!$L3135),1)-1</f>
        <v/>
      </c>
    </row>
    <row r="3140">
      <c r="A3140" s="25" t="n">
        <v>43452</v>
      </c>
      <c r="B3140" s="22">
        <f>(1+B3139)*IF(AND(Painel_diario!$H3136="EU_JD",Painel_diario!$J3136=1),EXP(Painel_diario!$L3136),1)-1</f>
        <v/>
      </c>
      <c r="C3140" s="22">
        <f>(1+C3139)*IF(AND(Painel_diario!$H3136="EU_JU",Painel_diario!$J3136=1),EXP(Painel_diario!$L3136),1)-1</f>
        <v/>
      </c>
      <c r="D3140" s="22">
        <f>(1+D3139)*IF(AND(Painel_diario!$H3136="ED_JD",Painel_diario!$J3136=1),EXP(Painel_diario!$L3136),1)-1</f>
        <v/>
      </c>
      <c r="E3140" s="22">
        <f>(1+E3139)*IF(AND(Painel_diario!$H3136="ED_JU",Painel_diario!$J3136=1),EXP(Painel_diario!$L3136),1)-1</f>
        <v/>
      </c>
    </row>
    <row r="3141">
      <c r="A3141" s="25" t="n">
        <v>43453</v>
      </c>
      <c r="B3141" s="22">
        <f>(1+B3140)*IF(AND(Painel_diario!$H3137="EU_JD",Painel_diario!$J3137=1),EXP(Painel_diario!$L3137),1)-1</f>
        <v/>
      </c>
      <c r="C3141" s="22">
        <f>(1+C3140)*IF(AND(Painel_diario!$H3137="EU_JU",Painel_diario!$J3137=1),EXP(Painel_diario!$L3137),1)-1</f>
        <v/>
      </c>
      <c r="D3141" s="22">
        <f>(1+D3140)*IF(AND(Painel_diario!$H3137="ED_JD",Painel_diario!$J3137=1),EXP(Painel_diario!$L3137),1)-1</f>
        <v/>
      </c>
      <c r="E3141" s="22">
        <f>(1+E3140)*IF(AND(Painel_diario!$H3137="ED_JU",Painel_diario!$J3137=1),EXP(Painel_diario!$L3137),1)-1</f>
        <v/>
      </c>
    </row>
    <row r="3142">
      <c r="A3142" s="25" t="n">
        <v>43454</v>
      </c>
      <c r="B3142" s="22">
        <f>(1+B3141)*IF(AND(Painel_diario!$H3138="EU_JD",Painel_diario!$J3138=1),EXP(Painel_diario!$L3138),1)-1</f>
        <v/>
      </c>
      <c r="C3142" s="22">
        <f>(1+C3141)*IF(AND(Painel_diario!$H3138="EU_JU",Painel_diario!$J3138=1),EXP(Painel_diario!$L3138),1)-1</f>
        <v/>
      </c>
      <c r="D3142" s="22">
        <f>(1+D3141)*IF(AND(Painel_diario!$H3138="ED_JD",Painel_diario!$J3138=1),EXP(Painel_diario!$L3138),1)-1</f>
        <v/>
      </c>
      <c r="E3142" s="22">
        <f>(1+E3141)*IF(AND(Painel_diario!$H3138="ED_JU",Painel_diario!$J3138=1),EXP(Painel_diario!$L3138),1)-1</f>
        <v/>
      </c>
    </row>
    <row r="3143">
      <c r="A3143" s="25" t="n">
        <v>43455</v>
      </c>
      <c r="B3143" s="22">
        <f>(1+B3142)*IF(AND(Painel_diario!$H3139="EU_JD",Painel_diario!$J3139=1),EXP(Painel_diario!$L3139),1)-1</f>
        <v/>
      </c>
      <c r="C3143" s="22">
        <f>(1+C3142)*IF(AND(Painel_diario!$H3139="EU_JU",Painel_diario!$J3139=1),EXP(Painel_diario!$L3139),1)-1</f>
        <v/>
      </c>
      <c r="D3143" s="22">
        <f>(1+D3142)*IF(AND(Painel_diario!$H3139="ED_JD",Painel_diario!$J3139=1),EXP(Painel_diario!$L3139),1)-1</f>
        <v/>
      </c>
      <c r="E3143" s="22">
        <f>(1+E3142)*IF(AND(Painel_diario!$H3139="ED_JU",Painel_diario!$J3139=1),EXP(Painel_diario!$L3139),1)-1</f>
        <v/>
      </c>
    </row>
    <row r="3144">
      <c r="A3144" s="25" t="n">
        <v>43460</v>
      </c>
      <c r="B3144" s="22">
        <f>(1+B3143)*IF(AND(Painel_diario!$H3140="EU_JD",Painel_diario!$J3140=1),EXP(Painel_diario!$L3140),1)-1</f>
        <v/>
      </c>
      <c r="C3144" s="22">
        <f>(1+C3143)*IF(AND(Painel_diario!$H3140="EU_JU",Painel_diario!$J3140=1),EXP(Painel_diario!$L3140),1)-1</f>
        <v/>
      </c>
      <c r="D3144" s="22">
        <f>(1+D3143)*IF(AND(Painel_diario!$H3140="ED_JD",Painel_diario!$J3140=1),EXP(Painel_diario!$L3140),1)-1</f>
        <v/>
      </c>
      <c r="E3144" s="22">
        <f>(1+E3143)*IF(AND(Painel_diario!$H3140="ED_JU",Painel_diario!$J3140=1),EXP(Painel_diario!$L3140),1)-1</f>
        <v/>
      </c>
    </row>
    <row r="3145">
      <c r="A3145" s="25" t="n">
        <v>43461</v>
      </c>
      <c r="B3145" s="22">
        <f>(1+B3144)*IF(AND(Painel_diario!$H3141="EU_JD",Painel_diario!$J3141=1),EXP(Painel_diario!$L3141),1)-1</f>
        <v/>
      </c>
      <c r="C3145" s="22">
        <f>(1+C3144)*IF(AND(Painel_diario!$H3141="EU_JU",Painel_diario!$J3141=1),EXP(Painel_diario!$L3141),1)-1</f>
        <v/>
      </c>
      <c r="D3145" s="22">
        <f>(1+D3144)*IF(AND(Painel_diario!$H3141="ED_JD",Painel_diario!$J3141=1),EXP(Painel_diario!$L3141),1)-1</f>
        <v/>
      </c>
      <c r="E3145" s="22">
        <f>(1+E3144)*IF(AND(Painel_diario!$H3141="ED_JU",Painel_diario!$J3141=1),EXP(Painel_diario!$L3141),1)-1</f>
        <v/>
      </c>
    </row>
    <row r="3146">
      <c r="A3146" s="25" t="n">
        <v>43462</v>
      </c>
      <c r="B3146" s="22">
        <f>(1+B3145)*IF(AND(Painel_diario!$H3142="EU_JD",Painel_diario!$J3142=1),EXP(Painel_diario!$L3142),1)-1</f>
        <v/>
      </c>
      <c r="C3146" s="22">
        <f>(1+C3145)*IF(AND(Painel_diario!$H3142="EU_JU",Painel_diario!$J3142=1),EXP(Painel_diario!$L3142),1)-1</f>
        <v/>
      </c>
      <c r="D3146" s="22">
        <f>(1+D3145)*IF(AND(Painel_diario!$H3142="ED_JD",Painel_diario!$J3142=1),EXP(Painel_diario!$L3142),1)-1</f>
        <v/>
      </c>
      <c r="E3146" s="22">
        <f>(1+E3145)*IF(AND(Painel_diario!$H3142="ED_JU",Painel_diario!$J3142=1),EXP(Painel_diario!$L3142),1)-1</f>
        <v/>
      </c>
    </row>
    <row r="3147">
      <c r="A3147" s="25" t="n">
        <v>43467</v>
      </c>
      <c r="B3147" s="22">
        <f>(1+B3146)*IF(AND(Painel_diario!$H3143="EU_JD",Painel_diario!$J3143=1),EXP(Painel_diario!$L3143),1)-1</f>
        <v/>
      </c>
      <c r="C3147" s="22">
        <f>(1+C3146)*IF(AND(Painel_diario!$H3143="EU_JU",Painel_diario!$J3143=1),EXP(Painel_diario!$L3143),1)-1</f>
        <v/>
      </c>
      <c r="D3147" s="22">
        <f>(1+D3146)*IF(AND(Painel_diario!$H3143="ED_JD",Painel_diario!$J3143=1),EXP(Painel_diario!$L3143),1)-1</f>
        <v/>
      </c>
      <c r="E3147" s="22">
        <f>(1+E3146)*IF(AND(Painel_diario!$H3143="ED_JU",Painel_diario!$J3143=1),EXP(Painel_diario!$L3143),1)-1</f>
        <v/>
      </c>
    </row>
    <row r="3148">
      <c r="A3148" s="25" t="n">
        <v>43468</v>
      </c>
      <c r="B3148" s="22">
        <f>(1+B3147)*IF(AND(Painel_diario!$H3144="EU_JD",Painel_diario!$J3144=1),EXP(Painel_diario!$L3144),1)-1</f>
        <v/>
      </c>
      <c r="C3148" s="22">
        <f>(1+C3147)*IF(AND(Painel_diario!$H3144="EU_JU",Painel_diario!$J3144=1),EXP(Painel_diario!$L3144),1)-1</f>
        <v/>
      </c>
      <c r="D3148" s="22">
        <f>(1+D3147)*IF(AND(Painel_diario!$H3144="ED_JD",Painel_diario!$J3144=1),EXP(Painel_diario!$L3144),1)-1</f>
        <v/>
      </c>
      <c r="E3148" s="22">
        <f>(1+E3147)*IF(AND(Painel_diario!$H3144="ED_JU",Painel_diario!$J3144=1),EXP(Painel_diario!$L3144),1)-1</f>
        <v/>
      </c>
    </row>
    <row r="3149">
      <c r="A3149" s="25" t="n">
        <v>43469</v>
      </c>
      <c r="B3149" s="22">
        <f>(1+B3148)*IF(AND(Painel_diario!$H3145="EU_JD",Painel_diario!$J3145=1),EXP(Painel_diario!$L3145),1)-1</f>
        <v/>
      </c>
      <c r="C3149" s="22">
        <f>(1+C3148)*IF(AND(Painel_diario!$H3145="EU_JU",Painel_diario!$J3145=1),EXP(Painel_diario!$L3145),1)-1</f>
        <v/>
      </c>
      <c r="D3149" s="22">
        <f>(1+D3148)*IF(AND(Painel_diario!$H3145="ED_JD",Painel_diario!$J3145=1),EXP(Painel_diario!$L3145),1)-1</f>
        <v/>
      </c>
      <c r="E3149" s="22">
        <f>(1+E3148)*IF(AND(Painel_diario!$H3145="ED_JU",Painel_diario!$J3145=1),EXP(Painel_diario!$L3145),1)-1</f>
        <v/>
      </c>
    </row>
    <row r="3150">
      <c r="A3150" s="25" t="n">
        <v>43472</v>
      </c>
      <c r="B3150" s="22">
        <f>(1+B3149)*IF(AND(Painel_diario!$H3146="EU_JD",Painel_diario!$J3146=1),EXP(Painel_diario!$L3146),1)-1</f>
        <v/>
      </c>
      <c r="C3150" s="22">
        <f>(1+C3149)*IF(AND(Painel_diario!$H3146="EU_JU",Painel_diario!$J3146=1),EXP(Painel_diario!$L3146),1)-1</f>
        <v/>
      </c>
      <c r="D3150" s="22">
        <f>(1+D3149)*IF(AND(Painel_diario!$H3146="ED_JD",Painel_diario!$J3146=1),EXP(Painel_diario!$L3146),1)-1</f>
        <v/>
      </c>
      <c r="E3150" s="22">
        <f>(1+E3149)*IF(AND(Painel_diario!$H3146="ED_JU",Painel_diario!$J3146=1),EXP(Painel_diario!$L3146),1)-1</f>
        <v/>
      </c>
    </row>
    <row r="3151">
      <c r="A3151" s="25" t="n">
        <v>43473</v>
      </c>
      <c r="B3151" s="22">
        <f>(1+B3150)*IF(AND(Painel_diario!$H3147="EU_JD",Painel_diario!$J3147=1),EXP(Painel_diario!$L3147),1)-1</f>
        <v/>
      </c>
      <c r="C3151" s="22">
        <f>(1+C3150)*IF(AND(Painel_diario!$H3147="EU_JU",Painel_diario!$J3147=1),EXP(Painel_diario!$L3147),1)-1</f>
        <v/>
      </c>
      <c r="D3151" s="22">
        <f>(1+D3150)*IF(AND(Painel_diario!$H3147="ED_JD",Painel_diario!$J3147=1),EXP(Painel_diario!$L3147),1)-1</f>
        <v/>
      </c>
      <c r="E3151" s="22">
        <f>(1+E3150)*IF(AND(Painel_diario!$H3147="ED_JU",Painel_diario!$J3147=1),EXP(Painel_diario!$L3147),1)-1</f>
        <v/>
      </c>
    </row>
    <row r="3152">
      <c r="A3152" s="25" t="n">
        <v>43474</v>
      </c>
      <c r="B3152" s="22">
        <f>(1+B3151)*IF(AND(Painel_diario!$H3148="EU_JD",Painel_diario!$J3148=1),EXP(Painel_diario!$L3148),1)-1</f>
        <v/>
      </c>
      <c r="C3152" s="22">
        <f>(1+C3151)*IF(AND(Painel_diario!$H3148="EU_JU",Painel_diario!$J3148=1),EXP(Painel_diario!$L3148),1)-1</f>
        <v/>
      </c>
      <c r="D3152" s="22">
        <f>(1+D3151)*IF(AND(Painel_diario!$H3148="ED_JD",Painel_diario!$J3148=1),EXP(Painel_diario!$L3148),1)-1</f>
        <v/>
      </c>
      <c r="E3152" s="22">
        <f>(1+E3151)*IF(AND(Painel_diario!$H3148="ED_JU",Painel_diario!$J3148=1),EXP(Painel_diario!$L3148),1)-1</f>
        <v/>
      </c>
    </row>
    <row r="3153">
      <c r="A3153" s="25" t="n">
        <v>43475</v>
      </c>
      <c r="B3153" s="22">
        <f>(1+B3152)*IF(AND(Painel_diario!$H3149="EU_JD",Painel_diario!$J3149=1),EXP(Painel_diario!$L3149),1)-1</f>
        <v/>
      </c>
      <c r="C3153" s="22">
        <f>(1+C3152)*IF(AND(Painel_diario!$H3149="EU_JU",Painel_diario!$J3149=1),EXP(Painel_diario!$L3149),1)-1</f>
        <v/>
      </c>
      <c r="D3153" s="22">
        <f>(1+D3152)*IF(AND(Painel_diario!$H3149="ED_JD",Painel_diario!$J3149=1),EXP(Painel_diario!$L3149),1)-1</f>
        <v/>
      </c>
      <c r="E3153" s="22">
        <f>(1+E3152)*IF(AND(Painel_diario!$H3149="ED_JU",Painel_diario!$J3149=1),EXP(Painel_diario!$L3149),1)-1</f>
        <v/>
      </c>
    </row>
    <row r="3154">
      <c r="A3154" s="25" t="n">
        <v>43476</v>
      </c>
      <c r="B3154" s="22">
        <f>(1+B3153)*IF(AND(Painel_diario!$H3150="EU_JD",Painel_diario!$J3150=1),EXP(Painel_diario!$L3150),1)-1</f>
        <v/>
      </c>
      <c r="C3154" s="22">
        <f>(1+C3153)*IF(AND(Painel_diario!$H3150="EU_JU",Painel_diario!$J3150=1),EXP(Painel_diario!$L3150),1)-1</f>
        <v/>
      </c>
      <c r="D3154" s="22">
        <f>(1+D3153)*IF(AND(Painel_diario!$H3150="ED_JD",Painel_diario!$J3150=1),EXP(Painel_diario!$L3150),1)-1</f>
        <v/>
      </c>
      <c r="E3154" s="22">
        <f>(1+E3153)*IF(AND(Painel_diario!$H3150="ED_JU",Painel_diario!$J3150=1),EXP(Painel_diario!$L3150),1)-1</f>
        <v/>
      </c>
    </row>
    <row r="3155">
      <c r="A3155" s="25" t="n">
        <v>43479</v>
      </c>
      <c r="B3155" s="22">
        <f>(1+B3154)*IF(AND(Painel_diario!$H3151="EU_JD",Painel_diario!$J3151=1),EXP(Painel_diario!$L3151),1)-1</f>
        <v/>
      </c>
      <c r="C3155" s="22">
        <f>(1+C3154)*IF(AND(Painel_diario!$H3151="EU_JU",Painel_diario!$J3151=1),EXP(Painel_diario!$L3151),1)-1</f>
        <v/>
      </c>
      <c r="D3155" s="22">
        <f>(1+D3154)*IF(AND(Painel_diario!$H3151="ED_JD",Painel_diario!$J3151=1),EXP(Painel_diario!$L3151),1)-1</f>
        <v/>
      </c>
      <c r="E3155" s="22">
        <f>(1+E3154)*IF(AND(Painel_diario!$H3151="ED_JU",Painel_diario!$J3151=1),EXP(Painel_diario!$L3151),1)-1</f>
        <v/>
      </c>
    </row>
    <row r="3156">
      <c r="A3156" s="25" t="n">
        <v>43480</v>
      </c>
      <c r="B3156" s="22">
        <f>(1+B3155)*IF(AND(Painel_diario!$H3152="EU_JD",Painel_diario!$J3152=1),EXP(Painel_diario!$L3152),1)-1</f>
        <v/>
      </c>
      <c r="C3156" s="22">
        <f>(1+C3155)*IF(AND(Painel_diario!$H3152="EU_JU",Painel_diario!$J3152=1),EXP(Painel_diario!$L3152),1)-1</f>
        <v/>
      </c>
      <c r="D3156" s="22">
        <f>(1+D3155)*IF(AND(Painel_diario!$H3152="ED_JD",Painel_diario!$J3152=1),EXP(Painel_diario!$L3152),1)-1</f>
        <v/>
      </c>
      <c r="E3156" s="22">
        <f>(1+E3155)*IF(AND(Painel_diario!$H3152="ED_JU",Painel_diario!$J3152=1),EXP(Painel_diario!$L3152),1)-1</f>
        <v/>
      </c>
    </row>
    <row r="3157">
      <c r="A3157" s="25" t="n">
        <v>43481</v>
      </c>
      <c r="B3157" s="22">
        <f>(1+B3156)*IF(AND(Painel_diario!$H3153="EU_JD",Painel_diario!$J3153=1),EXP(Painel_diario!$L3153),1)-1</f>
        <v/>
      </c>
      <c r="C3157" s="22">
        <f>(1+C3156)*IF(AND(Painel_diario!$H3153="EU_JU",Painel_diario!$J3153=1),EXP(Painel_diario!$L3153),1)-1</f>
        <v/>
      </c>
      <c r="D3157" s="22">
        <f>(1+D3156)*IF(AND(Painel_diario!$H3153="ED_JD",Painel_diario!$J3153=1),EXP(Painel_diario!$L3153),1)-1</f>
        <v/>
      </c>
      <c r="E3157" s="22">
        <f>(1+E3156)*IF(AND(Painel_diario!$H3153="ED_JU",Painel_diario!$J3153=1),EXP(Painel_diario!$L3153),1)-1</f>
        <v/>
      </c>
    </row>
    <row r="3158">
      <c r="A3158" s="25" t="n">
        <v>43482</v>
      </c>
      <c r="B3158" s="22">
        <f>(1+B3157)*IF(AND(Painel_diario!$H3154="EU_JD",Painel_diario!$J3154=1),EXP(Painel_diario!$L3154),1)-1</f>
        <v/>
      </c>
      <c r="C3158" s="22">
        <f>(1+C3157)*IF(AND(Painel_diario!$H3154="EU_JU",Painel_diario!$J3154=1),EXP(Painel_diario!$L3154),1)-1</f>
        <v/>
      </c>
      <c r="D3158" s="22">
        <f>(1+D3157)*IF(AND(Painel_diario!$H3154="ED_JD",Painel_diario!$J3154=1),EXP(Painel_diario!$L3154),1)-1</f>
        <v/>
      </c>
      <c r="E3158" s="22">
        <f>(1+E3157)*IF(AND(Painel_diario!$H3154="ED_JU",Painel_diario!$J3154=1),EXP(Painel_diario!$L3154),1)-1</f>
        <v/>
      </c>
    </row>
    <row r="3159">
      <c r="A3159" s="25" t="n">
        <v>43483</v>
      </c>
      <c r="B3159" s="22">
        <f>(1+B3158)*IF(AND(Painel_diario!$H3155="EU_JD",Painel_diario!$J3155=1),EXP(Painel_diario!$L3155),1)-1</f>
        <v/>
      </c>
      <c r="C3159" s="22">
        <f>(1+C3158)*IF(AND(Painel_diario!$H3155="EU_JU",Painel_diario!$J3155=1),EXP(Painel_diario!$L3155),1)-1</f>
        <v/>
      </c>
      <c r="D3159" s="22">
        <f>(1+D3158)*IF(AND(Painel_diario!$H3155="ED_JD",Painel_diario!$J3155=1),EXP(Painel_diario!$L3155),1)-1</f>
        <v/>
      </c>
      <c r="E3159" s="22">
        <f>(1+E3158)*IF(AND(Painel_diario!$H3155="ED_JU",Painel_diario!$J3155=1),EXP(Painel_diario!$L3155),1)-1</f>
        <v/>
      </c>
    </row>
    <row r="3160">
      <c r="A3160" s="25" t="n">
        <v>43486</v>
      </c>
      <c r="B3160" s="22">
        <f>(1+B3159)*IF(AND(Painel_diario!$H3156="EU_JD",Painel_diario!$J3156=1),EXP(Painel_diario!$L3156),1)-1</f>
        <v/>
      </c>
      <c r="C3160" s="22">
        <f>(1+C3159)*IF(AND(Painel_diario!$H3156="EU_JU",Painel_diario!$J3156=1),EXP(Painel_diario!$L3156),1)-1</f>
        <v/>
      </c>
      <c r="D3160" s="22">
        <f>(1+D3159)*IF(AND(Painel_diario!$H3156="ED_JD",Painel_diario!$J3156=1),EXP(Painel_diario!$L3156),1)-1</f>
        <v/>
      </c>
      <c r="E3160" s="22">
        <f>(1+E3159)*IF(AND(Painel_diario!$H3156="ED_JU",Painel_diario!$J3156=1),EXP(Painel_diario!$L3156),1)-1</f>
        <v/>
      </c>
    </row>
    <row r="3161">
      <c r="A3161" s="25" t="n">
        <v>43487</v>
      </c>
      <c r="B3161" s="22">
        <f>(1+B3160)*IF(AND(Painel_diario!$H3157="EU_JD",Painel_diario!$J3157=1),EXP(Painel_diario!$L3157),1)-1</f>
        <v/>
      </c>
      <c r="C3161" s="22">
        <f>(1+C3160)*IF(AND(Painel_diario!$H3157="EU_JU",Painel_diario!$J3157=1),EXP(Painel_diario!$L3157),1)-1</f>
        <v/>
      </c>
      <c r="D3161" s="22">
        <f>(1+D3160)*IF(AND(Painel_diario!$H3157="ED_JD",Painel_diario!$J3157=1),EXP(Painel_diario!$L3157),1)-1</f>
        <v/>
      </c>
      <c r="E3161" s="22">
        <f>(1+E3160)*IF(AND(Painel_diario!$H3157="ED_JU",Painel_diario!$J3157=1),EXP(Painel_diario!$L3157),1)-1</f>
        <v/>
      </c>
    </row>
    <row r="3162">
      <c r="A3162" s="25" t="n">
        <v>43488</v>
      </c>
      <c r="B3162" s="22">
        <f>(1+B3161)*IF(AND(Painel_diario!$H3158="EU_JD",Painel_diario!$J3158=1),EXP(Painel_diario!$L3158),1)-1</f>
        <v/>
      </c>
      <c r="C3162" s="22">
        <f>(1+C3161)*IF(AND(Painel_diario!$H3158="EU_JU",Painel_diario!$J3158=1),EXP(Painel_diario!$L3158),1)-1</f>
        <v/>
      </c>
      <c r="D3162" s="22">
        <f>(1+D3161)*IF(AND(Painel_diario!$H3158="ED_JD",Painel_diario!$J3158=1),EXP(Painel_diario!$L3158),1)-1</f>
        <v/>
      </c>
      <c r="E3162" s="22">
        <f>(1+E3161)*IF(AND(Painel_diario!$H3158="ED_JU",Painel_diario!$J3158=1),EXP(Painel_diario!$L3158),1)-1</f>
        <v/>
      </c>
    </row>
    <row r="3163">
      <c r="A3163" s="25" t="n">
        <v>43489</v>
      </c>
      <c r="B3163" s="22">
        <f>(1+B3162)*IF(AND(Painel_diario!$H3159="EU_JD",Painel_diario!$J3159=1),EXP(Painel_diario!$L3159),1)-1</f>
        <v/>
      </c>
      <c r="C3163" s="22">
        <f>(1+C3162)*IF(AND(Painel_diario!$H3159="EU_JU",Painel_diario!$J3159=1),EXP(Painel_diario!$L3159),1)-1</f>
        <v/>
      </c>
      <c r="D3163" s="22">
        <f>(1+D3162)*IF(AND(Painel_diario!$H3159="ED_JD",Painel_diario!$J3159=1),EXP(Painel_diario!$L3159),1)-1</f>
        <v/>
      </c>
      <c r="E3163" s="22">
        <f>(1+E3162)*IF(AND(Painel_diario!$H3159="ED_JU",Painel_diario!$J3159=1),EXP(Painel_diario!$L3159),1)-1</f>
        <v/>
      </c>
    </row>
    <row r="3164">
      <c r="A3164" s="25" t="n">
        <v>43493</v>
      </c>
      <c r="B3164" s="22">
        <f>(1+B3163)*IF(AND(Painel_diario!$H3160="EU_JD",Painel_diario!$J3160=1),EXP(Painel_diario!$L3160),1)-1</f>
        <v/>
      </c>
      <c r="C3164" s="22">
        <f>(1+C3163)*IF(AND(Painel_diario!$H3160="EU_JU",Painel_diario!$J3160=1),EXP(Painel_diario!$L3160),1)-1</f>
        <v/>
      </c>
      <c r="D3164" s="22">
        <f>(1+D3163)*IF(AND(Painel_diario!$H3160="ED_JD",Painel_diario!$J3160=1),EXP(Painel_diario!$L3160),1)-1</f>
        <v/>
      </c>
      <c r="E3164" s="22">
        <f>(1+E3163)*IF(AND(Painel_diario!$H3160="ED_JU",Painel_diario!$J3160=1),EXP(Painel_diario!$L3160),1)-1</f>
        <v/>
      </c>
    </row>
    <row r="3165">
      <c r="A3165" s="25" t="n">
        <v>43494</v>
      </c>
      <c r="B3165" s="22">
        <f>(1+B3164)*IF(AND(Painel_diario!$H3161="EU_JD",Painel_diario!$J3161=1),EXP(Painel_diario!$L3161),1)-1</f>
        <v/>
      </c>
      <c r="C3165" s="22">
        <f>(1+C3164)*IF(AND(Painel_diario!$H3161="EU_JU",Painel_diario!$J3161=1),EXP(Painel_diario!$L3161),1)-1</f>
        <v/>
      </c>
      <c r="D3165" s="22">
        <f>(1+D3164)*IF(AND(Painel_diario!$H3161="ED_JD",Painel_diario!$J3161=1),EXP(Painel_diario!$L3161),1)-1</f>
        <v/>
      </c>
      <c r="E3165" s="22">
        <f>(1+E3164)*IF(AND(Painel_diario!$H3161="ED_JU",Painel_diario!$J3161=1),EXP(Painel_diario!$L3161),1)-1</f>
        <v/>
      </c>
    </row>
    <row r="3166">
      <c r="A3166" s="25" t="n">
        <v>43495</v>
      </c>
      <c r="B3166" s="22">
        <f>(1+B3165)*IF(AND(Painel_diario!$H3162="EU_JD",Painel_diario!$J3162=1),EXP(Painel_diario!$L3162),1)-1</f>
        <v/>
      </c>
      <c r="C3166" s="22">
        <f>(1+C3165)*IF(AND(Painel_diario!$H3162="EU_JU",Painel_diario!$J3162=1),EXP(Painel_diario!$L3162),1)-1</f>
        <v/>
      </c>
      <c r="D3166" s="22">
        <f>(1+D3165)*IF(AND(Painel_diario!$H3162="ED_JD",Painel_diario!$J3162=1),EXP(Painel_diario!$L3162),1)-1</f>
        <v/>
      </c>
      <c r="E3166" s="22">
        <f>(1+E3165)*IF(AND(Painel_diario!$H3162="ED_JU",Painel_diario!$J3162=1),EXP(Painel_diario!$L3162),1)-1</f>
        <v/>
      </c>
    </row>
    <row r="3167">
      <c r="A3167" s="25" t="n">
        <v>43496</v>
      </c>
      <c r="B3167" s="22">
        <f>(1+B3166)*IF(AND(Painel_diario!$H3163="EU_JD",Painel_diario!$J3163=1),EXP(Painel_diario!$L3163),1)-1</f>
        <v/>
      </c>
      <c r="C3167" s="22">
        <f>(1+C3166)*IF(AND(Painel_diario!$H3163="EU_JU",Painel_diario!$J3163=1),EXP(Painel_diario!$L3163),1)-1</f>
        <v/>
      </c>
      <c r="D3167" s="22">
        <f>(1+D3166)*IF(AND(Painel_diario!$H3163="ED_JD",Painel_diario!$J3163=1),EXP(Painel_diario!$L3163),1)-1</f>
        <v/>
      </c>
      <c r="E3167" s="22">
        <f>(1+E3166)*IF(AND(Painel_diario!$H3163="ED_JU",Painel_diario!$J3163=1),EXP(Painel_diario!$L3163),1)-1</f>
        <v/>
      </c>
    </row>
    <row r="3168">
      <c r="A3168" s="25" t="n">
        <v>43497</v>
      </c>
      <c r="B3168" s="22">
        <f>(1+B3167)*IF(AND(Painel_diario!$H3164="EU_JD",Painel_diario!$J3164=1),EXP(Painel_diario!$L3164),1)-1</f>
        <v/>
      </c>
      <c r="C3168" s="22">
        <f>(1+C3167)*IF(AND(Painel_diario!$H3164="EU_JU",Painel_diario!$J3164=1),EXP(Painel_diario!$L3164),1)-1</f>
        <v/>
      </c>
      <c r="D3168" s="22">
        <f>(1+D3167)*IF(AND(Painel_diario!$H3164="ED_JD",Painel_diario!$J3164=1),EXP(Painel_diario!$L3164),1)-1</f>
        <v/>
      </c>
      <c r="E3168" s="22">
        <f>(1+E3167)*IF(AND(Painel_diario!$H3164="ED_JU",Painel_diario!$J3164=1),EXP(Painel_diario!$L3164),1)-1</f>
        <v/>
      </c>
    </row>
    <row r="3169">
      <c r="A3169" s="25" t="n">
        <v>43500</v>
      </c>
      <c r="B3169" s="22">
        <f>(1+B3168)*IF(AND(Painel_diario!$H3165="EU_JD",Painel_diario!$J3165=1),EXP(Painel_diario!$L3165),1)-1</f>
        <v/>
      </c>
      <c r="C3169" s="22">
        <f>(1+C3168)*IF(AND(Painel_diario!$H3165="EU_JU",Painel_diario!$J3165=1),EXP(Painel_diario!$L3165),1)-1</f>
        <v/>
      </c>
      <c r="D3169" s="22">
        <f>(1+D3168)*IF(AND(Painel_diario!$H3165="ED_JD",Painel_diario!$J3165=1),EXP(Painel_diario!$L3165),1)-1</f>
        <v/>
      </c>
      <c r="E3169" s="22">
        <f>(1+E3168)*IF(AND(Painel_diario!$H3165="ED_JU",Painel_diario!$J3165=1),EXP(Painel_diario!$L3165),1)-1</f>
        <v/>
      </c>
    </row>
    <row r="3170">
      <c r="A3170" s="25" t="n">
        <v>43501</v>
      </c>
      <c r="B3170" s="22">
        <f>(1+B3169)*IF(AND(Painel_diario!$H3166="EU_JD",Painel_diario!$J3166=1),EXP(Painel_diario!$L3166),1)-1</f>
        <v/>
      </c>
      <c r="C3170" s="22">
        <f>(1+C3169)*IF(AND(Painel_diario!$H3166="EU_JU",Painel_diario!$J3166=1),EXP(Painel_diario!$L3166),1)-1</f>
        <v/>
      </c>
      <c r="D3170" s="22">
        <f>(1+D3169)*IF(AND(Painel_diario!$H3166="ED_JD",Painel_diario!$J3166=1),EXP(Painel_diario!$L3166),1)-1</f>
        <v/>
      </c>
      <c r="E3170" s="22">
        <f>(1+E3169)*IF(AND(Painel_diario!$H3166="ED_JU",Painel_diario!$J3166=1),EXP(Painel_diario!$L3166),1)-1</f>
        <v/>
      </c>
    </row>
    <row r="3171">
      <c r="A3171" s="25" t="n">
        <v>43502</v>
      </c>
      <c r="B3171" s="22">
        <f>(1+B3170)*IF(AND(Painel_diario!$H3167="EU_JD",Painel_diario!$J3167=1),EXP(Painel_diario!$L3167),1)-1</f>
        <v/>
      </c>
      <c r="C3171" s="22">
        <f>(1+C3170)*IF(AND(Painel_diario!$H3167="EU_JU",Painel_diario!$J3167=1),EXP(Painel_diario!$L3167),1)-1</f>
        <v/>
      </c>
      <c r="D3171" s="22">
        <f>(1+D3170)*IF(AND(Painel_diario!$H3167="ED_JD",Painel_diario!$J3167=1),EXP(Painel_diario!$L3167),1)-1</f>
        <v/>
      </c>
      <c r="E3171" s="22">
        <f>(1+E3170)*IF(AND(Painel_diario!$H3167="ED_JU",Painel_diario!$J3167=1),EXP(Painel_diario!$L3167),1)-1</f>
        <v/>
      </c>
    </row>
    <row r="3172">
      <c r="A3172" s="25" t="n">
        <v>43503</v>
      </c>
      <c r="B3172" s="22">
        <f>(1+B3171)*IF(AND(Painel_diario!$H3168="EU_JD",Painel_diario!$J3168=1),EXP(Painel_diario!$L3168),1)-1</f>
        <v/>
      </c>
      <c r="C3172" s="22">
        <f>(1+C3171)*IF(AND(Painel_diario!$H3168="EU_JU",Painel_diario!$J3168=1),EXP(Painel_diario!$L3168),1)-1</f>
        <v/>
      </c>
      <c r="D3172" s="22">
        <f>(1+D3171)*IF(AND(Painel_diario!$H3168="ED_JD",Painel_diario!$J3168=1),EXP(Painel_diario!$L3168),1)-1</f>
        <v/>
      </c>
      <c r="E3172" s="22">
        <f>(1+E3171)*IF(AND(Painel_diario!$H3168="ED_JU",Painel_diario!$J3168=1),EXP(Painel_diario!$L3168),1)-1</f>
        <v/>
      </c>
    </row>
    <row r="3173">
      <c r="A3173" s="25" t="n">
        <v>43504</v>
      </c>
      <c r="B3173" s="22">
        <f>(1+B3172)*IF(AND(Painel_diario!$H3169="EU_JD",Painel_diario!$J3169=1),EXP(Painel_diario!$L3169),1)-1</f>
        <v/>
      </c>
      <c r="C3173" s="22">
        <f>(1+C3172)*IF(AND(Painel_diario!$H3169="EU_JU",Painel_diario!$J3169=1),EXP(Painel_diario!$L3169),1)-1</f>
        <v/>
      </c>
      <c r="D3173" s="22">
        <f>(1+D3172)*IF(AND(Painel_diario!$H3169="ED_JD",Painel_diario!$J3169=1),EXP(Painel_diario!$L3169),1)-1</f>
        <v/>
      </c>
      <c r="E3173" s="22">
        <f>(1+E3172)*IF(AND(Painel_diario!$H3169="ED_JU",Painel_diario!$J3169=1),EXP(Painel_diario!$L3169),1)-1</f>
        <v/>
      </c>
    </row>
    <row r="3174">
      <c r="A3174" s="25" t="n">
        <v>43507</v>
      </c>
      <c r="B3174" s="22">
        <f>(1+B3173)*IF(AND(Painel_diario!$H3170="EU_JD",Painel_diario!$J3170=1),EXP(Painel_diario!$L3170),1)-1</f>
        <v/>
      </c>
      <c r="C3174" s="22">
        <f>(1+C3173)*IF(AND(Painel_diario!$H3170="EU_JU",Painel_diario!$J3170=1),EXP(Painel_diario!$L3170),1)-1</f>
        <v/>
      </c>
      <c r="D3174" s="22">
        <f>(1+D3173)*IF(AND(Painel_diario!$H3170="ED_JD",Painel_diario!$J3170=1),EXP(Painel_diario!$L3170),1)-1</f>
        <v/>
      </c>
      <c r="E3174" s="22">
        <f>(1+E3173)*IF(AND(Painel_diario!$H3170="ED_JU",Painel_diario!$J3170=1),EXP(Painel_diario!$L3170),1)-1</f>
        <v/>
      </c>
    </row>
    <row r="3175">
      <c r="A3175" s="25" t="n">
        <v>43508</v>
      </c>
      <c r="B3175" s="22">
        <f>(1+B3174)*IF(AND(Painel_diario!$H3171="EU_JD",Painel_diario!$J3171=1),EXP(Painel_diario!$L3171),1)-1</f>
        <v/>
      </c>
      <c r="C3175" s="22">
        <f>(1+C3174)*IF(AND(Painel_diario!$H3171="EU_JU",Painel_diario!$J3171=1),EXP(Painel_diario!$L3171),1)-1</f>
        <v/>
      </c>
      <c r="D3175" s="22">
        <f>(1+D3174)*IF(AND(Painel_diario!$H3171="ED_JD",Painel_diario!$J3171=1),EXP(Painel_diario!$L3171),1)-1</f>
        <v/>
      </c>
      <c r="E3175" s="22">
        <f>(1+E3174)*IF(AND(Painel_diario!$H3171="ED_JU",Painel_diario!$J3171=1),EXP(Painel_diario!$L3171),1)-1</f>
        <v/>
      </c>
    </row>
    <row r="3176">
      <c r="A3176" s="25" t="n">
        <v>43509</v>
      </c>
      <c r="B3176" s="22">
        <f>(1+B3175)*IF(AND(Painel_diario!$H3172="EU_JD",Painel_diario!$J3172=1),EXP(Painel_diario!$L3172),1)-1</f>
        <v/>
      </c>
      <c r="C3176" s="22">
        <f>(1+C3175)*IF(AND(Painel_diario!$H3172="EU_JU",Painel_diario!$J3172=1),EXP(Painel_diario!$L3172),1)-1</f>
        <v/>
      </c>
      <c r="D3176" s="22">
        <f>(1+D3175)*IF(AND(Painel_diario!$H3172="ED_JD",Painel_diario!$J3172=1),EXP(Painel_diario!$L3172),1)-1</f>
        <v/>
      </c>
      <c r="E3176" s="22">
        <f>(1+E3175)*IF(AND(Painel_diario!$H3172="ED_JU",Painel_diario!$J3172=1),EXP(Painel_diario!$L3172),1)-1</f>
        <v/>
      </c>
    </row>
    <row r="3177">
      <c r="A3177" s="25" t="n">
        <v>43510</v>
      </c>
      <c r="B3177" s="22">
        <f>(1+B3176)*IF(AND(Painel_diario!$H3173="EU_JD",Painel_diario!$J3173=1),EXP(Painel_diario!$L3173),1)-1</f>
        <v/>
      </c>
      <c r="C3177" s="22">
        <f>(1+C3176)*IF(AND(Painel_diario!$H3173="EU_JU",Painel_diario!$J3173=1),EXP(Painel_diario!$L3173),1)-1</f>
        <v/>
      </c>
      <c r="D3177" s="22">
        <f>(1+D3176)*IF(AND(Painel_diario!$H3173="ED_JD",Painel_diario!$J3173=1),EXP(Painel_diario!$L3173),1)-1</f>
        <v/>
      </c>
      <c r="E3177" s="22">
        <f>(1+E3176)*IF(AND(Painel_diario!$H3173="ED_JU",Painel_diario!$J3173=1),EXP(Painel_diario!$L3173),1)-1</f>
        <v/>
      </c>
    </row>
    <row r="3178">
      <c r="A3178" s="25" t="n">
        <v>43511</v>
      </c>
      <c r="B3178" s="22">
        <f>(1+B3177)*IF(AND(Painel_diario!$H3174="EU_JD",Painel_diario!$J3174=1),EXP(Painel_diario!$L3174),1)-1</f>
        <v/>
      </c>
      <c r="C3178" s="22">
        <f>(1+C3177)*IF(AND(Painel_diario!$H3174="EU_JU",Painel_diario!$J3174=1),EXP(Painel_diario!$L3174),1)-1</f>
        <v/>
      </c>
      <c r="D3178" s="22">
        <f>(1+D3177)*IF(AND(Painel_diario!$H3174="ED_JD",Painel_diario!$J3174=1),EXP(Painel_diario!$L3174),1)-1</f>
        <v/>
      </c>
      <c r="E3178" s="22">
        <f>(1+E3177)*IF(AND(Painel_diario!$H3174="ED_JU",Painel_diario!$J3174=1),EXP(Painel_diario!$L3174),1)-1</f>
        <v/>
      </c>
    </row>
    <row r="3179">
      <c r="A3179" s="25" t="n">
        <v>43514</v>
      </c>
      <c r="B3179" s="22">
        <f>(1+B3178)*IF(AND(Painel_diario!$H3175="EU_JD",Painel_diario!$J3175=1),EXP(Painel_diario!$L3175),1)-1</f>
        <v/>
      </c>
      <c r="C3179" s="22">
        <f>(1+C3178)*IF(AND(Painel_diario!$H3175="EU_JU",Painel_diario!$J3175=1),EXP(Painel_diario!$L3175),1)-1</f>
        <v/>
      </c>
      <c r="D3179" s="22">
        <f>(1+D3178)*IF(AND(Painel_diario!$H3175="ED_JD",Painel_diario!$J3175=1),EXP(Painel_diario!$L3175),1)-1</f>
        <v/>
      </c>
      <c r="E3179" s="22">
        <f>(1+E3178)*IF(AND(Painel_diario!$H3175="ED_JU",Painel_diario!$J3175=1),EXP(Painel_diario!$L3175),1)-1</f>
        <v/>
      </c>
    </row>
    <row r="3180">
      <c r="A3180" s="25" t="n">
        <v>43515</v>
      </c>
      <c r="B3180" s="22">
        <f>(1+B3179)*IF(AND(Painel_diario!$H3176="EU_JD",Painel_diario!$J3176=1),EXP(Painel_diario!$L3176),1)-1</f>
        <v/>
      </c>
      <c r="C3180" s="22">
        <f>(1+C3179)*IF(AND(Painel_diario!$H3176="EU_JU",Painel_diario!$J3176=1),EXP(Painel_diario!$L3176),1)-1</f>
        <v/>
      </c>
      <c r="D3180" s="22">
        <f>(1+D3179)*IF(AND(Painel_diario!$H3176="ED_JD",Painel_diario!$J3176=1),EXP(Painel_diario!$L3176),1)-1</f>
        <v/>
      </c>
      <c r="E3180" s="22">
        <f>(1+E3179)*IF(AND(Painel_diario!$H3176="ED_JU",Painel_diario!$J3176=1),EXP(Painel_diario!$L3176),1)-1</f>
        <v/>
      </c>
    </row>
    <row r="3181">
      <c r="A3181" s="25" t="n">
        <v>43516</v>
      </c>
      <c r="B3181" s="22">
        <f>(1+B3180)*IF(AND(Painel_diario!$H3177="EU_JD",Painel_diario!$J3177=1),EXP(Painel_diario!$L3177),1)-1</f>
        <v/>
      </c>
      <c r="C3181" s="22">
        <f>(1+C3180)*IF(AND(Painel_diario!$H3177="EU_JU",Painel_diario!$J3177=1),EXP(Painel_diario!$L3177),1)-1</f>
        <v/>
      </c>
      <c r="D3181" s="22">
        <f>(1+D3180)*IF(AND(Painel_diario!$H3177="ED_JD",Painel_diario!$J3177=1),EXP(Painel_diario!$L3177),1)-1</f>
        <v/>
      </c>
      <c r="E3181" s="22">
        <f>(1+E3180)*IF(AND(Painel_diario!$H3177="ED_JU",Painel_diario!$J3177=1),EXP(Painel_diario!$L3177),1)-1</f>
        <v/>
      </c>
    </row>
    <row r="3182">
      <c r="A3182" s="25" t="n">
        <v>43517</v>
      </c>
      <c r="B3182" s="22">
        <f>(1+B3181)*IF(AND(Painel_diario!$H3178="EU_JD",Painel_diario!$J3178=1),EXP(Painel_diario!$L3178),1)-1</f>
        <v/>
      </c>
      <c r="C3182" s="22">
        <f>(1+C3181)*IF(AND(Painel_diario!$H3178="EU_JU",Painel_diario!$J3178=1),EXP(Painel_diario!$L3178),1)-1</f>
        <v/>
      </c>
      <c r="D3182" s="22">
        <f>(1+D3181)*IF(AND(Painel_diario!$H3178="ED_JD",Painel_diario!$J3178=1),EXP(Painel_diario!$L3178),1)-1</f>
        <v/>
      </c>
      <c r="E3182" s="22">
        <f>(1+E3181)*IF(AND(Painel_diario!$H3178="ED_JU",Painel_diario!$J3178=1),EXP(Painel_diario!$L3178),1)-1</f>
        <v/>
      </c>
    </row>
    <row r="3183">
      <c r="A3183" s="25" t="n">
        <v>43518</v>
      </c>
      <c r="B3183" s="22">
        <f>(1+B3182)*IF(AND(Painel_diario!$H3179="EU_JD",Painel_diario!$J3179=1),EXP(Painel_diario!$L3179),1)-1</f>
        <v/>
      </c>
      <c r="C3183" s="22">
        <f>(1+C3182)*IF(AND(Painel_diario!$H3179="EU_JU",Painel_diario!$J3179=1),EXP(Painel_diario!$L3179),1)-1</f>
        <v/>
      </c>
      <c r="D3183" s="22">
        <f>(1+D3182)*IF(AND(Painel_diario!$H3179="ED_JD",Painel_diario!$J3179=1),EXP(Painel_diario!$L3179),1)-1</f>
        <v/>
      </c>
      <c r="E3183" s="22">
        <f>(1+E3182)*IF(AND(Painel_diario!$H3179="ED_JU",Painel_diario!$J3179=1),EXP(Painel_diario!$L3179),1)-1</f>
        <v/>
      </c>
    </row>
    <row r="3184">
      <c r="A3184" s="25" t="n">
        <v>43521</v>
      </c>
      <c r="B3184" s="22">
        <f>(1+B3183)*IF(AND(Painel_diario!$H3180="EU_JD",Painel_diario!$J3180=1),EXP(Painel_diario!$L3180),1)-1</f>
        <v/>
      </c>
      <c r="C3184" s="22">
        <f>(1+C3183)*IF(AND(Painel_diario!$H3180="EU_JU",Painel_diario!$J3180=1),EXP(Painel_diario!$L3180),1)-1</f>
        <v/>
      </c>
      <c r="D3184" s="22">
        <f>(1+D3183)*IF(AND(Painel_diario!$H3180="ED_JD",Painel_diario!$J3180=1),EXP(Painel_diario!$L3180),1)-1</f>
        <v/>
      </c>
      <c r="E3184" s="22">
        <f>(1+E3183)*IF(AND(Painel_diario!$H3180="ED_JU",Painel_diario!$J3180=1),EXP(Painel_diario!$L3180),1)-1</f>
        <v/>
      </c>
    </row>
    <row r="3185">
      <c r="A3185" s="25" t="n">
        <v>43522</v>
      </c>
      <c r="B3185" s="22">
        <f>(1+B3184)*IF(AND(Painel_diario!$H3181="EU_JD",Painel_diario!$J3181=1),EXP(Painel_diario!$L3181),1)-1</f>
        <v/>
      </c>
      <c r="C3185" s="22">
        <f>(1+C3184)*IF(AND(Painel_diario!$H3181="EU_JU",Painel_diario!$J3181=1),EXP(Painel_diario!$L3181),1)-1</f>
        <v/>
      </c>
      <c r="D3185" s="22">
        <f>(1+D3184)*IF(AND(Painel_diario!$H3181="ED_JD",Painel_diario!$J3181=1),EXP(Painel_diario!$L3181),1)-1</f>
        <v/>
      </c>
      <c r="E3185" s="22">
        <f>(1+E3184)*IF(AND(Painel_diario!$H3181="ED_JU",Painel_diario!$J3181=1),EXP(Painel_diario!$L3181),1)-1</f>
        <v/>
      </c>
    </row>
    <row r="3186">
      <c r="A3186" s="25" t="n">
        <v>43523</v>
      </c>
      <c r="B3186" s="22">
        <f>(1+B3185)*IF(AND(Painel_diario!$H3182="EU_JD",Painel_diario!$J3182=1),EXP(Painel_diario!$L3182),1)-1</f>
        <v/>
      </c>
      <c r="C3186" s="22">
        <f>(1+C3185)*IF(AND(Painel_diario!$H3182="EU_JU",Painel_diario!$J3182=1),EXP(Painel_diario!$L3182),1)-1</f>
        <v/>
      </c>
      <c r="D3186" s="22">
        <f>(1+D3185)*IF(AND(Painel_diario!$H3182="ED_JD",Painel_diario!$J3182=1),EXP(Painel_diario!$L3182),1)-1</f>
        <v/>
      </c>
      <c r="E3186" s="22">
        <f>(1+E3185)*IF(AND(Painel_diario!$H3182="ED_JU",Painel_diario!$J3182=1),EXP(Painel_diario!$L3182),1)-1</f>
        <v/>
      </c>
    </row>
    <row r="3187">
      <c r="A3187" s="25" t="n">
        <v>43524</v>
      </c>
      <c r="B3187" s="22">
        <f>(1+B3186)*IF(AND(Painel_diario!$H3183="EU_JD",Painel_diario!$J3183=1),EXP(Painel_diario!$L3183),1)-1</f>
        <v/>
      </c>
      <c r="C3187" s="22">
        <f>(1+C3186)*IF(AND(Painel_diario!$H3183="EU_JU",Painel_diario!$J3183=1),EXP(Painel_diario!$L3183),1)-1</f>
        <v/>
      </c>
      <c r="D3187" s="22">
        <f>(1+D3186)*IF(AND(Painel_diario!$H3183="ED_JD",Painel_diario!$J3183=1),EXP(Painel_diario!$L3183),1)-1</f>
        <v/>
      </c>
      <c r="E3187" s="22">
        <f>(1+E3186)*IF(AND(Painel_diario!$H3183="ED_JU",Painel_diario!$J3183=1),EXP(Painel_diario!$L3183),1)-1</f>
        <v/>
      </c>
    </row>
    <row r="3188">
      <c r="A3188" s="25" t="n">
        <v>43525</v>
      </c>
      <c r="B3188" s="22">
        <f>(1+B3187)*IF(AND(Painel_diario!$H3184="EU_JD",Painel_diario!$J3184=1),EXP(Painel_diario!$L3184),1)-1</f>
        <v/>
      </c>
      <c r="C3188" s="22">
        <f>(1+C3187)*IF(AND(Painel_diario!$H3184="EU_JU",Painel_diario!$J3184=1),EXP(Painel_diario!$L3184),1)-1</f>
        <v/>
      </c>
      <c r="D3188" s="22">
        <f>(1+D3187)*IF(AND(Painel_diario!$H3184="ED_JD",Painel_diario!$J3184=1),EXP(Painel_diario!$L3184),1)-1</f>
        <v/>
      </c>
      <c r="E3188" s="22">
        <f>(1+E3187)*IF(AND(Painel_diario!$H3184="ED_JU",Painel_diario!$J3184=1),EXP(Painel_diario!$L3184),1)-1</f>
        <v/>
      </c>
    </row>
    <row r="3189">
      <c r="A3189" s="25" t="n">
        <v>43530</v>
      </c>
      <c r="B3189" s="22">
        <f>(1+B3188)*IF(AND(Painel_diario!$H3185="EU_JD",Painel_diario!$J3185=1),EXP(Painel_diario!$L3185),1)-1</f>
        <v/>
      </c>
      <c r="C3189" s="22">
        <f>(1+C3188)*IF(AND(Painel_diario!$H3185="EU_JU",Painel_diario!$J3185=1),EXP(Painel_diario!$L3185),1)-1</f>
        <v/>
      </c>
      <c r="D3189" s="22">
        <f>(1+D3188)*IF(AND(Painel_diario!$H3185="ED_JD",Painel_diario!$J3185=1),EXP(Painel_diario!$L3185),1)-1</f>
        <v/>
      </c>
      <c r="E3189" s="22">
        <f>(1+E3188)*IF(AND(Painel_diario!$H3185="ED_JU",Painel_diario!$J3185=1),EXP(Painel_diario!$L3185),1)-1</f>
        <v/>
      </c>
    </row>
    <row r="3190">
      <c r="A3190" s="25" t="n">
        <v>43531</v>
      </c>
      <c r="B3190" s="22">
        <f>(1+B3189)*IF(AND(Painel_diario!$H3186="EU_JD",Painel_diario!$J3186=1),EXP(Painel_diario!$L3186),1)-1</f>
        <v/>
      </c>
      <c r="C3190" s="22">
        <f>(1+C3189)*IF(AND(Painel_diario!$H3186="EU_JU",Painel_diario!$J3186=1),EXP(Painel_diario!$L3186),1)-1</f>
        <v/>
      </c>
      <c r="D3190" s="22">
        <f>(1+D3189)*IF(AND(Painel_diario!$H3186="ED_JD",Painel_diario!$J3186=1),EXP(Painel_diario!$L3186),1)-1</f>
        <v/>
      </c>
      <c r="E3190" s="22">
        <f>(1+E3189)*IF(AND(Painel_diario!$H3186="ED_JU",Painel_diario!$J3186=1),EXP(Painel_diario!$L3186),1)-1</f>
        <v/>
      </c>
    </row>
    <row r="3191">
      <c r="A3191" s="25" t="n">
        <v>43532</v>
      </c>
      <c r="B3191" s="22">
        <f>(1+B3190)*IF(AND(Painel_diario!$H3187="EU_JD",Painel_diario!$J3187=1),EXP(Painel_diario!$L3187),1)-1</f>
        <v/>
      </c>
      <c r="C3191" s="22">
        <f>(1+C3190)*IF(AND(Painel_diario!$H3187="EU_JU",Painel_diario!$J3187=1),EXP(Painel_diario!$L3187),1)-1</f>
        <v/>
      </c>
      <c r="D3191" s="22">
        <f>(1+D3190)*IF(AND(Painel_diario!$H3187="ED_JD",Painel_diario!$J3187=1),EXP(Painel_diario!$L3187),1)-1</f>
        <v/>
      </c>
      <c r="E3191" s="22">
        <f>(1+E3190)*IF(AND(Painel_diario!$H3187="ED_JU",Painel_diario!$J3187=1),EXP(Painel_diario!$L3187),1)-1</f>
        <v/>
      </c>
    </row>
    <row r="3192">
      <c r="A3192" s="25" t="n">
        <v>43535</v>
      </c>
      <c r="B3192" s="22">
        <f>(1+B3191)*IF(AND(Painel_diario!$H3188="EU_JD",Painel_diario!$J3188=1),EXP(Painel_diario!$L3188),1)-1</f>
        <v/>
      </c>
      <c r="C3192" s="22">
        <f>(1+C3191)*IF(AND(Painel_diario!$H3188="EU_JU",Painel_diario!$J3188=1),EXP(Painel_diario!$L3188),1)-1</f>
        <v/>
      </c>
      <c r="D3192" s="22">
        <f>(1+D3191)*IF(AND(Painel_diario!$H3188="ED_JD",Painel_diario!$J3188=1),EXP(Painel_diario!$L3188),1)-1</f>
        <v/>
      </c>
      <c r="E3192" s="22">
        <f>(1+E3191)*IF(AND(Painel_diario!$H3188="ED_JU",Painel_diario!$J3188=1),EXP(Painel_diario!$L3188),1)-1</f>
        <v/>
      </c>
    </row>
    <row r="3193">
      <c r="A3193" s="25" t="n">
        <v>43536</v>
      </c>
      <c r="B3193" s="22">
        <f>(1+B3192)*IF(AND(Painel_diario!$H3189="EU_JD",Painel_diario!$J3189=1),EXP(Painel_diario!$L3189),1)-1</f>
        <v/>
      </c>
      <c r="C3193" s="22">
        <f>(1+C3192)*IF(AND(Painel_diario!$H3189="EU_JU",Painel_diario!$J3189=1),EXP(Painel_diario!$L3189),1)-1</f>
        <v/>
      </c>
      <c r="D3193" s="22">
        <f>(1+D3192)*IF(AND(Painel_diario!$H3189="ED_JD",Painel_diario!$J3189=1),EXP(Painel_diario!$L3189),1)-1</f>
        <v/>
      </c>
      <c r="E3193" s="22">
        <f>(1+E3192)*IF(AND(Painel_diario!$H3189="ED_JU",Painel_diario!$J3189=1),EXP(Painel_diario!$L3189),1)-1</f>
        <v/>
      </c>
    </row>
    <row r="3194">
      <c r="A3194" s="25" t="n">
        <v>43537</v>
      </c>
      <c r="B3194" s="22">
        <f>(1+B3193)*IF(AND(Painel_diario!$H3190="EU_JD",Painel_diario!$J3190=1),EXP(Painel_diario!$L3190),1)-1</f>
        <v/>
      </c>
      <c r="C3194" s="22">
        <f>(1+C3193)*IF(AND(Painel_diario!$H3190="EU_JU",Painel_diario!$J3190=1),EXP(Painel_diario!$L3190),1)-1</f>
        <v/>
      </c>
      <c r="D3194" s="22">
        <f>(1+D3193)*IF(AND(Painel_diario!$H3190="ED_JD",Painel_diario!$J3190=1),EXP(Painel_diario!$L3190),1)-1</f>
        <v/>
      </c>
      <c r="E3194" s="22">
        <f>(1+E3193)*IF(AND(Painel_diario!$H3190="ED_JU",Painel_diario!$J3190=1),EXP(Painel_diario!$L3190),1)-1</f>
        <v/>
      </c>
    </row>
    <row r="3195">
      <c r="A3195" s="25" t="n">
        <v>43538</v>
      </c>
      <c r="B3195" s="22">
        <f>(1+B3194)*IF(AND(Painel_diario!$H3191="EU_JD",Painel_diario!$J3191=1),EXP(Painel_diario!$L3191),1)-1</f>
        <v/>
      </c>
      <c r="C3195" s="22">
        <f>(1+C3194)*IF(AND(Painel_diario!$H3191="EU_JU",Painel_diario!$J3191=1),EXP(Painel_diario!$L3191),1)-1</f>
        <v/>
      </c>
      <c r="D3195" s="22">
        <f>(1+D3194)*IF(AND(Painel_diario!$H3191="ED_JD",Painel_diario!$J3191=1),EXP(Painel_diario!$L3191),1)-1</f>
        <v/>
      </c>
      <c r="E3195" s="22">
        <f>(1+E3194)*IF(AND(Painel_diario!$H3191="ED_JU",Painel_diario!$J3191=1),EXP(Painel_diario!$L3191),1)-1</f>
        <v/>
      </c>
    </row>
    <row r="3196">
      <c r="A3196" s="25" t="n">
        <v>43539</v>
      </c>
      <c r="B3196" s="22">
        <f>(1+B3195)*IF(AND(Painel_diario!$H3192="EU_JD",Painel_diario!$J3192=1),EXP(Painel_diario!$L3192),1)-1</f>
        <v/>
      </c>
      <c r="C3196" s="22">
        <f>(1+C3195)*IF(AND(Painel_diario!$H3192="EU_JU",Painel_diario!$J3192=1),EXP(Painel_diario!$L3192),1)-1</f>
        <v/>
      </c>
      <c r="D3196" s="22">
        <f>(1+D3195)*IF(AND(Painel_diario!$H3192="ED_JD",Painel_diario!$J3192=1),EXP(Painel_diario!$L3192),1)-1</f>
        <v/>
      </c>
      <c r="E3196" s="22">
        <f>(1+E3195)*IF(AND(Painel_diario!$H3192="ED_JU",Painel_diario!$J3192=1),EXP(Painel_diario!$L3192),1)-1</f>
        <v/>
      </c>
    </row>
    <row r="3197">
      <c r="A3197" s="25" t="n">
        <v>43542</v>
      </c>
      <c r="B3197" s="22">
        <f>(1+B3196)*IF(AND(Painel_diario!$H3193="EU_JD",Painel_diario!$J3193=1),EXP(Painel_diario!$L3193),1)-1</f>
        <v/>
      </c>
      <c r="C3197" s="22">
        <f>(1+C3196)*IF(AND(Painel_diario!$H3193="EU_JU",Painel_diario!$J3193=1),EXP(Painel_diario!$L3193),1)-1</f>
        <v/>
      </c>
      <c r="D3197" s="22">
        <f>(1+D3196)*IF(AND(Painel_diario!$H3193="ED_JD",Painel_diario!$J3193=1),EXP(Painel_diario!$L3193),1)-1</f>
        <v/>
      </c>
      <c r="E3197" s="22">
        <f>(1+E3196)*IF(AND(Painel_diario!$H3193="ED_JU",Painel_diario!$J3193=1),EXP(Painel_diario!$L3193),1)-1</f>
        <v/>
      </c>
    </row>
    <row r="3198">
      <c r="A3198" s="25" t="n">
        <v>43543</v>
      </c>
      <c r="B3198" s="22">
        <f>(1+B3197)*IF(AND(Painel_diario!$H3194="EU_JD",Painel_diario!$J3194=1),EXP(Painel_diario!$L3194),1)-1</f>
        <v/>
      </c>
      <c r="C3198" s="22">
        <f>(1+C3197)*IF(AND(Painel_diario!$H3194="EU_JU",Painel_diario!$J3194=1),EXP(Painel_diario!$L3194),1)-1</f>
        <v/>
      </c>
      <c r="D3198" s="22">
        <f>(1+D3197)*IF(AND(Painel_diario!$H3194="ED_JD",Painel_diario!$J3194=1),EXP(Painel_diario!$L3194),1)-1</f>
        <v/>
      </c>
      <c r="E3198" s="22">
        <f>(1+E3197)*IF(AND(Painel_diario!$H3194="ED_JU",Painel_diario!$J3194=1),EXP(Painel_diario!$L3194),1)-1</f>
        <v/>
      </c>
    </row>
    <row r="3199">
      <c r="A3199" s="25" t="n">
        <v>43544</v>
      </c>
      <c r="B3199" s="22">
        <f>(1+B3198)*IF(AND(Painel_diario!$H3195="EU_JD",Painel_diario!$J3195=1),EXP(Painel_diario!$L3195),1)-1</f>
        <v/>
      </c>
      <c r="C3199" s="22">
        <f>(1+C3198)*IF(AND(Painel_diario!$H3195="EU_JU",Painel_diario!$J3195=1),EXP(Painel_diario!$L3195),1)-1</f>
        <v/>
      </c>
      <c r="D3199" s="22">
        <f>(1+D3198)*IF(AND(Painel_diario!$H3195="ED_JD",Painel_diario!$J3195=1),EXP(Painel_diario!$L3195),1)-1</f>
        <v/>
      </c>
      <c r="E3199" s="22">
        <f>(1+E3198)*IF(AND(Painel_diario!$H3195="ED_JU",Painel_diario!$J3195=1),EXP(Painel_diario!$L3195),1)-1</f>
        <v/>
      </c>
    </row>
    <row r="3200">
      <c r="A3200" s="25" t="n">
        <v>43545</v>
      </c>
      <c r="B3200" s="22">
        <f>(1+B3199)*IF(AND(Painel_diario!$H3196="EU_JD",Painel_diario!$J3196=1),EXP(Painel_diario!$L3196),1)-1</f>
        <v/>
      </c>
      <c r="C3200" s="22">
        <f>(1+C3199)*IF(AND(Painel_diario!$H3196="EU_JU",Painel_diario!$J3196=1),EXP(Painel_diario!$L3196),1)-1</f>
        <v/>
      </c>
      <c r="D3200" s="22">
        <f>(1+D3199)*IF(AND(Painel_diario!$H3196="ED_JD",Painel_diario!$J3196=1),EXP(Painel_diario!$L3196),1)-1</f>
        <v/>
      </c>
      <c r="E3200" s="22">
        <f>(1+E3199)*IF(AND(Painel_diario!$H3196="ED_JU",Painel_diario!$J3196=1),EXP(Painel_diario!$L3196),1)-1</f>
        <v/>
      </c>
    </row>
    <row r="3201">
      <c r="A3201" s="25" t="n">
        <v>43546</v>
      </c>
      <c r="B3201" s="22">
        <f>(1+B3200)*IF(AND(Painel_diario!$H3197="EU_JD",Painel_diario!$J3197=1),EXP(Painel_diario!$L3197),1)-1</f>
        <v/>
      </c>
      <c r="C3201" s="22">
        <f>(1+C3200)*IF(AND(Painel_diario!$H3197="EU_JU",Painel_diario!$J3197=1),EXP(Painel_diario!$L3197),1)-1</f>
        <v/>
      </c>
      <c r="D3201" s="22">
        <f>(1+D3200)*IF(AND(Painel_diario!$H3197="ED_JD",Painel_diario!$J3197=1),EXP(Painel_diario!$L3197),1)-1</f>
        <v/>
      </c>
      <c r="E3201" s="22">
        <f>(1+E3200)*IF(AND(Painel_diario!$H3197="ED_JU",Painel_diario!$J3197=1),EXP(Painel_diario!$L3197),1)-1</f>
        <v/>
      </c>
    </row>
    <row r="3202">
      <c r="A3202" s="25" t="n">
        <v>43549</v>
      </c>
      <c r="B3202" s="22">
        <f>(1+B3201)*IF(AND(Painel_diario!$H3198="EU_JD",Painel_diario!$J3198=1),EXP(Painel_diario!$L3198),1)-1</f>
        <v/>
      </c>
      <c r="C3202" s="22">
        <f>(1+C3201)*IF(AND(Painel_diario!$H3198="EU_JU",Painel_diario!$J3198=1),EXP(Painel_diario!$L3198),1)-1</f>
        <v/>
      </c>
      <c r="D3202" s="22">
        <f>(1+D3201)*IF(AND(Painel_diario!$H3198="ED_JD",Painel_diario!$J3198=1),EXP(Painel_diario!$L3198),1)-1</f>
        <v/>
      </c>
      <c r="E3202" s="22">
        <f>(1+E3201)*IF(AND(Painel_diario!$H3198="ED_JU",Painel_diario!$J3198=1),EXP(Painel_diario!$L3198),1)-1</f>
        <v/>
      </c>
    </row>
    <row r="3203">
      <c r="A3203" s="25" t="n">
        <v>43550</v>
      </c>
      <c r="B3203" s="22">
        <f>(1+B3202)*IF(AND(Painel_diario!$H3199="EU_JD",Painel_diario!$J3199=1),EXP(Painel_diario!$L3199),1)-1</f>
        <v/>
      </c>
      <c r="C3203" s="22">
        <f>(1+C3202)*IF(AND(Painel_diario!$H3199="EU_JU",Painel_diario!$J3199=1),EXP(Painel_diario!$L3199),1)-1</f>
        <v/>
      </c>
      <c r="D3203" s="22">
        <f>(1+D3202)*IF(AND(Painel_diario!$H3199="ED_JD",Painel_diario!$J3199=1),EXP(Painel_diario!$L3199),1)-1</f>
        <v/>
      </c>
      <c r="E3203" s="22">
        <f>(1+E3202)*IF(AND(Painel_diario!$H3199="ED_JU",Painel_diario!$J3199=1),EXP(Painel_diario!$L3199),1)-1</f>
        <v/>
      </c>
    </row>
    <row r="3204">
      <c r="A3204" s="25" t="n">
        <v>43551</v>
      </c>
      <c r="B3204" s="22">
        <f>(1+B3203)*IF(AND(Painel_diario!$H3200="EU_JD",Painel_diario!$J3200=1),EXP(Painel_diario!$L3200),1)-1</f>
        <v/>
      </c>
      <c r="C3204" s="22">
        <f>(1+C3203)*IF(AND(Painel_diario!$H3200="EU_JU",Painel_diario!$J3200=1),EXP(Painel_diario!$L3200),1)-1</f>
        <v/>
      </c>
      <c r="D3204" s="22">
        <f>(1+D3203)*IF(AND(Painel_diario!$H3200="ED_JD",Painel_diario!$J3200=1),EXP(Painel_diario!$L3200),1)-1</f>
        <v/>
      </c>
      <c r="E3204" s="22">
        <f>(1+E3203)*IF(AND(Painel_diario!$H3200="ED_JU",Painel_diario!$J3200=1),EXP(Painel_diario!$L3200),1)-1</f>
        <v/>
      </c>
    </row>
    <row r="3205">
      <c r="A3205" s="25" t="n">
        <v>43552</v>
      </c>
      <c r="B3205" s="22">
        <f>(1+B3204)*IF(AND(Painel_diario!$H3201="EU_JD",Painel_diario!$J3201=1),EXP(Painel_diario!$L3201),1)-1</f>
        <v/>
      </c>
      <c r="C3205" s="22">
        <f>(1+C3204)*IF(AND(Painel_diario!$H3201="EU_JU",Painel_diario!$J3201=1),EXP(Painel_diario!$L3201),1)-1</f>
        <v/>
      </c>
      <c r="D3205" s="22">
        <f>(1+D3204)*IF(AND(Painel_diario!$H3201="ED_JD",Painel_diario!$J3201=1),EXP(Painel_diario!$L3201),1)-1</f>
        <v/>
      </c>
      <c r="E3205" s="22">
        <f>(1+E3204)*IF(AND(Painel_diario!$H3201="ED_JU",Painel_diario!$J3201=1),EXP(Painel_diario!$L3201),1)-1</f>
        <v/>
      </c>
    </row>
    <row r="3206">
      <c r="A3206" s="25" t="n">
        <v>43553</v>
      </c>
      <c r="B3206" s="22">
        <f>(1+B3205)*IF(AND(Painel_diario!$H3202="EU_JD",Painel_diario!$J3202=1),EXP(Painel_diario!$L3202),1)-1</f>
        <v/>
      </c>
      <c r="C3206" s="22">
        <f>(1+C3205)*IF(AND(Painel_diario!$H3202="EU_JU",Painel_diario!$J3202=1),EXP(Painel_diario!$L3202),1)-1</f>
        <v/>
      </c>
      <c r="D3206" s="22">
        <f>(1+D3205)*IF(AND(Painel_diario!$H3202="ED_JD",Painel_diario!$J3202=1),EXP(Painel_diario!$L3202),1)-1</f>
        <v/>
      </c>
      <c r="E3206" s="22">
        <f>(1+E3205)*IF(AND(Painel_diario!$H3202="ED_JU",Painel_diario!$J3202=1),EXP(Painel_diario!$L3202),1)-1</f>
        <v/>
      </c>
    </row>
    <row r="3207">
      <c r="A3207" s="25" t="n">
        <v>43556</v>
      </c>
      <c r="B3207" s="22">
        <f>(1+B3206)*IF(AND(Painel_diario!$H3203="EU_JD",Painel_diario!$J3203=1),EXP(Painel_diario!$L3203),1)-1</f>
        <v/>
      </c>
      <c r="C3207" s="22">
        <f>(1+C3206)*IF(AND(Painel_diario!$H3203="EU_JU",Painel_diario!$J3203=1),EXP(Painel_diario!$L3203),1)-1</f>
        <v/>
      </c>
      <c r="D3207" s="22">
        <f>(1+D3206)*IF(AND(Painel_diario!$H3203="ED_JD",Painel_diario!$J3203=1),EXP(Painel_diario!$L3203),1)-1</f>
        <v/>
      </c>
      <c r="E3207" s="22">
        <f>(1+E3206)*IF(AND(Painel_diario!$H3203="ED_JU",Painel_diario!$J3203=1),EXP(Painel_diario!$L3203),1)-1</f>
        <v/>
      </c>
    </row>
    <row r="3208">
      <c r="A3208" s="25" t="n">
        <v>43557</v>
      </c>
      <c r="B3208" s="22">
        <f>(1+B3207)*IF(AND(Painel_diario!$H3204="EU_JD",Painel_diario!$J3204=1),EXP(Painel_diario!$L3204),1)-1</f>
        <v/>
      </c>
      <c r="C3208" s="22">
        <f>(1+C3207)*IF(AND(Painel_diario!$H3204="EU_JU",Painel_diario!$J3204=1),EXP(Painel_diario!$L3204),1)-1</f>
        <v/>
      </c>
      <c r="D3208" s="22">
        <f>(1+D3207)*IF(AND(Painel_diario!$H3204="ED_JD",Painel_diario!$J3204=1),EXP(Painel_diario!$L3204),1)-1</f>
        <v/>
      </c>
      <c r="E3208" s="22">
        <f>(1+E3207)*IF(AND(Painel_diario!$H3204="ED_JU",Painel_diario!$J3204=1),EXP(Painel_diario!$L3204),1)-1</f>
        <v/>
      </c>
    </row>
    <row r="3209">
      <c r="A3209" s="25" t="n">
        <v>43558</v>
      </c>
      <c r="B3209" s="22">
        <f>(1+B3208)*IF(AND(Painel_diario!$H3205="EU_JD",Painel_diario!$J3205=1),EXP(Painel_diario!$L3205),1)-1</f>
        <v/>
      </c>
      <c r="C3209" s="22">
        <f>(1+C3208)*IF(AND(Painel_diario!$H3205="EU_JU",Painel_diario!$J3205=1),EXP(Painel_diario!$L3205),1)-1</f>
        <v/>
      </c>
      <c r="D3209" s="22">
        <f>(1+D3208)*IF(AND(Painel_diario!$H3205="ED_JD",Painel_diario!$J3205=1),EXP(Painel_diario!$L3205),1)-1</f>
        <v/>
      </c>
      <c r="E3209" s="22">
        <f>(1+E3208)*IF(AND(Painel_diario!$H3205="ED_JU",Painel_diario!$J3205=1),EXP(Painel_diario!$L3205),1)-1</f>
        <v/>
      </c>
    </row>
    <row r="3210">
      <c r="A3210" s="25" t="n">
        <v>43559</v>
      </c>
      <c r="B3210" s="22">
        <f>(1+B3209)*IF(AND(Painel_diario!$H3206="EU_JD",Painel_diario!$J3206=1),EXP(Painel_diario!$L3206),1)-1</f>
        <v/>
      </c>
      <c r="C3210" s="22">
        <f>(1+C3209)*IF(AND(Painel_diario!$H3206="EU_JU",Painel_diario!$J3206=1),EXP(Painel_diario!$L3206),1)-1</f>
        <v/>
      </c>
      <c r="D3210" s="22">
        <f>(1+D3209)*IF(AND(Painel_diario!$H3206="ED_JD",Painel_diario!$J3206=1),EXP(Painel_diario!$L3206),1)-1</f>
        <v/>
      </c>
      <c r="E3210" s="22">
        <f>(1+E3209)*IF(AND(Painel_diario!$H3206="ED_JU",Painel_diario!$J3206=1),EXP(Painel_diario!$L3206),1)-1</f>
        <v/>
      </c>
    </row>
    <row r="3211">
      <c r="A3211" s="25" t="n">
        <v>43560</v>
      </c>
      <c r="B3211" s="22">
        <f>(1+B3210)*IF(AND(Painel_diario!$H3207="EU_JD",Painel_diario!$J3207=1),EXP(Painel_diario!$L3207),1)-1</f>
        <v/>
      </c>
      <c r="C3211" s="22">
        <f>(1+C3210)*IF(AND(Painel_diario!$H3207="EU_JU",Painel_diario!$J3207=1),EXP(Painel_diario!$L3207),1)-1</f>
        <v/>
      </c>
      <c r="D3211" s="22">
        <f>(1+D3210)*IF(AND(Painel_diario!$H3207="ED_JD",Painel_diario!$J3207=1),EXP(Painel_diario!$L3207),1)-1</f>
        <v/>
      </c>
      <c r="E3211" s="22">
        <f>(1+E3210)*IF(AND(Painel_diario!$H3207="ED_JU",Painel_diario!$J3207=1),EXP(Painel_diario!$L3207),1)-1</f>
        <v/>
      </c>
    </row>
    <row r="3212">
      <c r="A3212" s="25" t="n">
        <v>43563</v>
      </c>
      <c r="B3212" s="22">
        <f>(1+B3211)*IF(AND(Painel_diario!$H3208="EU_JD",Painel_diario!$J3208=1),EXP(Painel_diario!$L3208),1)-1</f>
        <v/>
      </c>
      <c r="C3212" s="22">
        <f>(1+C3211)*IF(AND(Painel_diario!$H3208="EU_JU",Painel_diario!$J3208=1),EXP(Painel_diario!$L3208),1)-1</f>
        <v/>
      </c>
      <c r="D3212" s="22">
        <f>(1+D3211)*IF(AND(Painel_diario!$H3208="ED_JD",Painel_diario!$J3208=1),EXP(Painel_diario!$L3208),1)-1</f>
        <v/>
      </c>
      <c r="E3212" s="22">
        <f>(1+E3211)*IF(AND(Painel_diario!$H3208="ED_JU",Painel_diario!$J3208=1),EXP(Painel_diario!$L3208),1)-1</f>
        <v/>
      </c>
    </row>
    <row r="3213">
      <c r="A3213" s="25" t="n">
        <v>43564</v>
      </c>
      <c r="B3213" s="22">
        <f>(1+B3212)*IF(AND(Painel_diario!$H3209="EU_JD",Painel_diario!$J3209=1),EXP(Painel_diario!$L3209),1)-1</f>
        <v/>
      </c>
      <c r="C3213" s="22">
        <f>(1+C3212)*IF(AND(Painel_diario!$H3209="EU_JU",Painel_diario!$J3209=1),EXP(Painel_diario!$L3209),1)-1</f>
        <v/>
      </c>
      <c r="D3213" s="22">
        <f>(1+D3212)*IF(AND(Painel_diario!$H3209="ED_JD",Painel_diario!$J3209=1),EXP(Painel_diario!$L3209),1)-1</f>
        <v/>
      </c>
      <c r="E3213" s="22">
        <f>(1+E3212)*IF(AND(Painel_diario!$H3209="ED_JU",Painel_diario!$J3209=1),EXP(Painel_diario!$L3209),1)-1</f>
        <v/>
      </c>
    </row>
    <row r="3214">
      <c r="A3214" s="25" t="n">
        <v>43565</v>
      </c>
      <c r="B3214" s="22">
        <f>(1+B3213)*IF(AND(Painel_diario!$H3210="EU_JD",Painel_diario!$J3210=1),EXP(Painel_diario!$L3210),1)-1</f>
        <v/>
      </c>
      <c r="C3214" s="22">
        <f>(1+C3213)*IF(AND(Painel_diario!$H3210="EU_JU",Painel_diario!$J3210=1),EXP(Painel_diario!$L3210),1)-1</f>
        <v/>
      </c>
      <c r="D3214" s="22">
        <f>(1+D3213)*IF(AND(Painel_diario!$H3210="ED_JD",Painel_diario!$J3210=1),EXP(Painel_diario!$L3210),1)-1</f>
        <v/>
      </c>
      <c r="E3214" s="22">
        <f>(1+E3213)*IF(AND(Painel_diario!$H3210="ED_JU",Painel_diario!$J3210=1),EXP(Painel_diario!$L3210),1)-1</f>
        <v/>
      </c>
    </row>
    <row r="3215">
      <c r="A3215" s="25" t="n">
        <v>43566</v>
      </c>
      <c r="B3215" s="22">
        <f>(1+B3214)*IF(AND(Painel_diario!$H3211="EU_JD",Painel_diario!$J3211=1),EXP(Painel_diario!$L3211),1)-1</f>
        <v/>
      </c>
      <c r="C3215" s="22">
        <f>(1+C3214)*IF(AND(Painel_diario!$H3211="EU_JU",Painel_diario!$J3211=1),EXP(Painel_diario!$L3211),1)-1</f>
        <v/>
      </c>
      <c r="D3215" s="22">
        <f>(1+D3214)*IF(AND(Painel_diario!$H3211="ED_JD",Painel_diario!$J3211=1),EXP(Painel_diario!$L3211),1)-1</f>
        <v/>
      </c>
      <c r="E3215" s="22">
        <f>(1+E3214)*IF(AND(Painel_diario!$H3211="ED_JU",Painel_diario!$J3211=1),EXP(Painel_diario!$L3211),1)-1</f>
        <v/>
      </c>
    </row>
    <row r="3216">
      <c r="A3216" s="25" t="n">
        <v>43567</v>
      </c>
      <c r="B3216" s="22">
        <f>(1+B3215)*IF(AND(Painel_diario!$H3212="EU_JD",Painel_diario!$J3212=1),EXP(Painel_diario!$L3212),1)-1</f>
        <v/>
      </c>
      <c r="C3216" s="22">
        <f>(1+C3215)*IF(AND(Painel_diario!$H3212="EU_JU",Painel_diario!$J3212=1),EXP(Painel_diario!$L3212),1)-1</f>
        <v/>
      </c>
      <c r="D3216" s="22">
        <f>(1+D3215)*IF(AND(Painel_diario!$H3212="ED_JD",Painel_diario!$J3212=1),EXP(Painel_diario!$L3212),1)-1</f>
        <v/>
      </c>
      <c r="E3216" s="22">
        <f>(1+E3215)*IF(AND(Painel_diario!$H3212="ED_JU",Painel_diario!$J3212=1),EXP(Painel_diario!$L3212),1)-1</f>
        <v/>
      </c>
    </row>
    <row r="3217">
      <c r="A3217" s="25" t="n">
        <v>43570</v>
      </c>
      <c r="B3217" s="22">
        <f>(1+B3216)*IF(AND(Painel_diario!$H3213="EU_JD",Painel_diario!$J3213=1),EXP(Painel_diario!$L3213),1)-1</f>
        <v/>
      </c>
      <c r="C3217" s="22">
        <f>(1+C3216)*IF(AND(Painel_diario!$H3213="EU_JU",Painel_diario!$J3213=1),EXP(Painel_diario!$L3213),1)-1</f>
        <v/>
      </c>
      <c r="D3217" s="22">
        <f>(1+D3216)*IF(AND(Painel_diario!$H3213="ED_JD",Painel_diario!$J3213=1),EXP(Painel_diario!$L3213),1)-1</f>
        <v/>
      </c>
      <c r="E3217" s="22">
        <f>(1+E3216)*IF(AND(Painel_diario!$H3213="ED_JU",Painel_diario!$J3213=1),EXP(Painel_diario!$L3213),1)-1</f>
        <v/>
      </c>
    </row>
    <row r="3218">
      <c r="A3218" s="25" t="n">
        <v>43571</v>
      </c>
      <c r="B3218" s="22">
        <f>(1+B3217)*IF(AND(Painel_diario!$H3214="EU_JD",Painel_diario!$J3214=1),EXP(Painel_diario!$L3214),1)-1</f>
        <v/>
      </c>
      <c r="C3218" s="22">
        <f>(1+C3217)*IF(AND(Painel_diario!$H3214="EU_JU",Painel_diario!$J3214=1),EXP(Painel_diario!$L3214),1)-1</f>
        <v/>
      </c>
      <c r="D3218" s="22">
        <f>(1+D3217)*IF(AND(Painel_diario!$H3214="ED_JD",Painel_diario!$J3214=1),EXP(Painel_diario!$L3214),1)-1</f>
        <v/>
      </c>
      <c r="E3218" s="22">
        <f>(1+E3217)*IF(AND(Painel_diario!$H3214="ED_JU",Painel_diario!$J3214=1),EXP(Painel_diario!$L3214),1)-1</f>
        <v/>
      </c>
    </row>
    <row r="3219">
      <c r="A3219" s="25" t="n">
        <v>43572</v>
      </c>
      <c r="B3219" s="22">
        <f>(1+B3218)*IF(AND(Painel_diario!$H3215="EU_JD",Painel_diario!$J3215=1),EXP(Painel_diario!$L3215),1)-1</f>
        <v/>
      </c>
      <c r="C3219" s="22">
        <f>(1+C3218)*IF(AND(Painel_diario!$H3215="EU_JU",Painel_diario!$J3215=1),EXP(Painel_diario!$L3215),1)-1</f>
        <v/>
      </c>
      <c r="D3219" s="22">
        <f>(1+D3218)*IF(AND(Painel_diario!$H3215="ED_JD",Painel_diario!$J3215=1),EXP(Painel_diario!$L3215),1)-1</f>
        <v/>
      </c>
      <c r="E3219" s="22">
        <f>(1+E3218)*IF(AND(Painel_diario!$H3215="ED_JU",Painel_diario!$J3215=1),EXP(Painel_diario!$L3215),1)-1</f>
        <v/>
      </c>
    </row>
    <row r="3220">
      <c r="A3220" s="25" t="n">
        <v>43573</v>
      </c>
      <c r="B3220" s="22">
        <f>(1+B3219)*IF(AND(Painel_diario!$H3216="EU_JD",Painel_diario!$J3216=1),EXP(Painel_diario!$L3216),1)-1</f>
        <v/>
      </c>
      <c r="C3220" s="22">
        <f>(1+C3219)*IF(AND(Painel_diario!$H3216="EU_JU",Painel_diario!$J3216=1),EXP(Painel_diario!$L3216),1)-1</f>
        <v/>
      </c>
      <c r="D3220" s="22">
        <f>(1+D3219)*IF(AND(Painel_diario!$H3216="ED_JD",Painel_diario!$J3216=1),EXP(Painel_diario!$L3216),1)-1</f>
        <v/>
      </c>
      <c r="E3220" s="22">
        <f>(1+E3219)*IF(AND(Painel_diario!$H3216="ED_JU",Painel_diario!$J3216=1),EXP(Painel_diario!$L3216),1)-1</f>
        <v/>
      </c>
    </row>
    <row r="3221">
      <c r="A3221" s="25" t="n">
        <v>43577</v>
      </c>
      <c r="B3221" s="22">
        <f>(1+B3220)*IF(AND(Painel_diario!$H3217="EU_JD",Painel_diario!$J3217=1),EXP(Painel_diario!$L3217),1)-1</f>
        <v/>
      </c>
      <c r="C3221" s="22">
        <f>(1+C3220)*IF(AND(Painel_diario!$H3217="EU_JU",Painel_diario!$J3217=1),EXP(Painel_diario!$L3217),1)-1</f>
        <v/>
      </c>
      <c r="D3221" s="22">
        <f>(1+D3220)*IF(AND(Painel_diario!$H3217="ED_JD",Painel_diario!$J3217=1),EXP(Painel_diario!$L3217),1)-1</f>
        <v/>
      </c>
      <c r="E3221" s="22">
        <f>(1+E3220)*IF(AND(Painel_diario!$H3217="ED_JU",Painel_diario!$J3217=1),EXP(Painel_diario!$L3217),1)-1</f>
        <v/>
      </c>
    </row>
    <row r="3222">
      <c r="A3222" s="25" t="n">
        <v>43578</v>
      </c>
      <c r="B3222" s="22">
        <f>(1+B3221)*IF(AND(Painel_diario!$H3218="EU_JD",Painel_diario!$J3218=1),EXP(Painel_diario!$L3218),1)-1</f>
        <v/>
      </c>
      <c r="C3222" s="22">
        <f>(1+C3221)*IF(AND(Painel_diario!$H3218="EU_JU",Painel_diario!$J3218=1),EXP(Painel_diario!$L3218),1)-1</f>
        <v/>
      </c>
      <c r="D3222" s="22">
        <f>(1+D3221)*IF(AND(Painel_diario!$H3218="ED_JD",Painel_diario!$J3218=1),EXP(Painel_diario!$L3218),1)-1</f>
        <v/>
      </c>
      <c r="E3222" s="22">
        <f>(1+E3221)*IF(AND(Painel_diario!$H3218="ED_JU",Painel_diario!$J3218=1),EXP(Painel_diario!$L3218),1)-1</f>
        <v/>
      </c>
    </row>
    <row r="3223">
      <c r="A3223" s="25" t="n">
        <v>43579</v>
      </c>
      <c r="B3223" s="22">
        <f>(1+B3222)*IF(AND(Painel_diario!$H3219="EU_JD",Painel_diario!$J3219=1),EXP(Painel_diario!$L3219),1)-1</f>
        <v/>
      </c>
      <c r="C3223" s="22">
        <f>(1+C3222)*IF(AND(Painel_diario!$H3219="EU_JU",Painel_diario!$J3219=1),EXP(Painel_diario!$L3219),1)-1</f>
        <v/>
      </c>
      <c r="D3223" s="22">
        <f>(1+D3222)*IF(AND(Painel_diario!$H3219="ED_JD",Painel_diario!$J3219=1),EXP(Painel_diario!$L3219),1)-1</f>
        <v/>
      </c>
      <c r="E3223" s="22">
        <f>(1+E3222)*IF(AND(Painel_diario!$H3219="ED_JU",Painel_diario!$J3219=1),EXP(Painel_diario!$L3219),1)-1</f>
        <v/>
      </c>
    </row>
    <row r="3224">
      <c r="A3224" s="25" t="n">
        <v>43580</v>
      </c>
      <c r="B3224" s="22">
        <f>(1+B3223)*IF(AND(Painel_diario!$H3220="EU_JD",Painel_diario!$J3220=1),EXP(Painel_diario!$L3220),1)-1</f>
        <v/>
      </c>
      <c r="C3224" s="22">
        <f>(1+C3223)*IF(AND(Painel_diario!$H3220="EU_JU",Painel_diario!$J3220=1),EXP(Painel_diario!$L3220),1)-1</f>
        <v/>
      </c>
      <c r="D3224" s="22">
        <f>(1+D3223)*IF(AND(Painel_diario!$H3220="ED_JD",Painel_diario!$J3220=1),EXP(Painel_diario!$L3220),1)-1</f>
        <v/>
      </c>
      <c r="E3224" s="22">
        <f>(1+E3223)*IF(AND(Painel_diario!$H3220="ED_JU",Painel_diario!$J3220=1),EXP(Painel_diario!$L3220),1)-1</f>
        <v/>
      </c>
    </row>
    <row r="3225">
      <c r="A3225" s="25" t="n">
        <v>43581</v>
      </c>
      <c r="B3225" s="22">
        <f>(1+B3224)*IF(AND(Painel_diario!$H3221="EU_JD",Painel_diario!$J3221=1),EXP(Painel_diario!$L3221),1)-1</f>
        <v/>
      </c>
      <c r="C3225" s="22">
        <f>(1+C3224)*IF(AND(Painel_diario!$H3221="EU_JU",Painel_diario!$J3221=1),EXP(Painel_diario!$L3221),1)-1</f>
        <v/>
      </c>
      <c r="D3225" s="22">
        <f>(1+D3224)*IF(AND(Painel_diario!$H3221="ED_JD",Painel_diario!$J3221=1),EXP(Painel_diario!$L3221),1)-1</f>
        <v/>
      </c>
      <c r="E3225" s="22">
        <f>(1+E3224)*IF(AND(Painel_diario!$H3221="ED_JU",Painel_diario!$J3221=1),EXP(Painel_diario!$L3221),1)-1</f>
        <v/>
      </c>
    </row>
    <row r="3226">
      <c r="A3226" s="25" t="n">
        <v>43584</v>
      </c>
      <c r="B3226" s="22">
        <f>(1+B3225)*IF(AND(Painel_diario!$H3222="EU_JD",Painel_diario!$J3222=1),EXP(Painel_diario!$L3222),1)-1</f>
        <v/>
      </c>
      <c r="C3226" s="22">
        <f>(1+C3225)*IF(AND(Painel_diario!$H3222="EU_JU",Painel_diario!$J3222=1),EXP(Painel_diario!$L3222),1)-1</f>
        <v/>
      </c>
      <c r="D3226" s="22">
        <f>(1+D3225)*IF(AND(Painel_diario!$H3222="ED_JD",Painel_diario!$J3222=1),EXP(Painel_diario!$L3222),1)-1</f>
        <v/>
      </c>
      <c r="E3226" s="22">
        <f>(1+E3225)*IF(AND(Painel_diario!$H3222="ED_JU",Painel_diario!$J3222=1),EXP(Painel_diario!$L3222),1)-1</f>
        <v/>
      </c>
    </row>
    <row r="3227">
      <c r="A3227" s="25" t="n">
        <v>43585</v>
      </c>
      <c r="B3227" s="22">
        <f>(1+B3226)*IF(AND(Painel_diario!$H3223="EU_JD",Painel_diario!$J3223=1),EXP(Painel_diario!$L3223),1)-1</f>
        <v/>
      </c>
      <c r="C3227" s="22">
        <f>(1+C3226)*IF(AND(Painel_diario!$H3223="EU_JU",Painel_diario!$J3223=1),EXP(Painel_diario!$L3223),1)-1</f>
        <v/>
      </c>
      <c r="D3227" s="22">
        <f>(1+D3226)*IF(AND(Painel_diario!$H3223="ED_JD",Painel_diario!$J3223=1),EXP(Painel_diario!$L3223),1)-1</f>
        <v/>
      </c>
      <c r="E3227" s="22">
        <f>(1+E3226)*IF(AND(Painel_diario!$H3223="ED_JU",Painel_diario!$J3223=1),EXP(Painel_diario!$L3223),1)-1</f>
        <v/>
      </c>
    </row>
    <row r="3228">
      <c r="A3228" s="25" t="n">
        <v>43587</v>
      </c>
      <c r="B3228" s="22">
        <f>(1+B3227)*IF(AND(Painel_diario!$H3224="EU_JD",Painel_diario!$J3224=1),EXP(Painel_diario!$L3224),1)-1</f>
        <v/>
      </c>
      <c r="C3228" s="22">
        <f>(1+C3227)*IF(AND(Painel_diario!$H3224="EU_JU",Painel_diario!$J3224=1),EXP(Painel_diario!$L3224),1)-1</f>
        <v/>
      </c>
      <c r="D3228" s="22">
        <f>(1+D3227)*IF(AND(Painel_diario!$H3224="ED_JD",Painel_diario!$J3224=1),EXP(Painel_diario!$L3224),1)-1</f>
        <v/>
      </c>
      <c r="E3228" s="22">
        <f>(1+E3227)*IF(AND(Painel_diario!$H3224="ED_JU",Painel_diario!$J3224=1),EXP(Painel_diario!$L3224),1)-1</f>
        <v/>
      </c>
    </row>
    <row r="3229">
      <c r="A3229" s="25" t="n">
        <v>43588</v>
      </c>
      <c r="B3229" s="22">
        <f>(1+B3228)*IF(AND(Painel_diario!$H3225="EU_JD",Painel_diario!$J3225=1),EXP(Painel_diario!$L3225),1)-1</f>
        <v/>
      </c>
      <c r="C3229" s="22">
        <f>(1+C3228)*IF(AND(Painel_diario!$H3225="EU_JU",Painel_diario!$J3225=1),EXP(Painel_diario!$L3225),1)-1</f>
        <v/>
      </c>
      <c r="D3229" s="22">
        <f>(1+D3228)*IF(AND(Painel_diario!$H3225="ED_JD",Painel_diario!$J3225=1),EXP(Painel_diario!$L3225),1)-1</f>
        <v/>
      </c>
      <c r="E3229" s="22">
        <f>(1+E3228)*IF(AND(Painel_diario!$H3225="ED_JU",Painel_diario!$J3225=1),EXP(Painel_diario!$L3225),1)-1</f>
        <v/>
      </c>
    </row>
    <row r="3230">
      <c r="A3230" s="25" t="n">
        <v>43591</v>
      </c>
      <c r="B3230" s="22">
        <f>(1+B3229)*IF(AND(Painel_diario!$H3226="EU_JD",Painel_diario!$J3226=1),EXP(Painel_diario!$L3226),1)-1</f>
        <v/>
      </c>
      <c r="C3230" s="22">
        <f>(1+C3229)*IF(AND(Painel_diario!$H3226="EU_JU",Painel_diario!$J3226=1),EXP(Painel_diario!$L3226),1)-1</f>
        <v/>
      </c>
      <c r="D3230" s="22">
        <f>(1+D3229)*IF(AND(Painel_diario!$H3226="ED_JD",Painel_diario!$J3226=1),EXP(Painel_diario!$L3226),1)-1</f>
        <v/>
      </c>
      <c r="E3230" s="22">
        <f>(1+E3229)*IF(AND(Painel_diario!$H3226="ED_JU",Painel_diario!$J3226=1),EXP(Painel_diario!$L3226),1)-1</f>
        <v/>
      </c>
    </row>
    <row r="3231">
      <c r="A3231" s="25" t="n">
        <v>43592</v>
      </c>
      <c r="B3231" s="22">
        <f>(1+B3230)*IF(AND(Painel_diario!$H3227="EU_JD",Painel_diario!$J3227=1),EXP(Painel_diario!$L3227),1)-1</f>
        <v/>
      </c>
      <c r="C3231" s="22">
        <f>(1+C3230)*IF(AND(Painel_diario!$H3227="EU_JU",Painel_diario!$J3227=1),EXP(Painel_diario!$L3227),1)-1</f>
        <v/>
      </c>
      <c r="D3231" s="22">
        <f>(1+D3230)*IF(AND(Painel_diario!$H3227="ED_JD",Painel_diario!$J3227=1),EXP(Painel_diario!$L3227),1)-1</f>
        <v/>
      </c>
      <c r="E3231" s="22">
        <f>(1+E3230)*IF(AND(Painel_diario!$H3227="ED_JU",Painel_diario!$J3227=1),EXP(Painel_diario!$L3227),1)-1</f>
        <v/>
      </c>
    </row>
    <row r="3232">
      <c r="A3232" s="25" t="n">
        <v>43593</v>
      </c>
      <c r="B3232" s="22">
        <f>(1+B3231)*IF(AND(Painel_diario!$H3228="EU_JD",Painel_diario!$J3228=1),EXP(Painel_diario!$L3228),1)-1</f>
        <v/>
      </c>
      <c r="C3232" s="22">
        <f>(1+C3231)*IF(AND(Painel_diario!$H3228="EU_JU",Painel_diario!$J3228=1),EXP(Painel_diario!$L3228),1)-1</f>
        <v/>
      </c>
      <c r="D3232" s="22">
        <f>(1+D3231)*IF(AND(Painel_diario!$H3228="ED_JD",Painel_diario!$J3228=1),EXP(Painel_diario!$L3228),1)-1</f>
        <v/>
      </c>
      <c r="E3232" s="22">
        <f>(1+E3231)*IF(AND(Painel_diario!$H3228="ED_JU",Painel_diario!$J3228=1),EXP(Painel_diario!$L3228),1)-1</f>
        <v/>
      </c>
    </row>
    <row r="3233">
      <c r="A3233" s="25" t="n">
        <v>43594</v>
      </c>
      <c r="B3233" s="22">
        <f>(1+B3232)*IF(AND(Painel_diario!$H3229="EU_JD",Painel_diario!$J3229=1),EXP(Painel_diario!$L3229),1)-1</f>
        <v/>
      </c>
      <c r="C3233" s="22">
        <f>(1+C3232)*IF(AND(Painel_diario!$H3229="EU_JU",Painel_diario!$J3229=1),EXP(Painel_diario!$L3229),1)-1</f>
        <v/>
      </c>
      <c r="D3233" s="22">
        <f>(1+D3232)*IF(AND(Painel_diario!$H3229="ED_JD",Painel_diario!$J3229=1),EXP(Painel_diario!$L3229),1)-1</f>
        <v/>
      </c>
      <c r="E3233" s="22">
        <f>(1+E3232)*IF(AND(Painel_diario!$H3229="ED_JU",Painel_diario!$J3229=1),EXP(Painel_diario!$L3229),1)-1</f>
        <v/>
      </c>
    </row>
    <row r="3234">
      <c r="A3234" s="25" t="n">
        <v>43595</v>
      </c>
      <c r="B3234" s="22">
        <f>(1+B3233)*IF(AND(Painel_diario!$H3230="EU_JD",Painel_diario!$J3230=1),EXP(Painel_diario!$L3230),1)-1</f>
        <v/>
      </c>
      <c r="C3234" s="22">
        <f>(1+C3233)*IF(AND(Painel_diario!$H3230="EU_JU",Painel_diario!$J3230=1),EXP(Painel_diario!$L3230),1)-1</f>
        <v/>
      </c>
      <c r="D3234" s="22">
        <f>(1+D3233)*IF(AND(Painel_diario!$H3230="ED_JD",Painel_diario!$J3230=1),EXP(Painel_diario!$L3230),1)-1</f>
        <v/>
      </c>
      <c r="E3234" s="22">
        <f>(1+E3233)*IF(AND(Painel_diario!$H3230="ED_JU",Painel_diario!$J3230=1),EXP(Painel_diario!$L3230),1)-1</f>
        <v/>
      </c>
    </row>
    <row r="3235">
      <c r="A3235" s="25" t="n">
        <v>43598</v>
      </c>
      <c r="B3235" s="22">
        <f>(1+B3234)*IF(AND(Painel_diario!$H3231="EU_JD",Painel_diario!$J3231=1),EXP(Painel_diario!$L3231),1)-1</f>
        <v/>
      </c>
      <c r="C3235" s="22">
        <f>(1+C3234)*IF(AND(Painel_diario!$H3231="EU_JU",Painel_diario!$J3231=1),EXP(Painel_diario!$L3231),1)-1</f>
        <v/>
      </c>
      <c r="D3235" s="22">
        <f>(1+D3234)*IF(AND(Painel_diario!$H3231="ED_JD",Painel_diario!$J3231=1),EXP(Painel_diario!$L3231),1)-1</f>
        <v/>
      </c>
      <c r="E3235" s="22">
        <f>(1+E3234)*IF(AND(Painel_diario!$H3231="ED_JU",Painel_diario!$J3231=1),EXP(Painel_diario!$L3231),1)-1</f>
        <v/>
      </c>
    </row>
    <row r="3236">
      <c r="A3236" s="25" t="n">
        <v>43599</v>
      </c>
      <c r="B3236" s="22">
        <f>(1+B3235)*IF(AND(Painel_diario!$H3232="EU_JD",Painel_diario!$J3232=1),EXP(Painel_diario!$L3232),1)-1</f>
        <v/>
      </c>
      <c r="C3236" s="22">
        <f>(1+C3235)*IF(AND(Painel_diario!$H3232="EU_JU",Painel_diario!$J3232=1),EXP(Painel_diario!$L3232),1)-1</f>
        <v/>
      </c>
      <c r="D3236" s="22">
        <f>(1+D3235)*IF(AND(Painel_diario!$H3232="ED_JD",Painel_diario!$J3232=1),EXP(Painel_diario!$L3232),1)-1</f>
        <v/>
      </c>
      <c r="E3236" s="22">
        <f>(1+E3235)*IF(AND(Painel_diario!$H3232="ED_JU",Painel_diario!$J3232=1),EXP(Painel_diario!$L3232),1)-1</f>
        <v/>
      </c>
    </row>
    <row r="3237">
      <c r="A3237" s="25" t="n">
        <v>43600</v>
      </c>
      <c r="B3237" s="22">
        <f>(1+B3236)*IF(AND(Painel_diario!$H3233="EU_JD",Painel_diario!$J3233=1),EXP(Painel_diario!$L3233),1)-1</f>
        <v/>
      </c>
      <c r="C3237" s="22">
        <f>(1+C3236)*IF(AND(Painel_diario!$H3233="EU_JU",Painel_diario!$J3233=1),EXP(Painel_diario!$L3233),1)-1</f>
        <v/>
      </c>
      <c r="D3237" s="22">
        <f>(1+D3236)*IF(AND(Painel_diario!$H3233="ED_JD",Painel_diario!$J3233=1),EXP(Painel_diario!$L3233),1)-1</f>
        <v/>
      </c>
      <c r="E3237" s="22">
        <f>(1+E3236)*IF(AND(Painel_diario!$H3233="ED_JU",Painel_diario!$J3233=1),EXP(Painel_diario!$L3233),1)-1</f>
        <v/>
      </c>
    </row>
    <row r="3238">
      <c r="A3238" s="25" t="n">
        <v>43601</v>
      </c>
      <c r="B3238" s="22">
        <f>(1+B3237)*IF(AND(Painel_diario!$H3234="EU_JD",Painel_diario!$J3234=1),EXP(Painel_diario!$L3234),1)-1</f>
        <v/>
      </c>
      <c r="C3238" s="22">
        <f>(1+C3237)*IF(AND(Painel_diario!$H3234="EU_JU",Painel_diario!$J3234=1),EXP(Painel_diario!$L3234),1)-1</f>
        <v/>
      </c>
      <c r="D3238" s="22">
        <f>(1+D3237)*IF(AND(Painel_diario!$H3234="ED_JD",Painel_diario!$J3234=1),EXP(Painel_diario!$L3234),1)-1</f>
        <v/>
      </c>
      <c r="E3238" s="22">
        <f>(1+E3237)*IF(AND(Painel_diario!$H3234="ED_JU",Painel_diario!$J3234=1),EXP(Painel_diario!$L3234),1)-1</f>
        <v/>
      </c>
    </row>
    <row r="3239">
      <c r="A3239" s="25" t="n">
        <v>43602</v>
      </c>
      <c r="B3239" s="22">
        <f>(1+B3238)*IF(AND(Painel_diario!$H3235="EU_JD",Painel_diario!$J3235=1),EXP(Painel_diario!$L3235),1)-1</f>
        <v/>
      </c>
      <c r="C3239" s="22">
        <f>(1+C3238)*IF(AND(Painel_diario!$H3235="EU_JU",Painel_diario!$J3235=1),EXP(Painel_diario!$L3235),1)-1</f>
        <v/>
      </c>
      <c r="D3239" s="22">
        <f>(1+D3238)*IF(AND(Painel_diario!$H3235="ED_JD",Painel_diario!$J3235=1),EXP(Painel_diario!$L3235),1)-1</f>
        <v/>
      </c>
      <c r="E3239" s="22">
        <f>(1+E3238)*IF(AND(Painel_diario!$H3235="ED_JU",Painel_diario!$J3235=1),EXP(Painel_diario!$L3235),1)-1</f>
        <v/>
      </c>
    </row>
    <row r="3240">
      <c r="A3240" s="25" t="n">
        <v>43605</v>
      </c>
      <c r="B3240" s="22">
        <f>(1+B3239)*IF(AND(Painel_diario!$H3236="EU_JD",Painel_diario!$J3236=1),EXP(Painel_diario!$L3236),1)-1</f>
        <v/>
      </c>
      <c r="C3240" s="22">
        <f>(1+C3239)*IF(AND(Painel_diario!$H3236="EU_JU",Painel_diario!$J3236=1),EXP(Painel_diario!$L3236),1)-1</f>
        <v/>
      </c>
      <c r="D3240" s="22">
        <f>(1+D3239)*IF(AND(Painel_diario!$H3236="ED_JD",Painel_diario!$J3236=1),EXP(Painel_diario!$L3236),1)-1</f>
        <v/>
      </c>
      <c r="E3240" s="22">
        <f>(1+E3239)*IF(AND(Painel_diario!$H3236="ED_JU",Painel_diario!$J3236=1),EXP(Painel_diario!$L3236),1)-1</f>
        <v/>
      </c>
    </row>
    <row r="3241">
      <c r="A3241" s="25" t="n">
        <v>43606</v>
      </c>
      <c r="B3241" s="22">
        <f>(1+B3240)*IF(AND(Painel_diario!$H3237="EU_JD",Painel_diario!$J3237=1),EXP(Painel_diario!$L3237),1)-1</f>
        <v/>
      </c>
      <c r="C3241" s="22">
        <f>(1+C3240)*IF(AND(Painel_diario!$H3237="EU_JU",Painel_diario!$J3237=1),EXP(Painel_diario!$L3237),1)-1</f>
        <v/>
      </c>
      <c r="D3241" s="22">
        <f>(1+D3240)*IF(AND(Painel_diario!$H3237="ED_JD",Painel_diario!$J3237=1),EXP(Painel_diario!$L3237),1)-1</f>
        <v/>
      </c>
      <c r="E3241" s="22">
        <f>(1+E3240)*IF(AND(Painel_diario!$H3237="ED_JU",Painel_diario!$J3237=1),EXP(Painel_diario!$L3237),1)-1</f>
        <v/>
      </c>
    </row>
    <row r="3242">
      <c r="A3242" s="25" t="n">
        <v>43607</v>
      </c>
      <c r="B3242" s="22">
        <f>(1+B3241)*IF(AND(Painel_diario!$H3238="EU_JD",Painel_diario!$J3238=1),EXP(Painel_diario!$L3238),1)-1</f>
        <v/>
      </c>
      <c r="C3242" s="22">
        <f>(1+C3241)*IF(AND(Painel_diario!$H3238="EU_JU",Painel_diario!$J3238=1),EXP(Painel_diario!$L3238),1)-1</f>
        <v/>
      </c>
      <c r="D3242" s="22">
        <f>(1+D3241)*IF(AND(Painel_diario!$H3238="ED_JD",Painel_diario!$J3238=1),EXP(Painel_diario!$L3238),1)-1</f>
        <v/>
      </c>
      <c r="E3242" s="22">
        <f>(1+E3241)*IF(AND(Painel_diario!$H3238="ED_JU",Painel_diario!$J3238=1),EXP(Painel_diario!$L3238),1)-1</f>
        <v/>
      </c>
    </row>
    <row r="3243">
      <c r="A3243" s="25" t="n">
        <v>43608</v>
      </c>
      <c r="B3243" s="22">
        <f>(1+B3242)*IF(AND(Painel_diario!$H3239="EU_JD",Painel_diario!$J3239=1),EXP(Painel_diario!$L3239),1)-1</f>
        <v/>
      </c>
      <c r="C3243" s="22">
        <f>(1+C3242)*IF(AND(Painel_diario!$H3239="EU_JU",Painel_diario!$J3239=1),EXP(Painel_diario!$L3239),1)-1</f>
        <v/>
      </c>
      <c r="D3243" s="22">
        <f>(1+D3242)*IF(AND(Painel_diario!$H3239="ED_JD",Painel_diario!$J3239=1),EXP(Painel_diario!$L3239),1)-1</f>
        <v/>
      </c>
      <c r="E3243" s="22">
        <f>(1+E3242)*IF(AND(Painel_diario!$H3239="ED_JU",Painel_diario!$J3239=1),EXP(Painel_diario!$L3239),1)-1</f>
        <v/>
      </c>
    </row>
    <row r="3244">
      <c r="A3244" s="25" t="n">
        <v>43609</v>
      </c>
      <c r="B3244" s="22">
        <f>(1+B3243)*IF(AND(Painel_diario!$H3240="EU_JD",Painel_diario!$J3240=1),EXP(Painel_diario!$L3240),1)-1</f>
        <v/>
      </c>
      <c r="C3244" s="22">
        <f>(1+C3243)*IF(AND(Painel_diario!$H3240="EU_JU",Painel_diario!$J3240=1),EXP(Painel_diario!$L3240),1)-1</f>
        <v/>
      </c>
      <c r="D3244" s="22">
        <f>(1+D3243)*IF(AND(Painel_diario!$H3240="ED_JD",Painel_diario!$J3240=1),EXP(Painel_diario!$L3240),1)-1</f>
        <v/>
      </c>
      <c r="E3244" s="22">
        <f>(1+E3243)*IF(AND(Painel_diario!$H3240="ED_JU",Painel_diario!$J3240=1),EXP(Painel_diario!$L3240),1)-1</f>
        <v/>
      </c>
    </row>
    <row r="3245">
      <c r="A3245" s="25" t="n">
        <v>43612</v>
      </c>
      <c r="B3245" s="22">
        <f>(1+B3244)*IF(AND(Painel_diario!$H3241="EU_JD",Painel_diario!$J3241=1),EXP(Painel_diario!$L3241),1)-1</f>
        <v/>
      </c>
      <c r="C3245" s="22">
        <f>(1+C3244)*IF(AND(Painel_diario!$H3241="EU_JU",Painel_diario!$J3241=1),EXP(Painel_diario!$L3241),1)-1</f>
        <v/>
      </c>
      <c r="D3245" s="22">
        <f>(1+D3244)*IF(AND(Painel_diario!$H3241="ED_JD",Painel_diario!$J3241=1),EXP(Painel_diario!$L3241),1)-1</f>
        <v/>
      </c>
      <c r="E3245" s="22">
        <f>(1+E3244)*IF(AND(Painel_diario!$H3241="ED_JU",Painel_diario!$J3241=1),EXP(Painel_diario!$L3241),1)-1</f>
        <v/>
      </c>
    </row>
    <row r="3246">
      <c r="A3246" s="25" t="n">
        <v>43613</v>
      </c>
      <c r="B3246" s="22">
        <f>(1+B3245)*IF(AND(Painel_diario!$H3242="EU_JD",Painel_diario!$J3242=1),EXP(Painel_diario!$L3242),1)-1</f>
        <v/>
      </c>
      <c r="C3246" s="22">
        <f>(1+C3245)*IF(AND(Painel_diario!$H3242="EU_JU",Painel_diario!$J3242=1),EXP(Painel_diario!$L3242),1)-1</f>
        <v/>
      </c>
      <c r="D3246" s="22">
        <f>(1+D3245)*IF(AND(Painel_diario!$H3242="ED_JD",Painel_diario!$J3242=1),EXP(Painel_diario!$L3242),1)-1</f>
        <v/>
      </c>
      <c r="E3246" s="22">
        <f>(1+E3245)*IF(AND(Painel_diario!$H3242="ED_JU",Painel_diario!$J3242=1),EXP(Painel_diario!$L3242),1)-1</f>
        <v/>
      </c>
    </row>
    <row r="3247">
      <c r="A3247" s="25" t="n">
        <v>43614</v>
      </c>
      <c r="B3247" s="22">
        <f>(1+B3246)*IF(AND(Painel_diario!$H3243="EU_JD",Painel_diario!$J3243=1),EXP(Painel_diario!$L3243),1)-1</f>
        <v/>
      </c>
      <c r="C3247" s="22">
        <f>(1+C3246)*IF(AND(Painel_diario!$H3243="EU_JU",Painel_diario!$J3243=1),EXP(Painel_diario!$L3243),1)-1</f>
        <v/>
      </c>
      <c r="D3247" s="22">
        <f>(1+D3246)*IF(AND(Painel_diario!$H3243="ED_JD",Painel_diario!$J3243=1),EXP(Painel_diario!$L3243),1)-1</f>
        <v/>
      </c>
      <c r="E3247" s="22">
        <f>(1+E3246)*IF(AND(Painel_diario!$H3243="ED_JU",Painel_diario!$J3243=1),EXP(Painel_diario!$L3243),1)-1</f>
        <v/>
      </c>
    </row>
    <row r="3248">
      <c r="A3248" s="25" t="n">
        <v>43615</v>
      </c>
      <c r="B3248" s="22">
        <f>(1+B3247)*IF(AND(Painel_diario!$H3244="EU_JD",Painel_diario!$J3244=1),EXP(Painel_diario!$L3244),1)-1</f>
        <v/>
      </c>
      <c r="C3248" s="22">
        <f>(1+C3247)*IF(AND(Painel_diario!$H3244="EU_JU",Painel_diario!$J3244=1),EXP(Painel_diario!$L3244),1)-1</f>
        <v/>
      </c>
      <c r="D3248" s="22">
        <f>(1+D3247)*IF(AND(Painel_diario!$H3244="ED_JD",Painel_diario!$J3244=1),EXP(Painel_diario!$L3244),1)-1</f>
        <v/>
      </c>
      <c r="E3248" s="22">
        <f>(1+E3247)*IF(AND(Painel_diario!$H3244="ED_JU",Painel_diario!$J3244=1),EXP(Painel_diario!$L3244),1)-1</f>
        <v/>
      </c>
    </row>
    <row r="3249">
      <c r="A3249" s="25" t="n">
        <v>43616</v>
      </c>
      <c r="B3249" s="22">
        <f>(1+B3248)*IF(AND(Painel_diario!$H3245="EU_JD",Painel_diario!$J3245=1),EXP(Painel_diario!$L3245),1)-1</f>
        <v/>
      </c>
      <c r="C3249" s="22">
        <f>(1+C3248)*IF(AND(Painel_diario!$H3245="EU_JU",Painel_diario!$J3245=1),EXP(Painel_diario!$L3245),1)-1</f>
        <v/>
      </c>
      <c r="D3249" s="22">
        <f>(1+D3248)*IF(AND(Painel_diario!$H3245="ED_JD",Painel_diario!$J3245=1),EXP(Painel_diario!$L3245),1)-1</f>
        <v/>
      </c>
      <c r="E3249" s="22">
        <f>(1+E3248)*IF(AND(Painel_diario!$H3245="ED_JU",Painel_diario!$J3245=1),EXP(Painel_diario!$L3245),1)-1</f>
        <v/>
      </c>
    </row>
    <row r="3250">
      <c r="A3250" s="25" t="n">
        <v>43619</v>
      </c>
      <c r="B3250" s="22">
        <f>(1+B3249)*IF(AND(Painel_diario!$H3246="EU_JD",Painel_diario!$J3246=1),EXP(Painel_diario!$L3246),1)-1</f>
        <v/>
      </c>
      <c r="C3250" s="22">
        <f>(1+C3249)*IF(AND(Painel_diario!$H3246="EU_JU",Painel_diario!$J3246=1),EXP(Painel_diario!$L3246),1)-1</f>
        <v/>
      </c>
      <c r="D3250" s="22">
        <f>(1+D3249)*IF(AND(Painel_diario!$H3246="ED_JD",Painel_diario!$J3246=1),EXP(Painel_diario!$L3246),1)-1</f>
        <v/>
      </c>
      <c r="E3250" s="22">
        <f>(1+E3249)*IF(AND(Painel_diario!$H3246="ED_JU",Painel_diario!$J3246=1),EXP(Painel_diario!$L3246),1)-1</f>
        <v/>
      </c>
    </row>
    <row r="3251">
      <c r="A3251" s="25" t="n">
        <v>43620</v>
      </c>
      <c r="B3251" s="22">
        <f>(1+B3250)*IF(AND(Painel_diario!$H3247="EU_JD",Painel_diario!$J3247=1),EXP(Painel_diario!$L3247),1)-1</f>
        <v/>
      </c>
      <c r="C3251" s="22">
        <f>(1+C3250)*IF(AND(Painel_diario!$H3247="EU_JU",Painel_diario!$J3247=1),EXP(Painel_diario!$L3247),1)-1</f>
        <v/>
      </c>
      <c r="D3251" s="22">
        <f>(1+D3250)*IF(AND(Painel_diario!$H3247="ED_JD",Painel_diario!$J3247=1),EXP(Painel_diario!$L3247),1)-1</f>
        <v/>
      </c>
      <c r="E3251" s="22">
        <f>(1+E3250)*IF(AND(Painel_diario!$H3247="ED_JU",Painel_diario!$J3247=1),EXP(Painel_diario!$L3247),1)-1</f>
        <v/>
      </c>
    </row>
    <row r="3252">
      <c r="A3252" s="25" t="n">
        <v>43621</v>
      </c>
      <c r="B3252" s="22">
        <f>(1+B3251)*IF(AND(Painel_diario!$H3248="EU_JD",Painel_diario!$J3248=1),EXP(Painel_diario!$L3248),1)-1</f>
        <v/>
      </c>
      <c r="C3252" s="22">
        <f>(1+C3251)*IF(AND(Painel_diario!$H3248="EU_JU",Painel_diario!$J3248=1),EXP(Painel_diario!$L3248),1)-1</f>
        <v/>
      </c>
      <c r="D3252" s="22">
        <f>(1+D3251)*IF(AND(Painel_diario!$H3248="ED_JD",Painel_diario!$J3248=1),EXP(Painel_diario!$L3248),1)-1</f>
        <v/>
      </c>
      <c r="E3252" s="22">
        <f>(1+E3251)*IF(AND(Painel_diario!$H3248="ED_JU",Painel_diario!$J3248=1),EXP(Painel_diario!$L3248),1)-1</f>
        <v/>
      </c>
    </row>
    <row r="3253">
      <c r="A3253" s="25" t="n">
        <v>43622</v>
      </c>
      <c r="B3253" s="22">
        <f>(1+B3252)*IF(AND(Painel_diario!$H3249="EU_JD",Painel_diario!$J3249=1),EXP(Painel_diario!$L3249),1)-1</f>
        <v/>
      </c>
      <c r="C3253" s="22">
        <f>(1+C3252)*IF(AND(Painel_diario!$H3249="EU_JU",Painel_diario!$J3249=1),EXP(Painel_diario!$L3249),1)-1</f>
        <v/>
      </c>
      <c r="D3253" s="22">
        <f>(1+D3252)*IF(AND(Painel_diario!$H3249="ED_JD",Painel_diario!$J3249=1),EXP(Painel_diario!$L3249),1)-1</f>
        <v/>
      </c>
      <c r="E3253" s="22">
        <f>(1+E3252)*IF(AND(Painel_diario!$H3249="ED_JU",Painel_diario!$J3249=1),EXP(Painel_diario!$L3249),1)-1</f>
        <v/>
      </c>
    </row>
    <row r="3254">
      <c r="A3254" s="25" t="n">
        <v>43623</v>
      </c>
      <c r="B3254" s="22">
        <f>(1+B3253)*IF(AND(Painel_diario!$H3250="EU_JD",Painel_diario!$J3250=1),EXP(Painel_diario!$L3250),1)-1</f>
        <v/>
      </c>
      <c r="C3254" s="22">
        <f>(1+C3253)*IF(AND(Painel_diario!$H3250="EU_JU",Painel_diario!$J3250=1),EXP(Painel_diario!$L3250),1)-1</f>
        <v/>
      </c>
      <c r="D3254" s="22">
        <f>(1+D3253)*IF(AND(Painel_diario!$H3250="ED_JD",Painel_diario!$J3250=1),EXP(Painel_diario!$L3250),1)-1</f>
        <v/>
      </c>
      <c r="E3254" s="22">
        <f>(1+E3253)*IF(AND(Painel_diario!$H3250="ED_JU",Painel_diario!$J3250=1),EXP(Painel_diario!$L3250),1)-1</f>
        <v/>
      </c>
    </row>
    <row r="3255">
      <c r="A3255" s="25" t="n">
        <v>43626</v>
      </c>
      <c r="B3255" s="22">
        <f>(1+B3254)*IF(AND(Painel_diario!$H3251="EU_JD",Painel_diario!$J3251=1),EXP(Painel_diario!$L3251),1)-1</f>
        <v/>
      </c>
      <c r="C3255" s="22">
        <f>(1+C3254)*IF(AND(Painel_diario!$H3251="EU_JU",Painel_diario!$J3251=1),EXP(Painel_diario!$L3251),1)-1</f>
        <v/>
      </c>
      <c r="D3255" s="22">
        <f>(1+D3254)*IF(AND(Painel_diario!$H3251="ED_JD",Painel_diario!$J3251=1),EXP(Painel_diario!$L3251),1)-1</f>
        <v/>
      </c>
      <c r="E3255" s="22">
        <f>(1+E3254)*IF(AND(Painel_diario!$H3251="ED_JU",Painel_diario!$J3251=1),EXP(Painel_diario!$L3251),1)-1</f>
        <v/>
      </c>
    </row>
    <row r="3256">
      <c r="A3256" s="25" t="n">
        <v>43627</v>
      </c>
      <c r="B3256" s="22">
        <f>(1+B3255)*IF(AND(Painel_diario!$H3252="EU_JD",Painel_diario!$J3252=1),EXP(Painel_diario!$L3252),1)-1</f>
        <v/>
      </c>
      <c r="C3256" s="22">
        <f>(1+C3255)*IF(AND(Painel_diario!$H3252="EU_JU",Painel_diario!$J3252=1),EXP(Painel_diario!$L3252),1)-1</f>
        <v/>
      </c>
      <c r="D3256" s="22">
        <f>(1+D3255)*IF(AND(Painel_diario!$H3252="ED_JD",Painel_diario!$J3252=1),EXP(Painel_diario!$L3252),1)-1</f>
        <v/>
      </c>
      <c r="E3256" s="22">
        <f>(1+E3255)*IF(AND(Painel_diario!$H3252="ED_JU",Painel_diario!$J3252=1),EXP(Painel_diario!$L3252),1)-1</f>
        <v/>
      </c>
    </row>
    <row r="3257">
      <c r="A3257" s="25" t="n">
        <v>43628</v>
      </c>
      <c r="B3257" s="22">
        <f>(1+B3256)*IF(AND(Painel_diario!$H3253="EU_JD",Painel_diario!$J3253=1),EXP(Painel_diario!$L3253),1)-1</f>
        <v/>
      </c>
      <c r="C3257" s="22">
        <f>(1+C3256)*IF(AND(Painel_diario!$H3253="EU_JU",Painel_diario!$J3253=1),EXP(Painel_diario!$L3253),1)-1</f>
        <v/>
      </c>
      <c r="D3257" s="22">
        <f>(1+D3256)*IF(AND(Painel_diario!$H3253="ED_JD",Painel_diario!$J3253=1),EXP(Painel_diario!$L3253),1)-1</f>
        <v/>
      </c>
      <c r="E3257" s="22">
        <f>(1+E3256)*IF(AND(Painel_diario!$H3253="ED_JU",Painel_diario!$J3253=1),EXP(Painel_diario!$L3253),1)-1</f>
        <v/>
      </c>
    </row>
    <row r="3258">
      <c r="A3258" s="25" t="n">
        <v>43629</v>
      </c>
      <c r="B3258" s="22">
        <f>(1+B3257)*IF(AND(Painel_diario!$H3254="EU_JD",Painel_diario!$J3254=1),EXP(Painel_diario!$L3254),1)-1</f>
        <v/>
      </c>
      <c r="C3258" s="22">
        <f>(1+C3257)*IF(AND(Painel_diario!$H3254="EU_JU",Painel_diario!$J3254=1),EXP(Painel_diario!$L3254),1)-1</f>
        <v/>
      </c>
      <c r="D3258" s="22">
        <f>(1+D3257)*IF(AND(Painel_diario!$H3254="ED_JD",Painel_diario!$J3254=1),EXP(Painel_diario!$L3254),1)-1</f>
        <v/>
      </c>
      <c r="E3258" s="22">
        <f>(1+E3257)*IF(AND(Painel_diario!$H3254="ED_JU",Painel_diario!$J3254=1),EXP(Painel_diario!$L3254),1)-1</f>
        <v/>
      </c>
    </row>
    <row r="3259">
      <c r="A3259" s="25" t="n">
        <v>43630</v>
      </c>
      <c r="B3259" s="22">
        <f>(1+B3258)*IF(AND(Painel_diario!$H3255="EU_JD",Painel_diario!$J3255=1),EXP(Painel_diario!$L3255),1)-1</f>
        <v/>
      </c>
      <c r="C3259" s="22">
        <f>(1+C3258)*IF(AND(Painel_diario!$H3255="EU_JU",Painel_diario!$J3255=1),EXP(Painel_diario!$L3255),1)-1</f>
        <v/>
      </c>
      <c r="D3259" s="22">
        <f>(1+D3258)*IF(AND(Painel_diario!$H3255="ED_JD",Painel_diario!$J3255=1),EXP(Painel_diario!$L3255),1)-1</f>
        <v/>
      </c>
      <c r="E3259" s="22">
        <f>(1+E3258)*IF(AND(Painel_diario!$H3255="ED_JU",Painel_diario!$J3255=1),EXP(Painel_diario!$L3255),1)-1</f>
        <v/>
      </c>
    </row>
    <row r="3260">
      <c r="A3260" s="25" t="n">
        <v>43633</v>
      </c>
      <c r="B3260" s="22">
        <f>(1+B3259)*IF(AND(Painel_diario!$H3256="EU_JD",Painel_diario!$J3256=1),EXP(Painel_diario!$L3256),1)-1</f>
        <v/>
      </c>
      <c r="C3260" s="22">
        <f>(1+C3259)*IF(AND(Painel_diario!$H3256="EU_JU",Painel_diario!$J3256=1),EXP(Painel_diario!$L3256),1)-1</f>
        <v/>
      </c>
      <c r="D3260" s="22">
        <f>(1+D3259)*IF(AND(Painel_diario!$H3256="ED_JD",Painel_diario!$J3256=1),EXP(Painel_diario!$L3256),1)-1</f>
        <v/>
      </c>
      <c r="E3260" s="22">
        <f>(1+E3259)*IF(AND(Painel_diario!$H3256="ED_JU",Painel_diario!$J3256=1),EXP(Painel_diario!$L3256),1)-1</f>
        <v/>
      </c>
    </row>
    <row r="3261">
      <c r="A3261" s="25" t="n">
        <v>43634</v>
      </c>
      <c r="B3261" s="22">
        <f>(1+B3260)*IF(AND(Painel_diario!$H3257="EU_JD",Painel_diario!$J3257=1),EXP(Painel_diario!$L3257),1)-1</f>
        <v/>
      </c>
      <c r="C3261" s="22">
        <f>(1+C3260)*IF(AND(Painel_diario!$H3257="EU_JU",Painel_diario!$J3257=1),EXP(Painel_diario!$L3257),1)-1</f>
        <v/>
      </c>
      <c r="D3261" s="22">
        <f>(1+D3260)*IF(AND(Painel_diario!$H3257="ED_JD",Painel_diario!$J3257=1),EXP(Painel_diario!$L3257),1)-1</f>
        <v/>
      </c>
      <c r="E3261" s="22">
        <f>(1+E3260)*IF(AND(Painel_diario!$H3257="ED_JU",Painel_diario!$J3257=1),EXP(Painel_diario!$L3257),1)-1</f>
        <v/>
      </c>
    </row>
    <row r="3262">
      <c r="A3262" s="25" t="n">
        <v>43635</v>
      </c>
      <c r="B3262" s="22">
        <f>(1+B3261)*IF(AND(Painel_diario!$H3258="EU_JD",Painel_diario!$J3258=1),EXP(Painel_diario!$L3258),1)-1</f>
        <v/>
      </c>
      <c r="C3262" s="22">
        <f>(1+C3261)*IF(AND(Painel_diario!$H3258="EU_JU",Painel_diario!$J3258=1),EXP(Painel_diario!$L3258),1)-1</f>
        <v/>
      </c>
      <c r="D3262" s="22">
        <f>(1+D3261)*IF(AND(Painel_diario!$H3258="ED_JD",Painel_diario!$J3258=1),EXP(Painel_diario!$L3258),1)-1</f>
        <v/>
      </c>
      <c r="E3262" s="22">
        <f>(1+E3261)*IF(AND(Painel_diario!$H3258="ED_JU",Painel_diario!$J3258=1),EXP(Painel_diario!$L3258),1)-1</f>
        <v/>
      </c>
    </row>
    <row r="3263">
      <c r="A3263" s="25" t="n">
        <v>43637</v>
      </c>
      <c r="B3263" s="22">
        <f>(1+B3262)*IF(AND(Painel_diario!$H3259="EU_JD",Painel_diario!$J3259=1),EXP(Painel_diario!$L3259),1)-1</f>
        <v/>
      </c>
      <c r="C3263" s="22">
        <f>(1+C3262)*IF(AND(Painel_diario!$H3259="EU_JU",Painel_diario!$J3259=1),EXP(Painel_diario!$L3259),1)-1</f>
        <v/>
      </c>
      <c r="D3263" s="22">
        <f>(1+D3262)*IF(AND(Painel_diario!$H3259="ED_JD",Painel_diario!$J3259=1),EXP(Painel_diario!$L3259),1)-1</f>
        <v/>
      </c>
      <c r="E3263" s="22">
        <f>(1+E3262)*IF(AND(Painel_diario!$H3259="ED_JU",Painel_diario!$J3259=1),EXP(Painel_diario!$L3259),1)-1</f>
        <v/>
      </c>
    </row>
    <row r="3264">
      <c r="A3264" s="25" t="n">
        <v>43640</v>
      </c>
      <c r="B3264" s="22">
        <f>(1+B3263)*IF(AND(Painel_diario!$H3260="EU_JD",Painel_diario!$J3260=1),EXP(Painel_diario!$L3260),1)-1</f>
        <v/>
      </c>
      <c r="C3264" s="22">
        <f>(1+C3263)*IF(AND(Painel_diario!$H3260="EU_JU",Painel_diario!$J3260=1),EXP(Painel_diario!$L3260),1)-1</f>
        <v/>
      </c>
      <c r="D3264" s="22">
        <f>(1+D3263)*IF(AND(Painel_diario!$H3260="ED_JD",Painel_diario!$J3260=1),EXP(Painel_diario!$L3260),1)-1</f>
        <v/>
      </c>
      <c r="E3264" s="22">
        <f>(1+E3263)*IF(AND(Painel_diario!$H3260="ED_JU",Painel_diario!$J3260=1),EXP(Painel_diario!$L3260),1)-1</f>
        <v/>
      </c>
    </row>
    <row r="3265">
      <c r="A3265" s="25" t="n">
        <v>43641</v>
      </c>
      <c r="B3265" s="22">
        <f>(1+B3264)*IF(AND(Painel_diario!$H3261="EU_JD",Painel_diario!$J3261=1),EXP(Painel_diario!$L3261),1)-1</f>
        <v/>
      </c>
      <c r="C3265" s="22">
        <f>(1+C3264)*IF(AND(Painel_diario!$H3261="EU_JU",Painel_diario!$J3261=1),EXP(Painel_diario!$L3261),1)-1</f>
        <v/>
      </c>
      <c r="D3265" s="22">
        <f>(1+D3264)*IF(AND(Painel_diario!$H3261="ED_JD",Painel_diario!$J3261=1),EXP(Painel_diario!$L3261),1)-1</f>
        <v/>
      </c>
      <c r="E3265" s="22">
        <f>(1+E3264)*IF(AND(Painel_diario!$H3261="ED_JU",Painel_diario!$J3261=1),EXP(Painel_diario!$L3261),1)-1</f>
        <v/>
      </c>
    </row>
    <row r="3266">
      <c r="A3266" s="25" t="n">
        <v>43642</v>
      </c>
      <c r="B3266" s="22">
        <f>(1+B3265)*IF(AND(Painel_diario!$H3262="EU_JD",Painel_diario!$J3262=1),EXP(Painel_diario!$L3262),1)-1</f>
        <v/>
      </c>
      <c r="C3266" s="22">
        <f>(1+C3265)*IF(AND(Painel_diario!$H3262="EU_JU",Painel_diario!$J3262=1),EXP(Painel_diario!$L3262),1)-1</f>
        <v/>
      </c>
      <c r="D3266" s="22">
        <f>(1+D3265)*IF(AND(Painel_diario!$H3262="ED_JD",Painel_diario!$J3262=1),EXP(Painel_diario!$L3262),1)-1</f>
        <v/>
      </c>
      <c r="E3266" s="22">
        <f>(1+E3265)*IF(AND(Painel_diario!$H3262="ED_JU",Painel_diario!$J3262=1),EXP(Painel_diario!$L3262),1)-1</f>
        <v/>
      </c>
    </row>
    <row r="3267">
      <c r="A3267" s="25" t="n">
        <v>43643</v>
      </c>
      <c r="B3267" s="22">
        <f>(1+B3266)*IF(AND(Painel_diario!$H3263="EU_JD",Painel_diario!$J3263=1),EXP(Painel_diario!$L3263),1)-1</f>
        <v/>
      </c>
      <c r="C3267" s="22">
        <f>(1+C3266)*IF(AND(Painel_diario!$H3263="EU_JU",Painel_diario!$J3263=1),EXP(Painel_diario!$L3263),1)-1</f>
        <v/>
      </c>
      <c r="D3267" s="22">
        <f>(1+D3266)*IF(AND(Painel_diario!$H3263="ED_JD",Painel_diario!$J3263=1),EXP(Painel_diario!$L3263),1)-1</f>
        <v/>
      </c>
      <c r="E3267" s="22">
        <f>(1+E3266)*IF(AND(Painel_diario!$H3263="ED_JU",Painel_diario!$J3263=1),EXP(Painel_diario!$L3263),1)-1</f>
        <v/>
      </c>
    </row>
    <row r="3268">
      <c r="A3268" s="25" t="n">
        <v>43644</v>
      </c>
      <c r="B3268" s="22">
        <f>(1+B3267)*IF(AND(Painel_diario!$H3264="EU_JD",Painel_diario!$J3264=1),EXP(Painel_diario!$L3264),1)-1</f>
        <v/>
      </c>
      <c r="C3268" s="22">
        <f>(1+C3267)*IF(AND(Painel_diario!$H3264="EU_JU",Painel_diario!$J3264=1),EXP(Painel_diario!$L3264),1)-1</f>
        <v/>
      </c>
      <c r="D3268" s="22">
        <f>(1+D3267)*IF(AND(Painel_diario!$H3264="ED_JD",Painel_diario!$J3264=1),EXP(Painel_diario!$L3264),1)-1</f>
        <v/>
      </c>
      <c r="E3268" s="22">
        <f>(1+E3267)*IF(AND(Painel_diario!$H3264="ED_JU",Painel_diario!$J3264=1),EXP(Painel_diario!$L3264),1)-1</f>
        <v/>
      </c>
    </row>
    <row r="3269">
      <c r="A3269" s="25" t="n">
        <v>43647</v>
      </c>
      <c r="B3269" s="22">
        <f>(1+B3268)*IF(AND(Painel_diario!$H3265="EU_JD",Painel_diario!$J3265=1),EXP(Painel_diario!$L3265),1)-1</f>
        <v/>
      </c>
      <c r="C3269" s="22">
        <f>(1+C3268)*IF(AND(Painel_diario!$H3265="EU_JU",Painel_diario!$J3265=1),EXP(Painel_diario!$L3265),1)-1</f>
        <v/>
      </c>
      <c r="D3269" s="22">
        <f>(1+D3268)*IF(AND(Painel_diario!$H3265="ED_JD",Painel_diario!$J3265=1),EXP(Painel_diario!$L3265),1)-1</f>
        <v/>
      </c>
      <c r="E3269" s="22">
        <f>(1+E3268)*IF(AND(Painel_diario!$H3265="ED_JU",Painel_diario!$J3265=1),EXP(Painel_diario!$L3265),1)-1</f>
        <v/>
      </c>
    </row>
    <row r="3270">
      <c r="A3270" s="25" t="n">
        <v>43648</v>
      </c>
      <c r="B3270" s="22">
        <f>(1+B3269)*IF(AND(Painel_diario!$H3266="EU_JD",Painel_diario!$J3266=1),EXP(Painel_diario!$L3266),1)-1</f>
        <v/>
      </c>
      <c r="C3270" s="22">
        <f>(1+C3269)*IF(AND(Painel_diario!$H3266="EU_JU",Painel_diario!$J3266=1),EXP(Painel_diario!$L3266),1)-1</f>
        <v/>
      </c>
      <c r="D3270" s="22">
        <f>(1+D3269)*IF(AND(Painel_diario!$H3266="ED_JD",Painel_diario!$J3266=1),EXP(Painel_diario!$L3266),1)-1</f>
        <v/>
      </c>
      <c r="E3270" s="22">
        <f>(1+E3269)*IF(AND(Painel_diario!$H3266="ED_JU",Painel_diario!$J3266=1),EXP(Painel_diario!$L3266),1)-1</f>
        <v/>
      </c>
    </row>
    <row r="3271">
      <c r="A3271" s="25" t="n">
        <v>43649</v>
      </c>
      <c r="B3271" s="22">
        <f>(1+B3270)*IF(AND(Painel_diario!$H3267="EU_JD",Painel_diario!$J3267=1),EXP(Painel_diario!$L3267),1)-1</f>
        <v/>
      </c>
      <c r="C3271" s="22">
        <f>(1+C3270)*IF(AND(Painel_diario!$H3267="EU_JU",Painel_diario!$J3267=1),EXP(Painel_diario!$L3267),1)-1</f>
        <v/>
      </c>
      <c r="D3271" s="22">
        <f>(1+D3270)*IF(AND(Painel_diario!$H3267="ED_JD",Painel_diario!$J3267=1),EXP(Painel_diario!$L3267),1)-1</f>
        <v/>
      </c>
      <c r="E3271" s="22">
        <f>(1+E3270)*IF(AND(Painel_diario!$H3267="ED_JU",Painel_diario!$J3267=1),EXP(Painel_diario!$L3267),1)-1</f>
        <v/>
      </c>
    </row>
    <row r="3272">
      <c r="A3272" s="25" t="n">
        <v>43650</v>
      </c>
      <c r="B3272" s="22">
        <f>(1+B3271)*IF(AND(Painel_diario!$H3268="EU_JD",Painel_diario!$J3268=1),EXP(Painel_diario!$L3268),1)-1</f>
        <v/>
      </c>
      <c r="C3272" s="22">
        <f>(1+C3271)*IF(AND(Painel_diario!$H3268="EU_JU",Painel_diario!$J3268=1),EXP(Painel_diario!$L3268),1)-1</f>
        <v/>
      </c>
      <c r="D3272" s="22">
        <f>(1+D3271)*IF(AND(Painel_diario!$H3268="ED_JD",Painel_diario!$J3268=1),EXP(Painel_diario!$L3268),1)-1</f>
        <v/>
      </c>
      <c r="E3272" s="22">
        <f>(1+E3271)*IF(AND(Painel_diario!$H3268="ED_JU",Painel_diario!$J3268=1),EXP(Painel_diario!$L3268),1)-1</f>
        <v/>
      </c>
    </row>
    <row r="3273">
      <c r="A3273" s="25" t="n">
        <v>43651</v>
      </c>
      <c r="B3273" s="22">
        <f>(1+B3272)*IF(AND(Painel_diario!$H3269="EU_JD",Painel_diario!$J3269=1),EXP(Painel_diario!$L3269),1)-1</f>
        <v/>
      </c>
      <c r="C3273" s="22">
        <f>(1+C3272)*IF(AND(Painel_diario!$H3269="EU_JU",Painel_diario!$J3269=1),EXP(Painel_diario!$L3269),1)-1</f>
        <v/>
      </c>
      <c r="D3273" s="22">
        <f>(1+D3272)*IF(AND(Painel_diario!$H3269="ED_JD",Painel_diario!$J3269=1),EXP(Painel_diario!$L3269),1)-1</f>
        <v/>
      </c>
      <c r="E3273" s="22">
        <f>(1+E3272)*IF(AND(Painel_diario!$H3269="ED_JU",Painel_diario!$J3269=1),EXP(Painel_diario!$L3269),1)-1</f>
        <v/>
      </c>
    </row>
    <row r="3274">
      <c r="A3274" s="25" t="n">
        <v>43654</v>
      </c>
      <c r="B3274" s="22">
        <f>(1+B3273)*IF(AND(Painel_diario!$H3270="EU_JD",Painel_diario!$J3270=1),EXP(Painel_diario!$L3270),1)-1</f>
        <v/>
      </c>
      <c r="C3274" s="22">
        <f>(1+C3273)*IF(AND(Painel_diario!$H3270="EU_JU",Painel_diario!$J3270=1),EXP(Painel_diario!$L3270),1)-1</f>
        <v/>
      </c>
      <c r="D3274" s="22">
        <f>(1+D3273)*IF(AND(Painel_diario!$H3270="ED_JD",Painel_diario!$J3270=1),EXP(Painel_diario!$L3270),1)-1</f>
        <v/>
      </c>
      <c r="E3274" s="22">
        <f>(1+E3273)*IF(AND(Painel_diario!$H3270="ED_JU",Painel_diario!$J3270=1),EXP(Painel_diario!$L3270),1)-1</f>
        <v/>
      </c>
    </row>
    <row r="3275">
      <c r="A3275" s="25" t="n">
        <v>43656</v>
      </c>
      <c r="B3275" s="22">
        <f>(1+B3274)*IF(AND(Painel_diario!$H3271="EU_JD",Painel_diario!$J3271=1),EXP(Painel_diario!$L3271),1)-1</f>
        <v/>
      </c>
      <c r="C3275" s="22">
        <f>(1+C3274)*IF(AND(Painel_diario!$H3271="EU_JU",Painel_diario!$J3271=1),EXP(Painel_diario!$L3271),1)-1</f>
        <v/>
      </c>
      <c r="D3275" s="22">
        <f>(1+D3274)*IF(AND(Painel_diario!$H3271="ED_JD",Painel_diario!$J3271=1),EXP(Painel_diario!$L3271),1)-1</f>
        <v/>
      </c>
      <c r="E3275" s="22">
        <f>(1+E3274)*IF(AND(Painel_diario!$H3271="ED_JU",Painel_diario!$J3271=1),EXP(Painel_diario!$L3271),1)-1</f>
        <v/>
      </c>
    </row>
    <row r="3276">
      <c r="A3276" s="25" t="n">
        <v>43657</v>
      </c>
      <c r="B3276" s="22">
        <f>(1+B3275)*IF(AND(Painel_diario!$H3272="EU_JD",Painel_diario!$J3272=1),EXP(Painel_diario!$L3272),1)-1</f>
        <v/>
      </c>
      <c r="C3276" s="22">
        <f>(1+C3275)*IF(AND(Painel_diario!$H3272="EU_JU",Painel_diario!$J3272=1),EXP(Painel_diario!$L3272),1)-1</f>
        <v/>
      </c>
      <c r="D3276" s="22">
        <f>(1+D3275)*IF(AND(Painel_diario!$H3272="ED_JD",Painel_diario!$J3272=1),EXP(Painel_diario!$L3272),1)-1</f>
        <v/>
      </c>
      <c r="E3276" s="22">
        <f>(1+E3275)*IF(AND(Painel_diario!$H3272="ED_JU",Painel_diario!$J3272=1),EXP(Painel_diario!$L3272),1)-1</f>
        <v/>
      </c>
    </row>
    <row r="3277">
      <c r="A3277" s="25" t="n">
        <v>43658</v>
      </c>
      <c r="B3277" s="22">
        <f>(1+B3276)*IF(AND(Painel_diario!$H3273="EU_JD",Painel_diario!$J3273=1),EXP(Painel_diario!$L3273),1)-1</f>
        <v/>
      </c>
      <c r="C3277" s="22">
        <f>(1+C3276)*IF(AND(Painel_diario!$H3273="EU_JU",Painel_diario!$J3273=1),EXP(Painel_diario!$L3273),1)-1</f>
        <v/>
      </c>
      <c r="D3277" s="22">
        <f>(1+D3276)*IF(AND(Painel_diario!$H3273="ED_JD",Painel_diario!$J3273=1),EXP(Painel_diario!$L3273),1)-1</f>
        <v/>
      </c>
      <c r="E3277" s="22">
        <f>(1+E3276)*IF(AND(Painel_diario!$H3273="ED_JU",Painel_diario!$J3273=1),EXP(Painel_diario!$L3273),1)-1</f>
        <v/>
      </c>
    </row>
    <row r="3278">
      <c r="A3278" s="25" t="n">
        <v>43661</v>
      </c>
      <c r="B3278" s="22">
        <f>(1+B3277)*IF(AND(Painel_diario!$H3274="EU_JD",Painel_diario!$J3274=1),EXP(Painel_diario!$L3274),1)-1</f>
        <v/>
      </c>
      <c r="C3278" s="22">
        <f>(1+C3277)*IF(AND(Painel_diario!$H3274="EU_JU",Painel_diario!$J3274=1),EXP(Painel_diario!$L3274),1)-1</f>
        <v/>
      </c>
      <c r="D3278" s="22">
        <f>(1+D3277)*IF(AND(Painel_diario!$H3274="ED_JD",Painel_diario!$J3274=1),EXP(Painel_diario!$L3274),1)-1</f>
        <v/>
      </c>
      <c r="E3278" s="22">
        <f>(1+E3277)*IF(AND(Painel_diario!$H3274="ED_JU",Painel_diario!$J3274=1),EXP(Painel_diario!$L3274),1)-1</f>
        <v/>
      </c>
    </row>
    <row r="3279">
      <c r="A3279" s="25" t="n">
        <v>43662</v>
      </c>
      <c r="B3279" s="22">
        <f>(1+B3278)*IF(AND(Painel_diario!$H3275="EU_JD",Painel_diario!$J3275=1),EXP(Painel_diario!$L3275),1)-1</f>
        <v/>
      </c>
      <c r="C3279" s="22">
        <f>(1+C3278)*IF(AND(Painel_diario!$H3275="EU_JU",Painel_diario!$J3275=1),EXP(Painel_diario!$L3275),1)-1</f>
        <v/>
      </c>
      <c r="D3279" s="22">
        <f>(1+D3278)*IF(AND(Painel_diario!$H3275="ED_JD",Painel_diario!$J3275=1),EXP(Painel_diario!$L3275),1)-1</f>
        <v/>
      </c>
      <c r="E3279" s="22">
        <f>(1+E3278)*IF(AND(Painel_diario!$H3275="ED_JU",Painel_diario!$J3275=1),EXP(Painel_diario!$L3275),1)-1</f>
        <v/>
      </c>
    </row>
    <row r="3280">
      <c r="A3280" s="25" t="n">
        <v>43663</v>
      </c>
      <c r="B3280" s="22">
        <f>(1+B3279)*IF(AND(Painel_diario!$H3276="EU_JD",Painel_diario!$J3276=1),EXP(Painel_diario!$L3276),1)-1</f>
        <v/>
      </c>
      <c r="C3280" s="22">
        <f>(1+C3279)*IF(AND(Painel_diario!$H3276="EU_JU",Painel_diario!$J3276=1),EXP(Painel_diario!$L3276),1)-1</f>
        <v/>
      </c>
      <c r="D3280" s="22">
        <f>(1+D3279)*IF(AND(Painel_diario!$H3276="ED_JD",Painel_diario!$J3276=1),EXP(Painel_diario!$L3276),1)-1</f>
        <v/>
      </c>
      <c r="E3280" s="22">
        <f>(1+E3279)*IF(AND(Painel_diario!$H3276="ED_JU",Painel_diario!$J3276=1),EXP(Painel_diario!$L3276),1)-1</f>
        <v/>
      </c>
    </row>
    <row r="3281">
      <c r="A3281" s="25" t="n">
        <v>43664</v>
      </c>
      <c r="B3281" s="22">
        <f>(1+B3280)*IF(AND(Painel_diario!$H3277="EU_JD",Painel_diario!$J3277=1),EXP(Painel_diario!$L3277),1)-1</f>
        <v/>
      </c>
      <c r="C3281" s="22">
        <f>(1+C3280)*IF(AND(Painel_diario!$H3277="EU_JU",Painel_diario!$J3277=1),EXP(Painel_diario!$L3277),1)-1</f>
        <v/>
      </c>
      <c r="D3281" s="22">
        <f>(1+D3280)*IF(AND(Painel_diario!$H3277="ED_JD",Painel_diario!$J3277=1),EXP(Painel_diario!$L3277),1)-1</f>
        <v/>
      </c>
      <c r="E3281" s="22">
        <f>(1+E3280)*IF(AND(Painel_diario!$H3277="ED_JU",Painel_diario!$J3277=1),EXP(Painel_diario!$L3277),1)-1</f>
        <v/>
      </c>
    </row>
    <row r="3282">
      <c r="A3282" s="25" t="n">
        <v>43665</v>
      </c>
      <c r="B3282" s="22">
        <f>(1+B3281)*IF(AND(Painel_diario!$H3278="EU_JD",Painel_diario!$J3278=1),EXP(Painel_diario!$L3278),1)-1</f>
        <v/>
      </c>
      <c r="C3282" s="22">
        <f>(1+C3281)*IF(AND(Painel_diario!$H3278="EU_JU",Painel_diario!$J3278=1),EXP(Painel_diario!$L3278),1)-1</f>
        <v/>
      </c>
      <c r="D3282" s="22">
        <f>(1+D3281)*IF(AND(Painel_diario!$H3278="ED_JD",Painel_diario!$J3278=1),EXP(Painel_diario!$L3278),1)-1</f>
        <v/>
      </c>
      <c r="E3282" s="22">
        <f>(1+E3281)*IF(AND(Painel_diario!$H3278="ED_JU",Painel_diario!$J3278=1),EXP(Painel_diario!$L3278),1)-1</f>
        <v/>
      </c>
    </row>
    <row r="3283">
      <c r="A3283" s="25" t="n">
        <v>43668</v>
      </c>
      <c r="B3283" s="22">
        <f>(1+B3282)*IF(AND(Painel_diario!$H3279="EU_JD",Painel_diario!$J3279=1),EXP(Painel_diario!$L3279),1)-1</f>
        <v/>
      </c>
      <c r="C3283" s="22">
        <f>(1+C3282)*IF(AND(Painel_diario!$H3279="EU_JU",Painel_diario!$J3279=1),EXP(Painel_diario!$L3279),1)-1</f>
        <v/>
      </c>
      <c r="D3283" s="22">
        <f>(1+D3282)*IF(AND(Painel_diario!$H3279="ED_JD",Painel_diario!$J3279=1),EXP(Painel_diario!$L3279),1)-1</f>
        <v/>
      </c>
      <c r="E3283" s="22">
        <f>(1+E3282)*IF(AND(Painel_diario!$H3279="ED_JU",Painel_diario!$J3279=1),EXP(Painel_diario!$L3279),1)-1</f>
        <v/>
      </c>
    </row>
    <row r="3284">
      <c r="A3284" s="25" t="n">
        <v>43669</v>
      </c>
      <c r="B3284" s="22">
        <f>(1+B3283)*IF(AND(Painel_diario!$H3280="EU_JD",Painel_diario!$J3280=1),EXP(Painel_diario!$L3280),1)-1</f>
        <v/>
      </c>
      <c r="C3284" s="22">
        <f>(1+C3283)*IF(AND(Painel_diario!$H3280="EU_JU",Painel_diario!$J3280=1),EXP(Painel_diario!$L3280),1)-1</f>
        <v/>
      </c>
      <c r="D3284" s="22">
        <f>(1+D3283)*IF(AND(Painel_diario!$H3280="ED_JD",Painel_diario!$J3280=1),EXP(Painel_diario!$L3280),1)-1</f>
        <v/>
      </c>
      <c r="E3284" s="22">
        <f>(1+E3283)*IF(AND(Painel_diario!$H3280="ED_JU",Painel_diario!$J3280=1),EXP(Painel_diario!$L3280),1)-1</f>
        <v/>
      </c>
    </row>
    <row r="3285">
      <c r="A3285" s="25" t="n">
        <v>43670</v>
      </c>
      <c r="B3285" s="22">
        <f>(1+B3284)*IF(AND(Painel_diario!$H3281="EU_JD",Painel_diario!$J3281=1),EXP(Painel_diario!$L3281),1)-1</f>
        <v/>
      </c>
      <c r="C3285" s="22">
        <f>(1+C3284)*IF(AND(Painel_diario!$H3281="EU_JU",Painel_diario!$J3281=1),EXP(Painel_diario!$L3281),1)-1</f>
        <v/>
      </c>
      <c r="D3285" s="22">
        <f>(1+D3284)*IF(AND(Painel_diario!$H3281="ED_JD",Painel_diario!$J3281=1),EXP(Painel_diario!$L3281),1)-1</f>
        <v/>
      </c>
      <c r="E3285" s="22">
        <f>(1+E3284)*IF(AND(Painel_diario!$H3281="ED_JU",Painel_diario!$J3281=1),EXP(Painel_diario!$L3281),1)-1</f>
        <v/>
      </c>
    </row>
    <row r="3286">
      <c r="A3286" s="25" t="n">
        <v>43671</v>
      </c>
      <c r="B3286" s="22">
        <f>(1+B3285)*IF(AND(Painel_diario!$H3282="EU_JD",Painel_diario!$J3282=1),EXP(Painel_diario!$L3282),1)-1</f>
        <v/>
      </c>
      <c r="C3286" s="22">
        <f>(1+C3285)*IF(AND(Painel_diario!$H3282="EU_JU",Painel_diario!$J3282=1),EXP(Painel_diario!$L3282),1)-1</f>
        <v/>
      </c>
      <c r="D3286" s="22">
        <f>(1+D3285)*IF(AND(Painel_diario!$H3282="ED_JD",Painel_diario!$J3282=1),EXP(Painel_diario!$L3282),1)-1</f>
        <v/>
      </c>
      <c r="E3286" s="22">
        <f>(1+E3285)*IF(AND(Painel_diario!$H3282="ED_JU",Painel_diario!$J3282=1),EXP(Painel_diario!$L3282),1)-1</f>
        <v/>
      </c>
    </row>
    <row r="3287">
      <c r="A3287" s="25" t="n">
        <v>43672</v>
      </c>
      <c r="B3287" s="22">
        <f>(1+B3286)*IF(AND(Painel_diario!$H3283="EU_JD",Painel_diario!$J3283=1),EXP(Painel_diario!$L3283),1)-1</f>
        <v/>
      </c>
      <c r="C3287" s="22">
        <f>(1+C3286)*IF(AND(Painel_diario!$H3283="EU_JU",Painel_diario!$J3283=1),EXP(Painel_diario!$L3283),1)-1</f>
        <v/>
      </c>
      <c r="D3287" s="22">
        <f>(1+D3286)*IF(AND(Painel_diario!$H3283="ED_JD",Painel_diario!$J3283=1),EXP(Painel_diario!$L3283),1)-1</f>
        <v/>
      </c>
      <c r="E3287" s="22">
        <f>(1+E3286)*IF(AND(Painel_diario!$H3283="ED_JU",Painel_diario!$J3283=1),EXP(Painel_diario!$L3283),1)-1</f>
        <v/>
      </c>
    </row>
    <row r="3288">
      <c r="A3288" s="25" t="n">
        <v>43675</v>
      </c>
      <c r="B3288" s="22">
        <f>(1+B3287)*IF(AND(Painel_diario!$H3284="EU_JD",Painel_diario!$J3284=1),EXP(Painel_diario!$L3284),1)-1</f>
        <v/>
      </c>
      <c r="C3288" s="22">
        <f>(1+C3287)*IF(AND(Painel_diario!$H3284="EU_JU",Painel_diario!$J3284=1),EXP(Painel_diario!$L3284),1)-1</f>
        <v/>
      </c>
      <c r="D3288" s="22">
        <f>(1+D3287)*IF(AND(Painel_diario!$H3284="ED_JD",Painel_diario!$J3284=1),EXP(Painel_diario!$L3284),1)-1</f>
        <v/>
      </c>
      <c r="E3288" s="22">
        <f>(1+E3287)*IF(AND(Painel_diario!$H3284="ED_JU",Painel_diario!$J3284=1),EXP(Painel_diario!$L3284),1)-1</f>
        <v/>
      </c>
    </row>
    <row r="3289">
      <c r="A3289" s="25" t="n">
        <v>43676</v>
      </c>
      <c r="B3289" s="22">
        <f>(1+B3288)*IF(AND(Painel_diario!$H3285="EU_JD",Painel_diario!$J3285=1),EXP(Painel_diario!$L3285),1)-1</f>
        <v/>
      </c>
      <c r="C3289" s="22">
        <f>(1+C3288)*IF(AND(Painel_diario!$H3285="EU_JU",Painel_diario!$J3285=1),EXP(Painel_diario!$L3285),1)-1</f>
        <v/>
      </c>
      <c r="D3289" s="22">
        <f>(1+D3288)*IF(AND(Painel_diario!$H3285="ED_JD",Painel_diario!$J3285=1),EXP(Painel_diario!$L3285),1)-1</f>
        <v/>
      </c>
      <c r="E3289" s="22">
        <f>(1+E3288)*IF(AND(Painel_diario!$H3285="ED_JU",Painel_diario!$J3285=1),EXP(Painel_diario!$L3285),1)-1</f>
        <v/>
      </c>
    </row>
    <row r="3290">
      <c r="A3290" s="25" t="n">
        <v>43677</v>
      </c>
      <c r="B3290" s="22">
        <f>(1+B3289)*IF(AND(Painel_diario!$H3286="EU_JD",Painel_diario!$J3286=1),EXP(Painel_diario!$L3286),1)-1</f>
        <v/>
      </c>
      <c r="C3290" s="22">
        <f>(1+C3289)*IF(AND(Painel_diario!$H3286="EU_JU",Painel_diario!$J3286=1),EXP(Painel_diario!$L3286),1)-1</f>
        <v/>
      </c>
      <c r="D3290" s="22">
        <f>(1+D3289)*IF(AND(Painel_diario!$H3286="ED_JD",Painel_diario!$J3286=1),EXP(Painel_diario!$L3286),1)-1</f>
        <v/>
      </c>
      <c r="E3290" s="22">
        <f>(1+E3289)*IF(AND(Painel_diario!$H3286="ED_JU",Painel_diario!$J3286=1),EXP(Painel_diario!$L3286),1)-1</f>
        <v/>
      </c>
    </row>
    <row r="3291">
      <c r="A3291" s="25" t="n">
        <v>43678</v>
      </c>
      <c r="B3291" s="22">
        <f>(1+B3290)*IF(AND(Painel_diario!$H3287="EU_JD",Painel_diario!$J3287=1),EXP(Painel_diario!$L3287),1)-1</f>
        <v/>
      </c>
      <c r="C3291" s="22">
        <f>(1+C3290)*IF(AND(Painel_diario!$H3287="EU_JU",Painel_diario!$J3287=1),EXP(Painel_diario!$L3287),1)-1</f>
        <v/>
      </c>
      <c r="D3291" s="22">
        <f>(1+D3290)*IF(AND(Painel_diario!$H3287="ED_JD",Painel_diario!$J3287=1),EXP(Painel_diario!$L3287),1)-1</f>
        <v/>
      </c>
      <c r="E3291" s="22">
        <f>(1+E3290)*IF(AND(Painel_diario!$H3287="ED_JU",Painel_diario!$J3287=1),EXP(Painel_diario!$L3287),1)-1</f>
        <v/>
      </c>
    </row>
    <row r="3292">
      <c r="A3292" s="25" t="n">
        <v>43679</v>
      </c>
      <c r="B3292" s="22">
        <f>(1+B3291)*IF(AND(Painel_diario!$H3288="EU_JD",Painel_diario!$J3288=1),EXP(Painel_diario!$L3288),1)-1</f>
        <v/>
      </c>
      <c r="C3292" s="22">
        <f>(1+C3291)*IF(AND(Painel_diario!$H3288="EU_JU",Painel_diario!$J3288=1),EXP(Painel_diario!$L3288),1)-1</f>
        <v/>
      </c>
      <c r="D3292" s="22">
        <f>(1+D3291)*IF(AND(Painel_diario!$H3288="ED_JD",Painel_diario!$J3288=1),EXP(Painel_diario!$L3288),1)-1</f>
        <v/>
      </c>
      <c r="E3292" s="22">
        <f>(1+E3291)*IF(AND(Painel_diario!$H3288="ED_JU",Painel_diario!$J3288=1),EXP(Painel_diario!$L3288),1)-1</f>
        <v/>
      </c>
    </row>
    <row r="3293">
      <c r="A3293" s="25" t="n">
        <v>43682</v>
      </c>
      <c r="B3293" s="22">
        <f>(1+B3292)*IF(AND(Painel_diario!$H3289="EU_JD",Painel_diario!$J3289=1),EXP(Painel_diario!$L3289),1)-1</f>
        <v/>
      </c>
      <c r="C3293" s="22">
        <f>(1+C3292)*IF(AND(Painel_diario!$H3289="EU_JU",Painel_diario!$J3289=1),EXP(Painel_diario!$L3289),1)-1</f>
        <v/>
      </c>
      <c r="D3293" s="22">
        <f>(1+D3292)*IF(AND(Painel_diario!$H3289="ED_JD",Painel_diario!$J3289=1),EXP(Painel_diario!$L3289),1)-1</f>
        <v/>
      </c>
      <c r="E3293" s="22">
        <f>(1+E3292)*IF(AND(Painel_diario!$H3289="ED_JU",Painel_diario!$J3289=1),EXP(Painel_diario!$L3289),1)-1</f>
        <v/>
      </c>
    </row>
    <row r="3294">
      <c r="A3294" s="25" t="n">
        <v>43683</v>
      </c>
      <c r="B3294" s="22">
        <f>(1+B3293)*IF(AND(Painel_diario!$H3290="EU_JD",Painel_diario!$J3290=1),EXP(Painel_diario!$L3290),1)-1</f>
        <v/>
      </c>
      <c r="C3294" s="22">
        <f>(1+C3293)*IF(AND(Painel_diario!$H3290="EU_JU",Painel_diario!$J3290=1),EXP(Painel_diario!$L3290),1)-1</f>
        <v/>
      </c>
      <c r="D3294" s="22">
        <f>(1+D3293)*IF(AND(Painel_diario!$H3290="ED_JD",Painel_diario!$J3290=1),EXP(Painel_diario!$L3290),1)-1</f>
        <v/>
      </c>
      <c r="E3294" s="22">
        <f>(1+E3293)*IF(AND(Painel_diario!$H3290="ED_JU",Painel_diario!$J3290=1),EXP(Painel_diario!$L3290),1)-1</f>
        <v/>
      </c>
    </row>
    <row r="3295">
      <c r="A3295" s="25" t="n">
        <v>43684</v>
      </c>
      <c r="B3295" s="22">
        <f>(1+B3294)*IF(AND(Painel_diario!$H3291="EU_JD",Painel_diario!$J3291=1),EXP(Painel_diario!$L3291),1)-1</f>
        <v/>
      </c>
      <c r="C3295" s="22">
        <f>(1+C3294)*IF(AND(Painel_diario!$H3291="EU_JU",Painel_diario!$J3291=1),EXP(Painel_diario!$L3291),1)-1</f>
        <v/>
      </c>
      <c r="D3295" s="22">
        <f>(1+D3294)*IF(AND(Painel_diario!$H3291="ED_JD",Painel_diario!$J3291=1),EXP(Painel_diario!$L3291),1)-1</f>
        <v/>
      </c>
      <c r="E3295" s="22">
        <f>(1+E3294)*IF(AND(Painel_diario!$H3291="ED_JU",Painel_diario!$J3291=1),EXP(Painel_diario!$L3291),1)-1</f>
        <v/>
      </c>
    </row>
    <row r="3296">
      <c r="A3296" s="25" t="n">
        <v>43685</v>
      </c>
      <c r="B3296" s="22">
        <f>(1+B3295)*IF(AND(Painel_diario!$H3292="EU_JD",Painel_diario!$J3292=1),EXP(Painel_diario!$L3292),1)-1</f>
        <v/>
      </c>
      <c r="C3296" s="22">
        <f>(1+C3295)*IF(AND(Painel_diario!$H3292="EU_JU",Painel_diario!$J3292=1),EXP(Painel_diario!$L3292),1)-1</f>
        <v/>
      </c>
      <c r="D3296" s="22">
        <f>(1+D3295)*IF(AND(Painel_diario!$H3292="ED_JD",Painel_diario!$J3292=1),EXP(Painel_diario!$L3292),1)-1</f>
        <v/>
      </c>
      <c r="E3296" s="22">
        <f>(1+E3295)*IF(AND(Painel_diario!$H3292="ED_JU",Painel_diario!$J3292=1),EXP(Painel_diario!$L3292),1)-1</f>
        <v/>
      </c>
    </row>
    <row r="3297">
      <c r="A3297" s="25" t="n">
        <v>43686</v>
      </c>
      <c r="B3297" s="22">
        <f>(1+B3296)*IF(AND(Painel_diario!$H3293="EU_JD",Painel_diario!$J3293=1),EXP(Painel_diario!$L3293),1)-1</f>
        <v/>
      </c>
      <c r="C3297" s="22">
        <f>(1+C3296)*IF(AND(Painel_diario!$H3293="EU_JU",Painel_diario!$J3293=1),EXP(Painel_diario!$L3293),1)-1</f>
        <v/>
      </c>
      <c r="D3297" s="22">
        <f>(1+D3296)*IF(AND(Painel_diario!$H3293="ED_JD",Painel_diario!$J3293=1),EXP(Painel_diario!$L3293),1)-1</f>
        <v/>
      </c>
      <c r="E3297" s="22">
        <f>(1+E3296)*IF(AND(Painel_diario!$H3293="ED_JU",Painel_diario!$J3293=1),EXP(Painel_diario!$L3293),1)-1</f>
        <v/>
      </c>
    </row>
    <row r="3298">
      <c r="A3298" s="25" t="n">
        <v>43689</v>
      </c>
      <c r="B3298" s="22">
        <f>(1+B3297)*IF(AND(Painel_diario!$H3294="EU_JD",Painel_diario!$J3294=1),EXP(Painel_diario!$L3294),1)-1</f>
        <v/>
      </c>
      <c r="C3298" s="22">
        <f>(1+C3297)*IF(AND(Painel_diario!$H3294="EU_JU",Painel_diario!$J3294=1),EXP(Painel_diario!$L3294),1)-1</f>
        <v/>
      </c>
      <c r="D3298" s="22">
        <f>(1+D3297)*IF(AND(Painel_diario!$H3294="ED_JD",Painel_diario!$J3294=1),EXP(Painel_diario!$L3294),1)-1</f>
        <v/>
      </c>
      <c r="E3298" s="22">
        <f>(1+E3297)*IF(AND(Painel_diario!$H3294="ED_JU",Painel_diario!$J3294=1),EXP(Painel_diario!$L3294),1)-1</f>
        <v/>
      </c>
    </row>
    <row r="3299">
      <c r="A3299" s="25" t="n">
        <v>43690</v>
      </c>
      <c r="B3299" s="22">
        <f>(1+B3298)*IF(AND(Painel_diario!$H3295="EU_JD",Painel_diario!$J3295=1),EXP(Painel_diario!$L3295),1)-1</f>
        <v/>
      </c>
      <c r="C3299" s="22">
        <f>(1+C3298)*IF(AND(Painel_diario!$H3295="EU_JU",Painel_diario!$J3295=1),EXP(Painel_diario!$L3295),1)-1</f>
        <v/>
      </c>
      <c r="D3299" s="22">
        <f>(1+D3298)*IF(AND(Painel_diario!$H3295="ED_JD",Painel_diario!$J3295=1),EXP(Painel_diario!$L3295),1)-1</f>
        <v/>
      </c>
      <c r="E3299" s="22">
        <f>(1+E3298)*IF(AND(Painel_diario!$H3295="ED_JU",Painel_diario!$J3295=1),EXP(Painel_diario!$L3295),1)-1</f>
        <v/>
      </c>
    </row>
    <row r="3300">
      <c r="A3300" s="25" t="n">
        <v>43691</v>
      </c>
      <c r="B3300" s="22">
        <f>(1+B3299)*IF(AND(Painel_diario!$H3296="EU_JD",Painel_diario!$J3296=1),EXP(Painel_diario!$L3296),1)-1</f>
        <v/>
      </c>
      <c r="C3300" s="22">
        <f>(1+C3299)*IF(AND(Painel_diario!$H3296="EU_JU",Painel_diario!$J3296=1),EXP(Painel_diario!$L3296),1)-1</f>
        <v/>
      </c>
      <c r="D3300" s="22">
        <f>(1+D3299)*IF(AND(Painel_diario!$H3296="ED_JD",Painel_diario!$J3296=1),EXP(Painel_diario!$L3296),1)-1</f>
        <v/>
      </c>
      <c r="E3300" s="22">
        <f>(1+E3299)*IF(AND(Painel_diario!$H3296="ED_JU",Painel_diario!$J3296=1),EXP(Painel_diario!$L3296),1)-1</f>
        <v/>
      </c>
    </row>
    <row r="3301">
      <c r="A3301" s="25" t="n">
        <v>43692</v>
      </c>
      <c r="B3301" s="22">
        <f>(1+B3300)*IF(AND(Painel_diario!$H3297="EU_JD",Painel_diario!$J3297=1),EXP(Painel_diario!$L3297),1)-1</f>
        <v/>
      </c>
      <c r="C3301" s="22">
        <f>(1+C3300)*IF(AND(Painel_diario!$H3297="EU_JU",Painel_diario!$J3297=1),EXP(Painel_diario!$L3297),1)-1</f>
        <v/>
      </c>
      <c r="D3301" s="22">
        <f>(1+D3300)*IF(AND(Painel_diario!$H3297="ED_JD",Painel_diario!$J3297=1),EXP(Painel_diario!$L3297),1)-1</f>
        <v/>
      </c>
      <c r="E3301" s="22">
        <f>(1+E3300)*IF(AND(Painel_diario!$H3297="ED_JU",Painel_diario!$J3297=1),EXP(Painel_diario!$L3297),1)-1</f>
        <v/>
      </c>
    </row>
    <row r="3302">
      <c r="A3302" s="25" t="n">
        <v>43693</v>
      </c>
      <c r="B3302" s="22">
        <f>(1+B3301)*IF(AND(Painel_diario!$H3298="EU_JD",Painel_diario!$J3298=1),EXP(Painel_diario!$L3298),1)-1</f>
        <v/>
      </c>
      <c r="C3302" s="22">
        <f>(1+C3301)*IF(AND(Painel_diario!$H3298="EU_JU",Painel_diario!$J3298=1),EXP(Painel_diario!$L3298),1)-1</f>
        <v/>
      </c>
      <c r="D3302" s="22">
        <f>(1+D3301)*IF(AND(Painel_diario!$H3298="ED_JD",Painel_diario!$J3298=1),EXP(Painel_diario!$L3298),1)-1</f>
        <v/>
      </c>
      <c r="E3302" s="22">
        <f>(1+E3301)*IF(AND(Painel_diario!$H3298="ED_JU",Painel_diario!$J3298=1),EXP(Painel_diario!$L3298),1)-1</f>
        <v/>
      </c>
    </row>
    <row r="3303">
      <c r="A3303" s="25" t="n">
        <v>43696</v>
      </c>
      <c r="B3303" s="22">
        <f>(1+B3302)*IF(AND(Painel_diario!$H3299="EU_JD",Painel_diario!$J3299=1),EXP(Painel_diario!$L3299),1)-1</f>
        <v/>
      </c>
      <c r="C3303" s="22">
        <f>(1+C3302)*IF(AND(Painel_diario!$H3299="EU_JU",Painel_diario!$J3299=1),EXP(Painel_diario!$L3299),1)-1</f>
        <v/>
      </c>
      <c r="D3303" s="22">
        <f>(1+D3302)*IF(AND(Painel_diario!$H3299="ED_JD",Painel_diario!$J3299=1),EXP(Painel_diario!$L3299),1)-1</f>
        <v/>
      </c>
      <c r="E3303" s="22">
        <f>(1+E3302)*IF(AND(Painel_diario!$H3299="ED_JU",Painel_diario!$J3299=1),EXP(Painel_diario!$L3299),1)-1</f>
        <v/>
      </c>
    </row>
    <row r="3304">
      <c r="A3304" s="25" t="n">
        <v>43697</v>
      </c>
      <c r="B3304" s="22">
        <f>(1+B3303)*IF(AND(Painel_diario!$H3300="EU_JD",Painel_diario!$J3300=1),EXP(Painel_diario!$L3300),1)-1</f>
        <v/>
      </c>
      <c r="C3304" s="22">
        <f>(1+C3303)*IF(AND(Painel_diario!$H3300="EU_JU",Painel_diario!$J3300=1),EXP(Painel_diario!$L3300),1)-1</f>
        <v/>
      </c>
      <c r="D3304" s="22">
        <f>(1+D3303)*IF(AND(Painel_diario!$H3300="ED_JD",Painel_diario!$J3300=1),EXP(Painel_diario!$L3300),1)-1</f>
        <v/>
      </c>
      <c r="E3304" s="22">
        <f>(1+E3303)*IF(AND(Painel_diario!$H3300="ED_JU",Painel_diario!$J3300=1),EXP(Painel_diario!$L3300),1)-1</f>
        <v/>
      </c>
    </row>
    <row r="3305">
      <c r="A3305" s="25" t="n">
        <v>43698</v>
      </c>
      <c r="B3305" s="22">
        <f>(1+B3304)*IF(AND(Painel_diario!$H3301="EU_JD",Painel_diario!$J3301=1),EXP(Painel_diario!$L3301),1)-1</f>
        <v/>
      </c>
      <c r="C3305" s="22">
        <f>(1+C3304)*IF(AND(Painel_diario!$H3301="EU_JU",Painel_diario!$J3301=1),EXP(Painel_diario!$L3301),1)-1</f>
        <v/>
      </c>
      <c r="D3305" s="22">
        <f>(1+D3304)*IF(AND(Painel_diario!$H3301="ED_JD",Painel_diario!$J3301=1),EXP(Painel_diario!$L3301),1)-1</f>
        <v/>
      </c>
      <c r="E3305" s="22">
        <f>(1+E3304)*IF(AND(Painel_diario!$H3301="ED_JU",Painel_diario!$J3301=1),EXP(Painel_diario!$L3301),1)-1</f>
        <v/>
      </c>
    </row>
    <row r="3306">
      <c r="A3306" s="25" t="n">
        <v>43699</v>
      </c>
      <c r="B3306" s="22">
        <f>(1+B3305)*IF(AND(Painel_diario!$H3302="EU_JD",Painel_diario!$J3302=1),EXP(Painel_diario!$L3302),1)-1</f>
        <v/>
      </c>
      <c r="C3306" s="22">
        <f>(1+C3305)*IF(AND(Painel_diario!$H3302="EU_JU",Painel_diario!$J3302=1),EXP(Painel_diario!$L3302),1)-1</f>
        <v/>
      </c>
      <c r="D3306" s="22">
        <f>(1+D3305)*IF(AND(Painel_diario!$H3302="ED_JD",Painel_diario!$J3302=1),EXP(Painel_diario!$L3302),1)-1</f>
        <v/>
      </c>
      <c r="E3306" s="22">
        <f>(1+E3305)*IF(AND(Painel_diario!$H3302="ED_JU",Painel_diario!$J3302=1),EXP(Painel_diario!$L3302),1)-1</f>
        <v/>
      </c>
    </row>
    <row r="3307">
      <c r="A3307" s="25" t="n">
        <v>43700</v>
      </c>
      <c r="B3307" s="22">
        <f>(1+B3306)*IF(AND(Painel_diario!$H3303="EU_JD",Painel_diario!$J3303=1),EXP(Painel_diario!$L3303),1)-1</f>
        <v/>
      </c>
      <c r="C3307" s="22">
        <f>(1+C3306)*IF(AND(Painel_diario!$H3303="EU_JU",Painel_diario!$J3303=1),EXP(Painel_diario!$L3303),1)-1</f>
        <v/>
      </c>
      <c r="D3307" s="22">
        <f>(1+D3306)*IF(AND(Painel_diario!$H3303="ED_JD",Painel_diario!$J3303=1),EXP(Painel_diario!$L3303),1)-1</f>
        <v/>
      </c>
      <c r="E3307" s="22">
        <f>(1+E3306)*IF(AND(Painel_diario!$H3303="ED_JU",Painel_diario!$J3303=1),EXP(Painel_diario!$L3303),1)-1</f>
        <v/>
      </c>
    </row>
    <row r="3308">
      <c r="A3308" s="25" t="n">
        <v>43703</v>
      </c>
      <c r="B3308" s="22">
        <f>(1+B3307)*IF(AND(Painel_diario!$H3304="EU_JD",Painel_diario!$J3304=1),EXP(Painel_diario!$L3304),1)-1</f>
        <v/>
      </c>
      <c r="C3308" s="22">
        <f>(1+C3307)*IF(AND(Painel_diario!$H3304="EU_JU",Painel_diario!$J3304=1),EXP(Painel_diario!$L3304),1)-1</f>
        <v/>
      </c>
      <c r="D3308" s="22">
        <f>(1+D3307)*IF(AND(Painel_diario!$H3304="ED_JD",Painel_diario!$J3304=1),EXP(Painel_diario!$L3304),1)-1</f>
        <v/>
      </c>
      <c r="E3308" s="22">
        <f>(1+E3307)*IF(AND(Painel_diario!$H3304="ED_JU",Painel_diario!$J3304=1),EXP(Painel_diario!$L3304),1)-1</f>
        <v/>
      </c>
    </row>
    <row r="3309">
      <c r="A3309" s="25" t="n">
        <v>43704</v>
      </c>
      <c r="B3309" s="22">
        <f>(1+B3308)*IF(AND(Painel_diario!$H3305="EU_JD",Painel_diario!$J3305=1),EXP(Painel_diario!$L3305),1)-1</f>
        <v/>
      </c>
      <c r="C3309" s="22">
        <f>(1+C3308)*IF(AND(Painel_diario!$H3305="EU_JU",Painel_diario!$J3305=1),EXP(Painel_diario!$L3305),1)-1</f>
        <v/>
      </c>
      <c r="D3309" s="22">
        <f>(1+D3308)*IF(AND(Painel_diario!$H3305="ED_JD",Painel_diario!$J3305=1),EXP(Painel_diario!$L3305),1)-1</f>
        <v/>
      </c>
      <c r="E3309" s="22">
        <f>(1+E3308)*IF(AND(Painel_diario!$H3305="ED_JU",Painel_diario!$J3305=1),EXP(Painel_diario!$L3305),1)-1</f>
        <v/>
      </c>
    </row>
    <row r="3310">
      <c r="A3310" s="25" t="n">
        <v>43705</v>
      </c>
      <c r="B3310" s="22">
        <f>(1+B3309)*IF(AND(Painel_diario!$H3306="EU_JD",Painel_diario!$J3306=1),EXP(Painel_diario!$L3306),1)-1</f>
        <v/>
      </c>
      <c r="C3310" s="22">
        <f>(1+C3309)*IF(AND(Painel_diario!$H3306="EU_JU",Painel_diario!$J3306=1),EXP(Painel_diario!$L3306),1)-1</f>
        <v/>
      </c>
      <c r="D3310" s="22">
        <f>(1+D3309)*IF(AND(Painel_diario!$H3306="ED_JD",Painel_diario!$J3306=1),EXP(Painel_diario!$L3306),1)-1</f>
        <v/>
      </c>
      <c r="E3310" s="22">
        <f>(1+E3309)*IF(AND(Painel_diario!$H3306="ED_JU",Painel_diario!$J3306=1),EXP(Painel_diario!$L3306),1)-1</f>
        <v/>
      </c>
    </row>
    <row r="3311">
      <c r="A3311" s="25" t="n">
        <v>43706</v>
      </c>
      <c r="B3311" s="22">
        <f>(1+B3310)*IF(AND(Painel_diario!$H3307="EU_JD",Painel_diario!$J3307=1),EXP(Painel_diario!$L3307),1)-1</f>
        <v/>
      </c>
      <c r="C3311" s="22">
        <f>(1+C3310)*IF(AND(Painel_diario!$H3307="EU_JU",Painel_diario!$J3307=1),EXP(Painel_diario!$L3307),1)-1</f>
        <v/>
      </c>
      <c r="D3311" s="22">
        <f>(1+D3310)*IF(AND(Painel_diario!$H3307="ED_JD",Painel_diario!$J3307=1),EXP(Painel_diario!$L3307),1)-1</f>
        <v/>
      </c>
      <c r="E3311" s="22">
        <f>(1+E3310)*IF(AND(Painel_diario!$H3307="ED_JU",Painel_diario!$J3307=1),EXP(Painel_diario!$L3307),1)-1</f>
        <v/>
      </c>
    </row>
    <row r="3312">
      <c r="A3312" s="25" t="n">
        <v>43707</v>
      </c>
      <c r="B3312" s="22">
        <f>(1+B3311)*IF(AND(Painel_diario!$H3308="EU_JD",Painel_diario!$J3308=1),EXP(Painel_diario!$L3308),1)-1</f>
        <v/>
      </c>
      <c r="C3312" s="22">
        <f>(1+C3311)*IF(AND(Painel_diario!$H3308="EU_JU",Painel_diario!$J3308=1),EXP(Painel_diario!$L3308),1)-1</f>
        <v/>
      </c>
      <c r="D3312" s="22">
        <f>(1+D3311)*IF(AND(Painel_diario!$H3308="ED_JD",Painel_diario!$J3308=1),EXP(Painel_diario!$L3308),1)-1</f>
        <v/>
      </c>
      <c r="E3312" s="22">
        <f>(1+E3311)*IF(AND(Painel_diario!$H3308="ED_JU",Painel_diario!$J3308=1),EXP(Painel_diario!$L3308),1)-1</f>
        <v/>
      </c>
    </row>
    <row r="3313">
      <c r="A3313" s="25" t="n">
        <v>43710</v>
      </c>
      <c r="B3313" s="22">
        <f>(1+B3312)*IF(AND(Painel_diario!$H3309="EU_JD",Painel_diario!$J3309=1),EXP(Painel_diario!$L3309),1)-1</f>
        <v/>
      </c>
      <c r="C3313" s="22">
        <f>(1+C3312)*IF(AND(Painel_diario!$H3309="EU_JU",Painel_diario!$J3309=1),EXP(Painel_diario!$L3309),1)-1</f>
        <v/>
      </c>
      <c r="D3313" s="22">
        <f>(1+D3312)*IF(AND(Painel_diario!$H3309="ED_JD",Painel_diario!$J3309=1),EXP(Painel_diario!$L3309),1)-1</f>
        <v/>
      </c>
      <c r="E3313" s="22">
        <f>(1+E3312)*IF(AND(Painel_diario!$H3309="ED_JU",Painel_diario!$J3309=1),EXP(Painel_diario!$L3309),1)-1</f>
        <v/>
      </c>
    </row>
    <row r="3314">
      <c r="A3314" s="25" t="n">
        <v>43711</v>
      </c>
      <c r="B3314" s="22">
        <f>(1+B3313)*IF(AND(Painel_diario!$H3310="EU_JD",Painel_diario!$J3310=1),EXP(Painel_diario!$L3310),1)-1</f>
        <v/>
      </c>
      <c r="C3314" s="22">
        <f>(1+C3313)*IF(AND(Painel_diario!$H3310="EU_JU",Painel_diario!$J3310=1),EXP(Painel_diario!$L3310),1)-1</f>
        <v/>
      </c>
      <c r="D3314" s="22">
        <f>(1+D3313)*IF(AND(Painel_diario!$H3310="ED_JD",Painel_diario!$J3310=1),EXP(Painel_diario!$L3310),1)-1</f>
        <v/>
      </c>
      <c r="E3314" s="22">
        <f>(1+E3313)*IF(AND(Painel_diario!$H3310="ED_JU",Painel_diario!$J3310=1),EXP(Painel_diario!$L3310),1)-1</f>
        <v/>
      </c>
    </row>
    <row r="3315">
      <c r="A3315" s="25" t="n">
        <v>43712</v>
      </c>
      <c r="B3315" s="22">
        <f>(1+B3314)*IF(AND(Painel_diario!$H3311="EU_JD",Painel_diario!$J3311=1),EXP(Painel_diario!$L3311),1)-1</f>
        <v/>
      </c>
      <c r="C3315" s="22">
        <f>(1+C3314)*IF(AND(Painel_diario!$H3311="EU_JU",Painel_diario!$J3311=1),EXP(Painel_diario!$L3311),1)-1</f>
        <v/>
      </c>
      <c r="D3315" s="22">
        <f>(1+D3314)*IF(AND(Painel_diario!$H3311="ED_JD",Painel_diario!$J3311=1),EXP(Painel_diario!$L3311),1)-1</f>
        <v/>
      </c>
      <c r="E3315" s="22">
        <f>(1+E3314)*IF(AND(Painel_diario!$H3311="ED_JU",Painel_diario!$J3311=1),EXP(Painel_diario!$L3311),1)-1</f>
        <v/>
      </c>
    </row>
    <row r="3316">
      <c r="A3316" s="25" t="n">
        <v>43713</v>
      </c>
      <c r="B3316" s="22">
        <f>(1+B3315)*IF(AND(Painel_diario!$H3312="EU_JD",Painel_diario!$J3312=1),EXP(Painel_diario!$L3312),1)-1</f>
        <v/>
      </c>
      <c r="C3316" s="22">
        <f>(1+C3315)*IF(AND(Painel_diario!$H3312="EU_JU",Painel_diario!$J3312=1),EXP(Painel_diario!$L3312),1)-1</f>
        <v/>
      </c>
      <c r="D3316" s="22">
        <f>(1+D3315)*IF(AND(Painel_diario!$H3312="ED_JD",Painel_diario!$J3312=1),EXP(Painel_diario!$L3312),1)-1</f>
        <v/>
      </c>
      <c r="E3316" s="22">
        <f>(1+E3315)*IF(AND(Painel_diario!$H3312="ED_JU",Painel_diario!$J3312=1),EXP(Painel_diario!$L3312),1)-1</f>
        <v/>
      </c>
    </row>
    <row r="3317">
      <c r="A3317" s="25" t="n">
        <v>43714</v>
      </c>
      <c r="B3317" s="22">
        <f>(1+B3316)*IF(AND(Painel_diario!$H3313="EU_JD",Painel_diario!$J3313=1),EXP(Painel_diario!$L3313),1)-1</f>
        <v/>
      </c>
      <c r="C3317" s="22">
        <f>(1+C3316)*IF(AND(Painel_diario!$H3313="EU_JU",Painel_diario!$J3313=1),EXP(Painel_diario!$L3313),1)-1</f>
        <v/>
      </c>
      <c r="D3317" s="22">
        <f>(1+D3316)*IF(AND(Painel_diario!$H3313="ED_JD",Painel_diario!$J3313=1),EXP(Painel_diario!$L3313),1)-1</f>
        <v/>
      </c>
      <c r="E3317" s="22">
        <f>(1+E3316)*IF(AND(Painel_diario!$H3313="ED_JU",Painel_diario!$J3313=1),EXP(Painel_diario!$L3313),1)-1</f>
        <v/>
      </c>
    </row>
    <row r="3318">
      <c r="A3318" s="25" t="n">
        <v>43717</v>
      </c>
      <c r="B3318" s="22">
        <f>(1+B3317)*IF(AND(Painel_diario!$H3314="EU_JD",Painel_diario!$J3314=1),EXP(Painel_diario!$L3314),1)-1</f>
        <v/>
      </c>
      <c r="C3318" s="22">
        <f>(1+C3317)*IF(AND(Painel_diario!$H3314="EU_JU",Painel_diario!$J3314=1),EXP(Painel_diario!$L3314),1)-1</f>
        <v/>
      </c>
      <c r="D3318" s="22">
        <f>(1+D3317)*IF(AND(Painel_diario!$H3314="ED_JD",Painel_diario!$J3314=1),EXP(Painel_diario!$L3314),1)-1</f>
        <v/>
      </c>
      <c r="E3318" s="22">
        <f>(1+E3317)*IF(AND(Painel_diario!$H3314="ED_JU",Painel_diario!$J3314=1),EXP(Painel_diario!$L3314),1)-1</f>
        <v/>
      </c>
    </row>
    <row r="3319">
      <c r="A3319" s="25" t="n">
        <v>43718</v>
      </c>
      <c r="B3319" s="22">
        <f>(1+B3318)*IF(AND(Painel_diario!$H3315="EU_JD",Painel_diario!$J3315=1),EXP(Painel_diario!$L3315),1)-1</f>
        <v/>
      </c>
      <c r="C3319" s="22">
        <f>(1+C3318)*IF(AND(Painel_diario!$H3315="EU_JU",Painel_diario!$J3315=1),EXP(Painel_diario!$L3315),1)-1</f>
        <v/>
      </c>
      <c r="D3319" s="22">
        <f>(1+D3318)*IF(AND(Painel_diario!$H3315="ED_JD",Painel_diario!$J3315=1),EXP(Painel_diario!$L3315),1)-1</f>
        <v/>
      </c>
      <c r="E3319" s="22">
        <f>(1+E3318)*IF(AND(Painel_diario!$H3315="ED_JU",Painel_diario!$J3315=1),EXP(Painel_diario!$L3315),1)-1</f>
        <v/>
      </c>
    </row>
    <row r="3320">
      <c r="A3320" s="25" t="n">
        <v>43719</v>
      </c>
      <c r="B3320" s="22">
        <f>(1+B3319)*IF(AND(Painel_diario!$H3316="EU_JD",Painel_diario!$J3316=1),EXP(Painel_diario!$L3316),1)-1</f>
        <v/>
      </c>
      <c r="C3320" s="22">
        <f>(1+C3319)*IF(AND(Painel_diario!$H3316="EU_JU",Painel_diario!$J3316=1),EXP(Painel_diario!$L3316),1)-1</f>
        <v/>
      </c>
      <c r="D3320" s="22">
        <f>(1+D3319)*IF(AND(Painel_diario!$H3316="ED_JD",Painel_diario!$J3316=1),EXP(Painel_diario!$L3316),1)-1</f>
        <v/>
      </c>
      <c r="E3320" s="22">
        <f>(1+E3319)*IF(AND(Painel_diario!$H3316="ED_JU",Painel_diario!$J3316=1),EXP(Painel_diario!$L3316),1)-1</f>
        <v/>
      </c>
    </row>
    <row r="3321">
      <c r="A3321" s="25" t="n">
        <v>43720</v>
      </c>
      <c r="B3321" s="22">
        <f>(1+B3320)*IF(AND(Painel_diario!$H3317="EU_JD",Painel_diario!$J3317=1),EXP(Painel_diario!$L3317),1)-1</f>
        <v/>
      </c>
      <c r="C3321" s="22">
        <f>(1+C3320)*IF(AND(Painel_diario!$H3317="EU_JU",Painel_diario!$J3317=1),EXP(Painel_diario!$L3317),1)-1</f>
        <v/>
      </c>
      <c r="D3321" s="22">
        <f>(1+D3320)*IF(AND(Painel_diario!$H3317="ED_JD",Painel_diario!$J3317=1),EXP(Painel_diario!$L3317),1)-1</f>
        <v/>
      </c>
      <c r="E3321" s="22">
        <f>(1+E3320)*IF(AND(Painel_diario!$H3317="ED_JU",Painel_diario!$J3317=1),EXP(Painel_diario!$L3317),1)-1</f>
        <v/>
      </c>
    </row>
    <row r="3322">
      <c r="A3322" s="25" t="n">
        <v>43721</v>
      </c>
      <c r="B3322" s="22">
        <f>(1+B3321)*IF(AND(Painel_diario!$H3318="EU_JD",Painel_diario!$J3318=1),EXP(Painel_diario!$L3318),1)-1</f>
        <v/>
      </c>
      <c r="C3322" s="22">
        <f>(1+C3321)*IF(AND(Painel_diario!$H3318="EU_JU",Painel_diario!$J3318=1),EXP(Painel_diario!$L3318),1)-1</f>
        <v/>
      </c>
      <c r="D3322" s="22">
        <f>(1+D3321)*IF(AND(Painel_diario!$H3318="ED_JD",Painel_diario!$J3318=1),EXP(Painel_diario!$L3318),1)-1</f>
        <v/>
      </c>
      <c r="E3322" s="22">
        <f>(1+E3321)*IF(AND(Painel_diario!$H3318="ED_JU",Painel_diario!$J3318=1),EXP(Painel_diario!$L3318),1)-1</f>
        <v/>
      </c>
    </row>
    <row r="3323">
      <c r="A3323" s="25" t="n">
        <v>43724</v>
      </c>
      <c r="B3323" s="22">
        <f>(1+B3322)*IF(AND(Painel_diario!$H3319="EU_JD",Painel_diario!$J3319=1),EXP(Painel_diario!$L3319),1)-1</f>
        <v/>
      </c>
      <c r="C3323" s="22">
        <f>(1+C3322)*IF(AND(Painel_diario!$H3319="EU_JU",Painel_diario!$J3319=1),EXP(Painel_diario!$L3319),1)-1</f>
        <v/>
      </c>
      <c r="D3323" s="22">
        <f>(1+D3322)*IF(AND(Painel_diario!$H3319="ED_JD",Painel_diario!$J3319=1),EXP(Painel_diario!$L3319),1)-1</f>
        <v/>
      </c>
      <c r="E3323" s="22">
        <f>(1+E3322)*IF(AND(Painel_diario!$H3319="ED_JU",Painel_diario!$J3319=1),EXP(Painel_diario!$L3319),1)-1</f>
        <v/>
      </c>
    </row>
    <row r="3324">
      <c r="A3324" s="25" t="n">
        <v>43725</v>
      </c>
      <c r="B3324" s="22">
        <f>(1+B3323)*IF(AND(Painel_diario!$H3320="EU_JD",Painel_diario!$J3320=1),EXP(Painel_diario!$L3320),1)-1</f>
        <v/>
      </c>
      <c r="C3324" s="22">
        <f>(1+C3323)*IF(AND(Painel_diario!$H3320="EU_JU",Painel_diario!$J3320=1),EXP(Painel_diario!$L3320),1)-1</f>
        <v/>
      </c>
      <c r="D3324" s="22">
        <f>(1+D3323)*IF(AND(Painel_diario!$H3320="ED_JD",Painel_diario!$J3320=1),EXP(Painel_diario!$L3320),1)-1</f>
        <v/>
      </c>
      <c r="E3324" s="22">
        <f>(1+E3323)*IF(AND(Painel_diario!$H3320="ED_JU",Painel_diario!$J3320=1),EXP(Painel_diario!$L3320),1)-1</f>
        <v/>
      </c>
    </row>
    <row r="3325">
      <c r="A3325" s="25" t="n">
        <v>43726</v>
      </c>
      <c r="B3325" s="22">
        <f>(1+B3324)*IF(AND(Painel_diario!$H3321="EU_JD",Painel_diario!$J3321=1),EXP(Painel_diario!$L3321),1)-1</f>
        <v/>
      </c>
      <c r="C3325" s="22">
        <f>(1+C3324)*IF(AND(Painel_diario!$H3321="EU_JU",Painel_diario!$J3321=1),EXP(Painel_diario!$L3321),1)-1</f>
        <v/>
      </c>
      <c r="D3325" s="22">
        <f>(1+D3324)*IF(AND(Painel_diario!$H3321="ED_JD",Painel_diario!$J3321=1),EXP(Painel_diario!$L3321),1)-1</f>
        <v/>
      </c>
      <c r="E3325" s="22">
        <f>(1+E3324)*IF(AND(Painel_diario!$H3321="ED_JU",Painel_diario!$J3321=1),EXP(Painel_diario!$L3321),1)-1</f>
        <v/>
      </c>
    </row>
    <row r="3326">
      <c r="A3326" s="25" t="n">
        <v>43727</v>
      </c>
      <c r="B3326" s="22">
        <f>(1+B3325)*IF(AND(Painel_diario!$H3322="EU_JD",Painel_diario!$J3322=1),EXP(Painel_diario!$L3322),1)-1</f>
        <v/>
      </c>
      <c r="C3326" s="22">
        <f>(1+C3325)*IF(AND(Painel_diario!$H3322="EU_JU",Painel_diario!$J3322=1),EXP(Painel_diario!$L3322),1)-1</f>
        <v/>
      </c>
      <c r="D3326" s="22">
        <f>(1+D3325)*IF(AND(Painel_diario!$H3322="ED_JD",Painel_diario!$J3322=1),EXP(Painel_diario!$L3322),1)-1</f>
        <v/>
      </c>
      <c r="E3326" s="22">
        <f>(1+E3325)*IF(AND(Painel_diario!$H3322="ED_JU",Painel_diario!$J3322=1),EXP(Painel_diario!$L3322),1)-1</f>
        <v/>
      </c>
    </row>
    <row r="3327">
      <c r="A3327" s="25" t="n">
        <v>43728</v>
      </c>
      <c r="B3327" s="22">
        <f>(1+B3326)*IF(AND(Painel_diario!$H3323="EU_JD",Painel_diario!$J3323=1),EXP(Painel_diario!$L3323),1)-1</f>
        <v/>
      </c>
      <c r="C3327" s="22">
        <f>(1+C3326)*IF(AND(Painel_diario!$H3323="EU_JU",Painel_diario!$J3323=1),EXP(Painel_diario!$L3323),1)-1</f>
        <v/>
      </c>
      <c r="D3327" s="22">
        <f>(1+D3326)*IF(AND(Painel_diario!$H3323="ED_JD",Painel_diario!$J3323=1),EXP(Painel_diario!$L3323),1)-1</f>
        <v/>
      </c>
      <c r="E3327" s="22">
        <f>(1+E3326)*IF(AND(Painel_diario!$H3323="ED_JU",Painel_diario!$J3323=1),EXP(Painel_diario!$L3323),1)-1</f>
        <v/>
      </c>
    </row>
    <row r="3328">
      <c r="A3328" s="25" t="n">
        <v>43731</v>
      </c>
      <c r="B3328" s="22">
        <f>(1+B3327)*IF(AND(Painel_diario!$H3324="EU_JD",Painel_diario!$J3324=1),EXP(Painel_diario!$L3324),1)-1</f>
        <v/>
      </c>
      <c r="C3328" s="22">
        <f>(1+C3327)*IF(AND(Painel_diario!$H3324="EU_JU",Painel_diario!$J3324=1),EXP(Painel_diario!$L3324),1)-1</f>
        <v/>
      </c>
      <c r="D3328" s="22">
        <f>(1+D3327)*IF(AND(Painel_diario!$H3324="ED_JD",Painel_diario!$J3324=1),EXP(Painel_diario!$L3324),1)-1</f>
        <v/>
      </c>
      <c r="E3328" s="22">
        <f>(1+E3327)*IF(AND(Painel_diario!$H3324="ED_JU",Painel_diario!$J3324=1),EXP(Painel_diario!$L3324),1)-1</f>
        <v/>
      </c>
    </row>
    <row r="3329">
      <c r="A3329" s="25" t="n">
        <v>43732</v>
      </c>
      <c r="B3329" s="22">
        <f>(1+B3328)*IF(AND(Painel_diario!$H3325="EU_JD",Painel_diario!$J3325=1),EXP(Painel_diario!$L3325),1)-1</f>
        <v/>
      </c>
      <c r="C3329" s="22">
        <f>(1+C3328)*IF(AND(Painel_diario!$H3325="EU_JU",Painel_diario!$J3325=1),EXP(Painel_diario!$L3325),1)-1</f>
        <v/>
      </c>
      <c r="D3329" s="22">
        <f>(1+D3328)*IF(AND(Painel_diario!$H3325="ED_JD",Painel_diario!$J3325=1),EXP(Painel_diario!$L3325),1)-1</f>
        <v/>
      </c>
      <c r="E3329" s="22">
        <f>(1+E3328)*IF(AND(Painel_diario!$H3325="ED_JU",Painel_diario!$J3325=1),EXP(Painel_diario!$L3325),1)-1</f>
        <v/>
      </c>
    </row>
    <row r="3330">
      <c r="A3330" s="25" t="n">
        <v>43733</v>
      </c>
      <c r="B3330" s="22">
        <f>(1+B3329)*IF(AND(Painel_diario!$H3326="EU_JD",Painel_diario!$J3326=1),EXP(Painel_diario!$L3326),1)-1</f>
        <v/>
      </c>
      <c r="C3330" s="22">
        <f>(1+C3329)*IF(AND(Painel_diario!$H3326="EU_JU",Painel_diario!$J3326=1),EXP(Painel_diario!$L3326),1)-1</f>
        <v/>
      </c>
      <c r="D3330" s="22">
        <f>(1+D3329)*IF(AND(Painel_diario!$H3326="ED_JD",Painel_diario!$J3326=1),EXP(Painel_diario!$L3326),1)-1</f>
        <v/>
      </c>
      <c r="E3330" s="22">
        <f>(1+E3329)*IF(AND(Painel_diario!$H3326="ED_JU",Painel_diario!$J3326=1),EXP(Painel_diario!$L3326),1)-1</f>
        <v/>
      </c>
    </row>
    <row r="3331">
      <c r="A3331" s="25" t="n">
        <v>43734</v>
      </c>
      <c r="B3331" s="22">
        <f>(1+B3330)*IF(AND(Painel_diario!$H3327="EU_JD",Painel_diario!$J3327=1),EXP(Painel_diario!$L3327),1)-1</f>
        <v/>
      </c>
      <c r="C3331" s="22">
        <f>(1+C3330)*IF(AND(Painel_diario!$H3327="EU_JU",Painel_diario!$J3327=1),EXP(Painel_diario!$L3327),1)-1</f>
        <v/>
      </c>
      <c r="D3331" s="22">
        <f>(1+D3330)*IF(AND(Painel_diario!$H3327="ED_JD",Painel_diario!$J3327=1),EXP(Painel_diario!$L3327),1)-1</f>
        <v/>
      </c>
      <c r="E3331" s="22">
        <f>(1+E3330)*IF(AND(Painel_diario!$H3327="ED_JU",Painel_diario!$J3327=1),EXP(Painel_diario!$L3327),1)-1</f>
        <v/>
      </c>
    </row>
    <row r="3332">
      <c r="A3332" s="25" t="n">
        <v>43735</v>
      </c>
      <c r="B3332" s="22">
        <f>(1+B3331)*IF(AND(Painel_diario!$H3328="EU_JD",Painel_diario!$J3328=1),EXP(Painel_diario!$L3328),1)-1</f>
        <v/>
      </c>
      <c r="C3332" s="22">
        <f>(1+C3331)*IF(AND(Painel_diario!$H3328="EU_JU",Painel_diario!$J3328=1),EXP(Painel_diario!$L3328),1)-1</f>
        <v/>
      </c>
      <c r="D3332" s="22">
        <f>(1+D3331)*IF(AND(Painel_diario!$H3328="ED_JD",Painel_diario!$J3328=1),EXP(Painel_diario!$L3328),1)-1</f>
        <v/>
      </c>
      <c r="E3332" s="22">
        <f>(1+E3331)*IF(AND(Painel_diario!$H3328="ED_JU",Painel_diario!$J3328=1),EXP(Painel_diario!$L3328),1)-1</f>
        <v/>
      </c>
    </row>
    <row r="3333">
      <c r="A3333" s="25" t="n">
        <v>43738</v>
      </c>
      <c r="B3333" s="22">
        <f>(1+B3332)*IF(AND(Painel_diario!$H3329="EU_JD",Painel_diario!$J3329=1),EXP(Painel_diario!$L3329),1)-1</f>
        <v/>
      </c>
      <c r="C3333" s="22">
        <f>(1+C3332)*IF(AND(Painel_diario!$H3329="EU_JU",Painel_diario!$J3329=1),EXP(Painel_diario!$L3329),1)-1</f>
        <v/>
      </c>
      <c r="D3333" s="22">
        <f>(1+D3332)*IF(AND(Painel_diario!$H3329="ED_JD",Painel_diario!$J3329=1),EXP(Painel_diario!$L3329),1)-1</f>
        <v/>
      </c>
      <c r="E3333" s="22">
        <f>(1+E3332)*IF(AND(Painel_diario!$H3329="ED_JU",Painel_diario!$J3329=1),EXP(Painel_diario!$L3329),1)-1</f>
        <v/>
      </c>
    </row>
    <row r="3334">
      <c r="A3334" s="25" t="n">
        <v>43739</v>
      </c>
      <c r="B3334" s="22">
        <f>(1+B3333)*IF(AND(Painel_diario!$H3330="EU_JD",Painel_diario!$J3330=1),EXP(Painel_diario!$L3330),1)-1</f>
        <v/>
      </c>
      <c r="C3334" s="22">
        <f>(1+C3333)*IF(AND(Painel_diario!$H3330="EU_JU",Painel_diario!$J3330=1),EXP(Painel_diario!$L3330),1)-1</f>
        <v/>
      </c>
      <c r="D3334" s="22">
        <f>(1+D3333)*IF(AND(Painel_diario!$H3330="ED_JD",Painel_diario!$J3330=1),EXP(Painel_diario!$L3330),1)-1</f>
        <v/>
      </c>
      <c r="E3334" s="22">
        <f>(1+E3333)*IF(AND(Painel_diario!$H3330="ED_JU",Painel_diario!$J3330=1),EXP(Painel_diario!$L3330),1)-1</f>
        <v/>
      </c>
    </row>
    <row r="3335">
      <c r="A3335" s="25" t="n">
        <v>43740</v>
      </c>
      <c r="B3335" s="22">
        <f>(1+B3334)*IF(AND(Painel_diario!$H3331="EU_JD",Painel_diario!$J3331=1),EXP(Painel_diario!$L3331),1)-1</f>
        <v/>
      </c>
      <c r="C3335" s="22">
        <f>(1+C3334)*IF(AND(Painel_diario!$H3331="EU_JU",Painel_diario!$J3331=1),EXP(Painel_diario!$L3331),1)-1</f>
        <v/>
      </c>
      <c r="D3335" s="22">
        <f>(1+D3334)*IF(AND(Painel_diario!$H3331="ED_JD",Painel_diario!$J3331=1),EXP(Painel_diario!$L3331),1)-1</f>
        <v/>
      </c>
      <c r="E3335" s="22">
        <f>(1+E3334)*IF(AND(Painel_diario!$H3331="ED_JU",Painel_diario!$J3331=1),EXP(Painel_diario!$L3331),1)-1</f>
        <v/>
      </c>
    </row>
    <row r="3336">
      <c r="A3336" s="25" t="n">
        <v>43741</v>
      </c>
      <c r="B3336" s="22">
        <f>(1+B3335)*IF(AND(Painel_diario!$H3332="EU_JD",Painel_diario!$J3332=1),EXP(Painel_diario!$L3332),1)-1</f>
        <v/>
      </c>
      <c r="C3336" s="22">
        <f>(1+C3335)*IF(AND(Painel_diario!$H3332="EU_JU",Painel_diario!$J3332=1),EXP(Painel_diario!$L3332),1)-1</f>
        <v/>
      </c>
      <c r="D3336" s="22">
        <f>(1+D3335)*IF(AND(Painel_diario!$H3332="ED_JD",Painel_diario!$J3332=1),EXP(Painel_diario!$L3332),1)-1</f>
        <v/>
      </c>
      <c r="E3336" s="22">
        <f>(1+E3335)*IF(AND(Painel_diario!$H3332="ED_JU",Painel_diario!$J3332=1),EXP(Painel_diario!$L3332),1)-1</f>
        <v/>
      </c>
    </row>
    <row r="3337">
      <c r="A3337" s="25" t="n">
        <v>43742</v>
      </c>
      <c r="B3337" s="22">
        <f>(1+B3336)*IF(AND(Painel_diario!$H3333="EU_JD",Painel_diario!$J3333=1),EXP(Painel_diario!$L3333),1)-1</f>
        <v/>
      </c>
      <c r="C3337" s="22">
        <f>(1+C3336)*IF(AND(Painel_diario!$H3333="EU_JU",Painel_diario!$J3333=1),EXP(Painel_diario!$L3333),1)-1</f>
        <v/>
      </c>
      <c r="D3337" s="22">
        <f>(1+D3336)*IF(AND(Painel_diario!$H3333="ED_JD",Painel_diario!$J3333=1),EXP(Painel_diario!$L3333),1)-1</f>
        <v/>
      </c>
      <c r="E3337" s="22">
        <f>(1+E3336)*IF(AND(Painel_diario!$H3333="ED_JU",Painel_diario!$J3333=1),EXP(Painel_diario!$L3333),1)-1</f>
        <v/>
      </c>
    </row>
    <row r="3338">
      <c r="A3338" s="25" t="n">
        <v>43745</v>
      </c>
      <c r="B3338" s="22">
        <f>(1+B3337)*IF(AND(Painel_diario!$H3334="EU_JD",Painel_diario!$J3334=1),EXP(Painel_diario!$L3334),1)-1</f>
        <v/>
      </c>
      <c r="C3338" s="22">
        <f>(1+C3337)*IF(AND(Painel_diario!$H3334="EU_JU",Painel_diario!$J3334=1),EXP(Painel_diario!$L3334),1)-1</f>
        <v/>
      </c>
      <c r="D3338" s="22">
        <f>(1+D3337)*IF(AND(Painel_diario!$H3334="ED_JD",Painel_diario!$J3334=1),EXP(Painel_diario!$L3334),1)-1</f>
        <v/>
      </c>
      <c r="E3338" s="22">
        <f>(1+E3337)*IF(AND(Painel_diario!$H3334="ED_JU",Painel_diario!$J3334=1),EXP(Painel_diario!$L3334),1)-1</f>
        <v/>
      </c>
    </row>
    <row r="3339">
      <c r="A3339" s="25" t="n">
        <v>43746</v>
      </c>
      <c r="B3339" s="22">
        <f>(1+B3338)*IF(AND(Painel_diario!$H3335="EU_JD",Painel_diario!$J3335=1),EXP(Painel_diario!$L3335),1)-1</f>
        <v/>
      </c>
      <c r="C3339" s="22">
        <f>(1+C3338)*IF(AND(Painel_diario!$H3335="EU_JU",Painel_diario!$J3335=1),EXP(Painel_diario!$L3335),1)-1</f>
        <v/>
      </c>
      <c r="D3339" s="22">
        <f>(1+D3338)*IF(AND(Painel_diario!$H3335="ED_JD",Painel_diario!$J3335=1),EXP(Painel_diario!$L3335),1)-1</f>
        <v/>
      </c>
      <c r="E3339" s="22">
        <f>(1+E3338)*IF(AND(Painel_diario!$H3335="ED_JU",Painel_diario!$J3335=1),EXP(Painel_diario!$L3335),1)-1</f>
        <v/>
      </c>
    </row>
    <row r="3340">
      <c r="A3340" s="25" t="n">
        <v>43747</v>
      </c>
      <c r="B3340" s="22">
        <f>(1+B3339)*IF(AND(Painel_diario!$H3336="EU_JD",Painel_diario!$J3336=1),EXP(Painel_diario!$L3336),1)-1</f>
        <v/>
      </c>
      <c r="C3340" s="22">
        <f>(1+C3339)*IF(AND(Painel_diario!$H3336="EU_JU",Painel_diario!$J3336=1),EXP(Painel_diario!$L3336),1)-1</f>
        <v/>
      </c>
      <c r="D3340" s="22">
        <f>(1+D3339)*IF(AND(Painel_diario!$H3336="ED_JD",Painel_diario!$J3336=1),EXP(Painel_diario!$L3336),1)-1</f>
        <v/>
      </c>
      <c r="E3340" s="22">
        <f>(1+E3339)*IF(AND(Painel_diario!$H3336="ED_JU",Painel_diario!$J3336=1),EXP(Painel_diario!$L3336),1)-1</f>
        <v/>
      </c>
    </row>
    <row r="3341">
      <c r="A3341" s="25" t="n">
        <v>43748</v>
      </c>
      <c r="B3341" s="22">
        <f>(1+B3340)*IF(AND(Painel_diario!$H3337="EU_JD",Painel_diario!$J3337=1),EXP(Painel_diario!$L3337),1)-1</f>
        <v/>
      </c>
      <c r="C3341" s="22">
        <f>(1+C3340)*IF(AND(Painel_diario!$H3337="EU_JU",Painel_diario!$J3337=1),EXP(Painel_diario!$L3337),1)-1</f>
        <v/>
      </c>
      <c r="D3341" s="22">
        <f>(1+D3340)*IF(AND(Painel_diario!$H3337="ED_JD",Painel_diario!$J3337=1),EXP(Painel_diario!$L3337),1)-1</f>
        <v/>
      </c>
      <c r="E3341" s="22">
        <f>(1+E3340)*IF(AND(Painel_diario!$H3337="ED_JU",Painel_diario!$J3337=1),EXP(Painel_diario!$L3337),1)-1</f>
        <v/>
      </c>
    </row>
    <row r="3342">
      <c r="A3342" s="25" t="n">
        <v>43749</v>
      </c>
      <c r="B3342" s="22">
        <f>(1+B3341)*IF(AND(Painel_diario!$H3338="EU_JD",Painel_diario!$J3338=1),EXP(Painel_diario!$L3338),1)-1</f>
        <v/>
      </c>
      <c r="C3342" s="22">
        <f>(1+C3341)*IF(AND(Painel_diario!$H3338="EU_JU",Painel_diario!$J3338=1),EXP(Painel_diario!$L3338),1)-1</f>
        <v/>
      </c>
      <c r="D3342" s="22">
        <f>(1+D3341)*IF(AND(Painel_diario!$H3338="ED_JD",Painel_diario!$J3338=1),EXP(Painel_diario!$L3338),1)-1</f>
        <v/>
      </c>
      <c r="E3342" s="22">
        <f>(1+E3341)*IF(AND(Painel_diario!$H3338="ED_JU",Painel_diario!$J3338=1),EXP(Painel_diario!$L3338),1)-1</f>
        <v/>
      </c>
    </row>
    <row r="3343">
      <c r="A3343" s="25" t="n">
        <v>43752</v>
      </c>
      <c r="B3343" s="22">
        <f>(1+B3342)*IF(AND(Painel_diario!$H3339="EU_JD",Painel_diario!$J3339=1),EXP(Painel_diario!$L3339),1)-1</f>
        <v/>
      </c>
      <c r="C3343" s="22">
        <f>(1+C3342)*IF(AND(Painel_diario!$H3339="EU_JU",Painel_diario!$J3339=1),EXP(Painel_diario!$L3339),1)-1</f>
        <v/>
      </c>
      <c r="D3343" s="22">
        <f>(1+D3342)*IF(AND(Painel_diario!$H3339="ED_JD",Painel_diario!$J3339=1),EXP(Painel_diario!$L3339),1)-1</f>
        <v/>
      </c>
      <c r="E3343" s="22">
        <f>(1+E3342)*IF(AND(Painel_diario!$H3339="ED_JU",Painel_diario!$J3339=1),EXP(Painel_diario!$L3339),1)-1</f>
        <v/>
      </c>
    </row>
    <row r="3344">
      <c r="A3344" s="25" t="n">
        <v>43753</v>
      </c>
      <c r="B3344" s="22">
        <f>(1+B3343)*IF(AND(Painel_diario!$H3340="EU_JD",Painel_diario!$J3340=1),EXP(Painel_diario!$L3340),1)-1</f>
        <v/>
      </c>
      <c r="C3344" s="22">
        <f>(1+C3343)*IF(AND(Painel_diario!$H3340="EU_JU",Painel_diario!$J3340=1),EXP(Painel_diario!$L3340),1)-1</f>
        <v/>
      </c>
      <c r="D3344" s="22">
        <f>(1+D3343)*IF(AND(Painel_diario!$H3340="ED_JD",Painel_diario!$J3340=1),EXP(Painel_diario!$L3340),1)-1</f>
        <v/>
      </c>
      <c r="E3344" s="22">
        <f>(1+E3343)*IF(AND(Painel_diario!$H3340="ED_JU",Painel_diario!$J3340=1),EXP(Painel_diario!$L3340),1)-1</f>
        <v/>
      </c>
    </row>
    <row r="3345">
      <c r="A3345" s="25" t="n">
        <v>43754</v>
      </c>
      <c r="B3345" s="22">
        <f>(1+B3344)*IF(AND(Painel_diario!$H3341="EU_JD",Painel_diario!$J3341=1),EXP(Painel_diario!$L3341),1)-1</f>
        <v/>
      </c>
      <c r="C3345" s="22">
        <f>(1+C3344)*IF(AND(Painel_diario!$H3341="EU_JU",Painel_diario!$J3341=1),EXP(Painel_diario!$L3341),1)-1</f>
        <v/>
      </c>
      <c r="D3345" s="22">
        <f>(1+D3344)*IF(AND(Painel_diario!$H3341="ED_JD",Painel_diario!$J3341=1),EXP(Painel_diario!$L3341),1)-1</f>
        <v/>
      </c>
      <c r="E3345" s="22">
        <f>(1+E3344)*IF(AND(Painel_diario!$H3341="ED_JU",Painel_diario!$J3341=1),EXP(Painel_diario!$L3341),1)-1</f>
        <v/>
      </c>
    </row>
    <row r="3346">
      <c r="A3346" s="25" t="n">
        <v>43755</v>
      </c>
      <c r="B3346" s="22">
        <f>(1+B3345)*IF(AND(Painel_diario!$H3342="EU_JD",Painel_diario!$J3342=1),EXP(Painel_diario!$L3342),1)-1</f>
        <v/>
      </c>
      <c r="C3346" s="22">
        <f>(1+C3345)*IF(AND(Painel_diario!$H3342="EU_JU",Painel_diario!$J3342=1),EXP(Painel_diario!$L3342),1)-1</f>
        <v/>
      </c>
      <c r="D3346" s="22">
        <f>(1+D3345)*IF(AND(Painel_diario!$H3342="ED_JD",Painel_diario!$J3342=1),EXP(Painel_diario!$L3342),1)-1</f>
        <v/>
      </c>
      <c r="E3346" s="22">
        <f>(1+E3345)*IF(AND(Painel_diario!$H3342="ED_JU",Painel_diario!$J3342=1),EXP(Painel_diario!$L3342),1)-1</f>
        <v/>
      </c>
    </row>
    <row r="3347">
      <c r="A3347" s="25" t="n">
        <v>43756</v>
      </c>
      <c r="B3347" s="22">
        <f>(1+B3346)*IF(AND(Painel_diario!$H3343="EU_JD",Painel_diario!$J3343=1),EXP(Painel_diario!$L3343),1)-1</f>
        <v/>
      </c>
      <c r="C3347" s="22">
        <f>(1+C3346)*IF(AND(Painel_diario!$H3343="EU_JU",Painel_diario!$J3343=1),EXP(Painel_diario!$L3343),1)-1</f>
        <v/>
      </c>
      <c r="D3347" s="22">
        <f>(1+D3346)*IF(AND(Painel_diario!$H3343="ED_JD",Painel_diario!$J3343=1),EXP(Painel_diario!$L3343),1)-1</f>
        <v/>
      </c>
      <c r="E3347" s="22">
        <f>(1+E3346)*IF(AND(Painel_diario!$H3343="ED_JU",Painel_diario!$J3343=1),EXP(Painel_diario!$L3343),1)-1</f>
        <v/>
      </c>
    </row>
    <row r="3348">
      <c r="A3348" s="25" t="n">
        <v>43759</v>
      </c>
      <c r="B3348" s="22">
        <f>(1+B3347)*IF(AND(Painel_diario!$H3344="EU_JD",Painel_diario!$J3344=1),EXP(Painel_diario!$L3344),1)-1</f>
        <v/>
      </c>
      <c r="C3348" s="22">
        <f>(1+C3347)*IF(AND(Painel_diario!$H3344="EU_JU",Painel_diario!$J3344=1),EXP(Painel_diario!$L3344),1)-1</f>
        <v/>
      </c>
      <c r="D3348" s="22">
        <f>(1+D3347)*IF(AND(Painel_diario!$H3344="ED_JD",Painel_diario!$J3344=1),EXP(Painel_diario!$L3344),1)-1</f>
        <v/>
      </c>
      <c r="E3348" s="22">
        <f>(1+E3347)*IF(AND(Painel_diario!$H3344="ED_JU",Painel_diario!$J3344=1),EXP(Painel_diario!$L3344),1)-1</f>
        <v/>
      </c>
    </row>
    <row r="3349">
      <c r="A3349" s="25" t="n">
        <v>43760</v>
      </c>
      <c r="B3349" s="22">
        <f>(1+B3348)*IF(AND(Painel_diario!$H3345="EU_JD",Painel_diario!$J3345=1),EXP(Painel_diario!$L3345),1)-1</f>
        <v/>
      </c>
      <c r="C3349" s="22">
        <f>(1+C3348)*IF(AND(Painel_diario!$H3345="EU_JU",Painel_diario!$J3345=1),EXP(Painel_diario!$L3345),1)-1</f>
        <v/>
      </c>
      <c r="D3349" s="22">
        <f>(1+D3348)*IF(AND(Painel_diario!$H3345="ED_JD",Painel_diario!$J3345=1),EXP(Painel_diario!$L3345),1)-1</f>
        <v/>
      </c>
      <c r="E3349" s="22">
        <f>(1+E3348)*IF(AND(Painel_diario!$H3345="ED_JU",Painel_diario!$J3345=1),EXP(Painel_diario!$L3345),1)-1</f>
        <v/>
      </c>
    </row>
    <row r="3350">
      <c r="A3350" s="25" t="n">
        <v>43761</v>
      </c>
      <c r="B3350" s="22">
        <f>(1+B3349)*IF(AND(Painel_diario!$H3346="EU_JD",Painel_diario!$J3346=1),EXP(Painel_diario!$L3346),1)-1</f>
        <v/>
      </c>
      <c r="C3350" s="22">
        <f>(1+C3349)*IF(AND(Painel_diario!$H3346="EU_JU",Painel_diario!$J3346=1),EXP(Painel_diario!$L3346),1)-1</f>
        <v/>
      </c>
      <c r="D3350" s="22">
        <f>(1+D3349)*IF(AND(Painel_diario!$H3346="ED_JD",Painel_diario!$J3346=1),EXP(Painel_diario!$L3346),1)-1</f>
        <v/>
      </c>
      <c r="E3350" s="22">
        <f>(1+E3349)*IF(AND(Painel_diario!$H3346="ED_JU",Painel_diario!$J3346=1),EXP(Painel_diario!$L3346),1)-1</f>
        <v/>
      </c>
    </row>
    <row r="3351">
      <c r="A3351" s="25" t="n">
        <v>43762</v>
      </c>
      <c r="B3351" s="22">
        <f>(1+B3350)*IF(AND(Painel_diario!$H3347="EU_JD",Painel_diario!$J3347=1),EXP(Painel_diario!$L3347),1)-1</f>
        <v/>
      </c>
      <c r="C3351" s="22">
        <f>(1+C3350)*IF(AND(Painel_diario!$H3347="EU_JU",Painel_diario!$J3347=1),EXP(Painel_diario!$L3347),1)-1</f>
        <v/>
      </c>
      <c r="D3351" s="22">
        <f>(1+D3350)*IF(AND(Painel_diario!$H3347="ED_JD",Painel_diario!$J3347=1),EXP(Painel_diario!$L3347),1)-1</f>
        <v/>
      </c>
      <c r="E3351" s="22">
        <f>(1+E3350)*IF(AND(Painel_diario!$H3347="ED_JU",Painel_diario!$J3347=1),EXP(Painel_diario!$L3347),1)-1</f>
        <v/>
      </c>
    </row>
    <row r="3352">
      <c r="A3352" s="25" t="n">
        <v>43763</v>
      </c>
      <c r="B3352" s="22">
        <f>(1+B3351)*IF(AND(Painel_diario!$H3348="EU_JD",Painel_diario!$J3348=1),EXP(Painel_diario!$L3348),1)-1</f>
        <v/>
      </c>
      <c r="C3352" s="22">
        <f>(1+C3351)*IF(AND(Painel_diario!$H3348="EU_JU",Painel_diario!$J3348=1),EXP(Painel_diario!$L3348),1)-1</f>
        <v/>
      </c>
      <c r="D3352" s="22">
        <f>(1+D3351)*IF(AND(Painel_diario!$H3348="ED_JD",Painel_diario!$J3348=1),EXP(Painel_diario!$L3348),1)-1</f>
        <v/>
      </c>
      <c r="E3352" s="22">
        <f>(1+E3351)*IF(AND(Painel_diario!$H3348="ED_JU",Painel_diario!$J3348=1),EXP(Painel_diario!$L3348),1)-1</f>
        <v/>
      </c>
    </row>
    <row r="3353">
      <c r="A3353" s="25" t="n">
        <v>43766</v>
      </c>
      <c r="B3353" s="22">
        <f>(1+B3352)*IF(AND(Painel_diario!$H3349="EU_JD",Painel_diario!$J3349=1),EXP(Painel_diario!$L3349),1)-1</f>
        <v/>
      </c>
      <c r="C3353" s="22">
        <f>(1+C3352)*IF(AND(Painel_diario!$H3349="EU_JU",Painel_diario!$J3349=1),EXP(Painel_diario!$L3349),1)-1</f>
        <v/>
      </c>
      <c r="D3353" s="22">
        <f>(1+D3352)*IF(AND(Painel_diario!$H3349="ED_JD",Painel_diario!$J3349=1),EXP(Painel_diario!$L3349),1)-1</f>
        <v/>
      </c>
      <c r="E3353" s="22">
        <f>(1+E3352)*IF(AND(Painel_diario!$H3349="ED_JU",Painel_diario!$J3349=1),EXP(Painel_diario!$L3349),1)-1</f>
        <v/>
      </c>
    </row>
    <row r="3354">
      <c r="A3354" s="25" t="n">
        <v>43767</v>
      </c>
      <c r="B3354" s="22">
        <f>(1+B3353)*IF(AND(Painel_diario!$H3350="EU_JD",Painel_diario!$J3350=1),EXP(Painel_diario!$L3350),1)-1</f>
        <v/>
      </c>
      <c r="C3354" s="22">
        <f>(1+C3353)*IF(AND(Painel_diario!$H3350="EU_JU",Painel_diario!$J3350=1),EXP(Painel_diario!$L3350),1)-1</f>
        <v/>
      </c>
      <c r="D3354" s="22">
        <f>(1+D3353)*IF(AND(Painel_diario!$H3350="ED_JD",Painel_diario!$J3350=1),EXP(Painel_diario!$L3350),1)-1</f>
        <v/>
      </c>
      <c r="E3354" s="22">
        <f>(1+E3353)*IF(AND(Painel_diario!$H3350="ED_JU",Painel_diario!$J3350=1),EXP(Painel_diario!$L3350),1)-1</f>
        <v/>
      </c>
    </row>
    <row r="3355">
      <c r="A3355" s="25" t="n">
        <v>43768</v>
      </c>
      <c r="B3355" s="22">
        <f>(1+B3354)*IF(AND(Painel_diario!$H3351="EU_JD",Painel_diario!$J3351=1),EXP(Painel_diario!$L3351),1)-1</f>
        <v/>
      </c>
      <c r="C3355" s="22">
        <f>(1+C3354)*IF(AND(Painel_diario!$H3351="EU_JU",Painel_diario!$J3351=1),EXP(Painel_diario!$L3351),1)-1</f>
        <v/>
      </c>
      <c r="D3355" s="22">
        <f>(1+D3354)*IF(AND(Painel_diario!$H3351="ED_JD",Painel_diario!$J3351=1),EXP(Painel_diario!$L3351),1)-1</f>
        <v/>
      </c>
      <c r="E3355" s="22">
        <f>(1+E3354)*IF(AND(Painel_diario!$H3351="ED_JU",Painel_diario!$J3351=1),EXP(Painel_diario!$L3351),1)-1</f>
        <v/>
      </c>
    </row>
    <row r="3356">
      <c r="A3356" s="25" t="n">
        <v>43769</v>
      </c>
      <c r="B3356" s="22">
        <f>(1+B3355)*IF(AND(Painel_diario!$H3352="EU_JD",Painel_diario!$J3352=1),EXP(Painel_diario!$L3352),1)-1</f>
        <v/>
      </c>
      <c r="C3356" s="22">
        <f>(1+C3355)*IF(AND(Painel_diario!$H3352="EU_JU",Painel_diario!$J3352=1),EXP(Painel_diario!$L3352),1)-1</f>
        <v/>
      </c>
      <c r="D3356" s="22">
        <f>(1+D3355)*IF(AND(Painel_diario!$H3352="ED_JD",Painel_diario!$J3352=1),EXP(Painel_diario!$L3352),1)-1</f>
        <v/>
      </c>
      <c r="E3356" s="22">
        <f>(1+E3355)*IF(AND(Painel_diario!$H3352="ED_JU",Painel_diario!$J3352=1),EXP(Painel_diario!$L3352),1)-1</f>
        <v/>
      </c>
    </row>
    <row r="3357">
      <c r="A3357" s="25" t="n">
        <v>43770</v>
      </c>
      <c r="B3357" s="22">
        <f>(1+B3356)*IF(AND(Painel_diario!$H3353="EU_JD",Painel_diario!$J3353=1),EXP(Painel_diario!$L3353),1)-1</f>
        <v/>
      </c>
      <c r="C3357" s="22">
        <f>(1+C3356)*IF(AND(Painel_diario!$H3353="EU_JU",Painel_diario!$J3353=1),EXP(Painel_diario!$L3353),1)-1</f>
        <v/>
      </c>
      <c r="D3357" s="22">
        <f>(1+D3356)*IF(AND(Painel_diario!$H3353="ED_JD",Painel_diario!$J3353=1),EXP(Painel_diario!$L3353),1)-1</f>
        <v/>
      </c>
      <c r="E3357" s="22">
        <f>(1+E3356)*IF(AND(Painel_diario!$H3353="ED_JU",Painel_diario!$J3353=1),EXP(Painel_diario!$L3353),1)-1</f>
        <v/>
      </c>
    </row>
    <row r="3358">
      <c r="A3358" s="25" t="n">
        <v>43773</v>
      </c>
      <c r="B3358" s="22">
        <f>(1+B3357)*IF(AND(Painel_diario!$H3354="EU_JD",Painel_diario!$J3354=1),EXP(Painel_diario!$L3354),1)-1</f>
        <v/>
      </c>
      <c r="C3358" s="22">
        <f>(1+C3357)*IF(AND(Painel_diario!$H3354="EU_JU",Painel_diario!$J3354=1),EXP(Painel_diario!$L3354),1)-1</f>
        <v/>
      </c>
      <c r="D3358" s="22">
        <f>(1+D3357)*IF(AND(Painel_diario!$H3354="ED_JD",Painel_diario!$J3354=1),EXP(Painel_diario!$L3354),1)-1</f>
        <v/>
      </c>
      <c r="E3358" s="22">
        <f>(1+E3357)*IF(AND(Painel_diario!$H3354="ED_JU",Painel_diario!$J3354=1),EXP(Painel_diario!$L3354),1)-1</f>
        <v/>
      </c>
    </row>
    <row r="3359">
      <c r="A3359" s="25" t="n">
        <v>43774</v>
      </c>
      <c r="B3359" s="22">
        <f>(1+B3358)*IF(AND(Painel_diario!$H3355="EU_JD",Painel_diario!$J3355=1),EXP(Painel_diario!$L3355),1)-1</f>
        <v/>
      </c>
      <c r="C3359" s="22">
        <f>(1+C3358)*IF(AND(Painel_diario!$H3355="EU_JU",Painel_diario!$J3355=1),EXP(Painel_diario!$L3355),1)-1</f>
        <v/>
      </c>
      <c r="D3359" s="22">
        <f>(1+D3358)*IF(AND(Painel_diario!$H3355="ED_JD",Painel_diario!$J3355=1),EXP(Painel_diario!$L3355),1)-1</f>
        <v/>
      </c>
      <c r="E3359" s="22">
        <f>(1+E3358)*IF(AND(Painel_diario!$H3355="ED_JU",Painel_diario!$J3355=1),EXP(Painel_diario!$L3355),1)-1</f>
        <v/>
      </c>
    </row>
    <row r="3360">
      <c r="A3360" s="25" t="n">
        <v>43775</v>
      </c>
      <c r="B3360" s="22">
        <f>(1+B3359)*IF(AND(Painel_diario!$H3356="EU_JD",Painel_diario!$J3356=1),EXP(Painel_diario!$L3356),1)-1</f>
        <v/>
      </c>
      <c r="C3360" s="22">
        <f>(1+C3359)*IF(AND(Painel_diario!$H3356="EU_JU",Painel_diario!$J3356=1),EXP(Painel_diario!$L3356),1)-1</f>
        <v/>
      </c>
      <c r="D3360" s="22">
        <f>(1+D3359)*IF(AND(Painel_diario!$H3356="ED_JD",Painel_diario!$J3356=1),EXP(Painel_diario!$L3356),1)-1</f>
        <v/>
      </c>
      <c r="E3360" s="22">
        <f>(1+E3359)*IF(AND(Painel_diario!$H3356="ED_JU",Painel_diario!$J3356=1),EXP(Painel_diario!$L3356),1)-1</f>
        <v/>
      </c>
    </row>
    <row r="3361">
      <c r="A3361" s="25" t="n">
        <v>43776</v>
      </c>
      <c r="B3361" s="22">
        <f>(1+B3360)*IF(AND(Painel_diario!$H3357="EU_JD",Painel_diario!$J3357=1),EXP(Painel_diario!$L3357),1)-1</f>
        <v/>
      </c>
      <c r="C3361" s="22">
        <f>(1+C3360)*IF(AND(Painel_diario!$H3357="EU_JU",Painel_diario!$J3357=1),EXP(Painel_diario!$L3357),1)-1</f>
        <v/>
      </c>
      <c r="D3361" s="22">
        <f>(1+D3360)*IF(AND(Painel_diario!$H3357="ED_JD",Painel_diario!$J3357=1),EXP(Painel_diario!$L3357),1)-1</f>
        <v/>
      </c>
      <c r="E3361" s="22">
        <f>(1+E3360)*IF(AND(Painel_diario!$H3357="ED_JU",Painel_diario!$J3357=1),EXP(Painel_diario!$L3357),1)-1</f>
        <v/>
      </c>
    </row>
    <row r="3362">
      <c r="A3362" s="25" t="n">
        <v>43777</v>
      </c>
      <c r="B3362" s="22">
        <f>(1+B3361)*IF(AND(Painel_diario!$H3358="EU_JD",Painel_diario!$J3358=1),EXP(Painel_diario!$L3358),1)-1</f>
        <v/>
      </c>
      <c r="C3362" s="22">
        <f>(1+C3361)*IF(AND(Painel_diario!$H3358="EU_JU",Painel_diario!$J3358=1),EXP(Painel_diario!$L3358),1)-1</f>
        <v/>
      </c>
      <c r="D3362" s="22">
        <f>(1+D3361)*IF(AND(Painel_diario!$H3358="ED_JD",Painel_diario!$J3358=1),EXP(Painel_diario!$L3358),1)-1</f>
        <v/>
      </c>
      <c r="E3362" s="22">
        <f>(1+E3361)*IF(AND(Painel_diario!$H3358="ED_JU",Painel_diario!$J3358=1),EXP(Painel_diario!$L3358),1)-1</f>
        <v/>
      </c>
    </row>
    <row r="3363">
      <c r="A3363" s="25" t="n">
        <v>43780</v>
      </c>
      <c r="B3363" s="22">
        <f>(1+B3362)*IF(AND(Painel_diario!$H3359="EU_JD",Painel_diario!$J3359=1),EXP(Painel_diario!$L3359),1)-1</f>
        <v/>
      </c>
      <c r="C3363" s="22">
        <f>(1+C3362)*IF(AND(Painel_diario!$H3359="EU_JU",Painel_diario!$J3359=1),EXP(Painel_diario!$L3359),1)-1</f>
        <v/>
      </c>
      <c r="D3363" s="22">
        <f>(1+D3362)*IF(AND(Painel_diario!$H3359="ED_JD",Painel_diario!$J3359=1),EXP(Painel_diario!$L3359),1)-1</f>
        <v/>
      </c>
      <c r="E3363" s="22">
        <f>(1+E3362)*IF(AND(Painel_diario!$H3359="ED_JU",Painel_diario!$J3359=1),EXP(Painel_diario!$L3359),1)-1</f>
        <v/>
      </c>
    </row>
    <row r="3364">
      <c r="A3364" s="25" t="n">
        <v>43781</v>
      </c>
      <c r="B3364" s="22">
        <f>(1+B3363)*IF(AND(Painel_diario!$H3360="EU_JD",Painel_diario!$J3360=1),EXP(Painel_diario!$L3360),1)-1</f>
        <v/>
      </c>
      <c r="C3364" s="22">
        <f>(1+C3363)*IF(AND(Painel_diario!$H3360="EU_JU",Painel_diario!$J3360=1),EXP(Painel_diario!$L3360),1)-1</f>
        <v/>
      </c>
      <c r="D3364" s="22">
        <f>(1+D3363)*IF(AND(Painel_diario!$H3360="ED_JD",Painel_diario!$J3360=1),EXP(Painel_diario!$L3360),1)-1</f>
        <v/>
      </c>
      <c r="E3364" s="22">
        <f>(1+E3363)*IF(AND(Painel_diario!$H3360="ED_JU",Painel_diario!$J3360=1),EXP(Painel_diario!$L3360),1)-1</f>
        <v/>
      </c>
    </row>
    <row r="3365">
      <c r="A3365" s="25" t="n">
        <v>43782</v>
      </c>
      <c r="B3365" s="22">
        <f>(1+B3364)*IF(AND(Painel_diario!$H3361="EU_JD",Painel_diario!$J3361=1),EXP(Painel_diario!$L3361),1)-1</f>
        <v/>
      </c>
      <c r="C3365" s="22">
        <f>(1+C3364)*IF(AND(Painel_diario!$H3361="EU_JU",Painel_diario!$J3361=1),EXP(Painel_diario!$L3361),1)-1</f>
        <v/>
      </c>
      <c r="D3365" s="22">
        <f>(1+D3364)*IF(AND(Painel_diario!$H3361="ED_JD",Painel_diario!$J3361=1),EXP(Painel_diario!$L3361),1)-1</f>
        <v/>
      </c>
      <c r="E3365" s="22">
        <f>(1+E3364)*IF(AND(Painel_diario!$H3361="ED_JU",Painel_diario!$J3361=1),EXP(Painel_diario!$L3361),1)-1</f>
        <v/>
      </c>
    </row>
    <row r="3366">
      <c r="A3366" s="25" t="n">
        <v>43783</v>
      </c>
      <c r="B3366" s="22">
        <f>(1+B3365)*IF(AND(Painel_diario!$H3362="EU_JD",Painel_diario!$J3362=1),EXP(Painel_diario!$L3362),1)-1</f>
        <v/>
      </c>
      <c r="C3366" s="22">
        <f>(1+C3365)*IF(AND(Painel_diario!$H3362="EU_JU",Painel_diario!$J3362=1),EXP(Painel_diario!$L3362),1)-1</f>
        <v/>
      </c>
      <c r="D3366" s="22">
        <f>(1+D3365)*IF(AND(Painel_diario!$H3362="ED_JD",Painel_diario!$J3362=1),EXP(Painel_diario!$L3362),1)-1</f>
        <v/>
      </c>
      <c r="E3366" s="22">
        <f>(1+E3365)*IF(AND(Painel_diario!$H3362="ED_JU",Painel_diario!$J3362=1),EXP(Painel_diario!$L3362),1)-1</f>
        <v/>
      </c>
    </row>
    <row r="3367">
      <c r="A3367" s="25" t="n">
        <v>43787</v>
      </c>
      <c r="B3367" s="22">
        <f>(1+B3366)*IF(AND(Painel_diario!$H3363="EU_JD",Painel_diario!$J3363=1),EXP(Painel_diario!$L3363),1)-1</f>
        <v/>
      </c>
      <c r="C3367" s="22">
        <f>(1+C3366)*IF(AND(Painel_diario!$H3363="EU_JU",Painel_diario!$J3363=1),EXP(Painel_diario!$L3363),1)-1</f>
        <v/>
      </c>
      <c r="D3367" s="22">
        <f>(1+D3366)*IF(AND(Painel_diario!$H3363="ED_JD",Painel_diario!$J3363=1),EXP(Painel_diario!$L3363),1)-1</f>
        <v/>
      </c>
      <c r="E3367" s="22">
        <f>(1+E3366)*IF(AND(Painel_diario!$H3363="ED_JU",Painel_diario!$J3363=1),EXP(Painel_diario!$L3363),1)-1</f>
        <v/>
      </c>
    </row>
    <row r="3368">
      <c r="A3368" s="25" t="n">
        <v>43788</v>
      </c>
      <c r="B3368" s="22">
        <f>(1+B3367)*IF(AND(Painel_diario!$H3364="EU_JD",Painel_diario!$J3364=1),EXP(Painel_diario!$L3364),1)-1</f>
        <v/>
      </c>
      <c r="C3368" s="22">
        <f>(1+C3367)*IF(AND(Painel_diario!$H3364="EU_JU",Painel_diario!$J3364=1),EXP(Painel_diario!$L3364),1)-1</f>
        <v/>
      </c>
      <c r="D3368" s="22">
        <f>(1+D3367)*IF(AND(Painel_diario!$H3364="ED_JD",Painel_diario!$J3364=1),EXP(Painel_diario!$L3364),1)-1</f>
        <v/>
      </c>
      <c r="E3368" s="22">
        <f>(1+E3367)*IF(AND(Painel_diario!$H3364="ED_JU",Painel_diario!$J3364=1),EXP(Painel_diario!$L3364),1)-1</f>
        <v/>
      </c>
    </row>
    <row r="3369">
      <c r="A3369" s="25" t="n">
        <v>43790</v>
      </c>
      <c r="B3369" s="22">
        <f>(1+B3368)*IF(AND(Painel_diario!$H3365="EU_JD",Painel_diario!$J3365=1),EXP(Painel_diario!$L3365),1)-1</f>
        <v/>
      </c>
      <c r="C3369" s="22">
        <f>(1+C3368)*IF(AND(Painel_diario!$H3365="EU_JU",Painel_diario!$J3365=1),EXP(Painel_diario!$L3365),1)-1</f>
        <v/>
      </c>
      <c r="D3369" s="22">
        <f>(1+D3368)*IF(AND(Painel_diario!$H3365="ED_JD",Painel_diario!$J3365=1),EXP(Painel_diario!$L3365),1)-1</f>
        <v/>
      </c>
      <c r="E3369" s="22">
        <f>(1+E3368)*IF(AND(Painel_diario!$H3365="ED_JU",Painel_diario!$J3365=1),EXP(Painel_diario!$L3365),1)-1</f>
        <v/>
      </c>
    </row>
    <row r="3370">
      <c r="A3370" s="25" t="n">
        <v>43791</v>
      </c>
      <c r="B3370" s="22">
        <f>(1+B3369)*IF(AND(Painel_diario!$H3366="EU_JD",Painel_diario!$J3366=1),EXP(Painel_diario!$L3366),1)-1</f>
        <v/>
      </c>
      <c r="C3370" s="22">
        <f>(1+C3369)*IF(AND(Painel_diario!$H3366="EU_JU",Painel_diario!$J3366=1),EXP(Painel_diario!$L3366),1)-1</f>
        <v/>
      </c>
      <c r="D3370" s="22">
        <f>(1+D3369)*IF(AND(Painel_diario!$H3366="ED_JD",Painel_diario!$J3366=1),EXP(Painel_diario!$L3366),1)-1</f>
        <v/>
      </c>
      <c r="E3370" s="22">
        <f>(1+E3369)*IF(AND(Painel_diario!$H3366="ED_JU",Painel_diario!$J3366=1),EXP(Painel_diario!$L3366),1)-1</f>
        <v/>
      </c>
    </row>
    <row r="3371">
      <c r="A3371" s="25" t="n">
        <v>43794</v>
      </c>
      <c r="B3371" s="22">
        <f>(1+B3370)*IF(AND(Painel_diario!$H3367="EU_JD",Painel_diario!$J3367=1),EXP(Painel_diario!$L3367),1)-1</f>
        <v/>
      </c>
      <c r="C3371" s="22">
        <f>(1+C3370)*IF(AND(Painel_diario!$H3367="EU_JU",Painel_diario!$J3367=1),EXP(Painel_diario!$L3367),1)-1</f>
        <v/>
      </c>
      <c r="D3371" s="22">
        <f>(1+D3370)*IF(AND(Painel_diario!$H3367="ED_JD",Painel_diario!$J3367=1),EXP(Painel_diario!$L3367),1)-1</f>
        <v/>
      </c>
      <c r="E3371" s="22">
        <f>(1+E3370)*IF(AND(Painel_diario!$H3367="ED_JU",Painel_diario!$J3367=1),EXP(Painel_diario!$L3367),1)-1</f>
        <v/>
      </c>
    </row>
    <row r="3372">
      <c r="A3372" s="25" t="n">
        <v>43795</v>
      </c>
      <c r="B3372" s="22">
        <f>(1+B3371)*IF(AND(Painel_diario!$H3368="EU_JD",Painel_diario!$J3368=1),EXP(Painel_diario!$L3368),1)-1</f>
        <v/>
      </c>
      <c r="C3372" s="22">
        <f>(1+C3371)*IF(AND(Painel_diario!$H3368="EU_JU",Painel_diario!$J3368=1),EXP(Painel_diario!$L3368),1)-1</f>
        <v/>
      </c>
      <c r="D3372" s="22">
        <f>(1+D3371)*IF(AND(Painel_diario!$H3368="ED_JD",Painel_diario!$J3368=1),EXP(Painel_diario!$L3368),1)-1</f>
        <v/>
      </c>
      <c r="E3372" s="22">
        <f>(1+E3371)*IF(AND(Painel_diario!$H3368="ED_JU",Painel_diario!$J3368=1),EXP(Painel_diario!$L3368),1)-1</f>
        <v/>
      </c>
    </row>
    <row r="3373">
      <c r="A3373" s="25" t="n">
        <v>43796</v>
      </c>
      <c r="B3373" s="22">
        <f>(1+B3372)*IF(AND(Painel_diario!$H3369="EU_JD",Painel_diario!$J3369=1),EXP(Painel_diario!$L3369),1)-1</f>
        <v/>
      </c>
      <c r="C3373" s="22">
        <f>(1+C3372)*IF(AND(Painel_diario!$H3369="EU_JU",Painel_diario!$J3369=1),EXP(Painel_diario!$L3369),1)-1</f>
        <v/>
      </c>
      <c r="D3373" s="22">
        <f>(1+D3372)*IF(AND(Painel_diario!$H3369="ED_JD",Painel_diario!$J3369=1),EXP(Painel_diario!$L3369),1)-1</f>
        <v/>
      </c>
      <c r="E3373" s="22">
        <f>(1+E3372)*IF(AND(Painel_diario!$H3369="ED_JU",Painel_diario!$J3369=1),EXP(Painel_diario!$L3369),1)-1</f>
        <v/>
      </c>
    </row>
    <row r="3374">
      <c r="A3374" s="25" t="n">
        <v>43797</v>
      </c>
      <c r="B3374" s="22">
        <f>(1+B3373)*IF(AND(Painel_diario!$H3370="EU_JD",Painel_diario!$J3370=1),EXP(Painel_diario!$L3370),1)-1</f>
        <v/>
      </c>
      <c r="C3374" s="22">
        <f>(1+C3373)*IF(AND(Painel_diario!$H3370="EU_JU",Painel_diario!$J3370=1),EXP(Painel_diario!$L3370),1)-1</f>
        <v/>
      </c>
      <c r="D3374" s="22">
        <f>(1+D3373)*IF(AND(Painel_diario!$H3370="ED_JD",Painel_diario!$J3370=1),EXP(Painel_diario!$L3370),1)-1</f>
        <v/>
      </c>
      <c r="E3374" s="22">
        <f>(1+E3373)*IF(AND(Painel_diario!$H3370="ED_JU",Painel_diario!$J3370=1),EXP(Painel_diario!$L3370),1)-1</f>
        <v/>
      </c>
    </row>
    <row r="3375">
      <c r="A3375" s="25" t="n">
        <v>43798</v>
      </c>
      <c r="B3375" s="22">
        <f>(1+B3374)*IF(AND(Painel_diario!$H3371="EU_JD",Painel_diario!$J3371=1),EXP(Painel_diario!$L3371),1)-1</f>
        <v/>
      </c>
      <c r="C3375" s="22">
        <f>(1+C3374)*IF(AND(Painel_diario!$H3371="EU_JU",Painel_diario!$J3371=1),EXP(Painel_diario!$L3371),1)-1</f>
        <v/>
      </c>
      <c r="D3375" s="22">
        <f>(1+D3374)*IF(AND(Painel_diario!$H3371="ED_JD",Painel_diario!$J3371=1),EXP(Painel_diario!$L3371),1)-1</f>
        <v/>
      </c>
      <c r="E3375" s="22">
        <f>(1+E3374)*IF(AND(Painel_diario!$H3371="ED_JU",Painel_diario!$J3371=1),EXP(Painel_diario!$L3371),1)-1</f>
        <v/>
      </c>
    </row>
    <row r="3376">
      <c r="A3376" s="25" t="n">
        <v>43801</v>
      </c>
      <c r="B3376" s="22">
        <f>(1+B3375)*IF(AND(Painel_diario!$H3372="EU_JD",Painel_diario!$J3372=1),EXP(Painel_diario!$L3372),1)-1</f>
        <v/>
      </c>
      <c r="C3376" s="22">
        <f>(1+C3375)*IF(AND(Painel_diario!$H3372="EU_JU",Painel_diario!$J3372=1),EXP(Painel_diario!$L3372),1)-1</f>
        <v/>
      </c>
      <c r="D3376" s="22">
        <f>(1+D3375)*IF(AND(Painel_diario!$H3372="ED_JD",Painel_diario!$J3372=1),EXP(Painel_diario!$L3372),1)-1</f>
        <v/>
      </c>
      <c r="E3376" s="22">
        <f>(1+E3375)*IF(AND(Painel_diario!$H3372="ED_JU",Painel_diario!$J3372=1),EXP(Painel_diario!$L3372),1)-1</f>
        <v/>
      </c>
    </row>
    <row r="3377">
      <c r="A3377" s="25" t="n">
        <v>43802</v>
      </c>
      <c r="B3377" s="22">
        <f>(1+B3376)*IF(AND(Painel_diario!$H3373="EU_JD",Painel_diario!$J3373=1),EXP(Painel_diario!$L3373),1)-1</f>
        <v/>
      </c>
      <c r="C3377" s="22">
        <f>(1+C3376)*IF(AND(Painel_diario!$H3373="EU_JU",Painel_diario!$J3373=1),EXP(Painel_diario!$L3373),1)-1</f>
        <v/>
      </c>
      <c r="D3377" s="22">
        <f>(1+D3376)*IF(AND(Painel_diario!$H3373="ED_JD",Painel_diario!$J3373=1),EXP(Painel_diario!$L3373),1)-1</f>
        <v/>
      </c>
      <c r="E3377" s="22">
        <f>(1+E3376)*IF(AND(Painel_diario!$H3373="ED_JU",Painel_diario!$J3373=1),EXP(Painel_diario!$L3373),1)-1</f>
        <v/>
      </c>
    </row>
    <row r="3378">
      <c r="A3378" s="25" t="n">
        <v>43803</v>
      </c>
      <c r="B3378" s="22">
        <f>(1+B3377)*IF(AND(Painel_diario!$H3374="EU_JD",Painel_diario!$J3374=1),EXP(Painel_diario!$L3374),1)-1</f>
        <v/>
      </c>
      <c r="C3378" s="22">
        <f>(1+C3377)*IF(AND(Painel_diario!$H3374="EU_JU",Painel_diario!$J3374=1),EXP(Painel_diario!$L3374),1)-1</f>
        <v/>
      </c>
      <c r="D3378" s="22">
        <f>(1+D3377)*IF(AND(Painel_diario!$H3374="ED_JD",Painel_diario!$J3374=1),EXP(Painel_diario!$L3374),1)-1</f>
        <v/>
      </c>
      <c r="E3378" s="22">
        <f>(1+E3377)*IF(AND(Painel_diario!$H3374="ED_JU",Painel_diario!$J3374=1),EXP(Painel_diario!$L3374),1)-1</f>
        <v/>
      </c>
    </row>
    <row r="3379">
      <c r="A3379" s="25" t="n">
        <v>43804</v>
      </c>
      <c r="B3379" s="22">
        <f>(1+B3378)*IF(AND(Painel_diario!$H3375="EU_JD",Painel_diario!$J3375=1),EXP(Painel_diario!$L3375),1)-1</f>
        <v/>
      </c>
      <c r="C3379" s="22">
        <f>(1+C3378)*IF(AND(Painel_diario!$H3375="EU_JU",Painel_diario!$J3375=1),EXP(Painel_diario!$L3375),1)-1</f>
        <v/>
      </c>
      <c r="D3379" s="22">
        <f>(1+D3378)*IF(AND(Painel_diario!$H3375="ED_JD",Painel_diario!$J3375=1),EXP(Painel_diario!$L3375),1)-1</f>
        <v/>
      </c>
      <c r="E3379" s="22">
        <f>(1+E3378)*IF(AND(Painel_diario!$H3375="ED_JU",Painel_diario!$J3375=1),EXP(Painel_diario!$L3375),1)-1</f>
        <v/>
      </c>
    </row>
    <row r="3380">
      <c r="A3380" s="25" t="n">
        <v>43805</v>
      </c>
      <c r="B3380" s="22">
        <f>(1+B3379)*IF(AND(Painel_diario!$H3376="EU_JD",Painel_diario!$J3376=1),EXP(Painel_diario!$L3376),1)-1</f>
        <v/>
      </c>
      <c r="C3380" s="22">
        <f>(1+C3379)*IF(AND(Painel_diario!$H3376="EU_JU",Painel_diario!$J3376=1),EXP(Painel_diario!$L3376),1)-1</f>
        <v/>
      </c>
      <c r="D3380" s="22">
        <f>(1+D3379)*IF(AND(Painel_diario!$H3376="ED_JD",Painel_diario!$J3376=1),EXP(Painel_diario!$L3376),1)-1</f>
        <v/>
      </c>
      <c r="E3380" s="22">
        <f>(1+E3379)*IF(AND(Painel_diario!$H3376="ED_JU",Painel_diario!$J3376=1),EXP(Painel_diario!$L3376),1)-1</f>
        <v/>
      </c>
    </row>
    <row r="3381">
      <c r="A3381" s="25" t="n">
        <v>43808</v>
      </c>
      <c r="B3381" s="22">
        <f>(1+B3380)*IF(AND(Painel_diario!$H3377="EU_JD",Painel_diario!$J3377=1),EXP(Painel_diario!$L3377),1)-1</f>
        <v/>
      </c>
      <c r="C3381" s="22">
        <f>(1+C3380)*IF(AND(Painel_diario!$H3377="EU_JU",Painel_diario!$J3377=1),EXP(Painel_diario!$L3377),1)-1</f>
        <v/>
      </c>
      <c r="D3381" s="22">
        <f>(1+D3380)*IF(AND(Painel_diario!$H3377="ED_JD",Painel_diario!$J3377=1),EXP(Painel_diario!$L3377),1)-1</f>
        <v/>
      </c>
      <c r="E3381" s="22">
        <f>(1+E3380)*IF(AND(Painel_diario!$H3377="ED_JU",Painel_diario!$J3377=1),EXP(Painel_diario!$L3377),1)-1</f>
        <v/>
      </c>
    </row>
    <row r="3382">
      <c r="A3382" s="25" t="n">
        <v>43809</v>
      </c>
      <c r="B3382" s="22">
        <f>(1+B3381)*IF(AND(Painel_diario!$H3378="EU_JD",Painel_diario!$J3378=1),EXP(Painel_diario!$L3378),1)-1</f>
        <v/>
      </c>
      <c r="C3382" s="22">
        <f>(1+C3381)*IF(AND(Painel_diario!$H3378="EU_JU",Painel_diario!$J3378=1),EXP(Painel_diario!$L3378),1)-1</f>
        <v/>
      </c>
      <c r="D3382" s="22">
        <f>(1+D3381)*IF(AND(Painel_diario!$H3378="ED_JD",Painel_diario!$J3378=1),EXP(Painel_diario!$L3378),1)-1</f>
        <v/>
      </c>
      <c r="E3382" s="22">
        <f>(1+E3381)*IF(AND(Painel_diario!$H3378="ED_JU",Painel_diario!$J3378=1),EXP(Painel_diario!$L3378),1)-1</f>
        <v/>
      </c>
    </row>
    <row r="3383">
      <c r="A3383" s="25" t="n">
        <v>43810</v>
      </c>
      <c r="B3383" s="22">
        <f>(1+B3382)*IF(AND(Painel_diario!$H3379="EU_JD",Painel_diario!$J3379=1),EXP(Painel_diario!$L3379),1)-1</f>
        <v/>
      </c>
      <c r="C3383" s="22">
        <f>(1+C3382)*IF(AND(Painel_diario!$H3379="EU_JU",Painel_diario!$J3379=1),EXP(Painel_diario!$L3379),1)-1</f>
        <v/>
      </c>
      <c r="D3383" s="22">
        <f>(1+D3382)*IF(AND(Painel_diario!$H3379="ED_JD",Painel_diario!$J3379=1),EXP(Painel_diario!$L3379),1)-1</f>
        <v/>
      </c>
      <c r="E3383" s="22">
        <f>(1+E3382)*IF(AND(Painel_diario!$H3379="ED_JU",Painel_diario!$J3379=1),EXP(Painel_diario!$L3379),1)-1</f>
        <v/>
      </c>
    </row>
    <row r="3384">
      <c r="A3384" s="25" t="n">
        <v>43811</v>
      </c>
      <c r="B3384" s="22">
        <f>(1+B3383)*IF(AND(Painel_diario!$H3380="EU_JD",Painel_diario!$J3380=1),EXP(Painel_diario!$L3380),1)-1</f>
        <v/>
      </c>
      <c r="C3384" s="22">
        <f>(1+C3383)*IF(AND(Painel_diario!$H3380="EU_JU",Painel_diario!$J3380=1),EXP(Painel_diario!$L3380),1)-1</f>
        <v/>
      </c>
      <c r="D3384" s="22">
        <f>(1+D3383)*IF(AND(Painel_diario!$H3380="ED_JD",Painel_diario!$J3380=1),EXP(Painel_diario!$L3380),1)-1</f>
        <v/>
      </c>
      <c r="E3384" s="22">
        <f>(1+E3383)*IF(AND(Painel_diario!$H3380="ED_JU",Painel_diario!$J3380=1),EXP(Painel_diario!$L3380),1)-1</f>
        <v/>
      </c>
    </row>
    <row r="3385">
      <c r="A3385" s="25" t="n">
        <v>43812</v>
      </c>
      <c r="B3385" s="22">
        <f>(1+B3384)*IF(AND(Painel_diario!$H3381="EU_JD",Painel_diario!$J3381=1),EXP(Painel_diario!$L3381),1)-1</f>
        <v/>
      </c>
      <c r="C3385" s="22">
        <f>(1+C3384)*IF(AND(Painel_diario!$H3381="EU_JU",Painel_diario!$J3381=1),EXP(Painel_diario!$L3381),1)-1</f>
        <v/>
      </c>
      <c r="D3385" s="22">
        <f>(1+D3384)*IF(AND(Painel_diario!$H3381="ED_JD",Painel_diario!$J3381=1),EXP(Painel_diario!$L3381),1)-1</f>
        <v/>
      </c>
      <c r="E3385" s="22">
        <f>(1+E3384)*IF(AND(Painel_diario!$H3381="ED_JU",Painel_diario!$J3381=1),EXP(Painel_diario!$L3381),1)-1</f>
        <v/>
      </c>
    </row>
    <row r="3386">
      <c r="A3386" s="25" t="n">
        <v>43815</v>
      </c>
      <c r="B3386" s="22">
        <f>(1+B3385)*IF(AND(Painel_diario!$H3382="EU_JD",Painel_diario!$J3382=1),EXP(Painel_diario!$L3382),1)-1</f>
        <v/>
      </c>
      <c r="C3386" s="22">
        <f>(1+C3385)*IF(AND(Painel_diario!$H3382="EU_JU",Painel_diario!$J3382=1),EXP(Painel_diario!$L3382),1)-1</f>
        <v/>
      </c>
      <c r="D3386" s="22">
        <f>(1+D3385)*IF(AND(Painel_diario!$H3382="ED_JD",Painel_diario!$J3382=1),EXP(Painel_diario!$L3382),1)-1</f>
        <v/>
      </c>
      <c r="E3386" s="22">
        <f>(1+E3385)*IF(AND(Painel_diario!$H3382="ED_JU",Painel_diario!$J3382=1),EXP(Painel_diario!$L3382),1)-1</f>
        <v/>
      </c>
    </row>
    <row r="3387">
      <c r="A3387" s="25" t="n">
        <v>43816</v>
      </c>
      <c r="B3387" s="22">
        <f>(1+B3386)*IF(AND(Painel_diario!$H3383="EU_JD",Painel_diario!$J3383=1),EXP(Painel_diario!$L3383),1)-1</f>
        <v/>
      </c>
      <c r="C3387" s="22">
        <f>(1+C3386)*IF(AND(Painel_diario!$H3383="EU_JU",Painel_diario!$J3383=1),EXP(Painel_diario!$L3383),1)-1</f>
        <v/>
      </c>
      <c r="D3387" s="22">
        <f>(1+D3386)*IF(AND(Painel_diario!$H3383="ED_JD",Painel_diario!$J3383=1),EXP(Painel_diario!$L3383),1)-1</f>
        <v/>
      </c>
      <c r="E3387" s="22">
        <f>(1+E3386)*IF(AND(Painel_diario!$H3383="ED_JU",Painel_diario!$J3383=1),EXP(Painel_diario!$L3383),1)-1</f>
        <v/>
      </c>
    </row>
    <row r="3388">
      <c r="A3388" s="25" t="n">
        <v>43817</v>
      </c>
      <c r="B3388" s="22">
        <f>(1+B3387)*IF(AND(Painel_diario!$H3384="EU_JD",Painel_diario!$J3384=1),EXP(Painel_diario!$L3384),1)-1</f>
        <v/>
      </c>
      <c r="C3388" s="22">
        <f>(1+C3387)*IF(AND(Painel_diario!$H3384="EU_JU",Painel_diario!$J3384=1),EXP(Painel_diario!$L3384),1)-1</f>
        <v/>
      </c>
      <c r="D3388" s="22">
        <f>(1+D3387)*IF(AND(Painel_diario!$H3384="ED_JD",Painel_diario!$J3384=1),EXP(Painel_diario!$L3384),1)-1</f>
        <v/>
      </c>
      <c r="E3388" s="22">
        <f>(1+E3387)*IF(AND(Painel_diario!$H3384="ED_JU",Painel_diario!$J3384=1),EXP(Painel_diario!$L3384),1)-1</f>
        <v/>
      </c>
    </row>
    <row r="3389">
      <c r="A3389" s="25" t="n">
        <v>43818</v>
      </c>
      <c r="B3389" s="22">
        <f>(1+B3388)*IF(AND(Painel_diario!$H3385="EU_JD",Painel_diario!$J3385=1),EXP(Painel_diario!$L3385),1)-1</f>
        <v/>
      </c>
      <c r="C3389" s="22">
        <f>(1+C3388)*IF(AND(Painel_diario!$H3385="EU_JU",Painel_diario!$J3385=1),EXP(Painel_diario!$L3385),1)-1</f>
        <v/>
      </c>
      <c r="D3389" s="22">
        <f>(1+D3388)*IF(AND(Painel_diario!$H3385="ED_JD",Painel_diario!$J3385=1),EXP(Painel_diario!$L3385),1)-1</f>
        <v/>
      </c>
      <c r="E3389" s="22">
        <f>(1+E3388)*IF(AND(Painel_diario!$H3385="ED_JU",Painel_diario!$J3385=1),EXP(Painel_diario!$L3385),1)-1</f>
        <v/>
      </c>
    </row>
    <row r="3390">
      <c r="A3390" s="25" t="n">
        <v>43819</v>
      </c>
      <c r="B3390" s="22">
        <f>(1+B3389)*IF(AND(Painel_diario!$H3386="EU_JD",Painel_diario!$J3386=1),EXP(Painel_diario!$L3386),1)-1</f>
        <v/>
      </c>
      <c r="C3390" s="22">
        <f>(1+C3389)*IF(AND(Painel_diario!$H3386="EU_JU",Painel_diario!$J3386=1),EXP(Painel_diario!$L3386),1)-1</f>
        <v/>
      </c>
      <c r="D3390" s="22">
        <f>(1+D3389)*IF(AND(Painel_diario!$H3386="ED_JD",Painel_diario!$J3386=1),EXP(Painel_diario!$L3386),1)-1</f>
        <v/>
      </c>
      <c r="E3390" s="22">
        <f>(1+E3389)*IF(AND(Painel_diario!$H3386="ED_JU",Painel_diario!$J3386=1),EXP(Painel_diario!$L3386),1)-1</f>
        <v/>
      </c>
    </row>
    <row r="3391">
      <c r="A3391" s="25" t="n">
        <v>43822</v>
      </c>
      <c r="B3391" s="22">
        <f>(1+B3390)*IF(AND(Painel_diario!$H3387="EU_JD",Painel_diario!$J3387=1),EXP(Painel_diario!$L3387),1)-1</f>
        <v/>
      </c>
      <c r="C3391" s="22">
        <f>(1+C3390)*IF(AND(Painel_diario!$H3387="EU_JU",Painel_diario!$J3387=1),EXP(Painel_diario!$L3387),1)-1</f>
        <v/>
      </c>
      <c r="D3391" s="22">
        <f>(1+D3390)*IF(AND(Painel_diario!$H3387="ED_JD",Painel_diario!$J3387=1),EXP(Painel_diario!$L3387),1)-1</f>
        <v/>
      </c>
      <c r="E3391" s="22">
        <f>(1+E3390)*IF(AND(Painel_diario!$H3387="ED_JU",Painel_diario!$J3387=1),EXP(Painel_diario!$L3387),1)-1</f>
        <v/>
      </c>
    </row>
    <row r="3392">
      <c r="A3392" s="25" t="n">
        <v>43825</v>
      </c>
      <c r="B3392" s="22">
        <f>(1+B3391)*IF(AND(Painel_diario!$H3388="EU_JD",Painel_diario!$J3388=1),EXP(Painel_diario!$L3388),1)-1</f>
        <v/>
      </c>
      <c r="C3392" s="22">
        <f>(1+C3391)*IF(AND(Painel_diario!$H3388="EU_JU",Painel_diario!$J3388=1),EXP(Painel_diario!$L3388),1)-1</f>
        <v/>
      </c>
      <c r="D3392" s="22">
        <f>(1+D3391)*IF(AND(Painel_diario!$H3388="ED_JD",Painel_diario!$J3388=1),EXP(Painel_diario!$L3388),1)-1</f>
        <v/>
      </c>
      <c r="E3392" s="22">
        <f>(1+E3391)*IF(AND(Painel_diario!$H3388="ED_JU",Painel_diario!$J3388=1),EXP(Painel_diario!$L3388),1)-1</f>
        <v/>
      </c>
    </row>
    <row r="3393">
      <c r="A3393" s="25" t="n">
        <v>43826</v>
      </c>
      <c r="B3393" s="22">
        <f>(1+B3392)*IF(AND(Painel_diario!$H3389="EU_JD",Painel_diario!$J3389=1),EXP(Painel_diario!$L3389),1)-1</f>
        <v/>
      </c>
      <c r="C3393" s="22">
        <f>(1+C3392)*IF(AND(Painel_diario!$H3389="EU_JU",Painel_diario!$J3389=1),EXP(Painel_diario!$L3389),1)-1</f>
        <v/>
      </c>
      <c r="D3393" s="22">
        <f>(1+D3392)*IF(AND(Painel_diario!$H3389="ED_JD",Painel_diario!$J3389=1),EXP(Painel_diario!$L3389),1)-1</f>
        <v/>
      </c>
      <c r="E3393" s="22">
        <f>(1+E3392)*IF(AND(Painel_diario!$H3389="ED_JU",Painel_diario!$J3389=1),EXP(Painel_diario!$L3389),1)-1</f>
        <v/>
      </c>
    </row>
    <row r="3394">
      <c r="A3394" s="25" t="n">
        <v>43829</v>
      </c>
      <c r="B3394" s="22">
        <f>(1+B3393)*IF(AND(Painel_diario!$H3390="EU_JD",Painel_diario!$J3390=1),EXP(Painel_diario!$L3390),1)-1</f>
        <v/>
      </c>
      <c r="C3394" s="22">
        <f>(1+C3393)*IF(AND(Painel_diario!$H3390="EU_JU",Painel_diario!$J3390=1),EXP(Painel_diario!$L3390),1)-1</f>
        <v/>
      </c>
      <c r="D3394" s="22">
        <f>(1+D3393)*IF(AND(Painel_diario!$H3390="ED_JD",Painel_diario!$J3390=1),EXP(Painel_diario!$L3390),1)-1</f>
        <v/>
      </c>
      <c r="E3394" s="22">
        <f>(1+E3393)*IF(AND(Painel_diario!$H3390="ED_JU",Painel_diario!$J3390=1),EXP(Painel_diario!$L3390),1)-1</f>
        <v/>
      </c>
    </row>
    <row r="3395">
      <c r="A3395" s="25" t="n">
        <v>43832</v>
      </c>
      <c r="B3395" s="22">
        <f>(1+B3394)*IF(AND(Painel_diario!$H3391="EU_JD",Painel_diario!$J3391=1),EXP(Painel_diario!$L3391),1)-1</f>
        <v/>
      </c>
      <c r="C3395" s="22">
        <f>(1+C3394)*IF(AND(Painel_diario!$H3391="EU_JU",Painel_diario!$J3391=1),EXP(Painel_diario!$L3391),1)-1</f>
        <v/>
      </c>
      <c r="D3395" s="22">
        <f>(1+D3394)*IF(AND(Painel_diario!$H3391="ED_JD",Painel_diario!$J3391=1),EXP(Painel_diario!$L3391),1)-1</f>
        <v/>
      </c>
      <c r="E3395" s="22">
        <f>(1+E3394)*IF(AND(Painel_diario!$H3391="ED_JU",Painel_diario!$J3391=1),EXP(Painel_diario!$L3391),1)-1</f>
        <v/>
      </c>
    </row>
    <row r="3396">
      <c r="A3396" s="25" t="n">
        <v>43833</v>
      </c>
      <c r="B3396" s="22">
        <f>(1+B3395)*IF(AND(Painel_diario!$H3392="EU_JD",Painel_diario!$J3392=1),EXP(Painel_diario!$L3392),1)-1</f>
        <v/>
      </c>
      <c r="C3396" s="22">
        <f>(1+C3395)*IF(AND(Painel_diario!$H3392="EU_JU",Painel_diario!$J3392=1),EXP(Painel_diario!$L3392),1)-1</f>
        <v/>
      </c>
      <c r="D3396" s="22">
        <f>(1+D3395)*IF(AND(Painel_diario!$H3392="ED_JD",Painel_diario!$J3392=1),EXP(Painel_diario!$L3392),1)-1</f>
        <v/>
      </c>
      <c r="E3396" s="22">
        <f>(1+E3395)*IF(AND(Painel_diario!$H3392="ED_JU",Painel_diario!$J3392=1),EXP(Painel_diario!$L3392),1)-1</f>
        <v/>
      </c>
    </row>
    <row r="3397">
      <c r="A3397" s="25" t="n">
        <v>43836</v>
      </c>
      <c r="B3397" s="22">
        <f>(1+B3396)*IF(AND(Painel_diario!$H3393="EU_JD",Painel_diario!$J3393=1),EXP(Painel_diario!$L3393),1)-1</f>
        <v/>
      </c>
      <c r="C3397" s="22">
        <f>(1+C3396)*IF(AND(Painel_diario!$H3393="EU_JU",Painel_diario!$J3393=1),EXP(Painel_diario!$L3393),1)-1</f>
        <v/>
      </c>
      <c r="D3397" s="22">
        <f>(1+D3396)*IF(AND(Painel_diario!$H3393="ED_JD",Painel_diario!$J3393=1),EXP(Painel_diario!$L3393),1)-1</f>
        <v/>
      </c>
      <c r="E3397" s="22">
        <f>(1+E3396)*IF(AND(Painel_diario!$H3393="ED_JU",Painel_diario!$J3393=1),EXP(Painel_diario!$L3393),1)-1</f>
        <v/>
      </c>
    </row>
    <row r="3398">
      <c r="A3398" s="25" t="n">
        <v>43837</v>
      </c>
      <c r="B3398" s="22">
        <f>(1+B3397)*IF(AND(Painel_diario!$H3394="EU_JD",Painel_diario!$J3394=1),EXP(Painel_diario!$L3394),1)-1</f>
        <v/>
      </c>
      <c r="C3398" s="22">
        <f>(1+C3397)*IF(AND(Painel_diario!$H3394="EU_JU",Painel_diario!$J3394=1),EXP(Painel_diario!$L3394),1)-1</f>
        <v/>
      </c>
      <c r="D3398" s="22">
        <f>(1+D3397)*IF(AND(Painel_diario!$H3394="ED_JD",Painel_diario!$J3394=1),EXP(Painel_diario!$L3394),1)-1</f>
        <v/>
      </c>
      <c r="E3398" s="22">
        <f>(1+E3397)*IF(AND(Painel_diario!$H3394="ED_JU",Painel_diario!$J3394=1),EXP(Painel_diario!$L3394),1)-1</f>
        <v/>
      </c>
    </row>
    <row r="3399">
      <c r="A3399" s="25" t="n">
        <v>43838</v>
      </c>
      <c r="B3399" s="22">
        <f>(1+B3398)*IF(AND(Painel_diario!$H3395="EU_JD",Painel_diario!$J3395=1),EXP(Painel_diario!$L3395),1)-1</f>
        <v/>
      </c>
      <c r="C3399" s="22">
        <f>(1+C3398)*IF(AND(Painel_diario!$H3395="EU_JU",Painel_diario!$J3395=1),EXP(Painel_diario!$L3395),1)-1</f>
        <v/>
      </c>
      <c r="D3399" s="22">
        <f>(1+D3398)*IF(AND(Painel_diario!$H3395="ED_JD",Painel_diario!$J3395=1),EXP(Painel_diario!$L3395),1)-1</f>
        <v/>
      </c>
      <c r="E3399" s="22">
        <f>(1+E3398)*IF(AND(Painel_diario!$H3395="ED_JU",Painel_diario!$J3395=1),EXP(Painel_diario!$L3395),1)-1</f>
        <v/>
      </c>
    </row>
    <row r="3400">
      <c r="A3400" s="25" t="n">
        <v>43839</v>
      </c>
      <c r="B3400" s="22">
        <f>(1+B3399)*IF(AND(Painel_diario!$H3396="EU_JD",Painel_diario!$J3396=1),EXP(Painel_diario!$L3396),1)-1</f>
        <v/>
      </c>
      <c r="C3400" s="22">
        <f>(1+C3399)*IF(AND(Painel_diario!$H3396="EU_JU",Painel_diario!$J3396=1),EXP(Painel_diario!$L3396),1)-1</f>
        <v/>
      </c>
      <c r="D3400" s="22">
        <f>(1+D3399)*IF(AND(Painel_diario!$H3396="ED_JD",Painel_diario!$J3396=1),EXP(Painel_diario!$L3396),1)-1</f>
        <v/>
      </c>
      <c r="E3400" s="22">
        <f>(1+E3399)*IF(AND(Painel_diario!$H3396="ED_JU",Painel_diario!$J3396=1),EXP(Painel_diario!$L3396),1)-1</f>
        <v/>
      </c>
    </row>
    <row r="3401">
      <c r="A3401" s="25" t="n">
        <v>43840</v>
      </c>
      <c r="B3401" s="22">
        <f>(1+B3400)*IF(AND(Painel_diario!$H3397="EU_JD",Painel_diario!$J3397=1),EXP(Painel_diario!$L3397),1)-1</f>
        <v/>
      </c>
      <c r="C3401" s="22">
        <f>(1+C3400)*IF(AND(Painel_diario!$H3397="EU_JU",Painel_diario!$J3397=1),EXP(Painel_diario!$L3397),1)-1</f>
        <v/>
      </c>
      <c r="D3401" s="22">
        <f>(1+D3400)*IF(AND(Painel_diario!$H3397="ED_JD",Painel_diario!$J3397=1),EXP(Painel_diario!$L3397),1)-1</f>
        <v/>
      </c>
      <c r="E3401" s="22">
        <f>(1+E3400)*IF(AND(Painel_diario!$H3397="ED_JU",Painel_diario!$J3397=1),EXP(Painel_diario!$L3397),1)-1</f>
        <v/>
      </c>
    </row>
    <row r="3402">
      <c r="A3402" s="25" t="n">
        <v>43843</v>
      </c>
      <c r="B3402" s="22">
        <f>(1+B3401)*IF(AND(Painel_diario!$H3398="EU_JD",Painel_diario!$J3398=1),EXP(Painel_diario!$L3398),1)-1</f>
        <v/>
      </c>
      <c r="C3402" s="22">
        <f>(1+C3401)*IF(AND(Painel_diario!$H3398="EU_JU",Painel_diario!$J3398=1),EXP(Painel_diario!$L3398),1)-1</f>
        <v/>
      </c>
      <c r="D3402" s="22">
        <f>(1+D3401)*IF(AND(Painel_diario!$H3398="ED_JD",Painel_diario!$J3398=1),EXP(Painel_diario!$L3398),1)-1</f>
        <v/>
      </c>
      <c r="E3402" s="22">
        <f>(1+E3401)*IF(AND(Painel_diario!$H3398="ED_JU",Painel_diario!$J3398=1),EXP(Painel_diario!$L3398),1)-1</f>
        <v/>
      </c>
    </row>
    <row r="3403">
      <c r="A3403" s="25" t="n">
        <v>43844</v>
      </c>
      <c r="B3403" s="22">
        <f>(1+B3402)*IF(AND(Painel_diario!$H3399="EU_JD",Painel_diario!$J3399=1),EXP(Painel_diario!$L3399),1)-1</f>
        <v/>
      </c>
      <c r="C3403" s="22">
        <f>(1+C3402)*IF(AND(Painel_diario!$H3399="EU_JU",Painel_diario!$J3399=1),EXP(Painel_diario!$L3399),1)-1</f>
        <v/>
      </c>
      <c r="D3403" s="22">
        <f>(1+D3402)*IF(AND(Painel_diario!$H3399="ED_JD",Painel_diario!$J3399=1),EXP(Painel_diario!$L3399),1)-1</f>
        <v/>
      </c>
      <c r="E3403" s="22">
        <f>(1+E3402)*IF(AND(Painel_diario!$H3399="ED_JU",Painel_diario!$J3399=1),EXP(Painel_diario!$L3399),1)-1</f>
        <v/>
      </c>
    </row>
    <row r="3404">
      <c r="A3404" s="25" t="n">
        <v>43845</v>
      </c>
      <c r="B3404" s="22">
        <f>(1+B3403)*IF(AND(Painel_diario!$H3400="EU_JD",Painel_diario!$J3400=1),EXP(Painel_diario!$L3400),1)-1</f>
        <v/>
      </c>
      <c r="C3404" s="22">
        <f>(1+C3403)*IF(AND(Painel_diario!$H3400="EU_JU",Painel_diario!$J3400=1),EXP(Painel_diario!$L3400),1)-1</f>
        <v/>
      </c>
      <c r="D3404" s="22">
        <f>(1+D3403)*IF(AND(Painel_diario!$H3400="ED_JD",Painel_diario!$J3400=1),EXP(Painel_diario!$L3400),1)-1</f>
        <v/>
      </c>
      <c r="E3404" s="22">
        <f>(1+E3403)*IF(AND(Painel_diario!$H3400="ED_JU",Painel_diario!$J3400=1),EXP(Painel_diario!$L3400),1)-1</f>
        <v/>
      </c>
    </row>
    <row r="3405">
      <c r="A3405" s="25" t="n">
        <v>43846</v>
      </c>
      <c r="B3405" s="22">
        <f>(1+B3404)*IF(AND(Painel_diario!$H3401="EU_JD",Painel_diario!$J3401=1),EXP(Painel_diario!$L3401),1)-1</f>
        <v/>
      </c>
      <c r="C3405" s="22">
        <f>(1+C3404)*IF(AND(Painel_diario!$H3401="EU_JU",Painel_diario!$J3401=1),EXP(Painel_diario!$L3401),1)-1</f>
        <v/>
      </c>
      <c r="D3405" s="22">
        <f>(1+D3404)*IF(AND(Painel_diario!$H3401="ED_JD",Painel_diario!$J3401=1),EXP(Painel_diario!$L3401),1)-1</f>
        <v/>
      </c>
      <c r="E3405" s="22">
        <f>(1+E3404)*IF(AND(Painel_diario!$H3401="ED_JU",Painel_diario!$J3401=1),EXP(Painel_diario!$L3401),1)-1</f>
        <v/>
      </c>
    </row>
    <row r="3406">
      <c r="A3406" s="25" t="n">
        <v>43847</v>
      </c>
      <c r="B3406" s="22">
        <f>(1+B3405)*IF(AND(Painel_diario!$H3402="EU_JD",Painel_diario!$J3402=1),EXP(Painel_diario!$L3402),1)-1</f>
        <v/>
      </c>
      <c r="C3406" s="22">
        <f>(1+C3405)*IF(AND(Painel_diario!$H3402="EU_JU",Painel_diario!$J3402=1),EXP(Painel_diario!$L3402),1)-1</f>
        <v/>
      </c>
      <c r="D3406" s="22">
        <f>(1+D3405)*IF(AND(Painel_diario!$H3402="ED_JD",Painel_diario!$J3402=1),EXP(Painel_diario!$L3402),1)-1</f>
        <v/>
      </c>
      <c r="E3406" s="22">
        <f>(1+E3405)*IF(AND(Painel_diario!$H3402="ED_JU",Painel_diario!$J3402=1),EXP(Painel_diario!$L3402),1)-1</f>
        <v/>
      </c>
    </row>
    <row r="3407">
      <c r="A3407" s="25" t="n">
        <v>43850</v>
      </c>
      <c r="B3407" s="22">
        <f>(1+B3406)*IF(AND(Painel_diario!$H3403="EU_JD",Painel_diario!$J3403=1),EXP(Painel_diario!$L3403),1)-1</f>
        <v/>
      </c>
      <c r="C3407" s="22">
        <f>(1+C3406)*IF(AND(Painel_diario!$H3403="EU_JU",Painel_diario!$J3403=1),EXP(Painel_diario!$L3403),1)-1</f>
        <v/>
      </c>
      <c r="D3407" s="22">
        <f>(1+D3406)*IF(AND(Painel_diario!$H3403="ED_JD",Painel_diario!$J3403=1),EXP(Painel_diario!$L3403),1)-1</f>
        <v/>
      </c>
      <c r="E3407" s="22">
        <f>(1+E3406)*IF(AND(Painel_diario!$H3403="ED_JU",Painel_diario!$J3403=1),EXP(Painel_diario!$L3403),1)-1</f>
        <v/>
      </c>
    </row>
    <row r="3408">
      <c r="A3408" s="25" t="n">
        <v>43851</v>
      </c>
      <c r="B3408" s="22">
        <f>(1+B3407)*IF(AND(Painel_diario!$H3404="EU_JD",Painel_diario!$J3404=1),EXP(Painel_diario!$L3404),1)-1</f>
        <v/>
      </c>
      <c r="C3408" s="22">
        <f>(1+C3407)*IF(AND(Painel_diario!$H3404="EU_JU",Painel_diario!$J3404=1),EXP(Painel_diario!$L3404),1)-1</f>
        <v/>
      </c>
      <c r="D3408" s="22">
        <f>(1+D3407)*IF(AND(Painel_diario!$H3404="ED_JD",Painel_diario!$J3404=1),EXP(Painel_diario!$L3404),1)-1</f>
        <v/>
      </c>
      <c r="E3408" s="22">
        <f>(1+E3407)*IF(AND(Painel_diario!$H3404="ED_JU",Painel_diario!$J3404=1),EXP(Painel_diario!$L3404),1)-1</f>
        <v/>
      </c>
    </row>
    <row r="3409">
      <c r="A3409" s="25" t="n">
        <v>43852</v>
      </c>
      <c r="B3409" s="22">
        <f>(1+B3408)*IF(AND(Painel_diario!$H3405="EU_JD",Painel_diario!$J3405=1),EXP(Painel_diario!$L3405),1)-1</f>
        <v/>
      </c>
      <c r="C3409" s="22">
        <f>(1+C3408)*IF(AND(Painel_diario!$H3405="EU_JU",Painel_diario!$J3405=1),EXP(Painel_diario!$L3405),1)-1</f>
        <v/>
      </c>
      <c r="D3409" s="22">
        <f>(1+D3408)*IF(AND(Painel_diario!$H3405="ED_JD",Painel_diario!$J3405=1),EXP(Painel_diario!$L3405),1)-1</f>
        <v/>
      </c>
      <c r="E3409" s="22">
        <f>(1+E3408)*IF(AND(Painel_diario!$H3405="ED_JU",Painel_diario!$J3405=1),EXP(Painel_diario!$L3405),1)-1</f>
        <v/>
      </c>
    </row>
    <row r="3410">
      <c r="A3410" s="25" t="n">
        <v>43853</v>
      </c>
      <c r="B3410" s="22">
        <f>(1+B3409)*IF(AND(Painel_diario!$H3406="EU_JD",Painel_diario!$J3406=1),EXP(Painel_diario!$L3406),1)-1</f>
        <v/>
      </c>
      <c r="C3410" s="22">
        <f>(1+C3409)*IF(AND(Painel_diario!$H3406="EU_JU",Painel_diario!$J3406=1),EXP(Painel_diario!$L3406),1)-1</f>
        <v/>
      </c>
      <c r="D3410" s="22">
        <f>(1+D3409)*IF(AND(Painel_diario!$H3406="ED_JD",Painel_diario!$J3406=1),EXP(Painel_diario!$L3406),1)-1</f>
        <v/>
      </c>
      <c r="E3410" s="22">
        <f>(1+E3409)*IF(AND(Painel_diario!$H3406="ED_JU",Painel_diario!$J3406=1),EXP(Painel_diario!$L3406),1)-1</f>
        <v/>
      </c>
    </row>
    <row r="3411">
      <c r="A3411" s="25" t="n">
        <v>43854</v>
      </c>
      <c r="B3411" s="22">
        <f>(1+B3410)*IF(AND(Painel_diario!$H3407="EU_JD",Painel_diario!$J3407=1),EXP(Painel_diario!$L3407),1)-1</f>
        <v/>
      </c>
      <c r="C3411" s="22">
        <f>(1+C3410)*IF(AND(Painel_diario!$H3407="EU_JU",Painel_diario!$J3407=1),EXP(Painel_diario!$L3407),1)-1</f>
        <v/>
      </c>
      <c r="D3411" s="22">
        <f>(1+D3410)*IF(AND(Painel_diario!$H3407="ED_JD",Painel_diario!$J3407=1),EXP(Painel_diario!$L3407),1)-1</f>
        <v/>
      </c>
      <c r="E3411" s="22">
        <f>(1+E3410)*IF(AND(Painel_diario!$H3407="ED_JU",Painel_diario!$J3407=1),EXP(Painel_diario!$L3407),1)-1</f>
        <v/>
      </c>
    </row>
    <row r="3412">
      <c r="A3412" s="25" t="n">
        <v>43857</v>
      </c>
      <c r="B3412" s="22">
        <f>(1+B3411)*IF(AND(Painel_diario!$H3408="EU_JD",Painel_diario!$J3408=1),EXP(Painel_diario!$L3408),1)-1</f>
        <v/>
      </c>
      <c r="C3412" s="22">
        <f>(1+C3411)*IF(AND(Painel_diario!$H3408="EU_JU",Painel_diario!$J3408=1),EXP(Painel_diario!$L3408),1)-1</f>
        <v/>
      </c>
      <c r="D3412" s="22">
        <f>(1+D3411)*IF(AND(Painel_diario!$H3408="ED_JD",Painel_diario!$J3408=1),EXP(Painel_diario!$L3408),1)-1</f>
        <v/>
      </c>
      <c r="E3412" s="22">
        <f>(1+E3411)*IF(AND(Painel_diario!$H3408="ED_JU",Painel_diario!$J3408=1),EXP(Painel_diario!$L3408),1)-1</f>
        <v/>
      </c>
    </row>
    <row r="3413">
      <c r="A3413" s="25" t="n">
        <v>43858</v>
      </c>
      <c r="B3413" s="22">
        <f>(1+B3412)*IF(AND(Painel_diario!$H3409="EU_JD",Painel_diario!$J3409=1),EXP(Painel_diario!$L3409),1)-1</f>
        <v/>
      </c>
      <c r="C3413" s="22">
        <f>(1+C3412)*IF(AND(Painel_diario!$H3409="EU_JU",Painel_diario!$J3409=1),EXP(Painel_diario!$L3409),1)-1</f>
        <v/>
      </c>
      <c r="D3413" s="22">
        <f>(1+D3412)*IF(AND(Painel_diario!$H3409="ED_JD",Painel_diario!$J3409=1),EXP(Painel_diario!$L3409),1)-1</f>
        <v/>
      </c>
      <c r="E3413" s="22">
        <f>(1+E3412)*IF(AND(Painel_diario!$H3409="ED_JU",Painel_diario!$J3409=1),EXP(Painel_diario!$L3409),1)-1</f>
        <v/>
      </c>
    </row>
    <row r="3414">
      <c r="A3414" s="25" t="n">
        <v>43859</v>
      </c>
      <c r="B3414" s="22">
        <f>(1+B3413)*IF(AND(Painel_diario!$H3410="EU_JD",Painel_diario!$J3410=1),EXP(Painel_diario!$L3410),1)-1</f>
        <v/>
      </c>
      <c r="C3414" s="22">
        <f>(1+C3413)*IF(AND(Painel_diario!$H3410="EU_JU",Painel_diario!$J3410=1),EXP(Painel_diario!$L3410),1)-1</f>
        <v/>
      </c>
      <c r="D3414" s="22">
        <f>(1+D3413)*IF(AND(Painel_diario!$H3410="ED_JD",Painel_diario!$J3410=1),EXP(Painel_diario!$L3410),1)-1</f>
        <v/>
      </c>
      <c r="E3414" s="22">
        <f>(1+E3413)*IF(AND(Painel_diario!$H3410="ED_JU",Painel_diario!$J3410=1),EXP(Painel_diario!$L3410),1)-1</f>
        <v/>
      </c>
    </row>
    <row r="3415">
      <c r="A3415" s="25" t="n">
        <v>43860</v>
      </c>
      <c r="B3415" s="22">
        <f>(1+B3414)*IF(AND(Painel_diario!$H3411="EU_JD",Painel_diario!$J3411=1),EXP(Painel_diario!$L3411),1)-1</f>
        <v/>
      </c>
      <c r="C3415" s="22">
        <f>(1+C3414)*IF(AND(Painel_diario!$H3411="EU_JU",Painel_diario!$J3411=1),EXP(Painel_diario!$L3411),1)-1</f>
        <v/>
      </c>
      <c r="D3415" s="22">
        <f>(1+D3414)*IF(AND(Painel_diario!$H3411="ED_JD",Painel_diario!$J3411=1),EXP(Painel_diario!$L3411),1)-1</f>
        <v/>
      </c>
      <c r="E3415" s="22">
        <f>(1+E3414)*IF(AND(Painel_diario!$H3411="ED_JU",Painel_diario!$J3411=1),EXP(Painel_diario!$L3411),1)-1</f>
        <v/>
      </c>
    </row>
    <row r="3416">
      <c r="A3416" s="25" t="n">
        <v>43861</v>
      </c>
      <c r="B3416" s="22">
        <f>(1+B3415)*IF(AND(Painel_diario!$H3412="EU_JD",Painel_diario!$J3412=1),EXP(Painel_diario!$L3412),1)-1</f>
        <v/>
      </c>
      <c r="C3416" s="22">
        <f>(1+C3415)*IF(AND(Painel_diario!$H3412="EU_JU",Painel_diario!$J3412=1),EXP(Painel_diario!$L3412),1)-1</f>
        <v/>
      </c>
      <c r="D3416" s="22">
        <f>(1+D3415)*IF(AND(Painel_diario!$H3412="ED_JD",Painel_diario!$J3412=1),EXP(Painel_diario!$L3412),1)-1</f>
        <v/>
      </c>
      <c r="E3416" s="22">
        <f>(1+E3415)*IF(AND(Painel_diario!$H3412="ED_JU",Painel_diario!$J3412=1),EXP(Painel_diario!$L3412),1)-1</f>
        <v/>
      </c>
    </row>
    <row r="3417">
      <c r="A3417" s="25" t="n">
        <v>43864</v>
      </c>
      <c r="B3417" s="22">
        <f>(1+B3416)*IF(AND(Painel_diario!$H3413="EU_JD",Painel_diario!$J3413=1),EXP(Painel_diario!$L3413),1)-1</f>
        <v/>
      </c>
      <c r="C3417" s="22">
        <f>(1+C3416)*IF(AND(Painel_diario!$H3413="EU_JU",Painel_diario!$J3413=1),EXP(Painel_diario!$L3413),1)-1</f>
        <v/>
      </c>
      <c r="D3417" s="22">
        <f>(1+D3416)*IF(AND(Painel_diario!$H3413="ED_JD",Painel_diario!$J3413=1),EXP(Painel_diario!$L3413),1)-1</f>
        <v/>
      </c>
      <c r="E3417" s="22">
        <f>(1+E3416)*IF(AND(Painel_diario!$H3413="ED_JU",Painel_diario!$J3413=1),EXP(Painel_diario!$L3413),1)-1</f>
        <v/>
      </c>
    </row>
    <row r="3418">
      <c r="A3418" s="25" t="n">
        <v>43865</v>
      </c>
      <c r="B3418" s="22">
        <f>(1+B3417)*IF(AND(Painel_diario!$H3414="EU_JD",Painel_diario!$J3414=1),EXP(Painel_diario!$L3414),1)-1</f>
        <v/>
      </c>
      <c r="C3418" s="22">
        <f>(1+C3417)*IF(AND(Painel_diario!$H3414="EU_JU",Painel_diario!$J3414=1),EXP(Painel_diario!$L3414),1)-1</f>
        <v/>
      </c>
      <c r="D3418" s="22">
        <f>(1+D3417)*IF(AND(Painel_diario!$H3414="ED_JD",Painel_diario!$J3414=1),EXP(Painel_diario!$L3414),1)-1</f>
        <v/>
      </c>
      <c r="E3418" s="22">
        <f>(1+E3417)*IF(AND(Painel_diario!$H3414="ED_JU",Painel_diario!$J3414=1),EXP(Painel_diario!$L3414),1)-1</f>
        <v/>
      </c>
    </row>
    <row r="3419">
      <c r="A3419" s="25" t="n">
        <v>43866</v>
      </c>
      <c r="B3419" s="22">
        <f>(1+B3418)*IF(AND(Painel_diario!$H3415="EU_JD",Painel_diario!$J3415=1),EXP(Painel_diario!$L3415),1)-1</f>
        <v/>
      </c>
      <c r="C3419" s="22">
        <f>(1+C3418)*IF(AND(Painel_diario!$H3415="EU_JU",Painel_diario!$J3415=1),EXP(Painel_diario!$L3415),1)-1</f>
        <v/>
      </c>
      <c r="D3419" s="22">
        <f>(1+D3418)*IF(AND(Painel_diario!$H3415="ED_JD",Painel_diario!$J3415=1),EXP(Painel_diario!$L3415),1)-1</f>
        <v/>
      </c>
      <c r="E3419" s="22">
        <f>(1+E3418)*IF(AND(Painel_diario!$H3415="ED_JU",Painel_diario!$J3415=1),EXP(Painel_diario!$L3415),1)-1</f>
        <v/>
      </c>
    </row>
    <row r="3420">
      <c r="A3420" s="25" t="n">
        <v>43867</v>
      </c>
      <c r="B3420" s="22">
        <f>(1+B3419)*IF(AND(Painel_diario!$H3416="EU_JD",Painel_diario!$J3416=1),EXP(Painel_diario!$L3416),1)-1</f>
        <v/>
      </c>
      <c r="C3420" s="22">
        <f>(1+C3419)*IF(AND(Painel_diario!$H3416="EU_JU",Painel_diario!$J3416=1),EXP(Painel_diario!$L3416),1)-1</f>
        <v/>
      </c>
      <c r="D3420" s="22">
        <f>(1+D3419)*IF(AND(Painel_diario!$H3416="ED_JD",Painel_diario!$J3416=1),EXP(Painel_diario!$L3416),1)-1</f>
        <v/>
      </c>
      <c r="E3420" s="22">
        <f>(1+E3419)*IF(AND(Painel_diario!$H3416="ED_JU",Painel_diario!$J3416=1),EXP(Painel_diario!$L3416),1)-1</f>
        <v/>
      </c>
    </row>
    <row r="3421">
      <c r="A3421" s="25" t="n">
        <v>43868</v>
      </c>
      <c r="B3421" s="22">
        <f>(1+B3420)*IF(AND(Painel_diario!$H3417="EU_JD",Painel_diario!$J3417=1),EXP(Painel_diario!$L3417),1)-1</f>
        <v/>
      </c>
      <c r="C3421" s="22">
        <f>(1+C3420)*IF(AND(Painel_diario!$H3417="EU_JU",Painel_diario!$J3417=1),EXP(Painel_diario!$L3417),1)-1</f>
        <v/>
      </c>
      <c r="D3421" s="22">
        <f>(1+D3420)*IF(AND(Painel_diario!$H3417="ED_JD",Painel_diario!$J3417=1),EXP(Painel_diario!$L3417),1)-1</f>
        <v/>
      </c>
      <c r="E3421" s="22">
        <f>(1+E3420)*IF(AND(Painel_diario!$H3417="ED_JU",Painel_diario!$J3417=1),EXP(Painel_diario!$L3417),1)-1</f>
        <v/>
      </c>
    </row>
    <row r="3422">
      <c r="A3422" s="25" t="n">
        <v>43871</v>
      </c>
      <c r="B3422" s="22">
        <f>(1+B3421)*IF(AND(Painel_diario!$H3418="EU_JD",Painel_diario!$J3418=1),EXP(Painel_diario!$L3418),1)-1</f>
        <v/>
      </c>
      <c r="C3422" s="22">
        <f>(1+C3421)*IF(AND(Painel_diario!$H3418="EU_JU",Painel_diario!$J3418=1),EXP(Painel_diario!$L3418),1)-1</f>
        <v/>
      </c>
      <c r="D3422" s="22">
        <f>(1+D3421)*IF(AND(Painel_diario!$H3418="ED_JD",Painel_diario!$J3418=1),EXP(Painel_diario!$L3418),1)-1</f>
        <v/>
      </c>
      <c r="E3422" s="22">
        <f>(1+E3421)*IF(AND(Painel_diario!$H3418="ED_JU",Painel_diario!$J3418=1),EXP(Painel_diario!$L3418),1)-1</f>
        <v/>
      </c>
    </row>
    <row r="3423">
      <c r="A3423" s="25" t="n">
        <v>43872</v>
      </c>
      <c r="B3423" s="22">
        <f>(1+B3422)*IF(AND(Painel_diario!$H3419="EU_JD",Painel_diario!$J3419=1),EXP(Painel_diario!$L3419),1)-1</f>
        <v/>
      </c>
      <c r="C3423" s="22">
        <f>(1+C3422)*IF(AND(Painel_diario!$H3419="EU_JU",Painel_diario!$J3419=1),EXP(Painel_diario!$L3419),1)-1</f>
        <v/>
      </c>
      <c r="D3423" s="22">
        <f>(1+D3422)*IF(AND(Painel_diario!$H3419="ED_JD",Painel_diario!$J3419=1),EXP(Painel_diario!$L3419),1)-1</f>
        <v/>
      </c>
      <c r="E3423" s="22">
        <f>(1+E3422)*IF(AND(Painel_diario!$H3419="ED_JU",Painel_diario!$J3419=1),EXP(Painel_diario!$L3419),1)-1</f>
        <v/>
      </c>
    </row>
    <row r="3424">
      <c r="A3424" s="25" t="n">
        <v>43873</v>
      </c>
      <c r="B3424" s="22">
        <f>(1+B3423)*IF(AND(Painel_diario!$H3420="EU_JD",Painel_diario!$J3420=1),EXP(Painel_diario!$L3420),1)-1</f>
        <v/>
      </c>
      <c r="C3424" s="22">
        <f>(1+C3423)*IF(AND(Painel_diario!$H3420="EU_JU",Painel_diario!$J3420=1),EXP(Painel_diario!$L3420),1)-1</f>
        <v/>
      </c>
      <c r="D3424" s="22">
        <f>(1+D3423)*IF(AND(Painel_diario!$H3420="ED_JD",Painel_diario!$J3420=1),EXP(Painel_diario!$L3420),1)-1</f>
        <v/>
      </c>
      <c r="E3424" s="22">
        <f>(1+E3423)*IF(AND(Painel_diario!$H3420="ED_JU",Painel_diario!$J3420=1),EXP(Painel_diario!$L3420),1)-1</f>
        <v/>
      </c>
    </row>
    <row r="3425">
      <c r="A3425" s="25" t="n">
        <v>43874</v>
      </c>
      <c r="B3425" s="22">
        <f>(1+B3424)*IF(AND(Painel_diario!$H3421="EU_JD",Painel_diario!$J3421=1),EXP(Painel_diario!$L3421),1)-1</f>
        <v/>
      </c>
      <c r="C3425" s="22">
        <f>(1+C3424)*IF(AND(Painel_diario!$H3421="EU_JU",Painel_diario!$J3421=1),EXP(Painel_diario!$L3421),1)-1</f>
        <v/>
      </c>
      <c r="D3425" s="22">
        <f>(1+D3424)*IF(AND(Painel_diario!$H3421="ED_JD",Painel_diario!$J3421=1),EXP(Painel_diario!$L3421),1)-1</f>
        <v/>
      </c>
      <c r="E3425" s="22">
        <f>(1+E3424)*IF(AND(Painel_diario!$H3421="ED_JU",Painel_diario!$J3421=1),EXP(Painel_diario!$L3421),1)-1</f>
        <v/>
      </c>
    </row>
    <row r="3426">
      <c r="A3426" s="25" t="n">
        <v>43875</v>
      </c>
      <c r="B3426" s="22">
        <f>(1+B3425)*IF(AND(Painel_diario!$H3422="EU_JD",Painel_diario!$J3422=1),EXP(Painel_diario!$L3422),1)-1</f>
        <v/>
      </c>
      <c r="C3426" s="22">
        <f>(1+C3425)*IF(AND(Painel_diario!$H3422="EU_JU",Painel_diario!$J3422=1),EXP(Painel_diario!$L3422),1)-1</f>
        <v/>
      </c>
      <c r="D3426" s="22">
        <f>(1+D3425)*IF(AND(Painel_diario!$H3422="ED_JD",Painel_diario!$J3422=1),EXP(Painel_diario!$L3422),1)-1</f>
        <v/>
      </c>
      <c r="E3426" s="22">
        <f>(1+E3425)*IF(AND(Painel_diario!$H3422="ED_JU",Painel_diario!$J3422=1),EXP(Painel_diario!$L3422),1)-1</f>
        <v/>
      </c>
    </row>
    <row r="3427">
      <c r="A3427" s="25" t="n">
        <v>43878</v>
      </c>
      <c r="B3427" s="22">
        <f>(1+B3426)*IF(AND(Painel_diario!$H3423="EU_JD",Painel_diario!$J3423=1),EXP(Painel_diario!$L3423),1)-1</f>
        <v/>
      </c>
      <c r="C3427" s="22">
        <f>(1+C3426)*IF(AND(Painel_diario!$H3423="EU_JU",Painel_diario!$J3423=1),EXP(Painel_diario!$L3423),1)-1</f>
        <v/>
      </c>
      <c r="D3427" s="22">
        <f>(1+D3426)*IF(AND(Painel_diario!$H3423="ED_JD",Painel_diario!$J3423=1),EXP(Painel_diario!$L3423),1)-1</f>
        <v/>
      </c>
      <c r="E3427" s="22">
        <f>(1+E3426)*IF(AND(Painel_diario!$H3423="ED_JU",Painel_diario!$J3423=1),EXP(Painel_diario!$L3423),1)-1</f>
        <v/>
      </c>
    </row>
    <row r="3428">
      <c r="A3428" s="25" t="n">
        <v>43879</v>
      </c>
      <c r="B3428" s="22">
        <f>(1+B3427)*IF(AND(Painel_diario!$H3424="EU_JD",Painel_diario!$J3424=1),EXP(Painel_diario!$L3424),1)-1</f>
        <v/>
      </c>
      <c r="C3428" s="22">
        <f>(1+C3427)*IF(AND(Painel_diario!$H3424="EU_JU",Painel_diario!$J3424=1),EXP(Painel_diario!$L3424),1)-1</f>
        <v/>
      </c>
      <c r="D3428" s="22">
        <f>(1+D3427)*IF(AND(Painel_diario!$H3424="ED_JD",Painel_diario!$J3424=1),EXP(Painel_diario!$L3424),1)-1</f>
        <v/>
      </c>
      <c r="E3428" s="22">
        <f>(1+E3427)*IF(AND(Painel_diario!$H3424="ED_JU",Painel_diario!$J3424=1),EXP(Painel_diario!$L3424),1)-1</f>
        <v/>
      </c>
    </row>
    <row r="3429">
      <c r="A3429" s="25" t="n">
        <v>43880</v>
      </c>
      <c r="B3429" s="22">
        <f>(1+B3428)*IF(AND(Painel_diario!$H3425="EU_JD",Painel_diario!$J3425=1),EXP(Painel_diario!$L3425),1)-1</f>
        <v/>
      </c>
      <c r="C3429" s="22">
        <f>(1+C3428)*IF(AND(Painel_diario!$H3425="EU_JU",Painel_diario!$J3425=1),EXP(Painel_diario!$L3425),1)-1</f>
        <v/>
      </c>
      <c r="D3429" s="22">
        <f>(1+D3428)*IF(AND(Painel_diario!$H3425="ED_JD",Painel_diario!$J3425=1),EXP(Painel_diario!$L3425),1)-1</f>
        <v/>
      </c>
      <c r="E3429" s="22">
        <f>(1+E3428)*IF(AND(Painel_diario!$H3425="ED_JU",Painel_diario!$J3425=1),EXP(Painel_diario!$L3425),1)-1</f>
        <v/>
      </c>
    </row>
    <row r="3430">
      <c r="A3430" s="25" t="n">
        <v>43881</v>
      </c>
      <c r="B3430" s="22">
        <f>(1+B3429)*IF(AND(Painel_diario!$H3426="EU_JD",Painel_diario!$J3426=1),EXP(Painel_diario!$L3426),1)-1</f>
        <v/>
      </c>
      <c r="C3430" s="22">
        <f>(1+C3429)*IF(AND(Painel_diario!$H3426="EU_JU",Painel_diario!$J3426=1),EXP(Painel_diario!$L3426),1)-1</f>
        <v/>
      </c>
      <c r="D3430" s="22">
        <f>(1+D3429)*IF(AND(Painel_diario!$H3426="ED_JD",Painel_diario!$J3426=1),EXP(Painel_diario!$L3426),1)-1</f>
        <v/>
      </c>
      <c r="E3430" s="22">
        <f>(1+E3429)*IF(AND(Painel_diario!$H3426="ED_JU",Painel_diario!$J3426=1),EXP(Painel_diario!$L3426),1)-1</f>
        <v/>
      </c>
    </row>
    <row r="3431">
      <c r="A3431" s="25" t="n">
        <v>43882</v>
      </c>
      <c r="B3431" s="22">
        <f>(1+B3430)*IF(AND(Painel_diario!$H3427="EU_JD",Painel_diario!$J3427=1),EXP(Painel_diario!$L3427),1)-1</f>
        <v/>
      </c>
      <c r="C3431" s="22">
        <f>(1+C3430)*IF(AND(Painel_diario!$H3427="EU_JU",Painel_diario!$J3427=1),EXP(Painel_diario!$L3427),1)-1</f>
        <v/>
      </c>
      <c r="D3431" s="22">
        <f>(1+D3430)*IF(AND(Painel_diario!$H3427="ED_JD",Painel_diario!$J3427=1),EXP(Painel_diario!$L3427),1)-1</f>
        <v/>
      </c>
      <c r="E3431" s="22">
        <f>(1+E3430)*IF(AND(Painel_diario!$H3427="ED_JU",Painel_diario!$J3427=1),EXP(Painel_diario!$L3427),1)-1</f>
        <v/>
      </c>
    </row>
    <row r="3432">
      <c r="A3432" s="25" t="n">
        <v>43887</v>
      </c>
      <c r="B3432" s="22">
        <f>(1+B3431)*IF(AND(Painel_diario!$H3428="EU_JD",Painel_diario!$J3428=1),EXP(Painel_diario!$L3428),1)-1</f>
        <v/>
      </c>
      <c r="C3432" s="22">
        <f>(1+C3431)*IF(AND(Painel_diario!$H3428="EU_JU",Painel_diario!$J3428=1),EXP(Painel_diario!$L3428),1)-1</f>
        <v/>
      </c>
      <c r="D3432" s="22">
        <f>(1+D3431)*IF(AND(Painel_diario!$H3428="ED_JD",Painel_diario!$J3428=1),EXP(Painel_diario!$L3428),1)-1</f>
        <v/>
      </c>
      <c r="E3432" s="22">
        <f>(1+E3431)*IF(AND(Painel_diario!$H3428="ED_JU",Painel_diario!$J3428=1),EXP(Painel_diario!$L3428),1)-1</f>
        <v/>
      </c>
    </row>
    <row r="3433">
      <c r="A3433" s="25" t="n">
        <v>43888</v>
      </c>
      <c r="B3433" s="22">
        <f>(1+B3432)*IF(AND(Painel_diario!$H3429="EU_JD",Painel_diario!$J3429=1),EXP(Painel_diario!$L3429),1)-1</f>
        <v/>
      </c>
      <c r="C3433" s="22">
        <f>(1+C3432)*IF(AND(Painel_diario!$H3429="EU_JU",Painel_diario!$J3429=1),EXP(Painel_diario!$L3429),1)-1</f>
        <v/>
      </c>
      <c r="D3433" s="22">
        <f>(1+D3432)*IF(AND(Painel_diario!$H3429="ED_JD",Painel_diario!$J3429=1),EXP(Painel_diario!$L3429),1)-1</f>
        <v/>
      </c>
      <c r="E3433" s="22">
        <f>(1+E3432)*IF(AND(Painel_diario!$H3429="ED_JU",Painel_diario!$J3429=1),EXP(Painel_diario!$L3429),1)-1</f>
        <v/>
      </c>
    </row>
    <row r="3434">
      <c r="A3434" s="25" t="n">
        <v>43889</v>
      </c>
      <c r="B3434" s="22">
        <f>(1+B3433)*IF(AND(Painel_diario!$H3430="EU_JD",Painel_diario!$J3430=1),EXP(Painel_diario!$L3430),1)-1</f>
        <v/>
      </c>
      <c r="C3434" s="22">
        <f>(1+C3433)*IF(AND(Painel_diario!$H3430="EU_JU",Painel_diario!$J3430=1),EXP(Painel_diario!$L3430),1)-1</f>
        <v/>
      </c>
      <c r="D3434" s="22">
        <f>(1+D3433)*IF(AND(Painel_diario!$H3430="ED_JD",Painel_diario!$J3430=1),EXP(Painel_diario!$L3430),1)-1</f>
        <v/>
      </c>
      <c r="E3434" s="22">
        <f>(1+E3433)*IF(AND(Painel_diario!$H3430="ED_JU",Painel_diario!$J3430=1),EXP(Painel_diario!$L3430),1)-1</f>
        <v/>
      </c>
    </row>
    <row r="3435">
      <c r="A3435" s="25" t="n">
        <v>43892</v>
      </c>
      <c r="B3435" s="22">
        <f>(1+B3434)*IF(AND(Painel_diario!$H3431="EU_JD",Painel_diario!$J3431=1),EXP(Painel_diario!$L3431),1)-1</f>
        <v/>
      </c>
      <c r="C3435" s="22">
        <f>(1+C3434)*IF(AND(Painel_diario!$H3431="EU_JU",Painel_diario!$J3431=1),EXP(Painel_diario!$L3431),1)-1</f>
        <v/>
      </c>
      <c r="D3435" s="22">
        <f>(1+D3434)*IF(AND(Painel_diario!$H3431="ED_JD",Painel_diario!$J3431=1),EXP(Painel_diario!$L3431),1)-1</f>
        <v/>
      </c>
      <c r="E3435" s="22">
        <f>(1+E3434)*IF(AND(Painel_diario!$H3431="ED_JU",Painel_diario!$J3431=1),EXP(Painel_diario!$L3431),1)-1</f>
        <v/>
      </c>
    </row>
    <row r="3436">
      <c r="A3436" s="25" t="n">
        <v>43893</v>
      </c>
      <c r="B3436" s="22">
        <f>(1+B3435)*IF(AND(Painel_diario!$H3432="EU_JD",Painel_diario!$J3432=1),EXP(Painel_diario!$L3432),1)-1</f>
        <v/>
      </c>
      <c r="C3436" s="22">
        <f>(1+C3435)*IF(AND(Painel_diario!$H3432="EU_JU",Painel_diario!$J3432=1),EXP(Painel_diario!$L3432),1)-1</f>
        <v/>
      </c>
      <c r="D3436" s="22">
        <f>(1+D3435)*IF(AND(Painel_diario!$H3432="ED_JD",Painel_diario!$J3432=1),EXP(Painel_diario!$L3432),1)-1</f>
        <v/>
      </c>
      <c r="E3436" s="22">
        <f>(1+E3435)*IF(AND(Painel_diario!$H3432="ED_JU",Painel_diario!$J3432=1),EXP(Painel_diario!$L3432),1)-1</f>
        <v/>
      </c>
    </row>
    <row r="3437">
      <c r="A3437" s="25" t="n">
        <v>43894</v>
      </c>
      <c r="B3437" s="22">
        <f>(1+B3436)*IF(AND(Painel_diario!$H3433="EU_JD",Painel_diario!$J3433=1),EXP(Painel_diario!$L3433),1)-1</f>
        <v/>
      </c>
      <c r="C3437" s="22">
        <f>(1+C3436)*IF(AND(Painel_diario!$H3433="EU_JU",Painel_diario!$J3433=1),EXP(Painel_diario!$L3433),1)-1</f>
        <v/>
      </c>
      <c r="D3437" s="22">
        <f>(1+D3436)*IF(AND(Painel_diario!$H3433="ED_JD",Painel_diario!$J3433=1),EXP(Painel_diario!$L3433),1)-1</f>
        <v/>
      </c>
      <c r="E3437" s="22">
        <f>(1+E3436)*IF(AND(Painel_diario!$H3433="ED_JU",Painel_diario!$J3433=1),EXP(Painel_diario!$L3433),1)-1</f>
        <v/>
      </c>
    </row>
    <row r="3438">
      <c r="A3438" s="25" t="n">
        <v>43895</v>
      </c>
      <c r="B3438" s="22">
        <f>(1+B3437)*IF(AND(Painel_diario!$H3434="EU_JD",Painel_diario!$J3434=1),EXP(Painel_diario!$L3434),1)-1</f>
        <v/>
      </c>
      <c r="C3438" s="22">
        <f>(1+C3437)*IF(AND(Painel_diario!$H3434="EU_JU",Painel_diario!$J3434=1),EXP(Painel_diario!$L3434),1)-1</f>
        <v/>
      </c>
      <c r="D3438" s="22">
        <f>(1+D3437)*IF(AND(Painel_diario!$H3434="ED_JD",Painel_diario!$J3434=1),EXP(Painel_diario!$L3434),1)-1</f>
        <v/>
      </c>
      <c r="E3438" s="22">
        <f>(1+E3437)*IF(AND(Painel_diario!$H3434="ED_JU",Painel_diario!$J3434=1),EXP(Painel_diario!$L3434),1)-1</f>
        <v/>
      </c>
    </row>
    <row r="3439">
      <c r="A3439" s="25" t="n">
        <v>43896</v>
      </c>
      <c r="B3439" s="22">
        <f>(1+B3438)*IF(AND(Painel_diario!$H3435="EU_JD",Painel_diario!$J3435=1),EXP(Painel_diario!$L3435),1)-1</f>
        <v/>
      </c>
      <c r="C3439" s="22">
        <f>(1+C3438)*IF(AND(Painel_diario!$H3435="EU_JU",Painel_diario!$J3435=1),EXP(Painel_diario!$L3435),1)-1</f>
        <v/>
      </c>
      <c r="D3439" s="22">
        <f>(1+D3438)*IF(AND(Painel_diario!$H3435="ED_JD",Painel_diario!$J3435=1),EXP(Painel_diario!$L3435),1)-1</f>
        <v/>
      </c>
      <c r="E3439" s="22">
        <f>(1+E3438)*IF(AND(Painel_diario!$H3435="ED_JU",Painel_diario!$J3435=1),EXP(Painel_diario!$L3435),1)-1</f>
        <v/>
      </c>
    </row>
    <row r="3440">
      <c r="A3440" s="25" t="n">
        <v>43899</v>
      </c>
      <c r="B3440" s="22">
        <f>(1+B3439)*IF(AND(Painel_diario!$H3436="EU_JD",Painel_diario!$J3436=1),EXP(Painel_diario!$L3436),1)-1</f>
        <v/>
      </c>
      <c r="C3440" s="22">
        <f>(1+C3439)*IF(AND(Painel_diario!$H3436="EU_JU",Painel_diario!$J3436=1),EXP(Painel_diario!$L3436),1)-1</f>
        <v/>
      </c>
      <c r="D3440" s="22">
        <f>(1+D3439)*IF(AND(Painel_diario!$H3436="ED_JD",Painel_diario!$J3436=1),EXP(Painel_diario!$L3436),1)-1</f>
        <v/>
      </c>
      <c r="E3440" s="22">
        <f>(1+E3439)*IF(AND(Painel_diario!$H3436="ED_JU",Painel_diario!$J3436=1),EXP(Painel_diario!$L3436),1)-1</f>
        <v/>
      </c>
    </row>
    <row r="3441">
      <c r="A3441" s="25" t="n">
        <v>43900</v>
      </c>
      <c r="B3441" s="22">
        <f>(1+B3440)*IF(AND(Painel_diario!$H3437="EU_JD",Painel_diario!$J3437=1),EXP(Painel_diario!$L3437),1)-1</f>
        <v/>
      </c>
      <c r="C3441" s="22">
        <f>(1+C3440)*IF(AND(Painel_diario!$H3437="EU_JU",Painel_diario!$J3437=1),EXP(Painel_diario!$L3437),1)-1</f>
        <v/>
      </c>
      <c r="D3441" s="22">
        <f>(1+D3440)*IF(AND(Painel_diario!$H3437="ED_JD",Painel_diario!$J3437=1),EXP(Painel_diario!$L3437),1)-1</f>
        <v/>
      </c>
      <c r="E3441" s="22">
        <f>(1+E3440)*IF(AND(Painel_diario!$H3437="ED_JU",Painel_diario!$J3437=1),EXP(Painel_diario!$L3437),1)-1</f>
        <v/>
      </c>
    </row>
    <row r="3442">
      <c r="A3442" s="25" t="n">
        <v>43901</v>
      </c>
      <c r="B3442" s="22">
        <f>(1+B3441)*IF(AND(Painel_diario!$H3438="EU_JD",Painel_diario!$J3438=1),EXP(Painel_diario!$L3438),1)-1</f>
        <v/>
      </c>
      <c r="C3442" s="22">
        <f>(1+C3441)*IF(AND(Painel_diario!$H3438="EU_JU",Painel_diario!$J3438=1),EXP(Painel_diario!$L3438),1)-1</f>
        <v/>
      </c>
      <c r="D3442" s="22">
        <f>(1+D3441)*IF(AND(Painel_diario!$H3438="ED_JD",Painel_diario!$J3438=1),EXP(Painel_diario!$L3438),1)-1</f>
        <v/>
      </c>
      <c r="E3442" s="22">
        <f>(1+E3441)*IF(AND(Painel_diario!$H3438="ED_JU",Painel_diario!$J3438=1),EXP(Painel_diario!$L3438),1)-1</f>
        <v/>
      </c>
    </row>
    <row r="3443">
      <c r="A3443" s="25" t="n">
        <v>43902</v>
      </c>
      <c r="B3443" s="22">
        <f>(1+B3442)*IF(AND(Painel_diario!$H3439="EU_JD",Painel_diario!$J3439=1),EXP(Painel_diario!$L3439),1)-1</f>
        <v/>
      </c>
      <c r="C3443" s="22">
        <f>(1+C3442)*IF(AND(Painel_diario!$H3439="EU_JU",Painel_diario!$J3439=1),EXP(Painel_diario!$L3439),1)-1</f>
        <v/>
      </c>
      <c r="D3443" s="22">
        <f>(1+D3442)*IF(AND(Painel_diario!$H3439="ED_JD",Painel_diario!$J3439=1),EXP(Painel_diario!$L3439),1)-1</f>
        <v/>
      </c>
      <c r="E3443" s="22">
        <f>(1+E3442)*IF(AND(Painel_diario!$H3439="ED_JU",Painel_diario!$J3439=1),EXP(Painel_diario!$L3439),1)-1</f>
        <v/>
      </c>
    </row>
    <row r="3444">
      <c r="A3444" s="25" t="n">
        <v>43903</v>
      </c>
      <c r="B3444" s="22">
        <f>(1+B3443)*IF(AND(Painel_diario!$H3440="EU_JD",Painel_diario!$J3440=1),EXP(Painel_diario!$L3440),1)-1</f>
        <v/>
      </c>
      <c r="C3444" s="22">
        <f>(1+C3443)*IF(AND(Painel_diario!$H3440="EU_JU",Painel_diario!$J3440=1),EXP(Painel_diario!$L3440),1)-1</f>
        <v/>
      </c>
      <c r="D3444" s="22">
        <f>(1+D3443)*IF(AND(Painel_diario!$H3440="ED_JD",Painel_diario!$J3440=1),EXP(Painel_diario!$L3440),1)-1</f>
        <v/>
      </c>
      <c r="E3444" s="22">
        <f>(1+E3443)*IF(AND(Painel_diario!$H3440="ED_JU",Painel_diario!$J3440=1),EXP(Painel_diario!$L3440),1)-1</f>
        <v/>
      </c>
    </row>
    <row r="3445">
      <c r="A3445" s="25" t="n">
        <v>43906</v>
      </c>
      <c r="B3445" s="22">
        <f>(1+B3444)*IF(AND(Painel_diario!$H3441="EU_JD",Painel_diario!$J3441=1),EXP(Painel_diario!$L3441),1)-1</f>
        <v/>
      </c>
      <c r="C3445" s="22">
        <f>(1+C3444)*IF(AND(Painel_diario!$H3441="EU_JU",Painel_diario!$J3441=1),EXP(Painel_diario!$L3441),1)-1</f>
        <v/>
      </c>
      <c r="D3445" s="22">
        <f>(1+D3444)*IF(AND(Painel_diario!$H3441="ED_JD",Painel_diario!$J3441=1),EXP(Painel_diario!$L3441),1)-1</f>
        <v/>
      </c>
      <c r="E3445" s="22">
        <f>(1+E3444)*IF(AND(Painel_diario!$H3441="ED_JU",Painel_diario!$J3441=1),EXP(Painel_diario!$L3441),1)-1</f>
        <v/>
      </c>
    </row>
    <row r="3446">
      <c r="A3446" s="25" t="n">
        <v>43907</v>
      </c>
      <c r="B3446" s="22">
        <f>(1+B3445)*IF(AND(Painel_diario!$H3442="EU_JD",Painel_diario!$J3442=1),EXP(Painel_diario!$L3442),1)-1</f>
        <v/>
      </c>
      <c r="C3446" s="22">
        <f>(1+C3445)*IF(AND(Painel_diario!$H3442="EU_JU",Painel_diario!$J3442=1),EXP(Painel_diario!$L3442),1)-1</f>
        <v/>
      </c>
      <c r="D3446" s="22">
        <f>(1+D3445)*IF(AND(Painel_diario!$H3442="ED_JD",Painel_diario!$J3442=1),EXP(Painel_diario!$L3442),1)-1</f>
        <v/>
      </c>
      <c r="E3446" s="22">
        <f>(1+E3445)*IF(AND(Painel_diario!$H3442="ED_JU",Painel_diario!$J3442=1),EXP(Painel_diario!$L3442),1)-1</f>
        <v/>
      </c>
    </row>
    <row r="3447">
      <c r="A3447" s="25" t="n">
        <v>43908</v>
      </c>
      <c r="B3447" s="22">
        <f>(1+B3446)*IF(AND(Painel_diario!$H3443="EU_JD",Painel_diario!$J3443=1),EXP(Painel_diario!$L3443),1)-1</f>
        <v/>
      </c>
      <c r="C3447" s="22">
        <f>(1+C3446)*IF(AND(Painel_diario!$H3443="EU_JU",Painel_diario!$J3443=1),EXP(Painel_diario!$L3443),1)-1</f>
        <v/>
      </c>
      <c r="D3447" s="22">
        <f>(1+D3446)*IF(AND(Painel_diario!$H3443="ED_JD",Painel_diario!$J3443=1),EXP(Painel_diario!$L3443),1)-1</f>
        <v/>
      </c>
      <c r="E3447" s="22">
        <f>(1+E3446)*IF(AND(Painel_diario!$H3443="ED_JU",Painel_diario!$J3443=1),EXP(Painel_diario!$L3443),1)-1</f>
        <v/>
      </c>
    </row>
    <row r="3448">
      <c r="A3448" s="25" t="n">
        <v>43909</v>
      </c>
      <c r="B3448" s="22">
        <f>(1+B3447)*IF(AND(Painel_diario!$H3444="EU_JD",Painel_diario!$J3444=1),EXP(Painel_diario!$L3444),1)-1</f>
        <v/>
      </c>
      <c r="C3448" s="22">
        <f>(1+C3447)*IF(AND(Painel_diario!$H3444="EU_JU",Painel_diario!$J3444=1),EXP(Painel_diario!$L3444),1)-1</f>
        <v/>
      </c>
      <c r="D3448" s="22">
        <f>(1+D3447)*IF(AND(Painel_diario!$H3444="ED_JD",Painel_diario!$J3444=1),EXP(Painel_diario!$L3444),1)-1</f>
        <v/>
      </c>
      <c r="E3448" s="22">
        <f>(1+E3447)*IF(AND(Painel_diario!$H3444="ED_JU",Painel_diario!$J3444=1),EXP(Painel_diario!$L3444),1)-1</f>
        <v/>
      </c>
    </row>
    <row r="3449">
      <c r="A3449" s="25" t="n">
        <v>43910</v>
      </c>
      <c r="B3449" s="22">
        <f>(1+B3448)*IF(AND(Painel_diario!$H3445="EU_JD",Painel_diario!$J3445=1),EXP(Painel_diario!$L3445),1)-1</f>
        <v/>
      </c>
      <c r="C3449" s="22">
        <f>(1+C3448)*IF(AND(Painel_diario!$H3445="EU_JU",Painel_diario!$J3445=1),EXP(Painel_diario!$L3445),1)-1</f>
        <v/>
      </c>
      <c r="D3449" s="22">
        <f>(1+D3448)*IF(AND(Painel_diario!$H3445="ED_JD",Painel_diario!$J3445=1),EXP(Painel_diario!$L3445),1)-1</f>
        <v/>
      </c>
      <c r="E3449" s="22">
        <f>(1+E3448)*IF(AND(Painel_diario!$H3445="ED_JU",Painel_diario!$J3445=1),EXP(Painel_diario!$L3445),1)-1</f>
        <v/>
      </c>
    </row>
    <row r="3450">
      <c r="A3450" s="25" t="n">
        <v>43913</v>
      </c>
      <c r="B3450" s="22">
        <f>(1+B3449)*IF(AND(Painel_diario!$H3446="EU_JD",Painel_diario!$J3446=1),EXP(Painel_diario!$L3446),1)-1</f>
        <v/>
      </c>
      <c r="C3450" s="22">
        <f>(1+C3449)*IF(AND(Painel_diario!$H3446="EU_JU",Painel_diario!$J3446=1),EXP(Painel_diario!$L3446),1)-1</f>
        <v/>
      </c>
      <c r="D3450" s="22">
        <f>(1+D3449)*IF(AND(Painel_diario!$H3446="ED_JD",Painel_diario!$J3446=1),EXP(Painel_diario!$L3446),1)-1</f>
        <v/>
      </c>
      <c r="E3450" s="22">
        <f>(1+E3449)*IF(AND(Painel_diario!$H3446="ED_JU",Painel_diario!$J3446=1),EXP(Painel_diario!$L3446),1)-1</f>
        <v/>
      </c>
    </row>
    <row r="3451">
      <c r="A3451" s="25" t="n">
        <v>43914</v>
      </c>
      <c r="B3451" s="22">
        <f>(1+B3450)*IF(AND(Painel_diario!$H3447="EU_JD",Painel_diario!$J3447=1),EXP(Painel_diario!$L3447),1)-1</f>
        <v/>
      </c>
      <c r="C3451" s="22">
        <f>(1+C3450)*IF(AND(Painel_diario!$H3447="EU_JU",Painel_diario!$J3447=1),EXP(Painel_diario!$L3447),1)-1</f>
        <v/>
      </c>
      <c r="D3451" s="22">
        <f>(1+D3450)*IF(AND(Painel_diario!$H3447="ED_JD",Painel_diario!$J3447=1),EXP(Painel_diario!$L3447),1)-1</f>
        <v/>
      </c>
      <c r="E3451" s="22">
        <f>(1+E3450)*IF(AND(Painel_diario!$H3447="ED_JU",Painel_diario!$J3447=1),EXP(Painel_diario!$L3447),1)-1</f>
        <v/>
      </c>
    </row>
    <row r="3452">
      <c r="A3452" s="25" t="n">
        <v>43915</v>
      </c>
      <c r="B3452" s="22">
        <f>(1+B3451)*IF(AND(Painel_diario!$H3448="EU_JD",Painel_diario!$J3448=1),EXP(Painel_diario!$L3448),1)-1</f>
        <v/>
      </c>
      <c r="C3452" s="22">
        <f>(1+C3451)*IF(AND(Painel_diario!$H3448="EU_JU",Painel_diario!$J3448=1),EXP(Painel_diario!$L3448),1)-1</f>
        <v/>
      </c>
      <c r="D3452" s="22">
        <f>(1+D3451)*IF(AND(Painel_diario!$H3448="ED_JD",Painel_diario!$J3448=1),EXP(Painel_diario!$L3448),1)-1</f>
        <v/>
      </c>
      <c r="E3452" s="22">
        <f>(1+E3451)*IF(AND(Painel_diario!$H3448="ED_JU",Painel_diario!$J3448=1),EXP(Painel_diario!$L3448),1)-1</f>
        <v/>
      </c>
    </row>
    <row r="3453">
      <c r="A3453" s="25" t="n">
        <v>43916</v>
      </c>
      <c r="B3453" s="22">
        <f>(1+B3452)*IF(AND(Painel_diario!$H3449="EU_JD",Painel_diario!$J3449=1),EXP(Painel_diario!$L3449),1)-1</f>
        <v/>
      </c>
      <c r="C3453" s="22">
        <f>(1+C3452)*IF(AND(Painel_diario!$H3449="EU_JU",Painel_diario!$J3449=1),EXP(Painel_diario!$L3449),1)-1</f>
        <v/>
      </c>
      <c r="D3453" s="22">
        <f>(1+D3452)*IF(AND(Painel_diario!$H3449="ED_JD",Painel_diario!$J3449=1),EXP(Painel_diario!$L3449),1)-1</f>
        <v/>
      </c>
      <c r="E3453" s="22">
        <f>(1+E3452)*IF(AND(Painel_diario!$H3449="ED_JU",Painel_diario!$J3449=1),EXP(Painel_diario!$L3449),1)-1</f>
        <v/>
      </c>
    </row>
    <row r="3454">
      <c r="A3454" s="25" t="n">
        <v>43917</v>
      </c>
      <c r="B3454" s="22">
        <f>(1+B3453)*IF(AND(Painel_diario!$H3450="EU_JD",Painel_diario!$J3450=1),EXP(Painel_diario!$L3450),1)-1</f>
        <v/>
      </c>
      <c r="C3454" s="22">
        <f>(1+C3453)*IF(AND(Painel_diario!$H3450="EU_JU",Painel_diario!$J3450=1),EXP(Painel_diario!$L3450),1)-1</f>
        <v/>
      </c>
      <c r="D3454" s="22">
        <f>(1+D3453)*IF(AND(Painel_diario!$H3450="ED_JD",Painel_diario!$J3450=1),EXP(Painel_diario!$L3450),1)-1</f>
        <v/>
      </c>
      <c r="E3454" s="22">
        <f>(1+E3453)*IF(AND(Painel_diario!$H3450="ED_JU",Painel_diario!$J3450=1),EXP(Painel_diario!$L3450),1)-1</f>
        <v/>
      </c>
    </row>
    <row r="3455">
      <c r="A3455" s="25" t="n">
        <v>43920</v>
      </c>
      <c r="B3455" s="22">
        <f>(1+B3454)*IF(AND(Painel_diario!$H3451="EU_JD",Painel_diario!$J3451=1),EXP(Painel_diario!$L3451),1)-1</f>
        <v/>
      </c>
      <c r="C3455" s="22">
        <f>(1+C3454)*IF(AND(Painel_diario!$H3451="EU_JU",Painel_diario!$J3451=1),EXP(Painel_diario!$L3451),1)-1</f>
        <v/>
      </c>
      <c r="D3455" s="22">
        <f>(1+D3454)*IF(AND(Painel_diario!$H3451="ED_JD",Painel_diario!$J3451=1),EXP(Painel_diario!$L3451),1)-1</f>
        <v/>
      </c>
      <c r="E3455" s="22">
        <f>(1+E3454)*IF(AND(Painel_diario!$H3451="ED_JU",Painel_diario!$J3451=1),EXP(Painel_diario!$L3451),1)-1</f>
        <v/>
      </c>
    </row>
    <row r="3456">
      <c r="A3456" s="25" t="n">
        <v>43921</v>
      </c>
      <c r="B3456" s="22">
        <f>(1+B3455)*IF(AND(Painel_diario!$H3452="EU_JD",Painel_diario!$J3452=1),EXP(Painel_diario!$L3452),1)-1</f>
        <v/>
      </c>
      <c r="C3456" s="22">
        <f>(1+C3455)*IF(AND(Painel_diario!$H3452="EU_JU",Painel_diario!$J3452=1),EXP(Painel_diario!$L3452),1)-1</f>
        <v/>
      </c>
      <c r="D3456" s="22">
        <f>(1+D3455)*IF(AND(Painel_diario!$H3452="ED_JD",Painel_diario!$J3452=1),EXP(Painel_diario!$L3452),1)-1</f>
        <v/>
      </c>
      <c r="E3456" s="22">
        <f>(1+E3455)*IF(AND(Painel_diario!$H3452="ED_JU",Painel_diario!$J3452=1),EXP(Painel_diario!$L3452),1)-1</f>
        <v/>
      </c>
    </row>
    <row r="3457">
      <c r="A3457" s="25" t="n">
        <v>43922</v>
      </c>
      <c r="B3457" s="22">
        <f>(1+B3456)*IF(AND(Painel_diario!$H3453="EU_JD",Painel_diario!$J3453=1),EXP(Painel_diario!$L3453),1)-1</f>
        <v/>
      </c>
      <c r="C3457" s="22">
        <f>(1+C3456)*IF(AND(Painel_diario!$H3453="EU_JU",Painel_diario!$J3453=1),EXP(Painel_diario!$L3453),1)-1</f>
        <v/>
      </c>
      <c r="D3457" s="22">
        <f>(1+D3456)*IF(AND(Painel_diario!$H3453="ED_JD",Painel_diario!$J3453=1),EXP(Painel_diario!$L3453),1)-1</f>
        <v/>
      </c>
      <c r="E3457" s="22">
        <f>(1+E3456)*IF(AND(Painel_diario!$H3453="ED_JU",Painel_diario!$J3453=1),EXP(Painel_diario!$L3453),1)-1</f>
        <v/>
      </c>
    </row>
    <row r="3458">
      <c r="A3458" s="25" t="n">
        <v>43923</v>
      </c>
      <c r="B3458" s="22">
        <f>(1+B3457)*IF(AND(Painel_diario!$H3454="EU_JD",Painel_diario!$J3454=1),EXP(Painel_diario!$L3454),1)-1</f>
        <v/>
      </c>
      <c r="C3458" s="22">
        <f>(1+C3457)*IF(AND(Painel_diario!$H3454="EU_JU",Painel_diario!$J3454=1),EXP(Painel_diario!$L3454),1)-1</f>
        <v/>
      </c>
      <c r="D3458" s="22">
        <f>(1+D3457)*IF(AND(Painel_diario!$H3454="ED_JD",Painel_diario!$J3454=1),EXP(Painel_diario!$L3454),1)-1</f>
        <v/>
      </c>
      <c r="E3458" s="22">
        <f>(1+E3457)*IF(AND(Painel_diario!$H3454="ED_JU",Painel_diario!$J3454=1),EXP(Painel_diario!$L3454),1)-1</f>
        <v/>
      </c>
    </row>
    <row r="3459">
      <c r="A3459" s="25" t="n">
        <v>43924</v>
      </c>
      <c r="B3459" s="22">
        <f>(1+B3458)*IF(AND(Painel_diario!$H3455="EU_JD",Painel_diario!$J3455=1),EXP(Painel_diario!$L3455),1)-1</f>
        <v/>
      </c>
      <c r="C3459" s="22">
        <f>(1+C3458)*IF(AND(Painel_diario!$H3455="EU_JU",Painel_diario!$J3455=1),EXP(Painel_diario!$L3455),1)-1</f>
        <v/>
      </c>
      <c r="D3459" s="22">
        <f>(1+D3458)*IF(AND(Painel_diario!$H3455="ED_JD",Painel_diario!$J3455=1),EXP(Painel_diario!$L3455),1)-1</f>
        <v/>
      </c>
      <c r="E3459" s="22">
        <f>(1+E3458)*IF(AND(Painel_diario!$H3455="ED_JU",Painel_diario!$J3455=1),EXP(Painel_diario!$L3455),1)-1</f>
        <v/>
      </c>
    </row>
    <row r="3460">
      <c r="A3460" s="25" t="n">
        <v>43927</v>
      </c>
      <c r="B3460" s="22">
        <f>(1+B3459)*IF(AND(Painel_diario!$H3456="EU_JD",Painel_diario!$J3456=1),EXP(Painel_diario!$L3456),1)-1</f>
        <v/>
      </c>
      <c r="C3460" s="22">
        <f>(1+C3459)*IF(AND(Painel_diario!$H3456="EU_JU",Painel_diario!$J3456=1),EXP(Painel_diario!$L3456),1)-1</f>
        <v/>
      </c>
      <c r="D3460" s="22">
        <f>(1+D3459)*IF(AND(Painel_diario!$H3456="ED_JD",Painel_diario!$J3456=1),EXP(Painel_diario!$L3456),1)-1</f>
        <v/>
      </c>
      <c r="E3460" s="22">
        <f>(1+E3459)*IF(AND(Painel_diario!$H3456="ED_JU",Painel_diario!$J3456=1),EXP(Painel_diario!$L3456),1)-1</f>
        <v/>
      </c>
    </row>
    <row r="3461">
      <c r="A3461" s="25" t="n">
        <v>43928</v>
      </c>
      <c r="B3461" s="22">
        <f>(1+B3460)*IF(AND(Painel_diario!$H3457="EU_JD",Painel_diario!$J3457=1),EXP(Painel_diario!$L3457),1)-1</f>
        <v/>
      </c>
      <c r="C3461" s="22">
        <f>(1+C3460)*IF(AND(Painel_diario!$H3457="EU_JU",Painel_diario!$J3457=1),EXP(Painel_diario!$L3457),1)-1</f>
        <v/>
      </c>
      <c r="D3461" s="22">
        <f>(1+D3460)*IF(AND(Painel_diario!$H3457="ED_JD",Painel_diario!$J3457=1),EXP(Painel_diario!$L3457),1)-1</f>
        <v/>
      </c>
      <c r="E3461" s="22">
        <f>(1+E3460)*IF(AND(Painel_diario!$H3457="ED_JU",Painel_diario!$J3457=1),EXP(Painel_diario!$L3457),1)-1</f>
        <v/>
      </c>
    </row>
    <row r="3462">
      <c r="A3462" s="25" t="n">
        <v>43929</v>
      </c>
      <c r="B3462" s="22">
        <f>(1+B3461)*IF(AND(Painel_diario!$H3458="EU_JD",Painel_diario!$J3458=1),EXP(Painel_diario!$L3458),1)-1</f>
        <v/>
      </c>
      <c r="C3462" s="22">
        <f>(1+C3461)*IF(AND(Painel_diario!$H3458="EU_JU",Painel_diario!$J3458=1),EXP(Painel_diario!$L3458),1)-1</f>
        <v/>
      </c>
      <c r="D3462" s="22">
        <f>(1+D3461)*IF(AND(Painel_diario!$H3458="ED_JD",Painel_diario!$J3458=1),EXP(Painel_diario!$L3458),1)-1</f>
        <v/>
      </c>
      <c r="E3462" s="22">
        <f>(1+E3461)*IF(AND(Painel_diario!$H3458="ED_JU",Painel_diario!$J3458=1),EXP(Painel_diario!$L3458),1)-1</f>
        <v/>
      </c>
    </row>
    <row r="3463">
      <c r="A3463" s="25" t="n">
        <v>43930</v>
      </c>
      <c r="B3463" s="22">
        <f>(1+B3462)*IF(AND(Painel_diario!$H3459="EU_JD",Painel_diario!$J3459=1),EXP(Painel_diario!$L3459),1)-1</f>
        <v/>
      </c>
      <c r="C3463" s="22">
        <f>(1+C3462)*IF(AND(Painel_diario!$H3459="EU_JU",Painel_diario!$J3459=1),EXP(Painel_diario!$L3459),1)-1</f>
        <v/>
      </c>
      <c r="D3463" s="22">
        <f>(1+D3462)*IF(AND(Painel_diario!$H3459="ED_JD",Painel_diario!$J3459=1),EXP(Painel_diario!$L3459),1)-1</f>
        <v/>
      </c>
      <c r="E3463" s="22">
        <f>(1+E3462)*IF(AND(Painel_diario!$H3459="ED_JU",Painel_diario!$J3459=1),EXP(Painel_diario!$L3459),1)-1</f>
        <v/>
      </c>
    </row>
    <row r="3464">
      <c r="A3464" s="25" t="n">
        <v>43934</v>
      </c>
      <c r="B3464" s="22">
        <f>(1+B3463)*IF(AND(Painel_diario!$H3460="EU_JD",Painel_diario!$J3460=1),EXP(Painel_diario!$L3460),1)-1</f>
        <v/>
      </c>
      <c r="C3464" s="22">
        <f>(1+C3463)*IF(AND(Painel_diario!$H3460="EU_JU",Painel_diario!$J3460=1),EXP(Painel_diario!$L3460),1)-1</f>
        <v/>
      </c>
      <c r="D3464" s="22">
        <f>(1+D3463)*IF(AND(Painel_diario!$H3460="ED_JD",Painel_diario!$J3460=1),EXP(Painel_diario!$L3460),1)-1</f>
        <v/>
      </c>
      <c r="E3464" s="22">
        <f>(1+E3463)*IF(AND(Painel_diario!$H3460="ED_JU",Painel_diario!$J3460=1),EXP(Painel_diario!$L3460),1)-1</f>
        <v/>
      </c>
    </row>
    <row r="3465">
      <c r="A3465" s="25" t="n">
        <v>43935</v>
      </c>
      <c r="B3465" s="22">
        <f>(1+B3464)*IF(AND(Painel_diario!$H3461="EU_JD",Painel_diario!$J3461=1),EXP(Painel_diario!$L3461),1)-1</f>
        <v/>
      </c>
      <c r="C3465" s="22">
        <f>(1+C3464)*IF(AND(Painel_diario!$H3461="EU_JU",Painel_diario!$J3461=1),EXP(Painel_diario!$L3461),1)-1</f>
        <v/>
      </c>
      <c r="D3465" s="22">
        <f>(1+D3464)*IF(AND(Painel_diario!$H3461="ED_JD",Painel_diario!$J3461=1),EXP(Painel_diario!$L3461),1)-1</f>
        <v/>
      </c>
      <c r="E3465" s="22">
        <f>(1+E3464)*IF(AND(Painel_diario!$H3461="ED_JU",Painel_diario!$J3461=1),EXP(Painel_diario!$L3461),1)-1</f>
        <v/>
      </c>
    </row>
    <row r="3466">
      <c r="A3466" s="25" t="n">
        <v>43936</v>
      </c>
      <c r="B3466" s="22">
        <f>(1+B3465)*IF(AND(Painel_diario!$H3462="EU_JD",Painel_diario!$J3462=1),EXP(Painel_diario!$L3462),1)-1</f>
        <v/>
      </c>
      <c r="C3466" s="22">
        <f>(1+C3465)*IF(AND(Painel_diario!$H3462="EU_JU",Painel_diario!$J3462=1),EXP(Painel_diario!$L3462),1)-1</f>
        <v/>
      </c>
      <c r="D3466" s="22">
        <f>(1+D3465)*IF(AND(Painel_diario!$H3462="ED_JD",Painel_diario!$J3462=1),EXP(Painel_diario!$L3462),1)-1</f>
        <v/>
      </c>
      <c r="E3466" s="22">
        <f>(1+E3465)*IF(AND(Painel_diario!$H3462="ED_JU",Painel_diario!$J3462=1),EXP(Painel_diario!$L3462),1)-1</f>
        <v/>
      </c>
    </row>
    <row r="3467">
      <c r="A3467" s="25" t="n">
        <v>43937</v>
      </c>
      <c r="B3467" s="22">
        <f>(1+B3466)*IF(AND(Painel_diario!$H3463="EU_JD",Painel_diario!$J3463=1),EXP(Painel_diario!$L3463),1)-1</f>
        <v/>
      </c>
      <c r="C3467" s="22">
        <f>(1+C3466)*IF(AND(Painel_diario!$H3463="EU_JU",Painel_diario!$J3463=1),EXP(Painel_diario!$L3463),1)-1</f>
        <v/>
      </c>
      <c r="D3467" s="22">
        <f>(1+D3466)*IF(AND(Painel_diario!$H3463="ED_JD",Painel_diario!$J3463=1),EXP(Painel_diario!$L3463),1)-1</f>
        <v/>
      </c>
      <c r="E3467" s="22">
        <f>(1+E3466)*IF(AND(Painel_diario!$H3463="ED_JU",Painel_diario!$J3463=1),EXP(Painel_diario!$L3463),1)-1</f>
        <v/>
      </c>
    </row>
    <row r="3468">
      <c r="A3468" s="25" t="n">
        <v>43938</v>
      </c>
      <c r="B3468" s="22">
        <f>(1+B3467)*IF(AND(Painel_diario!$H3464="EU_JD",Painel_diario!$J3464=1),EXP(Painel_diario!$L3464),1)-1</f>
        <v/>
      </c>
      <c r="C3468" s="22">
        <f>(1+C3467)*IF(AND(Painel_diario!$H3464="EU_JU",Painel_diario!$J3464=1),EXP(Painel_diario!$L3464),1)-1</f>
        <v/>
      </c>
      <c r="D3468" s="22">
        <f>(1+D3467)*IF(AND(Painel_diario!$H3464="ED_JD",Painel_diario!$J3464=1),EXP(Painel_diario!$L3464),1)-1</f>
        <v/>
      </c>
      <c r="E3468" s="22">
        <f>(1+E3467)*IF(AND(Painel_diario!$H3464="ED_JU",Painel_diario!$J3464=1),EXP(Painel_diario!$L3464),1)-1</f>
        <v/>
      </c>
    </row>
    <row r="3469">
      <c r="A3469" s="25" t="n">
        <v>43941</v>
      </c>
      <c r="B3469" s="22">
        <f>(1+B3468)*IF(AND(Painel_diario!$H3465="EU_JD",Painel_diario!$J3465=1),EXP(Painel_diario!$L3465),1)-1</f>
        <v/>
      </c>
      <c r="C3469" s="22">
        <f>(1+C3468)*IF(AND(Painel_diario!$H3465="EU_JU",Painel_diario!$J3465=1),EXP(Painel_diario!$L3465),1)-1</f>
        <v/>
      </c>
      <c r="D3469" s="22">
        <f>(1+D3468)*IF(AND(Painel_diario!$H3465="ED_JD",Painel_diario!$J3465=1),EXP(Painel_diario!$L3465),1)-1</f>
        <v/>
      </c>
      <c r="E3469" s="22">
        <f>(1+E3468)*IF(AND(Painel_diario!$H3465="ED_JU",Painel_diario!$J3465=1),EXP(Painel_diario!$L3465),1)-1</f>
        <v/>
      </c>
    </row>
    <row r="3470">
      <c r="A3470" s="25" t="n">
        <v>43943</v>
      </c>
      <c r="B3470" s="22">
        <f>(1+B3469)*IF(AND(Painel_diario!$H3466="EU_JD",Painel_diario!$J3466=1),EXP(Painel_diario!$L3466),1)-1</f>
        <v/>
      </c>
      <c r="C3470" s="22">
        <f>(1+C3469)*IF(AND(Painel_diario!$H3466="EU_JU",Painel_diario!$J3466=1),EXP(Painel_diario!$L3466),1)-1</f>
        <v/>
      </c>
      <c r="D3470" s="22">
        <f>(1+D3469)*IF(AND(Painel_diario!$H3466="ED_JD",Painel_diario!$J3466=1),EXP(Painel_diario!$L3466),1)-1</f>
        <v/>
      </c>
      <c r="E3470" s="22">
        <f>(1+E3469)*IF(AND(Painel_diario!$H3466="ED_JU",Painel_diario!$J3466=1),EXP(Painel_diario!$L3466),1)-1</f>
        <v/>
      </c>
    </row>
    <row r="3471">
      <c r="A3471" s="25" t="n">
        <v>43944</v>
      </c>
      <c r="B3471" s="22">
        <f>(1+B3470)*IF(AND(Painel_diario!$H3467="EU_JD",Painel_diario!$J3467=1),EXP(Painel_diario!$L3467),1)-1</f>
        <v/>
      </c>
      <c r="C3471" s="22">
        <f>(1+C3470)*IF(AND(Painel_diario!$H3467="EU_JU",Painel_diario!$J3467=1),EXP(Painel_diario!$L3467),1)-1</f>
        <v/>
      </c>
      <c r="D3471" s="22">
        <f>(1+D3470)*IF(AND(Painel_diario!$H3467="ED_JD",Painel_diario!$J3467=1),EXP(Painel_diario!$L3467),1)-1</f>
        <v/>
      </c>
      <c r="E3471" s="22">
        <f>(1+E3470)*IF(AND(Painel_diario!$H3467="ED_JU",Painel_diario!$J3467=1),EXP(Painel_diario!$L3467),1)-1</f>
        <v/>
      </c>
    </row>
    <row r="3472">
      <c r="A3472" s="25" t="n">
        <v>43945</v>
      </c>
      <c r="B3472" s="22">
        <f>(1+B3471)*IF(AND(Painel_diario!$H3468="EU_JD",Painel_diario!$J3468=1),EXP(Painel_diario!$L3468),1)-1</f>
        <v/>
      </c>
      <c r="C3472" s="22">
        <f>(1+C3471)*IF(AND(Painel_diario!$H3468="EU_JU",Painel_diario!$J3468=1),EXP(Painel_diario!$L3468),1)-1</f>
        <v/>
      </c>
      <c r="D3472" s="22">
        <f>(1+D3471)*IF(AND(Painel_diario!$H3468="ED_JD",Painel_diario!$J3468=1),EXP(Painel_diario!$L3468),1)-1</f>
        <v/>
      </c>
      <c r="E3472" s="22">
        <f>(1+E3471)*IF(AND(Painel_diario!$H3468="ED_JU",Painel_diario!$J3468=1),EXP(Painel_diario!$L3468),1)-1</f>
        <v/>
      </c>
    </row>
    <row r="3473">
      <c r="A3473" s="25" t="n">
        <v>43948</v>
      </c>
      <c r="B3473" s="22">
        <f>(1+B3472)*IF(AND(Painel_diario!$H3469="EU_JD",Painel_diario!$J3469=1),EXP(Painel_diario!$L3469),1)-1</f>
        <v/>
      </c>
      <c r="C3473" s="22">
        <f>(1+C3472)*IF(AND(Painel_diario!$H3469="EU_JU",Painel_diario!$J3469=1),EXP(Painel_diario!$L3469),1)-1</f>
        <v/>
      </c>
      <c r="D3473" s="22">
        <f>(1+D3472)*IF(AND(Painel_diario!$H3469="ED_JD",Painel_diario!$J3469=1),EXP(Painel_diario!$L3469),1)-1</f>
        <v/>
      </c>
      <c r="E3473" s="22">
        <f>(1+E3472)*IF(AND(Painel_diario!$H3469="ED_JU",Painel_diario!$J3469=1),EXP(Painel_diario!$L3469),1)-1</f>
        <v/>
      </c>
    </row>
    <row r="3474">
      <c r="A3474" s="25" t="n">
        <v>43949</v>
      </c>
      <c r="B3474" s="22">
        <f>(1+B3473)*IF(AND(Painel_diario!$H3470="EU_JD",Painel_diario!$J3470=1),EXP(Painel_diario!$L3470),1)-1</f>
        <v/>
      </c>
      <c r="C3474" s="22">
        <f>(1+C3473)*IF(AND(Painel_diario!$H3470="EU_JU",Painel_diario!$J3470=1),EXP(Painel_diario!$L3470),1)-1</f>
        <v/>
      </c>
      <c r="D3474" s="22">
        <f>(1+D3473)*IF(AND(Painel_diario!$H3470="ED_JD",Painel_diario!$J3470=1),EXP(Painel_diario!$L3470),1)-1</f>
        <v/>
      </c>
      <c r="E3474" s="22">
        <f>(1+E3473)*IF(AND(Painel_diario!$H3470="ED_JU",Painel_diario!$J3470=1),EXP(Painel_diario!$L3470),1)-1</f>
        <v/>
      </c>
    </row>
    <row r="3475">
      <c r="A3475" s="25" t="n">
        <v>43950</v>
      </c>
      <c r="B3475" s="22">
        <f>(1+B3474)*IF(AND(Painel_diario!$H3471="EU_JD",Painel_diario!$J3471=1),EXP(Painel_diario!$L3471),1)-1</f>
        <v/>
      </c>
      <c r="C3475" s="22">
        <f>(1+C3474)*IF(AND(Painel_diario!$H3471="EU_JU",Painel_diario!$J3471=1),EXP(Painel_diario!$L3471),1)-1</f>
        <v/>
      </c>
      <c r="D3475" s="22">
        <f>(1+D3474)*IF(AND(Painel_diario!$H3471="ED_JD",Painel_diario!$J3471=1),EXP(Painel_diario!$L3471),1)-1</f>
        <v/>
      </c>
      <c r="E3475" s="22">
        <f>(1+E3474)*IF(AND(Painel_diario!$H3471="ED_JU",Painel_diario!$J3471=1),EXP(Painel_diario!$L3471),1)-1</f>
        <v/>
      </c>
    </row>
    <row r="3476">
      <c r="A3476" s="25" t="n">
        <v>43951</v>
      </c>
      <c r="B3476" s="22">
        <f>(1+B3475)*IF(AND(Painel_diario!$H3472="EU_JD",Painel_diario!$J3472=1),EXP(Painel_diario!$L3472),1)-1</f>
        <v/>
      </c>
      <c r="C3476" s="22">
        <f>(1+C3475)*IF(AND(Painel_diario!$H3472="EU_JU",Painel_diario!$J3472=1),EXP(Painel_diario!$L3472),1)-1</f>
        <v/>
      </c>
      <c r="D3476" s="22">
        <f>(1+D3475)*IF(AND(Painel_diario!$H3472="ED_JD",Painel_diario!$J3472=1),EXP(Painel_diario!$L3472),1)-1</f>
        <v/>
      </c>
      <c r="E3476" s="22">
        <f>(1+E3475)*IF(AND(Painel_diario!$H3472="ED_JU",Painel_diario!$J3472=1),EXP(Painel_diario!$L3472),1)-1</f>
        <v/>
      </c>
    </row>
    <row r="3477">
      <c r="A3477" s="25" t="n">
        <v>43955</v>
      </c>
      <c r="B3477" s="22">
        <f>(1+B3476)*IF(AND(Painel_diario!$H3473="EU_JD",Painel_diario!$J3473=1),EXP(Painel_diario!$L3473),1)-1</f>
        <v/>
      </c>
      <c r="C3477" s="22">
        <f>(1+C3476)*IF(AND(Painel_diario!$H3473="EU_JU",Painel_diario!$J3473=1),EXP(Painel_diario!$L3473),1)-1</f>
        <v/>
      </c>
      <c r="D3477" s="22">
        <f>(1+D3476)*IF(AND(Painel_diario!$H3473="ED_JD",Painel_diario!$J3473=1),EXP(Painel_diario!$L3473),1)-1</f>
        <v/>
      </c>
      <c r="E3477" s="22">
        <f>(1+E3476)*IF(AND(Painel_diario!$H3473="ED_JU",Painel_diario!$J3473=1),EXP(Painel_diario!$L3473),1)-1</f>
        <v/>
      </c>
    </row>
    <row r="3478">
      <c r="A3478" s="25" t="n">
        <v>43956</v>
      </c>
      <c r="B3478" s="22">
        <f>(1+B3477)*IF(AND(Painel_diario!$H3474="EU_JD",Painel_diario!$J3474=1),EXP(Painel_diario!$L3474),1)-1</f>
        <v/>
      </c>
      <c r="C3478" s="22">
        <f>(1+C3477)*IF(AND(Painel_diario!$H3474="EU_JU",Painel_diario!$J3474=1),EXP(Painel_diario!$L3474),1)-1</f>
        <v/>
      </c>
      <c r="D3478" s="22">
        <f>(1+D3477)*IF(AND(Painel_diario!$H3474="ED_JD",Painel_diario!$J3474=1),EXP(Painel_diario!$L3474),1)-1</f>
        <v/>
      </c>
      <c r="E3478" s="22">
        <f>(1+E3477)*IF(AND(Painel_diario!$H3474="ED_JU",Painel_diario!$J3474=1),EXP(Painel_diario!$L3474),1)-1</f>
        <v/>
      </c>
    </row>
    <row r="3479">
      <c r="A3479" s="25" t="n">
        <v>43957</v>
      </c>
      <c r="B3479" s="22">
        <f>(1+B3478)*IF(AND(Painel_diario!$H3475="EU_JD",Painel_diario!$J3475=1),EXP(Painel_diario!$L3475),1)-1</f>
        <v/>
      </c>
      <c r="C3479" s="22">
        <f>(1+C3478)*IF(AND(Painel_diario!$H3475="EU_JU",Painel_diario!$J3475=1),EXP(Painel_diario!$L3475),1)-1</f>
        <v/>
      </c>
      <c r="D3479" s="22">
        <f>(1+D3478)*IF(AND(Painel_diario!$H3475="ED_JD",Painel_diario!$J3475=1),EXP(Painel_diario!$L3475),1)-1</f>
        <v/>
      </c>
      <c r="E3479" s="22">
        <f>(1+E3478)*IF(AND(Painel_diario!$H3475="ED_JU",Painel_diario!$J3475=1),EXP(Painel_diario!$L3475),1)-1</f>
        <v/>
      </c>
    </row>
    <row r="3480">
      <c r="A3480" s="25" t="n">
        <v>43958</v>
      </c>
      <c r="B3480" s="22">
        <f>(1+B3479)*IF(AND(Painel_diario!$H3476="EU_JD",Painel_diario!$J3476=1),EXP(Painel_diario!$L3476),1)-1</f>
        <v/>
      </c>
      <c r="C3480" s="22">
        <f>(1+C3479)*IF(AND(Painel_diario!$H3476="EU_JU",Painel_diario!$J3476=1),EXP(Painel_diario!$L3476),1)-1</f>
        <v/>
      </c>
      <c r="D3480" s="22">
        <f>(1+D3479)*IF(AND(Painel_diario!$H3476="ED_JD",Painel_diario!$J3476=1),EXP(Painel_diario!$L3476),1)-1</f>
        <v/>
      </c>
      <c r="E3480" s="22">
        <f>(1+E3479)*IF(AND(Painel_diario!$H3476="ED_JU",Painel_diario!$J3476=1),EXP(Painel_diario!$L3476),1)-1</f>
        <v/>
      </c>
    </row>
    <row r="3481">
      <c r="A3481" s="25" t="n">
        <v>43959</v>
      </c>
      <c r="B3481" s="22">
        <f>(1+B3480)*IF(AND(Painel_diario!$H3477="EU_JD",Painel_diario!$J3477=1),EXP(Painel_diario!$L3477),1)-1</f>
        <v/>
      </c>
      <c r="C3481" s="22">
        <f>(1+C3480)*IF(AND(Painel_diario!$H3477="EU_JU",Painel_diario!$J3477=1),EXP(Painel_diario!$L3477),1)-1</f>
        <v/>
      </c>
      <c r="D3481" s="22">
        <f>(1+D3480)*IF(AND(Painel_diario!$H3477="ED_JD",Painel_diario!$J3477=1),EXP(Painel_diario!$L3477),1)-1</f>
        <v/>
      </c>
      <c r="E3481" s="22">
        <f>(1+E3480)*IF(AND(Painel_diario!$H3477="ED_JU",Painel_diario!$J3477=1),EXP(Painel_diario!$L3477),1)-1</f>
        <v/>
      </c>
    </row>
    <row r="3482">
      <c r="A3482" s="25" t="n">
        <v>43962</v>
      </c>
      <c r="B3482" s="22">
        <f>(1+B3481)*IF(AND(Painel_diario!$H3478="EU_JD",Painel_diario!$J3478=1),EXP(Painel_diario!$L3478),1)-1</f>
        <v/>
      </c>
      <c r="C3482" s="22">
        <f>(1+C3481)*IF(AND(Painel_diario!$H3478="EU_JU",Painel_diario!$J3478=1),EXP(Painel_diario!$L3478),1)-1</f>
        <v/>
      </c>
      <c r="D3482" s="22">
        <f>(1+D3481)*IF(AND(Painel_diario!$H3478="ED_JD",Painel_diario!$J3478=1),EXP(Painel_diario!$L3478),1)-1</f>
        <v/>
      </c>
      <c r="E3482" s="22">
        <f>(1+E3481)*IF(AND(Painel_diario!$H3478="ED_JU",Painel_diario!$J3478=1),EXP(Painel_diario!$L3478),1)-1</f>
        <v/>
      </c>
    </row>
    <row r="3483">
      <c r="A3483" s="25" t="n">
        <v>43963</v>
      </c>
      <c r="B3483" s="22">
        <f>(1+B3482)*IF(AND(Painel_diario!$H3479="EU_JD",Painel_diario!$J3479=1),EXP(Painel_diario!$L3479),1)-1</f>
        <v/>
      </c>
      <c r="C3483" s="22">
        <f>(1+C3482)*IF(AND(Painel_diario!$H3479="EU_JU",Painel_diario!$J3479=1),EXP(Painel_diario!$L3479),1)-1</f>
        <v/>
      </c>
      <c r="D3483" s="22">
        <f>(1+D3482)*IF(AND(Painel_diario!$H3479="ED_JD",Painel_diario!$J3479=1),EXP(Painel_diario!$L3479),1)-1</f>
        <v/>
      </c>
      <c r="E3483" s="22">
        <f>(1+E3482)*IF(AND(Painel_diario!$H3479="ED_JU",Painel_diario!$J3479=1),EXP(Painel_diario!$L3479),1)-1</f>
        <v/>
      </c>
    </row>
    <row r="3484">
      <c r="A3484" s="25" t="n">
        <v>43964</v>
      </c>
      <c r="B3484" s="22">
        <f>(1+B3483)*IF(AND(Painel_diario!$H3480="EU_JD",Painel_diario!$J3480=1),EXP(Painel_diario!$L3480),1)-1</f>
        <v/>
      </c>
      <c r="C3484" s="22">
        <f>(1+C3483)*IF(AND(Painel_diario!$H3480="EU_JU",Painel_diario!$J3480=1),EXP(Painel_diario!$L3480),1)-1</f>
        <v/>
      </c>
      <c r="D3484" s="22">
        <f>(1+D3483)*IF(AND(Painel_diario!$H3480="ED_JD",Painel_diario!$J3480=1),EXP(Painel_diario!$L3480),1)-1</f>
        <v/>
      </c>
      <c r="E3484" s="22">
        <f>(1+E3483)*IF(AND(Painel_diario!$H3480="ED_JU",Painel_diario!$J3480=1),EXP(Painel_diario!$L3480),1)-1</f>
        <v/>
      </c>
    </row>
    <row r="3485">
      <c r="A3485" s="25" t="n">
        <v>43965</v>
      </c>
      <c r="B3485" s="22">
        <f>(1+B3484)*IF(AND(Painel_diario!$H3481="EU_JD",Painel_diario!$J3481=1),EXP(Painel_diario!$L3481),1)-1</f>
        <v/>
      </c>
      <c r="C3485" s="22">
        <f>(1+C3484)*IF(AND(Painel_diario!$H3481="EU_JU",Painel_diario!$J3481=1),EXP(Painel_diario!$L3481),1)-1</f>
        <v/>
      </c>
      <c r="D3485" s="22">
        <f>(1+D3484)*IF(AND(Painel_diario!$H3481="ED_JD",Painel_diario!$J3481=1),EXP(Painel_diario!$L3481),1)-1</f>
        <v/>
      </c>
      <c r="E3485" s="22">
        <f>(1+E3484)*IF(AND(Painel_diario!$H3481="ED_JU",Painel_diario!$J3481=1),EXP(Painel_diario!$L3481),1)-1</f>
        <v/>
      </c>
    </row>
    <row r="3486">
      <c r="A3486" s="25" t="n">
        <v>43966</v>
      </c>
      <c r="B3486" s="22">
        <f>(1+B3485)*IF(AND(Painel_diario!$H3482="EU_JD",Painel_diario!$J3482=1),EXP(Painel_diario!$L3482),1)-1</f>
        <v/>
      </c>
      <c r="C3486" s="22">
        <f>(1+C3485)*IF(AND(Painel_diario!$H3482="EU_JU",Painel_diario!$J3482=1),EXP(Painel_diario!$L3482),1)-1</f>
        <v/>
      </c>
      <c r="D3486" s="22">
        <f>(1+D3485)*IF(AND(Painel_diario!$H3482="ED_JD",Painel_diario!$J3482=1),EXP(Painel_diario!$L3482),1)-1</f>
        <v/>
      </c>
      <c r="E3486" s="22">
        <f>(1+E3485)*IF(AND(Painel_diario!$H3482="ED_JU",Painel_diario!$J3482=1),EXP(Painel_diario!$L3482),1)-1</f>
        <v/>
      </c>
    </row>
    <row r="3487">
      <c r="A3487" s="25" t="n">
        <v>43969</v>
      </c>
      <c r="B3487" s="22">
        <f>(1+B3486)*IF(AND(Painel_diario!$H3483="EU_JD",Painel_diario!$J3483=1),EXP(Painel_diario!$L3483),1)-1</f>
        <v/>
      </c>
      <c r="C3487" s="22">
        <f>(1+C3486)*IF(AND(Painel_diario!$H3483="EU_JU",Painel_diario!$J3483=1),EXP(Painel_diario!$L3483),1)-1</f>
        <v/>
      </c>
      <c r="D3487" s="22">
        <f>(1+D3486)*IF(AND(Painel_diario!$H3483="ED_JD",Painel_diario!$J3483=1),EXP(Painel_diario!$L3483),1)-1</f>
        <v/>
      </c>
      <c r="E3487" s="22">
        <f>(1+E3486)*IF(AND(Painel_diario!$H3483="ED_JU",Painel_diario!$J3483=1),EXP(Painel_diario!$L3483),1)-1</f>
        <v/>
      </c>
    </row>
    <row r="3488">
      <c r="A3488" s="25" t="n">
        <v>43970</v>
      </c>
      <c r="B3488" s="22">
        <f>(1+B3487)*IF(AND(Painel_diario!$H3484="EU_JD",Painel_diario!$J3484=1),EXP(Painel_diario!$L3484),1)-1</f>
        <v/>
      </c>
      <c r="C3488" s="22">
        <f>(1+C3487)*IF(AND(Painel_diario!$H3484="EU_JU",Painel_diario!$J3484=1),EXP(Painel_diario!$L3484),1)-1</f>
        <v/>
      </c>
      <c r="D3488" s="22">
        <f>(1+D3487)*IF(AND(Painel_diario!$H3484="ED_JD",Painel_diario!$J3484=1),EXP(Painel_diario!$L3484),1)-1</f>
        <v/>
      </c>
      <c r="E3488" s="22">
        <f>(1+E3487)*IF(AND(Painel_diario!$H3484="ED_JU",Painel_diario!$J3484=1),EXP(Painel_diario!$L3484),1)-1</f>
        <v/>
      </c>
    </row>
    <row r="3489">
      <c r="A3489" s="25" t="n">
        <v>43971</v>
      </c>
      <c r="B3489" s="22">
        <f>(1+B3488)*IF(AND(Painel_diario!$H3485="EU_JD",Painel_diario!$J3485=1),EXP(Painel_diario!$L3485),1)-1</f>
        <v/>
      </c>
      <c r="C3489" s="22">
        <f>(1+C3488)*IF(AND(Painel_diario!$H3485="EU_JU",Painel_diario!$J3485=1),EXP(Painel_diario!$L3485),1)-1</f>
        <v/>
      </c>
      <c r="D3489" s="22">
        <f>(1+D3488)*IF(AND(Painel_diario!$H3485="ED_JD",Painel_diario!$J3485=1),EXP(Painel_diario!$L3485),1)-1</f>
        <v/>
      </c>
      <c r="E3489" s="22">
        <f>(1+E3488)*IF(AND(Painel_diario!$H3485="ED_JU",Painel_diario!$J3485=1),EXP(Painel_diario!$L3485),1)-1</f>
        <v/>
      </c>
    </row>
    <row r="3490">
      <c r="A3490" s="25" t="n">
        <v>43972</v>
      </c>
      <c r="B3490" s="22">
        <f>(1+B3489)*IF(AND(Painel_diario!$H3486="EU_JD",Painel_diario!$J3486=1),EXP(Painel_diario!$L3486),1)-1</f>
        <v/>
      </c>
      <c r="C3490" s="22">
        <f>(1+C3489)*IF(AND(Painel_diario!$H3486="EU_JU",Painel_diario!$J3486=1),EXP(Painel_diario!$L3486),1)-1</f>
        <v/>
      </c>
      <c r="D3490" s="22">
        <f>(1+D3489)*IF(AND(Painel_diario!$H3486="ED_JD",Painel_diario!$J3486=1),EXP(Painel_diario!$L3486),1)-1</f>
        <v/>
      </c>
      <c r="E3490" s="22">
        <f>(1+E3489)*IF(AND(Painel_diario!$H3486="ED_JU",Painel_diario!$J3486=1),EXP(Painel_diario!$L3486),1)-1</f>
        <v/>
      </c>
    </row>
    <row r="3491">
      <c r="A3491" s="25" t="n">
        <v>43973</v>
      </c>
      <c r="B3491" s="22">
        <f>(1+B3490)*IF(AND(Painel_diario!$H3487="EU_JD",Painel_diario!$J3487=1),EXP(Painel_diario!$L3487),1)-1</f>
        <v/>
      </c>
      <c r="C3491" s="22">
        <f>(1+C3490)*IF(AND(Painel_diario!$H3487="EU_JU",Painel_diario!$J3487=1),EXP(Painel_diario!$L3487),1)-1</f>
        <v/>
      </c>
      <c r="D3491" s="22">
        <f>(1+D3490)*IF(AND(Painel_diario!$H3487="ED_JD",Painel_diario!$J3487=1),EXP(Painel_diario!$L3487),1)-1</f>
        <v/>
      </c>
      <c r="E3491" s="22">
        <f>(1+E3490)*IF(AND(Painel_diario!$H3487="ED_JU",Painel_diario!$J3487=1),EXP(Painel_diario!$L3487),1)-1</f>
        <v/>
      </c>
    </row>
    <row r="3492">
      <c r="A3492" s="25" t="n">
        <v>43976</v>
      </c>
      <c r="B3492" s="22">
        <f>(1+B3491)*IF(AND(Painel_diario!$H3488="EU_JD",Painel_diario!$J3488=1),EXP(Painel_diario!$L3488),1)-1</f>
        <v/>
      </c>
      <c r="C3492" s="22">
        <f>(1+C3491)*IF(AND(Painel_diario!$H3488="EU_JU",Painel_diario!$J3488=1),EXP(Painel_diario!$L3488),1)-1</f>
        <v/>
      </c>
      <c r="D3492" s="22">
        <f>(1+D3491)*IF(AND(Painel_diario!$H3488="ED_JD",Painel_diario!$J3488=1),EXP(Painel_diario!$L3488),1)-1</f>
        <v/>
      </c>
      <c r="E3492" s="22">
        <f>(1+E3491)*IF(AND(Painel_diario!$H3488="ED_JU",Painel_diario!$J3488=1),EXP(Painel_diario!$L3488),1)-1</f>
        <v/>
      </c>
    </row>
    <row r="3493">
      <c r="A3493" s="25" t="n">
        <v>43977</v>
      </c>
      <c r="B3493" s="22">
        <f>(1+B3492)*IF(AND(Painel_diario!$H3489="EU_JD",Painel_diario!$J3489=1),EXP(Painel_diario!$L3489),1)-1</f>
        <v/>
      </c>
      <c r="C3493" s="22">
        <f>(1+C3492)*IF(AND(Painel_diario!$H3489="EU_JU",Painel_diario!$J3489=1),EXP(Painel_diario!$L3489),1)-1</f>
        <v/>
      </c>
      <c r="D3493" s="22">
        <f>(1+D3492)*IF(AND(Painel_diario!$H3489="ED_JD",Painel_diario!$J3489=1),EXP(Painel_diario!$L3489),1)-1</f>
        <v/>
      </c>
      <c r="E3493" s="22">
        <f>(1+E3492)*IF(AND(Painel_diario!$H3489="ED_JU",Painel_diario!$J3489=1),EXP(Painel_diario!$L3489),1)-1</f>
        <v/>
      </c>
    </row>
    <row r="3494">
      <c r="A3494" s="25" t="n">
        <v>43978</v>
      </c>
      <c r="B3494" s="22">
        <f>(1+B3493)*IF(AND(Painel_diario!$H3490="EU_JD",Painel_diario!$J3490=1),EXP(Painel_diario!$L3490),1)-1</f>
        <v/>
      </c>
      <c r="C3494" s="22">
        <f>(1+C3493)*IF(AND(Painel_diario!$H3490="EU_JU",Painel_diario!$J3490=1),EXP(Painel_diario!$L3490),1)-1</f>
        <v/>
      </c>
      <c r="D3494" s="22">
        <f>(1+D3493)*IF(AND(Painel_diario!$H3490="ED_JD",Painel_diario!$J3490=1),EXP(Painel_diario!$L3490),1)-1</f>
        <v/>
      </c>
      <c r="E3494" s="22">
        <f>(1+E3493)*IF(AND(Painel_diario!$H3490="ED_JU",Painel_diario!$J3490=1),EXP(Painel_diario!$L3490),1)-1</f>
        <v/>
      </c>
    </row>
    <row r="3495">
      <c r="A3495" s="25" t="n">
        <v>43979</v>
      </c>
      <c r="B3495" s="22">
        <f>(1+B3494)*IF(AND(Painel_diario!$H3491="EU_JD",Painel_diario!$J3491=1),EXP(Painel_diario!$L3491),1)-1</f>
        <v/>
      </c>
      <c r="C3495" s="22">
        <f>(1+C3494)*IF(AND(Painel_diario!$H3491="EU_JU",Painel_diario!$J3491=1),EXP(Painel_diario!$L3491),1)-1</f>
        <v/>
      </c>
      <c r="D3495" s="22">
        <f>(1+D3494)*IF(AND(Painel_diario!$H3491="ED_JD",Painel_diario!$J3491=1),EXP(Painel_diario!$L3491),1)-1</f>
        <v/>
      </c>
      <c r="E3495" s="22">
        <f>(1+E3494)*IF(AND(Painel_diario!$H3491="ED_JU",Painel_diario!$J3491=1),EXP(Painel_diario!$L3491),1)-1</f>
        <v/>
      </c>
    </row>
    <row r="3496">
      <c r="A3496" s="25" t="n">
        <v>43980</v>
      </c>
      <c r="B3496" s="22">
        <f>(1+B3495)*IF(AND(Painel_diario!$H3492="EU_JD",Painel_diario!$J3492=1),EXP(Painel_diario!$L3492),1)-1</f>
        <v/>
      </c>
      <c r="C3496" s="22">
        <f>(1+C3495)*IF(AND(Painel_diario!$H3492="EU_JU",Painel_diario!$J3492=1),EXP(Painel_diario!$L3492),1)-1</f>
        <v/>
      </c>
      <c r="D3496" s="22">
        <f>(1+D3495)*IF(AND(Painel_diario!$H3492="ED_JD",Painel_diario!$J3492=1),EXP(Painel_diario!$L3492),1)-1</f>
        <v/>
      </c>
      <c r="E3496" s="22">
        <f>(1+E3495)*IF(AND(Painel_diario!$H3492="ED_JU",Painel_diario!$J3492=1),EXP(Painel_diario!$L3492),1)-1</f>
        <v/>
      </c>
    </row>
    <row r="3497">
      <c r="A3497" s="25" t="n">
        <v>43983</v>
      </c>
      <c r="B3497" s="22">
        <f>(1+B3496)*IF(AND(Painel_diario!$H3493="EU_JD",Painel_diario!$J3493=1),EXP(Painel_diario!$L3493),1)-1</f>
        <v/>
      </c>
      <c r="C3497" s="22">
        <f>(1+C3496)*IF(AND(Painel_diario!$H3493="EU_JU",Painel_diario!$J3493=1),EXP(Painel_diario!$L3493),1)-1</f>
        <v/>
      </c>
      <c r="D3497" s="22">
        <f>(1+D3496)*IF(AND(Painel_diario!$H3493="ED_JD",Painel_diario!$J3493=1),EXP(Painel_diario!$L3493),1)-1</f>
        <v/>
      </c>
      <c r="E3497" s="22">
        <f>(1+E3496)*IF(AND(Painel_diario!$H3493="ED_JU",Painel_diario!$J3493=1),EXP(Painel_diario!$L3493),1)-1</f>
        <v/>
      </c>
    </row>
    <row r="3498">
      <c r="A3498" s="25" t="n">
        <v>43984</v>
      </c>
      <c r="B3498" s="22">
        <f>(1+B3497)*IF(AND(Painel_diario!$H3494="EU_JD",Painel_diario!$J3494=1),EXP(Painel_diario!$L3494),1)-1</f>
        <v/>
      </c>
      <c r="C3498" s="22">
        <f>(1+C3497)*IF(AND(Painel_diario!$H3494="EU_JU",Painel_diario!$J3494=1),EXP(Painel_diario!$L3494),1)-1</f>
        <v/>
      </c>
      <c r="D3498" s="22">
        <f>(1+D3497)*IF(AND(Painel_diario!$H3494="ED_JD",Painel_diario!$J3494=1),EXP(Painel_diario!$L3494),1)-1</f>
        <v/>
      </c>
      <c r="E3498" s="22">
        <f>(1+E3497)*IF(AND(Painel_diario!$H3494="ED_JU",Painel_diario!$J3494=1),EXP(Painel_diario!$L3494),1)-1</f>
        <v/>
      </c>
    </row>
    <row r="3499">
      <c r="A3499" s="25" t="n">
        <v>43985</v>
      </c>
      <c r="B3499" s="22">
        <f>(1+B3498)*IF(AND(Painel_diario!$H3495="EU_JD",Painel_diario!$J3495=1),EXP(Painel_diario!$L3495),1)-1</f>
        <v/>
      </c>
      <c r="C3499" s="22">
        <f>(1+C3498)*IF(AND(Painel_diario!$H3495="EU_JU",Painel_diario!$J3495=1),EXP(Painel_diario!$L3495),1)-1</f>
        <v/>
      </c>
      <c r="D3499" s="22">
        <f>(1+D3498)*IF(AND(Painel_diario!$H3495="ED_JD",Painel_diario!$J3495=1),EXP(Painel_diario!$L3495),1)-1</f>
        <v/>
      </c>
      <c r="E3499" s="22">
        <f>(1+E3498)*IF(AND(Painel_diario!$H3495="ED_JU",Painel_diario!$J3495=1),EXP(Painel_diario!$L3495),1)-1</f>
        <v/>
      </c>
    </row>
    <row r="3500">
      <c r="A3500" s="25" t="n">
        <v>43986</v>
      </c>
      <c r="B3500" s="22">
        <f>(1+B3499)*IF(AND(Painel_diario!$H3496="EU_JD",Painel_diario!$J3496=1),EXP(Painel_diario!$L3496),1)-1</f>
        <v/>
      </c>
      <c r="C3500" s="22">
        <f>(1+C3499)*IF(AND(Painel_diario!$H3496="EU_JU",Painel_diario!$J3496=1),EXP(Painel_diario!$L3496),1)-1</f>
        <v/>
      </c>
      <c r="D3500" s="22">
        <f>(1+D3499)*IF(AND(Painel_diario!$H3496="ED_JD",Painel_diario!$J3496=1),EXP(Painel_diario!$L3496),1)-1</f>
        <v/>
      </c>
      <c r="E3500" s="22">
        <f>(1+E3499)*IF(AND(Painel_diario!$H3496="ED_JU",Painel_diario!$J3496=1),EXP(Painel_diario!$L3496),1)-1</f>
        <v/>
      </c>
    </row>
    <row r="3501">
      <c r="A3501" s="25" t="n">
        <v>43987</v>
      </c>
      <c r="B3501" s="22">
        <f>(1+B3500)*IF(AND(Painel_diario!$H3497="EU_JD",Painel_diario!$J3497=1),EXP(Painel_diario!$L3497),1)-1</f>
        <v/>
      </c>
      <c r="C3501" s="22">
        <f>(1+C3500)*IF(AND(Painel_diario!$H3497="EU_JU",Painel_diario!$J3497=1),EXP(Painel_diario!$L3497),1)-1</f>
        <v/>
      </c>
      <c r="D3501" s="22">
        <f>(1+D3500)*IF(AND(Painel_diario!$H3497="ED_JD",Painel_diario!$J3497=1),EXP(Painel_diario!$L3497),1)-1</f>
        <v/>
      </c>
      <c r="E3501" s="22">
        <f>(1+E3500)*IF(AND(Painel_diario!$H3497="ED_JU",Painel_diario!$J3497=1),EXP(Painel_diario!$L3497),1)-1</f>
        <v/>
      </c>
    </row>
    <row r="3502">
      <c r="A3502" s="25" t="n">
        <v>43990</v>
      </c>
      <c r="B3502" s="22">
        <f>(1+B3501)*IF(AND(Painel_diario!$H3498="EU_JD",Painel_diario!$J3498=1),EXP(Painel_diario!$L3498),1)-1</f>
        <v/>
      </c>
      <c r="C3502" s="22">
        <f>(1+C3501)*IF(AND(Painel_diario!$H3498="EU_JU",Painel_diario!$J3498=1),EXP(Painel_diario!$L3498),1)-1</f>
        <v/>
      </c>
      <c r="D3502" s="22">
        <f>(1+D3501)*IF(AND(Painel_diario!$H3498="ED_JD",Painel_diario!$J3498=1),EXP(Painel_diario!$L3498),1)-1</f>
        <v/>
      </c>
      <c r="E3502" s="22">
        <f>(1+E3501)*IF(AND(Painel_diario!$H3498="ED_JU",Painel_diario!$J3498=1),EXP(Painel_diario!$L3498),1)-1</f>
        <v/>
      </c>
    </row>
    <row r="3503">
      <c r="A3503" s="25" t="n">
        <v>43991</v>
      </c>
      <c r="B3503" s="22">
        <f>(1+B3502)*IF(AND(Painel_diario!$H3499="EU_JD",Painel_diario!$J3499=1),EXP(Painel_diario!$L3499),1)-1</f>
        <v/>
      </c>
      <c r="C3503" s="22">
        <f>(1+C3502)*IF(AND(Painel_diario!$H3499="EU_JU",Painel_diario!$J3499=1),EXP(Painel_diario!$L3499),1)-1</f>
        <v/>
      </c>
      <c r="D3503" s="22">
        <f>(1+D3502)*IF(AND(Painel_diario!$H3499="ED_JD",Painel_diario!$J3499=1),EXP(Painel_diario!$L3499),1)-1</f>
        <v/>
      </c>
      <c r="E3503" s="22">
        <f>(1+E3502)*IF(AND(Painel_diario!$H3499="ED_JU",Painel_diario!$J3499=1),EXP(Painel_diario!$L3499),1)-1</f>
        <v/>
      </c>
    </row>
    <row r="3504">
      <c r="A3504" s="25" t="n">
        <v>43992</v>
      </c>
      <c r="B3504" s="22">
        <f>(1+B3503)*IF(AND(Painel_diario!$H3500="EU_JD",Painel_diario!$J3500=1),EXP(Painel_diario!$L3500),1)-1</f>
        <v/>
      </c>
      <c r="C3504" s="22">
        <f>(1+C3503)*IF(AND(Painel_diario!$H3500="EU_JU",Painel_diario!$J3500=1),EXP(Painel_diario!$L3500),1)-1</f>
        <v/>
      </c>
      <c r="D3504" s="22">
        <f>(1+D3503)*IF(AND(Painel_diario!$H3500="ED_JD",Painel_diario!$J3500=1),EXP(Painel_diario!$L3500),1)-1</f>
        <v/>
      </c>
      <c r="E3504" s="22">
        <f>(1+E3503)*IF(AND(Painel_diario!$H3500="ED_JU",Painel_diario!$J3500=1),EXP(Painel_diario!$L3500),1)-1</f>
        <v/>
      </c>
    </row>
    <row r="3505">
      <c r="A3505" s="25" t="n">
        <v>43994</v>
      </c>
      <c r="B3505" s="22">
        <f>(1+B3504)*IF(AND(Painel_diario!$H3501="EU_JD",Painel_diario!$J3501=1),EXP(Painel_diario!$L3501),1)-1</f>
        <v/>
      </c>
      <c r="C3505" s="22">
        <f>(1+C3504)*IF(AND(Painel_diario!$H3501="EU_JU",Painel_diario!$J3501=1),EXP(Painel_diario!$L3501),1)-1</f>
        <v/>
      </c>
      <c r="D3505" s="22">
        <f>(1+D3504)*IF(AND(Painel_diario!$H3501="ED_JD",Painel_diario!$J3501=1),EXP(Painel_diario!$L3501),1)-1</f>
        <v/>
      </c>
      <c r="E3505" s="22">
        <f>(1+E3504)*IF(AND(Painel_diario!$H3501="ED_JU",Painel_diario!$J3501=1),EXP(Painel_diario!$L3501),1)-1</f>
        <v/>
      </c>
    </row>
    <row r="3506">
      <c r="A3506" s="25" t="n">
        <v>43997</v>
      </c>
      <c r="B3506" s="22">
        <f>(1+B3505)*IF(AND(Painel_diario!$H3502="EU_JD",Painel_diario!$J3502=1),EXP(Painel_diario!$L3502),1)-1</f>
        <v/>
      </c>
      <c r="C3506" s="22">
        <f>(1+C3505)*IF(AND(Painel_diario!$H3502="EU_JU",Painel_diario!$J3502=1),EXP(Painel_diario!$L3502),1)-1</f>
        <v/>
      </c>
      <c r="D3506" s="22">
        <f>(1+D3505)*IF(AND(Painel_diario!$H3502="ED_JD",Painel_diario!$J3502=1),EXP(Painel_diario!$L3502),1)-1</f>
        <v/>
      </c>
      <c r="E3506" s="22">
        <f>(1+E3505)*IF(AND(Painel_diario!$H3502="ED_JU",Painel_diario!$J3502=1),EXP(Painel_diario!$L3502),1)-1</f>
        <v/>
      </c>
    </row>
    <row r="3507">
      <c r="A3507" s="25" t="n">
        <v>43998</v>
      </c>
      <c r="B3507" s="22">
        <f>(1+B3506)*IF(AND(Painel_diario!$H3503="EU_JD",Painel_diario!$J3503=1),EXP(Painel_diario!$L3503),1)-1</f>
        <v/>
      </c>
      <c r="C3507" s="22">
        <f>(1+C3506)*IF(AND(Painel_diario!$H3503="EU_JU",Painel_diario!$J3503=1),EXP(Painel_diario!$L3503),1)-1</f>
        <v/>
      </c>
      <c r="D3507" s="22">
        <f>(1+D3506)*IF(AND(Painel_diario!$H3503="ED_JD",Painel_diario!$J3503=1),EXP(Painel_diario!$L3503),1)-1</f>
        <v/>
      </c>
      <c r="E3507" s="22">
        <f>(1+E3506)*IF(AND(Painel_diario!$H3503="ED_JU",Painel_diario!$J3503=1),EXP(Painel_diario!$L3503),1)-1</f>
        <v/>
      </c>
    </row>
    <row r="3508">
      <c r="A3508" s="25" t="n">
        <v>43999</v>
      </c>
      <c r="B3508" s="22">
        <f>(1+B3507)*IF(AND(Painel_diario!$H3504="EU_JD",Painel_diario!$J3504=1),EXP(Painel_diario!$L3504),1)-1</f>
        <v/>
      </c>
      <c r="C3508" s="22">
        <f>(1+C3507)*IF(AND(Painel_diario!$H3504="EU_JU",Painel_diario!$J3504=1),EXP(Painel_diario!$L3504),1)-1</f>
        <v/>
      </c>
      <c r="D3508" s="22">
        <f>(1+D3507)*IF(AND(Painel_diario!$H3504="ED_JD",Painel_diario!$J3504=1),EXP(Painel_diario!$L3504),1)-1</f>
        <v/>
      </c>
      <c r="E3508" s="22">
        <f>(1+E3507)*IF(AND(Painel_diario!$H3504="ED_JU",Painel_diario!$J3504=1),EXP(Painel_diario!$L3504),1)-1</f>
        <v/>
      </c>
    </row>
    <row r="3509">
      <c r="A3509" s="25" t="n">
        <v>44000</v>
      </c>
      <c r="B3509" s="22">
        <f>(1+B3508)*IF(AND(Painel_diario!$H3505="EU_JD",Painel_diario!$J3505=1),EXP(Painel_diario!$L3505),1)-1</f>
        <v/>
      </c>
      <c r="C3509" s="22">
        <f>(1+C3508)*IF(AND(Painel_diario!$H3505="EU_JU",Painel_diario!$J3505=1),EXP(Painel_diario!$L3505),1)-1</f>
        <v/>
      </c>
      <c r="D3509" s="22">
        <f>(1+D3508)*IF(AND(Painel_diario!$H3505="ED_JD",Painel_diario!$J3505=1),EXP(Painel_diario!$L3505),1)-1</f>
        <v/>
      </c>
      <c r="E3509" s="22">
        <f>(1+E3508)*IF(AND(Painel_diario!$H3505="ED_JU",Painel_diario!$J3505=1),EXP(Painel_diario!$L3505),1)-1</f>
        <v/>
      </c>
    </row>
    <row r="3510">
      <c r="A3510" s="25" t="n">
        <v>44001</v>
      </c>
      <c r="B3510" s="22">
        <f>(1+B3509)*IF(AND(Painel_diario!$H3506="EU_JD",Painel_diario!$J3506=1),EXP(Painel_diario!$L3506),1)-1</f>
        <v/>
      </c>
      <c r="C3510" s="22">
        <f>(1+C3509)*IF(AND(Painel_diario!$H3506="EU_JU",Painel_diario!$J3506=1),EXP(Painel_diario!$L3506),1)-1</f>
        <v/>
      </c>
      <c r="D3510" s="22">
        <f>(1+D3509)*IF(AND(Painel_diario!$H3506="ED_JD",Painel_diario!$J3506=1),EXP(Painel_diario!$L3506),1)-1</f>
        <v/>
      </c>
      <c r="E3510" s="22">
        <f>(1+E3509)*IF(AND(Painel_diario!$H3506="ED_JU",Painel_diario!$J3506=1),EXP(Painel_diario!$L3506),1)-1</f>
        <v/>
      </c>
    </row>
    <row r="3511">
      <c r="A3511" s="25" t="n">
        <v>44004</v>
      </c>
      <c r="B3511" s="22">
        <f>(1+B3510)*IF(AND(Painel_diario!$H3507="EU_JD",Painel_diario!$J3507=1),EXP(Painel_diario!$L3507),1)-1</f>
        <v/>
      </c>
      <c r="C3511" s="22">
        <f>(1+C3510)*IF(AND(Painel_diario!$H3507="EU_JU",Painel_diario!$J3507=1),EXP(Painel_diario!$L3507),1)-1</f>
        <v/>
      </c>
      <c r="D3511" s="22">
        <f>(1+D3510)*IF(AND(Painel_diario!$H3507="ED_JD",Painel_diario!$J3507=1),EXP(Painel_diario!$L3507),1)-1</f>
        <v/>
      </c>
      <c r="E3511" s="22">
        <f>(1+E3510)*IF(AND(Painel_diario!$H3507="ED_JU",Painel_diario!$J3507=1),EXP(Painel_diario!$L3507),1)-1</f>
        <v/>
      </c>
    </row>
    <row r="3512">
      <c r="A3512" s="25" t="n">
        <v>44005</v>
      </c>
      <c r="B3512" s="22">
        <f>(1+B3511)*IF(AND(Painel_diario!$H3508="EU_JD",Painel_diario!$J3508=1),EXP(Painel_diario!$L3508),1)-1</f>
        <v/>
      </c>
      <c r="C3512" s="22">
        <f>(1+C3511)*IF(AND(Painel_diario!$H3508="EU_JU",Painel_diario!$J3508=1),EXP(Painel_diario!$L3508),1)-1</f>
        <v/>
      </c>
      <c r="D3512" s="22">
        <f>(1+D3511)*IF(AND(Painel_diario!$H3508="ED_JD",Painel_diario!$J3508=1),EXP(Painel_diario!$L3508),1)-1</f>
        <v/>
      </c>
      <c r="E3512" s="22">
        <f>(1+E3511)*IF(AND(Painel_diario!$H3508="ED_JU",Painel_diario!$J3508=1),EXP(Painel_diario!$L3508),1)-1</f>
        <v/>
      </c>
    </row>
    <row r="3513">
      <c r="A3513" s="25" t="n">
        <v>44006</v>
      </c>
      <c r="B3513" s="22">
        <f>(1+B3512)*IF(AND(Painel_diario!$H3509="EU_JD",Painel_diario!$J3509=1),EXP(Painel_diario!$L3509),1)-1</f>
        <v/>
      </c>
      <c r="C3513" s="22">
        <f>(1+C3512)*IF(AND(Painel_diario!$H3509="EU_JU",Painel_diario!$J3509=1),EXP(Painel_diario!$L3509),1)-1</f>
        <v/>
      </c>
      <c r="D3513" s="22">
        <f>(1+D3512)*IF(AND(Painel_diario!$H3509="ED_JD",Painel_diario!$J3509=1),EXP(Painel_diario!$L3509),1)-1</f>
        <v/>
      </c>
      <c r="E3513" s="22">
        <f>(1+E3512)*IF(AND(Painel_diario!$H3509="ED_JU",Painel_diario!$J3509=1),EXP(Painel_diario!$L3509),1)-1</f>
        <v/>
      </c>
    </row>
    <row r="3514">
      <c r="A3514" s="25" t="n">
        <v>44007</v>
      </c>
      <c r="B3514" s="22">
        <f>(1+B3513)*IF(AND(Painel_diario!$H3510="EU_JD",Painel_diario!$J3510=1),EXP(Painel_diario!$L3510),1)-1</f>
        <v/>
      </c>
      <c r="C3514" s="22">
        <f>(1+C3513)*IF(AND(Painel_diario!$H3510="EU_JU",Painel_diario!$J3510=1),EXP(Painel_diario!$L3510),1)-1</f>
        <v/>
      </c>
      <c r="D3514" s="22">
        <f>(1+D3513)*IF(AND(Painel_diario!$H3510="ED_JD",Painel_diario!$J3510=1),EXP(Painel_diario!$L3510),1)-1</f>
        <v/>
      </c>
      <c r="E3514" s="22">
        <f>(1+E3513)*IF(AND(Painel_diario!$H3510="ED_JU",Painel_diario!$J3510=1),EXP(Painel_diario!$L3510),1)-1</f>
        <v/>
      </c>
    </row>
    <row r="3515">
      <c r="A3515" s="25" t="n">
        <v>44008</v>
      </c>
      <c r="B3515" s="22">
        <f>(1+B3514)*IF(AND(Painel_diario!$H3511="EU_JD",Painel_diario!$J3511=1),EXP(Painel_diario!$L3511),1)-1</f>
        <v/>
      </c>
      <c r="C3515" s="22">
        <f>(1+C3514)*IF(AND(Painel_diario!$H3511="EU_JU",Painel_diario!$J3511=1),EXP(Painel_diario!$L3511),1)-1</f>
        <v/>
      </c>
      <c r="D3515" s="22">
        <f>(1+D3514)*IF(AND(Painel_diario!$H3511="ED_JD",Painel_diario!$J3511=1),EXP(Painel_diario!$L3511),1)-1</f>
        <v/>
      </c>
      <c r="E3515" s="22">
        <f>(1+E3514)*IF(AND(Painel_diario!$H3511="ED_JU",Painel_diario!$J3511=1),EXP(Painel_diario!$L3511),1)-1</f>
        <v/>
      </c>
    </row>
    <row r="3516">
      <c r="A3516" s="25" t="n">
        <v>44011</v>
      </c>
      <c r="B3516" s="22">
        <f>(1+B3515)*IF(AND(Painel_diario!$H3512="EU_JD",Painel_diario!$J3512=1),EXP(Painel_diario!$L3512),1)-1</f>
        <v/>
      </c>
      <c r="C3516" s="22">
        <f>(1+C3515)*IF(AND(Painel_diario!$H3512="EU_JU",Painel_diario!$J3512=1),EXP(Painel_diario!$L3512),1)-1</f>
        <v/>
      </c>
      <c r="D3516" s="22">
        <f>(1+D3515)*IF(AND(Painel_diario!$H3512="ED_JD",Painel_diario!$J3512=1),EXP(Painel_diario!$L3512),1)-1</f>
        <v/>
      </c>
      <c r="E3516" s="22">
        <f>(1+E3515)*IF(AND(Painel_diario!$H3512="ED_JU",Painel_diario!$J3512=1),EXP(Painel_diario!$L3512),1)-1</f>
        <v/>
      </c>
    </row>
    <row r="3517">
      <c r="A3517" s="25" t="n">
        <v>44012</v>
      </c>
      <c r="B3517" s="22">
        <f>(1+B3516)*IF(AND(Painel_diario!$H3513="EU_JD",Painel_diario!$J3513=1),EXP(Painel_diario!$L3513),1)-1</f>
        <v/>
      </c>
      <c r="C3517" s="22">
        <f>(1+C3516)*IF(AND(Painel_diario!$H3513="EU_JU",Painel_diario!$J3513=1),EXP(Painel_diario!$L3513),1)-1</f>
        <v/>
      </c>
      <c r="D3517" s="22">
        <f>(1+D3516)*IF(AND(Painel_diario!$H3513="ED_JD",Painel_diario!$J3513=1),EXP(Painel_diario!$L3513),1)-1</f>
        <v/>
      </c>
      <c r="E3517" s="22">
        <f>(1+E3516)*IF(AND(Painel_diario!$H3513="ED_JU",Painel_diario!$J3513=1),EXP(Painel_diario!$L3513),1)-1</f>
        <v/>
      </c>
    </row>
    <row r="3518">
      <c r="A3518" s="25" t="n">
        <v>44013</v>
      </c>
      <c r="B3518" s="22">
        <f>(1+B3517)*IF(AND(Painel_diario!$H3514="EU_JD",Painel_diario!$J3514=1),EXP(Painel_diario!$L3514),1)-1</f>
        <v/>
      </c>
      <c r="C3518" s="22">
        <f>(1+C3517)*IF(AND(Painel_diario!$H3514="EU_JU",Painel_diario!$J3514=1),EXP(Painel_diario!$L3514),1)-1</f>
        <v/>
      </c>
      <c r="D3518" s="22">
        <f>(1+D3517)*IF(AND(Painel_diario!$H3514="ED_JD",Painel_diario!$J3514=1),EXP(Painel_diario!$L3514),1)-1</f>
        <v/>
      </c>
      <c r="E3518" s="22">
        <f>(1+E3517)*IF(AND(Painel_diario!$H3514="ED_JU",Painel_diario!$J3514=1),EXP(Painel_diario!$L3514),1)-1</f>
        <v/>
      </c>
    </row>
    <row r="3519">
      <c r="A3519" s="25" t="n">
        <v>44014</v>
      </c>
      <c r="B3519" s="22">
        <f>(1+B3518)*IF(AND(Painel_diario!$H3515="EU_JD",Painel_diario!$J3515=1),EXP(Painel_diario!$L3515),1)-1</f>
        <v/>
      </c>
      <c r="C3519" s="22">
        <f>(1+C3518)*IF(AND(Painel_diario!$H3515="EU_JU",Painel_diario!$J3515=1),EXP(Painel_diario!$L3515),1)-1</f>
        <v/>
      </c>
      <c r="D3519" s="22">
        <f>(1+D3518)*IF(AND(Painel_diario!$H3515="ED_JD",Painel_diario!$J3515=1),EXP(Painel_diario!$L3515),1)-1</f>
        <v/>
      </c>
      <c r="E3519" s="22">
        <f>(1+E3518)*IF(AND(Painel_diario!$H3515="ED_JU",Painel_diario!$J3515=1),EXP(Painel_diario!$L3515),1)-1</f>
        <v/>
      </c>
    </row>
    <row r="3520">
      <c r="A3520" s="25" t="n">
        <v>44015</v>
      </c>
      <c r="B3520" s="22">
        <f>(1+B3519)*IF(AND(Painel_diario!$H3516="EU_JD",Painel_diario!$J3516=1),EXP(Painel_diario!$L3516),1)-1</f>
        <v/>
      </c>
      <c r="C3520" s="22">
        <f>(1+C3519)*IF(AND(Painel_diario!$H3516="EU_JU",Painel_diario!$J3516=1),EXP(Painel_diario!$L3516),1)-1</f>
        <v/>
      </c>
      <c r="D3520" s="22">
        <f>(1+D3519)*IF(AND(Painel_diario!$H3516="ED_JD",Painel_diario!$J3516=1),EXP(Painel_diario!$L3516),1)-1</f>
        <v/>
      </c>
      <c r="E3520" s="22">
        <f>(1+E3519)*IF(AND(Painel_diario!$H3516="ED_JU",Painel_diario!$J3516=1),EXP(Painel_diario!$L3516),1)-1</f>
        <v/>
      </c>
    </row>
    <row r="3521">
      <c r="A3521" s="25" t="n">
        <v>44018</v>
      </c>
      <c r="B3521" s="22">
        <f>(1+B3520)*IF(AND(Painel_diario!$H3517="EU_JD",Painel_diario!$J3517=1),EXP(Painel_diario!$L3517),1)-1</f>
        <v/>
      </c>
      <c r="C3521" s="22">
        <f>(1+C3520)*IF(AND(Painel_diario!$H3517="EU_JU",Painel_diario!$J3517=1),EXP(Painel_diario!$L3517),1)-1</f>
        <v/>
      </c>
      <c r="D3521" s="22">
        <f>(1+D3520)*IF(AND(Painel_diario!$H3517="ED_JD",Painel_diario!$J3517=1),EXP(Painel_diario!$L3517),1)-1</f>
        <v/>
      </c>
      <c r="E3521" s="22">
        <f>(1+E3520)*IF(AND(Painel_diario!$H3517="ED_JU",Painel_diario!$J3517=1),EXP(Painel_diario!$L3517),1)-1</f>
        <v/>
      </c>
    </row>
    <row r="3522">
      <c r="A3522" s="25" t="n">
        <v>44019</v>
      </c>
      <c r="B3522" s="22">
        <f>(1+B3521)*IF(AND(Painel_diario!$H3518="EU_JD",Painel_diario!$J3518=1),EXP(Painel_diario!$L3518),1)-1</f>
        <v/>
      </c>
      <c r="C3522" s="22">
        <f>(1+C3521)*IF(AND(Painel_diario!$H3518="EU_JU",Painel_diario!$J3518=1),EXP(Painel_diario!$L3518),1)-1</f>
        <v/>
      </c>
      <c r="D3522" s="22">
        <f>(1+D3521)*IF(AND(Painel_diario!$H3518="ED_JD",Painel_diario!$J3518=1),EXP(Painel_diario!$L3518),1)-1</f>
        <v/>
      </c>
      <c r="E3522" s="22">
        <f>(1+E3521)*IF(AND(Painel_diario!$H3518="ED_JU",Painel_diario!$J3518=1),EXP(Painel_diario!$L3518),1)-1</f>
        <v/>
      </c>
    </row>
    <row r="3523">
      <c r="A3523" s="25" t="n">
        <v>44020</v>
      </c>
      <c r="B3523" s="22">
        <f>(1+B3522)*IF(AND(Painel_diario!$H3519="EU_JD",Painel_diario!$J3519=1),EXP(Painel_diario!$L3519),1)-1</f>
        <v/>
      </c>
      <c r="C3523" s="22">
        <f>(1+C3522)*IF(AND(Painel_diario!$H3519="EU_JU",Painel_diario!$J3519=1),EXP(Painel_diario!$L3519),1)-1</f>
        <v/>
      </c>
      <c r="D3523" s="22">
        <f>(1+D3522)*IF(AND(Painel_diario!$H3519="ED_JD",Painel_diario!$J3519=1),EXP(Painel_diario!$L3519),1)-1</f>
        <v/>
      </c>
      <c r="E3523" s="22">
        <f>(1+E3522)*IF(AND(Painel_diario!$H3519="ED_JU",Painel_diario!$J3519=1),EXP(Painel_diario!$L3519),1)-1</f>
        <v/>
      </c>
    </row>
    <row r="3524">
      <c r="A3524" s="25" t="n">
        <v>44021</v>
      </c>
      <c r="B3524" s="22">
        <f>(1+B3523)*IF(AND(Painel_diario!$H3520="EU_JD",Painel_diario!$J3520=1),EXP(Painel_diario!$L3520),1)-1</f>
        <v/>
      </c>
      <c r="C3524" s="22">
        <f>(1+C3523)*IF(AND(Painel_diario!$H3520="EU_JU",Painel_diario!$J3520=1),EXP(Painel_diario!$L3520),1)-1</f>
        <v/>
      </c>
      <c r="D3524" s="22">
        <f>(1+D3523)*IF(AND(Painel_diario!$H3520="ED_JD",Painel_diario!$J3520=1),EXP(Painel_diario!$L3520),1)-1</f>
        <v/>
      </c>
      <c r="E3524" s="22">
        <f>(1+E3523)*IF(AND(Painel_diario!$H3520="ED_JU",Painel_diario!$J3520=1),EXP(Painel_diario!$L3520),1)-1</f>
        <v/>
      </c>
    </row>
    <row r="3525">
      <c r="A3525" s="25" t="n">
        <v>44022</v>
      </c>
      <c r="B3525" s="22">
        <f>(1+B3524)*IF(AND(Painel_diario!$H3521="EU_JD",Painel_diario!$J3521=1),EXP(Painel_diario!$L3521),1)-1</f>
        <v/>
      </c>
      <c r="C3525" s="22">
        <f>(1+C3524)*IF(AND(Painel_diario!$H3521="EU_JU",Painel_diario!$J3521=1),EXP(Painel_diario!$L3521),1)-1</f>
        <v/>
      </c>
      <c r="D3525" s="22">
        <f>(1+D3524)*IF(AND(Painel_diario!$H3521="ED_JD",Painel_diario!$J3521=1),EXP(Painel_diario!$L3521),1)-1</f>
        <v/>
      </c>
      <c r="E3525" s="22">
        <f>(1+E3524)*IF(AND(Painel_diario!$H3521="ED_JU",Painel_diario!$J3521=1),EXP(Painel_diario!$L3521),1)-1</f>
        <v/>
      </c>
    </row>
    <row r="3526">
      <c r="A3526" s="25" t="n">
        <v>44025</v>
      </c>
      <c r="B3526" s="22">
        <f>(1+B3525)*IF(AND(Painel_diario!$H3522="EU_JD",Painel_diario!$J3522=1),EXP(Painel_diario!$L3522),1)-1</f>
        <v/>
      </c>
      <c r="C3526" s="22">
        <f>(1+C3525)*IF(AND(Painel_diario!$H3522="EU_JU",Painel_diario!$J3522=1),EXP(Painel_diario!$L3522),1)-1</f>
        <v/>
      </c>
      <c r="D3526" s="22">
        <f>(1+D3525)*IF(AND(Painel_diario!$H3522="ED_JD",Painel_diario!$J3522=1),EXP(Painel_diario!$L3522),1)-1</f>
        <v/>
      </c>
      <c r="E3526" s="22">
        <f>(1+E3525)*IF(AND(Painel_diario!$H3522="ED_JU",Painel_diario!$J3522=1),EXP(Painel_diario!$L3522),1)-1</f>
        <v/>
      </c>
    </row>
    <row r="3527">
      <c r="A3527" s="25" t="n">
        <v>44026</v>
      </c>
      <c r="B3527" s="22">
        <f>(1+B3526)*IF(AND(Painel_diario!$H3523="EU_JD",Painel_diario!$J3523=1),EXP(Painel_diario!$L3523),1)-1</f>
        <v/>
      </c>
      <c r="C3527" s="22">
        <f>(1+C3526)*IF(AND(Painel_diario!$H3523="EU_JU",Painel_diario!$J3523=1),EXP(Painel_diario!$L3523),1)-1</f>
        <v/>
      </c>
      <c r="D3527" s="22">
        <f>(1+D3526)*IF(AND(Painel_diario!$H3523="ED_JD",Painel_diario!$J3523=1),EXP(Painel_diario!$L3523),1)-1</f>
        <v/>
      </c>
      <c r="E3527" s="22">
        <f>(1+E3526)*IF(AND(Painel_diario!$H3523="ED_JU",Painel_diario!$J3523=1),EXP(Painel_diario!$L3523),1)-1</f>
        <v/>
      </c>
    </row>
    <row r="3528">
      <c r="A3528" s="25" t="n">
        <v>44027</v>
      </c>
      <c r="B3528" s="22">
        <f>(1+B3527)*IF(AND(Painel_diario!$H3524="EU_JD",Painel_diario!$J3524=1),EXP(Painel_diario!$L3524),1)-1</f>
        <v/>
      </c>
      <c r="C3528" s="22">
        <f>(1+C3527)*IF(AND(Painel_diario!$H3524="EU_JU",Painel_diario!$J3524=1),EXP(Painel_diario!$L3524),1)-1</f>
        <v/>
      </c>
      <c r="D3528" s="22">
        <f>(1+D3527)*IF(AND(Painel_diario!$H3524="ED_JD",Painel_diario!$J3524=1),EXP(Painel_diario!$L3524),1)-1</f>
        <v/>
      </c>
      <c r="E3528" s="22">
        <f>(1+E3527)*IF(AND(Painel_diario!$H3524="ED_JU",Painel_diario!$J3524=1),EXP(Painel_diario!$L3524),1)-1</f>
        <v/>
      </c>
    </row>
    <row r="3529">
      <c r="A3529" s="25" t="n">
        <v>44028</v>
      </c>
      <c r="B3529" s="22">
        <f>(1+B3528)*IF(AND(Painel_diario!$H3525="EU_JD",Painel_diario!$J3525=1),EXP(Painel_diario!$L3525),1)-1</f>
        <v/>
      </c>
      <c r="C3529" s="22">
        <f>(1+C3528)*IF(AND(Painel_diario!$H3525="EU_JU",Painel_diario!$J3525=1),EXP(Painel_diario!$L3525),1)-1</f>
        <v/>
      </c>
      <c r="D3529" s="22">
        <f>(1+D3528)*IF(AND(Painel_diario!$H3525="ED_JD",Painel_diario!$J3525=1),EXP(Painel_diario!$L3525),1)-1</f>
        <v/>
      </c>
      <c r="E3529" s="22">
        <f>(1+E3528)*IF(AND(Painel_diario!$H3525="ED_JU",Painel_diario!$J3525=1),EXP(Painel_diario!$L3525),1)-1</f>
        <v/>
      </c>
    </row>
    <row r="3530">
      <c r="A3530" s="25" t="n">
        <v>44029</v>
      </c>
      <c r="B3530" s="22">
        <f>(1+B3529)*IF(AND(Painel_diario!$H3526="EU_JD",Painel_diario!$J3526=1),EXP(Painel_diario!$L3526),1)-1</f>
        <v/>
      </c>
      <c r="C3530" s="22">
        <f>(1+C3529)*IF(AND(Painel_diario!$H3526="EU_JU",Painel_diario!$J3526=1),EXP(Painel_diario!$L3526),1)-1</f>
        <v/>
      </c>
      <c r="D3530" s="22">
        <f>(1+D3529)*IF(AND(Painel_diario!$H3526="ED_JD",Painel_diario!$J3526=1),EXP(Painel_diario!$L3526),1)-1</f>
        <v/>
      </c>
      <c r="E3530" s="22">
        <f>(1+E3529)*IF(AND(Painel_diario!$H3526="ED_JU",Painel_diario!$J3526=1),EXP(Painel_diario!$L3526),1)-1</f>
        <v/>
      </c>
    </row>
    <row r="3531">
      <c r="A3531" s="25" t="n">
        <v>44032</v>
      </c>
      <c r="B3531" s="22">
        <f>(1+B3530)*IF(AND(Painel_diario!$H3527="EU_JD",Painel_diario!$J3527=1),EXP(Painel_diario!$L3527),1)-1</f>
        <v/>
      </c>
      <c r="C3531" s="22">
        <f>(1+C3530)*IF(AND(Painel_diario!$H3527="EU_JU",Painel_diario!$J3527=1),EXP(Painel_diario!$L3527),1)-1</f>
        <v/>
      </c>
      <c r="D3531" s="22">
        <f>(1+D3530)*IF(AND(Painel_diario!$H3527="ED_JD",Painel_diario!$J3527=1),EXP(Painel_diario!$L3527),1)-1</f>
        <v/>
      </c>
      <c r="E3531" s="22">
        <f>(1+E3530)*IF(AND(Painel_diario!$H3527="ED_JU",Painel_diario!$J3527=1),EXP(Painel_diario!$L3527),1)-1</f>
        <v/>
      </c>
    </row>
    <row r="3532">
      <c r="A3532" s="25" t="n">
        <v>44033</v>
      </c>
      <c r="B3532" s="22">
        <f>(1+B3531)*IF(AND(Painel_diario!$H3528="EU_JD",Painel_diario!$J3528=1),EXP(Painel_diario!$L3528),1)-1</f>
        <v/>
      </c>
      <c r="C3532" s="22">
        <f>(1+C3531)*IF(AND(Painel_diario!$H3528="EU_JU",Painel_diario!$J3528=1),EXP(Painel_diario!$L3528),1)-1</f>
        <v/>
      </c>
      <c r="D3532" s="22">
        <f>(1+D3531)*IF(AND(Painel_diario!$H3528="ED_JD",Painel_diario!$J3528=1),EXP(Painel_diario!$L3528),1)-1</f>
        <v/>
      </c>
      <c r="E3532" s="22">
        <f>(1+E3531)*IF(AND(Painel_diario!$H3528="ED_JU",Painel_diario!$J3528=1),EXP(Painel_diario!$L3528),1)-1</f>
        <v/>
      </c>
    </row>
    <row r="3533">
      <c r="A3533" s="25" t="n">
        <v>44034</v>
      </c>
      <c r="B3533" s="22">
        <f>(1+B3532)*IF(AND(Painel_diario!$H3529="EU_JD",Painel_diario!$J3529=1),EXP(Painel_diario!$L3529),1)-1</f>
        <v/>
      </c>
      <c r="C3533" s="22">
        <f>(1+C3532)*IF(AND(Painel_diario!$H3529="EU_JU",Painel_diario!$J3529=1),EXP(Painel_diario!$L3529),1)-1</f>
        <v/>
      </c>
      <c r="D3533" s="22">
        <f>(1+D3532)*IF(AND(Painel_diario!$H3529="ED_JD",Painel_diario!$J3529=1),EXP(Painel_diario!$L3529),1)-1</f>
        <v/>
      </c>
      <c r="E3533" s="22">
        <f>(1+E3532)*IF(AND(Painel_diario!$H3529="ED_JU",Painel_diario!$J3529=1),EXP(Painel_diario!$L3529),1)-1</f>
        <v/>
      </c>
    </row>
    <row r="3534">
      <c r="A3534" s="25" t="n">
        <v>44035</v>
      </c>
      <c r="B3534" s="22">
        <f>(1+B3533)*IF(AND(Painel_diario!$H3530="EU_JD",Painel_diario!$J3530=1),EXP(Painel_diario!$L3530),1)-1</f>
        <v/>
      </c>
      <c r="C3534" s="22">
        <f>(1+C3533)*IF(AND(Painel_diario!$H3530="EU_JU",Painel_diario!$J3530=1),EXP(Painel_diario!$L3530),1)-1</f>
        <v/>
      </c>
      <c r="D3534" s="22">
        <f>(1+D3533)*IF(AND(Painel_diario!$H3530="ED_JD",Painel_diario!$J3530=1),EXP(Painel_diario!$L3530),1)-1</f>
        <v/>
      </c>
      <c r="E3534" s="22">
        <f>(1+E3533)*IF(AND(Painel_diario!$H3530="ED_JU",Painel_diario!$J3530=1),EXP(Painel_diario!$L3530),1)-1</f>
        <v/>
      </c>
    </row>
    <row r="3535">
      <c r="A3535" s="25" t="n">
        <v>44036</v>
      </c>
      <c r="B3535" s="22">
        <f>(1+B3534)*IF(AND(Painel_diario!$H3531="EU_JD",Painel_diario!$J3531=1),EXP(Painel_diario!$L3531),1)-1</f>
        <v/>
      </c>
      <c r="C3535" s="22">
        <f>(1+C3534)*IF(AND(Painel_diario!$H3531="EU_JU",Painel_diario!$J3531=1),EXP(Painel_diario!$L3531),1)-1</f>
        <v/>
      </c>
      <c r="D3535" s="22">
        <f>(1+D3534)*IF(AND(Painel_diario!$H3531="ED_JD",Painel_diario!$J3531=1),EXP(Painel_diario!$L3531),1)-1</f>
        <v/>
      </c>
      <c r="E3535" s="22">
        <f>(1+E3534)*IF(AND(Painel_diario!$H3531="ED_JU",Painel_diario!$J3531=1),EXP(Painel_diario!$L3531),1)-1</f>
        <v/>
      </c>
    </row>
    <row r="3536">
      <c r="A3536" s="25" t="n">
        <v>44039</v>
      </c>
      <c r="B3536" s="22">
        <f>(1+B3535)*IF(AND(Painel_diario!$H3532="EU_JD",Painel_diario!$J3532=1),EXP(Painel_diario!$L3532),1)-1</f>
        <v/>
      </c>
      <c r="C3536" s="22">
        <f>(1+C3535)*IF(AND(Painel_diario!$H3532="EU_JU",Painel_diario!$J3532=1),EXP(Painel_diario!$L3532),1)-1</f>
        <v/>
      </c>
      <c r="D3536" s="22">
        <f>(1+D3535)*IF(AND(Painel_diario!$H3532="ED_JD",Painel_diario!$J3532=1),EXP(Painel_diario!$L3532),1)-1</f>
        <v/>
      </c>
      <c r="E3536" s="22">
        <f>(1+E3535)*IF(AND(Painel_diario!$H3532="ED_JU",Painel_diario!$J3532=1),EXP(Painel_diario!$L3532),1)-1</f>
        <v/>
      </c>
    </row>
    <row r="3537">
      <c r="A3537" s="25" t="n">
        <v>44040</v>
      </c>
      <c r="B3537" s="22">
        <f>(1+B3536)*IF(AND(Painel_diario!$H3533="EU_JD",Painel_diario!$J3533=1),EXP(Painel_diario!$L3533),1)-1</f>
        <v/>
      </c>
      <c r="C3537" s="22">
        <f>(1+C3536)*IF(AND(Painel_diario!$H3533="EU_JU",Painel_diario!$J3533=1),EXP(Painel_diario!$L3533),1)-1</f>
        <v/>
      </c>
      <c r="D3537" s="22">
        <f>(1+D3536)*IF(AND(Painel_diario!$H3533="ED_JD",Painel_diario!$J3533=1),EXP(Painel_diario!$L3533),1)-1</f>
        <v/>
      </c>
      <c r="E3537" s="22">
        <f>(1+E3536)*IF(AND(Painel_diario!$H3533="ED_JU",Painel_diario!$J3533=1),EXP(Painel_diario!$L3533),1)-1</f>
        <v/>
      </c>
    </row>
    <row r="3538">
      <c r="A3538" s="25" t="n">
        <v>44041</v>
      </c>
      <c r="B3538" s="22">
        <f>(1+B3537)*IF(AND(Painel_diario!$H3534="EU_JD",Painel_diario!$J3534=1),EXP(Painel_diario!$L3534),1)-1</f>
        <v/>
      </c>
      <c r="C3538" s="22">
        <f>(1+C3537)*IF(AND(Painel_diario!$H3534="EU_JU",Painel_diario!$J3534=1),EXP(Painel_diario!$L3534),1)-1</f>
        <v/>
      </c>
      <c r="D3538" s="22">
        <f>(1+D3537)*IF(AND(Painel_diario!$H3534="ED_JD",Painel_diario!$J3534=1),EXP(Painel_diario!$L3534),1)-1</f>
        <v/>
      </c>
      <c r="E3538" s="22">
        <f>(1+E3537)*IF(AND(Painel_diario!$H3534="ED_JU",Painel_diario!$J3534=1),EXP(Painel_diario!$L3534),1)-1</f>
        <v/>
      </c>
    </row>
    <row r="3539">
      <c r="A3539" s="25" t="n">
        <v>44042</v>
      </c>
      <c r="B3539" s="22">
        <f>(1+B3538)*IF(AND(Painel_diario!$H3535="EU_JD",Painel_diario!$J3535=1),EXP(Painel_diario!$L3535),1)-1</f>
        <v/>
      </c>
      <c r="C3539" s="22">
        <f>(1+C3538)*IF(AND(Painel_diario!$H3535="EU_JU",Painel_diario!$J3535=1),EXP(Painel_diario!$L3535),1)-1</f>
        <v/>
      </c>
      <c r="D3539" s="22">
        <f>(1+D3538)*IF(AND(Painel_diario!$H3535="ED_JD",Painel_diario!$J3535=1),EXP(Painel_diario!$L3535),1)-1</f>
        <v/>
      </c>
      <c r="E3539" s="22">
        <f>(1+E3538)*IF(AND(Painel_diario!$H3535="ED_JU",Painel_diario!$J3535=1),EXP(Painel_diario!$L3535),1)-1</f>
        <v/>
      </c>
    </row>
    <row r="3540">
      <c r="A3540" s="25" t="n">
        <v>44043</v>
      </c>
      <c r="B3540" s="22">
        <f>(1+B3539)*IF(AND(Painel_diario!$H3536="EU_JD",Painel_diario!$J3536=1),EXP(Painel_diario!$L3536),1)-1</f>
        <v/>
      </c>
      <c r="C3540" s="22">
        <f>(1+C3539)*IF(AND(Painel_diario!$H3536="EU_JU",Painel_diario!$J3536=1),EXP(Painel_diario!$L3536),1)-1</f>
        <v/>
      </c>
      <c r="D3540" s="22">
        <f>(1+D3539)*IF(AND(Painel_diario!$H3536="ED_JD",Painel_diario!$J3536=1),EXP(Painel_diario!$L3536),1)-1</f>
        <v/>
      </c>
      <c r="E3540" s="22">
        <f>(1+E3539)*IF(AND(Painel_diario!$H3536="ED_JU",Painel_diario!$J3536=1),EXP(Painel_diario!$L3536),1)-1</f>
        <v/>
      </c>
    </row>
    <row r="3541">
      <c r="A3541" s="25" t="n">
        <v>44046</v>
      </c>
      <c r="B3541" s="22">
        <f>(1+B3540)*IF(AND(Painel_diario!$H3537="EU_JD",Painel_diario!$J3537=1),EXP(Painel_diario!$L3537),1)-1</f>
        <v/>
      </c>
      <c r="C3541" s="22">
        <f>(1+C3540)*IF(AND(Painel_diario!$H3537="EU_JU",Painel_diario!$J3537=1),EXP(Painel_diario!$L3537),1)-1</f>
        <v/>
      </c>
      <c r="D3541" s="22">
        <f>(1+D3540)*IF(AND(Painel_diario!$H3537="ED_JD",Painel_diario!$J3537=1),EXP(Painel_diario!$L3537),1)-1</f>
        <v/>
      </c>
      <c r="E3541" s="22">
        <f>(1+E3540)*IF(AND(Painel_diario!$H3537="ED_JU",Painel_diario!$J3537=1),EXP(Painel_diario!$L3537),1)-1</f>
        <v/>
      </c>
    </row>
    <row r="3542">
      <c r="A3542" s="25" t="n">
        <v>44047</v>
      </c>
      <c r="B3542" s="22">
        <f>(1+B3541)*IF(AND(Painel_diario!$H3538="EU_JD",Painel_diario!$J3538=1),EXP(Painel_diario!$L3538),1)-1</f>
        <v/>
      </c>
      <c r="C3542" s="22">
        <f>(1+C3541)*IF(AND(Painel_diario!$H3538="EU_JU",Painel_diario!$J3538=1),EXP(Painel_diario!$L3538),1)-1</f>
        <v/>
      </c>
      <c r="D3542" s="22">
        <f>(1+D3541)*IF(AND(Painel_diario!$H3538="ED_JD",Painel_diario!$J3538=1),EXP(Painel_diario!$L3538),1)-1</f>
        <v/>
      </c>
      <c r="E3542" s="22">
        <f>(1+E3541)*IF(AND(Painel_diario!$H3538="ED_JU",Painel_diario!$J3538=1),EXP(Painel_diario!$L3538),1)-1</f>
        <v/>
      </c>
    </row>
    <row r="3543">
      <c r="A3543" s="25" t="n">
        <v>44048</v>
      </c>
      <c r="B3543" s="22">
        <f>(1+B3542)*IF(AND(Painel_diario!$H3539="EU_JD",Painel_diario!$J3539=1),EXP(Painel_diario!$L3539),1)-1</f>
        <v/>
      </c>
      <c r="C3543" s="22">
        <f>(1+C3542)*IF(AND(Painel_diario!$H3539="EU_JU",Painel_diario!$J3539=1),EXP(Painel_diario!$L3539),1)-1</f>
        <v/>
      </c>
      <c r="D3543" s="22">
        <f>(1+D3542)*IF(AND(Painel_diario!$H3539="ED_JD",Painel_diario!$J3539=1),EXP(Painel_diario!$L3539),1)-1</f>
        <v/>
      </c>
      <c r="E3543" s="22">
        <f>(1+E3542)*IF(AND(Painel_diario!$H3539="ED_JU",Painel_diario!$J3539=1),EXP(Painel_diario!$L3539),1)-1</f>
        <v/>
      </c>
    </row>
    <row r="3544">
      <c r="A3544" s="25" t="n">
        <v>44049</v>
      </c>
      <c r="B3544" s="22">
        <f>(1+B3543)*IF(AND(Painel_diario!$H3540="EU_JD",Painel_diario!$J3540=1),EXP(Painel_diario!$L3540),1)-1</f>
        <v/>
      </c>
      <c r="C3544" s="22">
        <f>(1+C3543)*IF(AND(Painel_diario!$H3540="EU_JU",Painel_diario!$J3540=1),EXP(Painel_diario!$L3540),1)-1</f>
        <v/>
      </c>
      <c r="D3544" s="22">
        <f>(1+D3543)*IF(AND(Painel_diario!$H3540="ED_JD",Painel_diario!$J3540=1),EXP(Painel_diario!$L3540),1)-1</f>
        <v/>
      </c>
      <c r="E3544" s="22">
        <f>(1+E3543)*IF(AND(Painel_diario!$H3540="ED_JU",Painel_diario!$J3540=1),EXP(Painel_diario!$L3540),1)-1</f>
        <v/>
      </c>
    </row>
    <row r="3545">
      <c r="A3545" s="25" t="n">
        <v>44050</v>
      </c>
      <c r="B3545" s="22">
        <f>(1+B3544)*IF(AND(Painel_diario!$H3541="EU_JD",Painel_diario!$J3541=1),EXP(Painel_diario!$L3541),1)-1</f>
        <v/>
      </c>
      <c r="C3545" s="22">
        <f>(1+C3544)*IF(AND(Painel_diario!$H3541="EU_JU",Painel_diario!$J3541=1),EXP(Painel_diario!$L3541),1)-1</f>
        <v/>
      </c>
      <c r="D3545" s="22">
        <f>(1+D3544)*IF(AND(Painel_diario!$H3541="ED_JD",Painel_diario!$J3541=1),EXP(Painel_diario!$L3541),1)-1</f>
        <v/>
      </c>
      <c r="E3545" s="22">
        <f>(1+E3544)*IF(AND(Painel_diario!$H3541="ED_JU",Painel_diario!$J3541=1),EXP(Painel_diario!$L3541),1)-1</f>
        <v/>
      </c>
    </row>
    <row r="3546">
      <c r="A3546" s="25" t="n">
        <v>44053</v>
      </c>
      <c r="B3546" s="22">
        <f>(1+B3545)*IF(AND(Painel_diario!$H3542="EU_JD",Painel_diario!$J3542=1),EXP(Painel_diario!$L3542),1)-1</f>
        <v/>
      </c>
      <c r="C3546" s="22">
        <f>(1+C3545)*IF(AND(Painel_diario!$H3542="EU_JU",Painel_diario!$J3542=1),EXP(Painel_diario!$L3542),1)-1</f>
        <v/>
      </c>
      <c r="D3546" s="22">
        <f>(1+D3545)*IF(AND(Painel_diario!$H3542="ED_JD",Painel_diario!$J3542=1),EXP(Painel_diario!$L3542),1)-1</f>
        <v/>
      </c>
      <c r="E3546" s="22">
        <f>(1+E3545)*IF(AND(Painel_diario!$H3542="ED_JU",Painel_diario!$J3542=1),EXP(Painel_diario!$L3542),1)-1</f>
        <v/>
      </c>
    </row>
    <row r="3547">
      <c r="A3547" s="25" t="n">
        <v>44054</v>
      </c>
      <c r="B3547" s="22">
        <f>(1+B3546)*IF(AND(Painel_diario!$H3543="EU_JD",Painel_diario!$J3543=1),EXP(Painel_diario!$L3543),1)-1</f>
        <v/>
      </c>
      <c r="C3547" s="22">
        <f>(1+C3546)*IF(AND(Painel_diario!$H3543="EU_JU",Painel_diario!$J3543=1),EXP(Painel_diario!$L3543),1)-1</f>
        <v/>
      </c>
      <c r="D3547" s="22">
        <f>(1+D3546)*IF(AND(Painel_diario!$H3543="ED_JD",Painel_diario!$J3543=1),EXP(Painel_diario!$L3543),1)-1</f>
        <v/>
      </c>
      <c r="E3547" s="22">
        <f>(1+E3546)*IF(AND(Painel_diario!$H3543="ED_JU",Painel_diario!$J3543=1),EXP(Painel_diario!$L3543),1)-1</f>
        <v/>
      </c>
    </row>
    <row r="3548">
      <c r="A3548" s="25" t="n">
        <v>44055</v>
      </c>
      <c r="B3548" s="22">
        <f>(1+B3547)*IF(AND(Painel_diario!$H3544="EU_JD",Painel_diario!$J3544=1),EXP(Painel_diario!$L3544),1)-1</f>
        <v/>
      </c>
      <c r="C3548" s="22">
        <f>(1+C3547)*IF(AND(Painel_diario!$H3544="EU_JU",Painel_diario!$J3544=1),EXP(Painel_diario!$L3544),1)-1</f>
        <v/>
      </c>
      <c r="D3548" s="22">
        <f>(1+D3547)*IF(AND(Painel_diario!$H3544="ED_JD",Painel_diario!$J3544=1),EXP(Painel_diario!$L3544),1)-1</f>
        <v/>
      </c>
      <c r="E3548" s="22">
        <f>(1+E3547)*IF(AND(Painel_diario!$H3544="ED_JU",Painel_diario!$J3544=1),EXP(Painel_diario!$L3544),1)-1</f>
        <v/>
      </c>
    </row>
    <row r="3549">
      <c r="A3549" s="25" t="n">
        <v>44056</v>
      </c>
      <c r="B3549" s="22">
        <f>(1+B3548)*IF(AND(Painel_diario!$H3545="EU_JD",Painel_diario!$J3545=1),EXP(Painel_diario!$L3545),1)-1</f>
        <v/>
      </c>
      <c r="C3549" s="22">
        <f>(1+C3548)*IF(AND(Painel_diario!$H3545="EU_JU",Painel_diario!$J3545=1),EXP(Painel_diario!$L3545),1)-1</f>
        <v/>
      </c>
      <c r="D3549" s="22">
        <f>(1+D3548)*IF(AND(Painel_diario!$H3545="ED_JD",Painel_diario!$J3545=1),EXP(Painel_diario!$L3545),1)-1</f>
        <v/>
      </c>
      <c r="E3549" s="22">
        <f>(1+E3548)*IF(AND(Painel_diario!$H3545="ED_JU",Painel_diario!$J3545=1),EXP(Painel_diario!$L3545),1)-1</f>
        <v/>
      </c>
    </row>
    <row r="3550">
      <c r="A3550" s="25" t="n">
        <v>44057</v>
      </c>
      <c r="B3550" s="22">
        <f>(1+B3549)*IF(AND(Painel_diario!$H3546="EU_JD",Painel_diario!$J3546=1),EXP(Painel_diario!$L3546),1)-1</f>
        <v/>
      </c>
      <c r="C3550" s="22">
        <f>(1+C3549)*IF(AND(Painel_diario!$H3546="EU_JU",Painel_diario!$J3546=1),EXP(Painel_diario!$L3546),1)-1</f>
        <v/>
      </c>
      <c r="D3550" s="22">
        <f>(1+D3549)*IF(AND(Painel_diario!$H3546="ED_JD",Painel_diario!$J3546=1),EXP(Painel_diario!$L3546),1)-1</f>
        <v/>
      </c>
      <c r="E3550" s="22">
        <f>(1+E3549)*IF(AND(Painel_diario!$H3546="ED_JU",Painel_diario!$J3546=1),EXP(Painel_diario!$L3546),1)-1</f>
        <v/>
      </c>
    </row>
    <row r="3551">
      <c r="A3551" s="25" t="n">
        <v>44060</v>
      </c>
      <c r="B3551" s="22">
        <f>(1+B3550)*IF(AND(Painel_diario!$H3547="EU_JD",Painel_diario!$J3547=1),EXP(Painel_diario!$L3547),1)-1</f>
        <v/>
      </c>
      <c r="C3551" s="22">
        <f>(1+C3550)*IF(AND(Painel_diario!$H3547="EU_JU",Painel_diario!$J3547=1),EXP(Painel_diario!$L3547),1)-1</f>
        <v/>
      </c>
      <c r="D3551" s="22">
        <f>(1+D3550)*IF(AND(Painel_diario!$H3547="ED_JD",Painel_diario!$J3547=1),EXP(Painel_diario!$L3547),1)-1</f>
        <v/>
      </c>
      <c r="E3551" s="22">
        <f>(1+E3550)*IF(AND(Painel_diario!$H3547="ED_JU",Painel_diario!$J3547=1),EXP(Painel_diario!$L3547),1)-1</f>
        <v/>
      </c>
    </row>
    <row r="3552">
      <c r="A3552" s="25" t="n">
        <v>44061</v>
      </c>
      <c r="B3552" s="22">
        <f>(1+B3551)*IF(AND(Painel_diario!$H3548="EU_JD",Painel_diario!$J3548=1),EXP(Painel_diario!$L3548),1)-1</f>
        <v/>
      </c>
      <c r="C3552" s="22">
        <f>(1+C3551)*IF(AND(Painel_diario!$H3548="EU_JU",Painel_diario!$J3548=1),EXP(Painel_diario!$L3548),1)-1</f>
        <v/>
      </c>
      <c r="D3552" s="22">
        <f>(1+D3551)*IF(AND(Painel_diario!$H3548="ED_JD",Painel_diario!$J3548=1),EXP(Painel_diario!$L3548),1)-1</f>
        <v/>
      </c>
      <c r="E3552" s="22">
        <f>(1+E3551)*IF(AND(Painel_diario!$H3548="ED_JU",Painel_diario!$J3548=1),EXP(Painel_diario!$L3548),1)-1</f>
        <v/>
      </c>
    </row>
    <row r="3553">
      <c r="A3553" s="25" t="n">
        <v>44062</v>
      </c>
      <c r="B3553" s="22">
        <f>(1+B3552)*IF(AND(Painel_diario!$H3549="EU_JD",Painel_diario!$J3549=1),EXP(Painel_diario!$L3549),1)-1</f>
        <v/>
      </c>
      <c r="C3553" s="22">
        <f>(1+C3552)*IF(AND(Painel_diario!$H3549="EU_JU",Painel_diario!$J3549=1),EXP(Painel_diario!$L3549),1)-1</f>
        <v/>
      </c>
      <c r="D3553" s="22">
        <f>(1+D3552)*IF(AND(Painel_diario!$H3549="ED_JD",Painel_diario!$J3549=1),EXP(Painel_diario!$L3549),1)-1</f>
        <v/>
      </c>
      <c r="E3553" s="22">
        <f>(1+E3552)*IF(AND(Painel_diario!$H3549="ED_JU",Painel_diario!$J3549=1),EXP(Painel_diario!$L3549),1)-1</f>
        <v/>
      </c>
    </row>
    <row r="3554">
      <c r="A3554" s="25" t="n">
        <v>44063</v>
      </c>
      <c r="B3554" s="22">
        <f>(1+B3553)*IF(AND(Painel_diario!$H3550="EU_JD",Painel_diario!$J3550=1),EXP(Painel_diario!$L3550),1)-1</f>
        <v/>
      </c>
      <c r="C3554" s="22">
        <f>(1+C3553)*IF(AND(Painel_diario!$H3550="EU_JU",Painel_diario!$J3550=1),EXP(Painel_diario!$L3550),1)-1</f>
        <v/>
      </c>
      <c r="D3554" s="22">
        <f>(1+D3553)*IF(AND(Painel_diario!$H3550="ED_JD",Painel_diario!$J3550=1),EXP(Painel_diario!$L3550),1)-1</f>
        <v/>
      </c>
      <c r="E3554" s="22">
        <f>(1+E3553)*IF(AND(Painel_diario!$H3550="ED_JU",Painel_diario!$J3550=1),EXP(Painel_diario!$L3550),1)-1</f>
        <v/>
      </c>
    </row>
    <row r="3555">
      <c r="A3555" s="25" t="n">
        <v>44064</v>
      </c>
      <c r="B3555" s="22">
        <f>(1+B3554)*IF(AND(Painel_diario!$H3551="EU_JD",Painel_diario!$J3551=1),EXP(Painel_diario!$L3551),1)-1</f>
        <v/>
      </c>
      <c r="C3555" s="22">
        <f>(1+C3554)*IF(AND(Painel_diario!$H3551="EU_JU",Painel_diario!$J3551=1),EXP(Painel_diario!$L3551),1)-1</f>
        <v/>
      </c>
      <c r="D3555" s="22">
        <f>(1+D3554)*IF(AND(Painel_diario!$H3551="ED_JD",Painel_diario!$J3551=1),EXP(Painel_diario!$L3551),1)-1</f>
        <v/>
      </c>
      <c r="E3555" s="22">
        <f>(1+E3554)*IF(AND(Painel_diario!$H3551="ED_JU",Painel_diario!$J3551=1),EXP(Painel_diario!$L3551),1)-1</f>
        <v/>
      </c>
    </row>
    <row r="3556">
      <c r="A3556" s="25" t="n">
        <v>44067</v>
      </c>
      <c r="B3556" s="22">
        <f>(1+B3555)*IF(AND(Painel_diario!$H3552="EU_JD",Painel_diario!$J3552=1),EXP(Painel_diario!$L3552),1)-1</f>
        <v/>
      </c>
      <c r="C3556" s="22">
        <f>(1+C3555)*IF(AND(Painel_diario!$H3552="EU_JU",Painel_diario!$J3552=1),EXP(Painel_diario!$L3552),1)-1</f>
        <v/>
      </c>
      <c r="D3556" s="22">
        <f>(1+D3555)*IF(AND(Painel_diario!$H3552="ED_JD",Painel_diario!$J3552=1),EXP(Painel_diario!$L3552),1)-1</f>
        <v/>
      </c>
      <c r="E3556" s="22">
        <f>(1+E3555)*IF(AND(Painel_diario!$H3552="ED_JU",Painel_diario!$J3552=1),EXP(Painel_diario!$L3552),1)-1</f>
        <v/>
      </c>
    </row>
    <row r="3557">
      <c r="A3557" s="25" t="n">
        <v>44068</v>
      </c>
      <c r="B3557" s="22">
        <f>(1+B3556)*IF(AND(Painel_diario!$H3553="EU_JD",Painel_diario!$J3553=1),EXP(Painel_diario!$L3553),1)-1</f>
        <v/>
      </c>
      <c r="C3557" s="22">
        <f>(1+C3556)*IF(AND(Painel_diario!$H3553="EU_JU",Painel_diario!$J3553=1),EXP(Painel_diario!$L3553),1)-1</f>
        <v/>
      </c>
      <c r="D3557" s="22">
        <f>(1+D3556)*IF(AND(Painel_diario!$H3553="ED_JD",Painel_diario!$J3553=1),EXP(Painel_diario!$L3553),1)-1</f>
        <v/>
      </c>
      <c r="E3557" s="22">
        <f>(1+E3556)*IF(AND(Painel_diario!$H3553="ED_JU",Painel_diario!$J3553=1),EXP(Painel_diario!$L3553),1)-1</f>
        <v/>
      </c>
    </row>
    <row r="3558">
      <c r="A3558" s="25" t="n">
        <v>44069</v>
      </c>
      <c r="B3558" s="22">
        <f>(1+B3557)*IF(AND(Painel_diario!$H3554="EU_JD",Painel_diario!$J3554=1),EXP(Painel_diario!$L3554),1)-1</f>
        <v/>
      </c>
      <c r="C3558" s="22">
        <f>(1+C3557)*IF(AND(Painel_diario!$H3554="EU_JU",Painel_diario!$J3554=1),EXP(Painel_diario!$L3554),1)-1</f>
        <v/>
      </c>
      <c r="D3558" s="22">
        <f>(1+D3557)*IF(AND(Painel_diario!$H3554="ED_JD",Painel_diario!$J3554=1),EXP(Painel_diario!$L3554),1)-1</f>
        <v/>
      </c>
      <c r="E3558" s="22">
        <f>(1+E3557)*IF(AND(Painel_diario!$H3554="ED_JU",Painel_diario!$J3554=1),EXP(Painel_diario!$L3554),1)-1</f>
        <v/>
      </c>
    </row>
    <row r="3559">
      <c r="A3559" s="25" t="n">
        <v>44070</v>
      </c>
      <c r="B3559" s="22">
        <f>(1+B3558)*IF(AND(Painel_diario!$H3555="EU_JD",Painel_diario!$J3555=1),EXP(Painel_diario!$L3555),1)-1</f>
        <v/>
      </c>
      <c r="C3559" s="22">
        <f>(1+C3558)*IF(AND(Painel_diario!$H3555="EU_JU",Painel_diario!$J3555=1),EXP(Painel_diario!$L3555),1)-1</f>
        <v/>
      </c>
      <c r="D3559" s="22">
        <f>(1+D3558)*IF(AND(Painel_diario!$H3555="ED_JD",Painel_diario!$J3555=1),EXP(Painel_diario!$L3555),1)-1</f>
        <v/>
      </c>
      <c r="E3559" s="22">
        <f>(1+E3558)*IF(AND(Painel_diario!$H3555="ED_JU",Painel_diario!$J3555=1),EXP(Painel_diario!$L3555),1)-1</f>
        <v/>
      </c>
    </row>
    <row r="3560">
      <c r="A3560" s="25" t="n">
        <v>44071</v>
      </c>
      <c r="B3560" s="22">
        <f>(1+B3559)*IF(AND(Painel_diario!$H3556="EU_JD",Painel_diario!$J3556=1),EXP(Painel_diario!$L3556),1)-1</f>
        <v/>
      </c>
      <c r="C3560" s="22">
        <f>(1+C3559)*IF(AND(Painel_diario!$H3556="EU_JU",Painel_diario!$J3556=1),EXP(Painel_diario!$L3556),1)-1</f>
        <v/>
      </c>
      <c r="D3560" s="22">
        <f>(1+D3559)*IF(AND(Painel_diario!$H3556="ED_JD",Painel_diario!$J3556=1),EXP(Painel_diario!$L3556),1)-1</f>
        <v/>
      </c>
      <c r="E3560" s="22">
        <f>(1+E3559)*IF(AND(Painel_diario!$H3556="ED_JU",Painel_diario!$J3556=1),EXP(Painel_diario!$L3556),1)-1</f>
        <v/>
      </c>
    </row>
    <row r="3561">
      <c r="A3561" s="25" t="n">
        <v>44074</v>
      </c>
      <c r="B3561" s="22">
        <f>(1+B3560)*IF(AND(Painel_diario!$H3557="EU_JD",Painel_diario!$J3557=1),EXP(Painel_diario!$L3557),1)-1</f>
        <v/>
      </c>
      <c r="C3561" s="22">
        <f>(1+C3560)*IF(AND(Painel_diario!$H3557="EU_JU",Painel_diario!$J3557=1),EXP(Painel_diario!$L3557),1)-1</f>
        <v/>
      </c>
      <c r="D3561" s="22">
        <f>(1+D3560)*IF(AND(Painel_diario!$H3557="ED_JD",Painel_diario!$J3557=1),EXP(Painel_diario!$L3557),1)-1</f>
        <v/>
      </c>
      <c r="E3561" s="22">
        <f>(1+E3560)*IF(AND(Painel_diario!$H3557="ED_JU",Painel_diario!$J3557=1),EXP(Painel_diario!$L3557),1)-1</f>
        <v/>
      </c>
    </row>
    <row r="3562">
      <c r="A3562" s="25" t="n">
        <v>44075</v>
      </c>
      <c r="B3562" s="22">
        <f>(1+B3561)*IF(AND(Painel_diario!$H3558="EU_JD",Painel_diario!$J3558=1),EXP(Painel_diario!$L3558),1)-1</f>
        <v/>
      </c>
      <c r="C3562" s="22">
        <f>(1+C3561)*IF(AND(Painel_diario!$H3558="EU_JU",Painel_diario!$J3558=1),EXP(Painel_diario!$L3558),1)-1</f>
        <v/>
      </c>
      <c r="D3562" s="22">
        <f>(1+D3561)*IF(AND(Painel_diario!$H3558="ED_JD",Painel_diario!$J3558=1),EXP(Painel_diario!$L3558),1)-1</f>
        <v/>
      </c>
      <c r="E3562" s="22">
        <f>(1+E3561)*IF(AND(Painel_diario!$H3558="ED_JU",Painel_diario!$J3558=1),EXP(Painel_diario!$L3558),1)-1</f>
        <v/>
      </c>
    </row>
    <row r="3563">
      <c r="A3563" s="25" t="n">
        <v>44076</v>
      </c>
      <c r="B3563" s="22">
        <f>(1+B3562)*IF(AND(Painel_diario!$H3559="EU_JD",Painel_diario!$J3559=1),EXP(Painel_diario!$L3559),1)-1</f>
        <v/>
      </c>
      <c r="C3563" s="22">
        <f>(1+C3562)*IF(AND(Painel_diario!$H3559="EU_JU",Painel_diario!$J3559=1),EXP(Painel_diario!$L3559),1)-1</f>
        <v/>
      </c>
      <c r="D3563" s="22">
        <f>(1+D3562)*IF(AND(Painel_diario!$H3559="ED_JD",Painel_diario!$J3559=1),EXP(Painel_diario!$L3559),1)-1</f>
        <v/>
      </c>
      <c r="E3563" s="22">
        <f>(1+E3562)*IF(AND(Painel_diario!$H3559="ED_JU",Painel_diario!$J3559=1),EXP(Painel_diario!$L3559),1)-1</f>
        <v/>
      </c>
    </row>
    <row r="3564">
      <c r="A3564" s="25" t="n">
        <v>44077</v>
      </c>
      <c r="B3564" s="22">
        <f>(1+B3563)*IF(AND(Painel_diario!$H3560="EU_JD",Painel_diario!$J3560=1),EXP(Painel_diario!$L3560),1)-1</f>
        <v/>
      </c>
      <c r="C3564" s="22">
        <f>(1+C3563)*IF(AND(Painel_diario!$H3560="EU_JU",Painel_diario!$J3560=1),EXP(Painel_diario!$L3560),1)-1</f>
        <v/>
      </c>
      <c r="D3564" s="22">
        <f>(1+D3563)*IF(AND(Painel_diario!$H3560="ED_JD",Painel_diario!$J3560=1),EXP(Painel_diario!$L3560),1)-1</f>
        <v/>
      </c>
      <c r="E3564" s="22">
        <f>(1+E3563)*IF(AND(Painel_diario!$H3560="ED_JU",Painel_diario!$J3560=1),EXP(Painel_diario!$L3560),1)-1</f>
        <v/>
      </c>
    </row>
    <row r="3565">
      <c r="A3565" s="25" t="n">
        <v>44078</v>
      </c>
      <c r="B3565" s="22">
        <f>(1+B3564)*IF(AND(Painel_diario!$H3561="EU_JD",Painel_diario!$J3561=1),EXP(Painel_diario!$L3561),1)-1</f>
        <v/>
      </c>
      <c r="C3565" s="22">
        <f>(1+C3564)*IF(AND(Painel_diario!$H3561="EU_JU",Painel_diario!$J3561=1),EXP(Painel_diario!$L3561),1)-1</f>
        <v/>
      </c>
      <c r="D3565" s="22">
        <f>(1+D3564)*IF(AND(Painel_diario!$H3561="ED_JD",Painel_diario!$J3561=1),EXP(Painel_diario!$L3561),1)-1</f>
        <v/>
      </c>
      <c r="E3565" s="22">
        <f>(1+E3564)*IF(AND(Painel_diario!$H3561="ED_JU",Painel_diario!$J3561=1),EXP(Painel_diario!$L3561),1)-1</f>
        <v/>
      </c>
    </row>
    <row r="3566">
      <c r="A3566" s="25" t="n">
        <v>44082</v>
      </c>
      <c r="B3566" s="22">
        <f>(1+B3565)*IF(AND(Painel_diario!$H3562="EU_JD",Painel_diario!$J3562=1),EXP(Painel_diario!$L3562),1)-1</f>
        <v/>
      </c>
      <c r="C3566" s="22">
        <f>(1+C3565)*IF(AND(Painel_diario!$H3562="EU_JU",Painel_diario!$J3562=1),EXP(Painel_diario!$L3562),1)-1</f>
        <v/>
      </c>
      <c r="D3566" s="22">
        <f>(1+D3565)*IF(AND(Painel_diario!$H3562="ED_JD",Painel_diario!$J3562=1),EXP(Painel_diario!$L3562),1)-1</f>
        <v/>
      </c>
      <c r="E3566" s="22">
        <f>(1+E3565)*IF(AND(Painel_diario!$H3562="ED_JU",Painel_diario!$J3562=1),EXP(Painel_diario!$L3562),1)-1</f>
        <v/>
      </c>
    </row>
    <row r="3567">
      <c r="A3567" s="25" t="n">
        <v>44083</v>
      </c>
      <c r="B3567" s="22">
        <f>(1+B3566)*IF(AND(Painel_diario!$H3563="EU_JD",Painel_diario!$J3563=1),EXP(Painel_diario!$L3563),1)-1</f>
        <v/>
      </c>
      <c r="C3567" s="22">
        <f>(1+C3566)*IF(AND(Painel_diario!$H3563="EU_JU",Painel_diario!$J3563=1),EXP(Painel_diario!$L3563),1)-1</f>
        <v/>
      </c>
      <c r="D3567" s="22">
        <f>(1+D3566)*IF(AND(Painel_diario!$H3563="ED_JD",Painel_diario!$J3563=1),EXP(Painel_diario!$L3563),1)-1</f>
        <v/>
      </c>
      <c r="E3567" s="22">
        <f>(1+E3566)*IF(AND(Painel_diario!$H3563="ED_JU",Painel_diario!$J3563=1),EXP(Painel_diario!$L3563),1)-1</f>
        <v/>
      </c>
    </row>
    <row r="3568">
      <c r="A3568" s="25" t="n">
        <v>44084</v>
      </c>
      <c r="B3568" s="22">
        <f>(1+B3567)*IF(AND(Painel_diario!$H3564="EU_JD",Painel_diario!$J3564=1),EXP(Painel_diario!$L3564),1)-1</f>
        <v/>
      </c>
      <c r="C3568" s="22">
        <f>(1+C3567)*IF(AND(Painel_diario!$H3564="EU_JU",Painel_diario!$J3564=1),EXP(Painel_diario!$L3564),1)-1</f>
        <v/>
      </c>
      <c r="D3568" s="22">
        <f>(1+D3567)*IF(AND(Painel_diario!$H3564="ED_JD",Painel_diario!$J3564=1),EXP(Painel_diario!$L3564),1)-1</f>
        <v/>
      </c>
      <c r="E3568" s="22">
        <f>(1+E3567)*IF(AND(Painel_diario!$H3564="ED_JU",Painel_diario!$J3564=1),EXP(Painel_diario!$L3564),1)-1</f>
        <v/>
      </c>
    </row>
    <row r="3569">
      <c r="A3569" s="25" t="n">
        <v>44085</v>
      </c>
      <c r="B3569" s="22">
        <f>(1+B3568)*IF(AND(Painel_diario!$H3565="EU_JD",Painel_diario!$J3565=1),EXP(Painel_diario!$L3565),1)-1</f>
        <v/>
      </c>
      <c r="C3569" s="22">
        <f>(1+C3568)*IF(AND(Painel_diario!$H3565="EU_JU",Painel_diario!$J3565=1),EXP(Painel_diario!$L3565),1)-1</f>
        <v/>
      </c>
      <c r="D3569" s="22">
        <f>(1+D3568)*IF(AND(Painel_diario!$H3565="ED_JD",Painel_diario!$J3565=1),EXP(Painel_diario!$L3565),1)-1</f>
        <v/>
      </c>
      <c r="E3569" s="22">
        <f>(1+E3568)*IF(AND(Painel_diario!$H3565="ED_JU",Painel_diario!$J3565=1),EXP(Painel_diario!$L3565),1)-1</f>
        <v/>
      </c>
    </row>
    <row r="3570">
      <c r="A3570" s="25" t="n">
        <v>44088</v>
      </c>
      <c r="B3570" s="22">
        <f>(1+B3569)*IF(AND(Painel_diario!$H3566="EU_JD",Painel_diario!$J3566=1),EXP(Painel_diario!$L3566),1)-1</f>
        <v/>
      </c>
      <c r="C3570" s="22">
        <f>(1+C3569)*IF(AND(Painel_diario!$H3566="EU_JU",Painel_diario!$J3566=1),EXP(Painel_diario!$L3566),1)-1</f>
        <v/>
      </c>
      <c r="D3570" s="22">
        <f>(1+D3569)*IF(AND(Painel_diario!$H3566="ED_JD",Painel_diario!$J3566=1),EXP(Painel_diario!$L3566),1)-1</f>
        <v/>
      </c>
      <c r="E3570" s="22">
        <f>(1+E3569)*IF(AND(Painel_diario!$H3566="ED_JU",Painel_diario!$J3566=1),EXP(Painel_diario!$L3566),1)-1</f>
        <v/>
      </c>
    </row>
    <row r="3571">
      <c r="A3571" s="25" t="n">
        <v>44089</v>
      </c>
      <c r="B3571" s="22">
        <f>(1+B3570)*IF(AND(Painel_diario!$H3567="EU_JD",Painel_diario!$J3567=1),EXP(Painel_diario!$L3567),1)-1</f>
        <v/>
      </c>
      <c r="C3571" s="22">
        <f>(1+C3570)*IF(AND(Painel_diario!$H3567="EU_JU",Painel_diario!$J3567=1),EXP(Painel_diario!$L3567),1)-1</f>
        <v/>
      </c>
      <c r="D3571" s="22">
        <f>(1+D3570)*IF(AND(Painel_diario!$H3567="ED_JD",Painel_diario!$J3567=1),EXP(Painel_diario!$L3567),1)-1</f>
        <v/>
      </c>
      <c r="E3571" s="22">
        <f>(1+E3570)*IF(AND(Painel_diario!$H3567="ED_JU",Painel_diario!$J3567=1),EXP(Painel_diario!$L3567),1)-1</f>
        <v/>
      </c>
    </row>
    <row r="3572">
      <c r="A3572" s="25" t="n">
        <v>44090</v>
      </c>
      <c r="B3572" s="22">
        <f>(1+B3571)*IF(AND(Painel_diario!$H3568="EU_JD",Painel_diario!$J3568=1),EXP(Painel_diario!$L3568),1)-1</f>
        <v/>
      </c>
      <c r="C3572" s="22">
        <f>(1+C3571)*IF(AND(Painel_diario!$H3568="EU_JU",Painel_diario!$J3568=1),EXP(Painel_diario!$L3568),1)-1</f>
        <v/>
      </c>
      <c r="D3572" s="22">
        <f>(1+D3571)*IF(AND(Painel_diario!$H3568="ED_JD",Painel_diario!$J3568=1),EXP(Painel_diario!$L3568),1)-1</f>
        <v/>
      </c>
      <c r="E3572" s="22">
        <f>(1+E3571)*IF(AND(Painel_diario!$H3568="ED_JU",Painel_diario!$J3568=1),EXP(Painel_diario!$L3568),1)-1</f>
        <v/>
      </c>
    </row>
    <row r="3573">
      <c r="A3573" s="25" t="n">
        <v>44091</v>
      </c>
      <c r="B3573" s="22">
        <f>(1+B3572)*IF(AND(Painel_diario!$H3569="EU_JD",Painel_diario!$J3569=1),EXP(Painel_diario!$L3569),1)-1</f>
        <v/>
      </c>
      <c r="C3573" s="22">
        <f>(1+C3572)*IF(AND(Painel_diario!$H3569="EU_JU",Painel_diario!$J3569=1),EXP(Painel_diario!$L3569),1)-1</f>
        <v/>
      </c>
      <c r="D3573" s="22">
        <f>(1+D3572)*IF(AND(Painel_diario!$H3569="ED_JD",Painel_diario!$J3569=1),EXP(Painel_diario!$L3569),1)-1</f>
        <v/>
      </c>
      <c r="E3573" s="22">
        <f>(1+E3572)*IF(AND(Painel_diario!$H3569="ED_JU",Painel_diario!$J3569=1),EXP(Painel_diario!$L3569),1)-1</f>
        <v/>
      </c>
    </row>
    <row r="3574">
      <c r="A3574" s="25" t="n">
        <v>44092</v>
      </c>
      <c r="B3574" s="22">
        <f>(1+B3573)*IF(AND(Painel_diario!$H3570="EU_JD",Painel_diario!$J3570=1),EXP(Painel_diario!$L3570),1)-1</f>
        <v/>
      </c>
      <c r="C3574" s="22">
        <f>(1+C3573)*IF(AND(Painel_diario!$H3570="EU_JU",Painel_diario!$J3570=1),EXP(Painel_diario!$L3570),1)-1</f>
        <v/>
      </c>
      <c r="D3574" s="22">
        <f>(1+D3573)*IF(AND(Painel_diario!$H3570="ED_JD",Painel_diario!$J3570=1),EXP(Painel_diario!$L3570),1)-1</f>
        <v/>
      </c>
      <c r="E3574" s="22">
        <f>(1+E3573)*IF(AND(Painel_diario!$H3570="ED_JU",Painel_diario!$J3570=1),EXP(Painel_diario!$L3570),1)-1</f>
        <v/>
      </c>
    </row>
    <row r="3575">
      <c r="A3575" s="25" t="n">
        <v>44095</v>
      </c>
      <c r="B3575" s="22">
        <f>(1+B3574)*IF(AND(Painel_diario!$H3571="EU_JD",Painel_diario!$J3571=1),EXP(Painel_diario!$L3571),1)-1</f>
        <v/>
      </c>
      <c r="C3575" s="22">
        <f>(1+C3574)*IF(AND(Painel_diario!$H3571="EU_JU",Painel_diario!$J3571=1),EXP(Painel_diario!$L3571),1)-1</f>
        <v/>
      </c>
      <c r="D3575" s="22">
        <f>(1+D3574)*IF(AND(Painel_diario!$H3571="ED_JD",Painel_diario!$J3571=1),EXP(Painel_diario!$L3571),1)-1</f>
        <v/>
      </c>
      <c r="E3575" s="22">
        <f>(1+E3574)*IF(AND(Painel_diario!$H3571="ED_JU",Painel_diario!$J3571=1),EXP(Painel_diario!$L3571),1)-1</f>
        <v/>
      </c>
    </row>
    <row r="3576">
      <c r="A3576" s="25" t="n">
        <v>44096</v>
      </c>
      <c r="B3576" s="22">
        <f>(1+B3575)*IF(AND(Painel_diario!$H3572="EU_JD",Painel_diario!$J3572=1),EXP(Painel_diario!$L3572),1)-1</f>
        <v/>
      </c>
      <c r="C3576" s="22">
        <f>(1+C3575)*IF(AND(Painel_diario!$H3572="EU_JU",Painel_diario!$J3572=1),EXP(Painel_diario!$L3572),1)-1</f>
        <v/>
      </c>
      <c r="D3576" s="22">
        <f>(1+D3575)*IF(AND(Painel_diario!$H3572="ED_JD",Painel_diario!$J3572=1),EXP(Painel_diario!$L3572),1)-1</f>
        <v/>
      </c>
      <c r="E3576" s="22">
        <f>(1+E3575)*IF(AND(Painel_diario!$H3572="ED_JU",Painel_diario!$J3572=1),EXP(Painel_diario!$L3572),1)-1</f>
        <v/>
      </c>
    </row>
    <row r="3577">
      <c r="A3577" s="25" t="n">
        <v>44097</v>
      </c>
      <c r="B3577" s="22">
        <f>(1+B3576)*IF(AND(Painel_diario!$H3573="EU_JD",Painel_diario!$J3573=1),EXP(Painel_diario!$L3573),1)-1</f>
        <v/>
      </c>
      <c r="C3577" s="22">
        <f>(1+C3576)*IF(AND(Painel_diario!$H3573="EU_JU",Painel_diario!$J3573=1),EXP(Painel_diario!$L3573),1)-1</f>
        <v/>
      </c>
      <c r="D3577" s="22">
        <f>(1+D3576)*IF(AND(Painel_diario!$H3573="ED_JD",Painel_diario!$J3573=1),EXP(Painel_diario!$L3573),1)-1</f>
        <v/>
      </c>
      <c r="E3577" s="22">
        <f>(1+E3576)*IF(AND(Painel_diario!$H3573="ED_JU",Painel_diario!$J3573=1),EXP(Painel_diario!$L3573),1)-1</f>
        <v/>
      </c>
    </row>
    <row r="3578">
      <c r="A3578" s="25" t="n">
        <v>44098</v>
      </c>
      <c r="B3578" s="22">
        <f>(1+B3577)*IF(AND(Painel_diario!$H3574="EU_JD",Painel_diario!$J3574=1),EXP(Painel_diario!$L3574),1)-1</f>
        <v/>
      </c>
      <c r="C3578" s="22">
        <f>(1+C3577)*IF(AND(Painel_diario!$H3574="EU_JU",Painel_diario!$J3574=1),EXP(Painel_diario!$L3574),1)-1</f>
        <v/>
      </c>
      <c r="D3578" s="22">
        <f>(1+D3577)*IF(AND(Painel_diario!$H3574="ED_JD",Painel_diario!$J3574=1),EXP(Painel_diario!$L3574),1)-1</f>
        <v/>
      </c>
      <c r="E3578" s="22">
        <f>(1+E3577)*IF(AND(Painel_diario!$H3574="ED_JU",Painel_diario!$J3574=1),EXP(Painel_diario!$L3574),1)-1</f>
        <v/>
      </c>
    </row>
    <row r="3579">
      <c r="A3579" s="25" t="n">
        <v>44099</v>
      </c>
      <c r="B3579" s="22">
        <f>(1+B3578)*IF(AND(Painel_diario!$H3575="EU_JD",Painel_diario!$J3575=1),EXP(Painel_diario!$L3575),1)-1</f>
        <v/>
      </c>
      <c r="C3579" s="22">
        <f>(1+C3578)*IF(AND(Painel_diario!$H3575="EU_JU",Painel_diario!$J3575=1),EXP(Painel_diario!$L3575),1)-1</f>
        <v/>
      </c>
      <c r="D3579" s="22">
        <f>(1+D3578)*IF(AND(Painel_diario!$H3575="ED_JD",Painel_diario!$J3575=1),EXP(Painel_diario!$L3575),1)-1</f>
        <v/>
      </c>
      <c r="E3579" s="22">
        <f>(1+E3578)*IF(AND(Painel_diario!$H3575="ED_JU",Painel_diario!$J3575=1),EXP(Painel_diario!$L3575),1)-1</f>
        <v/>
      </c>
    </row>
    <row r="3580">
      <c r="A3580" s="25" t="n">
        <v>44102</v>
      </c>
      <c r="B3580" s="22">
        <f>(1+B3579)*IF(AND(Painel_diario!$H3576="EU_JD",Painel_diario!$J3576=1),EXP(Painel_diario!$L3576),1)-1</f>
        <v/>
      </c>
      <c r="C3580" s="22">
        <f>(1+C3579)*IF(AND(Painel_diario!$H3576="EU_JU",Painel_diario!$J3576=1),EXP(Painel_diario!$L3576),1)-1</f>
        <v/>
      </c>
      <c r="D3580" s="22">
        <f>(1+D3579)*IF(AND(Painel_diario!$H3576="ED_JD",Painel_diario!$J3576=1),EXP(Painel_diario!$L3576),1)-1</f>
        <v/>
      </c>
      <c r="E3580" s="22">
        <f>(1+E3579)*IF(AND(Painel_diario!$H3576="ED_JU",Painel_diario!$J3576=1),EXP(Painel_diario!$L3576),1)-1</f>
        <v/>
      </c>
    </row>
    <row r="3581">
      <c r="A3581" s="25" t="n">
        <v>44103</v>
      </c>
      <c r="B3581" s="22">
        <f>(1+B3580)*IF(AND(Painel_diario!$H3577="EU_JD",Painel_diario!$J3577=1),EXP(Painel_diario!$L3577),1)-1</f>
        <v/>
      </c>
      <c r="C3581" s="22">
        <f>(1+C3580)*IF(AND(Painel_diario!$H3577="EU_JU",Painel_diario!$J3577=1),EXP(Painel_diario!$L3577),1)-1</f>
        <v/>
      </c>
      <c r="D3581" s="22">
        <f>(1+D3580)*IF(AND(Painel_diario!$H3577="ED_JD",Painel_diario!$J3577=1),EXP(Painel_diario!$L3577),1)-1</f>
        <v/>
      </c>
      <c r="E3581" s="22">
        <f>(1+E3580)*IF(AND(Painel_diario!$H3577="ED_JU",Painel_diario!$J3577=1),EXP(Painel_diario!$L3577),1)-1</f>
        <v/>
      </c>
    </row>
    <row r="3582">
      <c r="A3582" s="25" t="n">
        <v>44104</v>
      </c>
      <c r="B3582" s="22">
        <f>(1+B3581)*IF(AND(Painel_diario!$H3578="EU_JD",Painel_diario!$J3578=1),EXP(Painel_diario!$L3578),1)-1</f>
        <v/>
      </c>
      <c r="C3582" s="22">
        <f>(1+C3581)*IF(AND(Painel_diario!$H3578="EU_JU",Painel_diario!$J3578=1),EXP(Painel_diario!$L3578),1)-1</f>
        <v/>
      </c>
      <c r="D3582" s="22">
        <f>(1+D3581)*IF(AND(Painel_diario!$H3578="ED_JD",Painel_diario!$J3578=1),EXP(Painel_diario!$L3578),1)-1</f>
        <v/>
      </c>
      <c r="E3582" s="22">
        <f>(1+E3581)*IF(AND(Painel_diario!$H3578="ED_JU",Painel_diario!$J3578=1),EXP(Painel_diario!$L3578),1)-1</f>
        <v/>
      </c>
    </row>
    <row r="3583">
      <c r="A3583" s="25" t="n">
        <v>44105</v>
      </c>
      <c r="B3583" s="22">
        <f>(1+B3582)*IF(AND(Painel_diario!$H3579="EU_JD",Painel_diario!$J3579=1),EXP(Painel_diario!$L3579),1)-1</f>
        <v/>
      </c>
      <c r="C3583" s="22">
        <f>(1+C3582)*IF(AND(Painel_diario!$H3579="EU_JU",Painel_diario!$J3579=1),EXP(Painel_diario!$L3579),1)-1</f>
        <v/>
      </c>
      <c r="D3583" s="22">
        <f>(1+D3582)*IF(AND(Painel_diario!$H3579="ED_JD",Painel_diario!$J3579=1),EXP(Painel_diario!$L3579),1)-1</f>
        <v/>
      </c>
      <c r="E3583" s="22">
        <f>(1+E3582)*IF(AND(Painel_diario!$H3579="ED_JU",Painel_diario!$J3579=1),EXP(Painel_diario!$L3579),1)-1</f>
        <v/>
      </c>
    </row>
    <row r="3584">
      <c r="A3584" s="25" t="n">
        <v>44106</v>
      </c>
      <c r="B3584" s="22">
        <f>(1+B3583)*IF(AND(Painel_diario!$H3580="EU_JD",Painel_diario!$J3580=1),EXP(Painel_diario!$L3580),1)-1</f>
        <v/>
      </c>
      <c r="C3584" s="22">
        <f>(1+C3583)*IF(AND(Painel_diario!$H3580="EU_JU",Painel_diario!$J3580=1),EXP(Painel_diario!$L3580),1)-1</f>
        <v/>
      </c>
      <c r="D3584" s="22">
        <f>(1+D3583)*IF(AND(Painel_diario!$H3580="ED_JD",Painel_diario!$J3580=1),EXP(Painel_diario!$L3580),1)-1</f>
        <v/>
      </c>
      <c r="E3584" s="22">
        <f>(1+E3583)*IF(AND(Painel_diario!$H3580="ED_JU",Painel_diario!$J3580=1),EXP(Painel_diario!$L3580),1)-1</f>
        <v/>
      </c>
    </row>
    <row r="3585">
      <c r="A3585" s="25" t="n">
        <v>44109</v>
      </c>
      <c r="B3585" s="22">
        <f>(1+B3584)*IF(AND(Painel_diario!$H3581="EU_JD",Painel_diario!$J3581=1),EXP(Painel_diario!$L3581),1)-1</f>
        <v/>
      </c>
      <c r="C3585" s="22">
        <f>(1+C3584)*IF(AND(Painel_diario!$H3581="EU_JU",Painel_diario!$J3581=1),EXP(Painel_diario!$L3581),1)-1</f>
        <v/>
      </c>
      <c r="D3585" s="22">
        <f>(1+D3584)*IF(AND(Painel_diario!$H3581="ED_JD",Painel_diario!$J3581=1),EXP(Painel_diario!$L3581),1)-1</f>
        <v/>
      </c>
      <c r="E3585" s="22">
        <f>(1+E3584)*IF(AND(Painel_diario!$H3581="ED_JU",Painel_diario!$J3581=1),EXP(Painel_diario!$L3581),1)-1</f>
        <v/>
      </c>
    </row>
    <row r="3586">
      <c r="A3586" s="25" t="n">
        <v>44110</v>
      </c>
      <c r="B3586" s="22">
        <f>(1+B3585)*IF(AND(Painel_diario!$H3582="EU_JD",Painel_diario!$J3582=1),EXP(Painel_diario!$L3582),1)-1</f>
        <v/>
      </c>
      <c r="C3586" s="22">
        <f>(1+C3585)*IF(AND(Painel_diario!$H3582="EU_JU",Painel_diario!$J3582=1),EXP(Painel_diario!$L3582),1)-1</f>
        <v/>
      </c>
      <c r="D3586" s="22">
        <f>(1+D3585)*IF(AND(Painel_diario!$H3582="ED_JD",Painel_diario!$J3582=1),EXP(Painel_diario!$L3582),1)-1</f>
        <v/>
      </c>
      <c r="E3586" s="22">
        <f>(1+E3585)*IF(AND(Painel_diario!$H3582="ED_JU",Painel_diario!$J3582=1),EXP(Painel_diario!$L3582),1)-1</f>
        <v/>
      </c>
    </row>
    <row r="3587">
      <c r="A3587" s="25" t="n">
        <v>44111</v>
      </c>
      <c r="B3587" s="22">
        <f>(1+B3586)*IF(AND(Painel_diario!$H3583="EU_JD",Painel_diario!$J3583=1),EXP(Painel_diario!$L3583),1)-1</f>
        <v/>
      </c>
      <c r="C3587" s="22">
        <f>(1+C3586)*IF(AND(Painel_diario!$H3583="EU_JU",Painel_diario!$J3583=1),EXP(Painel_diario!$L3583),1)-1</f>
        <v/>
      </c>
      <c r="D3587" s="22">
        <f>(1+D3586)*IF(AND(Painel_diario!$H3583="ED_JD",Painel_diario!$J3583=1),EXP(Painel_diario!$L3583),1)-1</f>
        <v/>
      </c>
      <c r="E3587" s="22">
        <f>(1+E3586)*IF(AND(Painel_diario!$H3583="ED_JU",Painel_diario!$J3583=1),EXP(Painel_diario!$L3583),1)-1</f>
        <v/>
      </c>
    </row>
    <row r="3588">
      <c r="A3588" s="25" t="n">
        <v>44112</v>
      </c>
      <c r="B3588" s="22">
        <f>(1+B3587)*IF(AND(Painel_diario!$H3584="EU_JD",Painel_diario!$J3584=1),EXP(Painel_diario!$L3584),1)-1</f>
        <v/>
      </c>
      <c r="C3588" s="22">
        <f>(1+C3587)*IF(AND(Painel_diario!$H3584="EU_JU",Painel_diario!$J3584=1),EXP(Painel_diario!$L3584),1)-1</f>
        <v/>
      </c>
      <c r="D3588" s="22">
        <f>(1+D3587)*IF(AND(Painel_diario!$H3584="ED_JD",Painel_diario!$J3584=1),EXP(Painel_diario!$L3584),1)-1</f>
        <v/>
      </c>
      <c r="E3588" s="22">
        <f>(1+E3587)*IF(AND(Painel_diario!$H3584="ED_JU",Painel_diario!$J3584=1),EXP(Painel_diario!$L3584),1)-1</f>
        <v/>
      </c>
    </row>
    <row r="3589">
      <c r="A3589" s="25" t="n">
        <v>44113</v>
      </c>
      <c r="B3589" s="22">
        <f>(1+B3588)*IF(AND(Painel_diario!$H3585="EU_JD",Painel_diario!$J3585=1),EXP(Painel_diario!$L3585),1)-1</f>
        <v/>
      </c>
      <c r="C3589" s="22">
        <f>(1+C3588)*IF(AND(Painel_diario!$H3585="EU_JU",Painel_diario!$J3585=1),EXP(Painel_diario!$L3585),1)-1</f>
        <v/>
      </c>
      <c r="D3589" s="22">
        <f>(1+D3588)*IF(AND(Painel_diario!$H3585="ED_JD",Painel_diario!$J3585=1),EXP(Painel_diario!$L3585),1)-1</f>
        <v/>
      </c>
      <c r="E3589" s="22">
        <f>(1+E3588)*IF(AND(Painel_diario!$H3585="ED_JU",Painel_diario!$J3585=1),EXP(Painel_diario!$L3585),1)-1</f>
        <v/>
      </c>
    </row>
    <row r="3590">
      <c r="A3590" s="25" t="n">
        <v>44117</v>
      </c>
      <c r="B3590" s="22">
        <f>(1+B3589)*IF(AND(Painel_diario!$H3586="EU_JD",Painel_diario!$J3586=1),EXP(Painel_diario!$L3586),1)-1</f>
        <v/>
      </c>
      <c r="C3590" s="22">
        <f>(1+C3589)*IF(AND(Painel_diario!$H3586="EU_JU",Painel_diario!$J3586=1),EXP(Painel_diario!$L3586),1)-1</f>
        <v/>
      </c>
      <c r="D3590" s="22">
        <f>(1+D3589)*IF(AND(Painel_diario!$H3586="ED_JD",Painel_diario!$J3586=1),EXP(Painel_diario!$L3586),1)-1</f>
        <v/>
      </c>
      <c r="E3590" s="22">
        <f>(1+E3589)*IF(AND(Painel_diario!$H3586="ED_JU",Painel_diario!$J3586=1),EXP(Painel_diario!$L3586),1)-1</f>
        <v/>
      </c>
    </row>
    <row r="3591">
      <c r="A3591" s="25" t="n">
        <v>44118</v>
      </c>
      <c r="B3591" s="22">
        <f>(1+B3590)*IF(AND(Painel_diario!$H3587="EU_JD",Painel_diario!$J3587=1),EXP(Painel_diario!$L3587),1)-1</f>
        <v/>
      </c>
      <c r="C3591" s="22">
        <f>(1+C3590)*IF(AND(Painel_diario!$H3587="EU_JU",Painel_diario!$J3587=1),EXP(Painel_diario!$L3587),1)-1</f>
        <v/>
      </c>
      <c r="D3591" s="22">
        <f>(1+D3590)*IF(AND(Painel_diario!$H3587="ED_JD",Painel_diario!$J3587=1),EXP(Painel_diario!$L3587),1)-1</f>
        <v/>
      </c>
      <c r="E3591" s="22">
        <f>(1+E3590)*IF(AND(Painel_diario!$H3587="ED_JU",Painel_diario!$J3587=1),EXP(Painel_diario!$L3587),1)-1</f>
        <v/>
      </c>
    </row>
    <row r="3592">
      <c r="A3592" s="25" t="n">
        <v>44119</v>
      </c>
      <c r="B3592" s="22">
        <f>(1+B3591)*IF(AND(Painel_diario!$H3588="EU_JD",Painel_diario!$J3588=1),EXP(Painel_diario!$L3588),1)-1</f>
        <v/>
      </c>
      <c r="C3592" s="22">
        <f>(1+C3591)*IF(AND(Painel_diario!$H3588="EU_JU",Painel_diario!$J3588=1),EXP(Painel_diario!$L3588),1)-1</f>
        <v/>
      </c>
      <c r="D3592" s="22">
        <f>(1+D3591)*IF(AND(Painel_diario!$H3588="ED_JD",Painel_diario!$J3588=1),EXP(Painel_diario!$L3588),1)-1</f>
        <v/>
      </c>
      <c r="E3592" s="22">
        <f>(1+E3591)*IF(AND(Painel_diario!$H3588="ED_JU",Painel_diario!$J3588=1),EXP(Painel_diario!$L3588),1)-1</f>
        <v/>
      </c>
    </row>
    <row r="3593">
      <c r="A3593" s="25" t="n">
        <v>44120</v>
      </c>
      <c r="B3593" s="22">
        <f>(1+B3592)*IF(AND(Painel_diario!$H3589="EU_JD",Painel_diario!$J3589=1),EXP(Painel_diario!$L3589),1)-1</f>
        <v/>
      </c>
      <c r="C3593" s="22">
        <f>(1+C3592)*IF(AND(Painel_diario!$H3589="EU_JU",Painel_diario!$J3589=1),EXP(Painel_diario!$L3589),1)-1</f>
        <v/>
      </c>
      <c r="D3593" s="22">
        <f>(1+D3592)*IF(AND(Painel_diario!$H3589="ED_JD",Painel_diario!$J3589=1),EXP(Painel_diario!$L3589),1)-1</f>
        <v/>
      </c>
      <c r="E3593" s="22">
        <f>(1+E3592)*IF(AND(Painel_diario!$H3589="ED_JU",Painel_diario!$J3589=1),EXP(Painel_diario!$L3589),1)-1</f>
        <v/>
      </c>
    </row>
    <row r="3594">
      <c r="A3594" s="25" t="n">
        <v>44123</v>
      </c>
      <c r="B3594" s="22">
        <f>(1+B3593)*IF(AND(Painel_diario!$H3590="EU_JD",Painel_diario!$J3590=1),EXP(Painel_diario!$L3590),1)-1</f>
        <v/>
      </c>
      <c r="C3594" s="22">
        <f>(1+C3593)*IF(AND(Painel_diario!$H3590="EU_JU",Painel_diario!$J3590=1),EXP(Painel_diario!$L3590),1)-1</f>
        <v/>
      </c>
      <c r="D3594" s="22">
        <f>(1+D3593)*IF(AND(Painel_diario!$H3590="ED_JD",Painel_diario!$J3590=1),EXP(Painel_diario!$L3590),1)-1</f>
        <v/>
      </c>
      <c r="E3594" s="22">
        <f>(1+E3593)*IF(AND(Painel_diario!$H3590="ED_JU",Painel_diario!$J3590=1),EXP(Painel_diario!$L3590),1)-1</f>
        <v/>
      </c>
    </row>
    <row r="3595">
      <c r="A3595" s="25" t="n">
        <v>44124</v>
      </c>
      <c r="B3595" s="22">
        <f>(1+B3594)*IF(AND(Painel_diario!$H3591="EU_JD",Painel_diario!$J3591=1),EXP(Painel_diario!$L3591),1)-1</f>
        <v/>
      </c>
      <c r="C3595" s="22">
        <f>(1+C3594)*IF(AND(Painel_diario!$H3591="EU_JU",Painel_diario!$J3591=1),EXP(Painel_diario!$L3591),1)-1</f>
        <v/>
      </c>
      <c r="D3595" s="22">
        <f>(1+D3594)*IF(AND(Painel_diario!$H3591="ED_JD",Painel_diario!$J3591=1),EXP(Painel_diario!$L3591),1)-1</f>
        <v/>
      </c>
      <c r="E3595" s="22">
        <f>(1+E3594)*IF(AND(Painel_diario!$H3591="ED_JU",Painel_diario!$J3591=1),EXP(Painel_diario!$L3591),1)-1</f>
        <v/>
      </c>
    </row>
    <row r="3596">
      <c r="A3596" s="25" t="n">
        <v>44125</v>
      </c>
      <c r="B3596" s="22">
        <f>(1+B3595)*IF(AND(Painel_diario!$H3592="EU_JD",Painel_diario!$J3592=1),EXP(Painel_diario!$L3592),1)-1</f>
        <v/>
      </c>
      <c r="C3596" s="22">
        <f>(1+C3595)*IF(AND(Painel_diario!$H3592="EU_JU",Painel_diario!$J3592=1),EXP(Painel_diario!$L3592),1)-1</f>
        <v/>
      </c>
      <c r="D3596" s="22">
        <f>(1+D3595)*IF(AND(Painel_diario!$H3592="ED_JD",Painel_diario!$J3592=1),EXP(Painel_diario!$L3592),1)-1</f>
        <v/>
      </c>
      <c r="E3596" s="22">
        <f>(1+E3595)*IF(AND(Painel_diario!$H3592="ED_JU",Painel_diario!$J3592=1),EXP(Painel_diario!$L3592),1)-1</f>
        <v/>
      </c>
    </row>
    <row r="3597">
      <c r="A3597" s="25" t="n">
        <v>44126</v>
      </c>
      <c r="B3597" s="22">
        <f>(1+B3596)*IF(AND(Painel_diario!$H3593="EU_JD",Painel_diario!$J3593=1),EXP(Painel_diario!$L3593),1)-1</f>
        <v/>
      </c>
      <c r="C3597" s="22">
        <f>(1+C3596)*IF(AND(Painel_diario!$H3593="EU_JU",Painel_diario!$J3593=1),EXP(Painel_diario!$L3593),1)-1</f>
        <v/>
      </c>
      <c r="D3597" s="22">
        <f>(1+D3596)*IF(AND(Painel_diario!$H3593="ED_JD",Painel_diario!$J3593=1),EXP(Painel_diario!$L3593),1)-1</f>
        <v/>
      </c>
      <c r="E3597" s="22">
        <f>(1+E3596)*IF(AND(Painel_diario!$H3593="ED_JU",Painel_diario!$J3593=1),EXP(Painel_diario!$L3593),1)-1</f>
        <v/>
      </c>
    </row>
    <row r="3598">
      <c r="A3598" s="25" t="n">
        <v>44127</v>
      </c>
      <c r="B3598" s="22">
        <f>(1+B3597)*IF(AND(Painel_diario!$H3594="EU_JD",Painel_diario!$J3594=1),EXP(Painel_diario!$L3594),1)-1</f>
        <v/>
      </c>
      <c r="C3598" s="22">
        <f>(1+C3597)*IF(AND(Painel_diario!$H3594="EU_JU",Painel_diario!$J3594=1),EXP(Painel_diario!$L3594),1)-1</f>
        <v/>
      </c>
      <c r="D3598" s="22">
        <f>(1+D3597)*IF(AND(Painel_diario!$H3594="ED_JD",Painel_diario!$J3594=1),EXP(Painel_diario!$L3594),1)-1</f>
        <v/>
      </c>
      <c r="E3598" s="22">
        <f>(1+E3597)*IF(AND(Painel_diario!$H3594="ED_JU",Painel_diario!$J3594=1),EXP(Painel_diario!$L3594),1)-1</f>
        <v/>
      </c>
    </row>
    <row r="3599">
      <c r="A3599" s="25" t="n">
        <v>44130</v>
      </c>
      <c r="B3599" s="22">
        <f>(1+B3598)*IF(AND(Painel_diario!$H3595="EU_JD",Painel_diario!$J3595=1),EXP(Painel_diario!$L3595),1)-1</f>
        <v/>
      </c>
      <c r="C3599" s="22">
        <f>(1+C3598)*IF(AND(Painel_diario!$H3595="EU_JU",Painel_diario!$J3595=1),EXP(Painel_diario!$L3595),1)-1</f>
        <v/>
      </c>
      <c r="D3599" s="22">
        <f>(1+D3598)*IF(AND(Painel_diario!$H3595="ED_JD",Painel_diario!$J3595=1),EXP(Painel_diario!$L3595),1)-1</f>
        <v/>
      </c>
      <c r="E3599" s="22">
        <f>(1+E3598)*IF(AND(Painel_diario!$H3595="ED_JU",Painel_diario!$J3595=1),EXP(Painel_diario!$L3595),1)-1</f>
        <v/>
      </c>
    </row>
    <row r="3600">
      <c r="A3600" s="25" t="n">
        <v>44131</v>
      </c>
      <c r="B3600" s="22">
        <f>(1+B3599)*IF(AND(Painel_diario!$H3596="EU_JD",Painel_diario!$J3596=1),EXP(Painel_diario!$L3596),1)-1</f>
        <v/>
      </c>
      <c r="C3600" s="22">
        <f>(1+C3599)*IF(AND(Painel_diario!$H3596="EU_JU",Painel_diario!$J3596=1),EXP(Painel_diario!$L3596),1)-1</f>
        <v/>
      </c>
      <c r="D3600" s="22">
        <f>(1+D3599)*IF(AND(Painel_diario!$H3596="ED_JD",Painel_diario!$J3596=1),EXP(Painel_diario!$L3596),1)-1</f>
        <v/>
      </c>
      <c r="E3600" s="22">
        <f>(1+E3599)*IF(AND(Painel_diario!$H3596="ED_JU",Painel_diario!$J3596=1),EXP(Painel_diario!$L3596),1)-1</f>
        <v/>
      </c>
    </row>
    <row r="3601">
      <c r="A3601" s="25" t="n">
        <v>44132</v>
      </c>
      <c r="B3601" s="22">
        <f>(1+B3600)*IF(AND(Painel_diario!$H3597="EU_JD",Painel_diario!$J3597=1),EXP(Painel_diario!$L3597),1)-1</f>
        <v/>
      </c>
      <c r="C3601" s="22">
        <f>(1+C3600)*IF(AND(Painel_diario!$H3597="EU_JU",Painel_diario!$J3597=1),EXP(Painel_diario!$L3597),1)-1</f>
        <v/>
      </c>
      <c r="D3601" s="22">
        <f>(1+D3600)*IF(AND(Painel_diario!$H3597="ED_JD",Painel_diario!$J3597=1),EXP(Painel_diario!$L3597),1)-1</f>
        <v/>
      </c>
      <c r="E3601" s="22">
        <f>(1+E3600)*IF(AND(Painel_diario!$H3597="ED_JU",Painel_diario!$J3597=1),EXP(Painel_diario!$L3597),1)-1</f>
        <v/>
      </c>
    </row>
    <row r="3602">
      <c r="A3602" s="25" t="n">
        <v>44133</v>
      </c>
      <c r="B3602" s="22">
        <f>(1+B3601)*IF(AND(Painel_diario!$H3598="EU_JD",Painel_diario!$J3598=1),EXP(Painel_diario!$L3598),1)-1</f>
        <v/>
      </c>
      <c r="C3602" s="22">
        <f>(1+C3601)*IF(AND(Painel_diario!$H3598="EU_JU",Painel_diario!$J3598=1),EXP(Painel_diario!$L3598),1)-1</f>
        <v/>
      </c>
      <c r="D3602" s="22">
        <f>(1+D3601)*IF(AND(Painel_diario!$H3598="ED_JD",Painel_diario!$J3598=1),EXP(Painel_diario!$L3598),1)-1</f>
        <v/>
      </c>
      <c r="E3602" s="22">
        <f>(1+E3601)*IF(AND(Painel_diario!$H3598="ED_JU",Painel_diario!$J3598=1),EXP(Painel_diario!$L3598),1)-1</f>
        <v/>
      </c>
    </row>
    <row r="3603">
      <c r="A3603" s="25" t="n">
        <v>44134</v>
      </c>
      <c r="B3603" s="22">
        <f>(1+B3602)*IF(AND(Painel_diario!$H3599="EU_JD",Painel_diario!$J3599=1),EXP(Painel_diario!$L3599),1)-1</f>
        <v/>
      </c>
      <c r="C3603" s="22">
        <f>(1+C3602)*IF(AND(Painel_diario!$H3599="EU_JU",Painel_diario!$J3599=1),EXP(Painel_diario!$L3599),1)-1</f>
        <v/>
      </c>
      <c r="D3603" s="22">
        <f>(1+D3602)*IF(AND(Painel_diario!$H3599="ED_JD",Painel_diario!$J3599=1),EXP(Painel_diario!$L3599),1)-1</f>
        <v/>
      </c>
      <c r="E3603" s="22">
        <f>(1+E3602)*IF(AND(Painel_diario!$H3599="ED_JU",Painel_diario!$J3599=1),EXP(Painel_diario!$L3599),1)-1</f>
        <v/>
      </c>
    </row>
    <row r="3604">
      <c r="A3604" s="25" t="n">
        <v>44138</v>
      </c>
      <c r="B3604" s="22">
        <f>(1+B3603)*IF(AND(Painel_diario!$H3600="EU_JD",Painel_diario!$J3600=1),EXP(Painel_diario!$L3600),1)-1</f>
        <v/>
      </c>
      <c r="C3604" s="22">
        <f>(1+C3603)*IF(AND(Painel_diario!$H3600="EU_JU",Painel_diario!$J3600=1),EXP(Painel_diario!$L3600),1)-1</f>
        <v/>
      </c>
      <c r="D3604" s="22">
        <f>(1+D3603)*IF(AND(Painel_diario!$H3600="ED_JD",Painel_diario!$J3600=1),EXP(Painel_diario!$L3600),1)-1</f>
        <v/>
      </c>
      <c r="E3604" s="22">
        <f>(1+E3603)*IF(AND(Painel_diario!$H3600="ED_JU",Painel_diario!$J3600=1),EXP(Painel_diario!$L3600),1)-1</f>
        <v/>
      </c>
    </row>
    <row r="3605">
      <c r="A3605" s="25" t="n">
        <v>44139</v>
      </c>
      <c r="B3605" s="22">
        <f>(1+B3604)*IF(AND(Painel_diario!$H3601="EU_JD",Painel_diario!$J3601=1),EXP(Painel_diario!$L3601),1)-1</f>
        <v/>
      </c>
      <c r="C3605" s="22">
        <f>(1+C3604)*IF(AND(Painel_diario!$H3601="EU_JU",Painel_diario!$J3601=1),EXP(Painel_diario!$L3601),1)-1</f>
        <v/>
      </c>
      <c r="D3605" s="22">
        <f>(1+D3604)*IF(AND(Painel_diario!$H3601="ED_JD",Painel_diario!$J3601=1),EXP(Painel_diario!$L3601),1)-1</f>
        <v/>
      </c>
      <c r="E3605" s="22">
        <f>(1+E3604)*IF(AND(Painel_diario!$H3601="ED_JU",Painel_diario!$J3601=1),EXP(Painel_diario!$L3601),1)-1</f>
        <v/>
      </c>
    </row>
    <row r="3606">
      <c r="A3606" s="25" t="n">
        <v>44140</v>
      </c>
      <c r="B3606" s="22">
        <f>(1+B3605)*IF(AND(Painel_diario!$H3602="EU_JD",Painel_diario!$J3602=1),EXP(Painel_diario!$L3602),1)-1</f>
        <v/>
      </c>
      <c r="C3606" s="22">
        <f>(1+C3605)*IF(AND(Painel_diario!$H3602="EU_JU",Painel_diario!$J3602=1),EXP(Painel_diario!$L3602),1)-1</f>
        <v/>
      </c>
      <c r="D3606" s="22">
        <f>(1+D3605)*IF(AND(Painel_diario!$H3602="ED_JD",Painel_diario!$J3602=1),EXP(Painel_diario!$L3602),1)-1</f>
        <v/>
      </c>
      <c r="E3606" s="22">
        <f>(1+E3605)*IF(AND(Painel_diario!$H3602="ED_JU",Painel_diario!$J3602=1),EXP(Painel_diario!$L3602),1)-1</f>
        <v/>
      </c>
    </row>
    <row r="3607">
      <c r="A3607" s="25" t="n">
        <v>44141</v>
      </c>
      <c r="B3607" s="22">
        <f>(1+B3606)*IF(AND(Painel_diario!$H3603="EU_JD",Painel_diario!$J3603=1),EXP(Painel_diario!$L3603),1)-1</f>
        <v/>
      </c>
      <c r="C3607" s="22">
        <f>(1+C3606)*IF(AND(Painel_diario!$H3603="EU_JU",Painel_diario!$J3603=1),EXP(Painel_diario!$L3603),1)-1</f>
        <v/>
      </c>
      <c r="D3607" s="22">
        <f>(1+D3606)*IF(AND(Painel_diario!$H3603="ED_JD",Painel_diario!$J3603=1),EXP(Painel_diario!$L3603),1)-1</f>
        <v/>
      </c>
      <c r="E3607" s="22">
        <f>(1+E3606)*IF(AND(Painel_diario!$H3603="ED_JU",Painel_diario!$J3603=1),EXP(Painel_diario!$L3603),1)-1</f>
        <v/>
      </c>
    </row>
    <row r="3608">
      <c r="A3608" s="25" t="n">
        <v>44144</v>
      </c>
      <c r="B3608" s="22">
        <f>(1+B3607)*IF(AND(Painel_diario!$H3604="EU_JD",Painel_diario!$J3604=1),EXP(Painel_diario!$L3604),1)-1</f>
        <v/>
      </c>
      <c r="C3608" s="22">
        <f>(1+C3607)*IF(AND(Painel_diario!$H3604="EU_JU",Painel_diario!$J3604=1),EXP(Painel_diario!$L3604),1)-1</f>
        <v/>
      </c>
      <c r="D3608" s="22">
        <f>(1+D3607)*IF(AND(Painel_diario!$H3604="ED_JD",Painel_diario!$J3604=1),EXP(Painel_diario!$L3604),1)-1</f>
        <v/>
      </c>
      <c r="E3608" s="22">
        <f>(1+E3607)*IF(AND(Painel_diario!$H3604="ED_JU",Painel_diario!$J3604=1),EXP(Painel_diario!$L3604),1)-1</f>
        <v/>
      </c>
    </row>
    <row r="3609">
      <c r="A3609" s="25" t="n">
        <v>44145</v>
      </c>
      <c r="B3609" s="22">
        <f>(1+B3608)*IF(AND(Painel_diario!$H3605="EU_JD",Painel_diario!$J3605=1),EXP(Painel_diario!$L3605),1)-1</f>
        <v/>
      </c>
      <c r="C3609" s="22">
        <f>(1+C3608)*IF(AND(Painel_diario!$H3605="EU_JU",Painel_diario!$J3605=1),EXP(Painel_diario!$L3605),1)-1</f>
        <v/>
      </c>
      <c r="D3609" s="22">
        <f>(1+D3608)*IF(AND(Painel_diario!$H3605="ED_JD",Painel_diario!$J3605=1),EXP(Painel_diario!$L3605),1)-1</f>
        <v/>
      </c>
      <c r="E3609" s="22">
        <f>(1+E3608)*IF(AND(Painel_diario!$H3605="ED_JU",Painel_diario!$J3605=1),EXP(Painel_diario!$L3605),1)-1</f>
        <v/>
      </c>
    </row>
    <row r="3610">
      <c r="A3610" s="25" t="n">
        <v>44146</v>
      </c>
      <c r="B3610" s="22">
        <f>(1+B3609)*IF(AND(Painel_diario!$H3606="EU_JD",Painel_diario!$J3606=1),EXP(Painel_diario!$L3606),1)-1</f>
        <v/>
      </c>
      <c r="C3610" s="22">
        <f>(1+C3609)*IF(AND(Painel_diario!$H3606="EU_JU",Painel_diario!$J3606=1),EXP(Painel_diario!$L3606),1)-1</f>
        <v/>
      </c>
      <c r="D3610" s="22">
        <f>(1+D3609)*IF(AND(Painel_diario!$H3606="ED_JD",Painel_diario!$J3606=1),EXP(Painel_diario!$L3606),1)-1</f>
        <v/>
      </c>
      <c r="E3610" s="22">
        <f>(1+E3609)*IF(AND(Painel_diario!$H3606="ED_JU",Painel_diario!$J3606=1),EXP(Painel_diario!$L3606),1)-1</f>
        <v/>
      </c>
    </row>
    <row r="3611">
      <c r="A3611" s="25" t="n">
        <v>44147</v>
      </c>
      <c r="B3611" s="22">
        <f>(1+B3610)*IF(AND(Painel_diario!$H3607="EU_JD",Painel_diario!$J3607=1),EXP(Painel_diario!$L3607),1)-1</f>
        <v/>
      </c>
      <c r="C3611" s="22">
        <f>(1+C3610)*IF(AND(Painel_diario!$H3607="EU_JU",Painel_diario!$J3607=1),EXP(Painel_diario!$L3607),1)-1</f>
        <v/>
      </c>
      <c r="D3611" s="22">
        <f>(1+D3610)*IF(AND(Painel_diario!$H3607="ED_JD",Painel_diario!$J3607=1),EXP(Painel_diario!$L3607),1)-1</f>
        <v/>
      </c>
      <c r="E3611" s="22">
        <f>(1+E3610)*IF(AND(Painel_diario!$H3607="ED_JU",Painel_diario!$J3607=1),EXP(Painel_diario!$L3607),1)-1</f>
        <v/>
      </c>
    </row>
    <row r="3612">
      <c r="A3612" s="25" t="n">
        <v>44148</v>
      </c>
      <c r="B3612" s="22">
        <f>(1+B3611)*IF(AND(Painel_diario!$H3608="EU_JD",Painel_diario!$J3608=1),EXP(Painel_diario!$L3608),1)-1</f>
        <v/>
      </c>
      <c r="C3612" s="22">
        <f>(1+C3611)*IF(AND(Painel_diario!$H3608="EU_JU",Painel_diario!$J3608=1),EXP(Painel_diario!$L3608),1)-1</f>
        <v/>
      </c>
      <c r="D3612" s="22">
        <f>(1+D3611)*IF(AND(Painel_diario!$H3608="ED_JD",Painel_diario!$J3608=1),EXP(Painel_diario!$L3608),1)-1</f>
        <v/>
      </c>
      <c r="E3612" s="22">
        <f>(1+E3611)*IF(AND(Painel_diario!$H3608="ED_JU",Painel_diario!$J3608=1),EXP(Painel_diario!$L3608),1)-1</f>
        <v/>
      </c>
    </row>
    <row r="3613">
      <c r="A3613" s="25" t="n">
        <v>44151</v>
      </c>
      <c r="B3613" s="22">
        <f>(1+B3612)*IF(AND(Painel_diario!$H3609="EU_JD",Painel_diario!$J3609=1),EXP(Painel_diario!$L3609),1)-1</f>
        <v/>
      </c>
      <c r="C3613" s="22">
        <f>(1+C3612)*IF(AND(Painel_diario!$H3609="EU_JU",Painel_diario!$J3609=1),EXP(Painel_diario!$L3609),1)-1</f>
        <v/>
      </c>
      <c r="D3613" s="22">
        <f>(1+D3612)*IF(AND(Painel_diario!$H3609="ED_JD",Painel_diario!$J3609=1),EXP(Painel_diario!$L3609),1)-1</f>
        <v/>
      </c>
      <c r="E3613" s="22">
        <f>(1+E3612)*IF(AND(Painel_diario!$H3609="ED_JU",Painel_diario!$J3609=1),EXP(Painel_diario!$L3609),1)-1</f>
        <v/>
      </c>
    </row>
    <row r="3614">
      <c r="A3614" s="25" t="n">
        <v>44152</v>
      </c>
      <c r="B3614" s="22">
        <f>(1+B3613)*IF(AND(Painel_diario!$H3610="EU_JD",Painel_diario!$J3610=1),EXP(Painel_diario!$L3610),1)-1</f>
        <v/>
      </c>
      <c r="C3614" s="22">
        <f>(1+C3613)*IF(AND(Painel_diario!$H3610="EU_JU",Painel_diario!$J3610=1),EXP(Painel_diario!$L3610),1)-1</f>
        <v/>
      </c>
      <c r="D3614" s="22">
        <f>(1+D3613)*IF(AND(Painel_diario!$H3610="ED_JD",Painel_diario!$J3610=1),EXP(Painel_diario!$L3610),1)-1</f>
        <v/>
      </c>
      <c r="E3614" s="22">
        <f>(1+E3613)*IF(AND(Painel_diario!$H3610="ED_JU",Painel_diario!$J3610=1),EXP(Painel_diario!$L3610),1)-1</f>
        <v/>
      </c>
    </row>
    <row r="3615">
      <c r="A3615" s="25" t="n">
        <v>44153</v>
      </c>
      <c r="B3615" s="22">
        <f>(1+B3614)*IF(AND(Painel_diario!$H3611="EU_JD",Painel_diario!$J3611=1),EXP(Painel_diario!$L3611),1)-1</f>
        <v/>
      </c>
      <c r="C3615" s="22">
        <f>(1+C3614)*IF(AND(Painel_diario!$H3611="EU_JU",Painel_diario!$J3611=1),EXP(Painel_diario!$L3611),1)-1</f>
        <v/>
      </c>
      <c r="D3615" s="22">
        <f>(1+D3614)*IF(AND(Painel_diario!$H3611="ED_JD",Painel_diario!$J3611=1),EXP(Painel_diario!$L3611),1)-1</f>
        <v/>
      </c>
      <c r="E3615" s="22">
        <f>(1+E3614)*IF(AND(Painel_diario!$H3611="ED_JU",Painel_diario!$J3611=1),EXP(Painel_diario!$L3611),1)-1</f>
        <v/>
      </c>
    </row>
    <row r="3616">
      <c r="A3616" s="25" t="n">
        <v>44154</v>
      </c>
      <c r="B3616" s="22">
        <f>(1+B3615)*IF(AND(Painel_diario!$H3612="EU_JD",Painel_diario!$J3612=1),EXP(Painel_diario!$L3612),1)-1</f>
        <v/>
      </c>
      <c r="C3616" s="22">
        <f>(1+C3615)*IF(AND(Painel_diario!$H3612="EU_JU",Painel_diario!$J3612=1),EXP(Painel_diario!$L3612),1)-1</f>
        <v/>
      </c>
      <c r="D3616" s="22">
        <f>(1+D3615)*IF(AND(Painel_diario!$H3612="ED_JD",Painel_diario!$J3612=1),EXP(Painel_diario!$L3612),1)-1</f>
        <v/>
      </c>
      <c r="E3616" s="22">
        <f>(1+E3615)*IF(AND(Painel_diario!$H3612="ED_JU",Painel_diario!$J3612=1),EXP(Painel_diario!$L3612),1)-1</f>
        <v/>
      </c>
    </row>
    <row r="3617">
      <c r="A3617" s="25" t="n">
        <v>44155</v>
      </c>
      <c r="B3617" s="22">
        <f>(1+B3616)*IF(AND(Painel_diario!$H3613="EU_JD",Painel_diario!$J3613=1),EXP(Painel_diario!$L3613),1)-1</f>
        <v/>
      </c>
      <c r="C3617" s="22">
        <f>(1+C3616)*IF(AND(Painel_diario!$H3613="EU_JU",Painel_diario!$J3613=1),EXP(Painel_diario!$L3613),1)-1</f>
        <v/>
      </c>
      <c r="D3617" s="22">
        <f>(1+D3616)*IF(AND(Painel_diario!$H3613="ED_JD",Painel_diario!$J3613=1),EXP(Painel_diario!$L3613),1)-1</f>
        <v/>
      </c>
      <c r="E3617" s="22">
        <f>(1+E3616)*IF(AND(Painel_diario!$H3613="ED_JU",Painel_diario!$J3613=1),EXP(Painel_diario!$L3613),1)-1</f>
        <v/>
      </c>
    </row>
    <row r="3618">
      <c r="A3618" s="25" t="n">
        <v>44158</v>
      </c>
      <c r="B3618" s="22">
        <f>(1+B3617)*IF(AND(Painel_diario!$H3614="EU_JD",Painel_diario!$J3614=1),EXP(Painel_diario!$L3614),1)-1</f>
        <v/>
      </c>
      <c r="C3618" s="22">
        <f>(1+C3617)*IF(AND(Painel_diario!$H3614="EU_JU",Painel_diario!$J3614=1),EXP(Painel_diario!$L3614),1)-1</f>
        <v/>
      </c>
      <c r="D3618" s="22">
        <f>(1+D3617)*IF(AND(Painel_diario!$H3614="ED_JD",Painel_diario!$J3614=1),EXP(Painel_diario!$L3614),1)-1</f>
        <v/>
      </c>
      <c r="E3618" s="22">
        <f>(1+E3617)*IF(AND(Painel_diario!$H3614="ED_JU",Painel_diario!$J3614=1),EXP(Painel_diario!$L3614),1)-1</f>
        <v/>
      </c>
    </row>
    <row r="3619">
      <c r="A3619" s="25" t="n">
        <v>44159</v>
      </c>
      <c r="B3619" s="22">
        <f>(1+B3618)*IF(AND(Painel_diario!$H3615="EU_JD",Painel_diario!$J3615=1),EXP(Painel_diario!$L3615),1)-1</f>
        <v/>
      </c>
      <c r="C3619" s="22">
        <f>(1+C3618)*IF(AND(Painel_diario!$H3615="EU_JU",Painel_diario!$J3615=1),EXP(Painel_diario!$L3615),1)-1</f>
        <v/>
      </c>
      <c r="D3619" s="22">
        <f>(1+D3618)*IF(AND(Painel_diario!$H3615="ED_JD",Painel_diario!$J3615=1),EXP(Painel_diario!$L3615),1)-1</f>
        <v/>
      </c>
      <c r="E3619" s="22">
        <f>(1+E3618)*IF(AND(Painel_diario!$H3615="ED_JU",Painel_diario!$J3615=1),EXP(Painel_diario!$L3615),1)-1</f>
        <v/>
      </c>
    </row>
    <row r="3620">
      <c r="A3620" s="25" t="n">
        <v>44160</v>
      </c>
      <c r="B3620" s="22">
        <f>(1+B3619)*IF(AND(Painel_diario!$H3616="EU_JD",Painel_diario!$J3616=1),EXP(Painel_diario!$L3616),1)-1</f>
        <v/>
      </c>
      <c r="C3620" s="22">
        <f>(1+C3619)*IF(AND(Painel_diario!$H3616="EU_JU",Painel_diario!$J3616=1),EXP(Painel_diario!$L3616),1)-1</f>
        <v/>
      </c>
      <c r="D3620" s="22">
        <f>(1+D3619)*IF(AND(Painel_diario!$H3616="ED_JD",Painel_diario!$J3616=1),EXP(Painel_diario!$L3616),1)-1</f>
        <v/>
      </c>
      <c r="E3620" s="22">
        <f>(1+E3619)*IF(AND(Painel_diario!$H3616="ED_JU",Painel_diario!$J3616=1),EXP(Painel_diario!$L3616),1)-1</f>
        <v/>
      </c>
    </row>
    <row r="3621">
      <c r="A3621" s="25" t="n">
        <v>44161</v>
      </c>
      <c r="B3621" s="22">
        <f>(1+B3620)*IF(AND(Painel_diario!$H3617="EU_JD",Painel_diario!$J3617=1),EXP(Painel_diario!$L3617),1)-1</f>
        <v/>
      </c>
      <c r="C3621" s="22">
        <f>(1+C3620)*IF(AND(Painel_diario!$H3617="EU_JU",Painel_diario!$J3617=1),EXP(Painel_diario!$L3617),1)-1</f>
        <v/>
      </c>
      <c r="D3621" s="22">
        <f>(1+D3620)*IF(AND(Painel_diario!$H3617="ED_JD",Painel_diario!$J3617=1),EXP(Painel_diario!$L3617),1)-1</f>
        <v/>
      </c>
      <c r="E3621" s="22">
        <f>(1+E3620)*IF(AND(Painel_diario!$H3617="ED_JU",Painel_diario!$J3617=1),EXP(Painel_diario!$L3617),1)-1</f>
        <v/>
      </c>
    </row>
    <row r="3622">
      <c r="A3622" s="25" t="n">
        <v>44162</v>
      </c>
      <c r="B3622" s="22">
        <f>(1+B3621)*IF(AND(Painel_diario!$H3618="EU_JD",Painel_diario!$J3618=1),EXP(Painel_diario!$L3618),1)-1</f>
        <v/>
      </c>
      <c r="C3622" s="22">
        <f>(1+C3621)*IF(AND(Painel_diario!$H3618="EU_JU",Painel_diario!$J3618=1),EXP(Painel_diario!$L3618),1)-1</f>
        <v/>
      </c>
      <c r="D3622" s="22">
        <f>(1+D3621)*IF(AND(Painel_diario!$H3618="ED_JD",Painel_diario!$J3618=1),EXP(Painel_diario!$L3618),1)-1</f>
        <v/>
      </c>
      <c r="E3622" s="22">
        <f>(1+E3621)*IF(AND(Painel_diario!$H3618="ED_JU",Painel_diario!$J3618=1),EXP(Painel_diario!$L3618),1)-1</f>
        <v/>
      </c>
    </row>
    <row r="3623">
      <c r="A3623" s="25" t="n">
        <v>44165</v>
      </c>
      <c r="B3623" s="22">
        <f>(1+B3622)*IF(AND(Painel_diario!$H3619="EU_JD",Painel_diario!$J3619=1),EXP(Painel_diario!$L3619),1)-1</f>
        <v/>
      </c>
      <c r="C3623" s="22">
        <f>(1+C3622)*IF(AND(Painel_diario!$H3619="EU_JU",Painel_diario!$J3619=1),EXP(Painel_diario!$L3619),1)-1</f>
        <v/>
      </c>
      <c r="D3623" s="22">
        <f>(1+D3622)*IF(AND(Painel_diario!$H3619="ED_JD",Painel_diario!$J3619=1),EXP(Painel_diario!$L3619),1)-1</f>
        <v/>
      </c>
      <c r="E3623" s="22">
        <f>(1+E3622)*IF(AND(Painel_diario!$H3619="ED_JU",Painel_diario!$J3619=1),EXP(Painel_diario!$L3619),1)-1</f>
        <v/>
      </c>
    </row>
    <row r="3624">
      <c r="A3624" s="25" t="n">
        <v>44166</v>
      </c>
      <c r="B3624" s="22">
        <f>(1+B3623)*IF(AND(Painel_diario!$H3620="EU_JD",Painel_diario!$J3620=1),EXP(Painel_diario!$L3620),1)-1</f>
        <v/>
      </c>
      <c r="C3624" s="22">
        <f>(1+C3623)*IF(AND(Painel_diario!$H3620="EU_JU",Painel_diario!$J3620=1),EXP(Painel_diario!$L3620),1)-1</f>
        <v/>
      </c>
      <c r="D3624" s="22">
        <f>(1+D3623)*IF(AND(Painel_diario!$H3620="ED_JD",Painel_diario!$J3620=1),EXP(Painel_diario!$L3620),1)-1</f>
        <v/>
      </c>
      <c r="E3624" s="22">
        <f>(1+E3623)*IF(AND(Painel_diario!$H3620="ED_JU",Painel_diario!$J3620=1),EXP(Painel_diario!$L3620),1)-1</f>
        <v/>
      </c>
    </row>
    <row r="3625">
      <c r="A3625" s="25" t="n">
        <v>44167</v>
      </c>
      <c r="B3625" s="22">
        <f>(1+B3624)*IF(AND(Painel_diario!$H3621="EU_JD",Painel_diario!$J3621=1),EXP(Painel_diario!$L3621),1)-1</f>
        <v/>
      </c>
      <c r="C3625" s="22">
        <f>(1+C3624)*IF(AND(Painel_diario!$H3621="EU_JU",Painel_diario!$J3621=1),EXP(Painel_diario!$L3621),1)-1</f>
        <v/>
      </c>
      <c r="D3625" s="22">
        <f>(1+D3624)*IF(AND(Painel_diario!$H3621="ED_JD",Painel_diario!$J3621=1),EXP(Painel_diario!$L3621),1)-1</f>
        <v/>
      </c>
      <c r="E3625" s="22">
        <f>(1+E3624)*IF(AND(Painel_diario!$H3621="ED_JU",Painel_diario!$J3621=1),EXP(Painel_diario!$L3621),1)-1</f>
        <v/>
      </c>
    </row>
    <row r="3626">
      <c r="A3626" s="25" t="n">
        <v>44168</v>
      </c>
      <c r="B3626" s="22">
        <f>(1+B3625)*IF(AND(Painel_diario!$H3622="EU_JD",Painel_diario!$J3622=1),EXP(Painel_diario!$L3622),1)-1</f>
        <v/>
      </c>
      <c r="C3626" s="22">
        <f>(1+C3625)*IF(AND(Painel_diario!$H3622="EU_JU",Painel_diario!$J3622=1),EXP(Painel_diario!$L3622),1)-1</f>
        <v/>
      </c>
      <c r="D3626" s="22">
        <f>(1+D3625)*IF(AND(Painel_diario!$H3622="ED_JD",Painel_diario!$J3622=1),EXP(Painel_diario!$L3622),1)-1</f>
        <v/>
      </c>
      <c r="E3626" s="22">
        <f>(1+E3625)*IF(AND(Painel_diario!$H3622="ED_JU",Painel_diario!$J3622=1),EXP(Painel_diario!$L3622),1)-1</f>
        <v/>
      </c>
    </row>
    <row r="3627">
      <c r="A3627" s="25" t="n">
        <v>44169</v>
      </c>
      <c r="B3627" s="22">
        <f>(1+B3626)*IF(AND(Painel_diario!$H3623="EU_JD",Painel_diario!$J3623=1),EXP(Painel_diario!$L3623),1)-1</f>
        <v/>
      </c>
      <c r="C3627" s="22">
        <f>(1+C3626)*IF(AND(Painel_diario!$H3623="EU_JU",Painel_diario!$J3623=1),EXP(Painel_diario!$L3623),1)-1</f>
        <v/>
      </c>
      <c r="D3627" s="22">
        <f>(1+D3626)*IF(AND(Painel_diario!$H3623="ED_JD",Painel_diario!$J3623=1),EXP(Painel_diario!$L3623),1)-1</f>
        <v/>
      </c>
      <c r="E3627" s="22">
        <f>(1+E3626)*IF(AND(Painel_diario!$H3623="ED_JU",Painel_diario!$J3623=1),EXP(Painel_diario!$L3623),1)-1</f>
        <v/>
      </c>
    </row>
    <row r="3628">
      <c r="A3628" s="25" t="n">
        <v>44172</v>
      </c>
      <c r="B3628" s="22">
        <f>(1+B3627)*IF(AND(Painel_diario!$H3624="EU_JD",Painel_diario!$J3624=1),EXP(Painel_diario!$L3624),1)-1</f>
        <v/>
      </c>
      <c r="C3628" s="22">
        <f>(1+C3627)*IF(AND(Painel_diario!$H3624="EU_JU",Painel_diario!$J3624=1),EXP(Painel_diario!$L3624),1)-1</f>
        <v/>
      </c>
      <c r="D3628" s="22">
        <f>(1+D3627)*IF(AND(Painel_diario!$H3624="ED_JD",Painel_diario!$J3624=1),EXP(Painel_diario!$L3624),1)-1</f>
        <v/>
      </c>
      <c r="E3628" s="22">
        <f>(1+E3627)*IF(AND(Painel_diario!$H3624="ED_JU",Painel_diario!$J3624=1),EXP(Painel_diario!$L3624),1)-1</f>
        <v/>
      </c>
    </row>
    <row r="3629">
      <c r="A3629" s="25" t="n">
        <v>44173</v>
      </c>
      <c r="B3629" s="22">
        <f>(1+B3628)*IF(AND(Painel_diario!$H3625="EU_JD",Painel_diario!$J3625=1),EXP(Painel_diario!$L3625),1)-1</f>
        <v/>
      </c>
      <c r="C3629" s="22">
        <f>(1+C3628)*IF(AND(Painel_diario!$H3625="EU_JU",Painel_diario!$J3625=1),EXP(Painel_diario!$L3625),1)-1</f>
        <v/>
      </c>
      <c r="D3629" s="22">
        <f>(1+D3628)*IF(AND(Painel_diario!$H3625="ED_JD",Painel_diario!$J3625=1),EXP(Painel_diario!$L3625),1)-1</f>
        <v/>
      </c>
      <c r="E3629" s="22">
        <f>(1+E3628)*IF(AND(Painel_diario!$H3625="ED_JU",Painel_diario!$J3625=1),EXP(Painel_diario!$L3625),1)-1</f>
        <v/>
      </c>
    </row>
    <row r="3630">
      <c r="A3630" s="25" t="n">
        <v>44174</v>
      </c>
      <c r="B3630" s="22">
        <f>(1+B3629)*IF(AND(Painel_diario!$H3626="EU_JD",Painel_diario!$J3626=1),EXP(Painel_diario!$L3626),1)-1</f>
        <v/>
      </c>
      <c r="C3630" s="22">
        <f>(1+C3629)*IF(AND(Painel_diario!$H3626="EU_JU",Painel_diario!$J3626=1),EXP(Painel_diario!$L3626),1)-1</f>
        <v/>
      </c>
      <c r="D3630" s="22">
        <f>(1+D3629)*IF(AND(Painel_diario!$H3626="ED_JD",Painel_diario!$J3626=1),EXP(Painel_diario!$L3626),1)-1</f>
        <v/>
      </c>
      <c r="E3630" s="22">
        <f>(1+E3629)*IF(AND(Painel_diario!$H3626="ED_JU",Painel_diario!$J3626=1),EXP(Painel_diario!$L3626),1)-1</f>
        <v/>
      </c>
    </row>
    <row r="3631">
      <c r="A3631" s="25" t="n">
        <v>44175</v>
      </c>
      <c r="B3631" s="22">
        <f>(1+B3630)*IF(AND(Painel_diario!$H3627="EU_JD",Painel_diario!$J3627=1),EXP(Painel_diario!$L3627),1)-1</f>
        <v/>
      </c>
      <c r="C3631" s="22">
        <f>(1+C3630)*IF(AND(Painel_diario!$H3627="EU_JU",Painel_diario!$J3627=1),EXP(Painel_diario!$L3627),1)-1</f>
        <v/>
      </c>
      <c r="D3631" s="22">
        <f>(1+D3630)*IF(AND(Painel_diario!$H3627="ED_JD",Painel_diario!$J3627=1),EXP(Painel_diario!$L3627),1)-1</f>
        <v/>
      </c>
      <c r="E3631" s="22">
        <f>(1+E3630)*IF(AND(Painel_diario!$H3627="ED_JU",Painel_diario!$J3627=1),EXP(Painel_diario!$L3627),1)-1</f>
        <v/>
      </c>
    </row>
    <row r="3632">
      <c r="A3632" s="25" t="n">
        <v>44176</v>
      </c>
      <c r="B3632" s="22">
        <f>(1+B3631)*IF(AND(Painel_diario!$H3628="EU_JD",Painel_diario!$J3628=1),EXP(Painel_diario!$L3628),1)-1</f>
        <v/>
      </c>
      <c r="C3632" s="22">
        <f>(1+C3631)*IF(AND(Painel_diario!$H3628="EU_JU",Painel_diario!$J3628=1),EXP(Painel_diario!$L3628),1)-1</f>
        <v/>
      </c>
      <c r="D3632" s="22">
        <f>(1+D3631)*IF(AND(Painel_diario!$H3628="ED_JD",Painel_diario!$J3628=1),EXP(Painel_diario!$L3628),1)-1</f>
        <v/>
      </c>
      <c r="E3632" s="22">
        <f>(1+E3631)*IF(AND(Painel_diario!$H3628="ED_JU",Painel_diario!$J3628=1),EXP(Painel_diario!$L3628),1)-1</f>
        <v/>
      </c>
    </row>
    <row r="3633">
      <c r="A3633" s="25" t="n">
        <v>44179</v>
      </c>
      <c r="B3633" s="22">
        <f>(1+B3632)*IF(AND(Painel_diario!$H3629="EU_JD",Painel_diario!$J3629=1),EXP(Painel_diario!$L3629),1)-1</f>
        <v/>
      </c>
      <c r="C3633" s="22">
        <f>(1+C3632)*IF(AND(Painel_diario!$H3629="EU_JU",Painel_diario!$J3629=1),EXP(Painel_diario!$L3629),1)-1</f>
        <v/>
      </c>
      <c r="D3633" s="22">
        <f>(1+D3632)*IF(AND(Painel_diario!$H3629="ED_JD",Painel_diario!$J3629=1),EXP(Painel_diario!$L3629),1)-1</f>
        <v/>
      </c>
      <c r="E3633" s="22">
        <f>(1+E3632)*IF(AND(Painel_diario!$H3629="ED_JU",Painel_diario!$J3629=1),EXP(Painel_diario!$L3629),1)-1</f>
        <v/>
      </c>
    </row>
    <row r="3634">
      <c r="A3634" s="25" t="n">
        <v>44180</v>
      </c>
      <c r="B3634" s="22">
        <f>(1+B3633)*IF(AND(Painel_diario!$H3630="EU_JD",Painel_diario!$J3630=1),EXP(Painel_diario!$L3630),1)-1</f>
        <v/>
      </c>
      <c r="C3634" s="22">
        <f>(1+C3633)*IF(AND(Painel_diario!$H3630="EU_JU",Painel_diario!$J3630=1),EXP(Painel_diario!$L3630),1)-1</f>
        <v/>
      </c>
      <c r="D3634" s="22">
        <f>(1+D3633)*IF(AND(Painel_diario!$H3630="ED_JD",Painel_diario!$J3630=1),EXP(Painel_diario!$L3630),1)-1</f>
        <v/>
      </c>
      <c r="E3634" s="22">
        <f>(1+E3633)*IF(AND(Painel_diario!$H3630="ED_JU",Painel_diario!$J3630=1),EXP(Painel_diario!$L3630),1)-1</f>
        <v/>
      </c>
    </row>
    <row r="3635">
      <c r="A3635" s="25" t="n">
        <v>44181</v>
      </c>
      <c r="B3635" s="22">
        <f>(1+B3634)*IF(AND(Painel_diario!$H3631="EU_JD",Painel_diario!$J3631=1),EXP(Painel_diario!$L3631),1)-1</f>
        <v/>
      </c>
      <c r="C3635" s="22">
        <f>(1+C3634)*IF(AND(Painel_diario!$H3631="EU_JU",Painel_diario!$J3631=1),EXP(Painel_diario!$L3631),1)-1</f>
        <v/>
      </c>
      <c r="D3635" s="22">
        <f>(1+D3634)*IF(AND(Painel_diario!$H3631="ED_JD",Painel_diario!$J3631=1),EXP(Painel_diario!$L3631),1)-1</f>
        <v/>
      </c>
      <c r="E3635" s="22">
        <f>(1+E3634)*IF(AND(Painel_diario!$H3631="ED_JU",Painel_diario!$J3631=1),EXP(Painel_diario!$L3631),1)-1</f>
        <v/>
      </c>
    </row>
    <row r="3636">
      <c r="A3636" s="25" t="n">
        <v>44182</v>
      </c>
      <c r="B3636" s="22">
        <f>(1+B3635)*IF(AND(Painel_diario!$H3632="EU_JD",Painel_diario!$J3632=1),EXP(Painel_diario!$L3632),1)-1</f>
        <v/>
      </c>
      <c r="C3636" s="22">
        <f>(1+C3635)*IF(AND(Painel_diario!$H3632="EU_JU",Painel_diario!$J3632=1),EXP(Painel_diario!$L3632),1)-1</f>
        <v/>
      </c>
      <c r="D3636" s="22">
        <f>(1+D3635)*IF(AND(Painel_diario!$H3632="ED_JD",Painel_diario!$J3632=1),EXP(Painel_diario!$L3632),1)-1</f>
        <v/>
      </c>
      <c r="E3636" s="22">
        <f>(1+E3635)*IF(AND(Painel_diario!$H3632="ED_JU",Painel_diario!$J3632=1),EXP(Painel_diario!$L3632),1)-1</f>
        <v/>
      </c>
    </row>
    <row r="3637">
      <c r="A3637" s="25" t="n">
        <v>44183</v>
      </c>
      <c r="B3637" s="22">
        <f>(1+B3636)*IF(AND(Painel_diario!$H3633="EU_JD",Painel_diario!$J3633=1),EXP(Painel_diario!$L3633),1)-1</f>
        <v/>
      </c>
      <c r="C3637" s="22">
        <f>(1+C3636)*IF(AND(Painel_diario!$H3633="EU_JU",Painel_diario!$J3633=1),EXP(Painel_diario!$L3633),1)-1</f>
        <v/>
      </c>
      <c r="D3637" s="22">
        <f>(1+D3636)*IF(AND(Painel_diario!$H3633="ED_JD",Painel_diario!$J3633=1),EXP(Painel_diario!$L3633),1)-1</f>
        <v/>
      </c>
      <c r="E3637" s="22">
        <f>(1+E3636)*IF(AND(Painel_diario!$H3633="ED_JU",Painel_diario!$J3633=1),EXP(Painel_diario!$L3633),1)-1</f>
        <v/>
      </c>
    </row>
    <row r="3638">
      <c r="A3638" s="25" t="n">
        <v>44186</v>
      </c>
      <c r="B3638" s="22">
        <f>(1+B3637)*IF(AND(Painel_diario!$H3634="EU_JD",Painel_diario!$J3634=1),EXP(Painel_diario!$L3634),1)-1</f>
        <v/>
      </c>
      <c r="C3638" s="22">
        <f>(1+C3637)*IF(AND(Painel_diario!$H3634="EU_JU",Painel_diario!$J3634=1),EXP(Painel_diario!$L3634),1)-1</f>
        <v/>
      </c>
      <c r="D3638" s="22">
        <f>(1+D3637)*IF(AND(Painel_diario!$H3634="ED_JD",Painel_diario!$J3634=1),EXP(Painel_diario!$L3634),1)-1</f>
        <v/>
      </c>
      <c r="E3638" s="22">
        <f>(1+E3637)*IF(AND(Painel_diario!$H3634="ED_JU",Painel_diario!$J3634=1),EXP(Painel_diario!$L3634),1)-1</f>
        <v/>
      </c>
    </row>
    <row r="3639">
      <c r="A3639" s="25" t="n">
        <v>44187</v>
      </c>
      <c r="B3639" s="22">
        <f>(1+B3638)*IF(AND(Painel_diario!$H3635="EU_JD",Painel_diario!$J3635=1),EXP(Painel_diario!$L3635),1)-1</f>
        <v/>
      </c>
      <c r="C3639" s="22">
        <f>(1+C3638)*IF(AND(Painel_diario!$H3635="EU_JU",Painel_diario!$J3635=1),EXP(Painel_diario!$L3635),1)-1</f>
        <v/>
      </c>
      <c r="D3639" s="22">
        <f>(1+D3638)*IF(AND(Painel_diario!$H3635="ED_JD",Painel_diario!$J3635=1),EXP(Painel_diario!$L3635),1)-1</f>
        <v/>
      </c>
      <c r="E3639" s="22">
        <f>(1+E3638)*IF(AND(Painel_diario!$H3635="ED_JU",Painel_diario!$J3635=1),EXP(Painel_diario!$L3635),1)-1</f>
        <v/>
      </c>
    </row>
    <row r="3640">
      <c r="A3640" s="25" t="n">
        <v>44188</v>
      </c>
      <c r="B3640" s="22">
        <f>(1+B3639)*IF(AND(Painel_diario!$H3636="EU_JD",Painel_diario!$J3636=1),EXP(Painel_diario!$L3636),1)-1</f>
        <v/>
      </c>
      <c r="C3640" s="22">
        <f>(1+C3639)*IF(AND(Painel_diario!$H3636="EU_JU",Painel_diario!$J3636=1),EXP(Painel_diario!$L3636),1)-1</f>
        <v/>
      </c>
      <c r="D3640" s="22">
        <f>(1+D3639)*IF(AND(Painel_diario!$H3636="ED_JD",Painel_diario!$J3636=1),EXP(Painel_diario!$L3636),1)-1</f>
        <v/>
      </c>
      <c r="E3640" s="22">
        <f>(1+E3639)*IF(AND(Painel_diario!$H3636="ED_JU",Painel_diario!$J3636=1),EXP(Painel_diario!$L3636),1)-1</f>
        <v/>
      </c>
    </row>
    <row r="3641">
      <c r="A3641" s="25" t="n">
        <v>44193</v>
      </c>
      <c r="B3641" s="22">
        <f>(1+B3640)*IF(AND(Painel_diario!$H3637="EU_JD",Painel_diario!$J3637=1),EXP(Painel_diario!$L3637),1)-1</f>
        <v/>
      </c>
      <c r="C3641" s="22">
        <f>(1+C3640)*IF(AND(Painel_diario!$H3637="EU_JU",Painel_diario!$J3637=1),EXP(Painel_diario!$L3637),1)-1</f>
        <v/>
      </c>
      <c r="D3641" s="22">
        <f>(1+D3640)*IF(AND(Painel_diario!$H3637="ED_JD",Painel_diario!$J3637=1),EXP(Painel_diario!$L3637),1)-1</f>
        <v/>
      </c>
      <c r="E3641" s="22">
        <f>(1+E3640)*IF(AND(Painel_diario!$H3637="ED_JU",Painel_diario!$J3637=1),EXP(Painel_diario!$L3637),1)-1</f>
        <v/>
      </c>
    </row>
    <row r="3642">
      <c r="A3642" s="25" t="n">
        <v>44194</v>
      </c>
      <c r="B3642" s="22">
        <f>(1+B3641)*IF(AND(Painel_diario!$H3638="EU_JD",Painel_diario!$J3638=1),EXP(Painel_diario!$L3638),1)-1</f>
        <v/>
      </c>
      <c r="C3642" s="22">
        <f>(1+C3641)*IF(AND(Painel_diario!$H3638="EU_JU",Painel_diario!$J3638=1),EXP(Painel_diario!$L3638),1)-1</f>
        <v/>
      </c>
      <c r="D3642" s="22">
        <f>(1+D3641)*IF(AND(Painel_diario!$H3638="ED_JD",Painel_diario!$J3638=1),EXP(Painel_diario!$L3638),1)-1</f>
        <v/>
      </c>
      <c r="E3642" s="22">
        <f>(1+E3641)*IF(AND(Painel_diario!$H3638="ED_JU",Painel_diario!$J3638=1),EXP(Painel_diario!$L3638),1)-1</f>
        <v/>
      </c>
    </row>
    <row r="3643">
      <c r="A3643" s="25" t="n">
        <v>44195</v>
      </c>
      <c r="B3643" s="22">
        <f>(1+B3642)*IF(AND(Painel_diario!$H3639="EU_JD",Painel_diario!$J3639=1),EXP(Painel_diario!$L3639),1)-1</f>
        <v/>
      </c>
      <c r="C3643" s="22">
        <f>(1+C3642)*IF(AND(Painel_diario!$H3639="EU_JU",Painel_diario!$J3639=1),EXP(Painel_diario!$L3639),1)-1</f>
        <v/>
      </c>
      <c r="D3643" s="22">
        <f>(1+D3642)*IF(AND(Painel_diario!$H3639="ED_JD",Painel_diario!$J3639=1),EXP(Painel_diario!$L3639),1)-1</f>
        <v/>
      </c>
      <c r="E3643" s="22">
        <f>(1+E3642)*IF(AND(Painel_diario!$H3639="ED_JU",Painel_diario!$J3639=1),EXP(Painel_diario!$L3639),1)-1</f>
        <v/>
      </c>
    </row>
    <row r="3644">
      <c r="A3644" s="25" t="n">
        <v>44200</v>
      </c>
      <c r="B3644" s="22">
        <f>(1+B3643)*IF(AND(Painel_diario!$H3640="EU_JD",Painel_diario!$J3640=1),EXP(Painel_diario!$L3640),1)-1</f>
        <v/>
      </c>
      <c r="C3644" s="22">
        <f>(1+C3643)*IF(AND(Painel_diario!$H3640="EU_JU",Painel_diario!$J3640=1),EXP(Painel_diario!$L3640),1)-1</f>
        <v/>
      </c>
      <c r="D3644" s="22">
        <f>(1+D3643)*IF(AND(Painel_diario!$H3640="ED_JD",Painel_diario!$J3640=1),EXP(Painel_diario!$L3640),1)-1</f>
        <v/>
      </c>
      <c r="E3644" s="22">
        <f>(1+E3643)*IF(AND(Painel_diario!$H3640="ED_JU",Painel_diario!$J3640=1),EXP(Painel_diario!$L3640),1)-1</f>
        <v/>
      </c>
    </row>
    <row r="3645">
      <c r="A3645" s="25" t="n">
        <v>44201</v>
      </c>
      <c r="B3645" s="22">
        <f>(1+B3644)*IF(AND(Painel_diario!$H3641="EU_JD",Painel_diario!$J3641=1),EXP(Painel_diario!$L3641),1)-1</f>
        <v/>
      </c>
      <c r="C3645" s="22">
        <f>(1+C3644)*IF(AND(Painel_diario!$H3641="EU_JU",Painel_diario!$J3641=1),EXP(Painel_diario!$L3641),1)-1</f>
        <v/>
      </c>
      <c r="D3645" s="22">
        <f>(1+D3644)*IF(AND(Painel_diario!$H3641="ED_JD",Painel_diario!$J3641=1),EXP(Painel_diario!$L3641),1)-1</f>
        <v/>
      </c>
      <c r="E3645" s="22">
        <f>(1+E3644)*IF(AND(Painel_diario!$H3641="ED_JU",Painel_diario!$J3641=1),EXP(Painel_diario!$L3641),1)-1</f>
        <v/>
      </c>
    </row>
    <row r="3646">
      <c r="A3646" s="25" t="n">
        <v>44202</v>
      </c>
      <c r="B3646" s="22">
        <f>(1+B3645)*IF(AND(Painel_diario!$H3642="EU_JD",Painel_diario!$J3642=1),EXP(Painel_diario!$L3642),1)-1</f>
        <v/>
      </c>
      <c r="C3646" s="22">
        <f>(1+C3645)*IF(AND(Painel_diario!$H3642="EU_JU",Painel_diario!$J3642=1),EXP(Painel_diario!$L3642),1)-1</f>
        <v/>
      </c>
      <c r="D3646" s="22">
        <f>(1+D3645)*IF(AND(Painel_diario!$H3642="ED_JD",Painel_diario!$J3642=1),EXP(Painel_diario!$L3642),1)-1</f>
        <v/>
      </c>
      <c r="E3646" s="22">
        <f>(1+E3645)*IF(AND(Painel_diario!$H3642="ED_JU",Painel_diario!$J3642=1),EXP(Painel_diario!$L3642),1)-1</f>
        <v/>
      </c>
    </row>
    <row r="3647">
      <c r="A3647" s="25" t="n">
        <v>44203</v>
      </c>
      <c r="B3647" s="22">
        <f>(1+B3646)*IF(AND(Painel_diario!$H3643="EU_JD",Painel_diario!$J3643=1),EXP(Painel_diario!$L3643),1)-1</f>
        <v/>
      </c>
      <c r="C3647" s="22">
        <f>(1+C3646)*IF(AND(Painel_diario!$H3643="EU_JU",Painel_diario!$J3643=1),EXP(Painel_diario!$L3643),1)-1</f>
        <v/>
      </c>
      <c r="D3647" s="22">
        <f>(1+D3646)*IF(AND(Painel_diario!$H3643="ED_JD",Painel_diario!$J3643=1),EXP(Painel_diario!$L3643),1)-1</f>
        <v/>
      </c>
      <c r="E3647" s="22">
        <f>(1+E3646)*IF(AND(Painel_diario!$H3643="ED_JU",Painel_diario!$J3643=1),EXP(Painel_diario!$L3643),1)-1</f>
        <v/>
      </c>
    </row>
    <row r="3648">
      <c r="A3648" s="25" t="n">
        <v>44204</v>
      </c>
      <c r="B3648" s="22">
        <f>(1+B3647)*IF(AND(Painel_diario!$H3644="EU_JD",Painel_diario!$J3644=1),EXP(Painel_diario!$L3644),1)-1</f>
        <v/>
      </c>
      <c r="C3648" s="22">
        <f>(1+C3647)*IF(AND(Painel_diario!$H3644="EU_JU",Painel_diario!$J3644=1),EXP(Painel_diario!$L3644),1)-1</f>
        <v/>
      </c>
      <c r="D3648" s="22">
        <f>(1+D3647)*IF(AND(Painel_diario!$H3644="ED_JD",Painel_diario!$J3644=1),EXP(Painel_diario!$L3644),1)-1</f>
        <v/>
      </c>
      <c r="E3648" s="22">
        <f>(1+E3647)*IF(AND(Painel_diario!$H3644="ED_JU",Painel_diario!$J3644=1),EXP(Painel_diario!$L3644),1)-1</f>
        <v/>
      </c>
    </row>
    <row r="3649">
      <c r="A3649" s="25" t="n">
        <v>44207</v>
      </c>
      <c r="B3649" s="22">
        <f>(1+B3648)*IF(AND(Painel_diario!$H3645="EU_JD",Painel_diario!$J3645=1),EXP(Painel_diario!$L3645),1)-1</f>
        <v/>
      </c>
      <c r="C3649" s="22">
        <f>(1+C3648)*IF(AND(Painel_diario!$H3645="EU_JU",Painel_diario!$J3645=1),EXP(Painel_diario!$L3645),1)-1</f>
        <v/>
      </c>
      <c r="D3649" s="22">
        <f>(1+D3648)*IF(AND(Painel_diario!$H3645="ED_JD",Painel_diario!$J3645=1),EXP(Painel_diario!$L3645),1)-1</f>
        <v/>
      </c>
      <c r="E3649" s="22">
        <f>(1+E3648)*IF(AND(Painel_diario!$H3645="ED_JU",Painel_diario!$J3645=1),EXP(Painel_diario!$L3645),1)-1</f>
        <v/>
      </c>
    </row>
    <row r="3650">
      <c r="A3650" s="25" t="n">
        <v>44208</v>
      </c>
      <c r="B3650" s="22">
        <f>(1+B3649)*IF(AND(Painel_diario!$H3646="EU_JD",Painel_diario!$J3646=1),EXP(Painel_diario!$L3646),1)-1</f>
        <v/>
      </c>
      <c r="C3650" s="22">
        <f>(1+C3649)*IF(AND(Painel_diario!$H3646="EU_JU",Painel_diario!$J3646=1),EXP(Painel_diario!$L3646),1)-1</f>
        <v/>
      </c>
      <c r="D3650" s="22">
        <f>(1+D3649)*IF(AND(Painel_diario!$H3646="ED_JD",Painel_diario!$J3646=1),EXP(Painel_diario!$L3646),1)-1</f>
        <v/>
      </c>
      <c r="E3650" s="22">
        <f>(1+E3649)*IF(AND(Painel_diario!$H3646="ED_JU",Painel_diario!$J3646=1),EXP(Painel_diario!$L3646),1)-1</f>
        <v/>
      </c>
    </row>
    <row r="3651">
      <c r="A3651" s="25" t="n">
        <v>44209</v>
      </c>
      <c r="B3651" s="22">
        <f>(1+B3650)*IF(AND(Painel_diario!$H3647="EU_JD",Painel_diario!$J3647=1),EXP(Painel_diario!$L3647),1)-1</f>
        <v/>
      </c>
      <c r="C3651" s="22">
        <f>(1+C3650)*IF(AND(Painel_diario!$H3647="EU_JU",Painel_diario!$J3647=1),EXP(Painel_diario!$L3647),1)-1</f>
        <v/>
      </c>
      <c r="D3651" s="22">
        <f>(1+D3650)*IF(AND(Painel_diario!$H3647="ED_JD",Painel_diario!$J3647=1),EXP(Painel_diario!$L3647),1)-1</f>
        <v/>
      </c>
      <c r="E3651" s="22">
        <f>(1+E3650)*IF(AND(Painel_diario!$H3647="ED_JU",Painel_diario!$J3647=1),EXP(Painel_diario!$L3647),1)-1</f>
        <v/>
      </c>
    </row>
    <row r="3652">
      <c r="A3652" s="25" t="n">
        <v>44210</v>
      </c>
      <c r="B3652" s="22">
        <f>(1+B3651)*IF(AND(Painel_diario!$H3648="EU_JD",Painel_diario!$J3648=1),EXP(Painel_diario!$L3648),1)-1</f>
        <v/>
      </c>
      <c r="C3652" s="22">
        <f>(1+C3651)*IF(AND(Painel_diario!$H3648="EU_JU",Painel_diario!$J3648=1),EXP(Painel_diario!$L3648),1)-1</f>
        <v/>
      </c>
      <c r="D3652" s="22">
        <f>(1+D3651)*IF(AND(Painel_diario!$H3648="ED_JD",Painel_diario!$J3648=1),EXP(Painel_diario!$L3648),1)-1</f>
        <v/>
      </c>
      <c r="E3652" s="22">
        <f>(1+E3651)*IF(AND(Painel_diario!$H3648="ED_JU",Painel_diario!$J3648=1),EXP(Painel_diario!$L3648),1)-1</f>
        <v/>
      </c>
    </row>
    <row r="3653">
      <c r="A3653" s="25" t="n">
        <v>44211</v>
      </c>
      <c r="B3653" s="22">
        <f>(1+B3652)*IF(AND(Painel_diario!$H3649="EU_JD",Painel_diario!$J3649=1),EXP(Painel_diario!$L3649),1)-1</f>
        <v/>
      </c>
      <c r="C3653" s="22">
        <f>(1+C3652)*IF(AND(Painel_diario!$H3649="EU_JU",Painel_diario!$J3649=1),EXP(Painel_diario!$L3649),1)-1</f>
        <v/>
      </c>
      <c r="D3653" s="22">
        <f>(1+D3652)*IF(AND(Painel_diario!$H3649="ED_JD",Painel_diario!$J3649=1),EXP(Painel_diario!$L3649),1)-1</f>
        <v/>
      </c>
      <c r="E3653" s="22">
        <f>(1+E3652)*IF(AND(Painel_diario!$H3649="ED_JU",Painel_diario!$J3649=1),EXP(Painel_diario!$L3649),1)-1</f>
        <v/>
      </c>
    </row>
    <row r="3654">
      <c r="A3654" s="25" t="n">
        <v>44214</v>
      </c>
      <c r="B3654" s="22">
        <f>(1+B3653)*IF(AND(Painel_diario!$H3650="EU_JD",Painel_diario!$J3650=1),EXP(Painel_diario!$L3650),1)-1</f>
        <v/>
      </c>
      <c r="C3654" s="22">
        <f>(1+C3653)*IF(AND(Painel_diario!$H3650="EU_JU",Painel_diario!$J3650=1),EXP(Painel_diario!$L3650),1)-1</f>
        <v/>
      </c>
      <c r="D3654" s="22">
        <f>(1+D3653)*IF(AND(Painel_diario!$H3650="ED_JD",Painel_diario!$J3650=1),EXP(Painel_diario!$L3650),1)-1</f>
        <v/>
      </c>
      <c r="E3654" s="22">
        <f>(1+E3653)*IF(AND(Painel_diario!$H3650="ED_JU",Painel_diario!$J3650=1),EXP(Painel_diario!$L3650),1)-1</f>
        <v/>
      </c>
    </row>
    <row r="3655">
      <c r="A3655" s="25" t="n">
        <v>44215</v>
      </c>
      <c r="B3655" s="22">
        <f>(1+B3654)*IF(AND(Painel_diario!$H3651="EU_JD",Painel_diario!$J3651=1),EXP(Painel_diario!$L3651),1)-1</f>
        <v/>
      </c>
      <c r="C3655" s="22">
        <f>(1+C3654)*IF(AND(Painel_diario!$H3651="EU_JU",Painel_diario!$J3651=1),EXP(Painel_diario!$L3651),1)-1</f>
        <v/>
      </c>
      <c r="D3655" s="22">
        <f>(1+D3654)*IF(AND(Painel_diario!$H3651="ED_JD",Painel_diario!$J3651=1),EXP(Painel_diario!$L3651),1)-1</f>
        <v/>
      </c>
      <c r="E3655" s="22">
        <f>(1+E3654)*IF(AND(Painel_diario!$H3651="ED_JU",Painel_diario!$J3651=1),EXP(Painel_diario!$L3651),1)-1</f>
        <v/>
      </c>
    </row>
    <row r="3656">
      <c r="A3656" s="25" t="n">
        <v>44216</v>
      </c>
      <c r="B3656" s="22">
        <f>(1+B3655)*IF(AND(Painel_diario!$H3652="EU_JD",Painel_diario!$J3652=1),EXP(Painel_diario!$L3652),1)-1</f>
        <v/>
      </c>
      <c r="C3656" s="22">
        <f>(1+C3655)*IF(AND(Painel_diario!$H3652="EU_JU",Painel_diario!$J3652=1),EXP(Painel_diario!$L3652),1)-1</f>
        <v/>
      </c>
      <c r="D3656" s="22">
        <f>(1+D3655)*IF(AND(Painel_diario!$H3652="ED_JD",Painel_diario!$J3652=1),EXP(Painel_diario!$L3652),1)-1</f>
        <v/>
      </c>
      <c r="E3656" s="22">
        <f>(1+E3655)*IF(AND(Painel_diario!$H3652="ED_JU",Painel_diario!$J3652=1),EXP(Painel_diario!$L3652),1)-1</f>
        <v/>
      </c>
    </row>
    <row r="3657">
      <c r="A3657" s="25" t="n">
        <v>44217</v>
      </c>
      <c r="B3657" s="22">
        <f>(1+B3656)*IF(AND(Painel_diario!$H3653="EU_JD",Painel_diario!$J3653=1),EXP(Painel_diario!$L3653),1)-1</f>
        <v/>
      </c>
      <c r="C3657" s="22">
        <f>(1+C3656)*IF(AND(Painel_diario!$H3653="EU_JU",Painel_diario!$J3653=1),EXP(Painel_diario!$L3653),1)-1</f>
        <v/>
      </c>
      <c r="D3657" s="22">
        <f>(1+D3656)*IF(AND(Painel_diario!$H3653="ED_JD",Painel_diario!$J3653=1),EXP(Painel_diario!$L3653),1)-1</f>
        <v/>
      </c>
      <c r="E3657" s="22">
        <f>(1+E3656)*IF(AND(Painel_diario!$H3653="ED_JU",Painel_diario!$J3653=1),EXP(Painel_diario!$L3653),1)-1</f>
        <v/>
      </c>
    </row>
    <row r="3658">
      <c r="A3658" s="25" t="n">
        <v>44218</v>
      </c>
      <c r="B3658" s="22">
        <f>(1+B3657)*IF(AND(Painel_diario!$H3654="EU_JD",Painel_diario!$J3654=1),EXP(Painel_diario!$L3654),1)-1</f>
        <v/>
      </c>
      <c r="C3658" s="22">
        <f>(1+C3657)*IF(AND(Painel_diario!$H3654="EU_JU",Painel_diario!$J3654=1),EXP(Painel_diario!$L3654),1)-1</f>
        <v/>
      </c>
      <c r="D3658" s="22">
        <f>(1+D3657)*IF(AND(Painel_diario!$H3654="ED_JD",Painel_diario!$J3654=1),EXP(Painel_diario!$L3654),1)-1</f>
        <v/>
      </c>
      <c r="E3658" s="22">
        <f>(1+E3657)*IF(AND(Painel_diario!$H3654="ED_JU",Painel_diario!$J3654=1),EXP(Painel_diario!$L3654),1)-1</f>
        <v/>
      </c>
    </row>
    <row r="3659">
      <c r="A3659" s="25" t="n">
        <v>44222</v>
      </c>
      <c r="B3659" s="22">
        <f>(1+B3658)*IF(AND(Painel_diario!$H3655="EU_JD",Painel_diario!$J3655=1),EXP(Painel_diario!$L3655),1)-1</f>
        <v/>
      </c>
      <c r="C3659" s="22">
        <f>(1+C3658)*IF(AND(Painel_diario!$H3655="EU_JU",Painel_diario!$J3655=1),EXP(Painel_diario!$L3655),1)-1</f>
        <v/>
      </c>
      <c r="D3659" s="22">
        <f>(1+D3658)*IF(AND(Painel_diario!$H3655="ED_JD",Painel_diario!$J3655=1),EXP(Painel_diario!$L3655),1)-1</f>
        <v/>
      </c>
      <c r="E3659" s="22">
        <f>(1+E3658)*IF(AND(Painel_diario!$H3655="ED_JU",Painel_diario!$J3655=1),EXP(Painel_diario!$L3655),1)-1</f>
        <v/>
      </c>
    </row>
    <row r="3660">
      <c r="A3660" s="25" t="n">
        <v>44223</v>
      </c>
      <c r="B3660" s="22">
        <f>(1+B3659)*IF(AND(Painel_diario!$H3656="EU_JD",Painel_diario!$J3656=1),EXP(Painel_diario!$L3656),1)-1</f>
        <v/>
      </c>
      <c r="C3660" s="22">
        <f>(1+C3659)*IF(AND(Painel_diario!$H3656="EU_JU",Painel_diario!$J3656=1),EXP(Painel_diario!$L3656),1)-1</f>
        <v/>
      </c>
      <c r="D3660" s="22">
        <f>(1+D3659)*IF(AND(Painel_diario!$H3656="ED_JD",Painel_diario!$J3656=1),EXP(Painel_diario!$L3656),1)-1</f>
        <v/>
      </c>
      <c r="E3660" s="22">
        <f>(1+E3659)*IF(AND(Painel_diario!$H3656="ED_JU",Painel_diario!$J3656=1),EXP(Painel_diario!$L3656),1)-1</f>
        <v/>
      </c>
    </row>
    <row r="3661">
      <c r="A3661" s="25" t="n">
        <v>44224</v>
      </c>
      <c r="B3661" s="22">
        <f>(1+B3660)*IF(AND(Painel_diario!$H3657="EU_JD",Painel_diario!$J3657=1),EXP(Painel_diario!$L3657),1)-1</f>
        <v/>
      </c>
      <c r="C3661" s="22">
        <f>(1+C3660)*IF(AND(Painel_diario!$H3657="EU_JU",Painel_diario!$J3657=1),EXP(Painel_diario!$L3657),1)-1</f>
        <v/>
      </c>
      <c r="D3661" s="22">
        <f>(1+D3660)*IF(AND(Painel_diario!$H3657="ED_JD",Painel_diario!$J3657=1),EXP(Painel_diario!$L3657),1)-1</f>
        <v/>
      </c>
      <c r="E3661" s="22">
        <f>(1+E3660)*IF(AND(Painel_diario!$H3657="ED_JU",Painel_diario!$J3657=1),EXP(Painel_diario!$L3657),1)-1</f>
        <v/>
      </c>
    </row>
    <row r="3662">
      <c r="A3662" s="25" t="n">
        <v>44225</v>
      </c>
      <c r="B3662" s="22">
        <f>(1+B3661)*IF(AND(Painel_diario!$H3658="EU_JD",Painel_diario!$J3658=1),EXP(Painel_diario!$L3658),1)-1</f>
        <v/>
      </c>
      <c r="C3662" s="22">
        <f>(1+C3661)*IF(AND(Painel_diario!$H3658="EU_JU",Painel_diario!$J3658=1),EXP(Painel_diario!$L3658),1)-1</f>
        <v/>
      </c>
      <c r="D3662" s="22">
        <f>(1+D3661)*IF(AND(Painel_diario!$H3658="ED_JD",Painel_diario!$J3658=1),EXP(Painel_diario!$L3658),1)-1</f>
        <v/>
      </c>
      <c r="E3662" s="22">
        <f>(1+E3661)*IF(AND(Painel_diario!$H3658="ED_JU",Painel_diario!$J3658=1),EXP(Painel_diario!$L3658),1)-1</f>
        <v/>
      </c>
    </row>
    <row r="3663">
      <c r="A3663" s="25" t="n">
        <v>44228</v>
      </c>
      <c r="B3663" s="22">
        <f>(1+B3662)*IF(AND(Painel_diario!$H3659="EU_JD",Painel_diario!$J3659=1),EXP(Painel_diario!$L3659),1)-1</f>
        <v/>
      </c>
      <c r="C3663" s="22">
        <f>(1+C3662)*IF(AND(Painel_diario!$H3659="EU_JU",Painel_diario!$J3659=1),EXP(Painel_diario!$L3659),1)-1</f>
        <v/>
      </c>
      <c r="D3663" s="22">
        <f>(1+D3662)*IF(AND(Painel_diario!$H3659="ED_JD",Painel_diario!$J3659=1),EXP(Painel_diario!$L3659),1)-1</f>
        <v/>
      </c>
      <c r="E3663" s="22">
        <f>(1+E3662)*IF(AND(Painel_diario!$H3659="ED_JU",Painel_diario!$J3659=1),EXP(Painel_diario!$L3659),1)-1</f>
        <v/>
      </c>
    </row>
    <row r="3664">
      <c r="A3664" s="25" t="n">
        <v>44229</v>
      </c>
      <c r="B3664" s="22">
        <f>(1+B3663)*IF(AND(Painel_diario!$H3660="EU_JD",Painel_diario!$J3660=1),EXP(Painel_diario!$L3660),1)-1</f>
        <v/>
      </c>
      <c r="C3664" s="22">
        <f>(1+C3663)*IF(AND(Painel_diario!$H3660="EU_JU",Painel_diario!$J3660=1),EXP(Painel_diario!$L3660),1)-1</f>
        <v/>
      </c>
      <c r="D3664" s="22">
        <f>(1+D3663)*IF(AND(Painel_diario!$H3660="ED_JD",Painel_diario!$J3660=1),EXP(Painel_diario!$L3660),1)-1</f>
        <v/>
      </c>
      <c r="E3664" s="22">
        <f>(1+E3663)*IF(AND(Painel_diario!$H3660="ED_JU",Painel_diario!$J3660=1),EXP(Painel_diario!$L3660),1)-1</f>
        <v/>
      </c>
    </row>
    <row r="3665">
      <c r="A3665" s="25" t="n">
        <v>44230</v>
      </c>
      <c r="B3665" s="22">
        <f>(1+B3664)*IF(AND(Painel_diario!$H3661="EU_JD",Painel_diario!$J3661=1),EXP(Painel_diario!$L3661),1)-1</f>
        <v/>
      </c>
      <c r="C3665" s="22">
        <f>(1+C3664)*IF(AND(Painel_diario!$H3661="EU_JU",Painel_diario!$J3661=1),EXP(Painel_diario!$L3661),1)-1</f>
        <v/>
      </c>
      <c r="D3665" s="22">
        <f>(1+D3664)*IF(AND(Painel_diario!$H3661="ED_JD",Painel_diario!$J3661=1),EXP(Painel_diario!$L3661),1)-1</f>
        <v/>
      </c>
      <c r="E3665" s="22">
        <f>(1+E3664)*IF(AND(Painel_diario!$H3661="ED_JU",Painel_diario!$J3661=1),EXP(Painel_diario!$L3661),1)-1</f>
        <v/>
      </c>
    </row>
    <row r="3666">
      <c r="A3666" s="25" t="n">
        <v>44231</v>
      </c>
      <c r="B3666" s="22">
        <f>(1+B3665)*IF(AND(Painel_diario!$H3662="EU_JD",Painel_diario!$J3662=1),EXP(Painel_diario!$L3662),1)-1</f>
        <v/>
      </c>
      <c r="C3666" s="22">
        <f>(1+C3665)*IF(AND(Painel_diario!$H3662="EU_JU",Painel_diario!$J3662=1),EXP(Painel_diario!$L3662),1)-1</f>
        <v/>
      </c>
      <c r="D3666" s="22">
        <f>(1+D3665)*IF(AND(Painel_diario!$H3662="ED_JD",Painel_diario!$J3662=1),EXP(Painel_diario!$L3662),1)-1</f>
        <v/>
      </c>
      <c r="E3666" s="22">
        <f>(1+E3665)*IF(AND(Painel_diario!$H3662="ED_JU",Painel_diario!$J3662=1),EXP(Painel_diario!$L3662),1)-1</f>
        <v/>
      </c>
    </row>
    <row r="3667">
      <c r="A3667" s="25" t="n">
        <v>44232</v>
      </c>
      <c r="B3667" s="22">
        <f>(1+B3666)*IF(AND(Painel_diario!$H3663="EU_JD",Painel_diario!$J3663=1),EXP(Painel_diario!$L3663),1)-1</f>
        <v/>
      </c>
      <c r="C3667" s="22">
        <f>(1+C3666)*IF(AND(Painel_diario!$H3663="EU_JU",Painel_diario!$J3663=1),EXP(Painel_diario!$L3663),1)-1</f>
        <v/>
      </c>
      <c r="D3667" s="22">
        <f>(1+D3666)*IF(AND(Painel_diario!$H3663="ED_JD",Painel_diario!$J3663=1),EXP(Painel_diario!$L3663),1)-1</f>
        <v/>
      </c>
      <c r="E3667" s="22">
        <f>(1+E3666)*IF(AND(Painel_diario!$H3663="ED_JU",Painel_diario!$J3663=1),EXP(Painel_diario!$L3663),1)-1</f>
        <v/>
      </c>
    </row>
    <row r="3668">
      <c r="A3668" s="25" t="n">
        <v>44235</v>
      </c>
      <c r="B3668" s="22">
        <f>(1+B3667)*IF(AND(Painel_diario!$H3664="EU_JD",Painel_diario!$J3664=1),EXP(Painel_diario!$L3664),1)-1</f>
        <v/>
      </c>
      <c r="C3668" s="22">
        <f>(1+C3667)*IF(AND(Painel_diario!$H3664="EU_JU",Painel_diario!$J3664=1),EXP(Painel_diario!$L3664),1)-1</f>
        <v/>
      </c>
      <c r="D3668" s="22">
        <f>(1+D3667)*IF(AND(Painel_diario!$H3664="ED_JD",Painel_diario!$J3664=1),EXP(Painel_diario!$L3664),1)-1</f>
        <v/>
      </c>
      <c r="E3668" s="22">
        <f>(1+E3667)*IF(AND(Painel_diario!$H3664="ED_JU",Painel_diario!$J3664=1),EXP(Painel_diario!$L3664),1)-1</f>
        <v/>
      </c>
    </row>
    <row r="3669">
      <c r="A3669" s="25" t="n">
        <v>44236</v>
      </c>
      <c r="B3669" s="22">
        <f>(1+B3668)*IF(AND(Painel_diario!$H3665="EU_JD",Painel_diario!$J3665=1),EXP(Painel_diario!$L3665),1)-1</f>
        <v/>
      </c>
      <c r="C3669" s="22">
        <f>(1+C3668)*IF(AND(Painel_diario!$H3665="EU_JU",Painel_diario!$J3665=1),EXP(Painel_diario!$L3665),1)-1</f>
        <v/>
      </c>
      <c r="D3669" s="22">
        <f>(1+D3668)*IF(AND(Painel_diario!$H3665="ED_JD",Painel_diario!$J3665=1),EXP(Painel_diario!$L3665),1)-1</f>
        <v/>
      </c>
      <c r="E3669" s="22">
        <f>(1+E3668)*IF(AND(Painel_diario!$H3665="ED_JU",Painel_diario!$J3665=1),EXP(Painel_diario!$L3665),1)-1</f>
        <v/>
      </c>
    </row>
    <row r="3670">
      <c r="A3670" s="25" t="n">
        <v>44237</v>
      </c>
      <c r="B3670" s="22">
        <f>(1+B3669)*IF(AND(Painel_diario!$H3666="EU_JD",Painel_diario!$J3666=1),EXP(Painel_diario!$L3666),1)-1</f>
        <v/>
      </c>
      <c r="C3670" s="22">
        <f>(1+C3669)*IF(AND(Painel_diario!$H3666="EU_JU",Painel_diario!$J3666=1),EXP(Painel_diario!$L3666),1)-1</f>
        <v/>
      </c>
      <c r="D3670" s="22">
        <f>(1+D3669)*IF(AND(Painel_diario!$H3666="ED_JD",Painel_diario!$J3666=1),EXP(Painel_diario!$L3666),1)-1</f>
        <v/>
      </c>
      <c r="E3670" s="22">
        <f>(1+E3669)*IF(AND(Painel_diario!$H3666="ED_JU",Painel_diario!$J3666=1),EXP(Painel_diario!$L3666),1)-1</f>
        <v/>
      </c>
    </row>
    <row r="3671">
      <c r="A3671" s="25" t="n">
        <v>44238</v>
      </c>
      <c r="B3671" s="22">
        <f>(1+B3670)*IF(AND(Painel_diario!$H3667="EU_JD",Painel_diario!$J3667=1),EXP(Painel_diario!$L3667),1)-1</f>
        <v/>
      </c>
      <c r="C3671" s="22">
        <f>(1+C3670)*IF(AND(Painel_diario!$H3667="EU_JU",Painel_diario!$J3667=1),EXP(Painel_diario!$L3667),1)-1</f>
        <v/>
      </c>
      <c r="D3671" s="22">
        <f>(1+D3670)*IF(AND(Painel_diario!$H3667="ED_JD",Painel_diario!$J3667=1),EXP(Painel_diario!$L3667),1)-1</f>
        <v/>
      </c>
      <c r="E3671" s="22">
        <f>(1+E3670)*IF(AND(Painel_diario!$H3667="ED_JU",Painel_diario!$J3667=1),EXP(Painel_diario!$L3667),1)-1</f>
        <v/>
      </c>
    </row>
    <row r="3672">
      <c r="A3672" s="25" t="n">
        <v>44239</v>
      </c>
      <c r="B3672" s="22">
        <f>(1+B3671)*IF(AND(Painel_diario!$H3668="EU_JD",Painel_diario!$J3668=1),EXP(Painel_diario!$L3668),1)-1</f>
        <v/>
      </c>
      <c r="C3672" s="22">
        <f>(1+C3671)*IF(AND(Painel_diario!$H3668="EU_JU",Painel_diario!$J3668=1),EXP(Painel_diario!$L3668),1)-1</f>
        <v/>
      </c>
      <c r="D3672" s="22">
        <f>(1+D3671)*IF(AND(Painel_diario!$H3668="ED_JD",Painel_diario!$J3668=1),EXP(Painel_diario!$L3668),1)-1</f>
        <v/>
      </c>
      <c r="E3672" s="22">
        <f>(1+E3671)*IF(AND(Painel_diario!$H3668="ED_JU",Painel_diario!$J3668=1),EXP(Painel_diario!$L3668),1)-1</f>
        <v/>
      </c>
    </row>
    <row r="3673">
      <c r="A3673" s="25" t="n">
        <v>44244</v>
      </c>
      <c r="B3673" s="22">
        <f>(1+B3672)*IF(AND(Painel_diario!$H3669="EU_JD",Painel_diario!$J3669=1),EXP(Painel_diario!$L3669),1)-1</f>
        <v/>
      </c>
      <c r="C3673" s="22">
        <f>(1+C3672)*IF(AND(Painel_diario!$H3669="EU_JU",Painel_diario!$J3669=1),EXP(Painel_diario!$L3669),1)-1</f>
        <v/>
      </c>
      <c r="D3673" s="22">
        <f>(1+D3672)*IF(AND(Painel_diario!$H3669="ED_JD",Painel_diario!$J3669=1),EXP(Painel_diario!$L3669),1)-1</f>
        <v/>
      </c>
      <c r="E3673" s="22">
        <f>(1+E3672)*IF(AND(Painel_diario!$H3669="ED_JU",Painel_diario!$J3669=1),EXP(Painel_diario!$L3669),1)-1</f>
        <v/>
      </c>
    </row>
    <row r="3674">
      <c r="A3674" s="25" t="n">
        <v>44245</v>
      </c>
      <c r="B3674" s="22">
        <f>(1+B3673)*IF(AND(Painel_diario!$H3670="EU_JD",Painel_diario!$J3670=1),EXP(Painel_diario!$L3670),1)-1</f>
        <v/>
      </c>
      <c r="C3674" s="22">
        <f>(1+C3673)*IF(AND(Painel_diario!$H3670="EU_JU",Painel_diario!$J3670=1),EXP(Painel_diario!$L3670),1)-1</f>
        <v/>
      </c>
      <c r="D3674" s="22">
        <f>(1+D3673)*IF(AND(Painel_diario!$H3670="ED_JD",Painel_diario!$J3670=1),EXP(Painel_diario!$L3670),1)-1</f>
        <v/>
      </c>
      <c r="E3674" s="22">
        <f>(1+E3673)*IF(AND(Painel_diario!$H3670="ED_JU",Painel_diario!$J3670=1),EXP(Painel_diario!$L3670),1)-1</f>
        <v/>
      </c>
    </row>
    <row r="3675">
      <c r="A3675" s="25" t="n">
        <v>44246</v>
      </c>
      <c r="B3675" s="22">
        <f>(1+B3674)*IF(AND(Painel_diario!$H3671="EU_JD",Painel_diario!$J3671=1),EXP(Painel_diario!$L3671),1)-1</f>
        <v/>
      </c>
      <c r="C3675" s="22">
        <f>(1+C3674)*IF(AND(Painel_diario!$H3671="EU_JU",Painel_diario!$J3671=1),EXP(Painel_diario!$L3671),1)-1</f>
        <v/>
      </c>
      <c r="D3675" s="22">
        <f>(1+D3674)*IF(AND(Painel_diario!$H3671="ED_JD",Painel_diario!$J3671=1),EXP(Painel_diario!$L3671),1)-1</f>
        <v/>
      </c>
      <c r="E3675" s="22">
        <f>(1+E3674)*IF(AND(Painel_diario!$H3671="ED_JU",Painel_diario!$J3671=1),EXP(Painel_diario!$L3671),1)-1</f>
        <v/>
      </c>
    </row>
    <row r="3676">
      <c r="A3676" s="25" t="n">
        <v>44249</v>
      </c>
      <c r="B3676" s="22">
        <f>(1+B3675)*IF(AND(Painel_diario!$H3672="EU_JD",Painel_diario!$J3672=1),EXP(Painel_diario!$L3672),1)-1</f>
        <v/>
      </c>
      <c r="C3676" s="22">
        <f>(1+C3675)*IF(AND(Painel_diario!$H3672="EU_JU",Painel_diario!$J3672=1),EXP(Painel_diario!$L3672),1)-1</f>
        <v/>
      </c>
      <c r="D3676" s="22">
        <f>(1+D3675)*IF(AND(Painel_diario!$H3672="ED_JD",Painel_diario!$J3672=1),EXP(Painel_diario!$L3672),1)-1</f>
        <v/>
      </c>
      <c r="E3676" s="22">
        <f>(1+E3675)*IF(AND(Painel_diario!$H3672="ED_JU",Painel_diario!$J3672=1),EXP(Painel_diario!$L3672),1)-1</f>
        <v/>
      </c>
    </row>
    <row r="3677">
      <c r="A3677" s="25" t="n">
        <v>44250</v>
      </c>
      <c r="B3677" s="22">
        <f>(1+B3676)*IF(AND(Painel_diario!$H3673="EU_JD",Painel_diario!$J3673=1),EXP(Painel_diario!$L3673),1)-1</f>
        <v/>
      </c>
      <c r="C3677" s="22">
        <f>(1+C3676)*IF(AND(Painel_diario!$H3673="EU_JU",Painel_diario!$J3673=1),EXP(Painel_diario!$L3673),1)-1</f>
        <v/>
      </c>
      <c r="D3677" s="22">
        <f>(1+D3676)*IF(AND(Painel_diario!$H3673="ED_JD",Painel_diario!$J3673=1),EXP(Painel_diario!$L3673),1)-1</f>
        <v/>
      </c>
      <c r="E3677" s="22">
        <f>(1+E3676)*IF(AND(Painel_diario!$H3673="ED_JU",Painel_diario!$J3673=1),EXP(Painel_diario!$L3673),1)-1</f>
        <v/>
      </c>
    </row>
    <row r="3678">
      <c r="A3678" s="25" t="n">
        <v>44251</v>
      </c>
      <c r="B3678" s="22">
        <f>(1+B3677)*IF(AND(Painel_diario!$H3674="EU_JD",Painel_diario!$J3674=1),EXP(Painel_diario!$L3674),1)-1</f>
        <v/>
      </c>
      <c r="C3678" s="22">
        <f>(1+C3677)*IF(AND(Painel_diario!$H3674="EU_JU",Painel_diario!$J3674=1),EXP(Painel_diario!$L3674),1)-1</f>
        <v/>
      </c>
      <c r="D3678" s="22">
        <f>(1+D3677)*IF(AND(Painel_diario!$H3674="ED_JD",Painel_diario!$J3674=1),EXP(Painel_diario!$L3674),1)-1</f>
        <v/>
      </c>
      <c r="E3678" s="22">
        <f>(1+E3677)*IF(AND(Painel_diario!$H3674="ED_JU",Painel_diario!$J3674=1),EXP(Painel_diario!$L3674),1)-1</f>
        <v/>
      </c>
    </row>
    <row r="3679">
      <c r="A3679" s="25" t="n">
        <v>44252</v>
      </c>
      <c r="B3679" s="22">
        <f>(1+B3678)*IF(AND(Painel_diario!$H3675="EU_JD",Painel_diario!$J3675=1),EXP(Painel_diario!$L3675),1)-1</f>
        <v/>
      </c>
      <c r="C3679" s="22">
        <f>(1+C3678)*IF(AND(Painel_diario!$H3675="EU_JU",Painel_diario!$J3675=1),EXP(Painel_diario!$L3675),1)-1</f>
        <v/>
      </c>
      <c r="D3679" s="22">
        <f>(1+D3678)*IF(AND(Painel_diario!$H3675="ED_JD",Painel_diario!$J3675=1),EXP(Painel_diario!$L3675),1)-1</f>
        <v/>
      </c>
      <c r="E3679" s="22">
        <f>(1+E3678)*IF(AND(Painel_diario!$H3675="ED_JU",Painel_diario!$J3675=1),EXP(Painel_diario!$L3675),1)-1</f>
        <v/>
      </c>
    </row>
    <row r="3680">
      <c r="A3680" s="25" t="n">
        <v>44253</v>
      </c>
      <c r="B3680" s="22">
        <f>(1+B3679)*IF(AND(Painel_diario!$H3676="EU_JD",Painel_diario!$J3676=1),EXP(Painel_diario!$L3676),1)-1</f>
        <v/>
      </c>
      <c r="C3680" s="22">
        <f>(1+C3679)*IF(AND(Painel_diario!$H3676="EU_JU",Painel_diario!$J3676=1),EXP(Painel_diario!$L3676),1)-1</f>
        <v/>
      </c>
      <c r="D3680" s="22">
        <f>(1+D3679)*IF(AND(Painel_diario!$H3676="ED_JD",Painel_diario!$J3676=1),EXP(Painel_diario!$L3676),1)-1</f>
        <v/>
      </c>
      <c r="E3680" s="22">
        <f>(1+E3679)*IF(AND(Painel_diario!$H3676="ED_JU",Painel_diario!$J3676=1),EXP(Painel_diario!$L3676),1)-1</f>
        <v/>
      </c>
    </row>
    <row r="3681">
      <c r="A3681" s="25" t="n">
        <v>44256</v>
      </c>
      <c r="B3681" s="22">
        <f>(1+B3680)*IF(AND(Painel_diario!$H3677="EU_JD",Painel_diario!$J3677=1),EXP(Painel_diario!$L3677),1)-1</f>
        <v/>
      </c>
      <c r="C3681" s="22">
        <f>(1+C3680)*IF(AND(Painel_diario!$H3677="EU_JU",Painel_diario!$J3677=1),EXP(Painel_diario!$L3677),1)-1</f>
        <v/>
      </c>
      <c r="D3681" s="22">
        <f>(1+D3680)*IF(AND(Painel_diario!$H3677="ED_JD",Painel_diario!$J3677=1),EXP(Painel_diario!$L3677),1)-1</f>
        <v/>
      </c>
      <c r="E3681" s="22">
        <f>(1+E3680)*IF(AND(Painel_diario!$H3677="ED_JU",Painel_diario!$J3677=1),EXP(Painel_diario!$L3677),1)-1</f>
        <v/>
      </c>
    </row>
    <row r="3682">
      <c r="A3682" s="25" t="n">
        <v>44257</v>
      </c>
      <c r="B3682" s="22">
        <f>(1+B3681)*IF(AND(Painel_diario!$H3678="EU_JD",Painel_diario!$J3678=1),EXP(Painel_diario!$L3678),1)-1</f>
        <v/>
      </c>
      <c r="C3682" s="22">
        <f>(1+C3681)*IF(AND(Painel_diario!$H3678="EU_JU",Painel_diario!$J3678=1),EXP(Painel_diario!$L3678),1)-1</f>
        <v/>
      </c>
      <c r="D3682" s="22">
        <f>(1+D3681)*IF(AND(Painel_diario!$H3678="ED_JD",Painel_diario!$J3678=1),EXP(Painel_diario!$L3678),1)-1</f>
        <v/>
      </c>
      <c r="E3682" s="22">
        <f>(1+E3681)*IF(AND(Painel_diario!$H3678="ED_JU",Painel_diario!$J3678=1),EXP(Painel_diario!$L3678),1)-1</f>
        <v/>
      </c>
    </row>
    <row r="3683">
      <c r="A3683" s="25" t="n">
        <v>44258</v>
      </c>
      <c r="B3683" s="22">
        <f>(1+B3682)*IF(AND(Painel_diario!$H3679="EU_JD",Painel_diario!$J3679=1),EXP(Painel_diario!$L3679),1)-1</f>
        <v/>
      </c>
      <c r="C3683" s="22">
        <f>(1+C3682)*IF(AND(Painel_diario!$H3679="EU_JU",Painel_diario!$J3679=1),EXP(Painel_diario!$L3679),1)-1</f>
        <v/>
      </c>
      <c r="D3683" s="22">
        <f>(1+D3682)*IF(AND(Painel_diario!$H3679="ED_JD",Painel_diario!$J3679=1),EXP(Painel_diario!$L3679),1)-1</f>
        <v/>
      </c>
      <c r="E3683" s="22">
        <f>(1+E3682)*IF(AND(Painel_diario!$H3679="ED_JU",Painel_diario!$J3679=1),EXP(Painel_diario!$L3679),1)-1</f>
        <v/>
      </c>
    </row>
    <row r="3684">
      <c r="A3684" s="25" t="n">
        <v>44259</v>
      </c>
      <c r="B3684" s="22">
        <f>(1+B3683)*IF(AND(Painel_diario!$H3680="EU_JD",Painel_diario!$J3680=1),EXP(Painel_diario!$L3680),1)-1</f>
        <v/>
      </c>
      <c r="C3684" s="22">
        <f>(1+C3683)*IF(AND(Painel_diario!$H3680="EU_JU",Painel_diario!$J3680=1),EXP(Painel_diario!$L3680),1)-1</f>
        <v/>
      </c>
      <c r="D3684" s="22">
        <f>(1+D3683)*IF(AND(Painel_diario!$H3680="ED_JD",Painel_diario!$J3680=1),EXP(Painel_diario!$L3680),1)-1</f>
        <v/>
      </c>
      <c r="E3684" s="22">
        <f>(1+E3683)*IF(AND(Painel_diario!$H3680="ED_JU",Painel_diario!$J3680=1),EXP(Painel_diario!$L3680),1)-1</f>
        <v/>
      </c>
    </row>
    <row r="3685">
      <c r="A3685" s="25" t="n">
        <v>44260</v>
      </c>
      <c r="B3685" s="22">
        <f>(1+B3684)*IF(AND(Painel_diario!$H3681="EU_JD",Painel_diario!$J3681=1),EXP(Painel_diario!$L3681),1)-1</f>
        <v/>
      </c>
      <c r="C3685" s="22">
        <f>(1+C3684)*IF(AND(Painel_diario!$H3681="EU_JU",Painel_diario!$J3681=1),EXP(Painel_diario!$L3681),1)-1</f>
        <v/>
      </c>
      <c r="D3685" s="22">
        <f>(1+D3684)*IF(AND(Painel_diario!$H3681="ED_JD",Painel_diario!$J3681=1),EXP(Painel_diario!$L3681),1)-1</f>
        <v/>
      </c>
      <c r="E3685" s="22">
        <f>(1+E3684)*IF(AND(Painel_diario!$H3681="ED_JU",Painel_diario!$J3681=1),EXP(Painel_diario!$L3681),1)-1</f>
        <v/>
      </c>
    </row>
    <row r="3686">
      <c r="A3686" s="25" t="n">
        <v>44263</v>
      </c>
      <c r="B3686" s="22">
        <f>(1+B3685)*IF(AND(Painel_diario!$H3682="EU_JD",Painel_diario!$J3682=1),EXP(Painel_diario!$L3682),1)-1</f>
        <v/>
      </c>
      <c r="C3686" s="22">
        <f>(1+C3685)*IF(AND(Painel_diario!$H3682="EU_JU",Painel_diario!$J3682=1),EXP(Painel_diario!$L3682),1)-1</f>
        <v/>
      </c>
      <c r="D3686" s="22">
        <f>(1+D3685)*IF(AND(Painel_diario!$H3682="ED_JD",Painel_diario!$J3682=1),EXP(Painel_diario!$L3682),1)-1</f>
        <v/>
      </c>
      <c r="E3686" s="22">
        <f>(1+E3685)*IF(AND(Painel_diario!$H3682="ED_JU",Painel_diario!$J3682=1),EXP(Painel_diario!$L3682),1)-1</f>
        <v/>
      </c>
    </row>
    <row r="3687">
      <c r="A3687" s="25" t="n">
        <v>44264</v>
      </c>
      <c r="B3687" s="22">
        <f>(1+B3686)*IF(AND(Painel_diario!$H3683="EU_JD",Painel_diario!$J3683=1),EXP(Painel_diario!$L3683),1)-1</f>
        <v/>
      </c>
      <c r="C3687" s="22">
        <f>(1+C3686)*IF(AND(Painel_diario!$H3683="EU_JU",Painel_diario!$J3683=1),EXP(Painel_diario!$L3683),1)-1</f>
        <v/>
      </c>
      <c r="D3687" s="22">
        <f>(1+D3686)*IF(AND(Painel_diario!$H3683="ED_JD",Painel_diario!$J3683=1),EXP(Painel_diario!$L3683),1)-1</f>
        <v/>
      </c>
      <c r="E3687" s="22">
        <f>(1+E3686)*IF(AND(Painel_diario!$H3683="ED_JU",Painel_diario!$J3683=1),EXP(Painel_diario!$L3683),1)-1</f>
        <v/>
      </c>
    </row>
    <row r="3688">
      <c r="A3688" s="25" t="n">
        <v>44265</v>
      </c>
      <c r="B3688" s="22">
        <f>(1+B3687)*IF(AND(Painel_diario!$H3684="EU_JD",Painel_diario!$J3684=1),EXP(Painel_diario!$L3684),1)-1</f>
        <v/>
      </c>
      <c r="C3688" s="22">
        <f>(1+C3687)*IF(AND(Painel_diario!$H3684="EU_JU",Painel_diario!$J3684=1),EXP(Painel_diario!$L3684),1)-1</f>
        <v/>
      </c>
      <c r="D3688" s="22">
        <f>(1+D3687)*IF(AND(Painel_diario!$H3684="ED_JD",Painel_diario!$J3684=1),EXP(Painel_diario!$L3684),1)-1</f>
        <v/>
      </c>
      <c r="E3688" s="22">
        <f>(1+E3687)*IF(AND(Painel_diario!$H3684="ED_JU",Painel_diario!$J3684=1),EXP(Painel_diario!$L3684),1)-1</f>
        <v/>
      </c>
    </row>
    <row r="3689">
      <c r="A3689" s="25" t="n">
        <v>44266</v>
      </c>
      <c r="B3689" s="22">
        <f>(1+B3688)*IF(AND(Painel_diario!$H3685="EU_JD",Painel_diario!$J3685=1),EXP(Painel_diario!$L3685),1)-1</f>
        <v/>
      </c>
      <c r="C3689" s="22">
        <f>(1+C3688)*IF(AND(Painel_diario!$H3685="EU_JU",Painel_diario!$J3685=1),EXP(Painel_diario!$L3685),1)-1</f>
        <v/>
      </c>
      <c r="D3689" s="22">
        <f>(1+D3688)*IF(AND(Painel_diario!$H3685="ED_JD",Painel_diario!$J3685=1),EXP(Painel_diario!$L3685),1)-1</f>
        <v/>
      </c>
      <c r="E3689" s="22">
        <f>(1+E3688)*IF(AND(Painel_diario!$H3685="ED_JU",Painel_diario!$J3685=1),EXP(Painel_diario!$L3685),1)-1</f>
        <v/>
      </c>
    </row>
    <row r="3690">
      <c r="A3690" s="25" t="n">
        <v>44267</v>
      </c>
      <c r="B3690" s="22">
        <f>(1+B3689)*IF(AND(Painel_diario!$H3686="EU_JD",Painel_diario!$J3686=1),EXP(Painel_diario!$L3686),1)-1</f>
        <v/>
      </c>
      <c r="C3690" s="22">
        <f>(1+C3689)*IF(AND(Painel_diario!$H3686="EU_JU",Painel_diario!$J3686=1),EXP(Painel_diario!$L3686),1)-1</f>
        <v/>
      </c>
      <c r="D3690" s="22">
        <f>(1+D3689)*IF(AND(Painel_diario!$H3686="ED_JD",Painel_diario!$J3686=1),EXP(Painel_diario!$L3686),1)-1</f>
        <v/>
      </c>
      <c r="E3690" s="22">
        <f>(1+E3689)*IF(AND(Painel_diario!$H3686="ED_JU",Painel_diario!$J3686=1),EXP(Painel_diario!$L3686),1)-1</f>
        <v/>
      </c>
    </row>
    <row r="3691">
      <c r="A3691" s="25" t="n">
        <v>44270</v>
      </c>
      <c r="B3691" s="22">
        <f>(1+B3690)*IF(AND(Painel_diario!$H3687="EU_JD",Painel_diario!$J3687=1),EXP(Painel_diario!$L3687),1)-1</f>
        <v/>
      </c>
      <c r="C3691" s="22">
        <f>(1+C3690)*IF(AND(Painel_diario!$H3687="EU_JU",Painel_diario!$J3687=1),EXP(Painel_diario!$L3687),1)-1</f>
        <v/>
      </c>
      <c r="D3691" s="22">
        <f>(1+D3690)*IF(AND(Painel_diario!$H3687="ED_JD",Painel_diario!$J3687=1),EXP(Painel_diario!$L3687),1)-1</f>
        <v/>
      </c>
      <c r="E3691" s="22">
        <f>(1+E3690)*IF(AND(Painel_diario!$H3687="ED_JU",Painel_diario!$J3687=1),EXP(Painel_diario!$L3687),1)-1</f>
        <v/>
      </c>
    </row>
    <row r="3692">
      <c r="A3692" s="25" t="n">
        <v>44271</v>
      </c>
      <c r="B3692" s="22">
        <f>(1+B3691)*IF(AND(Painel_diario!$H3688="EU_JD",Painel_diario!$J3688=1),EXP(Painel_diario!$L3688),1)-1</f>
        <v/>
      </c>
      <c r="C3692" s="22">
        <f>(1+C3691)*IF(AND(Painel_diario!$H3688="EU_JU",Painel_diario!$J3688=1),EXP(Painel_diario!$L3688),1)-1</f>
        <v/>
      </c>
      <c r="D3692" s="22">
        <f>(1+D3691)*IF(AND(Painel_diario!$H3688="ED_JD",Painel_diario!$J3688=1),EXP(Painel_diario!$L3688),1)-1</f>
        <v/>
      </c>
      <c r="E3692" s="22">
        <f>(1+E3691)*IF(AND(Painel_diario!$H3688="ED_JU",Painel_diario!$J3688=1),EXP(Painel_diario!$L3688),1)-1</f>
        <v/>
      </c>
    </row>
    <row r="3693">
      <c r="A3693" s="25" t="n">
        <v>44272</v>
      </c>
      <c r="B3693" s="22">
        <f>(1+B3692)*IF(AND(Painel_diario!$H3689="EU_JD",Painel_diario!$J3689=1),EXP(Painel_diario!$L3689),1)-1</f>
        <v/>
      </c>
      <c r="C3693" s="22">
        <f>(1+C3692)*IF(AND(Painel_diario!$H3689="EU_JU",Painel_diario!$J3689=1),EXP(Painel_diario!$L3689),1)-1</f>
        <v/>
      </c>
      <c r="D3693" s="22">
        <f>(1+D3692)*IF(AND(Painel_diario!$H3689="ED_JD",Painel_diario!$J3689=1),EXP(Painel_diario!$L3689),1)-1</f>
        <v/>
      </c>
      <c r="E3693" s="22">
        <f>(1+E3692)*IF(AND(Painel_diario!$H3689="ED_JU",Painel_diario!$J3689=1),EXP(Painel_diario!$L3689),1)-1</f>
        <v/>
      </c>
    </row>
    <row r="3694">
      <c r="A3694" s="25" t="n">
        <v>44273</v>
      </c>
      <c r="B3694" s="22">
        <f>(1+B3693)*IF(AND(Painel_diario!$H3690="EU_JD",Painel_diario!$J3690=1),EXP(Painel_diario!$L3690),1)-1</f>
        <v/>
      </c>
      <c r="C3694" s="22">
        <f>(1+C3693)*IF(AND(Painel_diario!$H3690="EU_JU",Painel_diario!$J3690=1),EXP(Painel_diario!$L3690),1)-1</f>
        <v/>
      </c>
      <c r="D3694" s="22">
        <f>(1+D3693)*IF(AND(Painel_diario!$H3690="ED_JD",Painel_diario!$J3690=1),EXP(Painel_diario!$L3690),1)-1</f>
        <v/>
      </c>
      <c r="E3694" s="22">
        <f>(1+E3693)*IF(AND(Painel_diario!$H3690="ED_JU",Painel_diario!$J3690=1),EXP(Painel_diario!$L3690),1)-1</f>
        <v/>
      </c>
    </row>
    <row r="3695">
      <c r="A3695" s="25" t="n">
        <v>44274</v>
      </c>
      <c r="B3695" s="22">
        <f>(1+B3694)*IF(AND(Painel_diario!$H3691="EU_JD",Painel_diario!$J3691=1),EXP(Painel_diario!$L3691),1)-1</f>
        <v/>
      </c>
      <c r="C3695" s="22">
        <f>(1+C3694)*IF(AND(Painel_diario!$H3691="EU_JU",Painel_diario!$J3691=1),EXP(Painel_diario!$L3691),1)-1</f>
        <v/>
      </c>
      <c r="D3695" s="22">
        <f>(1+D3694)*IF(AND(Painel_diario!$H3691="ED_JD",Painel_diario!$J3691=1),EXP(Painel_diario!$L3691),1)-1</f>
        <v/>
      </c>
      <c r="E3695" s="22">
        <f>(1+E3694)*IF(AND(Painel_diario!$H3691="ED_JU",Painel_diario!$J3691=1),EXP(Painel_diario!$L3691),1)-1</f>
        <v/>
      </c>
    </row>
    <row r="3696">
      <c r="A3696" s="25" t="n">
        <v>44277</v>
      </c>
      <c r="B3696" s="22">
        <f>(1+B3695)*IF(AND(Painel_diario!$H3692="EU_JD",Painel_diario!$J3692=1),EXP(Painel_diario!$L3692),1)-1</f>
        <v/>
      </c>
      <c r="C3696" s="22">
        <f>(1+C3695)*IF(AND(Painel_diario!$H3692="EU_JU",Painel_diario!$J3692=1),EXP(Painel_diario!$L3692),1)-1</f>
        <v/>
      </c>
      <c r="D3696" s="22">
        <f>(1+D3695)*IF(AND(Painel_diario!$H3692="ED_JD",Painel_diario!$J3692=1),EXP(Painel_diario!$L3692),1)-1</f>
        <v/>
      </c>
      <c r="E3696" s="22">
        <f>(1+E3695)*IF(AND(Painel_diario!$H3692="ED_JU",Painel_diario!$J3692=1),EXP(Painel_diario!$L3692),1)-1</f>
        <v/>
      </c>
    </row>
    <row r="3697">
      <c r="A3697" s="25" t="n">
        <v>44278</v>
      </c>
      <c r="B3697" s="22">
        <f>(1+B3696)*IF(AND(Painel_diario!$H3693="EU_JD",Painel_diario!$J3693=1),EXP(Painel_diario!$L3693),1)-1</f>
        <v/>
      </c>
      <c r="C3697" s="22">
        <f>(1+C3696)*IF(AND(Painel_diario!$H3693="EU_JU",Painel_diario!$J3693=1),EXP(Painel_diario!$L3693),1)-1</f>
        <v/>
      </c>
      <c r="D3697" s="22">
        <f>(1+D3696)*IF(AND(Painel_diario!$H3693="ED_JD",Painel_diario!$J3693=1),EXP(Painel_diario!$L3693),1)-1</f>
        <v/>
      </c>
      <c r="E3697" s="22">
        <f>(1+E3696)*IF(AND(Painel_diario!$H3693="ED_JU",Painel_diario!$J3693=1),EXP(Painel_diario!$L3693),1)-1</f>
        <v/>
      </c>
    </row>
    <row r="3698">
      <c r="A3698" s="25" t="n">
        <v>44279</v>
      </c>
      <c r="B3698" s="22">
        <f>(1+B3697)*IF(AND(Painel_diario!$H3694="EU_JD",Painel_diario!$J3694=1),EXP(Painel_diario!$L3694),1)-1</f>
        <v/>
      </c>
      <c r="C3698" s="22">
        <f>(1+C3697)*IF(AND(Painel_diario!$H3694="EU_JU",Painel_diario!$J3694=1),EXP(Painel_diario!$L3694),1)-1</f>
        <v/>
      </c>
      <c r="D3698" s="22">
        <f>(1+D3697)*IF(AND(Painel_diario!$H3694="ED_JD",Painel_diario!$J3694=1),EXP(Painel_diario!$L3694),1)-1</f>
        <v/>
      </c>
      <c r="E3698" s="22">
        <f>(1+E3697)*IF(AND(Painel_diario!$H3694="ED_JU",Painel_diario!$J3694=1),EXP(Painel_diario!$L3694),1)-1</f>
        <v/>
      </c>
    </row>
    <row r="3699">
      <c r="A3699" s="25" t="n">
        <v>44280</v>
      </c>
      <c r="B3699" s="22">
        <f>(1+B3698)*IF(AND(Painel_diario!$H3695="EU_JD",Painel_diario!$J3695=1),EXP(Painel_diario!$L3695),1)-1</f>
        <v/>
      </c>
      <c r="C3699" s="22">
        <f>(1+C3698)*IF(AND(Painel_diario!$H3695="EU_JU",Painel_diario!$J3695=1),EXP(Painel_diario!$L3695),1)-1</f>
        <v/>
      </c>
      <c r="D3699" s="22">
        <f>(1+D3698)*IF(AND(Painel_diario!$H3695="ED_JD",Painel_diario!$J3695=1),EXP(Painel_diario!$L3695),1)-1</f>
        <v/>
      </c>
      <c r="E3699" s="22">
        <f>(1+E3698)*IF(AND(Painel_diario!$H3695="ED_JU",Painel_diario!$J3695=1),EXP(Painel_diario!$L3695),1)-1</f>
        <v/>
      </c>
    </row>
    <row r="3700">
      <c r="A3700" s="25" t="n">
        <v>44281</v>
      </c>
      <c r="B3700" s="22">
        <f>(1+B3699)*IF(AND(Painel_diario!$H3696="EU_JD",Painel_diario!$J3696=1),EXP(Painel_diario!$L3696),1)-1</f>
        <v/>
      </c>
      <c r="C3700" s="22">
        <f>(1+C3699)*IF(AND(Painel_diario!$H3696="EU_JU",Painel_diario!$J3696=1),EXP(Painel_diario!$L3696),1)-1</f>
        <v/>
      </c>
      <c r="D3700" s="22">
        <f>(1+D3699)*IF(AND(Painel_diario!$H3696="ED_JD",Painel_diario!$J3696=1),EXP(Painel_diario!$L3696),1)-1</f>
        <v/>
      </c>
      <c r="E3700" s="22">
        <f>(1+E3699)*IF(AND(Painel_diario!$H3696="ED_JU",Painel_diario!$J3696=1),EXP(Painel_diario!$L3696),1)-1</f>
        <v/>
      </c>
    </row>
    <row r="3701">
      <c r="A3701" s="25" t="n">
        <v>44284</v>
      </c>
      <c r="B3701" s="22">
        <f>(1+B3700)*IF(AND(Painel_diario!$H3697="EU_JD",Painel_diario!$J3697=1),EXP(Painel_diario!$L3697),1)-1</f>
        <v/>
      </c>
      <c r="C3701" s="22">
        <f>(1+C3700)*IF(AND(Painel_diario!$H3697="EU_JU",Painel_diario!$J3697=1),EXP(Painel_diario!$L3697),1)-1</f>
        <v/>
      </c>
      <c r="D3701" s="22">
        <f>(1+D3700)*IF(AND(Painel_diario!$H3697="ED_JD",Painel_diario!$J3697=1),EXP(Painel_diario!$L3697),1)-1</f>
        <v/>
      </c>
      <c r="E3701" s="22">
        <f>(1+E3700)*IF(AND(Painel_diario!$H3697="ED_JU",Painel_diario!$J3697=1),EXP(Painel_diario!$L3697),1)-1</f>
        <v/>
      </c>
    </row>
    <row r="3702">
      <c r="A3702" s="25" t="n">
        <v>44285</v>
      </c>
      <c r="B3702" s="22">
        <f>(1+B3701)*IF(AND(Painel_diario!$H3698="EU_JD",Painel_diario!$J3698=1),EXP(Painel_diario!$L3698),1)-1</f>
        <v/>
      </c>
      <c r="C3702" s="22">
        <f>(1+C3701)*IF(AND(Painel_diario!$H3698="EU_JU",Painel_diario!$J3698=1),EXP(Painel_diario!$L3698),1)-1</f>
        <v/>
      </c>
      <c r="D3702" s="22">
        <f>(1+D3701)*IF(AND(Painel_diario!$H3698="ED_JD",Painel_diario!$J3698=1),EXP(Painel_diario!$L3698),1)-1</f>
        <v/>
      </c>
      <c r="E3702" s="22">
        <f>(1+E3701)*IF(AND(Painel_diario!$H3698="ED_JU",Painel_diario!$J3698=1),EXP(Painel_diario!$L3698),1)-1</f>
        <v/>
      </c>
    </row>
    <row r="3703">
      <c r="A3703" s="25" t="n">
        <v>44286</v>
      </c>
      <c r="B3703" s="22">
        <f>(1+B3702)*IF(AND(Painel_diario!$H3699="EU_JD",Painel_diario!$J3699=1),EXP(Painel_diario!$L3699),1)-1</f>
        <v/>
      </c>
      <c r="C3703" s="22">
        <f>(1+C3702)*IF(AND(Painel_diario!$H3699="EU_JU",Painel_diario!$J3699=1),EXP(Painel_diario!$L3699),1)-1</f>
        <v/>
      </c>
      <c r="D3703" s="22">
        <f>(1+D3702)*IF(AND(Painel_diario!$H3699="ED_JD",Painel_diario!$J3699=1),EXP(Painel_diario!$L3699),1)-1</f>
        <v/>
      </c>
      <c r="E3703" s="22">
        <f>(1+E3702)*IF(AND(Painel_diario!$H3699="ED_JU",Painel_diario!$J3699=1),EXP(Painel_diario!$L3699),1)-1</f>
        <v/>
      </c>
    </row>
    <row r="3704">
      <c r="A3704" s="25" t="n">
        <v>44287</v>
      </c>
      <c r="B3704" s="22">
        <f>(1+B3703)*IF(AND(Painel_diario!$H3700="EU_JD",Painel_diario!$J3700=1),EXP(Painel_diario!$L3700),1)-1</f>
        <v/>
      </c>
      <c r="C3704" s="22">
        <f>(1+C3703)*IF(AND(Painel_diario!$H3700="EU_JU",Painel_diario!$J3700=1),EXP(Painel_diario!$L3700),1)-1</f>
        <v/>
      </c>
      <c r="D3704" s="22">
        <f>(1+D3703)*IF(AND(Painel_diario!$H3700="ED_JD",Painel_diario!$J3700=1),EXP(Painel_diario!$L3700),1)-1</f>
        <v/>
      </c>
      <c r="E3704" s="22">
        <f>(1+E3703)*IF(AND(Painel_diario!$H3700="ED_JU",Painel_diario!$J3700=1),EXP(Painel_diario!$L3700),1)-1</f>
        <v/>
      </c>
    </row>
    <row r="3705">
      <c r="A3705" s="25" t="n">
        <v>44291</v>
      </c>
      <c r="B3705" s="22">
        <f>(1+B3704)*IF(AND(Painel_diario!$H3701="EU_JD",Painel_diario!$J3701=1),EXP(Painel_diario!$L3701),1)-1</f>
        <v/>
      </c>
      <c r="C3705" s="22">
        <f>(1+C3704)*IF(AND(Painel_diario!$H3701="EU_JU",Painel_diario!$J3701=1),EXP(Painel_diario!$L3701),1)-1</f>
        <v/>
      </c>
      <c r="D3705" s="22">
        <f>(1+D3704)*IF(AND(Painel_diario!$H3701="ED_JD",Painel_diario!$J3701=1),EXP(Painel_diario!$L3701),1)-1</f>
        <v/>
      </c>
      <c r="E3705" s="22">
        <f>(1+E3704)*IF(AND(Painel_diario!$H3701="ED_JU",Painel_diario!$J3701=1),EXP(Painel_diario!$L3701),1)-1</f>
        <v/>
      </c>
    </row>
    <row r="3706">
      <c r="A3706" s="25" t="n">
        <v>44292</v>
      </c>
      <c r="B3706" s="22">
        <f>(1+B3705)*IF(AND(Painel_diario!$H3702="EU_JD",Painel_diario!$J3702=1),EXP(Painel_diario!$L3702),1)-1</f>
        <v/>
      </c>
      <c r="C3706" s="22">
        <f>(1+C3705)*IF(AND(Painel_diario!$H3702="EU_JU",Painel_diario!$J3702=1),EXP(Painel_diario!$L3702),1)-1</f>
        <v/>
      </c>
      <c r="D3706" s="22">
        <f>(1+D3705)*IF(AND(Painel_diario!$H3702="ED_JD",Painel_diario!$J3702=1),EXP(Painel_diario!$L3702),1)-1</f>
        <v/>
      </c>
      <c r="E3706" s="22">
        <f>(1+E3705)*IF(AND(Painel_diario!$H3702="ED_JU",Painel_diario!$J3702=1),EXP(Painel_diario!$L3702),1)-1</f>
        <v/>
      </c>
    </row>
    <row r="3707">
      <c r="A3707" s="25" t="n">
        <v>44293</v>
      </c>
      <c r="B3707" s="22">
        <f>(1+B3706)*IF(AND(Painel_diario!$H3703="EU_JD",Painel_diario!$J3703=1),EXP(Painel_diario!$L3703),1)-1</f>
        <v/>
      </c>
      <c r="C3707" s="22">
        <f>(1+C3706)*IF(AND(Painel_diario!$H3703="EU_JU",Painel_diario!$J3703=1),EXP(Painel_diario!$L3703),1)-1</f>
        <v/>
      </c>
      <c r="D3707" s="22">
        <f>(1+D3706)*IF(AND(Painel_diario!$H3703="ED_JD",Painel_diario!$J3703=1),EXP(Painel_diario!$L3703),1)-1</f>
        <v/>
      </c>
      <c r="E3707" s="22">
        <f>(1+E3706)*IF(AND(Painel_diario!$H3703="ED_JU",Painel_diario!$J3703=1),EXP(Painel_diario!$L3703),1)-1</f>
        <v/>
      </c>
    </row>
    <row r="3708">
      <c r="A3708" s="25" t="n">
        <v>44294</v>
      </c>
      <c r="B3708" s="22">
        <f>(1+B3707)*IF(AND(Painel_diario!$H3704="EU_JD",Painel_diario!$J3704=1),EXP(Painel_diario!$L3704),1)-1</f>
        <v/>
      </c>
      <c r="C3708" s="22">
        <f>(1+C3707)*IF(AND(Painel_diario!$H3704="EU_JU",Painel_diario!$J3704=1),EXP(Painel_diario!$L3704),1)-1</f>
        <v/>
      </c>
      <c r="D3708" s="22">
        <f>(1+D3707)*IF(AND(Painel_diario!$H3704="ED_JD",Painel_diario!$J3704=1),EXP(Painel_diario!$L3704),1)-1</f>
        <v/>
      </c>
      <c r="E3708" s="22">
        <f>(1+E3707)*IF(AND(Painel_diario!$H3704="ED_JU",Painel_diario!$J3704=1),EXP(Painel_diario!$L3704),1)-1</f>
        <v/>
      </c>
    </row>
    <row r="3709">
      <c r="A3709" s="25" t="n">
        <v>44295</v>
      </c>
      <c r="B3709" s="22">
        <f>(1+B3708)*IF(AND(Painel_diario!$H3705="EU_JD",Painel_diario!$J3705=1),EXP(Painel_diario!$L3705),1)-1</f>
        <v/>
      </c>
      <c r="C3709" s="22">
        <f>(1+C3708)*IF(AND(Painel_diario!$H3705="EU_JU",Painel_diario!$J3705=1),EXP(Painel_diario!$L3705),1)-1</f>
        <v/>
      </c>
      <c r="D3709" s="22">
        <f>(1+D3708)*IF(AND(Painel_diario!$H3705="ED_JD",Painel_diario!$J3705=1),EXP(Painel_diario!$L3705),1)-1</f>
        <v/>
      </c>
      <c r="E3709" s="22">
        <f>(1+E3708)*IF(AND(Painel_diario!$H3705="ED_JU",Painel_diario!$J3705=1),EXP(Painel_diario!$L3705),1)-1</f>
        <v/>
      </c>
    </row>
    <row r="3710">
      <c r="A3710" s="25" t="n">
        <v>44298</v>
      </c>
      <c r="B3710" s="22">
        <f>(1+B3709)*IF(AND(Painel_diario!$H3706="EU_JD",Painel_diario!$J3706=1),EXP(Painel_diario!$L3706),1)-1</f>
        <v/>
      </c>
      <c r="C3710" s="22">
        <f>(1+C3709)*IF(AND(Painel_diario!$H3706="EU_JU",Painel_diario!$J3706=1),EXP(Painel_diario!$L3706),1)-1</f>
        <v/>
      </c>
      <c r="D3710" s="22">
        <f>(1+D3709)*IF(AND(Painel_diario!$H3706="ED_JD",Painel_diario!$J3706=1),EXP(Painel_diario!$L3706),1)-1</f>
        <v/>
      </c>
      <c r="E3710" s="22">
        <f>(1+E3709)*IF(AND(Painel_diario!$H3706="ED_JU",Painel_diario!$J3706=1),EXP(Painel_diario!$L3706),1)-1</f>
        <v/>
      </c>
    </row>
    <row r="3711">
      <c r="A3711" s="25" t="n">
        <v>44299</v>
      </c>
      <c r="B3711" s="22">
        <f>(1+B3710)*IF(AND(Painel_diario!$H3707="EU_JD",Painel_diario!$J3707=1),EXP(Painel_diario!$L3707),1)-1</f>
        <v/>
      </c>
      <c r="C3711" s="22">
        <f>(1+C3710)*IF(AND(Painel_diario!$H3707="EU_JU",Painel_diario!$J3707=1),EXP(Painel_diario!$L3707),1)-1</f>
        <v/>
      </c>
      <c r="D3711" s="22">
        <f>(1+D3710)*IF(AND(Painel_diario!$H3707="ED_JD",Painel_diario!$J3707=1),EXP(Painel_diario!$L3707),1)-1</f>
        <v/>
      </c>
      <c r="E3711" s="22">
        <f>(1+E3710)*IF(AND(Painel_diario!$H3707="ED_JU",Painel_diario!$J3707=1),EXP(Painel_diario!$L3707),1)-1</f>
        <v/>
      </c>
    </row>
    <row r="3712">
      <c r="A3712" s="25" t="n">
        <v>44300</v>
      </c>
      <c r="B3712" s="22">
        <f>(1+B3711)*IF(AND(Painel_diario!$H3708="EU_JD",Painel_diario!$J3708=1),EXP(Painel_diario!$L3708),1)-1</f>
        <v/>
      </c>
      <c r="C3712" s="22">
        <f>(1+C3711)*IF(AND(Painel_diario!$H3708="EU_JU",Painel_diario!$J3708=1),EXP(Painel_diario!$L3708),1)-1</f>
        <v/>
      </c>
      <c r="D3712" s="22">
        <f>(1+D3711)*IF(AND(Painel_diario!$H3708="ED_JD",Painel_diario!$J3708=1),EXP(Painel_diario!$L3708),1)-1</f>
        <v/>
      </c>
      <c r="E3712" s="22">
        <f>(1+E3711)*IF(AND(Painel_diario!$H3708="ED_JU",Painel_diario!$J3708=1),EXP(Painel_diario!$L3708),1)-1</f>
        <v/>
      </c>
    </row>
    <row r="3713">
      <c r="A3713" s="25" t="n">
        <v>44301</v>
      </c>
      <c r="B3713" s="22">
        <f>(1+B3712)*IF(AND(Painel_diario!$H3709="EU_JD",Painel_diario!$J3709=1),EXP(Painel_diario!$L3709),1)-1</f>
        <v/>
      </c>
      <c r="C3713" s="22">
        <f>(1+C3712)*IF(AND(Painel_diario!$H3709="EU_JU",Painel_diario!$J3709=1),EXP(Painel_diario!$L3709),1)-1</f>
        <v/>
      </c>
      <c r="D3713" s="22">
        <f>(1+D3712)*IF(AND(Painel_diario!$H3709="ED_JD",Painel_diario!$J3709=1),EXP(Painel_diario!$L3709),1)-1</f>
        <v/>
      </c>
      <c r="E3713" s="22">
        <f>(1+E3712)*IF(AND(Painel_diario!$H3709="ED_JU",Painel_diario!$J3709=1),EXP(Painel_diario!$L3709),1)-1</f>
        <v/>
      </c>
    </row>
    <row r="3714">
      <c r="A3714" s="25" t="n">
        <v>44302</v>
      </c>
      <c r="B3714" s="22">
        <f>(1+B3713)*IF(AND(Painel_diario!$H3710="EU_JD",Painel_diario!$J3710=1),EXP(Painel_diario!$L3710),1)-1</f>
        <v/>
      </c>
      <c r="C3714" s="22">
        <f>(1+C3713)*IF(AND(Painel_diario!$H3710="EU_JU",Painel_diario!$J3710=1),EXP(Painel_diario!$L3710),1)-1</f>
        <v/>
      </c>
      <c r="D3714" s="22">
        <f>(1+D3713)*IF(AND(Painel_diario!$H3710="ED_JD",Painel_diario!$J3710=1),EXP(Painel_diario!$L3710),1)-1</f>
        <v/>
      </c>
      <c r="E3714" s="22">
        <f>(1+E3713)*IF(AND(Painel_diario!$H3710="ED_JU",Painel_diario!$J3710=1),EXP(Painel_diario!$L3710),1)-1</f>
        <v/>
      </c>
    </row>
    <row r="3715">
      <c r="A3715" s="25" t="n">
        <v>44305</v>
      </c>
      <c r="B3715" s="22">
        <f>(1+B3714)*IF(AND(Painel_diario!$H3711="EU_JD",Painel_diario!$J3711=1),EXP(Painel_diario!$L3711),1)-1</f>
        <v/>
      </c>
      <c r="C3715" s="22">
        <f>(1+C3714)*IF(AND(Painel_diario!$H3711="EU_JU",Painel_diario!$J3711=1),EXP(Painel_diario!$L3711),1)-1</f>
        <v/>
      </c>
      <c r="D3715" s="22">
        <f>(1+D3714)*IF(AND(Painel_diario!$H3711="ED_JD",Painel_diario!$J3711=1),EXP(Painel_diario!$L3711),1)-1</f>
        <v/>
      </c>
      <c r="E3715" s="22">
        <f>(1+E3714)*IF(AND(Painel_diario!$H3711="ED_JU",Painel_diario!$J3711=1),EXP(Painel_diario!$L3711),1)-1</f>
        <v/>
      </c>
    </row>
    <row r="3716">
      <c r="A3716" s="25" t="n">
        <v>44306</v>
      </c>
      <c r="B3716" s="22">
        <f>(1+B3715)*IF(AND(Painel_diario!$H3712="EU_JD",Painel_diario!$J3712=1),EXP(Painel_diario!$L3712),1)-1</f>
        <v/>
      </c>
      <c r="C3716" s="22">
        <f>(1+C3715)*IF(AND(Painel_diario!$H3712="EU_JU",Painel_diario!$J3712=1),EXP(Painel_diario!$L3712),1)-1</f>
        <v/>
      </c>
      <c r="D3716" s="22">
        <f>(1+D3715)*IF(AND(Painel_diario!$H3712="ED_JD",Painel_diario!$J3712=1),EXP(Painel_diario!$L3712),1)-1</f>
        <v/>
      </c>
      <c r="E3716" s="22">
        <f>(1+E3715)*IF(AND(Painel_diario!$H3712="ED_JU",Painel_diario!$J3712=1),EXP(Painel_diario!$L3712),1)-1</f>
        <v/>
      </c>
    </row>
    <row r="3717">
      <c r="A3717" s="25" t="n">
        <v>44308</v>
      </c>
      <c r="B3717" s="22">
        <f>(1+B3716)*IF(AND(Painel_diario!$H3713="EU_JD",Painel_diario!$J3713=1),EXP(Painel_diario!$L3713),1)-1</f>
        <v/>
      </c>
      <c r="C3717" s="22">
        <f>(1+C3716)*IF(AND(Painel_diario!$H3713="EU_JU",Painel_diario!$J3713=1),EXP(Painel_diario!$L3713),1)-1</f>
        <v/>
      </c>
      <c r="D3717" s="22">
        <f>(1+D3716)*IF(AND(Painel_diario!$H3713="ED_JD",Painel_diario!$J3713=1),EXP(Painel_diario!$L3713),1)-1</f>
        <v/>
      </c>
      <c r="E3717" s="22">
        <f>(1+E3716)*IF(AND(Painel_diario!$H3713="ED_JU",Painel_diario!$J3713=1),EXP(Painel_diario!$L3713),1)-1</f>
        <v/>
      </c>
    </row>
    <row r="3718">
      <c r="A3718" s="25" t="n">
        <v>44309</v>
      </c>
      <c r="B3718" s="22">
        <f>(1+B3717)*IF(AND(Painel_diario!$H3714="EU_JD",Painel_diario!$J3714=1),EXP(Painel_diario!$L3714),1)-1</f>
        <v/>
      </c>
      <c r="C3718" s="22">
        <f>(1+C3717)*IF(AND(Painel_diario!$H3714="EU_JU",Painel_diario!$J3714=1),EXP(Painel_diario!$L3714),1)-1</f>
        <v/>
      </c>
      <c r="D3718" s="22">
        <f>(1+D3717)*IF(AND(Painel_diario!$H3714="ED_JD",Painel_diario!$J3714=1),EXP(Painel_diario!$L3714),1)-1</f>
        <v/>
      </c>
      <c r="E3718" s="22">
        <f>(1+E3717)*IF(AND(Painel_diario!$H3714="ED_JU",Painel_diario!$J3714=1),EXP(Painel_diario!$L3714),1)-1</f>
        <v/>
      </c>
    </row>
    <row r="3719">
      <c r="A3719" s="25" t="n">
        <v>44312</v>
      </c>
      <c r="B3719" s="22">
        <f>(1+B3718)*IF(AND(Painel_diario!$H3715="EU_JD",Painel_diario!$J3715=1),EXP(Painel_diario!$L3715),1)-1</f>
        <v/>
      </c>
      <c r="C3719" s="22">
        <f>(1+C3718)*IF(AND(Painel_diario!$H3715="EU_JU",Painel_diario!$J3715=1),EXP(Painel_diario!$L3715),1)-1</f>
        <v/>
      </c>
      <c r="D3719" s="22">
        <f>(1+D3718)*IF(AND(Painel_diario!$H3715="ED_JD",Painel_diario!$J3715=1),EXP(Painel_diario!$L3715),1)-1</f>
        <v/>
      </c>
      <c r="E3719" s="22">
        <f>(1+E3718)*IF(AND(Painel_diario!$H3715="ED_JU",Painel_diario!$J3715=1),EXP(Painel_diario!$L3715),1)-1</f>
        <v/>
      </c>
    </row>
    <row r="3720">
      <c r="A3720" s="25" t="n">
        <v>44313</v>
      </c>
      <c r="B3720" s="22">
        <f>(1+B3719)*IF(AND(Painel_diario!$H3716="EU_JD",Painel_diario!$J3716=1),EXP(Painel_diario!$L3716),1)-1</f>
        <v/>
      </c>
      <c r="C3720" s="22">
        <f>(1+C3719)*IF(AND(Painel_diario!$H3716="EU_JU",Painel_diario!$J3716=1),EXP(Painel_diario!$L3716),1)-1</f>
        <v/>
      </c>
      <c r="D3720" s="22">
        <f>(1+D3719)*IF(AND(Painel_diario!$H3716="ED_JD",Painel_diario!$J3716=1),EXP(Painel_diario!$L3716),1)-1</f>
        <v/>
      </c>
      <c r="E3720" s="22">
        <f>(1+E3719)*IF(AND(Painel_diario!$H3716="ED_JU",Painel_diario!$J3716=1),EXP(Painel_diario!$L3716),1)-1</f>
        <v/>
      </c>
    </row>
    <row r="3721">
      <c r="A3721" s="25" t="n">
        <v>44314</v>
      </c>
      <c r="B3721" s="22">
        <f>(1+B3720)*IF(AND(Painel_diario!$H3717="EU_JD",Painel_diario!$J3717=1),EXP(Painel_diario!$L3717),1)-1</f>
        <v/>
      </c>
      <c r="C3721" s="22">
        <f>(1+C3720)*IF(AND(Painel_diario!$H3717="EU_JU",Painel_diario!$J3717=1),EXP(Painel_diario!$L3717),1)-1</f>
        <v/>
      </c>
      <c r="D3721" s="22">
        <f>(1+D3720)*IF(AND(Painel_diario!$H3717="ED_JD",Painel_diario!$J3717=1),EXP(Painel_diario!$L3717),1)-1</f>
        <v/>
      </c>
      <c r="E3721" s="22">
        <f>(1+E3720)*IF(AND(Painel_diario!$H3717="ED_JU",Painel_diario!$J3717=1),EXP(Painel_diario!$L3717),1)-1</f>
        <v/>
      </c>
    </row>
    <row r="3722">
      <c r="A3722" s="25" t="n">
        <v>44315</v>
      </c>
      <c r="B3722" s="22">
        <f>(1+B3721)*IF(AND(Painel_diario!$H3718="EU_JD",Painel_diario!$J3718=1),EXP(Painel_diario!$L3718),1)-1</f>
        <v/>
      </c>
      <c r="C3722" s="22">
        <f>(1+C3721)*IF(AND(Painel_diario!$H3718="EU_JU",Painel_diario!$J3718=1),EXP(Painel_diario!$L3718),1)-1</f>
        <v/>
      </c>
      <c r="D3722" s="22">
        <f>(1+D3721)*IF(AND(Painel_diario!$H3718="ED_JD",Painel_diario!$J3718=1),EXP(Painel_diario!$L3718),1)-1</f>
        <v/>
      </c>
      <c r="E3722" s="22">
        <f>(1+E3721)*IF(AND(Painel_diario!$H3718="ED_JU",Painel_diario!$J3718=1),EXP(Painel_diario!$L3718),1)-1</f>
        <v/>
      </c>
    </row>
    <row r="3723">
      <c r="A3723" s="25" t="n">
        <v>44316</v>
      </c>
      <c r="B3723" s="22">
        <f>(1+B3722)*IF(AND(Painel_diario!$H3719="EU_JD",Painel_diario!$J3719=1),EXP(Painel_diario!$L3719),1)-1</f>
        <v/>
      </c>
      <c r="C3723" s="22">
        <f>(1+C3722)*IF(AND(Painel_diario!$H3719="EU_JU",Painel_diario!$J3719=1),EXP(Painel_diario!$L3719),1)-1</f>
        <v/>
      </c>
      <c r="D3723" s="22">
        <f>(1+D3722)*IF(AND(Painel_diario!$H3719="ED_JD",Painel_diario!$J3719=1),EXP(Painel_diario!$L3719),1)-1</f>
        <v/>
      </c>
      <c r="E3723" s="22">
        <f>(1+E3722)*IF(AND(Painel_diario!$H3719="ED_JU",Painel_diario!$J3719=1),EXP(Painel_diario!$L3719),1)-1</f>
        <v/>
      </c>
    </row>
    <row r="3724">
      <c r="A3724" s="25" t="n">
        <v>44319</v>
      </c>
      <c r="B3724" s="22">
        <f>(1+B3723)*IF(AND(Painel_diario!$H3720="EU_JD",Painel_diario!$J3720=1),EXP(Painel_diario!$L3720),1)-1</f>
        <v/>
      </c>
      <c r="C3724" s="22">
        <f>(1+C3723)*IF(AND(Painel_diario!$H3720="EU_JU",Painel_diario!$J3720=1),EXP(Painel_diario!$L3720),1)-1</f>
        <v/>
      </c>
      <c r="D3724" s="22">
        <f>(1+D3723)*IF(AND(Painel_diario!$H3720="ED_JD",Painel_diario!$J3720=1),EXP(Painel_diario!$L3720),1)-1</f>
        <v/>
      </c>
      <c r="E3724" s="22">
        <f>(1+E3723)*IF(AND(Painel_diario!$H3720="ED_JU",Painel_diario!$J3720=1),EXP(Painel_diario!$L3720),1)-1</f>
        <v/>
      </c>
    </row>
    <row r="3725">
      <c r="A3725" s="25" t="n">
        <v>44320</v>
      </c>
      <c r="B3725" s="22">
        <f>(1+B3724)*IF(AND(Painel_diario!$H3721="EU_JD",Painel_diario!$J3721=1),EXP(Painel_diario!$L3721),1)-1</f>
        <v/>
      </c>
      <c r="C3725" s="22">
        <f>(1+C3724)*IF(AND(Painel_diario!$H3721="EU_JU",Painel_diario!$J3721=1),EXP(Painel_diario!$L3721),1)-1</f>
        <v/>
      </c>
      <c r="D3725" s="22">
        <f>(1+D3724)*IF(AND(Painel_diario!$H3721="ED_JD",Painel_diario!$J3721=1),EXP(Painel_diario!$L3721),1)-1</f>
        <v/>
      </c>
      <c r="E3725" s="22">
        <f>(1+E3724)*IF(AND(Painel_diario!$H3721="ED_JU",Painel_diario!$J3721=1),EXP(Painel_diario!$L3721),1)-1</f>
        <v/>
      </c>
    </row>
    <row r="3726">
      <c r="A3726" s="25" t="n">
        <v>44321</v>
      </c>
      <c r="B3726" s="22">
        <f>(1+B3725)*IF(AND(Painel_diario!$H3722="EU_JD",Painel_diario!$J3722=1),EXP(Painel_diario!$L3722),1)-1</f>
        <v/>
      </c>
      <c r="C3726" s="22">
        <f>(1+C3725)*IF(AND(Painel_diario!$H3722="EU_JU",Painel_diario!$J3722=1),EXP(Painel_diario!$L3722),1)-1</f>
        <v/>
      </c>
      <c r="D3726" s="22">
        <f>(1+D3725)*IF(AND(Painel_diario!$H3722="ED_JD",Painel_diario!$J3722=1),EXP(Painel_diario!$L3722),1)-1</f>
        <v/>
      </c>
      <c r="E3726" s="22">
        <f>(1+E3725)*IF(AND(Painel_diario!$H3722="ED_JU",Painel_diario!$J3722=1),EXP(Painel_diario!$L3722),1)-1</f>
        <v/>
      </c>
    </row>
    <row r="3727">
      <c r="A3727" s="25" t="n">
        <v>44322</v>
      </c>
      <c r="B3727" s="22">
        <f>(1+B3726)*IF(AND(Painel_diario!$H3723="EU_JD",Painel_diario!$J3723=1),EXP(Painel_diario!$L3723),1)-1</f>
        <v/>
      </c>
      <c r="C3727" s="22">
        <f>(1+C3726)*IF(AND(Painel_diario!$H3723="EU_JU",Painel_diario!$J3723=1),EXP(Painel_diario!$L3723),1)-1</f>
        <v/>
      </c>
      <c r="D3727" s="22">
        <f>(1+D3726)*IF(AND(Painel_diario!$H3723="ED_JD",Painel_diario!$J3723=1),EXP(Painel_diario!$L3723),1)-1</f>
        <v/>
      </c>
      <c r="E3727" s="22">
        <f>(1+E3726)*IF(AND(Painel_diario!$H3723="ED_JU",Painel_diario!$J3723=1),EXP(Painel_diario!$L3723),1)-1</f>
        <v/>
      </c>
    </row>
    <row r="3728">
      <c r="A3728" s="25" t="n">
        <v>44323</v>
      </c>
      <c r="B3728" s="22">
        <f>(1+B3727)*IF(AND(Painel_diario!$H3724="EU_JD",Painel_diario!$J3724=1),EXP(Painel_diario!$L3724),1)-1</f>
        <v/>
      </c>
      <c r="C3728" s="22">
        <f>(1+C3727)*IF(AND(Painel_diario!$H3724="EU_JU",Painel_diario!$J3724=1),EXP(Painel_diario!$L3724),1)-1</f>
        <v/>
      </c>
      <c r="D3728" s="22">
        <f>(1+D3727)*IF(AND(Painel_diario!$H3724="ED_JD",Painel_diario!$J3724=1),EXP(Painel_diario!$L3724),1)-1</f>
        <v/>
      </c>
      <c r="E3728" s="22">
        <f>(1+E3727)*IF(AND(Painel_diario!$H3724="ED_JU",Painel_diario!$J3724=1),EXP(Painel_diario!$L3724),1)-1</f>
        <v/>
      </c>
    </row>
    <row r="3729">
      <c r="A3729" s="25" t="n">
        <v>44326</v>
      </c>
      <c r="B3729" s="22">
        <f>(1+B3728)*IF(AND(Painel_diario!$H3725="EU_JD",Painel_diario!$J3725=1),EXP(Painel_diario!$L3725),1)-1</f>
        <v/>
      </c>
      <c r="C3729" s="22">
        <f>(1+C3728)*IF(AND(Painel_diario!$H3725="EU_JU",Painel_diario!$J3725=1),EXP(Painel_diario!$L3725),1)-1</f>
        <v/>
      </c>
      <c r="D3729" s="22">
        <f>(1+D3728)*IF(AND(Painel_diario!$H3725="ED_JD",Painel_diario!$J3725=1),EXP(Painel_diario!$L3725),1)-1</f>
        <v/>
      </c>
      <c r="E3729" s="22">
        <f>(1+E3728)*IF(AND(Painel_diario!$H3725="ED_JU",Painel_diario!$J3725=1),EXP(Painel_diario!$L3725),1)-1</f>
        <v/>
      </c>
    </row>
    <row r="3730">
      <c r="A3730" s="25" t="n">
        <v>44327</v>
      </c>
      <c r="B3730" s="22">
        <f>(1+B3729)*IF(AND(Painel_diario!$H3726="EU_JD",Painel_diario!$J3726=1),EXP(Painel_diario!$L3726),1)-1</f>
        <v/>
      </c>
      <c r="C3730" s="22">
        <f>(1+C3729)*IF(AND(Painel_diario!$H3726="EU_JU",Painel_diario!$J3726=1),EXP(Painel_diario!$L3726),1)-1</f>
        <v/>
      </c>
      <c r="D3730" s="22">
        <f>(1+D3729)*IF(AND(Painel_diario!$H3726="ED_JD",Painel_diario!$J3726=1),EXP(Painel_diario!$L3726),1)-1</f>
        <v/>
      </c>
      <c r="E3730" s="22">
        <f>(1+E3729)*IF(AND(Painel_diario!$H3726="ED_JU",Painel_diario!$J3726=1),EXP(Painel_diario!$L3726),1)-1</f>
        <v/>
      </c>
    </row>
    <row r="3731">
      <c r="A3731" s="25" t="n">
        <v>44328</v>
      </c>
      <c r="B3731" s="22">
        <f>(1+B3730)*IF(AND(Painel_diario!$H3727="EU_JD",Painel_diario!$J3727=1),EXP(Painel_diario!$L3727),1)-1</f>
        <v/>
      </c>
      <c r="C3731" s="22">
        <f>(1+C3730)*IF(AND(Painel_diario!$H3727="EU_JU",Painel_diario!$J3727=1),EXP(Painel_diario!$L3727),1)-1</f>
        <v/>
      </c>
      <c r="D3731" s="22">
        <f>(1+D3730)*IF(AND(Painel_diario!$H3727="ED_JD",Painel_diario!$J3727=1),EXP(Painel_diario!$L3727),1)-1</f>
        <v/>
      </c>
      <c r="E3731" s="22">
        <f>(1+E3730)*IF(AND(Painel_diario!$H3727="ED_JU",Painel_diario!$J3727=1),EXP(Painel_diario!$L3727),1)-1</f>
        <v/>
      </c>
    </row>
    <row r="3732">
      <c r="A3732" s="25" t="n">
        <v>44329</v>
      </c>
      <c r="B3732" s="22">
        <f>(1+B3731)*IF(AND(Painel_diario!$H3728="EU_JD",Painel_diario!$J3728=1),EXP(Painel_diario!$L3728),1)-1</f>
        <v/>
      </c>
      <c r="C3732" s="22">
        <f>(1+C3731)*IF(AND(Painel_diario!$H3728="EU_JU",Painel_diario!$J3728=1),EXP(Painel_diario!$L3728),1)-1</f>
        <v/>
      </c>
      <c r="D3732" s="22">
        <f>(1+D3731)*IF(AND(Painel_diario!$H3728="ED_JD",Painel_diario!$J3728=1),EXP(Painel_diario!$L3728),1)-1</f>
        <v/>
      </c>
      <c r="E3732" s="22">
        <f>(1+E3731)*IF(AND(Painel_diario!$H3728="ED_JU",Painel_diario!$J3728=1),EXP(Painel_diario!$L3728),1)-1</f>
        <v/>
      </c>
    </row>
    <row r="3733">
      <c r="A3733" s="25" t="n">
        <v>44330</v>
      </c>
      <c r="B3733" s="22">
        <f>(1+B3732)*IF(AND(Painel_diario!$H3729="EU_JD",Painel_diario!$J3729=1),EXP(Painel_diario!$L3729),1)-1</f>
        <v/>
      </c>
      <c r="C3733" s="22">
        <f>(1+C3732)*IF(AND(Painel_diario!$H3729="EU_JU",Painel_diario!$J3729=1),EXP(Painel_diario!$L3729),1)-1</f>
        <v/>
      </c>
      <c r="D3733" s="22">
        <f>(1+D3732)*IF(AND(Painel_diario!$H3729="ED_JD",Painel_diario!$J3729=1),EXP(Painel_diario!$L3729),1)-1</f>
        <v/>
      </c>
      <c r="E3733" s="22">
        <f>(1+E3732)*IF(AND(Painel_diario!$H3729="ED_JU",Painel_diario!$J3729=1),EXP(Painel_diario!$L3729),1)-1</f>
        <v/>
      </c>
    </row>
    <row r="3734">
      <c r="A3734" s="25" t="n">
        <v>44333</v>
      </c>
      <c r="B3734" s="22">
        <f>(1+B3733)*IF(AND(Painel_diario!$H3730="EU_JD",Painel_diario!$J3730=1),EXP(Painel_diario!$L3730),1)-1</f>
        <v/>
      </c>
      <c r="C3734" s="22">
        <f>(1+C3733)*IF(AND(Painel_diario!$H3730="EU_JU",Painel_diario!$J3730=1),EXP(Painel_diario!$L3730),1)-1</f>
        <v/>
      </c>
      <c r="D3734" s="22">
        <f>(1+D3733)*IF(AND(Painel_diario!$H3730="ED_JD",Painel_diario!$J3730=1),EXP(Painel_diario!$L3730),1)-1</f>
        <v/>
      </c>
      <c r="E3734" s="22">
        <f>(1+E3733)*IF(AND(Painel_diario!$H3730="ED_JU",Painel_diario!$J3730=1),EXP(Painel_diario!$L3730),1)-1</f>
        <v/>
      </c>
    </row>
    <row r="3735">
      <c r="A3735" s="25" t="n">
        <v>44334</v>
      </c>
      <c r="B3735" s="22">
        <f>(1+B3734)*IF(AND(Painel_diario!$H3731="EU_JD",Painel_diario!$J3731=1),EXP(Painel_diario!$L3731),1)-1</f>
        <v/>
      </c>
      <c r="C3735" s="22">
        <f>(1+C3734)*IF(AND(Painel_diario!$H3731="EU_JU",Painel_diario!$J3731=1),EXP(Painel_diario!$L3731),1)-1</f>
        <v/>
      </c>
      <c r="D3735" s="22">
        <f>(1+D3734)*IF(AND(Painel_diario!$H3731="ED_JD",Painel_diario!$J3731=1),EXP(Painel_diario!$L3731),1)-1</f>
        <v/>
      </c>
      <c r="E3735" s="22">
        <f>(1+E3734)*IF(AND(Painel_diario!$H3731="ED_JU",Painel_diario!$J3731=1),EXP(Painel_diario!$L3731),1)-1</f>
        <v/>
      </c>
    </row>
    <row r="3736">
      <c r="A3736" s="25" t="n">
        <v>44335</v>
      </c>
      <c r="B3736" s="22">
        <f>(1+B3735)*IF(AND(Painel_diario!$H3732="EU_JD",Painel_diario!$J3732=1),EXP(Painel_diario!$L3732),1)-1</f>
        <v/>
      </c>
      <c r="C3736" s="22">
        <f>(1+C3735)*IF(AND(Painel_diario!$H3732="EU_JU",Painel_diario!$J3732=1),EXP(Painel_diario!$L3732),1)-1</f>
        <v/>
      </c>
      <c r="D3736" s="22">
        <f>(1+D3735)*IF(AND(Painel_diario!$H3732="ED_JD",Painel_diario!$J3732=1),EXP(Painel_diario!$L3732),1)-1</f>
        <v/>
      </c>
      <c r="E3736" s="22">
        <f>(1+E3735)*IF(AND(Painel_diario!$H3732="ED_JU",Painel_diario!$J3732=1),EXP(Painel_diario!$L3732),1)-1</f>
        <v/>
      </c>
    </row>
    <row r="3737">
      <c r="A3737" s="25" t="n">
        <v>44336</v>
      </c>
      <c r="B3737" s="22">
        <f>(1+B3736)*IF(AND(Painel_diario!$H3733="EU_JD",Painel_diario!$J3733=1),EXP(Painel_diario!$L3733),1)-1</f>
        <v/>
      </c>
      <c r="C3737" s="22">
        <f>(1+C3736)*IF(AND(Painel_diario!$H3733="EU_JU",Painel_diario!$J3733=1),EXP(Painel_diario!$L3733),1)-1</f>
        <v/>
      </c>
      <c r="D3737" s="22">
        <f>(1+D3736)*IF(AND(Painel_diario!$H3733="ED_JD",Painel_diario!$J3733=1),EXP(Painel_diario!$L3733),1)-1</f>
        <v/>
      </c>
      <c r="E3737" s="22">
        <f>(1+E3736)*IF(AND(Painel_diario!$H3733="ED_JU",Painel_diario!$J3733=1),EXP(Painel_diario!$L3733),1)-1</f>
        <v/>
      </c>
    </row>
    <row r="3738">
      <c r="A3738" s="25" t="n">
        <v>44337</v>
      </c>
      <c r="B3738" s="22">
        <f>(1+B3737)*IF(AND(Painel_diario!$H3734="EU_JD",Painel_diario!$J3734=1),EXP(Painel_diario!$L3734),1)-1</f>
        <v/>
      </c>
      <c r="C3738" s="22">
        <f>(1+C3737)*IF(AND(Painel_diario!$H3734="EU_JU",Painel_diario!$J3734=1),EXP(Painel_diario!$L3734),1)-1</f>
        <v/>
      </c>
      <c r="D3738" s="22">
        <f>(1+D3737)*IF(AND(Painel_diario!$H3734="ED_JD",Painel_diario!$J3734=1),EXP(Painel_diario!$L3734),1)-1</f>
        <v/>
      </c>
      <c r="E3738" s="22">
        <f>(1+E3737)*IF(AND(Painel_diario!$H3734="ED_JU",Painel_diario!$J3734=1),EXP(Painel_diario!$L3734),1)-1</f>
        <v/>
      </c>
    </row>
    <row r="3739">
      <c r="A3739" s="25" t="n">
        <v>44340</v>
      </c>
      <c r="B3739" s="22">
        <f>(1+B3738)*IF(AND(Painel_diario!$H3735="EU_JD",Painel_diario!$J3735=1),EXP(Painel_diario!$L3735),1)-1</f>
        <v/>
      </c>
      <c r="C3739" s="22">
        <f>(1+C3738)*IF(AND(Painel_diario!$H3735="EU_JU",Painel_diario!$J3735=1),EXP(Painel_diario!$L3735),1)-1</f>
        <v/>
      </c>
      <c r="D3739" s="22">
        <f>(1+D3738)*IF(AND(Painel_diario!$H3735="ED_JD",Painel_diario!$J3735=1),EXP(Painel_diario!$L3735),1)-1</f>
        <v/>
      </c>
      <c r="E3739" s="22">
        <f>(1+E3738)*IF(AND(Painel_diario!$H3735="ED_JU",Painel_diario!$J3735=1),EXP(Painel_diario!$L3735),1)-1</f>
        <v/>
      </c>
    </row>
    <row r="3740">
      <c r="A3740" s="25" t="n">
        <v>44341</v>
      </c>
      <c r="B3740" s="22">
        <f>(1+B3739)*IF(AND(Painel_diario!$H3736="EU_JD",Painel_diario!$J3736=1),EXP(Painel_diario!$L3736),1)-1</f>
        <v/>
      </c>
      <c r="C3740" s="22">
        <f>(1+C3739)*IF(AND(Painel_diario!$H3736="EU_JU",Painel_diario!$J3736=1),EXP(Painel_diario!$L3736),1)-1</f>
        <v/>
      </c>
      <c r="D3740" s="22">
        <f>(1+D3739)*IF(AND(Painel_diario!$H3736="ED_JD",Painel_diario!$J3736=1),EXP(Painel_diario!$L3736),1)-1</f>
        <v/>
      </c>
      <c r="E3740" s="22">
        <f>(1+E3739)*IF(AND(Painel_diario!$H3736="ED_JU",Painel_diario!$J3736=1),EXP(Painel_diario!$L3736),1)-1</f>
        <v/>
      </c>
    </row>
    <row r="3741">
      <c r="A3741" s="25" t="n">
        <v>44342</v>
      </c>
      <c r="B3741" s="22">
        <f>(1+B3740)*IF(AND(Painel_diario!$H3737="EU_JD",Painel_diario!$J3737=1),EXP(Painel_diario!$L3737),1)-1</f>
        <v/>
      </c>
      <c r="C3741" s="22">
        <f>(1+C3740)*IF(AND(Painel_diario!$H3737="EU_JU",Painel_diario!$J3737=1),EXP(Painel_diario!$L3737),1)-1</f>
        <v/>
      </c>
      <c r="D3741" s="22">
        <f>(1+D3740)*IF(AND(Painel_diario!$H3737="ED_JD",Painel_diario!$J3737=1),EXP(Painel_diario!$L3737),1)-1</f>
        <v/>
      </c>
      <c r="E3741" s="22">
        <f>(1+E3740)*IF(AND(Painel_diario!$H3737="ED_JU",Painel_diario!$J3737=1),EXP(Painel_diario!$L3737),1)-1</f>
        <v/>
      </c>
    </row>
    <row r="3742">
      <c r="A3742" s="25" t="n">
        <v>44343</v>
      </c>
      <c r="B3742" s="22">
        <f>(1+B3741)*IF(AND(Painel_diario!$H3738="EU_JD",Painel_diario!$J3738=1),EXP(Painel_diario!$L3738),1)-1</f>
        <v/>
      </c>
      <c r="C3742" s="22">
        <f>(1+C3741)*IF(AND(Painel_diario!$H3738="EU_JU",Painel_diario!$J3738=1),EXP(Painel_diario!$L3738),1)-1</f>
        <v/>
      </c>
      <c r="D3742" s="22">
        <f>(1+D3741)*IF(AND(Painel_diario!$H3738="ED_JD",Painel_diario!$J3738=1),EXP(Painel_diario!$L3738),1)-1</f>
        <v/>
      </c>
      <c r="E3742" s="22">
        <f>(1+E3741)*IF(AND(Painel_diario!$H3738="ED_JU",Painel_diario!$J3738=1),EXP(Painel_diario!$L3738),1)-1</f>
        <v/>
      </c>
    </row>
    <row r="3743">
      <c r="A3743" s="25" t="n">
        <v>44344</v>
      </c>
      <c r="B3743" s="22">
        <f>(1+B3742)*IF(AND(Painel_diario!$H3739="EU_JD",Painel_diario!$J3739=1),EXP(Painel_diario!$L3739),1)-1</f>
        <v/>
      </c>
      <c r="C3743" s="22">
        <f>(1+C3742)*IF(AND(Painel_diario!$H3739="EU_JU",Painel_diario!$J3739=1),EXP(Painel_diario!$L3739),1)-1</f>
        <v/>
      </c>
      <c r="D3743" s="22">
        <f>(1+D3742)*IF(AND(Painel_diario!$H3739="ED_JD",Painel_diario!$J3739=1),EXP(Painel_diario!$L3739),1)-1</f>
        <v/>
      </c>
      <c r="E3743" s="22">
        <f>(1+E3742)*IF(AND(Painel_diario!$H3739="ED_JU",Painel_diario!$J3739=1),EXP(Painel_diario!$L3739),1)-1</f>
        <v/>
      </c>
    </row>
    <row r="3744">
      <c r="A3744" s="25" t="n">
        <v>44347</v>
      </c>
      <c r="B3744" s="22">
        <f>(1+B3743)*IF(AND(Painel_diario!$H3740="EU_JD",Painel_diario!$J3740=1),EXP(Painel_diario!$L3740),1)-1</f>
        <v/>
      </c>
      <c r="C3744" s="22">
        <f>(1+C3743)*IF(AND(Painel_diario!$H3740="EU_JU",Painel_diario!$J3740=1),EXP(Painel_diario!$L3740),1)-1</f>
        <v/>
      </c>
      <c r="D3744" s="22">
        <f>(1+D3743)*IF(AND(Painel_diario!$H3740="ED_JD",Painel_diario!$J3740=1),EXP(Painel_diario!$L3740),1)-1</f>
        <v/>
      </c>
      <c r="E3744" s="22">
        <f>(1+E3743)*IF(AND(Painel_diario!$H3740="ED_JU",Painel_diario!$J3740=1),EXP(Painel_diario!$L3740),1)-1</f>
        <v/>
      </c>
    </row>
    <row r="3745">
      <c r="A3745" s="25" t="n">
        <v>44348</v>
      </c>
      <c r="B3745" s="22">
        <f>(1+B3744)*IF(AND(Painel_diario!$H3741="EU_JD",Painel_diario!$J3741=1),EXP(Painel_diario!$L3741),1)-1</f>
        <v/>
      </c>
      <c r="C3745" s="22">
        <f>(1+C3744)*IF(AND(Painel_diario!$H3741="EU_JU",Painel_diario!$J3741=1),EXP(Painel_diario!$L3741),1)-1</f>
        <v/>
      </c>
      <c r="D3745" s="22">
        <f>(1+D3744)*IF(AND(Painel_diario!$H3741="ED_JD",Painel_diario!$J3741=1),EXP(Painel_diario!$L3741),1)-1</f>
        <v/>
      </c>
      <c r="E3745" s="22">
        <f>(1+E3744)*IF(AND(Painel_diario!$H3741="ED_JU",Painel_diario!$J3741=1),EXP(Painel_diario!$L3741),1)-1</f>
        <v/>
      </c>
    </row>
    <row r="3746">
      <c r="A3746" s="25" t="n">
        <v>44349</v>
      </c>
      <c r="B3746" s="22">
        <f>(1+B3745)*IF(AND(Painel_diario!$H3742="EU_JD",Painel_diario!$J3742=1),EXP(Painel_diario!$L3742),1)-1</f>
        <v/>
      </c>
      <c r="C3746" s="22">
        <f>(1+C3745)*IF(AND(Painel_diario!$H3742="EU_JU",Painel_diario!$J3742=1),EXP(Painel_diario!$L3742),1)-1</f>
        <v/>
      </c>
      <c r="D3746" s="22">
        <f>(1+D3745)*IF(AND(Painel_diario!$H3742="ED_JD",Painel_diario!$J3742=1),EXP(Painel_diario!$L3742),1)-1</f>
        <v/>
      </c>
      <c r="E3746" s="22">
        <f>(1+E3745)*IF(AND(Painel_diario!$H3742="ED_JU",Painel_diario!$J3742=1),EXP(Painel_diario!$L3742),1)-1</f>
        <v/>
      </c>
    </row>
    <row r="3747">
      <c r="A3747" s="25" t="n">
        <v>44351</v>
      </c>
      <c r="B3747" s="22">
        <f>(1+B3746)*IF(AND(Painel_diario!$H3743="EU_JD",Painel_diario!$J3743=1),EXP(Painel_diario!$L3743),1)-1</f>
        <v/>
      </c>
      <c r="C3747" s="22">
        <f>(1+C3746)*IF(AND(Painel_diario!$H3743="EU_JU",Painel_diario!$J3743=1),EXP(Painel_diario!$L3743),1)-1</f>
        <v/>
      </c>
      <c r="D3747" s="22">
        <f>(1+D3746)*IF(AND(Painel_diario!$H3743="ED_JD",Painel_diario!$J3743=1),EXP(Painel_diario!$L3743),1)-1</f>
        <v/>
      </c>
      <c r="E3747" s="22">
        <f>(1+E3746)*IF(AND(Painel_diario!$H3743="ED_JU",Painel_diario!$J3743=1),EXP(Painel_diario!$L3743),1)-1</f>
        <v/>
      </c>
    </row>
    <row r="3748">
      <c r="A3748" s="25" t="n">
        <v>44354</v>
      </c>
      <c r="B3748" s="22">
        <f>(1+B3747)*IF(AND(Painel_diario!$H3744="EU_JD",Painel_diario!$J3744=1),EXP(Painel_diario!$L3744),1)-1</f>
        <v/>
      </c>
      <c r="C3748" s="22">
        <f>(1+C3747)*IF(AND(Painel_diario!$H3744="EU_JU",Painel_diario!$J3744=1),EXP(Painel_diario!$L3744),1)-1</f>
        <v/>
      </c>
      <c r="D3748" s="22">
        <f>(1+D3747)*IF(AND(Painel_diario!$H3744="ED_JD",Painel_diario!$J3744=1),EXP(Painel_diario!$L3744),1)-1</f>
        <v/>
      </c>
      <c r="E3748" s="22">
        <f>(1+E3747)*IF(AND(Painel_diario!$H3744="ED_JU",Painel_diario!$J3744=1),EXP(Painel_diario!$L3744),1)-1</f>
        <v/>
      </c>
    </row>
    <row r="3749">
      <c r="A3749" s="25" t="n">
        <v>44355</v>
      </c>
      <c r="B3749" s="22">
        <f>(1+B3748)*IF(AND(Painel_diario!$H3745="EU_JD",Painel_diario!$J3745=1),EXP(Painel_diario!$L3745),1)-1</f>
        <v/>
      </c>
      <c r="C3749" s="22">
        <f>(1+C3748)*IF(AND(Painel_diario!$H3745="EU_JU",Painel_diario!$J3745=1),EXP(Painel_diario!$L3745),1)-1</f>
        <v/>
      </c>
      <c r="D3749" s="22">
        <f>(1+D3748)*IF(AND(Painel_diario!$H3745="ED_JD",Painel_diario!$J3745=1),EXP(Painel_diario!$L3745),1)-1</f>
        <v/>
      </c>
      <c r="E3749" s="22">
        <f>(1+E3748)*IF(AND(Painel_diario!$H3745="ED_JU",Painel_diario!$J3745=1),EXP(Painel_diario!$L3745),1)-1</f>
        <v/>
      </c>
    </row>
    <row r="3750">
      <c r="A3750" s="25" t="n">
        <v>44356</v>
      </c>
      <c r="B3750" s="22">
        <f>(1+B3749)*IF(AND(Painel_diario!$H3746="EU_JD",Painel_diario!$J3746=1),EXP(Painel_diario!$L3746),1)-1</f>
        <v/>
      </c>
      <c r="C3750" s="22">
        <f>(1+C3749)*IF(AND(Painel_diario!$H3746="EU_JU",Painel_diario!$J3746=1),EXP(Painel_diario!$L3746),1)-1</f>
        <v/>
      </c>
      <c r="D3750" s="22">
        <f>(1+D3749)*IF(AND(Painel_diario!$H3746="ED_JD",Painel_diario!$J3746=1),EXP(Painel_diario!$L3746),1)-1</f>
        <v/>
      </c>
      <c r="E3750" s="22">
        <f>(1+E3749)*IF(AND(Painel_diario!$H3746="ED_JU",Painel_diario!$J3746=1),EXP(Painel_diario!$L3746),1)-1</f>
        <v/>
      </c>
    </row>
    <row r="3751">
      <c r="A3751" s="25" t="n">
        <v>44357</v>
      </c>
      <c r="B3751" s="22">
        <f>(1+B3750)*IF(AND(Painel_diario!$H3747="EU_JD",Painel_diario!$J3747=1),EXP(Painel_diario!$L3747),1)-1</f>
        <v/>
      </c>
      <c r="C3751" s="22">
        <f>(1+C3750)*IF(AND(Painel_diario!$H3747="EU_JU",Painel_diario!$J3747=1),EXP(Painel_diario!$L3747),1)-1</f>
        <v/>
      </c>
      <c r="D3751" s="22">
        <f>(1+D3750)*IF(AND(Painel_diario!$H3747="ED_JD",Painel_diario!$J3747=1),EXP(Painel_diario!$L3747),1)-1</f>
        <v/>
      </c>
      <c r="E3751" s="22">
        <f>(1+E3750)*IF(AND(Painel_diario!$H3747="ED_JU",Painel_diario!$J3747=1),EXP(Painel_diario!$L3747),1)-1</f>
        <v/>
      </c>
    </row>
    <row r="3752">
      <c r="A3752" s="25" t="n">
        <v>44358</v>
      </c>
      <c r="B3752" s="22">
        <f>(1+B3751)*IF(AND(Painel_diario!$H3748="EU_JD",Painel_diario!$J3748=1),EXP(Painel_diario!$L3748),1)-1</f>
        <v/>
      </c>
      <c r="C3752" s="22">
        <f>(1+C3751)*IF(AND(Painel_diario!$H3748="EU_JU",Painel_diario!$J3748=1),EXP(Painel_diario!$L3748),1)-1</f>
        <v/>
      </c>
      <c r="D3752" s="22">
        <f>(1+D3751)*IF(AND(Painel_diario!$H3748="ED_JD",Painel_diario!$J3748=1),EXP(Painel_diario!$L3748),1)-1</f>
        <v/>
      </c>
      <c r="E3752" s="22">
        <f>(1+E3751)*IF(AND(Painel_diario!$H3748="ED_JU",Painel_diario!$J3748=1),EXP(Painel_diario!$L3748),1)-1</f>
        <v/>
      </c>
    </row>
    <row r="3753">
      <c r="A3753" s="25" t="n">
        <v>44361</v>
      </c>
      <c r="B3753" s="22">
        <f>(1+B3752)*IF(AND(Painel_diario!$H3749="EU_JD",Painel_diario!$J3749=1),EXP(Painel_diario!$L3749),1)-1</f>
        <v/>
      </c>
      <c r="C3753" s="22">
        <f>(1+C3752)*IF(AND(Painel_diario!$H3749="EU_JU",Painel_diario!$J3749=1),EXP(Painel_diario!$L3749),1)-1</f>
        <v/>
      </c>
      <c r="D3753" s="22">
        <f>(1+D3752)*IF(AND(Painel_diario!$H3749="ED_JD",Painel_diario!$J3749=1),EXP(Painel_diario!$L3749),1)-1</f>
        <v/>
      </c>
      <c r="E3753" s="22">
        <f>(1+E3752)*IF(AND(Painel_diario!$H3749="ED_JU",Painel_diario!$J3749=1),EXP(Painel_diario!$L3749),1)-1</f>
        <v/>
      </c>
    </row>
    <row r="3754">
      <c r="A3754" s="25" t="n">
        <v>44362</v>
      </c>
      <c r="B3754" s="22">
        <f>(1+B3753)*IF(AND(Painel_diario!$H3750="EU_JD",Painel_diario!$J3750=1),EXP(Painel_diario!$L3750),1)-1</f>
        <v/>
      </c>
      <c r="C3754" s="22">
        <f>(1+C3753)*IF(AND(Painel_diario!$H3750="EU_JU",Painel_diario!$J3750=1),EXP(Painel_diario!$L3750),1)-1</f>
        <v/>
      </c>
      <c r="D3754" s="22">
        <f>(1+D3753)*IF(AND(Painel_diario!$H3750="ED_JD",Painel_diario!$J3750=1),EXP(Painel_diario!$L3750),1)-1</f>
        <v/>
      </c>
      <c r="E3754" s="22">
        <f>(1+E3753)*IF(AND(Painel_diario!$H3750="ED_JU",Painel_diario!$J3750=1),EXP(Painel_diario!$L3750),1)-1</f>
        <v/>
      </c>
    </row>
    <row r="3755">
      <c r="A3755" s="25" t="n">
        <v>44363</v>
      </c>
      <c r="B3755" s="22">
        <f>(1+B3754)*IF(AND(Painel_diario!$H3751="EU_JD",Painel_diario!$J3751=1),EXP(Painel_diario!$L3751),1)-1</f>
        <v/>
      </c>
      <c r="C3755" s="22">
        <f>(1+C3754)*IF(AND(Painel_diario!$H3751="EU_JU",Painel_diario!$J3751=1),EXP(Painel_diario!$L3751),1)-1</f>
        <v/>
      </c>
      <c r="D3755" s="22">
        <f>(1+D3754)*IF(AND(Painel_diario!$H3751="ED_JD",Painel_diario!$J3751=1),EXP(Painel_diario!$L3751),1)-1</f>
        <v/>
      </c>
      <c r="E3755" s="22">
        <f>(1+E3754)*IF(AND(Painel_diario!$H3751="ED_JU",Painel_diario!$J3751=1),EXP(Painel_diario!$L3751),1)-1</f>
        <v/>
      </c>
    </row>
    <row r="3756">
      <c r="A3756" s="25" t="n">
        <v>44364</v>
      </c>
      <c r="B3756" s="22">
        <f>(1+B3755)*IF(AND(Painel_diario!$H3752="EU_JD",Painel_diario!$J3752=1),EXP(Painel_diario!$L3752),1)-1</f>
        <v/>
      </c>
      <c r="C3756" s="22">
        <f>(1+C3755)*IF(AND(Painel_diario!$H3752="EU_JU",Painel_diario!$J3752=1),EXP(Painel_diario!$L3752),1)-1</f>
        <v/>
      </c>
      <c r="D3756" s="22">
        <f>(1+D3755)*IF(AND(Painel_diario!$H3752="ED_JD",Painel_diario!$J3752=1),EXP(Painel_diario!$L3752),1)-1</f>
        <v/>
      </c>
      <c r="E3756" s="22">
        <f>(1+E3755)*IF(AND(Painel_diario!$H3752="ED_JU",Painel_diario!$J3752=1),EXP(Painel_diario!$L3752),1)-1</f>
        <v/>
      </c>
    </row>
    <row r="3757">
      <c r="A3757" s="25" t="n">
        <v>44365</v>
      </c>
      <c r="B3757" s="22">
        <f>(1+B3756)*IF(AND(Painel_diario!$H3753="EU_JD",Painel_diario!$J3753=1),EXP(Painel_diario!$L3753),1)-1</f>
        <v/>
      </c>
      <c r="C3757" s="22">
        <f>(1+C3756)*IF(AND(Painel_diario!$H3753="EU_JU",Painel_diario!$J3753=1),EXP(Painel_diario!$L3753),1)-1</f>
        <v/>
      </c>
      <c r="D3757" s="22">
        <f>(1+D3756)*IF(AND(Painel_diario!$H3753="ED_JD",Painel_diario!$J3753=1),EXP(Painel_diario!$L3753),1)-1</f>
        <v/>
      </c>
      <c r="E3757" s="22">
        <f>(1+E3756)*IF(AND(Painel_diario!$H3753="ED_JU",Painel_diario!$J3753=1),EXP(Painel_diario!$L3753),1)-1</f>
        <v/>
      </c>
    </row>
    <row r="3758">
      <c r="A3758" s="25" t="n">
        <v>44368</v>
      </c>
      <c r="B3758" s="22">
        <f>(1+B3757)*IF(AND(Painel_diario!$H3754="EU_JD",Painel_diario!$J3754=1),EXP(Painel_diario!$L3754),1)-1</f>
        <v/>
      </c>
      <c r="C3758" s="22">
        <f>(1+C3757)*IF(AND(Painel_diario!$H3754="EU_JU",Painel_diario!$J3754=1),EXP(Painel_diario!$L3754),1)-1</f>
        <v/>
      </c>
      <c r="D3758" s="22">
        <f>(1+D3757)*IF(AND(Painel_diario!$H3754="ED_JD",Painel_diario!$J3754=1),EXP(Painel_diario!$L3754),1)-1</f>
        <v/>
      </c>
      <c r="E3758" s="22">
        <f>(1+E3757)*IF(AND(Painel_diario!$H3754="ED_JU",Painel_diario!$J3754=1),EXP(Painel_diario!$L3754),1)-1</f>
        <v/>
      </c>
    </row>
    <row r="3759">
      <c r="A3759" s="25" t="n">
        <v>44369</v>
      </c>
      <c r="B3759" s="22">
        <f>(1+B3758)*IF(AND(Painel_diario!$H3755="EU_JD",Painel_diario!$J3755=1),EXP(Painel_diario!$L3755),1)-1</f>
        <v/>
      </c>
      <c r="C3759" s="22">
        <f>(1+C3758)*IF(AND(Painel_diario!$H3755="EU_JU",Painel_diario!$J3755=1),EXP(Painel_diario!$L3755),1)-1</f>
        <v/>
      </c>
      <c r="D3759" s="22">
        <f>(1+D3758)*IF(AND(Painel_diario!$H3755="ED_JD",Painel_diario!$J3755=1),EXP(Painel_diario!$L3755),1)-1</f>
        <v/>
      </c>
      <c r="E3759" s="22">
        <f>(1+E3758)*IF(AND(Painel_diario!$H3755="ED_JU",Painel_diario!$J3755=1),EXP(Painel_diario!$L3755),1)-1</f>
        <v/>
      </c>
    </row>
    <row r="3760">
      <c r="A3760" s="25" t="n">
        <v>44370</v>
      </c>
      <c r="B3760" s="22">
        <f>(1+B3759)*IF(AND(Painel_diario!$H3756="EU_JD",Painel_diario!$J3756=1),EXP(Painel_diario!$L3756),1)-1</f>
        <v/>
      </c>
      <c r="C3760" s="22">
        <f>(1+C3759)*IF(AND(Painel_diario!$H3756="EU_JU",Painel_diario!$J3756=1),EXP(Painel_diario!$L3756),1)-1</f>
        <v/>
      </c>
      <c r="D3760" s="22">
        <f>(1+D3759)*IF(AND(Painel_diario!$H3756="ED_JD",Painel_diario!$J3756=1),EXP(Painel_diario!$L3756),1)-1</f>
        <v/>
      </c>
      <c r="E3760" s="22">
        <f>(1+E3759)*IF(AND(Painel_diario!$H3756="ED_JU",Painel_diario!$J3756=1),EXP(Painel_diario!$L3756),1)-1</f>
        <v/>
      </c>
    </row>
    <row r="3761">
      <c r="A3761" s="25" t="n">
        <v>44371</v>
      </c>
      <c r="B3761" s="22">
        <f>(1+B3760)*IF(AND(Painel_diario!$H3757="EU_JD",Painel_diario!$J3757=1),EXP(Painel_diario!$L3757),1)-1</f>
        <v/>
      </c>
      <c r="C3761" s="22">
        <f>(1+C3760)*IF(AND(Painel_diario!$H3757="EU_JU",Painel_diario!$J3757=1),EXP(Painel_diario!$L3757),1)-1</f>
        <v/>
      </c>
      <c r="D3761" s="22">
        <f>(1+D3760)*IF(AND(Painel_diario!$H3757="ED_JD",Painel_diario!$J3757=1),EXP(Painel_diario!$L3757),1)-1</f>
        <v/>
      </c>
      <c r="E3761" s="22">
        <f>(1+E3760)*IF(AND(Painel_diario!$H3757="ED_JU",Painel_diario!$J3757=1),EXP(Painel_diario!$L3757),1)-1</f>
        <v/>
      </c>
    </row>
    <row r="3762">
      <c r="A3762" s="25" t="n">
        <v>44372</v>
      </c>
      <c r="B3762" s="22">
        <f>(1+B3761)*IF(AND(Painel_diario!$H3758="EU_JD",Painel_diario!$J3758=1),EXP(Painel_diario!$L3758),1)-1</f>
        <v/>
      </c>
      <c r="C3762" s="22">
        <f>(1+C3761)*IF(AND(Painel_diario!$H3758="EU_JU",Painel_diario!$J3758=1),EXP(Painel_diario!$L3758),1)-1</f>
        <v/>
      </c>
      <c r="D3762" s="22">
        <f>(1+D3761)*IF(AND(Painel_diario!$H3758="ED_JD",Painel_diario!$J3758=1),EXP(Painel_diario!$L3758),1)-1</f>
        <v/>
      </c>
      <c r="E3762" s="22">
        <f>(1+E3761)*IF(AND(Painel_diario!$H3758="ED_JU",Painel_diario!$J3758=1),EXP(Painel_diario!$L3758),1)-1</f>
        <v/>
      </c>
    </row>
    <row r="3763">
      <c r="A3763" s="25" t="n">
        <v>44375</v>
      </c>
      <c r="B3763" s="22">
        <f>(1+B3762)*IF(AND(Painel_diario!$H3759="EU_JD",Painel_diario!$J3759=1),EXP(Painel_diario!$L3759),1)-1</f>
        <v/>
      </c>
      <c r="C3763" s="22">
        <f>(1+C3762)*IF(AND(Painel_diario!$H3759="EU_JU",Painel_diario!$J3759=1),EXP(Painel_diario!$L3759),1)-1</f>
        <v/>
      </c>
      <c r="D3763" s="22">
        <f>(1+D3762)*IF(AND(Painel_diario!$H3759="ED_JD",Painel_diario!$J3759=1),EXP(Painel_diario!$L3759),1)-1</f>
        <v/>
      </c>
      <c r="E3763" s="22">
        <f>(1+E3762)*IF(AND(Painel_diario!$H3759="ED_JU",Painel_diario!$J3759=1),EXP(Painel_diario!$L3759),1)-1</f>
        <v/>
      </c>
    </row>
    <row r="3764">
      <c r="A3764" s="25" t="n">
        <v>44376</v>
      </c>
      <c r="B3764" s="22">
        <f>(1+B3763)*IF(AND(Painel_diario!$H3760="EU_JD",Painel_diario!$J3760=1),EXP(Painel_diario!$L3760),1)-1</f>
        <v/>
      </c>
      <c r="C3764" s="22">
        <f>(1+C3763)*IF(AND(Painel_diario!$H3760="EU_JU",Painel_diario!$J3760=1),EXP(Painel_diario!$L3760),1)-1</f>
        <v/>
      </c>
      <c r="D3764" s="22">
        <f>(1+D3763)*IF(AND(Painel_diario!$H3760="ED_JD",Painel_diario!$J3760=1),EXP(Painel_diario!$L3760),1)-1</f>
        <v/>
      </c>
      <c r="E3764" s="22">
        <f>(1+E3763)*IF(AND(Painel_diario!$H3760="ED_JU",Painel_diario!$J3760=1),EXP(Painel_diario!$L3760),1)-1</f>
        <v/>
      </c>
    </row>
    <row r="3765">
      <c r="A3765" s="25" t="n">
        <v>44377</v>
      </c>
      <c r="B3765" s="22">
        <f>(1+B3764)*IF(AND(Painel_diario!$H3761="EU_JD",Painel_diario!$J3761=1),EXP(Painel_diario!$L3761),1)-1</f>
        <v/>
      </c>
      <c r="C3765" s="22">
        <f>(1+C3764)*IF(AND(Painel_diario!$H3761="EU_JU",Painel_diario!$J3761=1),EXP(Painel_diario!$L3761),1)-1</f>
        <v/>
      </c>
      <c r="D3765" s="22">
        <f>(1+D3764)*IF(AND(Painel_diario!$H3761="ED_JD",Painel_diario!$J3761=1),EXP(Painel_diario!$L3761),1)-1</f>
        <v/>
      </c>
      <c r="E3765" s="22">
        <f>(1+E3764)*IF(AND(Painel_diario!$H3761="ED_JU",Painel_diario!$J3761=1),EXP(Painel_diario!$L3761),1)-1</f>
        <v/>
      </c>
    </row>
    <row r="3766">
      <c r="A3766" s="25" t="n">
        <v>44378</v>
      </c>
      <c r="B3766" s="22">
        <f>(1+B3765)*IF(AND(Painel_diario!$H3762="EU_JD",Painel_diario!$J3762=1),EXP(Painel_diario!$L3762),1)-1</f>
        <v/>
      </c>
      <c r="C3766" s="22">
        <f>(1+C3765)*IF(AND(Painel_diario!$H3762="EU_JU",Painel_diario!$J3762=1),EXP(Painel_diario!$L3762),1)-1</f>
        <v/>
      </c>
      <c r="D3766" s="22">
        <f>(1+D3765)*IF(AND(Painel_diario!$H3762="ED_JD",Painel_diario!$J3762=1),EXP(Painel_diario!$L3762),1)-1</f>
        <v/>
      </c>
      <c r="E3766" s="22">
        <f>(1+E3765)*IF(AND(Painel_diario!$H3762="ED_JU",Painel_diario!$J3762=1),EXP(Painel_diario!$L3762),1)-1</f>
        <v/>
      </c>
    </row>
    <row r="3767">
      <c r="A3767" s="25" t="n">
        <v>44379</v>
      </c>
      <c r="B3767" s="22">
        <f>(1+B3766)*IF(AND(Painel_diario!$H3763="EU_JD",Painel_diario!$J3763=1),EXP(Painel_diario!$L3763),1)-1</f>
        <v/>
      </c>
      <c r="C3767" s="22">
        <f>(1+C3766)*IF(AND(Painel_diario!$H3763="EU_JU",Painel_diario!$J3763=1),EXP(Painel_diario!$L3763),1)-1</f>
        <v/>
      </c>
      <c r="D3767" s="22">
        <f>(1+D3766)*IF(AND(Painel_diario!$H3763="ED_JD",Painel_diario!$J3763=1),EXP(Painel_diario!$L3763),1)-1</f>
        <v/>
      </c>
      <c r="E3767" s="22">
        <f>(1+E3766)*IF(AND(Painel_diario!$H3763="ED_JU",Painel_diario!$J3763=1),EXP(Painel_diario!$L3763),1)-1</f>
        <v/>
      </c>
    </row>
    <row r="3768">
      <c r="A3768" s="25" t="n">
        <v>44382</v>
      </c>
      <c r="B3768" s="22">
        <f>(1+B3767)*IF(AND(Painel_diario!$H3764="EU_JD",Painel_diario!$J3764=1),EXP(Painel_diario!$L3764),1)-1</f>
        <v/>
      </c>
      <c r="C3768" s="22">
        <f>(1+C3767)*IF(AND(Painel_diario!$H3764="EU_JU",Painel_diario!$J3764=1),EXP(Painel_diario!$L3764),1)-1</f>
        <v/>
      </c>
      <c r="D3768" s="22">
        <f>(1+D3767)*IF(AND(Painel_diario!$H3764="ED_JD",Painel_diario!$J3764=1),EXP(Painel_diario!$L3764),1)-1</f>
        <v/>
      </c>
      <c r="E3768" s="22">
        <f>(1+E3767)*IF(AND(Painel_diario!$H3764="ED_JU",Painel_diario!$J3764=1),EXP(Painel_diario!$L3764),1)-1</f>
        <v/>
      </c>
    </row>
    <row r="3769">
      <c r="A3769" s="25" t="n">
        <v>44383</v>
      </c>
      <c r="B3769" s="22">
        <f>(1+B3768)*IF(AND(Painel_diario!$H3765="EU_JD",Painel_diario!$J3765=1),EXP(Painel_diario!$L3765),1)-1</f>
        <v/>
      </c>
      <c r="C3769" s="22">
        <f>(1+C3768)*IF(AND(Painel_diario!$H3765="EU_JU",Painel_diario!$J3765=1),EXP(Painel_diario!$L3765),1)-1</f>
        <v/>
      </c>
      <c r="D3769" s="22">
        <f>(1+D3768)*IF(AND(Painel_diario!$H3765="ED_JD",Painel_diario!$J3765=1),EXP(Painel_diario!$L3765),1)-1</f>
        <v/>
      </c>
      <c r="E3769" s="22">
        <f>(1+E3768)*IF(AND(Painel_diario!$H3765="ED_JU",Painel_diario!$J3765=1),EXP(Painel_diario!$L3765),1)-1</f>
        <v/>
      </c>
    </row>
    <row r="3770">
      <c r="A3770" s="25" t="n">
        <v>44384</v>
      </c>
      <c r="B3770" s="22">
        <f>(1+B3769)*IF(AND(Painel_diario!$H3766="EU_JD",Painel_diario!$J3766=1),EXP(Painel_diario!$L3766),1)-1</f>
        <v/>
      </c>
      <c r="C3770" s="22">
        <f>(1+C3769)*IF(AND(Painel_diario!$H3766="EU_JU",Painel_diario!$J3766=1),EXP(Painel_diario!$L3766),1)-1</f>
        <v/>
      </c>
      <c r="D3770" s="22">
        <f>(1+D3769)*IF(AND(Painel_diario!$H3766="ED_JD",Painel_diario!$J3766=1),EXP(Painel_diario!$L3766),1)-1</f>
        <v/>
      </c>
      <c r="E3770" s="22">
        <f>(1+E3769)*IF(AND(Painel_diario!$H3766="ED_JU",Painel_diario!$J3766=1),EXP(Painel_diario!$L3766),1)-1</f>
        <v/>
      </c>
    </row>
    <row r="3771">
      <c r="A3771" s="25" t="n">
        <v>44385</v>
      </c>
      <c r="B3771" s="22">
        <f>(1+B3770)*IF(AND(Painel_diario!$H3767="EU_JD",Painel_diario!$J3767=1),EXP(Painel_diario!$L3767),1)-1</f>
        <v/>
      </c>
      <c r="C3771" s="22">
        <f>(1+C3770)*IF(AND(Painel_diario!$H3767="EU_JU",Painel_diario!$J3767=1),EXP(Painel_diario!$L3767),1)-1</f>
        <v/>
      </c>
      <c r="D3771" s="22">
        <f>(1+D3770)*IF(AND(Painel_diario!$H3767="ED_JD",Painel_diario!$J3767=1),EXP(Painel_diario!$L3767),1)-1</f>
        <v/>
      </c>
      <c r="E3771" s="22">
        <f>(1+E3770)*IF(AND(Painel_diario!$H3767="ED_JU",Painel_diario!$J3767=1),EXP(Painel_diario!$L3767),1)-1</f>
        <v/>
      </c>
    </row>
    <row r="3772">
      <c r="A3772" s="25" t="n">
        <v>44389</v>
      </c>
      <c r="B3772" s="22">
        <f>(1+B3771)*IF(AND(Painel_diario!$H3768="EU_JD",Painel_diario!$J3768=1),EXP(Painel_diario!$L3768),1)-1</f>
        <v/>
      </c>
      <c r="C3772" s="22">
        <f>(1+C3771)*IF(AND(Painel_diario!$H3768="EU_JU",Painel_diario!$J3768=1),EXP(Painel_diario!$L3768),1)-1</f>
        <v/>
      </c>
      <c r="D3772" s="22">
        <f>(1+D3771)*IF(AND(Painel_diario!$H3768="ED_JD",Painel_diario!$J3768=1),EXP(Painel_diario!$L3768),1)-1</f>
        <v/>
      </c>
      <c r="E3772" s="22">
        <f>(1+E3771)*IF(AND(Painel_diario!$H3768="ED_JU",Painel_diario!$J3768=1),EXP(Painel_diario!$L3768),1)-1</f>
        <v/>
      </c>
    </row>
    <row r="3773">
      <c r="A3773" s="25" t="n">
        <v>44390</v>
      </c>
      <c r="B3773" s="22">
        <f>(1+B3772)*IF(AND(Painel_diario!$H3769="EU_JD",Painel_diario!$J3769=1),EXP(Painel_diario!$L3769),1)-1</f>
        <v/>
      </c>
      <c r="C3773" s="22">
        <f>(1+C3772)*IF(AND(Painel_diario!$H3769="EU_JU",Painel_diario!$J3769=1),EXP(Painel_diario!$L3769),1)-1</f>
        <v/>
      </c>
      <c r="D3773" s="22">
        <f>(1+D3772)*IF(AND(Painel_diario!$H3769="ED_JD",Painel_diario!$J3769=1),EXP(Painel_diario!$L3769),1)-1</f>
        <v/>
      </c>
      <c r="E3773" s="22">
        <f>(1+E3772)*IF(AND(Painel_diario!$H3769="ED_JU",Painel_diario!$J3769=1),EXP(Painel_diario!$L3769),1)-1</f>
        <v/>
      </c>
    </row>
    <row r="3774">
      <c r="A3774" s="25" t="n">
        <v>44391</v>
      </c>
      <c r="B3774" s="22">
        <f>(1+B3773)*IF(AND(Painel_diario!$H3770="EU_JD",Painel_diario!$J3770=1),EXP(Painel_diario!$L3770),1)-1</f>
        <v/>
      </c>
      <c r="C3774" s="22">
        <f>(1+C3773)*IF(AND(Painel_diario!$H3770="EU_JU",Painel_diario!$J3770=1),EXP(Painel_diario!$L3770),1)-1</f>
        <v/>
      </c>
      <c r="D3774" s="22">
        <f>(1+D3773)*IF(AND(Painel_diario!$H3770="ED_JD",Painel_diario!$J3770=1),EXP(Painel_diario!$L3770),1)-1</f>
        <v/>
      </c>
      <c r="E3774" s="22">
        <f>(1+E3773)*IF(AND(Painel_diario!$H3770="ED_JU",Painel_diario!$J3770=1),EXP(Painel_diario!$L3770),1)-1</f>
        <v/>
      </c>
    </row>
    <row r="3775">
      <c r="A3775" s="25" t="n">
        <v>44392</v>
      </c>
      <c r="B3775" s="22">
        <f>(1+B3774)*IF(AND(Painel_diario!$H3771="EU_JD",Painel_diario!$J3771=1),EXP(Painel_diario!$L3771),1)-1</f>
        <v/>
      </c>
      <c r="C3775" s="22">
        <f>(1+C3774)*IF(AND(Painel_diario!$H3771="EU_JU",Painel_diario!$J3771=1),EXP(Painel_diario!$L3771),1)-1</f>
        <v/>
      </c>
      <c r="D3775" s="22">
        <f>(1+D3774)*IF(AND(Painel_diario!$H3771="ED_JD",Painel_diario!$J3771=1),EXP(Painel_diario!$L3771),1)-1</f>
        <v/>
      </c>
      <c r="E3775" s="22">
        <f>(1+E3774)*IF(AND(Painel_diario!$H3771="ED_JU",Painel_diario!$J3771=1),EXP(Painel_diario!$L3771),1)-1</f>
        <v/>
      </c>
    </row>
    <row r="3776">
      <c r="A3776" s="25" t="n">
        <v>44393</v>
      </c>
      <c r="B3776" s="22">
        <f>(1+B3775)*IF(AND(Painel_diario!$H3772="EU_JD",Painel_diario!$J3772=1),EXP(Painel_diario!$L3772),1)-1</f>
        <v/>
      </c>
      <c r="C3776" s="22">
        <f>(1+C3775)*IF(AND(Painel_diario!$H3772="EU_JU",Painel_diario!$J3772=1),EXP(Painel_diario!$L3772),1)-1</f>
        <v/>
      </c>
      <c r="D3776" s="22">
        <f>(1+D3775)*IF(AND(Painel_diario!$H3772="ED_JD",Painel_diario!$J3772=1),EXP(Painel_diario!$L3772),1)-1</f>
        <v/>
      </c>
      <c r="E3776" s="22">
        <f>(1+E3775)*IF(AND(Painel_diario!$H3772="ED_JU",Painel_diario!$J3772=1),EXP(Painel_diario!$L3772),1)-1</f>
        <v/>
      </c>
    </row>
    <row r="3777">
      <c r="A3777" s="25" t="n">
        <v>44396</v>
      </c>
      <c r="B3777" s="22">
        <f>(1+B3776)*IF(AND(Painel_diario!$H3773="EU_JD",Painel_diario!$J3773=1),EXP(Painel_diario!$L3773),1)-1</f>
        <v/>
      </c>
      <c r="C3777" s="22">
        <f>(1+C3776)*IF(AND(Painel_diario!$H3773="EU_JU",Painel_diario!$J3773=1),EXP(Painel_diario!$L3773),1)-1</f>
        <v/>
      </c>
      <c r="D3777" s="22">
        <f>(1+D3776)*IF(AND(Painel_diario!$H3773="ED_JD",Painel_diario!$J3773=1),EXP(Painel_diario!$L3773),1)-1</f>
        <v/>
      </c>
      <c r="E3777" s="22">
        <f>(1+E3776)*IF(AND(Painel_diario!$H3773="ED_JU",Painel_diario!$J3773=1),EXP(Painel_diario!$L3773),1)-1</f>
        <v/>
      </c>
    </row>
    <row r="3778">
      <c r="A3778" s="25" t="n">
        <v>44397</v>
      </c>
      <c r="B3778" s="22">
        <f>(1+B3777)*IF(AND(Painel_diario!$H3774="EU_JD",Painel_diario!$J3774=1),EXP(Painel_diario!$L3774),1)-1</f>
        <v/>
      </c>
      <c r="C3778" s="22">
        <f>(1+C3777)*IF(AND(Painel_diario!$H3774="EU_JU",Painel_diario!$J3774=1),EXP(Painel_diario!$L3774),1)-1</f>
        <v/>
      </c>
      <c r="D3778" s="22">
        <f>(1+D3777)*IF(AND(Painel_diario!$H3774="ED_JD",Painel_diario!$J3774=1),EXP(Painel_diario!$L3774),1)-1</f>
        <v/>
      </c>
      <c r="E3778" s="22">
        <f>(1+E3777)*IF(AND(Painel_diario!$H3774="ED_JU",Painel_diario!$J3774=1),EXP(Painel_diario!$L3774),1)-1</f>
        <v/>
      </c>
    </row>
    <row r="3779">
      <c r="A3779" s="25" t="n">
        <v>44398</v>
      </c>
      <c r="B3779" s="22">
        <f>(1+B3778)*IF(AND(Painel_diario!$H3775="EU_JD",Painel_diario!$J3775=1),EXP(Painel_diario!$L3775),1)-1</f>
        <v/>
      </c>
      <c r="C3779" s="22">
        <f>(1+C3778)*IF(AND(Painel_diario!$H3775="EU_JU",Painel_diario!$J3775=1),EXP(Painel_diario!$L3775),1)-1</f>
        <v/>
      </c>
      <c r="D3779" s="22">
        <f>(1+D3778)*IF(AND(Painel_diario!$H3775="ED_JD",Painel_diario!$J3775=1),EXP(Painel_diario!$L3775),1)-1</f>
        <v/>
      </c>
      <c r="E3779" s="22">
        <f>(1+E3778)*IF(AND(Painel_diario!$H3775="ED_JU",Painel_diario!$J3775=1),EXP(Painel_diario!$L3775),1)-1</f>
        <v/>
      </c>
    </row>
    <row r="3780">
      <c r="A3780" s="25" t="n">
        <v>44399</v>
      </c>
      <c r="B3780" s="22">
        <f>(1+B3779)*IF(AND(Painel_diario!$H3776="EU_JD",Painel_diario!$J3776=1),EXP(Painel_diario!$L3776),1)-1</f>
        <v/>
      </c>
      <c r="C3780" s="22">
        <f>(1+C3779)*IF(AND(Painel_diario!$H3776="EU_JU",Painel_diario!$J3776=1),EXP(Painel_diario!$L3776),1)-1</f>
        <v/>
      </c>
      <c r="D3780" s="22">
        <f>(1+D3779)*IF(AND(Painel_diario!$H3776="ED_JD",Painel_diario!$J3776=1),EXP(Painel_diario!$L3776),1)-1</f>
        <v/>
      </c>
      <c r="E3780" s="22">
        <f>(1+E3779)*IF(AND(Painel_diario!$H3776="ED_JU",Painel_diario!$J3776=1),EXP(Painel_diario!$L3776),1)-1</f>
        <v/>
      </c>
    </row>
    <row r="3781">
      <c r="A3781" s="25" t="n">
        <v>44400</v>
      </c>
      <c r="B3781" s="22">
        <f>(1+B3780)*IF(AND(Painel_diario!$H3777="EU_JD",Painel_diario!$J3777=1),EXP(Painel_diario!$L3777),1)-1</f>
        <v/>
      </c>
      <c r="C3781" s="22">
        <f>(1+C3780)*IF(AND(Painel_diario!$H3777="EU_JU",Painel_diario!$J3777=1),EXP(Painel_diario!$L3777),1)-1</f>
        <v/>
      </c>
      <c r="D3781" s="22">
        <f>(1+D3780)*IF(AND(Painel_diario!$H3777="ED_JD",Painel_diario!$J3777=1),EXP(Painel_diario!$L3777),1)-1</f>
        <v/>
      </c>
      <c r="E3781" s="22">
        <f>(1+E3780)*IF(AND(Painel_diario!$H3777="ED_JU",Painel_diario!$J3777=1),EXP(Painel_diario!$L3777),1)-1</f>
        <v/>
      </c>
    </row>
    <row r="3782">
      <c r="A3782" s="25" t="n">
        <v>44403</v>
      </c>
      <c r="B3782" s="22">
        <f>(1+B3781)*IF(AND(Painel_diario!$H3778="EU_JD",Painel_diario!$J3778=1),EXP(Painel_diario!$L3778),1)-1</f>
        <v/>
      </c>
      <c r="C3782" s="22">
        <f>(1+C3781)*IF(AND(Painel_diario!$H3778="EU_JU",Painel_diario!$J3778=1),EXP(Painel_diario!$L3778),1)-1</f>
        <v/>
      </c>
      <c r="D3782" s="22">
        <f>(1+D3781)*IF(AND(Painel_diario!$H3778="ED_JD",Painel_diario!$J3778=1),EXP(Painel_diario!$L3778),1)-1</f>
        <v/>
      </c>
      <c r="E3782" s="22">
        <f>(1+E3781)*IF(AND(Painel_diario!$H3778="ED_JU",Painel_diario!$J3778=1),EXP(Painel_diario!$L3778),1)-1</f>
        <v/>
      </c>
    </row>
    <row r="3783">
      <c r="A3783" s="25" t="n">
        <v>44404</v>
      </c>
      <c r="B3783" s="22">
        <f>(1+B3782)*IF(AND(Painel_diario!$H3779="EU_JD",Painel_diario!$J3779=1),EXP(Painel_diario!$L3779),1)-1</f>
        <v/>
      </c>
      <c r="C3783" s="22">
        <f>(1+C3782)*IF(AND(Painel_diario!$H3779="EU_JU",Painel_diario!$J3779=1),EXP(Painel_diario!$L3779),1)-1</f>
        <v/>
      </c>
      <c r="D3783" s="22">
        <f>(1+D3782)*IF(AND(Painel_diario!$H3779="ED_JD",Painel_diario!$J3779=1),EXP(Painel_diario!$L3779),1)-1</f>
        <v/>
      </c>
      <c r="E3783" s="22">
        <f>(1+E3782)*IF(AND(Painel_diario!$H3779="ED_JU",Painel_diario!$J3779=1),EXP(Painel_diario!$L3779),1)-1</f>
        <v/>
      </c>
    </row>
    <row r="3784">
      <c r="A3784" s="25" t="n">
        <v>44405</v>
      </c>
      <c r="B3784" s="22">
        <f>(1+B3783)*IF(AND(Painel_diario!$H3780="EU_JD",Painel_diario!$J3780=1),EXP(Painel_diario!$L3780),1)-1</f>
        <v/>
      </c>
      <c r="C3784" s="22">
        <f>(1+C3783)*IF(AND(Painel_diario!$H3780="EU_JU",Painel_diario!$J3780=1),EXP(Painel_diario!$L3780),1)-1</f>
        <v/>
      </c>
      <c r="D3784" s="22">
        <f>(1+D3783)*IF(AND(Painel_diario!$H3780="ED_JD",Painel_diario!$J3780=1),EXP(Painel_diario!$L3780),1)-1</f>
        <v/>
      </c>
      <c r="E3784" s="22">
        <f>(1+E3783)*IF(AND(Painel_diario!$H3780="ED_JU",Painel_diario!$J3780=1),EXP(Painel_diario!$L3780),1)-1</f>
        <v/>
      </c>
    </row>
    <row r="3785">
      <c r="A3785" s="25" t="n">
        <v>44406</v>
      </c>
      <c r="B3785" s="22">
        <f>(1+B3784)*IF(AND(Painel_diario!$H3781="EU_JD",Painel_diario!$J3781=1),EXP(Painel_diario!$L3781),1)-1</f>
        <v/>
      </c>
      <c r="C3785" s="22">
        <f>(1+C3784)*IF(AND(Painel_diario!$H3781="EU_JU",Painel_diario!$J3781=1),EXP(Painel_diario!$L3781),1)-1</f>
        <v/>
      </c>
      <c r="D3785" s="22">
        <f>(1+D3784)*IF(AND(Painel_diario!$H3781="ED_JD",Painel_diario!$J3781=1),EXP(Painel_diario!$L3781),1)-1</f>
        <v/>
      </c>
      <c r="E3785" s="22">
        <f>(1+E3784)*IF(AND(Painel_diario!$H3781="ED_JU",Painel_diario!$J3781=1),EXP(Painel_diario!$L3781),1)-1</f>
        <v/>
      </c>
    </row>
    <row r="3786">
      <c r="A3786" s="25" t="n">
        <v>44407</v>
      </c>
      <c r="B3786" s="22">
        <f>(1+B3785)*IF(AND(Painel_diario!$H3782="EU_JD",Painel_diario!$J3782=1),EXP(Painel_diario!$L3782),1)-1</f>
        <v/>
      </c>
      <c r="C3786" s="22">
        <f>(1+C3785)*IF(AND(Painel_diario!$H3782="EU_JU",Painel_diario!$J3782=1),EXP(Painel_diario!$L3782),1)-1</f>
        <v/>
      </c>
      <c r="D3786" s="22">
        <f>(1+D3785)*IF(AND(Painel_diario!$H3782="ED_JD",Painel_diario!$J3782=1),EXP(Painel_diario!$L3782),1)-1</f>
        <v/>
      </c>
      <c r="E3786" s="22">
        <f>(1+E3785)*IF(AND(Painel_diario!$H3782="ED_JU",Painel_diario!$J3782=1),EXP(Painel_diario!$L3782),1)-1</f>
        <v/>
      </c>
    </row>
    <row r="3787">
      <c r="A3787" s="25" t="n">
        <v>44410</v>
      </c>
      <c r="B3787" s="22">
        <f>(1+B3786)*IF(AND(Painel_diario!$H3783="EU_JD",Painel_diario!$J3783=1),EXP(Painel_diario!$L3783),1)-1</f>
        <v/>
      </c>
      <c r="C3787" s="22">
        <f>(1+C3786)*IF(AND(Painel_diario!$H3783="EU_JU",Painel_diario!$J3783=1),EXP(Painel_diario!$L3783),1)-1</f>
        <v/>
      </c>
      <c r="D3787" s="22">
        <f>(1+D3786)*IF(AND(Painel_diario!$H3783="ED_JD",Painel_diario!$J3783=1),EXP(Painel_diario!$L3783),1)-1</f>
        <v/>
      </c>
      <c r="E3787" s="22">
        <f>(1+E3786)*IF(AND(Painel_diario!$H3783="ED_JU",Painel_diario!$J3783=1),EXP(Painel_diario!$L3783),1)-1</f>
        <v/>
      </c>
    </row>
    <row r="3788">
      <c r="A3788" s="25" t="n">
        <v>44411</v>
      </c>
      <c r="B3788" s="22">
        <f>(1+B3787)*IF(AND(Painel_diario!$H3784="EU_JD",Painel_diario!$J3784=1),EXP(Painel_diario!$L3784),1)-1</f>
        <v/>
      </c>
      <c r="C3788" s="22">
        <f>(1+C3787)*IF(AND(Painel_diario!$H3784="EU_JU",Painel_diario!$J3784=1),EXP(Painel_diario!$L3784),1)-1</f>
        <v/>
      </c>
      <c r="D3788" s="22">
        <f>(1+D3787)*IF(AND(Painel_diario!$H3784="ED_JD",Painel_diario!$J3784=1),EXP(Painel_diario!$L3784),1)-1</f>
        <v/>
      </c>
      <c r="E3788" s="22">
        <f>(1+E3787)*IF(AND(Painel_diario!$H3784="ED_JU",Painel_diario!$J3784=1),EXP(Painel_diario!$L3784),1)-1</f>
        <v/>
      </c>
    </row>
    <row r="3789">
      <c r="A3789" s="25" t="n">
        <v>44412</v>
      </c>
      <c r="B3789" s="22">
        <f>(1+B3788)*IF(AND(Painel_diario!$H3785="EU_JD",Painel_diario!$J3785=1),EXP(Painel_diario!$L3785),1)-1</f>
        <v/>
      </c>
      <c r="C3789" s="22">
        <f>(1+C3788)*IF(AND(Painel_diario!$H3785="EU_JU",Painel_diario!$J3785=1),EXP(Painel_diario!$L3785),1)-1</f>
        <v/>
      </c>
      <c r="D3789" s="22">
        <f>(1+D3788)*IF(AND(Painel_diario!$H3785="ED_JD",Painel_diario!$J3785=1),EXP(Painel_diario!$L3785),1)-1</f>
        <v/>
      </c>
      <c r="E3789" s="22">
        <f>(1+E3788)*IF(AND(Painel_diario!$H3785="ED_JU",Painel_diario!$J3785=1),EXP(Painel_diario!$L3785),1)-1</f>
        <v/>
      </c>
    </row>
    <row r="3790">
      <c r="A3790" s="25" t="n">
        <v>44413</v>
      </c>
      <c r="B3790" s="22">
        <f>(1+B3789)*IF(AND(Painel_diario!$H3786="EU_JD",Painel_diario!$J3786=1),EXP(Painel_diario!$L3786),1)-1</f>
        <v/>
      </c>
      <c r="C3790" s="22">
        <f>(1+C3789)*IF(AND(Painel_diario!$H3786="EU_JU",Painel_diario!$J3786=1),EXP(Painel_diario!$L3786),1)-1</f>
        <v/>
      </c>
      <c r="D3790" s="22">
        <f>(1+D3789)*IF(AND(Painel_diario!$H3786="ED_JD",Painel_diario!$J3786=1),EXP(Painel_diario!$L3786),1)-1</f>
        <v/>
      </c>
      <c r="E3790" s="22">
        <f>(1+E3789)*IF(AND(Painel_diario!$H3786="ED_JU",Painel_diario!$J3786=1),EXP(Painel_diario!$L3786),1)-1</f>
        <v/>
      </c>
    </row>
    <row r="3791">
      <c r="A3791" s="25" t="n">
        <v>44414</v>
      </c>
      <c r="B3791" s="22">
        <f>(1+B3790)*IF(AND(Painel_diario!$H3787="EU_JD",Painel_diario!$J3787=1),EXP(Painel_diario!$L3787),1)-1</f>
        <v/>
      </c>
      <c r="C3791" s="22">
        <f>(1+C3790)*IF(AND(Painel_diario!$H3787="EU_JU",Painel_diario!$J3787=1),EXP(Painel_diario!$L3787),1)-1</f>
        <v/>
      </c>
      <c r="D3791" s="22">
        <f>(1+D3790)*IF(AND(Painel_diario!$H3787="ED_JD",Painel_diario!$J3787=1),EXP(Painel_diario!$L3787),1)-1</f>
        <v/>
      </c>
      <c r="E3791" s="22">
        <f>(1+E3790)*IF(AND(Painel_diario!$H3787="ED_JU",Painel_diario!$J3787=1),EXP(Painel_diario!$L3787),1)-1</f>
        <v/>
      </c>
    </row>
    <row r="3792">
      <c r="A3792" s="25" t="n">
        <v>44417</v>
      </c>
      <c r="B3792" s="22">
        <f>(1+B3791)*IF(AND(Painel_diario!$H3788="EU_JD",Painel_diario!$J3788=1),EXP(Painel_diario!$L3788),1)-1</f>
        <v/>
      </c>
      <c r="C3792" s="22">
        <f>(1+C3791)*IF(AND(Painel_diario!$H3788="EU_JU",Painel_diario!$J3788=1),EXP(Painel_diario!$L3788),1)-1</f>
        <v/>
      </c>
      <c r="D3792" s="22">
        <f>(1+D3791)*IF(AND(Painel_diario!$H3788="ED_JD",Painel_diario!$J3788=1),EXP(Painel_diario!$L3788),1)-1</f>
        <v/>
      </c>
      <c r="E3792" s="22">
        <f>(1+E3791)*IF(AND(Painel_diario!$H3788="ED_JU",Painel_diario!$J3788=1),EXP(Painel_diario!$L3788),1)-1</f>
        <v/>
      </c>
    </row>
    <row r="3793">
      <c r="A3793" s="25" t="n">
        <v>44418</v>
      </c>
      <c r="B3793" s="22">
        <f>(1+B3792)*IF(AND(Painel_diario!$H3789="EU_JD",Painel_diario!$J3789=1),EXP(Painel_diario!$L3789),1)-1</f>
        <v/>
      </c>
      <c r="C3793" s="22">
        <f>(1+C3792)*IF(AND(Painel_diario!$H3789="EU_JU",Painel_diario!$J3789=1),EXP(Painel_diario!$L3789),1)-1</f>
        <v/>
      </c>
      <c r="D3793" s="22">
        <f>(1+D3792)*IF(AND(Painel_diario!$H3789="ED_JD",Painel_diario!$J3789=1),EXP(Painel_diario!$L3789),1)-1</f>
        <v/>
      </c>
      <c r="E3793" s="22">
        <f>(1+E3792)*IF(AND(Painel_diario!$H3789="ED_JU",Painel_diario!$J3789=1),EXP(Painel_diario!$L3789),1)-1</f>
        <v/>
      </c>
    </row>
    <row r="3794">
      <c r="A3794" s="25" t="n">
        <v>44419</v>
      </c>
      <c r="B3794" s="22">
        <f>(1+B3793)*IF(AND(Painel_diario!$H3790="EU_JD",Painel_diario!$J3790=1),EXP(Painel_diario!$L3790),1)-1</f>
        <v/>
      </c>
      <c r="C3794" s="22">
        <f>(1+C3793)*IF(AND(Painel_diario!$H3790="EU_JU",Painel_diario!$J3790=1),EXP(Painel_diario!$L3790),1)-1</f>
        <v/>
      </c>
      <c r="D3794" s="22">
        <f>(1+D3793)*IF(AND(Painel_diario!$H3790="ED_JD",Painel_diario!$J3790=1),EXP(Painel_diario!$L3790),1)-1</f>
        <v/>
      </c>
      <c r="E3794" s="22">
        <f>(1+E3793)*IF(AND(Painel_diario!$H3790="ED_JU",Painel_diario!$J3790=1),EXP(Painel_diario!$L3790),1)-1</f>
        <v/>
      </c>
    </row>
    <row r="3795">
      <c r="A3795" s="25" t="n">
        <v>44420</v>
      </c>
      <c r="B3795" s="22">
        <f>(1+B3794)*IF(AND(Painel_diario!$H3791="EU_JD",Painel_diario!$J3791=1),EXP(Painel_diario!$L3791),1)-1</f>
        <v/>
      </c>
      <c r="C3795" s="22">
        <f>(1+C3794)*IF(AND(Painel_diario!$H3791="EU_JU",Painel_diario!$J3791=1),EXP(Painel_diario!$L3791),1)-1</f>
        <v/>
      </c>
      <c r="D3795" s="22">
        <f>(1+D3794)*IF(AND(Painel_diario!$H3791="ED_JD",Painel_diario!$J3791=1),EXP(Painel_diario!$L3791),1)-1</f>
        <v/>
      </c>
      <c r="E3795" s="22">
        <f>(1+E3794)*IF(AND(Painel_diario!$H3791="ED_JU",Painel_diario!$J3791=1),EXP(Painel_diario!$L3791),1)-1</f>
        <v/>
      </c>
    </row>
    <row r="3796">
      <c r="A3796" s="25" t="n">
        <v>44421</v>
      </c>
      <c r="B3796" s="22">
        <f>(1+B3795)*IF(AND(Painel_diario!$H3792="EU_JD",Painel_diario!$J3792=1),EXP(Painel_diario!$L3792),1)-1</f>
        <v/>
      </c>
      <c r="C3796" s="22">
        <f>(1+C3795)*IF(AND(Painel_diario!$H3792="EU_JU",Painel_diario!$J3792=1),EXP(Painel_diario!$L3792),1)-1</f>
        <v/>
      </c>
      <c r="D3796" s="22">
        <f>(1+D3795)*IF(AND(Painel_diario!$H3792="ED_JD",Painel_diario!$J3792=1),EXP(Painel_diario!$L3792),1)-1</f>
        <v/>
      </c>
      <c r="E3796" s="22">
        <f>(1+E3795)*IF(AND(Painel_diario!$H3792="ED_JU",Painel_diario!$J3792=1),EXP(Painel_diario!$L3792),1)-1</f>
        <v/>
      </c>
    </row>
    <row r="3797">
      <c r="A3797" s="25" t="n">
        <v>44424</v>
      </c>
      <c r="B3797" s="22">
        <f>(1+B3796)*IF(AND(Painel_diario!$H3793="EU_JD",Painel_diario!$J3793=1),EXP(Painel_diario!$L3793),1)-1</f>
        <v/>
      </c>
      <c r="C3797" s="22">
        <f>(1+C3796)*IF(AND(Painel_diario!$H3793="EU_JU",Painel_diario!$J3793=1),EXP(Painel_diario!$L3793),1)-1</f>
        <v/>
      </c>
      <c r="D3797" s="22">
        <f>(1+D3796)*IF(AND(Painel_diario!$H3793="ED_JD",Painel_diario!$J3793=1),EXP(Painel_diario!$L3793),1)-1</f>
        <v/>
      </c>
      <c r="E3797" s="22">
        <f>(1+E3796)*IF(AND(Painel_diario!$H3793="ED_JU",Painel_diario!$J3793=1),EXP(Painel_diario!$L3793),1)-1</f>
        <v/>
      </c>
    </row>
    <row r="3798">
      <c r="A3798" s="25" t="n">
        <v>44425</v>
      </c>
      <c r="B3798" s="22">
        <f>(1+B3797)*IF(AND(Painel_diario!$H3794="EU_JD",Painel_diario!$J3794=1),EXP(Painel_diario!$L3794),1)-1</f>
        <v/>
      </c>
      <c r="C3798" s="22">
        <f>(1+C3797)*IF(AND(Painel_diario!$H3794="EU_JU",Painel_diario!$J3794=1),EXP(Painel_diario!$L3794),1)-1</f>
        <v/>
      </c>
      <c r="D3798" s="22">
        <f>(1+D3797)*IF(AND(Painel_diario!$H3794="ED_JD",Painel_diario!$J3794=1),EXP(Painel_diario!$L3794),1)-1</f>
        <v/>
      </c>
      <c r="E3798" s="22">
        <f>(1+E3797)*IF(AND(Painel_diario!$H3794="ED_JU",Painel_diario!$J3794=1),EXP(Painel_diario!$L3794),1)-1</f>
        <v/>
      </c>
    </row>
    <row r="3799">
      <c r="A3799" s="25" t="n">
        <v>44426</v>
      </c>
      <c r="B3799" s="22">
        <f>(1+B3798)*IF(AND(Painel_diario!$H3795="EU_JD",Painel_diario!$J3795=1),EXP(Painel_diario!$L3795),1)-1</f>
        <v/>
      </c>
      <c r="C3799" s="22">
        <f>(1+C3798)*IF(AND(Painel_diario!$H3795="EU_JU",Painel_diario!$J3795=1),EXP(Painel_diario!$L3795),1)-1</f>
        <v/>
      </c>
      <c r="D3799" s="22">
        <f>(1+D3798)*IF(AND(Painel_diario!$H3795="ED_JD",Painel_diario!$J3795=1),EXP(Painel_diario!$L3795),1)-1</f>
        <v/>
      </c>
      <c r="E3799" s="22">
        <f>(1+E3798)*IF(AND(Painel_diario!$H3795="ED_JU",Painel_diario!$J3795=1),EXP(Painel_diario!$L3795),1)-1</f>
        <v/>
      </c>
    </row>
    <row r="3800">
      <c r="A3800" s="25" t="n">
        <v>44427</v>
      </c>
      <c r="B3800" s="22">
        <f>(1+B3799)*IF(AND(Painel_diario!$H3796="EU_JD",Painel_diario!$J3796=1),EXP(Painel_diario!$L3796),1)-1</f>
        <v/>
      </c>
      <c r="C3800" s="22">
        <f>(1+C3799)*IF(AND(Painel_diario!$H3796="EU_JU",Painel_diario!$J3796=1),EXP(Painel_diario!$L3796),1)-1</f>
        <v/>
      </c>
      <c r="D3800" s="22">
        <f>(1+D3799)*IF(AND(Painel_diario!$H3796="ED_JD",Painel_diario!$J3796=1),EXP(Painel_diario!$L3796),1)-1</f>
        <v/>
      </c>
      <c r="E3800" s="22">
        <f>(1+E3799)*IF(AND(Painel_diario!$H3796="ED_JU",Painel_diario!$J3796=1),EXP(Painel_diario!$L3796),1)-1</f>
        <v/>
      </c>
    </row>
    <row r="3801">
      <c r="A3801" s="25" t="n">
        <v>44428</v>
      </c>
      <c r="B3801" s="22">
        <f>(1+B3800)*IF(AND(Painel_diario!$H3797="EU_JD",Painel_diario!$J3797=1),EXP(Painel_diario!$L3797),1)-1</f>
        <v/>
      </c>
      <c r="C3801" s="22">
        <f>(1+C3800)*IF(AND(Painel_diario!$H3797="EU_JU",Painel_diario!$J3797=1),EXP(Painel_diario!$L3797),1)-1</f>
        <v/>
      </c>
      <c r="D3801" s="22">
        <f>(1+D3800)*IF(AND(Painel_diario!$H3797="ED_JD",Painel_diario!$J3797=1),EXP(Painel_diario!$L3797),1)-1</f>
        <v/>
      </c>
      <c r="E3801" s="22">
        <f>(1+E3800)*IF(AND(Painel_diario!$H3797="ED_JU",Painel_diario!$J3797=1),EXP(Painel_diario!$L3797),1)-1</f>
        <v/>
      </c>
    </row>
    <row r="3802">
      <c r="A3802" s="25" t="n">
        <v>44431</v>
      </c>
      <c r="B3802" s="22">
        <f>(1+B3801)*IF(AND(Painel_diario!$H3798="EU_JD",Painel_diario!$J3798=1),EXP(Painel_diario!$L3798),1)-1</f>
        <v/>
      </c>
      <c r="C3802" s="22">
        <f>(1+C3801)*IF(AND(Painel_diario!$H3798="EU_JU",Painel_diario!$J3798=1),EXP(Painel_diario!$L3798),1)-1</f>
        <v/>
      </c>
      <c r="D3802" s="22">
        <f>(1+D3801)*IF(AND(Painel_diario!$H3798="ED_JD",Painel_diario!$J3798=1),EXP(Painel_diario!$L3798),1)-1</f>
        <v/>
      </c>
      <c r="E3802" s="22">
        <f>(1+E3801)*IF(AND(Painel_diario!$H3798="ED_JU",Painel_diario!$J3798=1),EXP(Painel_diario!$L3798),1)-1</f>
        <v/>
      </c>
    </row>
    <row r="3803">
      <c r="A3803" s="25" t="n">
        <v>44432</v>
      </c>
      <c r="B3803" s="22">
        <f>(1+B3802)*IF(AND(Painel_diario!$H3799="EU_JD",Painel_diario!$J3799=1),EXP(Painel_diario!$L3799),1)-1</f>
        <v/>
      </c>
      <c r="C3803" s="22">
        <f>(1+C3802)*IF(AND(Painel_diario!$H3799="EU_JU",Painel_diario!$J3799=1),EXP(Painel_diario!$L3799),1)-1</f>
        <v/>
      </c>
      <c r="D3803" s="22">
        <f>(1+D3802)*IF(AND(Painel_diario!$H3799="ED_JD",Painel_diario!$J3799=1),EXP(Painel_diario!$L3799),1)-1</f>
        <v/>
      </c>
      <c r="E3803" s="22">
        <f>(1+E3802)*IF(AND(Painel_diario!$H3799="ED_JU",Painel_diario!$J3799=1),EXP(Painel_diario!$L3799),1)-1</f>
        <v/>
      </c>
    </row>
    <row r="3804">
      <c r="A3804" s="25" t="n">
        <v>44433</v>
      </c>
      <c r="B3804" s="22">
        <f>(1+B3803)*IF(AND(Painel_diario!$H3800="EU_JD",Painel_diario!$J3800=1),EXP(Painel_diario!$L3800),1)-1</f>
        <v/>
      </c>
      <c r="C3804" s="22">
        <f>(1+C3803)*IF(AND(Painel_diario!$H3800="EU_JU",Painel_diario!$J3800=1),EXP(Painel_diario!$L3800),1)-1</f>
        <v/>
      </c>
      <c r="D3804" s="22">
        <f>(1+D3803)*IF(AND(Painel_diario!$H3800="ED_JD",Painel_diario!$J3800=1),EXP(Painel_diario!$L3800),1)-1</f>
        <v/>
      </c>
      <c r="E3804" s="22">
        <f>(1+E3803)*IF(AND(Painel_diario!$H3800="ED_JU",Painel_diario!$J3800=1),EXP(Painel_diario!$L3800),1)-1</f>
        <v/>
      </c>
    </row>
    <row r="3805">
      <c r="A3805" s="25" t="n">
        <v>44434</v>
      </c>
      <c r="B3805" s="22">
        <f>(1+B3804)*IF(AND(Painel_diario!$H3801="EU_JD",Painel_diario!$J3801=1),EXP(Painel_diario!$L3801),1)-1</f>
        <v/>
      </c>
      <c r="C3805" s="22">
        <f>(1+C3804)*IF(AND(Painel_diario!$H3801="EU_JU",Painel_diario!$J3801=1),EXP(Painel_diario!$L3801),1)-1</f>
        <v/>
      </c>
      <c r="D3805" s="22">
        <f>(1+D3804)*IF(AND(Painel_diario!$H3801="ED_JD",Painel_diario!$J3801=1),EXP(Painel_diario!$L3801),1)-1</f>
        <v/>
      </c>
      <c r="E3805" s="22">
        <f>(1+E3804)*IF(AND(Painel_diario!$H3801="ED_JU",Painel_diario!$J3801=1),EXP(Painel_diario!$L3801),1)-1</f>
        <v/>
      </c>
    </row>
    <row r="3806">
      <c r="A3806" s="25" t="n">
        <v>44435</v>
      </c>
      <c r="B3806" s="22">
        <f>(1+B3805)*IF(AND(Painel_diario!$H3802="EU_JD",Painel_diario!$J3802=1),EXP(Painel_diario!$L3802),1)-1</f>
        <v/>
      </c>
      <c r="C3806" s="22">
        <f>(1+C3805)*IF(AND(Painel_diario!$H3802="EU_JU",Painel_diario!$J3802=1),EXP(Painel_diario!$L3802),1)-1</f>
        <v/>
      </c>
      <c r="D3806" s="22">
        <f>(1+D3805)*IF(AND(Painel_diario!$H3802="ED_JD",Painel_diario!$J3802=1),EXP(Painel_diario!$L3802),1)-1</f>
        <v/>
      </c>
      <c r="E3806" s="22">
        <f>(1+E3805)*IF(AND(Painel_diario!$H3802="ED_JU",Painel_diario!$J3802=1),EXP(Painel_diario!$L3802),1)-1</f>
        <v/>
      </c>
    </row>
    <row r="3807">
      <c r="A3807" s="25" t="n">
        <v>44438</v>
      </c>
      <c r="B3807" s="22">
        <f>(1+B3806)*IF(AND(Painel_diario!$H3803="EU_JD",Painel_diario!$J3803=1),EXP(Painel_diario!$L3803),1)-1</f>
        <v/>
      </c>
      <c r="C3807" s="22">
        <f>(1+C3806)*IF(AND(Painel_diario!$H3803="EU_JU",Painel_diario!$J3803=1),EXP(Painel_diario!$L3803),1)-1</f>
        <v/>
      </c>
      <c r="D3807" s="22">
        <f>(1+D3806)*IF(AND(Painel_diario!$H3803="ED_JD",Painel_diario!$J3803=1),EXP(Painel_diario!$L3803),1)-1</f>
        <v/>
      </c>
      <c r="E3807" s="22">
        <f>(1+E3806)*IF(AND(Painel_diario!$H3803="ED_JU",Painel_diario!$J3803=1),EXP(Painel_diario!$L3803),1)-1</f>
        <v/>
      </c>
    </row>
    <row r="3808">
      <c r="A3808" s="25" t="n">
        <v>44439</v>
      </c>
      <c r="B3808" s="22">
        <f>(1+B3807)*IF(AND(Painel_diario!$H3804="EU_JD",Painel_diario!$J3804=1),EXP(Painel_diario!$L3804),1)-1</f>
        <v/>
      </c>
      <c r="C3808" s="22">
        <f>(1+C3807)*IF(AND(Painel_diario!$H3804="EU_JU",Painel_diario!$J3804=1),EXP(Painel_diario!$L3804),1)-1</f>
        <v/>
      </c>
      <c r="D3808" s="22">
        <f>(1+D3807)*IF(AND(Painel_diario!$H3804="ED_JD",Painel_diario!$J3804=1),EXP(Painel_diario!$L3804),1)-1</f>
        <v/>
      </c>
      <c r="E3808" s="22">
        <f>(1+E3807)*IF(AND(Painel_diario!$H3804="ED_JU",Painel_diario!$J3804=1),EXP(Painel_diario!$L3804),1)-1</f>
        <v/>
      </c>
    </row>
    <row r="3809">
      <c r="A3809" s="25" t="n">
        <v>44440</v>
      </c>
      <c r="B3809" s="22">
        <f>(1+B3808)*IF(AND(Painel_diario!$H3805="EU_JD",Painel_diario!$J3805=1),EXP(Painel_diario!$L3805),1)-1</f>
        <v/>
      </c>
      <c r="C3809" s="22">
        <f>(1+C3808)*IF(AND(Painel_diario!$H3805="EU_JU",Painel_diario!$J3805=1),EXP(Painel_diario!$L3805),1)-1</f>
        <v/>
      </c>
      <c r="D3809" s="22">
        <f>(1+D3808)*IF(AND(Painel_diario!$H3805="ED_JD",Painel_diario!$J3805=1),EXP(Painel_diario!$L3805),1)-1</f>
        <v/>
      </c>
      <c r="E3809" s="22">
        <f>(1+E3808)*IF(AND(Painel_diario!$H3805="ED_JU",Painel_diario!$J3805=1),EXP(Painel_diario!$L3805),1)-1</f>
        <v/>
      </c>
    </row>
    <row r="3810">
      <c r="A3810" s="25" t="n">
        <v>44441</v>
      </c>
      <c r="B3810" s="22">
        <f>(1+B3809)*IF(AND(Painel_diario!$H3806="EU_JD",Painel_diario!$J3806=1),EXP(Painel_diario!$L3806),1)-1</f>
        <v/>
      </c>
      <c r="C3810" s="22">
        <f>(1+C3809)*IF(AND(Painel_diario!$H3806="EU_JU",Painel_diario!$J3806=1),EXP(Painel_diario!$L3806),1)-1</f>
        <v/>
      </c>
      <c r="D3810" s="22">
        <f>(1+D3809)*IF(AND(Painel_diario!$H3806="ED_JD",Painel_diario!$J3806=1),EXP(Painel_diario!$L3806),1)-1</f>
        <v/>
      </c>
      <c r="E3810" s="22">
        <f>(1+E3809)*IF(AND(Painel_diario!$H3806="ED_JU",Painel_diario!$J3806=1),EXP(Painel_diario!$L3806),1)-1</f>
        <v/>
      </c>
    </row>
    <row r="3811">
      <c r="A3811" s="25" t="n">
        <v>44442</v>
      </c>
      <c r="B3811" s="22">
        <f>(1+B3810)*IF(AND(Painel_diario!$H3807="EU_JD",Painel_diario!$J3807=1),EXP(Painel_diario!$L3807),1)-1</f>
        <v/>
      </c>
      <c r="C3811" s="22">
        <f>(1+C3810)*IF(AND(Painel_diario!$H3807="EU_JU",Painel_diario!$J3807=1),EXP(Painel_diario!$L3807),1)-1</f>
        <v/>
      </c>
      <c r="D3811" s="22">
        <f>(1+D3810)*IF(AND(Painel_diario!$H3807="ED_JD",Painel_diario!$J3807=1),EXP(Painel_diario!$L3807),1)-1</f>
        <v/>
      </c>
      <c r="E3811" s="22">
        <f>(1+E3810)*IF(AND(Painel_diario!$H3807="ED_JU",Painel_diario!$J3807=1),EXP(Painel_diario!$L3807),1)-1</f>
        <v/>
      </c>
    </row>
    <row r="3812">
      <c r="A3812" s="25" t="n">
        <v>44445</v>
      </c>
      <c r="B3812" s="22">
        <f>(1+B3811)*IF(AND(Painel_diario!$H3808="EU_JD",Painel_diario!$J3808=1),EXP(Painel_diario!$L3808),1)-1</f>
        <v/>
      </c>
      <c r="C3812" s="22">
        <f>(1+C3811)*IF(AND(Painel_diario!$H3808="EU_JU",Painel_diario!$J3808=1),EXP(Painel_diario!$L3808),1)-1</f>
        <v/>
      </c>
      <c r="D3812" s="22">
        <f>(1+D3811)*IF(AND(Painel_diario!$H3808="ED_JD",Painel_diario!$J3808=1),EXP(Painel_diario!$L3808),1)-1</f>
        <v/>
      </c>
      <c r="E3812" s="22">
        <f>(1+E3811)*IF(AND(Painel_diario!$H3808="ED_JU",Painel_diario!$J3808=1),EXP(Painel_diario!$L3808),1)-1</f>
        <v/>
      </c>
    </row>
    <row r="3813">
      <c r="A3813" s="25" t="n">
        <v>44447</v>
      </c>
      <c r="B3813" s="22">
        <f>(1+B3812)*IF(AND(Painel_diario!$H3809="EU_JD",Painel_diario!$J3809=1),EXP(Painel_diario!$L3809),1)-1</f>
        <v/>
      </c>
      <c r="C3813" s="22">
        <f>(1+C3812)*IF(AND(Painel_diario!$H3809="EU_JU",Painel_diario!$J3809=1),EXP(Painel_diario!$L3809),1)-1</f>
        <v/>
      </c>
      <c r="D3813" s="22">
        <f>(1+D3812)*IF(AND(Painel_diario!$H3809="ED_JD",Painel_diario!$J3809=1),EXP(Painel_diario!$L3809),1)-1</f>
        <v/>
      </c>
      <c r="E3813" s="22">
        <f>(1+E3812)*IF(AND(Painel_diario!$H3809="ED_JU",Painel_diario!$J3809=1),EXP(Painel_diario!$L3809),1)-1</f>
        <v/>
      </c>
    </row>
    <row r="3814">
      <c r="A3814" s="25" t="n">
        <v>44448</v>
      </c>
      <c r="B3814" s="22">
        <f>(1+B3813)*IF(AND(Painel_diario!$H3810="EU_JD",Painel_diario!$J3810=1),EXP(Painel_diario!$L3810),1)-1</f>
        <v/>
      </c>
      <c r="C3814" s="22">
        <f>(1+C3813)*IF(AND(Painel_diario!$H3810="EU_JU",Painel_diario!$J3810=1),EXP(Painel_diario!$L3810),1)-1</f>
        <v/>
      </c>
      <c r="D3814" s="22">
        <f>(1+D3813)*IF(AND(Painel_diario!$H3810="ED_JD",Painel_diario!$J3810=1),EXP(Painel_diario!$L3810),1)-1</f>
        <v/>
      </c>
      <c r="E3814" s="22">
        <f>(1+E3813)*IF(AND(Painel_diario!$H3810="ED_JU",Painel_diario!$J3810=1),EXP(Painel_diario!$L3810),1)-1</f>
        <v/>
      </c>
    </row>
    <row r="3815">
      <c r="A3815" s="25" t="n">
        <v>44449</v>
      </c>
      <c r="B3815" s="22">
        <f>(1+B3814)*IF(AND(Painel_diario!$H3811="EU_JD",Painel_diario!$J3811=1),EXP(Painel_diario!$L3811),1)-1</f>
        <v/>
      </c>
      <c r="C3815" s="22">
        <f>(1+C3814)*IF(AND(Painel_diario!$H3811="EU_JU",Painel_diario!$J3811=1),EXP(Painel_diario!$L3811),1)-1</f>
        <v/>
      </c>
      <c r="D3815" s="22">
        <f>(1+D3814)*IF(AND(Painel_diario!$H3811="ED_JD",Painel_diario!$J3811=1),EXP(Painel_diario!$L3811),1)-1</f>
        <v/>
      </c>
      <c r="E3815" s="22">
        <f>(1+E3814)*IF(AND(Painel_diario!$H3811="ED_JU",Painel_diario!$J3811=1),EXP(Painel_diario!$L3811),1)-1</f>
        <v/>
      </c>
    </row>
    <row r="3816">
      <c r="A3816" s="25" t="n">
        <v>44452</v>
      </c>
      <c r="B3816" s="22">
        <f>(1+B3815)*IF(AND(Painel_diario!$H3812="EU_JD",Painel_diario!$J3812=1),EXP(Painel_diario!$L3812),1)-1</f>
        <v/>
      </c>
      <c r="C3816" s="22">
        <f>(1+C3815)*IF(AND(Painel_diario!$H3812="EU_JU",Painel_diario!$J3812=1),EXP(Painel_diario!$L3812),1)-1</f>
        <v/>
      </c>
      <c r="D3816" s="22">
        <f>(1+D3815)*IF(AND(Painel_diario!$H3812="ED_JD",Painel_diario!$J3812=1),EXP(Painel_diario!$L3812),1)-1</f>
        <v/>
      </c>
      <c r="E3816" s="22">
        <f>(1+E3815)*IF(AND(Painel_diario!$H3812="ED_JU",Painel_diario!$J3812=1),EXP(Painel_diario!$L3812),1)-1</f>
        <v/>
      </c>
    </row>
    <row r="3817">
      <c r="A3817" s="25" t="n">
        <v>44453</v>
      </c>
      <c r="B3817" s="22">
        <f>(1+B3816)*IF(AND(Painel_diario!$H3813="EU_JD",Painel_diario!$J3813=1),EXP(Painel_diario!$L3813),1)-1</f>
        <v/>
      </c>
      <c r="C3817" s="22">
        <f>(1+C3816)*IF(AND(Painel_diario!$H3813="EU_JU",Painel_diario!$J3813=1),EXP(Painel_diario!$L3813),1)-1</f>
        <v/>
      </c>
      <c r="D3817" s="22">
        <f>(1+D3816)*IF(AND(Painel_diario!$H3813="ED_JD",Painel_diario!$J3813=1),EXP(Painel_diario!$L3813),1)-1</f>
        <v/>
      </c>
      <c r="E3817" s="22">
        <f>(1+E3816)*IF(AND(Painel_diario!$H3813="ED_JU",Painel_diario!$J3813=1),EXP(Painel_diario!$L3813),1)-1</f>
        <v/>
      </c>
    </row>
    <row r="3818">
      <c r="A3818" s="25" t="n">
        <v>44454</v>
      </c>
      <c r="B3818" s="22">
        <f>(1+B3817)*IF(AND(Painel_diario!$H3814="EU_JD",Painel_diario!$J3814=1),EXP(Painel_diario!$L3814),1)-1</f>
        <v/>
      </c>
      <c r="C3818" s="22">
        <f>(1+C3817)*IF(AND(Painel_diario!$H3814="EU_JU",Painel_diario!$J3814=1),EXP(Painel_diario!$L3814),1)-1</f>
        <v/>
      </c>
      <c r="D3818" s="22">
        <f>(1+D3817)*IF(AND(Painel_diario!$H3814="ED_JD",Painel_diario!$J3814=1),EXP(Painel_diario!$L3814),1)-1</f>
        <v/>
      </c>
      <c r="E3818" s="22">
        <f>(1+E3817)*IF(AND(Painel_diario!$H3814="ED_JU",Painel_diario!$J3814=1),EXP(Painel_diario!$L3814),1)-1</f>
        <v/>
      </c>
    </row>
    <row r="3819">
      <c r="A3819" s="25" t="n">
        <v>44455</v>
      </c>
      <c r="B3819" s="22">
        <f>(1+B3818)*IF(AND(Painel_diario!$H3815="EU_JD",Painel_diario!$J3815=1),EXP(Painel_diario!$L3815),1)-1</f>
        <v/>
      </c>
      <c r="C3819" s="22">
        <f>(1+C3818)*IF(AND(Painel_diario!$H3815="EU_JU",Painel_diario!$J3815=1),EXP(Painel_diario!$L3815),1)-1</f>
        <v/>
      </c>
      <c r="D3819" s="22">
        <f>(1+D3818)*IF(AND(Painel_diario!$H3815="ED_JD",Painel_diario!$J3815=1),EXP(Painel_diario!$L3815),1)-1</f>
        <v/>
      </c>
      <c r="E3819" s="22">
        <f>(1+E3818)*IF(AND(Painel_diario!$H3815="ED_JU",Painel_diario!$J3815=1),EXP(Painel_diario!$L3815),1)-1</f>
        <v/>
      </c>
    </row>
    <row r="3820">
      <c r="A3820" s="25" t="n">
        <v>44456</v>
      </c>
      <c r="B3820" s="22">
        <f>(1+B3819)*IF(AND(Painel_diario!$H3816="EU_JD",Painel_diario!$J3816=1),EXP(Painel_diario!$L3816),1)-1</f>
        <v/>
      </c>
      <c r="C3820" s="22">
        <f>(1+C3819)*IF(AND(Painel_diario!$H3816="EU_JU",Painel_diario!$J3816=1),EXP(Painel_diario!$L3816),1)-1</f>
        <v/>
      </c>
      <c r="D3820" s="22">
        <f>(1+D3819)*IF(AND(Painel_diario!$H3816="ED_JD",Painel_diario!$J3816=1),EXP(Painel_diario!$L3816),1)-1</f>
        <v/>
      </c>
      <c r="E3820" s="22">
        <f>(1+E3819)*IF(AND(Painel_diario!$H3816="ED_JU",Painel_diario!$J3816=1),EXP(Painel_diario!$L3816),1)-1</f>
        <v/>
      </c>
    </row>
    <row r="3821">
      <c r="A3821" s="25" t="n">
        <v>44459</v>
      </c>
      <c r="B3821" s="22">
        <f>(1+B3820)*IF(AND(Painel_diario!$H3817="EU_JD",Painel_diario!$J3817=1),EXP(Painel_diario!$L3817),1)-1</f>
        <v/>
      </c>
      <c r="C3821" s="22">
        <f>(1+C3820)*IF(AND(Painel_diario!$H3817="EU_JU",Painel_diario!$J3817=1),EXP(Painel_diario!$L3817),1)-1</f>
        <v/>
      </c>
      <c r="D3821" s="22">
        <f>(1+D3820)*IF(AND(Painel_diario!$H3817="ED_JD",Painel_diario!$J3817=1),EXP(Painel_diario!$L3817),1)-1</f>
        <v/>
      </c>
      <c r="E3821" s="22">
        <f>(1+E3820)*IF(AND(Painel_diario!$H3817="ED_JU",Painel_diario!$J3817=1),EXP(Painel_diario!$L3817),1)-1</f>
        <v/>
      </c>
    </row>
    <row r="3822">
      <c r="A3822" s="25" t="n">
        <v>44460</v>
      </c>
      <c r="B3822" s="22">
        <f>(1+B3821)*IF(AND(Painel_diario!$H3818="EU_JD",Painel_diario!$J3818=1),EXP(Painel_diario!$L3818),1)-1</f>
        <v/>
      </c>
      <c r="C3822" s="22">
        <f>(1+C3821)*IF(AND(Painel_diario!$H3818="EU_JU",Painel_diario!$J3818=1),EXP(Painel_diario!$L3818),1)-1</f>
        <v/>
      </c>
      <c r="D3822" s="22">
        <f>(1+D3821)*IF(AND(Painel_diario!$H3818="ED_JD",Painel_diario!$J3818=1),EXP(Painel_diario!$L3818),1)-1</f>
        <v/>
      </c>
      <c r="E3822" s="22">
        <f>(1+E3821)*IF(AND(Painel_diario!$H3818="ED_JU",Painel_diario!$J3818=1),EXP(Painel_diario!$L3818),1)-1</f>
        <v/>
      </c>
    </row>
    <row r="3823">
      <c r="A3823" s="25" t="n">
        <v>44461</v>
      </c>
      <c r="B3823" s="22">
        <f>(1+B3822)*IF(AND(Painel_diario!$H3819="EU_JD",Painel_diario!$J3819=1),EXP(Painel_diario!$L3819),1)-1</f>
        <v/>
      </c>
      <c r="C3823" s="22">
        <f>(1+C3822)*IF(AND(Painel_diario!$H3819="EU_JU",Painel_diario!$J3819=1),EXP(Painel_diario!$L3819),1)-1</f>
        <v/>
      </c>
      <c r="D3823" s="22">
        <f>(1+D3822)*IF(AND(Painel_diario!$H3819="ED_JD",Painel_diario!$J3819=1),EXP(Painel_diario!$L3819),1)-1</f>
        <v/>
      </c>
      <c r="E3823" s="22">
        <f>(1+E3822)*IF(AND(Painel_diario!$H3819="ED_JU",Painel_diario!$J3819=1),EXP(Painel_diario!$L3819),1)-1</f>
        <v/>
      </c>
    </row>
    <row r="3824">
      <c r="A3824" s="25" t="n">
        <v>44462</v>
      </c>
      <c r="B3824" s="22">
        <f>(1+B3823)*IF(AND(Painel_diario!$H3820="EU_JD",Painel_diario!$J3820=1),EXP(Painel_diario!$L3820),1)-1</f>
        <v/>
      </c>
      <c r="C3824" s="22">
        <f>(1+C3823)*IF(AND(Painel_diario!$H3820="EU_JU",Painel_diario!$J3820=1),EXP(Painel_diario!$L3820),1)-1</f>
        <v/>
      </c>
      <c r="D3824" s="22">
        <f>(1+D3823)*IF(AND(Painel_diario!$H3820="ED_JD",Painel_diario!$J3820=1),EXP(Painel_diario!$L3820),1)-1</f>
        <v/>
      </c>
      <c r="E3824" s="22">
        <f>(1+E3823)*IF(AND(Painel_diario!$H3820="ED_JU",Painel_diario!$J3820=1),EXP(Painel_diario!$L3820),1)-1</f>
        <v/>
      </c>
    </row>
    <row r="3825">
      <c r="A3825" s="25" t="n">
        <v>44463</v>
      </c>
      <c r="B3825" s="22">
        <f>(1+B3824)*IF(AND(Painel_diario!$H3821="EU_JD",Painel_diario!$J3821=1),EXP(Painel_diario!$L3821),1)-1</f>
        <v/>
      </c>
      <c r="C3825" s="22">
        <f>(1+C3824)*IF(AND(Painel_diario!$H3821="EU_JU",Painel_diario!$J3821=1),EXP(Painel_diario!$L3821),1)-1</f>
        <v/>
      </c>
      <c r="D3825" s="22">
        <f>(1+D3824)*IF(AND(Painel_diario!$H3821="ED_JD",Painel_diario!$J3821=1),EXP(Painel_diario!$L3821),1)-1</f>
        <v/>
      </c>
      <c r="E3825" s="22">
        <f>(1+E3824)*IF(AND(Painel_diario!$H3821="ED_JU",Painel_diario!$J3821=1),EXP(Painel_diario!$L3821),1)-1</f>
        <v/>
      </c>
    </row>
    <row r="3826">
      <c r="A3826" s="25" t="n">
        <v>44466</v>
      </c>
      <c r="B3826" s="22">
        <f>(1+B3825)*IF(AND(Painel_diario!$H3822="EU_JD",Painel_diario!$J3822=1),EXP(Painel_diario!$L3822),1)-1</f>
        <v/>
      </c>
      <c r="C3826" s="22">
        <f>(1+C3825)*IF(AND(Painel_diario!$H3822="EU_JU",Painel_diario!$J3822=1),EXP(Painel_diario!$L3822),1)-1</f>
        <v/>
      </c>
      <c r="D3826" s="22">
        <f>(1+D3825)*IF(AND(Painel_diario!$H3822="ED_JD",Painel_diario!$J3822=1),EXP(Painel_diario!$L3822),1)-1</f>
        <v/>
      </c>
      <c r="E3826" s="22">
        <f>(1+E3825)*IF(AND(Painel_diario!$H3822="ED_JU",Painel_diario!$J3822=1),EXP(Painel_diario!$L3822),1)-1</f>
        <v/>
      </c>
    </row>
    <row r="3827">
      <c r="A3827" s="25" t="n">
        <v>44467</v>
      </c>
      <c r="B3827" s="22">
        <f>(1+B3826)*IF(AND(Painel_diario!$H3823="EU_JD",Painel_diario!$J3823=1),EXP(Painel_diario!$L3823),1)-1</f>
        <v/>
      </c>
      <c r="C3827" s="22">
        <f>(1+C3826)*IF(AND(Painel_diario!$H3823="EU_JU",Painel_diario!$J3823=1),EXP(Painel_diario!$L3823),1)-1</f>
        <v/>
      </c>
      <c r="D3827" s="22">
        <f>(1+D3826)*IF(AND(Painel_diario!$H3823="ED_JD",Painel_diario!$J3823=1),EXP(Painel_diario!$L3823),1)-1</f>
        <v/>
      </c>
      <c r="E3827" s="22">
        <f>(1+E3826)*IF(AND(Painel_diario!$H3823="ED_JU",Painel_diario!$J3823=1),EXP(Painel_diario!$L3823),1)-1</f>
        <v/>
      </c>
    </row>
    <row r="3828">
      <c r="A3828" s="25" t="n">
        <v>44468</v>
      </c>
      <c r="B3828" s="22">
        <f>(1+B3827)*IF(AND(Painel_diario!$H3824="EU_JD",Painel_diario!$J3824=1),EXP(Painel_diario!$L3824),1)-1</f>
        <v/>
      </c>
      <c r="C3828" s="22">
        <f>(1+C3827)*IF(AND(Painel_diario!$H3824="EU_JU",Painel_diario!$J3824=1),EXP(Painel_diario!$L3824),1)-1</f>
        <v/>
      </c>
      <c r="D3828" s="22">
        <f>(1+D3827)*IF(AND(Painel_diario!$H3824="ED_JD",Painel_diario!$J3824=1),EXP(Painel_diario!$L3824),1)-1</f>
        <v/>
      </c>
      <c r="E3828" s="22">
        <f>(1+E3827)*IF(AND(Painel_diario!$H3824="ED_JU",Painel_diario!$J3824=1),EXP(Painel_diario!$L3824),1)-1</f>
        <v/>
      </c>
    </row>
    <row r="3829">
      <c r="A3829" s="25" t="n">
        <v>44469</v>
      </c>
      <c r="B3829" s="22">
        <f>(1+B3828)*IF(AND(Painel_diario!$H3825="EU_JD",Painel_diario!$J3825=1),EXP(Painel_diario!$L3825),1)-1</f>
        <v/>
      </c>
      <c r="C3829" s="22">
        <f>(1+C3828)*IF(AND(Painel_diario!$H3825="EU_JU",Painel_diario!$J3825=1),EXP(Painel_diario!$L3825),1)-1</f>
        <v/>
      </c>
      <c r="D3829" s="22">
        <f>(1+D3828)*IF(AND(Painel_diario!$H3825="ED_JD",Painel_diario!$J3825=1),EXP(Painel_diario!$L3825),1)-1</f>
        <v/>
      </c>
      <c r="E3829" s="22">
        <f>(1+E3828)*IF(AND(Painel_diario!$H3825="ED_JU",Painel_diario!$J3825=1),EXP(Painel_diario!$L3825),1)-1</f>
        <v/>
      </c>
    </row>
    <row r="3830">
      <c r="A3830" s="25" t="n">
        <v>44470</v>
      </c>
      <c r="B3830" s="22">
        <f>(1+B3829)*IF(AND(Painel_diario!$H3826="EU_JD",Painel_diario!$J3826=1),EXP(Painel_diario!$L3826),1)-1</f>
        <v/>
      </c>
      <c r="C3830" s="22">
        <f>(1+C3829)*IF(AND(Painel_diario!$H3826="EU_JU",Painel_diario!$J3826=1),EXP(Painel_diario!$L3826),1)-1</f>
        <v/>
      </c>
      <c r="D3830" s="22">
        <f>(1+D3829)*IF(AND(Painel_diario!$H3826="ED_JD",Painel_diario!$J3826=1),EXP(Painel_diario!$L3826),1)-1</f>
        <v/>
      </c>
      <c r="E3830" s="22">
        <f>(1+E3829)*IF(AND(Painel_diario!$H3826="ED_JU",Painel_diario!$J3826=1),EXP(Painel_diario!$L3826),1)-1</f>
        <v/>
      </c>
    </row>
    <row r="3831">
      <c r="A3831" s="25" t="n">
        <v>44473</v>
      </c>
      <c r="B3831" s="22">
        <f>(1+B3830)*IF(AND(Painel_diario!$H3827="EU_JD",Painel_diario!$J3827=1),EXP(Painel_diario!$L3827),1)-1</f>
        <v/>
      </c>
      <c r="C3831" s="22">
        <f>(1+C3830)*IF(AND(Painel_diario!$H3827="EU_JU",Painel_diario!$J3827=1),EXP(Painel_diario!$L3827),1)-1</f>
        <v/>
      </c>
      <c r="D3831" s="22">
        <f>(1+D3830)*IF(AND(Painel_diario!$H3827="ED_JD",Painel_diario!$J3827=1),EXP(Painel_diario!$L3827),1)-1</f>
        <v/>
      </c>
      <c r="E3831" s="22">
        <f>(1+E3830)*IF(AND(Painel_diario!$H3827="ED_JU",Painel_diario!$J3827=1),EXP(Painel_diario!$L3827),1)-1</f>
        <v/>
      </c>
    </row>
    <row r="3832">
      <c r="A3832" s="25" t="n">
        <v>44474</v>
      </c>
      <c r="B3832" s="22">
        <f>(1+B3831)*IF(AND(Painel_diario!$H3828="EU_JD",Painel_diario!$J3828=1),EXP(Painel_diario!$L3828),1)-1</f>
        <v/>
      </c>
      <c r="C3832" s="22">
        <f>(1+C3831)*IF(AND(Painel_diario!$H3828="EU_JU",Painel_diario!$J3828=1),EXP(Painel_diario!$L3828),1)-1</f>
        <v/>
      </c>
      <c r="D3832" s="22">
        <f>(1+D3831)*IF(AND(Painel_diario!$H3828="ED_JD",Painel_diario!$J3828=1),EXP(Painel_diario!$L3828),1)-1</f>
        <v/>
      </c>
      <c r="E3832" s="22">
        <f>(1+E3831)*IF(AND(Painel_diario!$H3828="ED_JU",Painel_diario!$J3828=1),EXP(Painel_diario!$L3828),1)-1</f>
        <v/>
      </c>
    </row>
    <row r="3833">
      <c r="A3833" s="25" t="n">
        <v>44475</v>
      </c>
      <c r="B3833" s="22">
        <f>(1+B3832)*IF(AND(Painel_diario!$H3829="EU_JD",Painel_diario!$J3829=1),EXP(Painel_diario!$L3829),1)-1</f>
        <v/>
      </c>
      <c r="C3833" s="22">
        <f>(1+C3832)*IF(AND(Painel_diario!$H3829="EU_JU",Painel_diario!$J3829=1),EXP(Painel_diario!$L3829),1)-1</f>
        <v/>
      </c>
      <c r="D3833" s="22">
        <f>(1+D3832)*IF(AND(Painel_diario!$H3829="ED_JD",Painel_diario!$J3829=1),EXP(Painel_diario!$L3829),1)-1</f>
        <v/>
      </c>
      <c r="E3833" s="22">
        <f>(1+E3832)*IF(AND(Painel_diario!$H3829="ED_JU",Painel_diario!$J3829=1),EXP(Painel_diario!$L3829),1)-1</f>
        <v/>
      </c>
    </row>
    <row r="3834">
      <c r="A3834" s="25" t="n">
        <v>44476</v>
      </c>
      <c r="B3834" s="22">
        <f>(1+B3833)*IF(AND(Painel_diario!$H3830="EU_JD",Painel_diario!$J3830=1),EXP(Painel_diario!$L3830),1)-1</f>
        <v/>
      </c>
      <c r="C3834" s="22">
        <f>(1+C3833)*IF(AND(Painel_diario!$H3830="EU_JU",Painel_diario!$J3830=1),EXP(Painel_diario!$L3830),1)-1</f>
        <v/>
      </c>
      <c r="D3834" s="22">
        <f>(1+D3833)*IF(AND(Painel_diario!$H3830="ED_JD",Painel_diario!$J3830=1),EXP(Painel_diario!$L3830),1)-1</f>
        <v/>
      </c>
      <c r="E3834" s="22">
        <f>(1+E3833)*IF(AND(Painel_diario!$H3830="ED_JU",Painel_diario!$J3830=1),EXP(Painel_diario!$L3830),1)-1</f>
        <v/>
      </c>
    </row>
    <row r="3835">
      <c r="A3835" s="25" t="n">
        <v>44477</v>
      </c>
      <c r="B3835" s="22">
        <f>(1+B3834)*IF(AND(Painel_diario!$H3831="EU_JD",Painel_diario!$J3831=1),EXP(Painel_diario!$L3831),1)-1</f>
        <v/>
      </c>
      <c r="C3835" s="22">
        <f>(1+C3834)*IF(AND(Painel_diario!$H3831="EU_JU",Painel_diario!$J3831=1),EXP(Painel_diario!$L3831),1)-1</f>
        <v/>
      </c>
      <c r="D3835" s="22">
        <f>(1+D3834)*IF(AND(Painel_diario!$H3831="ED_JD",Painel_diario!$J3831=1),EXP(Painel_diario!$L3831),1)-1</f>
        <v/>
      </c>
      <c r="E3835" s="22">
        <f>(1+E3834)*IF(AND(Painel_diario!$H3831="ED_JU",Painel_diario!$J3831=1),EXP(Painel_diario!$L3831),1)-1</f>
        <v/>
      </c>
    </row>
    <row r="3836">
      <c r="A3836" s="25" t="n">
        <v>44480</v>
      </c>
      <c r="B3836" s="22">
        <f>(1+B3835)*IF(AND(Painel_diario!$H3832="EU_JD",Painel_diario!$J3832=1),EXP(Painel_diario!$L3832),1)-1</f>
        <v/>
      </c>
      <c r="C3836" s="22">
        <f>(1+C3835)*IF(AND(Painel_diario!$H3832="EU_JU",Painel_diario!$J3832=1),EXP(Painel_diario!$L3832),1)-1</f>
        <v/>
      </c>
      <c r="D3836" s="22">
        <f>(1+D3835)*IF(AND(Painel_diario!$H3832="ED_JD",Painel_diario!$J3832=1),EXP(Painel_diario!$L3832),1)-1</f>
        <v/>
      </c>
      <c r="E3836" s="22">
        <f>(1+E3835)*IF(AND(Painel_diario!$H3832="ED_JU",Painel_diario!$J3832=1),EXP(Painel_diario!$L3832),1)-1</f>
        <v/>
      </c>
    </row>
    <row r="3837">
      <c r="A3837" s="25" t="n">
        <v>44482</v>
      </c>
      <c r="B3837" s="22">
        <f>(1+B3836)*IF(AND(Painel_diario!$H3833="EU_JD",Painel_diario!$J3833=1),EXP(Painel_diario!$L3833),1)-1</f>
        <v/>
      </c>
      <c r="C3837" s="22">
        <f>(1+C3836)*IF(AND(Painel_diario!$H3833="EU_JU",Painel_diario!$J3833=1),EXP(Painel_diario!$L3833),1)-1</f>
        <v/>
      </c>
      <c r="D3837" s="22">
        <f>(1+D3836)*IF(AND(Painel_diario!$H3833="ED_JD",Painel_diario!$J3833=1),EXP(Painel_diario!$L3833),1)-1</f>
        <v/>
      </c>
      <c r="E3837" s="22">
        <f>(1+E3836)*IF(AND(Painel_diario!$H3833="ED_JU",Painel_diario!$J3833=1),EXP(Painel_diario!$L3833),1)-1</f>
        <v/>
      </c>
    </row>
    <row r="3838">
      <c r="A3838" s="25" t="n">
        <v>44483</v>
      </c>
      <c r="B3838" s="22">
        <f>(1+B3837)*IF(AND(Painel_diario!$H3834="EU_JD",Painel_diario!$J3834=1),EXP(Painel_diario!$L3834),1)-1</f>
        <v/>
      </c>
      <c r="C3838" s="22">
        <f>(1+C3837)*IF(AND(Painel_diario!$H3834="EU_JU",Painel_diario!$J3834=1),EXP(Painel_diario!$L3834),1)-1</f>
        <v/>
      </c>
      <c r="D3838" s="22">
        <f>(1+D3837)*IF(AND(Painel_diario!$H3834="ED_JD",Painel_diario!$J3834=1),EXP(Painel_diario!$L3834),1)-1</f>
        <v/>
      </c>
      <c r="E3838" s="22">
        <f>(1+E3837)*IF(AND(Painel_diario!$H3834="ED_JU",Painel_diario!$J3834=1),EXP(Painel_diario!$L3834),1)-1</f>
        <v/>
      </c>
    </row>
    <row r="3839">
      <c r="A3839" s="25" t="n">
        <v>44484</v>
      </c>
      <c r="B3839" s="22">
        <f>(1+B3838)*IF(AND(Painel_diario!$H3835="EU_JD",Painel_diario!$J3835=1),EXP(Painel_diario!$L3835),1)-1</f>
        <v/>
      </c>
      <c r="C3839" s="22">
        <f>(1+C3838)*IF(AND(Painel_diario!$H3835="EU_JU",Painel_diario!$J3835=1),EXP(Painel_diario!$L3835),1)-1</f>
        <v/>
      </c>
      <c r="D3839" s="22">
        <f>(1+D3838)*IF(AND(Painel_diario!$H3835="ED_JD",Painel_diario!$J3835=1),EXP(Painel_diario!$L3835),1)-1</f>
        <v/>
      </c>
      <c r="E3839" s="22">
        <f>(1+E3838)*IF(AND(Painel_diario!$H3835="ED_JU",Painel_diario!$J3835=1),EXP(Painel_diario!$L3835),1)-1</f>
        <v/>
      </c>
    </row>
    <row r="3840">
      <c r="A3840" s="25" t="n">
        <v>44487</v>
      </c>
      <c r="B3840" s="22">
        <f>(1+B3839)*IF(AND(Painel_diario!$H3836="EU_JD",Painel_diario!$J3836=1),EXP(Painel_diario!$L3836),1)-1</f>
        <v/>
      </c>
      <c r="C3840" s="22">
        <f>(1+C3839)*IF(AND(Painel_diario!$H3836="EU_JU",Painel_diario!$J3836=1),EXP(Painel_diario!$L3836),1)-1</f>
        <v/>
      </c>
      <c r="D3840" s="22">
        <f>(1+D3839)*IF(AND(Painel_diario!$H3836="ED_JD",Painel_diario!$J3836=1),EXP(Painel_diario!$L3836),1)-1</f>
        <v/>
      </c>
      <c r="E3840" s="22">
        <f>(1+E3839)*IF(AND(Painel_diario!$H3836="ED_JU",Painel_diario!$J3836=1),EXP(Painel_diario!$L3836),1)-1</f>
        <v/>
      </c>
    </row>
    <row r="3841">
      <c r="A3841" s="25" t="n">
        <v>44488</v>
      </c>
      <c r="B3841" s="22">
        <f>(1+B3840)*IF(AND(Painel_diario!$H3837="EU_JD",Painel_diario!$J3837=1),EXP(Painel_diario!$L3837),1)-1</f>
        <v/>
      </c>
      <c r="C3841" s="22">
        <f>(1+C3840)*IF(AND(Painel_diario!$H3837="EU_JU",Painel_diario!$J3837=1),EXP(Painel_diario!$L3837),1)-1</f>
        <v/>
      </c>
      <c r="D3841" s="22">
        <f>(1+D3840)*IF(AND(Painel_diario!$H3837="ED_JD",Painel_diario!$J3837=1),EXP(Painel_diario!$L3837),1)-1</f>
        <v/>
      </c>
      <c r="E3841" s="22">
        <f>(1+E3840)*IF(AND(Painel_diario!$H3837="ED_JU",Painel_diario!$J3837=1),EXP(Painel_diario!$L3837),1)-1</f>
        <v/>
      </c>
    </row>
    <row r="3842">
      <c r="A3842" s="25" t="n">
        <v>44489</v>
      </c>
      <c r="B3842" s="22">
        <f>(1+B3841)*IF(AND(Painel_diario!$H3838="EU_JD",Painel_diario!$J3838=1),EXP(Painel_diario!$L3838),1)-1</f>
        <v/>
      </c>
      <c r="C3842" s="22">
        <f>(1+C3841)*IF(AND(Painel_diario!$H3838="EU_JU",Painel_diario!$J3838=1),EXP(Painel_diario!$L3838),1)-1</f>
        <v/>
      </c>
      <c r="D3842" s="22">
        <f>(1+D3841)*IF(AND(Painel_diario!$H3838="ED_JD",Painel_diario!$J3838=1),EXP(Painel_diario!$L3838),1)-1</f>
        <v/>
      </c>
      <c r="E3842" s="22">
        <f>(1+E3841)*IF(AND(Painel_diario!$H3838="ED_JU",Painel_diario!$J3838=1),EXP(Painel_diario!$L3838),1)-1</f>
        <v/>
      </c>
    </row>
    <row r="3843">
      <c r="A3843" s="25" t="n">
        <v>44490</v>
      </c>
      <c r="B3843" s="22">
        <f>(1+B3842)*IF(AND(Painel_diario!$H3839="EU_JD",Painel_diario!$J3839=1),EXP(Painel_diario!$L3839),1)-1</f>
        <v/>
      </c>
      <c r="C3843" s="22">
        <f>(1+C3842)*IF(AND(Painel_diario!$H3839="EU_JU",Painel_diario!$J3839=1),EXP(Painel_diario!$L3839),1)-1</f>
        <v/>
      </c>
      <c r="D3843" s="22">
        <f>(1+D3842)*IF(AND(Painel_diario!$H3839="ED_JD",Painel_diario!$J3839=1),EXP(Painel_diario!$L3839),1)-1</f>
        <v/>
      </c>
      <c r="E3843" s="22">
        <f>(1+E3842)*IF(AND(Painel_diario!$H3839="ED_JU",Painel_diario!$J3839=1),EXP(Painel_diario!$L3839),1)-1</f>
        <v/>
      </c>
    </row>
    <row r="3844">
      <c r="A3844" s="25" t="n">
        <v>44491</v>
      </c>
      <c r="B3844" s="22">
        <f>(1+B3843)*IF(AND(Painel_diario!$H3840="EU_JD",Painel_diario!$J3840=1),EXP(Painel_diario!$L3840),1)-1</f>
        <v/>
      </c>
      <c r="C3844" s="22">
        <f>(1+C3843)*IF(AND(Painel_diario!$H3840="EU_JU",Painel_diario!$J3840=1),EXP(Painel_diario!$L3840),1)-1</f>
        <v/>
      </c>
      <c r="D3844" s="22">
        <f>(1+D3843)*IF(AND(Painel_diario!$H3840="ED_JD",Painel_diario!$J3840=1),EXP(Painel_diario!$L3840),1)-1</f>
        <v/>
      </c>
      <c r="E3844" s="22">
        <f>(1+E3843)*IF(AND(Painel_diario!$H3840="ED_JU",Painel_diario!$J3840=1),EXP(Painel_diario!$L3840),1)-1</f>
        <v/>
      </c>
    </row>
    <row r="3845">
      <c r="A3845" s="25" t="n">
        <v>44494</v>
      </c>
      <c r="B3845" s="22">
        <f>(1+B3844)*IF(AND(Painel_diario!$H3841="EU_JD",Painel_diario!$J3841=1),EXP(Painel_diario!$L3841),1)-1</f>
        <v/>
      </c>
      <c r="C3845" s="22">
        <f>(1+C3844)*IF(AND(Painel_diario!$H3841="EU_JU",Painel_diario!$J3841=1),EXP(Painel_diario!$L3841),1)-1</f>
        <v/>
      </c>
      <c r="D3845" s="22">
        <f>(1+D3844)*IF(AND(Painel_diario!$H3841="ED_JD",Painel_diario!$J3841=1),EXP(Painel_diario!$L3841),1)-1</f>
        <v/>
      </c>
      <c r="E3845" s="22">
        <f>(1+E3844)*IF(AND(Painel_diario!$H3841="ED_JU",Painel_diario!$J3841=1),EXP(Painel_diario!$L3841),1)-1</f>
        <v/>
      </c>
    </row>
    <row r="3846">
      <c r="A3846" s="25" t="n">
        <v>44495</v>
      </c>
      <c r="B3846" s="22">
        <f>(1+B3845)*IF(AND(Painel_diario!$H3842="EU_JD",Painel_diario!$J3842=1),EXP(Painel_diario!$L3842),1)-1</f>
        <v/>
      </c>
      <c r="C3846" s="22">
        <f>(1+C3845)*IF(AND(Painel_diario!$H3842="EU_JU",Painel_diario!$J3842=1),EXP(Painel_diario!$L3842),1)-1</f>
        <v/>
      </c>
      <c r="D3846" s="22">
        <f>(1+D3845)*IF(AND(Painel_diario!$H3842="ED_JD",Painel_diario!$J3842=1),EXP(Painel_diario!$L3842),1)-1</f>
        <v/>
      </c>
      <c r="E3846" s="22">
        <f>(1+E3845)*IF(AND(Painel_diario!$H3842="ED_JU",Painel_diario!$J3842=1),EXP(Painel_diario!$L3842),1)-1</f>
        <v/>
      </c>
    </row>
    <row r="3847">
      <c r="A3847" s="25" t="n">
        <v>44496</v>
      </c>
      <c r="B3847" s="22">
        <f>(1+B3846)*IF(AND(Painel_diario!$H3843="EU_JD",Painel_diario!$J3843=1),EXP(Painel_diario!$L3843),1)-1</f>
        <v/>
      </c>
      <c r="C3847" s="22">
        <f>(1+C3846)*IF(AND(Painel_diario!$H3843="EU_JU",Painel_diario!$J3843=1),EXP(Painel_diario!$L3843),1)-1</f>
        <v/>
      </c>
      <c r="D3847" s="22">
        <f>(1+D3846)*IF(AND(Painel_diario!$H3843="ED_JD",Painel_diario!$J3843=1),EXP(Painel_diario!$L3843),1)-1</f>
        <v/>
      </c>
      <c r="E3847" s="22">
        <f>(1+E3846)*IF(AND(Painel_diario!$H3843="ED_JU",Painel_diario!$J3843=1),EXP(Painel_diario!$L3843),1)-1</f>
        <v/>
      </c>
    </row>
    <row r="3848">
      <c r="A3848" s="25" t="n">
        <v>44497</v>
      </c>
      <c r="B3848" s="22">
        <f>(1+B3847)*IF(AND(Painel_diario!$H3844="EU_JD",Painel_diario!$J3844=1),EXP(Painel_diario!$L3844),1)-1</f>
        <v/>
      </c>
      <c r="C3848" s="22">
        <f>(1+C3847)*IF(AND(Painel_diario!$H3844="EU_JU",Painel_diario!$J3844=1),EXP(Painel_diario!$L3844),1)-1</f>
        <v/>
      </c>
      <c r="D3848" s="22">
        <f>(1+D3847)*IF(AND(Painel_diario!$H3844="ED_JD",Painel_diario!$J3844=1),EXP(Painel_diario!$L3844),1)-1</f>
        <v/>
      </c>
      <c r="E3848" s="22">
        <f>(1+E3847)*IF(AND(Painel_diario!$H3844="ED_JU",Painel_diario!$J3844=1),EXP(Painel_diario!$L3844),1)-1</f>
        <v/>
      </c>
    </row>
    <row r="3849">
      <c r="A3849" s="25" t="n">
        <v>44498</v>
      </c>
      <c r="B3849" s="22">
        <f>(1+B3848)*IF(AND(Painel_diario!$H3845="EU_JD",Painel_diario!$J3845=1),EXP(Painel_diario!$L3845),1)-1</f>
        <v/>
      </c>
      <c r="C3849" s="22">
        <f>(1+C3848)*IF(AND(Painel_diario!$H3845="EU_JU",Painel_diario!$J3845=1),EXP(Painel_diario!$L3845),1)-1</f>
        <v/>
      </c>
      <c r="D3849" s="22">
        <f>(1+D3848)*IF(AND(Painel_diario!$H3845="ED_JD",Painel_diario!$J3845=1),EXP(Painel_diario!$L3845),1)-1</f>
        <v/>
      </c>
      <c r="E3849" s="22">
        <f>(1+E3848)*IF(AND(Painel_diario!$H3845="ED_JU",Painel_diario!$J3845=1),EXP(Painel_diario!$L3845),1)-1</f>
        <v/>
      </c>
    </row>
    <row r="3850">
      <c r="A3850" s="25" t="n">
        <v>44501</v>
      </c>
      <c r="B3850" s="22">
        <f>(1+B3849)*IF(AND(Painel_diario!$H3846="EU_JD",Painel_diario!$J3846=1),EXP(Painel_diario!$L3846),1)-1</f>
        <v/>
      </c>
      <c r="C3850" s="22">
        <f>(1+C3849)*IF(AND(Painel_diario!$H3846="EU_JU",Painel_diario!$J3846=1),EXP(Painel_diario!$L3846),1)-1</f>
        <v/>
      </c>
      <c r="D3850" s="22">
        <f>(1+D3849)*IF(AND(Painel_diario!$H3846="ED_JD",Painel_diario!$J3846=1),EXP(Painel_diario!$L3846),1)-1</f>
        <v/>
      </c>
      <c r="E3850" s="22">
        <f>(1+E3849)*IF(AND(Painel_diario!$H3846="ED_JU",Painel_diario!$J3846=1),EXP(Painel_diario!$L3846),1)-1</f>
        <v/>
      </c>
    </row>
    <row r="3851">
      <c r="A3851" s="25" t="n">
        <v>44503</v>
      </c>
      <c r="B3851" s="22">
        <f>(1+B3850)*IF(AND(Painel_diario!$H3847="EU_JD",Painel_diario!$J3847=1),EXP(Painel_diario!$L3847),1)-1</f>
        <v/>
      </c>
      <c r="C3851" s="22">
        <f>(1+C3850)*IF(AND(Painel_diario!$H3847="EU_JU",Painel_diario!$J3847=1),EXP(Painel_diario!$L3847),1)-1</f>
        <v/>
      </c>
      <c r="D3851" s="22">
        <f>(1+D3850)*IF(AND(Painel_diario!$H3847="ED_JD",Painel_diario!$J3847=1),EXP(Painel_diario!$L3847),1)-1</f>
        <v/>
      </c>
      <c r="E3851" s="22">
        <f>(1+E3850)*IF(AND(Painel_diario!$H3847="ED_JU",Painel_diario!$J3847=1),EXP(Painel_diario!$L3847),1)-1</f>
        <v/>
      </c>
    </row>
    <row r="3852">
      <c r="A3852" s="25" t="n">
        <v>44504</v>
      </c>
      <c r="B3852" s="22">
        <f>(1+B3851)*IF(AND(Painel_diario!$H3848="EU_JD",Painel_diario!$J3848=1),EXP(Painel_diario!$L3848),1)-1</f>
        <v/>
      </c>
      <c r="C3852" s="22">
        <f>(1+C3851)*IF(AND(Painel_diario!$H3848="EU_JU",Painel_diario!$J3848=1),EXP(Painel_diario!$L3848),1)-1</f>
        <v/>
      </c>
      <c r="D3852" s="22">
        <f>(1+D3851)*IF(AND(Painel_diario!$H3848="ED_JD",Painel_diario!$J3848=1),EXP(Painel_diario!$L3848),1)-1</f>
        <v/>
      </c>
      <c r="E3852" s="22">
        <f>(1+E3851)*IF(AND(Painel_diario!$H3848="ED_JU",Painel_diario!$J3848=1),EXP(Painel_diario!$L3848),1)-1</f>
        <v/>
      </c>
    </row>
    <row r="3853">
      <c r="A3853" s="25" t="n">
        <v>44505</v>
      </c>
      <c r="B3853" s="22">
        <f>(1+B3852)*IF(AND(Painel_diario!$H3849="EU_JD",Painel_diario!$J3849=1),EXP(Painel_diario!$L3849),1)-1</f>
        <v/>
      </c>
      <c r="C3853" s="22">
        <f>(1+C3852)*IF(AND(Painel_diario!$H3849="EU_JU",Painel_diario!$J3849=1),EXP(Painel_diario!$L3849),1)-1</f>
        <v/>
      </c>
      <c r="D3853" s="22">
        <f>(1+D3852)*IF(AND(Painel_diario!$H3849="ED_JD",Painel_diario!$J3849=1),EXP(Painel_diario!$L3849),1)-1</f>
        <v/>
      </c>
      <c r="E3853" s="22">
        <f>(1+E3852)*IF(AND(Painel_diario!$H3849="ED_JU",Painel_diario!$J3849=1),EXP(Painel_diario!$L3849),1)-1</f>
        <v/>
      </c>
    </row>
    <row r="3854">
      <c r="A3854" s="25" t="n">
        <v>44508</v>
      </c>
      <c r="B3854" s="22">
        <f>(1+B3853)*IF(AND(Painel_diario!$H3850="EU_JD",Painel_diario!$J3850=1),EXP(Painel_diario!$L3850),1)-1</f>
        <v/>
      </c>
      <c r="C3854" s="22">
        <f>(1+C3853)*IF(AND(Painel_diario!$H3850="EU_JU",Painel_diario!$J3850=1),EXP(Painel_diario!$L3850),1)-1</f>
        <v/>
      </c>
      <c r="D3854" s="22">
        <f>(1+D3853)*IF(AND(Painel_diario!$H3850="ED_JD",Painel_diario!$J3850=1),EXP(Painel_diario!$L3850),1)-1</f>
        <v/>
      </c>
      <c r="E3854" s="22">
        <f>(1+E3853)*IF(AND(Painel_diario!$H3850="ED_JU",Painel_diario!$J3850=1),EXP(Painel_diario!$L3850),1)-1</f>
        <v/>
      </c>
    </row>
    <row r="3855">
      <c r="A3855" s="25" t="n">
        <v>44509</v>
      </c>
      <c r="B3855" s="22">
        <f>(1+B3854)*IF(AND(Painel_diario!$H3851="EU_JD",Painel_diario!$J3851=1),EXP(Painel_diario!$L3851),1)-1</f>
        <v/>
      </c>
      <c r="C3855" s="22">
        <f>(1+C3854)*IF(AND(Painel_diario!$H3851="EU_JU",Painel_diario!$J3851=1),EXP(Painel_diario!$L3851),1)-1</f>
        <v/>
      </c>
      <c r="D3855" s="22">
        <f>(1+D3854)*IF(AND(Painel_diario!$H3851="ED_JD",Painel_diario!$J3851=1),EXP(Painel_diario!$L3851),1)-1</f>
        <v/>
      </c>
      <c r="E3855" s="22">
        <f>(1+E3854)*IF(AND(Painel_diario!$H3851="ED_JU",Painel_diario!$J3851=1),EXP(Painel_diario!$L3851),1)-1</f>
        <v/>
      </c>
    </row>
    <row r="3856">
      <c r="A3856" s="25" t="n">
        <v>44510</v>
      </c>
      <c r="B3856" s="22">
        <f>(1+B3855)*IF(AND(Painel_diario!$H3852="EU_JD",Painel_diario!$J3852=1),EXP(Painel_diario!$L3852),1)-1</f>
        <v/>
      </c>
      <c r="C3856" s="22">
        <f>(1+C3855)*IF(AND(Painel_diario!$H3852="EU_JU",Painel_diario!$J3852=1),EXP(Painel_diario!$L3852),1)-1</f>
        <v/>
      </c>
      <c r="D3856" s="22">
        <f>(1+D3855)*IF(AND(Painel_diario!$H3852="ED_JD",Painel_diario!$J3852=1),EXP(Painel_diario!$L3852),1)-1</f>
        <v/>
      </c>
      <c r="E3856" s="22">
        <f>(1+E3855)*IF(AND(Painel_diario!$H3852="ED_JU",Painel_diario!$J3852=1),EXP(Painel_diario!$L3852),1)-1</f>
        <v/>
      </c>
    </row>
    <row r="3857">
      <c r="A3857" s="25" t="n">
        <v>44511</v>
      </c>
      <c r="B3857" s="22">
        <f>(1+B3856)*IF(AND(Painel_diario!$H3853="EU_JD",Painel_diario!$J3853=1),EXP(Painel_diario!$L3853),1)-1</f>
        <v/>
      </c>
      <c r="C3857" s="22">
        <f>(1+C3856)*IF(AND(Painel_diario!$H3853="EU_JU",Painel_diario!$J3853=1),EXP(Painel_diario!$L3853),1)-1</f>
        <v/>
      </c>
      <c r="D3857" s="22">
        <f>(1+D3856)*IF(AND(Painel_diario!$H3853="ED_JD",Painel_diario!$J3853=1),EXP(Painel_diario!$L3853),1)-1</f>
        <v/>
      </c>
      <c r="E3857" s="22">
        <f>(1+E3856)*IF(AND(Painel_diario!$H3853="ED_JU",Painel_diario!$J3853=1),EXP(Painel_diario!$L3853),1)-1</f>
        <v/>
      </c>
    </row>
    <row r="3858">
      <c r="A3858" s="25" t="n">
        <v>44512</v>
      </c>
      <c r="B3858" s="22">
        <f>(1+B3857)*IF(AND(Painel_diario!$H3854="EU_JD",Painel_diario!$J3854=1),EXP(Painel_diario!$L3854),1)-1</f>
        <v/>
      </c>
      <c r="C3858" s="22">
        <f>(1+C3857)*IF(AND(Painel_diario!$H3854="EU_JU",Painel_diario!$J3854=1),EXP(Painel_diario!$L3854),1)-1</f>
        <v/>
      </c>
      <c r="D3858" s="22">
        <f>(1+D3857)*IF(AND(Painel_diario!$H3854="ED_JD",Painel_diario!$J3854=1),EXP(Painel_diario!$L3854),1)-1</f>
        <v/>
      </c>
      <c r="E3858" s="22">
        <f>(1+E3857)*IF(AND(Painel_diario!$H3854="ED_JU",Painel_diario!$J3854=1),EXP(Painel_diario!$L3854),1)-1</f>
        <v/>
      </c>
    </row>
    <row r="3859">
      <c r="A3859" s="25" t="n">
        <v>44516</v>
      </c>
      <c r="B3859" s="22">
        <f>(1+B3858)*IF(AND(Painel_diario!$H3855="EU_JD",Painel_diario!$J3855=1),EXP(Painel_diario!$L3855),1)-1</f>
        <v/>
      </c>
      <c r="C3859" s="22">
        <f>(1+C3858)*IF(AND(Painel_diario!$H3855="EU_JU",Painel_diario!$J3855=1),EXP(Painel_diario!$L3855),1)-1</f>
        <v/>
      </c>
      <c r="D3859" s="22">
        <f>(1+D3858)*IF(AND(Painel_diario!$H3855="ED_JD",Painel_diario!$J3855=1),EXP(Painel_diario!$L3855),1)-1</f>
        <v/>
      </c>
      <c r="E3859" s="22">
        <f>(1+E3858)*IF(AND(Painel_diario!$H3855="ED_JU",Painel_diario!$J3855=1),EXP(Painel_diario!$L3855),1)-1</f>
        <v/>
      </c>
    </row>
    <row r="3860">
      <c r="A3860" s="25" t="n">
        <v>44517</v>
      </c>
      <c r="B3860" s="22">
        <f>(1+B3859)*IF(AND(Painel_diario!$H3856="EU_JD",Painel_diario!$J3856=1),EXP(Painel_diario!$L3856),1)-1</f>
        <v/>
      </c>
      <c r="C3860" s="22">
        <f>(1+C3859)*IF(AND(Painel_diario!$H3856="EU_JU",Painel_diario!$J3856=1),EXP(Painel_diario!$L3856),1)-1</f>
        <v/>
      </c>
      <c r="D3860" s="22">
        <f>(1+D3859)*IF(AND(Painel_diario!$H3856="ED_JD",Painel_diario!$J3856=1),EXP(Painel_diario!$L3856),1)-1</f>
        <v/>
      </c>
      <c r="E3860" s="22">
        <f>(1+E3859)*IF(AND(Painel_diario!$H3856="ED_JU",Painel_diario!$J3856=1),EXP(Painel_diario!$L3856),1)-1</f>
        <v/>
      </c>
    </row>
    <row r="3861">
      <c r="A3861" s="25" t="n">
        <v>44518</v>
      </c>
      <c r="B3861" s="22">
        <f>(1+B3860)*IF(AND(Painel_diario!$H3857="EU_JD",Painel_diario!$J3857=1),EXP(Painel_diario!$L3857),1)-1</f>
        <v/>
      </c>
      <c r="C3861" s="22">
        <f>(1+C3860)*IF(AND(Painel_diario!$H3857="EU_JU",Painel_diario!$J3857=1),EXP(Painel_diario!$L3857),1)-1</f>
        <v/>
      </c>
      <c r="D3861" s="22">
        <f>(1+D3860)*IF(AND(Painel_diario!$H3857="ED_JD",Painel_diario!$J3857=1),EXP(Painel_diario!$L3857),1)-1</f>
        <v/>
      </c>
      <c r="E3861" s="22">
        <f>(1+E3860)*IF(AND(Painel_diario!$H3857="ED_JU",Painel_diario!$J3857=1),EXP(Painel_diario!$L3857),1)-1</f>
        <v/>
      </c>
    </row>
    <row r="3862">
      <c r="A3862" s="25" t="n">
        <v>44519</v>
      </c>
      <c r="B3862" s="22">
        <f>(1+B3861)*IF(AND(Painel_diario!$H3858="EU_JD",Painel_diario!$J3858=1),EXP(Painel_diario!$L3858),1)-1</f>
        <v/>
      </c>
      <c r="C3862" s="22">
        <f>(1+C3861)*IF(AND(Painel_diario!$H3858="EU_JU",Painel_diario!$J3858=1),EXP(Painel_diario!$L3858),1)-1</f>
        <v/>
      </c>
      <c r="D3862" s="22">
        <f>(1+D3861)*IF(AND(Painel_diario!$H3858="ED_JD",Painel_diario!$J3858=1),EXP(Painel_diario!$L3858),1)-1</f>
        <v/>
      </c>
      <c r="E3862" s="22">
        <f>(1+E3861)*IF(AND(Painel_diario!$H3858="ED_JU",Painel_diario!$J3858=1),EXP(Painel_diario!$L3858),1)-1</f>
        <v/>
      </c>
    </row>
    <row r="3863">
      <c r="A3863" s="25" t="n">
        <v>44522</v>
      </c>
      <c r="B3863" s="22">
        <f>(1+B3862)*IF(AND(Painel_diario!$H3859="EU_JD",Painel_diario!$J3859=1),EXP(Painel_diario!$L3859),1)-1</f>
        <v/>
      </c>
      <c r="C3863" s="22">
        <f>(1+C3862)*IF(AND(Painel_diario!$H3859="EU_JU",Painel_diario!$J3859=1),EXP(Painel_diario!$L3859),1)-1</f>
        <v/>
      </c>
      <c r="D3863" s="22">
        <f>(1+D3862)*IF(AND(Painel_diario!$H3859="ED_JD",Painel_diario!$J3859=1),EXP(Painel_diario!$L3859),1)-1</f>
        <v/>
      </c>
      <c r="E3863" s="22">
        <f>(1+E3862)*IF(AND(Painel_diario!$H3859="ED_JU",Painel_diario!$J3859=1),EXP(Painel_diario!$L3859),1)-1</f>
        <v/>
      </c>
    </row>
    <row r="3864">
      <c r="A3864" s="25" t="n">
        <v>44523</v>
      </c>
      <c r="B3864" s="22">
        <f>(1+B3863)*IF(AND(Painel_diario!$H3860="EU_JD",Painel_diario!$J3860=1),EXP(Painel_diario!$L3860),1)-1</f>
        <v/>
      </c>
      <c r="C3864" s="22">
        <f>(1+C3863)*IF(AND(Painel_diario!$H3860="EU_JU",Painel_diario!$J3860=1),EXP(Painel_diario!$L3860),1)-1</f>
        <v/>
      </c>
      <c r="D3864" s="22">
        <f>(1+D3863)*IF(AND(Painel_diario!$H3860="ED_JD",Painel_diario!$J3860=1),EXP(Painel_diario!$L3860),1)-1</f>
        <v/>
      </c>
      <c r="E3864" s="22">
        <f>(1+E3863)*IF(AND(Painel_diario!$H3860="ED_JU",Painel_diario!$J3860=1),EXP(Painel_diario!$L3860),1)-1</f>
        <v/>
      </c>
    </row>
    <row r="3865">
      <c r="A3865" s="25" t="n">
        <v>44524</v>
      </c>
      <c r="B3865" s="22">
        <f>(1+B3864)*IF(AND(Painel_diario!$H3861="EU_JD",Painel_diario!$J3861=1),EXP(Painel_diario!$L3861),1)-1</f>
        <v/>
      </c>
      <c r="C3865" s="22">
        <f>(1+C3864)*IF(AND(Painel_diario!$H3861="EU_JU",Painel_diario!$J3861=1),EXP(Painel_diario!$L3861),1)-1</f>
        <v/>
      </c>
      <c r="D3865" s="22">
        <f>(1+D3864)*IF(AND(Painel_diario!$H3861="ED_JD",Painel_diario!$J3861=1),EXP(Painel_diario!$L3861),1)-1</f>
        <v/>
      </c>
      <c r="E3865" s="22">
        <f>(1+E3864)*IF(AND(Painel_diario!$H3861="ED_JU",Painel_diario!$J3861=1),EXP(Painel_diario!$L3861),1)-1</f>
        <v/>
      </c>
    </row>
    <row r="3866">
      <c r="A3866" s="25" t="n">
        <v>44525</v>
      </c>
      <c r="B3866" s="22">
        <f>(1+B3865)*IF(AND(Painel_diario!$H3862="EU_JD",Painel_diario!$J3862=1),EXP(Painel_diario!$L3862),1)-1</f>
        <v/>
      </c>
      <c r="C3866" s="22">
        <f>(1+C3865)*IF(AND(Painel_diario!$H3862="EU_JU",Painel_diario!$J3862=1),EXP(Painel_diario!$L3862),1)-1</f>
        <v/>
      </c>
      <c r="D3866" s="22">
        <f>(1+D3865)*IF(AND(Painel_diario!$H3862="ED_JD",Painel_diario!$J3862=1),EXP(Painel_diario!$L3862),1)-1</f>
        <v/>
      </c>
      <c r="E3866" s="22">
        <f>(1+E3865)*IF(AND(Painel_diario!$H3862="ED_JU",Painel_diario!$J3862=1),EXP(Painel_diario!$L3862),1)-1</f>
        <v/>
      </c>
    </row>
    <row r="3867">
      <c r="A3867" s="25" t="n">
        <v>44526</v>
      </c>
      <c r="B3867" s="22">
        <f>(1+B3866)*IF(AND(Painel_diario!$H3863="EU_JD",Painel_diario!$J3863=1),EXP(Painel_diario!$L3863),1)-1</f>
        <v/>
      </c>
      <c r="C3867" s="22">
        <f>(1+C3866)*IF(AND(Painel_diario!$H3863="EU_JU",Painel_diario!$J3863=1),EXP(Painel_diario!$L3863),1)-1</f>
        <v/>
      </c>
      <c r="D3867" s="22">
        <f>(1+D3866)*IF(AND(Painel_diario!$H3863="ED_JD",Painel_diario!$J3863=1),EXP(Painel_diario!$L3863),1)-1</f>
        <v/>
      </c>
      <c r="E3867" s="22">
        <f>(1+E3866)*IF(AND(Painel_diario!$H3863="ED_JU",Painel_diario!$J3863=1),EXP(Painel_diario!$L3863),1)-1</f>
        <v/>
      </c>
    </row>
    <row r="3868">
      <c r="A3868" s="25" t="n">
        <v>44529</v>
      </c>
      <c r="B3868" s="22">
        <f>(1+B3867)*IF(AND(Painel_diario!$H3864="EU_JD",Painel_diario!$J3864=1),EXP(Painel_diario!$L3864),1)-1</f>
        <v/>
      </c>
      <c r="C3868" s="22">
        <f>(1+C3867)*IF(AND(Painel_diario!$H3864="EU_JU",Painel_diario!$J3864=1),EXP(Painel_diario!$L3864),1)-1</f>
        <v/>
      </c>
      <c r="D3868" s="22">
        <f>(1+D3867)*IF(AND(Painel_diario!$H3864="ED_JD",Painel_diario!$J3864=1),EXP(Painel_diario!$L3864),1)-1</f>
        <v/>
      </c>
      <c r="E3868" s="22">
        <f>(1+E3867)*IF(AND(Painel_diario!$H3864="ED_JU",Painel_diario!$J3864=1),EXP(Painel_diario!$L3864),1)-1</f>
        <v/>
      </c>
    </row>
    <row r="3869">
      <c r="A3869" s="25" t="n">
        <v>44530</v>
      </c>
      <c r="B3869" s="22">
        <f>(1+B3868)*IF(AND(Painel_diario!$H3865="EU_JD",Painel_diario!$J3865=1),EXP(Painel_diario!$L3865),1)-1</f>
        <v/>
      </c>
      <c r="C3869" s="22">
        <f>(1+C3868)*IF(AND(Painel_diario!$H3865="EU_JU",Painel_diario!$J3865=1),EXP(Painel_diario!$L3865),1)-1</f>
        <v/>
      </c>
      <c r="D3869" s="22">
        <f>(1+D3868)*IF(AND(Painel_diario!$H3865="ED_JD",Painel_diario!$J3865=1),EXP(Painel_diario!$L3865),1)-1</f>
        <v/>
      </c>
      <c r="E3869" s="22">
        <f>(1+E3868)*IF(AND(Painel_diario!$H3865="ED_JU",Painel_diario!$J3865=1),EXP(Painel_diario!$L3865),1)-1</f>
        <v/>
      </c>
    </row>
    <row r="3870">
      <c r="A3870" s="25" t="n">
        <v>44531</v>
      </c>
      <c r="B3870" s="22">
        <f>(1+B3869)*IF(AND(Painel_diario!$H3866="EU_JD",Painel_diario!$J3866=1),EXP(Painel_diario!$L3866),1)-1</f>
        <v/>
      </c>
      <c r="C3870" s="22">
        <f>(1+C3869)*IF(AND(Painel_diario!$H3866="EU_JU",Painel_diario!$J3866=1),EXP(Painel_diario!$L3866),1)-1</f>
        <v/>
      </c>
      <c r="D3870" s="22">
        <f>(1+D3869)*IF(AND(Painel_diario!$H3866="ED_JD",Painel_diario!$J3866=1),EXP(Painel_diario!$L3866),1)-1</f>
        <v/>
      </c>
      <c r="E3870" s="22">
        <f>(1+E3869)*IF(AND(Painel_diario!$H3866="ED_JU",Painel_diario!$J3866=1),EXP(Painel_diario!$L3866),1)-1</f>
        <v/>
      </c>
    </row>
    <row r="3871">
      <c r="A3871" s="25" t="n">
        <v>44532</v>
      </c>
      <c r="B3871" s="22">
        <f>(1+B3870)*IF(AND(Painel_diario!$H3867="EU_JD",Painel_diario!$J3867=1),EXP(Painel_diario!$L3867),1)-1</f>
        <v/>
      </c>
      <c r="C3871" s="22">
        <f>(1+C3870)*IF(AND(Painel_diario!$H3867="EU_JU",Painel_diario!$J3867=1),EXP(Painel_diario!$L3867),1)-1</f>
        <v/>
      </c>
      <c r="D3871" s="22">
        <f>(1+D3870)*IF(AND(Painel_diario!$H3867="ED_JD",Painel_diario!$J3867=1),EXP(Painel_diario!$L3867),1)-1</f>
        <v/>
      </c>
      <c r="E3871" s="22">
        <f>(1+E3870)*IF(AND(Painel_diario!$H3867="ED_JU",Painel_diario!$J3867=1),EXP(Painel_diario!$L3867),1)-1</f>
        <v/>
      </c>
    </row>
    <row r="3872">
      <c r="A3872" s="25" t="n">
        <v>44533</v>
      </c>
      <c r="B3872" s="22">
        <f>(1+B3871)*IF(AND(Painel_diario!$H3868="EU_JD",Painel_diario!$J3868=1),EXP(Painel_diario!$L3868),1)-1</f>
        <v/>
      </c>
      <c r="C3872" s="22">
        <f>(1+C3871)*IF(AND(Painel_diario!$H3868="EU_JU",Painel_diario!$J3868=1),EXP(Painel_diario!$L3868),1)-1</f>
        <v/>
      </c>
      <c r="D3872" s="22">
        <f>(1+D3871)*IF(AND(Painel_diario!$H3868="ED_JD",Painel_diario!$J3868=1),EXP(Painel_diario!$L3868),1)-1</f>
        <v/>
      </c>
      <c r="E3872" s="22">
        <f>(1+E3871)*IF(AND(Painel_diario!$H3868="ED_JU",Painel_diario!$J3868=1),EXP(Painel_diario!$L3868),1)-1</f>
        <v/>
      </c>
    </row>
    <row r="3873">
      <c r="A3873" s="25" t="n">
        <v>44536</v>
      </c>
      <c r="B3873" s="22">
        <f>(1+B3872)*IF(AND(Painel_diario!$H3869="EU_JD",Painel_diario!$J3869=1),EXP(Painel_diario!$L3869),1)-1</f>
        <v/>
      </c>
      <c r="C3873" s="22">
        <f>(1+C3872)*IF(AND(Painel_diario!$H3869="EU_JU",Painel_diario!$J3869=1),EXP(Painel_diario!$L3869),1)-1</f>
        <v/>
      </c>
      <c r="D3873" s="22">
        <f>(1+D3872)*IF(AND(Painel_diario!$H3869="ED_JD",Painel_diario!$J3869=1),EXP(Painel_diario!$L3869),1)-1</f>
        <v/>
      </c>
      <c r="E3873" s="22">
        <f>(1+E3872)*IF(AND(Painel_diario!$H3869="ED_JU",Painel_diario!$J3869=1),EXP(Painel_diario!$L3869),1)-1</f>
        <v/>
      </c>
    </row>
    <row r="3874">
      <c r="A3874" s="25" t="n">
        <v>44537</v>
      </c>
      <c r="B3874" s="22">
        <f>(1+B3873)*IF(AND(Painel_diario!$H3870="EU_JD",Painel_diario!$J3870=1),EXP(Painel_diario!$L3870),1)-1</f>
        <v/>
      </c>
      <c r="C3874" s="22">
        <f>(1+C3873)*IF(AND(Painel_diario!$H3870="EU_JU",Painel_diario!$J3870=1),EXP(Painel_diario!$L3870),1)-1</f>
        <v/>
      </c>
      <c r="D3874" s="22">
        <f>(1+D3873)*IF(AND(Painel_diario!$H3870="ED_JD",Painel_diario!$J3870=1),EXP(Painel_diario!$L3870),1)-1</f>
        <v/>
      </c>
      <c r="E3874" s="22">
        <f>(1+E3873)*IF(AND(Painel_diario!$H3870="ED_JU",Painel_diario!$J3870=1),EXP(Painel_diario!$L3870),1)-1</f>
        <v/>
      </c>
    </row>
    <row r="3875">
      <c r="A3875" s="25" t="n">
        <v>44538</v>
      </c>
      <c r="B3875" s="22">
        <f>(1+B3874)*IF(AND(Painel_diario!$H3871="EU_JD",Painel_diario!$J3871=1),EXP(Painel_diario!$L3871),1)-1</f>
        <v/>
      </c>
      <c r="C3875" s="22">
        <f>(1+C3874)*IF(AND(Painel_diario!$H3871="EU_JU",Painel_diario!$J3871=1),EXP(Painel_diario!$L3871),1)-1</f>
        <v/>
      </c>
      <c r="D3875" s="22">
        <f>(1+D3874)*IF(AND(Painel_diario!$H3871="ED_JD",Painel_diario!$J3871=1),EXP(Painel_diario!$L3871),1)-1</f>
        <v/>
      </c>
      <c r="E3875" s="22">
        <f>(1+E3874)*IF(AND(Painel_diario!$H3871="ED_JU",Painel_diario!$J3871=1),EXP(Painel_diario!$L3871),1)-1</f>
        <v/>
      </c>
    </row>
    <row r="3876">
      <c r="A3876" s="25" t="n">
        <v>44539</v>
      </c>
      <c r="B3876" s="22">
        <f>(1+B3875)*IF(AND(Painel_diario!$H3872="EU_JD",Painel_diario!$J3872=1),EXP(Painel_diario!$L3872),1)-1</f>
        <v/>
      </c>
      <c r="C3876" s="22">
        <f>(1+C3875)*IF(AND(Painel_diario!$H3872="EU_JU",Painel_diario!$J3872=1),EXP(Painel_diario!$L3872),1)-1</f>
        <v/>
      </c>
      <c r="D3876" s="22">
        <f>(1+D3875)*IF(AND(Painel_diario!$H3872="ED_JD",Painel_diario!$J3872=1),EXP(Painel_diario!$L3872),1)-1</f>
        <v/>
      </c>
      <c r="E3876" s="22">
        <f>(1+E3875)*IF(AND(Painel_diario!$H3872="ED_JU",Painel_diario!$J3872=1),EXP(Painel_diario!$L3872),1)-1</f>
        <v/>
      </c>
    </row>
    <row r="3877">
      <c r="A3877" s="25" t="n">
        <v>44540</v>
      </c>
      <c r="B3877" s="22">
        <f>(1+B3876)*IF(AND(Painel_diario!$H3873="EU_JD",Painel_diario!$J3873=1),EXP(Painel_diario!$L3873),1)-1</f>
        <v/>
      </c>
      <c r="C3877" s="22">
        <f>(1+C3876)*IF(AND(Painel_diario!$H3873="EU_JU",Painel_diario!$J3873=1),EXP(Painel_diario!$L3873),1)-1</f>
        <v/>
      </c>
      <c r="D3877" s="22">
        <f>(1+D3876)*IF(AND(Painel_diario!$H3873="ED_JD",Painel_diario!$J3873=1),EXP(Painel_diario!$L3873),1)-1</f>
        <v/>
      </c>
      <c r="E3877" s="22">
        <f>(1+E3876)*IF(AND(Painel_diario!$H3873="ED_JU",Painel_diario!$J3873=1),EXP(Painel_diario!$L3873),1)-1</f>
        <v/>
      </c>
    </row>
    <row r="3878">
      <c r="A3878" s="25" t="n">
        <v>44543</v>
      </c>
      <c r="B3878" s="22">
        <f>(1+B3877)*IF(AND(Painel_diario!$H3874="EU_JD",Painel_diario!$J3874=1),EXP(Painel_diario!$L3874),1)-1</f>
        <v/>
      </c>
      <c r="C3878" s="22">
        <f>(1+C3877)*IF(AND(Painel_diario!$H3874="EU_JU",Painel_diario!$J3874=1),EXP(Painel_diario!$L3874),1)-1</f>
        <v/>
      </c>
      <c r="D3878" s="22">
        <f>(1+D3877)*IF(AND(Painel_diario!$H3874="ED_JD",Painel_diario!$J3874=1),EXP(Painel_diario!$L3874),1)-1</f>
        <v/>
      </c>
      <c r="E3878" s="22">
        <f>(1+E3877)*IF(AND(Painel_diario!$H3874="ED_JU",Painel_diario!$J3874=1),EXP(Painel_diario!$L3874),1)-1</f>
        <v/>
      </c>
    </row>
    <row r="3879">
      <c r="A3879" s="25" t="n">
        <v>44544</v>
      </c>
      <c r="B3879" s="22">
        <f>(1+B3878)*IF(AND(Painel_diario!$H3875="EU_JD",Painel_diario!$J3875=1),EXP(Painel_diario!$L3875),1)-1</f>
        <v/>
      </c>
      <c r="C3879" s="22">
        <f>(1+C3878)*IF(AND(Painel_diario!$H3875="EU_JU",Painel_diario!$J3875=1),EXP(Painel_diario!$L3875),1)-1</f>
        <v/>
      </c>
      <c r="D3879" s="22">
        <f>(1+D3878)*IF(AND(Painel_diario!$H3875="ED_JD",Painel_diario!$J3875=1),EXP(Painel_diario!$L3875),1)-1</f>
        <v/>
      </c>
      <c r="E3879" s="22">
        <f>(1+E3878)*IF(AND(Painel_diario!$H3875="ED_JU",Painel_diario!$J3875=1),EXP(Painel_diario!$L3875),1)-1</f>
        <v/>
      </c>
    </row>
    <row r="3880">
      <c r="A3880" s="25" t="n">
        <v>44545</v>
      </c>
      <c r="B3880" s="22">
        <f>(1+B3879)*IF(AND(Painel_diario!$H3876="EU_JD",Painel_diario!$J3876=1),EXP(Painel_diario!$L3876),1)-1</f>
        <v/>
      </c>
      <c r="C3880" s="22">
        <f>(1+C3879)*IF(AND(Painel_diario!$H3876="EU_JU",Painel_diario!$J3876=1),EXP(Painel_diario!$L3876),1)-1</f>
        <v/>
      </c>
      <c r="D3880" s="22">
        <f>(1+D3879)*IF(AND(Painel_diario!$H3876="ED_JD",Painel_diario!$J3876=1),EXP(Painel_diario!$L3876),1)-1</f>
        <v/>
      </c>
      <c r="E3880" s="22">
        <f>(1+E3879)*IF(AND(Painel_diario!$H3876="ED_JU",Painel_diario!$J3876=1),EXP(Painel_diario!$L3876),1)-1</f>
        <v/>
      </c>
    </row>
    <row r="3881">
      <c r="A3881" s="25" t="n">
        <v>44546</v>
      </c>
      <c r="B3881" s="22">
        <f>(1+B3880)*IF(AND(Painel_diario!$H3877="EU_JD",Painel_diario!$J3877=1),EXP(Painel_diario!$L3877),1)-1</f>
        <v/>
      </c>
      <c r="C3881" s="22">
        <f>(1+C3880)*IF(AND(Painel_diario!$H3877="EU_JU",Painel_diario!$J3877=1),EXP(Painel_diario!$L3877),1)-1</f>
        <v/>
      </c>
      <c r="D3881" s="22">
        <f>(1+D3880)*IF(AND(Painel_diario!$H3877="ED_JD",Painel_diario!$J3877=1),EXP(Painel_diario!$L3877),1)-1</f>
        <v/>
      </c>
      <c r="E3881" s="22">
        <f>(1+E3880)*IF(AND(Painel_diario!$H3877="ED_JU",Painel_diario!$J3877=1),EXP(Painel_diario!$L3877),1)-1</f>
        <v/>
      </c>
    </row>
    <row r="3882">
      <c r="A3882" s="25" t="n">
        <v>44547</v>
      </c>
      <c r="B3882" s="22">
        <f>(1+B3881)*IF(AND(Painel_diario!$H3878="EU_JD",Painel_diario!$J3878=1),EXP(Painel_diario!$L3878),1)-1</f>
        <v/>
      </c>
      <c r="C3882" s="22">
        <f>(1+C3881)*IF(AND(Painel_diario!$H3878="EU_JU",Painel_diario!$J3878=1),EXP(Painel_diario!$L3878),1)-1</f>
        <v/>
      </c>
      <c r="D3882" s="22">
        <f>(1+D3881)*IF(AND(Painel_diario!$H3878="ED_JD",Painel_diario!$J3878=1),EXP(Painel_diario!$L3878),1)-1</f>
        <v/>
      </c>
      <c r="E3882" s="22">
        <f>(1+E3881)*IF(AND(Painel_diario!$H3878="ED_JU",Painel_diario!$J3878=1),EXP(Painel_diario!$L3878),1)-1</f>
        <v/>
      </c>
    </row>
    <row r="3883">
      <c r="A3883" s="25" t="n">
        <v>44550</v>
      </c>
      <c r="B3883" s="22">
        <f>(1+B3882)*IF(AND(Painel_diario!$H3879="EU_JD",Painel_diario!$J3879=1),EXP(Painel_diario!$L3879),1)-1</f>
        <v/>
      </c>
      <c r="C3883" s="22">
        <f>(1+C3882)*IF(AND(Painel_diario!$H3879="EU_JU",Painel_diario!$J3879=1),EXP(Painel_diario!$L3879),1)-1</f>
        <v/>
      </c>
      <c r="D3883" s="22">
        <f>(1+D3882)*IF(AND(Painel_diario!$H3879="ED_JD",Painel_diario!$J3879=1),EXP(Painel_diario!$L3879),1)-1</f>
        <v/>
      </c>
      <c r="E3883" s="22">
        <f>(1+E3882)*IF(AND(Painel_diario!$H3879="ED_JU",Painel_diario!$J3879=1),EXP(Painel_diario!$L3879),1)-1</f>
        <v/>
      </c>
    </row>
    <row r="3884">
      <c r="A3884" s="25" t="n">
        <v>44551</v>
      </c>
      <c r="B3884" s="22">
        <f>(1+B3883)*IF(AND(Painel_diario!$H3880="EU_JD",Painel_diario!$J3880=1),EXP(Painel_diario!$L3880),1)-1</f>
        <v/>
      </c>
      <c r="C3884" s="22">
        <f>(1+C3883)*IF(AND(Painel_diario!$H3880="EU_JU",Painel_diario!$J3880=1),EXP(Painel_diario!$L3880),1)-1</f>
        <v/>
      </c>
      <c r="D3884" s="22">
        <f>(1+D3883)*IF(AND(Painel_diario!$H3880="ED_JD",Painel_diario!$J3880=1),EXP(Painel_diario!$L3880),1)-1</f>
        <v/>
      </c>
      <c r="E3884" s="22">
        <f>(1+E3883)*IF(AND(Painel_diario!$H3880="ED_JU",Painel_diario!$J3880=1),EXP(Painel_diario!$L3880),1)-1</f>
        <v/>
      </c>
    </row>
    <row r="3885">
      <c r="A3885" s="25" t="n">
        <v>44552</v>
      </c>
      <c r="B3885" s="22">
        <f>(1+B3884)*IF(AND(Painel_diario!$H3881="EU_JD",Painel_diario!$J3881=1),EXP(Painel_diario!$L3881),1)-1</f>
        <v/>
      </c>
      <c r="C3885" s="22">
        <f>(1+C3884)*IF(AND(Painel_diario!$H3881="EU_JU",Painel_diario!$J3881=1),EXP(Painel_diario!$L3881),1)-1</f>
        <v/>
      </c>
      <c r="D3885" s="22">
        <f>(1+D3884)*IF(AND(Painel_diario!$H3881="ED_JD",Painel_diario!$J3881=1),EXP(Painel_diario!$L3881),1)-1</f>
        <v/>
      </c>
      <c r="E3885" s="22">
        <f>(1+E3884)*IF(AND(Painel_diario!$H3881="ED_JU",Painel_diario!$J3881=1),EXP(Painel_diario!$L3881),1)-1</f>
        <v/>
      </c>
    </row>
    <row r="3886">
      <c r="A3886" s="25" t="n">
        <v>44553</v>
      </c>
      <c r="B3886" s="22">
        <f>(1+B3885)*IF(AND(Painel_diario!$H3882="EU_JD",Painel_diario!$J3882=1),EXP(Painel_diario!$L3882),1)-1</f>
        <v/>
      </c>
      <c r="C3886" s="22">
        <f>(1+C3885)*IF(AND(Painel_diario!$H3882="EU_JU",Painel_diario!$J3882=1),EXP(Painel_diario!$L3882),1)-1</f>
        <v/>
      </c>
      <c r="D3886" s="22">
        <f>(1+D3885)*IF(AND(Painel_diario!$H3882="ED_JD",Painel_diario!$J3882=1),EXP(Painel_diario!$L3882),1)-1</f>
        <v/>
      </c>
      <c r="E3886" s="22">
        <f>(1+E3885)*IF(AND(Painel_diario!$H3882="ED_JU",Painel_diario!$J3882=1),EXP(Painel_diario!$L3882),1)-1</f>
        <v/>
      </c>
    </row>
    <row r="3887">
      <c r="A3887" s="25" t="n">
        <v>44557</v>
      </c>
      <c r="B3887" s="22">
        <f>(1+B3886)*IF(AND(Painel_diario!$H3883="EU_JD",Painel_diario!$J3883=1),EXP(Painel_diario!$L3883),1)-1</f>
        <v/>
      </c>
      <c r="C3887" s="22">
        <f>(1+C3886)*IF(AND(Painel_diario!$H3883="EU_JU",Painel_diario!$J3883=1),EXP(Painel_diario!$L3883),1)-1</f>
        <v/>
      </c>
      <c r="D3887" s="22">
        <f>(1+D3886)*IF(AND(Painel_diario!$H3883="ED_JD",Painel_diario!$J3883=1),EXP(Painel_diario!$L3883),1)-1</f>
        <v/>
      </c>
      <c r="E3887" s="22">
        <f>(1+E3886)*IF(AND(Painel_diario!$H3883="ED_JU",Painel_diario!$J3883=1),EXP(Painel_diario!$L3883),1)-1</f>
        <v/>
      </c>
    </row>
    <row r="3888">
      <c r="A3888" s="25" t="n">
        <v>44558</v>
      </c>
      <c r="B3888" s="22">
        <f>(1+B3887)*IF(AND(Painel_diario!$H3884="EU_JD",Painel_diario!$J3884=1),EXP(Painel_diario!$L3884),1)-1</f>
        <v/>
      </c>
      <c r="C3888" s="22">
        <f>(1+C3887)*IF(AND(Painel_diario!$H3884="EU_JU",Painel_diario!$J3884=1),EXP(Painel_diario!$L3884),1)-1</f>
        <v/>
      </c>
      <c r="D3888" s="22">
        <f>(1+D3887)*IF(AND(Painel_diario!$H3884="ED_JD",Painel_diario!$J3884=1),EXP(Painel_diario!$L3884),1)-1</f>
        <v/>
      </c>
      <c r="E3888" s="22">
        <f>(1+E3887)*IF(AND(Painel_diario!$H3884="ED_JU",Painel_diario!$J3884=1),EXP(Painel_diario!$L3884),1)-1</f>
        <v/>
      </c>
    </row>
    <row r="3889">
      <c r="A3889" s="25" t="n">
        <v>44559</v>
      </c>
      <c r="B3889" s="22">
        <f>(1+B3888)*IF(AND(Painel_diario!$H3885="EU_JD",Painel_diario!$J3885=1),EXP(Painel_diario!$L3885),1)-1</f>
        <v/>
      </c>
      <c r="C3889" s="22">
        <f>(1+C3888)*IF(AND(Painel_diario!$H3885="EU_JU",Painel_diario!$J3885=1),EXP(Painel_diario!$L3885),1)-1</f>
        <v/>
      </c>
      <c r="D3889" s="22">
        <f>(1+D3888)*IF(AND(Painel_diario!$H3885="ED_JD",Painel_diario!$J3885=1),EXP(Painel_diario!$L3885),1)-1</f>
        <v/>
      </c>
      <c r="E3889" s="22">
        <f>(1+E3888)*IF(AND(Painel_diario!$H3885="ED_JU",Painel_diario!$J3885=1),EXP(Painel_diario!$L3885),1)-1</f>
        <v/>
      </c>
    </row>
    <row r="3890">
      <c r="A3890" s="25" t="n">
        <v>44560</v>
      </c>
      <c r="B3890" s="22">
        <f>(1+B3889)*IF(AND(Painel_diario!$H3886="EU_JD",Painel_diario!$J3886=1),EXP(Painel_diario!$L3886),1)-1</f>
        <v/>
      </c>
      <c r="C3890" s="22">
        <f>(1+C3889)*IF(AND(Painel_diario!$H3886="EU_JU",Painel_diario!$J3886=1),EXP(Painel_diario!$L3886),1)-1</f>
        <v/>
      </c>
      <c r="D3890" s="22">
        <f>(1+D3889)*IF(AND(Painel_diario!$H3886="ED_JD",Painel_diario!$J3886=1),EXP(Painel_diario!$L3886),1)-1</f>
        <v/>
      </c>
      <c r="E3890" s="22">
        <f>(1+E3889)*IF(AND(Painel_diario!$H3886="ED_JU",Painel_diario!$J3886=1),EXP(Painel_diario!$L3886),1)-1</f>
        <v/>
      </c>
    </row>
    <row r="3891">
      <c r="A3891" s="25" t="n">
        <v>44564</v>
      </c>
      <c r="B3891" s="22">
        <f>(1+B3890)*IF(AND(Painel_diario!$H3887="EU_JD",Painel_diario!$J3887=1),EXP(Painel_diario!$L3887),1)-1</f>
        <v/>
      </c>
      <c r="C3891" s="22">
        <f>(1+C3890)*IF(AND(Painel_diario!$H3887="EU_JU",Painel_diario!$J3887=1),EXP(Painel_diario!$L3887),1)-1</f>
        <v/>
      </c>
      <c r="D3891" s="22">
        <f>(1+D3890)*IF(AND(Painel_diario!$H3887="ED_JD",Painel_diario!$J3887=1),EXP(Painel_diario!$L3887),1)-1</f>
        <v/>
      </c>
      <c r="E3891" s="22">
        <f>(1+E3890)*IF(AND(Painel_diario!$H3887="ED_JU",Painel_diario!$J3887=1),EXP(Painel_diario!$L3887),1)-1</f>
        <v/>
      </c>
    </row>
    <row r="3892">
      <c r="A3892" s="25" t="n">
        <v>44565</v>
      </c>
      <c r="B3892" s="22">
        <f>(1+B3891)*IF(AND(Painel_diario!$H3888="EU_JD",Painel_diario!$J3888=1),EXP(Painel_diario!$L3888),1)-1</f>
        <v/>
      </c>
      <c r="C3892" s="22">
        <f>(1+C3891)*IF(AND(Painel_diario!$H3888="EU_JU",Painel_diario!$J3888=1),EXP(Painel_diario!$L3888),1)-1</f>
        <v/>
      </c>
      <c r="D3892" s="22">
        <f>(1+D3891)*IF(AND(Painel_diario!$H3888="ED_JD",Painel_diario!$J3888=1),EXP(Painel_diario!$L3888),1)-1</f>
        <v/>
      </c>
      <c r="E3892" s="22">
        <f>(1+E3891)*IF(AND(Painel_diario!$H3888="ED_JU",Painel_diario!$J3888=1),EXP(Painel_diario!$L3888),1)-1</f>
        <v/>
      </c>
    </row>
    <row r="3893">
      <c r="A3893" s="25" t="n">
        <v>44566</v>
      </c>
      <c r="B3893" s="22">
        <f>(1+B3892)*IF(AND(Painel_diario!$H3889="EU_JD",Painel_diario!$J3889=1),EXP(Painel_diario!$L3889),1)-1</f>
        <v/>
      </c>
      <c r="C3893" s="22">
        <f>(1+C3892)*IF(AND(Painel_diario!$H3889="EU_JU",Painel_diario!$J3889=1),EXP(Painel_diario!$L3889),1)-1</f>
        <v/>
      </c>
      <c r="D3893" s="22">
        <f>(1+D3892)*IF(AND(Painel_diario!$H3889="ED_JD",Painel_diario!$J3889=1),EXP(Painel_diario!$L3889),1)-1</f>
        <v/>
      </c>
      <c r="E3893" s="22">
        <f>(1+E3892)*IF(AND(Painel_diario!$H3889="ED_JU",Painel_diario!$J3889=1),EXP(Painel_diario!$L3889),1)-1</f>
        <v/>
      </c>
    </row>
    <row r="3894">
      <c r="A3894" s="25" t="n">
        <v>44567</v>
      </c>
      <c r="B3894" s="22">
        <f>(1+B3893)*IF(AND(Painel_diario!$H3890="EU_JD",Painel_diario!$J3890=1),EXP(Painel_diario!$L3890),1)-1</f>
        <v/>
      </c>
      <c r="C3894" s="22">
        <f>(1+C3893)*IF(AND(Painel_diario!$H3890="EU_JU",Painel_diario!$J3890=1),EXP(Painel_diario!$L3890),1)-1</f>
        <v/>
      </c>
      <c r="D3894" s="22">
        <f>(1+D3893)*IF(AND(Painel_diario!$H3890="ED_JD",Painel_diario!$J3890=1),EXP(Painel_diario!$L3890),1)-1</f>
        <v/>
      </c>
      <c r="E3894" s="22">
        <f>(1+E3893)*IF(AND(Painel_diario!$H3890="ED_JU",Painel_diario!$J3890=1),EXP(Painel_diario!$L3890),1)-1</f>
        <v/>
      </c>
    </row>
    <row r="3895">
      <c r="A3895" s="25" t="n">
        <v>44568</v>
      </c>
      <c r="B3895" s="22">
        <f>(1+B3894)*IF(AND(Painel_diario!$H3891="EU_JD",Painel_diario!$J3891=1),EXP(Painel_diario!$L3891),1)-1</f>
        <v/>
      </c>
      <c r="C3895" s="22">
        <f>(1+C3894)*IF(AND(Painel_diario!$H3891="EU_JU",Painel_diario!$J3891=1),EXP(Painel_diario!$L3891),1)-1</f>
        <v/>
      </c>
      <c r="D3895" s="22">
        <f>(1+D3894)*IF(AND(Painel_diario!$H3891="ED_JD",Painel_diario!$J3891=1),EXP(Painel_diario!$L3891),1)-1</f>
        <v/>
      </c>
      <c r="E3895" s="22">
        <f>(1+E3894)*IF(AND(Painel_diario!$H3891="ED_JU",Painel_diario!$J3891=1),EXP(Painel_diario!$L3891),1)-1</f>
        <v/>
      </c>
    </row>
    <row r="3896">
      <c r="A3896" s="25" t="n">
        <v>44571</v>
      </c>
      <c r="B3896" s="22">
        <f>(1+B3895)*IF(AND(Painel_diario!$H3892="EU_JD",Painel_diario!$J3892=1),EXP(Painel_diario!$L3892),1)-1</f>
        <v/>
      </c>
      <c r="C3896" s="22">
        <f>(1+C3895)*IF(AND(Painel_diario!$H3892="EU_JU",Painel_diario!$J3892=1),EXP(Painel_diario!$L3892),1)-1</f>
        <v/>
      </c>
      <c r="D3896" s="22">
        <f>(1+D3895)*IF(AND(Painel_diario!$H3892="ED_JD",Painel_diario!$J3892=1),EXP(Painel_diario!$L3892),1)-1</f>
        <v/>
      </c>
      <c r="E3896" s="22">
        <f>(1+E3895)*IF(AND(Painel_diario!$H3892="ED_JU",Painel_diario!$J3892=1),EXP(Painel_diario!$L3892),1)-1</f>
        <v/>
      </c>
    </row>
    <row r="3897">
      <c r="A3897" s="25" t="n">
        <v>44572</v>
      </c>
      <c r="B3897" s="22">
        <f>(1+B3896)*IF(AND(Painel_diario!$H3893="EU_JD",Painel_diario!$J3893=1),EXP(Painel_diario!$L3893),1)-1</f>
        <v/>
      </c>
      <c r="C3897" s="22">
        <f>(1+C3896)*IF(AND(Painel_diario!$H3893="EU_JU",Painel_diario!$J3893=1),EXP(Painel_diario!$L3893),1)-1</f>
        <v/>
      </c>
      <c r="D3897" s="22">
        <f>(1+D3896)*IF(AND(Painel_diario!$H3893="ED_JD",Painel_diario!$J3893=1),EXP(Painel_diario!$L3893),1)-1</f>
        <v/>
      </c>
      <c r="E3897" s="22">
        <f>(1+E3896)*IF(AND(Painel_diario!$H3893="ED_JU",Painel_diario!$J3893=1),EXP(Painel_diario!$L3893),1)-1</f>
        <v/>
      </c>
    </row>
    <row r="3898">
      <c r="A3898" s="25" t="n">
        <v>44573</v>
      </c>
      <c r="B3898" s="22">
        <f>(1+B3897)*IF(AND(Painel_diario!$H3894="EU_JD",Painel_diario!$J3894=1),EXP(Painel_diario!$L3894),1)-1</f>
        <v/>
      </c>
      <c r="C3898" s="22">
        <f>(1+C3897)*IF(AND(Painel_diario!$H3894="EU_JU",Painel_diario!$J3894=1),EXP(Painel_diario!$L3894),1)-1</f>
        <v/>
      </c>
      <c r="D3898" s="22">
        <f>(1+D3897)*IF(AND(Painel_diario!$H3894="ED_JD",Painel_diario!$J3894=1),EXP(Painel_diario!$L3894),1)-1</f>
        <v/>
      </c>
      <c r="E3898" s="22">
        <f>(1+E3897)*IF(AND(Painel_diario!$H3894="ED_JU",Painel_diario!$J3894=1),EXP(Painel_diario!$L3894),1)-1</f>
        <v/>
      </c>
    </row>
    <row r="3899">
      <c r="A3899" s="25" t="n">
        <v>44574</v>
      </c>
      <c r="B3899" s="22">
        <f>(1+B3898)*IF(AND(Painel_diario!$H3895="EU_JD",Painel_diario!$J3895=1),EXP(Painel_diario!$L3895),1)-1</f>
        <v/>
      </c>
      <c r="C3899" s="22">
        <f>(1+C3898)*IF(AND(Painel_diario!$H3895="EU_JU",Painel_diario!$J3895=1),EXP(Painel_diario!$L3895),1)-1</f>
        <v/>
      </c>
      <c r="D3899" s="22">
        <f>(1+D3898)*IF(AND(Painel_diario!$H3895="ED_JD",Painel_diario!$J3895=1),EXP(Painel_diario!$L3895),1)-1</f>
        <v/>
      </c>
      <c r="E3899" s="22">
        <f>(1+E3898)*IF(AND(Painel_diario!$H3895="ED_JU",Painel_diario!$J3895=1),EXP(Painel_diario!$L3895),1)-1</f>
        <v/>
      </c>
    </row>
    <row r="3900">
      <c r="A3900" s="25" t="n">
        <v>44575</v>
      </c>
      <c r="B3900" s="22">
        <f>(1+B3899)*IF(AND(Painel_diario!$H3896="EU_JD",Painel_diario!$J3896=1),EXP(Painel_diario!$L3896),1)-1</f>
        <v/>
      </c>
      <c r="C3900" s="22">
        <f>(1+C3899)*IF(AND(Painel_diario!$H3896="EU_JU",Painel_diario!$J3896=1),EXP(Painel_diario!$L3896),1)-1</f>
        <v/>
      </c>
      <c r="D3900" s="22">
        <f>(1+D3899)*IF(AND(Painel_diario!$H3896="ED_JD",Painel_diario!$J3896=1),EXP(Painel_diario!$L3896),1)-1</f>
        <v/>
      </c>
      <c r="E3900" s="22">
        <f>(1+E3899)*IF(AND(Painel_diario!$H3896="ED_JU",Painel_diario!$J3896=1),EXP(Painel_diario!$L3896),1)-1</f>
        <v/>
      </c>
    </row>
    <row r="3901">
      <c r="A3901" s="25" t="n">
        <v>44578</v>
      </c>
      <c r="B3901" s="22">
        <f>(1+B3900)*IF(AND(Painel_diario!$H3897="EU_JD",Painel_diario!$J3897=1),EXP(Painel_diario!$L3897),1)-1</f>
        <v/>
      </c>
      <c r="C3901" s="22">
        <f>(1+C3900)*IF(AND(Painel_diario!$H3897="EU_JU",Painel_diario!$J3897=1),EXP(Painel_diario!$L3897),1)-1</f>
        <v/>
      </c>
      <c r="D3901" s="22">
        <f>(1+D3900)*IF(AND(Painel_diario!$H3897="ED_JD",Painel_diario!$J3897=1),EXP(Painel_diario!$L3897),1)-1</f>
        <v/>
      </c>
      <c r="E3901" s="22">
        <f>(1+E3900)*IF(AND(Painel_diario!$H3897="ED_JU",Painel_diario!$J3897=1),EXP(Painel_diario!$L3897),1)-1</f>
        <v/>
      </c>
    </row>
    <row r="3902">
      <c r="A3902" s="25" t="n">
        <v>44579</v>
      </c>
      <c r="B3902" s="22">
        <f>(1+B3901)*IF(AND(Painel_diario!$H3898="EU_JD",Painel_diario!$J3898=1),EXP(Painel_diario!$L3898),1)-1</f>
        <v/>
      </c>
      <c r="C3902" s="22">
        <f>(1+C3901)*IF(AND(Painel_diario!$H3898="EU_JU",Painel_diario!$J3898=1),EXP(Painel_diario!$L3898),1)-1</f>
        <v/>
      </c>
      <c r="D3902" s="22">
        <f>(1+D3901)*IF(AND(Painel_diario!$H3898="ED_JD",Painel_diario!$J3898=1),EXP(Painel_diario!$L3898),1)-1</f>
        <v/>
      </c>
      <c r="E3902" s="22">
        <f>(1+E3901)*IF(AND(Painel_diario!$H3898="ED_JU",Painel_diario!$J3898=1),EXP(Painel_diario!$L3898),1)-1</f>
        <v/>
      </c>
    </row>
    <row r="3903">
      <c r="A3903" s="25" t="n">
        <v>44580</v>
      </c>
      <c r="B3903" s="22">
        <f>(1+B3902)*IF(AND(Painel_diario!$H3899="EU_JD",Painel_diario!$J3899=1),EXP(Painel_diario!$L3899),1)-1</f>
        <v/>
      </c>
      <c r="C3903" s="22">
        <f>(1+C3902)*IF(AND(Painel_diario!$H3899="EU_JU",Painel_diario!$J3899=1),EXP(Painel_diario!$L3899),1)-1</f>
        <v/>
      </c>
      <c r="D3903" s="22">
        <f>(1+D3902)*IF(AND(Painel_diario!$H3899="ED_JD",Painel_diario!$J3899=1),EXP(Painel_diario!$L3899),1)-1</f>
        <v/>
      </c>
      <c r="E3903" s="22">
        <f>(1+E3902)*IF(AND(Painel_diario!$H3899="ED_JU",Painel_diario!$J3899=1),EXP(Painel_diario!$L3899),1)-1</f>
        <v/>
      </c>
    </row>
    <row r="3904">
      <c r="A3904" s="25" t="n">
        <v>44581</v>
      </c>
      <c r="B3904" s="22">
        <f>(1+B3903)*IF(AND(Painel_diario!$H3900="EU_JD",Painel_diario!$J3900=1),EXP(Painel_diario!$L3900),1)-1</f>
        <v/>
      </c>
      <c r="C3904" s="22">
        <f>(1+C3903)*IF(AND(Painel_diario!$H3900="EU_JU",Painel_diario!$J3900=1),EXP(Painel_diario!$L3900),1)-1</f>
        <v/>
      </c>
      <c r="D3904" s="22">
        <f>(1+D3903)*IF(AND(Painel_diario!$H3900="ED_JD",Painel_diario!$J3900=1),EXP(Painel_diario!$L3900),1)-1</f>
        <v/>
      </c>
      <c r="E3904" s="22">
        <f>(1+E3903)*IF(AND(Painel_diario!$H3900="ED_JU",Painel_diario!$J3900=1),EXP(Painel_diario!$L3900),1)-1</f>
        <v/>
      </c>
    </row>
    <row r="3905">
      <c r="A3905" s="25" t="n">
        <v>44582</v>
      </c>
      <c r="B3905" s="22">
        <f>(1+B3904)*IF(AND(Painel_diario!$H3901="EU_JD",Painel_diario!$J3901=1),EXP(Painel_diario!$L3901),1)-1</f>
        <v/>
      </c>
      <c r="C3905" s="22">
        <f>(1+C3904)*IF(AND(Painel_diario!$H3901="EU_JU",Painel_diario!$J3901=1),EXP(Painel_diario!$L3901),1)-1</f>
        <v/>
      </c>
      <c r="D3905" s="22">
        <f>(1+D3904)*IF(AND(Painel_diario!$H3901="ED_JD",Painel_diario!$J3901=1),EXP(Painel_diario!$L3901),1)-1</f>
        <v/>
      </c>
      <c r="E3905" s="22">
        <f>(1+E3904)*IF(AND(Painel_diario!$H3901="ED_JU",Painel_diario!$J3901=1),EXP(Painel_diario!$L3901),1)-1</f>
        <v/>
      </c>
    </row>
    <row r="3906">
      <c r="A3906" s="25" t="n">
        <v>44585</v>
      </c>
      <c r="B3906" s="22">
        <f>(1+B3905)*IF(AND(Painel_diario!$H3902="EU_JD",Painel_diario!$J3902=1),EXP(Painel_diario!$L3902),1)-1</f>
        <v/>
      </c>
      <c r="C3906" s="22">
        <f>(1+C3905)*IF(AND(Painel_diario!$H3902="EU_JU",Painel_diario!$J3902=1),EXP(Painel_diario!$L3902),1)-1</f>
        <v/>
      </c>
      <c r="D3906" s="22">
        <f>(1+D3905)*IF(AND(Painel_diario!$H3902="ED_JD",Painel_diario!$J3902=1),EXP(Painel_diario!$L3902),1)-1</f>
        <v/>
      </c>
      <c r="E3906" s="22">
        <f>(1+E3905)*IF(AND(Painel_diario!$H3902="ED_JU",Painel_diario!$J3902=1),EXP(Painel_diario!$L3902),1)-1</f>
        <v/>
      </c>
    </row>
    <row r="3907">
      <c r="A3907" s="25" t="n">
        <v>44586</v>
      </c>
      <c r="B3907" s="22">
        <f>(1+B3906)*IF(AND(Painel_diario!$H3903="EU_JD",Painel_diario!$J3903=1),EXP(Painel_diario!$L3903),1)-1</f>
        <v/>
      </c>
      <c r="C3907" s="22">
        <f>(1+C3906)*IF(AND(Painel_diario!$H3903="EU_JU",Painel_diario!$J3903=1),EXP(Painel_diario!$L3903),1)-1</f>
        <v/>
      </c>
      <c r="D3907" s="22">
        <f>(1+D3906)*IF(AND(Painel_diario!$H3903="ED_JD",Painel_diario!$J3903=1),EXP(Painel_diario!$L3903),1)-1</f>
        <v/>
      </c>
      <c r="E3907" s="22">
        <f>(1+E3906)*IF(AND(Painel_diario!$H3903="ED_JU",Painel_diario!$J3903=1),EXP(Painel_diario!$L3903),1)-1</f>
        <v/>
      </c>
    </row>
    <row r="3908">
      <c r="A3908" s="25" t="n">
        <v>44587</v>
      </c>
      <c r="B3908" s="22">
        <f>(1+B3907)*IF(AND(Painel_diario!$H3904="EU_JD",Painel_diario!$J3904=1),EXP(Painel_diario!$L3904),1)-1</f>
        <v/>
      </c>
      <c r="C3908" s="22">
        <f>(1+C3907)*IF(AND(Painel_diario!$H3904="EU_JU",Painel_diario!$J3904=1),EXP(Painel_diario!$L3904),1)-1</f>
        <v/>
      </c>
      <c r="D3908" s="22">
        <f>(1+D3907)*IF(AND(Painel_diario!$H3904="ED_JD",Painel_diario!$J3904=1),EXP(Painel_diario!$L3904),1)-1</f>
        <v/>
      </c>
      <c r="E3908" s="22">
        <f>(1+E3907)*IF(AND(Painel_diario!$H3904="ED_JU",Painel_diario!$J3904=1),EXP(Painel_diario!$L3904),1)-1</f>
        <v/>
      </c>
    </row>
    <row r="3909">
      <c r="A3909" s="25" t="n">
        <v>44588</v>
      </c>
      <c r="B3909" s="22">
        <f>(1+B3908)*IF(AND(Painel_diario!$H3905="EU_JD",Painel_diario!$J3905=1),EXP(Painel_diario!$L3905),1)-1</f>
        <v/>
      </c>
      <c r="C3909" s="22">
        <f>(1+C3908)*IF(AND(Painel_diario!$H3905="EU_JU",Painel_diario!$J3905=1),EXP(Painel_diario!$L3905),1)-1</f>
        <v/>
      </c>
      <c r="D3909" s="22">
        <f>(1+D3908)*IF(AND(Painel_diario!$H3905="ED_JD",Painel_diario!$J3905=1),EXP(Painel_diario!$L3905),1)-1</f>
        <v/>
      </c>
      <c r="E3909" s="22">
        <f>(1+E3908)*IF(AND(Painel_diario!$H3905="ED_JU",Painel_diario!$J3905=1),EXP(Painel_diario!$L3905),1)-1</f>
        <v/>
      </c>
    </row>
    <row r="3910">
      <c r="A3910" s="25" t="n">
        <v>44589</v>
      </c>
      <c r="B3910" s="22">
        <f>(1+B3909)*IF(AND(Painel_diario!$H3906="EU_JD",Painel_diario!$J3906=1),EXP(Painel_diario!$L3906),1)-1</f>
        <v/>
      </c>
      <c r="C3910" s="22">
        <f>(1+C3909)*IF(AND(Painel_diario!$H3906="EU_JU",Painel_diario!$J3906=1),EXP(Painel_diario!$L3906),1)-1</f>
        <v/>
      </c>
      <c r="D3910" s="22">
        <f>(1+D3909)*IF(AND(Painel_diario!$H3906="ED_JD",Painel_diario!$J3906=1),EXP(Painel_diario!$L3906),1)-1</f>
        <v/>
      </c>
      <c r="E3910" s="22">
        <f>(1+E3909)*IF(AND(Painel_diario!$H3906="ED_JU",Painel_diario!$J3906=1),EXP(Painel_diario!$L3906),1)-1</f>
        <v/>
      </c>
    </row>
    <row r="3911">
      <c r="A3911" s="25" t="n">
        <v>44592</v>
      </c>
      <c r="B3911" s="22">
        <f>(1+B3910)*IF(AND(Painel_diario!$H3907="EU_JD",Painel_diario!$J3907=1),EXP(Painel_diario!$L3907),1)-1</f>
        <v/>
      </c>
      <c r="C3911" s="22">
        <f>(1+C3910)*IF(AND(Painel_diario!$H3907="EU_JU",Painel_diario!$J3907=1),EXP(Painel_diario!$L3907),1)-1</f>
        <v/>
      </c>
      <c r="D3911" s="22">
        <f>(1+D3910)*IF(AND(Painel_diario!$H3907="ED_JD",Painel_diario!$J3907=1),EXP(Painel_diario!$L3907),1)-1</f>
        <v/>
      </c>
      <c r="E3911" s="22">
        <f>(1+E3910)*IF(AND(Painel_diario!$H3907="ED_JU",Painel_diario!$J3907=1),EXP(Painel_diario!$L3907),1)-1</f>
        <v/>
      </c>
    </row>
    <row r="3912">
      <c r="A3912" s="25" t="n">
        <v>44593</v>
      </c>
      <c r="B3912" s="22">
        <f>(1+B3911)*IF(AND(Painel_diario!$H3908="EU_JD",Painel_diario!$J3908=1),EXP(Painel_diario!$L3908),1)-1</f>
        <v/>
      </c>
      <c r="C3912" s="22">
        <f>(1+C3911)*IF(AND(Painel_diario!$H3908="EU_JU",Painel_diario!$J3908=1),EXP(Painel_diario!$L3908),1)-1</f>
        <v/>
      </c>
      <c r="D3912" s="22">
        <f>(1+D3911)*IF(AND(Painel_diario!$H3908="ED_JD",Painel_diario!$J3908=1),EXP(Painel_diario!$L3908),1)-1</f>
        <v/>
      </c>
      <c r="E3912" s="22">
        <f>(1+E3911)*IF(AND(Painel_diario!$H3908="ED_JU",Painel_diario!$J3908=1),EXP(Painel_diario!$L3908),1)-1</f>
        <v/>
      </c>
    </row>
    <row r="3913">
      <c r="A3913" s="25" t="n">
        <v>44594</v>
      </c>
      <c r="B3913" s="22">
        <f>(1+B3912)*IF(AND(Painel_diario!$H3909="EU_JD",Painel_diario!$J3909=1),EXP(Painel_diario!$L3909),1)-1</f>
        <v/>
      </c>
      <c r="C3913" s="22">
        <f>(1+C3912)*IF(AND(Painel_diario!$H3909="EU_JU",Painel_diario!$J3909=1),EXP(Painel_diario!$L3909),1)-1</f>
        <v/>
      </c>
      <c r="D3913" s="22">
        <f>(1+D3912)*IF(AND(Painel_diario!$H3909="ED_JD",Painel_diario!$J3909=1),EXP(Painel_diario!$L3909),1)-1</f>
        <v/>
      </c>
      <c r="E3913" s="22">
        <f>(1+E3912)*IF(AND(Painel_diario!$H3909="ED_JU",Painel_diario!$J3909=1),EXP(Painel_diario!$L3909),1)-1</f>
        <v/>
      </c>
    </row>
    <row r="3914">
      <c r="A3914" s="25" t="n">
        <v>44595</v>
      </c>
      <c r="B3914" s="22">
        <f>(1+B3913)*IF(AND(Painel_diario!$H3910="EU_JD",Painel_diario!$J3910=1),EXP(Painel_diario!$L3910),1)-1</f>
        <v/>
      </c>
      <c r="C3914" s="22">
        <f>(1+C3913)*IF(AND(Painel_diario!$H3910="EU_JU",Painel_diario!$J3910=1),EXP(Painel_diario!$L3910),1)-1</f>
        <v/>
      </c>
      <c r="D3914" s="22">
        <f>(1+D3913)*IF(AND(Painel_diario!$H3910="ED_JD",Painel_diario!$J3910=1),EXP(Painel_diario!$L3910),1)-1</f>
        <v/>
      </c>
      <c r="E3914" s="22">
        <f>(1+E3913)*IF(AND(Painel_diario!$H3910="ED_JU",Painel_diario!$J3910=1),EXP(Painel_diario!$L3910),1)-1</f>
        <v/>
      </c>
    </row>
    <row r="3915">
      <c r="A3915" s="25" t="n">
        <v>44596</v>
      </c>
      <c r="B3915" s="22">
        <f>(1+B3914)*IF(AND(Painel_diario!$H3911="EU_JD",Painel_diario!$J3911=1),EXP(Painel_diario!$L3911),1)-1</f>
        <v/>
      </c>
      <c r="C3915" s="22">
        <f>(1+C3914)*IF(AND(Painel_diario!$H3911="EU_JU",Painel_diario!$J3911=1),EXP(Painel_diario!$L3911),1)-1</f>
        <v/>
      </c>
      <c r="D3915" s="22">
        <f>(1+D3914)*IF(AND(Painel_diario!$H3911="ED_JD",Painel_diario!$J3911=1),EXP(Painel_diario!$L3911),1)-1</f>
        <v/>
      </c>
      <c r="E3915" s="22">
        <f>(1+E3914)*IF(AND(Painel_diario!$H3911="ED_JU",Painel_diario!$J3911=1),EXP(Painel_diario!$L3911),1)-1</f>
        <v/>
      </c>
    </row>
    <row r="3916">
      <c r="A3916" s="25" t="n">
        <v>44599</v>
      </c>
      <c r="B3916" s="22">
        <f>(1+B3915)*IF(AND(Painel_diario!$H3912="EU_JD",Painel_diario!$J3912=1),EXP(Painel_diario!$L3912),1)-1</f>
        <v/>
      </c>
      <c r="C3916" s="22">
        <f>(1+C3915)*IF(AND(Painel_diario!$H3912="EU_JU",Painel_diario!$J3912=1),EXP(Painel_diario!$L3912),1)-1</f>
        <v/>
      </c>
      <c r="D3916" s="22">
        <f>(1+D3915)*IF(AND(Painel_diario!$H3912="ED_JD",Painel_diario!$J3912=1),EXP(Painel_diario!$L3912),1)-1</f>
        <v/>
      </c>
      <c r="E3916" s="22">
        <f>(1+E3915)*IF(AND(Painel_diario!$H3912="ED_JU",Painel_diario!$J3912=1),EXP(Painel_diario!$L3912),1)-1</f>
        <v/>
      </c>
    </row>
    <row r="3917">
      <c r="A3917" s="25" t="n">
        <v>44600</v>
      </c>
      <c r="B3917" s="22">
        <f>(1+B3916)*IF(AND(Painel_diario!$H3913="EU_JD",Painel_diario!$J3913=1),EXP(Painel_diario!$L3913),1)-1</f>
        <v/>
      </c>
      <c r="C3917" s="22">
        <f>(1+C3916)*IF(AND(Painel_diario!$H3913="EU_JU",Painel_diario!$J3913=1),EXP(Painel_diario!$L3913),1)-1</f>
        <v/>
      </c>
      <c r="D3917" s="22">
        <f>(1+D3916)*IF(AND(Painel_diario!$H3913="ED_JD",Painel_diario!$J3913=1),EXP(Painel_diario!$L3913),1)-1</f>
        <v/>
      </c>
      <c r="E3917" s="22">
        <f>(1+E3916)*IF(AND(Painel_diario!$H3913="ED_JU",Painel_diario!$J3913=1),EXP(Painel_diario!$L3913),1)-1</f>
        <v/>
      </c>
    </row>
    <row r="3918">
      <c r="A3918" s="25" t="n">
        <v>44601</v>
      </c>
      <c r="B3918" s="22">
        <f>(1+B3917)*IF(AND(Painel_diario!$H3914="EU_JD",Painel_diario!$J3914=1),EXP(Painel_diario!$L3914),1)-1</f>
        <v/>
      </c>
      <c r="C3918" s="22">
        <f>(1+C3917)*IF(AND(Painel_diario!$H3914="EU_JU",Painel_diario!$J3914=1),EXP(Painel_diario!$L3914),1)-1</f>
        <v/>
      </c>
      <c r="D3918" s="22">
        <f>(1+D3917)*IF(AND(Painel_diario!$H3914="ED_JD",Painel_diario!$J3914=1),EXP(Painel_diario!$L3914),1)-1</f>
        <v/>
      </c>
      <c r="E3918" s="22">
        <f>(1+E3917)*IF(AND(Painel_diario!$H3914="ED_JU",Painel_diario!$J3914=1),EXP(Painel_diario!$L3914),1)-1</f>
        <v/>
      </c>
    </row>
    <row r="3919">
      <c r="A3919" s="25" t="n">
        <v>44602</v>
      </c>
      <c r="B3919" s="22">
        <f>(1+B3918)*IF(AND(Painel_diario!$H3915="EU_JD",Painel_diario!$J3915=1),EXP(Painel_diario!$L3915),1)-1</f>
        <v/>
      </c>
      <c r="C3919" s="22">
        <f>(1+C3918)*IF(AND(Painel_diario!$H3915="EU_JU",Painel_diario!$J3915=1),EXP(Painel_diario!$L3915),1)-1</f>
        <v/>
      </c>
      <c r="D3919" s="22">
        <f>(1+D3918)*IF(AND(Painel_diario!$H3915="ED_JD",Painel_diario!$J3915=1),EXP(Painel_diario!$L3915),1)-1</f>
        <v/>
      </c>
      <c r="E3919" s="22">
        <f>(1+E3918)*IF(AND(Painel_diario!$H3915="ED_JU",Painel_diario!$J3915=1),EXP(Painel_diario!$L3915),1)-1</f>
        <v/>
      </c>
    </row>
    <row r="3920">
      <c r="A3920" s="25" t="n">
        <v>44603</v>
      </c>
      <c r="B3920" s="22">
        <f>(1+B3919)*IF(AND(Painel_diario!$H3916="EU_JD",Painel_diario!$J3916=1),EXP(Painel_diario!$L3916),1)-1</f>
        <v/>
      </c>
      <c r="C3920" s="22">
        <f>(1+C3919)*IF(AND(Painel_diario!$H3916="EU_JU",Painel_diario!$J3916=1),EXP(Painel_diario!$L3916),1)-1</f>
        <v/>
      </c>
      <c r="D3920" s="22">
        <f>(1+D3919)*IF(AND(Painel_diario!$H3916="ED_JD",Painel_diario!$J3916=1),EXP(Painel_diario!$L3916),1)-1</f>
        <v/>
      </c>
      <c r="E3920" s="22">
        <f>(1+E3919)*IF(AND(Painel_diario!$H3916="ED_JU",Painel_diario!$J3916=1),EXP(Painel_diario!$L3916),1)-1</f>
        <v/>
      </c>
    </row>
    <row r="3921">
      <c r="A3921" s="25" t="n">
        <v>44606</v>
      </c>
      <c r="B3921" s="22">
        <f>(1+B3920)*IF(AND(Painel_diario!$H3917="EU_JD",Painel_diario!$J3917=1),EXP(Painel_diario!$L3917),1)-1</f>
        <v/>
      </c>
      <c r="C3921" s="22">
        <f>(1+C3920)*IF(AND(Painel_diario!$H3917="EU_JU",Painel_diario!$J3917=1),EXP(Painel_diario!$L3917),1)-1</f>
        <v/>
      </c>
      <c r="D3921" s="22">
        <f>(1+D3920)*IF(AND(Painel_diario!$H3917="ED_JD",Painel_diario!$J3917=1),EXP(Painel_diario!$L3917),1)-1</f>
        <v/>
      </c>
      <c r="E3921" s="22">
        <f>(1+E3920)*IF(AND(Painel_diario!$H3917="ED_JU",Painel_diario!$J3917=1),EXP(Painel_diario!$L3917),1)-1</f>
        <v/>
      </c>
    </row>
    <row r="3922">
      <c r="A3922" s="25" t="n">
        <v>44607</v>
      </c>
      <c r="B3922" s="22">
        <f>(1+B3921)*IF(AND(Painel_diario!$H3918="EU_JD",Painel_diario!$J3918=1),EXP(Painel_diario!$L3918),1)-1</f>
        <v/>
      </c>
      <c r="C3922" s="22">
        <f>(1+C3921)*IF(AND(Painel_diario!$H3918="EU_JU",Painel_diario!$J3918=1),EXP(Painel_diario!$L3918),1)-1</f>
        <v/>
      </c>
      <c r="D3922" s="22">
        <f>(1+D3921)*IF(AND(Painel_diario!$H3918="ED_JD",Painel_diario!$J3918=1),EXP(Painel_diario!$L3918),1)-1</f>
        <v/>
      </c>
      <c r="E3922" s="22">
        <f>(1+E3921)*IF(AND(Painel_diario!$H3918="ED_JU",Painel_diario!$J3918=1),EXP(Painel_diario!$L3918),1)-1</f>
        <v/>
      </c>
    </row>
    <row r="3923">
      <c r="A3923" s="25" t="n">
        <v>44608</v>
      </c>
      <c r="B3923" s="22">
        <f>(1+B3922)*IF(AND(Painel_diario!$H3919="EU_JD",Painel_diario!$J3919=1),EXP(Painel_diario!$L3919),1)-1</f>
        <v/>
      </c>
      <c r="C3923" s="22">
        <f>(1+C3922)*IF(AND(Painel_diario!$H3919="EU_JU",Painel_diario!$J3919=1),EXP(Painel_diario!$L3919),1)-1</f>
        <v/>
      </c>
      <c r="D3923" s="22">
        <f>(1+D3922)*IF(AND(Painel_diario!$H3919="ED_JD",Painel_diario!$J3919=1),EXP(Painel_diario!$L3919),1)-1</f>
        <v/>
      </c>
      <c r="E3923" s="22">
        <f>(1+E3922)*IF(AND(Painel_diario!$H3919="ED_JU",Painel_diario!$J3919=1),EXP(Painel_diario!$L3919),1)-1</f>
        <v/>
      </c>
    </row>
    <row r="3924">
      <c r="A3924" s="25" t="n">
        <v>44609</v>
      </c>
      <c r="B3924" s="22">
        <f>(1+B3923)*IF(AND(Painel_diario!$H3920="EU_JD",Painel_diario!$J3920=1),EXP(Painel_diario!$L3920),1)-1</f>
        <v/>
      </c>
      <c r="C3924" s="22">
        <f>(1+C3923)*IF(AND(Painel_diario!$H3920="EU_JU",Painel_diario!$J3920=1),EXP(Painel_diario!$L3920),1)-1</f>
        <v/>
      </c>
      <c r="D3924" s="22">
        <f>(1+D3923)*IF(AND(Painel_diario!$H3920="ED_JD",Painel_diario!$J3920=1),EXP(Painel_diario!$L3920),1)-1</f>
        <v/>
      </c>
      <c r="E3924" s="22">
        <f>(1+E3923)*IF(AND(Painel_diario!$H3920="ED_JU",Painel_diario!$J3920=1),EXP(Painel_diario!$L3920),1)-1</f>
        <v/>
      </c>
    </row>
    <row r="3925">
      <c r="A3925" s="25" t="n">
        <v>44610</v>
      </c>
      <c r="B3925" s="22">
        <f>(1+B3924)*IF(AND(Painel_diario!$H3921="EU_JD",Painel_diario!$J3921=1),EXP(Painel_diario!$L3921),1)-1</f>
        <v/>
      </c>
      <c r="C3925" s="22">
        <f>(1+C3924)*IF(AND(Painel_diario!$H3921="EU_JU",Painel_diario!$J3921=1),EXP(Painel_diario!$L3921),1)-1</f>
        <v/>
      </c>
      <c r="D3925" s="22">
        <f>(1+D3924)*IF(AND(Painel_diario!$H3921="ED_JD",Painel_diario!$J3921=1),EXP(Painel_diario!$L3921),1)-1</f>
        <v/>
      </c>
      <c r="E3925" s="22">
        <f>(1+E3924)*IF(AND(Painel_diario!$H3921="ED_JU",Painel_diario!$J3921=1),EXP(Painel_diario!$L3921),1)-1</f>
        <v/>
      </c>
    </row>
    <row r="3926">
      <c r="A3926" s="25" t="n">
        <v>44613</v>
      </c>
      <c r="B3926" s="22">
        <f>(1+B3925)*IF(AND(Painel_diario!$H3922="EU_JD",Painel_diario!$J3922=1),EXP(Painel_diario!$L3922),1)-1</f>
        <v/>
      </c>
      <c r="C3926" s="22">
        <f>(1+C3925)*IF(AND(Painel_diario!$H3922="EU_JU",Painel_diario!$J3922=1),EXP(Painel_diario!$L3922),1)-1</f>
        <v/>
      </c>
      <c r="D3926" s="22">
        <f>(1+D3925)*IF(AND(Painel_diario!$H3922="ED_JD",Painel_diario!$J3922=1),EXP(Painel_diario!$L3922),1)-1</f>
        <v/>
      </c>
      <c r="E3926" s="22">
        <f>(1+E3925)*IF(AND(Painel_diario!$H3922="ED_JU",Painel_diario!$J3922=1),EXP(Painel_diario!$L3922),1)-1</f>
        <v/>
      </c>
    </row>
    <row r="3927">
      <c r="A3927" s="25" t="n">
        <v>44614</v>
      </c>
      <c r="B3927" s="22">
        <f>(1+B3926)*IF(AND(Painel_diario!$H3923="EU_JD",Painel_diario!$J3923=1),EXP(Painel_diario!$L3923),1)-1</f>
        <v/>
      </c>
      <c r="C3927" s="22">
        <f>(1+C3926)*IF(AND(Painel_diario!$H3923="EU_JU",Painel_diario!$J3923=1),EXP(Painel_diario!$L3923),1)-1</f>
        <v/>
      </c>
      <c r="D3927" s="22">
        <f>(1+D3926)*IF(AND(Painel_diario!$H3923="ED_JD",Painel_diario!$J3923=1),EXP(Painel_diario!$L3923),1)-1</f>
        <v/>
      </c>
      <c r="E3927" s="22">
        <f>(1+E3926)*IF(AND(Painel_diario!$H3923="ED_JU",Painel_diario!$J3923=1),EXP(Painel_diario!$L3923),1)-1</f>
        <v/>
      </c>
    </row>
    <row r="3928">
      <c r="A3928" s="25" t="n">
        <v>44615</v>
      </c>
      <c r="B3928" s="22">
        <f>(1+B3927)*IF(AND(Painel_diario!$H3924="EU_JD",Painel_diario!$J3924=1),EXP(Painel_diario!$L3924),1)-1</f>
        <v/>
      </c>
      <c r="C3928" s="22">
        <f>(1+C3927)*IF(AND(Painel_diario!$H3924="EU_JU",Painel_diario!$J3924=1),EXP(Painel_diario!$L3924),1)-1</f>
        <v/>
      </c>
      <c r="D3928" s="22">
        <f>(1+D3927)*IF(AND(Painel_diario!$H3924="ED_JD",Painel_diario!$J3924=1),EXP(Painel_diario!$L3924),1)-1</f>
        <v/>
      </c>
      <c r="E3928" s="22">
        <f>(1+E3927)*IF(AND(Painel_diario!$H3924="ED_JU",Painel_diario!$J3924=1),EXP(Painel_diario!$L3924),1)-1</f>
        <v/>
      </c>
    </row>
    <row r="3929">
      <c r="A3929" s="25" t="n">
        <v>44616</v>
      </c>
      <c r="B3929" s="22">
        <f>(1+B3928)*IF(AND(Painel_diario!$H3925="EU_JD",Painel_diario!$J3925=1),EXP(Painel_diario!$L3925),1)-1</f>
        <v/>
      </c>
      <c r="C3929" s="22">
        <f>(1+C3928)*IF(AND(Painel_diario!$H3925="EU_JU",Painel_diario!$J3925=1),EXP(Painel_diario!$L3925),1)-1</f>
        <v/>
      </c>
      <c r="D3929" s="22">
        <f>(1+D3928)*IF(AND(Painel_diario!$H3925="ED_JD",Painel_diario!$J3925=1),EXP(Painel_diario!$L3925),1)-1</f>
        <v/>
      </c>
      <c r="E3929" s="22">
        <f>(1+E3928)*IF(AND(Painel_diario!$H3925="ED_JU",Painel_diario!$J3925=1),EXP(Painel_diario!$L3925),1)-1</f>
        <v/>
      </c>
    </row>
    <row r="3930">
      <c r="A3930" s="25" t="n">
        <v>44617</v>
      </c>
      <c r="B3930" s="22">
        <f>(1+B3929)*IF(AND(Painel_diario!$H3926="EU_JD",Painel_diario!$J3926=1),EXP(Painel_diario!$L3926),1)-1</f>
        <v/>
      </c>
      <c r="C3930" s="22">
        <f>(1+C3929)*IF(AND(Painel_diario!$H3926="EU_JU",Painel_diario!$J3926=1),EXP(Painel_diario!$L3926),1)-1</f>
        <v/>
      </c>
      <c r="D3930" s="22">
        <f>(1+D3929)*IF(AND(Painel_diario!$H3926="ED_JD",Painel_diario!$J3926=1),EXP(Painel_diario!$L3926),1)-1</f>
        <v/>
      </c>
      <c r="E3930" s="22">
        <f>(1+E3929)*IF(AND(Painel_diario!$H3926="ED_JU",Painel_diario!$J3926=1),EXP(Painel_diario!$L3926),1)-1</f>
        <v/>
      </c>
    </row>
    <row r="3931">
      <c r="A3931" s="25" t="n">
        <v>44622</v>
      </c>
      <c r="B3931" s="22">
        <f>(1+B3930)*IF(AND(Painel_diario!$H3927="EU_JD",Painel_diario!$J3927=1),EXP(Painel_diario!$L3927),1)-1</f>
        <v/>
      </c>
      <c r="C3931" s="22">
        <f>(1+C3930)*IF(AND(Painel_diario!$H3927="EU_JU",Painel_diario!$J3927=1),EXP(Painel_diario!$L3927),1)-1</f>
        <v/>
      </c>
      <c r="D3931" s="22">
        <f>(1+D3930)*IF(AND(Painel_diario!$H3927="ED_JD",Painel_diario!$J3927=1),EXP(Painel_diario!$L3927),1)-1</f>
        <v/>
      </c>
      <c r="E3931" s="22">
        <f>(1+E3930)*IF(AND(Painel_diario!$H3927="ED_JU",Painel_diario!$J3927=1),EXP(Painel_diario!$L3927),1)-1</f>
        <v/>
      </c>
    </row>
    <row r="3932">
      <c r="A3932" s="25" t="n">
        <v>44623</v>
      </c>
      <c r="B3932" s="22">
        <f>(1+B3931)*IF(AND(Painel_diario!$H3928="EU_JD",Painel_diario!$J3928=1),EXP(Painel_diario!$L3928),1)-1</f>
        <v/>
      </c>
      <c r="C3932" s="22">
        <f>(1+C3931)*IF(AND(Painel_diario!$H3928="EU_JU",Painel_diario!$J3928=1),EXP(Painel_diario!$L3928),1)-1</f>
        <v/>
      </c>
      <c r="D3932" s="22">
        <f>(1+D3931)*IF(AND(Painel_diario!$H3928="ED_JD",Painel_diario!$J3928=1),EXP(Painel_diario!$L3928),1)-1</f>
        <v/>
      </c>
      <c r="E3932" s="22">
        <f>(1+E3931)*IF(AND(Painel_diario!$H3928="ED_JU",Painel_diario!$J3928=1),EXP(Painel_diario!$L3928),1)-1</f>
        <v/>
      </c>
    </row>
    <row r="3933">
      <c r="A3933" s="25" t="n">
        <v>44624</v>
      </c>
      <c r="B3933" s="22">
        <f>(1+B3932)*IF(AND(Painel_diario!$H3929="EU_JD",Painel_diario!$J3929=1),EXP(Painel_diario!$L3929),1)-1</f>
        <v/>
      </c>
      <c r="C3933" s="22">
        <f>(1+C3932)*IF(AND(Painel_diario!$H3929="EU_JU",Painel_diario!$J3929=1),EXP(Painel_diario!$L3929),1)-1</f>
        <v/>
      </c>
      <c r="D3933" s="22">
        <f>(1+D3932)*IF(AND(Painel_diario!$H3929="ED_JD",Painel_diario!$J3929=1),EXP(Painel_diario!$L3929),1)-1</f>
        <v/>
      </c>
      <c r="E3933" s="22">
        <f>(1+E3932)*IF(AND(Painel_diario!$H3929="ED_JU",Painel_diario!$J3929=1),EXP(Painel_diario!$L3929),1)-1</f>
        <v/>
      </c>
    </row>
    <row r="3934">
      <c r="A3934" s="25" t="n">
        <v>44627</v>
      </c>
      <c r="B3934" s="22">
        <f>(1+B3933)*IF(AND(Painel_diario!$H3930="EU_JD",Painel_diario!$J3930=1),EXP(Painel_diario!$L3930),1)-1</f>
        <v/>
      </c>
      <c r="C3934" s="22">
        <f>(1+C3933)*IF(AND(Painel_diario!$H3930="EU_JU",Painel_diario!$J3930=1),EXP(Painel_diario!$L3930),1)-1</f>
        <v/>
      </c>
      <c r="D3934" s="22">
        <f>(1+D3933)*IF(AND(Painel_diario!$H3930="ED_JD",Painel_diario!$J3930=1),EXP(Painel_diario!$L3930),1)-1</f>
        <v/>
      </c>
      <c r="E3934" s="22">
        <f>(1+E3933)*IF(AND(Painel_diario!$H3930="ED_JU",Painel_diario!$J3930=1),EXP(Painel_diario!$L3930),1)-1</f>
        <v/>
      </c>
    </row>
    <row r="3935">
      <c r="A3935" s="25" t="n">
        <v>44628</v>
      </c>
      <c r="B3935" s="22">
        <f>(1+B3934)*IF(AND(Painel_diario!$H3931="EU_JD",Painel_diario!$J3931=1),EXP(Painel_diario!$L3931),1)-1</f>
        <v/>
      </c>
      <c r="C3935" s="22">
        <f>(1+C3934)*IF(AND(Painel_diario!$H3931="EU_JU",Painel_diario!$J3931=1),EXP(Painel_diario!$L3931),1)-1</f>
        <v/>
      </c>
      <c r="D3935" s="22">
        <f>(1+D3934)*IF(AND(Painel_diario!$H3931="ED_JD",Painel_diario!$J3931=1),EXP(Painel_diario!$L3931),1)-1</f>
        <v/>
      </c>
      <c r="E3935" s="22">
        <f>(1+E3934)*IF(AND(Painel_diario!$H3931="ED_JU",Painel_diario!$J3931=1),EXP(Painel_diario!$L3931),1)-1</f>
        <v/>
      </c>
    </row>
    <row r="3936">
      <c r="A3936" s="25" t="n">
        <v>44629</v>
      </c>
      <c r="B3936" s="22">
        <f>(1+B3935)*IF(AND(Painel_diario!$H3932="EU_JD",Painel_diario!$J3932=1),EXP(Painel_diario!$L3932),1)-1</f>
        <v/>
      </c>
      <c r="C3936" s="22">
        <f>(1+C3935)*IF(AND(Painel_diario!$H3932="EU_JU",Painel_diario!$J3932=1),EXP(Painel_diario!$L3932),1)-1</f>
        <v/>
      </c>
      <c r="D3936" s="22">
        <f>(1+D3935)*IF(AND(Painel_diario!$H3932="ED_JD",Painel_diario!$J3932=1),EXP(Painel_diario!$L3932),1)-1</f>
        <v/>
      </c>
      <c r="E3936" s="22">
        <f>(1+E3935)*IF(AND(Painel_diario!$H3932="ED_JU",Painel_diario!$J3932=1),EXP(Painel_diario!$L3932),1)-1</f>
        <v/>
      </c>
    </row>
    <row r="3937">
      <c r="A3937" s="25" t="n">
        <v>44630</v>
      </c>
      <c r="B3937" s="22">
        <f>(1+B3936)*IF(AND(Painel_diario!$H3933="EU_JD",Painel_diario!$J3933=1),EXP(Painel_diario!$L3933),1)-1</f>
        <v/>
      </c>
      <c r="C3937" s="22">
        <f>(1+C3936)*IF(AND(Painel_diario!$H3933="EU_JU",Painel_diario!$J3933=1),EXP(Painel_diario!$L3933),1)-1</f>
        <v/>
      </c>
      <c r="D3937" s="22">
        <f>(1+D3936)*IF(AND(Painel_diario!$H3933="ED_JD",Painel_diario!$J3933=1),EXP(Painel_diario!$L3933),1)-1</f>
        <v/>
      </c>
      <c r="E3937" s="22">
        <f>(1+E3936)*IF(AND(Painel_diario!$H3933="ED_JU",Painel_diario!$J3933=1),EXP(Painel_diario!$L3933),1)-1</f>
        <v/>
      </c>
    </row>
    <row r="3938">
      <c r="A3938" s="25" t="n">
        <v>44631</v>
      </c>
      <c r="B3938" s="22">
        <f>(1+B3937)*IF(AND(Painel_diario!$H3934="EU_JD",Painel_diario!$J3934=1),EXP(Painel_diario!$L3934),1)-1</f>
        <v/>
      </c>
      <c r="C3938" s="22">
        <f>(1+C3937)*IF(AND(Painel_diario!$H3934="EU_JU",Painel_diario!$J3934=1),EXP(Painel_diario!$L3934),1)-1</f>
        <v/>
      </c>
      <c r="D3938" s="22">
        <f>(1+D3937)*IF(AND(Painel_diario!$H3934="ED_JD",Painel_diario!$J3934=1),EXP(Painel_diario!$L3934),1)-1</f>
        <v/>
      </c>
      <c r="E3938" s="22">
        <f>(1+E3937)*IF(AND(Painel_diario!$H3934="ED_JU",Painel_diario!$J3934=1),EXP(Painel_diario!$L3934),1)-1</f>
        <v/>
      </c>
    </row>
    <row r="3939">
      <c r="A3939" s="25" t="n">
        <v>44634</v>
      </c>
      <c r="B3939" s="22">
        <f>(1+B3938)*IF(AND(Painel_diario!$H3935="EU_JD",Painel_diario!$J3935=1),EXP(Painel_diario!$L3935),1)-1</f>
        <v/>
      </c>
      <c r="C3939" s="22">
        <f>(1+C3938)*IF(AND(Painel_diario!$H3935="EU_JU",Painel_diario!$J3935=1),EXP(Painel_diario!$L3935),1)-1</f>
        <v/>
      </c>
      <c r="D3939" s="22">
        <f>(1+D3938)*IF(AND(Painel_diario!$H3935="ED_JD",Painel_diario!$J3935=1),EXP(Painel_diario!$L3935),1)-1</f>
        <v/>
      </c>
      <c r="E3939" s="22">
        <f>(1+E3938)*IF(AND(Painel_diario!$H3935="ED_JU",Painel_diario!$J3935=1),EXP(Painel_diario!$L3935),1)-1</f>
        <v/>
      </c>
    </row>
    <row r="3940">
      <c r="A3940" s="25" t="n">
        <v>44635</v>
      </c>
      <c r="B3940" s="22">
        <f>(1+B3939)*IF(AND(Painel_diario!$H3936="EU_JD",Painel_diario!$J3936=1),EXP(Painel_diario!$L3936),1)-1</f>
        <v/>
      </c>
      <c r="C3940" s="22">
        <f>(1+C3939)*IF(AND(Painel_diario!$H3936="EU_JU",Painel_diario!$J3936=1),EXP(Painel_diario!$L3936),1)-1</f>
        <v/>
      </c>
      <c r="D3940" s="22">
        <f>(1+D3939)*IF(AND(Painel_diario!$H3936="ED_JD",Painel_diario!$J3936=1),EXP(Painel_diario!$L3936),1)-1</f>
        <v/>
      </c>
      <c r="E3940" s="22">
        <f>(1+E3939)*IF(AND(Painel_diario!$H3936="ED_JU",Painel_diario!$J3936=1),EXP(Painel_diario!$L3936),1)-1</f>
        <v/>
      </c>
    </row>
    <row r="3941">
      <c r="A3941" s="25" t="n">
        <v>44636</v>
      </c>
      <c r="B3941" s="22">
        <f>(1+B3940)*IF(AND(Painel_diario!$H3937="EU_JD",Painel_diario!$J3937=1),EXP(Painel_diario!$L3937),1)-1</f>
        <v/>
      </c>
      <c r="C3941" s="22">
        <f>(1+C3940)*IF(AND(Painel_diario!$H3937="EU_JU",Painel_diario!$J3937=1),EXP(Painel_diario!$L3937),1)-1</f>
        <v/>
      </c>
      <c r="D3941" s="22">
        <f>(1+D3940)*IF(AND(Painel_diario!$H3937="ED_JD",Painel_diario!$J3937=1),EXP(Painel_diario!$L3937),1)-1</f>
        <v/>
      </c>
      <c r="E3941" s="22">
        <f>(1+E3940)*IF(AND(Painel_diario!$H3937="ED_JU",Painel_diario!$J3937=1),EXP(Painel_diario!$L3937),1)-1</f>
        <v/>
      </c>
    </row>
    <row r="3942">
      <c r="A3942" s="25" t="n">
        <v>44637</v>
      </c>
      <c r="B3942" s="22">
        <f>(1+B3941)*IF(AND(Painel_diario!$H3938="EU_JD",Painel_diario!$J3938=1),EXP(Painel_diario!$L3938),1)-1</f>
        <v/>
      </c>
      <c r="C3942" s="22">
        <f>(1+C3941)*IF(AND(Painel_diario!$H3938="EU_JU",Painel_diario!$J3938=1),EXP(Painel_diario!$L3938),1)-1</f>
        <v/>
      </c>
      <c r="D3942" s="22">
        <f>(1+D3941)*IF(AND(Painel_diario!$H3938="ED_JD",Painel_diario!$J3938=1),EXP(Painel_diario!$L3938),1)-1</f>
        <v/>
      </c>
      <c r="E3942" s="22">
        <f>(1+E3941)*IF(AND(Painel_diario!$H3938="ED_JU",Painel_diario!$J3938=1),EXP(Painel_diario!$L3938),1)-1</f>
        <v/>
      </c>
    </row>
    <row r="3943">
      <c r="A3943" s="25" t="n">
        <v>44638</v>
      </c>
      <c r="B3943" s="22">
        <f>(1+B3942)*IF(AND(Painel_diario!$H3939="EU_JD",Painel_diario!$J3939=1),EXP(Painel_diario!$L3939),1)-1</f>
        <v/>
      </c>
      <c r="C3943" s="22">
        <f>(1+C3942)*IF(AND(Painel_diario!$H3939="EU_JU",Painel_diario!$J3939=1),EXP(Painel_diario!$L3939),1)-1</f>
        <v/>
      </c>
      <c r="D3943" s="22">
        <f>(1+D3942)*IF(AND(Painel_diario!$H3939="ED_JD",Painel_diario!$J3939=1),EXP(Painel_diario!$L3939),1)-1</f>
        <v/>
      </c>
      <c r="E3943" s="22">
        <f>(1+E3942)*IF(AND(Painel_diario!$H3939="ED_JU",Painel_diario!$J3939=1),EXP(Painel_diario!$L3939),1)-1</f>
        <v/>
      </c>
    </row>
    <row r="3944">
      <c r="A3944" s="25" t="n">
        <v>44641</v>
      </c>
      <c r="B3944" s="22">
        <f>(1+B3943)*IF(AND(Painel_diario!$H3940="EU_JD",Painel_diario!$J3940=1),EXP(Painel_diario!$L3940),1)-1</f>
        <v/>
      </c>
      <c r="C3944" s="22">
        <f>(1+C3943)*IF(AND(Painel_diario!$H3940="EU_JU",Painel_diario!$J3940=1),EXP(Painel_diario!$L3940),1)-1</f>
        <v/>
      </c>
      <c r="D3944" s="22">
        <f>(1+D3943)*IF(AND(Painel_diario!$H3940="ED_JD",Painel_diario!$J3940=1),EXP(Painel_diario!$L3940),1)-1</f>
        <v/>
      </c>
      <c r="E3944" s="22">
        <f>(1+E3943)*IF(AND(Painel_diario!$H3940="ED_JU",Painel_diario!$J3940=1),EXP(Painel_diario!$L3940),1)-1</f>
        <v/>
      </c>
    </row>
    <row r="3945">
      <c r="A3945" s="25" t="n">
        <v>44642</v>
      </c>
      <c r="B3945" s="22">
        <f>(1+B3944)*IF(AND(Painel_diario!$H3941="EU_JD",Painel_diario!$J3941=1),EXP(Painel_diario!$L3941),1)-1</f>
        <v/>
      </c>
      <c r="C3945" s="22">
        <f>(1+C3944)*IF(AND(Painel_diario!$H3941="EU_JU",Painel_diario!$J3941=1),EXP(Painel_diario!$L3941),1)-1</f>
        <v/>
      </c>
      <c r="D3945" s="22">
        <f>(1+D3944)*IF(AND(Painel_diario!$H3941="ED_JD",Painel_diario!$J3941=1),EXP(Painel_diario!$L3941),1)-1</f>
        <v/>
      </c>
      <c r="E3945" s="22">
        <f>(1+E3944)*IF(AND(Painel_diario!$H3941="ED_JU",Painel_diario!$J3941=1),EXP(Painel_diario!$L3941),1)-1</f>
        <v/>
      </c>
    </row>
    <row r="3946">
      <c r="A3946" s="25" t="n">
        <v>44643</v>
      </c>
      <c r="B3946" s="22">
        <f>(1+B3945)*IF(AND(Painel_diario!$H3942="EU_JD",Painel_diario!$J3942=1),EXP(Painel_diario!$L3942),1)-1</f>
        <v/>
      </c>
      <c r="C3946" s="22">
        <f>(1+C3945)*IF(AND(Painel_diario!$H3942="EU_JU",Painel_diario!$J3942=1),EXP(Painel_diario!$L3942),1)-1</f>
        <v/>
      </c>
      <c r="D3946" s="22">
        <f>(1+D3945)*IF(AND(Painel_diario!$H3942="ED_JD",Painel_diario!$J3942=1),EXP(Painel_diario!$L3942),1)-1</f>
        <v/>
      </c>
      <c r="E3946" s="22">
        <f>(1+E3945)*IF(AND(Painel_diario!$H3942="ED_JU",Painel_diario!$J3942=1),EXP(Painel_diario!$L3942),1)-1</f>
        <v/>
      </c>
    </row>
    <row r="3947">
      <c r="A3947" s="25" t="n">
        <v>44644</v>
      </c>
      <c r="B3947" s="22">
        <f>(1+B3946)*IF(AND(Painel_diario!$H3943="EU_JD",Painel_diario!$J3943=1),EXP(Painel_diario!$L3943),1)-1</f>
        <v/>
      </c>
      <c r="C3947" s="22">
        <f>(1+C3946)*IF(AND(Painel_diario!$H3943="EU_JU",Painel_diario!$J3943=1),EXP(Painel_diario!$L3943),1)-1</f>
        <v/>
      </c>
      <c r="D3947" s="22">
        <f>(1+D3946)*IF(AND(Painel_diario!$H3943="ED_JD",Painel_diario!$J3943=1),EXP(Painel_diario!$L3943),1)-1</f>
        <v/>
      </c>
      <c r="E3947" s="22">
        <f>(1+E3946)*IF(AND(Painel_diario!$H3943="ED_JU",Painel_diario!$J3943=1),EXP(Painel_diario!$L3943),1)-1</f>
        <v/>
      </c>
    </row>
    <row r="3948">
      <c r="A3948" s="25" t="n">
        <v>44645</v>
      </c>
      <c r="B3948" s="22">
        <f>(1+B3947)*IF(AND(Painel_diario!$H3944="EU_JD",Painel_diario!$J3944=1),EXP(Painel_diario!$L3944),1)-1</f>
        <v/>
      </c>
      <c r="C3948" s="22">
        <f>(1+C3947)*IF(AND(Painel_diario!$H3944="EU_JU",Painel_diario!$J3944=1),EXP(Painel_diario!$L3944),1)-1</f>
        <v/>
      </c>
      <c r="D3948" s="22">
        <f>(1+D3947)*IF(AND(Painel_diario!$H3944="ED_JD",Painel_diario!$J3944=1),EXP(Painel_diario!$L3944),1)-1</f>
        <v/>
      </c>
      <c r="E3948" s="22">
        <f>(1+E3947)*IF(AND(Painel_diario!$H3944="ED_JU",Painel_diario!$J3944=1),EXP(Painel_diario!$L3944),1)-1</f>
        <v/>
      </c>
    </row>
    <row r="3949">
      <c r="A3949" s="25" t="n">
        <v>44648</v>
      </c>
      <c r="B3949" s="22">
        <f>(1+B3948)*IF(AND(Painel_diario!$H3945="EU_JD",Painel_diario!$J3945=1),EXP(Painel_diario!$L3945),1)-1</f>
        <v/>
      </c>
      <c r="C3949" s="22">
        <f>(1+C3948)*IF(AND(Painel_diario!$H3945="EU_JU",Painel_diario!$J3945=1),EXP(Painel_diario!$L3945),1)-1</f>
        <v/>
      </c>
      <c r="D3949" s="22">
        <f>(1+D3948)*IF(AND(Painel_diario!$H3945="ED_JD",Painel_diario!$J3945=1),EXP(Painel_diario!$L3945),1)-1</f>
        <v/>
      </c>
      <c r="E3949" s="22">
        <f>(1+E3948)*IF(AND(Painel_diario!$H3945="ED_JU",Painel_diario!$J3945=1),EXP(Painel_diario!$L3945),1)-1</f>
        <v/>
      </c>
    </row>
    <row r="3950">
      <c r="A3950" s="25" t="n">
        <v>44649</v>
      </c>
      <c r="B3950" s="22">
        <f>(1+B3949)*IF(AND(Painel_diario!$H3946="EU_JD",Painel_diario!$J3946=1),EXP(Painel_diario!$L3946),1)-1</f>
        <v/>
      </c>
      <c r="C3950" s="22">
        <f>(1+C3949)*IF(AND(Painel_diario!$H3946="EU_JU",Painel_diario!$J3946=1),EXP(Painel_diario!$L3946),1)-1</f>
        <v/>
      </c>
      <c r="D3950" s="22">
        <f>(1+D3949)*IF(AND(Painel_diario!$H3946="ED_JD",Painel_diario!$J3946=1),EXP(Painel_diario!$L3946),1)-1</f>
        <v/>
      </c>
      <c r="E3950" s="22">
        <f>(1+E3949)*IF(AND(Painel_diario!$H3946="ED_JU",Painel_diario!$J3946=1),EXP(Painel_diario!$L3946),1)-1</f>
        <v/>
      </c>
    </row>
    <row r="3951">
      <c r="A3951" s="25" t="n">
        <v>44650</v>
      </c>
      <c r="B3951" s="22">
        <f>(1+B3950)*IF(AND(Painel_diario!$H3947="EU_JD",Painel_diario!$J3947=1),EXP(Painel_diario!$L3947),1)-1</f>
        <v/>
      </c>
      <c r="C3951" s="22">
        <f>(1+C3950)*IF(AND(Painel_diario!$H3947="EU_JU",Painel_diario!$J3947=1),EXP(Painel_diario!$L3947),1)-1</f>
        <v/>
      </c>
      <c r="D3951" s="22">
        <f>(1+D3950)*IF(AND(Painel_diario!$H3947="ED_JD",Painel_diario!$J3947=1),EXP(Painel_diario!$L3947),1)-1</f>
        <v/>
      </c>
      <c r="E3951" s="22">
        <f>(1+E3950)*IF(AND(Painel_diario!$H3947="ED_JU",Painel_diario!$J3947=1),EXP(Painel_diario!$L3947),1)-1</f>
        <v/>
      </c>
    </row>
    <row r="3952">
      <c r="A3952" s="25" t="n">
        <v>44651</v>
      </c>
      <c r="B3952" s="22">
        <f>(1+B3951)*IF(AND(Painel_diario!$H3948="EU_JD",Painel_diario!$J3948=1),EXP(Painel_diario!$L3948),1)-1</f>
        <v/>
      </c>
      <c r="C3952" s="22">
        <f>(1+C3951)*IF(AND(Painel_diario!$H3948="EU_JU",Painel_diario!$J3948=1),EXP(Painel_diario!$L3948),1)-1</f>
        <v/>
      </c>
      <c r="D3952" s="22">
        <f>(1+D3951)*IF(AND(Painel_diario!$H3948="ED_JD",Painel_diario!$J3948=1),EXP(Painel_diario!$L3948),1)-1</f>
        <v/>
      </c>
      <c r="E3952" s="22">
        <f>(1+E3951)*IF(AND(Painel_diario!$H3948="ED_JU",Painel_diario!$J3948=1),EXP(Painel_diario!$L3948),1)-1</f>
        <v/>
      </c>
    </row>
    <row r="3953">
      <c r="A3953" s="25" t="n">
        <v>44652</v>
      </c>
      <c r="B3953" s="22">
        <f>(1+B3952)*IF(AND(Painel_diario!$H3949="EU_JD",Painel_diario!$J3949=1),EXP(Painel_diario!$L3949),1)-1</f>
        <v/>
      </c>
      <c r="C3953" s="22">
        <f>(1+C3952)*IF(AND(Painel_diario!$H3949="EU_JU",Painel_diario!$J3949=1),EXP(Painel_diario!$L3949),1)-1</f>
        <v/>
      </c>
      <c r="D3953" s="22">
        <f>(1+D3952)*IF(AND(Painel_diario!$H3949="ED_JD",Painel_diario!$J3949=1),EXP(Painel_diario!$L3949),1)-1</f>
        <v/>
      </c>
      <c r="E3953" s="22">
        <f>(1+E3952)*IF(AND(Painel_diario!$H3949="ED_JU",Painel_diario!$J3949=1),EXP(Painel_diario!$L3949),1)-1</f>
        <v/>
      </c>
    </row>
    <row r="3954">
      <c r="A3954" s="25" t="n">
        <v>44655</v>
      </c>
      <c r="B3954" s="22">
        <f>(1+B3953)*IF(AND(Painel_diario!$H3950="EU_JD",Painel_diario!$J3950=1),EXP(Painel_diario!$L3950),1)-1</f>
        <v/>
      </c>
      <c r="C3954" s="22">
        <f>(1+C3953)*IF(AND(Painel_diario!$H3950="EU_JU",Painel_diario!$J3950=1),EXP(Painel_diario!$L3950),1)-1</f>
        <v/>
      </c>
      <c r="D3954" s="22">
        <f>(1+D3953)*IF(AND(Painel_diario!$H3950="ED_JD",Painel_diario!$J3950=1),EXP(Painel_diario!$L3950),1)-1</f>
        <v/>
      </c>
      <c r="E3954" s="22">
        <f>(1+E3953)*IF(AND(Painel_diario!$H3950="ED_JU",Painel_diario!$J3950=1),EXP(Painel_diario!$L3950),1)-1</f>
        <v/>
      </c>
    </row>
    <row r="3955">
      <c r="A3955" s="25" t="n">
        <v>44656</v>
      </c>
      <c r="B3955" s="22">
        <f>(1+B3954)*IF(AND(Painel_diario!$H3951="EU_JD",Painel_diario!$J3951=1),EXP(Painel_diario!$L3951),1)-1</f>
        <v/>
      </c>
      <c r="C3955" s="22">
        <f>(1+C3954)*IF(AND(Painel_diario!$H3951="EU_JU",Painel_diario!$J3951=1),EXP(Painel_diario!$L3951),1)-1</f>
        <v/>
      </c>
      <c r="D3955" s="22">
        <f>(1+D3954)*IF(AND(Painel_diario!$H3951="ED_JD",Painel_diario!$J3951=1),EXP(Painel_diario!$L3951),1)-1</f>
        <v/>
      </c>
      <c r="E3955" s="22">
        <f>(1+E3954)*IF(AND(Painel_diario!$H3951="ED_JU",Painel_diario!$J3951=1),EXP(Painel_diario!$L3951),1)-1</f>
        <v/>
      </c>
    </row>
    <row r="3956">
      <c r="A3956" s="25" t="n">
        <v>44657</v>
      </c>
      <c r="B3956" s="22">
        <f>(1+B3955)*IF(AND(Painel_diario!$H3952="EU_JD",Painel_diario!$J3952=1),EXP(Painel_diario!$L3952),1)-1</f>
        <v/>
      </c>
      <c r="C3956" s="22">
        <f>(1+C3955)*IF(AND(Painel_diario!$H3952="EU_JU",Painel_diario!$J3952=1),EXP(Painel_diario!$L3952),1)-1</f>
        <v/>
      </c>
      <c r="D3956" s="22">
        <f>(1+D3955)*IF(AND(Painel_diario!$H3952="ED_JD",Painel_diario!$J3952=1),EXP(Painel_diario!$L3952),1)-1</f>
        <v/>
      </c>
      <c r="E3956" s="22">
        <f>(1+E3955)*IF(AND(Painel_diario!$H3952="ED_JU",Painel_diario!$J3952=1),EXP(Painel_diario!$L3952),1)-1</f>
        <v/>
      </c>
    </row>
    <row r="3957">
      <c r="A3957" s="25" t="n">
        <v>44658</v>
      </c>
      <c r="B3957" s="22">
        <f>(1+B3956)*IF(AND(Painel_diario!$H3953="EU_JD",Painel_diario!$J3953=1),EXP(Painel_diario!$L3953),1)-1</f>
        <v/>
      </c>
      <c r="C3957" s="22">
        <f>(1+C3956)*IF(AND(Painel_diario!$H3953="EU_JU",Painel_diario!$J3953=1),EXP(Painel_diario!$L3953),1)-1</f>
        <v/>
      </c>
      <c r="D3957" s="22">
        <f>(1+D3956)*IF(AND(Painel_diario!$H3953="ED_JD",Painel_diario!$J3953=1),EXP(Painel_diario!$L3953),1)-1</f>
        <v/>
      </c>
      <c r="E3957" s="22">
        <f>(1+E3956)*IF(AND(Painel_diario!$H3953="ED_JU",Painel_diario!$J3953=1),EXP(Painel_diario!$L3953),1)-1</f>
        <v/>
      </c>
    </row>
    <row r="3958">
      <c r="A3958" s="25" t="n">
        <v>44659</v>
      </c>
      <c r="B3958" s="22">
        <f>(1+B3957)*IF(AND(Painel_diario!$H3954="EU_JD",Painel_diario!$J3954=1),EXP(Painel_diario!$L3954),1)-1</f>
        <v/>
      </c>
      <c r="C3958" s="22">
        <f>(1+C3957)*IF(AND(Painel_diario!$H3954="EU_JU",Painel_diario!$J3954=1),EXP(Painel_diario!$L3954),1)-1</f>
        <v/>
      </c>
      <c r="D3958" s="22">
        <f>(1+D3957)*IF(AND(Painel_diario!$H3954="ED_JD",Painel_diario!$J3954=1),EXP(Painel_diario!$L3954),1)-1</f>
        <v/>
      </c>
      <c r="E3958" s="22">
        <f>(1+E3957)*IF(AND(Painel_diario!$H3954="ED_JU",Painel_diario!$J3954=1),EXP(Painel_diario!$L3954),1)-1</f>
        <v/>
      </c>
    </row>
    <row r="3959">
      <c r="A3959" s="25" t="n">
        <v>44662</v>
      </c>
      <c r="B3959" s="22">
        <f>(1+B3958)*IF(AND(Painel_diario!$H3955="EU_JD",Painel_diario!$J3955=1),EXP(Painel_diario!$L3955),1)-1</f>
        <v/>
      </c>
      <c r="C3959" s="22">
        <f>(1+C3958)*IF(AND(Painel_diario!$H3955="EU_JU",Painel_diario!$J3955=1),EXP(Painel_diario!$L3955),1)-1</f>
        <v/>
      </c>
      <c r="D3959" s="22">
        <f>(1+D3958)*IF(AND(Painel_diario!$H3955="ED_JD",Painel_diario!$J3955=1),EXP(Painel_diario!$L3955),1)-1</f>
        <v/>
      </c>
      <c r="E3959" s="22">
        <f>(1+E3958)*IF(AND(Painel_diario!$H3955="ED_JU",Painel_diario!$J3955=1),EXP(Painel_diario!$L3955),1)-1</f>
        <v/>
      </c>
    </row>
    <row r="3960">
      <c r="A3960" s="25" t="n">
        <v>44663</v>
      </c>
      <c r="B3960" s="22">
        <f>(1+B3959)*IF(AND(Painel_diario!$H3956="EU_JD",Painel_diario!$J3956=1),EXP(Painel_diario!$L3956),1)-1</f>
        <v/>
      </c>
      <c r="C3960" s="22">
        <f>(1+C3959)*IF(AND(Painel_diario!$H3956="EU_JU",Painel_diario!$J3956=1),EXP(Painel_diario!$L3956),1)-1</f>
        <v/>
      </c>
      <c r="D3960" s="22">
        <f>(1+D3959)*IF(AND(Painel_diario!$H3956="ED_JD",Painel_diario!$J3956=1),EXP(Painel_diario!$L3956),1)-1</f>
        <v/>
      </c>
      <c r="E3960" s="22">
        <f>(1+E3959)*IF(AND(Painel_diario!$H3956="ED_JU",Painel_diario!$J3956=1),EXP(Painel_diario!$L3956),1)-1</f>
        <v/>
      </c>
    </row>
    <row r="3961">
      <c r="A3961" s="25" t="n">
        <v>44664</v>
      </c>
      <c r="B3961" s="22">
        <f>(1+B3960)*IF(AND(Painel_diario!$H3957="EU_JD",Painel_diario!$J3957=1),EXP(Painel_diario!$L3957),1)-1</f>
        <v/>
      </c>
      <c r="C3961" s="22">
        <f>(1+C3960)*IF(AND(Painel_diario!$H3957="EU_JU",Painel_diario!$J3957=1),EXP(Painel_diario!$L3957),1)-1</f>
        <v/>
      </c>
      <c r="D3961" s="22">
        <f>(1+D3960)*IF(AND(Painel_diario!$H3957="ED_JD",Painel_diario!$J3957=1),EXP(Painel_diario!$L3957),1)-1</f>
        <v/>
      </c>
      <c r="E3961" s="22">
        <f>(1+E3960)*IF(AND(Painel_diario!$H3957="ED_JU",Painel_diario!$J3957=1),EXP(Painel_diario!$L3957),1)-1</f>
        <v/>
      </c>
    </row>
    <row r="3962">
      <c r="A3962" s="25" t="n">
        <v>44665</v>
      </c>
      <c r="B3962" s="22">
        <f>(1+B3961)*IF(AND(Painel_diario!$H3958="EU_JD",Painel_diario!$J3958=1),EXP(Painel_diario!$L3958),1)-1</f>
        <v/>
      </c>
      <c r="C3962" s="22">
        <f>(1+C3961)*IF(AND(Painel_diario!$H3958="EU_JU",Painel_diario!$J3958=1),EXP(Painel_diario!$L3958),1)-1</f>
        <v/>
      </c>
      <c r="D3962" s="22">
        <f>(1+D3961)*IF(AND(Painel_diario!$H3958="ED_JD",Painel_diario!$J3958=1),EXP(Painel_diario!$L3958),1)-1</f>
        <v/>
      </c>
      <c r="E3962" s="22">
        <f>(1+E3961)*IF(AND(Painel_diario!$H3958="ED_JU",Painel_diario!$J3958=1),EXP(Painel_diario!$L3958),1)-1</f>
        <v/>
      </c>
    </row>
    <row r="3963">
      <c r="A3963" s="25" t="n">
        <v>44669</v>
      </c>
      <c r="B3963" s="22">
        <f>(1+B3962)*IF(AND(Painel_diario!$H3959="EU_JD",Painel_diario!$J3959=1),EXP(Painel_diario!$L3959),1)-1</f>
        <v/>
      </c>
      <c r="C3963" s="22">
        <f>(1+C3962)*IF(AND(Painel_diario!$H3959="EU_JU",Painel_diario!$J3959=1),EXP(Painel_diario!$L3959),1)-1</f>
        <v/>
      </c>
      <c r="D3963" s="22">
        <f>(1+D3962)*IF(AND(Painel_diario!$H3959="ED_JD",Painel_diario!$J3959=1),EXP(Painel_diario!$L3959),1)-1</f>
        <v/>
      </c>
      <c r="E3963" s="22">
        <f>(1+E3962)*IF(AND(Painel_diario!$H3959="ED_JU",Painel_diario!$J3959=1),EXP(Painel_diario!$L3959),1)-1</f>
        <v/>
      </c>
    </row>
    <row r="3964">
      <c r="A3964" s="25" t="n">
        <v>44670</v>
      </c>
      <c r="B3964" s="22">
        <f>(1+B3963)*IF(AND(Painel_diario!$H3960="EU_JD",Painel_diario!$J3960=1),EXP(Painel_diario!$L3960),1)-1</f>
        <v/>
      </c>
      <c r="C3964" s="22">
        <f>(1+C3963)*IF(AND(Painel_diario!$H3960="EU_JU",Painel_diario!$J3960=1),EXP(Painel_diario!$L3960),1)-1</f>
        <v/>
      </c>
      <c r="D3964" s="22">
        <f>(1+D3963)*IF(AND(Painel_diario!$H3960="ED_JD",Painel_diario!$J3960=1),EXP(Painel_diario!$L3960),1)-1</f>
        <v/>
      </c>
      <c r="E3964" s="22">
        <f>(1+E3963)*IF(AND(Painel_diario!$H3960="ED_JU",Painel_diario!$J3960=1),EXP(Painel_diario!$L3960),1)-1</f>
        <v/>
      </c>
    </row>
    <row r="3965">
      <c r="A3965" s="25" t="n">
        <v>44671</v>
      </c>
      <c r="B3965" s="22">
        <f>(1+B3964)*IF(AND(Painel_diario!$H3961="EU_JD",Painel_diario!$J3961=1),EXP(Painel_diario!$L3961),1)-1</f>
        <v/>
      </c>
      <c r="C3965" s="22">
        <f>(1+C3964)*IF(AND(Painel_diario!$H3961="EU_JU",Painel_diario!$J3961=1),EXP(Painel_diario!$L3961),1)-1</f>
        <v/>
      </c>
      <c r="D3965" s="22">
        <f>(1+D3964)*IF(AND(Painel_diario!$H3961="ED_JD",Painel_diario!$J3961=1),EXP(Painel_diario!$L3961),1)-1</f>
        <v/>
      </c>
      <c r="E3965" s="22">
        <f>(1+E3964)*IF(AND(Painel_diario!$H3961="ED_JU",Painel_diario!$J3961=1),EXP(Painel_diario!$L3961),1)-1</f>
        <v/>
      </c>
    </row>
    <row r="3966">
      <c r="A3966" s="25" t="n">
        <v>44673</v>
      </c>
      <c r="B3966" s="22">
        <f>(1+B3965)*IF(AND(Painel_diario!$H3962="EU_JD",Painel_diario!$J3962=1),EXP(Painel_diario!$L3962),1)-1</f>
        <v/>
      </c>
      <c r="C3966" s="22">
        <f>(1+C3965)*IF(AND(Painel_diario!$H3962="EU_JU",Painel_diario!$J3962=1),EXP(Painel_diario!$L3962),1)-1</f>
        <v/>
      </c>
      <c r="D3966" s="22">
        <f>(1+D3965)*IF(AND(Painel_diario!$H3962="ED_JD",Painel_diario!$J3962=1),EXP(Painel_diario!$L3962),1)-1</f>
        <v/>
      </c>
      <c r="E3966" s="22">
        <f>(1+E3965)*IF(AND(Painel_diario!$H3962="ED_JU",Painel_diario!$J3962=1),EXP(Painel_diario!$L3962),1)-1</f>
        <v/>
      </c>
    </row>
    <row r="3967">
      <c r="A3967" s="25" t="n">
        <v>44676</v>
      </c>
      <c r="B3967" s="22">
        <f>(1+B3966)*IF(AND(Painel_diario!$H3963="EU_JD",Painel_diario!$J3963=1),EXP(Painel_diario!$L3963),1)-1</f>
        <v/>
      </c>
      <c r="C3967" s="22">
        <f>(1+C3966)*IF(AND(Painel_diario!$H3963="EU_JU",Painel_diario!$J3963=1),EXP(Painel_diario!$L3963),1)-1</f>
        <v/>
      </c>
      <c r="D3967" s="22">
        <f>(1+D3966)*IF(AND(Painel_diario!$H3963="ED_JD",Painel_diario!$J3963=1),EXP(Painel_diario!$L3963),1)-1</f>
        <v/>
      </c>
      <c r="E3967" s="22">
        <f>(1+E3966)*IF(AND(Painel_diario!$H3963="ED_JU",Painel_diario!$J3963=1),EXP(Painel_diario!$L3963),1)-1</f>
        <v/>
      </c>
    </row>
    <row r="3968">
      <c r="A3968" s="25" t="n">
        <v>44677</v>
      </c>
      <c r="B3968" s="22">
        <f>(1+B3967)*IF(AND(Painel_diario!$H3964="EU_JD",Painel_diario!$J3964=1),EXP(Painel_diario!$L3964),1)-1</f>
        <v/>
      </c>
      <c r="C3968" s="22">
        <f>(1+C3967)*IF(AND(Painel_diario!$H3964="EU_JU",Painel_diario!$J3964=1),EXP(Painel_diario!$L3964),1)-1</f>
        <v/>
      </c>
      <c r="D3968" s="22">
        <f>(1+D3967)*IF(AND(Painel_diario!$H3964="ED_JD",Painel_diario!$J3964=1),EXP(Painel_diario!$L3964),1)-1</f>
        <v/>
      </c>
      <c r="E3968" s="22">
        <f>(1+E3967)*IF(AND(Painel_diario!$H3964="ED_JU",Painel_diario!$J3964=1),EXP(Painel_diario!$L3964),1)-1</f>
        <v/>
      </c>
    </row>
    <row r="3969">
      <c r="A3969" s="25" t="n">
        <v>44678</v>
      </c>
      <c r="B3969" s="22">
        <f>(1+B3968)*IF(AND(Painel_diario!$H3965="EU_JD",Painel_diario!$J3965=1),EXP(Painel_diario!$L3965),1)-1</f>
        <v/>
      </c>
      <c r="C3969" s="22">
        <f>(1+C3968)*IF(AND(Painel_diario!$H3965="EU_JU",Painel_diario!$J3965=1),EXP(Painel_diario!$L3965),1)-1</f>
        <v/>
      </c>
      <c r="D3969" s="22">
        <f>(1+D3968)*IF(AND(Painel_diario!$H3965="ED_JD",Painel_diario!$J3965=1),EXP(Painel_diario!$L3965),1)-1</f>
        <v/>
      </c>
      <c r="E3969" s="22">
        <f>(1+E3968)*IF(AND(Painel_diario!$H3965="ED_JU",Painel_diario!$J3965=1),EXP(Painel_diario!$L3965),1)-1</f>
        <v/>
      </c>
    </row>
    <row r="3970">
      <c r="A3970" s="25" t="n">
        <v>44679</v>
      </c>
      <c r="B3970" s="22">
        <f>(1+B3969)*IF(AND(Painel_diario!$H3966="EU_JD",Painel_diario!$J3966=1),EXP(Painel_diario!$L3966),1)-1</f>
        <v/>
      </c>
      <c r="C3970" s="22">
        <f>(1+C3969)*IF(AND(Painel_diario!$H3966="EU_JU",Painel_diario!$J3966=1),EXP(Painel_diario!$L3966),1)-1</f>
        <v/>
      </c>
      <c r="D3970" s="22">
        <f>(1+D3969)*IF(AND(Painel_diario!$H3966="ED_JD",Painel_diario!$J3966=1),EXP(Painel_diario!$L3966),1)-1</f>
        <v/>
      </c>
      <c r="E3970" s="22">
        <f>(1+E3969)*IF(AND(Painel_diario!$H3966="ED_JU",Painel_diario!$J3966=1),EXP(Painel_diario!$L3966),1)-1</f>
        <v/>
      </c>
    </row>
    <row r="3971">
      <c r="A3971" s="25" t="n">
        <v>44680</v>
      </c>
      <c r="B3971" s="22">
        <f>(1+B3970)*IF(AND(Painel_diario!$H3967="EU_JD",Painel_diario!$J3967=1),EXP(Painel_diario!$L3967),1)-1</f>
        <v/>
      </c>
      <c r="C3971" s="22">
        <f>(1+C3970)*IF(AND(Painel_diario!$H3967="EU_JU",Painel_diario!$J3967=1),EXP(Painel_diario!$L3967),1)-1</f>
        <v/>
      </c>
      <c r="D3971" s="22">
        <f>(1+D3970)*IF(AND(Painel_diario!$H3967="ED_JD",Painel_diario!$J3967=1),EXP(Painel_diario!$L3967),1)-1</f>
        <v/>
      </c>
      <c r="E3971" s="22">
        <f>(1+E3970)*IF(AND(Painel_diario!$H3967="ED_JU",Painel_diario!$J3967=1),EXP(Painel_diario!$L3967),1)-1</f>
        <v/>
      </c>
    </row>
    <row r="3972">
      <c r="A3972" s="25" t="n">
        <v>44683</v>
      </c>
      <c r="B3972" s="22">
        <f>(1+B3971)*IF(AND(Painel_diario!$H3968="EU_JD",Painel_diario!$J3968=1),EXP(Painel_diario!$L3968),1)-1</f>
        <v/>
      </c>
      <c r="C3972" s="22">
        <f>(1+C3971)*IF(AND(Painel_diario!$H3968="EU_JU",Painel_diario!$J3968=1),EXP(Painel_diario!$L3968),1)-1</f>
        <v/>
      </c>
      <c r="D3972" s="22">
        <f>(1+D3971)*IF(AND(Painel_diario!$H3968="ED_JD",Painel_diario!$J3968=1),EXP(Painel_diario!$L3968),1)-1</f>
        <v/>
      </c>
      <c r="E3972" s="22">
        <f>(1+E3971)*IF(AND(Painel_diario!$H3968="ED_JU",Painel_diario!$J3968=1),EXP(Painel_diario!$L3968),1)-1</f>
        <v/>
      </c>
    </row>
    <row r="3973">
      <c r="A3973" s="25" t="n">
        <v>44684</v>
      </c>
      <c r="B3973" s="22">
        <f>(1+B3972)*IF(AND(Painel_diario!$H3969="EU_JD",Painel_diario!$J3969=1),EXP(Painel_diario!$L3969),1)-1</f>
        <v/>
      </c>
      <c r="C3973" s="22">
        <f>(1+C3972)*IF(AND(Painel_diario!$H3969="EU_JU",Painel_diario!$J3969=1),EXP(Painel_diario!$L3969),1)-1</f>
        <v/>
      </c>
      <c r="D3973" s="22">
        <f>(1+D3972)*IF(AND(Painel_diario!$H3969="ED_JD",Painel_diario!$J3969=1),EXP(Painel_diario!$L3969),1)-1</f>
        <v/>
      </c>
      <c r="E3973" s="22">
        <f>(1+E3972)*IF(AND(Painel_diario!$H3969="ED_JU",Painel_diario!$J3969=1),EXP(Painel_diario!$L3969),1)-1</f>
        <v/>
      </c>
    </row>
    <row r="3974">
      <c r="A3974" s="25" t="n">
        <v>44685</v>
      </c>
      <c r="B3974" s="22">
        <f>(1+B3973)*IF(AND(Painel_diario!$H3970="EU_JD",Painel_diario!$J3970=1),EXP(Painel_diario!$L3970),1)-1</f>
        <v/>
      </c>
      <c r="C3974" s="22">
        <f>(1+C3973)*IF(AND(Painel_diario!$H3970="EU_JU",Painel_diario!$J3970=1),EXP(Painel_diario!$L3970),1)-1</f>
        <v/>
      </c>
      <c r="D3974" s="22">
        <f>(1+D3973)*IF(AND(Painel_diario!$H3970="ED_JD",Painel_diario!$J3970=1),EXP(Painel_diario!$L3970),1)-1</f>
        <v/>
      </c>
      <c r="E3974" s="22">
        <f>(1+E3973)*IF(AND(Painel_diario!$H3970="ED_JU",Painel_diario!$J3970=1),EXP(Painel_diario!$L3970),1)-1</f>
        <v/>
      </c>
    </row>
    <row r="3975">
      <c r="A3975" s="25" t="n">
        <v>44686</v>
      </c>
      <c r="B3975" s="22">
        <f>(1+B3974)*IF(AND(Painel_diario!$H3971="EU_JD",Painel_diario!$J3971=1),EXP(Painel_diario!$L3971),1)-1</f>
        <v/>
      </c>
      <c r="C3975" s="22">
        <f>(1+C3974)*IF(AND(Painel_diario!$H3971="EU_JU",Painel_diario!$J3971=1),EXP(Painel_diario!$L3971),1)-1</f>
        <v/>
      </c>
      <c r="D3975" s="22">
        <f>(1+D3974)*IF(AND(Painel_diario!$H3971="ED_JD",Painel_diario!$J3971=1),EXP(Painel_diario!$L3971),1)-1</f>
        <v/>
      </c>
      <c r="E3975" s="22">
        <f>(1+E3974)*IF(AND(Painel_diario!$H3971="ED_JU",Painel_diario!$J3971=1),EXP(Painel_diario!$L3971),1)-1</f>
        <v/>
      </c>
    </row>
    <row r="3976">
      <c r="A3976" s="25" t="n">
        <v>44687</v>
      </c>
      <c r="B3976" s="22">
        <f>(1+B3975)*IF(AND(Painel_diario!$H3972="EU_JD",Painel_diario!$J3972=1),EXP(Painel_diario!$L3972),1)-1</f>
        <v/>
      </c>
      <c r="C3976" s="22">
        <f>(1+C3975)*IF(AND(Painel_diario!$H3972="EU_JU",Painel_diario!$J3972=1),EXP(Painel_diario!$L3972),1)-1</f>
        <v/>
      </c>
      <c r="D3976" s="22">
        <f>(1+D3975)*IF(AND(Painel_diario!$H3972="ED_JD",Painel_diario!$J3972=1),EXP(Painel_diario!$L3972),1)-1</f>
        <v/>
      </c>
      <c r="E3976" s="22">
        <f>(1+E3975)*IF(AND(Painel_diario!$H3972="ED_JU",Painel_diario!$J3972=1),EXP(Painel_diario!$L3972),1)-1</f>
        <v/>
      </c>
    </row>
    <row r="3977">
      <c r="A3977" s="25" t="n">
        <v>44690</v>
      </c>
      <c r="B3977" s="22">
        <f>(1+B3976)*IF(AND(Painel_diario!$H3973="EU_JD",Painel_diario!$J3973=1),EXP(Painel_diario!$L3973),1)-1</f>
        <v/>
      </c>
      <c r="C3977" s="22">
        <f>(1+C3976)*IF(AND(Painel_diario!$H3973="EU_JU",Painel_diario!$J3973=1),EXP(Painel_diario!$L3973),1)-1</f>
        <v/>
      </c>
      <c r="D3977" s="22">
        <f>(1+D3976)*IF(AND(Painel_diario!$H3973="ED_JD",Painel_diario!$J3973=1),EXP(Painel_diario!$L3973),1)-1</f>
        <v/>
      </c>
      <c r="E3977" s="22">
        <f>(1+E3976)*IF(AND(Painel_diario!$H3973="ED_JU",Painel_diario!$J3973=1),EXP(Painel_diario!$L3973),1)-1</f>
        <v/>
      </c>
    </row>
    <row r="3978">
      <c r="A3978" s="25" t="n">
        <v>44691</v>
      </c>
      <c r="B3978" s="22">
        <f>(1+B3977)*IF(AND(Painel_diario!$H3974="EU_JD",Painel_diario!$J3974=1),EXP(Painel_diario!$L3974),1)-1</f>
        <v/>
      </c>
      <c r="C3978" s="22">
        <f>(1+C3977)*IF(AND(Painel_diario!$H3974="EU_JU",Painel_diario!$J3974=1),EXP(Painel_diario!$L3974),1)-1</f>
        <v/>
      </c>
      <c r="D3978" s="22">
        <f>(1+D3977)*IF(AND(Painel_diario!$H3974="ED_JD",Painel_diario!$J3974=1),EXP(Painel_diario!$L3974),1)-1</f>
        <v/>
      </c>
      <c r="E3978" s="22">
        <f>(1+E3977)*IF(AND(Painel_diario!$H3974="ED_JU",Painel_diario!$J3974=1),EXP(Painel_diario!$L3974),1)-1</f>
        <v/>
      </c>
    </row>
    <row r="3979">
      <c r="A3979" s="25" t="n">
        <v>44692</v>
      </c>
      <c r="B3979" s="22">
        <f>(1+B3978)*IF(AND(Painel_diario!$H3975="EU_JD",Painel_diario!$J3975=1),EXP(Painel_diario!$L3975),1)-1</f>
        <v/>
      </c>
      <c r="C3979" s="22">
        <f>(1+C3978)*IF(AND(Painel_diario!$H3975="EU_JU",Painel_diario!$J3975=1),EXP(Painel_diario!$L3975),1)-1</f>
        <v/>
      </c>
      <c r="D3979" s="22">
        <f>(1+D3978)*IF(AND(Painel_diario!$H3975="ED_JD",Painel_diario!$J3975=1),EXP(Painel_diario!$L3975),1)-1</f>
        <v/>
      </c>
      <c r="E3979" s="22">
        <f>(1+E3978)*IF(AND(Painel_diario!$H3975="ED_JU",Painel_diario!$J3975=1),EXP(Painel_diario!$L3975),1)-1</f>
        <v/>
      </c>
    </row>
    <row r="3980">
      <c r="A3980" s="25" t="n">
        <v>44693</v>
      </c>
      <c r="B3980" s="22">
        <f>(1+B3979)*IF(AND(Painel_diario!$H3976="EU_JD",Painel_diario!$J3976=1),EXP(Painel_diario!$L3976),1)-1</f>
        <v/>
      </c>
      <c r="C3980" s="22">
        <f>(1+C3979)*IF(AND(Painel_diario!$H3976="EU_JU",Painel_diario!$J3976=1),EXP(Painel_diario!$L3976),1)-1</f>
        <v/>
      </c>
      <c r="D3980" s="22">
        <f>(1+D3979)*IF(AND(Painel_diario!$H3976="ED_JD",Painel_diario!$J3976=1),EXP(Painel_diario!$L3976),1)-1</f>
        <v/>
      </c>
      <c r="E3980" s="22">
        <f>(1+E3979)*IF(AND(Painel_diario!$H3976="ED_JU",Painel_diario!$J3976=1),EXP(Painel_diario!$L3976),1)-1</f>
        <v/>
      </c>
    </row>
    <row r="3981">
      <c r="A3981" s="25" t="n">
        <v>44694</v>
      </c>
      <c r="B3981" s="22">
        <f>(1+B3980)*IF(AND(Painel_diario!$H3977="EU_JD",Painel_diario!$J3977=1),EXP(Painel_diario!$L3977),1)-1</f>
        <v/>
      </c>
      <c r="C3981" s="22">
        <f>(1+C3980)*IF(AND(Painel_diario!$H3977="EU_JU",Painel_diario!$J3977=1),EXP(Painel_diario!$L3977),1)-1</f>
        <v/>
      </c>
      <c r="D3981" s="22">
        <f>(1+D3980)*IF(AND(Painel_diario!$H3977="ED_JD",Painel_diario!$J3977=1),EXP(Painel_diario!$L3977),1)-1</f>
        <v/>
      </c>
      <c r="E3981" s="22">
        <f>(1+E3980)*IF(AND(Painel_diario!$H3977="ED_JU",Painel_diario!$J3977=1),EXP(Painel_diario!$L3977),1)-1</f>
        <v/>
      </c>
    </row>
    <row r="3982">
      <c r="A3982" s="25" t="n">
        <v>44697</v>
      </c>
      <c r="B3982" s="22">
        <f>(1+B3981)*IF(AND(Painel_diario!$H3978="EU_JD",Painel_diario!$J3978=1),EXP(Painel_diario!$L3978),1)-1</f>
        <v/>
      </c>
      <c r="C3982" s="22">
        <f>(1+C3981)*IF(AND(Painel_diario!$H3978="EU_JU",Painel_diario!$J3978=1),EXP(Painel_diario!$L3978),1)-1</f>
        <v/>
      </c>
      <c r="D3982" s="22">
        <f>(1+D3981)*IF(AND(Painel_diario!$H3978="ED_JD",Painel_diario!$J3978=1),EXP(Painel_diario!$L3978),1)-1</f>
        <v/>
      </c>
      <c r="E3982" s="22">
        <f>(1+E3981)*IF(AND(Painel_diario!$H3978="ED_JU",Painel_diario!$J3978=1),EXP(Painel_diario!$L3978),1)-1</f>
        <v/>
      </c>
    </row>
    <row r="3983">
      <c r="A3983" s="25" t="n">
        <v>44698</v>
      </c>
      <c r="B3983" s="22">
        <f>(1+B3982)*IF(AND(Painel_diario!$H3979="EU_JD",Painel_diario!$J3979=1),EXP(Painel_diario!$L3979),1)-1</f>
        <v/>
      </c>
      <c r="C3983" s="22">
        <f>(1+C3982)*IF(AND(Painel_diario!$H3979="EU_JU",Painel_diario!$J3979=1),EXP(Painel_diario!$L3979),1)-1</f>
        <v/>
      </c>
      <c r="D3983" s="22">
        <f>(1+D3982)*IF(AND(Painel_diario!$H3979="ED_JD",Painel_diario!$J3979=1),EXP(Painel_diario!$L3979),1)-1</f>
        <v/>
      </c>
      <c r="E3983" s="22">
        <f>(1+E3982)*IF(AND(Painel_diario!$H3979="ED_JU",Painel_diario!$J3979=1),EXP(Painel_diario!$L3979),1)-1</f>
        <v/>
      </c>
    </row>
    <row r="3984">
      <c r="A3984" s="25" t="n">
        <v>44699</v>
      </c>
      <c r="B3984" s="22">
        <f>(1+B3983)*IF(AND(Painel_diario!$H3980="EU_JD",Painel_diario!$J3980=1),EXP(Painel_diario!$L3980),1)-1</f>
        <v/>
      </c>
      <c r="C3984" s="22">
        <f>(1+C3983)*IF(AND(Painel_diario!$H3980="EU_JU",Painel_diario!$J3980=1),EXP(Painel_diario!$L3980),1)-1</f>
        <v/>
      </c>
      <c r="D3984" s="22">
        <f>(1+D3983)*IF(AND(Painel_diario!$H3980="ED_JD",Painel_diario!$J3980=1),EXP(Painel_diario!$L3980),1)-1</f>
        <v/>
      </c>
      <c r="E3984" s="22">
        <f>(1+E3983)*IF(AND(Painel_diario!$H3980="ED_JU",Painel_diario!$J3980=1),EXP(Painel_diario!$L3980),1)-1</f>
        <v/>
      </c>
    </row>
    <row r="3985">
      <c r="A3985" s="25" t="n">
        <v>44700</v>
      </c>
      <c r="B3985" s="22">
        <f>(1+B3984)*IF(AND(Painel_diario!$H3981="EU_JD",Painel_diario!$J3981=1),EXP(Painel_diario!$L3981),1)-1</f>
        <v/>
      </c>
      <c r="C3985" s="22">
        <f>(1+C3984)*IF(AND(Painel_diario!$H3981="EU_JU",Painel_diario!$J3981=1),EXP(Painel_diario!$L3981),1)-1</f>
        <v/>
      </c>
      <c r="D3985" s="22">
        <f>(1+D3984)*IF(AND(Painel_diario!$H3981="ED_JD",Painel_diario!$J3981=1),EXP(Painel_diario!$L3981),1)-1</f>
        <v/>
      </c>
      <c r="E3985" s="22">
        <f>(1+E3984)*IF(AND(Painel_diario!$H3981="ED_JU",Painel_diario!$J3981=1),EXP(Painel_diario!$L3981),1)-1</f>
        <v/>
      </c>
    </row>
    <row r="3986">
      <c r="A3986" s="25" t="n">
        <v>44701</v>
      </c>
      <c r="B3986" s="22">
        <f>(1+B3985)*IF(AND(Painel_diario!$H3982="EU_JD",Painel_diario!$J3982=1),EXP(Painel_diario!$L3982),1)-1</f>
        <v/>
      </c>
      <c r="C3986" s="22">
        <f>(1+C3985)*IF(AND(Painel_diario!$H3982="EU_JU",Painel_diario!$J3982=1),EXP(Painel_diario!$L3982),1)-1</f>
        <v/>
      </c>
      <c r="D3986" s="22">
        <f>(1+D3985)*IF(AND(Painel_diario!$H3982="ED_JD",Painel_diario!$J3982=1),EXP(Painel_diario!$L3982),1)-1</f>
        <v/>
      </c>
      <c r="E3986" s="22">
        <f>(1+E3985)*IF(AND(Painel_diario!$H3982="ED_JU",Painel_diario!$J3982=1),EXP(Painel_diario!$L3982),1)-1</f>
        <v/>
      </c>
    </row>
    <row r="3987">
      <c r="A3987" s="25" t="n">
        <v>44704</v>
      </c>
      <c r="B3987" s="22">
        <f>(1+B3986)*IF(AND(Painel_diario!$H3983="EU_JD",Painel_diario!$J3983=1),EXP(Painel_diario!$L3983),1)-1</f>
        <v/>
      </c>
      <c r="C3987" s="22">
        <f>(1+C3986)*IF(AND(Painel_diario!$H3983="EU_JU",Painel_diario!$J3983=1),EXP(Painel_diario!$L3983),1)-1</f>
        <v/>
      </c>
      <c r="D3987" s="22">
        <f>(1+D3986)*IF(AND(Painel_diario!$H3983="ED_JD",Painel_diario!$J3983=1),EXP(Painel_diario!$L3983),1)-1</f>
        <v/>
      </c>
      <c r="E3987" s="22">
        <f>(1+E3986)*IF(AND(Painel_diario!$H3983="ED_JU",Painel_diario!$J3983=1),EXP(Painel_diario!$L3983),1)-1</f>
        <v/>
      </c>
    </row>
    <row r="3988">
      <c r="A3988" s="25" t="n">
        <v>44705</v>
      </c>
      <c r="B3988" s="22">
        <f>(1+B3987)*IF(AND(Painel_diario!$H3984="EU_JD",Painel_diario!$J3984=1),EXP(Painel_diario!$L3984),1)-1</f>
        <v/>
      </c>
      <c r="C3988" s="22">
        <f>(1+C3987)*IF(AND(Painel_diario!$H3984="EU_JU",Painel_diario!$J3984=1),EXP(Painel_diario!$L3984),1)-1</f>
        <v/>
      </c>
      <c r="D3988" s="22">
        <f>(1+D3987)*IF(AND(Painel_diario!$H3984="ED_JD",Painel_diario!$J3984=1),EXP(Painel_diario!$L3984),1)-1</f>
        <v/>
      </c>
      <c r="E3988" s="22">
        <f>(1+E3987)*IF(AND(Painel_diario!$H3984="ED_JU",Painel_diario!$J3984=1),EXP(Painel_diario!$L3984),1)-1</f>
        <v/>
      </c>
    </row>
    <row r="3989">
      <c r="A3989" s="25" t="n">
        <v>44706</v>
      </c>
      <c r="B3989" s="22">
        <f>(1+B3988)*IF(AND(Painel_diario!$H3985="EU_JD",Painel_diario!$J3985=1),EXP(Painel_diario!$L3985),1)-1</f>
        <v/>
      </c>
      <c r="C3989" s="22">
        <f>(1+C3988)*IF(AND(Painel_diario!$H3985="EU_JU",Painel_diario!$J3985=1),EXP(Painel_diario!$L3985),1)-1</f>
        <v/>
      </c>
      <c r="D3989" s="22">
        <f>(1+D3988)*IF(AND(Painel_diario!$H3985="ED_JD",Painel_diario!$J3985=1),EXP(Painel_diario!$L3985),1)-1</f>
        <v/>
      </c>
      <c r="E3989" s="22">
        <f>(1+E3988)*IF(AND(Painel_diario!$H3985="ED_JU",Painel_diario!$J3985=1),EXP(Painel_diario!$L3985),1)-1</f>
        <v/>
      </c>
    </row>
    <row r="3990">
      <c r="A3990" s="25" t="n">
        <v>44707</v>
      </c>
      <c r="B3990" s="22">
        <f>(1+B3989)*IF(AND(Painel_diario!$H3986="EU_JD",Painel_diario!$J3986=1),EXP(Painel_diario!$L3986),1)-1</f>
        <v/>
      </c>
      <c r="C3990" s="22">
        <f>(1+C3989)*IF(AND(Painel_diario!$H3986="EU_JU",Painel_diario!$J3986=1),EXP(Painel_diario!$L3986),1)-1</f>
        <v/>
      </c>
      <c r="D3990" s="22">
        <f>(1+D3989)*IF(AND(Painel_diario!$H3986="ED_JD",Painel_diario!$J3986=1),EXP(Painel_diario!$L3986),1)-1</f>
        <v/>
      </c>
      <c r="E3990" s="22">
        <f>(1+E3989)*IF(AND(Painel_diario!$H3986="ED_JU",Painel_diario!$J3986=1),EXP(Painel_diario!$L3986),1)-1</f>
        <v/>
      </c>
    </row>
    <row r="3991">
      <c r="A3991" s="25" t="n">
        <v>44708</v>
      </c>
      <c r="B3991" s="22">
        <f>(1+B3990)*IF(AND(Painel_diario!$H3987="EU_JD",Painel_diario!$J3987=1),EXP(Painel_diario!$L3987),1)-1</f>
        <v/>
      </c>
      <c r="C3991" s="22">
        <f>(1+C3990)*IF(AND(Painel_diario!$H3987="EU_JU",Painel_diario!$J3987=1),EXP(Painel_diario!$L3987),1)-1</f>
        <v/>
      </c>
      <c r="D3991" s="22">
        <f>(1+D3990)*IF(AND(Painel_diario!$H3987="ED_JD",Painel_diario!$J3987=1),EXP(Painel_diario!$L3987),1)-1</f>
        <v/>
      </c>
      <c r="E3991" s="22">
        <f>(1+E3990)*IF(AND(Painel_diario!$H3987="ED_JU",Painel_diario!$J3987=1),EXP(Painel_diario!$L3987),1)-1</f>
        <v/>
      </c>
    </row>
    <row r="3992">
      <c r="A3992" s="25" t="n">
        <v>44711</v>
      </c>
      <c r="B3992" s="22">
        <f>(1+B3991)*IF(AND(Painel_diario!$H3988="EU_JD",Painel_diario!$J3988=1),EXP(Painel_diario!$L3988),1)-1</f>
        <v/>
      </c>
      <c r="C3992" s="22">
        <f>(1+C3991)*IF(AND(Painel_diario!$H3988="EU_JU",Painel_diario!$J3988=1),EXP(Painel_diario!$L3988),1)-1</f>
        <v/>
      </c>
      <c r="D3992" s="22">
        <f>(1+D3991)*IF(AND(Painel_diario!$H3988="ED_JD",Painel_diario!$J3988=1),EXP(Painel_diario!$L3988),1)-1</f>
        <v/>
      </c>
      <c r="E3992" s="22">
        <f>(1+E3991)*IF(AND(Painel_diario!$H3988="ED_JU",Painel_diario!$J3988=1),EXP(Painel_diario!$L3988),1)-1</f>
        <v/>
      </c>
    </row>
    <row r="3993">
      <c r="A3993" s="25" t="n">
        <v>44712</v>
      </c>
      <c r="B3993" s="22">
        <f>(1+B3992)*IF(AND(Painel_diario!$H3989="EU_JD",Painel_diario!$J3989=1),EXP(Painel_diario!$L3989),1)-1</f>
        <v/>
      </c>
      <c r="C3993" s="22">
        <f>(1+C3992)*IF(AND(Painel_diario!$H3989="EU_JU",Painel_diario!$J3989=1),EXP(Painel_diario!$L3989),1)-1</f>
        <v/>
      </c>
      <c r="D3993" s="22">
        <f>(1+D3992)*IF(AND(Painel_diario!$H3989="ED_JD",Painel_diario!$J3989=1),EXP(Painel_diario!$L3989),1)-1</f>
        <v/>
      </c>
      <c r="E3993" s="22">
        <f>(1+E3992)*IF(AND(Painel_diario!$H3989="ED_JU",Painel_diario!$J3989=1),EXP(Painel_diario!$L3989),1)-1</f>
        <v/>
      </c>
    </row>
    <row r="3994">
      <c r="A3994" s="25" t="n">
        <v>44713</v>
      </c>
      <c r="B3994" s="22">
        <f>(1+B3993)*IF(AND(Painel_diario!$H3990="EU_JD",Painel_diario!$J3990=1),EXP(Painel_diario!$L3990),1)-1</f>
        <v/>
      </c>
      <c r="C3994" s="22">
        <f>(1+C3993)*IF(AND(Painel_diario!$H3990="EU_JU",Painel_diario!$J3990=1),EXP(Painel_diario!$L3990),1)-1</f>
        <v/>
      </c>
      <c r="D3994" s="22">
        <f>(1+D3993)*IF(AND(Painel_diario!$H3990="ED_JD",Painel_diario!$J3990=1),EXP(Painel_diario!$L3990),1)-1</f>
        <v/>
      </c>
      <c r="E3994" s="22">
        <f>(1+E3993)*IF(AND(Painel_diario!$H3990="ED_JU",Painel_diario!$J3990=1),EXP(Painel_diario!$L3990),1)-1</f>
        <v/>
      </c>
    </row>
    <row r="3995">
      <c r="A3995" s="25" t="n">
        <v>44714</v>
      </c>
      <c r="B3995" s="22">
        <f>(1+B3994)*IF(AND(Painel_diario!$H3991="EU_JD",Painel_diario!$J3991=1),EXP(Painel_diario!$L3991),1)-1</f>
        <v/>
      </c>
      <c r="C3995" s="22">
        <f>(1+C3994)*IF(AND(Painel_diario!$H3991="EU_JU",Painel_diario!$J3991=1),EXP(Painel_diario!$L3991),1)-1</f>
        <v/>
      </c>
      <c r="D3995" s="22">
        <f>(1+D3994)*IF(AND(Painel_diario!$H3991="ED_JD",Painel_diario!$J3991=1),EXP(Painel_diario!$L3991),1)-1</f>
        <v/>
      </c>
      <c r="E3995" s="22">
        <f>(1+E3994)*IF(AND(Painel_diario!$H3991="ED_JU",Painel_diario!$J3991=1),EXP(Painel_diario!$L3991),1)-1</f>
        <v/>
      </c>
    </row>
    <row r="3996">
      <c r="A3996" s="25" t="n">
        <v>44715</v>
      </c>
      <c r="B3996" s="22">
        <f>(1+B3995)*IF(AND(Painel_diario!$H3992="EU_JD",Painel_diario!$J3992=1),EXP(Painel_diario!$L3992),1)-1</f>
        <v/>
      </c>
      <c r="C3996" s="22">
        <f>(1+C3995)*IF(AND(Painel_diario!$H3992="EU_JU",Painel_diario!$J3992=1),EXP(Painel_diario!$L3992),1)-1</f>
        <v/>
      </c>
      <c r="D3996" s="22">
        <f>(1+D3995)*IF(AND(Painel_diario!$H3992="ED_JD",Painel_diario!$J3992=1),EXP(Painel_diario!$L3992),1)-1</f>
        <v/>
      </c>
      <c r="E3996" s="22">
        <f>(1+E3995)*IF(AND(Painel_diario!$H3992="ED_JU",Painel_diario!$J3992=1),EXP(Painel_diario!$L3992),1)-1</f>
        <v/>
      </c>
    </row>
    <row r="3997">
      <c r="A3997" s="25" t="n">
        <v>44718</v>
      </c>
      <c r="B3997" s="22">
        <f>(1+B3996)*IF(AND(Painel_diario!$H3993="EU_JD",Painel_diario!$J3993=1),EXP(Painel_diario!$L3993),1)-1</f>
        <v/>
      </c>
      <c r="C3997" s="22">
        <f>(1+C3996)*IF(AND(Painel_diario!$H3993="EU_JU",Painel_diario!$J3993=1),EXP(Painel_diario!$L3993),1)-1</f>
        <v/>
      </c>
      <c r="D3997" s="22">
        <f>(1+D3996)*IF(AND(Painel_diario!$H3993="ED_JD",Painel_diario!$J3993=1),EXP(Painel_diario!$L3993),1)-1</f>
        <v/>
      </c>
      <c r="E3997" s="22">
        <f>(1+E3996)*IF(AND(Painel_diario!$H3993="ED_JU",Painel_diario!$J3993=1),EXP(Painel_diario!$L3993),1)-1</f>
        <v/>
      </c>
    </row>
    <row r="3998">
      <c r="A3998" s="25" t="n">
        <v>44719</v>
      </c>
      <c r="B3998" s="22">
        <f>(1+B3997)*IF(AND(Painel_diario!$H3994="EU_JD",Painel_diario!$J3994=1),EXP(Painel_diario!$L3994),1)-1</f>
        <v/>
      </c>
      <c r="C3998" s="22">
        <f>(1+C3997)*IF(AND(Painel_diario!$H3994="EU_JU",Painel_diario!$J3994=1),EXP(Painel_diario!$L3994),1)-1</f>
        <v/>
      </c>
      <c r="D3998" s="22">
        <f>(1+D3997)*IF(AND(Painel_diario!$H3994="ED_JD",Painel_diario!$J3994=1),EXP(Painel_diario!$L3994),1)-1</f>
        <v/>
      </c>
      <c r="E3998" s="22">
        <f>(1+E3997)*IF(AND(Painel_diario!$H3994="ED_JU",Painel_diario!$J3994=1),EXP(Painel_diario!$L3994),1)-1</f>
        <v/>
      </c>
    </row>
    <row r="3999">
      <c r="A3999" s="25" t="n">
        <v>44720</v>
      </c>
      <c r="B3999" s="22">
        <f>(1+B3998)*IF(AND(Painel_diario!$H3995="EU_JD",Painel_diario!$J3995=1),EXP(Painel_diario!$L3995),1)-1</f>
        <v/>
      </c>
      <c r="C3999" s="22">
        <f>(1+C3998)*IF(AND(Painel_diario!$H3995="EU_JU",Painel_diario!$J3995=1),EXP(Painel_diario!$L3995),1)-1</f>
        <v/>
      </c>
      <c r="D3999" s="22">
        <f>(1+D3998)*IF(AND(Painel_diario!$H3995="ED_JD",Painel_diario!$J3995=1),EXP(Painel_diario!$L3995),1)-1</f>
        <v/>
      </c>
      <c r="E3999" s="22">
        <f>(1+E3998)*IF(AND(Painel_diario!$H3995="ED_JU",Painel_diario!$J3995=1),EXP(Painel_diario!$L3995),1)-1</f>
        <v/>
      </c>
    </row>
    <row r="4000">
      <c r="A4000" s="25" t="n">
        <v>44721</v>
      </c>
      <c r="B4000" s="22">
        <f>(1+B3999)*IF(AND(Painel_diario!$H3996="EU_JD",Painel_diario!$J3996=1),EXP(Painel_diario!$L3996),1)-1</f>
        <v/>
      </c>
      <c r="C4000" s="22">
        <f>(1+C3999)*IF(AND(Painel_diario!$H3996="EU_JU",Painel_diario!$J3996=1),EXP(Painel_diario!$L3996),1)-1</f>
        <v/>
      </c>
      <c r="D4000" s="22">
        <f>(1+D3999)*IF(AND(Painel_diario!$H3996="ED_JD",Painel_diario!$J3996=1),EXP(Painel_diario!$L3996),1)-1</f>
        <v/>
      </c>
      <c r="E4000" s="22">
        <f>(1+E3999)*IF(AND(Painel_diario!$H3996="ED_JU",Painel_diario!$J3996=1),EXP(Painel_diario!$L3996),1)-1</f>
        <v/>
      </c>
    </row>
    <row r="4001">
      <c r="A4001" s="25" t="n">
        <v>44722</v>
      </c>
      <c r="B4001" s="22">
        <f>(1+B4000)*IF(AND(Painel_diario!$H3997="EU_JD",Painel_diario!$J3997=1),EXP(Painel_diario!$L3997),1)-1</f>
        <v/>
      </c>
      <c r="C4001" s="22">
        <f>(1+C4000)*IF(AND(Painel_diario!$H3997="EU_JU",Painel_diario!$J3997=1),EXP(Painel_diario!$L3997),1)-1</f>
        <v/>
      </c>
      <c r="D4001" s="22">
        <f>(1+D4000)*IF(AND(Painel_diario!$H3997="ED_JD",Painel_diario!$J3997=1),EXP(Painel_diario!$L3997),1)-1</f>
        <v/>
      </c>
      <c r="E4001" s="22">
        <f>(1+E4000)*IF(AND(Painel_diario!$H3997="ED_JU",Painel_diario!$J3997=1),EXP(Painel_diario!$L3997),1)-1</f>
        <v/>
      </c>
    </row>
    <row r="4002">
      <c r="A4002" s="25" t="n">
        <v>44725</v>
      </c>
      <c r="B4002" s="22">
        <f>(1+B4001)*IF(AND(Painel_diario!$H3998="EU_JD",Painel_diario!$J3998=1),EXP(Painel_diario!$L3998),1)-1</f>
        <v/>
      </c>
      <c r="C4002" s="22">
        <f>(1+C4001)*IF(AND(Painel_diario!$H3998="EU_JU",Painel_diario!$J3998=1),EXP(Painel_diario!$L3998),1)-1</f>
        <v/>
      </c>
      <c r="D4002" s="22">
        <f>(1+D4001)*IF(AND(Painel_diario!$H3998="ED_JD",Painel_diario!$J3998=1),EXP(Painel_diario!$L3998),1)-1</f>
        <v/>
      </c>
      <c r="E4002" s="22">
        <f>(1+E4001)*IF(AND(Painel_diario!$H3998="ED_JU",Painel_diario!$J3998=1),EXP(Painel_diario!$L3998),1)-1</f>
        <v/>
      </c>
    </row>
    <row r="4003">
      <c r="A4003" s="25" t="n">
        <v>44726</v>
      </c>
      <c r="B4003" s="22">
        <f>(1+B4002)*IF(AND(Painel_diario!$H3999="EU_JD",Painel_diario!$J3999=1),EXP(Painel_diario!$L3999),1)-1</f>
        <v/>
      </c>
      <c r="C4003" s="22">
        <f>(1+C4002)*IF(AND(Painel_diario!$H3999="EU_JU",Painel_diario!$J3999=1),EXP(Painel_diario!$L3999),1)-1</f>
        <v/>
      </c>
      <c r="D4003" s="22">
        <f>(1+D4002)*IF(AND(Painel_diario!$H3999="ED_JD",Painel_diario!$J3999=1),EXP(Painel_diario!$L3999),1)-1</f>
        <v/>
      </c>
      <c r="E4003" s="22">
        <f>(1+E4002)*IF(AND(Painel_diario!$H3999="ED_JU",Painel_diario!$J3999=1),EXP(Painel_diario!$L3999),1)-1</f>
        <v/>
      </c>
    </row>
    <row r="4004">
      <c r="A4004" s="25" t="n">
        <v>44727</v>
      </c>
      <c r="B4004" s="22">
        <f>(1+B4003)*IF(AND(Painel_diario!$H4000="EU_JD",Painel_diario!$J4000=1),EXP(Painel_diario!$L4000),1)-1</f>
        <v/>
      </c>
      <c r="C4004" s="22">
        <f>(1+C4003)*IF(AND(Painel_diario!$H4000="EU_JU",Painel_diario!$J4000=1),EXP(Painel_diario!$L4000),1)-1</f>
        <v/>
      </c>
      <c r="D4004" s="22">
        <f>(1+D4003)*IF(AND(Painel_diario!$H4000="ED_JD",Painel_diario!$J4000=1),EXP(Painel_diario!$L4000),1)-1</f>
        <v/>
      </c>
      <c r="E4004" s="22">
        <f>(1+E4003)*IF(AND(Painel_diario!$H4000="ED_JU",Painel_diario!$J4000=1),EXP(Painel_diario!$L4000),1)-1</f>
        <v/>
      </c>
    </row>
    <row r="4005">
      <c r="A4005" s="25" t="n">
        <v>44729</v>
      </c>
      <c r="B4005" s="22">
        <f>(1+B4004)*IF(AND(Painel_diario!$H4001="EU_JD",Painel_diario!$J4001=1),EXP(Painel_diario!$L4001),1)-1</f>
        <v/>
      </c>
      <c r="C4005" s="22">
        <f>(1+C4004)*IF(AND(Painel_diario!$H4001="EU_JU",Painel_diario!$J4001=1),EXP(Painel_diario!$L4001),1)-1</f>
        <v/>
      </c>
      <c r="D4005" s="22">
        <f>(1+D4004)*IF(AND(Painel_diario!$H4001="ED_JD",Painel_diario!$J4001=1),EXP(Painel_diario!$L4001),1)-1</f>
        <v/>
      </c>
      <c r="E4005" s="22">
        <f>(1+E4004)*IF(AND(Painel_diario!$H4001="ED_JU",Painel_diario!$J4001=1),EXP(Painel_diario!$L4001),1)-1</f>
        <v/>
      </c>
    </row>
    <row r="4006">
      <c r="A4006" s="25" t="n">
        <v>44732</v>
      </c>
      <c r="B4006" s="22">
        <f>(1+B4005)*IF(AND(Painel_diario!$H4002="EU_JD",Painel_diario!$J4002=1),EXP(Painel_diario!$L4002),1)-1</f>
        <v/>
      </c>
      <c r="C4006" s="22">
        <f>(1+C4005)*IF(AND(Painel_diario!$H4002="EU_JU",Painel_diario!$J4002=1),EXP(Painel_diario!$L4002),1)-1</f>
        <v/>
      </c>
      <c r="D4006" s="22">
        <f>(1+D4005)*IF(AND(Painel_diario!$H4002="ED_JD",Painel_diario!$J4002=1),EXP(Painel_diario!$L4002),1)-1</f>
        <v/>
      </c>
      <c r="E4006" s="22">
        <f>(1+E4005)*IF(AND(Painel_diario!$H4002="ED_JU",Painel_diario!$J4002=1),EXP(Painel_diario!$L4002),1)-1</f>
        <v/>
      </c>
    </row>
    <row r="4007">
      <c r="A4007" s="25" t="n">
        <v>44733</v>
      </c>
      <c r="B4007" s="22">
        <f>(1+B4006)*IF(AND(Painel_diario!$H4003="EU_JD",Painel_diario!$J4003=1),EXP(Painel_diario!$L4003),1)-1</f>
        <v/>
      </c>
      <c r="C4007" s="22">
        <f>(1+C4006)*IF(AND(Painel_diario!$H4003="EU_JU",Painel_diario!$J4003=1),EXP(Painel_diario!$L4003),1)-1</f>
        <v/>
      </c>
      <c r="D4007" s="22">
        <f>(1+D4006)*IF(AND(Painel_diario!$H4003="ED_JD",Painel_diario!$J4003=1),EXP(Painel_diario!$L4003),1)-1</f>
        <v/>
      </c>
      <c r="E4007" s="22">
        <f>(1+E4006)*IF(AND(Painel_diario!$H4003="ED_JU",Painel_diario!$J4003=1),EXP(Painel_diario!$L4003),1)-1</f>
        <v/>
      </c>
    </row>
    <row r="4008">
      <c r="A4008" s="25" t="n">
        <v>44734</v>
      </c>
      <c r="B4008" s="22">
        <f>(1+B4007)*IF(AND(Painel_diario!$H4004="EU_JD",Painel_diario!$J4004=1),EXP(Painel_diario!$L4004),1)-1</f>
        <v/>
      </c>
      <c r="C4008" s="22">
        <f>(1+C4007)*IF(AND(Painel_diario!$H4004="EU_JU",Painel_diario!$J4004=1),EXP(Painel_diario!$L4004),1)-1</f>
        <v/>
      </c>
      <c r="D4008" s="22">
        <f>(1+D4007)*IF(AND(Painel_diario!$H4004="ED_JD",Painel_diario!$J4004=1),EXP(Painel_diario!$L4004),1)-1</f>
        <v/>
      </c>
      <c r="E4008" s="22">
        <f>(1+E4007)*IF(AND(Painel_diario!$H4004="ED_JU",Painel_diario!$J4004=1),EXP(Painel_diario!$L4004),1)-1</f>
        <v/>
      </c>
    </row>
    <row r="4009">
      <c r="A4009" s="25" t="n">
        <v>44735</v>
      </c>
      <c r="B4009" s="22">
        <f>(1+B4008)*IF(AND(Painel_diario!$H4005="EU_JD",Painel_diario!$J4005=1),EXP(Painel_diario!$L4005),1)-1</f>
        <v/>
      </c>
      <c r="C4009" s="22">
        <f>(1+C4008)*IF(AND(Painel_diario!$H4005="EU_JU",Painel_diario!$J4005=1),EXP(Painel_diario!$L4005),1)-1</f>
        <v/>
      </c>
      <c r="D4009" s="22">
        <f>(1+D4008)*IF(AND(Painel_diario!$H4005="ED_JD",Painel_diario!$J4005=1),EXP(Painel_diario!$L4005),1)-1</f>
        <v/>
      </c>
      <c r="E4009" s="22">
        <f>(1+E4008)*IF(AND(Painel_diario!$H4005="ED_JU",Painel_diario!$J4005=1),EXP(Painel_diario!$L4005),1)-1</f>
        <v/>
      </c>
    </row>
    <row r="4010">
      <c r="A4010" s="25" t="n">
        <v>44736</v>
      </c>
      <c r="B4010" s="22">
        <f>(1+B4009)*IF(AND(Painel_diario!$H4006="EU_JD",Painel_diario!$J4006=1),EXP(Painel_diario!$L4006),1)-1</f>
        <v/>
      </c>
      <c r="C4010" s="22">
        <f>(1+C4009)*IF(AND(Painel_diario!$H4006="EU_JU",Painel_diario!$J4006=1),EXP(Painel_diario!$L4006),1)-1</f>
        <v/>
      </c>
      <c r="D4010" s="22">
        <f>(1+D4009)*IF(AND(Painel_diario!$H4006="ED_JD",Painel_diario!$J4006=1),EXP(Painel_diario!$L4006),1)-1</f>
        <v/>
      </c>
      <c r="E4010" s="22">
        <f>(1+E4009)*IF(AND(Painel_diario!$H4006="ED_JU",Painel_diario!$J4006=1),EXP(Painel_diario!$L4006),1)-1</f>
        <v/>
      </c>
    </row>
    <row r="4011">
      <c r="A4011" s="25" t="n">
        <v>44739</v>
      </c>
      <c r="B4011" s="22">
        <f>(1+B4010)*IF(AND(Painel_diario!$H4007="EU_JD",Painel_diario!$J4007=1),EXP(Painel_diario!$L4007),1)-1</f>
        <v/>
      </c>
      <c r="C4011" s="22">
        <f>(1+C4010)*IF(AND(Painel_diario!$H4007="EU_JU",Painel_diario!$J4007=1),EXP(Painel_diario!$L4007),1)-1</f>
        <v/>
      </c>
      <c r="D4011" s="22">
        <f>(1+D4010)*IF(AND(Painel_diario!$H4007="ED_JD",Painel_diario!$J4007=1),EXP(Painel_diario!$L4007),1)-1</f>
        <v/>
      </c>
      <c r="E4011" s="22">
        <f>(1+E4010)*IF(AND(Painel_diario!$H4007="ED_JU",Painel_diario!$J4007=1),EXP(Painel_diario!$L4007),1)-1</f>
        <v/>
      </c>
    </row>
    <row r="4012">
      <c r="A4012" s="25" t="n">
        <v>44740</v>
      </c>
      <c r="B4012" s="22">
        <f>(1+B4011)*IF(AND(Painel_diario!$H4008="EU_JD",Painel_diario!$J4008=1),EXP(Painel_diario!$L4008),1)-1</f>
        <v/>
      </c>
      <c r="C4012" s="22">
        <f>(1+C4011)*IF(AND(Painel_diario!$H4008="EU_JU",Painel_diario!$J4008=1),EXP(Painel_diario!$L4008),1)-1</f>
        <v/>
      </c>
      <c r="D4012" s="22">
        <f>(1+D4011)*IF(AND(Painel_diario!$H4008="ED_JD",Painel_diario!$J4008=1),EXP(Painel_diario!$L4008),1)-1</f>
        <v/>
      </c>
      <c r="E4012" s="22">
        <f>(1+E4011)*IF(AND(Painel_diario!$H4008="ED_JU",Painel_diario!$J4008=1),EXP(Painel_diario!$L4008),1)-1</f>
        <v/>
      </c>
    </row>
    <row r="4013">
      <c r="A4013" s="25" t="n">
        <v>44741</v>
      </c>
      <c r="B4013" s="22">
        <f>(1+B4012)*IF(AND(Painel_diario!$H4009="EU_JD",Painel_diario!$J4009=1),EXP(Painel_diario!$L4009),1)-1</f>
        <v/>
      </c>
      <c r="C4013" s="22">
        <f>(1+C4012)*IF(AND(Painel_diario!$H4009="EU_JU",Painel_diario!$J4009=1),EXP(Painel_diario!$L4009),1)-1</f>
        <v/>
      </c>
      <c r="D4013" s="22">
        <f>(1+D4012)*IF(AND(Painel_diario!$H4009="ED_JD",Painel_diario!$J4009=1),EXP(Painel_diario!$L4009),1)-1</f>
        <v/>
      </c>
      <c r="E4013" s="22">
        <f>(1+E4012)*IF(AND(Painel_diario!$H4009="ED_JU",Painel_diario!$J4009=1),EXP(Painel_diario!$L4009),1)-1</f>
        <v/>
      </c>
    </row>
    <row r="4014">
      <c r="A4014" s="25" t="n">
        <v>44742</v>
      </c>
      <c r="B4014" s="22">
        <f>(1+B4013)*IF(AND(Painel_diario!$H4010="EU_JD",Painel_diario!$J4010=1),EXP(Painel_diario!$L4010),1)-1</f>
        <v/>
      </c>
      <c r="C4014" s="22">
        <f>(1+C4013)*IF(AND(Painel_diario!$H4010="EU_JU",Painel_diario!$J4010=1),EXP(Painel_diario!$L4010),1)-1</f>
        <v/>
      </c>
      <c r="D4014" s="22">
        <f>(1+D4013)*IF(AND(Painel_diario!$H4010="ED_JD",Painel_diario!$J4010=1),EXP(Painel_diario!$L4010),1)-1</f>
        <v/>
      </c>
      <c r="E4014" s="22">
        <f>(1+E4013)*IF(AND(Painel_diario!$H4010="ED_JU",Painel_diario!$J4010=1),EXP(Painel_diario!$L4010),1)-1</f>
        <v/>
      </c>
    </row>
    <row r="4015">
      <c r="A4015" s="25" t="n">
        <v>44743</v>
      </c>
      <c r="B4015" s="22">
        <f>(1+B4014)*IF(AND(Painel_diario!$H4011="EU_JD",Painel_diario!$J4011=1),EXP(Painel_diario!$L4011),1)-1</f>
        <v/>
      </c>
      <c r="C4015" s="22">
        <f>(1+C4014)*IF(AND(Painel_diario!$H4011="EU_JU",Painel_diario!$J4011=1),EXP(Painel_diario!$L4011),1)-1</f>
        <v/>
      </c>
      <c r="D4015" s="22">
        <f>(1+D4014)*IF(AND(Painel_diario!$H4011="ED_JD",Painel_diario!$J4011=1),EXP(Painel_diario!$L4011),1)-1</f>
        <v/>
      </c>
      <c r="E4015" s="22">
        <f>(1+E4014)*IF(AND(Painel_diario!$H4011="ED_JU",Painel_diario!$J4011=1),EXP(Painel_diario!$L4011),1)-1</f>
        <v/>
      </c>
    </row>
    <row r="4016">
      <c r="A4016" s="25" t="n">
        <v>44746</v>
      </c>
      <c r="B4016" s="22">
        <f>(1+B4015)*IF(AND(Painel_diario!$H4012="EU_JD",Painel_diario!$J4012=1),EXP(Painel_diario!$L4012),1)-1</f>
        <v/>
      </c>
      <c r="C4016" s="22">
        <f>(1+C4015)*IF(AND(Painel_diario!$H4012="EU_JU",Painel_diario!$J4012=1),EXP(Painel_diario!$L4012),1)-1</f>
        <v/>
      </c>
      <c r="D4016" s="22">
        <f>(1+D4015)*IF(AND(Painel_diario!$H4012="ED_JD",Painel_diario!$J4012=1),EXP(Painel_diario!$L4012),1)-1</f>
        <v/>
      </c>
      <c r="E4016" s="22">
        <f>(1+E4015)*IF(AND(Painel_diario!$H4012="ED_JU",Painel_diario!$J4012=1),EXP(Painel_diario!$L4012),1)-1</f>
        <v/>
      </c>
    </row>
    <row r="4017">
      <c r="A4017" s="25" t="n">
        <v>44747</v>
      </c>
      <c r="B4017" s="22">
        <f>(1+B4016)*IF(AND(Painel_diario!$H4013="EU_JD",Painel_diario!$J4013=1),EXP(Painel_diario!$L4013),1)-1</f>
        <v/>
      </c>
      <c r="C4017" s="22">
        <f>(1+C4016)*IF(AND(Painel_diario!$H4013="EU_JU",Painel_diario!$J4013=1),EXP(Painel_diario!$L4013),1)-1</f>
        <v/>
      </c>
      <c r="D4017" s="22">
        <f>(1+D4016)*IF(AND(Painel_diario!$H4013="ED_JD",Painel_diario!$J4013=1),EXP(Painel_diario!$L4013),1)-1</f>
        <v/>
      </c>
      <c r="E4017" s="22">
        <f>(1+E4016)*IF(AND(Painel_diario!$H4013="ED_JU",Painel_diario!$J4013=1),EXP(Painel_diario!$L4013),1)-1</f>
        <v/>
      </c>
    </row>
    <row r="4018">
      <c r="A4018" s="25" t="n">
        <v>44748</v>
      </c>
      <c r="B4018" s="22">
        <f>(1+B4017)*IF(AND(Painel_diario!$H4014="EU_JD",Painel_diario!$J4014=1),EXP(Painel_diario!$L4014),1)-1</f>
        <v/>
      </c>
      <c r="C4018" s="22">
        <f>(1+C4017)*IF(AND(Painel_diario!$H4014="EU_JU",Painel_diario!$J4014=1),EXP(Painel_diario!$L4014),1)-1</f>
        <v/>
      </c>
      <c r="D4018" s="22">
        <f>(1+D4017)*IF(AND(Painel_diario!$H4014="ED_JD",Painel_diario!$J4014=1),EXP(Painel_diario!$L4014),1)-1</f>
        <v/>
      </c>
      <c r="E4018" s="22">
        <f>(1+E4017)*IF(AND(Painel_diario!$H4014="ED_JU",Painel_diario!$J4014=1),EXP(Painel_diario!$L4014),1)-1</f>
        <v/>
      </c>
    </row>
    <row r="4019">
      <c r="A4019" s="25" t="n">
        <v>44749</v>
      </c>
      <c r="B4019" s="22">
        <f>(1+B4018)*IF(AND(Painel_diario!$H4015="EU_JD",Painel_diario!$J4015=1),EXP(Painel_diario!$L4015),1)-1</f>
        <v/>
      </c>
      <c r="C4019" s="22">
        <f>(1+C4018)*IF(AND(Painel_diario!$H4015="EU_JU",Painel_diario!$J4015=1),EXP(Painel_diario!$L4015),1)-1</f>
        <v/>
      </c>
      <c r="D4019" s="22">
        <f>(1+D4018)*IF(AND(Painel_diario!$H4015="ED_JD",Painel_diario!$J4015=1),EXP(Painel_diario!$L4015),1)-1</f>
        <v/>
      </c>
      <c r="E4019" s="22">
        <f>(1+E4018)*IF(AND(Painel_diario!$H4015="ED_JU",Painel_diario!$J4015=1),EXP(Painel_diario!$L4015),1)-1</f>
        <v/>
      </c>
    </row>
    <row r="4020">
      <c r="A4020" s="25" t="n">
        <v>44750</v>
      </c>
      <c r="B4020" s="22">
        <f>(1+B4019)*IF(AND(Painel_diario!$H4016="EU_JD",Painel_diario!$J4016=1),EXP(Painel_diario!$L4016),1)-1</f>
        <v/>
      </c>
      <c r="C4020" s="22">
        <f>(1+C4019)*IF(AND(Painel_diario!$H4016="EU_JU",Painel_diario!$J4016=1),EXP(Painel_diario!$L4016),1)-1</f>
        <v/>
      </c>
      <c r="D4020" s="22">
        <f>(1+D4019)*IF(AND(Painel_diario!$H4016="ED_JD",Painel_diario!$J4016=1),EXP(Painel_diario!$L4016),1)-1</f>
        <v/>
      </c>
      <c r="E4020" s="22">
        <f>(1+E4019)*IF(AND(Painel_diario!$H4016="ED_JU",Painel_diario!$J4016=1),EXP(Painel_diario!$L4016),1)-1</f>
        <v/>
      </c>
    </row>
    <row r="4021">
      <c r="A4021" s="25" t="n">
        <v>44753</v>
      </c>
      <c r="B4021" s="22">
        <f>(1+B4020)*IF(AND(Painel_diario!$H4017="EU_JD",Painel_diario!$J4017=1),EXP(Painel_diario!$L4017),1)-1</f>
        <v/>
      </c>
      <c r="C4021" s="22">
        <f>(1+C4020)*IF(AND(Painel_diario!$H4017="EU_JU",Painel_diario!$J4017=1),EXP(Painel_diario!$L4017),1)-1</f>
        <v/>
      </c>
      <c r="D4021" s="22">
        <f>(1+D4020)*IF(AND(Painel_diario!$H4017="ED_JD",Painel_diario!$J4017=1),EXP(Painel_diario!$L4017),1)-1</f>
        <v/>
      </c>
      <c r="E4021" s="22">
        <f>(1+E4020)*IF(AND(Painel_diario!$H4017="ED_JU",Painel_diario!$J4017=1),EXP(Painel_diario!$L4017),1)-1</f>
        <v/>
      </c>
    </row>
    <row r="4022">
      <c r="A4022" s="25" t="n">
        <v>44754</v>
      </c>
      <c r="B4022" s="22">
        <f>(1+B4021)*IF(AND(Painel_diario!$H4018="EU_JD",Painel_diario!$J4018=1),EXP(Painel_diario!$L4018),1)-1</f>
        <v/>
      </c>
      <c r="C4022" s="22">
        <f>(1+C4021)*IF(AND(Painel_diario!$H4018="EU_JU",Painel_diario!$J4018=1),EXP(Painel_diario!$L4018),1)-1</f>
        <v/>
      </c>
      <c r="D4022" s="22">
        <f>(1+D4021)*IF(AND(Painel_diario!$H4018="ED_JD",Painel_diario!$J4018=1),EXP(Painel_diario!$L4018),1)-1</f>
        <v/>
      </c>
      <c r="E4022" s="22">
        <f>(1+E4021)*IF(AND(Painel_diario!$H4018="ED_JU",Painel_diario!$J4018=1),EXP(Painel_diario!$L4018),1)-1</f>
        <v/>
      </c>
    </row>
    <row r="4023">
      <c r="A4023" s="25" t="n">
        <v>44755</v>
      </c>
      <c r="B4023" s="22">
        <f>(1+B4022)*IF(AND(Painel_diario!$H4019="EU_JD",Painel_diario!$J4019=1),EXP(Painel_diario!$L4019),1)-1</f>
        <v/>
      </c>
      <c r="C4023" s="22">
        <f>(1+C4022)*IF(AND(Painel_diario!$H4019="EU_JU",Painel_diario!$J4019=1),EXP(Painel_diario!$L4019),1)-1</f>
        <v/>
      </c>
      <c r="D4023" s="22">
        <f>(1+D4022)*IF(AND(Painel_diario!$H4019="ED_JD",Painel_diario!$J4019=1),EXP(Painel_diario!$L4019),1)-1</f>
        <v/>
      </c>
      <c r="E4023" s="22">
        <f>(1+E4022)*IF(AND(Painel_diario!$H4019="ED_JU",Painel_diario!$J4019=1),EXP(Painel_diario!$L4019),1)-1</f>
        <v/>
      </c>
    </row>
    <row r="4024">
      <c r="A4024" s="25" t="n">
        <v>44756</v>
      </c>
      <c r="B4024" s="22">
        <f>(1+B4023)*IF(AND(Painel_diario!$H4020="EU_JD",Painel_diario!$J4020=1),EXP(Painel_diario!$L4020),1)-1</f>
        <v/>
      </c>
      <c r="C4024" s="22">
        <f>(1+C4023)*IF(AND(Painel_diario!$H4020="EU_JU",Painel_diario!$J4020=1),EXP(Painel_diario!$L4020),1)-1</f>
        <v/>
      </c>
      <c r="D4024" s="22">
        <f>(1+D4023)*IF(AND(Painel_diario!$H4020="ED_JD",Painel_diario!$J4020=1),EXP(Painel_diario!$L4020),1)-1</f>
        <v/>
      </c>
      <c r="E4024" s="22">
        <f>(1+E4023)*IF(AND(Painel_diario!$H4020="ED_JU",Painel_diario!$J4020=1),EXP(Painel_diario!$L4020),1)-1</f>
        <v/>
      </c>
    </row>
    <row r="4025">
      <c r="A4025" s="25" t="n">
        <v>44757</v>
      </c>
      <c r="B4025" s="22">
        <f>(1+B4024)*IF(AND(Painel_diario!$H4021="EU_JD",Painel_diario!$J4021=1),EXP(Painel_diario!$L4021),1)-1</f>
        <v/>
      </c>
      <c r="C4025" s="22">
        <f>(1+C4024)*IF(AND(Painel_diario!$H4021="EU_JU",Painel_diario!$J4021=1),EXP(Painel_diario!$L4021),1)-1</f>
        <v/>
      </c>
      <c r="D4025" s="22">
        <f>(1+D4024)*IF(AND(Painel_diario!$H4021="ED_JD",Painel_diario!$J4021=1),EXP(Painel_diario!$L4021),1)-1</f>
        <v/>
      </c>
      <c r="E4025" s="22">
        <f>(1+E4024)*IF(AND(Painel_diario!$H4021="ED_JU",Painel_diario!$J4021=1),EXP(Painel_diario!$L4021),1)-1</f>
        <v/>
      </c>
    </row>
    <row r="4026">
      <c r="A4026" s="25" t="n">
        <v>44760</v>
      </c>
      <c r="B4026" s="22">
        <f>(1+B4025)*IF(AND(Painel_diario!$H4022="EU_JD",Painel_diario!$J4022=1),EXP(Painel_diario!$L4022),1)-1</f>
        <v/>
      </c>
      <c r="C4026" s="22">
        <f>(1+C4025)*IF(AND(Painel_diario!$H4022="EU_JU",Painel_diario!$J4022=1),EXP(Painel_diario!$L4022),1)-1</f>
        <v/>
      </c>
      <c r="D4026" s="22">
        <f>(1+D4025)*IF(AND(Painel_diario!$H4022="ED_JD",Painel_diario!$J4022=1),EXP(Painel_diario!$L4022),1)-1</f>
        <v/>
      </c>
      <c r="E4026" s="22">
        <f>(1+E4025)*IF(AND(Painel_diario!$H4022="ED_JU",Painel_diario!$J4022=1),EXP(Painel_diario!$L4022),1)-1</f>
        <v/>
      </c>
    </row>
    <row r="4027">
      <c r="A4027" s="25" t="n">
        <v>44761</v>
      </c>
      <c r="B4027" s="22">
        <f>(1+B4026)*IF(AND(Painel_diario!$H4023="EU_JD",Painel_diario!$J4023=1),EXP(Painel_diario!$L4023),1)-1</f>
        <v/>
      </c>
      <c r="C4027" s="22">
        <f>(1+C4026)*IF(AND(Painel_diario!$H4023="EU_JU",Painel_diario!$J4023=1),EXP(Painel_diario!$L4023),1)-1</f>
        <v/>
      </c>
      <c r="D4027" s="22">
        <f>(1+D4026)*IF(AND(Painel_diario!$H4023="ED_JD",Painel_diario!$J4023=1),EXP(Painel_diario!$L4023),1)-1</f>
        <v/>
      </c>
      <c r="E4027" s="22">
        <f>(1+E4026)*IF(AND(Painel_diario!$H4023="ED_JU",Painel_diario!$J4023=1),EXP(Painel_diario!$L4023),1)-1</f>
        <v/>
      </c>
    </row>
    <row r="4028">
      <c r="A4028" s="25" t="n">
        <v>44762</v>
      </c>
      <c r="B4028" s="22">
        <f>(1+B4027)*IF(AND(Painel_diario!$H4024="EU_JD",Painel_diario!$J4024=1),EXP(Painel_diario!$L4024),1)-1</f>
        <v/>
      </c>
      <c r="C4028" s="22">
        <f>(1+C4027)*IF(AND(Painel_diario!$H4024="EU_JU",Painel_diario!$J4024=1),EXP(Painel_diario!$L4024),1)-1</f>
        <v/>
      </c>
      <c r="D4028" s="22">
        <f>(1+D4027)*IF(AND(Painel_diario!$H4024="ED_JD",Painel_diario!$J4024=1),EXP(Painel_diario!$L4024),1)-1</f>
        <v/>
      </c>
      <c r="E4028" s="22">
        <f>(1+E4027)*IF(AND(Painel_diario!$H4024="ED_JU",Painel_diario!$J4024=1),EXP(Painel_diario!$L4024),1)-1</f>
        <v/>
      </c>
    </row>
    <row r="4029">
      <c r="A4029" s="25" t="n">
        <v>44763</v>
      </c>
      <c r="B4029" s="22">
        <f>(1+B4028)*IF(AND(Painel_diario!$H4025="EU_JD",Painel_diario!$J4025=1),EXP(Painel_diario!$L4025),1)-1</f>
        <v/>
      </c>
      <c r="C4029" s="22">
        <f>(1+C4028)*IF(AND(Painel_diario!$H4025="EU_JU",Painel_diario!$J4025=1),EXP(Painel_diario!$L4025),1)-1</f>
        <v/>
      </c>
      <c r="D4029" s="22">
        <f>(1+D4028)*IF(AND(Painel_diario!$H4025="ED_JD",Painel_diario!$J4025=1),EXP(Painel_diario!$L4025),1)-1</f>
        <v/>
      </c>
      <c r="E4029" s="22">
        <f>(1+E4028)*IF(AND(Painel_diario!$H4025="ED_JU",Painel_diario!$J4025=1),EXP(Painel_diario!$L4025),1)-1</f>
        <v/>
      </c>
    </row>
    <row r="4030">
      <c r="A4030" s="25" t="n">
        <v>44764</v>
      </c>
      <c r="B4030" s="22">
        <f>(1+B4029)*IF(AND(Painel_diario!$H4026="EU_JD",Painel_diario!$J4026=1),EXP(Painel_diario!$L4026),1)-1</f>
        <v/>
      </c>
      <c r="C4030" s="22">
        <f>(1+C4029)*IF(AND(Painel_diario!$H4026="EU_JU",Painel_diario!$J4026=1),EXP(Painel_diario!$L4026),1)-1</f>
        <v/>
      </c>
      <c r="D4030" s="22">
        <f>(1+D4029)*IF(AND(Painel_diario!$H4026="ED_JD",Painel_diario!$J4026=1),EXP(Painel_diario!$L4026),1)-1</f>
        <v/>
      </c>
      <c r="E4030" s="22">
        <f>(1+E4029)*IF(AND(Painel_diario!$H4026="ED_JU",Painel_diario!$J4026=1),EXP(Painel_diario!$L4026),1)-1</f>
        <v/>
      </c>
    </row>
    <row r="4031">
      <c r="A4031" s="25" t="n">
        <v>44767</v>
      </c>
      <c r="B4031" s="22">
        <f>(1+B4030)*IF(AND(Painel_diario!$H4027="EU_JD",Painel_diario!$J4027=1),EXP(Painel_diario!$L4027),1)-1</f>
        <v/>
      </c>
      <c r="C4031" s="22">
        <f>(1+C4030)*IF(AND(Painel_diario!$H4027="EU_JU",Painel_diario!$J4027=1),EXP(Painel_diario!$L4027),1)-1</f>
        <v/>
      </c>
      <c r="D4031" s="22">
        <f>(1+D4030)*IF(AND(Painel_diario!$H4027="ED_JD",Painel_diario!$J4027=1),EXP(Painel_diario!$L4027),1)-1</f>
        <v/>
      </c>
      <c r="E4031" s="22">
        <f>(1+E4030)*IF(AND(Painel_diario!$H4027="ED_JU",Painel_diario!$J4027=1),EXP(Painel_diario!$L4027),1)-1</f>
        <v/>
      </c>
    </row>
    <row r="4032">
      <c r="A4032" s="25" t="n">
        <v>44768</v>
      </c>
      <c r="B4032" s="22">
        <f>(1+B4031)*IF(AND(Painel_diario!$H4028="EU_JD",Painel_diario!$J4028=1),EXP(Painel_diario!$L4028),1)-1</f>
        <v/>
      </c>
      <c r="C4032" s="22">
        <f>(1+C4031)*IF(AND(Painel_diario!$H4028="EU_JU",Painel_diario!$J4028=1),EXP(Painel_diario!$L4028),1)-1</f>
        <v/>
      </c>
      <c r="D4032" s="22">
        <f>(1+D4031)*IF(AND(Painel_diario!$H4028="ED_JD",Painel_diario!$J4028=1),EXP(Painel_diario!$L4028),1)-1</f>
        <v/>
      </c>
      <c r="E4032" s="22">
        <f>(1+E4031)*IF(AND(Painel_diario!$H4028="ED_JU",Painel_diario!$J4028=1),EXP(Painel_diario!$L4028),1)-1</f>
        <v/>
      </c>
    </row>
    <row r="4033">
      <c r="A4033" s="25" t="n">
        <v>44769</v>
      </c>
      <c r="B4033" s="22">
        <f>(1+B4032)*IF(AND(Painel_diario!$H4029="EU_JD",Painel_diario!$J4029=1),EXP(Painel_diario!$L4029),1)-1</f>
        <v/>
      </c>
      <c r="C4033" s="22">
        <f>(1+C4032)*IF(AND(Painel_diario!$H4029="EU_JU",Painel_diario!$J4029=1),EXP(Painel_diario!$L4029),1)-1</f>
        <v/>
      </c>
      <c r="D4033" s="22">
        <f>(1+D4032)*IF(AND(Painel_diario!$H4029="ED_JD",Painel_diario!$J4029=1),EXP(Painel_diario!$L4029),1)-1</f>
        <v/>
      </c>
      <c r="E4033" s="22">
        <f>(1+E4032)*IF(AND(Painel_diario!$H4029="ED_JU",Painel_diario!$J4029=1),EXP(Painel_diario!$L4029),1)-1</f>
        <v/>
      </c>
    </row>
    <row r="4034">
      <c r="A4034" s="25" t="n">
        <v>44770</v>
      </c>
      <c r="B4034" s="22">
        <f>(1+B4033)*IF(AND(Painel_diario!$H4030="EU_JD",Painel_diario!$J4030=1),EXP(Painel_diario!$L4030),1)-1</f>
        <v/>
      </c>
      <c r="C4034" s="22">
        <f>(1+C4033)*IF(AND(Painel_diario!$H4030="EU_JU",Painel_diario!$J4030=1),EXP(Painel_diario!$L4030),1)-1</f>
        <v/>
      </c>
      <c r="D4034" s="22">
        <f>(1+D4033)*IF(AND(Painel_diario!$H4030="ED_JD",Painel_diario!$J4030=1),EXP(Painel_diario!$L4030),1)-1</f>
        <v/>
      </c>
      <c r="E4034" s="22">
        <f>(1+E4033)*IF(AND(Painel_diario!$H4030="ED_JU",Painel_diario!$J4030=1),EXP(Painel_diario!$L4030),1)-1</f>
        <v/>
      </c>
    </row>
    <row r="4035">
      <c r="A4035" s="25" t="n">
        <v>44771</v>
      </c>
      <c r="B4035" s="22">
        <f>(1+B4034)*IF(AND(Painel_diario!$H4031="EU_JD",Painel_diario!$J4031=1),EXP(Painel_diario!$L4031),1)-1</f>
        <v/>
      </c>
      <c r="C4035" s="22">
        <f>(1+C4034)*IF(AND(Painel_diario!$H4031="EU_JU",Painel_diario!$J4031=1),EXP(Painel_diario!$L4031),1)-1</f>
        <v/>
      </c>
      <c r="D4035" s="22">
        <f>(1+D4034)*IF(AND(Painel_diario!$H4031="ED_JD",Painel_diario!$J4031=1),EXP(Painel_diario!$L4031),1)-1</f>
        <v/>
      </c>
      <c r="E4035" s="22">
        <f>(1+E4034)*IF(AND(Painel_diario!$H4031="ED_JU",Painel_diario!$J4031=1),EXP(Painel_diario!$L4031),1)-1</f>
        <v/>
      </c>
    </row>
    <row r="4036">
      <c r="A4036" s="25" t="n">
        <v>44774</v>
      </c>
      <c r="B4036" s="22">
        <f>(1+B4035)*IF(AND(Painel_diario!$H4032="EU_JD",Painel_diario!$J4032=1),EXP(Painel_diario!$L4032),1)-1</f>
        <v/>
      </c>
      <c r="C4036" s="22">
        <f>(1+C4035)*IF(AND(Painel_diario!$H4032="EU_JU",Painel_diario!$J4032=1),EXP(Painel_diario!$L4032),1)-1</f>
        <v/>
      </c>
      <c r="D4036" s="22">
        <f>(1+D4035)*IF(AND(Painel_diario!$H4032="ED_JD",Painel_diario!$J4032=1),EXP(Painel_diario!$L4032),1)-1</f>
        <v/>
      </c>
      <c r="E4036" s="22">
        <f>(1+E4035)*IF(AND(Painel_diario!$H4032="ED_JU",Painel_diario!$J4032=1),EXP(Painel_diario!$L4032),1)-1</f>
        <v/>
      </c>
    </row>
    <row r="4037">
      <c r="A4037" s="25" t="n">
        <v>44775</v>
      </c>
      <c r="B4037" s="22">
        <f>(1+B4036)*IF(AND(Painel_diario!$H4033="EU_JD",Painel_diario!$J4033=1),EXP(Painel_diario!$L4033),1)-1</f>
        <v/>
      </c>
      <c r="C4037" s="22">
        <f>(1+C4036)*IF(AND(Painel_diario!$H4033="EU_JU",Painel_diario!$J4033=1),EXP(Painel_diario!$L4033),1)-1</f>
        <v/>
      </c>
      <c r="D4037" s="22">
        <f>(1+D4036)*IF(AND(Painel_diario!$H4033="ED_JD",Painel_diario!$J4033=1),EXP(Painel_diario!$L4033),1)-1</f>
        <v/>
      </c>
      <c r="E4037" s="22">
        <f>(1+E4036)*IF(AND(Painel_diario!$H4033="ED_JU",Painel_diario!$J4033=1),EXP(Painel_diario!$L4033),1)-1</f>
        <v/>
      </c>
    </row>
    <row r="4038">
      <c r="A4038" s="25" t="n">
        <v>44776</v>
      </c>
      <c r="B4038" s="22">
        <f>(1+B4037)*IF(AND(Painel_diario!$H4034="EU_JD",Painel_diario!$J4034=1),EXP(Painel_diario!$L4034),1)-1</f>
        <v/>
      </c>
      <c r="C4038" s="22">
        <f>(1+C4037)*IF(AND(Painel_diario!$H4034="EU_JU",Painel_diario!$J4034=1),EXP(Painel_diario!$L4034),1)-1</f>
        <v/>
      </c>
      <c r="D4038" s="22">
        <f>(1+D4037)*IF(AND(Painel_diario!$H4034="ED_JD",Painel_diario!$J4034=1),EXP(Painel_diario!$L4034),1)-1</f>
        <v/>
      </c>
      <c r="E4038" s="22">
        <f>(1+E4037)*IF(AND(Painel_diario!$H4034="ED_JU",Painel_diario!$J4034=1),EXP(Painel_diario!$L4034),1)-1</f>
        <v/>
      </c>
    </row>
    <row r="4039">
      <c r="A4039" s="25" t="n">
        <v>44777</v>
      </c>
      <c r="B4039" s="22">
        <f>(1+B4038)*IF(AND(Painel_diario!$H4035="EU_JD",Painel_diario!$J4035=1),EXP(Painel_diario!$L4035),1)-1</f>
        <v/>
      </c>
      <c r="C4039" s="22">
        <f>(1+C4038)*IF(AND(Painel_diario!$H4035="EU_JU",Painel_diario!$J4035=1),EXP(Painel_diario!$L4035),1)-1</f>
        <v/>
      </c>
      <c r="D4039" s="22">
        <f>(1+D4038)*IF(AND(Painel_diario!$H4035="ED_JD",Painel_diario!$J4035=1),EXP(Painel_diario!$L4035),1)-1</f>
        <v/>
      </c>
      <c r="E4039" s="22">
        <f>(1+E4038)*IF(AND(Painel_diario!$H4035="ED_JU",Painel_diario!$J4035=1),EXP(Painel_diario!$L4035),1)-1</f>
        <v/>
      </c>
    </row>
    <row r="4040">
      <c r="A4040" s="25" t="n">
        <v>44778</v>
      </c>
      <c r="B4040" s="22">
        <f>(1+B4039)*IF(AND(Painel_diario!$H4036="EU_JD",Painel_diario!$J4036=1),EXP(Painel_diario!$L4036),1)-1</f>
        <v/>
      </c>
      <c r="C4040" s="22">
        <f>(1+C4039)*IF(AND(Painel_diario!$H4036="EU_JU",Painel_diario!$J4036=1),EXP(Painel_diario!$L4036),1)-1</f>
        <v/>
      </c>
      <c r="D4040" s="22">
        <f>(1+D4039)*IF(AND(Painel_diario!$H4036="ED_JD",Painel_diario!$J4036=1),EXP(Painel_diario!$L4036),1)-1</f>
        <v/>
      </c>
      <c r="E4040" s="22">
        <f>(1+E4039)*IF(AND(Painel_diario!$H4036="ED_JU",Painel_diario!$J4036=1),EXP(Painel_diario!$L4036),1)-1</f>
        <v/>
      </c>
    </row>
    <row r="4041">
      <c r="A4041" s="25" t="n">
        <v>44781</v>
      </c>
      <c r="B4041" s="22">
        <f>(1+B4040)*IF(AND(Painel_diario!$H4037="EU_JD",Painel_diario!$J4037=1),EXP(Painel_diario!$L4037),1)-1</f>
        <v/>
      </c>
      <c r="C4041" s="22">
        <f>(1+C4040)*IF(AND(Painel_diario!$H4037="EU_JU",Painel_diario!$J4037=1),EXP(Painel_diario!$L4037),1)-1</f>
        <v/>
      </c>
      <c r="D4041" s="22">
        <f>(1+D4040)*IF(AND(Painel_diario!$H4037="ED_JD",Painel_diario!$J4037=1),EXP(Painel_diario!$L4037),1)-1</f>
        <v/>
      </c>
      <c r="E4041" s="22">
        <f>(1+E4040)*IF(AND(Painel_diario!$H4037="ED_JU",Painel_diario!$J4037=1),EXP(Painel_diario!$L4037),1)-1</f>
        <v/>
      </c>
    </row>
    <row r="4042">
      <c r="A4042" s="25" t="n">
        <v>44782</v>
      </c>
      <c r="B4042" s="22">
        <f>(1+B4041)*IF(AND(Painel_diario!$H4038="EU_JD",Painel_diario!$J4038=1),EXP(Painel_diario!$L4038),1)-1</f>
        <v/>
      </c>
      <c r="C4042" s="22">
        <f>(1+C4041)*IF(AND(Painel_diario!$H4038="EU_JU",Painel_diario!$J4038=1),EXP(Painel_diario!$L4038),1)-1</f>
        <v/>
      </c>
      <c r="D4042" s="22">
        <f>(1+D4041)*IF(AND(Painel_diario!$H4038="ED_JD",Painel_diario!$J4038=1),EXP(Painel_diario!$L4038),1)-1</f>
        <v/>
      </c>
      <c r="E4042" s="22">
        <f>(1+E4041)*IF(AND(Painel_diario!$H4038="ED_JU",Painel_diario!$J4038=1),EXP(Painel_diario!$L4038),1)-1</f>
        <v/>
      </c>
    </row>
    <row r="4043">
      <c r="A4043" s="25" t="n">
        <v>44783</v>
      </c>
      <c r="B4043" s="22">
        <f>(1+B4042)*IF(AND(Painel_diario!$H4039="EU_JD",Painel_diario!$J4039=1),EXP(Painel_diario!$L4039),1)-1</f>
        <v/>
      </c>
      <c r="C4043" s="22">
        <f>(1+C4042)*IF(AND(Painel_diario!$H4039="EU_JU",Painel_diario!$J4039=1),EXP(Painel_diario!$L4039),1)-1</f>
        <v/>
      </c>
      <c r="D4043" s="22">
        <f>(1+D4042)*IF(AND(Painel_diario!$H4039="ED_JD",Painel_diario!$J4039=1),EXP(Painel_diario!$L4039),1)-1</f>
        <v/>
      </c>
      <c r="E4043" s="22">
        <f>(1+E4042)*IF(AND(Painel_diario!$H4039="ED_JU",Painel_diario!$J4039=1),EXP(Painel_diario!$L4039),1)-1</f>
        <v/>
      </c>
    </row>
    <row r="4044">
      <c r="A4044" s="25" t="n">
        <v>44784</v>
      </c>
      <c r="B4044" s="22">
        <f>(1+B4043)*IF(AND(Painel_diario!$H4040="EU_JD",Painel_diario!$J4040=1),EXP(Painel_diario!$L4040),1)-1</f>
        <v/>
      </c>
      <c r="C4044" s="22">
        <f>(1+C4043)*IF(AND(Painel_diario!$H4040="EU_JU",Painel_diario!$J4040=1),EXP(Painel_diario!$L4040),1)-1</f>
        <v/>
      </c>
      <c r="D4044" s="22">
        <f>(1+D4043)*IF(AND(Painel_diario!$H4040="ED_JD",Painel_diario!$J4040=1),EXP(Painel_diario!$L4040),1)-1</f>
        <v/>
      </c>
      <c r="E4044" s="22">
        <f>(1+E4043)*IF(AND(Painel_diario!$H4040="ED_JU",Painel_diario!$J4040=1),EXP(Painel_diario!$L4040),1)-1</f>
        <v/>
      </c>
    </row>
    <row r="4045">
      <c r="A4045" s="25" t="n">
        <v>44785</v>
      </c>
      <c r="B4045" s="22">
        <f>(1+B4044)*IF(AND(Painel_diario!$H4041="EU_JD",Painel_diario!$J4041=1),EXP(Painel_diario!$L4041),1)-1</f>
        <v/>
      </c>
      <c r="C4045" s="22">
        <f>(1+C4044)*IF(AND(Painel_diario!$H4041="EU_JU",Painel_diario!$J4041=1),EXP(Painel_diario!$L4041),1)-1</f>
        <v/>
      </c>
      <c r="D4045" s="22">
        <f>(1+D4044)*IF(AND(Painel_diario!$H4041="ED_JD",Painel_diario!$J4041=1),EXP(Painel_diario!$L4041),1)-1</f>
        <v/>
      </c>
      <c r="E4045" s="22">
        <f>(1+E4044)*IF(AND(Painel_diario!$H4041="ED_JU",Painel_diario!$J4041=1),EXP(Painel_diario!$L4041),1)-1</f>
        <v/>
      </c>
    </row>
    <row r="4046">
      <c r="A4046" s="25" t="n">
        <v>44788</v>
      </c>
      <c r="B4046" s="22">
        <f>(1+B4045)*IF(AND(Painel_diario!$H4042="EU_JD",Painel_diario!$J4042=1),EXP(Painel_diario!$L4042),1)-1</f>
        <v/>
      </c>
      <c r="C4046" s="22">
        <f>(1+C4045)*IF(AND(Painel_diario!$H4042="EU_JU",Painel_diario!$J4042=1),EXP(Painel_diario!$L4042),1)-1</f>
        <v/>
      </c>
      <c r="D4046" s="22">
        <f>(1+D4045)*IF(AND(Painel_diario!$H4042="ED_JD",Painel_diario!$J4042=1),EXP(Painel_diario!$L4042),1)-1</f>
        <v/>
      </c>
      <c r="E4046" s="22">
        <f>(1+E4045)*IF(AND(Painel_diario!$H4042="ED_JU",Painel_diario!$J4042=1),EXP(Painel_diario!$L4042),1)-1</f>
        <v/>
      </c>
    </row>
    <row r="4047">
      <c r="A4047" s="25" t="n">
        <v>44789</v>
      </c>
      <c r="B4047" s="22">
        <f>(1+B4046)*IF(AND(Painel_diario!$H4043="EU_JD",Painel_diario!$J4043=1),EXP(Painel_diario!$L4043),1)-1</f>
        <v/>
      </c>
      <c r="C4047" s="22">
        <f>(1+C4046)*IF(AND(Painel_diario!$H4043="EU_JU",Painel_diario!$J4043=1),EXP(Painel_diario!$L4043),1)-1</f>
        <v/>
      </c>
      <c r="D4047" s="22">
        <f>(1+D4046)*IF(AND(Painel_diario!$H4043="ED_JD",Painel_diario!$J4043=1),EXP(Painel_diario!$L4043),1)-1</f>
        <v/>
      </c>
      <c r="E4047" s="22">
        <f>(1+E4046)*IF(AND(Painel_diario!$H4043="ED_JU",Painel_diario!$J4043=1),EXP(Painel_diario!$L4043),1)-1</f>
        <v/>
      </c>
    </row>
    <row r="4048">
      <c r="A4048" s="25" t="n">
        <v>44790</v>
      </c>
      <c r="B4048" s="22">
        <f>(1+B4047)*IF(AND(Painel_diario!$H4044="EU_JD",Painel_diario!$J4044=1),EXP(Painel_diario!$L4044),1)-1</f>
        <v/>
      </c>
      <c r="C4048" s="22">
        <f>(1+C4047)*IF(AND(Painel_diario!$H4044="EU_JU",Painel_diario!$J4044=1),EXP(Painel_diario!$L4044),1)-1</f>
        <v/>
      </c>
      <c r="D4048" s="22">
        <f>(1+D4047)*IF(AND(Painel_diario!$H4044="ED_JD",Painel_diario!$J4044=1),EXP(Painel_diario!$L4044),1)-1</f>
        <v/>
      </c>
      <c r="E4048" s="22">
        <f>(1+E4047)*IF(AND(Painel_diario!$H4044="ED_JU",Painel_diario!$J4044=1),EXP(Painel_diario!$L4044),1)-1</f>
        <v/>
      </c>
    </row>
    <row r="4049">
      <c r="A4049" s="25" t="n">
        <v>44791</v>
      </c>
      <c r="B4049" s="22">
        <f>(1+B4048)*IF(AND(Painel_diario!$H4045="EU_JD",Painel_diario!$J4045=1),EXP(Painel_diario!$L4045),1)-1</f>
        <v/>
      </c>
      <c r="C4049" s="22">
        <f>(1+C4048)*IF(AND(Painel_diario!$H4045="EU_JU",Painel_diario!$J4045=1),EXP(Painel_diario!$L4045),1)-1</f>
        <v/>
      </c>
      <c r="D4049" s="22">
        <f>(1+D4048)*IF(AND(Painel_diario!$H4045="ED_JD",Painel_diario!$J4045=1),EXP(Painel_diario!$L4045),1)-1</f>
        <v/>
      </c>
      <c r="E4049" s="22">
        <f>(1+E4048)*IF(AND(Painel_diario!$H4045="ED_JU",Painel_diario!$J4045=1),EXP(Painel_diario!$L4045),1)-1</f>
        <v/>
      </c>
    </row>
    <row r="4050">
      <c r="A4050" s="25" t="n">
        <v>44792</v>
      </c>
      <c r="B4050" s="22">
        <f>(1+B4049)*IF(AND(Painel_diario!$H4046="EU_JD",Painel_diario!$J4046=1),EXP(Painel_diario!$L4046),1)-1</f>
        <v/>
      </c>
      <c r="C4050" s="22">
        <f>(1+C4049)*IF(AND(Painel_diario!$H4046="EU_JU",Painel_diario!$J4046=1),EXP(Painel_diario!$L4046),1)-1</f>
        <v/>
      </c>
      <c r="D4050" s="22">
        <f>(1+D4049)*IF(AND(Painel_diario!$H4046="ED_JD",Painel_diario!$J4046=1),EXP(Painel_diario!$L4046),1)-1</f>
        <v/>
      </c>
      <c r="E4050" s="22">
        <f>(1+E4049)*IF(AND(Painel_diario!$H4046="ED_JU",Painel_diario!$J4046=1),EXP(Painel_diario!$L4046),1)-1</f>
        <v/>
      </c>
    </row>
    <row r="4051">
      <c r="A4051" s="25" t="n">
        <v>44795</v>
      </c>
      <c r="B4051" s="22">
        <f>(1+B4050)*IF(AND(Painel_diario!$H4047="EU_JD",Painel_diario!$J4047=1),EXP(Painel_diario!$L4047),1)-1</f>
        <v/>
      </c>
      <c r="C4051" s="22">
        <f>(1+C4050)*IF(AND(Painel_diario!$H4047="EU_JU",Painel_diario!$J4047=1),EXP(Painel_diario!$L4047),1)-1</f>
        <v/>
      </c>
      <c r="D4051" s="22">
        <f>(1+D4050)*IF(AND(Painel_diario!$H4047="ED_JD",Painel_diario!$J4047=1),EXP(Painel_diario!$L4047),1)-1</f>
        <v/>
      </c>
      <c r="E4051" s="22">
        <f>(1+E4050)*IF(AND(Painel_diario!$H4047="ED_JU",Painel_diario!$J4047=1),EXP(Painel_diario!$L4047),1)-1</f>
        <v/>
      </c>
    </row>
    <row r="4052">
      <c r="A4052" s="25" t="n">
        <v>44796</v>
      </c>
      <c r="B4052" s="22">
        <f>(1+B4051)*IF(AND(Painel_diario!$H4048="EU_JD",Painel_diario!$J4048=1),EXP(Painel_diario!$L4048),1)-1</f>
        <v/>
      </c>
      <c r="C4052" s="22">
        <f>(1+C4051)*IF(AND(Painel_diario!$H4048="EU_JU",Painel_diario!$J4048=1),EXP(Painel_diario!$L4048),1)-1</f>
        <v/>
      </c>
      <c r="D4052" s="22">
        <f>(1+D4051)*IF(AND(Painel_diario!$H4048="ED_JD",Painel_diario!$J4048=1),EXP(Painel_diario!$L4048),1)-1</f>
        <v/>
      </c>
      <c r="E4052" s="22">
        <f>(1+E4051)*IF(AND(Painel_diario!$H4048="ED_JU",Painel_diario!$J4048=1),EXP(Painel_diario!$L4048),1)-1</f>
        <v/>
      </c>
    </row>
    <row r="4053">
      <c r="A4053" s="25" t="n">
        <v>44797</v>
      </c>
      <c r="B4053" s="22">
        <f>(1+B4052)*IF(AND(Painel_diario!$H4049="EU_JD",Painel_diario!$J4049=1),EXP(Painel_diario!$L4049),1)-1</f>
        <v/>
      </c>
      <c r="C4053" s="22">
        <f>(1+C4052)*IF(AND(Painel_diario!$H4049="EU_JU",Painel_diario!$J4049=1),EXP(Painel_diario!$L4049),1)-1</f>
        <v/>
      </c>
      <c r="D4053" s="22">
        <f>(1+D4052)*IF(AND(Painel_diario!$H4049="ED_JD",Painel_diario!$J4049=1),EXP(Painel_diario!$L4049),1)-1</f>
        <v/>
      </c>
      <c r="E4053" s="22">
        <f>(1+E4052)*IF(AND(Painel_diario!$H4049="ED_JU",Painel_diario!$J4049=1),EXP(Painel_diario!$L4049),1)-1</f>
        <v/>
      </c>
    </row>
    <row r="4054">
      <c r="A4054" s="25" t="n">
        <v>44798</v>
      </c>
      <c r="B4054" s="22">
        <f>(1+B4053)*IF(AND(Painel_diario!$H4050="EU_JD",Painel_diario!$J4050=1),EXP(Painel_diario!$L4050),1)-1</f>
        <v/>
      </c>
      <c r="C4054" s="22">
        <f>(1+C4053)*IF(AND(Painel_diario!$H4050="EU_JU",Painel_diario!$J4050=1),EXP(Painel_diario!$L4050),1)-1</f>
        <v/>
      </c>
      <c r="D4054" s="22">
        <f>(1+D4053)*IF(AND(Painel_diario!$H4050="ED_JD",Painel_diario!$J4050=1),EXP(Painel_diario!$L4050),1)-1</f>
        <v/>
      </c>
      <c r="E4054" s="22">
        <f>(1+E4053)*IF(AND(Painel_diario!$H4050="ED_JU",Painel_diario!$J4050=1),EXP(Painel_diario!$L4050),1)-1</f>
        <v/>
      </c>
    </row>
    <row r="4055">
      <c r="A4055" s="25" t="n">
        <v>44799</v>
      </c>
      <c r="B4055" s="22">
        <f>(1+B4054)*IF(AND(Painel_diario!$H4051="EU_JD",Painel_diario!$J4051=1),EXP(Painel_diario!$L4051),1)-1</f>
        <v/>
      </c>
      <c r="C4055" s="22">
        <f>(1+C4054)*IF(AND(Painel_diario!$H4051="EU_JU",Painel_diario!$J4051=1),EXP(Painel_diario!$L4051),1)-1</f>
        <v/>
      </c>
      <c r="D4055" s="22">
        <f>(1+D4054)*IF(AND(Painel_diario!$H4051="ED_JD",Painel_diario!$J4051=1),EXP(Painel_diario!$L4051),1)-1</f>
        <v/>
      </c>
      <c r="E4055" s="22">
        <f>(1+E4054)*IF(AND(Painel_diario!$H4051="ED_JU",Painel_diario!$J4051=1),EXP(Painel_diario!$L4051),1)-1</f>
        <v/>
      </c>
    </row>
    <row r="4056">
      <c r="A4056" s="25" t="n">
        <v>44802</v>
      </c>
      <c r="B4056" s="22">
        <f>(1+B4055)*IF(AND(Painel_diario!$H4052="EU_JD",Painel_diario!$J4052=1),EXP(Painel_diario!$L4052),1)-1</f>
        <v/>
      </c>
      <c r="C4056" s="22">
        <f>(1+C4055)*IF(AND(Painel_diario!$H4052="EU_JU",Painel_diario!$J4052=1),EXP(Painel_diario!$L4052),1)-1</f>
        <v/>
      </c>
      <c r="D4056" s="22">
        <f>(1+D4055)*IF(AND(Painel_diario!$H4052="ED_JD",Painel_diario!$J4052=1),EXP(Painel_diario!$L4052),1)-1</f>
        <v/>
      </c>
      <c r="E4056" s="22">
        <f>(1+E4055)*IF(AND(Painel_diario!$H4052="ED_JU",Painel_diario!$J4052=1),EXP(Painel_diario!$L4052),1)-1</f>
        <v/>
      </c>
    </row>
    <row r="4057">
      <c r="A4057" s="25" t="n">
        <v>44803</v>
      </c>
      <c r="B4057" s="22">
        <f>(1+B4056)*IF(AND(Painel_diario!$H4053="EU_JD",Painel_diario!$J4053=1),EXP(Painel_diario!$L4053),1)-1</f>
        <v/>
      </c>
      <c r="C4057" s="22">
        <f>(1+C4056)*IF(AND(Painel_diario!$H4053="EU_JU",Painel_diario!$J4053=1),EXP(Painel_diario!$L4053),1)-1</f>
        <v/>
      </c>
      <c r="D4057" s="22">
        <f>(1+D4056)*IF(AND(Painel_diario!$H4053="ED_JD",Painel_diario!$J4053=1),EXP(Painel_diario!$L4053),1)-1</f>
        <v/>
      </c>
      <c r="E4057" s="22">
        <f>(1+E4056)*IF(AND(Painel_diario!$H4053="ED_JU",Painel_diario!$J4053=1),EXP(Painel_diario!$L4053),1)-1</f>
        <v/>
      </c>
    </row>
    <row r="4058">
      <c r="A4058" s="25" t="n">
        <v>44804</v>
      </c>
      <c r="B4058" s="22">
        <f>(1+B4057)*IF(AND(Painel_diario!$H4054="EU_JD",Painel_diario!$J4054=1),EXP(Painel_diario!$L4054),1)-1</f>
        <v/>
      </c>
      <c r="C4058" s="22">
        <f>(1+C4057)*IF(AND(Painel_diario!$H4054="EU_JU",Painel_diario!$J4054=1),EXP(Painel_diario!$L4054),1)-1</f>
        <v/>
      </c>
      <c r="D4058" s="22">
        <f>(1+D4057)*IF(AND(Painel_diario!$H4054="ED_JD",Painel_diario!$J4054=1),EXP(Painel_diario!$L4054),1)-1</f>
        <v/>
      </c>
      <c r="E4058" s="22">
        <f>(1+E4057)*IF(AND(Painel_diario!$H4054="ED_JU",Painel_diario!$J4054=1),EXP(Painel_diario!$L4054),1)-1</f>
        <v/>
      </c>
    </row>
    <row r="4059">
      <c r="A4059" s="25" t="n">
        <v>44805</v>
      </c>
      <c r="B4059" s="22">
        <f>(1+B4058)*IF(AND(Painel_diario!$H4055="EU_JD",Painel_diario!$J4055=1),EXP(Painel_diario!$L4055),1)-1</f>
        <v/>
      </c>
      <c r="C4059" s="22">
        <f>(1+C4058)*IF(AND(Painel_diario!$H4055="EU_JU",Painel_diario!$J4055=1),EXP(Painel_diario!$L4055),1)-1</f>
        <v/>
      </c>
      <c r="D4059" s="22">
        <f>(1+D4058)*IF(AND(Painel_diario!$H4055="ED_JD",Painel_diario!$J4055=1),EXP(Painel_diario!$L4055),1)-1</f>
        <v/>
      </c>
      <c r="E4059" s="22">
        <f>(1+E4058)*IF(AND(Painel_diario!$H4055="ED_JU",Painel_diario!$J4055=1),EXP(Painel_diario!$L4055),1)-1</f>
        <v/>
      </c>
    </row>
    <row r="4060">
      <c r="A4060" s="25" t="n">
        <v>44806</v>
      </c>
      <c r="B4060" s="22">
        <f>(1+B4059)*IF(AND(Painel_diario!$H4056="EU_JD",Painel_diario!$J4056=1),EXP(Painel_diario!$L4056),1)-1</f>
        <v/>
      </c>
      <c r="C4060" s="22">
        <f>(1+C4059)*IF(AND(Painel_diario!$H4056="EU_JU",Painel_diario!$J4056=1),EXP(Painel_diario!$L4056),1)-1</f>
        <v/>
      </c>
      <c r="D4060" s="22">
        <f>(1+D4059)*IF(AND(Painel_diario!$H4056="ED_JD",Painel_diario!$J4056=1),EXP(Painel_diario!$L4056),1)-1</f>
        <v/>
      </c>
      <c r="E4060" s="22">
        <f>(1+E4059)*IF(AND(Painel_diario!$H4056="ED_JU",Painel_diario!$J4056=1),EXP(Painel_diario!$L4056),1)-1</f>
        <v/>
      </c>
    </row>
    <row r="4061">
      <c r="A4061" s="25" t="n">
        <v>44809</v>
      </c>
      <c r="B4061" s="22">
        <f>(1+B4060)*IF(AND(Painel_diario!$H4057="EU_JD",Painel_diario!$J4057=1),EXP(Painel_diario!$L4057),1)-1</f>
        <v/>
      </c>
      <c r="C4061" s="22">
        <f>(1+C4060)*IF(AND(Painel_diario!$H4057="EU_JU",Painel_diario!$J4057=1),EXP(Painel_diario!$L4057),1)-1</f>
        <v/>
      </c>
      <c r="D4061" s="22">
        <f>(1+D4060)*IF(AND(Painel_diario!$H4057="ED_JD",Painel_diario!$J4057=1),EXP(Painel_diario!$L4057),1)-1</f>
        <v/>
      </c>
      <c r="E4061" s="22">
        <f>(1+E4060)*IF(AND(Painel_diario!$H4057="ED_JU",Painel_diario!$J4057=1),EXP(Painel_diario!$L4057),1)-1</f>
        <v/>
      </c>
    </row>
    <row r="4062">
      <c r="A4062" s="25" t="n">
        <v>44810</v>
      </c>
      <c r="B4062" s="22">
        <f>(1+B4061)*IF(AND(Painel_diario!$H4058="EU_JD",Painel_diario!$J4058=1),EXP(Painel_diario!$L4058),1)-1</f>
        <v/>
      </c>
      <c r="C4062" s="22">
        <f>(1+C4061)*IF(AND(Painel_diario!$H4058="EU_JU",Painel_diario!$J4058=1),EXP(Painel_diario!$L4058),1)-1</f>
        <v/>
      </c>
      <c r="D4062" s="22">
        <f>(1+D4061)*IF(AND(Painel_diario!$H4058="ED_JD",Painel_diario!$J4058=1),EXP(Painel_diario!$L4058),1)-1</f>
        <v/>
      </c>
      <c r="E4062" s="22">
        <f>(1+E4061)*IF(AND(Painel_diario!$H4058="ED_JU",Painel_diario!$J4058=1),EXP(Painel_diario!$L4058),1)-1</f>
        <v/>
      </c>
    </row>
    <row r="4063">
      <c r="A4063" s="25" t="n">
        <v>44812</v>
      </c>
      <c r="B4063" s="22">
        <f>(1+B4062)*IF(AND(Painel_diario!$H4059="EU_JD",Painel_diario!$J4059=1),EXP(Painel_diario!$L4059),1)-1</f>
        <v/>
      </c>
      <c r="C4063" s="22">
        <f>(1+C4062)*IF(AND(Painel_diario!$H4059="EU_JU",Painel_diario!$J4059=1),EXP(Painel_diario!$L4059),1)-1</f>
        <v/>
      </c>
      <c r="D4063" s="22">
        <f>(1+D4062)*IF(AND(Painel_diario!$H4059="ED_JD",Painel_diario!$J4059=1),EXP(Painel_diario!$L4059),1)-1</f>
        <v/>
      </c>
      <c r="E4063" s="22">
        <f>(1+E4062)*IF(AND(Painel_diario!$H4059="ED_JU",Painel_diario!$J4059=1),EXP(Painel_diario!$L4059),1)-1</f>
        <v/>
      </c>
    </row>
    <row r="4064">
      <c r="A4064" s="25" t="n">
        <v>44813</v>
      </c>
      <c r="B4064" s="22">
        <f>(1+B4063)*IF(AND(Painel_diario!$H4060="EU_JD",Painel_diario!$J4060=1),EXP(Painel_diario!$L4060),1)-1</f>
        <v/>
      </c>
      <c r="C4064" s="22">
        <f>(1+C4063)*IF(AND(Painel_diario!$H4060="EU_JU",Painel_diario!$J4060=1),EXP(Painel_diario!$L4060),1)-1</f>
        <v/>
      </c>
      <c r="D4064" s="22">
        <f>(1+D4063)*IF(AND(Painel_diario!$H4060="ED_JD",Painel_diario!$J4060=1),EXP(Painel_diario!$L4060),1)-1</f>
        <v/>
      </c>
      <c r="E4064" s="22">
        <f>(1+E4063)*IF(AND(Painel_diario!$H4060="ED_JU",Painel_diario!$J4060=1),EXP(Painel_diario!$L4060),1)-1</f>
        <v/>
      </c>
    </row>
    <row r="4065">
      <c r="A4065" s="25" t="n">
        <v>44816</v>
      </c>
      <c r="B4065" s="22">
        <f>(1+B4064)*IF(AND(Painel_diario!$H4061="EU_JD",Painel_diario!$J4061=1),EXP(Painel_diario!$L4061),1)-1</f>
        <v/>
      </c>
      <c r="C4065" s="22">
        <f>(1+C4064)*IF(AND(Painel_diario!$H4061="EU_JU",Painel_diario!$J4061=1),EXP(Painel_diario!$L4061),1)-1</f>
        <v/>
      </c>
      <c r="D4065" s="22">
        <f>(1+D4064)*IF(AND(Painel_diario!$H4061="ED_JD",Painel_diario!$J4061=1),EXP(Painel_diario!$L4061),1)-1</f>
        <v/>
      </c>
      <c r="E4065" s="22">
        <f>(1+E4064)*IF(AND(Painel_diario!$H4061="ED_JU",Painel_diario!$J4061=1),EXP(Painel_diario!$L4061),1)-1</f>
        <v/>
      </c>
    </row>
    <row r="4066">
      <c r="A4066" s="25" t="n">
        <v>44817</v>
      </c>
      <c r="B4066" s="22">
        <f>(1+B4065)*IF(AND(Painel_diario!$H4062="EU_JD",Painel_diario!$J4062=1),EXP(Painel_diario!$L4062),1)-1</f>
        <v/>
      </c>
      <c r="C4066" s="22">
        <f>(1+C4065)*IF(AND(Painel_diario!$H4062="EU_JU",Painel_diario!$J4062=1),EXP(Painel_diario!$L4062),1)-1</f>
        <v/>
      </c>
      <c r="D4066" s="22">
        <f>(1+D4065)*IF(AND(Painel_diario!$H4062="ED_JD",Painel_diario!$J4062=1),EXP(Painel_diario!$L4062),1)-1</f>
        <v/>
      </c>
      <c r="E4066" s="22">
        <f>(1+E4065)*IF(AND(Painel_diario!$H4062="ED_JU",Painel_diario!$J4062=1),EXP(Painel_diario!$L4062),1)-1</f>
        <v/>
      </c>
    </row>
    <row r="4067">
      <c r="A4067" s="25" t="n">
        <v>44818</v>
      </c>
      <c r="B4067" s="22">
        <f>(1+B4066)*IF(AND(Painel_diario!$H4063="EU_JD",Painel_diario!$J4063=1),EXP(Painel_diario!$L4063),1)-1</f>
        <v/>
      </c>
      <c r="C4067" s="22">
        <f>(1+C4066)*IF(AND(Painel_diario!$H4063="EU_JU",Painel_diario!$J4063=1),EXP(Painel_diario!$L4063),1)-1</f>
        <v/>
      </c>
      <c r="D4067" s="22">
        <f>(1+D4066)*IF(AND(Painel_diario!$H4063="ED_JD",Painel_diario!$J4063=1),EXP(Painel_diario!$L4063),1)-1</f>
        <v/>
      </c>
      <c r="E4067" s="22">
        <f>(1+E4066)*IF(AND(Painel_diario!$H4063="ED_JU",Painel_diario!$J4063=1),EXP(Painel_diario!$L4063),1)-1</f>
        <v/>
      </c>
    </row>
    <row r="4068">
      <c r="A4068" s="25" t="n">
        <v>44819</v>
      </c>
      <c r="B4068" s="22">
        <f>(1+B4067)*IF(AND(Painel_diario!$H4064="EU_JD",Painel_diario!$J4064=1),EXP(Painel_diario!$L4064),1)-1</f>
        <v/>
      </c>
      <c r="C4068" s="22">
        <f>(1+C4067)*IF(AND(Painel_diario!$H4064="EU_JU",Painel_diario!$J4064=1),EXP(Painel_diario!$L4064),1)-1</f>
        <v/>
      </c>
      <c r="D4068" s="22">
        <f>(1+D4067)*IF(AND(Painel_diario!$H4064="ED_JD",Painel_diario!$J4064=1),EXP(Painel_diario!$L4064),1)-1</f>
        <v/>
      </c>
      <c r="E4068" s="22">
        <f>(1+E4067)*IF(AND(Painel_diario!$H4064="ED_JU",Painel_diario!$J4064=1),EXP(Painel_diario!$L4064),1)-1</f>
        <v/>
      </c>
    </row>
    <row r="4069">
      <c r="A4069" s="25" t="n">
        <v>44820</v>
      </c>
      <c r="B4069" s="22">
        <f>(1+B4068)*IF(AND(Painel_diario!$H4065="EU_JD",Painel_diario!$J4065=1),EXP(Painel_diario!$L4065),1)-1</f>
        <v/>
      </c>
      <c r="C4069" s="22">
        <f>(1+C4068)*IF(AND(Painel_diario!$H4065="EU_JU",Painel_diario!$J4065=1),EXP(Painel_diario!$L4065),1)-1</f>
        <v/>
      </c>
      <c r="D4069" s="22">
        <f>(1+D4068)*IF(AND(Painel_diario!$H4065="ED_JD",Painel_diario!$J4065=1),EXP(Painel_diario!$L4065),1)-1</f>
        <v/>
      </c>
      <c r="E4069" s="22">
        <f>(1+E4068)*IF(AND(Painel_diario!$H4065="ED_JU",Painel_diario!$J4065=1),EXP(Painel_diario!$L4065),1)-1</f>
        <v/>
      </c>
    </row>
    <row r="4070">
      <c r="A4070" s="25" t="n">
        <v>44823</v>
      </c>
      <c r="B4070" s="22">
        <f>(1+B4069)*IF(AND(Painel_diario!$H4066="EU_JD",Painel_diario!$J4066=1),EXP(Painel_diario!$L4066),1)-1</f>
        <v/>
      </c>
      <c r="C4070" s="22">
        <f>(1+C4069)*IF(AND(Painel_diario!$H4066="EU_JU",Painel_diario!$J4066=1),EXP(Painel_diario!$L4066),1)-1</f>
        <v/>
      </c>
      <c r="D4070" s="22">
        <f>(1+D4069)*IF(AND(Painel_diario!$H4066="ED_JD",Painel_diario!$J4066=1),EXP(Painel_diario!$L4066),1)-1</f>
        <v/>
      </c>
      <c r="E4070" s="22">
        <f>(1+E4069)*IF(AND(Painel_diario!$H4066="ED_JU",Painel_diario!$J4066=1),EXP(Painel_diario!$L4066),1)-1</f>
        <v/>
      </c>
    </row>
    <row r="4071">
      <c r="A4071" s="25" t="n">
        <v>44824</v>
      </c>
      <c r="B4071" s="22">
        <f>(1+B4070)*IF(AND(Painel_diario!$H4067="EU_JD",Painel_diario!$J4067=1),EXP(Painel_diario!$L4067),1)-1</f>
        <v/>
      </c>
      <c r="C4071" s="22">
        <f>(1+C4070)*IF(AND(Painel_diario!$H4067="EU_JU",Painel_diario!$J4067=1),EXP(Painel_diario!$L4067),1)-1</f>
        <v/>
      </c>
      <c r="D4071" s="22">
        <f>(1+D4070)*IF(AND(Painel_diario!$H4067="ED_JD",Painel_diario!$J4067=1),EXP(Painel_diario!$L4067),1)-1</f>
        <v/>
      </c>
      <c r="E4071" s="22">
        <f>(1+E4070)*IF(AND(Painel_diario!$H4067="ED_JU",Painel_diario!$J4067=1),EXP(Painel_diario!$L4067),1)-1</f>
        <v/>
      </c>
    </row>
    <row r="4072">
      <c r="A4072" s="25" t="n">
        <v>44825</v>
      </c>
      <c r="B4072" s="22">
        <f>(1+B4071)*IF(AND(Painel_diario!$H4068="EU_JD",Painel_diario!$J4068=1),EXP(Painel_diario!$L4068),1)-1</f>
        <v/>
      </c>
      <c r="C4072" s="22">
        <f>(1+C4071)*IF(AND(Painel_diario!$H4068="EU_JU",Painel_diario!$J4068=1),EXP(Painel_diario!$L4068),1)-1</f>
        <v/>
      </c>
      <c r="D4072" s="22">
        <f>(1+D4071)*IF(AND(Painel_diario!$H4068="ED_JD",Painel_diario!$J4068=1),EXP(Painel_diario!$L4068),1)-1</f>
        <v/>
      </c>
      <c r="E4072" s="22">
        <f>(1+E4071)*IF(AND(Painel_diario!$H4068="ED_JU",Painel_diario!$J4068=1),EXP(Painel_diario!$L4068),1)-1</f>
        <v/>
      </c>
    </row>
    <row r="4073">
      <c r="A4073" s="25" t="n">
        <v>44826</v>
      </c>
      <c r="B4073" s="22">
        <f>(1+B4072)*IF(AND(Painel_diario!$H4069="EU_JD",Painel_diario!$J4069=1),EXP(Painel_diario!$L4069),1)-1</f>
        <v/>
      </c>
      <c r="C4073" s="22">
        <f>(1+C4072)*IF(AND(Painel_diario!$H4069="EU_JU",Painel_diario!$J4069=1),EXP(Painel_diario!$L4069),1)-1</f>
        <v/>
      </c>
      <c r="D4073" s="22">
        <f>(1+D4072)*IF(AND(Painel_diario!$H4069="ED_JD",Painel_diario!$J4069=1),EXP(Painel_diario!$L4069),1)-1</f>
        <v/>
      </c>
      <c r="E4073" s="22">
        <f>(1+E4072)*IF(AND(Painel_diario!$H4069="ED_JU",Painel_diario!$J4069=1),EXP(Painel_diario!$L4069),1)-1</f>
        <v/>
      </c>
    </row>
    <row r="4074">
      <c r="A4074" s="25" t="n">
        <v>44827</v>
      </c>
      <c r="B4074" s="22">
        <f>(1+B4073)*IF(AND(Painel_diario!$H4070="EU_JD",Painel_diario!$J4070=1),EXP(Painel_diario!$L4070),1)-1</f>
        <v/>
      </c>
      <c r="C4074" s="22">
        <f>(1+C4073)*IF(AND(Painel_diario!$H4070="EU_JU",Painel_diario!$J4070=1),EXP(Painel_diario!$L4070),1)-1</f>
        <v/>
      </c>
      <c r="D4074" s="22">
        <f>(1+D4073)*IF(AND(Painel_diario!$H4070="ED_JD",Painel_diario!$J4070=1),EXP(Painel_diario!$L4070),1)-1</f>
        <v/>
      </c>
      <c r="E4074" s="22">
        <f>(1+E4073)*IF(AND(Painel_diario!$H4070="ED_JU",Painel_diario!$J4070=1),EXP(Painel_diario!$L4070),1)-1</f>
        <v/>
      </c>
    </row>
    <row r="4075">
      <c r="A4075" s="25" t="n">
        <v>44830</v>
      </c>
      <c r="B4075" s="22">
        <f>(1+B4074)*IF(AND(Painel_diario!$H4071="EU_JD",Painel_diario!$J4071=1),EXP(Painel_diario!$L4071),1)-1</f>
        <v/>
      </c>
      <c r="C4075" s="22">
        <f>(1+C4074)*IF(AND(Painel_diario!$H4071="EU_JU",Painel_diario!$J4071=1),EXP(Painel_diario!$L4071),1)-1</f>
        <v/>
      </c>
      <c r="D4075" s="22">
        <f>(1+D4074)*IF(AND(Painel_diario!$H4071="ED_JD",Painel_diario!$J4071=1),EXP(Painel_diario!$L4071),1)-1</f>
        <v/>
      </c>
      <c r="E4075" s="22">
        <f>(1+E4074)*IF(AND(Painel_diario!$H4071="ED_JU",Painel_diario!$J4071=1),EXP(Painel_diario!$L4071),1)-1</f>
        <v/>
      </c>
    </row>
    <row r="4076">
      <c r="A4076" s="25" t="n">
        <v>44831</v>
      </c>
      <c r="B4076" s="22">
        <f>(1+B4075)*IF(AND(Painel_diario!$H4072="EU_JD",Painel_diario!$J4072=1),EXP(Painel_diario!$L4072),1)-1</f>
        <v/>
      </c>
      <c r="C4076" s="22">
        <f>(1+C4075)*IF(AND(Painel_diario!$H4072="EU_JU",Painel_diario!$J4072=1),EXP(Painel_diario!$L4072),1)-1</f>
        <v/>
      </c>
      <c r="D4076" s="22">
        <f>(1+D4075)*IF(AND(Painel_diario!$H4072="ED_JD",Painel_diario!$J4072=1),EXP(Painel_diario!$L4072),1)-1</f>
        <v/>
      </c>
      <c r="E4076" s="22">
        <f>(1+E4075)*IF(AND(Painel_diario!$H4072="ED_JU",Painel_diario!$J4072=1),EXP(Painel_diario!$L4072),1)-1</f>
        <v/>
      </c>
    </row>
    <row r="4077">
      <c r="A4077" s="25" t="n">
        <v>44832</v>
      </c>
      <c r="B4077" s="22">
        <f>(1+B4076)*IF(AND(Painel_diario!$H4073="EU_JD",Painel_diario!$J4073=1),EXP(Painel_diario!$L4073),1)-1</f>
        <v/>
      </c>
      <c r="C4077" s="22">
        <f>(1+C4076)*IF(AND(Painel_diario!$H4073="EU_JU",Painel_diario!$J4073=1),EXP(Painel_diario!$L4073),1)-1</f>
        <v/>
      </c>
      <c r="D4077" s="22">
        <f>(1+D4076)*IF(AND(Painel_diario!$H4073="ED_JD",Painel_diario!$J4073=1),EXP(Painel_diario!$L4073),1)-1</f>
        <v/>
      </c>
      <c r="E4077" s="22">
        <f>(1+E4076)*IF(AND(Painel_diario!$H4073="ED_JU",Painel_diario!$J4073=1),EXP(Painel_diario!$L4073),1)-1</f>
        <v/>
      </c>
    </row>
    <row r="4078">
      <c r="A4078" s="25" t="n">
        <v>44833</v>
      </c>
      <c r="B4078" s="22">
        <f>(1+B4077)*IF(AND(Painel_diario!$H4074="EU_JD",Painel_diario!$J4074=1),EXP(Painel_diario!$L4074),1)-1</f>
        <v/>
      </c>
      <c r="C4078" s="22">
        <f>(1+C4077)*IF(AND(Painel_diario!$H4074="EU_JU",Painel_diario!$J4074=1),EXP(Painel_diario!$L4074),1)-1</f>
        <v/>
      </c>
      <c r="D4078" s="22">
        <f>(1+D4077)*IF(AND(Painel_diario!$H4074="ED_JD",Painel_diario!$J4074=1),EXP(Painel_diario!$L4074),1)-1</f>
        <v/>
      </c>
      <c r="E4078" s="22">
        <f>(1+E4077)*IF(AND(Painel_diario!$H4074="ED_JU",Painel_diario!$J4074=1),EXP(Painel_diario!$L4074),1)-1</f>
        <v/>
      </c>
    </row>
    <row r="4079">
      <c r="A4079" s="25" t="n">
        <v>44834</v>
      </c>
      <c r="B4079" s="22">
        <f>(1+B4078)*IF(AND(Painel_diario!$H4075="EU_JD",Painel_diario!$J4075=1),EXP(Painel_diario!$L4075),1)-1</f>
        <v/>
      </c>
      <c r="C4079" s="22">
        <f>(1+C4078)*IF(AND(Painel_diario!$H4075="EU_JU",Painel_diario!$J4075=1),EXP(Painel_diario!$L4075),1)-1</f>
        <v/>
      </c>
      <c r="D4079" s="22">
        <f>(1+D4078)*IF(AND(Painel_diario!$H4075="ED_JD",Painel_diario!$J4075=1),EXP(Painel_diario!$L4075),1)-1</f>
        <v/>
      </c>
      <c r="E4079" s="22">
        <f>(1+E4078)*IF(AND(Painel_diario!$H4075="ED_JU",Painel_diario!$J4075=1),EXP(Painel_diario!$L4075),1)-1</f>
        <v/>
      </c>
    </row>
    <row r="4080">
      <c r="A4080" s="25" t="n">
        <v>44837</v>
      </c>
      <c r="B4080" s="22">
        <f>(1+B4079)*IF(AND(Painel_diario!$H4076="EU_JD",Painel_diario!$J4076=1),EXP(Painel_diario!$L4076),1)-1</f>
        <v/>
      </c>
      <c r="C4080" s="22">
        <f>(1+C4079)*IF(AND(Painel_diario!$H4076="EU_JU",Painel_diario!$J4076=1),EXP(Painel_diario!$L4076),1)-1</f>
        <v/>
      </c>
      <c r="D4080" s="22">
        <f>(1+D4079)*IF(AND(Painel_diario!$H4076="ED_JD",Painel_diario!$J4076=1),EXP(Painel_diario!$L4076),1)-1</f>
        <v/>
      </c>
      <c r="E4080" s="22">
        <f>(1+E4079)*IF(AND(Painel_diario!$H4076="ED_JU",Painel_diario!$J4076=1),EXP(Painel_diario!$L4076),1)-1</f>
        <v/>
      </c>
    </row>
    <row r="4081">
      <c r="A4081" s="25" t="n">
        <v>44838</v>
      </c>
      <c r="B4081" s="22">
        <f>(1+B4080)*IF(AND(Painel_diario!$H4077="EU_JD",Painel_diario!$J4077=1),EXP(Painel_diario!$L4077),1)-1</f>
        <v/>
      </c>
      <c r="C4081" s="22">
        <f>(1+C4080)*IF(AND(Painel_diario!$H4077="EU_JU",Painel_diario!$J4077=1),EXP(Painel_diario!$L4077),1)-1</f>
        <v/>
      </c>
      <c r="D4081" s="22">
        <f>(1+D4080)*IF(AND(Painel_diario!$H4077="ED_JD",Painel_diario!$J4077=1),EXP(Painel_diario!$L4077),1)-1</f>
        <v/>
      </c>
      <c r="E4081" s="22">
        <f>(1+E4080)*IF(AND(Painel_diario!$H4077="ED_JU",Painel_diario!$J4077=1),EXP(Painel_diario!$L4077),1)-1</f>
        <v/>
      </c>
    </row>
    <row r="4082">
      <c r="A4082" s="25" t="n">
        <v>44839</v>
      </c>
      <c r="B4082" s="22">
        <f>(1+B4081)*IF(AND(Painel_diario!$H4078="EU_JD",Painel_diario!$J4078=1),EXP(Painel_diario!$L4078),1)-1</f>
        <v/>
      </c>
      <c r="C4082" s="22">
        <f>(1+C4081)*IF(AND(Painel_diario!$H4078="EU_JU",Painel_diario!$J4078=1),EXP(Painel_diario!$L4078),1)-1</f>
        <v/>
      </c>
      <c r="D4082" s="22">
        <f>(1+D4081)*IF(AND(Painel_diario!$H4078="ED_JD",Painel_diario!$J4078=1),EXP(Painel_diario!$L4078),1)-1</f>
        <v/>
      </c>
      <c r="E4082" s="22">
        <f>(1+E4081)*IF(AND(Painel_diario!$H4078="ED_JU",Painel_diario!$J4078=1),EXP(Painel_diario!$L4078),1)-1</f>
        <v/>
      </c>
    </row>
    <row r="4083">
      <c r="A4083" s="25" t="n">
        <v>44840</v>
      </c>
      <c r="B4083" s="22">
        <f>(1+B4082)*IF(AND(Painel_diario!$H4079="EU_JD",Painel_diario!$J4079=1),EXP(Painel_diario!$L4079),1)-1</f>
        <v/>
      </c>
      <c r="C4083" s="22">
        <f>(1+C4082)*IF(AND(Painel_diario!$H4079="EU_JU",Painel_diario!$J4079=1),EXP(Painel_diario!$L4079),1)-1</f>
        <v/>
      </c>
      <c r="D4083" s="22">
        <f>(1+D4082)*IF(AND(Painel_diario!$H4079="ED_JD",Painel_diario!$J4079=1),EXP(Painel_diario!$L4079),1)-1</f>
        <v/>
      </c>
      <c r="E4083" s="22">
        <f>(1+E4082)*IF(AND(Painel_diario!$H4079="ED_JU",Painel_diario!$J4079=1),EXP(Painel_diario!$L4079),1)-1</f>
        <v/>
      </c>
    </row>
    <row r="4084">
      <c r="A4084" s="25" t="n">
        <v>44841</v>
      </c>
      <c r="B4084" s="22">
        <f>(1+B4083)*IF(AND(Painel_diario!$H4080="EU_JD",Painel_diario!$J4080=1),EXP(Painel_diario!$L4080),1)-1</f>
        <v/>
      </c>
      <c r="C4084" s="22">
        <f>(1+C4083)*IF(AND(Painel_diario!$H4080="EU_JU",Painel_diario!$J4080=1),EXP(Painel_diario!$L4080),1)-1</f>
        <v/>
      </c>
      <c r="D4084" s="22">
        <f>(1+D4083)*IF(AND(Painel_diario!$H4080="ED_JD",Painel_diario!$J4080=1),EXP(Painel_diario!$L4080),1)-1</f>
        <v/>
      </c>
      <c r="E4084" s="22">
        <f>(1+E4083)*IF(AND(Painel_diario!$H4080="ED_JU",Painel_diario!$J4080=1),EXP(Painel_diario!$L4080),1)-1</f>
        <v/>
      </c>
    </row>
    <row r="4085">
      <c r="A4085" s="25" t="n">
        <v>44844</v>
      </c>
      <c r="B4085" s="22">
        <f>(1+B4084)*IF(AND(Painel_diario!$H4081="EU_JD",Painel_diario!$J4081=1),EXP(Painel_diario!$L4081),1)-1</f>
        <v/>
      </c>
      <c r="C4085" s="22">
        <f>(1+C4084)*IF(AND(Painel_diario!$H4081="EU_JU",Painel_diario!$J4081=1),EXP(Painel_diario!$L4081),1)-1</f>
        <v/>
      </c>
      <c r="D4085" s="22">
        <f>(1+D4084)*IF(AND(Painel_diario!$H4081="ED_JD",Painel_diario!$J4081=1),EXP(Painel_diario!$L4081),1)-1</f>
        <v/>
      </c>
      <c r="E4085" s="22">
        <f>(1+E4084)*IF(AND(Painel_diario!$H4081="ED_JU",Painel_diario!$J4081=1),EXP(Painel_diario!$L4081),1)-1</f>
        <v/>
      </c>
    </row>
    <row r="4086">
      <c r="A4086" s="25" t="n">
        <v>44845</v>
      </c>
      <c r="B4086" s="22">
        <f>(1+B4085)*IF(AND(Painel_diario!$H4082="EU_JD",Painel_diario!$J4082=1),EXP(Painel_diario!$L4082),1)-1</f>
        <v/>
      </c>
      <c r="C4086" s="22">
        <f>(1+C4085)*IF(AND(Painel_diario!$H4082="EU_JU",Painel_diario!$J4082=1),EXP(Painel_diario!$L4082),1)-1</f>
        <v/>
      </c>
      <c r="D4086" s="22">
        <f>(1+D4085)*IF(AND(Painel_diario!$H4082="ED_JD",Painel_diario!$J4082=1),EXP(Painel_diario!$L4082),1)-1</f>
        <v/>
      </c>
      <c r="E4086" s="22">
        <f>(1+E4085)*IF(AND(Painel_diario!$H4082="ED_JU",Painel_diario!$J4082=1),EXP(Painel_diario!$L4082),1)-1</f>
        <v/>
      </c>
    </row>
    <row r="4087">
      <c r="A4087" s="25" t="n">
        <v>44847</v>
      </c>
      <c r="B4087" s="22">
        <f>(1+B4086)*IF(AND(Painel_diario!$H4083="EU_JD",Painel_diario!$J4083=1),EXP(Painel_diario!$L4083),1)-1</f>
        <v/>
      </c>
      <c r="C4087" s="22">
        <f>(1+C4086)*IF(AND(Painel_diario!$H4083="EU_JU",Painel_diario!$J4083=1),EXP(Painel_diario!$L4083),1)-1</f>
        <v/>
      </c>
      <c r="D4087" s="22">
        <f>(1+D4086)*IF(AND(Painel_diario!$H4083="ED_JD",Painel_diario!$J4083=1),EXP(Painel_diario!$L4083),1)-1</f>
        <v/>
      </c>
      <c r="E4087" s="22">
        <f>(1+E4086)*IF(AND(Painel_diario!$H4083="ED_JU",Painel_diario!$J4083=1),EXP(Painel_diario!$L4083),1)-1</f>
        <v/>
      </c>
    </row>
    <row r="4088">
      <c r="A4088" s="25" t="n">
        <v>44848</v>
      </c>
      <c r="B4088" s="22">
        <f>(1+B4087)*IF(AND(Painel_diario!$H4084="EU_JD",Painel_diario!$J4084=1),EXP(Painel_diario!$L4084),1)-1</f>
        <v/>
      </c>
      <c r="C4088" s="22">
        <f>(1+C4087)*IF(AND(Painel_diario!$H4084="EU_JU",Painel_diario!$J4084=1),EXP(Painel_diario!$L4084),1)-1</f>
        <v/>
      </c>
      <c r="D4088" s="22">
        <f>(1+D4087)*IF(AND(Painel_diario!$H4084="ED_JD",Painel_diario!$J4084=1),EXP(Painel_diario!$L4084),1)-1</f>
        <v/>
      </c>
      <c r="E4088" s="22">
        <f>(1+E4087)*IF(AND(Painel_diario!$H4084="ED_JU",Painel_diario!$J4084=1),EXP(Painel_diario!$L4084),1)-1</f>
        <v/>
      </c>
    </row>
    <row r="4089">
      <c r="A4089" s="25" t="n">
        <v>44851</v>
      </c>
      <c r="B4089" s="22">
        <f>(1+B4088)*IF(AND(Painel_diario!$H4085="EU_JD",Painel_diario!$J4085=1),EXP(Painel_diario!$L4085),1)-1</f>
        <v/>
      </c>
      <c r="C4089" s="22">
        <f>(1+C4088)*IF(AND(Painel_diario!$H4085="EU_JU",Painel_diario!$J4085=1),EXP(Painel_diario!$L4085),1)-1</f>
        <v/>
      </c>
      <c r="D4089" s="22">
        <f>(1+D4088)*IF(AND(Painel_diario!$H4085="ED_JD",Painel_diario!$J4085=1),EXP(Painel_diario!$L4085),1)-1</f>
        <v/>
      </c>
      <c r="E4089" s="22">
        <f>(1+E4088)*IF(AND(Painel_diario!$H4085="ED_JU",Painel_diario!$J4085=1),EXP(Painel_diario!$L4085),1)-1</f>
        <v/>
      </c>
    </row>
    <row r="4090">
      <c r="A4090" s="25" t="n">
        <v>44852</v>
      </c>
      <c r="B4090" s="22">
        <f>(1+B4089)*IF(AND(Painel_diario!$H4086="EU_JD",Painel_diario!$J4086=1),EXP(Painel_diario!$L4086),1)-1</f>
        <v/>
      </c>
      <c r="C4090" s="22">
        <f>(1+C4089)*IF(AND(Painel_diario!$H4086="EU_JU",Painel_diario!$J4086=1),EXP(Painel_diario!$L4086),1)-1</f>
        <v/>
      </c>
      <c r="D4090" s="22">
        <f>(1+D4089)*IF(AND(Painel_diario!$H4086="ED_JD",Painel_diario!$J4086=1),EXP(Painel_diario!$L4086),1)-1</f>
        <v/>
      </c>
      <c r="E4090" s="22">
        <f>(1+E4089)*IF(AND(Painel_diario!$H4086="ED_JU",Painel_diario!$J4086=1),EXP(Painel_diario!$L4086),1)-1</f>
        <v/>
      </c>
    </row>
    <row r="4091">
      <c r="A4091" s="25" t="n">
        <v>44853</v>
      </c>
      <c r="B4091" s="22">
        <f>(1+B4090)*IF(AND(Painel_diario!$H4087="EU_JD",Painel_diario!$J4087=1),EXP(Painel_diario!$L4087),1)-1</f>
        <v/>
      </c>
      <c r="C4091" s="22">
        <f>(1+C4090)*IF(AND(Painel_diario!$H4087="EU_JU",Painel_diario!$J4087=1),EXP(Painel_diario!$L4087),1)-1</f>
        <v/>
      </c>
      <c r="D4091" s="22">
        <f>(1+D4090)*IF(AND(Painel_diario!$H4087="ED_JD",Painel_diario!$J4087=1),EXP(Painel_diario!$L4087),1)-1</f>
        <v/>
      </c>
      <c r="E4091" s="22">
        <f>(1+E4090)*IF(AND(Painel_diario!$H4087="ED_JU",Painel_diario!$J4087=1),EXP(Painel_diario!$L4087),1)-1</f>
        <v/>
      </c>
    </row>
    <row r="4092">
      <c r="A4092" s="25" t="n">
        <v>44854</v>
      </c>
      <c r="B4092" s="22">
        <f>(1+B4091)*IF(AND(Painel_diario!$H4088="EU_JD",Painel_diario!$J4088=1),EXP(Painel_diario!$L4088),1)-1</f>
        <v/>
      </c>
      <c r="C4092" s="22">
        <f>(1+C4091)*IF(AND(Painel_diario!$H4088="EU_JU",Painel_diario!$J4088=1),EXP(Painel_diario!$L4088),1)-1</f>
        <v/>
      </c>
      <c r="D4092" s="22">
        <f>(1+D4091)*IF(AND(Painel_diario!$H4088="ED_JD",Painel_diario!$J4088=1),EXP(Painel_diario!$L4088),1)-1</f>
        <v/>
      </c>
      <c r="E4092" s="22">
        <f>(1+E4091)*IF(AND(Painel_diario!$H4088="ED_JU",Painel_diario!$J4088=1),EXP(Painel_diario!$L4088),1)-1</f>
        <v/>
      </c>
    </row>
    <row r="4093">
      <c r="A4093" s="25" t="n">
        <v>44855</v>
      </c>
      <c r="B4093" s="22">
        <f>(1+B4092)*IF(AND(Painel_diario!$H4089="EU_JD",Painel_diario!$J4089=1),EXP(Painel_diario!$L4089),1)-1</f>
        <v/>
      </c>
      <c r="C4093" s="22">
        <f>(1+C4092)*IF(AND(Painel_diario!$H4089="EU_JU",Painel_diario!$J4089=1),EXP(Painel_diario!$L4089),1)-1</f>
        <v/>
      </c>
      <c r="D4093" s="22">
        <f>(1+D4092)*IF(AND(Painel_diario!$H4089="ED_JD",Painel_diario!$J4089=1),EXP(Painel_diario!$L4089),1)-1</f>
        <v/>
      </c>
      <c r="E4093" s="22">
        <f>(1+E4092)*IF(AND(Painel_diario!$H4089="ED_JU",Painel_diario!$J4089=1),EXP(Painel_diario!$L4089),1)-1</f>
        <v/>
      </c>
    </row>
    <row r="4094">
      <c r="A4094" s="25" t="n">
        <v>44858</v>
      </c>
      <c r="B4094" s="22">
        <f>(1+B4093)*IF(AND(Painel_diario!$H4090="EU_JD",Painel_diario!$J4090=1),EXP(Painel_diario!$L4090),1)-1</f>
        <v/>
      </c>
      <c r="C4094" s="22">
        <f>(1+C4093)*IF(AND(Painel_diario!$H4090="EU_JU",Painel_diario!$J4090=1),EXP(Painel_diario!$L4090),1)-1</f>
        <v/>
      </c>
      <c r="D4094" s="22">
        <f>(1+D4093)*IF(AND(Painel_diario!$H4090="ED_JD",Painel_diario!$J4090=1),EXP(Painel_diario!$L4090),1)-1</f>
        <v/>
      </c>
      <c r="E4094" s="22">
        <f>(1+E4093)*IF(AND(Painel_diario!$H4090="ED_JU",Painel_diario!$J4090=1),EXP(Painel_diario!$L4090),1)-1</f>
        <v/>
      </c>
    </row>
    <row r="4095">
      <c r="A4095" s="25" t="n">
        <v>44859</v>
      </c>
      <c r="B4095" s="22">
        <f>(1+B4094)*IF(AND(Painel_diario!$H4091="EU_JD",Painel_diario!$J4091=1),EXP(Painel_diario!$L4091),1)-1</f>
        <v/>
      </c>
      <c r="C4095" s="22">
        <f>(1+C4094)*IF(AND(Painel_diario!$H4091="EU_JU",Painel_diario!$J4091=1),EXP(Painel_diario!$L4091),1)-1</f>
        <v/>
      </c>
      <c r="D4095" s="22">
        <f>(1+D4094)*IF(AND(Painel_diario!$H4091="ED_JD",Painel_diario!$J4091=1),EXP(Painel_diario!$L4091),1)-1</f>
        <v/>
      </c>
      <c r="E4095" s="22">
        <f>(1+E4094)*IF(AND(Painel_diario!$H4091="ED_JU",Painel_diario!$J4091=1),EXP(Painel_diario!$L4091),1)-1</f>
        <v/>
      </c>
    </row>
    <row r="4096">
      <c r="A4096" s="25" t="n">
        <v>44860</v>
      </c>
      <c r="B4096" s="22">
        <f>(1+B4095)*IF(AND(Painel_diario!$H4092="EU_JD",Painel_diario!$J4092=1),EXP(Painel_diario!$L4092),1)-1</f>
        <v/>
      </c>
      <c r="C4096" s="22">
        <f>(1+C4095)*IF(AND(Painel_diario!$H4092="EU_JU",Painel_diario!$J4092=1),EXP(Painel_diario!$L4092),1)-1</f>
        <v/>
      </c>
      <c r="D4096" s="22">
        <f>(1+D4095)*IF(AND(Painel_diario!$H4092="ED_JD",Painel_diario!$J4092=1),EXP(Painel_diario!$L4092),1)-1</f>
        <v/>
      </c>
      <c r="E4096" s="22">
        <f>(1+E4095)*IF(AND(Painel_diario!$H4092="ED_JU",Painel_diario!$J4092=1),EXP(Painel_diario!$L4092),1)-1</f>
        <v/>
      </c>
    </row>
    <row r="4097">
      <c r="A4097" s="25" t="n">
        <v>44861</v>
      </c>
      <c r="B4097" s="22">
        <f>(1+B4096)*IF(AND(Painel_diario!$H4093="EU_JD",Painel_diario!$J4093=1),EXP(Painel_diario!$L4093),1)-1</f>
        <v/>
      </c>
      <c r="C4097" s="22">
        <f>(1+C4096)*IF(AND(Painel_diario!$H4093="EU_JU",Painel_diario!$J4093=1),EXP(Painel_diario!$L4093),1)-1</f>
        <v/>
      </c>
      <c r="D4097" s="22">
        <f>(1+D4096)*IF(AND(Painel_diario!$H4093="ED_JD",Painel_diario!$J4093=1),EXP(Painel_diario!$L4093),1)-1</f>
        <v/>
      </c>
      <c r="E4097" s="22">
        <f>(1+E4096)*IF(AND(Painel_diario!$H4093="ED_JU",Painel_diario!$J4093=1),EXP(Painel_diario!$L4093),1)-1</f>
        <v/>
      </c>
    </row>
    <row r="4098">
      <c r="A4098" s="25" t="n">
        <v>44862</v>
      </c>
      <c r="B4098" s="22">
        <f>(1+B4097)*IF(AND(Painel_diario!$H4094="EU_JD",Painel_diario!$J4094=1),EXP(Painel_diario!$L4094),1)-1</f>
        <v/>
      </c>
      <c r="C4098" s="22">
        <f>(1+C4097)*IF(AND(Painel_diario!$H4094="EU_JU",Painel_diario!$J4094=1),EXP(Painel_diario!$L4094),1)-1</f>
        <v/>
      </c>
      <c r="D4098" s="22">
        <f>(1+D4097)*IF(AND(Painel_diario!$H4094="ED_JD",Painel_diario!$J4094=1),EXP(Painel_diario!$L4094),1)-1</f>
        <v/>
      </c>
      <c r="E4098" s="22">
        <f>(1+E4097)*IF(AND(Painel_diario!$H4094="ED_JU",Painel_diario!$J4094=1),EXP(Painel_diario!$L4094),1)-1</f>
        <v/>
      </c>
    </row>
    <row r="4099">
      <c r="A4099" s="25" t="n">
        <v>44865</v>
      </c>
      <c r="B4099" s="22">
        <f>(1+B4098)*IF(AND(Painel_diario!$H4095="EU_JD",Painel_diario!$J4095=1),EXP(Painel_diario!$L4095),1)-1</f>
        <v/>
      </c>
      <c r="C4099" s="22">
        <f>(1+C4098)*IF(AND(Painel_diario!$H4095="EU_JU",Painel_diario!$J4095=1),EXP(Painel_diario!$L4095),1)-1</f>
        <v/>
      </c>
      <c r="D4099" s="22">
        <f>(1+D4098)*IF(AND(Painel_diario!$H4095="ED_JD",Painel_diario!$J4095=1),EXP(Painel_diario!$L4095),1)-1</f>
        <v/>
      </c>
      <c r="E4099" s="22">
        <f>(1+E4098)*IF(AND(Painel_diario!$H4095="ED_JU",Painel_diario!$J4095=1),EXP(Painel_diario!$L4095),1)-1</f>
        <v/>
      </c>
    </row>
    <row r="4100">
      <c r="A4100" s="25" t="n">
        <v>44866</v>
      </c>
      <c r="B4100" s="22">
        <f>(1+B4099)*IF(AND(Painel_diario!$H4096="EU_JD",Painel_diario!$J4096=1),EXP(Painel_diario!$L4096),1)-1</f>
        <v/>
      </c>
      <c r="C4100" s="22">
        <f>(1+C4099)*IF(AND(Painel_diario!$H4096="EU_JU",Painel_diario!$J4096=1),EXP(Painel_diario!$L4096),1)-1</f>
        <v/>
      </c>
      <c r="D4100" s="22">
        <f>(1+D4099)*IF(AND(Painel_diario!$H4096="ED_JD",Painel_diario!$J4096=1),EXP(Painel_diario!$L4096),1)-1</f>
        <v/>
      </c>
      <c r="E4100" s="22">
        <f>(1+E4099)*IF(AND(Painel_diario!$H4096="ED_JU",Painel_diario!$J4096=1),EXP(Painel_diario!$L4096),1)-1</f>
        <v/>
      </c>
    </row>
    <row r="4101">
      <c r="A4101" s="25" t="n">
        <v>44868</v>
      </c>
      <c r="B4101" s="22">
        <f>(1+B4100)*IF(AND(Painel_diario!$H4097="EU_JD",Painel_diario!$J4097=1),EXP(Painel_diario!$L4097),1)-1</f>
        <v/>
      </c>
      <c r="C4101" s="22">
        <f>(1+C4100)*IF(AND(Painel_diario!$H4097="EU_JU",Painel_diario!$J4097=1),EXP(Painel_diario!$L4097),1)-1</f>
        <v/>
      </c>
      <c r="D4101" s="22">
        <f>(1+D4100)*IF(AND(Painel_diario!$H4097="ED_JD",Painel_diario!$J4097=1),EXP(Painel_diario!$L4097),1)-1</f>
        <v/>
      </c>
      <c r="E4101" s="22">
        <f>(1+E4100)*IF(AND(Painel_diario!$H4097="ED_JU",Painel_diario!$J4097=1),EXP(Painel_diario!$L4097),1)-1</f>
        <v/>
      </c>
    </row>
    <row r="4102">
      <c r="A4102" s="25" t="n">
        <v>44869</v>
      </c>
      <c r="B4102" s="22">
        <f>(1+B4101)*IF(AND(Painel_diario!$H4098="EU_JD",Painel_diario!$J4098=1),EXP(Painel_diario!$L4098),1)-1</f>
        <v/>
      </c>
      <c r="C4102" s="22">
        <f>(1+C4101)*IF(AND(Painel_diario!$H4098="EU_JU",Painel_diario!$J4098=1),EXP(Painel_diario!$L4098),1)-1</f>
        <v/>
      </c>
      <c r="D4102" s="22">
        <f>(1+D4101)*IF(AND(Painel_diario!$H4098="ED_JD",Painel_diario!$J4098=1),EXP(Painel_diario!$L4098),1)-1</f>
        <v/>
      </c>
      <c r="E4102" s="22">
        <f>(1+E4101)*IF(AND(Painel_diario!$H4098="ED_JU",Painel_diario!$J4098=1),EXP(Painel_diario!$L4098),1)-1</f>
        <v/>
      </c>
    </row>
    <row r="4103">
      <c r="A4103" s="25" t="n">
        <v>44872</v>
      </c>
      <c r="B4103" s="22">
        <f>(1+B4102)*IF(AND(Painel_diario!$H4099="EU_JD",Painel_diario!$J4099=1),EXP(Painel_diario!$L4099),1)-1</f>
        <v/>
      </c>
      <c r="C4103" s="22">
        <f>(1+C4102)*IF(AND(Painel_diario!$H4099="EU_JU",Painel_diario!$J4099=1),EXP(Painel_diario!$L4099),1)-1</f>
        <v/>
      </c>
      <c r="D4103" s="22">
        <f>(1+D4102)*IF(AND(Painel_diario!$H4099="ED_JD",Painel_diario!$J4099=1),EXP(Painel_diario!$L4099),1)-1</f>
        <v/>
      </c>
      <c r="E4103" s="22">
        <f>(1+E4102)*IF(AND(Painel_diario!$H4099="ED_JU",Painel_diario!$J4099=1),EXP(Painel_diario!$L4099),1)-1</f>
        <v/>
      </c>
    </row>
    <row r="4104">
      <c r="A4104" s="25" t="n">
        <v>44873</v>
      </c>
      <c r="B4104" s="22">
        <f>(1+B4103)*IF(AND(Painel_diario!$H4100="EU_JD",Painel_diario!$J4100=1),EXP(Painel_diario!$L4100),1)-1</f>
        <v/>
      </c>
      <c r="C4104" s="22">
        <f>(1+C4103)*IF(AND(Painel_diario!$H4100="EU_JU",Painel_diario!$J4100=1),EXP(Painel_diario!$L4100),1)-1</f>
        <v/>
      </c>
      <c r="D4104" s="22">
        <f>(1+D4103)*IF(AND(Painel_diario!$H4100="ED_JD",Painel_diario!$J4100=1),EXP(Painel_diario!$L4100),1)-1</f>
        <v/>
      </c>
      <c r="E4104" s="22">
        <f>(1+E4103)*IF(AND(Painel_diario!$H4100="ED_JU",Painel_diario!$J4100=1),EXP(Painel_diario!$L4100),1)-1</f>
        <v/>
      </c>
    </row>
    <row r="4105">
      <c r="A4105" s="25" t="n">
        <v>44874</v>
      </c>
      <c r="B4105" s="22">
        <f>(1+B4104)*IF(AND(Painel_diario!$H4101="EU_JD",Painel_diario!$J4101=1),EXP(Painel_diario!$L4101),1)-1</f>
        <v/>
      </c>
      <c r="C4105" s="22">
        <f>(1+C4104)*IF(AND(Painel_diario!$H4101="EU_JU",Painel_diario!$J4101=1),EXP(Painel_diario!$L4101),1)-1</f>
        <v/>
      </c>
      <c r="D4105" s="22">
        <f>(1+D4104)*IF(AND(Painel_diario!$H4101="ED_JD",Painel_diario!$J4101=1),EXP(Painel_diario!$L4101),1)-1</f>
        <v/>
      </c>
      <c r="E4105" s="22">
        <f>(1+E4104)*IF(AND(Painel_diario!$H4101="ED_JU",Painel_diario!$J4101=1),EXP(Painel_diario!$L4101),1)-1</f>
        <v/>
      </c>
    </row>
    <row r="4106">
      <c r="A4106" s="25" t="n">
        <v>44875</v>
      </c>
      <c r="B4106" s="22">
        <f>(1+B4105)*IF(AND(Painel_diario!$H4102="EU_JD",Painel_diario!$J4102=1),EXP(Painel_diario!$L4102),1)-1</f>
        <v/>
      </c>
      <c r="C4106" s="22">
        <f>(1+C4105)*IF(AND(Painel_diario!$H4102="EU_JU",Painel_diario!$J4102=1),EXP(Painel_diario!$L4102),1)-1</f>
        <v/>
      </c>
      <c r="D4106" s="22">
        <f>(1+D4105)*IF(AND(Painel_diario!$H4102="ED_JD",Painel_diario!$J4102=1),EXP(Painel_diario!$L4102),1)-1</f>
        <v/>
      </c>
      <c r="E4106" s="22">
        <f>(1+E4105)*IF(AND(Painel_diario!$H4102="ED_JU",Painel_diario!$J4102=1),EXP(Painel_diario!$L4102),1)-1</f>
        <v/>
      </c>
    </row>
    <row r="4107">
      <c r="A4107" s="25" t="n">
        <v>44876</v>
      </c>
      <c r="B4107" s="22">
        <f>(1+B4106)*IF(AND(Painel_diario!$H4103="EU_JD",Painel_diario!$J4103=1),EXP(Painel_diario!$L4103),1)-1</f>
        <v/>
      </c>
      <c r="C4107" s="22">
        <f>(1+C4106)*IF(AND(Painel_diario!$H4103="EU_JU",Painel_diario!$J4103=1),EXP(Painel_diario!$L4103),1)-1</f>
        <v/>
      </c>
      <c r="D4107" s="22">
        <f>(1+D4106)*IF(AND(Painel_diario!$H4103="ED_JD",Painel_diario!$J4103=1),EXP(Painel_diario!$L4103),1)-1</f>
        <v/>
      </c>
      <c r="E4107" s="22">
        <f>(1+E4106)*IF(AND(Painel_diario!$H4103="ED_JU",Painel_diario!$J4103=1),EXP(Painel_diario!$L4103),1)-1</f>
        <v/>
      </c>
    </row>
    <row r="4108">
      <c r="A4108" s="25" t="n">
        <v>44879</v>
      </c>
      <c r="B4108" s="22">
        <f>(1+B4107)*IF(AND(Painel_diario!$H4104="EU_JD",Painel_diario!$J4104=1),EXP(Painel_diario!$L4104),1)-1</f>
        <v/>
      </c>
      <c r="C4108" s="22">
        <f>(1+C4107)*IF(AND(Painel_diario!$H4104="EU_JU",Painel_diario!$J4104=1),EXP(Painel_diario!$L4104),1)-1</f>
        <v/>
      </c>
      <c r="D4108" s="22">
        <f>(1+D4107)*IF(AND(Painel_diario!$H4104="ED_JD",Painel_diario!$J4104=1),EXP(Painel_diario!$L4104),1)-1</f>
        <v/>
      </c>
      <c r="E4108" s="22">
        <f>(1+E4107)*IF(AND(Painel_diario!$H4104="ED_JU",Painel_diario!$J4104=1),EXP(Painel_diario!$L4104),1)-1</f>
        <v/>
      </c>
    </row>
    <row r="4109">
      <c r="A4109" s="25" t="n">
        <v>44881</v>
      </c>
      <c r="B4109" s="22">
        <f>(1+B4108)*IF(AND(Painel_diario!$H4105="EU_JD",Painel_diario!$J4105=1),EXP(Painel_diario!$L4105),1)-1</f>
        <v/>
      </c>
      <c r="C4109" s="22">
        <f>(1+C4108)*IF(AND(Painel_diario!$H4105="EU_JU",Painel_diario!$J4105=1),EXP(Painel_diario!$L4105),1)-1</f>
        <v/>
      </c>
      <c r="D4109" s="22">
        <f>(1+D4108)*IF(AND(Painel_diario!$H4105="ED_JD",Painel_diario!$J4105=1),EXP(Painel_diario!$L4105),1)-1</f>
        <v/>
      </c>
      <c r="E4109" s="22">
        <f>(1+E4108)*IF(AND(Painel_diario!$H4105="ED_JU",Painel_diario!$J4105=1),EXP(Painel_diario!$L4105),1)-1</f>
        <v/>
      </c>
    </row>
    <row r="4110">
      <c r="A4110" s="25" t="n">
        <v>44882</v>
      </c>
      <c r="B4110" s="22">
        <f>(1+B4109)*IF(AND(Painel_diario!$H4106="EU_JD",Painel_diario!$J4106=1),EXP(Painel_diario!$L4106),1)-1</f>
        <v/>
      </c>
      <c r="C4110" s="22">
        <f>(1+C4109)*IF(AND(Painel_diario!$H4106="EU_JU",Painel_diario!$J4106=1),EXP(Painel_diario!$L4106),1)-1</f>
        <v/>
      </c>
      <c r="D4110" s="22">
        <f>(1+D4109)*IF(AND(Painel_diario!$H4106="ED_JD",Painel_diario!$J4106=1),EXP(Painel_diario!$L4106),1)-1</f>
        <v/>
      </c>
      <c r="E4110" s="22">
        <f>(1+E4109)*IF(AND(Painel_diario!$H4106="ED_JU",Painel_diario!$J4106=1),EXP(Painel_diario!$L4106),1)-1</f>
        <v/>
      </c>
    </row>
    <row r="4111">
      <c r="A4111" s="25" t="n">
        <v>44883</v>
      </c>
      <c r="B4111" s="22">
        <f>(1+B4110)*IF(AND(Painel_diario!$H4107="EU_JD",Painel_diario!$J4107=1),EXP(Painel_diario!$L4107),1)-1</f>
        <v/>
      </c>
      <c r="C4111" s="22">
        <f>(1+C4110)*IF(AND(Painel_diario!$H4107="EU_JU",Painel_diario!$J4107=1),EXP(Painel_diario!$L4107),1)-1</f>
        <v/>
      </c>
      <c r="D4111" s="22">
        <f>(1+D4110)*IF(AND(Painel_diario!$H4107="ED_JD",Painel_diario!$J4107=1),EXP(Painel_diario!$L4107),1)-1</f>
        <v/>
      </c>
      <c r="E4111" s="22">
        <f>(1+E4110)*IF(AND(Painel_diario!$H4107="ED_JU",Painel_diario!$J4107=1),EXP(Painel_diario!$L4107),1)-1</f>
        <v/>
      </c>
    </row>
    <row r="4112">
      <c r="A4112" s="25" t="n">
        <v>44886</v>
      </c>
      <c r="B4112" s="22">
        <f>(1+B4111)*IF(AND(Painel_diario!$H4108="EU_JD",Painel_diario!$J4108=1),EXP(Painel_diario!$L4108),1)-1</f>
        <v/>
      </c>
      <c r="C4112" s="22">
        <f>(1+C4111)*IF(AND(Painel_diario!$H4108="EU_JU",Painel_diario!$J4108=1),EXP(Painel_diario!$L4108),1)-1</f>
        <v/>
      </c>
      <c r="D4112" s="22">
        <f>(1+D4111)*IF(AND(Painel_diario!$H4108="ED_JD",Painel_diario!$J4108=1),EXP(Painel_diario!$L4108),1)-1</f>
        <v/>
      </c>
      <c r="E4112" s="22">
        <f>(1+E4111)*IF(AND(Painel_diario!$H4108="ED_JU",Painel_diario!$J4108=1),EXP(Painel_diario!$L4108),1)-1</f>
        <v/>
      </c>
    </row>
    <row r="4113">
      <c r="A4113" s="25" t="n">
        <v>44887</v>
      </c>
      <c r="B4113" s="22">
        <f>(1+B4112)*IF(AND(Painel_diario!$H4109="EU_JD",Painel_diario!$J4109=1),EXP(Painel_diario!$L4109),1)-1</f>
        <v/>
      </c>
      <c r="C4113" s="22">
        <f>(1+C4112)*IF(AND(Painel_diario!$H4109="EU_JU",Painel_diario!$J4109=1),EXP(Painel_diario!$L4109),1)-1</f>
        <v/>
      </c>
      <c r="D4113" s="22">
        <f>(1+D4112)*IF(AND(Painel_diario!$H4109="ED_JD",Painel_diario!$J4109=1),EXP(Painel_diario!$L4109),1)-1</f>
        <v/>
      </c>
      <c r="E4113" s="22">
        <f>(1+E4112)*IF(AND(Painel_diario!$H4109="ED_JU",Painel_diario!$J4109=1),EXP(Painel_diario!$L4109),1)-1</f>
        <v/>
      </c>
    </row>
    <row r="4114">
      <c r="A4114" s="25" t="n">
        <v>44888</v>
      </c>
      <c r="B4114" s="22">
        <f>(1+B4113)*IF(AND(Painel_diario!$H4110="EU_JD",Painel_diario!$J4110=1),EXP(Painel_diario!$L4110),1)-1</f>
        <v/>
      </c>
      <c r="C4114" s="22">
        <f>(1+C4113)*IF(AND(Painel_diario!$H4110="EU_JU",Painel_diario!$J4110=1),EXP(Painel_diario!$L4110),1)-1</f>
        <v/>
      </c>
      <c r="D4114" s="22">
        <f>(1+D4113)*IF(AND(Painel_diario!$H4110="ED_JD",Painel_diario!$J4110=1),EXP(Painel_diario!$L4110),1)-1</f>
        <v/>
      </c>
      <c r="E4114" s="22">
        <f>(1+E4113)*IF(AND(Painel_diario!$H4110="ED_JU",Painel_diario!$J4110=1),EXP(Painel_diario!$L4110),1)-1</f>
        <v/>
      </c>
    </row>
    <row r="4115">
      <c r="A4115" s="25" t="n">
        <v>44889</v>
      </c>
      <c r="B4115" s="22">
        <f>(1+B4114)*IF(AND(Painel_diario!$H4111="EU_JD",Painel_diario!$J4111=1),EXP(Painel_diario!$L4111),1)-1</f>
        <v/>
      </c>
      <c r="C4115" s="22">
        <f>(1+C4114)*IF(AND(Painel_diario!$H4111="EU_JU",Painel_diario!$J4111=1),EXP(Painel_diario!$L4111),1)-1</f>
        <v/>
      </c>
      <c r="D4115" s="22">
        <f>(1+D4114)*IF(AND(Painel_diario!$H4111="ED_JD",Painel_diario!$J4111=1),EXP(Painel_diario!$L4111),1)-1</f>
        <v/>
      </c>
      <c r="E4115" s="22">
        <f>(1+E4114)*IF(AND(Painel_diario!$H4111="ED_JU",Painel_diario!$J4111=1),EXP(Painel_diario!$L4111),1)-1</f>
        <v/>
      </c>
    </row>
    <row r="4116">
      <c r="A4116" s="25" t="n">
        <v>44890</v>
      </c>
      <c r="B4116" s="22">
        <f>(1+B4115)*IF(AND(Painel_diario!$H4112="EU_JD",Painel_diario!$J4112=1),EXP(Painel_diario!$L4112),1)-1</f>
        <v/>
      </c>
      <c r="C4116" s="22">
        <f>(1+C4115)*IF(AND(Painel_diario!$H4112="EU_JU",Painel_diario!$J4112=1),EXP(Painel_diario!$L4112),1)-1</f>
        <v/>
      </c>
      <c r="D4116" s="22">
        <f>(1+D4115)*IF(AND(Painel_diario!$H4112="ED_JD",Painel_diario!$J4112=1),EXP(Painel_diario!$L4112),1)-1</f>
        <v/>
      </c>
      <c r="E4116" s="22">
        <f>(1+E4115)*IF(AND(Painel_diario!$H4112="ED_JU",Painel_diario!$J4112=1),EXP(Painel_diario!$L4112),1)-1</f>
        <v/>
      </c>
    </row>
    <row r="4117">
      <c r="A4117" s="25" t="n">
        <v>44893</v>
      </c>
      <c r="B4117" s="22">
        <f>(1+B4116)*IF(AND(Painel_diario!$H4113="EU_JD",Painel_diario!$J4113=1),EXP(Painel_diario!$L4113),1)-1</f>
        <v/>
      </c>
      <c r="C4117" s="22">
        <f>(1+C4116)*IF(AND(Painel_diario!$H4113="EU_JU",Painel_diario!$J4113=1),EXP(Painel_diario!$L4113),1)-1</f>
        <v/>
      </c>
      <c r="D4117" s="22">
        <f>(1+D4116)*IF(AND(Painel_diario!$H4113="ED_JD",Painel_diario!$J4113=1),EXP(Painel_diario!$L4113),1)-1</f>
        <v/>
      </c>
      <c r="E4117" s="22">
        <f>(1+E4116)*IF(AND(Painel_diario!$H4113="ED_JU",Painel_diario!$J4113=1),EXP(Painel_diario!$L4113),1)-1</f>
        <v/>
      </c>
    </row>
    <row r="4118">
      <c r="A4118" s="25" t="n">
        <v>44894</v>
      </c>
      <c r="B4118" s="22">
        <f>(1+B4117)*IF(AND(Painel_diario!$H4114="EU_JD",Painel_diario!$J4114=1),EXP(Painel_diario!$L4114),1)-1</f>
        <v/>
      </c>
      <c r="C4118" s="22">
        <f>(1+C4117)*IF(AND(Painel_diario!$H4114="EU_JU",Painel_diario!$J4114=1),EXP(Painel_diario!$L4114),1)-1</f>
        <v/>
      </c>
      <c r="D4118" s="22">
        <f>(1+D4117)*IF(AND(Painel_diario!$H4114="ED_JD",Painel_diario!$J4114=1),EXP(Painel_diario!$L4114),1)-1</f>
        <v/>
      </c>
      <c r="E4118" s="22">
        <f>(1+E4117)*IF(AND(Painel_diario!$H4114="ED_JU",Painel_diario!$J4114=1),EXP(Painel_diario!$L4114),1)-1</f>
        <v/>
      </c>
    </row>
    <row r="4119">
      <c r="A4119" s="25" t="n">
        <v>44895</v>
      </c>
      <c r="B4119" s="22">
        <f>(1+B4118)*IF(AND(Painel_diario!$H4115="EU_JD",Painel_diario!$J4115=1),EXP(Painel_diario!$L4115),1)-1</f>
        <v/>
      </c>
      <c r="C4119" s="22">
        <f>(1+C4118)*IF(AND(Painel_diario!$H4115="EU_JU",Painel_diario!$J4115=1),EXP(Painel_diario!$L4115),1)-1</f>
        <v/>
      </c>
      <c r="D4119" s="22">
        <f>(1+D4118)*IF(AND(Painel_diario!$H4115="ED_JD",Painel_diario!$J4115=1),EXP(Painel_diario!$L4115),1)-1</f>
        <v/>
      </c>
      <c r="E4119" s="22">
        <f>(1+E4118)*IF(AND(Painel_diario!$H4115="ED_JU",Painel_diario!$J4115=1),EXP(Painel_diario!$L4115),1)-1</f>
        <v/>
      </c>
    </row>
    <row r="4120">
      <c r="A4120" s="25" t="n">
        <v>44896</v>
      </c>
      <c r="B4120" s="22">
        <f>(1+B4119)*IF(AND(Painel_diario!$H4116="EU_JD",Painel_diario!$J4116=1),EXP(Painel_diario!$L4116),1)-1</f>
        <v/>
      </c>
      <c r="C4120" s="22">
        <f>(1+C4119)*IF(AND(Painel_diario!$H4116="EU_JU",Painel_diario!$J4116=1),EXP(Painel_diario!$L4116),1)-1</f>
        <v/>
      </c>
      <c r="D4120" s="22">
        <f>(1+D4119)*IF(AND(Painel_diario!$H4116="ED_JD",Painel_diario!$J4116=1),EXP(Painel_diario!$L4116),1)-1</f>
        <v/>
      </c>
      <c r="E4120" s="22">
        <f>(1+E4119)*IF(AND(Painel_diario!$H4116="ED_JU",Painel_diario!$J4116=1),EXP(Painel_diario!$L4116),1)-1</f>
        <v/>
      </c>
    </row>
    <row r="4121">
      <c r="A4121" s="25" t="n">
        <v>44897</v>
      </c>
      <c r="B4121" s="22">
        <f>(1+B4120)*IF(AND(Painel_diario!$H4117="EU_JD",Painel_diario!$J4117=1),EXP(Painel_diario!$L4117),1)-1</f>
        <v/>
      </c>
      <c r="C4121" s="22">
        <f>(1+C4120)*IF(AND(Painel_diario!$H4117="EU_JU",Painel_diario!$J4117=1),EXP(Painel_diario!$L4117),1)-1</f>
        <v/>
      </c>
      <c r="D4121" s="22">
        <f>(1+D4120)*IF(AND(Painel_diario!$H4117="ED_JD",Painel_diario!$J4117=1),EXP(Painel_diario!$L4117),1)-1</f>
        <v/>
      </c>
      <c r="E4121" s="22">
        <f>(1+E4120)*IF(AND(Painel_diario!$H4117="ED_JU",Painel_diario!$J4117=1),EXP(Painel_diario!$L4117),1)-1</f>
        <v/>
      </c>
    </row>
    <row r="4122">
      <c r="A4122" s="25" t="n">
        <v>44900</v>
      </c>
      <c r="B4122" s="22">
        <f>(1+B4121)*IF(AND(Painel_diario!$H4118="EU_JD",Painel_diario!$J4118=1),EXP(Painel_diario!$L4118),1)-1</f>
        <v/>
      </c>
      <c r="C4122" s="22">
        <f>(1+C4121)*IF(AND(Painel_diario!$H4118="EU_JU",Painel_diario!$J4118=1),EXP(Painel_diario!$L4118),1)-1</f>
        <v/>
      </c>
      <c r="D4122" s="22">
        <f>(1+D4121)*IF(AND(Painel_diario!$H4118="ED_JD",Painel_diario!$J4118=1),EXP(Painel_diario!$L4118),1)-1</f>
        <v/>
      </c>
      <c r="E4122" s="22">
        <f>(1+E4121)*IF(AND(Painel_diario!$H4118="ED_JU",Painel_diario!$J4118=1),EXP(Painel_diario!$L4118),1)-1</f>
        <v/>
      </c>
    </row>
    <row r="4123">
      <c r="A4123" s="25" t="n">
        <v>44901</v>
      </c>
      <c r="B4123" s="22">
        <f>(1+B4122)*IF(AND(Painel_diario!$H4119="EU_JD",Painel_diario!$J4119=1),EXP(Painel_diario!$L4119),1)-1</f>
        <v/>
      </c>
      <c r="C4123" s="22">
        <f>(1+C4122)*IF(AND(Painel_diario!$H4119="EU_JU",Painel_diario!$J4119=1),EXP(Painel_diario!$L4119),1)-1</f>
        <v/>
      </c>
      <c r="D4123" s="22">
        <f>(1+D4122)*IF(AND(Painel_diario!$H4119="ED_JD",Painel_diario!$J4119=1),EXP(Painel_diario!$L4119),1)-1</f>
        <v/>
      </c>
      <c r="E4123" s="22">
        <f>(1+E4122)*IF(AND(Painel_diario!$H4119="ED_JU",Painel_diario!$J4119=1),EXP(Painel_diario!$L4119),1)-1</f>
        <v/>
      </c>
    </row>
    <row r="4124">
      <c r="A4124" s="25" t="n">
        <v>44902</v>
      </c>
      <c r="B4124" s="22">
        <f>(1+B4123)*IF(AND(Painel_diario!$H4120="EU_JD",Painel_diario!$J4120=1),EXP(Painel_diario!$L4120),1)-1</f>
        <v/>
      </c>
      <c r="C4124" s="22">
        <f>(1+C4123)*IF(AND(Painel_diario!$H4120="EU_JU",Painel_diario!$J4120=1),EXP(Painel_diario!$L4120),1)-1</f>
        <v/>
      </c>
      <c r="D4124" s="22">
        <f>(1+D4123)*IF(AND(Painel_diario!$H4120="ED_JD",Painel_diario!$J4120=1),EXP(Painel_diario!$L4120),1)-1</f>
        <v/>
      </c>
      <c r="E4124" s="22">
        <f>(1+E4123)*IF(AND(Painel_diario!$H4120="ED_JU",Painel_diario!$J4120=1),EXP(Painel_diario!$L4120),1)-1</f>
        <v/>
      </c>
    </row>
    <row r="4125">
      <c r="A4125" s="25" t="n">
        <v>44903</v>
      </c>
      <c r="B4125" s="22">
        <f>(1+B4124)*IF(AND(Painel_diario!$H4121="EU_JD",Painel_diario!$J4121=1),EXP(Painel_diario!$L4121),1)-1</f>
        <v/>
      </c>
      <c r="C4125" s="22">
        <f>(1+C4124)*IF(AND(Painel_diario!$H4121="EU_JU",Painel_diario!$J4121=1),EXP(Painel_diario!$L4121),1)-1</f>
        <v/>
      </c>
      <c r="D4125" s="22">
        <f>(1+D4124)*IF(AND(Painel_diario!$H4121="ED_JD",Painel_diario!$J4121=1),EXP(Painel_diario!$L4121),1)-1</f>
        <v/>
      </c>
      <c r="E4125" s="22">
        <f>(1+E4124)*IF(AND(Painel_diario!$H4121="ED_JU",Painel_diario!$J4121=1),EXP(Painel_diario!$L4121),1)-1</f>
        <v/>
      </c>
    </row>
    <row r="4126">
      <c r="A4126" s="25" t="n">
        <v>44904</v>
      </c>
      <c r="B4126" s="22">
        <f>(1+B4125)*IF(AND(Painel_diario!$H4122="EU_JD",Painel_diario!$J4122=1),EXP(Painel_diario!$L4122),1)-1</f>
        <v/>
      </c>
      <c r="C4126" s="22">
        <f>(1+C4125)*IF(AND(Painel_diario!$H4122="EU_JU",Painel_diario!$J4122=1),EXP(Painel_diario!$L4122),1)-1</f>
        <v/>
      </c>
      <c r="D4126" s="22">
        <f>(1+D4125)*IF(AND(Painel_diario!$H4122="ED_JD",Painel_diario!$J4122=1),EXP(Painel_diario!$L4122),1)-1</f>
        <v/>
      </c>
      <c r="E4126" s="22">
        <f>(1+E4125)*IF(AND(Painel_diario!$H4122="ED_JU",Painel_diario!$J4122=1),EXP(Painel_diario!$L4122),1)-1</f>
        <v/>
      </c>
    </row>
    <row r="4127">
      <c r="A4127" s="25" t="n">
        <v>44907</v>
      </c>
      <c r="B4127" s="22">
        <f>(1+B4126)*IF(AND(Painel_diario!$H4123="EU_JD",Painel_diario!$J4123=1),EXP(Painel_diario!$L4123),1)-1</f>
        <v/>
      </c>
      <c r="C4127" s="22">
        <f>(1+C4126)*IF(AND(Painel_diario!$H4123="EU_JU",Painel_diario!$J4123=1),EXP(Painel_diario!$L4123),1)-1</f>
        <v/>
      </c>
      <c r="D4127" s="22">
        <f>(1+D4126)*IF(AND(Painel_diario!$H4123="ED_JD",Painel_diario!$J4123=1),EXP(Painel_diario!$L4123),1)-1</f>
        <v/>
      </c>
      <c r="E4127" s="22">
        <f>(1+E4126)*IF(AND(Painel_diario!$H4123="ED_JU",Painel_diario!$J4123=1),EXP(Painel_diario!$L4123),1)-1</f>
        <v/>
      </c>
    </row>
    <row r="4128">
      <c r="A4128" s="25" t="n">
        <v>44908</v>
      </c>
      <c r="B4128" s="22">
        <f>(1+B4127)*IF(AND(Painel_diario!$H4124="EU_JD",Painel_diario!$J4124=1),EXP(Painel_diario!$L4124),1)-1</f>
        <v/>
      </c>
      <c r="C4128" s="22">
        <f>(1+C4127)*IF(AND(Painel_diario!$H4124="EU_JU",Painel_diario!$J4124=1),EXP(Painel_diario!$L4124),1)-1</f>
        <v/>
      </c>
      <c r="D4128" s="22">
        <f>(1+D4127)*IF(AND(Painel_diario!$H4124="ED_JD",Painel_diario!$J4124=1),EXP(Painel_diario!$L4124),1)-1</f>
        <v/>
      </c>
      <c r="E4128" s="22">
        <f>(1+E4127)*IF(AND(Painel_diario!$H4124="ED_JU",Painel_diario!$J4124=1),EXP(Painel_diario!$L4124),1)-1</f>
        <v/>
      </c>
    </row>
    <row r="4129">
      <c r="A4129" s="25" t="n">
        <v>44909</v>
      </c>
      <c r="B4129" s="22">
        <f>(1+B4128)*IF(AND(Painel_diario!$H4125="EU_JD",Painel_diario!$J4125=1),EXP(Painel_diario!$L4125),1)-1</f>
        <v/>
      </c>
      <c r="C4129" s="22">
        <f>(1+C4128)*IF(AND(Painel_diario!$H4125="EU_JU",Painel_diario!$J4125=1),EXP(Painel_diario!$L4125),1)-1</f>
        <v/>
      </c>
      <c r="D4129" s="22">
        <f>(1+D4128)*IF(AND(Painel_diario!$H4125="ED_JD",Painel_diario!$J4125=1),EXP(Painel_diario!$L4125),1)-1</f>
        <v/>
      </c>
      <c r="E4129" s="22">
        <f>(1+E4128)*IF(AND(Painel_diario!$H4125="ED_JU",Painel_diario!$J4125=1),EXP(Painel_diario!$L4125),1)-1</f>
        <v/>
      </c>
    </row>
    <row r="4130">
      <c r="A4130" s="25" t="n">
        <v>44910</v>
      </c>
      <c r="B4130" s="22">
        <f>(1+B4129)*IF(AND(Painel_diario!$H4126="EU_JD",Painel_diario!$J4126=1),EXP(Painel_diario!$L4126),1)-1</f>
        <v/>
      </c>
      <c r="C4130" s="22">
        <f>(1+C4129)*IF(AND(Painel_diario!$H4126="EU_JU",Painel_diario!$J4126=1),EXP(Painel_diario!$L4126),1)-1</f>
        <v/>
      </c>
      <c r="D4130" s="22">
        <f>(1+D4129)*IF(AND(Painel_diario!$H4126="ED_JD",Painel_diario!$J4126=1),EXP(Painel_diario!$L4126),1)-1</f>
        <v/>
      </c>
      <c r="E4130" s="22">
        <f>(1+E4129)*IF(AND(Painel_diario!$H4126="ED_JU",Painel_diario!$J4126=1),EXP(Painel_diario!$L4126),1)-1</f>
        <v/>
      </c>
    </row>
    <row r="4131">
      <c r="A4131" s="25" t="n">
        <v>44911</v>
      </c>
      <c r="B4131" s="22">
        <f>(1+B4130)*IF(AND(Painel_diario!$H4127="EU_JD",Painel_diario!$J4127=1),EXP(Painel_diario!$L4127),1)-1</f>
        <v/>
      </c>
      <c r="C4131" s="22">
        <f>(1+C4130)*IF(AND(Painel_diario!$H4127="EU_JU",Painel_diario!$J4127=1),EXP(Painel_diario!$L4127),1)-1</f>
        <v/>
      </c>
      <c r="D4131" s="22">
        <f>(1+D4130)*IF(AND(Painel_diario!$H4127="ED_JD",Painel_diario!$J4127=1),EXP(Painel_diario!$L4127),1)-1</f>
        <v/>
      </c>
      <c r="E4131" s="22">
        <f>(1+E4130)*IF(AND(Painel_diario!$H4127="ED_JU",Painel_diario!$J4127=1),EXP(Painel_diario!$L4127),1)-1</f>
        <v/>
      </c>
    </row>
    <row r="4132">
      <c r="A4132" s="25" t="n">
        <v>44914</v>
      </c>
      <c r="B4132" s="22">
        <f>(1+B4131)*IF(AND(Painel_diario!$H4128="EU_JD",Painel_diario!$J4128=1),EXP(Painel_diario!$L4128),1)-1</f>
        <v/>
      </c>
      <c r="C4132" s="22">
        <f>(1+C4131)*IF(AND(Painel_diario!$H4128="EU_JU",Painel_diario!$J4128=1),EXP(Painel_diario!$L4128),1)-1</f>
        <v/>
      </c>
      <c r="D4132" s="22">
        <f>(1+D4131)*IF(AND(Painel_diario!$H4128="ED_JD",Painel_diario!$J4128=1),EXP(Painel_diario!$L4128),1)-1</f>
        <v/>
      </c>
      <c r="E4132" s="22">
        <f>(1+E4131)*IF(AND(Painel_diario!$H4128="ED_JU",Painel_diario!$J4128=1),EXP(Painel_diario!$L4128),1)-1</f>
        <v/>
      </c>
    </row>
    <row r="4133">
      <c r="A4133" s="25" t="n">
        <v>44915</v>
      </c>
      <c r="B4133" s="22">
        <f>(1+B4132)*IF(AND(Painel_diario!$H4129="EU_JD",Painel_diario!$J4129=1),EXP(Painel_diario!$L4129),1)-1</f>
        <v/>
      </c>
      <c r="C4133" s="22">
        <f>(1+C4132)*IF(AND(Painel_diario!$H4129="EU_JU",Painel_diario!$J4129=1),EXP(Painel_diario!$L4129),1)-1</f>
        <v/>
      </c>
      <c r="D4133" s="22">
        <f>(1+D4132)*IF(AND(Painel_diario!$H4129="ED_JD",Painel_diario!$J4129=1),EXP(Painel_diario!$L4129),1)-1</f>
        <v/>
      </c>
      <c r="E4133" s="22">
        <f>(1+E4132)*IF(AND(Painel_diario!$H4129="ED_JU",Painel_diario!$J4129=1),EXP(Painel_diario!$L4129),1)-1</f>
        <v/>
      </c>
    </row>
    <row r="4134">
      <c r="A4134" s="25" t="n">
        <v>44916</v>
      </c>
      <c r="B4134" s="22">
        <f>(1+B4133)*IF(AND(Painel_diario!$H4130="EU_JD",Painel_diario!$J4130=1),EXP(Painel_diario!$L4130),1)-1</f>
        <v/>
      </c>
      <c r="C4134" s="22">
        <f>(1+C4133)*IF(AND(Painel_diario!$H4130="EU_JU",Painel_diario!$J4130=1),EXP(Painel_diario!$L4130),1)-1</f>
        <v/>
      </c>
      <c r="D4134" s="22">
        <f>(1+D4133)*IF(AND(Painel_diario!$H4130="ED_JD",Painel_diario!$J4130=1),EXP(Painel_diario!$L4130),1)-1</f>
        <v/>
      </c>
      <c r="E4134" s="22">
        <f>(1+E4133)*IF(AND(Painel_diario!$H4130="ED_JU",Painel_diario!$J4130=1),EXP(Painel_diario!$L4130),1)-1</f>
        <v/>
      </c>
    </row>
    <row r="4135">
      <c r="A4135" s="25" t="n">
        <v>44917</v>
      </c>
      <c r="B4135" s="22">
        <f>(1+B4134)*IF(AND(Painel_diario!$H4131="EU_JD",Painel_diario!$J4131=1),EXP(Painel_diario!$L4131),1)-1</f>
        <v/>
      </c>
      <c r="C4135" s="22">
        <f>(1+C4134)*IF(AND(Painel_diario!$H4131="EU_JU",Painel_diario!$J4131=1),EXP(Painel_diario!$L4131),1)-1</f>
        <v/>
      </c>
      <c r="D4135" s="22">
        <f>(1+D4134)*IF(AND(Painel_diario!$H4131="ED_JD",Painel_diario!$J4131=1),EXP(Painel_diario!$L4131),1)-1</f>
        <v/>
      </c>
      <c r="E4135" s="22">
        <f>(1+E4134)*IF(AND(Painel_diario!$H4131="ED_JU",Painel_diario!$J4131=1),EXP(Painel_diario!$L4131),1)-1</f>
        <v/>
      </c>
    </row>
    <row r="4136">
      <c r="A4136" s="25" t="n">
        <v>44918</v>
      </c>
      <c r="B4136" s="22">
        <f>(1+B4135)*IF(AND(Painel_diario!$H4132="EU_JD",Painel_diario!$J4132=1),EXP(Painel_diario!$L4132),1)-1</f>
        <v/>
      </c>
      <c r="C4136" s="22">
        <f>(1+C4135)*IF(AND(Painel_diario!$H4132="EU_JU",Painel_diario!$J4132=1),EXP(Painel_diario!$L4132),1)-1</f>
        <v/>
      </c>
      <c r="D4136" s="22">
        <f>(1+D4135)*IF(AND(Painel_diario!$H4132="ED_JD",Painel_diario!$J4132=1),EXP(Painel_diario!$L4132),1)-1</f>
        <v/>
      </c>
      <c r="E4136" s="22">
        <f>(1+E4135)*IF(AND(Painel_diario!$H4132="ED_JU",Painel_diario!$J4132=1),EXP(Painel_diario!$L4132),1)-1</f>
        <v/>
      </c>
    </row>
    <row r="4137">
      <c r="A4137" s="25" t="n">
        <v>44921</v>
      </c>
      <c r="B4137" s="22">
        <f>(1+B4136)*IF(AND(Painel_diario!$H4133="EU_JD",Painel_diario!$J4133=1),EXP(Painel_diario!$L4133),1)-1</f>
        <v/>
      </c>
      <c r="C4137" s="22">
        <f>(1+C4136)*IF(AND(Painel_diario!$H4133="EU_JU",Painel_diario!$J4133=1),EXP(Painel_diario!$L4133),1)-1</f>
        <v/>
      </c>
      <c r="D4137" s="22">
        <f>(1+D4136)*IF(AND(Painel_diario!$H4133="ED_JD",Painel_diario!$J4133=1),EXP(Painel_diario!$L4133),1)-1</f>
        <v/>
      </c>
      <c r="E4137" s="22">
        <f>(1+E4136)*IF(AND(Painel_diario!$H4133="ED_JU",Painel_diario!$J4133=1),EXP(Painel_diario!$L4133),1)-1</f>
        <v/>
      </c>
    </row>
    <row r="4138">
      <c r="A4138" s="25" t="n">
        <v>44922</v>
      </c>
      <c r="B4138" s="22">
        <f>(1+B4137)*IF(AND(Painel_diario!$H4134="EU_JD",Painel_diario!$J4134=1),EXP(Painel_diario!$L4134),1)-1</f>
        <v/>
      </c>
      <c r="C4138" s="22">
        <f>(1+C4137)*IF(AND(Painel_diario!$H4134="EU_JU",Painel_diario!$J4134=1),EXP(Painel_diario!$L4134),1)-1</f>
        <v/>
      </c>
      <c r="D4138" s="22">
        <f>(1+D4137)*IF(AND(Painel_diario!$H4134="ED_JD",Painel_diario!$J4134=1),EXP(Painel_diario!$L4134),1)-1</f>
        <v/>
      </c>
      <c r="E4138" s="22">
        <f>(1+E4137)*IF(AND(Painel_diario!$H4134="ED_JU",Painel_diario!$J4134=1),EXP(Painel_diario!$L4134),1)-1</f>
        <v/>
      </c>
    </row>
    <row r="4139">
      <c r="A4139" s="25" t="n">
        <v>44923</v>
      </c>
      <c r="B4139" s="22">
        <f>(1+B4138)*IF(AND(Painel_diario!$H4135="EU_JD",Painel_diario!$J4135=1),EXP(Painel_diario!$L4135),1)-1</f>
        <v/>
      </c>
      <c r="C4139" s="22">
        <f>(1+C4138)*IF(AND(Painel_diario!$H4135="EU_JU",Painel_diario!$J4135=1),EXP(Painel_diario!$L4135),1)-1</f>
        <v/>
      </c>
      <c r="D4139" s="22">
        <f>(1+D4138)*IF(AND(Painel_diario!$H4135="ED_JD",Painel_diario!$J4135=1),EXP(Painel_diario!$L4135),1)-1</f>
        <v/>
      </c>
      <c r="E4139" s="22">
        <f>(1+E4138)*IF(AND(Painel_diario!$H4135="ED_JU",Painel_diario!$J4135=1),EXP(Painel_diario!$L4135),1)-1</f>
        <v/>
      </c>
    </row>
    <row r="4140">
      <c r="A4140" s="25" t="n">
        <v>44924</v>
      </c>
      <c r="B4140" s="22">
        <f>(1+B4139)*IF(AND(Painel_diario!$H4136="EU_JD",Painel_diario!$J4136=1),EXP(Painel_diario!$L4136),1)-1</f>
        <v/>
      </c>
      <c r="C4140" s="22">
        <f>(1+C4139)*IF(AND(Painel_diario!$H4136="EU_JU",Painel_diario!$J4136=1),EXP(Painel_diario!$L4136),1)-1</f>
        <v/>
      </c>
      <c r="D4140" s="22">
        <f>(1+D4139)*IF(AND(Painel_diario!$H4136="ED_JD",Painel_diario!$J4136=1),EXP(Painel_diario!$L4136),1)-1</f>
        <v/>
      </c>
      <c r="E4140" s="22">
        <f>(1+E4139)*IF(AND(Painel_diario!$H4136="ED_JU",Painel_diario!$J4136=1),EXP(Painel_diario!$L4136),1)-1</f>
        <v/>
      </c>
    </row>
    <row r="4141">
      <c r="A4141" s="25" t="n">
        <v>44928</v>
      </c>
      <c r="B4141" s="22">
        <f>(1+B4140)*IF(AND(Painel_diario!$H4137="EU_JD",Painel_diario!$J4137=1),EXP(Painel_diario!$L4137),1)-1</f>
        <v/>
      </c>
      <c r="C4141" s="22">
        <f>(1+C4140)*IF(AND(Painel_diario!$H4137="EU_JU",Painel_diario!$J4137=1),EXP(Painel_diario!$L4137),1)-1</f>
        <v/>
      </c>
      <c r="D4141" s="22">
        <f>(1+D4140)*IF(AND(Painel_diario!$H4137="ED_JD",Painel_diario!$J4137=1),EXP(Painel_diario!$L4137),1)-1</f>
        <v/>
      </c>
      <c r="E4141" s="22">
        <f>(1+E4140)*IF(AND(Painel_diario!$H4137="ED_JU",Painel_diario!$J4137=1),EXP(Painel_diario!$L4137),1)-1</f>
        <v/>
      </c>
    </row>
    <row r="4142">
      <c r="A4142" s="25" t="n">
        <v>44929</v>
      </c>
      <c r="B4142" s="22">
        <f>(1+B4141)*IF(AND(Painel_diario!$H4138="EU_JD",Painel_diario!$J4138=1),EXP(Painel_diario!$L4138),1)-1</f>
        <v/>
      </c>
      <c r="C4142" s="22">
        <f>(1+C4141)*IF(AND(Painel_diario!$H4138="EU_JU",Painel_diario!$J4138=1),EXP(Painel_diario!$L4138),1)-1</f>
        <v/>
      </c>
      <c r="D4142" s="22">
        <f>(1+D4141)*IF(AND(Painel_diario!$H4138="ED_JD",Painel_diario!$J4138=1),EXP(Painel_diario!$L4138),1)-1</f>
        <v/>
      </c>
      <c r="E4142" s="22">
        <f>(1+E4141)*IF(AND(Painel_diario!$H4138="ED_JU",Painel_diario!$J4138=1),EXP(Painel_diario!$L4138),1)-1</f>
        <v/>
      </c>
    </row>
    <row r="4143">
      <c r="A4143" s="25" t="n">
        <v>44930</v>
      </c>
      <c r="B4143" s="22">
        <f>(1+B4142)*IF(AND(Painel_diario!$H4139="EU_JD",Painel_diario!$J4139=1),EXP(Painel_diario!$L4139),1)-1</f>
        <v/>
      </c>
      <c r="C4143" s="22">
        <f>(1+C4142)*IF(AND(Painel_diario!$H4139="EU_JU",Painel_diario!$J4139=1),EXP(Painel_diario!$L4139),1)-1</f>
        <v/>
      </c>
      <c r="D4143" s="22">
        <f>(1+D4142)*IF(AND(Painel_diario!$H4139="ED_JD",Painel_diario!$J4139=1),EXP(Painel_diario!$L4139),1)-1</f>
        <v/>
      </c>
      <c r="E4143" s="22">
        <f>(1+E4142)*IF(AND(Painel_diario!$H4139="ED_JU",Painel_diario!$J4139=1),EXP(Painel_diario!$L4139),1)-1</f>
        <v/>
      </c>
    </row>
    <row r="4144">
      <c r="A4144" s="25" t="n">
        <v>44931</v>
      </c>
      <c r="B4144" s="22">
        <f>(1+B4143)*IF(AND(Painel_diario!$H4140="EU_JD",Painel_diario!$J4140=1),EXP(Painel_diario!$L4140),1)-1</f>
        <v/>
      </c>
      <c r="C4144" s="22">
        <f>(1+C4143)*IF(AND(Painel_diario!$H4140="EU_JU",Painel_diario!$J4140=1),EXP(Painel_diario!$L4140),1)-1</f>
        <v/>
      </c>
      <c r="D4144" s="22">
        <f>(1+D4143)*IF(AND(Painel_diario!$H4140="ED_JD",Painel_diario!$J4140=1),EXP(Painel_diario!$L4140),1)-1</f>
        <v/>
      </c>
      <c r="E4144" s="22">
        <f>(1+E4143)*IF(AND(Painel_diario!$H4140="ED_JU",Painel_diario!$J4140=1),EXP(Painel_diario!$L4140),1)-1</f>
        <v/>
      </c>
    </row>
    <row r="4145">
      <c r="A4145" s="25" t="n">
        <v>44932</v>
      </c>
      <c r="B4145" s="22">
        <f>(1+B4144)*IF(AND(Painel_diario!$H4141="EU_JD",Painel_diario!$J4141=1),EXP(Painel_diario!$L4141),1)-1</f>
        <v/>
      </c>
      <c r="C4145" s="22">
        <f>(1+C4144)*IF(AND(Painel_diario!$H4141="EU_JU",Painel_diario!$J4141=1),EXP(Painel_diario!$L4141),1)-1</f>
        <v/>
      </c>
      <c r="D4145" s="22">
        <f>(1+D4144)*IF(AND(Painel_diario!$H4141="ED_JD",Painel_diario!$J4141=1),EXP(Painel_diario!$L4141),1)-1</f>
        <v/>
      </c>
      <c r="E4145" s="22">
        <f>(1+E4144)*IF(AND(Painel_diario!$H4141="ED_JU",Painel_diario!$J4141=1),EXP(Painel_diario!$L4141),1)-1</f>
        <v/>
      </c>
    </row>
    <row r="4146">
      <c r="A4146" s="25" t="n">
        <v>44935</v>
      </c>
      <c r="B4146" s="22">
        <f>(1+B4145)*IF(AND(Painel_diario!$H4142="EU_JD",Painel_diario!$J4142=1),EXP(Painel_diario!$L4142),1)-1</f>
        <v/>
      </c>
      <c r="C4146" s="22">
        <f>(1+C4145)*IF(AND(Painel_diario!$H4142="EU_JU",Painel_diario!$J4142=1),EXP(Painel_diario!$L4142),1)-1</f>
        <v/>
      </c>
      <c r="D4146" s="22">
        <f>(1+D4145)*IF(AND(Painel_diario!$H4142="ED_JD",Painel_diario!$J4142=1),EXP(Painel_diario!$L4142),1)-1</f>
        <v/>
      </c>
      <c r="E4146" s="22">
        <f>(1+E4145)*IF(AND(Painel_diario!$H4142="ED_JU",Painel_diario!$J4142=1),EXP(Painel_diario!$L4142),1)-1</f>
        <v/>
      </c>
    </row>
    <row r="4147">
      <c r="A4147" s="25" t="n">
        <v>44936</v>
      </c>
      <c r="B4147" s="22">
        <f>(1+B4146)*IF(AND(Painel_diario!$H4143="EU_JD",Painel_diario!$J4143=1),EXP(Painel_diario!$L4143),1)-1</f>
        <v/>
      </c>
      <c r="C4147" s="22">
        <f>(1+C4146)*IF(AND(Painel_diario!$H4143="EU_JU",Painel_diario!$J4143=1),EXP(Painel_diario!$L4143),1)-1</f>
        <v/>
      </c>
      <c r="D4147" s="22">
        <f>(1+D4146)*IF(AND(Painel_diario!$H4143="ED_JD",Painel_diario!$J4143=1),EXP(Painel_diario!$L4143),1)-1</f>
        <v/>
      </c>
      <c r="E4147" s="22">
        <f>(1+E4146)*IF(AND(Painel_diario!$H4143="ED_JU",Painel_diario!$J4143=1),EXP(Painel_diario!$L4143),1)-1</f>
        <v/>
      </c>
    </row>
    <row r="4148">
      <c r="A4148" s="25" t="n">
        <v>44937</v>
      </c>
      <c r="B4148" s="22">
        <f>(1+B4147)*IF(AND(Painel_diario!$H4144="EU_JD",Painel_diario!$J4144=1),EXP(Painel_diario!$L4144),1)-1</f>
        <v/>
      </c>
      <c r="C4148" s="22">
        <f>(1+C4147)*IF(AND(Painel_diario!$H4144="EU_JU",Painel_diario!$J4144=1),EXP(Painel_diario!$L4144),1)-1</f>
        <v/>
      </c>
      <c r="D4148" s="22">
        <f>(1+D4147)*IF(AND(Painel_diario!$H4144="ED_JD",Painel_diario!$J4144=1),EXP(Painel_diario!$L4144),1)-1</f>
        <v/>
      </c>
      <c r="E4148" s="22">
        <f>(1+E4147)*IF(AND(Painel_diario!$H4144="ED_JU",Painel_diario!$J4144=1),EXP(Painel_diario!$L4144),1)-1</f>
        <v/>
      </c>
    </row>
    <row r="4149">
      <c r="A4149" s="25" t="n">
        <v>44938</v>
      </c>
      <c r="B4149" s="22">
        <f>(1+B4148)*IF(AND(Painel_diario!$H4145="EU_JD",Painel_diario!$J4145=1),EXP(Painel_diario!$L4145),1)-1</f>
        <v/>
      </c>
      <c r="C4149" s="22">
        <f>(1+C4148)*IF(AND(Painel_diario!$H4145="EU_JU",Painel_diario!$J4145=1),EXP(Painel_diario!$L4145),1)-1</f>
        <v/>
      </c>
      <c r="D4149" s="22">
        <f>(1+D4148)*IF(AND(Painel_diario!$H4145="ED_JD",Painel_diario!$J4145=1),EXP(Painel_diario!$L4145),1)-1</f>
        <v/>
      </c>
      <c r="E4149" s="22">
        <f>(1+E4148)*IF(AND(Painel_diario!$H4145="ED_JU",Painel_diario!$J4145=1),EXP(Painel_diario!$L4145),1)-1</f>
        <v/>
      </c>
    </row>
    <row r="4150">
      <c r="A4150" s="25" t="n">
        <v>44939</v>
      </c>
      <c r="B4150" s="22">
        <f>(1+B4149)*IF(AND(Painel_diario!$H4146="EU_JD",Painel_diario!$J4146=1),EXP(Painel_diario!$L4146),1)-1</f>
        <v/>
      </c>
      <c r="C4150" s="22">
        <f>(1+C4149)*IF(AND(Painel_diario!$H4146="EU_JU",Painel_diario!$J4146=1),EXP(Painel_diario!$L4146),1)-1</f>
        <v/>
      </c>
      <c r="D4150" s="22">
        <f>(1+D4149)*IF(AND(Painel_diario!$H4146="ED_JD",Painel_diario!$J4146=1),EXP(Painel_diario!$L4146),1)-1</f>
        <v/>
      </c>
      <c r="E4150" s="22">
        <f>(1+E4149)*IF(AND(Painel_diario!$H4146="ED_JU",Painel_diario!$J4146=1),EXP(Painel_diario!$L4146),1)-1</f>
        <v/>
      </c>
    </row>
    <row r="4151">
      <c r="A4151" s="25" t="n">
        <v>44942</v>
      </c>
      <c r="B4151" s="22">
        <f>(1+B4150)*IF(AND(Painel_diario!$H4147="EU_JD",Painel_diario!$J4147=1),EXP(Painel_diario!$L4147),1)-1</f>
        <v/>
      </c>
      <c r="C4151" s="22">
        <f>(1+C4150)*IF(AND(Painel_diario!$H4147="EU_JU",Painel_diario!$J4147=1),EXP(Painel_diario!$L4147),1)-1</f>
        <v/>
      </c>
      <c r="D4151" s="22">
        <f>(1+D4150)*IF(AND(Painel_diario!$H4147="ED_JD",Painel_diario!$J4147=1),EXP(Painel_diario!$L4147),1)-1</f>
        <v/>
      </c>
      <c r="E4151" s="22">
        <f>(1+E4150)*IF(AND(Painel_diario!$H4147="ED_JU",Painel_diario!$J4147=1),EXP(Painel_diario!$L4147),1)-1</f>
        <v/>
      </c>
    </row>
    <row r="4152">
      <c r="A4152" s="25" t="n">
        <v>44943</v>
      </c>
      <c r="B4152" s="22">
        <f>(1+B4151)*IF(AND(Painel_diario!$H4148="EU_JD",Painel_diario!$J4148=1),EXP(Painel_diario!$L4148),1)-1</f>
        <v/>
      </c>
      <c r="C4152" s="22">
        <f>(1+C4151)*IF(AND(Painel_diario!$H4148="EU_JU",Painel_diario!$J4148=1),EXP(Painel_diario!$L4148),1)-1</f>
        <v/>
      </c>
      <c r="D4152" s="22">
        <f>(1+D4151)*IF(AND(Painel_diario!$H4148="ED_JD",Painel_diario!$J4148=1),EXP(Painel_diario!$L4148),1)-1</f>
        <v/>
      </c>
      <c r="E4152" s="22">
        <f>(1+E4151)*IF(AND(Painel_diario!$H4148="ED_JU",Painel_diario!$J4148=1),EXP(Painel_diario!$L4148),1)-1</f>
        <v/>
      </c>
    </row>
    <row r="4153">
      <c r="A4153" s="25" t="n">
        <v>44944</v>
      </c>
      <c r="B4153" s="22">
        <f>(1+B4152)*IF(AND(Painel_diario!$H4149="EU_JD",Painel_diario!$J4149=1),EXP(Painel_diario!$L4149),1)-1</f>
        <v/>
      </c>
      <c r="C4153" s="22">
        <f>(1+C4152)*IF(AND(Painel_diario!$H4149="EU_JU",Painel_diario!$J4149=1),EXP(Painel_diario!$L4149),1)-1</f>
        <v/>
      </c>
      <c r="D4153" s="22">
        <f>(1+D4152)*IF(AND(Painel_diario!$H4149="ED_JD",Painel_diario!$J4149=1),EXP(Painel_diario!$L4149),1)-1</f>
        <v/>
      </c>
      <c r="E4153" s="22">
        <f>(1+E4152)*IF(AND(Painel_diario!$H4149="ED_JU",Painel_diario!$J4149=1),EXP(Painel_diario!$L4149),1)-1</f>
        <v/>
      </c>
    </row>
    <row r="4154">
      <c r="A4154" s="25" t="n">
        <v>44945</v>
      </c>
      <c r="B4154" s="22">
        <f>(1+B4153)*IF(AND(Painel_diario!$H4150="EU_JD",Painel_diario!$J4150=1),EXP(Painel_diario!$L4150),1)-1</f>
        <v/>
      </c>
      <c r="C4154" s="22">
        <f>(1+C4153)*IF(AND(Painel_diario!$H4150="EU_JU",Painel_diario!$J4150=1),EXP(Painel_diario!$L4150),1)-1</f>
        <v/>
      </c>
      <c r="D4154" s="22">
        <f>(1+D4153)*IF(AND(Painel_diario!$H4150="ED_JD",Painel_diario!$J4150=1),EXP(Painel_diario!$L4150),1)-1</f>
        <v/>
      </c>
      <c r="E4154" s="22">
        <f>(1+E4153)*IF(AND(Painel_diario!$H4150="ED_JU",Painel_diario!$J4150=1),EXP(Painel_diario!$L4150),1)-1</f>
        <v/>
      </c>
    </row>
    <row r="4155">
      <c r="A4155" s="25" t="n">
        <v>44946</v>
      </c>
      <c r="B4155" s="22">
        <f>(1+B4154)*IF(AND(Painel_diario!$H4151="EU_JD",Painel_diario!$J4151=1),EXP(Painel_diario!$L4151),1)-1</f>
        <v/>
      </c>
      <c r="C4155" s="22">
        <f>(1+C4154)*IF(AND(Painel_diario!$H4151="EU_JU",Painel_diario!$J4151=1),EXP(Painel_diario!$L4151),1)-1</f>
        <v/>
      </c>
      <c r="D4155" s="22">
        <f>(1+D4154)*IF(AND(Painel_diario!$H4151="ED_JD",Painel_diario!$J4151=1),EXP(Painel_diario!$L4151),1)-1</f>
        <v/>
      </c>
      <c r="E4155" s="22">
        <f>(1+E4154)*IF(AND(Painel_diario!$H4151="ED_JU",Painel_diario!$J4151=1),EXP(Painel_diario!$L4151),1)-1</f>
        <v/>
      </c>
    </row>
    <row r="4156">
      <c r="A4156" s="25" t="n">
        <v>44949</v>
      </c>
      <c r="B4156" s="22">
        <f>(1+B4155)*IF(AND(Painel_diario!$H4152="EU_JD",Painel_diario!$J4152=1),EXP(Painel_diario!$L4152),1)-1</f>
        <v/>
      </c>
      <c r="C4156" s="22">
        <f>(1+C4155)*IF(AND(Painel_diario!$H4152="EU_JU",Painel_diario!$J4152=1),EXP(Painel_diario!$L4152),1)-1</f>
        <v/>
      </c>
      <c r="D4156" s="22">
        <f>(1+D4155)*IF(AND(Painel_diario!$H4152="ED_JD",Painel_diario!$J4152=1),EXP(Painel_diario!$L4152),1)-1</f>
        <v/>
      </c>
      <c r="E4156" s="22">
        <f>(1+E4155)*IF(AND(Painel_diario!$H4152="ED_JU",Painel_diario!$J4152=1),EXP(Painel_diario!$L4152),1)-1</f>
        <v/>
      </c>
    </row>
    <row r="4157">
      <c r="A4157" s="25" t="n">
        <v>44950</v>
      </c>
      <c r="B4157" s="22">
        <f>(1+B4156)*IF(AND(Painel_diario!$H4153="EU_JD",Painel_diario!$J4153=1),EXP(Painel_diario!$L4153),1)-1</f>
        <v/>
      </c>
      <c r="C4157" s="22">
        <f>(1+C4156)*IF(AND(Painel_diario!$H4153="EU_JU",Painel_diario!$J4153=1),EXP(Painel_diario!$L4153),1)-1</f>
        <v/>
      </c>
      <c r="D4157" s="22">
        <f>(1+D4156)*IF(AND(Painel_diario!$H4153="ED_JD",Painel_diario!$J4153=1),EXP(Painel_diario!$L4153),1)-1</f>
        <v/>
      </c>
      <c r="E4157" s="22">
        <f>(1+E4156)*IF(AND(Painel_diario!$H4153="ED_JU",Painel_diario!$J4153=1),EXP(Painel_diario!$L4153),1)-1</f>
        <v/>
      </c>
    </row>
    <row r="4158">
      <c r="A4158" s="25" t="n">
        <v>44951</v>
      </c>
      <c r="B4158" s="22">
        <f>(1+B4157)*IF(AND(Painel_diario!$H4154="EU_JD",Painel_diario!$J4154=1),EXP(Painel_diario!$L4154),1)-1</f>
        <v/>
      </c>
      <c r="C4158" s="22">
        <f>(1+C4157)*IF(AND(Painel_diario!$H4154="EU_JU",Painel_diario!$J4154=1),EXP(Painel_diario!$L4154),1)-1</f>
        <v/>
      </c>
      <c r="D4158" s="22">
        <f>(1+D4157)*IF(AND(Painel_diario!$H4154="ED_JD",Painel_diario!$J4154=1),EXP(Painel_diario!$L4154),1)-1</f>
        <v/>
      </c>
      <c r="E4158" s="22">
        <f>(1+E4157)*IF(AND(Painel_diario!$H4154="ED_JU",Painel_diario!$J4154=1),EXP(Painel_diario!$L4154),1)-1</f>
        <v/>
      </c>
    </row>
    <row r="4159">
      <c r="A4159" s="25" t="n">
        <v>44952</v>
      </c>
      <c r="B4159" s="22">
        <f>(1+B4158)*IF(AND(Painel_diario!$H4155="EU_JD",Painel_diario!$J4155=1),EXP(Painel_diario!$L4155),1)-1</f>
        <v/>
      </c>
      <c r="C4159" s="22">
        <f>(1+C4158)*IF(AND(Painel_diario!$H4155="EU_JU",Painel_diario!$J4155=1),EXP(Painel_diario!$L4155),1)-1</f>
        <v/>
      </c>
      <c r="D4159" s="22">
        <f>(1+D4158)*IF(AND(Painel_diario!$H4155="ED_JD",Painel_diario!$J4155=1),EXP(Painel_diario!$L4155),1)-1</f>
        <v/>
      </c>
      <c r="E4159" s="22">
        <f>(1+E4158)*IF(AND(Painel_diario!$H4155="ED_JU",Painel_diario!$J4155=1),EXP(Painel_diario!$L4155),1)-1</f>
        <v/>
      </c>
    </row>
    <row r="4160">
      <c r="A4160" s="25" t="n">
        <v>44953</v>
      </c>
      <c r="B4160" s="22">
        <f>(1+B4159)*IF(AND(Painel_diario!$H4156="EU_JD",Painel_diario!$J4156=1),EXP(Painel_diario!$L4156),1)-1</f>
        <v/>
      </c>
      <c r="C4160" s="22">
        <f>(1+C4159)*IF(AND(Painel_diario!$H4156="EU_JU",Painel_diario!$J4156=1),EXP(Painel_diario!$L4156),1)-1</f>
        <v/>
      </c>
      <c r="D4160" s="22">
        <f>(1+D4159)*IF(AND(Painel_diario!$H4156="ED_JD",Painel_diario!$J4156=1),EXP(Painel_diario!$L4156),1)-1</f>
        <v/>
      </c>
      <c r="E4160" s="22">
        <f>(1+E4159)*IF(AND(Painel_diario!$H4156="ED_JU",Painel_diario!$J4156=1),EXP(Painel_diario!$L4156),1)-1</f>
        <v/>
      </c>
    </row>
    <row r="4161">
      <c r="A4161" s="25" t="n">
        <v>44956</v>
      </c>
      <c r="B4161" s="22">
        <f>(1+B4160)*IF(AND(Painel_diario!$H4157="EU_JD",Painel_diario!$J4157=1),EXP(Painel_diario!$L4157),1)-1</f>
        <v/>
      </c>
      <c r="C4161" s="22">
        <f>(1+C4160)*IF(AND(Painel_diario!$H4157="EU_JU",Painel_diario!$J4157=1),EXP(Painel_diario!$L4157),1)-1</f>
        <v/>
      </c>
      <c r="D4161" s="22">
        <f>(1+D4160)*IF(AND(Painel_diario!$H4157="ED_JD",Painel_diario!$J4157=1),EXP(Painel_diario!$L4157),1)-1</f>
        <v/>
      </c>
      <c r="E4161" s="22">
        <f>(1+E4160)*IF(AND(Painel_diario!$H4157="ED_JU",Painel_diario!$J4157=1),EXP(Painel_diario!$L4157),1)-1</f>
        <v/>
      </c>
    </row>
    <row r="4162">
      <c r="A4162" s="25" t="n">
        <v>44957</v>
      </c>
      <c r="B4162" s="22">
        <f>(1+B4161)*IF(AND(Painel_diario!$H4158="EU_JD",Painel_diario!$J4158=1),EXP(Painel_diario!$L4158),1)-1</f>
        <v/>
      </c>
      <c r="C4162" s="22">
        <f>(1+C4161)*IF(AND(Painel_diario!$H4158="EU_JU",Painel_diario!$J4158=1),EXP(Painel_diario!$L4158),1)-1</f>
        <v/>
      </c>
      <c r="D4162" s="22">
        <f>(1+D4161)*IF(AND(Painel_diario!$H4158="ED_JD",Painel_diario!$J4158=1),EXP(Painel_diario!$L4158),1)-1</f>
        <v/>
      </c>
      <c r="E4162" s="22">
        <f>(1+E4161)*IF(AND(Painel_diario!$H4158="ED_JU",Painel_diario!$J4158=1),EXP(Painel_diario!$L4158),1)-1</f>
        <v/>
      </c>
    </row>
    <row r="4163">
      <c r="A4163" s="25" t="n">
        <v>44958</v>
      </c>
      <c r="B4163" s="22">
        <f>(1+B4162)*IF(AND(Painel_diario!$H4159="EU_JD",Painel_diario!$J4159=1),EXP(Painel_diario!$L4159),1)-1</f>
        <v/>
      </c>
      <c r="C4163" s="22">
        <f>(1+C4162)*IF(AND(Painel_diario!$H4159="EU_JU",Painel_diario!$J4159=1),EXP(Painel_diario!$L4159),1)-1</f>
        <v/>
      </c>
      <c r="D4163" s="22">
        <f>(1+D4162)*IF(AND(Painel_diario!$H4159="ED_JD",Painel_diario!$J4159=1),EXP(Painel_diario!$L4159),1)-1</f>
        <v/>
      </c>
      <c r="E4163" s="22">
        <f>(1+E4162)*IF(AND(Painel_diario!$H4159="ED_JU",Painel_diario!$J4159=1),EXP(Painel_diario!$L4159),1)-1</f>
        <v/>
      </c>
    </row>
    <row r="4164">
      <c r="A4164" s="25" t="n">
        <v>44959</v>
      </c>
      <c r="B4164" s="22">
        <f>(1+B4163)*IF(AND(Painel_diario!$H4160="EU_JD",Painel_diario!$J4160=1),EXP(Painel_diario!$L4160),1)-1</f>
        <v/>
      </c>
      <c r="C4164" s="22">
        <f>(1+C4163)*IF(AND(Painel_diario!$H4160="EU_JU",Painel_diario!$J4160=1),EXP(Painel_diario!$L4160),1)-1</f>
        <v/>
      </c>
      <c r="D4164" s="22">
        <f>(1+D4163)*IF(AND(Painel_diario!$H4160="ED_JD",Painel_diario!$J4160=1),EXP(Painel_diario!$L4160),1)-1</f>
        <v/>
      </c>
      <c r="E4164" s="22">
        <f>(1+E4163)*IF(AND(Painel_diario!$H4160="ED_JU",Painel_diario!$J4160=1),EXP(Painel_diario!$L4160),1)-1</f>
        <v/>
      </c>
    </row>
    <row r="4165">
      <c r="A4165" s="25" t="n">
        <v>44960</v>
      </c>
      <c r="B4165" s="22">
        <f>(1+B4164)*IF(AND(Painel_diario!$H4161="EU_JD",Painel_diario!$J4161=1),EXP(Painel_diario!$L4161),1)-1</f>
        <v/>
      </c>
      <c r="C4165" s="22">
        <f>(1+C4164)*IF(AND(Painel_diario!$H4161="EU_JU",Painel_diario!$J4161=1),EXP(Painel_diario!$L4161),1)-1</f>
        <v/>
      </c>
      <c r="D4165" s="22">
        <f>(1+D4164)*IF(AND(Painel_diario!$H4161="ED_JD",Painel_diario!$J4161=1),EXP(Painel_diario!$L4161),1)-1</f>
        <v/>
      </c>
      <c r="E4165" s="22">
        <f>(1+E4164)*IF(AND(Painel_diario!$H4161="ED_JU",Painel_diario!$J4161=1),EXP(Painel_diario!$L4161),1)-1</f>
        <v/>
      </c>
    </row>
    <row r="4166">
      <c r="A4166" s="25" t="n">
        <v>44963</v>
      </c>
      <c r="B4166" s="22">
        <f>(1+B4165)*IF(AND(Painel_diario!$H4162="EU_JD",Painel_diario!$J4162=1),EXP(Painel_diario!$L4162),1)-1</f>
        <v/>
      </c>
      <c r="C4166" s="22">
        <f>(1+C4165)*IF(AND(Painel_diario!$H4162="EU_JU",Painel_diario!$J4162=1),EXP(Painel_diario!$L4162),1)-1</f>
        <v/>
      </c>
      <c r="D4166" s="22">
        <f>(1+D4165)*IF(AND(Painel_diario!$H4162="ED_JD",Painel_diario!$J4162=1),EXP(Painel_diario!$L4162),1)-1</f>
        <v/>
      </c>
      <c r="E4166" s="22">
        <f>(1+E4165)*IF(AND(Painel_diario!$H4162="ED_JU",Painel_diario!$J4162=1),EXP(Painel_diario!$L4162),1)-1</f>
        <v/>
      </c>
    </row>
    <row r="4167">
      <c r="A4167" s="25" t="n">
        <v>44964</v>
      </c>
      <c r="B4167" s="22">
        <f>(1+B4166)*IF(AND(Painel_diario!$H4163="EU_JD",Painel_diario!$J4163=1),EXP(Painel_diario!$L4163),1)-1</f>
        <v/>
      </c>
      <c r="C4167" s="22">
        <f>(1+C4166)*IF(AND(Painel_diario!$H4163="EU_JU",Painel_diario!$J4163=1),EXP(Painel_diario!$L4163),1)-1</f>
        <v/>
      </c>
      <c r="D4167" s="22">
        <f>(1+D4166)*IF(AND(Painel_diario!$H4163="ED_JD",Painel_diario!$J4163=1),EXP(Painel_diario!$L4163),1)-1</f>
        <v/>
      </c>
      <c r="E4167" s="22">
        <f>(1+E4166)*IF(AND(Painel_diario!$H4163="ED_JU",Painel_diario!$J4163=1),EXP(Painel_diario!$L4163),1)-1</f>
        <v/>
      </c>
    </row>
    <row r="4168">
      <c r="A4168" s="25" t="n">
        <v>44965</v>
      </c>
      <c r="B4168" s="22">
        <f>(1+B4167)*IF(AND(Painel_diario!$H4164="EU_JD",Painel_diario!$J4164=1),EXP(Painel_diario!$L4164),1)-1</f>
        <v/>
      </c>
      <c r="C4168" s="22">
        <f>(1+C4167)*IF(AND(Painel_diario!$H4164="EU_JU",Painel_diario!$J4164=1),EXP(Painel_diario!$L4164),1)-1</f>
        <v/>
      </c>
      <c r="D4168" s="22">
        <f>(1+D4167)*IF(AND(Painel_diario!$H4164="ED_JD",Painel_diario!$J4164=1),EXP(Painel_diario!$L4164),1)-1</f>
        <v/>
      </c>
      <c r="E4168" s="22">
        <f>(1+E4167)*IF(AND(Painel_diario!$H4164="ED_JU",Painel_diario!$J4164=1),EXP(Painel_diario!$L4164),1)-1</f>
        <v/>
      </c>
    </row>
    <row r="4169">
      <c r="A4169" s="25" t="n">
        <v>44966</v>
      </c>
      <c r="B4169" s="22">
        <f>(1+B4168)*IF(AND(Painel_diario!$H4165="EU_JD",Painel_diario!$J4165=1),EXP(Painel_diario!$L4165),1)-1</f>
        <v/>
      </c>
      <c r="C4169" s="22">
        <f>(1+C4168)*IF(AND(Painel_diario!$H4165="EU_JU",Painel_diario!$J4165=1),EXP(Painel_diario!$L4165),1)-1</f>
        <v/>
      </c>
      <c r="D4169" s="22">
        <f>(1+D4168)*IF(AND(Painel_diario!$H4165="ED_JD",Painel_diario!$J4165=1),EXP(Painel_diario!$L4165),1)-1</f>
        <v/>
      </c>
      <c r="E4169" s="22">
        <f>(1+E4168)*IF(AND(Painel_diario!$H4165="ED_JU",Painel_diario!$J4165=1),EXP(Painel_diario!$L4165),1)-1</f>
        <v/>
      </c>
    </row>
    <row r="4170">
      <c r="A4170" s="25" t="n">
        <v>44967</v>
      </c>
      <c r="B4170" s="22">
        <f>(1+B4169)*IF(AND(Painel_diario!$H4166="EU_JD",Painel_diario!$J4166=1),EXP(Painel_diario!$L4166),1)-1</f>
        <v/>
      </c>
      <c r="C4170" s="22">
        <f>(1+C4169)*IF(AND(Painel_diario!$H4166="EU_JU",Painel_diario!$J4166=1),EXP(Painel_diario!$L4166),1)-1</f>
        <v/>
      </c>
      <c r="D4170" s="22">
        <f>(1+D4169)*IF(AND(Painel_diario!$H4166="ED_JD",Painel_diario!$J4166=1),EXP(Painel_diario!$L4166),1)-1</f>
        <v/>
      </c>
      <c r="E4170" s="22">
        <f>(1+E4169)*IF(AND(Painel_diario!$H4166="ED_JU",Painel_diario!$J4166=1),EXP(Painel_diario!$L4166),1)-1</f>
        <v/>
      </c>
    </row>
    <row r="4171">
      <c r="A4171" s="25" t="n">
        <v>44970</v>
      </c>
      <c r="B4171" s="22">
        <f>(1+B4170)*IF(AND(Painel_diario!$H4167="EU_JD",Painel_diario!$J4167=1),EXP(Painel_diario!$L4167),1)-1</f>
        <v/>
      </c>
      <c r="C4171" s="22">
        <f>(1+C4170)*IF(AND(Painel_diario!$H4167="EU_JU",Painel_diario!$J4167=1),EXP(Painel_diario!$L4167),1)-1</f>
        <v/>
      </c>
      <c r="D4171" s="22">
        <f>(1+D4170)*IF(AND(Painel_diario!$H4167="ED_JD",Painel_diario!$J4167=1),EXP(Painel_diario!$L4167),1)-1</f>
        <v/>
      </c>
      <c r="E4171" s="22">
        <f>(1+E4170)*IF(AND(Painel_diario!$H4167="ED_JU",Painel_diario!$J4167=1),EXP(Painel_diario!$L4167),1)-1</f>
        <v/>
      </c>
    </row>
    <row r="4172">
      <c r="A4172" s="25" t="n">
        <v>44971</v>
      </c>
      <c r="B4172" s="22">
        <f>(1+B4171)*IF(AND(Painel_diario!$H4168="EU_JD",Painel_diario!$J4168=1),EXP(Painel_diario!$L4168),1)-1</f>
        <v/>
      </c>
      <c r="C4172" s="22">
        <f>(1+C4171)*IF(AND(Painel_diario!$H4168="EU_JU",Painel_diario!$J4168=1),EXP(Painel_diario!$L4168),1)-1</f>
        <v/>
      </c>
      <c r="D4172" s="22">
        <f>(1+D4171)*IF(AND(Painel_diario!$H4168="ED_JD",Painel_diario!$J4168=1),EXP(Painel_diario!$L4168),1)-1</f>
        <v/>
      </c>
      <c r="E4172" s="22">
        <f>(1+E4171)*IF(AND(Painel_diario!$H4168="ED_JU",Painel_diario!$J4168=1),EXP(Painel_diario!$L4168),1)-1</f>
        <v/>
      </c>
    </row>
    <row r="4173">
      <c r="A4173" s="25" t="n">
        <v>44972</v>
      </c>
      <c r="B4173" s="22">
        <f>(1+B4172)*IF(AND(Painel_diario!$H4169="EU_JD",Painel_diario!$J4169=1),EXP(Painel_diario!$L4169),1)-1</f>
        <v/>
      </c>
      <c r="C4173" s="22">
        <f>(1+C4172)*IF(AND(Painel_diario!$H4169="EU_JU",Painel_diario!$J4169=1),EXP(Painel_diario!$L4169),1)-1</f>
        <v/>
      </c>
      <c r="D4173" s="22">
        <f>(1+D4172)*IF(AND(Painel_diario!$H4169="ED_JD",Painel_diario!$J4169=1),EXP(Painel_diario!$L4169),1)-1</f>
        <v/>
      </c>
      <c r="E4173" s="22">
        <f>(1+E4172)*IF(AND(Painel_diario!$H4169="ED_JU",Painel_diario!$J4169=1),EXP(Painel_diario!$L4169),1)-1</f>
        <v/>
      </c>
    </row>
    <row r="4174">
      <c r="A4174" s="25" t="n">
        <v>44973</v>
      </c>
      <c r="B4174" s="22">
        <f>(1+B4173)*IF(AND(Painel_diario!$H4170="EU_JD",Painel_diario!$J4170=1),EXP(Painel_diario!$L4170),1)-1</f>
        <v/>
      </c>
      <c r="C4174" s="22">
        <f>(1+C4173)*IF(AND(Painel_diario!$H4170="EU_JU",Painel_diario!$J4170=1),EXP(Painel_diario!$L4170),1)-1</f>
        <v/>
      </c>
      <c r="D4174" s="22">
        <f>(1+D4173)*IF(AND(Painel_diario!$H4170="ED_JD",Painel_diario!$J4170=1),EXP(Painel_diario!$L4170),1)-1</f>
        <v/>
      </c>
      <c r="E4174" s="22">
        <f>(1+E4173)*IF(AND(Painel_diario!$H4170="ED_JU",Painel_diario!$J4170=1),EXP(Painel_diario!$L4170),1)-1</f>
        <v/>
      </c>
    </row>
    <row r="4175">
      <c r="A4175" s="25" t="n">
        <v>44974</v>
      </c>
      <c r="B4175" s="22">
        <f>(1+B4174)*IF(AND(Painel_diario!$H4171="EU_JD",Painel_diario!$J4171=1),EXP(Painel_diario!$L4171),1)-1</f>
        <v/>
      </c>
      <c r="C4175" s="22">
        <f>(1+C4174)*IF(AND(Painel_diario!$H4171="EU_JU",Painel_diario!$J4171=1),EXP(Painel_diario!$L4171),1)-1</f>
        <v/>
      </c>
      <c r="D4175" s="22">
        <f>(1+D4174)*IF(AND(Painel_diario!$H4171="ED_JD",Painel_diario!$J4171=1),EXP(Painel_diario!$L4171),1)-1</f>
        <v/>
      </c>
      <c r="E4175" s="22">
        <f>(1+E4174)*IF(AND(Painel_diario!$H4171="ED_JU",Painel_diario!$J4171=1),EXP(Painel_diario!$L4171),1)-1</f>
        <v/>
      </c>
    </row>
    <row r="4176">
      <c r="A4176" s="25" t="n">
        <v>44979</v>
      </c>
      <c r="B4176" s="22">
        <f>(1+B4175)*IF(AND(Painel_diario!$H4172="EU_JD",Painel_diario!$J4172=1),EXP(Painel_diario!$L4172),1)-1</f>
        <v/>
      </c>
      <c r="C4176" s="22">
        <f>(1+C4175)*IF(AND(Painel_diario!$H4172="EU_JU",Painel_diario!$J4172=1),EXP(Painel_diario!$L4172),1)-1</f>
        <v/>
      </c>
      <c r="D4176" s="22">
        <f>(1+D4175)*IF(AND(Painel_diario!$H4172="ED_JD",Painel_diario!$J4172=1),EXP(Painel_diario!$L4172),1)-1</f>
        <v/>
      </c>
      <c r="E4176" s="22">
        <f>(1+E4175)*IF(AND(Painel_diario!$H4172="ED_JU",Painel_diario!$J4172=1),EXP(Painel_diario!$L4172),1)-1</f>
        <v/>
      </c>
    </row>
    <row r="4177">
      <c r="A4177" s="25" t="n">
        <v>44980</v>
      </c>
      <c r="B4177" s="22">
        <f>(1+B4176)*IF(AND(Painel_diario!$H4173="EU_JD",Painel_diario!$J4173=1),EXP(Painel_diario!$L4173),1)-1</f>
        <v/>
      </c>
      <c r="C4177" s="22">
        <f>(1+C4176)*IF(AND(Painel_diario!$H4173="EU_JU",Painel_diario!$J4173=1),EXP(Painel_diario!$L4173),1)-1</f>
        <v/>
      </c>
      <c r="D4177" s="22">
        <f>(1+D4176)*IF(AND(Painel_diario!$H4173="ED_JD",Painel_diario!$J4173=1),EXP(Painel_diario!$L4173),1)-1</f>
        <v/>
      </c>
      <c r="E4177" s="22">
        <f>(1+E4176)*IF(AND(Painel_diario!$H4173="ED_JU",Painel_diario!$J4173=1),EXP(Painel_diario!$L4173),1)-1</f>
        <v/>
      </c>
    </row>
    <row r="4178">
      <c r="A4178" s="25" t="n">
        <v>44981</v>
      </c>
      <c r="B4178" s="22">
        <f>(1+B4177)*IF(AND(Painel_diario!$H4174="EU_JD",Painel_diario!$J4174=1),EXP(Painel_diario!$L4174),1)-1</f>
        <v/>
      </c>
      <c r="C4178" s="22">
        <f>(1+C4177)*IF(AND(Painel_diario!$H4174="EU_JU",Painel_diario!$J4174=1),EXP(Painel_diario!$L4174),1)-1</f>
        <v/>
      </c>
      <c r="D4178" s="22">
        <f>(1+D4177)*IF(AND(Painel_diario!$H4174="ED_JD",Painel_diario!$J4174=1),EXP(Painel_diario!$L4174),1)-1</f>
        <v/>
      </c>
      <c r="E4178" s="22">
        <f>(1+E4177)*IF(AND(Painel_diario!$H4174="ED_JU",Painel_diario!$J4174=1),EXP(Painel_diario!$L4174),1)-1</f>
        <v/>
      </c>
    </row>
    <row r="4179">
      <c r="A4179" s="25" t="n">
        <v>44984</v>
      </c>
      <c r="B4179" s="22">
        <f>(1+B4178)*IF(AND(Painel_diario!$H4175="EU_JD",Painel_diario!$J4175=1),EXP(Painel_diario!$L4175),1)-1</f>
        <v/>
      </c>
      <c r="C4179" s="22">
        <f>(1+C4178)*IF(AND(Painel_diario!$H4175="EU_JU",Painel_diario!$J4175=1),EXP(Painel_diario!$L4175),1)-1</f>
        <v/>
      </c>
      <c r="D4179" s="22">
        <f>(1+D4178)*IF(AND(Painel_diario!$H4175="ED_JD",Painel_diario!$J4175=1),EXP(Painel_diario!$L4175),1)-1</f>
        <v/>
      </c>
      <c r="E4179" s="22">
        <f>(1+E4178)*IF(AND(Painel_diario!$H4175="ED_JU",Painel_diario!$J4175=1),EXP(Painel_diario!$L4175),1)-1</f>
        <v/>
      </c>
    </row>
    <row r="4180">
      <c r="A4180" s="25" t="n">
        <v>44985</v>
      </c>
      <c r="B4180" s="22">
        <f>(1+B4179)*IF(AND(Painel_diario!$H4176="EU_JD",Painel_diario!$J4176=1),EXP(Painel_diario!$L4176),1)-1</f>
        <v/>
      </c>
      <c r="C4180" s="22">
        <f>(1+C4179)*IF(AND(Painel_diario!$H4176="EU_JU",Painel_diario!$J4176=1),EXP(Painel_diario!$L4176),1)-1</f>
        <v/>
      </c>
      <c r="D4180" s="22">
        <f>(1+D4179)*IF(AND(Painel_diario!$H4176="ED_JD",Painel_diario!$J4176=1),EXP(Painel_diario!$L4176),1)-1</f>
        <v/>
      </c>
      <c r="E4180" s="22">
        <f>(1+E4179)*IF(AND(Painel_diario!$H4176="ED_JU",Painel_diario!$J4176=1),EXP(Painel_diario!$L4176),1)-1</f>
        <v/>
      </c>
    </row>
    <row r="4181">
      <c r="A4181" s="25" t="n">
        <v>44986</v>
      </c>
      <c r="B4181" s="22">
        <f>(1+B4180)*IF(AND(Painel_diario!$H4177="EU_JD",Painel_diario!$J4177=1),EXP(Painel_diario!$L4177),1)-1</f>
        <v/>
      </c>
      <c r="C4181" s="22">
        <f>(1+C4180)*IF(AND(Painel_diario!$H4177="EU_JU",Painel_diario!$J4177=1),EXP(Painel_diario!$L4177),1)-1</f>
        <v/>
      </c>
      <c r="D4181" s="22">
        <f>(1+D4180)*IF(AND(Painel_diario!$H4177="ED_JD",Painel_diario!$J4177=1),EXP(Painel_diario!$L4177),1)-1</f>
        <v/>
      </c>
      <c r="E4181" s="22">
        <f>(1+E4180)*IF(AND(Painel_diario!$H4177="ED_JU",Painel_diario!$J4177=1),EXP(Painel_diario!$L4177),1)-1</f>
        <v/>
      </c>
    </row>
    <row r="4182">
      <c r="A4182" s="25" t="n">
        <v>44987</v>
      </c>
      <c r="B4182" s="22">
        <f>(1+B4181)*IF(AND(Painel_diario!$H4178="EU_JD",Painel_diario!$J4178=1),EXP(Painel_diario!$L4178),1)-1</f>
        <v/>
      </c>
      <c r="C4182" s="22">
        <f>(1+C4181)*IF(AND(Painel_diario!$H4178="EU_JU",Painel_diario!$J4178=1),EXP(Painel_diario!$L4178),1)-1</f>
        <v/>
      </c>
      <c r="D4182" s="22">
        <f>(1+D4181)*IF(AND(Painel_diario!$H4178="ED_JD",Painel_diario!$J4178=1),EXP(Painel_diario!$L4178),1)-1</f>
        <v/>
      </c>
      <c r="E4182" s="22">
        <f>(1+E4181)*IF(AND(Painel_diario!$H4178="ED_JU",Painel_diario!$J4178=1),EXP(Painel_diario!$L4178),1)-1</f>
        <v/>
      </c>
    </row>
    <row r="4183">
      <c r="A4183" s="25" t="n">
        <v>44988</v>
      </c>
      <c r="B4183" s="22">
        <f>(1+B4182)*IF(AND(Painel_diario!$H4179="EU_JD",Painel_diario!$J4179=1),EXP(Painel_diario!$L4179),1)-1</f>
        <v/>
      </c>
      <c r="C4183" s="22">
        <f>(1+C4182)*IF(AND(Painel_diario!$H4179="EU_JU",Painel_diario!$J4179=1),EXP(Painel_diario!$L4179),1)-1</f>
        <v/>
      </c>
      <c r="D4183" s="22">
        <f>(1+D4182)*IF(AND(Painel_diario!$H4179="ED_JD",Painel_diario!$J4179=1),EXP(Painel_diario!$L4179),1)-1</f>
        <v/>
      </c>
      <c r="E4183" s="22">
        <f>(1+E4182)*IF(AND(Painel_diario!$H4179="ED_JU",Painel_diario!$J4179=1),EXP(Painel_diario!$L4179),1)-1</f>
        <v/>
      </c>
    </row>
    <row r="4184">
      <c r="A4184" s="25" t="n">
        <v>44991</v>
      </c>
      <c r="B4184" s="22">
        <f>(1+B4183)*IF(AND(Painel_diario!$H4180="EU_JD",Painel_diario!$J4180=1),EXP(Painel_diario!$L4180),1)-1</f>
        <v/>
      </c>
      <c r="C4184" s="22">
        <f>(1+C4183)*IF(AND(Painel_diario!$H4180="EU_JU",Painel_diario!$J4180=1),EXP(Painel_diario!$L4180),1)-1</f>
        <v/>
      </c>
      <c r="D4184" s="22">
        <f>(1+D4183)*IF(AND(Painel_diario!$H4180="ED_JD",Painel_diario!$J4180=1),EXP(Painel_diario!$L4180),1)-1</f>
        <v/>
      </c>
      <c r="E4184" s="22">
        <f>(1+E4183)*IF(AND(Painel_diario!$H4180="ED_JU",Painel_diario!$J4180=1),EXP(Painel_diario!$L4180),1)-1</f>
        <v/>
      </c>
    </row>
    <row r="4185">
      <c r="A4185" s="25" t="n">
        <v>44992</v>
      </c>
      <c r="B4185" s="22">
        <f>(1+B4184)*IF(AND(Painel_diario!$H4181="EU_JD",Painel_diario!$J4181=1),EXP(Painel_diario!$L4181),1)-1</f>
        <v/>
      </c>
      <c r="C4185" s="22">
        <f>(1+C4184)*IF(AND(Painel_diario!$H4181="EU_JU",Painel_diario!$J4181=1),EXP(Painel_diario!$L4181),1)-1</f>
        <v/>
      </c>
      <c r="D4185" s="22">
        <f>(1+D4184)*IF(AND(Painel_diario!$H4181="ED_JD",Painel_diario!$J4181=1),EXP(Painel_diario!$L4181),1)-1</f>
        <v/>
      </c>
      <c r="E4185" s="22">
        <f>(1+E4184)*IF(AND(Painel_diario!$H4181="ED_JU",Painel_diario!$J4181=1),EXP(Painel_diario!$L4181),1)-1</f>
        <v/>
      </c>
    </row>
    <row r="4186">
      <c r="A4186" s="25" t="n">
        <v>44993</v>
      </c>
      <c r="B4186" s="22">
        <f>(1+B4185)*IF(AND(Painel_diario!$H4182="EU_JD",Painel_diario!$J4182=1),EXP(Painel_diario!$L4182),1)-1</f>
        <v/>
      </c>
      <c r="C4186" s="22">
        <f>(1+C4185)*IF(AND(Painel_diario!$H4182="EU_JU",Painel_diario!$J4182=1),EXP(Painel_diario!$L4182),1)-1</f>
        <v/>
      </c>
      <c r="D4186" s="22">
        <f>(1+D4185)*IF(AND(Painel_diario!$H4182="ED_JD",Painel_diario!$J4182=1),EXP(Painel_diario!$L4182),1)-1</f>
        <v/>
      </c>
      <c r="E4186" s="22">
        <f>(1+E4185)*IF(AND(Painel_diario!$H4182="ED_JU",Painel_diario!$J4182=1),EXP(Painel_diario!$L4182),1)-1</f>
        <v/>
      </c>
    </row>
    <row r="4187">
      <c r="A4187" s="25" t="n">
        <v>44994</v>
      </c>
      <c r="B4187" s="22">
        <f>(1+B4186)*IF(AND(Painel_diario!$H4183="EU_JD",Painel_diario!$J4183=1),EXP(Painel_diario!$L4183),1)-1</f>
        <v/>
      </c>
      <c r="C4187" s="22">
        <f>(1+C4186)*IF(AND(Painel_diario!$H4183="EU_JU",Painel_diario!$J4183=1),EXP(Painel_diario!$L4183),1)-1</f>
        <v/>
      </c>
      <c r="D4187" s="22">
        <f>(1+D4186)*IF(AND(Painel_diario!$H4183="ED_JD",Painel_diario!$J4183=1),EXP(Painel_diario!$L4183),1)-1</f>
        <v/>
      </c>
      <c r="E4187" s="22">
        <f>(1+E4186)*IF(AND(Painel_diario!$H4183="ED_JU",Painel_diario!$J4183=1),EXP(Painel_diario!$L4183),1)-1</f>
        <v/>
      </c>
    </row>
    <row r="4188">
      <c r="A4188" s="25" t="n">
        <v>44995</v>
      </c>
      <c r="B4188" s="22">
        <f>(1+B4187)*IF(AND(Painel_diario!$H4184="EU_JD",Painel_diario!$J4184=1),EXP(Painel_diario!$L4184),1)-1</f>
        <v/>
      </c>
      <c r="C4188" s="22">
        <f>(1+C4187)*IF(AND(Painel_diario!$H4184="EU_JU",Painel_diario!$J4184=1),EXP(Painel_diario!$L4184),1)-1</f>
        <v/>
      </c>
      <c r="D4188" s="22">
        <f>(1+D4187)*IF(AND(Painel_diario!$H4184="ED_JD",Painel_diario!$J4184=1),EXP(Painel_diario!$L4184),1)-1</f>
        <v/>
      </c>
      <c r="E4188" s="22">
        <f>(1+E4187)*IF(AND(Painel_diario!$H4184="ED_JU",Painel_diario!$J4184=1),EXP(Painel_diario!$L4184),1)-1</f>
        <v/>
      </c>
    </row>
    <row r="4189">
      <c r="A4189" s="25" t="n">
        <v>44998</v>
      </c>
      <c r="B4189" s="22">
        <f>(1+B4188)*IF(AND(Painel_diario!$H4185="EU_JD",Painel_diario!$J4185=1),EXP(Painel_diario!$L4185),1)-1</f>
        <v/>
      </c>
      <c r="C4189" s="22">
        <f>(1+C4188)*IF(AND(Painel_diario!$H4185="EU_JU",Painel_diario!$J4185=1),EXP(Painel_diario!$L4185),1)-1</f>
        <v/>
      </c>
      <c r="D4189" s="22">
        <f>(1+D4188)*IF(AND(Painel_diario!$H4185="ED_JD",Painel_diario!$J4185=1),EXP(Painel_diario!$L4185),1)-1</f>
        <v/>
      </c>
      <c r="E4189" s="22">
        <f>(1+E4188)*IF(AND(Painel_diario!$H4185="ED_JU",Painel_diario!$J4185=1),EXP(Painel_diario!$L4185),1)-1</f>
        <v/>
      </c>
    </row>
    <row r="4190">
      <c r="A4190" s="25" t="n">
        <v>44999</v>
      </c>
      <c r="B4190" s="22">
        <f>(1+B4189)*IF(AND(Painel_diario!$H4186="EU_JD",Painel_diario!$J4186=1),EXP(Painel_diario!$L4186),1)-1</f>
        <v/>
      </c>
      <c r="C4190" s="22">
        <f>(1+C4189)*IF(AND(Painel_diario!$H4186="EU_JU",Painel_diario!$J4186=1),EXP(Painel_diario!$L4186),1)-1</f>
        <v/>
      </c>
      <c r="D4190" s="22">
        <f>(1+D4189)*IF(AND(Painel_diario!$H4186="ED_JD",Painel_diario!$J4186=1),EXP(Painel_diario!$L4186),1)-1</f>
        <v/>
      </c>
      <c r="E4190" s="22">
        <f>(1+E4189)*IF(AND(Painel_diario!$H4186="ED_JU",Painel_diario!$J4186=1),EXP(Painel_diario!$L4186),1)-1</f>
        <v/>
      </c>
    </row>
    <row r="4191">
      <c r="A4191" s="25" t="n">
        <v>45000</v>
      </c>
      <c r="B4191" s="22">
        <f>(1+B4190)*IF(AND(Painel_diario!$H4187="EU_JD",Painel_diario!$J4187=1),EXP(Painel_diario!$L4187),1)-1</f>
        <v/>
      </c>
      <c r="C4191" s="22">
        <f>(1+C4190)*IF(AND(Painel_diario!$H4187="EU_JU",Painel_diario!$J4187=1),EXP(Painel_diario!$L4187),1)-1</f>
        <v/>
      </c>
      <c r="D4191" s="22">
        <f>(1+D4190)*IF(AND(Painel_diario!$H4187="ED_JD",Painel_diario!$J4187=1),EXP(Painel_diario!$L4187),1)-1</f>
        <v/>
      </c>
      <c r="E4191" s="22">
        <f>(1+E4190)*IF(AND(Painel_diario!$H4187="ED_JU",Painel_diario!$J4187=1),EXP(Painel_diario!$L4187),1)-1</f>
        <v/>
      </c>
    </row>
    <row r="4192">
      <c r="A4192" s="25" t="n">
        <v>45001</v>
      </c>
      <c r="B4192" s="22">
        <f>(1+B4191)*IF(AND(Painel_diario!$H4188="EU_JD",Painel_diario!$J4188=1),EXP(Painel_diario!$L4188),1)-1</f>
        <v/>
      </c>
      <c r="C4192" s="22">
        <f>(1+C4191)*IF(AND(Painel_diario!$H4188="EU_JU",Painel_diario!$J4188=1),EXP(Painel_diario!$L4188),1)-1</f>
        <v/>
      </c>
      <c r="D4192" s="22">
        <f>(1+D4191)*IF(AND(Painel_diario!$H4188="ED_JD",Painel_diario!$J4188=1),EXP(Painel_diario!$L4188),1)-1</f>
        <v/>
      </c>
      <c r="E4192" s="22">
        <f>(1+E4191)*IF(AND(Painel_diario!$H4188="ED_JU",Painel_diario!$J4188=1),EXP(Painel_diario!$L4188),1)-1</f>
        <v/>
      </c>
    </row>
    <row r="4193">
      <c r="A4193" s="25" t="n">
        <v>45005</v>
      </c>
      <c r="B4193" s="22">
        <f>(1+B4192)*IF(AND(Painel_diario!$H4189="EU_JD",Painel_diario!$J4189=1),EXP(Painel_diario!$L4189),1)-1</f>
        <v/>
      </c>
      <c r="C4193" s="22">
        <f>(1+C4192)*IF(AND(Painel_diario!$H4189="EU_JU",Painel_diario!$J4189=1),EXP(Painel_diario!$L4189),1)-1</f>
        <v/>
      </c>
      <c r="D4193" s="22">
        <f>(1+D4192)*IF(AND(Painel_diario!$H4189="ED_JD",Painel_diario!$J4189=1),EXP(Painel_diario!$L4189),1)-1</f>
        <v/>
      </c>
      <c r="E4193" s="22">
        <f>(1+E4192)*IF(AND(Painel_diario!$H4189="ED_JU",Painel_diario!$J4189=1),EXP(Painel_diario!$L4189),1)-1</f>
        <v/>
      </c>
    </row>
    <row r="4194">
      <c r="A4194" s="25" t="n">
        <v>45006</v>
      </c>
      <c r="B4194" s="22">
        <f>(1+B4193)*IF(AND(Painel_diario!$H4190="EU_JD",Painel_diario!$J4190=1),EXP(Painel_diario!$L4190),1)-1</f>
        <v/>
      </c>
      <c r="C4194" s="22">
        <f>(1+C4193)*IF(AND(Painel_diario!$H4190="EU_JU",Painel_diario!$J4190=1),EXP(Painel_diario!$L4190),1)-1</f>
        <v/>
      </c>
      <c r="D4194" s="22">
        <f>(1+D4193)*IF(AND(Painel_diario!$H4190="ED_JD",Painel_diario!$J4190=1),EXP(Painel_diario!$L4190),1)-1</f>
        <v/>
      </c>
      <c r="E4194" s="22">
        <f>(1+E4193)*IF(AND(Painel_diario!$H4190="ED_JU",Painel_diario!$J4190=1),EXP(Painel_diario!$L4190),1)-1</f>
        <v/>
      </c>
    </row>
    <row r="4195">
      <c r="A4195" s="25" t="n">
        <v>45007</v>
      </c>
      <c r="B4195" s="22">
        <f>(1+B4194)*IF(AND(Painel_diario!$H4191="EU_JD",Painel_diario!$J4191=1),EXP(Painel_diario!$L4191),1)-1</f>
        <v/>
      </c>
      <c r="C4195" s="22">
        <f>(1+C4194)*IF(AND(Painel_diario!$H4191="EU_JU",Painel_diario!$J4191=1),EXP(Painel_diario!$L4191),1)-1</f>
        <v/>
      </c>
      <c r="D4195" s="22">
        <f>(1+D4194)*IF(AND(Painel_diario!$H4191="ED_JD",Painel_diario!$J4191=1),EXP(Painel_diario!$L4191),1)-1</f>
        <v/>
      </c>
      <c r="E4195" s="22">
        <f>(1+E4194)*IF(AND(Painel_diario!$H4191="ED_JU",Painel_diario!$J4191=1),EXP(Painel_diario!$L4191),1)-1</f>
        <v/>
      </c>
    </row>
    <row r="4196">
      <c r="A4196" s="25" t="n">
        <v>45008</v>
      </c>
      <c r="B4196" s="22">
        <f>(1+B4195)*IF(AND(Painel_diario!$H4192="EU_JD",Painel_diario!$J4192=1),EXP(Painel_diario!$L4192),1)-1</f>
        <v/>
      </c>
      <c r="C4196" s="22">
        <f>(1+C4195)*IF(AND(Painel_diario!$H4192="EU_JU",Painel_diario!$J4192=1),EXP(Painel_diario!$L4192),1)-1</f>
        <v/>
      </c>
      <c r="D4196" s="22">
        <f>(1+D4195)*IF(AND(Painel_diario!$H4192="ED_JD",Painel_diario!$J4192=1),EXP(Painel_diario!$L4192),1)-1</f>
        <v/>
      </c>
      <c r="E4196" s="22">
        <f>(1+E4195)*IF(AND(Painel_diario!$H4192="ED_JU",Painel_diario!$J4192=1),EXP(Painel_diario!$L4192),1)-1</f>
        <v/>
      </c>
    </row>
    <row r="4197">
      <c r="A4197" s="25" t="n">
        <v>45009</v>
      </c>
      <c r="B4197" s="22">
        <f>(1+B4196)*IF(AND(Painel_diario!$H4193="EU_JD",Painel_diario!$J4193=1),EXP(Painel_diario!$L4193),1)-1</f>
        <v/>
      </c>
      <c r="C4197" s="22">
        <f>(1+C4196)*IF(AND(Painel_diario!$H4193="EU_JU",Painel_diario!$J4193=1),EXP(Painel_diario!$L4193),1)-1</f>
        <v/>
      </c>
      <c r="D4197" s="22">
        <f>(1+D4196)*IF(AND(Painel_diario!$H4193="ED_JD",Painel_diario!$J4193=1),EXP(Painel_diario!$L4193),1)-1</f>
        <v/>
      </c>
      <c r="E4197" s="22">
        <f>(1+E4196)*IF(AND(Painel_diario!$H4193="ED_JU",Painel_diario!$J4193=1),EXP(Painel_diario!$L4193),1)-1</f>
        <v/>
      </c>
    </row>
    <row r="4198">
      <c r="A4198" s="25" t="n">
        <v>45012</v>
      </c>
      <c r="B4198" s="22">
        <f>(1+B4197)*IF(AND(Painel_diario!$H4194="EU_JD",Painel_diario!$J4194=1),EXP(Painel_diario!$L4194),1)-1</f>
        <v/>
      </c>
      <c r="C4198" s="22">
        <f>(1+C4197)*IF(AND(Painel_diario!$H4194="EU_JU",Painel_diario!$J4194=1),EXP(Painel_diario!$L4194),1)-1</f>
        <v/>
      </c>
      <c r="D4198" s="22">
        <f>(1+D4197)*IF(AND(Painel_diario!$H4194="ED_JD",Painel_diario!$J4194=1),EXP(Painel_diario!$L4194),1)-1</f>
        <v/>
      </c>
      <c r="E4198" s="22">
        <f>(1+E4197)*IF(AND(Painel_diario!$H4194="ED_JU",Painel_diario!$J4194=1),EXP(Painel_diario!$L4194),1)-1</f>
        <v/>
      </c>
    </row>
    <row r="4199">
      <c r="A4199" s="25" t="n">
        <v>45013</v>
      </c>
      <c r="B4199" s="22">
        <f>(1+B4198)*IF(AND(Painel_diario!$H4195="EU_JD",Painel_diario!$J4195=1),EXP(Painel_diario!$L4195),1)-1</f>
        <v/>
      </c>
      <c r="C4199" s="22">
        <f>(1+C4198)*IF(AND(Painel_diario!$H4195="EU_JU",Painel_diario!$J4195=1),EXP(Painel_diario!$L4195),1)-1</f>
        <v/>
      </c>
      <c r="D4199" s="22">
        <f>(1+D4198)*IF(AND(Painel_diario!$H4195="ED_JD",Painel_diario!$J4195=1),EXP(Painel_diario!$L4195),1)-1</f>
        <v/>
      </c>
      <c r="E4199" s="22">
        <f>(1+E4198)*IF(AND(Painel_diario!$H4195="ED_JU",Painel_diario!$J4195=1),EXP(Painel_diario!$L4195),1)-1</f>
        <v/>
      </c>
    </row>
    <row r="4200">
      <c r="A4200" s="25" t="n">
        <v>45014</v>
      </c>
      <c r="B4200" s="22">
        <f>(1+B4199)*IF(AND(Painel_diario!$H4196="EU_JD",Painel_diario!$J4196=1),EXP(Painel_diario!$L4196),1)-1</f>
        <v/>
      </c>
      <c r="C4200" s="22">
        <f>(1+C4199)*IF(AND(Painel_diario!$H4196="EU_JU",Painel_diario!$J4196=1),EXP(Painel_diario!$L4196),1)-1</f>
        <v/>
      </c>
      <c r="D4200" s="22">
        <f>(1+D4199)*IF(AND(Painel_diario!$H4196="ED_JD",Painel_diario!$J4196=1),EXP(Painel_diario!$L4196),1)-1</f>
        <v/>
      </c>
      <c r="E4200" s="22">
        <f>(1+E4199)*IF(AND(Painel_diario!$H4196="ED_JU",Painel_diario!$J4196=1),EXP(Painel_diario!$L4196),1)-1</f>
        <v/>
      </c>
    </row>
    <row r="4201">
      <c r="A4201" s="25" t="n">
        <v>45015</v>
      </c>
      <c r="B4201" s="22">
        <f>(1+B4200)*IF(AND(Painel_diario!$H4197="EU_JD",Painel_diario!$J4197=1),EXP(Painel_diario!$L4197),1)-1</f>
        <v/>
      </c>
      <c r="C4201" s="22">
        <f>(1+C4200)*IF(AND(Painel_diario!$H4197="EU_JU",Painel_diario!$J4197=1),EXP(Painel_diario!$L4197),1)-1</f>
        <v/>
      </c>
      <c r="D4201" s="22">
        <f>(1+D4200)*IF(AND(Painel_diario!$H4197="ED_JD",Painel_diario!$J4197=1),EXP(Painel_diario!$L4197),1)-1</f>
        <v/>
      </c>
      <c r="E4201" s="22">
        <f>(1+E4200)*IF(AND(Painel_diario!$H4197="ED_JU",Painel_diario!$J4197=1),EXP(Painel_diario!$L4197),1)-1</f>
        <v/>
      </c>
    </row>
    <row r="4202">
      <c r="A4202" s="25" t="n">
        <v>45016</v>
      </c>
      <c r="B4202" s="22">
        <f>(1+B4201)*IF(AND(Painel_diario!$H4198="EU_JD",Painel_diario!$J4198=1),EXP(Painel_diario!$L4198),1)-1</f>
        <v/>
      </c>
      <c r="C4202" s="22">
        <f>(1+C4201)*IF(AND(Painel_diario!$H4198="EU_JU",Painel_diario!$J4198=1),EXP(Painel_diario!$L4198),1)-1</f>
        <v/>
      </c>
      <c r="D4202" s="22">
        <f>(1+D4201)*IF(AND(Painel_diario!$H4198="ED_JD",Painel_diario!$J4198=1),EXP(Painel_diario!$L4198),1)-1</f>
        <v/>
      </c>
      <c r="E4202" s="22">
        <f>(1+E4201)*IF(AND(Painel_diario!$H4198="ED_JU",Painel_diario!$J4198=1),EXP(Painel_diario!$L4198),1)-1</f>
        <v/>
      </c>
    </row>
    <row r="4203">
      <c r="A4203" s="25" t="n">
        <v>45020</v>
      </c>
      <c r="B4203" s="22">
        <f>(1+B4202)*IF(AND(Painel_diario!$H4199="EU_JD",Painel_diario!$J4199=1),EXP(Painel_diario!$L4199),1)-1</f>
        <v/>
      </c>
      <c r="C4203" s="22">
        <f>(1+C4202)*IF(AND(Painel_diario!$H4199="EU_JU",Painel_diario!$J4199=1),EXP(Painel_diario!$L4199),1)-1</f>
        <v/>
      </c>
      <c r="D4203" s="22">
        <f>(1+D4202)*IF(AND(Painel_diario!$H4199="ED_JD",Painel_diario!$J4199=1),EXP(Painel_diario!$L4199),1)-1</f>
        <v/>
      </c>
      <c r="E4203" s="22">
        <f>(1+E4202)*IF(AND(Painel_diario!$H4199="ED_JU",Painel_diario!$J4199=1),EXP(Painel_diario!$L4199),1)-1</f>
        <v/>
      </c>
    </row>
    <row r="4204">
      <c r="A4204" s="25" t="n">
        <v>45021</v>
      </c>
      <c r="B4204" s="22">
        <f>(1+B4203)*IF(AND(Painel_diario!$H4200="EU_JD",Painel_diario!$J4200=1),EXP(Painel_diario!$L4200),1)-1</f>
        <v/>
      </c>
      <c r="C4204" s="22">
        <f>(1+C4203)*IF(AND(Painel_diario!$H4200="EU_JU",Painel_diario!$J4200=1),EXP(Painel_diario!$L4200),1)-1</f>
        <v/>
      </c>
      <c r="D4204" s="22">
        <f>(1+D4203)*IF(AND(Painel_diario!$H4200="ED_JD",Painel_diario!$J4200=1),EXP(Painel_diario!$L4200),1)-1</f>
        <v/>
      </c>
      <c r="E4204" s="22">
        <f>(1+E4203)*IF(AND(Painel_diario!$H4200="ED_JU",Painel_diario!$J4200=1),EXP(Painel_diario!$L4200),1)-1</f>
        <v/>
      </c>
    </row>
    <row r="4205">
      <c r="A4205" s="25" t="n">
        <v>45022</v>
      </c>
      <c r="B4205" s="22">
        <f>(1+B4204)*IF(AND(Painel_diario!$H4201="EU_JD",Painel_diario!$J4201=1),EXP(Painel_diario!$L4201),1)-1</f>
        <v/>
      </c>
      <c r="C4205" s="22">
        <f>(1+C4204)*IF(AND(Painel_diario!$H4201="EU_JU",Painel_diario!$J4201=1),EXP(Painel_diario!$L4201),1)-1</f>
        <v/>
      </c>
      <c r="D4205" s="22">
        <f>(1+D4204)*IF(AND(Painel_diario!$H4201="ED_JD",Painel_diario!$J4201=1),EXP(Painel_diario!$L4201),1)-1</f>
        <v/>
      </c>
      <c r="E4205" s="22">
        <f>(1+E4204)*IF(AND(Painel_diario!$H4201="ED_JU",Painel_diario!$J4201=1),EXP(Painel_diario!$L4201),1)-1</f>
        <v/>
      </c>
    </row>
    <row r="4206">
      <c r="A4206" s="25" t="n">
        <v>45026</v>
      </c>
      <c r="B4206" s="22">
        <f>(1+B4205)*IF(AND(Painel_diario!$H4202="EU_JD",Painel_diario!$J4202=1),EXP(Painel_diario!$L4202),1)-1</f>
        <v/>
      </c>
      <c r="C4206" s="22">
        <f>(1+C4205)*IF(AND(Painel_diario!$H4202="EU_JU",Painel_diario!$J4202=1),EXP(Painel_diario!$L4202),1)-1</f>
        <v/>
      </c>
      <c r="D4206" s="22">
        <f>(1+D4205)*IF(AND(Painel_diario!$H4202="ED_JD",Painel_diario!$J4202=1),EXP(Painel_diario!$L4202),1)-1</f>
        <v/>
      </c>
      <c r="E4206" s="22">
        <f>(1+E4205)*IF(AND(Painel_diario!$H4202="ED_JU",Painel_diario!$J4202=1),EXP(Painel_diario!$L4202),1)-1</f>
        <v/>
      </c>
    </row>
    <row r="4207">
      <c r="A4207" s="25" t="n">
        <v>45027</v>
      </c>
      <c r="B4207" s="22">
        <f>(1+B4206)*IF(AND(Painel_diario!$H4203="EU_JD",Painel_diario!$J4203=1),EXP(Painel_diario!$L4203),1)-1</f>
        <v/>
      </c>
      <c r="C4207" s="22">
        <f>(1+C4206)*IF(AND(Painel_diario!$H4203="EU_JU",Painel_diario!$J4203=1),EXP(Painel_diario!$L4203),1)-1</f>
        <v/>
      </c>
      <c r="D4207" s="22">
        <f>(1+D4206)*IF(AND(Painel_diario!$H4203="ED_JD",Painel_diario!$J4203=1),EXP(Painel_diario!$L4203),1)-1</f>
        <v/>
      </c>
      <c r="E4207" s="22">
        <f>(1+E4206)*IF(AND(Painel_diario!$H4203="ED_JU",Painel_diario!$J4203=1),EXP(Painel_diario!$L4203),1)-1</f>
        <v/>
      </c>
    </row>
    <row r="4208">
      <c r="A4208" s="25" t="n">
        <v>45028</v>
      </c>
      <c r="B4208" s="22">
        <f>(1+B4207)*IF(AND(Painel_diario!$H4204="EU_JD",Painel_diario!$J4204=1),EXP(Painel_diario!$L4204),1)-1</f>
        <v/>
      </c>
      <c r="C4208" s="22">
        <f>(1+C4207)*IF(AND(Painel_diario!$H4204="EU_JU",Painel_diario!$J4204=1),EXP(Painel_diario!$L4204),1)-1</f>
        <v/>
      </c>
      <c r="D4208" s="22">
        <f>(1+D4207)*IF(AND(Painel_diario!$H4204="ED_JD",Painel_diario!$J4204=1),EXP(Painel_diario!$L4204),1)-1</f>
        <v/>
      </c>
      <c r="E4208" s="22">
        <f>(1+E4207)*IF(AND(Painel_diario!$H4204="ED_JU",Painel_diario!$J4204=1),EXP(Painel_diario!$L4204),1)-1</f>
        <v/>
      </c>
    </row>
    <row r="4209">
      <c r="A4209" s="25" t="n">
        <v>45029</v>
      </c>
      <c r="B4209" s="22">
        <f>(1+B4208)*IF(AND(Painel_diario!$H4205="EU_JD",Painel_diario!$J4205=1),EXP(Painel_diario!$L4205),1)-1</f>
        <v/>
      </c>
      <c r="C4209" s="22">
        <f>(1+C4208)*IF(AND(Painel_diario!$H4205="EU_JU",Painel_diario!$J4205=1),EXP(Painel_diario!$L4205),1)-1</f>
        <v/>
      </c>
      <c r="D4209" s="22">
        <f>(1+D4208)*IF(AND(Painel_diario!$H4205="ED_JD",Painel_diario!$J4205=1),EXP(Painel_diario!$L4205),1)-1</f>
        <v/>
      </c>
      <c r="E4209" s="22">
        <f>(1+E4208)*IF(AND(Painel_diario!$H4205="ED_JU",Painel_diario!$J4205=1),EXP(Painel_diario!$L4205),1)-1</f>
        <v/>
      </c>
    </row>
    <row r="4210">
      <c r="A4210" s="25" t="n">
        <v>45030</v>
      </c>
      <c r="B4210" s="22">
        <f>(1+B4209)*IF(AND(Painel_diario!$H4206="EU_JD",Painel_diario!$J4206=1),EXP(Painel_diario!$L4206),1)-1</f>
        <v/>
      </c>
      <c r="C4210" s="22">
        <f>(1+C4209)*IF(AND(Painel_diario!$H4206="EU_JU",Painel_diario!$J4206=1),EXP(Painel_diario!$L4206),1)-1</f>
        <v/>
      </c>
      <c r="D4210" s="22">
        <f>(1+D4209)*IF(AND(Painel_diario!$H4206="ED_JD",Painel_diario!$J4206=1),EXP(Painel_diario!$L4206),1)-1</f>
        <v/>
      </c>
      <c r="E4210" s="22">
        <f>(1+E4209)*IF(AND(Painel_diario!$H4206="ED_JU",Painel_diario!$J4206=1),EXP(Painel_diario!$L4206),1)-1</f>
        <v/>
      </c>
    </row>
    <row r="4211">
      <c r="A4211" s="25" t="n">
        <v>45033</v>
      </c>
      <c r="B4211" s="22">
        <f>(1+B4210)*IF(AND(Painel_diario!$H4207="EU_JD",Painel_diario!$J4207=1),EXP(Painel_diario!$L4207),1)-1</f>
        <v/>
      </c>
      <c r="C4211" s="22">
        <f>(1+C4210)*IF(AND(Painel_diario!$H4207="EU_JU",Painel_diario!$J4207=1),EXP(Painel_diario!$L4207),1)-1</f>
        <v/>
      </c>
      <c r="D4211" s="22">
        <f>(1+D4210)*IF(AND(Painel_diario!$H4207="ED_JD",Painel_diario!$J4207=1),EXP(Painel_diario!$L4207),1)-1</f>
        <v/>
      </c>
      <c r="E4211" s="22">
        <f>(1+E4210)*IF(AND(Painel_diario!$H4207="ED_JU",Painel_diario!$J4207=1),EXP(Painel_diario!$L4207),1)-1</f>
        <v/>
      </c>
    </row>
    <row r="4212">
      <c r="A4212" s="25" t="n">
        <v>45034</v>
      </c>
      <c r="B4212" s="22">
        <f>(1+B4211)*IF(AND(Painel_diario!$H4208="EU_JD",Painel_diario!$J4208=1),EXP(Painel_diario!$L4208),1)-1</f>
        <v/>
      </c>
      <c r="C4212" s="22">
        <f>(1+C4211)*IF(AND(Painel_diario!$H4208="EU_JU",Painel_diario!$J4208=1),EXP(Painel_diario!$L4208),1)-1</f>
        <v/>
      </c>
      <c r="D4212" s="22">
        <f>(1+D4211)*IF(AND(Painel_diario!$H4208="ED_JD",Painel_diario!$J4208=1),EXP(Painel_diario!$L4208),1)-1</f>
        <v/>
      </c>
      <c r="E4212" s="22">
        <f>(1+E4211)*IF(AND(Painel_diario!$H4208="ED_JU",Painel_diario!$J4208=1),EXP(Painel_diario!$L4208),1)-1</f>
        <v/>
      </c>
    </row>
    <row r="4213">
      <c r="A4213" s="25" t="n">
        <v>45035</v>
      </c>
      <c r="B4213" s="22">
        <f>(1+B4212)*IF(AND(Painel_diario!$H4209="EU_JD",Painel_diario!$J4209=1),EXP(Painel_diario!$L4209),1)-1</f>
        <v/>
      </c>
      <c r="C4213" s="22">
        <f>(1+C4212)*IF(AND(Painel_diario!$H4209="EU_JU",Painel_diario!$J4209=1),EXP(Painel_diario!$L4209),1)-1</f>
        <v/>
      </c>
      <c r="D4213" s="22">
        <f>(1+D4212)*IF(AND(Painel_diario!$H4209="ED_JD",Painel_diario!$J4209=1),EXP(Painel_diario!$L4209),1)-1</f>
        <v/>
      </c>
      <c r="E4213" s="22">
        <f>(1+E4212)*IF(AND(Painel_diario!$H4209="ED_JU",Painel_diario!$J4209=1),EXP(Painel_diario!$L4209),1)-1</f>
        <v/>
      </c>
    </row>
    <row r="4214">
      <c r="A4214" s="25" t="n">
        <v>45036</v>
      </c>
      <c r="B4214" s="22">
        <f>(1+B4213)*IF(AND(Painel_diario!$H4210="EU_JD",Painel_diario!$J4210=1),EXP(Painel_diario!$L4210),1)-1</f>
        <v/>
      </c>
      <c r="C4214" s="22">
        <f>(1+C4213)*IF(AND(Painel_diario!$H4210="EU_JU",Painel_diario!$J4210=1),EXP(Painel_diario!$L4210),1)-1</f>
        <v/>
      </c>
      <c r="D4214" s="22">
        <f>(1+D4213)*IF(AND(Painel_diario!$H4210="ED_JD",Painel_diario!$J4210=1),EXP(Painel_diario!$L4210),1)-1</f>
        <v/>
      </c>
      <c r="E4214" s="22">
        <f>(1+E4213)*IF(AND(Painel_diario!$H4210="ED_JU",Painel_diario!$J4210=1),EXP(Painel_diario!$L4210),1)-1</f>
        <v/>
      </c>
    </row>
    <row r="4215">
      <c r="A4215" s="25" t="n">
        <v>45040</v>
      </c>
      <c r="B4215" s="22">
        <f>(1+B4214)*IF(AND(Painel_diario!$H4211="EU_JD",Painel_diario!$J4211=1),EXP(Painel_diario!$L4211),1)-1</f>
        <v/>
      </c>
      <c r="C4215" s="22">
        <f>(1+C4214)*IF(AND(Painel_diario!$H4211="EU_JU",Painel_diario!$J4211=1),EXP(Painel_diario!$L4211),1)-1</f>
        <v/>
      </c>
      <c r="D4215" s="22">
        <f>(1+D4214)*IF(AND(Painel_diario!$H4211="ED_JD",Painel_diario!$J4211=1),EXP(Painel_diario!$L4211),1)-1</f>
        <v/>
      </c>
      <c r="E4215" s="22">
        <f>(1+E4214)*IF(AND(Painel_diario!$H4211="ED_JU",Painel_diario!$J4211=1),EXP(Painel_diario!$L4211),1)-1</f>
        <v/>
      </c>
    </row>
    <row r="4216">
      <c r="A4216" s="25" t="n">
        <v>45041</v>
      </c>
      <c r="B4216" s="22">
        <f>(1+B4215)*IF(AND(Painel_diario!$H4212="EU_JD",Painel_diario!$J4212=1),EXP(Painel_diario!$L4212),1)-1</f>
        <v/>
      </c>
      <c r="C4216" s="22">
        <f>(1+C4215)*IF(AND(Painel_diario!$H4212="EU_JU",Painel_diario!$J4212=1),EXP(Painel_diario!$L4212),1)-1</f>
        <v/>
      </c>
      <c r="D4216" s="22">
        <f>(1+D4215)*IF(AND(Painel_diario!$H4212="ED_JD",Painel_diario!$J4212=1),EXP(Painel_diario!$L4212),1)-1</f>
        <v/>
      </c>
      <c r="E4216" s="22">
        <f>(1+E4215)*IF(AND(Painel_diario!$H4212="ED_JU",Painel_diario!$J4212=1),EXP(Painel_diario!$L4212),1)-1</f>
        <v/>
      </c>
    </row>
    <row r="4217">
      <c r="A4217" s="25" t="n">
        <v>45042</v>
      </c>
      <c r="B4217" s="22">
        <f>(1+B4216)*IF(AND(Painel_diario!$H4213="EU_JD",Painel_diario!$J4213=1),EXP(Painel_diario!$L4213),1)-1</f>
        <v/>
      </c>
      <c r="C4217" s="22">
        <f>(1+C4216)*IF(AND(Painel_diario!$H4213="EU_JU",Painel_diario!$J4213=1),EXP(Painel_diario!$L4213),1)-1</f>
        <v/>
      </c>
      <c r="D4217" s="22">
        <f>(1+D4216)*IF(AND(Painel_diario!$H4213="ED_JD",Painel_diario!$J4213=1),EXP(Painel_diario!$L4213),1)-1</f>
        <v/>
      </c>
      <c r="E4217" s="22">
        <f>(1+E4216)*IF(AND(Painel_diario!$H4213="ED_JU",Painel_diario!$J4213=1),EXP(Painel_diario!$L4213),1)-1</f>
        <v/>
      </c>
    </row>
    <row r="4218">
      <c r="A4218" s="25" t="n">
        <v>45043</v>
      </c>
      <c r="B4218" s="22">
        <f>(1+B4217)*IF(AND(Painel_diario!$H4214="EU_JD",Painel_diario!$J4214=1),EXP(Painel_diario!$L4214),1)-1</f>
        <v/>
      </c>
      <c r="C4218" s="22">
        <f>(1+C4217)*IF(AND(Painel_diario!$H4214="EU_JU",Painel_diario!$J4214=1),EXP(Painel_diario!$L4214),1)-1</f>
        <v/>
      </c>
      <c r="D4218" s="22">
        <f>(1+D4217)*IF(AND(Painel_diario!$H4214="ED_JD",Painel_diario!$J4214=1),EXP(Painel_diario!$L4214),1)-1</f>
        <v/>
      </c>
      <c r="E4218" s="22">
        <f>(1+E4217)*IF(AND(Painel_diario!$H4214="ED_JU",Painel_diario!$J4214=1),EXP(Painel_diario!$L4214),1)-1</f>
        <v/>
      </c>
    </row>
    <row r="4219">
      <c r="A4219" s="25" t="n">
        <v>45044</v>
      </c>
      <c r="B4219" s="22">
        <f>(1+B4218)*IF(AND(Painel_diario!$H4215="EU_JD",Painel_diario!$J4215=1),EXP(Painel_diario!$L4215),1)-1</f>
        <v/>
      </c>
      <c r="C4219" s="22">
        <f>(1+C4218)*IF(AND(Painel_diario!$H4215="EU_JU",Painel_diario!$J4215=1),EXP(Painel_diario!$L4215),1)-1</f>
        <v/>
      </c>
      <c r="D4219" s="22">
        <f>(1+D4218)*IF(AND(Painel_diario!$H4215="ED_JD",Painel_diario!$J4215=1),EXP(Painel_diario!$L4215),1)-1</f>
        <v/>
      </c>
      <c r="E4219" s="22">
        <f>(1+E4218)*IF(AND(Painel_diario!$H4215="ED_JU",Painel_diario!$J4215=1),EXP(Painel_diario!$L4215),1)-1</f>
        <v/>
      </c>
    </row>
    <row r="4220">
      <c r="A4220" s="25" t="n">
        <v>45048</v>
      </c>
      <c r="B4220" s="22">
        <f>(1+B4219)*IF(AND(Painel_diario!$H4216="EU_JD",Painel_diario!$J4216=1),EXP(Painel_diario!$L4216),1)-1</f>
        <v/>
      </c>
      <c r="C4220" s="22">
        <f>(1+C4219)*IF(AND(Painel_diario!$H4216="EU_JU",Painel_diario!$J4216=1),EXP(Painel_diario!$L4216),1)-1</f>
        <v/>
      </c>
      <c r="D4220" s="22">
        <f>(1+D4219)*IF(AND(Painel_diario!$H4216="ED_JD",Painel_diario!$J4216=1),EXP(Painel_diario!$L4216),1)-1</f>
        <v/>
      </c>
      <c r="E4220" s="22">
        <f>(1+E4219)*IF(AND(Painel_diario!$H4216="ED_JU",Painel_diario!$J4216=1),EXP(Painel_diario!$L4216),1)-1</f>
        <v/>
      </c>
    </row>
    <row r="4221">
      <c r="A4221" s="25" t="n">
        <v>45049</v>
      </c>
      <c r="B4221" s="22">
        <f>(1+B4220)*IF(AND(Painel_diario!$H4217="EU_JD",Painel_diario!$J4217=1),EXP(Painel_diario!$L4217),1)-1</f>
        <v/>
      </c>
      <c r="C4221" s="22">
        <f>(1+C4220)*IF(AND(Painel_diario!$H4217="EU_JU",Painel_diario!$J4217=1),EXP(Painel_diario!$L4217),1)-1</f>
        <v/>
      </c>
      <c r="D4221" s="22">
        <f>(1+D4220)*IF(AND(Painel_diario!$H4217="ED_JD",Painel_diario!$J4217=1),EXP(Painel_diario!$L4217),1)-1</f>
        <v/>
      </c>
      <c r="E4221" s="22">
        <f>(1+E4220)*IF(AND(Painel_diario!$H4217="ED_JU",Painel_diario!$J4217=1),EXP(Painel_diario!$L4217),1)-1</f>
        <v/>
      </c>
    </row>
    <row r="4222">
      <c r="A4222" s="25" t="n">
        <v>45050</v>
      </c>
      <c r="B4222" s="22">
        <f>(1+B4221)*IF(AND(Painel_diario!$H4218="EU_JD",Painel_diario!$J4218=1),EXP(Painel_diario!$L4218),1)-1</f>
        <v/>
      </c>
      <c r="C4222" s="22">
        <f>(1+C4221)*IF(AND(Painel_diario!$H4218="EU_JU",Painel_diario!$J4218=1),EXP(Painel_diario!$L4218),1)-1</f>
        <v/>
      </c>
      <c r="D4222" s="22">
        <f>(1+D4221)*IF(AND(Painel_diario!$H4218="ED_JD",Painel_diario!$J4218=1),EXP(Painel_diario!$L4218),1)-1</f>
        <v/>
      </c>
      <c r="E4222" s="22">
        <f>(1+E4221)*IF(AND(Painel_diario!$H4218="ED_JU",Painel_diario!$J4218=1),EXP(Painel_diario!$L4218),1)-1</f>
        <v/>
      </c>
    </row>
    <row r="4223">
      <c r="A4223" s="25" t="n">
        <v>45051</v>
      </c>
      <c r="B4223" s="22">
        <f>(1+B4222)*IF(AND(Painel_diario!$H4219="EU_JD",Painel_diario!$J4219=1),EXP(Painel_diario!$L4219),1)-1</f>
        <v/>
      </c>
      <c r="C4223" s="22">
        <f>(1+C4222)*IF(AND(Painel_diario!$H4219="EU_JU",Painel_diario!$J4219=1),EXP(Painel_diario!$L4219),1)-1</f>
        <v/>
      </c>
      <c r="D4223" s="22">
        <f>(1+D4222)*IF(AND(Painel_diario!$H4219="ED_JD",Painel_diario!$J4219=1),EXP(Painel_diario!$L4219),1)-1</f>
        <v/>
      </c>
      <c r="E4223" s="22">
        <f>(1+E4222)*IF(AND(Painel_diario!$H4219="ED_JU",Painel_diario!$J4219=1),EXP(Painel_diario!$L4219),1)-1</f>
        <v/>
      </c>
    </row>
    <row r="4224">
      <c r="A4224" s="25" t="n">
        <v>45054</v>
      </c>
      <c r="B4224" s="22">
        <f>(1+B4223)*IF(AND(Painel_diario!$H4220="EU_JD",Painel_diario!$J4220=1),EXP(Painel_diario!$L4220),1)-1</f>
        <v/>
      </c>
      <c r="C4224" s="22">
        <f>(1+C4223)*IF(AND(Painel_diario!$H4220="EU_JU",Painel_diario!$J4220=1),EXP(Painel_diario!$L4220),1)-1</f>
        <v/>
      </c>
      <c r="D4224" s="22">
        <f>(1+D4223)*IF(AND(Painel_diario!$H4220="ED_JD",Painel_diario!$J4220=1),EXP(Painel_diario!$L4220),1)-1</f>
        <v/>
      </c>
      <c r="E4224" s="22">
        <f>(1+E4223)*IF(AND(Painel_diario!$H4220="ED_JU",Painel_diario!$J4220=1),EXP(Painel_diario!$L4220),1)-1</f>
        <v/>
      </c>
    </row>
    <row r="4225">
      <c r="A4225" s="25" t="n">
        <v>45055</v>
      </c>
      <c r="B4225" s="22">
        <f>(1+B4224)*IF(AND(Painel_diario!$H4221="EU_JD",Painel_diario!$J4221=1),EXP(Painel_diario!$L4221),1)-1</f>
        <v/>
      </c>
      <c r="C4225" s="22">
        <f>(1+C4224)*IF(AND(Painel_diario!$H4221="EU_JU",Painel_diario!$J4221=1),EXP(Painel_diario!$L4221),1)-1</f>
        <v/>
      </c>
      <c r="D4225" s="22">
        <f>(1+D4224)*IF(AND(Painel_diario!$H4221="ED_JD",Painel_diario!$J4221=1),EXP(Painel_diario!$L4221),1)-1</f>
        <v/>
      </c>
      <c r="E4225" s="22">
        <f>(1+E4224)*IF(AND(Painel_diario!$H4221="ED_JU",Painel_diario!$J4221=1),EXP(Painel_diario!$L4221),1)-1</f>
        <v/>
      </c>
    </row>
    <row r="4226">
      <c r="A4226" s="25" t="n">
        <v>45056</v>
      </c>
      <c r="B4226" s="22">
        <f>(1+B4225)*IF(AND(Painel_diario!$H4222="EU_JD",Painel_diario!$J4222=1),EXP(Painel_diario!$L4222),1)-1</f>
        <v/>
      </c>
      <c r="C4226" s="22">
        <f>(1+C4225)*IF(AND(Painel_diario!$H4222="EU_JU",Painel_diario!$J4222=1),EXP(Painel_diario!$L4222),1)-1</f>
        <v/>
      </c>
      <c r="D4226" s="22">
        <f>(1+D4225)*IF(AND(Painel_diario!$H4222="ED_JD",Painel_diario!$J4222=1),EXP(Painel_diario!$L4222),1)-1</f>
        <v/>
      </c>
      <c r="E4226" s="22">
        <f>(1+E4225)*IF(AND(Painel_diario!$H4222="ED_JU",Painel_diario!$J4222=1),EXP(Painel_diario!$L4222),1)-1</f>
        <v/>
      </c>
    </row>
    <row r="4227">
      <c r="A4227" s="25" t="n">
        <v>45057</v>
      </c>
      <c r="B4227" s="22">
        <f>(1+B4226)*IF(AND(Painel_diario!$H4223="EU_JD",Painel_diario!$J4223=1),EXP(Painel_diario!$L4223),1)-1</f>
        <v/>
      </c>
      <c r="C4227" s="22">
        <f>(1+C4226)*IF(AND(Painel_diario!$H4223="EU_JU",Painel_diario!$J4223=1),EXP(Painel_diario!$L4223),1)-1</f>
        <v/>
      </c>
      <c r="D4227" s="22">
        <f>(1+D4226)*IF(AND(Painel_diario!$H4223="ED_JD",Painel_diario!$J4223=1),EXP(Painel_diario!$L4223),1)-1</f>
        <v/>
      </c>
      <c r="E4227" s="22">
        <f>(1+E4226)*IF(AND(Painel_diario!$H4223="ED_JU",Painel_diario!$J4223=1),EXP(Painel_diario!$L4223),1)-1</f>
        <v/>
      </c>
    </row>
    <row r="4228">
      <c r="A4228" s="25" t="n">
        <v>45058</v>
      </c>
      <c r="B4228" s="22">
        <f>(1+B4227)*IF(AND(Painel_diario!$H4224="EU_JD",Painel_diario!$J4224=1),EXP(Painel_diario!$L4224),1)-1</f>
        <v/>
      </c>
      <c r="C4228" s="22">
        <f>(1+C4227)*IF(AND(Painel_diario!$H4224="EU_JU",Painel_diario!$J4224=1),EXP(Painel_diario!$L4224),1)-1</f>
        <v/>
      </c>
      <c r="D4228" s="22">
        <f>(1+D4227)*IF(AND(Painel_diario!$H4224="ED_JD",Painel_diario!$J4224=1),EXP(Painel_diario!$L4224),1)-1</f>
        <v/>
      </c>
      <c r="E4228" s="22">
        <f>(1+E4227)*IF(AND(Painel_diario!$H4224="ED_JU",Painel_diario!$J4224=1),EXP(Painel_diario!$L4224),1)-1</f>
        <v/>
      </c>
    </row>
    <row r="4229">
      <c r="A4229" s="25" t="n">
        <v>45061</v>
      </c>
      <c r="B4229" s="22">
        <f>(1+B4228)*IF(AND(Painel_diario!$H4225="EU_JD",Painel_diario!$J4225=1),EXP(Painel_diario!$L4225),1)-1</f>
        <v/>
      </c>
      <c r="C4229" s="22">
        <f>(1+C4228)*IF(AND(Painel_diario!$H4225="EU_JU",Painel_diario!$J4225=1),EXP(Painel_diario!$L4225),1)-1</f>
        <v/>
      </c>
      <c r="D4229" s="22">
        <f>(1+D4228)*IF(AND(Painel_diario!$H4225="ED_JD",Painel_diario!$J4225=1),EXP(Painel_diario!$L4225),1)-1</f>
        <v/>
      </c>
      <c r="E4229" s="22">
        <f>(1+E4228)*IF(AND(Painel_diario!$H4225="ED_JU",Painel_diario!$J4225=1),EXP(Painel_diario!$L4225),1)-1</f>
        <v/>
      </c>
    </row>
    <row r="4230">
      <c r="A4230" s="25" t="n">
        <v>45062</v>
      </c>
      <c r="B4230" s="22">
        <f>(1+B4229)*IF(AND(Painel_diario!$H4226="EU_JD",Painel_diario!$J4226=1),EXP(Painel_diario!$L4226),1)-1</f>
        <v/>
      </c>
      <c r="C4230" s="22">
        <f>(1+C4229)*IF(AND(Painel_diario!$H4226="EU_JU",Painel_diario!$J4226=1),EXP(Painel_diario!$L4226),1)-1</f>
        <v/>
      </c>
      <c r="D4230" s="22">
        <f>(1+D4229)*IF(AND(Painel_diario!$H4226="ED_JD",Painel_diario!$J4226=1),EXP(Painel_diario!$L4226),1)-1</f>
        <v/>
      </c>
      <c r="E4230" s="22">
        <f>(1+E4229)*IF(AND(Painel_diario!$H4226="ED_JU",Painel_diario!$J4226=1),EXP(Painel_diario!$L4226),1)-1</f>
        <v/>
      </c>
    </row>
    <row r="4231">
      <c r="A4231" s="25" t="n">
        <v>45063</v>
      </c>
      <c r="B4231" s="22">
        <f>(1+B4230)*IF(AND(Painel_diario!$H4227="EU_JD",Painel_diario!$J4227=1),EXP(Painel_diario!$L4227),1)-1</f>
        <v/>
      </c>
      <c r="C4231" s="22">
        <f>(1+C4230)*IF(AND(Painel_diario!$H4227="EU_JU",Painel_diario!$J4227=1),EXP(Painel_diario!$L4227),1)-1</f>
        <v/>
      </c>
      <c r="D4231" s="22">
        <f>(1+D4230)*IF(AND(Painel_diario!$H4227="ED_JD",Painel_diario!$J4227=1),EXP(Painel_diario!$L4227),1)-1</f>
        <v/>
      </c>
      <c r="E4231" s="22">
        <f>(1+E4230)*IF(AND(Painel_diario!$H4227="ED_JU",Painel_diario!$J4227=1),EXP(Painel_diario!$L4227),1)-1</f>
        <v/>
      </c>
    </row>
    <row r="4232">
      <c r="A4232" s="25" t="n">
        <v>45064</v>
      </c>
      <c r="B4232" s="22">
        <f>(1+B4231)*IF(AND(Painel_diario!$H4228="EU_JD",Painel_diario!$J4228=1),EXP(Painel_diario!$L4228),1)-1</f>
        <v/>
      </c>
      <c r="C4232" s="22">
        <f>(1+C4231)*IF(AND(Painel_diario!$H4228="EU_JU",Painel_diario!$J4228=1),EXP(Painel_diario!$L4228),1)-1</f>
        <v/>
      </c>
      <c r="D4232" s="22">
        <f>(1+D4231)*IF(AND(Painel_diario!$H4228="ED_JD",Painel_diario!$J4228=1),EXP(Painel_diario!$L4228),1)-1</f>
        <v/>
      </c>
      <c r="E4232" s="22">
        <f>(1+E4231)*IF(AND(Painel_diario!$H4228="ED_JU",Painel_diario!$J4228=1),EXP(Painel_diario!$L4228),1)-1</f>
        <v/>
      </c>
    </row>
    <row r="4233">
      <c r="A4233" s="25" t="n">
        <v>45065</v>
      </c>
      <c r="B4233" s="22">
        <f>(1+B4232)*IF(AND(Painel_diario!$H4229="EU_JD",Painel_diario!$J4229=1),EXP(Painel_diario!$L4229),1)-1</f>
        <v/>
      </c>
      <c r="C4233" s="22">
        <f>(1+C4232)*IF(AND(Painel_diario!$H4229="EU_JU",Painel_diario!$J4229=1),EXP(Painel_diario!$L4229),1)-1</f>
        <v/>
      </c>
      <c r="D4233" s="22">
        <f>(1+D4232)*IF(AND(Painel_diario!$H4229="ED_JD",Painel_diario!$J4229=1),EXP(Painel_diario!$L4229),1)-1</f>
        <v/>
      </c>
      <c r="E4233" s="22">
        <f>(1+E4232)*IF(AND(Painel_diario!$H4229="ED_JU",Painel_diario!$J4229=1),EXP(Painel_diario!$L4229),1)-1</f>
        <v/>
      </c>
    </row>
    <row r="4234">
      <c r="A4234" s="25" t="n">
        <v>45068</v>
      </c>
      <c r="B4234" s="22">
        <f>(1+B4233)*IF(AND(Painel_diario!$H4230="EU_JD",Painel_diario!$J4230=1),EXP(Painel_diario!$L4230),1)-1</f>
        <v/>
      </c>
      <c r="C4234" s="22">
        <f>(1+C4233)*IF(AND(Painel_diario!$H4230="EU_JU",Painel_diario!$J4230=1),EXP(Painel_diario!$L4230),1)-1</f>
        <v/>
      </c>
      <c r="D4234" s="22">
        <f>(1+D4233)*IF(AND(Painel_diario!$H4230="ED_JD",Painel_diario!$J4230=1),EXP(Painel_diario!$L4230),1)-1</f>
        <v/>
      </c>
      <c r="E4234" s="22">
        <f>(1+E4233)*IF(AND(Painel_diario!$H4230="ED_JU",Painel_diario!$J4230=1),EXP(Painel_diario!$L4230),1)-1</f>
        <v/>
      </c>
    </row>
    <row r="4235">
      <c r="A4235" s="25" t="n">
        <v>45069</v>
      </c>
      <c r="B4235" s="22">
        <f>(1+B4234)*IF(AND(Painel_diario!$H4231="EU_JD",Painel_diario!$J4231=1),EXP(Painel_diario!$L4231),1)-1</f>
        <v/>
      </c>
      <c r="C4235" s="22">
        <f>(1+C4234)*IF(AND(Painel_diario!$H4231="EU_JU",Painel_diario!$J4231=1),EXP(Painel_diario!$L4231),1)-1</f>
        <v/>
      </c>
      <c r="D4235" s="22">
        <f>(1+D4234)*IF(AND(Painel_diario!$H4231="ED_JD",Painel_diario!$J4231=1),EXP(Painel_diario!$L4231),1)-1</f>
        <v/>
      </c>
      <c r="E4235" s="22">
        <f>(1+E4234)*IF(AND(Painel_diario!$H4231="ED_JU",Painel_diario!$J4231=1),EXP(Painel_diario!$L4231),1)-1</f>
        <v/>
      </c>
    </row>
    <row r="4236">
      <c r="A4236" s="25" t="n">
        <v>45070</v>
      </c>
      <c r="B4236" s="22">
        <f>(1+B4235)*IF(AND(Painel_diario!$H4232="EU_JD",Painel_diario!$J4232=1),EXP(Painel_diario!$L4232),1)-1</f>
        <v/>
      </c>
      <c r="C4236" s="22">
        <f>(1+C4235)*IF(AND(Painel_diario!$H4232="EU_JU",Painel_diario!$J4232=1),EXP(Painel_diario!$L4232),1)-1</f>
        <v/>
      </c>
      <c r="D4236" s="22">
        <f>(1+D4235)*IF(AND(Painel_diario!$H4232="ED_JD",Painel_diario!$J4232=1),EXP(Painel_diario!$L4232),1)-1</f>
        <v/>
      </c>
      <c r="E4236" s="22">
        <f>(1+E4235)*IF(AND(Painel_diario!$H4232="ED_JU",Painel_diario!$J4232=1),EXP(Painel_diario!$L4232),1)-1</f>
        <v/>
      </c>
    </row>
    <row r="4237">
      <c r="A4237" s="25" t="n">
        <v>45071</v>
      </c>
      <c r="B4237" s="22">
        <f>(1+B4236)*IF(AND(Painel_diario!$H4233="EU_JD",Painel_diario!$J4233=1),EXP(Painel_diario!$L4233),1)-1</f>
        <v/>
      </c>
      <c r="C4237" s="22">
        <f>(1+C4236)*IF(AND(Painel_diario!$H4233="EU_JU",Painel_diario!$J4233=1),EXP(Painel_diario!$L4233),1)-1</f>
        <v/>
      </c>
      <c r="D4237" s="22">
        <f>(1+D4236)*IF(AND(Painel_diario!$H4233="ED_JD",Painel_diario!$J4233=1),EXP(Painel_diario!$L4233),1)-1</f>
        <v/>
      </c>
      <c r="E4237" s="22">
        <f>(1+E4236)*IF(AND(Painel_diario!$H4233="ED_JU",Painel_diario!$J4233=1),EXP(Painel_diario!$L4233),1)-1</f>
        <v/>
      </c>
    </row>
    <row r="4238">
      <c r="A4238" s="25" t="n">
        <v>45072</v>
      </c>
      <c r="B4238" s="22">
        <f>(1+B4237)*IF(AND(Painel_diario!$H4234="EU_JD",Painel_diario!$J4234=1),EXP(Painel_diario!$L4234),1)-1</f>
        <v/>
      </c>
      <c r="C4238" s="22">
        <f>(1+C4237)*IF(AND(Painel_diario!$H4234="EU_JU",Painel_diario!$J4234=1),EXP(Painel_diario!$L4234),1)-1</f>
        <v/>
      </c>
      <c r="D4238" s="22">
        <f>(1+D4237)*IF(AND(Painel_diario!$H4234="ED_JD",Painel_diario!$J4234=1),EXP(Painel_diario!$L4234),1)-1</f>
        <v/>
      </c>
      <c r="E4238" s="22">
        <f>(1+E4237)*IF(AND(Painel_diario!$H4234="ED_JU",Painel_diario!$J4234=1),EXP(Painel_diario!$L4234),1)-1</f>
        <v/>
      </c>
    </row>
    <row r="4239">
      <c r="A4239" s="25" t="n">
        <v>45075</v>
      </c>
      <c r="B4239" s="22">
        <f>(1+B4238)*IF(AND(Painel_diario!$H4235="EU_JD",Painel_diario!$J4235=1),EXP(Painel_diario!$L4235),1)-1</f>
        <v/>
      </c>
      <c r="C4239" s="22">
        <f>(1+C4238)*IF(AND(Painel_diario!$H4235="EU_JU",Painel_diario!$J4235=1),EXP(Painel_diario!$L4235),1)-1</f>
        <v/>
      </c>
      <c r="D4239" s="22">
        <f>(1+D4238)*IF(AND(Painel_diario!$H4235="ED_JD",Painel_diario!$J4235=1),EXP(Painel_diario!$L4235),1)-1</f>
        <v/>
      </c>
      <c r="E4239" s="22">
        <f>(1+E4238)*IF(AND(Painel_diario!$H4235="ED_JU",Painel_diario!$J4235=1),EXP(Painel_diario!$L4235),1)-1</f>
        <v/>
      </c>
    </row>
    <row r="4240">
      <c r="A4240" s="25" t="n">
        <v>45076</v>
      </c>
      <c r="B4240" s="22">
        <f>(1+B4239)*IF(AND(Painel_diario!$H4236="EU_JD",Painel_diario!$J4236=1),EXP(Painel_diario!$L4236),1)-1</f>
        <v/>
      </c>
      <c r="C4240" s="22">
        <f>(1+C4239)*IF(AND(Painel_diario!$H4236="EU_JU",Painel_diario!$J4236=1),EXP(Painel_diario!$L4236),1)-1</f>
        <v/>
      </c>
      <c r="D4240" s="22">
        <f>(1+D4239)*IF(AND(Painel_diario!$H4236="ED_JD",Painel_diario!$J4236=1),EXP(Painel_diario!$L4236),1)-1</f>
        <v/>
      </c>
      <c r="E4240" s="22">
        <f>(1+E4239)*IF(AND(Painel_diario!$H4236="ED_JU",Painel_diario!$J4236=1),EXP(Painel_diario!$L4236),1)-1</f>
        <v/>
      </c>
    </row>
    <row r="4241">
      <c r="A4241" s="25" t="n">
        <v>45077</v>
      </c>
      <c r="B4241" s="22">
        <f>(1+B4240)*IF(AND(Painel_diario!$H4237="EU_JD",Painel_diario!$J4237=1),EXP(Painel_diario!$L4237),1)-1</f>
        <v/>
      </c>
      <c r="C4241" s="22">
        <f>(1+C4240)*IF(AND(Painel_diario!$H4237="EU_JU",Painel_diario!$J4237=1),EXP(Painel_diario!$L4237),1)-1</f>
        <v/>
      </c>
      <c r="D4241" s="22">
        <f>(1+D4240)*IF(AND(Painel_diario!$H4237="ED_JD",Painel_diario!$J4237=1),EXP(Painel_diario!$L4237),1)-1</f>
        <v/>
      </c>
      <c r="E4241" s="22">
        <f>(1+E4240)*IF(AND(Painel_diario!$H4237="ED_JU",Painel_diario!$J4237=1),EXP(Painel_diario!$L4237),1)-1</f>
        <v/>
      </c>
    </row>
    <row r="4242">
      <c r="A4242" s="25" t="n">
        <v>45078</v>
      </c>
      <c r="B4242" s="22">
        <f>(1+B4241)*IF(AND(Painel_diario!$H4238="EU_JD",Painel_diario!$J4238=1),EXP(Painel_diario!$L4238),1)-1</f>
        <v/>
      </c>
      <c r="C4242" s="22">
        <f>(1+C4241)*IF(AND(Painel_diario!$H4238="EU_JU",Painel_diario!$J4238=1),EXP(Painel_diario!$L4238),1)-1</f>
        <v/>
      </c>
      <c r="D4242" s="22">
        <f>(1+D4241)*IF(AND(Painel_diario!$H4238="ED_JD",Painel_diario!$J4238=1),EXP(Painel_diario!$L4238),1)-1</f>
        <v/>
      </c>
      <c r="E4242" s="22">
        <f>(1+E4241)*IF(AND(Painel_diario!$H4238="ED_JU",Painel_diario!$J4238=1),EXP(Painel_diario!$L4238),1)-1</f>
        <v/>
      </c>
    </row>
    <row r="4243">
      <c r="A4243" s="25" t="n">
        <v>45079</v>
      </c>
      <c r="B4243" s="22">
        <f>(1+B4242)*IF(AND(Painel_diario!$H4239="EU_JD",Painel_diario!$J4239=1),EXP(Painel_diario!$L4239),1)-1</f>
        <v/>
      </c>
      <c r="C4243" s="22">
        <f>(1+C4242)*IF(AND(Painel_diario!$H4239="EU_JU",Painel_diario!$J4239=1),EXP(Painel_diario!$L4239),1)-1</f>
        <v/>
      </c>
      <c r="D4243" s="22">
        <f>(1+D4242)*IF(AND(Painel_diario!$H4239="ED_JD",Painel_diario!$J4239=1),EXP(Painel_diario!$L4239),1)-1</f>
        <v/>
      </c>
      <c r="E4243" s="22">
        <f>(1+E4242)*IF(AND(Painel_diario!$H4239="ED_JU",Painel_diario!$J4239=1),EXP(Painel_diario!$L4239),1)-1</f>
        <v/>
      </c>
    </row>
    <row r="4244">
      <c r="A4244" s="25" t="n">
        <v>45082</v>
      </c>
      <c r="B4244" s="22">
        <f>(1+B4243)*IF(AND(Painel_diario!$H4240="EU_JD",Painel_diario!$J4240=1),EXP(Painel_diario!$L4240),1)-1</f>
        <v/>
      </c>
      <c r="C4244" s="22">
        <f>(1+C4243)*IF(AND(Painel_diario!$H4240="EU_JU",Painel_diario!$J4240=1),EXP(Painel_diario!$L4240),1)-1</f>
        <v/>
      </c>
      <c r="D4244" s="22">
        <f>(1+D4243)*IF(AND(Painel_diario!$H4240="ED_JD",Painel_diario!$J4240=1),EXP(Painel_diario!$L4240),1)-1</f>
        <v/>
      </c>
      <c r="E4244" s="22">
        <f>(1+E4243)*IF(AND(Painel_diario!$H4240="ED_JU",Painel_diario!$J4240=1),EXP(Painel_diario!$L4240),1)-1</f>
        <v/>
      </c>
    </row>
    <row r="4245">
      <c r="A4245" s="25" t="n">
        <v>45083</v>
      </c>
      <c r="B4245" s="22">
        <f>(1+B4244)*IF(AND(Painel_diario!$H4241="EU_JD",Painel_diario!$J4241=1),EXP(Painel_diario!$L4241),1)-1</f>
        <v/>
      </c>
      <c r="C4245" s="22">
        <f>(1+C4244)*IF(AND(Painel_diario!$H4241="EU_JU",Painel_diario!$J4241=1),EXP(Painel_diario!$L4241),1)-1</f>
        <v/>
      </c>
      <c r="D4245" s="22">
        <f>(1+D4244)*IF(AND(Painel_diario!$H4241="ED_JD",Painel_diario!$J4241=1),EXP(Painel_diario!$L4241),1)-1</f>
        <v/>
      </c>
      <c r="E4245" s="22">
        <f>(1+E4244)*IF(AND(Painel_diario!$H4241="ED_JU",Painel_diario!$J4241=1),EXP(Painel_diario!$L4241),1)-1</f>
        <v/>
      </c>
    </row>
    <row r="4246">
      <c r="A4246" s="25" t="n">
        <v>45084</v>
      </c>
      <c r="B4246" s="22">
        <f>(1+B4245)*IF(AND(Painel_diario!$H4242="EU_JD",Painel_diario!$J4242=1),EXP(Painel_diario!$L4242),1)-1</f>
        <v/>
      </c>
      <c r="C4246" s="22">
        <f>(1+C4245)*IF(AND(Painel_diario!$H4242="EU_JU",Painel_diario!$J4242=1),EXP(Painel_diario!$L4242),1)-1</f>
        <v/>
      </c>
      <c r="D4246" s="22">
        <f>(1+D4245)*IF(AND(Painel_diario!$H4242="ED_JD",Painel_diario!$J4242=1),EXP(Painel_diario!$L4242),1)-1</f>
        <v/>
      </c>
      <c r="E4246" s="22">
        <f>(1+E4245)*IF(AND(Painel_diario!$H4242="ED_JU",Painel_diario!$J4242=1),EXP(Painel_diario!$L4242),1)-1</f>
        <v/>
      </c>
    </row>
    <row r="4247">
      <c r="A4247" s="25" t="n">
        <v>45086</v>
      </c>
      <c r="B4247" s="22">
        <f>(1+B4246)*IF(AND(Painel_diario!$H4243="EU_JD",Painel_diario!$J4243=1),EXP(Painel_diario!$L4243),1)-1</f>
        <v/>
      </c>
      <c r="C4247" s="22">
        <f>(1+C4246)*IF(AND(Painel_diario!$H4243="EU_JU",Painel_diario!$J4243=1),EXP(Painel_diario!$L4243),1)-1</f>
        <v/>
      </c>
      <c r="D4247" s="22">
        <f>(1+D4246)*IF(AND(Painel_diario!$H4243="ED_JD",Painel_diario!$J4243=1),EXP(Painel_diario!$L4243),1)-1</f>
        <v/>
      </c>
      <c r="E4247" s="22">
        <f>(1+E4246)*IF(AND(Painel_diario!$H4243="ED_JU",Painel_diario!$J4243=1),EXP(Painel_diario!$L4243),1)-1</f>
        <v/>
      </c>
    </row>
    <row r="4248">
      <c r="A4248" s="25" t="n">
        <v>45089</v>
      </c>
      <c r="B4248" s="22">
        <f>(1+B4247)*IF(AND(Painel_diario!$H4244="EU_JD",Painel_diario!$J4244=1),EXP(Painel_diario!$L4244),1)-1</f>
        <v/>
      </c>
      <c r="C4248" s="22">
        <f>(1+C4247)*IF(AND(Painel_diario!$H4244="EU_JU",Painel_diario!$J4244=1),EXP(Painel_diario!$L4244),1)-1</f>
        <v/>
      </c>
      <c r="D4248" s="22">
        <f>(1+D4247)*IF(AND(Painel_diario!$H4244="ED_JD",Painel_diario!$J4244=1),EXP(Painel_diario!$L4244),1)-1</f>
        <v/>
      </c>
      <c r="E4248" s="22">
        <f>(1+E4247)*IF(AND(Painel_diario!$H4244="ED_JU",Painel_diario!$J4244=1),EXP(Painel_diario!$L4244),1)-1</f>
        <v/>
      </c>
    </row>
    <row r="4249">
      <c r="A4249" s="25" t="n">
        <v>45090</v>
      </c>
      <c r="B4249" s="22">
        <f>(1+B4248)*IF(AND(Painel_diario!$H4245="EU_JD",Painel_diario!$J4245=1),EXP(Painel_diario!$L4245),1)-1</f>
        <v/>
      </c>
      <c r="C4249" s="22">
        <f>(1+C4248)*IF(AND(Painel_diario!$H4245="EU_JU",Painel_diario!$J4245=1),EXP(Painel_diario!$L4245),1)-1</f>
        <v/>
      </c>
      <c r="D4249" s="22">
        <f>(1+D4248)*IF(AND(Painel_diario!$H4245="ED_JD",Painel_diario!$J4245=1),EXP(Painel_diario!$L4245),1)-1</f>
        <v/>
      </c>
      <c r="E4249" s="22">
        <f>(1+E4248)*IF(AND(Painel_diario!$H4245="ED_JU",Painel_diario!$J4245=1),EXP(Painel_diario!$L4245),1)-1</f>
        <v/>
      </c>
    </row>
    <row r="4250">
      <c r="A4250" s="25" t="n">
        <v>45091</v>
      </c>
      <c r="B4250" s="22">
        <f>(1+B4249)*IF(AND(Painel_diario!$H4246="EU_JD",Painel_diario!$J4246=1),EXP(Painel_diario!$L4246),1)-1</f>
        <v/>
      </c>
      <c r="C4250" s="22">
        <f>(1+C4249)*IF(AND(Painel_diario!$H4246="EU_JU",Painel_diario!$J4246=1),EXP(Painel_diario!$L4246),1)-1</f>
        <v/>
      </c>
      <c r="D4250" s="22">
        <f>(1+D4249)*IF(AND(Painel_diario!$H4246="ED_JD",Painel_diario!$J4246=1),EXP(Painel_diario!$L4246),1)-1</f>
        <v/>
      </c>
      <c r="E4250" s="22">
        <f>(1+E4249)*IF(AND(Painel_diario!$H4246="ED_JU",Painel_diario!$J4246=1),EXP(Painel_diario!$L4246),1)-1</f>
        <v/>
      </c>
    </row>
    <row r="4251">
      <c r="A4251" s="25" t="n">
        <v>45092</v>
      </c>
      <c r="B4251" s="22">
        <f>(1+B4250)*IF(AND(Painel_diario!$H4247="EU_JD",Painel_diario!$J4247=1),EXP(Painel_diario!$L4247),1)-1</f>
        <v/>
      </c>
      <c r="C4251" s="22">
        <f>(1+C4250)*IF(AND(Painel_diario!$H4247="EU_JU",Painel_diario!$J4247=1),EXP(Painel_diario!$L4247),1)-1</f>
        <v/>
      </c>
      <c r="D4251" s="22">
        <f>(1+D4250)*IF(AND(Painel_diario!$H4247="ED_JD",Painel_diario!$J4247=1),EXP(Painel_diario!$L4247),1)-1</f>
        <v/>
      </c>
      <c r="E4251" s="22">
        <f>(1+E4250)*IF(AND(Painel_diario!$H4247="ED_JU",Painel_diario!$J4247=1),EXP(Painel_diario!$L4247),1)-1</f>
        <v/>
      </c>
    </row>
    <row r="4252">
      <c r="A4252" s="25" t="n">
        <v>45093</v>
      </c>
      <c r="B4252" s="22">
        <f>(1+B4251)*IF(AND(Painel_diario!$H4248="EU_JD",Painel_diario!$J4248=1),EXP(Painel_diario!$L4248),1)-1</f>
        <v/>
      </c>
      <c r="C4252" s="22">
        <f>(1+C4251)*IF(AND(Painel_diario!$H4248="EU_JU",Painel_diario!$J4248=1),EXP(Painel_diario!$L4248),1)-1</f>
        <v/>
      </c>
      <c r="D4252" s="22">
        <f>(1+D4251)*IF(AND(Painel_diario!$H4248="ED_JD",Painel_diario!$J4248=1),EXP(Painel_diario!$L4248),1)-1</f>
        <v/>
      </c>
      <c r="E4252" s="22">
        <f>(1+E4251)*IF(AND(Painel_diario!$H4248="ED_JU",Painel_diario!$J4248=1),EXP(Painel_diario!$L4248),1)-1</f>
        <v/>
      </c>
    </row>
    <row r="4253">
      <c r="A4253" s="25" t="n">
        <v>45096</v>
      </c>
      <c r="B4253" s="22">
        <f>(1+B4252)*IF(AND(Painel_diario!$H4249="EU_JD",Painel_diario!$J4249=1),EXP(Painel_diario!$L4249),1)-1</f>
        <v/>
      </c>
      <c r="C4253" s="22">
        <f>(1+C4252)*IF(AND(Painel_diario!$H4249="EU_JU",Painel_diario!$J4249=1),EXP(Painel_diario!$L4249),1)-1</f>
        <v/>
      </c>
      <c r="D4253" s="22">
        <f>(1+D4252)*IF(AND(Painel_diario!$H4249="ED_JD",Painel_diario!$J4249=1),EXP(Painel_diario!$L4249),1)-1</f>
        <v/>
      </c>
      <c r="E4253" s="22">
        <f>(1+E4252)*IF(AND(Painel_diario!$H4249="ED_JU",Painel_diario!$J4249=1),EXP(Painel_diario!$L4249),1)-1</f>
        <v/>
      </c>
    </row>
    <row r="4254">
      <c r="A4254" s="25" t="n">
        <v>45097</v>
      </c>
      <c r="B4254" s="22">
        <f>(1+B4253)*IF(AND(Painel_diario!$H4250="EU_JD",Painel_diario!$J4250=1),EXP(Painel_diario!$L4250),1)-1</f>
        <v/>
      </c>
      <c r="C4254" s="22">
        <f>(1+C4253)*IF(AND(Painel_diario!$H4250="EU_JU",Painel_diario!$J4250=1),EXP(Painel_diario!$L4250),1)-1</f>
        <v/>
      </c>
      <c r="D4254" s="22">
        <f>(1+D4253)*IF(AND(Painel_diario!$H4250="ED_JD",Painel_diario!$J4250=1),EXP(Painel_diario!$L4250),1)-1</f>
        <v/>
      </c>
      <c r="E4254" s="22">
        <f>(1+E4253)*IF(AND(Painel_diario!$H4250="ED_JU",Painel_diario!$J4250=1),EXP(Painel_diario!$L4250),1)-1</f>
        <v/>
      </c>
    </row>
    <row r="4255">
      <c r="A4255" s="25" t="n">
        <v>45098</v>
      </c>
      <c r="B4255" s="22">
        <f>(1+B4254)*IF(AND(Painel_diario!$H4251="EU_JD",Painel_diario!$J4251=1),EXP(Painel_diario!$L4251),1)-1</f>
        <v/>
      </c>
      <c r="C4255" s="22">
        <f>(1+C4254)*IF(AND(Painel_diario!$H4251="EU_JU",Painel_diario!$J4251=1),EXP(Painel_diario!$L4251),1)-1</f>
        <v/>
      </c>
      <c r="D4255" s="22">
        <f>(1+D4254)*IF(AND(Painel_diario!$H4251="ED_JD",Painel_diario!$J4251=1),EXP(Painel_diario!$L4251),1)-1</f>
        <v/>
      </c>
      <c r="E4255" s="22">
        <f>(1+E4254)*IF(AND(Painel_diario!$H4251="ED_JU",Painel_diario!$J4251=1),EXP(Painel_diario!$L4251),1)-1</f>
        <v/>
      </c>
    </row>
    <row r="4256">
      <c r="A4256" s="25" t="n">
        <v>45099</v>
      </c>
      <c r="B4256" s="22">
        <f>(1+B4255)*IF(AND(Painel_diario!$H4252="EU_JD",Painel_diario!$J4252=1),EXP(Painel_diario!$L4252),1)-1</f>
        <v/>
      </c>
      <c r="C4256" s="22">
        <f>(1+C4255)*IF(AND(Painel_diario!$H4252="EU_JU",Painel_diario!$J4252=1),EXP(Painel_diario!$L4252),1)-1</f>
        <v/>
      </c>
      <c r="D4256" s="22">
        <f>(1+D4255)*IF(AND(Painel_diario!$H4252="ED_JD",Painel_diario!$J4252=1),EXP(Painel_diario!$L4252),1)-1</f>
        <v/>
      </c>
      <c r="E4256" s="22">
        <f>(1+E4255)*IF(AND(Painel_diario!$H4252="ED_JU",Painel_diario!$J4252=1),EXP(Painel_diario!$L4252),1)-1</f>
        <v/>
      </c>
    </row>
    <row r="4257">
      <c r="A4257" s="25" t="n">
        <v>45100</v>
      </c>
      <c r="B4257" s="22">
        <f>(1+B4256)*IF(AND(Painel_diario!$H4253="EU_JD",Painel_diario!$J4253=1),EXP(Painel_diario!$L4253),1)-1</f>
        <v/>
      </c>
      <c r="C4257" s="22">
        <f>(1+C4256)*IF(AND(Painel_diario!$H4253="EU_JU",Painel_diario!$J4253=1),EXP(Painel_diario!$L4253),1)-1</f>
        <v/>
      </c>
      <c r="D4257" s="22">
        <f>(1+D4256)*IF(AND(Painel_diario!$H4253="ED_JD",Painel_diario!$J4253=1),EXP(Painel_diario!$L4253),1)-1</f>
        <v/>
      </c>
      <c r="E4257" s="22">
        <f>(1+E4256)*IF(AND(Painel_diario!$H4253="ED_JU",Painel_diario!$J4253=1),EXP(Painel_diario!$L4253),1)-1</f>
        <v/>
      </c>
    </row>
    <row r="4258">
      <c r="A4258" s="25" t="n">
        <v>45103</v>
      </c>
      <c r="B4258" s="22">
        <f>(1+B4257)*IF(AND(Painel_diario!$H4254="EU_JD",Painel_diario!$J4254=1),EXP(Painel_diario!$L4254),1)-1</f>
        <v/>
      </c>
      <c r="C4258" s="22">
        <f>(1+C4257)*IF(AND(Painel_diario!$H4254="EU_JU",Painel_diario!$J4254=1),EXP(Painel_diario!$L4254),1)-1</f>
        <v/>
      </c>
      <c r="D4258" s="22">
        <f>(1+D4257)*IF(AND(Painel_diario!$H4254="ED_JD",Painel_diario!$J4254=1),EXP(Painel_diario!$L4254),1)-1</f>
        <v/>
      </c>
      <c r="E4258" s="22">
        <f>(1+E4257)*IF(AND(Painel_diario!$H4254="ED_JU",Painel_diario!$J4254=1),EXP(Painel_diario!$L4254),1)-1</f>
        <v/>
      </c>
    </row>
    <row r="4259">
      <c r="A4259" s="25" t="n">
        <v>45104</v>
      </c>
      <c r="B4259" s="22">
        <f>(1+B4258)*IF(AND(Painel_diario!$H4255="EU_JD",Painel_diario!$J4255=1),EXP(Painel_diario!$L4255),1)-1</f>
        <v/>
      </c>
      <c r="C4259" s="22">
        <f>(1+C4258)*IF(AND(Painel_diario!$H4255="EU_JU",Painel_diario!$J4255=1),EXP(Painel_diario!$L4255),1)-1</f>
        <v/>
      </c>
      <c r="D4259" s="22">
        <f>(1+D4258)*IF(AND(Painel_diario!$H4255="ED_JD",Painel_diario!$J4255=1),EXP(Painel_diario!$L4255),1)-1</f>
        <v/>
      </c>
      <c r="E4259" s="22">
        <f>(1+E4258)*IF(AND(Painel_diario!$H4255="ED_JU",Painel_diario!$J4255=1),EXP(Painel_diario!$L4255),1)-1</f>
        <v/>
      </c>
    </row>
    <row r="4260">
      <c r="A4260" s="25" t="n">
        <v>45105</v>
      </c>
      <c r="B4260" s="22">
        <f>(1+B4259)*IF(AND(Painel_diario!$H4256="EU_JD",Painel_diario!$J4256=1),EXP(Painel_diario!$L4256),1)-1</f>
        <v/>
      </c>
      <c r="C4260" s="22">
        <f>(1+C4259)*IF(AND(Painel_diario!$H4256="EU_JU",Painel_diario!$J4256=1),EXP(Painel_diario!$L4256),1)-1</f>
        <v/>
      </c>
      <c r="D4260" s="22">
        <f>(1+D4259)*IF(AND(Painel_diario!$H4256="ED_JD",Painel_diario!$J4256=1),EXP(Painel_diario!$L4256),1)-1</f>
        <v/>
      </c>
      <c r="E4260" s="22">
        <f>(1+E4259)*IF(AND(Painel_diario!$H4256="ED_JU",Painel_diario!$J4256=1),EXP(Painel_diario!$L4256),1)-1</f>
        <v/>
      </c>
    </row>
    <row r="4261">
      <c r="A4261" s="25" t="n">
        <v>45106</v>
      </c>
      <c r="B4261" s="22">
        <f>(1+B4260)*IF(AND(Painel_diario!$H4257="EU_JD",Painel_diario!$J4257=1),EXP(Painel_diario!$L4257),1)-1</f>
        <v/>
      </c>
      <c r="C4261" s="22">
        <f>(1+C4260)*IF(AND(Painel_diario!$H4257="EU_JU",Painel_diario!$J4257=1),EXP(Painel_diario!$L4257),1)-1</f>
        <v/>
      </c>
      <c r="D4261" s="22">
        <f>(1+D4260)*IF(AND(Painel_diario!$H4257="ED_JD",Painel_diario!$J4257=1),EXP(Painel_diario!$L4257),1)-1</f>
        <v/>
      </c>
      <c r="E4261" s="22">
        <f>(1+E4260)*IF(AND(Painel_diario!$H4257="ED_JU",Painel_diario!$J4257=1),EXP(Painel_diario!$L4257),1)-1</f>
        <v/>
      </c>
    </row>
    <row r="4262">
      <c r="A4262" s="25" t="n">
        <v>45107</v>
      </c>
      <c r="B4262" s="22">
        <f>(1+B4261)*IF(AND(Painel_diario!$H4258="EU_JD",Painel_diario!$J4258=1),EXP(Painel_diario!$L4258),1)-1</f>
        <v/>
      </c>
      <c r="C4262" s="22">
        <f>(1+C4261)*IF(AND(Painel_diario!$H4258="EU_JU",Painel_diario!$J4258=1),EXP(Painel_diario!$L4258),1)-1</f>
        <v/>
      </c>
      <c r="D4262" s="22">
        <f>(1+D4261)*IF(AND(Painel_diario!$H4258="ED_JD",Painel_diario!$J4258=1),EXP(Painel_diario!$L4258),1)-1</f>
        <v/>
      </c>
      <c r="E4262" s="22">
        <f>(1+E4261)*IF(AND(Painel_diario!$H4258="ED_JU",Painel_diario!$J4258=1),EXP(Painel_diario!$L4258),1)-1</f>
        <v/>
      </c>
    </row>
    <row r="4263">
      <c r="A4263" s="25" t="n">
        <v>45110</v>
      </c>
      <c r="B4263" s="22">
        <f>(1+B4262)*IF(AND(Painel_diario!$H4259="EU_JD",Painel_diario!$J4259=1),EXP(Painel_diario!$L4259),1)-1</f>
        <v/>
      </c>
      <c r="C4263" s="22">
        <f>(1+C4262)*IF(AND(Painel_diario!$H4259="EU_JU",Painel_diario!$J4259=1),EXP(Painel_diario!$L4259),1)-1</f>
        <v/>
      </c>
      <c r="D4263" s="22">
        <f>(1+D4262)*IF(AND(Painel_diario!$H4259="ED_JD",Painel_diario!$J4259=1),EXP(Painel_diario!$L4259),1)-1</f>
        <v/>
      </c>
      <c r="E4263" s="22">
        <f>(1+E4262)*IF(AND(Painel_diario!$H4259="ED_JU",Painel_diario!$J4259=1),EXP(Painel_diario!$L4259),1)-1</f>
        <v/>
      </c>
    </row>
    <row r="4264">
      <c r="A4264" s="25" t="n">
        <v>45111</v>
      </c>
      <c r="B4264" s="22">
        <f>(1+B4263)*IF(AND(Painel_diario!$H4260="EU_JD",Painel_diario!$J4260=1),EXP(Painel_diario!$L4260),1)-1</f>
        <v/>
      </c>
      <c r="C4264" s="22">
        <f>(1+C4263)*IF(AND(Painel_diario!$H4260="EU_JU",Painel_diario!$J4260=1),EXP(Painel_diario!$L4260),1)-1</f>
        <v/>
      </c>
      <c r="D4264" s="22">
        <f>(1+D4263)*IF(AND(Painel_diario!$H4260="ED_JD",Painel_diario!$J4260=1),EXP(Painel_diario!$L4260),1)-1</f>
        <v/>
      </c>
      <c r="E4264" s="22">
        <f>(1+E4263)*IF(AND(Painel_diario!$H4260="ED_JU",Painel_diario!$J4260=1),EXP(Painel_diario!$L4260),1)-1</f>
        <v/>
      </c>
    </row>
    <row r="4265">
      <c r="A4265" s="25" t="n">
        <v>45112</v>
      </c>
      <c r="B4265" s="22">
        <f>(1+B4264)*IF(AND(Painel_diario!$H4261="EU_JD",Painel_diario!$J4261=1),EXP(Painel_diario!$L4261),1)-1</f>
        <v/>
      </c>
      <c r="C4265" s="22">
        <f>(1+C4264)*IF(AND(Painel_diario!$H4261="EU_JU",Painel_diario!$J4261=1),EXP(Painel_diario!$L4261),1)-1</f>
        <v/>
      </c>
      <c r="D4265" s="22">
        <f>(1+D4264)*IF(AND(Painel_diario!$H4261="ED_JD",Painel_diario!$J4261=1),EXP(Painel_diario!$L4261),1)-1</f>
        <v/>
      </c>
      <c r="E4265" s="22">
        <f>(1+E4264)*IF(AND(Painel_diario!$H4261="ED_JU",Painel_diario!$J4261=1),EXP(Painel_diario!$L4261),1)-1</f>
        <v/>
      </c>
    </row>
    <row r="4266">
      <c r="A4266" s="25" t="n">
        <v>45113</v>
      </c>
      <c r="B4266" s="22">
        <f>(1+B4265)*IF(AND(Painel_diario!$H4262="EU_JD",Painel_diario!$J4262=1),EXP(Painel_diario!$L4262),1)-1</f>
        <v/>
      </c>
      <c r="C4266" s="22">
        <f>(1+C4265)*IF(AND(Painel_diario!$H4262="EU_JU",Painel_diario!$J4262=1),EXP(Painel_diario!$L4262),1)-1</f>
        <v/>
      </c>
      <c r="D4266" s="22">
        <f>(1+D4265)*IF(AND(Painel_diario!$H4262="ED_JD",Painel_diario!$J4262=1),EXP(Painel_diario!$L4262),1)-1</f>
        <v/>
      </c>
      <c r="E4266" s="22">
        <f>(1+E4265)*IF(AND(Painel_diario!$H4262="ED_JU",Painel_diario!$J4262=1),EXP(Painel_diario!$L4262),1)-1</f>
        <v/>
      </c>
    </row>
    <row r="4267">
      <c r="A4267" s="25" t="n">
        <v>45114</v>
      </c>
      <c r="B4267" s="22">
        <f>(1+B4266)*IF(AND(Painel_diario!$H4263="EU_JD",Painel_diario!$J4263=1),EXP(Painel_diario!$L4263),1)-1</f>
        <v/>
      </c>
      <c r="C4267" s="22">
        <f>(1+C4266)*IF(AND(Painel_diario!$H4263="EU_JU",Painel_diario!$J4263=1),EXP(Painel_diario!$L4263),1)-1</f>
        <v/>
      </c>
      <c r="D4267" s="22">
        <f>(1+D4266)*IF(AND(Painel_diario!$H4263="ED_JD",Painel_diario!$J4263=1),EXP(Painel_diario!$L4263),1)-1</f>
        <v/>
      </c>
      <c r="E4267" s="22">
        <f>(1+E4266)*IF(AND(Painel_diario!$H4263="ED_JU",Painel_diario!$J4263=1),EXP(Painel_diario!$L4263),1)-1</f>
        <v/>
      </c>
    </row>
    <row r="4268">
      <c r="A4268" s="25" t="n">
        <v>45117</v>
      </c>
      <c r="B4268" s="22">
        <f>(1+B4267)*IF(AND(Painel_diario!$H4264="EU_JD",Painel_diario!$J4264=1),EXP(Painel_diario!$L4264),1)-1</f>
        <v/>
      </c>
      <c r="C4268" s="22">
        <f>(1+C4267)*IF(AND(Painel_diario!$H4264="EU_JU",Painel_diario!$J4264=1),EXP(Painel_diario!$L4264),1)-1</f>
        <v/>
      </c>
      <c r="D4268" s="22">
        <f>(1+D4267)*IF(AND(Painel_diario!$H4264="ED_JD",Painel_diario!$J4264=1),EXP(Painel_diario!$L4264),1)-1</f>
        <v/>
      </c>
      <c r="E4268" s="22">
        <f>(1+E4267)*IF(AND(Painel_diario!$H4264="ED_JU",Painel_diario!$J4264=1),EXP(Painel_diario!$L4264),1)-1</f>
        <v/>
      </c>
    </row>
    <row r="4269">
      <c r="A4269" s="25" t="n">
        <v>45118</v>
      </c>
      <c r="B4269" s="22">
        <f>(1+B4268)*IF(AND(Painel_diario!$H4265="EU_JD",Painel_diario!$J4265=1),EXP(Painel_diario!$L4265),1)-1</f>
        <v/>
      </c>
      <c r="C4269" s="22">
        <f>(1+C4268)*IF(AND(Painel_diario!$H4265="EU_JU",Painel_diario!$J4265=1),EXP(Painel_diario!$L4265),1)-1</f>
        <v/>
      </c>
      <c r="D4269" s="22">
        <f>(1+D4268)*IF(AND(Painel_diario!$H4265="ED_JD",Painel_diario!$J4265=1),EXP(Painel_diario!$L4265),1)-1</f>
        <v/>
      </c>
      <c r="E4269" s="22">
        <f>(1+E4268)*IF(AND(Painel_diario!$H4265="ED_JU",Painel_diario!$J4265=1),EXP(Painel_diario!$L4265),1)-1</f>
        <v/>
      </c>
    </row>
    <row r="4270">
      <c r="A4270" s="25" t="n">
        <v>45119</v>
      </c>
      <c r="B4270" s="22">
        <f>(1+B4269)*IF(AND(Painel_diario!$H4266="EU_JD",Painel_diario!$J4266=1),EXP(Painel_diario!$L4266),1)-1</f>
        <v/>
      </c>
      <c r="C4270" s="22">
        <f>(1+C4269)*IF(AND(Painel_diario!$H4266="EU_JU",Painel_diario!$J4266=1),EXP(Painel_diario!$L4266),1)-1</f>
        <v/>
      </c>
      <c r="D4270" s="22">
        <f>(1+D4269)*IF(AND(Painel_diario!$H4266="ED_JD",Painel_diario!$J4266=1),EXP(Painel_diario!$L4266),1)-1</f>
        <v/>
      </c>
      <c r="E4270" s="22">
        <f>(1+E4269)*IF(AND(Painel_diario!$H4266="ED_JU",Painel_diario!$J4266=1),EXP(Painel_diario!$L4266),1)-1</f>
        <v/>
      </c>
    </row>
    <row r="4271">
      <c r="A4271" s="25" t="n">
        <v>45120</v>
      </c>
      <c r="B4271" s="22">
        <f>(1+B4270)*IF(AND(Painel_diario!$H4267="EU_JD",Painel_diario!$J4267=1),EXP(Painel_diario!$L4267),1)-1</f>
        <v/>
      </c>
      <c r="C4271" s="22">
        <f>(1+C4270)*IF(AND(Painel_diario!$H4267="EU_JU",Painel_diario!$J4267=1),EXP(Painel_diario!$L4267),1)-1</f>
        <v/>
      </c>
      <c r="D4271" s="22">
        <f>(1+D4270)*IF(AND(Painel_diario!$H4267="ED_JD",Painel_diario!$J4267=1),EXP(Painel_diario!$L4267),1)-1</f>
        <v/>
      </c>
      <c r="E4271" s="22">
        <f>(1+E4270)*IF(AND(Painel_diario!$H4267="ED_JU",Painel_diario!$J4267=1),EXP(Painel_diario!$L4267),1)-1</f>
        <v/>
      </c>
    </row>
    <row r="4272">
      <c r="A4272" s="25" t="n">
        <v>45121</v>
      </c>
      <c r="B4272" s="22">
        <f>(1+B4271)*IF(AND(Painel_diario!$H4268="EU_JD",Painel_diario!$J4268=1),EXP(Painel_diario!$L4268),1)-1</f>
        <v/>
      </c>
      <c r="C4272" s="22">
        <f>(1+C4271)*IF(AND(Painel_diario!$H4268="EU_JU",Painel_diario!$J4268=1),EXP(Painel_diario!$L4268),1)-1</f>
        <v/>
      </c>
      <c r="D4272" s="22">
        <f>(1+D4271)*IF(AND(Painel_diario!$H4268="ED_JD",Painel_diario!$J4268=1),EXP(Painel_diario!$L4268),1)-1</f>
        <v/>
      </c>
      <c r="E4272" s="22">
        <f>(1+E4271)*IF(AND(Painel_diario!$H4268="ED_JU",Painel_diario!$J4268=1),EXP(Painel_diario!$L4268),1)-1</f>
        <v/>
      </c>
    </row>
    <row r="4273">
      <c r="A4273" s="25" t="n">
        <v>45124</v>
      </c>
      <c r="B4273" s="22">
        <f>(1+B4272)*IF(AND(Painel_diario!$H4269="EU_JD",Painel_diario!$J4269=1),EXP(Painel_diario!$L4269),1)-1</f>
        <v/>
      </c>
      <c r="C4273" s="22">
        <f>(1+C4272)*IF(AND(Painel_diario!$H4269="EU_JU",Painel_diario!$J4269=1),EXP(Painel_diario!$L4269),1)-1</f>
        <v/>
      </c>
      <c r="D4273" s="22">
        <f>(1+D4272)*IF(AND(Painel_diario!$H4269="ED_JD",Painel_diario!$J4269=1),EXP(Painel_diario!$L4269),1)-1</f>
        <v/>
      </c>
      <c r="E4273" s="22">
        <f>(1+E4272)*IF(AND(Painel_diario!$H4269="ED_JU",Painel_diario!$J4269=1),EXP(Painel_diario!$L4269),1)-1</f>
        <v/>
      </c>
    </row>
    <row r="4274">
      <c r="A4274" s="25" t="n">
        <v>45125</v>
      </c>
      <c r="B4274" s="22">
        <f>(1+B4273)*IF(AND(Painel_diario!$H4270="EU_JD",Painel_diario!$J4270=1),EXP(Painel_diario!$L4270),1)-1</f>
        <v/>
      </c>
      <c r="C4274" s="22">
        <f>(1+C4273)*IF(AND(Painel_diario!$H4270="EU_JU",Painel_diario!$J4270=1),EXP(Painel_diario!$L4270),1)-1</f>
        <v/>
      </c>
      <c r="D4274" s="22">
        <f>(1+D4273)*IF(AND(Painel_diario!$H4270="ED_JD",Painel_diario!$J4270=1),EXP(Painel_diario!$L4270),1)-1</f>
        <v/>
      </c>
      <c r="E4274" s="22">
        <f>(1+E4273)*IF(AND(Painel_diario!$H4270="ED_JU",Painel_diario!$J4270=1),EXP(Painel_diario!$L4270),1)-1</f>
        <v/>
      </c>
    </row>
    <row r="4275">
      <c r="A4275" s="25" t="n">
        <v>45126</v>
      </c>
      <c r="B4275" s="22">
        <f>(1+B4274)*IF(AND(Painel_diario!$H4271="EU_JD",Painel_diario!$J4271=1),EXP(Painel_diario!$L4271),1)-1</f>
        <v/>
      </c>
      <c r="C4275" s="22">
        <f>(1+C4274)*IF(AND(Painel_diario!$H4271="EU_JU",Painel_diario!$J4271=1),EXP(Painel_diario!$L4271),1)-1</f>
        <v/>
      </c>
      <c r="D4275" s="22">
        <f>(1+D4274)*IF(AND(Painel_diario!$H4271="ED_JD",Painel_diario!$J4271=1),EXP(Painel_diario!$L4271),1)-1</f>
        <v/>
      </c>
      <c r="E4275" s="22">
        <f>(1+E4274)*IF(AND(Painel_diario!$H4271="ED_JU",Painel_diario!$J4271=1),EXP(Painel_diario!$L4271),1)-1</f>
        <v/>
      </c>
    </row>
    <row r="4276">
      <c r="A4276" s="25" t="n">
        <v>45127</v>
      </c>
      <c r="B4276" s="22">
        <f>(1+B4275)*IF(AND(Painel_diario!$H4272="EU_JD",Painel_diario!$J4272=1),EXP(Painel_diario!$L4272),1)-1</f>
        <v/>
      </c>
      <c r="C4276" s="22">
        <f>(1+C4275)*IF(AND(Painel_diario!$H4272="EU_JU",Painel_diario!$J4272=1),EXP(Painel_diario!$L4272),1)-1</f>
        <v/>
      </c>
      <c r="D4276" s="22">
        <f>(1+D4275)*IF(AND(Painel_diario!$H4272="ED_JD",Painel_diario!$J4272=1),EXP(Painel_diario!$L4272),1)-1</f>
        <v/>
      </c>
      <c r="E4276" s="22">
        <f>(1+E4275)*IF(AND(Painel_diario!$H4272="ED_JU",Painel_diario!$J4272=1),EXP(Painel_diario!$L4272),1)-1</f>
        <v/>
      </c>
    </row>
    <row r="4277">
      <c r="A4277" s="25" t="n">
        <v>45128</v>
      </c>
      <c r="B4277" s="22">
        <f>(1+B4276)*IF(AND(Painel_diario!$H4273="EU_JD",Painel_diario!$J4273=1),EXP(Painel_diario!$L4273),1)-1</f>
        <v/>
      </c>
      <c r="C4277" s="22">
        <f>(1+C4276)*IF(AND(Painel_diario!$H4273="EU_JU",Painel_diario!$J4273=1),EXP(Painel_diario!$L4273),1)-1</f>
        <v/>
      </c>
      <c r="D4277" s="22">
        <f>(1+D4276)*IF(AND(Painel_diario!$H4273="ED_JD",Painel_diario!$J4273=1),EXP(Painel_diario!$L4273),1)-1</f>
        <v/>
      </c>
      <c r="E4277" s="22">
        <f>(1+E4276)*IF(AND(Painel_diario!$H4273="ED_JU",Painel_diario!$J4273=1),EXP(Painel_diario!$L4273),1)-1</f>
        <v/>
      </c>
    </row>
    <row r="4278">
      <c r="A4278" s="25" t="n">
        <v>45131</v>
      </c>
      <c r="B4278" s="22">
        <f>(1+B4277)*IF(AND(Painel_diario!$H4274="EU_JD",Painel_diario!$J4274=1),EXP(Painel_diario!$L4274),1)-1</f>
        <v/>
      </c>
      <c r="C4278" s="22">
        <f>(1+C4277)*IF(AND(Painel_diario!$H4274="EU_JU",Painel_diario!$J4274=1),EXP(Painel_diario!$L4274),1)-1</f>
        <v/>
      </c>
      <c r="D4278" s="22">
        <f>(1+D4277)*IF(AND(Painel_diario!$H4274="ED_JD",Painel_diario!$J4274=1),EXP(Painel_diario!$L4274),1)-1</f>
        <v/>
      </c>
      <c r="E4278" s="22">
        <f>(1+E4277)*IF(AND(Painel_diario!$H4274="ED_JU",Painel_diario!$J4274=1),EXP(Painel_diario!$L4274),1)-1</f>
        <v/>
      </c>
    </row>
    <row r="4279">
      <c r="A4279" s="25" t="n">
        <v>45132</v>
      </c>
      <c r="B4279" s="22">
        <f>(1+B4278)*IF(AND(Painel_diario!$H4275="EU_JD",Painel_diario!$J4275=1),EXP(Painel_diario!$L4275),1)-1</f>
        <v/>
      </c>
      <c r="C4279" s="22">
        <f>(1+C4278)*IF(AND(Painel_diario!$H4275="EU_JU",Painel_diario!$J4275=1),EXP(Painel_diario!$L4275),1)-1</f>
        <v/>
      </c>
      <c r="D4279" s="22">
        <f>(1+D4278)*IF(AND(Painel_diario!$H4275="ED_JD",Painel_diario!$J4275=1),EXP(Painel_diario!$L4275),1)-1</f>
        <v/>
      </c>
      <c r="E4279" s="22">
        <f>(1+E4278)*IF(AND(Painel_diario!$H4275="ED_JU",Painel_diario!$J4275=1),EXP(Painel_diario!$L4275),1)-1</f>
        <v/>
      </c>
    </row>
    <row r="4280">
      <c r="A4280" s="25" t="n">
        <v>45133</v>
      </c>
      <c r="B4280" s="22">
        <f>(1+B4279)*IF(AND(Painel_diario!$H4276="EU_JD",Painel_diario!$J4276=1),EXP(Painel_diario!$L4276),1)-1</f>
        <v/>
      </c>
      <c r="C4280" s="22">
        <f>(1+C4279)*IF(AND(Painel_diario!$H4276="EU_JU",Painel_diario!$J4276=1),EXP(Painel_diario!$L4276),1)-1</f>
        <v/>
      </c>
      <c r="D4280" s="22">
        <f>(1+D4279)*IF(AND(Painel_diario!$H4276="ED_JD",Painel_diario!$J4276=1),EXP(Painel_diario!$L4276),1)-1</f>
        <v/>
      </c>
      <c r="E4280" s="22">
        <f>(1+E4279)*IF(AND(Painel_diario!$H4276="ED_JU",Painel_diario!$J4276=1),EXP(Painel_diario!$L4276),1)-1</f>
        <v/>
      </c>
    </row>
    <row r="4281">
      <c r="A4281" s="25" t="n">
        <v>45134</v>
      </c>
      <c r="B4281" s="22">
        <f>(1+B4280)*IF(AND(Painel_diario!$H4277="EU_JD",Painel_diario!$J4277=1),EXP(Painel_diario!$L4277),1)-1</f>
        <v/>
      </c>
      <c r="C4281" s="22">
        <f>(1+C4280)*IF(AND(Painel_diario!$H4277="EU_JU",Painel_diario!$J4277=1),EXP(Painel_diario!$L4277),1)-1</f>
        <v/>
      </c>
      <c r="D4281" s="22">
        <f>(1+D4280)*IF(AND(Painel_diario!$H4277="ED_JD",Painel_diario!$J4277=1),EXP(Painel_diario!$L4277),1)-1</f>
        <v/>
      </c>
      <c r="E4281" s="22">
        <f>(1+E4280)*IF(AND(Painel_diario!$H4277="ED_JU",Painel_diario!$J4277=1),EXP(Painel_diario!$L4277),1)-1</f>
        <v/>
      </c>
    </row>
    <row r="4282">
      <c r="A4282" s="25" t="n">
        <v>45135</v>
      </c>
      <c r="B4282" s="22">
        <f>(1+B4281)*IF(AND(Painel_diario!$H4278="EU_JD",Painel_diario!$J4278=1),EXP(Painel_diario!$L4278),1)-1</f>
        <v/>
      </c>
      <c r="C4282" s="22">
        <f>(1+C4281)*IF(AND(Painel_diario!$H4278="EU_JU",Painel_diario!$J4278=1),EXP(Painel_diario!$L4278),1)-1</f>
        <v/>
      </c>
      <c r="D4282" s="22">
        <f>(1+D4281)*IF(AND(Painel_diario!$H4278="ED_JD",Painel_diario!$J4278=1),EXP(Painel_diario!$L4278),1)-1</f>
        <v/>
      </c>
      <c r="E4282" s="22">
        <f>(1+E4281)*IF(AND(Painel_diario!$H4278="ED_JU",Painel_diario!$J4278=1),EXP(Painel_diario!$L4278),1)-1</f>
        <v/>
      </c>
    </row>
    <row r="4283">
      <c r="A4283" s="25" t="n">
        <v>45138</v>
      </c>
      <c r="B4283" s="22">
        <f>(1+B4282)*IF(AND(Painel_diario!$H4279="EU_JD",Painel_diario!$J4279=1),EXP(Painel_diario!$L4279),1)-1</f>
        <v/>
      </c>
      <c r="C4283" s="22">
        <f>(1+C4282)*IF(AND(Painel_diario!$H4279="EU_JU",Painel_diario!$J4279=1),EXP(Painel_diario!$L4279),1)-1</f>
        <v/>
      </c>
      <c r="D4283" s="22">
        <f>(1+D4282)*IF(AND(Painel_diario!$H4279="ED_JD",Painel_diario!$J4279=1),EXP(Painel_diario!$L4279),1)-1</f>
        <v/>
      </c>
      <c r="E4283" s="22">
        <f>(1+E4282)*IF(AND(Painel_diario!$H4279="ED_JU",Painel_diario!$J4279=1),EXP(Painel_diario!$L4279),1)-1</f>
        <v/>
      </c>
    </row>
    <row r="4284">
      <c r="A4284" s="25" t="n">
        <v>45139</v>
      </c>
      <c r="B4284" s="22">
        <f>(1+B4283)*IF(AND(Painel_diario!$H4280="EU_JD",Painel_diario!$J4280=1),EXP(Painel_diario!$L4280),1)-1</f>
        <v/>
      </c>
      <c r="C4284" s="22">
        <f>(1+C4283)*IF(AND(Painel_diario!$H4280="EU_JU",Painel_diario!$J4280=1),EXP(Painel_diario!$L4280),1)-1</f>
        <v/>
      </c>
      <c r="D4284" s="22">
        <f>(1+D4283)*IF(AND(Painel_diario!$H4280="ED_JD",Painel_diario!$J4280=1),EXP(Painel_diario!$L4280),1)-1</f>
        <v/>
      </c>
      <c r="E4284" s="22">
        <f>(1+E4283)*IF(AND(Painel_diario!$H4280="ED_JU",Painel_diario!$J4280=1),EXP(Painel_diario!$L4280),1)-1</f>
        <v/>
      </c>
    </row>
    <row r="4285">
      <c r="A4285" s="25" t="n">
        <v>45140</v>
      </c>
      <c r="B4285" s="22">
        <f>(1+B4284)*IF(AND(Painel_diario!$H4281="EU_JD",Painel_diario!$J4281=1),EXP(Painel_diario!$L4281),1)-1</f>
        <v/>
      </c>
      <c r="C4285" s="22">
        <f>(1+C4284)*IF(AND(Painel_diario!$H4281="EU_JU",Painel_diario!$J4281=1),EXP(Painel_diario!$L4281),1)-1</f>
        <v/>
      </c>
      <c r="D4285" s="22">
        <f>(1+D4284)*IF(AND(Painel_diario!$H4281="ED_JD",Painel_diario!$J4281=1),EXP(Painel_diario!$L4281),1)-1</f>
        <v/>
      </c>
      <c r="E4285" s="22">
        <f>(1+E4284)*IF(AND(Painel_diario!$H4281="ED_JU",Painel_diario!$J4281=1),EXP(Painel_diario!$L4281),1)-1</f>
        <v/>
      </c>
    </row>
    <row r="4286">
      <c r="A4286" s="25" t="n">
        <v>45141</v>
      </c>
      <c r="B4286" s="22">
        <f>(1+B4285)*IF(AND(Painel_diario!$H4282="EU_JD",Painel_diario!$J4282=1),EXP(Painel_diario!$L4282),1)-1</f>
        <v/>
      </c>
      <c r="C4286" s="22">
        <f>(1+C4285)*IF(AND(Painel_diario!$H4282="EU_JU",Painel_diario!$J4282=1),EXP(Painel_diario!$L4282),1)-1</f>
        <v/>
      </c>
      <c r="D4286" s="22">
        <f>(1+D4285)*IF(AND(Painel_diario!$H4282="ED_JD",Painel_diario!$J4282=1),EXP(Painel_diario!$L4282),1)-1</f>
        <v/>
      </c>
      <c r="E4286" s="22">
        <f>(1+E4285)*IF(AND(Painel_diario!$H4282="ED_JU",Painel_diario!$J4282=1),EXP(Painel_diario!$L4282),1)-1</f>
        <v/>
      </c>
    </row>
    <row r="4287">
      <c r="A4287" s="25" t="n">
        <v>45142</v>
      </c>
      <c r="B4287" s="22">
        <f>(1+B4286)*IF(AND(Painel_diario!$H4283="EU_JD",Painel_diario!$J4283=1),EXP(Painel_diario!$L4283),1)-1</f>
        <v/>
      </c>
      <c r="C4287" s="22">
        <f>(1+C4286)*IF(AND(Painel_diario!$H4283="EU_JU",Painel_diario!$J4283=1),EXP(Painel_diario!$L4283),1)-1</f>
        <v/>
      </c>
      <c r="D4287" s="22">
        <f>(1+D4286)*IF(AND(Painel_diario!$H4283="ED_JD",Painel_diario!$J4283=1),EXP(Painel_diario!$L4283),1)-1</f>
        <v/>
      </c>
      <c r="E4287" s="22">
        <f>(1+E4286)*IF(AND(Painel_diario!$H4283="ED_JU",Painel_diario!$J4283=1),EXP(Painel_diario!$L4283),1)-1</f>
        <v/>
      </c>
    </row>
    <row r="4288">
      <c r="A4288" s="25" t="n">
        <v>45145</v>
      </c>
      <c r="B4288" s="22">
        <f>(1+B4287)*IF(AND(Painel_diario!$H4284="EU_JD",Painel_diario!$J4284=1),EXP(Painel_diario!$L4284),1)-1</f>
        <v/>
      </c>
      <c r="C4288" s="22">
        <f>(1+C4287)*IF(AND(Painel_diario!$H4284="EU_JU",Painel_diario!$J4284=1),EXP(Painel_diario!$L4284),1)-1</f>
        <v/>
      </c>
      <c r="D4288" s="22">
        <f>(1+D4287)*IF(AND(Painel_diario!$H4284="ED_JD",Painel_diario!$J4284=1),EXP(Painel_diario!$L4284),1)-1</f>
        <v/>
      </c>
      <c r="E4288" s="22">
        <f>(1+E4287)*IF(AND(Painel_diario!$H4284="ED_JU",Painel_diario!$J4284=1),EXP(Painel_diario!$L4284),1)-1</f>
        <v/>
      </c>
    </row>
    <row r="4289">
      <c r="A4289" s="25" t="n">
        <v>45146</v>
      </c>
      <c r="B4289" s="22">
        <f>(1+B4288)*IF(AND(Painel_diario!$H4285="EU_JD",Painel_diario!$J4285=1),EXP(Painel_diario!$L4285),1)-1</f>
        <v/>
      </c>
      <c r="C4289" s="22">
        <f>(1+C4288)*IF(AND(Painel_diario!$H4285="EU_JU",Painel_diario!$J4285=1),EXP(Painel_diario!$L4285),1)-1</f>
        <v/>
      </c>
      <c r="D4289" s="22">
        <f>(1+D4288)*IF(AND(Painel_diario!$H4285="ED_JD",Painel_diario!$J4285=1),EXP(Painel_diario!$L4285),1)-1</f>
        <v/>
      </c>
      <c r="E4289" s="22">
        <f>(1+E4288)*IF(AND(Painel_diario!$H4285="ED_JU",Painel_diario!$J4285=1),EXP(Painel_diario!$L4285),1)-1</f>
        <v/>
      </c>
    </row>
    <row r="4290">
      <c r="A4290" s="25" t="n">
        <v>45147</v>
      </c>
      <c r="B4290" s="22">
        <f>(1+B4289)*IF(AND(Painel_diario!$H4286="EU_JD",Painel_diario!$J4286=1),EXP(Painel_diario!$L4286),1)-1</f>
        <v/>
      </c>
      <c r="C4290" s="22">
        <f>(1+C4289)*IF(AND(Painel_diario!$H4286="EU_JU",Painel_diario!$J4286=1),EXP(Painel_diario!$L4286),1)-1</f>
        <v/>
      </c>
      <c r="D4290" s="22">
        <f>(1+D4289)*IF(AND(Painel_diario!$H4286="ED_JD",Painel_diario!$J4286=1),EXP(Painel_diario!$L4286),1)-1</f>
        <v/>
      </c>
      <c r="E4290" s="22">
        <f>(1+E4289)*IF(AND(Painel_diario!$H4286="ED_JU",Painel_diario!$J4286=1),EXP(Painel_diario!$L4286),1)-1</f>
        <v/>
      </c>
    </row>
    <row r="4291">
      <c r="A4291" s="25" t="n">
        <v>45148</v>
      </c>
      <c r="B4291" s="22">
        <f>(1+B4290)*IF(AND(Painel_diario!$H4287="EU_JD",Painel_diario!$J4287=1),EXP(Painel_diario!$L4287),1)-1</f>
        <v/>
      </c>
      <c r="C4291" s="22">
        <f>(1+C4290)*IF(AND(Painel_diario!$H4287="EU_JU",Painel_diario!$J4287=1),EXP(Painel_diario!$L4287),1)-1</f>
        <v/>
      </c>
      <c r="D4291" s="22">
        <f>(1+D4290)*IF(AND(Painel_diario!$H4287="ED_JD",Painel_diario!$J4287=1),EXP(Painel_diario!$L4287),1)-1</f>
        <v/>
      </c>
      <c r="E4291" s="22">
        <f>(1+E4290)*IF(AND(Painel_diario!$H4287="ED_JU",Painel_diario!$J4287=1),EXP(Painel_diario!$L4287),1)-1</f>
        <v/>
      </c>
    </row>
    <row r="4292">
      <c r="A4292" s="25" t="n">
        <v>45149</v>
      </c>
      <c r="B4292" s="22">
        <f>(1+B4291)*IF(AND(Painel_diario!$H4288="EU_JD",Painel_diario!$J4288=1),EXP(Painel_diario!$L4288),1)-1</f>
        <v/>
      </c>
      <c r="C4292" s="22">
        <f>(1+C4291)*IF(AND(Painel_diario!$H4288="EU_JU",Painel_diario!$J4288=1),EXP(Painel_diario!$L4288),1)-1</f>
        <v/>
      </c>
      <c r="D4292" s="22">
        <f>(1+D4291)*IF(AND(Painel_diario!$H4288="ED_JD",Painel_diario!$J4288=1),EXP(Painel_diario!$L4288),1)-1</f>
        <v/>
      </c>
      <c r="E4292" s="22">
        <f>(1+E4291)*IF(AND(Painel_diario!$H4288="ED_JU",Painel_diario!$J4288=1),EXP(Painel_diario!$L4288),1)-1</f>
        <v/>
      </c>
    </row>
    <row r="4293">
      <c r="A4293" s="25" t="n">
        <v>45152</v>
      </c>
      <c r="B4293" s="22">
        <f>(1+B4292)*IF(AND(Painel_diario!$H4289="EU_JD",Painel_diario!$J4289=1),EXP(Painel_diario!$L4289),1)-1</f>
        <v/>
      </c>
      <c r="C4293" s="22">
        <f>(1+C4292)*IF(AND(Painel_diario!$H4289="EU_JU",Painel_diario!$J4289=1),EXP(Painel_diario!$L4289),1)-1</f>
        <v/>
      </c>
      <c r="D4293" s="22">
        <f>(1+D4292)*IF(AND(Painel_diario!$H4289="ED_JD",Painel_diario!$J4289=1),EXP(Painel_diario!$L4289),1)-1</f>
        <v/>
      </c>
      <c r="E4293" s="22">
        <f>(1+E4292)*IF(AND(Painel_diario!$H4289="ED_JU",Painel_diario!$J4289=1),EXP(Painel_diario!$L4289),1)-1</f>
        <v/>
      </c>
    </row>
    <row r="4294">
      <c r="A4294" s="25" t="n">
        <v>45153</v>
      </c>
      <c r="B4294" s="22">
        <f>(1+B4293)*IF(AND(Painel_diario!$H4290="EU_JD",Painel_diario!$J4290=1),EXP(Painel_diario!$L4290),1)-1</f>
        <v/>
      </c>
      <c r="C4294" s="22">
        <f>(1+C4293)*IF(AND(Painel_diario!$H4290="EU_JU",Painel_diario!$J4290=1),EXP(Painel_diario!$L4290),1)-1</f>
        <v/>
      </c>
      <c r="D4294" s="22">
        <f>(1+D4293)*IF(AND(Painel_diario!$H4290="ED_JD",Painel_diario!$J4290=1),EXP(Painel_diario!$L4290),1)-1</f>
        <v/>
      </c>
      <c r="E4294" s="22">
        <f>(1+E4293)*IF(AND(Painel_diario!$H4290="ED_JU",Painel_diario!$J4290=1),EXP(Painel_diario!$L4290),1)-1</f>
        <v/>
      </c>
    </row>
    <row r="4295">
      <c r="A4295" s="25" t="n">
        <v>45154</v>
      </c>
      <c r="B4295" s="22">
        <f>(1+B4294)*IF(AND(Painel_diario!$H4291="EU_JD",Painel_diario!$J4291=1),EXP(Painel_diario!$L4291),1)-1</f>
        <v/>
      </c>
      <c r="C4295" s="22">
        <f>(1+C4294)*IF(AND(Painel_diario!$H4291="EU_JU",Painel_diario!$J4291=1),EXP(Painel_diario!$L4291),1)-1</f>
        <v/>
      </c>
      <c r="D4295" s="22">
        <f>(1+D4294)*IF(AND(Painel_diario!$H4291="ED_JD",Painel_diario!$J4291=1),EXP(Painel_diario!$L4291),1)-1</f>
        <v/>
      </c>
      <c r="E4295" s="22">
        <f>(1+E4294)*IF(AND(Painel_diario!$H4291="ED_JU",Painel_diario!$J4291=1),EXP(Painel_diario!$L4291),1)-1</f>
        <v/>
      </c>
    </row>
    <row r="4296">
      <c r="A4296" s="25" t="n">
        <v>45155</v>
      </c>
      <c r="B4296" s="22">
        <f>(1+B4295)*IF(AND(Painel_diario!$H4292="EU_JD",Painel_diario!$J4292=1),EXP(Painel_diario!$L4292),1)-1</f>
        <v/>
      </c>
      <c r="C4296" s="22">
        <f>(1+C4295)*IF(AND(Painel_diario!$H4292="EU_JU",Painel_diario!$J4292=1),EXP(Painel_diario!$L4292),1)-1</f>
        <v/>
      </c>
      <c r="D4296" s="22">
        <f>(1+D4295)*IF(AND(Painel_diario!$H4292="ED_JD",Painel_diario!$J4292=1),EXP(Painel_diario!$L4292),1)-1</f>
        <v/>
      </c>
      <c r="E4296" s="22">
        <f>(1+E4295)*IF(AND(Painel_diario!$H4292="ED_JU",Painel_diario!$J4292=1),EXP(Painel_diario!$L4292),1)-1</f>
        <v/>
      </c>
    </row>
    <row r="4297">
      <c r="A4297" s="25" t="n">
        <v>45156</v>
      </c>
      <c r="B4297" s="22">
        <f>(1+B4296)*IF(AND(Painel_diario!$H4293="EU_JD",Painel_diario!$J4293=1),EXP(Painel_diario!$L4293),1)-1</f>
        <v/>
      </c>
      <c r="C4297" s="22">
        <f>(1+C4296)*IF(AND(Painel_diario!$H4293="EU_JU",Painel_diario!$J4293=1),EXP(Painel_diario!$L4293),1)-1</f>
        <v/>
      </c>
      <c r="D4297" s="22">
        <f>(1+D4296)*IF(AND(Painel_diario!$H4293="ED_JD",Painel_diario!$J4293=1),EXP(Painel_diario!$L4293),1)-1</f>
        <v/>
      </c>
      <c r="E4297" s="22">
        <f>(1+E4296)*IF(AND(Painel_diario!$H4293="ED_JU",Painel_diario!$J4293=1),EXP(Painel_diario!$L4293),1)-1</f>
        <v/>
      </c>
    </row>
    <row r="4298">
      <c r="A4298" s="25" t="n">
        <v>45159</v>
      </c>
      <c r="B4298" s="22">
        <f>(1+B4297)*IF(AND(Painel_diario!$H4294="EU_JD",Painel_diario!$J4294=1),EXP(Painel_diario!$L4294),1)-1</f>
        <v/>
      </c>
      <c r="C4298" s="22">
        <f>(1+C4297)*IF(AND(Painel_diario!$H4294="EU_JU",Painel_diario!$J4294=1),EXP(Painel_diario!$L4294),1)-1</f>
        <v/>
      </c>
      <c r="D4298" s="22">
        <f>(1+D4297)*IF(AND(Painel_diario!$H4294="ED_JD",Painel_diario!$J4294=1),EXP(Painel_diario!$L4294),1)-1</f>
        <v/>
      </c>
      <c r="E4298" s="22">
        <f>(1+E4297)*IF(AND(Painel_diario!$H4294="ED_JU",Painel_diario!$J4294=1),EXP(Painel_diario!$L4294),1)-1</f>
        <v/>
      </c>
    </row>
    <row r="4299">
      <c r="A4299" s="25" t="n">
        <v>45160</v>
      </c>
      <c r="B4299" s="22">
        <f>(1+B4298)*IF(AND(Painel_diario!$H4295="EU_JD",Painel_diario!$J4295=1),EXP(Painel_diario!$L4295),1)-1</f>
        <v/>
      </c>
      <c r="C4299" s="22">
        <f>(1+C4298)*IF(AND(Painel_diario!$H4295="EU_JU",Painel_diario!$J4295=1),EXP(Painel_diario!$L4295),1)-1</f>
        <v/>
      </c>
      <c r="D4299" s="22">
        <f>(1+D4298)*IF(AND(Painel_diario!$H4295="ED_JD",Painel_diario!$J4295=1),EXP(Painel_diario!$L4295),1)-1</f>
        <v/>
      </c>
      <c r="E4299" s="22">
        <f>(1+E4298)*IF(AND(Painel_diario!$H4295="ED_JU",Painel_diario!$J4295=1),EXP(Painel_diario!$L4295),1)-1</f>
        <v/>
      </c>
    </row>
    <row r="4300">
      <c r="A4300" s="25" t="n">
        <v>45161</v>
      </c>
      <c r="B4300" s="22">
        <f>(1+B4299)*IF(AND(Painel_diario!$H4296="EU_JD",Painel_diario!$J4296=1),EXP(Painel_diario!$L4296),1)-1</f>
        <v/>
      </c>
      <c r="C4300" s="22">
        <f>(1+C4299)*IF(AND(Painel_diario!$H4296="EU_JU",Painel_diario!$J4296=1),EXP(Painel_diario!$L4296),1)-1</f>
        <v/>
      </c>
      <c r="D4300" s="22">
        <f>(1+D4299)*IF(AND(Painel_diario!$H4296="ED_JD",Painel_diario!$J4296=1),EXP(Painel_diario!$L4296),1)-1</f>
        <v/>
      </c>
      <c r="E4300" s="22">
        <f>(1+E4299)*IF(AND(Painel_diario!$H4296="ED_JU",Painel_diario!$J4296=1),EXP(Painel_diario!$L4296),1)-1</f>
        <v/>
      </c>
    </row>
    <row r="4301">
      <c r="A4301" s="25" t="n">
        <v>45162</v>
      </c>
      <c r="B4301" s="22">
        <f>(1+B4300)*IF(AND(Painel_diario!$H4297="EU_JD",Painel_diario!$J4297=1),EXP(Painel_diario!$L4297),1)-1</f>
        <v/>
      </c>
      <c r="C4301" s="22">
        <f>(1+C4300)*IF(AND(Painel_diario!$H4297="EU_JU",Painel_diario!$J4297=1),EXP(Painel_diario!$L4297),1)-1</f>
        <v/>
      </c>
      <c r="D4301" s="22">
        <f>(1+D4300)*IF(AND(Painel_diario!$H4297="ED_JD",Painel_diario!$J4297=1),EXP(Painel_diario!$L4297),1)-1</f>
        <v/>
      </c>
      <c r="E4301" s="22">
        <f>(1+E4300)*IF(AND(Painel_diario!$H4297="ED_JU",Painel_diario!$J4297=1),EXP(Painel_diario!$L4297),1)-1</f>
        <v/>
      </c>
    </row>
    <row r="4302">
      <c r="A4302" s="25" t="n">
        <v>45163</v>
      </c>
      <c r="B4302" s="22">
        <f>(1+B4301)*IF(AND(Painel_diario!$H4298="EU_JD",Painel_diario!$J4298=1),EXP(Painel_diario!$L4298),1)-1</f>
        <v/>
      </c>
      <c r="C4302" s="22">
        <f>(1+C4301)*IF(AND(Painel_diario!$H4298="EU_JU",Painel_diario!$J4298=1),EXP(Painel_diario!$L4298),1)-1</f>
        <v/>
      </c>
      <c r="D4302" s="22">
        <f>(1+D4301)*IF(AND(Painel_diario!$H4298="ED_JD",Painel_diario!$J4298=1),EXP(Painel_diario!$L4298),1)-1</f>
        <v/>
      </c>
      <c r="E4302" s="22">
        <f>(1+E4301)*IF(AND(Painel_diario!$H4298="ED_JU",Painel_diario!$J4298=1),EXP(Painel_diario!$L4298),1)-1</f>
        <v/>
      </c>
    </row>
    <row r="4303">
      <c r="A4303" s="25" t="n">
        <v>45166</v>
      </c>
      <c r="B4303" s="22">
        <f>(1+B4302)*IF(AND(Painel_diario!$H4299="EU_JD",Painel_diario!$J4299=1),EXP(Painel_diario!$L4299),1)-1</f>
        <v/>
      </c>
      <c r="C4303" s="22">
        <f>(1+C4302)*IF(AND(Painel_diario!$H4299="EU_JU",Painel_diario!$J4299=1),EXP(Painel_diario!$L4299),1)-1</f>
        <v/>
      </c>
      <c r="D4303" s="22">
        <f>(1+D4302)*IF(AND(Painel_diario!$H4299="ED_JD",Painel_diario!$J4299=1),EXP(Painel_diario!$L4299),1)-1</f>
        <v/>
      </c>
      <c r="E4303" s="22">
        <f>(1+E4302)*IF(AND(Painel_diario!$H4299="ED_JU",Painel_diario!$J4299=1),EXP(Painel_diario!$L4299),1)-1</f>
        <v/>
      </c>
    </row>
    <row r="4304">
      <c r="A4304" s="25" t="n">
        <v>45167</v>
      </c>
      <c r="B4304" s="22">
        <f>(1+B4303)*IF(AND(Painel_diario!$H4300="EU_JD",Painel_diario!$J4300=1),EXP(Painel_diario!$L4300),1)-1</f>
        <v/>
      </c>
      <c r="C4304" s="22">
        <f>(1+C4303)*IF(AND(Painel_diario!$H4300="EU_JU",Painel_diario!$J4300=1),EXP(Painel_diario!$L4300),1)-1</f>
        <v/>
      </c>
      <c r="D4304" s="22">
        <f>(1+D4303)*IF(AND(Painel_diario!$H4300="ED_JD",Painel_diario!$J4300=1),EXP(Painel_diario!$L4300),1)-1</f>
        <v/>
      </c>
      <c r="E4304" s="22">
        <f>(1+E4303)*IF(AND(Painel_diario!$H4300="ED_JU",Painel_diario!$J4300=1),EXP(Painel_diario!$L4300),1)-1</f>
        <v/>
      </c>
    </row>
    <row r="4305">
      <c r="A4305" s="25" t="n">
        <v>45168</v>
      </c>
      <c r="B4305" s="22">
        <f>(1+B4304)*IF(AND(Painel_diario!$H4301="EU_JD",Painel_diario!$J4301=1),EXP(Painel_diario!$L4301),1)-1</f>
        <v/>
      </c>
      <c r="C4305" s="22">
        <f>(1+C4304)*IF(AND(Painel_diario!$H4301="EU_JU",Painel_diario!$J4301=1),EXP(Painel_diario!$L4301),1)-1</f>
        <v/>
      </c>
      <c r="D4305" s="22">
        <f>(1+D4304)*IF(AND(Painel_diario!$H4301="ED_JD",Painel_diario!$J4301=1),EXP(Painel_diario!$L4301),1)-1</f>
        <v/>
      </c>
      <c r="E4305" s="22">
        <f>(1+E4304)*IF(AND(Painel_diario!$H4301="ED_JU",Painel_diario!$J4301=1),EXP(Painel_diario!$L4301),1)-1</f>
        <v/>
      </c>
    </row>
    <row r="4306">
      <c r="A4306" s="25" t="n">
        <v>45169</v>
      </c>
      <c r="B4306" s="22">
        <f>(1+B4305)*IF(AND(Painel_diario!$H4302="EU_JD",Painel_diario!$J4302=1),EXP(Painel_diario!$L4302),1)-1</f>
        <v/>
      </c>
      <c r="C4306" s="22">
        <f>(1+C4305)*IF(AND(Painel_diario!$H4302="EU_JU",Painel_diario!$J4302=1),EXP(Painel_diario!$L4302),1)-1</f>
        <v/>
      </c>
      <c r="D4306" s="22">
        <f>(1+D4305)*IF(AND(Painel_diario!$H4302="ED_JD",Painel_diario!$J4302=1),EXP(Painel_diario!$L4302),1)-1</f>
        <v/>
      </c>
      <c r="E4306" s="22">
        <f>(1+E4305)*IF(AND(Painel_diario!$H4302="ED_JU",Painel_diario!$J4302=1),EXP(Painel_diario!$L4302),1)-1</f>
        <v/>
      </c>
    </row>
    <row r="4307">
      <c r="A4307" s="25" t="n">
        <v>45170</v>
      </c>
      <c r="B4307" s="22">
        <f>(1+B4306)*IF(AND(Painel_diario!$H4303="EU_JD",Painel_diario!$J4303=1),EXP(Painel_diario!$L4303),1)-1</f>
        <v/>
      </c>
      <c r="C4307" s="22">
        <f>(1+C4306)*IF(AND(Painel_diario!$H4303="EU_JU",Painel_diario!$J4303=1),EXP(Painel_diario!$L4303),1)-1</f>
        <v/>
      </c>
      <c r="D4307" s="22">
        <f>(1+D4306)*IF(AND(Painel_diario!$H4303="ED_JD",Painel_diario!$J4303=1),EXP(Painel_diario!$L4303),1)-1</f>
        <v/>
      </c>
      <c r="E4307" s="22">
        <f>(1+E4306)*IF(AND(Painel_diario!$H4303="ED_JU",Painel_diario!$J4303=1),EXP(Painel_diario!$L4303),1)-1</f>
        <v/>
      </c>
    </row>
    <row r="4308">
      <c r="A4308" s="25" t="n">
        <v>45173</v>
      </c>
      <c r="B4308" s="22">
        <f>(1+B4307)*IF(AND(Painel_diario!$H4304="EU_JD",Painel_diario!$J4304=1),EXP(Painel_diario!$L4304),1)-1</f>
        <v/>
      </c>
      <c r="C4308" s="22">
        <f>(1+C4307)*IF(AND(Painel_diario!$H4304="EU_JU",Painel_diario!$J4304=1),EXP(Painel_diario!$L4304),1)-1</f>
        <v/>
      </c>
      <c r="D4308" s="22">
        <f>(1+D4307)*IF(AND(Painel_diario!$H4304="ED_JD",Painel_diario!$J4304=1),EXP(Painel_diario!$L4304),1)-1</f>
        <v/>
      </c>
      <c r="E4308" s="22">
        <f>(1+E4307)*IF(AND(Painel_diario!$H4304="ED_JU",Painel_diario!$J4304=1),EXP(Painel_diario!$L4304),1)-1</f>
        <v/>
      </c>
    </row>
    <row r="4309">
      <c r="A4309" s="25" t="n">
        <v>45174</v>
      </c>
      <c r="B4309" s="22">
        <f>(1+B4308)*IF(AND(Painel_diario!$H4305="EU_JD",Painel_diario!$J4305=1),EXP(Painel_diario!$L4305),1)-1</f>
        <v/>
      </c>
      <c r="C4309" s="22">
        <f>(1+C4308)*IF(AND(Painel_diario!$H4305="EU_JU",Painel_diario!$J4305=1),EXP(Painel_diario!$L4305),1)-1</f>
        <v/>
      </c>
      <c r="D4309" s="22">
        <f>(1+D4308)*IF(AND(Painel_diario!$H4305="ED_JD",Painel_diario!$J4305=1),EXP(Painel_diario!$L4305),1)-1</f>
        <v/>
      </c>
      <c r="E4309" s="22">
        <f>(1+E4308)*IF(AND(Painel_diario!$H4305="ED_JU",Painel_diario!$J4305=1),EXP(Painel_diario!$L4305),1)-1</f>
        <v/>
      </c>
    </row>
    <row r="4310">
      <c r="A4310" s="25" t="n">
        <v>45175</v>
      </c>
      <c r="B4310" s="22">
        <f>(1+B4309)*IF(AND(Painel_diario!$H4306="EU_JD",Painel_diario!$J4306=1),EXP(Painel_diario!$L4306),1)-1</f>
        <v/>
      </c>
      <c r="C4310" s="22">
        <f>(1+C4309)*IF(AND(Painel_diario!$H4306="EU_JU",Painel_diario!$J4306=1),EXP(Painel_diario!$L4306),1)-1</f>
        <v/>
      </c>
      <c r="D4310" s="22">
        <f>(1+D4309)*IF(AND(Painel_diario!$H4306="ED_JD",Painel_diario!$J4306=1),EXP(Painel_diario!$L4306),1)-1</f>
        <v/>
      </c>
      <c r="E4310" s="22">
        <f>(1+E4309)*IF(AND(Painel_diario!$H4306="ED_JU",Painel_diario!$J4306=1),EXP(Painel_diario!$L4306),1)-1</f>
        <v/>
      </c>
    </row>
    <row r="4311">
      <c r="A4311" s="25" t="n">
        <v>45177</v>
      </c>
      <c r="B4311" s="22">
        <f>(1+B4310)*IF(AND(Painel_diario!$H4307="EU_JD",Painel_diario!$J4307=1),EXP(Painel_diario!$L4307),1)-1</f>
        <v/>
      </c>
      <c r="C4311" s="22">
        <f>(1+C4310)*IF(AND(Painel_diario!$H4307="EU_JU",Painel_diario!$J4307=1),EXP(Painel_diario!$L4307),1)-1</f>
        <v/>
      </c>
      <c r="D4311" s="22">
        <f>(1+D4310)*IF(AND(Painel_diario!$H4307="ED_JD",Painel_diario!$J4307=1),EXP(Painel_diario!$L4307),1)-1</f>
        <v/>
      </c>
      <c r="E4311" s="22">
        <f>(1+E4310)*IF(AND(Painel_diario!$H4307="ED_JU",Painel_diario!$J4307=1),EXP(Painel_diario!$L4307),1)-1</f>
        <v/>
      </c>
    </row>
    <row r="4312">
      <c r="A4312" s="25" t="n">
        <v>45180</v>
      </c>
      <c r="B4312" s="22">
        <f>(1+B4311)*IF(AND(Painel_diario!$H4308="EU_JD",Painel_diario!$J4308=1),EXP(Painel_diario!$L4308),1)-1</f>
        <v/>
      </c>
      <c r="C4312" s="22">
        <f>(1+C4311)*IF(AND(Painel_diario!$H4308="EU_JU",Painel_diario!$J4308=1),EXP(Painel_diario!$L4308),1)-1</f>
        <v/>
      </c>
      <c r="D4312" s="22">
        <f>(1+D4311)*IF(AND(Painel_diario!$H4308="ED_JD",Painel_diario!$J4308=1),EXP(Painel_diario!$L4308),1)-1</f>
        <v/>
      </c>
      <c r="E4312" s="22">
        <f>(1+E4311)*IF(AND(Painel_diario!$H4308="ED_JU",Painel_diario!$J4308=1),EXP(Painel_diario!$L4308),1)-1</f>
        <v/>
      </c>
    </row>
    <row r="4313">
      <c r="A4313" s="25" t="n">
        <v>45181</v>
      </c>
      <c r="B4313" s="22">
        <f>(1+B4312)*IF(AND(Painel_diario!$H4309="EU_JD",Painel_diario!$J4309=1),EXP(Painel_diario!$L4309),1)-1</f>
        <v/>
      </c>
      <c r="C4313" s="22">
        <f>(1+C4312)*IF(AND(Painel_diario!$H4309="EU_JU",Painel_diario!$J4309=1),EXP(Painel_diario!$L4309),1)-1</f>
        <v/>
      </c>
      <c r="D4313" s="22">
        <f>(1+D4312)*IF(AND(Painel_diario!$H4309="ED_JD",Painel_diario!$J4309=1),EXP(Painel_diario!$L4309),1)-1</f>
        <v/>
      </c>
      <c r="E4313" s="22">
        <f>(1+E4312)*IF(AND(Painel_diario!$H4309="ED_JU",Painel_diario!$J4309=1),EXP(Painel_diario!$L4309),1)-1</f>
        <v/>
      </c>
    </row>
    <row r="4314">
      <c r="A4314" s="25" t="n">
        <v>45182</v>
      </c>
      <c r="B4314" s="22">
        <f>(1+B4313)*IF(AND(Painel_diario!$H4310="EU_JD",Painel_diario!$J4310=1),EXP(Painel_diario!$L4310),1)-1</f>
        <v/>
      </c>
      <c r="C4314" s="22">
        <f>(1+C4313)*IF(AND(Painel_diario!$H4310="EU_JU",Painel_diario!$J4310=1),EXP(Painel_diario!$L4310),1)-1</f>
        <v/>
      </c>
      <c r="D4314" s="22">
        <f>(1+D4313)*IF(AND(Painel_diario!$H4310="ED_JD",Painel_diario!$J4310=1),EXP(Painel_diario!$L4310),1)-1</f>
        <v/>
      </c>
      <c r="E4314" s="22">
        <f>(1+E4313)*IF(AND(Painel_diario!$H4310="ED_JU",Painel_diario!$J4310=1),EXP(Painel_diario!$L4310),1)-1</f>
        <v/>
      </c>
    </row>
    <row r="4315">
      <c r="A4315" s="25" t="n">
        <v>45183</v>
      </c>
      <c r="B4315" s="22">
        <f>(1+B4314)*IF(AND(Painel_diario!$H4311="EU_JD",Painel_diario!$J4311=1),EXP(Painel_diario!$L4311),1)-1</f>
        <v/>
      </c>
      <c r="C4315" s="22">
        <f>(1+C4314)*IF(AND(Painel_diario!$H4311="EU_JU",Painel_diario!$J4311=1),EXP(Painel_diario!$L4311),1)-1</f>
        <v/>
      </c>
      <c r="D4315" s="22">
        <f>(1+D4314)*IF(AND(Painel_diario!$H4311="ED_JD",Painel_diario!$J4311=1),EXP(Painel_diario!$L4311),1)-1</f>
        <v/>
      </c>
      <c r="E4315" s="22">
        <f>(1+E4314)*IF(AND(Painel_diario!$H4311="ED_JU",Painel_diario!$J4311=1),EXP(Painel_diario!$L4311),1)-1</f>
        <v/>
      </c>
    </row>
    <row r="4316">
      <c r="A4316" s="25" t="n">
        <v>45184</v>
      </c>
      <c r="B4316" s="22">
        <f>(1+B4315)*IF(AND(Painel_diario!$H4312="EU_JD",Painel_diario!$J4312=1),EXP(Painel_diario!$L4312),1)-1</f>
        <v/>
      </c>
      <c r="C4316" s="22">
        <f>(1+C4315)*IF(AND(Painel_diario!$H4312="EU_JU",Painel_diario!$J4312=1),EXP(Painel_diario!$L4312),1)-1</f>
        <v/>
      </c>
      <c r="D4316" s="22">
        <f>(1+D4315)*IF(AND(Painel_diario!$H4312="ED_JD",Painel_diario!$J4312=1),EXP(Painel_diario!$L4312),1)-1</f>
        <v/>
      </c>
      <c r="E4316" s="22">
        <f>(1+E4315)*IF(AND(Painel_diario!$H4312="ED_JU",Painel_diario!$J4312=1),EXP(Painel_diario!$L4312),1)-1</f>
        <v/>
      </c>
    </row>
    <row r="4317">
      <c r="A4317" s="25" t="n">
        <v>45187</v>
      </c>
      <c r="B4317" s="22">
        <f>(1+B4316)*IF(AND(Painel_diario!$H4313="EU_JD",Painel_diario!$J4313=1),EXP(Painel_diario!$L4313),1)-1</f>
        <v/>
      </c>
      <c r="C4317" s="22">
        <f>(1+C4316)*IF(AND(Painel_diario!$H4313="EU_JU",Painel_diario!$J4313=1),EXP(Painel_diario!$L4313),1)-1</f>
        <v/>
      </c>
      <c r="D4317" s="22">
        <f>(1+D4316)*IF(AND(Painel_diario!$H4313="ED_JD",Painel_diario!$J4313=1),EXP(Painel_diario!$L4313),1)-1</f>
        <v/>
      </c>
      <c r="E4317" s="22">
        <f>(1+E4316)*IF(AND(Painel_diario!$H4313="ED_JU",Painel_diario!$J4313=1),EXP(Painel_diario!$L4313),1)-1</f>
        <v/>
      </c>
    </row>
    <row r="4318">
      <c r="A4318" s="25" t="n">
        <v>45188</v>
      </c>
      <c r="B4318" s="22">
        <f>(1+B4317)*IF(AND(Painel_diario!$H4314="EU_JD",Painel_diario!$J4314=1),EXP(Painel_diario!$L4314),1)-1</f>
        <v/>
      </c>
      <c r="C4318" s="22">
        <f>(1+C4317)*IF(AND(Painel_diario!$H4314="EU_JU",Painel_diario!$J4314=1),EXP(Painel_diario!$L4314),1)-1</f>
        <v/>
      </c>
      <c r="D4318" s="22">
        <f>(1+D4317)*IF(AND(Painel_diario!$H4314="ED_JD",Painel_diario!$J4314=1),EXP(Painel_diario!$L4314),1)-1</f>
        <v/>
      </c>
      <c r="E4318" s="22">
        <f>(1+E4317)*IF(AND(Painel_diario!$H4314="ED_JU",Painel_diario!$J4314=1),EXP(Painel_diario!$L4314),1)-1</f>
        <v/>
      </c>
    </row>
    <row r="4319">
      <c r="A4319" s="25" t="n">
        <v>45189</v>
      </c>
      <c r="B4319" s="22">
        <f>(1+B4318)*IF(AND(Painel_diario!$H4315="EU_JD",Painel_diario!$J4315=1),EXP(Painel_diario!$L4315),1)-1</f>
        <v/>
      </c>
      <c r="C4319" s="22">
        <f>(1+C4318)*IF(AND(Painel_diario!$H4315="EU_JU",Painel_diario!$J4315=1),EXP(Painel_diario!$L4315),1)-1</f>
        <v/>
      </c>
      <c r="D4319" s="22">
        <f>(1+D4318)*IF(AND(Painel_diario!$H4315="ED_JD",Painel_diario!$J4315=1),EXP(Painel_diario!$L4315),1)-1</f>
        <v/>
      </c>
      <c r="E4319" s="22">
        <f>(1+E4318)*IF(AND(Painel_diario!$H4315="ED_JU",Painel_diario!$J4315=1),EXP(Painel_diario!$L4315),1)-1</f>
        <v/>
      </c>
    </row>
    <row r="4320">
      <c r="A4320" s="25" t="n">
        <v>45190</v>
      </c>
      <c r="B4320" s="22">
        <f>(1+B4319)*IF(AND(Painel_diario!$H4316="EU_JD",Painel_diario!$J4316=1),EXP(Painel_diario!$L4316),1)-1</f>
        <v/>
      </c>
      <c r="C4320" s="22">
        <f>(1+C4319)*IF(AND(Painel_diario!$H4316="EU_JU",Painel_diario!$J4316=1),EXP(Painel_diario!$L4316),1)-1</f>
        <v/>
      </c>
      <c r="D4320" s="22">
        <f>(1+D4319)*IF(AND(Painel_diario!$H4316="ED_JD",Painel_diario!$J4316=1),EXP(Painel_diario!$L4316),1)-1</f>
        <v/>
      </c>
      <c r="E4320" s="22">
        <f>(1+E4319)*IF(AND(Painel_diario!$H4316="ED_JU",Painel_diario!$J4316=1),EXP(Painel_diario!$L4316),1)-1</f>
        <v/>
      </c>
    </row>
    <row r="4321">
      <c r="A4321" s="25" t="n">
        <v>45191</v>
      </c>
      <c r="B4321" s="22">
        <f>(1+B4320)*IF(AND(Painel_diario!$H4317="EU_JD",Painel_diario!$J4317=1),EXP(Painel_diario!$L4317),1)-1</f>
        <v/>
      </c>
      <c r="C4321" s="22">
        <f>(1+C4320)*IF(AND(Painel_diario!$H4317="EU_JU",Painel_diario!$J4317=1),EXP(Painel_diario!$L4317),1)-1</f>
        <v/>
      </c>
      <c r="D4321" s="22">
        <f>(1+D4320)*IF(AND(Painel_diario!$H4317="ED_JD",Painel_diario!$J4317=1),EXP(Painel_diario!$L4317),1)-1</f>
        <v/>
      </c>
      <c r="E4321" s="22">
        <f>(1+E4320)*IF(AND(Painel_diario!$H4317="ED_JU",Painel_diario!$J4317=1),EXP(Painel_diario!$L4317),1)-1</f>
        <v/>
      </c>
    </row>
    <row r="4322">
      <c r="A4322" s="25" t="n">
        <v>45194</v>
      </c>
      <c r="B4322" s="22">
        <f>(1+B4321)*IF(AND(Painel_diario!$H4318="EU_JD",Painel_diario!$J4318=1),EXP(Painel_diario!$L4318),1)-1</f>
        <v/>
      </c>
      <c r="C4322" s="22">
        <f>(1+C4321)*IF(AND(Painel_diario!$H4318="EU_JU",Painel_diario!$J4318=1),EXP(Painel_diario!$L4318),1)-1</f>
        <v/>
      </c>
      <c r="D4322" s="22">
        <f>(1+D4321)*IF(AND(Painel_diario!$H4318="ED_JD",Painel_diario!$J4318=1),EXP(Painel_diario!$L4318),1)-1</f>
        <v/>
      </c>
      <c r="E4322" s="22">
        <f>(1+E4321)*IF(AND(Painel_diario!$H4318="ED_JU",Painel_diario!$J4318=1),EXP(Painel_diario!$L4318),1)-1</f>
        <v/>
      </c>
    </row>
    <row r="4323">
      <c r="A4323" s="25" t="n">
        <v>45195</v>
      </c>
      <c r="B4323" s="22">
        <f>(1+B4322)*IF(AND(Painel_diario!$H4319="EU_JD",Painel_diario!$J4319=1),EXP(Painel_diario!$L4319),1)-1</f>
        <v/>
      </c>
      <c r="C4323" s="22">
        <f>(1+C4322)*IF(AND(Painel_diario!$H4319="EU_JU",Painel_diario!$J4319=1),EXP(Painel_diario!$L4319),1)-1</f>
        <v/>
      </c>
      <c r="D4323" s="22">
        <f>(1+D4322)*IF(AND(Painel_diario!$H4319="ED_JD",Painel_diario!$J4319=1),EXP(Painel_diario!$L4319),1)-1</f>
        <v/>
      </c>
      <c r="E4323" s="22">
        <f>(1+E4322)*IF(AND(Painel_diario!$H4319="ED_JU",Painel_diario!$J4319=1),EXP(Painel_diario!$L4319),1)-1</f>
        <v/>
      </c>
    </row>
    <row r="4324">
      <c r="A4324" s="25" t="n">
        <v>45196</v>
      </c>
      <c r="B4324" s="22">
        <f>(1+B4323)*IF(AND(Painel_diario!$H4320="EU_JD",Painel_diario!$J4320=1),EXP(Painel_diario!$L4320),1)-1</f>
        <v/>
      </c>
      <c r="C4324" s="22">
        <f>(1+C4323)*IF(AND(Painel_diario!$H4320="EU_JU",Painel_diario!$J4320=1),EXP(Painel_diario!$L4320),1)-1</f>
        <v/>
      </c>
      <c r="D4324" s="22">
        <f>(1+D4323)*IF(AND(Painel_diario!$H4320="ED_JD",Painel_diario!$J4320=1),EXP(Painel_diario!$L4320),1)-1</f>
        <v/>
      </c>
      <c r="E4324" s="22">
        <f>(1+E4323)*IF(AND(Painel_diario!$H4320="ED_JU",Painel_diario!$J4320=1),EXP(Painel_diario!$L4320),1)-1</f>
        <v/>
      </c>
    </row>
    <row r="4325">
      <c r="A4325" s="25" t="n">
        <v>45197</v>
      </c>
      <c r="B4325" s="22">
        <f>(1+B4324)*IF(AND(Painel_diario!$H4321="EU_JD",Painel_diario!$J4321=1),EXP(Painel_diario!$L4321),1)-1</f>
        <v/>
      </c>
      <c r="C4325" s="22">
        <f>(1+C4324)*IF(AND(Painel_diario!$H4321="EU_JU",Painel_diario!$J4321=1),EXP(Painel_diario!$L4321),1)-1</f>
        <v/>
      </c>
      <c r="D4325" s="22">
        <f>(1+D4324)*IF(AND(Painel_diario!$H4321="ED_JD",Painel_diario!$J4321=1),EXP(Painel_diario!$L4321),1)-1</f>
        <v/>
      </c>
      <c r="E4325" s="22">
        <f>(1+E4324)*IF(AND(Painel_diario!$H4321="ED_JU",Painel_diario!$J4321=1),EXP(Painel_diario!$L4321),1)-1</f>
        <v/>
      </c>
    </row>
    <row r="4326">
      <c r="A4326" s="25" t="n">
        <v>45198</v>
      </c>
      <c r="B4326" s="22">
        <f>(1+B4325)*IF(AND(Painel_diario!$H4322="EU_JD",Painel_diario!$J4322=1),EXP(Painel_diario!$L4322),1)-1</f>
        <v/>
      </c>
      <c r="C4326" s="22">
        <f>(1+C4325)*IF(AND(Painel_diario!$H4322="EU_JU",Painel_diario!$J4322=1),EXP(Painel_diario!$L4322),1)-1</f>
        <v/>
      </c>
      <c r="D4326" s="22">
        <f>(1+D4325)*IF(AND(Painel_diario!$H4322="ED_JD",Painel_diario!$J4322=1),EXP(Painel_diario!$L4322),1)-1</f>
        <v/>
      </c>
      <c r="E4326" s="22">
        <f>(1+E4325)*IF(AND(Painel_diario!$H4322="ED_JU",Painel_diario!$J4322=1),EXP(Painel_diario!$L4322),1)-1</f>
        <v/>
      </c>
    </row>
    <row r="4327">
      <c r="A4327" s="25" t="n">
        <v>45201</v>
      </c>
      <c r="B4327" s="22">
        <f>(1+B4326)*IF(AND(Painel_diario!$H4323="EU_JD",Painel_diario!$J4323=1),EXP(Painel_diario!$L4323),1)-1</f>
        <v/>
      </c>
      <c r="C4327" s="22">
        <f>(1+C4326)*IF(AND(Painel_diario!$H4323="EU_JU",Painel_diario!$J4323=1),EXP(Painel_diario!$L4323),1)-1</f>
        <v/>
      </c>
      <c r="D4327" s="22">
        <f>(1+D4326)*IF(AND(Painel_diario!$H4323="ED_JD",Painel_diario!$J4323=1),EXP(Painel_diario!$L4323),1)-1</f>
        <v/>
      </c>
      <c r="E4327" s="22">
        <f>(1+E4326)*IF(AND(Painel_diario!$H4323="ED_JU",Painel_diario!$J4323=1),EXP(Painel_diario!$L4323),1)-1</f>
        <v/>
      </c>
    </row>
    <row r="4328">
      <c r="A4328" s="25" t="n">
        <v>45202</v>
      </c>
      <c r="B4328" s="22">
        <f>(1+B4327)*IF(AND(Painel_diario!$H4324="EU_JD",Painel_diario!$J4324=1),EXP(Painel_diario!$L4324),1)-1</f>
        <v/>
      </c>
      <c r="C4328" s="22">
        <f>(1+C4327)*IF(AND(Painel_diario!$H4324="EU_JU",Painel_diario!$J4324=1),EXP(Painel_diario!$L4324),1)-1</f>
        <v/>
      </c>
      <c r="D4328" s="22">
        <f>(1+D4327)*IF(AND(Painel_diario!$H4324="ED_JD",Painel_diario!$J4324=1),EXP(Painel_diario!$L4324),1)-1</f>
        <v/>
      </c>
      <c r="E4328" s="22">
        <f>(1+E4327)*IF(AND(Painel_diario!$H4324="ED_JU",Painel_diario!$J4324=1),EXP(Painel_diario!$L4324),1)-1</f>
        <v/>
      </c>
    </row>
    <row r="4329">
      <c r="A4329" s="25" t="n">
        <v>45203</v>
      </c>
      <c r="B4329" s="22">
        <f>(1+B4328)*IF(AND(Painel_diario!$H4325="EU_JD",Painel_diario!$J4325=1),EXP(Painel_diario!$L4325),1)-1</f>
        <v/>
      </c>
      <c r="C4329" s="22">
        <f>(1+C4328)*IF(AND(Painel_diario!$H4325="EU_JU",Painel_diario!$J4325=1),EXP(Painel_diario!$L4325),1)-1</f>
        <v/>
      </c>
      <c r="D4329" s="22">
        <f>(1+D4328)*IF(AND(Painel_diario!$H4325="ED_JD",Painel_diario!$J4325=1),EXP(Painel_diario!$L4325),1)-1</f>
        <v/>
      </c>
      <c r="E4329" s="22">
        <f>(1+E4328)*IF(AND(Painel_diario!$H4325="ED_JU",Painel_diario!$J4325=1),EXP(Painel_diario!$L4325),1)-1</f>
        <v/>
      </c>
    </row>
    <row r="4330">
      <c r="A4330" s="25" t="n">
        <v>45204</v>
      </c>
      <c r="B4330" s="22">
        <f>(1+B4329)*IF(AND(Painel_diario!$H4326="EU_JD",Painel_diario!$J4326=1),EXP(Painel_diario!$L4326),1)-1</f>
        <v/>
      </c>
      <c r="C4330" s="22">
        <f>(1+C4329)*IF(AND(Painel_diario!$H4326="EU_JU",Painel_diario!$J4326=1),EXP(Painel_diario!$L4326),1)-1</f>
        <v/>
      </c>
      <c r="D4330" s="22">
        <f>(1+D4329)*IF(AND(Painel_diario!$H4326="ED_JD",Painel_diario!$J4326=1),EXP(Painel_diario!$L4326),1)-1</f>
        <v/>
      </c>
      <c r="E4330" s="22">
        <f>(1+E4329)*IF(AND(Painel_diario!$H4326="ED_JU",Painel_diario!$J4326=1),EXP(Painel_diario!$L4326),1)-1</f>
        <v/>
      </c>
    </row>
    <row r="4331">
      <c r="A4331" s="25" t="n">
        <v>45205</v>
      </c>
      <c r="B4331" s="22">
        <f>(1+B4330)*IF(AND(Painel_diario!$H4327="EU_JD",Painel_diario!$J4327=1),EXP(Painel_diario!$L4327),1)-1</f>
        <v/>
      </c>
      <c r="C4331" s="22">
        <f>(1+C4330)*IF(AND(Painel_diario!$H4327="EU_JU",Painel_diario!$J4327=1),EXP(Painel_diario!$L4327),1)-1</f>
        <v/>
      </c>
      <c r="D4331" s="22">
        <f>(1+D4330)*IF(AND(Painel_diario!$H4327="ED_JD",Painel_diario!$J4327=1),EXP(Painel_diario!$L4327),1)-1</f>
        <v/>
      </c>
      <c r="E4331" s="22">
        <f>(1+E4330)*IF(AND(Painel_diario!$H4327="ED_JU",Painel_diario!$J4327=1),EXP(Painel_diario!$L4327),1)-1</f>
        <v/>
      </c>
    </row>
    <row r="4332">
      <c r="A4332" s="25" t="n">
        <v>45208</v>
      </c>
      <c r="B4332" s="22">
        <f>(1+B4331)*IF(AND(Painel_diario!$H4328="EU_JD",Painel_diario!$J4328=1),EXP(Painel_diario!$L4328),1)-1</f>
        <v/>
      </c>
      <c r="C4332" s="22">
        <f>(1+C4331)*IF(AND(Painel_diario!$H4328="EU_JU",Painel_diario!$J4328=1),EXP(Painel_diario!$L4328),1)-1</f>
        <v/>
      </c>
      <c r="D4332" s="22">
        <f>(1+D4331)*IF(AND(Painel_diario!$H4328="ED_JD",Painel_diario!$J4328=1),EXP(Painel_diario!$L4328),1)-1</f>
        <v/>
      </c>
      <c r="E4332" s="22">
        <f>(1+E4331)*IF(AND(Painel_diario!$H4328="ED_JU",Painel_diario!$J4328=1),EXP(Painel_diario!$L4328),1)-1</f>
        <v/>
      </c>
    </row>
    <row r="4333">
      <c r="A4333" s="25" t="n">
        <v>45209</v>
      </c>
      <c r="B4333" s="22">
        <f>(1+B4332)*IF(AND(Painel_diario!$H4329="EU_JD",Painel_diario!$J4329=1),EXP(Painel_diario!$L4329),1)-1</f>
        <v/>
      </c>
      <c r="C4333" s="22">
        <f>(1+C4332)*IF(AND(Painel_diario!$H4329="EU_JU",Painel_diario!$J4329=1),EXP(Painel_diario!$L4329),1)-1</f>
        <v/>
      </c>
      <c r="D4333" s="22">
        <f>(1+D4332)*IF(AND(Painel_diario!$H4329="ED_JD",Painel_diario!$J4329=1),EXP(Painel_diario!$L4329),1)-1</f>
        <v/>
      </c>
      <c r="E4333" s="22">
        <f>(1+E4332)*IF(AND(Painel_diario!$H4329="ED_JU",Painel_diario!$J4329=1),EXP(Painel_diario!$L4329),1)-1</f>
        <v/>
      </c>
    </row>
    <row r="4334">
      <c r="A4334" s="25" t="n">
        <v>45210</v>
      </c>
      <c r="B4334" s="22">
        <f>(1+B4333)*IF(AND(Painel_diario!$H4330="EU_JD",Painel_diario!$J4330=1),EXP(Painel_diario!$L4330),1)-1</f>
        <v/>
      </c>
      <c r="C4334" s="22">
        <f>(1+C4333)*IF(AND(Painel_diario!$H4330="EU_JU",Painel_diario!$J4330=1),EXP(Painel_diario!$L4330),1)-1</f>
        <v/>
      </c>
      <c r="D4334" s="22">
        <f>(1+D4333)*IF(AND(Painel_diario!$H4330="ED_JD",Painel_diario!$J4330=1),EXP(Painel_diario!$L4330),1)-1</f>
        <v/>
      </c>
      <c r="E4334" s="22">
        <f>(1+E4333)*IF(AND(Painel_diario!$H4330="ED_JU",Painel_diario!$J4330=1),EXP(Painel_diario!$L4330),1)-1</f>
        <v/>
      </c>
    </row>
    <row r="4335">
      <c r="A4335" s="25" t="n">
        <v>45212</v>
      </c>
      <c r="B4335" s="22">
        <f>(1+B4334)*IF(AND(Painel_diario!$H4331="EU_JD",Painel_diario!$J4331=1),EXP(Painel_diario!$L4331),1)-1</f>
        <v/>
      </c>
      <c r="C4335" s="22">
        <f>(1+C4334)*IF(AND(Painel_diario!$H4331="EU_JU",Painel_diario!$J4331=1),EXP(Painel_diario!$L4331),1)-1</f>
        <v/>
      </c>
      <c r="D4335" s="22">
        <f>(1+D4334)*IF(AND(Painel_diario!$H4331="ED_JD",Painel_diario!$J4331=1),EXP(Painel_diario!$L4331),1)-1</f>
        <v/>
      </c>
      <c r="E4335" s="22">
        <f>(1+E4334)*IF(AND(Painel_diario!$H4331="ED_JU",Painel_diario!$J4331=1),EXP(Painel_diario!$L4331),1)-1</f>
        <v/>
      </c>
    </row>
    <row r="4336">
      <c r="A4336" s="25" t="n">
        <v>45215</v>
      </c>
      <c r="B4336" s="22">
        <f>(1+B4335)*IF(AND(Painel_diario!$H4332="EU_JD",Painel_diario!$J4332=1),EXP(Painel_diario!$L4332),1)-1</f>
        <v/>
      </c>
      <c r="C4336" s="22">
        <f>(1+C4335)*IF(AND(Painel_diario!$H4332="EU_JU",Painel_diario!$J4332=1),EXP(Painel_diario!$L4332),1)-1</f>
        <v/>
      </c>
      <c r="D4336" s="22">
        <f>(1+D4335)*IF(AND(Painel_diario!$H4332="ED_JD",Painel_diario!$J4332=1),EXP(Painel_diario!$L4332),1)-1</f>
        <v/>
      </c>
      <c r="E4336" s="22">
        <f>(1+E4335)*IF(AND(Painel_diario!$H4332="ED_JU",Painel_diario!$J4332=1),EXP(Painel_diario!$L4332),1)-1</f>
        <v/>
      </c>
    </row>
    <row r="4337">
      <c r="A4337" s="25" t="n">
        <v>45216</v>
      </c>
      <c r="B4337" s="22">
        <f>(1+B4336)*IF(AND(Painel_diario!$H4333="EU_JD",Painel_diario!$J4333=1),EXP(Painel_diario!$L4333),1)-1</f>
        <v/>
      </c>
      <c r="C4337" s="22">
        <f>(1+C4336)*IF(AND(Painel_diario!$H4333="EU_JU",Painel_diario!$J4333=1),EXP(Painel_diario!$L4333),1)-1</f>
        <v/>
      </c>
      <c r="D4337" s="22">
        <f>(1+D4336)*IF(AND(Painel_diario!$H4333="ED_JD",Painel_diario!$J4333=1),EXP(Painel_diario!$L4333),1)-1</f>
        <v/>
      </c>
      <c r="E4337" s="22">
        <f>(1+E4336)*IF(AND(Painel_diario!$H4333="ED_JU",Painel_diario!$J4333=1),EXP(Painel_diario!$L4333),1)-1</f>
        <v/>
      </c>
    </row>
    <row r="4338">
      <c r="A4338" s="25" t="n">
        <v>45217</v>
      </c>
      <c r="B4338" s="22">
        <f>(1+B4337)*IF(AND(Painel_diario!$H4334="EU_JD",Painel_diario!$J4334=1),EXP(Painel_diario!$L4334),1)-1</f>
        <v/>
      </c>
      <c r="C4338" s="22">
        <f>(1+C4337)*IF(AND(Painel_diario!$H4334="EU_JU",Painel_diario!$J4334=1),EXP(Painel_diario!$L4334),1)-1</f>
        <v/>
      </c>
      <c r="D4338" s="22">
        <f>(1+D4337)*IF(AND(Painel_diario!$H4334="ED_JD",Painel_diario!$J4334=1),EXP(Painel_diario!$L4334),1)-1</f>
        <v/>
      </c>
      <c r="E4338" s="22">
        <f>(1+E4337)*IF(AND(Painel_diario!$H4334="ED_JU",Painel_diario!$J4334=1),EXP(Painel_diario!$L4334),1)-1</f>
        <v/>
      </c>
    </row>
    <row r="4339">
      <c r="A4339" s="25" t="n">
        <v>45218</v>
      </c>
      <c r="B4339" s="22">
        <f>(1+B4338)*IF(AND(Painel_diario!$H4335="EU_JD",Painel_diario!$J4335=1),EXP(Painel_diario!$L4335),1)-1</f>
        <v/>
      </c>
      <c r="C4339" s="22">
        <f>(1+C4338)*IF(AND(Painel_diario!$H4335="EU_JU",Painel_diario!$J4335=1),EXP(Painel_diario!$L4335),1)-1</f>
        <v/>
      </c>
      <c r="D4339" s="22">
        <f>(1+D4338)*IF(AND(Painel_diario!$H4335="ED_JD",Painel_diario!$J4335=1),EXP(Painel_diario!$L4335),1)-1</f>
        <v/>
      </c>
      <c r="E4339" s="22">
        <f>(1+E4338)*IF(AND(Painel_diario!$H4335="ED_JU",Painel_diario!$J4335=1),EXP(Painel_diario!$L4335),1)-1</f>
        <v/>
      </c>
    </row>
    <row r="4340">
      <c r="A4340" s="25" t="n">
        <v>45219</v>
      </c>
      <c r="B4340" s="22">
        <f>(1+B4339)*IF(AND(Painel_diario!$H4336="EU_JD",Painel_diario!$J4336=1),EXP(Painel_diario!$L4336),1)-1</f>
        <v/>
      </c>
      <c r="C4340" s="22">
        <f>(1+C4339)*IF(AND(Painel_diario!$H4336="EU_JU",Painel_diario!$J4336=1),EXP(Painel_diario!$L4336),1)-1</f>
        <v/>
      </c>
      <c r="D4340" s="22">
        <f>(1+D4339)*IF(AND(Painel_diario!$H4336="ED_JD",Painel_diario!$J4336=1),EXP(Painel_diario!$L4336),1)-1</f>
        <v/>
      </c>
      <c r="E4340" s="22">
        <f>(1+E4339)*IF(AND(Painel_diario!$H4336="ED_JU",Painel_diario!$J4336=1),EXP(Painel_diario!$L4336),1)-1</f>
        <v/>
      </c>
    </row>
    <row r="4341">
      <c r="A4341" s="25" t="n">
        <v>45222</v>
      </c>
      <c r="B4341" s="22">
        <f>(1+B4340)*IF(AND(Painel_diario!$H4337="EU_JD",Painel_diario!$J4337=1),EXP(Painel_diario!$L4337),1)-1</f>
        <v/>
      </c>
      <c r="C4341" s="22">
        <f>(1+C4340)*IF(AND(Painel_diario!$H4337="EU_JU",Painel_diario!$J4337=1),EXP(Painel_diario!$L4337),1)-1</f>
        <v/>
      </c>
      <c r="D4341" s="22">
        <f>(1+D4340)*IF(AND(Painel_diario!$H4337="ED_JD",Painel_diario!$J4337=1),EXP(Painel_diario!$L4337),1)-1</f>
        <v/>
      </c>
      <c r="E4341" s="22">
        <f>(1+E4340)*IF(AND(Painel_diario!$H4337="ED_JU",Painel_diario!$J4337=1),EXP(Painel_diario!$L4337),1)-1</f>
        <v/>
      </c>
    </row>
    <row r="4342">
      <c r="A4342" s="25" t="n">
        <v>45223</v>
      </c>
      <c r="B4342" s="22">
        <f>(1+B4341)*IF(AND(Painel_diario!$H4338="EU_JD",Painel_diario!$J4338=1),EXP(Painel_diario!$L4338),1)-1</f>
        <v/>
      </c>
      <c r="C4342" s="22">
        <f>(1+C4341)*IF(AND(Painel_diario!$H4338="EU_JU",Painel_diario!$J4338=1),EXP(Painel_diario!$L4338),1)-1</f>
        <v/>
      </c>
      <c r="D4342" s="22">
        <f>(1+D4341)*IF(AND(Painel_diario!$H4338="ED_JD",Painel_diario!$J4338=1),EXP(Painel_diario!$L4338),1)-1</f>
        <v/>
      </c>
      <c r="E4342" s="22">
        <f>(1+E4341)*IF(AND(Painel_diario!$H4338="ED_JU",Painel_diario!$J4338=1),EXP(Painel_diario!$L4338),1)-1</f>
        <v/>
      </c>
    </row>
    <row r="4343">
      <c r="A4343" s="25" t="n">
        <v>45224</v>
      </c>
      <c r="B4343" s="22">
        <f>(1+B4342)*IF(AND(Painel_diario!$H4339="EU_JD",Painel_diario!$J4339=1),EXP(Painel_diario!$L4339),1)-1</f>
        <v/>
      </c>
      <c r="C4343" s="22">
        <f>(1+C4342)*IF(AND(Painel_diario!$H4339="EU_JU",Painel_diario!$J4339=1),EXP(Painel_diario!$L4339),1)-1</f>
        <v/>
      </c>
      <c r="D4343" s="22">
        <f>(1+D4342)*IF(AND(Painel_diario!$H4339="ED_JD",Painel_diario!$J4339=1),EXP(Painel_diario!$L4339),1)-1</f>
        <v/>
      </c>
      <c r="E4343" s="22">
        <f>(1+E4342)*IF(AND(Painel_diario!$H4339="ED_JU",Painel_diario!$J4339=1),EXP(Painel_diario!$L4339),1)-1</f>
        <v/>
      </c>
    </row>
    <row r="4344">
      <c r="A4344" s="25" t="n">
        <v>45225</v>
      </c>
      <c r="B4344" s="22">
        <f>(1+B4343)*IF(AND(Painel_diario!$H4340="EU_JD",Painel_diario!$J4340=1),EXP(Painel_diario!$L4340),1)-1</f>
        <v/>
      </c>
      <c r="C4344" s="22">
        <f>(1+C4343)*IF(AND(Painel_diario!$H4340="EU_JU",Painel_diario!$J4340=1),EXP(Painel_diario!$L4340),1)-1</f>
        <v/>
      </c>
      <c r="D4344" s="22">
        <f>(1+D4343)*IF(AND(Painel_diario!$H4340="ED_JD",Painel_diario!$J4340=1),EXP(Painel_diario!$L4340),1)-1</f>
        <v/>
      </c>
      <c r="E4344" s="22">
        <f>(1+E4343)*IF(AND(Painel_diario!$H4340="ED_JU",Painel_diario!$J4340=1),EXP(Painel_diario!$L4340),1)-1</f>
        <v/>
      </c>
    </row>
    <row r="4345">
      <c r="A4345" s="25" t="n">
        <v>45226</v>
      </c>
      <c r="B4345" s="22">
        <f>(1+B4344)*IF(AND(Painel_diario!$H4341="EU_JD",Painel_diario!$J4341=1),EXP(Painel_diario!$L4341),1)-1</f>
        <v/>
      </c>
      <c r="C4345" s="22">
        <f>(1+C4344)*IF(AND(Painel_diario!$H4341="EU_JU",Painel_diario!$J4341=1),EXP(Painel_diario!$L4341),1)-1</f>
        <v/>
      </c>
      <c r="D4345" s="22">
        <f>(1+D4344)*IF(AND(Painel_diario!$H4341="ED_JD",Painel_diario!$J4341=1),EXP(Painel_diario!$L4341),1)-1</f>
        <v/>
      </c>
      <c r="E4345" s="22">
        <f>(1+E4344)*IF(AND(Painel_diario!$H4341="ED_JU",Painel_diario!$J4341=1),EXP(Painel_diario!$L4341),1)-1</f>
        <v/>
      </c>
    </row>
    <row r="4346">
      <c r="A4346" s="25" t="n">
        <v>45229</v>
      </c>
      <c r="B4346" s="22">
        <f>(1+B4345)*IF(AND(Painel_diario!$H4342="EU_JD",Painel_diario!$J4342=1),EXP(Painel_diario!$L4342),1)-1</f>
        <v/>
      </c>
      <c r="C4346" s="22">
        <f>(1+C4345)*IF(AND(Painel_diario!$H4342="EU_JU",Painel_diario!$J4342=1),EXP(Painel_diario!$L4342),1)-1</f>
        <v/>
      </c>
      <c r="D4346" s="22">
        <f>(1+D4345)*IF(AND(Painel_diario!$H4342="ED_JD",Painel_diario!$J4342=1),EXP(Painel_diario!$L4342),1)-1</f>
        <v/>
      </c>
      <c r="E4346" s="22">
        <f>(1+E4345)*IF(AND(Painel_diario!$H4342="ED_JU",Painel_diario!$J4342=1),EXP(Painel_diario!$L4342),1)-1</f>
        <v/>
      </c>
    </row>
    <row r="4347">
      <c r="A4347" s="25" t="n">
        <v>45230</v>
      </c>
      <c r="B4347" s="22">
        <f>(1+B4346)*IF(AND(Painel_diario!$H4343="EU_JD",Painel_diario!$J4343=1),EXP(Painel_diario!$L4343),1)-1</f>
        <v/>
      </c>
      <c r="C4347" s="22">
        <f>(1+C4346)*IF(AND(Painel_diario!$H4343="EU_JU",Painel_diario!$J4343=1),EXP(Painel_diario!$L4343),1)-1</f>
        <v/>
      </c>
      <c r="D4347" s="22">
        <f>(1+D4346)*IF(AND(Painel_diario!$H4343="ED_JD",Painel_diario!$J4343=1),EXP(Painel_diario!$L4343),1)-1</f>
        <v/>
      </c>
      <c r="E4347" s="22">
        <f>(1+E4346)*IF(AND(Painel_diario!$H4343="ED_JU",Painel_diario!$J4343=1),EXP(Painel_diario!$L4343),1)-1</f>
        <v/>
      </c>
    </row>
    <row r="4348">
      <c r="A4348" s="25" t="n">
        <v>45231</v>
      </c>
      <c r="B4348" s="22">
        <f>(1+B4347)*IF(AND(Painel_diario!$H4344="EU_JD",Painel_diario!$J4344=1),EXP(Painel_diario!$L4344),1)-1</f>
        <v/>
      </c>
      <c r="C4348" s="22">
        <f>(1+C4347)*IF(AND(Painel_diario!$H4344="EU_JU",Painel_diario!$J4344=1),EXP(Painel_diario!$L4344),1)-1</f>
        <v/>
      </c>
      <c r="D4348" s="22">
        <f>(1+D4347)*IF(AND(Painel_diario!$H4344="ED_JD",Painel_diario!$J4344=1),EXP(Painel_diario!$L4344),1)-1</f>
        <v/>
      </c>
      <c r="E4348" s="22">
        <f>(1+E4347)*IF(AND(Painel_diario!$H4344="ED_JU",Painel_diario!$J4344=1),EXP(Painel_diario!$L4344),1)-1</f>
        <v/>
      </c>
    </row>
    <row r="4349">
      <c r="A4349" s="25" t="n">
        <v>45233</v>
      </c>
      <c r="B4349" s="22">
        <f>(1+B4348)*IF(AND(Painel_diario!$H4345="EU_JD",Painel_diario!$J4345=1),EXP(Painel_diario!$L4345),1)-1</f>
        <v/>
      </c>
      <c r="C4349" s="22">
        <f>(1+C4348)*IF(AND(Painel_diario!$H4345="EU_JU",Painel_diario!$J4345=1),EXP(Painel_diario!$L4345),1)-1</f>
        <v/>
      </c>
      <c r="D4349" s="22">
        <f>(1+D4348)*IF(AND(Painel_diario!$H4345="ED_JD",Painel_diario!$J4345=1),EXP(Painel_diario!$L4345),1)-1</f>
        <v/>
      </c>
      <c r="E4349" s="22">
        <f>(1+E4348)*IF(AND(Painel_diario!$H4345="ED_JU",Painel_diario!$J4345=1),EXP(Painel_diario!$L4345),1)-1</f>
        <v/>
      </c>
    </row>
    <row r="4350">
      <c r="A4350" s="25" t="n">
        <v>45236</v>
      </c>
      <c r="B4350" s="22">
        <f>(1+B4349)*IF(AND(Painel_diario!$H4346="EU_JD",Painel_diario!$J4346=1),EXP(Painel_diario!$L4346),1)-1</f>
        <v/>
      </c>
      <c r="C4350" s="22">
        <f>(1+C4349)*IF(AND(Painel_diario!$H4346="EU_JU",Painel_diario!$J4346=1),EXP(Painel_diario!$L4346),1)-1</f>
        <v/>
      </c>
      <c r="D4350" s="22">
        <f>(1+D4349)*IF(AND(Painel_diario!$H4346="ED_JD",Painel_diario!$J4346=1),EXP(Painel_diario!$L4346),1)-1</f>
        <v/>
      </c>
      <c r="E4350" s="22">
        <f>(1+E4349)*IF(AND(Painel_diario!$H4346="ED_JU",Painel_diario!$J4346=1),EXP(Painel_diario!$L4346),1)-1</f>
        <v/>
      </c>
    </row>
    <row r="4351">
      <c r="A4351" s="25" t="n">
        <v>45237</v>
      </c>
      <c r="B4351" s="22">
        <f>(1+B4350)*IF(AND(Painel_diario!$H4347="EU_JD",Painel_diario!$J4347=1),EXP(Painel_diario!$L4347),1)-1</f>
        <v/>
      </c>
      <c r="C4351" s="22">
        <f>(1+C4350)*IF(AND(Painel_diario!$H4347="EU_JU",Painel_diario!$J4347=1),EXP(Painel_diario!$L4347),1)-1</f>
        <v/>
      </c>
      <c r="D4351" s="22">
        <f>(1+D4350)*IF(AND(Painel_diario!$H4347="ED_JD",Painel_diario!$J4347=1),EXP(Painel_diario!$L4347),1)-1</f>
        <v/>
      </c>
      <c r="E4351" s="22">
        <f>(1+E4350)*IF(AND(Painel_diario!$H4347="ED_JU",Painel_diario!$J4347=1),EXP(Painel_diario!$L4347),1)-1</f>
        <v/>
      </c>
    </row>
    <row r="4352">
      <c r="A4352" s="25" t="n">
        <v>45238</v>
      </c>
      <c r="B4352" s="22">
        <f>(1+B4351)*IF(AND(Painel_diario!$H4348="EU_JD",Painel_diario!$J4348=1),EXP(Painel_diario!$L4348),1)-1</f>
        <v/>
      </c>
      <c r="C4352" s="22">
        <f>(1+C4351)*IF(AND(Painel_diario!$H4348="EU_JU",Painel_diario!$J4348=1),EXP(Painel_diario!$L4348),1)-1</f>
        <v/>
      </c>
      <c r="D4352" s="22">
        <f>(1+D4351)*IF(AND(Painel_diario!$H4348="ED_JD",Painel_diario!$J4348=1),EXP(Painel_diario!$L4348),1)-1</f>
        <v/>
      </c>
      <c r="E4352" s="22">
        <f>(1+E4351)*IF(AND(Painel_diario!$H4348="ED_JU",Painel_diario!$J4348=1),EXP(Painel_diario!$L4348),1)-1</f>
        <v/>
      </c>
    </row>
    <row r="4353">
      <c r="A4353" s="25" t="n">
        <v>45239</v>
      </c>
      <c r="B4353" s="22">
        <f>(1+B4352)*IF(AND(Painel_diario!$H4349="EU_JD",Painel_diario!$J4349=1),EXP(Painel_diario!$L4349),1)-1</f>
        <v/>
      </c>
      <c r="C4353" s="22">
        <f>(1+C4352)*IF(AND(Painel_diario!$H4349="EU_JU",Painel_diario!$J4349=1),EXP(Painel_diario!$L4349),1)-1</f>
        <v/>
      </c>
      <c r="D4353" s="22">
        <f>(1+D4352)*IF(AND(Painel_diario!$H4349="ED_JD",Painel_diario!$J4349=1),EXP(Painel_diario!$L4349),1)-1</f>
        <v/>
      </c>
      <c r="E4353" s="22">
        <f>(1+E4352)*IF(AND(Painel_diario!$H4349="ED_JU",Painel_diario!$J4349=1),EXP(Painel_diario!$L4349),1)-1</f>
        <v/>
      </c>
    </row>
    <row r="4354">
      <c r="A4354" s="25" t="n">
        <v>45240</v>
      </c>
      <c r="B4354" s="22">
        <f>(1+B4353)*IF(AND(Painel_diario!$H4350="EU_JD",Painel_diario!$J4350=1),EXP(Painel_diario!$L4350),1)-1</f>
        <v/>
      </c>
      <c r="C4354" s="22">
        <f>(1+C4353)*IF(AND(Painel_diario!$H4350="EU_JU",Painel_diario!$J4350=1),EXP(Painel_diario!$L4350),1)-1</f>
        <v/>
      </c>
      <c r="D4354" s="22">
        <f>(1+D4353)*IF(AND(Painel_diario!$H4350="ED_JD",Painel_diario!$J4350=1),EXP(Painel_diario!$L4350),1)-1</f>
        <v/>
      </c>
      <c r="E4354" s="22">
        <f>(1+E4353)*IF(AND(Painel_diario!$H4350="ED_JU",Painel_diario!$J4350=1),EXP(Painel_diario!$L4350),1)-1</f>
        <v/>
      </c>
    </row>
    <row r="4355">
      <c r="A4355" s="25" t="n">
        <v>45243</v>
      </c>
      <c r="B4355" s="22">
        <f>(1+B4354)*IF(AND(Painel_diario!$H4351="EU_JD",Painel_diario!$J4351=1),EXP(Painel_diario!$L4351),1)-1</f>
        <v/>
      </c>
      <c r="C4355" s="22">
        <f>(1+C4354)*IF(AND(Painel_diario!$H4351="EU_JU",Painel_diario!$J4351=1),EXP(Painel_diario!$L4351),1)-1</f>
        <v/>
      </c>
      <c r="D4355" s="22">
        <f>(1+D4354)*IF(AND(Painel_diario!$H4351="ED_JD",Painel_diario!$J4351=1),EXP(Painel_diario!$L4351),1)-1</f>
        <v/>
      </c>
      <c r="E4355" s="22">
        <f>(1+E4354)*IF(AND(Painel_diario!$H4351="ED_JU",Painel_diario!$J4351=1),EXP(Painel_diario!$L4351),1)-1</f>
        <v/>
      </c>
    </row>
    <row r="4356">
      <c r="A4356" s="25" t="n">
        <v>45244</v>
      </c>
      <c r="B4356" s="22">
        <f>(1+B4355)*IF(AND(Painel_diario!$H4352="EU_JD",Painel_diario!$J4352=1),EXP(Painel_diario!$L4352),1)-1</f>
        <v/>
      </c>
      <c r="C4356" s="22">
        <f>(1+C4355)*IF(AND(Painel_diario!$H4352="EU_JU",Painel_diario!$J4352=1),EXP(Painel_diario!$L4352),1)-1</f>
        <v/>
      </c>
      <c r="D4356" s="22">
        <f>(1+D4355)*IF(AND(Painel_diario!$H4352="ED_JD",Painel_diario!$J4352=1),EXP(Painel_diario!$L4352),1)-1</f>
        <v/>
      </c>
      <c r="E4356" s="22">
        <f>(1+E4355)*IF(AND(Painel_diario!$H4352="ED_JU",Painel_diario!$J4352=1),EXP(Painel_diario!$L4352),1)-1</f>
        <v/>
      </c>
    </row>
    <row r="4357">
      <c r="A4357" s="25" t="n">
        <v>45246</v>
      </c>
      <c r="B4357" s="22">
        <f>(1+B4356)*IF(AND(Painel_diario!$H4353="EU_JD",Painel_diario!$J4353=1),EXP(Painel_diario!$L4353),1)-1</f>
        <v/>
      </c>
      <c r="C4357" s="22">
        <f>(1+C4356)*IF(AND(Painel_diario!$H4353="EU_JU",Painel_diario!$J4353=1),EXP(Painel_diario!$L4353),1)-1</f>
        <v/>
      </c>
      <c r="D4357" s="22">
        <f>(1+D4356)*IF(AND(Painel_diario!$H4353="ED_JD",Painel_diario!$J4353=1),EXP(Painel_diario!$L4353),1)-1</f>
        <v/>
      </c>
      <c r="E4357" s="22">
        <f>(1+E4356)*IF(AND(Painel_diario!$H4353="ED_JU",Painel_diario!$J4353=1),EXP(Painel_diario!$L4353),1)-1</f>
        <v/>
      </c>
    </row>
    <row r="4358">
      <c r="A4358" s="25" t="n">
        <v>45247</v>
      </c>
      <c r="B4358" s="22">
        <f>(1+B4357)*IF(AND(Painel_diario!$H4354="EU_JD",Painel_diario!$J4354=1),EXP(Painel_diario!$L4354),1)-1</f>
        <v/>
      </c>
      <c r="C4358" s="22">
        <f>(1+C4357)*IF(AND(Painel_diario!$H4354="EU_JU",Painel_diario!$J4354=1),EXP(Painel_diario!$L4354),1)-1</f>
        <v/>
      </c>
      <c r="D4358" s="22">
        <f>(1+D4357)*IF(AND(Painel_diario!$H4354="ED_JD",Painel_diario!$J4354=1),EXP(Painel_diario!$L4354),1)-1</f>
        <v/>
      </c>
      <c r="E4358" s="22">
        <f>(1+E4357)*IF(AND(Painel_diario!$H4354="ED_JU",Painel_diario!$J4354=1),EXP(Painel_diario!$L4354),1)-1</f>
        <v/>
      </c>
    </row>
    <row r="4359">
      <c r="A4359" s="25" t="n">
        <v>45250</v>
      </c>
      <c r="B4359" s="22">
        <f>(1+B4358)*IF(AND(Painel_diario!$H4355="EU_JD",Painel_diario!$J4355=1),EXP(Painel_diario!$L4355),1)-1</f>
        <v/>
      </c>
      <c r="C4359" s="22">
        <f>(1+C4358)*IF(AND(Painel_diario!$H4355="EU_JU",Painel_diario!$J4355=1),EXP(Painel_diario!$L4355),1)-1</f>
        <v/>
      </c>
      <c r="D4359" s="22">
        <f>(1+D4358)*IF(AND(Painel_diario!$H4355="ED_JD",Painel_diario!$J4355=1),EXP(Painel_diario!$L4355),1)-1</f>
        <v/>
      </c>
      <c r="E4359" s="22">
        <f>(1+E4358)*IF(AND(Painel_diario!$H4355="ED_JU",Painel_diario!$J4355=1),EXP(Painel_diario!$L4355),1)-1</f>
        <v/>
      </c>
    </row>
    <row r="4360">
      <c r="A4360" s="25" t="n">
        <v>45251</v>
      </c>
      <c r="B4360" s="22">
        <f>(1+B4359)*IF(AND(Painel_diario!$H4356="EU_JD",Painel_diario!$J4356=1),EXP(Painel_diario!$L4356),1)-1</f>
        <v/>
      </c>
      <c r="C4360" s="22">
        <f>(1+C4359)*IF(AND(Painel_diario!$H4356="EU_JU",Painel_diario!$J4356=1),EXP(Painel_diario!$L4356),1)-1</f>
        <v/>
      </c>
      <c r="D4360" s="22">
        <f>(1+D4359)*IF(AND(Painel_diario!$H4356="ED_JD",Painel_diario!$J4356=1),EXP(Painel_diario!$L4356),1)-1</f>
        <v/>
      </c>
      <c r="E4360" s="22">
        <f>(1+E4359)*IF(AND(Painel_diario!$H4356="ED_JU",Painel_diario!$J4356=1),EXP(Painel_diario!$L4356),1)-1</f>
        <v/>
      </c>
    </row>
    <row r="4361">
      <c r="A4361" s="25" t="n">
        <v>45252</v>
      </c>
      <c r="B4361" s="22">
        <f>(1+B4360)*IF(AND(Painel_diario!$H4357="EU_JD",Painel_diario!$J4357=1),EXP(Painel_diario!$L4357),1)-1</f>
        <v/>
      </c>
      <c r="C4361" s="22">
        <f>(1+C4360)*IF(AND(Painel_diario!$H4357="EU_JU",Painel_diario!$J4357=1),EXP(Painel_diario!$L4357),1)-1</f>
        <v/>
      </c>
      <c r="D4361" s="22">
        <f>(1+D4360)*IF(AND(Painel_diario!$H4357="ED_JD",Painel_diario!$J4357=1),EXP(Painel_diario!$L4357),1)-1</f>
        <v/>
      </c>
      <c r="E4361" s="22">
        <f>(1+E4360)*IF(AND(Painel_diario!$H4357="ED_JU",Painel_diario!$J4357=1),EXP(Painel_diario!$L4357),1)-1</f>
        <v/>
      </c>
    </row>
    <row r="4362">
      <c r="A4362" s="25" t="n">
        <v>45253</v>
      </c>
      <c r="B4362" s="22">
        <f>(1+B4361)*IF(AND(Painel_diario!$H4358="EU_JD",Painel_diario!$J4358=1),EXP(Painel_diario!$L4358),1)-1</f>
        <v/>
      </c>
      <c r="C4362" s="22">
        <f>(1+C4361)*IF(AND(Painel_diario!$H4358="EU_JU",Painel_diario!$J4358=1),EXP(Painel_diario!$L4358),1)-1</f>
        <v/>
      </c>
      <c r="D4362" s="22">
        <f>(1+D4361)*IF(AND(Painel_diario!$H4358="ED_JD",Painel_diario!$J4358=1),EXP(Painel_diario!$L4358),1)-1</f>
        <v/>
      </c>
      <c r="E4362" s="22">
        <f>(1+E4361)*IF(AND(Painel_diario!$H4358="ED_JU",Painel_diario!$J4358=1),EXP(Painel_diario!$L4358),1)-1</f>
        <v/>
      </c>
    </row>
    <row r="4363">
      <c r="A4363" s="25" t="n">
        <v>45254</v>
      </c>
      <c r="B4363" s="22">
        <f>(1+B4362)*IF(AND(Painel_diario!$H4359="EU_JD",Painel_diario!$J4359=1),EXP(Painel_diario!$L4359),1)-1</f>
        <v/>
      </c>
      <c r="C4363" s="22">
        <f>(1+C4362)*IF(AND(Painel_diario!$H4359="EU_JU",Painel_diario!$J4359=1),EXP(Painel_diario!$L4359),1)-1</f>
        <v/>
      </c>
      <c r="D4363" s="22">
        <f>(1+D4362)*IF(AND(Painel_diario!$H4359="ED_JD",Painel_diario!$J4359=1),EXP(Painel_diario!$L4359),1)-1</f>
        <v/>
      </c>
      <c r="E4363" s="22">
        <f>(1+E4362)*IF(AND(Painel_diario!$H4359="ED_JU",Painel_diario!$J4359=1),EXP(Painel_diario!$L4359),1)-1</f>
        <v/>
      </c>
    </row>
    <row r="4364">
      <c r="A4364" s="25" t="n">
        <v>45257</v>
      </c>
      <c r="B4364" s="22">
        <f>(1+B4363)*IF(AND(Painel_diario!$H4360="EU_JD",Painel_diario!$J4360=1),EXP(Painel_diario!$L4360),1)-1</f>
        <v/>
      </c>
      <c r="C4364" s="22">
        <f>(1+C4363)*IF(AND(Painel_diario!$H4360="EU_JU",Painel_diario!$J4360=1),EXP(Painel_diario!$L4360),1)-1</f>
        <v/>
      </c>
      <c r="D4364" s="22">
        <f>(1+D4363)*IF(AND(Painel_diario!$H4360="ED_JD",Painel_diario!$J4360=1),EXP(Painel_diario!$L4360),1)-1</f>
        <v/>
      </c>
      <c r="E4364" s="22">
        <f>(1+E4363)*IF(AND(Painel_diario!$H4360="ED_JU",Painel_diario!$J4360=1),EXP(Painel_diario!$L4360),1)-1</f>
        <v/>
      </c>
    </row>
    <row r="4365">
      <c r="A4365" s="25" t="n">
        <v>45258</v>
      </c>
      <c r="B4365" s="22">
        <f>(1+B4364)*IF(AND(Painel_diario!$H4361="EU_JD",Painel_diario!$J4361=1),EXP(Painel_diario!$L4361),1)-1</f>
        <v/>
      </c>
      <c r="C4365" s="22">
        <f>(1+C4364)*IF(AND(Painel_diario!$H4361="EU_JU",Painel_diario!$J4361=1),EXP(Painel_diario!$L4361),1)-1</f>
        <v/>
      </c>
      <c r="D4365" s="22">
        <f>(1+D4364)*IF(AND(Painel_diario!$H4361="ED_JD",Painel_diario!$J4361=1),EXP(Painel_diario!$L4361),1)-1</f>
        <v/>
      </c>
      <c r="E4365" s="22">
        <f>(1+E4364)*IF(AND(Painel_diario!$H4361="ED_JU",Painel_diario!$J4361=1),EXP(Painel_diario!$L4361),1)-1</f>
        <v/>
      </c>
    </row>
    <row r="4366">
      <c r="A4366" s="25" t="n">
        <v>45259</v>
      </c>
      <c r="B4366" s="22">
        <f>(1+B4365)*IF(AND(Painel_diario!$H4362="EU_JD",Painel_diario!$J4362=1),EXP(Painel_diario!$L4362),1)-1</f>
        <v/>
      </c>
      <c r="C4366" s="22">
        <f>(1+C4365)*IF(AND(Painel_diario!$H4362="EU_JU",Painel_diario!$J4362=1),EXP(Painel_diario!$L4362),1)-1</f>
        <v/>
      </c>
      <c r="D4366" s="22">
        <f>(1+D4365)*IF(AND(Painel_diario!$H4362="ED_JD",Painel_diario!$J4362=1),EXP(Painel_diario!$L4362),1)-1</f>
        <v/>
      </c>
      <c r="E4366" s="22">
        <f>(1+E4365)*IF(AND(Painel_diario!$H4362="ED_JU",Painel_diario!$J4362=1),EXP(Painel_diario!$L4362),1)-1</f>
        <v/>
      </c>
    </row>
    <row r="4367">
      <c r="A4367" s="25" t="n">
        <v>45260</v>
      </c>
      <c r="B4367" s="22">
        <f>(1+B4366)*IF(AND(Painel_diario!$H4363="EU_JD",Painel_diario!$J4363=1),EXP(Painel_diario!$L4363),1)-1</f>
        <v/>
      </c>
      <c r="C4367" s="22">
        <f>(1+C4366)*IF(AND(Painel_diario!$H4363="EU_JU",Painel_diario!$J4363=1),EXP(Painel_diario!$L4363),1)-1</f>
        <v/>
      </c>
      <c r="D4367" s="22">
        <f>(1+D4366)*IF(AND(Painel_diario!$H4363="ED_JD",Painel_diario!$J4363=1),EXP(Painel_diario!$L4363),1)-1</f>
        <v/>
      </c>
      <c r="E4367" s="22">
        <f>(1+E4366)*IF(AND(Painel_diario!$H4363="ED_JU",Painel_diario!$J4363=1),EXP(Painel_diario!$L4363),1)-1</f>
        <v/>
      </c>
    </row>
    <row r="4368">
      <c r="A4368" s="25" t="n">
        <v>45261</v>
      </c>
      <c r="B4368" s="22">
        <f>(1+B4367)*IF(AND(Painel_diario!$H4364="EU_JD",Painel_diario!$J4364=1),EXP(Painel_diario!$L4364),1)-1</f>
        <v/>
      </c>
      <c r="C4368" s="22">
        <f>(1+C4367)*IF(AND(Painel_diario!$H4364="EU_JU",Painel_diario!$J4364=1),EXP(Painel_diario!$L4364),1)-1</f>
        <v/>
      </c>
      <c r="D4368" s="22">
        <f>(1+D4367)*IF(AND(Painel_diario!$H4364="ED_JD",Painel_diario!$J4364=1),EXP(Painel_diario!$L4364),1)-1</f>
        <v/>
      </c>
      <c r="E4368" s="22">
        <f>(1+E4367)*IF(AND(Painel_diario!$H4364="ED_JU",Painel_diario!$J4364=1),EXP(Painel_diario!$L4364),1)-1</f>
        <v/>
      </c>
    </row>
    <row r="4369">
      <c r="A4369" s="25" t="n">
        <v>45264</v>
      </c>
      <c r="B4369" s="22">
        <f>(1+B4368)*IF(AND(Painel_diario!$H4365="EU_JD",Painel_diario!$J4365=1),EXP(Painel_diario!$L4365),1)-1</f>
        <v/>
      </c>
      <c r="C4369" s="22">
        <f>(1+C4368)*IF(AND(Painel_diario!$H4365="EU_JU",Painel_diario!$J4365=1),EXP(Painel_diario!$L4365),1)-1</f>
        <v/>
      </c>
      <c r="D4369" s="22">
        <f>(1+D4368)*IF(AND(Painel_diario!$H4365="ED_JD",Painel_diario!$J4365=1),EXP(Painel_diario!$L4365),1)-1</f>
        <v/>
      </c>
      <c r="E4369" s="22">
        <f>(1+E4368)*IF(AND(Painel_diario!$H4365="ED_JU",Painel_diario!$J4365=1),EXP(Painel_diario!$L4365),1)-1</f>
        <v/>
      </c>
    </row>
    <row r="4370">
      <c r="A4370" s="25" t="n">
        <v>45265</v>
      </c>
      <c r="B4370" s="22">
        <f>(1+B4369)*IF(AND(Painel_diario!$H4366="EU_JD",Painel_diario!$J4366=1),EXP(Painel_diario!$L4366),1)-1</f>
        <v/>
      </c>
      <c r="C4370" s="22">
        <f>(1+C4369)*IF(AND(Painel_diario!$H4366="EU_JU",Painel_diario!$J4366=1),EXP(Painel_diario!$L4366),1)-1</f>
        <v/>
      </c>
      <c r="D4370" s="22">
        <f>(1+D4369)*IF(AND(Painel_diario!$H4366="ED_JD",Painel_diario!$J4366=1),EXP(Painel_diario!$L4366),1)-1</f>
        <v/>
      </c>
      <c r="E4370" s="22">
        <f>(1+E4369)*IF(AND(Painel_diario!$H4366="ED_JU",Painel_diario!$J4366=1),EXP(Painel_diario!$L4366),1)-1</f>
        <v/>
      </c>
    </row>
    <row r="4371">
      <c r="A4371" s="25" t="n">
        <v>45266</v>
      </c>
      <c r="B4371" s="22">
        <f>(1+B4370)*IF(AND(Painel_diario!$H4367="EU_JD",Painel_diario!$J4367=1),EXP(Painel_diario!$L4367),1)-1</f>
        <v/>
      </c>
      <c r="C4371" s="22">
        <f>(1+C4370)*IF(AND(Painel_diario!$H4367="EU_JU",Painel_diario!$J4367=1),EXP(Painel_diario!$L4367),1)-1</f>
        <v/>
      </c>
      <c r="D4371" s="22">
        <f>(1+D4370)*IF(AND(Painel_diario!$H4367="ED_JD",Painel_diario!$J4367=1),EXP(Painel_diario!$L4367),1)-1</f>
        <v/>
      </c>
      <c r="E4371" s="22">
        <f>(1+E4370)*IF(AND(Painel_diario!$H4367="ED_JU",Painel_diario!$J4367=1),EXP(Painel_diario!$L4367),1)-1</f>
        <v/>
      </c>
    </row>
    <row r="4372">
      <c r="A4372" s="25" t="n">
        <v>45267</v>
      </c>
      <c r="B4372" s="22">
        <f>(1+B4371)*IF(AND(Painel_diario!$H4368="EU_JD",Painel_diario!$J4368=1),EXP(Painel_diario!$L4368),1)-1</f>
        <v/>
      </c>
      <c r="C4372" s="22">
        <f>(1+C4371)*IF(AND(Painel_diario!$H4368="EU_JU",Painel_diario!$J4368=1),EXP(Painel_diario!$L4368),1)-1</f>
        <v/>
      </c>
      <c r="D4372" s="22">
        <f>(1+D4371)*IF(AND(Painel_diario!$H4368="ED_JD",Painel_diario!$J4368=1),EXP(Painel_diario!$L4368),1)-1</f>
        <v/>
      </c>
      <c r="E4372" s="22">
        <f>(1+E4371)*IF(AND(Painel_diario!$H4368="ED_JU",Painel_diario!$J4368=1),EXP(Painel_diario!$L4368),1)-1</f>
        <v/>
      </c>
    </row>
    <row r="4373">
      <c r="A4373" s="25" t="n">
        <v>45268</v>
      </c>
      <c r="B4373" s="22">
        <f>(1+B4372)*IF(AND(Painel_diario!$H4369="EU_JD",Painel_diario!$J4369=1),EXP(Painel_diario!$L4369),1)-1</f>
        <v/>
      </c>
      <c r="C4373" s="22">
        <f>(1+C4372)*IF(AND(Painel_diario!$H4369="EU_JU",Painel_diario!$J4369=1),EXP(Painel_diario!$L4369),1)-1</f>
        <v/>
      </c>
      <c r="D4373" s="22">
        <f>(1+D4372)*IF(AND(Painel_diario!$H4369="ED_JD",Painel_diario!$J4369=1),EXP(Painel_diario!$L4369),1)-1</f>
        <v/>
      </c>
      <c r="E4373" s="22">
        <f>(1+E4372)*IF(AND(Painel_diario!$H4369="ED_JU",Painel_diario!$J4369=1),EXP(Painel_diario!$L4369),1)-1</f>
        <v/>
      </c>
    </row>
    <row r="4374">
      <c r="A4374" s="25" t="n">
        <v>45271</v>
      </c>
      <c r="B4374" s="22">
        <f>(1+B4373)*IF(AND(Painel_diario!$H4370="EU_JD",Painel_diario!$J4370=1),EXP(Painel_diario!$L4370),1)-1</f>
        <v/>
      </c>
      <c r="C4374" s="22">
        <f>(1+C4373)*IF(AND(Painel_diario!$H4370="EU_JU",Painel_diario!$J4370=1),EXP(Painel_diario!$L4370),1)-1</f>
        <v/>
      </c>
      <c r="D4374" s="22">
        <f>(1+D4373)*IF(AND(Painel_diario!$H4370="ED_JD",Painel_diario!$J4370=1),EXP(Painel_diario!$L4370),1)-1</f>
        <v/>
      </c>
      <c r="E4374" s="22">
        <f>(1+E4373)*IF(AND(Painel_diario!$H4370="ED_JU",Painel_diario!$J4370=1),EXP(Painel_diario!$L4370),1)-1</f>
        <v/>
      </c>
    </row>
    <row r="4375">
      <c r="A4375" s="25" t="n">
        <v>45272</v>
      </c>
      <c r="B4375" s="22">
        <f>(1+B4374)*IF(AND(Painel_diario!$H4371="EU_JD",Painel_diario!$J4371=1),EXP(Painel_diario!$L4371),1)-1</f>
        <v/>
      </c>
      <c r="C4375" s="22">
        <f>(1+C4374)*IF(AND(Painel_diario!$H4371="EU_JU",Painel_diario!$J4371=1),EXP(Painel_diario!$L4371),1)-1</f>
        <v/>
      </c>
      <c r="D4375" s="22">
        <f>(1+D4374)*IF(AND(Painel_diario!$H4371="ED_JD",Painel_diario!$J4371=1),EXP(Painel_diario!$L4371),1)-1</f>
        <v/>
      </c>
      <c r="E4375" s="22">
        <f>(1+E4374)*IF(AND(Painel_diario!$H4371="ED_JU",Painel_diario!$J4371=1),EXP(Painel_diario!$L4371),1)-1</f>
        <v/>
      </c>
    </row>
    <row r="4376">
      <c r="A4376" s="25" t="n">
        <v>45273</v>
      </c>
      <c r="B4376" s="22">
        <f>(1+B4375)*IF(AND(Painel_diario!$H4372="EU_JD",Painel_diario!$J4372=1),EXP(Painel_diario!$L4372),1)-1</f>
        <v/>
      </c>
      <c r="C4376" s="22">
        <f>(1+C4375)*IF(AND(Painel_diario!$H4372="EU_JU",Painel_diario!$J4372=1),EXP(Painel_diario!$L4372),1)-1</f>
        <v/>
      </c>
      <c r="D4376" s="22">
        <f>(1+D4375)*IF(AND(Painel_diario!$H4372="ED_JD",Painel_diario!$J4372=1),EXP(Painel_diario!$L4372),1)-1</f>
        <v/>
      </c>
      <c r="E4376" s="22">
        <f>(1+E4375)*IF(AND(Painel_diario!$H4372="ED_JU",Painel_diario!$J4372=1),EXP(Painel_diario!$L4372),1)-1</f>
        <v/>
      </c>
    </row>
    <row r="4377">
      <c r="A4377" s="25" t="n">
        <v>45274</v>
      </c>
      <c r="B4377" s="22">
        <f>(1+B4376)*IF(AND(Painel_diario!$H4373="EU_JD",Painel_diario!$J4373=1),EXP(Painel_diario!$L4373),1)-1</f>
        <v/>
      </c>
      <c r="C4377" s="22">
        <f>(1+C4376)*IF(AND(Painel_diario!$H4373="EU_JU",Painel_diario!$J4373=1),EXP(Painel_diario!$L4373),1)-1</f>
        <v/>
      </c>
      <c r="D4377" s="22">
        <f>(1+D4376)*IF(AND(Painel_diario!$H4373="ED_JD",Painel_diario!$J4373=1),EXP(Painel_diario!$L4373),1)-1</f>
        <v/>
      </c>
      <c r="E4377" s="22">
        <f>(1+E4376)*IF(AND(Painel_diario!$H4373="ED_JU",Painel_diario!$J4373=1),EXP(Painel_diario!$L4373),1)-1</f>
        <v/>
      </c>
    </row>
    <row r="4378">
      <c r="A4378" s="25" t="n">
        <v>45275</v>
      </c>
      <c r="B4378" s="22">
        <f>(1+B4377)*IF(AND(Painel_diario!$H4374="EU_JD",Painel_diario!$J4374=1),EXP(Painel_diario!$L4374),1)-1</f>
        <v/>
      </c>
      <c r="C4378" s="22">
        <f>(1+C4377)*IF(AND(Painel_diario!$H4374="EU_JU",Painel_diario!$J4374=1),EXP(Painel_diario!$L4374),1)-1</f>
        <v/>
      </c>
      <c r="D4378" s="22">
        <f>(1+D4377)*IF(AND(Painel_diario!$H4374="ED_JD",Painel_diario!$J4374=1),EXP(Painel_diario!$L4374),1)-1</f>
        <v/>
      </c>
      <c r="E4378" s="22">
        <f>(1+E4377)*IF(AND(Painel_diario!$H4374="ED_JU",Painel_diario!$J4374=1),EXP(Painel_diario!$L4374),1)-1</f>
        <v/>
      </c>
    </row>
    <row r="4379">
      <c r="A4379" s="25" t="n">
        <v>45278</v>
      </c>
      <c r="B4379" s="22">
        <f>(1+B4378)*IF(AND(Painel_diario!$H4375="EU_JD",Painel_diario!$J4375=1),EXP(Painel_diario!$L4375),1)-1</f>
        <v/>
      </c>
      <c r="C4379" s="22">
        <f>(1+C4378)*IF(AND(Painel_diario!$H4375="EU_JU",Painel_diario!$J4375=1),EXP(Painel_diario!$L4375),1)-1</f>
        <v/>
      </c>
      <c r="D4379" s="22">
        <f>(1+D4378)*IF(AND(Painel_diario!$H4375="ED_JD",Painel_diario!$J4375=1),EXP(Painel_diario!$L4375),1)-1</f>
        <v/>
      </c>
      <c r="E4379" s="22">
        <f>(1+E4378)*IF(AND(Painel_diario!$H4375="ED_JU",Painel_diario!$J4375=1),EXP(Painel_diario!$L4375),1)-1</f>
        <v/>
      </c>
    </row>
    <row r="4380">
      <c r="A4380" s="25" t="n">
        <v>45279</v>
      </c>
      <c r="B4380" s="22">
        <f>(1+B4379)*IF(AND(Painel_diario!$H4376="EU_JD",Painel_diario!$J4376=1),EXP(Painel_diario!$L4376),1)-1</f>
        <v/>
      </c>
      <c r="C4380" s="22">
        <f>(1+C4379)*IF(AND(Painel_diario!$H4376="EU_JU",Painel_diario!$J4376=1),EXP(Painel_diario!$L4376),1)-1</f>
        <v/>
      </c>
      <c r="D4380" s="22">
        <f>(1+D4379)*IF(AND(Painel_diario!$H4376="ED_JD",Painel_diario!$J4376=1),EXP(Painel_diario!$L4376),1)-1</f>
        <v/>
      </c>
      <c r="E4380" s="22">
        <f>(1+E4379)*IF(AND(Painel_diario!$H4376="ED_JU",Painel_diario!$J4376=1),EXP(Painel_diario!$L4376),1)-1</f>
        <v/>
      </c>
    </row>
    <row r="4381">
      <c r="A4381" s="25" t="n">
        <v>45280</v>
      </c>
      <c r="B4381" s="22">
        <f>(1+B4380)*IF(AND(Painel_diario!$H4377="EU_JD",Painel_diario!$J4377=1),EXP(Painel_diario!$L4377),1)-1</f>
        <v/>
      </c>
      <c r="C4381" s="22">
        <f>(1+C4380)*IF(AND(Painel_diario!$H4377="EU_JU",Painel_diario!$J4377=1),EXP(Painel_diario!$L4377),1)-1</f>
        <v/>
      </c>
      <c r="D4381" s="22">
        <f>(1+D4380)*IF(AND(Painel_diario!$H4377="ED_JD",Painel_diario!$J4377=1),EXP(Painel_diario!$L4377),1)-1</f>
        <v/>
      </c>
      <c r="E4381" s="22">
        <f>(1+E4380)*IF(AND(Painel_diario!$H4377="ED_JU",Painel_diario!$J4377=1),EXP(Painel_diario!$L4377),1)-1</f>
        <v/>
      </c>
    </row>
    <row r="4382">
      <c r="A4382" s="25" t="n">
        <v>45281</v>
      </c>
      <c r="B4382" s="22">
        <f>(1+B4381)*IF(AND(Painel_diario!$H4378="EU_JD",Painel_diario!$J4378=1),EXP(Painel_diario!$L4378),1)-1</f>
        <v/>
      </c>
      <c r="C4382" s="22">
        <f>(1+C4381)*IF(AND(Painel_diario!$H4378="EU_JU",Painel_diario!$J4378=1),EXP(Painel_diario!$L4378),1)-1</f>
        <v/>
      </c>
      <c r="D4382" s="22">
        <f>(1+D4381)*IF(AND(Painel_diario!$H4378="ED_JD",Painel_diario!$J4378=1),EXP(Painel_diario!$L4378),1)-1</f>
        <v/>
      </c>
      <c r="E4382" s="22">
        <f>(1+E4381)*IF(AND(Painel_diario!$H4378="ED_JU",Painel_diario!$J4378=1),EXP(Painel_diario!$L4378),1)-1</f>
        <v/>
      </c>
    </row>
    <row r="4383">
      <c r="A4383" s="25" t="n">
        <v>45282</v>
      </c>
      <c r="B4383" s="22">
        <f>(1+B4382)*IF(AND(Painel_diario!$H4379="EU_JD",Painel_diario!$J4379=1),EXP(Painel_diario!$L4379),1)-1</f>
        <v/>
      </c>
      <c r="C4383" s="22">
        <f>(1+C4382)*IF(AND(Painel_diario!$H4379="EU_JU",Painel_diario!$J4379=1),EXP(Painel_diario!$L4379),1)-1</f>
        <v/>
      </c>
      <c r="D4383" s="22">
        <f>(1+D4382)*IF(AND(Painel_diario!$H4379="ED_JD",Painel_diario!$J4379=1),EXP(Painel_diario!$L4379),1)-1</f>
        <v/>
      </c>
      <c r="E4383" s="22">
        <f>(1+E4382)*IF(AND(Painel_diario!$H4379="ED_JU",Painel_diario!$J4379=1),EXP(Painel_diario!$L4379),1)-1</f>
        <v/>
      </c>
    </row>
    <row r="4384">
      <c r="A4384" s="25" t="n">
        <v>45286</v>
      </c>
      <c r="B4384" s="22">
        <f>(1+B4383)*IF(AND(Painel_diario!$H4380="EU_JD",Painel_diario!$J4380=1),EXP(Painel_diario!$L4380),1)-1</f>
        <v/>
      </c>
      <c r="C4384" s="22">
        <f>(1+C4383)*IF(AND(Painel_diario!$H4380="EU_JU",Painel_diario!$J4380=1),EXP(Painel_diario!$L4380),1)-1</f>
        <v/>
      </c>
      <c r="D4384" s="22">
        <f>(1+D4383)*IF(AND(Painel_diario!$H4380="ED_JD",Painel_diario!$J4380=1),EXP(Painel_diario!$L4380),1)-1</f>
        <v/>
      </c>
      <c r="E4384" s="22">
        <f>(1+E4383)*IF(AND(Painel_diario!$H4380="ED_JU",Painel_diario!$J4380=1),EXP(Painel_diario!$L4380),1)-1</f>
        <v/>
      </c>
    </row>
    <row r="4385">
      <c r="A4385" s="25" t="n">
        <v>45287</v>
      </c>
      <c r="B4385" s="22">
        <f>(1+B4384)*IF(AND(Painel_diario!$H4381="EU_JD",Painel_diario!$J4381=1),EXP(Painel_diario!$L4381),1)-1</f>
        <v/>
      </c>
      <c r="C4385" s="22">
        <f>(1+C4384)*IF(AND(Painel_diario!$H4381="EU_JU",Painel_diario!$J4381=1),EXP(Painel_diario!$L4381),1)-1</f>
        <v/>
      </c>
      <c r="D4385" s="22">
        <f>(1+D4384)*IF(AND(Painel_diario!$H4381="ED_JD",Painel_diario!$J4381=1),EXP(Painel_diario!$L4381),1)-1</f>
        <v/>
      </c>
      <c r="E4385" s="22">
        <f>(1+E4384)*IF(AND(Painel_diario!$H4381="ED_JU",Painel_diario!$J4381=1),EXP(Painel_diario!$L4381),1)-1</f>
        <v/>
      </c>
    </row>
    <row r="4386">
      <c r="A4386" s="25" t="n">
        <v>45288</v>
      </c>
      <c r="B4386" s="22">
        <f>(1+B4385)*IF(AND(Painel_diario!$H4382="EU_JD",Painel_diario!$J4382=1),EXP(Painel_diario!$L4382),1)-1</f>
        <v/>
      </c>
      <c r="C4386" s="22">
        <f>(1+C4385)*IF(AND(Painel_diario!$H4382="EU_JU",Painel_diario!$J4382=1),EXP(Painel_diario!$L4382),1)-1</f>
        <v/>
      </c>
      <c r="D4386" s="22">
        <f>(1+D4385)*IF(AND(Painel_diario!$H4382="ED_JD",Painel_diario!$J4382=1),EXP(Painel_diario!$L4382),1)-1</f>
        <v/>
      </c>
      <c r="E4386" s="22">
        <f>(1+E4385)*IF(AND(Painel_diario!$H4382="ED_JU",Painel_diario!$J4382=1),EXP(Painel_diario!$L4382),1)-1</f>
        <v/>
      </c>
    </row>
    <row r="4387">
      <c r="A4387" s="25" t="n">
        <v>45293</v>
      </c>
      <c r="B4387" s="22">
        <f>(1+B4386)*IF(AND(Painel_diario!$H4383="EU_JD",Painel_diario!$J4383=1),EXP(Painel_diario!$L4383),1)-1</f>
        <v/>
      </c>
      <c r="C4387" s="22">
        <f>(1+C4386)*IF(AND(Painel_diario!$H4383="EU_JU",Painel_diario!$J4383=1),EXP(Painel_diario!$L4383),1)-1</f>
        <v/>
      </c>
      <c r="D4387" s="22">
        <f>(1+D4386)*IF(AND(Painel_diario!$H4383="ED_JD",Painel_diario!$J4383=1),EXP(Painel_diario!$L4383),1)-1</f>
        <v/>
      </c>
      <c r="E4387" s="22">
        <f>(1+E4386)*IF(AND(Painel_diario!$H4383="ED_JU",Painel_diario!$J4383=1),EXP(Painel_diario!$L4383),1)-1</f>
        <v/>
      </c>
    </row>
    <row r="4388">
      <c r="A4388" s="25" t="n">
        <v>45294</v>
      </c>
      <c r="B4388" s="22">
        <f>(1+B4387)*IF(AND(Painel_diario!$H4384="EU_JD",Painel_diario!$J4384=1),EXP(Painel_diario!$L4384),1)-1</f>
        <v/>
      </c>
      <c r="C4388" s="22">
        <f>(1+C4387)*IF(AND(Painel_diario!$H4384="EU_JU",Painel_diario!$J4384=1),EXP(Painel_diario!$L4384),1)-1</f>
        <v/>
      </c>
      <c r="D4388" s="22">
        <f>(1+D4387)*IF(AND(Painel_diario!$H4384="ED_JD",Painel_diario!$J4384=1),EXP(Painel_diario!$L4384),1)-1</f>
        <v/>
      </c>
      <c r="E4388" s="22">
        <f>(1+E4387)*IF(AND(Painel_diario!$H4384="ED_JU",Painel_diario!$J4384=1),EXP(Painel_diario!$L4384),1)-1</f>
        <v/>
      </c>
    </row>
    <row r="4389">
      <c r="A4389" s="25" t="n">
        <v>45295</v>
      </c>
      <c r="B4389" s="22">
        <f>(1+B4388)*IF(AND(Painel_diario!$H4385="EU_JD",Painel_diario!$J4385=1),EXP(Painel_diario!$L4385),1)-1</f>
        <v/>
      </c>
      <c r="C4389" s="22">
        <f>(1+C4388)*IF(AND(Painel_diario!$H4385="EU_JU",Painel_diario!$J4385=1),EXP(Painel_diario!$L4385),1)-1</f>
        <v/>
      </c>
      <c r="D4389" s="22">
        <f>(1+D4388)*IF(AND(Painel_diario!$H4385="ED_JD",Painel_diario!$J4385=1),EXP(Painel_diario!$L4385),1)-1</f>
        <v/>
      </c>
      <c r="E4389" s="22">
        <f>(1+E4388)*IF(AND(Painel_diario!$H4385="ED_JU",Painel_diario!$J4385=1),EXP(Painel_diario!$L4385),1)-1</f>
        <v/>
      </c>
    </row>
    <row r="4390">
      <c r="A4390" s="25" t="n">
        <v>45296</v>
      </c>
      <c r="B4390" s="22">
        <f>(1+B4389)*IF(AND(Painel_diario!$H4386="EU_JD",Painel_diario!$J4386=1),EXP(Painel_diario!$L4386),1)-1</f>
        <v/>
      </c>
      <c r="C4390" s="22">
        <f>(1+C4389)*IF(AND(Painel_diario!$H4386="EU_JU",Painel_diario!$J4386=1),EXP(Painel_diario!$L4386),1)-1</f>
        <v/>
      </c>
      <c r="D4390" s="22">
        <f>(1+D4389)*IF(AND(Painel_diario!$H4386="ED_JD",Painel_diario!$J4386=1),EXP(Painel_diario!$L4386),1)-1</f>
        <v/>
      </c>
      <c r="E4390" s="22">
        <f>(1+E4389)*IF(AND(Painel_diario!$H4386="ED_JU",Painel_diario!$J4386=1),EXP(Painel_diario!$L4386),1)-1</f>
        <v/>
      </c>
    </row>
    <row r="4391">
      <c r="A4391" s="25" t="n">
        <v>45299</v>
      </c>
      <c r="B4391" s="22">
        <f>(1+B4390)*IF(AND(Painel_diario!$H4387="EU_JD",Painel_diario!$J4387=1),EXP(Painel_diario!$L4387),1)-1</f>
        <v/>
      </c>
      <c r="C4391" s="22">
        <f>(1+C4390)*IF(AND(Painel_diario!$H4387="EU_JU",Painel_diario!$J4387=1),EXP(Painel_diario!$L4387),1)-1</f>
        <v/>
      </c>
      <c r="D4391" s="22">
        <f>(1+D4390)*IF(AND(Painel_diario!$H4387="ED_JD",Painel_diario!$J4387=1),EXP(Painel_diario!$L4387),1)-1</f>
        <v/>
      </c>
      <c r="E4391" s="22">
        <f>(1+E4390)*IF(AND(Painel_diario!$H4387="ED_JU",Painel_diario!$J4387=1),EXP(Painel_diario!$L4387),1)-1</f>
        <v/>
      </c>
    </row>
    <row r="4392">
      <c r="A4392" s="25" t="n">
        <v>45300</v>
      </c>
      <c r="B4392" s="22">
        <f>(1+B4391)*IF(AND(Painel_diario!$H4388="EU_JD",Painel_diario!$J4388=1),EXP(Painel_diario!$L4388),1)-1</f>
        <v/>
      </c>
      <c r="C4392" s="22">
        <f>(1+C4391)*IF(AND(Painel_diario!$H4388="EU_JU",Painel_diario!$J4388=1),EXP(Painel_diario!$L4388),1)-1</f>
        <v/>
      </c>
      <c r="D4392" s="22">
        <f>(1+D4391)*IF(AND(Painel_diario!$H4388="ED_JD",Painel_diario!$J4388=1),EXP(Painel_diario!$L4388),1)-1</f>
        <v/>
      </c>
      <c r="E4392" s="22">
        <f>(1+E4391)*IF(AND(Painel_diario!$H4388="ED_JU",Painel_diario!$J4388=1),EXP(Painel_diario!$L4388),1)-1</f>
        <v/>
      </c>
    </row>
    <row r="4393">
      <c r="A4393" s="25" t="n">
        <v>45301</v>
      </c>
      <c r="B4393" s="22">
        <f>(1+B4392)*IF(AND(Painel_diario!$H4389="EU_JD",Painel_diario!$J4389=1),EXP(Painel_diario!$L4389),1)-1</f>
        <v/>
      </c>
      <c r="C4393" s="22">
        <f>(1+C4392)*IF(AND(Painel_diario!$H4389="EU_JU",Painel_diario!$J4389=1),EXP(Painel_diario!$L4389),1)-1</f>
        <v/>
      </c>
      <c r="D4393" s="22">
        <f>(1+D4392)*IF(AND(Painel_diario!$H4389="ED_JD",Painel_diario!$J4389=1),EXP(Painel_diario!$L4389),1)-1</f>
        <v/>
      </c>
      <c r="E4393" s="22">
        <f>(1+E4392)*IF(AND(Painel_diario!$H4389="ED_JU",Painel_diario!$J4389=1),EXP(Painel_diario!$L4389),1)-1</f>
        <v/>
      </c>
    </row>
    <row r="4394">
      <c r="A4394" s="25" t="n">
        <v>45302</v>
      </c>
      <c r="B4394" s="22">
        <f>(1+B4393)*IF(AND(Painel_diario!$H4390="EU_JD",Painel_diario!$J4390=1),EXP(Painel_diario!$L4390),1)-1</f>
        <v/>
      </c>
      <c r="C4394" s="22">
        <f>(1+C4393)*IF(AND(Painel_diario!$H4390="EU_JU",Painel_diario!$J4390=1),EXP(Painel_diario!$L4390),1)-1</f>
        <v/>
      </c>
      <c r="D4394" s="22">
        <f>(1+D4393)*IF(AND(Painel_diario!$H4390="ED_JD",Painel_diario!$J4390=1),EXP(Painel_diario!$L4390),1)-1</f>
        <v/>
      </c>
      <c r="E4394" s="22">
        <f>(1+E4393)*IF(AND(Painel_diario!$H4390="ED_JU",Painel_diario!$J4390=1),EXP(Painel_diario!$L4390),1)-1</f>
        <v/>
      </c>
    </row>
    <row r="4395">
      <c r="A4395" s="25" t="n">
        <v>45303</v>
      </c>
      <c r="B4395" s="22">
        <f>(1+B4394)*IF(AND(Painel_diario!$H4391="EU_JD",Painel_diario!$J4391=1),EXP(Painel_diario!$L4391),1)-1</f>
        <v/>
      </c>
      <c r="C4395" s="22">
        <f>(1+C4394)*IF(AND(Painel_diario!$H4391="EU_JU",Painel_diario!$J4391=1),EXP(Painel_diario!$L4391),1)-1</f>
        <v/>
      </c>
      <c r="D4395" s="22">
        <f>(1+D4394)*IF(AND(Painel_diario!$H4391="ED_JD",Painel_diario!$J4391=1),EXP(Painel_diario!$L4391),1)-1</f>
        <v/>
      </c>
      <c r="E4395" s="22">
        <f>(1+E4394)*IF(AND(Painel_diario!$H4391="ED_JU",Painel_diario!$J4391=1),EXP(Painel_diario!$L4391),1)-1</f>
        <v/>
      </c>
    </row>
    <row r="4396">
      <c r="A4396" s="25" t="n">
        <v>45306</v>
      </c>
      <c r="B4396" s="22">
        <f>(1+B4395)*IF(AND(Painel_diario!$H4392="EU_JD",Painel_diario!$J4392=1),EXP(Painel_diario!$L4392),1)-1</f>
        <v/>
      </c>
      <c r="C4396" s="22">
        <f>(1+C4395)*IF(AND(Painel_diario!$H4392="EU_JU",Painel_diario!$J4392=1),EXP(Painel_diario!$L4392),1)-1</f>
        <v/>
      </c>
      <c r="D4396" s="22">
        <f>(1+D4395)*IF(AND(Painel_diario!$H4392="ED_JD",Painel_diario!$J4392=1),EXP(Painel_diario!$L4392),1)-1</f>
        <v/>
      </c>
      <c r="E4396" s="22">
        <f>(1+E4395)*IF(AND(Painel_diario!$H4392="ED_JU",Painel_diario!$J4392=1),EXP(Painel_diario!$L4392),1)-1</f>
        <v/>
      </c>
    </row>
    <row r="4397">
      <c r="A4397" s="25" t="n">
        <v>45307</v>
      </c>
      <c r="B4397" s="22">
        <f>(1+B4396)*IF(AND(Painel_diario!$H4393="EU_JD",Painel_diario!$J4393=1),EXP(Painel_diario!$L4393),1)-1</f>
        <v/>
      </c>
      <c r="C4397" s="22">
        <f>(1+C4396)*IF(AND(Painel_diario!$H4393="EU_JU",Painel_diario!$J4393=1),EXP(Painel_diario!$L4393),1)-1</f>
        <v/>
      </c>
      <c r="D4397" s="22">
        <f>(1+D4396)*IF(AND(Painel_diario!$H4393="ED_JD",Painel_diario!$J4393=1),EXP(Painel_diario!$L4393),1)-1</f>
        <v/>
      </c>
      <c r="E4397" s="22">
        <f>(1+E4396)*IF(AND(Painel_diario!$H4393="ED_JU",Painel_diario!$J4393=1),EXP(Painel_diario!$L4393),1)-1</f>
        <v/>
      </c>
    </row>
    <row r="4398">
      <c r="A4398" s="25" t="n">
        <v>45308</v>
      </c>
      <c r="B4398" s="22">
        <f>(1+B4397)*IF(AND(Painel_diario!$H4394="EU_JD",Painel_diario!$J4394=1),EXP(Painel_diario!$L4394),1)-1</f>
        <v/>
      </c>
      <c r="C4398" s="22">
        <f>(1+C4397)*IF(AND(Painel_diario!$H4394="EU_JU",Painel_diario!$J4394=1),EXP(Painel_diario!$L4394),1)-1</f>
        <v/>
      </c>
      <c r="D4398" s="22">
        <f>(1+D4397)*IF(AND(Painel_diario!$H4394="ED_JD",Painel_diario!$J4394=1),EXP(Painel_diario!$L4394),1)-1</f>
        <v/>
      </c>
      <c r="E4398" s="22">
        <f>(1+E4397)*IF(AND(Painel_diario!$H4394="ED_JU",Painel_diario!$J4394=1),EXP(Painel_diario!$L4394),1)-1</f>
        <v/>
      </c>
    </row>
    <row r="4399">
      <c r="A4399" s="25" t="n">
        <v>45309</v>
      </c>
      <c r="B4399" s="22">
        <f>(1+B4398)*IF(AND(Painel_diario!$H4395="EU_JD",Painel_diario!$J4395=1),EXP(Painel_diario!$L4395),1)-1</f>
        <v/>
      </c>
      <c r="C4399" s="22">
        <f>(1+C4398)*IF(AND(Painel_diario!$H4395="EU_JU",Painel_diario!$J4395=1),EXP(Painel_diario!$L4395),1)-1</f>
        <v/>
      </c>
      <c r="D4399" s="22">
        <f>(1+D4398)*IF(AND(Painel_diario!$H4395="ED_JD",Painel_diario!$J4395=1),EXP(Painel_diario!$L4395),1)-1</f>
        <v/>
      </c>
      <c r="E4399" s="22">
        <f>(1+E4398)*IF(AND(Painel_diario!$H4395="ED_JU",Painel_diario!$J4395=1),EXP(Painel_diario!$L4395),1)-1</f>
        <v/>
      </c>
    </row>
    <row r="4400">
      <c r="A4400" s="25" t="n">
        <v>45310</v>
      </c>
      <c r="B4400" s="22">
        <f>(1+B4399)*IF(AND(Painel_diario!$H4396="EU_JD",Painel_diario!$J4396=1),EXP(Painel_diario!$L4396),1)-1</f>
        <v/>
      </c>
      <c r="C4400" s="22">
        <f>(1+C4399)*IF(AND(Painel_diario!$H4396="EU_JU",Painel_diario!$J4396=1),EXP(Painel_diario!$L4396),1)-1</f>
        <v/>
      </c>
      <c r="D4400" s="22">
        <f>(1+D4399)*IF(AND(Painel_diario!$H4396="ED_JD",Painel_diario!$J4396=1),EXP(Painel_diario!$L4396),1)-1</f>
        <v/>
      </c>
      <c r="E4400" s="22">
        <f>(1+E4399)*IF(AND(Painel_diario!$H4396="ED_JU",Painel_diario!$J4396=1),EXP(Painel_diario!$L4396),1)-1</f>
        <v/>
      </c>
    </row>
    <row r="4401">
      <c r="A4401" s="25" t="n">
        <v>45313</v>
      </c>
      <c r="B4401" s="22">
        <f>(1+B4400)*IF(AND(Painel_diario!$H4397="EU_JD",Painel_diario!$J4397=1),EXP(Painel_diario!$L4397),1)-1</f>
        <v/>
      </c>
      <c r="C4401" s="22">
        <f>(1+C4400)*IF(AND(Painel_diario!$H4397="EU_JU",Painel_diario!$J4397=1),EXP(Painel_diario!$L4397),1)-1</f>
        <v/>
      </c>
      <c r="D4401" s="22">
        <f>(1+D4400)*IF(AND(Painel_diario!$H4397="ED_JD",Painel_diario!$J4397=1),EXP(Painel_diario!$L4397),1)-1</f>
        <v/>
      </c>
      <c r="E4401" s="22">
        <f>(1+E4400)*IF(AND(Painel_diario!$H4397="ED_JU",Painel_diario!$J4397=1),EXP(Painel_diario!$L4397),1)-1</f>
        <v/>
      </c>
    </row>
    <row r="4402">
      <c r="A4402" s="25" t="n">
        <v>45314</v>
      </c>
      <c r="B4402" s="22">
        <f>(1+B4401)*IF(AND(Painel_diario!$H4398="EU_JD",Painel_diario!$J4398=1),EXP(Painel_diario!$L4398),1)-1</f>
        <v/>
      </c>
      <c r="C4402" s="22">
        <f>(1+C4401)*IF(AND(Painel_diario!$H4398="EU_JU",Painel_diario!$J4398=1),EXP(Painel_diario!$L4398),1)-1</f>
        <v/>
      </c>
      <c r="D4402" s="22">
        <f>(1+D4401)*IF(AND(Painel_diario!$H4398="ED_JD",Painel_diario!$J4398=1),EXP(Painel_diario!$L4398),1)-1</f>
        <v/>
      </c>
      <c r="E4402" s="22">
        <f>(1+E4401)*IF(AND(Painel_diario!$H4398="ED_JU",Painel_diario!$J4398=1),EXP(Painel_diario!$L4398),1)-1</f>
        <v/>
      </c>
    </row>
    <row r="4403">
      <c r="A4403" s="25" t="n">
        <v>45315</v>
      </c>
      <c r="B4403" s="22">
        <f>(1+B4402)*IF(AND(Painel_diario!$H4399="EU_JD",Painel_diario!$J4399=1),EXP(Painel_diario!$L4399),1)-1</f>
        <v/>
      </c>
      <c r="C4403" s="22">
        <f>(1+C4402)*IF(AND(Painel_diario!$H4399="EU_JU",Painel_diario!$J4399=1),EXP(Painel_diario!$L4399),1)-1</f>
        <v/>
      </c>
      <c r="D4403" s="22">
        <f>(1+D4402)*IF(AND(Painel_diario!$H4399="ED_JD",Painel_diario!$J4399=1),EXP(Painel_diario!$L4399),1)-1</f>
        <v/>
      </c>
      <c r="E4403" s="22">
        <f>(1+E4402)*IF(AND(Painel_diario!$H4399="ED_JU",Painel_diario!$J4399=1),EXP(Painel_diario!$L4399),1)-1</f>
        <v/>
      </c>
    </row>
    <row r="4404">
      <c r="A4404" s="25" t="n">
        <v>45316</v>
      </c>
      <c r="B4404" s="22">
        <f>(1+B4403)*IF(AND(Painel_diario!$H4400="EU_JD",Painel_diario!$J4400=1),EXP(Painel_diario!$L4400),1)-1</f>
        <v/>
      </c>
      <c r="C4404" s="22">
        <f>(1+C4403)*IF(AND(Painel_diario!$H4400="EU_JU",Painel_diario!$J4400=1),EXP(Painel_diario!$L4400),1)-1</f>
        <v/>
      </c>
      <c r="D4404" s="22">
        <f>(1+D4403)*IF(AND(Painel_diario!$H4400="ED_JD",Painel_diario!$J4400=1),EXP(Painel_diario!$L4400),1)-1</f>
        <v/>
      </c>
      <c r="E4404" s="22">
        <f>(1+E4403)*IF(AND(Painel_diario!$H4400="ED_JU",Painel_diario!$J4400=1),EXP(Painel_diario!$L4400),1)-1</f>
        <v/>
      </c>
    </row>
    <row r="4405">
      <c r="A4405" s="25" t="n">
        <v>45317</v>
      </c>
      <c r="B4405" s="22">
        <f>(1+B4404)*IF(AND(Painel_diario!$H4401="EU_JD",Painel_diario!$J4401=1),EXP(Painel_diario!$L4401),1)-1</f>
        <v/>
      </c>
      <c r="C4405" s="22">
        <f>(1+C4404)*IF(AND(Painel_diario!$H4401="EU_JU",Painel_diario!$J4401=1),EXP(Painel_diario!$L4401),1)-1</f>
        <v/>
      </c>
      <c r="D4405" s="22">
        <f>(1+D4404)*IF(AND(Painel_diario!$H4401="ED_JD",Painel_diario!$J4401=1),EXP(Painel_diario!$L4401),1)-1</f>
        <v/>
      </c>
      <c r="E4405" s="22">
        <f>(1+E4404)*IF(AND(Painel_diario!$H4401="ED_JU",Painel_diario!$J4401=1),EXP(Painel_diario!$L4401),1)-1</f>
        <v/>
      </c>
    </row>
    <row r="4406">
      <c r="A4406" s="25" t="n">
        <v>45320</v>
      </c>
      <c r="B4406" s="22">
        <f>(1+B4405)*IF(AND(Painel_diario!$H4402="EU_JD",Painel_diario!$J4402=1),EXP(Painel_diario!$L4402),1)-1</f>
        <v/>
      </c>
      <c r="C4406" s="22">
        <f>(1+C4405)*IF(AND(Painel_diario!$H4402="EU_JU",Painel_diario!$J4402=1),EXP(Painel_diario!$L4402),1)-1</f>
        <v/>
      </c>
      <c r="D4406" s="22">
        <f>(1+D4405)*IF(AND(Painel_diario!$H4402="ED_JD",Painel_diario!$J4402=1),EXP(Painel_diario!$L4402),1)-1</f>
        <v/>
      </c>
      <c r="E4406" s="22">
        <f>(1+E4405)*IF(AND(Painel_diario!$H4402="ED_JU",Painel_diario!$J4402=1),EXP(Painel_diario!$L4402),1)-1</f>
        <v/>
      </c>
    </row>
    <row r="4407">
      <c r="A4407" s="25" t="n">
        <v>45321</v>
      </c>
      <c r="B4407" s="22">
        <f>(1+B4406)*IF(AND(Painel_diario!$H4403="EU_JD",Painel_diario!$J4403=1),EXP(Painel_diario!$L4403),1)-1</f>
        <v/>
      </c>
      <c r="C4407" s="22">
        <f>(1+C4406)*IF(AND(Painel_diario!$H4403="EU_JU",Painel_diario!$J4403=1),EXP(Painel_diario!$L4403),1)-1</f>
        <v/>
      </c>
      <c r="D4407" s="22">
        <f>(1+D4406)*IF(AND(Painel_diario!$H4403="ED_JD",Painel_diario!$J4403=1),EXP(Painel_diario!$L4403),1)-1</f>
        <v/>
      </c>
      <c r="E4407" s="22">
        <f>(1+E4406)*IF(AND(Painel_diario!$H4403="ED_JU",Painel_diario!$J4403=1),EXP(Painel_diario!$L4403),1)-1</f>
        <v/>
      </c>
    </row>
    <row r="4408">
      <c r="A4408" s="25" t="n">
        <v>45322</v>
      </c>
      <c r="B4408" s="22">
        <f>(1+B4407)*IF(AND(Painel_diario!$H4404="EU_JD",Painel_diario!$J4404=1),EXP(Painel_diario!$L4404),1)-1</f>
        <v/>
      </c>
      <c r="C4408" s="22">
        <f>(1+C4407)*IF(AND(Painel_diario!$H4404="EU_JU",Painel_diario!$J4404=1),EXP(Painel_diario!$L4404),1)-1</f>
        <v/>
      </c>
      <c r="D4408" s="22">
        <f>(1+D4407)*IF(AND(Painel_diario!$H4404="ED_JD",Painel_diario!$J4404=1),EXP(Painel_diario!$L4404),1)-1</f>
        <v/>
      </c>
      <c r="E4408" s="22">
        <f>(1+E4407)*IF(AND(Painel_diario!$H4404="ED_JU",Painel_diario!$J4404=1),EXP(Painel_diario!$L4404),1)-1</f>
        <v/>
      </c>
    </row>
    <row r="4409">
      <c r="A4409" s="25" t="n">
        <v>45323</v>
      </c>
      <c r="B4409" s="22">
        <f>(1+B4408)*IF(AND(Painel_diario!$H4405="EU_JD",Painel_diario!$J4405=1),EXP(Painel_diario!$L4405),1)-1</f>
        <v/>
      </c>
      <c r="C4409" s="22">
        <f>(1+C4408)*IF(AND(Painel_diario!$H4405="EU_JU",Painel_diario!$J4405=1),EXP(Painel_diario!$L4405),1)-1</f>
        <v/>
      </c>
      <c r="D4409" s="22">
        <f>(1+D4408)*IF(AND(Painel_diario!$H4405="ED_JD",Painel_diario!$J4405=1),EXP(Painel_diario!$L4405),1)-1</f>
        <v/>
      </c>
      <c r="E4409" s="22">
        <f>(1+E4408)*IF(AND(Painel_diario!$H4405="ED_JU",Painel_diario!$J4405=1),EXP(Painel_diario!$L4405),1)-1</f>
        <v/>
      </c>
    </row>
    <row r="4410">
      <c r="A4410" s="25" t="n">
        <v>45324</v>
      </c>
      <c r="B4410" s="22">
        <f>(1+B4409)*IF(AND(Painel_diario!$H4406="EU_JD",Painel_diario!$J4406=1),EXP(Painel_diario!$L4406),1)-1</f>
        <v/>
      </c>
      <c r="C4410" s="22">
        <f>(1+C4409)*IF(AND(Painel_diario!$H4406="EU_JU",Painel_diario!$J4406=1),EXP(Painel_diario!$L4406),1)-1</f>
        <v/>
      </c>
      <c r="D4410" s="22">
        <f>(1+D4409)*IF(AND(Painel_diario!$H4406="ED_JD",Painel_diario!$J4406=1),EXP(Painel_diario!$L4406),1)-1</f>
        <v/>
      </c>
      <c r="E4410" s="22">
        <f>(1+E4409)*IF(AND(Painel_diario!$H4406="ED_JU",Painel_diario!$J4406=1),EXP(Painel_diario!$L4406),1)-1</f>
        <v/>
      </c>
    </row>
    <row r="4411">
      <c r="A4411" s="25" t="n">
        <v>45327</v>
      </c>
      <c r="B4411" s="22">
        <f>(1+B4410)*IF(AND(Painel_diario!$H4407="EU_JD",Painel_diario!$J4407=1),EXP(Painel_diario!$L4407),1)-1</f>
        <v/>
      </c>
      <c r="C4411" s="22">
        <f>(1+C4410)*IF(AND(Painel_diario!$H4407="EU_JU",Painel_diario!$J4407=1),EXP(Painel_diario!$L4407),1)-1</f>
        <v/>
      </c>
      <c r="D4411" s="22">
        <f>(1+D4410)*IF(AND(Painel_diario!$H4407="ED_JD",Painel_diario!$J4407=1),EXP(Painel_diario!$L4407),1)-1</f>
        <v/>
      </c>
      <c r="E4411" s="22">
        <f>(1+E4410)*IF(AND(Painel_diario!$H4407="ED_JU",Painel_diario!$J4407=1),EXP(Painel_diario!$L4407),1)-1</f>
        <v/>
      </c>
    </row>
    <row r="4412">
      <c r="A4412" s="25" t="n">
        <v>45328</v>
      </c>
      <c r="B4412" s="22">
        <f>(1+B4411)*IF(AND(Painel_diario!$H4408="EU_JD",Painel_diario!$J4408=1),EXP(Painel_diario!$L4408),1)-1</f>
        <v/>
      </c>
      <c r="C4412" s="22">
        <f>(1+C4411)*IF(AND(Painel_diario!$H4408="EU_JU",Painel_diario!$J4408=1),EXP(Painel_diario!$L4408),1)-1</f>
        <v/>
      </c>
      <c r="D4412" s="22">
        <f>(1+D4411)*IF(AND(Painel_diario!$H4408="ED_JD",Painel_diario!$J4408=1),EXP(Painel_diario!$L4408),1)-1</f>
        <v/>
      </c>
      <c r="E4412" s="22">
        <f>(1+E4411)*IF(AND(Painel_diario!$H4408="ED_JU",Painel_diario!$J4408=1),EXP(Painel_diario!$L4408),1)-1</f>
        <v/>
      </c>
    </row>
    <row r="4413">
      <c r="A4413" s="25" t="n">
        <v>45329</v>
      </c>
      <c r="B4413" s="22">
        <f>(1+B4412)*IF(AND(Painel_diario!$H4409="EU_JD",Painel_diario!$J4409=1),EXP(Painel_diario!$L4409),1)-1</f>
        <v/>
      </c>
      <c r="C4413" s="22">
        <f>(1+C4412)*IF(AND(Painel_diario!$H4409="EU_JU",Painel_diario!$J4409=1),EXP(Painel_diario!$L4409),1)-1</f>
        <v/>
      </c>
      <c r="D4413" s="22">
        <f>(1+D4412)*IF(AND(Painel_diario!$H4409="ED_JD",Painel_diario!$J4409=1),EXP(Painel_diario!$L4409),1)-1</f>
        <v/>
      </c>
      <c r="E4413" s="22">
        <f>(1+E4412)*IF(AND(Painel_diario!$H4409="ED_JU",Painel_diario!$J4409=1),EXP(Painel_diario!$L4409),1)-1</f>
        <v/>
      </c>
    </row>
    <row r="4414">
      <c r="A4414" s="25" t="n">
        <v>45330</v>
      </c>
      <c r="B4414" s="22">
        <f>(1+B4413)*IF(AND(Painel_diario!$H4410="EU_JD",Painel_diario!$J4410=1),EXP(Painel_diario!$L4410),1)-1</f>
        <v/>
      </c>
      <c r="C4414" s="22">
        <f>(1+C4413)*IF(AND(Painel_diario!$H4410="EU_JU",Painel_diario!$J4410=1),EXP(Painel_diario!$L4410),1)-1</f>
        <v/>
      </c>
      <c r="D4414" s="22">
        <f>(1+D4413)*IF(AND(Painel_diario!$H4410="ED_JD",Painel_diario!$J4410=1),EXP(Painel_diario!$L4410),1)-1</f>
        <v/>
      </c>
      <c r="E4414" s="22">
        <f>(1+E4413)*IF(AND(Painel_diario!$H4410="ED_JU",Painel_diario!$J4410=1),EXP(Painel_diario!$L4410),1)-1</f>
        <v/>
      </c>
    </row>
    <row r="4415">
      <c r="A4415" s="25" t="n">
        <v>45331</v>
      </c>
      <c r="B4415" s="22">
        <f>(1+B4414)*IF(AND(Painel_diario!$H4411="EU_JD",Painel_diario!$J4411=1),EXP(Painel_diario!$L4411),1)-1</f>
        <v/>
      </c>
      <c r="C4415" s="22">
        <f>(1+C4414)*IF(AND(Painel_diario!$H4411="EU_JU",Painel_diario!$J4411=1),EXP(Painel_diario!$L4411),1)-1</f>
        <v/>
      </c>
      <c r="D4415" s="22">
        <f>(1+D4414)*IF(AND(Painel_diario!$H4411="ED_JD",Painel_diario!$J4411=1),EXP(Painel_diario!$L4411),1)-1</f>
        <v/>
      </c>
      <c r="E4415" s="22">
        <f>(1+E4414)*IF(AND(Painel_diario!$H4411="ED_JU",Painel_diario!$J4411=1),EXP(Painel_diario!$L4411),1)-1</f>
        <v/>
      </c>
    </row>
    <row r="4416">
      <c r="A4416" s="25" t="n">
        <v>45336</v>
      </c>
      <c r="B4416" s="22">
        <f>(1+B4415)*IF(AND(Painel_diario!$H4412="EU_JD",Painel_diario!$J4412=1),EXP(Painel_diario!$L4412),1)-1</f>
        <v/>
      </c>
      <c r="C4416" s="22">
        <f>(1+C4415)*IF(AND(Painel_diario!$H4412="EU_JU",Painel_diario!$J4412=1),EXP(Painel_diario!$L4412),1)-1</f>
        <v/>
      </c>
      <c r="D4416" s="22">
        <f>(1+D4415)*IF(AND(Painel_diario!$H4412="ED_JD",Painel_diario!$J4412=1),EXP(Painel_diario!$L4412),1)-1</f>
        <v/>
      </c>
      <c r="E4416" s="22">
        <f>(1+E4415)*IF(AND(Painel_diario!$H4412="ED_JU",Painel_diario!$J4412=1),EXP(Painel_diario!$L4412),1)-1</f>
        <v/>
      </c>
    </row>
    <row r="4417">
      <c r="A4417" s="25" t="n">
        <v>45337</v>
      </c>
      <c r="B4417" s="22">
        <f>(1+B4416)*IF(AND(Painel_diario!$H4413="EU_JD",Painel_diario!$J4413=1),EXP(Painel_diario!$L4413),1)-1</f>
        <v/>
      </c>
      <c r="C4417" s="22">
        <f>(1+C4416)*IF(AND(Painel_diario!$H4413="EU_JU",Painel_diario!$J4413=1),EXP(Painel_diario!$L4413),1)-1</f>
        <v/>
      </c>
      <c r="D4417" s="22">
        <f>(1+D4416)*IF(AND(Painel_diario!$H4413="ED_JD",Painel_diario!$J4413=1),EXP(Painel_diario!$L4413),1)-1</f>
        <v/>
      </c>
      <c r="E4417" s="22">
        <f>(1+E4416)*IF(AND(Painel_diario!$H4413="ED_JU",Painel_diario!$J4413=1),EXP(Painel_diario!$L4413),1)-1</f>
        <v/>
      </c>
    </row>
    <row r="4418">
      <c r="A4418" s="25" t="n">
        <v>45338</v>
      </c>
      <c r="B4418" s="22">
        <f>(1+B4417)*IF(AND(Painel_diario!$H4414="EU_JD",Painel_diario!$J4414=1),EXP(Painel_diario!$L4414),1)-1</f>
        <v/>
      </c>
      <c r="C4418" s="22">
        <f>(1+C4417)*IF(AND(Painel_diario!$H4414="EU_JU",Painel_diario!$J4414=1),EXP(Painel_diario!$L4414),1)-1</f>
        <v/>
      </c>
      <c r="D4418" s="22">
        <f>(1+D4417)*IF(AND(Painel_diario!$H4414="ED_JD",Painel_diario!$J4414=1),EXP(Painel_diario!$L4414),1)-1</f>
        <v/>
      </c>
      <c r="E4418" s="22">
        <f>(1+E4417)*IF(AND(Painel_diario!$H4414="ED_JU",Painel_diario!$J4414=1),EXP(Painel_diario!$L4414),1)-1</f>
        <v/>
      </c>
    </row>
    <row r="4419">
      <c r="A4419" s="25" t="n">
        <v>45341</v>
      </c>
      <c r="B4419" s="22">
        <f>(1+B4418)*IF(AND(Painel_diario!$H4415="EU_JD",Painel_diario!$J4415=1),EXP(Painel_diario!$L4415),1)-1</f>
        <v/>
      </c>
      <c r="C4419" s="22">
        <f>(1+C4418)*IF(AND(Painel_diario!$H4415="EU_JU",Painel_diario!$J4415=1),EXP(Painel_diario!$L4415),1)-1</f>
        <v/>
      </c>
      <c r="D4419" s="22">
        <f>(1+D4418)*IF(AND(Painel_diario!$H4415="ED_JD",Painel_diario!$J4415=1),EXP(Painel_diario!$L4415),1)-1</f>
        <v/>
      </c>
      <c r="E4419" s="22">
        <f>(1+E4418)*IF(AND(Painel_diario!$H4415="ED_JU",Painel_diario!$J4415=1),EXP(Painel_diario!$L4415),1)-1</f>
        <v/>
      </c>
    </row>
    <row r="4420">
      <c r="A4420" s="25" t="n">
        <v>45342</v>
      </c>
      <c r="B4420" s="22">
        <f>(1+B4419)*IF(AND(Painel_diario!$H4416="EU_JD",Painel_diario!$J4416=1),EXP(Painel_diario!$L4416),1)-1</f>
        <v/>
      </c>
      <c r="C4420" s="22">
        <f>(1+C4419)*IF(AND(Painel_diario!$H4416="EU_JU",Painel_diario!$J4416=1),EXP(Painel_diario!$L4416),1)-1</f>
        <v/>
      </c>
      <c r="D4420" s="22">
        <f>(1+D4419)*IF(AND(Painel_diario!$H4416="ED_JD",Painel_diario!$J4416=1),EXP(Painel_diario!$L4416),1)-1</f>
        <v/>
      </c>
      <c r="E4420" s="22">
        <f>(1+E4419)*IF(AND(Painel_diario!$H4416="ED_JU",Painel_diario!$J4416=1),EXP(Painel_diario!$L4416),1)-1</f>
        <v/>
      </c>
    </row>
    <row r="4421">
      <c r="A4421" s="25" t="n">
        <v>45343</v>
      </c>
      <c r="B4421" s="22">
        <f>(1+B4420)*IF(AND(Painel_diario!$H4417="EU_JD",Painel_diario!$J4417=1),EXP(Painel_diario!$L4417),1)-1</f>
        <v/>
      </c>
      <c r="C4421" s="22">
        <f>(1+C4420)*IF(AND(Painel_diario!$H4417="EU_JU",Painel_diario!$J4417=1),EXP(Painel_diario!$L4417),1)-1</f>
        <v/>
      </c>
      <c r="D4421" s="22">
        <f>(1+D4420)*IF(AND(Painel_diario!$H4417="ED_JD",Painel_diario!$J4417=1),EXP(Painel_diario!$L4417),1)-1</f>
        <v/>
      </c>
      <c r="E4421" s="22">
        <f>(1+E4420)*IF(AND(Painel_diario!$H4417="ED_JU",Painel_diario!$J4417=1),EXP(Painel_diario!$L4417),1)-1</f>
        <v/>
      </c>
    </row>
    <row r="4422">
      <c r="A4422" s="25" t="n">
        <v>45344</v>
      </c>
      <c r="B4422" s="22">
        <f>(1+B4421)*IF(AND(Painel_diario!$H4418="EU_JD",Painel_diario!$J4418=1),EXP(Painel_diario!$L4418),1)-1</f>
        <v/>
      </c>
      <c r="C4422" s="22">
        <f>(1+C4421)*IF(AND(Painel_diario!$H4418="EU_JU",Painel_diario!$J4418=1),EXP(Painel_diario!$L4418),1)-1</f>
        <v/>
      </c>
      <c r="D4422" s="22">
        <f>(1+D4421)*IF(AND(Painel_diario!$H4418="ED_JD",Painel_diario!$J4418=1),EXP(Painel_diario!$L4418),1)-1</f>
        <v/>
      </c>
      <c r="E4422" s="22">
        <f>(1+E4421)*IF(AND(Painel_diario!$H4418="ED_JU",Painel_diario!$J4418=1),EXP(Painel_diario!$L4418),1)-1</f>
        <v/>
      </c>
    </row>
    <row r="4423">
      <c r="A4423" s="25" t="n">
        <v>45345</v>
      </c>
      <c r="B4423" s="22">
        <f>(1+B4422)*IF(AND(Painel_diario!$H4419="EU_JD",Painel_diario!$J4419=1),EXP(Painel_diario!$L4419),1)-1</f>
        <v/>
      </c>
      <c r="C4423" s="22">
        <f>(1+C4422)*IF(AND(Painel_diario!$H4419="EU_JU",Painel_diario!$J4419=1),EXP(Painel_diario!$L4419),1)-1</f>
        <v/>
      </c>
      <c r="D4423" s="22">
        <f>(1+D4422)*IF(AND(Painel_diario!$H4419="ED_JD",Painel_diario!$J4419=1),EXP(Painel_diario!$L4419),1)-1</f>
        <v/>
      </c>
      <c r="E4423" s="22">
        <f>(1+E4422)*IF(AND(Painel_diario!$H4419="ED_JU",Painel_diario!$J4419=1),EXP(Painel_diario!$L4419),1)-1</f>
        <v/>
      </c>
    </row>
    <row r="4424">
      <c r="A4424" s="25" t="n">
        <v>45348</v>
      </c>
      <c r="B4424" s="22">
        <f>(1+B4423)*IF(AND(Painel_diario!$H4420="EU_JD",Painel_diario!$J4420=1),EXP(Painel_diario!$L4420),1)-1</f>
        <v/>
      </c>
      <c r="C4424" s="22">
        <f>(1+C4423)*IF(AND(Painel_diario!$H4420="EU_JU",Painel_diario!$J4420=1),EXP(Painel_diario!$L4420),1)-1</f>
        <v/>
      </c>
      <c r="D4424" s="22">
        <f>(1+D4423)*IF(AND(Painel_diario!$H4420="ED_JD",Painel_diario!$J4420=1),EXP(Painel_diario!$L4420),1)-1</f>
        <v/>
      </c>
      <c r="E4424" s="22">
        <f>(1+E4423)*IF(AND(Painel_diario!$H4420="ED_JU",Painel_diario!$J4420=1),EXP(Painel_diario!$L4420),1)-1</f>
        <v/>
      </c>
    </row>
    <row r="4425">
      <c r="A4425" s="25" t="n">
        <v>45349</v>
      </c>
      <c r="B4425" s="22">
        <f>(1+B4424)*IF(AND(Painel_diario!$H4421="EU_JD",Painel_diario!$J4421=1),EXP(Painel_diario!$L4421),1)-1</f>
        <v/>
      </c>
      <c r="C4425" s="22">
        <f>(1+C4424)*IF(AND(Painel_diario!$H4421="EU_JU",Painel_diario!$J4421=1),EXP(Painel_diario!$L4421),1)-1</f>
        <v/>
      </c>
      <c r="D4425" s="22">
        <f>(1+D4424)*IF(AND(Painel_diario!$H4421="ED_JD",Painel_diario!$J4421=1),EXP(Painel_diario!$L4421),1)-1</f>
        <v/>
      </c>
      <c r="E4425" s="22">
        <f>(1+E4424)*IF(AND(Painel_diario!$H4421="ED_JU",Painel_diario!$J4421=1),EXP(Painel_diario!$L4421),1)-1</f>
        <v/>
      </c>
    </row>
    <row r="4426">
      <c r="A4426" s="25" t="n">
        <v>45350</v>
      </c>
      <c r="B4426" s="22">
        <f>(1+B4425)*IF(AND(Painel_diario!$H4422="EU_JD",Painel_diario!$J4422=1),EXP(Painel_diario!$L4422),1)-1</f>
        <v/>
      </c>
      <c r="C4426" s="22">
        <f>(1+C4425)*IF(AND(Painel_diario!$H4422="EU_JU",Painel_diario!$J4422=1),EXP(Painel_diario!$L4422),1)-1</f>
        <v/>
      </c>
      <c r="D4426" s="22">
        <f>(1+D4425)*IF(AND(Painel_diario!$H4422="ED_JD",Painel_diario!$J4422=1),EXP(Painel_diario!$L4422),1)-1</f>
        <v/>
      </c>
      <c r="E4426" s="22">
        <f>(1+E4425)*IF(AND(Painel_diario!$H4422="ED_JU",Painel_diario!$J4422=1),EXP(Painel_diario!$L4422),1)-1</f>
        <v/>
      </c>
    </row>
    <row r="4427">
      <c r="A4427" s="25" t="n">
        <v>45351</v>
      </c>
      <c r="B4427" s="22">
        <f>(1+B4426)*IF(AND(Painel_diario!$H4423="EU_JD",Painel_diario!$J4423=1),EXP(Painel_diario!$L4423),1)-1</f>
        <v/>
      </c>
      <c r="C4427" s="22">
        <f>(1+C4426)*IF(AND(Painel_diario!$H4423="EU_JU",Painel_diario!$J4423=1),EXP(Painel_diario!$L4423),1)-1</f>
        <v/>
      </c>
      <c r="D4427" s="22">
        <f>(1+D4426)*IF(AND(Painel_diario!$H4423="ED_JD",Painel_diario!$J4423=1),EXP(Painel_diario!$L4423),1)-1</f>
        <v/>
      </c>
      <c r="E4427" s="22">
        <f>(1+E4426)*IF(AND(Painel_diario!$H4423="ED_JU",Painel_diario!$J4423=1),EXP(Painel_diario!$L4423),1)-1</f>
        <v/>
      </c>
    </row>
    <row r="4428">
      <c r="A4428" s="25" t="n">
        <v>45352</v>
      </c>
      <c r="B4428" s="22">
        <f>(1+B4427)*IF(AND(Painel_diario!$H4424="EU_JD",Painel_diario!$J4424=1),EXP(Painel_diario!$L4424),1)-1</f>
        <v/>
      </c>
      <c r="C4428" s="22">
        <f>(1+C4427)*IF(AND(Painel_diario!$H4424="EU_JU",Painel_diario!$J4424=1),EXP(Painel_diario!$L4424),1)-1</f>
        <v/>
      </c>
      <c r="D4428" s="22">
        <f>(1+D4427)*IF(AND(Painel_diario!$H4424="ED_JD",Painel_diario!$J4424=1),EXP(Painel_diario!$L4424),1)-1</f>
        <v/>
      </c>
      <c r="E4428" s="22">
        <f>(1+E4427)*IF(AND(Painel_diario!$H4424="ED_JU",Painel_diario!$J4424=1),EXP(Painel_diario!$L4424),1)-1</f>
        <v/>
      </c>
    </row>
    <row r="4429">
      <c r="A4429" s="25" t="n">
        <v>45355</v>
      </c>
      <c r="B4429" s="22">
        <f>(1+B4428)*IF(AND(Painel_diario!$H4425="EU_JD",Painel_diario!$J4425=1),EXP(Painel_diario!$L4425),1)-1</f>
        <v/>
      </c>
      <c r="C4429" s="22">
        <f>(1+C4428)*IF(AND(Painel_diario!$H4425="EU_JU",Painel_diario!$J4425=1),EXP(Painel_diario!$L4425),1)-1</f>
        <v/>
      </c>
      <c r="D4429" s="22">
        <f>(1+D4428)*IF(AND(Painel_diario!$H4425="ED_JD",Painel_diario!$J4425=1),EXP(Painel_diario!$L4425),1)-1</f>
        <v/>
      </c>
      <c r="E4429" s="22">
        <f>(1+E4428)*IF(AND(Painel_diario!$H4425="ED_JU",Painel_diario!$J4425=1),EXP(Painel_diario!$L4425),1)-1</f>
        <v/>
      </c>
    </row>
    <row r="4430">
      <c r="A4430" s="25" t="n">
        <v>45356</v>
      </c>
      <c r="B4430" s="22">
        <f>(1+B4429)*IF(AND(Painel_diario!$H4426="EU_JD",Painel_diario!$J4426=1),EXP(Painel_diario!$L4426),1)-1</f>
        <v/>
      </c>
      <c r="C4430" s="22">
        <f>(1+C4429)*IF(AND(Painel_diario!$H4426="EU_JU",Painel_diario!$J4426=1),EXP(Painel_diario!$L4426),1)-1</f>
        <v/>
      </c>
      <c r="D4430" s="22">
        <f>(1+D4429)*IF(AND(Painel_diario!$H4426="ED_JD",Painel_diario!$J4426=1),EXP(Painel_diario!$L4426),1)-1</f>
        <v/>
      </c>
      <c r="E4430" s="22">
        <f>(1+E4429)*IF(AND(Painel_diario!$H4426="ED_JU",Painel_diario!$J4426=1),EXP(Painel_diario!$L4426),1)-1</f>
        <v/>
      </c>
    </row>
    <row r="4431">
      <c r="A4431" s="25" t="n">
        <v>45357</v>
      </c>
      <c r="B4431" s="22">
        <f>(1+B4430)*IF(AND(Painel_diario!$H4427="EU_JD",Painel_diario!$J4427=1),EXP(Painel_diario!$L4427),1)-1</f>
        <v/>
      </c>
      <c r="C4431" s="22">
        <f>(1+C4430)*IF(AND(Painel_diario!$H4427="EU_JU",Painel_diario!$J4427=1),EXP(Painel_diario!$L4427),1)-1</f>
        <v/>
      </c>
      <c r="D4431" s="22">
        <f>(1+D4430)*IF(AND(Painel_diario!$H4427="ED_JD",Painel_diario!$J4427=1),EXP(Painel_diario!$L4427),1)-1</f>
        <v/>
      </c>
      <c r="E4431" s="22">
        <f>(1+E4430)*IF(AND(Painel_diario!$H4427="ED_JU",Painel_diario!$J4427=1),EXP(Painel_diario!$L4427),1)-1</f>
        <v/>
      </c>
    </row>
    <row r="4432">
      <c r="A4432" s="25" t="n">
        <v>45358</v>
      </c>
      <c r="B4432" s="22">
        <f>(1+B4431)*IF(AND(Painel_diario!$H4428="EU_JD",Painel_diario!$J4428=1),EXP(Painel_diario!$L4428),1)-1</f>
        <v/>
      </c>
      <c r="C4432" s="22">
        <f>(1+C4431)*IF(AND(Painel_diario!$H4428="EU_JU",Painel_diario!$J4428=1),EXP(Painel_diario!$L4428),1)-1</f>
        <v/>
      </c>
      <c r="D4432" s="22">
        <f>(1+D4431)*IF(AND(Painel_diario!$H4428="ED_JD",Painel_diario!$J4428=1),EXP(Painel_diario!$L4428),1)-1</f>
        <v/>
      </c>
      <c r="E4432" s="22">
        <f>(1+E4431)*IF(AND(Painel_diario!$H4428="ED_JU",Painel_diario!$J4428=1),EXP(Painel_diario!$L4428),1)-1</f>
        <v/>
      </c>
    </row>
    <row r="4433">
      <c r="A4433" s="25" t="n">
        <v>45359</v>
      </c>
      <c r="B4433" s="22">
        <f>(1+B4432)*IF(AND(Painel_diario!$H4429="EU_JD",Painel_diario!$J4429=1),EXP(Painel_diario!$L4429),1)-1</f>
        <v/>
      </c>
      <c r="C4433" s="22">
        <f>(1+C4432)*IF(AND(Painel_diario!$H4429="EU_JU",Painel_diario!$J4429=1),EXP(Painel_diario!$L4429),1)-1</f>
        <v/>
      </c>
      <c r="D4433" s="22">
        <f>(1+D4432)*IF(AND(Painel_diario!$H4429="ED_JD",Painel_diario!$J4429=1),EXP(Painel_diario!$L4429),1)-1</f>
        <v/>
      </c>
      <c r="E4433" s="22">
        <f>(1+E4432)*IF(AND(Painel_diario!$H4429="ED_JU",Painel_diario!$J4429=1),EXP(Painel_diario!$L4429),1)-1</f>
        <v/>
      </c>
    </row>
    <row r="4434">
      <c r="A4434" s="25" t="n">
        <v>45362</v>
      </c>
      <c r="B4434" s="22">
        <f>(1+B4433)*IF(AND(Painel_diario!$H4430="EU_JD",Painel_diario!$J4430=1),EXP(Painel_diario!$L4430),1)-1</f>
        <v/>
      </c>
      <c r="C4434" s="22">
        <f>(1+C4433)*IF(AND(Painel_diario!$H4430="EU_JU",Painel_diario!$J4430=1),EXP(Painel_diario!$L4430),1)-1</f>
        <v/>
      </c>
      <c r="D4434" s="22">
        <f>(1+D4433)*IF(AND(Painel_diario!$H4430="ED_JD",Painel_diario!$J4430=1),EXP(Painel_diario!$L4430),1)-1</f>
        <v/>
      </c>
      <c r="E4434" s="22">
        <f>(1+E4433)*IF(AND(Painel_diario!$H4430="ED_JU",Painel_diario!$J4430=1),EXP(Painel_diario!$L4430),1)-1</f>
        <v/>
      </c>
    </row>
    <row r="4435">
      <c r="A4435" s="25" t="n">
        <v>45363</v>
      </c>
      <c r="B4435" s="22">
        <f>(1+B4434)*IF(AND(Painel_diario!$H4431="EU_JD",Painel_diario!$J4431=1),EXP(Painel_diario!$L4431),1)-1</f>
        <v/>
      </c>
      <c r="C4435" s="22">
        <f>(1+C4434)*IF(AND(Painel_diario!$H4431="EU_JU",Painel_diario!$J4431=1),EXP(Painel_diario!$L4431),1)-1</f>
        <v/>
      </c>
      <c r="D4435" s="22">
        <f>(1+D4434)*IF(AND(Painel_diario!$H4431="ED_JD",Painel_diario!$J4431=1),EXP(Painel_diario!$L4431),1)-1</f>
        <v/>
      </c>
      <c r="E4435" s="22">
        <f>(1+E4434)*IF(AND(Painel_diario!$H4431="ED_JU",Painel_diario!$J4431=1),EXP(Painel_diario!$L4431),1)-1</f>
        <v/>
      </c>
    </row>
    <row r="4436">
      <c r="A4436" s="25" t="n">
        <v>45364</v>
      </c>
      <c r="B4436" s="22">
        <f>(1+B4435)*IF(AND(Painel_diario!$H4432="EU_JD",Painel_diario!$J4432=1),EXP(Painel_diario!$L4432),1)-1</f>
        <v/>
      </c>
      <c r="C4436" s="22">
        <f>(1+C4435)*IF(AND(Painel_diario!$H4432="EU_JU",Painel_diario!$J4432=1),EXP(Painel_diario!$L4432),1)-1</f>
        <v/>
      </c>
      <c r="D4436" s="22">
        <f>(1+D4435)*IF(AND(Painel_diario!$H4432="ED_JD",Painel_diario!$J4432=1),EXP(Painel_diario!$L4432),1)-1</f>
        <v/>
      </c>
      <c r="E4436" s="22">
        <f>(1+E4435)*IF(AND(Painel_diario!$H4432="ED_JU",Painel_diario!$J4432=1),EXP(Painel_diario!$L4432),1)-1</f>
        <v/>
      </c>
    </row>
    <row r="4437">
      <c r="A4437" s="25" t="n">
        <v>45365</v>
      </c>
      <c r="B4437" s="22">
        <f>(1+B4436)*IF(AND(Painel_diario!$H4433="EU_JD",Painel_diario!$J4433=1),EXP(Painel_diario!$L4433),1)-1</f>
        <v/>
      </c>
      <c r="C4437" s="22">
        <f>(1+C4436)*IF(AND(Painel_diario!$H4433="EU_JU",Painel_diario!$J4433=1),EXP(Painel_diario!$L4433),1)-1</f>
        <v/>
      </c>
      <c r="D4437" s="22">
        <f>(1+D4436)*IF(AND(Painel_diario!$H4433="ED_JD",Painel_diario!$J4433=1),EXP(Painel_diario!$L4433),1)-1</f>
        <v/>
      </c>
      <c r="E4437" s="22">
        <f>(1+E4436)*IF(AND(Painel_diario!$H4433="ED_JU",Painel_diario!$J4433=1),EXP(Painel_diario!$L4433),1)-1</f>
        <v/>
      </c>
    </row>
    <row r="4438">
      <c r="A4438" s="25" t="n">
        <v>45366</v>
      </c>
      <c r="B4438" s="22">
        <f>(1+B4437)*IF(AND(Painel_diario!$H4434="EU_JD",Painel_diario!$J4434=1),EXP(Painel_diario!$L4434),1)-1</f>
        <v/>
      </c>
      <c r="C4438" s="22">
        <f>(1+C4437)*IF(AND(Painel_diario!$H4434="EU_JU",Painel_diario!$J4434=1),EXP(Painel_diario!$L4434),1)-1</f>
        <v/>
      </c>
      <c r="D4438" s="22">
        <f>(1+D4437)*IF(AND(Painel_diario!$H4434="ED_JD",Painel_diario!$J4434=1),EXP(Painel_diario!$L4434),1)-1</f>
        <v/>
      </c>
      <c r="E4438" s="22">
        <f>(1+E4437)*IF(AND(Painel_diario!$H4434="ED_JU",Painel_diario!$J4434=1),EXP(Painel_diario!$L4434),1)-1</f>
        <v/>
      </c>
    </row>
    <row r="4439">
      <c r="A4439" s="25" t="n">
        <v>45369</v>
      </c>
      <c r="B4439" s="22">
        <f>(1+B4438)*IF(AND(Painel_diario!$H4435="EU_JD",Painel_diario!$J4435=1),EXP(Painel_diario!$L4435),1)-1</f>
        <v/>
      </c>
      <c r="C4439" s="22">
        <f>(1+C4438)*IF(AND(Painel_diario!$H4435="EU_JU",Painel_diario!$J4435=1),EXP(Painel_diario!$L4435),1)-1</f>
        <v/>
      </c>
      <c r="D4439" s="22">
        <f>(1+D4438)*IF(AND(Painel_diario!$H4435="ED_JD",Painel_diario!$J4435=1),EXP(Painel_diario!$L4435),1)-1</f>
        <v/>
      </c>
      <c r="E4439" s="22">
        <f>(1+E4438)*IF(AND(Painel_diario!$H4435="ED_JU",Painel_diario!$J4435=1),EXP(Painel_diario!$L4435),1)-1</f>
        <v/>
      </c>
    </row>
    <row r="4440">
      <c r="A4440" s="25" t="n">
        <v>45370</v>
      </c>
      <c r="B4440" s="22">
        <f>(1+B4439)*IF(AND(Painel_diario!$H4436="EU_JD",Painel_diario!$J4436=1),EXP(Painel_diario!$L4436),1)-1</f>
        <v/>
      </c>
      <c r="C4440" s="22">
        <f>(1+C4439)*IF(AND(Painel_diario!$H4436="EU_JU",Painel_diario!$J4436=1),EXP(Painel_diario!$L4436),1)-1</f>
        <v/>
      </c>
      <c r="D4440" s="22">
        <f>(1+D4439)*IF(AND(Painel_diario!$H4436="ED_JD",Painel_diario!$J4436=1),EXP(Painel_diario!$L4436),1)-1</f>
        <v/>
      </c>
      <c r="E4440" s="22">
        <f>(1+E4439)*IF(AND(Painel_diario!$H4436="ED_JU",Painel_diario!$J4436=1),EXP(Painel_diario!$L4436),1)-1</f>
        <v/>
      </c>
    </row>
    <row r="4441">
      <c r="A4441" s="25" t="n">
        <v>45371</v>
      </c>
      <c r="B4441" s="22">
        <f>(1+B4440)*IF(AND(Painel_diario!$H4437="EU_JD",Painel_diario!$J4437=1),EXP(Painel_diario!$L4437),1)-1</f>
        <v/>
      </c>
      <c r="C4441" s="22">
        <f>(1+C4440)*IF(AND(Painel_diario!$H4437="EU_JU",Painel_diario!$J4437=1),EXP(Painel_diario!$L4437),1)-1</f>
        <v/>
      </c>
      <c r="D4441" s="22">
        <f>(1+D4440)*IF(AND(Painel_diario!$H4437="ED_JD",Painel_diario!$J4437=1),EXP(Painel_diario!$L4437),1)-1</f>
        <v/>
      </c>
      <c r="E4441" s="22">
        <f>(1+E4440)*IF(AND(Painel_diario!$H4437="ED_JU",Painel_diario!$J4437=1),EXP(Painel_diario!$L4437),1)-1</f>
        <v/>
      </c>
    </row>
    <row r="4442">
      <c r="A4442" s="25" t="n">
        <v>45372</v>
      </c>
      <c r="B4442" s="22">
        <f>(1+B4441)*IF(AND(Painel_diario!$H4438="EU_JD",Painel_diario!$J4438=1),EXP(Painel_diario!$L4438),1)-1</f>
        <v/>
      </c>
      <c r="C4442" s="22">
        <f>(1+C4441)*IF(AND(Painel_diario!$H4438="EU_JU",Painel_diario!$J4438=1),EXP(Painel_diario!$L4438),1)-1</f>
        <v/>
      </c>
      <c r="D4442" s="22">
        <f>(1+D4441)*IF(AND(Painel_diario!$H4438="ED_JD",Painel_diario!$J4438=1),EXP(Painel_diario!$L4438),1)-1</f>
        <v/>
      </c>
      <c r="E4442" s="22">
        <f>(1+E4441)*IF(AND(Painel_diario!$H4438="ED_JU",Painel_diario!$J4438=1),EXP(Painel_diario!$L4438),1)-1</f>
        <v/>
      </c>
    </row>
    <row r="4443">
      <c r="A4443" s="25" t="n">
        <v>45373</v>
      </c>
      <c r="B4443" s="22">
        <f>(1+B4442)*IF(AND(Painel_diario!$H4439="EU_JD",Painel_diario!$J4439=1),EXP(Painel_diario!$L4439),1)-1</f>
        <v/>
      </c>
      <c r="C4443" s="22">
        <f>(1+C4442)*IF(AND(Painel_diario!$H4439="EU_JU",Painel_diario!$J4439=1),EXP(Painel_diario!$L4439),1)-1</f>
        <v/>
      </c>
      <c r="D4443" s="22">
        <f>(1+D4442)*IF(AND(Painel_diario!$H4439="ED_JD",Painel_diario!$J4439=1),EXP(Painel_diario!$L4439),1)-1</f>
        <v/>
      </c>
      <c r="E4443" s="22">
        <f>(1+E4442)*IF(AND(Painel_diario!$H4439="ED_JU",Painel_diario!$J4439=1),EXP(Painel_diario!$L4439),1)-1</f>
        <v/>
      </c>
    </row>
    <row r="4444">
      <c r="A4444" s="25" t="n">
        <v>45376</v>
      </c>
      <c r="B4444" s="22">
        <f>(1+B4443)*IF(AND(Painel_diario!$H4440="EU_JD",Painel_diario!$J4440=1),EXP(Painel_diario!$L4440),1)-1</f>
        <v/>
      </c>
      <c r="C4444" s="22">
        <f>(1+C4443)*IF(AND(Painel_diario!$H4440="EU_JU",Painel_diario!$J4440=1),EXP(Painel_diario!$L4440),1)-1</f>
        <v/>
      </c>
      <c r="D4444" s="22">
        <f>(1+D4443)*IF(AND(Painel_diario!$H4440="ED_JD",Painel_diario!$J4440=1),EXP(Painel_diario!$L4440),1)-1</f>
        <v/>
      </c>
      <c r="E4444" s="22">
        <f>(1+E4443)*IF(AND(Painel_diario!$H4440="ED_JU",Painel_diario!$J4440=1),EXP(Painel_diario!$L4440),1)-1</f>
        <v/>
      </c>
    </row>
    <row r="4445">
      <c r="A4445" s="25" t="n">
        <v>45377</v>
      </c>
      <c r="B4445" s="22">
        <f>(1+B4444)*IF(AND(Painel_diario!$H4441="EU_JD",Painel_diario!$J4441=1),EXP(Painel_diario!$L4441),1)-1</f>
        <v/>
      </c>
      <c r="C4445" s="22">
        <f>(1+C4444)*IF(AND(Painel_diario!$H4441="EU_JU",Painel_diario!$J4441=1),EXP(Painel_diario!$L4441),1)-1</f>
        <v/>
      </c>
      <c r="D4445" s="22">
        <f>(1+D4444)*IF(AND(Painel_diario!$H4441="ED_JD",Painel_diario!$J4441=1),EXP(Painel_diario!$L4441),1)-1</f>
        <v/>
      </c>
      <c r="E4445" s="22">
        <f>(1+E4444)*IF(AND(Painel_diario!$H4441="ED_JU",Painel_diario!$J4441=1),EXP(Painel_diario!$L4441),1)-1</f>
        <v/>
      </c>
    </row>
    <row r="4446">
      <c r="A4446" s="25" t="n">
        <v>45378</v>
      </c>
      <c r="B4446" s="22">
        <f>(1+B4445)*IF(AND(Painel_diario!$H4442="EU_JD",Painel_diario!$J4442=1),EXP(Painel_diario!$L4442),1)-1</f>
        <v/>
      </c>
      <c r="C4446" s="22">
        <f>(1+C4445)*IF(AND(Painel_diario!$H4442="EU_JU",Painel_diario!$J4442=1),EXP(Painel_diario!$L4442),1)-1</f>
        <v/>
      </c>
      <c r="D4446" s="22">
        <f>(1+D4445)*IF(AND(Painel_diario!$H4442="ED_JD",Painel_diario!$J4442=1),EXP(Painel_diario!$L4442),1)-1</f>
        <v/>
      </c>
      <c r="E4446" s="22">
        <f>(1+E4445)*IF(AND(Painel_diario!$H4442="ED_JU",Painel_diario!$J4442=1),EXP(Painel_diario!$L4442),1)-1</f>
        <v/>
      </c>
    </row>
    <row r="4447">
      <c r="A4447" s="25" t="n">
        <v>45379</v>
      </c>
      <c r="B4447" s="22">
        <f>(1+B4446)*IF(AND(Painel_diario!$H4443="EU_JD",Painel_diario!$J4443=1),EXP(Painel_diario!$L4443),1)-1</f>
        <v/>
      </c>
      <c r="C4447" s="22">
        <f>(1+C4446)*IF(AND(Painel_diario!$H4443="EU_JU",Painel_diario!$J4443=1),EXP(Painel_diario!$L4443),1)-1</f>
        <v/>
      </c>
      <c r="D4447" s="22">
        <f>(1+D4446)*IF(AND(Painel_diario!$H4443="ED_JD",Painel_diario!$J4443=1),EXP(Painel_diario!$L4443),1)-1</f>
        <v/>
      </c>
      <c r="E4447" s="22">
        <f>(1+E4446)*IF(AND(Painel_diario!$H4443="ED_JU",Painel_diario!$J4443=1),EXP(Painel_diario!$L4443),1)-1</f>
        <v/>
      </c>
    </row>
    <row r="4448">
      <c r="A4448" s="25" t="n">
        <v>45383</v>
      </c>
      <c r="B4448" s="22">
        <f>(1+B4447)*IF(AND(Painel_diario!$H4444="EU_JD",Painel_diario!$J4444=1),EXP(Painel_diario!$L4444),1)-1</f>
        <v/>
      </c>
      <c r="C4448" s="22">
        <f>(1+C4447)*IF(AND(Painel_diario!$H4444="EU_JU",Painel_diario!$J4444=1),EXP(Painel_diario!$L4444),1)-1</f>
        <v/>
      </c>
      <c r="D4448" s="22">
        <f>(1+D4447)*IF(AND(Painel_diario!$H4444="ED_JD",Painel_diario!$J4444=1),EXP(Painel_diario!$L4444),1)-1</f>
        <v/>
      </c>
      <c r="E4448" s="22">
        <f>(1+E4447)*IF(AND(Painel_diario!$H4444="ED_JU",Painel_diario!$J4444=1),EXP(Painel_diario!$L4444),1)-1</f>
        <v/>
      </c>
    </row>
    <row r="4449">
      <c r="A4449" s="25" t="n">
        <v>45384</v>
      </c>
      <c r="B4449" s="22">
        <f>(1+B4448)*IF(AND(Painel_diario!$H4445="EU_JD",Painel_diario!$J4445=1),EXP(Painel_diario!$L4445),1)-1</f>
        <v/>
      </c>
      <c r="C4449" s="22">
        <f>(1+C4448)*IF(AND(Painel_diario!$H4445="EU_JU",Painel_diario!$J4445=1),EXP(Painel_diario!$L4445),1)-1</f>
        <v/>
      </c>
      <c r="D4449" s="22">
        <f>(1+D4448)*IF(AND(Painel_diario!$H4445="ED_JD",Painel_diario!$J4445=1),EXP(Painel_diario!$L4445),1)-1</f>
        <v/>
      </c>
      <c r="E4449" s="22">
        <f>(1+E4448)*IF(AND(Painel_diario!$H4445="ED_JU",Painel_diario!$J4445=1),EXP(Painel_diario!$L4445),1)-1</f>
        <v/>
      </c>
    </row>
    <row r="4450">
      <c r="A4450" s="25" t="n">
        <v>45385</v>
      </c>
      <c r="B4450" s="22">
        <f>(1+B4449)*IF(AND(Painel_diario!$H4446="EU_JD",Painel_diario!$J4446=1),EXP(Painel_diario!$L4446),1)-1</f>
        <v/>
      </c>
      <c r="C4450" s="22">
        <f>(1+C4449)*IF(AND(Painel_diario!$H4446="EU_JU",Painel_diario!$J4446=1),EXP(Painel_diario!$L4446),1)-1</f>
        <v/>
      </c>
      <c r="D4450" s="22">
        <f>(1+D4449)*IF(AND(Painel_diario!$H4446="ED_JD",Painel_diario!$J4446=1),EXP(Painel_diario!$L4446),1)-1</f>
        <v/>
      </c>
      <c r="E4450" s="22">
        <f>(1+E4449)*IF(AND(Painel_diario!$H4446="ED_JU",Painel_diario!$J4446=1),EXP(Painel_diario!$L4446),1)-1</f>
        <v/>
      </c>
    </row>
    <row r="4451">
      <c r="A4451" s="25" t="n">
        <v>45386</v>
      </c>
      <c r="B4451" s="22">
        <f>(1+B4450)*IF(AND(Painel_diario!$H4447="EU_JD",Painel_diario!$J4447=1),EXP(Painel_diario!$L4447),1)-1</f>
        <v/>
      </c>
      <c r="C4451" s="22">
        <f>(1+C4450)*IF(AND(Painel_diario!$H4447="EU_JU",Painel_diario!$J4447=1),EXP(Painel_diario!$L4447),1)-1</f>
        <v/>
      </c>
      <c r="D4451" s="22">
        <f>(1+D4450)*IF(AND(Painel_diario!$H4447="ED_JD",Painel_diario!$J4447=1),EXP(Painel_diario!$L4447),1)-1</f>
        <v/>
      </c>
      <c r="E4451" s="22">
        <f>(1+E4450)*IF(AND(Painel_diario!$H4447="ED_JU",Painel_diario!$J4447=1),EXP(Painel_diario!$L4447),1)-1</f>
        <v/>
      </c>
    </row>
    <row r="4452">
      <c r="A4452" s="25" t="n">
        <v>45387</v>
      </c>
      <c r="B4452" s="22">
        <f>(1+B4451)*IF(AND(Painel_diario!$H4448="EU_JD",Painel_diario!$J4448=1),EXP(Painel_diario!$L4448),1)-1</f>
        <v/>
      </c>
      <c r="C4452" s="22">
        <f>(1+C4451)*IF(AND(Painel_diario!$H4448="EU_JU",Painel_diario!$J4448=1),EXP(Painel_diario!$L4448),1)-1</f>
        <v/>
      </c>
      <c r="D4452" s="22">
        <f>(1+D4451)*IF(AND(Painel_diario!$H4448="ED_JD",Painel_diario!$J4448=1),EXP(Painel_diario!$L4448),1)-1</f>
        <v/>
      </c>
      <c r="E4452" s="22">
        <f>(1+E4451)*IF(AND(Painel_diario!$H4448="ED_JU",Painel_diario!$J4448=1),EXP(Painel_diario!$L4448),1)-1</f>
        <v/>
      </c>
    </row>
    <row r="4453">
      <c r="A4453" s="25" t="n">
        <v>45390</v>
      </c>
      <c r="B4453" s="22">
        <f>(1+B4452)*IF(AND(Painel_diario!$H4449="EU_JD",Painel_diario!$J4449=1),EXP(Painel_diario!$L4449),1)-1</f>
        <v/>
      </c>
      <c r="C4453" s="22">
        <f>(1+C4452)*IF(AND(Painel_diario!$H4449="EU_JU",Painel_diario!$J4449=1),EXP(Painel_diario!$L4449),1)-1</f>
        <v/>
      </c>
      <c r="D4453" s="22">
        <f>(1+D4452)*IF(AND(Painel_diario!$H4449="ED_JD",Painel_diario!$J4449=1),EXP(Painel_diario!$L4449),1)-1</f>
        <v/>
      </c>
      <c r="E4453" s="22">
        <f>(1+E4452)*IF(AND(Painel_diario!$H4449="ED_JU",Painel_diario!$J4449=1),EXP(Painel_diario!$L4449),1)-1</f>
        <v/>
      </c>
    </row>
    <row r="4454">
      <c r="A4454" s="25" t="n">
        <v>45391</v>
      </c>
      <c r="B4454" s="22">
        <f>(1+B4453)*IF(AND(Painel_diario!$H4450="EU_JD",Painel_diario!$J4450=1),EXP(Painel_diario!$L4450),1)-1</f>
        <v/>
      </c>
      <c r="C4454" s="22">
        <f>(1+C4453)*IF(AND(Painel_diario!$H4450="EU_JU",Painel_diario!$J4450=1),EXP(Painel_diario!$L4450),1)-1</f>
        <v/>
      </c>
      <c r="D4454" s="22">
        <f>(1+D4453)*IF(AND(Painel_diario!$H4450="ED_JD",Painel_diario!$J4450=1),EXP(Painel_diario!$L4450),1)-1</f>
        <v/>
      </c>
      <c r="E4454" s="22">
        <f>(1+E4453)*IF(AND(Painel_diario!$H4450="ED_JU",Painel_diario!$J4450=1),EXP(Painel_diario!$L4450),1)-1</f>
        <v/>
      </c>
    </row>
    <row r="4455">
      <c r="A4455" s="25" t="n">
        <v>45392</v>
      </c>
      <c r="B4455" s="22">
        <f>(1+B4454)*IF(AND(Painel_diario!$H4451="EU_JD",Painel_diario!$J4451=1),EXP(Painel_diario!$L4451),1)-1</f>
        <v/>
      </c>
      <c r="C4455" s="22">
        <f>(1+C4454)*IF(AND(Painel_diario!$H4451="EU_JU",Painel_diario!$J4451=1),EXP(Painel_diario!$L4451),1)-1</f>
        <v/>
      </c>
      <c r="D4455" s="22">
        <f>(1+D4454)*IF(AND(Painel_diario!$H4451="ED_JD",Painel_diario!$J4451=1),EXP(Painel_diario!$L4451),1)-1</f>
        <v/>
      </c>
      <c r="E4455" s="22">
        <f>(1+E4454)*IF(AND(Painel_diario!$H4451="ED_JU",Painel_diario!$J4451=1),EXP(Painel_diario!$L4451),1)-1</f>
        <v/>
      </c>
    </row>
    <row r="4456">
      <c r="A4456" s="25" t="n">
        <v>45393</v>
      </c>
      <c r="B4456" s="22">
        <f>(1+B4455)*IF(AND(Painel_diario!$H4452="EU_JD",Painel_diario!$J4452=1),EXP(Painel_diario!$L4452),1)-1</f>
        <v/>
      </c>
      <c r="C4456" s="22">
        <f>(1+C4455)*IF(AND(Painel_diario!$H4452="EU_JU",Painel_diario!$J4452=1),EXP(Painel_diario!$L4452),1)-1</f>
        <v/>
      </c>
      <c r="D4456" s="22">
        <f>(1+D4455)*IF(AND(Painel_diario!$H4452="ED_JD",Painel_diario!$J4452=1),EXP(Painel_diario!$L4452),1)-1</f>
        <v/>
      </c>
      <c r="E4456" s="22">
        <f>(1+E4455)*IF(AND(Painel_diario!$H4452="ED_JU",Painel_diario!$J4452=1),EXP(Painel_diario!$L4452),1)-1</f>
        <v/>
      </c>
    </row>
    <row r="4457">
      <c r="A4457" s="25" t="n">
        <v>45394</v>
      </c>
      <c r="B4457" s="22">
        <f>(1+B4456)*IF(AND(Painel_diario!$H4453="EU_JD",Painel_diario!$J4453=1),EXP(Painel_diario!$L4453),1)-1</f>
        <v/>
      </c>
      <c r="C4457" s="22">
        <f>(1+C4456)*IF(AND(Painel_diario!$H4453="EU_JU",Painel_diario!$J4453=1),EXP(Painel_diario!$L4453),1)-1</f>
        <v/>
      </c>
      <c r="D4457" s="22">
        <f>(1+D4456)*IF(AND(Painel_diario!$H4453="ED_JD",Painel_diario!$J4453=1),EXP(Painel_diario!$L4453),1)-1</f>
        <v/>
      </c>
      <c r="E4457" s="22">
        <f>(1+E4456)*IF(AND(Painel_diario!$H4453="ED_JU",Painel_diario!$J4453=1),EXP(Painel_diario!$L4453),1)-1</f>
        <v/>
      </c>
    </row>
    <row r="4458">
      <c r="A4458" s="25" t="n">
        <v>45397</v>
      </c>
      <c r="B4458" s="22">
        <f>(1+B4457)*IF(AND(Painel_diario!$H4454="EU_JD",Painel_diario!$J4454=1),EXP(Painel_diario!$L4454),1)-1</f>
        <v/>
      </c>
      <c r="C4458" s="22">
        <f>(1+C4457)*IF(AND(Painel_diario!$H4454="EU_JU",Painel_diario!$J4454=1),EXP(Painel_diario!$L4454),1)-1</f>
        <v/>
      </c>
      <c r="D4458" s="22">
        <f>(1+D4457)*IF(AND(Painel_diario!$H4454="ED_JD",Painel_diario!$J4454=1),EXP(Painel_diario!$L4454),1)-1</f>
        <v/>
      </c>
      <c r="E4458" s="22">
        <f>(1+E4457)*IF(AND(Painel_diario!$H4454="ED_JU",Painel_diario!$J4454=1),EXP(Painel_diario!$L4454),1)-1</f>
        <v/>
      </c>
    </row>
    <row r="4459">
      <c r="A4459" s="25" t="n">
        <v>45398</v>
      </c>
      <c r="B4459" s="22">
        <f>(1+B4458)*IF(AND(Painel_diario!$H4455="EU_JD",Painel_diario!$J4455=1),EXP(Painel_diario!$L4455),1)-1</f>
        <v/>
      </c>
      <c r="C4459" s="22">
        <f>(1+C4458)*IF(AND(Painel_diario!$H4455="EU_JU",Painel_diario!$J4455=1),EXP(Painel_diario!$L4455),1)-1</f>
        <v/>
      </c>
      <c r="D4459" s="22">
        <f>(1+D4458)*IF(AND(Painel_diario!$H4455="ED_JD",Painel_diario!$J4455=1),EXP(Painel_diario!$L4455),1)-1</f>
        <v/>
      </c>
      <c r="E4459" s="22">
        <f>(1+E4458)*IF(AND(Painel_diario!$H4455="ED_JU",Painel_diario!$J4455=1),EXP(Painel_diario!$L4455),1)-1</f>
        <v/>
      </c>
    </row>
    <row r="4460">
      <c r="A4460" s="25" t="n">
        <v>45399</v>
      </c>
      <c r="B4460" s="22">
        <f>(1+B4459)*IF(AND(Painel_diario!$H4456="EU_JD",Painel_diario!$J4456=1),EXP(Painel_diario!$L4456),1)-1</f>
        <v/>
      </c>
      <c r="C4460" s="22">
        <f>(1+C4459)*IF(AND(Painel_diario!$H4456="EU_JU",Painel_diario!$J4456=1),EXP(Painel_diario!$L4456),1)-1</f>
        <v/>
      </c>
      <c r="D4460" s="22">
        <f>(1+D4459)*IF(AND(Painel_diario!$H4456="ED_JD",Painel_diario!$J4456=1),EXP(Painel_diario!$L4456),1)-1</f>
        <v/>
      </c>
      <c r="E4460" s="22">
        <f>(1+E4459)*IF(AND(Painel_diario!$H4456="ED_JU",Painel_diario!$J4456=1),EXP(Painel_diario!$L4456),1)-1</f>
        <v/>
      </c>
    </row>
    <row r="4461">
      <c r="A4461" s="25" t="n">
        <v>45400</v>
      </c>
      <c r="B4461" s="22">
        <f>(1+B4460)*IF(AND(Painel_diario!$H4457="EU_JD",Painel_diario!$J4457=1),EXP(Painel_diario!$L4457),1)-1</f>
        <v/>
      </c>
      <c r="C4461" s="22">
        <f>(1+C4460)*IF(AND(Painel_diario!$H4457="EU_JU",Painel_diario!$J4457=1),EXP(Painel_diario!$L4457),1)-1</f>
        <v/>
      </c>
      <c r="D4461" s="22">
        <f>(1+D4460)*IF(AND(Painel_diario!$H4457="ED_JD",Painel_diario!$J4457=1),EXP(Painel_diario!$L4457),1)-1</f>
        <v/>
      </c>
      <c r="E4461" s="22">
        <f>(1+E4460)*IF(AND(Painel_diario!$H4457="ED_JU",Painel_diario!$J4457=1),EXP(Painel_diario!$L4457),1)-1</f>
        <v/>
      </c>
    </row>
    <row r="4462">
      <c r="A4462" s="25" t="n">
        <v>45401</v>
      </c>
      <c r="B4462" s="22">
        <f>(1+B4461)*IF(AND(Painel_diario!$H4458="EU_JD",Painel_diario!$J4458=1),EXP(Painel_diario!$L4458),1)-1</f>
        <v/>
      </c>
      <c r="C4462" s="22">
        <f>(1+C4461)*IF(AND(Painel_diario!$H4458="EU_JU",Painel_diario!$J4458=1),EXP(Painel_diario!$L4458),1)-1</f>
        <v/>
      </c>
      <c r="D4462" s="22">
        <f>(1+D4461)*IF(AND(Painel_diario!$H4458="ED_JD",Painel_diario!$J4458=1),EXP(Painel_diario!$L4458),1)-1</f>
        <v/>
      </c>
      <c r="E4462" s="22">
        <f>(1+E4461)*IF(AND(Painel_diario!$H4458="ED_JU",Painel_diario!$J4458=1),EXP(Painel_diario!$L4458),1)-1</f>
        <v/>
      </c>
    </row>
    <row r="4463">
      <c r="A4463" s="25" t="n">
        <v>45404</v>
      </c>
      <c r="B4463" s="22">
        <f>(1+B4462)*IF(AND(Painel_diario!$H4459="EU_JD",Painel_diario!$J4459=1),EXP(Painel_diario!$L4459),1)-1</f>
        <v/>
      </c>
      <c r="C4463" s="22">
        <f>(1+C4462)*IF(AND(Painel_diario!$H4459="EU_JU",Painel_diario!$J4459=1),EXP(Painel_diario!$L4459),1)-1</f>
        <v/>
      </c>
      <c r="D4463" s="22">
        <f>(1+D4462)*IF(AND(Painel_diario!$H4459="ED_JD",Painel_diario!$J4459=1),EXP(Painel_diario!$L4459),1)-1</f>
        <v/>
      </c>
      <c r="E4463" s="22">
        <f>(1+E4462)*IF(AND(Painel_diario!$H4459="ED_JU",Painel_diario!$J4459=1),EXP(Painel_diario!$L4459),1)-1</f>
        <v/>
      </c>
    </row>
    <row r="4464">
      <c r="A4464" s="25" t="n">
        <v>45405</v>
      </c>
      <c r="B4464" s="22">
        <f>(1+B4463)*IF(AND(Painel_diario!$H4460="EU_JD",Painel_diario!$J4460=1),EXP(Painel_diario!$L4460),1)-1</f>
        <v/>
      </c>
      <c r="C4464" s="22">
        <f>(1+C4463)*IF(AND(Painel_diario!$H4460="EU_JU",Painel_diario!$J4460=1),EXP(Painel_diario!$L4460),1)-1</f>
        <v/>
      </c>
      <c r="D4464" s="22">
        <f>(1+D4463)*IF(AND(Painel_diario!$H4460="ED_JD",Painel_diario!$J4460=1),EXP(Painel_diario!$L4460),1)-1</f>
        <v/>
      </c>
      <c r="E4464" s="22">
        <f>(1+E4463)*IF(AND(Painel_diario!$H4460="ED_JU",Painel_diario!$J4460=1),EXP(Painel_diario!$L4460),1)-1</f>
        <v/>
      </c>
    </row>
    <row r="4465">
      <c r="A4465" s="25" t="n">
        <v>45406</v>
      </c>
      <c r="B4465" s="22">
        <f>(1+B4464)*IF(AND(Painel_diario!$H4461="EU_JD",Painel_diario!$J4461=1),EXP(Painel_diario!$L4461),1)-1</f>
        <v/>
      </c>
      <c r="C4465" s="22">
        <f>(1+C4464)*IF(AND(Painel_diario!$H4461="EU_JU",Painel_diario!$J4461=1),EXP(Painel_diario!$L4461),1)-1</f>
        <v/>
      </c>
      <c r="D4465" s="22">
        <f>(1+D4464)*IF(AND(Painel_diario!$H4461="ED_JD",Painel_diario!$J4461=1),EXP(Painel_diario!$L4461),1)-1</f>
        <v/>
      </c>
      <c r="E4465" s="22">
        <f>(1+E4464)*IF(AND(Painel_diario!$H4461="ED_JU",Painel_diario!$J4461=1),EXP(Painel_diario!$L4461),1)-1</f>
        <v/>
      </c>
    </row>
    <row r="4466">
      <c r="A4466" s="25" t="n">
        <v>45407</v>
      </c>
      <c r="B4466" s="22">
        <f>(1+B4465)*IF(AND(Painel_diario!$H4462="EU_JD",Painel_diario!$J4462=1),EXP(Painel_diario!$L4462),1)-1</f>
        <v/>
      </c>
      <c r="C4466" s="22">
        <f>(1+C4465)*IF(AND(Painel_diario!$H4462="EU_JU",Painel_diario!$J4462=1),EXP(Painel_diario!$L4462),1)-1</f>
        <v/>
      </c>
      <c r="D4466" s="22">
        <f>(1+D4465)*IF(AND(Painel_diario!$H4462="ED_JD",Painel_diario!$J4462=1),EXP(Painel_diario!$L4462),1)-1</f>
        <v/>
      </c>
      <c r="E4466" s="22">
        <f>(1+E4465)*IF(AND(Painel_diario!$H4462="ED_JU",Painel_diario!$J4462=1),EXP(Painel_diario!$L4462),1)-1</f>
        <v/>
      </c>
    </row>
    <row r="4467">
      <c r="A4467" s="25" t="n">
        <v>45408</v>
      </c>
      <c r="B4467" s="22">
        <f>(1+B4466)*IF(AND(Painel_diario!$H4463="EU_JD",Painel_diario!$J4463=1),EXP(Painel_diario!$L4463),1)-1</f>
        <v/>
      </c>
      <c r="C4467" s="22">
        <f>(1+C4466)*IF(AND(Painel_diario!$H4463="EU_JU",Painel_diario!$J4463=1),EXP(Painel_diario!$L4463),1)-1</f>
        <v/>
      </c>
      <c r="D4467" s="22">
        <f>(1+D4466)*IF(AND(Painel_diario!$H4463="ED_JD",Painel_diario!$J4463=1),EXP(Painel_diario!$L4463),1)-1</f>
        <v/>
      </c>
      <c r="E4467" s="22">
        <f>(1+E4466)*IF(AND(Painel_diario!$H4463="ED_JU",Painel_diario!$J4463=1),EXP(Painel_diario!$L4463),1)-1</f>
        <v/>
      </c>
    </row>
    <row r="4468">
      <c r="A4468" s="25" t="n">
        <v>45411</v>
      </c>
      <c r="B4468" s="22">
        <f>(1+B4467)*IF(AND(Painel_diario!$H4464="EU_JD",Painel_diario!$J4464=1),EXP(Painel_diario!$L4464),1)-1</f>
        <v/>
      </c>
      <c r="C4468" s="22">
        <f>(1+C4467)*IF(AND(Painel_diario!$H4464="EU_JU",Painel_diario!$J4464=1),EXP(Painel_diario!$L4464),1)-1</f>
        <v/>
      </c>
      <c r="D4468" s="22">
        <f>(1+D4467)*IF(AND(Painel_diario!$H4464="ED_JD",Painel_diario!$J4464=1),EXP(Painel_diario!$L4464),1)-1</f>
        <v/>
      </c>
      <c r="E4468" s="22">
        <f>(1+E4467)*IF(AND(Painel_diario!$H4464="ED_JU",Painel_diario!$J4464=1),EXP(Painel_diario!$L4464),1)-1</f>
        <v/>
      </c>
    </row>
    <row r="4469">
      <c r="A4469" s="25" t="n">
        <v>45412</v>
      </c>
      <c r="B4469" s="22">
        <f>(1+B4468)*IF(AND(Painel_diario!$H4465="EU_JD",Painel_diario!$J4465=1),EXP(Painel_diario!$L4465),1)-1</f>
        <v/>
      </c>
      <c r="C4469" s="22">
        <f>(1+C4468)*IF(AND(Painel_diario!$H4465="EU_JU",Painel_diario!$J4465=1),EXP(Painel_diario!$L4465),1)-1</f>
        <v/>
      </c>
      <c r="D4469" s="22">
        <f>(1+D4468)*IF(AND(Painel_diario!$H4465="ED_JD",Painel_diario!$J4465=1),EXP(Painel_diario!$L4465),1)-1</f>
        <v/>
      </c>
      <c r="E4469" s="22">
        <f>(1+E4468)*IF(AND(Painel_diario!$H4465="ED_JU",Painel_diario!$J4465=1),EXP(Painel_diario!$L4465),1)-1</f>
        <v/>
      </c>
    </row>
    <row r="4470">
      <c r="A4470" s="25" t="n">
        <v>45414</v>
      </c>
      <c r="B4470" s="22">
        <f>(1+B4469)*IF(AND(Painel_diario!$H4466="EU_JD",Painel_diario!$J4466=1),EXP(Painel_diario!$L4466),1)-1</f>
        <v/>
      </c>
      <c r="C4470" s="22">
        <f>(1+C4469)*IF(AND(Painel_diario!$H4466="EU_JU",Painel_diario!$J4466=1),EXP(Painel_diario!$L4466),1)-1</f>
        <v/>
      </c>
      <c r="D4470" s="22">
        <f>(1+D4469)*IF(AND(Painel_diario!$H4466="ED_JD",Painel_diario!$J4466=1),EXP(Painel_diario!$L4466),1)-1</f>
        <v/>
      </c>
      <c r="E4470" s="22">
        <f>(1+E4469)*IF(AND(Painel_diario!$H4466="ED_JU",Painel_diario!$J4466=1),EXP(Painel_diario!$L4466),1)-1</f>
        <v/>
      </c>
    </row>
    <row r="4471">
      <c r="A4471" s="25" t="n">
        <v>45415</v>
      </c>
      <c r="B4471" s="22">
        <f>(1+B4470)*IF(AND(Painel_diario!$H4467="EU_JD",Painel_diario!$J4467=1),EXP(Painel_diario!$L4467),1)-1</f>
        <v/>
      </c>
      <c r="C4471" s="22">
        <f>(1+C4470)*IF(AND(Painel_diario!$H4467="EU_JU",Painel_diario!$J4467=1),EXP(Painel_diario!$L4467),1)-1</f>
        <v/>
      </c>
      <c r="D4471" s="22">
        <f>(1+D4470)*IF(AND(Painel_diario!$H4467="ED_JD",Painel_diario!$J4467=1),EXP(Painel_diario!$L4467),1)-1</f>
        <v/>
      </c>
      <c r="E4471" s="22">
        <f>(1+E4470)*IF(AND(Painel_diario!$H4467="ED_JU",Painel_diario!$J4467=1),EXP(Painel_diario!$L4467),1)-1</f>
        <v/>
      </c>
    </row>
    <row r="4472">
      <c r="A4472" s="25" t="n">
        <v>45418</v>
      </c>
      <c r="B4472" s="22">
        <f>(1+B4471)*IF(AND(Painel_diario!$H4468="EU_JD",Painel_diario!$J4468=1),EXP(Painel_diario!$L4468),1)-1</f>
        <v/>
      </c>
      <c r="C4472" s="22">
        <f>(1+C4471)*IF(AND(Painel_diario!$H4468="EU_JU",Painel_diario!$J4468=1),EXP(Painel_diario!$L4468),1)-1</f>
        <v/>
      </c>
      <c r="D4472" s="22">
        <f>(1+D4471)*IF(AND(Painel_diario!$H4468="ED_JD",Painel_diario!$J4468=1),EXP(Painel_diario!$L4468),1)-1</f>
        <v/>
      </c>
      <c r="E4472" s="22">
        <f>(1+E4471)*IF(AND(Painel_diario!$H4468="ED_JU",Painel_diario!$J4468=1),EXP(Painel_diario!$L4468),1)-1</f>
        <v/>
      </c>
    </row>
    <row r="4473">
      <c r="A4473" s="25" t="n">
        <v>45419</v>
      </c>
      <c r="B4473" s="22">
        <f>(1+B4472)*IF(AND(Painel_diario!$H4469="EU_JD",Painel_diario!$J4469=1),EXP(Painel_diario!$L4469),1)-1</f>
        <v/>
      </c>
      <c r="C4473" s="22">
        <f>(1+C4472)*IF(AND(Painel_diario!$H4469="EU_JU",Painel_diario!$J4469=1),EXP(Painel_diario!$L4469),1)-1</f>
        <v/>
      </c>
      <c r="D4473" s="22">
        <f>(1+D4472)*IF(AND(Painel_diario!$H4469="ED_JD",Painel_diario!$J4469=1),EXP(Painel_diario!$L4469),1)-1</f>
        <v/>
      </c>
      <c r="E4473" s="22">
        <f>(1+E4472)*IF(AND(Painel_diario!$H4469="ED_JU",Painel_diario!$J4469=1),EXP(Painel_diario!$L4469),1)-1</f>
        <v/>
      </c>
    </row>
    <row r="4474">
      <c r="A4474" s="25" t="n">
        <v>45420</v>
      </c>
      <c r="B4474" s="22">
        <f>(1+B4473)*IF(AND(Painel_diario!$H4470="EU_JD",Painel_diario!$J4470=1),EXP(Painel_diario!$L4470),1)-1</f>
        <v/>
      </c>
      <c r="C4474" s="22">
        <f>(1+C4473)*IF(AND(Painel_diario!$H4470="EU_JU",Painel_diario!$J4470=1),EXP(Painel_diario!$L4470),1)-1</f>
        <v/>
      </c>
      <c r="D4474" s="22">
        <f>(1+D4473)*IF(AND(Painel_diario!$H4470="ED_JD",Painel_diario!$J4470=1),EXP(Painel_diario!$L4470),1)-1</f>
        <v/>
      </c>
      <c r="E4474" s="22">
        <f>(1+E4473)*IF(AND(Painel_diario!$H4470="ED_JU",Painel_diario!$J4470=1),EXP(Painel_diario!$L4470),1)-1</f>
        <v/>
      </c>
    </row>
    <row r="4475">
      <c r="A4475" s="25" t="n">
        <v>45421</v>
      </c>
      <c r="B4475" s="22">
        <f>(1+B4474)*IF(AND(Painel_diario!$H4471="EU_JD",Painel_diario!$J4471=1),EXP(Painel_diario!$L4471),1)-1</f>
        <v/>
      </c>
      <c r="C4475" s="22">
        <f>(1+C4474)*IF(AND(Painel_diario!$H4471="EU_JU",Painel_diario!$J4471=1),EXP(Painel_diario!$L4471),1)-1</f>
        <v/>
      </c>
      <c r="D4475" s="22">
        <f>(1+D4474)*IF(AND(Painel_diario!$H4471="ED_JD",Painel_diario!$J4471=1),EXP(Painel_diario!$L4471),1)-1</f>
        <v/>
      </c>
      <c r="E4475" s="22">
        <f>(1+E4474)*IF(AND(Painel_diario!$H4471="ED_JU",Painel_diario!$J4471=1),EXP(Painel_diario!$L4471),1)-1</f>
        <v/>
      </c>
    </row>
    <row r="4476">
      <c r="A4476" s="25" t="n">
        <v>45422</v>
      </c>
      <c r="B4476" s="22">
        <f>(1+B4475)*IF(AND(Painel_diario!$H4472="EU_JD",Painel_diario!$J4472=1),EXP(Painel_diario!$L4472),1)-1</f>
        <v/>
      </c>
      <c r="C4476" s="22">
        <f>(1+C4475)*IF(AND(Painel_diario!$H4472="EU_JU",Painel_diario!$J4472=1),EXP(Painel_diario!$L4472),1)-1</f>
        <v/>
      </c>
      <c r="D4476" s="22">
        <f>(1+D4475)*IF(AND(Painel_diario!$H4472="ED_JD",Painel_diario!$J4472=1),EXP(Painel_diario!$L4472),1)-1</f>
        <v/>
      </c>
      <c r="E4476" s="22">
        <f>(1+E4475)*IF(AND(Painel_diario!$H4472="ED_JU",Painel_diario!$J4472=1),EXP(Painel_diario!$L4472),1)-1</f>
        <v/>
      </c>
    </row>
    <row r="4477">
      <c r="A4477" s="25" t="n">
        <v>45425</v>
      </c>
      <c r="B4477" s="22">
        <f>(1+B4476)*IF(AND(Painel_diario!$H4473="EU_JD",Painel_diario!$J4473=1),EXP(Painel_diario!$L4473),1)-1</f>
        <v/>
      </c>
      <c r="C4477" s="22">
        <f>(1+C4476)*IF(AND(Painel_diario!$H4473="EU_JU",Painel_diario!$J4473=1),EXP(Painel_diario!$L4473),1)-1</f>
        <v/>
      </c>
      <c r="D4477" s="22">
        <f>(1+D4476)*IF(AND(Painel_diario!$H4473="ED_JD",Painel_diario!$J4473=1),EXP(Painel_diario!$L4473),1)-1</f>
        <v/>
      </c>
      <c r="E4477" s="22">
        <f>(1+E4476)*IF(AND(Painel_diario!$H4473="ED_JU",Painel_diario!$J4473=1),EXP(Painel_diario!$L4473),1)-1</f>
        <v/>
      </c>
    </row>
    <row r="4478">
      <c r="A4478" s="25" t="n">
        <v>45426</v>
      </c>
      <c r="B4478" s="22">
        <f>(1+B4477)*IF(AND(Painel_diario!$H4474="EU_JD",Painel_diario!$J4474=1),EXP(Painel_diario!$L4474),1)-1</f>
        <v/>
      </c>
      <c r="C4478" s="22">
        <f>(1+C4477)*IF(AND(Painel_diario!$H4474="EU_JU",Painel_diario!$J4474=1),EXP(Painel_diario!$L4474),1)-1</f>
        <v/>
      </c>
      <c r="D4478" s="22">
        <f>(1+D4477)*IF(AND(Painel_diario!$H4474="ED_JD",Painel_diario!$J4474=1),EXP(Painel_diario!$L4474),1)-1</f>
        <v/>
      </c>
      <c r="E4478" s="22">
        <f>(1+E4477)*IF(AND(Painel_diario!$H4474="ED_JU",Painel_diario!$J4474=1),EXP(Painel_diario!$L4474),1)-1</f>
        <v/>
      </c>
    </row>
    <row r="4479">
      <c r="A4479" s="25" t="n">
        <v>45427</v>
      </c>
      <c r="B4479" s="22">
        <f>(1+B4478)*IF(AND(Painel_diario!$H4475="EU_JD",Painel_diario!$J4475=1),EXP(Painel_diario!$L4475),1)-1</f>
        <v/>
      </c>
      <c r="C4479" s="22">
        <f>(1+C4478)*IF(AND(Painel_diario!$H4475="EU_JU",Painel_diario!$J4475=1),EXP(Painel_diario!$L4475),1)-1</f>
        <v/>
      </c>
      <c r="D4479" s="22">
        <f>(1+D4478)*IF(AND(Painel_diario!$H4475="ED_JD",Painel_diario!$J4475=1),EXP(Painel_diario!$L4475),1)-1</f>
        <v/>
      </c>
      <c r="E4479" s="22">
        <f>(1+E4478)*IF(AND(Painel_diario!$H4475="ED_JU",Painel_diario!$J4475=1),EXP(Painel_diario!$L4475),1)-1</f>
        <v/>
      </c>
    </row>
    <row r="4480">
      <c r="A4480" s="25" t="n">
        <v>45428</v>
      </c>
      <c r="B4480" s="22">
        <f>(1+B4479)*IF(AND(Painel_diario!$H4476="EU_JD",Painel_diario!$J4476=1),EXP(Painel_diario!$L4476),1)-1</f>
        <v/>
      </c>
      <c r="C4480" s="22">
        <f>(1+C4479)*IF(AND(Painel_diario!$H4476="EU_JU",Painel_diario!$J4476=1),EXP(Painel_diario!$L4476),1)-1</f>
        <v/>
      </c>
      <c r="D4480" s="22">
        <f>(1+D4479)*IF(AND(Painel_diario!$H4476="ED_JD",Painel_diario!$J4476=1),EXP(Painel_diario!$L4476),1)-1</f>
        <v/>
      </c>
      <c r="E4480" s="22">
        <f>(1+E4479)*IF(AND(Painel_diario!$H4476="ED_JU",Painel_diario!$J4476=1),EXP(Painel_diario!$L4476),1)-1</f>
        <v/>
      </c>
    </row>
    <row r="4481">
      <c r="A4481" s="25" t="n">
        <v>45429</v>
      </c>
      <c r="B4481" s="22">
        <f>(1+B4480)*IF(AND(Painel_diario!$H4477="EU_JD",Painel_diario!$J4477=1),EXP(Painel_diario!$L4477),1)-1</f>
        <v/>
      </c>
      <c r="C4481" s="22">
        <f>(1+C4480)*IF(AND(Painel_diario!$H4477="EU_JU",Painel_diario!$J4477=1),EXP(Painel_diario!$L4477),1)-1</f>
        <v/>
      </c>
      <c r="D4481" s="22">
        <f>(1+D4480)*IF(AND(Painel_diario!$H4477="ED_JD",Painel_diario!$J4477=1),EXP(Painel_diario!$L4477),1)-1</f>
        <v/>
      </c>
      <c r="E4481" s="22">
        <f>(1+E4480)*IF(AND(Painel_diario!$H4477="ED_JU",Painel_diario!$J4477=1),EXP(Painel_diario!$L4477),1)-1</f>
        <v/>
      </c>
    </row>
    <row r="4482">
      <c r="A4482" s="25" t="n">
        <v>45432</v>
      </c>
      <c r="B4482" s="22">
        <f>(1+B4481)*IF(AND(Painel_diario!$H4478="EU_JD",Painel_diario!$J4478=1),EXP(Painel_diario!$L4478),1)-1</f>
        <v/>
      </c>
      <c r="C4482" s="22">
        <f>(1+C4481)*IF(AND(Painel_diario!$H4478="EU_JU",Painel_diario!$J4478=1),EXP(Painel_diario!$L4478),1)-1</f>
        <v/>
      </c>
      <c r="D4482" s="22">
        <f>(1+D4481)*IF(AND(Painel_diario!$H4478="ED_JD",Painel_diario!$J4478=1),EXP(Painel_diario!$L4478),1)-1</f>
        <v/>
      </c>
      <c r="E4482" s="22">
        <f>(1+E4481)*IF(AND(Painel_diario!$H4478="ED_JU",Painel_diario!$J4478=1),EXP(Painel_diario!$L4478),1)-1</f>
        <v/>
      </c>
    </row>
    <row r="4483">
      <c r="A4483" s="25" t="n">
        <v>45433</v>
      </c>
      <c r="B4483" s="22">
        <f>(1+B4482)*IF(AND(Painel_diario!$H4479="EU_JD",Painel_diario!$J4479=1),EXP(Painel_diario!$L4479),1)-1</f>
        <v/>
      </c>
      <c r="C4483" s="22">
        <f>(1+C4482)*IF(AND(Painel_diario!$H4479="EU_JU",Painel_diario!$J4479=1),EXP(Painel_diario!$L4479),1)-1</f>
        <v/>
      </c>
      <c r="D4483" s="22">
        <f>(1+D4482)*IF(AND(Painel_diario!$H4479="ED_JD",Painel_diario!$J4479=1),EXP(Painel_diario!$L4479),1)-1</f>
        <v/>
      </c>
      <c r="E4483" s="22">
        <f>(1+E4482)*IF(AND(Painel_diario!$H4479="ED_JU",Painel_diario!$J4479=1),EXP(Painel_diario!$L4479),1)-1</f>
        <v/>
      </c>
    </row>
    <row r="4484">
      <c r="A4484" s="25" t="n">
        <v>45434</v>
      </c>
      <c r="B4484" s="22">
        <f>(1+B4483)*IF(AND(Painel_diario!$H4480="EU_JD",Painel_diario!$J4480=1),EXP(Painel_diario!$L4480),1)-1</f>
        <v/>
      </c>
      <c r="C4484" s="22">
        <f>(1+C4483)*IF(AND(Painel_diario!$H4480="EU_JU",Painel_diario!$J4480=1),EXP(Painel_diario!$L4480),1)-1</f>
        <v/>
      </c>
      <c r="D4484" s="22">
        <f>(1+D4483)*IF(AND(Painel_diario!$H4480="ED_JD",Painel_diario!$J4480=1),EXP(Painel_diario!$L4480),1)-1</f>
        <v/>
      </c>
      <c r="E4484" s="22">
        <f>(1+E4483)*IF(AND(Painel_diario!$H4480="ED_JU",Painel_diario!$J4480=1),EXP(Painel_diario!$L4480),1)-1</f>
        <v/>
      </c>
    </row>
    <row r="4485">
      <c r="A4485" s="25" t="n">
        <v>45435</v>
      </c>
      <c r="B4485" s="22">
        <f>(1+B4484)*IF(AND(Painel_diario!$H4481="EU_JD",Painel_diario!$J4481=1),EXP(Painel_diario!$L4481),1)-1</f>
        <v/>
      </c>
      <c r="C4485" s="22">
        <f>(1+C4484)*IF(AND(Painel_diario!$H4481="EU_JU",Painel_diario!$J4481=1),EXP(Painel_diario!$L4481),1)-1</f>
        <v/>
      </c>
      <c r="D4485" s="22">
        <f>(1+D4484)*IF(AND(Painel_diario!$H4481="ED_JD",Painel_diario!$J4481=1),EXP(Painel_diario!$L4481),1)-1</f>
        <v/>
      </c>
      <c r="E4485" s="22">
        <f>(1+E4484)*IF(AND(Painel_diario!$H4481="ED_JU",Painel_diario!$J4481=1),EXP(Painel_diario!$L4481),1)-1</f>
        <v/>
      </c>
    </row>
    <row r="4486">
      <c r="A4486" s="25" t="n">
        <v>45436</v>
      </c>
      <c r="B4486" s="22">
        <f>(1+B4485)*IF(AND(Painel_diario!$H4482="EU_JD",Painel_diario!$J4482=1),EXP(Painel_diario!$L4482),1)-1</f>
        <v/>
      </c>
      <c r="C4486" s="22">
        <f>(1+C4485)*IF(AND(Painel_diario!$H4482="EU_JU",Painel_diario!$J4482=1),EXP(Painel_diario!$L4482),1)-1</f>
        <v/>
      </c>
      <c r="D4486" s="22">
        <f>(1+D4485)*IF(AND(Painel_diario!$H4482="ED_JD",Painel_diario!$J4482=1),EXP(Painel_diario!$L4482),1)-1</f>
        <v/>
      </c>
      <c r="E4486" s="22">
        <f>(1+E4485)*IF(AND(Painel_diario!$H4482="ED_JU",Painel_diario!$J4482=1),EXP(Painel_diario!$L4482),1)-1</f>
        <v/>
      </c>
    </row>
    <row r="4487">
      <c r="A4487" s="25" t="n">
        <v>45439</v>
      </c>
      <c r="B4487" s="22">
        <f>(1+B4486)*IF(AND(Painel_diario!$H4483="EU_JD",Painel_diario!$J4483=1),EXP(Painel_diario!$L4483),1)-1</f>
        <v/>
      </c>
      <c r="C4487" s="22">
        <f>(1+C4486)*IF(AND(Painel_diario!$H4483="EU_JU",Painel_diario!$J4483=1),EXP(Painel_diario!$L4483),1)-1</f>
        <v/>
      </c>
      <c r="D4487" s="22">
        <f>(1+D4486)*IF(AND(Painel_diario!$H4483="ED_JD",Painel_diario!$J4483=1),EXP(Painel_diario!$L4483),1)-1</f>
        <v/>
      </c>
      <c r="E4487" s="22">
        <f>(1+E4486)*IF(AND(Painel_diario!$H4483="ED_JU",Painel_diario!$J4483=1),EXP(Painel_diario!$L4483),1)-1</f>
        <v/>
      </c>
    </row>
    <row r="4488">
      <c r="A4488" s="25" t="n">
        <v>45440</v>
      </c>
      <c r="B4488" s="22">
        <f>(1+B4487)*IF(AND(Painel_diario!$H4484="EU_JD",Painel_diario!$J4484=1),EXP(Painel_diario!$L4484),1)-1</f>
        <v/>
      </c>
      <c r="C4488" s="22">
        <f>(1+C4487)*IF(AND(Painel_diario!$H4484="EU_JU",Painel_diario!$J4484=1),EXP(Painel_diario!$L4484),1)-1</f>
        <v/>
      </c>
      <c r="D4488" s="22">
        <f>(1+D4487)*IF(AND(Painel_diario!$H4484="ED_JD",Painel_diario!$J4484=1),EXP(Painel_diario!$L4484),1)-1</f>
        <v/>
      </c>
      <c r="E4488" s="22">
        <f>(1+E4487)*IF(AND(Painel_diario!$H4484="ED_JU",Painel_diario!$J4484=1),EXP(Painel_diario!$L4484),1)-1</f>
        <v/>
      </c>
    </row>
    <row r="4489">
      <c r="A4489" s="25" t="n">
        <v>45441</v>
      </c>
      <c r="B4489" s="22">
        <f>(1+B4488)*IF(AND(Painel_diario!$H4485="EU_JD",Painel_diario!$J4485=1),EXP(Painel_diario!$L4485),1)-1</f>
        <v/>
      </c>
      <c r="C4489" s="22">
        <f>(1+C4488)*IF(AND(Painel_diario!$H4485="EU_JU",Painel_diario!$J4485=1),EXP(Painel_diario!$L4485),1)-1</f>
        <v/>
      </c>
      <c r="D4489" s="22">
        <f>(1+D4488)*IF(AND(Painel_diario!$H4485="ED_JD",Painel_diario!$J4485=1),EXP(Painel_diario!$L4485),1)-1</f>
        <v/>
      </c>
      <c r="E4489" s="22">
        <f>(1+E4488)*IF(AND(Painel_diario!$H4485="ED_JU",Painel_diario!$J4485=1),EXP(Painel_diario!$L4485),1)-1</f>
        <v/>
      </c>
    </row>
    <row r="4490">
      <c r="A4490" s="25" t="n">
        <v>45443</v>
      </c>
      <c r="B4490" s="22">
        <f>(1+B4489)*IF(AND(Painel_diario!$H4486="EU_JD",Painel_diario!$J4486=1),EXP(Painel_diario!$L4486),1)-1</f>
        <v/>
      </c>
      <c r="C4490" s="22">
        <f>(1+C4489)*IF(AND(Painel_diario!$H4486="EU_JU",Painel_diario!$J4486=1),EXP(Painel_diario!$L4486),1)-1</f>
        <v/>
      </c>
      <c r="D4490" s="22">
        <f>(1+D4489)*IF(AND(Painel_diario!$H4486="ED_JD",Painel_diario!$J4486=1),EXP(Painel_diario!$L4486),1)-1</f>
        <v/>
      </c>
      <c r="E4490" s="22">
        <f>(1+E4489)*IF(AND(Painel_diario!$H4486="ED_JU",Painel_diario!$J4486=1),EXP(Painel_diario!$L4486),1)-1</f>
        <v/>
      </c>
    </row>
    <row r="4491">
      <c r="A4491" s="25" t="n">
        <v>45446</v>
      </c>
      <c r="B4491" s="22">
        <f>(1+B4490)*IF(AND(Painel_diario!$H4487="EU_JD",Painel_diario!$J4487=1),EXP(Painel_diario!$L4487),1)-1</f>
        <v/>
      </c>
      <c r="C4491" s="22">
        <f>(1+C4490)*IF(AND(Painel_diario!$H4487="EU_JU",Painel_diario!$J4487=1),EXP(Painel_diario!$L4487),1)-1</f>
        <v/>
      </c>
      <c r="D4491" s="22">
        <f>(1+D4490)*IF(AND(Painel_diario!$H4487="ED_JD",Painel_diario!$J4487=1),EXP(Painel_diario!$L4487),1)-1</f>
        <v/>
      </c>
      <c r="E4491" s="22">
        <f>(1+E4490)*IF(AND(Painel_diario!$H4487="ED_JU",Painel_diario!$J4487=1),EXP(Painel_diario!$L4487),1)-1</f>
        <v/>
      </c>
    </row>
    <row r="4492">
      <c r="A4492" s="25" t="n">
        <v>45447</v>
      </c>
      <c r="B4492" s="22">
        <f>(1+B4491)*IF(AND(Painel_diario!$H4488="EU_JD",Painel_diario!$J4488=1),EXP(Painel_diario!$L4488),1)-1</f>
        <v/>
      </c>
      <c r="C4492" s="22">
        <f>(1+C4491)*IF(AND(Painel_diario!$H4488="EU_JU",Painel_diario!$J4488=1),EXP(Painel_diario!$L4488),1)-1</f>
        <v/>
      </c>
      <c r="D4492" s="22">
        <f>(1+D4491)*IF(AND(Painel_diario!$H4488="ED_JD",Painel_diario!$J4488=1),EXP(Painel_diario!$L4488),1)-1</f>
        <v/>
      </c>
      <c r="E4492" s="22">
        <f>(1+E4491)*IF(AND(Painel_diario!$H4488="ED_JU",Painel_diario!$J4488=1),EXP(Painel_diario!$L4488),1)-1</f>
        <v/>
      </c>
    </row>
    <row r="4493">
      <c r="A4493" s="25" t="n">
        <v>45448</v>
      </c>
      <c r="B4493" s="22">
        <f>(1+B4492)*IF(AND(Painel_diario!$H4489="EU_JD",Painel_diario!$J4489=1),EXP(Painel_diario!$L4489),1)-1</f>
        <v/>
      </c>
      <c r="C4493" s="22">
        <f>(1+C4492)*IF(AND(Painel_diario!$H4489="EU_JU",Painel_diario!$J4489=1),EXP(Painel_diario!$L4489),1)-1</f>
        <v/>
      </c>
      <c r="D4493" s="22">
        <f>(1+D4492)*IF(AND(Painel_diario!$H4489="ED_JD",Painel_diario!$J4489=1),EXP(Painel_diario!$L4489),1)-1</f>
        <v/>
      </c>
      <c r="E4493" s="22">
        <f>(1+E4492)*IF(AND(Painel_diario!$H4489="ED_JU",Painel_diario!$J4489=1),EXP(Painel_diario!$L4489),1)-1</f>
        <v/>
      </c>
    </row>
    <row r="4494">
      <c r="A4494" s="25" t="n">
        <v>45449</v>
      </c>
      <c r="B4494" s="22">
        <f>(1+B4493)*IF(AND(Painel_diario!$H4490="EU_JD",Painel_diario!$J4490=1),EXP(Painel_diario!$L4490),1)-1</f>
        <v/>
      </c>
      <c r="C4494" s="22">
        <f>(1+C4493)*IF(AND(Painel_diario!$H4490="EU_JU",Painel_diario!$J4490=1),EXP(Painel_diario!$L4490),1)-1</f>
        <v/>
      </c>
      <c r="D4494" s="22">
        <f>(1+D4493)*IF(AND(Painel_diario!$H4490="ED_JD",Painel_diario!$J4490=1),EXP(Painel_diario!$L4490),1)-1</f>
        <v/>
      </c>
      <c r="E4494" s="22">
        <f>(1+E4493)*IF(AND(Painel_diario!$H4490="ED_JU",Painel_diario!$J4490=1),EXP(Painel_diario!$L4490),1)-1</f>
        <v/>
      </c>
    </row>
    <row r="4495">
      <c r="A4495" s="25" t="n">
        <v>45450</v>
      </c>
      <c r="B4495" s="22">
        <f>(1+B4494)*IF(AND(Painel_diario!$H4491="EU_JD",Painel_diario!$J4491=1),EXP(Painel_diario!$L4491),1)-1</f>
        <v/>
      </c>
      <c r="C4495" s="22">
        <f>(1+C4494)*IF(AND(Painel_diario!$H4491="EU_JU",Painel_diario!$J4491=1),EXP(Painel_diario!$L4491),1)-1</f>
        <v/>
      </c>
      <c r="D4495" s="22">
        <f>(1+D4494)*IF(AND(Painel_diario!$H4491="ED_JD",Painel_diario!$J4491=1),EXP(Painel_diario!$L4491),1)-1</f>
        <v/>
      </c>
      <c r="E4495" s="22">
        <f>(1+E4494)*IF(AND(Painel_diario!$H4491="ED_JU",Painel_diario!$J4491=1),EXP(Painel_diario!$L4491),1)-1</f>
        <v/>
      </c>
    </row>
    <row r="4496">
      <c r="A4496" s="25" t="n">
        <v>45453</v>
      </c>
      <c r="B4496" s="22">
        <f>(1+B4495)*IF(AND(Painel_diario!$H4492="EU_JD",Painel_diario!$J4492=1),EXP(Painel_diario!$L4492),1)-1</f>
        <v/>
      </c>
      <c r="C4496" s="22">
        <f>(1+C4495)*IF(AND(Painel_diario!$H4492="EU_JU",Painel_diario!$J4492=1),EXP(Painel_diario!$L4492),1)-1</f>
        <v/>
      </c>
      <c r="D4496" s="22">
        <f>(1+D4495)*IF(AND(Painel_diario!$H4492="ED_JD",Painel_diario!$J4492=1),EXP(Painel_diario!$L4492),1)-1</f>
        <v/>
      </c>
      <c r="E4496" s="22">
        <f>(1+E4495)*IF(AND(Painel_diario!$H4492="ED_JU",Painel_diario!$J4492=1),EXP(Painel_diario!$L4492),1)-1</f>
        <v/>
      </c>
    </row>
    <row r="4497">
      <c r="A4497" s="25" t="n">
        <v>45454</v>
      </c>
      <c r="B4497" s="22">
        <f>(1+B4496)*IF(AND(Painel_diario!$H4493="EU_JD",Painel_diario!$J4493=1),EXP(Painel_diario!$L4493),1)-1</f>
        <v/>
      </c>
      <c r="C4497" s="22">
        <f>(1+C4496)*IF(AND(Painel_diario!$H4493="EU_JU",Painel_diario!$J4493=1),EXP(Painel_diario!$L4493),1)-1</f>
        <v/>
      </c>
      <c r="D4497" s="22">
        <f>(1+D4496)*IF(AND(Painel_diario!$H4493="ED_JD",Painel_diario!$J4493=1),EXP(Painel_diario!$L4493),1)-1</f>
        <v/>
      </c>
      <c r="E4497" s="22">
        <f>(1+E4496)*IF(AND(Painel_diario!$H4493="ED_JU",Painel_diario!$J4493=1),EXP(Painel_diario!$L4493),1)-1</f>
        <v/>
      </c>
    </row>
    <row r="4498">
      <c r="A4498" s="25" t="n">
        <v>45455</v>
      </c>
      <c r="B4498" s="22">
        <f>(1+B4497)*IF(AND(Painel_diario!$H4494="EU_JD",Painel_diario!$J4494=1),EXP(Painel_diario!$L4494),1)-1</f>
        <v/>
      </c>
      <c r="C4498" s="22">
        <f>(1+C4497)*IF(AND(Painel_diario!$H4494="EU_JU",Painel_diario!$J4494=1),EXP(Painel_diario!$L4494),1)-1</f>
        <v/>
      </c>
      <c r="D4498" s="22">
        <f>(1+D4497)*IF(AND(Painel_diario!$H4494="ED_JD",Painel_diario!$J4494=1),EXP(Painel_diario!$L4494),1)-1</f>
        <v/>
      </c>
      <c r="E4498" s="22">
        <f>(1+E4497)*IF(AND(Painel_diario!$H4494="ED_JU",Painel_diario!$J4494=1),EXP(Painel_diario!$L4494),1)-1</f>
        <v/>
      </c>
    </row>
    <row r="4499">
      <c r="A4499" s="25" t="n">
        <v>45456</v>
      </c>
      <c r="B4499" s="22">
        <f>(1+B4498)*IF(AND(Painel_diario!$H4495="EU_JD",Painel_diario!$J4495=1),EXP(Painel_diario!$L4495),1)-1</f>
        <v/>
      </c>
      <c r="C4499" s="22">
        <f>(1+C4498)*IF(AND(Painel_diario!$H4495="EU_JU",Painel_diario!$J4495=1),EXP(Painel_diario!$L4495),1)-1</f>
        <v/>
      </c>
      <c r="D4499" s="22">
        <f>(1+D4498)*IF(AND(Painel_diario!$H4495="ED_JD",Painel_diario!$J4495=1),EXP(Painel_diario!$L4495),1)-1</f>
        <v/>
      </c>
      <c r="E4499" s="22">
        <f>(1+E4498)*IF(AND(Painel_diario!$H4495="ED_JU",Painel_diario!$J4495=1),EXP(Painel_diario!$L4495),1)-1</f>
        <v/>
      </c>
    </row>
    <row r="4500">
      <c r="A4500" s="25" t="n">
        <v>45457</v>
      </c>
      <c r="B4500" s="22">
        <f>(1+B4499)*IF(AND(Painel_diario!$H4496="EU_JD",Painel_diario!$J4496=1),EXP(Painel_diario!$L4496),1)-1</f>
        <v/>
      </c>
      <c r="C4500" s="22">
        <f>(1+C4499)*IF(AND(Painel_diario!$H4496="EU_JU",Painel_diario!$J4496=1),EXP(Painel_diario!$L4496),1)-1</f>
        <v/>
      </c>
      <c r="D4500" s="22">
        <f>(1+D4499)*IF(AND(Painel_diario!$H4496="ED_JD",Painel_diario!$J4496=1),EXP(Painel_diario!$L4496),1)-1</f>
        <v/>
      </c>
      <c r="E4500" s="22">
        <f>(1+E4499)*IF(AND(Painel_diario!$H4496="ED_JU",Painel_diario!$J4496=1),EXP(Painel_diario!$L4496),1)-1</f>
        <v/>
      </c>
    </row>
    <row r="4501">
      <c r="A4501" s="25" t="n">
        <v>45460</v>
      </c>
      <c r="B4501" s="22">
        <f>(1+B4500)*IF(AND(Painel_diario!$H4497="EU_JD",Painel_diario!$J4497=1),EXP(Painel_diario!$L4497),1)-1</f>
        <v/>
      </c>
      <c r="C4501" s="22">
        <f>(1+C4500)*IF(AND(Painel_diario!$H4497="EU_JU",Painel_diario!$J4497=1),EXP(Painel_diario!$L4497),1)-1</f>
        <v/>
      </c>
      <c r="D4501" s="22">
        <f>(1+D4500)*IF(AND(Painel_diario!$H4497="ED_JD",Painel_diario!$J4497=1),EXP(Painel_diario!$L4497),1)-1</f>
        <v/>
      </c>
      <c r="E4501" s="22">
        <f>(1+E4500)*IF(AND(Painel_diario!$H4497="ED_JU",Painel_diario!$J4497=1),EXP(Painel_diario!$L4497),1)-1</f>
        <v/>
      </c>
    </row>
    <row r="4502">
      <c r="A4502" s="25" t="n">
        <v>45461</v>
      </c>
      <c r="B4502" s="22">
        <f>(1+B4501)*IF(AND(Painel_diario!$H4498="EU_JD",Painel_diario!$J4498=1),EXP(Painel_diario!$L4498),1)-1</f>
        <v/>
      </c>
      <c r="C4502" s="22">
        <f>(1+C4501)*IF(AND(Painel_diario!$H4498="EU_JU",Painel_diario!$J4498=1),EXP(Painel_diario!$L4498),1)-1</f>
        <v/>
      </c>
      <c r="D4502" s="22">
        <f>(1+D4501)*IF(AND(Painel_diario!$H4498="ED_JD",Painel_diario!$J4498=1),EXP(Painel_diario!$L4498),1)-1</f>
        <v/>
      </c>
      <c r="E4502" s="22">
        <f>(1+E4501)*IF(AND(Painel_diario!$H4498="ED_JU",Painel_diario!$J4498=1),EXP(Painel_diario!$L4498),1)-1</f>
        <v/>
      </c>
    </row>
    <row r="4503">
      <c r="A4503" s="25" t="n">
        <v>45462</v>
      </c>
      <c r="B4503" s="22">
        <f>(1+B4502)*IF(AND(Painel_diario!$H4499="EU_JD",Painel_diario!$J4499=1),EXP(Painel_diario!$L4499),1)-1</f>
        <v/>
      </c>
      <c r="C4503" s="22">
        <f>(1+C4502)*IF(AND(Painel_diario!$H4499="EU_JU",Painel_diario!$J4499=1),EXP(Painel_diario!$L4499),1)-1</f>
        <v/>
      </c>
      <c r="D4503" s="22">
        <f>(1+D4502)*IF(AND(Painel_diario!$H4499="ED_JD",Painel_diario!$J4499=1),EXP(Painel_diario!$L4499),1)-1</f>
        <v/>
      </c>
      <c r="E4503" s="22">
        <f>(1+E4502)*IF(AND(Painel_diario!$H4499="ED_JU",Painel_diario!$J4499=1),EXP(Painel_diario!$L4499),1)-1</f>
        <v/>
      </c>
    </row>
    <row r="4504">
      <c r="A4504" s="25" t="n">
        <v>45463</v>
      </c>
      <c r="B4504" s="22">
        <f>(1+B4503)*IF(AND(Painel_diario!$H4500="EU_JD",Painel_diario!$J4500=1),EXP(Painel_diario!$L4500),1)-1</f>
        <v/>
      </c>
      <c r="C4504" s="22">
        <f>(1+C4503)*IF(AND(Painel_diario!$H4500="EU_JU",Painel_diario!$J4500=1),EXP(Painel_diario!$L4500),1)-1</f>
        <v/>
      </c>
      <c r="D4504" s="22">
        <f>(1+D4503)*IF(AND(Painel_diario!$H4500="ED_JD",Painel_diario!$J4500=1),EXP(Painel_diario!$L4500),1)-1</f>
        <v/>
      </c>
      <c r="E4504" s="22">
        <f>(1+E4503)*IF(AND(Painel_diario!$H4500="ED_JU",Painel_diario!$J4500=1),EXP(Painel_diario!$L4500),1)-1</f>
        <v/>
      </c>
    </row>
    <row r="4505">
      <c r="A4505" s="25" t="n">
        <v>45464</v>
      </c>
      <c r="B4505" s="22">
        <f>(1+B4504)*IF(AND(Painel_diario!$H4501="EU_JD",Painel_diario!$J4501=1),EXP(Painel_diario!$L4501),1)-1</f>
        <v/>
      </c>
      <c r="C4505" s="22">
        <f>(1+C4504)*IF(AND(Painel_diario!$H4501="EU_JU",Painel_diario!$J4501=1),EXP(Painel_diario!$L4501),1)-1</f>
        <v/>
      </c>
      <c r="D4505" s="22">
        <f>(1+D4504)*IF(AND(Painel_diario!$H4501="ED_JD",Painel_diario!$J4501=1),EXP(Painel_diario!$L4501),1)-1</f>
        <v/>
      </c>
      <c r="E4505" s="22">
        <f>(1+E4504)*IF(AND(Painel_diario!$H4501="ED_JU",Painel_diario!$J4501=1),EXP(Painel_diario!$L4501),1)-1</f>
        <v/>
      </c>
    </row>
    <row r="4506">
      <c r="A4506" s="25" t="n">
        <v>45467</v>
      </c>
      <c r="B4506" s="22">
        <f>(1+B4505)*IF(AND(Painel_diario!$H4502="EU_JD",Painel_diario!$J4502=1),EXP(Painel_diario!$L4502),1)-1</f>
        <v/>
      </c>
      <c r="C4506" s="22">
        <f>(1+C4505)*IF(AND(Painel_diario!$H4502="EU_JU",Painel_diario!$J4502=1),EXP(Painel_diario!$L4502),1)-1</f>
        <v/>
      </c>
      <c r="D4506" s="22">
        <f>(1+D4505)*IF(AND(Painel_diario!$H4502="ED_JD",Painel_diario!$J4502=1),EXP(Painel_diario!$L4502),1)-1</f>
        <v/>
      </c>
      <c r="E4506" s="22">
        <f>(1+E4505)*IF(AND(Painel_diario!$H4502="ED_JU",Painel_diario!$J4502=1),EXP(Painel_diario!$L4502),1)-1</f>
        <v/>
      </c>
    </row>
    <row r="4507">
      <c r="A4507" s="25" t="n">
        <v>45468</v>
      </c>
      <c r="B4507" s="22">
        <f>(1+B4506)*IF(AND(Painel_diario!$H4503="EU_JD",Painel_diario!$J4503=1),EXP(Painel_diario!$L4503),1)-1</f>
        <v/>
      </c>
      <c r="C4507" s="22">
        <f>(1+C4506)*IF(AND(Painel_diario!$H4503="EU_JU",Painel_diario!$J4503=1),EXP(Painel_diario!$L4503),1)-1</f>
        <v/>
      </c>
      <c r="D4507" s="22">
        <f>(1+D4506)*IF(AND(Painel_diario!$H4503="ED_JD",Painel_diario!$J4503=1),EXP(Painel_diario!$L4503),1)-1</f>
        <v/>
      </c>
      <c r="E4507" s="22">
        <f>(1+E4506)*IF(AND(Painel_diario!$H4503="ED_JU",Painel_diario!$J4503=1),EXP(Painel_diario!$L4503),1)-1</f>
        <v/>
      </c>
    </row>
    <row r="4508">
      <c r="A4508" s="25" t="n">
        <v>45469</v>
      </c>
      <c r="B4508" s="22">
        <f>(1+B4507)*IF(AND(Painel_diario!$H4504="EU_JD",Painel_diario!$J4504=1),EXP(Painel_diario!$L4504),1)-1</f>
        <v/>
      </c>
      <c r="C4508" s="22">
        <f>(1+C4507)*IF(AND(Painel_diario!$H4504="EU_JU",Painel_diario!$J4504=1),EXP(Painel_diario!$L4504),1)-1</f>
        <v/>
      </c>
      <c r="D4508" s="22">
        <f>(1+D4507)*IF(AND(Painel_diario!$H4504="ED_JD",Painel_diario!$J4504=1),EXP(Painel_diario!$L4504),1)-1</f>
        <v/>
      </c>
      <c r="E4508" s="22">
        <f>(1+E4507)*IF(AND(Painel_diario!$H4504="ED_JU",Painel_diario!$J4504=1),EXP(Painel_diario!$L4504),1)-1</f>
        <v/>
      </c>
    </row>
    <row r="4509">
      <c r="A4509" s="25" t="n">
        <v>45470</v>
      </c>
      <c r="B4509" s="22">
        <f>(1+B4508)*IF(AND(Painel_diario!$H4505="EU_JD",Painel_diario!$J4505=1),EXP(Painel_diario!$L4505),1)-1</f>
        <v/>
      </c>
      <c r="C4509" s="22">
        <f>(1+C4508)*IF(AND(Painel_diario!$H4505="EU_JU",Painel_diario!$J4505=1),EXP(Painel_diario!$L4505),1)-1</f>
        <v/>
      </c>
      <c r="D4509" s="22">
        <f>(1+D4508)*IF(AND(Painel_diario!$H4505="ED_JD",Painel_diario!$J4505=1),EXP(Painel_diario!$L4505),1)-1</f>
        <v/>
      </c>
      <c r="E4509" s="22">
        <f>(1+E4508)*IF(AND(Painel_diario!$H4505="ED_JU",Painel_diario!$J4505=1),EXP(Painel_diario!$L4505),1)-1</f>
        <v/>
      </c>
    </row>
    <row r="4510">
      <c r="A4510" s="25" t="n">
        <v>45471</v>
      </c>
      <c r="B4510" s="22">
        <f>(1+B4509)*IF(AND(Painel_diario!$H4506="EU_JD",Painel_diario!$J4506=1),EXP(Painel_diario!$L4506),1)-1</f>
        <v/>
      </c>
      <c r="C4510" s="22">
        <f>(1+C4509)*IF(AND(Painel_diario!$H4506="EU_JU",Painel_diario!$J4506=1),EXP(Painel_diario!$L4506),1)-1</f>
        <v/>
      </c>
      <c r="D4510" s="22">
        <f>(1+D4509)*IF(AND(Painel_diario!$H4506="ED_JD",Painel_diario!$J4506=1),EXP(Painel_diario!$L4506),1)-1</f>
        <v/>
      </c>
      <c r="E4510" s="22">
        <f>(1+E4509)*IF(AND(Painel_diario!$H4506="ED_JU",Painel_diario!$J4506=1),EXP(Painel_diario!$L4506),1)-1</f>
        <v/>
      </c>
    </row>
    <row r="4511">
      <c r="A4511" s="25" t="n">
        <v>45474</v>
      </c>
      <c r="B4511" s="22">
        <f>(1+B4510)*IF(AND(Painel_diario!$H4507="EU_JD",Painel_diario!$J4507=1),EXP(Painel_diario!$L4507),1)-1</f>
        <v/>
      </c>
      <c r="C4511" s="22">
        <f>(1+C4510)*IF(AND(Painel_diario!$H4507="EU_JU",Painel_diario!$J4507=1),EXP(Painel_diario!$L4507),1)-1</f>
        <v/>
      </c>
      <c r="D4511" s="22">
        <f>(1+D4510)*IF(AND(Painel_diario!$H4507="ED_JD",Painel_diario!$J4507=1),EXP(Painel_diario!$L4507),1)-1</f>
        <v/>
      </c>
      <c r="E4511" s="22">
        <f>(1+E4510)*IF(AND(Painel_diario!$H4507="ED_JU",Painel_diario!$J4507=1),EXP(Painel_diario!$L4507),1)-1</f>
        <v/>
      </c>
    </row>
    <row r="4512">
      <c r="A4512" s="25" t="n">
        <v>45475</v>
      </c>
      <c r="B4512" s="22">
        <f>(1+B4511)*IF(AND(Painel_diario!$H4508="EU_JD",Painel_diario!$J4508=1),EXP(Painel_diario!$L4508),1)-1</f>
        <v/>
      </c>
      <c r="C4512" s="22">
        <f>(1+C4511)*IF(AND(Painel_diario!$H4508="EU_JU",Painel_diario!$J4508=1),EXP(Painel_diario!$L4508),1)-1</f>
        <v/>
      </c>
      <c r="D4512" s="22">
        <f>(1+D4511)*IF(AND(Painel_diario!$H4508="ED_JD",Painel_diario!$J4508=1),EXP(Painel_diario!$L4508),1)-1</f>
        <v/>
      </c>
      <c r="E4512" s="22">
        <f>(1+E4511)*IF(AND(Painel_diario!$H4508="ED_JU",Painel_diario!$J4508=1),EXP(Painel_diario!$L4508),1)-1</f>
        <v/>
      </c>
    </row>
    <row r="4513">
      <c r="A4513" s="25" t="n">
        <v>45476</v>
      </c>
      <c r="B4513" s="22">
        <f>(1+B4512)*IF(AND(Painel_diario!$H4509="EU_JD",Painel_diario!$J4509=1),EXP(Painel_diario!$L4509),1)-1</f>
        <v/>
      </c>
      <c r="C4513" s="22">
        <f>(1+C4512)*IF(AND(Painel_diario!$H4509="EU_JU",Painel_diario!$J4509=1),EXP(Painel_diario!$L4509),1)-1</f>
        <v/>
      </c>
      <c r="D4513" s="22">
        <f>(1+D4512)*IF(AND(Painel_diario!$H4509="ED_JD",Painel_diario!$J4509=1),EXP(Painel_diario!$L4509),1)-1</f>
        <v/>
      </c>
      <c r="E4513" s="22">
        <f>(1+E4512)*IF(AND(Painel_diario!$H4509="ED_JU",Painel_diario!$J4509=1),EXP(Painel_diario!$L4509),1)-1</f>
        <v/>
      </c>
    </row>
    <row r="4514">
      <c r="A4514" s="25" t="n">
        <v>45477</v>
      </c>
      <c r="B4514" s="22">
        <f>(1+B4513)*IF(AND(Painel_diario!$H4510="EU_JD",Painel_diario!$J4510=1),EXP(Painel_diario!$L4510),1)-1</f>
        <v/>
      </c>
      <c r="C4514" s="22">
        <f>(1+C4513)*IF(AND(Painel_diario!$H4510="EU_JU",Painel_diario!$J4510=1),EXP(Painel_diario!$L4510),1)-1</f>
        <v/>
      </c>
      <c r="D4514" s="22">
        <f>(1+D4513)*IF(AND(Painel_diario!$H4510="ED_JD",Painel_diario!$J4510=1),EXP(Painel_diario!$L4510),1)-1</f>
        <v/>
      </c>
      <c r="E4514" s="22">
        <f>(1+E4513)*IF(AND(Painel_diario!$H4510="ED_JU",Painel_diario!$J4510=1),EXP(Painel_diario!$L4510),1)-1</f>
        <v/>
      </c>
    </row>
    <row r="4515">
      <c r="A4515" s="25" t="n">
        <v>45478</v>
      </c>
      <c r="B4515" s="22">
        <f>(1+B4514)*IF(AND(Painel_diario!$H4511="EU_JD",Painel_diario!$J4511=1),EXP(Painel_diario!$L4511),1)-1</f>
        <v/>
      </c>
      <c r="C4515" s="22">
        <f>(1+C4514)*IF(AND(Painel_diario!$H4511="EU_JU",Painel_diario!$J4511=1),EXP(Painel_diario!$L4511),1)-1</f>
        <v/>
      </c>
      <c r="D4515" s="22">
        <f>(1+D4514)*IF(AND(Painel_diario!$H4511="ED_JD",Painel_diario!$J4511=1),EXP(Painel_diario!$L4511),1)-1</f>
        <v/>
      </c>
      <c r="E4515" s="22">
        <f>(1+E4514)*IF(AND(Painel_diario!$H4511="ED_JU",Painel_diario!$J4511=1),EXP(Painel_diario!$L4511),1)-1</f>
        <v/>
      </c>
    </row>
    <row r="4516">
      <c r="A4516" s="25" t="n">
        <v>45481</v>
      </c>
      <c r="B4516" s="22">
        <f>(1+B4515)*IF(AND(Painel_diario!$H4512="EU_JD",Painel_diario!$J4512=1),EXP(Painel_diario!$L4512),1)-1</f>
        <v/>
      </c>
      <c r="C4516" s="22">
        <f>(1+C4515)*IF(AND(Painel_diario!$H4512="EU_JU",Painel_diario!$J4512=1),EXP(Painel_diario!$L4512),1)-1</f>
        <v/>
      </c>
      <c r="D4516" s="22">
        <f>(1+D4515)*IF(AND(Painel_diario!$H4512="ED_JD",Painel_diario!$J4512=1),EXP(Painel_diario!$L4512),1)-1</f>
        <v/>
      </c>
      <c r="E4516" s="22">
        <f>(1+E4515)*IF(AND(Painel_diario!$H4512="ED_JU",Painel_diario!$J4512=1),EXP(Painel_diario!$L4512),1)-1</f>
        <v/>
      </c>
    </row>
    <row r="4517">
      <c r="A4517" s="25" t="n">
        <v>45482</v>
      </c>
      <c r="B4517" s="22">
        <f>(1+B4516)*IF(AND(Painel_diario!$H4513="EU_JD",Painel_diario!$J4513=1),EXP(Painel_diario!$L4513),1)-1</f>
        <v/>
      </c>
      <c r="C4517" s="22">
        <f>(1+C4516)*IF(AND(Painel_diario!$H4513="EU_JU",Painel_diario!$J4513=1),EXP(Painel_diario!$L4513),1)-1</f>
        <v/>
      </c>
      <c r="D4517" s="22">
        <f>(1+D4516)*IF(AND(Painel_diario!$H4513="ED_JD",Painel_diario!$J4513=1),EXP(Painel_diario!$L4513),1)-1</f>
        <v/>
      </c>
      <c r="E4517" s="22">
        <f>(1+E4516)*IF(AND(Painel_diario!$H4513="ED_JU",Painel_diario!$J4513=1),EXP(Painel_diario!$L4513),1)-1</f>
        <v/>
      </c>
    </row>
    <row r="4518">
      <c r="A4518" s="25" t="n">
        <v>45483</v>
      </c>
      <c r="B4518" s="22">
        <f>(1+B4517)*IF(AND(Painel_diario!$H4514="EU_JD",Painel_diario!$J4514=1),EXP(Painel_diario!$L4514),1)-1</f>
        <v/>
      </c>
      <c r="C4518" s="22">
        <f>(1+C4517)*IF(AND(Painel_diario!$H4514="EU_JU",Painel_diario!$J4514=1),EXP(Painel_diario!$L4514),1)-1</f>
        <v/>
      </c>
      <c r="D4518" s="22">
        <f>(1+D4517)*IF(AND(Painel_diario!$H4514="ED_JD",Painel_diario!$J4514=1),EXP(Painel_diario!$L4514),1)-1</f>
        <v/>
      </c>
      <c r="E4518" s="22">
        <f>(1+E4517)*IF(AND(Painel_diario!$H4514="ED_JU",Painel_diario!$J4514=1),EXP(Painel_diario!$L4514),1)-1</f>
        <v/>
      </c>
    </row>
    <row r="4519">
      <c r="A4519" s="25" t="n">
        <v>45484</v>
      </c>
      <c r="B4519" s="22">
        <f>(1+B4518)*IF(AND(Painel_diario!$H4515="EU_JD",Painel_diario!$J4515=1),EXP(Painel_diario!$L4515),1)-1</f>
        <v/>
      </c>
      <c r="C4519" s="22">
        <f>(1+C4518)*IF(AND(Painel_diario!$H4515="EU_JU",Painel_diario!$J4515=1),EXP(Painel_diario!$L4515),1)-1</f>
        <v/>
      </c>
      <c r="D4519" s="22">
        <f>(1+D4518)*IF(AND(Painel_diario!$H4515="ED_JD",Painel_diario!$J4515=1),EXP(Painel_diario!$L4515),1)-1</f>
        <v/>
      </c>
      <c r="E4519" s="22">
        <f>(1+E4518)*IF(AND(Painel_diario!$H4515="ED_JU",Painel_diario!$J4515=1),EXP(Painel_diario!$L4515),1)-1</f>
        <v/>
      </c>
    </row>
    <row r="4520">
      <c r="A4520" s="25" t="n">
        <v>45485</v>
      </c>
      <c r="B4520" s="22">
        <f>(1+B4519)*IF(AND(Painel_diario!$H4516="EU_JD",Painel_diario!$J4516=1),EXP(Painel_diario!$L4516),1)-1</f>
        <v/>
      </c>
      <c r="C4520" s="22">
        <f>(1+C4519)*IF(AND(Painel_diario!$H4516="EU_JU",Painel_diario!$J4516=1),EXP(Painel_diario!$L4516),1)-1</f>
        <v/>
      </c>
      <c r="D4520" s="22">
        <f>(1+D4519)*IF(AND(Painel_diario!$H4516="ED_JD",Painel_diario!$J4516=1),EXP(Painel_diario!$L4516),1)-1</f>
        <v/>
      </c>
      <c r="E4520" s="22">
        <f>(1+E4519)*IF(AND(Painel_diario!$H4516="ED_JU",Painel_diario!$J4516=1),EXP(Painel_diario!$L4516),1)-1</f>
        <v/>
      </c>
    </row>
    <row r="4521">
      <c r="A4521" s="25" t="n">
        <v>45488</v>
      </c>
      <c r="B4521" s="22">
        <f>(1+B4520)*IF(AND(Painel_diario!$H4517="EU_JD",Painel_diario!$J4517=1),EXP(Painel_diario!$L4517),1)-1</f>
        <v/>
      </c>
      <c r="C4521" s="22">
        <f>(1+C4520)*IF(AND(Painel_diario!$H4517="EU_JU",Painel_diario!$J4517=1),EXP(Painel_diario!$L4517),1)-1</f>
        <v/>
      </c>
      <c r="D4521" s="22">
        <f>(1+D4520)*IF(AND(Painel_diario!$H4517="ED_JD",Painel_diario!$J4517=1),EXP(Painel_diario!$L4517),1)-1</f>
        <v/>
      </c>
      <c r="E4521" s="22">
        <f>(1+E4520)*IF(AND(Painel_diario!$H4517="ED_JU",Painel_diario!$J4517=1),EXP(Painel_diario!$L4517),1)-1</f>
        <v/>
      </c>
    </row>
    <row r="4522">
      <c r="A4522" s="25" t="n">
        <v>45489</v>
      </c>
      <c r="B4522" s="22">
        <f>(1+B4521)*IF(AND(Painel_diario!$H4518="EU_JD",Painel_diario!$J4518=1),EXP(Painel_diario!$L4518),1)-1</f>
        <v/>
      </c>
      <c r="C4522" s="22">
        <f>(1+C4521)*IF(AND(Painel_diario!$H4518="EU_JU",Painel_diario!$J4518=1),EXP(Painel_diario!$L4518),1)-1</f>
        <v/>
      </c>
      <c r="D4522" s="22">
        <f>(1+D4521)*IF(AND(Painel_diario!$H4518="ED_JD",Painel_diario!$J4518=1),EXP(Painel_diario!$L4518),1)-1</f>
        <v/>
      </c>
      <c r="E4522" s="22">
        <f>(1+E4521)*IF(AND(Painel_diario!$H4518="ED_JU",Painel_diario!$J4518=1),EXP(Painel_diario!$L4518),1)-1</f>
        <v/>
      </c>
    </row>
    <row r="4523">
      <c r="A4523" s="25" t="n">
        <v>45490</v>
      </c>
      <c r="B4523" s="22">
        <f>(1+B4522)*IF(AND(Painel_diario!$H4519="EU_JD",Painel_diario!$J4519=1),EXP(Painel_diario!$L4519),1)-1</f>
        <v/>
      </c>
      <c r="C4523" s="22">
        <f>(1+C4522)*IF(AND(Painel_diario!$H4519="EU_JU",Painel_diario!$J4519=1),EXP(Painel_diario!$L4519),1)-1</f>
        <v/>
      </c>
      <c r="D4523" s="22">
        <f>(1+D4522)*IF(AND(Painel_diario!$H4519="ED_JD",Painel_diario!$J4519=1),EXP(Painel_diario!$L4519),1)-1</f>
        <v/>
      </c>
      <c r="E4523" s="22">
        <f>(1+E4522)*IF(AND(Painel_diario!$H4519="ED_JU",Painel_diario!$J4519=1),EXP(Painel_diario!$L4519),1)-1</f>
        <v/>
      </c>
    </row>
    <row r="4524">
      <c r="A4524" s="25" t="n">
        <v>45491</v>
      </c>
      <c r="B4524" s="22">
        <f>(1+B4523)*IF(AND(Painel_diario!$H4520="EU_JD",Painel_diario!$J4520=1),EXP(Painel_diario!$L4520),1)-1</f>
        <v/>
      </c>
      <c r="C4524" s="22">
        <f>(1+C4523)*IF(AND(Painel_diario!$H4520="EU_JU",Painel_diario!$J4520=1),EXP(Painel_diario!$L4520),1)-1</f>
        <v/>
      </c>
      <c r="D4524" s="22">
        <f>(1+D4523)*IF(AND(Painel_diario!$H4520="ED_JD",Painel_diario!$J4520=1),EXP(Painel_diario!$L4520),1)-1</f>
        <v/>
      </c>
      <c r="E4524" s="22">
        <f>(1+E4523)*IF(AND(Painel_diario!$H4520="ED_JU",Painel_diario!$J4520=1),EXP(Painel_diario!$L4520),1)-1</f>
        <v/>
      </c>
    </row>
    <row r="4525">
      <c r="A4525" s="25" t="n">
        <v>45492</v>
      </c>
      <c r="B4525" s="22">
        <f>(1+B4524)*IF(AND(Painel_diario!$H4521="EU_JD",Painel_diario!$J4521=1),EXP(Painel_diario!$L4521),1)-1</f>
        <v/>
      </c>
      <c r="C4525" s="22">
        <f>(1+C4524)*IF(AND(Painel_diario!$H4521="EU_JU",Painel_diario!$J4521=1),EXP(Painel_diario!$L4521),1)-1</f>
        <v/>
      </c>
      <c r="D4525" s="22">
        <f>(1+D4524)*IF(AND(Painel_diario!$H4521="ED_JD",Painel_diario!$J4521=1),EXP(Painel_diario!$L4521),1)-1</f>
        <v/>
      </c>
      <c r="E4525" s="22">
        <f>(1+E4524)*IF(AND(Painel_diario!$H4521="ED_JU",Painel_diario!$J4521=1),EXP(Painel_diario!$L4521),1)-1</f>
        <v/>
      </c>
    </row>
    <row r="4526">
      <c r="A4526" s="25" t="n">
        <v>45495</v>
      </c>
      <c r="B4526" s="22">
        <f>(1+B4525)*IF(AND(Painel_diario!$H4522="EU_JD",Painel_diario!$J4522=1),EXP(Painel_diario!$L4522),1)-1</f>
        <v/>
      </c>
      <c r="C4526" s="22">
        <f>(1+C4525)*IF(AND(Painel_diario!$H4522="EU_JU",Painel_diario!$J4522=1),EXP(Painel_diario!$L4522),1)-1</f>
        <v/>
      </c>
      <c r="D4526" s="22">
        <f>(1+D4525)*IF(AND(Painel_diario!$H4522="ED_JD",Painel_diario!$J4522=1),EXP(Painel_diario!$L4522),1)-1</f>
        <v/>
      </c>
      <c r="E4526" s="22">
        <f>(1+E4525)*IF(AND(Painel_diario!$H4522="ED_JU",Painel_diario!$J4522=1),EXP(Painel_diario!$L4522),1)-1</f>
        <v/>
      </c>
    </row>
    <row r="4527">
      <c r="A4527" s="25" t="n">
        <v>45496</v>
      </c>
      <c r="B4527" s="22">
        <f>(1+B4526)*IF(AND(Painel_diario!$H4523="EU_JD",Painel_diario!$J4523=1),EXP(Painel_diario!$L4523),1)-1</f>
        <v/>
      </c>
      <c r="C4527" s="22">
        <f>(1+C4526)*IF(AND(Painel_diario!$H4523="EU_JU",Painel_diario!$J4523=1),EXP(Painel_diario!$L4523),1)-1</f>
        <v/>
      </c>
      <c r="D4527" s="22">
        <f>(1+D4526)*IF(AND(Painel_diario!$H4523="ED_JD",Painel_diario!$J4523=1),EXP(Painel_diario!$L4523),1)-1</f>
        <v/>
      </c>
      <c r="E4527" s="22">
        <f>(1+E4526)*IF(AND(Painel_diario!$H4523="ED_JU",Painel_diario!$J4523=1),EXP(Painel_diario!$L4523),1)-1</f>
        <v/>
      </c>
    </row>
    <row r="4528">
      <c r="A4528" s="25" t="n">
        <v>45497</v>
      </c>
      <c r="B4528" s="22">
        <f>(1+B4527)*IF(AND(Painel_diario!$H4524="EU_JD",Painel_diario!$J4524=1),EXP(Painel_diario!$L4524),1)-1</f>
        <v/>
      </c>
      <c r="C4528" s="22">
        <f>(1+C4527)*IF(AND(Painel_diario!$H4524="EU_JU",Painel_diario!$J4524=1),EXP(Painel_diario!$L4524),1)-1</f>
        <v/>
      </c>
      <c r="D4528" s="22">
        <f>(1+D4527)*IF(AND(Painel_diario!$H4524="ED_JD",Painel_diario!$J4524=1),EXP(Painel_diario!$L4524),1)-1</f>
        <v/>
      </c>
      <c r="E4528" s="22">
        <f>(1+E4527)*IF(AND(Painel_diario!$H4524="ED_JU",Painel_diario!$J4524=1),EXP(Painel_diario!$L4524),1)-1</f>
        <v/>
      </c>
    </row>
    <row r="4529">
      <c r="A4529" s="25" t="n">
        <v>45498</v>
      </c>
      <c r="B4529" s="22">
        <f>(1+B4528)*IF(AND(Painel_diario!$H4525="EU_JD",Painel_diario!$J4525=1),EXP(Painel_diario!$L4525),1)-1</f>
        <v/>
      </c>
      <c r="C4529" s="22">
        <f>(1+C4528)*IF(AND(Painel_diario!$H4525="EU_JU",Painel_diario!$J4525=1),EXP(Painel_diario!$L4525),1)-1</f>
        <v/>
      </c>
      <c r="D4529" s="22">
        <f>(1+D4528)*IF(AND(Painel_diario!$H4525="ED_JD",Painel_diario!$J4525=1),EXP(Painel_diario!$L4525),1)-1</f>
        <v/>
      </c>
      <c r="E4529" s="22">
        <f>(1+E4528)*IF(AND(Painel_diario!$H4525="ED_JU",Painel_diario!$J4525=1),EXP(Painel_diario!$L4525),1)-1</f>
        <v/>
      </c>
    </row>
    <row r="4530">
      <c r="A4530" s="25" t="n">
        <v>45499</v>
      </c>
      <c r="B4530" s="22">
        <f>(1+B4529)*IF(AND(Painel_diario!$H4526="EU_JD",Painel_diario!$J4526=1),EXP(Painel_diario!$L4526),1)-1</f>
        <v/>
      </c>
      <c r="C4530" s="22">
        <f>(1+C4529)*IF(AND(Painel_diario!$H4526="EU_JU",Painel_diario!$J4526=1),EXP(Painel_diario!$L4526),1)-1</f>
        <v/>
      </c>
      <c r="D4530" s="22">
        <f>(1+D4529)*IF(AND(Painel_diario!$H4526="ED_JD",Painel_diario!$J4526=1),EXP(Painel_diario!$L4526),1)-1</f>
        <v/>
      </c>
      <c r="E4530" s="22">
        <f>(1+E4529)*IF(AND(Painel_diario!$H4526="ED_JU",Painel_diario!$J4526=1),EXP(Painel_diario!$L4526),1)-1</f>
        <v/>
      </c>
    </row>
    <row r="4531">
      <c r="A4531" s="25" t="n">
        <v>45502</v>
      </c>
      <c r="B4531" s="22">
        <f>(1+B4530)*IF(AND(Painel_diario!$H4527="EU_JD",Painel_diario!$J4527=1),EXP(Painel_diario!$L4527),1)-1</f>
        <v/>
      </c>
      <c r="C4531" s="22">
        <f>(1+C4530)*IF(AND(Painel_diario!$H4527="EU_JU",Painel_diario!$J4527=1),EXP(Painel_diario!$L4527),1)-1</f>
        <v/>
      </c>
      <c r="D4531" s="22">
        <f>(1+D4530)*IF(AND(Painel_diario!$H4527="ED_JD",Painel_diario!$J4527=1),EXP(Painel_diario!$L4527),1)-1</f>
        <v/>
      </c>
      <c r="E4531" s="22">
        <f>(1+E4530)*IF(AND(Painel_diario!$H4527="ED_JU",Painel_diario!$J4527=1),EXP(Painel_diario!$L4527),1)-1</f>
        <v/>
      </c>
    </row>
    <row r="4532">
      <c r="A4532" s="25" t="n">
        <v>45503</v>
      </c>
      <c r="B4532" s="22">
        <f>(1+B4531)*IF(AND(Painel_diario!$H4528="EU_JD",Painel_diario!$J4528=1),EXP(Painel_diario!$L4528),1)-1</f>
        <v/>
      </c>
      <c r="C4532" s="22">
        <f>(1+C4531)*IF(AND(Painel_diario!$H4528="EU_JU",Painel_diario!$J4528=1),EXP(Painel_diario!$L4528),1)-1</f>
        <v/>
      </c>
      <c r="D4532" s="22">
        <f>(1+D4531)*IF(AND(Painel_diario!$H4528="ED_JD",Painel_diario!$J4528=1),EXP(Painel_diario!$L4528),1)-1</f>
        <v/>
      </c>
      <c r="E4532" s="22">
        <f>(1+E4531)*IF(AND(Painel_diario!$H4528="ED_JU",Painel_diario!$J4528=1),EXP(Painel_diario!$L4528),1)-1</f>
        <v/>
      </c>
    </row>
    <row r="4533">
      <c r="A4533" s="25" t="n">
        <v>45504</v>
      </c>
      <c r="B4533" s="22">
        <f>(1+B4532)*IF(AND(Painel_diario!$H4529="EU_JD",Painel_diario!$J4529=1),EXP(Painel_diario!$L4529),1)-1</f>
        <v/>
      </c>
      <c r="C4533" s="22">
        <f>(1+C4532)*IF(AND(Painel_diario!$H4529="EU_JU",Painel_diario!$J4529=1),EXP(Painel_diario!$L4529),1)-1</f>
        <v/>
      </c>
      <c r="D4533" s="22">
        <f>(1+D4532)*IF(AND(Painel_diario!$H4529="ED_JD",Painel_diario!$J4529=1),EXP(Painel_diario!$L4529),1)-1</f>
        <v/>
      </c>
      <c r="E4533" s="22">
        <f>(1+E4532)*IF(AND(Painel_diario!$H4529="ED_JU",Painel_diario!$J4529=1),EXP(Painel_diario!$L4529),1)-1</f>
        <v/>
      </c>
    </row>
    <row r="4534">
      <c r="A4534" s="25" t="n">
        <v>45505</v>
      </c>
      <c r="B4534" s="22">
        <f>(1+B4533)*IF(AND(Painel_diario!$H4530="EU_JD",Painel_diario!$J4530=1),EXP(Painel_diario!$L4530),1)-1</f>
        <v/>
      </c>
      <c r="C4534" s="22">
        <f>(1+C4533)*IF(AND(Painel_diario!$H4530="EU_JU",Painel_diario!$J4530=1),EXP(Painel_diario!$L4530),1)-1</f>
        <v/>
      </c>
      <c r="D4534" s="22">
        <f>(1+D4533)*IF(AND(Painel_diario!$H4530="ED_JD",Painel_diario!$J4530=1),EXP(Painel_diario!$L4530),1)-1</f>
        <v/>
      </c>
      <c r="E4534" s="22">
        <f>(1+E4533)*IF(AND(Painel_diario!$H4530="ED_JU",Painel_diario!$J4530=1),EXP(Painel_diario!$L4530),1)-1</f>
        <v/>
      </c>
    </row>
    <row r="4535">
      <c r="A4535" s="25" t="n">
        <v>45506</v>
      </c>
      <c r="B4535" s="22">
        <f>(1+B4534)*IF(AND(Painel_diario!$H4531="EU_JD",Painel_diario!$J4531=1),EXP(Painel_diario!$L4531),1)-1</f>
        <v/>
      </c>
      <c r="C4535" s="22">
        <f>(1+C4534)*IF(AND(Painel_diario!$H4531="EU_JU",Painel_diario!$J4531=1),EXP(Painel_diario!$L4531),1)-1</f>
        <v/>
      </c>
      <c r="D4535" s="22">
        <f>(1+D4534)*IF(AND(Painel_diario!$H4531="ED_JD",Painel_diario!$J4531=1),EXP(Painel_diario!$L4531),1)-1</f>
        <v/>
      </c>
      <c r="E4535" s="22">
        <f>(1+E4534)*IF(AND(Painel_diario!$H4531="ED_JU",Painel_diario!$J4531=1),EXP(Painel_diario!$L4531),1)-1</f>
        <v/>
      </c>
    </row>
    <row r="4536">
      <c r="A4536" s="25" t="n">
        <v>45509</v>
      </c>
      <c r="B4536" s="22">
        <f>(1+B4535)*IF(AND(Painel_diario!$H4532="EU_JD",Painel_diario!$J4532=1),EXP(Painel_diario!$L4532),1)-1</f>
        <v/>
      </c>
      <c r="C4536" s="22">
        <f>(1+C4535)*IF(AND(Painel_diario!$H4532="EU_JU",Painel_diario!$J4532=1),EXP(Painel_diario!$L4532),1)-1</f>
        <v/>
      </c>
      <c r="D4536" s="22">
        <f>(1+D4535)*IF(AND(Painel_diario!$H4532="ED_JD",Painel_diario!$J4532=1),EXP(Painel_diario!$L4532),1)-1</f>
        <v/>
      </c>
      <c r="E4536" s="22">
        <f>(1+E4535)*IF(AND(Painel_diario!$H4532="ED_JU",Painel_diario!$J4532=1),EXP(Painel_diario!$L4532),1)-1</f>
        <v/>
      </c>
    </row>
    <row r="4537">
      <c r="A4537" s="25" t="n">
        <v>45510</v>
      </c>
      <c r="B4537" s="22">
        <f>(1+B4536)*IF(AND(Painel_diario!$H4533="EU_JD",Painel_diario!$J4533=1),EXP(Painel_diario!$L4533),1)-1</f>
        <v/>
      </c>
      <c r="C4537" s="22">
        <f>(1+C4536)*IF(AND(Painel_diario!$H4533="EU_JU",Painel_diario!$J4533=1),EXP(Painel_diario!$L4533),1)-1</f>
        <v/>
      </c>
      <c r="D4537" s="22">
        <f>(1+D4536)*IF(AND(Painel_diario!$H4533="ED_JD",Painel_diario!$J4533=1),EXP(Painel_diario!$L4533),1)-1</f>
        <v/>
      </c>
      <c r="E4537" s="22">
        <f>(1+E4536)*IF(AND(Painel_diario!$H4533="ED_JU",Painel_diario!$J4533=1),EXP(Painel_diario!$L4533),1)-1</f>
        <v/>
      </c>
    </row>
    <row r="4538">
      <c r="A4538" s="25" t="n">
        <v>45511</v>
      </c>
      <c r="B4538" s="22">
        <f>(1+B4537)*IF(AND(Painel_diario!$H4534="EU_JD",Painel_diario!$J4534=1),EXP(Painel_diario!$L4534),1)-1</f>
        <v/>
      </c>
      <c r="C4538" s="22">
        <f>(1+C4537)*IF(AND(Painel_diario!$H4534="EU_JU",Painel_diario!$J4534=1),EXP(Painel_diario!$L4534),1)-1</f>
        <v/>
      </c>
      <c r="D4538" s="22">
        <f>(1+D4537)*IF(AND(Painel_diario!$H4534="ED_JD",Painel_diario!$J4534=1),EXP(Painel_diario!$L4534),1)-1</f>
        <v/>
      </c>
      <c r="E4538" s="22">
        <f>(1+E4537)*IF(AND(Painel_diario!$H4534="ED_JU",Painel_diario!$J4534=1),EXP(Painel_diario!$L4534),1)-1</f>
        <v/>
      </c>
    </row>
    <row r="4539">
      <c r="A4539" s="25" t="n">
        <v>45512</v>
      </c>
      <c r="B4539" s="22">
        <f>(1+B4538)*IF(AND(Painel_diario!$H4535="EU_JD",Painel_diario!$J4535=1),EXP(Painel_diario!$L4535),1)-1</f>
        <v/>
      </c>
      <c r="C4539" s="22">
        <f>(1+C4538)*IF(AND(Painel_diario!$H4535="EU_JU",Painel_diario!$J4535=1),EXP(Painel_diario!$L4535),1)-1</f>
        <v/>
      </c>
      <c r="D4539" s="22">
        <f>(1+D4538)*IF(AND(Painel_diario!$H4535="ED_JD",Painel_diario!$J4535=1),EXP(Painel_diario!$L4535),1)-1</f>
        <v/>
      </c>
      <c r="E4539" s="22">
        <f>(1+E4538)*IF(AND(Painel_diario!$H4535="ED_JU",Painel_diario!$J4535=1),EXP(Painel_diario!$L4535),1)-1</f>
        <v/>
      </c>
    </row>
    <row r="4540">
      <c r="A4540" s="25" t="n">
        <v>45513</v>
      </c>
      <c r="B4540" s="22">
        <f>(1+B4539)*IF(AND(Painel_diario!$H4536="EU_JD",Painel_diario!$J4536=1),EXP(Painel_diario!$L4536),1)-1</f>
        <v/>
      </c>
      <c r="C4540" s="22">
        <f>(1+C4539)*IF(AND(Painel_diario!$H4536="EU_JU",Painel_diario!$J4536=1),EXP(Painel_diario!$L4536),1)-1</f>
        <v/>
      </c>
      <c r="D4540" s="22">
        <f>(1+D4539)*IF(AND(Painel_diario!$H4536="ED_JD",Painel_diario!$J4536=1),EXP(Painel_diario!$L4536),1)-1</f>
        <v/>
      </c>
      <c r="E4540" s="22">
        <f>(1+E4539)*IF(AND(Painel_diario!$H4536="ED_JU",Painel_diario!$J4536=1),EXP(Painel_diario!$L4536),1)-1</f>
        <v/>
      </c>
    </row>
    <row r="4541">
      <c r="A4541" s="25" t="n">
        <v>45516</v>
      </c>
      <c r="B4541" s="22">
        <f>(1+B4540)*IF(AND(Painel_diario!$H4537="EU_JD",Painel_diario!$J4537=1),EXP(Painel_diario!$L4537),1)-1</f>
        <v/>
      </c>
      <c r="C4541" s="22">
        <f>(1+C4540)*IF(AND(Painel_diario!$H4537="EU_JU",Painel_diario!$J4537=1),EXP(Painel_diario!$L4537),1)-1</f>
        <v/>
      </c>
      <c r="D4541" s="22">
        <f>(1+D4540)*IF(AND(Painel_diario!$H4537="ED_JD",Painel_diario!$J4537=1),EXP(Painel_diario!$L4537),1)-1</f>
        <v/>
      </c>
      <c r="E4541" s="22">
        <f>(1+E4540)*IF(AND(Painel_diario!$H4537="ED_JU",Painel_diario!$J4537=1),EXP(Painel_diario!$L4537),1)-1</f>
        <v/>
      </c>
    </row>
    <row r="4542">
      <c r="A4542" s="25" t="n">
        <v>45517</v>
      </c>
      <c r="B4542" s="22">
        <f>(1+B4541)*IF(AND(Painel_diario!$H4538="EU_JD",Painel_diario!$J4538=1),EXP(Painel_diario!$L4538),1)-1</f>
        <v/>
      </c>
      <c r="C4542" s="22">
        <f>(1+C4541)*IF(AND(Painel_diario!$H4538="EU_JU",Painel_diario!$J4538=1),EXP(Painel_diario!$L4538),1)-1</f>
        <v/>
      </c>
      <c r="D4542" s="22">
        <f>(1+D4541)*IF(AND(Painel_diario!$H4538="ED_JD",Painel_diario!$J4538=1),EXP(Painel_diario!$L4538),1)-1</f>
        <v/>
      </c>
      <c r="E4542" s="22">
        <f>(1+E4541)*IF(AND(Painel_diario!$H4538="ED_JU",Painel_diario!$J4538=1),EXP(Painel_diario!$L4538),1)-1</f>
        <v/>
      </c>
    </row>
    <row r="4543">
      <c r="A4543" s="25" t="n">
        <v>45518</v>
      </c>
      <c r="B4543" s="22">
        <f>(1+B4542)*IF(AND(Painel_diario!$H4539="EU_JD",Painel_diario!$J4539=1),EXP(Painel_diario!$L4539),1)-1</f>
        <v/>
      </c>
      <c r="C4543" s="22">
        <f>(1+C4542)*IF(AND(Painel_diario!$H4539="EU_JU",Painel_diario!$J4539=1),EXP(Painel_diario!$L4539),1)-1</f>
        <v/>
      </c>
      <c r="D4543" s="22">
        <f>(1+D4542)*IF(AND(Painel_diario!$H4539="ED_JD",Painel_diario!$J4539=1),EXP(Painel_diario!$L4539),1)-1</f>
        <v/>
      </c>
      <c r="E4543" s="22">
        <f>(1+E4542)*IF(AND(Painel_diario!$H4539="ED_JU",Painel_diario!$J4539=1),EXP(Painel_diario!$L4539),1)-1</f>
        <v/>
      </c>
    </row>
    <row r="4544">
      <c r="A4544" s="25" t="n">
        <v>45519</v>
      </c>
      <c r="B4544" s="22">
        <f>(1+B4543)*IF(AND(Painel_diario!$H4540="EU_JD",Painel_diario!$J4540=1),EXP(Painel_diario!$L4540),1)-1</f>
        <v/>
      </c>
      <c r="C4544" s="22">
        <f>(1+C4543)*IF(AND(Painel_diario!$H4540="EU_JU",Painel_diario!$J4540=1),EXP(Painel_diario!$L4540),1)-1</f>
        <v/>
      </c>
      <c r="D4544" s="22">
        <f>(1+D4543)*IF(AND(Painel_diario!$H4540="ED_JD",Painel_diario!$J4540=1),EXP(Painel_diario!$L4540),1)-1</f>
        <v/>
      </c>
      <c r="E4544" s="22">
        <f>(1+E4543)*IF(AND(Painel_diario!$H4540="ED_JU",Painel_diario!$J4540=1),EXP(Painel_diario!$L4540),1)-1</f>
        <v/>
      </c>
    </row>
    <row r="4545">
      <c r="A4545" s="25" t="n">
        <v>45520</v>
      </c>
      <c r="B4545" s="22">
        <f>(1+B4544)*IF(AND(Painel_diario!$H4541="EU_JD",Painel_diario!$J4541=1),EXP(Painel_diario!$L4541),1)-1</f>
        <v/>
      </c>
      <c r="C4545" s="22">
        <f>(1+C4544)*IF(AND(Painel_diario!$H4541="EU_JU",Painel_diario!$J4541=1),EXP(Painel_diario!$L4541),1)-1</f>
        <v/>
      </c>
      <c r="D4545" s="22">
        <f>(1+D4544)*IF(AND(Painel_diario!$H4541="ED_JD",Painel_diario!$J4541=1),EXP(Painel_diario!$L4541),1)-1</f>
        <v/>
      </c>
      <c r="E4545" s="22">
        <f>(1+E4544)*IF(AND(Painel_diario!$H4541="ED_JU",Painel_diario!$J4541=1),EXP(Painel_diario!$L4541),1)-1</f>
        <v/>
      </c>
    </row>
    <row r="4546">
      <c r="A4546" s="25" t="n">
        <v>45523</v>
      </c>
      <c r="B4546" s="22">
        <f>(1+B4545)*IF(AND(Painel_diario!$H4542="EU_JD",Painel_diario!$J4542=1),EXP(Painel_diario!$L4542),1)-1</f>
        <v/>
      </c>
      <c r="C4546" s="22">
        <f>(1+C4545)*IF(AND(Painel_diario!$H4542="EU_JU",Painel_diario!$J4542=1),EXP(Painel_diario!$L4542),1)-1</f>
        <v/>
      </c>
      <c r="D4546" s="22">
        <f>(1+D4545)*IF(AND(Painel_diario!$H4542="ED_JD",Painel_diario!$J4542=1),EXP(Painel_diario!$L4542),1)-1</f>
        <v/>
      </c>
      <c r="E4546" s="22">
        <f>(1+E4545)*IF(AND(Painel_diario!$H4542="ED_JU",Painel_diario!$J4542=1),EXP(Painel_diario!$L4542),1)-1</f>
        <v/>
      </c>
    </row>
    <row r="4547">
      <c r="A4547" s="25" t="n">
        <v>45524</v>
      </c>
      <c r="B4547" s="22">
        <f>(1+B4546)*IF(AND(Painel_diario!$H4543="EU_JD",Painel_diario!$J4543=1),EXP(Painel_diario!$L4543),1)-1</f>
        <v/>
      </c>
      <c r="C4547" s="22">
        <f>(1+C4546)*IF(AND(Painel_diario!$H4543="EU_JU",Painel_diario!$J4543=1),EXP(Painel_diario!$L4543),1)-1</f>
        <v/>
      </c>
      <c r="D4547" s="22">
        <f>(1+D4546)*IF(AND(Painel_diario!$H4543="ED_JD",Painel_diario!$J4543=1),EXP(Painel_diario!$L4543),1)-1</f>
        <v/>
      </c>
      <c r="E4547" s="22">
        <f>(1+E4546)*IF(AND(Painel_diario!$H4543="ED_JU",Painel_diario!$J4543=1),EXP(Painel_diario!$L4543),1)-1</f>
        <v/>
      </c>
    </row>
    <row r="4548">
      <c r="A4548" s="25" t="n">
        <v>45525</v>
      </c>
      <c r="B4548" s="22">
        <f>(1+B4547)*IF(AND(Painel_diario!$H4544="EU_JD",Painel_diario!$J4544=1),EXP(Painel_diario!$L4544),1)-1</f>
        <v/>
      </c>
      <c r="C4548" s="22">
        <f>(1+C4547)*IF(AND(Painel_diario!$H4544="EU_JU",Painel_diario!$J4544=1),EXP(Painel_diario!$L4544),1)-1</f>
        <v/>
      </c>
      <c r="D4548" s="22">
        <f>(1+D4547)*IF(AND(Painel_diario!$H4544="ED_JD",Painel_diario!$J4544=1),EXP(Painel_diario!$L4544),1)-1</f>
        <v/>
      </c>
      <c r="E4548" s="22">
        <f>(1+E4547)*IF(AND(Painel_diario!$H4544="ED_JU",Painel_diario!$J4544=1),EXP(Painel_diario!$L4544),1)-1</f>
        <v/>
      </c>
    </row>
    <row r="4549">
      <c r="A4549" s="25" t="n">
        <v>45526</v>
      </c>
      <c r="B4549" s="22">
        <f>(1+B4548)*IF(AND(Painel_diario!$H4545="EU_JD",Painel_diario!$J4545=1),EXP(Painel_diario!$L4545),1)-1</f>
        <v/>
      </c>
      <c r="C4549" s="22">
        <f>(1+C4548)*IF(AND(Painel_diario!$H4545="EU_JU",Painel_diario!$J4545=1),EXP(Painel_diario!$L4545),1)-1</f>
        <v/>
      </c>
      <c r="D4549" s="22">
        <f>(1+D4548)*IF(AND(Painel_diario!$H4545="ED_JD",Painel_diario!$J4545=1),EXP(Painel_diario!$L4545),1)-1</f>
        <v/>
      </c>
      <c r="E4549" s="22">
        <f>(1+E4548)*IF(AND(Painel_diario!$H4545="ED_JU",Painel_diario!$J4545=1),EXP(Painel_diario!$L4545),1)-1</f>
        <v/>
      </c>
    </row>
    <row r="4550">
      <c r="A4550" s="25" t="n">
        <v>45527</v>
      </c>
      <c r="B4550" s="22">
        <f>(1+B4549)*IF(AND(Painel_diario!$H4546="EU_JD",Painel_diario!$J4546=1),EXP(Painel_diario!$L4546),1)-1</f>
        <v/>
      </c>
      <c r="C4550" s="22">
        <f>(1+C4549)*IF(AND(Painel_diario!$H4546="EU_JU",Painel_diario!$J4546=1),EXP(Painel_diario!$L4546),1)-1</f>
        <v/>
      </c>
      <c r="D4550" s="22">
        <f>(1+D4549)*IF(AND(Painel_diario!$H4546="ED_JD",Painel_diario!$J4546=1),EXP(Painel_diario!$L4546),1)-1</f>
        <v/>
      </c>
      <c r="E4550" s="22">
        <f>(1+E4549)*IF(AND(Painel_diario!$H4546="ED_JU",Painel_diario!$J4546=1),EXP(Painel_diario!$L4546),1)-1</f>
        <v/>
      </c>
    </row>
    <row r="4551">
      <c r="A4551" s="25" t="n">
        <v>45530</v>
      </c>
      <c r="B4551" s="22">
        <f>(1+B4550)*IF(AND(Painel_diario!$H4547="EU_JD",Painel_diario!$J4547=1),EXP(Painel_diario!$L4547),1)-1</f>
        <v/>
      </c>
      <c r="C4551" s="22">
        <f>(1+C4550)*IF(AND(Painel_diario!$H4547="EU_JU",Painel_diario!$J4547=1),EXP(Painel_diario!$L4547),1)-1</f>
        <v/>
      </c>
      <c r="D4551" s="22">
        <f>(1+D4550)*IF(AND(Painel_diario!$H4547="ED_JD",Painel_diario!$J4547=1),EXP(Painel_diario!$L4547),1)-1</f>
        <v/>
      </c>
      <c r="E4551" s="22">
        <f>(1+E4550)*IF(AND(Painel_diario!$H4547="ED_JU",Painel_diario!$J4547=1),EXP(Painel_diario!$L4547),1)-1</f>
        <v/>
      </c>
    </row>
    <row r="4552">
      <c r="A4552" s="25" t="n">
        <v>45531</v>
      </c>
      <c r="B4552" s="22">
        <f>(1+B4551)*IF(AND(Painel_diario!$H4548="EU_JD",Painel_diario!$J4548=1),EXP(Painel_diario!$L4548),1)-1</f>
        <v/>
      </c>
      <c r="C4552" s="22">
        <f>(1+C4551)*IF(AND(Painel_diario!$H4548="EU_JU",Painel_diario!$J4548=1),EXP(Painel_diario!$L4548),1)-1</f>
        <v/>
      </c>
      <c r="D4552" s="22">
        <f>(1+D4551)*IF(AND(Painel_diario!$H4548="ED_JD",Painel_diario!$J4548=1),EXP(Painel_diario!$L4548),1)-1</f>
        <v/>
      </c>
      <c r="E4552" s="22">
        <f>(1+E4551)*IF(AND(Painel_diario!$H4548="ED_JU",Painel_diario!$J4548=1),EXP(Painel_diario!$L4548),1)-1</f>
        <v/>
      </c>
    </row>
    <row r="4553">
      <c r="A4553" s="25" t="n">
        <v>45532</v>
      </c>
      <c r="B4553" s="22">
        <f>(1+B4552)*IF(AND(Painel_diario!$H4549="EU_JD",Painel_diario!$J4549=1),EXP(Painel_diario!$L4549),1)-1</f>
        <v/>
      </c>
      <c r="C4553" s="22">
        <f>(1+C4552)*IF(AND(Painel_diario!$H4549="EU_JU",Painel_diario!$J4549=1),EXP(Painel_diario!$L4549),1)-1</f>
        <v/>
      </c>
      <c r="D4553" s="22">
        <f>(1+D4552)*IF(AND(Painel_diario!$H4549="ED_JD",Painel_diario!$J4549=1),EXP(Painel_diario!$L4549),1)-1</f>
        <v/>
      </c>
      <c r="E4553" s="22">
        <f>(1+E4552)*IF(AND(Painel_diario!$H4549="ED_JU",Painel_diario!$J4549=1),EXP(Painel_diario!$L4549),1)-1</f>
        <v/>
      </c>
    </row>
    <row r="4554">
      <c r="A4554" s="25" t="n">
        <v>45533</v>
      </c>
      <c r="B4554" s="22">
        <f>(1+B4553)*IF(AND(Painel_diario!$H4550="EU_JD",Painel_diario!$J4550=1),EXP(Painel_diario!$L4550),1)-1</f>
        <v/>
      </c>
      <c r="C4554" s="22">
        <f>(1+C4553)*IF(AND(Painel_diario!$H4550="EU_JU",Painel_diario!$J4550=1),EXP(Painel_diario!$L4550),1)-1</f>
        <v/>
      </c>
      <c r="D4554" s="22">
        <f>(1+D4553)*IF(AND(Painel_diario!$H4550="ED_JD",Painel_diario!$J4550=1),EXP(Painel_diario!$L4550),1)-1</f>
        <v/>
      </c>
      <c r="E4554" s="22">
        <f>(1+E4553)*IF(AND(Painel_diario!$H4550="ED_JU",Painel_diario!$J4550=1),EXP(Painel_diario!$L4550),1)-1</f>
        <v/>
      </c>
    </row>
    <row r="4555">
      <c r="A4555" s="25" t="n">
        <v>45534</v>
      </c>
      <c r="B4555" s="22">
        <f>(1+B4554)*IF(AND(Painel_diario!$H4551="EU_JD",Painel_diario!$J4551=1),EXP(Painel_diario!$L4551),1)-1</f>
        <v/>
      </c>
      <c r="C4555" s="22">
        <f>(1+C4554)*IF(AND(Painel_diario!$H4551="EU_JU",Painel_diario!$J4551=1),EXP(Painel_diario!$L4551),1)-1</f>
        <v/>
      </c>
      <c r="D4555" s="22">
        <f>(1+D4554)*IF(AND(Painel_diario!$H4551="ED_JD",Painel_diario!$J4551=1),EXP(Painel_diario!$L4551),1)-1</f>
        <v/>
      </c>
      <c r="E4555" s="22">
        <f>(1+E4554)*IF(AND(Painel_diario!$H4551="ED_JU",Painel_diario!$J4551=1),EXP(Painel_diario!$L4551),1)-1</f>
        <v/>
      </c>
    </row>
    <row r="4556">
      <c r="A4556" s="25" t="n">
        <v>45537</v>
      </c>
      <c r="B4556" s="22">
        <f>(1+B4555)*IF(AND(Painel_diario!$H4552="EU_JD",Painel_diario!$J4552=1),EXP(Painel_diario!$L4552),1)-1</f>
        <v/>
      </c>
      <c r="C4556" s="22">
        <f>(1+C4555)*IF(AND(Painel_diario!$H4552="EU_JU",Painel_diario!$J4552=1),EXP(Painel_diario!$L4552),1)-1</f>
        <v/>
      </c>
      <c r="D4556" s="22">
        <f>(1+D4555)*IF(AND(Painel_diario!$H4552="ED_JD",Painel_diario!$J4552=1),EXP(Painel_diario!$L4552),1)-1</f>
        <v/>
      </c>
      <c r="E4556" s="22">
        <f>(1+E4555)*IF(AND(Painel_diario!$H4552="ED_JU",Painel_diario!$J4552=1),EXP(Painel_diario!$L4552),1)-1</f>
        <v/>
      </c>
    </row>
    <row r="4557">
      <c r="A4557" s="25" t="n">
        <v>45538</v>
      </c>
      <c r="B4557" s="22">
        <f>(1+B4556)*IF(AND(Painel_diario!$H4553="EU_JD",Painel_diario!$J4553=1),EXP(Painel_diario!$L4553),1)-1</f>
        <v/>
      </c>
      <c r="C4557" s="22">
        <f>(1+C4556)*IF(AND(Painel_diario!$H4553="EU_JU",Painel_diario!$J4553=1),EXP(Painel_diario!$L4553),1)-1</f>
        <v/>
      </c>
      <c r="D4557" s="22">
        <f>(1+D4556)*IF(AND(Painel_diario!$H4553="ED_JD",Painel_diario!$J4553=1),EXP(Painel_diario!$L4553),1)-1</f>
        <v/>
      </c>
      <c r="E4557" s="22">
        <f>(1+E4556)*IF(AND(Painel_diario!$H4553="ED_JU",Painel_diario!$J4553=1),EXP(Painel_diario!$L4553),1)-1</f>
        <v/>
      </c>
    </row>
    <row r="4558">
      <c r="A4558" s="25" t="n">
        <v>45539</v>
      </c>
      <c r="B4558" s="22">
        <f>(1+B4557)*IF(AND(Painel_diario!$H4554="EU_JD",Painel_diario!$J4554=1),EXP(Painel_diario!$L4554),1)-1</f>
        <v/>
      </c>
      <c r="C4558" s="22">
        <f>(1+C4557)*IF(AND(Painel_diario!$H4554="EU_JU",Painel_diario!$J4554=1),EXP(Painel_diario!$L4554),1)-1</f>
        <v/>
      </c>
      <c r="D4558" s="22">
        <f>(1+D4557)*IF(AND(Painel_diario!$H4554="ED_JD",Painel_diario!$J4554=1),EXP(Painel_diario!$L4554),1)-1</f>
        <v/>
      </c>
      <c r="E4558" s="22">
        <f>(1+E4557)*IF(AND(Painel_diario!$H4554="ED_JU",Painel_diario!$J4554=1),EXP(Painel_diario!$L4554),1)-1</f>
        <v/>
      </c>
    </row>
    <row r="4559">
      <c r="A4559" s="25" t="n">
        <v>45540</v>
      </c>
      <c r="B4559" s="22">
        <f>(1+B4558)*IF(AND(Painel_diario!$H4555="EU_JD",Painel_diario!$J4555=1),EXP(Painel_diario!$L4555),1)-1</f>
        <v/>
      </c>
      <c r="C4559" s="22">
        <f>(1+C4558)*IF(AND(Painel_diario!$H4555="EU_JU",Painel_diario!$J4555=1),EXP(Painel_diario!$L4555),1)-1</f>
        <v/>
      </c>
      <c r="D4559" s="22">
        <f>(1+D4558)*IF(AND(Painel_diario!$H4555="ED_JD",Painel_diario!$J4555=1),EXP(Painel_diario!$L4555),1)-1</f>
        <v/>
      </c>
      <c r="E4559" s="22">
        <f>(1+E4558)*IF(AND(Painel_diario!$H4555="ED_JU",Painel_diario!$J4555=1),EXP(Painel_diario!$L4555),1)-1</f>
        <v/>
      </c>
    </row>
    <row r="4560">
      <c r="A4560" s="25" t="n">
        <v>45541</v>
      </c>
      <c r="B4560" s="22">
        <f>(1+B4559)*IF(AND(Painel_diario!$H4556="EU_JD",Painel_diario!$J4556=1),EXP(Painel_diario!$L4556),1)-1</f>
        <v/>
      </c>
      <c r="C4560" s="22">
        <f>(1+C4559)*IF(AND(Painel_diario!$H4556="EU_JU",Painel_diario!$J4556=1),EXP(Painel_diario!$L4556),1)-1</f>
        <v/>
      </c>
      <c r="D4560" s="22">
        <f>(1+D4559)*IF(AND(Painel_diario!$H4556="ED_JD",Painel_diario!$J4556=1),EXP(Painel_diario!$L4556),1)-1</f>
        <v/>
      </c>
      <c r="E4560" s="22">
        <f>(1+E4559)*IF(AND(Painel_diario!$H4556="ED_JU",Painel_diario!$J4556=1),EXP(Painel_diario!$L4556),1)-1</f>
        <v/>
      </c>
    </row>
    <row r="4561">
      <c r="A4561" s="25" t="n">
        <v>45544</v>
      </c>
      <c r="B4561" s="22">
        <f>(1+B4560)*IF(AND(Painel_diario!$H4557="EU_JD",Painel_diario!$J4557=1),EXP(Painel_diario!$L4557),1)-1</f>
        <v/>
      </c>
      <c r="C4561" s="22">
        <f>(1+C4560)*IF(AND(Painel_diario!$H4557="EU_JU",Painel_diario!$J4557=1),EXP(Painel_diario!$L4557),1)-1</f>
        <v/>
      </c>
      <c r="D4561" s="22">
        <f>(1+D4560)*IF(AND(Painel_diario!$H4557="ED_JD",Painel_diario!$J4557=1),EXP(Painel_diario!$L4557),1)-1</f>
        <v/>
      </c>
      <c r="E4561" s="22">
        <f>(1+E4560)*IF(AND(Painel_diario!$H4557="ED_JU",Painel_diario!$J4557=1),EXP(Painel_diario!$L4557),1)-1</f>
        <v/>
      </c>
    </row>
    <row r="4562">
      <c r="A4562" s="25" t="n">
        <v>45545</v>
      </c>
      <c r="B4562" s="22">
        <f>(1+B4561)*IF(AND(Painel_diario!$H4558="EU_JD",Painel_diario!$J4558=1),EXP(Painel_diario!$L4558),1)-1</f>
        <v/>
      </c>
      <c r="C4562" s="22">
        <f>(1+C4561)*IF(AND(Painel_diario!$H4558="EU_JU",Painel_diario!$J4558=1),EXP(Painel_diario!$L4558),1)-1</f>
        <v/>
      </c>
      <c r="D4562" s="22">
        <f>(1+D4561)*IF(AND(Painel_diario!$H4558="ED_JD",Painel_diario!$J4558=1),EXP(Painel_diario!$L4558),1)-1</f>
        <v/>
      </c>
      <c r="E4562" s="22">
        <f>(1+E4561)*IF(AND(Painel_diario!$H4558="ED_JU",Painel_diario!$J4558=1),EXP(Painel_diario!$L4558),1)-1</f>
        <v/>
      </c>
    </row>
    <row r="4563">
      <c r="A4563" s="25" t="n">
        <v>45546</v>
      </c>
      <c r="B4563" s="22">
        <f>(1+B4562)*IF(AND(Painel_diario!$H4559="EU_JD",Painel_diario!$J4559=1),EXP(Painel_diario!$L4559),1)-1</f>
        <v/>
      </c>
      <c r="C4563" s="22">
        <f>(1+C4562)*IF(AND(Painel_diario!$H4559="EU_JU",Painel_diario!$J4559=1),EXP(Painel_diario!$L4559),1)-1</f>
        <v/>
      </c>
      <c r="D4563" s="22">
        <f>(1+D4562)*IF(AND(Painel_diario!$H4559="ED_JD",Painel_diario!$J4559=1),EXP(Painel_diario!$L4559),1)-1</f>
        <v/>
      </c>
      <c r="E4563" s="22">
        <f>(1+E4562)*IF(AND(Painel_diario!$H4559="ED_JU",Painel_diario!$J4559=1),EXP(Painel_diario!$L4559),1)-1</f>
        <v/>
      </c>
    </row>
    <row r="4564">
      <c r="A4564" s="25" t="n">
        <v>45547</v>
      </c>
      <c r="B4564" s="22">
        <f>(1+B4563)*IF(AND(Painel_diario!$H4560="EU_JD",Painel_diario!$J4560=1),EXP(Painel_diario!$L4560),1)-1</f>
        <v/>
      </c>
      <c r="C4564" s="22">
        <f>(1+C4563)*IF(AND(Painel_diario!$H4560="EU_JU",Painel_diario!$J4560=1),EXP(Painel_diario!$L4560),1)-1</f>
        <v/>
      </c>
      <c r="D4564" s="22">
        <f>(1+D4563)*IF(AND(Painel_diario!$H4560="ED_JD",Painel_diario!$J4560=1),EXP(Painel_diario!$L4560),1)-1</f>
        <v/>
      </c>
      <c r="E4564" s="22">
        <f>(1+E4563)*IF(AND(Painel_diario!$H4560="ED_JU",Painel_diario!$J4560=1),EXP(Painel_diario!$L4560),1)-1</f>
        <v/>
      </c>
    </row>
    <row r="4565">
      <c r="A4565" s="25" t="n">
        <v>45548</v>
      </c>
      <c r="B4565" s="22">
        <f>(1+B4564)*IF(AND(Painel_diario!$H4561="EU_JD",Painel_diario!$J4561=1),EXP(Painel_diario!$L4561),1)-1</f>
        <v/>
      </c>
      <c r="C4565" s="22">
        <f>(1+C4564)*IF(AND(Painel_diario!$H4561="EU_JU",Painel_diario!$J4561=1),EXP(Painel_diario!$L4561),1)-1</f>
        <v/>
      </c>
      <c r="D4565" s="22">
        <f>(1+D4564)*IF(AND(Painel_diario!$H4561="ED_JD",Painel_diario!$J4561=1),EXP(Painel_diario!$L4561),1)-1</f>
        <v/>
      </c>
      <c r="E4565" s="22">
        <f>(1+E4564)*IF(AND(Painel_diario!$H4561="ED_JU",Painel_diario!$J4561=1),EXP(Painel_diario!$L4561),1)-1</f>
        <v/>
      </c>
    </row>
    <row r="4566">
      <c r="A4566" s="25" t="n">
        <v>45551</v>
      </c>
      <c r="B4566" s="22">
        <f>(1+B4565)*IF(AND(Painel_diario!$H4562="EU_JD",Painel_diario!$J4562=1),EXP(Painel_diario!$L4562),1)-1</f>
        <v/>
      </c>
      <c r="C4566" s="22">
        <f>(1+C4565)*IF(AND(Painel_diario!$H4562="EU_JU",Painel_diario!$J4562=1),EXP(Painel_diario!$L4562),1)-1</f>
        <v/>
      </c>
      <c r="D4566" s="22">
        <f>(1+D4565)*IF(AND(Painel_diario!$H4562="ED_JD",Painel_diario!$J4562=1),EXP(Painel_diario!$L4562),1)-1</f>
        <v/>
      </c>
      <c r="E4566" s="22">
        <f>(1+E4565)*IF(AND(Painel_diario!$H4562="ED_JU",Painel_diario!$J4562=1),EXP(Painel_diario!$L4562),1)-1</f>
        <v/>
      </c>
    </row>
    <row r="4567">
      <c r="A4567" s="25" t="n">
        <v>45552</v>
      </c>
      <c r="B4567" s="22">
        <f>(1+B4566)*IF(AND(Painel_diario!$H4563="EU_JD",Painel_diario!$J4563=1),EXP(Painel_diario!$L4563),1)-1</f>
        <v/>
      </c>
      <c r="C4567" s="22">
        <f>(1+C4566)*IF(AND(Painel_diario!$H4563="EU_JU",Painel_diario!$J4563=1),EXP(Painel_diario!$L4563),1)-1</f>
        <v/>
      </c>
      <c r="D4567" s="22">
        <f>(1+D4566)*IF(AND(Painel_diario!$H4563="ED_JD",Painel_diario!$J4563=1),EXP(Painel_diario!$L4563),1)-1</f>
        <v/>
      </c>
      <c r="E4567" s="22">
        <f>(1+E4566)*IF(AND(Painel_diario!$H4563="ED_JU",Painel_diario!$J4563=1),EXP(Painel_diario!$L4563),1)-1</f>
        <v/>
      </c>
    </row>
    <row r="4568">
      <c r="A4568" s="25" t="n">
        <v>45553</v>
      </c>
      <c r="B4568" s="22">
        <f>(1+B4567)*IF(AND(Painel_diario!$H4564="EU_JD",Painel_diario!$J4564=1),EXP(Painel_diario!$L4564),1)-1</f>
        <v/>
      </c>
      <c r="C4568" s="22">
        <f>(1+C4567)*IF(AND(Painel_diario!$H4564="EU_JU",Painel_diario!$J4564=1),EXP(Painel_diario!$L4564),1)-1</f>
        <v/>
      </c>
      <c r="D4568" s="22">
        <f>(1+D4567)*IF(AND(Painel_diario!$H4564="ED_JD",Painel_diario!$J4564=1),EXP(Painel_diario!$L4564),1)-1</f>
        <v/>
      </c>
      <c r="E4568" s="22">
        <f>(1+E4567)*IF(AND(Painel_diario!$H4564="ED_JU",Painel_diario!$J4564=1),EXP(Painel_diario!$L4564),1)-1</f>
        <v/>
      </c>
    </row>
    <row r="4569">
      <c r="A4569" s="25" t="n">
        <v>45554</v>
      </c>
      <c r="B4569" s="22">
        <f>(1+B4568)*IF(AND(Painel_diario!$H4565="EU_JD",Painel_diario!$J4565=1),EXP(Painel_diario!$L4565),1)-1</f>
        <v/>
      </c>
      <c r="C4569" s="22">
        <f>(1+C4568)*IF(AND(Painel_diario!$H4565="EU_JU",Painel_diario!$J4565=1),EXP(Painel_diario!$L4565),1)-1</f>
        <v/>
      </c>
      <c r="D4569" s="22">
        <f>(1+D4568)*IF(AND(Painel_diario!$H4565="ED_JD",Painel_diario!$J4565=1),EXP(Painel_diario!$L4565),1)-1</f>
        <v/>
      </c>
      <c r="E4569" s="22">
        <f>(1+E4568)*IF(AND(Painel_diario!$H4565="ED_JU",Painel_diario!$J4565=1),EXP(Painel_diario!$L4565),1)-1</f>
        <v/>
      </c>
    </row>
    <row r="4570">
      <c r="A4570" s="25" t="n">
        <v>45555</v>
      </c>
      <c r="B4570" s="22">
        <f>(1+B4569)*IF(AND(Painel_diario!$H4566="EU_JD",Painel_diario!$J4566=1),EXP(Painel_diario!$L4566),1)-1</f>
        <v/>
      </c>
      <c r="C4570" s="22">
        <f>(1+C4569)*IF(AND(Painel_diario!$H4566="EU_JU",Painel_diario!$J4566=1),EXP(Painel_diario!$L4566),1)-1</f>
        <v/>
      </c>
      <c r="D4570" s="22">
        <f>(1+D4569)*IF(AND(Painel_diario!$H4566="ED_JD",Painel_diario!$J4566=1),EXP(Painel_diario!$L4566),1)-1</f>
        <v/>
      </c>
      <c r="E4570" s="22">
        <f>(1+E4569)*IF(AND(Painel_diario!$H4566="ED_JU",Painel_diario!$J4566=1),EXP(Painel_diario!$L4566),1)-1</f>
        <v/>
      </c>
    </row>
    <row r="4571">
      <c r="A4571" s="25" t="n">
        <v>45558</v>
      </c>
      <c r="B4571" s="22">
        <f>(1+B4570)*IF(AND(Painel_diario!$H4567="EU_JD",Painel_diario!$J4567=1),EXP(Painel_diario!$L4567),1)-1</f>
        <v/>
      </c>
      <c r="C4571" s="22">
        <f>(1+C4570)*IF(AND(Painel_diario!$H4567="EU_JU",Painel_diario!$J4567=1),EXP(Painel_diario!$L4567),1)-1</f>
        <v/>
      </c>
      <c r="D4571" s="22">
        <f>(1+D4570)*IF(AND(Painel_diario!$H4567="ED_JD",Painel_diario!$J4567=1),EXP(Painel_diario!$L4567),1)-1</f>
        <v/>
      </c>
      <c r="E4571" s="22">
        <f>(1+E4570)*IF(AND(Painel_diario!$H4567="ED_JU",Painel_diario!$J4567=1),EXP(Painel_diario!$L4567),1)-1</f>
        <v/>
      </c>
    </row>
    <row r="4572">
      <c r="A4572" s="25" t="n">
        <v>45559</v>
      </c>
      <c r="B4572" s="22">
        <f>(1+B4571)*IF(AND(Painel_diario!$H4568="EU_JD",Painel_diario!$J4568=1),EXP(Painel_diario!$L4568),1)-1</f>
        <v/>
      </c>
      <c r="C4572" s="22">
        <f>(1+C4571)*IF(AND(Painel_diario!$H4568="EU_JU",Painel_diario!$J4568=1),EXP(Painel_diario!$L4568),1)-1</f>
        <v/>
      </c>
      <c r="D4572" s="22">
        <f>(1+D4571)*IF(AND(Painel_diario!$H4568="ED_JD",Painel_diario!$J4568=1),EXP(Painel_diario!$L4568),1)-1</f>
        <v/>
      </c>
      <c r="E4572" s="22">
        <f>(1+E4571)*IF(AND(Painel_diario!$H4568="ED_JU",Painel_diario!$J4568=1),EXP(Painel_diario!$L4568),1)-1</f>
        <v/>
      </c>
    </row>
    <row r="4573">
      <c r="A4573" s="25" t="n">
        <v>45560</v>
      </c>
      <c r="B4573" s="22">
        <f>(1+B4572)*IF(AND(Painel_diario!$H4569="EU_JD",Painel_diario!$J4569=1),EXP(Painel_diario!$L4569),1)-1</f>
        <v/>
      </c>
      <c r="C4573" s="22">
        <f>(1+C4572)*IF(AND(Painel_diario!$H4569="EU_JU",Painel_diario!$J4569=1),EXP(Painel_diario!$L4569),1)-1</f>
        <v/>
      </c>
      <c r="D4573" s="22">
        <f>(1+D4572)*IF(AND(Painel_diario!$H4569="ED_JD",Painel_diario!$J4569=1),EXP(Painel_diario!$L4569),1)-1</f>
        <v/>
      </c>
      <c r="E4573" s="22">
        <f>(1+E4572)*IF(AND(Painel_diario!$H4569="ED_JU",Painel_diario!$J4569=1),EXP(Painel_diario!$L4569),1)-1</f>
        <v/>
      </c>
    </row>
    <row r="4574">
      <c r="A4574" s="25" t="n">
        <v>45561</v>
      </c>
      <c r="B4574" s="22">
        <f>(1+B4573)*IF(AND(Painel_diario!$H4570="EU_JD",Painel_diario!$J4570=1),EXP(Painel_diario!$L4570),1)-1</f>
        <v/>
      </c>
      <c r="C4574" s="22">
        <f>(1+C4573)*IF(AND(Painel_diario!$H4570="EU_JU",Painel_diario!$J4570=1),EXP(Painel_diario!$L4570),1)-1</f>
        <v/>
      </c>
      <c r="D4574" s="22">
        <f>(1+D4573)*IF(AND(Painel_diario!$H4570="ED_JD",Painel_diario!$J4570=1),EXP(Painel_diario!$L4570),1)-1</f>
        <v/>
      </c>
      <c r="E4574" s="22">
        <f>(1+E4573)*IF(AND(Painel_diario!$H4570="ED_JU",Painel_diario!$J4570=1),EXP(Painel_diario!$L4570),1)-1</f>
        <v/>
      </c>
    </row>
    <row r="4575">
      <c r="A4575" s="25" t="n">
        <v>45562</v>
      </c>
      <c r="B4575" s="22">
        <f>(1+B4574)*IF(AND(Painel_diario!$H4571="EU_JD",Painel_diario!$J4571=1),EXP(Painel_diario!$L4571),1)-1</f>
        <v/>
      </c>
      <c r="C4575" s="22">
        <f>(1+C4574)*IF(AND(Painel_diario!$H4571="EU_JU",Painel_diario!$J4571=1),EXP(Painel_diario!$L4571),1)-1</f>
        <v/>
      </c>
      <c r="D4575" s="22">
        <f>(1+D4574)*IF(AND(Painel_diario!$H4571="ED_JD",Painel_diario!$J4571=1),EXP(Painel_diario!$L4571),1)-1</f>
        <v/>
      </c>
      <c r="E4575" s="22">
        <f>(1+E4574)*IF(AND(Painel_diario!$H4571="ED_JU",Painel_diario!$J4571=1),EXP(Painel_diario!$L4571),1)-1</f>
        <v/>
      </c>
    </row>
    <row r="4576">
      <c r="A4576" s="25" t="n">
        <v>45565</v>
      </c>
      <c r="B4576" s="22">
        <f>(1+B4575)*IF(AND(Painel_diario!$H4572="EU_JD",Painel_diario!$J4572=1),EXP(Painel_diario!$L4572),1)-1</f>
        <v/>
      </c>
      <c r="C4576" s="22">
        <f>(1+C4575)*IF(AND(Painel_diario!$H4572="EU_JU",Painel_diario!$J4572=1),EXP(Painel_diario!$L4572),1)-1</f>
        <v/>
      </c>
      <c r="D4576" s="22">
        <f>(1+D4575)*IF(AND(Painel_diario!$H4572="ED_JD",Painel_diario!$J4572=1),EXP(Painel_diario!$L4572),1)-1</f>
        <v/>
      </c>
      <c r="E4576" s="22">
        <f>(1+E4575)*IF(AND(Painel_diario!$H4572="ED_JU",Painel_diario!$J4572=1),EXP(Painel_diario!$L4572),1)-1</f>
        <v/>
      </c>
    </row>
    <row r="4577">
      <c r="A4577" s="25" t="n">
        <v>45566</v>
      </c>
      <c r="B4577" s="22">
        <f>(1+B4576)*IF(AND(Painel_diario!$H4573="EU_JD",Painel_diario!$J4573=1),EXP(Painel_diario!$L4573),1)-1</f>
        <v/>
      </c>
      <c r="C4577" s="22">
        <f>(1+C4576)*IF(AND(Painel_diario!$H4573="EU_JU",Painel_diario!$J4573=1),EXP(Painel_diario!$L4573),1)-1</f>
        <v/>
      </c>
      <c r="D4577" s="22">
        <f>(1+D4576)*IF(AND(Painel_diario!$H4573="ED_JD",Painel_diario!$J4573=1),EXP(Painel_diario!$L4573),1)-1</f>
        <v/>
      </c>
      <c r="E4577" s="22">
        <f>(1+E4576)*IF(AND(Painel_diario!$H4573="ED_JU",Painel_diario!$J4573=1),EXP(Painel_diario!$L4573),1)-1</f>
        <v/>
      </c>
    </row>
    <row r="4578">
      <c r="A4578" s="25" t="n">
        <v>45567</v>
      </c>
      <c r="B4578" s="22">
        <f>(1+B4577)*IF(AND(Painel_diario!$H4574="EU_JD",Painel_diario!$J4574=1),EXP(Painel_diario!$L4574),1)-1</f>
        <v/>
      </c>
      <c r="C4578" s="22">
        <f>(1+C4577)*IF(AND(Painel_diario!$H4574="EU_JU",Painel_diario!$J4574=1),EXP(Painel_diario!$L4574),1)-1</f>
        <v/>
      </c>
      <c r="D4578" s="22">
        <f>(1+D4577)*IF(AND(Painel_diario!$H4574="ED_JD",Painel_diario!$J4574=1),EXP(Painel_diario!$L4574),1)-1</f>
        <v/>
      </c>
      <c r="E4578" s="22">
        <f>(1+E4577)*IF(AND(Painel_diario!$H4574="ED_JU",Painel_diario!$J4574=1),EXP(Painel_diario!$L4574),1)-1</f>
        <v/>
      </c>
    </row>
    <row r="4579">
      <c r="A4579" s="25" t="n">
        <v>45568</v>
      </c>
      <c r="B4579" s="22">
        <f>(1+B4578)*IF(AND(Painel_diario!$H4575="EU_JD",Painel_diario!$J4575=1),EXP(Painel_diario!$L4575),1)-1</f>
        <v/>
      </c>
      <c r="C4579" s="22">
        <f>(1+C4578)*IF(AND(Painel_diario!$H4575="EU_JU",Painel_diario!$J4575=1),EXP(Painel_diario!$L4575),1)-1</f>
        <v/>
      </c>
      <c r="D4579" s="22">
        <f>(1+D4578)*IF(AND(Painel_diario!$H4575="ED_JD",Painel_diario!$J4575=1),EXP(Painel_diario!$L4575),1)-1</f>
        <v/>
      </c>
      <c r="E4579" s="22">
        <f>(1+E4578)*IF(AND(Painel_diario!$H4575="ED_JU",Painel_diario!$J4575=1),EXP(Painel_diario!$L4575),1)-1</f>
        <v/>
      </c>
    </row>
    <row r="4580">
      <c r="A4580" s="25" t="n">
        <v>45569</v>
      </c>
      <c r="B4580" s="22">
        <f>(1+B4579)*IF(AND(Painel_diario!$H4576="EU_JD",Painel_diario!$J4576=1),EXP(Painel_diario!$L4576),1)-1</f>
        <v/>
      </c>
      <c r="C4580" s="22">
        <f>(1+C4579)*IF(AND(Painel_diario!$H4576="EU_JU",Painel_diario!$J4576=1),EXP(Painel_diario!$L4576),1)-1</f>
        <v/>
      </c>
      <c r="D4580" s="22">
        <f>(1+D4579)*IF(AND(Painel_diario!$H4576="ED_JD",Painel_diario!$J4576=1),EXP(Painel_diario!$L4576),1)-1</f>
        <v/>
      </c>
      <c r="E4580" s="22">
        <f>(1+E4579)*IF(AND(Painel_diario!$H4576="ED_JU",Painel_diario!$J4576=1),EXP(Painel_diario!$L4576),1)-1</f>
        <v/>
      </c>
    </row>
    <row r="4581">
      <c r="A4581" s="25" t="n">
        <v>45572</v>
      </c>
      <c r="B4581" s="22">
        <f>(1+B4580)*IF(AND(Painel_diario!$H4577="EU_JD",Painel_diario!$J4577=1),EXP(Painel_diario!$L4577),1)-1</f>
        <v/>
      </c>
      <c r="C4581" s="22">
        <f>(1+C4580)*IF(AND(Painel_diario!$H4577="EU_JU",Painel_diario!$J4577=1),EXP(Painel_diario!$L4577),1)-1</f>
        <v/>
      </c>
      <c r="D4581" s="22">
        <f>(1+D4580)*IF(AND(Painel_diario!$H4577="ED_JD",Painel_diario!$J4577=1),EXP(Painel_diario!$L4577),1)-1</f>
        <v/>
      </c>
      <c r="E4581" s="22">
        <f>(1+E4580)*IF(AND(Painel_diario!$H4577="ED_JU",Painel_diario!$J4577=1),EXP(Painel_diario!$L4577),1)-1</f>
        <v/>
      </c>
    </row>
    <row r="4582">
      <c r="A4582" s="25" t="n">
        <v>45573</v>
      </c>
      <c r="B4582" s="22">
        <f>(1+B4581)*IF(AND(Painel_diario!$H4578="EU_JD",Painel_diario!$J4578=1),EXP(Painel_diario!$L4578),1)-1</f>
        <v/>
      </c>
      <c r="C4582" s="22">
        <f>(1+C4581)*IF(AND(Painel_diario!$H4578="EU_JU",Painel_diario!$J4578=1),EXP(Painel_diario!$L4578),1)-1</f>
        <v/>
      </c>
      <c r="D4582" s="22">
        <f>(1+D4581)*IF(AND(Painel_diario!$H4578="ED_JD",Painel_diario!$J4578=1),EXP(Painel_diario!$L4578),1)-1</f>
        <v/>
      </c>
      <c r="E4582" s="22">
        <f>(1+E4581)*IF(AND(Painel_diario!$H4578="ED_JU",Painel_diario!$J4578=1),EXP(Painel_diario!$L4578),1)-1</f>
        <v/>
      </c>
    </row>
    <row r="4583">
      <c r="A4583" s="25" t="n">
        <v>45574</v>
      </c>
      <c r="B4583" s="22">
        <f>(1+B4582)*IF(AND(Painel_diario!$H4579="EU_JD",Painel_diario!$J4579=1),EXP(Painel_diario!$L4579),1)-1</f>
        <v/>
      </c>
      <c r="C4583" s="22">
        <f>(1+C4582)*IF(AND(Painel_diario!$H4579="EU_JU",Painel_diario!$J4579=1),EXP(Painel_diario!$L4579),1)-1</f>
        <v/>
      </c>
      <c r="D4583" s="22">
        <f>(1+D4582)*IF(AND(Painel_diario!$H4579="ED_JD",Painel_diario!$J4579=1),EXP(Painel_diario!$L4579),1)-1</f>
        <v/>
      </c>
      <c r="E4583" s="22">
        <f>(1+E4582)*IF(AND(Painel_diario!$H4579="ED_JU",Painel_diario!$J4579=1),EXP(Painel_diario!$L4579),1)-1</f>
        <v/>
      </c>
    </row>
    <row r="4584">
      <c r="A4584" s="25" t="n">
        <v>45575</v>
      </c>
      <c r="B4584" s="22">
        <f>(1+B4583)*IF(AND(Painel_diario!$H4580="EU_JD",Painel_diario!$J4580=1),EXP(Painel_diario!$L4580),1)-1</f>
        <v/>
      </c>
      <c r="C4584" s="22">
        <f>(1+C4583)*IF(AND(Painel_diario!$H4580="EU_JU",Painel_diario!$J4580=1),EXP(Painel_diario!$L4580),1)-1</f>
        <v/>
      </c>
      <c r="D4584" s="22">
        <f>(1+D4583)*IF(AND(Painel_diario!$H4580="ED_JD",Painel_diario!$J4580=1),EXP(Painel_diario!$L4580),1)-1</f>
        <v/>
      </c>
      <c r="E4584" s="22">
        <f>(1+E4583)*IF(AND(Painel_diario!$H4580="ED_JU",Painel_diario!$J4580=1),EXP(Painel_diario!$L4580),1)-1</f>
        <v/>
      </c>
    </row>
    <row r="4585">
      <c r="A4585" s="25" t="n">
        <v>45576</v>
      </c>
      <c r="B4585" s="22">
        <f>(1+B4584)*IF(AND(Painel_diario!$H4581="EU_JD",Painel_diario!$J4581=1),EXP(Painel_diario!$L4581),1)-1</f>
        <v/>
      </c>
      <c r="C4585" s="22">
        <f>(1+C4584)*IF(AND(Painel_diario!$H4581="EU_JU",Painel_diario!$J4581=1),EXP(Painel_diario!$L4581),1)-1</f>
        <v/>
      </c>
      <c r="D4585" s="22">
        <f>(1+D4584)*IF(AND(Painel_diario!$H4581="ED_JD",Painel_diario!$J4581=1),EXP(Painel_diario!$L4581),1)-1</f>
        <v/>
      </c>
      <c r="E4585" s="22">
        <f>(1+E4584)*IF(AND(Painel_diario!$H4581="ED_JU",Painel_diario!$J4581=1),EXP(Painel_diario!$L4581),1)-1</f>
        <v/>
      </c>
    </row>
    <row r="4586">
      <c r="A4586" s="25" t="n">
        <v>45579</v>
      </c>
      <c r="B4586" s="22">
        <f>(1+B4585)*IF(AND(Painel_diario!$H4582="EU_JD",Painel_diario!$J4582=1),EXP(Painel_diario!$L4582),1)-1</f>
        <v/>
      </c>
      <c r="C4586" s="22">
        <f>(1+C4585)*IF(AND(Painel_diario!$H4582="EU_JU",Painel_diario!$J4582=1),EXP(Painel_diario!$L4582),1)-1</f>
        <v/>
      </c>
      <c r="D4586" s="22">
        <f>(1+D4585)*IF(AND(Painel_diario!$H4582="ED_JD",Painel_diario!$J4582=1),EXP(Painel_diario!$L4582),1)-1</f>
        <v/>
      </c>
      <c r="E4586" s="22">
        <f>(1+E4585)*IF(AND(Painel_diario!$H4582="ED_JU",Painel_diario!$J4582=1),EXP(Painel_diario!$L4582),1)-1</f>
        <v/>
      </c>
    </row>
    <row r="4587">
      <c r="A4587" s="25" t="n">
        <v>45580</v>
      </c>
      <c r="B4587" s="22">
        <f>(1+B4586)*IF(AND(Painel_diario!$H4583="EU_JD",Painel_diario!$J4583=1),EXP(Painel_diario!$L4583),1)-1</f>
        <v/>
      </c>
      <c r="C4587" s="22">
        <f>(1+C4586)*IF(AND(Painel_diario!$H4583="EU_JU",Painel_diario!$J4583=1),EXP(Painel_diario!$L4583),1)-1</f>
        <v/>
      </c>
      <c r="D4587" s="22">
        <f>(1+D4586)*IF(AND(Painel_diario!$H4583="ED_JD",Painel_diario!$J4583=1),EXP(Painel_diario!$L4583),1)-1</f>
        <v/>
      </c>
      <c r="E4587" s="22">
        <f>(1+E4586)*IF(AND(Painel_diario!$H4583="ED_JU",Painel_diario!$J4583=1),EXP(Painel_diario!$L4583),1)-1</f>
        <v/>
      </c>
    </row>
    <row r="4588">
      <c r="A4588" s="25" t="n">
        <v>45581</v>
      </c>
      <c r="B4588" s="22">
        <f>(1+B4587)*IF(AND(Painel_diario!$H4584="EU_JD",Painel_diario!$J4584=1),EXP(Painel_diario!$L4584),1)-1</f>
        <v/>
      </c>
      <c r="C4588" s="22">
        <f>(1+C4587)*IF(AND(Painel_diario!$H4584="EU_JU",Painel_diario!$J4584=1),EXP(Painel_diario!$L4584),1)-1</f>
        <v/>
      </c>
      <c r="D4588" s="22">
        <f>(1+D4587)*IF(AND(Painel_diario!$H4584="ED_JD",Painel_diario!$J4584=1),EXP(Painel_diario!$L4584),1)-1</f>
        <v/>
      </c>
      <c r="E4588" s="22">
        <f>(1+E4587)*IF(AND(Painel_diario!$H4584="ED_JU",Painel_diario!$J4584=1),EXP(Painel_diario!$L4584),1)-1</f>
        <v/>
      </c>
    </row>
    <row r="4589">
      <c r="A4589" s="25" t="n">
        <v>45582</v>
      </c>
      <c r="B4589" s="22">
        <f>(1+B4588)*IF(AND(Painel_diario!$H4585="EU_JD",Painel_diario!$J4585=1),EXP(Painel_diario!$L4585),1)-1</f>
        <v/>
      </c>
      <c r="C4589" s="22">
        <f>(1+C4588)*IF(AND(Painel_diario!$H4585="EU_JU",Painel_diario!$J4585=1),EXP(Painel_diario!$L4585),1)-1</f>
        <v/>
      </c>
      <c r="D4589" s="22">
        <f>(1+D4588)*IF(AND(Painel_diario!$H4585="ED_JD",Painel_diario!$J4585=1),EXP(Painel_diario!$L4585),1)-1</f>
        <v/>
      </c>
      <c r="E4589" s="22">
        <f>(1+E4588)*IF(AND(Painel_diario!$H4585="ED_JU",Painel_diario!$J4585=1),EXP(Painel_diario!$L4585),1)-1</f>
        <v/>
      </c>
    </row>
    <row r="4590">
      <c r="A4590" s="25" t="n">
        <v>45583</v>
      </c>
      <c r="B4590" s="22">
        <f>(1+B4589)*IF(AND(Painel_diario!$H4586="EU_JD",Painel_diario!$J4586=1),EXP(Painel_diario!$L4586),1)-1</f>
        <v/>
      </c>
      <c r="C4590" s="22">
        <f>(1+C4589)*IF(AND(Painel_diario!$H4586="EU_JU",Painel_diario!$J4586=1),EXP(Painel_diario!$L4586),1)-1</f>
        <v/>
      </c>
      <c r="D4590" s="22">
        <f>(1+D4589)*IF(AND(Painel_diario!$H4586="ED_JD",Painel_diario!$J4586=1),EXP(Painel_diario!$L4586),1)-1</f>
        <v/>
      </c>
      <c r="E4590" s="22">
        <f>(1+E4589)*IF(AND(Painel_diario!$H4586="ED_JU",Painel_diario!$J4586=1),EXP(Painel_diario!$L4586),1)-1</f>
        <v/>
      </c>
    </row>
    <row r="4591">
      <c r="A4591" s="25" t="n">
        <v>45586</v>
      </c>
      <c r="B4591" s="22">
        <f>(1+B4590)*IF(AND(Painel_diario!$H4587="EU_JD",Painel_diario!$J4587=1),EXP(Painel_diario!$L4587),1)-1</f>
        <v/>
      </c>
      <c r="C4591" s="22">
        <f>(1+C4590)*IF(AND(Painel_diario!$H4587="EU_JU",Painel_diario!$J4587=1),EXP(Painel_diario!$L4587),1)-1</f>
        <v/>
      </c>
      <c r="D4591" s="22">
        <f>(1+D4590)*IF(AND(Painel_diario!$H4587="ED_JD",Painel_diario!$J4587=1),EXP(Painel_diario!$L4587),1)-1</f>
        <v/>
      </c>
      <c r="E4591" s="22">
        <f>(1+E4590)*IF(AND(Painel_diario!$H4587="ED_JU",Painel_diario!$J4587=1),EXP(Painel_diario!$L4587),1)-1</f>
        <v/>
      </c>
    </row>
    <row r="4592">
      <c r="A4592" s="25" t="n">
        <v>45587</v>
      </c>
      <c r="B4592" s="22">
        <f>(1+B4591)*IF(AND(Painel_diario!$H4588="EU_JD",Painel_diario!$J4588=1),EXP(Painel_diario!$L4588),1)-1</f>
        <v/>
      </c>
      <c r="C4592" s="22">
        <f>(1+C4591)*IF(AND(Painel_diario!$H4588="EU_JU",Painel_diario!$J4588=1),EXP(Painel_diario!$L4588),1)-1</f>
        <v/>
      </c>
      <c r="D4592" s="22">
        <f>(1+D4591)*IF(AND(Painel_diario!$H4588="ED_JD",Painel_diario!$J4588=1),EXP(Painel_diario!$L4588),1)-1</f>
        <v/>
      </c>
      <c r="E4592" s="22">
        <f>(1+E4591)*IF(AND(Painel_diario!$H4588="ED_JU",Painel_diario!$J4588=1),EXP(Painel_diario!$L4588),1)-1</f>
        <v/>
      </c>
    </row>
    <row r="4593">
      <c r="A4593" s="25" t="n">
        <v>45588</v>
      </c>
      <c r="B4593" s="22">
        <f>(1+B4592)*IF(AND(Painel_diario!$H4589="EU_JD",Painel_diario!$J4589=1),EXP(Painel_diario!$L4589),1)-1</f>
        <v/>
      </c>
      <c r="C4593" s="22">
        <f>(1+C4592)*IF(AND(Painel_diario!$H4589="EU_JU",Painel_diario!$J4589=1),EXP(Painel_diario!$L4589),1)-1</f>
        <v/>
      </c>
      <c r="D4593" s="22">
        <f>(1+D4592)*IF(AND(Painel_diario!$H4589="ED_JD",Painel_diario!$J4589=1),EXP(Painel_diario!$L4589),1)-1</f>
        <v/>
      </c>
      <c r="E4593" s="22">
        <f>(1+E4592)*IF(AND(Painel_diario!$H4589="ED_JU",Painel_diario!$J4589=1),EXP(Painel_diario!$L4589),1)-1</f>
        <v/>
      </c>
    </row>
    <row r="4594">
      <c r="A4594" s="25" t="n">
        <v>45589</v>
      </c>
      <c r="B4594" s="22">
        <f>(1+B4593)*IF(AND(Painel_diario!$H4590="EU_JD",Painel_diario!$J4590=1),EXP(Painel_diario!$L4590),1)-1</f>
        <v/>
      </c>
      <c r="C4594" s="22">
        <f>(1+C4593)*IF(AND(Painel_diario!$H4590="EU_JU",Painel_diario!$J4590=1),EXP(Painel_diario!$L4590),1)-1</f>
        <v/>
      </c>
      <c r="D4594" s="22">
        <f>(1+D4593)*IF(AND(Painel_diario!$H4590="ED_JD",Painel_diario!$J4590=1),EXP(Painel_diario!$L4590),1)-1</f>
        <v/>
      </c>
      <c r="E4594" s="22">
        <f>(1+E4593)*IF(AND(Painel_diario!$H4590="ED_JU",Painel_diario!$J4590=1),EXP(Painel_diario!$L4590),1)-1</f>
        <v/>
      </c>
    </row>
    <row r="4595">
      <c r="A4595" s="25" t="n">
        <v>45590</v>
      </c>
      <c r="B4595" s="22">
        <f>(1+B4594)*IF(AND(Painel_diario!$H4591="EU_JD",Painel_diario!$J4591=1),EXP(Painel_diario!$L4591),1)-1</f>
        <v/>
      </c>
      <c r="C4595" s="22">
        <f>(1+C4594)*IF(AND(Painel_diario!$H4591="EU_JU",Painel_diario!$J4591=1),EXP(Painel_diario!$L4591),1)-1</f>
        <v/>
      </c>
      <c r="D4595" s="22">
        <f>(1+D4594)*IF(AND(Painel_diario!$H4591="ED_JD",Painel_diario!$J4591=1),EXP(Painel_diario!$L4591),1)-1</f>
        <v/>
      </c>
      <c r="E4595" s="22">
        <f>(1+E4594)*IF(AND(Painel_diario!$H4591="ED_JU",Painel_diario!$J4591=1),EXP(Painel_diario!$L4591),1)-1</f>
        <v/>
      </c>
    </row>
    <row r="4596">
      <c r="A4596" s="25" t="n">
        <v>45593</v>
      </c>
      <c r="B4596" s="22">
        <f>(1+B4595)*IF(AND(Painel_diario!$H4592="EU_JD",Painel_diario!$J4592=1),EXP(Painel_diario!$L4592),1)-1</f>
        <v/>
      </c>
      <c r="C4596" s="22">
        <f>(1+C4595)*IF(AND(Painel_diario!$H4592="EU_JU",Painel_diario!$J4592=1),EXP(Painel_diario!$L4592),1)-1</f>
        <v/>
      </c>
      <c r="D4596" s="22">
        <f>(1+D4595)*IF(AND(Painel_diario!$H4592="ED_JD",Painel_diario!$J4592=1),EXP(Painel_diario!$L4592),1)-1</f>
        <v/>
      </c>
      <c r="E4596" s="22">
        <f>(1+E4595)*IF(AND(Painel_diario!$H4592="ED_JU",Painel_diario!$J4592=1),EXP(Painel_diario!$L4592),1)-1</f>
        <v/>
      </c>
    </row>
    <row r="4597">
      <c r="A4597" s="25" t="n">
        <v>45594</v>
      </c>
      <c r="B4597" s="22">
        <f>(1+B4596)*IF(AND(Painel_diario!$H4593="EU_JD",Painel_diario!$J4593=1),EXP(Painel_diario!$L4593),1)-1</f>
        <v/>
      </c>
      <c r="C4597" s="22">
        <f>(1+C4596)*IF(AND(Painel_diario!$H4593="EU_JU",Painel_diario!$J4593=1),EXP(Painel_diario!$L4593),1)-1</f>
        <v/>
      </c>
      <c r="D4597" s="22">
        <f>(1+D4596)*IF(AND(Painel_diario!$H4593="ED_JD",Painel_diario!$J4593=1),EXP(Painel_diario!$L4593),1)-1</f>
        <v/>
      </c>
      <c r="E4597" s="22">
        <f>(1+E4596)*IF(AND(Painel_diario!$H4593="ED_JU",Painel_diario!$J4593=1),EXP(Painel_diario!$L4593),1)-1</f>
        <v/>
      </c>
    </row>
    <row r="4598">
      <c r="A4598" s="25" t="n">
        <v>45595</v>
      </c>
      <c r="B4598" s="22">
        <f>(1+B4597)*IF(AND(Painel_diario!$H4594="EU_JD",Painel_diario!$J4594=1),EXP(Painel_diario!$L4594),1)-1</f>
        <v/>
      </c>
      <c r="C4598" s="22">
        <f>(1+C4597)*IF(AND(Painel_diario!$H4594="EU_JU",Painel_diario!$J4594=1),EXP(Painel_diario!$L4594),1)-1</f>
        <v/>
      </c>
      <c r="D4598" s="22">
        <f>(1+D4597)*IF(AND(Painel_diario!$H4594="ED_JD",Painel_diario!$J4594=1),EXP(Painel_diario!$L4594),1)-1</f>
        <v/>
      </c>
      <c r="E4598" s="22">
        <f>(1+E4597)*IF(AND(Painel_diario!$H4594="ED_JU",Painel_diario!$J4594=1),EXP(Painel_diario!$L4594),1)-1</f>
        <v/>
      </c>
    </row>
    <row r="4599">
      <c r="A4599" s="25" t="n">
        <v>45596</v>
      </c>
      <c r="B4599" s="22">
        <f>(1+B4598)*IF(AND(Painel_diario!$H4595="EU_JD",Painel_diario!$J4595=1),EXP(Painel_diario!$L4595),1)-1</f>
        <v/>
      </c>
      <c r="C4599" s="22">
        <f>(1+C4598)*IF(AND(Painel_diario!$H4595="EU_JU",Painel_diario!$J4595=1),EXP(Painel_diario!$L4595),1)-1</f>
        <v/>
      </c>
      <c r="D4599" s="22">
        <f>(1+D4598)*IF(AND(Painel_diario!$H4595="ED_JD",Painel_diario!$J4595=1),EXP(Painel_diario!$L4595),1)-1</f>
        <v/>
      </c>
      <c r="E4599" s="22">
        <f>(1+E4598)*IF(AND(Painel_diario!$H4595="ED_JU",Painel_diario!$J4595=1),EXP(Painel_diario!$L4595),1)-1</f>
        <v/>
      </c>
    </row>
    <row r="4600">
      <c r="A4600" s="25" t="n">
        <v>45597</v>
      </c>
      <c r="B4600" s="22">
        <f>(1+B4599)*IF(AND(Painel_diario!$H4596="EU_JD",Painel_diario!$J4596=1),EXP(Painel_diario!$L4596),1)-1</f>
        <v/>
      </c>
      <c r="C4600" s="22">
        <f>(1+C4599)*IF(AND(Painel_diario!$H4596="EU_JU",Painel_diario!$J4596=1),EXP(Painel_diario!$L4596),1)-1</f>
        <v/>
      </c>
      <c r="D4600" s="22">
        <f>(1+D4599)*IF(AND(Painel_diario!$H4596="ED_JD",Painel_diario!$J4596=1),EXP(Painel_diario!$L4596),1)-1</f>
        <v/>
      </c>
      <c r="E4600" s="22">
        <f>(1+E4599)*IF(AND(Painel_diario!$H4596="ED_JU",Painel_diario!$J4596=1),EXP(Painel_diario!$L4596),1)-1</f>
        <v/>
      </c>
    </row>
    <row r="4601">
      <c r="A4601" s="25" t="n">
        <v>45600</v>
      </c>
      <c r="B4601" s="22">
        <f>(1+B4600)*IF(AND(Painel_diario!$H4597="EU_JD",Painel_diario!$J4597=1),EXP(Painel_diario!$L4597),1)-1</f>
        <v/>
      </c>
      <c r="C4601" s="22">
        <f>(1+C4600)*IF(AND(Painel_diario!$H4597="EU_JU",Painel_diario!$J4597=1),EXP(Painel_diario!$L4597),1)-1</f>
        <v/>
      </c>
      <c r="D4601" s="22">
        <f>(1+D4600)*IF(AND(Painel_diario!$H4597="ED_JD",Painel_diario!$J4597=1),EXP(Painel_diario!$L4597),1)-1</f>
        <v/>
      </c>
      <c r="E4601" s="22">
        <f>(1+E4600)*IF(AND(Painel_diario!$H4597="ED_JU",Painel_diario!$J4597=1),EXP(Painel_diario!$L4597),1)-1</f>
        <v/>
      </c>
    </row>
    <row r="4602">
      <c r="A4602" s="25" t="n">
        <v>45601</v>
      </c>
      <c r="B4602" s="22">
        <f>(1+B4601)*IF(AND(Painel_diario!$H4598="EU_JD",Painel_diario!$J4598=1),EXP(Painel_diario!$L4598),1)-1</f>
        <v/>
      </c>
      <c r="C4602" s="22">
        <f>(1+C4601)*IF(AND(Painel_diario!$H4598="EU_JU",Painel_diario!$J4598=1),EXP(Painel_diario!$L4598),1)-1</f>
        <v/>
      </c>
      <c r="D4602" s="22">
        <f>(1+D4601)*IF(AND(Painel_diario!$H4598="ED_JD",Painel_diario!$J4598=1),EXP(Painel_diario!$L4598),1)-1</f>
        <v/>
      </c>
      <c r="E4602" s="22">
        <f>(1+E4601)*IF(AND(Painel_diario!$H4598="ED_JU",Painel_diario!$J4598=1),EXP(Painel_diario!$L4598),1)-1</f>
        <v/>
      </c>
    </row>
    <row r="4603">
      <c r="A4603" s="25" t="n">
        <v>45602</v>
      </c>
      <c r="B4603" s="22">
        <f>(1+B4602)*IF(AND(Painel_diario!$H4599="EU_JD",Painel_diario!$J4599=1),EXP(Painel_diario!$L4599),1)-1</f>
        <v/>
      </c>
      <c r="C4603" s="22">
        <f>(1+C4602)*IF(AND(Painel_diario!$H4599="EU_JU",Painel_diario!$J4599=1),EXP(Painel_diario!$L4599),1)-1</f>
        <v/>
      </c>
      <c r="D4603" s="22">
        <f>(1+D4602)*IF(AND(Painel_diario!$H4599="ED_JD",Painel_diario!$J4599=1),EXP(Painel_diario!$L4599),1)-1</f>
        <v/>
      </c>
      <c r="E4603" s="22">
        <f>(1+E4602)*IF(AND(Painel_diario!$H4599="ED_JU",Painel_diario!$J4599=1),EXP(Painel_diario!$L4599),1)-1</f>
        <v/>
      </c>
    </row>
    <row r="4604">
      <c r="A4604" s="25" t="n">
        <v>45603</v>
      </c>
      <c r="B4604" s="22">
        <f>(1+B4603)*IF(AND(Painel_diario!$H4600="EU_JD",Painel_diario!$J4600=1),EXP(Painel_diario!$L4600),1)-1</f>
        <v/>
      </c>
      <c r="C4604" s="22">
        <f>(1+C4603)*IF(AND(Painel_diario!$H4600="EU_JU",Painel_diario!$J4600=1),EXP(Painel_diario!$L4600),1)-1</f>
        <v/>
      </c>
      <c r="D4604" s="22">
        <f>(1+D4603)*IF(AND(Painel_diario!$H4600="ED_JD",Painel_diario!$J4600=1),EXP(Painel_diario!$L4600),1)-1</f>
        <v/>
      </c>
      <c r="E4604" s="22">
        <f>(1+E4603)*IF(AND(Painel_diario!$H4600="ED_JU",Painel_diario!$J4600=1),EXP(Painel_diario!$L4600),1)-1</f>
        <v/>
      </c>
    </row>
    <row r="4605">
      <c r="A4605" s="25" t="n">
        <v>45604</v>
      </c>
      <c r="B4605" s="22">
        <f>(1+B4604)*IF(AND(Painel_diario!$H4601="EU_JD",Painel_diario!$J4601=1),EXP(Painel_diario!$L4601),1)-1</f>
        <v/>
      </c>
      <c r="C4605" s="22">
        <f>(1+C4604)*IF(AND(Painel_diario!$H4601="EU_JU",Painel_diario!$J4601=1),EXP(Painel_diario!$L4601),1)-1</f>
        <v/>
      </c>
      <c r="D4605" s="22">
        <f>(1+D4604)*IF(AND(Painel_diario!$H4601="ED_JD",Painel_diario!$J4601=1),EXP(Painel_diario!$L4601),1)-1</f>
        <v/>
      </c>
      <c r="E4605" s="22">
        <f>(1+E4604)*IF(AND(Painel_diario!$H4601="ED_JU",Painel_diario!$J4601=1),EXP(Painel_diario!$L4601),1)-1</f>
        <v/>
      </c>
    </row>
    <row r="4606">
      <c r="A4606" s="25" t="n">
        <v>45607</v>
      </c>
      <c r="B4606" s="22">
        <f>(1+B4605)*IF(AND(Painel_diario!$H4602="EU_JD",Painel_diario!$J4602=1),EXP(Painel_diario!$L4602),1)-1</f>
        <v/>
      </c>
      <c r="C4606" s="22">
        <f>(1+C4605)*IF(AND(Painel_diario!$H4602="EU_JU",Painel_diario!$J4602=1),EXP(Painel_diario!$L4602),1)-1</f>
        <v/>
      </c>
      <c r="D4606" s="22">
        <f>(1+D4605)*IF(AND(Painel_diario!$H4602="ED_JD",Painel_diario!$J4602=1),EXP(Painel_diario!$L4602),1)-1</f>
        <v/>
      </c>
      <c r="E4606" s="22">
        <f>(1+E4605)*IF(AND(Painel_diario!$H4602="ED_JU",Painel_diario!$J4602=1),EXP(Painel_diario!$L4602),1)-1</f>
        <v/>
      </c>
    </row>
    <row r="4607">
      <c r="A4607" s="25" t="n">
        <v>45608</v>
      </c>
      <c r="B4607" s="22">
        <f>(1+B4606)*IF(AND(Painel_diario!$H4603="EU_JD",Painel_diario!$J4603=1),EXP(Painel_diario!$L4603),1)-1</f>
        <v/>
      </c>
      <c r="C4607" s="22">
        <f>(1+C4606)*IF(AND(Painel_diario!$H4603="EU_JU",Painel_diario!$J4603=1),EXP(Painel_diario!$L4603),1)-1</f>
        <v/>
      </c>
      <c r="D4607" s="22">
        <f>(1+D4606)*IF(AND(Painel_diario!$H4603="ED_JD",Painel_diario!$J4603=1),EXP(Painel_diario!$L4603),1)-1</f>
        <v/>
      </c>
      <c r="E4607" s="22">
        <f>(1+E4606)*IF(AND(Painel_diario!$H4603="ED_JU",Painel_diario!$J4603=1),EXP(Painel_diario!$L4603),1)-1</f>
        <v/>
      </c>
    </row>
    <row r="4608">
      <c r="A4608" s="25" t="n">
        <v>45609</v>
      </c>
      <c r="B4608" s="22">
        <f>(1+B4607)*IF(AND(Painel_diario!$H4604="EU_JD",Painel_diario!$J4604=1),EXP(Painel_diario!$L4604),1)-1</f>
        <v/>
      </c>
      <c r="C4608" s="22">
        <f>(1+C4607)*IF(AND(Painel_diario!$H4604="EU_JU",Painel_diario!$J4604=1),EXP(Painel_diario!$L4604),1)-1</f>
        <v/>
      </c>
      <c r="D4608" s="22">
        <f>(1+D4607)*IF(AND(Painel_diario!$H4604="ED_JD",Painel_diario!$J4604=1),EXP(Painel_diario!$L4604),1)-1</f>
        <v/>
      </c>
      <c r="E4608" s="22">
        <f>(1+E4607)*IF(AND(Painel_diario!$H4604="ED_JU",Painel_diario!$J4604=1),EXP(Painel_diario!$L4604),1)-1</f>
        <v/>
      </c>
    </row>
    <row r="4609">
      <c r="A4609" s="25" t="n">
        <v>45610</v>
      </c>
      <c r="B4609" s="22">
        <f>(1+B4608)*IF(AND(Painel_diario!$H4605="EU_JD",Painel_diario!$J4605=1),EXP(Painel_diario!$L4605),1)-1</f>
        <v/>
      </c>
      <c r="C4609" s="22">
        <f>(1+C4608)*IF(AND(Painel_diario!$H4605="EU_JU",Painel_diario!$J4605=1),EXP(Painel_diario!$L4605),1)-1</f>
        <v/>
      </c>
      <c r="D4609" s="22">
        <f>(1+D4608)*IF(AND(Painel_diario!$H4605="ED_JD",Painel_diario!$J4605=1),EXP(Painel_diario!$L4605),1)-1</f>
        <v/>
      </c>
      <c r="E4609" s="22">
        <f>(1+E4608)*IF(AND(Painel_diario!$H4605="ED_JU",Painel_diario!$J4605=1),EXP(Painel_diario!$L4605),1)-1</f>
        <v/>
      </c>
    </row>
    <row r="4610">
      <c r="A4610" s="25" t="n">
        <v>45614</v>
      </c>
      <c r="B4610" s="22">
        <f>(1+B4609)*IF(AND(Painel_diario!$H4606="EU_JD",Painel_diario!$J4606=1),EXP(Painel_diario!$L4606),1)-1</f>
        <v/>
      </c>
      <c r="C4610" s="22">
        <f>(1+C4609)*IF(AND(Painel_diario!$H4606="EU_JU",Painel_diario!$J4606=1),EXP(Painel_diario!$L4606),1)-1</f>
        <v/>
      </c>
      <c r="D4610" s="22">
        <f>(1+D4609)*IF(AND(Painel_diario!$H4606="ED_JD",Painel_diario!$J4606=1),EXP(Painel_diario!$L4606),1)-1</f>
        <v/>
      </c>
      <c r="E4610" s="22">
        <f>(1+E4609)*IF(AND(Painel_diario!$H4606="ED_JU",Painel_diario!$J4606=1),EXP(Painel_diario!$L4606),1)-1</f>
        <v/>
      </c>
    </row>
    <row r="4611">
      <c r="A4611" s="25" t="n">
        <v>45615</v>
      </c>
      <c r="B4611" s="22">
        <f>(1+B4610)*IF(AND(Painel_diario!$H4607="EU_JD",Painel_diario!$J4607=1),EXP(Painel_diario!$L4607),1)-1</f>
        <v/>
      </c>
      <c r="C4611" s="22">
        <f>(1+C4610)*IF(AND(Painel_diario!$H4607="EU_JU",Painel_diario!$J4607=1),EXP(Painel_diario!$L4607),1)-1</f>
        <v/>
      </c>
      <c r="D4611" s="22">
        <f>(1+D4610)*IF(AND(Painel_diario!$H4607="ED_JD",Painel_diario!$J4607=1),EXP(Painel_diario!$L4607),1)-1</f>
        <v/>
      </c>
      <c r="E4611" s="22">
        <f>(1+E4610)*IF(AND(Painel_diario!$H4607="ED_JU",Painel_diario!$J4607=1),EXP(Painel_diario!$L4607),1)-1</f>
        <v/>
      </c>
    </row>
    <row r="4612">
      <c r="A4612" s="25" t="n">
        <v>45617</v>
      </c>
      <c r="B4612" s="22">
        <f>(1+B4611)*IF(AND(Painel_diario!$H4608="EU_JD",Painel_diario!$J4608=1),EXP(Painel_diario!$L4608),1)-1</f>
        <v/>
      </c>
      <c r="C4612" s="22">
        <f>(1+C4611)*IF(AND(Painel_diario!$H4608="EU_JU",Painel_diario!$J4608=1),EXP(Painel_diario!$L4608),1)-1</f>
        <v/>
      </c>
      <c r="D4612" s="22">
        <f>(1+D4611)*IF(AND(Painel_diario!$H4608="ED_JD",Painel_diario!$J4608=1),EXP(Painel_diario!$L4608),1)-1</f>
        <v/>
      </c>
      <c r="E4612" s="22">
        <f>(1+E4611)*IF(AND(Painel_diario!$H4608="ED_JU",Painel_diario!$J4608=1),EXP(Painel_diario!$L4608),1)-1</f>
        <v/>
      </c>
    </row>
    <row r="4613">
      <c r="A4613" s="25" t="n">
        <v>45618</v>
      </c>
      <c r="B4613" s="22">
        <f>(1+B4612)*IF(AND(Painel_diario!$H4609="EU_JD",Painel_diario!$J4609=1),EXP(Painel_diario!$L4609),1)-1</f>
        <v/>
      </c>
      <c r="C4613" s="22">
        <f>(1+C4612)*IF(AND(Painel_diario!$H4609="EU_JU",Painel_diario!$J4609=1),EXP(Painel_diario!$L4609),1)-1</f>
        <v/>
      </c>
      <c r="D4613" s="22">
        <f>(1+D4612)*IF(AND(Painel_diario!$H4609="ED_JD",Painel_diario!$J4609=1),EXP(Painel_diario!$L4609),1)-1</f>
        <v/>
      </c>
      <c r="E4613" s="22">
        <f>(1+E4612)*IF(AND(Painel_diario!$H4609="ED_JU",Painel_diario!$J4609=1),EXP(Painel_diario!$L4609),1)-1</f>
        <v/>
      </c>
    </row>
    <row r="4614">
      <c r="A4614" s="25" t="n">
        <v>45621</v>
      </c>
      <c r="B4614" s="22">
        <f>(1+B4613)*IF(AND(Painel_diario!$H4610="EU_JD",Painel_diario!$J4610=1),EXP(Painel_diario!$L4610),1)-1</f>
        <v/>
      </c>
      <c r="C4614" s="22">
        <f>(1+C4613)*IF(AND(Painel_diario!$H4610="EU_JU",Painel_diario!$J4610=1),EXP(Painel_diario!$L4610),1)-1</f>
        <v/>
      </c>
      <c r="D4614" s="22">
        <f>(1+D4613)*IF(AND(Painel_diario!$H4610="ED_JD",Painel_diario!$J4610=1),EXP(Painel_diario!$L4610),1)-1</f>
        <v/>
      </c>
      <c r="E4614" s="22">
        <f>(1+E4613)*IF(AND(Painel_diario!$H4610="ED_JU",Painel_diario!$J4610=1),EXP(Painel_diario!$L4610),1)-1</f>
        <v/>
      </c>
    </row>
    <row r="4615">
      <c r="A4615" s="25" t="n">
        <v>45622</v>
      </c>
      <c r="B4615" s="22">
        <f>(1+B4614)*IF(AND(Painel_diario!$H4611="EU_JD",Painel_diario!$J4611=1),EXP(Painel_diario!$L4611),1)-1</f>
        <v/>
      </c>
      <c r="C4615" s="22">
        <f>(1+C4614)*IF(AND(Painel_diario!$H4611="EU_JU",Painel_diario!$J4611=1),EXP(Painel_diario!$L4611),1)-1</f>
        <v/>
      </c>
      <c r="D4615" s="22">
        <f>(1+D4614)*IF(AND(Painel_diario!$H4611="ED_JD",Painel_diario!$J4611=1),EXP(Painel_diario!$L4611),1)-1</f>
        <v/>
      </c>
      <c r="E4615" s="22">
        <f>(1+E4614)*IF(AND(Painel_diario!$H4611="ED_JU",Painel_diario!$J4611=1),EXP(Painel_diario!$L4611),1)-1</f>
        <v/>
      </c>
    </row>
    <row r="4616">
      <c r="A4616" s="25" t="n">
        <v>45623</v>
      </c>
      <c r="B4616" s="22">
        <f>(1+B4615)*IF(AND(Painel_diario!$H4612="EU_JD",Painel_diario!$J4612=1),EXP(Painel_diario!$L4612),1)-1</f>
        <v/>
      </c>
      <c r="C4616" s="22">
        <f>(1+C4615)*IF(AND(Painel_diario!$H4612="EU_JU",Painel_diario!$J4612=1),EXP(Painel_diario!$L4612),1)-1</f>
        <v/>
      </c>
      <c r="D4616" s="22">
        <f>(1+D4615)*IF(AND(Painel_diario!$H4612="ED_JD",Painel_diario!$J4612=1),EXP(Painel_diario!$L4612),1)-1</f>
        <v/>
      </c>
      <c r="E4616" s="22">
        <f>(1+E4615)*IF(AND(Painel_diario!$H4612="ED_JU",Painel_diario!$J4612=1),EXP(Painel_diario!$L4612),1)-1</f>
        <v/>
      </c>
    </row>
    <row r="4617">
      <c r="A4617" s="25" t="n">
        <v>45624</v>
      </c>
      <c r="B4617" s="22">
        <f>(1+B4616)*IF(AND(Painel_diario!$H4613="EU_JD",Painel_diario!$J4613=1),EXP(Painel_diario!$L4613),1)-1</f>
        <v/>
      </c>
      <c r="C4617" s="22">
        <f>(1+C4616)*IF(AND(Painel_diario!$H4613="EU_JU",Painel_diario!$J4613=1),EXP(Painel_diario!$L4613),1)-1</f>
        <v/>
      </c>
      <c r="D4617" s="22">
        <f>(1+D4616)*IF(AND(Painel_diario!$H4613="ED_JD",Painel_diario!$J4613=1),EXP(Painel_diario!$L4613),1)-1</f>
        <v/>
      </c>
      <c r="E4617" s="22">
        <f>(1+E4616)*IF(AND(Painel_diario!$H4613="ED_JU",Painel_diario!$J4613=1),EXP(Painel_diario!$L4613),1)-1</f>
        <v/>
      </c>
    </row>
    <row r="4618">
      <c r="A4618" s="25" t="n">
        <v>45625</v>
      </c>
      <c r="B4618" s="22">
        <f>(1+B4617)*IF(AND(Painel_diario!$H4614="EU_JD",Painel_diario!$J4614=1),EXP(Painel_diario!$L4614),1)-1</f>
        <v/>
      </c>
      <c r="C4618" s="22">
        <f>(1+C4617)*IF(AND(Painel_diario!$H4614="EU_JU",Painel_diario!$J4614=1),EXP(Painel_diario!$L4614),1)-1</f>
        <v/>
      </c>
      <c r="D4618" s="22">
        <f>(1+D4617)*IF(AND(Painel_diario!$H4614="ED_JD",Painel_diario!$J4614=1),EXP(Painel_diario!$L4614),1)-1</f>
        <v/>
      </c>
      <c r="E4618" s="22">
        <f>(1+E4617)*IF(AND(Painel_diario!$H4614="ED_JU",Painel_diario!$J4614=1),EXP(Painel_diario!$L4614),1)-1</f>
        <v/>
      </c>
    </row>
    <row r="4619">
      <c r="A4619" s="25" t="n">
        <v>45628</v>
      </c>
      <c r="B4619" s="22">
        <f>(1+B4618)*IF(AND(Painel_diario!$H4615="EU_JD",Painel_diario!$J4615=1),EXP(Painel_diario!$L4615),1)-1</f>
        <v/>
      </c>
      <c r="C4619" s="22">
        <f>(1+C4618)*IF(AND(Painel_diario!$H4615="EU_JU",Painel_diario!$J4615=1),EXP(Painel_diario!$L4615),1)-1</f>
        <v/>
      </c>
      <c r="D4619" s="22">
        <f>(1+D4618)*IF(AND(Painel_diario!$H4615="ED_JD",Painel_diario!$J4615=1),EXP(Painel_diario!$L4615),1)-1</f>
        <v/>
      </c>
      <c r="E4619" s="22">
        <f>(1+E4618)*IF(AND(Painel_diario!$H4615="ED_JU",Painel_diario!$J4615=1),EXP(Painel_diario!$L4615),1)-1</f>
        <v/>
      </c>
    </row>
    <row r="4620">
      <c r="A4620" s="25" t="n">
        <v>45629</v>
      </c>
      <c r="B4620" s="22">
        <f>(1+B4619)*IF(AND(Painel_diario!$H4616="EU_JD",Painel_diario!$J4616=1),EXP(Painel_diario!$L4616),1)-1</f>
        <v/>
      </c>
      <c r="C4620" s="22">
        <f>(1+C4619)*IF(AND(Painel_diario!$H4616="EU_JU",Painel_diario!$J4616=1),EXP(Painel_diario!$L4616),1)-1</f>
        <v/>
      </c>
      <c r="D4620" s="22">
        <f>(1+D4619)*IF(AND(Painel_diario!$H4616="ED_JD",Painel_diario!$J4616=1),EXP(Painel_diario!$L4616),1)-1</f>
        <v/>
      </c>
      <c r="E4620" s="22">
        <f>(1+E4619)*IF(AND(Painel_diario!$H4616="ED_JU",Painel_diario!$J4616=1),EXP(Painel_diario!$L4616),1)-1</f>
        <v/>
      </c>
    </row>
    <row r="4621">
      <c r="A4621" s="25" t="n">
        <v>45630</v>
      </c>
      <c r="B4621" s="22">
        <f>(1+B4620)*IF(AND(Painel_diario!$H4617="EU_JD",Painel_diario!$J4617=1),EXP(Painel_diario!$L4617),1)-1</f>
        <v/>
      </c>
      <c r="C4621" s="22">
        <f>(1+C4620)*IF(AND(Painel_diario!$H4617="EU_JU",Painel_diario!$J4617=1),EXP(Painel_diario!$L4617),1)-1</f>
        <v/>
      </c>
      <c r="D4621" s="22">
        <f>(1+D4620)*IF(AND(Painel_diario!$H4617="ED_JD",Painel_diario!$J4617=1),EXP(Painel_diario!$L4617),1)-1</f>
        <v/>
      </c>
      <c r="E4621" s="22">
        <f>(1+E4620)*IF(AND(Painel_diario!$H4617="ED_JU",Painel_diario!$J4617=1),EXP(Painel_diario!$L4617),1)-1</f>
        <v/>
      </c>
    </row>
    <row r="4622">
      <c r="A4622" s="25" t="n">
        <v>45631</v>
      </c>
      <c r="B4622" s="22">
        <f>(1+B4621)*IF(AND(Painel_diario!$H4618="EU_JD",Painel_diario!$J4618=1),EXP(Painel_diario!$L4618),1)-1</f>
        <v/>
      </c>
      <c r="C4622" s="22">
        <f>(1+C4621)*IF(AND(Painel_diario!$H4618="EU_JU",Painel_diario!$J4618=1),EXP(Painel_diario!$L4618),1)-1</f>
        <v/>
      </c>
      <c r="D4622" s="22">
        <f>(1+D4621)*IF(AND(Painel_diario!$H4618="ED_JD",Painel_diario!$J4618=1),EXP(Painel_diario!$L4618),1)-1</f>
        <v/>
      </c>
      <c r="E4622" s="22">
        <f>(1+E4621)*IF(AND(Painel_diario!$H4618="ED_JU",Painel_diario!$J4618=1),EXP(Painel_diario!$L4618),1)-1</f>
        <v/>
      </c>
    </row>
    <row r="4623">
      <c r="A4623" s="25" t="n">
        <v>45632</v>
      </c>
      <c r="B4623" s="22">
        <f>(1+B4622)*IF(AND(Painel_diario!$H4619="EU_JD",Painel_diario!$J4619=1),EXP(Painel_diario!$L4619),1)-1</f>
        <v/>
      </c>
      <c r="C4623" s="22">
        <f>(1+C4622)*IF(AND(Painel_diario!$H4619="EU_JU",Painel_diario!$J4619=1),EXP(Painel_diario!$L4619),1)-1</f>
        <v/>
      </c>
      <c r="D4623" s="22">
        <f>(1+D4622)*IF(AND(Painel_diario!$H4619="ED_JD",Painel_diario!$J4619=1),EXP(Painel_diario!$L4619),1)-1</f>
        <v/>
      </c>
      <c r="E4623" s="22">
        <f>(1+E4622)*IF(AND(Painel_diario!$H4619="ED_JU",Painel_diario!$J4619=1),EXP(Painel_diario!$L4619),1)-1</f>
        <v/>
      </c>
    </row>
    <row r="4624">
      <c r="A4624" s="25" t="n">
        <v>45635</v>
      </c>
      <c r="B4624" s="22">
        <f>(1+B4623)*IF(AND(Painel_diario!$H4620="EU_JD",Painel_diario!$J4620=1),EXP(Painel_diario!$L4620),1)-1</f>
        <v/>
      </c>
      <c r="C4624" s="22">
        <f>(1+C4623)*IF(AND(Painel_diario!$H4620="EU_JU",Painel_diario!$J4620=1),EXP(Painel_diario!$L4620),1)-1</f>
        <v/>
      </c>
      <c r="D4624" s="22">
        <f>(1+D4623)*IF(AND(Painel_diario!$H4620="ED_JD",Painel_diario!$J4620=1),EXP(Painel_diario!$L4620),1)-1</f>
        <v/>
      </c>
      <c r="E4624" s="22">
        <f>(1+E4623)*IF(AND(Painel_diario!$H4620="ED_JU",Painel_diario!$J4620=1),EXP(Painel_diario!$L4620),1)-1</f>
        <v/>
      </c>
    </row>
    <row r="4625">
      <c r="A4625" s="25" t="n">
        <v>45636</v>
      </c>
      <c r="B4625" s="22">
        <f>(1+B4624)*IF(AND(Painel_diario!$H4621="EU_JD",Painel_diario!$J4621=1),EXP(Painel_diario!$L4621),1)-1</f>
        <v/>
      </c>
      <c r="C4625" s="22">
        <f>(1+C4624)*IF(AND(Painel_diario!$H4621="EU_JU",Painel_diario!$J4621=1),EXP(Painel_diario!$L4621),1)-1</f>
        <v/>
      </c>
      <c r="D4625" s="22">
        <f>(1+D4624)*IF(AND(Painel_diario!$H4621="ED_JD",Painel_diario!$J4621=1),EXP(Painel_diario!$L4621),1)-1</f>
        <v/>
      </c>
      <c r="E4625" s="22">
        <f>(1+E4624)*IF(AND(Painel_diario!$H4621="ED_JU",Painel_diario!$J4621=1),EXP(Painel_diario!$L4621),1)-1</f>
        <v/>
      </c>
    </row>
    <row r="4626">
      <c r="A4626" s="25" t="n">
        <v>45637</v>
      </c>
      <c r="B4626" s="22">
        <f>(1+B4625)*IF(AND(Painel_diario!$H4622="EU_JD",Painel_diario!$J4622=1),EXP(Painel_diario!$L4622),1)-1</f>
        <v/>
      </c>
      <c r="C4626" s="22">
        <f>(1+C4625)*IF(AND(Painel_diario!$H4622="EU_JU",Painel_diario!$J4622=1),EXP(Painel_diario!$L4622),1)-1</f>
        <v/>
      </c>
      <c r="D4626" s="22">
        <f>(1+D4625)*IF(AND(Painel_diario!$H4622="ED_JD",Painel_diario!$J4622=1),EXP(Painel_diario!$L4622),1)-1</f>
        <v/>
      </c>
      <c r="E4626" s="22">
        <f>(1+E4625)*IF(AND(Painel_diario!$H4622="ED_JU",Painel_diario!$J4622=1),EXP(Painel_diario!$L4622),1)-1</f>
        <v/>
      </c>
    </row>
    <row r="4627">
      <c r="A4627" s="25" t="n">
        <v>45638</v>
      </c>
      <c r="B4627" s="22">
        <f>(1+B4626)*IF(AND(Painel_diario!$H4623="EU_JD",Painel_diario!$J4623=1),EXP(Painel_diario!$L4623),1)-1</f>
        <v/>
      </c>
      <c r="C4627" s="22">
        <f>(1+C4626)*IF(AND(Painel_diario!$H4623="EU_JU",Painel_diario!$J4623=1),EXP(Painel_diario!$L4623),1)-1</f>
        <v/>
      </c>
      <c r="D4627" s="22">
        <f>(1+D4626)*IF(AND(Painel_diario!$H4623="ED_JD",Painel_diario!$J4623=1),EXP(Painel_diario!$L4623),1)-1</f>
        <v/>
      </c>
      <c r="E4627" s="22">
        <f>(1+E4626)*IF(AND(Painel_diario!$H4623="ED_JU",Painel_diario!$J4623=1),EXP(Painel_diario!$L4623),1)-1</f>
        <v/>
      </c>
    </row>
    <row r="4628">
      <c r="A4628" s="25" t="n">
        <v>45639</v>
      </c>
      <c r="B4628" s="22">
        <f>(1+B4627)*IF(AND(Painel_diario!$H4624="EU_JD",Painel_diario!$J4624=1),EXP(Painel_diario!$L4624),1)-1</f>
        <v/>
      </c>
      <c r="C4628" s="22">
        <f>(1+C4627)*IF(AND(Painel_diario!$H4624="EU_JU",Painel_diario!$J4624=1),EXP(Painel_diario!$L4624),1)-1</f>
        <v/>
      </c>
      <c r="D4628" s="22">
        <f>(1+D4627)*IF(AND(Painel_diario!$H4624="ED_JD",Painel_diario!$J4624=1),EXP(Painel_diario!$L4624),1)-1</f>
        <v/>
      </c>
      <c r="E4628" s="22">
        <f>(1+E4627)*IF(AND(Painel_diario!$H4624="ED_JU",Painel_diario!$J4624=1),EXP(Painel_diario!$L4624),1)-1</f>
        <v/>
      </c>
    </row>
    <row r="4629">
      <c r="A4629" s="25" t="n">
        <v>45642</v>
      </c>
      <c r="B4629" s="22">
        <f>(1+B4628)*IF(AND(Painel_diario!$H4625="EU_JD",Painel_diario!$J4625=1),EXP(Painel_diario!$L4625),1)-1</f>
        <v/>
      </c>
      <c r="C4629" s="22">
        <f>(1+C4628)*IF(AND(Painel_diario!$H4625="EU_JU",Painel_diario!$J4625=1),EXP(Painel_diario!$L4625),1)-1</f>
        <v/>
      </c>
      <c r="D4629" s="22">
        <f>(1+D4628)*IF(AND(Painel_diario!$H4625="ED_JD",Painel_diario!$J4625=1),EXP(Painel_diario!$L4625),1)-1</f>
        <v/>
      </c>
      <c r="E4629" s="22">
        <f>(1+E4628)*IF(AND(Painel_diario!$H4625="ED_JU",Painel_diario!$J4625=1),EXP(Painel_diario!$L4625),1)-1</f>
        <v/>
      </c>
    </row>
    <row r="4630">
      <c r="A4630" s="25" t="n">
        <v>45643</v>
      </c>
      <c r="B4630" s="22">
        <f>(1+B4629)*IF(AND(Painel_diario!$H4626="EU_JD",Painel_diario!$J4626=1),EXP(Painel_diario!$L4626),1)-1</f>
        <v/>
      </c>
      <c r="C4630" s="22">
        <f>(1+C4629)*IF(AND(Painel_diario!$H4626="EU_JU",Painel_diario!$J4626=1),EXP(Painel_diario!$L4626),1)-1</f>
        <v/>
      </c>
      <c r="D4630" s="22">
        <f>(1+D4629)*IF(AND(Painel_diario!$H4626="ED_JD",Painel_diario!$J4626=1),EXP(Painel_diario!$L4626),1)-1</f>
        <v/>
      </c>
      <c r="E4630" s="22">
        <f>(1+E4629)*IF(AND(Painel_diario!$H4626="ED_JU",Painel_diario!$J4626=1),EXP(Painel_diario!$L4626),1)-1</f>
        <v/>
      </c>
    </row>
    <row r="4631">
      <c r="A4631" s="25" t="n">
        <v>45644</v>
      </c>
      <c r="B4631" s="22">
        <f>(1+B4630)*IF(AND(Painel_diario!$H4627="EU_JD",Painel_diario!$J4627=1),EXP(Painel_diario!$L4627),1)-1</f>
        <v/>
      </c>
      <c r="C4631" s="22">
        <f>(1+C4630)*IF(AND(Painel_diario!$H4627="EU_JU",Painel_diario!$J4627=1),EXP(Painel_diario!$L4627),1)-1</f>
        <v/>
      </c>
      <c r="D4631" s="22">
        <f>(1+D4630)*IF(AND(Painel_diario!$H4627="ED_JD",Painel_diario!$J4627=1),EXP(Painel_diario!$L4627),1)-1</f>
        <v/>
      </c>
      <c r="E4631" s="22">
        <f>(1+E4630)*IF(AND(Painel_diario!$H4627="ED_JU",Painel_diario!$J4627=1),EXP(Painel_diario!$L4627),1)-1</f>
        <v/>
      </c>
    </row>
    <row r="4632">
      <c r="A4632" s="25" t="n">
        <v>45645</v>
      </c>
      <c r="B4632" s="22">
        <f>(1+B4631)*IF(AND(Painel_diario!$H4628="EU_JD",Painel_diario!$J4628=1),EXP(Painel_diario!$L4628),1)-1</f>
        <v/>
      </c>
      <c r="C4632" s="22">
        <f>(1+C4631)*IF(AND(Painel_diario!$H4628="EU_JU",Painel_diario!$J4628=1),EXP(Painel_diario!$L4628),1)-1</f>
        <v/>
      </c>
      <c r="D4632" s="22">
        <f>(1+D4631)*IF(AND(Painel_diario!$H4628="ED_JD",Painel_diario!$J4628=1),EXP(Painel_diario!$L4628),1)-1</f>
        <v/>
      </c>
      <c r="E4632" s="22">
        <f>(1+E4631)*IF(AND(Painel_diario!$H4628="ED_JU",Painel_diario!$J4628=1),EXP(Painel_diario!$L4628),1)-1</f>
        <v/>
      </c>
    </row>
    <row r="4633">
      <c r="A4633" s="25" t="n">
        <v>45646</v>
      </c>
      <c r="B4633" s="22">
        <f>(1+B4632)*IF(AND(Painel_diario!$H4629="EU_JD",Painel_diario!$J4629=1),EXP(Painel_diario!$L4629),1)-1</f>
        <v/>
      </c>
      <c r="C4633" s="22">
        <f>(1+C4632)*IF(AND(Painel_diario!$H4629="EU_JU",Painel_diario!$J4629=1),EXP(Painel_diario!$L4629),1)-1</f>
        <v/>
      </c>
      <c r="D4633" s="22">
        <f>(1+D4632)*IF(AND(Painel_diario!$H4629="ED_JD",Painel_diario!$J4629=1),EXP(Painel_diario!$L4629),1)-1</f>
        <v/>
      </c>
      <c r="E4633" s="22">
        <f>(1+E4632)*IF(AND(Painel_diario!$H4629="ED_JU",Painel_diario!$J4629=1),EXP(Painel_diario!$L4629),1)-1</f>
        <v/>
      </c>
    </row>
    <row r="4634">
      <c r="A4634" s="25" t="n">
        <v>45649</v>
      </c>
      <c r="B4634" s="22">
        <f>(1+B4633)*IF(AND(Painel_diario!$H4630="EU_JD",Painel_diario!$J4630=1),EXP(Painel_diario!$L4630),1)-1</f>
        <v/>
      </c>
      <c r="C4634" s="22">
        <f>(1+C4633)*IF(AND(Painel_diario!$H4630="EU_JU",Painel_diario!$J4630=1),EXP(Painel_diario!$L4630),1)-1</f>
        <v/>
      </c>
      <c r="D4634" s="22">
        <f>(1+D4633)*IF(AND(Painel_diario!$H4630="ED_JD",Painel_diario!$J4630=1),EXP(Painel_diario!$L4630),1)-1</f>
        <v/>
      </c>
      <c r="E4634" s="22">
        <f>(1+E4633)*IF(AND(Painel_diario!$H4630="ED_JU",Painel_diario!$J4630=1),EXP(Painel_diario!$L4630),1)-1</f>
        <v/>
      </c>
    </row>
    <row r="4635">
      <c r="A4635" s="25" t="n">
        <v>45652</v>
      </c>
      <c r="B4635" s="22">
        <f>(1+B4634)*IF(AND(Painel_diario!$H4631="EU_JD",Painel_diario!$J4631=1),EXP(Painel_diario!$L4631),1)-1</f>
        <v/>
      </c>
      <c r="C4635" s="22">
        <f>(1+C4634)*IF(AND(Painel_diario!$H4631="EU_JU",Painel_diario!$J4631=1),EXP(Painel_diario!$L4631),1)-1</f>
        <v/>
      </c>
      <c r="D4635" s="22">
        <f>(1+D4634)*IF(AND(Painel_diario!$H4631="ED_JD",Painel_diario!$J4631=1),EXP(Painel_diario!$L4631),1)-1</f>
        <v/>
      </c>
      <c r="E4635" s="22">
        <f>(1+E4634)*IF(AND(Painel_diario!$H4631="ED_JU",Painel_diario!$J4631=1),EXP(Painel_diario!$L4631),1)-1</f>
        <v/>
      </c>
    </row>
    <row r="4636">
      <c r="A4636" s="25" t="n">
        <v>45653</v>
      </c>
      <c r="B4636" s="22">
        <f>(1+B4635)*IF(AND(Painel_diario!$H4632="EU_JD",Painel_diario!$J4632=1),EXP(Painel_diario!$L4632),1)-1</f>
        <v/>
      </c>
      <c r="C4636" s="22">
        <f>(1+C4635)*IF(AND(Painel_diario!$H4632="EU_JU",Painel_diario!$J4632=1),EXP(Painel_diario!$L4632),1)-1</f>
        <v/>
      </c>
      <c r="D4636" s="22">
        <f>(1+D4635)*IF(AND(Painel_diario!$H4632="ED_JD",Painel_diario!$J4632=1),EXP(Painel_diario!$L4632),1)-1</f>
        <v/>
      </c>
      <c r="E4636" s="22">
        <f>(1+E4635)*IF(AND(Painel_diario!$H4632="ED_JU",Painel_diario!$J4632=1),EXP(Painel_diario!$L4632),1)-1</f>
        <v/>
      </c>
    </row>
    <row r="4637">
      <c r="A4637" s="25" t="n">
        <v>45656</v>
      </c>
      <c r="B4637" s="22">
        <f>(1+B4636)*IF(AND(Painel_diario!$H4633="EU_JD",Painel_diario!$J4633=1),EXP(Painel_diario!$L4633),1)-1</f>
        <v/>
      </c>
      <c r="C4637" s="22">
        <f>(1+C4636)*IF(AND(Painel_diario!$H4633="EU_JU",Painel_diario!$J4633=1),EXP(Painel_diario!$L4633),1)-1</f>
        <v/>
      </c>
      <c r="D4637" s="22">
        <f>(1+D4636)*IF(AND(Painel_diario!$H4633="ED_JD",Painel_diario!$J4633=1),EXP(Painel_diario!$L4633),1)-1</f>
        <v/>
      </c>
      <c r="E4637" s="22">
        <f>(1+E4636)*IF(AND(Painel_diario!$H4633="ED_JU",Painel_diario!$J4633=1),EXP(Painel_diario!$L4633),1)-1</f>
        <v/>
      </c>
    </row>
    <row r="4638">
      <c r="A4638" s="25" t="n">
        <v>45659</v>
      </c>
      <c r="B4638" s="22">
        <f>(1+B4637)*IF(AND(Painel_diario!$H4634="EU_JD",Painel_diario!$J4634=1),EXP(Painel_diario!$L4634),1)-1</f>
        <v/>
      </c>
      <c r="C4638" s="22">
        <f>(1+C4637)*IF(AND(Painel_diario!$H4634="EU_JU",Painel_diario!$J4634=1),EXP(Painel_diario!$L4634),1)-1</f>
        <v/>
      </c>
      <c r="D4638" s="22">
        <f>(1+D4637)*IF(AND(Painel_diario!$H4634="ED_JD",Painel_diario!$J4634=1),EXP(Painel_diario!$L4634),1)-1</f>
        <v/>
      </c>
      <c r="E4638" s="22">
        <f>(1+E4637)*IF(AND(Painel_diario!$H4634="ED_JU",Painel_diario!$J4634=1),EXP(Painel_diario!$L4634),1)-1</f>
        <v/>
      </c>
    </row>
    <row r="4639">
      <c r="A4639" s="25" t="n">
        <v>45660</v>
      </c>
      <c r="B4639" s="22">
        <f>(1+B4638)*IF(AND(Painel_diario!$H4635="EU_JD",Painel_diario!$J4635=1),EXP(Painel_diario!$L4635),1)-1</f>
        <v/>
      </c>
      <c r="C4639" s="22">
        <f>(1+C4638)*IF(AND(Painel_diario!$H4635="EU_JU",Painel_diario!$J4635=1),EXP(Painel_diario!$L4635),1)-1</f>
        <v/>
      </c>
      <c r="D4639" s="22">
        <f>(1+D4638)*IF(AND(Painel_diario!$H4635="ED_JD",Painel_diario!$J4635=1),EXP(Painel_diario!$L4635),1)-1</f>
        <v/>
      </c>
      <c r="E4639" s="22">
        <f>(1+E4638)*IF(AND(Painel_diario!$H4635="ED_JU",Painel_diario!$J4635=1),EXP(Painel_diario!$L4635),1)-1</f>
        <v/>
      </c>
    </row>
    <row r="4640">
      <c r="A4640" s="25" t="n">
        <v>45663</v>
      </c>
      <c r="B4640" s="22">
        <f>(1+B4639)*IF(AND(Painel_diario!$H4636="EU_JD",Painel_diario!$J4636=1),EXP(Painel_diario!$L4636),1)-1</f>
        <v/>
      </c>
      <c r="C4640" s="22">
        <f>(1+C4639)*IF(AND(Painel_diario!$H4636="EU_JU",Painel_diario!$J4636=1),EXP(Painel_diario!$L4636),1)-1</f>
        <v/>
      </c>
      <c r="D4640" s="22">
        <f>(1+D4639)*IF(AND(Painel_diario!$H4636="ED_JD",Painel_diario!$J4636=1),EXP(Painel_diario!$L4636),1)-1</f>
        <v/>
      </c>
      <c r="E4640" s="22">
        <f>(1+E4639)*IF(AND(Painel_diario!$H4636="ED_JU",Painel_diario!$J4636=1),EXP(Painel_diario!$L4636),1)-1</f>
        <v/>
      </c>
    </row>
    <row r="4641">
      <c r="A4641" s="25" t="n">
        <v>45664</v>
      </c>
      <c r="B4641" s="22">
        <f>(1+B4640)*IF(AND(Painel_diario!$H4637="EU_JD",Painel_diario!$J4637=1),EXP(Painel_diario!$L4637),1)-1</f>
        <v/>
      </c>
      <c r="C4641" s="22">
        <f>(1+C4640)*IF(AND(Painel_diario!$H4637="EU_JU",Painel_diario!$J4637=1),EXP(Painel_diario!$L4637),1)-1</f>
        <v/>
      </c>
      <c r="D4641" s="22">
        <f>(1+D4640)*IF(AND(Painel_diario!$H4637="ED_JD",Painel_diario!$J4637=1),EXP(Painel_diario!$L4637),1)-1</f>
        <v/>
      </c>
      <c r="E4641" s="22">
        <f>(1+E4640)*IF(AND(Painel_diario!$H4637="ED_JU",Painel_diario!$J4637=1),EXP(Painel_diario!$L4637),1)-1</f>
        <v/>
      </c>
    </row>
    <row r="4642">
      <c r="A4642" s="25" t="n">
        <v>45665</v>
      </c>
      <c r="B4642" s="22">
        <f>(1+B4641)*IF(AND(Painel_diario!$H4638="EU_JD",Painel_diario!$J4638=1),EXP(Painel_diario!$L4638),1)-1</f>
        <v/>
      </c>
      <c r="C4642" s="22">
        <f>(1+C4641)*IF(AND(Painel_diario!$H4638="EU_JU",Painel_diario!$J4638=1),EXP(Painel_diario!$L4638),1)-1</f>
        <v/>
      </c>
      <c r="D4642" s="22">
        <f>(1+D4641)*IF(AND(Painel_diario!$H4638="ED_JD",Painel_diario!$J4638=1),EXP(Painel_diario!$L4638),1)-1</f>
        <v/>
      </c>
      <c r="E4642" s="22">
        <f>(1+E4641)*IF(AND(Painel_diario!$H4638="ED_JU",Painel_diario!$J4638=1),EXP(Painel_diario!$L4638),1)-1</f>
        <v/>
      </c>
    </row>
    <row r="4643">
      <c r="A4643" s="25" t="n">
        <v>45666</v>
      </c>
      <c r="B4643" s="22">
        <f>(1+B4642)*IF(AND(Painel_diario!$H4639="EU_JD",Painel_diario!$J4639=1),EXP(Painel_diario!$L4639),1)-1</f>
        <v/>
      </c>
      <c r="C4643" s="22">
        <f>(1+C4642)*IF(AND(Painel_diario!$H4639="EU_JU",Painel_diario!$J4639=1),EXP(Painel_diario!$L4639),1)-1</f>
        <v/>
      </c>
      <c r="D4643" s="22">
        <f>(1+D4642)*IF(AND(Painel_diario!$H4639="ED_JD",Painel_diario!$J4639=1),EXP(Painel_diario!$L4639),1)-1</f>
        <v/>
      </c>
      <c r="E4643" s="22">
        <f>(1+E4642)*IF(AND(Painel_diario!$H4639="ED_JU",Painel_diario!$J4639=1),EXP(Painel_diario!$L4639),1)-1</f>
        <v/>
      </c>
    </row>
    <row r="4644">
      <c r="A4644" s="25" t="n">
        <v>45667</v>
      </c>
      <c r="B4644" s="22">
        <f>(1+B4643)*IF(AND(Painel_diario!$H4640="EU_JD",Painel_diario!$J4640=1),EXP(Painel_diario!$L4640),1)-1</f>
        <v/>
      </c>
      <c r="C4644" s="22">
        <f>(1+C4643)*IF(AND(Painel_diario!$H4640="EU_JU",Painel_diario!$J4640=1),EXP(Painel_diario!$L4640),1)-1</f>
        <v/>
      </c>
      <c r="D4644" s="22">
        <f>(1+D4643)*IF(AND(Painel_diario!$H4640="ED_JD",Painel_diario!$J4640=1),EXP(Painel_diario!$L4640),1)-1</f>
        <v/>
      </c>
      <c r="E4644" s="22">
        <f>(1+E4643)*IF(AND(Painel_diario!$H4640="ED_JU",Painel_diario!$J4640=1),EXP(Painel_diario!$L4640),1)-1</f>
        <v/>
      </c>
    </row>
    <row r="4645">
      <c r="A4645" s="25" t="n">
        <v>45670</v>
      </c>
      <c r="B4645" s="22">
        <f>(1+B4644)*IF(AND(Painel_diario!$H4641="EU_JD",Painel_diario!$J4641=1),EXP(Painel_diario!$L4641),1)-1</f>
        <v/>
      </c>
      <c r="C4645" s="22">
        <f>(1+C4644)*IF(AND(Painel_diario!$H4641="EU_JU",Painel_diario!$J4641=1),EXP(Painel_diario!$L4641),1)-1</f>
        <v/>
      </c>
      <c r="D4645" s="22">
        <f>(1+D4644)*IF(AND(Painel_diario!$H4641="ED_JD",Painel_diario!$J4641=1),EXP(Painel_diario!$L4641),1)-1</f>
        <v/>
      </c>
      <c r="E4645" s="22">
        <f>(1+E4644)*IF(AND(Painel_diario!$H4641="ED_JU",Painel_diario!$J4641=1),EXP(Painel_diario!$L4641),1)-1</f>
        <v/>
      </c>
    </row>
    <row r="4646">
      <c r="A4646" s="25" t="n">
        <v>45671</v>
      </c>
      <c r="B4646" s="22">
        <f>(1+B4645)*IF(AND(Painel_diario!$H4642="EU_JD",Painel_diario!$J4642=1),EXP(Painel_diario!$L4642),1)-1</f>
        <v/>
      </c>
      <c r="C4646" s="22">
        <f>(1+C4645)*IF(AND(Painel_diario!$H4642="EU_JU",Painel_diario!$J4642=1),EXP(Painel_diario!$L4642),1)-1</f>
        <v/>
      </c>
      <c r="D4646" s="22">
        <f>(1+D4645)*IF(AND(Painel_diario!$H4642="ED_JD",Painel_diario!$J4642=1),EXP(Painel_diario!$L4642),1)-1</f>
        <v/>
      </c>
      <c r="E4646" s="22">
        <f>(1+E4645)*IF(AND(Painel_diario!$H4642="ED_JU",Painel_diario!$J4642=1),EXP(Painel_diario!$L4642),1)-1</f>
        <v/>
      </c>
    </row>
    <row r="4647">
      <c r="A4647" s="25" t="n">
        <v>45672</v>
      </c>
      <c r="B4647" s="22">
        <f>(1+B4646)*IF(AND(Painel_diario!$H4643="EU_JD",Painel_diario!$J4643=1),EXP(Painel_diario!$L4643),1)-1</f>
        <v/>
      </c>
      <c r="C4647" s="22">
        <f>(1+C4646)*IF(AND(Painel_diario!$H4643="EU_JU",Painel_diario!$J4643=1),EXP(Painel_diario!$L4643),1)-1</f>
        <v/>
      </c>
      <c r="D4647" s="22">
        <f>(1+D4646)*IF(AND(Painel_diario!$H4643="ED_JD",Painel_diario!$J4643=1),EXP(Painel_diario!$L4643),1)-1</f>
        <v/>
      </c>
      <c r="E4647" s="22">
        <f>(1+E4646)*IF(AND(Painel_diario!$H4643="ED_JU",Painel_diario!$J4643=1),EXP(Painel_diario!$L4643),1)-1</f>
        <v/>
      </c>
    </row>
    <row r="4648">
      <c r="A4648" s="25" t="n">
        <v>45673</v>
      </c>
      <c r="B4648" s="22">
        <f>(1+B4647)*IF(AND(Painel_diario!$H4644="EU_JD",Painel_diario!$J4644=1),EXP(Painel_diario!$L4644),1)-1</f>
        <v/>
      </c>
      <c r="C4648" s="22">
        <f>(1+C4647)*IF(AND(Painel_diario!$H4644="EU_JU",Painel_diario!$J4644=1),EXP(Painel_diario!$L4644),1)-1</f>
        <v/>
      </c>
      <c r="D4648" s="22">
        <f>(1+D4647)*IF(AND(Painel_diario!$H4644="ED_JD",Painel_diario!$J4644=1),EXP(Painel_diario!$L4644),1)-1</f>
        <v/>
      </c>
      <c r="E4648" s="22">
        <f>(1+E4647)*IF(AND(Painel_diario!$H4644="ED_JU",Painel_diario!$J4644=1),EXP(Painel_diario!$L4644),1)-1</f>
        <v/>
      </c>
    </row>
    <row r="4649">
      <c r="A4649" s="25" t="n">
        <v>45674</v>
      </c>
      <c r="B4649" s="22">
        <f>(1+B4648)*IF(AND(Painel_diario!$H4645="EU_JD",Painel_diario!$J4645=1),EXP(Painel_diario!$L4645),1)-1</f>
        <v/>
      </c>
      <c r="C4649" s="22">
        <f>(1+C4648)*IF(AND(Painel_diario!$H4645="EU_JU",Painel_diario!$J4645=1),EXP(Painel_diario!$L4645),1)-1</f>
        <v/>
      </c>
      <c r="D4649" s="22">
        <f>(1+D4648)*IF(AND(Painel_diario!$H4645="ED_JD",Painel_diario!$J4645=1),EXP(Painel_diario!$L4645),1)-1</f>
        <v/>
      </c>
      <c r="E4649" s="22">
        <f>(1+E4648)*IF(AND(Painel_diario!$H4645="ED_JU",Painel_diario!$J4645=1),EXP(Painel_diario!$L4645),1)-1</f>
        <v/>
      </c>
    </row>
    <row r="4650">
      <c r="A4650" s="25" t="n">
        <v>45677</v>
      </c>
      <c r="B4650" s="22">
        <f>(1+B4649)*IF(AND(Painel_diario!$H4646="EU_JD",Painel_diario!$J4646=1),EXP(Painel_diario!$L4646),1)-1</f>
        <v/>
      </c>
      <c r="C4650" s="22">
        <f>(1+C4649)*IF(AND(Painel_diario!$H4646="EU_JU",Painel_diario!$J4646=1),EXP(Painel_diario!$L4646),1)-1</f>
        <v/>
      </c>
      <c r="D4650" s="22">
        <f>(1+D4649)*IF(AND(Painel_diario!$H4646="ED_JD",Painel_diario!$J4646=1),EXP(Painel_diario!$L4646),1)-1</f>
        <v/>
      </c>
      <c r="E4650" s="22">
        <f>(1+E4649)*IF(AND(Painel_diario!$H4646="ED_JU",Painel_diario!$J4646=1),EXP(Painel_diario!$L4646),1)-1</f>
        <v/>
      </c>
    </row>
    <row r="4651">
      <c r="A4651" s="25" t="n">
        <v>45678</v>
      </c>
      <c r="B4651" s="22">
        <f>(1+B4650)*IF(AND(Painel_diario!$H4647="EU_JD",Painel_diario!$J4647=1),EXP(Painel_diario!$L4647),1)-1</f>
        <v/>
      </c>
      <c r="C4651" s="22">
        <f>(1+C4650)*IF(AND(Painel_diario!$H4647="EU_JU",Painel_diario!$J4647=1),EXP(Painel_diario!$L4647),1)-1</f>
        <v/>
      </c>
      <c r="D4651" s="22">
        <f>(1+D4650)*IF(AND(Painel_diario!$H4647="ED_JD",Painel_diario!$J4647=1),EXP(Painel_diario!$L4647),1)-1</f>
        <v/>
      </c>
      <c r="E4651" s="22">
        <f>(1+E4650)*IF(AND(Painel_diario!$H4647="ED_JU",Painel_diario!$J4647=1),EXP(Painel_diario!$L4647),1)-1</f>
        <v/>
      </c>
    </row>
    <row r="4652">
      <c r="A4652" s="25" t="n">
        <v>45679</v>
      </c>
      <c r="B4652" s="22">
        <f>(1+B4651)*IF(AND(Painel_diario!$H4648="EU_JD",Painel_diario!$J4648=1),EXP(Painel_diario!$L4648),1)-1</f>
        <v/>
      </c>
      <c r="C4652" s="22">
        <f>(1+C4651)*IF(AND(Painel_diario!$H4648="EU_JU",Painel_diario!$J4648=1),EXP(Painel_diario!$L4648),1)-1</f>
        <v/>
      </c>
      <c r="D4652" s="22">
        <f>(1+D4651)*IF(AND(Painel_diario!$H4648="ED_JD",Painel_diario!$J4648=1),EXP(Painel_diario!$L4648),1)-1</f>
        <v/>
      </c>
      <c r="E4652" s="22">
        <f>(1+E4651)*IF(AND(Painel_diario!$H4648="ED_JU",Painel_diario!$J4648=1),EXP(Painel_diario!$L4648),1)-1</f>
        <v/>
      </c>
    </row>
    <row r="4653">
      <c r="A4653" s="25" t="n">
        <v>45680</v>
      </c>
      <c r="B4653" s="22">
        <f>(1+B4652)*IF(AND(Painel_diario!$H4649="EU_JD",Painel_diario!$J4649=1),EXP(Painel_diario!$L4649),1)-1</f>
        <v/>
      </c>
      <c r="C4653" s="22">
        <f>(1+C4652)*IF(AND(Painel_diario!$H4649="EU_JU",Painel_diario!$J4649=1),EXP(Painel_diario!$L4649),1)-1</f>
        <v/>
      </c>
      <c r="D4653" s="22">
        <f>(1+D4652)*IF(AND(Painel_diario!$H4649="ED_JD",Painel_diario!$J4649=1),EXP(Painel_diario!$L4649),1)-1</f>
        <v/>
      </c>
      <c r="E4653" s="22">
        <f>(1+E4652)*IF(AND(Painel_diario!$H4649="ED_JU",Painel_diario!$J4649=1),EXP(Painel_diario!$L4649),1)-1</f>
        <v/>
      </c>
    </row>
    <row r="4654">
      <c r="A4654" s="25" t="n">
        <v>45681</v>
      </c>
      <c r="B4654" s="22">
        <f>(1+B4653)*IF(AND(Painel_diario!$H4650="EU_JD",Painel_diario!$J4650=1),EXP(Painel_diario!$L4650),1)-1</f>
        <v/>
      </c>
      <c r="C4654" s="22">
        <f>(1+C4653)*IF(AND(Painel_diario!$H4650="EU_JU",Painel_diario!$J4650=1),EXP(Painel_diario!$L4650),1)-1</f>
        <v/>
      </c>
      <c r="D4654" s="22">
        <f>(1+D4653)*IF(AND(Painel_diario!$H4650="ED_JD",Painel_diario!$J4650=1),EXP(Painel_diario!$L4650),1)-1</f>
        <v/>
      </c>
      <c r="E4654" s="22">
        <f>(1+E4653)*IF(AND(Painel_diario!$H4650="ED_JU",Painel_diario!$J4650=1),EXP(Painel_diario!$L4650),1)-1</f>
        <v/>
      </c>
    </row>
    <row r="4655">
      <c r="A4655" s="25" t="n">
        <v>45684</v>
      </c>
      <c r="B4655" s="22">
        <f>(1+B4654)*IF(AND(Painel_diario!$H4651="EU_JD",Painel_diario!$J4651=1),EXP(Painel_diario!$L4651),1)-1</f>
        <v/>
      </c>
      <c r="C4655" s="22">
        <f>(1+C4654)*IF(AND(Painel_diario!$H4651="EU_JU",Painel_diario!$J4651=1),EXP(Painel_diario!$L4651),1)-1</f>
        <v/>
      </c>
      <c r="D4655" s="22">
        <f>(1+D4654)*IF(AND(Painel_diario!$H4651="ED_JD",Painel_diario!$J4651=1),EXP(Painel_diario!$L4651),1)-1</f>
        <v/>
      </c>
      <c r="E4655" s="22">
        <f>(1+E4654)*IF(AND(Painel_diario!$H4651="ED_JU",Painel_diario!$J4651=1),EXP(Painel_diario!$L4651),1)-1</f>
        <v/>
      </c>
    </row>
    <row r="4656">
      <c r="A4656" s="25" t="n">
        <v>45685</v>
      </c>
      <c r="B4656" s="22">
        <f>(1+B4655)*IF(AND(Painel_diario!$H4652="EU_JD",Painel_diario!$J4652=1),EXP(Painel_diario!$L4652),1)-1</f>
        <v/>
      </c>
      <c r="C4656" s="22">
        <f>(1+C4655)*IF(AND(Painel_diario!$H4652="EU_JU",Painel_diario!$J4652=1),EXP(Painel_diario!$L4652),1)-1</f>
        <v/>
      </c>
      <c r="D4656" s="22">
        <f>(1+D4655)*IF(AND(Painel_diario!$H4652="ED_JD",Painel_diario!$J4652=1),EXP(Painel_diario!$L4652),1)-1</f>
        <v/>
      </c>
      <c r="E4656" s="22">
        <f>(1+E4655)*IF(AND(Painel_diario!$H4652="ED_JU",Painel_diario!$J4652=1),EXP(Painel_diario!$L4652),1)-1</f>
        <v/>
      </c>
    </row>
    <row r="4657">
      <c r="A4657" s="25" t="n">
        <v>45686</v>
      </c>
      <c r="B4657" s="22">
        <f>(1+B4656)*IF(AND(Painel_diario!$H4653="EU_JD",Painel_diario!$J4653=1),EXP(Painel_diario!$L4653),1)-1</f>
        <v/>
      </c>
      <c r="C4657" s="22">
        <f>(1+C4656)*IF(AND(Painel_diario!$H4653="EU_JU",Painel_diario!$J4653=1),EXP(Painel_diario!$L4653),1)-1</f>
        <v/>
      </c>
      <c r="D4657" s="22">
        <f>(1+D4656)*IF(AND(Painel_diario!$H4653="ED_JD",Painel_diario!$J4653=1),EXP(Painel_diario!$L4653),1)-1</f>
        <v/>
      </c>
      <c r="E4657" s="22">
        <f>(1+E4656)*IF(AND(Painel_diario!$H4653="ED_JU",Painel_diario!$J4653=1),EXP(Painel_diario!$L4653),1)-1</f>
        <v/>
      </c>
    </row>
    <row r="4658">
      <c r="A4658" s="25" t="n">
        <v>45687</v>
      </c>
      <c r="B4658" s="22">
        <f>(1+B4657)*IF(AND(Painel_diario!$H4654="EU_JD",Painel_diario!$J4654=1),EXP(Painel_diario!$L4654),1)-1</f>
        <v/>
      </c>
      <c r="C4658" s="22">
        <f>(1+C4657)*IF(AND(Painel_diario!$H4654="EU_JU",Painel_diario!$J4654=1),EXP(Painel_diario!$L4654),1)-1</f>
        <v/>
      </c>
      <c r="D4658" s="22">
        <f>(1+D4657)*IF(AND(Painel_diario!$H4654="ED_JD",Painel_diario!$J4654=1),EXP(Painel_diario!$L4654),1)-1</f>
        <v/>
      </c>
      <c r="E4658" s="22">
        <f>(1+E4657)*IF(AND(Painel_diario!$H4654="ED_JU",Painel_diario!$J4654=1),EXP(Painel_diario!$L4654),1)-1</f>
        <v/>
      </c>
    </row>
    <row r="4659">
      <c r="A4659" s="25" t="n">
        <v>45688</v>
      </c>
      <c r="B4659" s="22">
        <f>(1+B4658)*IF(AND(Painel_diario!$H4655="EU_JD",Painel_diario!$J4655=1),EXP(Painel_diario!$L4655),1)-1</f>
        <v/>
      </c>
      <c r="C4659" s="22">
        <f>(1+C4658)*IF(AND(Painel_diario!$H4655="EU_JU",Painel_diario!$J4655=1),EXP(Painel_diario!$L4655),1)-1</f>
        <v/>
      </c>
      <c r="D4659" s="22">
        <f>(1+D4658)*IF(AND(Painel_diario!$H4655="ED_JD",Painel_diario!$J4655=1),EXP(Painel_diario!$L4655),1)-1</f>
        <v/>
      </c>
      <c r="E4659" s="22">
        <f>(1+E4658)*IF(AND(Painel_diario!$H4655="ED_JU",Painel_diario!$J4655=1),EXP(Painel_diario!$L4655),1)-1</f>
        <v/>
      </c>
    </row>
    <row r="4660">
      <c r="A4660" s="25" t="n">
        <v>45691</v>
      </c>
      <c r="B4660" s="22">
        <f>(1+B4659)*IF(AND(Painel_diario!$H4656="EU_JD",Painel_diario!$J4656=1),EXP(Painel_diario!$L4656),1)-1</f>
        <v/>
      </c>
      <c r="C4660" s="22">
        <f>(1+C4659)*IF(AND(Painel_diario!$H4656="EU_JU",Painel_diario!$J4656=1),EXP(Painel_diario!$L4656),1)-1</f>
        <v/>
      </c>
      <c r="D4660" s="22">
        <f>(1+D4659)*IF(AND(Painel_diario!$H4656="ED_JD",Painel_diario!$J4656=1),EXP(Painel_diario!$L4656),1)-1</f>
        <v/>
      </c>
      <c r="E4660" s="22">
        <f>(1+E4659)*IF(AND(Painel_diario!$H4656="ED_JU",Painel_diario!$J4656=1),EXP(Painel_diario!$L4656),1)-1</f>
        <v/>
      </c>
    </row>
    <row r="4661">
      <c r="A4661" s="25" t="n">
        <v>45692</v>
      </c>
      <c r="B4661" s="22">
        <f>(1+B4660)*IF(AND(Painel_diario!$H4657="EU_JD",Painel_diario!$J4657=1),EXP(Painel_diario!$L4657),1)-1</f>
        <v/>
      </c>
      <c r="C4661" s="22">
        <f>(1+C4660)*IF(AND(Painel_diario!$H4657="EU_JU",Painel_diario!$J4657=1),EXP(Painel_diario!$L4657),1)-1</f>
        <v/>
      </c>
      <c r="D4661" s="22">
        <f>(1+D4660)*IF(AND(Painel_diario!$H4657="ED_JD",Painel_diario!$J4657=1),EXP(Painel_diario!$L4657),1)-1</f>
        <v/>
      </c>
      <c r="E4661" s="22">
        <f>(1+E4660)*IF(AND(Painel_diario!$H4657="ED_JU",Painel_diario!$J4657=1),EXP(Painel_diario!$L4657),1)-1</f>
        <v/>
      </c>
    </row>
    <row r="4662">
      <c r="A4662" s="25" t="n">
        <v>45693</v>
      </c>
      <c r="B4662" s="22">
        <f>(1+B4661)*IF(AND(Painel_diario!$H4658="EU_JD",Painel_diario!$J4658=1),EXP(Painel_diario!$L4658),1)-1</f>
        <v/>
      </c>
      <c r="C4662" s="22">
        <f>(1+C4661)*IF(AND(Painel_diario!$H4658="EU_JU",Painel_diario!$J4658=1),EXP(Painel_diario!$L4658),1)-1</f>
        <v/>
      </c>
      <c r="D4662" s="22">
        <f>(1+D4661)*IF(AND(Painel_diario!$H4658="ED_JD",Painel_diario!$J4658=1),EXP(Painel_diario!$L4658),1)-1</f>
        <v/>
      </c>
      <c r="E4662" s="22">
        <f>(1+E4661)*IF(AND(Painel_diario!$H4658="ED_JU",Painel_diario!$J4658=1),EXP(Painel_diario!$L4658),1)-1</f>
        <v/>
      </c>
    </row>
    <row r="4663">
      <c r="A4663" s="25" t="n">
        <v>45694</v>
      </c>
      <c r="B4663" s="22">
        <f>(1+B4662)*IF(AND(Painel_diario!$H4659="EU_JD",Painel_diario!$J4659=1),EXP(Painel_diario!$L4659),1)-1</f>
        <v/>
      </c>
      <c r="C4663" s="22">
        <f>(1+C4662)*IF(AND(Painel_diario!$H4659="EU_JU",Painel_diario!$J4659=1),EXP(Painel_diario!$L4659),1)-1</f>
        <v/>
      </c>
      <c r="D4663" s="22">
        <f>(1+D4662)*IF(AND(Painel_diario!$H4659="ED_JD",Painel_diario!$J4659=1),EXP(Painel_diario!$L4659),1)-1</f>
        <v/>
      </c>
      <c r="E4663" s="22">
        <f>(1+E4662)*IF(AND(Painel_diario!$H4659="ED_JU",Painel_diario!$J4659=1),EXP(Painel_diario!$L4659),1)-1</f>
        <v/>
      </c>
    </row>
    <row r="4664">
      <c r="A4664" s="25" t="n">
        <v>45695</v>
      </c>
      <c r="B4664" s="22">
        <f>(1+B4663)*IF(AND(Painel_diario!$H4660="EU_JD",Painel_diario!$J4660=1),EXP(Painel_diario!$L4660),1)-1</f>
        <v/>
      </c>
      <c r="C4664" s="22">
        <f>(1+C4663)*IF(AND(Painel_diario!$H4660="EU_JU",Painel_diario!$J4660=1),EXP(Painel_diario!$L4660),1)-1</f>
        <v/>
      </c>
      <c r="D4664" s="22">
        <f>(1+D4663)*IF(AND(Painel_diario!$H4660="ED_JD",Painel_diario!$J4660=1),EXP(Painel_diario!$L4660),1)-1</f>
        <v/>
      </c>
      <c r="E4664" s="22">
        <f>(1+E4663)*IF(AND(Painel_diario!$H4660="ED_JU",Painel_diario!$J4660=1),EXP(Painel_diario!$L4660),1)-1</f>
        <v/>
      </c>
    </row>
    <row r="4665">
      <c r="A4665" s="25" t="n">
        <v>45698</v>
      </c>
      <c r="B4665" s="22">
        <f>(1+B4664)*IF(AND(Painel_diario!$H4661="EU_JD",Painel_diario!$J4661=1),EXP(Painel_diario!$L4661),1)-1</f>
        <v/>
      </c>
      <c r="C4665" s="22">
        <f>(1+C4664)*IF(AND(Painel_diario!$H4661="EU_JU",Painel_diario!$J4661=1),EXP(Painel_diario!$L4661),1)-1</f>
        <v/>
      </c>
      <c r="D4665" s="22">
        <f>(1+D4664)*IF(AND(Painel_diario!$H4661="ED_JD",Painel_diario!$J4661=1),EXP(Painel_diario!$L4661),1)-1</f>
        <v/>
      </c>
      <c r="E4665" s="22">
        <f>(1+E4664)*IF(AND(Painel_diario!$H4661="ED_JU",Painel_diario!$J4661=1),EXP(Painel_diario!$L4661),1)-1</f>
        <v/>
      </c>
    </row>
    <row r="4666">
      <c r="A4666" s="25" t="n">
        <v>45699</v>
      </c>
      <c r="B4666" s="22">
        <f>(1+B4665)*IF(AND(Painel_diario!$H4662="EU_JD",Painel_diario!$J4662=1),EXP(Painel_diario!$L4662),1)-1</f>
        <v/>
      </c>
      <c r="C4666" s="22">
        <f>(1+C4665)*IF(AND(Painel_diario!$H4662="EU_JU",Painel_diario!$J4662=1),EXP(Painel_diario!$L4662),1)-1</f>
        <v/>
      </c>
      <c r="D4666" s="22">
        <f>(1+D4665)*IF(AND(Painel_diario!$H4662="ED_JD",Painel_diario!$J4662=1),EXP(Painel_diario!$L4662),1)-1</f>
        <v/>
      </c>
      <c r="E4666" s="22">
        <f>(1+E4665)*IF(AND(Painel_diario!$H4662="ED_JU",Painel_diario!$J4662=1),EXP(Painel_diario!$L4662),1)-1</f>
        <v/>
      </c>
    </row>
    <row r="4667">
      <c r="A4667" s="25" t="n">
        <v>45700</v>
      </c>
      <c r="B4667" s="22">
        <f>(1+B4666)*IF(AND(Painel_diario!$H4663="EU_JD",Painel_diario!$J4663=1),EXP(Painel_diario!$L4663),1)-1</f>
        <v/>
      </c>
      <c r="C4667" s="22">
        <f>(1+C4666)*IF(AND(Painel_diario!$H4663="EU_JU",Painel_diario!$J4663=1),EXP(Painel_diario!$L4663),1)-1</f>
        <v/>
      </c>
      <c r="D4667" s="22">
        <f>(1+D4666)*IF(AND(Painel_diario!$H4663="ED_JD",Painel_diario!$J4663=1),EXP(Painel_diario!$L4663),1)-1</f>
        <v/>
      </c>
      <c r="E4667" s="22">
        <f>(1+E4666)*IF(AND(Painel_diario!$H4663="ED_JU",Painel_diario!$J4663=1),EXP(Painel_diario!$L4663),1)-1</f>
        <v/>
      </c>
    </row>
    <row r="4668">
      <c r="A4668" s="25" t="n">
        <v>45701</v>
      </c>
      <c r="B4668" s="22">
        <f>(1+B4667)*IF(AND(Painel_diario!$H4664="EU_JD",Painel_diario!$J4664=1),EXP(Painel_diario!$L4664),1)-1</f>
        <v/>
      </c>
      <c r="C4668" s="22">
        <f>(1+C4667)*IF(AND(Painel_diario!$H4664="EU_JU",Painel_diario!$J4664=1),EXP(Painel_diario!$L4664),1)-1</f>
        <v/>
      </c>
      <c r="D4668" s="22">
        <f>(1+D4667)*IF(AND(Painel_diario!$H4664="ED_JD",Painel_diario!$J4664=1),EXP(Painel_diario!$L4664),1)-1</f>
        <v/>
      </c>
      <c r="E4668" s="22">
        <f>(1+E4667)*IF(AND(Painel_diario!$H4664="ED_JU",Painel_diario!$J4664=1),EXP(Painel_diario!$L4664),1)-1</f>
        <v/>
      </c>
    </row>
    <row r="4669">
      <c r="A4669" s="25" t="n">
        <v>45702</v>
      </c>
      <c r="B4669" s="22">
        <f>(1+B4668)*IF(AND(Painel_diario!$H4665="EU_JD",Painel_diario!$J4665=1),EXP(Painel_diario!$L4665),1)-1</f>
        <v/>
      </c>
      <c r="C4669" s="22">
        <f>(1+C4668)*IF(AND(Painel_diario!$H4665="EU_JU",Painel_diario!$J4665=1),EXP(Painel_diario!$L4665),1)-1</f>
        <v/>
      </c>
      <c r="D4669" s="22">
        <f>(1+D4668)*IF(AND(Painel_diario!$H4665="ED_JD",Painel_diario!$J4665=1),EXP(Painel_diario!$L4665),1)-1</f>
        <v/>
      </c>
      <c r="E4669" s="22">
        <f>(1+E4668)*IF(AND(Painel_diario!$H4665="ED_JU",Painel_diario!$J4665=1),EXP(Painel_diario!$L4665),1)-1</f>
        <v/>
      </c>
    </row>
    <row r="4670">
      <c r="A4670" s="25" t="n">
        <v>45705</v>
      </c>
      <c r="B4670" s="22">
        <f>(1+B4669)*IF(AND(Painel_diario!$H4666="EU_JD",Painel_diario!$J4666=1),EXP(Painel_diario!$L4666),1)-1</f>
        <v/>
      </c>
      <c r="C4670" s="22">
        <f>(1+C4669)*IF(AND(Painel_diario!$H4666="EU_JU",Painel_diario!$J4666=1),EXP(Painel_diario!$L4666),1)-1</f>
        <v/>
      </c>
      <c r="D4670" s="22">
        <f>(1+D4669)*IF(AND(Painel_diario!$H4666="ED_JD",Painel_diario!$J4666=1),EXP(Painel_diario!$L4666),1)-1</f>
        <v/>
      </c>
      <c r="E4670" s="22">
        <f>(1+E4669)*IF(AND(Painel_diario!$H4666="ED_JU",Painel_diario!$J4666=1),EXP(Painel_diario!$L4666),1)-1</f>
        <v/>
      </c>
    </row>
    <row r="4671">
      <c r="A4671" s="25" t="n">
        <v>45706</v>
      </c>
      <c r="B4671" s="22">
        <f>(1+B4670)*IF(AND(Painel_diario!$H4667="EU_JD",Painel_diario!$J4667=1),EXP(Painel_diario!$L4667),1)-1</f>
        <v/>
      </c>
      <c r="C4671" s="22">
        <f>(1+C4670)*IF(AND(Painel_diario!$H4667="EU_JU",Painel_diario!$J4667=1),EXP(Painel_diario!$L4667),1)-1</f>
        <v/>
      </c>
      <c r="D4671" s="22">
        <f>(1+D4670)*IF(AND(Painel_diario!$H4667="ED_JD",Painel_diario!$J4667=1),EXP(Painel_diario!$L4667),1)-1</f>
        <v/>
      </c>
      <c r="E4671" s="22">
        <f>(1+E4670)*IF(AND(Painel_diario!$H4667="ED_JU",Painel_diario!$J4667=1),EXP(Painel_diario!$L4667),1)-1</f>
        <v/>
      </c>
    </row>
    <row r="4672">
      <c r="A4672" s="25" t="n">
        <v>45707</v>
      </c>
      <c r="B4672" s="22">
        <f>(1+B4671)*IF(AND(Painel_diario!$H4668="EU_JD",Painel_diario!$J4668=1),EXP(Painel_diario!$L4668),1)-1</f>
        <v/>
      </c>
      <c r="C4672" s="22">
        <f>(1+C4671)*IF(AND(Painel_diario!$H4668="EU_JU",Painel_diario!$J4668=1),EXP(Painel_diario!$L4668),1)-1</f>
        <v/>
      </c>
      <c r="D4672" s="22">
        <f>(1+D4671)*IF(AND(Painel_diario!$H4668="ED_JD",Painel_diario!$J4668=1),EXP(Painel_diario!$L4668),1)-1</f>
        <v/>
      </c>
      <c r="E4672" s="22">
        <f>(1+E4671)*IF(AND(Painel_diario!$H4668="ED_JU",Painel_diario!$J4668=1),EXP(Painel_diario!$L4668),1)-1</f>
        <v/>
      </c>
    </row>
    <row r="4673">
      <c r="A4673" s="25" t="n">
        <v>45708</v>
      </c>
      <c r="B4673" s="22">
        <f>(1+B4672)*IF(AND(Painel_diario!$H4669="EU_JD",Painel_diario!$J4669=1),EXP(Painel_diario!$L4669),1)-1</f>
        <v/>
      </c>
      <c r="C4673" s="22">
        <f>(1+C4672)*IF(AND(Painel_diario!$H4669="EU_JU",Painel_diario!$J4669=1),EXP(Painel_diario!$L4669),1)-1</f>
        <v/>
      </c>
      <c r="D4673" s="22">
        <f>(1+D4672)*IF(AND(Painel_diario!$H4669="ED_JD",Painel_diario!$J4669=1),EXP(Painel_diario!$L4669),1)-1</f>
        <v/>
      </c>
      <c r="E4673" s="22">
        <f>(1+E4672)*IF(AND(Painel_diario!$H4669="ED_JU",Painel_diario!$J4669=1),EXP(Painel_diario!$L4669),1)-1</f>
        <v/>
      </c>
    </row>
    <row r="4674">
      <c r="A4674" s="25" t="n">
        <v>45709</v>
      </c>
      <c r="B4674" s="22">
        <f>(1+B4673)*IF(AND(Painel_diario!$H4670="EU_JD",Painel_diario!$J4670=1),EXP(Painel_diario!$L4670),1)-1</f>
        <v/>
      </c>
      <c r="C4674" s="22">
        <f>(1+C4673)*IF(AND(Painel_diario!$H4670="EU_JU",Painel_diario!$J4670=1),EXP(Painel_diario!$L4670),1)-1</f>
        <v/>
      </c>
      <c r="D4674" s="22">
        <f>(1+D4673)*IF(AND(Painel_diario!$H4670="ED_JD",Painel_diario!$J4670=1),EXP(Painel_diario!$L4670),1)-1</f>
        <v/>
      </c>
      <c r="E4674" s="22">
        <f>(1+E4673)*IF(AND(Painel_diario!$H4670="ED_JU",Painel_diario!$J4670=1),EXP(Painel_diario!$L4670),1)-1</f>
        <v/>
      </c>
    </row>
    <row r="4675">
      <c r="A4675" s="25" t="n">
        <v>45712</v>
      </c>
      <c r="B4675" s="22">
        <f>(1+B4674)*IF(AND(Painel_diario!$H4671="EU_JD",Painel_diario!$J4671=1),EXP(Painel_diario!$L4671),1)-1</f>
        <v/>
      </c>
      <c r="C4675" s="22">
        <f>(1+C4674)*IF(AND(Painel_diario!$H4671="EU_JU",Painel_diario!$J4671=1),EXP(Painel_diario!$L4671),1)-1</f>
        <v/>
      </c>
      <c r="D4675" s="22">
        <f>(1+D4674)*IF(AND(Painel_diario!$H4671="ED_JD",Painel_diario!$J4671=1),EXP(Painel_diario!$L4671),1)-1</f>
        <v/>
      </c>
      <c r="E4675" s="22">
        <f>(1+E4674)*IF(AND(Painel_diario!$H4671="ED_JU",Painel_diario!$J4671=1),EXP(Painel_diario!$L4671),1)-1</f>
        <v/>
      </c>
    </row>
    <row r="4676">
      <c r="A4676" s="25" t="n">
        <v>45713</v>
      </c>
      <c r="B4676" s="22">
        <f>(1+B4675)*IF(AND(Painel_diario!$H4672="EU_JD",Painel_diario!$J4672=1),EXP(Painel_diario!$L4672),1)-1</f>
        <v/>
      </c>
      <c r="C4676" s="22">
        <f>(1+C4675)*IF(AND(Painel_diario!$H4672="EU_JU",Painel_diario!$J4672=1),EXP(Painel_diario!$L4672),1)-1</f>
        <v/>
      </c>
      <c r="D4676" s="22">
        <f>(1+D4675)*IF(AND(Painel_diario!$H4672="ED_JD",Painel_diario!$J4672=1),EXP(Painel_diario!$L4672),1)-1</f>
        <v/>
      </c>
      <c r="E4676" s="22">
        <f>(1+E4675)*IF(AND(Painel_diario!$H4672="ED_JU",Painel_diario!$J4672=1),EXP(Painel_diario!$L4672),1)-1</f>
        <v/>
      </c>
    </row>
    <row r="4677">
      <c r="A4677" s="25" t="n">
        <v>45714</v>
      </c>
      <c r="B4677" s="22">
        <f>(1+B4676)*IF(AND(Painel_diario!$H4673="EU_JD",Painel_diario!$J4673=1),EXP(Painel_diario!$L4673),1)-1</f>
        <v/>
      </c>
      <c r="C4677" s="22">
        <f>(1+C4676)*IF(AND(Painel_diario!$H4673="EU_JU",Painel_diario!$J4673=1),EXP(Painel_diario!$L4673),1)-1</f>
        <v/>
      </c>
      <c r="D4677" s="22">
        <f>(1+D4676)*IF(AND(Painel_diario!$H4673="ED_JD",Painel_diario!$J4673=1),EXP(Painel_diario!$L4673),1)-1</f>
        <v/>
      </c>
      <c r="E4677" s="22">
        <f>(1+E4676)*IF(AND(Painel_diario!$H4673="ED_JU",Painel_diario!$J4673=1),EXP(Painel_diario!$L4673),1)-1</f>
        <v/>
      </c>
    </row>
    <row r="4678">
      <c r="A4678" s="25" t="n">
        <v>45715</v>
      </c>
      <c r="B4678" s="22">
        <f>(1+B4677)*IF(AND(Painel_diario!$H4674="EU_JD",Painel_diario!$J4674=1),EXP(Painel_diario!$L4674),1)-1</f>
        <v/>
      </c>
      <c r="C4678" s="22">
        <f>(1+C4677)*IF(AND(Painel_diario!$H4674="EU_JU",Painel_diario!$J4674=1),EXP(Painel_diario!$L4674),1)-1</f>
        <v/>
      </c>
      <c r="D4678" s="22">
        <f>(1+D4677)*IF(AND(Painel_diario!$H4674="ED_JD",Painel_diario!$J4674=1),EXP(Painel_diario!$L4674),1)-1</f>
        <v/>
      </c>
      <c r="E4678" s="22">
        <f>(1+E4677)*IF(AND(Painel_diario!$H4674="ED_JU",Painel_diario!$J4674=1),EXP(Painel_diario!$L4674),1)-1</f>
        <v/>
      </c>
    </row>
    <row r="4679">
      <c r="A4679" s="25" t="n">
        <v>45716</v>
      </c>
      <c r="B4679" s="22">
        <f>(1+B4678)*IF(AND(Painel_diario!$H4675="EU_JD",Painel_diario!$J4675=1),EXP(Painel_diario!$L4675),1)-1</f>
        <v/>
      </c>
      <c r="C4679" s="22">
        <f>(1+C4678)*IF(AND(Painel_diario!$H4675="EU_JU",Painel_diario!$J4675=1),EXP(Painel_diario!$L4675),1)-1</f>
        <v/>
      </c>
      <c r="D4679" s="22">
        <f>(1+D4678)*IF(AND(Painel_diario!$H4675="ED_JD",Painel_diario!$J4675=1),EXP(Painel_diario!$L4675),1)-1</f>
        <v/>
      </c>
      <c r="E4679" s="22">
        <f>(1+E4678)*IF(AND(Painel_diario!$H4675="ED_JU",Painel_diario!$J4675=1),EXP(Painel_diario!$L4675),1)-1</f>
        <v/>
      </c>
    </row>
    <row r="4680">
      <c r="A4680" s="25" t="n">
        <v>45721</v>
      </c>
      <c r="B4680" s="22">
        <f>(1+B4679)*IF(AND(Painel_diario!$H4676="EU_JD",Painel_diario!$J4676=1),EXP(Painel_diario!$L4676),1)-1</f>
        <v/>
      </c>
      <c r="C4680" s="22">
        <f>(1+C4679)*IF(AND(Painel_diario!$H4676="EU_JU",Painel_diario!$J4676=1),EXP(Painel_diario!$L4676),1)-1</f>
        <v/>
      </c>
      <c r="D4680" s="22">
        <f>(1+D4679)*IF(AND(Painel_diario!$H4676="ED_JD",Painel_diario!$J4676=1),EXP(Painel_diario!$L4676),1)-1</f>
        <v/>
      </c>
      <c r="E4680" s="22">
        <f>(1+E4679)*IF(AND(Painel_diario!$H4676="ED_JU",Painel_diario!$J4676=1),EXP(Painel_diario!$L4676),1)-1</f>
        <v/>
      </c>
    </row>
    <row r="4681">
      <c r="A4681" s="25" t="n">
        <v>45722</v>
      </c>
      <c r="B4681" s="22">
        <f>(1+B4680)*IF(AND(Painel_diario!$H4677="EU_JD",Painel_diario!$J4677=1),EXP(Painel_diario!$L4677),1)-1</f>
        <v/>
      </c>
      <c r="C4681" s="22">
        <f>(1+C4680)*IF(AND(Painel_diario!$H4677="EU_JU",Painel_diario!$J4677=1),EXP(Painel_diario!$L4677),1)-1</f>
        <v/>
      </c>
      <c r="D4681" s="22">
        <f>(1+D4680)*IF(AND(Painel_diario!$H4677="ED_JD",Painel_diario!$J4677=1),EXP(Painel_diario!$L4677),1)-1</f>
        <v/>
      </c>
      <c r="E4681" s="22">
        <f>(1+E4680)*IF(AND(Painel_diario!$H4677="ED_JU",Painel_diario!$J4677=1),EXP(Painel_diario!$L4677),1)-1</f>
        <v/>
      </c>
    </row>
    <row r="4682">
      <c r="A4682" s="25" t="n">
        <v>45723</v>
      </c>
      <c r="B4682" s="22">
        <f>(1+B4681)*IF(AND(Painel_diario!$H4678="EU_JD",Painel_diario!$J4678=1),EXP(Painel_diario!$L4678),1)-1</f>
        <v/>
      </c>
      <c r="C4682" s="22">
        <f>(1+C4681)*IF(AND(Painel_diario!$H4678="EU_JU",Painel_diario!$J4678=1),EXP(Painel_diario!$L4678),1)-1</f>
        <v/>
      </c>
      <c r="D4682" s="22">
        <f>(1+D4681)*IF(AND(Painel_diario!$H4678="ED_JD",Painel_diario!$J4678=1),EXP(Painel_diario!$L4678),1)-1</f>
        <v/>
      </c>
      <c r="E4682" s="22">
        <f>(1+E4681)*IF(AND(Painel_diario!$H4678="ED_JU",Painel_diario!$J4678=1),EXP(Painel_diario!$L4678),1)-1</f>
        <v/>
      </c>
    </row>
    <row r="4683">
      <c r="A4683" s="25" t="n">
        <v>45726</v>
      </c>
      <c r="B4683" s="22">
        <f>(1+B4682)*IF(AND(Painel_diario!$H4679="EU_JD",Painel_diario!$J4679=1),EXP(Painel_diario!$L4679),1)-1</f>
        <v/>
      </c>
      <c r="C4683" s="22">
        <f>(1+C4682)*IF(AND(Painel_diario!$H4679="EU_JU",Painel_diario!$J4679=1),EXP(Painel_diario!$L4679),1)-1</f>
        <v/>
      </c>
      <c r="D4683" s="22">
        <f>(1+D4682)*IF(AND(Painel_diario!$H4679="ED_JD",Painel_diario!$J4679=1),EXP(Painel_diario!$L4679),1)-1</f>
        <v/>
      </c>
      <c r="E4683" s="22">
        <f>(1+E4682)*IF(AND(Painel_diario!$H4679="ED_JU",Painel_diario!$J4679=1),EXP(Painel_diario!$L4679),1)-1</f>
        <v/>
      </c>
    </row>
    <row r="4684">
      <c r="A4684" s="25" t="n">
        <v>45727</v>
      </c>
      <c r="B4684" s="22">
        <f>(1+B4683)*IF(AND(Painel_diario!$H4680="EU_JD",Painel_diario!$J4680=1),EXP(Painel_diario!$L4680),1)-1</f>
        <v/>
      </c>
      <c r="C4684" s="22">
        <f>(1+C4683)*IF(AND(Painel_diario!$H4680="EU_JU",Painel_diario!$J4680=1),EXP(Painel_diario!$L4680),1)-1</f>
        <v/>
      </c>
      <c r="D4684" s="22">
        <f>(1+D4683)*IF(AND(Painel_diario!$H4680="ED_JD",Painel_diario!$J4680=1),EXP(Painel_diario!$L4680),1)-1</f>
        <v/>
      </c>
      <c r="E4684" s="22">
        <f>(1+E4683)*IF(AND(Painel_diario!$H4680="ED_JU",Painel_diario!$J4680=1),EXP(Painel_diario!$L4680),1)-1</f>
        <v/>
      </c>
    </row>
    <row r="4685">
      <c r="A4685" s="25" t="n">
        <v>45728</v>
      </c>
      <c r="B4685" s="22">
        <f>(1+B4684)*IF(AND(Painel_diario!$H4681="EU_JD",Painel_diario!$J4681=1),EXP(Painel_diario!$L4681),1)-1</f>
        <v/>
      </c>
      <c r="C4685" s="22">
        <f>(1+C4684)*IF(AND(Painel_diario!$H4681="EU_JU",Painel_diario!$J4681=1),EXP(Painel_diario!$L4681),1)-1</f>
        <v/>
      </c>
      <c r="D4685" s="22">
        <f>(1+D4684)*IF(AND(Painel_diario!$H4681="ED_JD",Painel_diario!$J4681=1),EXP(Painel_diario!$L4681),1)-1</f>
        <v/>
      </c>
      <c r="E4685" s="22">
        <f>(1+E4684)*IF(AND(Painel_diario!$H4681="ED_JU",Painel_diario!$J4681=1),EXP(Painel_diario!$L4681),1)-1</f>
        <v/>
      </c>
    </row>
    <row r="4686">
      <c r="A4686" s="25" t="n">
        <v>45729</v>
      </c>
      <c r="B4686" s="22">
        <f>(1+B4685)*IF(AND(Painel_diario!$H4682="EU_JD",Painel_diario!$J4682=1),EXP(Painel_diario!$L4682),1)-1</f>
        <v/>
      </c>
      <c r="C4686" s="22">
        <f>(1+C4685)*IF(AND(Painel_diario!$H4682="EU_JU",Painel_diario!$J4682=1),EXP(Painel_diario!$L4682),1)-1</f>
        <v/>
      </c>
      <c r="D4686" s="22">
        <f>(1+D4685)*IF(AND(Painel_diario!$H4682="ED_JD",Painel_diario!$J4682=1),EXP(Painel_diario!$L4682),1)-1</f>
        <v/>
      </c>
      <c r="E4686" s="22">
        <f>(1+E4685)*IF(AND(Painel_diario!$H4682="ED_JU",Painel_diario!$J4682=1),EXP(Painel_diario!$L4682),1)-1</f>
        <v/>
      </c>
    </row>
    <row r="4687">
      <c r="A4687" s="25" t="n">
        <v>45730</v>
      </c>
      <c r="B4687" s="22">
        <f>(1+B4686)*IF(AND(Painel_diario!$H4683="EU_JD",Painel_diario!$J4683=1),EXP(Painel_diario!$L4683),1)-1</f>
        <v/>
      </c>
      <c r="C4687" s="22">
        <f>(1+C4686)*IF(AND(Painel_diario!$H4683="EU_JU",Painel_diario!$J4683=1),EXP(Painel_diario!$L4683),1)-1</f>
        <v/>
      </c>
      <c r="D4687" s="22">
        <f>(1+D4686)*IF(AND(Painel_diario!$H4683="ED_JD",Painel_diario!$J4683=1),EXP(Painel_diario!$L4683),1)-1</f>
        <v/>
      </c>
      <c r="E4687" s="22">
        <f>(1+E4686)*IF(AND(Painel_diario!$H4683="ED_JU",Painel_diario!$J4683=1),EXP(Painel_diario!$L4683),1)-1</f>
        <v/>
      </c>
    </row>
    <row r="4688">
      <c r="A4688" s="25" t="n">
        <v>45733</v>
      </c>
      <c r="B4688" s="22">
        <f>(1+B4687)*IF(AND(Painel_diario!$H4684="EU_JD",Painel_diario!$J4684=1),EXP(Painel_diario!$L4684),1)-1</f>
        <v/>
      </c>
      <c r="C4688" s="22">
        <f>(1+C4687)*IF(AND(Painel_diario!$H4684="EU_JU",Painel_diario!$J4684=1),EXP(Painel_diario!$L4684),1)-1</f>
        <v/>
      </c>
      <c r="D4688" s="22">
        <f>(1+D4687)*IF(AND(Painel_diario!$H4684="ED_JD",Painel_diario!$J4684=1),EXP(Painel_diario!$L4684),1)-1</f>
        <v/>
      </c>
      <c r="E4688" s="22">
        <f>(1+E4687)*IF(AND(Painel_diario!$H4684="ED_JU",Painel_diario!$J4684=1),EXP(Painel_diario!$L4684),1)-1</f>
        <v/>
      </c>
    </row>
    <row r="4689">
      <c r="A4689" s="25" t="n">
        <v>45734</v>
      </c>
      <c r="B4689" s="22">
        <f>(1+B4688)*IF(AND(Painel_diario!$H4685="EU_JD",Painel_diario!$J4685=1),EXP(Painel_diario!$L4685),1)-1</f>
        <v/>
      </c>
      <c r="C4689" s="22">
        <f>(1+C4688)*IF(AND(Painel_diario!$H4685="EU_JU",Painel_diario!$J4685=1),EXP(Painel_diario!$L4685),1)-1</f>
        <v/>
      </c>
      <c r="D4689" s="22">
        <f>(1+D4688)*IF(AND(Painel_diario!$H4685="ED_JD",Painel_diario!$J4685=1),EXP(Painel_diario!$L4685),1)-1</f>
        <v/>
      </c>
      <c r="E4689" s="22">
        <f>(1+E4688)*IF(AND(Painel_diario!$H4685="ED_JU",Painel_diario!$J4685=1),EXP(Painel_diario!$L4685),1)-1</f>
        <v/>
      </c>
    </row>
    <row r="4690">
      <c r="A4690" s="25" t="n">
        <v>45735</v>
      </c>
      <c r="B4690" s="22">
        <f>(1+B4689)*IF(AND(Painel_diario!$H4686="EU_JD",Painel_diario!$J4686=1),EXP(Painel_diario!$L4686),1)-1</f>
        <v/>
      </c>
      <c r="C4690" s="22">
        <f>(1+C4689)*IF(AND(Painel_diario!$H4686="EU_JU",Painel_diario!$J4686=1),EXP(Painel_diario!$L4686),1)-1</f>
        <v/>
      </c>
      <c r="D4690" s="22">
        <f>(1+D4689)*IF(AND(Painel_diario!$H4686="ED_JD",Painel_diario!$J4686=1),EXP(Painel_diario!$L4686),1)-1</f>
        <v/>
      </c>
      <c r="E4690" s="22">
        <f>(1+E4689)*IF(AND(Painel_diario!$H4686="ED_JU",Painel_diario!$J4686=1),EXP(Painel_diario!$L4686),1)-1</f>
        <v/>
      </c>
    </row>
    <row r="4691">
      <c r="A4691" s="25" t="n">
        <v>45736</v>
      </c>
      <c r="B4691" s="22">
        <f>(1+B4690)*IF(AND(Painel_diario!$H4687="EU_JD",Painel_diario!$J4687=1),EXP(Painel_diario!$L4687),1)-1</f>
        <v/>
      </c>
      <c r="C4691" s="22">
        <f>(1+C4690)*IF(AND(Painel_diario!$H4687="EU_JU",Painel_diario!$J4687=1),EXP(Painel_diario!$L4687),1)-1</f>
        <v/>
      </c>
      <c r="D4691" s="22">
        <f>(1+D4690)*IF(AND(Painel_diario!$H4687="ED_JD",Painel_diario!$J4687=1),EXP(Painel_diario!$L4687),1)-1</f>
        <v/>
      </c>
      <c r="E4691" s="22">
        <f>(1+E4690)*IF(AND(Painel_diario!$H4687="ED_JU",Painel_diario!$J4687=1),EXP(Painel_diario!$L4687),1)-1</f>
        <v/>
      </c>
    </row>
    <row r="4692">
      <c r="A4692" s="25" t="n">
        <v>45737</v>
      </c>
      <c r="B4692" s="22">
        <f>(1+B4691)*IF(AND(Painel_diario!$H4688="EU_JD",Painel_diario!$J4688=1),EXP(Painel_diario!$L4688),1)-1</f>
        <v/>
      </c>
      <c r="C4692" s="22">
        <f>(1+C4691)*IF(AND(Painel_diario!$H4688="EU_JU",Painel_diario!$J4688=1),EXP(Painel_diario!$L4688),1)-1</f>
        <v/>
      </c>
      <c r="D4692" s="22">
        <f>(1+D4691)*IF(AND(Painel_diario!$H4688="ED_JD",Painel_diario!$J4688=1),EXP(Painel_diario!$L4688),1)-1</f>
        <v/>
      </c>
      <c r="E4692" s="22">
        <f>(1+E4691)*IF(AND(Painel_diario!$H4688="ED_JU",Painel_diario!$J4688=1),EXP(Painel_diario!$L4688),1)-1</f>
        <v/>
      </c>
    </row>
    <row r="4693">
      <c r="A4693" s="25" t="n">
        <v>45740</v>
      </c>
      <c r="B4693" s="22">
        <f>(1+B4692)*IF(AND(Painel_diario!$H4689="EU_JD",Painel_diario!$J4689=1),EXP(Painel_diario!$L4689),1)-1</f>
        <v/>
      </c>
      <c r="C4693" s="22">
        <f>(1+C4692)*IF(AND(Painel_diario!$H4689="EU_JU",Painel_diario!$J4689=1),EXP(Painel_diario!$L4689),1)-1</f>
        <v/>
      </c>
      <c r="D4693" s="22">
        <f>(1+D4692)*IF(AND(Painel_diario!$H4689="ED_JD",Painel_diario!$J4689=1),EXP(Painel_diario!$L4689),1)-1</f>
        <v/>
      </c>
      <c r="E4693" s="22">
        <f>(1+E4692)*IF(AND(Painel_diario!$H4689="ED_JU",Painel_diario!$J4689=1),EXP(Painel_diario!$L4689),1)-1</f>
        <v/>
      </c>
    </row>
    <row r="4694">
      <c r="A4694" s="25" t="n">
        <v>45741</v>
      </c>
      <c r="B4694" s="22">
        <f>(1+B4693)*IF(AND(Painel_diario!$H4690="EU_JD",Painel_diario!$J4690=1),EXP(Painel_diario!$L4690),1)-1</f>
        <v/>
      </c>
      <c r="C4694" s="22">
        <f>(1+C4693)*IF(AND(Painel_diario!$H4690="EU_JU",Painel_diario!$J4690=1),EXP(Painel_diario!$L4690),1)-1</f>
        <v/>
      </c>
      <c r="D4694" s="22">
        <f>(1+D4693)*IF(AND(Painel_diario!$H4690="ED_JD",Painel_diario!$J4690=1),EXP(Painel_diario!$L4690),1)-1</f>
        <v/>
      </c>
      <c r="E4694" s="22">
        <f>(1+E4693)*IF(AND(Painel_diario!$H4690="ED_JU",Painel_diario!$J4690=1),EXP(Painel_diario!$L4690),1)-1</f>
        <v/>
      </c>
    </row>
    <row r="4695">
      <c r="A4695" s="25" t="n">
        <v>45742</v>
      </c>
      <c r="B4695" s="22">
        <f>(1+B4694)*IF(AND(Painel_diario!$H4691="EU_JD",Painel_diario!$J4691=1),EXP(Painel_diario!$L4691),1)-1</f>
        <v/>
      </c>
      <c r="C4695" s="22">
        <f>(1+C4694)*IF(AND(Painel_diario!$H4691="EU_JU",Painel_diario!$J4691=1),EXP(Painel_diario!$L4691),1)-1</f>
        <v/>
      </c>
      <c r="D4695" s="22">
        <f>(1+D4694)*IF(AND(Painel_diario!$H4691="ED_JD",Painel_diario!$J4691=1),EXP(Painel_diario!$L4691),1)-1</f>
        <v/>
      </c>
      <c r="E4695" s="22">
        <f>(1+E4694)*IF(AND(Painel_diario!$H4691="ED_JU",Painel_diario!$J4691=1),EXP(Painel_diario!$L4691),1)-1</f>
        <v/>
      </c>
    </row>
    <row r="4696">
      <c r="A4696" s="25" t="n">
        <v>45743</v>
      </c>
      <c r="B4696" s="22">
        <f>(1+B4695)*IF(AND(Painel_diario!$H4692="EU_JD",Painel_diario!$J4692=1),EXP(Painel_diario!$L4692),1)-1</f>
        <v/>
      </c>
      <c r="C4696" s="22">
        <f>(1+C4695)*IF(AND(Painel_diario!$H4692="EU_JU",Painel_diario!$J4692=1),EXP(Painel_diario!$L4692),1)-1</f>
        <v/>
      </c>
      <c r="D4696" s="22">
        <f>(1+D4695)*IF(AND(Painel_diario!$H4692="ED_JD",Painel_diario!$J4692=1),EXP(Painel_diario!$L4692),1)-1</f>
        <v/>
      </c>
      <c r="E4696" s="22">
        <f>(1+E4695)*IF(AND(Painel_diario!$H4692="ED_JU",Painel_diario!$J4692=1),EXP(Painel_diario!$L4692),1)-1</f>
        <v/>
      </c>
    </row>
    <row r="4697">
      <c r="A4697" s="25" t="n">
        <v>45744</v>
      </c>
      <c r="B4697" s="22">
        <f>(1+B4696)*IF(AND(Painel_diario!$H4693="EU_JD",Painel_diario!$J4693=1),EXP(Painel_diario!$L4693),1)-1</f>
        <v/>
      </c>
      <c r="C4697" s="22">
        <f>(1+C4696)*IF(AND(Painel_diario!$H4693="EU_JU",Painel_diario!$J4693=1),EXP(Painel_diario!$L4693),1)-1</f>
        <v/>
      </c>
      <c r="D4697" s="22">
        <f>(1+D4696)*IF(AND(Painel_diario!$H4693="ED_JD",Painel_diario!$J4693=1),EXP(Painel_diario!$L4693),1)-1</f>
        <v/>
      </c>
      <c r="E4697" s="22">
        <f>(1+E4696)*IF(AND(Painel_diario!$H4693="ED_JU",Painel_diario!$J4693=1),EXP(Painel_diario!$L4693),1)-1</f>
        <v/>
      </c>
    </row>
    <row r="4698">
      <c r="A4698" s="25" t="n">
        <v>45747</v>
      </c>
      <c r="B4698" s="22">
        <f>(1+B4697)*IF(AND(Painel_diario!$H4694="EU_JD",Painel_diario!$J4694=1),EXP(Painel_diario!$L4694),1)-1</f>
        <v/>
      </c>
      <c r="C4698" s="22">
        <f>(1+C4697)*IF(AND(Painel_diario!$H4694="EU_JU",Painel_diario!$J4694=1),EXP(Painel_diario!$L4694),1)-1</f>
        <v/>
      </c>
      <c r="D4698" s="22">
        <f>(1+D4697)*IF(AND(Painel_diario!$H4694="ED_JD",Painel_diario!$J4694=1),EXP(Painel_diario!$L4694),1)-1</f>
        <v/>
      </c>
      <c r="E4698" s="22">
        <f>(1+E4697)*IF(AND(Painel_diario!$H4694="ED_JU",Painel_diario!$J4694=1),EXP(Painel_diario!$L4694),1)-1</f>
        <v/>
      </c>
    </row>
    <row r="4699">
      <c r="A4699" s="25" t="n">
        <v>45748</v>
      </c>
      <c r="B4699" s="22">
        <f>(1+B4698)*IF(AND(Painel_diario!$H4695="EU_JD",Painel_diario!$J4695=1),EXP(Painel_diario!$L4695),1)-1</f>
        <v/>
      </c>
      <c r="C4699" s="22">
        <f>(1+C4698)*IF(AND(Painel_diario!$H4695="EU_JU",Painel_diario!$J4695=1),EXP(Painel_diario!$L4695),1)-1</f>
        <v/>
      </c>
      <c r="D4699" s="22">
        <f>(1+D4698)*IF(AND(Painel_diario!$H4695="ED_JD",Painel_diario!$J4695=1),EXP(Painel_diario!$L4695),1)-1</f>
        <v/>
      </c>
      <c r="E4699" s="22">
        <f>(1+E4698)*IF(AND(Painel_diario!$H4695="ED_JU",Painel_diario!$J4695=1),EXP(Painel_diario!$L4695),1)-1</f>
        <v/>
      </c>
    </row>
    <row r="4700">
      <c r="A4700" s="25" t="n">
        <v>45749</v>
      </c>
      <c r="B4700" s="22">
        <f>(1+B4699)*IF(AND(Painel_diario!$H4696="EU_JD",Painel_diario!$J4696=1),EXP(Painel_diario!$L4696),1)-1</f>
        <v/>
      </c>
      <c r="C4700" s="22">
        <f>(1+C4699)*IF(AND(Painel_diario!$H4696="EU_JU",Painel_diario!$J4696=1),EXP(Painel_diario!$L4696),1)-1</f>
        <v/>
      </c>
      <c r="D4700" s="22">
        <f>(1+D4699)*IF(AND(Painel_diario!$H4696="ED_JD",Painel_diario!$J4696=1),EXP(Painel_diario!$L4696),1)-1</f>
        <v/>
      </c>
      <c r="E4700" s="22">
        <f>(1+E4699)*IF(AND(Painel_diario!$H4696="ED_JU",Painel_diario!$J4696=1),EXP(Painel_diario!$L4696),1)-1</f>
        <v/>
      </c>
    </row>
    <row r="4701">
      <c r="A4701" s="25" t="n">
        <v>45750</v>
      </c>
      <c r="B4701" s="22">
        <f>(1+B4700)*IF(AND(Painel_diario!$H4697="EU_JD",Painel_diario!$J4697=1),EXP(Painel_diario!$L4697),1)-1</f>
        <v/>
      </c>
      <c r="C4701" s="22">
        <f>(1+C4700)*IF(AND(Painel_diario!$H4697="EU_JU",Painel_diario!$J4697=1),EXP(Painel_diario!$L4697),1)-1</f>
        <v/>
      </c>
      <c r="D4701" s="22">
        <f>(1+D4700)*IF(AND(Painel_diario!$H4697="ED_JD",Painel_diario!$J4697=1),EXP(Painel_diario!$L4697),1)-1</f>
        <v/>
      </c>
      <c r="E4701" s="22">
        <f>(1+E4700)*IF(AND(Painel_diario!$H4697="ED_JU",Painel_diario!$J4697=1),EXP(Painel_diario!$L4697),1)-1</f>
        <v/>
      </c>
    </row>
    <row r="4702">
      <c r="A4702" s="25" t="n">
        <v>45751</v>
      </c>
      <c r="B4702" s="22">
        <f>(1+B4701)*IF(AND(Painel_diario!$H4698="EU_JD",Painel_diario!$J4698=1),EXP(Painel_diario!$L4698),1)-1</f>
        <v/>
      </c>
      <c r="C4702" s="22">
        <f>(1+C4701)*IF(AND(Painel_diario!$H4698="EU_JU",Painel_diario!$J4698=1),EXP(Painel_diario!$L4698),1)-1</f>
        <v/>
      </c>
      <c r="D4702" s="22">
        <f>(1+D4701)*IF(AND(Painel_diario!$H4698="ED_JD",Painel_diario!$J4698=1),EXP(Painel_diario!$L4698),1)-1</f>
        <v/>
      </c>
      <c r="E4702" s="22">
        <f>(1+E4701)*IF(AND(Painel_diario!$H4698="ED_JU",Painel_diario!$J4698=1),EXP(Painel_diario!$L4698),1)-1</f>
        <v/>
      </c>
    </row>
    <row r="4703">
      <c r="A4703" s="25" t="n">
        <v>45754</v>
      </c>
      <c r="B4703" s="22">
        <f>(1+B4702)*IF(AND(Painel_diario!$H4699="EU_JD",Painel_diario!$J4699=1),EXP(Painel_diario!$L4699),1)-1</f>
        <v/>
      </c>
      <c r="C4703" s="22">
        <f>(1+C4702)*IF(AND(Painel_diario!$H4699="EU_JU",Painel_diario!$J4699=1),EXP(Painel_diario!$L4699),1)-1</f>
        <v/>
      </c>
      <c r="D4703" s="22">
        <f>(1+D4702)*IF(AND(Painel_diario!$H4699="ED_JD",Painel_diario!$J4699=1),EXP(Painel_diario!$L4699),1)-1</f>
        <v/>
      </c>
      <c r="E4703" s="22">
        <f>(1+E4702)*IF(AND(Painel_diario!$H4699="ED_JU",Painel_diario!$J4699=1),EXP(Painel_diario!$L4699),1)-1</f>
        <v/>
      </c>
    </row>
    <row r="4704">
      <c r="A4704" s="25" t="n">
        <v>45755</v>
      </c>
      <c r="B4704" s="22">
        <f>(1+B4703)*IF(AND(Painel_diario!$H4700="EU_JD",Painel_diario!$J4700=1),EXP(Painel_diario!$L4700),1)-1</f>
        <v/>
      </c>
      <c r="C4704" s="22">
        <f>(1+C4703)*IF(AND(Painel_diario!$H4700="EU_JU",Painel_diario!$J4700=1),EXP(Painel_diario!$L4700),1)-1</f>
        <v/>
      </c>
      <c r="D4704" s="22">
        <f>(1+D4703)*IF(AND(Painel_diario!$H4700="ED_JD",Painel_diario!$J4700=1),EXP(Painel_diario!$L4700),1)-1</f>
        <v/>
      </c>
      <c r="E4704" s="22">
        <f>(1+E4703)*IF(AND(Painel_diario!$H4700="ED_JU",Painel_diario!$J4700=1),EXP(Painel_diario!$L4700),1)-1</f>
        <v/>
      </c>
    </row>
    <row r="4705">
      <c r="A4705" s="25" t="n">
        <v>45756</v>
      </c>
      <c r="B4705" s="22">
        <f>(1+B4704)*IF(AND(Painel_diario!$H4701="EU_JD",Painel_diario!$J4701=1),EXP(Painel_diario!$L4701),1)-1</f>
        <v/>
      </c>
      <c r="C4705" s="22">
        <f>(1+C4704)*IF(AND(Painel_diario!$H4701="EU_JU",Painel_diario!$J4701=1),EXP(Painel_diario!$L4701),1)-1</f>
        <v/>
      </c>
      <c r="D4705" s="22">
        <f>(1+D4704)*IF(AND(Painel_diario!$H4701="ED_JD",Painel_diario!$J4701=1),EXP(Painel_diario!$L4701),1)-1</f>
        <v/>
      </c>
      <c r="E4705" s="22">
        <f>(1+E4704)*IF(AND(Painel_diario!$H4701="ED_JU",Painel_diario!$J4701=1),EXP(Painel_diario!$L4701),1)-1</f>
        <v/>
      </c>
    </row>
    <row r="4706">
      <c r="A4706" s="25" t="n">
        <v>45757</v>
      </c>
      <c r="B4706" s="22">
        <f>(1+B4705)*IF(AND(Painel_diario!$H4702="EU_JD",Painel_diario!$J4702=1),EXP(Painel_diario!$L4702),1)-1</f>
        <v/>
      </c>
      <c r="C4706" s="22">
        <f>(1+C4705)*IF(AND(Painel_diario!$H4702="EU_JU",Painel_diario!$J4702=1),EXP(Painel_diario!$L4702),1)-1</f>
        <v/>
      </c>
      <c r="D4706" s="22">
        <f>(1+D4705)*IF(AND(Painel_diario!$H4702="ED_JD",Painel_diario!$J4702=1),EXP(Painel_diario!$L4702),1)-1</f>
        <v/>
      </c>
      <c r="E4706" s="22">
        <f>(1+E4705)*IF(AND(Painel_diario!$H4702="ED_JU",Painel_diario!$J4702=1),EXP(Painel_diario!$L4702),1)-1</f>
        <v/>
      </c>
    </row>
    <row r="4707">
      <c r="A4707" s="25" t="n">
        <v>45758</v>
      </c>
      <c r="B4707" s="22">
        <f>(1+B4706)*IF(AND(Painel_diario!$H4703="EU_JD",Painel_diario!$J4703=1),EXP(Painel_diario!$L4703),1)-1</f>
        <v/>
      </c>
      <c r="C4707" s="22">
        <f>(1+C4706)*IF(AND(Painel_diario!$H4703="EU_JU",Painel_diario!$J4703=1),EXP(Painel_diario!$L4703),1)-1</f>
        <v/>
      </c>
      <c r="D4707" s="22">
        <f>(1+D4706)*IF(AND(Painel_diario!$H4703="ED_JD",Painel_diario!$J4703=1),EXP(Painel_diario!$L4703),1)-1</f>
        <v/>
      </c>
      <c r="E4707" s="22">
        <f>(1+E4706)*IF(AND(Painel_diario!$H4703="ED_JU",Painel_diario!$J4703=1),EXP(Painel_diario!$L4703),1)-1</f>
        <v/>
      </c>
    </row>
    <row r="4708">
      <c r="A4708" s="25" t="n">
        <v>45761</v>
      </c>
      <c r="B4708" s="22">
        <f>(1+B4707)*IF(AND(Painel_diario!$H4704="EU_JD",Painel_diario!$J4704=1),EXP(Painel_diario!$L4704),1)-1</f>
        <v/>
      </c>
      <c r="C4708" s="22">
        <f>(1+C4707)*IF(AND(Painel_diario!$H4704="EU_JU",Painel_diario!$J4704=1),EXP(Painel_diario!$L4704),1)-1</f>
        <v/>
      </c>
      <c r="D4708" s="22">
        <f>(1+D4707)*IF(AND(Painel_diario!$H4704="ED_JD",Painel_diario!$J4704=1),EXP(Painel_diario!$L4704),1)-1</f>
        <v/>
      </c>
      <c r="E4708" s="22">
        <f>(1+E4707)*IF(AND(Painel_diario!$H4704="ED_JU",Painel_diario!$J4704=1),EXP(Painel_diario!$L4704),1)-1</f>
        <v/>
      </c>
    </row>
    <row r="4709">
      <c r="A4709" s="25" t="n">
        <v>45762</v>
      </c>
      <c r="B4709" s="22">
        <f>(1+B4708)*IF(AND(Painel_diario!$H4705="EU_JD",Painel_diario!$J4705=1),EXP(Painel_diario!$L4705),1)-1</f>
        <v/>
      </c>
      <c r="C4709" s="22">
        <f>(1+C4708)*IF(AND(Painel_diario!$H4705="EU_JU",Painel_diario!$J4705=1),EXP(Painel_diario!$L4705),1)-1</f>
        <v/>
      </c>
      <c r="D4709" s="22">
        <f>(1+D4708)*IF(AND(Painel_diario!$H4705="ED_JD",Painel_diario!$J4705=1),EXP(Painel_diario!$L4705),1)-1</f>
        <v/>
      </c>
      <c r="E4709" s="22">
        <f>(1+E4708)*IF(AND(Painel_diario!$H4705="ED_JU",Painel_diario!$J4705=1),EXP(Painel_diario!$L4705),1)-1</f>
        <v/>
      </c>
    </row>
    <row r="4710">
      <c r="A4710" s="25" t="n">
        <v>45763</v>
      </c>
      <c r="B4710" s="22">
        <f>(1+B4709)*IF(AND(Painel_diario!$H4706="EU_JD",Painel_diario!$J4706=1),EXP(Painel_diario!$L4706),1)-1</f>
        <v/>
      </c>
      <c r="C4710" s="22">
        <f>(1+C4709)*IF(AND(Painel_diario!$H4706="EU_JU",Painel_diario!$J4706=1),EXP(Painel_diario!$L4706),1)-1</f>
        <v/>
      </c>
      <c r="D4710" s="22">
        <f>(1+D4709)*IF(AND(Painel_diario!$H4706="ED_JD",Painel_diario!$J4706=1),EXP(Painel_diario!$L4706),1)-1</f>
        <v/>
      </c>
      <c r="E4710" s="22">
        <f>(1+E4709)*IF(AND(Painel_diario!$H4706="ED_JU",Painel_diario!$J4706=1),EXP(Painel_diario!$L4706),1)-1</f>
        <v/>
      </c>
    </row>
    <row r="4711">
      <c r="A4711" s="25" t="n">
        <v>45764</v>
      </c>
      <c r="B4711" s="22">
        <f>(1+B4710)*IF(AND(Painel_diario!$H4707="EU_JD",Painel_diario!$J4707=1),EXP(Painel_diario!$L4707),1)-1</f>
        <v/>
      </c>
      <c r="C4711" s="22">
        <f>(1+C4710)*IF(AND(Painel_diario!$H4707="EU_JU",Painel_diario!$J4707=1),EXP(Painel_diario!$L4707),1)-1</f>
        <v/>
      </c>
      <c r="D4711" s="22">
        <f>(1+D4710)*IF(AND(Painel_diario!$H4707="ED_JD",Painel_diario!$J4707=1),EXP(Painel_diario!$L4707),1)-1</f>
        <v/>
      </c>
      <c r="E4711" s="22">
        <f>(1+E4710)*IF(AND(Painel_diario!$H4707="ED_JU",Painel_diario!$J4707=1),EXP(Painel_diario!$L4707),1)-1</f>
        <v/>
      </c>
    </row>
    <row r="4712">
      <c r="A4712" s="25" t="n">
        <v>45769</v>
      </c>
      <c r="B4712" s="22">
        <f>(1+B4711)*IF(AND(Painel_diario!$H4708="EU_JD",Painel_diario!$J4708=1),EXP(Painel_diario!$L4708),1)-1</f>
        <v/>
      </c>
      <c r="C4712" s="22">
        <f>(1+C4711)*IF(AND(Painel_diario!$H4708="EU_JU",Painel_diario!$J4708=1),EXP(Painel_diario!$L4708),1)-1</f>
        <v/>
      </c>
      <c r="D4712" s="22">
        <f>(1+D4711)*IF(AND(Painel_diario!$H4708="ED_JD",Painel_diario!$J4708=1),EXP(Painel_diario!$L4708),1)-1</f>
        <v/>
      </c>
      <c r="E4712" s="22">
        <f>(1+E4711)*IF(AND(Painel_diario!$H4708="ED_JU",Painel_diario!$J4708=1),EXP(Painel_diario!$L4708),1)-1</f>
        <v/>
      </c>
    </row>
    <row r="4713">
      <c r="A4713" s="25" t="n">
        <v>45770</v>
      </c>
      <c r="B4713" s="22">
        <f>(1+B4712)*IF(AND(Painel_diario!$H4709="EU_JD",Painel_diario!$J4709=1),EXP(Painel_diario!$L4709),1)-1</f>
        <v/>
      </c>
      <c r="C4713" s="22">
        <f>(1+C4712)*IF(AND(Painel_diario!$H4709="EU_JU",Painel_diario!$J4709=1),EXP(Painel_diario!$L4709),1)-1</f>
        <v/>
      </c>
      <c r="D4713" s="22">
        <f>(1+D4712)*IF(AND(Painel_diario!$H4709="ED_JD",Painel_diario!$J4709=1),EXP(Painel_diario!$L4709),1)-1</f>
        <v/>
      </c>
      <c r="E4713" s="22">
        <f>(1+E4712)*IF(AND(Painel_diario!$H4709="ED_JU",Painel_diario!$J4709=1),EXP(Painel_diario!$L4709),1)-1</f>
        <v/>
      </c>
    </row>
    <row r="4714">
      <c r="A4714" s="25" t="n">
        <v>45771</v>
      </c>
      <c r="B4714" s="22">
        <f>(1+B4713)*IF(AND(Painel_diario!$H4710="EU_JD",Painel_diario!$J4710=1),EXP(Painel_diario!$L4710),1)-1</f>
        <v/>
      </c>
      <c r="C4714" s="22">
        <f>(1+C4713)*IF(AND(Painel_diario!$H4710="EU_JU",Painel_diario!$J4710=1),EXP(Painel_diario!$L4710),1)-1</f>
        <v/>
      </c>
      <c r="D4714" s="22">
        <f>(1+D4713)*IF(AND(Painel_diario!$H4710="ED_JD",Painel_diario!$J4710=1),EXP(Painel_diario!$L4710),1)-1</f>
        <v/>
      </c>
      <c r="E4714" s="22">
        <f>(1+E4713)*IF(AND(Painel_diario!$H4710="ED_JU",Painel_diario!$J4710=1),EXP(Painel_diario!$L4710),1)-1</f>
        <v/>
      </c>
    </row>
    <row r="4715">
      <c r="A4715" s="25" t="n">
        <v>45772</v>
      </c>
      <c r="B4715" s="22">
        <f>(1+B4714)*IF(AND(Painel_diario!$H4711="EU_JD",Painel_diario!$J4711=1),EXP(Painel_diario!$L4711),1)-1</f>
        <v/>
      </c>
      <c r="C4715" s="22">
        <f>(1+C4714)*IF(AND(Painel_diario!$H4711="EU_JU",Painel_diario!$J4711=1),EXP(Painel_diario!$L4711),1)-1</f>
        <v/>
      </c>
      <c r="D4715" s="22">
        <f>(1+D4714)*IF(AND(Painel_diario!$H4711="ED_JD",Painel_diario!$J4711=1),EXP(Painel_diario!$L4711),1)-1</f>
        <v/>
      </c>
      <c r="E4715" s="22">
        <f>(1+E4714)*IF(AND(Painel_diario!$H4711="ED_JU",Painel_diario!$J4711=1),EXP(Painel_diario!$L4711),1)-1</f>
        <v/>
      </c>
    </row>
    <row r="4716">
      <c r="A4716" s="25" t="n">
        <v>45775</v>
      </c>
      <c r="B4716" s="22">
        <f>(1+B4715)*IF(AND(Painel_diario!$H4712="EU_JD",Painel_diario!$J4712=1),EXP(Painel_diario!$L4712),1)-1</f>
        <v/>
      </c>
      <c r="C4716" s="22">
        <f>(1+C4715)*IF(AND(Painel_diario!$H4712="EU_JU",Painel_diario!$J4712=1),EXP(Painel_diario!$L4712),1)-1</f>
        <v/>
      </c>
      <c r="D4716" s="22">
        <f>(1+D4715)*IF(AND(Painel_diario!$H4712="ED_JD",Painel_diario!$J4712=1),EXP(Painel_diario!$L4712),1)-1</f>
        <v/>
      </c>
      <c r="E4716" s="22">
        <f>(1+E4715)*IF(AND(Painel_diario!$H4712="ED_JU",Painel_diario!$J4712=1),EXP(Painel_diario!$L4712),1)-1</f>
        <v/>
      </c>
    </row>
    <row r="4717">
      <c r="A4717" s="25" t="n">
        <v>45776</v>
      </c>
      <c r="B4717" s="22">
        <f>(1+B4716)*IF(AND(Painel_diario!$H4713="EU_JD",Painel_diario!$J4713=1),EXP(Painel_diario!$L4713),1)-1</f>
        <v/>
      </c>
      <c r="C4717" s="22">
        <f>(1+C4716)*IF(AND(Painel_diario!$H4713="EU_JU",Painel_diario!$J4713=1),EXP(Painel_diario!$L4713),1)-1</f>
        <v/>
      </c>
      <c r="D4717" s="22">
        <f>(1+D4716)*IF(AND(Painel_diario!$H4713="ED_JD",Painel_diario!$J4713=1),EXP(Painel_diario!$L4713),1)-1</f>
        <v/>
      </c>
      <c r="E4717" s="22">
        <f>(1+E4716)*IF(AND(Painel_diario!$H4713="ED_JU",Painel_diario!$J4713=1),EXP(Painel_diario!$L4713),1)-1</f>
        <v/>
      </c>
    </row>
    <row r="4718">
      <c r="A4718" s="25" t="n">
        <v>45777</v>
      </c>
      <c r="B4718" s="22">
        <f>(1+B4717)*IF(AND(Painel_diario!$H4714="EU_JD",Painel_diario!$J4714=1),EXP(Painel_diario!$L4714),1)-1</f>
        <v/>
      </c>
      <c r="C4718" s="22">
        <f>(1+C4717)*IF(AND(Painel_diario!$H4714="EU_JU",Painel_diario!$J4714=1),EXP(Painel_diario!$L4714),1)-1</f>
        <v/>
      </c>
      <c r="D4718" s="22">
        <f>(1+D4717)*IF(AND(Painel_diario!$H4714="ED_JD",Painel_diario!$J4714=1),EXP(Painel_diario!$L4714),1)-1</f>
        <v/>
      </c>
      <c r="E4718" s="22">
        <f>(1+E4717)*IF(AND(Painel_diario!$H4714="ED_JU",Painel_diario!$J4714=1),EXP(Painel_diario!$L4714),1)-1</f>
        <v/>
      </c>
    </row>
    <row r="4719">
      <c r="A4719" s="25" t="n">
        <v>45779</v>
      </c>
      <c r="B4719" s="22">
        <f>(1+B4718)*IF(AND(Painel_diario!$H4715="EU_JD",Painel_diario!$J4715=1),EXP(Painel_diario!$L4715),1)-1</f>
        <v/>
      </c>
      <c r="C4719" s="22">
        <f>(1+C4718)*IF(AND(Painel_diario!$H4715="EU_JU",Painel_diario!$J4715=1),EXP(Painel_diario!$L4715),1)-1</f>
        <v/>
      </c>
      <c r="D4719" s="22">
        <f>(1+D4718)*IF(AND(Painel_diario!$H4715="ED_JD",Painel_diario!$J4715=1),EXP(Painel_diario!$L4715),1)-1</f>
        <v/>
      </c>
      <c r="E4719" s="22">
        <f>(1+E4718)*IF(AND(Painel_diario!$H4715="ED_JU",Painel_diario!$J4715=1),EXP(Painel_diario!$L4715),1)-1</f>
        <v/>
      </c>
    </row>
    <row r="4720">
      <c r="A4720" s="25" t="n">
        <v>45782</v>
      </c>
      <c r="B4720" s="22">
        <f>(1+B4719)*IF(AND(Painel_diario!$H4716="EU_JD",Painel_diario!$J4716=1),EXP(Painel_diario!$L4716),1)-1</f>
        <v/>
      </c>
      <c r="C4720" s="22">
        <f>(1+C4719)*IF(AND(Painel_diario!$H4716="EU_JU",Painel_diario!$J4716=1),EXP(Painel_diario!$L4716),1)-1</f>
        <v/>
      </c>
      <c r="D4720" s="22">
        <f>(1+D4719)*IF(AND(Painel_diario!$H4716="ED_JD",Painel_diario!$J4716=1),EXP(Painel_diario!$L4716),1)-1</f>
        <v/>
      </c>
      <c r="E4720" s="22">
        <f>(1+E4719)*IF(AND(Painel_diario!$H4716="ED_JU",Painel_diario!$J4716=1),EXP(Painel_diario!$L4716),1)-1</f>
        <v/>
      </c>
    </row>
    <row r="4721">
      <c r="A4721" s="25" t="n">
        <v>45783</v>
      </c>
      <c r="B4721" s="22">
        <f>(1+B4720)*IF(AND(Painel_diario!$H4717="EU_JD",Painel_diario!$J4717=1),EXP(Painel_diario!$L4717),1)-1</f>
        <v/>
      </c>
      <c r="C4721" s="22">
        <f>(1+C4720)*IF(AND(Painel_diario!$H4717="EU_JU",Painel_diario!$J4717=1),EXP(Painel_diario!$L4717),1)-1</f>
        <v/>
      </c>
      <c r="D4721" s="22">
        <f>(1+D4720)*IF(AND(Painel_diario!$H4717="ED_JD",Painel_diario!$J4717=1),EXP(Painel_diario!$L4717),1)-1</f>
        <v/>
      </c>
      <c r="E4721" s="22">
        <f>(1+E4720)*IF(AND(Painel_diario!$H4717="ED_JU",Painel_diario!$J4717=1),EXP(Painel_diario!$L4717),1)-1</f>
        <v/>
      </c>
    </row>
    <row r="4722">
      <c r="A4722" s="25" t="n">
        <v>45784</v>
      </c>
      <c r="B4722" s="22">
        <f>(1+B4721)*IF(AND(Painel_diario!$H4718="EU_JD",Painel_diario!$J4718=1),EXP(Painel_diario!$L4718),1)-1</f>
        <v/>
      </c>
      <c r="C4722" s="22">
        <f>(1+C4721)*IF(AND(Painel_diario!$H4718="EU_JU",Painel_diario!$J4718=1),EXP(Painel_diario!$L4718),1)-1</f>
        <v/>
      </c>
      <c r="D4722" s="22">
        <f>(1+D4721)*IF(AND(Painel_diario!$H4718="ED_JD",Painel_diario!$J4718=1),EXP(Painel_diario!$L4718),1)-1</f>
        <v/>
      </c>
      <c r="E4722" s="22">
        <f>(1+E4721)*IF(AND(Painel_diario!$H4718="ED_JU",Painel_diario!$J4718=1),EXP(Painel_diario!$L4718),1)-1</f>
        <v/>
      </c>
    </row>
    <row r="4723">
      <c r="A4723" s="25" t="n">
        <v>45785</v>
      </c>
      <c r="B4723" s="22">
        <f>(1+B4722)*IF(AND(Painel_diario!$H4719="EU_JD",Painel_diario!$J4719=1),EXP(Painel_diario!$L4719),1)-1</f>
        <v/>
      </c>
      <c r="C4723" s="22">
        <f>(1+C4722)*IF(AND(Painel_diario!$H4719="EU_JU",Painel_diario!$J4719=1),EXP(Painel_diario!$L4719),1)-1</f>
        <v/>
      </c>
      <c r="D4723" s="22">
        <f>(1+D4722)*IF(AND(Painel_diario!$H4719="ED_JD",Painel_diario!$J4719=1),EXP(Painel_diario!$L4719),1)-1</f>
        <v/>
      </c>
      <c r="E4723" s="22">
        <f>(1+E4722)*IF(AND(Painel_diario!$H4719="ED_JU",Painel_diario!$J4719=1),EXP(Painel_diario!$L4719),1)-1</f>
        <v/>
      </c>
    </row>
    <row r="4724">
      <c r="A4724" s="25" t="n">
        <v>45786</v>
      </c>
      <c r="B4724" s="22">
        <f>(1+B4723)*IF(AND(Painel_diario!$H4720="EU_JD",Painel_diario!$J4720=1),EXP(Painel_diario!$L4720),1)-1</f>
        <v/>
      </c>
      <c r="C4724" s="22">
        <f>(1+C4723)*IF(AND(Painel_diario!$H4720="EU_JU",Painel_diario!$J4720=1),EXP(Painel_diario!$L4720),1)-1</f>
        <v/>
      </c>
      <c r="D4724" s="22">
        <f>(1+D4723)*IF(AND(Painel_diario!$H4720="ED_JD",Painel_diario!$J4720=1),EXP(Painel_diario!$L4720),1)-1</f>
        <v/>
      </c>
      <c r="E4724" s="22">
        <f>(1+E4723)*IF(AND(Painel_diario!$H4720="ED_JU",Painel_diario!$J4720=1),EXP(Painel_diario!$L4720),1)-1</f>
        <v/>
      </c>
    </row>
    <row r="4725">
      <c r="A4725" s="25" t="n">
        <v>45789</v>
      </c>
      <c r="B4725" s="22">
        <f>(1+B4724)*IF(AND(Painel_diario!$H4721="EU_JD",Painel_diario!$J4721=1),EXP(Painel_diario!$L4721),1)-1</f>
        <v/>
      </c>
      <c r="C4725" s="22">
        <f>(1+C4724)*IF(AND(Painel_diario!$H4721="EU_JU",Painel_diario!$J4721=1),EXP(Painel_diario!$L4721),1)-1</f>
        <v/>
      </c>
      <c r="D4725" s="22">
        <f>(1+D4724)*IF(AND(Painel_diario!$H4721="ED_JD",Painel_diario!$J4721=1),EXP(Painel_diario!$L4721),1)-1</f>
        <v/>
      </c>
      <c r="E4725" s="22">
        <f>(1+E4724)*IF(AND(Painel_diario!$H4721="ED_JU",Painel_diario!$J4721=1),EXP(Painel_diario!$L4721),1)-1</f>
        <v/>
      </c>
    </row>
    <row r="4726">
      <c r="A4726" s="25" t="n">
        <v>45790</v>
      </c>
      <c r="B4726" s="22">
        <f>(1+B4725)*IF(AND(Painel_diario!$H4722="EU_JD",Painel_diario!$J4722=1),EXP(Painel_diario!$L4722),1)-1</f>
        <v/>
      </c>
      <c r="C4726" s="22">
        <f>(1+C4725)*IF(AND(Painel_diario!$H4722="EU_JU",Painel_diario!$J4722=1),EXP(Painel_diario!$L4722),1)-1</f>
        <v/>
      </c>
      <c r="D4726" s="22">
        <f>(1+D4725)*IF(AND(Painel_diario!$H4722="ED_JD",Painel_diario!$J4722=1),EXP(Painel_diario!$L4722),1)-1</f>
        <v/>
      </c>
      <c r="E4726" s="22">
        <f>(1+E4725)*IF(AND(Painel_diario!$H4722="ED_JU",Painel_diario!$J4722=1),EXP(Painel_diario!$L4722),1)-1</f>
        <v/>
      </c>
    </row>
    <row r="4727">
      <c r="A4727" s="25" t="n">
        <v>45791</v>
      </c>
      <c r="B4727" s="22">
        <f>(1+B4726)*IF(AND(Painel_diario!$H4723="EU_JD",Painel_diario!$J4723=1),EXP(Painel_diario!$L4723),1)-1</f>
        <v/>
      </c>
      <c r="C4727" s="22">
        <f>(1+C4726)*IF(AND(Painel_diario!$H4723="EU_JU",Painel_diario!$J4723=1),EXP(Painel_diario!$L4723),1)-1</f>
        <v/>
      </c>
      <c r="D4727" s="22">
        <f>(1+D4726)*IF(AND(Painel_diario!$H4723="ED_JD",Painel_diario!$J4723=1),EXP(Painel_diario!$L4723),1)-1</f>
        <v/>
      </c>
      <c r="E4727" s="22">
        <f>(1+E4726)*IF(AND(Painel_diario!$H4723="ED_JU",Painel_diario!$J4723=1),EXP(Painel_diario!$L4723),1)-1</f>
        <v/>
      </c>
    </row>
    <row r="4728">
      <c r="A4728" s="25" t="n">
        <v>45792</v>
      </c>
      <c r="B4728" s="22">
        <f>(1+B4727)*IF(AND(Painel_diario!$H4724="EU_JD",Painel_diario!$J4724=1),EXP(Painel_diario!$L4724),1)-1</f>
        <v/>
      </c>
      <c r="C4728" s="22">
        <f>(1+C4727)*IF(AND(Painel_diario!$H4724="EU_JU",Painel_diario!$J4724=1),EXP(Painel_diario!$L4724),1)-1</f>
        <v/>
      </c>
      <c r="D4728" s="22">
        <f>(1+D4727)*IF(AND(Painel_diario!$H4724="ED_JD",Painel_diario!$J4724=1),EXP(Painel_diario!$L4724),1)-1</f>
        <v/>
      </c>
      <c r="E4728" s="22">
        <f>(1+E4727)*IF(AND(Painel_diario!$H4724="ED_JU",Painel_diario!$J4724=1),EXP(Painel_diario!$L4724),1)-1</f>
        <v/>
      </c>
    </row>
    <row r="4729">
      <c r="A4729" s="25" t="n">
        <v>45793</v>
      </c>
      <c r="B4729" s="22">
        <f>(1+B4728)*IF(AND(Painel_diario!$H4725="EU_JD",Painel_diario!$J4725=1),EXP(Painel_diario!$L4725),1)-1</f>
        <v/>
      </c>
      <c r="C4729" s="22">
        <f>(1+C4728)*IF(AND(Painel_diario!$H4725="EU_JU",Painel_diario!$J4725=1),EXP(Painel_diario!$L4725),1)-1</f>
        <v/>
      </c>
      <c r="D4729" s="22">
        <f>(1+D4728)*IF(AND(Painel_diario!$H4725="ED_JD",Painel_diario!$J4725=1),EXP(Painel_diario!$L4725),1)-1</f>
        <v/>
      </c>
      <c r="E4729" s="22">
        <f>(1+E4728)*IF(AND(Painel_diario!$H4725="ED_JU",Painel_diario!$J4725=1),EXP(Painel_diario!$L4725),1)-1</f>
        <v/>
      </c>
    </row>
    <row r="4730">
      <c r="A4730" s="25" t="n">
        <v>45796</v>
      </c>
      <c r="B4730" s="22">
        <f>(1+B4729)*IF(AND(Painel_diario!$H4726="EU_JD",Painel_diario!$J4726=1),EXP(Painel_diario!$L4726),1)-1</f>
        <v/>
      </c>
      <c r="C4730" s="22">
        <f>(1+C4729)*IF(AND(Painel_diario!$H4726="EU_JU",Painel_diario!$J4726=1),EXP(Painel_diario!$L4726),1)-1</f>
        <v/>
      </c>
      <c r="D4730" s="22">
        <f>(1+D4729)*IF(AND(Painel_diario!$H4726="ED_JD",Painel_diario!$J4726=1),EXP(Painel_diario!$L4726),1)-1</f>
        <v/>
      </c>
      <c r="E4730" s="22">
        <f>(1+E4729)*IF(AND(Painel_diario!$H4726="ED_JU",Painel_diario!$J4726=1),EXP(Painel_diario!$L4726),1)-1</f>
        <v/>
      </c>
    </row>
    <row r="4731">
      <c r="A4731" s="25" t="n">
        <v>45797</v>
      </c>
      <c r="B4731" s="22">
        <f>(1+B4730)*IF(AND(Painel_diario!$H4727="EU_JD",Painel_diario!$J4727=1),EXP(Painel_diario!$L4727),1)-1</f>
        <v/>
      </c>
      <c r="C4731" s="22">
        <f>(1+C4730)*IF(AND(Painel_diario!$H4727="EU_JU",Painel_diario!$J4727=1),EXP(Painel_diario!$L4727),1)-1</f>
        <v/>
      </c>
      <c r="D4731" s="22">
        <f>(1+D4730)*IF(AND(Painel_diario!$H4727="ED_JD",Painel_diario!$J4727=1),EXP(Painel_diario!$L4727),1)-1</f>
        <v/>
      </c>
      <c r="E4731" s="22">
        <f>(1+E4730)*IF(AND(Painel_diario!$H4727="ED_JU",Painel_diario!$J4727=1),EXP(Painel_diario!$L4727),1)-1</f>
        <v/>
      </c>
    </row>
    <row r="4732">
      <c r="A4732" s="25" t="n">
        <v>45798</v>
      </c>
      <c r="B4732" s="22">
        <f>(1+B4731)*IF(AND(Painel_diario!$H4728="EU_JD",Painel_diario!$J4728=1),EXP(Painel_diario!$L4728),1)-1</f>
        <v/>
      </c>
      <c r="C4732" s="22">
        <f>(1+C4731)*IF(AND(Painel_diario!$H4728="EU_JU",Painel_diario!$J4728=1),EXP(Painel_diario!$L4728),1)-1</f>
        <v/>
      </c>
      <c r="D4732" s="22">
        <f>(1+D4731)*IF(AND(Painel_diario!$H4728="ED_JD",Painel_diario!$J4728=1),EXP(Painel_diario!$L4728),1)-1</f>
        <v/>
      </c>
      <c r="E4732" s="22">
        <f>(1+E4731)*IF(AND(Painel_diario!$H4728="ED_JU",Painel_diario!$J4728=1),EXP(Painel_diario!$L4728),1)-1</f>
        <v/>
      </c>
    </row>
    <row r="4733">
      <c r="A4733" s="25" t="n">
        <v>45799</v>
      </c>
      <c r="B4733" s="22">
        <f>(1+B4732)*IF(AND(Painel_diario!$H4729="EU_JD",Painel_diario!$J4729=1),EXP(Painel_diario!$L4729),1)-1</f>
        <v/>
      </c>
      <c r="C4733" s="22">
        <f>(1+C4732)*IF(AND(Painel_diario!$H4729="EU_JU",Painel_diario!$J4729=1),EXP(Painel_diario!$L4729),1)-1</f>
        <v/>
      </c>
      <c r="D4733" s="22">
        <f>(1+D4732)*IF(AND(Painel_diario!$H4729="ED_JD",Painel_diario!$J4729=1),EXP(Painel_diario!$L4729),1)-1</f>
        <v/>
      </c>
      <c r="E4733" s="22">
        <f>(1+E4732)*IF(AND(Painel_diario!$H4729="ED_JU",Painel_diario!$J4729=1),EXP(Painel_diario!$L4729),1)-1</f>
        <v/>
      </c>
    </row>
    <row r="4734">
      <c r="A4734" s="25" t="n">
        <v>45800</v>
      </c>
      <c r="B4734" s="22">
        <f>(1+B4733)*IF(AND(Painel_diario!$H4730="EU_JD",Painel_diario!$J4730=1),EXP(Painel_diario!$L4730),1)-1</f>
        <v/>
      </c>
      <c r="C4734" s="22">
        <f>(1+C4733)*IF(AND(Painel_diario!$H4730="EU_JU",Painel_diario!$J4730=1),EXP(Painel_diario!$L4730),1)-1</f>
        <v/>
      </c>
      <c r="D4734" s="22">
        <f>(1+D4733)*IF(AND(Painel_diario!$H4730="ED_JD",Painel_diario!$J4730=1),EXP(Painel_diario!$L4730),1)-1</f>
        <v/>
      </c>
      <c r="E4734" s="22">
        <f>(1+E4733)*IF(AND(Painel_diario!$H4730="ED_JU",Painel_diario!$J4730=1),EXP(Painel_diario!$L4730),1)-1</f>
        <v/>
      </c>
    </row>
    <row r="4735">
      <c r="A4735" s="25" t="n">
        <v>45803</v>
      </c>
      <c r="B4735" s="22">
        <f>(1+B4734)*IF(AND(Painel_diario!$H4731="EU_JD",Painel_diario!$J4731=1),EXP(Painel_diario!$L4731),1)-1</f>
        <v/>
      </c>
      <c r="C4735" s="22">
        <f>(1+C4734)*IF(AND(Painel_diario!$H4731="EU_JU",Painel_diario!$J4731=1),EXP(Painel_diario!$L4731),1)-1</f>
        <v/>
      </c>
      <c r="D4735" s="22">
        <f>(1+D4734)*IF(AND(Painel_diario!$H4731="ED_JD",Painel_diario!$J4731=1),EXP(Painel_diario!$L4731),1)-1</f>
        <v/>
      </c>
      <c r="E4735" s="22">
        <f>(1+E4734)*IF(AND(Painel_diario!$H4731="ED_JU",Painel_diario!$J4731=1),EXP(Painel_diario!$L4731),1)-1</f>
        <v/>
      </c>
    </row>
    <row r="4736">
      <c r="A4736" s="25" t="n">
        <v>45804</v>
      </c>
      <c r="B4736" s="22">
        <f>(1+B4735)*IF(AND(Painel_diario!$H4732="EU_JD",Painel_diario!$J4732=1),EXP(Painel_diario!$L4732),1)-1</f>
        <v/>
      </c>
      <c r="C4736" s="22">
        <f>(1+C4735)*IF(AND(Painel_diario!$H4732="EU_JU",Painel_diario!$J4732=1),EXP(Painel_diario!$L4732),1)-1</f>
        <v/>
      </c>
      <c r="D4736" s="22">
        <f>(1+D4735)*IF(AND(Painel_diario!$H4732="ED_JD",Painel_diario!$J4732=1),EXP(Painel_diario!$L4732),1)-1</f>
        <v/>
      </c>
      <c r="E4736" s="22">
        <f>(1+E4735)*IF(AND(Painel_diario!$H4732="ED_JU",Painel_diario!$J4732=1),EXP(Painel_diario!$L4732),1)-1</f>
        <v/>
      </c>
    </row>
    <row r="4737">
      <c r="A4737" s="25" t="n">
        <v>45805</v>
      </c>
      <c r="B4737" s="22">
        <f>(1+B4736)*IF(AND(Painel_diario!$H4733="EU_JD",Painel_diario!$J4733=1),EXP(Painel_diario!$L4733),1)-1</f>
        <v/>
      </c>
      <c r="C4737" s="22">
        <f>(1+C4736)*IF(AND(Painel_diario!$H4733="EU_JU",Painel_diario!$J4733=1),EXP(Painel_diario!$L4733),1)-1</f>
        <v/>
      </c>
      <c r="D4737" s="22">
        <f>(1+D4736)*IF(AND(Painel_diario!$H4733="ED_JD",Painel_diario!$J4733=1),EXP(Painel_diario!$L4733),1)-1</f>
        <v/>
      </c>
      <c r="E4737" s="22">
        <f>(1+E4736)*IF(AND(Painel_diario!$H4733="ED_JU",Painel_diario!$J4733=1),EXP(Painel_diario!$L4733),1)-1</f>
        <v/>
      </c>
    </row>
    <row r="4738">
      <c r="A4738" s="25" t="n">
        <v>45806</v>
      </c>
      <c r="B4738" s="22">
        <f>(1+B4737)*IF(AND(Painel_diario!$H4734="EU_JD",Painel_diario!$J4734=1),EXP(Painel_diario!$L4734),1)-1</f>
        <v/>
      </c>
      <c r="C4738" s="22">
        <f>(1+C4737)*IF(AND(Painel_diario!$H4734="EU_JU",Painel_diario!$J4734=1),EXP(Painel_diario!$L4734),1)-1</f>
        <v/>
      </c>
      <c r="D4738" s="22">
        <f>(1+D4737)*IF(AND(Painel_diario!$H4734="ED_JD",Painel_diario!$J4734=1),EXP(Painel_diario!$L4734),1)-1</f>
        <v/>
      </c>
      <c r="E4738" s="22">
        <f>(1+E4737)*IF(AND(Painel_diario!$H4734="ED_JU",Painel_diario!$J4734=1),EXP(Painel_diario!$L4734),1)-1</f>
        <v/>
      </c>
    </row>
    <row r="4739">
      <c r="A4739" s="25" t="n">
        <v>45807</v>
      </c>
      <c r="B4739" s="22">
        <f>(1+B4738)*IF(AND(Painel_diario!$H4735="EU_JD",Painel_diario!$J4735=1),EXP(Painel_diario!$L4735),1)-1</f>
        <v/>
      </c>
      <c r="C4739" s="22">
        <f>(1+C4738)*IF(AND(Painel_diario!$H4735="EU_JU",Painel_diario!$J4735=1),EXP(Painel_diario!$L4735),1)-1</f>
        <v/>
      </c>
      <c r="D4739" s="22">
        <f>(1+D4738)*IF(AND(Painel_diario!$H4735="ED_JD",Painel_diario!$J4735=1),EXP(Painel_diario!$L4735),1)-1</f>
        <v/>
      </c>
      <c r="E4739" s="22">
        <f>(1+E4738)*IF(AND(Painel_diario!$H4735="ED_JU",Painel_diario!$J4735=1),EXP(Painel_diario!$L4735),1)-1</f>
        <v/>
      </c>
    </row>
    <row r="4740">
      <c r="A4740" s="25" t="n">
        <v>45810</v>
      </c>
      <c r="B4740" s="22">
        <f>(1+B4739)*IF(AND(Painel_diario!$H4736="EU_JD",Painel_diario!$J4736=1),EXP(Painel_diario!$L4736),1)-1</f>
        <v/>
      </c>
      <c r="C4740" s="22">
        <f>(1+C4739)*IF(AND(Painel_diario!$H4736="EU_JU",Painel_diario!$J4736=1),EXP(Painel_diario!$L4736),1)-1</f>
        <v/>
      </c>
      <c r="D4740" s="22">
        <f>(1+D4739)*IF(AND(Painel_diario!$H4736="ED_JD",Painel_diario!$J4736=1),EXP(Painel_diario!$L4736),1)-1</f>
        <v/>
      </c>
      <c r="E4740" s="22">
        <f>(1+E4739)*IF(AND(Painel_diario!$H4736="ED_JU",Painel_diario!$J4736=1),EXP(Painel_diario!$L4736),1)-1</f>
        <v/>
      </c>
    </row>
    <row r="4741">
      <c r="A4741" s="25" t="n">
        <v>45811</v>
      </c>
      <c r="B4741" s="22">
        <f>(1+B4740)*IF(AND(Painel_diario!$H4737="EU_JD",Painel_diario!$J4737=1),EXP(Painel_diario!$L4737),1)-1</f>
        <v/>
      </c>
      <c r="C4741" s="22">
        <f>(1+C4740)*IF(AND(Painel_diario!$H4737="EU_JU",Painel_diario!$J4737=1),EXP(Painel_diario!$L4737),1)-1</f>
        <v/>
      </c>
      <c r="D4741" s="22">
        <f>(1+D4740)*IF(AND(Painel_diario!$H4737="ED_JD",Painel_diario!$J4737=1),EXP(Painel_diario!$L4737),1)-1</f>
        <v/>
      </c>
      <c r="E4741" s="22">
        <f>(1+E4740)*IF(AND(Painel_diario!$H4737="ED_JU",Painel_diario!$J4737=1),EXP(Painel_diario!$L4737),1)-1</f>
        <v/>
      </c>
    </row>
    <row r="4742">
      <c r="A4742" s="25" t="n">
        <v>45812</v>
      </c>
      <c r="B4742" s="22">
        <f>(1+B4741)*IF(AND(Painel_diario!$H4738="EU_JD",Painel_diario!$J4738=1),EXP(Painel_diario!$L4738),1)-1</f>
        <v/>
      </c>
      <c r="C4742" s="22">
        <f>(1+C4741)*IF(AND(Painel_diario!$H4738="EU_JU",Painel_diario!$J4738=1),EXP(Painel_diario!$L4738),1)-1</f>
        <v/>
      </c>
      <c r="D4742" s="22">
        <f>(1+D4741)*IF(AND(Painel_diario!$H4738="ED_JD",Painel_diario!$J4738=1),EXP(Painel_diario!$L4738),1)-1</f>
        <v/>
      </c>
      <c r="E4742" s="22">
        <f>(1+E4741)*IF(AND(Painel_diario!$H4738="ED_JU",Painel_diario!$J4738=1),EXP(Painel_diario!$L4738),1)-1</f>
        <v/>
      </c>
    </row>
    <row r="4743">
      <c r="A4743" s="25" t="n">
        <v>45813</v>
      </c>
      <c r="B4743" s="22">
        <f>(1+B4742)*IF(AND(Painel_diario!$H4739="EU_JD",Painel_diario!$J4739=1),EXP(Painel_diario!$L4739),1)-1</f>
        <v/>
      </c>
      <c r="C4743" s="22">
        <f>(1+C4742)*IF(AND(Painel_diario!$H4739="EU_JU",Painel_diario!$J4739=1),EXP(Painel_diario!$L4739),1)-1</f>
        <v/>
      </c>
      <c r="D4743" s="22">
        <f>(1+D4742)*IF(AND(Painel_diario!$H4739="ED_JD",Painel_diario!$J4739=1),EXP(Painel_diario!$L4739),1)-1</f>
        <v/>
      </c>
      <c r="E4743" s="22">
        <f>(1+E4742)*IF(AND(Painel_diario!$H4739="ED_JU",Painel_diario!$J4739=1),EXP(Painel_diario!$L4739),1)-1</f>
        <v/>
      </c>
    </row>
    <row r="4744">
      <c r="A4744" s="25" t="n">
        <v>45814</v>
      </c>
      <c r="B4744" s="22">
        <f>(1+B4743)*IF(AND(Painel_diario!$H4740="EU_JD",Painel_diario!$J4740=1),EXP(Painel_diario!$L4740),1)-1</f>
        <v/>
      </c>
      <c r="C4744" s="22">
        <f>(1+C4743)*IF(AND(Painel_diario!$H4740="EU_JU",Painel_diario!$J4740=1),EXP(Painel_diario!$L4740),1)-1</f>
        <v/>
      </c>
      <c r="D4744" s="22">
        <f>(1+D4743)*IF(AND(Painel_diario!$H4740="ED_JD",Painel_diario!$J4740=1),EXP(Painel_diario!$L4740),1)-1</f>
        <v/>
      </c>
      <c r="E4744" s="22">
        <f>(1+E4743)*IF(AND(Painel_diario!$H4740="ED_JU",Painel_diario!$J4740=1),EXP(Painel_diario!$L4740),1)-1</f>
        <v/>
      </c>
    </row>
    <row r="4745">
      <c r="A4745" s="25" t="n">
        <v>45817</v>
      </c>
      <c r="B4745" s="22">
        <f>(1+B4744)*IF(AND(Painel_diario!$H4741="EU_JD",Painel_diario!$J4741=1),EXP(Painel_diario!$L4741),1)-1</f>
        <v/>
      </c>
      <c r="C4745" s="22">
        <f>(1+C4744)*IF(AND(Painel_diario!$H4741="EU_JU",Painel_diario!$J4741=1),EXP(Painel_diario!$L4741),1)-1</f>
        <v/>
      </c>
      <c r="D4745" s="22">
        <f>(1+D4744)*IF(AND(Painel_diario!$H4741="ED_JD",Painel_diario!$J4741=1),EXP(Painel_diario!$L4741),1)-1</f>
        <v/>
      </c>
      <c r="E4745" s="22">
        <f>(1+E4744)*IF(AND(Painel_diario!$H4741="ED_JU",Painel_diario!$J4741=1),EXP(Painel_diario!$L4741),1)-1</f>
        <v/>
      </c>
    </row>
    <row r="4746">
      <c r="A4746" s="25" t="n">
        <v>45818</v>
      </c>
      <c r="B4746" s="22">
        <f>(1+B4745)*IF(AND(Painel_diario!$H4742="EU_JD",Painel_diario!$J4742=1),EXP(Painel_diario!$L4742),1)-1</f>
        <v/>
      </c>
      <c r="C4746" s="22">
        <f>(1+C4745)*IF(AND(Painel_diario!$H4742="EU_JU",Painel_diario!$J4742=1),EXP(Painel_diario!$L4742),1)-1</f>
        <v/>
      </c>
      <c r="D4746" s="22">
        <f>(1+D4745)*IF(AND(Painel_diario!$H4742="ED_JD",Painel_diario!$J4742=1),EXP(Painel_diario!$L4742),1)-1</f>
        <v/>
      </c>
      <c r="E4746" s="22">
        <f>(1+E4745)*IF(AND(Painel_diario!$H4742="ED_JU",Painel_diario!$J4742=1),EXP(Painel_diario!$L4742),1)-1</f>
        <v/>
      </c>
    </row>
    <row r="4747">
      <c r="A4747" s="25" t="n">
        <v>45819</v>
      </c>
      <c r="B4747" s="22">
        <f>(1+B4746)*IF(AND(Painel_diario!$H4743="EU_JD",Painel_diario!$J4743=1),EXP(Painel_diario!$L4743),1)-1</f>
        <v/>
      </c>
      <c r="C4747" s="22">
        <f>(1+C4746)*IF(AND(Painel_diario!$H4743="EU_JU",Painel_diario!$J4743=1),EXP(Painel_diario!$L4743),1)-1</f>
        <v/>
      </c>
      <c r="D4747" s="22">
        <f>(1+D4746)*IF(AND(Painel_diario!$H4743="ED_JD",Painel_diario!$J4743=1),EXP(Painel_diario!$L4743),1)-1</f>
        <v/>
      </c>
      <c r="E4747" s="22">
        <f>(1+E4746)*IF(AND(Painel_diario!$H4743="ED_JU",Painel_diario!$J4743=1),EXP(Painel_diario!$L4743),1)-1</f>
        <v/>
      </c>
    </row>
    <row r="4748">
      <c r="A4748" s="25" t="n">
        <v>45820</v>
      </c>
      <c r="B4748" s="22">
        <f>(1+B4747)*IF(AND(Painel_diario!$H4744="EU_JD",Painel_diario!$J4744=1),EXP(Painel_diario!$L4744),1)-1</f>
        <v/>
      </c>
      <c r="C4748" s="22">
        <f>(1+C4747)*IF(AND(Painel_diario!$H4744="EU_JU",Painel_diario!$J4744=1),EXP(Painel_diario!$L4744),1)-1</f>
        <v/>
      </c>
      <c r="D4748" s="22">
        <f>(1+D4747)*IF(AND(Painel_diario!$H4744="ED_JD",Painel_diario!$J4744=1),EXP(Painel_diario!$L4744),1)-1</f>
        <v/>
      </c>
      <c r="E4748" s="22">
        <f>(1+E4747)*IF(AND(Painel_diario!$H4744="ED_JU",Painel_diario!$J4744=1),EXP(Painel_diario!$L4744),1)-1</f>
        <v/>
      </c>
    </row>
    <row r="4749">
      <c r="A4749" s="25" t="n">
        <v>45821</v>
      </c>
      <c r="B4749" s="22">
        <f>(1+B4748)*IF(AND(Painel_diario!$H4745="EU_JD",Painel_diario!$J4745=1),EXP(Painel_diario!$L4745),1)-1</f>
        <v/>
      </c>
      <c r="C4749" s="22">
        <f>(1+C4748)*IF(AND(Painel_diario!$H4745="EU_JU",Painel_diario!$J4745=1),EXP(Painel_diario!$L4745),1)-1</f>
        <v/>
      </c>
      <c r="D4749" s="22">
        <f>(1+D4748)*IF(AND(Painel_diario!$H4745="ED_JD",Painel_diario!$J4745=1),EXP(Painel_diario!$L4745),1)-1</f>
        <v/>
      </c>
      <c r="E4749" s="22">
        <f>(1+E4748)*IF(AND(Painel_diario!$H4745="ED_JU",Painel_diario!$J4745=1),EXP(Painel_diario!$L4745),1)-1</f>
        <v/>
      </c>
    </row>
    <row r="4750">
      <c r="A4750" s="25" t="n">
        <v>45824</v>
      </c>
      <c r="B4750" s="22">
        <f>(1+B4749)*IF(AND(Painel_diario!$H4746="EU_JD",Painel_diario!$J4746=1),EXP(Painel_diario!$L4746),1)-1</f>
        <v/>
      </c>
      <c r="C4750" s="22">
        <f>(1+C4749)*IF(AND(Painel_diario!$H4746="EU_JU",Painel_diario!$J4746=1),EXP(Painel_diario!$L4746),1)-1</f>
        <v/>
      </c>
      <c r="D4750" s="22">
        <f>(1+D4749)*IF(AND(Painel_diario!$H4746="ED_JD",Painel_diario!$J4746=1),EXP(Painel_diario!$L4746),1)-1</f>
        <v/>
      </c>
      <c r="E4750" s="22">
        <f>(1+E4749)*IF(AND(Painel_diario!$H4746="ED_JU",Painel_diario!$J4746=1),EXP(Painel_diario!$L4746),1)-1</f>
        <v/>
      </c>
    </row>
    <row r="4751">
      <c r="A4751" s="25" t="n">
        <v>45825</v>
      </c>
      <c r="B4751" s="22">
        <f>(1+B4750)*IF(AND(Painel_diario!$H4747="EU_JD",Painel_diario!$J4747=1),EXP(Painel_diario!$L4747),1)-1</f>
        <v/>
      </c>
      <c r="C4751" s="22">
        <f>(1+C4750)*IF(AND(Painel_diario!$H4747="EU_JU",Painel_diario!$J4747=1),EXP(Painel_diario!$L4747),1)-1</f>
        <v/>
      </c>
      <c r="D4751" s="22">
        <f>(1+D4750)*IF(AND(Painel_diario!$H4747="ED_JD",Painel_diario!$J4747=1),EXP(Painel_diario!$L4747),1)-1</f>
        <v/>
      </c>
      <c r="E4751" s="22">
        <f>(1+E4750)*IF(AND(Painel_diario!$H4747="ED_JU",Painel_diario!$J4747=1),EXP(Painel_diario!$L4747),1)-1</f>
        <v/>
      </c>
    </row>
    <row r="4752">
      <c r="A4752" s="25" t="n">
        <v>45826</v>
      </c>
      <c r="B4752" s="22">
        <f>(1+B4751)*IF(AND(Painel_diario!$H4748="EU_JD",Painel_diario!$J4748=1),EXP(Painel_diario!$L4748),1)-1</f>
        <v/>
      </c>
      <c r="C4752" s="22">
        <f>(1+C4751)*IF(AND(Painel_diario!$H4748="EU_JU",Painel_diario!$J4748=1),EXP(Painel_diario!$L4748),1)-1</f>
        <v/>
      </c>
      <c r="D4752" s="22">
        <f>(1+D4751)*IF(AND(Painel_diario!$H4748="ED_JD",Painel_diario!$J4748=1),EXP(Painel_diario!$L4748),1)-1</f>
        <v/>
      </c>
      <c r="E4752" s="22">
        <f>(1+E4751)*IF(AND(Painel_diario!$H4748="ED_JU",Painel_diario!$J4748=1),EXP(Painel_diario!$L4748),1)-1</f>
        <v/>
      </c>
    </row>
    <row r="4753">
      <c r="A4753" s="25" t="n">
        <v>45828</v>
      </c>
      <c r="B4753" s="22">
        <f>(1+B4752)*IF(AND(Painel_diario!$H4749="EU_JD",Painel_diario!$J4749=1),EXP(Painel_diario!$L4749),1)-1</f>
        <v/>
      </c>
      <c r="C4753" s="22">
        <f>(1+C4752)*IF(AND(Painel_diario!$H4749="EU_JU",Painel_diario!$J4749=1),EXP(Painel_diario!$L4749),1)-1</f>
        <v/>
      </c>
      <c r="D4753" s="22">
        <f>(1+D4752)*IF(AND(Painel_diario!$H4749="ED_JD",Painel_diario!$J4749=1),EXP(Painel_diario!$L4749),1)-1</f>
        <v/>
      </c>
      <c r="E4753" s="22">
        <f>(1+E4752)*IF(AND(Painel_diario!$H4749="ED_JU",Painel_diario!$J4749=1),EXP(Painel_diario!$L4749),1)-1</f>
        <v/>
      </c>
    </row>
    <row r="4754">
      <c r="A4754" s="25" t="n">
        <v>45831</v>
      </c>
      <c r="B4754" s="22">
        <f>(1+B4753)*IF(AND(Painel_diario!$H4750="EU_JD",Painel_diario!$J4750=1),EXP(Painel_diario!$L4750),1)-1</f>
        <v/>
      </c>
      <c r="C4754" s="22">
        <f>(1+C4753)*IF(AND(Painel_diario!$H4750="EU_JU",Painel_diario!$J4750=1),EXP(Painel_diario!$L4750),1)-1</f>
        <v/>
      </c>
      <c r="D4754" s="22">
        <f>(1+D4753)*IF(AND(Painel_diario!$H4750="ED_JD",Painel_diario!$J4750=1),EXP(Painel_diario!$L4750),1)-1</f>
        <v/>
      </c>
      <c r="E4754" s="22">
        <f>(1+E4753)*IF(AND(Painel_diario!$H4750="ED_JU",Painel_diario!$J4750=1),EXP(Painel_diario!$L4750),1)-1</f>
        <v/>
      </c>
    </row>
    <row r="4755">
      <c r="A4755" s="25" t="n">
        <v>45832</v>
      </c>
      <c r="B4755" s="22">
        <f>(1+B4754)*IF(AND(Painel_diario!$H4751="EU_JD",Painel_diario!$J4751=1),EXP(Painel_diario!$L4751),1)-1</f>
        <v/>
      </c>
      <c r="C4755" s="22">
        <f>(1+C4754)*IF(AND(Painel_diario!$H4751="EU_JU",Painel_diario!$J4751=1),EXP(Painel_diario!$L4751),1)-1</f>
        <v/>
      </c>
      <c r="D4755" s="22">
        <f>(1+D4754)*IF(AND(Painel_diario!$H4751="ED_JD",Painel_diario!$J4751=1),EXP(Painel_diario!$L4751),1)-1</f>
        <v/>
      </c>
      <c r="E4755" s="22">
        <f>(1+E4754)*IF(AND(Painel_diario!$H4751="ED_JU",Painel_diario!$J4751=1),EXP(Painel_diario!$L4751),1)-1</f>
        <v/>
      </c>
    </row>
    <row r="4756">
      <c r="A4756" s="25" t="n">
        <v>45833</v>
      </c>
      <c r="B4756" s="22">
        <f>(1+B4755)*IF(AND(Painel_diario!$H4752="EU_JD",Painel_diario!$J4752=1),EXP(Painel_diario!$L4752),1)-1</f>
        <v/>
      </c>
      <c r="C4756" s="22">
        <f>(1+C4755)*IF(AND(Painel_diario!$H4752="EU_JU",Painel_diario!$J4752=1),EXP(Painel_diario!$L4752),1)-1</f>
        <v/>
      </c>
      <c r="D4756" s="22">
        <f>(1+D4755)*IF(AND(Painel_diario!$H4752="ED_JD",Painel_diario!$J4752=1),EXP(Painel_diario!$L4752),1)-1</f>
        <v/>
      </c>
      <c r="E4756" s="22">
        <f>(1+E4755)*IF(AND(Painel_diario!$H4752="ED_JU",Painel_diario!$J4752=1),EXP(Painel_diario!$L4752),1)-1</f>
        <v/>
      </c>
    </row>
    <row r="4757">
      <c r="A4757" s="25" t="n">
        <v>45834</v>
      </c>
      <c r="B4757" s="22">
        <f>(1+B4756)*IF(AND(Painel_diario!$H4753="EU_JD",Painel_diario!$J4753=1),EXP(Painel_diario!$L4753),1)-1</f>
        <v/>
      </c>
      <c r="C4757" s="22">
        <f>(1+C4756)*IF(AND(Painel_diario!$H4753="EU_JU",Painel_diario!$J4753=1),EXP(Painel_diario!$L4753),1)-1</f>
        <v/>
      </c>
      <c r="D4757" s="22">
        <f>(1+D4756)*IF(AND(Painel_diario!$H4753="ED_JD",Painel_diario!$J4753=1),EXP(Painel_diario!$L4753),1)-1</f>
        <v/>
      </c>
      <c r="E4757" s="22">
        <f>(1+E4756)*IF(AND(Painel_diario!$H4753="ED_JU",Painel_diario!$J4753=1),EXP(Painel_diario!$L4753),1)-1</f>
        <v/>
      </c>
    </row>
    <row r="4758">
      <c r="A4758" s="25" t="n">
        <v>45835</v>
      </c>
      <c r="B4758" s="22">
        <f>(1+B4757)*IF(AND(Painel_diario!$H4754="EU_JD",Painel_diario!$J4754=1),EXP(Painel_diario!$L4754),1)-1</f>
        <v/>
      </c>
      <c r="C4758" s="22">
        <f>(1+C4757)*IF(AND(Painel_diario!$H4754="EU_JU",Painel_diario!$J4754=1),EXP(Painel_diario!$L4754),1)-1</f>
        <v/>
      </c>
      <c r="D4758" s="22">
        <f>(1+D4757)*IF(AND(Painel_diario!$H4754="ED_JD",Painel_diario!$J4754=1),EXP(Painel_diario!$L4754),1)-1</f>
        <v/>
      </c>
      <c r="E4758" s="22">
        <f>(1+E4757)*IF(AND(Painel_diario!$H4754="ED_JU",Painel_diario!$J4754=1),EXP(Painel_diario!$L4754),1)-1</f>
        <v/>
      </c>
    </row>
    <row r="4759">
      <c r="A4759" s="25" t="n">
        <v>45838</v>
      </c>
      <c r="B4759" s="22">
        <f>(1+B4758)*IF(AND(Painel_diario!$H4755="EU_JD",Painel_diario!$J4755=1),EXP(Painel_diario!$L4755),1)-1</f>
        <v/>
      </c>
      <c r="C4759" s="22">
        <f>(1+C4758)*IF(AND(Painel_diario!$H4755="EU_JU",Painel_diario!$J4755=1),EXP(Painel_diario!$L4755),1)-1</f>
        <v/>
      </c>
      <c r="D4759" s="22">
        <f>(1+D4758)*IF(AND(Painel_diario!$H4755="ED_JD",Painel_diario!$J4755=1),EXP(Painel_diario!$L4755),1)-1</f>
        <v/>
      </c>
      <c r="E4759" s="22">
        <f>(1+E4758)*IF(AND(Painel_diario!$H4755="ED_JU",Painel_diario!$J4755=1),EXP(Painel_diario!$L4755),1)-1</f>
        <v/>
      </c>
    </row>
    <row r="4760">
      <c r="A4760" s="25" t="n">
        <v>45839</v>
      </c>
      <c r="B4760" s="22">
        <f>(1+B4759)*IF(AND(Painel_diario!$H4756="EU_JD",Painel_diario!$J4756=1),EXP(Painel_diario!$L4756),1)-1</f>
        <v/>
      </c>
      <c r="C4760" s="22">
        <f>(1+C4759)*IF(AND(Painel_diario!$H4756="EU_JU",Painel_diario!$J4756=1),EXP(Painel_diario!$L4756),1)-1</f>
        <v/>
      </c>
      <c r="D4760" s="22">
        <f>(1+D4759)*IF(AND(Painel_diario!$H4756="ED_JD",Painel_diario!$J4756=1),EXP(Painel_diario!$L4756),1)-1</f>
        <v/>
      </c>
      <c r="E4760" s="22">
        <f>(1+E4759)*IF(AND(Painel_diario!$H4756="ED_JU",Painel_diario!$J4756=1),EXP(Painel_diario!$L4756),1)-1</f>
        <v/>
      </c>
    </row>
    <row r="4761">
      <c r="A4761" s="25" t="n">
        <v>45840</v>
      </c>
      <c r="B4761" s="22">
        <f>(1+B4760)*IF(AND(Painel_diario!$H4757="EU_JD",Painel_diario!$J4757=1),EXP(Painel_diario!$L4757),1)-1</f>
        <v/>
      </c>
      <c r="C4761" s="22">
        <f>(1+C4760)*IF(AND(Painel_diario!$H4757="EU_JU",Painel_diario!$J4757=1),EXP(Painel_diario!$L4757),1)-1</f>
        <v/>
      </c>
      <c r="D4761" s="22">
        <f>(1+D4760)*IF(AND(Painel_diario!$H4757="ED_JD",Painel_diario!$J4757=1),EXP(Painel_diario!$L4757),1)-1</f>
        <v/>
      </c>
      <c r="E4761" s="22">
        <f>(1+E4760)*IF(AND(Painel_diario!$H4757="ED_JU",Painel_diario!$J4757=1),EXP(Painel_diario!$L4757),1)-1</f>
        <v/>
      </c>
    </row>
    <row r="4762">
      <c r="A4762" s="25" t="n">
        <v>45841</v>
      </c>
      <c r="B4762" s="22">
        <f>(1+B4761)*IF(AND(Painel_diario!$H4758="EU_JD",Painel_diario!$J4758=1),EXP(Painel_diario!$L4758),1)-1</f>
        <v/>
      </c>
      <c r="C4762" s="22">
        <f>(1+C4761)*IF(AND(Painel_diario!$H4758="EU_JU",Painel_diario!$J4758=1),EXP(Painel_diario!$L4758),1)-1</f>
        <v/>
      </c>
      <c r="D4762" s="22">
        <f>(1+D4761)*IF(AND(Painel_diario!$H4758="ED_JD",Painel_diario!$J4758=1),EXP(Painel_diario!$L4758),1)-1</f>
        <v/>
      </c>
      <c r="E4762" s="22">
        <f>(1+E4761)*IF(AND(Painel_diario!$H4758="ED_JU",Painel_diario!$J4758=1),EXP(Painel_diario!$L4758),1)-1</f>
        <v/>
      </c>
    </row>
    <row r="4763">
      <c r="A4763" s="25" t="n">
        <v>45842</v>
      </c>
      <c r="B4763" s="22">
        <f>(1+B4762)*IF(AND(Painel_diario!$H4759="EU_JD",Painel_diario!$J4759=1),EXP(Painel_diario!$L4759),1)-1</f>
        <v/>
      </c>
      <c r="C4763" s="22">
        <f>(1+C4762)*IF(AND(Painel_diario!$H4759="EU_JU",Painel_diario!$J4759=1),EXP(Painel_diario!$L4759),1)-1</f>
        <v/>
      </c>
      <c r="D4763" s="22">
        <f>(1+D4762)*IF(AND(Painel_diario!$H4759="ED_JD",Painel_diario!$J4759=1),EXP(Painel_diario!$L4759),1)-1</f>
        <v/>
      </c>
      <c r="E4763" s="22">
        <f>(1+E4762)*IF(AND(Painel_diario!$H4759="ED_JU",Painel_diario!$J4759=1),EXP(Painel_diario!$L4759),1)-1</f>
        <v/>
      </c>
    </row>
    <row r="4764">
      <c r="A4764" s="25" t="n">
        <v>45845</v>
      </c>
      <c r="B4764" s="22">
        <f>(1+B4763)*IF(AND(Painel_diario!$H4760="EU_JD",Painel_diario!$J4760=1),EXP(Painel_diario!$L4760),1)-1</f>
        <v/>
      </c>
      <c r="C4764" s="22">
        <f>(1+C4763)*IF(AND(Painel_diario!$H4760="EU_JU",Painel_diario!$J4760=1),EXP(Painel_diario!$L4760),1)-1</f>
        <v/>
      </c>
      <c r="D4764" s="22">
        <f>(1+D4763)*IF(AND(Painel_diario!$H4760="ED_JD",Painel_diario!$J4760=1),EXP(Painel_diario!$L4760),1)-1</f>
        <v/>
      </c>
      <c r="E4764" s="22">
        <f>(1+E4763)*IF(AND(Painel_diario!$H4760="ED_JU",Painel_diario!$J4760=1),EXP(Painel_diario!$L4760),1)-1</f>
        <v/>
      </c>
    </row>
    <row r="4765">
      <c r="A4765" s="25" t="n">
        <v>45846</v>
      </c>
      <c r="B4765" s="22">
        <f>(1+B4764)*IF(AND(Painel_diario!$H4761="EU_JD",Painel_diario!$J4761=1),EXP(Painel_diario!$L4761),1)-1</f>
        <v/>
      </c>
      <c r="C4765" s="22">
        <f>(1+C4764)*IF(AND(Painel_diario!$H4761="EU_JU",Painel_diario!$J4761=1),EXP(Painel_diario!$L4761),1)-1</f>
        <v/>
      </c>
      <c r="D4765" s="22">
        <f>(1+D4764)*IF(AND(Painel_diario!$H4761="ED_JD",Painel_diario!$J4761=1),EXP(Painel_diario!$L4761),1)-1</f>
        <v/>
      </c>
      <c r="E4765" s="22">
        <f>(1+E4764)*IF(AND(Painel_diario!$H4761="ED_JU",Painel_diario!$J4761=1),EXP(Painel_diario!$L4761),1)-1</f>
        <v/>
      </c>
    </row>
    <row r="4766">
      <c r="A4766" s="25" t="n">
        <v>45847</v>
      </c>
      <c r="B4766" s="22">
        <f>(1+B4765)*IF(AND(Painel_diario!$H4762="EU_JD",Painel_diario!$J4762=1),EXP(Painel_diario!$L4762),1)-1</f>
        <v/>
      </c>
      <c r="C4766" s="22">
        <f>(1+C4765)*IF(AND(Painel_diario!$H4762="EU_JU",Painel_diario!$J4762=1),EXP(Painel_diario!$L4762),1)-1</f>
        <v/>
      </c>
      <c r="D4766" s="22">
        <f>(1+D4765)*IF(AND(Painel_diario!$H4762="ED_JD",Painel_diario!$J4762=1),EXP(Painel_diario!$L4762),1)-1</f>
        <v/>
      </c>
      <c r="E4766" s="22">
        <f>(1+E4765)*IF(AND(Painel_diario!$H4762="ED_JU",Painel_diario!$J4762=1),EXP(Painel_diario!$L4762),1)-1</f>
        <v/>
      </c>
    </row>
    <row r="4767">
      <c r="A4767" s="25" t="n">
        <v>45848</v>
      </c>
      <c r="B4767" s="22">
        <f>(1+B4766)*IF(AND(Painel_diario!$H4763="EU_JD",Painel_diario!$J4763=1),EXP(Painel_diario!$L4763),1)-1</f>
        <v/>
      </c>
      <c r="C4767" s="22">
        <f>(1+C4766)*IF(AND(Painel_diario!$H4763="EU_JU",Painel_diario!$J4763=1),EXP(Painel_diario!$L4763),1)-1</f>
        <v/>
      </c>
      <c r="D4767" s="22">
        <f>(1+D4766)*IF(AND(Painel_diario!$H4763="ED_JD",Painel_diario!$J4763=1),EXP(Painel_diario!$L4763),1)-1</f>
        <v/>
      </c>
      <c r="E4767" s="22">
        <f>(1+E4766)*IF(AND(Painel_diario!$H4763="ED_JU",Painel_diario!$J4763=1),EXP(Painel_diario!$L4763),1)-1</f>
        <v/>
      </c>
    </row>
    <row r="4768">
      <c r="A4768" s="25" t="n">
        <v>45849</v>
      </c>
      <c r="B4768" s="22">
        <f>(1+B4767)*IF(AND(Painel_diario!$H4764="EU_JD",Painel_diario!$J4764=1),EXP(Painel_diario!$L4764),1)-1</f>
        <v/>
      </c>
      <c r="C4768" s="22">
        <f>(1+C4767)*IF(AND(Painel_diario!$H4764="EU_JU",Painel_diario!$J4764=1),EXP(Painel_diario!$L4764),1)-1</f>
        <v/>
      </c>
      <c r="D4768" s="22">
        <f>(1+D4767)*IF(AND(Painel_diario!$H4764="ED_JD",Painel_diario!$J4764=1),EXP(Painel_diario!$L4764),1)-1</f>
        <v/>
      </c>
      <c r="E4768" s="22">
        <f>(1+E4767)*IF(AND(Painel_diario!$H4764="ED_JU",Painel_diario!$J4764=1),EXP(Painel_diario!$L4764),1)-1</f>
        <v/>
      </c>
    </row>
    <row r="4769">
      <c r="A4769" s="25" t="n">
        <v>45852</v>
      </c>
      <c r="B4769" s="22">
        <f>(1+B4768)*IF(AND(Painel_diario!$H4765="EU_JD",Painel_diario!$J4765=1),EXP(Painel_diario!$L4765),1)-1</f>
        <v/>
      </c>
      <c r="C4769" s="22">
        <f>(1+C4768)*IF(AND(Painel_diario!$H4765="EU_JU",Painel_diario!$J4765=1),EXP(Painel_diario!$L4765),1)-1</f>
        <v/>
      </c>
      <c r="D4769" s="22">
        <f>(1+D4768)*IF(AND(Painel_diario!$H4765="ED_JD",Painel_diario!$J4765=1),EXP(Painel_diario!$L4765),1)-1</f>
        <v/>
      </c>
      <c r="E4769" s="22">
        <f>(1+E4768)*IF(AND(Painel_diario!$H4765="ED_JU",Painel_diario!$J4765=1),EXP(Painel_diario!$L4765),1)-1</f>
        <v/>
      </c>
    </row>
    <row r="4770">
      <c r="A4770" s="25" t="n">
        <v>45853</v>
      </c>
      <c r="B4770" s="22">
        <f>(1+B4769)*IF(AND(Painel_diario!$H4766="EU_JD",Painel_diario!$J4766=1),EXP(Painel_diario!$L4766),1)-1</f>
        <v/>
      </c>
      <c r="C4770" s="22">
        <f>(1+C4769)*IF(AND(Painel_diario!$H4766="EU_JU",Painel_diario!$J4766=1),EXP(Painel_diario!$L4766),1)-1</f>
        <v/>
      </c>
      <c r="D4770" s="22">
        <f>(1+D4769)*IF(AND(Painel_diario!$H4766="ED_JD",Painel_diario!$J4766=1),EXP(Painel_diario!$L4766),1)-1</f>
        <v/>
      </c>
      <c r="E4770" s="22">
        <f>(1+E4769)*IF(AND(Painel_diario!$H4766="ED_JU",Painel_diario!$J4766=1),EXP(Painel_diario!$L4766),1)-1</f>
        <v/>
      </c>
    </row>
    <row r="4771">
      <c r="A4771" s="25" t="n">
        <v>45854</v>
      </c>
      <c r="B4771" s="22">
        <f>(1+B4770)*IF(AND(Painel_diario!$H4767="EU_JD",Painel_diario!$J4767=1),EXP(Painel_diario!$L4767),1)-1</f>
        <v/>
      </c>
      <c r="C4771" s="22">
        <f>(1+C4770)*IF(AND(Painel_diario!$H4767="EU_JU",Painel_diario!$J4767=1),EXP(Painel_diario!$L4767),1)-1</f>
        <v/>
      </c>
      <c r="D4771" s="22">
        <f>(1+D4770)*IF(AND(Painel_diario!$H4767="ED_JD",Painel_diario!$J4767=1),EXP(Painel_diario!$L4767),1)-1</f>
        <v/>
      </c>
      <c r="E4771" s="22">
        <f>(1+E4770)*IF(AND(Painel_diario!$H4767="ED_JU",Painel_diario!$J4767=1),EXP(Painel_diario!$L4767),1)-1</f>
        <v/>
      </c>
    </row>
    <row r="4772">
      <c r="A4772" s="25" t="n">
        <v>45855</v>
      </c>
      <c r="B4772" s="22">
        <f>(1+B4771)*IF(AND(Painel_diario!$H4768="EU_JD",Painel_diario!$J4768=1),EXP(Painel_diario!$L4768),1)-1</f>
        <v/>
      </c>
      <c r="C4772" s="22">
        <f>(1+C4771)*IF(AND(Painel_diario!$H4768="EU_JU",Painel_diario!$J4768=1),EXP(Painel_diario!$L4768),1)-1</f>
        <v/>
      </c>
      <c r="D4772" s="22">
        <f>(1+D4771)*IF(AND(Painel_diario!$H4768="ED_JD",Painel_diario!$J4768=1),EXP(Painel_diario!$L4768),1)-1</f>
        <v/>
      </c>
      <c r="E4772" s="22">
        <f>(1+E4771)*IF(AND(Painel_diario!$H4768="ED_JU",Painel_diario!$J4768=1),EXP(Painel_diario!$L4768),1)-1</f>
        <v/>
      </c>
    </row>
    <row r="4773">
      <c r="A4773" s="25" t="n">
        <v>45856</v>
      </c>
      <c r="B4773" s="22">
        <f>(1+B4772)*IF(AND(Painel_diario!$H4769="EU_JD",Painel_diario!$J4769=1),EXP(Painel_diario!$L4769),1)-1</f>
        <v/>
      </c>
      <c r="C4773" s="22">
        <f>(1+C4772)*IF(AND(Painel_diario!$H4769="EU_JU",Painel_diario!$J4769=1),EXP(Painel_diario!$L4769),1)-1</f>
        <v/>
      </c>
      <c r="D4773" s="22">
        <f>(1+D4772)*IF(AND(Painel_diario!$H4769="ED_JD",Painel_diario!$J4769=1),EXP(Painel_diario!$L4769),1)-1</f>
        <v/>
      </c>
      <c r="E4773" s="22">
        <f>(1+E4772)*IF(AND(Painel_diario!$H4769="ED_JU",Painel_diario!$J4769=1),EXP(Painel_diario!$L4769),1)-1</f>
        <v/>
      </c>
    </row>
    <row r="4774">
      <c r="A4774" s="25" t="n">
        <v>45859</v>
      </c>
      <c r="B4774" s="22">
        <f>(1+B4773)*IF(AND(Painel_diario!$H4770="EU_JD",Painel_diario!$J4770=1),EXP(Painel_diario!$L4770),1)-1</f>
        <v/>
      </c>
      <c r="C4774" s="22">
        <f>(1+C4773)*IF(AND(Painel_diario!$H4770="EU_JU",Painel_diario!$J4770=1),EXP(Painel_diario!$L4770),1)-1</f>
        <v/>
      </c>
      <c r="D4774" s="22">
        <f>(1+D4773)*IF(AND(Painel_diario!$H4770="ED_JD",Painel_diario!$J4770=1),EXP(Painel_diario!$L4770),1)-1</f>
        <v/>
      </c>
      <c r="E4774" s="22">
        <f>(1+E4773)*IF(AND(Painel_diario!$H4770="ED_JU",Painel_diario!$J4770=1),EXP(Painel_diario!$L4770),1)-1</f>
        <v/>
      </c>
    </row>
    <row r="4775">
      <c r="A4775" s="25" t="n">
        <v>45860</v>
      </c>
      <c r="B4775" s="22">
        <f>(1+B4774)*IF(AND(Painel_diario!$H4771="EU_JD",Painel_diario!$J4771=1),EXP(Painel_diario!$L4771),1)-1</f>
        <v/>
      </c>
      <c r="C4775" s="22">
        <f>(1+C4774)*IF(AND(Painel_diario!$H4771="EU_JU",Painel_diario!$J4771=1),EXP(Painel_diario!$L4771),1)-1</f>
        <v/>
      </c>
      <c r="D4775" s="22">
        <f>(1+D4774)*IF(AND(Painel_diario!$H4771="ED_JD",Painel_diario!$J4771=1),EXP(Painel_diario!$L4771),1)-1</f>
        <v/>
      </c>
      <c r="E4775" s="22">
        <f>(1+E4774)*IF(AND(Painel_diario!$H4771="ED_JU",Painel_diario!$J4771=1),EXP(Painel_diario!$L4771),1)-1</f>
        <v/>
      </c>
    </row>
    <row r="4776">
      <c r="A4776" s="25" t="n">
        <v>45861</v>
      </c>
      <c r="B4776" s="22">
        <f>(1+B4775)*IF(AND(Painel_diario!$H4772="EU_JD",Painel_diario!$J4772=1),EXP(Painel_diario!$L4772),1)-1</f>
        <v/>
      </c>
      <c r="C4776" s="22">
        <f>(1+C4775)*IF(AND(Painel_diario!$H4772="EU_JU",Painel_diario!$J4772=1),EXP(Painel_diario!$L4772),1)-1</f>
        <v/>
      </c>
      <c r="D4776" s="22">
        <f>(1+D4775)*IF(AND(Painel_diario!$H4772="ED_JD",Painel_diario!$J4772=1),EXP(Painel_diario!$L4772),1)-1</f>
        <v/>
      </c>
      <c r="E4776" s="22">
        <f>(1+E4775)*IF(AND(Painel_diario!$H4772="ED_JU",Painel_diario!$J4772=1),EXP(Painel_diario!$L4772),1)-1</f>
        <v/>
      </c>
    </row>
    <row r="4777">
      <c r="A4777" s="25" t="n">
        <v>45862</v>
      </c>
      <c r="B4777" s="22">
        <f>(1+B4776)*IF(AND(Painel_diario!$H4773="EU_JD",Painel_diario!$J4773=1),EXP(Painel_diario!$L4773),1)-1</f>
        <v/>
      </c>
      <c r="C4777" s="22">
        <f>(1+C4776)*IF(AND(Painel_diario!$H4773="EU_JU",Painel_diario!$J4773=1),EXP(Painel_diario!$L4773),1)-1</f>
        <v/>
      </c>
      <c r="D4777" s="22">
        <f>(1+D4776)*IF(AND(Painel_diario!$H4773="ED_JD",Painel_diario!$J4773=1),EXP(Painel_diario!$L4773),1)-1</f>
        <v/>
      </c>
      <c r="E4777" s="22">
        <f>(1+E4776)*IF(AND(Painel_diario!$H4773="ED_JU",Painel_diario!$J4773=1),EXP(Painel_diario!$L4773),1)-1</f>
        <v/>
      </c>
    </row>
    <row r="4778">
      <c r="A4778" s="25" t="n">
        <v>45863</v>
      </c>
      <c r="B4778" s="22">
        <f>(1+B4777)*IF(AND(Painel_diario!$H4774="EU_JD",Painel_diario!$J4774=1),EXP(Painel_diario!$L4774),1)-1</f>
        <v/>
      </c>
      <c r="C4778" s="22">
        <f>(1+C4777)*IF(AND(Painel_diario!$H4774="EU_JU",Painel_diario!$J4774=1),EXP(Painel_diario!$L4774),1)-1</f>
        <v/>
      </c>
      <c r="D4778" s="22">
        <f>(1+D4777)*IF(AND(Painel_diario!$H4774="ED_JD",Painel_diario!$J4774=1),EXP(Painel_diario!$L4774),1)-1</f>
        <v/>
      </c>
      <c r="E4778" s="22">
        <f>(1+E4777)*IF(AND(Painel_diario!$H4774="ED_JU",Painel_diario!$J4774=1),EXP(Painel_diario!$L4774),1)-1</f>
        <v/>
      </c>
    </row>
    <row r="4779">
      <c r="A4779" s="25" t="n">
        <v>45866</v>
      </c>
      <c r="B4779" s="22">
        <f>(1+B4778)*IF(AND(Painel_diario!$H4775="EU_JD",Painel_diario!$J4775=1),EXP(Painel_diario!$L4775),1)-1</f>
        <v/>
      </c>
      <c r="C4779" s="22">
        <f>(1+C4778)*IF(AND(Painel_diario!$H4775="EU_JU",Painel_diario!$J4775=1),EXP(Painel_diario!$L4775),1)-1</f>
        <v/>
      </c>
      <c r="D4779" s="22">
        <f>(1+D4778)*IF(AND(Painel_diario!$H4775="ED_JD",Painel_diario!$J4775=1),EXP(Painel_diario!$L4775),1)-1</f>
        <v/>
      </c>
      <c r="E4779" s="22">
        <f>(1+E4778)*IF(AND(Painel_diario!$H4775="ED_JU",Painel_diario!$J4775=1),EXP(Painel_diario!$L4775),1)-1</f>
        <v/>
      </c>
    </row>
    <row r="4780">
      <c r="A4780" s="25" t="n">
        <v>45867</v>
      </c>
      <c r="B4780" s="22">
        <f>(1+B4779)*IF(AND(Painel_diario!$H4776="EU_JD",Painel_diario!$J4776=1),EXP(Painel_diario!$L4776),1)-1</f>
        <v/>
      </c>
      <c r="C4780" s="22">
        <f>(1+C4779)*IF(AND(Painel_diario!$H4776="EU_JU",Painel_diario!$J4776=1),EXP(Painel_diario!$L4776),1)-1</f>
        <v/>
      </c>
      <c r="D4780" s="22">
        <f>(1+D4779)*IF(AND(Painel_diario!$H4776="ED_JD",Painel_diario!$J4776=1),EXP(Painel_diario!$L4776),1)-1</f>
        <v/>
      </c>
      <c r="E4780" s="22">
        <f>(1+E4779)*IF(AND(Painel_diario!$H4776="ED_JU",Painel_diario!$J4776=1),EXP(Painel_diario!$L4776),1)-1</f>
        <v/>
      </c>
    </row>
    <row r="4781">
      <c r="A4781" s="25" t="n">
        <v>45868</v>
      </c>
      <c r="B4781" s="22">
        <f>(1+B4780)*IF(AND(Painel_diario!$H4777="EU_JD",Painel_diario!$J4777=1),EXP(Painel_diario!$L4777),1)-1</f>
        <v/>
      </c>
      <c r="C4781" s="22">
        <f>(1+C4780)*IF(AND(Painel_diario!$H4777="EU_JU",Painel_diario!$J4777=1),EXP(Painel_diario!$L4777),1)-1</f>
        <v/>
      </c>
      <c r="D4781" s="22">
        <f>(1+D4780)*IF(AND(Painel_diario!$H4777="ED_JD",Painel_diario!$J4777=1),EXP(Painel_diario!$L4777),1)-1</f>
        <v/>
      </c>
      <c r="E4781" s="22">
        <f>(1+E4780)*IF(AND(Painel_diario!$H4777="ED_JU",Painel_diario!$J4777=1),EXP(Painel_diario!$L4777),1)-1</f>
        <v/>
      </c>
    </row>
    <row r="4782">
      <c r="A4782" s="25" t="n">
        <v>45869</v>
      </c>
      <c r="B4782" s="22">
        <f>(1+B4781)*IF(AND(Painel_diario!$H4778="EU_JD",Painel_diario!$J4778=1),EXP(Painel_diario!$L4778),1)-1</f>
        <v/>
      </c>
      <c r="C4782" s="22">
        <f>(1+C4781)*IF(AND(Painel_diario!$H4778="EU_JU",Painel_diario!$J4778=1),EXP(Painel_diario!$L4778),1)-1</f>
        <v/>
      </c>
      <c r="D4782" s="22">
        <f>(1+D4781)*IF(AND(Painel_diario!$H4778="ED_JD",Painel_diario!$J4778=1),EXP(Painel_diario!$L4778),1)-1</f>
        <v/>
      </c>
      <c r="E4782" s="22">
        <f>(1+E4781)*IF(AND(Painel_diario!$H4778="ED_JU",Painel_diario!$J4778=1),EXP(Painel_diario!$L4778),1)-1</f>
        <v/>
      </c>
    </row>
    <row r="4783">
      <c r="A4783" s="25" t="n">
        <v>45870</v>
      </c>
      <c r="B4783" s="22">
        <f>(1+B4782)*IF(AND(Painel_diario!$H4779="EU_JD",Painel_diario!$J4779=1),EXP(Painel_diario!$L4779),1)-1</f>
        <v/>
      </c>
      <c r="C4783" s="22">
        <f>(1+C4782)*IF(AND(Painel_diario!$H4779="EU_JU",Painel_diario!$J4779=1),EXP(Painel_diario!$L4779),1)-1</f>
        <v/>
      </c>
      <c r="D4783" s="22">
        <f>(1+D4782)*IF(AND(Painel_diario!$H4779="ED_JD",Painel_diario!$J4779=1),EXP(Painel_diario!$L4779),1)-1</f>
        <v/>
      </c>
      <c r="E4783" s="22">
        <f>(1+E4782)*IF(AND(Painel_diario!$H4779="ED_JU",Painel_diario!$J4779=1),EXP(Painel_diario!$L4779),1)-1</f>
        <v/>
      </c>
    </row>
    <row r="4784">
      <c r="A4784" s="25" t="n">
        <v>45873</v>
      </c>
      <c r="B4784" s="22">
        <f>(1+B4783)*IF(AND(Painel_diario!$H4780="EU_JD",Painel_diario!$J4780=1),EXP(Painel_diario!$L4780),1)-1</f>
        <v/>
      </c>
      <c r="C4784" s="22">
        <f>(1+C4783)*IF(AND(Painel_diario!$H4780="EU_JU",Painel_diario!$J4780=1),EXP(Painel_diario!$L4780),1)-1</f>
        <v/>
      </c>
      <c r="D4784" s="22">
        <f>(1+D4783)*IF(AND(Painel_diario!$H4780="ED_JD",Painel_diario!$J4780=1),EXP(Painel_diario!$L4780),1)-1</f>
        <v/>
      </c>
      <c r="E4784" s="22">
        <f>(1+E4783)*IF(AND(Painel_diario!$H4780="ED_JU",Painel_diario!$J4780=1),EXP(Painel_diario!$L4780),1)-1</f>
        <v/>
      </c>
    </row>
    <row r="4785">
      <c r="A4785" s="25" t="n">
        <v>45874</v>
      </c>
      <c r="B4785" s="22">
        <f>(1+B4784)*IF(AND(Painel_diario!$H4781="EU_JD",Painel_diario!$J4781=1),EXP(Painel_diario!$L4781),1)-1</f>
        <v/>
      </c>
      <c r="C4785" s="22">
        <f>(1+C4784)*IF(AND(Painel_diario!$H4781="EU_JU",Painel_diario!$J4781=1),EXP(Painel_diario!$L4781),1)-1</f>
        <v/>
      </c>
      <c r="D4785" s="22">
        <f>(1+D4784)*IF(AND(Painel_diario!$H4781="ED_JD",Painel_diario!$J4781=1),EXP(Painel_diario!$L4781),1)-1</f>
        <v/>
      </c>
      <c r="E4785" s="22">
        <f>(1+E4784)*IF(AND(Painel_diario!$H4781="ED_JU",Painel_diario!$J4781=1),EXP(Painel_diario!$L4781),1)-1</f>
        <v/>
      </c>
    </row>
    <row r="4786">
      <c r="A4786" s="25" t="n">
        <v>45875</v>
      </c>
      <c r="B4786" s="22">
        <f>(1+B4785)*IF(AND(Painel_diario!$H4782="EU_JD",Painel_diario!$J4782=1),EXP(Painel_diario!$L4782),1)-1</f>
        <v/>
      </c>
      <c r="C4786" s="22">
        <f>(1+C4785)*IF(AND(Painel_diario!$H4782="EU_JU",Painel_diario!$J4782=1),EXP(Painel_diario!$L4782),1)-1</f>
        <v/>
      </c>
      <c r="D4786" s="22">
        <f>(1+D4785)*IF(AND(Painel_diario!$H4782="ED_JD",Painel_diario!$J4782=1),EXP(Painel_diario!$L4782),1)-1</f>
        <v/>
      </c>
      <c r="E4786" s="22">
        <f>(1+E4785)*IF(AND(Painel_diario!$H4782="ED_JU",Painel_diario!$J4782=1),EXP(Painel_diario!$L4782),1)-1</f>
        <v/>
      </c>
    </row>
    <row r="4787">
      <c r="A4787" s="25" t="n">
        <v>45876</v>
      </c>
      <c r="B4787" s="22">
        <f>(1+B4786)*IF(AND(Painel_diario!$H4783="EU_JD",Painel_diario!$J4783=1),EXP(Painel_diario!$L4783),1)-1</f>
        <v/>
      </c>
      <c r="C4787" s="22">
        <f>(1+C4786)*IF(AND(Painel_diario!$H4783="EU_JU",Painel_diario!$J4783=1),EXP(Painel_diario!$L4783),1)-1</f>
        <v/>
      </c>
      <c r="D4787" s="22">
        <f>(1+D4786)*IF(AND(Painel_diario!$H4783="ED_JD",Painel_diario!$J4783=1),EXP(Painel_diario!$L4783),1)-1</f>
        <v/>
      </c>
      <c r="E4787" s="22">
        <f>(1+E4786)*IF(AND(Painel_diario!$H4783="ED_JU",Painel_diario!$J4783=1),EXP(Painel_diario!$L4783),1)-1</f>
        <v/>
      </c>
    </row>
    <row r="4788">
      <c r="A4788" s="25" t="n">
        <v>45877</v>
      </c>
      <c r="B4788" s="22">
        <f>(1+B4787)*IF(AND(Painel_diario!$H4784="EU_JD",Painel_diario!$J4784=1),EXP(Painel_diario!$L4784),1)-1</f>
        <v/>
      </c>
      <c r="C4788" s="22">
        <f>(1+C4787)*IF(AND(Painel_diario!$H4784="EU_JU",Painel_diario!$J4784=1),EXP(Painel_diario!$L4784),1)-1</f>
        <v/>
      </c>
      <c r="D4788" s="22">
        <f>(1+D4787)*IF(AND(Painel_diario!$H4784="ED_JD",Painel_diario!$J4784=1),EXP(Painel_diario!$L4784),1)-1</f>
        <v/>
      </c>
      <c r="E4788" s="22">
        <f>(1+E4787)*IF(AND(Painel_diario!$H4784="ED_JU",Painel_diario!$J4784=1),EXP(Painel_diario!$L4784),1)-1</f>
        <v/>
      </c>
    </row>
    <row r="4789">
      <c r="A4789" s="25" t="n">
        <v>45880</v>
      </c>
      <c r="B4789" s="22">
        <f>(1+B4788)*IF(AND(Painel_diario!$H4785="EU_JD",Painel_diario!$J4785=1),EXP(Painel_diario!$L4785),1)-1</f>
        <v/>
      </c>
      <c r="C4789" s="22">
        <f>(1+C4788)*IF(AND(Painel_diario!$H4785="EU_JU",Painel_diario!$J4785=1),EXP(Painel_diario!$L4785),1)-1</f>
        <v/>
      </c>
      <c r="D4789" s="22">
        <f>(1+D4788)*IF(AND(Painel_diario!$H4785="ED_JD",Painel_diario!$J4785=1),EXP(Painel_diario!$L4785),1)-1</f>
        <v/>
      </c>
      <c r="E4789" s="22">
        <f>(1+E4788)*IF(AND(Painel_diario!$H4785="ED_JU",Painel_diario!$J4785=1),EXP(Painel_diario!$L4785),1)-1</f>
        <v/>
      </c>
    </row>
    <row r="4790">
      <c r="A4790" s="25" t="n">
        <v>45881</v>
      </c>
      <c r="B4790" s="22">
        <f>(1+B4789)*IF(AND(Painel_diario!$H4786="EU_JD",Painel_diario!$J4786=1),EXP(Painel_diario!$L4786),1)-1</f>
        <v/>
      </c>
      <c r="C4790" s="22">
        <f>(1+C4789)*IF(AND(Painel_diario!$H4786="EU_JU",Painel_diario!$J4786=1),EXP(Painel_diario!$L4786),1)-1</f>
        <v/>
      </c>
      <c r="D4790" s="22">
        <f>(1+D4789)*IF(AND(Painel_diario!$H4786="ED_JD",Painel_diario!$J4786=1),EXP(Painel_diario!$L4786),1)-1</f>
        <v/>
      </c>
      <c r="E4790" s="22">
        <f>(1+E4789)*IF(AND(Painel_diario!$H4786="ED_JU",Painel_diario!$J4786=1),EXP(Painel_diario!$L4786),1)-1</f>
        <v/>
      </c>
    </row>
    <row r="4791">
      <c r="A4791" s="25" t="n">
        <v>45882</v>
      </c>
      <c r="B4791" s="22">
        <f>(1+B4790)*IF(AND(Painel_diario!$H4787="EU_JD",Painel_diario!$J4787=1),EXP(Painel_diario!$L4787),1)-1</f>
        <v/>
      </c>
      <c r="C4791" s="22">
        <f>(1+C4790)*IF(AND(Painel_diario!$H4787="EU_JU",Painel_diario!$J4787=1),EXP(Painel_diario!$L4787),1)-1</f>
        <v/>
      </c>
      <c r="D4791" s="22">
        <f>(1+D4790)*IF(AND(Painel_diario!$H4787="ED_JD",Painel_diario!$J4787=1),EXP(Painel_diario!$L4787),1)-1</f>
        <v/>
      </c>
      <c r="E4791" s="22">
        <f>(1+E4790)*IF(AND(Painel_diario!$H4787="ED_JU",Painel_diario!$J4787=1),EXP(Painel_diario!$L4787),1)-1</f>
        <v/>
      </c>
    </row>
    <row r="4792">
      <c r="A4792" s="25" t="n">
        <v>45883</v>
      </c>
      <c r="B4792" s="22">
        <f>(1+B4791)*IF(AND(Painel_diario!$H4788="EU_JD",Painel_diario!$J4788=1),EXP(Painel_diario!$L4788),1)-1</f>
        <v/>
      </c>
      <c r="C4792" s="22">
        <f>(1+C4791)*IF(AND(Painel_diario!$H4788="EU_JU",Painel_diario!$J4788=1),EXP(Painel_diario!$L4788),1)-1</f>
        <v/>
      </c>
      <c r="D4792" s="22">
        <f>(1+D4791)*IF(AND(Painel_diario!$H4788="ED_JD",Painel_diario!$J4788=1),EXP(Painel_diario!$L4788),1)-1</f>
        <v/>
      </c>
      <c r="E4792" s="22">
        <f>(1+E4791)*IF(AND(Painel_diario!$H4788="ED_JU",Painel_diario!$J4788=1),EXP(Painel_diario!$L4788),1)-1</f>
        <v/>
      </c>
    </row>
    <row r="4793">
      <c r="A4793" s="25" t="n">
        <v>45884</v>
      </c>
      <c r="B4793" s="22">
        <f>(1+B4792)*IF(AND(Painel_diario!$H4789="EU_JD",Painel_diario!$J4789=1),EXP(Painel_diario!$L4789),1)-1</f>
        <v/>
      </c>
      <c r="C4793" s="22">
        <f>(1+C4792)*IF(AND(Painel_diario!$H4789="EU_JU",Painel_diario!$J4789=1),EXP(Painel_diario!$L4789),1)-1</f>
        <v/>
      </c>
      <c r="D4793" s="22">
        <f>(1+D4792)*IF(AND(Painel_diario!$H4789="ED_JD",Painel_diario!$J4789=1),EXP(Painel_diario!$L4789),1)-1</f>
        <v/>
      </c>
      <c r="E4793" s="22">
        <f>(1+E4792)*IF(AND(Painel_diario!$H4789="ED_JU",Painel_diario!$J4789=1),EXP(Painel_diario!$L4789),1)-1</f>
        <v/>
      </c>
    </row>
    <row r="4794">
      <c r="A4794" s="25" t="n">
        <v>45887</v>
      </c>
      <c r="B4794" s="22">
        <f>(1+B4793)*IF(AND(Painel_diario!$H4790="EU_JD",Painel_diario!$J4790=1),EXP(Painel_diario!$L4790),1)-1</f>
        <v/>
      </c>
      <c r="C4794" s="22">
        <f>(1+C4793)*IF(AND(Painel_diario!$H4790="EU_JU",Painel_diario!$J4790=1),EXP(Painel_diario!$L4790),1)-1</f>
        <v/>
      </c>
      <c r="D4794" s="22">
        <f>(1+D4793)*IF(AND(Painel_diario!$H4790="ED_JD",Painel_diario!$J4790=1),EXP(Painel_diario!$L4790),1)-1</f>
        <v/>
      </c>
      <c r="E4794" s="22">
        <f>(1+E4793)*IF(AND(Painel_diario!$H4790="ED_JU",Painel_diario!$J4790=1),EXP(Painel_diario!$L4790),1)-1</f>
        <v/>
      </c>
    </row>
    <row r="4795">
      <c r="A4795" s="25" t="n">
        <v>45888</v>
      </c>
      <c r="B4795" s="22">
        <f>(1+B4794)*IF(AND(Painel_diario!$H4791="EU_JD",Painel_diario!$J4791=1),EXP(Painel_diario!$L4791),1)-1</f>
        <v/>
      </c>
      <c r="C4795" s="22">
        <f>(1+C4794)*IF(AND(Painel_diario!$H4791="EU_JU",Painel_diario!$J4791=1),EXP(Painel_diario!$L4791),1)-1</f>
        <v/>
      </c>
      <c r="D4795" s="22">
        <f>(1+D4794)*IF(AND(Painel_diario!$H4791="ED_JD",Painel_diario!$J4791=1),EXP(Painel_diario!$L4791),1)-1</f>
        <v/>
      </c>
      <c r="E4795" s="22">
        <f>(1+E4794)*IF(AND(Painel_diario!$H4791="ED_JU",Painel_diario!$J4791=1),EXP(Painel_diario!$L4791),1)-1</f>
        <v/>
      </c>
    </row>
    <row r="4796">
      <c r="A4796" s="25" t="n">
        <v>45889</v>
      </c>
      <c r="B4796" s="22">
        <f>(1+B4795)*IF(AND(Painel_diario!$H4792="EU_JD",Painel_diario!$J4792=1),EXP(Painel_diario!$L4792),1)-1</f>
        <v/>
      </c>
      <c r="C4796" s="22">
        <f>(1+C4795)*IF(AND(Painel_diario!$H4792="EU_JU",Painel_diario!$J4792=1),EXP(Painel_diario!$L4792),1)-1</f>
        <v/>
      </c>
      <c r="D4796" s="22">
        <f>(1+D4795)*IF(AND(Painel_diario!$H4792="ED_JD",Painel_diario!$J4792=1),EXP(Painel_diario!$L4792),1)-1</f>
        <v/>
      </c>
      <c r="E4796" s="22">
        <f>(1+E4795)*IF(AND(Painel_diario!$H4792="ED_JU",Painel_diario!$J4792=1),EXP(Painel_diario!$L4792),1)-1</f>
        <v/>
      </c>
    </row>
    <row r="4797">
      <c r="A4797" s="25" t="n">
        <v>45890</v>
      </c>
      <c r="B4797" s="22">
        <f>(1+B4796)*IF(AND(Painel_diario!$H4793="EU_JD",Painel_diario!$J4793=1),EXP(Painel_diario!$L4793),1)-1</f>
        <v/>
      </c>
      <c r="C4797" s="22">
        <f>(1+C4796)*IF(AND(Painel_diario!$H4793="EU_JU",Painel_diario!$J4793=1),EXP(Painel_diario!$L4793),1)-1</f>
        <v/>
      </c>
      <c r="D4797" s="22">
        <f>(1+D4796)*IF(AND(Painel_diario!$H4793="ED_JD",Painel_diario!$J4793=1),EXP(Painel_diario!$L4793),1)-1</f>
        <v/>
      </c>
      <c r="E4797" s="22">
        <f>(1+E4796)*IF(AND(Painel_diario!$H4793="ED_JU",Painel_diario!$J4793=1),EXP(Painel_diario!$L4793),1)-1</f>
        <v/>
      </c>
    </row>
    <row r="4798">
      <c r="A4798" s="25" t="n">
        <v>45891</v>
      </c>
      <c r="B4798" s="22">
        <f>(1+B4797)*IF(AND(Painel_diario!$H4794="EU_JD",Painel_diario!$J4794=1),EXP(Painel_diario!$L4794),1)-1</f>
        <v/>
      </c>
      <c r="C4798" s="22">
        <f>(1+C4797)*IF(AND(Painel_diario!$H4794="EU_JU",Painel_diario!$J4794=1),EXP(Painel_diario!$L4794),1)-1</f>
        <v/>
      </c>
      <c r="D4798" s="22">
        <f>(1+D4797)*IF(AND(Painel_diario!$H4794="ED_JD",Painel_diario!$J4794=1),EXP(Painel_diario!$L4794),1)-1</f>
        <v/>
      </c>
      <c r="E4798" s="22">
        <f>(1+E4797)*IF(AND(Painel_diario!$H4794="ED_JU",Painel_diario!$J4794=1),EXP(Painel_diario!$L4794),1)-1</f>
        <v/>
      </c>
    </row>
    <row r="4799">
      <c r="A4799" s="25" t="n">
        <v>45894</v>
      </c>
      <c r="B4799" s="22">
        <f>(1+B4798)*IF(AND(Painel_diario!$H4795="EU_JD",Painel_diario!$J4795=1),EXP(Painel_diario!$L4795),1)-1</f>
        <v/>
      </c>
      <c r="C4799" s="22">
        <f>(1+C4798)*IF(AND(Painel_diario!$H4795="EU_JU",Painel_diario!$J4795=1),EXP(Painel_diario!$L4795),1)-1</f>
        <v/>
      </c>
      <c r="D4799" s="22">
        <f>(1+D4798)*IF(AND(Painel_diario!$H4795="ED_JD",Painel_diario!$J4795=1),EXP(Painel_diario!$L4795),1)-1</f>
        <v/>
      </c>
      <c r="E4799" s="22">
        <f>(1+E4798)*IF(AND(Painel_diario!$H4795="ED_JU",Painel_diario!$J4795=1),EXP(Painel_diario!$L4795),1)-1</f>
        <v/>
      </c>
    </row>
    <row r="4800">
      <c r="A4800" s="25" t="n">
        <v>45895</v>
      </c>
      <c r="B4800" s="22">
        <f>(1+B4799)*IF(AND(Painel_diario!$H4796="EU_JD",Painel_diario!$J4796=1),EXP(Painel_diario!$L4796),1)-1</f>
        <v/>
      </c>
      <c r="C4800" s="22">
        <f>(1+C4799)*IF(AND(Painel_diario!$H4796="EU_JU",Painel_diario!$J4796=1),EXP(Painel_diario!$L4796),1)-1</f>
        <v/>
      </c>
      <c r="D4800" s="22">
        <f>(1+D4799)*IF(AND(Painel_diario!$H4796="ED_JD",Painel_diario!$J4796=1),EXP(Painel_diario!$L4796),1)-1</f>
        <v/>
      </c>
      <c r="E4800" s="22">
        <f>(1+E4799)*IF(AND(Painel_diario!$H4796="ED_JU",Painel_diario!$J4796=1),EXP(Painel_diario!$L4796),1)-1</f>
        <v/>
      </c>
    </row>
    <row r="4801">
      <c r="A4801" s="25" t="n">
        <v>45896</v>
      </c>
      <c r="B4801" s="22">
        <f>(1+B4800)*IF(AND(Painel_diario!$H4797="EU_JD",Painel_diario!$J4797=1),EXP(Painel_diario!$L4797),1)-1</f>
        <v/>
      </c>
      <c r="C4801" s="22">
        <f>(1+C4800)*IF(AND(Painel_diario!$H4797="EU_JU",Painel_diario!$J4797=1),EXP(Painel_diario!$L4797),1)-1</f>
        <v/>
      </c>
      <c r="D4801" s="22">
        <f>(1+D4800)*IF(AND(Painel_diario!$H4797="ED_JD",Painel_diario!$J4797=1),EXP(Painel_diario!$L4797),1)-1</f>
        <v/>
      </c>
      <c r="E4801" s="22">
        <f>(1+E4800)*IF(AND(Painel_diario!$H4797="ED_JU",Painel_diario!$J4797=1),EXP(Painel_diario!$L4797),1)-1</f>
        <v/>
      </c>
    </row>
    <row r="4802">
      <c r="A4802" s="25" t="n">
        <v>45897</v>
      </c>
      <c r="B4802" s="22">
        <f>(1+B4801)*IF(AND(Painel_diario!$H4798="EU_JD",Painel_diario!$J4798=1),EXP(Painel_diario!$L4798),1)-1</f>
        <v/>
      </c>
      <c r="C4802" s="22">
        <f>(1+C4801)*IF(AND(Painel_diario!$H4798="EU_JU",Painel_diario!$J4798=1),EXP(Painel_diario!$L4798),1)-1</f>
        <v/>
      </c>
      <c r="D4802" s="22">
        <f>(1+D4801)*IF(AND(Painel_diario!$H4798="ED_JD",Painel_diario!$J4798=1),EXP(Painel_diario!$L4798),1)-1</f>
        <v/>
      </c>
      <c r="E4802" s="22">
        <f>(1+E4801)*IF(AND(Painel_diario!$H4798="ED_JU",Painel_diario!$J4798=1),EXP(Painel_diario!$L4798),1)-1</f>
        <v/>
      </c>
    </row>
    <row r="4803">
      <c r="A4803" s="25" t="n">
        <v>45898</v>
      </c>
      <c r="B4803" s="22">
        <f>(1+B4802)*IF(AND(Painel_diario!$H4799="EU_JD",Painel_diario!$J4799=1),EXP(Painel_diario!$L4799),1)-1</f>
        <v/>
      </c>
      <c r="C4803" s="22">
        <f>(1+C4802)*IF(AND(Painel_diario!$H4799="EU_JU",Painel_diario!$J4799=1),EXP(Painel_diario!$L4799),1)-1</f>
        <v/>
      </c>
      <c r="D4803" s="22">
        <f>(1+D4802)*IF(AND(Painel_diario!$H4799="ED_JD",Painel_diario!$J4799=1),EXP(Painel_diario!$L4799),1)-1</f>
        <v/>
      </c>
      <c r="E4803" s="22">
        <f>(1+E4802)*IF(AND(Painel_diario!$H4799="ED_JU",Painel_diario!$J4799=1),EXP(Painel_diario!$L4799),1)-1</f>
        <v/>
      </c>
    </row>
    <row r="4804">
      <c r="A4804" s="25" t="n">
        <v>45901</v>
      </c>
      <c r="B4804" s="22">
        <f>(1+B4803)*IF(AND(Painel_diario!$H4800="EU_JD",Painel_diario!$J4800=1),EXP(Painel_diario!$L4800),1)-1</f>
        <v/>
      </c>
      <c r="C4804" s="22">
        <f>(1+C4803)*IF(AND(Painel_diario!$H4800="EU_JU",Painel_diario!$J4800=1),EXP(Painel_diario!$L4800),1)-1</f>
        <v/>
      </c>
      <c r="D4804" s="22">
        <f>(1+D4803)*IF(AND(Painel_diario!$H4800="ED_JD",Painel_diario!$J4800=1),EXP(Painel_diario!$L4800),1)-1</f>
        <v/>
      </c>
      <c r="E4804" s="22">
        <f>(1+E4803)*IF(AND(Painel_diario!$H4800="ED_JU",Painel_diario!$J4800=1),EXP(Painel_diario!$L4800),1)-1</f>
        <v/>
      </c>
    </row>
    <row r="4805">
      <c r="A4805" s="25" t="n">
        <v>45902</v>
      </c>
      <c r="B4805" s="22">
        <f>(1+B4804)*IF(AND(Painel_diario!$H4801="EU_JD",Painel_diario!$J4801=1),EXP(Painel_diario!$L4801),1)-1</f>
        <v/>
      </c>
      <c r="C4805" s="22">
        <f>(1+C4804)*IF(AND(Painel_diario!$H4801="EU_JU",Painel_diario!$J4801=1),EXP(Painel_diario!$L4801),1)-1</f>
        <v/>
      </c>
      <c r="D4805" s="22">
        <f>(1+D4804)*IF(AND(Painel_diario!$H4801="ED_JD",Painel_diario!$J4801=1),EXP(Painel_diario!$L4801),1)-1</f>
        <v/>
      </c>
      <c r="E4805" s="22">
        <f>(1+E4804)*IF(AND(Painel_diario!$H4801="ED_JU",Painel_diario!$J4801=1),EXP(Painel_diario!$L4801),1)-1</f>
        <v/>
      </c>
    </row>
    <row r="4806">
      <c r="A4806" s="25" t="n">
        <v>45903</v>
      </c>
      <c r="B4806" s="22">
        <f>(1+B4805)*IF(AND(Painel_diario!$H4802="EU_JD",Painel_diario!$J4802=1),EXP(Painel_diario!$L4802),1)-1</f>
        <v/>
      </c>
      <c r="C4806" s="22">
        <f>(1+C4805)*IF(AND(Painel_diario!$H4802="EU_JU",Painel_diario!$J4802=1),EXP(Painel_diario!$L4802),1)-1</f>
        <v/>
      </c>
      <c r="D4806" s="22">
        <f>(1+D4805)*IF(AND(Painel_diario!$H4802="ED_JD",Painel_diario!$J4802=1),EXP(Painel_diario!$L4802),1)-1</f>
        <v/>
      </c>
      <c r="E4806" s="22">
        <f>(1+E4805)*IF(AND(Painel_diario!$H4802="ED_JU",Painel_diario!$J4802=1),EXP(Painel_diario!$L4802),1)-1</f>
        <v/>
      </c>
    </row>
    <row r="4807">
      <c r="A4807" s="25" t="n">
        <v>45904</v>
      </c>
      <c r="B4807" s="22">
        <f>(1+B4806)*IF(AND(Painel_diario!$H4803="EU_JD",Painel_diario!$J4803=1),EXP(Painel_diario!$L4803),1)-1</f>
        <v/>
      </c>
      <c r="C4807" s="22">
        <f>(1+C4806)*IF(AND(Painel_diario!$H4803="EU_JU",Painel_diario!$J4803=1),EXP(Painel_diario!$L4803),1)-1</f>
        <v/>
      </c>
      <c r="D4807" s="22">
        <f>(1+D4806)*IF(AND(Painel_diario!$H4803="ED_JD",Painel_diario!$J4803=1),EXP(Painel_diario!$L4803),1)-1</f>
        <v/>
      </c>
      <c r="E4807" s="22">
        <f>(1+E4806)*IF(AND(Painel_diario!$H4803="ED_JU",Painel_diario!$J4803=1),EXP(Painel_diario!$L4803),1)-1</f>
        <v/>
      </c>
    </row>
    <row r="4808">
      <c r="A4808" s="25" t="n">
        <v>45905</v>
      </c>
      <c r="B4808" s="22">
        <f>(1+B4807)*IF(AND(Painel_diario!$H4804="EU_JD",Painel_diario!$J4804=1),EXP(Painel_diario!$L4804),1)-1</f>
        <v/>
      </c>
      <c r="C4808" s="22">
        <f>(1+C4807)*IF(AND(Painel_diario!$H4804="EU_JU",Painel_diario!$J4804=1),EXP(Painel_diario!$L4804),1)-1</f>
        <v/>
      </c>
      <c r="D4808" s="22">
        <f>(1+D4807)*IF(AND(Painel_diario!$H4804="ED_JD",Painel_diario!$J4804=1),EXP(Painel_diario!$L4804),1)-1</f>
        <v/>
      </c>
      <c r="E4808" s="22">
        <f>(1+E4807)*IF(AND(Painel_diario!$H4804="ED_JU",Painel_diario!$J4804=1),EXP(Painel_diario!$L4804),1)-1</f>
        <v/>
      </c>
    </row>
    <row r="4809">
      <c r="A4809" s="25" t="n">
        <v>45908</v>
      </c>
      <c r="B4809" s="22">
        <f>(1+B4808)*IF(AND(Painel_diario!$H4805="EU_JD",Painel_diario!$J4805=1),EXP(Painel_diario!$L4805),1)-1</f>
        <v/>
      </c>
      <c r="C4809" s="22">
        <f>(1+C4808)*IF(AND(Painel_diario!$H4805="EU_JU",Painel_diario!$J4805=1),EXP(Painel_diario!$L4805),1)-1</f>
        <v/>
      </c>
      <c r="D4809" s="22">
        <f>(1+D4808)*IF(AND(Painel_diario!$H4805="ED_JD",Painel_diario!$J4805=1),EXP(Painel_diario!$L4805),1)-1</f>
        <v/>
      </c>
      <c r="E4809" s="22">
        <f>(1+E4808)*IF(AND(Painel_diario!$H4805="ED_JU",Painel_diario!$J4805=1),EXP(Painel_diario!$L4805),1)-1</f>
        <v/>
      </c>
    </row>
    <row r="4810">
      <c r="A4810" s="25" t="n">
        <v>45909</v>
      </c>
      <c r="B4810" s="22">
        <f>(1+B4809)*IF(AND(Painel_diario!$H4806="EU_JD",Painel_diario!$J4806=1),EXP(Painel_diario!$L4806),1)-1</f>
        <v/>
      </c>
      <c r="C4810" s="22">
        <f>(1+C4809)*IF(AND(Painel_diario!$H4806="EU_JU",Painel_diario!$J4806=1),EXP(Painel_diario!$L4806),1)-1</f>
        <v/>
      </c>
      <c r="D4810" s="22">
        <f>(1+D4809)*IF(AND(Painel_diario!$H4806="ED_JD",Painel_diario!$J4806=1),EXP(Painel_diario!$L4806),1)-1</f>
        <v/>
      </c>
      <c r="E4810" s="22">
        <f>(1+E4809)*IF(AND(Painel_diario!$H4806="ED_JU",Painel_diario!$J4806=1),EXP(Painel_diario!$L4806),1)-1</f>
        <v/>
      </c>
    </row>
    <row r="4811">
      <c r="A4811" s="25" t="n">
        <v>45910</v>
      </c>
      <c r="B4811" s="22">
        <f>(1+B4810)*IF(AND(Painel_diario!$H4807="EU_JD",Painel_diario!$J4807=1),EXP(Painel_diario!$L4807),1)-1</f>
        <v/>
      </c>
      <c r="C4811" s="22">
        <f>(1+C4810)*IF(AND(Painel_diario!$H4807="EU_JU",Painel_diario!$J4807=1),EXP(Painel_diario!$L4807),1)-1</f>
        <v/>
      </c>
      <c r="D4811" s="22">
        <f>(1+D4810)*IF(AND(Painel_diario!$H4807="ED_JD",Painel_diario!$J4807=1),EXP(Painel_diario!$L4807),1)-1</f>
        <v/>
      </c>
      <c r="E4811" s="22">
        <f>(1+E4810)*IF(AND(Painel_diario!$H4807="ED_JU",Painel_diario!$J4807=1),EXP(Painel_diario!$L4807),1)-1</f>
        <v/>
      </c>
    </row>
    <row r="4812">
      <c r="A4812" s="25" t="n">
        <v>45911</v>
      </c>
      <c r="B4812" s="22">
        <f>(1+B4811)*IF(AND(Painel_diario!$H4808="EU_JD",Painel_diario!$J4808=1),EXP(Painel_diario!$L4808),1)-1</f>
        <v/>
      </c>
      <c r="C4812" s="22">
        <f>(1+C4811)*IF(AND(Painel_diario!$H4808="EU_JU",Painel_diario!$J4808=1),EXP(Painel_diario!$L4808),1)-1</f>
        <v/>
      </c>
      <c r="D4812" s="22">
        <f>(1+D4811)*IF(AND(Painel_diario!$H4808="ED_JD",Painel_diario!$J4808=1),EXP(Painel_diario!$L4808),1)-1</f>
        <v/>
      </c>
      <c r="E4812" s="22">
        <f>(1+E4811)*IF(AND(Painel_diario!$H4808="ED_JU",Painel_diario!$J4808=1),EXP(Painel_diario!$L4808),1)-1</f>
        <v/>
      </c>
    </row>
    <row r="4813">
      <c r="A4813" s="25" t="n">
        <v>45912</v>
      </c>
      <c r="B4813" s="22">
        <f>(1+B4812)*IF(AND(Painel_diario!$H4809="EU_JD",Painel_diario!$J4809=1),EXP(Painel_diario!$L4809),1)-1</f>
        <v/>
      </c>
      <c r="C4813" s="22">
        <f>(1+C4812)*IF(AND(Painel_diario!$H4809="EU_JU",Painel_diario!$J4809=1),EXP(Painel_diario!$L4809),1)-1</f>
        <v/>
      </c>
      <c r="D4813" s="22">
        <f>(1+D4812)*IF(AND(Painel_diario!$H4809="ED_JD",Painel_diario!$J4809=1),EXP(Painel_diario!$L4809),1)-1</f>
        <v/>
      </c>
      <c r="E4813" s="22">
        <f>(1+E4812)*IF(AND(Painel_diario!$H4809="ED_JU",Painel_diario!$J4809=1),EXP(Painel_diario!$L4809),1)-1</f>
        <v/>
      </c>
    </row>
    <row r="4814">
      <c r="A4814" s="25" t="n">
        <v>45915</v>
      </c>
      <c r="B4814" s="22">
        <f>(1+B4813)*IF(AND(Painel_diario!$H4810="EU_JD",Painel_diario!$J4810=1),EXP(Painel_diario!$L4810),1)-1</f>
        <v/>
      </c>
      <c r="C4814" s="22">
        <f>(1+C4813)*IF(AND(Painel_diario!$H4810="EU_JU",Painel_diario!$J4810=1),EXP(Painel_diario!$L4810),1)-1</f>
        <v/>
      </c>
      <c r="D4814" s="22">
        <f>(1+D4813)*IF(AND(Painel_diario!$H4810="ED_JD",Painel_diario!$J4810=1),EXP(Painel_diario!$L4810),1)-1</f>
        <v/>
      </c>
      <c r="E4814" s="22">
        <f>(1+E4813)*IF(AND(Painel_diario!$H4810="ED_JU",Painel_diario!$J4810=1),EXP(Painel_diario!$L4810),1)-1</f>
        <v/>
      </c>
    </row>
    <row r="4815">
      <c r="A4815" s="25" t="n">
        <v>45916</v>
      </c>
      <c r="B4815" s="22">
        <f>(1+B4814)*IF(AND(Painel_diario!$H4811="EU_JD",Painel_diario!$J4811=1),EXP(Painel_diario!$L4811),1)-1</f>
        <v/>
      </c>
      <c r="C4815" s="22">
        <f>(1+C4814)*IF(AND(Painel_diario!$H4811="EU_JU",Painel_diario!$J4811=1),EXP(Painel_diario!$L4811),1)-1</f>
        <v/>
      </c>
      <c r="D4815" s="22">
        <f>(1+D4814)*IF(AND(Painel_diario!$H4811="ED_JD",Painel_diario!$J4811=1),EXP(Painel_diario!$L4811),1)-1</f>
        <v/>
      </c>
      <c r="E4815" s="22">
        <f>(1+E4814)*IF(AND(Painel_diario!$H4811="ED_JU",Painel_diario!$J4811=1),EXP(Painel_diario!$L4811),1)-1</f>
        <v/>
      </c>
    </row>
    <row r="4816">
      <c r="A4816" s="25" t="n">
        <v>45917</v>
      </c>
      <c r="B4816" s="22">
        <f>(1+B4815)*IF(AND(Painel_diario!$H4812="EU_JD",Painel_diario!$J4812=1),EXP(Painel_diario!$L4812),1)-1</f>
        <v/>
      </c>
      <c r="C4816" s="22">
        <f>(1+C4815)*IF(AND(Painel_diario!$H4812="EU_JU",Painel_diario!$J4812=1),EXP(Painel_diario!$L4812),1)-1</f>
        <v/>
      </c>
      <c r="D4816" s="22">
        <f>(1+D4815)*IF(AND(Painel_diario!$H4812="ED_JD",Painel_diario!$J4812=1),EXP(Painel_diario!$L4812),1)-1</f>
        <v/>
      </c>
      <c r="E4816" s="22">
        <f>(1+E4815)*IF(AND(Painel_diario!$H4812="ED_JU",Painel_diario!$J4812=1),EXP(Painel_diario!$L4812),1)-1</f>
        <v/>
      </c>
    </row>
    <row r="4817">
      <c r="A4817" s="25" t="n">
        <v>45918</v>
      </c>
      <c r="B4817" s="22">
        <f>(1+B4816)*IF(AND(Painel_diario!$H4813="EU_JD",Painel_diario!$J4813=1),EXP(Painel_diario!$L4813),1)-1</f>
        <v/>
      </c>
      <c r="C4817" s="22">
        <f>(1+C4816)*IF(AND(Painel_diario!$H4813="EU_JU",Painel_diario!$J4813=1),EXP(Painel_diario!$L4813),1)-1</f>
        <v/>
      </c>
      <c r="D4817" s="22">
        <f>(1+D4816)*IF(AND(Painel_diario!$H4813="ED_JD",Painel_diario!$J4813=1),EXP(Painel_diario!$L4813),1)-1</f>
        <v/>
      </c>
      <c r="E4817" s="22">
        <f>(1+E4816)*IF(AND(Painel_diario!$H4813="ED_JU",Painel_diario!$J4813=1),EXP(Painel_diario!$L4813),1)-1</f>
        <v/>
      </c>
    </row>
    <row r="4818">
      <c r="A4818" s="25" t="n">
        <v>45919</v>
      </c>
      <c r="B4818" s="22">
        <f>(1+B4817)*IF(AND(Painel_diario!$H4814="EU_JD",Painel_diario!$J4814=1),EXP(Painel_diario!$L4814),1)-1</f>
        <v/>
      </c>
      <c r="C4818" s="22">
        <f>(1+C4817)*IF(AND(Painel_diario!$H4814="EU_JU",Painel_diario!$J4814=1),EXP(Painel_diario!$L4814),1)-1</f>
        <v/>
      </c>
      <c r="D4818" s="22">
        <f>(1+D4817)*IF(AND(Painel_diario!$H4814="ED_JD",Painel_diario!$J4814=1),EXP(Painel_diario!$L4814),1)-1</f>
        <v/>
      </c>
      <c r="E4818" s="22">
        <f>(1+E4817)*IF(AND(Painel_diario!$H4814="ED_JU",Painel_diario!$J4814=1),EXP(Painel_diario!$L4814),1)-1</f>
        <v/>
      </c>
    </row>
    <row r="4819">
      <c r="A4819" s="25" t="n">
        <v>45922</v>
      </c>
      <c r="B4819" s="22">
        <f>(1+B4818)*IF(AND(Painel_diario!$H4815="EU_JD",Painel_diario!$J4815=1),EXP(Painel_diario!$L4815),1)-1</f>
        <v/>
      </c>
      <c r="C4819" s="22">
        <f>(1+C4818)*IF(AND(Painel_diario!$H4815="EU_JU",Painel_diario!$J4815=1),EXP(Painel_diario!$L4815),1)-1</f>
        <v/>
      </c>
      <c r="D4819" s="22">
        <f>(1+D4818)*IF(AND(Painel_diario!$H4815="ED_JD",Painel_diario!$J4815=1),EXP(Painel_diario!$L4815),1)-1</f>
        <v/>
      </c>
      <c r="E4819" s="22">
        <f>(1+E4818)*IF(AND(Painel_diario!$H4815="ED_JU",Painel_diario!$J4815=1),EXP(Painel_diario!$L4815),1)-1</f>
        <v/>
      </c>
    </row>
    <row r="4820">
      <c r="A4820" s="25" t="n">
        <v>45923</v>
      </c>
      <c r="B4820" s="22">
        <f>(1+B4819)*IF(AND(Painel_diario!$H4816="EU_JD",Painel_diario!$J4816=1),EXP(Painel_diario!$L4816),1)-1</f>
        <v/>
      </c>
      <c r="C4820" s="22">
        <f>(1+C4819)*IF(AND(Painel_diario!$H4816="EU_JU",Painel_diario!$J4816=1),EXP(Painel_diario!$L4816),1)-1</f>
        <v/>
      </c>
      <c r="D4820" s="22">
        <f>(1+D4819)*IF(AND(Painel_diario!$H4816="ED_JD",Painel_diario!$J4816=1),EXP(Painel_diario!$L4816),1)-1</f>
        <v/>
      </c>
      <c r="E4820" s="22">
        <f>(1+E4819)*IF(AND(Painel_diario!$H4816="ED_JU",Painel_diario!$J4816=1),EXP(Painel_diario!$L4816),1)-1</f>
        <v/>
      </c>
    </row>
    <row r="4821">
      <c r="A4821" s="25" t="n">
        <v>45924</v>
      </c>
      <c r="B4821" s="22">
        <f>(1+B4820)*IF(AND(Painel_diario!$H4817="EU_JD",Painel_diario!$J4817=1),EXP(Painel_diario!$L4817),1)-1</f>
        <v/>
      </c>
      <c r="C4821" s="22">
        <f>(1+C4820)*IF(AND(Painel_diario!$H4817="EU_JU",Painel_diario!$J4817=1),EXP(Painel_diario!$L4817),1)-1</f>
        <v/>
      </c>
      <c r="D4821" s="22">
        <f>(1+D4820)*IF(AND(Painel_diario!$H4817="ED_JD",Painel_diario!$J4817=1),EXP(Painel_diario!$L4817),1)-1</f>
        <v/>
      </c>
      <c r="E4821" s="22">
        <f>(1+E4820)*IF(AND(Painel_diario!$H4817="ED_JU",Painel_diario!$J4817=1),EXP(Painel_diario!$L4817),1)-1</f>
        <v/>
      </c>
    </row>
    <row r="4822">
      <c r="A4822" s="25" t="n">
        <v>45925</v>
      </c>
      <c r="B4822" s="22">
        <f>(1+B4821)*IF(AND(Painel_diario!$H4818="EU_JD",Painel_diario!$J4818=1),EXP(Painel_diario!$L4818),1)-1</f>
        <v/>
      </c>
      <c r="C4822" s="22">
        <f>(1+C4821)*IF(AND(Painel_diario!$H4818="EU_JU",Painel_diario!$J4818=1),EXP(Painel_diario!$L4818),1)-1</f>
        <v/>
      </c>
      <c r="D4822" s="22">
        <f>(1+D4821)*IF(AND(Painel_diario!$H4818="ED_JD",Painel_diario!$J4818=1),EXP(Painel_diario!$L4818),1)-1</f>
        <v/>
      </c>
      <c r="E4822" s="22">
        <f>(1+E4821)*IF(AND(Painel_diario!$H4818="ED_JU",Painel_diario!$J4818=1),EXP(Painel_diario!$L4818),1)-1</f>
        <v/>
      </c>
    </row>
    <row r="4823">
      <c r="A4823" s="25" t="n">
        <v>45926</v>
      </c>
      <c r="B4823" s="22">
        <f>(1+B4822)*IF(AND(Painel_diario!$H4819="EU_JD",Painel_diario!$J4819=1),EXP(Painel_diario!$L4819),1)-1</f>
        <v/>
      </c>
      <c r="C4823" s="22">
        <f>(1+C4822)*IF(AND(Painel_diario!$H4819="EU_JU",Painel_diario!$J4819=1),EXP(Painel_diario!$L4819),1)-1</f>
        <v/>
      </c>
      <c r="D4823" s="22">
        <f>(1+D4822)*IF(AND(Painel_diario!$H4819="ED_JD",Painel_diario!$J4819=1),EXP(Painel_diario!$L4819),1)-1</f>
        <v/>
      </c>
      <c r="E4823" s="22">
        <f>(1+E4822)*IF(AND(Painel_diario!$H4819="ED_JU",Painel_diario!$J4819=1),EXP(Painel_diario!$L4819),1)-1</f>
        <v/>
      </c>
    </row>
    <row r="4824">
      <c r="A4824" s="25" t="n">
        <v>45929</v>
      </c>
      <c r="B4824" s="22">
        <f>(1+B4823)*IF(AND(Painel_diario!$H4820="EU_JD",Painel_diario!$J4820=1),EXP(Painel_diario!$L4820),1)-1</f>
        <v/>
      </c>
      <c r="C4824" s="22">
        <f>(1+C4823)*IF(AND(Painel_diario!$H4820="EU_JU",Painel_diario!$J4820=1),EXP(Painel_diario!$L4820),1)-1</f>
        <v/>
      </c>
      <c r="D4824" s="22">
        <f>(1+D4823)*IF(AND(Painel_diario!$H4820="ED_JD",Painel_diario!$J4820=1),EXP(Painel_diario!$L4820),1)-1</f>
        <v/>
      </c>
      <c r="E4824" s="22">
        <f>(1+E4823)*IF(AND(Painel_diario!$H4820="ED_JU",Painel_diario!$J4820=1),EXP(Painel_diario!$L4820),1)-1</f>
        <v/>
      </c>
    </row>
    <row r="4825">
      <c r="A4825" s="25" t="n">
        <v>45930</v>
      </c>
      <c r="B4825" s="22">
        <f>(1+B4824)*IF(AND(Painel_diario!$H4821="EU_JD",Painel_diario!$J4821=1),EXP(Painel_diario!$L4821),1)-1</f>
        <v/>
      </c>
      <c r="C4825" s="22">
        <f>(1+C4824)*IF(AND(Painel_diario!$H4821="EU_JU",Painel_diario!$J4821=1),EXP(Painel_diario!$L4821),1)-1</f>
        <v/>
      </c>
      <c r="D4825" s="22">
        <f>(1+D4824)*IF(AND(Painel_diario!$H4821="ED_JD",Painel_diario!$J4821=1),EXP(Painel_diario!$L4821),1)-1</f>
        <v/>
      </c>
      <c r="E4825" s="22">
        <f>(1+E4824)*IF(AND(Painel_diario!$H4821="ED_JU",Painel_diario!$J4821=1),EXP(Painel_diario!$L4821),1)-1</f>
        <v/>
      </c>
    </row>
    <row r="4826">
      <c r="A4826" s="25" t="n">
        <v>45931</v>
      </c>
      <c r="B4826" s="22">
        <f>(1+B4825)*IF(AND(Painel_diario!$H4822="EU_JD",Painel_diario!$J4822=1),EXP(Painel_diario!$L4822),1)-1</f>
        <v/>
      </c>
      <c r="C4826" s="22">
        <f>(1+C4825)*IF(AND(Painel_diario!$H4822="EU_JU",Painel_diario!$J4822=1),EXP(Painel_diario!$L4822),1)-1</f>
        <v/>
      </c>
      <c r="D4826" s="22">
        <f>(1+D4825)*IF(AND(Painel_diario!$H4822="ED_JD",Painel_diario!$J4822=1),EXP(Painel_diario!$L4822),1)-1</f>
        <v/>
      </c>
      <c r="E4826" s="22">
        <f>(1+E4825)*IF(AND(Painel_diario!$H4822="ED_JU",Painel_diario!$J4822=1),EXP(Painel_diario!$L4822),1)-1</f>
        <v/>
      </c>
    </row>
    <row r="4827">
      <c r="A4827" s="25" t="n">
        <v>45932</v>
      </c>
      <c r="B4827" s="22">
        <f>(1+B4826)*IF(AND(Painel_diario!$H4823="EU_JD",Painel_diario!$J4823=1),EXP(Painel_diario!$L4823),1)-1</f>
        <v/>
      </c>
      <c r="C4827" s="22">
        <f>(1+C4826)*IF(AND(Painel_diario!$H4823="EU_JU",Painel_diario!$J4823=1),EXP(Painel_diario!$L4823),1)-1</f>
        <v/>
      </c>
      <c r="D4827" s="22">
        <f>(1+D4826)*IF(AND(Painel_diario!$H4823="ED_JD",Painel_diario!$J4823=1),EXP(Painel_diario!$L4823),1)-1</f>
        <v/>
      </c>
      <c r="E4827" s="22">
        <f>(1+E4826)*IF(AND(Painel_diario!$H4823="ED_JU",Painel_diario!$J4823=1),EXP(Painel_diario!$L4823),1)-1</f>
        <v/>
      </c>
    </row>
    <row r="4828">
      <c r="A4828" s="25" t="n">
        <v>45933</v>
      </c>
      <c r="B4828" s="22">
        <f>(1+B4827)*IF(AND(Painel_diario!$H4824="EU_JD",Painel_diario!$J4824=1),EXP(Painel_diario!$L4824),1)-1</f>
        <v/>
      </c>
      <c r="C4828" s="22">
        <f>(1+C4827)*IF(AND(Painel_diario!$H4824="EU_JU",Painel_diario!$J4824=1),EXP(Painel_diario!$L4824),1)-1</f>
        <v/>
      </c>
      <c r="D4828" s="22">
        <f>(1+D4827)*IF(AND(Painel_diario!$H4824="ED_JD",Painel_diario!$J4824=1),EXP(Painel_diario!$L4824),1)-1</f>
        <v/>
      </c>
      <c r="E4828" s="22">
        <f>(1+E4827)*IF(AND(Painel_diario!$H4824="ED_JU",Painel_diario!$J4824=1),EXP(Painel_diario!$L4824),1)-1</f>
        <v/>
      </c>
    </row>
    <row r="4829">
      <c r="A4829" s="25" t="n">
        <v>45936</v>
      </c>
      <c r="B4829" s="22">
        <f>(1+B4828)*IF(AND(Painel_diario!$H4825="EU_JD",Painel_diario!$J4825=1),EXP(Painel_diario!$L4825),1)-1</f>
        <v/>
      </c>
      <c r="C4829" s="22">
        <f>(1+C4828)*IF(AND(Painel_diario!$H4825="EU_JU",Painel_diario!$J4825=1),EXP(Painel_diario!$L4825),1)-1</f>
        <v/>
      </c>
      <c r="D4829" s="22">
        <f>(1+D4828)*IF(AND(Painel_diario!$H4825="ED_JD",Painel_diario!$J4825=1),EXP(Painel_diario!$L4825),1)-1</f>
        <v/>
      </c>
      <c r="E4829" s="22">
        <f>(1+E4828)*IF(AND(Painel_diario!$H4825="ED_JU",Painel_diario!$J4825=1),EXP(Painel_diario!$L4825),1)-1</f>
        <v/>
      </c>
    </row>
    <row r="4830">
      <c r="A4830" s="25" t="n">
        <v>45937</v>
      </c>
      <c r="B4830" s="22">
        <f>(1+B4829)*IF(AND(Painel_diario!$H4826="EU_JD",Painel_diario!$J4826=1),EXP(Painel_diario!$L4826),1)-1</f>
        <v/>
      </c>
      <c r="C4830" s="22">
        <f>(1+C4829)*IF(AND(Painel_diario!$H4826="EU_JU",Painel_diario!$J4826=1),EXP(Painel_diario!$L4826),1)-1</f>
        <v/>
      </c>
      <c r="D4830" s="22">
        <f>(1+D4829)*IF(AND(Painel_diario!$H4826="ED_JD",Painel_diario!$J4826=1),EXP(Painel_diario!$L4826),1)-1</f>
        <v/>
      </c>
      <c r="E4830" s="22">
        <f>(1+E4829)*IF(AND(Painel_diario!$H4826="ED_JU",Painel_diario!$J4826=1),EXP(Painel_diario!$L4826),1)-1</f>
        <v/>
      </c>
    </row>
    <row r="4831">
      <c r="A4831" s="25" t="n">
        <v>45938</v>
      </c>
      <c r="B4831" s="22">
        <f>(1+B4830)*IF(AND(Painel_diario!$H4827="EU_JD",Painel_diario!$J4827=1),EXP(Painel_diario!$L4827),1)-1</f>
        <v/>
      </c>
      <c r="C4831" s="22">
        <f>(1+C4830)*IF(AND(Painel_diario!$H4827="EU_JU",Painel_diario!$J4827=1),EXP(Painel_diario!$L4827),1)-1</f>
        <v/>
      </c>
      <c r="D4831" s="22">
        <f>(1+D4830)*IF(AND(Painel_diario!$H4827="ED_JD",Painel_diario!$J4827=1),EXP(Painel_diario!$L4827),1)-1</f>
        <v/>
      </c>
      <c r="E4831" s="22">
        <f>(1+E4830)*IF(AND(Painel_diario!$H4827="ED_JU",Painel_diario!$J4827=1),EXP(Painel_diario!$L4827),1)-1</f>
        <v/>
      </c>
    </row>
    <row r="4832">
      <c r="A4832" s="25" t="n">
        <v>45939</v>
      </c>
      <c r="B4832" s="22">
        <f>(1+B4831)*IF(AND(Painel_diario!$H4828="EU_JD",Painel_diario!$J4828=1),EXP(Painel_diario!$L4828),1)-1</f>
        <v/>
      </c>
      <c r="C4832" s="22">
        <f>(1+C4831)*IF(AND(Painel_diario!$H4828="EU_JU",Painel_diario!$J4828=1),EXP(Painel_diario!$L4828),1)-1</f>
        <v/>
      </c>
      <c r="D4832" s="22">
        <f>(1+D4831)*IF(AND(Painel_diario!$H4828="ED_JD",Painel_diario!$J4828=1),EXP(Painel_diario!$L4828),1)-1</f>
        <v/>
      </c>
      <c r="E4832" s="22">
        <f>(1+E4831)*IF(AND(Painel_diario!$H4828="ED_JU",Painel_diario!$J4828=1),EXP(Painel_diario!$L4828),1)-1</f>
        <v/>
      </c>
    </row>
    <row r="4833">
      <c r="A4833" s="25" t="n">
        <v>45940</v>
      </c>
      <c r="B4833" s="22">
        <f>(1+B4832)*IF(AND(Painel_diario!$H4829="EU_JD",Painel_diario!$J4829=1),EXP(Painel_diario!$L4829),1)-1</f>
        <v/>
      </c>
      <c r="C4833" s="22">
        <f>(1+C4832)*IF(AND(Painel_diario!$H4829="EU_JU",Painel_diario!$J4829=1),EXP(Painel_diario!$L4829),1)-1</f>
        <v/>
      </c>
      <c r="D4833" s="22">
        <f>(1+D4832)*IF(AND(Painel_diario!$H4829="ED_JD",Painel_diario!$J4829=1),EXP(Painel_diario!$L4829),1)-1</f>
        <v/>
      </c>
      <c r="E4833" s="22">
        <f>(1+E4832)*IF(AND(Painel_diario!$H4829="ED_JU",Painel_diario!$J4829=1),EXP(Painel_diario!$L4829),1)-1</f>
        <v/>
      </c>
    </row>
    <row r="4834">
      <c r="A4834" s="25" t="n">
        <v>45943</v>
      </c>
      <c r="B4834" s="22">
        <f>(1+B4833)*IF(AND(Painel_diario!$H4830="EU_JD",Painel_diario!$J4830=1),EXP(Painel_diario!$L4830),1)-1</f>
        <v/>
      </c>
      <c r="C4834" s="22">
        <f>(1+C4833)*IF(AND(Painel_diario!$H4830="EU_JU",Painel_diario!$J4830=1),EXP(Painel_diario!$L4830),1)-1</f>
        <v/>
      </c>
      <c r="D4834" s="22">
        <f>(1+D4833)*IF(AND(Painel_diario!$H4830="ED_JD",Painel_diario!$J4830=1),EXP(Painel_diario!$L4830),1)-1</f>
        <v/>
      </c>
      <c r="E4834" s="22">
        <f>(1+E4833)*IF(AND(Painel_diario!$H4830="ED_JU",Painel_diario!$J4830=1),EXP(Painel_diario!$L4830),1)-1</f>
        <v/>
      </c>
    </row>
    <row r="4835">
      <c r="A4835" s="25" t="n">
        <v>45944</v>
      </c>
      <c r="B4835" s="22">
        <f>(1+B4834)*IF(AND(Painel_diario!$H4831="EU_JD",Painel_diario!$J4831=1),EXP(Painel_diario!$L4831),1)-1</f>
        <v/>
      </c>
      <c r="C4835" s="22">
        <f>(1+C4834)*IF(AND(Painel_diario!$H4831="EU_JU",Painel_diario!$J4831=1),EXP(Painel_diario!$L4831),1)-1</f>
        <v/>
      </c>
      <c r="D4835" s="22">
        <f>(1+D4834)*IF(AND(Painel_diario!$H4831="ED_JD",Painel_diario!$J4831=1),EXP(Painel_diario!$L4831),1)-1</f>
        <v/>
      </c>
      <c r="E4835" s="22">
        <f>(1+E4834)*IF(AND(Painel_diario!$H4831="ED_JU",Painel_diario!$J4831=1),EXP(Painel_diario!$L4831),1)-1</f>
        <v/>
      </c>
    </row>
    <row r="4836">
      <c r="A4836" s="25" t="n">
        <v>45945</v>
      </c>
      <c r="B4836" s="22">
        <f>(1+B4835)*IF(AND(Painel_diario!$H4832="EU_JD",Painel_diario!$J4832=1),EXP(Painel_diario!$L4832),1)-1</f>
        <v/>
      </c>
      <c r="C4836" s="22">
        <f>(1+C4835)*IF(AND(Painel_diario!$H4832="EU_JU",Painel_diario!$J4832=1),EXP(Painel_diario!$L4832),1)-1</f>
        <v/>
      </c>
      <c r="D4836" s="22">
        <f>(1+D4835)*IF(AND(Painel_diario!$H4832="ED_JD",Painel_diario!$J4832=1),EXP(Painel_diario!$L4832),1)-1</f>
        <v/>
      </c>
      <c r="E4836" s="22">
        <f>(1+E4835)*IF(AND(Painel_diario!$H4832="ED_JU",Painel_diario!$J4832=1),EXP(Painel_diario!$L4832),1)-1</f>
        <v/>
      </c>
    </row>
    <row r="4837">
      <c r="A4837" s="25" t="n">
        <v>45946</v>
      </c>
      <c r="B4837" s="22">
        <f>(1+B4836)*IF(AND(Painel_diario!$H4833="EU_JD",Painel_diario!$J4833=1),EXP(Painel_diario!$L4833),1)-1</f>
        <v/>
      </c>
      <c r="C4837" s="22">
        <f>(1+C4836)*IF(AND(Painel_diario!$H4833="EU_JU",Painel_diario!$J4833=1),EXP(Painel_diario!$L4833),1)-1</f>
        <v/>
      </c>
      <c r="D4837" s="22">
        <f>(1+D4836)*IF(AND(Painel_diario!$H4833="ED_JD",Painel_diario!$J4833=1),EXP(Painel_diario!$L4833),1)-1</f>
        <v/>
      </c>
      <c r="E4837" s="22">
        <f>(1+E4836)*IF(AND(Painel_diario!$H4833="ED_JU",Painel_diario!$J4833=1),EXP(Painel_diario!$L4833),1)-1</f>
        <v/>
      </c>
    </row>
    <row r="4838">
      <c r="A4838" s="25" t="n">
        <v>45947</v>
      </c>
      <c r="B4838" s="22">
        <f>(1+B4837)*IF(AND(Painel_diario!$H4834="EU_JD",Painel_diario!$J4834=1),EXP(Painel_diario!$L4834),1)-1</f>
        <v/>
      </c>
      <c r="C4838" s="22">
        <f>(1+C4837)*IF(AND(Painel_diario!$H4834="EU_JU",Painel_diario!$J4834=1),EXP(Painel_diario!$L4834),1)-1</f>
        <v/>
      </c>
      <c r="D4838" s="22">
        <f>(1+D4837)*IF(AND(Painel_diario!$H4834="ED_JD",Painel_diario!$J4834=1),EXP(Painel_diario!$L4834),1)-1</f>
        <v/>
      </c>
      <c r="E4838" s="22">
        <f>(1+E4837)*IF(AND(Painel_diario!$H4834="ED_JU",Painel_diario!$J4834=1),EXP(Painel_diario!$L4834),1)-1</f>
        <v/>
      </c>
    </row>
    <row r="4839">
      <c r="A4839" s="25" t="n">
        <v>45950</v>
      </c>
      <c r="B4839" s="22">
        <f>(1+B4838)*IF(AND(Painel_diario!$H4835="EU_JD",Painel_diario!$J4835=1),EXP(Painel_diario!$L4835),1)-1</f>
        <v/>
      </c>
      <c r="C4839" s="22">
        <f>(1+C4838)*IF(AND(Painel_diario!$H4835="EU_JU",Painel_diario!$J4835=1),EXP(Painel_diario!$L4835),1)-1</f>
        <v/>
      </c>
      <c r="D4839" s="22">
        <f>(1+D4838)*IF(AND(Painel_diario!$H4835="ED_JD",Painel_diario!$J4835=1),EXP(Painel_diario!$L4835),1)-1</f>
        <v/>
      </c>
      <c r="E4839" s="22">
        <f>(1+E4838)*IF(AND(Painel_diario!$H4835="ED_JU",Painel_diario!$J4835=1),EXP(Painel_diario!$L4835),1)-1</f>
        <v/>
      </c>
    </row>
    <row r="4840">
      <c r="A4840" s="25" t="n">
        <v>45951</v>
      </c>
      <c r="B4840" s="22">
        <f>(1+B4839)*IF(AND(Painel_diario!$H4836="EU_JD",Painel_diario!$J4836=1),EXP(Painel_diario!$L4836),1)-1</f>
        <v/>
      </c>
      <c r="C4840" s="22">
        <f>(1+C4839)*IF(AND(Painel_diario!$H4836="EU_JU",Painel_diario!$J4836=1),EXP(Painel_diario!$L4836),1)-1</f>
        <v/>
      </c>
      <c r="D4840" s="22">
        <f>(1+D4839)*IF(AND(Painel_diario!$H4836="ED_JD",Painel_diario!$J4836=1),EXP(Painel_diario!$L4836),1)-1</f>
        <v/>
      </c>
      <c r="E4840" s="22">
        <f>(1+E4839)*IF(AND(Painel_diario!$H4836="ED_JU",Painel_diario!$J4836=1),EXP(Painel_diario!$L4836),1)-1</f>
        <v/>
      </c>
    </row>
    <row r="4841">
      <c r="A4841" s="25" t="n">
        <v>45952</v>
      </c>
      <c r="B4841" s="22">
        <f>(1+B4840)*IF(AND(Painel_diario!$H4837="EU_JD",Painel_diario!$J4837=1),EXP(Painel_diario!$L4837),1)-1</f>
        <v/>
      </c>
      <c r="C4841" s="22">
        <f>(1+C4840)*IF(AND(Painel_diario!$H4837="EU_JU",Painel_diario!$J4837=1),EXP(Painel_diario!$L4837),1)-1</f>
        <v/>
      </c>
      <c r="D4841" s="22">
        <f>(1+D4840)*IF(AND(Painel_diario!$H4837="ED_JD",Painel_diario!$J4837=1),EXP(Painel_diario!$L4837),1)-1</f>
        <v/>
      </c>
      <c r="E4841" s="22">
        <f>(1+E4840)*IF(AND(Painel_diario!$H4837="ED_JU",Painel_diario!$J4837=1),EXP(Painel_diario!$L4837),1)-1</f>
        <v/>
      </c>
    </row>
    <row r="4842">
      <c r="A4842" s="25" t="n">
        <v>45953</v>
      </c>
      <c r="B4842" s="22">
        <f>(1+B4841)*IF(AND(Painel_diario!$H4838="EU_JD",Painel_diario!$J4838=1),EXP(Painel_diario!$L4838),1)-1</f>
        <v/>
      </c>
      <c r="C4842" s="22">
        <f>(1+C4841)*IF(AND(Painel_diario!$H4838="EU_JU",Painel_diario!$J4838=1),EXP(Painel_diario!$L4838),1)-1</f>
        <v/>
      </c>
      <c r="D4842" s="22">
        <f>(1+D4841)*IF(AND(Painel_diario!$H4838="ED_JD",Painel_diario!$J4838=1),EXP(Painel_diario!$L4838),1)-1</f>
        <v/>
      </c>
      <c r="E4842" s="22">
        <f>(1+E4841)*IF(AND(Painel_diario!$H4838="ED_JU",Painel_diario!$J4838=1),EXP(Painel_diario!$L4838),1)-1</f>
        <v/>
      </c>
    </row>
    <row r="4843">
      <c r="A4843" s="25" t="n">
        <v>45954</v>
      </c>
      <c r="B4843" s="22">
        <f>(1+B4842)*IF(AND(Painel_diario!$H4839="EU_JD",Painel_diario!$J4839=1),EXP(Painel_diario!$L4839),1)-1</f>
        <v/>
      </c>
      <c r="C4843" s="22">
        <f>(1+C4842)*IF(AND(Painel_diario!$H4839="EU_JU",Painel_diario!$J4839=1),EXP(Painel_diario!$L4839),1)-1</f>
        <v/>
      </c>
      <c r="D4843" s="22">
        <f>(1+D4842)*IF(AND(Painel_diario!$H4839="ED_JD",Painel_diario!$J4839=1),EXP(Painel_diario!$L4839),1)-1</f>
        <v/>
      </c>
      <c r="E4843" s="22">
        <f>(1+E4842)*IF(AND(Painel_diario!$H4839="ED_JU",Painel_diario!$J4839=1),EXP(Painel_diario!$L4839),1)-1</f>
        <v/>
      </c>
    </row>
    <row r="4844">
      <c r="A4844" s="25" t="n">
        <v>45957</v>
      </c>
      <c r="B4844" s="22">
        <f>(1+B4843)*IF(AND(Painel_diario!$H4840="EU_JD",Painel_diario!$J4840=1),EXP(Painel_diario!$L4840),1)-1</f>
        <v/>
      </c>
      <c r="C4844" s="22">
        <f>(1+C4843)*IF(AND(Painel_diario!$H4840="EU_JU",Painel_diario!$J4840=1),EXP(Painel_diario!$L4840),1)-1</f>
        <v/>
      </c>
      <c r="D4844" s="22">
        <f>(1+D4843)*IF(AND(Painel_diario!$H4840="ED_JD",Painel_diario!$J4840=1),EXP(Painel_diario!$L4840),1)-1</f>
        <v/>
      </c>
      <c r="E4844" s="22">
        <f>(1+E4843)*IF(AND(Painel_diario!$H4840="ED_JU",Painel_diario!$J4840=1),EXP(Painel_diario!$L4840),1)-1</f>
        <v/>
      </c>
    </row>
    <row r="4845">
      <c r="A4845" s="25" t="n">
        <v>45958</v>
      </c>
      <c r="B4845" s="22">
        <f>(1+B4844)*IF(AND(Painel_diario!$H4841="EU_JD",Painel_diario!$J4841=1),EXP(Painel_diario!$L4841),1)-1</f>
        <v/>
      </c>
      <c r="C4845" s="22">
        <f>(1+C4844)*IF(AND(Painel_diario!$H4841="EU_JU",Painel_diario!$J4841=1),EXP(Painel_diario!$L4841),1)-1</f>
        <v/>
      </c>
      <c r="D4845" s="22">
        <f>(1+D4844)*IF(AND(Painel_diario!$H4841="ED_JD",Painel_diario!$J4841=1),EXP(Painel_diario!$L4841),1)-1</f>
        <v/>
      </c>
      <c r="E4845" s="22">
        <f>(1+E4844)*IF(AND(Painel_diario!$H4841="ED_JU",Painel_diario!$J4841=1),EXP(Painel_diario!$L4841),1)-1</f>
        <v/>
      </c>
    </row>
    <row r="4846">
      <c r="A4846" s="25" t="n">
        <v>45959</v>
      </c>
      <c r="B4846" s="22">
        <f>(1+B4845)*IF(AND(Painel_diario!$H4842="EU_JD",Painel_diario!$J4842=1),EXP(Painel_diario!$L4842),1)-1</f>
        <v/>
      </c>
      <c r="C4846" s="22">
        <f>(1+C4845)*IF(AND(Painel_diario!$H4842="EU_JU",Painel_diario!$J4842=1),EXP(Painel_diario!$L4842),1)-1</f>
        <v/>
      </c>
      <c r="D4846" s="22">
        <f>(1+D4845)*IF(AND(Painel_diario!$H4842="ED_JD",Painel_diario!$J4842=1),EXP(Painel_diario!$L4842),1)-1</f>
        <v/>
      </c>
      <c r="E4846" s="22">
        <f>(1+E4845)*IF(AND(Painel_diario!$H4842="ED_JU",Painel_diario!$J4842=1),EXP(Painel_diario!$L4842),1)-1</f>
        <v/>
      </c>
    </row>
    <row r="4847">
      <c r="A4847" s="25" t="n">
        <v>45960</v>
      </c>
      <c r="B4847" s="22">
        <f>(1+B4846)*IF(AND(Painel_diario!$H4843="EU_JD",Painel_diario!$J4843=1),EXP(Painel_diario!$L4843),1)-1</f>
        <v/>
      </c>
      <c r="C4847" s="22">
        <f>(1+C4846)*IF(AND(Painel_diario!$H4843="EU_JU",Painel_diario!$J4843=1),EXP(Painel_diario!$L4843),1)-1</f>
        <v/>
      </c>
      <c r="D4847" s="22">
        <f>(1+D4846)*IF(AND(Painel_diario!$H4843="ED_JD",Painel_diario!$J4843=1),EXP(Painel_diario!$L4843),1)-1</f>
        <v/>
      </c>
      <c r="E4847" s="22">
        <f>(1+E4846)*IF(AND(Painel_diario!$H4843="ED_JU",Painel_diario!$J4843=1),EXP(Painel_diario!$L4843),1)-1</f>
        <v/>
      </c>
    </row>
    <row r="4848">
      <c r="A4848" s="25" t="n">
        <v>45961</v>
      </c>
      <c r="B4848" s="22">
        <f>(1+B4847)*IF(AND(Painel_diario!$H4844="EU_JD",Painel_diario!$J4844=1),EXP(Painel_diario!$L4844),1)-1</f>
        <v/>
      </c>
      <c r="C4848" s="22">
        <f>(1+C4847)*IF(AND(Painel_diario!$H4844="EU_JU",Painel_diario!$J4844=1),EXP(Painel_diario!$L4844),1)-1</f>
        <v/>
      </c>
      <c r="D4848" s="22">
        <f>(1+D4847)*IF(AND(Painel_diario!$H4844="ED_JD",Painel_diario!$J4844=1),EXP(Painel_diario!$L4844),1)-1</f>
        <v/>
      </c>
      <c r="E4848" s="22">
        <f>(1+E4847)*IF(AND(Painel_diario!$H4844="ED_JU",Painel_diario!$J4844=1),EXP(Painel_diario!$L4844),1)-1</f>
        <v/>
      </c>
    </row>
    <row r="4849">
      <c r="A4849" s="25" t="n">
        <v>45964</v>
      </c>
      <c r="B4849" s="22">
        <f>(1+B4848)*IF(AND(Painel_diario!$H4845="EU_JD",Painel_diario!$J4845=1),EXP(Painel_diario!$L4845),1)-1</f>
        <v/>
      </c>
      <c r="C4849" s="22">
        <f>(1+C4848)*IF(AND(Painel_diario!$H4845="EU_JU",Painel_diario!$J4845=1),EXP(Painel_diario!$L4845),1)-1</f>
        <v/>
      </c>
      <c r="D4849" s="22">
        <f>(1+D4848)*IF(AND(Painel_diario!$H4845="ED_JD",Painel_diario!$J4845=1),EXP(Painel_diario!$L4845),1)-1</f>
        <v/>
      </c>
      <c r="E4849" s="22">
        <f>(1+E4848)*IF(AND(Painel_diario!$H4845="ED_JU",Painel_diario!$J4845=1),EXP(Painel_diario!$L4845),1)-1</f>
        <v/>
      </c>
    </row>
    <row r="4850">
      <c r="A4850" s="25" t="n">
        <v>45965</v>
      </c>
      <c r="B4850" s="22">
        <f>(1+B4849)*IF(AND(Painel_diario!$H4846="EU_JD",Painel_diario!$J4846=1),EXP(Painel_diario!$L4846),1)-1</f>
        <v/>
      </c>
      <c r="C4850" s="22">
        <f>(1+C4849)*IF(AND(Painel_diario!$H4846="EU_JU",Painel_diario!$J4846=1),EXP(Painel_diario!$L4846),1)-1</f>
        <v/>
      </c>
      <c r="D4850" s="22">
        <f>(1+D4849)*IF(AND(Painel_diario!$H4846="ED_JD",Painel_diario!$J4846=1),EXP(Painel_diario!$L4846),1)-1</f>
        <v/>
      </c>
      <c r="E4850" s="22">
        <f>(1+E4849)*IF(AND(Painel_diario!$H4846="ED_JU",Painel_diario!$J4846=1),EXP(Painel_diario!$L4846),1)-1</f>
        <v/>
      </c>
    </row>
    <row r="4851">
      <c r="A4851" s="25" t="n">
        <v>45966</v>
      </c>
      <c r="B4851" s="22">
        <f>(1+B4850)*IF(AND(Painel_diario!$H4847="EU_JD",Painel_diario!$J4847=1),EXP(Painel_diario!$L4847),1)-1</f>
        <v/>
      </c>
      <c r="C4851" s="22">
        <f>(1+C4850)*IF(AND(Painel_diario!$H4847="EU_JU",Painel_diario!$J4847=1),EXP(Painel_diario!$L4847),1)-1</f>
        <v/>
      </c>
      <c r="D4851" s="22">
        <f>(1+D4850)*IF(AND(Painel_diario!$H4847="ED_JD",Painel_diario!$J4847=1),EXP(Painel_diario!$L4847),1)-1</f>
        <v/>
      </c>
      <c r="E4851" s="22">
        <f>(1+E4850)*IF(AND(Painel_diario!$H4847="ED_JU",Painel_diario!$J4847=1),EXP(Painel_diario!$L4847),1)-1</f>
        <v/>
      </c>
    </row>
    <row r="4852">
      <c r="A4852" s="25" t="n">
        <v>45967</v>
      </c>
      <c r="B4852" s="22">
        <f>(1+B4851)*IF(AND(Painel_diario!$H4848="EU_JD",Painel_diario!$J4848=1),EXP(Painel_diario!$L4848),1)-1</f>
        <v/>
      </c>
      <c r="C4852" s="22">
        <f>(1+C4851)*IF(AND(Painel_diario!$H4848="EU_JU",Painel_diario!$J4848=1),EXP(Painel_diario!$L4848),1)-1</f>
        <v/>
      </c>
      <c r="D4852" s="22">
        <f>(1+D4851)*IF(AND(Painel_diario!$H4848="ED_JD",Painel_diario!$J4848=1),EXP(Painel_diario!$L4848),1)-1</f>
        <v/>
      </c>
      <c r="E4852" s="22">
        <f>(1+E4851)*IF(AND(Painel_diario!$H4848="ED_JU",Painel_diario!$J4848=1),EXP(Painel_diario!$L4848),1)-1</f>
        <v/>
      </c>
    </row>
    <row r="4853">
      <c r="A4853" s="25" t="n">
        <v>45968</v>
      </c>
      <c r="B4853" s="22">
        <f>(1+B4852)*IF(AND(Painel_diario!$H4849="EU_JD",Painel_diario!$J4849=1),EXP(Painel_diario!$L4849),1)-1</f>
        <v/>
      </c>
      <c r="C4853" s="22">
        <f>(1+C4852)*IF(AND(Painel_diario!$H4849="EU_JU",Painel_diario!$J4849=1),EXP(Painel_diario!$L4849),1)-1</f>
        <v/>
      </c>
      <c r="D4853" s="22">
        <f>(1+D4852)*IF(AND(Painel_diario!$H4849="ED_JD",Painel_diario!$J4849=1),EXP(Painel_diario!$L4849),1)-1</f>
        <v/>
      </c>
      <c r="E4853" s="22">
        <f>(1+E4852)*IF(AND(Painel_diario!$H4849="ED_JU",Painel_diario!$J4849=1),EXP(Painel_diario!$L4849),1)-1</f>
        <v/>
      </c>
    </row>
    <row r="4854">
      <c r="A4854" s="25" t="n">
        <v>45971</v>
      </c>
      <c r="B4854" s="22">
        <f>(1+B4853)*IF(AND(Painel_diario!$H4850="EU_JD",Painel_diario!$J4850=1),EXP(Painel_diario!$L4850),1)-1</f>
        <v/>
      </c>
      <c r="C4854" s="22">
        <f>(1+C4853)*IF(AND(Painel_diario!$H4850="EU_JU",Painel_diario!$J4850=1),EXP(Painel_diario!$L4850),1)-1</f>
        <v/>
      </c>
      <c r="D4854" s="22">
        <f>(1+D4853)*IF(AND(Painel_diario!$H4850="ED_JD",Painel_diario!$J4850=1),EXP(Painel_diario!$L4850),1)-1</f>
        <v/>
      </c>
      <c r="E4854" s="22">
        <f>(1+E4853)*IF(AND(Painel_diario!$H4850="ED_JU",Painel_diario!$J4850=1),EXP(Painel_diario!$L4850),1)-1</f>
        <v/>
      </c>
    </row>
    <row r="4855">
      <c r="A4855" s="25" t="n">
        <v>45972</v>
      </c>
      <c r="B4855" s="22">
        <f>(1+B4854)*IF(AND(Painel_diario!$H4851="EU_JD",Painel_diario!$J4851=1),EXP(Painel_diario!$L4851),1)-1</f>
        <v/>
      </c>
      <c r="C4855" s="22">
        <f>(1+C4854)*IF(AND(Painel_diario!$H4851="EU_JU",Painel_diario!$J4851=1),EXP(Painel_diario!$L4851),1)-1</f>
        <v/>
      </c>
      <c r="D4855" s="22">
        <f>(1+D4854)*IF(AND(Painel_diario!$H4851="ED_JD",Painel_diario!$J4851=1),EXP(Painel_diario!$L4851),1)-1</f>
        <v/>
      </c>
      <c r="E4855" s="22">
        <f>(1+E4854)*IF(AND(Painel_diario!$H4851="ED_JU",Painel_diario!$J4851=1),EXP(Painel_diario!$L4851),1)-1</f>
        <v/>
      </c>
    </row>
    <row r="4856">
      <c r="A4856" s="25" t="n">
        <v>45973</v>
      </c>
      <c r="B4856" s="22">
        <f>(1+B4855)*IF(AND(Painel_diario!$H4852="EU_JD",Painel_diario!$J4852=1),EXP(Painel_diario!$L4852),1)-1</f>
        <v/>
      </c>
      <c r="C4856" s="22">
        <f>(1+C4855)*IF(AND(Painel_diario!$H4852="EU_JU",Painel_diario!$J4852=1),EXP(Painel_diario!$L4852),1)-1</f>
        <v/>
      </c>
      <c r="D4856" s="22">
        <f>(1+D4855)*IF(AND(Painel_diario!$H4852="ED_JD",Painel_diario!$J4852=1),EXP(Painel_diario!$L4852),1)-1</f>
        <v/>
      </c>
      <c r="E4856" s="22">
        <f>(1+E4855)*IF(AND(Painel_diario!$H4852="ED_JU",Painel_diario!$J4852=1),EXP(Painel_diario!$L4852),1)-1</f>
        <v/>
      </c>
    </row>
    <row r="4857">
      <c r="A4857" s="25" t="n">
        <v>45974</v>
      </c>
      <c r="B4857" s="22">
        <f>(1+B4856)*IF(AND(Painel_diario!$H4853="EU_JD",Painel_diario!$J4853=1),EXP(Painel_diario!$L4853),1)-1</f>
        <v/>
      </c>
      <c r="C4857" s="22">
        <f>(1+C4856)*IF(AND(Painel_diario!$H4853="EU_JU",Painel_diario!$J4853=1),EXP(Painel_diario!$L4853),1)-1</f>
        <v/>
      </c>
      <c r="D4857" s="22">
        <f>(1+D4856)*IF(AND(Painel_diario!$H4853="ED_JD",Painel_diario!$J4853=1),EXP(Painel_diario!$L4853),1)-1</f>
        <v/>
      </c>
      <c r="E4857" s="22">
        <f>(1+E4856)*IF(AND(Painel_diario!$H4853="ED_JU",Painel_diario!$J4853=1),EXP(Painel_diario!$L4853),1)-1</f>
        <v/>
      </c>
    </row>
    <row r="4858">
      <c r="A4858" s="25" t="n">
        <v>45975</v>
      </c>
      <c r="B4858" s="22">
        <f>(1+B4857)*IF(AND(Painel_diario!$H4854="EU_JD",Painel_diario!$J4854=1),EXP(Painel_diario!$L4854),1)-1</f>
        <v/>
      </c>
      <c r="C4858" s="22">
        <f>(1+C4857)*IF(AND(Painel_diario!$H4854="EU_JU",Painel_diario!$J4854=1),EXP(Painel_diario!$L4854),1)-1</f>
        <v/>
      </c>
      <c r="D4858" s="22">
        <f>(1+D4857)*IF(AND(Painel_diario!$H4854="ED_JD",Painel_diario!$J4854=1),EXP(Painel_diario!$L4854),1)-1</f>
        <v/>
      </c>
      <c r="E4858" s="22">
        <f>(1+E4857)*IF(AND(Painel_diario!$H4854="ED_JU",Painel_diario!$J4854=1),EXP(Painel_diario!$L4854),1)-1</f>
        <v/>
      </c>
    </row>
    <row r="4859">
      <c r="A4859" s="25" t="n">
        <v>45978</v>
      </c>
      <c r="B4859" s="22">
        <f>(1+B4858)*IF(AND(Painel_diario!$H4855="EU_JD",Painel_diario!$J4855=1),EXP(Painel_diario!$L4855),1)-1</f>
        <v/>
      </c>
      <c r="C4859" s="22">
        <f>(1+C4858)*IF(AND(Painel_diario!$H4855="EU_JU",Painel_diario!$J4855=1),EXP(Painel_diario!$L4855),1)-1</f>
        <v/>
      </c>
      <c r="D4859" s="22">
        <f>(1+D4858)*IF(AND(Painel_diario!$H4855="ED_JD",Painel_diario!$J4855=1),EXP(Painel_diario!$L4855),1)-1</f>
        <v/>
      </c>
      <c r="E4859" s="22">
        <f>(1+E4858)*IF(AND(Painel_diario!$H4855="ED_JU",Painel_diario!$J4855=1),EXP(Painel_diario!$L4855),1)-1</f>
        <v/>
      </c>
    </row>
    <row r="4860">
      <c r="A4860" s="25" t="n">
        <v>45979</v>
      </c>
      <c r="B4860" s="22">
        <f>(1+B4859)*IF(AND(Painel_diario!$H4856="EU_JD",Painel_diario!$J4856=1),EXP(Painel_diario!$L4856),1)-1</f>
        <v/>
      </c>
      <c r="C4860" s="22">
        <f>(1+C4859)*IF(AND(Painel_diario!$H4856="EU_JU",Painel_diario!$J4856=1),EXP(Painel_diario!$L4856),1)-1</f>
        <v/>
      </c>
      <c r="D4860" s="22">
        <f>(1+D4859)*IF(AND(Painel_diario!$H4856="ED_JD",Painel_diario!$J4856=1),EXP(Painel_diario!$L4856),1)-1</f>
        <v/>
      </c>
      <c r="E4860" s="22">
        <f>(1+E4859)*IF(AND(Painel_diario!$H4856="ED_JU",Painel_diario!$J4856=1),EXP(Painel_diario!$L4856),1)-1</f>
        <v/>
      </c>
    </row>
    <row r="4861">
      <c r="A4861" s="25" t="n">
        <v>45980</v>
      </c>
      <c r="B4861" s="22">
        <f>(1+B4860)*IF(AND(Painel_diario!$H4857="EU_JD",Painel_diario!$J4857=1),EXP(Painel_diario!$L4857),1)-1</f>
        <v/>
      </c>
      <c r="C4861" s="22">
        <f>(1+C4860)*IF(AND(Painel_diario!$H4857="EU_JU",Painel_diario!$J4857=1),EXP(Painel_diario!$L4857),1)-1</f>
        <v/>
      </c>
      <c r="D4861" s="22">
        <f>(1+D4860)*IF(AND(Painel_diario!$H4857="ED_JD",Painel_diario!$J4857=1),EXP(Painel_diario!$L4857),1)-1</f>
        <v/>
      </c>
      <c r="E4861" s="22">
        <f>(1+E4860)*IF(AND(Painel_diario!$H4857="ED_JU",Painel_diario!$J4857=1),EXP(Painel_diario!$L4857),1)-1</f>
        <v/>
      </c>
    </row>
    <row r="4862">
      <c r="A4862" s="25" t="n">
        <v>45982</v>
      </c>
      <c r="B4862" s="22">
        <f>(1+B4861)*IF(AND(Painel_diario!$H4858="EU_JD",Painel_diario!$J4858=1),EXP(Painel_diario!$L4858),1)-1</f>
        <v/>
      </c>
      <c r="C4862" s="22">
        <f>(1+C4861)*IF(AND(Painel_diario!$H4858="EU_JU",Painel_diario!$J4858=1),EXP(Painel_diario!$L4858),1)-1</f>
        <v/>
      </c>
      <c r="D4862" s="22">
        <f>(1+D4861)*IF(AND(Painel_diario!$H4858="ED_JD",Painel_diario!$J4858=1),EXP(Painel_diario!$L4858),1)-1</f>
        <v/>
      </c>
      <c r="E4862" s="22">
        <f>(1+E4861)*IF(AND(Painel_diario!$H4858="ED_JU",Painel_diario!$J4858=1),EXP(Painel_diario!$L4858),1)-1</f>
        <v/>
      </c>
    </row>
    <row r="4863">
      <c r="A4863" s="25" t="n">
        <v>45985</v>
      </c>
      <c r="B4863" s="22">
        <f>(1+B4862)*IF(AND(Painel_diario!$H4859="EU_JD",Painel_diario!$J4859=1),EXP(Painel_diario!$L4859),1)-1</f>
        <v/>
      </c>
      <c r="C4863" s="22">
        <f>(1+C4862)*IF(AND(Painel_diario!$H4859="EU_JU",Painel_diario!$J4859=1),EXP(Painel_diario!$L4859),1)-1</f>
        <v/>
      </c>
      <c r="D4863" s="22">
        <f>(1+D4862)*IF(AND(Painel_diario!$H4859="ED_JD",Painel_diario!$J4859=1),EXP(Painel_diario!$L4859),1)-1</f>
        <v/>
      </c>
      <c r="E4863" s="22">
        <f>(1+E4862)*IF(AND(Painel_diario!$H4859="ED_JU",Painel_diario!$J4859=1),EXP(Painel_diario!$L4859),1)-1</f>
        <v/>
      </c>
    </row>
    <row r="4864">
      <c r="A4864" s="25" t="n">
        <v>45986</v>
      </c>
      <c r="B4864" s="22">
        <f>(1+B4863)*IF(AND(Painel_diario!$H4860="EU_JD",Painel_diario!$J4860=1),EXP(Painel_diario!$L4860),1)-1</f>
        <v/>
      </c>
      <c r="C4864" s="22">
        <f>(1+C4863)*IF(AND(Painel_diario!$H4860="EU_JU",Painel_diario!$J4860=1),EXP(Painel_diario!$L4860),1)-1</f>
        <v/>
      </c>
      <c r="D4864" s="22">
        <f>(1+D4863)*IF(AND(Painel_diario!$H4860="ED_JD",Painel_diario!$J4860=1),EXP(Painel_diario!$L4860),1)-1</f>
        <v/>
      </c>
      <c r="E4864" s="22">
        <f>(1+E4863)*IF(AND(Painel_diario!$H4860="ED_JU",Painel_diario!$J4860=1),EXP(Painel_diario!$L4860),1)-1</f>
        <v/>
      </c>
    </row>
    <row r="4865">
      <c r="A4865" s="25" t="n">
        <v>45987</v>
      </c>
      <c r="B4865" s="22">
        <f>(1+B4864)*IF(AND(Painel_diario!$H4861="EU_JD",Painel_diario!$J4861=1),EXP(Painel_diario!$L4861),1)-1</f>
        <v/>
      </c>
      <c r="C4865" s="22">
        <f>(1+C4864)*IF(AND(Painel_diario!$H4861="EU_JU",Painel_diario!$J4861=1),EXP(Painel_diario!$L4861),1)-1</f>
        <v/>
      </c>
      <c r="D4865" s="22">
        <f>(1+D4864)*IF(AND(Painel_diario!$H4861="ED_JD",Painel_diario!$J4861=1),EXP(Painel_diario!$L4861),1)-1</f>
        <v/>
      </c>
      <c r="E4865" s="22">
        <f>(1+E4864)*IF(AND(Painel_diario!$H4861="ED_JU",Painel_diario!$J4861=1),EXP(Painel_diario!$L4861),1)-1</f>
        <v/>
      </c>
    </row>
    <row r="4866">
      <c r="A4866" s="25" t="n">
        <v>45988</v>
      </c>
      <c r="B4866" s="22">
        <f>(1+B4865)*IF(AND(Painel_diario!$H4862="EU_JD",Painel_diario!$J4862=1),EXP(Painel_diario!$L4862),1)-1</f>
        <v/>
      </c>
      <c r="C4866" s="22">
        <f>(1+C4865)*IF(AND(Painel_diario!$H4862="EU_JU",Painel_diario!$J4862=1),EXP(Painel_diario!$L4862),1)-1</f>
        <v/>
      </c>
      <c r="D4866" s="22">
        <f>(1+D4865)*IF(AND(Painel_diario!$H4862="ED_JD",Painel_diario!$J4862=1),EXP(Painel_diario!$L4862),1)-1</f>
        <v/>
      </c>
      <c r="E4866" s="22">
        <f>(1+E4865)*IF(AND(Painel_diario!$H4862="ED_JU",Painel_diario!$J4862=1),EXP(Painel_diario!$L4862),1)-1</f>
        <v/>
      </c>
    </row>
    <row r="4867">
      <c r="A4867" s="25" t="n">
        <v>45989</v>
      </c>
      <c r="B4867" s="22">
        <f>(1+B4866)*IF(AND(Painel_diario!$H4863="EU_JD",Painel_diario!$J4863=1),EXP(Painel_diario!$L4863),1)-1</f>
        <v/>
      </c>
      <c r="C4867" s="22">
        <f>(1+C4866)*IF(AND(Painel_diario!$H4863="EU_JU",Painel_diario!$J4863=1),EXP(Painel_diario!$L4863),1)-1</f>
        <v/>
      </c>
      <c r="D4867" s="22">
        <f>(1+D4866)*IF(AND(Painel_diario!$H4863="ED_JD",Painel_diario!$J4863=1),EXP(Painel_diario!$L4863),1)-1</f>
        <v/>
      </c>
      <c r="E4867" s="22">
        <f>(1+E4866)*IF(AND(Painel_diario!$H4863="ED_JU",Painel_diario!$J4863=1),EXP(Painel_diario!$L4863),1)-1</f>
        <v/>
      </c>
    </row>
    <row r="4868">
      <c r="A4868" s="25" t="n">
        <v>45992</v>
      </c>
      <c r="B4868" s="22">
        <f>(1+B4867)*IF(AND(Painel_diario!$H4864="EU_JD",Painel_diario!$J4864=1),EXP(Painel_diario!$L4864),1)-1</f>
        <v/>
      </c>
      <c r="C4868" s="22">
        <f>(1+C4867)*IF(AND(Painel_diario!$H4864="EU_JU",Painel_diario!$J4864=1),EXP(Painel_diario!$L4864),1)-1</f>
        <v/>
      </c>
      <c r="D4868" s="22">
        <f>(1+D4867)*IF(AND(Painel_diario!$H4864="ED_JD",Painel_diario!$J4864=1),EXP(Painel_diario!$L4864),1)-1</f>
        <v/>
      </c>
      <c r="E4868" s="22">
        <f>(1+E4867)*IF(AND(Painel_diario!$H4864="ED_JU",Painel_diario!$J4864=1),EXP(Painel_diario!$L4864),1)-1</f>
        <v/>
      </c>
    </row>
    <row r="4869">
      <c r="A4869" s="25" t="n">
        <v>45993</v>
      </c>
      <c r="B4869" s="22">
        <f>(1+B4868)*IF(AND(Painel_diario!$H4865="EU_JD",Painel_diario!$J4865=1),EXP(Painel_diario!$L4865),1)-1</f>
        <v/>
      </c>
      <c r="C4869" s="22">
        <f>(1+C4868)*IF(AND(Painel_diario!$H4865="EU_JU",Painel_diario!$J4865=1),EXP(Painel_diario!$L4865),1)-1</f>
        <v/>
      </c>
      <c r="D4869" s="22">
        <f>(1+D4868)*IF(AND(Painel_diario!$H4865="ED_JD",Painel_diario!$J4865=1),EXP(Painel_diario!$L4865),1)-1</f>
        <v/>
      </c>
      <c r="E4869" s="22">
        <f>(1+E4868)*IF(AND(Painel_diario!$H4865="ED_JU",Painel_diario!$J4865=1),EXP(Painel_diario!$L4865),1)-1</f>
        <v/>
      </c>
    </row>
    <row r="4870">
      <c r="A4870" s="25" t="n">
        <v>45994</v>
      </c>
      <c r="B4870" s="22">
        <f>(1+B4869)*IF(AND(Painel_diario!$H4866="EU_JD",Painel_diario!$J4866=1),EXP(Painel_diario!$L4866),1)-1</f>
        <v/>
      </c>
      <c r="C4870" s="22">
        <f>(1+C4869)*IF(AND(Painel_diario!$H4866="EU_JU",Painel_diario!$J4866=1),EXP(Painel_diario!$L4866),1)-1</f>
        <v/>
      </c>
      <c r="D4870" s="22">
        <f>(1+D4869)*IF(AND(Painel_diario!$H4866="ED_JD",Painel_diario!$J4866=1),EXP(Painel_diario!$L4866),1)-1</f>
        <v/>
      </c>
      <c r="E4870" s="22">
        <f>(1+E4869)*IF(AND(Painel_diario!$H4866="ED_JU",Painel_diario!$J4866=1),EXP(Painel_diario!$L4866),1)-1</f>
        <v/>
      </c>
    </row>
    <row r="4871">
      <c r="A4871" s="25" t="n">
        <v>45995</v>
      </c>
      <c r="B4871" s="22">
        <f>(1+B4870)*IF(AND(Painel_diario!$H4867="EU_JD",Painel_diario!$J4867=1),EXP(Painel_diario!$L4867),1)-1</f>
        <v/>
      </c>
      <c r="C4871" s="22">
        <f>(1+C4870)*IF(AND(Painel_diario!$H4867="EU_JU",Painel_diario!$J4867=1),EXP(Painel_diario!$L4867),1)-1</f>
        <v/>
      </c>
      <c r="D4871" s="22">
        <f>(1+D4870)*IF(AND(Painel_diario!$H4867="ED_JD",Painel_diario!$J4867=1),EXP(Painel_diario!$L4867),1)-1</f>
        <v/>
      </c>
      <c r="E4871" s="22">
        <f>(1+E4870)*IF(AND(Painel_diario!$H4867="ED_JU",Painel_diario!$J4867=1),EXP(Painel_diario!$L4867),1)-1</f>
        <v/>
      </c>
    </row>
    <row r="4872">
      <c r="A4872" s="25" t="n">
        <v>45996</v>
      </c>
      <c r="B4872" s="22">
        <f>(1+B4871)*IF(AND(Painel_diario!$H4868="EU_JD",Painel_diario!$J4868=1),EXP(Painel_diario!$L4868),1)-1</f>
        <v/>
      </c>
      <c r="C4872" s="22">
        <f>(1+C4871)*IF(AND(Painel_diario!$H4868="EU_JU",Painel_diario!$J4868=1),EXP(Painel_diario!$L4868),1)-1</f>
        <v/>
      </c>
      <c r="D4872" s="22">
        <f>(1+D4871)*IF(AND(Painel_diario!$H4868="ED_JD",Painel_diario!$J4868=1),EXP(Painel_diario!$L4868),1)-1</f>
        <v/>
      </c>
      <c r="E4872" s="22">
        <f>(1+E4871)*IF(AND(Painel_diario!$H4868="ED_JU",Painel_diario!$J4868=1),EXP(Painel_diario!$L4868),1)-1</f>
        <v/>
      </c>
    </row>
    <row r="4873">
      <c r="A4873" s="25" t="n">
        <v>45999</v>
      </c>
      <c r="B4873" s="22">
        <f>(1+B4872)*IF(AND(Painel_diario!$H4869="EU_JD",Painel_diario!$J4869=1),EXP(Painel_diario!$L4869),1)-1</f>
        <v/>
      </c>
      <c r="C4873" s="22">
        <f>(1+C4872)*IF(AND(Painel_diario!$H4869="EU_JU",Painel_diario!$J4869=1),EXP(Painel_diario!$L4869),1)-1</f>
        <v/>
      </c>
      <c r="D4873" s="22">
        <f>(1+D4872)*IF(AND(Painel_diario!$H4869="ED_JD",Painel_diario!$J4869=1),EXP(Painel_diario!$L4869),1)-1</f>
        <v/>
      </c>
      <c r="E4873" s="22">
        <f>(1+E4872)*IF(AND(Painel_diario!$H4869="ED_JU",Painel_diario!$J4869=1),EXP(Painel_diario!$L4869),1)-1</f>
        <v/>
      </c>
    </row>
    <row r="4874">
      <c r="A4874" s="25" t="n">
        <v>46000</v>
      </c>
      <c r="B4874" s="22">
        <f>(1+B4873)*IF(AND(Painel_diario!$H4870="EU_JD",Painel_diario!$J4870=1),EXP(Painel_diario!$L4870),1)-1</f>
        <v/>
      </c>
      <c r="C4874" s="22">
        <f>(1+C4873)*IF(AND(Painel_diario!$H4870="EU_JU",Painel_diario!$J4870=1),EXP(Painel_diario!$L4870),1)-1</f>
        <v/>
      </c>
      <c r="D4874" s="22">
        <f>(1+D4873)*IF(AND(Painel_diario!$H4870="ED_JD",Painel_diario!$J4870=1),EXP(Painel_diario!$L4870),1)-1</f>
        <v/>
      </c>
      <c r="E4874" s="22">
        <f>(1+E4873)*IF(AND(Painel_diario!$H4870="ED_JU",Painel_diario!$J4870=1),EXP(Painel_diario!$L4870),1)-1</f>
        <v/>
      </c>
    </row>
    <row r="4875">
      <c r="A4875" s="25" t="n">
        <v>46001</v>
      </c>
      <c r="B4875" s="22">
        <f>(1+B4874)*IF(AND(Painel_diario!$H4871="EU_JD",Painel_diario!$J4871=1),EXP(Painel_diario!$L4871),1)-1</f>
        <v/>
      </c>
      <c r="C4875" s="22">
        <f>(1+C4874)*IF(AND(Painel_diario!$H4871="EU_JU",Painel_diario!$J4871=1),EXP(Painel_diario!$L4871),1)-1</f>
        <v/>
      </c>
      <c r="D4875" s="22">
        <f>(1+D4874)*IF(AND(Painel_diario!$H4871="ED_JD",Painel_diario!$J4871=1),EXP(Painel_diario!$L4871),1)-1</f>
        <v/>
      </c>
      <c r="E4875" s="22">
        <f>(1+E4874)*IF(AND(Painel_diario!$H4871="ED_JU",Painel_diario!$J4871=1),EXP(Painel_diario!$L4871),1)-1</f>
        <v/>
      </c>
    </row>
    <row r="4876">
      <c r="A4876" s="25" t="n">
        <v>46002</v>
      </c>
      <c r="B4876" s="22">
        <f>(1+B4875)*IF(AND(Painel_diario!$H4872="EU_JD",Painel_diario!$J4872=1),EXP(Painel_diario!$L4872),1)-1</f>
        <v/>
      </c>
      <c r="C4876" s="22">
        <f>(1+C4875)*IF(AND(Painel_diario!$H4872="EU_JU",Painel_diario!$J4872=1),EXP(Painel_diario!$L4872),1)-1</f>
        <v/>
      </c>
      <c r="D4876" s="22">
        <f>(1+D4875)*IF(AND(Painel_diario!$H4872="ED_JD",Painel_diario!$J4872=1),EXP(Painel_diario!$L4872),1)-1</f>
        <v/>
      </c>
      <c r="E4876" s="22">
        <f>(1+E4875)*IF(AND(Painel_diario!$H4872="ED_JU",Painel_diario!$J4872=1),EXP(Painel_diario!$L4872),1)-1</f>
        <v/>
      </c>
    </row>
    <row r="4877">
      <c r="A4877" s="25" t="n">
        <v>46003</v>
      </c>
      <c r="B4877" s="22">
        <f>(1+B4876)*IF(AND(Painel_diario!$H4873="EU_JD",Painel_diario!$J4873=1),EXP(Painel_diario!$L4873),1)-1</f>
        <v/>
      </c>
      <c r="C4877" s="22">
        <f>(1+C4876)*IF(AND(Painel_diario!$H4873="EU_JU",Painel_diario!$J4873=1),EXP(Painel_diario!$L4873),1)-1</f>
        <v/>
      </c>
      <c r="D4877" s="22">
        <f>(1+D4876)*IF(AND(Painel_diario!$H4873="ED_JD",Painel_diario!$J4873=1),EXP(Painel_diario!$L4873),1)-1</f>
        <v/>
      </c>
      <c r="E4877" s="22">
        <f>(1+E4876)*IF(AND(Painel_diario!$H4873="ED_JU",Painel_diario!$J4873=1),EXP(Painel_diario!$L4873),1)-1</f>
        <v/>
      </c>
    </row>
    <row r="4878">
      <c r="A4878" s="25" t="n">
        <v>46006</v>
      </c>
      <c r="B4878" s="22">
        <f>(1+B4877)*IF(AND(Painel_diario!$H4874="EU_JD",Painel_diario!$J4874=1),EXP(Painel_diario!$L4874),1)-1</f>
        <v/>
      </c>
      <c r="C4878" s="22">
        <f>(1+C4877)*IF(AND(Painel_diario!$H4874="EU_JU",Painel_diario!$J4874=1),EXP(Painel_diario!$L4874),1)-1</f>
        <v/>
      </c>
      <c r="D4878" s="22">
        <f>(1+D4877)*IF(AND(Painel_diario!$H4874="ED_JD",Painel_diario!$J4874=1),EXP(Painel_diario!$L4874),1)-1</f>
        <v/>
      </c>
      <c r="E4878" s="22">
        <f>(1+E4877)*IF(AND(Painel_diario!$H4874="ED_JU",Painel_diario!$J4874=1),EXP(Painel_diario!$L4874),1)-1</f>
        <v/>
      </c>
    </row>
    <row r="4879">
      <c r="A4879" s="25" t="n">
        <v>46007</v>
      </c>
      <c r="B4879" s="22">
        <f>(1+B4878)*IF(AND(Painel_diario!$H4875="EU_JD",Painel_diario!$J4875=1),EXP(Painel_diario!$L4875),1)-1</f>
        <v/>
      </c>
      <c r="C4879" s="22">
        <f>(1+C4878)*IF(AND(Painel_diario!$H4875="EU_JU",Painel_diario!$J4875=1),EXP(Painel_diario!$L4875),1)-1</f>
        <v/>
      </c>
      <c r="D4879" s="22">
        <f>(1+D4878)*IF(AND(Painel_diario!$H4875="ED_JD",Painel_diario!$J4875=1),EXP(Painel_diario!$L4875),1)-1</f>
        <v/>
      </c>
      <c r="E4879" s="22">
        <f>(1+E4878)*IF(AND(Painel_diario!$H4875="ED_JU",Painel_diario!$J4875=1),EXP(Painel_diario!$L4875),1)-1</f>
        <v/>
      </c>
    </row>
    <row r="4880">
      <c r="A4880" s="25" t="n">
        <v>46008</v>
      </c>
      <c r="B4880" s="22">
        <f>(1+B4879)*IF(AND(Painel_diario!$H4876="EU_JD",Painel_diario!$J4876=1),EXP(Painel_diario!$L4876),1)-1</f>
        <v/>
      </c>
      <c r="C4880" s="22">
        <f>(1+C4879)*IF(AND(Painel_diario!$H4876="EU_JU",Painel_diario!$J4876=1),EXP(Painel_diario!$L4876),1)-1</f>
        <v/>
      </c>
      <c r="D4880" s="22">
        <f>(1+D4879)*IF(AND(Painel_diario!$H4876="ED_JD",Painel_diario!$J4876=1),EXP(Painel_diario!$L4876),1)-1</f>
        <v/>
      </c>
      <c r="E4880" s="22">
        <f>(1+E4879)*IF(AND(Painel_diario!$H4876="ED_JU",Painel_diario!$J4876=1),EXP(Painel_diario!$L4876),1)-1</f>
        <v/>
      </c>
    </row>
    <row r="4881">
      <c r="A4881" s="25" t="n">
        <v>46009</v>
      </c>
      <c r="B4881" s="22">
        <f>(1+B4880)*IF(AND(Painel_diario!$H4877="EU_JD",Painel_diario!$J4877=1),EXP(Painel_diario!$L4877),1)-1</f>
        <v/>
      </c>
      <c r="C4881" s="22">
        <f>(1+C4880)*IF(AND(Painel_diario!$H4877="EU_JU",Painel_diario!$J4877=1),EXP(Painel_diario!$L4877),1)-1</f>
        <v/>
      </c>
      <c r="D4881" s="22">
        <f>(1+D4880)*IF(AND(Painel_diario!$H4877="ED_JD",Painel_diario!$J4877=1),EXP(Painel_diario!$L4877),1)-1</f>
        <v/>
      </c>
      <c r="E4881" s="22">
        <f>(1+E4880)*IF(AND(Painel_diario!$H4877="ED_JU",Painel_diario!$J4877=1),EXP(Painel_diario!$L4877),1)-1</f>
        <v/>
      </c>
    </row>
    <row r="4882">
      <c r="A4882" s="25" t="n">
        <v>46010</v>
      </c>
      <c r="B4882" s="22">
        <f>(1+B4881)*IF(AND(Painel_diario!$H4878="EU_JD",Painel_diario!$J4878=1),EXP(Painel_diario!$L4878),1)-1</f>
        <v/>
      </c>
      <c r="C4882" s="22">
        <f>(1+C4881)*IF(AND(Painel_diario!$H4878="EU_JU",Painel_diario!$J4878=1),EXP(Painel_diario!$L4878),1)-1</f>
        <v/>
      </c>
      <c r="D4882" s="22">
        <f>(1+D4881)*IF(AND(Painel_diario!$H4878="ED_JD",Painel_diario!$J4878=1),EXP(Painel_diario!$L4878),1)-1</f>
        <v/>
      </c>
      <c r="E4882" s="22">
        <f>(1+E4881)*IF(AND(Painel_diario!$H4878="ED_JU",Painel_diario!$J4878=1),EXP(Painel_diario!$L4878),1)-1</f>
        <v/>
      </c>
    </row>
    <row r="4883">
      <c r="A4883" s="25" t="n">
        <v>46013</v>
      </c>
      <c r="B4883" s="22">
        <f>(1+B4882)*IF(AND(Painel_diario!$H4879="EU_JD",Painel_diario!$J4879=1),EXP(Painel_diario!$L4879),1)-1</f>
        <v/>
      </c>
      <c r="C4883" s="22">
        <f>(1+C4882)*IF(AND(Painel_diario!$H4879="EU_JU",Painel_diario!$J4879=1),EXP(Painel_diario!$L4879),1)-1</f>
        <v/>
      </c>
      <c r="D4883" s="22">
        <f>(1+D4882)*IF(AND(Painel_diario!$H4879="ED_JD",Painel_diario!$J4879=1),EXP(Painel_diario!$L4879),1)-1</f>
        <v/>
      </c>
      <c r="E4883" s="22">
        <f>(1+E4882)*IF(AND(Painel_diario!$H4879="ED_JU",Painel_diario!$J4879=1),EXP(Painel_diario!$L4879),1)-1</f>
        <v/>
      </c>
    </row>
    <row r="4884">
      <c r="A4884" s="25" t="n">
        <v>46014</v>
      </c>
      <c r="B4884" s="22">
        <f>(1+B4883)*IF(AND(Painel_diario!$H4880="EU_JD",Painel_diario!$J4880=1),EXP(Painel_diario!$L4880),1)-1</f>
        <v/>
      </c>
      <c r="C4884" s="22">
        <f>(1+C4883)*IF(AND(Painel_diario!$H4880="EU_JU",Painel_diario!$J4880=1),EXP(Painel_diario!$L4880),1)-1</f>
        <v/>
      </c>
      <c r="D4884" s="22">
        <f>(1+D4883)*IF(AND(Painel_diario!$H4880="ED_JD",Painel_diario!$J4880=1),EXP(Painel_diario!$L4880),1)-1</f>
        <v/>
      </c>
      <c r="E4884" s="22">
        <f>(1+E4883)*IF(AND(Painel_diario!$H4880="ED_JU",Painel_diario!$J4880=1),EXP(Painel_diario!$L4880),1)-1</f>
        <v/>
      </c>
    </row>
    <row r="4885">
      <c r="A4885" s="25" t="n">
        <v>46017</v>
      </c>
      <c r="B4885" s="22">
        <f>(1+B4884)*IF(AND(Painel_diario!$H4881="EU_JD",Painel_diario!$J4881=1),EXP(Painel_diario!$L4881),1)-1</f>
        <v/>
      </c>
      <c r="C4885" s="22">
        <f>(1+C4884)*IF(AND(Painel_diario!$H4881="EU_JU",Painel_diario!$J4881=1),EXP(Painel_diario!$L4881),1)-1</f>
        <v/>
      </c>
      <c r="D4885" s="22">
        <f>(1+D4884)*IF(AND(Painel_diario!$H4881="ED_JD",Painel_diario!$J4881=1),EXP(Painel_diario!$L4881),1)-1</f>
        <v/>
      </c>
      <c r="E4885" s="22">
        <f>(1+E4884)*IF(AND(Painel_diario!$H4881="ED_JU",Painel_diario!$J4881=1),EXP(Painel_diario!$L4881),1)-1</f>
        <v/>
      </c>
    </row>
    <row r="4886">
      <c r="A4886" s="25" t="n">
        <v>46020</v>
      </c>
      <c r="B4886" s="22">
        <f>(1+B4885)*IF(AND(Painel_diario!$H4882="EU_JD",Painel_diario!$J4882=1),EXP(Painel_diario!$L4882),1)-1</f>
        <v/>
      </c>
      <c r="C4886" s="22">
        <f>(1+C4885)*IF(AND(Painel_diario!$H4882="EU_JU",Painel_diario!$J4882=1),EXP(Painel_diario!$L4882),1)-1</f>
        <v/>
      </c>
      <c r="D4886" s="22">
        <f>(1+D4885)*IF(AND(Painel_diario!$H4882="ED_JD",Painel_diario!$J4882=1),EXP(Painel_diario!$L4882),1)-1</f>
        <v/>
      </c>
      <c r="E4886" s="22">
        <f>(1+E4885)*IF(AND(Painel_diario!$H4882="ED_JU",Painel_diario!$J4882=1),EXP(Painel_diario!$L4882),1)-1</f>
        <v/>
      </c>
    </row>
    <row r="4887">
      <c r="A4887" s="25" t="n">
        <v>46021</v>
      </c>
      <c r="B4887" s="22">
        <f>(1+B4886)*IF(AND(Painel_diario!$H4883="EU_JD",Painel_diario!$J4883=1),EXP(Painel_diario!$L4883),1)-1</f>
        <v/>
      </c>
      <c r="C4887" s="22">
        <f>(1+C4886)*IF(AND(Painel_diario!$H4883="EU_JU",Painel_diario!$J4883=1),EXP(Painel_diario!$L4883),1)-1</f>
        <v/>
      </c>
      <c r="D4887" s="22">
        <f>(1+D4886)*IF(AND(Painel_diario!$H4883="ED_JD",Painel_diario!$J4883=1),EXP(Painel_diario!$L4883),1)-1</f>
        <v/>
      </c>
      <c r="E4887" s="22">
        <f>(1+E4886)*IF(AND(Painel_diario!$H4883="ED_JU",Painel_diario!$J4883=1),EXP(Painel_diario!$L4883),1)-1</f>
        <v/>
      </c>
    </row>
    <row r="4888">
      <c r="A4888" s="25" t="n">
        <v>46024</v>
      </c>
      <c r="B4888" s="22">
        <f>(1+B4887)*IF(AND(Painel_diario!$H4884="EU_JD",Painel_diario!$J4884=1),EXP(Painel_diario!$L4884),1)-1</f>
        <v/>
      </c>
      <c r="C4888" s="22">
        <f>(1+C4887)*IF(AND(Painel_diario!$H4884="EU_JU",Painel_diario!$J4884=1),EXP(Painel_diario!$L4884),1)-1</f>
        <v/>
      </c>
      <c r="D4888" s="22">
        <f>(1+D4887)*IF(AND(Painel_diario!$H4884="ED_JD",Painel_diario!$J4884=1),EXP(Painel_diario!$L4884),1)-1</f>
        <v/>
      </c>
      <c r="E4888" s="22">
        <f>(1+E4887)*IF(AND(Painel_diario!$H4884="ED_JU",Painel_diario!$J4884=1),EXP(Painel_diario!$L4884),1)-1</f>
        <v/>
      </c>
    </row>
    <row r="4889">
      <c r="A4889" s="25" t="n">
        <v>46027</v>
      </c>
      <c r="B4889" s="22">
        <f>(1+B4888)*IF(AND(Painel_diario!$H4885="EU_JD",Painel_diario!$J4885=1),EXP(Painel_diario!$L4885),1)-1</f>
        <v/>
      </c>
      <c r="C4889" s="22">
        <f>(1+C4888)*IF(AND(Painel_diario!$H4885="EU_JU",Painel_diario!$J4885=1),EXP(Painel_diario!$L4885),1)-1</f>
        <v/>
      </c>
      <c r="D4889" s="22">
        <f>(1+D4888)*IF(AND(Painel_diario!$H4885="ED_JD",Painel_diario!$J4885=1),EXP(Painel_diario!$L4885),1)-1</f>
        <v/>
      </c>
      <c r="E4889" s="22">
        <f>(1+E4888)*IF(AND(Painel_diario!$H4885="ED_JU",Painel_diario!$J4885=1),EXP(Painel_diario!$L4885),1)-1</f>
        <v/>
      </c>
    </row>
    <row r="4890">
      <c r="A4890" s="25" t="n">
        <v>46028</v>
      </c>
      <c r="B4890" s="22">
        <f>(1+B4889)*IF(AND(Painel_diario!$H4886="EU_JD",Painel_diario!$J4886=1),EXP(Painel_diario!$L4886),1)-1</f>
        <v/>
      </c>
      <c r="C4890" s="22">
        <f>(1+C4889)*IF(AND(Painel_diario!$H4886="EU_JU",Painel_diario!$J4886=1),EXP(Painel_diario!$L4886),1)-1</f>
        <v/>
      </c>
      <c r="D4890" s="22">
        <f>(1+D4889)*IF(AND(Painel_diario!$H4886="ED_JD",Painel_diario!$J4886=1),EXP(Painel_diario!$L4886),1)-1</f>
        <v/>
      </c>
      <c r="E4890" s="22">
        <f>(1+E4889)*IF(AND(Painel_diario!$H4886="ED_JU",Painel_diario!$J4886=1),EXP(Painel_diario!$L4886),1)-1</f>
        <v/>
      </c>
    </row>
    <row r="4891">
      <c r="A4891" s="25" t="n">
        <v>46029</v>
      </c>
      <c r="B4891" s="22">
        <f>(1+B4890)*IF(AND(Painel_diario!$H4887="EU_JD",Painel_diario!$J4887=1),EXP(Painel_diario!$L4887),1)-1</f>
        <v/>
      </c>
      <c r="C4891" s="22">
        <f>(1+C4890)*IF(AND(Painel_diario!$H4887="EU_JU",Painel_diario!$J4887=1),EXP(Painel_diario!$L4887),1)-1</f>
        <v/>
      </c>
      <c r="D4891" s="22">
        <f>(1+D4890)*IF(AND(Painel_diario!$H4887="ED_JD",Painel_diario!$J4887=1),EXP(Painel_diario!$L4887),1)-1</f>
        <v/>
      </c>
      <c r="E4891" s="22">
        <f>(1+E4890)*IF(AND(Painel_diario!$H4887="ED_JU",Painel_diario!$J4887=1),EXP(Painel_diario!$L4887),1)-1</f>
        <v/>
      </c>
    </row>
    <row r="4892">
      <c r="A4892" s="25" t="n">
        <v>46030</v>
      </c>
      <c r="B4892" s="22">
        <f>(1+B4891)*IF(AND(Painel_diario!$H4888="EU_JD",Painel_diario!$J4888=1),EXP(Painel_diario!$L4888),1)-1</f>
        <v/>
      </c>
      <c r="C4892" s="22">
        <f>(1+C4891)*IF(AND(Painel_diario!$H4888="EU_JU",Painel_diario!$J4888=1),EXP(Painel_diario!$L4888),1)-1</f>
        <v/>
      </c>
      <c r="D4892" s="22">
        <f>(1+D4891)*IF(AND(Painel_diario!$H4888="ED_JD",Painel_diario!$J4888=1),EXP(Painel_diario!$L4888),1)-1</f>
        <v/>
      </c>
      <c r="E4892" s="22">
        <f>(1+E4891)*IF(AND(Painel_diario!$H4888="ED_JU",Painel_diario!$J4888=1),EXP(Painel_diario!$L4888),1)-1</f>
        <v/>
      </c>
    </row>
    <row r="4893">
      <c r="A4893" s="25" t="n">
        <v>46031</v>
      </c>
      <c r="B4893" s="22">
        <f>(1+B4892)*IF(AND(Painel_diario!$H4889="EU_JD",Painel_diario!$J4889=1),EXP(Painel_diario!$L4889),1)-1</f>
        <v/>
      </c>
      <c r="C4893" s="22">
        <f>(1+C4892)*IF(AND(Painel_diario!$H4889="EU_JU",Painel_diario!$J4889=1),EXP(Painel_diario!$L4889),1)-1</f>
        <v/>
      </c>
      <c r="D4893" s="22">
        <f>(1+D4892)*IF(AND(Painel_diario!$H4889="ED_JD",Painel_diario!$J4889=1),EXP(Painel_diario!$L4889),1)-1</f>
        <v/>
      </c>
      <c r="E4893" s="22">
        <f>(1+E4892)*IF(AND(Painel_diario!$H4889="ED_JU",Painel_diario!$J4889=1),EXP(Painel_diario!$L4889),1)-1</f>
        <v/>
      </c>
    </row>
    <row r="4894">
      <c r="A4894" s="25" t="n">
        <v>46034</v>
      </c>
      <c r="B4894" s="22">
        <f>(1+B4893)*IF(AND(Painel_diario!$H4890="EU_JD",Painel_diario!$J4890=1),EXP(Painel_diario!$L4890),1)-1</f>
        <v/>
      </c>
      <c r="C4894" s="22">
        <f>(1+C4893)*IF(AND(Painel_diario!$H4890="EU_JU",Painel_diario!$J4890=1),EXP(Painel_diario!$L4890),1)-1</f>
        <v/>
      </c>
      <c r="D4894" s="22">
        <f>(1+D4893)*IF(AND(Painel_diario!$H4890="ED_JD",Painel_diario!$J4890=1),EXP(Painel_diario!$L4890),1)-1</f>
        <v/>
      </c>
      <c r="E4894" s="22">
        <f>(1+E4893)*IF(AND(Painel_diario!$H4890="ED_JU",Painel_diario!$J4890=1),EXP(Painel_diario!$L4890),1)-1</f>
        <v/>
      </c>
    </row>
    <row r="4895">
      <c r="A4895" s="25" t="n">
        <v>46035</v>
      </c>
      <c r="B4895" s="22">
        <f>(1+B4894)*IF(AND(Painel_diario!$H4891="EU_JD",Painel_diario!$J4891=1),EXP(Painel_diario!$L4891),1)-1</f>
        <v/>
      </c>
      <c r="C4895" s="22">
        <f>(1+C4894)*IF(AND(Painel_diario!$H4891="EU_JU",Painel_diario!$J4891=1),EXP(Painel_diario!$L4891),1)-1</f>
        <v/>
      </c>
      <c r="D4895" s="22">
        <f>(1+D4894)*IF(AND(Painel_diario!$H4891="ED_JD",Painel_diario!$J4891=1),EXP(Painel_diario!$L4891),1)-1</f>
        <v/>
      </c>
      <c r="E4895" s="22">
        <f>(1+E4894)*IF(AND(Painel_diario!$H4891="ED_JU",Painel_diario!$J4891=1),EXP(Painel_diario!$L4891),1)-1</f>
        <v/>
      </c>
    </row>
    <row r="4896">
      <c r="A4896" s="25" t="n">
        <v>46036</v>
      </c>
      <c r="B4896" s="22">
        <f>(1+B4895)*IF(AND(Painel_diario!$H4892="EU_JD",Painel_diario!$J4892=1),EXP(Painel_diario!$L4892),1)-1</f>
        <v/>
      </c>
      <c r="C4896" s="22">
        <f>(1+C4895)*IF(AND(Painel_diario!$H4892="EU_JU",Painel_diario!$J4892=1),EXP(Painel_diario!$L4892),1)-1</f>
        <v/>
      </c>
      <c r="D4896" s="22">
        <f>(1+D4895)*IF(AND(Painel_diario!$H4892="ED_JD",Painel_diario!$J4892=1),EXP(Painel_diario!$L4892),1)-1</f>
        <v/>
      </c>
      <c r="E4896" s="22">
        <f>(1+E4895)*IF(AND(Painel_diario!$H4892="ED_JU",Painel_diario!$J4892=1),EXP(Painel_diario!$L4892),1)-1</f>
        <v/>
      </c>
    </row>
    <row r="4897">
      <c r="A4897" s="25" t="n">
        <v>46037</v>
      </c>
      <c r="B4897" s="22">
        <f>(1+B4896)*IF(AND(Painel_diario!$H4893="EU_JD",Painel_diario!$J4893=1),EXP(Painel_diario!$L4893),1)-1</f>
        <v/>
      </c>
      <c r="C4897" s="22">
        <f>(1+C4896)*IF(AND(Painel_diario!$H4893="EU_JU",Painel_diario!$J4893=1),EXP(Painel_diario!$L4893),1)-1</f>
        <v/>
      </c>
      <c r="D4897" s="22">
        <f>(1+D4896)*IF(AND(Painel_diario!$H4893="ED_JD",Painel_diario!$J4893=1),EXP(Painel_diario!$L4893),1)-1</f>
        <v/>
      </c>
      <c r="E4897" s="22">
        <f>(1+E4896)*IF(AND(Painel_diario!$H4893="ED_JU",Painel_diario!$J4893=1),EXP(Painel_diario!$L4893),1)-1</f>
        <v/>
      </c>
    </row>
    <row r="4898">
      <c r="A4898" s="25" t="n">
        <v>46038</v>
      </c>
      <c r="B4898" s="22">
        <f>(1+B4897)*IF(AND(Painel_diario!$H4894="EU_JD",Painel_diario!$J4894=1),EXP(Painel_diario!$L4894),1)-1</f>
        <v/>
      </c>
      <c r="C4898" s="22">
        <f>(1+C4897)*IF(AND(Painel_diario!$H4894="EU_JU",Painel_diario!$J4894=1),EXP(Painel_diario!$L4894),1)-1</f>
        <v/>
      </c>
      <c r="D4898" s="22">
        <f>(1+D4897)*IF(AND(Painel_diario!$H4894="ED_JD",Painel_diario!$J4894=1),EXP(Painel_diario!$L4894),1)-1</f>
        <v/>
      </c>
      <c r="E4898" s="22">
        <f>(1+E4897)*IF(AND(Painel_diario!$H4894="ED_JU",Painel_diario!$J4894=1),EXP(Painel_diario!$L4894),1)-1</f>
        <v/>
      </c>
    </row>
    <row r="4899">
      <c r="A4899" s="25" t="n">
        <v>46041</v>
      </c>
      <c r="B4899" s="22">
        <f>(1+B4898)*IF(AND(Painel_diario!$H4895="EU_JD",Painel_diario!$J4895=1),EXP(Painel_diario!$L4895),1)-1</f>
        <v/>
      </c>
      <c r="C4899" s="22">
        <f>(1+C4898)*IF(AND(Painel_diario!$H4895="EU_JU",Painel_diario!$J4895=1),EXP(Painel_diario!$L4895),1)-1</f>
        <v/>
      </c>
      <c r="D4899" s="22">
        <f>(1+D4898)*IF(AND(Painel_diario!$H4895="ED_JD",Painel_diario!$J4895=1),EXP(Painel_diario!$L4895),1)-1</f>
        <v/>
      </c>
      <c r="E4899" s="22">
        <f>(1+E4898)*IF(AND(Painel_diario!$H4895="ED_JU",Painel_diario!$J4895=1),EXP(Painel_diario!$L4895),1)-1</f>
        <v/>
      </c>
    </row>
    <row r="4900">
      <c r="A4900" s="25" t="n">
        <v>46042</v>
      </c>
      <c r="B4900" s="22">
        <f>(1+B4899)*IF(AND(Painel_diario!$H4896="EU_JD",Painel_diario!$J4896=1),EXP(Painel_diario!$L4896),1)-1</f>
        <v/>
      </c>
      <c r="C4900" s="22">
        <f>(1+C4899)*IF(AND(Painel_diario!$H4896="EU_JU",Painel_diario!$J4896=1),EXP(Painel_diario!$L4896),1)-1</f>
        <v/>
      </c>
      <c r="D4900" s="22">
        <f>(1+D4899)*IF(AND(Painel_diario!$H4896="ED_JD",Painel_diario!$J4896=1),EXP(Painel_diario!$L4896),1)-1</f>
        <v/>
      </c>
      <c r="E4900" s="22">
        <f>(1+E4899)*IF(AND(Painel_diario!$H4896="ED_JU",Painel_diario!$J4896=1),EXP(Painel_diario!$L4896),1)-1</f>
        <v/>
      </c>
    </row>
    <row r="4901">
      <c r="A4901" s="25" t="n">
        <v>46043</v>
      </c>
      <c r="B4901" s="22">
        <f>(1+B4900)*IF(AND(Painel_diario!$H4897="EU_JD",Painel_diario!$J4897=1),EXP(Painel_diario!$L4897),1)-1</f>
        <v/>
      </c>
      <c r="C4901" s="22">
        <f>(1+C4900)*IF(AND(Painel_diario!$H4897="EU_JU",Painel_diario!$J4897=1),EXP(Painel_diario!$L4897),1)-1</f>
        <v/>
      </c>
      <c r="D4901" s="22">
        <f>(1+D4900)*IF(AND(Painel_diario!$H4897="ED_JD",Painel_diario!$J4897=1),EXP(Painel_diario!$L4897),1)-1</f>
        <v/>
      </c>
      <c r="E4901" s="22">
        <f>(1+E4900)*IF(AND(Painel_diario!$H4897="ED_JU",Painel_diario!$J4897=1),EXP(Painel_diario!$L4897),1)-1</f>
        <v/>
      </c>
    </row>
    <row r="4902">
      <c r="A4902" s="25" t="n">
        <v>46044</v>
      </c>
      <c r="B4902" s="22">
        <f>(1+B4901)*IF(AND(Painel_diario!$H4898="EU_JD",Painel_diario!$J4898=1),EXP(Painel_diario!$L4898),1)-1</f>
        <v/>
      </c>
      <c r="C4902" s="22">
        <f>(1+C4901)*IF(AND(Painel_diario!$H4898="EU_JU",Painel_diario!$J4898=1),EXP(Painel_diario!$L4898),1)-1</f>
        <v/>
      </c>
      <c r="D4902" s="22">
        <f>(1+D4901)*IF(AND(Painel_diario!$H4898="ED_JD",Painel_diario!$J4898=1),EXP(Painel_diario!$L4898),1)-1</f>
        <v/>
      </c>
      <c r="E4902" s="22">
        <f>(1+E4901)*IF(AND(Painel_diario!$H4898="ED_JU",Painel_diario!$J4898=1),EXP(Painel_diario!$L4898),1)-1</f>
        <v/>
      </c>
    </row>
    <row r="4903">
      <c r="A4903" s="25" t="n">
        <v>46045</v>
      </c>
      <c r="B4903" s="22">
        <f>(1+B4902)*IF(AND(Painel_diario!$H4899="EU_JD",Painel_diario!$J4899=1),EXP(Painel_diario!$L4899),1)-1</f>
        <v/>
      </c>
      <c r="C4903" s="22">
        <f>(1+C4902)*IF(AND(Painel_diario!$H4899="EU_JU",Painel_diario!$J4899=1),EXP(Painel_diario!$L4899),1)-1</f>
        <v/>
      </c>
      <c r="D4903" s="22">
        <f>(1+D4902)*IF(AND(Painel_diario!$H4899="ED_JD",Painel_diario!$J4899=1),EXP(Painel_diario!$L4899),1)-1</f>
        <v/>
      </c>
      <c r="E4903" s="22">
        <f>(1+E4902)*IF(AND(Painel_diario!$H4899="ED_JU",Painel_diario!$J4899=1),EXP(Painel_diario!$L4899),1)-1</f>
        <v/>
      </c>
    </row>
    <row r="4904">
      <c r="A4904" s="25" t="n">
        <v>46048</v>
      </c>
      <c r="B4904" s="22">
        <f>(1+B4903)*IF(AND(Painel_diario!$H4900="EU_JD",Painel_diario!$J4900=1),EXP(Painel_diario!$L4900),1)-1</f>
        <v/>
      </c>
      <c r="C4904" s="22">
        <f>(1+C4903)*IF(AND(Painel_diario!$H4900="EU_JU",Painel_diario!$J4900=1),EXP(Painel_diario!$L4900),1)-1</f>
        <v/>
      </c>
      <c r="D4904" s="22">
        <f>(1+D4903)*IF(AND(Painel_diario!$H4900="ED_JD",Painel_diario!$J4900=1),EXP(Painel_diario!$L4900),1)-1</f>
        <v/>
      </c>
      <c r="E4904" s="22">
        <f>(1+E4903)*IF(AND(Painel_diario!$H4900="ED_JU",Painel_diario!$J4900=1),EXP(Painel_diario!$L4900),1)-1</f>
        <v/>
      </c>
    </row>
    <row r="4905">
      <c r="A4905" s="25" t="n">
        <v>46049</v>
      </c>
      <c r="B4905" s="22">
        <f>(1+B4904)*IF(AND(Painel_diario!$H4901="EU_JD",Painel_diario!$J4901=1),EXP(Painel_diario!$L4901),1)-1</f>
        <v/>
      </c>
      <c r="C4905" s="22">
        <f>(1+C4904)*IF(AND(Painel_diario!$H4901="EU_JU",Painel_diario!$J4901=1),EXP(Painel_diario!$L4901),1)-1</f>
        <v/>
      </c>
      <c r="D4905" s="22">
        <f>(1+D4904)*IF(AND(Painel_diario!$H4901="ED_JD",Painel_diario!$J4901=1),EXP(Painel_diario!$L4901),1)-1</f>
        <v/>
      </c>
      <c r="E4905" s="22">
        <f>(1+E4904)*IF(AND(Painel_diario!$H4901="ED_JU",Painel_diario!$J4901=1),EXP(Painel_diario!$L4901),1)-1</f>
        <v/>
      </c>
    </row>
    <row r="4906">
      <c r="A4906" s="25" t="n">
        <v>46050</v>
      </c>
      <c r="B4906" s="22">
        <f>(1+B4905)*IF(AND(Painel_diario!$H4902="EU_JD",Painel_diario!$J4902=1),EXP(Painel_diario!$L4902),1)-1</f>
        <v/>
      </c>
      <c r="C4906" s="22">
        <f>(1+C4905)*IF(AND(Painel_diario!$H4902="EU_JU",Painel_diario!$J4902=1),EXP(Painel_diario!$L4902),1)-1</f>
        <v/>
      </c>
      <c r="D4906" s="22">
        <f>(1+D4905)*IF(AND(Painel_diario!$H4902="ED_JD",Painel_diario!$J4902=1),EXP(Painel_diario!$L4902),1)-1</f>
        <v/>
      </c>
      <c r="E4906" s="22">
        <f>(1+E4905)*IF(AND(Painel_diario!$H4902="ED_JU",Painel_diario!$J4902=1),EXP(Painel_diario!$L4902),1)-1</f>
        <v/>
      </c>
    </row>
    <row r="4907">
      <c r="A4907" s="25" t="n">
        <v>46051</v>
      </c>
      <c r="B4907" s="22">
        <f>(1+B4906)*IF(AND(Painel_diario!$H4903="EU_JD",Painel_diario!$J4903=1),EXP(Painel_diario!$L4903),1)-1</f>
        <v/>
      </c>
      <c r="C4907" s="22">
        <f>(1+C4906)*IF(AND(Painel_diario!$H4903="EU_JU",Painel_diario!$J4903=1),EXP(Painel_diario!$L4903),1)-1</f>
        <v/>
      </c>
      <c r="D4907" s="22">
        <f>(1+D4906)*IF(AND(Painel_diario!$H4903="ED_JD",Painel_diario!$J4903=1),EXP(Painel_diario!$L4903),1)-1</f>
        <v/>
      </c>
      <c r="E4907" s="22">
        <f>(1+E4906)*IF(AND(Painel_diario!$H4903="ED_JU",Painel_diario!$J4903=1),EXP(Painel_diario!$L4903),1)-1</f>
        <v/>
      </c>
    </row>
    <row r="4908">
      <c r="A4908" s="25" t="n">
        <v>46052</v>
      </c>
      <c r="B4908" s="22">
        <f>(1+B4907)*IF(AND(Painel_diario!$H4904="EU_JD",Painel_diario!$J4904=1),EXP(Painel_diario!$L4904),1)-1</f>
        <v/>
      </c>
      <c r="C4908" s="22">
        <f>(1+C4907)*IF(AND(Painel_diario!$H4904="EU_JU",Painel_diario!$J4904=1),EXP(Painel_diario!$L4904),1)-1</f>
        <v/>
      </c>
      <c r="D4908" s="22">
        <f>(1+D4907)*IF(AND(Painel_diario!$H4904="ED_JD",Painel_diario!$J4904=1),EXP(Painel_diario!$L4904),1)-1</f>
        <v/>
      </c>
      <c r="E4908" s="22">
        <f>(1+E4907)*IF(AND(Painel_diario!$H4904="ED_JU",Painel_diario!$J4904=1),EXP(Painel_diario!$L4904),1)-1</f>
        <v/>
      </c>
    </row>
    <row r="4909">
      <c r="A4909" s="25" t="n">
        <v>46055</v>
      </c>
      <c r="B4909" s="22">
        <f>(1+B4908)*IF(AND(Painel_diario!$H4905="EU_JD",Painel_diario!$J4905=1),EXP(Painel_diario!$L4905),1)-1</f>
        <v/>
      </c>
      <c r="C4909" s="22">
        <f>(1+C4908)*IF(AND(Painel_diario!$H4905="EU_JU",Painel_diario!$J4905=1),EXP(Painel_diario!$L4905),1)-1</f>
        <v/>
      </c>
      <c r="D4909" s="22">
        <f>(1+D4908)*IF(AND(Painel_diario!$H4905="ED_JD",Painel_diario!$J4905=1),EXP(Painel_diario!$L4905),1)-1</f>
        <v/>
      </c>
      <c r="E4909" s="22">
        <f>(1+E4908)*IF(AND(Painel_diario!$H4905="ED_JU",Painel_diario!$J4905=1),EXP(Painel_diario!$L4905),1)-1</f>
        <v/>
      </c>
    </row>
    <row r="4910">
      <c r="A4910" s="25" t="n">
        <v>46056</v>
      </c>
      <c r="B4910" s="22">
        <f>(1+B4909)*IF(AND(Painel_diario!$H4906="EU_JD",Painel_diario!$J4906=1),EXP(Painel_diario!$L4906),1)-1</f>
        <v/>
      </c>
      <c r="C4910" s="22">
        <f>(1+C4909)*IF(AND(Painel_diario!$H4906="EU_JU",Painel_diario!$J4906=1),EXP(Painel_diario!$L4906),1)-1</f>
        <v/>
      </c>
      <c r="D4910" s="22">
        <f>(1+D4909)*IF(AND(Painel_diario!$H4906="ED_JD",Painel_diario!$J4906=1),EXP(Painel_diario!$L4906),1)-1</f>
        <v/>
      </c>
      <c r="E4910" s="22">
        <f>(1+E4909)*IF(AND(Painel_diario!$H4906="ED_JU",Painel_diario!$J4906=1),EXP(Painel_diario!$L4906),1)-1</f>
        <v/>
      </c>
    </row>
    <row r="4911">
      <c r="A4911" s="25" t="n">
        <v>46057</v>
      </c>
      <c r="B4911" s="22">
        <f>(1+B4910)*IF(AND(Painel_diario!$H4907="EU_JD",Painel_diario!$J4907=1),EXP(Painel_diario!$L4907),1)-1</f>
        <v/>
      </c>
      <c r="C4911" s="22">
        <f>(1+C4910)*IF(AND(Painel_diario!$H4907="EU_JU",Painel_diario!$J4907=1),EXP(Painel_diario!$L4907),1)-1</f>
        <v/>
      </c>
      <c r="D4911" s="22">
        <f>(1+D4910)*IF(AND(Painel_diario!$H4907="ED_JD",Painel_diario!$J4907=1),EXP(Painel_diario!$L4907),1)-1</f>
        <v/>
      </c>
      <c r="E4911" s="22">
        <f>(1+E4910)*IF(AND(Painel_diario!$H4907="ED_JU",Painel_diario!$J4907=1),EXP(Painel_diario!$L4907),1)-1</f>
        <v/>
      </c>
    </row>
    <row r="4912">
      <c r="A4912" s="25" t="n">
        <v>46058</v>
      </c>
      <c r="B4912" s="22">
        <f>(1+B4911)*IF(AND(Painel_diario!$H4908="EU_JD",Painel_diario!$J4908=1),EXP(Painel_diario!$L4908),1)-1</f>
        <v/>
      </c>
      <c r="C4912" s="22">
        <f>(1+C4911)*IF(AND(Painel_diario!$H4908="EU_JU",Painel_diario!$J4908=1),EXP(Painel_diario!$L4908),1)-1</f>
        <v/>
      </c>
      <c r="D4912" s="22">
        <f>(1+D4911)*IF(AND(Painel_diario!$H4908="ED_JD",Painel_diario!$J4908=1),EXP(Painel_diario!$L4908),1)-1</f>
        <v/>
      </c>
      <c r="E4912" s="22">
        <f>(1+E4911)*IF(AND(Painel_diario!$H4908="ED_JU",Painel_diario!$J4908=1),EXP(Painel_diario!$L4908),1)-1</f>
        <v/>
      </c>
    </row>
    <row r="4913">
      <c r="A4913" s="25" t="n">
        <v>46059</v>
      </c>
      <c r="B4913" s="22">
        <f>(1+B4912)*IF(AND(Painel_diario!$H4909="EU_JD",Painel_diario!$J4909=1),EXP(Painel_diario!$L4909),1)-1</f>
        <v/>
      </c>
      <c r="C4913" s="22">
        <f>(1+C4912)*IF(AND(Painel_diario!$H4909="EU_JU",Painel_diario!$J4909=1),EXP(Painel_diario!$L4909),1)-1</f>
        <v/>
      </c>
      <c r="D4913" s="22">
        <f>(1+D4912)*IF(AND(Painel_diario!$H4909="ED_JD",Painel_diario!$J4909=1),EXP(Painel_diario!$L4909),1)-1</f>
        <v/>
      </c>
      <c r="E4913" s="22">
        <f>(1+E4912)*IF(AND(Painel_diario!$H4909="ED_JU",Painel_diario!$J4909=1),EXP(Painel_diario!$L4909),1)-1</f>
        <v/>
      </c>
    </row>
    <row r="4914">
      <c r="A4914" s="25" t="n">
        <v>46062</v>
      </c>
      <c r="B4914" s="22">
        <f>(1+B4913)*IF(AND(Painel_diario!$H4910="EU_JD",Painel_diario!$J4910=1),EXP(Painel_diario!$L4910),1)-1</f>
        <v/>
      </c>
      <c r="C4914" s="22">
        <f>(1+C4913)*IF(AND(Painel_diario!$H4910="EU_JU",Painel_diario!$J4910=1),EXP(Painel_diario!$L4910),1)-1</f>
        <v/>
      </c>
      <c r="D4914" s="22">
        <f>(1+D4913)*IF(AND(Painel_diario!$H4910="ED_JD",Painel_diario!$J4910=1),EXP(Painel_diario!$L4910),1)-1</f>
        <v/>
      </c>
      <c r="E4914" s="22">
        <f>(1+E4913)*IF(AND(Painel_diario!$H4910="ED_JU",Painel_diario!$J4910=1),EXP(Painel_diario!$L4910),1)-1</f>
        <v/>
      </c>
    </row>
    <row r="4915">
      <c r="A4915" s="25" t="n">
        <v>46063</v>
      </c>
      <c r="B4915" s="22">
        <f>(1+B4914)*IF(AND(Painel_diario!$H4911="EU_JD",Painel_diario!$J4911=1),EXP(Painel_diario!$L4911),1)-1</f>
        <v/>
      </c>
      <c r="C4915" s="22">
        <f>(1+C4914)*IF(AND(Painel_diario!$H4911="EU_JU",Painel_diario!$J4911=1),EXP(Painel_diario!$L4911),1)-1</f>
        <v/>
      </c>
      <c r="D4915" s="22">
        <f>(1+D4914)*IF(AND(Painel_diario!$H4911="ED_JD",Painel_diario!$J4911=1),EXP(Painel_diario!$L4911),1)-1</f>
        <v/>
      </c>
      <c r="E4915" s="22">
        <f>(1+E4914)*IF(AND(Painel_diario!$H4911="ED_JU",Painel_diario!$J4911=1),EXP(Painel_diario!$L4911),1)-1</f>
        <v/>
      </c>
    </row>
    <row r="4916">
      <c r="A4916" s="25" t="n">
        <v>46064</v>
      </c>
      <c r="B4916" s="22">
        <f>(1+B4915)*IF(AND(Painel_diario!$H4912="EU_JD",Painel_diario!$J4912=1),EXP(Painel_diario!$L4912),1)-1</f>
        <v/>
      </c>
      <c r="C4916" s="22">
        <f>(1+C4915)*IF(AND(Painel_diario!$H4912="EU_JU",Painel_diario!$J4912=1),EXP(Painel_diario!$L4912),1)-1</f>
        <v/>
      </c>
      <c r="D4916" s="22">
        <f>(1+D4915)*IF(AND(Painel_diario!$H4912="ED_JD",Painel_diario!$J4912=1),EXP(Painel_diario!$L4912),1)-1</f>
        <v/>
      </c>
      <c r="E4916" s="22">
        <f>(1+E4915)*IF(AND(Painel_diario!$H4912="ED_JU",Painel_diario!$J4912=1),EXP(Painel_diario!$L4912),1)-1</f>
        <v/>
      </c>
    </row>
    <row r="4917">
      <c r="A4917" s="25" t="n">
        <v>46065</v>
      </c>
      <c r="B4917" s="22">
        <f>(1+B4916)*IF(AND(Painel_diario!$H4913="EU_JD",Painel_diario!$J4913=1),EXP(Painel_diario!$L4913),1)-1</f>
        <v/>
      </c>
      <c r="C4917" s="22">
        <f>(1+C4916)*IF(AND(Painel_diario!$H4913="EU_JU",Painel_diario!$J4913=1),EXP(Painel_diario!$L4913),1)-1</f>
        <v/>
      </c>
      <c r="D4917" s="22">
        <f>(1+D4916)*IF(AND(Painel_diario!$H4913="ED_JD",Painel_diario!$J4913=1),EXP(Painel_diario!$L4913),1)-1</f>
        <v/>
      </c>
      <c r="E4917" s="22">
        <f>(1+E4916)*IF(AND(Painel_diario!$H4913="ED_JU",Painel_diario!$J4913=1),EXP(Painel_diario!$L4913),1)-1</f>
        <v/>
      </c>
    </row>
    <row r="4918">
      <c r="A4918" s="25" t="n">
        <v>46066</v>
      </c>
      <c r="B4918" s="22">
        <f>(1+B4917)*IF(AND(Painel_diario!$H4914="EU_JD",Painel_diario!$J4914=1),EXP(Painel_diario!$L4914),1)-1</f>
        <v/>
      </c>
      <c r="C4918" s="22">
        <f>(1+C4917)*IF(AND(Painel_diario!$H4914="EU_JU",Painel_diario!$J4914=1),EXP(Painel_diario!$L4914),1)-1</f>
        <v/>
      </c>
      <c r="D4918" s="22">
        <f>(1+D4917)*IF(AND(Painel_diario!$H4914="ED_JD",Painel_diario!$J4914=1),EXP(Painel_diario!$L4914),1)-1</f>
        <v/>
      </c>
      <c r="E4918" s="22">
        <f>(1+E4917)*IF(AND(Painel_diario!$H4914="ED_JU",Painel_diario!$J4914=1),EXP(Painel_diario!$L4914),1)-1</f>
        <v/>
      </c>
    </row>
    <row r="4919">
      <c r="A4919" s="25" t="n">
        <v>46071</v>
      </c>
      <c r="B4919" s="22">
        <f>(1+B4918)*IF(AND(Painel_diario!$H4915="EU_JD",Painel_diario!$J4915=1),EXP(Painel_diario!$L4915),1)-1</f>
        <v/>
      </c>
      <c r="C4919" s="22">
        <f>(1+C4918)*IF(AND(Painel_diario!$H4915="EU_JU",Painel_diario!$J4915=1),EXP(Painel_diario!$L4915),1)-1</f>
        <v/>
      </c>
      <c r="D4919" s="22">
        <f>(1+D4918)*IF(AND(Painel_diario!$H4915="ED_JD",Painel_diario!$J4915=1),EXP(Painel_diario!$L4915),1)-1</f>
        <v/>
      </c>
      <c r="E4919" s="22">
        <f>(1+E4918)*IF(AND(Painel_diario!$H4915="ED_JU",Painel_diario!$J4915=1),EXP(Painel_diario!$L4915),1)-1</f>
        <v/>
      </c>
    </row>
    <row r="4920">
      <c r="A4920" s="25" t="n">
        <v>46072</v>
      </c>
      <c r="B4920" s="22">
        <f>(1+B4919)*IF(AND(Painel_diario!$H4916="EU_JD",Painel_diario!$J4916=1),EXP(Painel_diario!$L4916),1)-1</f>
        <v/>
      </c>
      <c r="C4920" s="22">
        <f>(1+C4919)*IF(AND(Painel_diario!$H4916="EU_JU",Painel_diario!$J4916=1),EXP(Painel_diario!$L4916),1)-1</f>
        <v/>
      </c>
      <c r="D4920" s="22">
        <f>(1+D4919)*IF(AND(Painel_diario!$H4916="ED_JD",Painel_diario!$J4916=1),EXP(Painel_diario!$L4916),1)-1</f>
        <v/>
      </c>
      <c r="E4920" s="22">
        <f>(1+E4919)*IF(AND(Painel_diario!$H4916="ED_JU",Painel_diario!$J4916=1),EXP(Painel_diario!$L4916),1)-1</f>
        <v/>
      </c>
    </row>
    <row r="4921">
      <c r="A4921" s="25" t="n">
        <v>46073</v>
      </c>
      <c r="B4921" s="22">
        <f>(1+B4920)*IF(AND(Painel_diario!$H4917="EU_JD",Painel_diario!$J4917=1),EXP(Painel_diario!$L4917),1)-1</f>
        <v/>
      </c>
      <c r="C4921" s="22">
        <f>(1+C4920)*IF(AND(Painel_diario!$H4917="EU_JU",Painel_diario!$J4917=1),EXP(Painel_diario!$L4917),1)-1</f>
        <v/>
      </c>
      <c r="D4921" s="22">
        <f>(1+D4920)*IF(AND(Painel_diario!$H4917="ED_JD",Painel_diario!$J4917=1),EXP(Painel_diario!$L4917),1)-1</f>
        <v/>
      </c>
      <c r="E4921" s="22">
        <f>(1+E4920)*IF(AND(Painel_diario!$H4917="ED_JU",Painel_diario!$J4917=1),EXP(Painel_diario!$L4917),1)-1</f>
        <v/>
      </c>
    </row>
    <row r="4922">
      <c r="A4922" s="25" t="n">
        <v>46076</v>
      </c>
      <c r="B4922" s="22">
        <f>(1+B4921)*IF(AND(Painel_diario!$H4918="EU_JD",Painel_diario!$J4918=1),EXP(Painel_diario!$L4918),1)-1</f>
        <v/>
      </c>
      <c r="C4922" s="22">
        <f>(1+C4921)*IF(AND(Painel_diario!$H4918="EU_JU",Painel_diario!$J4918=1),EXP(Painel_diario!$L4918),1)-1</f>
        <v/>
      </c>
      <c r="D4922" s="22">
        <f>(1+D4921)*IF(AND(Painel_diario!$H4918="ED_JD",Painel_diario!$J4918=1),EXP(Painel_diario!$L4918),1)-1</f>
        <v/>
      </c>
      <c r="E4922" s="22">
        <f>(1+E4921)*IF(AND(Painel_diario!$H4918="ED_JU",Painel_diario!$J4918=1),EXP(Painel_diario!$L4918),1)-1</f>
        <v/>
      </c>
    </row>
    <row r="4923">
      <c r="A4923" s="25" t="n">
        <v>46077</v>
      </c>
      <c r="B4923" s="22">
        <f>(1+B4922)*IF(AND(Painel_diario!$H4919="EU_JD",Painel_diario!$J4919=1),EXP(Painel_diario!$L4919),1)-1</f>
        <v/>
      </c>
      <c r="C4923" s="22">
        <f>(1+C4922)*IF(AND(Painel_diario!$H4919="EU_JU",Painel_diario!$J4919=1),EXP(Painel_diario!$L4919),1)-1</f>
        <v/>
      </c>
      <c r="D4923" s="22">
        <f>(1+D4922)*IF(AND(Painel_diario!$H4919="ED_JD",Painel_diario!$J4919=1),EXP(Painel_diario!$L4919),1)-1</f>
        <v/>
      </c>
      <c r="E4923" s="22">
        <f>(1+E4922)*IF(AND(Painel_diario!$H4919="ED_JU",Painel_diario!$J4919=1),EXP(Painel_diario!$L4919),1)-1</f>
        <v/>
      </c>
    </row>
    <row r="4924">
      <c r="A4924" s="25" t="n">
        <v>46078</v>
      </c>
      <c r="B4924" s="22">
        <f>(1+B4923)*IF(AND(Painel_diario!$H4920="EU_JD",Painel_diario!$J4920=1),EXP(Painel_diario!$L4920),1)-1</f>
        <v/>
      </c>
      <c r="C4924" s="22">
        <f>(1+C4923)*IF(AND(Painel_diario!$H4920="EU_JU",Painel_diario!$J4920=1),EXP(Painel_diario!$L4920),1)-1</f>
        <v/>
      </c>
      <c r="D4924" s="22">
        <f>(1+D4923)*IF(AND(Painel_diario!$H4920="ED_JD",Painel_diario!$J4920=1),EXP(Painel_diario!$L4920),1)-1</f>
        <v/>
      </c>
      <c r="E4924" s="22">
        <f>(1+E4923)*IF(AND(Painel_diario!$H4920="ED_JU",Painel_diario!$J4920=1),EXP(Painel_diario!$L4920),1)-1</f>
        <v/>
      </c>
    </row>
    <row r="4925">
      <c r="A4925" s="25" t="n">
        <v>46079</v>
      </c>
      <c r="B4925" s="22">
        <f>(1+B4924)*IF(AND(Painel_diario!$H4921="EU_JD",Painel_diario!$J4921=1),EXP(Painel_diario!$L4921),1)-1</f>
        <v/>
      </c>
      <c r="C4925" s="22">
        <f>(1+C4924)*IF(AND(Painel_diario!$H4921="EU_JU",Painel_diario!$J4921=1),EXP(Painel_diario!$L4921),1)-1</f>
        <v/>
      </c>
      <c r="D4925" s="22">
        <f>(1+D4924)*IF(AND(Painel_diario!$H4921="ED_JD",Painel_diario!$J4921=1),EXP(Painel_diario!$L4921),1)-1</f>
        <v/>
      </c>
      <c r="E4925" s="22">
        <f>(1+E4924)*IF(AND(Painel_diario!$H4921="ED_JU",Painel_diario!$J4921=1),EXP(Painel_diario!$L4921),1)-1</f>
        <v/>
      </c>
    </row>
    <row r="4926">
      <c r="A4926" s="25" t="n">
        <v>46080</v>
      </c>
      <c r="B4926" s="22">
        <f>(1+B4925)*IF(AND(Painel_diario!$H4922="EU_JD",Painel_diario!$J4922=1),EXP(Painel_diario!$L4922),1)-1</f>
        <v/>
      </c>
      <c r="C4926" s="22">
        <f>(1+C4925)*IF(AND(Painel_diario!$H4922="EU_JU",Painel_diario!$J4922=1),EXP(Painel_diario!$L4922),1)-1</f>
        <v/>
      </c>
      <c r="D4926" s="22">
        <f>(1+D4925)*IF(AND(Painel_diario!$H4922="ED_JD",Painel_diario!$J4922=1),EXP(Painel_diario!$L4922),1)-1</f>
        <v/>
      </c>
      <c r="E4926" s="22">
        <f>(1+E4925)*IF(AND(Painel_diario!$H4922="ED_JU",Painel_diario!$J4922=1),EXP(Painel_diario!$L4922),1)-1</f>
        <v/>
      </c>
    </row>
    <row r="4927">
      <c r="A4927" s="25" t="n">
        <v>46083</v>
      </c>
      <c r="B4927" s="22">
        <f>(1+B4926)*IF(AND(Painel_diario!$H4923="EU_JD",Painel_diario!$J4923=1),EXP(Painel_diario!$L4923),1)-1</f>
        <v/>
      </c>
      <c r="C4927" s="22">
        <f>(1+C4926)*IF(AND(Painel_diario!$H4923="EU_JU",Painel_diario!$J4923=1),EXP(Painel_diario!$L4923),1)-1</f>
        <v/>
      </c>
      <c r="D4927" s="22">
        <f>(1+D4926)*IF(AND(Painel_diario!$H4923="ED_JD",Painel_diario!$J4923=1),EXP(Painel_diario!$L4923),1)-1</f>
        <v/>
      </c>
      <c r="E4927" s="22">
        <f>(1+E4926)*IF(AND(Painel_diario!$H4923="ED_JU",Painel_diario!$J4923=1),EXP(Painel_diario!$L4923),1)-1</f>
        <v/>
      </c>
    </row>
    <row r="4928">
      <c r="A4928" s="25" t="n">
        <v>46084</v>
      </c>
      <c r="B4928" s="22">
        <f>(1+B4927)*IF(AND(Painel_diario!$H4924="EU_JD",Painel_diario!$J4924=1),EXP(Painel_diario!$L4924),1)-1</f>
        <v/>
      </c>
      <c r="C4928" s="22">
        <f>(1+C4927)*IF(AND(Painel_diario!$H4924="EU_JU",Painel_diario!$J4924=1),EXP(Painel_diario!$L4924),1)-1</f>
        <v/>
      </c>
      <c r="D4928" s="22">
        <f>(1+D4927)*IF(AND(Painel_diario!$H4924="ED_JD",Painel_diario!$J4924=1),EXP(Painel_diario!$L4924),1)-1</f>
        <v/>
      </c>
      <c r="E4928" s="22">
        <f>(1+E4927)*IF(AND(Painel_diario!$H4924="ED_JU",Painel_diario!$J4924=1),EXP(Painel_diario!$L4924),1)-1</f>
        <v/>
      </c>
    </row>
    <row r="4929">
      <c r="A4929" s="25" t="n">
        <v>46085</v>
      </c>
      <c r="B4929" s="22">
        <f>(1+B4928)*IF(AND(Painel_diario!$H4925="EU_JD",Painel_diario!$J4925=1),EXP(Painel_diario!$L4925),1)-1</f>
        <v/>
      </c>
      <c r="C4929" s="22">
        <f>(1+C4928)*IF(AND(Painel_diario!$H4925="EU_JU",Painel_diario!$J4925=1),EXP(Painel_diario!$L4925),1)-1</f>
        <v/>
      </c>
      <c r="D4929" s="22">
        <f>(1+D4928)*IF(AND(Painel_diario!$H4925="ED_JD",Painel_diario!$J4925=1),EXP(Painel_diario!$L4925),1)-1</f>
        <v/>
      </c>
      <c r="E4929" s="22">
        <f>(1+E4928)*IF(AND(Painel_diario!$H4925="ED_JU",Painel_diario!$J4925=1),EXP(Painel_diario!$L4925),1)-1</f>
        <v/>
      </c>
    </row>
    <row r="4930">
      <c r="A4930" s="25" t="n">
        <v>46086</v>
      </c>
      <c r="B4930" s="22">
        <f>(1+B4929)*IF(AND(Painel_diario!$H4926="EU_JD",Painel_diario!$J4926=1),EXP(Painel_diario!$L4926),1)-1</f>
        <v/>
      </c>
      <c r="C4930" s="22">
        <f>(1+C4929)*IF(AND(Painel_diario!$H4926="EU_JU",Painel_diario!$J4926=1),EXP(Painel_diario!$L4926),1)-1</f>
        <v/>
      </c>
      <c r="D4930" s="22">
        <f>(1+D4929)*IF(AND(Painel_diario!$H4926="ED_JD",Painel_diario!$J4926=1),EXP(Painel_diario!$L4926),1)-1</f>
        <v/>
      </c>
      <c r="E4930" s="22">
        <f>(1+E4929)*IF(AND(Painel_diario!$H4926="ED_JU",Painel_diario!$J4926=1),EXP(Painel_diario!$L4926),1)-1</f>
        <v/>
      </c>
    </row>
    <row r="4931">
      <c r="A4931" s="25" t="n">
        <v>46087</v>
      </c>
      <c r="B4931" s="22">
        <f>(1+B4930)*IF(AND(Painel_diario!$H4927="EU_JD",Painel_diario!$J4927=1),EXP(Painel_diario!$L4927),1)-1</f>
        <v/>
      </c>
      <c r="C4931" s="22">
        <f>(1+C4930)*IF(AND(Painel_diario!$H4927="EU_JU",Painel_diario!$J4927=1),EXP(Painel_diario!$L4927),1)-1</f>
        <v/>
      </c>
      <c r="D4931" s="22">
        <f>(1+D4930)*IF(AND(Painel_diario!$H4927="ED_JD",Painel_diario!$J4927=1),EXP(Painel_diario!$L4927),1)-1</f>
        <v/>
      </c>
      <c r="E4931" s="22">
        <f>(1+E4930)*IF(AND(Painel_diario!$H4927="ED_JU",Painel_diario!$J4927=1),EXP(Painel_diario!$L4927),1)-1</f>
        <v/>
      </c>
    </row>
    <row r="4932">
      <c r="A4932" s="25" t="n">
        <v>46090</v>
      </c>
      <c r="B4932" s="22">
        <f>(1+B4931)*IF(AND(Painel_diario!$H4928="EU_JD",Painel_diario!$J4928=1),EXP(Painel_diario!$L4928),1)-1</f>
        <v/>
      </c>
      <c r="C4932" s="22">
        <f>(1+C4931)*IF(AND(Painel_diario!$H4928="EU_JU",Painel_diario!$J4928=1),EXP(Painel_diario!$L4928),1)-1</f>
        <v/>
      </c>
      <c r="D4932" s="22">
        <f>(1+D4931)*IF(AND(Painel_diario!$H4928="ED_JD",Painel_diario!$J4928=1),EXP(Painel_diario!$L4928),1)-1</f>
        <v/>
      </c>
      <c r="E4932" s="22">
        <f>(1+E4931)*IF(AND(Painel_diario!$H4928="ED_JU",Painel_diario!$J4928=1),EXP(Painel_diario!$L4928),1)-1</f>
        <v/>
      </c>
    </row>
    <row r="4933">
      <c r="A4933" s="25" t="n">
        <v>46091</v>
      </c>
      <c r="B4933" s="22">
        <f>(1+B4932)*IF(AND(Painel_diario!$H4929="EU_JD",Painel_diario!$J4929=1),EXP(Painel_diario!$L4929),1)-1</f>
        <v/>
      </c>
      <c r="C4933" s="22">
        <f>(1+C4932)*IF(AND(Painel_diario!$H4929="EU_JU",Painel_diario!$J4929=1),EXP(Painel_diario!$L4929),1)-1</f>
        <v/>
      </c>
      <c r="D4933" s="22">
        <f>(1+D4932)*IF(AND(Painel_diario!$H4929="ED_JD",Painel_diario!$J4929=1),EXP(Painel_diario!$L4929),1)-1</f>
        <v/>
      </c>
      <c r="E4933" s="22">
        <f>(1+E4932)*IF(AND(Painel_diario!$H4929="ED_JU",Painel_diario!$J4929=1),EXP(Painel_diario!$L4929),1)-1</f>
        <v/>
      </c>
    </row>
    <row r="4934">
      <c r="A4934" s="25" t="n">
        <v>46092</v>
      </c>
      <c r="B4934" s="22">
        <f>(1+B4933)*IF(AND(Painel_diario!$H4930="EU_JD",Painel_diario!$J4930=1),EXP(Painel_diario!$L4930),1)-1</f>
        <v/>
      </c>
      <c r="C4934" s="22">
        <f>(1+C4933)*IF(AND(Painel_diario!$H4930="EU_JU",Painel_diario!$J4930=1),EXP(Painel_diario!$L4930),1)-1</f>
        <v/>
      </c>
      <c r="D4934" s="22">
        <f>(1+D4933)*IF(AND(Painel_diario!$H4930="ED_JD",Painel_diario!$J4930=1),EXP(Painel_diario!$L4930),1)-1</f>
        <v/>
      </c>
      <c r="E4934" s="22">
        <f>(1+E4933)*IF(AND(Painel_diario!$H4930="ED_JU",Painel_diario!$J4930=1),EXP(Painel_diario!$L4930),1)-1</f>
        <v/>
      </c>
    </row>
    <row r="4935">
      <c r="A4935" s="25" t="n">
        <v>46093</v>
      </c>
      <c r="B4935" s="22">
        <f>(1+B4934)*IF(AND(Painel_diario!$H4931="EU_JD",Painel_diario!$J4931=1),EXP(Painel_diario!$L4931),1)-1</f>
        <v/>
      </c>
      <c r="C4935" s="22">
        <f>(1+C4934)*IF(AND(Painel_diario!$H4931="EU_JU",Painel_diario!$J4931=1),EXP(Painel_diario!$L4931),1)-1</f>
        <v/>
      </c>
      <c r="D4935" s="22">
        <f>(1+D4934)*IF(AND(Painel_diario!$H4931="ED_JD",Painel_diario!$J4931=1),EXP(Painel_diario!$L4931),1)-1</f>
        <v/>
      </c>
      <c r="E4935" s="22">
        <f>(1+E4934)*IF(AND(Painel_diario!$H4931="ED_JU",Painel_diario!$J4931=1),EXP(Painel_diario!$L4931),1)-1</f>
        <v/>
      </c>
    </row>
    <row r="4936">
      <c r="A4936" s="25" t="n">
        <v>46094</v>
      </c>
      <c r="B4936" s="22">
        <f>(1+B4935)*IF(AND(Painel_diario!$H4932="EU_JD",Painel_diario!$J4932=1),EXP(Painel_diario!$L4932),1)-1</f>
        <v/>
      </c>
      <c r="C4936" s="22">
        <f>(1+C4935)*IF(AND(Painel_diario!$H4932="EU_JU",Painel_diario!$J4932=1),EXP(Painel_diario!$L4932),1)-1</f>
        <v/>
      </c>
      <c r="D4936" s="22">
        <f>(1+D4935)*IF(AND(Painel_diario!$H4932="ED_JD",Painel_diario!$J4932=1),EXP(Painel_diario!$L4932),1)-1</f>
        <v/>
      </c>
      <c r="E4936" s="22">
        <f>(1+E4935)*IF(AND(Painel_diario!$H4932="ED_JU",Painel_diario!$J4932=1),EXP(Painel_diario!$L4932),1)-1</f>
        <v/>
      </c>
    </row>
    <row r="4937">
      <c r="A4937" s="25" t="n">
        <v>46097</v>
      </c>
      <c r="B4937" s="22">
        <f>(1+B4936)*IF(AND(Painel_diario!$H4933="EU_JD",Painel_diario!$J4933=1),EXP(Painel_diario!$L4933),1)-1</f>
        <v/>
      </c>
      <c r="C4937" s="22">
        <f>(1+C4936)*IF(AND(Painel_diario!$H4933="EU_JU",Painel_diario!$J4933=1),EXP(Painel_diario!$L4933),1)-1</f>
        <v/>
      </c>
      <c r="D4937" s="22">
        <f>(1+D4936)*IF(AND(Painel_diario!$H4933="ED_JD",Painel_diario!$J4933=1),EXP(Painel_diario!$L4933),1)-1</f>
        <v/>
      </c>
      <c r="E4937" s="22">
        <f>(1+E4936)*IF(AND(Painel_diario!$H4933="ED_JU",Painel_diario!$J4933=1),EXP(Painel_diario!$L4933),1)-1</f>
        <v/>
      </c>
    </row>
    <row r="4938">
      <c r="A4938" s="25" t="n">
        <v>46098</v>
      </c>
      <c r="B4938" s="22">
        <f>(1+B4937)*IF(AND(Painel_diario!$H4934="EU_JD",Painel_diario!$J4934=1),EXP(Painel_diario!$L4934),1)-1</f>
        <v/>
      </c>
      <c r="C4938" s="22">
        <f>(1+C4937)*IF(AND(Painel_diario!$H4934="EU_JU",Painel_diario!$J4934=1),EXP(Painel_diario!$L4934),1)-1</f>
        <v/>
      </c>
      <c r="D4938" s="22">
        <f>(1+D4937)*IF(AND(Painel_diario!$H4934="ED_JD",Painel_diario!$J4934=1),EXP(Painel_diario!$L4934),1)-1</f>
        <v/>
      </c>
      <c r="E4938" s="22">
        <f>(1+E4937)*IF(AND(Painel_diario!$H4934="ED_JU",Painel_diario!$J4934=1),EXP(Painel_diario!$L4934),1)-1</f>
        <v/>
      </c>
    </row>
    <row r="4939">
      <c r="A4939" s="25" t="n">
        <v>46099</v>
      </c>
      <c r="B4939" s="22">
        <f>(1+B4938)*IF(AND(Painel_diario!$H4935="EU_JD",Painel_diario!$J4935=1),EXP(Painel_diario!$L4935),1)-1</f>
        <v/>
      </c>
      <c r="C4939" s="22">
        <f>(1+C4938)*IF(AND(Painel_diario!$H4935="EU_JU",Painel_diario!$J4935=1),EXP(Painel_diario!$L4935),1)-1</f>
        <v/>
      </c>
      <c r="D4939" s="22">
        <f>(1+D4938)*IF(AND(Painel_diario!$H4935="ED_JD",Painel_diario!$J4935=1),EXP(Painel_diario!$L4935),1)-1</f>
        <v/>
      </c>
      <c r="E4939" s="22">
        <f>(1+E4938)*IF(AND(Painel_diario!$H4935="ED_JU",Painel_diario!$J4935=1),EXP(Painel_diario!$L4935),1)-1</f>
        <v/>
      </c>
    </row>
    <row r="4940">
      <c r="A4940" s="25" t="n">
        <v>46100</v>
      </c>
      <c r="B4940" s="22">
        <f>(1+B4939)*IF(AND(Painel_diario!$H4936="EU_JD",Painel_diario!$J4936=1),EXP(Painel_diario!$L4936),1)-1</f>
        <v/>
      </c>
      <c r="C4940" s="22">
        <f>(1+C4939)*IF(AND(Painel_diario!$H4936="EU_JU",Painel_diario!$J4936=1),EXP(Painel_diario!$L4936),1)-1</f>
        <v/>
      </c>
      <c r="D4940" s="22">
        <f>(1+D4939)*IF(AND(Painel_diario!$H4936="ED_JD",Painel_diario!$J4936=1),EXP(Painel_diario!$L4936),1)-1</f>
        <v/>
      </c>
      <c r="E4940" s="22">
        <f>(1+E4939)*IF(AND(Painel_diario!$H4936="ED_JU",Painel_diario!$J4936=1),EXP(Painel_diario!$L4936),1)-1</f>
        <v/>
      </c>
    </row>
    <row r="4941">
      <c r="A4941" s="25" t="n">
        <v>46101</v>
      </c>
      <c r="B4941" s="22">
        <f>(1+B4940)*IF(AND(Painel_diario!$H4937="EU_JD",Painel_diario!$J4937=1),EXP(Painel_diario!$L4937),1)-1</f>
        <v/>
      </c>
      <c r="C4941" s="22">
        <f>(1+C4940)*IF(AND(Painel_diario!$H4937="EU_JU",Painel_diario!$J4937=1),EXP(Painel_diario!$L4937),1)-1</f>
        <v/>
      </c>
      <c r="D4941" s="22">
        <f>(1+D4940)*IF(AND(Painel_diario!$H4937="ED_JD",Painel_diario!$J4937=1),EXP(Painel_diario!$L4937),1)-1</f>
        <v/>
      </c>
      <c r="E4941" s="22">
        <f>(1+E4940)*IF(AND(Painel_diario!$H4937="ED_JU",Painel_diario!$J4937=1),EXP(Painel_diario!$L4937),1)-1</f>
        <v/>
      </c>
    </row>
    <row r="4942">
      <c r="A4942" s="25" t="n">
        <v>46104</v>
      </c>
      <c r="B4942" s="22">
        <f>(1+B4941)*IF(AND(Painel_diario!$H4938="EU_JD",Painel_diario!$J4938=1),EXP(Painel_diario!$L4938),1)-1</f>
        <v/>
      </c>
      <c r="C4942" s="22">
        <f>(1+C4941)*IF(AND(Painel_diario!$H4938="EU_JU",Painel_diario!$J4938=1),EXP(Painel_diario!$L4938),1)-1</f>
        <v/>
      </c>
      <c r="D4942" s="22">
        <f>(1+D4941)*IF(AND(Painel_diario!$H4938="ED_JD",Painel_diario!$J4938=1),EXP(Painel_diario!$L4938),1)-1</f>
        <v/>
      </c>
      <c r="E4942" s="22">
        <f>(1+E4941)*IF(AND(Painel_diario!$H4938="ED_JU",Painel_diario!$J4938=1),EXP(Painel_diario!$L4938),1)-1</f>
        <v/>
      </c>
    </row>
    <row r="4943">
      <c r="A4943" s="25" t="n">
        <v>46105</v>
      </c>
      <c r="B4943" s="22">
        <f>(1+B4942)*IF(AND(Painel_diario!$H4939="EU_JD",Painel_diario!$J4939=1),EXP(Painel_diario!$L4939),1)-1</f>
        <v/>
      </c>
      <c r="C4943" s="22">
        <f>(1+C4942)*IF(AND(Painel_diario!$H4939="EU_JU",Painel_diario!$J4939=1),EXP(Painel_diario!$L4939),1)-1</f>
        <v/>
      </c>
      <c r="D4943" s="22">
        <f>(1+D4942)*IF(AND(Painel_diario!$H4939="ED_JD",Painel_diario!$J4939=1),EXP(Painel_diario!$L4939),1)-1</f>
        <v/>
      </c>
      <c r="E4943" s="22">
        <f>(1+E4942)*IF(AND(Painel_diario!$H4939="ED_JU",Painel_diario!$J4939=1),EXP(Painel_diario!$L4939),1)-1</f>
        <v/>
      </c>
    </row>
    <row r="4944">
      <c r="A4944" s="25" t="n">
        <v>46106</v>
      </c>
      <c r="B4944" s="22">
        <f>(1+B4943)*IF(AND(Painel_diario!$H4940="EU_JD",Painel_diario!$J4940=1),EXP(Painel_diario!$L4940),1)-1</f>
        <v/>
      </c>
      <c r="C4944" s="22">
        <f>(1+C4943)*IF(AND(Painel_diario!$H4940="EU_JU",Painel_diario!$J4940=1),EXP(Painel_diario!$L4940),1)-1</f>
        <v/>
      </c>
      <c r="D4944" s="22">
        <f>(1+D4943)*IF(AND(Painel_diario!$H4940="ED_JD",Painel_diario!$J4940=1),EXP(Painel_diario!$L4940),1)-1</f>
        <v/>
      </c>
      <c r="E4944" s="22">
        <f>(1+E4943)*IF(AND(Painel_diario!$H4940="ED_JU",Painel_diario!$J4940=1),EXP(Painel_diario!$L4940),1)-1</f>
        <v/>
      </c>
    </row>
    <row r="4945">
      <c r="A4945" s="25" t="n">
        <v>46107</v>
      </c>
      <c r="B4945" s="22">
        <f>(1+B4944)*IF(AND(Painel_diario!$H4941="EU_JD",Painel_diario!$J4941=1),EXP(Painel_diario!$L4941),1)-1</f>
        <v/>
      </c>
      <c r="C4945" s="22">
        <f>(1+C4944)*IF(AND(Painel_diario!$H4941="EU_JU",Painel_diario!$J4941=1),EXP(Painel_diario!$L4941),1)-1</f>
        <v/>
      </c>
      <c r="D4945" s="22">
        <f>(1+D4944)*IF(AND(Painel_diario!$H4941="ED_JD",Painel_diario!$J4941=1),EXP(Painel_diario!$L4941),1)-1</f>
        <v/>
      </c>
      <c r="E4945" s="22">
        <f>(1+E4944)*IF(AND(Painel_diario!$H4941="ED_JU",Painel_diario!$J4941=1),EXP(Painel_diario!$L4941),1)-1</f>
        <v/>
      </c>
    </row>
    <row r="4946">
      <c r="A4946" s="25" t="n">
        <v>46108</v>
      </c>
      <c r="B4946" s="22">
        <f>(1+B4945)*IF(AND(Painel_diario!$H4942="EU_JD",Painel_diario!$J4942=1),EXP(Painel_diario!$L4942),1)-1</f>
        <v/>
      </c>
      <c r="C4946" s="22">
        <f>(1+C4945)*IF(AND(Painel_diario!$H4942="EU_JU",Painel_diario!$J4942=1),EXP(Painel_diario!$L4942),1)-1</f>
        <v/>
      </c>
      <c r="D4946" s="22">
        <f>(1+D4945)*IF(AND(Painel_diario!$H4942="ED_JD",Painel_diario!$J4942=1),EXP(Painel_diario!$L4942),1)-1</f>
        <v/>
      </c>
      <c r="E4946" s="22">
        <f>(1+E4945)*IF(AND(Painel_diario!$H4942="ED_JU",Painel_diario!$J4942=1),EXP(Painel_diario!$L4942),1)-1</f>
        <v/>
      </c>
    </row>
    <row r="4947">
      <c r="A4947" s="25" t="n">
        <v>46111</v>
      </c>
      <c r="B4947" s="22">
        <f>(1+B4946)*IF(AND(Painel_diario!$H4943="EU_JD",Painel_diario!$J4943=1),EXP(Painel_diario!$L4943),1)-1</f>
        <v/>
      </c>
      <c r="C4947" s="22">
        <f>(1+C4946)*IF(AND(Painel_diario!$H4943="EU_JU",Painel_diario!$J4943=1),EXP(Painel_diario!$L4943),1)-1</f>
        <v/>
      </c>
      <c r="D4947" s="22">
        <f>(1+D4946)*IF(AND(Painel_diario!$H4943="ED_JD",Painel_diario!$J4943=1),EXP(Painel_diario!$L4943),1)-1</f>
        <v/>
      </c>
      <c r="E4947" s="22">
        <f>(1+E4946)*IF(AND(Painel_diario!$H4943="ED_JU",Painel_diario!$J4943=1),EXP(Painel_diario!$L4943),1)-1</f>
        <v/>
      </c>
    </row>
    <row r="4948">
      <c r="A4948" s="25" t="n">
        <v>46112</v>
      </c>
      <c r="B4948" s="22">
        <f>(1+B4947)*IF(AND(Painel_diario!$H4944="EU_JD",Painel_diario!$J4944=1),EXP(Painel_diario!$L4944),1)-1</f>
        <v/>
      </c>
      <c r="C4948" s="22">
        <f>(1+C4947)*IF(AND(Painel_diario!$H4944="EU_JU",Painel_diario!$J4944=1),EXP(Painel_diario!$L4944),1)-1</f>
        <v/>
      </c>
      <c r="D4948" s="22">
        <f>(1+D4947)*IF(AND(Painel_diario!$H4944="ED_JD",Painel_diario!$J4944=1),EXP(Painel_diario!$L4944),1)-1</f>
        <v/>
      </c>
      <c r="E4948" s="22">
        <f>(1+E4947)*IF(AND(Painel_diario!$H4944="ED_JU",Painel_diario!$J4944=1),EXP(Painel_diario!$L4944),1)-1</f>
        <v/>
      </c>
    </row>
    <row r="4949">
      <c r="A4949" s="25" t="n">
        <v>46113</v>
      </c>
      <c r="B4949" s="22">
        <f>(1+B4948)*IF(AND(Painel_diario!$H4945="EU_JD",Painel_diario!$J4945=1),EXP(Painel_diario!$L4945),1)-1</f>
        <v/>
      </c>
      <c r="C4949" s="22">
        <f>(1+C4948)*IF(AND(Painel_diario!$H4945="EU_JU",Painel_diario!$J4945=1),EXP(Painel_diario!$L4945),1)-1</f>
        <v/>
      </c>
      <c r="D4949" s="22">
        <f>(1+D4948)*IF(AND(Painel_diario!$H4945="ED_JD",Painel_diario!$J4945=1),EXP(Painel_diario!$L4945),1)-1</f>
        <v/>
      </c>
      <c r="E4949" s="22">
        <f>(1+E4948)*IF(AND(Painel_diario!$H4945="ED_JU",Painel_diario!$J4945=1),EXP(Painel_diario!$L4945),1)-1</f>
        <v/>
      </c>
    </row>
    <row r="4950">
      <c r="A4950" s="25" t="n">
        <v>46114</v>
      </c>
      <c r="B4950" s="22">
        <f>(1+B4949)*IF(AND(Painel_diario!$H4946="EU_JD",Painel_diario!$J4946=1),EXP(Painel_diario!$L4946),1)-1</f>
        <v/>
      </c>
      <c r="C4950" s="22">
        <f>(1+C4949)*IF(AND(Painel_diario!$H4946="EU_JU",Painel_diario!$J4946=1),EXP(Painel_diario!$L4946),1)-1</f>
        <v/>
      </c>
      <c r="D4950" s="22">
        <f>(1+D4949)*IF(AND(Painel_diario!$H4946="ED_JD",Painel_diario!$J4946=1),EXP(Painel_diario!$L4946),1)-1</f>
        <v/>
      </c>
      <c r="E4950" s="22">
        <f>(1+E4949)*IF(AND(Painel_diario!$H4946="ED_JU",Painel_diario!$J4946=1),EXP(Painel_diario!$L4946),1)-1</f>
        <v/>
      </c>
    </row>
    <row r="4951">
      <c r="A4951" s="25" t="n">
        <v>46118</v>
      </c>
      <c r="B4951" s="22">
        <f>(1+B4950)*IF(AND(Painel_diario!$H4947="EU_JD",Painel_diario!$J4947=1),EXP(Painel_diario!$L4947),1)-1</f>
        <v/>
      </c>
      <c r="C4951" s="22">
        <f>(1+C4950)*IF(AND(Painel_diario!$H4947="EU_JU",Painel_diario!$J4947=1),EXP(Painel_diario!$L4947),1)-1</f>
        <v/>
      </c>
      <c r="D4951" s="22">
        <f>(1+D4950)*IF(AND(Painel_diario!$H4947="ED_JD",Painel_diario!$J4947=1),EXP(Painel_diario!$L4947),1)-1</f>
        <v/>
      </c>
      <c r="E4951" s="22">
        <f>(1+E4950)*IF(AND(Painel_diario!$H4947="ED_JU",Painel_diario!$J4947=1),EXP(Painel_diario!$L4947),1)-1</f>
        <v/>
      </c>
    </row>
    <row r="4952">
      <c r="A4952" s="25" t="n">
        <v>46119</v>
      </c>
      <c r="B4952" s="22">
        <f>(1+B4951)*IF(AND(Painel_diario!$H4948="EU_JD",Painel_diario!$J4948=1),EXP(Painel_diario!$L4948),1)-1</f>
        <v/>
      </c>
      <c r="C4952" s="22">
        <f>(1+C4951)*IF(AND(Painel_diario!$H4948="EU_JU",Painel_diario!$J4948=1),EXP(Painel_diario!$L4948),1)-1</f>
        <v/>
      </c>
      <c r="D4952" s="22">
        <f>(1+D4951)*IF(AND(Painel_diario!$H4948="ED_JD",Painel_diario!$J4948=1),EXP(Painel_diario!$L4948),1)-1</f>
        <v/>
      </c>
      <c r="E4952" s="22">
        <f>(1+E4951)*IF(AND(Painel_diario!$H4948="ED_JU",Painel_diario!$J4948=1),EXP(Painel_diario!$L4948),1)-1</f>
        <v/>
      </c>
    </row>
    <row r="4953">
      <c r="A4953" s="25" t="n">
        <v>46120</v>
      </c>
      <c r="B4953" s="22">
        <f>(1+B4952)*IF(AND(Painel_diario!$H4949="EU_JD",Painel_diario!$J4949=1),EXP(Painel_diario!$L4949),1)-1</f>
        <v/>
      </c>
      <c r="C4953" s="22">
        <f>(1+C4952)*IF(AND(Painel_diario!$H4949="EU_JU",Painel_diario!$J4949=1),EXP(Painel_diario!$L4949),1)-1</f>
        <v/>
      </c>
      <c r="D4953" s="22">
        <f>(1+D4952)*IF(AND(Painel_diario!$H4949="ED_JD",Painel_diario!$J4949=1),EXP(Painel_diario!$L4949),1)-1</f>
        <v/>
      </c>
      <c r="E4953" s="22">
        <f>(1+E4952)*IF(AND(Painel_diario!$H4949="ED_JU",Painel_diario!$J4949=1),EXP(Painel_diario!$L4949),1)-1</f>
        <v/>
      </c>
    </row>
    <row r="4954">
      <c r="A4954" s="25" t="n">
        <v>46121</v>
      </c>
      <c r="B4954" s="22">
        <f>(1+B4953)*IF(AND(Painel_diario!$H4950="EU_JD",Painel_diario!$J4950=1),EXP(Painel_diario!$L4950),1)-1</f>
        <v/>
      </c>
      <c r="C4954" s="22">
        <f>(1+C4953)*IF(AND(Painel_diario!$H4950="EU_JU",Painel_diario!$J4950=1),EXP(Painel_diario!$L4950),1)-1</f>
        <v/>
      </c>
      <c r="D4954" s="22">
        <f>(1+D4953)*IF(AND(Painel_diario!$H4950="ED_JD",Painel_diario!$J4950=1),EXP(Painel_diario!$L4950),1)-1</f>
        <v/>
      </c>
      <c r="E4954" s="22">
        <f>(1+E4953)*IF(AND(Painel_diario!$H4950="ED_JU",Painel_diario!$J4950=1),EXP(Painel_diario!$L4950),1)-1</f>
        <v/>
      </c>
    </row>
    <row r="4955">
      <c r="A4955" s="25" t="n">
        <v>46122</v>
      </c>
      <c r="B4955" s="22">
        <f>(1+B4954)*IF(AND(Painel_diario!$H4951="EU_JD",Painel_diario!$J4951=1),EXP(Painel_diario!$L4951),1)-1</f>
        <v/>
      </c>
      <c r="C4955" s="22">
        <f>(1+C4954)*IF(AND(Painel_diario!$H4951="EU_JU",Painel_diario!$J4951=1),EXP(Painel_diario!$L4951),1)-1</f>
        <v/>
      </c>
      <c r="D4955" s="22">
        <f>(1+D4954)*IF(AND(Painel_diario!$H4951="ED_JD",Painel_diario!$J4951=1),EXP(Painel_diario!$L4951),1)-1</f>
        <v/>
      </c>
      <c r="E4955" s="22">
        <f>(1+E4954)*IF(AND(Painel_diario!$H4951="ED_JU",Painel_diario!$J4951=1),EXP(Painel_diario!$L4951),1)-1</f>
        <v/>
      </c>
    </row>
    <row r="4956">
      <c r="A4956" s="25" t="n">
        <v>46125</v>
      </c>
      <c r="B4956" s="22">
        <f>(1+B4955)*IF(AND(Painel_diario!$H4952="EU_JD",Painel_diario!$J4952=1),EXP(Painel_diario!$L4952),1)-1</f>
        <v/>
      </c>
      <c r="C4956" s="22">
        <f>(1+C4955)*IF(AND(Painel_diario!$H4952="EU_JU",Painel_diario!$J4952=1),EXP(Painel_diario!$L4952),1)-1</f>
        <v/>
      </c>
      <c r="D4956" s="22">
        <f>(1+D4955)*IF(AND(Painel_diario!$H4952="ED_JD",Painel_diario!$J4952=1),EXP(Painel_diario!$L4952),1)-1</f>
        <v/>
      </c>
      <c r="E4956" s="22">
        <f>(1+E4955)*IF(AND(Painel_diario!$H4952="ED_JU",Painel_diario!$J4952=1),EXP(Painel_diario!$L4952),1)-1</f>
        <v/>
      </c>
    </row>
    <row r="4957">
      <c r="A4957" s="25" t="n">
        <v>46126</v>
      </c>
      <c r="B4957" s="22">
        <f>(1+B4956)*IF(AND(Painel_diario!$H4953="EU_JD",Painel_diario!$J4953=1),EXP(Painel_diario!$L4953),1)-1</f>
        <v/>
      </c>
      <c r="C4957" s="22">
        <f>(1+C4956)*IF(AND(Painel_diario!$H4953="EU_JU",Painel_diario!$J4953=1),EXP(Painel_diario!$L4953),1)-1</f>
        <v/>
      </c>
      <c r="D4957" s="22">
        <f>(1+D4956)*IF(AND(Painel_diario!$H4953="ED_JD",Painel_diario!$J4953=1),EXP(Painel_diario!$L4953),1)-1</f>
        <v/>
      </c>
      <c r="E4957" s="22">
        <f>(1+E4956)*IF(AND(Painel_diario!$H4953="ED_JU",Painel_diario!$J4953=1),EXP(Painel_diario!$L4953),1)-1</f>
        <v/>
      </c>
    </row>
    <row r="4958">
      <c r="A4958" s="25" t="n">
        <v>46127</v>
      </c>
      <c r="B4958" s="22">
        <f>(1+B4957)*IF(AND(Painel_diario!$H4954="EU_JD",Painel_diario!$J4954=1),EXP(Painel_diario!$L4954),1)-1</f>
        <v/>
      </c>
      <c r="C4958" s="22">
        <f>(1+C4957)*IF(AND(Painel_diario!$H4954="EU_JU",Painel_diario!$J4954=1),EXP(Painel_diario!$L4954),1)-1</f>
        <v/>
      </c>
      <c r="D4958" s="22">
        <f>(1+D4957)*IF(AND(Painel_diario!$H4954="ED_JD",Painel_diario!$J4954=1),EXP(Painel_diario!$L4954),1)-1</f>
        <v/>
      </c>
      <c r="E4958" s="22">
        <f>(1+E4957)*IF(AND(Painel_diario!$H4954="ED_JU",Painel_diario!$J4954=1),EXP(Painel_diario!$L4954),1)-1</f>
        <v/>
      </c>
    </row>
    <row r="4959">
      <c r="A4959" s="25" t="n">
        <v>46128</v>
      </c>
      <c r="B4959" s="22">
        <f>(1+B4958)*IF(AND(Painel_diario!$H4955="EU_JD",Painel_diario!$J4955=1),EXP(Painel_diario!$L4955),1)-1</f>
        <v/>
      </c>
      <c r="C4959" s="22">
        <f>(1+C4958)*IF(AND(Painel_diario!$H4955="EU_JU",Painel_diario!$J4955=1),EXP(Painel_diario!$L4955),1)-1</f>
        <v/>
      </c>
      <c r="D4959" s="22">
        <f>(1+D4958)*IF(AND(Painel_diario!$H4955="ED_JD",Painel_diario!$J4955=1),EXP(Painel_diario!$L4955),1)-1</f>
        <v/>
      </c>
      <c r="E4959" s="22">
        <f>(1+E4958)*IF(AND(Painel_diario!$H4955="ED_JU",Painel_diario!$J4955=1),EXP(Painel_diario!$L4955),1)-1</f>
        <v/>
      </c>
    </row>
    <row r="4960">
      <c r="A4960" s="25" t="n">
        <v>46129</v>
      </c>
      <c r="B4960" s="22">
        <f>(1+B4959)*IF(AND(Painel_diario!$H4956="EU_JD",Painel_diario!$J4956=1),EXP(Painel_diario!$L4956),1)-1</f>
        <v/>
      </c>
      <c r="C4960" s="22">
        <f>(1+C4959)*IF(AND(Painel_diario!$H4956="EU_JU",Painel_diario!$J4956=1),EXP(Painel_diario!$L4956),1)-1</f>
        <v/>
      </c>
      <c r="D4960" s="22">
        <f>(1+D4959)*IF(AND(Painel_diario!$H4956="ED_JD",Painel_diario!$J4956=1),EXP(Painel_diario!$L4956),1)-1</f>
        <v/>
      </c>
      <c r="E4960" s="22">
        <f>(1+E4959)*IF(AND(Painel_diario!$H4956="ED_JU",Painel_diario!$J4956=1),EXP(Painel_diario!$L4956),1)-1</f>
        <v/>
      </c>
    </row>
    <row r="4961">
      <c r="A4961" s="25" t="n">
        <v>46132</v>
      </c>
      <c r="B4961" s="22">
        <f>(1+B4960)*IF(AND(Painel_diario!$H4957="EU_JD",Painel_diario!$J4957=1),EXP(Painel_diario!$L4957),1)-1</f>
        <v/>
      </c>
      <c r="C4961" s="22">
        <f>(1+C4960)*IF(AND(Painel_diario!$H4957="EU_JU",Painel_diario!$J4957=1),EXP(Painel_diario!$L4957),1)-1</f>
        <v/>
      </c>
      <c r="D4961" s="22">
        <f>(1+D4960)*IF(AND(Painel_diario!$H4957="ED_JD",Painel_diario!$J4957=1),EXP(Painel_diario!$L4957),1)-1</f>
        <v/>
      </c>
      <c r="E4961" s="22">
        <f>(1+E4960)*IF(AND(Painel_diario!$H4957="ED_JU",Painel_diario!$J4957=1),EXP(Painel_diario!$L4957),1)-1</f>
        <v/>
      </c>
    </row>
    <row r="4962">
      <c r="A4962" s="25" t="n">
        <v>46134</v>
      </c>
      <c r="B4962" s="22">
        <f>(1+B4961)*IF(AND(Painel_diario!$H4958="EU_JD",Painel_diario!$J4958=1),EXP(Painel_diario!$L4958),1)-1</f>
        <v/>
      </c>
      <c r="C4962" s="22">
        <f>(1+C4961)*IF(AND(Painel_diario!$H4958="EU_JU",Painel_diario!$J4958=1),EXP(Painel_diario!$L4958),1)-1</f>
        <v/>
      </c>
      <c r="D4962" s="22">
        <f>(1+D4961)*IF(AND(Painel_diario!$H4958="ED_JD",Painel_diario!$J4958=1),EXP(Painel_diario!$L4958),1)-1</f>
        <v/>
      </c>
      <c r="E4962" s="22">
        <f>(1+E4961)*IF(AND(Painel_diario!$H4958="ED_JU",Painel_diario!$J4958=1),EXP(Painel_diario!$L4958),1)-1</f>
        <v/>
      </c>
    </row>
    <row r="4963">
      <c r="A4963" s="25" t="n">
        <v>46135</v>
      </c>
      <c r="B4963" s="22">
        <f>(1+B4962)*IF(AND(Painel_diario!$H4959="EU_JD",Painel_diario!$J4959=1),EXP(Painel_diario!$L4959),1)-1</f>
        <v/>
      </c>
      <c r="C4963" s="22">
        <f>(1+C4962)*IF(AND(Painel_diario!$H4959="EU_JU",Painel_diario!$J4959=1),EXP(Painel_diario!$L4959),1)-1</f>
        <v/>
      </c>
      <c r="D4963" s="22">
        <f>(1+D4962)*IF(AND(Painel_diario!$H4959="ED_JD",Painel_diario!$J4959=1),EXP(Painel_diario!$L4959),1)-1</f>
        <v/>
      </c>
      <c r="E4963" s="22">
        <f>(1+E4962)*IF(AND(Painel_diario!$H4959="ED_JU",Painel_diario!$J4959=1),EXP(Painel_diario!$L4959),1)-1</f>
        <v/>
      </c>
    </row>
    <row r="4964">
      <c r="A4964" s="25" t="n">
        <v>46136</v>
      </c>
      <c r="B4964" s="22">
        <f>(1+B4963)*IF(AND(Painel_diario!$H4960="EU_JD",Painel_diario!$J4960=1),EXP(Painel_diario!$L4960),1)-1</f>
        <v/>
      </c>
      <c r="C4964" s="22">
        <f>(1+C4963)*IF(AND(Painel_diario!$H4960="EU_JU",Painel_diario!$J4960=1),EXP(Painel_diario!$L4960),1)-1</f>
        <v/>
      </c>
      <c r="D4964" s="22">
        <f>(1+D4963)*IF(AND(Painel_diario!$H4960="ED_JD",Painel_diario!$J4960=1),EXP(Painel_diario!$L4960),1)-1</f>
        <v/>
      </c>
      <c r="E4964" s="22">
        <f>(1+E4963)*IF(AND(Painel_diario!$H4960="ED_JU",Painel_diario!$J4960=1),EXP(Painel_diario!$L4960),1)-1</f>
        <v/>
      </c>
    </row>
    <row r="4965">
      <c r="A4965" s="25" t="n">
        <v>46139</v>
      </c>
      <c r="B4965" s="22">
        <f>(1+B4964)*IF(AND(Painel_diario!$H4961="EU_JD",Painel_diario!$J4961=1),EXP(Painel_diario!$L4961),1)-1</f>
        <v/>
      </c>
      <c r="C4965" s="22">
        <f>(1+C4964)*IF(AND(Painel_diario!$H4961="EU_JU",Painel_diario!$J4961=1),EXP(Painel_diario!$L4961),1)-1</f>
        <v/>
      </c>
      <c r="D4965" s="22">
        <f>(1+D4964)*IF(AND(Painel_diario!$H4961="ED_JD",Painel_diario!$J4961=1),EXP(Painel_diario!$L4961),1)-1</f>
        <v/>
      </c>
      <c r="E4965" s="22">
        <f>(1+E4964)*IF(AND(Painel_diario!$H4961="ED_JU",Painel_diario!$J4961=1),EXP(Painel_diario!$L4961),1)-1</f>
        <v/>
      </c>
    </row>
    <row r="4966">
      <c r="A4966" s="25" t="n">
        <v>46140</v>
      </c>
      <c r="B4966" s="22">
        <f>(1+B4965)*IF(AND(Painel_diario!$H4962="EU_JD",Painel_diario!$J4962=1),EXP(Painel_diario!$L4962),1)-1</f>
        <v/>
      </c>
      <c r="C4966" s="22">
        <f>(1+C4965)*IF(AND(Painel_diario!$H4962="EU_JU",Painel_diario!$J4962=1),EXP(Painel_diario!$L4962),1)-1</f>
        <v/>
      </c>
      <c r="D4966" s="22">
        <f>(1+D4965)*IF(AND(Painel_diario!$H4962="ED_JD",Painel_diario!$J4962=1),EXP(Painel_diario!$L4962),1)-1</f>
        <v/>
      </c>
      <c r="E4966" s="22">
        <f>(1+E4965)*IF(AND(Painel_diario!$H4962="ED_JU",Painel_diario!$J4962=1),EXP(Painel_diario!$L4962),1)-1</f>
        <v/>
      </c>
    </row>
    <row r="4967">
      <c r="A4967" s="25" t="n">
        <v>46141</v>
      </c>
      <c r="B4967" s="22">
        <f>(1+B4966)*IF(AND(Painel_diario!$H4963="EU_JD",Painel_diario!$J4963=1),EXP(Painel_diario!$L4963),1)-1</f>
        <v/>
      </c>
      <c r="C4967" s="22">
        <f>(1+C4966)*IF(AND(Painel_diario!$H4963="EU_JU",Painel_diario!$J4963=1),EXP(Painel_diario!$L4963),1)-1</f>
        <v/>
      </c>
      <c r="D4967" s="22">
        <f>(1+D4966)*IF(AND(Painel_diario!$H4963="ED_JD",Painel_diario!$J4963=1),EXP(Painel_diario!$L4963),1)-1</f>
        <v/>
      </c>
      <c r="E4967" s="22">
        <f>(1+E4966)*IF(AND(Painel_diario!$H4963="ED_JU",Painel_diario!$J4963=1),EXP(Painel_diario!$L4963),1)-1</f>
        <v/>
      </c>
    </row>
    <row r="4968">
      <c r="A4968" s="25" t="n">
        <v>46142</v>
      </c>
      <c r="B4968" s="22">
        <f>(1+B4967)*IF(AND(Painel_diario!$H4964="EU_JD",Painel_diario!$J4964=1),EXP(Painel_diario!$L4964),1)-1</f>
        <v/>
      </c>
      <c r="C4968" s="22">
        <f>(1+C4967)*IF(AND(Painel_diario!$H4964="EU_JU",Painel_diario!$J4964=1),EXP(Painel_diario!$L4964),1)-1</f>
        <v/>
      </c>
      <c r="D4968" s="22">
        <f>(1+D4967)*IF(AND(Painel_diario!$H4964="ED_JD",Painel_diario!$J4964=1),EXP(Painel_diario!$L4964),1)-1</f>
        <v/>
      </c>
      <c r="E4968" s="22">
        <f>(1+E4967)*IF(AND(Painel_diario!$H4964="ED_JU",Painel_diario!$J4964=1),EXP(Painel_diario!$L4964),1)-1</f>
        <v/>
      </c>
    </row>
    <row r="4969">
      <c r="A4969" s="25" t="n">
        <v>46146</v>
      </c>
      <c r="B4969" s="22">
        <f>(1+B4968)*IF(AND(Painel_diario!$H4965="EU_JD",Painel_diario!$J4965=1),EXP(Painel_diario!$L4965),1)-1</f>
        <v/>
      </c>
      <c r="C4969" s="22">
        <f>(1+C4968)*IF(AND(Painel_diario!$H4965="EU_JU",Painel_diario!$J4965=1),EXP(Painel_diario!$L4965),1)-1</f>
        <v/>
      </c>
      <c r="D4969" s="22">
        <f>(1+D4968)*IF(AND(Painel_diario!$H4965="ED_JD",Painel_diario!$J4965=1),EXP(Painel_diario!$L4965),1)-1</f>
        <v/>
      </c>
      <c r="E4969" s="22">
        <f>(1+E4968)*IF(AND(Painel_diario!$H4965="ED_JU",Painel_diario!$J4965=1),EXP(Painel_diario!$L4965),1)-1</f>
        <v/>
      </c>
    </row>
    <row r="4970">
      <c r="A4970" s="25" t="n">
        <v>46147</v>
      </c>
      <c r="B4970" s="22">
        <f>(1+B4969)*IF(AND(Painel_diario!$H4966="EU_JD",Painel_diario!$J4966=1),EXP(Painel_diario!$L4966),1)-1</f>
        <v/>
      </c>
      <c r="C4970" s="22">
        <f>(1+C4969)*IF(AND(Painel_diario!$H4966="EU_JU",Painel_diario!$J4966=1),EXP(Painel_diario!$L4966),1)-1</f>
        <v/>
      </c>
      <c r="D4970" s="22">
        <f>(1+D4969)*IF(AND(Painel_diario!$H4966="ED_JD",Painel_diario!$J4966=1),EXP(Painel_diario!$L4966),1)-1</f>
        <v/>
      </c>
      <c r="E4970" s="22">
        <f>(1+E4969)*IF(AND(Painel_diario!$H4966="ED_JU",Painel_diario!$J4966=1),EXP(Painel_diario!$L4966),1)-1</f>
        <v/>
      </c>
    </row>
    <row r="4971">
      <c r="A4971" s="25" t="n">
        <v>46148</v>
      </c>
      <c r="B4971" s="22">
        <f>(1+B4970)*IF(AND(Painel_diario!$H4967="EU_JD",Painel_diario!$J4967=1),EXP(Painel_diario!$L4967),1)-1</f>
        <v/>
      </c>
      <c r="C4971" s="22">
        <f>(1+C4970)*IF(AND(Painel_diario!$H4967="EU_JU",Painel_diario!$J4967=1),EXP(Painel_diario!$L4967),1)-1</f>
        <v/>
      </c>
      <c r="D4971" s="22">
        <f>(1+D4970)*IF(AND(Painel_diario!$H4967="ED_JD",Painel_diario!$J4967=1),EXP(Painel_diario!$L4967),1)-1</f>
        <v/>
      </c>
      <c r="E4971" s="22">
        <f>(1+E4970)*IF(AND(Painel_diario!$H4967="ED_JU",Painel_diario!$J4967=1),EXP(Painel_diario!$L4967),1)-1</f>
        <v/>
      </c>
    </row>
    <row r="4972">
      <c r="A4972" s="25" t="n">
        <v>46149</v>
      </c>
      <c r="B4972" s="22">
        <f>(1+B4971)*IF(AND(Painel_diario!$H4968="EU_JD",Painel_diario!$J4968=1),EXP(Painel_diario!$L4968),1)-1</f>
        <v/>
      </c>
      <c r="C4972" s="22">
        <f>(1+C4971)*IF(AND(Painel_diario!$H4968="EU_JU",Painel_diario!$J4968=1),EXP(Painel_diario!$L4968),1)-1</f>
        <v/>
      </c>
      <c r="D4972" s="22">
        <f>(1+D4971)*IF(AND(Painel_diario!$H4968="ED_JD",Painel_diario!$J4968=1),EXP(Painel_diario!$L4968),1)-1</f>
        <v/>
      </c>
      <c r="E4972" s="22">
        <f>(1+E4971)*IF(AND(Painel_diario!$H4968="ED_JU",Painel_diario!$J4968=1),EXP(Painel_diario!$L4968),1)-1</f>
        <v/>
      </c>
    </row>
    <row r="4973">
      <c r="A4973" s="25" t="n">
        <v>46150</v>
      </c>
      <c r="B4973" s="22">
        <f>(1+B4972)*IF(AND(Painel_diario!$H4969="EU_JD",Painel_diario!$J4969=1),EXP(Painel_diario!$L4969),1)-1</f>
        <v/>
      </c>
      <c r="C4973" s="22">
        <f>(1+C4972)*IF(AND(Painel_diario!$H4969="EU_JU",Painel_diario!$J4969=1),EXP(Painel_diario!$L4969),1)-1</f>
        <v/>
      </c>
      <c r="D4973" s="22">
        <f>(1+D4972)*IF(AND(Painel_diario!$H4969="ED_JD",Painel_diario!$J4969=1),EXP(Painel_diario!$L4969),1)-1</f>
        <v/>
      </c>
      <c r="E4973" s="22">
        <f>(1+E4972)*IF(AND(Painel_diario!$H4969="ED_JU",Painel_diario!$J4969=1),EXP(Painel_diario!$L4969),1)-1</f>
        <v/>
      </c>
    </row>
    <row r="4974">
      <c r="A4974" s="25" t="n">
        <v>46153</v>
      </c>
      <c r="B4974" s="22">
        <f>(1+B4973)*IF(AND(Painel_diario!$H4970="EU_JD",Painel_diario!$J4970=1),EXP(Painel_diario!$L4970),1)-1</f>
        <v/>
      </c>
      <c r="C4974" s="22">
        <f>(1+C4973)*IF(AND(Painel_diario!$H4970="EU_JU",Painel_diario!$J4970=1),EXP(Painel_diario!$L4970),1)-1</f>
        <v/>
      </c>
      <c r="D4974" s="22">
        <f>(1+D4973)*IF(AND(Painel_diario!$H4970="ED_JD",Painel_diario!$J4970=1),EXP(Painel_diario!$L4970),1)-1</f>
        <v/>
      </c>
      <c r="E4974" s="22">
        <f>(1+E4973)*IF(AND(Painel_diario!$H4970="ED_JU",Painel_diario!$J4970=1),EXP(Painel_diario!$L4970),1)-1</f>
        <v/>
      </c>
    </row>
    <row r="4975">
      <c r="A4975" s="25" t="n">
        <v>46154</v>
      </c>
      <c r="B4975" s="22">
        <f>(1+B4974)*IF(AND(Painel_diario!$H4971="EU_JD",Painel_diario!$J4971=1),EXP(Painel_diario!$L4971),1)-1</f>
        <v/>
      </c>
      <c r="C4975" s="22">
        <f>(1+C4974)*IF(AND(Painel_diario!$H4971="EU_JU",Painel_diario!$J4971=1),EXP(Painel_diario!$L4971),1)-1</f>
        <v/>
      </c>
      <c r="D4975" s="22">
        <f>(1+D4974)*IF(AND(Painel_diario!$H4971="ED_JD",Painel_diario!$J4971=1),EXP(Painel_diario!$L4971),1)-1</f>
        <v/>
      </c>
      <c r="E4975" s="22">
        <f>(1+E4974)*IF(AND(Painel_diario!$H4971="ED_JU",Painel_diario!$J4971=1),EXP(Painel_diario!$L4971),1)-1</f>
        <v/>
      </c>
    </row>
    <row r="4976">
      <c r="A4976" s="25" t="n">
        <v>46155</v>
      </c>
      <c r="B4976" s="22">
        <f>(1+B4975)*IF(AND(Painel_diario!$H4972="EU_JD",Painel_diario!$J4972=1),EXP(Painel_diario!$L4972),1)-1</f>
        <v/>
      </c>
      <c r="C4976" s="22">
        <f>(1+C4975)*IF(AND(Painel_diario!$H4972="EU_JU",Painel_diario!$J4972=1),EXP(Painel_diario!$L4972),1)-1</f>
        <v/>
      </c>
      <c r="D4976" s="22">
        <f>(1+D4975)*IF(AND(Painel_diario!$H4972="ED_JD",Painel_diario!$J4972=1),EXP(Painel_diario!$L4972),1)-1</f>
        <v/>
      </c>
      <c r="E4976" s="22">
        <f>(1+E4975)*IF(AND(Painel_diario!$H4972="ED_JU",Painel_diario!$J4972=1),EXP(Painel_diario!$L4972),1)-1</f>
        <v/>
      </c>
    </row>
    <row r="4977">
      <c r="A4977" s="25" t="n">
        <v>46156</v>
      </c>
      <c r="B4977" s="22">
        <f>(1+B4976)*IF(AND(Painel_diario!$H4973="EU_JD",Painel_diario!$J4973=1),EXP(Painel_diario!$L4973),1)-1</f>
        <v/>
      </c>
      <c r="C4977" s="22">
        <f>(1+C4976)*IF(AND(Painel_diario!$H4973="EU_JU",Painel_diario!$J4973=1),EXP(Painel_diario!$L4973),1)-1</f>
        <v/>
      </c>
      <c r="D4977" s="22">
        <f>(1+D4976)*IF(AND(Painel_diario!$H4973="ED_JD",Painel_diario!$J4973=1),EXP(Painel_diario!$L4973),1)-1</f>
        <v/>
      </c>
      <c r="E4977" s="22">
        <f>(1+E4976)*IF(AND(Painel_diario!$H4973="ED_JU",Painel_diario!$J4973=1),EXP(Painel_diario!$L4973),1)-1</f>
        <v/>
      </c>
    </row>
    <row r="4978">
      <c r="A4978" s="25" t="n">
        <v>46157</v>
      </c>
      <c r="B4978" s="22">
        <f>(1+B4977)*IF(AND(Painel_diario!$H4974="EU_JD",Painel_diario!$J4974=1),EXP(Painel_diario!$L4974),1)-1</f>
        <v/>
      </c>
      <c r="C4978" s="22">
        <f>(1+C4977)*IF(AND(Painel_diario!$H4974="EU_JU",Painel_diario!$J4974=1),EXP(Painel_diario!$L4974),1)-1</f>
        <v/>
      </c>
      <c r="D4978" s="22">
        <f>(1+D4977)*IF(AND(Painel_diario!$H4974="ED_JD",Painel_diario!$J4974=1),EXP(Painel_diario!$L4974),1)-1</f>
        <v/>
      </c>
      <c r="E4978" s="22">
        <f>(1+E4977)*IF(AND(Painel_diario!$H4974="ED_JU",Painel_diario!$J4974=1),EXP(Painel_diario!$L4974),1)-1</f>
        <v/>
      </c>
    </row>
    <row r="4979">
      <c r="A4979" s="25" t="n">
        <v>46160</v>
      </c>
      <c r="B4979" s="22">
        <f>(1+B4978)*IF(AND(Painel_diario!$H4975="EU_JD",Painel_diario!$J4975=1),EXP(Painel_diario!$L4975),1)-1</f>
        <v/>
      </c>
      <c r="C4979" s="22">
        <f>(1+C4978)*IF(AND(Painel_diario!$H4975="EU_JU",Painel_diario!$J4975=1),EXP(Painel_diario!$L4975),1)-1</f>
        <v/>
      </c>
      <c r="D4979" s="22">
        <f>(1+D4978)*IF(AND(Painel_diario!$H4975="ED_JD",Painel_diario!$J4975=1),EXP(Painel_diario!$L4975),1)-1</f>
        <v/>
      </c>
      <c r="E4979" s="22">
        <f>(1+E4978)*IF(AND(Painel_diario!$H4975="ED_JU",Painel_diario!$J4975=1),EXP(Painel_diario!$L4975),1)-1</f>
        <v/>
      </c>
    </row>
    <row r="4980">
      <c r="A4980" s="25" t="n">
        <v>46161</v>
      </c>
      <c r="B4980" s="22">
        <f>(1+B4979)*IF(AND(Painel_diario!$H4976="EU_JD",Painel_diario!$J4976=1),EXP(Painel_diario!$L4976),1)-1</f>
        <v/>
      </c>
      <c r="C4980" s="22">
        <f>(1+C4979)*IF(AND(Painel_diario!$H4976="EU_JU",Painel_diario!$J4976=1),EXP(Painel_diario!$L4976),1)-1</f>
        <v/>
      </c>
      <c r="D4980" s="22">
        <f>(1+D4979)*IF(AND(Painel_diario!$H4976="ED_JD",Painel_diario!$J4976=1),EXP(Painel_diario!$L4976),1)-1</f>
        <v/>
      </c>
      <c r="E4980" s="22">
        <f>(1+E4979)*IF(AND(Painel_diario!$H4976="ED_JU",Painel_diario!$J4976=1),EXP(Painel_diario!$L4976),1)-1</f>
        <v/>
      </c>
    </row>
    <row r="4981">
      <c r="A4981" s="25" t="n">
        <v>46162</v>
      </c>
      <c r="B4981" s="22">
        <f>(1+B4980)*IF(AND(Painel_diario!$H4977="EU_JD",Painel_diario!$J4977=1),EXP(Painel_diario!$L4977),1)-1</f>
        <v/>
      </c>
      <c r="C4981" s="22">
        <f>(1+C4980)*IF(AND(Painel_diario!$H4977="EU_JU",Painel_diario!$J4977=1),EXP(Painel_diario!$L4977),1)-1</f>
        <v/>
      </c>
      <c r="D4981" s="22">
        <f>(1+D4980)*IF(AND(Painel_diario!$H4977="ED_JD",Painel_diario!$J4977=1),EXP(Painel_diario!$L4977),1)-1</f>
        <v/>
      </c>
      <c r="E4981" s="22">
        <f>(1+E4980)*IF(AND(Painel_diario!$H4977="ED_JU",Painel_diario!$J4977=1),EXP(Painel_diario!$L4977),1)-1</f>
        <v/>
      </c>
    </row>
    <row r="4982">
      <c r="A4982" s="25" t="n">
        <v>46163</v>
      </c>
      <c r="B4982" s="22">
        <f>(1+B4981)*IF(AND(Painel_diario!$H4978="EU_JD",Painel_diario!$J4978=1),EXP(Painel_diario!$L4978),1)-1</f>
        <v/>
      </c>
      <c r="C4982" s="22">
        <f>(1+C4981)*IF(AND(Painel_diario!$H4978="EU_JU",Painel_diario!$J4978=1),EXP(Painel_diario!$L4978),1)-1</f>
        <v/>
      </c>
      <c r="D4982" s="22">
        <f>(1+D4981)*IF(AND(Painel_diario!$H4978="ED_JD",Painel_diario!$J4978=1),EXP(Painel_diario!$L4978),1)-1</f>
        <v/>
      </c>
      <c r="E4982" s="22">
        <f>(1+E4981)*IF(AND(Painel_diario!$H4978="ED_JU",Painel_diario!$J4978=1),EXP(Painel_diario!$L4978),1)-1</f>
        <v/>
      </c>
    </row>
    <row r="4983">
      <c r="A4983" s="25" t="n">
        <v>46164</v>
      </c>
      <c r="B4983" s="22">
        <f>(1+B4982)*IF(AND(Painel_diario!$H4979="EU_JD",Painel_diario!$J4979=1),EXP(Painel_diario!$L4979),1)-1</f>
        <v/>
      </c>
      <c r="C4983" s="22">
        <f>(1+C4982)*IF(AND(Painel_diario!$H4979="EU_JU",Painel_diario!$J4979=1),EXP(Painel_diario!$L4979),1)-1</f>
        <v/>
      </c>
      <c r="D4983" s="22">
        <f>(1+D4982)*IF(AND(Painel_diario!$H4979="ED_JD",Painel_diario!$J4979=1),EXP(Painel_diario!$L4979),1)-1</f>
        <v/>
      </c>
      <c r="E4983" s="22">
        <f>(1+E4982)*IF(AND(Painel_diario!$H4979="ED_JU",Painel_diario!$J4979=1),EXP(Painel_diario!$L4979),1)-1</f>
        <v/>
      </c>
    </row>
    <row r="4984">
      <c r="A4984" s="25" t="n">
        <v>46167</v>
      </c>
      <c r="B4984" s="22">
        <f>(1+B4983)*IF(AND(Painel_diario!$H4980="EU_JD",Painel_diario!$J4980=1),EXP(Painel_diario!$L4980),1)-1</f>
        <v/>
      </c>
      <c r="C4984" s="22">
        <f>(1+C4983)*IF(AND(Painel_diario!$H4980="EU_JU",Painel_diario!$J4980=1),EXP(Painel_diario!$L4980),1)-1</f>
        <v/>
      </c>
      <c r="D4984" s="22">
        <f>(1+D4983)*IF(AND(Painel_diario!$H4980="ED_JD",Painel_diario!$J4980=1),EXP(Painel_diario!$L4980),1)-1</f>
        <v/>
      </c>
      <c r="E4984" s="22">
        <f>(1+E4983)*IF(AND(Painel_diario!$H4980="ED_JU",Painel_diario!$J4980=1),EXP(Painel_diario!$L4980),1)-1</f>
        <v/>
      </c>
    </row>
    <row r="4985">
      <c r="A4985" s="25" t="n">
        <v>46168</v>
      </c>
      <c r="B4985" s="22">
        <f>(1+B4984)*IF(AND(Painel_diario!$H4981="EU_JD",Painel_diario!$J4981=1),EXP(Painel_diario!$L4981),1)-1</f>
        <v/>
      </c>
      <c r="C4985" s="22">
        <f>(1+C4984)*IF(AND(Painel_diario!$H4981="EU_JU",Painel_diario!$J4981=1),EXP(Painel_diario!$L4981),1)-1</f>
        <v/>
      </c>
      <c r="D4985" s="22">
        <f>(1+D4984)*IF(AND(Painel_diario!$H4981="ED_JD",Painel_diario!$J4981=1),EXP(Painel_diario!$L4981),1)-1</f>
        <v/>
      </c>
      <c r="E4985" s="22">
        <f>(1+E4984)*IF(AND(Painel_diario!$H4981="ED_JU",Painel_diario!$J4981=1),EXP(Painel_diario!$L4981),1)-1</f>
        <v/>
      </c>
    </row>
    <row r="4986">
      <c r="A4986" s="25" t="n">
        <v>46169</v>
      </c>
      <c r="B4986" s="22">
        <f>(1+B4985)*IF(AND(Painel_diario!$H4982="EU_JD",Painel_diario!$J4982=1),EXP(Painel_diario!$L4982),1)-1</f>
        <v/>
      </c>
      <c r="C4986" s="22">
        <f>(1+C4985)*IF(AND(Painel_diario!$H4982="EU_JU",Painel_diario!$J4982=1),EXP(Painel_diario!$L4982),1)-1</f>
        <v/>
      </c>
      <c r="D4986" s="22">
        <f>(1+D4985)*IF(AND(Painel_diario!$H4982="ED_JD",Painel_diario!$J4982=1),EXP(Painel_diario!$L4982),1)-1</f>
        <v/>
      </c>
      <c r="E4986" s="22">
        <f>(1+E4985)*IF(AND(Painel_diario!$H4982="ED_JU",Painel_diario!$J4982=1),EXP(Painel_diario!$L4982),1)-1</f>
        <v/>
      </c>
    </row>
    <row r="4987">
      <c r="A4987" s="25" t="n">
        <v>46170</v>
      </c>
      <c r="B4987" s="22">
        <f>(1+B4986)*IF(AND(Painel_diario!$H4983="EU_JD",Painel_diario!$J4983=1),EXP(Painel_diario!$L4983),1)-1</f>
        <v/>
      </c>
      <c r="C4987" s="22">
        <f>(1+C4986)*IF(AND(Painel_diario!$H4983="EU_JU",Painel_diario!$J4983=1),EXP(Painel_diario!$L4983),1)-1</f>
        <v/>
      </c>
      <c r="D4987" s="22">
        <f>(1+D4986)*IF(AND(Painel_diario!$H4983="ED_JD",Painel_diario!$J4983=1),EXP(Painel_diario!$L4983),1)-1</f>
        <v/>
      </c>
      <c r="E4987" s="22">
        <f>(1+E4986)*IF(AND(Painel_diario!$H4983="ED_JU",Painel_diario!$J4983=1),EXP(Painel_diario!$L4983),1)-1</f>
        <v/>
      </c>
    </row>
    <row r="4988">
      <c r="A4988" s="25" t="n">
        <v>46171</v>
      </c>
      <c r="B4988" s="22">
        <f>(1+B4987)*IF(AND(Painel_diario!$H4984="EU_JD",Painel_diario!$J4984=1),EXP(Painel_diario!$L4984),1)-1</f>
        <v/>
      </c>
      <c r="C4988" s="22">
        <f>(1+C4987)*IF(AND(Painel_diario!$H4984="EU_JU",Painel_diario!$J4984=1),EXP(Painel_diario!$L4984),1)-1</f>
        <v/>
      </c>
      <c r="D4988" s="22">
        <f>(1+D4987)*IF(AND(Painel_diario!$H4984="ED_JD",Painel_diario!$J4984=1),EXP(Painel_diario!$L4984),1)-1</f>
        <v/>
      </c>
      <c r="E4988" s="22">
        <f>(1+E4987)*IF(AND(Painel_diario!$H4984="ED_JU",Painel_diario!$J4984=1),EXP(Painel_diario!$L4984),1)-1</f>
        <v/>
      </c>
    </row>
    <row r="4989">
      <c r="A4989" s="25" t="n">
        <v>46174</v>
      </c>
      <c r="B4989" s="22">
        <f>(1+B4988)*IF(AND(Painel_diario!$H4985="EU_JD",Painel_diario!$J4985=1),EXP(Painel_diario!$L4985),1)-1</f>
        <v/>
      </c>
      <c r="C4989" s="22">
        <f>(1+C4988)*IF(AND(Painel_diario!$H4985="EU_JU",Painel_diario!$J4985=1),EXP(Painel_diario!$L4985),1)-1</f>
        <v/>
      </c>
      <c r="D4989" s="22">
        <f>(1+D4988)*IF(AND(Painel_diario!$H4985="ED_JD",Painel_diario!$J4985=1),EXP(Painel_diario!$L4985),1)-1</f>
        <v/>
      </c>
      <c r="E4989" s="22">
        <f>(1+E4988)*IF(AND(Painel_diario!$H4985="ED_JU",Painel_diario!$J4985=1),EXP(Painel_diario!$L4985),1)-1</f>
        <v/>
      </c>
    </row>
    <row r="4990">
      <c r="A4990" s="25" t="n">
        <v>46175</v>
      </c>
      <c r="B4990" s="22">
        <f>(1+B4989)*IF(AND(Painel_diario!$H4986="EU_JD",Painel_diario!$J4986=1),EXP(Painel_diario!$L4986),1)-1</f>
        <v/>
      </c>
      <c r="C4990" s="22">
        <f>(1+C4989)*IF(AND(Painel_diario!$H4986="EU_JU",Painel_diario!$J4986=1),EXP(Painel_diario!$L4986),1)-1</f>
        <v/>
      </c>
      <c r="D4990" s="22">
        <f>(1+D4989)*IF(AND(Painel_diario!$H4986="ED_JD",Painel_diario!$J4986=1),EXP(Painel_diario!$L4986),1)-1</f>
        <v/>
      </c>
      <c r="E4990" s="22">
        <f>(1+E4989)*IF(AND(Painel_diario!$H4986="ED_JU",Painel_diario!$J4986=1),EXP(Painel_diario!$L4986),1)-1</f>
        <v/>
      </c>
    </row>
    <row r="4991">
      <c r="A4991" s="25" t="n">
        <v>46176</v>
      </c>
      <c r="B4991" s="22">
        <f>(1+B4990)*IF(AND(Painel_diario!$H4987="EU_JD",Painel_diario!$J4987=1),EXP(Painel_diario!$L4987),1)-1</f>
        <v/>
      </c>
      <c r="C4991" s="22">
        <f>(1+C4990)*IF(AND(Painel_diario!$H4987="EU_JU",Painel_diario!$J4987=1),EXP(Painel_diario!$L4987),1)-1</f>
        <v/>
      </c>
      <c r="D4991" s="22">
        <f>(1+D4990)*IF(AND(Painel_diario!$H4987="ED_JD",Painel_diario!$J4987=1),EXP(Painel_diario!$L4987),1)-1</f>
        <v/>
      </c>
      <c r="E4991" s="22">
        <f>(1+E4990)*IF(AND(Painel_diario!$H4987="ED_JU",Painel_diario!$J4987=1),EXP(Painel_diario!$L4987),1)-1</f>
        <v/>
      </c>
    </row>
    <row r="4992">
      <c r="A4992" s="25" t="n">
        <v>46178</v>
      </c>
      <c r="B4992" s="22">
        <f>(1+B4991)*IF(AND(Painel_diario!$H4988="EU_JD",Painel_diario!$J4988=1),EXP(Painel_diario!$L4988),1)-1</f>
        <v/>
      </c>
      <c r="C4992" s="22">
        <f>(1+C4991)*IF(AND(Painel_diario!$H4988="EU_JU",Painel_diario!$J4988=1),EXP(Painel_diario!$L4988),1)-1</f>
        <v/>
      </c>
      <c r="D4992" s="22">
        <f>(1+D4991)*IF(AND(Painel_diario!$H4988="ED_JD",Painel_diario!$J4988=1),EXP(Painel_diario!$L4988),1)-1</f>
        <v/>
      </c>
      <c r="E4992" s="22">
        <f>(1+E4991)*IF(AND(Painel_diario!$H4988="ED_JU",Painel_diario!$J4988=1),EXP(Painel_diario!$L4988),1)-1</f>
        <v/>
      </c>
    </row>
    <row r="4993">
      <c r="A4993" s="25" t="n">
        <v>46181</v>
      </c>
      <c r="B4993" s="22">
        <f>(1+B4992)*IF(AND(Painel_diario!$H4989="EU_JD",Painel_diario!$J4989=1),EXP(Painel_diario!$L4989),1)-1</f>
        <v/>
      </c>
      <c r="C4993" s="22">
        <f>(1+C4992)*IF(AND(Painel_diario!$H4989="EU_JU",Painel_diario!$J4989=1),EXP(Painel_diario!$L4989),1)-1</f>
        <v/>
      </c>
      <c r="D4993" s="22">
        <f>(1+D4992)*IF(AND(Painel_diario!$H4989="ED_JD",Painel_diario!$J4989=1),EXP(Painel_diario!$L4989),1)-1</f>
        <v/>
      </c>
      <c r="E4993" s="22">
        <f>(1+E4992)*IF(AND(Painel_diario!$H4989="ED_JU",Painel_diario!$J4989=1),EXP(Painel_diario!$L4989),1)-1</f>
        <v/>
      </c>
    </row>
    <row r="4994">
      <c r="A4994" s="25" t="n">
        <v>46182</v>
      </c>
      <c r="B4994" s="22">
        <f>(1+B4993)*IF(AND(Painel_diario!$H4990="EU_JD",Painel_diario!$J4990=1),EXP(Painel_diario!$L4990),1)-1</f>
        <v/>
      </c>
      <c r="C4994" s="22">
        <f>(1+C4993)*IF(AND(Painel_diario!$H4990="EU_JU",Painel_diario!$J4990=1),EXP(Painel_diario!$L4990),1)-1</f>
        <v/>
      </c>
      <c r="D4994" s="22">
        <f>(1+D4993)*IF(AND(Painel_diario!$H4990="ED_JD",Painel_diario!$J4990=1),EXP(Painel_diario!$L4990),1)-1</f>
        <v/>
      </c>
      <c r="E4994" s="22">
        <f>(1+E4993)*IF(AND(Painel_diario!$H4990="ED_JU",Painel_diario!$J4990=1),EXP(Painel_diario!$L4990),1)-1</f>
        <v/>
      </c>
    </row>
    <row r="4995">
      <c r="A4995" s="25" t="n">
        <v>46183</v>
      </c>
      <c r="B4995" s="22">
        <f>(1+B4994)*IF(AND(Painel_diario!$H4991="EU_JD",Painel_diario!$J4991=1),EXP(Painel_diario!$L4991),1)-1</f>
        <v/>
      </c>
      <c r="C4995" s="22">
        <f>(1+C4994)*IF(AND(Painel_diario!$H4991="EU_JU",Painel_diario!$J4991=1),EXP(Painel_diario!$L4991),1)-1</f>
        <v/>
      </c>
      <c r="D4995" s="22">
        <f>(1+D4994)*IF(AND(Painel_diario!$H4991="ED_JD",Painel_diario!$J4991=1),EXP(Painel_diario!$L4991),1)-1</f>
        <v/>
      </c>
      <c r="E4995" s="22">
        <f>(1+E4994)*IF(AND(Painel_diario!$H4991="ED_JU",Painel_diario!$J4991=1),EXP(Painel_diario!$L4991),1)-1</f>
        <v/>
      </c>
    </row>
    <row r="4996">
      <c r="A4996" s="25" t="n">
        <v>46184</v>
      </c>
      <c r="B4996" s="22">
        <f>(1+B4995)*IF(AND(Painel_diario!$H4992="EU_JD",Painel_diario!$J4992=1),EXP(Painel_diario!$L4992),1)-1</f>
        <v/>
      </c>
      <c r="C4996" s="22">
        <f>(1+C4995)*IF(AND(Painel_diario!$H4992="EU_JU",Painel_diario!$J4992=1),EXP(Painel_diario!$L4992),1)-1</f>
        <v/>
      </c>
      <c r="D4996" s="22">
        <f>(1+D4995)*IF(AND(Painel_diario!$H4992="ED_JD",Painel_diario!$J4992=1),EXP(Painel_diario!$L4992),1)-1</f>
        <v/>
      </c>
      <c r="E4996" s="22">
        <f>(1+E4995)*IF(AND(Painel_diario!$H4992="ED_JU",Painel_diario!$J4992=1),EXP(Painel_diario!$L4992),1)-1</f>
        <v/>
      </c>
    </row>
    <row r="4997">
      <c r="A4997" s="25" t="n">
        <v>46185</v>
      </c>
      <c r="B4997" s="22">
        <f>(1+B4996)*IF(AND(Painel_diario!$H4993="EU_JD",Painel_diario!$J4993=1),EXP(Painel_diario!$L4993),1)-1</f>
        <v/>
      </c>
      <c r="C4997" s="22">
        <f>(1+C4996)*IF(AND(Painel_diario!$H4993="EU_JU",Painel_diario!$J4993=1),EXP(Painel_diario!$L4993),1)-1</f>
        <v/>
      </c>
      <c r="D4997" s="22">
        <f>(1+D4996)*IF(AND(Painel_diario!$H4993="ED_JD",Painel_diario!$J4993=1),EXP(Painel_diario!$L4993),1)-1</f>
        <v/>
      </c>
      <c r="E4997" s="22">
        <f>(1+E4996)*IF(AND(Painel_diario!$H4993="ED_JU",Painel_diario!$J4993=1),EXP(Painel_diario!$L4993),1)-1</f>
        <v/>
      </c>
    </row>
    <row r="4998">
      <c r="A4998" s="25" t="n">
        <v>46188</v>
      </c>
      <c r="B4998" s="22">
        <f>(1+B4997)*IF(AND(Painel_diario!$H4994="EU_JD",Painel_diario!$J4994=1),EXP(Painel_diario!$L4994),1)-1</f>
        <v/>
      </c>
      <c r="C4998" s="22">
        <f>(1+C4997)*IF(AND(Painel_diario!$H4994="EU_JU",Painel_diario!$J4994=1),EXP(Painel_diario!$L4994),1)-1</f>
        <v/>
      </c>
      <c r="D4998" s="22">
        <f>(1+D4997)*IF(AND(Painel_diario!$H4994="ED_JD",Painel_diario!$J4994=1),EXP(Painel_diario!$L4994),1)-1</f>
        <v/>
      </c>
      <c r="E4998" s="22">
        <f>(1+E4997)*IF(AND(Painel_diario!$H4994="ED_JU",Painel_diario!$J4994=1),EXP(Painel_diario!$L4994),1)-1</f>
        <v/>
      </c>
    </row>
    <row r="4999">
      <c r="A4999" s="25" t="n">
        <v>46189</v>
      </c>
      <c r="B4999" s="22">
        <f>(1+B4998)*IF(AND(Painel_diario!$H4995="EU_JD",Painel_diario!$J4995=1),EXP(Painel_diario!$L4995),1)-1</f>
        <v/>
      </c>
      <c r="C4999" s="22">
        <f>(1+C4998)*IF(AND(Painel_diario!$H4995="EU_JU",Painel_diario!$J4995=1),EXP(Painel_diario!$L4995),1)-1</f>
        <v/>
      </c>
      <c r="D4999" s="22">
        <f>(1+D4998)*IF(AND(Painel_diario!$H4995="ED_JD",Painel_diario!$J4995=1),EXP(Painel_diario!$L4995),1)-1</f>
        <v/>
      </c>
      <c r="E4999" s="22">
        <f>(1+E4998)*IF(AND(Painel_diario!$H4995="ED_JU",Painel_diario!$J4995=1),EXP(Painel_diario!$L4995),1)-1</f>
        <v/>
      </c>
    </row>
    <row r="5000">
      <c r="A5000" s="25" t="n">
        <v>46190</v>
      </c>
      <c r="B5000" s="22">
        <f>(1+B4999)*IF(AND(Painel_diario!$H4996="EU_JD",Painel_diario!$J4996=1),EXP(Painel_diario!$L4996),1)-1</f>
        <v/>
      </c>
      <c r="C5000" s="22">
        <f>(1+C4999)*IF(AND(Painel_diario!$H4996="EU_JU",Painel_diario!$J4996=1),EXP(Painel_diario!$L4996),1)-1</f>
        <v/>
      </c>
      <c r="D5000" s="22">
        <f>(1+D4999)*IF(AND(Painel_diario!$H4996="ED_JD",Painel_diario!$J4996=1),EXP(Painel_diario!$L4996),1)-1</f>
        <v/>
      </c>
      <c r="E5000" s="22">
        <f>(1+E4999)*IF(AND(Painel_diario!$H4996="ED_JU",Painel_diario!$J4996=1),EXP(Painel_diario!$L4996),1)-1</f>
        <v/>
      </c>
    </row>
    <row r="5001">
      <c r="A5001" s="25" t="n">
        <v>46191</v>
      </c>
      <c r="B5001" s="22">
        <f>(1+B5000)*IF(AND(Painel_diario!$H4997="EU_JD",Painel_diario!$J4997=1),EXP(Painel_diario!$L4997),1)-1</f>
        <v/>
      </c>
      <c r="C5001" s="22">
        <f>(1+C5000)*IF(AND(Painel_diario!$H4997="EU_JU",Painel_diario!$J4997=1),EXP(Painel_diario!$L4997),1)-1</f>
        <v/>
      </c>
      <c r="D5001" s="22">
        <f>(1+D5000)*IF(AND(Painel_diario!$H4997="ED_JD",Painel_diario!$J4997=1),EXP(Painel_diario!$L4997),1)-1</f>
        <v/>
      </c>
      <c r="E5001" s="22">
        <f>(1+E5000)*IF(AND(Painel_diario!$H4997="ED_JU",Painel_diario!$J4997=1),EXP(Painel_diario!$L4997),1)-1</f>
        <v/>
      </c>
    </row>
    <row r="5002">
      <c r="A5002" s="25" t="n">
        <v>46192</v>
      </c>
      <c r="B5002" s="22">
        <f>(1+B5001)*IF(AND(Painel_diario!$H4998="EU_JD",Painel_diario!$J4998=1),EXP(Painel_diario!$L4998),1)-1</f>
        <v/>
      </c>
      <c r="C5002" s="22">
        <f>(1+C5001)*IF(AND(Painel_diario!$H4998="EU_JU",Painel_diario!$J4998=1),EXP(Painel_diario!$L4998),1)-1</f>
        <v/>
      </c>
      <c r="D5002" s="22">
        <f>(1+D5001)*IF(AND(Painel_diario!$H4998="ED_JD",Painel_diario!$J4998=1),EXP(Painel_diario!$L4998),1)-1</f>
        <v/>
      </c>
      <c r="E5002" s="22">
        <f>(1+E5001)*IF(AND(Painel_diario!$H4998="ED_JU",Painel_diario!$J4998=1),EXP(Painel_diario!$L4998),1)-1</f>
        <v/>
      </c>
    </row>
    <row r="5003">
      <c r="A5003" s="25" t="n">
        <v>46195</v>
      </c>
      <c r="B5003" s="22">
        <f>(1+B5002)*IF(AND(Painel_diario!$H4999="EU_JD",Painel_diario!$J4999=1),EXP(Painel_diario!$L4999),1)-1</f>
        <v/>
      </c>
      <c r="C5003" s="22">
        <f>(1+C5002)*IF(AND(Painel_diario!$H4999="EU_JU",Painel_diario!$J4999=1),EXP(Painel_diario!$L4999),1)-1</f>
        <v/>
      </c>
      <c r="D5003" s="22">
        <f>(1+D5002)*IF(AND(Painel_diario!$H4999="ED_JD",Painel_diario!$J4999=1),EXP(Painel_diario!$L4999),1)-1</f>
        <v/>
      </c>
      <c r="E5003" s="22">
        <f>(1+E5002)*IF(AND(Painel_diario!$H4999="ED_JU",Painel_diario!$J4999=1),EXP(Painel_diario!$L4999),1)-1</f>
        <v/>
      </c>
    </row>
    <row r="5004">
      <c r="A5004" s="25" t="n">
        <v>46196</v>
      </c>
      <c r="B5004" s="22">
        <f>(1+B5003)*IF(AND(Painel_diario!$H5000="EU_JD",Painel_diario!$J5000=1),EXP(Painel_diario!$L5000),1)-1</f>
        <v/>
      </c>
      <c r="C5004" s="22">
        <f>(1+C5003)*IF(AND(Painel_diario!$H5000="EU_JU",Painel_diario!$J5000=1),EXP(Painel_diario!$L5000),1)-1</f>
        <v/>
      </c>
      <c r="D5004" s="22">
        <f>(1+D5003)*IF(AND(Painel_diario!$H5000="ED_JD",Painel_diario!$J5000=1),EXP(Painel_diario!$L5000),1)-1</f>
        <v/>
      </c>
      <c r="E5004" s="22">
        <f>(1+E5003)*IF(AND(Painel_diario!$H5000="ED_JU",Painel_diario!$J5000=1),EXP(Painel_diario!$L5000),1)-1</f>
        <v/>
      </c>
    </row>
    <row r="5005">
      <c r="A5005" s="25" t="n">
        <v>46197</v>
      </c>
      <c r="B5005" s="22">
        <f>(1+B5004)*IF(AND(Painel_diario!$H5001="EU_JD",Painel_diario!$J5001=1),EXP(Painel_diario!$L5001),1)-1</f>
        <v/>
      </c>
      <c r="C5005" s="22">
        <f>(1+C5004)*IF(AND(Painel_diario!$H5001="EU_JU",Painel_diario!$J5001=1),EXP(Painel_diario!$L5001),1)-1</f>
        <v/>
      </c>
      <c r="D5005" s="22">
        <f>(1+D5004)*IF(AND(Painel_diario!$H5001="ED_JD",Painel_diario!$J5001=1),EXP(Painel_diario!$L5001),1)-1</f>
        <v/>
      </c>
      <c r="E5005" s="22">
        <f>(1+E5004)*IF(AND(Painel_diario!$H5001="ED_JU",Painel_diario!$J5001=1),EXP(Painel_diario!$L5001),1)-1</f>
        <v/>
      </c>
    </row>
    <row r="5006">
      <c r="A5006" s="25" t="n">
        <v>46198</v>
      </c>
      <c r="B5006" s="22">
        <f>(1+B5005)*IF(AND(Painel_diario!$H5002="EU_JD",Painel_diario!$J5002=1),EXP(Painel_diario!$L5002),1)-1</f>
        <v/>
      </c>
      <c r="C5006" s="22">
        <f>(1+C5005)*IF(AND(Painel_diario!$H5002="EU_JU",Painel_diario!$J5002=1),EXP(Painel_diario!$L5002),1)-1</f>
        <v/>
      </c>
      <c r="D5006" s="22">
        <f>(1+D5005)*IF(AND(Painel_diario!$H5002="ED_JD",Painel_diario!$J5002=1),EXP(Painel_diario!$L5002),1)-1</f>
        <v/>
      </c>
      <c r="E5006" s="22">
        <f>(1+E5005)*IF(AND(Painel_diario!$H5002="ED_JU",Painel_diario!$J5002=1),EXP(Painel_diario!$L5002),1)-1</f>
        <v/>
      </c>
    </row>
    <row r="5007">
      <c r="A5007" s="25" t="n">
        <v>46199</v>
      </c>
      <c r="B5007" s="22">
        <f>(1+B5006)*IF(AND(Painel_diario!$H5003="EU_JD",Painel_diario!$J5003=1),EXP(Painel_diario!$L5003),1)-1</f>
        <v/>
      </c>
      <c r="C5007" s="22">
        <f>(1+C5006)*IF(AND(Painel_diario!$H5003="EU_JU",Painel_diario!$J5003=1),EXP(Painel_diario!$L5003),1)-1</f>
        <v/>
      </c>
      <c r="D5007" s="22">
        <f>(1+D5006)*IF(AND(Painel_diario!$H5003="ED_JD",Painel_diario!$J5003=1),EXP(Painel_diario!$L5003),1)-1</f>
        <v/>
      </c>
      <c r="E5007" s="22">
        <f>(1+E5006)*IF(AND(Painel_diario!$H5003="ED_JU",Painel_diario!$J5003=1),EXP(Painel_diario!$L5003),1)-1</f>
        <v/>
      </c>
    </row>
    <row r="5008">
      <c r="A5008" s="25" t="n">
        <v>46202</v>
      </c>
      <c r="B5008" s="22">
        <f>(1+B5007)*IF(AND(Painel_diario!$H5004="EU_JD",Painel_diario!$J5004=1),EXP(Painel_diario!$L5004),1)-1</f>
        <v/>
      </c>
      <c r="C5008" s="22">
        <f>(1+C5007)*IF(AND(Painel_diario!$H5004="EU_JU",Painel_diario!$J5004=1),EXP(Painel_diario!$L5004),1)-1</f>
        <v/>
      </c>
      <c r="D5008" s="22">
        <f>(1+D5007)*IF(AND(Painel_diario!$H5004="ED_JD",Painel_diario!$J5004=1),EXP(Painel_diario!$L5004),1)-1</f>
        <v/>
      </c>
      <c r="E5008" s="22">
        <f>(1+E5007)*IF(AND(Painel_diario!$H5004="ED_JU",Painel_diario!$J5004=1),EXP(Painel_diario!$L5004),1)-1</f>
        <v/>
      </c>
    </row>
    <row r="5009">
      <c r="A5009" s="25" t="n">
        <v>46203</v>
      </c>
      <c r="B5009" s="22">
        <f>(1+B5008)*IF(AND(Painel_diario!$H5005="EU_JD",Painel_diario!$J5005=1),EXP(Painel_diario!$L5005),1)-1</f>
        <v/>
      </c>
      <c r="C5009" s="22">
        <f>(1+C5008)*IF(AND(Painel_diario!$H5005="EU_JU",Painel_diario!$J5005=1),EXP(Painel_diario!$L5005),1)-1</f>
        <v/>
      </c>
      <c r="D5009" s="22">
        <f>(1+D5008)*IF(AND(Painel_diario!$H5005="ED_JD",Painel_diario!$J5005=1),EXP(Painel_diario!$L5005),1)-1</f>
        <v/>
      </c>
      <c r="E5009" s="22">
        <f>(1+E5008)*IF(AND(Painel_diario!$H5005="ED_JU",Painel_diario!$J5005=1),EXP(Painel_diario!$L5005),1)-1</f>
        <v/>
      </c>
    </row>
    <row r="5010">
      <c r="A5010" s="25" t="n">
        <v>46204</v>
      </c>
      <c r="B5010" s="22">
        <f>(1+B5009)*IF(AND(Painel_diario!$H5006="EU_JD",Painel_diario!$J5006=1),EXP(Painel_diario!$L5006),1)-1</f>
        <v/>
      </c>
      <c r="C5010" s="22">
        <f>(1+C5009)*IF(AND(Painel_diario!$H5006="EU_JU",Painel_diario!$J5006=1),EXP(Painel_diario!$L5006),1)-1</f>
        <v/>
      </c>
      <c r="D5010" s="22">
        <f>(1+D5009)*IF(AND(Painel_diario!$H5006="ED_JD",Painel_diario!$J5006=1),EXP(Painel_diario!$L5006),1)-1</f>
        <v/>
      </c>
      <c r="E5010" s="22">
        <f>(1+E5009)*IF(AND(Painel_diario!$H5006="ED_JU",Painel_diario!$J5006=1),EXP(Painel_diario!$L5006),1)-1</f>
        <v/>
      </c>
    </row>
    <row r="5011">
      <c r="A5011" s="25" t="n">
        <v>46205</v>
      </c>
      <c r="B5011" s="22">
        <f>(1+B5010)*IF(AND(Painel_diario!$H5007="EU_JD",Painel_diario!$J5007=1),EXP(Painel_diario!$L5007),1)-1</f>
        <v/>
      </c>
      <c r="C5011" s="22">
        <f>(1+C5010)*IF(AND(Painel_diario!$H5007="EU_JU",Painel_diario!$J5007=1),EXP(Painel_diario!$L5007),1)-1</f>
        <v/>
      </c>
      <c r="D5011" s="22">
        <f>(1+D5010)*IF(AND(Painel_diario!$H5007="ED_JD",Painel_diario!$J5007=1),EXP(Painel_diario!$L5007),1)-1</f>
        <v/>
      </c>
      <c r="E5011" s="22">
        <f>(1+E5010)*IF(AND(Painel_diario!$H5007="ED_JU",Painel_diario!$J5007=1),EXP(Painel_diario!$L5007),1)-1</f>
        <v/>
      </c>
    </row>
    <row r="5012">
      <c r="A5012" s="25" t="n">
        <v>46206</v>
      </c>
      <c r="B5012" s="22">
        <f>(1+B5011)*IF(AND(Painel_diario!$H5008="EU_JD",Painel_diario!$J5008=1),EXP(Painel_diario!$L5008),1)-1</f>
        <v/>
      </c>
      <c r="C5012" s="22">
        <f>(1+C5011)*IF(AND(Painel_diario!$H5008="EU_JU",Painel_diario!$J5008=1),EXP(Painel_diario!$L5008),1)-1</f>
        <v/>
      </c>
      <c r="D5012" s="22">
        <f>(1+D5011)*IF(AND(Painel_diario!$H5008="ED_JD",Painel_diario!$J5008=1),EXP(Painel_diario!$L5008),1)-1</f>
        <v/>
      </c>
      <c r="E5012" s="22">
        <f>(1+E5011)*IF(AND(Painel_diario!$H5008="ED_JU",Painel_diario!$J5008=1),EXP(Painel_diario!$L5008),1)-1</f>
        <v/>
      </c>
    </row>
    <row r="5013">
      <c r="A5013" s="25" t="n">
        <v>46209</v>
      </c>
      <c r="B5013" s="22">
        <f>(1+B5012)*IF(AND(Painel_diario!$H5009="EU_JD",Painel_diario!$J5009=1),EXP(Painel_diario!$L5009),1)-1</f>
        <v/>
      </c>
      <c r="C5013" s="22">
        <f>(1+C5012)*IF(AND(Painel_diario!$H5009="EU_JU",Painel_diario!$J5009=1),EXP(Painel_diario!$L5009),1)-1</f>
        <v/>
      </c>
      <c r="D5013" s="22">
        <f>(1+D5012)*IF(AND(Painel_diario!$H5009="ED_JD",Painel_diario!$J5009=1),EXP(Painel_diario!$L5009),1)-1</f>
        <v/>
      </c>
      <c r="E5013" s="22">
        <f>(1+E5012)*IF(AND(Painel_diario!$H5009="ED_JU",Painel_diario!$J5009=1),EXP(Painel_diario!$L5009),1)-1</f>
        <v/>
      </c>
    </row>
    <row r="5014">
      <c r="A5014" s="25" t="n">
        <v>46210</v>
      </c>
      <c r="B5014" s="22">
        <f>(1+B5013)*IF(AND(Painel_diario!$H5010="EU_JD",Painel_diario!$J5010=1),EXP(Painel_diario!$L5010),1)-1</f>
        <v/>
      </c>
      <c r="C5014" s="22">
        <f>(1+C5013)*IF(AND(Painel_diario!$H5010="EU_JU",Painel_diario!$J5010=1),EXP(Painel_diario!$L5010),1)-1</f>
        <v/>
      </c>
      <c r="D5014" s="22">
        <f>(1+D5013)*IF(AND(Painel_diario!$H5010="ED_JD",Painel_diario!$J5010=1),EXP(Painel_diario!$L5010),1)-1</f>
        <v/>
      </c>
      <c r="E5014" s="22">
        <f>(1+E5013)*IF(AND(Painel_diario!$H5010="ED_JU",Painel_diario!$J5010=1),EXP(Painel_diario!$L5010),1)-1</f>
        <v/>
      </c>
    </row>
    <row r="5015">
      <c r="A5015" s="25" t="n">
        <v>46211</v>
      </c>
      <c r="B5015" s="22">
        <f>(1+B5014)*IF(AND(Painel_diario!$H5011="EU_JD",Painel_diario!$J5011=1),EXP(Painel_diario!$L5011),1)-1</f>
        <v/>
      </c>
      <c r="C5015" s="22">
        <f>(1+C5014)*IF(AND(Painel_diario!$H5011="EU_JU",Painel_diario!$J5011=1),EXP(Painel_diario!$L5011),1)-1</f>
        <v/>
      </c>
      <c r="D5015" s="22">
        <f>(1+D5014)*IF(AND(Painel_diario!$H5011="ED_JD",Painel_diario!$J5011=1),EXP(Painel_diario!$L5011),1)-1</f>
        <v/>
      </c>
      <c r="E5015" s="22">
        <f>(1+E5014)*IF(AND(Painel_diario!$H5011="ED_JU",Painel_diario!$J5011=1),EXP(Painel_diario!$L5011),1)-1</f>
        <v/>
      </c>
    </row>
    <row r="5016">
      <c r="A5016" s="25" t="n">
        <v>46212</v>
      </c>
      <c r="B5016" s="22">
        <f>(1+B5015)*IF(AND(Painel_diario!$H5012="EU_JD",Painel_diario!$J5012=1),EXP(Painel_diario!$L5012),1)-1</f>
        <v/>
      </c>
      <c r="C5016" s="22">
        <f>(1+C5015)*IF(AND(Painel_diario!$H5012="EU_JU",Painel_diario!$J5012=1),EXP(Painel_diario!$L5012),1)-1</f>
        <v/>
      </c>
      <c r="D5016" s="22">
        <f>(1+D5015)*IF(AND(Painel_diario!$H5012="ED_JD",Painel_diario!$J5012=1),EXP(Painel_diario!$L5012),1)-1</f>
        <v/>
      </c>
      <c r="E5016" s="22">
        <f>(1+E5015)*IF(AND(Painel_diario!$H5012="ED_JU",Painel_diario!$J5012=1),EXP(Painel_diario!$L5012),1)-1</f>
        <v/>
      </c>
    </row>
    <row r="5017">
      <c r="A5017" s="25" t="n">
        <v>46213</v>
      </c>
      <c r="B5017" s="22">
        <f>(1+B5016)*IF(AND(Painel_diario!$H5013="EU_JD",Painel_diario!$J5013=1),EXP(Painel_diario!$L5013),1)-1</f>
        <v/>
      </c>
      <c r="C5017" s="22">
        <f>(1+C5016)*IF(AND(Painel_diario!$H5013="EU_JU",Painel_diario!$J5013=1),EXP(Painel_diario!$L5013),1)-1</f>
        <v/>
      </c>
      <c r="D5017" s="22">
        <f>(1+D5016)*IF(AND(Painel_diario!$H5013="ED_JD",Painel_diario!$J5013=1),EXP(Painel_diario!$L5013),1)-1</f>
        <v/>
      </c>
      <c r="E5017" s="22">
        <f>(1+E5016)*IF(AND(Painel_diario!$H5013="ED_JU",Painel_diario!$J5013=1),EXP(Painel_diario!$L5013),1)-1</f>
        <v/>
      </c>
    </row>
    <row r="5018">
      <c r="A5018" s="25" t="n">
        <v>46216</v>
      </c>
      <c r="B5018" s="22">
        <f>(1+B5017)*IF(AND(Painel_diario!$H5014="EU_JD",Painel_diario!$J5014=1),EXP(Painel_diario!$L5014),1)-1</f>
        <v/>
      </c>
      <c r="C5018" s="22">
        <f>(1+C5017)*IF(AND(Painel_diario!$H5014="EU_JU",Painel_diario!$J5014=1),EXP(Painel_diario!$L5014),1)-1</f>
        <v/>
      </c>
      <c r="D5018" s="22">
        <f>(1+D5017)*IF(AND(Painel_diario!$H5014="ED_JD",Painel_diario!$J5014=1),EXP(Painel_diario!$L5014),1)-1</f>
        <v/>
      </c>
      <c r="E5018" s="22">
        <f>(1+E5017)*IF(AND(Painel_diario!$H5014="ED_JU",Painel_diario!$J5014=1),EXP(Painel_diario!$L5014),1)-1</f>
        <v/>
      </c>
    </row>
    <row r="5019">
      <c r="A5019" s="25" t="n">
        <v>46217</v>
      </c>
      <c r="B5019" s="22">
        <f>(1+B5018)*IF(AND(Painel_diario!$H5015="EU_JD",Painel_diario!$J5015=1),EXP(Painel_diario!$L5015),1)-1</f>
        <v/>
      </c>
      <c r="C5019" s="22">
        <f>(1+C5018)*IF(AND(Painel_diario!$H5015="EU_JU",Painel_diario!$J5015=1),EXP(Painel_diario!$L5015),1)-1</f>
        <v/>
      </c>
      <c r="D5019" s="22">
        <f>(1+D5018)*IF(AND(Painel_diario!$H5015="ED_JD",Painel_diario!$J5015=1),EXP(Painel_diario!$L5015),1)-1</f>
        <v/>
      </c>
      <c r="E5019" s="22">
        <f>(1+E5018)*IF(AND(Painel_diario!$H5015="ED_JU",Painel_diario!$J5015=1),EXP(Painel_diario!$L5015),1)-1</f>
        <v/>
      </c>
    </row>
    <row r="5020">
      <c r="A5020" s="25" t="n">
        <v>46218</v>
      </c>
      <c r="B5020" s="22">
        <f>(1+B5019)*IF(AND(Painel_diario!$H5016="EU_JD",Painel_diario!$J5016=1),EXP(Painel_diario!$L5016),1)-1</f>
        <v/>
      </c>
      <c r="C5020" s="22">
        <f>(1+C5019)*IF(AND(Painel_diario!$H5016="EU_JU",Painel_diario!$J5016=1),EXP(Painel_diario!$L5016),1)-1</f>
        <v/>
      </c>
      <c r="D5020" s="22">
        <f>(1+D5019)*IF(AND(Painel_diario!$H5016="ED_JD",Painel_diario!$J5016=1),EXP(Painel_diario!$L5016),1)-1</f>
        <v/>
      </c>
      <c r="E5020" s="22">
        <f>(1+E5019)*IF(AND(Painel_diario!$H5016="ED_JU",Painel_diario!$J5016=1),EXP(Painel_diario!$L5016),1)-1</f>
        <v/>
      </c>
    </row>
    <row r="5021">
      <c r="A5021" s="25" t="n">
        <v>46219</v>
      </c>
      <c r="B5021" s="22">
        <f>(1+B5020)*IF(AND(Painel_diario!$H5017="EU_JD",Painel_diario!$J5017=1),EXP(Painel_diario!$L5017),1)-1</f>
        <v/>
      </c>
      <c r="C5021" s="22">
        <f>(1+C5020)*IF(AND(Painel_diario!$H5017="EU_JU",Painel_diario!$J5017=1),EXP(Painel_diario!$L5017),1)-1</f>
        <v/>
      </c>
      <c r="D5021" s="22">
        <f>(1+D5020)*IF(AND(Painel_diario!$H5017="ED_JD",Painel_diario!$J5017=1),EXP(Painel_diario!$L5017),1)-1</f>
        <v/>
      </c>
      <c r="E5021" s="22">
        <f>(1+E5020)*IF(AND(Painel_diario!$H5017="ED_JU",Painel_diario!$J5017=1),EXP(Painel_diario!$L5017),1)-1</f>
        <v/>
      </c>
    </row>
    <row r="5022">
      <c r="A5022" s="25" t="n">
        <v>46220</v>
      </c>
      <c r="B5022" s="22">
        <f>(1+B5021)*IF(AND(Painel_diario!$H5018="EU_JD",Painel_diario!$J5018=1),EXP(Painel_diario!$L5018),1)-1</f>
        <v/>
      </c>
      <c r="C5022" s="22">
        <f>(1+C5021)*IF(AND(Painel_diario!$H5018="EU_JU",Painel_diario!$J5018=1),EXP(Painel_diario!$L5018),1)-1</f>
        <v/>
      </c>
      <c r="D5022" s="22">
        <f>(1+D5021)*IF(AND(Painel_diario!$H5018="ED_JD",Painel_diario!$J5018=1),EXP(Painel_diario!$L5018),1)-1</f>
        <v/>
      </c>
      <c r="E5022" s="22">
        <f>(1+E5021)*IF(AND(Painel_diario!$H5018="ED_JU",Painel_diario!$J5018=1),EXP(Painel_diario!$L5018),1)-1</f>
        <v/>
      </c>
    </row>
    <row r="5023">
      <c r="A5023" s="25" t="n">
        <v>46223</v>
      </c>
      <c r="B5023" s="22">
        <f>(1+B5022)*IF(AND(Painel_diario!$H5019="EU_JD",Painel_diario!$J5019=1),EXP(Painel_diario!$L5019),1)-1</f>
        <v/>
      </c>
      <c r="C5023" s="22">
        <f>(1+C5022)*IF(AND(Painel_diario!$H5019="EU_JU",Painel_diario!$J5019=1),EXP(Painel_diario!$L5019),1)-1</f>
        <v/>
      </c>
      <c r="D5023" s="22">
        <f>(1+D5022)*IF(AND(Painel_diario!$H5019="ED_JD",Painel_diario!$J5019=1),EXP(Painel_diario!$L5019),1)-1</f>
        <v/>
      </c>
      <c r="E5023" s="22">
        <f>(1+E5022)*IF(AND(Painel_diario!$H5019="ED_JU",Painel_diario!$J5019=1),EXP(Painel_diario!$L5019),1)-1</f>
        <v/>
      </c>
    </row>
    <row r="5024">
      <c r="A5024" s="25" t="n">
        <v>46224</v>
      </c>
      <c r="B5024" s="22">
        <f>(1+B5023)*IF(AND(Painel_diario!$H5020="EU_JD",Painel_diario!$J5020=1),EXP(Painel_diario!$L5020),1)-1</f>
        <v/>
      </c>
      <c r="C5024" s="22">
        <f>(1+C5023)*IF(AND(Painel_diario!$H5020="EU_JU",Painel_diario!$J5020=1),EXP(Painel_diario!$L5020),1)-1</f>
        <v/>
      </c>
      <c r="D5024" s="22">
        <f>(1+D5023)*IF(AND(Painel_diario!$H5020="ED_JD",Painel_diario!$J5020=1),EXP(Painel_diario!$L5020),1)-1</f>
        <v/>
      </c>
      <c r="E5024" s="22">
        <f>(1+E5023)*IF(AND(Painel_diario!$H5020="ED_JU",Painel_diario!$J5020=1),EXP(Painel_diario!$L5020),1)-1</f>
        <v/>
      </c>
    </row>
    <row r="5025">
      <c r="A5025" s="25" t="n">
        <v>46225</v>
      </c>
      <c r="B5025" s="22">
        <f>(1+B5024)*IF(AND(Painel_diario!$H5021="EU_JD",Painel_diario!$J5021=1),EXP(Painel_diario!$L5021),1)-1</f>
        <v/>
      </c>
      <c r="C5025" s="22">
        <f>(1+C5024)*IF(AND(Painel_diario!$H5021="EU_JU",Painel_diario!$J5021=1),EXP(Painel_diario!$L5021),1)-1</f>
        <v/>
      </c>
      <c r="D5025" s="22">
        <f>(1+D5024)*IF(AND(Painel_diario!$H5021="ED_JD",Painel_diario!$J5021=1),EXP(Painel_diario!$L5021),1)-1</f>
        <v/>
      </c>
      <c r="E5025" s="22">
        <f>(1+E5024)*IF(AND(Painel_diario!$H5021="ED_JU",Painel_diario!$J5021=1),EXP(Painel_diario!$L5021),1)-1</f>
        <v/>
      </c>
    </row>
    <row r="5026">
      <c r="A5026" s="25" t="n">
        <v>46226</v>
      </c>
      <c r="B5026" s="22">
        <f>(1+B5025)*IF(AND(Painel_diario!$H5022="EU_JD",Painel_diario!$J5022=1),EXP(Painel_diario!$L5022),1)-1</f>
        <v/>
      </c>
      <c r="C5026" s="22">
        <f>(1+C5025)*IF(AND(Painel_diario!$H5022="EU_JU",Painel_diario!$J5022=1),EXP(Painel_diario!$L5022),1)-1</f>
        <v/>
      </c>
      <c r="D5026" s="22">
        <f>(1+D5025)*IF(AND(Painel_diario!$H5022="ED_JD",Painel_diario!$J5022=1),EXP(Painel_diario!$L5022),1)-1</f>
        <v/>
      </c>
      <c r="E5026" s="22">
        <f>(1+E5025)*IF(AND(Painel_diario!$H5022="ED_JU",Painel_diario!$J5022=1),EXP(Painel_diario!$L5022),1)-1</f>
        <v/>
      </c>
    </row>
    <row r="5027">
      <c r="A5027" s="25" t="n">
        <v>46227</v>
      </c>
      <c r="B5027" s="22">
        <f>(1+B5026)*IF(AND(Painel_diario!$H5023="EU_JD",Painel_diario!$J5023=1),EXP(Painel_diario!$L5023),1)-1</f>
        <v/>
      </c>
      <c r="C5027" s="22">
        <f>(1+C5026)*IF(AND(Painel_diario!$H5023="EU_JU",Painel_diario!$J5023=1),EXP(Painel_diario!$L5023),1)-1</f>
        <v/>
      </c>
      <c r="D5027" s="22">
        <f>(1+D5026)*IF(AND(Painel_diario!$H5023="ED_JD",Painel_diario!$J5023=1),EXP(Painel_diario!$L5023),1)-1</f>
        <v/>
      </c>
      <c r="E5027" s="22">
        <f>(1+E5026)*IF(AND(Painel_diario!$H5023="ED_JU",Painel_diario!$J5023=1),EXP(Painel_diario!$L5023),1)-1</f>
        <v/>
      </c>
    </row>
    <row r="5028">
      <c r="A5028" s="25" t="n">
        <v>46230</v>
      </c>
      <c r="B5028" s="22">
        <f>(1+B5027)*IF(AND(Painel_diario!$H5024="EU_JD",Painel_diario!$J5024=1),EXP(Painel_diario!$L5024),1)-1</f>
        <v/>
      </c>
      <c r="C5028" s="22">
        <f>(1+C5027)*IF(AND(Painel_diario!$H5024="EU_JU",Painel_diario!$J5024=1),EXP(Painel_diario!$L5024),1)-1</f>
        <v/>
      </c>
      <c r="D5028" s="22">
        <f>(1+D5027)*IF(AND(Painel_diario!$H5024="ED_JD",Painel_diario!$J5024=1),EXP(Painel_diario!$L5024),1)-1</f>
        <v/>
      </c>
      <c r="E5028" s="22">
        <f>(1+E5027)*IF(AND(Painel_diario!$H5024="ED_JU",Painel_diario!$J5024=1),EXP(Painel_diario!$L5024),1)-1</f>
        <v/>
      </c>
    </row>
    <row r="5029">
      <c r="A5029" s="25" t="n">
        <v>46231</v>
      </c>
      <c r="B5029" s="22">
        <f>(1+B5028)*IF(AND(Painel_diario!$H5025="EU_JD",Painel_diario!$J5025=1),EXP(Painel_diario!$L5025),1)-1</f>
        <v/>
      </c>
      <c r="C5029" s="22">
        <f>(1+C5028)*IF(AND(Painel_diario!$H5025="EU_JU",Painel_diario!$J5025=1),EXP(Painel_diario!$L5025),1)-1</f>
        <v/>
      </c>
      <c r="D5029" s="22">
        <f>(1+D5028)*IF(AND(Painel_diario!$H5025="ED_JD",Painel_diario!$J5025=1),EXP(Painel_diario!$L5025),1)-1</f>
        <v/>
      </c>
      <c r="E5029" s="22">
        <f>(1+E5028)*IF(AND(Painel_diario!$H5025="ED_JU",Painel_diario!$J5025=1),EXP(Painel_diario!$L5025),1)-1</f>
        <v/>
      </c>
    </row>
    <row r="5030">
      <c r="A5030" s="25" t="n">
        <v>46232</v>
      </c>
      <c r="B5030" s="22">
        <f>(1+B5029)*IF(AND(Painel_diario!$H5026="EU_JD",Painel_diario!$J5026=1),EXP(Painel_diario!$L5026),1)-1</f>
        <v/>
      </c>
      <c r="C5030" s="22">
        <f>(1+C5029)*IF(AND(Painel_diario!$H5026="EU_JU",Painel_diario!$J5026=1),EXP(Painel_diario!$L5026),1)-1</f>
        <v/>
      </c>
      <c r="D5030" s="22">
        <f>(1+D5029)*IF(AND(Painel_diario!$H5026="ED_JD",Painel_diario!$J5026=1),EXP(Painel_diario!$L5026),1)-1</f>
        <v/>
      </c>
      <c r="E5030" s="22">
        <f>(1+E5029)*IF(AND(Painel_diario!$H5026="ED_JU",Painel_diario!$J5026=1),EXP(Painel_diario!$L5026),1)-1</f>
        <v/>
      </c>
    </row>
    <row r="5031">
      <c r="A5031" s="25" t="n">
        <v>46233</v>
      </c>
      <c r="B5031" s="22">
        <f>(1+B5030)*IF(AND(Painel_diario!$H5027="EU_JD",Painel_diario!$J5027=1),EXP(Painel_diario!$L5027),1)-1</f>
        <v/>
      </c>
      <c r="C5031" s="22">
        <f>(1+C5030)*IF(AND(Painel_diario!$H5027="EU_JU",Painel_diario!$J5027=1),EXP(Painel_diario!$L5027),1)-1</f>
        <v/>
      </c>
      <c r="D5031" s="22">
        <f>(1+D5030)*IF(AND(Painel_diario!$H5027="ED_JD",Painel_diario!$J5027=1),EXP(Painel_diario!$L5027),1)-1</f>
        <v/>
      </c>
      <c r="E5031" s="22">
        <f>(1+E5030)*IF(AND(Painel_diario!$H5027="ED_JU",Painel_diario!$J5027=1),EXP(Painel_diario!$L5027),1)-1</f>
        <v/>
      </c>
    </row>
    <row r="5032">
      <c r="A5032" s="25" t="n">
        <v>46234</v>
      </c>
      <c r="B5032" s="22">
        <f>(1+B5031)*IF(AND(Painel_diario!$H5028="EU_JD",Painel_diario!$J5028=1),EXP(Painel_diario!$L5028),1)-1</f>
        <v/>
      </c>
      <c r="C5032" s="22">
        <f>(1+C5031)*IF(AND(Painel_diario!$H5028="EU_JU",Painel_diario!$J5028=1),EXP(Painel_diario!$L5028),1)-1</f>
        <v/>
      </c>
      <c r="D5032" s="22">
        <f>(1+D5031)*IF(AND(Painel_diario!$H5028="ED_JD",Painel_diario!$J5028=1),EXP(Painel_diario!$L5028),1)-1</f>
        <v/>
      </c>
      <c r="E5032" s="22">
        <f>(1+E5031)*IF(AND(Painel_diario!$H5028="ED_JU",Painel_diario!$J5028=1),EXP(Painel_diario!$L5028),1)-1</f>
        <v/>
      </c>
    </row>
    <row r="5033">
      <c r="A5033" s="25" t="n">
        <v>46237</v>
      </c>
      <c r="B5033" s="22">
        <f>(1+B5032)*IF(AND(Painel_diario!$H5029="EU_JD",Painel_diario!$J5029=1),EXP(Painel_diario!$L5029),1)-1</f>
        <v/>
      </c>
      <c r="C5033" s="22">
        <f>(1+C5032)*IF(AND(Painel_diario!$H5029="EU_JU",Painel_diario!$J5029=1),EXP(Painel_diario!$L5029),1)-1</f>
        <v/>
      </c>
      <c r="D5033" s="22">
        <f>(1+D5032)*IF(AND(Painel_diario!$H5029="ED_JD",Painel_diario!$J5029=1),EXP(Painel_diario!$L5029),1)-1</f>
        <v/>
      </c>
      <c r="E5033" s="22">
        <f>(1+E5032)*IF(AND(Painel_diario!$H5029="ED_JU",Painel_diario!$J5029=1),EXP(Painel_diario!$L5029),1)-1</f>
        <v/>
      </c>
    </row>
    <row r="5034">
      <c r="A5034" s="25" t="n">
        <v>46238</v>
      </c>
      <c r="B5034" s="22">
        <f>(1+B5033)*IF(AND(Painel_diario!$H5030="EU_JD",Painel_diario!$J5030=1),EXP(Painel_diario!$L5030),1)-1</f>
        <v/>
      </c>
      <c r="C5034" s="22">
        <f>(1+C5033)*IF(AND(Painel_diario!$H5030="EU_JU",Painel_diario!$J5030=1),EXP(Painel_diario!$L5030),1)-1</f>
        <v/>
      </c>
      <c r="D5034" s="22">
        <f>(1+D5033)*IF(AND(Painel_diario!$H5030="ED_JD",Painel_diario!$J5030=1),EXP(Painel_diario!$L5030),1)-1</f>
        <v/>
      </c>
      <c r="E5034" s="22">
        <f>(1+E5033)*IF(AND(Painel_diario!$H5030="ED_JU",Painel_diario!$J5030=1),EXP(Painel_diario!$L5030),1)-1</f>
        <v/>
      </c>
    </row>
    <row r="5035">
      <c r="A5035" s="25" t="n">
        <v>46239</v>
      </c>
      <c r="B5035" s="22">
        <f>(1+B5034)*IF(AND(Painel_diario!$H5031="EU_JD",Painel_diario!$J5031=1),EXP(Painel_diario!$L5031),1)-1</f>
        <v/>
      </c>
      <c r="C5035" s="22">
        <f>(1+C5034)*IF(AND(Painel_diario!$H5031="EU_JU",Painel_diario!$J5031=1),EXP(Painel_diario!$L5031),1)-1</f>
        <v/>
      </c>
      <c r="D5035" s="22">
        <f>(1+D5034)*IF(AND(Painel_diario!$H5031="ED_JD",Painel_diario!$J5031=1),EXP(Painel_diario!$L5031),1)-1</f>
        <v/>
      </c>
      <c r="E5035" s="22">
        <f>(1+E5034)*IF(AND(Painel_diario!$H5031="ED_JU",Painel_diario!$J5031=1),EXP(Painel_diario!$L5031),1)-1</f>
        <v/>
      </c>
    </row>
    <row r="5036">
      <c r="A5036" s="25" t="n">
        <v>46240</v>
      </c>
      <c r="B5036" s="22">
        <f>(1+B5035)*IF(AND(Painel_diario!$H5032="EU_JD",Painel_diario!$J5032=1),EXP(Painel_diario!$L5032),1)-1</f>
        <v/>
      </c>
      <c r="C5036" s="22">
        <f>(1+C5035)*IF(AND(Painel_diario!$H5032="EU_JU",Painel_diario!$J5032=1),EXP(Painel_diario!$L5032),1)-1</f>
        <v/>
      </c>
      <c r="D5036" s="22">
        <f>(1+D5035)*IF(AND(Painel_diario!$H5032="ED_JD",Painel_diario!$J5032=1),EXP(Painel_diario!$L5032),1)-1</f>
        <v/>
      </c>
      <c r="E5036" s="22">
        <f>(1+E5035)*IF(AND(Painel_diario!$H5032="ED_JU",Painel_diario!$J5032=1),EXP(Painel_diario!$L5032),1)-1</f>
        <v/>
      </c>
    </row>
    <row r="5037">
      <c r="A5037" s="25" t="n">
        <v>46241</v>
      </c>
      <c r="B5037" s="22">
        <f>(1+B5036)*IF(AND(Painel_diario!$H5033="EU_JD",Painel_diario!$J5033=1),EXP(Painel_diario!$L5033),1)-1</f>
        <v/>
      </c>
      <c r="C5037" s="22">
        <f>(1+C5036)*IF(AND(Painel_diario!$H5033="EU_JU",Painel_diario!$J5033=1),EXP(Painel_diario!$L5033),1)-1</f>
        <v/>
      </c>
      <c r="D5037" s="22">
        <f>(1+D5036)*IF(AND(Painel_diario!$H5033="ED_JD",Painel_diario!$J5033=1),EXP(Painel_diario!$L5033),1)-1</f>
        <v/>
      </c>
      <c r="E5037" s="22">
        <f>(1+E5036)*IF(AND(Painel_diario!$H5033="ED_JU",Painel_diario!$J5033=1),EXP(Painel_diario!$L5033),1)-1</f>
        <v/>
      </c>
    </row>
    <row r="5038">
      <c r="A5038" s="25" t="n">
        <v>46244</v>
      </c>
      <c r="B5038" s="22">
        <f>(1+B5037)*IF(AND(Painel_diario!$H5034="EU_JD",Painel_diario!$J5034=1),EXP(Painel_diario!$L5034),1)-1</f>
        <v/>
      </c>
      <c r="C5038" s="22">
        <f>(1+C5037)*IF(AND(Painel_diario!$H5034="EU_JU",Painel_diario!$J5034=1),EXP(Painel_diario!$L5034),1)-1</f>
        <v/>
      </c>
      <c r="D5038" s="22">
        <f>(1+D5037)*IF(AND(Painel_diario!$H5034="ED_JD",Painel_diario!$J5034=1),EXP(Painel_diario!$L5034),1)-1</f>
        <v/>
      </c>
      <c r="E5038" s="22">
        <f>(1+E5037)*IF(AND(Painel_diario!$H5034="ED_JU",Painel_diario!$J5034=1),EXP(Painel_diario!$L5034),1)-1</f>
        <v/>
      </c>
    </row>
    <row r="5039">
      <c r="A5039" s="25" t="n">
        <v>46245</v>
      </c>
      <c r="B5039" s="22">
        <f>(1+B5038)*IF(AND(Painel_diario!$H5035="EU_JD",Painel_diario!$J5035=1),EXP(Painel_diario!$L5035),1)-1</f>
        <v/>
      </c>
      <c r="C5039" s="22">
        <f>(1+C5038)*IF(AND(Painel_diario!$H5035="EU_JU",Painel_diario!$J5035=1),EXP(Painel_diario!$L5035),1)-1</f>
        <v/>
      </c>
      <c r="D5039" s="22">
        <f>(1+D5038)*IF(AND(Painel_diario!$H5035="ED_JD",Painel_diario!$J5035=1),EXP(Painel_diario!$L5035),1)-1</f>
        <v/>
      </c>
      <c r="E5039" s="22">
        <f>(1+E5038)*IF(AND(Painel_diario!$H5035="ED_JU",Painel_diario!$J5035=1),EXP(Painel_diario!$L5035),1)-1</f>
        <v/>
      </c>
    </row>
    <row r="5040">
      <c r="A5040" s="25" t="n">
        <v>46246</v>
      </c>
      <c r="B5040" s="22">
        <f>(1+B5039)*IF(AND(Painel_diario!$H5036="EU_JD",Painel_diario!$J5036=1),EXP(Painel_diario!$L5036),1)-1</f>
        <v/>
      </c>
      <c r="C5040" s="22">
        <f>(1+C5039)*IF(AND(Painel_diario!$H5036="EU_JU",Painel_diario!$J5036=1),EXP(Painel_diario!$L5036),1)-1</f>
        <v/>
      </c>
      <c r="D5040" s="22">
        <f>(1+D5039)*IF(AND(Painel_diario!$H5036="ED_JD",Painel_diario!$J5036=1),EXP(Painel_diario!$L5036),1)-1</f>
        <v/>
      </c>
      <c r="E5040" s="22">
        <f>(1+E5039)*IF(AND(Painel_diario!$H5036="ED_JU",Painel_diario!$J5036=1),EXP(Painel_diario!$L5036),1)-1</f>
        <v/>
      </c>
    </row>
    <row r="5042">
      <c r="A5042" s="6" t="inlineStr">
        <is>
          <t>O retorno de t para t+1 entra na curva do regime vigente em t, mesma convencao das demais abas. Retorno nominal, sem deflacao.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4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Ibovespa nos ultimos 5 episodios de cada quadrante</t>
        </is>
      </c>
    </row>
    <row r="2">
      <c r="A2" s="6" t="inlineStr">
        <is>
          <t>Retorno nominal acumulado a partir do primeiro pregao de cada episodio, ate 252 pregoes. Um bloco por combinacao, no formato do grafico de ultimos eventos do report da XP.</t>
        </is>
      </c>
    </row>
    <row r="4">
      <c r="A4" s="5" t="inlineStr">
        <is>
          <t>Earnings Up / Juros Down  (quadrante corrente)</t>
        </is>
      </c>
    </row>
    <row r="5">
      <c r="A5" s="8" t="inlineStr">
        <is>
          <t>Pregao</t>
        </is>
      </c>
      <c r="B5" s="8" t="inlineStr">
        <is>
          <t>2020-10-01</t>
        </is>
      </c>
      <c r="C5" s="8" t="inlineStr">
        <is>
          <t>2023-05-02</t>
        </is>
      </c>
      <c r="D5" s="8" t="inlineStr">
        <is>
          <t>2023-11-01</t>
        </is>
      </c>
      <c r="E5" s="8" t="inlineStr">
        <is>
          <t>2025-05-07</t>
        </is>
      </c>
      <c r="F5" s="8" t="inlineStr">
        <is>
          <t>2025-12-01</t>
        </is>
      </c>
    </row>
    <row r="6">
      <c r="A6" s="26" t="inlineStr">
        <is>
          <t>Pregoes do episodio</t>
        </is>
      </c>
      <c r="B6" s="26" t="n">
        <v>2</v>
      </c>
      <c r="C6" s="26" t="n">
        <v>43</v>
      </c>
      <c r="D6" s="26" t="n">
        <v>127</v>
      </c>
      <c r="E6" s="26" t="n">
        <v>38</v>
      </c>
      <c r="F6" s="26" t="n">
        <v>173</v>
      </c>
    </row>
    <row r="7">
      <c r="A7" t="n">
        <v>0</v>
      </c>
      <c r="B7" s="22" t="n">
        <v>0</v>
      </c>
      <c r="C7" s="22" t="n">
        <v>0</v>
      </c>
      <c r="D7" s="22" t="n">
        <v>0</v>
      </c>
      <c r="E7" s="22" t="n">
        <v>0</v>
      </c>
      <c r="F7" s="22" t="n">
        <v>0</v>
      </c>
    </row>
    <row r="8">
      <c r="A8" t="n">
        <v>1</v>
      </c>
      <c r="B8" s="22">
        <f>EXP(SUM(Painel_diario!$L$3580:$L$3580))-1</f>
        <v/>
      </c>
      <c r="C8" s="22">
        <f>EXP(SUM(Painel_diario!$L$4217:$L$4217))-1</f>
        <v/>
      </c>
      <c r="D8" s="22">
        <f>EXP(SUM(Painel_diario!$L$4345:$L$4345))-1</f>
        <v/>
      </c>
      <c r="E8" s="22">
        <f>EXP(SUM(Painel_diario!$L$4719:$L$4719))-1</f>
        <v/>
      </c>
      <c r="F8" s="22">
        <f>EXP(SUM(Painel_diario!$L$4865:$L$4865))-1</f>
        <v/>
      </c>
    </row>
    <row r="9">
      <c r="A9" t="n">
        <v>2</v>
      </c>
      <c r="B9" s="22">
        <f>EXP(SUM(Painel_diario!$L$3580:$L$3581))-1</f>
        <v/>
      </c>
      <c r="C9" s="22">
        <f>EXP(SUM(Painel_diario!$L$4217:$L$4218))-1</f>
        <v/>
      </c>
      <c r="D9" s="22">
        <f>EXP(SUM(Painel_diario!$L$4345:$L$4346))-1</f>
        <v/>
      </c>
      <c r="E9" s="22">
        <f>EXP(SUM(Painel_diario!$L$4719:$L$4720))-1</f>
        <v/>
      </c>
      <c r="F9" s="22">
        <f>EXP(SUM(Painel_diario!$L$4865:$L$4866))-1</f>
        <v/>
      </c>
    </row>
    <row r="10">
      <c r="A10" t="n">
        <v>3</v>
      </c>
      <c r="B10" s="22">
        <f>EXP(SUM(Painel_diario!$L$3580:$L$3582))-1</f>
        <v/>
      </c>
      <c r="C10" s="22">
        <f>EXP(SUM(Painel_diario!$L$4217:$L$4219))-1</f>
        <v/>
      </c>
      <c r="D10" s="22">
        <f>EXP(SUM(Painel_diario!$L$4345:$L$4347))-1</f>
        <v/>
      </c>
      <c r="E10" s="22">
        <f>EXP(SUM(Painel_diario!$L$4719:$L$4721))-1</f>
        <v/>
      </c>
      <c r="F10" s="22">
        <f>EXP(SUM(Painel_diario!$L$4865:$L$4867))-1</f>
        <v/>
      </c>
    </row>
    <row r="11">
      <c r="A11" t="n">
        <v>4</v>
      </c>
      <c r="B11" s="22">
        <f>EXP(SUM(Painel_diario!$L$3580:$L$3583))-1</f>
        <v/>
      </c>
      <c r="C11" s="22">
        <f>EXP(SUM(Painel_diario!$L$4217:$L$4220))-1</f>
        <v/>
      </c>
      <c r="D11" s="22">
        <f>EXP(SUM(Painel_diario!$L$4345:$L$4348))-1</f>
        <v/>
      </c>
      <c r="E11" s="22">
        <f>EXP(SUM(Painel_diario!$L$4719:$L$4722))-1</f>
        <v/>
      </c>
      <c r="F11" s="22">
        <f>EXP(SUM(Painel_diario!$L$4865:$L$4868))-1</f>
        <v/>
      </c>
    </row>
    <row r="12">
      <c r="A12" t="n">
        <v>5</v>
      </c>
      <c r="B12" s="22">
        <f>EXP(SUM(Painel_diario!$L$3580:$L$3584))-1</f>
        <v/>
      </c>
      <c r="C12" s="22">
        <f>EXP(SUM(Painel_diario!$L$4217:$L$4221))-1</f>
        <v/>
      </c>
      <c r="D12" s="22">
        <f>EXP(SUM(Painel_diario!$L$4345:$L$4349))-1</f>
        <v/>
      </c>
      <c r="E12" s="22">
        <f>EXP(SUM(Painel_diario!$L$4719:$L$4723))-1</f>
        <v/>
      </c>
      <c r="F12" s="22">
        <f>EXP(SUM(Painel_diario!$L$4865:$L$4869))-1</f>
        <v/>
      </c>
    </row>
    <row r="13">
      <c r="A13" t="n">
        <v>6</v>
      </c>
      <c r="B13" s="22">
        <f>EXP(SUM(Painel_diario!$L$3580:$L$3585))-1</f>
        <v/>
      </c>
      <c r="C13" s="22">
        <f>EXP(SUM(Painel_diario!$L$4217:$L$4222))-1</f>
        <v/>
      </c>
      <c r="D13" s="22">
        <f>EXP(SUM(Painel_diario!$L$4345:$L$4350))-1</f>
        <v/>
      </c>
      <c r="E13" s="22">
        <f>EXP(SUM(Painel_diario!$L$4719:$L$4724))-1</f>
        <v/>
      </c>
      <c r="F13" s="22">
        <f>EXP(SUM(Painel_diario!$L$4865:$L$4870))-1</f>
        <v/>
      </c>
    </row>
    <row r="14">
      <c r="A14" t="n">
        <v>7</v>
      </c>
      <c r="B14" s="22">
        <f>EXP(SUM(Painel_diario!$L$3580:$L$3586))-1</f>
        <v/>
      </c>
      <c r="C14" s="22">
        <f>EXP(SUM(Painel_diario!$L$4217:$L$4223))-1</f>
        <v/>
      </c>
      <c r="D14" s="22">
        <f>EXP(SUM(Painel_diario!$L$4345:$L$4351))-1</f>
        <v/>
      </c>
      <c r="E14" s="22">
        <f>EXP(SUM(Painel_diario!$L$4719:$L$4725))-1</f>
        <v/>
      </c>
      <c r="F14" s="22">
        <f>EXP(SUM(Painel_diario!$L$4865:$L$4871))-1</f>
        <v/>
      </c>
    </row>
    <row r="15">
      <c r="A15" t="n">
        <v>8</v>
      </c>
      <c r="B15" s="22">
        <f>EXP(SUM(Painel_diario!$L$3580:$L$3587))-1</f>
        <v/>
      </c>
      <c r="C15" s="22">
        <f>EXP(SUM(Painel_diario!$L$4217:$L$4224))-1</f>
        <v/>
      </c>
      <c r="D15" s="22">
        <f>EXP(SUM(Painel_diario!$L$4345:$L$4352))-1</f>
        <v/>
      </c>
      <c r="E15" s="22">
        <f>EXP(SUM(Painel_diario!$L$4719:$L$4726))-1</f>
        <v/>
      </c>
      <c r="F15" s="22">
        <f>EXP(SUM(Painel_diario!$L$4865:$L$4872))-1</f>
        <v/>
      </c>
    </row>
    <row r="16">
      <c r="A16" t="n">
        <v>9</v>
      </c>
      <c r="B16" s="22">
        <f>EXP(SUM(Painel_diario!$L$3580:$L$3588))-1</f>
        <v/>
      </c>
      <c r="C16" s="22">
        <f>EXP(SUM(Painel_diario!$L$4217:$L$4225))-1</f>
        <v/>
      </c>
      <c r="D16" s="22">
        <f>EXP(SUM(Painel_diario!$L$4345:$L$4353))-1</f>
        <v/>
      </c>
      <c r="E16" s="22">
        <f>EXP(SUM(Painel_diario!$L$4719:$L$4727))-1</f>
        <v/>
      </c>
      <c r="F16" s="22">
        <f>EXP(SUM(Painel_diario!$L$4865:$L$4873))-1</f>
        <v/>
      </c>
    </row>
    <row r="17">
      <c r="A17" t="n">
        <v>10</v>
      </c>
      <c r="B17" s="22">
        <f>EXP(SUM(Painel_diario!$L$3580:$L$3589))-1</f>
        <v/>
      </c>
      <c r="C17" s="22">
        <f>EXP(SUM(Painel_diario!$L$4217:$L$4226))-1</f>
        <v/>
      </c>
      <c r="D17" s="22">
        <f>EXP(SUM(Painel_diario!$L$4345:$L$4354))-1</f>
        <v/>
      </c>
      <c r="E17" s="22">
        <f>EXP(SUM(Painel_diario!$L$4719:$L$4728))-1</f>
        <v/>
      </c>
      <c r="F17" s="22">
        <f>EXP(SUM(Painel_diario!$L$4865:$L$4874))-1</f>
        <v/>
      </c>
    </row>
    <row r="18">
      <c r="A18" t="n">
        <v>11</v>
      </c>
      <c r="B18" s="22">
        <f>EXP(SUM(Painel_diario!$L$3580:$L$3590))-1</f>
        <v/>
      </c>
      <c r="C18" s="22">
        <f>EXP(SUM(Painel_diario!$L$4217:$L$4227))-1</f>
        <v/>
      </c>
      <c r="D18" s="22">
        <f>EXP(SUM(Painel_diario!$L$4345:$L$4355))-1</f>
        <v/>
      </c>
      <c r="E18" s="22">
        <f>EXP(SUM(Painel_diario!$L$4719:$L$4729))-1</f>
        <v/>
      </c>
      <c r="F18" s="22">
        <f>EXP(SUM(Painel_diario!$L$4865:$L$4875))-1</f>
        <v/>
      </c>
    </row>
    <row r="19">
      <c r="A19" t="n">
        <v>12</v>
      </c>
      <c r="B19" s="22">
        <f>EXP(SUM(Painel_diario!$L$3580:$L$3591))-1</f>
        <v/>
      </c>
      <c r="C19" s="22">
        <f>EXP(SUM(Painel_diario!$L$4217:$L$4228))-1</f>
        <v/>
      </c>
      <c r="D19" s="22">
        <f>EXP(SUM(Painel_diario!$L$4345:$L$4356))-1</f>
        <v/>
      </c>
      <c r="E19" s="22">
        <f>EXP(SUM(Painel_diario!$L$4719:$L$4730))-1</f>
        <v/>
      </c>
      <c r="F19" s="22">
        <f>EXP(SUM(Painel_diario!$L$4865:$L$4876))-1</f>
        <v/>
      </c>
    </row>
    <row r="20">
      <c r="A20" t="n">
        <v>13</v>
      </c>
      <c r="B20" s="22">
        <f>EXP(SUM(Painel_diario!$L$3580:$L$3592))-1</f>
        <v/>
      </c>
      <c r="C20" s="22">
        <f>EXP(SUM(Painel_diario!$L$4217:$L$4229))-1</f>
        <v/>
      </c>
      <c r="D20" s="22">
        <f>EXP(SUM(Painel_diario!$L$4345:$L$4357))-1</f>
        <v/>
      </c>
      <c r="E20" s="22">
        <f>EXP(SUM(Painel_diario!$L$4719:$L$4731))-1</f>
        <v/>
      </c>
      <c r="F20" s="22">
        <f>EXP(SUM(Painel_diario!$L$4865:$L$4877))-1</f>
        <v/>
      </c>
    </row>
    <row r="21">
      <c r="A21" t="n">
        <v>14</v>
      </c>
      <c r="B21" s="22">
        <f>EXP(SUM(Painel_diario!$L$3580:$L$3593))-1</f>
        <v/>
      </c>
      <c r="C21" s="22">
        <f>EXP(SUM(Painel_diario!$L$4217:$L$4230))-1</f>
        <v/>
      </c>
      <c r="D21" s="22">
        <f>EXP(SUM(Painel_diario!$L$4345:$L$4358))-1</f>
        <v/>
      </c>
      <c r="E21" s="22">
        <f>EXP(SUM(Painel_diario!$L$4719:$L$4732))-1</f>
        <v/>
      </c>
      <c r="F21" s="22">
        <f>EXP(SUM(Painel_diario!$L$4865:$L$4878))-1</f>
        <v/>
      </c>
    </row>
    <row r="22">
      <c r="A22" t="n">
        <v>15</v>
      </c>
      <c r="B22" s="22">
        <f>EXP(SUM(Painel_diario!$L$3580:$L$3594))-1</f>
        <v/>
      </c>
      <c r="C22" s="22">
        <f>EXP(SUM(Painel_diario!$L$4217:$L$4231))-1</f>
        <v/>
      </c>
      <c r="D22" s="22">
        <f>EXP(SUM(Painel_diario!$L$4345:$L$4359))-1</f>
        <v/>
      </c>
      <c r="E22" s="22">
        <f>EXP(SUM(Painel_diario!$L$4719:$L$4733))-1</f>
        <v/>
      </c>
      <c r="F22" s="22">
        <f>EXP(SUM(Painel_diario!$L$4865:$L$4879))-1</f>
        <v/>
      </c>
    </row>
    <row r="23">
      <c r="A23" t="n">
        <v>16</v>
      </c>
      <c r="B23" s="22">
        <f>EXP(SUM(Painel_diario!$L$3580:$L$3595))-1</f>
        <v/>
      </c>
      <c r="C23" s="22">
        <f>EXP(SUM(Painel_diario!$L$4217:$L$4232))-1</f>
        <v/>
      </c>
      <c r="D23" s="22">
        <f>EXP(SUM(Painel_diario!$L$4345:$L$4360))-1</f>
        <v/>
      </c>
      <c r="E23" s="22">
        <f>EXP(SUM(Painel_diario!$L$4719:$L$4734))-1</f>
        <v/>
      </c>
      <c r="F23" s="22">
        <f>EXP(SUM(Painel_diario!$L$4865:$L$4880))-1</f>
        <v/>
      </c>
    </row>
    <row r="24">
      <c r="A24" t="n">
        <v>17</v>
      </c>
      <c r="B24" s="22">
        <f>EXP(SUM(Painel_diario!$L$3580:$L$3596))-1</f>
        <v/>
      </c>
      <c r="C24" s="22">
        <f>EXP(SUM(Painel_diario!$L$4217:$L$4233))-1</f>
        <v/>
      </c>
      <c r="D24" s="22">
        <f>EXP(SUM(Painel_diario!$L$4345:$L$4361))-1</f>
        <v/>
      </c>
      <c r="E24" s="22">
        <f>EXP(SUM(Painel_diario!$L$4719:$L$4735))-1</f>
        <v/>
      </c>
      <c r="F24" s="22">
        <f>EXP(SUM(Painel_diario!$L$4865:$L$4881))-1</f>
        <v/>
      </c>
    </row>
    <row r="25">
      <c r="A25" t="n">
        <v>18</v>
      </c>
      <c r="B25" s="22">
        <f>EXP(SUM(Painel_diario!$L$3580:$L$3597))-1</f>
        <v/>
      </c>
      <c r="C25" s="22">
        <f>EXP(SUM(Painel_diario!$L$4217:$L$4234))-1</f>
        <v/>
      </c>
      <c r="D25" s="22">
        <f>EXP(SUM(Painel_diario!$L$4345:$L$4362))-1</f>
        <v/>
      </c>
      <c r="E25" s="22">
        <f>EXP(SUM(Painel_diario!$L$4719:$L$4736))-1</f>
        <v/>
      </c>
      <c r="F25" s="22">
        <f>EXP(SUM(Painel_diario!$L$4865:$L$4882))-1</f>
        <v/>
      </c>
    </row>
    <row r="26">
      <c r="A26" t="n">
        <v>19</v>
      </c>
      <c r="B26" s="22">
        <f>EXP(SUM(Painel_diario!$L$3580:$L$3598))-1</f>
        <v/>
      </c>
      <c r="C26" s="22">
        <f>EXP(SUM(Painel_diario!$L$4217:$L$4235))-1</f>
        <v/>
      </c>
      <c r="D26" s="22">
        <f>EXP(SUM(Painel_diario!$L$4345:$L$4363))-1</f>
        <v/>
      </c>
      <c r="E26" s="22">
        <f>EXP(SUM(Painel_diario!$L$4719:$L$4737))-1</f>
        <v/>
      </c>
      <c r="F26" s="22">
        <f>EXP(SUM(Painel_diario!$L$4865:$L$4883))-1</f>
        <v/>
      </c>
    </row>
    <row r="27">
      <c r="A27" t="n">
        <v>20</v>
      </c>
      <c r="B27" s="22">
        <f>EXP(SUM(Painel_diario!$L$3580:$L$3599))-1</f>
        <v/>
      </c>
      <c r="C27" s="22">
        <f>EXP(SUM(Painel_diario!$L$4217:$L$4236))-1</f>
        <v/>
      </c>
      <c r="D27" s="22">
        <f>EXP(SUM(Painel_diario!$L$4345:$L$4364))-1</f>
        <v/>
      </c>
      <c r="E27" s="22">
        <f>EXP(SUM(Painel_diario!$L$4719:$L$4738))-1</f>
        <v/>
      </c>
      <c r="F27" s="22">
        <f>EXP(SUM(Painel_diario!$L$4865:$L$4884))-1</f>
        <v/>
      </c>
    </row>
    <row r="28">
      <c r="A28" t="n">
        <v>21</v>
      </c>
      <c r="B28" s="22">
        <f>EXP(SUM(Painel_diario!$L$3580:$L$3600))-1</f>
        <v/>
      </c>
      <c r="C28" s="22">
        <f>EXP(SUM(Painel_diario!$L$4217:$L$4237))-1</f>
        <v/>
      </c>
      <c r="D28" s="22">
        <f>EXP(SUM(Painel_diario!$L$4345:$L$4365))-1</f>
        <v/>
      </c>
      <c r="E28" s="22">
        <f>EXP(SUM(Painel_diario!$L$4719:$L$4739))-1</f>
        <v/>
      </c>
      <c r="F28" s="22">
        <f>EXP(SUM(Painel_diario!$L$4865:$L$4885))-1</f>
        <v/>
      </c>
    </row>
    <row r="29">
      <c r="A29" t="n">
        <v>22</v>
      </c>
      <c r="B29" s="22">
        <f>EXP(SUM(Painel_diario!$L$3580:$L$3601))-1</f>
        <v/>
      </c>
      <c r="C29" s="22">
        <f>EXP(SUM(Painel_diario!$L$4217:$L$4238))-1</f>
        <v/>
      </c>
      <c r="D29" s="22">
        <f>EXP(SUM(Painel_diario!$L$4345:$L$4366))-1</f>
        <v/>
      </c>
      <c r="E29" s="22">
        <f>EXP(SUM(Painel_diario!$L$4719:$L$4740))-1</f>
        <v/>
      </c>
      <c r="F29" s="22">
        <f>EXP(SUM(Painel_diario!$L$4865:$L$4886))-1</f>
        <v/>
      </c>
    </row>
    <row r="30">
      <c r="A30" t="n">
        <v>23</v>
      </c>
      <c r="B30" s="22">
        <f>EXP(SUM(Painel_diario!$L$3580:$L$3602))-1</f>
        <v/>
      </c>
      <c r="C30" s="22">
        <f>EXP(SUM(Painel_diario!$L$4217:$L$4239))-1</f>
        <v/>
      </c>
      <c r="D30" s="22">
        <f>EXP(SUM(Painel_diario!$L$4345:$L$4367))-1</f>
        <v/>
      </c>
      <c r="E30" s="22">
        <f>EXP(SUM(Painel_diario!$L$4719:$L$4741))-1</f>
        <v/>
      </c>
      <c r="F30" s="22">
        <f>EXP(SUM(Painel_diario!$L$4865:$L$4887))-1</f>
        <v/>
      </c>
    </row>
    <row r="31">
      <c r="A31" t="n">
        <v>24</v>
      </c>
      <c r="B31" s="22">
        <f>EXP(SUM(Painel_diario!$L$3580:$L$3603))-1</f>
        <v/>
      </c>
      <c r="C31" s="22">
        <f>EXP(SUM(Painel_diario!$L$4217:$L$4240))-1</f>
        <v/>
      </c>
      <c r="D31" s="22">
        <f>EXP(SUM(Painel_diario!$L$4345:$L$4368))-1</f>
        <v/>
      </c>
      <c r="E31" s="22">
        <f>EXP(SUM(Painel_diario!$L$4719:$L$4742))-1</f>
        <v/>
      </c>
      <c r="F31" s="22">
        <f>EXP(SUM(Painel_diario!$L$4865:$L$4888))-1</f>
        <v/>
      </c>
    </row>
    <row r="32">
      <c r="A32" t="n">
        <v>25</v>
      </c>
      <c r="B32" s="22">
        <f>EXP(SUM(Painel_diario!$L$3580:$L$3604))-1</f>
        <v/>
      </c>
      <c r="C32" s="22">
        <f>EXP(SUM(Painel_diario!$L$4217:$L$4241))-1</f>
        <v/>
      </c>
      <c r="D32" s="22">
        <f>EXP(SUM(Painel_diario!$L$4345:$L$4369))-1</f>
        <v/>
      </c>
      <c r="E32" s="22">
        <f>EXP(SUM(Painel_diario!$L$4719:$L$4743))-1</f>
        <v/>
      </c>
      <c r="F32" s="22">
        <f>EXP(SUM(Painel_diario!$L$4865:$L$4889))-1</f>
        <v/>
      </c>
    </row>
    <row r="33">
      <c r="A33" t="n">
        <v>26</v>
      </c>
      <c r="B33" s="22">
        <f>EXP(SUM(Painel_diario!$L$3580:$L$3605))-1</f>
        <v/>
      </c>
      <c r="C33" s="22">
        <f>EXP(SUM(Painel_diario!$L$4217:$L$4242))-1</f>
        <v/>
      </c>
      <c r="D33" s="22">
        <f>EXP(SUM(Painel_diario!$L$4345:$L$4370))-1</f>
        <v/>
      </c>
      <c r="E33" s="22">
        <f>EXP(SUM(Painel_diario!$L$4719:$L$4744))-1</f>
        <v/>
      </c>
      <c r="F33" s="22">
        <f>EXP(SUM(Painel_diario!$L$4865:$L$4890))-1</f>
        <v/>
      </c>
    </row>
    <row r="34">
      <c r="A34" t="n">
        <v>27</v>
      </c>
      <c r="B34" s="22">
        <f>EXP(SUM(Painel_diario!$L$3580:$L$3606))-1</f>
        <v/>
      </c>
      <c r="C34" s="22">
        <f>EXP(SUM(Painel_diario!$L$4217:$L$4243))-1</f>
        <v/>
      </c>
      <c r="D34" s="22">
        <f>EXP(SUM(Painel_diario!$L$4345:$L$4371))-1</f>
        <v/>
      </c>
      <c r="E34" s="22">
        <f>EXP(SUM(Painel_diario!$L$4719:$L$4745))-1</f>
        <v/>
      </c>
      <c r="F34" s="22">
        <f>EXP(SUM(Painel_diario!$L$4865:$L$4891))-1</f>
        <v/>
      </c>
    </row>
    <row r="35">
      <c r="A35" t="n">
        <v>28</v>
      </c>
      <c r="B35" s="22">
        <f>EXP(SUM(Painel_diario!$L$3580:$L$3607))-1</f>
        <v/>
      </c>
      <c r="C35" s="22">
        <f>EXP(SUM(Painel_diario!$L$4217:$L$4244))-1</f>
        <v/>
      </c>
      <c r="D35" s="22">
        <f>EXP(SUM(Painel_diario!$L$4345:$L$4372))-1</f>
        <v/>
      </c>
      <c r="E35" s="22">
        <f>EXP(SUM(Painel_diario!$L$4719:$L$4746))-1</f>
        <v/>
      </c>
      <c r="F35" s="22">
        <f>EXP(SUM(Painel_diario!$L$4865:$L$4892))-1</f>
        <v/>
      </c>
    </row>
    <row r="36">
      <c r="A36" t="n">
        <v>29</v>
      </c>
      <c r="B36" s="22">
        <f>EXP(SUM(Painel_diario!$L$3580:$L$3608))-1</f>
        <v/>
      </c>
      <c r="C36" s="22">
        <f>EXP(SUM(Painel_diario!$L$4217:$L$4245))-1</f>
        <v/>
      </c>
      <c r="D36" s="22">
        <f>EXP(SUM(Painel_diario!$L$4345:$L$4373))-1</f>
        <v/>
      </c>
      <c r="E36" s="22">
        <f>EXP(SUM(Painel_diario!$L$4719:$L$4747))-1</f>
        <v/>
      </c>
      <c r="F36" s="22">
        <f>EXP(SUM(Painel_diario!$L$4865:$L$4893))-1</f>
        <v/>
      </c>
    </row>
    <row r="37">
      <c r="A37" t="n">
        <v>30</v>
      </c>
      <c r="B37" s="22">
        <f>EXP(SUM(Painel_diario!$L$3580:$L$3609))-1</f>
        <v/>
      </c>
      <c r="C37" s="22">
        <f>EXP(SUM(Painel_diario!$L$4217:$L$4246))-1</f>
        <v/>
      </c>
      <c r="D37" s="22">
        <f>EXP(SUM(Painel_diario!$L$4345:$L$4374))-1</f>
        <v/>
      </c>
      <c r="E37" s="22">
        <f>EXP(SUM(Painel_diario!$L$4719:$L$4748))-1</f>
        <v/>
      </c>
      <c r="F37" s="22">
        <f>EXP(SUM(Painel_diario!$L$4865:$L$4894))-1</f>
        <v/>
      </c>
    </row>
    <row r="38">
      <c r="A38" t="n">
        <v>31</v>
      </c>
      <c r="B38" s="22">
        <f>EXP(SUM(Painel_diario!$L$3580:$L$3610))-1</f>
        <v/>
      </c>
      <c r="C38" s="22">
        <f>EXP(SUM(Painel_diario!$L$4217:$L$4247))-1</f>
        <v/>
      </c>
      <c r="D38" s="22">
        <f>EXP(SUM(Painel_diario!$L$4345:$L$4375))-1</f>
        <v/>
      </c>
      <c r="E38" s="22">
        <f>EXP(SUM(Painel_diario!$L$4719:$L$4749))-1</f>
        <v/>
      </c>
      <c r="F38" s="22">
        <f>EXP(SUM(Painel_diario!$L$4865:$L$4895))-1</f>
        <v/>
      </c>
    </row>
    <row r="39">
      <c r="A39" t="n">
        <v>32</v>
      </c>
      <c r="B39" s="22">
        <f>EXP(SUM(Painel_diario!$L$3580:$L$3611))-1</f>
        <v/>
      </c>
      <c r="C39" s="22">
        <f>EXP(SUM(Painel_diario!$L$4217:$L$4248))-1</f>
        <v/>
      </c>
      <c r="D39" s="22">
        <f>EXP(SUM(Painel_diario!$L$4345:$L$4376))-1</f>
        <v/>
      </c>
      <c r="E39" s="22">
        <f>EXP(SUM(Painel_diario!$L$4719:$L$4750))-1</f>
        <v/>
      </c>
      <c r="F39" s="22">
        <f>EXP(SUM(Painel_diario!$L$4865:$L$4896))-1</f>
        <v/>
      </c>
    </row>
    <row r="40">
      <c r="A40" t="n">
        <v>33</v>
      </c>
      <c r="B40" s="22">
        <f>EXP(SUM(Painel_diario!$L$3580:$L$3612))-1</f>
        <v/>
      </c>
      <c r="C40" s="22">
        <f>EXP(SUM(Painel_diario!$L$4217:$L$4249))-1</f>
        <v/>
      </c>
      <c r="D40" s="22">
        <f>EXP(SUM(Painel_diario!$L$4345:$L$4377))-1</f>
        <v/>
      </c>
      <c r="E40" s="22">
        <f>EXP(SUM(Painel_diario!$L$4719:$L$4751))-1</f>
        <v/>
      </c>
      <c r="F40" s="22">
        <f>EXP(SUM(Painel_diario!$L$4865:$L$4897))-1</f>
        <v/>
      </c>
    </row>
    <row r="41">
      <c r="A41" t="n">
        <v>34</v>
      </c>
      <c r="B41" s="22">
        <f>EXP(SUM(Painel_diario!$L$3580:$L$3613))-1</f>
        <v/>
      </c>
      <c r="C41" s="22">
        <f>EXP(SUM(Painel_diario!$L$4217:$L$4250))-1</f>
        <v/>
      </c>
      <c r="D41" s="22">
        <f>EXP(SUM(Painel_diario!$L$4345:$L$4378))-1</f>
        <v/>
      </c>
      <c r="E41" s="22">
        <f>EXP(SUM(Painel_diario!$L$4719:$L$4752))-1</f>
        <v/>
      </c>
      <c r="F41" s="22">
        <f>EXP(SUM(Painel_diario!$L$4865:$L$4898))-1</f>
        <v/>
      </c>
    </row>
    <row r="42">
      <c r="A42" t="n">
        <v>35</v>
      </c>
      <c r="B42" s="22">
        <f>EXP(SUM(Painel_diario!$L$3580:$L$3614))-1</f>
        <v/>
      </c>
      <c r="C42" s="22">
        <f>EXP(SUM(Painel_diario!$L$4217:$L$4251))-1</f>
        <v/>
      </c>
      <c r="D42" s="22">
        <f>EXP(SUM(Painel_diario!$L$4345:$L$4379))-1</f>
        <v/>
      </c>
      <c r="E42" s="22">
        <f>EXP(SUM(Painel_diario!$L$4719:$L$4753))-1</f>
        <v/>
      </c>
      <c r="F42" s="22">
        <f>EXP(SUM(Painel_diario!$L$4865:$L$4899))-1</f>
        <v/>
      </c>
    </row>
    <row r="43">
      <c r="A43" t="n">
        <v>36</v>
      </c>
      <c r="B43" s="22">
        <f>EXP(SUM(Painel_diario!$L$3580:$L$3615))-1</f>
        <v/>
      </c>
      <c r="C43" s="22">
        <f>EXP(SUM(Painel_diario!$L$4217:$L$4252))-1</f>
        <v/>
      </c>
      <c r="D43" s="22">
        <f>EXP(SUM(Painel_diario!$L$4345:$L$4380))-1</f>
        <v/>
      </c>
      <c r="E43" s="22">
        <f>EXP(SUM(Painel_diario!$L$4719:$L$4754))-1</f>
        <v/>
      </c>
      <c r="F43" s="22">
        <f>EXP(SUM(Painel_diario!$L$4865:$L$4900))-1</f>
        <v/>
      </c>
    </row>
    <row r="44">
      <c r="A44" t="n">
        <v>37</v>
      </c>
      <c r="B44" s="22">
        <f>EXP(SUM(Painel_diario!$L$3580:$L$3616))-1</f>
        <v/>
      </c>
      <c r="C44" s="22">
        <f>EXP(SUM(Painel_diario!$L$4217:$L$4253))-1</f>
        <v/>
      </c>
      <c r="D44" s="22">
        <f>EXP(SUM(Painel_diario!$L$4345:$L$4381))-1</f>
        <v/>
      </c>
      <c r="E44" s="22">
        <f>EXP(SUM(Painel_diario!$L$4719:$L$4755))-1</f>
        <v/>
      </c>
      <c r="F44" s="22">
        <f>EXP(SUM(Painel_diario!$L$4865:$L$4901))-1</f>
        <v/>
      </c>
    </row>
    <row r="45">
      <c r="A45" t="n">
        <v>38</v>
      </c>
      <c r="B45" s="22">
        <f>EXP(SUM(Painel_diario!$L$3580:$L$3617))-1</f>
        <v/>
      </c>
      <c r="C45" s="22">
        <f>EXP(SUM(Painel_diario!$L$4217:$L$4254))-1</f>
        <v/>
      </c>
      <c r="D45" s="22">
        <f>EXP(SUM(Painel_diario!$L$4345:$L$4382))-1</f>
        <v/>
      </c>
      <c r="E45" s="22">
        <f>EXP(SUM(Painel_diario!$L$4719:$L$4756))-1</f>
        <v/>
      </c>
      <c r="F45" s="22">
        <f>EXP(SUM(Painel_diario!$L$4865:$L$4902))-1</f>
        <v/>
      </c>
    </row>
    <row r="46">
      <c r="A46" t="n">
        <v>39</v>
      </c>
      <c r="B46" s="22">
        <f>EXP(SUM(Painel_diario!$L$3580:$L$3618))-1</f>
        <v/>
      </c>
      <c r="C46" s="22">
        <f>EXP(SUM(Painel_diario!$L$4217:$L$4255))-1</f>
        <v/>
      </c>
      <c r="D46" s="22">
        <f>EXP(SUM(Painel_diario!$L$4345:$L$4383))-1</f>
        <v/>
      </c>
      <c r="E46" s="22">
        <f>EXP(SUM(Painel_diario!$L$4719:$L$4757))-1</f>
        <v/>
      </c>
      <c r="F46" s="22">
        <f>EXP(SUM(Painel_diario!$L$4865:$L$4903))-1</f>
        <v/>
      </c>
    </row>
    <row r="47">
      <c r="A47" t="n">
        <v>40</v>
      </c>
      <c r="B47" s="22">
        <f>EXP(SUM(Painel_diario!$L$3580:$L$3619))-1</f>
        <v/>
      </c>
      <c r="C47" s="22">
        <f>EXP(SUM(Painel_diario!$L$4217:$L$4256))-1</f>
        <v/>
      </c>
      <c r="D47" s="22">
        <f>EXP(SUM(Painel_diario!$L$4345:$L$4384))-1</f>
        <v/>
      </c>
      <c r="E47" s="22">
        <f>EXP(SUM(Painel_diario!$L$4719:$L$4758))-1</f>
        <v/>
      </c>
      <c r="F47" s="22">
        <f>EXP(SUM(Painel_diario!$L$4865:$L$4904))-1</f>
        <v/>
      </c>
    </row>
    <row r="48">
      <c r="A48" t="n">
        <v>41</v>
      </c>
      <c r="B48" s="22">
        <f>EXP(SUM(Painel_diario!$L$3580:$L$3620))-1</f>
        <v/>
      </c>
      <c r="C48" s="22">
        <f>EXP(SUM(Painel_diario!$L$4217:$L$4257))-1</f>
        <v/>
      </c>
      <c r="D48" s="22">
        <f>EXP(SUM(Painel_diario!$L$4345:$L$4385))-1</f>
        <v/>
      </c>
      <c r="E48" s="22">
        <f>EXP(SUM(Painel_diario!$L$4719:$L$4759))-1</f>
        <v/>
      </c>
      <c r="F48" s="22">
        <f>EXP(SUM(Painel_diario!$L$4865:$L$4905))-1</f>
        <v/>
      </c>
    </row>
    <row r="49">
      <c r="A49" t="n">
        <v>42</v>
      </c>
      <c r="B49" s="22">
        <f>EXP(SUM(Painel_diario!$L$3580:$L$3621))-1</f>
        <v/>
      </c>
      <c r="C49" s="22">
        <f>EXP(SUM(Painel_diario!$L$4217:$L$4258))-1</f>
        <v/>
      </c>
      <c r="D49" s="22">
        <f>EXP(SUM(Painel_diario!$L$4345:$L$4386))-1</f>
        <v/>
      </c>
      <c r="E49" s="22">
        <f>EXP(SUM(Painel_diario!$L$4719:$L$4760))-1</f>
        <v/>
      </c>
      <c r="F49" s="22">
        <f>EXP(SUM(Painel_diario!$L$4865:$L$4906))-1</f>
        <v/>
      </c>
    </row>
    <row r="50">
      <c r="A50" t="n">
        <v>43</v>
      </c>
      <c r="B50" s="22">
        <f>EXP(SUM(Painel_diario!$L$3580:$L$3622))-1</f>
        <v/>
      </c>
      <c r="C50" s="22">
        <f>EXP(SUM(Painel_diario!$L$4217:$L$4259))-1</f>
        <v/>
      </c>
      <c r="D50" s="22">
        <f>EXP(SUM(Painel_diario!$L$4345:$L$4387))-1</f>
        <v/>
      </c>
      <c r="E50" s="22">
        <f>EXP(SUM(Painel_diario!$L$4719:$L$4761))-1</f>
        <v/>
      </c>
      <c r="F50" s="22">
        <f>EXP(SUM(Painel_diario!$L$4865:$L$4907))-1</f>
        <v/>
      </c>
    </row>
    <row r="51">
      <c r="A51" t="n">
        <v>44</v>
      </c>
      <c r="B51" s="22">
        <f>EXP(SUM(Painel_diario!$L$3580:$L$3623))-1</f>
        <v/>
      </c>
      <c r="C51" s="22">
        <f>EXP(SUM(Painel_diario!$L$4217:$L$4260))-1</f>
        <v/>
      </c>
      <c r="D51" s="22">
        <f>EXP(SUM(Painel_diario!$L$4345:$L$4388))-1</f>
        <v/>
      </c>
      <c r="E51" s="22">
        <f>EXP(SUM(Painel_diario!$L$4719:$L$4762))-1</f>
        <v/>
      </c>
      <c r="F51" s="22">
        <f>EXP(SUM(Painel_diario!$L$4865:$L$4908))-1</f>
        <v/>
      </c>
    </row>
    <row r="52">
      <c r="A52" t="n">
        <v>45</v>
      </c>
      <c r="B52" s="22">
        <f>EXP(SUM(Painel_diario!$L$3580:$L$3624))-1</f>
        <v/>
      </c>
      <c r="C52" s="22">
        <f>EXP(SUM(Painel_diario!$L$4217:$L$4261))-1</f>
        <v/>
      </c>
      <c r="D52" s="22">
        <f>EXP(SUM(Painel_diario!$L$4345:$L$4389))-1</f>
        <v/>
      </c>
      <c r="E52" s="22">
        <f>EXP(SUM(Painel_diario!$L$4719:$L$4763))-1</f>
        <v/>
      </c>
      <c r="F52" s="22">
        <f>EXP(SUM(Painel_diario!$L$4865:$L$4909))-1</f>
        <v/>
      </c>
    </row>
    <row r="53">
      <c r="A53" t="n">
        <v>46</v>
      </c>
      <c r="B53" s="22">
        <f>EXP(SUM(Painel_diario!$L$3580:$L$3625))-1</f>
        <v/>
      </c>
      <c r="C53" s="22">
        <f>EXP(SUM(Painel_diario!$L$4217:$L$4262))-1</f>
        <v/>
      </c>
      <c r="D53" s="22">
        <f>EXP(SUM(Painel_diario!$L$4345:$L$4390))-1</f>
        <v/>
      </c>
      <c r="E53" s="22">
        <f>EXP(SUM(Painel_diario!$L$4719:$L$4764))-1</f>
        <v/>
      </c>
      <c r="F53" s="22">
        <f>EXP(SUM(Painel_diario!$L$4865:$L$4910))-1</f>
        <v/>
      </c>
    </row>
    <row r="54">
      <c r="A54" t="n">
        <v>47</v>
      </c>
      <c r="B54" s="22">
        <f>EXP(SUM(Painel_diario!$L$3580:$L$3626))-1</f>
        <v/>
      </c>
      <c r="C54" s="22">
        <f>EXP(SUM(Painel_diario!$L$4217:$L$4263))-1</f>
        <v/>
      </c>
      <c r="D54" s="22">
        <f>EXP(SUM(Painel_diario!$L$4345:$L$4391))-1</f>
        <v/>
      </c>
      <c r="E54" s="22">
        <f>EXP(SUM(Painel_diario!$L$4719:$L$4765))-1</f>
        <v/>
      </c>
      <c r="F54" s="22">
        <f>EXP(SUM(Painel_diario!$L$4865:$L$4911))-1</f>
        <v/>
      </c>
    </row>
    <row r="55">
      <c r="A55" t="n">
        <v>48</v>
      </c>
      <c r="B55" s="22">
        <f>EXP(SUM(Painel_diario!$L$3580:$L$3627))-1</f>
        <v/>
      </c>
      <c r="C55" s="22">
        <f>EXP(SUM(Painel_diario!$L$4217:$L$4264))-1</f>
        <v/>
      </c>
      <c r="D55" s="22">
        <f>EXP(SUM(Painel_diario!$L$4345:$L$4392))-1</f>
        <v/>
      </c>
      <c r="E55" s="22">
        <f>EXP(SUM(Painel_diario!$L$4719:$L$4766))-1</f>
        <v/>
      </c>
      <c r="F55" s="22">
        <f>EXP(SUM(Painel_diario!$L$4865:$L$4912))-1</f>
        <v/>
      </c>
    </row>
    <row r="56">
      <c r="A56" t="n">
        <v>49</v>
      </c>
      <c r="B56" s="22">
        <f>EXP(SUM(Painel_diario!$L$3580:$L$3628))-1</f>
        <v/>
      </c>
      <c r="C56" s="22">
        <f>EXP(SUM(Painel_diario!$L$4217:$L$4265))-1</f>
        <v/>
      </c>
      <c r="D56" s="22">
        <f>EXP(SUM(Painel_diario!$L$4345:$L$4393))-1</f>
        <v/>
      </c>
      <c r="E56" s="22">
        <f>EXP(SUM(Painel_diario!$L$4719:$L$4767))-1</f>
        <v/>
      </c>
      <c r="F56" s="22">
        <f>EXP(SUM(Painel_diario!$L$4865:$L$4913))-1</f>
        <v/>
      </c>
    </row>
    <row r="57">
      <c r="A57" t="n">
        <v>50</v>
      </c>
      <c r="B57" s="22">
        <f>EXP(SUM(Painel_diario!$L$3580:$L$3629))-1</f>
        <v/>
      </c>
      <c r="C57" s="22">
        <f>EXP(SUM(Painel_diario!$L$4217:$L$4266))-1</f>
        <v/>
      </c>
      <c r="D57" s="22">
        <f>EXP(SUM(Painel_diario!$L$4345:$L$4394))-1</f>
        <v/>
      </c>
      <c r="E57" s="22">
        <f>EXP(SUM(Painel_diario!$L$4719:$L$4768))-1</f>
        <v/>
      </c>
      <c r="F57" s="22">
        <f>EXP(SUM(Painel_diario!$L$4865:$L$4914))-1</f>
        <v/>
      </c>
    </row>
    <row r="58">
      <c r="A58" t="n">
        <v>51</v>
      </c>
      <c r="B58" s="22">
        <f>EXP(SUM(Painel_diario!$L$3580:$L$3630))-1</f>
        <v/>
      </c>
      <c r="C58" s="22">
        <f>EXP(SUM(Painel_diario!$L$4217:$L$4267))-1</f>
        <v/>
      </c>
      <c r="D58" s="22">
        <f>EXP(SUM(Painel_diario!$L$4345:$L$4395))-1</f>
        <v/>
      </c>
      <c r="E58" s="22">
        <f>EXP(SUM(Painel_diario!$L$4719:$L$4769))-1</f>
        <v/>
      </c>
      <c r="F58" s="22">
        <f>EXP(SUM(Painel_diario!$L$4865:$L$4915))-1</f>
        <v/>
      </c>
    </row>
    <row r="59">
      <c r="A59" t="n">
        <v>52</v>
      </c>
      <c r="B59" s="22">
        <f>EXP(SUM(Painel_diario!$L$3580:$L$3631))-1</f>
        <v/>
      </c>
      <c r="C59" s="22">
        <f>EXP(SUM(Painel_diario!$L$4217:$L$4268))-1</f>
        <v/>
      </c>
      <c r="D59" s="22">
        <f>EXP(SUM(Painel_diario!$L$4345:$L$4396))-1</f>
        <v/>
      </c>
      <c r="E59" s="22">
        <f>EXP(SUM(Painel_diario!$L$4719:$L$4770))-1</f>
        <v/>
      </c>
      <c r="F59" s="22">
        <f>EXP(SUM(Painel_diario!$L$4865:$L$4916))-1</f>
        <v/>
      </c>
    </row>
    <row r="60">
      <c r="A60" t="n">
        <v>53</v>
      </c>
      <c r="B60" s="22">
        <f>EXP(SUM(Painel_diario!$L$3580:$L$3632))-1</f>
        <v/>
      </c>
      <c r="C60" s="22">
        <f>EXP(SUM(Painel_diario!$L$4217:$L$4269))-1</f>
        <v/>
      </c>
      <c r="D60" s="22">
        <f>EXP(SUM(Painel_diario!$L$4345:$L$4397))-1</f>
        <v/>
      </c>
      <c r="E60" s="22">
        <f>EXP(SUM(Painel_diario!$L$4719:$L$4771))-1</f>
        <v/>
      </c>
      <c r="F60" s="22">
        <f>EXP(SUM(Painel_diario!$L$4865:$L$4917))-1</f>
        <v/>
      </c>
    </row>
    <row r="61">
      <c r="A61" t="n">
        <v>54</v>
      </c>
      <c r="B61" s="22">
        <f>EXP(SUM(Painel_diario!$L$3580:$L$3633))-1</f>
        <v/>
      </c>
      <c r="C61" s="22">
        <f>EXP(SUM(Painel_diario!$L$4217:$L$4270))-1</f>
        <v/>
      </c>
      <c r="D61" s="22">
        <f>EXP(SUM(Painel_diario!$L$4345:$L$4398))-1</f>
        <v/>
      </c>
      <c r="E61" s="22">
        <f>EXP(SUM(Painel_diario!$L$4719:$L$4772))-1</f>
        <v/>
      </c>
      <c r="F61" s="22">
        <f>EXP(SUM(Painel_diario!$L$4865:$L$4918))-1</f>
        <v/>
      </c>
    </row>
    <row r="62">
      <c r="A62" t="n">
        <v>55</v>
      </c>
      <c r="B62" s="22">
        <f>EXP(SUM(Painel_diario!$L$3580:$L$3634))-1</f>
        <v/>
      </c>
      <c r="C62" s="22">
        <f>EXP(SUM(Painel_diario!$L$4217:$L$4271))-1</f>
        <v/>
      </c>
      <c r="D62" s="22">
        <f>EXP(SUM(Painel_diario!$L$4345:$L$4399))-1</f>
        <v/>
      </c>
      <c r="E62" s="22">
        <f>EXP(SUM(Painel_diario!$L$4719:$L$4773))-1</f>
        <v/>
      </c>
      <c r="F62" s="22">
        <f>EXP(SUM(Painel_diario!$L$4865:$L$4919))-1</f>
        <v/>
      </c>
    </row>
    <row r="63">
      <c r="A63" t="n">
        <v>56</v>
      </c>
      <c r="B63" s="22">
        <f>EXP(SUM(Painel_diario!$L$3580:$L$3635))-1</f>
        <v/>
      </c>
      <c r="C63" s="22">
        <f>EXP(SUM(Painel_diario!$L$4217:$L$4272))-1</f>
        <v/>
      </c>
      <c r="D63" s="22">
        <f>EXP(SUM(Painel_diario!$L$4345:$L$4400))-1</f>
        <v/>
      </c>
      <c r="E63" s="22">
        <f>EXP(SUM(Painel_diario!$L$4719:$L$4774))-1</f>
        <v/>
      </c>
      <c r="F63" s="22">
        <f>EXP(SUM(Painel_diario!$L$4865:$L$4920))-1</f>
        <v/>
      </c>
    </row>
    <row r="64">
      <c r="A64" t="n">
        <v>57</v>
      </c>
      <c r="B64" s="22">
        <f>EXP(SUM(Painel_diario!$L$3580:$L$3636))-1</f>
        <v/>
      </c>
      <c r="C64" s="22">
        <f>EXP(SUM(Painel_diario!$L$4217:$L$4273))-1</f>
        <v/>
      </c>
      <c r="D64" s="22">
        <f>EXP(SUM(Painel_diario!$L$4345:$L$4401))-1</f>
        <v/>
      </c>
      <c r="E64" s="22">
        <f>EXP(SUM(Painel_diario!$L$4719:$L$4775))-1</f>
        <v/>
      </c>
      <c r="F64" s="22">
        <f>EXP(SUM(Painel_diario!$L$4865:$L$4921))-1</f>
        <v/>
      </c>
    </row>
    <row r="65">
      <c r="A65" t="n">
        <v>58</v>
      </c>
      <c r="B65" s="22">
        <f>EXP(SUM(Painel_diario!$L$3580:$L$3637))-1</f>
        <v/>
      </c>
      <c r="C65" s="22">
        <f>EXP(SUM(Painel_diario!$L$4217:$L$4274))-1</f>
        <v/>
      </c>
      <c r="D65" s="22">
        <f>EXP(SUM(Painel_diario!$L$4345:$L$4402))-1</f>
        <v/>
      </c>
      <c r="E65" s="22">
        <f>EXP(SUM(Painel_diario!$L$4719:$L$4776))-1</f>
        <v/>
      </c>
      <c r="F65" s="22">
        <f>EXP(SUM(Painel_diario!$L$4865:$L$4922))-1</f>
        <v/>
      </c>
    </row>
    <row r="66">
      <c r="A66" t="n">
        <v>59</v>
      </c>
      <c r="B66" s="22">
        <f>EXP(SUM(Painel_diario!$L$3580:$L$3638))-1</f>
        <v/>
      </c>
      <c r="C66" s="22">
        <f>EXP(SUM(Painel_diario!$L$4217:$L$4275))-1</f>
        <v/>
      </c>
      <c r="D66" s="22">
        <f>EXP(SUM(Painel_diario!$L$4345:$L$4403))-1</f>
        <v/>
      </c>
      <c r="E66" s="22">
        <f>EXP(SUM(Painel_diario!$L$4719:$L$4777))-1</f>
        <v/>
      </c>
      <c r="F66" s="22">
        <f>EXP(SUM(Painel_diario!$L$4865:$L$4923))-1</f>
        <v/>
      </c>
    </row>
    <row r="67">
      <c r="A67" t="n">
        <v>60</v>
      </c>
      <c r="B67" s="22">
        <f>EXP(SUM(Painel_diario!$L$3580:$L$3639))-1</f>
        <v/>
      </c>
      <c r="C67" s="22">
        <f>EXP(SUM(Painel_diario!$L$4217:$L$4276))-1</f>
        <v/>
      </c>
      <c r="D67" s="22">
        <f>EXP(SUM(Painel_diario!$L$4345:$L$4404))-1</f>
        <v/>
      </c>
      <c r="E67" s="22">
        <f>EXP(SUM(Painel_diario!$L$4719:$L$4778))-1</f>
        <v/>
      </c>
      <c r="F67" s="22">
        <f>EXP(SUM(Painel_diario!$L$4865:$L$4924))-1</f>
        <v/>
      </c>
    </row>
    <row r="68">
      <c r="A68" t="n">
        <v>61</v>
      </c>
      <c r="B68" s="22">
        <f>EXP(SUM(Painel_diario!$L$3580:$L$3640))-1</f>
        <v/>
      </c>
      <c r="C68" s="22">
        <f>EXP(SUM(Painel_diario!$L$4217:$L$4277))-1</f>
        <v/>
      </c>
      <c r="D68" s="22">
        <f>EXP(SUM(Painel_diario!$L$4345:$L$4405))-1</f>
        <v/>
      </c>
      <c r="E68" s="22">
        <f>EXP(SUM(Painel_diario!$L$4719:$L$4779))-1</f>
        <v/>
      </c>
      <c r="F68" s="22">
        <f>EXP(SUM(Painel_diario!$L$4865:$L$4925))-1</f>
        <v/>
      </c>
    </row>
    <row r="69">
      <c r="A69" t="n">
        <v>62</v>
      </c>
      <c r="B69" s="22">
        <f>EXP(SUM(Painel_diario!$L$3580:$L$3641))-1</f>
        <v/>
      </c>
      <c r="C69" s="22">
        <f>EXP(SUM(Painel_diario!$L$4217:$L$4278))-1</f>
        <v/>
      </c>
      <c r="D69" s="22">
        <f>EXP(SUM(Painel_diario!$L$4345:$L$4406))-1</f>
        <v/>
      </c>
      <c r="E69" s="22">
        <f>EXP(SUM(Painel_diario!$L$4719:$L$4780))-1</f>
        <v/>
      </c>
      <c r="F69" s="22">
        <f>EXP(SUM(Painel_diario!$L$4865:$L$4926))-1</f>
        <v/>
      </c>
    </row>
    <row r="70">
      <c r="A70" t="n">
        <v>63</v>
      </c>
      <c r="B70" s="22">
        <f>EXP(SUM(Painel_diario!$L$3580:$L$3642))-1</f>
        <v/>
      </c>
      <c r="C70" s="22">
        <f>EXP(SUM(Painel_diario!$L$4217:$L$4279))-1</f>
        <v/>
      </c>
      <c r="D70" s="22">
        <f>EXP(SUM(Painel_diario!$L$4345:$L$4407))-1</f>
        <v/>
      </c>
      <c r="E70" s="22">
        <f>EXP(SUM(Painel_diario!$L$4719:$L$4781))-1</f>
        <v/>
      </c>
      <c r="F70" s="22">
        <f>EXP(SUM(Painel_diario!$L$4865:$L$4927))-1</f>
        <v/>
      </c>
    </row>
    <row r="71">
      <c r="A71" t="n">
        <v>64</v>
      </c>
      <c r="B71" s="22">
        <f>EXP(SUM(Painel_diario!$L$3580:$L$3643))-1</f>
        <v/>
      </c>
      <c r="C71" s="22">
        <f>EXP(SUM(Painel_diario!$L$4217:$L$4280))-1</f>
        <v/>
      </c>
      <c r="D71" s="22">
        <f>EXP(SUM(Painel_diario!$L$4345:$L$4408))-1</f>
        <v/>
      </c>
      <c r="E71" s="22">
        <f>EXP(SUM(Painel_diario!$L$4719:$L$4782))-1</f>
        <v/>
      </c>
      <c r="F71" s="22">
        <f>EXP(SUM(Painel_diario!$L$4865:$L$4928))-1</f>
        <v/>
      </c>
    </row>
    <row r="72">
      <c r="A72" t="n">
        <v>65</v>
      </c>
      <c r="B72" s="22">
        <f>EXP(SUM(Painel_diario!$L$3580:$L$3644))-1</f>
        <v/>
      </c>
      <c r="C72" s="22">
        <f>EXP(SUM(Painel_diario!$L$4217:$L$4281))-1</f>
        <v/>
      </c>
      <c r="D72" s="22">
        <f>EXP(SUM(Painel_diario!$L$4345:$L$4409))-1</f>
        <v/>
      </c>
      <c r="E72" s="22">
        <f>EXP(SUM(Painel_diario!$L$4719:$L$4783))-1</f>
        <v/>
      </c>
      <c r="F72" s="22">
        <f>EXP(SUM(Painel_diario!$L$4865:$L$4929))-1</f>
        <v/>
      </c>
    </row>
    <row r="73">
      <c r="A73" t="n">
        <v>66</v>
      </c>
      <c r="B73" s="22">
        <f>EXP(SUM(Painel_diario!$L$3580:$L$3645))-1</f>
        <v/>
      </c>
      <c r="C73" s="22">
        <f>EXP(SUM(Painel_diario!$L$4217:$L$4282))-1</f>
        <v/>
      </c>
      <c r="D73" s="22">
        <f>EXP(SUM(Painel_diario!$L$4345:$L$4410))-1</f>
        <v/>
      </c>
      <c r="E73" s="22">
        <f>EXP(SUM(Painel_diario!$L$4719:$L$4784))-1</f>
        <v/>
      </c>
      <c r="F73" s="22">
        <f>EXP(SUM(Painel_diario!$L$4865:$L$4930))-1</f>
        <v/>
      </c>
    </row>
    <row r="74">
      <c r="A74" t="n">
        <v>67</v>
      </c>
      <c r="B74" s="22">
        <f>EXP(SUM(Painel_diario!$L$3580:$L$3646))-1</f>
        <v/>
      </c>
      <c r="C74" s="22">
        <f>EXP(SUM(Painel_diario!$L$4217:$L$4283))-1</f>
        <v/>
      </c>
      <c r="D74" s="22">
        <f>EXP(SUM(Painel_diario!$L$4345:$L$4411))-1</f>
        <v/>
      </c>
      <c r="E74" s="22">
        <f>EXP(SUM(Painel_diario!$L$4719:$L$4785))-1</f>
        <v/>
      </c>
      <c r="F74" s="22">
        <f>EXP(SUM(Painel_diario!$L$4865:$L$4931))-1</f>
        <v/>
      </c>
    </row>
    <row r="75">
      <c r="A75" t="n">
        <v>68</v>
      </c>
      <c r="B75" s="22">
        <f>EXP(SUM(Painel_diario!$L$3580:$L$3647))-1</f>
        <v/>
      </c>
      <c r="C75" s="22">
        <f>EXP(SUM(Painel_diario!$L$4217:$L$4284))-1</f>
        <v/>
      </c>
      <c r="D75" s="22">
        <f>EXP(SUM(Painel_diario!$L$4345:$L$4412))-1</f>
        <v/>
      </c>
      <c r="E75" s="22">
        <f>EXP(SUM(Painel_diario!$L$4719:$L$4786))-1</f>
        <v/>
      </c>
      <c r="F75" s="22">
        <f>EXP(SUM(Painel_diario!$L$4865:$L$4932))-1</f>
        <v/>
      </c>
    </row>
    <row r="76">
      <c r="A76" t="n">
        <v>69</v>
      </c>
      <c r="B76" s="22">
        <f>EXP(SUM(Painel_diario!$L$3580:$L$3648))-1</f>
        <v/>
      </c>
      <c r="C76" s="22">
        <f>EXP(SUM(Painel_diario!$L$4217:$L$4285))-1</f>
        <v/>
      </c>
      <c r="D76" s="22">
        <f>EXP(SUM(Painel_diario!$L$4345:$L$4413))-1</f>
        <v/>
      </c>
      <c r="E76" s="22">
        <f>EXP(SUM(Painel_diario!$L$4719:$L$4787))-1</f>
        <v/>
      </c>
      <c r="F76" s="22">
        <f>EXP(SUM(Painel_diario!$L$4865:$L$4933))-1</f>
        <v/>
      </c>
    </row>
    <row r="77">
      <c r="A77" t="n">
        <v>70</v>
      </c>
      <c r="B77" s="22">
        <f>EXP(SUM(Painel_diario!$L$3580:$L$3649))-1</f>
        <v/>
      </c>
      <c r="C77" s="22">
        <f>EXP(SUM(Painel_diario!$L$4217:$L$4286))-1</f>
        <v/>
      </c>
      <c r="D77" s="22">
        <f>EXP(SUM(Painel_diario!$L$4345:$L$4414))-1</f>
        <v/>
      </c>
      <c r="E77" s="22">
        <f>EXP(SUM(Painel_diario!$L$4719:$L$4788))-1</f>
        <v/>
      </c>
      <c r="F77" s="22">
        <f>EXP(SUM(Painel_diario!$L$4865:$L$4934))-1</f>
        <v/>
      </c>
    </row>
    <row r="78">
      <c r="A78" t="n">
        <v>71</v>
      </c>
      <c r="B78" s="22">
        <f>EXP(SUM(Painel_diario!$L$3580:$L$3650))-1</f>
        <v/>
      </c>
      <c r="C78" s="22">
        <f>EXP(SUM(Painel_diario!$L$4217:$L$4287))-1</f>
        <v/>
      </c>
      <c r="D78" s="22">
        <f>EXP(SUM(Painel_diario!$L$4345:$L$4415))-1</f>
        <v/>
      </c>
      <c r="E78" s="22">
        <f>EXP(SUM(Painel_diario!$L$4719:$L$4789))-1</f>
        <v/>
      </c>
      <c r="F78" s="22">
        <f>EXP(SUM(Painel_diario!$L$4865:$L$4935))-1</f>
        <v/>
      </c>
    </row>
    <row r="79">
      <c r="A79" t="n">
        <v>72</v>
      </c>
      <c r="B79" s="22">
        <f>EXP(SUM(Painel_diario!$L$3580:$L$3651))-1</f>
        <v/>
      </c>
      <c r="C79" s="22">
        <f>EXP(SUM(Painel_diario!$L$4217:$L$4288))-1</f>
        <v/>
      </c>
      <c r="D79" s="22">
        <f>EXP(SUM(Painel_diario!$L$4345:$L$4416))-1</f>
        <v/>
      </c>
      <c r="E79" s="22">
        <f>EXP(SUM(Painel_diario!$L$4719:$L$4790))-1</f>
        <v/>
      </c>
      <c r="F79" s="22">
        <f>EXP(SUM(Painel_diario!$L$4865:$L$4936))-1</f>
        <v/>
      </c>
    </row>
    <row r="80">
      <c r="A80" t="n">
        <v>73</v>
      </c>
      <c r="B80" s="22">
        <f>EXP(SUM(Painel_diario!$L$3580:$L$3652))-1</f>
        <v/>
      </c>
      <c r="C80" s="22">
        <f>EXP(SUM(Painel_diario!$L$4217:$L$4289))-1</f>
        <v/>
      </c>
      <c r="D80" s="22">
        <f>EXP(SUM(Painel_diario!$L$4345:$L$4417))-1</f>
        <v/>
      </c>
      <c r="E80" s="22">
        <f>EXP(SUM(Painel_diario!$L$4719:$L$4791))-1</f>
        <v/>
      </c>
      <c r="F80" s="22">
        <f>EXP(SUM(Painel_diario!$L$4865:$L$4937))-1</f>
        <v/>
      </c>
    </row>
    <row r="81">
      <c r="A81" t="n">
        <v>74</v>
      </c>
      <c r="B81" s="22">
        <f>EXP(SUM(Painel_diario!$L$3580:$L$3653))-1</f>
        <v/>
      </c>
      <c r="C81" s="22">
        <f>EXP(SUM(Painel_diario!$L$4217:$L$4290))-1</f>
        <v/>
      </c>
      <c r="D81" s="22">
        <f>EXP(SUM(Painel_diario!$L$4345:$L$4418))-1</f>
        <v/>
      </c>
      <c r="E81" s="22">
        <f>EXP(SUM(Painel_diario!$L$4719:$L$4792))-1</f>
        <v/>
      </c>
      <c r="F81" s="22">
        <f>EXP(SUM(Painel_diario!$L$4865:$L$4938))-1</f>
        <v/>
      </c>
    </row>
    <row r="82">
      <c r="A82" t="n">
        <v>75</v>
      </c>
      <c r="B82" s="22">
        <f>EXP(SUM(Painel_diario!$L$3580:$L$3654))-1</f>
        <v/>
      </c>
      <c r="C82" s="22">
        <f>EXP(SUM(Painel_diario!$L$4217:$L$4291))-1</f>
        <v/>
      </c>
      <c r="D82" s="22">
        <f>EXP(SUM(Painel_diario!$L$4345:$L$4419))-1</f>
        <v/>
      </c>
      <c r="E82" s="22">
        <f>EXP(SUM(Painel_diario!$L$4719:$L$4793))-1</f>
        <v/>
      </c>
      <c r="F82" s="22">
        <f>EXP(SUM(Painel_diario!$L$4865:$L$4939))-1</f>
        <v/>
      </c>
    </row>
    <row r="83">
      <c r="A83" t="n">
        <v>76</v>
      </c>
      <c r="B83" s="22">
        <f>EXP(SUM(Painel_diario!$L$3580:$L$3655))-1</f>
        <v/>
      </c>
      <c r="C83" s="22">
        <f>EXP(SUM(Painel_diario!$L$4217:$L$4292))-1</f>
        <v/>
      </c>
      <c r="D83" s="22">
        <f>EXP(SUM(Painel_diario!$L$4345:$L$4420))-1</f>
        <v/>
      </c>
      <c r="E83" s="22">
        <f>EXP(SUM(Painel_diario!$L$4719:$L$4794))-1</f>
        <v/>
      </c>
      <c r="F83" s="22">
        <f>EXP(SUM(Painel_diario!$L$4865:$L$4940))-1</f>
        <v/>
      </c>
    </row>
    <row r="84">
      <c r="A84" t="n">
        <v>77</v>
      </c>
      <c r="B84" s="22">
        <f>EXP(SUM(Painel_diario!$L$3580:$L$3656))-1</f>
        <v/>
      </c>
      <c r="C84" s="22">
        <f>EXP(SUM(Painel_diario!$L$4217:$L$4293))-1</f>
        <v/>
      </c>
      <c r="D84" s="22">
        <f>EXP(SUM(Painel_diario!$L$4345:$L$4421))-1</f>
        <v/>
      </c>
      <c r="E84" s="22">
        <f>EXP(SUM(Painel_diario!$L$4719:$L$4795))-1</f>
        <v/>
      </c>
      <c r="F84" s="22">
        <f>EXP(SUM(Painel_diario!$L$4865:$L$4941))-1</f>
        <v/>
      </c>
    </row>
    <row r="85">
      <c r="A85" t="n">
        <v>78</v>
      </c>
      <c r="B85" s="22">
        <f>EXP(SUM(Painel_diario!$L$3580:$L$3657))-1</f>
        <v/>
      </c>
      <c r="C85" s="22">
        <f>EXP(SUM(Painel_diario!$L$4217:$L$4294))-1</f>
        <v/>
      </c>
      <c r="D85" s="22">
        <f>EXP(SUM(Painel_diario!$L$4345:$L$4422))-1</f>
        <v/>
      </c>
      <c r="E85" s="22">
        <f>EXP(SUM(Painel_diario!$L$4719:$L$4796))-1</f>
        <v/>
      </c>
      <c r="F85" s="22">
        <f>EXP(SUM(Painel_diario!$L$4865:$L$4942))-1</f>
        <v/>
      </c>
    </row>
    <row r="86">
      <c r="A86" t="n">
        <v>79</v>
      </c>
      <c r="B86" s="22">
        <f>EXP(SUM(Painel_diario!$L$3580:$L$3658))-1</f>
        <v/>
      </c>
      <c r="C86" s="22">
        <f>EXP(SUM(Painel_diario!$L$4217:$L$4295))-1</f>
        <v/>
      </c>
      <c r="D86" s="22">
        <f>EXP(SUM(Painel_diario!$L$4345:$L$4423))-1</f>
        <v/>
      </c>
      <c r="E86" s="22">
        <f>EXP(SUM(Painel_diario!$L$4719:$L$4797))-1</f>
        <v/>
      </c>
      <c r="F86" s="22">
        <f>EXP(SUM(Painel_diario!$L$4865:$L$4943))-1</f>
        <v/>
      </c>
    </row>
    <row r="87">
      <c r="A87" t="n">
        <v>80</v>
      </c>
      <c r="B87" s="22">
        <f>EXP(SUM(Painel_diario!$L$3580:$L$3659))-1</f>
        <v/>
      </c>
      <c r="C87" s="22">
        <f>EXP(SUM(Painel_diario!$L$4217:$L$4296))-1</f>
        <v/>
      </c>
      <c r="D87" s="22">
        <f>EXP(SUM(Painel_diario!$L$4345:$L$4424))-1</f>
        <v/>
      </c>
      <c r="E87" s="22">
        <f>EXP(SUM(Painel_diario!$L$4719:$L$4798))-1</f>
        <v/>
      </c>
      <c r="F87" s="22">
        <f>EXP(SUM(Painel_diario!$L$4865:$L$4944))-1</f>
        <v/>
      </c>
    </row>
    <row r="88">
      <c r="A88" t="n">
        <v>81</v>
      </c>
      <c r="B88" s="22">
        <f>EXP(SUM(Painel_diario!$L$3580:$L$3660))-1</f>
        <v/>
      </c>
      <c r="C88" s="22">
        <f>EXP(SUM(Painel_diario!$L$4217:$L$4297))-1</f>
        <v/>
      </c>
      <c r="D88" s="22">
        <f>EXP(SUM(Painel_diario!$L$4345:$L$4425))-1</f>
        <v/>
      </c>
      <c r="E88" s="22">
        <f>EXP(SUM(Painel_diario!$L$4719:$L$4799))-1</f>
        <v/>
      </c>
      <c r="F88" s="22">
        <f>EXP(SUM(Painel_diario!$L$4865:$L$4945))-1</f>
        <v/>
      </c>
    </row>
    <row r="89">
      <c r="A89" t="n">
        <v>82</v>
      </c>
      <c r="B89" s="22">
        <f>EXP(SUM(Painel_diario!$L$3580:$L$3661))-1</f>
        <v/>
      </c>
      <c r="C89" s="22">
        <f>EXP(SUM(Painel_diario!$L$4217:$L$4298))-1</f>
        <v/>
      </c>
      <c r="D89" s="22">
        <f>EXP(SUM(Painel_diario!$L$4345:$L$4426))-1</f>
        <v/>
      </c>
      <c r="E89" s="22">
        <f>EXP(SUM(Painel_diario!$L$4719:$L$4800))-1</f>
        <v/>
      </c>
      <c r="F89" s="22">
        <f>EXP(SUM(Painel_diario!$L$4865:$L$4946))-1</f>
        <v/>
      </c>
    </row>
    <row r="90">
      <c r="A90" t="n">
        <v>83</v>
      </c>
      <c r="B90" s="22">
        <f>EXP(SUM(Painel_diario!$L$3580:$L$3662))-1</f>
        <v/>
      </c>
      <c r="C90" s="22">
        <f>EXP(SUM(Painel_diario!$L$4217:$L$4299))-1</f>
        <v/>
      </c>
      <c r="D90" s="22">
        <f>EXP(SUM(Painel_diario!$L$4345:$L$4427))-1</f>
        <v/>
      </c>
      <c r="E90" s="22">
        <f>EXP(SUM(Painel_diario!$L$4719:$L$4801))-1</f>
        <v/>
      </c>
      <c r="F90" s="22">
        <f>EXP(SUM(Painel_diario!$L$4865:$L$4947))-1</f>
        <v/>
      </c>
    </row>
    <row r="91">
      <c r="A91" t="n">
        <v>84</v>
      </c>
      <c r="B91" s="22">
        <f>EXP(SUM(Painel_diario!$L$3580:$L$3663))-1</f>
        <v/>
      </c>
      <c r="C91" s="22">
        <f>EXP(SUM(Painel_diario!$L$4217:$L$4300))-1</f>
        <v/>
      </c>
      <c r="D91" s="22">
        <f>EXP(SUM(Painel_diario!$L$4345:$L$4428))-1</f>
        <v/>
      </c>
      <c r="E91" s="22">
        <f>EXP(SUM(Painel_diario!$L$4719:$L$4802))-1</f>
        <v/>
      </c>
      <c r="F91" s="22">
        <f>EXP(SUM(Painel_diario!$L$4865:$L$4948))-1</f>
        <v/>
      </c>
    </row>
    <row r="92">
      <c r="A92" t="n">
        <v>85</v>
      </c>
      <c r="B92" s="22">
        <f>EXP(SUM(Painel_diario!$L$3580:$L$3664))-1</f>
        <v/>
      </c>
      <c r="C92" s="22">
        <f>EXP(SUM(Painel_diario!$L$4217:$L$4301))-1</f>
        <v/>
      </c>
      <c r="D92" s="22">
        <f>EXP(SUM(Painel_diario!$L$4345:$L$4429))-1</f>
        <v/>
      </c>
      <c r="E92" s="22">
        <f>EXP(SUM(Painel_diario!$L$4719:$L$4803))-1</f>
        <v/>
      </c>
      <c r="F92" s="22">
        <f>EXP(SUM(Painel_diario!$L$4865:$L$4949))-1</f>
        <v/>
      </c>
    </row>
    <row r="93">
      <c r="A93" t="n">
        <v>86</v>
      </c>
      <c r="B93" s="22">
        <f>EXP(SUM(Painel_diario!$L$3580:$L$3665))-1</f>
        <v/>
      </c>
      <c r="C93" s="22">
        <f>EXP(SUM(Painel_diario!$L$4217:$L$4302))-1</f>
        <v/>
      </c>
      <c r="D93" s="22">
        <f>EXP(SUM(Painel_diario!$L$4345:$L$4430))-1</f>
        <v/>
      </c>
      <c r="E93" s="22">
        <f>EXP(SUM(Painel_diario!$L$4719:$L$4804))-1</f>
        <v/>
      </c>
      <c r="F93" s="22">
        <f>EXP(SUM(Painel_diario!$L$4865:$L$4950))-1</f>
        <v/>
      </c>
    </row>
    <row r="94">
      <c r="A94" t="n">
        <v>87</v>
      </c>
      <c r="B94" s="22">
        <f>EXP(SUM(Painel_diario!$L$3580:$L$3666))-1</f>
        <v/>
      </c>
      <c r="C94" s="22">
        <f>EXP(SUM(Painel_diario!$L$4217:$L$4303))-1</f>
        <v/>
      </c>
      <c r="D94" s="22">
        <f>EXP(SUM(Painel_diario!$L$4345:$L$4431))-1</f>
        <v/>
      </c>
      <c r="E94" s="22">
        <f>EXP(SUM(Painel_diario!$L$4719:$L$4805))-1</f>
        <v/>
      </c>
      <c r="F94" s="22">
        <f>EXP(SUM(Painel_diario!$L$4865:$L$4951))-1</f>
        <v/>
      </c>
    </row>
    <row r="95">
      <c r="A95" t="n">
        <v>88</v>
      </c>
      <c r="B95" s="22">
        <f>EXP(SUM(Painel_diario!$L$3580:$L$3667))-1</f>
        <v/>
      </c>
      <c r="C95" s="22">
        <f>EXP(SUM(Painel_diario!$L$4217:$L$4304))-1</f>
        <v/>
      </c>
      <c r="D95" s="22">
        <f>EXP(SUM(Painel_diario!$L$4345:$L$4432))-1</f>
        <v/>
      </c>
      <c r="E95" s="22">
        <f>EXP(SUM(Painel_diario!$L$4719:$L$4806))-1</f>
        <v/>
      </c>
      <c r="F95" s="22">
        <f>EXP(SUM(Painel_diario!$L$4865:$L$4952))-1</f>
        <v/>
      </c>
    </row>
    <row r="96">
      <c r="A96" t="n">
        <v>89</v>
      </c>
      <c r="B96" s="22">
        <f>EXP(SUM(Painel_diario!$L$3580:$L$3668))-1</f>
        <v/>
      </c>
      <c r="C96" s="22">
        <f>EXP(SUM(Painel_diario!$L$4217:$L$4305))-1</f>
        <v/>
      </c>
      <c r="D96" s="22">
        <f>EXP(SUM(Painel_diario!$L$4345:$L$4433))-1</f>
        <v/>
      </c>
      <c r="E96" s="22">
        <f>EXP(SUM(Painel_diario!$L$4719:$L$4807))-1</f>
        <v/>
      </c>
      <c r="F96" s="22">
        <f>EXP(SUM(Painel_diario!$L$4865:$L$4953))-1</f>
        <v/>
      </c>
    </row>
    <row r="97">
      <c r="A97" t="n">
        <v>90</v>
      </c>
      <c r="B97" s="22">
        <f>EXP(SUM(Painel_diario!$L$3580:$L$3669))-1</f>
        <v/>
      </c>
      <c r="C97" s="22">
        <f>EXP(SUM(Painel_diario!$L$4217:$L$4306))-1</f>
        <v/>
      </c>
      <c r="D97" s="22">
        <f>EXP(SUM(Painel_diario!$L$4345:$L$4434))-1</f>
        <v/>
      </c>
      <c r="E97" s="22">
        <f>EXP(SUM(Painel_diario!$L$4719:$L$4808))-1</f>
        <v/>
      </c>
      <c r="F97" s="22">
        <f>EXP(SUM(Painel_diario!$L$4865:$L$4954))-1</f>
        <v/>
      </c>
    </row>
    <row r="98">
      <c r="A98" t="n">
        <v>91</v>
      </c>
      <c r="B98" s="22">
        <f>EXP(SUM(Painel_diario!$L$3580:$L$3670))-1</f>
        <v/>
      </c>
      <c r="C98" s="22">
        <f>EXP(SUM(Painel_diario!$L$4217:$L$4307))-1</f>
        <v/>
      </c>
      <c r="D98" s="22">
        <f>EXP(SUM(Painel_diario!$L$4345:$L$4435))-1</f>
        <v/>
      </c>
      <c r="E98" s="22">
        <f>EXP(SUM(Painel_diario!$L$4719:$L$4809))-1</f>
        <v/>
      </c>
      <c r="F98" s="22">
        <f>EXP(SUM(Painel_diario!$L$4865:$L$4955))-1</f>
        <v/>
      </c>
    </row>
    <row r="99">
      <c r="A99" t="n">
        <v>92</v>
      </c>
      <c r="B99" s="22">
        <f>EXP(SUM(Painel_diario!$L$3580:$L$3671))-1</f>
        <v/>
      </c>
      <c r="C99" s="22">
        <f>EXP(SUM(Painel_diario!$L$4217:$L$4308))-1</f>
        <v/>
      </c>
      <c r="D99" s="22">
        <f>EXP(SUM(Painel_diario!$L$4345:$L$4436))-1</f>
        <v/>
      </c>
      <c r="E99" s="22">
        <f>EXP(SUM(Painel_diario!$L$4719:$L$4810))-1</f>
        <v/>
      </c>
      <c r="F99" s="22">
        <f>EXP(SUM(Painel_diario!$L$4865:$L$4956))-1</f>
        <v/>
      </c>
    </row>
    <row r="100">
      <c r="A100" t="n">
        <v>93</v>
      </c>
      <c r="B100" s="22">
        <f>EXP(SUM(Painel_diario!$L$3580:$L$3672))-1</f>
        <v/>
      </c>
      <c r="C100" s="22">
        <f>EXP(SUM(Painel_diario!$L$4217:$L$4309))-1</f>
        <v/>
      </c>
      <c r="D100" s="22">
        <f>EXP(SUM(Painel_diario!$L$4345:$L$4437))-1</f>
        <v/>
      </c>
      <c r="E100" s="22">
        <f>EXP(SUM(Painel_diario!$L$4719:$L$4811))-1</f>
        <v/>
      </c>
      <c r="F100" s="22">
        <f>EXP(SUM(Painel_diario!$L$4865:$L$4957))-1</f>
        <v/>
      </c>
    </row>
    <row r="101">
      <c r="A101" t="n">
        <v>94</v>
      </c>
      <c r="B101" s="22">
        <f>EXP(SUM(Painel_diario!$L$3580:$L$3673))-1</f>
        <v/>
      </c>
      <c r="C101" s="22">
        <f>EXP(SUM(Painel_diario!$L$4217:$L$4310))-1</f>
        <v/>
      </c>
      <c r="D101" s="22">
        <f>EXP(SUM(Painel_diario!$L$4345:$L$4438))-1</f>
        <v/>
      </c>
      <c r="E101" s="22">
        <f>EXP(SUM(Painel_diario!$L$4719:$L$4812))-1</f>
        <v/>
      </c>
      <c r="F101" s="22">
        <f>EXP(SUM(Painel_diario!$L$4865:$L$4958))-1</f>
        <v/>
      </c>
    </row>
    <row r="102">
      <c r="A102" t="n">
        <v>95</v>
      </c>
      <c r="B102" s="22">
        <f>EXP(SUM(Painel_diario!$L$3580:$L$3674))-1</f>
        <v/>
      </c>
      <c r="C102" s="22">
        <f>EXP(SUM(Painel_diario!$L$4217:$L$4311))-1</f>
        <v/>
      </c>
      <c r="D102" s="22">
        <f>EXP(SUM(Painel_diario!$L$4345:$L$4439))-1</f>
        <v/>
      </c>
      <c r="E102" s="22">
        <f>EXP(SUM(Painel_diario!$L$4719:$L$4813))-1</f>
        <v/>
      </c>
      <c r="F102" s="22">
        <f>EXP(SUM(Painel_diario!$L$4865:$L$4959))-1</f>
        <v/>
      </c>
    </row>
    <row r="103">
      <c r="A103" t="n">
        <v>96</v>
      </c>
      <c r="B103" s="22">
        <f>EXP(SUM(Painel_diario!$L$3580:$L$3675))-1</f>
        <v/>
      </c>
      <c r="C103" s="22">
        <f>EXP(SUM(Painel_diario!$L$4217:$L$4312))-1</f>
        <v/>
      </c>
      <c r="D103" s="22">
        <f>EXP(SUM(Painel_diario!$L$4345:$L$4440))-1</f>
        <v/>
      </c>
      <c r="E103" s="22">
        <f>EXP(SUM(Painel_diario!$L$4719:$L$4814))-1</f>
        <v/>
      </c>
      <c r="F103" s="22">
        <f>EXP(SUM(Painel_diario!$L$4865:$L$4960))-1</f>
        <v/>
      </c>
    </row>
    <row r="104">
      <c r="A104" t="n">
        <v>97</v>
      </c>
      <c r="B104" s="22">
        <f>EXP(SUM(Painel_diario!$L$3580:$L$3676))-1</f>
        <v/>
      </c>
      <c r="C104" s="22">
        <f>EXP(SUM(Painel_diario!$L$4217:$L$4313))-1</f>
        <v/>
      </c>
      <c r="D104" s="22">
        <f>EXP(SUM(Painel_diario!$L$4345:$L$4441))-1</f>
        <v/>
      </c>
      <c r="E104" s="22">
        <f>EXP(SUM(Painel_diario!$L$4719:$L$4815))-1</f>
        <v/>
      </c>
      <c r="F104" s="22">
        <f>EXP(SUM(Painel_diario!$L$4865:$L$4961))-1</f>
        <v/>
      </c>
    </row>
    <row r="105">
      <c r="A105" t="n">
        <v>98</v>
      </c>
      <c r="B105" s="22">
        <f>EXP(SUM(Painel_diario!$L$3580:$L$3677))-1</f>
        <v/>
      </c>
      <c r="C105" s="22">
        <f>EXP(SUM(Painel_diario!$L$4217:$L$4314))-1</f>
        <v/>
      </c>
      <c r="D105" s="22">
        <f>EXP(SUM(Painel_diario!$L$4345:$L$4442))-1</f>
        <v/>
      </c>
      <c r="E105" s="22">
        <f>EXP(SUM(Painel_diario!$L$4719:$L$4816))-1</f>
        <v/>
      </c>
      <c r="F105" s="22">
        <f>EXP(SUM(Painel_diario!$L$4865:$L$4962))-1</f>
        <v/>
      </c>
    </row>
    <row r="106">
      <c r="A106" t="n">
        <v>99</v>
      </c>
      <c r="B106" s="22">
        <f>EXP(SUM(Painel_diario!$L$3580:$L$3678))-1</f>
        <v/>
      </c>
      <c r="C106" s="22">
        <f>EXP(SUM(Painel_diario!$L$4217:$L$4315))-1</f>
        <v/>
      </c>
      <c r="D106" s="22">
        <f>EXP(SUM(Painel_diario!$L$4345:$L$4443))-1</f>
        <v/>
      </c>
      <c r="E106" s="22">
        <f>EXP(SUM(Painel_diario!$L$4719:$L$4817))-1</f>
        <v/>
      </c>
      <c r="F106" s="22">
        <f>EXP(SUM(Painel_diario!$L$4865:$L$4963))-1</f>
        <v/>
      </c>
    </row>
    <row r="107">
      <c r="A107" t="n">
        <v>100</v>
      </c>
      <c r="B107" s="22">
        <f>EXP(SUM(Painel_diario!$L$3580:$L$3679))-1</f>
        <v/>
      </c>
      <c r="C107" s="22">
        <f>EXP(SUM(Painel_diario!$L$4217:$L$4316))-1</f>
        <v/>
      </c>
      <c r="D107" s="22">
        <f>EXP(SUM(Painel_diario!$L$4345:$L$4444))-1</f>
        <v/>
      </c>
      <c r="E107" s="22">
        <f>EXP(SUM(Painel_diario!$L$4719:$L$4818))-1</f>
        <v/>
      </c>
      <c r="F107" s="22">
        <f>EXP(SUM(Painel_diario!$L$4865:$L$4964))-1</f>
        <v/>
      </c>
    </row>
    <row r="108">
      <c r="A108" t="n">
        <v>101</v>
      </c>
      <c r="B108" s="22">
        <f>EXP(SUM(Painel_diario!$L$3580:$L$3680))-1</f>
        <v/>
      </c>
      <c r="C108" s="22">
        <f>EXP(SUM(Painel_diario!$L$4217:$L$4317))-1</f>
        <v/>
      </c>
      <c r="D108" s="22">
        <f>EXP(SUM(Painel_diario!$L$4345:$L$4445))-1</f>
        <v/>
      </c>
      <c r="E108" s="22">
        <f>EXP(SUM(Painel_diario!$L$4719:$L$4819))-1</f>
        <v/>
      </c>
      <c r="F108" s="22">
        <f>EXP(SUM(Painel_diario!$L$4865:$L$4965))-1</f>
        <v/>
      </c>
    </row>
    <row r="109">
      <c r="A109" t="n">
        <v>102</v>
      </c>
      <c r="B109" s="22">
        <f>EXP(SUM(Painel_diario!$L$3580:$L$3681))-1</f>
        <v/>
      </c>
      <c r="C109" s="22">
        <f>EXP(SUM(Painel_diario!$L$4217:$L$4318))-1</f>
        <v/>
      </c>
      <c r="D109" s="22">
        <f>EXP(SUM(Painel_diario!$L$4345:$L$4446))-1</f>
        <v/>
      </c>
      <c r="E109" s="22">
        <f>EXP(SUM(Painel_diario!$L$4719:$L$4820))-1</f>
        <v/>
      </c>
      <c r="F109" s="22">
        <f>EXP(SUM(Painel_diario!$L$4865:$L$4966))-1</f>
        <v/>
      </c>
    </row>
    <row r="110">
      <c r="A110" t="n">
        <v>103</v>
      </c>
      <c r="B110" s="22">
        <f>EXP(SUM(Painel_diario!$L$3580:$L$3682))-1</f>
        <v/>
      </c>
      <c r="C110" s="22">
        <f>EXP(SUM(Painel_diario!$L$4217:$L$4319))-1</f>
        <v/>
      </c>
      <c r="D110" s="22">
        <f>EXP(SUM(Painel_diario!$L$4345:$L$4447))-1</f>
        <v/>
      </c>
      <c r="E110" s="22">
        <f>EXP(SUM(Painel_diario!$L$4719:$L$4821))-1</f>
        <v/>
      </c>
      <c r="F110" s="22">
        <f>EXP(SUM(Painel_diario!$L$4865:$L$4967))-1</f>
        <v/>
      </c>
    </row>
    <row r="111">
      <c r="A111" t="n">
        <v>104</v>
      </c>
      <c r="B111" s="22">
        <f>EXP(SUM(Painel_diario!$L$3580:$L$3683))-1</f>
        <v/>
      </c>
      <c r="C111" s="22">
        <f>EXP(SUM(Painel_diario!$L$4217:$L$4320))-1</f>
        <v/>
      </c>
      <c r="D111" s="22">
        <f>EXP(SUM(Painel_diario!$L$4345:$L$4448))-1</f>
        <v/>
      </c>
      <c r="E111" s="22">
        <f>EXP(SUM(Painel_diario!$L$4719:$L$4822))-1</f>
        <v/>
      </c>
      <c r="F111" s="22">
        <f>EXP(SUM(Painel_diario!$L$4865:$L$4968))-1</f>
        <v/>
      </c>
    </row>
    <row r="112">
      <c r="A112" t="n">
        <v>105</v>
      </c>
      <c r="B112" s="22">
        <f>EXP(SUM(Painel_diario!$L$3580:$L$3684))-1</f>
        <v/>
      </c>
      <c r="C112" s="22">
        <f>EXP(SUM(Painel_diario!$L$4217:$L$4321))-1</f>
        <v/>
      </c>
      <c r="D112" s="22">
        <f>EXP(SUM(Painel_diario!$L$4345:$L$4449))-1</f>
        <v/>
      </c>
      <c r="E112" s="22">
        <f>EXP(SUM(Painel_diario!$L$4719:$L$4823))-1</f>
        <v/>
      </c>
      <c r="F112" s="22">
        <f>EXP(SUM(Painel_diario!$L$4865:$L$4969))-1</f>
        <v/>
      </c>
    </row>
    <row r="113">
      <c r="A113" t="n">
        <v>106</v>
      </c>
      <c r="B113" s="22">
        <f>EXP(SUM(Painel_diario!$L$3580:$L$3685))-1</f>
        <v/>
      </c>
      <c r="C113" s="22">
        <f>EXP(SUM(Painel_diario!$L$4217:$L$4322))-1</f>
        <v/>
      </c>
      <c r="D113" s="22">
        <f>EXP(SUM(Painel_diario!$L$4345:$L$4450))-1</f>
        <v/>
      </c>
      <c r="E113" s="22">
        <f>EXP(SUM(Painel_diario!$L$4719:$L$4824))-1</f>
        <v/>
      </c>
      <c r="F113" s="22">
        <f>EXP(SUM(Painel_diario!$L$4865:$L$4970))-1</f>
        <v/>
      </c>
    </row>
    <row r="114">
      <c r="A114" t="n">
        <v>107</v>
      </c>
      <c r="B114" s="22">
        <f>EXP(SUM(Painel_diario!$L$3580:$L$3686))-1</f>
        <v/>
      </c>
      <c r="C114" s="22">
        <f>EXP(SUM(Painel_diario!$L$4217:$L$4323))-1</f>
        <v/>
      </c>
      <c r="D114" s="22">
        <f>EXP(SUM(Painel_diario!$L$4345:$L$4451))-1</f>
        <v/>
      </c>
      <c r="E114" s="22">
        <f>EXP(SUM(Painel_diario!$L$4719:$L$4825))-1</f>
        <v/>
      </c>
      <c r="F114" s="22">
        <f>EXP(SUM(Painel_diario!$L$4865:$L$4971))-1</f>
        <v/>
      </c>
    </row>
    <row r="115">
      <c r="A115" t="n">
        <v>108</v>
      </c>
      <c r="B115" s="22">
        <f>EXP(SUM(Painel_diario!$L$3580:$L$3687))-1</f>
        <v/>
      </c>
      <c r="C115" s="22">
        <f>EXP(SUM(Painel_diario!$L$4217:$L$4324))-1</f>
        <v/>
      </c>
      <c r="D115" s="22">
        <f>EXP(SUM(Painel_diario!$L$4345:$L$4452))-1</f>
        <v/>
      </c>
      <c r="E115" s="22">
        <f>EXP(SUM(Painel_diario!$L$4719:$L$4826))-1</f>
        <v/>
      </c>
      <c r="F115" s="22">
        <f>EXP(SUM(Painel_diario!$L$4865:$L$4972))-1</f>
        <v/>
      </c>
    </row>
    <row r="116">
      <c r="A116" t="n">
        <v>109</v>
      </c>
      <c r="B116" s="22">
        <f>EXP(SUM(Painel_diario!$L$3580:$L$3688))-1</f>
        <v/>
      </c>
      <c r="C116" s="22">
        <f>EXP(SUM(Painel_diario!$L$4217:$L$4325))-1</f>
        <v/>
      </c>
      <c r="D116" s="22">
        <f>EXP(SUM(Painel_diario!$L$4345:$L$4453))-1</f>
        <v/>
      </c>
      <c r="E116" s="22">
        <f>EXP(SUM(Painel_diario!$L$4719:$L$4827))-1</f>
        <v/>
      </c>
      <c r="F116" s="22">
        <f>EXP(SUM(Painel_diario!$L$4865:$L$4973))-1</f>
        <v/>
      </c>
    </row>
    <row r="117">
      <c r="A117" t="n">
        <v>110</v>
      </c>
      <c r="B117" s="22">
        <f>EXP(SUM(Painel_diario!$L$3580:$L$3689))-1</f>
        <v/>
      </c>
      <c r="C117" s="22">
        <f>EXP(SUM(Painel_diario!$L$4217:$L$4326))-1</f>
        <v/>
      </c>
      <c r="D117" s="22">
        <f>EXP(SUM(Painel_diario!$L$4345:$L$4454))-1</f>
        <v/>
      </c>
      <c r="E117" s="22">
        <f>EXP(SUM(Painel_diario!$L$4719:$L$4828))-1</f>
        <v/>
      </c>
      <c r="F117" s="22">
        <f>EXP(SUM(Painel_diario!$L$4865:$L$4974))-1</f>
        <v/>
      </c>
    </row>
    <row r="118">
      <c r="A118" t="n">
        <v>111</v>
      </c>
      <c r="B118" s="22">
        <f>EXP(SUM(Painel_diario!$L$3580:$L$3690))-1</f>
        <v/>
      </c>
      <c r="C118" s="22">
        <f>EXP(SUM(Painel_diario!$L$4217:$L$4327))-1</f>
        <v/>
      </c>
      <c r="D118" s="22">
        <f>EXP(SUM(Painel_diario!$L$4345:$L$4455))-1</f>
        <v/>
      </c>
      <c r="E118" s="22">
        <f>EXP(SUM(Painel_diario!$L$4719:$L$4829))-1</f>
        <v/>
      </c>
      <c r="F118" s="22">
        <f>EXP(SUM(Painel_diario!$L$4865:$L$4975))-1</f>
        <v/>
      </c>
    </row>
    <row r="119">
      <c r="A119" t="n">
        <v>112</v>
      </c>
      <c r="B119" s="22">
        <f>EXP(SUM(Painel_diario!$L$3580:$L$3691))-1</f>
        <v/>
      </c>
      <c r="C119" s="22">
        <f>EXP(SUM(Painel_diario!$L$4217:$L$4328))-1</f>
        <v/>
      </c>
      <c r="D119" s="22">
        <f>EXP(SUM(Painel_diario!$L$4345:$L$4456))-1</f>
        <v/>
      </c>
      <c r="E119" s="22">
        <f>EXP(SUM(Painel_diario!$L$4719:$L$4830))-1</f>
        <v/>
      </c>
      <c r="F119" s="22">
        <f>EXP(SUM(Painel_diario!$L$4865:$L$4976))-1</f>
        <v/>
      </c>
    </row>
    <row r="120">
      <c r="A120" t="n">
        <v>113</v>
      </c>
      <c r="B120" s="22">
        <f>EXP(SUM(Painel_diario!$L$3580:$L$3692))-1</f>
        <v/>
      </c>
      <c r="C120" s="22">
        <f>EXP(SUM(Painel_diario!$L$4217:$L$4329))-1</f>
        <v/>
      </c>
      <c r="D120" s="22">
        <f>EXP(SUM(Painel_diario!$L$4345:$L$4457))-1</f>
        <v/>
      </c>
      <c r="E120" s="22">
        <f>EXP(SUM(Painel_diario!$L$4719:$L$4831))-1</f>
        <v/>
      </c>
      <c r="F120" s="22">
        <f>EXP(SUM(Painel_diario!$L$4865:$L$4977))-1</f>
        <v/>
      </c>
    </row>
    <row r="121">
      <c r="A121" t="n">
        <v>114</v>
      </c>
      <c r="B121" s="22">
        <f>EXP(SUM(Painel_diario!$L$3580:$L$3693))-1</f>
        <v/>
      </c>
      <c r="C121" s="22">
        <f>EXP(SUM(Painel_diario!$L$4217:$L$4330))-1</f>
        <v/>
      </c>
      <c r="D121" s="22">
        <f>EXP(SUM(Painel_diario!$L$4345:$L$4458))-1</f>
        <v/>
      </c>
      <c r="E121" s="22">
        <f>EXP(SUM(Painel_diario!$L$4719:$L$4832))-1</f>
        <v/>
      </c>
      <c r="F121" s="22">
        <f>EXP(SUM(Painel_diario!$L$4865:$L$4978))-1</f>
        <v/>
      </c>
    </row>
    <row r="122">
      <c r="A122" t="n">
        <v>115</v>
      </c>
      <c r="B122" s="22">
        <f>EXP(SUM(Painel_diario!$L$3580:$L$3694))-1</f>
        <v/>
      </c>
      <c r="C122" s="22">
        <f>EXP(SUM(Painel_diario!$L$4217:$L$4331))-1</f>
        <v/>
      </c>
      <c r="D122" s="22">
        <f>EXP(SUM(Painel_diario!$L$4345:$L$4459))-1</f>
        <v/>
      </c>
      <c r="E122" s="22">
        <f>EXP(SUM(Painel_diario!$L$4719:$L$4833))-1</f>
        <v/>
      </c>
      <c r="F122" s="22">
        <f>EXP(SUM(Painel_diario!$L$4865:$L$4979))-1</f>
        <v/>
      </c>
    </row>
    <row r="123">
      <c r="A123" t="n">
        <v>116</v>
      </c>
      <c r="B123" s="22">
        <f>EXP(SUM(Painel_diario!$L$3580:$L$3695))-1</f>
        <v/>
      </c>
      <c r="C123" s="22">
        <f>EXP(SUM(Painel_diario!$L$4217:$L$4332))-1</f>
        <v/>
      </c>
      <c r="D123" s="22">
        <f>EXP(SUM(Painel_diario!$L$4345:$L$4460))-1</f>
        <v/>
      </c>
      <c r="E123" s="22">
        <f>EXP(SUM(Painel_diario!$L$4719:$L$4834))-1</f>
        <v/>
      </c>
      <c r="F123" s="22">
        <f>EXP(SUM(Painel_diario!$L$4865:$L$4980))-1</f>
        <v/>
      </c>
    </row>
    <row r="124">
      <c r="A124" t="n">
        <v>117</v>
      </c>
      <c r="B124" s="22">
        <f>EXP(SUM(Painel_diario!$L$3580:$L$3696))-1</f>
        <v/>
      </c>
      <c r="C124" s="22">
        <f>EXP(SUM(Painel_diario!$L$4217:$L$4333))-1</f>
        <v/>
      </c>
      <c r="D124" s="22">
        <f>EXP(SUM(Painel_diario!$L$4345:$L$4461))-1</f>
        <v/>
      </c>
      <c r="E124" s="22">
        <f>EXP(SUM(Painel_diario!$L$4719:$L$4835))-1</f>
        <v/>
      </c>
      <c r="F124" s="22">
        <f>EXP(SUM(Painel_diario!$L$4865:$L$4981))-1</f>
        <v/>
      </c>
    </row>
    <row r="125">
      <c r="A125" t="n">
        <v>118</v>
      </c>
      <c r="B125" s="22">
        <f>EXP(SUM(Painel_diario!$L$3580:$L$3697))-1</f>
        <v/>
      </c>
      <c r="C125" s="22">
        <f>EXP(SUM(Painel_diario!$L$4217:$L$4334))-1</f>
        <v/>
      </c>
      <c r="D125" s="22">
        <f>EXP(SUM(Painel_diario!$L$4345:$L$4462))-1</f>
        <v/>
      </c>
      <c r="E125" s="22">
        <f>EXP(SUM(Painel_diario!$L$4719:$L$4836))-1</f>
        <v/>
      </c>
      <c r="F125" s="22">
        <f>EXP(SUM(Painel_diario!$L$4865:$L$4982))-1</f>
        <v/>
      </c>
    </row>
    <row r="126">
      <c r="A126" t="n">
        <v>119</v>
      </c>
      <c r="B126" s="22">
        <f>EXP(SUM(Painel_diario!$L$3580:$L$3698))-1</f>
        <v/>
      </c>
      <c r="C126" s="22">
        <f>EXP(SUM(Painel_diario!$L$4217:$L$4335))-1</f>
        <v/>
      </c>
      <c r="D126" s="22">
        <f>EXP(SUM(Painel_diario!$L$4345:$L$4463))-1</f>
        <v/>
      </c>
      <c r="E126" s="22">
        <f>EXP(SUM(Painel_diario!$L$4719:$L$4837))-1</f>
        <v/>
      </c>
      <c r="F126" s="22">
        <f>EXP(SUM(Painel_diario!$L$4865:$L$4983))-1</f>
        <v/>
      </c>
    </row>
    <row r="127">
      <c r="A127" t="n">
        <v>120</v>
      </c>
      <c r="B127" s="22">
        <f>EXP(SUM(Painel_diario!$L$3580:$L$3699))-1</f>
        <v/>
      </c>
      <c r="C127" s="22">
        <f>EXP(SUM(Painel_diario!$L$4217:$L$4336))-1</f>
        <v/>
      </c>
      <c r="D127" s="22">
        <f>EXP(SUM(Painel_diario!$L$4345:$L$4464))-1</f>
        <v/>
      </c>
      <c r="E127" s="22">
        <f>EXP(SUM(Painel_diario!$L$4719:$L$4838))-1</f>
        <v/>
      </c>
      <c r="F127" s="22">
        <f>EXP(SUM(Painel_diario!$L$4865:$L$4984))-1</f>
        <v/>
      </c>
    </row>
    <row r="128">
      <c r="A128" t="n">
        <v>121</v>
      </c>
      <c r="B128" s="22">
        <f>EXP(SUM(Painel_diario!$L$3580:$L$3700))-1</f>
        <v/>
      </c>
      <c r="C128" s="22">
        <f>EXP(SUM(Painel_diario!$L$4217:$L$4337))-1</f>
        <v/>
      </c>
      <c r="D128" s="22">
        <f>EXP(SUM(Painel_diario!$L$4345:$L$4465))-1</f>
        <v/>
      </c>
      <c r="E128" s="22">
        <f>EXP(SUM(Painel_diario!$L$4719:$L$4839))-1</f>
        <v/>
      </c>
      <c r="F128" s="22">
        <f>EXP(SUM(Painel_diario!$L$4865:$L$4985))-1</f>
        <v/>
      </c>
    </row>
    <row r="129">
      <c r="A129" t="n">
        <v>122</v>
      </c>
      <c r="B129" s="22">
        <f>EXP(SUM(Painel_diario!$L$3580:$L$3701))-1</f>
        <v/>
      </c>
      <c r="C129" s="22">
        <f>EXP(SUM(Painel_diario!$L$4217:$L$4338))-1</f>
        <v/>
      </c>
      <c r="D129" s="22">
        <f>EXP(SUM(Painel_diario!$L$4345:$L$4466))-1</f>
        <v/>
      </c>
      <c r="E129" s="22">
        <f>EXP(SUM(Painel_diario!$L$4719:$L$4840))-1</f>
        <v/>
      </c>
      <c r="F129" s="22">
        <f>EXP(SUM(Painel_diario!$L$4865:$L$4986))-1</f>
        <v/>
      </c>
    </row>
    <row r="130">
      <c r="A130" t="n">
        <v>123</v>
      </c>
      <c r="B130" s="22">
        <f>EXP(SUM(Painel_diario!$L$3580:$L$3702))-1</f>
        <v/>
      </c>
      <c r="C130" s="22">
        <f>EXP(SUM(Painel_diario!$L$4217:$L$4339))-1</f>
        <v/>
      </c>
      <c r="D130" s="22">
        <f>EXP(SUM(Painel_diario!$L$4345:$L$4467))-1</f>
        <v/>
      </c>
      <c r="E130" s="22">
        <f>EXP(SUM(Painel_diario!$L$4719:$L$4841))-1</f>
        <v/>
      </c>
      <c r="F130" s="22">
        <f>EXP(SUM(Painel_diario!$L$4865:$L$4987))-1</f>
        <v/>
      </c>
    </row>
    <row r="131">
      <c r="A131" t="n">
        <v>124</v>
      </c>
      <c r="B131" s="22">
        <f>EXP(SUM(Painel_diario!$L$3580:$L$3703))-1</f>
        <v/>
      </c>
      <c r="C131" s="22">
        <f>EXP(SUM(Painel_diario!$L$4217:$L$4340))-1</f>
        <v/>
      </c>
      <c r="D131" s="22">
        <f>EXP(SUM(Painel_diario!$L$4345:$L$4468))-1</f>
        <v/>
      </c>
      <c r="E131" s="22">
        <f>EXP(SUM(Painel_diario!$L$4719:$L$4842))-1</f>
        <v/>
      </c>
      <c r="F131" s="22">
        <f>EXP(SUM(Painel_diario!$L$4865:$L$4988))-1</f>
        <v/>
      </c>
    </row>
    <row r="132">
      <c r="A132" t="n">
        <v>125</v>
      </c>
      <c r="B132" s="22">
        <f>EXP(SUM(Painel_diario!$L$3580:$L$3704))-1</f>
        <v/>
      </c>
      <c r="C132" s="22">
        <f>EXP(SUM(Painel_diario!$L$4217:$L$4341))-1</f>
        <v/>
      </c>
      <c r="D132" s="22">
        <f>EXP(SUM(Painel_diario!$L$4345:$L$4469))-1</f>
        <v/>
      </c>
      <c r="E132" s="22">
        <f>EXP(SUM(Painel_diario!$L$4719:$L$4843))-1</f>
        <v/>
      </c>
      <c r="F132" s="22">
        <f>EXP(SUM(Painel_diario!$L$4865:$L$4989))-1</f>
        <v/>
      </c>
    </row>
    <row r="133">
      <c r="A133" t="n">
        <v>126</v>
      </c>
      <c r="B133" s="22">
        <f>EXP(SUM(Painel_diario!$L$3580:$L$3705))-1</f>
        <v/>
      </c>
      <c r="C133" s="22">
        <f>EXP(SUM(Painel_diario!$L$4217:$L$4342))-1</f>
        <v/>
      </c>
      <c r="D133" s="22">
        <f>EXP(SUM(Painel_diario!$L$4345:$L$4470))-1</f>
        <v/>
      </c>
      <c r="E133" s="22">
        <f>EXP(SUM(Painel_diario!$L$4719:$L$4844))-1</f>
        <v/>
      </c>
      <c r="F133" s="22">
        <f>EXP(SUM(Painel_diario!$L$4865:$L$4990))-1</f>
        <v/>
      </c>
    </row>
    <row r="134">
      <c r="A134" t="n">
        <v>127</v>
      </c>
      <c r="B134" s="22">
        <f>EXP(SUM(Painel_diario!$L$3580:$L$3706))-1</f>
        <v/>
      </c>
      <c r="C134" s="22">
        <f>EXP(SUM(Painel_diario!$L$4217:$L$4343))-1</f>
        <v/>
      </c>
      <c r="D134" s="22">
        <f>EXP(SUM(Painel_diario!$L$4345:$L$4471))-1</f>
        <v/>
      </c>
      <c r="E134" s="22">
        <f>EXP(SUM(Painel_diario!$L$4719:$L$4845))-1</f>
        <v/>
      </c>
      <c r="F134" s="22">
        <f>EXP(SUM(Painel_diario!$L$4865:$L$4991))-1</f>
        <v/>
      </c>
    </row>
    <row r="135">
      <c r="A135" t="n">
        <v>128</v>
      </c>
      <c r="B135" s="22">
        <f>EXP(SUM(Painel_diario!$L$3580:$L$3707))-1</f>
        <v/>
      </c>
      <c r="C135" s="22">
        <f>EXP(SUM(Painel_diario!$L$4217:$L$4344))-1</f>
        <v/>
      </c>
      <c r="D135" s="22">
        <f>EXP(SUM(Painel_diario!$L$4345:$L$4472))-1</f>
        <v/>
      </c>
      <c r="E135" s="22">
        <f>EXP(SUM(Painel_diario!$L$4719:$L$4846))-1</f>
        <v/>
      </c>
      <c r="F135" s="22">
        <f>EXP(SUM(Painel_diario!$L$4865:$L$4992))-1</f>
        <v/>
      </c>
    </row>
    <row r="136">
      <c r="A136" t="n">
        <v>129</v>
      </c>
      <c r="B136" s="22">
        <f>EXP(SUM(Painel_diario!$L$3580:$L$3708))-1</f>
        <v/>
      </c>
      <c r="C136" s="22">
        <f>EXP(SUM(Painel_diario!$L$4217:$L$4345))-1</f>
        <v/>
      </c>
      <c r="D136" s="22">
        <f>EXP(SUM(Painel_diario!$L$4345:$L$4473))-1</f>
        <v/>
      </c>
      <c r="E136" s="22">
        <f>EXP(SUM(Painel_diario!$L$4719:$L$4847))-1</f>
        <v/>
      </c>
      <c r="F136" s="22">
        <f>EXP(SUM(Painel_diario!$L$4865:$L$4993))-1</f>
        <v/>
      </c>
    </row>
    <row r="137">
      <c r="A137" t="n">
        <v>130</v>
      </c>
      <c r="B137" s="22">
        <f>EXP(SUM(Painel_diario!$L$3580:$L$3709))-1</f>
        <v/>
      </c>
      <c r="C137" s="22">
        <f>EXP(SUM(Painel_diario!$L$4217:$L$4346))-1</f>
        <v/>
      </c>
      <c r="D137" s="22">
        <f>EXP(SUM(Painel_diario!$L$4345:$L$4474))-1</f>
        <v/>
      </c>
      <c r="E137" s="22">
        <f>EXP(SUM(Painel_diario!$L$4719:$L$4848))-1</f>
        <v/>
      </c>
      <c r="F137" s="22">
        <f>EXP(SUM(Painel_diario!$L$4865:$L$4994))-1</f>
        <v/>
      </c>
    </row>
    <row r="138">
      <c r="A138" t="n">
        <v>131</v>
      </c>
      <c r="B138" s="22">
        <f>EXP(SUM(Painel_diario!$L$3580:$L$3710))-1</f>
        <v/>
      </c>
      <c r="C138" s="22">
        <f>EXP(SUM(Painel_diario!$L$4217:$L$4347))-1</f>
        <v/>
      </c>
      <c r="D138" s="22">
        <f>EXP(SUM(Painel_diario!$L$4345:$L$4475))-1</f>
        <v/>
      </c>
      <c r="E138" s="22">
        <f>EXP(SUM(Painel_diario!$L$4719:$L$4849))-1</f>
        <v/>
      </c>
      <c r="F138" s="22">
        <f>EXP(SUM(Painel_diario!$L$4865:$L$4995))-1</f>
        <v/>
      </c>
    </row>
    <row r="139">
      <c r="A139" t="n">
        <v>132</v>
      </c>
      <c r="B139" s="22">
        <f>EXP(SUM(Painel_diario!$L$3580:$L$3711))-1</f>
        <v/>
      </c>
      <c r="C139" s="22">
        <f>EXP(SUM(Painel_diario!$L$4217:$L$4348))-1</f>
        <v/>
      </c>
      <c r="D139" s="22">
        <f>EXP(SUM(Painel_diario!$L$4345:$L$4476))-1</f>
        <v/>
      </c>
      <c r="E139" s="22">
        <f>EXP(SUM(Painel_diario!$L$4719:$L$4850))-1</f>
        <v/>
      </c>
      <c r="F139" s="22">
        <f>EXP(SUM(Painel_diario!$L$4865:$L$4996))-1</f>
        <v/>
      </c>
    </row>
    <row r="140">
      <c r="A140" t="n">
        <v>133</v>
      </c>
      <c r="B140" s="22">
        <f>EXP(SUM(Painel_diario!$L$3580:$L$3712))-1</f>
        <v/>
      </c>
      <c r="C140" s="22">
        <f>EXP(SUM(Painel_diario!$L$4217:$L$4349))-1</f>
        <v/>
      </c>
      <c r="D140" s="22">
        <f>EXP(SUM(Painel_diario!$L$4345:$L$4477))-1</f>
        <v/>
      </c>
      <c r="E140" s="22">
        <f>EXP(SUM(Painel_diario!$L$4719:$L$4851))-1</f>
        <v/>
      </c>
      <c r="F140" s="22">
        <f>EXP(SUM(Painel_diario!$L$4865:$L$4997))-1</f>
        <v/>
      </c>
    </row>
    <row r="141">
      <c r="A141" t="n">
        <v>134</v>
      </c>
      <c r="B141" s="22">
        <f>EXP(SUM(Painel_diario!$L$3580:$L$3713))-1</f>
        <v/>
      </c>
      <c r="C141" s="22">
        <f>EXP(SUM(Painel_diario!$L$4217:$L$4350))-1</f>
        <v/>
      </c>
      <c r="D141" s="22">
        <f>EXP(SUM(Painel_diario!$L$4345:$L$4478))-1</f>
        <v/>
      </c>
      <c r="E141" s="22">
        <f>EXP(SUM(Painel_diario!$L$4719:$L$4852))-1</f>
        <v/>
      </c>
      <c r="F141" s="22">
        <f>EXP(SUM(Painel_diario!$L$4865:$L$4998))-1</f>
        <v/>
      </c>
    </row>
    <row r="142">
      <c r="A142" t="n">
        <v>135</v>
      </c>
      <c r="B142" s="22">
        <f>EXP(SUM(Painel_diario!$L$3580:$L$3714))-1</f>
        <v/>
      </c>
      <c r="C142" s="22">
        <f>EXP(SUM(Painel_diario!$L$4217:$L$4351))-1</f>
        <v/>
      </c>
      <c r="D142" s="22">
        <f>EXP(SUM(Painel_diario!$L$4345:$L$4479))-1</f>
        <v/>
      </c>
      <c r="E142" s="22">
        <f>EXP(SUM(Painel_diario!$L$4719:$L$4853))-1</f>
        <v/>
      </c>
      <c r="F142" s="22">
        <f>EXP(SUM(Painel_diario!$L$4865:$L$4999))-1</f>
        <v/>
      </c>
    </row>
    <row r="143">
      <c r="A143" t="n">
        <v>136</v>
      </c>
      <c r="B143" s="22">
        <f>EXP(SUM(Painel_diario!$L$3580:$L$3715))-1</f>
        <v/>
      </c>
      <c r="C143" s="22">
        <f>EXP(SUM(Painel_diario!$L$4217:$L$4352))-1</f>
        <v/>
      </c>
      <c r="D143" s="22">
        <f>EXP(SUM(Painel_diario!$L$4345:$L$4480))-1</f>
        <v/>
      </c>
      <c r="E143" s="22">
        <f>EXP(SUM(Painel_diario!$L$4719:$L$4854))-1</f>
        <v/>
      </c>
      <c r="F143" s="22">
        <f>EXP(SUM(Painel_diario!$L$4865:$L$5000))-1</f>
        <v/>
      </c>
    </row>
    <row r="144">
      <c r="A144" t="n">
        <v>137</v>
      </c>
      <c r="B144" s="22">
        <f>EXP(SUM(Painel_diario!$L$3580:$L$3716))-1</f>
        <v/>
      </c>
      <c r="C144" s="22">
        <f>EXP(SUM(Painel_diario!$L$4217:$L$4353))-1</f>
        <v/>
      </c>
      <c r="D144" s="22">
        <f>EXP(SUM(Painel_diario!$L$4345:$L$4481))-1</f>
        <v/>
      </c>
      <c r="E144" s="22">
        <f>EXP(SUM(Painel_diario!$L$4719:$L$4855))-1</f>
        <v/>
      </c>
      <c r="F144" s="22">
        <f>EXP(SUM(Painel_diario!$L$4865:$L$5001))-1</f>
        <v/>
      </c>
    </row>
    <row r="145">
      <c r="A145" t="n">
        <v>138</v>
      </c>
      <c r="B145" s="22">
        <f>EXP(SUM(Painel_diario!$L$3580:$L$3717))-1</f>
        <v/>
      </c>
      <c r="C145" s="22">
        <f>EXP(SUM(Painel_diario!$L$4217:$L$4354))-1</f>
        <v/>
      </c>
      <c r="D145" s="22">
        <f>EXP(SUM(Painel_diario!$L$4345:$L$4482))-1</f>
        <v/>
      </c>
      <c r="E145" s="22">
        <f>EXP(SUM(Painel_diario!$L$4719:$L$4856))-1</f>
        <v/>
      </c>
      <c r="F145" s="22">
        <f>EXP(SUM(Painel_diario!$L$4865:$L$5002))-1</f>
        <v/>
      </c>
    </row>
    <row r="146">
      <c r="A146" t="n">
        <v>139</v>
      </c>
      <c r="B146" s="22">
        <f>EXP(SUM(Painel_diario!$L$3580:$L$3718))-1</f>
        <v/>
      </c>
      <c r="C146" s="22">
        <f>EXP(SUM(Painel_diario!$L$4217:$L$4355))-1</f>
        <v/>
      </c>
      <c r="D146" s="22">
        <f>EXP(SUM(Painel_diario!$L$4345:$L$4483))-1</f>
        <v/>
      </c>
      <c r="E146" s="22">
        <f>EXP(SUM(Painel_diario!$L$4719:$L$4857))-1</f>
        <v/>
      </c>
      <c r="F146" s="22">
        <f>EXP(SUM(Painel_diario!$L$4865:$L$5003))-1</f>
        <v/>
      </c>
    </row>
    <row r="147">
      <c r="A147" t="n">
        <v>140</v>
      </c>
      <c r="B147" s="22">
        <f>EXP(SUM(Painel_diario!$L$3580:$L$3719))-1</f>
        <v/>
      </c>
      <c r="C147" s="22">
        <f>EXP(SUM(Painel_diario!$L$4217:$L$4356))-1</f>
        <v/>
      </c>
      <c r="D147" s="22">
        <f>EXP(SUM(Painel_diario!$L$4345:$L$4484))-1</f>
        <v/>
      </c>
      <c r="E147" s="22">
        <f>EXP(SUM(Painel_diario!$L$4719:$L$4858))-1</f>
        <v/>
      </c>
      <c r="F147" s="22">
        <f>EXP(SUM(Painel_diario!$L$4865:$L$5004))-1</f>
        <v/>
      </c>
    </row>
    <row r="148">
      <c r="A148" t="n">
        <v>141</v>
      </c>
      <c r="B148" s="22">
        <f>EXP(SUM(Painel_diario!$L$3580:$L$3720))-1</f>
        <v/>
      </c>
      <c r="C148" s="22">
        <f>EXP(SUM(Painel_diario!$L$4217:$L$4357))-1</f>
        <v/>
      </c>
      <c r="D148" s="22">
        <f>EXP(SUM(Painel_diario!$L$4345:$L$4485))-1</f>
        <v/>
      </c>
      <c r="E148" s="22">
        <f>EXP(SUM(Painel_diario!$L$4719:$L$4859))-1</f>
        <v/>
      </c>
      <c r="F148" s="22">
        <f>EXP(SUM(Painel_diario!$L$4865:$L$5005))-1</f>
        <v/>
      </c>
    </row>
    <row r="149">
      <c r="A149" t="n">
        <v>142</v>
      </c>
      <c r="B149" s="22">
        <f>EXP(SUM(Painel_diario!$L$3580:$L$3721))-1</f>
        <v/>
      </c>
      <c r="C149" s="22">
        <f>EXP(SUM(Painel_diario!$L$4217:$L$4358))-1</f>
        <v/>
      </c>
      <c r="D149" s="22">
        <f>EXP(SUM(Painel_diario!$L$4345:$L$4486))-1</f>
        <v/>
      </c>
      <c r="E149" s="22">
        <f>EXP(SUM(Painel_diario!$L$4719:$L$4860))-1</f>
        <v/>
      </c>
      <c r="F149" s="22">
        <f>EXP(SUM(Painel_diario!$L$4865:$L$5006))-1</f>
        <v/>
      </c>
    </row>
    <row r="150">
      <c r="A150" t="n">
        <v>143</v>
      </c>
      <c r="B150" s="22">
        <f>EXP(SUM(Painel_diario!$L$3580:$L$3722))-1</f>
        <v/>
      </c>
      <c r="C150" s="22">
        <f>EXP(SUM(Painel_diario!$L$4217:$L$4359))-1</f>
        <v/>
      </c>
      <c r="D150" s="22">
        <f>EXP(SUM(Painel_diario!$L$4345:$L$4487))-1</f>
        <v/>
      </c>
      <c r="E150" s="22">
        <f>EXP(SUM(Painel_diario!$L$4719:$L$4861))-1</f>
        <v/>
      </c>
      <c r="F150" s="22">
        <f>EXP(SUM(Painel_diario!$L$4865:$L$5007))-1</f>
        <v/>
      </c>
    </row>
    <row r="151">
      <c r="A151" t="n">
        <v>144</v>
      </c>
      <c r="B151" s="22">
        <f>EXP(SUM(Painel_diario!$L$3580:$L$3723))-1</f>
        <v/>
      </c>
      <c r="C151" s="22">
        <f>EXP(SUM(Painel_diario!$L$4217:$L$4360))-1</f>
        <v/>
      </c>
      <c r="D151" s="22">
        <f>EXP(SUM(Painel_diario!$L$4345:$L$4488))-1</f>
        <v/>
      </c>
      <c r="E151" s="22">
        <f>EXP(SUM(Painel_diario!$L$4719:$L$4862))-1</f>
        <v/>
      </c>
      <c r="F151" s="22">
        <f>EXP(SUM(Painel_diario!$L$4865:$L$5008))-1</f>
        <v/>
      </c>
    </row>
    <row r="152">
      <c r="A152" t="n">
        <v>145</v>
      </c>
      <c r="B152" s="22">
        <f>EXP(SUM(Painel_diario!$L$3580:$L$3724))-1</f>
        <v/>
      </c>
      <c r="C152" s="22">
        <f>EXP(SUM(Painel_diario!$L$4217:$L$4361))-1</f>
        <v/>
      </c>
      <c r="D152" s="22">
        <f>EXP(SUM(Painel_diario!$L$4345:$L$4489))-1</f>
        <v/>
      </c>
      <c r="E152" s="22">
        <f>EXP(SUM(Painel_diario!$L$4719:$L$4863))-1</f>
        <v/>
      </c>
      <c r="F152" s="22">
        <f>EXP(SUM(Painel_diario!$L$4865:$L$5009))-1</f>
        <v/>
      </c>
    </row>
    <row r="153">
      <c r="A153" t="n">
        <v>146</v>
      </c>
      <c r="B153" s="22">
        <f>EXP(SUM(Painel_diario!$L$3580:$L$3725))-1</f>
        <v/>
      </c>
      <c r="C153" s="22">
        <f>EXP(SUM(Painel_diario!$L$4217:$L$4362))-1</f>
        <v/>
      </c>
      <c r="D153" s="22">
        <f>EXP(SUM(Painel_diario!$L$4345:$L$4490))-1</f>
        <v/>
      </c>
      <c r="E153" s="22">
        <f>EXP(SUM(Painel_diario!$L$4719:$L$4864))-1</f>
        <v/>
      </c>
      <c r="F153" s="22">
        <f>EXP(SUM(Painel_diario!$L$4865:$L$5010))-1</f>
        <v/>
      </c>
    </row>
    <row r="154">
      <c r="A154" t="n">
        <v>147</v>
      </c>
      <c r="B154" s="22">
        <f>EXP(SUM(Painel_diario!$L$3580:$L$3726))-1</f>
        <v/>
      </c>
      <c r="C154" s="22">
        <f>EXP(SUM(Painel_diario!$L$4217:$L$4363))-1</f>
        <v/>
      </c>
      <c r="D154" s="22">
        <f>EXP(SUM(Painel_diario!$L$4345:$L$4491))-1</f>
        <v/>
      </c>
      <c r="E154" s="22">
        <f>EXP(SUM(Painel_diario!$L$4719:$L$4865))-1</f>
        <v/>
      </c>
      <c r="F154" s="22">
        <f>EXP(SUM(Painel_diario!$L$4865:$L$5011))-1</f>
        <v/>
      </c>
    </row>
    <row r="155">
      <c r="A155" t="n">
        <v>148</v>
      </c>
      <c r="B155" s="22">
        <f>EXP(SUM(Painel_diario!$L$3580:$L$3727))-1</f>
        <v/>
      </c>
      <c r="C155" s="22">
        <f>EXP(SUM(Painel_diario!$L$4217:$L$4364))-1</f>
        <v/>
      </c>
      <c r="D155" s="22">
        <f>EXP(SUM(Painel_diario!$L$4345:$L$4492))-1</f>
        <v/>
      </c>
      <c r="E155" s="22">
        <f>EXP(SUM(Painel_diario!$L$4719:$L$4866))-1</f>
        <v/>
      </c>
      <c r="F155" s="22">
        <f>EXP(SUM(Painel_diario!$L$4865:$L$5012))-1</f>
        <v/>
      </c>
    </row>
    <row r="156">
      <c r="A156" t="n">
        <v>149</v>
      </c>
      <c r="B156" s="22">
        <f>EXP(SUM(Painel_diario!$L$3580:$L$3728))-1</f>
        <v/>
      </c>
      <c r="C156" s="22">
        <f>EXP(SUM(Painel_diario!$L$4217:$L$4365))-1</f>
        <v/>
      </c>
      <c r="D156" s="22">
        <f>EXP(SUM(Painel_diario!$L$4345:$L$4493))-1</f>
        <v/>
      </c>
      <c r="E156" s="22">
        <f>EXP(SUM(Painel_diario!$L$4719:$L$4867))-1</f>
        <v/>
      </c>
      <c r="F156" s="22">
        <f>EXP(SUM(Painel_diario!$L$4865:$L$5013))-1</f>
        <v/>
      </c>
    </row>
    <row r="157">
      <c r="A157" t="n">
        <v>150</v>
      </c>
      <c r="B157" s="22">
        <f>EXP(SUM(Painel_diario!$L$3580:$L$3729))-1</f>
        <v/>
      </c>
      <c r="C157" s="22">
        <f>EXP(SUM(Painel_diario!$L$4217:$L$4366))-1</f>
        <v/>
      </c>
      <c r="D157" s="22">
        <f>EXP(SUM(Painel_diario!$L$4345:$L$4494))-1</f>
        <v/>
      </c>
      <c r="E157" s="22">
        <f>EXP(SUM(Painel_diario!$L$4719:$L$4868))-1</f>
        <v/>
      </c>
      <c r="F157" s="22">
        <f>EXP(SUM(Painel_diario!$L$4865:$L$5014))-1</f>
        <v/>
      </c>
    </row>
    <row r="158">
      <c r="A158" t="n">
        <v>151</v>
      </c>
      <c r="B158" s="22">
        <f>EXP(SUM(Painel_diario!$L$3580:$L$3730))-1</f>
        <v/>
      </c>
      <c r="C158" s="22">
        <f>EXP(SUM(Painel_diario!$L$4217:$L$4367))-1</f>
        <v/>
      </c>
      <c r="D158" s="22">
        <f>EXP(SUM(Painel_diario!$L$4345:$L$4495))-1</f>
        <v/>
      </c>
      <c r="E158" s="22">
        <f>EXP(SUM(Painel_diario!$L$4719:$L$4869))-1</f>
        <v/>
      </c>
      <c r="F158" s="22">
        <f>EXP(SUM(Painel_diario!$L$4865:$L$5015))-1</f>
        <v/>
      </c>
    </row>
    <row r="159">
      <c r="A159" t="n">
        <v>152</v>
      </c>
      <c r="B159" s="22">
        <f>EXP(SUM(Painel_diario!$L$3580:$L$3731))-1</f>
        <v/>
      </c>
      <c r="C159" s="22">
        <f>EXP(SUM(Painel_diario!$L$4217:$L$4368))-1</f>
        <v/>
      </c>
      <c r="D159" s="22">
        <f>EXP(SUM(Painel_diario!$L$4345:$L$4496))-1</f>
        <v/>
      </c>
      <c r="E159" s="22">
        <f>EXP(SUM(Painel_diario!$L$4719:$L$4870))-1</f>
        <v/>
      </c>
      <c r="F159" s="22">
        <f>EXP(SUM(Painel_diario!$L$4865:$L$5016))-1</f>
        <v/>
      </c>
    </row>
    <row r="160">
      <c r="A160" t="n">
        <v>153</v>
      </c>
      <c r="B160" s="22">
        <f>EXP(SUM(Painel_diario!$L$3580:$L$3732))-1</f>
        <v/>
      </c>
      <c r="C160" s="22">
        <f>EXP(SUM(Painel_diario!$L$4217:$L$4369))-1</f>
        <v/>
      </c>
      <c r="D160" s="22">
        <f>EXP(SUM(Painel_diario!$L$4345:$L$4497))-1</f>
        <v/>
      </c>
      <c r="E160" s="22">
        <f>EXP(SUM(Painel_diario!$L$4719:$L$4871))-1</f>
        <v/>
      </c>
      <c r="F160" s="22">
        <f>EXP(SUM(Painel_diario!$L$4865:$L$5017))-1</f>
        <v/>
      </c>
    </row>
    <row r="161">
      <c r="A161" t="n">
        <v>154</v>
      </c>
      <c r="B161" s="22">
        <f>EXP(SUM(Painel_diario!$L$3580:$L$3733))-1</f>
        <v/>
      </c>
      <c r="C161" s="22">
        <f>EXP(SUM(Painel_diario!$L$4217:$L$4370))-1</f>
        <v/>
      </c>
      <c r="D161" s="22">
        <f>EXP(SUM(Painel_diario!$L$4345:$L$4498))-1</f>
        <v/>
      </c>
      <c r="E161" s="22">
        <f>EXP(SUM(Painel_diario!$L$4719:$L$4872))-1</f>
        <v/>
      </c>
      <c r="F161" s="22">
        <f>EXP(SUM(Painel_diario!$L$4865:$L$5018))-1</f>
        <v/>
      </c>
    </row>
    <row r="162">
      <c r="A162" t="n">
        <v>155</v>
      </c>
      <c r="B162" s="22">
        <f>EXP(SUM(Painel_diario!$L$3580:$L$3734))-1</f>
        <v/>
      </c>
      <c r="C162" s="22">
        <f>EXP(SUM(Painel_diario!$L$4217:$L$4371))-1</f>
        <v/>
      </c>
      <c r="D162" s="22">
        <f>EXP(SUM(Painel_diario!$L$4345:$L$4499))-1</f>
        <v/>
      </c>
      <c r="E162" s="22">
        <f>EXP(SUM(Painel_diario!$L$4719:$L$4873))-1</f>
        <v/>
      </c>
      <c r="F162" s="22">
        <f>EXP(SUM(Painel_diario!$L$4865:$L$5019))-1</f>
        <v/>
      </c>
    </row>
    <row r="163">
      <c r="A163" t="n">
        <v>156</v>
      </c>
      <c r="B163" s="22">
        <f>EXP(SUM(Painel_diario!$L$3580:$L$3735))-1</f>
        <v/>
      </c>
      <c r="C163" s="22">
        <f>EXP(SUM(Painel_diario!$L$4217:$L$4372))-1</f>
        <v/>
      </c>
      <c r="D163" s="22">
        <f>EXP(SUM(Painel_diario!$L$4345:$L$4500))-1</f>
        <v/>
      </c>
      <c r="E163" s="22">
        <f>EXP(SUM(Painel_diario!$L$4719:$L$4874))-1</f>
        <v/>
      </c>
      <c r="F163" s="22">
        <f>EXP(SUM(Painel_diario!$L$4865:$L$5020))-1</f>
        <v/>
      </c>
    </row>
    <row r="164">
      <c r="A164" t="n">
        <v>157</v>
      </c>
      <c r="B164" s="22">
        <f>EXP(SUM(Painel_diario!$L$3580:$L$3736))-1</f>
        <v/>
      </c>
      <c r="C164" s="22">
        <f>EXP(SUM(Painel_diario!$L$4217:$L$4373))-1</f>
        <v/>
      </c>
      <c r="D164" s="22">
        <f>EXP(SUM(Painel_diario!$L$4345:$L$4501))-1</f>
        <v/>
      </c>
      <c r="E164" s="22">
        <f>EXP(SUM(Painel_diario!$L$4719:$L$4875))-1</f>
        <v/>
      </c>
      <c r="F164" s="22">
        <f>EXP(SUM(Painel_diario!$L$4865:$L$5021))-1</f>
        <v/>
      </c>
    </row>
    <row r="165">
      <c r="A165" t="n">
        <v>158</v>
      </c>
      <c r="B165" s="22">
        <f>EXP(SUM(Painel_diario!$L$3580:$L$3737))-1</f>
        <v/>
      </c>
      <c r="C165" s="22">
        <f>EXP(SUM(Painel_diario!$L$4217:$L$4374))-1</f>
        <v/>
      </c>
      <c r="D165" s="22">
        <f>EXP(SUM(Painel_diario!$L$4345:$L$4502))-1</f>
        <v/>
      </c>
      <c r="E165" s="22">
        <f>EXP(SUM(Painel_diario!$L$4719:$L$4876))-1</f>
        <v/>
      </c>
      <c r="F165" s="22">
        <f>EXP(SUM(Painel_diario!$L$4865:$L$5022))-1</f>
        <v/>
      </c>
    </row>
    <row r="166">
      <c r="A166" t="n">
        <v>159</v>
      </c>
      <c r="B166" s="22">
        <f>EXP(SUM(Painel_diario!$L$3580:$L$3738))-1</f>
        <v/>
      </c>
      <c r="C166" s="22">
        <f>EXP(SUM(Painel_diario!$L$4217:$L$4375))-1</f>
        <v/>
      </c>
      <c r="D166" s="22">
        <f>EXP(SUM(Painel_diario!$L$4345:$L$4503))-1</f>
        <v/>
      </c>
      <c r="E166" s="22">
        <f>EXP(SUM(Painel_diario!$L$4719:$L$4877))-1</f>
        <v/>
      </c>
      <c r="F166" s="22">
        <f>EXP(SUM(Painel_diario!$L$4865:$L$5023))-1</f>
        <v/>
      </c>
    </row>
    <row r="167">
      <c r="A167" t="n">
        <v>160</v>
      </c>
      <c r="B167" s="22">
        <f>EXP(SUM(Painel_diario!$L$3580:$L$3739))-1</f>
        <v/>
      </c>
      <c r="C167" s="22">
        <f>EXP(SUM(Painel_diario!$L$4217:$L$4376))-1</f>
        <v/>
      </c>
      <c r="D167" s="22">
        <f>EXP(SUM(Painel_diario!$L$4345:$L$4504))-1</f>
        <v/>
      </c>
      <c r="E167" s="22">
        <f>EXP(SUM(Painel_diario!$L$4719:$L$4878))-1</f>
        <v/>
      </c>
      <c r="F167" s="22">
        <f>EXP(SUM(Painel_diario!$L$4865:$L$5024))-1</f>
        <v/>
      </c>
    </row>
    <row r="168">
      <c r="A168" t="n">
        <v>161</v>
      </c>
      <c r="B168" s="22">
        <f>EXP(SUM(Painel_diario!$L$3580:$L$3740))-1</f>
        <v/>
      </c>
      <c r="C168" s="22">
        <f>EXP(SUM(Painel_diario!$L$4217:$L$4377))-1</f>
        <v/>
      </c>
      <c r="D168" s="22">
        <f>EXP(SUM(Painel_diario!$L$4345:$L$4505))-1</f>
        <v/>
      </c>
      <c r="E168" s="22">
        <f>EXP(SUM(Painel_diario!$L$4719:$L$4879))-1</f>
        <v/>
      </c>
      <c r="F168" s="22">
        <f>EXP(SUM(Painel_diario!$L$4865:$L$5025))-1</f>
        <v/>
      </c>
    </row>
    <row r="169">
      <c r="A169" t="n">
        <v>162</v>
      </c>
      <c r="B169" s="22">
        <f>EXP(SUM(Painel_diario!$L$3580:$L$3741))-1</f>
        <v/>
      </c>
      <c r="C169" s="22">
        <f>EXP(SUM(Painel_diario!$L$4217:$L$4378))-1</f>
        <v/>
      </c>
      <c r="D169" s="22">
        <f>EXP(SUM(Painel_diario!$L$4345:$L$4506))-1</f>
        <v/>
      </c>
      <c r="E169" s="22">
        <f>EXP(SUM(Painel_diario!$L$4719:$L$4880))-1</f>
        <v/>
      </c>
      <c r="F169" s="22">
        <f>EXP(SUM(Painel_diario!$L$4865:$L$5026))-1</f>
        <v/>
      </c>
    </row>
    <row r="170">
      <c r="A170" t="n">
        <v>163</v>
      </c>
      <c r="B170" s="22">
        <f>EXP(SUM(Painel_diario!$L$3580:$L$3742))-1</f>
        <v/>
      </c>
      <c r="C170" s="22">
        <f>EXP(SUM(Painel_diario!$L$4217:$L$4379))-1</f>
        <v/>
      </c>
      <c r="D170" s="22">
        <f>EXP(SUM(Painel_diario!$L$4345:$L$4507))-1</f>
        <v/>
      </c>
      <c r="E170" s="22">
        <f>EXP(SUM(Painel_diario!$L$4719:$L$4881))-1</f>
        <v/>
      </c>
      <c r="F170" s="22">
        <f>EXP(SUM(Painel_diario!$L$4865:$L$5027))-1</f>
        <v/>
      </c>
    </row>
    <row r="171">
      <c r="A171" t="n">
        <v>164</v>
      </c>
      <c r="B171" s="22">
        <f>EXP(SUM(Painel_diario!$L$3580:$L$3743))-1</f>
        <v/>
      </c>
      <c r="C171" s="22">
        <f>EXP(SUM(Painel_diario!$L$4217:$L$4380))-1</f>
        <v/>
      </c>
      <c r="D171" s="22">
        <f>EXP(SUM(Painel_diario!$L$4345:$L$4508))-1</f>
        <v/>
      </c>
      <c r="E171" s="22">
        <f>EXP(SUM(Painel_diario!$L$4719:$L$4882))-1</f>
        <v/>
      </c>
      <c r="F171" s="22">
        <f>EXP(SUM(Painel_diario!$L$4865:$L$5028))-1</f>
        <v/>
      </c>
    </row>
    <row r="172">
      <c r="A172" t="n">
        <v>165</v>
      </c>
      <c r="B172" s="22">
        <f>EXP(SUM(Painel_diario!$L$3580:$L$3744))-1</f>
        <v/>
      </c>
      <c r="C172" s="22">
        <f>EXP(SUM(Painel_diario!$L$4217:$L$4381))-1</f>
        <v/>
      </c>
      <c r="D172" s="22">
        <f>EXP(SUM(Painel_diario!$L$4345:$L$4509))-1</f>
        <v/>
      </c>
      <c r="E172" s="22">
        <f>EXP(SUM(Painel_diario!$L$4719:$L$4883))-1</f>
        <v/>
      </c>
      <c r="F172" s="22">
        <f>EXP(SUM(Painel_diario!$L$4865:$L$5029))-1</f>
        <v/>
      </c>
    </row>
    <row r="173">
      <c r="A173" t="n">
        <v>166</v>
      </c>
      <c r="B173" s="22">
        <f>EXP(SUM(Painel_diario!$L$3580:$L$3745))-1</f>
        <v/>
      </c>
      <c r="C173" s="22">
        <f>EXP(SUM(Painel_diario!$L$4217:$L$4382))-1</f>
        <v/>
      </c>
      <c r="D173" s="22">
        <f>EXP(SUM(Painel_diario!$L$4345:$L$4510))-1</f>
        <v/>
      </c>
      <c r="E173" s="22">
        <f>EXP(SUM(Painel_diario!$L$4719:$L$4884))-1</f>
        <v/>
      </c>
      <c r="F173" s="22">
        <f>EXP(SUM(Painel_diario!$L$4865:$L$5030))-1</f>
        <v/>
      </c>
    </row>
    <row r="174">
      <c r="A174" t="n">
        <v>167</v>
      </c>
      <c r="B174" s="22">
        <f>EXP(SUM(Painel_diario!$L$3580:$L$3746))-1</f>
        <v/>
      </c>
      <c r="C174" s="22">
        <f>EXP(SUM(Painel_diario!$L$4217:$L$4383))-1</f>
        <v/>
      </c>
      <c r="D174" s="22">
        <f>EXP(SUM(Painel_diario!$L$4345:$L$4511))-1</f>
        <v/>
      </c>
      <c r="E174" s="22">
        <f>EXP(SUM(Painel_diario!$L$4719:$L$4885))-1</f>
        <v/>
      </c>
      <c r="F174" s="22">
        <f>EXP(SUM(Painel_diario!$L$4865:$L$5031))-1</f>
        <v/>
      </c>
    </row>
    <row r="175">
      <c r="A175" t="n">
        <v>168</v>
      </c>
      <c r="B175" s="22">
        <f>EXP(SUM(Painel_diario!$L$3580:$L$3747))-1</f>
        <v/>
      </c>
      <c r="C175" s="22">
        <f>EXP(SUM(Painel_diario!$L$4217:$L$4384))-1</f>
        <v/>
      </c>
      <c r="D175" s="22">
        <f>EXP(SUM(Painel_diario!$L$4345:$L$4512))-1</f>
        <v/>
      </c>
      <c r="E175" s="22">
        <f>EXP(SUM(Painel_diario!$L$4719:$L$4886))-1</f>
        <v/>
      </c>
      <c r="F175" s="22">
        <f>EXP(SUM(Painel_diario!$L$4865:$L$5032))-1</f>
        <v/>
      </c>
    </row>
    <row r="176">
      <c r="A176" t="n">
        <v>169</v>
      </c>
      <c r="B176" s="22">
        <f>EXP(SUM(Painel_diario!$L$3580:$L$3748))-1</f>
        <v/>
      </c>
      <c r="C176" s="22">
        <f>EXP(SUM(Painel_diario!$L$4217:$L$4385))-1</f>
        <v/>
      </c>
      <c r="D176" s="22">
        <f>EXP(SUM(Painel_diario!$L$4345:$L$4513))-1</f>
        <v/>
      </c>
      <c r="E176" s="22">
        <f>EXP(SUM(Painel_diario!$L$4719:$L$4887))-1</f>
        <v/>
      </c>
      <c r="F176" s="22">
        <f>EXP(SUM(Painel_diario!$L$4865:$L$5033))-1</f>
        <v/>
      </c>
    </row>
    <row r="177">
      <c r="A177" t="n">
        <v>170</v>
      </c>
      <c r="B177" s="22">
        <f>EXP(SUM(Painel_diario!$L$3580:$L$3749))-1</f>
        <v/>
      </c>
      <c r="C177" s="22">
        <f>EXP(SUM(Painel_diario!$L$4217:$L$4386))-1</f>
        <v/>
      </c>
      <c r="D177" s="22">
        <f>EXP(SUM(Painel_diario!$L$4345:$L$4514))-1</f>
        <v/>
      </c>
      <c r="E177" s="22">
        <f>EXP(SUM(Painel_diario!$L$4719:$L$4888))-1</f>
        <v/>
      </c>
      <c r="F177" s="22">
        <f>EXP(SUM(Painel_diario!$L$4865:$L$5034))-1</f>
        <v/>
      </c>
    </row>
    <row r="178">
      <c r="A178" t="n">
        <v>171</v>
      </c>
      <c r="B178" s="22">
        <f>EXP(SUM(Painel_diario!$L$3580:$L$3750))-1</f>
        <v/>
      </c>
      <c r="C178" s="22">
        <f>EXP(SUM(Painel_diario!$L$4217:$L$4387))-1</f>
        <v/>
      </c>
      <c r="D178" s="22">
        <f>EXP(SUM(Painel_diario!$L$4345:$L$4515))-1</f>
        <v/>
      </c>
      <c r="E178" s="22">
        <f>EXP(SUM(Painel_diario!$L$4719:$L$4889))-1</f>
        <v/>
      </c>
      <c r="F178" s="22">
        <f>EXP(SUM(Painel_diario!$L$4865:$L$5035))-1</f>
        <v/>
      </c>
    </row>
    <row r="179">
      <c r="A179" t="n">
        <v>172</v>
      </c>
      <c r="B179" s="22">
        <f>EXP(SUM(Painel_diario!$L$3580:$L$3751))-1</f>
        <v/>
      </c>
      <c r="C179" s="22">
        <f>EXP(SUM(Painel_diario!$L$4217:$L$4388))-1</f>
        <v/>
      </c>
      <c r="D179" s="22">
        <f>EXP(SUM(Painel_diario!$L$4345:$L$4516))-1</f>
        <v/>
      </c>
      <c r="E179" s="22">
        <f>EXP(SUM(Painel_diario!$L$4719:$L$4890))-1</f>
        <v/>
      </c>
      <c r="F179" s="22">
        <f>EXP(SUM(Painel_diario!$L$4865:$L$5036))-1</f>
        <v/>
      </c>
    </row>
    <row r="180">
      <c r="A180" t="n">
        <v>173</v>
      </c>
      <c r="B180" s="22">
        <f>EXP(SUM(Painel_diario!$L$3580:$L$3752))-1</f>
        <v/>
      </c>
      <c r="C180" s="22">
        <f>EXP(SUM(Painel_diario!$L$4217:$L$4389))-1</f>
        <v/>
      </c>
      <c r="D180" s="22">
        <f>EXP(SUM(Painel_diario!$L$4345:$L$4517))-1</f>
        <v/>
      </c>
      <c r="E180" s="22">
        <f>EXP(SUM(Painel_diario!$L$4719:$L$4891))-1</f>
        <v/>
      </c>
      <c r="F180" s="22">
        <f>EXP(SUM(Painel_diario!$L$4865:$L$5037))-1</f>
        <v/>
      </c>
    </row>
    <row r="181">
      <c r="A181" t="n">
        <v>174</v>
      </c>
      <c r="B181" s="22">
        <f>EXP(SUM(Painel_diario!$L$3580:$L$3753))-1</f>
        <v/>
      </c>
      <c r="C181" s="22">
        <f>EXP(SUM(Painel_diario!$L$4217:$L$4390))-1</f>
        <v/>
      </c>
      <c r="D181" s="22">
        <f>EXP(SUM(Painel_diario!$L$4345:$L$4518))-1</f>
        <v/>
      </c>
      <c r="E181" s="22">
        <f>EXP(SUM(Painel_diario!$L$4719:$L$4892))-1</f>
        <v/>
      </c>
      <c r="F181" s="16" t="n"/>
    </row>
    <row r="182">
      <c r="A182" t="n">
        <v>175</v>
      </c>
      <c r="B182" s="22">
        <f>EXP(SUM(Painel_diario!$L$3580:$L$3754))-1</f>
        <v/>
      </c>
      <c r="C182" s="22">
        <f>EXP(SUM(Painel_diario!$L$4217:$L$4391))-1</f>
        <v/>
      </c>
      <c r="D182" s="22">
        <f>EXP(SUM(Painel_diario!$L$4345:$L$4519))-1</f>
        <v/>
      </c>
      <c r="E182" s="22">
        <f>EXP(SUM(Painel_diario!$L$4719:$L$4893))-1</f>
        <v/>
      </c>
      <c r="F182" s="16" t="n"/>
    </row>
    <row r="183">
      <c r="A183" t="n">
        <v>176</v>
      </c>
      <c r="B183" s="22">
        <f>EXP(SUM(Painel_diario!$L$3580:$L$3755))-1</f>
        <v/>
      </c>
      <c r="C183" s="22">
        <f>EXP(SUM(Painel_diario!$L$4217:$L$4392))-1</f>
        <v/>
      </c>
      <c r="D183" s="22">
        <f>EXP(SUM(Painel_diario!$L$4345:$L$4520))-1</f>
        <v/>
      </c>
      <c r="E183" s="22">
        <f>EXP(SUM(Painel_diario!$L$4719:$L$4894))-1</f>
        <v/>
      </c>
      <c r="F183" s="16" t="n"/>
    </row>
    <row r="184">
      <c r="A184" t="n">
        <v>177</v>
      </c>
      <c r="B184" s="22">
        <f>EXP(SUM(Painel_diario!$L$3580:$L$3756))-1</f>
        <v/>
      </c>
      <c r="C184" s="22">
        <f>EXP(SUM(Painel_diario!$L$4217:$L$4393))-1</f>
        <v/>
      </c>
      <c r="D184" s="22">
        <f>EXP(SUM(Painel_diario!$L$4345:$L$4521))-1</f>
        <v/>
      </c>
      <c r="E184" s="22">
        <f>EXP(SUM(Painel_diario!$L$4719:$L$4895))-1</f>
        <v/>
      </c>
      <c r="F184" s="16" t="n"/>
    </row>
    <row r="185">
      <c r="A185" t="n">
        <v>178</v>
      </c>
      <c r="B185" s="22">
        <f>EXP(SUM(Painel_diario!$L$3580:$L$3757))-1</f>
        <v/>
      </c>
      <c r="C185" s="22">
        <f>EXP(SUM(Painel_diario!$L$4217:$L$4394))-1</f>
        <v/>
      </c>
      <c r="D185" s="22">
        <f>EXP(SUM(Painel_diario!$L$4345:$L$4522))-1</f>
        <v/>
      </c>
      <c r="E185" s="22">
        <f>EXP(SUM(Painel_diario!$L$4719:$L$4896))-1</f>
        <v/>
      </c>
      <c r="F185" s="16" t="n"/>
    </row>
    <row r="186">
      <c r="A186" t="n">
        <v>179</v>
      </c>
      <c r="B186" s="22">
        <f>EXP(SUM(Painel_diario!$L$3580:$L$3758))-1</f>
        <v/>
      </c>
      <c r="C186" s="22">
        <f>EXP(SUM(Painel_diario!$L$4217:$L$4395))-1</f>
        <v/>
      </c>
      <c r="D186" s="22">
        <f>EXP(SUM(Painel_diario!$L$4345:$L$4523))-1</f>
        <v/>
      </c>
      <c r="E186" s="22">
        <f>EXP(SUM(Painel_diario!$L$4719:$L$4897))-1</f>
        <v/>
      </c>
      <c r="F186" s="16" t="n"/>
    </row>
    <row r="187">
      <c r="A187" t="n">
        <v>180</v>
      </c>
      <c r="B187" s="22">
        <f>EXP(SUM(Painel_diario!$L$3580:$L$3759))-1</f>
        <v/>
      </c>
      <c r="C187" s="22">
        <f>EXP(SUM(Painel_diario!$L$4217:$L$4396))-1</f>
        <v/>
      </c>
      <c r="D187" s="22">
        <f>EXP(SUM(Painel_diario!$L$4345:$L$4524))-1</f>
        <v/>
      </c>
      <c r="E187" s="22">
        <f>EXP(SUM(Painel_diario!$L$4719:$L$4898))-1</f>
        <v/>
      </c>
      <c r="F187" s="16" t="n"/>
    </row>
    <row r="188">
      <c r="A188" t="n">
        <v>181</v>
      </c>
      <c r="B188" s="22">
        <f>EXP(SUM(Painel_diario!$L$3580:$L$3760))-1</f>
        <v/>
      </c>
      <c r="C188" s="22">
        <f>EXP(SUM(Painel_diario!$L$4217:$L$4397))-1</f>
        <v/>
      </c>
      <c r="D188" s="22">
        <f>EXP(SUM(Painel_diario!$L$4345:$L$4525))-1</f>
        <v/>
      </c>
      <c r="E188" s="22">
        <f>EXP(SUM(Painel_diario!$L$4719:$L$4899))-1</f>
        <v/>
      </c>
      <c r="F188" s="16" t="n"/>
    </row>
    <row r="189">
      <c r="A189" t="n">
        <v>182</v>
      </c>
      <c r="B189" s="22">
        <f>EXP(SUM(Painel_diario!$L$3580:$L$3761))-1</f>
        <v/>
      </c>
      <c r="C189" s="22">
        <f>EXP(SUM(Painel_diario!$L$4217:$L$4398))-1</f>
        <v/>
      </c>
      <c r="D189" s="22">
        <f>EXP(SUM(Painel_diario!$L$4345:$L$4526))-1</f>
        <v/>
      </c>
      <c r="E189" s="22">
        <f>EXP(SUM(Painel_diario!$L$4719:$L$4900))-1</f>
        <v/>
      </c>
      <c r="F189" s="16" t="n"/>
    </row>
    <row r="190">
      <c r="A190" t="n">
        <v>183</v>
      </c>
      <c r="B190" s="22">
        <f>EXP(SUM(Painel_diario!$L$3580:$L$3762))-1</f>
        <v/>
      </c>
      <c r="C190" s="22">
        <f>EXP(SUM(Painel_diario!$L$4217:$L$4399))-1</f>
        <v/>
      </c>
      <c r="D190" s="22">
        <f>EXP(SUM(Painel_diario!$L$4345:$L$4527))-1</f>
        <v/>
      </c>
      <c r="E190" s="22">
        <f>EXP(SUM(Painel_diario!$L$4719:$L$4901))-1</f>
        <v/>
      </c>
      <c r="F190" s="16" t="n"/>
    </row>
    <row r="191">
      <c r="A191" t="n">
        <v>184</v>
      </c>
      <c r="B191" s="22">
        <f>EXP(SUM(Painel_diario!$L$3580:$L$3763))-1</f>
        <v/>
      </c>
      <c r="C191" s="22">
        <f>EXP(SUM(Painel_diario!$L$4217:$L$4400))-1</f>
        <v/>
      </c>
      <c r="D191" s="22">
        <f>EXP(SUM(Painel_diario!$L$4345:$L$4528))-1</f>
        <v/>
      </c>
      <c r="E191" s="22">
        <f>EXP(SUM(Painel_diario!$L$4719:$L$4902))-1</f>
        <v/>
      </c>
      <c r="F191" s="16" t="n"/>
    </row>
    <row r="192">
      <c r="A192" t="n">
        <v>185</v>
      </c>
      <c r="B192" s="22">
        <f>EXP(SUM(Painel_diario!$L$3580:$L$3764))-1</f>
        <v/>
      </c>
      <c r="C192" s="22">
        <f>EXP(SUM(Painel_diario!$L$4217:$L$4401))-1</f>
        <v/>
      </c>
      <c r="D192" s="22">
        <f>EXP(SUM(Painel_diario!$L$4345:$L$4529))-1</f>
        <v/>
      </c>
      <c r="E192" s="22">
        <f>EXP(SUM(Painel_diario!$L$4719:$L$4903))-1</f>
        <v/>
      </c>
      <c r="F192" s="16" t="n"/>
    </row>
    <row r="193">
      <c r="A193" t="n">
        <v>186</v>
      </c>
      <c r="B193" s="22">
        <f>EXP(SUM(Painel_diario!$L$3580:$L$3765))-1</f>
        <v/>
      </c>
      <c r="C193" s="22">
        <f>EXP(SUM(Painel_diario!$L$4217:$L$4402))-1</f>
        <v/>
      </c>
      <c r="D193" s="22">
        <f>EXP(SUM(Painel_diario!$L$4345:$L$4530))-1</f>
        <v/>
      </c>
      <c r="E193" s="22">
        <f>EXP(SUM(Painel_diario!$L$4719:$L$4904))-1</f>
        <v/>
      </c>
      <c r="F193" s="16" t="n"/>
    </row>
    <row r="194">
      <c r="A194" t="n">
        <v>187</v>
      </c>
      <c r="B194" s="22">
        <f>EXP(SUM(Painel_diario!$L$3580:$L$3766))-1</f>
        <v/>
      </c>
      <c r="C194" s="22">
        <f>EXP(SUM(Painel_diario!$L$4217:$L$4403))-1</f>
        <v/>
      </c>
      <c r="D194" s="22">
        <f>EXP(SUM(Painel_diario!$L$4345:$L$4531))-1</f>
        <v/>
      </c>
      <c r="E194" s="22">
        <f>EXP(SUM(Painel_diario!$L$4719:$L$4905))-1</f>
        <v/>
      </c>
      <c r="F194" s="16" t="n"/>
    </row>
    <row r="195">
      <c r="A195" t="n">
        <v>188</v>
      </c>
      <c r="B195" s="22">
        <f>EXP(SUM(Painel_diario!$L$3580:$L$3767))-1</f>
        <v/>
      </c>
      <c r="C195" s="22">
        <f>EXP(SUM(Painel_diario!$L$4217:$L$4404))-1</f>
        <v/>
      </c>
      <c r="D195" s="22">
        <f>EXP(SUM(Painel_diario!$L$4345:$L$4532))-1</f>
        <v/>
      </c>
      <c r="E195" s="22">
        <f>EXP(SUM(Painel_diario!$L$4719:$L$4906))-1</f>
        <v/>
      </c>
      <c r="F195" s="16" t="n"/>
    </row>
    <row r="196">
      <c r="A196" t="n">
        <v>189</v>
      </c>
      <c r="B196" s="22">
        <f>EXP(SUM(Painel_diario!$L$3580:$L$3768))-1</f>
        <v/>
      </c>
      <c r="C196" s="22">
        <f>EXP(SUM(Painel_diario!$L$4217:$L$4405))-1</f>
        <v/>
      </c>
      <c r="D196" s="22">
        <f>EXP(SUM(Painel_diario!$L$4345:$L$4533))-1</f>
        <v/>
      </c>
      <c r="E196" s="22">
        <f>EXP(SUM(Painel_diario!$L$4719:$L$4907))-1</f>
        <v/>
      </c>
      <c r="F196" s="16" t="n"/>
    </row>
    <row r="197">
      <c r="A197" t="n">
        <v>190</v>
      </c>
      <c r="B197" s="22">
        <f>EXP(SUM(Painel_diario!$L$3580:$L$3769))-1</f>
        <v/>
      </c>
      <c r="C197" s="22">
        <f>EXP(SUM(Painel_diario!$L$4217:$L$4406))-1</f>
        <v/>
      </c>
      <c r="D197" s="22">
        <f>EXP(SUM(Painel_diario!$L$4345:$L$4534))-1</f>
        <v/>
      </c>
      <c r="E197" s="22">
        <f>EXP(SUM(Painel_diario!$L$4719:$L$4908))-1</f>
        <v/>
      </c>
      <c r="F197" s="16" t="n"/>
    </row>
    <row r="198">
      <c r="A198" t="n">
        <v>191</v>
      </c>
      <c r="B198" s="22">
        <f>EXP(SUM(Painel_diario!$L$3580:$L$3770))-1</f>
        <v/>
      </c>
      <c r="C198" s="22">
        <f>EXP(SUM(Painel_diario!$L$4217:$L$4407))-1</f>
        <v/>
      </c>
      <c r="D198" s="22">
        <f>EXP(SUM(Painel_diario!$L$4345:$L$4535))-1</f>
        <v/>
      </c>
      <c r="E198" s="22">
        <f>EXP(SUM(Painel_diario!$L$4719:$L$4909))-1</f>
        <v/>
      </c>
      <c r="F198" s="16" t="n"/>
    </row>
    <row r="199">
      <c r="A199" t="n">
        <v>192</v>
      </c>
      <c r="B199" s="22">
        <f>EXP(SUM(Painel_diario!$L$3580:$L$3771))-1</f>
        <v/>
      </c>
      <c r="C199" s="22">
        <f>EXP(SUM(Painel_diario!$L$4217:$L$4408))-1</f>
        <v/>
      </c>
      <c r="D199" s="22">
        <f>EXP(SUM(Painel_diario!$L$4345:$L$4536))-1</f>
        <v/>
      </c>
      <c r="E199" s="22">
        <f>EXP(SUM(Painel_diario!$L$4719:$L$4910))-1</f>
        <v/>
      </c>
      <c r="F199" s="16" t="n"/>
    </row>
    <row r="200">
      <c r="A200" t="n">
        <v>193</v>
      </c>
      <c r="B200" s="22">
        <f>EXP(SUM(Painel_diario!$L$3580:$L$3772))-1</f>
        <v/>
      </c>
      <c r="C200" s="22">
        <f>EXP(SUM(Painel_diario!$L$4217:$L$4409))-1</f>
        <v/>
      </c>
      <c r="D200" s="22">
        <f>EXP(SUM(Painel_diario!$L$4345:$L$4537))-1</f>
        <v/>
      </c>
      <c r="E200" s="22">
        <f>EXP(SUM(Painel_diario!$L$4719:$L$4911))-1</f>
        <v/>
      </c>
      <c r="F200" s="16" t="n"/>
    </row>
    <row r="201">
      <c r="A201" t="n">
        <v>194</v>
      </c>
      <c r="B201" s="22">
        <f>EXP(SUM(Painel_diario!$L$3580:$L$3773))-1</f>
        <v/>
      </c>
      <c r="C201" s="22">
        <f>EXP(SUM(Painel_diario!$L$4217:$L$4410))-1</f>
        <v/>
      </c>
      <c r="D201" s="22">
        <f>EXP(SUM(Painel_diario!$L$4345:$L$4538))-1</f>
        <v/>
      </c>
      <c r="E201" s="22">
        <f>EXP(SUM(Painel_diario!$L$4719:$L$4912))-1</f>
        <v/>
      </c>
      <c r="F201" s="16" t="n"/>
    </row>
    <row r="202">
      <c r="A202" t="n">
        <v>195</v>
      </c>
      <c r="B202" s="22">
        <f>EXP(SUM(Painel_diario!$L$3580:$L$3774))-1</f>
        <v/>
      </c>
      <c r="C202" s="22">
        <f>EXP(SUM(Painel_diario!$L$4217:$L$4411))-1</f>
        <v/>
      </c>
      <c r="D202" s="22">
        <f>EXP(SUM(Painel_diario!$L$4345:$L$4539))-1</f>
        <v/>
      </c>
      <c r="E202" s="22">
        <f>EXP(SUM(Painel_diario!$L$4719:$L$4913))-1</f>
        <v/>
      </c>
      <c r="F202" s="16" t="n"/>
    </row>
    <row r="203">
      <c r="A203" t="n">
        <v>196</v>
      </c>
      <c r="B203" s="22">
        <f>EXP(SUM(Painel_diario!$L$3580:$L$3775))-1</f>
        <v/>
      </c>
      <c r="C203" s="22">
        <f>EXP(SUM(Painel_diario!$L$4217:$L$4412))-1</f>
        <v/>
      </c>
      <c r="D203" s="22">
        <f>EXP(SUM(Painel_diario!$L$4345:$L$4540))-1</f>
        <v/>
      </c>
      <c r="E203" s="22">
        <f>EXP(SUM(Painel_diario!$L$4719:$L$4914))-1</f>
        <v/>
      </c>
      <c r="F203" s="16" t="n"/>
    </row>
    <row r="204">
      <c r="A204" t="n">
        <v>197</v>
      </c>
      <c r="B204" s="22">
        <f>EXP(SUM(Painel_diario!$L$3580:$L$3776))-1</f>
        <v/>
      </c>
      <c r="C204" s="22">
        <f>EXP(SUM(Painel_diario!$L$4217:$L$4413))-1</f>
        <v/>
      </c>
      <c r="D204" s="22">
        <f>EXP(SUM(Painel_diario!$L$4345:$L$4541))-1</f>
        <v/>
      </c>
      <c r="E204" s="22">
        <f>EXP(SUM(Painel_diario!$L$4719:$L$4915))-1</f>
        <v/>
      </c>
      <c r="F204" s="16" t="n"/>
    </row>
    <row r="205">
      <c r="A205" t="n">
        <v>198</v>
      </c>
      <c r="B205" s="22">
        <f>EXP(SUM(Painel_diario!$L$3580:$L$3777))-1</f>
        <v/>
      </c>
      <c r="C205" s="22">
        <f>EXP(SUM(Painel_diario!$L$4217:$L$4414))-1</f>
        <v/>
      </c>
      <c r="D205" s="22">
        <f>EXP(SUM(Painel_diario!$L$4345:$L$4542))-1</f>
        <v/>
      </c>
      <c r="E205" s="22">
        <f>EXP(SUM(Painel_diario!$L$4719:$L$4916))-1</f>
        <v/>
      </c>
      <c r="F205" s="16" t="n"/>
    </row>
    <row r="206">
      <c r="A206" t="n">
        <v>199</v>
      </c>
      <c r="B206" s="22">
        <f>EXP(SUM(Painel_diario!$L$3580:$L$3778))-1</f>
        <v/>
      </c>
      <c r="C206" s="22">
        <f>EXP(SUM(Painel_diario!$L$4217:$L$4415))-1</f>
        <v/>
      </c>
      <c r="D206" s="22">
        <f>EXP(SUM(Painel_diario!$L$4345:$L$4543))-1</f>
        <v/>
      </c>
      <c r="E206" s="22">
        <f>EXP(SUM(Painel_diario!$L$4719:$L$4917))-1</f>
        <v/>
      </c>
      <c r="F206" s="16" t="n"/>
    </row>
    <row r="207">
      <c r="A207" t="n">
        <v>200</v>
      </c>
      <c r="B207" s="22">
        <f>EXP(SUM(Painel_diario!$L$3580:$L$3779))-1</f>
        <v/>
      </c>
      <c r="C207" s="22">
        <f>EXP(SUM(Painel_diario!$L$4217:$L$4416))-1</f>
        <v/>
      </c>
      <c r="D207" s="22">
        <f>EXP(SUM(Painel_diario!$L$4345:$L$4544))-1</f>
        <v/>
      </c>
      <c r="E207" s="22">
        <f>EXP(SUM(Painel_diario!$L$4719:$L$4918))-1</f>
        <v/>
      </c>
      <c r="F207" s="16" t="n"/>
    </row>
    <row r="208">
      <c r="A208" t="n">
        <v>201</v>
      </c>
      <c r="B208" s="22">
        <f>EXP(SUM(Painel_diario!$L$3580:$L$3780))-1</f>
        <v/>
      </c>
      <c r="C208" s="22">
        <f>EXP(SUM(Painel_diario!$L$4217:$L$4417))-1</f>
        <v/>
      </c>
      <c r="D208" s="22">
        <f>EXP(SUM(Painel_diario!$L$4345:$L$4545))-1</f>
        <v/>
      </c>
      <c r="E208" s="22">
        <f>EXP(SUM(Painel_diario!$L$4719:$L$4919))-1</f>
        <v/>
      </c>
      <c r="F208" s="16" t="n"/>
    </row>
    <row r="209">
      <c r="A209" t="n">
        <v>202</v>
      </c>
      <c r="B209" s="22">
        <f>EXP(SUM(Painel_diario!$L$3580:$L$3781))-1</f>
        <v/>
      </c>
      <c r="C209" s="22">
        <f>EXP(SUM(Painel_diario!$L$4217:$L$4418))-1</f>
        <v/>
      </c>
      <c r="D209" s="22">
        <f>EXP(SUM(Painel_diario!$L$4345:$L$4546))-1</f>
        <v/>
      </c>
      <c r="E209" s="22">
        <f>EXP(SUM(Painel_diario!$L$4719:$L$4920))-1</f>
        <v/>
      </c>
      <c r="F209" s="16" t="n"/>
    </row>
    <row r="210">
      <c r="A210" t="n">
        <v>203</v>
      </c>
      <c r="B210" s="22">
        <f>EXP(SUM(Painel_diario!$L$3580:$L$3782))-1</f>
        <v/>
      </c>
      <c r="C210" s="22">
        <f>EXP(SUM(Painel_diario!$L$4217:$L$4419))-1</f>
        <v/>
      </c>
      <c r="D210" s="22">
        <f>EXP(SUM(Painel_diario!$L$4345:$L$4547))-1</f>
        <v/>
      </c>
      <c r="E210" s="22">
        <f>EXP(SUM(Painel_diario!$L$4719:$L$4921))-1</f>
        <v/>
      </c>
      <c r="F210" s="16" t="n"/>
    </row>
    <row r="211">
      <c r="A211" t="n">
        <v>204</v>
      </c>
      <c r="B211" s="22">
        <f>EXP(SUM(Painel_diario!$L$3580:$L$3783))-1</f>
        <v/>
      </c>
      <c r="C211" s="22">
        <f>EXP(SUM(Painel_diario!$L$4217:$L$4420))-1</f>
        <v/>
      </c>
      <c r="D211" s="22">
        <f>EXP(SUM(Painel_diario!$L$4345:$L$4548))-1</f>
        <v/>
      </c>
      <c r="E211" s="22">
        <f>EXP(SUM(Painel_diario!$L$4719:$L$4922))-1</f>
        <v/>
      </c>
      <c r="F211" s="16" t="n"/>
    </row>
    <row r="212">
      <c r="A212" t="n">
        <v>205</v>
      </c>
      <c r="B212" s="22">
        <f>EXP(SUM(Painel_diario!$L$3580:$L$3784))-1</f>
        <v/>
      </c>
      <c r="C212" s="22">
        <f>EXP(SUM(Painel_diario!$L$4217:$L$4421))-1</f>
        <v/>
      </c>
      <c r="D212" s="22">
        <f>EXP(SUM(Painel_diario!$L$4345:$L$4549))-1</f>
        <v/>
      </c>
      <c r="E212" s="22">
        <f>EXP(SUM(Painel_diario!$L$4719:$L$4923))-1</f>
        <v/>
      </c>
      <c r="F212" s="16" t="n"/>
    </row>
    <row r="213">
      <c r="A213" t="n">
        <v>206</v>
      </c>
      <c r="B213" s="22">
        <f>EXP(SUM(Painel_diario!$L$3580:$L$3785))-1</f>
        <v/>
      </c>
      <c r="C213" s="22">
        <f>EXP(SUM(Painel_diario!$L$4217:$L$4422))-1</f>
        <v/>
      </c>
      <c r="D213" s="22">
        <f>EXP(SUM(Painel_diario!$L$4345:$L$4550))-1</f>
        <v/>
      </c>
      <c r="E213" s="22">
        <f>EXP(SUM(Painel_diario!$L$4719:$L$4924))-1</f>
        <v/>
      </c>
      <c r="F213" s="16" t="n"/>
    </row>
    <row r="214">
      <c r="A214" t="n">
        <v>207</v>
      </c>
      <c r="B214" s="22">
        <f>EXP(SUM(Painel_diario!$L$3580:$L$3786))-1</f>
        <v/>
      </c>
      <c r="C214" s="22">
        <f>EXP(SUM(Painel_diario!$L$4217:$L$4423))-1</f>
        <v/>
      </c>
      <c r="D214" s="22">
        <f>EXP(SUM(Painel_diario!$L$4345:$L$4551))-1</f>
        <v/>
      </c>
      <c r="E214" s="22">
        <f>EXP(SUM(Painel_diario!$L$4719:$L$4925))-1</f>
        <v/>
      </c>
      <c r="F214" s="16" t="n"/>
    </row>
    <row r="215">
      <c r="A215" t="n">
        <v>208</v>
      </c>
      <c r="B215" s="22">
        <f>EXP(SUM(Painel_diario!$L$3580:$L$3787))-1</f>
        <v/>
      </c>
      <c r="C215" s="22">
        <f>EXP(SUM(Painel_diario!$L$4217:$L$4424))-1</f>
        <v/>
      </c>
      <c r="D215" s="22">
        <f>EXP(SUM(Painel_diario!$L$4345:$L$4552))-1</f>
        <v/>
      </c>
      <c r="E215" s="22">
        <f>EXP(SUM(Painel_diario!$L$4719:$L$4926))-1</f>
        <v/>
      </c>
      <c r="F215" s="16" t="n"/>
    </row>
    <row r="216">
      <c r="A216" t="n">
        <v>209</v>
      </c>
      <c r="B216" s="22">
        <f>EXP(SUM(Painel_diario!$L$3580:$L$3788))-1</f>
        <v/>
      </c>
      <c r="C216" s="22">
        <f>EXP(SUM(Painel_diario!$L$4217:$L$4425))-1</f>
        <v/>
      </c>
      <c r="D216" s="22">
        <f>EXP(SUM(Painel_diario!$L$4345:$L$4553))-1</f>
        <v/>
      </c>
      <c r="E216" s="22">
        <f>EXP(SUM(Painel_diario!$L$4719:$L$4927))-1</f>
        <v/>
      </c>
      <c r="F216" s="16" t="n"/>
    </row>
    <row r="217">
      <c r="A217" t="n">
        <v>210</v>
      </c>
      <c r="B217" s="22">
        <f>EXP(SUM(Painel_diario!$L$3580:$L$3789))-1</f>
        <v/>
      </c>
      <c r="C217" s="22">
        <f>EXP(SUM(Painel_diario!$L$4217:$L$4426))-1</f>
        <v/>
      </c>
      <c r="D217" s="22">
        <f>EXP(SUM(Painel_diario!$L$4345:$L$4554))-1</f>
        <v/>
      </c>
      <c r="E217" s="22">
        <f>EXP(SUM(Painel_diario!$L$4719:$L$4928))-1</f>
        <v/>
      </c>
      <c r="F217" s="16" t="n"/>
    </row>
    <row r="218">
      <c r="A218" t="n">
        <v>211</v>
      </c>
      <c r="B218" s="22">
        <f>EXP(SUM(Painel_diario!$L$3580:$L$3790))-1</f>
        <v/>
      </c>
      <c r="C218" s="22">
        <f>EXP(SUM(Painel_diario!$L$4217:$L$4427))-1</f>
        <v/>
      </c>
      <c r="D218" s="22">
        <f>EXP(SUM(Painel_diario!$L$4345:$L$4555))-1</f>
        <v/>
      </c>
      <c r="E218" s="22">
        <f>EXP(SUM(Painel_diario!$L$4719:$L$4929))-1</f>
        <v/>
      </c>
      <c r="F218" s="16" t="n"/>
    </row>
    <row r="219">
      <c r="A219" t="n">
        <v>212</v>
      </c>
      <c r="B219" s="22">
        <f>EXP(SUM(Painel_diario!$L$3580:$L$3791))-1</f>
        <v/>
      </c>
      <c r="C219" s="22">
        <f>EXP(SUM(Painel_diario!$L$4217:$L$4428))-1</f>
        <v/>
      </c>
      <c r="D219" s="22">
        <f>EXP(SUM(Painel_diario!$L$4345:$L$4556))-1</f>
        <v/>
      </c>
      <c r="E219" s="22">
        <f>EXP(SUM(Painel_diario!$L$4719:$L$4930))-1</f>
        <v/>
      </c>
      <c r="F219" s="16" t="n"/>
    </row>
    <row r="220">
      <c r="A220" t="n">
        <v>213</v>
      </c>
      <c r="B220" s="22">
        <f>EXP(SUM(Painel_diario!$L$3580:$L$3792))-1</f>
        <v/>
      </c>
      <c r="C220" s="22">
        <f>EXP(SUM(Painel_diario!$L$4217:$L$4429))-1</f>
        <v/>
      </c>
      <c r="D220" s="22">
        <f>EXP(SUM(Painel_diario!$L$4345:$L$4557))-1</f>
        <v/>
      </c>
      <c r="E220" s="22">
        <f>EXP(SUM(Painel_diario!$L$4719:$L$4931))-1</f>
        <v/>
      </c>
      <c r="F220" s="16" t="n"/>
    </row>
    <row r="221">
      <c r="A221" t="n">
        <v>214</v>
      </c>
      <c r="B221" s="22">
        <f>EXP(SUM(Painel_diario!$L$3580:$L$3793))-1</f>
        <v/>
      </c>
      <c r="C221" s="22">
        <f>EXP(SUM(Painel_diario!$L$4217:$L$4430))-1</f>
        <v/>
      </c>
      <c r="D221" s="22">
        <f>EXP(SUM(Painel_diario!$L$4345:$L$4558))-1</f>
        <v/>
      </c>
      <c r="E221" s="22">
        <f>EXP(SUM(Painel_diario!$L$4719:$L$4932))-1</f>
        <v/>
      </c>
      <c r="F221" s="16" t="n"/>
    </row>
    <row r="222">
      <c r="A222" t="n">
        <v>215</v>
      </c>
      <c r="B222" s="22">
        <f>EXP(SUM(Painel_diario!$L$3580:$L$3794))-1</f>
        <v/>
      </c>
      <c r="C222" s="22">
        <f>EXP(SUM(Painel_diario!$L$4217:$L$4431))-1</f>
        <v/>
      </c>
      <c r="D222" s="22">
        <f>EXP(SUM(Painel_diario!$L$4345:$L$4559))-1</f>
        <v/>
      </c>
      <c r="E222" s="22">
        <f>EXP(SUM(Painel_diario!$L$4719:$L$4933))-1</f>
        <v/>
      </c>
      <c r="F222" s="16" t="n"/>
    </row>
    <row r="223">
      <c r="A223" t="n">
        <v>216</v>
      </c>
      <c r="B223" s="22">
        <f>EXP(SUM(Painel_diario!$L$3580:$L$3795))-1</f>
        <v/>
      </c>
      <c r="C223" s="22">
        <f>EXP(SUM(Painel_diario!$L$4217:$L$4432))-1</f>
        <v/>
      </c>
      <c r="D223" s="22">
        <f>EXP(SUM(Painel_diario!$L$4345:$L$4560))-1</f>
        <v/>
      </c>
      <c r="E223" s="22">
        <f>EXP(SUM(Painel_diario!$L$4719:$L$4934))-1</f>
        <v/>
      </c>
      <c r="F223" s="16" t="n"/>
    </row>
    <row r="224">
      <c r="A224" t="n">
        <v>217</v>
      </c>
      <c r="B224" s="22">
        <f>EXP(SUM(Painel_diario!$L$3580:$L$3796))-1</f>
        <v/>
      </c>
      <c r="C224" s="22">
        <f>EXP(SUM(Painel_diario!$L$4217:$L$4433))-1</f>
        <v/>
      </c>
      <c r="D224" s="22">
        <f>EXP(SUM(Painel_diario!$L$4345:$L$4561))-1</f>
        <v/>
      </c>
      <c r="E224" s="22">
        <f>EXP(SUM(Painel_diario!$L$4719:$L$4935))-1</f>
        <v/>
      </c>
      <c r="F224" s="16" t="n"/>
    </row>
    <row r="225">
      <c r="A225" t="n">
        <v>218</v>
      </c>
      <c r="B225" s="22">
        <f>EXP(SUM(Painel_diario!$L$3580:$L$3797))-1</f>
        <v/>
      </c>
      <c r="C225" s="22">
        <f>EXP(SUM(Painel_diario!$L$4217:$L$4434))-1</f>
        <v/>
      </c>
      <c r="D225" s="22">
        <f>EXP(SUM(Painel_diario!$L$4345:$L$4562))-1</f>
        <v/>
      </c>
      <c r="E225" s="22">
        <f>EXP(SUM(Painel_diario!$L$4719:$L$4936))-1</f>
        <v/>
      </c>
      <c r="F225" s="16" t="n"/>
    </row>
    <row r="226">
      <c r="A226" t="n">
        <v>219</v>
      </c>
      <c r="B226" s="22">
        <f>EXP(SUM(Painel_diario!$L$3580:$L$3798))-1</f>
        <v/>
      </c>
      <c r="C226" s="22">
        <f>EXP(SUM(Painel_diario!$L$4217:$L$4435))-1</f>
        <v/>
      </c>
      <c r="D226" s="22">
        <f>EXP(SUM(Painel_diario!$L$4345:$L$4563))-1</f>
        <v/>
      </c>
      <c r="E226" s="22">
        <f>EXP(SUM(Painel_diario!$L$4719:$L$4937))-1</f>
        <v/>
      </c>
      <c r="F226" s="16" t="n"/>
    </row>
    <row r="227">
      <c r="A227" t="n">
        <v>220</v>
      </c>
      <c r="B227" s="22">
        <f>EXP(SUM(Painel_diario!$L$3580:$L$3799))-1</f>
        <v/>
      </c>
      <c r="C227" s="22">
        <f>EXP(SUM(Painel_diario!$L$4217:$L$4436))-1</f>
        <v/>
      </c>
      <c r="D227" s="22">
        <f>EXP(SUM(Painel_diario!$L$4345:$L$4564))-1</f>
        <v/>
      </c>
      <c r="E227" s="22">
        <f>EXP(SUM(Painel_diario!$L$4719:$L$4938))-1</f>
        <v/>
      </c>
      <c r="F227" s="16" t="n"/>
    </row>
    <row r="228">
      <c r="A228" t="n">
        <v>221</v>
      </c>
      <c r="B228" s="22">
        <f>EXP(SUM(Painel_diario!$L$3580:$L$3800))-1</f>
        <v/>
      </c>
      <c r="C228" s="22">
        <f>EXP(SUM(Painel_diario!$L$4217:$L$4437))-1</f>
        <v/>
      </c>
      <c r="D228" s="22">
        <f>EXP(SUM(Painel_diario!$L$4345:$L$4565))-1</f>
        <v/>
      </c>
      <c r="E228" s="22">
        <f>EXP(SUM(Painel_diario!$L$4719:$L$4939))-1</f>
        <v/>
      </c>
      <c r="F228" s="16" t="n"/>
    </row>
    <row r="229">
      <c r="A229" t="n">
        <v>222</v>
      </c>
      <c r="B229" s="22">
        <f>EXP(SUM(Painel_diario!$L$3580:$L$3801))-1</f>
        <v/>
      </c>
      <c r="C229" s="22">
        <f>EXP(SUM(Painel_diario!$L$4217:$L$4438))-1</f>
        <v/>
      </c>
      <c r="D229" s="22">
        <f>EXP(SUM(Painel_diario!$L$4345:$L$4566))-1</f>
        <v/>
      </c>
      <c r="E229" s="22">
        <f>EXP(SUM(Painel_diario!$L$4719:$L$4940))-1</f>
        <v/>
      </c>
      <c r="F229" s="16" t="n"/>
    </row>
    <row r="230">
      <c r="A230" t="n">
        <v>223</v>
      </c>
      <c r="B230" s="22">
        <f>EXP(SUM(Painel_diario!$L$3580:$L$3802))-1</f>
        <v/>
      </c>
      <c r="C230" s="22">
        <f>EXP(SUM(Painel_diario!$L$4217:$L$4439))-1</f>
        <v/>
      </c>
      <c r="D230" s="22">
        <f>EXP(SUM(Painel_diario!$L$4345:$L$4567))-1</f>
        <v/>
      </c>
      <c r="E230" s="22">
        <f>EXP(SUM(Painel_diario!$L$4719:$L$4941))-1</f>
        <v/>
      </c>
      <c r="F230" s="16" t="n"/>
    </row>
    <row r="231">
      <c r="A231" t="n">
        <v>224</v>
      </c>
      <c r="B231" s="22">
        <f>EXP(SUM(Painel_diario!$L$3580:$L$3803))-1</f>
        <v/>
      </c>
      <c r="C231" s="22">
        <f>EXP(SUM(Painel_diario!$L$4217:$L$4440))-1</f>
        <v/>
      </c>
      <c r="D231" s="22">
        <f>EXP(SUM(Painel_diario!$L$4345:$L$4568))-1</f>
        <v/>
      </c>
      <c r="E231" s="22">
        <f>EXP(SUM(Painel_diario!$L$4719:$L$4942))-1</f>
        <v/>
      </c>
      <c r="F231" s="16" t="n"/>
    </row>
    <row r="232">
      <c r="A232" t="n">
        <v>225</v>
      </c>
      <c r="B232" s="22">
        <f>EXP(SUM(Painel_diario!$L$3580:$L$3804))-1</f>
        <v/>
      </c>
      <c r="C232" s="22">
        <f>EXP(SUM(Painel_diario!$L$4217:$L$4441))-1</f>
        <v/>
      </c>
      <c r="D232" s="22">
        <f>EXP(SUM(Painel_diario!$L$4345:$L$4569))-1</f>
        <v/>
      </c>
      <c r="E232" s="22">
        <f>EXP(SUM(Painel_diario!$L$4719:$L$4943))-1</f>
        <v/>
      </c>
      <c r="F232" s="16" t="n"/>
    </row>
    <row r="233">
      <c r="A233" t="n">
        <v>226</v>
      </c>
      <c r="B233" s="22">
        <f>EXP(SUM(Painel_diario!$L$3580:$L$3805))-1</f>
        <v/>
      </c>
      <c r="C233" s="22">
        <f>EXP(SUM(Painel_diario!$L$4217:$L$4442))-1</f>
        <v/>
      </c>
      <c r="D233" s="22">
        <f>EXP(SUM(Painel_diario!$L$4345:$L$4570))-1</f>
        <v/>
      </c>
      <c r="E233" s="22">
        <f>EXP(SUM(Painel_diario!$L$4719:$L$4944))-1</f>
        <v/>
      </c>
      <c r="F233" s="16" t="n"/>
    </row>
    <row r="234">
      <c r="A234" t="n">
        <v>227</v>
      </c>
      <c r="B234" s="22">
        <f>EXP(SUM(Painel_diario!$L$3580:$L$3806))-1</f>
        <v/>
      </c>
      <c r="C234" s="22">
        <f>EXP(SUM(Painel_diario!$L$4217:$L$4443))-1</f>
        <v/>
      </c>
      <c r="D234" s="22">
        <f>EXP(SUM(Painel_diario!$L$4345:$L$4571))-1</f>
        <v/>
      </c>
      <c r="E234" s="22">
        <f>EXP(SUM(Painel_diario!$L$4719:$L$4945))-1</f>
        <v/>
      </c>
      <c r="F234" s="16" t="n"/>
    </row>
    <row r="235">
      <c r="A235" t="n">
        <v>228</v>
      </c>
      <c r="B235" s="22">
        <f>EXP(SUM(Painel_diario!$L$3580:$L$3807))-1</f>
        <v/>
      </c>
      <c r="C235" s="22">
        <f>EXP(SUM(Painel_diario!$L$4217:$L$4444))-1</f>
        <v/>
      </c>
      <c r="D235" s="22">
        <f>EXP(SUM(Painel_diario!$L$4345:$L$4572))-1</f>
        <v/>
      </c>
      <c r="E235" s="22">
        <f>EXP(SUM(Painel_diario!$L$4719:$L$4946))-1</f>
        <v/>
      </c>
      <c r="F235" s="16" t="n"/>
    </row>
    <row r="236">
      <c r="A236" t="n">
        <v>229</v>
      </c>
      <c r="B236" s="22">
        <f>EXP(SUM(Painel_diario!$L$3580:$L$3808))-1</f>
        <v/>
      </c>
      <c r="C236" s="22">
        <f>EXP(SUM(Painel_diario!$L$4217:$L$4445))-1</f>
        <v/>
      </c>
      <c r="D236" s="22">
        <f>EXP(SUM(Painel_diario!$L$4345:$L$4573))-1</f>
        <v/>
      </c>
      <c r="E236" s="22">
        <f>EXP(SUM(Painel_diario!$L$4719:$L$4947))-1</f>
        <v/>
      </c>
      <c r="F236" s="16" t="n"/>
    </row>
    <row r="237">
      <c r="A237" t="n">
        <v>230</v>
      </c>
      <c r="B237" s="22">
        <f>EXP(SUM(Painel_diario!$L$3580:$L$3809))-1</f>
        <v/>
      </c>
      <c r="C237" s="22">
        <f>EXP(SUM(Painel_diario!$L$4217:$L$4446))-1</f>
        <v/>
      </c>
      <c r="D237" s="22">
        <f>EXP(SUM(Painel_diario!$L$4345:$L$4574))-1</f>
        <v/>
      </c>
      <c r="E237" s="22">
        <f>EXP(SUM(Painel_diario!$L$4719:$L$4948))-1</f>
        <v/>
      </c>
      <c r="F237" s="16" t="n"/>
    </row>
    <row r="238">
      <c r="A238" t="n">
        <v>231</v>
      </c>
      <c r="B238" s="22">
        <f>EXP(SUM(Painel_diario!$L$3580:$L$3810))-1</f>
        <v/>
      </c>
      <c r="C238" s="22">
        <f>EXP(SUM(Painel_diario!$L$4217:$L$4447))-1</f>
        <v/>
      </c>
      <c r="D238" s="22">
        <f>EXP(SUM(Painel_diario!$L$4345:$L$4575))-1</f>
        <v/>
      </c>
      <c r="E238" s="22">
        <f>EXP(SUM(Painel_diario!$L$4719:$L$4949))-1</f>
        <v/>
      </c>
      <c r="F238" s="16" t="n"/>
    </row>
    <row r="239">
      <c r="A239" t="n">
        <v>232</v>
      </c>
      <c r="B239" s="22">
        <f>EXP(SUM(Painel_diario!$L$3580:$L$3811))-1</f>
        <v/>
      </c>
      <c r="C239" s="22">
        <f>EXP(SUM(Painel_diario!$L$4217:$L$4448))-1</f>
        <v/>
      </c>
      <c r="D239" s="22">
        <f>EXP(SUM(Painel_diario!$L$4345:$L$4576))-1</f>
        <v/>
      </c>
      <c r="E239" s="22">
        <f>EXP(SUM(Painel_diario!$L$4719:$L$4950))-1</f>
        <v/>
      </c>
      <c r="F239" s="16" t="n"/>
    </row>
    <row r="240">
      <c r="A240" t="n">
        <v>233</v>
      </c>
      <c r="B240" s="22">
        <f>EXP(SUM(Painel_diario!$L$3580:$L$3812))-1</f>
        <v/>
      </c>
      <c r="C240" s="22">
        <f>EXP(SUM(Painel_diario!$L$4217:$L$4449))-1</f>
        <v/>
      </c>
      <c r="D240" s="22">
        <f>EXP(SUM(Painel_diario!$L$4345:$L$4577))-1</f>
        <v/>
      </c>
      <c r="E240" s="22">
        <f>EXP(SUM(Painel_diario!$L$4719:$L$4951))-1</f>
        <v/>
      </c>
      <c r="F240" s="16" t="n"/>
    </row>
    <row r="241">
      <c r="A241" t="n">
        <v>234</v>
      </c>
      <c r="B241" s="22">
        <f>EXP(SUM(Painel_diario!$L$3580:$L$3813))-1</f>
        <v/>
      </c>
      <c r="C241" s="22">
        <f>EXP(SUM(Painel_diario!$L$4217:$L$4450))-1</f>
        <v/>
      </c>
      <c r="D241" s="22">
        <f>EXP(SUM(Painel_diario!$L$4345:$L$4578))-1</f>
        <v/>
      </c>
      <c r="E241" s="22">
        <f>EXP(SUM(Painel_diario!$L$4719:$L$4952))-1</f>
        <v/>
      </c>
      <c r="F241" s="16" t="n"/>
    </row>
    <row r="242">
      <c r="A242" t="n">
        <v>235</v>
      </c>
      <c r="B242" s="22">
        <f>EXP(SUM(Painel_diario!$L$3580:$L$3814))-1</f>
        <v/>
      </c>
      <c r="C242" s="22">
        <f>EXP(SUM(Painel_diario!$L$4217:$L$4451))-1</f>
        <v/>
      </c>
      <c r="D242" s="22">
        <f>EXP(SUM(Painel_diario!$L$4345:$L$4579))-1</f>
        <v/>
      </c>
      <c r="E242" s="22">
        <f>EXP(SUM(Painel_diario!$L$4719:$L$4953))-1</f>
        <v/>
      </c>
      <c r="F242" s="16" t="n"/>
    </row>
    <row r="243">
      <c r="A243" t="n">
        <v>236</v>
      </c>
      <c r="B243" s="22">
        <f>EXP(SUM(Painel_diario!$L$3580:$L$3815))-1</f>
        <v/>
      </c>
      <c r="C243" s="22">
        <f>EXP(SUM(Painel_diario!$L$4217:$L$4452))-1</f>
        <v/>
      </c>
      <c r="D243" s="22">
        <f>EXP(SUM(Painel_diario!$L$4345:$L$4580))-1</f>
        <v/>
      </c>
      <c r="E243" s="22">
        <f>EXP(SUM(Painel_diario!$L$4719:$L$4954))-1</f>
        <v/>
      </c>
      <c r="F243" s="16" t="n"/>
    </row>
    <row r="244">
      <c r="A244" t="n">
        <v>237</v>
      </c>
      <c r="B244" s="22">
        <f>EXP(SUM(Painel_diario!$L$3580:$L$3816))-1</f>
        <v/>
      </c>
      <c r="C244" s="22">
        <f>EXP(SUM(Painel_diario!$L$4217:$L$4453))-1</f>
        <v/>
      </c>
      <c r="D244" s="22">
        <f>EXP(SUM(Painel_diario!$L$4345:$L$4581))-1</f>
        <v/>
      </c>
      <c r="E244" s="22">
        <f>EXP(SUM(Painel_diario!$L$4719:$L$4955))-1</f>
        <v/>
      </c>
      <c r="F244" s="16" t="n"/>
    </row>
    <row r="245">
      <c r="A245" t="n">
        <v>238</v>
      </c>
      <c r="B245" s="22">
        <f>EXP(SUM(Painel_diario!$L$3580:$L$3817))-1</f>
        <v/>
      </c>
      <c r="C245" s="22">
        <f>EXP(SUM(Painel_diario!$L$4217:$L$4454))-1</f>
        <v/>
      </c>
      <c r="D245" s="22">
        <f>EXP(SUM(Painel_diario!$L$4345:$L$4582))-1</f>
        <v/>
      </c>
      <c r="E245" s="22">
        <f>EXP(SUM(Painel_diario!$L$4719:$L$4956))-1</f>
        <v/>
      </c>
      <c r="F245" s="16" t="n"/>
    </row>
    <row r="246">
      <c r="A246" t="n">
        <v>239</v>
      </c>
      <c r="B246" s="22">
        <f>EXP(SUM(Painel_diario!$L$3580:$L$3818))-1</f>
        <v/>
      </c>
      <c r="C246" s="22">
        <f>EXP(SUM(Painel_diario!$L$4217:$L$4455))-1</f>
        <v/>
      </c>
      <c r="D246" s="22">
        <f>EXP(SUM(Painel_diario!$L$4345:$L$4583))-1</f>
        <v/>
      </c>
      <c r="E246" s="22">
        <f>EXP(SUM(Painel_diario!$L$4719:$L$4957))-1</f>
        <v/>
      </c>
      <c r="F246" s="16" t="n"/>
    </row>
    <row r="247">
      <c r="A247" t="n">
        <v>240</v>
      </c>
      <c r="B247" s="22">
        <f>EXP(SUM(Painel_diario!$L$3580:$L$3819))-1</f>
        <v/>
      </c>
      <c r="C247" s="22">
        <f>EXP(SUM(Painel_diario!$L$4217:$L$4456))-1</f>
        <v/>
      </c>
      <c r="D247" s="22">
        <f>EXP(SUM(Painel_diario!$L$4345:$L$4584))-1</f>
        <v/>
      </c>
      <c r="E247" s="22">
        <f>EXP(SUM(Painel_diario!$L$4719:$L$4958))-1</f>
        <v/>
      </c>
      <c r="F247" s="16" t="n"/>
    </row>
    <row r="248">
      <c r="A248" t="n">
        <v>241</v>
      </c>
      <c r="B248" s="22">
        <f>EXP(SUM(Painel_diario!$L$3580:$L$3820))-1</f>
        <v/>
      </c>
      <c r="C248" s="22">
        <f>EXP(SUM(Painel_diario!$L$4217:$L$4457))-1</f>
        <v/>
      </c>
      <c r="D248" s="22">
        <f>EXP(SUM(Painel_diario!$L$4345:$L$4585))-1</f>
        <v/>
      </c>
      <c r="E248" s="22">
        <f>EXP(SUM(Painel_diario!$L$4719:$L$4959))-1</f>
        <v/>
      </c>
      <c r="F248" s="16" t="n"/>
    </row>
    <row r="249">
      <c r="A249" t="n">
        <v>242</v>
      </c>
      <c r="B249" s="22">
        <f>EXP(SUM(Painel_diario!$L$3580:$L$3821))-1</f>
        <v/>
      </c>
      <c r="C249" s="22">
        <f>EXP(SUM(Painel_diario!$L$4217:$L$4458))-1</f>
        <v/>
      </c>
      <c r="D249" s="22">
        <f>EXP(SUM(Painel_diario!$L$4345:$L$4586))-1</f>
        <v/>
      </c>
      <c r="E249" s="22">
        <f>EXP(SUM(Painel_diario!$L$4719:$L$4960))-1</f>
        <v/>
      </c>
      <c r="F249" s="16" t="n"/>
    </row>
    <row r="250">
      <c r="A250" t="n">
        <v>243</v>
      </c>
      <c r="B250" s="22">
        <f>EXP(SUM(Painel_diario!$L$3580:$L$3822))-1</f>
        <v/>
      </c>
      <c r="C250" s="22">
        <f>EXP(SUM(Painel_diario!$L$4217:$L$4459))-1</f>
        <v/>
      </c>
      <c r="D250" s="22">
        <f>EXP(SUM(Painel_diario!$L$4345:$L$4587))-1</f>
        <v/>
      </c>
      <c r="E250" s="22">
        <f>EXP(SUM(Painel_diario!$L$4719:$L$4961))-1</f>
        <v/>
      </c>
      <c r="F250" s="16" t="n"/>
    </row>
    <row r="251">
      <c r="A251" t="n">
        <v>244</v>
      </c>
      <c r="B251" s="22">
        <f>EXP(SUM(Painel_diario!$L$3580:$L$3823))-1</f>
        <v/>
      </c>
      <c r="C251" s="22">
        <f>EXP(SUM(Painel_diario!$L$4217:$L$4460))-1</f>
        <v/>
      </c>
      <c r="D251" s="22">
        <f>EXP(SUM(Painel_diario!$L$4345:$L$4588))-1</f>
        <v/>
      </c>
      <c r="E251" s="22">
        <f>EXP(SUM(Painel_diario!$L$4719:$L$4962))-1</f>
        <v/>
      </c>
      <c r="F251" s="16" t="n"/>
    </row>
    <row r="252">
      <c r="A252" t="n">
        <v>245</v>
      </c>
      <c r="B252" s="22">
        <f>EXP(SUM(Painel_diario!$L$3580:$L$3824))-1</f>
        <v/>
      </c>
      <c r="C252" s="22">
        <f>EXP(SUM(Painel_diario!$L$4217:$L$4461))-1</f>
        <v/>
      </c>
      <c r="D252" s="22">
        <f>EXP(SUM(Painel_diario!$L$4345:$L$4589))-1</f>
        <v/>
      </c>
      <c r="E252" s="22">
        <f>EXP(SUM(Painel_diario!$L$4719:$L$4963))-1</f>
        <v/>
      </c>
      <c r="F252" s="16" t="n"/>
    </row>
    <row r="253">
      <c r="A253" t="n">
        <v>246</v>
      </c>
      <c r="B253" s="22">
        <f>EXP(SUM(Painel_diario!$L$3580:$L$3825))-1</f>
        <v/>
      </c>
      <c r="C253" s="22">
        <f>EXP(SUM(Painel_diario!$L$4217:$L$4462))-1</f>
        <v/>
      </c>
      <c r="D253" s="22">
        <f>EXP(SUM(Painel_diario!$L$4345:$L$4590))-1</f>
        <v/>
      </c>
      <c r="E253" s="22">
        <f>EXP(SUM(Painel_diario!$L$4719:$L$4964))-1</f>
        <v/>
      </c>
      <c r="F253" s="16" t="n"/>
    </row>
    <row r="254">
      <c r="A254" t="n">
        <v>247</v>
      </c>
      <c r="B254" s="22">
        <f>EXP(SUM(Painel_diario!$L$3580:$L$3826))-1</f>
        <v/>
      </c>
      <c r="C254" s="22">
        <f>EXP(SUM(Painel_diario!$L$4217:$L$4463))-1</f>
        <v/>
      </c>
      <c r="D254" s="22">
        <f>EXP(SUM(Painel_diario!$L$4345:$L$4591))-1</f>
        <v/>
      </c>
      <c r="E254" s="22">
        <f>EXP(SUM(Painel_diario!$L$4719:$L$4965))-1</f>
        <v/>
      </c>
      <c r="F254" s="16" t="n"/>
    </row>
    <row r="255">
      <c r="A255" t="n">
        <v>248</v>
      </c>
      <c r="B255" s="22">
        <f>EXP(SUM(Painel_diario!$L$3580:$L$3827))-1</f>
        <v/>
      </c>
      <c r="C255" s="22">
        <f>EXP(SUM(Painel_diario!$L$4217:$L$4464))-1</f>
        <v/>
      </c>
      <c r="D255" s="22">
        <f>EXP(SUM(Painel_diario!$L$4345:$L$4592))-1</f>
        <v/>
      </c>
      <c r="E255" s="22">
        <f>EXP(SUM(Painel_diario!$L$4719:$L$4966))-1</f>
        <v/>
      </c>
      <c r="F255" s="16" t="n"/>
    </row>
    <row r="256">
      <c r="A256" t="n">
        <v>249</v>
      </c>
      <c r="B256" s="22">
        <f>EXP(SUM(Painel_diario!$L$3580:$L$3828))-1</f>
        <v/>
      </c>
      <c r="C256" s="22">
        <f>EXP(SUM(Painel_diario!$L$4217:$L$4465))-1</f>
        <v/>
      </c>
      <c r="D256" s="22">
        <f>EXP(SUM(Painel_diario!$L$4345:$L$4593))-1</f>
        <v/>
      </c>
      <c r="E256" s="22">
        <f>EXP(SUM(Painel_diario!$L$4719:$L$4967))-1</f>
        <v/>
      </c>
      <c r="F256" s="16" t="n"/>
    </row>
    <row r="257">
      <c r="A257" t="n">
        <v>250</v>
      </c>
      <c r="B257" s="22">
        <f>EXP(SUM(Painel_diario!$L$3580:$L$3829))-1</f>
        <v/>
      </c>
      <c r="C257" s="22">
        <f>EXP(SUM(Painel_diario!$L$4217:$L$4466))-1</f>
        <v/>
      </c>
      <c r="D257" s="22">
        <f>EXP(SUM(Painel_diario!$L$4345:$L$4594))-1</f>
        <v/>
      </c>
      <c r="E257" s="22">
        <f>EXP(SUM(Painel_diario!$L$4719:$L$4968))-1</f>
        <v/>
      </c>
      <c r="F257" s="16" t="n"/>
    </row>
    <row r="258">
      <c r="A258" t="n">
        <v>251</v>
      </c>
      <c r="B258" s="22">
        <f>EXP(SUM(Painel_diario!$L$3580:$L$3830))-1</f>
        <v/>
      </c>
      <c r="C258" s="22">
        <f>EXP(SUM(Painel_diario!$L$4217:$L$4467))-1</f>
        <v/>
      </c>
      <c r="D258" s="22">
        <f>EXP(SUM(Painel_diario!$L$4345:$L$4595))-1</f>
        <v/>
      </c>
      <c r="E258" s="22">
        <f>EXP(SUM(Painel_diario!$L$4719:$L$4969))-1</f>
        <v/>
      </c>
      <c r="F258" s="16" t="n"/>
    </row>
    <row r="259">
      <c r="A259" t="n">
        <v>252</v>
      </c>
      <c r="B259" s="22">
        <f>EXP(SUM(Painel_diario!$L$3580:$L$3831))-1</f>
        <v/>
      </c>
      <c r="C259" s="22">
        <f>EXP(SUM(Painel_diario!$L$4217:$L$4468))-1</f>
        <v/>
      </c>
      <c r="D259" s="22">
        <f>EXP(SUM(Painel_diario!$L$4345:$L$4596))-1</f>
        <v/>
      </c>
      <c r="E259" s="22">
        <f>EXP(SUM(Painel_diario!$L$4719:$L$4970))-1</f>
        <v/>
      </c>
      <c r="F259" s="16" t="n"/>
    </row>
    <row r="263">
      <c r="A263" s="5" t="inlineStr">
        <is>
          <t>Earnings Up / Juros Up</t>
        </is>
      </c>
    </row>
    <row r="264">
      <c r="A264" s="8" t="inlineStr">
        <is>
          <t>Pregao</t>
        </is>
      </c>
      <c r="B264" s="8" t="inlineStr">
        <is>
          <t>2018-06-08</t>
        </is>
      </c>
      <c r="C264" s="8" t="inlineStr">
        <is>
          <t>2020-10-05</t>
        </is>
      </c>
      <c r="D264" s="8" t="inlineStr">
        <is>
          <t>2022-04-01</t>
        </is>
      </c>
      <c r="E264" s="8" t="inlineStr">
        <is>
          <t>2024-05-09</t>
        </is>
      </c>
      <c r="F264" s="8" t="inlineStr">
        <is>
          <t>2025-01-02</t>
        </is>
      </c>
    </row>
    <row r="265">
      <c r="A265" s="26" t="inlineStr">
        <is>
          <t>Pregoes do episodio</t>
        </is>
      </c>
      <c r="B265" s="26" t="n">
        <v>97</v>
      </c>
      <c r="C265" s="26" t="n">
        <v>306</v>
      </c>
      <c r="D265" s="26" t="n">
        <v>167</v>
      </c>
      <c r="E265" s="26" t="n">
        <v>125</v>
      </c>
      <c r="F265" s="26" t="n">
        <v>84</v>
      </c>
    </row>
    <row r="266">
      <c r="A266" t="n">
        <v>0</v>
      </c>
      <c r="B266" s="22" t="n">
        <v>0</v>
      </c>
      <c r="C266" s="22" t="n">
        <v>0</v>
      </c>
      <c r="D266" s="22" t="n">
        <v>0</v>
      </c>
      <c r="E266" s="22" t="n">
        <v>0</v>
      </c>
      <c r="F266" s="22" t="n">
        <v>0</v>
      </c>
    </row>
    <row r="267">
      <c r="A267" t="n">
        <v>1</v>
      </c>
      <c r="B267" s="22">
        <f>EXP(SUM(Painel_diario!$L$3007:$L$3007))-1</f>
        <v/>
      </c>
      <c r="C267" s="22">
        <f>EXP(SUM(Painel_diario!$L$3582:$L$3582))-1</f>
        <v/>
      </c>
      <c r="D267" s="22">
        <f>EXP(SUM(Painel_diario!$L$3950:$L$3950))-1</f>
        <v/>
      </c>
      <c r="E267" s="22">
        <f>EXP(SUM(Painel_diario!$L$4472:$L$4472))-1</f>
        <v/>
      </c>
      <c r="F267" s="22">
        <f>EXP(SUM(Painel_diario!$L$4635:$L$4635))-1</f>
        <v/>
      </c>
    </row>
    <row r="268">
      <c r="A268" t="n">
        <v>2</v>
      </c>
      <c r="B268" s="22">
        <f>EXP(SUM(Painel_diario!$L$3007:$L$3008))-1</f>
        <v/>
      </c>
      <c r="C268" s="22">
        <f>EXP(SUM(Painel_diario!$L$3582:$L$3583))-1</f>
        <v/>
      </c>
      <c r="D268" s="22">
        <f>EXP(SUM(Painel_diario!$L$3950:$L$3951))-1</f>
        <v/>
      </c>
      <c r="E268" s="22">
        <f>EXP(SUM(Painel_diario!$L$4472:$L$4473))-1</f>
        <v/>
      </c>
      <c r="F268" s="22">
        <f>EXP(SUM(Painel_diario!$L$4635:$L$4636))-1</f>
        <v/>
      </c>
    </row>
    <row r="269">
      <c r="A269" t="n">
        <v>3</v>
      </c>
      <c r="B269" s="22">
        <f>EXP(SUM(Painel_diario!$L$3007:$L$3009))-1</f>
        <v/>
      </c>
      <c r="C269" s="22">
        <f>EXP(SUM(Painel_diario!$L$3582:$L$3584))-1</f>
        <v/>
      </c>
      <c r="D269" s="22">
        <f>EXP(SUM(Painel_diario!$L$3950:$L$3952))-1</f>
        <v/>
      </c>
      <c r="E269" s="22">
        <f>EXP(SUM(Painel_diario!$L$4472:$L$4474))-1</f>
        <v/>
      </c>
      <c r="F269" s="22">
        <f>EXP(SUM(Painel_diario!$L$4635:$L$4637))-1</f>
        <v/>
      </c>
    </row>
    <row r="270">
      <c r="A270" t="n">
        <v>4</v>
      </c>
      <c r="B270" s="22">
        <f>EXP(SUM(Painel_diario!$L$3007:$L$3010))-1</f>
        <v/>
      </c>
      <c r="C270" s="22">
        <f>EXP(SUM(Painel_diario!$L$3582:$L$3585))-1</f>
        <v/>
      </c>
      <c r="D270" s="22">
        <f>EXP(SUM(Painel_diario!$L$3950:$L$3953))-1</f>
        <v/>
      </c>
      <c r="E270" s="22">
        <f>EXP(SUM(Painel_diario!$L$4472:$L$4475))-1</f>
        <v/>
      </c>
      <c r="F270" s="22">
        <f>EXP(SUM(Painel_diario!$L$4635:$L$4638))-1</f>
        <v/>
      </c>
    </row>
    <row r="271">
      <c r="A271" t="n">
        <v>5</v>
      </c>
      <c r="B271" s="22">
        <f>EXP(SUM(Painel_diario!$L$3007:$L$3011))-1</f>
        <v/>
      </c>
      <c r="C271" s="22">
        <f>EXP(SUM(Painel_diario!$L$3582:$L$3586))-1</f>
        <v/>
      </c>
      <c r="D271" s="22">
        <f>EXP(SUM(Painel_diario!$L$3950:$L$3954))-1</f>
        <v/>
      </c>
      <c r="E271" s="22">
        <f>EXP(SUM(Painel_diario!$L$4472:$L$4476))-1</f>
        <v/>
      </c>
      <c r="F271" s="22">
        <f>EXP(SUM(Painel_diario!$L$4635:$L$4639))-1</f>
        <v/>
      </c>
    </row>
    <row r="272">
      <c r="A272" t="n">
        <v>6</v>
      </c>
      <c r="B272" s="22">
        <f>EXP(SUM(Painel_diario!$L$3007:$L$3012))-1</f>
        <v/>
      </c>
      <c r="C272" s="22">
        <f>EXP(SUM(Painel_diario!$L$3582:$L$3587))-1</f>
        <v/>
      </c>
      <c r="D272" s="22">
        <f>EXP(SUM(Painel_diario!$L$3950:$L$3955))-1</f>
        <v/>
      </c>
      <c r="E272" s="22">
        <f>EXP(SUM(Painel_diario!$L$4472:$L$4477))-1</f>
        <v/>
      </c>
      <c r="F272" s="22">
        <f>EXP(SUM(Painel_diario!$L$4635:$L$4640))-1</f>
        <v/>
      </c>
    </row>
    <row r="273">
      <c r="A273" t="n">
        <v>7</v>
      </c>
      <c r="B273" s="22">
        <f>EXP(SUM(Painel_diario!$L$3007:$L$3013))-1</f>
        <v/>
      </c>
      <c r="C273" s="22">
        <f>EXP(SUM(Painel_diario!$L$3582:$L$3588))-1</f>
        <v/>
      </c>
      <c r="D273" s="22">
        <f>EXP(SUM(Painel_diario!$L$3950:$L$3956))-1</f>
        <v/>
      </c>
      <c r="E273" s="22">
        <f>EXP(SUM(Painel_diario!$L$4472:$L$4478))-1</f>
        <v/>
      </c>
      <c r="F273" s="22">
        <f>EXP(SUM(Painel_diario!$L$4635:$L$4641))-1</f>
        <v/>
      </c>
    </row>
    <row r="274">
      <c r="A274" t="n">
        <v>8</v>
      </c>
      <c r="B274" s="22">
        <f>EXP(SUM(Painel_diario!$L$3007:$L$3014))-1</f>
        <v/>
      </c>
      <c r="C274" s="22">
        <f>EXP(SUM(Painel_diario!$L$3582:$L$3589))-1</f>
        <v/>
      </c>
      <c r="D274" s="22">
        <f>EXP(SUM(Painel_diario!$L$3950:$L$3957))-1</f>
        <v/>
      </c>
      <c r="E274" s="22">
        <f>EXP(SUM(Painel_diario!$L$4472:$L$4479))-1</f>
        <v/>
      </c>
      <c r="F274" s="22">
        <f>EXP(SUM(Painel_diario!$L$4635:$L$4642))-1</f>
        <v/>
      </c>
    </row>
    <row r="275">
      <c r="A275" t="n">
        <v>9</v>
      </c>
      <c r="B275" s="22">
        <f>EXP(SUM(Painel_diario!$L$3007:$L$3015))-1</f>
        <v/>
      </c>
      <c r="C275" s="22">
        <f>EXP(SUM(Painel_diario!$L$3582:$L$3590))-1</f>
        <v/>
      </c>
      <c r="D275" s="22">
        <f>EXP(SUM(Painel_diario!$L$3950:$L$3958))-1</f>
        <v/>
      </c>
      <c r="E275" s="22">
        <f>EXP(SUM(Painel_diario!$L$4472:$L$4480))-1</f>
        <v/>
      </c>
      <c r="F275" s="22">
        <f>EXP(SUM(Painel_diario!$L$4635:$L$4643))-1</f>
        <v/>
      </c>
    </row>
    <row r="276">
      <c r="A276" t="n">
        <v>10</v>
      </c>
      <c r="B276" s="22">
        <f>EXP(SUM(Painel_diario!$L$3007:$L$3016))-1</f>
        <v/>
      </c>
      <c r="C276" s="22">
        <f>EXP(SUM(Painel_diario!$L$3582:$L$3591))-1</f>
        <v/>
      </c>
      <c r="D276" s="22">
        <f>EXP(SUM(Painel_diario!$L$3950:$L$3959))-1</f>
        <v/>
      </c>
      <c r="E276" s="22">
        <f>EXP(SUM(Painel_diario!$L$4472:$L$4481))-1</f>
        <v/>
      </c>
      <c r="F276" s="22">
        <f>EXP(SUM(Painel_diario!$L$4635:$L$4644))-1</f>
        <v/>
      </c>
    </row>
    <row r="277">
      <c r="A277" t="n">
        <v>11</v>
      </c>
      <c r="B277" s="22">
        <f>EXP(SUM(Painel_diario!$L$3007:$L$3017))-1</f>
        <v/>
      </c>
      <c r="C277" s="22">
        <f>EXP(SUM(Painel_diario!$L$3582:$L$3592))-1</f>
        <v/>
      </c>
      <c r="D277" s="22">
        <f>EXP(SUM(Painel_diario!$L$3950:$L$3960))-1</f>
        <v/>
      </c>
      <c r="E277" s="22">
        <f>EXP(SUM(Painel_diario!$L$4472:$L$4482))-1</f>
        <v/>
      </c>
      <c r="F277" s="22">
        <f>EXP(SUM(Painel_diario!$L$4635:$L$4645))-1</f>
        <v/>
      </c>
    </row>
    <row r="278">
      <c r="A278" t="n">
        <v>12</v>
      </c>
      <c r="B278" s="22">
        <f>EXP(SUM(Painel_diario!$L$3007:$L$3018))-1</f>
        <v/>
      </c>
      <c r="C278" s="22">
        <f>EXP(SUM(Painel_diario!$L$3582:$L$3593))-1</f>
        <v/>
      </c>
      <c r="D278" s="22">
        <f>EXP(SUM(Painel_diario!$L$3950:$L$3961))-1</f>
        <v/>
      </c>
      <c r="E278" s="22">
        <f>EXP(SUM(Painel_diario!$L$4472:$L$4483))-1</f>
        <v/>
      </c>
      <c r="F278" s="22">
        <f>EXP(SUM(Painel_diario!$L$4635:$L$4646))-1</f>
        <v/>
      </c>
    </row>
    <row r="279">
      <c r="A279" t="n">
        <v>13</v>
      </c>
      <c r="B279" s="22">
        <f>EXP(SUM(Painel_diario!$L$3007:$L$3019))-1</f>
        <v/>
      </c>
      <c r="C279" s="22">
        <f>EXP(SUM(Painel_diario!$L$3582:$L$3594))-1</f>
        <v/>
      </c>
      <c r="D279" s="22">
        <f>EXP(SUM(Painel_diario!$L$3950:$L$3962))-1</f>
        <v/>
      </c>
      <c r="E279" s="22">
        <f>EXP(SUM(Painel_diario!$L$4472:$L$4484))-1</f>
        <v/>
      </c>
      <c r="F279" s="22">
        <f>EXP(SUM(Painel_diario!$L$4635:$L$4647))-1</f>
        <v/>
      </c>
    </row>
    <row r="280">
      <c r="A280" t="n">
        <v>14</v>
      </c>
      <c r="B280" s="22">
        <f>EXP(SUM(Painel_diario!$L$3007:$L$3020))-1</f>
        <v/>
      </c>
      <c r="C280" s="22">
        <f>EXP(SUM(Painel_diario!$L$3582:$L$3595))-1</f>
        <v/>
      </c>
      <c r="D280" s="22">
        <f>EXP(SUM(Painel_diario!$L$3950:$L$3963))-1</f>
        <v/>
      </c>
      <c r="E280" s="22">
        <f>EXP(SUM(Painel_diario!$L$4472:$L$4485))-1</f>
        <v/>
      </c>
      <c r="F280" s="22">
        <f>EXP(SUM(Painel_diario!$L$4635:$L$4648))-1</f>
        <v/>
      </c>
    </row>
    <row r="281">
      <c r="A281" t="n">
        <v>15</v>
      </c>
      <c r="B281" s="22">
        <f>EXP(SUM(Painel_diario!$L$3007:$L$3021))-1</f>
        <v/>
      </c>
      <c r="C281" s="22">
        <f>EXP(SUM(Painel_diario!$L$3582:$L$3596))-1</f>
        <v/>
      </c>
      <c r="D281" s="22">
        <f>EXP(SUM(Painel_diario!$L$3950:$L$3964))-1</f>
        <v/>
      </c>
      <c r="E281" s="22">
        <f>EXP(SUM(Painel_diario!$L$4472:$L$4486))-1</f>
        <v/>
      </c>
      <c r="F281" s="22">
        <f>EXP(SUM(Painel_diario!$L$4635:$L$4649))-1</f>
        <v/>
      </c>
    </row>
    <row r="282">
      <c r="A282" t="n">
        <v>16</v>
      </c>
      <c r="B282" s="22">
        <f>EXP(SUM(Painel_diario!$L$3007:$L$3022))-1</f>
        <v/>
      </c>
      <c r="C282" s="22">
        <f>EXP(SUM(Painel_diario!$L$3582:$L$3597))-1</f>
        <v/>
      </c>
      <c r="D282" s="22">
        <f>EXP(SUM(Painel_diario!$L$3950:$L$3965))-1</f>
        <v/>
      </c>
      <c r="E282" s="22">
        <f>EXP(SUM(Painel_diario!$L$4472:$L$4487))-1</f>
        <v/>
      </c>
      <c r="F282" s="22">
        <f>EXP(SUM(Painel_diario!$L$4635:$L$4650))-1</f>
        <v/>
      </c>
    </row>
    <row r="283">
      <c r="A283" t="n">
        <v>17</v>
      </c>
      <c r="B283" s="22">
        <f>EXP(SUM(Painel_diario!$L$3007:$L$3023))-1</f>
        <v/>
      </c>
      <c r="C283" s="22">
        <f>EXP(SUM(Painel_diario!$L$3582:$L$3598))-1</f>
        <v/>
      </c>
      <c r="D283" s="22">
        <f>EXP(SUM(Painel_diario!$L$3950:$L$3966))-1</f>
        <v/>
      </c>
      <c r="E283" s="22">
        <f>EXP(SUM(Painel_diario!$L$4472:$L$4488))-1</f>
        <v/>
      </c>
      <c r="F283" s="22">
        <f>EXP(SUM(Painel_diario!$L$4635:$L$4651))-1</f>
        <v/>
      </c>
    </row>
    <row r="284">
      <c r="A284" t="n">
        <v>18</v>
      </c>
      <c r="B284" s="22">
        <f>EXP(SUM(Painel_diario!$L$3007:$L$3024))-1</f>
        <v/>
      </c>
      <c r="C284" s="22">
        <f>EXP(SUM(Painel_diario!$L$3582:$L$3599))-1</f>
        <v/>
      </c>
      <c r="D284" s="22">
        <f>EXP(SUM(Painel_diario!$L$3950:$L$3967))-1</f>
        <v/>
      </c>
      <c r="E284" s="22">
        <f>EXP(SUM(Painel_diario!$L$4472:$L$4489))-1</f>
        <v/>
      </c>
      <c r="F284" s="22">
        <f>EXP(SUM(Painel_diario!$L$4635:$L$4652))-1</f>
        <v/>
      </c>
    </row>
    <row r="285">
      <c r="A285" t="n">
        <v>19</v>
      </c>
      <c r="B285" s="22">
        <f>EXP(SUM(Painel_diario!$L$3007:$L$3025))-1</f>
        <v/>
      </c>
      <c r="C285" s="22">
        <f>EXP(SUM(Painel_diario!$L$3582:$L$3600))-1</f>
        <v/>
      </c>
      <c r="D285" s="22">
        <f>EXP(SUM(Painel_diario!$L$3950:$L$3968))-1</f>
        <v/>
      </c>
      <c r="E285" s="22">
        <f>EXP(SUM(Painel_diario!$L$4472:$L$4490))-1</f>
        <v/>
      </c>
      <c r="F285" s="22">
        <f>EXP(SUM(Painel_diario!$L$4635:$L$4653))-1</f>
        <v/>
      </c>
    </row>
    <row r="286">
      <c r="A286" t="n">
        <v>20</v>
      </c>
      <c r="B286" s="22">
        <f>EXP(SUM(Painel_diario!$L$3007:$L$3026))-1</f>
        <v/>
      </c>
      <c r="C286" s="22">
        <f>EXP(SUM(Painel_diario!$L$3582:$L$3601))-1</f>
        <v/>
      </c>
      <c r="D286" s="22">
        <f>EXP(SUM(Painel_diario!$L$3950:$L$3969))-1</f>
        <v/>
      </c>
      <c r="E286" s="22">
        <f>EXP(SUM(Painel_diario!$L$4472:$L$4491))-1</f>
        <v/>
      </c>
      <c r="F286" s="22">
        <f>EXP(SUM(Painel_diario!$L$4635:$L$4654))-1</f>
        <v/>
      </c>
    </row>
    <row r="287">
      <c r="A287" t="n">
        <v>21</v>
      </c>
      <c r="B287" s="22">
        <f>EXP(SUM(Painel_diario!$L$3007:$L$3027))-1</f>
        <v/>
      </c>
      <c r="C287" s="22">
        <f>EXP(SUM(Painel_diario!$L$3582:$L$3602))-1</f>
        <v/>
      </c>
      <c r="D287" s="22">
        <f>EXP(SUM(Painel_diario!$L$3950:$L$3970))-1</f>
        <v/>
      </c>
      <c r="E287" s="22">
        <f>EXP(SUM(Painel_diario!$L$4472:$L$4492))-1</f>
        <v/>
      </c>
      <c r="F287" s="22">
        <f>EXP(SUM(Painel_diario!$L$4635:$L$4655))-1</f>
        <v/>
      </c>
    </row>
    <row r="288">
      <c r="A288" t="n">
        <v>22</v>
      </c>
      <c r="B288" s="22">
        <f>EXP(SUM(Painel_diario!$L$3007:$L$3028))-1</f>
        <v/>
      </c>
      <c r="C288" s="22">
        <f>EXP(SUM(Painel_diario!$L$3582:$L$3603))-1</f>
        <v/>
      </c>
      <c r="D288" s="22">
        <f>EXP(SUM(Painel_diario!$L$3950:$L$3971))-1</f>
        <v/>
      </c>
      <c r="E288" s="22">
        <f>EXP(SUM(Painel_diario!$L$4472:$L$4493))-1</f>
        <v/>
      </c>
      <c r="F288" s="22">
        <f>EXP(SUM(Painel_diario!$L$4635:$L$4656))-1</f>
        <v/>
      </c>
    </row>
    <row r="289">
      <c r="A289" t="n">
        <v>23</v>
      </c>
      <c r="B289" s="22">
        <f>EXP(SUM(Painel_diario!$L$3007:$L$3029))-1</f>
        <v/>
      </c>
      <c r="C289" s="22">
        <f>EXP(SUM(Painel_diario!$L$3582:$L$3604))-1</f>
        <v/>
      </c>
      <c r="D289" s="22">
        <f>EXP(SUM(Painel_diario!$L$3950:$L$3972))-1</f>
        <v/>
      </c>
      <c r="E289" s="22">
        <f>EXP(SUM(Painel_diario!$L$4472:$L$4494))-1</f>
        <v/>
      </c>
      <c r="F289" s="22">
        <f>EXP(SUM(Painel_diario!$L$4635:$L$4657))-1</f>
        <v/>
      </c>
    </row>
    <row r="290">
      <c r="A290" t="n">
        <v>24</v>
      </c>
      <c r="B290" s="22">
        <f>EXP(SUM(Painel_diario!$L$3007:$L$3030))-1</f>
        <v/>
      </c>
      <c r="C290" s="22">
        <f>EXP(SUM(Painel_diario!$L$3582:$L$3605))-1</f>
        <v/>
      </c>
      <c r="D290" s="22">
        <f>EXP(SUM(Painel_diario!$L$3950:$L$3973))-1</f>
        <v/>
      </c>
      <c r="E290" s="22">
        <f>EXP(SUM(Painel_diario!$L$4472:$L$4495))-1</f>
        <v/>
      </c>
      <c r="F290" s="22">
        <f>EXP(SUM(Painel_diario!$L$4635:$L$4658))-1</f>
        <v/>
      </c>
    </row>
    <row r="291">
      <c r="A291" t="n">
        <v>25</v>
      </c>
      <c r="B291" s="22">
        <f>EXP(SUM(Painel_diario!$L$3007:$L$3031))-1</f>
        <v/>
      </c>
      <c r="C291" s="22">
        <f>EXP(SUM(Painel_diario!$L$3582:$L$3606))-1</f>
        <v/>
      </c>
      <c r="D291" s="22">
        <f>EXP(SUM(Painel_diario!$L$3950:$L$3974))-1</f>
        <v/>
      </c>
      <c r="E291" s="22">
        <f>EXP(SUM(Painel_diario!$L$4472:$L$4496))-1</f>
        <v/>
      </c>
      <c r="F291" s="22">
        <f>EXP(SUM(Painel_diario!$L$4635:$L$4659))-1</f>
        <v/>
      </c>
    </row>
    <row r="292">
      <c r="A292" t="n">
        <v>26</v>
      </c>
      <c r="B292" s="22">
        <f>EXP(SUM(Painel_diario!$L$3007:$L$3032))-1</f>
        <v/>
      </c>
      <c r="C292" s="22">
        <f>EXP(SUM(Painel_diario!$L$3582:$L$3607))-1</f>
        <v/>
      </c>
      <c r="D292" s="22">
        <f>EXP(SUM(Painel_diario!$L$3950:$L$3975))-1</f>
        <v/>
      </c>
      <c r="E292" s="22">
        <f>EXP(SUM(Painel_diario!$L$4472:$L$4497))-1</f>
        <v/>
      </c>
      <c r="F292" s="22">
        <f>EXP(SUM(Painel_diario!$L$4635:$L$4660))-1</f>
        <v/>
      </c>
    </row>
    <row r="293">
      <c r="A293" t="n">
        <v>27</v>
      </c>
      <c r="B293" s="22">
        <f>EXP(SUM(Painel_diario!$L$3007:$L$3033))-1</f>
        <v/>
      </c>
      <c r="C293" s="22">
        <f>EXP(SUM(Painel_diario!$L$3582:$L$3608))-1</f>
        <v/>
      </c>
      <c r="D293" s="22">
        <f>EXP(SUM(Painel_diario!$L$3950:$L$3976))-1</f>
        <v/>
      </c>
      <c r="E293" s="22">
        <f>EXP(SUM(Painel_diario!$L$4472:$L$4498))-1</f>
        <v/>
      </c>
      <c r="F293" s="22">
        <f>EXP(SUM(Painel_diario!$L$4635:$L$4661))-1</f>
        <v/>
      </c>
    </row>
    <row r="294">
      <c r="A294" t="n">
        <v>28</v>
      </c>
      <c r="B294" s="22">
        <f>EXP(SUM(Painel_diario!$L$3007:$L$3034))-1</f>
        <v/>
      </c>
      <c r="C294" s="22">
        <f>EXP(SUM(Painel_diario!$L$3582:$L$3609))-1</f>
        <v/>
      </c>
      <c r="D294" s="22">
        <f>EXP(SUM(Painel_diario!$L$3950:$L$3977))-1</f>
        <v/>
      </c>
      <c r="E294" s="22">
        <f>EXP(SUM(Painel_diario!$L$4472:$L$4499))-1</f>
        <v/>
      </c>
      <c r="F294" s="22">
        <f>EXP(SUM(Painel_diario!$L$4635:$L$4662))-1</f>
        <v/>
      </c>
    </row>
    <row r="295">
      <c r="A295" t="n">
        <v>29</v>
      </c>
      <c r="B295" s="22">
        <f>EXP(SUM(Painel_diario!$L$3007:$L$3035))-1</f>
        <v/>
      </c>
      <c r="C295" s="22">
        <f>EXP(SUM(Painel_diario!$L$3582:$L$3610))-1</f>
        <v/>
      </c>
      <c r="D295" s="22">
        <f>EXP(SUM(Painel_diario!$L$3950:$L$3978))-1</f>
        <v/>
      </c>
      <c r="E295" s="22">
        <f>EXP(SUM(Painel_diario!$L$4472:$L$4500))-1</f>
        <v/>
      </c>
      <c r="F295" s="22">
        <f>EXP(SUM(Painel_diario!$L$4635:$L$4663))-1</f>
        <v/>
      </c>
    </row>
    <row r="296">
      <c r="A296" t="n">
        <v>30</v>
      </c>
      <c r="B296" s="22">
        <f>EXP(SUM(Painel_diario!$L$3007:$L$3036))-1</f>
        <v/>
      </c>
      <c r="C296" s="22">
        <f>EXP(SUM(Painel_diario!$L$3582:$L$3611))-1</f>
        <v/>
      </c>
      <c r="D296" s="22">
        <f>EXP(SUM(Painel_diario!$L$3950:$L$3979))-1</f>
        <v/>
      </c>
      <c r="E296" s="22">
        <f>EXP(SUM(Painel_diario!$L$4472:$L$4501))-1</f>
        <v/>
      </c>
      <c r="F296" s="22">
        <f>EXP(SUM(Painel_diario!$L$4635:$L$4664))-1</f>
        <v/>
      </c>
    </row>
    <row r="297">
      <c r="A297" t="n">
        <v>31</v>
      </c>
      <c r="B297" s="22">
        <f>EXP(SUM(Painel_diario!$L$3007:$L$3037))-1</f>
        <v/>
      </c>
      <c r="C297" s="22">
        <f>EXP(SUM(Painel_diario!$L$3582:$L$3612))-1</f>
        <v/>
      </c>
      <c r="D297" s="22">
        <f>EXP(SUM(Painel_diario!$L$3950:$L$3980))-1</f>
        <v/>
      </c>
      <c r="E297" s="22">
        <f>EXP(SUM(Painel_diario!$L$4472:$L$4502))-1</f>
        <v/>
      </c>
      <c r="F297" s="22">
        <f>EXP(SUM(Painel_diario!$L$4635:$L$4665))-1</f>
        <v/>
      </c>
    </row>
    <row r="298">
      <c r="A298" t="n">
        <v>32</v>
      </c>
      <c r="B298" s="22">
        <f>EXP(SUM(Painel_diario!$L$3007:$L$3038))-1</f>
        <v/>
      </c>
      <c r="C298" s="22">
        <f>EXP(SUM(Painel_diario!$L$3582:$L$3613))-1</f>
        <v/>
      </c>
      <c r="D298" s="22">
        <f>EXP(SUM(Painel_diario!$L$3950:$L$3981))-1</f>
        <v/>
      </c>
      <c r="E298" s="22">
        <f>EXP(SUM(Painel_diario!$L$4472:$L$4503))-1</f>
        <v/>
      </c>
      <c r="F298" s="22">
        <f>EXP(SUM(Painel_diario!$L$4635:$L$4666))-1</f>
        <v/>
      </c>
    </row>
    <row r="299">
      <c r="A299" t="n">
        <v>33</v>
      </c>
      <c r="B299" s="22">
        <f>EXP(SUM(Painel_diario!$L$3007:$L$3039))-1</f>
        <v/>
      </c>
      <c r="C299" s="22">
        <f>EXP(SUM(Painel_diario!$L$3582:$L$3614))-1</f>
        <v/>
      </c>
      <c r="D299" s="22">
        <f>EXP(SUM(Painel_diario!$L$3950:$L$3982))-1</f>
        <v/>
      </c>
      <c r="E299" s="22">
        <f>EXP(SUM(Painel_diario!$L$4472:$L$4504))-1</f>
        <v/>
      </c>
      <c r="F299" s="22">
        <f>EXP(SUM(Painel_diario!$L$4635:$L$4667))-1</f>
        <v/>
      </c>
    </row>
    <row r="300">
      <c r="A300" t="n">
        <v>34</v>
      </c>
      <c r="B300" s="22">
        <f>EXP(SUM(Painel_diario!$L$3007:$L$3040))-1</f>
        <v/>
      </c>
      <c r="C300" s="22">
        <f>EXP(SUM(Painel_diario!$L$3582:$L$3615))-1</f>
        <v/>
      </c>
      <c r="D300" s="22">
        <f>EXP(SUM(Painel_diario!$L$3950:$L$3983))-1</f>
        <v/>
      </c>
      <c r="E300" s="22">
        <f>EXP(SUM(Painel_diario!$L$4472:$L$4505))-1</f>
        <v/>
      </c>
      <c r="F300" s="22">
        <f>EXP(SUM(Painel_diario!$L$4635:$L$4668))-1</f>
        <v/>
      </c>
    </row>
    <row r="301">
      <c r="A301" t="n">
        <v>35</v>
      </c>
      <c r="B301" s="22">
        <f>EXP(SUM(Painel_diario!$L$3007:$L$3041))-1</f>
        <v/>
      </c>
      <c r="C301" s="22">
        <f>EXP(SUM(Painel_diario!$L$3582:$L$3616))-1</f>
        <v/>
      </c>
      <c r="D301" s="22">
        <f>EXP(SUM(Painel_diario!$L$3950:$L$3984))-1</f>
        <v/>
      </c>
      <c r="E301" s="22">
        <f>EXP(SUM(Painel_diario!$L$4472:$L$4506))-1</f>
        <v/>
      </c>
      <c r="F301" s="22">
        <f>EXP(SUM(Painel_diario!$L$4635:$L$4669))-1</f>
        <v/>
      </c>
    </row>
    <row r="302">
      <c r="A302" t="n">
        <v>36</v>
      </c>
      <c r="B302" s="22">
        <f>EXP(SUM(Painel_diario!$L$3007:$L$3042))-1</f>
        <v/>
      </c>
      <c r="C302" s="22">
        <f>EXP(SUM(Painel_diario!$L$3582:$L$3617))-1</f>
        <v/>
      </c>
      <c r="D302" s="22">
        <f>EXP(SUM(Painel_diario!$L$3950:$L$3985))-1</f>
        <v/>
      </c>
      <c r="E302" s="22">
        <f>EXP(SUM(Painel_diario!$L$4472:$L$4507))-1</f>
        <v/>
      </c>
      <c r="F302" s="22">
        <f>EXP(SUM(Painel_diario!$L$4635:$L$4670))-1</f>
        <v/>
      </c>
    </row>
    <row r="303">
      <c r="A303" t="n">
        <v>37</v>
      </c>
      <c r="B303" s="22">
        <f>EXP(SUM(Painel_diario!$L$3007:$L$3043))-1</f>
        <v/>
      </c>
      <c r="C303" s="22">
        <f>EXP(SUM(Painel_diario!$L$3582:$L$3618))-1</f>
        <v/>
      </c>
      <c r="D303" s="22">
        <f>EXP(SUM(Painel_diario!$L$3950:$L$3986))-1</f>
        <v/>
      </c>
      <c r="E303" s="22">
        <f>EXP(SUM(Painel_diario!$L$4472:$L$4508))-1</f>
        <v/>
      </c>
      <c r="F303" s="22">
        <f>EXP(SUM(Painel_diario!$L$4635:$L$4671))-1</f>
        <v/>
      </c>
    </row>
    <row r="304">
      <c r="A304" t="n">
        <v>38</v>
      </c>
      <c r="B304" s="22">
        <f>EXP(SUM(Painel_diario!$L$3007:$L$3044))-1</f>
        <v/>
      </c>
      <c r="C304" s="22">
        <f>EXP(SUM(Painel_diario!$L$3582:$L$3619))-1</f>
        <v/>
      </c>
      <c r="D304" s="22">
        <f>EXP(SUM(Painel_diario!$L$3950:$L$3987))-1</f>
        <v/>
      </c>
      <c r="E304" s="22">
        <f>EXP(SUM(Painel_diario!$L$4472:$L$4509))-1</f>
        <v/>
      </c>
      <c r="F304" s="22">
        <f>EXP(SUM(Painel_diario!$L$4635:$L$4672))-1</f>
        <v/>
      </c>
    </row>
    <row r="305">
      <c r="A305" t="n">
        <v>39</v>
      </c>
      <c r="B305" s="22">
        <f>EXP(SUM(Painel_diario!$L$3007:$L$3045))-1</f>
        <v/>
      </c>
      <c r="C305" s="22">
        <f>EXP(SUM(Painel_diario!$L$3582:$L$3620))-1</f>
        <v/>
      </c>
      <c r="D305" s="22">
        <f>EXP(SUM(Painel_diario!$L$3950:$L$3988))-1</f>
        <v/>
      </c>
      <c r="E305" s="22">
        <f>EXP(SUM(Painel_diario!$L$4472:$L$4510))-1</f>
        <v/>
      </c>
      <c r="F305" s="22">
        <f>EXP(SUM(Painel_diario!$L$4635:$L$4673))-1</f>
        <v/>
      </c>
    </row>
    <row r="306">
      <c r="A306" t="n">
        <v>40</v>
      </c>
      <c r="B306" s="22">
        <f>EXP(SUM(Painel_diario!$L$3007:$L$3046))-1</f>
        <v/>
      </c>
      <c r="C306" s="22">
        <f>EXP(SUM(Painel_diario!$L$3582:$L$3621))-1</f>
        <v/>
      </c>
      <c r="D306" s="22">
        <f>EXP(SUM(Painel_diario!$L$3950:$L$3989))-1</f>
        <v/>
      </c>
      <c r="E306" s="22">
        <f>EXP(SUM(Painel_diario!$L$4472:$L$4511))-1</f>
        <v/>
      </c>
      <c r="F306" s="22">
        <f>EXP(SUM(Painel_diario!$L$4635:$L$4674))-1</f>
        <v/>
      </c>
    </row>
    <row r="307">
      <c r="A307" t="n">
        <v>41</v>
      </c>
      <c r="B307" s="22">
        <f>EXP(SUM(Painel_diario!$L$3007:$L$3047))-1</f>
        <v/>
      </c>
      <c r="C307" s="22">
        <f>EXP(SUM(Painel_diario!$L$3582:$L$3622))-1</f>
        <v/>
      </c>
      <c r="D307" s="22">
        <f>EXP(SUM(Painel_diario!$L$3950:$L$3990))-1</f>
        <v/>
      </c>
      <c r="E307" s="22">
        <f>EXP(SUM(Painel_diario!$L$4472:$L$4512))-1</f>
        <v/>
      </c>
      <c r="F307" s="22">
        <f>EXP(SUM(Painel_diario!$L$4635:$L$4675))-1</f>
        <v/>
      </c>
    </row>
    <row r="308">
      <c r="A308" t="n">
        <v>42</v>
      </c>
      <c r="B308" s="22">
        <f>EXP(SUM(Painel_diario!$L$3007:$L$3048))-1</f>
        <v/>
      </c>
      <c r="C308" s="22">
        <f>EXP(SUM(Painel_diario!$L$3582:$L$3623))-1</f>
        <v/>
      </c>
      <c r="D308" s="22">
        <f>EXP(SUM(Painel_diario!$L$3950:$L$3991))-1</f>
        <v/>
      </c>
      <c r="E308" s="22">
        <f>EXP(SUM(Painel_diario!$L$4472:$L$4513))-1</f>
        <v/>
      </c>
      <c r="F308" s="22">
        <f>EXP(SUM(Painel_diario!$L$4635:$L$4676))-1</f>
        <v/>
      </c>
    </row>
    <row r="309">
      <c r="A309" t="n">
        <v>43</v>
      </c>
      <c r="B309" s="22">
        <f>EXP(SUM(Painel_diario!$L$3007:$L$3049))-1</f>
        <v/>
      </c>
      <c r="C309" s="22">
        <f>EXP(SUM(Painel_diario!$L$3582:$L$3624))-1</f>
        <v/>
      </c>
      <c r="D309" s="22">
        <f>EXP(SUM(Painel_diario!$L$3950:$L$3992))-1</f>
        <v/>
      </c>
      <c r="E309" s="22">
        <f>EXP(SUM(Painel_diario!$L$4472:$L$4514))-1</f>
        <v/>
      </c>
      <c r="F309" s="22">
        <f>EXP(SUM(Painel_diario!$L$4635:$L$4677))-1</f>
        <v/>
      </c>
    </row>
    <row r="310">
      <c r="A310" t="n">
        <v>44</v>
      </c>
      <c r="B310" s="22">
        <f>EXP(SUM(Painel_diario!$L$3007:$L$3050))-1</f>
        <v/>
      </c>
      <c r="C310" s="22">
        <f>EXP(SUM(Painel_diario!$L$3582:$L$3625))-1</f>
        <v/>
      </c>
      <c r="D310" s="22">
        <f>EXP(SUM(Painel_diario!$L$3950:$L$3993))-1</f>
        <v/>
      </c>
      <c r="E310" s="22">
        <f>EXP(SUM(Painel_diario!$L$4472:$L$4515))-1</f>
        <v/>
      </c>
      <c r="F310" s="22">
        <f>EXP(SUM(Painel_diario!$L$4635:$L$4678))-1</f>
        <v/>
      </c>
    </row>
    <row r="311">
      <c r="A311" t="n">
        <v>45</v>
      </c>
      <c r="B311" s="22">
        <f>EXP(SUM(Painel_diario!$L$3007:$L$3051))-1</f>
        <v/>
      </c>
      <c r="C311" s="22">
        <f>EXP(SUM(Painel_diario!$L$3582:$L$3626))-1</f>
        <v/>
      </c>
      <c r="D311" s="22">
        <f>EXP(SUM(Painel_diario!$L$3950:$L$3994))-1</f>
        <v/>
      </c>
      <c r="E311" s="22">
        <f>EXP(SUM(Painel_diario!$L$4472:$L$4516))-1</f>
        <v/>
      </c>
      <c r="F311" s="22">
        <f>EXP(SUM(Painel_diario!$L$4635:$L$4679))-1</f>
        <v/>
      </c>
    </row>
    <row r="312">
      <c r="A312" t="n">
        <v>46</v>
      </c>
      <c r="B312" s="22">
        <f>EXP(SUM(Painel_diario!$L$3007:$L$3052))-1</f>
        <v/>
      </c>
      <c r="C312" s="22">
        <f>EXP(SUM(Painel_diario!$L$3582:$L$3627))-1</f>
        <v/>
      </c>
      <c r="D312" s="22">
        <f>EXP(SUM(Painel_diario!$L$3950:$L$3995))-1</f>
        <v/>
      </c>
      <c r="E312" s="22">
        <f>EXP(SUM(Painel_diario!$L$4472:$L$4517))-1</f>
        <v/>
      </c>
      <c r="F312" s="22">
        <f>EXP(SUM(Painel_diario!$L$4635:$L$4680))-1</f>
        <v/>
      </c>
    </row>
    <row r="313">
      <c r="A313" t="n">
        <v>47</v>
      </c>
      <c r="B313" s="22">
        <f>EXP(SUM(Painel_diario!$L$3007:$L$3053))-1</f>
        <v/>
      </c>
      <c r="C313" s="22">
        <f>EXP(SUM(Painel_diario!$L$3582:$L$3628))-1</f>
        <v/>
      </c>
      <c r="D313" s="22">
        <f>EXP(SUM(Painel_diario!$L$3950:$L$3996))-1</f>
        <v/>
      </c>
      <c r="E313" s="22">
        <f>EXP(SUM(Painel_diario!$L$4472:$L$4518))-1</f>
        <v/>
      </c>
      <c r="F313" s="22">
        <f>EXP(SUM(Painel_diario!$L$4635:$L$4681))-1</f>
        <v/>
      </c>
    </row>
    <row r="314">
      <c r="A314" t="n">
        <v>48</v>
      </c>
      <c r="B314" s="22">
        <f>EXP(SUM(Painel_diario!$L$3007:$L$3054))-1</f>
        <v/>
      </c>
      <c r="C314" s="22">
        <f>EXP(SUM(Painel_diario!$L$3582:$L$3629))-1</f>
        <v/>
      </c>
      <c r="D314" s="22">
        <f>EXP(SUM(Painel_diario!$L$3950:$L$3997))-1</f>
        <v/>
      </c>
      <c r="E314" s="22">
        <f>EXP(SUM(Painel_diario!$L$4472:$L$4519))-1</f>
        <v/>
      </c>
      <c r="F314" s="22">
        <f>EXP(SUM(Painel_diario!$L$4635:$L$4682))-1</f>
        <v/>
      </c>
    </row>
    <row r="315">
      <c r="A315" t="n">
        <v>49</v>
      </c>
      <c r="B315" s="22">
        <f>EXP(SUM(Painel_diario!$L$3007:$L$3055))-1</f>
        <v/>
      </c>
      <c r="C315" s="22">
        <f>EXP(SUM(Painel_diario!$L$3582:$L$3630))-1</f>
        <v/>
      </c>
      <c r="D315" s="22">
        <f>EXP(SUM(Painel_diario!$L$3950:$L$3998))-1</f>
        <v/>
      </c>
      <c r="E315" s="22">
        <f>EXP(SUM(Painel_diario!$L$4472:$L$4520))-1</f>
        <v/>
      </c>
      <c r="F315" s="22">
        <f>EXP(SUM(Painel_diario!$L$4635:$L$4683))-1</f>
        <v/>
      </c>
    </row>
    <row r="316">
      <c r="A316" t="n">
        <v>50</v>
      </c>
      <c r="B316" s="22">
        <f>EXP(SUM(Painel_diario!$L$3007:$L$3056))-1</f>
        <v/>
      </c>
      <c r="C316" s="22">
        <f>EXP(SUM(Painel_diario!$L$3582:$L$3631))-1</f>
        <v/>
      </c>
      <c r="D316" s="22">
        <f>EXP(SUM(Painel_diario!$L$3950:$L$3999))-1</f>
        <v/>
      </c>
      <c r="E316" s="22">
        <f>EXP(SUM(Painel_diario!$L$4472:$L$4521))-1</f>
        <v/>
      </c>
      <c r="F316" s="22">
        <f>EXP(SUM(Painel_diario!$L$4635:$L$4684))-1</f>
        <v/>
      </c>
    </row>
    <row r="317">
      <c r="A317" t="n">
        <v>51</v>
      </c>
      <c r="B317" s="22">
        <f>EXP(SUM(Painel_diario!$L$3007:$L$3057))-1</f>
        <v/>
      </c>
      <c r="C317" s="22">
        <f>EXP(SUM(Painel_diario!$L$3582:$L$3632))-1</f>
        <v/>
      </c>
      <c r="D317" s="22">
        <f>EXP(SUM(Painel_diario!$L$3950:$L$4000))-1</f>
        <v/>
      </c>
      <c r="E317" s="22">
        <f>EXP(SUM(Painel_diario!$L$4472:$L$4522))-1</f>
        <v/>
      </c>
      <c r="F317" s="22">
        <f>EXP(SUM(Painel_diario!$L$4635:$L$4685))-1</f>
        <v/>
      </c>
    </row>
    <row r="318">
      <c r="A318" t="n">
        <v>52</v>
      </c>
      <c r="B318" s="22">
        <f>EXP(SUM(Painel_diario!$L$3007:$L$3058))-1</f>
        <v/>
      </c>
      <c r="C318" s="22">
        <f>EXP(SUM(Painel_diario!$L$3582:$L$3633))-1</f>
        <v/>
      </c>
      <c r="D318" s="22">
        <f>EXP(SUM(Painel_diario!$L$3950:$L$4001))-1</f>
        <v/>
      </c>
      <c r="E318" s="22">
        <f>EXP(SUM(Painel_diario!$L$4472:$L$4523))-1</f>
        <v/>
      </c>
      <c r="F318" s="22">
        <f>EXP(SUM(Painel_diario!$L$4635:$L$4686))-1</f>
        <v/>
      </c>
    </row>
    <row r="319">
      <c r="A319" t="n">
        <v>53</v>
      </c>
      <c r="B319" s="22">
        <f>EXP(SUM(Painel_diario!$L$3007:$L$3059))-1</f>
        <v/>
      </c>
      <c r="C319" s="22">
        <f>EXP(SUM(Painel_diario!$L$3582:$L$3634))-1</f>
        <v/>
      </c>
      <c r="D319" s="22">
        <f>EXP(SUM(Painel_diario!$L$3950:$L$4002))-1</f>
        <v/>
      </c>
      <c r="E319" s="22">
        <f>EXP(SUM(Painel_diario!$L$4472:$L$4524))-1</f>
        <v/>
      </c>
      <c r="F319" s="22">
        <f>EXP(SUM(Painel_diario!$L$4635:$L$4687))-1</f>
        <v/>
      </c>
    </row>
    <row r="320">
      <c r="A320" t="n">
        <v>54</v>
      </c>
      <c r="B320" s="22">
        <f>EXP(SUM(Painel_diario!$L$3007:$L$3060))-1</f>
        <v/>
      </c>
      <c r="C320" s="22">
        <f>EXP(SUM(Painel_diario!$L$3582:$L$3635))-1</f>
        <v/>
      </c>
      <c r="D320" s="22">
        <f>EXP(SUM(Painel_diario!$L$3950:$L$4003))-1</f>
        <v/>
      </c>
      <c r="E320" s="22">
        <f>EXP(SUM(Painel_diario!$L$4472:$L$4525))-1</f>
        <v/>
      </c>
      <c r="F320" s="22">
        <f>EXP(SUM(Painel_diario!$L$4635:$L$4688))-1</f>
        <v/>
      </c>
    </row>
    <row r="321">
      <c r="A321" t="n">
        <v>55</v>
      </c>
      <c r="B321" s="22">
        <f>EXP(SUM(Painel_diario!$L$3007:$L$3061))-1</f>
        <v/>
      </c>
      <c r="C321" s="22">
        <f>EXP(SUM(Painel_diario!$L$3582:$L$3636))-1</f>
        <v/>
      </c>
      <c r="D321" s="22">
        <f>EXP(SUM(Painel_diario!$L$3950:$L$4004))-1</f>
        <v/>
      </c>
      <c r="E321" s="22">
        <f>EXP(SUM(Painel_diario!$L$4472:$L$4526))-1</f>
        <v/>
      </c>
      <c r="F321" s="22">
        <f>EXP(SUM(Painel_diario!$L$4635:$L$4689))-1</f>
        <v/>
      </c>
    </row>
    <row r="322">
      <c r="A322" t="n">
        <v>56</v>
      </c>
      <c r="B322" s="22">
        <f>EXP(SUM(Painel_diario!$L$3007:$L$3062))-1</f>
        <v/>
      </c>
      <c r="C322" s="22">
        <f>EXP(SUM(Painel_diario!$L$3582:$L$3637))-1</f>
        <v/>
      </c>
      <c r="D322" s="22">
        <f>EXP(SUM(Painel_diario!$L$3950:$L$4005))-1</f>
        <v/>
      </c>
      <c r="E322" s="22">
        <f>EXP(SUM(Painel_diario!$L$4472:$L$4527))-1</f>
        <v/>
      </c>
      <c r="F322" s="22">
        <f>EXP(SUM(Painel_diario!$L$4635:$L$4690))-1</f>
        <v/>
      </c>
    </row>
    <row r="323">
      <c r="A323" t="n">
        <v>57</v>
      </c>
      <c r="B323" s="22">
        <f>EXP(SUM(Painel_diario!$L$3007:$L$3063))-1</f>
        <v/>
      </c>
      <c r="C323" s="22">
        <f>EXP(SUM(Painel_diario!$L$3582:$L$3638))-1</f>
        <v/>
      </c>
      <c r="D323" s="22">
        <f>EXP(SUM(Painel_diario!$L$3950:$L$4006))-1</f>
        <v/>
      </c>
      <c r="E323" s="22">
        <f>EXP(SUM(Painel_diario!$L$4472:$L$4528))-1</f>
        <v/>
      </c>
      <c r="F323" s="22">
        <f>EXP(SUM(Painel_diario!$L$4635:$L$4691))-1</f>
        <v/>
      </c>
    </row>
    <row r="324">
      <c r="A324" t="n">
        <v>58</v>
      </c>
      <c r="B324" s="22">
        <f>EXP(SUM(Painel_diario!$L$3007:$L$3064))-1</f>
        <v/>
      </c>
      <c r="C324" s="22">
        <f>EXP(SUM(Painel_diario!$L$3582:$L$3639))-1</f>
        <v/>
      </c>
      <c r="D324" s="22">
        <f>EXP(SUM(Painel_diario!$L$3950:$L$4007))-1</f>
        <v/>
      </c>
      <c r="E324" s="22">
        <f>EXP(SUM(Painel_diario!$L$4472:$L$4529))-1</f>
        <v/>
      </c>
      <c r="F324" s="22">
        <f>EXP(SUM(Painel_diario!$L$4635:$L$4692))-1</f>
        <v/>
      </c>
    </row>
    <row r="325">
      <c r="A325" t="n">
        <v>59</v>
      </c>
      <c r="B325" s="22">
        <f>EXP(SUM(Painel_diario!$L$3007:$L$3065))-1</f>
        <v/>
      </c>
      <c r="C325" s="22">
        <f>EXP(SUM(Painel_diario!$L$3582:$L$3640))-1</f>
        <v/>
      </c>
      <c r="D325" s="22">
        <f>EXP(SUM(Painel_diario!$L$3950:$L$4008))-1</f>
        <v/>
      </c>
      <c r="E325" s="22">
        <f>EXP(SUM(Painel_diario!$L$4472:$L$4530))-1</f>
        <v/>
      </c>
      <c r="F325" s="22">
        <f>EXP(SUM(Painel_diario!$L$4635:$L$4693))-1</f>
        <v/>
      </c>
    </row>
    <row r="326">
      <c r="A326" t="n">
        <v>60</v>
      </c>
      <c r="B326" s="22">
        <f>EXP(SUM(Painel_diario!$L$3007:$L$3066))-1</f>
        <v/>
      </c>
      <c r="C326" s="22">
        <f>EXP(SUM(Painel_diario!$L$3582:$L$3641))-1</f>
        <v/>
      </c>
      <c r="D326" s="22">
        <f>EXP(SUM(Painel_diario!$L$3950:$L$4009))-1</f>
        <v/>
      </c>
      <c r="E326" s="22">
        <f>EXP(SUM(Painel_diario!$L$4472:$L$4531))-1</f>
        <v/>
      </c>
      <c r="F326" s="22">
        <f>EXP(SUM(Painel_diario!$L$4635:$L$4694))-1</f>
        <v/>
      </c>
    </row>
    <row r="327">
      <c r="A327" t="n">
        <v>61</v>
      </c>
      <c r="B327" s="22">
        <f>EXP(SUM(Painel_diario!$L$3007:$L$3067))-1</f>
        <v/>
      </c>
      <c r="C327" s="22">
        <f>EXP(SUM(Painel_diario!$L$3582:$L$3642))-1</f>
        <v/>
      </c>
      <c r="D327" s="22">
        <f>EXP(SUM(Painel_diario!$L$3950:$L$4010))-1</f>
        <v/>
      </c>
      <c r="E327" s="22">
        <f>EXP(SUM(Painel_diario!$L$4472:$L$4532))-1</f>
        <v/>
      </c>
      <c r="F327" s="22">
        <f>EXP(SUM(Painel_diario!$L$4635:$L$4695))-1</f>
        <v/>
      </c>
    </row>
    <row r="328">
      <c r="A328" t="n">
        <v>62</v>
      </c>
      <c r="B328" s="22">
        <f>EXP(SUM(Painel_diario!$L$3007:$L$3068))-1</f>
        <v/>
      </c>
      <c r="C328" s="22">
        <f>EXP(SUM(Painel_diario!$L$3582:$L$3643))-1</f>
        <v/>
      </c>
      <c r="D328" s="22">
        <f>EXP(SUM(Painel_diario!$L$3950:$L$4011))-1</f>
        <v/>
      </c>
      <c r="E328" s="22">
        <f>EXP(SUM(Painel_diario!$L$4472:$L$4533))-1</f>
        <v/>
      </c>
      <c r="F328" s="22">
        <f>EXP(SUM(Painel_diario!$L$4635:$L$4696))-1</f>
        <v/>
      </c>
    </row>
    <row r="329">
      <c r="A329" t="n">
        <v>63</v>
      </c>
      <c r="B329" s="22">
        <f>EXP(SUM(Painel_diario!$L$3007:$L$3069))-1</f>
        <v/>
      </c>
      <c r="C329" s="22">
        <f>EXP(SUM(Painel_diario!$L$3582:$L$3644))-1</f>
        <v/>
      </c>
      <c r="D329" s="22">
        <f>EXP(SUM(Painel_diario!$L$3950:$L$4012))-1</f>
        <v/>
      </c>
      <c r="E329" s="22">
        <f>EXP(SUM(Painel_diario!$L$4472:$L$4534))-1</f>
        <v/>
      </c>
      <c r="F329" s="22">
        <f>EXP(SUM(Painel_diario!$L$4635:$L$4697))-1</f>
        <v/>
      </c>
    </row>
    <row r="330">
      <c r="A330" t="n">
        <v>64</v>
      </c>
      <c r="B330" s="22">
        <f>EXP(SUM(Painel_diario!$L$3007:$L$3070))-1</f>
        <v/>
      </c>
      <c r="C330" s="22">
        <f>EXP(SUM(Painel_diario!$L$3582:$L$3645))-1</f>
        <v/>
      </c>
      <c r="D330" s="22">
        <f>EXP(SUM(Painel_diario!$L$3950:$L$4013))-1</f>
        <v/>
      </c>
      <c r="E330" s="22">
        <f>EXP(SUM(Painel_diario!$L$4472:$L$4535))-1</f>
        <v/>
      </c>
      <c r="F330" s="22">
        <f>EXP(SUM(Painel_diario!$L$4635:$L$4698))-1</f>
        <v/>
      </c>
    </row>
    <row r="331">
      <c r="A331" t="n">
        <v>65</v>
      </c>
      <c r="B331" s="22">
        <f>EXP(SUM(Painel_diario!$L$3007:$L$3071))-1</f>
        <v/>
      </c>
      <c r="C331" s="22">
        <f>EXP(SUM(Painel_diario!$L$3582:$L$3646))-1</f>
        <v/>
      </c>
      <c r="D331" s="22">
        <f>EXP(SUM(Painel_diario!$L$3950:$L$4014))-1</f>
        <v/>
      </c>
      <c r="E331" s="22">
        <f>EXP(SUM(Painel_diario!$L$4472:$L$4536))-1</f>
        <v/>
      </c>
      <c r="F331" s="22">
        <f>EXP(SUM(Painel_diario!$L$4635:$L$4699))-1</f>
        <v/>
      </c>
    </row>
    <row r="332">
      <c r="A332" t="n">
        <v>66</v>
      </c>
      <c r="B332" s="22">
        <f>EXP(SUM(Painel_diario!$L$3007:$L$3072))-1</f>
        <v/>
      </c>
      <c r="C332" s="22">
        <f>EXP(SUM(Painel_diario!$L$3582:$L$3647))-1</f>
        <v/>
      </c>
      <c r="D332" s="22">
        <f>EXP(SUM(Painel_diario!$L$3950:$L$4015))-1</f>
        <v/>
      </c>
      <c r="E332" s="22">
        <f>EXP(SUM(Painel_diario!$L$4472:$L$4537))-1</f>
        <v/>
      </c>
      <c r="F332" s="22">
        <f>EXP(SUM(Painel_diario!$L$4635:$L$4700))-1</f>
        <v/>
      </c>
    </row>
    <row r="333">
      <c r="A333" t="n">
        <v>67</v>
      </c>
      <c r="B333" s="22">
        <f>EXP(SUM(Painel_diario!$L$3007:$L$3073))-1</f>
        <v/>
      </c>
      <c r="C333" s="22">
        <f>EXP(SUM(Painel_diario!$L$3582:$L$3648))-1</f>
        <v/>
      </c>
      <c r="D333" s="22">
        <f>EXP(SUM(Painel_diario!$L$3950:$L$4016))-1</f>
        <v/>
      </c>
      <c r="E333" s="22">
        <f>EXP(SUM(Painel_diario!$L$4472:$L$4538))-1</f>
        <v/>
      </c>
      <c r="F333" s="22">
        <f>EXP(SUM(Painel_diario!$L$4635:$L$4701))-1</f>
        <v/>
      </c>
    </row>
    <row r="334">
      <c r="A334" t="n">
        <v>68</v>
      </c>
      <c r="B334" s="22">
        <f>EXP(SUM(Painel_diario!$L$3007:$L$3074))-1</f>
        <v/>
      </c>
      <c r="C334" s="22">
        <f>EXP(SUM(Painel_diario!$L$3582:$L$3649))-1</f>
        <v/>
      </c>
      <c r="D334" s="22">
        <f>EXP(SUM(Painel_diario!$L$3950:$L$4017))-1</f>
        <v/>
      </c>
      <c r="E334" s="22">
        <f>EXP(SUM(Painel_diario!$L$4472:$L$4539))-1</f>
        <v/>
      </c>
      <c r="F334" s="22">
        <f>EXP(SUM(Painel_diario!$L$4635:$L$4702))-1</f>
        <v/>
      </c>
    </row>
    <row r="335">
      <c r="A335" t="n">
        <v>69</v>
      </c>
      <c r="B335" s="22">
        <f>EXP(SUM(Painel_diario!$L$3007:$L$3075))-1</f>
        <v/>
      </c>
      <c r="C335" s="22">
        <f>EXP(SUM(Painel_diario!$L$3582:$L$3650))-1</f>
        <v/>
      </c>
      <c r="D335" s="22">
        <f>EXP(SUM(Painel_diario!$L$3950:$L$4018))-1</f>
        <v/>
      </c>
      <c r="E335" s="22">
        <f>EXP(SUM(Painel_diario!$L$4472:$L$4540))-1</f>
        <v/>
      </c>
      <c r="F335" s="22">
        <f>EXP(SUM(Painel_diario!$L$4635:$L$4703))-1</f>
        <v/>
      </c>
    </row>
    <row r="336">
      <c r="A336" t="n">
        <v>70</v>
      </c>
      <c r="B336" s="22">
        <f>EXP(SUM(Painel_diario!$L$3007:$L$3076))-1</f>
        <v/>
      </c>
      <c r="C336" s="22">
        <f>EXP(SUM(Painel_diario!$L$3582:$L$3651))-1</f>
        <v/>
      </c>
      <c r="D336" s="22">
        <f>EXP(SUM(Painel_diario!$L$3950:$L$4019))-1</f>
        <v/>
      </c>
      <c r="E336" s="22">
        <f>EXP(SUM(Painel_diario!$L$4472:$L$4541))-1</f>
        <v/>
      </c>
      <c r="F336" s="22">
        <f>EXP(SUM(Painel_diario!$L$4635:$L$4704))-1</f>
        <v/>
      </c>
    </row>
    <row r="337">
      <c r="A337" t="n">
        <v>71</v>
      </c>
      <c r="B337" s="22">
        <f>EXP(SUM(Painel_diario!$L$3007:$L$3077))-1</f>
        <v/>
      </c>
      <c r="C337" s="22">
        <f>EXP(SUM(Painel_diario!$L$3582:$L$3652))-1</f>
        <v/>
      </c>
      <c r="D337" s="22">
        <f>EXP(SUM(Painel_diario!$L$3950:$L$4020))-1</f>
        <v/>
      </c>
      <c r="E337" s="22">
        <f>EXP(SUM(Painel_diario!$L$4472:$L$4542))-1</f>
        <v/>
      </c>
      <c r="F337" s="22">
        <f>EXP(SUM(Painel_diario!$L$4635:$L$4705))-1</f>
        <v/>
      </c>
    </row>
    <row r="338">
      <c r="A338" t="n">
        <v>72</v>
      </c>
      <c r="B338" s="22">
        <f>EXP(SUM(Painel_diario!$L$3007:$L$3078))-1</f>
        <v/>
      </c>
      <c r="C338" s="22">
        <f>EXP(SUM(Painel_diario!$L$3582:$L$3653))-1</f>
        <v/>
      </c>
      <c r="D338" s="22">
        <f>EXP(SUM(Painel_diario!$L$3950:$L$4021))-1</f>
        <v/>
      </c>
      <c r="E338" s="22">
        <f>EXP(SUM(Painel_diario!$L$4472:$L$4543))-1</f>
        <v/>
      </c>
      <c r="F338" s="22">
        <f>EXP(SUM(Painel_diario!$L$4635:$L$4706))-1</f>
        <v/>
      </c>
    </row>
    <row r="339">
      <c r="A339" t="n">
        <v>73</v>
      </c>
      <c r="B339" s="22">
        <f>EXP(SUM(Painel_diario!$L$3007:$L$3079))-1</f>
        <v/>
      </c>
      <c r="C339" s="22">
        <f>EXP(SUM(Painel_diario!$L$3582:$L$3654))-1</f>
        <v/>
      </c>
      <c r="D339" s="22">
        <f>EXP(SUM(Painel_diario!$L$3950:$L$4022))-1</f>
        <v/>
      </c>
      <c r="E339" s="22">
        <f>EXP(SUM(Painel_diario!$L$4472:$L$4544))-1</f>
        <v/>
      </c>
      <c r="F339" s="22">
        <f>EXP(SUM(Painel_diario!$L$4635:$L$4707))-1</f>
        <v/>
      </c>
    </row>
    <row r="340">
      <c r="A340" t="n">
        <v>74</v>
      </c>
      <c r="B340" s="22">
        <f>EXP(SUM(Painel_diario!$L$3007:$L$3080))-1</f>
        <v/>
      </c>
      <c r="C340" s="22">
        <f>EXP(SUM(Painel_diario!$L$3582:$L$3655))-1</f>
        <v/>
      </c>
      <c r="D340" s="22">
        <f>EXP(SUM(Painel_diario!$L$3950:$L$4023))-1</f>
        <v/>
      </c>
      <c r="E340" s="22">
        <f>EXP(SUM(Painel_diario!$L$4472:$L$4545))-1</f>
        <v/>
      </c>
      <c r="F340" s="22">
        <f>EXP(SUM(Painel_diario!$L$4635:$L$4708))-1</f>
        <v/>
      </c>
    </row>
    <row r="341">
      <c r="A341" t="n">
        <v>75</v>
      </c>
      <c r="B341" s="22">
        <f>EXP(SUM(Painel_diario!$L$3007:$L$3081))-1</f>
        <v/>
      </c>
      <c r="C341" s="22">
        <f>EXP(SUM(Painel_diario!$L$3582:$L$3656))-1</f>
        <v/>
      </c>
      <c r="D341" s="22">
        <f>EXP(SUM(Painel_diario!$L$3950:$L$4024))-1</f>
        <v/>
      </c>
      <c r="E341" s="22">
        <f>EXP(SUM(Painel_diario!$L$4472:$L$4546))-1</f>
        <v/>
      </c>
      <c r="F341" s="22">
        <f>EXP(SUM(Painel_diario!$L$4635:$L$4709))-1</f>
        <v/>
      </c>
    </row>
    <row r="342">
      <c r="A342" t="n">
        <v>76</v>
      </c>
      <c r="B342" s="22">
        <f>EXP(SUM(Painel_diario!$L$3007:$L$3082))-1</f>
        <v/>
      </c>
      <c r="C342" s="22">
        <f>EXP(SUM(Painel_diario!$L$3582:$L$3657))-1</f>
        <v/>
      </c>
      <c r="D342" s="22">
        <f>EXP(SUM(Painel_diario!$L$3950:$L$4025))-1</f>
        <v/>
      </c>
      <c r="E342" s="22">
        <f>EXP(SUM(Painel_diario!$L$4472:$L$4547))-1</f>
        <v/>
      </c>
      <c r="F342" s="22">
        <f>EXP(SUM(Painel_diario!$L$4635:$L$4710))-1</f>
        <v/>
      </c>
    </row>
    <row r="343">
      <c r="A343" t="n">
        <v>77</v>
      </c>
      <c r="B343" s="22">
        <f>EXP(SUM(Painel_diario!$L$3007:$L$3083))-1</f>
        <v/>
      </c>
      <c r="C343" s="22">
        <f>EXP(SUM(Painel_diario!$L$3582:$L$3658))-1</f>
        <v/>
      </c>
      <c r="D343" s="22">
        <f>EXP(SUM(Painel_diario!$L$3950:$L$4026))-1</f>
        <v/>
      </c>
      <c r="E343" s="22">
        <f>EXP(SUM(Painel_diario!$L$4472:$L$4548))-1</f>
        <v/>
      </c>
      <c r="F343" s="22">
        <f>EXP(SUM(Painel_diario!$L$4635:$L$4711))-1</f>
        <v/>
      </c>
    </row>
    <row r="344">
      <c r="A344" t="n">
        <v>78</v>
      </c>
      <c r="B344" s="22">
        <f>EXP(SUM(Painel_diario!$L$3007:$L$3084))-1</f>
        <v/>
      </c>
      <c r="C344" s="22">
        <f>EXP(SUM(Painel_diario!$L$3582:$L$3659))-1</f>
        <v/>
      </c>
      <c r="D344" s="22">
        <f>EXP(SUM(Painel_diario!$L$3950:$L$4027))-1</f>
        <v/>
      </c>
      <c r="E344" s="22">
        <f>EXP(SUM(Painel_diario!$L$4472:$L$4549))-1</f>
        <v/>
      </c>
      <c r="F344" s="22">
        <f>EXP(SUM(Painel_diario!$L$4635:$L$4712))-1</f>
        <v/>
      </c>
    </row>
    <row r="345">
      <c r="A345" t="n">
        <v>79</v>
      </c>
      <c r="B345" s="22">
        <f>EXP(SUM(Painel_diario!$L$3007:$L$3085))-1</f>
        <v/>
      </c>
      <c r="C345" s="22">
        <f>EXP(SUM(Painel_diario!$L$3582:$L$3660))-1</f>
        <v/>
      </c>
      <c r="D345" s="22">
        <f>EXP(SUM(Painel_diario!$L$3950:$L$4028))-1</f>
        <v/>
      </c>
      <c r="E345" s="22">
        <f>EXP(SUM(Painel_diario!$L$4472:$L$4550))-1</f>
        <v/>
      </c>
      <c r="F345" s="22">
        <f>EXP(SUM(Painel_diario!$L$4635:$L$4713))-1</f>
        <v/>
      </c>
    </row>
    <row r="346">
      <c r="A346" t="n">
        <v>80</v>
      </c>
      <c r="B346" s="22">
        <f>EXP(SUM(Painel_diario!$L$3007:$L$3086))-1</f>
        <v/>
      </c>
      <c r="C346" s="22">
        <f>EXP(SUM(Painel_diario!$L$3582:$L$3661))-1</f>
        <v/>
      </c>
      <c r="D346" s="22">
        <f>EXP(SUM(Painel_diario!$L$3950:$L$4029))-1</f>
        <v/>
      </c>
      <c r="E346" s="22">
        <f>EXP(SUM(Painel_diario!$L$4472:$L$4551))-1</f>
        <v/>
      </c>
      <c r="F346" s="22">
        <f>EXP(SUM(Painel_diario!$L$4635:$L$4714))-1</f>
        <v/>
      </c>
    </row>
    <row r="347">
      <c r="A347" t="n">
        <v>81</v>
      </c>
      <c r="B347" s="22">
        <f>EXP(SUM(Painel_diario!$L$3007:$L$3087))-1</f>
        <v/>
      </c>
      <c r="C347" s="22">
        <f>EXP(SUM(Painel_diario!$L$3582:$L$3662))-1</f>
        <v/>
      </c>
      <c r="D347" s="22">
        <f>EXP(SUM(Painel_diario!$L$3950:$L$4030))-1</f>
        <v/>
      </c>
      <c r="E347" s="22">
        <f>EXP(SUM(Painel_diario!$L$4472:$L$4552))-1</f>
        <v/>
      </c>
      <c r="F347" s="22">
        <f>EXP(SUM(Painel_diario!$L$4635:$L$4715))-1</f>
        <v/>
      </c>
    </row>
    <row r="348">
      <c r="A348" t="n">
        <v>82</v>
      </c>
      <c r="B348" s="22">
        <f>EXP(SUM(Painel_diario!$L$3007:$L$3088))-1</f>
        <v/>
      </c>
      <c r="C348" s="22">
        <f>EXP(SUM(Painel_diario!$L$3582:$L$3663))-1</f>
        <v/>
      </c>
      <c r="D348" s="22">
        <f>EXP(SUM(Painel_diario!$L$3950:$L$4031))-1</f>
        <v/>
      </c>
      <c r="E348" s="22">
        <f>EXP(SUM(Painel_diario!$L$4472:$L$4553))-1</f>
        <v/>
      </c>
      <c r="F348" s="22">
        <f>EXP(SUM(Painel_diario!$L$4635:$L$4716))-1</f>
        <v/>
      </c>
    </row>
    <row r="349">
      <c r="A349" t="n">
        <v>83</v>
      </c>
      <c r="B349" s="22">
        <f>EXP(SUM(Painel_diario!$L$3007:$L$3089))-1</f>
        <v/>
      </c>
      <c r="C349" s="22">
        <f>EXP(SUM(Painel_diario!$L$3582:$L$3664))-1</f>
        <v/>
      </c>
      <c r="D349" s="22">
        <f>EXP(SUM(Painel_diario!$L$3950:$L$4032))-1</f>
        <v/>
      </c>
      <c r="E349" s="22">
        <f>EXP(SUM(Painel_diario!$L$4472:$L$4554))-1</f>
        <v/>
      </c>
      <c r="F349" s="22">
        <f>EXP(SUM(Painel_diario!$L$4635:$L$4717))-1</f>
        <v/>
      </c>
    </row>
    <row r="350">
      <c r="A350" t="n">
        <v>84</v>
      </c>
      <c r="B350" s="22">
        <f>EXP(SUM(Painel_diario!$L$3007:$L$3090))-1</f>
        <v/>
      </c>
      <c r="C350" s="22">
        <f>EXP(SUM(Painel_diario!$L$3582:$L$3665))-1</f>
        <v/>
      </c>
      <c r="D350" s="22">
        <f>EXP(SUM(Painel_diario!$L$3950:$L$4033))-1</f>
        <v/>
      </c>
      <c r="E350" s="22">
        <f>EXP(SUM(Painel_diario!$L$4472:$L$4555))-1</f>
        <v/>
      </c>
      <c r="F350" s="22">
        <f>EXP(SUM(Painel_diario!$L$4635:$L$4718))-1</f>
        <v/>
      </c>
    </row>
    <row r="351">
      <c r="A351" t="n">
        <v>85</v>
      </c>
      <c r="B351" s="22">
        <f>EXP(SUM(Painel_diario!$L$3007:$L$3091))-1</f>
        <v/>
      </c>
      <c r="C351" s="22">
        <f>EXP(SUM(Painel_diario!$L$3582:$L$3666))-1</f>
        <v/>
      </c>
      <c r="D351" s="22">
        <f>EXP(SUM(Painel_diario!$L$3950:$L$4034))-1</f>
        <v/>
      </c>
      <c r="E351" s="22">
        <f>EXP(SUM(Painel_diario!$L$4472:$L$4556))-1</f>
        <v/>
      </c>
      <c r="F351" s="22">
        <f>EXP(SUM(Painel_diario!$L$4635:$L$4719))-1</f>
        <v/>
      </c>
    </row>
    <row r="352">
      <c r="A352" t="n">
        <v>86</v>
      </c>
      <c r="B352" s="22">
        <f>EXP(SUM(Painel_diario!$L$3007:$L$3092))-1</f>
        <v/>
      </c>
      <c r="C352" s="22">
        <f>EXP(SUM(Painel_diario!$L$3582:$L$3667))-1</f>
        <v/>
      </c>
      <c r="D352" s="22">
        <f>EXP(SUM(Painel_diario!$L$3950:$L$4035))-1</f>
        <v/>
      </c>
      <c r="E352" s="22">
        <f>EXP(SUM(Painel_diario!$L$4472:$L$4557))-1</f>
        <v/>
      </c>
      <c r="F352" s="22">
        <f>EXP(SUM(Painel_diario!$L$4635:$L$4720))-1</f>
        <v/>
      </c>
    </row>
    <row r="353">
      <c r="A353" t="n">
        <v>87</v>
      </c>
      <c r="B353" s="22">
        <f>EXP(SUM(Painel_diario!$L$3007:$L$3093))-1</f>
        <v/>
      </c>
      <c r="C353" s="22">
        <f>EXP(SUM(Painel_diario!$L$3582:$L$3668))-1</f>
        <v/>
      </c>
      <c r="D353" s="22">
        <f>EXP(SUM(Painel_diario!$L$3950:$L$4036))-1</f>
        <v/>
      </c>
      <c r="E353" s="22">
        <f>EXP(SUM(Painel_diario!$L$4472:$L$4558))-1</f>
        <v/>
      </c>
      <c r="F353" s="22">
        <f>EXP(SUM(Painel_diario!$L$4635:$L$4721))-1</f>
        <v/>
      </c>
    </row>
    <row r="354">
      <c r="A354" t="n">
        <v>88</v>
      </c>
      <c r="B354" s="22">
        <f>EXP(SUM(Painel_diario!$L$3007:$L$3094))-1</f>
        <v/>
      </c>
      <c r="C354" s="22">
        <f>EXP(SUM(Painel_diario!$L$3582:$L$3669))-1</f>
        <v/>
      </c>
      <c r="D354" s="22">
        <f>EXP(SUM(Painel_diario!$L$3950:$L$4037))-1</f>
        <v/>
      </c>
      <c r="E354" s="22">
        <f>EXP(SUM(Painel_diario!$L$4472:$L$4559))-1</f>
        <v/>
      </c>
      <c r="F354" s="22">
        <f>EXP(SUM(Painel_diario!$L$4635:$L$4722))-1</f>
        <v/>
      </c>
    </row>
    <row r="355">
      <c r="A355" t="n">
        <v>89</v>
      </c>
      <c r="B355" s="22">
        <f>EXP(SUM(Painel_diario!$L$3007:$L$3095))-1</f>
        <v/>
      </c>
      <c r="C355" s="22">
        <f>EXP(SUM(Painel_diario!$L$3582:$L$3670))-1</f>
        <v/>
      </c>
      <c r="D355" s="22">
        <f>EXP(SUM(Painel_diario!$L$3950:$L$4038))-1</f>
        <v/>
      </c>
      <c r="E355" s="22">
        <f>EXP(SUM(Painel_diario!$L$4472:$L$4560))-1</f>
        <v/>
      </c>
      <c r="F355" s="22">
        <f>EXP(SUM(Painel_diario!$L$4635:$L$4723))-1</f>
        <v/>
      </c>
    </row>
    <row r="356">
      <c r="A356" t="n">
        <v>90</v>
      </c>
      <c r="B356" s="22">
        <f>EXP(SUM(Painel_diario!$L$3007:$L$3096))-1</f>
        <v/>
      </c>
      <c r="C356" s="22">
        <f>EXP(SUM(Painel_diario!$L$3582:$L$3671))-1</f>
        <v/>
      </c>
      <c r="D356" s="22">
        <f>EXP(SUM(Painel_diario!$L$3950:$L$4039))-1</f>
        <v/>
      </c>
      <c r="E356" s="22">
        <f>EXP(SUM(Painel_diario!$L$4472:$L$4561))-1</f>
        <v/>
      </c>
      <c r="F356" s="22">
        <f>EXP(SUM(Painel_diario!$L$4635:$L$4724))-1</f>
        <v/>
      </c>
    </row>
    <row r="357">
      <c r="A357" t="n">
        <v>91</v>
      </c>
      <c r="B357" s="22">
        <f>EXP(SUM(Painel_diario!$L$3007:$L$3097))-1</f>
        <v/>
      </c>
      <c r="C357" s="22">
        <f>EXP(SUM(Painel_diario!$L$3582:$L$3672))-1</f>
        <v/>
      </c>
      <c r="D357" s="22">
        <f>EXP(SUM(Painel_diario!$L$3950:$L$4040))-1</f>
        <v/>
      </c>
      <c r="E357" s="22">
        <f>EXP(SUM(Painel_diario!$L$4472:$L$4562))-1</f>
        <v/>
      </c>
      <c r="F357" s="22">
        <f>EXP(SUM(Painel_diario!$L$4635:$L$4725))-1</f>
        <v/>
      </c>
    </row>
    <row r="358">
      <c r="A358" t="n">
        <v>92</v>
      </c>
      <c r="B358" s="22">
        <f>EXP(SUM(Painel_diario!$L$3007:$L$3098))-1</f>
        <v/>
      </c>
      <c r="C358" s="22">
        <f>EXP(SUM(Painel_diario!$L$3582:$L$3673))-1</f>
        <v/>
      </c>
      <c r="D358" s="22">
        <f>EXP(SUM(Painel_diario!$L$3950:$L$4041))-1</f>
        <v/>
      </c>
      <c r="E358" s="22">
        <f>EXP(SUM(Painel_diario!$L$4472:$L$4563))-1</f>
        <v/>
      </c>
      <c r="F358" s="22">
        <f>EXP(SUM(Painel_diario!$L$4635:$L$4726))-1</f>
        <v/>
      </c>
    </row>
    <row r="359">
      <c r="A359" t="n">
        <v>93</v>
      </c>
      <c r="B359" s="22">
        <f>EXP(SUM(Painel_diario!$L$3007:$L$3099))-1</f>
        <v/>
      </c>
      <c r="C359" s="22">
        <f>EXP(SUM(Painel_diario!$L$3582:$L$3674))-1</f>
        <v/>
      </c>
      <c r="D359" s="22">
        <f>EXP(SUM(Painel_diario!$L$3950:$L$4042))-1</f>
        <v/>
      </c>
      <c r="E359" s="22">
        <f>EXP(SUM(Painel_diario!$L$4472:$L$4564))-1</f>
        <v/>
      </c>
      <c r="F359" s="22">
        <f>EXP(SUM(Painel_diario!$L$4635:$L$4727))-1</f>
        <v/>
      </c>
    </row>
    <row r="360">
      <c r="A360" t="n">
        <v>94</v>
      </c>
      <c r="B360" s="22">
        <f>EXP(SUM(Painel_diario!$L$3007:$L$3100))-1</f>
        <v/>
      </c>
      <c r="C360" s="22">
        <f>EXP(SUM(Painel_diario!$L$3582:$L$3675))-1</f>
        <v/>
      </c>
      <c r="D360" s="22">
        <f>EXP(SUM(Painel_diario!$L$3950:$L$4043))-1</f>
        <v/>
      </c>
      <c r="E360" s="22">
        <f>EXP(SUM(Painel_diario!$L$4472:$L$4565))-1</f>
        <v/>
      </c>
      <c r="F360" s="22">
        <f>EXP(SUM(Painel_diario!$L$4635:$L$4728))-1</f>
        <v/>
      </c>
    </row>
    <row r="361">
      <c r="A361" t="n">
        <v>95</v>
      </c>
      <c r="B361" s="22">
        <f>EXP(SUM(Painel_diario!$L$3007:$L$3101))-1</f>
        <v/>
      </c>
      <c r="C361" s="22">
        <f>EXP(SUM(Painel_diario!$L$3582:$L$3676))-1</f>
        <v/>
      </c>
      <c r="D361" s="22">
        <f>EXP(SUM(Painel_diario!$L$3950:$L$4044))-1</f>
        <v/>
      </c>
      <c r="E361" s="22">
        <f>EXP(SUM(Painel_diario!$L$4472:$L$4566))-1</f>
        <v/>
      </c>
      <c r="F361" s="22">
        <f>EXP(SUM(Painel_diario!$L$4635:$L$4729))-1</f>
        <v/>
      </c>
    </row>
    <row r="362">
      <c r="A362" t="n">
        <v>96</v>
      </c>
      <c r="B362" s="22">
        <f>EXP(SUM(Painel_diario!$L$3007:$L$3102))-1</f>
        <v/>
      </c>
      <c r="C362" s="22">
        <f>EXP(SUM(Painel_diario!$L$3582:$L$3677))-1</f>
        <v/>
      </c>
      <c r="D362" s="22">
        <f>EXP(SUM(Painel_diario!$L$3950:$L$4045))-1</f>
        <v/>
      </c>
      <c r="E362" s="22">
        <f>EXP(SUM(Painel_diario!$L$4472:$L$4567))-1</f>
        <v/>
      </c>
      <c r="F362" s="22">
        <f>EXP(SUM(Painel_diario!$L$4635:$L$4730))-1</f>
        <v/>
      </c>
    </row>
    <row r="363">
      <c r="A363" t="n">
        <v>97</v>
      </c>
      <c r="B363" s="22">
        <f>EXP(SUM(Painel_diario!$L$3007:$L$3103))-1</f>
        <v/>
      </c>
      <c r="C363" s="22">
        <f>EXP(SUM(Painel_diario!$L$3582:$L$3678))-1</f>
        <v/>
      </c>
      <c r="D363" s="22">
        <f>EXP(SUM(Painel_diario!$L$3950:$L$4046))-1</f>
        <v/>
      </c>
      <c r="E363" s="22">
        <f>EXP(SUM(Painel_diario!$L$4472:$L$4568))-1</f>
        <v/>
      </c>
      <c r="F363" s="22">
        <f>EXP(SUM(Painel_diario!$L$4635:$L$4731))-1</f>
        <v/>
      </c>
    </row>
    <row r="364">
      <c r="A364" t="n">
        <v>98</v>
      </c>
      <c r="B364" s="22">
        <f>EXP(SUM(Painel_diario!$L$3007:$L$3104))-1</f>
        <v/>
      </c>
      <c r="C364" s="22">
        <f>EXP(SUM(Painel_diario!$L$3582:$L$3679))-1</f>
        <v/>
      </c>
      <c r="D364" s="22">
        <f>EXP(SUM(Painel_diario!$L$3950:$L$4047))-1</f>
        <v/>
      </c>
      <c r="E364" s="22">
        <f>EXP(SUM(Painel_diario!$L$4472:$L$4569))-1</f>
        <v/>
      </c>
      <c r="F364" s="22">
        <f>EXP(SUM(Painel_diario!$L$4635:$L$4732))-1</f>
        <v/>
      </c>
    </row>
    <row r="365">
      <c r="A365" t="n">
        <v>99</v>
      </c>
      <c r="B365" s="22">
        <f>EXP(SUM(Painel_diario!$L$3007:$L$3105))-1</f>
        <v/>
      </c>
      <c r="C365" s="22">
        <f>EXP(SUM(Painel_diario!$L$3582:$L$3680))-1</f>
        <v/>
      </c>
      <c r="D365" s="22">
        <f>EXP(SUM(Painel_diario!$L$3950:$L$4048))-1</f>
        <v/>
      </c>
      <c r="E365" s="22">
        <f>EXP(SUM(Painel_diario!$L$4472:$L$4570))-1</f>
        <v/>
      </c>
      <c r="F365" s="22">
        <f>EXP(SUM(Painel_diario!$L$4635:$L$4733))-1</f>
        <v/>
      </c>
    </row>
    <row r="366">
      <c r="A366" t="n">
        <v>100</v>
      </c>
      <c r="B366" s="22">
        <f>EXP(SUM(Painel_diario!$L$3007:$L$3106))-1</f>
        <v/>
      </c>
      <c r="C366" s="22">
        <f>EXP(SUM(Painel_diario!$L$3582:$L$3681))-1</f>
        <v/>
      </c>
      <c r="D366" s="22">
        <f>EXP(SUM(Painel_diario!$L$3950:$L$4049))-1</f>
        <v/>
      </c>
      <c r="E366" s="22">
        <f>EXP(SUM(Painel_diario!$L$4472:$L$4571))-1</f>
        <v/>
      </c>
      <c r="F366" s="22">
        <f>EXP(SUM(Painel_diario!$L$4635:$L$4734))-1</f>
        <v/>
      </c>
    </row>
    <row r="367">
      <c r="A367" t="n">
        <v>101</v>
      </c>
      <c r="B367" s="22">
        <f>EXP(SUM(Painel_diario!$L$3007:$L$3107))-1</f>
        <v/>
      </c>
      <c r="C367" s="22">
        <f>EXP(SUM(Painel_diario!$L$3582:$L$3682))-1</f>
        <v/>
      </c>
      <c r="D367" s="22">
        <f>EXP(SUM(Painel_diario!$L$3950:$L$4050))-1</f>
        <v/>
      </c>
      <c r="E367" s="22">
        <f>EXP(SUM(Painel_diario!$L$4472:$L$4572))-1</f>
        <v/>
      </c>
      <c r="F367" s="22">
        <f>EXP(SUM(Painel_diario!$L$4635:$L$4735))-1</f>
        <v/>
      </c>
    </row>
    <row r="368">
      <c r="A368" t="n">
        <v>102</v>
      </c>
      <c r="B368" s="22">
        <f>EXP(SUM(Painel_diario!$L$3007:$L$3108))-1</f>
        <v/>
      </c>
      <c r="C368" s="22">
        <f>EXP(SUM(Painel_diario!$L$3582:$L$3683))-1</f>
        <v/>
      </c>
      <c r="D368" s="22">
        <f>EXP(SUM(Painel_diario!$L$3950:$L$4051))-1</f>
        <v/>
      </c>
      <c r="E368" s="22">
        <f>EXP(SUM(Painel_diario!$L$4472:$L$4573))-1</f>
        <v/>
      </c>
      <c r="F368" s="22">
        <f>EXP(SUM(Painel_diario!$L$4635:$L$4736))-1</f>
        <v/>
      </c>
    </row>
    <row r="369">
      <c r="A369" t="n">
        <v>103</v>
      </c>
      <c r="B369" s="22">
        <f>EXP(SUM(Painel_diario!$L$3007:$L$3109))-1</f>
        <v/>
      </c>
      <c r="C369" s="22">
        <f>EXP(SUM(Painel_diario!$L$3582:$L$3684))-1</f>
        <v/>
      </c>
      <c r="D369" s="22">
        <f>EXP(SUM(Painel_diario!$L$3950:$L$4052))-1</f>
        <v/>
      </c>
      <c r="E369" s="22">
        <f>EXP(SUM(Painel_diario!$L$4472:$L$4574))-1</f>
        <v/>
      </c>
      <c r="F369" s="22">
        <f>EXP(SUM(Painel_diario!$L$4635:$L$4737))-1</f>
        <v/>
      </c>
    </row>
    <row r="370">
      <c r="A370" t="n">
        <v>104</v>
      </c>
      <c r="B370" s="22">
        <f>EXP(SUM(Painel_diario!$L$3007:$L$3110))-1</f>
        <v/>
      </c>
      <c r="C370" s="22">
        <f>EXP(SUM(Painel_diario!$L$3582:$L$3685))-1</f>
        <v/>
      </c>
      <c r="D370" s="22">
        <f>EXP(SUM(Painel_diario!$L$3950:$L$4053))-1</f>
        <v/>
      </c>
      <c r="E370" s="22">
        <f>EXP(SUM(Painel_diario!$L$4472:$L$4575))-1</f>
        <v/>
      </c>
      <c r="F370" s="22">
        <f>EXP(SUM(Painel_diario!$L$4635:$L$4738))-1</f>
        <v/>
      </c>
    </row>
    <row r="371">
      <c r="A371" t="n">
        <v>105</v>
      </c>
      <c r="B371" s="22">
        <f>EXP(SUM(Painel_diario!$L$3007:$L$3111))-1</f>
        <v/>
      </c>
      <c r="C371" s="22">
        <f>EXP(SUM(Painel_diario!$L$3582:$L$3686))-1</f>
        <v/>
      </c>
      <c r="D371" s="22">
        <f>EXP(SUM(Painel_diario!$L$3950:$L$4054))-1</f>
        <v/>
      </c>
      <c r="E371" s="22">
        <f>EXP(SUM(Painel_diario!$L$4472:$L$4576))-1</f>
        <v/>
      </c>
      <c r="F371" s="22">
        <f>EXP(SUM(Painel_diario!$L$4635:$L$4739))-1</f>
        <v/>
      </c>
    </row>
    <row r="372">
      <c r="A372" t="n">
        <v>106</v>
      </c>
      <c r="B372" s="22">
        <f>EXP(SUM(Painel_diario!$L$3007:$L$3112))-1</f>
        <v/>
      </c>
      <c r="C372" s="22">
        <f>EXP(SUM(Painel_diario!$L$3582:$L$3687))-1</f>
        <v/>
      </c>
      <c r="D372" s="22">
        <f>EXP(SUM(Painel_diario!$L$3950:$L$4055))-1</f>
        <v/>
      </c>
      <c r="E372" s="22">
        <f>EXP(SUM(Painel_diario!$L$4472:$L$4577))-1</f>
        <v/>
      </c>
      <c r="F372" s="22">
        <f>EXP(SUM(Painel_diario!$L$4635:$L$4740))-1</f>
        <v/>
      </c>
    </row>
    <row r="373">
      <c r="A373" t="n">
        <v>107</v>
      </c>
      <c r="B373" s="22">
        <f>EXP(SUM(Painel_diario!$L$3007:$L$3113))-1</f>
        <v/>
      </c>
      <c r="C373" s="22">
        <f>EXP(SUM(Painel_diario!$L$3582:$L$3688))-1</f>
        <v/>
      </c>
      <c r="D373" s="22">
        <f>EXP(SUM(Painel_diario!$L$3950:$L$4056))-1</f>
        <v/>
      </c>
      <c r="E373" s="22">
        <f>EXP(SUM(Painel_diario!$L$4472:$L$4578))-1</f>
        <v/>
      </c>
      <c r="F373" s="22">
        <f>EXP(SUM(Painel_diario!$L$4635:$L$4741))-1</f>
        <v/>
      </c>
    </row>
    <row r="374">
      <c r="A374" t="n">
        <v>108</v>
      </c>
      <c r="B374" s="22">
        <f>EXP(SUM(Painel_diario!$L$3007:$L$3114))-1</f>
        <v/>
      </c>
      <c r="C374" s="22">
        <f>EXP(SUM(Painel_diario!$L$3582:$L$3689))-1</f>
        <v/>
      </c>
      <c r="D374" s="22">
        <f>EXP(SUM(Painel_diario!$L$3950:$L$4057))-1</f>
        <v/>
      </c>
      <c r="E374" s="22">
        <f>EXP(SUM(Painel_diario!$L$4472:$L$4579))-1</f>
        <v/>
      </c>
      <c r="F374" s="22">
        <f>EXP(SUM(Painel_diario!$L$4635:$L$4742))-1</f>
        <v/>
      </c>
    </row>
    <row r="375">
      <c r="A375" t="n">
        <v>109</v>
      </c>
      <c r="B375" s="22">
        <f>EXP(SUM(Painel_diario!$L$3007:$L$3115))-1</f>
        <v/>
      </c>
      <c r="C375" s="22">
        <f>EXP(SUM(Painel_diario!$L$3582:$L$3690))-1</f>
        <v/>
      </c>
      <c r="D375" s="22">
        <f>EXP(SUM(Painel_diario!$L$3950:$L$4058))-1</f>
        <v/>
      </c>
      <c r="E375" s="22">
        <f>EXP(SUM(Painel_diario!$L$4472:$L$4580))-1</f>
        <v/>
      </c>
      <c r="F375" s="22">
        <f>EXP(SUM(Painel_diario!$L$4635:$L$4743))-1</f>
        <v/>
      </c>
    </row>
    <row r="376">
      <c r="A376" t="n">
        <v>110</v>
      </c>
      <c r="B376" s="22">
        <f>EXP(SUM(Painel_diario!$L$3007:$L$3116))-1</f>
        <v/>
      </c>
      <c r="C376" s="22">
        <f>EXP(SUM(Painel_diario!$L$3582:$L$3691))-1</f>
        <v/>
      </c>
      <c r="D376" s="22">
        <f>EXP(SUM(Painel_diario!$L$3950:$L$4059))-1</f>
        <v/>
      </c>
      <c r="E376" s="22">
        <f>EXP(SUM(Painel_diario!$L$4472:$L$4581))-1</f>
        <v/>
      </c>
      <c r="F376" s="22">
        <f>EXP(SUM(Painel_diario!$L$4635:$L$4744))-1</f>
        <v/>
      </c>
    </row>
    <row r="377">
      <c r="A377" t="n">
        <v>111</v>
      </c>
      <c r="B377" s="22">
        <f>EXP(SUM(Painel_diario!$L$3007:$L$3117))-1</f>
        <v/>
      </c>
      <c r="C377" s="22">
        <f>EXP(SUM(Painel_diario!$L$3582:$L$3692))-1</f>
        <v/>
      </c>
      <c r="D377" s="22">
        <f>EXP(SUM(Painel_diario!$L$3950:$L$4060))-1</f>
        <v/>
      </c>
      <c r="E377" s="22">
        <f>EXP(SUM(Painel_diario!$L$4472:$L$4582))-1</f>
        <v/>
      </c>
      <c r="F377" s="22">
        <f>EXP(SUM(Painel_diario!$L$4635:$L$4745))-1</f>
        <v/>
      </c>
    </row>
    <row r="378">
      <c r="A378" t="n">
        <v>112</v>
      </c>
      <c r="B378" s="22">
        <f>EXP(SUM(Painel_diario!$L$3007:$L$3118))-1</f>
        <v/>
      </c>
      <c r="C378" s="22">
        <f>EXP(SUM(Painel_diario!$L$3582:$L$3693))-1</f>
        <v/>
      </c>
      <c r="D378" s="22">
        <f>EXP(SUM(Painel_diario!$L$3950:$L$4061))-1</f>
        <v/>
      </c>
      <c r="E378" s="22">
        <f>EXP(SUM(Painel_diario!$L$4472:$L$4583))-1</f>
        <v/>
      </c>
      <c r="F378" s="22">
        <f>EXP(SUM(Painel_diario!$L$4635:$L$4746))-1</f>
        <v/>
      </c>
    </row>
    <row r="379">
      <c r="A379" t="n">
        <v>113</v>
      </c>
      <c r="B379" s="22">
        <f>EXP(SUM(Painel_diario!$L$3007:$L$3119))-1</f>
        <v/>
      </c>
      <c r="C379" s="22">
        <f>EXP(SUM(Painel_diario!$L$3582:$L$3694))-1</f>
        <v/>
      </c>
      <c r="D379" s="22">
        <f>EXP(SUM(Painel_diario!$L$3950:$L$4062))-1</f>
        <v/>
      </c>
      <c r="E379" s="22">
        <f>EXP(SUM(Painel_diario!$L$4472:$L$4584))-1</f>
        <v/>
      </c>
      <c r="F379" s="22">
        <f>EXP(SUM(Painel_diario!$L$4635:$L$4747))-1</f>
        <v/>
      </c>
    </row>
    <row r="380">
      <c r="A380" t="n">
        <v>114</v>
      </c>
      <c r="B380" s="22">
        <f>EXP(SUM(Painel_diario!$L$3007:$L$3120))-1</f>
        <v/>
      </c>
      <c r="C380" s="22">
        <f>EXP(SUM(Painel_diario!$L$3582:$L$3695))-1</f>
        <v/>
      </c>
      <c r="D380" s="22">
        <f>EXP(SUM(Painel_diario!$L$3950:$L$4063))-1</f>
        <v/>
      </c>
      <c r="E380" s="22">
        <f>EXP(SUM(Painel_diario!$L$4472:$L$4585))-1</f>
        <v/>
      </c>
      <c r="F380" s="22">
        <f>EXP(SUM(Painel_diario!$L$4635:$L$4748))-1</f>
        <v/>
      </c>
    </row>
    <row r="381">
      <c r="A381" t="n">
        <v>115</v>
      </c>
      <c r="B381" s="22">
        <f>EXP(SUM(Painel_diario!$L$3007:$L$3121))-1</f>
        <v/>
      </c>
      <c r="C381" s="22">
        <f>EXP(SUM(Painel_diario!$L$3582:$L$3696))-1</f>
        <v/>
      </c>
      <c r="D381" s="22">
        <f>EXP(SUM(Painel_diario!$L$3950:$L$4064))-1</f>
        <v/>
      </c>
      <c r="E381" s="22">
        <f>EXP(SUM(Painel_diario!$L$4472:$L$4586))-1</f>
        <v/>
      </c>
      <c r="F381" s="22">
        <f>EXP(SUM(Painel_diario!$L$4635:$L$4749))-1</f>
        <v/>
      </c>
    </row>
    <row r="382">
      <c r="A382" t="n">
        <v>116</v>
      </c>
      <c r="B382" s="22">
        <f>EXP(SUM(Painel_diario!$L$3007:$L$3122))-1</f>
        <v/>
      </c>
      <c r="C382" s="22">
        <f>EXP(SUM(Painel_diario!$L$3582:$L$3697))-1</f>
        <v/>
      </c>
      <c r="D382" s="22">
        <f>EXP(SUM(Painel_diario!$L$3950:$L$4065))-1</f>
        <v/>
      </c>
      <c r="E382" s="22">
        <f>EXP(SUM(Painel_diario!$L$4472:$L$4587))-1</f>
        <v/>
      </c>
      <c r="F382" s="22">
        <f>EXP(SUM(Painel_diario!$L$4635:$L$4750))-1</f>
        <v/>
      </c>
    </row>
    <row r="383">
      <c r="A383" t="n">
        <v>117</v>
      </c>
      <c r="B383" s="22">
        <f>EXP(SUM(Painel_diario!$L$3007:$L$3123))-1</f>
        <v/>
      </c>
      <c r="C383" s="22">
        <f>EXP(SUM(Painel_diario!$L$3582:$L$3698))-1</f>
        <v/>
      </c>
      <c r="D383" s="22">
        <f>EXP(SUM(Painel_diario!$L$3950:$L$4066))-1</f>
        <v/>
      </c>
      <c r="E383" s="22">
        <f>EXP(SUM(Painel_diario!$L$4472:$L$4588))-1</f>
        <v/>
      </c>
      <c r="F383" s="22">
        <f>EXP(SUM(Painel_diario!$L$4635:$L$4751))-1</f>
        <v/>
      </c>
    </row>
    <row r="384">
      <c r="A384" t="n">
        <v>118</v>
      </c>
      <c r="B384" s="22">
        <f>EXP(SUM(Painel_diario!$L$3007:$L$3124))-1</f>
        <v/>
      </c>
      <c r="C384" s="22">
        <f>EXP(SUM(Painel_diario!$L$3582:$L$3699))-1</f>
        <v/>
      </c>
      <c r="D384" s="22">
        <f>EXP(SUM(Painel_diario!$L$3950:$L$4067))-1</f>
        <v/>
      </c>
      <c r="E384" s="22">
        <f>EXP(SUM(Painel_diario!$L$4472:$L$4589))-1</f>
        <v/>
      </c>
      <c r="F384" s="22">
        <f>EXP(SUM(Painel_diario!$L$4635:$L$4752))-1</f>
        <v/>
      </c>
    </row>
    <row r="385">
      <c r="A385" t="n">
        <v>119</v>
      </c>
      <c r="B385" s="22">
        <f>EXP(SUM(Painel_diario!$L$3007:$L$3125))-1</f>
        <v/>
      </c>
      <c r="C385" s="22">
        <f>EXP(SUM(Painel_diario!$L$3582:$L$3700))-1</f>
        <v/>
      </c>
      <c r="D385" s="22">
        <f>EXP(SUM(Painel_diario!$L$3950:$L$4068))-1</f>
        <v/>
      </c>
      <c r="E385" s="22">
        <f>EXP(SUM(Painel_diario!$L$4472:$L$4590))-1</f>
        <v/>
      </c>
      <c r="F385" s="22">
        <f>EXP(SUM(Painel_diario!$L$4635:$L$4753))-1</f>
        <v/>
      </c>
    </row>
    <row r="386">
      <c r="A386" t="n">
        <v>120</v>
      </c>
      <c r="B386" s="22">
        <f>EXP(SUM(Painel_diario!$L$3007:$L$3126))-1</f>
        <v/>
      </c>
      <c r="C386" s="22">
        <f>EXP(SUM(Painel_diario!$L$3582:$L$3701))-1</f>
        <v/>
      </c>
      <c r="D386" s="22">
        <f>EXP(SUM(Painel_diario!$L$3950:$L$4069))-1</f>
        <v/>
      </c>
      <c r="E386" s="22">
        <f>EXP(SUM(Painel_diario!$L$4472:$L$4591))-1</f>
        <v/>
      </c>
      <c r="F386" s="22">
        <f>EXP(SUM(Painel_diario!$L$4635:$L$4754))-1</f>
        <v/>
      </c>
    </row>
    <row r="387">
      <c r="A387" t="n">
        <v>121</v>
      </c>
      <c r="B387" s="22">
        <f>EXP(SUM(Painel_diario!$L$3007:$L$3127))-1</f>
        <v/>
      </c>
      <c r="C387" s="22">
        <f>EXP(SUM(Painel_diario!$L$3582:$L$3702))-1</f>
        <v/>
      </c>
      <c r="D387" s="22">
        <f>EXP(SUM(Painel_diario!$L$3950:$L$4070))-1</f>
        <v/>
      </c>
      <c r="E387" s="22">
        <f>EXP(SUM(Painel_diario!$L$4472:$L$4592))-1</f>
        <v/>
      </c>
      <c r="F387" s="22">
        <f>EXP(SUM(Painel_diario!$L$4635:$L$4755))-1</f>
        <v/>
      </c>
    </row>
    <row r="388">
      <c r="A388" t="n">
        <v>122</v>
      </c>
      <c r="B388" s="22">
        <f>EXP(SUM(Painel_diario!$L$3007:$L$3128))-1</f>
        <v/>
      </c>
      <c r="C388" s="22">
        <f>EXP(SUM(Painel_diario!$L$3582:$L$3703))-1</f>
        <v/>
      </c>
      <c r="D388" s="22">
        <f>EXP(SUM(Painel_diario!$L$3950:$L$4071))-1</f>
        <v/>
      </c>
      <c r="E388" s="22">
        <f>EXP(SUM(Painel_diario!$L$4472:$L$4593))-1</f>
        <v/>
      </c>
      <c r="F388" s="22">
        <f>EXP(SUM(Painel_diario!$L$4635:$L$4756))-1</f>
        <v/>
      </c>
    </row>
    <row r="389">
      <c r="A389" t="n">
        <v>123</v>
      </c>
      <c r="B389" s="22">
        <f>EXP(SUM(Painel_diario!$L$3007:$L$3129))-1</f>
        <v/>
      </c>
      <c r="C389" s="22">
        <f>EXP(SUM(Painel_diario!$L$3582:$L$3704))-1</f>
        <v/>
      </c>
      <c r="D389" s="22">
        <f>EXP(SUM(Painel_diario!$L$3950:$L$4072))-1</f>
        <v/>
      </c>
      <c r="E389" s="22">
        <f>EXP(SUM(Painel_diario!$L$4472:$L$4594))-1</f>
        <v/>
      </c>
      <c r="F389" s="22">
        <f>EXP(SUM(Painel_diario!$L$4635:$L$4757))-1</f>
        <v/>
      </c>
    </row>
    <row r="390">
      <c r="A390" t="n">
        <v>124</v>
      </c>
      <c r="B390" s="22">
        <f>EXP(SUM(Painel_diario!$L$3007:$L$3130))-1</f>
        <v/>
      </c>
      <c r="C390" s="22">
        <f>EXP(SUM(Painel_diario!$L$3582:$L$3705))-1</f>
        <v/>
      </c>
      <c r="D390" s="22">
        <f>EXP(SUM(Painel_diario!$L$3950:$L$4073))-1</f>
        <v/>
      </c>
      <c r="E390" s="22">
        <f>EXP(SUM(Painel_diario!$L$4472:$L$4595))-1</f>
        <v/>
      </c>
      <c r="F390" s="22">
        <f>EXP(SUM(Painel_diario!$L$4635:$L$4758))-1</f>
        <v/>
      </c>
    </row>
    <row r="391">
      <c r="A391" t="n">
        <v>125</v>
      </c>
      <c r="B391" s="22">
        <f>EXP(SUM(Painel_diario!$L$3007:$L$3131))-1</f>
        <v/>
      </c>
      <c r="C391" s="22">
        <f>EXP(SUM(Painel_diario!$L$3582:$L$3706))-1</f>
        <v/>
      </c>
      <c r="D391" s="22">
        <f>EXP(SUM(Painel_diario!$L$3950:$L$4074))-1</f>
        <v/>
      </c>
      <c r="E391" s="22">
        <f>EXP(SUM(Painel_diario!$L$4472:$L$4596))-1</f>
        <v/>
      </c>
      <c r="F391" s="22">
        <f>EXP(SUM(Painel_diario!$L$4635:$L$4759))-1</f>
        <v/>
      </c>
    </row>
    <row r="392">
      <c r="A392" t="n">
        <v>126</v>
      </c>
      <c r="B392" s="22">
        <f>EXP(SUM(Painel_diario!$L$3007:$L$3132))-1</f>
        <v/>
      </c>
      <c r="C392" s="22">
        <f>EXP(SUM(Painel_diario!$L$3582:$L$3707))-1</f>
        <v/>
      </c>
      <c r="D392" s="22">
        <f>EXP(SUM(Painel_diario!$L$3950:$L$4075))-1</f>
        <v/>
      </c>
      <c r="E392" s="22">
        <f>EXP(SUM(Painel_diario!$L$4472:$L$4597))-1</f>
        <v/>
      </c>
      <c r="F392" s="22">
        <f>EXP(SUM(Painel_diario!$L$4635:$L$4760))-1</f>
        <v/>
      </c>
    </row>
    <row r="393">
      <c r="A393" t="n">
        <v>127</v>
      </c>
      <c r="B393" s="22">
        <f>EXP(SUM(Painel_diario!$L$3007:$L$3133))-1</f>
        <v/>
      </c>
      <c r="C393" s="22">
        <f>EXP(SUM(Painel_diario!$L$3582:$L$3708))-1</f>
        <v/>
      </c>
      <c r="D393" s="22">
        <f>EXP(SUM(Painel_diario!$L$3950:$L$4076))-1</f>
        <v/>
      </c>
      <c r="E393" s="22">
        <f>EXP(SUM(Painel_diario!$L$4472:$L$4598))-1</f>
        <v/>
      </c>
      <c r="F393" s="22">
        <f>EXP(SUM(Painel_diario!$L$4635:$L$4761))-1</f>
        <v/>
      </c>
    </row>
    <row r="394">
      <c r="A394" t="n">
        <v>128</v>
      </c>
      <c r="B394" s="22">
        <f>EXP(SUM(Painel_diario!$L$3007:$L$3134))-1</f>
        <v/>
      </c>
      <c r="C394" s="22">
        <f>EXP(SUM(Painel_diario!$L$3582:$L$3709))-1</f>
        <v/>
      </c>
      <c r="D394" s="22">
        <f>EXP(SUM(Painel_diario!$L$3950:$L$4077))-1</f>
        <v/>
      </c>
      <c r="E394" s="22">
        <f>EXP(SUM(Painel_diario!$L$4472:$L$4599))-1</f>
        <v/>
      </c>
      <c r="F394" s="22">
        <f>EXP(SUM(Painel_diario!$L$4635:$L$4762))-1</f>
        <v/>
      </c>
    </row>
    <row r="395">
      <c r="A395" t="n">
        <v>129</v>
      </c>
      <c r="B395" s="22">
        <f>EXP(SUM(Painel_diario!$L$3007:$L$3135))-1</f>
        <v/>
      </c>
      <c r="C395" s="22">
        <f>EXP(SUM(Painel_diario!$L$3582:$L$3710))-1</f>
        <v/>
      </c>
      <c r="D395" s="22">
        <f>EXP(SUM(Painel_diario!$L$3950:$L$4078))-1</f>
        <v/>
      </c>
      <c r="E395" s="22">
        <f>EXP(SUM(Painel_diario!$L$4472:$L$4600))-1</f>
        <v/>
      </c>
      <c r="F395" s="22">
        <f>EXP(SUM(Painel_diario!$L$4635:$L$4763))-1</f>
        <v/>
      </c>
    </row>
    <row r="396">
      <c r="A396" t="n">
        <v>130</v>
      </c>
      <c r="B396" s="22">
        <f>EXP(SUM(Painel_diario!$L$3007:$L$3136))-1</f>
        <v/>
      </c>
      <c r="C396" s="22">
        <f>EXP(SUM(Painel_diario!$L$3582:$L$3711))-1</f>
        <v/>
      </c>
      <c r="D396" s="22">
        <f>EXP(SUM(Painel_diario!$L$3950:$L$4079))-1</f>
        <v/>
      </c>
      <c r="E396" s="22">
        <f>EXP(SUM(Painel_diario!$L$4472:$L$4601))-1</f>
        <v/>
      </c>
      <c r="F396" s="22">
        <f>EXP(SUM(Painel_diario!$L$4635:$L$4764))-1</f>
        <v/>
      </c>
    </row>
    <row r="397">
      <c r="A397" t="n">
        <v>131</v>
      </c>
      <c r="B397" s="22">
        <f>EXP(SUM(Painel_diario!$L$3007:$L$3137))-1</f>
        <v/>
      </c>
      <c r="C397" s="22">
        <f>EXP(SUM(Painel_diario!$L$3582:$L$3712))-1</f>
        <v/>
      </c>
      <c r="D397" s="22">
        <f>EXP(SUM(Painel_diario!$L$3950:$L$4080))-1</f>
        <v/>
      </c>
      <c r="E397" s="22">
        <f>EXP(SUM(Painel_diario!$L$4472:$L$4602))-1</f>
        <v/>
      </c>
      <c r="F397" s="22">
        <f>EXP(SUM(Painel_diario!$L$4635:$L$4765))-1</f>
        <v/>
      </c>
    </row>
    <row r="398">
      <c r="A398" t="n">
        <v>132</v>
      </c>
      <c r="B398" s="22">
        <f>EXP(SUM(Painel_diario!$L$3007:$L$3138))-1</f>
        <v/>
      </c>
      <c r="C398" s="22">
        <f>EXP(SUM(Painel_diario!$L$3582:$L$3713))-1</f>
        <v/>
      </c>
      <c r="D398" s="22">
        <f>EXP(SUM(Painel_diario!$L$3950:$L$4081))-1</f>
        <v/>
      </c>
      <c r="E398" s="22">
        <f>EXP(SUM(Painel_diario!$L$4472:$L$4603))-1</f>
        <v/>
      </c>
      <c r="F398" s="22">
        <f>EXP(SUM(Painel_diario!$L$4635:$L$4766))-1</f>
        <v/>
      </c>
    </row>
    <row r="399">
      <c r="A399" t="n">
        <v>133</v>
      </c>
      <c r="B399" s="22">
        <f>EXP(SUM(Painel_diario!$L$3007:$L$3139))-1</f>
        <v/>
      </c>
      <c r="C399" s="22">
        <f>EXP(SUM(Painel_diario!$L$3582:$L$3714))-1</f>
        <v/>
      </c>
      <c r="D399" s="22">
        <f>EXP(SUM(Painel_diario!$L$3950:$L$4082))-1</f>
        <v/>
      </c>
      <c r="E399" s="22">
        <f>EXP(SUM(Painel_diario!$L$4472:$L$4604))-1</f>
        <v/>
      </c>
      <c r="F399" s="22">
        <f>EXP(SUM(Painel_diario!$L$4635:$L$4767))-1</f>
        <v/>
      </c>
    </row>
    <row r="400">
      <c r="A400" t="n">
        <v>134</v>
      </c>
      <c r="B400" s="22">
        <f>EXP(SUM(Painel_diario!$L$3007:$L$3140))-1</f>
        <v/>
      </c>
      <c r="C400" s="22">
        <f>EXP(SUM(Painel_diario!$L$3582:$L$3715))-1</f>
        <v/>
      </c>
      <c r="D400" s="22">
        <f>EXP(SUM(Painel_diario!$L$3950:$L$4083))-1</f>
        <v/>
      </c>
      <c r="E400" s="22">
        <f>EXP(SUM(Painel_diario!$L$4472:$L$4605))-1</f>
        <v/>
      </c>
      <c r="F400" s="22">
        <f>EXP(SUM(Painel_diario!$L$4635:$L$4768))-1</f>
        <v/>
      </c>
    </row>
    <row r="401">
      <c r="A401" t="n">
        <v>135</v>
      </c>
      <c r="B401" s="22">
        <f>EXP(SUM(Painel_diario!$L$3007:$L$3141))-1</f>
        <v/>
      </c>
      <c r="C401" s="22">
        <f>EXP(SUM(Painel_diario!$L$3582:$L$3716))-1</f>
        <v/>
      </c>
      <c r="D401" s="22">
        <f>EXP(SUM(Painel_diario!$L$3950:$L$4084))-1</f>
        <v/>
      </c>
      <c r="E401" s="22">
        <f>EXP(SUM(Painel_diario!$L$4472:$L$4606))-1</f>
        <v/>
      </c>
      <c r="F401" s="22">
        <f>EXP(SUM(Painel_diario!$L$4635:$L$4769))-1</f>
        <v/>
      </c>
    </row>
    <row r="402">
      <c r="A402" t="n">
        <v>136</v>
      </c>
      <c r="B402" s="22">
        <f>EXP(SUM(Painel_diario!$L$3007:$L$3142))-1</f>
        <v/>
      </c>
      <c r="C402" s="22">
        <f>EXP(SUM(Painel_diario!$L$3582:$L$3717))-1</f>
        <v/>
      </c>
      <c r="D402" s="22">
        <f>EXP(SUM(Painel_diario!$L$3950:$L$4085))-1</f>
        <v/>
      </c>
      <c r="E402" s="22">
        <f>EXP(SUM(Painel_diario!$L$4472:$L$4607))-1</f>
        <v/>
      </c>
      <c r="F402" s="22">
        <f>EXP(SUM(Painel_diario!$L$4635:$L$4770))-1</f>
        <v/>
      </c>
    </row>
    <row r="403">
      <c r="A403" t="n">
        <v>137</v>
      </c>
      <c r="B403" s="22">
        <f>EXP(SUM(Painel_diario!$L$3007:$L$3143))-1</f>
        <v/>
      </c>
      <c r="C403" s="22">
        <f>EXP(SUM(Painel_diario!$L$3582:$L$3718))-1</f>
        <v/>
      </c>
      <c r="D403" s="22">
        <f>EXP(SUM(Painel_diario!$L$3950:$L$4086))-1</f>
        <v/>
      </c>
      <c r="E403" s="22">
        <f>EXP(SUM(Painel_diario!$L$4472:$L$4608))-1</f>
        <v/>
      </c>
      <c r="F403" s="22">
        <f>EXP(SUM(Painel_diario!$L$4635:$L$4771))-1</f>
        <v/>
      </c>
    </row>
    <row r="404">
      <c r="A404" t="n">
        <v>138</v>
      </c>
      <c r="B404" s="22">
        <f>EXP(SUM(Painel_diario!$L$3007:$L$3144))-1</f>
        <v/>
      </c>
      <c r="C404" s="22">
        <f>EXP(SUM(Painel_diario!$L$3582:$L$3719))-1</f>
        <v/>
      </c>
      <c r="D404" s="22">
        <f>EXP(SUM(Painel_diario!$L$3950:$L$4087))-1</f>
        <v/>
      </c>
      <c r="E404" s="22">
        <f>EXP(SUM(Painel_diario!$L$4472:$L$4609))-1</f>
        <v/>
      </c>
      <c r="F404" s="22">
        <f>EXP(SUM(Painel_diario!$L$4635:$L$4772))-1</f>
        <v/>
      </c>
    </row>
    <row r="405">
      <c r="A405" t="n">
        <v>139</v>
      </c>
      <c r="B405" s="22">
        <f>EXP(SUM(Painel_diario!$L$3007:$L$3145))-1</f>
        <v/>
      </c>
      <c r="C405" s="22">
        <f>EXP(SUM(Painel_diario!$L$3582:$L$3720))-1</f>
        <v/>
      </c>
      <c r="D405" s="22">
        <f>EXP(SUM(Painel_diario!$L$3950:$L$4088))-1</f>
        <v/>
      </c>
      <c r="E405" s="22">
        <f>EXP(SUM(Painel_diario!$L$4472:$L$4610))-1</f>
        <v/>
      </c>
      <c r="F405" s="22">
        <f>EXP(SUM(Painel_diario!$L$4635:$L$4773))-1</f>
        <v/>
      </c>
    </row>
    <row r="406">
      <c r="A406" t="n">
        <v>140</v>
      </c>
      <c r="B406" s="22">
        <f>EXP(SUM(Painel_diario!$L$3007:$L$3146))-1</f>
        <v/>
      </c>
      <c r="C406" s="22">
        <f>EXP(SUM(Painel_diario!$L$3582:$L$3721))-1</f>
        <v/>
      </c>
      <c r="D406" s="22">
        <f>EXP(SUM(Painel_diario!$L$3950:$L$4089))-1</f>
        <v/>
      </c>
      <c r="E406" s="22">
        <f>EXP(SUM(Painel_diario!$L$4472:$L$4611))-1</f>
        <v/>
      </c>
      <c r="F406" s="22">
        <f>EXP(SUM(Painel_diario!$L$4635:$L$4774))-1</f>
        <v/>
      </c>
    </row>
    <row r="407">
      <c r="A407" t="n">
        <v>141</v>
      </c>
      <c r="B407" s="22">
        <f>EXP(SUM(Painel_diario!$L$3007:$L$3147))-1</f>
        <v/>
      </c>
      <c r="C407" s="22">
        <f>EXP(SUM(Painel_diario!$L$3582:$L$3722))-1</f>
        <v/>
      </c>
      <c r="D407" s="22">
        <f>EXP(SUM(Painel_diario!$L$3950:$L$4090))-1</f>
        <v/>
      </c>
      <c r="E407" s="22">
        <f>EXP(SUM(Painel_diario!$L$4472:$L$4612))-1</f>
        <v/>
      </c>
      <c r="F407" s="22">
        <f>EXP(SUM(Painel_diario!$L$4635:$L$4775))-1</f>
        <v/>
      </c>
    </row>
    <row r="408">
      <c r="A408" t="n">
        <v>142</v>
      </c>
      <c r="B408" s="22">
        <f>EXP(SUM(Painel_diario!$L$3007:$L$3148))-1</f>
        <v/>
      </c>
      <c r="C408" s="22">
        <f>EXP(SUM(Painel_diario!$L$3582:$L$3723))-1</f>
        <v/>
      </c>
      <c r="D408" s="22">
        <f>EXP(SUM(Painel_diario!$L$3950:$L$4091))-1</f>
        <v/>
      </c>
      <c r="E408" s="22">
        <f>EXP(SUM(Painel_diario!$L$4472:$L$4613))-1</f>
        <v/>
      </c>
      <c r="F408" s="22">
        <f>EXP(SUM(Painel_diario!$L$4635:$L$4776))-1</f>
        <v/>
      </c>
    </row>
    <row r="409">
      <c r="A409" t="n">
        <v>143</v>
      </c>
      <c r="B409" s="22">
        <f>EXP(SUM(Painel_diario!$L$3007:$L$3149))-1</f>
        <v/>
      </c>
      <c r="C409" s="22">
        <f>EXP(SUM(Painel_diario!$L$3582:$L$3724))-1</f>
        <v/>
      </c>
      <c r="D409" s="22">
        <f>EXP(SUM(Painel_diario!$L$3950:$L$4092))-1</f>
        <v/>
      </c>
      <c r="E409" s="22">
        <f>EXP(SUM(Painel_diario!$L$4472:$L$4614))-1</f>
        <v/>
      </c>
      <c r="F409" s="22">
        <f>EXP(SUM(Painel_diario!$L$4635:$L$4777))-1</f>
        <v/>
      </c>
    </row>
    <row r="410">
      <c r="A410" t="n">
        <v>144</v>
      </c>
      <c r="B410" s="22">
        <f>EXP(SUM(Painel_diario!$L$3007:$L$3150))-1</f>
        <v/>
      </c>
      <c r="C410" s="22">
        <f>EXP(SUM(Painel_diario!$L$3582:$L$3725))-1</f>
        <v/>
      </c>
      <c r="D410" s="22">
        <f>EXP(SUM(Painel_diario!$L$3950:$L$4093))-1</f>
        <v/>
      </c>
      <c r="E410" s="22">
        <f>EXP(SUM(Painel_diario!$L$4472:$L$4615))-1</f>
        <v/>
      </c>
      <c r="F410" s="22">
        <f>EXP(SUM(Painel_diario!$L$4635:$L$4778))-1</f>
        <v/>
      </c>
    </row>
    <row r="411">
      <c r="A411" t="n">
        <v>145</v>
      </c>
      <c r="B411" s="22">
        <f>EXP(SUM(Painel_diario!$L$3007:$L$3151))-1</f>
        <v/>
      </c>
      <c r="C411" s="22">
        <f>EXP(SUM(Painel_diario!$L$3582:$L$3726))-1</f>
        <v/>
      </c>
      <c r="D411" s="22">
        <f>EXP(SUM(Painel_diario!$L$3950:$L$4094))-1</f>
        <v/>
      </c>
      <c r="E411" s="22">
        <f>EXP(SUM(Painel_diario!$L$4472:$L$4616))-1</f>
        <v/>
      </c>
      <c r="F411" s="22">
        <f>EXP(SUM(Painel_diario!$L$4635:$L$4779))-1</f>
        <v/>
      </c>
    </row>
    <row r="412">
      <c r="A412" t="n">
        <v>146</v>
      </c>
      <c r="B412" s="22">
        <f>EXP(SUM(Painel_diario!$L$3007:$L$3152))-1</f>
        <v/>
      </c>
      <c r="C412" s="22">
        <f>EXP(SUM(Painel_diario!$L$3582:$L$3727))-1</f>
        <v/>
      </c>
      <c r="D412" s="22">
        <f>EXP(SUM(Painel_diario!$L$3950:$L$4095))-1</f>
        <v/>
      </c>
      <c r="E412" s="22">
        <f>EXP(SUM(Painel_diario!$L$4472:$L$4617))-1</f>
        <v/>
      </c>
      <c r="F412" s="22">
        <f>EXP(SUM(Painel_diario!$L$4635:$L$4780))-1</f>
        <v/>
      </c>
    </row>
    <row r="413">
      <c r="A413" t="n">
        <v>147</v>
      </c>
      <c r="B413" s="22">
        <f>EXP(SUM(Painel_diario!$L$3007:$L$3153))-1</f>
        <v/>
      </c>
      <c r="C413" s="22">
        <f>EXP(SUM(Painel_diario!$L$3582:$L$3728))-1</f>
        <v/>
      </c>
      <c r="D413" s="22">
        <f>EXP(SUM(Painel_diario!$L$3950:$L$4096))-1</f>
        <v/>
      </c>
      <c r="E413" s="22">
        <f>EXP(SUM(Painel_diario!$L$4472:$L$4618))-1</f>
        <v/>
      </c>
      <c r="F413" s="22">
        <f>EXP(SUM(Painel_diario!$L$4635:$L$4781))-1</f>
        <v/>
      </c>
    </row>
    <row r="414">
      <c r="A414" t="n">
        <v>148</v>
      </c>
      <c r="B414" s="22">
        <f>EXP(SUM(Painel_diario!$L$3007:$L$3154))-1</f>
        <v/>
      </c>
      <c r="C414" s="22">
        <f>EXP(SUM(Painel_diario!$L$3582:$L$3729))-1</f>
        <v/>
      </c>
      <c r="D414" s="22">
        <f>EXP(SUM(Painel_diario!$L$3950:$L$4097))-1</f>
        <v/>
      </c>
      <c r="E414" s="22">
        <f>EXP(SUM(Painel_diario!$L$4472:$L$4619))-1</f>
        <v/>
      </c>
      <c r="F414" s="22">
        <f>EXP(SUM(Painel_diario!$L$4635:$L$4782))-1</f>
        <v/>
      </c>
    </row>
    <row r="415">
      <c r="A415" t="n">
        <v>149</v>
      </c>
      <c r="B415" s="22">
        <f>EXP(SUM(Painel_diario!$L$3007:$L$3155))-1</f>
        <v/>
      </c>
      <c r="C415" s="22">
        <f>EXP(SUM(Painel_diario!$L$3582:$L$3730))-1</f>
        <v/>
      </c>
      <c r="D415" s="22">
        <f>EXP(SUM(Painel_diario!$L$3950:$L$4098))-1</f>
        <v/>
      </c>
      <c r="E415" s="22">
        <f>EXP(SUM(Painel_diario!$L$4472:$L$4620))-1</f>
        <v/>
      </c>
      <c r="F415" s="22">
        <f>EXP(SUM(Painel_diario!$L$4635:$L$4783))-1</f>
        <v/>
      </c>
    </row>
    <row r="416">
      <c r="A416" t="n">
        <v>150</v>
      </c>
      <c r="B416" s="22">
        <f>EXP(SUM(Painel_diario!$L$3007:$L$3156))-1</f>
        <v/>
      </c>
      <c r="C416" s="22">
        <f>EXP(SUM(Painel_diario!$L$3582:$L$3731))-1</f>
        <v/>
      </c>
      <c r="D416" s="22">
        <f>EXP(SUM(Painel_diario!$L$3950:$L$4099))-1</f>
        <v/>
      </c>
      <c r="E416" s="22">
        <f>EXP(SUM(Painel_diario!$L$4472:$L$4621))-1</f>
        <v/>
      </c>
      <c r="F416" s="22">
        <f>EXP(SUM(Painel_diario!$L$4635:$L$4784))-1</f>
        <v/>
      </c>
    </row>
    <row r="417">
      <c r="A417" t="n">
        <v>151</v>
      </c>
      <c r="B417" s="22">
        <f>EXP(SUM(Painel_diario!$L$3007:$L$3157))-1</f>
        <v/>
      </c>
      <c r="C417" s="22">
        <f>EXP(SUM(Painel_diario!$L$3582:$L$3732))-1</f>
        <v/>
      </c>
      <c r="D417" s="22">
        <f>EXP(SUM(Painel_diario!$L$3950:$L$4100))-1</f>
        <v/>
      </c>
      <c r="E417" s="22">
        <f>EXP(SUM(Painel_diario!$L$4472:$L$4622))-1</f>
        <v/>
      </c>
      <c r="F417" s="22">
        <f>EXP(SUM(Painel_diario!$L$4635:$L$4785))-1</f>
        <v/>
      </c>
    </row>
    <row r="418">
      <c r="A418" t="n">
        <v>152</v>
      </c>
      <c r="B418" s="22">
        <f>EXP(SUM(Painel_diario!$L$3007:$L$3158))-1</f>
        <v/>
      </c>
      <c r="C418" s="22">
        <f>EXP(SUM(Painel_diario!$L$3582:$L$3733))-1</f>
        <v/>
      </c>
      <c r="D418" s="22">
        <f>EXP(SUM(Painel_diario!$L$3950:$L$4101))-1</f>
        <v/>
      </c>
      <c r="E418" s="22">
        <f>EXP(SUM(Painel_diario!$L$4472:$L$4623))-1</f>
        <v/>
      </c>
      <c r="F418" s="22">
        <f>EXP(SUM(Painel_diario!$L$4635:$L$4786))-1</f>
        <v/>
      </c>
    </row>
    <row r="419">
      <c r="A419" t="n">
        <v>153</v>
      </c>
      <c r="B419" s="22">
        <f>EXP(SUM(Painel_diario!$L$3007:$L$3159))-1</f>
        <v/>
      </c>
      <c r="C419" s="22">
        <f>EXP(SUM(Painel_diario!$L$3582:$L$3734))-1</f>
        <v/>
      </c>
      <c r="D419" s="22">
        <f>EXP(SUM(Painel_diario!$L$3950:$L$4102))-1</f>
        <v/>
      </c>
      <c r="E419" s="22">
        <f>EXP(SUM(Painel_diario!$L$4472:$L$4624))-1</f>
        <v/>
      </c>
      <c r="F419" s="22">
        <f>EXP(SUM(Painel_diario!$L$4635:$L$4787))-1</f>
        <v/>
      </c>
    </row>
    <row r="420">
      <c r="A420" t="n">
        <v>154</v>
      </c>
      <c r="B420" s="22">
        <f>EXP(SUM(Painel_diario!$L$3007:$L$3160))-1</f>
        <v/>
      </c>
      <c r="C420" s="22">
        <f>EXP(SUM(Painel_diario!$L$3582:$L$3735))-1</f>
        <v/>
      </c>
      <c r="D420" s="22">
        <f>EXP(SUM(Painel_diario!$L$3950:$L$4103))-1</f>
        <v/>
      </c>
      <c r="E420" s="22">
        <f>EXP(SUM(Painel_diario!$L$4472:$L$4625))-1</f>
        <v/>
      </c>
      <c r="F420" s="22">
        <f>EXP(SUM(Painel_diario!$L$4635:$L$4788))-1</f>
        <v/>
      </c>
    </row>
    <row r="421">
      <c r="A421" t="n">
        <v>155</v>
      </c>
      <c r="B421" s="22">
        <f>EXP(SUM(Painel_diario!$L$3007:$L$3161))-1</f>
        <v/>
      </c>
      <c r="C421" s="22">
        <f>EXP(SUM(Painel_diario!$L$3582:$L$3736))-1</f>
        <v/>
      </c>
      <c r="D421" s="22">
        <f>EXP(SUM(Painel_diario!$L$3950:$L$4104))-1</f>
        <v/>
      </c>
      <c r="E421" s="22">
        <f>EXP(SUM(Painel_diario!$L$4472:$L$4626))-1</f>
        <v/>
      </c>
      <c r="F421" s="22">
        <f>EXP(SUM(Painel_diario!$L$4635:$L$4789))-1</f>
        <v/>
      </c>
    </row>
    <row r="422">
      <c r="A422" t="n">
        <v>156</v>
      </c>
      <c r="B422" s="22">
        <f>EXP(SUM(Painel_diario!$L$3007:$L$3162))-1</f>
        <v/>
      </c>
      <c r="C422" s="22">
        <f>EXP(SUM(Painel_diario!$L$3582:$L$3737))-1</f>
        <v/>
      </c>
      <c r="D422" s="22">
        <f>EXP(SUM(Painel_diario!$L$3950:$L$4105))-1</f>
        <v/>
      </c>
      <c r="E422" s="22">
        <f>EXP(SUM(Painel_diario!$L$4472:$L$4627))-1</f>
        <v/>
      </c>
      <c r="F422" s="22">
        <f>EXP(SUM(Painel_diario!$L$4635:$L$4790))-1</f>
        <v/>
      </c>
    </row>
    <row r="423">
      <c r="A423" t="n">
        <v>157</v>
      </c>
      <c r="B423" s="22">
        <f>EXP(SUM(Painel_diario!$L$3007:$L$3163))-1</f>
        <v/>
      </c>
      <c r="C423" s="22">
        <f>EXP(SUM(Painel_diario!$L$3582:$L$3738))-1</f>
        <v/>
      </c>
      <c r="D423" s="22">
        <f>EXP(SUM(Painel_diario!$L$3950:$L$4106))-1</f>
        <v/>
      </c>
      <c r="E423" s="22">
        <f>EXP(SUM(Painel_diario!$L$4472:$L$4628))-1</f>
        <v/>
      </c>
      <c r="F423" s="22">
        <f>EXP(SUM(Painel_diario!$L$4635:$L$4791))-1</f>
        <v/>
      </c>
    </row>
    <row r="424">
      <c r="A424" t="n">
        <v>158</v>
      </c>
      <c r="B424" s="22">
        <f>EXP(SUM(Painel_diario!$L$3007:$L$3164))-1</f>
        <v/>
      </c>
      <c r="C424" s="22">
        <f>EXP(SUM(Painel_diario!$L$3582:$L$3739))-1</f>
        <v/>
      </c>
      <c r="D424" s="22">
        <f>EXP(SUM(Painel_diario!$L$3950:$L$4107))-1</f>
        <v/>
      </c>
      <c r="E424" s="22">
        <f>EXP(SUM(Painel_diario!$L$4472:$L$4629))-1</f>
        <v/>
      </c>
      <c r="F424" s="22">
        <f>EXP(SUM(Painel_diario!$L$4635:$L$4792))-1</f>
        <v/>
      </c>
    </row>
    <row r="425">
      <c r="A425" t="n">
        <v>159</v>
      </c>
      <c r="B425" s="22">
        <f>EXP(SUM(Painel_diario!$L$3007:$L$3165))-1</f>
        <v/>
      </c>
      <c r="C425" s="22">
        <f>EXP(SUM(Painel_diario!$L$3582:$L$3740))-1</f>
        <v/>
      </c>
      <c r="D425" s="22">
        <f>EXP(SUM(Painel_diario!$L$3950:$L$4108))-1</f>
        <v/>
      </c>
      <c r="E425" s="22">
        <f>EXP(SUM(Painel_diario!$L$4472:$L$4630))-1</f>
        <v/>
      </c>
      <c r="F425" s="22">
        <f>EXP(SUM(Painel_diario!$L$4635:$L$4793))-1</f>
        <v/>
      </c>
    </row>
    <row r="426">
      <c r="A426" t="n">
        <v>160</v>
      </c>
      <c r="B426" s="22">
        <f>EXP(SUM(Painel_diario!$L$3007:$L$3166))-1</f>
        <v/>
      </c>
      <c r="C426" s="22">
        <f>EXP(SUM(Painel_diario!$L$3582:$L$3741))-1</f>
        <v/>
      </c>
      <c r="D426" s="22">
        <f>EXP(SUM(Painel_diario!$L$3950:$L$4109))-1</f>
        <v/>
      </c>
      <c r="E426" s="22">
        <f>EXP(SUM(Painel_diario!$L$4472:$L$4631))-1</f>
        <v/>
      </c>
      <c r="F426" s="22">
        <f>EXP(SUM(Painel_diario!$L$4635:$L$4794))-1</f>
        <v/>
      </c>
    </row>
    <row r="427">
      <c r="A427" t="n">
        <v>161</v>
      </c>
      <c r="B427" s="22">
        <f>EXP(SUM(Painel_diario!$L$3007:$L$3167))-1</f>
        <v/>
      </c>
      <c r="C427" s="22">
        <f>EXP(SUM(Painel_diario!$L$3582:$L$3742))-1</f>
        <v/>
      </c>
      <c r="D427" s="22">
        <f>EXP(SUM(Painel_diario!$L$3950:$L$4110))-1</f>
        <v/>
      </c>
      <c r="E427" s="22">
        <f>EXP(SUM(Painel_diario!$L$4472:$L$4632))-1</f>
        <v/>
      </c>
      <c r="F427" s="22">
        <f>EXP(SUM(Painel_diario!$L$4635:$L$4795))-1</f>
        <v/>
      </c>
    </row>
    <row r="428">
      <c r="A428" t="n">
        <v>162</v>
      </c>
      <c r="B428" s="22">
        <f>EXP(SUM(Painel_diario!$L$3007:$L$3168))-1</f>
        <v/>
      </c>
      <c r="C428" s="22">
        <f>EXP(SUM(Painel_diario!$L$3582:$L$3743))-1</f>
        <v/>
      </c>
      <c r="D428" s="22">
        <f>EXP(SUM(Painel_diario!$L$3950:$L$4111))-1</f>
        <v/>
      </c>
      <c r="E428" s="22">
        <f>EXP(SUM(Painel_diario!$L$4472:$L$4633))-1</f>
        <v/>
      </c>
      <c r="F428" s="22">
        <f>EXP(SUM(Painel_diario!$L$4635:$L$4796))-1</f>
        <v/>
      </c>
    </row>
    <row r="429">
      <c r="A429" t="n">
        <v>163</v>
      </c>
      <c r="B429" s="22">
        <f>EXP(SUM(Painel_diario!$L$3007:$L$3169))-1</f>
        <v/>
      </c>
      <c r="C429" s="22">
        <f>EXP(SUM(Painel_diario!$L$3582:$L$3744))-1</f>
        <v/>
      </c>
      <c r="D429" s="22">
        <f>EXP(SUM(Painel_diario!$L$3950:$L$4112))-1</f>
        <v/>
      </c>
      <c r="E429" s="22">
        <f>EXP(SUM(Painel_diario!$L$4472:$L$4634))-1</f>
        <v/>
      </c>
      <c r="F429" s="22">
        <f>EXP(SUM(Painel_diario!$L$4635:$L$4797))-1</f>
        <v/>
      </c>
    </row>
    <row r="430">
      <c r="A430" t="n">
        <v>164</v>
      </c>
      <c r="B430" s="22">
        <f>EXP(SUM(Painel_diario!$L$3007:$L$3170))-1</f>
        <v/>
      </c>
      <c r="C430" s="22">
        <f>EXP(SUM(Painel_diario!$L$3582:$L$3745))-1</f>
        <v/>
      </c>
      <c r="D430" s="22">
        <f>EXP(SUM(Painel_diario!$L$3950:$L$4113))-1</f>
        <v/>
      </c>
      <c r="E430" s="22">
        <f>EXP(SUM(Painel_diario!$L$4472:$L$4635))-1</f>
        <v/>
      </c>
      <c r="F430" s="22">
        <f>EXP(SUM(Painel_diario!$L$4635:$L$4798))-1</f>
        <v/>
      </c>
    </row>
    <row r="431">
      <c r="A431" t="n">
        <v>165</v>
      </c>
      <c r="B431" s="22">
        <f>EXP(SUM(Painel_diario!$L$3007:$L$3171))-1</f>
        <v/>
      </c>
      <c r="C431" s="22">
        <f>EXP(SUM(Painel_diario!$L$3582:$L$3746))-1</f>
        <v/>
      </c>
      <c r="D431" s="22">
        <f>EXP(SUM(Painel_diario!$L$3950:$L$4114))-1</f>
        <v/>
      </c>
      <c r="E431" s="22">
        <f>EXP(SUM(Painel_diario!$L$4472:$L$4636))-1</f>
        <v/>
      </c>
      <c r="F431" s="22">
        <f>EXP(SUM(Painel_diario!$L$4635:$L$4799))-1</f>
        <v/>
      </c>
    </row>
    <row r="432">
      <c r="A432" t="n">
        <v>166</v>
      </c>
      <c r="B432" s="22">
        <f>EXP(SUM(Painel_diario!$L$3007:$L$3172))-1</f>
        <v/>
      </c>
      <c r="C432" s="22">
        <f>EXP(SUM(Painel_diario!$L$3582:$L$3747))-1</f>
        <v/>
      </c>
      <c r="D432" s="22">
        <f>EXP(SUM(Painel_diario!$L$3950:$L$4115))-1</f>
        <v/>
      </c>
      <c r="E432" s="22">
        <f>EXP(SUM(Painel_diario!$L$4472:$L$4637))-1</f>
        <v/>
      </c>
      <c r="F432" s="22">
        <f>EXP(SUM(Painel_diario!$L$4635:$L$4800))-1</f>
        <v/>
      </c>
    </row>
    <row r="433">
      <c r="A433" t="n">
        <v>167</v>
      </c>
      <c r="B433" s="22">
        <f>EXP(SUM(Painel_diario!$L$3007:$L$3173))-1</f>
        <v/>
      </c>
      <c r="C433" s="22">
        <f>EXP(SUM(Painel_diario!$L$3582:$L$3748))-1</f>
        <v/>
      </c>
      <c r="D433" s="22">
        <f>EXP(SUM(Painel_diario!$L$3950:$L$4116))-1</f>
        <v/>
      </c>
      <c r="E433" s="22">
        <f>EXP(SUM(Painel_diario!$L$4472:$L$4638))-1</f>
        <v/>
      </c>
      <c r="F433" s="22">
        <f>EXP(SUM(Painel_diario!$L$4635:$L$4801))-1</f>
        <v/>
      </c>
    </row>
    <row r="434">
      <c r="A434" t="n">
        <v>168</v>
      </c>
      <c r="B434" s="22">
        <f>EXP(SUM(Painel_diario!$L$3007:$L$3174))-1</f>
        <v/>
      </c>
      <c r="C434" s="22">
        <f>EXP(SUM(Painel_diario!$L$3582:$L$3749))-1</f>
        <v/>
      </c>
      <c r="D434" s="22">
        <f>EXP(SUM(Painel_diario!$L$3950:$L$4117))-1</f>
        <v/>
      </c>
      <c r="E434" s="22">
        <f>EXP(SUM(Painel_diario!$L$4472:$L$4639))-1</f>
        <v/>
      </c>
      <c r="F434" s="22">
        <f>EXP(SUM(Painel_diario!$L$4635:$L$4802))-1</f>
        <v/>
      </c>
    </row>
    <row r="435">
      <c r="A435" t="n">
        <v>169</v>
      </c>
      <c r="B435" s="22">
        <f>EXP(SUM(Painel_diario!$L$3007:$L$3175))-1</f>
        <v/>
      </c>
      <c r="C435" s="22">
        <f>EXP(SUM(Painel_diario!$L$3582:$L$3750))-1</f>
        <v/>
      </c>
      <c r="D435" s="22">
        <f>EXP(SUM(Painel_diario!$L$3950:$L$4118))-1</f>
        <v/>
      </c>
      <c r="E435" s="22">
        <f>EXP(SUM(Painel_diario!$L$4472:$L$4640))-1</f>
        <v/>
      </c>
      <c r="F435" s="22">
        <f>EXP(SUM(Painel_diario!$L$4635:$L$4803))-1</f>
        <v/>
      </c>
    </row>
    <row r="436">
      <c r="A436" t="n">
        <v>170</v>
      </c>
      <c r="B436" s="22">
        <f>EXP(SUM(Painel_diario!$L$3007:$L$3176))-1</f>
        <v/>
      </c>
      <c r="C436" s="22">
        <f>EXP(SUM(Painel_diario!$L$3582:$L$3751))-1</f>
        <v/>
      </c>
      <c r="D436" s="22">
        <f>EXP(SUM(Painel_diario!$L$3950:$L$4119))-1</f>
        <v/>
      </c>
      <c r="E436" s="22">
        <f>EXP(SUM(Painel_diario!$L$4472:$L$4641))-1</f>
        <v/>
      </c>
      <c r="F436" s="22">
        <f>EXP(SUM(Painel_diario!$L$4635:$L$4804))-1</f>
        <v/>
      </c>
    </row>
    <row r="437">
      <c r="A437" t="n">
        <v>171</v>
      </c>
      <c r="B437" s="22">
        <f>EXP(SUM(Painel_diario!$L$3007:$L$3177))-1</f>
        <v/>
      </c>
      <c r="C437" s="22">
        <f>EXP(SUM(Painel_diario!$L$3582:$L$3752))-1</f>
        <v/>
      </c>
      <c r="D437" s="22">
        <f>EXP(SUM(Painel_diario!$L$3950:$L$4120))-1</f>
        <v/>
      </c>
      <c r="E437" s="22">
        <f>EXP(SUM(Painel_diario!$L$4472:$L$4642))-1</f>
        <v/>
      </c>
      <c r="F437" s="22">
        <f>EXP(SUM(Painel_diario!$L$4635:$L$4805))-1</f>
        <v/>
      </c>
    </row>
    <row r="438">
      <c r="A438" t="n">
        <v>172</v>
      </c>
      <c r="B438" s="22">
        <f>EXP(SUM(Painel_diario!$L$3007:$L$3178))-1</f>
        <v/>
      </c>
      <c r="C438" s="22">
        <f>EXP(SUM(Painel_diario!$L$3582:$L$3753))-1</f>
        <v/>
      </c>
      <c r="D438" s="22">
        <f>EXP(SUM(Painel_diario!$L$3950:$L$4121))-1</f>
        <v/>
      </c>
      <c r="E438" s="22">
        <f>EXP(SUM(Painel_diario!$L$4472:$L$4643))-1</f>
        <v/>
      </c>
      <c r="F438" s="22">
        <f>EXP(SUM(Painel_diario!$L$4635:$L$4806))-1</f>
        <v/>
      </c>
    </row>
    <row r="439">
      <c r="A439" t="n">
        <v>173</v>
      </c>
      <c r="B439" s="22">
        <f>EXP(SUM(Painel_diario!$L$3007:$L$3179))-1</f>
        <v/>
      </c>
      <c r="C439" s="22">
        <f>EXP(SUM(Painel_diario!$L$3582:$L$3754))-1</f>
        <v/>
      </c>
      <c r="D439" s="22">
        <f>EXP(SUM(Painel_diario!$L$3950:$L$4122))-1</f>
        <v/>
      </c>
      <c r="E439" s="22">
        <f>EXP(SUM(Painel_diario!$L$4472:$L$4644))-1</f>
        <v/>
      </c>
      <c r="F439" s="22">
        <f>EXP(SUM(Painel_diario!$L$4635:$L$4807))-1</f>
        <v/>
      </c>
    </row>
    <row r="440">
      <c r="A440" t="n">
        <v>174</v>
      </c>
      <c r="B440" s="22">
        <f>EXP(SUM(Painel_diario!$L$3007:$L$3180))-1</f>
        <v/>
      </c>
      <c r="C440" s="22">
        <f>EXP(SUM(Painel_diario!$L$3582:$L$3755))-1</f>
        <v/>
      </c>
      <c r="D440" s="22">
        <f>EXP(SUM(Painel_diario!$L$3950:$L$4123))-1</f>
        <v/>
      </c>
      <c r="E440" s="22">
        <f>EXP(SUM(Painel_diario!$L$4472:$L$4645))-1</f>
        <v/>
      </c>
      <c r="F440" s="22">
        <f>EXP(SUM(Painel_diario!$L$4635:$L$4808))-1</f>
        <v/>
      </c>
    </row>
    <row r="441">
      <c r="A441" t="n">
        <v>175</v>
      </c>
      <c r="B441" s="22">
        <f>EXP(SUM(Painel_diario!$L$3007:$L$3181))-1</f>
        <v/>
      </c>
      <c r="C441" s="22">
        <f>EXP(SUM(Painel_diario!$L$3582:$L$3756))-1</f>
        <v/>
      </c>
      <c r="D441" s="22">
        <f>EXP(SUM(Painel_diario!$L$3950:$L$4124))-1</f>
        <v/>
      </c>
      <c r="E441" s="22">
        <f>EXP(SUM(Painel_diario!$L$4472:$L$4646))-1</f>
        <v/>
      </c>
      <c r="F441" s="22">
        <f>EXP(SUM(Painel_diario!$L$4635:$L$4809))-1</f>
        <v/>
      </c>
    </row>
    <row r="442">
      <c r="A442" t="n">
        <v>176</v>
      </c>
      <c r="B442" s="22">
        <f>EXP(SUM(Painel_diario!$L$3007:$L$3182))-1</f>
        <v/>
      </c>
      <c r="C442" s="22">
        <f>EXP(SUM(Painel_diario!$L$3582:$L$3757))-1</f>
        <v/>
      </c>
      <c r="D442" s="22">
        <f>EXP(SUM(Painel_diario!$L$3950:$L$4125))-1</f>
        <v/>
      </c>
      <c r="E442" s="22">
        <f>EXP(SUM(Painel_diario!$L$4472:$L$4647))-1</f>
        <v/>
      </c>
      <c r="F442" s="22">
        <f>EXP(SUM(Painel_diario!$L$4635:$L$4810))-1</f>
        <v/>
      </c>
    </row>
    <row r="443">
      <c r="A443" t="n">
        <v>177</v>
      </c>
      <c r="B443" s="22">
        <f>EXP(SUM(Painel_diario!$L$3007:$L$3183))-1</f>
        <v/>
      </c>
      <c r="C443" s="22">
        <f>EXP(SUM(Painel_diario!$L$3582:$L$3758))-1</f>
        <v/>
      </c>
      <c r="D443" s="22">
        <f>EXP(SUM(Painel_diario!$L$3950:$L$4126))-1</f>
        <v/>
      </c>
      <c r="E443" s="22">
        <f>EXP(SUM(Painel_diario!$L$4472:$L$4648))-1</f>
        <v/>
      </c>
      <c r="F443" s="22">
        <f>EXP(SUM(Painel_diario!$L$4635:$L$4811))-1</f>
        <v/>
      </c>
    </row>
    <row r="444">
      <c r="A444" t="n">
        <v>178</v>
      </c>
      <c r="B444" s="22">
        <f>EXP(SUM(Painel_diario!$L$3007:$L$3184))-1</f>
        <v/>
      </c>
      <c r="C444" s="22">
        <f>EXP(SUM(Painel_diario!$L$3582:$L$3759))-1</f>
        <v/>
      </c>
      <c r="D444" s="22">
        <f>EXP(SUM(Painel_diario!$L$3950:$L$4127))-1</f>
        <v/>
      </c>
      <c r="E444" s="22">
        <f>EXP(SUM(Painel_diario!$L$4472:$L$4649))-1</f>
        <v/>
      </c>
      <c r="F444" s="22">
        <f>EXP(SUM(Painel_diario!$L$4635:$L$4812))-1</f>
        <v/>
      </c>
    </row>
    <row r="445">
      <c r="A445" t="n">
        <v>179</v>
      </c>
      <c r="B445" s="22">
        <f>EXP(SUM(Painel_diario!$L$3007:$L$3185))-1</f>
        <v/>
      </c>
      <c r="C445" s="22">
        <f>EXP(SUM(Painel_diario!$L$3582:$L$3760))-1</f>
        <v/>
      </c>
      <c r="D445" s="22">
        <f>EXP(SUM(Painel_diario!$L$3950:$L$4128))-1</f>
        <v/>
      </c>
      <c r="E445" s="22">
        <f>EXP(SUM(Painel_diario!$L$4472:$L$4650))-1</f>
        <v/>
      </c>
      <c r="F445" s="22">
        <f>EXP(SUM(Painel_diario!$L$4635:$L$4813))-1</f>
        <v/>
      </c>
    </row>
    <row r="446">
      <c r="A446" t="n">
        <v>180</v>
      </c>
      <c r="B446" s="22">
        <f>EXP(SUM(Painel_diario!$L$3007:$L$3186))-1</f>
        <v/>
      </c>
      <c r="C446" s="22">
        <f>EXP(SUM(Painel_diario!$L$3582:$L$3761))-1</f>
        <v/>
      </c>
      <c r="D446" s="22">
        <f>EXP(SUM(Painel_diario!$L$3950:$L$4129))-1</f>
        <v/>
      </c>
      <c r="E446" s="22">
        <f>EXP(SUM(Painel_diario!$L$4472:$L$4651))-1</f>
        <v/>
      </c>
      <c r="F446" s="22">
        <f>EXP(SUM(Painel_diario!$L$4635:$L$4814))-1</f>
        <v/>
      </c>
    </row>
    <row r="447">
      <c r="A447" t="n">
        <v>181</v>
      </c>
      <c r="B447" s="22">
        <f>EXP(SUM(Painel_diario!$L$3007:$L$3187))-1</f>
        <v/>
      </c>
      <c r="C447" s="22">
        <f>EXP(SUM(Painel_diario!$L$3582:$L$3762))-1</f>
        <v/>
      </c>
      <c r="D447" s="22">
        <f>EXP(SUM(Painel_diario!$L$3950:$L$4130))-1</f>
        <v/>
      </c>
      <c r="E447" s="22">
        <f>EXP(SUM(Painel_diario!$L$4472:$L$4652))-1</f>
        <v/>
      </c>
      <c r="F447" s="22">
        <f>EXP(SUM(Painel_diario!$L$4635:$L$4815))-1</f>
        <v/>
      </c>
    </row>
    <row r="448">
      <c r="A448" t="n">
        <v>182</v>
      </c>
      <c r="B448" s="22">
        <f>EXP(SUM(Painel_diario!$L$3007:$L$3188))-1</f>
        <v/>
      </c>
      <c r="C448" s="22">
        <f>EXP(SUM(Painel_diario!$L$3582:$L$3763))-1</f>
        <v/>
      </c>
      <c r="D448" s="22">
        <f>EXP(SUM(Painel_diario!$L$3950:$L$4131))-1</f>
        <v/>
      </c>
      <c r="E448" s="22">
        <f>EXP(SUM(Painel_diario!$L$4472:$L$4653))-1</f>
        <v/>
      </c>
      <c r="F448" s="22">
        <f>EXP(SUM(Painel_diario!$L$4635:$L$4816))-1</f>
        <v/>
      </c>
    </row>
    <row r="449">
      <c r="A449" t="n">
        <v>183</v>
      </c>
      <c r="B449" s="22">
        <f>EXP(SUM(Painel_diario!$L$3007:$L$3189))-1</f>
        <v/>
      </c>
      <c r="C449" s="22">
        <f>EXP(SUM(Painel_diario!$L$3582:$L$3764))-1</f>
        <v/>
      </c>
      <c r="D449" s="22">
        <f>EXP(SUM(Painel_diario!$L$3950:$L$4132))-1</f>
        <v/>
      </c>
      <c r="E449" s="22">
        <f>EXP(SUM(Painel_diario!$L$4472:$L$4654))-1</f>
        <v/>
      </c>
      <c r="F449" s="22">
        <f>EXP(SUM(Painel_diario!$L$4635:$L$4817))-1</f>
        <v/>
      </c>
    </row>
    <row r="450">
      <c r="A450" t="n">
        <v>184</v>
      </c>
      <c r="B450" s="22">
        <f>EXP(SUM(Painel_diario!$L$3007:$L$3190))-1</f>
        <v/>
      </c>
      <c r="C450" s="22">
        <f>EXP(SUM(Painel_diario!$L$3582:$L$3765))-1</f>
        <v/>
      </c>
      <c r="D450" s="22">
        <f>EXP(SUM(Painel_diario!$L$3950:$L$4133))-1</f>
        <v/>
      </c>
      <c r="E450" s="22">
        <f>EXP(SUM(Painel_diario!$L$4472:$L$4655))-1</f>
        <v/>
      </c>
      <c r="F450" s="22">
        <f>EXP(SUM(Painel_diario!$L$4635:$L$4818))-1</f>
        <v/>
      </c>
    </row>
    <row r="451">
      <c r="A451" t="n">
        <v>185</v>
      </c>
      <c r="B451" s="22">
        <f>EXP(SUM(Painel_diario!$L$3007:$L$3191))-1</f>
        <v/>
      </c>
      <c r="C451" s="22">
        <f>EXP(SUM(Painel_diario!$L$3582:$L$3766))-1</f>
        <v/>
      </c>
      <c r="D451" s="22">
        <f>EXP(SUM(Painel_diario!$L$3950:$L$4134))-1</f>
        <v/>
      </c>
      <c r="E451" s="22">
        <f>EXP(SUM(Painel_diario!$L$4472:$L$4656))-1</f>
        <v/>
      </c>
      <c r="F451" s="22">
        <f>EXP(SUM(Painel_diario!$L$4635:$L$4819))-1</f>
        <v/>
      </c>
    </row>
    <row r="452">
      <c r="A452" t="n">
        <v>186</v>
      </c>
      <c r="B452" s="22">
        <f>EXP(SUM(Painel_diario!$L$3007:$L$3192))-1</f>
        <v/>
      </c>
      <c r="C452" s="22">
        <f>EXP(SUM(Painel_diario!$L$3582:$L$3767))-1</f>
        <v/>
      </c>
      <c r="D452" s="22">
        <f>EXP(SUM(Painel_diario!$L$3950:$L$4135))-1</f>
        <v/>
      </c>
      <c r="E452" s="22">
        <f>EXP(SUM(Painel_diario!$L$4472:$L$4657))-1</f>
        <v/>
      </c>
      <c r="F452" s="22">
        <f>EXP(SUM(Painel_diario!$L$4635:$L$4820))-1</f>
        <v/>
      </c>
    </row>
    <row r="453">
      <c r="A453" t="n">
        <v>187</v>
      </c>
      <c r="B453" s="22">
        <f>EXP(SUM(Painel_diario!$L$3007:$L$3193))-1</f>
        <v/>
      </c>
      <c r="C453" s="22">
        <f>EXP(SUM(Painel_diario!$L$3582:$L$3768))-1</f>
        <v/>
      </c>
      <c r="D453" s="22">
        <f>EXP(SUM(Painel_diario!$L$3950:$L$4136))-1</f>
        <v/>
      </c>
      <c r="E453" s="22">
        <f>EXP(SUM(Painel_diario!$L$4472:$L$4658))-1</f>
        <v/>
      </c>
      <c r="F453" s="22">
        <f>EXP(SUM(Painel_diario!$L$4635:$L$4821))-1</f>
        <v/>
      </c>
    </row>
    <row r="454">
      <c r="A454" t="n">
        <v>188</v>
      </c>
      <c r="B454" s="22">
        <f>EXP(SUM(Painel_diario!$L$3007:$L$3194))-1</f>
        <v/>
      </c>
      <c r="C454" s="22">
        <f>EXP(SUM(Painel_diario!$L$3582:$L$3769))-1</f>
        <v/>
      </c>
      <c r="D454" s="22">
        <f>EXP(SUM(Painel_diario!$L$3950:$L$4137))-1</f>
        <v/>
      </c>
      <c r="E454" s="22">
        <f>EXP(SUM(Painel_diario!$L$4472:$L$4659))-1</f>
        <v/>
      </c>
      <c r="F454" s="22">
        <f>EXP(SUM(Painel_diario!$L$4635:$L$4822))-1</f>
        <v/>
      </c>
    </row>
    <row r="455">
      <c r="A455" t="n">
        <v>189</v>
      </c>
      <c r="B455" s="22">
        <f>EXP(SUM(Painel_diario!$L$3007:$L$3195))-1</f>
        <v/>
      </c>
      <c r="C455" s="22">
        <f>EXP(SUM(Painel_diario!$L$3582:$L$3770))-1</f>
        <v/>
      </c>
      <c r="D455" s="22">
        <f>EXP(SUM(Painel_diario!$L$3950:$L$4138))-1</f>
        <v/>
      </c>
      <c r="E455" s="22">
        <f>EXP(SUM(Painel_diario!$L$4472:$L$4660))-1</f>
        <v/>
      </c>
      <c r="F455" s="22">
        <f>EXP(SUM(Painel_diario!$L$4635:$L$4823))-1</f>
        <v/>
      </c>
    </row>
    <row r="456">
      <c r="A456" t="n">
        <v>190</v>
      </c>
      <c r="B456" s="22">
        <f>EXP(SUM(Painel_diario!$L$3007:$L$3196))-1</f>
        <v/>
      </c>
      <c r="C456" s="22">
        <f>EXP(SUM(Painel_diario!$L$3582:$L$3771))-1</f>
        <v/>
      </c>
      <c r="D456" s="22">
        <f>EXP(SUM(Painel_diario!$L$3950:$L$4139))-1</f>
        <v/>
      </c>
      <c r="E456" s="22">
        <f>EXP(SUM(Painel_diario!$L$4472:$L$4661))-1</f>
        <v/>
      </c>
      <c r="F456" s="22">
        <f>EXP(SUM(Painel_diario!$L$4635:$L$4824))-1</f>
        <v/>
      </c>
    </row>
    <row r="457">
      <c r="A457" t="n">
        <v>191</v>
      </c>
      <c r="B457" s="22">
        <f>EXP(SUM(Painel_diario!$L$3007:$L$3197))-1</f>
        <v/>
      </c>
      <c r="C457" s="22">
        <f>EXP(SUM(Painel_diario!$L$3582:$L$3772))-1</f>
        <v/>
      </c>
      <c r="D457" s="22">
        <f>EXP(SUM(Painel_diario!$L$3950:$L$4140))-1</f>
        <v/>
      </c>
      <c r="E457" s="22">
        <f>EXP(SUM(Painel_diario!$L$4472:$L$4662))-1</f>
        <v/>
      </c>
      <c r="F457" s="22">
        <f>EXP(SUM(Painel_diario!$L$4635:$L$4825))-1</f>
        <v/>
      </c>
    </row>
    <row r="458">
      <c r="A458" t="n">
        <v>192</v>
      </c>
      <c r="B458" s="22">
        <f>EXP(SUM(Painel_diario!$L$3007:$L$3198))-1</f>
        <v/>
      </c>
      <c r="C458" s="22">
        <f>EXP(SUM(Painel_diario!$L$3582:$L$3773))-1</f>
        <v/>
      </c>
      <c r="D458" s="22">
        <f>EXP(SUM(Painel_diario!$L$3950:$L$4141))-1</f>
        <v/>
      </c>
      <c r="E458" s="22">
        <f>EXP(SUM(Painel_diario!$L$4472:$L$4663))-1</f>
        <v/>
      </c>
      <c r="F458" s="22">
        <f>EXP(SUM(Painel_diario!$L$4635:$L$4826))-1</f>
        <v/>
      </c>
    </row>
    <row r="459">
      <c r="A459" t="n">
        <v>193</v>
      </c>
      <c r="B459" s="22">
        <f>EXP(SUM(Painel_diario!$L$3007:$L$3199))-1</f>
        <v/>
      </c>
      <c r="C459" s="22">
        <f>EXP(SUM(Painel_diario!$L$3582:$L$3774))-1</f>
        <v/>
      </c>
      <c r="D459" s="22">
        <f>EXP(SUM(Painel_diario!$L$3950:$L$4142))-1</f>
        <v/>
      </c>
      <c r="E459" s="22">
        <f>EXP(SUM(Painel_diario!$L$4472:$L$4664))-1</f>
        <v/>
      </c>
      <c r="F459" s="22">
        <f>EXP(SUM(Painel_diario!$L$4635:$L$4827))-1</f>
        <v/>
      </c>
    </row>
    <row r="460">
      <c r="A460" t="n">
        <v>194</v>
      </c>
      <c r="B460" s="22">
        <f>EXP(SUM(Painel_diario!$L$3007:$L$3200))-1</f>
        <v/>
      </c>
      <c r="C460" s="22">
        <f>EXP(SUM(Painel_diario!$L$3582:$L$3775))-1</f>
        <v/>
      </c>
      <c r="D460" s="22">
        <f>EXP(SUM(Painel_diario!$L$3950:$L$4143))-1</f>
        <v/>
      </c>
      <c r="E460" s="22">
        <f>EXP(SUM(Painel_diario!$L$4472:$L$4665))-1</f>
        <v/>
      </c>
      <c r="F460" s="22">
        <f>EXP(SUM(Painel_diario!$L$4635:$L$4828))-1</f>
        <v/>
      </c>
    </row>
    <row r="461">
      <c r="A461" t="n">
        <v>195</v>
      </c>
      <c r="B461" s="22">
        <f>EXP(SUM(Painel_diario!$L$3007:$L$3201))-1</f>
        <v/>
      </c>
      <c r="C461" s="22">
        <f>EXP(SUM(Painel_diario!$L$3582:$L$3776))-1</f>
        <v/>
      </c>
      <c r="D461" s="22">
        <f>EXP(SUM(Painel_diario!$L$3950:$L$4144))-1</f>
        <v/>
      </c>
      <c r="E461" s="22">
        <f>EXP(SUM(Painel_diario!$L$4472:$L$4666))-1</f>
        <v/>
      </c>
      <c r="F461" s="22">
        <f>EXP(SUM(Painel_diario!$L$4635:$L$4829))-1</f>
        <v/>
      </c>
    </row>
    <row r="462">
      <c r="A462" t="n">
        <v>196</v>
      </c>
      <c r="B462" s="22">
        <f>EXP(SUM(Painel_diario!$L$3007:$L$3202))-1</f>
        <v/>
      </c>
      <c r="C462" s="22">
        <f>EXP(SUM(Painel_diario!$L$3582:$L$3777))-1</f>
        <v/>
      </c>
      <c r="D462" s="22">
        <f>EXP(SUM(Painel_diario!$L$3950:$L$4145))-1</f>
        <v/>
      </c>
      <c r="E462" s="22">
        <f>EXP(SUM(Painel_diario!$L$4472:$L$4667))-1</f>
        <v/>
      </c>
      <c r="F462" s="22">
        <f>EXP(SUM(Painel_diario!$L$4635:$L$4830))-1</f>
        <v/>
      </c>
    </row>
    <row r="463">
      <c r="A463" t="n">
        <v>197</v>
      </c>
      <c r="B463" s="22">
        <f>EXP(SUM(Painel_diario!$L$3007:$L$3203))-1</f>
        <v/>
      </c>
      <c r="C463" s="22">
        <f>EXP(SUM(Painel_diario!$L$3582:$L$3778))-1</f>
        <v/>
      </c>
      <c r="D463" s="22">
        <f>EXP(SUM(Painel_diario!$L$3950:$L$4146))-1</f>
        <v/>
      </c>
      <c r="E463" s="22">
        <f>EXP(SUM(Painel_diario!$L$4472:$L$4668))-1</f>
        <v/>
      </c>
      <c r="F463" s="22">
        <f>EXP(SUM(Painel_diario!$L$4635:$L$4831))-1</f>
        <v/>
      </c>
    </row>
    <row r="464">
      <c r="A464" t="n">
        <v>198</v>
      </c>
      <c r="B464" s="22">
        <f>EXP(SUM(Painel_diario!$L$3007:$L$3204))-1</f>
        <v/>
      </c>
      <c r="C464" s="22">
        <f>EXP(SUM(Painel_diario!$L$3582:$L$3779))-1</f>
        <v/>
      </c>
      <c r="D464" s="22">
        <f>EXP(SUM(Painel_diario!$L$3950:$L$4147))-1</f>
        <v/>
      </c>
      <c r="E464" s="22">
        <f>EXP(SUM(Painel_diario!$L$4472:$L$4669))-1</f>
        <v/>
      </c>
      <c r="F464" s="22">
        <f>EXP(SUM(Painel_diario!$L$4635:$L$4832))-1</f>
        <v/>
      </c>
    </row>
    <row r="465">
      <c r="A465" t="n">
        <v>199</v>
      </c>
      <c r="B465" s="22">
        <f>EXP(SUM(Painel_diario!$L$3007:$L$3205))-1</f>
        <v/>
      </c>
      <c r="C465" s="22">
        <f>EXP(SUM(Painel_diario!$L$3582:$L$3780))-1</f>
        <v/>
      </c>
      <c r="D465" s="22">
        <f>EXP(SUM(Painel_diario!$L$3950:$L$4148))-1</f>
        <v/>
      </c>
      <c r="E465" s="22">
        <f>EXP(SUM(Painel_diario!$L$4472:$L$4670))-1</f>
        <v/>
      </c>
      <c r="F465" s="22">
        <f>EXP(SUM(Painel_diario!$L$4635:$L$4833))-1</f>
        <v/>
      </c>
    </row>
    <row r="466">
      <c r="A466" t="n">
        <v>200</v>
      </c>
      <c r="B466" s="22">
        <f>EXP(SUM(Painel_diario!$L$3007:$L$3206))-1</f>
        <v/>
      </c>
      <c r="C466" s="22">
        <f>EXP(SUM(Painel_diario!$L$3582:$L$3781))-1</f>
        <v/>
      </c>
      <c r="D466" s="22">
        <f>EXP(SUM(Painel_diario!$L$3950:$L$4149))-1</f>
        <v/>
      </c>
      <c r="E466" s="22">
        <f>EXP(SUM(Painel_diario!$L$4472:$L$4671))-1</f>
        <v/>
      </c>
      <c r="F466" s="22">
        <f>EXP(SUM(Painel_diario!$L$4635:$L$4834))-1</f>
        <v/>
      </c>
    </row>
    <row r="467">
      <c r="A467" t="n">
        <v>201</v>
      </c>
      <c r="B467" s="22">
        <f>EXP(SUM(Painel_diario!$L$3007:$L$3207))-1</f>
        <v/>
      </c>
      <c r="C467" s="22">
        <f>EXP(SUM(Painel_diario!$L$3582:$L$3782))-1</f>
        <v/>
      </c>
      <c r="D467" s="22">
        <f>EXP(SUM(Painel_diario!$L$3950:$L$4150))-1</f>
        <v/>
      </c>
      <c r="E467" s="22">
        <f>EXP(SUM(Painel_diario!$L$4472:$L$4672))-1</f>
        <v/>
      </c>
      <c r="F467" s="22">
        <f>EXP(SUM(Painel_diario!$L$4635:$L$4835))-1</f>
        <v/>
      </c>
    </row>
    <row r="468">
      <c r="A468" t="n">
        <v>202</v>
      </c>
      <c r="B468" s="22">
        <f>EXP(SUM(Painel_diario!$L$3007:$L$3208))-1</f>
        <v/>
      </c>
      <c r="C468" s="22">
        <f>EXP(SUM(Painel_diario!$L$3582:$L$3783))-1</f>
        <v/>
      </c>
      <c r="D468" s="22">
        <f>EXP(SUM(Painel_diario!$L$3950:$L$4151))-1</f>
        <v/>
      </c>
      <c r="E468" s="22">
        <f>EXP(SUM(Painel_diario!$L$4472:$L$4673))-1</f>
        <v/>
      </c>
      <c r="F468" s="22">
        <f>EXP(SUM(Painel_diario!$L$4635:$L$4836))-1</f>
        <v/>
      </c>
    </row>
    <row r="469">
      <c r="A469" t="n">
        <v>203</v>
      </c>
      <c r="B469" s="22">
        <f>EXP(SUM(Painel_diario!$L$3007:$L$3209))-1</f>
        <v/>
      </c>
      <c r="C469" s="22">
        <f>EXP(SUM(Painel_diario!$L$3582:$L$3784))-1</f>
        <v/>
      </c>
      <c r="D469" s="22">
        <f>EXP(SUM(Painel_diario!$L$3950:$L$4152))-1</f>
        <v/>
      </c>
      <c r="E469" s="22">
        <f>EXP(SUM(Painel_diario!$L$4472:$L$4674))-1</f>
        <v/>
      </c>
      <c r="F469" s="22">
        <f>EXP(SUM(Painel_diario!$L$4635:$L$4837))-1</f>
        <v/>
      </c>
    </row>
    <row r="470">
      <c r="A470" t="n">
        <v>204</v>
      </c>
      <c r="B470" s="22">
        <f>EXP(SUM(Painel_diario!$L$3007:$L$3210))-1</f>
        <v/>
      </c>
      <c r="C470" s="22">
        <f>EXP(SUM(Painel_diario!$L$3582:$L$3785))-1</f>
        <v/>
      </c>
      <c r="D470" s="22">
        <f>EXP(SUM(Painel_diario!$L$3950:$L$4153))-1</f>
        <v/>
      </c>
      <c r="E470" s="22">
        <f>EXP(SUM(Painel_diario!$L$4472:$L$4675))-1</f>
        <v/>
      </c>
      <c r="F470" s="22">
        <f>EXP(SUM(Painel_diario!$L$4635:$L$4838))-1</f>
        <v/>
      </c>
    </row>
    <row r="471">
      <c r="A471" t="n">
        <v>205</v>
      </c>
      <c r="B471" s="22">
        <f>EXP(SUM(Painel_diario!$L$3007:$L$3211))-1</f>
        <v/>
      </c>
      <c r="C471" s="22">
        <f>EXP(SUM(Painel_diario!$L$3582:$L$3786))-1</f>
        <v/>
      </c>
      <c r="D471" s="22">
        <f>EXP(SUM(Painel_diario!$L$3950:$L$4154))-1</f>
        <v/>
      </c>
      <c r="E471" s="22">
        <f>EXP(SUM(Painel_diario!$L$4472:$L$4676))-1</f>
        <v/>
      </c>
      <c r="F471" s="22">
        <f>EXP(SUM(Painel_diario!$L$4635:$L$4839))-1</f>
        <v/>
      </c>
    </row>
    <row r="472">
      <c r="A472" t="n">
        <v>206</v>
      </c>
      <c r="B472" s="22">
        <f>EXP(SUM(Painel_diario!$L$3007:$L$3212))-1</f>
        <v/>
      </c>
      <c r="C472" s="22">
        <f>EXP(SUM(Painel_diario!$L$3582:$L$3787))-1</f>
        <v/>
      </c>
      <c r="D472" s="22">
        <f>EXP(SUM(Painel_diario!$L$3950:$L$4155))-1</f>
        <v/>
      </c>
      <c r="E472" s="22">
        <f>EXP(SUM(Painel_diario!$L$4472:$L$4677))-1</f>
        <v/>
      </c>
      <c r="F472" s="22">
        <f>EXP(SUM(Painel_diario!$L$4635:$L$4840))-1</f>
        <v/>
      </c>
    </row>
    <row r="473">
      <c r="A473" t="n">
        <v>207</v>
      </c>
      <c r="B473" s="22">
        <f>EXP(SUM(Painel_diario!$L$3007:$L$3213))-1</f>
        <v/>
      </c>
      <c r="C473" s="22">
        <f>EXP(SUM(Painel_diario!$L$3582:$L$3788))-1</f>
        <v/>
      </c>
      <c r="D473" s="22">
        <f>EXP(SUM(Painel_diario!$L$3950:$L$4156))-1</f>
        <v/>
      </c>
      <c r="E473" s="22">
        <f>EXP(SUM(Painel_diario!$L$4472:$L$4678))-1</f>
        <v/>
      </c>
      <c r="F473" s="22">
        <f>EXP(SUM(Painel_diario!$L$4635:$L$4841))-1</f>
        <v/>
      </c>
    </row>
    <row r="474">
      <c r="A474" t="n">
        <v>208</v>
      </c>
      <c r="B474" s="22">
        <f>EXP(SUM(Painel_diario!$L$3007:$L$3214))-1</f>
        <v/>
      </c>
      <c r="C474" s="22">
        <f>EXP(SUM(Painel_diario!$L$3582:$L$3789))-1</f>
        <v/>
      </c>
      <c r="D474" s="22">
        <f>EXP(SUM(Painel_diario!$L$3950:$L$4157))-1</f>
        <v/>
      </c>
      <c r="E474" s="22">
        <f>EXP(SUM(Painel_diario!$L$4472:$L$4679))-1</f>
        <v/>
      </c>
      <c r="F474" s="22">
        <f>EXP(SUM(Painel_diario!$L$4635:$L$4842))-1</f>
        <v/>
      </c>
    </row>
    <row r="475">
      <c r="A475" t="n">
        <v>209</v>
      </c>
      <c r="B475" s="22">
        <f>EXP(SUM(Painel_diario!$L$3007:$L$3215))-1</f>
        <v/>
      </c>
      <c r="C475" s="22">
        <f>EXP(SUM(Painel_diario!$L$3582:$L$3790))-1</f>
        <v/>
      </c>
      <c r="D475" s="22">
        <f>EXP(SUM(Painel_diario!$L$3950:$L$4158))-1</f>
        <v/>
      </c>
      <c r="E475" s="22">
        <f>EXP(SUM(Painel_diario!$L$4472:$L$4680))-1</f>
        <v/>
      </c>
      <c r="F475" s="22">
        <f>EXP(SUM(Painel_diario!$L$4635:$L$4843))-1</f>
        <v/>
      </c>
    </row>
    <row r="476">
      <c r="A476" t="n">
        <v>210</v>
      </c>
      <c r="B476" s="22">
        <f>EXP(SUM(Painel_diario!$L$3007:$L$3216))-1</f>
        <v/>
      </c>
      <c r="C476" s="22">
        <f>EXP(SUM(Painel_diario!$L$3582:$L$3791))-1</f>
        <v/>
      </c>
      <c r="D476" s="22">
        <f>EXP(SUM(Painel_diario!$L$3950:$L$4159))-1</f>
        <v/>
      </c>
      <c r="E476" s="22">
        <f>EXP(SUM(Painel_diario!$L$4472:$L$4681))-1</f>
        <v/>
      </c>
      <c r="F476" s="22">
        <f>EXP(SUM(Painel_diario!$L$4635:$L$4844))-1</f>
        <v/>
      </c>
    </row>
    <row r="477">
      <c r="A477" t="n">
        <v>211</v>
      </c>
      <c r="B477" s="22">
        <f>EXP(SUM(Painel_diario!$L$3007:$L$3217))-1</f>
        <v/>
      </c>
      <c r="C477" s="22">
        <f>EXP(SUM(Painel_diario!$L$3582:$L$3792))-1</f>
        <v/>
      </c>
      <c r="D477" s="22">
        <f>EXP(SUM(Painel_diario!$L$3950:$L$4160))-1</f>
        <v/>
      </c>
      <c r="E477" s="22">
        <f>EXP(SUM(Painel_diario!$L$4472:$L$4682))-1</f>
        <v/>
      </c>
      <c r="F477" s="22">
        <f>EXP(SUM(Painel_diario!$L$4635:$L$4845))-1</f>
        <v/>
      </c>
    </row>
    <row r="478">
      <c r="A478" t="n">
        <v>212</v>
      </c>
      <c r="B478" s="22">
        <f>EXP(SUM(Painel_diario!$L$3007:$L$3218))-1</f>
        <v/>
      </c>
      <c r="C478" s="22">
        <f>EXP(SUM(Painel_diario!$L$3582:$L$3793))-1</f>
        <v/>
      </c>
      <c r="D478" s="22">
        <f>EXP(SUM(Painel_diario!$L$3950:$L$4161))-1</f>
        <v/>
      </c>
      <c r="E478" s="22">
        <f>EXP(SUM(Painel_diario!$L$4472:$L$4683))-1</f>
        <v/>
      </c>
      <c r="F478" s="22">
        <f>EXP(SUM(Painel_diario!$L$4635:$L$4846))-1</f>
        <v/>
      </c>
    </row>
    <row r="479">
      <c r="A479" t="n">
        <v>213</v>
      </c>
      <c r="B479" s="22">
        <f>EXP(SUM(Painel_diario!$L$3007:$L$3219))-1</f>
        <v/>
      </c>
      <c r="C479" s="22">
        <f>EXP(SUM(Painel_diario!$L$3582:$L$3794))-1</f>
        <v/>
      </c>
      <c r="D479" s="22">
        <f>EXP(SUM(Painel_diario!$L$3950:$L$4162))-1</f>
        <v/>
      </c>
      <c r="E479" s="22">
        <f>EXP(SUM(Painel_diario!$L$4472:$L$4684))-1</f>
        <v/>
      </c>
      <c r="F479" s="22">
        <f>EXP(SUM(Painel_diario!$L$4635:$L$4847))-1</f>
        <v/>
      </c>
    </row>
    <row r="480">
      <c r="A480" t="n">
        <v>214</v>
      </c>
      <c r="B480" s="22">
        <f>EXP(SUM(Painel_diario!$L$3007:$L$3220))-1</f>
        <v/>
      </c>
      <c r="C480" s="22">
        <f>EXP(SUM(Painel_diario!$L$3582:$L$3795))-1</f>
        <v/>
      </c>
      <c r="D480" s="22">
        <f>EXP(SUM(Painel_diario!$L$3950:$L$4163))-1</f>
        <v/>
      </c>
      <c r="E480" s="22">
        <f>EXP(SUM(Painel_diario!$L$4472:$L$4685))-1</f>
        <v/>
      </c>
      <c r="F480" s="22">
        <f>EXP(SUM(Painel_diario!$L$4635:$L$4848))-1</f>
        <v/>
      </c>
    </row>
    <row r="481">
      <c r="A481" t="n">
        <v>215</v>
      </c>
      <c r="B481" s="22">
        <f>EXP(SUM(Painel_diario!$L$3007:$L$3221))-1</f>
        <v/>
      </c>
      <c r="C481" s="22">
        <f>EXP(SUM(Painel_diario!$L$3582:$L$3796))-1</f>
        <v/>
      </c>
      <c r="D481" s="22">
        <f>EXP(SUM(Painel_diario!$L$3950:$L$4164))-1</f>
        <v/>
      </c>
      <c r="E481" s="22">
        <f>EXP(SUM(Painel_diario!$L$4472:$L$4686))-1</f>
        <v/>
      </c>
      <c r="F481" s="22">
        <f>EXP(SUM(Painel_diario!$L$4635:$L$4849))-1</f>
        <v/>
      </c>
    </row>
    <row r="482">
      <c r="A482" t="n">
        <v>216</v>
      </c>
      <c r="B482" s="22">
        <f>EXP(SUM(Painel_diario!$L$3007:$L$3222))-1</f>
        <v/>
      </c>
      <c r="C482" s="22">
        <f>EXP(SUM(Painel_diario!$L$3582:$L$3797))-1</f>
        <v/>
      </c>
      <c r="D482" s="22">
        <f>EXP(SUM(Painel_diario!$L$3950:$L$4165))-1</f>
        <v/>
      </c>
      <c r="E482" s="22">
        <f>EXP(SUM(Painel_diario!$L$4472:$L$4687))-1</f>
        <v/>
      </c>
      <c r="F482" s="22">
        <f>EXP(SUM(Painel_diario!$L$4635:$L$4850))-1</f>
        <v/>
      </c>
    </row>
    <row r="483">
      <c r="A483" t="n">
        <v>217</v>
      </c>
      <c r="B483" s="22">
        <f>EXP(SUM(Painel_diario!$L$3007:$L$3223))-1</f>
        <v/>
      </c>
      <c r="C483" s="22">
        <f>EXP(SUM(Painel_diario!$L$3582:$L$3798))-1</f>
        <v/>
      </c>
      <c r="D483" s="22">
        <f>EXP(SUM(Painel_diario!$L$3950:$L$4166))-1</f>
        <v/>
      </c>
      <c r="E483" s="22">
        <f>EXP(SUM(Painel_diario!$L$4472:$L$4688))-1</f>
        <v/>
      </c>
      <c r="F483" s="22">
        <f>EXP(SUM(Painel_diario!$L$4635:$L$4851))-1</f>
        <v/>
      </c>
    </row>
    <row r="484">
      <c r="A484" t="n">
        <v>218</v>
      </c>
      <c r="B484" s="22">
        <f>EXP(SUM(Painel_diario!$L$3007:$L$3224))-1</f>
        <v/>
      </c>
      <c r="C484" s="22">
        <f>EXP(SUM(Painel_diario!$L$3582:$L$3799))-1</f>
        <v/>
      </c>
      <c r="D484" s="22">
        <f>EXP(SUM(Painel_diario!$L$3950:$L$4167))-1</f>
        <v/>
      </c>
      <c r="E484" s="22">
        <f>EXP(SUM(Painel_diario!$L$4472:$L$4689))-1</f>
        <v/>
      </c>
      <c r="F484" s="22">
        <f>EXP(SUM(Painel_diario!$L$4635:$L$4852))-1</f>
        <v/>
      </c>
    </row>
    <row r="485">
      <c r="A485" t="n">
        <v>219</v>
      </c>
      <c r="B485" s="22">
        <f>EXP(SUM(Painel_diario!$L$3007:$L$3225))-1</f>
        <v/>
      </c>
      <c r="C485" s="22">
        <f>EXP(SUM(Painel_diario!$L$3582:$L$3800))-1</f>
        <v/>
      </c>
      <c r="D485" s="22">
        <f>EXP(SUM(Painel_diario!$L$3950:$L$4168))-1</f>
        <v/>
      </c>
      <c r="E485" s="22">
        <f>EXP(SUM(Painel_diario!$L$4472:$L$4690))-1</f>
        <v/>
      </c>
      <c r="F485" s="22">
        <f>EXP(SUM(Painel_diario!$L$4635:$L$4853))-1</f>
        <v/>
      </c>
    </row>
    <row r="486">
      <c r="A486" t="n">
        <v>220</v>
      </c>
      <c r="B486" s="22">
        <f>EXP(SUM(Painel_diario!$L$3007:$L$3226))-1</f>
        <v/>
      </c>
      <c r="C486" s="22">
        <f>EXP(SUM(Painel_diario!$L$3582:$L$3801))-1</f>
        <v/>
      </c>
      <c r="D486" s="22">
        <f>EXP(SUM(Painel_diario!$L$3950:$L$4169))-1</f>
        <v/>
      </c>
      <c r="E486" s="22">
        <f>EXP(SUM(Painel_diario!$L$4472:$L$4691))-1</f>
        <v/>
      </c>
      <c r="F486" s="22">
        <f>EXP(SUM(Painel_diario!$L$4635:$L$4854))-1</f>
        <v/>
      </c>
    </row>
    <row r="487">
      <c r="A487" t="n">
        <v>221</v>
      </c>
      <c r="B487" s="22">
        <f>EXP(SUM(Painel_diario!$L$3007:$L$3227))-1</f>
        <v/>
      </c>
      <c r="C487" s="22">
        <f>EXP(SUM(Painel_diario!$L$3582:$L$3802))-1</f>
        <v/>
      </c>
      <c r="D487" s="22">
        <f>EXP(SUM(Painel_diario!$L$3950:$L$4170))-1</f>
        <v/>
      </c>
      <c r="E487" s="22">
        <f>EXP(SUM(Painel_diario!$L$4472:$L$4692))-1</f>
        <v/>
      </c>
      <c r="F487" s="22">
        <f>EXP(SUM(Painel_diario!$L$4635:$L$4855))-1</f>
        <v/>
      </c>
    </row>
    <row r="488">
      <c r="A488" t="n">
        <v>222</v>
      </c>
      <c r="B488" s="22">
        <f>EXP(SUM(Painel_diario!$L$3007:$L$3228))-1</f>
        <v/>
      </c>
      <c r="C488" s="22">
        <f>EXP(SUM(Painel_diario!$L$3582:$L$3803))-1</f>
        <v/>
      </c>
      <c r="D488" s="22">
        <f>EXP(SUM(Painel_diario!$L$3950:$L$4171))-1</f>
        <v/>
      </c>
      <c r="E488" s="22">
        <f>EXP(SUM(Painel_diario!$L$4472:$L$4693))-1</f>
        <v/>
      </c>
      <c r="F488" s="22">
        <f>EXP(SUM(Painel_diario!$L$4635:$L$4856))-1</f>
        <v/>
      </c>
    </row>
    <row r="489">
      <c r="A489" t="n">
        <v>223</v>
      </c>
      <c r="B489" s="22">
        <f>EXP(SUM(Painel_diario!$L$3007:$L$3229))-1</f>
        <v/>
      </c>
      <c r="C489" s="22">
        <f>EXP(SUM(Painel_diario!$L$3582:$L$3804))-1</f>
        <v/>
      </c>
      <c r="D489" s="22">
        <f>EXP(SUM(Painel_diario!$L$3950:$L$4172))-1</f>
        <v/>
      </c>
      <c r="E489" s="22">
        <f>EXP(SUM(Painel_diario!$L$4472:$L$4694))-1</f>
        <v/>
      </c>
      <c r="F489" s="22">
        <f>EXP(SUM(Painel_diario!$L$4635:$L$4857))-1</f>
        <v/>
      </c>
    </row>
    <row r="490">
      <c r="A490" t="n">
        <v>224</v>
      </c>
      <c r="B490" s="22">
        <f>EXP(SUM(Painel_diario!$L$3007:$L$3230))-1</f>
        <v/>
      </c>
      <c r="C490" s="22">
        <f>EXP(SUM(Painel_diario!$L$3582:$L$3805))-1</f>
        <v/>
      </c>
      <c r="D490" s="22">
        <f>EXP(SUM(Painel_diario!$L$3950:$L$4173))-1</f>
        <v/>
      </c>
      <c r="E490" s="22">
        <f>EXP(SUM(Painel_diario!$L$4472:$L$4695))-1</f>
        <v/>
      </c>
      <c r="F490" s="22">
        <f>EXP(SUM(Painel_diario!$L$4635:$L$4858))-1</f>
        <v/>
      </c>
    </row>
    <row r="491">
      <c r="A491" t="n">
        <v>225</v>
      </c>
      <c r="B491" s="22">
        <f>EXP(SUM(Painel_diario!$L$3007:$L$3231))-1</f>
        <v/>
      </c>
      <c r="C491" s="22">
        <f>EXP(SUM(Painel_diario!$L$3582:$L$3806))-1</f>
        <v/>
      </c>
      <c r="D491" s="22">
        <f>EXP(SUM(Painel_diario!$L$3950:$L$4174))-1</f>
        <v/>
      </c>
      <c r="E491" s="22">
        <f>EXP(SUM(Painel_diario!$L$4472:$L$4696))-1</f>
        <v/>
      </c>
      <c r="F491" s="22">
        <f>EXP(SUM(Painel_diario!$L$4635:$L$4859))-1</f>
        <v/>
      </c>
    </row>
    <row r="492">
      <c r="A492" t="n">
        <v>226</v>
      </c>
      <c r="B492" s="22">
        <f>EXP(SUM(Painel_diario!$L$3007:$L$3232))-1</f>
        <v/>
      </c>
      <c r="C492" s="22">
        <f>EXP(SUM(Painel_diario!$L$3582:$L$3807))-1</f>
        <v/>
      </c>
      <c r="D492" s="22">
        <f>EXP(SUM(Painel_diario!$L$3950:$L$4175))-1</f>
        <v/>
      </c>
      <c r="E492" s="22">
        <f>EXP(SUM(Painel_diario!$L$4472:$L$4697))-1</f>
        <v/>
      </c>
      <c r="F492" s="22">
        <f>EXP(SUM(Painel_diario!$L$4635:$L$4860))-1</f>
        <v/>
      </c>
    </row>
    <row r="493">
      <c r="A493" t="n">
        <v>227</v>
      </c>
      <c r="B493" s="22">
        <f>EXP(SUM(Painel_diario!$L$3007:$L$3233))-1</f>
        <v/>
      </c>
      <c r="C493" s="22">
        <f>EXP(SUM(Painel_diario!$L$3582:$L$3808))-1</f>
        <v/>
      </c>
      <c r="D493" s="22">
        <f>EXP(SUM(Painel_diario!$L$3950:$L$4176))-1</f>
        <v/>
      </c>
      <c r="E493" s="22">
        <f>EXP(SUM(Painel_diario!$L$4472:$L$4698))-1</f>
        <v/>
      </c>
      <c r="F493" s="22">
        <f>EXP(SUM(Painel_diario!$L$4635:$L$4861))-1</f>
        <v/>
      </c>
    </row>
    <row r="494">
      <c r="A494" t="n">
        <v>228</v>
      </c>
      <c r="B494" s="22">
        <f>EXP(SUM(Painel_diario!$L$3007:$L$3234))-1</f>
        <v/>
      </c>
      <c r="C494" s="22">
        <f>EXP(SUM(Painel_diario!$L$3582:$L$3809))-1</f>
        <v/>
      </c>
      <c r="D494" s="22">
        <f>EXP(SUM(Painel_diario!$L$3950:$L$4177))-1</f>
        <v/>
      </c>
      <c r="E494" s="22">
        <f>EXP(SUM(Painel_diario!$L$4472:$L$4699))-1</f>
        <v/>
      </c>
      <c r="F494" s="22">
        <f>EXP(SUM(Painel_diario!$L$4635:$L$4862))-1</f>
        <v/>
      </c>
    </row>
    <row r="495">
      <c r="A495" t="n">
        <v>229</v>
      </c>
      <c r="B495" s="22">
        <f>EXP(SUM(Painel_diario!$L$3007:$L$3235))-1</f>
        <v/>
      </c>
      <c r="C495" s="22">
        <f>EXP(SUM(Painel_diario!$L$3582:$L$3810))-1</f>
        <v/>
      </c>
      <c r="D495" s="22">
        <f>EXP(SUM(Painel_diario!$L$3950:$L$4178))-1</f>
        <v/>
      </c>
      <c r="E495" s="22">
        <f>EXP(SUM(Painel_diario!$L$4472:$L$4700))-1</f>
        <v/>
      </c>
      <c r="F495" s="22">
        <f>EXP(SUM(Painel_diario!$L$4635:$L$4863))-1</f>
        <v/>
      </c>
    </row>
    <row r="496">
      <c r="A496" t="n">
        <v>230</v>
      </c>
      <c r="B496" s="22">
        <f>EXP(SUM(Painel_diario!$L$3007:$L$3236))-1</f>
        <v/>
      </c>
      <c r="C496" s="22">
        <f>EXP(SUM(Painel_diario!$L$3582:$L$3811))-1</f>
        <v/>
      </c>
      <c r="D496" s="22">
        <f>EXP(SUM(Painel_diario!$L$3950:$L$4179))-1</f>
        <v/>
      </c>
      <c r="E496" s="22">
        <f>EXP(SUM(Painel_diario!$L$4472:$L$4701))-1</f>
        <v/>
      </c>
      <c r="F496" s="22">
        <f>EXP(SUM(Painel_diario!$L$4635:$L$4864))-1</f>
        <v/>
      </c>
    </row>
    <row r="497">
      <c r="A497" t="n">
        <v>231</v>
      </c>
      <c r="B497" s="22">
        <f>EXP(SUM(Painel_diario!$L$3007:$L$3237))-1</f>
        <v/>
      </c>
      <c r="C497" s="22">
        <f>EXP(SUM(Painel_diario!$L$3582:$L$3812))-1</f>
        <v/>
      </c>
      <c r="D497" s="22">
        <f>EXP(SUM(Painel_diario!$L$3950:$L$4180))-1</f>
        <v/>
      </c>
      <c r="E497" s="22">
        <f>EXP(SUM(Painel_diario!$L$4472:$L$4702))-1</f>
        <v/>
      </c>
      <c r="F497" s="22">
        <f>EXP(SUM(Painel_diario!$L$4635:$L$4865))-1</f>
        <v/>
      </c>
    </row>
    <row r="498">
      <c r="A498" t="n">
        <v>232</v>
      </c>
      <c r="B498" s="22">
        <f>EXP(SUM(Painel_diario!$L$3007:$L$3238))-1</f>
        <v/>
      </c>
      <c r="C498" s="22">
        <f>EXP(SUM(Painel_diario!$L$3582:$L$3813))-1</f>
        <v/>
      </c>
      <c r="D498" s="22">
        <f>EXP(SUM(Painel_diario!$L$3950:$L$4181))-1</f>
        <v/>
      </c>
      <c r="E498" s="22">
        <f>EXP(SUM(Painel_diario!$L$4472:$L$4703))-1</f>
        <v/>
      </c>
      <c r="F498" s="22">
        <f>EXP(SUM(Painel_diario!$L$4635:$L$4866))-1</f>
        <v/>
      </c>
    </row>
    <row r="499">
      <c r="A499" t="n">
        <v>233</v>
      </c>
      <c r="B499" s="22">
        <f>EXP(SUM(Painel_diario!$L$3007:$L$3239))-1</f>
        <v/>
      </c>
      <c r="C499" s="22">
        <f>EXP(SUM(Painel_diario!$L$3582:$L$3814))-1</f>
        <v/>
      </c>
      <c r="D499" s="22">
        <f>EXP(SUM(Painel_diario!$L$3950:$L$4182))-1</f>
        <v/>
      </c>
      <c r="E499" s="22">
        <f>EXP(SUM(Painel_diario!$L$4472:$L$4704))-1</f>
        <v/>
      </c>
      <c r="F499" s="22">
        <f>EXP(SUM(Painel_diario!$L$4635:$L$4867))-1</f>
        <v/>
      </c>
    </row>
    <row r="500">
      <c r="A500" t="n">
        <v>234</v>
      </c>
      <c r="B500" s="22">
        <f>EXP(SUM(Painel_diario!$L$3007:$L$3240))-1</f>
        <v/>
      </c>
      <c r="C500" s="22">
        <f>EXP(SUM(Painel_diario!$L$3582:$L$3815))-1</f>
        <v/>
      </c>
      <c r="D500" s="22">
        <f>EXP(SUM(Painel_diario!$L$3950:$L$4183))-1</f>
        <v/>
      </c>
      <c r="E500" s="22">
        <f>EXP(SUM(Painel_diario!$L$4472:$L$4705))-1</f>
        <v/>
      </c>
      <c r="F500" s="22">
        <f>EXP(SUM(Painel_diario!$L$4635:$L$4868))-1</f>
        <v/>
      </c>
    </row>
    <row r="501">
      <c r="A501" t="n">
        <v>235</v>
      </c>
      <c r="B501" s="22">
        <f>EXP(SUM(Painel_diario!$L$3007:$L$3241))-1</f>
        <v/>
      </c>
      <c r="C501" s="22">
        <f>EXP(SUM(Painel_diario!$L$3582:$L$3816))-1</f>
        <v/>
      </c>
      <c r="D501" s="22">
        <f>EXP(SUM(Painel_diario!$L$3950:$L$4184))-1</f>
        <v/>
      </c>
      <c r="E501" s="22">
        <f>EXP(SUM(Painel_diario!$L$4472:$L$4706))-1</f>
        <v/>
      </c>
      <c r="F501" s="22">
        <f>EXP(SUM(Painel_diario!$L$4635:$L$4869))-1</f>
        <v/>
      </c>
    </row>
    <row r="502">
      <c r="A502" t="n">
        <v>236</v>
      </c>
      <c r="B502" s="22">
        <f>EXP(SUM(Painel_diario!$L$3007:$L$3242))-1</f>
        <v/>
      </c>
      <c r="C502" s="22">
        <f>EXP(SUM(Painel_diario!$L$3582:$L$3817))-1</f>
        <v/>
      </c>
      <c r="D502" s="22">
        <f>EXP(SUM(Painel_diario!$L$3950:$L$4185))-1</f>
        <v/>
      </c>
      <c r="E502" s="22">
        <f>EXP(SUM(Painel_diario!$L$4472:$L$4707))-1</f>
        <v/>
      </c>
      <c r="F502" s="22">
        <f>EXP(SUM(Painel_diario!$L$4635:$L$4870))-1</f>
        <v/>
      </c>
    </row>
    <row r="503">
      <c r="A503" t="n">
        <v>237</v>
      </c>
      <c r="B503" s="22">
        <f>EXP(SUM(Painel_diario!$L$3007:$L$3243))-1</f>
        <v/>
      </c>
      <c r="C503" s="22">
        <f>EXP(SUM(Painel_diario!$L$3582:$L$3818))-1</f>
        <v/>
      </c>
      <c r="D503" s="22">
        <f>EXP(SUM(Painel_diario!$L$3950:$L$4186))-1</f>
        <v/>
      </c>
      <c r="E503" s="22">
        <f>EXP(SUM(Painel_diario!$L$4472:$L$4708))-1</f>
        <v/>
      </c>
      <c r="F503" s="22">
        <f>EXP(SUM(Painel_diario!$L$4635:$L$4871))-1</f>
        <v/>
      </c>
    </row>
    <row r="504">
      <c r="A504" t="n">
        <v>238</v>
      </c>
      <c r="B504" s="22">
        <f>EXP(SUM(Painel_diario!$L$3007:$L$3244))-1</f>
        <v/>
      </c>
      <c r="C504" s="22">
        <f>EXP(SUM(Painel_diario!$L$3582:$L$3819))-1</f>
        <v/>
      </c>
      <c r="D504" s="22">
        <f>EXP(SUM(Painel_diario!$L$3950:$L$4187))-1</f>
        <v/>
      </c>
      <c r="E504" s="22">
        <f>EXP(SUM(Painel_diario!$L$4472:$L$4709))-1</f>
        <v/>
      </c>
      <c r="F504" s="22">
        <f>EXP(SUM(Painel_diario!$L$4635:$L$4872))-1</f>
        <v/>
      </c>
    </row>
    <row r="505">
      <c r="A505" t="n">
        <v>239</v>
      </c>
      <c r="B505" s="22">
        <f>EXP(SUM(Painel_diario!$L$3007:$L$3245))-1</f>
        <v/>
      </c>
      <c r="C505" s="22">
        <f>EXP(SUM(Painel_diario!$L$3582:$L$3820))-1</f>
        <v/>
      </c>
      <c r="D505" s="22">
        <f>EXP(SUM(Painel_diario!$L$3950:$L$4188))-1</f>
        <v/>
      </c>
      <c r="E505" s="22">
        <f>EXP(SUM(Painel_diario!$L$4472:$L$4710))-1</f>
        <v/>
      </c>
      <c r="F505" s="22">
        <f>EXP(SUM(Painel_diario!$L$4635:$L$4873))-1</f>
        <v/>
      </c>
    </row>
    <row r="506">
      <c r="A506" t="n">
        <v>240</v>
      </c>
      <c r="B506" s="22">
        <f>EXP(SUM(Painel_diario!$L$3007:$L$3246))-1</f>
        <v/>
      </c>
      <c r="C506" s="22">
        <f>EXP(SUM(Painel_diario!$L$3582:$L$3821))-1</f>
        <v/>
      </c>
      <c r="D506" s="22">
        <f>EXP(SUM(Painel_diario!$L$3950:$L$4189))-1</f>
        <v/>
      </c>
      <c r="E506" s="22">
        <f>EXP(SUM(Painel_diario!$L$4472:$L$4711))-1</f>
        <v/>
      </c>
      <c r="F506" s="22">
        <f>EXP(SUM(Painel_diario!$L$4635:$L$4874))-1</f>
        <v/>
      </c>
    </row>
    <row r="507">
      <c r="A507" t="n">
        <v>241</v>
      </c>
      <c r="B507" s="22">
        <f>EXP(SUM(Painel_diario!$L$3007:$L$3247))-1</f>
        <v/>
      </c>
      <c r="C507" s="22">
        <f>EXP(SUM(Painel_diario!$L$3582:$L$3822))-1</f>
        <v/>
      </c>
      <c r="D507" s="22">
        <f>EXP(SUM(Painel_diario!$L$3950:$L$4190))-1</f>
        <v/>
      </c>
      <c r="E507" s="22">
        <f>EXP(SUM(Painel_diario!$L$4472:$L$4712))-1</f>
        <v/>
      </c>
      <c r="F507" s="22">
        <f>EXP(SUM(Painel_diario!$L$4635:$L$4875))-1</f>
        <v/>
      </c>
    </row>
    <row r="508">
      <c r="A508" t="n">
        <v>242</v>
      </c>
      <c r="B508" s="22">
        <f>EXP(SUM(Painel_diario!$L$3007:$L$3248))-1</f>
        <v/>
      </c>
      <c r="C508" s="22">
        <f>EXP(SUM(Painel_diario!$L$3582:$L$3823))-1</f>
        <v/>
      </c>
      <c r="D508" s="22">
        <f>EXP(SUM(Painel_diario!$L$3950:$L$4191))-1</f>
        <v/>
      </c>
      <c r="E508" s="22">
        <f>EXP(SUM(Painel_diario!$L$4472:$L$4713))-1</f>
        <v/>
      </c>
      <c r="F508" s="22">
        <f>EXP(SUM(Painel_diario!$L$4635:$L$4876))-1</f>
        <v/>
      </c>
    </row>
    <row r="509">
      <c r="A509" t="n">
        <v>243</v>
      </c>
      <c r="B509" s="22">
        <f>EXP(SUM(Painel_diario!$L$3007:$L$3249))-1</f>
        <v/>
      </c>
      <c r="C509" s="22">
        <f>EXP(SUM(Painel_diario!$L$3582:$L$3824))-1</f>
        <v/>
      </c>
      <c r="D509" s="22">
        <f>EXP(SUM(Painel_diario!$L$3950:$L$4192))-1</f>
        <v/>
      </c>
      <c r="E509" s="22">
        <f>EXP(SUM(Painel_diario!$L$4472:$L$4714))-1</f>
        <v/>
      </c>
      <c r="F509" s="22">
        <f>EXP(SUM(Painel_diario!$L$4635:$L$4877))-1</f>
        <v/>
      </c>
    </row>
    <row r="510">
      <c r="A510" t="n">
        <v>244</v>
      </c>
      <c r="B510" s="22">
        <f>EXP(SUM(Painel_diario!$L$3007:$L$3250))-1</f>
        <v/>
      </c>
      <c r="C510" s="22">
        <f>EXP(SUM(Painel_diario!$L$3582:$L$3825))-1</f>
        <v/>
      </c>
      <c r="D510" s="22">
        <f>EXP(SUM(Painel_diario!$L$3950:$L$4193))-1</f>
        <v/>
      </c>
      <c r="E510" s="22">
        <f>EXP(SUM(Painel_diario!$L$4472:$L$4715))-1</f>
        <v/>
      </c>
      <c r="F510" s="22">
        <f>EXP(SUM(Painel_diario!$L$4635:$L$4878))-1</f>
        <v/>
      </c>
    </row>
    <row r="511">
      <c r="A511" t="n">
        <v>245</v>
      </c>
      <c r="B511" s="22">
        <f>EXP(SUM(Painel_diario!$L$3007:$L$3251))-1</f>
        <v/>
      </c>
      <c r="C511" s="22">
        <f>EXP(SUM(Painel_diario!$L$3582:$L$3826))-1</f>
        <v/>
      </c>
      <c r="D511" s="22">
        <f>EXP(SUM(Painel_diario!$L$3950:$L$4194))-1</f>
        <v/>
      </c>
      <c r="E511" s="22">
        <f>EXP(SUM(Painel_diario!$L$4472:$L$4716))-1</f>
        <v/>
      </c>
      <c r="F511" s="22">
        <f>EXP(SUM(Painel_diario!$L$4635:$L$4879))-1</f>
        <v/>
      </c>
    </row>
    <row r="512">
      <c r="A512" t="n">
        <v>246</v>
      </c>
      <c r="B512" s="22">
        <f>EXP(SUM(Painel_diario!$L$3007:$L$3252))-1</f>
        <v/>
      </c>
      <c r="C512" s="22">
        <f>EXP(SUM(Painel_diario!$L$3582:$L$3827))-1</f>
        <v/>
      </c>
      <c r="D512" s="22">
        <f>EXP(SUM(Painel_diario!$L$3950:$L$4195))-1</f>
        <v/>
      </c>
      <c r="E512" s="22">
        <f>EXP(SUM(Painel_diario!$L$4472:$L$4717))-1</f>
        <v/>
      </c>
      <c r="F512" s="22">
        <f>EXP(SUM(Painel_diario!$L$4635:$L$4880))-1</f>
        <v/>
      </c>
    </row>
    <row r="513">
      <c r="A513" t="n">
        <v>247</v>
      </c>
      <c r="B513" s="22">
        <f>EXP(SUM(Painel_diario!$L$3007:$L$3253))-1</f>
        <v/>
      </c>
      <c r="C513" s="22">
        <f>EXP(SUM(Painel_diario!$L$3582:$L$3828))-1</f>
        <v/>
      </c>
      <c r="D513" s="22">
        <f>EXP(SUM(Painel_diario!$L$3950:$L$4196))-1</f>
        <v/>
      </c>
      <c r="E513" s="22">
        <f>EXP(SUM(Painel_diario!$L$4472:$L$4718))-1</f>
        <v/>
      </c>
      <c r="F513" s="22">
        <f>EXP(SUM(Painel_diario!$L$4635:$L$4881))-1</f>
        <v/>
      </c>
    </row>
    <row r="514">
      <c r="A514" t="n">
        <v>248</v>
      </c>
      <c r="B514" s="22">
        <f>EXP(SUM(Painel_diario!$L$3007:$L$3254))-1</f>
        <v/>
      </c>
      <c r="C514" s="22">
        <f>EXP(SUM(Painel_diario!$L$3582:$L$3829))-1</f>
        <v/>
      </c>
      <c r="D514" s="22">
        <f>EXP(SUM(Painel_diario!$L$3950:$L$4197))-1</f>
        <v/>
      </c>
      <c r="E514" s="22">
        <f>EXP(SUM(Painel_diario!$L$4472:$L$4719))-1</f>
        <v/>
      </c>
      <c r="F514" s="22">
        <f>EXP(SUM(Painel_diario!$L$4635:$L$4882))-1</f>
        <v/>
      </c>
    </row>
    <row r="515">
      <c r="A515" t="n">
        <v>249</v>
      </c>
      <c r="B515" s="22">
        <f>EXP(SUM(Painel_diario!$L$3007:$L$3255))-1</f>
        <v/>
      </c>
      <c r="C515" s="22">
        <f>EXP(SUM(Painel_diario!$L$3582:$L$3830))-1</f>
        <v/>
      </c>
      <c r="D515" s="22">
        <f>EXP(SUM(Painel_diario!$L$3950:$L$4198))-1</f>
        <v/>
      </c>
      <c r="E515" s="22">
        <f>EXP(SUM(Painel_diario!$L$4472:$L$4720))-1</f>
        <v/>
      </c>
      <c r="F515" s="22">
        <f>EXP(SUM(Painel_diario!$L$4635:$L$4883))-1</f>
        <v/>
      </c>
    </row>
    <row r="516">
      <c r="A516" t="n">
        <v>250</v>
      </c>
      <c r="B516" s="22">
        <f>EXP(SUM(Painel_diario!$L$3007:$L$3256))-1</f>
        <v/>
      </c>
      <c r="C516" s="22">
        <f>EXP(SUM(Painel_diario!$L$3582:$L$3831))-1</f>
        <v/>
      </c>
      <c r="D516" s="22">
        <f>EXP(SUM(Painel_diario!$L$3950:$L$4199))-1</f>
        <v/>
      </c>
      <c r="E516" s="22">
        <f>EXP(SUM(Painel_diario!$L$4472:$L$4721))-1</f>
        <v/>
      </c>
      <c r="F516" s="22">
        <f>EXP(SUM(Painel_diario!$L$4635:$L$4884))-1</f>
        <v/>
      </c>
    </row>
    <row r="517">
      <c r="A517" t="n">
        <v>251</v>
      </c>
      <c r="B517" s="22">
        <f>EXP(SUM(Painel_diario!$L$3007:$L$3257))-1</f>
        <v/>
      </c>
      <c r="C517" s="22">
        <f>EXP(SUM(Painel_diario!$L$3582:$L$3832))-1</f>
        <v/>
      </c>
      <c r="D517" s="22">
        <f>EXP(SUM(Painel_diario!$L$3950:$L$4200))-1</f>
        <v/>
      </c>
      <c r="E517" s="22">
        <f>EXP(SUM(Painel_diario!$L$4472:$L$4722))-1</f>
        <v/>
      </c>
      <c r="F517" s="22">
        <f>EXP(SUM(Painel_diario!$L$4635:$L$4885))-1</f>
        <v/>
      </c>
    </row>
    <row r="518">
      <c r="A518" t="n">
        <v>252</v>
      </c>
      <c r="B518" s="22">
        <f>EXP(SUM(Painel_diario!$L$3007:$L$3258))-1</f>
        <v/>
      </c>
      <c r="C518" s="22">
        <f>EXP(SUM(Painel_diario!$L$3582:$L$3833))-1</f>
        <v/>
      </c>
      <c r="D518" s="22">
        <f>EXP(SUM(Painel_diario!$L$3950:$L$4201))-1</f>
        <v/>
      </c>
      <c r="E518" s="22">
        <f>EXP(SUM(Painel_diario!$L$4472:$L$4723))-1</f>
        <v/>
      </c>
      <c r="F518" s="22">
        <f>EXP(SUM(Painel_diario!$L$4635:$L$4886))-1</f>
        <v/>
      </c>
    </row>
    <row r="522">
      <c r="A522" s="5" t="inlineStr">
        <is>
          <t>Earnings Down / Juros Down</t>
        </is>
      </c>
    </row>
    <row r="523">
      <c r="A523" s="8" t="inlineStr">
        <is>
          <t>Pregao</t>
        </is>
      </c>
      <c r="B523" s="8" t="inlineStr">
        <is>
          <t>2017-10-02</t>
        </is>
      </c>
      <c r="C523" s="8" t="inlineStr">
        <is>
          <t>2019-08-01</t>
        </is>
      </c>
      <c r="D523" s="8" t="inlineStr">
        <is>
          <t>2023-03-07</t>
        </is>
      </c>
      <c r="E523" s="8" t="inlineStr">
        <is>
          <t>2023-07-03</t>
        </is>
      </c>
      <c r="F523" s="8" t="inlineStr">
        <is>
          <t>2025-07-01</t>
        </is>
      </c>
    </row>
    <row r="524">
      <c r="A524" s="26" t="inlineStr">
        <is>
          <t>Pregoes do episodio</t>
        </is>
      </c>
      <c r="B524" s="26" t="n">
        <v>40</v>
      </c>
      <c r="C524" s="26" t="n">
        <v>292</v>
      </c>
      <c r="D524" s="26" t="n">
        <v>35</v>
      </c>
      <c r="E524" s="26" t="n">
        <v>85</v>
      </c>
      <c r="F524" s="26" t="n">
        <v>108</v>
      </c>
    </row>
    <row r="525">
      <c r="A525" t="n">
        <v>0</v>
      </c>
      <c r="B525" s="22" t="n">
        <v>0</v>
      </c>
      <c r="C525" s="22" t="n">
        <v>0</v>
      </c>
      <c r="D525" s="22" t="n">
        <v>0</v>
      </c>
      <c r="E525" s="22" t="n">
        <v>0</v>
      </c>
      <c r="F525" s="22" t="n">
        <v>0</v>
      </c>
    </row>
    <row r="526">
      <c r="A526" t="n">
        <v>1</v>
      </c>
      <c r="B526" s="22">
        <f>EXP(SUM(Painel_diario!$L$2841:$L$2841))-1</f>
        <v/>
      </c>
      <c r="C526" s="22">
        <f>EXP(SUM(Painel_diario!$L$3288:$L$3288))-1</f>
        <v/>
      </c>
      <c r="D526" s="22">
        <f>EXP(SUM(Painel_diario!$L$4182:$L$4182))-1</f>
        <v/>
      </c>
      <c r="E526" s="22">
        <f>EXP(SUM(Painel_diario!$L$4260:$L$4260))-1</f>
        <v/>
      </c>
      <c r="F526" s="22">
        <f>EXP(SUM(Painel_diario!$L$4757:$L$4757))-1</f>
        <v/>
      </c>
    </row>
    <row r="527">
      <c r="A527" t="n">
        <v>2</v>
      </c>
      <c r="B527" s="22">
        <f>EXP(SUM(Painel_diario!$L$2841:$L$2842))-1</f>
        <v/>
      </c>
      <c r="C527" s="22">
        <f>EXP(SUM(Painel_diario!$L$3288:$L$3289))-1</f>
        <v/>
      </c>
      <c r="D527" s="22">
        <f>EXP(SUM(Painel_diario!$L$4182:$L$4183))-1</f>
        <v/>
      </c>
      <c r="E527" s="22">
        <f>EXP(SUM(Painel_diario!$L$4260:$L$4261))-1</f>
        <v/>
      </c>
      <c r="F527" s="22">
        <f>EXP(SUM(Painel_diario!$L$4757:$L$4758))-1</f>
        <v/>
      </c>
    </row>
    <row r="528">
      <c r="A528" t="n">
        <v>3</v>
      </c>
      <c r="B528" s="22">
        <f>EXP(SUM(Painel_diario!$L$2841:$L$2843))-1</f>
        <v/>
      </c>
      <c r="C528" s="22">
        <f>EXP(SUM(Painel_diario!$L$3288:$L$3290))-1</f>
        <v/>
      </c>
      <c r="D528" s="22">
        <f>EXP(SUM(Painel_diario!$L$4182:$L$4184))-1</f>
        <v/>
      </c>
      <c r="E528" s="22">
        <f>EXP(SUM(Painel_diario!$L$4260:$L$4262))-1</f>
        <v/>
      </c>
      <c r="F528" s="22">
        <f>EXP(SUM(Painel_diario!$L$4757:$L$4759))-1</f>
        <v/>
      </c>
    </row>
    <row r="529">
      <c r="A529" t="n">
        <v>4</v>
      </c>
      <c r="B529" s="22">
        <f>EXP(SUM(Painel_diario!$L$2841:$L$2844))-1</f>
        <v/>
      </c>
      <c r="C529" s="22">
        <f>EXP(SUM(Painel_diario!$L$3288:$L$3291))-1</f>
        <v/>
      </c>
      <c r="D529" s="22">
        <f>EXP(SUM(Painel_diario!$L$4182:$L$4185))-1</f>
        <v/>
      </c>
      <c r="E529" s="22">
        <f>EXP(SUM(Painel_diario!$L$4260:$L$4263))-1</f>
        <v/>
      </c>
      <c r="F529" s="22">
        <f>EXP(SUM(Painel_diario!$L$4757:$L$4760))-1</f>
        <v/>
      </c>
    </row>
    <row r="530">
      <c r="A530" t="n">
        <v>5</v>
      </c>
      <c r="B530" s="22">
        <f>EXP(SUM(Painel_diario!$L$2841:$L$2845))-1</f>
        <v/>
      </c>
      <c r="C530" s="22">
        <f>EXP(SUM(Painel_diario!$L$3288:$L$3292))-1</f>
        <v/>
      </c>
      <c r="D530" s="22">
        <f>EXP(SUM(Painel_diario!$L$4182:$L$4186))-1</f>
        <v/>
      </c>
      <c r="E530" s="22">
        <f>EXP(SUM(Painel_diario!$L$4260:$L$4264))-1</f>
        <v/>
      </c>
      <c r="F530" s="22">
        <f>EXP(SUM(Painel_diario!$L$4757:$L$4761))-1</f>
        <v/>
      </c>
    </row>
    <row r="531">
      <c r="A531" t="n">
        <v>6</v>
      </c>
      <c r="B531" s="22">
        <f>EXP(SUM(Painel_diario!$L$2841:$L$2846))-1</f>
        <v/>
      </c>
      <c r="C531" s="22">
        <f>EXP(SUM(Painel_diario!$L$3288:$L$3293))-1</f>
        <v/>
      </c>
      <c r="D531" s="22">
        <f>EXP(SUM(Painel_diario!$L$4182:$L$4187))-1</f>
        <v/>
      </c>
      <c r="E531" s="22">
        <f>EXP(SUM(Painel_diario!$L$4260:$L$4265))-1</f>
        <v/>
      </c>
      <c r="F531" s="22">
        <f>EXP(SUM(Painel_diario!$L$4757:$L$4762))-1</f>
        <v/>
      </c>
    </row>
    <row r="532">
      <c r="A532" t="n">
        <v>7</v>
      </c>
      <c r="B532" s="22">
        <f>EXP(SUM(Painel_diario!$L$2841:$L$2847))-1</f>
        <v/>
      </c>
      <c r="C532" s="22">
        <f>EXP(SUM(Painel_diario!$L$3288:$L$3294))-1</f>
        <v/>
      </c>
      <c r="D532" s="22">
        <f>EXP(SUM(Painel_diario!$L$4182:$L$4188))-1</f>
        <v/>
      </c>
      <c r="E532" s="22">
        <f>EXP(SUM(Painel_diario!$L$4260:$L$4266))-1</f>
        <v/>
      </c>
      <c r="F532" s="22">
        <f>EXP(SUM(Painel_diario!$L$4757:$L$4763))-1</f>
        <v/>
      </c>
    </row>
    <row r="533">
      <c r="A533" t="n">
        <v>8</v>
      </c>
      <c r="B533" s="22">
        <f>EXP(SUM(Painel_diario!$L$2841:$L$2848))-1</f>
        <v/>
      </c>
      <c r="C533" s="22">
        <f>EXP(SUM(Painel_diario!$L$3288:$L$3295))-1</f>
        <v/>
      </c>
      <c r="D533" s="22">
        <f>EXP(SUM(Painel_diario!$L$4182:$L$4189))-1</f>
        <v/>
      </c>
      <c r="E533" s="22">
        <f>EXP(SUM(Painel_diario!$L$4260:$L$4267))-1</f>
        <v/>
      </c>
      <c r="F533" s="22">
        <f>EXP(SUM(Painel_diario!$L$4757:$L$4764))-1</f>
        <v/>
      </c>
    </row>
    <row r="534">
      <c r="A534" t="n">
        <v>9</v>
      </c>
      <c r="B534" s="22">
        <f>EXP(SUM(Painel_diario!$L$2841:$L$2849))-1</f>
        <v/>
      </c>
      <c r="C534" s="22">
        <f>EXP(SUM(Painel_diario!$L$3288:$L$3296))-1</f>
        <v/>
      </c>
      <c r="D534" s="22">
        <f>EXP(SUM(Painel_diario!$L$4182:$L$4190))-1</f>
        <v/>
      </c>
      <c r="E534" s="22">
        <f>EXP(SUM(Painel_diario!$L$4260:$L$4268))-1</f>
        <v/>
      </c>
      <c r="F534" s="22">
        <f>EXP(SUM(Painel_diario!$L$4757:$L$4765))-1</f>
        <v/>
      </c>
    </row>
    <row r="535">
      <c r="A535" t="n">
        <v>10</v>
      </c>
      <c r="B535" s="22">
        <f>EXP(SUM(Painel_diario!$L$2841:$L$2850))-1</f>
        <v/>
      </c>
      <c r="C535" s="22">
        <f>EXP(SUM(Painel_diario!$L$3288:$L$3297))-1</f>
        <v/>
      </c>
      <c r="D535" s="22">
        <f>EXP(SUM(Painel_diario!$L$4182:$L$4191))-1</f>
        <v/>
      </c>
      <c r="E535" s="22">
        <f>EXP(SUM(Painel_diario!$L$4260:$L$4269))-1</f>
        <v/>
      </c>
      <c r="F535" s="22">
        <f>EXP(SUM(Painel_diario!$L$4757:$L$4766))-1</f>
        <v/>
      </c>
    </row>
    <row r="536">
      <c r="A536" t="n">
        <v>11</v>
      </c>
      <c r="B536" s="22">
        <f>EXP(SUM(Painel_diario!$L$2841:$L$2851))-1</f>
        <v/>
      </c>
      <c r="C536" s="22">
        <f>EXP(SUM(Painel_diario!$L$3288:$L$3298))-1</f>
        <v/>
      </c>
      <c r="D536" s="22">
        <f>EXP(SUM(Painel_diario!$L$4182:$L$4192))-1</f>
        <v/>
      </c>
      <c r="E536" s="22">
        <f>EXP(SUM(Painel_diario!$L$4260:$L$4270))-1</f>
        <v/>
      </c>
      <c r="F536" s="22">
        <f>EXP(SUM(Painel_diario!$L$4757:$L$4767))-1</f>
        <v/>
      </c>
    </row>
    <row r="537">
      <c r="A537" t="n">
        <v>12</v>
      </c>
      <c r="B537" s="22">
        <f>EXP(SUM(Painel_diario!$L$2841:$L$2852))-1</f>
        <v/>
      </c>
      <c r="C537" s="22">
        <f>EXP(SUM(Painel_diario!$L$3288:$L$3299))-1</f>
        <v/>
      </c>
      <c r="D537" s="22">
        <f>EXP(SUM(Painel_diario!$L$4182:$L$4193))-1</f>
        <v/>
      </c>
      <c r="E537" s="22">
        <f>EXP(SUM(Painel_diario!$L$4260:$L$4271))-1</f>
        <v/>
      </c>
      <c r="F537" s="22">
        <f>EXP(SUM(Painel_diario!$L$4757:$L$4768))-1</f>
        <v/>
      </c>
    </row>
    <row r="538">
      <c r="A538" t="n">
        <v>13</v>
      </c>
      <c r="B538" s="22">
        <f>EXP(SUM(Painel_diario!$L$2841:$L$2853))-1</f>
        <v/>
      </c>
      <c r="C538" s="22">
        <f>EXP(SUM(Painel_diario!$L$3288:$L$3300))-1</f>
        <v/>
      </c>
      <c r="D538" s="22">
        <f>EXP(SUM(Painel_diario!$L$4182:$L$4194))-1</f>
        <v/>
      </c>
      <c r="E538" s="22">
        <f>EXP(SUM(Painel_diario!$L$4260:$L$4272))-1</f>
        <v/>
      </c>
      <c r="F538" s="22">
        <f>EXP(SUM(Painel_diario!$L$4757:$L$4769))-1</f>
        <v/>
      </c>
    </row>
    <row r="539">
      <c r="A539" t="n">
        <v>14</v>
      </c>
      <c r="B539" s="22">
        <f>EXP(SUM(Painel_diario!$L$2841:$L$2854))-1</f>
        <v/>
      </c>
      <c r="C539" s="22">
        <f>EXP(SUM(Painel_diario!$L$3288:$L$3301))-1</f>
        <v/>
      </c>
      <c r="D539" s="22">
        <f>EXP(SUM(Painel_diario!$L$4182:$L$4195))-1</f>
        <v/>
      </c>
      <c r="E539" s="22">
        <f>EXP(SUM(Painel_diario!$L$4260:$L$4273))-1</f>
        <v/>
      </c>
      <c r="F539" s="22">
        <f>EXP(SUM(Painel_diario!$L$4757:$L$4770))-1</f>
        <v/>
      </c>
    </row>
    <row r="540">
      <c r="A540" t="n">
        <v>15</v>
      </c>
      <c r="B540" s="22">
        <f>EXP(SUM(Painel_diario!$L$2841:$L$2855))-1</f>
        <v/>
      </c>
      <c r="C540" s="22">
        <f>EXP(SUM(Painel_diario!$L$3288:$L$3302))-1</f>
        <v/>
      </c>
      <c r="D540" s="22">
        <f>EXP(SUM(Painel_diario!$L$4182:$L$4196))-1</f>
        <v/>
      </c>
      <c r="E540" s="22">
        <f>EXP(SUM(Painel_diario!$L$4260:$L$4274))-1</f>
        <v/>
      </c>
      <c r="F540" s="22">
        <f>EXP(SUM(Painel_diario!$L$4757:$L$4771))-1</f>
        <v/>
      </c>
    </row>
    <row r="541">
      <c r="A541" t="n">
        <v>16</v>
      </c>
      <c r="B541" s="22">
        <f>EXP(SUM(Painel_diario!$L$2841:$L$2856))-1</f>
        <v/>
      </c>
      <c r="C541" s="22">
        <f>EXP(SUM(Painel_diario!$L$3288:$L$3303))-1</f>
        <v/>
      </c>
      <c r="D541" s="22">
        <f>EXP(SUM(Painel_diario!$L$4182:$L$4197))-1</f>
        <v/>
      </c>
      <c r="E541" s="22">
        <f>EXP(SUM(Painel_diario!$L$4260:$L$4275))-1</f>
        <v/>
      </c>
      <c r="F541" s="22">
        <f>EXP(SUM(Painel_diario!$L$4757:$L$4772))-1</f>
        <v/>
      </c>
    </row>
    <row r="542">
      <c r="A542" t="n">
        <v>17</v>
      </c>
      <c r="B542" s="22">
        <f>EXP(SUM(Painel_diario!$L$2841:$L$2857))-1</f>
        <v/>
      </c>
      <c r="C542" s="22">
        <f>EXP(SUM(Painel_diario!$L$3288:$L$3304))-1</f>
        <v/>
      </c>
      <c r="D542" s="22">
        <f>EXP(SUM(Painel_diario!$L$4182:$L$4198))-1</f>
        <v/>
      </c>
      <c r="E542" s="22">
        <f>EXP(SUM(Painel_diario!$L$4260:$L$4276))-1</f>
        <v/>
      </c>
      <c r="F542" s="22">
        <f>EXP(SUM(Painel_diario!$L$4757:$L$4773))-1</f>
        <v/>
      </c>
    </row>
    <row r="543">
      <c r="A543" t="n">
        <v>18</v>
      </c>
      <c r="B543" s="22">
        <f>EXP(SUM(Painel_diario!$L$2841:$L$2858))-1</f>
        <v/>
      </c>
      <c r="C543" s="22">
        <f>EXP(SUM(Painel_diario!$L$3288:$L$3305))-1</f>
        <v/>
      </c>
      <c r="D543" s="22">
        <f>EXP(SUM(Painel_diario!$L$4182:$L$4199))-1</f>
        <v/>
      </c>
      <c r="E543" s="22">
        <f>EXP(SUM(Painel_diario!$L$4260:$L$4277))-1</f>
        <v/>
      </c>
      <c r="F543" s="22">
        <f>EXP(SUM(Painel_diario!$L$4757:$L$4774))-1</f>
        <v/>
      </c>
    </row>
    <row r="544">
      <c r="A544" t="n">
        <v>19</v>
      </c>
      <c r="B544" s="22">
        <f>EXP(SUM(Painel_diario!$L$2841:$L$2859))-1</f>
        <v/>
      </c>
      <c r="C544" s="22">
        <f>EXP(SUM(Painel_diario!$L$3288:$L$3306))-1</f>
        <v/>
      </c>
      <c r="D544" s="22">
        <f>EXP(SUM(Painel_diario!$L$4182:$L$4200))-1</f>
        <v/>
      </c>
      <c r="E544" s="22">
        <f>EXP(SUM(Painel_diario!$L$4260:$L$4278))-1</f>
        <v/>
      </c>
      <c r="F544" s="22">
        <f>EXP(SUM(Painel_diario!$L$4757:$L$4775))-1</f>
        <v/>
      </c>
    </row>
    <row r="545">
      <c r="A545" t="n">
        <v>20</v>
      </c>
      <c r="B545" s="22">
        <f>EXP(SUM(Painel_diario!$L$2841:$L$2860))-1</f>
        <v/>
      </c>
      <c r="C545" s="22">
        <f>EXP(SUM(Painel_diario!$L$3288:$L$3307))-1</f>
        <v/>
      </c>
      <c r="D545" s="22">
        <f>EXP(SUM(Painel_diario!$L$4182:$L$4201))-1</f>
        <v/>
      </c>
      <c r="E545" s="22">
        <f>EXP(SUM(Painel_diario!$L$4260:$L$4279))-1</f>
        <v/>
      </c>
      <c r="F545" s="22">
        <f>EXP(SUM(Painel_diario!$L$4757:$L$4776))-1</f>
        <v/>
      </c>
    </row>
    <row r="546">
      <c r="A546" t="n">
        <v>21</v>
      </c>
      <c r="B546" s="22">
        <f>EXP(SUM(Painel_diario!$L$2841:$L$2861))-1</f>
        <v/>
      </c>
      <c r="C546" s="22">
        <f>EXP(SUM(Painel_diario!$L$3288:$L$3308))-1</f>
        <v/>
      </c>
      <c r="D546" s="22">
        <f>EXP(SUM(Painel_diario!$L$4182:$L$4202))-1</f>
        <v/>
      </c>
      <c r="E546" s="22">
        <f>EXP(SUM(Painel_diario!$L$4260:$L$4280))-1</f>
        <v/>
      </c>
      <c r="F546" s="22">
        <f>EXP(SUM(Painel_diario!$L$4757:$L$4777))-1</f>
        <v/>
      </c>
    </row>
    <row r="547">
      <c r="A547" t="n">
        <v>22</v>
      </c>
      <c r="B547" s="22">
        <f>EXP(SUM(Painel_diario!$L$2841:$L$2862))-1</f>
        <v/>
      </c>
      <c r="C547" s="22">
        <f>EXP(SUM(Painel_diario!$L$3288:$L$3309))-1</f>
        <v/>
      </c>
      <c r="D547" s="22">
        <f>EXP(SUM(Painel_diario!$L$4182:$L$4203))-1</f>
        <v/>
      </c>
      <c r="E547" s="22">
        <f>EXP(SUM(Painel_diario!$L$4260:$L$4281))-1</f>
        <v/>
      </c>
      <c r="F547" s="22">
        <f>EXP(SUM(Painel_diario!$L$4757:$L$4778))-1</f>
        <v/>
      </c>
    </row>
    <row r="548">
      <c r="A548" t="n">
        <v>23</v>
      </c>
      <c r="B548" s="22">
        <f>EXP(SUM(Painel_diario!$L$2841:$L$2863))-1</f>
        <v/>
      </c>
      <c r="C548" s="22">
        <f>EXP(SUM(Painel_diario!$L$3288:$L$3310))-1</f>
        <v/>
      </c>
      <c r="D548" s="22">
        <f>EXP(SUM(Painel_diario!$L$4182:$L$4204))-1</f>
        <v/>
      </c>
      <c r="E548" s="22">
        <f>EXP(SUM(Painel_diario!$L$4260:$L$4282))-1</f>
        <v/>
      </c>
      <c r="F548" s="22">
        <f>EXP(SUM(Painel_diario!$L$4757:$L$4779))-1</f>
        <v/>
      </c>
    </row>
    <row r="549">
      <c r="A549" t="n">
        <v>24</v>
      </c>
      <c r="B549" s="22">
        <f>EXP(SUM(Painel_diario!$L$2841:$L$2864))-1</f>
        <v/>
      </c>
      <c r="C549" s="22">
        <f>EXP(SUM(Painel_diario!$L$3288:$L$3311))-1</f>
        <v/>
      </c>
      <c r="D549" s="22">
        <f>EXP(SUM(Painel_diario!$L$4182:$L$4205))-1</f>
        <v/>
      </c>
      <c r="E549" s="22">
        <f>EXP(SUM(Painel_diario!$L$4260:$L$4283))-1</f>
        <v/>
      </c>
      <c r="F549" s="22">
        <f>EXP(SUM(Painel_diario!$L$4757:$L$4780))-1</f>
        <v/>
      </c>
    </row>
    <row r="550">
      <c r="A550" t="n">
        <v>25</v>
      </c>
      <c r="B550" s="22">
        <f>EXP(SUM(Painel_diario!$L$2841:$L$2865))-1</f>
        <v/>
      </c>
      <c r="C550" s="22">
        <f>EXP(SUM(Painel_diario!$L$3288:$L$3312))-1</f>
        <v/>
      </c>
      <c r="D550" s="22">
        <f>EXP(SUM(Painel_diario!$L$4182:$L$4206))-1</f>
        <v/>
      </c>
      <c r="E550" s="22">
        <f>EXP(SUM(Painel_diario!$L$4260:$L$4284))-1</f>
        <v/>
      </c>
      <c r="F550" s="22">
        <f>EXP(SUM(Painel_diario!$L$4757:$L$4781))-1</f>
        <v/>
      </c>
    </row>
    <row r="551">
      <c r="A551" t="n">
        <v>26</v>
      </c>
      <c r="B551" s="22">
        <f>EXP(SUM(Painel_diario!$L$2841:$L$2866))-1</f>
        <v/>
      </c>
      <c r="C551" s="22">
        <f>EXP(SUM(Painel_diario!$L$3288:$L$3313))-1</f>
        <v/>
      </c>
      <c r="D551" s="22">
        <f>EXP(SUM(Painel_diario!$L$4182:$L$4207))-1</f>
        <v/>
      </c>
      <c r="E551" s="22">
        <f>EXP(SUM(Painel_diario!$L$4260:$L$4285))-1</f>
        <v/>
      </c>
      <c r="F551" s="22">
        <f>EXP(SUM(Painel_diario!$L$4757:$L$4782))-1</f>
        <v/>
      </c>
    </row>
    <row r="552">
      <c r="A552" t="n">
        <v>27</v>
      </c>
      <c r="B552" s="22">
        <f>EXP(SUM(Painel_diario!$L$2841:$L$2867))-1</f>
        <v/>
      </c>
      <c r="C552" s="22">
        <f>EXP(SUM(Painel_diario!$L$3288:$L$3314))-1</f>
        <v/>
      </c>
      <c r="D552" s="22">
        <f>EXP(SUM(Painel_diario!$L$4182:$L$4208))-1</f>
        <v/>
      </c>
      <c r="E552" s="22">
        <f>EXP(SUM(Painel_diario!$L$4260:$L$4286))-1</f>
        <v/>
      </c>
      <c r="F552" s="22">
        <f>EXP(SUM(Painel_diario!$L$4757:$L$4783))-1</f>
        <v/>
      </c>
    </row>
    <row r="553">
      <c r="A553" t="n">
        <v>28</v>
      </c>
      <c r="B553" s="22">
        <f>EXP(SUM(Painel_diario!$L$2841:$L$2868))-1</f>
        <v/>
      </c>
      <c r="C553" s="22">
        <f>EXP(SUM(Painel_diario!$L$3288:$L$3315))-1</f>
        <v/>
      </c>
      <c r="D553" s="22">
        <f>EXP(SUM(Painel_diario!$L$4182:$L$4209))-1</f>
        <v/>
      </c>
      <c r="E553" s="22">
        <f>EXP(SUM(Painel_diario!$L$4260:$L$4287))-1</f>
        <v/>
      </c>
      <c r="F553" s="22">
        <f>EXP(SUM(Painel_diario!$L$4757:$L$4784))-1</f>
        <v/>
      </c>
    </row>
    <row r="554">
      <c r="A554" t="n">
        <v>29</v>
      </c>
      <c r="B554" s="22">
        <f>EXP(SUM(Painel_diario!$L$2841:$L$2869))-1</f>
        <v/>
      </c>
      <c r="C554" s="22">
        <f>EXP(SUM(Painel_diario!$L$3288:$L$3316))-1</f>
        <v/>
      </c>
      <c r="D554" s="22">
        <f>EXP(SUM(Painel_diario!$L$4182:$L$4210))-1</f>
        <v/>
      </c>
      <c r="E554" s="22">
        <f>EXP(SUM(Painel_diario!$L$4260:$L$4288))-1</f>
        <v/>
      </c>
      <c r="F554" s="22">
        <f>EXP(SUM(Painel_diario!$L$4757:$L$4785))-1</f>
        <v/>
      </c>
    </row>
    <row r="555">
      <c r="A555" t="n">
        <v>30</v>
      </c>
      <c r="B555" s="22">
        <f>EXP(SUM(Painel_diario!$L$2841:$L$2870))-1</f>
        <v/>
      </c>
      <c r="C555" s="22">
        <f>EXP(SUM(Painel_diario!$L$3288:$L$3317))-1</f>
        <v/>
      </c>
      <c r="D555" s="22">
        <f>EXP(SUM(Painel_diario!$L$4182:$L$4211))-1</f>
        <v/>
      </c>
      <c r="E555" s="22">
        <f>EXP(SUM(Painel_diario!$L$4260:$L$4289))-1</f>
        <v/>
      </c>
      <c r="F555" s="22">
        <f>EXP(SUM(Painel_diario!$L$4757:$L$4786))-1</f>
        <v/>
      </c>
    </row>
    <row r="556">
      <c r="A556" t="n">
        <v>31</v>
      </c>
      <c r="B556" s="22">
        <f>EXP(SUM(Painel_diario!$L$2841:$L$2871))-1</f>
        <v/>
      </c>
      <c r="C556" s="22">
        <f>EXP(SUM(Painel_diario!$L$3288:$L$3318))-1</f>
        <v/>
      </c>
      <c r="D556" s="22">
        <f>EXP(SUM(Painel_diario!$L$4182:$L$4212))-1</f>
        <v/>
      </c>
      <c r="E556" s="22">
        <f>EXP(SUM(Painel_diario!$L$4260:$L$4290))-1</f>
        <v/>
      </c>
      <c r="F556" s="22">
        <f>EXP(SUM(Painel_diario!$L$4757:$L$4787))-1</f>
        <v/>
      </c>
    </row>
    <row r="557">
      <c r="A557" t="n">
        <v>32</v>
      </c>
      <c r="B557" s="22">
        <f>EXP(SUM(Painel_diario!$L$2841:$L$2872))-1</f>
        <v/>
      </c>
      <c r="C557" s="22">
        <f>EXP(SUM(Painel_diario!$L$3288:$L$3319))-1</f>
        <v/>
      </c>
      <c r="D557" s="22">
        <f>EXP(SUM(Painel_diario!$L$4182:$L$4213))-1</f>
        <v/>
      </c>
      <c r="E557" s="22">
        <f>EXP(SUM(Painel_diario!$L$4260:$L$4291))-1</f>
        <v/>
      </c>
      <c r="F557" s="22">
        <f>EXP(SUM(Painel_diario!$L$4757:$L$4788))-1</f>
        <v/>
      </c>
    </row>
    <row r="558">
      <c r="A558" t="n">
        <v>33</v>
      </c>
      <c r="B558" s="22">
        <f>EXP(SUM(Painel_diario!$L$2841:$L$2873))-1</f>
        <v/>
      </c>
      <c r="C558" s="22">
        <f>EXP(SUM(Painel_diario!$L$3288:$L$3320))-1</f>
        <v/>
      </c>
      <c r="D558" s="22">
        <f>EXP(SUM(Painel_diario!$L$4182:$L$4214))-1</f>
        <v/>
      </c>
      <c r="E558" s="22">
        <f>EXP(SUM(Painel_diario!$L$4260:$L$4292))-1</f>
        <v/>
      </c>
      <c r="F558" s="22">
        <f>EXP(SUM(Painel_diario!$L$4757:$L$4789))-1</f>
        <v/>
      </c>
    </row>
    <row r="559">
      <c r="A559" t="n">
        <v>34</v>
      </c>
      <c r="B559" s="22">
        <f>EXP(SUM(Painel_diario!$L$2841:$L$2874))-1</f>
        <v/>
      </c>
      <c r="C559" s="22">
        <f>EXP(SUM(Painel_diario!$L$3288:$L$3321))-1</f>
        <v/>
      </c>
      <c r="D559" s="22">
        <f>EXP(SUM(Painel_diario!$L$4182:$L$4215))-1</f>
        <v/>
      </c>
      <c r="E559" s="22">
        <f>EXP(SUM(Painel_diario!$L$4260:$L$4293))-1</f>
        <v/>
      </c>
      <c r="F559" s="22">
        <f>EXP(SUM(Painel_diario!$L$4757:$L$4790))-1</f>
        <v/>
      </c>
    </row>
    <row r="560">
      <c r="A560" t="n">
        <v>35</v>
      </c>
      <c r="B560" s="22">
        <f>EXP(SUM(Painel_diario!$L$2841:$L$2875))-1</f>
        <v/>
      </c>
      <c r="C560" s="22">
        <f>EXP(SUM(Painel_diario!$L$3288:$L$3322))-1</f>
        <v/>
      </c>
      <c r="D560" s="22">
        <f>EXP(SUM(Painel_diario!$L$4182:$L$4216))-1</f>
        <v/>
      </c>
      <c r="E560" s="22">
        <f>EXP(SUM(Painel_diario!$L$4260:$L$4294))-1</f>
        <v/>
      </c>
      <c r="F560" s="22">
        <f>EXP(SUM(Painel_diario!$L$4757:$L$4791))-1</f>
        <v/>
      </c>
    </row>
    <row r="561">
      <c r="A561" t="n">
        <v>36</v>
      </c>
      <c r="B561" s="22">
        <f>EXP(SUM(Painel_diario!$L$2841:$L$2876))-1</f>
        <v/>
      </c>
      <c r="C561" s="22">
        <f>EXP(SUM(Painel_diario!$L$3288:$L$3323))-1</f>
        <v/>
      </c>
      <c r="D561" s="22">
        <f>EXP(SUM(Painel_diario!$L$4182:$L$4217))-1</f>
        <v/>
      </c>
      <c r="E561" s="22">
        <f>EXP(SUM(Painel_diario!$L$4260:$L$4295))-1</f>
        <v/>
      </c>
      <c r="F561" s="22">
        <f>EXP(SUM(Painel_diario!$L$4757:$L$4792))-1</f>
        <v/>
      </c>
    </row>
    <row r="562">
      <c r="A562" t="n">
        <v>37</v>
      </c>
      <c r="B562" s="22">
        <f>EXP(SUM(Painel_diario!$L$2841:$L$2877))-1</f>
        <v/>
      </c>
      <c r="C562" s="22">
        <f>EXP(SUM(Painel_diario!$L$3288:$L$3324))-1</f>
        <v/>
      </c>
      <c r="D562" s="22">
        <f>EXP(SUM(Painel_diario!$L$4182:$L$4218))-1</f>
        <v/>
      </c>
      <c r="E562" s="22">
        <f>EXP(SUM(Painel_diario!$L$4260:$L$4296))-1</f>
        <v/>
      </c>
      <c r="F562" s="22">
        <f>EXP(SUM(Painel_diario!$L$4757:$L$4793))-1</f>
        <v/>
      </c>
    </row>
    <row r="563">
      <c r="A563" t="n">
        <v>38</v>
      </c>
      <c r="B563" s="22">
        <f>EXP(SUM(Painel_diario!$L$2841:$L$2878))-1</f>
        <v/>
      </c>
      <c r="C563" s="22">
        <f>EXP(SUM(Painel_diario!$L$3288:$L$3325))-1</f>
        <v/>
      </c>
      <c r="D563" s="22">
        <f>EXP(SUM(Painel_diario!$L$4182:$L$4219))-1</f>
        <v/>
      </c>
      <c r="E563" s="22">
        <f>EXP(SUM(Painel_diario!$L$4260:$L$4297))-1</f>
        <v/>
      </c>
      <c r="F563" s="22">
        <f>EXP(SUM(Painel_diario!$L$4757:$L$4794))-1</f>
        <v/>
      </c>
    </row>
    <row r="564">
      <c r="A564" t="n">
        <v>39</v>
      </c>
      <c r="B564" s="22">
        <f>EXP(SUM(Painel_diario!$L$2841:$L$2879))-1</f>
        <v/>
      </c>
      <c r="C564" s="22">
        <f>EXP(SUM(Painel_diario!$L$3288:$L$3326))-1</f>
        <v/>
      </c>
      <c r="D564" s="22">
        <f>EXP(SUM(Painel_diario!$L$4182:$L$4220))-1</f>
        <v/>
      </c>
      <c r="E564" s="22">
        <f>EXP(SUM(Painel_diario!$L$4260:$L$4298))-1</f>
        <v/>
      </c>
      <c r="F564" s="22">
        <f>EXP(SUM(Painel_diario!$L$4757:$L$4795))-1</f>
        <v/>
      </c>
    </row>
    <row r="565">
      <c r="A565" t="n">
        <v>40</v>
      </c>
      <c r="B565" s="22">
        <f>EXP(SUM(Painel_diario!$L$2841:$L$2880))-1</f>
        <v/>
      </c>
      <c r="C565" s="22">
        <f>EXP(SUM(Painel_diario!$L$3288:$L$3327))-1</f>
        <v/>
      </c>
      <c r="D565" s="22">
        <f>EXP(SUM(Painel_diario!$L$4182:$L$4221))-1</f>
        <v/>
      </c>
      <c r="E565" s="22">
        <f>EXP(SUM(Painel_diario!$L$4260:$L$4299))-1</f>
        <v/>
      </c>
      <c r="F565" s="22">
        <f>EXP(SUM(Painel_diario!$L$4757:$L$4796))-1</f>
        <v/>
      </c>
    </row>
    <row r="566">
      <c r="A566" t="n">
        <v>41</v>
      </c>
      <c r="B566" s="22">
        <f>EXP(SUM(Painel_diario!$L$2841:$L$2881))-1</f>
        <v/>
      </c>
      <c r="C566" s="22">
        <f>EXP(SUM(Painel_diario!$L$3288:$L$3328))-1</f>
        <v/>
      </c>
      <c r="D566" s="22">
        <f>EXP(SUM(Painel_diario!$L$4182:$L$4222))-1</f>
        <v/>
      </c>
      <c r="E566" s="22">
        <f>EXP(SUM(Painel_diario!$L$4260:$L$4300))-1</f>
        <v/>
      </c>
      <c r="F566" s="22">
        <f>EXP(SUM(Painel_diario!$L$4757:$L$4797))-1</f>
        <v/>
      </c>
    </row>
    <row r="567">
      <c r="A567" t="n">
        <v>42</v>
      </c>
      <c r="B567" s="22">
        <f>EXP(SUM(Painel_diario!$L$2841:$L$2882))-1</f>
        <v/>
      </c>
      <c r="C567" s="22">
        <f>EXP(SUM(Painel_diario!$L$3288:$L$3329))-1</f>
        <v/>
      </c>
      <c r="D567" s="22">
        <f>EXP(SUM(Painel_diario!$L$4182:$L$4223))-1</f>
        <v/>
      </c>
      <c r="E567" s="22">
        <f>EXP(SUM(Painel_diario!$L$4260:$L$4301))-1</f>
        <v/>
      </c>
      <c r="F567" s="22">
        <f>EXP(SUM(Painel_diario!$L$4757:$L$4798))-1</f>
        <v/>
      </c>
    </row>
    <row r="568">
      <c r="A568" t="n">
        <v>43</v>
      </c>
      <c r="B568" s="22">
        <f>EXP(SUM(Painel_diario!$L$2841:$L$2883))-1</f>
        <v/>
      </c>
      <c r="C568" s="22">
        <f>EXP(SUM(Painel_diario!$L$3288:$L$3330))-1</f>
        <v/>
      </c>
      <c r="D568" s="22">
        <f>EXP(SUM(Painel_diario!$L$4182:$L$4224))-1</f>
        <v/>
      </c>
      <c r="E568" s="22">
        <f>EXP(SUM(Painel_diario!$L$4260:$L$4302))-1</f>
        <v/>
      </c>
      <c r="F568" s="22">
        <f>EXP(SUM(Painel_diario!$L$4757:$L$4799))-1</f>
        <v/>
      </c>
    </row>
    <row r="569">
      <c r="A569" t="n">
        <v>44</v>
      </c>
      <c r="B569" s="22">
        <f>EXP(SUM(Painel_diario!$L$2841:$L$2884))-1</f>
        <v/>
      </c>
      <c r="C569" s="22">
        <f>EXP(SUM(Painel_diario!$L$3288:$L$3331))-1</f>
        <v/>
      </c>
      <c r="D569" s="22">
        <f>EXP(SUM(Painel_diario!$L$4182:$L$4225))-1</f>
        <v/>
      </c>
      <c r="E569" s="22">
        <f>EXP(SUM(Painel_diario!$L$4260:$L$4303))-1</f>
        <v/>
      </c>
      <c r="F569" s="22">
        <f>EXP(SUM(Painel_diario!$L$4757:$L$4800))-1</f>
        <v/>
      </c>
    </row>
    <row r="570">
      <c r="A570" t="n">
        <v>45</v>
      </c>
      <c r="B570" s="22">
        <f>EXP(SUM(Painel_diario!$L$2841:$L$2885))-1</f>
        <v/>
      </c>
      <c r="C570" s="22">
        <f>EXP(SUM(Painel_diario!$L$3288:$L$3332))-1</f>
        <v/>
      </c>
      <c r="D570" s="22">
        <f>EXP(SUM(Painel_diario!$L$4182:$L$4226))-1</f>
        <v/>
      </c>
      <c r="E570" s="22">
        <f>EXP(SUM(Painel_diario!$L$4260:$L$4304))-1</f>
        <v/>
      </c>
      <c r="F570" s="22">
        <f>EXP(SUM(Painel_diario!$L$4757:$L$4801))-1</f>
        <v/>
      </c>
    </row>
    <row r="571">
      <c r="A571" t="n">
        <v>46</v>
      </c>
      <c r="B571" s="22">
        <f>EXP(SUM(Painel_diario!$L$2841:$L$2886))-1</f>
        <v/>
      </c>
      <c r="C571" s="22">
        <f>EXP(SUM(Painel_diario!$L$3288:$L$3333))-1</f>
        <v/>
      </c>
      <c r="D571" s="22">
        <f>EXP(SUM(Painel_diario!$L$4182:$L$4227))-1</f>
        <v/>
      </c>
      <c r="E571" s="22">
        <f>EXP(SUM(Painel_diario!$L$4260:$L$4305))-1</f>
        <v/>
      </c>
      <c r="F571" s="22">
        <f>EXP(SUM(Painel_diario!$L$4757:$L$4802))-1</f>
        <v/>
      </c>
    </row>
    <row r="572">
      <c r="A572" t="n">
        <v>47</v>
      </c>
      <c r="B572" s="22">
        <f>EXP(SUM(Painel_diario!$L$2841:$L$2887))-1</f>
        <v/>
      </c>
      <c r="C572" s="22">
        <f>EXP(SUM(Painel_diario!$L$3288:$L$3334))-1</f>
        <v/>
      </c>
      <c r="D572" s="22">
        <f>EXP(SUM(Painel_diario!$L$4182:$L$4228))-1</f>
        <v/>
      </c>
      <c r="E572" s="22">
        <f>EXP(SUM(Painel_diario!$L$4260:$L$4306))-1</f>
        <v/>
      </c>
      <c r="F572" s="22">
        <f>EXP(SUM(Painel_diario!$L$4757:$L$4803))-1</f>
        <v/>
      </c>
    </row>
    <row r="573">
      <c r="A573" t="n">
        <v>48</v>
      </c>
      <c r="B573" s="22">
        <f>EXP(SUM(Painel_diario!$L$2841:$L$2888))-1</f>
        <v/>
      </c>
      <c r="C573" s="22">
        <f>EXP(SUM(Painel_diario!$L$3288:$L$3335))-1</f>
        <v/>
      </c>
      <c r="D573" s="22">
        <f>EXP(SUM(Painel_diario!$L$4182:$L$4229))-1</f>
        <v/>
      </c>
      <c r="E573" s="22">
        <f>EXP(SUM(Painel_diario!$L$4260:$L$4307))-1</f>
        <v/>
      </c>
      <c r="F573" s="22">
        <f>EXP(SUM(Painel_diario!$L$4757:$L$4804))-1</f>
        <v/>
      </c>
    </row>
    <row r="574">
      <c r="A574" t="n">
        <v>49</v>
      </c>
      <c r="B574" s="22">
        <f>EXP(SUM(Painel_diario!$L$2841:$L$2889))-1</f>
        <v/>
      </c>
      <c r="C574" s="22">
        <f>EXP(SUM(Painel_diario!$L$3288:$L$3336))-1</f>
        <v/>
      </c>
      <c r="D574" s="22">
        <f>EXP(SUM(Painel_diario!$L$4182:$L$4230))-1</f>
        <v/>
      </c>
      <c r="E574" s="22">
        <f>EXP(SUM(Painel_diario!$L$4260:$L$4308))-1</f>
        <v/>
      </c>
      <c r="F574" s="22">
        <f>EXP(SUM(Painel_diario!$L$4757:$L$4805))-1</f>
        <v/>
      </c>
    </row>
    <row r="575">
      <c r="A575" t="n">
        <v>50</v>
      </c>
      <c r="B575" s="22">
        <f>EXP(SUM(Painel_diario!$L$2841:$L$2890))-1</f>
        <v/>
      </c>
      <c r="C575" s="22">
        <f>EXP(SUM(Painel_diario!$L$3288:$L$3337))-1</f>
        <v/>
      </c>
      <c r="D575" s="22">
        <f>EXP(SUM(Painel_diario!$L$4182:$L$4231))-1</f>
        <v/>
      </c>
      <c r="E575" s="22">
        <f>EXP(SUM(Painel_diario!$L$4260:$L$4309))-1</f>
        <v/>
      </c>
      <c r="F575" s="22">
        <f>EXP(SUM(Painel_diario!$L$4757:$L$4806))-1</f>
        <v/>
      </c>
    </row>
    <row r="576">
      <c r="A576" t="n">
        <v>51</v>
      </c>
      <c r="B576" s="22">
        <f>EXP(SUM(Painel_diario!$L$2841:$L$2891))-1</f>
        <v/>
      </c>
      <c r="C576" s="22">
        <f>EXP(SUM(Painel_diario!$L$3288:$L$3338))-1</f>
        <v/>
      </c>
      <c r="D576" s="22">
        <f>EXP(SUM(Painel_diario!$L$4182:$L$4232))-1</f>
        <v/>
      </c>
      <c r="E576" s="22">
        <f>EXP(SUM(Painel_diario!$L$4260:$L$4310))-1</f>
        <v/>
      </c>
      <c r="F576" s="22">
        <f>EXP(SUM(Painel_diario!$L$4757:$L$4807))-1</f>
        <v/>
      </c>
    </row>
    <row r="577">
      <c r="A577" t="n">
        <v>52</v>
      </c>
      <c r="B577" s="22">
        <f>EXP(SUM(Painel_diario!$L$2841:$L$2892))-1</f>
        <v/>
      </c>
      <c r="C577" s="22">
        <f>EXP(SUM(Painel_diario!$L$3288:$L$3339))-1</f>
        <v/>
      </c>
      <c r="D577" s="22">
        <f>EXP(SUM(Painel_diario!$L$4182:$L$4233))-1</f>
        <v/>
      </c>
      <c r="E577" s="22">
        <f>EXP(SUM(Painel_diario!$L$4260:$L$4311))-1</f>
        <v/>
      </c>
      <c r="F577" s="22">
        <f>EXP(SUM(Painel_diario!$L$4757:$L$4808))-1</f>
        <v/>
      </c>
    </row>
    <row r="578">
      <c r="A578" t="n">
        <v>53</v>
      </c>
      <c r="B578" s="22">
        <f>EXP(SUM(Painel_diario!$L$2841:$L$2893))-1</f>
        <v/>
      </c>
      <c r="C578" s="22">
        <f>EXP(SUM(Painel_diario!$L$3288:$L$3340))-1</f>
        <v/>
      </c>
      <c r="D578" s="22">
        <f>EXP(SUM(Painel_diario!$L$4182:$L$4234))-1</f>
        <v/>
      </c>
      <c r="E578" s="22">
        <f>EXP(SUM(Painel_diario!$L$4260:$L$4312))-1</f>
        <v/>
      </c>
      <c r="F578" s="22">
        <f>EXP(SUM(Painel_diario!$L$4757:$L$4809))-1</f>
        <v/>
      </c>
    </row>
    <row r="579">
      <c r="A579" t="n">
        <v>54</v>
      </c>
      <c r="B579" s="22">
        <f>EXP(SUM(Painel_diario!$L$2841:$L$2894))-1</f>
        <v/>
      </c>
      <c r="C579" s="22">
        <f>EXP(SUM(Painel_diario!$L$3288:$L$3341))-1</f>
        <v/>
      </c>
      <c r="D579" s="22">
        <f>EXP(SUM(Painel_diario!$L$4182:$L$4235))-1</f>
        <v/>
      </c>
      <c r="E579" s="22">
        <f>EXP(SUM(Painel_diario!$L$4260:$L$4313))-1</f>
        <v/>
      </c>
      <c r="F579" s="22">
        <f>EXP(SUM(Painel_diario!$L$4757:$L$4810))-1</f>
        <v/>
      </c>
    </row>
    <row r="580">
      <c r="A580" t="n">
        <v>55</v>
      </c>
      <c r="B580" s="22">
        <f>EXP(SUM(Painel_diario!$L$2841:$L$2895))-1</f>
        <v/>
      </c>
      <c r="C580" s="22">
        <f>EXP(SUM(Painel_diario!$L$3288:$L$3342))-1</f>
        <v/>
      </c>
      <c r="D580" s="22">
        <f>EXP(SUM(Painel_diario!$L$4182:$L$4236))-1</f>
        <v/>
      </c>
      <c r="E580" s="22">
        <f>EXP(SUM(Painel_diario!$L$4260:$L$4314))-1</f>
        <v/>
      </c>
      <c r="F580" s="22">
        <f>EXP(SUM(Painel_diario!$L$4757:$L$4811))-1</f>
        <v/>
      </c>
    </row>
    <row r="581">
      <c r="A581" t="n">
        <v>56</v>
      </c>
      <c r="B581" s="22">
        <f>EXP(SUM(Painel_diario!$L$2841:$L$2896))-1</f>
        <v/>
      </c>
      <c r="C581" s="22">
        <f>EXP(SUM(Painel_diario!$L$3288:$L$3343))-1</f>
        <v/>
      </c>
      <c r="D581" s="22">
        <f>EXP(SUM(Painel_diario!$L$4182:$L$4237))-1</f>
        <v/>
      </c>
      <c r="E581" s="22">
        <f>EXP(SUM(Painel_diario!$L$4260:$L$4315))-1</f>
        <v/>
      </c>
      <c r="F581" s="22">
        <f>EXP(SUM(Painel_diario!$L$4757:$L$4812))-1</f>
        <v/>
      </c>
    </row>
    <row r="582">
      <c r="A582" t="n">
        <v>57</v>
      </c>
      <c r="B582" s="22">
        <f>EXP(SUM(Painel_diario!$L$2841:$L$2897))-1</f>
        <v/>
      </c>
      <c r="C582" s="22">
        <f>EXP(SUM(Painel_diario!$L$3288:$L$3344))-1</f>
        <v/>
      </c>
      <c r="D582" s="22">
        <f>EXP(SUM(Painel_diario!$L$4182:$L$4238))-1</f>
        <v/>
      </c>
      <c r="E582" s="22">
        <f>EXP(SUM(Painel_diario!$L$4260:$L$4316))-1</f>
        <v/>
      </c>
      <c r="F582" s="22">
        <f>EXP(SUM(Painel_diario!$L$4757:$L$4813))-1</f>
        <v/>
      </c>
    </row>
    <row r="583">
      <c r="A583" t="n">
        <v>58</v>
      </c>
      <c r="B583" s="22">
        <f>EXP(SUM(Painel_diario!$L$2841:$L$2898))-1</f>
        <v/>
      </c>
      <c r="C583" s="22">
        <f>EXP(SUM(Painel_diario!$L$3288:$L$3345))-1</f>
        <v/>
      </c>
      <c r="D583" s="22">
        <f>EXP(SUM(Painel_diario!$L$4182:$L$4239))-1</f>
        <v/>
      </c>
      <c r="E583" s="22">
        <f>EXP(SUM(Painel_diario!$L$4260:$L$4317))-1</f>
        <v/>
      </c>
      <c r="F583" s="22">
        <f>EXP(SUM(Painel_diario!$L$4757:$L$4814))-1</f>
        <v/>
      </c>
    </row>
    <row r="584">
      <c r="A584" t="n">
        <v>59</v>
      </c>
      <c r="B584" s="22">
        <f>EXP(SUM(Painel_diario!$L$2841:$L$2899))-1</f>
        <v/>
      </c>
      <c r="C584" s="22">
        <f>EXP(SUM(Painel_diario!$L$3288:$L$3346))-1</f>
        <v/>
      </c>
      <c r="D584" s="22">
        <f>EXP(SUM(Painel_diario!$L$4182:$L$4240))-1</f>
        <v/>
      </c>
      <c r="E584" s="22">
        <f>EXP(SUM(Painel_diario!$L$4260:$L$4318))-1</f>
        <v/>
      </c>
      <c r="F584" s="22">
        <f>EXP(SUM(Painel_diario!$L$4757:$L$4815))-1</f>
        <v/>
      </c>
    </row>
    <row r="585">
      <c r="A585" t="n">
        <v>60</v>
      </c>
      <c r="B585" s="22">
        <f>EXP(SUM(Painel_diario!$L$2841:$L$2900))-1</f>
        <v/>
      </c>
      <c r="C585" s="22">
        <f>EXP(SUM(Painel_diario!$L$3288:$L$3347))-1</f>
        <v/>
      </c>
      <c r="D585" s="22">
        <f>EXP(SUM(Painel_diario!$L$4182:$L$4241))-1</f>
        <v/>
      </c>
      <c r="E585" s="22">
        <f>EXP(SUM(Painel_diario!$L$4260:$L$4319))-1</f>
        <v/>
      </c>
      <c r="F585" s="22">
        <f>EXP(SUM(Painel_diario!$L$4757:$L$4816))-1</f>
        <v/>
      </c>
    </row>
    <row r="586">
      <c r="A586" t="n">
        <v>61</v>
      </c>
      <c r="B586" s="22">
        <f>EXP(SUM(Painel_diario!$L$2841:$L$2901))-1</f>
        <v/>
      </c>
      <c r="C586" s="22">
        <f>EXP(SUM(Painel_diario!$L$3288:$L$3348))-1</f>
        <v/>
      </c>
      <c r="D586" s="22">
        <f>EXP(SUM(Painel_diario!$L$4182:$L$4242))-1</f>
        <v/>
      </c>
      <c r="E586" s="22">
        <f>EXP(SUM(Painel_diario!$L$4260:$L$4320))-1</f>
        <v/>
      </c>
      <c r="F586" s="22">
        <f>EXP(SUM(Painel_diario!$L$4757:$L$4817))-1</f>
        <v/>
      </c>
    </row>
    <row r="587">
      <c r="A587" t="n">
        <v>62</v>
      </c>
      <c r="B587" s="22">
        <f>EXP(SUM(Painel_diario!$L$2841:$L$2902))-1</f>
        <v/>
      </c>
      <c r="C587" s="22">
        <f>EXP(SUM(Painel_diario!$L$3288:$L$3349))-1</f>
        <v/>
      </c>
      <c r="D587" s="22">
        <f>EXP(SUM(Painel_diario!$L$4182:$L$4243))-1</f>
        <v/>
      </c>
      <c r="E587" s="22">
        <f>EXP(SUM(Painel_diario!$L$4260:$L$4321))-1</f>
        <v/>
      </c>
      <c r="F587" s="22">
        <f>EXP(SUM(Painel_diario!$L$4757:$L$4818))-1</f>
        <v/>
      </c>
    </row>
    <row r="588">
      <c r="A588" t="n">
        <v>63</v>
      </c>
      <c r="B588" s="22">
        <f>EXP(SUM(Painel_diario!$L$2841:$L$2903))-1</f>
        <v/>
      </c>
      <c r="C588" s="22">
        <f>EXP(SUM(Painel_diario!$L$3288:$L$3350))-1</f>
        <v/>
      </c>
      <c r="D588" s="22">
        <f>EXP(SUM(Painel_diario!$L$4182:$L$4244))-1</f>
        <v/>
      </c>
      <c r="E588" s="22">
        <f>EXP(SUM(Painel_diario!$L$4260:$L$4322))-1</f>
        <v/>
      </c>
      <c r="F588" s="22">
        <f>EXP(SUM(Painel_diario!$L$4757:$L$4819))-1</f>
        <v/>
      </c>
    </row>
    <row r="589">
      <c r="A589" t="n">
        <v>64</v>
      </c>
      <c r="B589" s="22">
        <f>EXP(SUM(Painel_diario!$L$2841:$L$2904))-1</f>
        <v/>
      </c>
      <c r="C589" s="22">
        <f>EXP(SUM(Painel_diario!$L$3288:$L$3351))-1</f>
        <v/>
      </c>
      <c r="D589" s="22">
        <f>EXP(SUM(Painel_diario!$L$4182:$L$4245))-1</f>
        <v/>
      </c>
      <c r="E589" s="22">
        <f>EXP(SUM(Painel_diario!$L$4260:$L$4323))-1</f>
        <v/>
      </c>
      <c r="F589" s="22">
        <f>EXP(SUM(Painel_diario!$L$4757:$L$4820))-1</f>
        <v/>
      </c>
    </row>
    <row r="590">
      <c r="A590" t="n">
        <v>65</v>
      </c>
      <c r="B590" s="22">
        <f>EXP(SUM(Painel_diario!$L$2841:$L$2905))-1</f>
        <v/>
      </c>
      <c r="C590" s="22">
        <f>EXP(SUM(Painel_diario!$L$3288:$L$3352))-1</f>
        <v/>
      </c>
      <c r="D590" s="22">
        <f>EXP(SUM(Painel_diario!$L$4182:$L$4246))-1</f>
        <v/>
      </c>
      <c r="E590" s="22">
        <f>EXP(SUM(Painel_diario!$L$4260:$L$4324))-1</f>
        <v/>
      </c>
      <c r="F590" s="22">
        <f>EXP(SUM(Painel_diario!$L$4757:$L$4821))-1</f>
        <v/>
      </c>
    </row>
    <row r="591">
      <c r="A591" t="n">
        <v>66</v>
      </c>
      <c r="B591" s="22">
        <f>EXP(SUM(Painel_diario!$L$2841:$L$2906))-1</f>
        <v/>
      </c>
      <c r="C591" s="22">
        <f>EXP(SUM(Painel_diario!$L$3288:$L$3353))-1</f>
        <v/>
      </c>
      <c r="D591" s="22">
        <f>EXP(SUM(Painel_diario!$L$4182:$L$4247))-1</f>
        <v/>
      </c>
      <c r="E591" s="22">
        <f>EXP(SUM(Painel_diario!$L$4260:$L$4325))-1</f>
        <v/>
      </c>
      <c r="F591" s="22">
        <f>EXP(SUM(Painel_diario!$L$4757:$L$4822))-1</f>
        <v/>
      </c>
    </row>
    <row r="592">
      <c r="A592" t="n">
        <v>67</v>
      </c>
      <c r="B592" s="22">
        <f>EXP(SUM(Painel_diario!$L$2841:$L$2907))-1</f>
        <v/>
      </c>
      <c r="C592" s="22">
        <f>EXP(SUM(Painel_diario!$L$3288:$L$3354))-1</f>
        <v/>
      </c>
      <c r="D592" s="22">
        <f>EXP(SUM(Painel_diario!$L$4182:$L$4248))-1</f>
        <v/>
      </c>
      <c r="E592" s="22">
        <f>EXP(SUM(Painel_diario!$L$4260:$L$4326))-1</f>
        <v/>
      </c>
      <c r="F592" s="22">
        <f>EXP(SUM(Painel_diario!$L$4757:$L$4823))-1</f>
        <v/>
      </c>
    </row>
    <row r="593">
      <c r="A593" t="n">
        <v>68</v>
      </c>
      <c r="B593" s="22">
        <f>EXP(SUM(Painel_diario!$L$2841:$L$2908))-1</f>
        <v/>
      </c>
      <c r="C593" s="22">
        <f>EXP(SUM(Painel_diario!$L$3288:$L$3355))-1</f>
        <v/>
      </c>
      <c r="D593" s="22">
        <f>EXP(SUM(Painel_diario!$L$4182:$L$4249))-1</f>
        <v/>
      </c>
      <c r="E593" s="22">
        <f>EXP(SUM(Painel_diario!$L$4260:$L$4327))-1</f>
        <v/>
      </c>
      <c r="F593" s="22">
        <f>EXP(SUM(Painel_diario!$L$4757:$L$4824))-1</f>
        <v/>
      </c>
    </row>
    <row r="594">
      <c r="A594" t="n">
        <v>69</v>
      </c>
      <c r="B594" s="22">
        <f>EXP(SUM(Painel_diario!$L$2841:$L$2909))-1</f>
        <v/>
      </c>
      <c r="C594" s="22">
        <f>EXP(SUM(Painel_diario!$L$3288:$L$3356))-1</f>
        <v/>
      </c>
      <c r="D594" s="22">
        <f>EXP(SUM(Painel_diario!$L$4182:$L$4250))-1</f>
        <v/>
      </c>
      <c r="E594" s="22">
        <f>EXP(SUM(Painel_diario!$L$4260:$L$4328))-1</f>
        <v/>
      </c>
      <c r="F594" s="22">
        <f>EXP(SUM(Painel_diario!$L$4757:$L$4825))-1</f>
        <v/>
      </c>
    </row>
    <row r="595">
      <c r="A595" t="n">
        <v>70</v>
      </c>
      <c r="B595" s="22">
        <f>EXP(SUM(Painel_diario!$L$2841:$L$2910))-1</f>
        <v/>
      </c>
      <c r="C595" s="22">
        <f>EXP(SUM(Painel_diario!$L$3288:$L$3357))-1</f>
        <v/>
      </c>
      <c r="D595" s="22">
        <f>EXP(SUM(Painel_diario!$L$4182:$L$4251))-1</f>
        <v/>
      </c>
      <c r="E595" s="22">
        <f>EXP(SUM(Painel_diario!$L$4260:$L$4329))-1</f>
        <v/>
      </c>
      <c r="F595" s="22">
        <f>EXP(SUM(Painel_diario!$L$4757:$L$4826))-1</f>
        <v/>
      </c>
    </row>
    <row r="596">
      <c r="A596" t="n">
        <v>71</v>
      </c>
      <c r="B596" s="22">
        <f>EXP(SUM(Painel_diario!$L$2841:$L$2911))-1</f>
        <v/>
      </c>
      <c r="C596" s="22">
        <f>EXP(SUM(Painel_diario!$L$3288:$L$3358))-1</f>
        <v/>
      </c>
      <c r="D596" s="22">
        <f>EXP(SUM(Painel_diario!$L$4182:$L$4252))-1</f>
        <v/>
      </c>
      <c r="E596" s="22">
        <f>EXP(SUM(Painel_diario!$L$4260:$L$4330))-1</f>
        <v/>
      </c>
      <c r="F596" s="22">
        <f>EXP(SUM(Painel_diario!$L$4757:$L$4827))-1</f>
        <v/>
      </c>
    </row>
    <row r="597">
      <c r="A597" t="n">
        <v>72</v>
      </c>
      <c r="B597" s="22">
        <f>EXP(SUM(Painel_diario!$L$2841:$L$2912))-1</f>
        <v/>
      </c>
      <c r="C597" s="22">
        <f>EXP(SUM(Painel_diario!$L$3288:$L$3359))-1</f>
        <v/>
      </c>
      <c r="D597" s="22">
        <f>EXP(SUM(Painel_diario!$L$4182:$L$4253))-1</f>
        <v/>
      </c>
      <c r="E597" s="22">
        <f>EXP(SUM(Painel_diario!$L$4260:$L$4331))-1</f>
        <v/>
      </c>
      <c r="F597" s="22">
        <f>EXP(SUM(Painel_diario!$L$4757:$L$4828))-1</f>
        <v/>
      </c>
    </row>
    <row r="598">
      <c r="A598" t="n">
        <v>73</v>
      </c>
      <c r="B598" s="22">
        <f>EXP(SUM(Painel_diario!$L$2841:$L$2913))-1</f>
        <v/>
      </c>
      <c r="C598" s="22">
        <f>EXP(SUM(Painel_diario!$L$3288:$L$3360))-1</f>
        <v/>
      </c>
      <c r="D598" s="22">
        <f>EXP(SUM(Painel_diario!$L$4182:$L$4254))-1</f>
        <v/>
      </c>
      <c r="E598" s="22">
        <f>EXP(SUM(Painel_diario!$L$4260:$L$4332))-1</f>
        <v/>
      </c>
      <c r="F598" s="22">
        <f>EXP(SUM(Painel_diario!$L$4757:$L$4829))-1</f>
        <v/>
      </c>
    </row>
    <row r="599">
      <c r="A599" t="n">
        <v>74</v>
      </c>
      <c r="B599" s="22">
        <f>EXP(SUM(Painel_diario!$L$2841:$L$2914))-1</f>
        <v/>
      </c>
      <c r="C599" s="22">
        <f>EXP(SUM(Painel_diario!$L$3288:$L$3361))-1</f>
        <v/>
      </c>
      <c r="D599" s="22">
        <f>EXP(SUM(Painel_diario!$L$4182:$L$4255))-1</f>
        <v/>
      </c>
      <c r="E599" s="22">
        <f>EXP(SUM(Painel_diario!$L$4260:$L$4333))-1</f>
        <v/>
      </c>
      <c r="F599" s="22">
        <f>EXP(SUM(Painel_diario!$L$4757:$L$4830))-1</f>
        <v/>
      </c>
    </row>
    <row r="600">
      <c r="A600" t="n">
        <v>75</v>
      </c>
      <c r="B600" s="22">
        <f>EXP(SUM(Painel_diario!$L$2841:$L$2915))-1</f>
        <v/>
      </c>
      <c r="C600" s="22">
        <f>EXP(SUM(Painel_diario!$L$3288:$L$3362))-1</f>
        <v/>
      </c>
      <c r="D600" s="22">
        <f>EXP(SUM(Painel_diario!$L$4182:$L$4256))-1</f>
        <v/>
      </c>
      <c r="E600" s="22">
        <f>EXP(SUM(Painel_diario!$L$4260:$L$4334))-1</f>
        <v/>
      </c>
      <c r="F600" s="22">
        <f>EXP(SUM(Painel_diario!$L$4757:$L$4831))-1</f>
        <v/>
      </c>
    </row>
    <row r="601">
      <c r="A601" t="n">
        <v>76</v>
      </c>
      <c r="B601" s="22">
        <f>EXP(SUM(Painel_diario!$L$2841:$L$2916))-1</f>
        <v/>
      </c>
      <c r="C601" s="22">
        <f>EXP(SUM(Painel_diario!$L$3288:$L$3363))-1</f>
        <v/>
      </c>
      <c r="D601" s="22">
        <f>EXP(SUM(Painel_diario!$L$4182:$L$4257))-1</f>
        <v/>
      </c>
      <c r="E601" s="22">
        <f>EXP(SUM(Painel_diario!$L$4260:$L$4335))-1</f>
        <v/>
      </c>
      <c r="F601" s="22">
        <f>EXP(SUM(Painel_diario!$L$4757:$L$4832))-1</f>
        <v/>
      </c>
    </row>
    <row r="602">
      <c r="A602" t="n">
        <v>77</v>
      </c>
      <c r="B602" s="22">
        <f>EXP(SUM(Painel_diario!$L$2841:$L$2917))-1</f>
        <v/>
      </c>
      <c r="C602" s="22">
        <f>EXP(SUM(Painel_diario!$L$3288:$L$3364))-1</f>
        <v/>
      </c>
      <c r="D602" s="22">
        <f>EXP(SUM(Painel_diario!$L$4182:$L$4258))-1</f>
        <v/>
      </c>
      <c r="E602" s="22">
        <f>EXP(SUM(Painel_diario!$L$4260:$L$4336))-1</f>
        <v/>
      </c>
      <c r="F602" s="22">
        <f>EXP(SUM(Painel_diario!$L$4757:$L$4833))-1</f>
        <v/>
      </c>
    </row>
    <row r="603">
      <c r="A603" t="n">
        <v>78</v>
      </c>
      <c r="B603" s="22">
        <f>EXP(SUM(Painel_diario!$L$2841:$L$2918))-1</f>
        <v/>
      </c>
      <c r="C603" s="22">
        <f>EXP(SUM(Painel_diario!$L$3288:$L$3365))-1</f>
        <v/>
      </c>
      <c r="D603" s="22">
        <f>EXP(SUM(Painel_diario!$L$4182:$L$4259))-1</f>
        <v/>
      </c>
      <c r="E603" s="22">
        <f>EXP(SUM(Painel_diario!$L$4260:$L$4337))-1</f>
        <v/>
      </c>
      <c r="F603" s="22">
        <f>EXP(SUM(Painel_diario!$L$4757:$L$4834))-1</f>
        <v/>
      </c>
    </row>
    <row r="604">
      <c r="A604" t="n">
        <v>79</v>
      </c>
      <c r="B604" s="22">
        <f>EXP(SUM(Painel_diario!$L$2841:$L$2919))-1</f>
        <v/>
      </c>
      <c r="C604" s="22">
        <f>EXP(SUM(Painel_diario!$L$3288:$L$3366))-1</f>
        <v/>
      </c>
      <c r="D604" s="22">
        <f>EXP(SUM(Painel_diario!$L$4182:$L$4260))-1</f>
        <v/>
      </c>
      <c r="E604" s="22">
        <f>EXP(SUM(Painel_diario!$L$4260:$L$4338))-1</f>
        <v/>
      </c>
      <c r="F604" s="22">
        <f>EXP(SUM(Painel_diario!$L$4757:$L$4835))-1</f>
        <v/>
      </c>
    </row>
    <row r="605">
      <c r="A605" t="n">
        <v>80</v>
      </c>
      <c r="B605" s="22">
        <f>EXP(SUM(Painel_diario!$L$2841:$L$2920))-1</f>
        <v/>
      </c>
      <c r="C605" s="22">
        <f>EXP(SUM(Painel_diario!$L$3288:$L$3367))-1</f>
        <v/>
      </c>
      <c r="D605" s="22">
        <f>EXP(SUM(Painel_diario!$L$4182:$L$4261))-1</f>
        <v/>
      </c>
      <c r="E605" s="22">
        <f>EXP(SUM(Painel_diario!$L$4260:$L$4339))-1</f>
        <v/>
      </c>
      <c r="F605" s="22">
        <f>EXP(SUM(Painel_diario!$L$4757:$L$4836))-1</f>
        <v/>
      </c>
    </row>
    <row r="606">
      <c r="A606" t="n">
        <v>81</v>
      </c>
      <c r="B606" s="22">
        <f>EXP(SUM(Painel_diario!$L$2841:$L$2921))-1</f>
        <v/>
      </c>
      <c r="C606" s="22">
        <f>EXP(SUM(Painel_diario!$L$3288:$L$3368))-1</f>
        <v/>
      </c>
      <c r="D606" s="22">
        <f>EXP(SUM(Painel_diario!$L$4182:$L$4262))-1</f>
        <v/>
      </c>
      <c r="E606" s="22">
        <f>EXP(SUM(Painel_diario!$L$4260:$L$4340))-1</f>
        <v/>
      </c>
      <c r="F606" s="22">
        <f>EXP(SUM(Painel_diario!$L$4757:$L$4837))-1</f>
        <v/>
      </c>
    </row>
    <row r="607">
      <c r="A607" t="n">
        <v>82</v>
      </c>
      <c r="B607" s="22">
        <f>EXP(SUM(Painel_diario!$L$2841:$L$2922))-1</f>
        <v/>
      </c>
      <c r="C607" s="22">
        <f>EXP(SUM(Painel_diario!$L$3288:$L$3369))-1</f>
        <v/>
      </c>
      <c r="D607" s="22">
        <f>EXP(SUM(Painel_diario!$L$4182:$L$4263))-1</f>
        <v/>
      </c>
      <c r="E607" s="22">
        <f>EXP(SUM(Painel_diario!$L$4260:$L$4341))-1</f>
        <v/>
      </c>
      <c r="F607" s="22">
        <f>EXP(SUM(Painel_diario!$L$4757:$L$4838))-1</f>
        <v/>
      </c>
    </row>
    <row r="608">
      <c r="A608" t="n">
        <v>83</v>
      </c>
      <c r="B608" s="22">
        <f>EXP(SUM(Painel_diario!$L$2841:$L$2923))-1</f>
        <v/>
      </c>
      <c r="C608" s="22">
        <f>EXP(SUM(Painel_diario!$L$3288:$L$3370))-1</f>
        <v/>
      </c>
      <c r="D608" s="22">
        <f>EXP(SUM(Painel_diario!$L$4182:$L$4264))-1</f>
        <v/>
      </c>
      <c r="E608" s="22">
        <f>EXP(SUM(Painel_diario!$L$4260:$L$4342))-1</f>
        <v/>
      </c>
      <c r="F608" s="22">
        <f>EXP(SUM(Painel_diario!$L$4757:$L$4839))-1</f>
        <v/>
      </c>
    </row>
    <row r="609">
      <c r="A609" t="n">
        <v>84</v>
      </c>
      <c r="B609" s="22">
        <f>EXP(SUM(Painel_diario!$L$2841:$L$2924))-1</f>
        <v/>
      </c>
      <c r="C609" s="22">
        <f>EXP(SUM(Painel_diario!$L$3288:$L$3371))-1</f>
        <v/>
      </c>
      <c r="D609" s="22">
        <f>EXP(SUM(Painel_diario!$L$4182:$L$4265))-1</f>
        <v/>
      </c>
      <c r="E609" s="22">
        <f>EXP(SUM(Painel_diario!$L$4260:$L$4343))-1</f>
        <v/>
      </c>
      <c r="F609" s="22">
        <f>EXP(SUM(Painel_diario!$L$4757:$L$4840))-1</f>
        <v/>
      </c>
    </row>
    <row r="610">
      <c r="A610" t="n">
        <v>85</v>
      </c>
      <c r="B610" s="22">
        <f>EXP(SUM(Painel_diario!$L$2841:$L$2925))-1</f>
        <v/>
      </c>
      <c r="C610" s="22">
        <f>EXP(SUM(Painel_diario!$L$3288:$L$3372))-1</f>
        <v/>
      </c>
      <c r="D610" s="22">
        <f>EXP(SUM(Painel_diario!$L$4182:$L$4266))-1</f>
        <v/>
      </c>
      <c r="E610" s="22">
        <f>EXP(SUM(Painel_diario!$L$4260:$L$4344))-1</f>
        <v/>
      </c>
      <c r="F610" s="22">
        <f>EXP(SUM(Painel_diario!$L$4757:$L$4841))-1</f>
        <v/>
      </c>
    </row>
    <row r="611">
      <c r="A611" t="n">
        <v>86</v>
      </c>
      <c r="B611" s="22">
        <f>EXP(SUM(Painel_diario!$L$2841:$L$2926))-1</f>
        <v/>
      </c>
      <c r="C611" s="22">
        <f>EXP(SUM(Painel_diario!$L$3288:$L$3373))-1</f>
        <v/>
      </c>
      <c r="D611" s="22">
        <f>EXP(SUM(Painel_diario!$L$4182:$L$4267))-1</f>
        <v/>
      </c>
      <c r="E611" s="22">
        <f>EXP(SUM(Painel_diario!$L$4260:$L$4345))-1</f>
        <v/>
      </c>
      <c r="F611" s="22">
        <f>EXP(SUM(Painel_diario!$L$4757:$L$4842))-1</f>
        <v/>
      </c>
    </row>
    <row r="612">
      <c r="A612" t="n">
        <v>87</v>
      </c>
      <c r="B612" s="22">
        <f>EXP(SUM(Painel_diario!$L$2841:$L$2927))-1</f>
        <v/>
      </c>
      <c r="C612" s="22">
        <f>EXP(SUM(Painel_diario!$L$3288:$L$3374))-1</f>
        <v/>
      </c>
      <c r="D612" s="22">
        <f>EXP(SUM(Painel_diario!$L$4182:$L$4268))-1</f>
        <v/>
      </c>
      <c r="E612" s="22">
        <f>EXP(SUM(Painel_diario!$L$4260:$L$4346))-1</f>
        <v/>
      </c>
      <c r="F612" s="22">
        <f>EXP(SUM(Painel_diario!$L$4757:$L$4843))-1</f>
        <v/>
      </c>
    </row>
    <row r="613">
      <c r="A613" t="n">
        <v>88</v>
      </c>
      <c r="B613" s="22">
        <f>EXP(SUM(Painel_diario!$L$2841:$L$2928))-1</f>
        <v/>
      </c>
      <c r="C613" s="22">
        <f>EXP(SUM(Painel_diario!$L$3288:$L$3375))-1</f>
        <v/>
      </c>
      <c r="D613" s="22">
        <f>EXP(SUM(Painel_diario!$L$4182:$L$4269))-1</f>
        <v/>
      </c>
      <c r="E613" s="22">
        <f>EXP(SUM(Painel_diario!$L$4260:$L$4347))-1</f>
        <v/>
      </c>
      <c r="F613" s="22">
        <f>EXP(SUM(Painel_diario!$L$4757:$L$4844))-1</f>
        <v/>
      </c>
    </row>
    <row r="614">
      <c r="A614" t="n">
        <v>89</v>
      </c>
      <c r="B614" s="22">
        <f>EXP(SUM(Painel_diario!$L$2841:$L$2929))-1</f>
        <v/>
      </c>
      <c r="C614" s="22">
        <f>EXP(SUM(Painel_diario!$L$3288:$L$3376))-1</f>
        <v/>
      </c>
      <c r="D614" s="22">
        <f>EXP(SUM(Painel_diario!$L$4182:$L$4270))-1</f>
        <v/>
      </c>
      <c r="E614" s="22">
        <f>EXP(SUM(Painel_diario!$L$4260:$L$4348))-1</f>
        <v/>
      </c>
      <c r="F614" s="22">
        <f>EXP(SUM(Painel_diario!$L$4757:$L$4845))-1</f>
        <v/>
      </c>
    </row>
    <row r="615">
      <c r="A615" t="n">
        <v>90</v>
      </c>
      <c r="B615" s="22">
        <f>EXP(SUM(Painel_diario!$L$2841:$L$2930))-1</f>
        <v/>
      </c>
      <c r="C615" s="22">
        <f>EXP(SUM(Painel_diario!$L$3288:$L$3377))-1</f>
        <v/>
      </c>
      <c r="D615" s="22">
        <f>EXP(SUM(Painel_diario!$L$4182:$L$4271))-1</f>
        <v/>
      </c>
      <c r="E615" s="22">
        <f>EXP(SUM(Painel_diario!$L$4260:$L$4349))-1</f>
        <v/>
      </c>
      <c r="F615" s="22">
        <f>EXP(SUM(Painel_diario!$L$4757:$L$4846))-1</f>
        <v/>
      </c>
    </row>
    <row r="616">
      <c r="A616" t="n">
        <v>91</v>
      </c>
      <c r="B616" s="22">
        <f>EXP(SUM(Painel_diario!$L$2841:$L$2931))-1</f>
        <v/>
      </c>
      <c r="C616" s="22">
        <f>EXP(SUM(Painel_diario!$L$3288:$L$3378))-1</f>
        <v/>
      </c>
      <c r="D616" s="22">
        <f>EXP(SUM(Painel_diario!$L$4182:$L$4272))-1</f>
        <v/>
      </c>
      <c r="E616" s="22">
        <f>EXP(SUM(Painel_diario!$L$4260:$L$4350))-1</f>
        <v/>
      </c>
      <c r="F616" s="22">
        <f>EXP(SUM(Painel_diario!$L$4757:$L$4847))-1</f>
        <v/>
      </c>
    </row>
    <row r="617">
      <c r="A617" t="n">
        <v>92</v>
      </c>
      <c r="B617" s="22">
        <f>EXP(SUM(Painel_diario!$L$2841:$L$2932))-1</f>
        <v/>
      </c>
      <c r="C617" s="22">
        <f>EXP(SUM(Painel_diario!$L$3288:$L$3379))-1</f>
        <v/>
      </c>
      <c r="D617" s="22">
        <f>EXP(SUM(Painel_diario!$L$4182:$L$4273))-1</f>
        <v/>
      </c>
      <c r="E617" s="22">
        <f>EXP(SUM(Painel_diario!$L$4260:$L$4351))-1</f>
        <v/>
      </c>
      <c r="F617" s="22">
        <f>EXP(SUM(Painel_diario!$L$4757:$L$4848))-1</f>
        <v/>
      </c>
    </row>
    <row r="618">
      <c r="A618" t="n">
        <v>93</v>
      </c>
      <c r="B618" s="22">
        <f>EXP(SUM(Painel_diario!$L$2841:$L$2933))-1</f>
        <v/>
      </c>
      <c r="C618" s="22">
        <f>EXP(SUM(Painel_diario!$L$3288:$L$3380))-1</f>
        <v/>
      </c>
      <c r="D618" s="22">
        <f>EXP(SUM(Painel_diario!$L$4182:$L$4274))-1</f>
        <v/>
      </c>
      <c r="E618" s="22">
        <f>EXP(SUM(Painel_diario!$L$4260:$L$4352))-1</f>
        <v/>
      </c>
      <c r="F618" s="22">
        <f>EXP(SUM(Painel_diario!$L$4757:$L$4849))-1</f>
        <v/>
      </c>
    </row>
    <row r="619">
      <c r="A619" t="n">
        <v>94</v>
      </c>
      <c r="B619" s="22">
        <f>EXP(SUM(Painel_diario!$L$2841:$L$2934))-1</f>
        <v/>
      </c>
      <c r="C619" s="22">
        <f>EXP(SUM(Painel_diario!$L$3288:$L$3381))-1</f>
        <v/>
      </c>
      <c r="D619" s="22">
        <f>EXP(SUM(Painel_diario!$L$4182:$L$4275))-1</f>
        <v/>
      </c>
      <c r="E619" s="22">
        <f>EXP(SUM(Painel_diario!$L$4260:$L$4353))-1</f>
        <v/>
      </c>
      <c r="F619" s="22">
        <f>EXP(SUM(Painel_diario!$L$4757:$L$4850))-1</f>
        <v/>
      </c>
    </row>
    <row r="620">
      <c r="A620" t="n">
        <v>95</v>
      </c>
      <c r="B620" s="22">
        <f>EXP(SUM(Painel_diario!$L$2841:$L$2935))-1</f>
        <v/>
      </c>
      <c r="C620" s="22">
        <f>EXP(SUM(Painel_diario!$L$3288:$L$3382))-1</f>
        <v/>
      </c>
      <c r="D620" s="22">
        <f>EXP(SUM(Painel_diario!$L$4182:$L$4276))-1</f>
        <v/>
      </c>
      <c r="E620" s="22">
        <f>EXP(SUM(Painel_diario!$L$4260:$L$4354))-1</f>
        <v/>
      </c>
      <c r="F620" s="22">
        <f>EXP(SUM(Painel_diario!$L$4757:$L$4851))-1</f>
        <v/>
      </c>
    </row>
    <row r="621">
      <c r="A621" t="n">
        <v>96</v>
      </c>
      <c r="B621" s="22">
        <f>EXP(SUM(Painel_diario!$L$2841:$L$2936))-1</f>
        <v/>
      </c>
      <c r="C621" s="22">
        <f>EXP(SUM(Painel_diario!$L$3288:$L$3383))-1</f>
        <v/>
      </c>
      <c r="D621" s="22">
        <f>EXP(SUM(Painel_diario!$L$4182:$L$4277))-1</f>
        <v/>
      </c>
      <c r="E621" s="22">
        <f>EXP(SUM(Painel_diario!$L$4260:$L$4355))-1</f>
        <v/>
      </c>
      <c r="F621" s="22">
        <f>EXP(SUM(Painel_diario!$L$4757:$L$4852))-1</f>
        <v/>
      </c>
    </row>
    <row r="622">
      <c r="A622" t="n">
        <v>97</v>
      </c>
      <c r="B622" s="22">
        <f>EXP(SUM(Painel_diario!$L$2841:$L$2937))-1</f>
        <v/>
      </c>
      <c r="C622" s="22">
        <f>EXP(SUM(Painel_diario!$L$3288:$L$3384))-1</f>
        <v/>
      </c>
      <c r="D622" s="22">
        <f>EXP(SUM(Painel_diario!$L$4182:$L$4278))-1</f>
        <v/>
      </c>
      <c r="E622" s="22">
        <f>EXP(SUM(Painel_diario!$L$4260:$L$4356))-1</f>
        <v/>
      </c>
      <c r="F622" s="22">
        <f>EXP(SUM(Painel_diario!$L$4757:$L$4853))-1</f>
        <v/>
      </c>
    </row>
    <row r="623">
      <c r="A623" t="n">
        <v>98</v>
      </c>
      <c r="B623" s="22">
        <f>EXP(SUM(Painel_diario!$L$2841:$L$2938))-1</f>
        <v/>
      </c>
      <c r="C623" s="22">
        <f>EXP(SUM(Painel_diario!$L$3288:$L$3385))-1</f>
        <v/>
      </c>
      <c r="D623" s="22">
        <f>EXP(SUM(Painel_diario!$L$4182:$L$4279))-1</f>
        <v/>
      </c>
      <c r="E623" s="22">
        <f>EXP(SUM(Painel_diario!$L$4260:$L$4357))-1</f>
        <v/>
      </c>
      <c r="F623" s="22">
        <f>EXP(SUM(Painel_diario!$L$4757:$L$4854))-1</f>
        <v/>
      </c>
    </row>
    <row r="624">
      <c r="A624" t="n">
        <v>99</v>
      </c>
      <c r="B624" s="22">
        <f>EXP(SUM(Painel_diario!$L$2841:$L$2939))-1</f>
        <v/>
      </c>
      <c r="C624" s="22">
        <f>EXP(SUM(Painel_diario!$L$3288:$L$3386))-1</f>
        <v/>
      </c>
      <c r="D624" s="22">
        <f>EXP(SUM(Painel_diario!$L$4182:$L$4280))-1</f>
        <v/>
      </c>
      <c r="E624" s="22">
        <f>EXP(SUM(Painel_diario!$L$4260:$L$4358))-1</f>
        <v/>
      </c>
      <c r="F624" s="22">
        <f>EXP(SUM(Painel_diario!$L$4757:$L$4855))-1</f>
        <v/>
      </c>
    </row>
    <row r="625">
      <c r="A625" t="n">
        <v>100</v>
      </c>
      <c r="B625" s="22">
        <f>EXP(SUM(Painel_diario!$L$2841:$L$2940))-1</f>
        <v/>
      </c>
      <c r="C625" s="22">
        <f>EXP(SUM(Painel_diario!$L$3288:$L$3387))-1</f>
        <v/>
      </c>
      <c r="D625" s="22">
        <f>EXP(SUM(Painel_diario!$L$4182:$L$4281))-1</f>
        <v/>
      </c>
      <c r="E625" s="22">
        <f>EXP(SUM(Painel_diario!$L$4260:$L$4359))-1</f>
        <v/>
      </c>
      <c r="F625" s="22">
        <f>EXP(SUM(Painel_diario!$L$4757:$L$4856))-1</f>
        <v/>
      </c>
    </row>
    <row r="626">
      <c r="A626" t="n">
        <v>101</v>
      </c>
      <c r="B626" s="22">
        <f>EXP(SUM(Painel_diario!$L$2841:$L$2941))-1</f>
        <v/>
      </c>
      <c r="C626" s="22">
        <f>EXP(SUM(Painel_diario!$L$3288:$L$3388))-1</f>
        <v/>
      </c>
      <c r="D626" s="22">
        <f>EXP(SUM(Painel_diario!$L$4182:$L$4282))-1</f>
        <v/>
      </c>
      <c r="E626" s="22">
        <f>EXP(SUM(Painel_diario!$L$4260:$L$4360))-1</f>
        <v/>
      </c>
      <c r="F626" s="22">
        <f>EXP(SUM(Painel_diario!$L$4757:$L$4857))-1</f>
        <v/>
      </c>
    </row>
    <row r="627">
      <c r="A627" t="n">
        <v>102</v>
      </c>
      <c r="B627" s="22">
        <f>EXP(SUM(Painel_diario!$L$2841:$L$2942))-1</f>
        <v/>
      </c>
      <c r="C627" s="22">
        <f>EXP(SUM(Painel_diario!$L$3288:$L$3389))-1</f>
        <v/>
      </c>
      <c r="D627" s="22">
        <f>EXP(SUM(Painel_diario!$L$4182:$L$4283))-1</f>
        <v/>
      </c>
      <c r="E627" s="22">
        <f>EXP(SUM(Painel_diario!$L$4260:$L$4361))-1</f>
        <v/>
      </c>
      <c r="F627" s="22">
        <f>EXP(SUM(Painel_diario!$L$4757:$L$4858))-1</f>
        <v/>
      </c>
    </row>
    <row r="628">
      <c r="A628" t="n">
        <v>103</v>
      </c>
      <c r="B628" s="22">
        <f>EXP(SUM(Painel_diario!$L$2841:$L$2943))-1</f>
        <v/>
      </c>
      <c r="C628" s="22">
        <f>EXP(SUM(Painel_diario!$L$3288:$L$3390))-1</f>
        <v/>
      </c>
      <c r="D628" s="22">
        <f>EXP(SUM(Painel_diario!$L$4182:$L$4284))-1</f>
        <v/>
      </c>
      <c r="E628" s="22">
        <f>EXP(SUM(Painel_diario!$L$4260:$L$4362))-1</f>
        <v/>
      </c>
      <c r="F628" s="22">
        <f>EXP(SUM(Painel_diario!$L$4757:$L$4859))-1</f>
        <v/>
      </c>
    </row>
    <row r="629">
      <c r="A629" t="n">
        <v>104</v>
      </c>
      <c r="B629" s="22">
        <f>EXP(SUM(Painel_diario!$L$2841:$L$2944))-1</f>
        <v/>
      </c>
      <c r="C629" s="22">
        <f>EXP(SUM(Painel_diario!$L$3288:$L$3391))-1</f>
        <v/>
      </c>
      <c r="D629" s="22">
        <f>EXP(SUM(Painel_diario!$L$4182:$L$4285))-1</f>
        <v/>
      </c>
      <c r="E629" s="22">
        <f>EXP(SUM(Painel_diario!$L$4260:$L$4363))-1</f>
        <v/>
      </c>
      <c r="F629" s="22">
        <f>EXP(SUM(Painel_diario!$L$4757:$L$4860))-1</f>
        <v/>
      </c>
    </row>
    <row r="630">
      <c r="A630" t="n">
        <v>105</v>
      </c>
      <c r="B630" s="22">
        <f>EXP(SUM(Painel_diario!$L$2841:$L$2945))-1</f>
        <v/>
      </c>
      <c r="C630" s="22">
        <f>EXP(SUM(Painel_diario!$L$3288:$L$3392))-1</f>
        <v/>
      </c>
      <c r="D630" s="22">
        <f>EXP(SUM(Painel_diario!$L$4182:$L$4286))-1</f>
        <v/>
      </c>
      <c r="E630" s="22">
        <f>EXP(SUM(Painel_diario!$L$4260:$L$4364))-1</f>
        <v/>
      </c>
      <c r="F630" s="22">
        <f>EXP(SUM(Painel_diario!$L$4757:$L$4861))-1</f>
        <v/>
      </c>
    </row>
    <row r="631">
      <c r="A631" t="n">
        <v>106</v>
      </c>
      <c r="B631" s="22">
        <f>EXP(SUM(Painel_diario!$L$2841:$L$2946))-1</f>
        <v/>
      </c>
      <c r="C631" s="22">
        <f>EXP(SUM(Painel_diario!$L$3288:$L$3393))-1</f>
        <v/>
      </c>
      <c r="D631" s="22">
        <f>EXP(SUM(Painel_diario!$L$4182:$L$4287))-1</f>
        <v/>
      </c>
      <c r="E631" s="22">
        <f>EXP(SUM(Painel_diario!$L$4260:$L$4365))-1</f>
        <v/>
      </c>
      <c r="F631" s="22">
        <f>EXP(SUM(Painel_diario!$L$4757:$L$4862))-1</f>
        <v/>
      </c>
    </row>
    <row r="632">
      <c r="A632" t="n">
        <v>107</v>
      </c>
      <c r="B632" s="22">
        <f>EXP(SUM(Painel_diario!$L$2841:$L$2947))-1</f>
        <v/>
      </c>
      <c r="C632" s="22">
        <f>EXP(SUM(Painel_diario!$L$3288:$L$3394))-1</f>
        <v/>
      </c>
      <c r="D632" s="22">
        <f>EXP(SUM(Painel_diario!$L$4182:$L$4288))-1</f>
        <v/>
      </c>
      <c r="E632" s="22">
        <f>EXP(SUM(Painel_diario!$L$4260:$L$4366))-1</f>
        <v/>
      </c>
      <c r="F632" s="22">
        <f>EXP(SUM(Painel_diario!$L$4757:$L$4863))-1</f>
        <v/>
      </c>
    </row>
    <row r="633">
      <c r="A633" t="n">
        <v>108</v>
      </c>
      <c r="B633" s="22">
        <f>EXP(SUM(Painel_diario!$L$2841:$L$2948))-1</f>
        <v/>
      </c>
      <c r="C633" s="22">
        <f>EXP(SUM(Painel_diario!$L$3288:$L$3395))-1</f>
        <v/>
      </c>
      <c r="D633" s="22">
        <f>EXP(SUM(Painel_diario!$L$4182:$L$4289))-1</f>
        <v/>
      </c>
      <c r="E633" s="22">
        <f>EXP(SUM(Painel_diario!$L$4260:$L$4367))-1</f>
        <v/>
      </c>
      <c r="F633" s="22">
        <f>EXP(SUM(Painel_diario!$L$4757:$L$4864))-1</f>
        <v/>
      </c>
    </row>
    <row r="634">
      <c r="A634" t="n">
        <v>109</v>
      </c>
      <c r="B634" s="22">
        <f>EXP(SUM(Painel_diario!$L$2841:$L$2949))-1</f>
        <v/>
      </c>
      <c r="C634" s="22">
        <f>EXP(SUM(Painel_diario!$L$3288:$L$3396))-1</f>
        <v/>
      </c>
      <c r="D634" s="22">
        <f>EXP(SUM(Painel_diario!$L$4182:$L$4290))-1</f>
        <v/>
      </c>
      <c r="E634" s="22">
        <f>EXP(SUM(Painel_diario!$L$4260:$L$4368))-1</f>
        <v/>
      </c>
      <c r="F634" s="22">
        <f>EXP(SUM(Painel_diario!$L$4757:$L$4865))-1</f>
        <v/>
      </c>
    </row>
    <row r="635">
      <c r="A635" t="n">
        <v>110</v>
      </c>
      <c r="B635" s="22">
        <f>EXP(SUM(Painel_diario!$L$2841:$L$2950))-1</f>
        <v/>
      </c>
      <c r="C635" s="22">
        <f>EXP(SUM(Painel_diario!$L$3288:$L$3397))-1</f>
        <v/>
      </c>
      <c r="D635" s="22">
        <f>EXP(SUM(Painel_diario!$L$4182:$L$4291))-1</f>
        <v/>
      </c>
      <c r="E635" s="22">
        <f>EXP(SUM(Painel_diario!$L$4260:$L$4369))-1</f>
        <v/>
      </c>
      <c r="F635" s="22">
        <f>EXP(SUM(Painel_diario!$L$4757:$L$4866))-1</f>
        <v/>
      </c>
    </row>
    <row r="636">
      <c r="A636" t="n">
        <v>111</v>
      </c>
      <c r="B636" s="22">
        <f>EXP(SUM(Painel_diario!$L$2841:$L$2951))-1</f>
        <v/>
      </c>
      <c r="C636" s="22">
        <f>EXP(SUM(Painel_diario!$L$3288:$L$3398))-1</f>
        <v/>
      </c>
      <c r="D636" s="22">
        <f>EXP(SUM(Painel_diario!$L$4182:$L$4292))-1</f>
        <v/>
      </c>
      <c r="E636" s="22">
        <f>EXP(SUM(Painel_diario!$L$4260:$L$4370))-1</f>
        <v/>
      </c>
      <c r="F636" s="22">
        <f>EXP(SUM(Painel_diario!$L$4757:$L$4867))-1</f>
        <v/>
      </c>
    </row>
    <row r="637">
      <c r="A637" t="n">
        <v>112</v>
      </c>
      <c r="B637" s="22">
        <f>EXP(SUM(Painel_diario!$L$2841:$L$2952))-1</f>
        <v/>
      </c>
      <c r="C637" s="22">
        <f>EXP(SUM(Painel_diario!$L$3288:$L$3399))-1</f>
        <v/>
      </c>
      <c r="D637" s="22">
        <f>EXP(SUM(Painel_diario!$L$4182:$L$4293))-1</f>
        <v/>
      </c>
      <c r="E637" s="22">
        <f>EXP(SUM(Painel_diario!$L$4260:$L$4371))-1</f>
        <v/>
      </c>
      <c r="F637" s="22">
        <f>EXP(SUM(Painel_diario!$L$4757:$L$4868))-1</f>
        <v/>
      </c>
    </row>
    <row r="638">
      <c r="A638" t="n">
        <v>113</v>
      </c>
      <c r="B638" s="22">
        <f>EXP(SUM(Painel_diario!$L$2841:$L$2953))-1</f>
        <v/>
      </c>
      <c r="C638" s="22">
        <f>EXP(SUM(Painel_diario!$L$3288:$L$3400))-1</f>
        <v/>
      </c>
      <c r="D638" s="22">
        <f>EXP(SUM(Painel_diario!$L$4182:$L$4294))-1</f>
        <v/>
      </c>
      <c r="E638" s="22">
        <f>EXP(SUM(Painel_diario!$L$4260:$L$4372))-1</f>
        <v/>
      </c>
      <c r="F638" s="22">
        <f>EXP(SUM(Painel_diario!$L$4757:$L$4869))-1</f>
        <v/>
      </c>
    </row>
    <row r="639">
      <c r="A639" t="n">
        <v>114</v>
      </c>
      <c r="B639" s="22">
        <f>EXP(SUM(Painel_diario!$L$2841:$L$2954))-1</f>
        <v/>
      </c>
      <c r="C639" s="22">
        <f>EXP(SUM(Painel_diario!$L$3288:$L$3401))-1</f>
        <v/>
      </c>
      <c r="D639" s="22">
        <f>EXP(SUM(Painel_diario!$L$4182:$L$4295))-1</f>
        <v/>
      </c>
      <c r="E639" s="22">
        <f>EXP(SUM(Painel_diario!$L$4260:$L$4373))-1</f>
        <v/>
      </c>
      <c r="F639" s="22">
        <f>EXP(SUM(Painel_diario!$L$4757:$L$4870))-1</f>
        <v/>
      </c>
    </row>
    <row r="640">
      <c r="A640" t="n">
        <v>115</v>
      </c>
      <c r="B640" s="22">
        <f>EXP(SUM(Painel_diario!$L$2841:$L$2955))-1</f>
        <v/>
      </c>
      <c r="C640" s="22">
        <f>EXP(SUM(Painel_diario!$L$3288:$L$3402))-1</f>
        <v/>
      </c>
      <c r="D640" s="22">
        <f>EXP(SUM(Painel_diario!$L$4182:$L$4296))-1</f>
        <v/>
      </c>
      <c r="E640" s="22">
        <f>EXP(SUM(Painel_diario!$L$4260:$L$4374))-1</f>
        <v/>
      </c>
      <c r="F640" s="22">
        <f>EXP(SUM(Painel_diario!$L$4757:$L$4871))-1</f>
        <v/>
      </c>
    </row>
    <row r="641">
      <c r="A641" t="n">
        <v>116</v>
      </c>
      <c r="B641" s="22">
        <f>EXP(SUM(Painel_diario!$L$2841:$L$2956))-1</f>
        <v/>
      </c>
      <c r="C641" s="22">
        <f>EXP(SUM(Painel_diario!$L$3288:$L$3403))-1</f>
        <v/>
      </c>
      <c r="D641" s="22">
        <f>EXP(SUM(Painel_diario!$L$4182:$L$4297))-1</f>
        <v/>
      </c>
      <c r="E641" s="22">
        <f>EXP(SUM(Painel_diario!$L$4260:$L$4375))-1</f>
        <v/>
      </c>
      <c r="F641" s="22">
        <f>EXP(SUM(Painel_diario!$L$4757:$L$4872))-1</f>
        <v/>
      </c>
    </row>
    <row r="642">
      <c r="A642" t="n">
        <v>117</v>
      </c>
      <c r="B642" s="22">
        <f>EXP(SUM(Painel_diario!$L$2841:$L$2957))-1</f>
        <v/>
      </c>
      <c r="C642" s="22">
        <f>EXP(SUM(Painel_diario!$L$3288:$L$3404))-1</f>
        <v/>
      </c>
      <c r="D642" s="22">
        <f>EXP(SUM(Painel_diario!$L$4182:$L$4298))-1</f>
        <v/>
      </c>
      <c r="E642" s="22">
        <f>EXP(SUM(Painel_diario!$L$4260:$L$4376))-1</f>
        <v/>
      </c>
      <c r="F642" s="22">
        <f>EXP(SUM(Painel_diario!$L$4757:$L$4873))-1</f>
        <v/>
      </c>
    </row>
    <row r="643">
      <c r="A643" t="n">
        <v>118</v>
      </c>
      <c r="B643" s="22">
        <f>EXP(SUM(Painel_diario!$L$2841:$L$2958))-1</f>
        <v/>
      </c>
      <c r="C643" s="22">
        <f>EXP(SUM(Painel_diario!$L$3288:$L$3405))-1</f>
        <v/>
      </c>
      <c r="D643" s="22">
        <f>EXP(SUM(Painel_diario!$L$4182:$L$4299))-1</f>
        <v/>
      </c>
      <c r="E643" s="22">
        <f>EXP(SUM(Painel_diario!$L$4260:$L$4377))-1</f>
        <v/>
      </c>
      <c r="F643" s="22">
        <f>EXP(SUM(Painel_diario!$L$4757:$L$4874))-1</f>
        <v/>
      </c>
    </row>
    <row r="644">
      <c r="A644" t="n">
        <v>119</v>
      </c>
      <c r="B644" s="22">
        <f>EXP(SUM(Painel_diario!$L$2841:$L$2959))-1</f>
        <v/>
      </c>
      <c r="C644" s="22">
        <f>EXP(SUM(Painel_diario!$L$3288:$L$3406))-1</f>
        <v/>
      </c>
      <c r="D644" s="22">
        <f>EXP(SUM(Painel_diario!$L$4182:$L$4300))-1</f>
        <v/>
      </c>
      <c r="E644" s="22">
        <f>EXP(SUM(Painel_diario!$L$4260:$L$4378))-1</f>
        <v/>
      </c>
      <c r="F644" s="22">
        <f>EXP(SUM(Painel_diario!$L$4757:$L$4875))-1</f>
        <v/>
      </c>
    </row>
    <row r="645">
      <c r="A645" t="n">
        <v>120</v>
      </c>
      <c r="B645" s="22">
        <f>EXP(SUM(Painel_diario!$L$2841:$L$2960))-1</f>
        <v/>
      </c>
      <c r="C645" s="22">
        <f>EXP(SUM(Painel_diario!$L$3288:$L$3407))-1</f>
        <v/>
      </c>
      <c r="D645" s="22">
        <f>EXP(SUM(Painel_diario!$L$4182:$L$4301))-1</f>
        <v/>
      </c>
      <c r="E645" s="22">
        <f>EXP(SUM(Painel_diario!$L$4260:$L$4379))-1</f>
        <v/>
      </c>
      <c r="F645" s="22">
        <f>EXP(SUM(Painel_diario!$L$4757:$L$4876))-1</f>
        <v/>
      </c>
    </row>
    <row r="646">
      <c r="A646" t="n">
        <v>121</v>
      </c>
      <c r="B646" s="22">
        <f>EXP(SUM(Painel_diario!$L$2841:$L$2961))-1</f>
        <v/>
      </c>
      <c r="C646" s="22">
        <f>EXP(SUM(Painel_diario!$L$3288:$L$3408))-1</f>
        <v/>
      </c>
      <c r="D646" s="22">
        <f>EXP(SUM(Painel_diario!$L$4182:$L$4302))-1</f>
        <v/>
      </c>
      <c r="E646" s="22">
        <f>EXP(SUM(Painel_diario!$L$4260:$L$4380))-1</f>
        <v/>
      </c>
      <c r="F646" s="22">
        <f>EXP(SUM(Painel_diario!$L$4757:$L$4877))-1</f>
        <v/>
      </c>
    </row>
    <row r="647">
      <c r="A647" t="n">
        <v>122</v>
      </c>
      <c r="B647" s="22">
        <f>EXP(SUM(Painel_diario!$L$2841:$L$2962))-1</f>
        <v/>
      </c>
      <c r="C647" s="22">
        <f>EXP(SUM(Painel_diario!$L$3288:$L$3409))-1</f>
        <v/>
      </c>
      <c r="D647" s="22">
        <f>EXP(SUM(Painel_diario!$L$4182:$L$4303))-1</f>
        <v/>
      </c>
      <c r="E647" s="22">
        <f>EXP(SUM(Painel_diario!$L$4260:$L$4381))-1</f>
        <v/>
      </c>
      <c r="F647" s="22">
        <f>EXP(SUM(Painel_diario!$L$4757:$L$4878))-1</f>
        <v/>
      </c>
    </row>
    <row r="648">
      <c r="A648" t="n">
        <v>123</v>
      </c>
      <c r="B648" s="22">
        <f>EXP(SUM(Painel_diario!$L$2841:$L$2963))-1</f>
        <v/>
      </c>
      <c r="C648" s="22">
        <f>EXP(SUM(Painel_diario!$L$3288:$L$3410))-1</f>
        <v/>
      </c>
      <c r="D648" s="22">
        <f>EXP(SUM(Painel_diario!$L$4182:$L$4304))-1</f>
        <v/>
      </c>
      <c r="E648" s="22">
        <f>EXP(SUM(Painel_diario!$L$4260:$L$4382))-1</f>
        <v/>
      </c>
      <c r="F648" s="22">
        <f>EXP(SUM(Painel_diario!$L$4757:$L$4879))-1</f>
        <v/>
      </c>
    </row>
    <row r="649">
      <c r="A649" t="n">
        <v>124</v>
      </c>
      <c r="B649" s="22">
        <f>EXP(SUM(Painel_diario!$L$2841:$L$2964))-1</f>
        <v/>
      </c>
      <c r="C649" s="22">
        <f>EXP(SUM(Painel_diario!$L$3288:$L$3411))-1</f>
        <v/>
      </c>
      <c r="D649" s="22">
        <f>EXP(SUM(Painel_diario!$L$4182:$L$4305))-1</f>
        <v/>
      </c>
      <c r="E649" s="22">
        <f>EXP(SUM(Painel_diario!$L$4260:$L$4383))-1</f>
        <v/>
      </c>
      <c r="F649" s="22">
        <f>EXP(SUM(Painel_diario!$L$4757:$L$4880))-1</f>
        <v/>
      </c>
    </row>
    <row r="650">
      <c r="A650" t="n">
        <v>125</v>
      </c>
      <c r="B650" s="22">
        <f>EXP(SUM(Painel_diario!$L$2841:$L$2965))-1</f>
        <v/>
      </c>
      <c r="C650" s="22">
        <f>EXP(SUM(Painel_diario!$L$3288:$L$3412))-1</f>
        <v/>
      </c>
      <c r="D650" s="22">
        <f>EXP(SUM(Painel_diario!$L$4182:$L$4306))-1</f>
        <v/>
      </c>
      <c r="E650" s="22">
        <f>EXP(SUM(Painel_diario!$L$4260:$L$4384))-1</f>
        <v/>
      </c>
      <c r="F650" s="22">
        <f>EXP(SUM(Painel_diario!$L$4757:$L$4881))-1</f>
        <v/>
      </c>
    </row>
    <row r="651">
      <c r="A651" t="n">
        <v>126</v>
      </c>
      <c r="B651" s="22">
        <f>EXP(SUM(Painel_diario!$L$2841:$L$2966))-1</f>
        <v/>
      </c>
      <c r="C651" s="22">
        <f>EXP(SUM(Painel_diario!$L$3288:$L$3413))-1</f>
        <v/>
      </c>
      <c r="D651" s="22">
        <f>EXP(SUM(Painel_diario!$L$4182:$L$4307))-1</f>
        <v/>
      </c>
      <c r="E651" s="22">
        <f>EXP(SUM(Painel_diario!$L$4260:$L$4385))-1</f>
        <v/>
      </c>
      <c r="F651" s="22">
        <f>EXP(SUM(Painel_diario!$L$4757:$L$4882))-1</f>
        <v/>
      </c>
    </row>
    <row r="652">
      <c r="A652" t="n">
        <v>127</v>
      </c>
      <c r="B652" s="22">
        <f>EXP(SUM(Painel_diario!$L$2841:$L$2967))-1</f>
        <v/>
      </c>
      <c r="C652" s="22">
        <f>EXP(SUM(Painel_diario!$L$3288:$L$3414))-1</f>
        <v/>
      </c>
      <c r="D652" s="22">
        <f>EXP(SUM(Painel_diario!$L$4182:$L$4308))-1</f>
        <v/>
      </c>
      <c r="E652" s="22">
        <f>EXP(SUM(Painel_diario!$L$4260:$L$4386))-1</f>
        <v/>
      </c>
      <c r="F652" s="22">
        <f>EXP(SUM(Painel_diario!$L$4757:$L$4883))-1</f>
        <v/>
      </c>
    </row>
    <row r="653">
      <c r="A653" t="n">
        <v>128</v>
      </c>
      <c r="B653" s="22">
        <f>EXP(SUM(Painel_diario!$L$2841:$L$2968))-1</f>
        <v/>
      </c>
      <c r="C653" s="22">
        <f>EXP(SUM(Painel_diario!$L$3288:$L$3415))-1</f>
        <v/>
      </c>
      <c r="D653" s="22">
        <f>EXP(SUM(Painel_diario!$L$4182:$L$4309))-1</f>
        <v/>
      </c>
      <c r="E653" s="22">
        <f>EXP(SUM(Painel_diario!$L$4260:$L$4387))-1</f>
        <v/>
      </c>
      <c r="F653" s="22">
        <f>EXP(SUM(Painel_diario!$L$4757:$L$4884))-1</f>
        <v/>
      </c>
    </row>
    <row r="654">
      <c r="A654" t="n">
        <v>129</v>
      </c>
      <c r="B654" s="22">
        <f>EXP(SUM(Painel_diario!$L$2841:$L$2969))-1</f>
        <v/>
      </c>
      <c r="C654" s="22">
        <f>EXP(SUM(Painel_diario!$L$3288:$L$3416))-1</f>
        <v/>
      </c>
      <c r="D654" s="22">
        <f>EXP(SUM(Painel_diario!$L$4182:$L$4310))-1</f>
        <v/>
      </c>
      <c r="E654" s="22">
        <f>EXP(SUM(Painel_diario!$L$4260:$L$4388))-1</f>
        <v/>
      </c>
      <c r="F654" s="22">
        <f>EXP(SUM(Painel_diario!$L$4757:$L$4885))-1</f>
        <v/>
      </c>
    </row>
    <row r="655">
      <c r="A655" t="n">
        <v>130</v>
      </c>
      <c r="B655" s="22">
        <f>EXP(SUM(Painel_diario!$L$2841:$L$2970))-1</f>
        <v/>
      </c>
      <c r="C655" s="22">
        <f>EXP(SUM(Painel_diario!$L$3288:$L$3417))-1</f>
        <v/>
      </c>
      <c r="D655" s="22">
        <f>EXP(SUM(Painel_diario!$L$4182:$L$4311))-1</f>
        <v/>
      </c>
      <c r="E655" s="22">
        <f>EXP(SUM(Painel_diario!$L$4260:$L$4389))-1</f>
        <v/>
      </c>
      <c r="F655" s="22">
        <f>EXP(SUM(Painel_diario!$L$4757:$L$4886))-1</f>
        <v/>
      </c>
    </row>
    <row r="656">
      <c r="A656" t="n">
        <v>131</v>
      </c>
      <c r="B656" s="22">
        <f>EXP(SUM(Painel_diario!$L$2841:$L$2971))-1</f>
        <v/>
      </c>
      <c r="C656" s="22">
        <f>EXP(SUM(Painel_diario!$L$3288:$L$3418))-1</f>
        <v/>
      </c>
      <c r="D656" s="22">
        <f>EXP(SUM(Painel_diario!$L$4182:$L$4312))-1</f>
        <v/>
      </c>
      <c r="E656" s="22">
        <f>EXP(SUM(Painel_diario!$L$4260:$L$4390))-1</f>
        <v/>
      </c>
      <c r="F656" s="22">
        <f>EXP(SUM(Painel_diario!$L$4757:$L$4887))-1</f>
        <v/>
      </c>
    </row>
    <row r="657">
      <c r="A657" t="n">
        <v>132</v>
      </c>
      <c r="B657" s="22">
        <f>EXP(SUM(Painel_diario!$L$2841:$L$2972))-1</f>
        <v/>
      </c>
      <c r="C657" s="22">
        <f>EXP(SUM(Painel_diario!$L$3288:$L$3419))-1</f>
        <v/>
      </c>
      <c r="D657" s="22">
        <f>EXP(SUM(Painel_diario!$L$4182:$L$4313))-1</f>
        <v/>
      </c>
      <c r="E657" s="22">
        <f>EXP(SUM(Painel_diario!$L$4260:$L$4391))-1</f>
        <v/>
      </c>
      <c r="F657" s="22">
        <f>EXP(SUM(Painel_diario!$L$4757:$L$4888))-1</f>
        <v/>
      </c>
    </row>
    <row r="658">
      <c r="A658" t="n">
        <v>133</v>
      </c>
      <c r="B658" s="22">
        <f>EXP(SUM(Painel_diario!$L$2841:$L$2973))-1</f>
        <v/>
      </c>
      <c r="C658" s="22">
        <f>EXP(SUM(Painel_diario!$L$3288:$L$3420))-1</f>
        <v/>
      </c>
      <c r="D658" s="22">
        <f>EXP(SUM(Painel_diario!$L$4182:$L$4314))-1</f>
        <v/>
      </c>
      <c r="E658" s="22">
        <f>EXP(SUM(Painel_diario!$L$4260:$L$4392))-1</f>
        <v/>
      </c>
      <c r="F658" s="22">
        <f>EXP(SUM(Painel_diario!$L$4757:$L$4889))-1</f>
        <v/>
      </c>
    </row>
    <row r="659">
      <c r="A659" t="n">
        <v>134</v>
      </c>
      <c r="B659" s="22">
        <f>EXP(SUM(Painel_diario!$L$2841:$L$2974))-1</f>
        <v/>
      </c>
      <c r="C659" s="22">
        <f>EXP(SUM(Painel_diario!$L$3288:$L$3421))-1</f>
        <v/>
      </c>
      <c r="D659" s="22">
        <f>EXP(SUM(Painel_diario!$L$4182:$L$4315))-1</f>
        <v/>
      </c>
      <c r="E659" s="22">
        <f>EXP(SUM(Painel_diario!$L$4260:$L$4393))-1</f>
        <v/>
      </c>
      <c r="F659" s="22">
        <f>EXP(SUM(Painel_diario!$L$4757:$L$4890))-1</f>
        <v/>
      </c>
    </row>
    <row r="660">
      <c r="A660" t="n">
        <v>135</v>
      </c>
      <c r="B660" s="22">
        <f>EXP(SUM(Painel_diario!$L$2841:$L$2975))-1</f>
        <v/>
      </c>
      <c r="C660" s="22">
        <f>EXP(SUM(Painel_diario!$L$3288:$L$3422))-1</f>
        <v/>
      </c>
      <c r="D660" s="22">
        <f>EXP(SUM(Painel_diario!$L$4182:$L$4316))-1</f>
        <v/>
      </c>
      <c r="E660" s="22">
        <f>EXP(SUM(Painel_diario!$L$4260:$L$4394))-1</f>
        <v/>
      </c>
      <c r="F660" s="22">
        <f>EXP(SUM(Painel_diario!$L$4757:$L$4891))-1</f>
        <v/>
      </c>
    </row>
    <row r="661">
      <c r="A661" t="n">
        <v>136</v>
      </c>
      <c r="B661" s="22">
        <f>EXP(SUM(Painel_diario!$L$2841:$L$2976))-1</f>
        <v/>
      </c>
      <c r="C661" s="22">
        <f>EXP(SUM(Painel_diario!$L$3288:$L$3423))-1</f>
        <v/>
      </c>
      <c r="D661" s="22">
        <f>EXP(SUM(Painel_diario!$L$4182:$L$4317))-1</f>
        <v/>
      </c>
      <c r="E661" s="22">
        <f>EXP(SUM(Painel_diario!$L$4260:$L$4395))-1</f>
        <v/>
      </c>
      <c r="F661" s="22">
        <f>EXP(SUM(Painel_diario!$L$4757:$L$4892))-1</f>
        <v/>
      </c>
    </row>
    <row r="662">
      <c r="A662" t="n">
        <v>137</v>
      </c>
      <c r="B662" s="22">
        <f>EXP(SUM(Painel_diario!$L$2841:$L$2977))-1</f>
        <v/>
      </c>
      <c r="C662" s="22">
        <f>EXP(SUM(Painel_diario!$L$3288:$L$3424))-1</f>
        <v/>
      </c>
      <c r="D662" s="22">
        <f>EXP(SUM(Painel_diario!$L$4182:$L$4318))-1</f>
        <v/>
      </c>
      <c r="E662" s="22">
        <f>EXP(SUM(Painel_diario!$L$4260:$L$4396))-1</f>
        <v/>
      </c>
      <c r="F662" s="22">
        <f>EXP(SUM(Painel_diario!$L$4757:$L$4893))-1</f>
        <v/>
      </c>
    </row>
    <row r="663">
      <c r="A663" t="n">
        <v>138</v>
      </c>
      <c r="B663" s="22">
        <f>EXP(SUM(Painel_diario!$L$2841:$L$2978))-1</f>
        <v/>
      </c>
      <c r="C663" s="22">
        <f>EXP(SUM(Painel_diario!$L$3288:$L$3425))-1</f>
        <v/>
      </c>
      <c r="D663" s="22">
        <f>EXP(SUM(Painel_diario!$L$4182:$L$4319))-1</f>
        <v/>
      </c>
      <c r="E663" s="22">
        <f>EXP(SUM(Painel_diario!$L$4260:$L$4397))-1</f>
        <v/>
      </c>
      <c r="F663" s="22">
        <f>EXP(SUM(Painel_diario!$L$4757:$L$4894))-1</f>
        <v/>
      </c>
    </row>
    <row r="664">
      <c r="A664" t="n">
        <v>139</v>
      </c>
      <c r="B664" s="22">
        <f>EXP(SUM(Painel_diario!$L$2841:$L$2979))-1</f>
        <v/>
      </c>
      <c r="C664" s="22">
        <f>EXP(SUM(Painel_diario!$L$3288:$L$3426))-1</f>
        <v/>
      </c>
      <c r="D664" s="22">
        <f>EXP(SUM(Painel_diario!$L$4182:$L$4320))-1</f>
        <v/>
      </c>
      <c r="E664" s="22">
        <f>EXP(SUM(Painel_diario!$L$4260:$L$4398))-1</f>
        <v/>
      </c>
      <c r="F664" s="22">
        <f>EXP(SUM(Painel_diario!$L$4757:$L$4895))-1</f>
        <v/>
      </c>
    </row>
    <row r="665">
      <c r="A665" t="n">
        <v>140</v>
      </c>
      <c r="B665" s="22">
        <f>EXP(SUM(Painel_diario!$L$2841:$L$2980))-1</f>
        <v/>
      </c>
      <c r="C665" s="22">
        <f>EXP(SUM(Painel_diario!$L$3288:$L$3427))-1</f>
        <v/>
      </c>
      <c r="D665" s="22">
        <f>EXP(SUM(Painel_diario!$L$4182:$L$4321))-1</f>
        <v/>
      </c>
      <c r="E665" s="22">
        <f>EXP(SUM(Painel_diario!$L$4260:$L$4399))-1</f>
        <v/>
      </c>
      <c r="F665" s="22">
        <f>EXP(SUM(Painel_diario!$L$4757:$L$4896))-1</f>
        <v/>
      </c>
    </row>
    <row r="666">
      <c r="A666" t="n">
        <v>141</v>
      </c>
      <c r="B666" s="22">
        <f>EXP(SUM(Painel_diario!$L$2841:$L$2981))-1</f>
        <v/>
      </c>
      <c r="C666" s="22">
        <f>EXP(SUM(Painel_diario!$L$3288:$L$3428))-1</f>
        <v/>
      </c>
      <c r="D666" s="22">
        <f>EXP(SUM(Painel_diario!$L$4182:$L$4322))-1</f>
        <v/>
      </c>
      <c r="E666" s="22">
        <f>EXP(SUM(Painel_diario!$L$4260:$L$4400))-1</f>
        <v/>
      </c>
      <c r="F666" s="22">
        <f>EXP(SUM(Painel_diario!$L$4757:$L$4897))-1</f>
        <v/>
      </c>
    </row>
    <row r="667">
      <c r="A667" t="n">
        <v>142</v>
      </c>
      <c r="B667" s="22">
        <f>EXP(SUM(Painel_diario!$L$2841:$L$2982))-1</f>
        <v/>
      </c>
      <c r="C667" s="22">
        <f>EXP(SUM(Painel_diario!$L$3288:$L$3429))-1</f>
        <v/>
      </c>
      <c r="D667" s="22">
        <f>EXP(SUM(Painel_diario!$L$4182:$L$4323))-1</f>
        <v/>
      </c>
      <c r="E667" s="22">
        <f>EXP(SUM(Painel_diario!$L$4260:$L$4401))-1</f>
        <v/>
      </c>
      <c r="F667" s="22">
        <f>EXP(SUM(Painel_diario!$L$4757:$L$4898))-1</f>
        <v/>
      </c>
    </row>
    <row r="668">
      <c r="A668" t="n">
        <v>143</v>
      </c>
      <c r="B668" s="22">
        <f>EXP(SUM(Painel_diario!$L$2841:$L$2983))-1</f>
        <v/>
      </c>
      <c r="C668" s="22">
        <f>EXP(SUM(Painel_diario!$L$3288:$L$3430))-1</f>
        <v/>
      </c>
      <c r="D668" s="22">
        <f>EXP(SUM(Painel_diario!$L$4182:$L$4324))-1</f>
        <v/>
      </c>
      <c r="E668" s="22">
        <f>EXP(SUM(Painel_diario!$L$4260:$L$4402))-1</f>
        <v/>
      </c>
      <c r="F668" s="22">
        <f>EXP(SUM(Painel_diario!$L$4757:$L$4899))-1</f>
        <v/>
      </c>
    </row>
    <row r="669">
      <c r="A669" t="n">
        <v>144</v>
      </c>
      <c r="B669" s="22">
        <f>EXP(SUM(Painel_diario!$L$2841:$L$2984))-1</f>
        <v/>
      </c>
      <c r="C669" s="22">
        <f>EXP(SUM(Painel_diario!$L$3288:$L$3431))-1</f>
        <v/>
      </c>
      <c r="D669" s="22">
        <f>EXP(SUM(Painel_diario!$L$4182:$L$4325))-1</f>
        <v/>
      </c>
      <c r="E669" s="22">
        <f>EXP(SUM(Painel_diario!$L$4260:$L$4403))-1</f>
        <v/>
      </c>
      <c r="F669" s="22">
        <f>EXP(SUM(Painel_diario!$L$4757:$L$4900))-1</f>
        <v/>
      </c>
    </row>
    <row r="670">
      <c r="A670" t="n">
        <v>145</v>
      </c>
      <c r="B670" s="22">
        <f>EXP(SUM(Painel_diario!$L$2841:$L$2985))-1</f>
        <v/>
      </c>
      <c r="C670" s="22">
        <f>EXP(SUM(Painel_diario!$L$3288:$L$3432))-1</f>
        <v/>
      </c>
      <c r="D670" s="22">
        <f>EXP(SUM(Painel_diario!$L$4182:$L$4326))-1</f>
        <v/>
      </c>
      <c r="E670" s="22">
        <f>EXP(SUM(Painel_diario!$L$4260:$L$4404))-1</f>
        <v/>
      </c>
      <c r="F670" s="22">
        <f>EXP(SUM(Painel_diario!$L$4757:$L$4901))-1</f>
        <v/>
      </c>
    </row>
    <row r="671">
      <c r="A671" t="n">
        <v>146</v>
      </c>
      <c r="B671" s="22">
        <f>EXP(SUM(Painel_diario!$L$2841:$L$2986))-1</f>
        <v/>
      </c>
      <c r="C671" s="22">
        <f>EXP(SUM(Painel_diario!$L$3288:$L$3433))-1</f>
        <v/>
      </c>
      <c r="D671" s="22">
        <f>EXP(SUM(Painel_diario!$L$4182:$L$4327))-1</f>
        <v/>
      </c>
      <c r="E671" s="22">
        <f>EXP(SUM(Painel_diario!$L$4260:$L$4405))-1</f>
        <v/>
      </c>
      <c r="F671" s="22">
        <f>EXP(SUM(Painel_diario!$L$4757:$L$4902))-1</f>
        <v/>
      </c>
    </row>
    <row r="672">
      <c r="A672" t="n">
        <v>147</v>
      </c>
      <c r="B672" s="22">
        <f>EXP(SUM(Painel_diario!$L$2841:$L$2987))-1</f>
        <v/>
      </c>
      <c r="C672" s="22">
        <f>EXP(SUM(Painel_diario!$L$3288:$L$3434))-1</f>
        <v/>
      </c>
      <c r="D672" s="22">
        <f>EXP(SUM(Painel_diario!$L$4182:$L$4328))-1</f>
        <v/>
      </c>
      <c r="E672" s="22">
        <f>EXP(SUM(Painel_diario!$L$4260:$L$4406))-1</f>
        <v/>
      </c>
      <c r="F672" s="22">
        <f>EXP(SUM(Painel_diario!$L$4757:$L$4903))-1</f>
        <v/>
      </c>
    </row>
    <row r="673">
      <c r="A673" t="n">
        <v>148</v>
      </c>
      <c r="B673" s="22">
        <f>EXP(SUM(Painel_diario!$L$2841:$L$2988))-1</f>
        <v/>
      </c>
      <c r="C673" s="22">
        <f>EXP(SUM(Painel_diario!$L$3288:$L$3435))-1</f>
        <v/>
      </c>
      <c r="D673" s="22">
        <f>EXP(SUM(Painel_diario!$L$4182:$L$4329))-1</f>
        <v/>
      </c>
      <c r="E673" s="22">
        <f>EXP(SUM(Painel_diario!$L$4260:$L$4407))-1</f>
        <v/>
      </c>
      <c r="F673" s="22">
        <f>EXP(SUM(Painel_diario!$L$4757:$L$4904))-1</f>
        <v/>
      </c>
    </row>
    <row r="674">
      <c r="A674" t="n">
        <v>149</v>
      </c>
      <c r="B674" s="22">
        <f>EXP(SUM(Painel_diario!$L$2841:$L$2989))-1</f>
        <v/>
      </c>
      <c r="C674" s="22">
        <f>EXP(SUM(Painel_diario!$L$3288:$L$3436))-1</f>
        <v/>
      </c>
      <c r="D674" s="22">
        <f>EXP(SUM(Painel_diario!$L$4182:$L$4330))-1</f>
        <v/>
      </c>
      <c r="E674" s="22">
        <f>EXP(SUM(Painel_diario!$L$4260:$L$4408))-1</f>
        <v/>
      </c>
      <c r="F674" s="22">
        <f>EXP(SUM(Painel_diario!$L$4757:$L$4905))-1</f>
        <v/>
      </c>
    </row>
    <row r="675">
      <c r="A675" t="n">
        <v>150</v>
      </c>
      <c r="B675" s="22">
        <f>EXP(SUM(Painel_diario!$L$2841:$L$2990))-1</f>
        <v/>
      </c>
      <c r="C675" s="22">
        <f>EXP(SUM(Painel_diario!$L$3288:$L$3437))-1</f>
        <v/>
      </c>
      <c r="D675" s="22">
        <f>EXP(SUM(Painel_diario!$L$4182:$L$4331))-1</f>
        <v/>
      </c>
      <c r="E675" s="22">
        <f>EXP(SUM(Painel_diario!$L$4260:$L$4409))-1</f>
        <v/>
      </c>
      <c r="F675" s="22">
        <f>EXP(SUM(Painel_diario!$L$4757:$L$4906))-1</f>
        <v/>
      </c>
    </row>
    <row r="676">
      <c r="A676" t="n">
        <v>151</v>
      </c>
      <c r="B676" s="22">
        <f>EXP(SUM(Painel_diario!$L$2841:$L$2991))-1</f>
        <v/>
      </c>
      <c r="C676" s="22">
        <f>EXP(SUM(Painel_diario!$L$3288:$L$3438))-1</f>
        <v/>
      </c>
      <c r="D676" s="22">
        <f>EXP(SUM(Painel_diario!$L$4182:$L$4332))-1</f>
        <v/>
      </c>
      <c r="E676" s="22">
        <f>EXP(SUM(Painel_diario!$L$4260:$L$4410))-1</f>
        <v/>
      </c>
      <c r="F676" s="22">
        <f>EXP(SUM(Painel_diario!$L$4757:$L$4907))-1</f>
        <v/>
      </c>
    </row>
    <row r="677">
      <c r="A677" t="n">
        <v>152</v>
      </c>
      <c r="B677" s="22">
        <f>EXP(SUM(Painel_diario!$L$2841:$L$2992))-1</f>
        <v/>
      </c>
      <c r="C677" s="22">
        <f>EXP(SUM(Painel_diario!$L$3288:$L$3439))-1</f>
        <v/>
      </c>
      <c r="D677" s="22">
        <f>EXP(SUM(Painel_diario!$L$4182:$L$4333))-1</f>
        <v/>
      </c>
      <c r="E677" s="22">
        <f>EXP(SUM(Painel_diario!$L$4260:$L$4411))-1</f>
        <v/>
      </c>
      <c r="F677" s="22">
        <f>EXP(SUM(Painel_diario!$L$4757:$L$4908))-1</f>
        <v/>
      </c>
    </row>
    <row r="678">
      <c r="A678" t="n">
        <v>153</v>
      </c>
      <c r="B678" s="22">
        <f>EXP(SUM(Painel_diario!$L$2841:$L$2993))-1</f>
        <v/>
      </c>
      <c r="C678" s="22">
        <f>EXP(SUM(Painel_diario!$L$3288:$L$3440))-1</f>
        <v/>
      </c>
      <c r="D678" s="22">
        <f>EXP(SUM(Painel_diario!$L$4182:$L$4334))-1</f>
        <v/>
      </c>
      <c r="E678" s="22">
        <f>EXP(SUM(Painel_diario!$L$4260:$L$4412))-1</f>
        <v/>
      </c>
      <c r="F678" s="22">
        <f>EXP(SUM(Painel_diario!$L$4757:$L$4909))-1</f>
        <v/>
      </c>
    </row>
    <row r="679">
      <c r="A679" t="n">
        <v>154</v>
      </c>
      <c r="B679" s="22">
        <f>EXP(SUM(Painel_diario!$L$2841:$L$2994))-1</f>
        <v/>
      </c>
      <c r="C679" s="22">
        <f>EXP(SUM(Painel_diario!$L$3288:$L$3441))-1</f>
        <v/>
      </c>
      <c r="D679" s="22">
        <f>EXP(SUM(Painel_diario!$L$4182:$L$4335))-1</f>
        <v/>
      </c>
      <c r="E679" s="22">
        <f>EXP(SUM(Painel_diario!$L$4260:$L$4413))-1</f>
        <v/>
      </c>
      <c r="F679" s="22">
        <f>EXP(SUM(Painel_diario!$L$4757:$L$4910))-1</f>
        <v/>
      </c>
    </row>
    <row r="680">
      <c r="A680" t="n">
        <v>155</v>
      </c>
      <c r="B680" s="22">
        <f>EXP(SUM(Painel_diario!$L$2841:$L$2995))-1</f>
        <v/>
      </c>
      <c r="C680" s="22">
        <f>EXP(SUM(Painel_diario!$L$3288:$L$3442))-1</f>
        <v/>
      </c>
      <c r="D680" s="22">
        <f>EXP(SUM(Painel_diario!$L$4182:$L$4336))-1</f>
        <v/>
      </c>
      <c r="E680" s="22">
        <f>EXP(SUM(Painel_diario!$L$4260:$L$4414))-1</f>
        <v/>
      </c>
      <c r="F680" s="22">
        <f>EXP(SUM(Painel_diario!$L$4757:$L$4911))-1</f>
        <v/>
      </c>
    </row>
    <row r="681">
      <c r="A681" t="n">
        <v>156</v>
      </c>
      <c r="B681" s="22">
        <f>EXP(SUM(Painel_diario!$L$2841:$L$2996))-1</f>
        <v/>
      </c>
      <c r="C681" s="22">
        <f>EXP(SUM(Painel_diario!$L$3288:$L$3443))-1</f>
        <v/>
      </c>
      <c r="D681" s="22">
        <f>EXP(SUM(Painel_diario!$L$4182:$L$4337))-1</f>
        <v/>
      </c>
      <c r="E681" s="22">
        <f>EXP(SUM(Painel_diario!$L$4260:$L$4415))-1</f>
        <v/>
      </c>
      <c r="F681" s="22">
        <f>EXP(SUM(Painel_diario!$L$4757:$L$4912))-1</f>
        <v/>
      </c>
    </row>
    <row r="682">
      <c r="A682" t="n">
        <v>157</v>
      </c>
      <c r="B682" s="22">
        <f>EXP(SUM(Painel_diario!$L$2841:$L$2997))-1</f>
        <v/>
      </c>
      <c r="C682" s="22">
        <f>EXP(SUM(Painel_diario!$L$3288:$L$3444))-1</f>
        <v/>
      </c>
      <c r="D682" s="22">
        <f>EXP(SUM(Painel_diario!$L$4182:$L$4338))-1</f>
        <v/>
      </c>
      <c r="E682" s="22">
        <f>EXP(SUM(Painel_diario!$L$4260:$L$4416))-1</f>
        <v/>
      </c>
      <c r="F682" s="22">
        <f>EXP(SUM(Painel_diario!$L$4757:$L$4913))-1</f>
        <v/>
      </c>
    </row>
    <row r="683">
      <c r="A683" t="n">
        <v>158</v>
      </c>
      <c r="B683" s="22">
        <f>EXP(SUM(Painel_diario!$L$2841:$L$2998))-1</f>
        <v/>
      </c>
      <c r="C683" s="22">
        <f>EXP(SUM(Painel_diario!$L$3288:$L$3445))-1</f>
        <v/>
      </c>
      <c r="D683" s="22">
        <f>EXP(SUM(Painel_diario!$L$4182:$L$4339))-1</f>
        <v/>
      </c>
      <c r="E683" s="22">
        <f>EXP(SUM(Painel_diario!$L$4260:$L$4417))-1</f>
        <v/>
      </c>
      <c r="F683" s="22">
        <f>EXP(SUM(Painel_diario!$L$4757:$L$4914))-1</f>
        <v/>
      </c>
    </row>
    <row r="684">
      <c r="A684" t="n">
        <v>159</v>
      </c>
      <c r="B684" s="22">
        <f>EXP(SUM(Painel_diario!$L$2841:$L$2999))-1</f>
        <v/>
      </c>
      <c r="C684" s="22">
        <f>EXP(SUM(Painel_diario!$L$3288:$L$3446))-1</f>
        <v/>
      </c>
      <c r="D684" s="22">
        <f>EXP(SUM(Painel_diario!$L$4182:$L$4340))-1</f>
        <v/>
      </c>
      <c r="E684" s="22">
        <f>EXP(SUM(Painel_diario!$L$4260:$L$4418))-1</f>
        <v/>
      </c>
      <c r="F684" s="22">
        <f>EXP(SUM(Painel_diario!$L$4757:$L$4915))-1</f>
        <v/>
      </c>
    </row>
    <row r="685">
      <c r="A685" t="n">
        <v>160</v>
      </c>
      <c r="B685" s="22">
        <f>EXP(SUM(Painel_diario!$L$2841:$L$3000))-1</f>
        <v/>
      </c>
      <c r="C685" s="22">
        <f>EXP(SUM(Painel_diario!$L$3288:$L$3447))-1</f>
        <v/>
      </c>
      <c r="D685" s="22">
        <f>EXP(SUM(Painel_diario!$L$4182:$L$4341))-1</f>
        <v/>
      </c>
      <c r="E685" s="22">
        <f>EXP(SUM(Painel_diario!$L$4260:$L$4419))-1</f>
        <v/>
      </c>
      <c r="F685" s="22">
        <f>EXP(SUM(Painel_diario!$L$4757:$L$4916))-1</f>
        <v/>
      </c>
    </row>
    <row r="686">
      <c r="A686" t="n">
        <v>161</v>
      </c>
      <c r="B686" s="22">
        <f>EXP(SUM(Painel_diario!$L$2841:$L$3001))-1</f>
        <v/>
      </c>
      <c r="C686" s="22">
        <f>EXP(SUM(Painel_diario!$L$3288:$L$3448))-1</f>
        <v/>
      </c>
      <c r="D686" s="22">
        <f>EXP(SUM(Painel_diario!$L$4182:$L$4342))-1</f>
        <v/>
      </c>
      <c r="E686" s="22">
        <f>EXP(SUM(Painel_diario!$L$4260:$L$4420))-1</f>
        <v/>
      </c>
      <c r="F686" s="22">
        <f>EXP(SUM(Painel_diario!$L$4757:$L$4917))-1</f>
        <v/>
      </c>
    </row>
    <row r="687">
      <c r="A687" t="n">
        <v>162</v>
      </c>
      <c r="B687" s="22">
        <f>EXP(SUM(Painel_diario!$L$2841:$L$3002))-1</f>
        <v/>
      </c>
      <c r="C687" s="22">
        <f>EXP(SUM(Painel_diario!$L$3288:$L$3449))-1</f>
        <v/>
      </c>
      <c r="D687" s="22">
        <f>EXP(SUM(Painel_diario!$L$4182:$L$4343))-1</f>
        <v/>
      </c>
      <c r="E687" s="22">
        <f>EXP(SUM(Painel_diario!$L$4260:$L$4421))-1</f>
        <v/>
      </c>
      <c r="F687" s="22">
        <f>EXP(SUM(Painel_diario!$L$4757:$L$4918))-1</f>
        <v/>
      </c>
    </row>
    <row r="688">
      <c r="A688" t="n">
        <v>163</v>
      </c>
      <c r="B688" s="22">
        <f>EXP(SUM(Painel_diario!$L$2841:$L$3003))-1</f>
        <v/>
      </c>
      <c r="C688" s="22">
        <f>EXP(SUM(Painel_diario!$L$3288:$L$3450))-1</f>
        <v/>
      </c>
      <c r="D688" s="22">
        <f>EXP(SUM(Painel_diario!$L$4182:$L$4344))-1</f>
        <v/>
      </c>
      <c r="E688" s="22">
        <f>EXP(SUM(Painel_diario!$L$4260:$L$4422))-1</f>
        <v/>
      </c>
      <c r="F688" s="22">
        <f>EXP(SUM(Painel_diario!$L$4757:$L$4919))-1</f>
        <v/>
      </c>
    </row>
    <row r="689">
      <c r="A689" t="n">
        <v>164</v>
      </c>
      <c r="B689" s="22">
        <f>EXP(SUM(Painel_diario!$L$2841:$L$3004))-1</f>
        <v/>
      </c>
      <c r="C689" s="22">
        <f>EXP(SUM(Painel_diario!$L$3288:$L$3451))-1</f>
        <v/>
      </c>
      <c r="D689" s="22">
        <f>EXP(SUM(Painel_diario!$L$4182:$L$4345))-1</f>
        <v/>
      </c>
      <c r="E689" s="22">
        <f>EXP(SUM(Painel_diario!$L$4260:$L$4423))-1</f>
        <v/>
      </c>
      <c r="F689" s="22">
        <f>EXP(SUM(Painel_diario!$L$4757:$L$4920))-1</f>
        <v/>
      </c>
    </row>
    <row r="690">
      <c r="A690" t="n">
        <v>165</v>
      </c>
      <c r="B690" s="22">
        <f>EXP(SUM(Painel_diario!$L$2841:$L$3005))-1</f>
        <v/>
      </c>
      <c r="C690" s="22">
        <f>EXP(SUM(Painel_diario!$L$3288:$L$3452))-1</f>
        <v/>
      </c>
      <c r="D690" s="22">
        <f>EXP(SUM(Painel_diario!$L$4182:$L$4346))-1</f>
        <v/>
      </c>
      <c r="E690" s="22">
        <f>EXP(SUM(Painel_diario!$L$4260:$L$4424))-1</f>
        <v/>
      </c>
      <c r="F690" s="22">
        <f>EXP(SUM(Painel_diario!$L$4757:$L$4921))-1</f>
        <v/>
      </c>
    </row>
    <row r="691">
      <c r="A691" t="n">
        <v>166</v>
      </c>
      <c r="B691" s="22">
        <f>EXP(SUM(Painel_diario!$L$2841:$L$3006))-1</f>
        <v/>
      </c>
      <c r="C691" s="22">
        <f>EXP(SUM(Painel_diario!$L$3288:$L$3453))-1</f>
        <v/>
      </c>
      <c r="D691" s="22">
        <f>EXP(SUM(Painel_diario!$L$4182:$L$4347))-1</f>
        <v/>
      </c>
      <c r="E691" s="22">
        <f>EXP(SUM(Painel_diario!$L$4260:$L$4425))-1</f>
        <v/>
      </c>
      <c r="F691" s="22">
        <f>EXP(SUM(Painel_diario!$L$4757:$L$4922))-1</f>
        <v/>
      </c>
    </row>
    <row r="692">
      <c r="A692" t="n">
        <v>167</v>
      </c>
      <c r="B692" s="22">
        <f>EXP(SUM(Painel_diario!$L$2841:$L$3007))-1</f>
        <v/>
      </c>
      <c r="C692" s="22">
        <f>EXP(SUM(Painel_diario!$L$3288:$L$3454))-1</f>
        <v/>
      </c>
      <c r="D692" s="22">
        <f>EXP(SUM(Painel_diario!$L$4182:$L$4348))-1</f>
        <v/>
      </c>
      <c r="E692" s="22">
        <f>EXP(SUM(Painel_diario!$L$4260:$L$4426))-1</f>
        <v/>
      </c>
      <c r="F692" s="22">
        <f>EXP(SUM(Painel_diario!$L$4757:$L$4923))-1</f>
        <v/>
      </c>
    </row>
    <row r="693">
      <c r="A693" t="n">
        <v>168</v>
      </c>
      <c r="B693" s="22">
        <f>EXP(SUM(Painel_diario!$L$2841:$L$3008))-1</f>
        <v/>
      </c>
      <c r="C693" s="22">
        <f>EXP(SUM(Painel_diario!$L$3288:$L$3455))-1</f>
        <v/>
      </c>
      <c r="D693" s="22">
        <f>EXP(SUM(Painel_diario!$L$4182:$L$4349))-1</f>
        <v/>
      </c>
      <c r="E693" s="22">
        <f>EXP(SUM(Painel_diario!$L$4260:$L$4427))-1</f>
        <v/>
      </c>
      <c r="F693" s="22">
        <f>EXP(SUM(Painel_diario!$L$4757:$L$4924))-1</f>
        <v/>
      </c>
    </row>
    <row r="694">
      <c r="A694" t="n">
        <v>169</v>
      </c>
      <c r="B694" s="22">
        <f>EXP(SUM(Painel_diario!$L$2841:$L$3009))-1</f>
        <v/>
      </c>
      <c r="C694" s="22">
        <f>EXP(SUM(Painel_diario!$L$3288:$L$3456))-1</f>
        <v/>
      </c>
      <c r="D694" s="22">
        <f>EXP(SUM(Painel_diario!$L$4182:$L$4350))-1</f>
        <v/>
      </c>
      <c r="E694" s="22">
        <f>EXP(SUM(Painel_diario!$L$4260:$L$4428))-1</f>
        <v/>
      </c>
      <c r="F694" s="22">
        <f>EXP(SUM(Painel_diario!$L$4757:$L$4925))-1</f>
        <v/>
      </c>
    </row>
    <row r="695">
      <c r="A695" t="n">
        <v>170</v>
      </c>
      <c r="B695" s="22">
        <f>EXP(SUM(Painel_diario!$L$2841:$L$3010))-1</f>
        <v/>
      </c>
      <c r="C695" s="22">
        <f>EXP(SUM(Painel_diario!$L$3288:$L$3457))-1</f>
        <v/>
      </c>
      <c r="D695" s="22">
        <f>EXP(SUM(Painel_diario!$L$4182:$L$4351))-1</f>
        <v/>
      </c>
      <c r="E695" s="22">
        <f>EXP(SUM(Painel_diario!$L$4260:$L$4429))-1</f>
        <v/>
      </c>
      <c r="F695" s="22">
        <f>EXP(SUM(Painel_diario!$L$4757:$L$4926))-1</f>
        <v/>
      </c>
    </row>
    <row r="696">
      <c r="A696" t="n">
        <v>171</v>
      </c>
      <c r="B696" s="22">
        <f>EXP(SUM(Painel_diario!$L$2841:$L$3011))-1</f>
        <v/>
      </c>
      <c r="C696" s="22">
        <f>EXP(SUM(Painel_diario!$L$3288:$L$3458))-1</f>
        <v/>
      </c>
      <c r="D696" s="22">
        <f>EXP(SUM(Painel_diario!$L$4182:$L$4352))-1</f>
        <v/>
      </c>
      <c r="E696" s="22">
        <f>EXP(SUM(Painel_diario!$L$4260:$L$4430))-1</f>
        <v/>
      </c>
      <c r="F696" s="22">
        <f>EXP(SUM(Painel_diario!$L$4757:$L$4927))-1</f>
        <v/>
      </c>
    </row>
    <row r="697">
      <c r="A697" t="n">
        <v>172</v>
      </c>
      <c r="B697" s="22">
        <f>EXP(SUM(Painel_diario!$L$2841:$L$3012))-1</f>
        <v/>
      </c>
      <c r="C697" s="22">
        <f>EXP(SUM(Painel_diario!$L$3288:$L$3459))-1</f>
        <v/>
      </c>
      <c r="D697" s="22">
        <f>EXP(SUM(Painel_diario!$L$4182:$L$4353))-1</f>
        <v/>
      </c>
      <c r="E697" s="22">
        <f>EXP(SUM(Painel_diario!$L$4260:$L$4431))-1</f>
        <v/>
      </c>
      <c r="F697" s="22">
        <f>EXP(SUM(Painel_diario!$L$4757:$L$4928))-1</f>
        <v/>
      </c>
    </row>
    <row r="698">
      <c r="A698" t="n">
        <v>173</v>
      </c>
      <c r="B698" s="22">
        <f>EXP(SUM(Painel_diario!$L$2841:$L$3013))-1</f>
        <v/>
      </c>
      <c r="C698" s="22">
        <f>EXP(SUM(Painel_diario!$L$3288:$L$3460))-1</f>
        <v/>
      </c>
      <c r="D698" s="22">
        <f>EXP(SUM(Painel_diario!$L$4182:$L$4354))-1</f>
        <v/>
      </c>
      <c r="E698" s="22">
        <f>EXP(SUM(Painel_diario!$L$4260:$L$4432))-1</f>
        <v/>
      </c>
      <c r="F698" s="22">
        <f>EXP(SUM(Painel_diario!$L$4757:$L$4929))-1</f>
        <v/>
      </c>
    </row>
    <row r="699">
      <c r="A699" t="n">
        <v>174</v>
      </c>
      <c r="B699" s="22">
        <f>EXP(SUM(Painel_diario!$L$2841:$L$3014))-1</f>
        <v/>
      </c>
      <c r="C699" s="22">
        <f>EXP(SUM(Painel_diario!$L$3288:$L$3461))-1</f>
        <v/>
      </c>
      <c r="D699" s="22">
        <f>EXP(SUM(Painel_diario!$L$4182:$L$4355))-1</f>
        <v/>
      </c>
      <c r="E699" s="22">
        <f>EXP(SUM(Painel_diario!$L$4260:$L$4433))-1</f>
        <v/>
      </c>
      <c r="F699" s="22">
        <f>EXP(SUM(Painel_diario!$L$4757:$L$4930))-1</f>
        <v/>
      </c>
    </row>
    <row r="700">
      <c r="A700" t="n">
        <v>175</v>
      </c>
      <c r="B700" s="22">
        <f>EXP(SUM(Painel_diario!$L$2841:$L$3015))-1</f>
        <v/>
      </c>
      <c r="C700" s="22">
        <f>EXP(SUM(Painel_diario!$L$3288:$L$3462))-1</f>
        <v/>
      </c>
      <c r="D700" s="22">
        <f>EXP(SUM(Painel_diario!$L$4182:$L$4356))-1</f>
        <v/>
      </c>
      <c r="E700" s="22">
        <f>EXP(SUM(Painel_diario!$L$4260:$L$4434))-1</f>
        <v/>
      </c>
      <c r="F700" s="22">
        <f>EXP(SUM(Painel_diario!$L$4757:$L$4931))-1</f>
        <v/>
      </c>
    </row>
    <row r="701">
      <c r="A701" t="n">
        <v>176</v>
      </c>
      <c r="B701" s="22">
        <f>EXP(SUM(Painel_diario!$L$2841:$L$3016))-1</f>
        <v/>
      </c>
      <c r="C701" s="22">
        <f>EXP(SUM(Painel_diario!$L$3288:$L$3463))-1</f>
        <v/>
      </c>
      <c r="D701" s="22">
        <f>EXP(SUM(Painel_diario!$L$4182:$L$4357))-1</f>
        <v/>
      </c>
      <c r="E701" s="22">
        <f>EXP(SUM(Painel_diario!$L$4260:$L$4435))-1</f>
        <v/>
      </c>
      <c r="F701" s="22">
        <f>EXP(SUM(Painel_diario!$L$4757:$L$4932))-1</f>
        <v/>
      </c>
    </row>
    <row r="702">
      <c r="A702" t="n">
        <v>177</v>
      </c>
      <c r="B702" s="22">
        <f>EXP(SUM(Painel_diario!$L$2841:$L$3017))-1</f>
        <v/>
      </c>
      <c r="C702" s="22">
        <f>EXP(SUM(Painel_diario!$L$3288:$L$3464))-1</f>
        <v/>
      </c>
      <c r="D702" s="22">
        <f>EXP(SUM(Painel_diario!$L$4182:$L$4358))-1</f>
        <v/>
      </c>
      <c r="E702" s="22">
        <f>EXP(SUM(Painel_diario!$L$4260:$L$4436))-1</f>
        <v/>
      </c>
      <c r="F702" s="22">
        <f>EXP(SUM(Painel_diario!$L$4757:$L$4933))-1</f>
        <v/>
      </c>
    </row>
    <row r="703">
      <c r="A703" t="n">
        <v>178</v>
      </c>
      <c r="B703" s="22">
        <f>EXP(SUM(Painel_diario!$L$2841:$L$3018))-1</f>
        <v/>
      </c>
      <c r="C703" s="22">
        <f>EXP(SUM(Painel_diario!$L$3288:$L$3465))-1</f>
        <v/>
      </c>
      <c r="D703" s="22">
        <f>EXP(SUM(Painel_diario!$L$4182:$L$4359))-1</f>
        <v/>
      </c>
      <c r="E703" s="22">
        <f>EXP(SUM(Painel_diario!$L$4260:$L$4437))-1</f>
        <v/>
      </c>
      <c r="F703" s="22">
        <f>EXP(SUM(Painel_diario!$L$4757:$L$4934))-1</f>
        <v/>
      </c>
    </row>
    <row r="704">
      <c r="A704" t="n">
        <v>179</v>
      </c>
      <c r="B704" s="22">
        <f>EXP(SUM(Painel_diario!$L$2841:$L$3019))-1</f>
        <v/>
      </c>
      <c r="C704" s="22">
        <f>EXP(SUM(Painel_diario!$L$3288:$L$3466))-1</f>
        <v/>
      </c>
      <c r="D704" s="22">
        <f>EXP(SUM(Painel_diario!$L$4182:$L$4360))-1</f>
        <v/>
      </c>
      <c r="E704" s="22">
        <f>EXP(SUM(Painel_diario!$L$4260:$L$4438))-1</f>
        <v/>
      </c>
      <c r="F704" s="22">
        <f>EXP(SUM(Painel_diario!$L$4757:$L$4935))-1</f>
        <v/>
      </c>
    </row>
    <row r="705">
      <c r="A705" t="n">
        <v>180</v>
      </c>
      <c r="B705" s="22">
        <f>EXP(SUM(Painel_diario!$L$2841:$L$3020))-1</f>
        <v/>
      </c>
      <c r="C705" s="22">
        <f>EXP(SUM(Painel_diario!$L$3288:$L$3467))-1</f>
        <v/>
      </c>
      <c r="D705" s="22">
        <f>EXP(SUM(Painel_diario!$L$4182:$L$4361))-1</f>
        <v/>
      </c>
      <c r="E705" s="22">
        <f>EXP(SUM(Painel_diario!$L$4260:$L$4439))-1</f>
        <v/>
      </c>
      <c r="F705" s="22">
        <f>EXP(SUM(Painel_diario!$L$4757:$L$4936))-1</f>
        <v/>
      </c>
    </row>
    <row r="706">
      <c r="A706" t="n">
        <v>181</v>
      </c>
      <c r="B706" s="22">
        <f>EXP(SUM(Painel_diario!$L$2841:$L$3021))-1</f>
        <v/>
      </c>
      <c r="C706" s="22">
        <f>EXP(SUM(Painel_diario!$L$3288:$L$3468))-1</f>
        <v/>
      </c>
      <c r="D706" s="22">
        <f>EXP(SUM(Painel_diario!$L$4182:$L$4362))-1</f>
        <v/>
      </c>
      <c r="E706" s="22">
        <f>EXP(SUM(Painel_diario!$L$4260:$L$4440))-1</f>
        <v/>
      </c>
      <c r="F706" s="22">
        <f>EXP(SUM(Painel_diario!$L$4757:$L$4937))-1</f>
        <v/>
      </c>
    </row>
    <row r="707">
      <c r="A707" t="n">
        <v>182</v>
      </c>
      <c r="B707" s="22">
        <f>EXP(SUM(Painel_diario!$L$2841:$L$3022))-1</f>
        <v/>
      </c>
      <c r="C707" s="22">
        <f>EXP(SUM(Painel_diario!$L$3288:$L$3469))-1</f>
        <v/>
      </c>
      <c r="D707" s="22">
        <f>EXP(SUM(Painel_diario!$L$4182:$L$4363))-1</f>
        <v/>
      </c>
      <c r="E707" s="22">
        <f>EXP(SUM(Painel_diario!$L$4260:$L$4441))-1</f>
        <v/>
      </c>
      <c r="F707" s="22">
        <f>EXP(SUM(Painel_diario!$L$4757:$L$4938))-1</f>
        <v/>
      </c>
    </row>
    <row r="708">
      <c r="A708" t="n">
        <v>183</v>
      </c>
      <c r="B708" s="22">
        <f>EXP(SUM(Painel_diario!$L$2841:$L$3023))-1</f>
        <v/>
      </c>
      <c r="C708" s="22">
        <f>EXP(SUM(Painel_diario!$L$3288:$L$3470))-1</f>
        <v/>
      </c>
      <c r="D708" s="22">
        <f>EXP(SUM(Painel_diario!$L$4182:$L$4364))-1</f>
        <v/>
      </c>
      <c r="E708" s="22">
        <f>EXP(SUM(Painel_diario!$L$4260:$L$4442))-1</f>
        <v/>
      </c>
      <c r="F708" s="22">
        <f>EXP(SUM(Painel_diario!$L$4757:$L$4939))-1</f>
        <v/>
      </c>
    </row>
    <row r="709">
      <c r="A709" t="n">
        <v>184</v>
      </c>
      <c r="B709" s="22">
        <f>EXP(SUM(Painel_diario!$L$2841:$L$3024))-1</f>
        <v/>
      </c>
      <c r="C709" s="22">
        <f>EXP(SUM(Painel_diario!$L$3288:$L$3471))-1</f>
        <v/>
      </c>
      <c r="D709" s="22">
        <f>EXP(SUM(Painel_diario!$L$4182:$L$4365))-1</f>
        <v/>
      </c>
      <c r="E709" s="22">
        <f>EXP(SUM(Painel_diario!$L$4260:$L$4443))-1</f>
        <v/>
      </c>
      <c r="F709" s="22">
        <f>EXP(SUM(Painel_diario!$L$4757:$L$4940))-1</f>
        <v/>
      </c>
    </row>
    <row r="710">
      <c r="A710" t="n">
        <v>185</v>
      </c>
      <c r="B710" s="22">
        <f>EXP(SUM(Painel_diario!$L$2841:$L$3025))-1</f>
        <v/>
      </c>
      <c r="C710" s="22">
        <f>EXP(SUM(Painel_diario!$L$3288:$L$3472))-1</f>
        <v/>
      </c>
      <c r="D710" s="22">
        <f>EXP(SUM(Painel_diario!$L$4182:$L$4366))-1</f>
        <v/>
      </c>
      <c r="E710" s="22">
        <f>EXP(SUM(Painel_diario!$L$4260:$L$4444))-1</f>
        <v/>
      </c>
      <c r="F710" s="22">
        <f>EXP(SUM(Painel_diario!$L$4757:$L$4941))-1</f>
        <v/>
      </c>
    </row>
    <row r="711">
      <c r="A711" t="n">
        <v>186</v>
      </c>
      <c r="B711" s="22">
        <f>EXP(SUM(Painel_diario!$L$2841:$L$3026))-1</f>
        <v/>
      </c>
      <c r="C711" s="22">
        <f>EXP(SUM(Painel_diario!$L$3288:$L$3473))-1</f>
        <v/>
      </c>
      <c r="D711" s="22">
        <f>EXP(SUM(Painel_diario!$L$4182:$L$4367))-1</f>
        <v/>
      </c>
      <c r="E711" s="22">
        <f>EXP(SUM(Painel_diario!$L$4260:$L$4445))-1</f>
        <v/>
      </c>
      <c r="F711" s="22">
        <f>EXP(SUM(Painel_diario!$L$4757:$L$4942))-1</f>
        <v/>
      </c>
    </row>
    <row r="712">
      <c r="A712" t="n">
        <v>187</v>
      </c>
      <c r="B712" s="22">
        <f>EXP(SUM(Painel_diario!$L$2841:$L$3027))-1</f>
        <v/>
      </c>
      <c r="C712" s="22">
        <f>EXP(SUM(Painel_diario!$L$3288:$L$3474))-1</f>
        <v/>
      </c>
      <c r="D712" s="22">
        <f>EXP(SUM(Painel_diario!$L$4182:$L$4368))-1</f>
        <v/>
      </c>
      <c r="E712" s="22">
        <f>EXP(SUM(Painel_diario!$L$4260:$L$4446))-1</f>
        <v/>
      </c>
      <c r="F712" s="22">
        <f>EXP(SUM(Painel_diario!$L$4757:$L$4943))-1</f>
        <v/>
      </c>
    </row>
    <row r="713">
      <c r="A713" t="n">
        <v>188</v>
      </c>
      <c r="B713" s="22">
        <f>EXP(SUM(Painel_diario!$L$2841:$L$3028))-1</f>
        <v/>
      </c>
      <c r="C713" s="22">
        <f>EXP(SUM(Painel_diario!$L$3288:$L$3475))-1</f>
        <v/>
      </c>
      <c r="D713" s="22">
        <f>EXP(SUM(Painel_diario!$L$4182:$L$4369))-1</f>
        <v/>
      </c>
      <c r="E713" s="22">
        <f>EXP(SUM(Painel_diario!$L$4260:$L$4447))-1</f>
        <v/>
      </c>
      <c r="F713" s="22">
        <f>EXP(SUM(Painel_diario!$L$4757:$L$4944))-1</f>
        <v/>
      </c>
    </row>
    <row r="714">
      <c r="A714" t="n">
        <v>189</v>
      </c>
      <c r="B714" s="22">
        <f>EXP(SUM(Painel_diario!$L$2841:$L$3029))-1</f>
        <v/>
      </c>
      <c r="C714" s="22">
        <f>EXP(SUM(Painel_diario!$L$3288:$L$3476))-1</f>
        <v/>
      </c>
      <c r="D714" s="22">
        <f>EXP(SUM(Painel_diario!$L$4182:$L$4370))-1</f>
        <v/>
      </c>
      <c r="E714" s="22">
        <f>EXP(SUM(Painel_diario!$L$4260:$L$4448))-1</f>
        <v/>
      </c>
      <c r="F714" s="22">
        <f>EXP(SUM(Painel_diario!$L$4757:$L$4945))-1</f>
        <v/>
      </c>
    </row>
    <row r="715">
      <c r="A715" t="n">
        <v>190</v>
      </c>
      <c r="B715" s="22">
        <f>EXP(SUM(Painel_diario!$L$2841:$L$3030))-1</f>
        <v/>
      </c>
      <c r="C715" s="22">
        <f>EXP(SUM(Painel_diario!$L$3288:$L$3477))-1</f>
        <v/>
      </c>
      <c r="D715" s="22">
        <f>EXP(SUM(Painel_diario!$L$4182:$L$4371))-1</f>
        <v/>
      </c>
      <c r="E715" s="22">
        <f>EXP(SUM(Painel_diario!$L$4260:$L$4449))-1</f>
        <v/>
      </c>
      <c r="F715" s="22">
        <f>EXP(SUM(Painel_diario!$L$4757:$L$4946))-1</f>
        <v/>
      </c>
    </row>
    <row r="716">
      <c r="A716" t="n">
        <v>191</v>
      </c>
      <c r="B716" s="22">
        <f>EXP(SUM(Painel_diario!$L$2841:$L$3031))-1</f>
        <v/>
      </c>
      <c r="C716" s="22">
        <f>EXP(SUM(Painel_diario!$L$3288:$L$3478))-1</f>
        <v/>
      </c>
      <c r="D716" s="22">
        <f>EXP(SUM(Painel_diario!$L$4182:$L$4372))-1</f>
        <v/>
      </c>
      <c r="E716" s="22">
        <f>EXP(SUM(Painel_diario!$L$4260:$L$4450))-1</f>
        <v/>
      </c>
      <c r="F716" s="22">
        <f>EXP(SUM(Painel_diario!$L$4757:$L$4947))-1</f>
        <v/>
      </c>
    </row>
    <row r="717">
      <c r="A717" t="n">
        <v>192</v>
      </c>
      <c r="B717" s="22">
        <f>EXP(SUM(Painel_diario!$L$2841:$L$3032))-1</f>
        <v/>
      </c>
      <c r="C717" s="22">
        <f>EXP(SUM(Painel_diario!$L$3288:$L$3479))-1</f>
        <v/>
      </c>
      <c r="D717" s="22">
        <f>EXP(SUM(Painel_diario!$L$4182:$L$4373))-1</f>
        <v/>
      </c>
      <c r="E717" s="22">
        <f>EXP(SUM(Painel_diario!$L$4260:$L$4451))-1</f>
        <v/>
      </c>
      <c r="F717" s="22">
        <f>EXP(SUM(Painel_diario!$L$4757:$L$4948))-1</f>
        <v/>
      </c>
    </row>
    <row r="718">
      <c r="A718" t="n">
        <v>193</v>
      </c>
      <c r="B718" s="22">
        <f>EXP(SUM(Painel_diario!$L$2841:$L$3033))-1</f>
        <v/>
      </c>
      <c r="C718" s="22">
        <f>EXP(SUM(Painel_diario!$L$3288:$L$3480))-1</f>
        <v/>
      </c>
      <c r="D718" s="22">
        <f>EXP(SUM(Painel_diario!$L$4182:$L$4374))-1</f>
        <v/>
      </c>
      <c r="E718" s="22">
        <f>EXP(SUM(Painel_diario!$L$4260:$L$4452))-1</f>
        <v/>
      </c>
      <c r="F718" s="22">
        <f>EXP(SUM(Painel_diario!$L$4757:$L$4949))-1</f>
        <v/>
      </c>
    </row>
    <row r="719">
      <c r="A719" t="n">
        <v>194</v>
      </c>
      <c r="B719" s="22">
        <f>EXP(SUM(Painel_diario!$L$2841:$L$3034))-1</f>
        <v/>
      </c>
      <c r="C719" s="22">
        <f>EXP(SUM(Painel_diario!$L$3288:$L$3481))-1</f>
        <v/>
      </c>
      <c r="D719" s="22">
        <f>EXP(SUM(Painel_diario!$L$4182:$L$4375))-1</f>
        <v/>
      </c>
      <c r="E719" s="22">
        <f>EXP(SUM(Painel_diario!$L$4260:$L$4453))-1</f>
        <v/>
      </c>
      <c r="F719" s="22">
        <f>EXP(SUM(Painel_diario!$L$4757:$L$4950))-1</f>
        <v/>
      </c>
    </row>
    <row r="720">
      <c r="A720" t="n">
        <v>195</v>
      </c>
      <c r="B720" s="22">
        <f>EXP(SUM(Painel_diario!$L$2841:$L$3035))-1</f>
        <v/>
      </c>
      <c r="C720" s="22">
        <f>EXP(SUM(Painel_diario!$L$3288:$L$3482))-1</f>
        <v/>
      </c>
      <c r="D720" s="22">
        <f>EXP(SUM(Painel_diario!$L$4182:$L$4376))-1</f>
        <v/>
      </c>
      <c r="E720" s="22">
        <f>EXP(SUM(Painel_diario!$L$4260:$L$4454))-1</f>
        <v/>
      </c>
      <c r="F720" s="22">
        <f>EXP(SUM(Painel_diario!$L$4757:$L$4951))-1</f>
        <v/>
      </c>
    </row>
    <row r="721">
      <c r="A721" t="n">
        <v>196</v>
      </c>
      <c r="B721" s="22">
        <f>EXP(SUM(Painel_diario!$L$2841:$L$3036))-1</f>
        <v/>
      </c>
      <c r="C721" s="22">
        <f>EXP(SUM(Painel_diario!$L$3288:$L$3483))-1</f>
        <v/>
      </c>
      <c r="D721" s="22">
        <f>EXP(SUM(Painel_diario!$L$4182:$L$4377))-1</f>
        <v/>
      </c>
      <c r="E721" s="22">
        <f>EXP(SUM(Painel_diario!$L$4260:$L$4455))-1</f>
        <v/>
      </c>
      <c r="F721" s="22">
        <f>EXP(SUM(Painel_diario!$L$4757:$L$4952))-1</f>
        <v/>
      </c>
    </row>
    <row r="722">
      <c r="A722" t="n">
        <v>197</v>
      </c>
      <c r="B722" s="22">
        <f>EXP(SUM(Painel_diario!$L$2841:$L$3037))-1</f>
        <v/>
      </c>
      <c r="C722" s="22">
        <f>EXP(SUM(Painel_diario!$L$3288:$L$3484))-1</f>
        <v/>
      </c>
      <c r="D722" s="22">
        <f>EXP(SUM(Painel_diario!$L$4182:$L$4378))-1</f>
        <v/>
      </c>
      <c r="E722" s="22">
        <f>EXP(SUM(Painel_diario!$L$4260:$L$4456))-1</f>
        <v/>
      </c>
      <c r="F722" s="22">
        <f>EXP(SUM(Painel_diario!$L$4757:$L$4953))-1</f>
        <v/>
      </c>
    </row>
    <row r="723">
      <c r="A723" t="n">
        <v>198</v>
      </c>
      <c r="B723" s="22">
        <f>EXP(SUM(Painel_diario!$L$2841:$L$3038))-1</f>
        <v/>
      </c>
      <c r="C723" s="22">
        <f>EXP(SUM(Painel_diario!$L$3288:$L$3485))-1</f>
        <v/>
      </c>
      <c r="D723" s="22">
        <f>EXP(SUM(Painel_diario!$L$4182:$L$4379))-1</f>
        <v/>
      </c>
      <c r="E723" s="22">
        <f>EXP(SUM(Painel_diario!$L$4260:$L$4457))-1</f>
        <v/>
      </c>
      <c r="F723" s="22">
        <f>EXP(SUM(Painel_diario!$L$4757:$L$4954))-1</f>
        <v/>
      </c>
    </row>
    <row r="724">
      <c r="A724" t="n">
        <v>199</v>
      </c>
      <c r="B724" s="22">
        <f>EXP(SUM(Painel_diario!$L$2841:$L$3039))-1</f>
        <v/>
      </c>
      <c r="C724" s="22">
        <f>EXP(SUM(Painel_diario!$L$3288:$L$3486))-1</f>
        <v/>
      </c>
      <c r="D724" s="22">
        <f>EXP(SUM(Painel_diario!$L$4182:$L$4380))-1</f>
        <v/>
      </c>
      <c r="E724" s="22">
        <f>EXP(SUM(Painel_diario!$L$4260:$L$4458))-1</f>
        <v/>
      </c>
      <c r="F724" s="22">
        <f>EXP(SUM(Painel_diario!$L$4757:$L$4955))-1</f>
        <v/>
      </c>
    </row>
    <row r="725">
      <c r="A725" t="n">
        <v>200</v>
      </c>
      <c r="B725" s="22">
        <f>EXP(SUM(Painel_diario!$L$2841:$L$3040))-1</f>
        <v/>
      </c>
      <c r="C725" s="22">
        <f>EXP(SUM(Painel_diario!$L$3288:$L$3487))-1</f>
        <v/>
      </c>
      <c r="D725" s="22">
        <f>EXP(SUM(Painel_diario!$L$4182:$L$4381))-1</f>
        <v/>
      </c>
      <c r="E725" s="22">
        <f>EXP(SUM(Painel_diario!$L$4260:$L$4459))-1</f>
        <v/>
      </c>
      <c r="F725" s="22">
        <f>EXP(SUM(Painel_diario!$L$4757:$L$4956))-1</f>
        <v/>
      </c>
    </row>
    <row r="726">
      <c r="A726" t="n">
        <v>201</v>
      </c>
      <c r="B726" s="22">
        <f>EXP(SUM(Painel_diario!$L$2841:$L$3041))-1</f>
        <v/>
      </c>
      <c r="C726" s="22">
        <f>EXP(SUM(Painel_diario!$L$3288:$L$3488))-1</f>
        <v/>
      </c>
      <c r="D726" s="22">
        <f>EXP(SUM(Painel_diario!$L$4182:$L$4382))-1</f>
        <v/>
      </c>
      <c r="E726" s="22">
        <f>EXP(SUM(Painel_diario!$L$4260:$L$4460))-1</f>
        <v/>
      </c>
      <c r="F726" s="22">
        <f>EXP(SUM(Painel_diario!$L$4757:$L$4957))-1</f>
        <v/>
      </c>
    </row>
    <row r="727">
      <c r="A727" t="n">
        <v>202</v>
      </c>
      <c r="B727" s="22">
        <f>EXP(SUM(Painel_diario!$L$2841:$L$3042))-1</f>
        <v/>
      </c>
      <c r="C727" s="22">
        <f>EXP(SUM(Painel_diario!$L$3288:$L$3489))-1</f>
        <v/>
      </c>
      <c r="D727" s="22">
        <f>EXP(SUM(Painel_diario!$L$4182:$L$4383))-1</f>
        <v/>
      </c>
      <c r="E727" s="22">
        <f>EXP(SUM(Painel_diario!$L$4260:$L$4461))-1</f>
        <v/>
      </c>
      <c r="F727" s="22">
        <f>EXP(SUM(Painel_diario!$L$4757:$L$4958))-1</f>
        <v/>
      </c>
    </row>
    <row r="728">
      <c r="A728" t="n">
        <v>203</v>
      </c>
      <c r="B728" s="22">
        <f>EXP(SUM(Painel_diario!$L$2841:$L$3043))-1</f>
        <v/>
      </c>
      <c r="C728" s="22">
        <f>EXP(SUM(Painel_diario!$L$3288:$L$3490))-1</f>
        <v/>
      </c>
      <c r="D728" s="22">
        <f>EXP(SUM(Painel_diario!$L$4182:$L$4384))-1</f>
        <v/>
      </c>
      <c r="E728" s="22">
        <f>EXP(SUM(Painel_diario!$L$4260:$L$4462))-1</f>
        <v/>
      </c>
      <c r="F728" s="22">
        <f>EXP(SUM(Painel_diario!$L$4757:$L$4959))-1</f>
        <v/>
      </c>
    </row>
    <row r="729">
      <c r="A729" t="n">
        <v>204</v>
      </c>
      <c r="B729" s="22">
        <f>EXP(SUM(Painel_diario!$L$2841:$L$3044))-1</f>
        <v/>
      </c>
      <c r="C729" s="22">
        <f>EXP(SUM(Painel_diario!$L$3288:$L$3491))-1</f>
        <v/>
      </c>
      <c r="D729" s="22">
        <f>EXP(SUM(Painel_diario!$L$4182:$L$4385))-1</f>
        <v/>
      </c>
      <c r="E729" s="22">
        <f>EXP(SUM(Painel_diario!$L$4260:$L$4463))-1</f>
        <v/>
      </c>
      <c r="F729" s="22">
        <f>EXP(SUM(Painel_diario!$L$4757:$L$4960))-1</f>
        <v/>
      </c>
    </row>
    <row r="730">
      <c r="A730" t="n">
        <v>205</v>
      </c>
      <c r="B730" s="22">
        <f>EXP(SUM(Painel_diario!$L$2841:$L$3045))-1</f>
        <v/>
      </c>
      <c r="C730" s="22">
        <f>EXP(SUM(Painel_diario!$L$3288:$L$3492))-1</f>
        <v/>
      </c>
      <c r="D730" s="22">
        <f>EXP(SUM(Painel_diario!$L$4182:$L$4386))-1</f>
        <v/>
      </c>
      <c r="E730" s="22">
        <f>EXP(SUM(Painel_diario!$L$4260:$L$4464))-1</f>
        <v/>
      </c>
      <c r="F730" s="22">
        <f>EXP(SUM(Painel_diario!$L$4757:$L$4961))-1</f>
        <v/>
      </c>
    </row>
    <row r="731">
      <c r="A731" t="n">
        <v>206</v>
      </c>
      <c r="B731" s="22">
        <f>EXP(SUM(Painel_diario!$L$2841:$L$3046))-1</f>
        <v/>
      </c>
      <c r="C731" s="22">
        <f>EXP(SUM(Painel_diario!$L$3288:$L$3493))-1</f>
        <v/>
      </c>
      <c r="D731" s="22">
        <f>EXP(SUM(Painel_diario!$L$4182:$L$4387))-1</f>
        <v/>
      </c>
      <c r="E731" s="22">
        <f>EXP(SUM(Painel_diario!$L$4260:$L$4465))-1</f>
        <v/>
      </c>
      <c r="F731" s="22">
        <f>EXP(SUM(Painel_diario!$L$4757:$L$4962))-1</f>
        <v/>
      </c>
    </row>
    <row r="732">
      <c r="A732" t="n">
        <v>207</v>
      </c>
      <c r="B732" s="22">
        <f>EXP(SUM(Painel_diario!$L$2841:$L$3047))-1</f>
        <v/>
      </c>
      <c r="C732" s="22">
        <f>EXP(SUM(Painel_diario!$L$3288:$L$3494))-1</f>
        <v/>
      </c>
      <c r="D732" s="22">
        <f>EXP(SUM(Painel_diario!$L$4182:$L$4388))-1</f>
        <v/>
      </c>
      <c r="E732" s="22">
        <f>EXP(SUM(Painel_diario!$L$4260:$L$4466))-1</f>
        <v/>
      </c>
      <c r="F732" s="22">
        <f>EXP(SUM(Painel_diario!$L$4757:$L$4963))-1</f>
        <v/>
      </c>
    </row>
    <row r="733">
      <c r="A733" t="n">
        <v>208</v>
      </c>
      <c r="B733" s="22">
        <f>EXP(SUM(Painel_diario!$L$2841:$L$3048))-1</f>
        <v/>
      </c>
      <c r="C733" s="22">
        <f>EXP(SUM(Painel_diario!$L$3288:$L$3495))-1</f>
        <v/>
      </c>
      <c r="D733" s="22">
        <f>EXP(SUM(Painel_diario!$L$4182:$L$4389))-1</f>
        <v/>
      </c>
      <c r="E733" s="22">
        <f>EXP(SUM(Painel_diario!$L$4260:$L$4467))-1</f>
        <v/>
      </c>
      <c r="F733" s="22">
        <f>EXP(SUM(Painel_diario!$L$4757:$L$4964))-1</f>
        <v/>
      </c>
    </row>
    <row r="734">
      <c r="A734" t="n">
        <v>209</v>
      </c>
      <c r="B734" s="22">
        <f>EXP(SUM(Painel_diario!$L$2841:$L$3049))-1</f>
        <v/>
      </c>
      <c r="C734" s="22">
        <f>EXP(SUM(Painel_diario!$L$3288:$L$3496))-1</f>
        <v/>
      </c>
      <c r="D734" s="22">
        <f>EXP(SUM(Painel_diario!$L$4182:$L$4390))-1</f>
        <v/>
      </c>
      <c r="E734" s="22">
        <f>EXP(SUM(Painel_diario!$L$4260:$L$4468))-1</f>
        <v/>
      </c>
      <c r="F734" s="22">
        <f>EXP(SUM(Painel_diario!$L$4757:$L$4965))-1</f>
        <v/>
      </c>
    </row>
    <row r="735">
      <c r="A735" t="n">
        <v>210</v>
      </c>
      <c r="B735" s="22">
        <f>EXP(SUM(Painel_diario!$L$2841:$L$3050))-1</f>
        <v/>
      </c>
      <c r="C735" s="22">
        <f>EXP(SUM(Painel_diario!$L$3288:$L$3497))-1</f>
        <v/>
      </c>
      <c r="D735" s="22">
        <f>EXP(SUM(Painel_diario!$L$4182:$L$4391))-1</f>
        <v/>
      </c>
      <c r="E735" s="22">
        <f>EXP(SUM(Painel_diario!$L$4260:$L$4469))-1</f>
        <v/>
      </c>
      <c r="F735" s="22">
        <f>EXP(SUM(Painel_diario!$L$4757:$L$4966))-1</f>
        <v/>
      </c>
    </row>
    <row r="736">
      <c r="A736" t="n">
        <v>211</v>
      </c>
      <c r="B736" s="22">
        <f>EXP(SUM(Painel_diario!$L$2841:$L$3051))-1</f>
        <v/>
      </c>
      <c r="C736" s="22">
        <f>EXP(SUM(Painel_diario!$L$3288:$L$3498))-1</f>
        <v/>
      </c>
      <c r="D736" s="22">
        <f>EXP(SUM(Painel_diario!$L$4182:$L$4392))-1</f>
        <v/>
      </c>
      <c r="E736" s="22">
        <f>EXP(SUM(Painel_diario!$L$4260:$L$4470))-1</f>
        <v/>
      </c>
      <c r="F736" s="22">
        <f>EXP(SUM(Painel_diario!$L$4757:$L$4967))-1</f>
        <v/>
      </c>
    </row>
    <row r="737">
      <c r="A737" t="n">
        <v>212</v>
      </c>
      <c r="B737" s="22">
        <f>EXP(SUM(Painel_diario!$L$2841:$L$3052))-1</f>
        <v/>
      </c>
      <c r="C737" s="22">
        <f>EXP(SUM(Painel_diario!$L$3288:$L$3499))-1</f>
        <v/>
      </c>
      <c r="D737" s="22">
        <f>EXP(SUM(Painel_diario!$L$4182:$L$4393))-1</f>
        <v/>
      </c>
      <c r="E737" s="22">
        <f>EXP(SUM(Painel_diario!$L$4260:$L$4471))-1</f>
        <v/>
      </c>
      <c r="F737" s="22">
        <f>EXP(SUM(Painel_diario!$L$4757:$L$4968))-1</f>
        <v/>
      </c>
    </row>
    <row r="738">
      <c r="A738" t="n">
        <v>213</v>
      </c>
      <c r="B738" s="22">
        <f>EXP(SUM(Painel_diario!$L$2841:$L$3053))-1</f>
        <v/>
      </c>
      <c r="C738" s="22">
        <f>EXP(SUM(Painel_diario!$L$3288:$L$3500))-1</f>
        <v/>
      </c>
      <c r="D738" s="22">
        <f>EXP(SUM(Painel_diario!$L$4182:$L$4394))-1</f>
        <v/>
      </c>
      <c r="E738" s="22">
        <f>EXP(SUM(Painel_diario!$L$4260:$L$4472))-1</f>
        <v/>
      </c>
      <c r="F738" s="22">
        <f>EXP(SUM(Painel_diario!$L$4757:$L$4969))-1</f>
        <v/>
      </c>
    </row>
    <row r="739">
      <c r="A739" t="n">
        <v>214</v>
      </c>
      <c r="B739" s="22">
        <f>EXP(SUM(Painel_diario!$L$2841:$L$3054))-1</f>
        <v/>
      </c>
      <c r="C739" s="22">
        <f>EXP(SUM(Painel_diario!$L$3288:$L$3501))-1</f>
        <v/>
      </c>
      <c r="D739" s="22">
        <f>EXP(SUM(Painel_diario!$L$4182:$L$4395))-1</f>
        <v/>
      </c>
      <c r="E739" s="22">
        <f>EXP(SUM(Painel_diario!$L$4260:$L$4473))-1</f>
        <v/>
      </c>
      <c r="F739" s="22">
        <f>EXP(SUM(Painel_diario!$L$4757:$L$4970))-1</f>
        <v/>
      </c>
    </row>
    <row r="740">
      <c r="A740" t="n">
        <v>215</v>
      </c>
      <c r="B740" s="22">
        <f>EXP(SUM(Painel_diario!$L$2841:$L$3055))-1</f>
        <v/>
      </c>
      <c r="C740" s="22">
        <f>EXP(SUM(Painel_diario!$L$3288:$L$3502))-1</f>
        <v/>
      </c>
      <c r="D740" s="22">
        <f>EXP(SUM(Painel_diario!$L$4182:$L$4396))-1</f>
        <v/>
      </c>
      <c r="E740" s="22">
        <f>EXP(SUM(Painel_diario!$L$4260:$L$4474))-1</f>
        <v/>
      </c>
      <c r="F740" s="22">
        <f>EXP(SUM(Painel_diario!$L$4757:$L$4971))-1</f>
        <v/>
      </c>
    </row>
    <row r="741">
      <c r="A741" t="n">
        <v>216</v>
      </c>
      <c r="B741" s="22">
        <f>EXP(SUM(Painel_diario!$L$2841:$L$3056))-1</f>
        <v/>
      </c>
      <c r="C741" s="22">
        <f>EXP(SUM(Painel_diario!$L$3288:$L$3503))-1</f>
        <v/>
      </c>
      <c r="D741" s="22">
        <f>EXP(SUM(Painel_diario!$L$4182:$L$4397))-1</f>
        <v/>
      </c>
      <c r="E741" s="22">
        <f>EXP(SUM(Painel_diario!$L$4260:$L$4475))-1</f>
        <v/>
      </c>
      <c r="F741" s="22">
        <f>EXP(SUM(Painel_diario!$L$4757:$L$4972))-1</f>
        <v/>
      </c>
    </row>
    <row r="742">
      <c r="A742" t="n">
        <v>217</v>
      </c>
      <c r="B742" s="22">
        <f>EXP(SUM(Painel_diario!$L$2841:$L$3057))-1</f>
        <v/>
      </c>
      <c r="C742" s="22">
        <f>EXP(SUM(Painel_diario!$L$3288:$L$3504))-1</f>
        <v/>
      </c>
      <c r="D742" s="22">
        <f>EXP(SUM(Painel_diario!$L$4182:$L$4398))-1</f>
        <v/>
      </c>
      <c r="E742" s="22">
        <f>EXP(SUM(Painel_diario!$L$4260:$L$4476))-1</f>
        <v/>
      </c>
      <c r="F742" s="22">
        <f>EXP(SUM(Painel_diario!$L$4757:$L$4973))-1</f>
        <v/>
      </c>
    </row>
    <row r="743">
      <c r="A743" t="n">
        <v>218</v>
      </c>
      <c r="B743" s="22">
        <f>EXP(SUM(Painel_diario!$L$2841:$L$3058))-1</f>
        <v/>
      </c>
      <c r="C743" s="22">
        <f>EXP(SUM(Painel_diario!$L$3288:$L$3505))-1</f>
        <v/>
      </c>
      <c r="D743" s="22">
        <f>EXP(SUM(Painel_diario!$L$4182:$L$4399))-1</f>
        <v/>
      </c>
      <c r="E743" s="22">
        <f>EXP(SUM(Painel_diario!$L$4260:$L$4477))-1</f>
        <v/>
      </c>
      <c r="F743" s="22">
        <f>EXP(SUM(Painel_diario!$L$4757:$L$4974))-1</f>
        <v/>
      </c>
    </row>
    <row r="744">
      <c r="A744" t="n">
        <v>219</v>
      </c>
      <c r="B744" s="22">
        <f>EXP(SUM(Painel_diario!$L$2841:$L$3059))-1</f>
        <v/>
      </c>
      <c r="C744" s="22">
        <f>EXP(SUM(Painel_diario!$L$3288:$L$3506))-1</f>
        <v/>
      </c>
      <c r="D744" s="22">
        <f>EXP(SUM(Painel_diario!$L$4182:$L$4400))-1</f>
        <v/>
      </c>
      <c r="E744" s="22">
        <f>EXP(SUM(Painel_diario!$L$4260:$L$4478))-1</f>
        <v/>
      </c>
      <c r="F744" s="22">
        <f>EXP(SUM(Painel_diario!$L$4757:$L$4975))-1</f>
        <v/>
      </c>
    </row>
    <row r="745">
      <c r="A745" t="n">
        <v>220</v>
      </c>
      <c r="B745" s="22">
        <f>EXP(SUM(Painel_diario!$L$2841:$L$3060))-1</f>
        <v/>
      </c>
      <c r="C745" s="22">
        <f>EXP(SUM(Painel_diario!$L$3288:$L$3507))-1</f>
        <v/>
      </c>
      <c r="D745" s="22">
        <f>EXP(SUM(Painel_diario!$L$4182:$L$4401))-1</f>
        <v/>
      </c>
      <c r="E745" s="22">
        <f>EXP(SUM(Painel_diario!$L$4260:$L$4479))-1</f>
        <v/>
      </c>
      <c r="F745" s="22">
        <f>EXP(SUM(Painel_diario!$L$4757:$L$4976))-1</f>
        <v/>
      </c>
    </row>
    <row r="746">
      <c r="A746" t="n">
        <v>221</v>
      </c>
      <c r="B746" s="22">
        <f>EXP(SUM(Painel_diario!$L$2841:$L$3061))-1</f>
        <v/>
      </c>
      <c r="C746" s="22">
        <f>EXP(SUM(Painel_diario!$L$3288:$L$3508))-1</f>
        <v/>
      </c>
      <c r="D746" s="22">
        <f>EXP(SUM(Painel_diario!$L$4182:$L$4402))-1</f>
        <v/>
      </c>
      <c r="E746" s="22">
        <f>EXP(SUM(Painel_diario!$L$4260:$L$4480))-1</f>
        <v/>
      </c>
      <c r="F746" s="22">
        <f>EXP(SUM(Painel_diario!$L$4757:$L$4977))-1</f>
        <v/>
      </c>
    </row>
    <row r="747">
      <c r="A747" t="n">
        <v>222</v>
      </c>
      <c r="B747" s="22">
        <f>EXP(SUM(Painel_diario!$L$2841:$L$3062))-1</f>
        <v/>
      </c>
      <c r="C747" s="22">
        <f>EXP(SUM(Painel_diario!$L$3288:$L$3509))-1</f>
        <v/>
      </c>
      <c r="D747" s="22">
        <f>EXP(SUM(Painel_diario!$L$4182:$L$4403))-1</f>
        <v/>
      </c>
      <c r="E747" s="22">
        <f>EXP(SUM(Painel_diario!$L$4260:$L$4481))-1</f>
        <v/>
      </c>
      <c r="F747" s="22">
        <f>EXP(SUM(Painel_diario!$L$4757:$L$4978))-1</f>
        <v/>
      </c>
    </row>
    <row r="748">
      <c r="A748" t="n">
        <v>223</v>
      </c>
      <c r="B748" s="22">
        <f>EXP(SUM(Painel_diario!$L$2841:$L$3063))-1</f>
        <v/>
      </c>
      <c r="C748" s="22">
        <f>EXP(SUM(Painel_diario!$L$3288:$L$3510))-1</f>
        <v/>
      </c>
      <c r="D748" s="22">
        <f>EXP(SUM(Painel_diario!$L$4182:$L$4404))-1</f>
        <v/>
      </c>
      <c r="E748" s="22">
        <f>EXP(SUM(Painel_diario!$L$4260:$L$4482))-1</f>
        <v/>
      </c>
      <c r="F748" s="22">
        <f>EXP(SUM(Painel_diario!$L$4757:$L$4979))-1</f>
        <v/>
      </c>
    </row>
    <row r="749">
      <c r="A749" t="n">
        <v>224</v>
      </c>
      <c r="B749" s="22">
        <f>EXP(SUM(Painel_diario!$L$2841:$L$3064))-1</f>
        <v/>
      </c>
      <c r="C749" s="22">
        <f>EXP(SUM(Painel_diario!$L$3288:$L$3511))-1</f>
        <v/>
      </c>
      <c r="D749" s="22">
        <f>EXP(SUM(Painel_diario!$L$4182:$L$4405))-1</f>
        <v/>
      </c>
      <c r="E749" s="22">
        <f>EXP(SUM(Painel_diario!$L$4260:$L$4483))-1</f>
        <v/>
      </c>
      <c r="F749" s="22">
        <f>EXP(SUM(Painel_diario!$L$4757:$L$4980))-1</f>
        <v/>
      </c>
    </row>
    <row r="750">
      <c r="A750" t="n">
        <v>225</v>
      </c>
      <c r="B750" s="22">
        <f>EXP(SUM(Painel_diario!$L$2841:$L$3065))-1</f>
        <v/>
      </c>
      <c r="C750" s="22">
        <f>EXP(SUM(Painel_diario!$L$3288:$L$3512))-1</f>
        <v/>
      </c>
      <c r="D750" s="22">
        <f>EXP(SUM(Painel_diario!$L$4182:$L$4406))-1</f>
        <v/>
      </c>
      <c r="E750" s="22">
        <f>EXP(SUM(Painel_diario!$L$4260:$L$4484))-1</f>
        <v/>
      </c>
      <c r="F750" s="22">
        <f>EXP(SUM(Painel_diario!$L$4757:$L$4981))-1</f>
        <v/>
      </c>
    </row>
    <row r="751">
      <c r="A751" t="n">
        <v>226</v>
      </c>
      <c r="B751" s="22">
        <f>EXP(SUM(Painel_diario!$L$2841:$L$3066))-1</f>
        <v/>
      </c>
      <c r="C751" s="22">
        <f>EXP(SUM(Painel_diario!$L$3288:$L$3513))-1</f>
        <v/>
      </c>
      <c r="D751" s="22">
        <f>EXP(SUM(Painel_diario!$L$4182:$L$4407))-1</f>
        <v/>
      </c>
      <c r="E751" s="22">
        <f>EXP(SUM(Painel_diario!$L$4260:$L$4485))-1</f>
        <v/>
      </c>
      <c r="F751" s="22">
        <f>EXP(SUM(Painel_diario!$L$4757:$L$4982))-1</f>
        <v/>
      </c>
    </row>
    <row r="752">
      <c r="A752" t="n">
        <v>227</v>
      </c>
      <c r="B752" s="22">
        <f>EXP(SUM(Painel_diario!$L$2841:$L$3067))-1</f>
        <v/>
      </c>
      <c r="C752" s="22">
        <f>EXP(SUM(Painel_diario!$L$3288:$L$3514))-1</f>
        <v/>
      </c>
      <c r="D752" s="22">
        <f>EXP(SUM(Painel_diario!$L$4182:$L$4408))-1</f>
        <v/>
      </c>
      <c r="E752" s="22">
        <f>EXP(SUM(Painel_diario!$L$4260:$L$4486))-1</f>
        <v/>
      </c>
      <c r="F752" s="22">
        <f>EXP(SUM(Painel_diario!$L$4757:$L$4983))-1</f>
        <v/>
      </c>
    </row>
    <row r="753">
      <c r="A753" t="n">
        <v>228</v>
      </c>
      <c r="B753" s="22">
        <f>EXP(SUM(Painel_diario!$L$2841:$L$3068))-1</f>
        <v/>
      </c>
      <c r="C753" s="22">
        <f>EXP(SUM(Painel_diario!$L$3288:$L$3515))-1</f>
        <v/>
      </c>
      <c r="D753" s="22">
        <f>EXP(SUM(Painel_diario!$L$4182:$L$4409))-1</f>
        <v/>
      </c>
      <c r="E753" s="22">
        <f>EXP(SUM(Painel_diario!$L$4260:$L$4487))-1</f>
        <v/>
      </c>
      <c r="F753" s="22">
        <f>EXP(SUM(Painel_diario!$L$4757:$L$4984))-1</f>
        <v/>
      </c>
    </row>
    <row r="754">
      <c r="A754" t="n">
        <v>229</v>
      </c>
      <c r="B754" s="22">
        <f>EXP(SUM(Painel_diario!$L$2841:$L$3069))-1</f>
        <v/>
      </c>
      <c r="C754" s="22">
        <f>EXP(SUM(Painel_diario!$L$3288:$L$3516))-1</f>
        <v/>
      </c>
      <c r="D754" s="22">
        <f>EXP(SUM(Painel_diario!$L$4182:$L$4410))-1</f>
        <v/>
      </c>
      <c r="E754" s="22">
        <f>EXP(SUM(Painel_diario!$L$4260:$L$4488))-1</f>
        <v/>
      </c>
      <c r="F754" s="22">
        <f>EXP(SUM(Painel_diario!$L$4757:$L$4985))-1</f>
        <v/>
      </c>
    </row>
    <row r="755">
      <c r="A755" t="n">
        <v>230</v>
      </c>
      <c r="B755" s="22">
        <f>EXP(SUM(Painel_diario!$L$2841:$L$3070))-1</f>
        <v/>
      </c>
      <c r="C755" s="22">
        <f>EXP(SUM(Painel_diario!$L$3288:$L$3517))-1</f>
        <v/>
      </c>
      <c r="D755" s="22">
        <f>EXP(SUM(Painel_diario!$L$4182:$L$4411))-1</f>
        <v/>
      </c>
      <c r="E755" s="22">
        <f>EXP(SUM(Painel_diario!$L$4260:$L$4489))-1</f>
        <v/>
      </c>
      <c r="F755" s="22">
        <f>EXP(SUM(Painel_diario!$L$4757:$L$4986))-1</f>
        <v/>
      </c>
    </row>
    <row r="756">
      <c r="A756" t="n">
        <v>231</v>
      </c>
      <c r="B756" s="22">
        <f>EXP(SUM(Painel_diario!$L$2841:$L$3071))-1</f>
        <v/>
      </c>
      <c r="C756" s="22">
        <f>EXP(SUM(Painel_diario!$L$3288:$L$3518))-1</f>
        <v/>
      </c>
      <c r="D756" s="22">
        <f>EXP(SUM(Painel_diario!$L$4182:$L$4412))-1</f>
        <v/>
      </c>
      <c r="E756" s="22">
        <f>EXP(SUM(Painel_diario!$L$4260:$L$4490))-1</f>
        <v/>
      </c>
      <c r="F756" s="22">
        <f>EXP(SUM(Painel_diario!$L$4757:$L$4987))-1</f>
        <v/>
      </c>
    </row>
    <row r="757">
      <c r="A757" t="n">
        <v>232</v>
      </c>
      <c r="B757" s="22">
        <f>EXP(SUM(Painel_diario!$L$2841:$L$3072))-1</f>
        <v/>
      </c>
      <c r="C757" s="22">
        <f>EXP(SUM(Painel_diario!$L$3288:$L$3519))-1</f>
        <v/>
      </c>
      <c r="D757" s="22">
        <f>EXP(SUM(Painel_diario!$L$4182:$L$4413))-1</f>
        <v/>
      </c>
      <c r="E757" s="22">
        <f>EXP(SUM(Painel_diario!$L$4260:$L$4491))-1</f>
        <v/>
      </c>
      <c r="F757" s="22">
        <f>EXP(SUM(Painel_diario!$L$4757:$L$4988))-1</f>
        <v/>
      </c>
    </row>
    <row r="758">
      <c r="A758" t="n">
        <v>233</v>
      </c>
      <c r="B758" s="22">
        <f>EXP(SUM(Painel_diario!$L$2841:$L$3073))-1</f>
        <v/>
      </c>
      <c r="C758" s="22">
        <f>EXP(SUM(Painel_diario!$L$3288:$L$3520))-1</f>
        <v/>
      </c>
      <c r="D758" s="22">
        <f>EXP(SUM(Painel_diario!$L$4182:$L$4414))-1</f>
        <v/>
      </c>
      <c r="E758" s="22">
        <f>EXP(SUM(Painel_diario!$L$4260:$L$4492))-1</f>
        <v/>
      </c>
      <c r="F758" s="22">
        <f>EXP(SUM(Painel_diario!$L$4757:$L$4989))-1</f>
        <v/>
      </c>
    </row>
    <row r="759">
      <c r="A759" t="n">
        <v>234</v>
      </c>
      <c r="B759" s="22">
        <f>EXP(SUM(Painel_diario!$L$2841:$L$3074))-1</f>
        <v/>
      </c>
      <c r="C759" s="22">
        <f>EXP(SUM(Painel_diario!$L$3288:$L$3521))-1</f>
        <v/>
      </c>
      <c r="D759" s="22">
        <f>EXP(SUM(Painel_diario!$L$4182:$L$4415))-1</f>
        <v/>
      </c>
      <c r="E759" s="22">
        <f>EXP(SUM(Painel_diario!$L$4260:$L$4493))-1</f>
        <v/>
      </c>
      <c r="F759" s="22">
        <f>EXP(SUM(Painel_diario!$L$4757:$L$4990))-1</f>
        <v/>
      </c>
    </row>
    <row r="760">
      <c r="A760" t="n">
        <v>235</v>
      </c>
      <c r="B760" s="22">
        <f>EXP(SUM(Painel_diario!$L$2841:$L$3075))-1</f>
        <v/>
      </c>
      <c r="C760" s="22">
        <f>EXP(SUM(Painel_diario!$L$3288:$L$3522))-1</f>
        <v/>
      </c>
      <c r="D760" s="22">
        <f>EXP(SUM(Painel_diario!$L$4182:$L$4416))-1</f>
        <v/>
      </c>
      <c r="E760" s="22">
        <f>EXP(SUM(Painel_diario!$L$4260:$L$4494))-1</f>
        <v/>
      </c>
      <c r="F760" s="22">
        <f>EXP(SUM(Painel_diario!$L$4757:$L$4991))-1</f>
        <v/>
      </c>
    </row>
    <row r="761">
      <c r="A761" t="n">
        <v>236</v>
      </c>
      <c r="B761" s="22">
        <f>EXP(SUM(Painel_diario!$L$2841:$L$3076))-1</f>
        <v/>
      </c>
      <c r="C761" s="22">
        <f>EXP(SUM(Painel_diario!$L$3288:$L$3523))-1</f>
        <v/>
      </c>
      <c r="D761" s="22">
        <f>EXP(SUM(Painel_diario!$L$4182:$L$4417))-1</f>
        <v/>
      </c>
      <c r="E761" s="22">
        <f>EXP(SUM(Painel_diario!$L$4260:$L$4495))-1</f>
        <v/>
      </c>
      <c r="F761" s="22">
        <f>EXP(SUM(Painel_diario!$L$4757:$L$4992))-1</f>
        <v/>
      </c>
    </row>
    <row r="762">
      <c r="A762" t="n">
        <v>237</v>
      </c>
      <c r="B762" s="22">
        <f>EXP(SUM(Painel_diario!$L$2841:$L$3077))-1</f>
        <v/>
      </c>
      <c r="C762" s="22">
        <f>EXP(SUM(Painel_diario!$L$3288:$L$3524))-1</f>
        <v/>
      </c>
      <c r="D762" s="22">
        <f>EXP(SUM(Painel_diario!$L$4182:$L$4418))-1</f>
        <v/>
      </c>
      <c r="E762" s="22">
        <f>EXP(SUM(Painel_diario!$L$4260:$L$4496))-1</f>
        <v/>
      </c>
      <c r="F762" s="22">
        <f>EXP(SUM(Painel_diario!$L$4757:$L$4993))-1</f>
        <v/>
      </c>
    </row>
    <row r="763">
      <c r="A763" t="n">
        <v>238</v>
      </c>
      <c r="B763" s="22">
        <f>EXP(SUM(Painel_diario!$L$2841:$L$3078))-1</f>
        <v/>
      </c>
      <c r="C763" s="22">
        <f>EXP(SUM(Painel_diario!$L$3288:$L$3525))-1</f>
        <v/>
      </c>
      <c r="D763" s="22">
        <f>EXP(SUM(Painel_diario!$L$4182:$L$4419))-1</f>
        <v/>
      </c>
      <c r="E763" s="22">
        <f>EXP(SUM(Painel_diario!$L$4260:$L$4497))-1</f>
        <v/>
      </c>
      <c r="F763" s="22">
        <f>EXP(SUM(Painel_diario!$L$4757:$L$4994))-1</f>
        <v/>
      </c>
    </row>
    <row r="764">
      <c r="A764" t="n">
        <v>239</v>
      </c>
      <c r="B764" s="22">
        <f>EXP(SUM(Painel_diario!$L$2841:$L$3079))-1</f>
        <v/>
      </c>
      <c r="C764" s="22">
        <f>EXP(SUM(Painel_diario!$L$3288:$L$3526))-1</f>
        <v/>
      </c>
      <c r="D764" s="22">
        <f>EXP(SUM(Painel_diario!$L$4182:$L$4420))-1</f>
        <v/>
      </c>
      <c r="E764" s="22">
        <f>EXP(SUM(Painel_diario!$L$4260:$L$4498))-1</f>
        <v/>
      </c>
      <c r="F764" s="22">
        <f>EXP(SUM(Painel_diario!$L$4757:$L$4995))-1</f>
        <v/>
      </c>
    </row>
    <row r="765">
      <c r="A765" t="n">
        <v>240</v>
      </c>
      <c r="B765" s="22">
        <f>EXP(SUM(Painel_diario!$L$2841:$L$3080))-1</f>
        <v/>
      </c>
      <c r="C765" s="22">
        <f>EXP(SUM(Painel_diario!$L$3288:$L$3527))-1</f>
        <v/>
      </c>
      <c r="D765" s="22">
        <f>EXP(SUM(Painel_diario!$L$4182:$L$4421))-1</f>
        <v/>
      </c>
      <c r="E765" s="22">
        <f>EXP(SUM(Painel_diario!$L$4260:$L$4499))-1</f>
        <v/>
      </c>
      <c r="F765" s="22">
        <f>EXP(SUM(Painel_diario!$L$4757:$L$4996))-1</f>
        <v/>
      </c>
    </row>
    <row r="766">
      <c r="A766" t="n">
        <v>241</v>
      </c>
      <c r="B766" s="22">
        <f>EXP(SUM(Painel_diario!$L$2841:$L$3081))-1</f>
        <v/>
      </c>
      <c r="C766" s="22">
        <f>EXP(SUM(Painel_diario!$L$3288:$L$3528))-1</f>
        <v/>
      </c>
      <c r="D766" s="22">
        <f>EXP(SUM(Painel_diario!$L$4182:$L$4422))-1</f>
        <v/>
      </c>
      <c r="E766" s="22">
        <f>EXP(SUM(Painel_diario!$L$4260:$L$4500))-1</f>
        <v/>
      </c>
      <c r="F766" s="22">
        <f>EXP(SUM(Painel_diario!$L$4757:$L$4997))-1</f>
        <v/>
      </c>
    </row>
    <row r="767">
      <c r="A767" t="n">
        <v>242</v>
      </c>
      <c r="B767" s="22">
        <f>EXP(SUM(Painel_diario!$L$2841:$L$3082))-1</f>
        <v/>
      </c>
      <c r="C767" s="22">
        <f>EXP(SUM(Painel_diario!$L$3288:$L$3529))-1</f>
        <v/>
      </c>
      <c r="D767" s="22">
        <f>EXP(SUM(Painel_diario!$L$4182:$L$4423))-1</f>
        <v/>
      </c>
      <c r="E767" s="22">
        <f>EXP(SUM(Painel_diario!$L$4260:$L$4501))-1</f>
        <v/>
      </c>
      <c r="F767" s="22">
        <f>EXP(SUM(Painel_diario!$L$4757:$L$4998))-1</f>
        <v/>
      </c>
    </row>
    <row r="768">
      <c r="A768" t="n">
        <v>243</v>
      </c>
      <c r="B768" s="22">
        <f>EXP(SUM(Painel_diario!$L$2841:$L$3083))-1</f>
        <v/>
      </c>
      <c r="C768" s="22">
        <f>EXP(SUM(Painel_diario!$L$3288:$L$3530))-1</f>
        <v/>
      </c>
      <c r="D768" s="22">
        <f>EXP(SUM(Painel_diario!$L$4182:$L$4424))-1</f>
        <v/>
      </c>
      <c r="E768" s="22">
        <f>EXP(SUM(Painel_diario!$L$4260:$L$4502))-1</f>
        <v/>
      </c>
      <c r="F768" s="22">
        <f>EXP(SUM(Painel_diario!$L$4757:$L$4999))-1</f>
        <v/>
      </c>
    </row>
    <row r="769">
      <c r="A769" t="n">
        <v>244</v>
      </c>
      <c r="B769" s="22">
        <f>EXP(SUM(Painel_diario!$L$2841:$L$3084))-1</f>
        <v/>
      </c>
      <c r="C769" s="22">
        <f>EXP(SUM(Painel_diario!$L$3288:$L$3531))-1</f>
        <v/>
      </c>
      <c r="D769" s="22">
        <f>EXP(SUM(Painel_diario!$L$4182:$L$4425))-1</f>
        <v/>
      </c>
      <c r="E769" s="22">
        <f>EXP(SUM(Painel_diario!$L$4260:$L$4503))-1</f>
        <v/>
      </c>
      <c r="F769" s="22">
        <f>EXP(SUM(Painel_diario!$L$4757:$L$5000))-1</f>
        <v/>
      </c>
    </row>
    <row r="770">
      <c r="A770" t="n">
        <v>245</v>
      </c>
      <c r="B770" s="22">
        <f>EXP(SUM(Painel_diario!$L$2841:$L$3085))-1</f>
        <v/>
      </c>
      <c r="C770" s="22">
        <f>EXP(SUM(Painel_diario!$L$3288:$L$3532))-1</f>
        <v/>
      </c>
      <c r="D770" s="22">
        <f>EXP(SUM(Painel_diario!$L$4182:$L$4426))-1</f>
        <v/>
      </c>
      <c r="E770" s="22">
        <f>EXP(SUM(Painel_diario!$L$4260:$L$4504))-1</f>
        <v/>
      </c>
      <c r="F770" s="22">
        <f>EXP(SUM(Painel_diario!$L$4757:$L$5001))-1</f>
        <v/>
      </c>
    </row>
    <row r="771">
      <c r="A771" t="n">
        <v>246</v>
      </c>
      <c r="B771" s="22">
        <f>EXP(SUM(Painel_diario!$L$2841:$L$3086))-1</f>
        <v/>
      </c>
      <c r="C771" s="22">
        <f>EXP(SUM(Painel_diario!$L$3288:$L$3533))-1</f>
        <v/>
      </c>
      <c r="D771" s="22">
        <f>EXP(SUM(Painel_diario!$L$4182:$L$4427))-1</f>
        <v/>
      </c>
      <c r="E771" s="22">
        <f>EXP(SUM(Painel_diario!$L$4260:$L$4505))-1</f>
        <v/>
      </c>
      <c r="F771" s="22">
        <f>EXP(SUM(Painel_diario!$L$4757:$L$5002))-1</f>
        <v/>
      </c>
    </row>
    <row r="772">
      <c r="A772" t="n">
        <v>247</v>
      </c>
      <c r="B772" s="22">
        <f>EXP(SUM(Painel_diario!$L$2841:$L$3087))-1</f>
        <v/>
      </c>
      <c r="C772" s="22">
        <f>EXP(SUM(Painel_diario!$L$3288:$L$3534))-1</f>
        <v/>
      </c>
      <c r="D772" s="22">
        <f>EXP(SUM(Painel_diario!$L$4182:$L$4428))-1</f>
        <v/>
      </c>
      <c r="E772" s="22">
        <f>EXP(SUM(Painel_diario!$L$4260:$L$4506))-1</f>
        <v/>
      </c>
      <c r="F772" s="22">
        <f>EXP(SUM(Painel_diario!$L$4757:$L$5003))-1</f>
        <v/>
      </c>
    </row>
    <row r="773">
      <c r="A773" t="n">
        <v>248</v>
      </c>
      <c r="B773" s="22">
        <f>EXP(SUM(Painel_diario!$L$2841:$L$3088))-1</f>
        <v/>
      </c>
      <c r="C773" s="22">
        <f>EXP(SUM(Painel_diario!$L$3288:$L$3535))-1</f>
        <v/>
      </c>
      <c r="D773" s="22">
        <f>EXP(SUM(Painel_diario!$L$4182:$L$4429))-1</f>
        <v/>
      </c>
      <c r="E773" s="22">
        <f>EXP(SUM(Painel_diario!$L$4260:$L$4507))-1</f>
        <v/>
      </c>
      <c r="F773" s="22">
        <f>EXP(SUM(Painel_diario!$L$4757:$L$5004))-1</f>
        <v/>
      </c>
    </row>
    <row r="774">
      <c r="A774" t="n">
        <v>249</v>
      </c>
      <c r="B774" s="22">
        <f>EXP(SUM(Painel_diario!$L$2841:$L$3089))-1</f>
        <v/>
      </c>
      <c r="C774" s="22">
        <f>EXP(SUM(Painel_diario!$L$3288:$L$3536))-1</f>
        <v/>
      </c>
      <c r="D774" s="22">
        <f>EXP(SUM(Painel_diario!$L$4182:$L$4430))-1</f>
        <v/>
      </c>
      <c r="E774" s="22">
        <f>EXP(SUM(Painel_diario!$L$4260:$L$4508))-1</f>
        <v/>
      </c>
      <c r="F774" s="22">
        <f>EXP(SUM(Painel_diario!$L$4757:$L$5005))-1</f>
        <v/>
      </c>
    </row>
    <row r="775">
      <c r="A775" t="n">
        <v>250</v>
      </c>
      <c r="B775" s="22">
        <f>EXP(SUM(Painel_diario!$L$2841:$L$3090))-1</f>
        <v/>
      </c>
      <c r="C775" s="22">
        <f>EXP(SUM(Painel_diario!$L$3288:$L$3537))-1</f>
        <v/>
      </c>
      <c r="D775" s="22">
        <f>EXP(SUM(Painel_diario!$L$4182:$L$4431))-1</f>
        <v/>
      </c>
      <c r="E775" s="22">
        <f>EXP(SUM(Painel_diario!$L$4260:$L$4509))-1</f>
        <v/>
      </c>
      <c r="F775" s="22">
        <f>EXP(SUM(Painel_diario!$L$4757:$L$5006))-1</f>
        <v/>
      </c>
    </row>
    <row r="776">
      <c r="A776" t="n">
        <v>251</v>
      </c>
      <c r="B776" s="22">
        <f>EXP(SUM(Painel_diario!$L$2841:$L$3091))-1</f>
        <v/>
      </c>
      <c r="C776" s="22">
        <f>EXP(SUM(Painel_diario!$L$3288:$L$3538))-1</f>
        <v/>
      </c>
      <c r="D776" s="22">
        <f>EXP(SUM(Painel_diario!$L$4182:$L$4432))-1</f>
        <v/>
      </c>
      <c r="E776" s="22">
        <f>EXP(SUM(Painel_diario!$L$4260:$L$4510))-1</f>
        <v/>
      </c>
      <c r="F776" s="22">
        <f>EXP(SUM(Painel_diario!$L$4757:$L$5007))-1</f>
        <v/>
      </c>
    </row>
    <row r="777">
      <c r="A777" t="n">
        <v>252</v>
      </c>
      <c r="B777" s="22">
        <f>EXP(SUM(Painel_diario!$L$2841:$L$3092))-1</f>
        <v/>
      </c>
      <c r="C777" s="22">
        <f>EXP(SUM(Painel_diario!$L$3288:$L$3539))-1</f>
        <v/>
      </c>
      <c r="D777" s="22">
        <f>EXP(SUM(Painel_diario!$L$4182:$L$4433))-1</f>
        <v/>
      </c>
      <c r="E777" s="22">
        <f>EXP(SUM(Painel_diario!$L$4260:$L$4511))-1</f>
        <v/>
      </c>
      <c r="F777" s="22">
        <f>EXP(SUM(Painel_diario!$L$4757:$L$5008))-1</f>
        <v/>
      </c>
    </row>
    <row r="781">
      <c r="A781" s="5" t="inlineStr">
        <is>
          <t>Earnings Down / Juros Up</t>
        </is>
      </c>
    </row>
    <row r="782">
      <c r="A782" s="8" t="inlineStr">
        <is>
          <t>Pregao</t>
        </is>
      </c>
      <c r="B782" s="8" t="inlineStr">
        <is>
          <t>2014-08-01</t>
        </is>
      </c>
      <c r="C782" s="8" t="inlineStr">
        <is>
          <t>2015-12-01</t>
        </is>
      </c>
      <c r="D782" s="8" t="inlineStr">
        <is>
          <t>2022-01-03</t>
        </is>
      </c>
      <c r="E782" s="8" t="inlineStr">
        <is>
          <t>2022-12-01</t>
        </is>
      </c>
      <c r="F782" s="8" t="inlineStr">
        <is>
          <t>2024-11-01</t>
        </is>
      </c>
    </row>
    <row r="783">
      <c r="A783" s="26" t="inlineStr">
        <is>
          <t>Pregoes do episodio</t>
        </is>
      </c>
      <c r="B783" s="26" t="n">
        <v>248</v>
      </c>
      <c r="C783" s="26" t="n">
        <v>44</v>
      </c>
      <c r="D783" s="26" t="n">
        <v>62</v>
      </c>
      <c r="E783" s="26" t="n">
        <v>65</v>
      </c>
      <c r="F783" s="26" t="n">
        <v>38</v>
      </c>
    </row>
    <row r="784">
      <c r="A784" t="n">
        <v>0</v>
      </c>
      <c r="B784" s="22" t="n">
        <v>0</v>
      </c>
      <c r="C784" s="22" t="n">
        <v>0</v>
      </c>
      <c r="D784" s="22" t="n">
        <v>0</v>
      </c>
      <c r="E784" s="22" t="n">
        <v>0</v>
      </c>
      <c r="F784" s="22" t="n">
        <v>0</v>
      </c>
    </row>
    <row r="785">
      <c r="A785" t="n">
        <v>1</v>
      </c>
      <c r="B785" s="22">
        <f>EXP(SUM(Painel_diario!$L$2056:$L$2056))-1</f>
        <v/>
      </c>
      <c r="C785" s="22">
        <f>EXP(SUM(Painel_diario!$L$2386:$L$2386))-1</f>
        <v/>
      </c>
      <c r="D785" s="22">
        <f>EXP(SUM(Painel_diario!$L$3888:$L$3888))-1</f>
        <v/>
      </c>
      <c r="E785" s="22">
        <f>EXP(SUM(Painel_diario!$L$4117:$L$4117))-1</f>
        <v/>
      </c>
      <c r="F785" s="22">
        <f>EXP(SUM(Painel_diario!$L$4597:$L$4597))-1</f>
        <v/>
      </c>
    </row>
    <row r="786">
      <c r="A786" t="n">
        <v>2</v>
      </c>
      <c r="B786" s="22">
        <f>EXP(SUM(Painel_diario!$L$2056:$L$2057))-1</f>
        <v/>
      </c>
      <c r="C786" s="22">
        <f>EXP(SUM(Painel_diario!$L$2386:$L$2387))-1</f>
        <v/>
      </c>
      <c r="D786" s="22">
        <f>EXP(SUM(Painel_diario!$L$3888:$L$3889))-1</f>
        <v/>
      </c>
      <c r="E786" s="22">
        <f>EXP(SUM(Painel_diario!$L$4117:$L$4118))-1</f>
        <v/>
      </c>
      <c r="F786" s="22">
        <f>EXP(SUM(Painel_diario!$L$4597:$L$4598))-1</f>
        <v/>
      </c>
    </row>
    <row r="787">
      <c r="A787" t="n">
        <v>3</v>
      </c>
      <c r="B787" s="22">
        <f>EXP(SUM(Painel_diario!$L$2056:$L$2058))-1</f>
        <v/>
      </c>
      <c r="C787" s="22">
        <f>EXP(SUM(Painel_diario!$L$2386:$L$2388))-1</f>
        <v/>
      </c>
      <c r="D787" s="22">
        <f>EXP(SUM(Painel_diario!$L$3888:$L$3890))-1</f>
        <v/>
      </c>
      <c r="E787" s="22">
        <f>EXP(SUM(Painel_diario!$L$4117:$L$4119))-1</f>
        <v/>
      </c>
      <c r="F787" s="22">
        <f>EXP(SUM(Painel_diario!$L$4597:$L$4599))-1</f>
        <v/>
      </c>
    </row>
    <row r="788">
      <c r="A788" t="n">
        <v>4</v>
      </c>
      <c r="B788" s="22">
        <f>EXP(SUM(Painel_diario!$L$2056:$L$2059))-1</f>
        <v/>
      </c>
      <c r="C788" s="22">
        <f>EXP(SUM(Painel_diario!$L$2386:$L$2389))-1</f>
        <v/>
      </c>
      <c r="D788" s="22">
        <f>EXP(SUM(Painel_diario!$L$3888:$L$3891))-1</f>
        <v/>
      </c>
      <c r="E788" s="22">
        <f>EXP(SUM(Painel_diario!$L$4117:$L$4120))-1</f>
        <v/>
      </c>
      <c r="F788" s="22">
        <f>EXP(SUM(Painel_diario!$L$4597:$L$4600))-1</f>
        <v/>
      </c>
    </row>
    <row r="789">
      <c r="A789" t="n">
        <v>5</v>
      </c>
      <c r="B789" s="22">
        <f>EXP(SUM(Painel_diario!$L$2056:$L$2060))-1</f>
        <v/>
      </c>
      <c r="C789" s="22">
        <f>EXP(SUM(Painel_diario!$L$2386:$L$2390))-1</f>
        <v/>
      </c>
      <c r="D789" s="22">
        <f>EXP(SUM(Painel_diario!$L$3888:$L$3892))-1</f>
        <v/>
      </c>
      <c r="E789" s="22">
        <f>EXP(SUM(Painel_diario!$L$4117:$L$4121))-1</f>
        <v/>
      </c>
      <c r="F789" s="22">
        <f>EXP(SUM(Painel_diario!$L$4597:$L$4601))-1</f>
        <v/>
      </c>
    </row>
    <row r="790">
      <c r="A790" t="n">
        <v>6</v>
      </c>
      <c r="B790" s="22">
        <f>EXP(SUM(Painel_diario!$L$2056:$L$2061))-1</f>
        <v/>
      </c>
      <c r="C790" s="22">
        <f>EXP(SUM(Painel_diario!$L$2386:$L$2391))-1</f>
        <v/>
      </c>
      <c r="D790" s="22">
        <f>EXP(SUM(Painel_diario!$L$3888:$L$3893))-1</f>
        <v/>
      </c>
      <c r="E790" s="22">
        <f>EXP(SUM(Painel_diario!$L$4117:$L$4122))-1</f>
        <v/>
      </c>
      <c r="F790" s="22">
        <f>EXP(SUM(Painel_diario!$L$4597:$L$4602))-1</f>
        <v/>
      </c>
    </row>
    <row r="791">
      <c r="A791" t="n">
        <v>7</v>
      </c>
      <c r="B791" s="22">
        <f>EXP(SUM(Painel_diario!$L$2056:$L$2062))-1</f>
        <v/>
      </c>
      <c r="C791" s="22">
        <f>EXP(SUM(Painel_diario!$L$2386:$L$2392))-1</f>
        <v/>
      </c>
      <c r="D791" s="22">
        <f>EXP(SUM(Painel_diario!$L$3888:$L$3894))-1</f>
        <v/>
      </c>
      <c r="E791" s="22">
        <f>EXP(SUM(Painel_diario!$L$4117:$L$4123))-1</f>
        <v/>
      </c>
      <c r="F791" s="22">
        <f>EXP(SUM(Painel_diario!$L$4597:$L$4603))-1</f>
        <v/>
      </c>
    </row>
    <row r="792">
      <c r="A792" t="n">
        <v>8</v>
      </c>
      <c r="B792" s="22">
        <f>EXP(SUM(Painel_diario!$L$2056:$L$2063))-1</f>
        <v/>
      </c>
      <c r="C792" s="22">
        <f>EXP(SUM(Painel_diario!$L$2386:$L$2393))-1</f>
        <v/>
      </c>
      <c r="D792" s="22">
        <f>EXP(SUM(Painel_diario!$L$3888:$L$3895))-1</f>
        <v/>
      </c>
      <c r="E792" s="22">
        <f>EXP(SUM(Painel_diario!$L$4117:$L$4124))-1</f>
        <v/>
      </c>
      <c r="F792" s="22">
        <f>EXP(SUM(Painel_diario!$L$4597:$L$4604))-1</f>
        <v/>
      </c>
    </row>
    <row r="793">
      <c r="A793" t="n">
        <v>9</v>
      </c>
      <c r="B793" s="22">
        <f>EXP(SUM(Painel_diario!$L$2056:$L$2064))-1</f>
        <v/>
      </c>
      <c r="C793" s="22">
        <f>EXP(SUM(Painel_diario!$L$2386:$L$2394))-1</f>
        <v/>
      </c>
      <c r="D793" s="22">
        <f>EXP(SUM(Painel_diario!$L$3888:$L$3896))-1</f>
        <v/>
      </c>
      <c r="E793" s="22">
        <f>EXP(SUM(Painel_diario!$L$4117:$L$4125))-1</f>
        <v/>
      </c>
      <c r="F793" s="22">
        <f>EXP(SUM(Painel_diario!$L$4597:$L$4605))-1</f>
        <v/>
      </c>
    </row>
    <row r="794">
      <c r="A794" t="n">
        <v>10</v>
      </c>
      <c r="B794" s="22">
        <f>EXP(SUM(Painel_diario!$L$2056:$L$2065))-1</f>
        <v/>
      </c>
      <c r="C794" s="22">
        <f>EXP(SUM(Painel_diario!$L$2386:$L$2395))-1</f>
        <v/>
      </c>
      <c r="D794" s="22">
        <f>EXP(SUM(Painel_diario!$L$3888:$L$3897))-1</f>
        <v/>
      </c>
      <c r="E794" s="22">
        <f>EXP(SUM(Painel_diario!$L$4117:$L$4126))-1</f>
        <v/>
      </c>
      <c r="F794" s="22">
        <f>EXP(SUM(Painel_diario!$L$4597:$L$4606))-1</f>
        <v/>
      </c>
    </row>
    <row r="795">
      <c r="A795" t="n">
        <v>11</v>
      </c>
      <c r="B795" s="22">
        <f>EXP(SUM(Painel_diario!$L$2056:$L$2066))-1</f>
        <v/>
      </c>
      <c r="C795" s="22">
        <f>EXP(SUM(Painel_diario!$L$2386:$L$2396))-1</f>
        <v/>
      </c>
      <c r="D795" s="22">
        <f>EXP(SUM(Painel_diario!$L$3888:$L$3898))-1</f>
        <v/>
      </c>
      <c r="E795" s="22">
        <f>EXP(SUM(Painel_diario!$L$4117:$L$4127))-1</f>
        <v/>
      </c>
      <c r="F795" s="22">
        <f>EXP(SUM(Painel_diario!$L$4597:$L$4607))-1</f>
        <v/>
      </c>
    </row>
    <row r="796">
      <c r="A796" t="n">
        <v>12</v>
      </c>
      <c r="B796" s="22">
        <f>EXP(SUM(Painel_diario!$L$2056:$L$2067))-1</f>
        <v/>
      </c>
      <c r="C796" s="22">
        <f>EXP(SUM(Painel_diario!$L$2386:$L$2397))-1</f>
        <v/>
      </c>
      <c r="D796" s="22">
        <f>EXP(SUM(Painel_diario!$L$3888:$L$3899))-1</f>
        <v/>
      </c>
      <c r="E796" s="22">
        <f>EXP(SUM(Painel_diario!$L$4117:$L$4128))-1</f>
        <v/>
      </c>
      <c r="F796" s="22">
        <f>EXP(SUM(Painel_diario!$L$4597:$L$4608))-1</f>
        <v/>
      </c>
    </row>
    <row r="797">
      <c r="A797" t="n">
        <v>13</v>
      </c>
      <c r="B797" s="22">
        <f>EXP(SUM(Painel_diario!$L$2056:$L$2068))-1</f>
        <v/>
      </c>
      <c r="C797" s="22">
        <f>EXP(SUM(Painel_diario!$L$2386:$L$2398))-1</f>
        <v/>
      </c>
      <c r="D797" s="22">
        <f>EXP(SUM(Painel_diario!$L$3888:$L$3900))-1</f>
        <v/>
      </c>
      <c r="E797" s="22">
        <f>EXP(SUM(Painel_diario!$L$4117:$L$4129))-1</f>
        <v/>
      </c>
      <c r="F797" s="22">
        <f>EXP(SUM(Painel_diario!$L$4597:$L$4609))-1</f>
        <v/>
      </c>
    </row>
    <row r="798">
      <c r="A798" t="n">
        <v>14</v>
      </c>
      <c r="B798" s="22">
        <f>EXP(SUM(Painel_diario!$L$2056:$L$2069))-1</f>
        <v/>
      </c>
      <c r="C798" s="22">
        <f>EXP(SUM(Painel_diario!$L$2386:$L$2399))-1</f>
        <v/>
      </c>
      <c r="D798" s="22">
        <f>EXP(SUM(Painel_diario!$L$3888:$L$3901))-1</f>
        <v/>
      </c>
      <c r="E798" s="22">
        <f>EXP(SUM(Painel_diario!$L$4117:$L$4130))-1</f>
        <v/>
      </c>
      <c r="F798" s="22">
        <f>EXP(SUM(Painel_diario!$L$4597:$L$4610))-1</f>
        <v/>
      </c>
    </row>
    <row r="799">
      <c r="A799" t="n">
        <v>15</v>
      </c>
      <c r="B799" s="22">
        <f>EXP(SUM(Painel_diario!$L$2056:$L$2070))-1</f>
        <v/>
      </c>
      <c r="C799" s="22">
        <f>EXP(SUM(Painel_diario!$L$2386:$L$2400))-1</f>
        <v/>
      </c>
      <c r="D799" s="22">
        <f>EXP(SUM(Painel_diario!$L$3888:$L$3902))-1</f>
        <v/>
      </c>
      <c r="E799" s="22">
        <f>EXP(SUM(Painel_diario!$L$4117:$L$4131))-1</f>
        <v/>
      </c>
      <c r="F799" s="22">
        <f>EXP(SUM(Painel_diario!$L$4597:$L$4611))-1</f>
        <v/>
      </c>
    </row>
    <row r="800">
      <c r="A800" t="n">
        <v>16</v>
      </c>
      <c r="B800" s="22">
        <f>EXP(SUM(Painel_diario!$L$2056:$L$2071))-1</f>
        <v/>
      </c>
      <c r="C800" s="22">
        <f>EXP(SUM(Painel_diario!$L$2386:$L$2401))-1</f>
        <v/>
      </c>
      <c r="D800" s="22">
        <f>EXP(SUM(Painel_diario!$L$3888:$L$3903))-1</f>
        <v/>
      </c>
      <c r="E800" s="22">
        <f>EXP(SUM(Painel_diario!$L$4117:$L$4132))-1</f>
        <v/>
      </c>
      <c r="F800" s="22">
        <f>EXP(SUM(Painel_diario!$L$4597:$L$4612))-1</f>
        <v/>
      </c>
    </row>
    <row r="801">
      <c r="A801" t="n">
        <v>17</v>
      </c>
      <c r="B801" s="22">
        <f>EXP(SUM(Painel_diario!$L$2056:$L$2072))-1</f>
        <v/>
      </c>
      <c r="C801" s="22">
        <f>EXP(SUM(Painel_diario!$L$2386:$L$2402))-1</f>
        <v/>
      </c>
      <c r="D801" s="22">
        <f>EXP(SUM(Painel_diario!$L$3888:$L$3904))-1</f>
        <v/>
      </c>
      <c r="E801" s="22">
        <f>EXP(SUM(Painel_diario!$L$4117:$L$4133))-1</f>
        <v/>
      </c>
      <c r="F801" s="22">
        <f>EXP(SUM(Painel_diario!$L$4597:$L$4613))-1</f>
        <v/>
      </c>
    </row>
    <row r="802">
      <c r="A802" t="n">
        <v>18</v>
      </c>
      <c r="B802" s="22">
        <f>EXP(SUM(Painel_diario!$L$2056:$L$2073))-1</f>
        <v/>
      </c>
      <c r="C802" s="22">
        <f>EXP(SUM(Painel_diario!$L$2386:$L$2403))-1</f>
        <v/>
      </c>
      <c r="D802" s="22">
        <f>EXP(SUM(Painel_diario!$L$3888:$L$3905))-1</f>
        <v/>
      </c>
      <c r="E802" s="22">
        <f>EXP(SUM(Painel_diario!$L$4117:$L$4134))-1</f>
        <v/>
      </c>
      <c r="F802" s="22">
        <f>EXP(SUM(Painel_diario!$L$4597:$L$4614))-1</f>
        <v/>
      </c>
    </row>
    <row r="803">
      <c r="A803" t="n">
        <v>19</v>
      </c>
      <c r="B803" s="22">
        <f>EXP(SUM(Painel_diario!$L$2056:$L$2074))-1</f>
        <v/>
      </c>
      <c r="C803" s="22">
        <f>EXP(SUM(Painel_diario!$L$2386:$L$2404))-1</f>
        <v/>
      </c>
      <c r="D803" s="22">
        <f>EXP(SUM(Painel_diario!$L$3888:$L$3906))-1</f>
        <v/>
      </c>
      <c r="E803" s="22">
        <f>EXP(SUM(Painel_diario!$L$4117:$L$4135))-1</f>
        <v/>
      </c>
      <c r="F803" s="22">
        <f>EXP(SUM(Painel_diario!$L$4597:$L$4615))-1</f>
        <v/>
      </c>
    </row>
    <row r="804">
      <c r="A804" t="n">
        <v>20</v>
      </c>
      <c r="B804" s="22">
        <f>EXP(SUM(Painel_diario!$L$2056:$L$2075))-1</f>
        <v/>
      </c>
      <c r="C804" s="22">
        <f>EXP(SUM(Painel_diario!$L$2386:$L$2405))-1</f>
        <v/>
      </c>
      <c r="D804" s="22">
        <f>EXP(SUM(Painel_diario!$L$3888:$L$3907))-1</f>
        <v/>
      </c>
      <c r="E804" s="22">
        <f>EXP(SUM(Painel_diario!$L$4117:$L$4136))-1</f>
        <v/>
      </c>
      <c r="F804" s="22">
        <f>EXP(SUM(Painel_diario!$L$4597:$L$4616))-1</f>
        <v/>
      </c>
    </row>
    <row r="805">
      <c r="A805" t="n">
        <v>21</v>
      </c>
      <c r="B805" s="22">
        <f>EXP(SUM(Painel_diario!$L$2056:$L$2076))-1</f>
        <v/>
      </c>
      <c r="C805" s="22">
        <f>EXP(SUM(Painel_diario!$L$2386:$L$2406))-1</f>
        <v/>
      </c>
      <c r="D805" s="22">
        <f>EXP(SUM(Painel_diario!$L$3888:$L$3908))-1</f>
        <v/>
      </c>
      <c r="E805" s="22">
        <f>EXP(SUM(Painel_diario!$L$4117:$L$4137))-1</f>
        <v/>
      </c>
      <c r="F805" s="22">
        <f>EXP(SUM(Painel_diario!$L$4597:$L$4617))-1</f>
        <v/>
      </c>
    </row>
    <row r="806">
      <c r="A806" t="n">
        <v>22</v>
      </c>
      <c r="B806" s="22">
        <f>EXP(SUM(Painel_diario!$L$2056:$L$2077))-1</f>
        <v/>
      </c>
      <c r="C806" s="22">
        <f>EXP(SUM(Painel_diario!$L$2386:$L$2407))-1</f>
        <v/>
      </c>
      <c r="D806" s="22">
        <f>EXP(SUM(Painel_diario!$L$3888:$L$3909))-1</f>
        <v/>
      </c>
      <c r="E806" s="22">
        <f>EXP(SUM(Painel_diario!$L$4117:$L$4138))-1</f>
        <v/>
      </c>
      <c r="F806" s="22">
        <f>EXP(SUM(Painel_diario!$L$4597:$L$4618))-1</f>
        <v/>
      </c>
    </row>
    <row r="807">
      <c r="A807" t="n">
        <v>23</v>
      </c>
      <c r="B807" s="22">
        <f>EXP(SUM(Painel_diario!$L$2056:$L$2078))-1</f>
        <v/>
      </c>
      <c r="C807" s="22">
        <f>EXP(SUM(Painel_diario!$L$2386:$L$2408))-1</f>
        <v/>
      </c>
      <c r="D807" s="22">
        <f>EXP(SUM(Painel_diario!$L$3888:$L$3910))-1</f>
        <v/>
      </c>
      <c r="E807" s="22">
        <f>EXP(SUM(Painel_diario!$L$4117:$L$4139))-1</f>
        <v/>
      </c>
      <c r="F807" s="22">
        <f>EXP(SUM(Painel_diario!$L$4597:$L$4619))-1</f>
        <v/>
      </c>
    </row>
    <row r="808">
      <c r="A808" t="n">
        <v>24</v>
      </c>
      <c r="B808" s="22">
        <f>EXP(SUM(Painel_diario!$L$2056:$L$2079))-1</f>
        <v/>
      </c>
      <c r="C808" s="22">
        <f>EXP(SUM(Painel_diario!$L$2386:$L$2409))-1</f>
        <v/>
      </c>
      <c r="D808" s="22">
        <f>EXP(SUM(Painel_diario!$L$3888:$L$3911))-1</f>
        <v/>
      </c>
      <c r="E808" s="22">
        <f>EXP(SUM(Painel_diario!$L$4117:$L$4140))-1</f>
        <v/>
      </c>
      <c r="F808" s="22">
        <f>EXP(SUM(Painel_diario!$L$4597:$L$4620))-1</f>
        <v/>
      </c>
    </row>
    <row r="809">
      <c r="A809" t="n">
        <v>25</v>
      </c>
      <c r="B809" s="22">
        <f>EXP(SUM(Painel_diario!$L$2056:$L$2080))-1</f>
        <v/>
      </c>
      <c r="C809" s="22">
        <f>EXP(SUM(Painel_diario!$L$2386:$L$2410))-1</f>
        <v/>
      </c>
      <c r="D809" s="22">
        <f>EXP(SUM(Painel_diario!$L$3888:$L$3912))-1</f>
        <v/>
      </c>
      <c r="E809" s="22">
        <f>EXP(SUM(Painel_diario!$L$4117:$L$4141))-1</f>
        <v/>
      </c>
      <c r="F809" s="22">
        <f>EXP(SUM(Painel_diario!$L$4597:$L$4621))-1</f>
        <v/>
      </c>
    </row>
    <row r="810">
      <c r="A810" t="n">
        <v>26</v>
      </c>
      <c r="B810" s="22">
        <f>EXP(SUM(Painel_diario!$L$2056:$L$2081))-1</f>
        <v/>
      </c>
      <c r="C810" s="22">
        <f>EXP(SUM(Painel_diario!$L$2386:$L$2411))-1</f>
        <v/>
      </c>
      <c r="D810" s="22">
        <f>EXP(SUM(Painel_diario!$L$3888:$L$3913))-1</f>
        <v/>
      </c>
      <c r="E810" s="22">
        <f>EXP(SUM(Painel_diario!$L$4117:$L$4142))-1</f>
        <v/>
      </c>
      <c r="F810" s="22">
        <f>EXP(SUM(Painel_diario!$L$4597:$L$4622))-1</f>
        <v/>
      </c>
    </row>
    <row r="811">
      <c r="A811" t="n">
        <v>27</v>
      </c>
      <c r="B811" s="22">
        <f>EXP(SUM(Painel_diario!$L$2056:$L$2082))-1</f>
        <v/>
      </c>
      <c r="C811" s="22">
        <f>EXP(SUM(Painel_diario!$L$2386:$L$2412))-1</f>
        <v/>
      </c>
      <c r="D811" s="22">
        <f>EXP(SUM(Painel_diario!$L$3888:$L$3914))-1</f>
        <v/>
      </c>
      <c r="E811" s="22">
        <f>EXP(SUM(Painel_diario!$L$4117:$L$4143))-1</f>
        <v/>
      </c>
      <c r="F811" s="22">
        <f>EXP(SUM(Painel_diario!$L$4597:$L$4623))-1</f>
        <v/>
      </c>
    </row>
    <row r="812">
      <c r="A812" t="n">
        <v>28</v>
      </c>
      <c r="B812" s="22">
        <f>EXP(SUM(Painel_diario!$L$2056:$L$2083))-1</f>
        <v/>
      </c>
      <c r="C812" s="22">
        <f>EXP(SUM(Painel_diario!$L$2386:$L$2413))-1</f>
        <v/>
      </c>
      <c r="D812" s="22">
        <f>EXP(SUM(Painel_diario!$L$3888:$L$3915))-1</f>
        <v/>
      </c>
      <c r="E812" s="22">
        <f>EXP(SUM(Painel_diario!$L$4117:$L$4144))-1</f>
        <v/>
      </c>
      <c r="F812" s="22">
        <f>EXP(SUM(Painel_diario!$L$4597:$L$4624))-1</f>
        <v/>
      </c>
    </row>
    <row r="813">
      <c r="A813" t="n">
        <v>29</v>
      </c>
      <c r="B813" s="22">
        <f>EXP(SUM(Painel_diario!$L$2056:$L$2084))-1</f>
        <v/>
      </c>
      <c r="C813" s="22">
        <f>EXP(SUM(Painel_diario!$L$2386:$L$2414))-1</f>
        <v/>
      </c>
      <c r="D813" s="22">
        <f>EXP(SUM(Painel_diario!$L$3888:$L$3916))-1</f>
        <v/>
      </c>
      <c r="E813" s="22">
        <f>EXP(SUM(Painel_diario!$L$4117:$L$4145))-1</f>
        <v/>
      </c>
      <c r="F813" s="22">
        <f>EXP(SUM(Painel_diario!$L$4597:$L$4625))-1</f>
        <v/>
      </c>
    </row>
    <row r="814">
      <c r="A814" t="n">
        <v>30</v>
      </c>
      <c r="B814" s="22">
        <f>EXP(SUM(Painel_diario!$L$2056:$L$2085))-1</f>
        <v/>
      </c>
      <c r="C814" s="22">
        <f>EXP(SUM(Painel_diario!$L$2386:$L$2415))-1</f>
        <v/>
      </c>
      <c r="D814" s="22">
        <f>EXP(SUM(Painel_diario!$L$3888:$L$3917))-1</f>
        <v/>
      </c>
      <c r="E814" s="22">
        <f>EXP(SUM(Painel_diario!$L$4117:$L$4146))-1</f>
        <v/>
      </c>
      <c r="F814" s="22">
        <f>EXP(SUM(Painel_diario!$L$4597:$L$4626))-1</f>
        <v/>
      </c>
    </row>
    <row r="815">
      <c r="A815" t="n">
        <v>31</v>
      </c>
      <c r="B815" s="22">
        <f>EXP(SUM(Painel_diario!$L$2056:$L$2086))-1</f>
        <v/>
      </c>
      <c r="C815" s="22">
        <f>EXP(SUM(Painel_diario!$L$2386:$L$2416))-1</f>
        <v/>
      </c>
      <c r="D815" s="22">
        <f>EXP(SUM(Painel_diario!$L$3888:$L$3918))-1</f>
        <v/>
      </c>
      <c r="E815" s="22">
        <f>EXP(SUM(Painel_diario!$L$4117:$L$4147))-1</f>
        <v/>
      </c>
      <c r="F815" s="22">
        <f>EXP(SUM(Painel_diario!$L$4597:$L$4627))-1</f>
        <v/>
      </c>
    </row>
    <row r="816">
      <c r="A816" t="n">
        <v>32</v>
      </c>
      <c r="B816" s="22">
        <f>EXP(SUM(Painel_diario!$L$2056:$L$2087))-1</f>
        <v/>
      </c>
      <c r="C816" s="22">
        <f>EXP(SUM(Painel_diario!$L$2386:$L$2417))-1</f>
        <v/>
      </c>
      <c r="D816" s="22">
        <f>EXP(SUM(Painel_diario!$L$3888:$L$3919))-1</f>
        <v/>
      </c>
      <c r="E816" s="22">
        <f>EXP(SUM(Painel_diario!$L$4117:$L$4148))-1</f>
        <v/>
      </c>
      <c r="F816" s="22">
        <f>EXP(SUM(Painel_diario!$L$4597:$L$4628))-1</f>
        <v/>
      </c>
    </row>
    <row r="817">
      <c r="A817" t="n">
        <v>33</v>
      </c>
      <c r="B817" s="22">
        <f>EXP(SUM(Painel_diario!$L$2056:$L$2088))-1</f>
        <v/>
      </c>
      <c r="C817" s="22">
        <f>EXP(SUM(Painel_diario!$L$2386:$L$2418))-1</f>
        <v/>
      </c>
      <c r="D817" s="22">
        <f>EXP(SUM(Painel_diario!$L$3888:$L$3920))-1</f>
        <v/>
      </c>
      <c r="E817" s="22">
        <f>EXP(SUM(Painel_diario!$L$4117:$L$4149))-1</f>
        <v/>
      </c>
      <c r="F817" s="22">
        <f>EXP(SUM(Painel_diario!$L$4597:$L$4629))-1</f>
        <v/>
      </c>
    </row>
    <row r="818">
      <c r="A818" t="n">
        <v>34</v>
      </c>
      <c r="B818" s="22">
        <f>EXP(SUM(Painel_diario!$L$2056:$L$2089))-1</f>
        <v/>
      </c>
      <c r="C818" s="22">
        <f>EXP(SUM(Painel_diario!$L$2386:$L$2419))-1</f>
        <v/>
      </c>
      <c r="D818" s="22">
        <f>EXP(SUM(Painel_diario!$L$3888:$L$3921))-1</f>
        <v/>
      </c>
      <c r="E818" s="22">
        <f>EXP(SUM(Painel_diario!$L$4117:$L$4150))-1</f>
        <v/>
      </c>
      <c r="F818" s="22">
        <f>EXP(SUM(Painel_diario!$L$4597:$L$4630))-1</f>
        <v/>
      </c>
    </row>
    <row r="819">
      <c r="A819" t="n">
        <v>35</v>
      </c>
      <c r="B819" s="22">
        <f>EXP(SUM(Painel_diario!$L$2056:$L$2090))-1</f>
        <v/>
      </c>
      <c r="C819" s="22">
        <f>EXP(SUM(Painel_diario!$L$2386:$L$2420))-1</f>
        <v/>
      </c>
      <c r="D819" s="22">
        <f>EXP(SUM(Painel_diario!$L$3888:$L$3922))-1</f>
        <v/>
      </c>
      <c r="E819" s="22">
        <f>EXP(SUM(Painel_diario!$L$4117:$L$4151))-1</f>
        <v/>
      </c>
      <c r="F819" s="22">
        <f>EXP(SUM(Painel_diario!$L$4597:$L$4631))-1</f>
        <v/>
      </c>
    </row>
    <row r="820">
      <c r="A820" t="n">
        <v>36</v>
      </c>
      <c r="B820" s="22">
        <f>EXP(SUM(Painel_diario!$L$2056:$L$2091))-1</f>
        <v/>
      </c>
      <c r="C820" s="22">
        <f>EXP(SUM(Painel_diario!$L$2386:$L$2421))-1</f>
        <v/>
      </c>
      <c r="D820" s="22">
        <f>EXP(SUM(Painel_diario!$L$3888:$L$3923))-1</f>
        <v/>
      </c>
      <c r="E820" s="22">
        <f>EXP(SUM(Painel_diario!$L$4117:$L$4152))-1</f>
        <v/>
      </c>
      <c r="F820" s="22">
        <f>EXP(SUM(Painel_diario!$L$4597:$L$4632))-1</f>
        <v/>
      </c>
    </row>
    <row r="821">
      <c r="A821" t="n">
        <v>37</v>
      </c>
      <c r="B821" s="22">
        <f>EXP(SUM(Painel_diario!$L$2056:$L$2092))-1</f>
        <v/>
      </c>
      <c r="C821" s="22">
        <f>EXP(SUM(Painel_diario!$L$2386:$L$2422))-1</f>
        <v/>
      </c>
      <c r="D821" s="22">
        <f>EXP(SUM(Painel_diario!$L$3888:$L$3924))-1</f>
        <v/>
      </c>
      <c r="E821" s="22">
        <f>EXP(SUM(Painel_diario!$L$4117:$L$4153))-1</f>
        <v/>
      </c>
      <c r="F821" s="22">
        <f>EXP(SUM(Painel_diario!$L$4597:$L$4633))-1</f>
        <v/>
      </c>
    </row>
    <row r="822">
      <c r="A822" t="n">
        <v>38</v>
      </c>
      <c r="B822" s="22">
        <f>EXP(SUM(Painel_diario!$L$2056:$L$2093))-1</f>
        <v/>
      </c>
      <c r="C822" s="22">
        <f>EXP(SUM(Painel_diario!$L$2386:$L$2423))-1</f>
        <v/>
      </c>
      <c r="D822" s="22">
        <f>EXP(SUM(Painel_diario!$L$3888:$L$3925))-1</f>
        <v/>
      </c>
      <c r="E822" s="22">
        <f>EXP(SUM(Painel_diario!$L$4117:$L$4154))-1</f>
        <v/>
      </c>
      <c r="F822" s="22">
        <f>EXP(SUM(Painel_diario!$L$4597:$L$4634))-1</f>
        <v/>
      </c>
    </row>
    <row r="823">
      <c r="A823" t="n">
        <v>39</v>
      </c>
      <c r="B823" s="22">
        <f>EXP(SUM(Painel_diario!$L$2056:$L$2094))-1</f>
        <v/>
      </c>
      <c r="C823" s="22">
        <f>EXP(SUM(Painel_diario!$L$2386:$L$2424))-1</f>
        <v/>
      </c>
      <c r="D823" s="22">
        <f>EXP(SUM(Painel_diario!$L$3888:$L$3926))-1</f>
        <v/>
      </c>
      <c r="E823" s="22">
        <f>EXP(SUM(Painel_diario!$L$4117:$L$4155))-1</f>
        <v/>
      </c>
      <c r="F823" s="22">
        <f>EXP(SUM(Painel_diario!$L$4597:$L$4635))-1</f>
        <v/>
      </c>
    </row>
    <row r="824">
      <c r="A824" t="n">
        <v>40</v>
      </c>
      <c r="B824" s="22">
        <f>EXP(SUM(Painel_diario!$L$2056:$L$2095))-1</f>
        <v/>
      </c>
      <c r="C824" s="22">
        <f>EXP(SUM(Painel_diario!$L$2386:$L$2425))-1</f>
        <v/>
      </c>
      <c r="D824" s="22">
        <f>EXP(SUM(Painel_diario!$L$3888:$L$3927))-1</f>
        <v/>
      </c>
      <c r="E824" s="22">
        <f>EXP(SUM(Painel_diario!$L$4117:$L$4156))-1</f>
        <v/>
      </c>
      <c r="F824" s="22">
        <f>EXP(SUM(Painel_diario!$L$4597:$L$4636))-1</f>
        <v/>
      </c>
    </row>
    <row r="825">
      <c r="A825" t="n">
        <v>41</v>
      </c>
      <c r="B825" s="22">
        <f>EXP(SUM(Painel_diario!$L$2056:$L$2096))-1</f>
        <v/>
      </c>
      <c r="C825" s="22">
        <f>EXP(SUM(Painel_diario!$L$2386:$L$2426))-1</f>
        <v/>
      </c>
      <c r="D825" s="22">
        <f>EXP(SUM(Painel_diario!$L$3888:$L$3928))-1</f>
        <v/>
      </c>
      <c r="E825" s="22">
        <f>EXP(SUM(Painel_diario!$L$4117:$L$4157))-1</f>
        <v/>
      </c>
      <c r="F825" s="22">
        <f>EXP(SUM(Painel_diario!$L$4597:$L$4637))-1</f>
        <v/>
      </c>
    </row>
    <row r="826">
      <c r="A826" t="n">
        <v>42</v>
      </c>
      <c r="B826" s="22">
        <f>EXP(SUM(Painel_diario!$L$2056:$L$2097))-1</f>
        <v/>
      </c>
      <c r="C826" s="22">
        <f>EXP(SUM(Painel_diario!$L$2386:$L$2427))-1</f>
        <v/>
      </c>
      <c r="D826" s="22">
        <f>EXP(SUM(Painel_diario!$L$3888:$L$3929))-1</f>
        <v/>
      </c>
      <c r="E826" s="22">
        <f>EXP(SUM(Painel_diario!$L$4117:$L$4158))-1</f>
        <v/>
      </c>
      <c r="F826" s="22">
        <f>EXP(SUM(Painel_diario!$L$4597:$L$4638))-1</f>
        <v/>
      </c>
    </row>
    <row r="827">
      <c r="A827" t="n">
        <v>43</v>
      </c>
      <c r="B827" s="22">
        <f>EXP(SUM(Painel_diario!$L$2056:$L$2098))-1</f>
        <v/>
      </c>
      <c r="C827" s="22">
        <f>EXP(SUM(Painel_diario!$L$2386:$L$2428))-1</f>
        <v/>
      </c>
      <c r="D827" s="22">
        <f>EXP(SUM(Painel_diario!$L$3888:$L$3930))-1</f>
        <v/>
      </c>
      <c r="E827" s="22">
        <f>EXP(SUM(Painel_diario!$L$4117:$L$4159))-1</f>
        <v/>
      </c>
      <c r="F827" s="22">
        <f>EXP(SUM(Painel_diario!$L$4597:$L$4639))-1</f>
        <v/>
      </c>
    </row>
    <row r="828">
      <c r="A828" t="n">
        <v>44</v>
      </c>
      <c r="B828" s="22">
        <f>EXP(SUM(Painel_diario!$L$2056:$L$2099))-1</f>
        <v/>
      </c>
      <c r="C828" s="22">
        <f>EXP(SUM(Painel_diario!$L$2386:$L$2429))-1</f>
        <v/>
      </c>
      <c r="D828" s="22">
        <f>EXP(SUM(Painel_diario!$L$3888:$L$3931))-1</f>
        <v/>
      </c>
      <c r="E828" s="22">
        <f>EXP(SUM(Painel_diario!$L$4117:$L$4160))-1</f>
        <v/>
      </c>
      <c r="F828" s="22">
        <f>EXP(SUM(Painel_diario!$L$4597:$L$4640))-1</f>
        <v/>
      </c>
    </row>
    <row r="829">
      <c r="A829" t="n">
        <v>45</v>
      </c>
      <c r="B829" s="22">
        <f>EXP(SUM(Painel_diario!$L$2056:$L$2100))-1</f>
        <v/>
      </c>
      <c r="C829" s="22">
        <f>EXP(SUM(Painel_diario!$L$2386:$L$2430))-1</f>
        <v/>
      </c>
      <c r="D829" s="22">
        <f>EXP(SUM(Painel_diario!$L$3888:$L$3932))-1</f>
        <v/>
      </c>
      <c r="E829" s="22">
        <f>EXP(SUM(Painel_diario!$L$4117:$L$4161))-1</f>
        <v/>
      </c>
      <c r="F829" s="22">
        <f>EXP(SUM(Painel_diario!$L$4597:$L$4641))-1</f>
        <v/>
      </c>
    </row>
    <row r="830">
      <c r="A830" t="n">
        <v>46</v>
      </c>
      <c r="B830" s="22">
        <f>EXP(SUM(Painel_diario!$L$2056:$L$2101))-1</f>
        <v/>
      </c>
      <c r="C830" s="22">
        <f>EXP(SUM(Painel_diario!$L$2386:$L$2431))-1</f>
        <v/>
      </c>
      <c r="D830" s="22">
        <f>EXP(SUM(Painel_diario!$L$3888:$L$3933))-1</f>
        <v/>
      </c>
      <c r="E830" s="22">
        <f>EXP(SUM(Painel_diario!$L$4117:$L$4162))-1</f>
        <v/>
      </c>
      <c r="F830" s="22">
        <f>EXP(SUM(Painel_diario!$L$4597:$L$4642))-1</f>
        <v/>
      </c>
    </row>
    <row r="831">
      <c r="A831" t="n">
        <v>47</v>
      </c>
      <c r="B831" s="22">
        <f>EXP(SUM(Painel_diario!$L$2056:$L$2102))-1</f>
        <v/>
      </c>
      <c r="C831" s="22">
        <f>EXP(SUM(Painel_diario!$L$2386:$L$2432))-1</f>
        <v/>
      </c>
      <c r="D831" s="22">
        <f>EXP(SUM(Painel_diario!$L$3888:$L$3934))-1</f>
        <v/>
      </c>
      <c r="E831" s="22">
        <f>EXP(SUM(Painel_diario!$L$4117:$L$4163))-1</f>
        <v/>
      </c>
      <c r="F831" s="22">
        <f>EXP(SUM(Painel_diario!$L$4597:$L$4643))-1</f>
        <v/>
      </c>
    </row>
    <row r="832">
      <c r="A832" t="n">
        <v>48</v>
      </c>
      <c r="B832" s="22">
        <f>EXP(SUM(Painel_diario!$L$2056:$L$2103))-1</f>
        <v/>
      </c>
      <c r="C832" s="22">
        <f>EXP(SUM(Painel_diario!$L$2386:$L$2433))-1</f>
        <v/>
      </c>
      <c r="D832" s="22">
        <f>EXP(SUM(Painel_diario!$L$3888:$L$3935))-1</f>
        <v/>
      </c>
      <c r="E832" s="22">
        <f>EXP(SUM(Painel_diario!$L$4117:$L$4164))-1</f>
        <v/>
      </c>
      <c r="F832" s="22">
        <f>EXP(SUM(Painel_diario!$L$4597:$L$4644))-1</f>
        <v/>
      </c>
    </row>
    <row r="833">
      <c r="A833" t="n">
        <v>49</v>
      </c>
      <c r="B833" s="22">
        <f>EXP(SUM(Painel_diario!$L$2056:$L$2104))-1</f>
        <v/>
      </c>
      <c r="C833" s="22">
        <f>EXP(SUM(Painel_diario!$L$2386:$L$2434))-1</f>
        <v/>
      </c>
      <c r="D833" s="22">
        <f>EXP(SUM(Painel_diario!$L$3888:$L$3936))-1</f>
        <v/>
      </c>
      <c r="E833" s="22">
        <f>EXP(SUM(Painel_diario!$L$4117:$L$4165))-1</f>
        <v/>
      </c>
      <c r="F833" s="22">
        <f>EXP(SUM(Painel_diario!$L$4597:$L$4645))-1</f>
        <v/>
      </c>
    </row>
    <row r="834">
      <c r="A834" t="n">
        <v>50</v>
      </c>
      <c r="B834" s="22">
        <f>EXP(SUM(Painel_diario!$L$2056:$L$2105))-1</f>
        <v/>
      </c>
      <c r="C834" s="22">
        <f>EXP(SUM(Painel_diario!$L$2386:$L$2435))-1</f>
        <v/>
      </c>
      <c r="D834" s="22">
        <f>EXP(SUM(Painel_diario!$L$3888:$L$3937))-1</f>
        <v/>
      </c>
      <c r="E834" s="22">
        <f>EXP(SUM(Painel_diario!$L$4117:$L$4166))-1</f>
        <v/>
      </c>
      <c r="F834" s="22">
        <f>EXP(SUM(Painel_diario!$L$4597:$L$4646))-1</f>
        <v/>
      </c>
    </row>
    <row r="835">
      <c r="A835" t="n">
        <v>51</v>
      </c>
      <c r="B835" s="22">
        <f>EXP(SUM(Painel_diario!$L$2056:$L$2106))-1</f>
        <v/>
      </c>
      <c r="C835" s="22">
        <f>EXP(SUM(Painel_diario!$L$2386:$L$2436))-1</f>
        <v/>
      </c>
      <c r="D835" s="22">
        <f>EXP(SUM(Painel_diario!$L$3888:$L$3938))-1</f>
        <v/>
      </c>
      <c r="E835" s="22">
        <f>EXP(SUM(Painel_diario!$L$4117:$L$4167))-1</f>
        <v/>
      </c>
      <c r="F835" s="22">
        <f>EXP(SUM(Painel_diario!$L$4597:$L$4647))-1</f>
        <v/>
      </c>
    </row>
    <row r="836">
      <c r="A836" t="n">
        <v>52</v>
      </c>
      <c r="B836" s="22">
        <f>EXP(SUM(Painel_diario!$L$2056:$L$2107))-1</f>
        <v/>
      </c>
      <c r="C836" s="22">
        <f>EXP(SUM(Painel_diario!$L$2386:$L$2437))-1</f>
        <v/>
      </c>
      <c r="D836" s="22">
        <f>EXP(SUM(Painel_diario!$L$3888:$L$3939))-1</f>
        <v/>
      </c>
      <c r="E836" s="22">
        <f>EXP(SUM(Painel_diario!$L$4117:$L$4168))-1</f>
        <v/>
      </c>
      <c r="F836" s="22">
        <f>EXP(SUM(Painel_diario!$L$4597:$L$4648))-1</f>
        <v/>
      </c>
    </row>
    <row r="837">
      <c r="A837" t="n">
        <v>53</v>
      </c>
      <c r="B837" s="22">
        <f>EXP(SUM(Painel_diario!$L$2056:$L$2108))-1</f>
        <v/>
      </c>
      <c r="C837" s="22">
        <f>EXP(SUM(Painel_diario!$L$2386:$L$2438))-1</f>
        <v/>
      </c>
      <c r="D837" s="22">
        <f>EXP(SUM(Painel_diario!$L$3888:$L$3940))-1</f>
        <v/>
      </c>
      <c r="E837" s="22">
        <f>EXP(SUM(Painel_diario!$L$4117:$L$4169))-1</f>
        <v/>
      </c>
      <c r="F837" s="22">
        <f>EXP(SUM(Painel_diario!$L$4597:$L$4649))-1</f>
        <v/>
      </c>
    </row>
    <row r="838">
      <c r="A838" t="n">
        <v>54</v>
      </c>
      <c r="B838" s="22">
        <f>EXP(SUM(Painel_diario!$L$2056:$L$2109))-1</f>
        <v/>
      </c>
      <c r="C838" s="22">
        <f>EXP(SUM(Painel_diario!$L$2386:$L$2439))-1</f>
        <v/>
      </c>
      <c r="D838" s="22">
        <f>EXP(SUM(Painel_diario!$L$3888:$L$3941))-1</f>
        <v/>
      </c>
      <c r="E838" s="22">
        <f>EXP(SUM(Painel_diario!$L$4117:$L$4170))-1</f>
        <v/>
      </c>
      <c r="F838" s="22">
        <f>EXP(SUM(Painel_diario!$L$4597:$L$4650))-1</f>
        <v/>
      </c>
    </row>
    <row r="839">
      <c r="A839" t="n">
        <v>55</v>
      </c>
      <c r="B839" s="22">
        <f>EXP(SUM(Painel_diario!$L$2056:$L$2110))-1</f>
        <v/>
      </c>
      <c r="C839" s="22">
        <f>EXP(SUM(Painel_diario!$L$2386:$L$2440))-1</f>
        <v/>
      </c>
      <c r="D839" s="22">
        <f>EXP(SUM(Painel_diario!$L$3888:$L$3942))-1</f>
        <v/>
      </c>
      <c r="E839" s="22">
        <f>EXP(SUM(Painel_diario!$L$4117:$L$4171))-1</f>
        <v/>
      </c>
      <c r="F839" s="22">
        <f>EXP(SUM(Painel_diario!$L$4597:$L$4651))-1</f>
        <v/>
      </c>
    </row>
    <row r="840">
      <c r="A840" t="n">
        <v>56</v>
      </c>
      <c r="B840" s="22">
        <f>EXP(SUM(Painel_diario!$L$2056:$L$2111))-1</f>
        <v/>
      </c>
      <c r="C840" s="22">
        <f>EXP(SUM(Painel_diario!$L$2386:$L$2441))-1</f>
        <v/>
      </c>
      <c r="D840" s="22">
        <f>EXP(SUM(Painel_diario!$L$3888:$L$3943))-1</f>
        <v/>
      </c>
      <c r="E840" s="22">
        <f>EXP(SUM(Painel_diario!$L$4117:$L$4172))-1</f>
        <v/>
      </c>
      <c r="F840" s="22">
        <f>EXP(SUM(Painel_diario!$L$4597:$L$4652))-1</f>
        <v/>
      </c>
    </row>
    <row r="841">
      <c r="A841" t="n">
        <v>57</v>
      </c>
      <c r="B841" s="22">
        <f>EXP(SUM(Painel_diario!$L$2056:$L$2112))-1</f>
        <v/>
      </c>
      <c r="C841" s="22">
        <f>EXP(SUM(Painel_diario!$L$2386:$L$2442))-1</f>
        <v/>
      </c>
      <c r="D841" s="22">
        <f>EXP(SUM(Painel_diario!$L$3888:$L$3944))-1</f>
        <v/>
      </c>
      <c r="E841" s="22">
        <f>EXP(SUM(Painel_diario!$L$4117:$L$4173))-1</f>
        <v/>
      </c>
      <c r="F841" s="22">
        <f>EXP(SUM(Painel_diario!$L$4597:$L$4653))-1</f>
        <v/>
      </c>
    </row>
    <row r="842">
      <c r="A842" t="n">
        <v>58</v>
      </c>
      <c r="B842" s="22">
        <f>EXP(SUM(Painel_diario!$L$2056:$L$2113))-1</f>
        <v/>
      </c>
      <c r="C842" s="22">
        <f>EXP(SUM(Painel_diario!$L$2386:$L$2443))-1</f>
        <v/>
      </c>
      <c r="D842" s="22">
        <f>EXP(SUM(Painel_diario!$L$3888:$L$3945))-1</f>
        <v/>
      </c>
      <c r="E842" s="22">
        <f>EXP(SUM(Painel_diario!$L$4117:$L$4174))-1</f>
        <v/>
      </c>
      <c r="F842" s="22">
        <f>EXP(SUM(Painel_diario!$L$4597:$L$4654))-1</f>
        <v/>
      </c>
    </row>
    <row r="843">
      <c r="A843" t="n">
        <v>59</v>
      </c>
      <c r="B843" s="22">
        <f>EXP(SUM(Painel_diario!$L$2056:$L$2114))-1</f>
        <v/>
      </c>
      <c r="C843" s="22">
        <f>EXP(SUM(Painel_diario!$L$2386:$L$2444))-1</f>
        <v/>
      </c>
      <c r="D843" s="22">
        <f>EXP(SUM(Painel_diario!$L$3888:$L$3946))-1</f>
        <v/>
      </c>
      <c r="E843" s="22">
        <f>EXP(SUM(Painel_diario!$L$4117:$L$4175))-1</f>
        <v/>
      </c>
      <c r="F843" s="22">
        <f>EXP(SUM(Painel_diario!$L$4597:$L$4655))-1</f>
        <v/>
      </c>
    </row>
    <row r="844">
      <c r="A844" t="n">
        <v>60</v>
      </c>
      <c r="B844" s="22">
        <f>EXP(SUM(Painel_diario!$L$2056:$L$2115))-1</f>
        <v/>
      </c>
      <c r="C844" s="22">
        <f>EXP(SUM(Painel_diario!$L$2386:$L$2445))-1</f>
        <v/>
      </c>
      <c r="D844" s="22">
        <f>EXP(SUM(Painel_diario!$L$3888:$L$3947))-1</f>
        <v/>
      </c>
      <c r="E844" s="22">
        <f>EXP(SUM(Painel_diario!$L$4117:$L$4176))-1</f>
        <v/>
      </c>
      <c r="F844" s="22">
        <f>EXP(SUM(Painel_diario!$L$4597:$L$4656))-1</f>
        <v/>
      </c>
    </row>
    <row r="845">
      <c r="A845" t="n">
        <v>61</v>
      </c>
      <c r="B845" s="22">
        <f>EXP(SUM(Painel_diario!$L$2056:$L$2116))-1</f>
        <v/>
      </c>
      <c r="C845" s="22">
        <f>EXP(SUM(Painel_diario!$L$2386:$L$2446))-1</f>
        <v/>
      </c>
      <c r="D845" s="22">
        <f>EXP(SUM(Painel_diario!$L$3888:$L$3948))-1</f>
        <v/>
      </c>
      <c r="E845" s="22">
        <f>EXP(SUM(Painel_diario!$L$4117:$L$4177))-1</f>
        <v/>
      </c>
      <c r="F845" s="22">
        <f>EXP(SUM(Painel_diario!$L$4597:$L$4657))-1</f>
        <v/>
      </c>
    </row>
    <row r="846">
      <c r="A846" t="n">
        <v>62</v>
      </c>
      <c r="B846" s="22">
        <f>EXP(SUM(Painel_diario!$L$2056:$L$2117))-1</f>
        <v/>
      </c>
      <c r="C846" s="22">
        <f>EXP(SUM(Painel_diario!$L$2386:$L$2447))-1</f>
        <v/>
      </c>
      <c r="D846" s="22">
        <f>EXP(SUM(Painel_diario!$L$3888:$L$3949))-1</f>
        <v/>
      </c>
      <c r="E846" s="22">
        <f>EXP(SUM(Painel_diario!$L$4117:$L$4178))-1</f>
        <v/>
      </c>
      <c r="F846" s="22">
        <f>EXP(SUM(Painel_diario!$L$4597:$L$4658))-1</f>
        <v/>
      </c>
    </row>
    <row r="847">
      <c r="A847" t="n">
        <v>63</v>
      </c>
      <c r="B847" s="22">
        <f>EXP(SUM(Painel_diario!$L$2056:$L$2118))-1</f>
        <v/>
      </c>
      <c r="C847" s="22">
        <f>EXP(SUM(Painel_diario!$L$2386:$L$2448))-1</f>
        <v/>
      </c>
      <c r="D847" s="22">
        <f>EXP(SUM(Painel_diario!$L$3888:$L$3950))-1</f>
        <v/>
      </c>
      <c r="E847" s="22">
        <f>EXP(SUM(Painel_diario!$L$4117:$L$4179))-1</f>
        <v/>
      </c>
      <c r="F847" s="22">
        <f>EXP(SUM(Painel_diario!$L$4597:$L$4659))-1</f>
        <v/>
      </c>
    </row>
    <row r="848">
      <c r="A848" t="n">
        <v>64</v>
      </c>
      <c r="B848" s="22">
        <f>EXP(SUM(Painel_diario!$L$2056:$L$2119))-1</f>
        <v/>
      </c>
      <c r="C848" s="22">
        <f>EXP(SUM(Painel_diario!$L$2386:$L$2449))-1</f>
        <v/>
      </c>
      <c r="D848" s="22">
        <f>EXP(SUM(Painel_diario!$L$3888:$L$3951))-1</f>
        <v/>
      </c>
      <c r="E848" s="22">
        <f>EXP(SUM(Painel_diario!$L$4117:$L$4180))-1</f>
        <v/>
      </c>
      <c r="F848" s="22">
        <f>EXP(SUM(Painel_diario!$L$4597:$L$4660))-1</f>
        <v/>
      </c>
    </row>
    <row r="849">
      <c r="A849" t="n">
        <v>65</v>
      </c>
      <c r="B849" s="22">
        <f>EXP(SUM(Painel_diario!$L$2056:$L$2120))-1</f>
        <v/>
      </c>
      <c r="C849" s="22">
        <f>EXP(SUM(Painel_diario!$L$2386:$L$2450))-1</f>
        <v/>
      </c>
      <c r="D849" s="22">
        <f>EXP(SUM(Painel_diario!$L$3888:$L$3952))-1</f>
        <v/>
      </c>
      <c r="E849" s="22">
        <f>EXP(SUM(Painel_diario!$L$4117:$L$4181))-1</f>
        <v/>
      </c>
      <c r="F849" s="22">
        <f>EXP(SUM(Painel_diario!$L$4597:$L$4661))-1</f>
        <v/>
      </c>
    </row>
    <row r="850">
      <c r="A850" t="n">
        <v>66</v>
      </c>
      <c r="B850" s="22">
        <f>EXP(SUM(Painel_diario!$L$2056:$L$2121))-1</f>
        <v/>
      </c>
      <c r="C850" s="22">
        <f>EXP(SUM(Painel_diario!$L$2386:$L$2451))-1</f>
        <v/>
      </c>
      <c r="D850" s="22">
        <f>EXP(SUM(Painel_diario!$L$3888:$L$3953))-1</f>
        <v/>
      </c>
      <c r="E850" s="22">
        <f>EXP(SUM(Painel_diario!$L$4117:$L$4182))-1</f>
        <v/>
      </c>
      <c r="F850" s="22">
        <f>EXP(SUM(Painel_diario!$L$4597:$L$4662))-1</f>
        <v/>
      </c>
    </row>
    <row r="851">
      <c r="A851" t="n">
        <v>67</v>
      </c>
      <c r="B851" s="22">
        <f>EXP(SUM(Painel_diario!$L$2056:$L$2122))-1</f>
        <v/>
      </c>
      <c r="C851" s="22">
        <f>EXP(SUM(Painel_diario!$L$2386:$L$2452))-1</f>
        <v/>
      </c>
      <c r="D851" s="22">
        <f>EXP(SUM(Painel_diario!$L$3888:$L$3954))-1</f>
        <v/>
      </c>
      <c r="E851" s="22">
        <f>EXP(SUM(Painel_diario!$L$4117:$L$4183))-1</f>
        <v/>
      </c>
      <c r="F851" s="22">
        <f>EXP(SUM(Painel_diario!$L$4597:$L$4663))-1</f>
        <v/>
      </c>
    </row>
    <row r="852">
      <c r="A852" t="n">
        <v>68</v>
      </c>
      <c r="B852" s="22">
        <f>EXP(SUM(Painel_diario!$L$2056:$L$2123))-1</f>
        <v/>
      </c>
      <c r="C852" s="22">
        <f>EXP(SUM(Painel_diario!$L$2386:$L$2453))-1</f>
        <v/>
      </c>
      <c r="D852" s="22">
        <f>EXP(SUM(Painel_diario!$L$3888:$L$3955))-1</f>
        <v/>
      </c>
      <c r="E852" s="22">
        <f>EXP(SUM(Painel_diario!$L$4117:$L$4184))-1</f>
        <v/>
      </c>
      <c r="F852" s="22">
        <f>EXP(SUM(Painel_diario!$L$4597:$L$4664))-1</f>
        <v/>
      </c>
    </row>
    <row r="853">
      <c r="A853" t="n">
        <v>69</v>
      </c>
      <c r="B853" s="22">
        <f>EXP(SUM(Painel_diario!$L$2056:$L$2124))-1</f>
        <v/>
      </c>
      <c r="C853" s="22">
        <f>EXP(SUM(Painel_diario!$L$2386:$L$2454))-1</f>
        <v/>
      </c>
      <c r="D853" s="22">
        <f>EXP(SUM(Painel_diario!$L$3888:$L$3956))-1</f>
        <v/>
      </c>
      <c r="E853" s="22">
        <f>EXP(SUM(Painel_diario!$L$4117:$L$4185))-1</f>
        <v/>
      </c>
      <c r="F853" s="22">
        <f>EXP(SUM(Painel_diario!$L$4597:$L$4665))-1</f>
        <v/>
      </c>
    </row>
    <row r="854">
      <c r="A854" t="n">
        <v>70</v>
      </c>
      <c r="B854" s="22">
        <f>EXP(SUM(Painel_diario!$L$2056:$L$2125))-1</f>
        <v/>
      </c>
      <c r="C854" s="22">
        <f>EXP(SUM(Painel_diario!$L$2386:$L$2455))-1</f>
        <v/>
      </c>
      <c r="D854" s="22">
        <f>EXP(SUM(Painel_diario!$L$3888:$L$3957))-1</f>
        <v/>
      </c>
      <c r="E854" s="22">
        <f>EXP(SUM(Painel_diario!$L$4117:$L$4186))-1</f>
        <v/>
      </c>
      <c r="F854" s="22">
        <f>EXP(SUM(Painel_diario!$L$4597:$L$4666))-1</f>
        <v/>
      </c>
    </row>
    <row r="855">
      <c r="A855" t="n">
        <v>71</v>
      </c>
      <c r="B855" s="22">
        <f>EXP(SUM(Painel_diario!$L$2056:$L$2126))-1</f>
        <v/>
      </c>
      <c r="C855" s="22">
        <f>EXP(SUM(Painel_diario!$L$2386:$L$2456))-1</f>
        <v/>
      </c>
      <c r="D855" s="22">
        <f>EXP(SUM(Painel_diario!$L$3888:$L$3958))-1</f>
        <v/>
      </c>
      <c r="E855" s="22">
        <f>EXP(SUM(Painel_diario!$L$4117:$L$4187))-1</f>
        <v/>
      </c>
      <c r="F855" s="22">
        <f>EXP(SUM(Painel_diario!$L$4597:$L$4667))-1</f>
        <v/>
      </c>
    </row>
    <row r="856">
      <c r="A856" t="n">
        <v>72</v>
      </c>
      <c r="B856" s="22">
        <f>EXP(SUM(Painel_diario!$L$2056:$L$2127))-1</f>
        <v/>
      </c>
      <c r="C856" s="22">
        <f>EXP(SUM(Painel_diario!$L$2386:$L$2457))-1</f>
        <v/>
      </c>
      <c r="D856" s="22">
        <f>EXP(SUM(Painel_diario!$L$3888:$L$3959))-1</f>
        <v/>
      </c>
      <c r="E856" s="22">
        <f>EXP(SUM(Painel_diario!$L$4117:$L$4188))-1</f>
        <v/>
      </c>
      <c r="F856" s="22">
        <f>EXP(SUM(Painel_diario!$L$4597:$L$4668))-1</f>
        <v/>
      </c>
    </row>
    <row r="857">
      <c r="A857" t="n">
        <v>73</v>
      </c>
      <c r="B857" s="22">
        <f>EXP(SUM(Painel_diario!$L$2056:$L$2128))-1</f>
        <v/>
      </c>
      <c r="C857" s="22">
        <f>EXP(SUM(Painel_diario!$L$2386:$L$2458))-1</f>
        <v/>
      </c>
      <c r="D857" s="22">
        <f>EXP(SUM(Painel_diario!$L$3888:$L$3960))-1</f>
        <v/>
      </c>
      <c r="E857" s="22">
        <f>EXP(SUM(Painel_diario!$L$4117:$L$4189))-1</f>
        <v/>
      </c>
      <c r="F857" s="22">
        <f>EXP(SUM(Painel_diario!$L$4597:$L$4669))-1</f>
        <v/>
      </c>
    </row>
    <row r="858">
      <c r="A858" t="n">
        <v>74</v>
      </c>
      <c r="B858" s="22">
        <f>EXP(SUM(Painel_diario!$L$2056:$L$2129))-1</f>
        <v/>
      </c>
      <c r="C858" s="22">
        <f>EXP(SUM(Painel_diario!$L$2386:$L$2459))-1</f>
        <v/>
      </c>
      <c r="D858" s="22">
        <f>EXP(SUM(Painel_diario!$L$3888:$L$3961))-1</f>
        <v/>
      </c>
      <c r="E858" s="22">
        <f>EXP(SUM(Painel_diario!$L$4117:$L$4190))-1</f>
        <v/>
      </c>
      <c r="F858" s="22">
        <f>EXP(SUM(Painel_diario!$L$4597:$L$4670))-1</f>
        <v/>
      </c>
    </row>
    <row r="859">
      <c r="A859" t="n">
        <v>75</v>
      </c>
      <c r="B859" s="22">
        <f>EXP(SUM(Painel_diario!$L$2056:$L$2130))-1</f>
        <v/>
      </c>
      <c r="C859" s="22">
        <f>EXP(SUM(Painel_diario!$L$2386:$L$2460))-1</f>
        <v/>
      </c>
      <c r="D859" s="22">
        <f>EXP(SUM(Painel_diario!$L$3888:$L$3962))-1</f>
        <v/>
      </c>
      <c r="E859" s="22">
        <f>EXP(SUM(Painel_diario!$L$4117:$L$4191))-1</f>
        <v/>
      </c>
      <c r="F859" s="22">
        <f>EXP(SUM(Painel_diario!$L$4597:$L$4671))-1</f>
        <v/>
      </c>
    </row>
    <row r="860">
      <c r="A860" t="n">
        <v>76</v>
      </c>
      <c r="B860" s="22">
        <f>EXP(SUM(Painel_diario!$L$2056:$L$2131))-1</f>
        <v/>
      </c>
      <c r="C860" s="22">
        <f>EXP(SUM(Painel_diario!$L$2386:$L$2461))-1</f>
        <v/>
      </c>
      <c r="D860" s="22">
        <f>EXP(SUM(Painel_diario!$L$3888:$L$3963))-1</f>
        <v/>
      </c>
      <c r="E860" s="22">
        <f>EXP(SUM(Painel_diario!$L$4117:$L$4192))-1</f>
        <v/>
      </c>
      <c r="F860" s="22">
        <f>EXP(SUM(Painel_diario!$L$4597:$L$4672))-1</f>
        <v/>
      </c>
    </row>
    <row r="861">
      <c r="A861" t="n">
        <v>77</v>
      </c>
      <c r="B861" s="22">
        <f>EXP(SUM(Painel_diario!$L$2056:$L$2132))-1</f>
        <v/>
      </c>
      <c r="C861" s="22">
        <f>EXP(SUM(Painel_diario!$L$2386:$L$2462))-1</f>
        <v/>
      </c>
      <c r="D861" s="22">
        <f>EXP(SUM(Painel_diario!$L$3888:$L$3964))-1</f>
        <v/>
      </c>
      <c r="E861" s="22">
        <f>EXP(SUM(Painel_diario!$L$4117:$L$4193))-1</f>
        <v/>
      </c>
      <c r="F861" s="22">
        <f>EXP(SUM(Painel_diario!$L$4597:$L$4673))-1</f>
        <v/>
      </c>
    </row>
    <row r="862">
      <c r="A862" t="n">
        <v>78</v>
      </c>
      <c r="B862" s="22">
        <f>EXP(SUM(Painel_diario!$L$2056:$L$2133))-1</f>
        <v/>
      </c>
      <c r="C862" s="22">
        <f>EXP(SUM(Painel_diario!$L$2386:$L$2463))-1</f>
        <v/>
      </c>
      <c r="D862" s="22">
        <f>EXP(SUM(Painel_diario!$L$3888:$L$3965))-1</f>
        <v/>
      </c>
      <c r="E862" s="22">
        <f>EXP(SUM(Painel_diario!$L$4117:$L$4194))-1</f>
        <v/>
      </c>
      <c r="F862" s="22">
        <f>EXP(SUM(Painel_diario!$L$4597:$L$4674))-1</f>
        <v/>
      </c>
    </row>
    <row r="863">
      <c r="A863" t="n">
        <v>79</v>
      </c>
      <c r="B863" s="22">
        <f>EXP(SUM(Painel_diario!$L$2056:$L$2134))-1</f>
        <v/>
      </c>
      <c r="C863" s="22">
        <f>EXP(SUM(Painel_diario!$L$2386:$L$2464))-1</f>
        <v/>
      </c>
      <c r="D863" s="22">
        <f>EXP(SUM(Painel_diario!$L$3888:$L$3966))-1</f>
        <v/>
      </c>
      <c r="E863" s="22">
        <f>EXP(SUM(Painel_diario!$L$4117:$L$4195))-1</f>
        <v/>
      </c>
      <c r="F863" s="22">
        <f>EXP(SUM(Painel_diario!$L$4597:$L$4675))-1</f>
        <v/>
      </c>
    </row>
    <row r="864">
      <c r="A864" t="n">
        <v>80</v>
      </c>
      <c r="B864" s="22">
        <f>EXP(SUM(Painel_diario!$L$2056:$L$2135))-1</f>
        <v/>
      </c>
      <c r="C864" s="22">
        <f>EXP(SUM(Painel_diario!$L$2386:$L$2465))-1</f>
        <v/>
      </c>
      <c r="D864" s="22">
        <f>EXP(SUM(Painel_diario!$L$3888:$L$3967))-1</f>
        <v/>
      </c>
      <c r="E864" s="22">
        <f>EXP(SUM(Painel_diario!$L$4117:$L$4196))-1</f>
        <v/>
      </c>
      <c r="F864" s="22">
        <f>EXP(SUM(Painel_diario!$L$4597:$L$4676))-1</f>
        <v/>
      </c>
    </row>
    <row r="865">
      <c r="A865" t="n">
        <v>81</v>
      </c>
      <c r="B865" s="22">
        <f>EXP(SUM(Painel_diario!$L$2056:$L$2136))-1</f>
        <v/>
      </c>
      <c r="C865" s="22">
        <f>EXP(SUM(Painel_diario!$L$2386:$L$2466))-1</f>
        <v/>
      </c>
      <c r="D865" s="22">
        <f>EXP(SUM(Painel_diario!$L$3888:$L$3968))-1</f>
        <v/>
      </c>
      <c r="E865" s="22">
        <f>EXP(SUM(Painel_diario!$L$4117:$L$4197))-1</f>
        <v/>
      </c>
      <c r="F865" s="22">
        <f>EXP(SUM(Painel_diario!$L$4597:$L$4677))-1</f>
        <v/>
      </c>
    </row>
    <row r="866">
      <c r="A866" t="n">
        <v>82</v>
      </c>
      <c r="B866" s="22">
        <f>EXP(SUM(Painel_diario!$L$2056:$L$2137))-1</f>
        <v/>
      </c>
      <c r="C866" s="22">
        <f>EXP(SUM(Painel_diario!$L$2386:$L$2467))-1</f>
        <v/>
      </c>
      <c r="D866" s="22">
        <f>EXP(SUM(Painel_diario!$L$3888:$L$3969))-1</f>
        <v/>
      </c>
      <c r="E866" s="22">
        <f>EXP(SUM(Painel_diario!$L$4117:$L$4198))-1</f>
        <v/>
      </c>
      <c r="F866" s="22">
        <f>EXP(SUM(Painel_diario!$L$4597:$L$4678))-1</f>
        <v/>
      </c>
    </row>
    <row r="867">
      <c r="A867" t="n">
        <v>83</v>
      </c>
      <c r="B867" s="22">
        <f>EXP(SUM(Painel_diario!$L$2056:$L$2138))-1</f>
        <v/>
      </c>
      <c r="C867" s="22">
        <f>EXP(SUM(Painel_diario!$L$2386:$L$2468))-1</f>
        <v/>
      </c>
      <c r="D867" s="22">
        <f>EXP(SUM(Painel_diario!$L$3888:$L$3970))-1</f>
        <v/>
      </c>
      <c r="E867" s="22">
        <f>EXP(SUM(Painel_diario!$L$4117:$L$4199))-1</f>
        <v/>
      </c>
      <c r="F867" s="22">
        <f>EXP(SUM(Painel_diario!$L$4597:$L$4679))-1</f>
        <v/>
      </c>
    </row>
    <row r="868">
      <c r="A868" t="n">
        <v>84</v>
      </c>
      <c r="B868" s="22">
        <f>EXP(SUM(Painel_diario!$L$2056:$L$2139))-1</f>
        <v/>
      </c>
      <c r="C868" s="22">
        <f>EXP(SUM(Painel_diario!$L$2386:$L$2469))-1</f>
        <v/>
      </c>
      <c r="D868" s="22">
        <f>EXP(SUM(Painel_diario!$L$3888:$L$3971))-1</f>
        <v/>
      </c>
      <c r="E868" s="22">
        <f>EXP(SUM(Painel_diario!$L$4117:$L$4200))-1</f>
        <v/>
      </c>
      <c r="F868" s="22">
        <f>EXP(SUM(Painel_diario!$L$4597:$L$4680))-1</f>
        <v/>
      </c>
    </row>
    <row r="869">
      <c r="A869" t="n">
        <v>85</v>
      </c>
      <c r="B869" s="22">
        <f>EXP(SUM(Painel_diario!$L$2056:$L$2140))-1</f>
        <v/>
      </c>
      <c r="C869" s="22">
        <f>EXP(SUM(Painel_diario!$L$2386:$L$2470))-1</f>
        <v/>
      </c>
      <c r="D869" s="22">
        <f>EXP(SUM(Painel_diario!$L$3888:$L$3972))-1</f>
        <v/>
      </c>
      <c r="E869" s="22">
        <f>EXP(SUM(Painel_diario!$L$4117:$L$4201))-1</f>
        <v/>
      </c>
      <c r="F869" s="22">
        <f>EXP(SUM(Painel_diario!$L$4597:$L$4681))-1</f>
        <v/>
      </c>
    </row>
    <row r="870">
      <c r="A870" t="n">
        <v>86</v>
      </c>
      <c r="B870" s="22">
        <f>EXP(SUM(Painel_diario!$L$2056:$L$2141))-1</f>
        <v/>
      </c>
      <c r="C870" s="22">
        <f>EXP(SUM(Painel_diario!$L$2386:$L$2471))-1</f>
        <v/>
      </c>
      <c r="D870" s="22">
        <f>EXP(SUM(Painel_diario!$L$3888:$L$3973))-1</f>
        <v/>
      </c>
      <c r="E870" s="22">
        <f>EXP(SUM(Painel_diario!$L$4117:$L$4202))-1</f>
        <v/>
      </c>
      <c r="F870" s="22">
        <f>EXP(SUM(Painel_diario!$L$4597:$L$4682))-1</f>
        <v/>
      </c>
    </row>
    <row r="871">
      <c r="A871" t="n">
        <v>87</v>
      </c>
      <c r="B871" s="22">
        <f>EXP(SUM(Painel_diario!$L$2056:$L$2142))-1</f>
        <v/>
      </c>
      <c r="C871" s="22">
        <f>EXP(SUM(Painel_diario!$L$2386:$L$2472))-1</f>
        <v/>
      </c>
      <c r="D871" s="22">
        <f>EXP(SUM(Painel_diario!$L$3888:$L$3974))-1</f>
        <v/>
      </c>
      <c r="E871" s="22">
        <f>EXP(SUM(Painel_diario!$L$4117:$L$4203))-1</f>
        <v/>
      </c>
      <c r="F871" s="22">
        <f>EXP(SUM(Painel_diario!$L$4597:$L$4683))-1</f>
        <v/>
      </c>
    </row>
    <row r="872">
      <c r="A872" t="n">
        <v>88</v>
      </c>
      <c r="B872" s="22">
        <f>EXP(SUM(Painel_diario!$L$2056:$L$2143))-1</f>
        <v/>
      </c>
      <c r="C872" s="22">
        <f>EXP(SUM(Painel_diario!$L$2386:$L$2473))-1</f>
        <v/>
      </c>
      <c r="D872" s="22">
        <f>EXP(SUM(Painel_diario!$L$3888:$L$3975))-1</f>
        <v/>
      </c>
      <c r="E872" s="22">
        <f>EXP(SUM(Painel_diario!$L$4117:$L$4204))-1</f>
        <v/>
      </c>
      <c r="F872" s="22">
        <f>EXP(SUM(Painel_diario!$L$4597:$L$4684))-1</f>
        <v/>
      </c>
    </row>
    <row r="873">
      <c r="A873" t="n">
        <v>89</v>
      </c>
      <c r="B873" s="22">
        <f>EXP(SUM(Painel_diario!$L$2056:$L$2144))-1</f>
        <v/>
      </c>
      <c r="C873" s="22">
        <f>EXP(SUM(Painel_diario!$L$2386:$L$2474))-1</f>
        <v/>
      </c>
      <c r="D873" s="22">
        <f>EXP(SUM(Painel_diario!$L$3888:$L$3976))-1</f>
        <v/>
      </c>
      <c r="E873" s="22">
        <f>EXP(SUM(Painel_diario!$L$4117:$L$4205))-1</f>
        <v/>
      </c>
      <c r="F873" s="22">
        <f>EXP(SUM(Painel_diario!$L$4597:$L$4685))-1</f>
        <v/>
      </c>
    </row>
    <row r="874">
      <c r="A874" t="n">
        <v>90</v>
      </c>
      <c r="B874" s="22">
        <f>EXP(SUM(Painel_diario!$L$2056:$L$2145))-1</f>
        <v/>
      </c>
      <c r="C874" s="22">
        <f>EXP(SUM(Painel_diario!$L$2386:$L$2475))-1</f>
        <v/>
      </c>
      <c r="D874" s="22">
        <f>EXP(SUM(Painel_diario!$L$3888:$L$3977))-1</f>
        <v/>
      </c>
      <c r="E874" s="22">
        <f>EXP(SUM(Painel_diario!$L$4117:$L$4206))-1</f>
        <v/>
      </c>
      <c r="F874" s="22">
        <f>EXP(SUM(Painel_diario!$L$4597:$L$4686))-1</f>
        <v/>
      </c>
    </row>
    <row r="875">
      <c r="A875" t="n">
        <v>91</v>
      </c>
      <c r="B875" s="22">
        <f>EXP(SUM(Painel_diario!$L$2056:$L$2146))-1</f>
        <v/>
      </c>
      <c r="C875" s="22">
        <f>EXP(SUM(Painel_diario!$L$2386:$L$2476))-1</f>
        <v/>
      </c>
      <c r="D875" s="22">
        <f>EXP(SUM(Painel_diario!$L$3888:$L$3978))-1</f>
        <v/>
      </c>
      <c r="E875" s="22">
        <f>EXP(SUM(Painel_diario!$L$4117:$L$4207))-1</f>
        <v/>
      </c>
      <c r="F875" s="22">
        <f>EXP(SUM(Painel_diario!$L$4597:$L$4687))-1</f>
        <v/>
      </c>
    </row>
    <row r="876">
      <c r="A876" t="n">
        <v>92</v>
      </c>
      <c r="B876" s="22">
        <f>EXP(SUM(Painel_diario!$L$2056:$L$2147))-1</f>
        <v/>
      </c>
      <c r="C876" s="22">
        <f>EXP(SUM(Painel_diario!$L$2386:$L$2477))-1</f>
        <v/>
      </c>
      <c r="D876" s="22">
        <f>EXP(SUM(Painel_diario!$L$3888:$L$3979))-1</f>
        <v/>
      </c>
      <c r="E876" s="22">
        <f>EXP(SUM(Painel_diario!$L$4117:$L$4208))-1</f>
        <v/>
      </c>
      <c r="F876" s="22">
        <f>EXP(SUM(Painel_diario!$L$4597:$L$4688))-1</f>
        <v/>
      </c>
    </row>
    <row r="877">
      <c r="A877" t="n">
        <v>93</v>
      </c>
      <c r="B877" s="22">
        <f>EXP(SUM(Painel_diario!$L$2056:$L$2148))-1</f>
        <v/>
      </c>
      <c r="C877" s="22">
        <f>EXP(SUM(Painel_diario!$L$2386:$L$2478))-1</f>
        <v/>
      </c>
      <c r="D877" s="22">
        <f>EXP(SUM(Painel_diario!$L$3888:$L$3980))-1</f>
        <v/>
      </c>
      <c r="E877" s="22">
        <f>EXP(SUM(Painel_diario!$L$4117:$L$4209))-1</f>
        <v/>
      </c>
      <c r="F877" s="22">
        <f>EXP(SUM(Painel_diario!$L$4597:$L$4689))-1</f>
        <v/>
      </c>
    </row>
    <row r="878">
      <c r="A878" t="n">
        <v>94</v>
      </c>
      <c r="B878" s="22">
        <f>EXP(SUM(Painel_diario!$L$2056:$L$2149))-1</f>
        <v/>
      </c>
      <c r="C878" s="22">
        <f>EXP(SUM(Painel_diario!$L$2386:$L$2479))-1</f>
        <v/>
      </c>
      <c r="D878" s="22">
        <f>EXP(SUM(Painel_diario!$L$3888:$L$3981))-1</f>
        <v/>
      </c>
      <c r="E878" s="22">
        <f>EXP(SUM(Painel_diario!$L$4117:$L$4210))-1</f>
        <v/>
      </c>
      <c r="F878" s="22">
        <f>EXP(SUM(Painel_diario!$L$4597:$L$4690))-1</f>
        <v/>
      </c>
    </row>
    <row r="879">
      <c r="A879" t="n">
        <v>95</v>
      </c>
      <c r="B879" s="22">
        <f>EXP(SUM(Painel_diario!$L$2056:$L$2150))-1</f>
        <v/>
      </c>
      <c r="C879" s="22">
        <f>EXP(SUM(Painel_diario!$L$2386:$L$2480))-1</f>
        <v/>
      </c>
      <c r="D879" s="22">
        <f>EXP(SUM(Painel_diario!$L$3888:$L$3982))-1</f>
        <v/>
      </c>
      <c r="E879" s="22">
        <f>EXP(SUM(Painel_diario!$L$4117:$L$4211))-1</f>
        <v/>
      </c>
      <c r="F879" s="22">
        <f>EXP(SUM(Painel_diario!$L$4597:$L$4691))-1</f>
        <v/>
      </c>
    </row>
    <row r="880">
      <c r="A880" t="n">
        <v>96</v>
      </c>
      <c r="B880" s="22">
        <f>EXP(SUM(Painel_diario!$L$2056:$L$2151))-1</f>
        <v/>
      </c>
      <c r="C880" s="22">
        <f>EXP(SUM(Painel_diario!$L$2386:$L$2481))-1</f>
        <v/>
      </c>
      <c r="D880" s="22">
        <f>EXP(SUM(Painel_diario!$L$3888:$L$3983))-1</f>
        <v/>
      </c>
      <c r="E880" s="22">
        <f>EXP(SUM(Painel_diario!$L$4117:$L$4212))-1</f>
        <v/>
      </c>
      <c r="F880" s="22">
        <f>EXP(SUM(Painel_diario!$L$4597:$L$4692))-1</f>
        <v/>
      </c>
    </row>
    <row r="881">
      <c r="A881" t="n">
        <v>97</v>
      </c>
      <c r="B881" s="22">
        <f>EXP(SUM(Painel_diario!$L$2056:$L$2152))-1</f>
        <v/>
      </c>
      <c r="C881" s="22">
        <f>EXP(SUM(Painel_diario!$L$2386:$L$2482))-1</f>
        <v/>
      </c>
      <c r="D881" s="22">
        <f>EXP(SUM(Painel_diario!$L$3888:$L$3984))-1</f>
        <v/>
      </c>
      <c r="E881" s="22">
        <f>EXP(SUM(Painel_diario!$L$4117:$L$4213))-1</f>
        <v/>
      </c>
      <c r="F881" s="22">
        <f>EXP(SUM(Painel_diario!$L$4597:$L$4693))-1</f>
        <v/>
      </c>
    </row>
    <row r="882">
      <c r="A882" t="n">
        <v>98</v>
      </c>
      <c r="B882" s="22">
        <f>EXP(SUM(Painel_diario!$L$2056:$L$2153))-1</f>
        <v/>
      </c>
      <c r="C882" s="22">
        <f>EXP(SUM(Painel_diario!$L$2386:$L$2483))-1</f>
        <v/>
      </c>
      <c r="D882" s="22">
        <f>EXP(SUM(Painel_diario!$L$3888:$L$3985))-1</f>
        <v/>
      </c>
      <c r="E882" s="22">
        <f>EXP(SUM(Painel_diario!$L$4117:$L$4214))-1</f>
        <v/>
      </c>
      <c r="F882" s="22">
        <f>EXP(SUM(Painel_diario!$L$4597:$L$4694))-1</f>
        <v/>
      </c>
    </row>
    <row r="883">
      <c r="A883" t="n">
        <v>99</v>
      </c>
      <c r="B883" s="22">
        <f>EXP(SUM(Painel_diario!$L$2056:$L$2154))-1</f>
        <v/>
      </c>
      <c r="C883" s="22">
        <f>EXP(SUM(Painel_diario!$L$2386:$L$2484))-1</f>
        <v/>
      </c>
      <c r="D883" s="22">
        <f>EXP(SUM(Painel_diario!$L$3888:$L$3986))-1</f>
        <v/>
      </c>
      <c r="E883" s="22">
        <f>EXP(SUM(Painel_diario!$L$4117:$L$4215))-1</f>
        <v/>
      </c>
      <c r="F883" s="22">
        <f>EXP(SUM(Painel_diario!$L$4597:$L$4695))-1</f>
        <v/>
      </c>
    </row>
    <row r="884">
      <c r="A884" t="n">
        <v>100</v>
      </c>
      <c r="B884" s="22">
        <f>EXP(SUM(Painel_diario!$L$2056:$L$2155))-1</f>
        <v/>
      </c>
      <c r="C884" s="22">
        <f>EXP(SUM(Painel_diario!$L$2386:$L$2485))-1</f>
        <v/>
      </c>
      <c r="D884" s="22">
        <f>EXP(SUM(Painel_diario!$L$3888:$L$3987))-1</f>
        <v/>
      </c>
      <c r="E884" s="22">
        <f>EXP(SUM(Painel_diario!$L$4117:$L$4216))-1</f>
        <v/>
      </c>
      <c r="F884" s="22">
        <f>EXP(SUM(Painel_diario!$L$4597:$L$4696))-1</f>
        <v/>
      </c>
    </row>
    <row r="885">
      <c r="A885" t="n">
        <v>101</v>
      </c>
      <c r="B885" s="22">
        <f>EXP(SUM(Painel_diario!$L$2056:$L$2156))-1</f>
        <v/>
      </c>
      <c r="C885" s="22">
        <f>EXP(SUM(Painel_diario!$L$2386:$L$2486))-1</f>
        <v/>
      </c>
      <c r="D885" s="22">
        <f>EXP(SUM(Painel_diario!$L$3888:$L$3988))-1</f>
        <v/>
      </c>
      <c r="E885" s="22">
        <f>EXP(SUM(Painel_diario!$L$4117:$L$4217))-1</f>
        <v/>
      </c>
      <c r="F885" s="22">
        <f>EXP(SUM(Painel_diario!$L$4597:$L$4697))-1</f>
        <v/>
      </c>
    </row>
    <row r="886">
      <c r="A886" t="n">
        <v>102</v>
      </c>
      <c r="B886" s="22">
        <f>EXP(SUM(Painel_diario!$L$2056:$L$2157))-1</f>
        <v/>
      </c>
      <c r="C886" s="22">
        <f>EXP(SUM(Painel_diario!$L$2386:$L$2487))-1</f>
        <v/>
      </c>
      <c r="D886" s="22">
        <f>EXP(SUM(Painel_diario!$L$3888:$L$3989))-1</f>
        <v/>
      </c>
      <c r="E886" s="22">
        <f>EXP(SUM(Painel_diario!$L$4117:$L$4218))-1</f>
        <v/>
      </c>
      <c r="F886" s="22">
        <f>EXP(SUM(Painel_diario!$L$4597:$L$4698))-1</f>
        <v/>
      </c>
    </row>
    <row r="887">
      <c r="A887" t="n">
        <v>103</v>
      </c>
      <c r="B887" s="22">
        <f>EXP(SUM(Painel_diario!$L$2056:$L$2158))-1</f>
        <v/>
      </c>
      <c r="C887" s="22">
        <f>EXP(SUM(Painel_diario!$L$2386:$L$2488))-1</f>
        <v/>
      </c>
      <c r="D887" s="22">
        <f>EXP(SUM(Painel_diario!$L$3888:$L$3990))-1</f>
        <v/>
      </c>
      <c r="E887" s="22">
        <f>EXP(SUM(Painel_diario!$L$4117:$L$4219))-1</f>
        <v/>
      </c>
      <c r="F887" s="22">
        <f>EXP(SUM(Painel_diario!$L$4597:$L$4699))-1</f>
        <v/>
      </c>
    </row>
    <row r="888">
      <c r="A888" t="n">
        <v>104</v>
      </c>
      <c r="B888" s="22">
        <f>EXP(SUM(Painel_diario!$L$2056:$L$2159))-1</f>
        <v/>
      </c>
      <c r="C888" s="22">
        <f>EXP(SUM(Painel_diario!$L$2386:$L$2489))-1</f>
        <v/>
      </c>
      <c r="D888" s="22">
        <f>EXP(SUM(Painel_diario!$L$3888:$L$3991))-1</f>
        <v/>
      </c>
      <c r="E888" s="22">
        <f>EXP(SUM(Painel_diario!$L$4117:$L$4220))-1</f>
        <v/>
      </c>
      <c r="F888" s="22">
        <f>EXP(SUM(Painel_diario!$L$4597:$L$4700))-1</f>
        <v/>
      </c>
    </row>
    <row r="889">
      <c r="A889" t="n">
        <v>105</v>
      </c>
      <c r="B889" s="22">
        <f>EXP(SUM(Painel_diario!$L$2056:$L$2160))-1</f>
        <v/>
      </c>
      <c r="C889" s="22">
        <f>EXP(SUM(Painel_diario!$L$2386:$L$2490))-1</f>
        <v/>
      </c>
      <c r="D889" s="22">
        <f>EXP(SUM(Painel_diario!$L$3888:$L$3992))-1</f>
        <v/>
      </c>
      <c r="E889" s="22">
        <f>EXP(SUM(Painel_diario!$L$4117:$L$4221))-1</f>
        <v/>
      </c>
      <c r="F889" s="22">
        <f>EXP(SUM(Painel_diario!$L$4597:$L$4701))-1</f>
        <v/>
      </c>
    </row>
    <row r="890">
      <c r="A890" t="n">
        <v>106</v>
      </c>
      <c r="B890" s="22">
        <f>EXP(SUM(Painel_diario!$L$2056:$L$2161))-1</f>
        <v/>
      </c>
      <c r="C890" s="22">
        <f>EXP(SUM(Painel_diario!$L$2386:$L$2491))-1</f>
        <v/>
      </c>
      <c r="D890" s="22">
        <f>EXP(SUM(Painel_diario!$L$3888:$L$3993))-1</f>
        <v/>
      </c>
      <c r="E890" s="22">
        <f>EXP(SUM(Painel_diario!$L$4117:$L$4222))-1</f>
        <v/>
      </c>
      <c r="F890" s="22">
        <f>EXP(SUM(Painel_diario!$L$4597:$L$4702))-1</f>
        <v/>
      </c>
    </row>
    <row r="891">
      <c r="A891" t="n">
        <v>107</v>
      </c>
      <c r="B891" s="22">
        <f>EXP(SUM(Painel_diario!$L$2056:$L$2162))-1</f>
        <v/>
      </c>
      <c r="C891" s="22">
        <f>EXP(SUM(Painel_diario!$L$2386:$L$2492))-1</f>
        <v/>
      </c>
      <c r="D891" s="22">
        <f>EXP(SUM(Painel_diario!$L$3888:$L$3994))-1</f>
        <v/>
      </c>
      <c r="E891" s="22">
        <f>EXP(SUM(Painel_diario!$L$4117:$L$4223))-1</f>
        <v/>
      </c>
      <c r="F891" s="22">
        <f>EXP(SUM(Painel_diario!$L$4597:$L$4703))-1</f>
        <v/>
      </c>
    </row>
    <row r="892">
      <c r="A892" t="n">
        <v>108</v>
      </c>
      <c r="B892" s="22">
        <f>EXP(SUM(Painel_diario!$L$2056:$L$2163))-1</f>
        <v/>
      </c>
      <c r="C892" s="22">
        <f>EXP(SUM(Painel_diario!$L$2386:$L$2493))-1</f>
        <v/>
      </c>
      <c r="D892" s="22">
        <f>EXP(SUM(Painel_diario!$L$3888:$L$3995))-1</f>
        <v/>
      </c>
      <c r="E892" s="22">
        <f>EXP(SUM(Painel_diario!$L$4117:$L$4224))-1</f>
        <v/>
      </c>
      <c r="F892" s="22">
        <f>EXP(SUM(Painel_diario!$L$4597:$L$4704))-1</f>
        <v/>
      </c>
    </row>
    <row r="893">
      <c r="A893" t="n">
        <v>109</v>
      </c>
      <c r="B893" s="22">
        <f>EXP(SUM(Painel_diario!$L$2056:$L$2164))-1</f>
        <v/>
      </c>
      <c r="C893" s="22">
        <f>EXP(SUM(Painel_diario!$L$2386:$L$2494))-1</f>
        <v/>
      </c>
      <c r="D893" s="22">
        <f>EXP(SUM(Painel_diario!$L$3888:$L$3996))-1</f>
        <v/>
      </c>
      <c r="E893" s="22">
        <f>EXP(SUM(Painel_diario!$L$4117:$L$4225))-1</f>
        <v/>
      </c>
      <c r="F893" s="22">
        <f>EXP(SUM(Painel_diario!$L$4597:$L$4705))-1</f>
        <v/>
      </c>
    </row>
    <row r="894">
      <c r="A894" t="n">
        <v>110</v>
      </c>
      <c r="B894" s="22">
        <f>EXP(SUM(Painel_diario!$L$2056:$L$2165))-1</f>
        <v/>
      </c>
      <c r="C894" s="22">
        <f>EXP(SUM(Painel_diario!$L$2386:$L$2495))-1</f>
        <v/>
      </c>
      <c r="D894" s="22">
        <f>EXP(SUM(Painel_diario!$L$3888:$L$3997))-1</f>
        <v/>
      </c>
      <c r="E894" s="22">
        <f>EXP(SUM(Painel_diario!$L$4117:$L$4226))-1</f>
        <v/>
      </c>
      <c r="F894" s="22">
        <f>EXP(SUM(Painel_diario!$L$4597:$L$4706))-1</f>
        <v/>
      </c>
    </row>
    <row r="895">
      <c r="A895" t="n">
        <v>111</v>
      </c>
      <c r="B895" s="22">
        <f>EXP(SUM(Painel_diario!$L$2056:$L$2166))-1</f>
        <v/>
      </c>
      <c r="C895" s="22">
        <f>EXP(SUM(Painel_diario!$L$2386:$L$2496))-1</f>
        <v/>
      </c>
      <c r="D895" s="22">
        <f>EXP(SUM(Painel_diario!$L$3888:$L$3998))-1</f>
        <v/>
      </c>
      <c r="E895" s="22">
        <f>EXP(SUM(Painel_diario!$L$4117:$L$4227))-1</f>
        <v/>
      </c>
      <c r="F895" s="22">
        <f>EXP(SUM(Painel_diario!$L$4597:$L$4707))-1</f>
        <v/>
      </c>
    </row>
    <row r="896">
      <c r="A896" t="n">
        <v>112</v>
      </c>
      <c r="B896" s="22">
        <f>EXP(SUM(Painel_diario!$L$2056:$L$2167))-1</f>
        <v/>
      </c>
      <c r="C896" s="22">
        <f>EXP(SUM(Painel_diario!$L$2386:$L$2497))-1</f>
        <v/>
      </c>
      <c r="D896" s="22">
        <f>EXP(SUM(Painel_diario!$L$3888:$L$3999))-1</f>
        <v/>
      </c>
      <c r="E896" s="22">
        <f>EXP(SUM(Painel_diario!$L$4117:$L$4228))-1</f>
        <v/>
      </c>
      <c r="F896" s="22">
        <f>EXP(SUM(Painel_diario!$L$4597:$L$4708))-1</f>
        <v/>
      </c>
    </row>
    <row r="897">
      <c r="A897" t="n">
        <v>113</v>
      </c>
      <c r="B897" s="22">
        <f>EXP(SUM(Painel_diario!$L$2056:$L$2168))-1</f>
        <v/>
      </c>
      <c r="C897" s="22">
        <f>EXP(SUM(Painel_diario!$L$2386:$L$2498))-1</f>
        <v/>
      </c>
      <c r="D897" s="22">
        <f>EXP(SUM(Painel_diario!$L$3888:$L$4000))-1</f>
        <v/>
      </c>
      <c r="E897" s="22">
        <f>EXP(SUM(Painel_diario!$L$4117:$L$4229))-1</f>
        <v/>
      </c>
      <c r="F897" s="22">
        <f>EXP(SUM(Painel_diario!$L$4597:$L$4709))-1</f>
        <v/>
      </c>
    </row>
    <row r="898">
      <c r="A898" t="n">
        <v>114</v>
      </c>
      <c r="B898" s="22">
        <f>EXP(SUM(Painel_diario!$L$2056:$L$2169))-1</f>
        <v/>
      </c>
      <c r="C898" s="22">
        <f>EXP(SUM(Painel_diario!$L$2386:$L$2499))-1</f>
        <v/>
      </c>
      <c r="D898" s="22">
        <f>EXP(SUM(Painel_diario!$L$3888:$L$4001))-1</f>
        <v/>
      </c>
      <c r="E898" s="22">
        <f>EXP(SUM(Painel_diario!$L$4117:$L$4230))-1</f>
        <v/>
      </c>
      <c r="F898" s="22">
        <f>EXP(SUM(Painel_diario!$L$4597:$L$4710))-1</f>
        <v/>
      </c>
    </row>
    <row r="899">
      <c r="A899" t="n">
        <v>115</v>
      </c>
      <c r="B899" s="22">
        <f>EXP(SUM(Painel_diario!$L$2056:$L$2170))-1</f>
        <v/>
      </c>
      <c r="C899" s="22">
        <f>EXP(SUM(Painel_diario!$L$2386:$L$2500))-1</f>
        <v/>
      </c>
      <c r="D899" s="22">
        <f>EXP(SUM(Painel_diario!$L$3888:$L$4002))-1</f>
        <v/>
      </c>
      <c r="E899" s="22">
        <f>EXP(SUM(Painel_diario!$L$4117:$L$4231))-1</f>
        <v/>
      </c>
      <c r="F899" s="22">
        <f>EXP(SUM(Painel_diario!$L$4597:$L$4711))-1</f>
        <v/>
      </c>
    </row>
    <row r="900">
      <c r="A900" t="n">
        <v>116</v>
      </c>
      <c r="B900" s="22">
        <f>EXP(SUM(Painel_diario!$L$2056:$L$2171))-1</f>
        <v/>
      </c>
      <c r="C900" s="22">
        <f>EXP(SUM(Painel_diario!$L$2386:$L$2501))-1</f>
        <v/>
      </c>
      <c r="D900" s="22">
        <f>EXP(SUM(Painel_diario!$L$3888:$L$4003))-1</f>
        <v/>
      </c>
      <c r="E900" s="22">
        <f>EXP(SUM(Painel_diario!$L$4117:$L$4232))-1</f>
        <v/>
      </c>
      <c r="F900" s="22">
        <f>EXP(SUM(Painel_diario!$L$4597:$L$4712))-1</f>
        <v/>
      </c>
    </row>
    <row r="901">
      <c r="A901" t="n">
        <v>117</v>
      </c>
      <c r="B901" s="22">
        <f>EXP(SUM(Painel_diario!$L$2056:$L$2172))-1</f>
        <v/>
      </c>
      <c r="C901" s="22">
        <f>EXP(SUM(Painel_diario!$L$2386:$L$2502))-1</f>
        <v/>
      </c>
      <c r="D901" s="22">
        <f>EXP(SUM(Painel_diario!$L$3888:$L$4004))-1</f>
        <v/>
      </c>
      <c r="E901" s="22">
        <f>EXP(SUM(Painel_diario!$L$4117:$L$4233))-1</f>
        <v/>
      </c>
      <c r="F901" s="22">
        <f>EXP(SUM(Painel_diario!$L$4597:$L$4713))-1</f>
        <v/>
      </c>
    </row>
    <row r="902">
      <c r="A902" t="n">
        <v>118</v>
      </c>
      <c r="B902" s="22">
        <f>EXP(SUM(Painel_diario!$L$2056:$L$2173))-1</f>
        <v/>
      </c>
      <c r="C902" s="22">
        <f>EXP(SUM(Painel_diario!$L$2386:$L$2503))-1</f>
        <v/>
      </c>
      <c r="D902" s="22">
        <f>EXP(SUM(Painel_diario!$L$3888:$L$4005))-1</f>
        <v/>
      </c>
      <c r="E902" s="22">
        <f>EXP(SUM(Painel_diario!$L$4117:$L$4234))-1</f>
        <v/>
      </c>
      <c r="F902" s="22">
        <f>EXP(SUM(Painel_diario!$L$4597:$L$4714))-1</f>
        <v/>
      </c>
    </row>
    <row r="903">
      <c r="A903" t="n">
        <v>119</v>
      </c>
      <c r="B903" s="22">
        <f>EXP(SUM(Painel_diario!$L$2056:$L$2174))-1</f>
        <v/>
      </c>
      <c r="C903" s="22">
        <f>EXP(SUM(Painel_diario!$L$2386:$L$2504))-1</f>
        <v/>
      </c>
      <c r="D903" s="22">
        <f>EXP(SUM(Painel_diario!$L$3888:$L$4006))-1</f>
        <v/>
      </c>
      <c r="E903" s="22">
        <f>EXP(SUM(Painel_diario!$L$4117:$L$4235))-1</f>
        <v/>
      </c>
      <c r="F903" s="22">
        <f>EXP(SUM(Painel_diario!$L$4597:$L$4715))-1</f>
        <v/>
      </c>
    </row>
    <row r="904">
      <c r="A904" t="n">
        <v>120</v>
      </c>
      <c r="B904" s="22">
        <f>EXP(SUM(Painel_diario!$L$2056:$L$2175))-1</f>
        <v/>
      </c>
      <c r="C904" s="22">
        <f>EXP(SUM(Painel_diario!$L$2386:$L$2505))-1</f>
        <v/>
      </c>
      <c r="D904" s="22">
        <f>EXP(SUM(Painel_diario!$L$3888:$L$4007))-1</f>
        <v/>
      </c>
      <c r="E904" s="22">
        <f>EXP(SUM(Painel_diario!$L$4117:$L$4236))-1</f>
        <v/>
      </c>
      <c r="F904" s="22">
        <f>EXP(SUM(Painel_diario!$L$4597:$L$4716))-1</f>
        <v/>
      </c>
    </row>
    <row r="905">
      <c r="A905" t="n">
        <v>121</v>
      </c>
      <c r="B905" s="22">
        <f>EXP(SUM(Painel_diario!$L$2056:$L$2176))-1</f>
        <v/>
      </c>
      <c r="C905" s="22">
        <f>EXP(SUM(Painel_diario!$L$2386:$L$2506))-1</f>
        <v/>
      </c>
      <c r="D905" s="22">
        <f>EXP(SUM(Painel_diario!$L$3888:$L$4008))-1</f>
        <v/>
      </c>
      <c r="E905" s="22">
        <f>EXP(SUM(Painel_diario!$L$4117:$L$4237))-1</f>
        <v/>
      </c>
      <c r="F905" s="22">
        <f>EXP(SUM(Painel_diario!$L$4597:$L$4717))-1</f>
        <v/>
      </c>
    </row>
    <row r="906">
      <c r="A906" t="n">
        <v>122</v>
      </c>
      <c r="B906" s="22">
        <f>EXP(SUM(Painel_diario!$L$2056:$L$2177))-1</f>
        <v/>
      </c>
      <c r="C906" s="22">
        <f>EXP(SUM(Painel_diario!$L$2386:$L$2507))-1</f>
        <v/>
      </c>
      <c r="D906" s="22">
        <f>EXP(SUM(Painel_diario!$L$3888:$L$4009))-1</f>
        <v/>
      </c>
      <c r="E906" s="22">
        <f>EXP(SUM(Painel_diario!$L$4117:$L$4238))-1</f>
        <v/>
      </c>
      <c r="F906" s="22">
        <f>EXP(SUM(Painel_diario!$L$4597:$L$4718))-1</f>
        <v/>
      </c>
    </row>
    <row r="907">
      <c r="A907" t="n">
        <v>123</v>
      </c>
      <c r="B907" s="22">
        <f>EXP(SUM(Painel_diario!$L$2056:$L$2178))-1</f>
        <v/>
      </c>
      <c r="C907" s="22">
        <f>EXP(SUM(Painel_diario!$L$2386:$L$2508))-1</f>
        <v/>
      </c>
      <c r="D907" s="22">
        <f>EXP(SUM(Painel_diario!$L$3888:$L$4010))-1</f>
        <v/>
      </c>
      <c r="E907" s="22">
        <f>EXP(SUM(Painel_diario!$L$4117:$L$4239))-1</f>
        <v/>
      </c>
      <c r="F907" s="22">
        <f>EXP(SUM(Painel_diario!$L$4597:$L$4719))-1</f>
        <v/>
      </c>
    </row>
    <row r="908">
      <c r="A908" t="n">
        <v>124</v>
      </c>
      <c r="B908" s="22">
        <f>EXP(SUM(Painel_diario!$L$2056:$L$2179))-1</f>
        <v/>
      </c>
      <c r="C908" s="22">
        <f>EXP(SUM(Painel_diario!$L$2386:$L$2509))-1</f>
        <v/>
      </c>
      <c r="D908" s="22">
        <f>EXP(SUM(Painel_diario!$L$3888:$L$4011))-1</f>
        <v/>
      </c>
      <c r="E908" s="22">
        <f>EXP(SUM(Painel_diario!$L$4117:$L$4240))-1</f>
        <v/>
      </c>
      <c r="F908" s="22">
        <f>EXP(SUM(Painel_diario!$L$4597:$L$4720))-1</f>
        <v/>
      </c>
    </row>
    <row r="909">
      <c r="A909" t="n">
        <v>125</v>
      </c>
      <c r="B909" s="22">
        <f>EXP(SUM(Painel_diario!$L$2056:$L$2180))-1</f>
        <v/>
      </c>
      <c r="C909" s="22">
        <f>EXP(SUM(Painel_diario!$L$2386:$L$2510))-1</f>
        <v/>
      </c>
      <c r="D909" s="22">
        <f>EXP(SUM(Painel_diario!$L$3888:$L$4012))-1</f>
        <v/>
      </c>
      <c r="E909" s="22">
        <f>EXP(SUM(Painel_diario!$L$4117:$L$4241))-1</f>
        <v/>
      </c>
      <c r="F909" s="22">
        <f>EXP(SUM(Painel_diario!$L$4597:$L$4721))-1</f>
        <v/>
      </c>
    </row>
    <row r="910">
      <c r="A910" t="n">
        <v>126</v>
      </c>
      <c r="B910" s="22">
        <f>EXP(SUM(Painel_diario!$L$2056:$L$2181))-1</f>
        <v/>
      </c>
      <c r="C910" s="22">
        <f>EXP(SUM(Painel_diario!$L$2386:$L$2511))-1</f>
        <v/>
      </c>
      <c r="D910" s="22">
        <f>EXP(SUM(Painel_diario!$L$3888:$L$4013))-1</f>
        <v/>
      </c>
      <c r="E910" s="22">
        <f>EXP(SUM(Painel_diario!$L$4117:$L$4242))-1</f>
        <v/>
      </c>
      <c r="F910" s="22">
        <f>EXP(SUM(Painel_diario!$L$4597:$L$4722))-1</f>
        <v/>
      </c>
    </row>
    <row r="911">
      <c r="A911" t="n">
        <v>127</v>
      </c>
      <c r="B911" s="22">
        <f>EXP(SUM(Painel_diario!$L$2056:$L$2182))-1</f>
        <v/>
      </c>
      <c r="C911" s="22">
        <f>EXP(SUM(Painel_diario!$L$2386:$L$2512))-1</f>
        <v/>
      </c>
      <c r="D911" s="22">
        <f>EXP(SUM(Painel_diario!$L$3888:$L$4014))-1</f>
        <v/>
      </c>
      <c r="E911" s="22">
        <f>EXP(SUM(Painel_diario!$L$4117:$L$4243))-1</f>
        <v/>
      </c>
      <c r="F911" s="22">
        <f>EXP(SUM(Painel_diario!$L$4597:$L$4723))-1</f>
        <v/>
      </c>
    </row>
    <row r="912">
      <c r="A912" t="n">
        <v>128</v>
      </c>
      <c r="B912" s="22">
        <f>EXP(SUM(Painel_diario!$L$2056:$L$2183))-1</f>
        <v/>
      </c>
      <c r="C912" s="22">
        <f>EXP(SUM(Painel_diario!$L$2386:$L$2513))-1</f>
        <v/>
      </c>
      <c r="D912" s="22">
        <f>EXP(SUM(Painel_diario!$L$3888:$L$4015))-1</f>
        <v/>
      </c>
      <c r="E912" s="22">
        <f>EXP(SUM(Painel_diario!$L$4117:$L$4244))-1</f>
        <v/>
      </c>
      <c r="F912" s="22">
        <f>EXP(SUM(Painel_diario!$L$4597:$L$4724))-1</f>
        <v/>
      </c>
    </row>
    <row r="913">
      <c r="A913" t="n">
        <v>129</v>
      </c>
      <c r="B913" s="22">
        <f>EXP(SUM(Painel_diario!$L$2056:$L$2184))-1</f>
        <v/>
      </c>
      <c r="C913" s="22">
        <f>EXP(SUM(Painel_diario!$L$2386:$L$2514))-1</f>
        <v/>
      </c>
      <c r="D913" s="22">
        <f>EXP(SUM(Painel_diario!$L$3888:$L$4016))-1</f>
        <v/>
      </c>
      <c r="E913" s="22">
        <f>EXP(SUM(Painel_diario!$L$4117:$L$4245))-1</f>
        <v/>
      </c>
      <c r="F913" s="22">
        <f>EXP(SUM(Painel_diario!$L$4597:$L$4725))-1</f>
        <v/>
      </c>
    </row>
    <row r="914">
      <c r="A914" t="n">
        <v>130</v>
      </c>
      <c r="B914" s="22">
        <f>EXP(SUM(Painel_diario!$L$2056:$L$2185))-1</f>
        <v/>
      </c>
      <c r="C914" s="22">
        <f>EXP(SUM(Painel_diario!$L$2386:$L$2515))-1</f>
        <v/>
      </c>
      <c r="D914" s="22">
        <f>EXP(SUM(Painel_diario!$L$3888:$L$4017))-1</f>
        <v/>
      </c>
      <c r="E914" s="22">
        <f>EXP(SUM(Painel_diario!$L$4117:$L$4246))-1</f>
        <v/>
      </c>
      <c r="F914" s="22">
        <f>EXP(SUM(Painel_diario!$L$4597:$L$4726))-1</f>
        <v/>
      </c>
    </row>
    <row r="915">
      <c r="A915" t="n">
        <v>131</v>
      </c>
      <c r="B915" s="22">
        <f>EXP(SUM(Painel_diario!$L$2056:$L$2186))-1</f>
        <v/>
      </c>
      <c r="C915" s="22">
        <f>EXP(SUM(Painel_diario!$L$2386:$L$2516))-1</f>
        <v/>
      </c>
      <c r="D915" s="22">
        <f>EXP(SUM(Painel_diario!$L$3888:$L$4018))-1</f>
        <v/>
      </c>
      <c r="E915" s="22">
        <f>EXP(SUM(Painel_diario!$L$4117:$L$4247))-1</f>
        <v/>
      </c>
      <c r="F915" s="22">
        <f>EXP(SUM(Painel_diario!$L$4597:$L$4727))-1</f>
        <v/>
      </c>
    </row>
    <row r="916">
      <c r="A916" t="n">
        <v>132</v>
      </c>
      <c r="B916" s="22">
        <f>EXP(SUM(Painel_diario!$L$2056:$L$2187))-1</f>
        <v/>
      </c>
      <c r="C916" s="22">
        <f>EXP(SUM(Painel_diario!$L$2386:$L$2517))-1</f>
        <v/>
      </c>
      <c r="D916" s="22">
        <f>EXP(SUM(Painel_diario!$L$3888:$L$4019))-1</f>
        <v/>
      </c>
      <c r="E916" s="22">
        <f>EXP(SUM(Painel_diario!$L$4117:$L$4248))-1</f>
        <v/>
      </c>
      <c r="F916" s="22">
        <f>EXP(SUM(Painel_diario!$L$4597:$L$4728))-1</f>
        <v/>
      </c>
    </row>
    <row r="917">
      <c r="A917" t="n">
        <v>133</v>
      </c>
      <c r="B917" s="22">
        <f>EXP(SUM(Painel_diario!$L$2056:$L$2188))-1</f>
        <v/>
      </c>
      <c r="C917" s="22">
        <f>EXP(SUM(Painel_diario!$L$2386:$L$2518))-1</f>
        <v/>
      </c>
      <c r="D917" s="22">
        <f>EXP(SUM(Painel_diario!$L$3888:$L$4020))-1</f>
        <v/>
      </c>
      <c r="E917" s="22">
        <f>EXP(SUM(Painel_diario!$L$4117:$L$4249))-1</f>
        <v/>
      </c>
      <c r="F917" s="22">
        <f>EXP(SUM(Painel_diario!$L$4597:$L$4729))-1</f>
        <v/>
      </c>
    </row>
    <row r="918">
      <c r="A918" t="n">
        <v>134</v>
      </c>
      <c r="B918" s="22">
        <f>EXP(SUM(Painel_diario!$L$2056:$L$2189))-1</f>
        <v/>
      </c>
      <c r="C918" s="22">
        <f>EXP(SUM(Painel_diario!$L$2386:$L$2519))-1</f>
        <v/>
      </c>
      <c r="D918" s="22">
        <f>EXP(SUM(Painel_diario!$L$3888:$L$4021))-1</f>
        <v/>
      </c>
      <c r="E918" s="22">
        <f>EXP(SUM(Painel_diario!$L$4117:$L$4250))-1</f>
        <v/>
      </c>
      <c r="F918" s="22">
        <f>EXP(SUM(Painel_diario!$L$4597:$L$4730))-1</f>
        <v/>
      </c>
    </row>
    <row r="919">
      <c r="A919" t="n">
        <v>135</v>
      </c>
      <c r="B919" s="22">
        <f>EXP(SUM(Painel_diario!$L$2056:$L$2190))-1</f>
        <v/>
      </c>
      <c r="C919" s="22">
        <f>EXP(SUM(Painel_diario!$L$2386:$L$2520))-1</f>
        <v/>
      </c>
      <c r="D919" s="22">
        <f>EXP(SUM(Painel_diario!$L$3888:$L$4022))-1</f>
        <v/>
      </c>
      <c r="E919" s="22">
        <f>EXP(SUM(Painel_diario!$L$4117:$L$4251))-1</f>
        <v/>
      </c>
      <c r="F919" s="22">
        <f>EXP(SUM(Painel_diario!$L$4597:$L$4731))-1</f>
        <v/>
      </c>
    </row>
    <row r="920">
      <c r="A920" t="n">
        <v>136</v>
      </c>
      <c r="B920" s="22">
        <f>EXP(SUM(Painel_diario!$L$2056:$L$2191))-1</f>
        <v/>
      </c>
      <c r="C920" s="22">
        <f>EXP(SUM(Painel_diario!$L$2386:$L$2521))-1</f>
        <v/>
      </c>
      <c r="D920" s="22">
        <f>EXP(SUM(Painel_diario!$L$3888:$L$4023))-1</f>
        <v/>
      </c>
      <c r="E920" s="22">
        <f>EXP(SUM(Painel_diario!$L$4117:$L$4252))-1</f>
        <v/>
      </c>
      <c r="F920" s="22">
        <f>EXP(SUM(Painel_diario!$L$4597:$L$4732))-1</f>
        <v/>
      </c>
    </row>
    <row r="921">
      <c r="A921" t="n">
        <v>137</v>
      </c>
      <c r="B921" s="22">
        <f>EXP(SUM(Painel_diario!$L$2056:$L$2192))-1</f>
        <v/>
      </c>
      <c r="C921" s="22">
        <f>EXP(SUM(Painel_diario!$L$2386:$L$2522))-1</f>
        <v/>
      </c>
      <c r="D921" s="22">
        <f>EXP(SUM(Painel_diario!$L$3888:$L$4024))-1</f>
        <v/>
      </c>
      <c r="E921" s="22">
        <f>EXP(SUM(Painel_diario!$L$4117:$L$4253))-1</f>
        <v/>
      </c>
      <c r="F921" s="22">
        <f>EXP(SUM(Painel_diario!$L$4597:$L$4733))-1</f>
        <v/>
      </c>
    </row>
    <row r="922">
      <c r="A922" t="n">
        <v>138</v>
      </c>
      <c r="B922" s="22">
        <f>EXP(SUM(Painel_diario!$L$2056:$L$2193))-1</f>
        <v/>
      </c>
      <c r="C922" s="22">
        <f>EXP(SUM(Painel_diario!$L$2386:$L$2523))-1</f>
        <v/>
      </c>
      <c r="D922" s="22">
        <f>EXP(SUM(Painel_diario!$L$3888:$L$4025))-1</f>
        <v/>
      </c>
      <c r="E922" s="22">
        <f>EXP(SUM(Painel_diario!$L$4117:$L$4254))-1</f>
        <v/>
      </c>
      <c r="F922" s="22">
        <f>EXP(SUM(Painel_diario!$L$4597:$L$4734))-1</f>
        <v/>
      </c>
    </row>
    <row r="923">
      <c r="A923" t="n">
        <v>139</v>
      </c>
      <c r="B923" s="22">
        <f>EXP(SUM(Painel_diario!$L$2056:$L$2194))-1</f>
        <v/>
      </c>
      <c r="C923" s="22">
        <f>EXP(SUM(Painel_diario!$L$2386:$L$2524))-1</f>
        <v/>
      </c>
      <c r="D923" s="22">
        <f>EXP(SUM(Painel_diario!$L$3888:$L$4026))-1</f>
        <v/>
      </c>
      <c r="E923" s="22">
        <f>EXP(SUM(Painel_diario!$L$4117:$L$4255))-1</f>
        <v/>
      </c>
      <c r="F923" s="22">
        <f>EXP(SUM(Painel_diario!$L$4597:$L$4735))-1</f>
        <v/>
      </c>
    </row>
    <row r="924">
      <c r="A924" t="n">
        <v>140</v>
      </c>
      <c r="B924" s="22">
        <f>EXP(SUM(Painel_diario!$L$2056:$L$2195))-1</f>
        <v/>
      </c>
      <c r="C924" s="22">
        <f>EXP(SUM(Painel_diario!$L$2386:$L$2525))-1</f>
        <v/>
      </c>
      <c r="D924" s="22">
        <f>EXP(SUM(Painel_diario!$L$3888:$L$4027))-1</f>
        <v/>
      </c>
      <c r="E924" s="22">
        <f>EXP(SUM(Painel_diario!$L$4117:$L$4256))-1</f>
        <v/>
      </c>
      <c r="F924" s="22">
        <f>EXP(SUM(Painel_diario!$L$4597:$L$4736))-1</f>
        <v/>
      </c>
    </row>
    <row r="925">
      <c r="A925" t="n">
        <v>141</v>
      </c>
      <c r="B925" s="22">
        <f>EXP(SUM(Painel_diario!$L$2056:$L$2196))-1</f>
        <v/>
      </c>
      <c r="C925" s="22">
        <f>EXP(SUM(Painel_diario!$L$2386:$L$2526))-1</f>
        <v/>
      </c>
      <c r="D925" s="22">
        <f>EXP(SUM(Painel_diario!$L$3888:$L$4028))-1</f>
        <v/>
      </c>
      <c r="E925" s="22">
        <f>EXP(SUM(Painel_diario!$L$4117:$L$4257))-1</f>
        <v/>
      </c>
      <c r="F925" s="22">
        <f>EXP(SUM(Painel_diario!$L$4597:$L$4737))-1</f>
        <v/>
      </c>
    </row>
    <row r="926">
      <c r="A926" t="n">
        <v>142</v>
      </c>
      <c r="B926" s="22">
        <f>EXP(SUM(Painel_diario!$L$2056:$L$2197))-1</f>
        <v/>
      </c>
      <c r="C926" s="22">
        <f>EXP(SUM(Painel_diario!$L$2386:$L$2527))-1</f>
        <v/>
      </c>
      <c r="D926" s="22">
        <f>EXP(SUM(Painel_diario!$L$3888:$L$4029))-1</f>
        <v/>
      </c>
      <c r="E926" s="22">
        <f>EXP(SUM(Painel_diario!$L$4117:$L$4258))-1</f>
        <v/>
      </c>
      <c r="F926" s="22">
        <f>EXP(SUM(Painel_diario!$L$4597:$L$4738))-1</f>
        <v/>
      </c>
    </row>
    <row r="927">
      <c r="A927" t="n">
        <v>143</v>
      </c>
      <c r="B927" s="22">
        <f>EXP(SUM(Painel_diario!$L$2056:$L$2198))-1</f>
        <v/>
      </c>
      <c r="C927" s="22">
        <f>EXP(SUM(Painel_diario!$L$2386:$L$2528))-1</f>
        <v/>
      </c>
      <c r="D927" s="22">
        <f>EXP(SUM(Painel_diario!$L$3888:$L$4030))-1</f>
        <v/>
      </c>
      <c r="E927" s="22">
        <f>EXP(SUM(Painel_diario!$L$4117:$L$4259))-1</f>
        <v/>
      </c>
      <c r="F927" s="22">
        <f>EXP(SUM(Painel_diario!$L$4597:$L$4739))-1</f>
        <v/>
      </c>
    </row>
    <row r="928">
      <c r="A928" t="n">
        <v>144</v>
      </c>
      <c r="B928" s="22">
        <f>EXP(SUM(Painel_diario!$L$2056:$L$2199))-1</f>
        <v/>
      </c>
      <c r="C928" s="22">
        <f>EXP(SUM(Painel_diario!$L$2386:$L$2529))-1</f>
        <v/>
      </c>
      <c r="D928" s="22">
        <f>EXP(SUM(Painel_diario!$L$3888:$L$4031))-1</f>
        <v/>
      </c>
      <c r="E928" s="22">
        <f>EXP(SUM(Painel_diario!$L$4117:$L$4260))-1</f>
        <v/>
      </c>
      <c r="F928" s="22">
        <f>EXP(SUM(Painel_diario!$L$4597:$L$4740))-1</f>
        <v/>
      </c>
    </row>
    <row r="929">
      <c r="A929" t="n">
        <v>145</v>
      </c>
      <c r="B929" s="22">
        <f>EXP(SUM(Painel_diario!$L$2056:$L$2200))-1</f>
        <v/>
      </c>
      <c r="C929" s="22">
        <f>EXP(SUM(Painel_diario!$L$2386:$L$2530))-1</f>
        <v/>
      </c>
      <c r="D929" s="22">
        <f>EXP(SUM(Painel_diario!$L$3888:$L$4032))-1</f>
        <v/>
      </c>
      <c r="E929" s="22">
        <f>EXP(SUM(Painel_diario!$L$4117:$L$4261))-1</f>
        <v/>
      </c>
      <c r="F929" s="22">
        <f>EXP(SUM(Painel_diario!$L$4597:$L$4741))-1</f>
        <v/>
      </c>
    </row>
    <row r="930">
      <c r="A930" t="n">
        <v>146</v>
      </c>
      <c r="B930" s="22">
        <f>EXP(SUM(Painel_diario!$L$2056:$L$2201))-1</f>
        <v/>
      </c>
      <c r="C930" s="22">
        <f>EXP(SUM(Painel_diario!$L$2386:$L$2531))-1</f>
        <v/>
      </c>
      <c r="D930" s="22">
        <f>EXP(SUM(Painel_diario!$L$3888:$L$4033))-1</f>
        <v/>
      </c>
      <c r="E930" s="22">
        <f>EXP(SUM(Painel_diario!$L$4117:$L$4262))-1</f>
        <v/>
      </c>
      <c r="F930" s="22">
        <f>EXP(SUM(Painel_diario!$L$4597:$L$4742))-1</f>
        <v/>
      </c>
    </row>
    <row r="931">
      <c r="A931" t="n">
        <v>147</v>
      </c>
      <c r="B931" s="22">
        <f>EXP(SUM(Painel_diario!$L$2056:$L$2202))-1</f>
        <v/>
      </c>
      <c r="C931" s="22">
        <f>EXP(SUM(Painel_diario!$L$2386:$L$2532))-1</f>
        <v/>
      </c>
      <c r="D931" s="22">
        <f>EXP(SUM(Painel_diario!$L$3888:$L$4034))-1</f>
        <v/>
      </c>
      <c r="E931" s="22">
        <f>EXP(SUM(Painel_diario!$L$4117:$L$4263))-1</f>
        <v/>
      </c>
      <c r="F931" s="22">
        <f>EXP(SUM(Painel_diario!$L$4597:$L$4743))-1</f>
        <v/>
      </c>
    </row>
    <row r="932">
      <c r="A932" t="n">
        <v>148</v>
      </c>
      <c r="B932" s="22">
        <f>EXP(SUM(Painel_diario!$L$2056:$L$2203))-1</f>
        <v/>
      </c>
      <c r="C932" s="22">
        <f>EXP(SUM(Painel_diario!$L$2386:$L$2533))-1</f>
        <v/>
      </c>
      <c r="D932" s="22">
        <f>EXP(SUM(Painel_diario!$L$3888:$L$4035))-1</f>
        <v/>
      </c>
      <c r="E932" s="22">
        <f>EXP(SUM(Painel_diario!$L$4117:$L$4264))-1</f>
        <v/>
      </c>
      <c r="F932" s="22">
        <f>EXP(SUM(Painel_diario!$L$4597:$L$4744))-1</f>
        <v/>
      </c>
    </row>
    <row r="933">
      <c r="A933" t="n">
        <v>149</v>
      </c>
      <c r="B933" s="22">
        <f>EXP(SUM(Painel_diario!$L$2056:$L$2204))-1</f>
        <v/>
      </c>
      <c r="C933" s="22">
        <f>EXP(SUM(Painel_diario!$L$2386:$L$2534))-1</f>
        <v/>
      </c>
      <c r="D933" s="22">
        <f>EXP(SUM(Painel_diario!$L$3888:$L$4036))-1</f>
        <v/>
      </c>
      <c r="E933" s="22">
        <f>EXP(SUM(Painel_diario!$L$4117:$L$4265))-1</f>
        <v/>
      </c>
      <c r="F933" s="22">
        <f>EXP(SUM(Painel_diario!$L$4597:$L$4745))-1</f>
        <v/>
      </c>
    </row>
    <row r="934">
      <c r="A934" t="n">
        <v>150</v>
      </c>
      <c r="B934" s="22">
        <f>EXP(SUM(Painel_diario!$L$2056:$L$2205))-1</f>
        <v/>
      </c>
      <c r="C934" s="22">
        <f>EXP(SUM(Painel_diario!$L$2386:$L$2535))-1</f>
        <v/>
      </c>
      <c r="D934" s="22">
        <f>EXP(SUM(Painel_diario!$L$3888:$L$4037))-1</f>
        <v/>
      </c>
      <c r="E934" s="22">
        <f>EXP(SUM(Painel_diario!$L$4117:$L$4266))-1</f>
        <v/>
      </c>
      <c r="F934" s="22">
        <f>EXP(SUM(Painel_diario!$L$4597:$L$4746))-1</f>
        <v/>
      </c>
    </row>
    <row r="935">
      <c r="A935" t="n">
        <v>151</v>
      </c>
      <c r="B935" s="22">
        <f>EXP(SUM(Painel_diario!$L$2056:$L$2206))-1</f>
        <v/>
      </c>
      <c r="C935" s="22">
        <f>EXP(SUM(Painel_diario!$L$2386:$L$2536))-1</f>
        <v/>
      </c>
      <c r="D935" s="22">
        <f>EXP(SUM(Painel_diario!$L$3888:$L$4038))-1</f>
        <v/>
      </c>
      <c r="E935" s="22">
        <f>EXP(SUM(Painel_diario!$L$4117:$L$4267))-1</f>
        <v/>
      </c>
      <c r="F935" s="22">
        <f>EXP(SUM(Painel_diario!$L$4597:$L$4747))-1</f>
        <v/>
      </c>
    </row>
    <row r="936">
      <c r="A936" t="n">
        <v>152</v>
      </c>
      <c r="B936" s="22">
        <f>EXP(SUM(Painel_diario!$L$2056:$L$2207))-1</f>
        <v/>
      </c>
      <c r="C936" s="22">
        <f>EXP(SUM(Painel_diario!$L$2386:$L$2537))-1</f>
        <v/>
      </c>
      <c r="D936" s="22">
        <f>EXP(SUM(Painel_diario!$L$3888:$L$4039))-1</f>
        <v/>
      </c>
      <c r="E936" s="22">
        <f>EXP(SUM(Painel_diario!$L$4117:$L$4268))-1</f>
        <v/>
      </c>
      <c r="F936" s="22">
        <f>EXP(SUM(Painel_diario!$L$4597:$L$4748))-1</f>
        <v/>
      </c>
    </row>
    <row r="937">
      <c r="A937" t="n">
        <v>153</v>
      </c>
      <c r="B937" s="22">
        <f>EXP(SUM(Painel_diario!$L$2056:$L$2208))-1</f>
        <v/>
      </c>
      <c r="C937" s="22">
        <f>EXP(SUM(Painel_diario!$L$2386:$L$2538))-1</f>
        <v/>
      </c>
      <c r="D937" s="22">
        <f>EXP(SUM(Painel_diario!$L$3888:$L$4040))-1</f>
        <v/>
      </c>
      <c r="E937" s="22">
        <f>EXP(SUM(Painel_diario!$L$4117:$L$4269))-1</f>
        <v/>
      </c>
      <c r="F937" s="22">
        <f>EXP(SUM(Painel_diario!$L$4597:$L$4749))-1</f>
        <v/>
      </c>
    </row>
    <row r="938">
      <c r="A938" t="n">
        <v>154</v>
      </c>
      <c r="B938" s="22">
        <f>EXP(SUM(Painel_diario!$L$2056:$L$2209))-1</f>
        <v/>
      </c>
      <c r="C938" s="22">
        <f>EXP(SUM(Painel_diario!$L$2386:$L$2539))-1</f>
        <v/>
      </c>
      <c r="D938" s="22">
        <f>EXP(SUM(Painel_diario!$L$3888:$L$4041))-1</f>
        <v/>
      </c>
      <c r="E938" s="22">
        <f>EXP(SUM(Painel_diario!$L$4117:$L$4270))-1</f>
        <v/>
      </c>
      <c r="F938" s="22">
        <f>EXP(SUM(Painel_diario!$L$4597:$L$4750))-1</f>
        <v/>
      </c>
    </row>
    <row r="939">
      <c r="A939" t="n">
        <v>155</v>
      </c>
      <c r="B939" s="22">
        <f>EXP(SUM(Painel_diario!$L$2056:$L$2210))-1</f>
        <v/>
      </c>
      <c r="C939" s="22">
        <f>EXP(SUM(Painel_diario!$L$2386:$L$2540))-1</f>
        <v/>
      </c>
      <c r="D939" s="22">
        <f>EXP(SUM(Painel_diario!$L$3888:$L$4042))-1</f>
        <v/>
      </c>
      <c r="E939" s="22">
        <f>EXP(SUM(Painel_diario!$L$4117:$L$4271))-1</f>
        <v/>
      </c>
      <c r="F939" s="22">
        <f>EXP(SUM(Painel_diario!$L$4597:$L$4751))-1</f>
        <v/>
      </c>
    </row>
    <row r="940">
      <c r="A940" t="n">
        <v>156</v>
      </c>
      <c r="B940" s="22">
        <f>EXP(SUM(Painel_diario!$L$2056:$L$2211))-1</f>
        <v/>
      </c>
      <c r="C940" s="22">
        <f>EXP(SUM(Painel_diario!$L$2386:$L$2541))-1</f>
        <v/>
      </c>
      <c r="D940" s="22">
        <f>EXP(SUM(Painel_diario!$L$3888:$L$4043))-1</f>
        <v/>
      </c>
      <c r="E940" s="22">
        <f>EXP(SUM(Painel_diario!$L$4117:$L$4272))-1</f>
        <v/>
      </c>
      <c r="F940" s="22">
        <f>EXP(SUM(Painel_diario!$L$4597:$L$4752))-1</f>
        <v/>
      </c>
    </row>
    <row r="941">
      <c r="A941" t="n">
        <v>157</v>
      </c>
      <c r="B941" s="22">
        <f>EXP(SUM(Painel_diario!$L$2056:$L$2212))-1</f>
        <v/>
      </c>
      <c r="C941" s="22">
        <f>EXP(SUM(Painel_diario!$L$2386:$L$2542))-1</f>
        <v/>
      </c>
      <c r="D941" s="22">
        <f>EXP(SUM(Painel_diario!$L$3888:$L$4044))-1</f>
        <v/>
      </c>
      <c r="E941" s="22">
        <f>EXP(SUM(Painel_diario!$L$4117:$L$4273))-1</f>
        <v/>
      </c>
      <c r="F941" s="22">
        <f>EXP(SUM(Painel_diario!$L$4597:$L$4753))-1</f>
        <v/>
      </c>
    </row>
    <row r="942">
      <c r="A942" t="n">
        <v>158</v>
      </c>
      <c r="B942" s="22">
        <f>EXP(SUM(Painel_diario!$L$2056:$L$2213))-1</f>
        <v/>
      </c>
      <c r="C942" s="22">
        <f>EXP(SUM(Painel_diario!$L$2386:$L$2543))-1</f>
        <v/>
      </c>
      <c r="D942" s="22">
        <f>EXP(SUM(Painel_diario!$L$3888:$L$4045))-1</f>
        <v/>
      </c>
      <c r="E942" s="22">
        <f>EXP(SUM(Painel_diario!$L$4117:$L$4274))-1</f>
        <v/>
      </c>
      <c r="F942" s="22">
        <f>EXP(SUM(Painel_diario!$L$4597:$L$4754))-1</f>
        <v/>
      </c>
    </row>
    <row r="943">
      <c r="A943" t="n">
        <v>159</v>
      </c>
      <c r="B943" s="22">
        <f>EXP(SUM(Painel_diario!$L$2056:$L$2214))-1</f>
        <v/>
      </c>
      <c r="C943" s="22">
        <f>EXP(SUM(Painel_diario!$L$2386:$L$2544))-1</f>
        <v/>
      </c>
      <c r="D943" s="22">
        <f>EXP(SUM(Painel_diario!$L$3888:$L$4046))-1</f>
        <v/>
      </c>
      <c r="E943" s="22">
        <f>EXP(SUM(Painel_diario!$L$4117:$L$4275))-1</f>
        <v/>
      </c>
      <c r="F943" s="22">
        <f>EXP(SUM(Painel_diario!$L$4597:$L$4755))-1</f>
        <v/>
      </c>
    </row>
    <row r="944">
      <c r="A944" t="n">
        <v>160</v>
      </c>
      <c r="B944" s="22">
        <f>EXP(SUM(Painel_diario!$L$2056:$L$2215))-1</f>
        <v/>
      </c>
      <c r="C944" s="22">
        <f>EXP(SUM(Painel_diario!$L$2386:$L$2545))-1</f>
        <v/>
      </c>
      <c r="D944" s="22">
        <f>EXP(SUM(Painel_diario!$L$3888:$L$4047))-1</f>
        <v/>
      </c>
      <c r="E944" s="22">
        <f>EXP(SUM(Painel_diario!$L$4117:$L$4276))-1</f>
        <v/>
      </c>
      <c r="F944" s="22">
        <f>EXP(SUM(Painel_diario!$L$4597:$L$4756))-1</f>
        <v/>
      </c>
    </row>
    <row r="945">
      <c r="A945" t="n">
        <v>161</v>
      </c>
      <c r="B945" s="22">
        <f>EXP(SUM(Painel_diario!$L$2056:$L$2216))-1</f>
        <v/>
      </c>
      <c r="C945" s="22">
        <f>EXP(SUM(Painel_diario!$L$2386:$L$2546))-1</f>
        <v/>
      </c>
      <c r="D945" s="22">
        <f>EXP(SUM(Painel_diario!$L$3888:$L$4048))-1</f>
        <v/>
      </c>
      <c r="E945" s="22">
        <f>EXP(SUM(Painel_diario!$L$4117:$L$4277))-1</f>
        <v/>
      </c>
      <c r="F945" s="22">
        <f>EXP(SUM(Painel_diario!$L$4597:$L$4757))-1</f>
        <v/>
      </c>
    </row>
    <row r="946">
      <c r="A946" t="n">
        <v>162</v>
      </c>
      <c r="B946" s="22">
        <f>EXP(SUM(Painel_diario!$L$2056:$L$2217))-1</f>
        <v/>
      </c>
      <c r="C946" s="22">
        <f>EXP(SUM(Painel_diario!$L$2386:$L$2547))-1</f>
        <v/>
      </c>
      <c r="D946" s="22">
        <f>EXP(SUM(Painel_diario!$L$3888:$L$4049))-1</f>
        <v/>
      </c>
      <c r="E946" s="22">
        <f>EXP(SUM(Painel_diario!$L$4117:$L$4278))-1</f>
        <v/>
      </c>
      <c r="F946" s="22">
        <f>EXP(SUM(Painel_diario!$L$4597:$L$4758))-1</f>
        <v/>
      </c>
    </row>
    <row r="947">
      <c r="A947" t="n">
        <v>163</v>
      </c>
      <c r="B947" s="22">
        <f>EXP(SUM(Painel_diario!$L$2056:$L$2218))-1</f>
        <v/>
      </c>
      <c r="C947" s="22">
        <f>EXP(SUM(Painel_diario!$L$2386:$L$2548))-1</f>
        <v/>
      </c>
      <c r="D947" s="22">
        <f>EXP(SUM(Painel_diario!$L$3888:$L$4050))-1</f>
        <v/>
      </c>
      <c r="E947" s="22">
        <f>EXP(SUM(Painel_diario!$L$4117:$L$4279))-1</f>
        <v/>
      </c>
      <c r="F947" s="22">
        <f>EXP(SUM(Painel_diario!$L$4597:$L$4759))-1</f>
        <v/>
      </c>
    </row>
    <row r="948">
      <c r="A948" t="n">
        <v>164</v>
      </c>
      <c r="B948" s="22">
        <f>EXP(SUM(Painel_diario!$L$2056:$L$2219))-1</f>
        <v/>
      </c>
      <c r="C948" s="22">
        <f>EXP(SUM(Painel_diario!$L$2386:$L$2549))-1</f>
        <v/>
      </c>
      <c r="D948" s="22">
        <f>EXP(SUM(Painel_diario!$L$3888:$L$4051))-1</f>
        <v/>
      </c>
      <c r="E948" s="22">
        <f>EXP(SUM(Painel_diario!$L$4117:$L$4280))-1</f>
        <v/>
      </c>
      <c r="F948" s="22">
        <f>EXP(SUM(Painel_diario!$L$4597:$L$4760))-1</f>
        <v/>
      </c>
    </row>
    <row r="949">
      <c r="A949" t="n">
        <v>165</v>
      </c>
      <c r="B949" s="22">
        <f>EXP(SUM(Painel_diario!$L$2056:$L$2220))-1</f>
        <v/>
      </c>
      <c r="C949" s="22">
        <f>EXP(SUM(Painel_diario!$L$2386:$L$2550))-1</f>
        <v/>
      </c>
      <c r="D949" s="22">
        <f>EXP(SUM(Painel_diario!$L$3888:$L$4052))-1</f>
        <v/>
      </c>
      <c r="E949" s="22">
        <f>EXP(SUM(Painel_diario!$L$4117:$L$4281))-1</f>
        <v/>
      </c>
      <c r="F949" s="22">
        <f>EXP(SUM(Painel_diario!$L$4597:$L$4761))-1</f>
        <v/>
      </c>
    </row>
    <row r="950">
      <c r="A950" t="n">
        <v>166</v>
      </c>
      <c r="B950" s="22">
        <f>EXP(SUM(Painel_diario!$L$2056:$L$2221))-1</f>
        <v/>
      </c>
      <c r="C950" s="22">
        <f>EXP(SUM(Painel_diario!$L$2386:$L$2551))-1</f>
        <v/>
      </c>
      <c r="D950" s="22">
        <f>EXP(SUM(Painel_diario!$L$3888:$L$4053))-1</f>
        <v/>
      </c>
      <c r="E950" s="22">
        <f>EXP(SUM(Painel_diario!$L$4117:$L$4282))-1</f>
        <v/>
      </c>
      <c r="F950" s="22">
        <f>EXP(SUM(Painel_diario!$L$4597:$L$4762))-1</f>
        <v/>
      </c>
    </row>
    <row r="951">
      <c r="A951" t="n">
        <v>167</v>
      </c>
      <c r="B951" s="22">
        <f>EXP(SUM(Painel_diario!$L$2056:$L$2222))-1</f>
        <v/>
      </c>
      <c r="C951" s="22">
        <f>EXP(SUM(Painel_diario!$L$2386:$L$2552))-1</f>
        <v/>
      </c>
      <c r="D951" s="22">
        <f>EXP(SUM(Painel_diario!$L$3888:$L$4054))-1</f>
        <v/>
      </c>
      <c r="E951" s="22">
        <f>EXP(SUM(Painel_diario!$L$4117:$L$4283))-1</f>
        <v/>
      </c>
      <c r="F951" s="22">
        <f>EXP(SUM(Painel_diario!$L$4597:$L$4763))-1</f>
        <v/>
      </c>
    </row>
    <row r="952">
      <c r="A952" t="n">
        <v>168</v>
      </c>
      <c r="B952" s="22">
        <f>EXP(SUM(Painel_diario!$L$2056:$L$2223))-1</f>
        <v/>
      </c>
      <c r="C952" s="22">
        <f>EXP(SUM(Painel_diario!$L$2386:$L$2553))-1</f>
        <v/>
      </c>
      <c r="D952" s="22">
        <f>EXP(SUM(Painel_diario!$L$3888:$L$4055))-1</f>
        <v/>
      </c>
      <c r="E952" s="22">
        <f>EXP(SUM(Painel_diario!$L$4117:$L$4284))-1</f>
        <v/>
      </c>
      <c r="F952" s="22">
        <f>EXP(SUM(Painel_diario!$L$4597:$L$4764))-1</f>
        <v/>
      </c>
    </row>
    <row r="953">
      <c r="A953" t="n">
        <v>169</v>
      </c>
      <c r="B953" s="22">
        <f>EXP(SUM(Painel_diario!$L$2056:$L$2224))-1</f>
        <v/>
      </c>
      <c r="C953" s="22">
        <f>EXP(SUM(Painel_diario!$L$2386:$L$2554))-1</f>
        <v/>
      </c>
      <c r="D953" s="22">
        <f>EXP(SUM(Painel_diario!$L$3888:$L$4056))-1</f>
        <v/>
      </c>
      <c r="E953" s="22">
        <f>EXP(SUM(Painel_diario!$L$4117:$L$4285))-1</f>
        <v/>
      </c>
      <c r="F953" s="22">
        <f>EXP(SUM(Painel_diario!$L$4597:$L$4765))-1</f>
        <v/>
      </c>
    </row>
    <row r="954">
      <c r="A954" t="n">
        <v>170</v>
      </c>
      <c r="B954" s="22">
        <f>EXP(SUM(Painel_diario!$L$2056:$L$2225))-1</f>
        <v/>
      </c>
      <c r="C954" s="22">
        <f>EXP(SUM(Painel_diario!$L$2386:$L$2555))-1</f>
        <v/>
      </c>
      <c r="D954" s="22">
        <f>EXP(SUM(Painel_diario!$L$3888:$L$4057))-1</f>
        <v/>
      </c>
      <c r="E954" s="22">
        <f>EXP(SUM(Painel_diario!$L$4117:$L$4286))-1</f>
        <v/>
      </c>
      <c r="F954" s="22">
        <f>EXP(SUM(Painel_diario!$L$4597:$L$4766))-1</f>
        <v/>
      </c>
    </row>
    <row r="955">
      <c r="A955" t="n">
        <v>171</v>
      </c>
      <c r="B955" s="22">
        <f>EXP(SUM(Painel_diario!$L$2056:$L$2226))-1</f>
        <v/>
      </c>
      <c r="C955" s="22">
        <f>EXP(SUM(Painel_diario!$L$2386:$L$2556))-1</f>
        <v/>
      </c>
      <c r="D955" s="22">
        <f>EXP(SUM(Painel_diario!$L$3888:$L$4058))-1</f>
        <v/>
      </c>
      <c r="E955" s="22">
        <f>EXP(SUM(Painel_diario!$L$4117:$L$4287))-1</f>
        <v/>
      </c>
      <c r="F955" s="22">
        <f>EXP(SUM(Painel_diario!$L$4597:$L$4767))-1</f>
        <v/>
      </c>
    </row>
    <row r="956">
      <c r="A956" t="n">
        <v>172</v>
      </c>
      <c r="B956" s="22">
        <f>EXP(SUM(Painel_diario!$L$2056:$L$2227))-1</f>
        <v/>
      </c>
      <c r="C956" s="22">
        <f>EXP(SUM(Painel_diario!$L$2386:$L$2557))-1</f>
        <v/>
      </c>
      <c r="D956" s="22">
        <f>EXP(SUM(Painel_diario!$L$3888:$L$4059))-1</f>
        <v/>
      </c>
      <c r="E956" s="22">
        <f>EXP(SUM(Painel_diario!$L$4117:$L$4288))-1</f>
        <v/>
      </c>
      <c r="F956" s="22">
        <f>EXP(SUM(Painel_diario!$L$4597:$L$4768))-1</f>
        <v/>
      </c>
    </row>
    <row r="957">
      <c r="A957" t="n">
        <v>173</v>
      </c>
      <c r="B957" s="22">
        <f>EXP(SUM(Painel_diario!$L$2056:$L$2228))-1</f>
        <v/>
      </c>
      <c r="C957" s="22">
        <f>EXP(SUM(Painel_diario!$L$2386:$L$2558))-1</f>
        <v/>
      </c>
      <c r="D957" s="22">
        <f>EXP(SUM(Painel_diario!$L$3888:$L$4060))-1</f>
        <v/>
      </c>
      <c r="E957" s="22">
        <f>EXP(SUM(Painel_diario!$L$4117:$L$4289))-1</f>
        <v/>
      </c>
      <c r="F957" s="22">
        <f>EXP(SUM(Painel_diario!$L$4597:$L$4769))-1</f>
        <v/>
      </c>
    </row>
    <row r="958">
      <c r="A958" t="n">
        <v>174</v>
      </c>
      <c r="B958" s="22">
        <f>EXP(SUM(Painel_diario!$L$2056:$L$2229))-1</f>
        <v/>
      </c>
      <c r="C958" s="22">
        <f>EXP(SUM(Painel_diario!$L$2386:$L$2559))-1</f>
        <v/>
      </c>
      <c r="D958" s="22">
        <f>EXP(SUM(Painel_diario!$L$3888:$L$4061))-1</f>
        <v/>
      </c>
      <c r="E958" s="22">
        <f>EXP(SUM(Painel_diario!$L$4117:$L$4290))-1</f>
        <v/>
      </c>
      <c r="F958" s="22">
        <f>EXP(SUM(Painel_diario!$L$4597:$L$4770))-1</f>
        <v/>
      </c>
    </row>
    <row r="959">
      <c r="A959" t="n">
        <v>175</v>
      </c>
      <c r="B959" s="22">
        <f>EXP(SUM(Painel_diario!$L$2056:$L$2230))-1</f>
        <v/>
      </c>
      <c r="C959" s="22">
        <f>EXP(SUM(Painel_diario!$L$2386:$L$2560))-1</f>
        <v/>
      </c>
      <c r="D959" s="22">
        <f>EXP(SUM(Painel_diario!$L$3888:$L$4062))-1</f>
        <v/>
      </c>
      <c r="E959" s="22">
        <f>EXP(SUM(Painel_diario!$L$4117:$L$4291))-1</f>
        <v/>
      </c>
      <c r="F959" s="22">
        <f>EXP(SUM(Painel_diario!$L$4597:$L$4771))-1</f>
        <v/>
      </c>
    </row>
    <row r="960">
      <c r="A960" t="n">
        <v>176</v>
      </c>
      <c r="B960" s="22">
        <f>EXP(SUM(Painel_diario!$L$2056:$L$2231))-1</f>
        <v/>
      </c>
      <c r="C960" s="22">
        <f>EXP(SUM(Painel_diario!$L$2386:$L$2561))-1</f>
        <v/>
      </c>
      <c r="D960" s="22">
        <f>EXP(SUM(Painel_diario!$L$3888:$L$4063))-1</f>
        <v/>
      </c>
      <c r="E960" s="22">
        <f>EXP(SUM(Painel_diario!$L$4117:$L$4292))-1</f>
        <v/>
      </c>
      <c r="F960" s="22">
        <f>EXP(SUM(Painel_diario!$L$4597:$L$4772))-1</f>
        <v/>
      </c>
    </row>
    <row r="961">
      <c r="A961" t="n">
        <v>177</v>
      </c>
      <c r="B961" s="22">
        <f>EXP(SUM(Painel_diario!$L$2056:$L$2232))-1</f>
        <v/>
      </c>
      <c r="C961" s="22">
        <f>EXP(SUM(Painel_diario!$L$2386:$L$2562))-1</f>
        <v/>
      </c>
      <c r="D961" s="22">
        <f>EXP(SUM(Painel_diario!$L$3888:$L$4064))-1</f>
        <v/>
      </c>
      <c r="E961" s="22">
        <f>EXP(SUM(Painel_diario!$L$4117:$L$4293))-1</f>
        <v/>
      </c>
      <c r="F961" s="22">
        <f>EXP(SUM(Painel_diario!$L$4597:$L$4773))-1</f>
        <v/>
      </c>
    </row>
    <row r="962">
      <c r="A962" t="n">
        <v>178</v>
      </c>
      <c r="B962" s="22">
        <f>EXP(SUM(Painel_diario!$L$2056:$L$2233))-1</f>
        <v/>
      </c>
      <c r="C962" s="22">
        <f>EXP(SUM(Painel_diario!$L$2386:$L$2563))-1</f>
        <v/>
      </c>
      <c r="D962" s="22">
        <f>EXP(SUM(Painel_diario!$L$3888:$L$4065))-1</f>
        <v/>
      </c>
      <c r="E962" s="22">
        <f>EXP(SUM(Painel_diario!$L$4117:$L$4294))-1</f>
        <v/>
      </c>
      <c r="F962" s="22">
        <f>EXP(SUM(Painel_diario!$L$4597:$L$4774))-1</f>
        <v/>
      </c>
    </row>
    <row r="963">
      <c r="A963" t="n">
        <v>179</v>
      </c>
      <c r="B963" s="22">
        <f>EXP(SUM(Painel_diario!$L$2056:$L$2234))-1</f>
        <v/>
      </c>
      <c r="C963" s="22">
        <f>EXP(SUM(Painel_diario!$L$2386:$L$2564))-1</f>
        <v/>
      </c>
      <c r="D963" s="22">
        <f>EXP(SUM(Painel_diario!$L$3888:$L$4066))-1</f>
        <v/>
      </c>
      <c r="E963" s="22">
        <f>EXP(SUM(Painel_diario!$L$4117:$L$4295))-1</f>
        <v/>
      </c>
      <c r="F963" s="22">
        <f>EXP(SUM(Painel_diario!$L$4597:$L$4775))-1</f>
        <v/>
      </c>
    </row>
    <row r="964">
      <c r="A964" t="n">
        <v>180</v>
      </c>
      <c r="B964" s="22">
        <f>EXP(SUM(Painel_diario!$L$2056:$L$2235))-1</f>
        <v/>
      </c>
      <c r="C964" s="22">
        <f>EXP(SUM(Painel_diario!$L$2386:$L$2565))-1</f>
        <v/>
      </c>
      <c r="D964" s="22">
        <f>EXP(SUM(Painel_diario!$L$3888:$L$4067))-1</f>
        <v/>
      </c>
      <c r="E964" s="22">
        <f>EXP(SUM(Painel_diario!$L$4117:$L$4296))-1</f>
        <v/>
      </c>
      <c r="F964" s="22">
        <f>EXP(SUM(Painel_diario!$L$4597:$L$4776))-1</f>
        <v/>
      </c>
    </row>
    <row r="965">
      <c r="A965" t="n">
        <v>181</v>
      </c>
      <c r="B965" s="22">
        <f>EXP(SUM(Painel_diario!$L$2056:$L$2236))-1</f>
        <v/>
      </c>
      <c r="C965" s="22">
        <f>EXP(SUM(Painel_diario!$L$2386:$L$2566))-1</f>
        <v/>
      </c>
      <c r="D965" s="22">
        <f>EXP(SUM(Painel_diario!$L$3888:$L$4068))-1</f>
        <v/>
      </c>
      <c r="E965" s="22">
        <f>EXP(SUM(Painel_diario!$L$4117:$L$4297))-1</f>
        <v/>
      </c>
      <c r="F965" s="22">
        <f>EXP(SUM(Painel_diario!$L$4597:$L$4777))-1</f>
        <v/>
      </c>
    </row>
    <row r="966">
      <c r="A966" t="n">
        <v>182</v>
      </c>
      <c r="B966" s="22">
        <f>EXP(SUM(Painel_diario!$L$2056:$L$2237))-1</f>
        <v/>
      </c>
      <c r="C966" s="22">
        <f>EXP(SUM(Painel_diario!$L$2386:$L$2567))-1</f>
        <v/>
      </c>
      <c r="D966" s="22">
        <f>EXP(SUM(Painel_diario!$L$3888:$L$4069))-1</f>
        <v/>
      </c>
      <c r="E966" s="22">
        <f>EXP(SUM(Painel_diario!$L$4117:$L$4298))-1</f>
        <v/>
      </c>
      <c r="F966" s="22">
        <f>EXP(SUM(Painel_diario!$L$4597:$L$4778))-1</f>
        <v/>
      </c>
    </row>
    <row r="967">
      <c r="A967" t="n">
        <v>183</v>
      </c>
      <c r="B967" s="22">
        <f>EXP(SUM(Painel_diario!$L$2056:$L$2238))-1</f>
        <v/>
      </c>
      <c r="C967" s="22">
        <f>EXP(SUM(Painel_diario!$L$2386:$L$2568))-1</f>
        <v/>
      </c>
      <c r="D967" s="22">
        <f>EXP(SUM(Painel_diario!$L$3888:$L$4070))-1</f>
        <v/>
      </c>
      <c r="E967" s="22">
        <f>EXP(SUM(Painel_diario!$L$4117:$L$4299))-1</f>
        <v/>
      </c>
      <c r="F967" s="22">
        <f>EXP(SUM(Painel_diario!$L$4597:$L$4779))-1</f>
        <v/>
      </c>
    </row>
    <row r="968">
      <c r="A968" t="n">
        <v>184</v>
      </c>
      <c r="B968" s="22">
        <f>EXP(SUM(Painel_diario!$L$2056:$L$2239))-1</f>
        <v/>
      </c>
      <c r="C968" s="22">
        <f>EXP(SUM(Painel_diario!$L$2386:$L$2569))-1</f>
        <v/>
      </c>
      <c r="D968" s="22">
        <f>EXP(SUM(Painel_diario!$L$3888:$L$4071))-1</f>
        <v/>
      </c>
      <c r="E968" s="22">
        <f>EXP(SUM(Painel_diario!$L$4117:$L$4300))-1</f>
        <v/>
      </c>
      <c r="F968" s="22">
        <f>EXP(SUM(Painel_diario!$L$4597:$L$4780))-1</f>
        <v/>
      </c>
    </row>
    <row r="969">
      <c r="A969" t="n">
        <v>185</v>
      </c>
      <c r="B969" s="22">
        <f>EXP(SUM(Painel_diario!$L$2056:$L$2240))-1</f>
        <v/>
      </c>
      <c r="C969" s="22">
        <f>EXP(SUM(Painel_diario!$L$2386:$L$2570))-1</f>
        <v/>
      </c>
      <c r="D969" s="22">
        <f>EXP(SUM(Painel_diario!$L$3888:$L$4072))-1</f>
        <v/>
      </c>
      <c r="E969" s="22">
        <f>EXP(SUM(Painel_diario!$L$4117:$L$4301))-1</f>
        <v/>
      </c>
      <c r="F969" s="22">
        <f>EXP(SUM(Painel_diario!$L$4597:$L$4781))-1</f>
        <v/>
      </c>
    </row>
    <row r="970">
      <c r="A970" t="n">
        <v>186</v>
      </c>
      <c r="B970" s="22">
        <f>EXP(SUM(Painel_diario!$L$2056:$L$2241))-1</f>
        <v/>
      </c>
      <c r="C970" s="22">
        <f>EXP(SUM(Painel_diario!$L$2386:$L$2571))-1</f>
        <v/>
      </c>
      <c r="D970" s="22">
        <f>EXP(SUM(Painel_diario!$L$3888:$L$4073))-1</f>
        <v/>
      </c>
      <c r="E970" s="22">
        <f>EXP(SUM(Painel_diario!$L$4117:$L$4302))-1</f>
        <v/>
      </c>
      <c r="F970" s="22">
        <f>EXP(SUM(Painel_diario!$L$4597:$L$4782))-1</f>
        <v/>
      </c>
    </row>
    <row r="971">
      <c r="A971" t="n">
        <v>187</v>
      </c>
      <c r="B971" s="22">
        <f>EXP(SUM(Painel_diario!$L$2056:$L$2242))-1</f>
        <v/>
      </c>
      <c r="C971" s="22">
        <f>EXP(SUM(Painel_diario!$L$2386:$L$2572))-1</f>
        <v/>
      </c>
      <c r="D971" s="22">
        <f>EXP(SUM(Painel_diario!$L$3888:$L$4074))-1</f>
        <v/>
      </c>
      <c r="E971" s="22">
        <f>EXP(SUM(Painel_diario!$L$4117:$L$4303))-1</f>
        <v/>
      </c>
      <c r="F971" s="22">
        <f>EXP(SUM(Painel_diario!$L$4597:$L$4783))-1</f>
        <v/>
      </c>
    </row>
    <row r="972">
      <c r="A972" t="n">
        <v>188</v>
      </c>
      <c r="B972" s="22">
        <f>EXP(SUM(Painel_diario!$L$2056:$L$2243))-1</f>
        <v/>
      </c>
      <c r="C972" s="22">
        <f>EXP(SUM(Painel_diario!$L$2386:$L$2573))-1</f>
        <v/>
      </c>
      <c r="D972" s="22">
        <f>EXP(SUM(Painel_diario!$L$3888:$L$4075))-1</f>
        <v/>
      </c>
      <c r="E972" s="22">
        <f>EXP(SUM(Painel_diario!$L$4117:$L$4304))-1</f>
        <v/>
      </c>
      <c r="F972" s="22">
        <f>EXP(SUM(Painel_diario!$L$4597:$L$4784))-1</f>
        <v/>
      </c>
    </row>
    <row r="973">
      <c r="A973" t="n">
        <v>189</v>
      </c>
      <c r="B973" s="22">
        <f>EXP(SUM(Painel_diario!$L$2056:$L$2244))-1</f>
        <v/>
      </c>
      <c r="C973" s="22">
        <f>EXP(SUM(Painel_diario!$L$2386:$L$2574))-1</f>
        <v/>
      </c>
      <c r="D973" s="22">
        <f>EXP(SUM(Painel_diario!$L$3888:$L$4076))-1</f>
        <v/>
      </c>
      <c r="E973" s="22">
        <f>EXP(SUM(Painel_diario!$L$4117:$L$4305))-1</f>
        <v/>
      </c>
      <c r="F973" s="22">
        <f>EXP(SUM(Painel_diario!$L$4597:$L$4785))-1</f>
        <v/>
      </c>
    </row>
    <row r="974">
      <c r="A974" t="n">
        <v>190</v>
      </c>
      <c r="B974" s="22">
        <f>EXP(SUM(Painel_diario!$L$2056:$L$2245))-1</f>
        <v/>
      </c>
      <c r="C974" s="22">
        <f>EXP(SUM(Painel_diario!$L$2386:$L$2575))-1</f>
        <v/>
      </c>
      <c r="D974" s="22">
        <f>EXP(SUM(Painel_diario!$L$3888:$L$4077))-1</f>
        <v/>
      </c>
      <c r="E974" s="22">
        <f>EXP(SUM(Painel_diario!$L$4117:$L$4306))-1</f>
        <v/>
      </c>
      <c r="F974" s="22">
        <f>EXP(SUM(Painel_diario!$L$4597:$L$4786))-1</f>
        <v/>
      </c>
    </row>
    <row r="975">
      <c r="A975" t="n">
        <v>191</v>
      </c>
      <c r="B975" s="22">
        <f>EXP(SUM(Painel_diario!$L$2056:$L$2246))-1</f>
        <v/>
      </c>
      <c r="C975" s="22">
        <f>EXP(SUM(Painel_diario!$L$2386:$L$2576))-1</f>
        <v/>
      </c>
      <c r="D975" s="22">
        <f>EXP(SUM(Painel_diario!$L$3888:$L$4078))-1</f>
        <v/>
      </c>
      <c r="E975" s="22">
        <f>EXP(SUM(Painel_diario!$L$4117:$L$4307))-1</f>
        <v/>
      </c>
      <c r="F975" s="22">
        <f>EXP(SUM(Painel_diario!$L$4597:$L$4787))-1</f>
        <v/>
      </c>
    </row>
    <row r="976">
      <c r="A976" t="n">
        <v>192</v>
      </c>
      <c r="B976" s="22">
        <f>EXP(SUM(Painel_diario!$L$2056:$L$2247))-1</f>
        <v/>
      </c>
      <c r="C976" s="22">
        <f>EXP(SUM(Painel_diario!$L$2386:$L$2577))-1</f>
        <v/>
      </c>
      <c r="D976" s="22">
        <f>EXP(SUM(Painel_diario!$L$3888:$L$4079))-1</f>
        <v/>
      </c>
      <c r="E976" s="22">
        <f>EXP(SUM(Painel_diario!$L$4117:$L$4308))-1</f>
        <v/>
      </c>
      <c r="F976" s="22">
        <f>EXP(SUM(Painel_diario!$L$4597:$L$4788))-1</f>
        <v/>
      </c>
    </row>
    <row r="977">
      <c r="A977" t="n">
        <v>193</v>
      </c>
      <c r="B977" s="22">
        <f>EXP(SUM(Painel_diario!$L$2056:$L$2248))-1</f>
        <v/>
      </c>
      <c r="C977" s="22">
        <f>EXP(SUM(Painel_diario!$L$2386:$L$2578))-1</f>
        <v/>
      </c>
      <c r="D977" s="22">
        <f>EXP(SUM(Painel_diario!$L$3888:$L$4080))-1</f>
        <v/>
      </c>
      <c r="E977" s="22">
        <f>EXP(SUM(Painel_diario!$L$4117:$L$4309))-1</f>
        <v/>
      </c>
      <c r="F977" s="22">
        <f>EXP(SUM(Painel_diario!$L$4597:$L$4789))-1</f>
        <v/>
      </c>
    </row>
    <row r="978">
      <c r="A978" t="n">
        <v>194</v>
      </c>
      <c r="B978" s="22">
        <f>EXP(SUM(Painel_diario!$L$2056:$L$2249))-1</f>
        <v/>
      </c>
      <c r="C978" s="22">
        <f>EXP(SUM(Painel_diario!$L$2386:$L$2579))-1</f>
        <v/>
      </c>
      <c r="D978" s="22">
        <f>EXP(SUM(Painel_diario!$L$3888:$L$4081))-1</f>
        <v/>
      </c>
      <c r="E978" s="22">
        <f>EXP(SUM(Painel_diario!$L$4117:$L$4310))-1</f>
        <v/>
      </c>
      <c r="F978" s="22">
        <f>EXP(SUM(Painel_diario!$L$4597:$L$4790))-1</f>
        <v/>
      </c>
    </row>
    <row r="979">
      <c r="A979" t="n">
        <v>195</v>
      </c>
      <c r="B979" s="22">
        <f>EXP(SUM(Painel_diario!$L$2056:$L$2250))-1</f>
        <v/>
      </c>
      <c r="C979" s="22">
        <f>EXP(SUM(Painel_diario!$L$2386:$L$2580))-1</f>
        <v/>
      </c>
      <c r="D979" s="22">
        <f>EXP(SUM(Painel_diario!$L$3888:$L$4082))-1</f>
        <v/>
      </c>
      <c r="E979" s="22">
        <f>EXP(SUM(Painel_diario!$L$4117:$L$4311))-1</f>
        <v/>
      </c>
      <c r="F979" s="22">
        <f>EXP(SUM(Painel_diario!$L$4597:$L$4791))-1</f>
        <v/>
      </c>
    </row>
    <row r="980">
      <c r="A980" t="n">
        <v>196</v>
      </c>
      <c r="B980" s="22">
        <f>EXP(SUM(Painel_diario!$L$2056:$L$2251))-1</f>
        <v/>
      </c>
      <c r="C980" s="22">
        <f>EXP(SUM(Painel_diario!$L$2386:$L$2581))-1</f>
        <v/>
      </c>
      <c r="D980" s="22">
        <f>EXP(SUM(Painel_diario!$L$3888:$L$4083))-1</f>
        <v/>
      </c>
      <c r="E980" s="22">
        <f>EXP(SUM(Painel_diario!$L$4117:$L$4312))-1</f>
        <v/>
      </c>
      <c r="F980" s="22">
        <f>EXP(SUM(Painel_diario!$L$4597:$L$4792))-1</f>
        <v/>
      </c>
    </row>
    <row r="981">
      <c r="A981" t="n">
        <v>197</v>
      </c>
      <c r="B981" s="22">
        <f>EXP(SUM(Painel_diario!$L$2056:$L$2252))-1</f>
        <v/>
      </c>
      <c r="C981" s="22">
        <f>EXP(SUM(Painel_diario!$L$2386:$L$2582))-1</f>
        <v/>
      </c>
      <c r="D981" s="22">
        <f>EXP(SUM(Painel_diario!$L$3888:$L$4084))-1</f>
        <v/>
      </c>
      <c r="E981" s="22">
        <f>EXP(SUM(Painel_diario!$L$4117:$L$4313))-1</f>
        <v/>
      </c>
      <c r="F981" s="22">
        <f>EXP(SUM(Painel_diario!$L$4597:$L$4793))-1</f>
        <v/>
      </c>
    </row>
    <row r="982">
      <c r="A982" t="n">
        <v>198</v>
      </c>
      <c r="B982" s="22">
        <f>EXP(SUM(Painel_diario!$L$2056:$L$2253))-1</f>
        <v/>
      </c>
      <c r="C982" s="22">
        <f>EXP(SUM(Painel_diario!$L$2386:$L$2583))-1</f>
        <v/>
      </c>
      <c r="D982" s="22">
        <f>EXP(SUM(Painel_diario!$L$3888:$L$4085))-1</f>
        <v/>
      </c>
      <c r="E982" s="22">
        <f>EXP(SUM(Painel_diario!$L$4117:$L$4314))-1</f>
        <v/>
      </c>
      <c r="F982" s="22">
        <f>EXP(SUM(Painel_diario!$L$4597:$L$4794))-1</f>
        <v/>
      </c>
    </row>
    <row r="983">
      <c r="A983" t="n">
        <v>199</v>
      </c>
      <c r="B983" s="22">
        <f>EXP(SUM(Painel_diario!$L$2056:$L$2254))-1</f>
        <v/>
      </c>
      <c r="C983" s="22">
        <f>EXP(SUM(Painel_diario!$L$2386:$L$2584))-1</f>
        <v/>
      </c>
      <c r="D983" s="22">
        <f>EXP(SUM(Painel_diario!$L$3888:$L$4086))-1</f>
        <v/>
      </c>
      <c r="E983" s="22">
        <f>EXP(SUM(Painel_diario!$L$4117:$L$4315))-1</f>
        <v/>
      </c>
      <c r="F983" s="22">
        <f>EXP(SUM(Painel_diario!$L$4597:$L$4795))-1</f>
        <v/>
      </c>
    </row>
    <row r="984">
      <c r="A984" t="n">
        <v>200</v>
      </c>
      <c r="B984" s="22">
        <f>EXP(SUM(Painel_diario!$L$2056:$L$2255))-1</f>
        <v/>
      </c>
      <c r="C984" s="22">
        <f>EXP(SUM(Painel_diario!$L$2386:$L$2585))-1</f>
        <v/>
      </c>
      <c r="D984" s="22">
        <f>EXP(SUM(Painel_diario!$L$3888:$L$4087))-1</f>
        <v/>
      </c>
      <c r="E984" s="22">
        <f>EXP(SUM(Painel_diario!$L$4117:$L$4316))-1</f>
        <v/>
      </c>
      <c r="F984" s="22">
        <f>EXP(SUM(Painel_diario!$L$4597:$L$4796))-1</f>
        <v/>
      </c>
    </row>
    <row r="985">
      <c r="A985" t="n">
        <v>201</v>
      </c>
      <c r="B985" s="22">
        <f>EXP(SUM(Painel_diario!$L$2056:$L$2256))-1</f>
        <v/>
      </c>
      <c r="C985" s="22">
        <f>EXP(SUM(Painel_diario!$L$2386:$L$2586))-1</f>
        <v/>
      </c>
      <c r="D985" s="22">
        <f>EXP(SUM(Painel_diario!$L$3888:$L$4088))-1</f>
        <v/>
      </c>
      <c r="E985" s="22">
        <f>EXP(SUM(Painel_diario!$L$4117:$L$4317))-1</f>
        <v/>
      </c>
      <c r="F985" s="22">
        <f>EXP(SUM(Painel_diario!$L$4597:$L$4797))-1</f>
        <v/>
      </c>
    </row>
    <row r="986">
      <c r="A986" t="n">
        <v>202</v>
      </c>
      <c r="B986" s="22">
        <f>EXP(SUM(Painel_diario!$L$2056:$L$2257))-1</f>
        <v/>
      </c>
      <c r="C986" s="22">
        <f>EXP(SUM(Painel_diario!$L$2386:$L$2587))-1</f>
        <v/>
      </c>
      <c r="D986" s="22">
        <f>EXP(SUM(Painel_diario!$L$3888:$L$4089))-1</f>
        <v/>
      </c>
      <c r="E986" s="22">
        <f>EXP(SUM(Painel_diario!$L$4117:$L$4318))-1</f>
        <v/>
      </c>
      <c r="F986" s="22">
        <f>EXP(SUM(Painel_diario!$L$4597:$L$4798))-1</f>
        <v/>
      </c>
    </row>
    <row r="987">
      <c r="A987" t="n">
        <v>203</v>
      </c>
      <c r="B987" s="22">
        <f>EXP(SUM(Painel_diario!$L$2056:$L$2258))-1</f>
        <v/>
      </c>
      <c r="C987" s="22">
        <f>EXP(SUM(Painel_diario!$L$2386:$L$2588))-1</f>
        <v/>
      </c>
      <c r="D987" s="22">
        <f>EXP(SUM(Painel_diario!$L$3888:$L$4090))-1</f>
        <v/>
      </c>
      <c r="E987" s="22">
        <f>EXP(SUM(Painel_diario!$L$4117:$L$4319))-1</f>
        <v/>
      </c>
      <c r="F987" s="22">
        <f>EXP(SUM(Painel_diario!$L$4597:$L$4799))-1</f>
        <v/>
      </c>
    </row>
    <row r="988">
      <c r="A988" t="n">
        <v>204</v>
      </c>
      <c r="B988" s="22">
        <f>EXP(SUM(Painel_diario!$L$2056:$L$2259))-1</f>
        <v/>
      </c>
      <c r="C988" s="22">
        <f>EXP(SUM(Painel_diario!$L$2386:$L$2589))-1</f>
        <v/>
      </c>
      <c r="D988" s="22">
        <f>EXP(SUM(Painel_diario!$L$3888:$L$4091))-1</f>
        <v/>
      </c>
      <c r="E988" s="22">
        <f>EXP(SUM(Painel_diario!$L$4117:$L$4320))-1</f>
        <v/>
      </c>
      <c r="F988" s="22">
        <f>EXP(SUM(Painel_diario!$L$4597:$L$4800))-1</f>
        <v/>
      </c>
    </row>
    <row r="989">
      <c r="A989" t="n">
        <v>205</v>
      </c>
      <c r="B989" s="22">
        <f>EXP(SUM(Painel_diario!$L$2056:$L$2260))-1</f>
        <v/>
      </c>
      <c r="C989" s="22">
        <f>EXP(SUM(Painel_diario!$L$2386:$L$2590))-1</f>
        <v/>
      </c>
      <c r="D989" s="22">
        <f>EXP(SUM(Painel_diario!$L$3888:$L$4092))-1</f>
        <v/>
      </c>
      <c r="E989" s="22">
        <f>EXP(SUM(Painel_diario!$L$4117:$L$4321))-1</f>
        <v/>
      </c>
      <c r="F989" s="22">
        <f>EXP(SUM(Painel_diario!$L$4597:$L$4801))-1</f>
        <v/>
      </c>
    </row>
    <row r="990">
      <c r="A990" t="n">
        <v>206</v>
      </c>
      <c r="B990" s="22">
        <f>EXP(SUM(Painel_diario!$L$2056:$L$2261))-1</f>
        <v/>
      </c>
      <c r="C990" s="22">
        <f>EXP(SUM(Painel_diario!$L$2386:$L$2591))-1</f>
        <v/>
      </c>
      <c r="D990" s="22">
        <f>EXP(SUM(Painel_diario!$L$3888:$L$4093))-1</f>
        <v/>
      </c>
      <c r="E990" s="22">
        <f>EXP(SUM(Painel_diario!$L$4117:$L$4322))-1</f>
        <v/>
      </c>
      <c r="F990" s="22">
        <f>EXP(SUM(Painel_diario!$L$4597:$L$4802))-1</f>
        <v/>
      </c>
    </row>
    <row r="991">
      <c r="A991" t="n">
        <v>207</v>
      </c>
      <c r="B991" s="22">
        <f>EXP(SUM(Painel_diario!$L$2056:$L$2262))-1</f>
        <v/>
      </c>
      <c r="C991" s="22">
        <f>EXP(SUM(Painel_diario!$L$2386:$L$2592))-1</f>
        <v/>
      </c>
      <c r="D991" s="22">
        <f>EXP(SUM(Painel_diario!$L$3888:$L$4094))-1</f>
        <v/>
      </c>
      <c r="E991" s="22">
        <f>EXP(SUM(Painel_diario!$L$4117:$L$4323))-1</f>
        <v/>
      </c>
      <c r="F991" s="22">
        <f>EXP(SUM(Painel_diario!$L$4597:$L$4803))-1</f>
        <v/>
      </c>
    </row>
    <row r="992">
      <c r="A992" t="n">
        <v>208</v>
      </c>
      <c r="B992" s="22">
        <f>EXP(SUM(Painel_diario!$L$2056:$L$2263))-1</f>
        <v/>
      </c>
      <c r="C992" s="22">
        <f>EXP(SUM(Painel_diario!$L$2386:$L$2593))-1</f>
        <v/>
      </c>
      <c r="D992" s="22">
        <f>EXP(SUM(Painel_diario!$L$3888:$L$4095))-1</f>
        <v/>
      </c>
      <c r="E992" s="22">
        <f>EXP(SUM(Painel_diario!$L$4117:$L$4324))-1</f>
        <v/>
      </c>
      <c r="F992" s="22">
        <f>EXP(SUM(Painel_diario!$L$4597:$L$4804))-1</f>
        <v/>
      </c>
    </row>
    <row r="993">
      <c r="A993" t="n">
        <v>209</v>
      </c>
      <c r="B993" s="22">
        <f>EXP(SUM(Painel_diario!$L$2056:$L$2264))-1</f>
        <v/>
      </c>
      <c r="C993" s="22">
        <f>EXP(SUM(Painel_diario!$L$2386:$L$2594))-1</f>
        <v/>
      </c>
      <c r="D993" s="22">
        <f>EXP(SUM(Painel_diario!$L$3888:$L$4096))-1</f>
        <v/>
      </c>
      <c r="E993" s="22">
        <f>EXP(SUM(Painel_diario!$L$4117:$L$4325))-1</f>
        <v/>
      </c>
      <c r="F993" s="22">
        <f>EXP(SUM(Painel_diario!$L$4597:$L$4805))-1</f>
        <v/>
      </c>
    </row>
    <row r="994">
      <c r="A994" t="n">
        <v>210</v>
      </c>
      <c r="B994" s="22">
        <f>EXP(SUM(Painel_diario!$L$2056:$L$2265))-1</f>
        <v/>
      </c>
      <c r="C994" s="22">
        <f>EXP(SUM(Painel_diario!$L$2386:$L$2595))-1</f>
        <v/>
      </c>
      <c r="D994" s="22">
        <f>EXP(SUM(Painel_diario!$L$3888:$L$4097))-1</f>
        <v/>
      </c>
      <c r="E994" s="22">
        <f>EXP(SUM(Painel_diario!$L$4117:$L$4326))-1</f>
        <v/>
      </c>
      <c r="F994" s="22">
        <f>EXP(SUM(Painel_diario!$L$4597:$L$4806))-1</f>
        <v/>
      </c>
    </row>
    <row r="995">
      <c r="A995" t="n">
        <v>211</v>
      </c>
      <c r="B995" s="22">
        <f>EXP(SUM(Painel_diario!$L$2056:$L$2266))-1</f>
        <v/>
      </c>
      <c r="C995" s="22">
        <f>EXP(SUM(Painel_diario!$L$2386:$L$2596))-1</f>
        <v/>
      </c>
      <c r="D995" s="22">
        <f>EXP(SUM(Painel_diario!$L$3888:$L$4098))-1</f>
        <v/>
      </c>
      <c r="E995" s="22">
        <f>EXP(SUM(Painel_diario!$L$4117:$L$4327))-1</f>
        <v/>
      </c>
      <c r="F995" s="22">
        <f>EXP(SUM(Painel_diario!$L$4597:$L$4807))-1</f>
        <v/>
      </c>
    </row>
    <row r="996">
      <c r="A996" t="n">
        <v>212</v>
      </c>
      <c r="B996" s="22">
        <f>EXP(SUM(Painel_diario!$L$2056:$L$2267))-1</f>
        <v/>
      </c>
      <c r="C996" s="22">
        <f>EXP(SUM(Painel_diario!$L$2386:$L$2597))-1</f>
        <v/>
      </c>
      <c r="D996" s="22">
        <f>EXP(SUM(Painel_diario!$L$3888:$L$4099))-1</f>
        <v/>
      </c>
      <c r="E996" s="22">
        <f>EXP(SUM(Painel_diario!$L$4117:$L$4328))-1</f>
        <v/>
      </c>
      <c r="F996" s="22">
        <f>EXP(SUM(Painel_diario!$L$4597:$L$4808))-1</f>
        <v/>
      </c>
    </row>
    <row r="997">
      <c r="A997" t="n">
        <v>213</v>
      </c>
      <c r="B997" s="22">
        <f>EXP(SUM(Painel_diario!$L$2056:$L$2268))-1</f>
        <v/>
      </c>
      <c r="C997" s="22">
        <f>EXP(SUM(Painel_diario!$L$2386:$L$2598))-1</f>
        <v/>
      </c>
      <c r="D997" s="22">
        <f>EXP(SUM(Painel_diario!$L$3888:$L$4100))-1</f>
        <v/>
      </c>
      <c r="E997" s="22">
        <f>EXP(SUM(Painel_diario!$L$4117:$L$4329))-1</f>
        <v/>
      </c>
      <c r="F997" s="22">
        <f>EXP(SUM(Painel_diario!$L$4597:$L$4809))-1</f>
        <v/>
      </c>
    </row>
    <row r="998">
      <c r="A998" t="n">
        <v>214</v>
      </c>
      <c r="B998" s="22">
        <f>EXP(SUM(Painel_diario!$L$2056:$L$2269))-1</f>
        <v/>
      </c>
      <c r="C998" s="22">
        <f>EXP(SUM(Painel_diario!$L$2386:$L$2599))-1</f>
        <v/>
      </c>
      <c r="D998" s="22">
        <f>EXP(SUM(Painel_diario!$L$3888:$L$4101))-1</f>
        <v/>
      </c>
      <c r="E998" s="22">
        <f>EXP(SUM(Painel_diario!$L$4117:$L$4330))-1</f>
        <v/>
      </c>
      <c r="F998" s="22">
        <f>EXP(SUM(Painel_diario!$L$4597:$L$4810))-1</f>
        <v/>
      </c>
    </row>
    <row r="999">
      <c r="A999" t="n">
        <v>215</v>
      </c>
      <c r="B999" s="22">
        <f>EXP(SUM(Painel_diario!$L$2056:$L$2270))-1</f>
        <v/>
      </c>
      <c r="C999" s="22">
        <f>EXP(SUM(Painel_diario!$L$2386:$L$2600))-1</f>
        <v/>
      </c>
      <c r="D999" s="22">
        <f>EXP(SUM(Painel_diario!$L$3888:$L$4102))-1</f>
        <v/>
      </c>
      <c r="E999" s="22">
        <f>EXP(SUM(Painel_diario!$L$4117:$L$4331))-1</f>
        <v/>
      </c>
      <c r="F999" s="22">
        <f>EXP(SUM(Painel_diario!$L$4597:$L$4811))-1</f>
        <v/>
      </c>
    </row>
    <row r="1000">
      <c r="A1000" t="n">
        <v>216</v>
      </c>
      <c r="B1000" s="22">
        <f>EXP(SUM(Painel_diario!$L$2056:$L$2271))-1</f>
        <v/>
      </c>
      <c r="C1000" s="22">
        <f>EXP(SUM(Painel_diario!$L$2386:$L$2601))-1</f>
        <v/>
      </c>
      <c r="D1000" s="22">
        <f>EXP(SUM(Painel_diario!$L$3888:$L$4103))-1</f>
        <v/>
      </c>
      <c r="E1000" s="22">
        <f>EXP(SUM(Painel_diario!$L$4117:$L$4332))-1</f>
        <v/>
      </c>
      <c r="F1000" s="22">
        <f>EXP(SUM(Painel_diario!$L$4597:$L$4812))-1</f>
        <v/>
      </c>
    </row>
    <row r="1001">
      <c r="A1001" t="n">
        <v>217</v>
      </c>
      <c r="B1001" s="22">
        <f>EXP(SUM(Painel_diario!$L$2056:$L$2272))-1</f>
        <v/>
      </c>
      <c r="C1001" s="22">
        <f>EXP(SUM(Painel_diario!$L$2386:$L$2602))-1</f>
        <v/>
      </c>
      <c r="D1001" s="22">
        <f>EXP(SUM(Painel_diario!$L$3888:$L$4104))-1</f>
        <v/>
      </c>
      <c r="E1001" s="22">
        <f>EXP(SUM(Painel_diario!$L$4117:$L$4333))-1</f>
        <v/>
      </c>
      <c r="F1001" s="22">
        <f>EXP(SUM(Painel_diario!$L$4597:$L$4813))-1</f>
        <v/>
      </c>
    </row>
    <row r="1002">
      <c r="A1002" t="n">
        <v>218</v>
      </c>
      <c r="B1002" s="22">
        <f>EXP(SUM(Painel_diario!$L$2056:$L$2273))-1</f>
        <v/>
      </c>
      <c r="C1002" s="22">
        <f>EXP(SUM(Painel_diario!$L$2386:$L$2603))-1</f>
        <v/>
      </c>
      <c r="D1002" s="22">
        <f>EXP(SUM(Painel_diario!$L$3888:$L$4105))-1</f>
        <v/>
      </c>
      <c r="E1002" s="22">
        <f>EXP(SUM(Painel_diario!$L$4117:$L$4334))-1</f>
        <v/>
      </c>
      <c r="F1002" s="22">
        <f>EXP(SUM(Painel_diario!$L$4597:$L$4814))-1</f>
        <v/>
      </c>
    </row>
    <row r="1003">
      <c r="A1003" t="n">
        <v>219</v>
      </c>
      <c r="B1003" s="22">
        <f>EXP(SUM(Painel_diario!$L$2056:$L$2274))-1</f>
        <v/>
      </c>
      <c r="C1003" s="22">
        <f>EXP(SUM(Painel_diario!$L$2386:$L$2604))-1</f>
        <v/>
      </c>
      <c r="D1003" s="22">
        <f>EXP(SUM(Painel_diario!$L$3888:$L$4106))-1</f>
        <v/>
      </c>
      <c r="E1003" s="22">
        <f>EXP(SUM(Painel_diario!$L$4117:$L$4335))-1</f>
        <v/>
      </c>
      <c r="F1003" s="22">
        <f>EXP(SUM(Painel_diario!$L$4597:$L$4815))-1</f>
        <v/>
      </c>
    </row>
    <row r="1004">
      <c r="A1004" t="n">
        <v>220</v>
      </c>
      <c r="B1004" s="22">
        <f>EXP(SUM(Painel_diario!$L$2056:$L$2275))-1</f>
        <v/>
      </c>
      <c r="C1004" s="22">
        <f>EXP(SUM(Painel_diario!$L$2386:$L$2605))-1</f>
        <v/>
      </c>
      <c r="D1004" s="22">
        <f>EXP(SUM(Painel_diario!$L$3888:$L$4107))-1</f>
        <v/>
      </c>
      <c r="E1004" s="22">
        <f>EXP(SUM(Painel_diario!$L$4117:$L$4336))-1</f>
        <v/>
      </c>
      <c r="F1004" s="22">
        <f>EXP(SUM(Painel_diario!$L$4597:$L$4816))-1</f>
        <v/>
      </c>
    </row>
    <row r="1005">
      <c r="A1005" t="n">
        <v>221</v>
      </c>
      <c r="B1005" s="22">
        <f>EXP(SUM(Painel_diario!$L$2056:$L$2276))-1</f>
        <v/>
      </c>
      <c r="C1005" s="22">
        <f>EXP(SUM(Painel_diario!$L$2386:$L$2606))-1</f>
        <v/>
      </c>
      <c r="D1005" s="22">
        <f>EXP(SUM(Painel_diario!$L$3888:$L$4108))-1</f>
        <v/>
      </c>
      <c r="E1005" s="22">
        <f>EXP(SUM(Painel_diario!$L$4117:$L$4337))-1</f>
        <v/>
      </c>
      <c r="F1005" s="22">
        <f>EXP(SUM(Painel_diario!$L$4597:$L$4817))-1</f>
        <v/>
      </c>
    </row>
    <row r="1006">
      <c r="A1006" t="n">
        <v>222</v>
      </c>
      <c r="B1006" s="22">
        <f>EXP(SUM(Painel_diario!$L$2056:$L$2277))-1</f>
        <v/>
      </c>
      <c r="C1006" s="22">
        <f>EXP(SUM(Painel_diario!$L$2386:$L$2607))-1</f>
        <v/>
      </c>
      <c r="D1006" s="22">
        <f>EXP(SUM(Painel_diario!$L$3888:$L$4109))-1</f>
        <v/>
      </c>
      <c r="E1006" s="22">
        <f>EXP(SUM(Painel_diario!$L$4117:$L$4338))-1</f>
        <v/>
      </c>
      <c r="F1006" s="22">
        <f>EXP(SUM(Painel_diario!$L$4597:$L$4818))-1</f>
        <v/>
      </c>
    </row>
    <row r="1007">
      <c r="A1007" t="n">
        <v>223</v>
      </c>
      <c r="B1007" s="22">
        <f>EXP(SUM(Painel_diario!$L$2056:$L$2278))-1</f>
        <v/>
      </c>
      <c r="C1007" s="22">
        <f>EXP(SUM(Painel_diario!$L$2386:$L$2608))-1</f>
        <v/>
      </c>
      <c r="D1007" s="22">
        <f>EXP(SUM(Painel_diario!$L$3888:$L$4110))-1</f>
        <v/>
      </c>
      <c r="E1007" s="22">
        <f>EXP(SUM(Painel_diario!$L$4117:$L$4339))-1</f>
        <v/>
      </c>
      <c r="F1007" s="22">
        <f>EXP(SUM(Painel_diario!$L$4597:$L$4819))-1</f>
        <v/>
      </c>
    </row>
    <row r="1008">
      <c r="A1008" t="n">
        <v>224</v>
      </c>
      <c r="B1008" s="22">
        <f>EXP(SUM(Painel_diario!$L$2056:$L$2279))-1</f>
        <v/>
      </c>
      <c r="C1008" s="22">
        <f>EXP(SUM(Painel_diario!$L$2386:$L$2609))-1</f>
        <v/>
      </c>
      <c r="D1008" s="22">
        <f>EXP(SUM(Painel_diario!$L$3888:$L$4111))-1</f>
        <v/>
      </c>
      <c r="E1008" s="22">
        <f>EXP(SUM(Painel_diario!$L$4117:$L$4340))-1</f>
        <v/>
      </c>
      <c r="F1008" s="22">
        <f>EXP(SUM(Painel_diario!$L$4597:$L$4820))-1</f>
        <v/>
      </c>
    </row>
    <row r="1009">
      <c r="A1009" t="n">
        <v>225</v>
      </c>
      <c r="B1009" s="22">
        <f>EXP(SUM(Painel_diario!$L$2056:$L$2280))-1</f>
        <v/>
      </c>
      <c r="C1009" s="22">
        <f>EXP(SUM(Painel_diario!$L$2386:$L$2610))-1</f>
        <v/>
      </c>
      <c r="D1009" s="22">
        <f>EXP(SUM(Painel_diario!$L$3888:$L$4112))-1</f>
        <v/>
      </c>
      <c r="E1009" s="22">
        <f>EXP(SUM(Painel_diario!$L$4117:$L$4341))-1</f>
        <v/>
      </c>
      <c r="F1009" s="22">
        <f>EXP(SUM(Painel_diario!$L$4597:$L$4821))-1</f>
        <v/>
      </c>
    </row>
    <row r="1010">
      <c r="A1010" t="n">
        <v>226</v>
      </c>
      <c r="B1010" s="22">
        <f>EXP(SUM(Painel_diario!$L$2056:$L$2281))-1</f>
        <v/>
      </c>
      <c r="C1010" s="22">
        <f>EXP(SUM(Painel_diario!$L$2386:$L$2611))-1</f>
        <v/>
      </c>
      <c r="D1010" s="22">
        <f>EXP(SUM(Painel_diario!$L$3888:$L$4113))-1</f>
        <v/>
      </c>
      <c r="E1010" s="22">
        <f>EXP(SUM(Painel_diario!$L$4117:$L$4342))-1</f>
        <v/>
      </c>
      <c r="F1010" s="22">
        <f>EXP(SUM(Painel_diario!$L$4597:$L$4822))-1</f>
        <v/>
      </c>
    </row>
    <row r="1011">
      <c r="A1011" t="n">
        <v>227</v>
      </c>
      <c r="B1011" s="22">
        <f>EXP(SUM(Painel_diario!$L$2056:$L$2282))-1</f>
        <v/>
      </c>
      <c r="C1011" s="22">
        <f>EXP(SUM(Painel_diario!$L$2386:$L$2612))-1</f>
        <v/>
      </c>
      <c r="D1011" s="22">
        <f>EXP(SUM(Painel_diario!$L$3888:$L$4114))-1</f>
        <v/>
      </c>
      <c r="E1011" s="22">
        <f>EXP(SUM(Painel_diario!$L$4117:$L$4343))-1</f>
        <v/>
      </c>
      <c r="F1011" s="22">
        <f>EXP(SUM(Painel_diario!$L$4597:$L$4823))-1</f>
        <v/>
      </c>
    </row>
    <row r="1012">
      <c r="A1012" t="n">
        <v>228</v>
      </c>
      <c r="B1012" s="22">
        <f>EXP(SUM(Painel_diario!$L$2056:$L$2283))-1</f>
        <v/>
      </c>
      <c r="C1012" s="22">
        <f>EXP(SUM(Painel_diario!$L$2386:$L$2613))-1</f>
        <v/>
      </c>
      <c r="D1012" s="22">
        <f>EXP(SUM(Painel_diario!$L$3888:$L$4115))-1</f>
        <v/>
      </c>
      <c r="E1012" s="22">
        <f>EXP(SUM(Painel_diario!$L$4117:$L$4344))-1</f>
        <v/>
      </c>
      <c r="F1012" s="22">
        <f>EXP(SUM(Painel_diario!$L$4597:$L$4824))-1</f>
        <v/>
      </c>
    </row>
    <row r="1013">
      <c r="A1013" t="n">
        <v>229</v>
      </c>
      <c r="B1013" s="22">
        <f>EXP(SUM(Painel_diario!$L$2056:$L$2284))-1</f>
        <v/>
      </c>
      <c r="C1013" s="22">
        <f>EXP(SUM(Painel_diario!$L$2386:$L$2614))-1</f>
        <v/>
      </c>
      <c r="D1013" s="22">
        <f>EXP(SUM(Painel_diario!$L$3888:$L$4116))-1</f>
        <v/>
      </c>
      <c r="E1013" s="22">
        <f>EXP(SUM(Painel_diario!$L$4117:$L$4345))-1</f>
        <v/>
      </c>
      <c r="F1013" s="22">
        <f>EXP(SUM(Painel_diario!$L$4597:$L$4825))-1</f>
        <v/>
      </c>
    </row>
    <row r="1014">
      <c r="A1014" t="n">
        <v>230</v>
      </c>
      <c r="B1014" s="22">
        <f>EXP(SUM(Painel_diario!$L$2056:$L$2285))-1</f>
        <v/>
      </c>
      <c r="C1014" s="22">
        <f>EXP(SUM(Painel_diario!$L$2386:$L$2615))-1</f>
        <v/>
      </c>
      <c r="D1014" s="22">
        <f>EXP(SUM(Painel_diario!$L$3888:$L$4117))-1</f>
        <v/>
      </c>
      <c r="E1014" s="22">
        <f>EXP(SUM(Painel_diario!$L$4117:$L$4346))-1</f>
        <v/>
      </c>
      <c r="F1014" s="22">
        <f>EXP(SUM(Painel_diario!$L$4597:$L$4826))-1</f>
        <v/>
      </c>
    </row>
    <row r="1015">
      <c r="A1015" t="n">
        <v>231</v>
      </c>
      <c r="B1015" s="22">
        <f>EXP(SUM(Painel_diario!$L$2056:$L$2286))-1</f>
        <v/>
      </c>
      <c r="C1015" s="22">
        <f>EXP(SUM(Painel_diario!$L$2386:$L$2616))-1</f>
        <v/>
      </c>
      <c r="D1015" s="22">
        <f>EXP(SUM(Painel_diario!$L$3888:$L$4118))-1</f>
        <v/>
      </c>
      <c r="E1015" s="22">
        <f>EXP(SUM(Painel_diario!$L$4117:$L$4347))-1</f>
        <v/>
      </c>
      <c r="F1015" s="22">
        <f>EXP(SUM(Painel_diario!$L$4597:$L$4827))-1</f>
        <v/>
      </c>
    </row>
    <row r="1016">
      <c r="A1016" t="n">
        <v>232</v>
      </c>
      <c r="B1016" s="22">
        <f>EXP(SUM(Painel_diario!$L$2056:$L$2287))-1</f>
        <v/>
      </c>
      <c r="C1016" s="22">
        <f>EXP(SUM(Painel_diario!$L$2386:$L$2617))-1</f>
        <v/>
      </c>
      <c r="D1016" s="22">
        <f>EXP(SUM(Painel_diario!$L$3888:$L$4119))-1</f>
        <v/>
      </c>
      <c r="E1016" s="22">
        <f>EXP(SUM(Painel_diario!$L$4117:$L$4348))-1</f>
        <v/>
      </c>
      <c r="F1016" s="22">
        <f>EXP(SUM(Painel_diario!$L$4597:$L$4828))-1</f>
        <v/>
      </c>
    </row>
    <row r="1017">
      <c r="A1017" t="n">
        <v>233</v>
      </c>
      <c r="B1017" s="22">
        <f>EXP(SUM(Painel_diario!$L$2056:$L$2288))-1</f>
        <v/>
      </c>
      <c r="C1017" s="22">
        <f>EXP(SUM(Painel_diario!$L$2386:$L$2618))-1</f>
        <v/>
      </c>
      <c r="D1017" s="22">
        <f>EXP(SUM(Painel_diario!$L$3888:$L$4120))-1</f>
        <v/>
      </c>
      <c r="E1017" s="22">
        <f>EXP(SUM(Painel_diario!$L$4117:$L$4349))-1</f>
        <v/>
      </c>
      <c r="F1017" s="22">
        <f>EXP(SUM(Painel_diario!$L$4597:$L$4829))-1</f>
        <v/>
      </c>
    </row>
    <row r="1018">
      <c r="A1018" t="n">
        <v>234</v>
      </c>
      <c r="B1018" s="22">
        <f>EXP(SUM(Painel_diario!$L$2056:$L$2289))-1</f>
        <v/>
      </c>
      <c r="C1018" s="22">
        <f>EXP(SUM(Painel_diario!$L$2386:$L$2619))-1</f>
        <v/>
      </c>
      <c r="D1018" s="22">
        <f>EXP(SUM(Painel_diario!$L$3888:$L$4121))-1</f>
        <v/>
      </c>
      <c r="E1018" s="22">
        <f>EXP(SUM(Painel_diario!$L$4117:$L$4350))-1</f>
        <v/>
      </c>
      <c r="F1018" s="22">
        <f>EXP(SUM(Painel_diario!$L$4597:$L$4830))-1</f>
        <v/>
      </c>
    </row>
    <row r="1019">
      <c r="A1019" t="n">
        <v>235</v>
      </c>
      <c r="B1019" s="22">
        <f>EXP(SUM(Painel_diario!$L$2056:$L$2290))-1</f>
        <v/>
      </c>
      <c r="C1019" s="22">
        <f>EXP(SUM(Painel_diario!$L$2386:$L$2620))-1</f>
        <v/>
      </c>
      <c r="D1019" s="22">
        <f>EXP(SUM(Painel_diario!$L$3888:$L$4122))-1</f>
        <v/>
      </c>
      <c r="E1019" s="22">
        <f>EXP(SUM(Painel_diario!$L$4117:$L$4351))-1</f>
        <v/>
      </c>
      <c r="F1019" s="22">
        <f>EXP(SUM(Painel_diario!$L$4597:$L$4831))-1</f>
        <v/>
      </c>
    </row>
    <row r="1020">
      <c r="A1020" t="n">
        <v>236</v>
      </c>
      <c r="B1020" s="22">
        <f>EXP(SUM(Painel_diario!$L$2056:$L$2291))-1</f>
        <v/>
      </c>
      <c r="C1020" s="22">
        <f>EXP(SUM(Painel_diario!$L$2386:$L$2621))-1</f>
        <v/>
      </c>
      <c r="D1020" s="22">
        <f>EXP(SUM(Painel_diario!$L$3888:$L$4123))-1</f>
        <v/>
      </c>
      <c r="E1020" s="22">
        <f>EXP(SUM(Painel_diario!$L$4117:$L$4352))-1</f>
        <v/>
      </c>
      <c r="F1020" s="22">
        <f>EXP(SUM(Painel_diario!$L$4597:$L$4832))-1</f>
        <v/>
      </c>
    </row>
    <row r="1021">
      <c r="A1021" t="n">
        <v>237</v>
      </c>
      <c r="B1021" s="22">
        <f>EXP(SUM(Painel_diario!$L$2056:$L$2292))-1</f>
        <v/>
      </c>
      <c r="C1021" s="22">
        <f>EXP(SUM(Painel_diario!$L$2386:$L$2622))-1</f>
        <v/>
      </c>
      <c r="D1021" s="22">
        <f>EXP(SUM(Painel_diario!$L$3888:$L$4124))-1</f>
        <v/>
      </c>
      <c r="E1021" s="22">
        <f>EXP(SUM(Painel_diario!$L$4117:$L$4353))-1</f>
        <v/>
      </c>
      <c r="F1021" s="22">
        <f>EXP(SUM(Painel_diario!$L$4597:$L$4833))-1</f>
        <v/>
      </c>
    </row>
    <row r="1022">
      <c r="A1022" t="n">
        <v>238</v>
      </c>
      <c r="B1022" s="22">
        <f>EXP(SUM(Painel_diario!$L$2056:$L$2293))-1</f>
        <v/>
      </c>
      <c r="C1022" s="22">
        <f>EXP(SUM(Painel_diario!$L$2386:$L$2623))-1</f>
        <v/>
      </c>
      <c r="D1022" s="22">
        <f>EXP(SUM(Painel_diario!$L$3888:$L$4125))-1</f>
        <v/>
      </c>
      <c r="E1022" s="22">
        <f>EXP(SUM(Painel_diario!$L$4117:$L$4354))-1</f>
        <v/>
      </c>
      <c r="F1022" s="22">
        <f>EXP(SUM(Painel_diario!$L$4597:$L$4834))-1</f>
        <v/>
      </c>
    </row>
    <row r="1023">
      <c r="A1023" t="n">
        <v>239</v>
      </c>
      <c r="B1023" s="22">
        <f>EXP(SUM(Painel_diario!$L$2056:$L$2294))-1</f>
        <v/>
      </c>
      <c r="C1023" s="22">
        <f>EXP(SUM(Painel_diario!$L$2386:$L$2624))-1</f>
        <v/>
      </c>
      <c r="D1023" s="22">
        <f>EXP(SUM(Painel_diario!$L$3888:$L$4126))-1</f>
        <v/>
      </c>
      <c r="E1023" s="22">
        <f>EXP(SUM(Painel_diario!$L$4117:$L$4355))-1</f>
        <v/>
      </c>
      <c r="F1023" s="22">
        <f>EXP(SUM(Painel_diario!$L$4597:$L$4835))-1</f>
        <v/>
      </c>
    </row>
    <row r="1024">
      <c r="A1024" t="n">
        <v>240</v>
      </c>
      <c r="B1024" s="22">
        <f>EXP(SUM(Painel_diario!$L$2056:$L$2295))-1</f>
        <v/>
      </c>
      <c r="C1024" s="22">
        <f>EXP(SUM(Painel_diario!$L$2386:$L$2625))-1</f>
        <v/>
      </c>
      <c r="D1024" s="22">
        <f>EXP(SUM(Painel_diario!$L$3888:$L$4127))-1</f>
        <v/>
      </c>
      <c r="E1024" s="22">
        <f>EXP(SUM(Painel_diario!$L$4117:$L$4356))-1</f>
        <v/>
      </c>
      <c r="F1024" s="22">
        <f>EXP(SUM(Painel_diario!$L$4597:$L$4836))-1</f>
        <v/>
      </c>
    </row>
    <row r="1025">
      <c r="A1025" t="n">
        <v>241</v>
      </c>
      <c r="B1025" s="22">
        <f>EXP(SUM(Painel_diario!$L$2056:$L$2296))-1</f>
        <v/>
      </c>
      <c r="C1025" s="22">
        <f>EXP(SUM(Painel_diario!$L$2386:$L$2626))-1</f>
        <v/>
      </c>
      <c r="D1025" s="22">
        <f>EXP(SUM(Painel_diario!$L$3888:$L$4128))-1</f>
        <v/>
      </c>
      <c r="E1025" s="22">
        <f>EXP(SUM(Painel_diario!$L$4117:$L$4357))-1</f>
        <v/>
      </c>
      <c r="F1025" s="22">
        <f>EXP(SUM(Painel_diario!$L$4597:$L$4837))-1</f>
        <v/>
      </c>
    </row>
    <row r="1026">
      <c r="A1026" t="n">
        <v>242</v>
      </c>
      <c r="B1026" s="22">
        <f>EXP(SUM(Painel_diario!$L$2056:$L$2297))-1</f>
        <v/>
      </c>
      <c r="C1026" s="22">
        <f>EXP(SUM(Painel_diario!$L$2386:$L$2627))-1</f>
        <v/>
      </c>
      <c r="D1026" s="22">
        <f>EXP(SUM(Painel_diario!$L$3888:$L$4129))-1</f>
        <v/>
      </c>
      <c r="E1026" s="22">
        <f>EXP(SUM(Painel_diario!$L$4117:$L$4358))-1</f>
        <v/>
      </c>
      <c r="F1026" s="22">
        <f>EXP(SUM(Painel_diario!$L$4597:$L$4838))-1</f>
        <v/>
      </c>
    </row>
    <row r="1027">
      <c r="A1027" t="n">
        <v>243</v>
      </c>
      <c r="B1027" s="22">
        <f>EXP(SUM(Painel_diario!$L$2056:$L$2298))-1</f>
        <v/>
      </c>
      <c r="C1027" s="22">
        <f>EXP(SUM(Painel_diario!$L$2386:$L$2628))-1</f>
        <v/>
      </c>
      <c r="D1027" s="22">
        <f>EXP(SUM(Painel_diario!$L$3888:$L$4130))-1</f>
        <v/>
      </c>
      <c r="E1027" s="22">
        <f>EXP(SUM(Painel_diario!$L$4117:$L$4359))-1</f>
        <v/>
      </c>
      <c r="F1027" s="22">
        <f>EXP(SUM(Painel_diario!$L$4597:$L$4839))-1</f>
        <v/>
      </c>
    </row>
    <row r="1028">
      <c r="A1028" t="n">
        <v>244</v>
      </c>
      <c r="B1028" s="22">
        <f>EXP(SUM(Painel_diario!$L$2056:$L$2299))-1</f>
        <v/>
      </c>
      <c r="C1028" s="22">
        <f>EXP(SUM(Painel_diario!$L$2386:$L$2629))-1</f>
        <v/>
      </c>
      <c r="D1028" s="22">
        <f>EXP(SUM(Painel_diario!$L$3888:$L$4131))-1</f>
        <v/>
      </c>
      <c r="E1028" s="22">
        <f>EXP(SUM(Painel_diario!$L$4117:$L$4360))-1</f>
        <v/>
      </c>
      <c r="F1028" s="22">
        <f>EXP(SUM(Painel_diario!$L$4597:$L$4840))-1</f>
        <v/>
      </c>
    </row>
    <row r="1029">
      <c r="A1029" t="n">
        <v>245</v>
      </c>
      <c r="B1029" s="22">
        <f>EXP(SUM(Painel_diario!$L$2056:$L$2300))-1</f>
        <v/>
      </c>
      <c r="C1029" s="22">
        <f>EXP(SUM(Painel_diario!$L$2386:$L$2630))-1</f>
        <v/>
      </c>
      <c r="D1029" s="22">
        <f>EXP(SUM(Painel_diario!$L$3888:$L$4132))-1</f>
        <v/>
      </c>
      <c r="E1029" s="22">
        <f>EXP(SUM(Painel_diario!$L$4117:$L$4361))-1</f>
        <v/>
      </c>
      <c r="F1029" s="22">
        <f>EXP(SUM(Painel_diario!$L$4597:$L$4841))-1</f>
        <v/>
      </c>
    </row>
    <row r="1030">
      <c r="A1030" t="n">
        <v>246</v>
      </c>
      <c r="B1030" s="22">
        <f>EXP(SUM(Painel_diario!$L$2056:$L$2301))-1</f>
        <v/>
      </c>
      <c r="C1030" s="22">
        <f>EXP(SUM(Painel_diario!$L$2386:$L$2631))-1</f>
        <v/>
      </c>
      <c r="D1030" s="22">
        <f>EXP(SUM(Painel_diario!$L$3888:$L$4133))-1</f>
        <v/>
      </c>
      <c r="E1030" s="22">
        <f>EXP(SUM(Painel_diario!$L$4117:$L$4362))-1</f>
        <v/>
      </c>
      <c r="F1030" s="22">
        <f>EXP(SUM(Painel_diario!$L$4597:$L$4842))-1</f>
        <v/>
      </c>
    </row>
    <row r="1031">
      <c r="A1031" t="n">
        <v>247</v>
      </c>
      <c r="B1031" s="22">
        <f>EXP(SUM(Painel_diario!$L$2056:$L$2302))-1</f>
        <v/>
      </c>
      <c r="C1031" s="22">
        <f>EXP(SUM(Painel_diario!$L$2386:$L$2632))-1</f>
        <v/>
      </c>
      <c r="D1031" s="22">
        <f>EXP(SUM(Painel_diario!$L$3888:$L$4134))-1</f>
        <v/>
      </c>
      <c r="E1031" s="22">
        <f>EXP(SUM(Painel_diario!$L$4117:$L$4363))-1</f>
        <v/>
      </c>
      <c r="F1031" s="22">
        <f>EXP(SUM(Painel_diario!$L$4597:$L$4843))-1</f>
        <v/>
      </c>
    </row>
    <row r="1032">
      <c r="A1032" t="n">
        <v>248</v>
      </c>
      <c r="B1032" s="22">
        <f>EXP(SUM(Painel_diario!$L$2056:$L$2303))-1</f>
        <v/>
      </c>
      <c r="C1032" s="22">
        <f>EXP(SUM(Painel_diario!$L$2386:$L$2633))-1</f>
        <v/>
      </c>
      <c r="D1032" s="22">
        <f>EXP(SUM(Painel_diario!$L$3888:$L$4135))-1</f>
        <v/>
      </c>
      <c r="E1032" s="22">
        <f>EXP(SUM(Painel_diario!$L$4117:$L$4364))-1</f>
        <v/>
      </c>
      <c r="F1032" s="22">
        <f>EXP(SUM(Painel_diario!$L$4597:$L$4844))-1</f>
        <v/>
      </c>
    </row>
    <row r="1033">
      <c r="A1033" t="n">
        <v>249</v>
      </c>
      <c r="B1033" s="22">
        <f>EXP(SUM(Painel_diario!$L$2056:$L$2304))-1</f>
        <v/>
      </c>
      <c r="C1033" s="22">
        <f>EXP(SUM(Painel_diario!$L$2386:$L$2634))-1</f>
        <v/>
      </c>
      <c r="D1033" s="22">
        <f>EXP(SUM(Painel_diario!$L$3888:$L$4136))-1</f>
        <v/>
      </c>
      <c r="E1033" s="22">
        <f>EXP(SUM(Painel_diario!$L$4117:$L$4365))-1</f>
        <v/>
      </c>
      <c r="F1033" s="22">
        <f>EXP(SUM(Painel_diario!$L$4597:$L$4845))-1</f>
        <v/>
      </c>
    </row>
    <row r="1034">
      <c r="A1034" t="n">
        <v>250</v>
      </c>
      <c r="B1034" s="22">
        <f>EXP(SUM(Painel_diario!$L$2056:$L$2305))-1</f>
        <v/>
      </c>
      <c r="C1034" s="22">
        <f>EXP(SUM(Painel_diario!$L$2386:$L$2635))-1</f>
        <v/>
      </c>
      <c r="D1034" s="22">
        <f>EXP(SUM(Painel_diario!$L$3888:$L$4137))-1</f>
        <v/>
      </c>
      <c r="E1034" s="22">
        <f>EXP(SUM(Painel_diario!$L$4117:$L$4366))-1</f>
        <v/>
      </c>
      <c r="F1034" s="22">
        <f>EXP(SUM(Painel_diario!$L$4597:$L$4846))-1</f>
        <v/>
      </c>
    </row>
    <row r="1035">
      <c r="A1035" t="n">
        <v>251</v>
      </c>
      <c r="B1035" s="22">
        <f>EXP(SUM(Painel_diario!$L$2056:$L$2306))-1</f>
        <v/>
      </c>
      <c r="C1035" s="22">
        <f>EXP(SUM(Painel_diario!$L$2386:$L$2636))-1</f>
        <v/>
      </c>
      <c r="D1035" s="22">
        <f>EXP(SUM(Painel_diario!$L$3888:$L$4138))-1</f>
        <v/>
      </c>
      <c r="E1035" s="22">
        <f>EXP(SUM(Painel_diario!$L$4117:$L$4367))-1</f>
        <v/>
      </c>
      <c r="F1035" s="22">
        <f>EXP(SUM(Painel_diario!$L$4597:$L$4847))-1</f>
        <v/>
      </c>
    </row>
    <row r="1036">
      <c r="A1036" t="n">
        <v>252</v>
      </c>
      <c r="B1036" s="22">
        <f>EXP(SUM(Painel_diario!$L$2056:$L$2307))-1</f>
        <v/>
      </c>
      <c r="C1036" s="22">
        <f>EXP(SUM(Painel_diario!$L$2386:$L$2637))-1</f>
        <v/>
      </c>
      <c r="D1036" s="22">
        <f>EXP(SUM(Painel_diario!$L$3888:$L$4139))-1</f>
        <v/>
      </c>
      <c r="E1036" s="22">
        <f>EXP(SUM(Painel_diario!$L$4117:$L$4368))-1</f>
        <v/>
      </c>
      <c r="F1036" s="22">
        <f>EXP(SUM(Painel_diario!$L$4597:$L$4848))-1</f>
        <v/>
      </c>
    </row>
    <row r="1040">
      <c r="A1040" s="6" t="inlineStr">
        <is>
          <t>Convencao de estudo de evento, igual a do report da XP: a curva segue por 252 pregoes a partir do primeiro sinal, mesmo que o episodio termine antes. A linha de pregoes do episodio mostra ate onde a leitura fica dentro do quadrante.</t>
        </is>
      </c>
    </row>
    <row r="1041">
      <c r="A1041" s="6" t="inlineStr">
        <is>
          <t>Depois desse ponto a curva ja mistura o quadrante seguinte.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18" customWidth="1" min="7" max="7"/>
    <col width="20" customWidth="1" min="8" max="8"/>
  </cols>
  <sheetData>
    <row r="1">
      <c r="A1" s="7" t="inlineStr">
        <is>
          <t>Robustez da regra e limites de leitura</t>
        </is>
      </c>
    </row>
    <row r="2">
      <c r="A2" s="6" t="inlineStr">
        <is>
          <t>Numeros apurados na auditoria independente. Servem para acompanhar as tabelas acima e evitar que os pontos sejam lidos como precisos.</t>
        </is>
      </c>
    </row>
    <row r="4">
      <c r="A4" s="5" t="inlineStr">
        <is>
          <t>Sensibilidade: retorno real anualizado por quadrante ao variar janela e confirmacoes</t>
        </is>
      </c>
    </row>
    <row r="5">
      <c r="A5" s="8" t="inlineStr">
        <is>
          <t>Janela x confirmacoes</t>
        </is>
      </c>
      <c r="B5" s="8" t="inlineStr">
        <is>
          <t>EU_JD</t>
        </is>
      </c>
      <c r="C5" s="8" t="inlineStr">
        <is>
          <t>ED_JD</t>
        </is>
      </c>
      <c r="D5" s="8" t="inlineStr">
        <is>
          <t>EU_JU</t>
        </is>
      </c>
      <c r="E5" s="8" t="inlineStr">
        <is>
          <t>ED_JU</t>
        </is>
      </c>
      <c r="F5" s="8" t="inlineStr">
        <is>
          <t>Spread em Juros Down</t>
        </is>
      </c>
      <c r="G5" s="8" t="inlineStr">
        <is>
          <t>Spread em Juros Up</t>
        </is>
      </c>
      <c r="H5" s="8" t="inlineStr">
        <is>
          <t>Episodios de earnings</t>
        </is>
      </c>
    </row>
    <row r="6">
      <c r="A6" s="9" t="inlineStr">
        <is>
          <t>42 x 2</t>
        </is>
      </c>
      <c r="B6" s="27" t="n">
        <v>21.5</v>
      </c>
      <c r="C6" s="27" t="n">
        <v>13</v>
      </c>
      <c r="D6" s="27" t="n">
        <v>-9.699999999999999</v>
      </c>
      <c r="E6" s="27" t="n">
        <v>-15.6</v>
      </c>
      <c r="F6" s="27" t="n">
        <v>8.6</v>
      </c>
      <c r="G6" s="27" t="n">
        <v>5.9</v>
      </c>
      <c r="H6" s="9" t="n">
        <v>35</v>
      </c>
    </row>
    <row r="7">
      <c r="A7" s="9" t="inlineStr">
        <is>
          <t>63 x 1</t>
        </is>
      </c>
      <c r="B7" s="27" t="n">
        <v>22.7</v>
      </c>
      <c r="C7" s="27" t="n">
        <v>11.5</v>
      </c>
      <c r="D7" s="27" t="n">
        <v>-8.9</v>
      </c>
      <c r="E7" s="27" t="n">
        <v>-17</v>
      </c>
      <c r="F7" s="27" t="n">
        <v>11.2</v>
      </c>
      <c r="G7" s="27" t="n">
        <v>8.1</v>
      </c>
      <c r="H7" s="9" t="n">
        <v>47</v>
      </c>
    </row>
    <row r="8">
      <c r="A8" s="28" t="inlineStr">
        <is>
          <t>63 x 2 (oficial)</t>
        </is>
      </c>
      <c r="B8" s="29" t="n">
        <v>26.8</v>
      </c>
      <c r="C8" s="29" t="n">
        <v>8.4</v>
      </c>
      <c r="D8" s="29" t="n">
        <v>-8.300000000000001</v>
      </c>
      <c r="E8" s="29" t="n">
        <v>-18.3</v>
      </c>
      <c r="F8" s="29" t="n">
        <v>18.4</v>
      </c>
      <c r="G8" s="29" t="n">
        <v>10</v>
      </c>
      <c r="H8" s="28" t="n">
        <v>29</v>
      </c>
    </row>
    <row r="9">
      <c r="A9" s="9" t="inlineStr">
        <is>
          <t>63 x 3</t>
        </is>
      </c>
      <c r="B9" s="27" t="n">
        <v>17.8</v>
      </c>
      <c r="C9" s="27" t="n">
        <v>16.5</v>
      </c>
      <c r="D9" s="27" t="n">
        <v>-5.4</v>
      </c>
      <c r="E9" s="27" t="n">
        <v>-27.8</v>
      </c>
      <c r="F9" s="27" t="n">
        <v>1.2</v>
      </c>
      <c r="G9" s="27" t="n">
        <v>22.3</v>
      </c>
      <c r="H9" s="9" t="n">
        <v>19</v>
      </c>
    </row>
    <row r="10">
      <c r="A10" s="9" t="inlineStr">
        <is>
          <t>84 x 2</t>
        </is>
      </c>
      <c r="B10" s="27" t="n">
        <v>29.2</v>
      </c>
      <c r="C10" s="27" t="n">
        <v>8.4</v>
      </c>
      <c r="D10" s="27" t="n">
        <v>-9.300000000000001</v>
      </c>
      <c r="E10" s="27" t="n">
        <v>-17.9</v>
      </c>
      <c r="F10" s="27" t="n">
        <v>20.8</v>
      </c>
      <c r="G10" s="27" t="n">
        <v>8.6</v>
      </c>
      <c r="H10" s="9" t="n">
        <v>26</v>
      </c>
    </row>
    <row r="11">
      <c r="A11" s="9" t="inlineStr">
        <is>
          <t>84 x 3</t>
        </is>
      </c>
      <c r="B11" s="27" t="n">
        <v>15.3</v>
      </c>
      <c r="C11" s="27" t="n">
        <v>20.3</v>
      </c>
      <c r="D11" s="27" t="n">
        <v>-7.4</v>
      </c>
      <c r="E11" s="27" t="n">
        <v>-22.7</v>
      </c>
      <c r="F11" s="27" t="n">
        <v>-5</v>
      </c>
      <c r="G11" s="27" t="n">
        <v>15.4</v>
      </c>
      <c r="H11" s="9" t="n">
        <v>18</v>
      </c>
    </row>
    <row r="12">
      <c r="A12" s="9" t="inlineStr">
        <is>
          <t>126 x 2</t>
        </is>
      </c>
      <c r="B12" s="27" t="n">
        <v>12.7</v>
      </c>
      <c r="C12" s="27" t="n">
        <v>23.8</v>
      </c>
      <c r="D12" s="27" t="n">
        <v>-8.800000000000001</v>
      </c>
      <c r="E12" s="27" t="n">
        <v>-18.2</v>
      </c>
      <c r="F12" s="27" t="n">
        <v>-11.1</v>
      </c>
      <c r="G12" s="27" t="n">
        <v>9.4</v>
      </c>
      <c r="H12" s="9" t="n">
        <v>22</v>
      </c>
    </row>
    <row r="14">
      <c r="A14" s="6" t="inlineStr">
        <is>
          <t>A regra oficial usa 63 pregoes e 2 confirmacoes. O spread de earnings dentro de Juros Down vai de -11,1 a +20,8 p.p. na vizinhanca, entao a magnitude nao e um numero preciso.</t>
        </is>
      </c>
    </row>
    <row r="17">
      <c r="A17" s="5" t="inlineStr">
        <is>
          <t>Teste de rotacao circular do rotulo de earnings</t>
        </is>
      </c>
    </row>
    <row r="18">
      <c r="A18" s="8" t="inlineStr">
        <is>
          <t>Estatistica</t>
        </is>
      </c>
      <c r="B18" s="8" t="inlineStr">
        <is>
          <t>Observado (p.p.)</t>
        </is>
      </c>
      <c r="C18" s="8" t="inlineStr">
        <is>
          <t>p bicaudal</t>
        </is>
      </c>
      <c r="D18" s="8" t="inlineStr">
        <is>
          <t>Faixa nula 5-95%</t>
        </is>
      </c>
    </row>
    <row r="19">
      <c r="A19" s="9" t="inlineStr">
        <is>
          <t>Spread de earnings dentro de Juros Down</t>
        </is>
      </c>
      <c r="B19" s="27" t="n">
        <v>15.7</v>
      </c>
      <c r="C19" s="30" t="n">
        <v>0.322</v>
      </c>
      <c r="D19" s="9" t="inlineStr">
        <is>
          <t>-25,3 a +25,3</t>
        </is>
      </c>
    </row>
    <row r="20">
      <c r="A20" s="9" t="inlineStr">
        <is>
          <t>Spread de earnings dentro de Juros Up</t>
        </is>
      </c>
      <c r="B20" s="27" t="n">
        <v>11.5</v>
      </c>
      <c r="C20" s="30" t="n">
        <v>0.509</v>
      </c>
      <c r="D20" s="9" t="inlineStr">
        <is>
          <t>-25,7 a +27,4</t>
        </is>
      </c>
    </row>
    <row r="21">
      <c r="A21" s="9" t="inlineStr">
        <is>
          <t>Spread de earnings incondicional</t>
        </is>
      </c>
      <c r="B21" s="27" t="n">
        <v>7.7</v>
      </c>
      <c r="C21" s="30" t="n">
        <v>0.523</v>
      </c>
      <c r="D21" s="9" t="inlineStr">
        <is>
          <t>-18,3 a +21,5</t>
        </is>
      </c>
    </row>
    <row r="22">
      <c r="A22" s="9" t="inlineStr">
        <is>
          <t>Spread de juros incondicional (referencia)</t>
        </is>
      </c>
      <c r="B22" s="27" t="n">
        <v>28.1</v>
      </c>
      <c r="C22" s="30" t="n">
        <v>0.016</v>
      </c>
      <c r="D22" s="9" t="inlineStr">
        <is>
          <t>-16,2 a +16,9</t>
        </is>
      </c>
    </row>
    <row r="24">
      <c r="A24" s="6" t="inlineStr">
        <is>
          <t>A rotacao preserva a persistencia do regime e sorteia o timing. O rotulo de juros passa no teste; o de earnings nao. Spread aritmetico anualizado.</t>
        </is>
      </c>
    </row>
    <row r="27">
      <c r="A27" s="5" t="inlineStr">
        <is>
          <t>Bootstrap por episodio, reamostrando os 41 episodios inteiros</t>
        </is>
      </c>
    </row>
    <row r="28">
      <c r="A28" s="8" t="inlineStr">
        <is>
          <t>Spread de earnings</t>
        </is>
      </c>
      <c r="B28" s="8" t="inlineStr">
        <is>
          <t>Observado (p.p.)</t>
        </is>
      </c>
      <c r="C28" s="8" t="inlineStr">
        <is>
          <t>IC 90% inferior</t>
        </is>
      </c>
      <c r="D28" s="8" t="inlineStr">
        <is>
          <t>IC 90% superior</t>
        </is>
      </c>
      <c r="E28" s="8" t="inlineStr">
        <is>
          <t>Probabilidade de ser positivo</t>
        </is>
      </c>
    </row>
    <row r="29">
      <c r="A29" s="9" t="inlineStr">
        <is>
          <t>Dentro de Juros Down</t>
        </is>
      </c>
      <c r="B29" s="27" t="n">
        <v>15.7</v>
      </c>
      <c r="C29" s="27" t="n">
        <v>-4.5</v>
      </c>
      <c r="D29" s="27" t="n">
        <v>31.2</v>
      </c>
      <c r="E29" s="10" t="n">
        <v>0.9</v>
      </c>
    </row>
    <row r="30">
      <c r="A30" s="9" t="inlineStr">
        <is>
          <t>Dentro de Juros Up</t>
        </is>
      </c>
      <c r="B30" s="27" t="n">
        <v>11.5</v>
      </c>
      <c r="C30" s="27" t="n">
        <v>-10.5</v>
      </c>
      <c r="D30" s="27" t="n">
        <v>34</v>
      </c>
      <c r="E30" s="10" t="n">
        <v>0.82</v>
      </c>
    </row>
    <row r="33">
      <c r="A33" s="5" t="inlineStr">
        <is>
          <t>Poder preditivo em horizontes de carteira (spread de earnings, p.p.)</t>
        </is>
      </c>
    </row>
    <row r="34">
      <c r="A34" s="8" t="inlineStr">
        <is>
          <t>Horizonte</t>
        </is>
      </c>
      <c r="B34" s="8" t="inlineStr">
        <is>
          <t>Dentro de Juros Down</t>
        </is>
      </c>
      <c r="C34" s="8" t="inlineStr">
        <is>
          <t>Dentro de Juros Up</t>
        </is>
      </c>
    </row>
    <row r="35">
      <c r="A35" s="9" t="inlineStr">
        <is>
          <t>1 mes</t>
        </is>
      </c>
      <c r="B35" s="27" t="n">
        <v>-0.6</v>
      </c>
      <c r="C35" s="27" t="n">
        <v>10.9</v>
      </c>
    </row>
    <row r="36">
      <c r="A36" s="9" t="inlineStr">
        <is>
          <t>3 meses</t>
        </is>
      </c>
      <c r="B36" s="27" t="n">
        <v>-9.4</v>
      </c>
      <c r="C36" s="27" t="n">
        <v>2.6</v>
      </c>
    </row>
    <row r="37">
      <c r="A37" s="9" t="inlineStr">
        <is>
          <t>6 meses</t>
        </is>
      </c>
      <c r="B37" s="27" t="n">
        <v>2.2</v>
      </c>
      <c r="C37" s="27" t="n">
        <v>1.9</v>
      </c>
    </row>
    <row r="38">
      <c r="A38" s="9" t="inlineStr">
        <is>
          <t>12 meses</t>
        </is>
      </c>
      <c r="B38" s="27" t="n">
        <v>2.9</v>
      </c>
      <c r="C38" s="27" t="n">
        <v>3.5</v>
      </c>
    </row>
    <row r="40">
      <c r="A40" s="6" t="inlineStr">
        <is>
          <t>O spread desaparece e troca de sinal em qualquer horizonte de carteira. A grade descreve o ambiente vigente; nao antecipa o retorno.</t>
        </is>
      </c>
    </row>
    <row r="43">
      <c r="A43" s="5" t="inlineStr">
        <is>
          <t>Subamostras: retorno real anualizado por quadrante (%)</t>
        </is>
      </c>
    </row>
    <row r="44">
      <c r="A44" s="8" t="inlineStr">
        <is>
          <t>Periodo</t>
        </is>
      </c>
      <c r="B44" s="8" t="inlineStr">
        <is>
          <t>EU_JD</t>
        </is>
      </c>
      <c r="C44" s="8" t="inlineStr">
        <is>
          <t>ED_JD</t>
        </is>
      </c>
      <c r="D44" s="8" t="inlineStr">
        <is>
          <t>EU_JU</t>
        </is>
      </c>
      <c r="E44" s="8" t="inlineStr">
        <is>
          <t>ED_JU</t>
        </is>
      </c>
      <c r="F44" s="8" t="inlineStr">
        <is>
          <t>Spread em Juros Down</t>
        </is>
      </c>
      <c r="G44" s="8" t="inlineStr">
        <is>
          <t>Spread em Juros Up</t>
        </is>
      </c>
    </row>
    <row r="45">
      <c r="A45" s="9" t="inlineStr">
        <is>
          <t>2006-2015</t>
        </is>
      </c>
      <c r="B45" s="27" t="n">
        <v>40.8</v>
      </c>
      <c r="C45" s="27" t="n">
        <v>11.8</v>
      </c>
      <c r="D45" s="27" t="n">
        <v>-16</v>
      </c>
      <c r="E45" s="27" t="n">
        <v>-20.5</v>
      </c>
      <c r="F45" s="27" t="n">
        <v>29.1</v>
      </c>
      <c r="G45" s="27" t="n">
        <v>4.5</v>
      </c>
    </row>
    <row r="46">
      <c r="A46" s="9" t="inlineStr">
        <is>
          <t>2016-2026</t>
        </is>
      </c>
      <c r="B46" s="27" t="n">
        <v>23.1</v>
      </c>
      <c r="C46" s="27" t="n">
        <v>5.2</v>
      </c>
      <c r="D46" s="27" t="n">
        <v>1.4</v>
      </c>
      <c r="E46" s="27" t="n">
        <v>-11.2</v>
      </c>
      <c r="F46" s="27" t="n">
        <v>17.9</v>
      </c>
      <c r="G46" s="27" t="n">
        <v>12.6</v>
      </c>
    </row>
    <row r="47">
      <c r="A47" s="9" t="inlineStr">
        <is>
          <t>2006-2012</t>
        </is>
      </c>
      <c r="B47" s="27" t="n">
        <v>40.8</v>
      </c>
      <c r="C47" s="27" t="n">
        <v>17.8</v>
      </c>
      <c r="D47" s="27" t="n">
        <v>-18.7</v>
      </c>
      <c r="E47" s="27" t="n">
        <v>-20.4</v>
      </c>
      <c r="F47" s="27" t="n">
        <v>23</v>
      </c>
      <c r="G47" s="27" t="n">
        <v>1.6</v>
      </c>
    </row>
    <row r="48">
      <c r="A48" s="9" t="inlineStr">
        <is>
          <t>2013-2019</t>
        </is>
      </c>
      <c r="B48" s="27" t="n">
        <v>20.3</v>
      </c>
      <c r="C48" s="27" t="n">
        <v>21.3</v>
      </c>
      <c r="D48" s="27" t="n">
        <v>6.1</v>
      </c>
      <c r="E48" s="27" t="n">
        <v>-21.9</v>
      </c>
      <c r="F48" s="27" t="n">
        <v>-0.9</v>
      </c>
      <c r="G48" s="27" t="n">
        <v>28.1</v>
      </c>
    </row>
    <row r="49">
      <c r="A49" s="9" t="inlineStr">
        <is>
          <t>2020-2026</t>
        </is>
      </c>
      <c r="B49" s="27" t="n">
        <v>27.7</v>
      </c>
      <c r="C49" s="27" t="n">
        <v>-11</v>
      </c>
      <c r="D49" s="27" t="n">
        <v>-3.5</v>
      </c>
      <c r="E49" s="27" t="n">
        <v>-4.7</v>
      </c>
      <c r="F49" s="27" t="n">
        <v>38.7</v>
      </c>
      <c r="G49" s="27" t="n">
        <v>1.2</v>
      </c>
    </row>
    <row r="51">
      <c r="A51" s="6" t="inlineStr">
        <is>
          <t>A ordenacao Juros Down acima de Juros Up vale em todas as subamostras. A de earnings vale em 9 das 10 celulas, com magnitude muito instavel.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03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0" customWidth="1" min="4" max="4"/>
    <col width="14" customWidth="1" min="5" max="5"/>
    <col width="11" customWidth="1" min="6" max="6"/>
    <col width="10" customWidth="1" min="7" max="7"/>
    <col width="11" customWidth="1" min="8" max="8"/>
    <col width="9" customWidth="1" min="9" max="9"/>
    <col width="10" customWidth="1" min="10" max="10"/>
    <col width="9" customWidth="1" min="11" max="11"/>
    <col width="12" customWidth="1" min="12" max="12"/>
    <col width="12" customWidth="1" min="13" max="13"/>
    <col width="11" customWidth="1" min="14" max="14"/>
    <col width="10" customWidth="1" min="15" max="15"/>
    <col width="10" customWidth="1" min="16" max="16"/>
    <col width="12" customWidth="1" min="17" max="17"/>
    <col width="9" customWidth="1" min="18" max="18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3" customWidth="1" min="25" max="25"/>
  </cols>
  <sheetData>
    <row r="1">
      <c r="A1" s="8" t="inlineStr">
        <is>
          <t>Data</t>
        </is>
      </c>
      <c r="B1" s="8" t="inlineStr">
        <is>
          <t>Ibovespa</t>
        </is>
      </c>
      <c r="C1" s="8" t="inlineStr">
        <is>
          <t>BPA 12m fwd (removido)</t>
        </is>
      </c>
      <c r="D1" s="8" t="inlineStr">
        <is>
          <t>ln(BPA) (removido)</t>
        </is>
      </c>
      <c r="E1" s="8" t="inlineStr">
        <is>
          <t>Inclinacao 63d (x1000)</t>
        </is>
      </c>
      <c r="F1" s="8" t="inlineStr">
        <is>
          <t>Earnings</t>
        </is>
      </c>
      <c r="G1" s="8" t="inlineStr">
        <is>
          <t>Juros</t>
        </is>
      </c>
      <c r="H1" s="8" t="inlineStr">
        <is>
          <t>Quadrante</t>
        </is>
      </c>
      <c r="I1" s="8" t="inlineStr">
        <is>
          <t>Mes</t>
        </is>
      </c>
      <c r="J1" s="8" t="inlineStr">
        <is>
          <t>Tem retorno</t>
        </is>
      </c>
      <c r="K1" s="8" t="inlineStr">
        <is>
          <t>Tem IPCA</t>
        </is>
      </c>
      <c r="L1" s="8" t="inlineStr">
        <is>
          <t>log ret nominal</t>
        </is>
      </c>
      <c r="M1" s="8" t="inlineStr">
        <is>
          <t>log inflacao dia</t>
        </is>
      </c>
      <c r="N1" s="8" t="inlineStr">
        <is>
          <t>log ret real</t>
        </is>
      </c>
      <c r="O1" s="8" t="inlineStr">
        <is>
          <t>CDI ret dia</t>
        </is>
      </c>
      <c r="P1" s="8" t="inlineStr">
        <is>
          <t>log CDI</t>
        </is>
      </c>
      <c r="Q1" s="8" t="inlineStr">
        <is>
          <t>log ret USDBRL</t>
        </is>
      </c>
      <c r="R1" s="8" t="inlineStr">
        <is>
          <t>USDBRL</t>
        </is>
      </c>
      <c r="S1" s="8" t="inlineStr">
        <is>
          <t>Swap 360d (%)</t>
        </is>
      </c>
      <c r="T1" s="8" t="inlineStr">
        <is>
          <t>EU_JD</t>
        </is>
      </c>
      <c r="U1" s="8" t="inlineStr">
        <is>
          <t>EU_JU</t>
        </is>
      </c>
      <c r="V1" s="8" t="inlineStr">
        <is>
          <t>ED_JD</t>
        </is>
      </c>
      <c r="W1" s="8" t="inlineStr">
        <is>
          <t>ED_JU</t>
        </is>
      </c>
      <c r="X1" s="8" t="inlineStr">
        <is>
          <t>Swap Juros Up</t>
        </is>
      </c>
      <c r="Y1" s="8" t="inlineStr">
        <is>
          <t>Swap Juros Down</t>
        </is>
      </c>
    </row>
    <row r="2">
      <c r="A2" s="25" t="n">
        <v>38810</v>
      </c>
      <c r="B2" s="18" t="n">
        <v>38717</v>
      </c>
      <c r="C2" s="31" t="n"/>
      <c r="D2" s="32" t="n"/>
      <c r="E2" s="33" t="n">
        <v>0.484</v>
      </c>
      <c r="F2" t="inlineStr">
        <is>
          <t>Up</t>
        </is>
      </c>
      <c r="G2" t="inlineStr">
        <is>
          <t>Down</t>
        </is>
      </c>
      <c r="H2" t="inlineStr">
        <is>
          <t>EU_JD</t>
        </is>
      </c>
      <c r="I2" t="inlineStr">
        <is>
          <t>2006-04</t>
        </is>
      </c>
      <c r="J2" t="n">
        <v>1</v>
      </c>
      <c r="K2" t="n">
        <v>1</v>
      </c>
      <c r="L2" s="34">
        <f>IF($J2=1,LN(B3/B2),"")</f>
        <v/>
      </c>
      <c r="M2" s="34">
        <f>IF($K2=1,INDEX(Mensal!$D$2:$D$245,MATCH($I2,Mensal!$A$2:$A$245,0)),"")</f>
        <v/>
      </c>
      <c r="N2" s="34">
        <f>IF($K2=1,L2-M2,"")</f>
        <v/>
      </c>
      <c r="O2" s="34" t="n">
        <v>0.00060452</v>
      </c>
      <c r="P2" s="34">
        <f>IF($J2=1,LN(1+O2),"")</f>
        <v/>
      </c>
      <c r="Q2" s="34">
        <f>IF($J2=1,LN(R3/R2),"")</f>
        <v/>
      </c>
      <c r="R2" s="32" t="n">
        <v>2.1542</v>
      </c>
      <c r="S2" s="35" t="n">
        <v>14.73</v>
      </c>
      <c r="T2" s="18" t="n">
        <v>38717</v>
      </c>
      <c r="U2" s="18" t="n"/>
      <c r="V2" s="18" t="n"/>
      <c r="W2" s="18" t="n"/>
      <c r="X2" s="35" t="n"/>
      <c r="Y2" s="35" t="n">
        <v>14.73</v>
      </c>
    </row>
    <row r="3">
      <c r="A3" s="25" t="n">
        <v>38811</v>
      </c>
      <c r="B3" s="18" t="n">
        <v>38802</v>
      </c>
      <c r="C3" s="31" t="n"/>
      <c r="D3" s="32" t="n"/>
      <c r="E3" s="33" t="n">
        <v>0.4514</v>
      </c>
      <c r="F3" t="inlineStr">
        <is>
          <t>Up</t>
        </is>
      </c>
      <c r="G3" t="inlineStr">
        <is>
          <t>Down</t>
        </is>
      </c>
      <c r="H3" t="inlineStr">
        <is>
          <t>EU_JD</t>
        </is>
      </c>
      <c r="I3" t="inlineStr">
        <is>
          <t>2006-04</t>
        </is>
      </c>
      <c r="J3" t="n">
        <v>1</v>
      </c>
      <c r="K3" t="n">
        <v>1</v>
      </c>
      <c r="L3" s="34">
        <f>IF($J3=1,LN(B4/B3),"")</f>
        <v/>
      </c>
      <c r="M3" s="34">
        <f>IF($K3=1,INDEX(Mensal!$D$2:$D$245,MATCH($I3,Mensal!$A$2:$A$245,0)),"")</f>
        <v/>
      </c>
      <c r="N3" s="34">
        <f>IF($K3=1,L3-M3,"")</f>
        <v/>
      </c>
      <c r="O3" s="34" t="n">
        <v>0.00060383</v>
      </c>
      <c r="P3" s="34">
        <f>IF($J3=1,LN(1+O3),"")</f>
        <v/>
      </c>
      <c r="Q3" s="34">
        <f>IF($J3=1,LN(R4/R3),"")</f>
        <v/>
      </c>
      <c r="R3" s="32" t="n">
        <v>2.1293</v>
      </c>
      <c r="S3" s="35" t="n">
        <v>14.72</v>
      </c>
      <c r="T3" s="18" t="n">
        <v>38802</v>
      </c>
      <c r="U3" s="18" t="n"/>
      <c r="V3" s="18" t="n"/>
      <c r="W3" s="18" t="n"/>
      <c r="X3" s="35" t="n"/>
      <c r="Y3" s="35" t="n">
        <v>14.72</v>
      </c>
    </row>
    <row r="4">
      <c r="A4" s="25" t="n">
        <v>38812</v>
      </c>
      <c r="B4" s="18" t="n">
        <v>39053</v>
      </c>
      <c r="C4" s="31" t="n"/>
      <c r="D4" s="32" t="n"/>
      <c r="E4" s="33" t="n">
        <v>0.4061</v>
      </c>
      <c r="F4" t="inlineStr">
        <is>
          <t>Up</t>
        </is>
      </c>
      <c r="G4" t="inlineStr">
        <is>
          <t>Down</t>
        </is>
      </c>
      <c r="H4" t="inlineStr">
        <is>
          <t>EU_JD</t>
        </is>
      </c>
      <c r="I4" t="inlineStr">
        <is>
          <t>2006-04</t>
        </is>
      </c>
      <c r="J4" t="n">
        <v>1</v>
      </c>
      <c r="K4" t="n">
        <v>1</v>
      </c>
      <c r="L4" s="34">
        <f>IF($J4=1,LN(B5/B4),"")</f>
        <v/>
      </c>
      <c r="M4" s="34">
        <f>IF($K4=1,INDEX(Mensal!$D$2:$D$245,MATCH($I4,Mensal!$A$2:$A$245,0)),"")</f>
        <v/>
      </c>
      <c r="N4" s="34">
        <f>IF($K4=1,L4-M4,"")</f>
        <v/>
      </c>
      <c r="O4" s="34" t="n">
        <v>0.00060349</v>
      </c>
      <c r="P4" s="34">
        <f>IF($J4=1,LN(1+O4),"")</f>
        <v/>
      </c>
      <c r="Q4" s="34">
        <f>IF($J4=1,LN(R5/R4),"")</f>
        <v/>
      </c>
      <c r="R4" s="32" t="n">
        <v>2.1344</v>
      </c>
      <c r="S4" s="35" t="n">
        <v>14.68</v>
      </c>
      <c r="T4" s="18" t="n">
        <v>39053</v>
      </c>
      <c r="U4" s="18" t="n"/>
      <c r="V4" s="18" t="n"/>
      <c r="W4" s="18" t="n"/>
      <c r="X4" s="35" t="n"/>
      <c r="Y4" s="35" t="n">
        <v>14.68</v>
      </c>
    </row>
    <row r="5">
      <c r="A5" s="25" t="n">
        <v>38813</v>
      </c>
      <c r="B5" s="18" t="n">
        <v>39285</v>
      </c>
      <c r="C5" s="31" t="n"/>
      <c r="D5" s="32" t="n"/>
      <c r="E5" s="33" t="n">
        <v>0.3651</v>
      </c>
      <c r="F5" t="inlineStr">
        <is>
          <t>Up</t>
        </is>
      </c>
      <c r="G5" t="inlineStr">
        <is>
          <t>Down</t>
        </is>
      </c>
      <c r="H5" t="inlineStr">
        <is>
          <t>EU_JD</t>
        </is>
      </c>
      <c r="I5" t="inlineStr">
        <is>
          <t>2006-04</t>
        </is>
      </c>
      <c r="J5" t="n">
        <v>1</v>
      </c>
      <c r="K5" t="n">
        <v>1</v>
      </c>
      <c r="L5" s="34">
        <f>IF($J5=1,LN(B6/B5),"")</f>
        <v/>
      </c>
      <c r="M5" s="34">
        <f>IF($K5=1,INDEX(Mensal!$D$2:$D$245,MATCH($I5,Mensal!$A$2:$A$245,0)),"")</f>
        <v/>
      </c>
      <c r="N5" s="34">
        <f>IF($K5=1,L5-M5,"")</f>
        <v/>
      </c>
      <c r="O5" s="34" t="n">
        <v>0.00060315</v>
      </c>
      <c r="P5" s="34">
        <f>IF($J5=1,LN(1+O5),"")</f>
        <v/>
      </c>
      <c r="Q5" s="34">
        <f>IF($J5=1,LN(R6/R5),"")</f>
        <v/>
      </c>
      <c r="R5" s="32" t="n">
        <v>2.1299</v>
      </c>
      <c r="S5" s="35" t="n">
        <v>14.69</v>
      </c>
      <c r="T5" s="18" t="n">
        <v>39285</v>
      </c>
      <c r="U5" s="18" t="n"/>
      <c r="V5" s="18" t="n"/>
      <c r="W5" s="18" t="n"/>
      <c r="X5" s="35" t="n"/>
      <c r="Y5" s="35" t="n">
        <v>14.69</v>
      </c>
    </row>
    <row r="6">
      <c r="A6" s="25" t="n">
        <v>38814</v>
      </c>
      <c r="B6" s="18" t="n">
        <v>38926</v>
      </c>
      <c r="C6" s="31" t="n"/>
      <c r="D6" s="32" t="n"/>
      <c r="E6" s="33" t="n">
        <v>0.3363</v>
      </c>
      <c r="F6" t="inlineStr">
        <is>
          <t>Up</t>
        </is>
      </c>
      <c r="G6" t="inlineStr">
        <is>
          <t>Down</t>
        </is>
      </c>
      <c r="H6" t="inlineStr">
        <is>
          <t>EU_JD</t>
        </is>
      </c>
      <c r="I6" t="inlineStr">
        <is>
          <t>2006-04</t>
        </is>
      </c>
      <c r="J6" t="n">
        <v>1</v>
      </c>
      <c r="K6" t="n">
        <v>1</v>
      </c>
      <c r="L6" s="34">
        <f>IF($J6=1,LN(B7/B6),"")</f>
        <v/>
      </c>
      <c r="M6" s="34">
        <f>IF($K6=1,INDEX(Mensal!$D$2:$D$245,MATCH($I6,Mensal!$A$2:$A$245,0)),"")</f>
        <v/>
      </c>
      <c r="N6" s="34">
        <f>IF($K6=1,L6-M6,"")</f>
        <v/>
      </c>
      <c r="O6" s="34" t="n">
        <v>0.0006028100000000001</v>
      </c>
      <c r="P6" s="34">
        <f>IF($J6=1,LN(1+O6),"")</f>
        <v/>
      </c>
      <c r="Q6" s="34">
        <f>IF($J6=1,LN(R7/R6),"")</f>
        <v/>
      </c>
      <c r="R6" s="32" t="n">
        <v>2.1409</v>
      </c>
      <c r="S6" s="35" t="n">
        <v>14.78</v>
      </c>
      <c r="T6" s="18" t="n">
        <v>38926</v>
      </c>
      <c r="U6" s="18" t="n"/>
      <c r="V6" s="18" t="n"/>
      <c r="W6" s="18" t="n"/>
      <c r="X6" s="35" t="n"/>
      <c r="Y6" s="35" t="n">
        <v>14.78</v>
      </c>
    </row>
    <row r="7">
      <c r="A7" s="25" t="n">
        <v>38817</v>
      </c>
      <c r="B7" s="18" t="n">
        <v>38474</v>
      </c>
      <c r="C7" s="31" t="n"/>
      <c r="D7" s="32" t="n"/>
      <c r="E7" s="33" t="n">
        <v>0.31</v>
      </c>
      <c r="F7" t="inlineStr">
        <is>
          <t>Up</t>
        </is>
      </c>
      <c r="G7" t="inlineStr">
        <is>
          <t>Down</t>
        </is>
      </c>
      <c r="H7" t="inlineStr">
        <is>
          <t>EU_JD</t>
        </is>
      </c>
      <c r="I7" t="inlineStr">
        <is>
          <t>2006-04</t>
        </is>
      </c>
      <c r="J7" t="n">
        <v>1</v>
      </c>
      <c r="K7" t="n">
        <v>1</v>
      </c>
      <c r="L7" s="34">
        <f>IF($J7=1,LN(B8/B7),"")</f>
        <v/>
      </c>
      <c r="M7" s="34">
        <f>IF($K7=1,INDEX(Mensal!$D$2:$D$245,MATCH($I7,Mensal!$A$2:$A$245,0)),"")</f>
        <v/>
      </c>
      <c r="N7" s="34">
        <f>IF($K7=1,L7-M7,"")</f>
        <v/>
      </c>
      <c r="O7" s="34" t="n">
        <v>0.0006028100000000001</v>
      </c>
      <c r="P7" s="34">
        <f>IF($J7=1,LN(1+O7),"")</f>
        <v/>
      </c>
      <c r="Q7" s="34">
        <f>IF($J7=1,LN(R8/R7),"")</f>
        <v/>
      </c>
      <c r="R7" s="32" t="n">
        <v>2.1522</v>
      </c>
      <c r="S7" s="35" t="n">
        <v>14.88</v>
      </c>
      <c r="T7" s="18" t="n">
        <v>38474</v>
      </c>
      <c r="U7" s="18" t="n"/>
      <c r="V7" s="18" t="n"/>
      <c r="W7" s="18" t="n"/>
      <c r="X7" s="35" t="n"/>
      <c r="Y7" s="35" t="n">
        <v>14.88</v>
      </c>
    </row>
    <row r="8">
      <c r="A8" s="25" t="n">
        <v>38818</v>
      </c>
      <c r="B8" s="18" t="n">
        <v>37901</v>
      </c>
      <c r="C8" s="31" t="n"/>
      <c r="D8" s="32" t="n"/>
      <c r="E8" s="33" t="n">
        <v>0.2811</v>
      </c>
      <c r="F8" t="inlineStr">
        <is>
          <t>Up</t>
        </is>
      </c>
      <c r="G8" t="inlineStr">
        <is>
          <t>Down</t>
        </is>
      </c>
      <c r="H8" t="inlineStr">
        <is>
          <t>EU_JD</t>
        </is>
      </c>
      <c r="I8" t="inlineStr">
        <is>
          <t>2006-04</t>
        </is>
      </c>
      <c r="J8" t="n">
        <v>1</v>
      </c>
      <c r="K8" t="n">
        <v>1</v>
      </c>
      <c r="L8" s="34">
        <f>IF($J8=1,LN(B9/B8),"")</f>
        <v/>
      </c>
      <c r="M8" s="34">
        <f>IF($K8=1,INDEX(Mensal!$D$2:$D$245,MATCH($I8,Mensal!$A$2:$A$245,0)),"")</f>
        <v/>
      </c>
      <c r="N8" s="34">
        <f>IF($K8=1,L8-M8,"")</f>
        <v/>
      </c>
      <c r="O8" s="34" t="n">
        <v>0.0006028100000000001</v>
      </c>
      <c r="P8" s="34">
        <f>IF($J8=1,LN(1+O8),"")</f>
        <v/>
      </c>
      <c r="Q8" s="34">
        <f>IF($J8=1,LN(R9/R8),"")</f>
        <v/>
      </c>
      <c r="R8" s="32" t="n">
        <v>2.142</v>
      </c>
      <c r="S8" s="35" t="n">
        <v>14.79</v>
      </c>
      <c r="T8" s="18" t="n">
        <v>37901</v>
      </c>
      <c r="U8" s="18" t="n"/>
      <c r="V8" s="18" t="n"/>
      <c r="W8" s="18" t="n"/>
      <c r="X8" s="35" t="n"/>
      <c r="Y8" s="35" t="n">
        <v>14.79</v>
      </c>
    </row>
    <row r="9">
      <c r="A9" s="25" t="n">
        <v>38819</v>
      </c>
      <c r="B9" s="18" t="n">
        <v>38427</v>
      </c>
      <c r="C9" s="31" t="n"/>
      <c r="D9" s="32" t="n"/>
      <c r="E9" s="33" t="n">
        <v>0.2521</v>
      </c>
      <c r="F9" t="inlineStr">
        <is>
          <t>Up</t>
        </is>
      </c>
      <c r="G9" t="inlineStr">
        <is>
          <t>Down</t>
        </is>
      </c>
      <c r="H9" t="inlineStr">
        <is>
          <t>EU_JD</t>
        </is>
      </c>
      <c r="I9" t="inlineStr">
        <is>
          <t>2006-04</t>
        </is>
      </c>
      <c r="J9" t="n">
        <v>1</v>
      </c>
      <c r="K9" t="n">
        <v>1</v>
      </c>
      <c r="L9" s="34">
        <f>IF($J9=1,LN(B10/B9),"")</f>
        <v/>
      </c>
      <c r="M9" s="34">
        <f>IF($K9=1,INDEX(Mensal!$D$2:$D$245,MATCH($I9,Mensal!$A$2:$A$245,0)),"")</f>
        <v/>
      </c>
      <c r="N9" s="34">
        <f>IF($K9=1,L9-M9,"")</f>
        <v/>
      </c>
      <c r="O9" s="34" t="n">
        <v>0.0006028100000000001</v>
      </c>
      <c r="P9" s="34">
        <f>IF($J9=1,LN(1+O9),"")</f>
        <v/>
      </c>
      <c r="Q9" s="34">
        <f>IF($J9=1,LN(R10/R9),"")</f>
        <v/>
      </c>
      <c r="R9" s="32" t="n">
        <v>2.1336</v>
      </c>
      <c r="S9" s="35" t="n">
        <v>14.7</v>
      </c>
      <c r="T9" s="18" t="n">
        <v>38427</v>
      </c>
      <c r="U9" s="18" t="n"/>
      <c r="V9" s="18" t="n"/>
      <c r="W9" s="18" t="n"/>
      <c r="X9" s="35" t="n"/>
      <c r="Y9" s="35" t="n">
        <v>14.7</v>
      </c>
    </row>
    <row r="10">
      <c r="A10" s="25" t="n">
        <v>38820</v>
      </c>
      <c r="B10" s="18" t="n">
        <v>38082</v>
      </c>
      <c r="C10" s="31" t="n"/>
      <c r="D10" s="32" t="n"/>
      <c r="E10" s="33" t="n">
        <v>0.1933</v>
      </c>
      <c r="F10" t="inlineStr">
        <is>
          <t>Up</t>
        </is>
      </c>
      <c r="G10" t="inlineStr">
        <is>
          <t>Down</t>
        </is>
      </c>
      <c r="H10" t="inlineStr">
        <is>
          <t>EU_JD</t>
        </is>
      </c>
      <c r="I10" t="inlineStr">
        <is>
          <t>2006-04</t>
        </is>
      </c>
      <c r="J10" t="n">
        <v>1</v>
      </c>
      <c r="K10" t="n">
        <v>1</v>
      </c>
      <c r="L10" s="34">
        <f>IF($J10=1,LN(B11/B10),"")</f>
        <v/>
      </c>
      <c r="M10" s="34">
        <f>IF($K10=1,INDEX(Mensal!$D$2:$D$245,MATCH($I10,Mensal!$A$2:$A$245,0)),"")</f>
        <v/>
      </c>
      <c r="N10" s="34">
        <f>IF($K10=1,L10-M10,"")</f>
        <v/>
      </c>
      <c r="O10" s="34" t="n">
        <v>0.0006028100000000001</v>
      </c>
      <c r="P10" s="34">
        <f>IF($J10=1,LN(1+O10),"")</f>
        <v/>
      </c>
      <c r="Q10" s="34">
        <f>IF($J10=1,LN(R11/R10),"")</f>
        <v/>
      </c>
      <c r="R10" s="32" t="n">
        <v>2.1426</v>
      </c>
      <c r="S10" s="35" t="n">
        <v>14.68</v>
      </c>
      <c r="T10" s="18" t="n">
        <v>38082</v>
      </c>
      <c r="U10" s="18" t="n"/>
      <c r="V10" s="18" t="n"/>
      <c r="W10" s="18" t="n"/>
      <c r="X10" s="35" t="n"/>
      <c r="Y10" s="35" t="n">
        <v>14.68</v>
      </c>
    </row>
    <row r="11">
      <c r="A11" s="25" t="n">
        <v>38824</v>
      </c>
      <c r="B11" s="18" t="n">
        <v>38462</v>
      </c>
      <c r="C11" s="31" t="n"/>
      <c r="D11" s="32" t="n"/>
      <c r="E11" s="33" t="n">
        <v>0.1122</v>
      </c>
      <c r="F11" t="inlineStr">
        <is>
          <t>Up</t>
        </is>
      </c>
      <c r="G11" t="inlineStr">
        <is>
          <t>Down</t>
        </is>
      </c>
      <c r="H11" t="inlineStr">
        <is>
          <t>EU_JD</t>
        </is>
      </c>
      <c r="I11" t="inlineStr">
        <is>
          <t>2006-04</t>
        </is>
      </c>
      <c r="J11" t="n">
        <v>1</v>
      </c>
      <c r="K11" t="n">
        <v>1</v>
      </c>
      <c r="L11" s="34">
        <f>IF($J11=1,LN(B12/B11),"")</f>
        <v/>
      </c>
      <c r="M11" s="34">
        <f>IF($K11=1,INDEX(Mensal!$D$2:$D$245,MATCH($I11,Mensal!$A$2:$A$245,0)),"")</f>
        <v/>
      </c>
      <c r="N11" s="34">
        <f>IF($K11=1,L11-M11,"")</f>
        <v/>
      </c>
      <c r="O11" s="34" t="n">
        <v>0.0006028100000000001</v>
      </c>
      <c r="P11" s="34">
        <f>IF($J11=1,LN(1+O11),"")</f>
        <v/>
      </c>
      <c r="Q11" s="34">
        <f>IF($J11=1,LN(R12/R11),"")</f>
        <v/>
      </c>
      <c r="R11" s="32" t="n">
        <v>2.1343</v>
      </c>
      <c r="S11" s="35" t="n">
        <v>14.68</v>
      </c>
      <c r="T11" s="18" t="n">
        <v>38462</v>
      </c>
      <c r="U11" s="18" t="n"/>
      <c r="V11" s="18" t="n"/>
      <c r="W11" s="18" t="n"/>
      <c r="X11" s="35" t="n"/>
      <c r="Y11" s="35" t="n">
        <v>14.68</v>
      </c>
    </row>
    <row r="12">
      <c r="A12" s="25" t="n">
        <v>38825</v>
      </c>
      <c r="B12" s="18" t="n">
        <v>39572</v>
      </c>
      <c r="C12" s="31" t="n"/>
      <c r="D12" s="32" t="n"/>
      <c r="E12" s="33" t="n">
        <v>0.0311</v>
      </c>
      <c r="F12" t="inlineStr">
        <is>
          <t>Up</t>
        </is>
      </c>
      <c r="G12" t="inlineStr">
        <is>
          <t>Down</t>
        </is>
      </c>
      <c r="H12" t="inlineStr">
        <is>
          <t>EU_JD</t>
        </is>
      </c>
      <c r="I12" t="inlineStr">
        <is>
          <t>2006-04</t>
        </is>
      </c>
      <c r="J12" t="n">
        <v>1</v>
      </c>
      <c r="K12" t="n">
        <v>1</v>
      </c>
      <c r="L12" s="34">
        <f>IF($J12=1,LN(B13/B12),"")</f>
        <v/>
      </c>
      <c r="M12" s="34">
        <f>IF($K12=1,INDEX(Mensal!$D$2:$D$245,MATCH($I12,Mensal!$A$2:$A$245,0)),"")</f>
        <v/>
      </c>
      <c r="N12" s="34">
        <f>IF($K12=1,L12-M12,"")</f>
        <v/>
      </c>
      <c r="O12" s="34" t="n">
        <v>0.0006028100000000001</v>
      </c>
      <c r="P12" s="34">
        <f>IF($J12=1,LN(1+O12),"")</f>
        <v/>
      </c>
      <c r="Q12" s="34">
        <f>IF($J12=1,LN(R13/R12),"")</f>
        <v/>
      </c>
      <c r="R12" s="32" t="n">
        <v>2.1292</v>
      </c>
      <c r="S12" s="35" t="n">
        <v>14.58</v>
      </c>
      <c r="T12" s="18" t="n">
        <v>39572</v>
      </c>
      <c r="U12" s="18" t="n"/>
      <c r="V12" s="18" t="n"/>
      <c r="W12" s="18" t="n"/>
      <c r="X12" s="35" t="n"/>
      <c r="Y12" s="35" t="n">
        <v>14.58</v>
      </c>
    </row>
    <row r="13">
      <c r="A13" s="25" t="n">
        <v>38826</v>
      </c>
      <c r="B13" s="18" t="n">
        <v>39937</v>
      </c>
      <c r="C13" s="31" t="n"/>
      <c r="D13" s="32" t="n"/>
      <c r="E13" s="33" t="n">
        <v>-0.0469</v>
      </c>
      <c r="F13" t="inlineStr">
        <is>
          <t>Up</t>
        </is>
      </c>
      <c r="G13" t="inlineStr">
        <is>
          <t>Down</t>
        </is>
      </c>
      <c r="H13" t="inlineStr">
        <is>
          <t>EU_JD</t>
        </is>
      </c>
      <c r="I13" t="inlineStr">
        <is>
          <t>2006-04</t>
        </is>
      </c>
      <c r="J13" t="n">
        <v>1</v>
      </c>
      <c r="K13" t="n">
        <v>1</v>
      </c>
      <c r="L13" s="34">
        <f>IF($J13=1,LN(B14/B13),"")</f>
        <v/>
      </c>
      <c r="M13" s="34">
        <f>IF($K13=1,INDEX(Mensal!$D$2:$D$245,MATCH($I13,Mensal!$A$2:$A$245,0)),"")</f>
        <v/>
      </c>
      <c r="N13" s="34">
        <f>IF($K13=1,L13-M13,"")</f>
        <v/>
      </c>
      <c r="O13" s="34" t="n">
        <v>0.0006028100000000001</v>
      </c>
      <c r="P13" s="34">
        <f>IF($J13=1,LN(1+O13),"")</f>
        <v/>
      </c>
      <c r="Q13" s="34">
        <f>IF($J13=1,LN(R14/R13),"")</f>
        <v/>
      </c>
      <c r="R13" s="32" t="n">
        <v>2.1143</v>
      </c>
      <c r="S13" s="35" t="n">
        <v>14.56</v>
      </c>
      <c r="T13" s="18" t="n">
        <v>39937</v>
      </c>
      <c r="U13" s="18" t="n"/>
      <c r="V13" s="18" t="n"/>
      <c r="W13" s="18" t="n"/>
      <c r="X13" s="35" t="n"/>
      <c r="Y13" s="35" t="n">
        <v>14.56</v>
      </c>
    </row>
    <row r="14">
      <c r="A14" s="25" t="n">
        <v>38827</v>
      </c>
      <c r="B14" s="18" t="n">
        <v>39774</v>
      </c>
      <c r="C14" s="31" t="n"/>
      <c r="D14" s="32" t="n"/>
      <c r="E14" s="33" t="n">
        <v>-0.1213</v>
      </c>
      <c r="F14" t="inlineStr">
        <is>
          <t>Up</t>
        </is>
      </c>
      <c r="G14" t="inlineStr">
        <is>
          <t>Down</t>
        </is>
      </c>
      <c r="H14" t="inlineStr">
        <is>
          <t>EU_JD</t>
        </is>
      </c>
      <c r="I14" t="inlineStr">
        <is>
          <t>2006-04</t>
        </is>
      </c>
      <c r="J14" t="n">
        <v>1</v>
      </c>
      <c r="K14" t="n">
        <v>1</v>
      </c>
      <c r="L14" s="34">
        <f>IF($J14=1,LN(B15/B14),"")</f>
        <v/>
      </c>
      <c r="M14" s="34">
        <f>IF($K14=1,INDEX(Mensal!$D$2:$D$245,MATCH($I14,Mensal!$A$2:$A$245,0)),"")</f>
        <v/>
      </c>
      <c r="N14" s="34">
        <f>IF($K14=1,L14-M14,"")</f>
        <v/>
      </c>
      <c r="O14" s="34" t="n">
        <v>0.00057714</v>
      </c>
      <c r="P14" s="34">
        <f>IF($J14=1,LN(1+O14),"")</f>
        <v/>
      </c>
      <c r="Q14" s="34">
        <f>IF($J14=1,LN(R15/R14),"")</f>
        <v/>
      </c>
      <c r="R14" s="32" t="n">
        <v>2.1236</v>
      </c>
      <c r="S14" s="35" t="n">
        <v>14.63</v>
      </c>
      <c r="T14" s="18" t="n">
        <v>39774</v>
      </c>
      <c r="U14" s="18" t="n"/>
      <c r="V14" s="18" t="n"/>
      <c r="W14" s="18" t="n"/>
      <c r="X14" s="35" t="n"/>
      <c r="Y14" s="35" t="n">
        <v>14.63</v>
      </c>
    </row>
    <row r="15">
      <c r="A15" s="25" t="n">
        <v>38831</v>
      </c>
      <c r="B15" s="18" t="n">
        <v>39751</v>
      </c>
      <c r="C15" s="31" t="n"/>
      <c r="D15" s="32" t="n"/>
      <c r="E15" s="33" t="n">
        <v>-0.1918</v>
      </c>
      <c r="F15" t="inlineStr">
        <is>
          <t>Up</t>
        </is>
      </c>
      <c r="G15" t="inlineStr">
        <is>
          <t>Down</t>
        </is>
      </c>
      <c r="H15" t="inlineStr">
        <is>
          <t>EU_JD</t>
        </is>
      </c>
      <c r="I15" t="inlineStr">
        <is>
          <t>2006-04</t>
        </is>
      </c>
      <c r="J15" t="n">
        <v>1</v>
      </c>
      <c r="K15" t="n">
        <v>1</v>
      </c>
      <c r="L15" s="34">
        <f>IF($J15=1,LN(B16/B15),"")</f>
        <v/>
      </c>
      <c r="M15" s="34">
        <f>IF($K15=1,INDEX(Mensal!$D$2:$D$245,MATCH($I15,Mensal!$A$2:$A$245,0)),"")</f>
        <v/>
      </c>
      <c r="N15" s="34">
        <f>IF($K15=1,L15-M15,"")</f>
        <v/>
      </c>
      <c r="O15" s="34" t="n">
        <v>0.0005768</v>
      </c>
      <c r="P15" s="34">
        <f>IF($J15=1,LN(1+O15),"")</f>
        <v/>
      </c>
      <c r="Q15" s="34">
        <f>IF($J15=1,LN(R16/R15),"")</f>
        <v/>
      </c>
      <c r="R15" s="32" t="n">
        <v>2.1182</v>
      </c>
      <c r="S15" s="35" t="n">
        <v>14.71</v>
      </c>
      <c r="T15" s="18" t="n">
        <v>39751</v>
      </c>
      <c r="U15" s="18" t="n"/>
      <c r="V15" s="18" t="n"/>
      <c r="W15" s="18" t="n"/>
      <c r="X15" s="35" t="n"/>
      <c r="Y15" s="35" t="n">
        <v>14.71</v>
      </c>
    </row>
    <row r="16">
      <c r="A16" s="25" t="n">
        <v>38832</v>
      </c>
      <c r="B16" s="18" t="n">
        <v>39738</v>
      </c>
      <c r="C16" s="31" t="n"/>
      <c r="D16" s="32" t="n"/>
      <c r="E16" s="33" t="n">
        <v>-0.2546</v>
      </c>
      <c r="F16" t="inlineStr">
        <is>
          <t>Up</t>
        </is>
      </c>
      <c r="G16" t="inlineStr">
        <is>
          <t>Down</t>
        </is>
      </c>
      <c r="H16" t="inlineStr">
        <is>
          <t>EU_JD</t>
        </is>
      </c>
      <c r="I16" t="inlineStr">
        <is>
          <t>2006-04</t>
        </is>
      </c>
      <c r="J16" t="n">
        <v>1</v>
      </c>
      <c r="K16" t="n">
        <v>1</v>
      </c>
      <c r="L16" s="34">
        <f>IF($J16=1,LN(B17/B16),"")</f>
        <v/>
      </c>
      <c r="M16" s="34">
        <f>IF($K16=1,INDEX(Mensal!$D$2:$D$245,MATCH($I16,Mensal!$A$2:$A$245,0)),"")</f>
        <v/>
      </c>
      <c r="N16" s="34">
        <f>IF($K16=1,L16-M16,"")</f>
        <v/>
      </c>
      <c r="O16" s="34" t="n">
        <v>0.00057646</v>
      </c>
      <c r="P16" s="34">
        <f>IF($J16=1,LN(1+O16),"")</f>
        <v/>
      </c>
      <c r="Q16" s="34">
        <f>IF($J16=1,LN(R17/R16),"")</f>
        <v/>
      </c>
      <c r="R16" s="32" t="n">
        <v>2.1233</v>
      </c>
      <c r="S16" s="35" t="n">
        <v>14.7</v>
      </c>
      <c r="T16" s="18" t="n">
        <v>39738</v>
      </c>
      <c r="U16" s="18" t="n"/>
      <c r="V16" s="18" t="n"/>
      <c r="W16" s="18" t="n"/>
      <c r="X16" s="35" t="n"/>
      <c r="Y16" s="35" t="n">
        <v>14.7</v>
      </c>
    </row>
    <row r="17">
      <c r="A17" s="25" t="n">
        <v>38833</v>
      </c>
      <c r="B17" s="18" t="n">
        <v>40410</v>
      </c>
      <c r="C17" s="31" t="n"/>
      <c r="D17" s="32" t="n"/>
      <c r="E17" s="33" t="n">
        <v>-0.3174</v>
      </c>
      <c r="F17" t="inlineStr">
        <is>
          <t>Up</t>
        </is>
      </c>
      <c r="G17" t="inlineStr">
        <is>
          <t>Down</t>
        </is>
      </c>
      <c r="H17" t="inlineStr">
        <is>
          <t>EU_JD</t>
        </is>
      </c>
      <c r="I17" t="inlineStr">
        <is>
          <t>2006-04</t>
        </is>
      </c>
      <c r="J17" t="n">
        <v>1</v>
      </c>
      <c r="K17" t="n">
        <v>1</v>
      </c>
      <c r="L17" s="34">
        <f>IF($J17=1,LN(B18/B17),"")</f>
        <v/>
      </c>
      <c r="M17" s="34">
        <f>IF($K17=1,INDEX(Mensal!$D$2:$D$245,MATCH($I17,Mensal!$A$2:$A$245,0)),"")</f>
        <v/>
      </c>
      <c r="N17" s="34">
        <f>IF($K17=1,L17-M17,"")</f>
        <v/>
      </c>
      <c r="O17" s="34" t="n">
        <v>0.00057611</v>
      </c>
      <c r="P17" s="34">
        <f>IF($J17=1,LN(1+O17),"")</f>
        <v/>
      </c>
      <c r="Q17" s="34">
        <f>IF($J17=1,LN(R18/R17),"")</f>
        <v/>
      </c>
      <c r="R17" s="32" t="n">
        <v>2.1224</v>
      </c>
      <c r="S17" s="35" t="n">
        <v>14.65</v>
      </c>
      <c r="T17" s="18" t="n">
        <v>40410</v>
      </c>
      <c r="U17" s="18" t="n"/>
      <c r="V17" s="18" t="n"/>
      <c r="W17" s="18" t="n"/>
      <c r="X17" s="35" t="n"/>
      <c r="Y17" s="35" t="n">
        <v>14.65</v>
      </c>
    </row>
    <row r="18">
      <c r="A18" s="25" t="n">
        <v>38834</v>
      </c>
      <c r="B18" s="18" t="n">
        <v>39751</v>
      </c>
      <c r="C18" s="31" t="n"/>
      <c r="D18" s="32" t="n"/>
      <c r="E18" s="33" t="n">
        <v>-0.3684</v>
      </c>
      <c r="F18" t="inlineStr">
        <is>
          <t>Up</t>
        </is>
      </c>
      <c r="G18" t="inlineStr">
        <is>
          <t>Down</t>
        </is>
      </c>
      <c r="H18" t="inlineStr">
        <is>
          <t>EU_JD</t>
        </is>
      </c>
      <c r="I18" t="inlineStr">
        <is>
          <t>2006-04</t>
        </is>
      </c>
      <c r="J18" t="n">
        <v>1</v>
      </c>
      <c r="K18" t="n">
        <v>1</v>
      </c>
      <c r="L18" s="34">
        <f>IF($J18=1,LN(B19/B18),"")</f>
        <v/>
      </c>
      <c r="M18" s="34">
        <f>IF($K18=1,INDEX(Mensal!$D$2:$D$245,MATCH($I18,Mensal!$A$2:$A$245,0)),"")</f>
        <v/>
      </c>
      <c r="N18" s="34">
        <f>IF($K18=1,L18-M18,"")</f>
        <v/>
      </c>
      <c r="O18" s="34" t="n">
        <v>0.00057646</v>
      </c>
      <c r="P18" s="34">
        <f>IF($J18=1,LN(1+O18),"")</f>
        <v/>
      </c>
      <c r="Q18" s="34">
        <f>IF($J18=1,LN(R19/R18),"")</f>
        <v/>
      </c>
      <c r="R18" s="32" t="n">
        <v>2.1136</v>
      </c>
      <c r="S18" s="35" t="n">
        <v>14.75</v>
      </c>
      <c r="T18" s="18" t="n">
        <v>39751</v>
      </c>
      <c r="U18" s="18" t="n"/>
      <c r="V18" s="18" t="n"/>
      <c r="W18" s="18" t="n"/>
      <c r="X18" s="35" t="n"/>
      <c r="Y18" s="35" t="n">
        <v>14.75</v>
      </c>
    </row>
    <row r="19">
      <c r="A19" s="25" t="n">
        <v>38835</v>
      </c>
      <c r="B19" s="18" t="n">
        <v>40363</v>
      </c>
      <c r="C19" s="31" t="n"/>
      <c r="D19" s="32" t="n"/>
      <c r="E19" s="33" t="n">
        <v>-0.4156</v>
      </c>
      <c r="F19" t="inlineStr">
        <is>
          <t>Up</t>
        </is>
      </c>
      <c r="G19" t="inlineStr">
        <is>
          <t>Down</t>
        </is>
      </c>
      <c r="H19" t="inlineStr">
        <is>
          <t>EU_JD</t>
        </is>
      </c>
      <c r="I19" t="inlineStr">
        <is>
          <t>2006-04</t>
        </is>
      </c>
      <c r="J19" t="n">
        <v>1</v>
      </c>
      <c r="K19" t="n">
        <v>1</v>
      </c>
      <c r="L19" s="34">
        <f>IF($J19=1,LN(B20/B19),"")</f>
        <v/>
      </c>
      <c r="M19" s="34">
        <f>IF($K19=1,INDEX(Mensal!$D$2:$D$245,MATCH($I19,Mensal!$A$2:$A$245,0)),"")</f>
        <v/>
      </c>
      <c r="N19" s="34">
        <f>IF($K19=1,L19-M19,"")</f>
        <v/>
      </c>
      <c r="O19" s="34" t="n">
        <v>0.0005788600000000001</v>
      </c>
      <c r="P19" s="34">
        <f>IF($J19=1,LN(1+O19),"")</f>
        <v/>
      </c>
      <c r="Q19" s="34">
        <f>IF($J19=1,LN(R20/R19),"")</f>
        <v/>
      </c>
      <c r="R19" s="32" t="n">
        <v>2.0892</v>
      </c>
      <c r="S19" s="35" t="n">
        <v>14.68</v>
      </c>
      <c r="T19" s="18" t="n">
        <v>40363</v>
      </c>
      <c r="U19" s="18" t="n"/>
      <c r="V19" s="18" t="n"/>
      <c r="W19" s="18" t="n"/>
      <c r="X19" s="35" t="n"/>
      <c r="Y19" s="35" t="n">
        <v>14.68</v>
      </c>
    </row>
    <row r="20">
      <c r="A20" s="25" t="n">
        <v>38839</v>
      </c>
      <c r="B20" s="18" t="n">
        <v>41016</v>
      </c>
      <c r="C20" s="31" t="n"/>
      <c r="D20" s="32" t="n"/>
      <c r="E20" s="33" t="n">
        <v>-0.4469</v>
      </c>
      <c r="F20" t="inlineStr">
        <is>
          <t>Up</t>
        </is>
      </c>
      <c r="G20" t="inlineStr">
        <is>
          <t>Down</t>
        </is>
      </c>
      <c r="H20" t="inlineStr">
        <is>
          <t>EU_JD</t>
        </is>
      </c>
      <c r="I20" t="inlineStr">
        <is>
          <t>2006-05</t>
        </is>
      </c>
      <c r="J20" t="n">
        <v>1</v>
      </c>
      <c r="K20" t="n">
        <v>1</v>
      </c>
      <c r="L20" s="34">
        <f>IF($J20=1,LN(B21/B20),"")</f>
        <v/>
      </c>
      <c r="M20" s="34">
        <f>IF($K20=1,INDEX(Mensal!$D$2:$D$245,MATCH($I20,Mensal!$A$2:$A$245,0)),"")</f>
        <v/>
      </c>
      <c r="N20" s="34">
        <f>IF($K20=1,L20-M20,"")</f>
        <v/>
      </c>
      <c r="O20" s="34" t="n">
        <v>0.00057852</v>
      </c>
      <c r="P20" s="34">
        <f>IF($J20=1,LN(1+O20),"")</f>
        <v/>
      </c>
      <c r="Q20" s="34">
        <f>IF($J20=1,LN(R21/R20),"")</f>
        <v/>
      </c>
      <c r="R20" s="32" t="n">
        <v>2.0718</v>
      </c>
      <c r="S20" s="35" t="n">
        <v>14.63</v>
      </c>
      <c r="T20" s="18" t="n">
        <v>41016</v>
      </c>
      <c r="U20" s="18" t="n"/>
      <c r="V20" s="18" t="n"/>
      <c r="W20" s="18" t="n"/>
      <c r="X20" s="35" t="n"/>
      <c r="Y20" s="35" t="n">
        <v>14.63</v>
      </c>
    </row>
    <row r="21">
      <c r="A21" s="25" t="n">
        <v>38840</v>
      </c>
      <c r="B21" s="18" t="n">
        <v>40919</v>
      </c>
      <c r="C21" s="31" t="n"/>
      <c r="D21" s="32" t="n"/>
      <c r="E21" s="33" t="n">
        <v>-0.4797</v>
      </c>
      <c r="F21" t="inlineStr">
        <is>
          <t>Up</t>
        </is>
      </c>
      <c r="G21" t="inlineStr">
        <is>
          <t>Down</t>
        </is>
      </c>
      <c r="H21" t="inlineStr">
        <is>
          <t>EU_JD</t>
        </is>
      </c>
      <c r="I21" t="inlineStr">
        <is>
          <t>2006-05</t>
        </is>
      </c>
      <c r="J21" t="n">
        <v>1</v>
      </c>
      <c r="K21" t="n">
        <v>1</v>
      </c>
      <c r="L21" s="34">
        <f>IF($J21=1,LN(B22/B21),"")</f>
        <v/>
      </c>
      <c r="M21" s="34">
        <f>IF($K21=1,INDEX(Mensal!$D$2:$D$245,MATCH($I21,Mensal!$A$2:$A$245,0)),"")</f>
        <v/>
      </c>
      <c r="N21" s="34">
        <f>IF($K21=1,L21-M21,"")</f>
        <v/>
      </c>
      <c r="O21" s="34" t="n">
        <v>0.00057852</v>
      </c>
      <c r="P21" s="34">
        <f>IF($J21=1,LN(1+O21),"")</f>
        <v/>
      </c>
      <c r="Q21" s="34">
        <f>IF($J21=1,LN(R22/R21),"")</f>
        <v/>
      </c>
      <c r="R21" s="32" t="n">
        <v>2.0706</v>
      </c>
      <c r="S21" s="35" t="n">
        <v>14.67</v>
      </c>
      <c r="T21" s="18" t="n">
        <v>40919</v>
      </c>
      <c r="U21" s="18" t="n"/>
      <c r="V21" s="18" t="n"/>
      <c r="W21" s="18" t="n"/>
      <c r="X21" s="35" t="n"/>
      <c r="Y21" s="35" t="n">
        <v>14.67</v>
      </c>
    </row>
    <row r="22">
      <c r="A22" s="25" t="n">
        <v>38841</v>
      </c>
      <c r="B22" s="18" t="n">
        <v>40975</v>
      </c>
      <c r="C22" s="31" t="n"/>
      <c r="D22" s="32" t="n"/>
      <c r="E22" s="33" t="n">
        <v>-0.493</v>
      </c>
      <c r="F22" t="inlineStr">
        <is>
          <t>Up</t>
        </is>
      </c>
      <c r="G22" t="inlineStr">
        <is>
          <t>Down</t>
        </is>
      </c>
      <c r="H22" t="inlineStr">
        <is>
          <t>EU_JD</t>
        </is>
      </c>
      <c r="I22" t="inlineStr">
        <is>
          <t>2006-05</t>
        </is>
      </c>
      <c r="J22" t="n">
        <v>1</v>
      </c>
      <c r="K22" t="n">
        <v>1</v>
      </c>
      <c r="L22" s="34">
        <f>IF($J22=1,LN(B23/B22),"")</f>
        <v/>
      </c>
      <c r="M22" s="34">
        <f>IF($K22=1,INDEX(Mensal!$D$2:$D$245,MATCH($I22,Mensal!$A$2:$A$245,0)),"")</f>
        <v/>
      </c>
      <c r="N22" s="34">
        <f>IF($K22=1,L22-M22,"")</f>
        <v/>
      </c>
      <c r="O22" s="34" t="n">
        <v>0.00057783</v>
      </c>
      <c r="P22" s="34">
        <f>IF($J22=1,LN(1+O22),"")</f>
        <v/>
      </c>
      <c r="Q22" s="34">
        <f>IF($J22=1,LN(R23/R22),"")</f>
        <v/>
      </c>
      <c r="R22" s="32" t="n">
        <v>2.0667</v>
      </c>
      <c r="S22" s="35" t="n">
        <v>14.67</v>
      </c>
      <c r="T22" s="18" t="n">
        <v>40975</v>
      </c>
      <c r="U22" s="18" t="n"/>
      <c r="V22" s="18" t="n"/>
      <c r="W22" s="18" t="n"/>
      <c r="X22" s="35" t="n"/>
      <c r="Y22" s="35" t="n">
        <v>14.67</v>
      </c>
    </row>
    <row r="23">
      <c r="A23" s="25" t="n">
        <v>38842</v>
      </c>
      <c r="B23" s="18" t="n">
        <v>41417</v>
      </c>
      <c r="C23" s="31" t="n"/>
      <c r="D23" s="32" t="n"/>
      <c r="E23" s="33" t="n">
        <v>-0.5076000000000001</v>
      </c>
      <c r="F23" t="inlineStr">
        <is>
          <t>Up</t>
        </is>
      </c>
      <c r="G23" t="inlineStr">
        <is>
          <t>Down</t>
        </is>
      </c>
      <c r="H23" t="inlineStr">
        <is>
          <t>EU_JD</t>
        </is>
      </c>
      <c r="I23" t="inlineStr">
        <is>
          <t>2006-05</t>
        </is>
      </c>
      <c r="J23" t="n">
        <v>1</v>
      </c>
      <c r="K23" t="n">
        <v>1</v>
      </c>
      <c r="L23" s="34">
        <f>IF($J23=1,LN(B24/B23),"")</f>
        <v/>
      </c>
      <c r="M23" s="34">
        <f>IF($K23=1,INDEX(Mensal!$D$2:$D$245,MATCH($I23,Mensal!$A$2:$A$245,0)),"")</f>
        <v/>
      </c>
      <c r="N23" s="34">
        <f>IF($K23=1,L23-M23,"")</f>
        <v/>
      </c>
      <c r="O23" s="34" t="n">
        <v>0.00057852</v>
      </c>
      <c r="P23" s="34">
        <f>IF($J23=1,LN(1+O23),"")</f>
        <v/>
      </c>
      <c r="Q23" s="34">
        <f>IF($J23=1,LN(R24/R23),"")</f>
        <v/>
      </c>
      <c r="R23" s="32" t="n">
        <v>2.0587</v>
      </c>
      <c r="S23" s="35" t="n">
        <v>14.69</v>
      </c>
      <c r="T23" s="18" t="n">
        <v>41417</v>
      </c>
      <c r="U23" s="18" t="n"/>
      <c r="V23" s="18" t="n"/>
      <c r="W23" s="18" t="n"/>
      <c r="X23" s="35" t="n"/>
      <c r="Y23" s="35" t="n">
        <v>14.69</v>
      </c>
    </row>
    <row r="24">
      <c r="A24" s="25" t="n">
        <v>38845</v>
      </c>
      <c r="B24" s="18" t="n">
        <v>41515</v>
      </c>
      <c r="C24" s="31" t="n"/>
      <c r="D24" s="32" t="n"/>
      <c r="E24" s="33" t="n">
        <v>-0.5201</v>
      </c>
      <c r="F24" t="inlineStr">
        <is>
          <t>Up</t>
        </is>
      </c>
      <c r="G24" t="inlineStr">
        <is>
          <t>Down</t>
        </is>
      </c>
      <c r="H24" t="inlineStr">
        <is>
          <t>EU_JD</t>
        </is>
      </c>
      <c r="I24" t="inlineStr">
        <is>
          <t>2006-05</t>
        </is>
      </c>
      <c r="J24" t="n">
        <v>1</v>
      </c>
      <c r="K24" t="n">
        <v>1</v>
      </c>
      <c r="L24" s="34">
        <f>IF($J24=1,LN(B25/B24),"")</f>
        <v/>
      </c>
      <c r="M24" s="34">
        <f>IF($K24=1,INDEX(Mensal!$D$2:$D$245,MATCH($I24,Mensal!$A$2:$A$245,0)),"")</f>
        <v/>
      </c>
      <c r="N24" s="34">
        <f>IF($K24=1,L24-M24,"")</f>
        <v/>
      </c>
      <c r="O24" s="34" t="n">
        <v>0.0005788600000000001</v>
      </c>
      <c r="P24" s="34">
        <f>IF($J24=1,LN(1+O24),"")</f>
        <v/>
      </c>
      <c r="Q24" s="34">
        <f>IF($J24=1,LN(R25/R24),"")</f>
        <v/>
      </c>
      <c r="R24" s="32" t="n">
        <v>2.0651</v>
      </c>
      <c r="S24" s="35" t="n">
        <v>14.68</v>
      </c>
      <c r="T24" s="18" t="n">
        <v>41515</v>
      </c>
      <c r="U24" s="18" t="n"/>
      <c r="V24" s="18" t="n"/>
      <c r="W24" s="18" t="n"/>
      <c r="X24" s="35" t="n"/>
      <c r="Y24" s="35" t="n">
        <v>14.68</v>
      </c>
    </row>
    <row r="25">
      <c r="A25" s="25" t="n">
        <v>38846</v>
      </c>
      <c r="B25" s="18" t="n">
        <v>41979</v>
      </c>
      <c r="C25" s="31" t="n"/>
      <c r="D25" s="32" t="n"/>
      <c r="E25" s="33" t="n">
        <v>-0.5303</v>
      </c>
      <c r="F25" t="inlineStr">
        <is>
          <t>Up</t>
        </is>
      </c>
      <c r="G25" t="inlineStr">
        <is>
          <t>Down</t>
        </is>
      </c>
      <c r="H25" t="inlineStr">
        <is>
          <t>EU_JD</t>
        </is>
      </c>
      <c r="I25" t="inlineStr">
        <is>
          <t>2006-05</t>
        </is>
      </c>
      <c r="J25" t="n">
        <v>1</v>
      </c>
      <c r="K25" t="n">
        <v>1</v>
      </c>
      <c r="L25" s="34">
        <f>IF($J25=1,LN(B26/B25),"")</f>
        <v/>
      </c>
      <c r="M25" s="34">
        <f>IF($K25=1,INDEX(Mensal!$D$2:$D$245,MATCH($I25,Mensal!$A$2:$A$245,0)),"")</f>
        <v/>
      </c>
      <c r="N25" s="34">
        <f>IF($K25=1,L25-M25,"")</f>
        <v/>
      </c>
      <c r="O25" s="34" t="n">
        <v>0.00057817</v>
      </c>
      <c r="P25" s="34">
        <f>IF($J25=1,LN(1+O25),"")</f>
        <v/>
      </c>
      <c r="Q25" s="34">
        <f>IF($J25=1,LN(R26/R25),"")</f>
        <v/>
      </c>
      <c r="R25" s="32" t="n">
        <v>2.0642</v>
      </c>
      <c r="S25" s="35" t="n">
        <v>14.65</v>
      </c>
      <c r="T25" s="18" t="n">
        <v>41979</v>
      </c>
      <c r="U25" s="18" t="n"/>
      <c r="V25" s="18" t="n"/>
      <c r="W25" s="18" t="n"/>
      <c r="X25" s="35" t="n"/>
      <c r="Y25" s="35" t="n">
        <v>14.65</v>
      </c>
    </row>
    <row r="26">
      <c r="A26" s="25" t="n">
        <v>38847</v>
      </c>
      <c r="B26" s="18" t="n">
        <v>41751</v>
      </c>
      <c r="C26" s="31" t="n"/>
      <c r="D26" s="32" t="n"/>
      <c r="E26" s="33" t="n">
        <v>-0.5382</v>
      </c>
      <c r="F26" t="inlineStr">
        <is>
          <t>Up</t>
        </is>
      </c>
      <c r="G26" t="inlineStr">
        <is>
          <t>Down</t>
        </is>
      </c>
      <c r="H26" t="inlineStr">
        <is>
          <t>EU_JD</t>
        </is>
      </c>
      <c r="I26" t="inlineStr">
        <is>
          <t>2006-05</t>
        </is>
      </c>
      <c r="J26" t="n">
        <v>1</v>
      </c>
      <c r="K26" t="n">
        <v>1</v>
      </c>
      <c r="L26" s="34">
        <f>IF($J26=1,LN(B27/B26),"")</f>
        <v/>
      </c>
      <c r="M26" s="34">
        <f>IF($K26=1,INDEX(Mensal!$D$2:$D$245,MATCH($I26,Mensal!$A$2:$A$245,0)),"")</f>
        <v/>
      </c>
      <c r="N26" s="34">
        <f>IF($K26=1,L26-M26,"")</f>
        <v/>
      </c>
      <c r="O26" s="34" t="n">
        <v>0.0005774900000000001</v>
      </c>
      <c r="P26" s="34">
        <f>IF($J26=1,LN(1+O26),"")</f>
        <v/>
      </c>
      <c r="Q26" s="34">
        <f>IF($J26=1,LN(R27/R26),"")</f>
        <v/>
      </c>
      <c r="R26" s="32" t="n">
        <v>2.0586</v>
      </c>
      <c r="S26" s="35" t="n">
        <v>14.64</v>
      </c>
      <c r="T26" s="18" t="n">
        <v>41751</v>
      </c>
      <c r="U26" s="18" t="n"/>
      <c r="V26" s="18" t="n"/>
      <c r="W26" s="18" t="n"/>
      <c r="X26" s="35" t="n"/>
      <c r="Y26" s="35" t="n">
        <v>14.64</v>
      </c>
    </row>
    <row r="27">
      <c r="A27" s="25" t="n">
        <v>38848</v>
      </c>
      <c r="B27" s="18" t="n">
        <v>40847</v>
      </c>
      <c r="C27" s="31" t="n"/>
      <c r="D27" s="32" t="n"/>
      <c r="E27" s="33" t="n">
        <v>-0.5433</v>
      </c>
      <c r="F27" t="inlineStr">
        <is>
          <t>Up</t>
        </is>
      </c>
      <c r="G27" t="inlineStr">
        <is>
          <t>Down</t>
        </is>
      </c>
      <c r="H27" t="inlineStr">
        <is>
          <t>EU_JD</t>
        </is>
      </c>
      <c r="I27" t="inlineStr">
        <is>
          <t>2006-05</t>
        </is>
      </c>
      <c r="J27" t="n">
        <v>1</v>
      </c>
      <c r="K27" t="n">
        <v>1</v>
      </c>
      <c r="L27" s="34">
        <f>IF($J27=1,LN(B28/B27),"")</f>
        <v/>
      </c>
      <c r="M27" s="34">
        <f>IF($K27=1,INDEX(Mensal!$D$2:$D$245,MATCH($I27,Mensal!$A$2:$A$245,0)),"")</f>
        <v/>
      </c>
      <c r="N27" s="34">
        <f>IF($K27=1,L27-M27,"")</f>
        <v/>
      </c>
      <c r="O27" s="34" t="n">
        <v>0.00057714</v>
      </c>
      <c r="P27" s="34">
        <f>IF($J27=1,LN(1+O27),"")</f>
        <v/>
      </c>
      <c r="Q27" s="34">
        <f>IF($J27=1,LN(R28/R27),"")</f>
        <v/>
      </c>
      <c r="R27" s="32" t="n">
        <v>2.0881</v>
      </c>
      <c r="S27" s="35" t="n">
        <v>14.7</v>
      </c>
      <c r="T27" s="18" t="n">
        <v>40847</v>
      </c>
      <c r="U27" s="18" t="n"/>
      <c r="V27" s="18" t="n"/>
      <c r="W27" s="18" t="n"/>
      <c r="X27" s="35" t="n"/>
      <c r="Y27" s="35" t="n">
        <v>14.7</v>
      </c>
    </row>
    <row r="28">
      <c r="A28" s="25" t="n">
        <v>38849</v>
      </c>
      <c r="B28" s="18" t="n">
        <v>40211</v>
      </c>
      <c r="C28" s="31" t="n"/>
      <c r="D28" s="32" t="n"/>
      <c r="E28" s="33" t="n">
        <v>-0.5493</v>
      </c>
      <c r="F28" t="inlineStr">
        <is>
          <t>Up</t>
        </is>
      </c>
      <c r="G28" t="inlineStr">
        <is>
          <t>Down</t>
        </is>
      </c>
      <c r="H28" t="inlineStr">
        <is>
          <t>EU_JD</t>
        </is>
      </c>
      <c r="I28" t="inlineStr">
        <is>
          <t>2006-05</t>
        </is>
      </c>
      <c r="J28" t="n">
        <v>1</v>
      </c>
      <c r="K28" t="n">
        <v>1</v>
      </c>
      <c r="L28" s="34">
        <f>IF($J28=1,LN(B29/B28),"")</f>
        <v/>
      </c>
      <c r="M28" s="34">
        <f>IF($K28=1,INDEX(Mensal!$D$2:$D$245,MATCH($I28,Mensal!$A$2:$A$245,0)),"")</f>
        <v/>
      </c>
      <c r="N28" s="34">
        <f>IF($K28=1,L28-M28,"")</f>
        <v/>
      </c>
      <c r="O28" s="34" t="n">
        <v>0.0005774900000000001</v>
      </c>
      <c r="P28" s="34">
        <f>IF($J28=1,LN(1+O28),"")</f>
        <v/>
      </c>
      <c r="Q28" s="34">
        <f>IF($J28=1,LN(R29/R28),"")</f>
        <v/>
      </c>
      <c r="R28" s="32" t="n">
        <v>2.1307</v>
      </c>
      <c r="S28" s="35" t="n">
        <v>14.77</v>
      </c>
      <c r="T28" s="18" t="n">
        <v>40211</v>
      </c>
      <c r="U28" s="18" t="n"/>
      <c r="V28" s="18" t="n"/>
      <c r="W28" s="18" t="n"/>
      <c r="X28" s="35" t="n"/>
      <c r="Y28" s="35" t="n">
        <v>14.77</v>
      </c>
    </row>
    <row r="29">
      <c r="A29" s="25" t="n">
        <v>38852</v>
      </c>
      <c r="B29" s="18" t="n">
        <v>39271</v>
      </c>
      <c r="C29" s="31" t="n"/>
      <c r="D29" s="32" t="n"/>
      <c r="E29" s="33" t="n">
        <v>-0.5467</v>
      </c>
      <c r="F29" t="inlineStr">
        <is>
          <t>Up</t>
        </is>
      </c>
      <c r="G29" t="inlineStr">
        <is>
          <t>Down</t>
        </is>
      </c>
      <c r="H29" t="inlineStr">
        <is>
          <t>EU_JD</t>
        </is>
      </c>
      <c r="I29" t="inlineStr">
        <is>
          <t>2006-05</t>
        </is>
      </c>
      <c r="J29" t="n">
        <v>1</v>
      </c>
      <c r="K29" t="n">
        <v>1</v>
      </c>
      <c r="L29" s="34">
        <f>IF($J29=1,LN(B30/B29),"")</f>
        <v/>
      </c>
      <c r="M29" s="34">
        <f>IF($K29=1,INDEX(Mensal!$D$2:$D$245,MATCH($I29,Mensal!$A$2:$A$245,0)),"")</f>
        <v/>
      </c>
      <c r="N29" s="34">
        <f>IF($K29=1,L29-M29,"")</f>
        <v/>
      </c>
      <c r="O29" s="34" t="n">
        <v>0.00057852</v>
      </c>
      <c r="P29" s="34">
        <f>IF($J29=1,LN(1+O29),"")</f>
        <v/>
      </c>
      <c r="Q29" s="34">
        <f>IF($J29=1,LN(R30/R29),"")</f>
        <v/>
      </c>
      <c r="R29" s="32" t="n">
        <v>2.1774</v>
      </c>
      <c r="S29" s="35" t="n">
        <v>14.82</v>
      </c>
      <c r="T29" s="18" t="n">
        <v>39271</v>
      </c>
      <c r="U29" s="18" t="n"/>
      <c r="V29" s="18" t="n"/>
      <c r="W29" s="18" t="n"/>
      <c r="X29" s="35" t="n"/>
      <c r="Y29" s="35" t="n">
        <v>14.82</v>
      </c>
    </row>
    <row r="30">
      <c r="A30" s="25" t="n">
        <v>38853</v>
      </c>
      <c r="B30" s="18" t="n">
        <v>39416</v>
      </c>
      <c r="C30" s="31" t="n"/>
      <c r="D30" s="32" t="n"/>
      <c r="E30" s="33" t="n">
        <v>-0.5301</v>
      </c>
      <c r="F30" t="inlineStr">
        <is>
          <t>Up</t>
        </is>
      </c>
      <c r="G30" t="inlineStr">
        <is>
          <t>Down</t>
        </is>
      </c>
      <c r="H30" t="inlineStr">
        <is>
          <t>EU_JD</t>
        </is>
      </c>
      <c r="I30" t="inlineStr">
        <is>
          <t>2006-05</t>
        </is>
      </c>
      <c r="J30" t="n">
        <v>1</v>
      </c>
      <c r="K30" t="n">
        <v>1</v>
      </c>
      <c r="L30" s="34">
        <f>IF($J30=1,LN(B31/B30),"")</f>
        <v/>
      </c>
      <c r="M30" s="34">
        <f>IF($K30=1,INDEX(Mensal!$D$2:$D$245,MATCH($I30,Mensal!$A$2:$A$245,0)),"")</f>
        <v/>
      </c>
      <c r="N30" s="34">
        <f>IF($K30=1,L30-M30,"")</f>
        <v/>
      </c>
      <c r="O30" s="34" t="n">
        <v>0.0005792</v>
      </c>
      <c r="P30" s="34">
        <f>IF($J30=1,LN(1+O30),"")</f>
        <v/>
      </c>
      <c r="Q30" s="34">
        <f>IF($J30=1,LN(R31/R30),"")</f>
        <v/>
      </c>
      <c r="R30" s="32" t="n">
        <v>2.1403</v>
      </c>
      <c r="S30" s="35" t="n">
        <v>14.74</v>
      </c>
      <c r="T30" s="18" t="n">
        <v>39416</v>
      </c>
      <c r="U30" s="18" t="n"/>
      <c r="V30" s="18" t="n"/>
      <c r="W30" s="18" t="n"/>
      <c r="X30" s="35" t="n"/>
      <c r="Y30" s="35" t="n">
        <v>14.74</v>
      </c>
    </row>
    <row r="31">
      <c r="A31" s="25" t="n">
        <v>38854</v>
      </c>
      <c r="B31" s="18" t="n">
        <v>38290</v>
      </c>
      <c r="C31" s="31" t="n"/>
      <c r="D31" s="32" t="n"/>
      <c r="E31" s="33" t="n">
        <v>-0.5105</v>
      </c>
      <c r="F31" t="inlineStr">
        <is>
          <t>Up</t>
        </is>
      </c>
      <c r="G31" t="inlineStr">
        <is>
          <t>Down</t>
        </is>
      </c>
      <c r="H31" t="inlineStr">
        <is>
          <t>EU_JD</t>
        </is>
      </c>
      <c r="I31" t="inlineStr">
        <is>
          <t>2006-05</t>
        </is>
      </c>
      <c r="J31" t="n">
        <v>1</v>
      </c>
      <c r="K31" t="n">
        <v>1</v>
      </c>
      <c r="L31" s="34">
        <f>IF($J31=1,LN(B32/B31),"")</f>
        <v/>
      </c>
      <c r="M31" s="34">
        <f>IF($K31=1,INDEX(Mensal!$D$2:$D$245,MATCH($I31,Mensal!$A$2:$A$245,0)),"")</f>
        <v/>
      </c>
      <c r="N31" s="34">
        <f>IF($K31=1,L31-M31,"")</f>
        <v/>
      </c>
      <c r="O31" s="34" t="n">
        <v>0.0005774900000000001</v>
      </c>
      <c r="P31" s="34">
        <f>IF($J31=1,LN(1+O31),"")</f>
        <v/>
      </c>
      <c r="Q31" s="34">
        <f>IF($J31=1,LN(R32/R31),"")</f>
        <v/>
      </c>
      <c r="R31" s="32" t="n">
        <v>2.1826</v>
      </c>
      <c r="S31" s="35" t="n">
        <v>14.87</v>
      </c>
      <c r="T31" s="18" t="n">
        <v>38290</v>
      </c>
      <c r="U31" s="18" t="n"/>
      <c r="V31" s="18" t="n"/>
      <c r="W31" s="18" t="n"/>
      <c r="X31" s="35" t="n"/>
      <c r="Y31" s="35" t="n">
        <v>14.87</v>
      </c>
    </row>
    <row r="32">
      <c r="A32" s="25" t="n">
        <v>38855</v>
      </c>
      <c r="B32" s="18" t="n">
        <v>37807</v>
      </c>
      <c r="C32" s="31" t="n"/>
      <c r="D32" s="32" t="n"/>
      <c r="E32" s="33" t="n">
        <v>-0.4876</v>
      </c>
      <c r="F32" t="inlineStr">
        <is>
          <t>Up</t>
        </is>
      </c>
      <c r="G32" t="inlineStr">
        <is>
          <t>Down</t>
        </is>
      </c>
      <c r="H32" t="inlineStr">
        <is>
          <t>EU_JD</t>
        </is>
      </c>
      <c r="I32" t="inlineStr">
        <is>
          <t>2006-05</t>
        </is>
      </c>
      <c r="J32" t="n">
        <v>1</v>
      </c>
      <c r="K32" t="n">
        <v>1</v>
      </c>
      <c r="L32" s="34">
        <f>IF($J32=1,LN(B33/B32),"")</f>
        <v/>
      </c>
      <c r="M32" s="34">
        <f>IF($K32=1,INDEX(Mensal!$D$2:$D$245,MATCH($I32,Mensal!$A$2:$A$245,0)),"")</f>
        <v/>
      </c>
      <c r="N32" s="34">
        <f>IF($K32=1,L32-M32,"")</f>
        <v/>
      </c>
      <c r="O32" s="34" t="n">
        <v>0.00057714</v>
      </c>
      <c r="P32" s="34">
        <f>IF($J32=1,LN(1+O32),"")</f>
        <v/>
      </c>
      <c r="Q32" s="34">
        <f>IF($J32=1,LN(R33/R32),"")</f>
        <v/>
      </c>
      <c r="R32" s="32" t="n">
        <v>2.1833</v>
      </c>
      <c r="S32" s="35" t="n">
        <v>14.8</v>
      </c>
      <c r="T32" s="18" t="n">
        <v>37807</v>
      </c>
      <c r="U32" s="18" t="n"/>
      <c r="V32" s="18" t="n"/>
      <c r="W32" s="18" t="n"/>
      <c r="X32" s="35" t="n"/>
      <c r="Y32" s="35" t="n">
        <v>14.8</v>
      </c>
    </row>
    <row r="33">
      <c r="A33" s="25" t="n">
        <v>38856</v>
      </c>
      <c r="B33" s="18" t="n">
        <v>37732</v>
      </c>
      <c r="C33" s="31" t="n"/>
      <c r="D33" s="32" t="n"/>
      <c r="E33" s="33" t="n">
        <v>-0.4806</v>
      </c>
      <c r="F33" t="inlineStr">
        <is>
          <t>Up</t>
        </is>
      </c>
      <c r="G33" t="inlineStr">
        <is>
          <t>Down</t>
        </is>
      </c>
      <c r="H33" t="inlineStr">
        <is>
          <t>EU_JD</t>
        </is>
      </c>
      <c r="I33" t="inlineStr">
        <is>
          <t>2006-05</t>
        </is>
      </c>
      <c r="J33" t="n">
        <v>1</v>
      </c>
      <c r="K33" t="n">
        <v>1</v>
      </c>
      <c r="L33" s="34">
        <f>IF($J33=1,LN(B34/B33),"")</f>
        <v/>
      </c>
      <c r="M33" s="34">
        <f>IF($K33=1,INDEX(Mensal!$D$2:$D$245,MATCH($I33,Mensal!$A$2:$A$245,0)),"")</f>
        <v/>
      </c>
      <c r="N33" s="34">
        <f>IF($K33=1,L33-M33,"")</f>
        <v/>
      </c>
      <c r="O33" s="34" t="n">
        <v>0.0005768</v>
      </c>
      <c r="P33" s="34">
        <f>IF($J33=1,LN(1+O33),"")</f>
        <v/>
      </c>
      <c r="Q33" s="34">
        <f>IF($J33=1,LN(R34/R33),"")</f>
        <v/>
      </c>
      <c r="R33" s="32" t="n">
        <v>2.193</v>
      </c>
      <c r="S33" s="35" t="n">
        <v>14.91</v>
      </c>
      <c r="T33" s="18" t="n">
        <v>37732</v>
      </c>
      <c r="U33" s="18" t="n"/>
      <c r="V33" s="18" t="n"/>
      <c r="W33" s="18" t="n"/>
      <c r="X33" s="35" t="n"/>
      <c r="Y33" s="35" t="n">
        <v>14.91</v>
      </c>
    </row>
    <row r="34">
      <c r="A34" s="25" t="n">
        <v>38859</v>
      </c>
      <c r="B34" s="18" t="n">
        <v>36496</v>
      </c>
      <c r="C34" s="31" t="n"/>
      <c r="D34" s="32" t="n"/>
      <c r="E34" s="33" t="n">
        <v>-0.5029</v>
      </c>
      <c r="F34" t="inlineStr">
        <is>
          <t>Up</t>
        </is>
      </c>
      <c r="G34" t="inlineStr">
        <is>
          <t>Down</t>
        </is>
      </c>
      <c r="H34" t="inlineStr">
        <is>
          <t>EU_JD</t>
        </is>
      </c>
      <c r="I34" t="inlineStr">
        <is>
          <t>2006-05</t>
        </is>
      </c>
      <c r="J34" t="n">
        <v>1</v>
      </c>
      <c r="K34" t="n">
        <v>1</v>
      </c>
      <c r="L34" s="34">
        <f>IF($J34=1,LN(B35/B34),"")</f>
        <v/>
      </c>
      <c r="M34" s="34">
        <f>IF($K34=1,INDEX(Mensal!$D$2:$D$245,MATCH($I34,Mensal!$A$2:$A$245,0)),"")</f>
        <v/>
      </c>
      <c r="N34" s="34">
        <f>IF($K34=1,L34-M34,"")</f>
        <v/>
      </c>
      <c r="O34" s="34" t="n">
        <v>0.00057646</v>
      </c>
      <c r="P34" s="34">
        <f>IF($J34=1,LN(1+O34),"")</f>
        <v/>
      </c>
      <c r="Q34" s="34">
        <f>IF($J34=1,LN(R35/R34),"")</f>
        <v/>
      </c>
      <c r="R34" s="32" t="n">
        <v>2.2883</v>
      </c>
      <c r="S34" s="35" t="n">
        <v>15.12</v>
      </c>
      <c r="T34" s="18" t="n">
        <v>36496</v>
      </c>
      <c r="U34" s="18" t="n"/>
      <c r="V34" s="18" t="n"/>
      <c r="W34" s="18" t="n"/>
      <c r="X34" s="35" t="n"/>
      <c r="Y34" s="35" t="n">
        <v>15.12</v>
      </c>
    </row>
    <row r="35">
      <c r="A35" s="25" t="n">
        <v>38860</v>
      </c>
      <c r="B35" s="18" t="n">
        <v>36110</v>
      </c>
      <c r="C35" s="31" t="n"/>
      <c r="D35" s="32" t="n"/>
      <c r="E35" s="33" t="n">
        <v>-0.5259</v>
      </c>
      <c r="F35" t="inlineStr">
        <is>
          <t>Up</t>
        </is>
      </c>
      <c r="G35" t="inlineStr">
        <is>
          <t>Down</t>
        </is>
      </c>
      <c r="H35" t="inlineStr">
        <is>
          <t>EU_JD</t>
        </is>
      </c>
      <c r="I35" t="inlineStr">
        <is>
          <t>2006-05</t>
        </is>
      </c>
      <c r="J35" t="n">
        <v>1</v>
      </c>
      <c r="K35" t="n">
        <v>1</v>
      </c>
      <c r="L35" s="34">
        <f>IF($J35=1,LN(B36/B35),"")</f>
        <v/>
      </c>
      <c r="M35" s="34">
        <f>IF($K35=1,INDEX(Mensal!$D$2:$D$245,MATCH($I35,Mensal!$A$2:$A$245,0)),"")</f>
        <v/>
      </c>
      <c r="N35" s="34">
        <f>IF($K35=1,L35-M35,"")</f>
        <v/>
      </c>
      <c r="O35" s="34" t="n">
        <v>0.00057646</v>
      </c>
      <c r="P35" s="34">
        <f>IF($J35=1,LN(1+O35),"")</f>
        <v/>
      </c>
      <c r="Q35" s="34">
        <f>IF($J35=1,LN(R36/R35),"")</f>
        <v/>
      </c>
      <c r="R35" s="32" t="n">
        <v>2.2601</v>
      </c>
      <c r="S35" s="35" t="n">
        <v>15.24</v>
      </c>
      <c r="T35" s="18" t="n">
        <v>36110</v>
      </c>
      <c r="U35" s="18" t="n"/>
      <c r="V35" s="18" t="n"/>
      <c r="W35" s="18" t="n"/>
      <c r="X35" s="35" t="n"/>
      <c r="Y35" s="35" t="n">
        <v>15.24</v>
      </c>
    </row>
    <row r="36">
      <c r="A36" s="25" t="n">
        <v>38861</v>
      </c>
      <c r="B36" s="18" t="n">
        <v>35791</v>
      </c>
      <c r="C36" s="31" t="n"/>
      <c r="D36" s="32" t="n"/>
      <c r="E36" s="33" t="n">
        <v>-0.5401</v>
      </c>
      <c r="F36" t="inlineStr">
        <is>
          <t>Up</t>
        </is>
      </c>
      <c r="G36" t="inlineStr">
        <is>
          <t>Down</t>
        </is>
      </c>
      <c r="H36" t="inlineStr">
        <is>
          <t>EU_JD</t>
        </is>
      </c>
      <c r="I36" t="inlineStr">
        <is>
          <t>2006-05</t>
        </is>
      </c>
      <c r="J36" t="n">
        <v>1</v>
      </c>
      <c r="K36" t="n">
        <v>1</v>
      </c>
      <c r="L36" s="34">
        <f>IF($J36=1,LN(B37/B36),"")</f>
        <v/>
      </c>
      <c r="M36" s="34">
        <f>IF($K36=1,INDEX(Mensal!$D$2:$D$245,MATCH($I36,Mensal!$A$2:$A$245,0)),"")</f>
        <v/>
      </c>
      <c r="N36" s="34">
        <f>IF($K36=1,L36-M36,"")</f>
        <v/>
      </c>
      <c r="O36" s="34" t="n">
        <v>0.00057646</v>
      </c>
      <c r="P36" s="34">
        <f>IF($J36=1,LN(1+O36),"")</f>
        <v/>
      </c>
      <c r="Q36" s="34">
        <f>IF($J36=1,LN(R37/R36),"")</f>
        <v/>
      </c>
      <c r="R36" s="32" t="n">
        <v>2.3711</v>
      </c>
      <c r="S36" s="35" t="n">
        <v>16.1</v>
      </c>
      <c r="T36" s="18" t="n">
        <v>35791</v>
      </c>
      <c r="U36" s="18" t="n"/>
      <c r="V36" s="18" t="n"/>
      <c r="W36" s="18" t="n"/>
      <c r="X36" s="35" t="n"/>
      <c r="Y36" s="35" t="n">
        <v>16.1</v>
      </c>
    </row>
    <row r="37">
      <c r="A37" s="25" t="n">
        <v>38862</v>
      </c>
      <c r="B37" s="18" t="n">
        <v>37568</v>
      </c>
      <c r="C37" s="31" t="n"/>
      <c r="D37" s="32" t="n"/>
      <c r="E37" s="33" t="n">
        <v>-0.5661</v>
      </c>
      <c r="F37" t="inlineStr">
        <is>
          <t>Up</t>
        </is>
      </c>
      <c r="G37" t="inlineStr">
        <is>
          <t>Down</t>
        </is>
      </c>
      <c r="H37" t="inlineStr">
        <is>
          <t>EU_JD</t>
        </is>
      </c>
      <c r="I37" t="inlineStr">
        <is>
          <t>2006-05</t>
        </is>
      </c>
      <c r="J37" t="n">
        <v>1</v>
      </c>
      <c r="K37" t="n">
        <v>1</v>
      </c>
      <c r="L37" s="34">
        <f>IF($J37=1,LN(B38/B37),"")</f>
        <v/>
      </c>
      <c r="M37" s="34">
        <f>IF($K37=1,INDEX(Mensal!$D$2:$D$245,MATCH($I37,Mensal!$A$2:$A$245,0)),"")</f>
        <v/>
      </c>
      <c r="N37" s="34">
        <f>IF($K37=1,L37-M37,"")</f>
        <v/>
      </c>
      <c r="O37" s="34" t="n">
        <v>0.0005768</v>
      </c>
      <c r="P37" s="34">
        <f>IF($J37=1,LN(1+O37),"")</f>
        <v/>
      </c>
      <c r="Q37" s="34">
        <f>IF($J37=1,LN(R38/R37),"")</f>
        <v/>
      </c>
      <c r="R37" s="32" t="n">
        <v>2.315</v>
      </c>
      <c r="S37" s="35" t="n">
        <v>15.47</v>
      </c>
      <c r="T37" s="18" t="n">
        <v>37568</v>
      </c>
      <c r="U37" s="18" t="n"/>
      <c r="V37" s="18" t="n"/>
      <c r="W37" s="18" t="n"/>
      <c r="X37" s="35" t="n"/>
      <c r="Y37" s="35" t="n">
        <v>15.47</v>
      </c>
    </row>
    <row r="38">
      <c r="A38" s="25" t="n">
        <v>38863</v>
      </c>
      <c r="B38" s="18" t="n">
        <v>38629</v>
      </c>
      <c r="C38" s="31" t="n"/>
      <c r="D38" s="32" t="n"/>
      <c r="E38" s="33" t="n">
        <v>-0.5931</v>
      </c>
      <c r="F38" t="inlineStr">
        <is>
          <t>Up</t>
        </is>
      </c>
      <c r="G38" t="inlineStr">
        <is>
          <t>Down</t>
        </is>
      </c>
      <c r="H38" t="inlineStr">
        <is>
          <t>EU_JD</t>
        </is>
      </c>
      <c r="I38" t="inlineStr">
        <is>
          <t>2006-05</t>
        </is>
      </c>
      <c r="J38" t="n">
        <v>1</v>
      </c>
      <c r="K38" t="n">
        <v>1</v>
      </c>
      <c r="L38" s="34">
        <f>IF($J38=1,LN(B39/B38),"")</f>
        <v/>
      </c>
      <c r="M38" s="34">
        <f>IF($K38=1,INDEX(Mensal!$D$2:$D$245,MATCH($I38,Mensal!$A$2:$A$245,0)),"")</f>
        <v/>
      </c>
      <c r="N38" s="34">
        <f>IF($K38=1,L38-M38,"")</f>
        <v/>
      </c>
      <c r="O38" s="34" t="n">
        <v>0.00057646</v>
      </c>
      <c r="P38" s="34">
        <f>IF($J38=1,LN(1+O38),"")</f>
        <v/>
      </c>
      <c r="Q38" s="34">
        <f>IF($J38=1,LN(R39/R38),"")</f>
        <v/>
      </c>
      <c r="R38" s="32" t="n">
        <v>2.252</v>
      </c>
      <c r="S38" s="35" t="n">
        <v>15.19</v>
      </c>
      <c r="T38" s="18" t="n">
        <v>38629</v>
      </c>
      <c r="U38" s="18" t="n"/>
      <c r="V38" s="18" t="n"/>
      <c r="W38" s="18" t="n"/>
      <c r="X38" s="35" t="n"/>
      <c r="Y38" s="35" t="n">
        <v>15.19</v>
      </c>
    </row>
    <row r="39">
      <c r="A39" s="25" t="n">
        <v>38866</v>
      </c>
      <c r="B39" s="18" t="n">
        <v>38145</v>
      </c>
      <c r="C39" s="31" t="n"/>
      <c r="D39" s="32" t="n"/>
      <c r="E39" s="33" t="n">
        <v>-0.609</v>
      </c>
      <c r="F39" t="inlineStr">
        <is>
          <t>Up</t>
        </is>
      </c>
      <c r="G39" t="inlineStr">
        <is>
          <t>Down</t>
        </is>
      </c>
      <c r="H39" t="inlineStr">
        <is>
          <t>EU_JD</t>
        </is>
      </c>
      <c r="I39" t="inlineStr">
        <is>
          <t>2006-05</t>
        </is>
      </c>
      <c r="J39" t="n">
        <v>1</v>
      </c>
      <c r="K39" t="n">
        <v>1</v>
      </c>
      <c r="L39" s="34">
        <f>IF($J39=1,LN(B40/B39),"")</f>
        <v/>
      </c>
      <c r="M39" s="34">
        <f>IF($K39=1,INDEX(Mensal!$D$2:$D$245,MATCH($I39,Mensal!$A$2:$A$245,0)),"")</f>
        <v/>
      </c>
      <c r="N39" s="34">
        <f>IF($K39=1,L39-M39,"")</f>
        <v/>
      </c>
      <c r="O39" s="34" t="n">
        <v>0.00057646</v>
      </c>
      <c r="P39" s="34">
        <f>IF($J39=1,LN(1+O39),"")</f>
        <v/>
      </c>
      <c r="Q39" s="34">
        <f>IF($J39=1,LN(R40/R39),"")</f>
        <v/>
      </c>
      <c r="R39" s="32" t="n">
        <v>2.2566</v>
      </c>
      <c r="S39" s="35" t="n">
        <v>15.37</v>
      </c>
      <c r="T39" s="18" t="n">
        <v>38145</v>
      </c>
      <c r="U39" s="18" t="n"/>
      <c r="V39" s="18" t="n"/>
      <c r="W39" s="18" t="n"/>
      <c r="X39" s="35" t="n"/>
      <c r="Y39" s="35" t="n">
        <v>15.37</v>
      </c>
    </row>
    <row r="40">
      <c r="A40" s="25" t="n">
        <v>38867</v>
      </c>
      <c r="B40" s="18" t="n">
        <v>36412</v>
      </c>
      <c r="C40" s="31" t="n"/>
      <c r="D40" s="32" t="n"/>
      <c r="E40" s="33" t="n">
        <v>-0.6218</v>
      </c>
      <c r="F40" t="inlineStr">
        <is>
          <t>Up</t>
        </is>
      </c>
      <c r="G40" t="inlineStr">
        <is>
          <t>Down</t>
        </is>
      </c>
      <c r="H40" t="inlineStr">
        <is>
          <t>EU_JD</t>
        </is>
      </c>
      <c r="I40" t="inlineStr">
        <is>
          <t>2006-05</t>
        </is>
      </c>
      <c r="J40" t="n">
        <v>1</v>
      </c>
      <c r="K40" t="n">
        <v>1</v>
      </c>
      <c r="L40" s="34">
        <f>IF($J40=1,LN(B41/B40),"")</f>
        <v/>
      </c>
      <c r="M40" s="34">
        <f>IF($K40=1,INDEX(Mensal!$D$2:$D$245,MATCH($I40,Mensal!$A$2:$A$245,0)),"")</f>
        <v/>
      </c>
      <c r="N40" s="34">
        <f>IF($K40=1,L40-M40,"")</f>
        <v/>
      </c>
      <c r="O40" s="34" t="n">
        <v>0.0005768</v>
      </c>
      <c r="P40" s="34">
        <f>IF($J40=1,LN(1+O40),"")</f>
        <v/>
      </c>
      <c r="Q40" s="34">
        <f>IF($J40=1,LN(R41/R40),"")</f>
        <v/>
      </c>
      <c r="R40" s="32" t="n">
        <v>2.3235</v>
      </c>
      <c r="S40" s="35" t="n">
        <v>15.68</v>
      </c>
      <c r="T40" s="18" t="n">
        <v>36412</v>
      </c>
      <c r="U40" s="18" t="n"/>
      <c r="V40" s="18" t="n"/>
      <c r="W40" s="18" t="n"/>
      <c r="X40" s="35" t="n"/>
      <c r="Y40" s="35" t="n">
        <v>15.68</v>
      </c>
    </row>
    <row r="41">
      <c r="A41" s="25" t="n">
        <v>38868</v>
      </c>
      <c r="B41" s="18" t="n">
        <v>36530</v>
      </c>
      <c r="C41" s="31" t="n"/>
      <c r="D41" s="32" t="n"/>
      <c r="E41" s="33" t="n">
        <v>-0.6264999999999999</v>
      </c>
      <c r="F41" t="inlineStr">
        <is>
          <t>Up</t>
        </is>
      </c>
      <c r="G41" t="inlineStr">
        <is>
          <t>Down</t>
        </is>
      </c>
      <c r="H41" t="inlineStr">
        <is>
          <t>EU_JD</t>
        </is>
      </c>
      <c r="I41" t="inlineStr">
        <is>
          <t>2006-05</t>
        </is>
      </c>
      <c r="J41" t="n">
        <v>1</v>
      </c>
      <c r="K41" t="n">
        <v>1</v>
      </c>
      <c r="L41" s="34">
        <f>IF($J41=1,LN(B42/B41),"")</f>
        <v/>
      </c>
      <c r="M41" s="34">
        <f>IF($K41=1,INDEX(Mensal!$D$2:$D$245,MATCH($I41,Mensal!$A$2:$A$245,0)),"")</f>
        <v/>
      </c>
      <c r="N41" s="34">
        <f>IF($K41=1,L41-M41,"")</f>
        <v/>
      </c>
      <c r="O41" s="34" t="n">
        <v>0.00057714</v>
      </c>
      <c r="P41" s="34">
        <f>IF($J41=1,LN(1+O41),"")</f>
        <v/>
      </c>
      <c r="Q41" s="34">
        <f>IF($J41=1,LN(R42/R41),"")</f>
        <v/>
      </c>
      <c r="R41" s="32" t="n">
        <v>2.3005</v>
      </c>
      <c r="S41" s="35" t="n">
        <v>15.48</v>
      </c>
      <c r="T41" s="18" t="n">
        <v>36530</v>
      </c>
      <c r="U41" s="18" t="n"/>
      <c r="V41" s="18" t="n"/>
      <c r="W41" s="18" t="n"/>
      <c r="X41" s="35" t="n"/>
      <c r="Y41" s="35" t="n">
        <v>15.48</v>
      </c>
    </row>
    <row r="42">
      <c r="A42" s="25" t="n">
        <v>38869</v>
      </c>
      <c r="B42" s="18" t="n">
        <v>37748</v>
      </c>
      <c r="C42" s="31" t="n"/>
      <c r="D42" s="32" t="n"/>
      <c r="E42" s="33" t="n">
        <v>-0.6593</v>
      </c>
      <c r="F42" t="inlineStr">
        <is>
          <t>Down</t>
        </is>
      </c>
      <c r="G42" t="inlineStr">
        <is>
          <t>Down</t>
        </is>
      </c>
      <c r="H42" t="inlineStr">
        <is>
          <t>ED_JD</t>
        </is>
      </c>
      <c r="I42" t="inlineStr">
        <is>
          <t>2006-06</t>
        </is>
      </c>
      <c r="J42" t="n">
        <v>1</v>
      </c>
      <c r="K42" t="n">
        <v>1</v>
      </c>
      <c r="L42" s="34">
        <f>IF($J42=1,LN(B43/B42),"")</f>
        <v/>
      </c>
      <c r="M42" s="34">
        <f>IF($K42=1,INDEX(Mensal!$D$2:$D$245,MATCH($I42,Mensal!$A$2:$A$245,0)),"")</f>
        <v/>
      </c>
      <c r="N42" s="34">
        <f>IF($K42=1,L42-M42,"")</f>
        <v/>
      </c>
      <c r="O42" s="34" t="n">
        <v>0.00055994</v>
      </c>
      <c r="P42" s="34">
        <f>IF($J42=1,LN(1+O42),"")</f>
        <v/>
      </c>
      <c r="Q42" s="34">
        <f>IF($J42=1,LN(R43/R42),"")</f>
        <v/>
      </c>
      <c r="R42" s="32" t="n">
        <v>2.2713</v>
      </c>
      <c r="S42" s="35" t="n">
        <v>15.33</v>
      </c>
      <c r="T42" s="18" t="n"/>
      <c r="U42" s="18" t="n"/>
      <c r="V42" s="18" t="n">
        <v>37748</v>
      </c>
      <c r="W42" s="18" t="n"/>
      <c r="X42" s="35" t="n"/>
      <c r="Y42" s="35" t="n">
        <v>15.33</v>
      </c>
    </row>
    <row r="43">
      <c r="A43" s="25" t="n">
        <v>38870</v>
      </c>
      <c r="B43" s="18" t="n">
        <v>37942</v>
      </c>
      <c r="C43" s="31" t="n"/>
      <c r="D43" s="32" t="n"/>
      <c r="E43" s="33" t="n">
        <v>-0.6903</v>
      </c>
      <c r="F43" t="inlineStr">
        <is>
          <t>Down</t>
        </is>
      </c>
      <c r="G43" t="inlineStr">
        <is>
          <t>Down</t>
        </is>
      </c>
      <c r="H43" t="inlineStr">
        <is>
          <t>ED_JD</t>
        </is>
      </c>
      <c r="I43" t="inlineStr">
        <is>
          <t>2006-06</t>
        </is>
      </c>
      <c r="J43" t="n">
        <v>1</v>
      </c>
      <c r="K43" t="n">
        <v>1</v>
      </c>
      <c r="L43" s="34">
        <f>IF($J43=1,LN(B44/B43),"")</f>
        <v/>
      </c>
      <c r="M43" s="34">
        <f>IF($K43=1,INDEX(Mensal!$D$2:$D$245,MATCH($I43,Mensal!$A$2:$A$245,0)),"")</f>
        <v/>
      </c>
      <c r="N43" s="34">
        <f>IF($K43=1,L43-M43,"")</f>
        <v/>
      </c>
      <c r="O43" s="34" t="n">
        <v>0.00056063</v>
      </c>
      <c r="P43" s="34">
        <f>IF($J43=1,LN(1+O43),"")</f>
        <v/>
      </c>
      <c r="Q43" s="34">
        <f>IF($J43=1,LN(R44/R43),"")</f>
        <v/>
      </c>
      <c r="R43" s="32" t="n">
        <v>2.2595</v>
      </c>
      <c r="S43" s="35" t="n">
        <v>15.35</v>
      </c>
      <c r="T43" s="18" t="n"/>
      <c r="U43" s="18" t="n"/>
      <c r="V43" s="18" t="n">
        <v>37942</v>
      </c>
      <c r="W43" s="18" t="n"/>
      <c r="X43" s="35" t="n"/>
      <c r="Y43" s="35" t="n">
        <v>15.35</v>
      </c>
    </row>
    <row r="44">
      <c r="A44" s="25" t="n">
        <v>38873</v>
      </c>
      <c r="B44" s="18" t="n">
        <v>36739</v>
      </c>
      <c r="C44" s="31" t="n"/>
      <c r="D44" s="32" t="n"/>
      <c r="E44" s="33" t="n">
        <v>-0.7159</v>
      </c>
      <c r="F44" t="inlineStr">
        <is>
          <t>Down</t>
        </is>
      </c>
      <c r="G44" t="inlineStr">
        <is>
          <t>Down</t>
        </is>
      </c>
      <c r="H44" t="inlineStr">
        <is>
          <t>ED_JD</t>
        </is>
      </c>
      <c r="I44" t="inlineStr">
        <is>
          <t>2006-06</t>
        </is>
      </c>
      <c r="J44" t="n">
        <v>1</v>
      </c>
      <c r="K44" t="n">
        <v>1</v>
      </c>
      <c r="L44" s="34">
        <f>IF($J44=1,LN(B45/B44),"")</f>
        <v/>
      </c>
      <c r="M44" s="34">
        <f>IF($K44=1,INDEX(Mensal!$D$2:$D$245,MATCH($I44,Mensal!$A$2:$A$245,0)),"")</f>
        <v/>
      </c>
      <c r="N44" s="34">
        <f>IF($K44=1,L44-M44,"")</f>
        <v/>
      </c>
      <c r="O44" s="34" t="n">
        <v>0.00056097</v>
      </c>
      <c r="P44" s="34">
        <f>IF($J44=1,LN(1+O44),"")</f>
        <v/>
      </c>
      <c r="Q44" s="34">
        <f>IF($J44=1,LN(R45/R44),"")</f>
        <v/>
      </c>
      <c r="R44" s="32" t="n">
        <v>2.2557</v>
      </c>
      <c r="S44" s="35" t="n">
        <v>15.33</v>
      </c>
      <c r="T44" s="18" t="n"/>
      <c r="U44" s="18" t="n"/>
      <c r="V44" s="18" t="n">
        <v>36739</v>
      </c>
      <c r="W44" s="18" t="n"/>
      <c r="X44" s="35" t="n"/>
      <c r="Y44" s="35" t="n">
        <v>15.33</v>
      </c>
    </row>
    <row r="45">
      <c r="A45" s="25" t="n">
        <v>38874</v>
      </c>
      <c r="B45" s="18" t="n">
        <v>36577</v>
      </c>
      <c r="C45" s="31" t="n"/>
      <c r="D45" s="32" t="n"/>
      <c r="E45" s="33" t="n">
        <v>-0.7423999999999999</v>
      </c>
      <c r="F45" t="inlineStr">
        <is>
          <t>Down</t>
        </is>
      </c>
      <c r="G45" t="inlineStr">
        <is>
          <t>Down</t>
        </is>
      </c>
      <c r="H45" t="inlineStr">
        <is>
          <t>ED_JD</t>
        </is>
      </c>
      <c r="I45" t="inlineStr">
        <is>
          <t>2006-06</t>
        </is>
      </c>
      <c r="J45" t="n">
        <v>1</v>
      </c>
      <c r="K45" t="n">
        <v>1</v>
      </c>
      <c r="L45" s="34">
        <f>IF($J45=1,LN(B46/B45),"")</f>
        <v/>
      </c>
      <c r="M45" s="34">
        <f>IF($K45=1,INDEX(Mensal!$D$2:$D$245,MATCH($I45,Mensal!$A$2:$A$245,0)),"")</f>
        <v/>
      </c>
      <c r="N45" s="34">
        <f>IF($K45=1,L45-M45,"")</f>
        <v/>
      </c>
      <c r="O45" s="34" t="n">
        <v>0.00055994</v>
      </c>
      <c r="P45" s="34">
        <f>IF($J45=1,LN(1+O45),"")</f>
        <v/>
      </c>
      <c r="Q45" s="34">
        <f>IF($J45=1,LN(R46/R45),"")</f>
        <v/>
      </c>
      <c r="R45" s="32" t="n">
        <v>2.2686</v>
      </c>
      <c r="S45" s="35" t="n">
        <v>15.35</v>
      </c>
      <c r="T45" s="18" t="n"/>
      <c r="U45" s="18" t="n"/>
      <c r="V45" s="18" t="n">
        <v>36577</v>
      </c>
      <c r="W45" s="18" t="n"/>
      <c r="X45" s="35" t="n"/>
      <c r="Y45" s="35" t="n">
        <v>15.35</v>
      </c>
    </row>
    <row r="46">
      <c r="A46" s="25" t="n">
        <v>38875</v>
      </c>
      <c r="B46" s="18" t="n">
        <v>35264</v>
      </c>
      <c r="C46" s="31" t="n"/>
      <c r="D46" s="32" t="n"/>
      <c r="E46" s="33" t="n">
        <v>-0.7669</v>
      </c>
      <c r="F46" t="inlineStr">
        <is>
          <t>Down</t>
        </is>
      </c>
      <c r="G46" t="inlineStr">
        <is>
          <t>Down</t>
        </is>
      </c>
      <c r="H46" t="inlineStr">
        <is>
          <t>ED_JD</t>
        </is>
      </c>
      <c r="I46" t="inlineStr">
        <is>
          <t>2006-06</t>
        </is>
      </c>
      <c r="J46" t="n">
        <v>1</v>
      </c>
      <c r="K46" t="n">
        <v>1</v>
      </c>
      <c r="L46" s="34">
        <f>IF($J46=1,LN(B47/B46),"")</f>
        <v/>
      </c>
      <c r="M46" s="34">
        <f>IF($K46=1,INDEX(Mensal!$D$2:$D$245,MATCH($I46,Mensal!$A$2:$A$245,0)),"")</f>
        <v/>
      </c>
      <c r="N46" s="34">
        <f>IF($K46=1,L46-M46,"")</f>
        <v/>
      </c>
      <c r="O46" s="34" t="n">
        <v>0.0005596</v>
      </c>
      <c r="P46" s="34">
        <f>IF($J46=1,LN(1+O46),"")</f>
        <v/>
      </c>
      <c r="Q46" s="34">
        <f>IF($J46=1,LN(R47/R46),"")</f>
        <v/>
      </c>
      <c r="R46" s="32" t="n">
        <v>2.25</v>
      </c>
      <c r="S46" s="35" t="n">
        <v>15.33</v>
      </c>
      <c r="T46" s="18" t="n"/>
      <c r="U46" s="18" t="n"/>
      <c r="V46" s="18" t="n">
        <v>35264</v>
      </c>
      <c r="W46" s="18" t="n"/>
      <c r="X46" s="35" t="n"/>
      <c r="Y46" s="35" t="n">
        <v>15.33</v>
      </c>
    </row>
    <row r="47">
      <c r="A47" s="25" t="n">
        <v>38876</v>
      </c>
      <c r="B47" s="18" t="n">
        <v>35437</v>
      </c>
      <c r="C47" s="31" t="n"/>
      <c r="D47" s="32" t="n"/>
      <c r="E47" s="33" t="n">
        <v>-0.7877</v>
      </c>
      <c r="F47" t="inlineStr">
        <is>
          <t>Down</t>
        </is>
      </c>
      <c r="G47" t="inlineStr">
        <is>
          <t>Down</t>
        </is>
      </c>
      <c r="H47" t="inlineStr">
        <is>
          <t>ED_JD</t>
        </is>
      </c>
      <c r="I47" t="inlineStr">
        <is>
          <t>2006-06</t>
        </is>
      </c>
      <c r="J47" t="n">
        <v>1</v>
      </c>
      <c r="K47" t="n">
        <v>1</v>
      </c>
      <c r="L47" s="34">
        <f>IF($J47=1,LN(B48/B47),"")</f>
        <v/>
      </c>
      <c r="M47" s="34">
        <f>IF($K47=1,INDEX(Mensal!$D$2:$D$245,MATCH($I47,Mensal!$A$2:$A$245,0)),"")</f>
        <v/>
      </c>
      <c r="N47" s="34">
        <f>IF($K47=1,L47-M47,"")</f>
        <v/>
      </c>
      <c r="O47" s="34" t="n">
        <v>0.0005596</v>
      </c>
      <c r="P47" s="34">
        <f>IF($J47=1,LN(1+O47),"")</f>
        <v/>
      </c>
      <c r="Q47" s="34">
        <f>IF($J47=1,LN(R48/R47),"")</f>
        <v/>
      </c>
      <c r="R47" s="32" t="n">
        <v>2.2701</v>
      </c>
      <c r="S47" s="35" t="n">
        <v>15.29</v>
      </c>
      <c r="T47" s="18" t="n"/>
      <c r="U47" s="18" t="n"/>
      <c r="V47" s="18" t="n">
        <v>35437</v>
      </c>
      <c r="W47" s="18" t="n"/>
      <c r="X47" s="35" t="n"/>
      <c r="Y47" s="35" t="n">
        <v>15.29</v>
      </c>
    </row>
    <row r="48">
      <c r="A48" s="25" t="n">
        <v>38877</v>
      </c>
      <c r="B48" s="18" t="n">
        <v>35074</v>
      </c>
      <c r="C48" s="31" t="n"/>
      <c r="D48" s="32" t="n"/>
      <c r="E48" s="33" t="n">
        <v>-0.8056</v>
      </c>
      <c r="F48" t="inlineStr">
        <is>
          <t>Down</t>
        </is>
      </c>
      <c r="G48" t="inlineStr">
        <is>
          <t>Down</t>
        </is>
      </c>
      <c r="H48" t="inlineStr">
        <is>
          <t>ED_JD</t>
        </is>
      </c>
      <c r="I48" t="inlineStr">
        <is>
          <t>2006-06</t>
        </is>
      </c>
      <c r="J48" t="n">
        <v>1</v>
      </c>
      <c r="K48" t="n">
        <v>1</v>
      </c>
      <c r="L48" s="34">
        <f>IF($J48=1,LN(B49/B48),"")</f>
        <v/>
      </c>
      <c r="M48" s="34">
        <f>IF($K48=1,INDEX(Mensal!$D$2:$D$245,MATCH($I48,Mensal!$A$2:$A$245,0)),"")</f>
        <v/>
      </c>
      <c r="N48" s="34">
        <f>IF($K48=1,L48-M48,"")</f>
        <v/>
      </c>
      <c r="O48" s="34" t="n">
        <v>0.0005596</v>
      </c>
      <c r="P48" s="34">
        <f>IF($J48=1,LN(1+O48),"")</f>
        <v/>
      </c>
      <c r="Q48" s="34">
        <f>IF($J48=1,LN(R49/R48),"")</f>
        <v/>
      </c>
      <c r="R48" s="32" t="n">
        <v>2.2615</v>
      </c>
      <c r="S48" s="35" t="n">
        <v>15.24</v>
      </c>
      <c r="T48" s="18" t="n"/>
      <c r="U48" s="18" t="n"/>
      <c r="V48" s="18" t="n">
        <v>35074</v>
      </c>
      <c r="W48" s="18" t="n"/>
      <c r="X48" s="35" t="n"/>
      <c r="Y48" s="35" t="n">
        <v>15.24</v>
      </c>
    </row>
    <row r="49">
      <c r="A49" s="25" t="n">
        <v>38880</v>
      </c>
      <c r="B49" s="18" t="n">
        <v>32847</v>
      </c>
      <c r="C49" s="31" t="n"/>
      <c r="D49" s="32" t="n"/>
      <c r="E49" s="33" t="n">
        <v>-0.7964</v>
      </c>
      <c r="F49" t="inlineStr">
        <is>
          <t>Down</t>
        </is>
      </c>
      <c r="G49" t="inlineStr">
        <is>
          <t>Down</t>
        </is>
      </c>
      <c r="H49" t="inlineStr">
        <is>
          <t>ED_JD</t>
        </is>
      </c>
      <c r="I49" t="inlineStr">
        <is>
          <t>2006-06</t>
        </is>
      </c>
      <c r="J49" t="n">
        <v>1</v>
      </c>
      <c r="K49" t="n">
        <v>1</v>
      </c>
      <c r="L49" s="34">
        <f>IF($J49=1,LN(B50/B49),"")</f>
        <v/>
      </c>
      <c r="M49" s="34">
        <f>IF($K49=1,INDEX(Mensal!$D$2:$D$245,MATCH($I49,Mensal!$A$2:$A$245,0)),"")</f>
        <v/>
      </c>
      <c r="N49" s="34">
        <f>IF($K49=1,L49-M49,"")</f>
        <v/>
      </c>
      <c r="O49" s="34" t="n">
        <v>0.00055994</v>
      </c>
      <c r="P49" s="34">
        <f>IF($J49=1,LN(1+O49),"")</f>
        <v/>
      </c>
      <c r="Q49" s="34">
        <f>IF($J49=1,LN(R50/R49),"")</f>
        <v/>
      </c>
      <c r="R49" s="32" t="n">
        <v>2.2707</v>
      </c>
      <c r="S49" s="35" t="n">
        <v>15.32</v>
      </c>
      <c r="T49" s="18" t="n"/>
      <c r="U49" s="18" t="n"/>
      <c r="V49" s="18" t="n">
        <v>32847</v>
      </c>
      <c r="W49" s="18" t="n"/>
      <c r="X49" s="35" t="n"/>
      <c r="Y49" s="35" t="n">
        <v>15.32</v>
      </c>
    </row>
    <row r="50">
      <c r="A50" s="25" t="n">
        <v>38881</v>
      </c>
      <c r="B50" s="18" t="n">
        <v>33554</v>
      </c>
      <c r="C50" s="31" t="n"/>
      <c r="D50" s="32" t="n"/>
      <c r="E50" s="33" t="n">
        <v>-0.7818000000000001</v>
      </c>
      <c r="F50" t="inlineStr">
        <is>
          <t>Down</t>
        </is>
      </c>
      <c r="G50" t="inlineStr">
        <is>
          <t>Down</t>
        </is>
      </c>
      <c r="H50" t="inlineStr">
        <is>
          <t>ED_JD</t>
        </is>
      </c>
      <c r="I50" t="inlineStr">
        <is>
          <t>2006-06</t>
        </is>
      </c>
      <c r="J50" t="n">
        <v>1</v>
      </c>
      <c r="K50" t="n">
        <v>1</v>
      </c>
      <c r="L50" s="34">
        <f>IF($J50=1,LN(B51/B50),"")</f>
        <v/>
      </c>
      <c r="M50" s="34">
        <f>IF($K50=1,INDEX(Mensal!$D$2:$D$245,MATCH($I50,Mensal!$A$2:$A$245,0)),"")</f>
        <v/>
      </c>
      <c r="N50" s="34">
        <f>IF($K50=1,L50-M50,"")</f>
        <v/>
      </c>
      <c r="O50" s="34" t="n">
        <v>0.00055994</v>
      </c>
      <c r="P50" s="34">
        <f>IF($J50=1,LN(1+O50),"")</f>
        <v/>
      </c>
      <c r="Q50" s="34">
        <f>IF($J50=1,LN(R51/R50),"")</f>
        <v/>
      </c>
      <c r="R50" s="32" t="n">
        <v>2.3018</v>
      </c>
      <c r="S50" s="35" t="n">
        <v>15.35</v>
      </c>
      <c r="T50" s="18" t="n"/>
      <c r="U50" s="18" t="n"/>
      <c r="V50" s="18" t="n">
        <v>33554</v>
      </c>
      <c r="W50" s="18" t="n"/>
      <c r="X50" s="35" t="n"/>
      <c r="Y50" s="35" t="n">
        <v>15.35</v>
      </c>
    </row>
    <row r="51">
      <c r="A51" s="25" t="n">
        <v>38882</v>
      </c>
      <c r="B51" s="18" t="n">
        <v>32941</v>
      </c>
      <c r="C51" s="31" t="n"/>
      <c r="D51" s="32" t="n"/>
      <c r="E51" s="33" t="n">
        <v>-0.7782</v>
      </c>
      <c r="F51" t="inlineStr">
        <is>
          <t>Down</t>
        </is>
      </c>
      <c r="G51" t="inlineStr">
        <is>
          <t>Down</t>
        </is>
      </c>
      <c r="H51" t="inlineStr">
        <is>
          <t>ED_JD</t>
        </is>
      </c>
      <c r="I51" t="inlineStr">
        <is>
          <t>2006-06</t>
        </is>
      </c>
      <c r="J51" t="n">
        <v>1</v>
      </c>
      <c r="K51" t="n">
        <v>1</v>
      </c>
      <c r="L51" s="34">
        <f>IF($J51=1,LN(B52/B51),"")</f>
        <v/>
      </c>
      <c r="M51" s="34">
        <f>IF($K51=1,INDEX(Mensal!$D$2:$D$245,MATCH($I51,Mensal!$A$2:$A$245,0)),"")</f>
        <v/>
      </c>
      <c r="N51" s="34">
        <f>IF($K51=1,L51-M51,"")</f>
        <v/>
      </c>
      <c r="O51" s="34" t="n">
        <v>0.0005596</v>
      </c>
      <c r="P51" s="34">
        <f>IF($J51=1,LN(1+O51),"")</f>
        <v/>
      </c>
      <c r="Q51" s="34">
        <f>IF($J51=1,LN(R52/R51),"")</f>
        <v/>
      </c>
      <c r="R51" s="32" t="n">
        <v>2.2845</v>
      </c>
      <c r="S51" s="35" t="n">
        <v>15.28</v>
      </c>
      <c r="T51" s="18" t="n"/>
      <c r="U51" s="18" t="n"/>
      <c r="V51" s="18" t="n">
        <v>32941</v>
      </c>
      <c r="W51" s="18" t="n"/>
      <c r="X51" s="35" t="n"/>
      <c r="Y51" s="35" t="n">
        <v>15.28</v>
      </c>
    </row>
    <row r="52">
      <c r="A52" s="25" t="n">
        <v>38884</v>
      </c>
      <c r="B52" s="18" t="n">
        <v>34398</v>
      </c>
      <c r="C52" s="31" t="n"/>
      <c r="D52" s="32" t="n"/>
      <c r="E52" s="33" t="n">
        <v>-0.7684</v>
      </c>
      <c r="F52" t="inlineStr">
        <is>
          <t>Down</t>
        </is>
      </c>
      <c r="G52" t="inlineStr">
        <is>
          <t>Down</t>
        </is>
      </c>
      <c r="H52" t="inlineStr">
        <is>
          <t>ED_JD</t>
        </is>
      </c>
      <c r="I52" t="inlineStr">
        <is>
          <t>2006-06</t>
        </is>
      </c>
      <c r="J52" t="n">
        <v>1</v>
      </c>
      <c r="K52" t="n">
        <v>1</v>
      </c>
      <c r="L52" s="34">
        <f>IF($J52=1,LN(B53/B52),"")</f>
        <v/>
      </c>
      <c r="M52" s="34">
        <f>IF($K52=1,INDEX(Mensal!$D$2:$D$245,MATCH($I52,Mensal!$A$2:$A$245,0)),"")</f>
        <v/>
      </c>
      <c r="N52" s="34">
        <f>IF($K52=1,L52-M52,"")</f>
        <v/>
      </c>
      <c r="O52" s="34" t="n">
        <v>0.0005596</v>
      </c>
      <c r="P52" s="34">
        <f>IF($J52=1,LN(1+O52),"")</f>
        <v/>
      </c>
      <c r="Q52" s="34">
        <f>IF($J52=1,LN(R53/R52),"")</f>
        <v/>
      </c>
      <c r="R52" s="32" t="n">
        <v>2.2521</v>
      </c>
      <c r="S52" s="35" t="n">
        <v>15.12</v>
      </c>
      <c r="T52" s="18" t="n"/>
      <c r="U52" s="18" t="n"/>
      <c r="V52" s="18" t="n">
        <v>34398</v>
      </c>
      <c r="W52" s="18" t="n"/>
      <c r="X52" s="35" t="n"/>
      <c r="Y52" s="35" t="n">
        <v>15.12</v>
      </c>
    </row>
    <row r="53">
      <c r="A53" s="25" t="n">
        <v>38887</v>
      </c>
      <c r="B53" s="18" t="n">
        <v>33897</v>
      </c>
      <c r="C53" s="31" t="n"/>
      <c r="D53" s="32" t="n"/>
      <c r="E53" s="33" t="n">
        <v>-0.7652</v>
      </c>
      <c r="F53" t="inlineStr">
        <is>
          <t>Down</t>
        </is>
      </c>
      <c r="G53" t="inlineStr">
        <is>
          <t>Down</t>
        </is>
      </c>
      <c r="H53" t="inlineStr">
        <is>
          <t>ED_JD</t>
        </is>
      </c>
      <c r="I53" t="inlineStr">
        <is>
          <t>2006-06</t>
        </is>
      </c>
      <c r="J53" t="n">
        <v>1</v>
      </c>
      <c r="K53" t="n">
        <v>1</v>
      </c>
      <c r="L53" s="34">
        <f>IF($J53=1,LN(B54/B53),"")</f>
        <v/>
      </c>
      <c r="M53" s="34">
        <f>IF($K53=1,INDEX(Mensal!$D$2:$D$245,MATCH($I53,Mensal!$A$2:$A$245,0)),"")</f>
        <v/>
      </c>
      <c r="N53" s="34">
        <f>IF($K53=1,L53-M53,"")</f>
        <v/>
      </c>
      <c r="O53" s="34" t="n">
        <v>0.0005596</v>
      </c>
      <c r="P53" s="34">
        <f>IF($J53=1,LN(1+O53),"")</f>
        <v/>
      </c>
      <c r="Q53" s="34">
        <f>IF($J53=1,LN(R54/R53),"")</f>
        <v/>
      </c>
      <c r="R53" s="32" t="n">
        <v>2.2404</v>
      </c>
      <c r="S53" s="35" t="n">
        <v>15.17</v>
      </c>
      <c r="T53" s="18" t="n"/>
      <c r="U53" s="18" t="n"/>
      <c r="V53" s="18" t="n">
        <v>33897</v>
      </c>
      <c r="W53" s="18" t="n"/>
      <c r="X53" s="35" t="n"/>
      <c r="Y53" s="35" t="n">
        <v>15.17</v>
      </c>
    </row>
    <row r="54">
      <c r="A54" s="25" t="n">
        <v>38888</v>
      </c>
      <c r="B54" s="18" t="n">
        <v>33632</v>
      </c>
      <c r="C54" s="31" t="n"/>
      <c r="D54" s="32" t="n"/>
      <c r="E54" s="33" t="n">
        <v>-0.7558</v>
      </c>
      <c r="F54" t="inlineStr">
        <is>
          <t>Down</t>
        </is>
      </c>
      <c r="G54" t="inlineStr">
        <is>
          <t>Down</t>
        </is>
      </c>
      <c r="H54" t="inlineStr">
        <is>
          <t>ED_JD</t>
        </is>
      </c>
      <c r="I54" t="inlineStr">
        <is>
          <t>2006-06</t>
        </is>
      </c>
      <c r="J54" t="n">
        <v>1</v>
      </c>
      <c r="K54" t="n">
        <v>1</v>
      </c>
      <c r="L54" s="34">
        <f>IF($J54=1,LN(B55/B54),"")</f>
        <v/>
      </c>
      <c r="M54" s="34">
        <f>IF($K54=1,INDEX(Mensal!$D$2:$D$245,MATCH($I54,Mensal!$A$2:$A$245,0)),"")</f>
        <v/>
      </c>
      <c r="N54" s="34">
        <f>IF($K54=1,L54-M54,"")</f>
        <v/>
      </c>
      <c r="O54" s="34" t="n">
        <v>0.0005596</v>
      </c>
      <c r="P54" s="34">
        <f>IF($J54=1,LN(1+O54),"")</f>
        <v/>
      </c>
      <c r="Q54" s="34">
        <f>IF($J54=1,LN(R55/R54),"")</f>
        <v/>
      </c>
      <c r="R54" s="32" t="n">
        <v>2.2506</v>
      </c>
      <c r="S54" s="35" t="n">
        <v>15.12</v>
      </c>
      <c r="T54" s="18" t="n"/>
      <c r="U54" s="18" t="n"/>
      <c r="V54" s="18" t="n">
        <v>33632</v>
      </c>
      <c r="W54" s="18" t="n"/>
      <c r="X54" s="35" t="n"/>
      <c r="Y54" s="35" t="n">
        <v>15.12</v>
      </c>
    </row>
    <row r="55">
      <c r="A55" s="25" t="n">
        <v>38889</v>
      </c>
      <c r="B55" s="18" t="n">
        <v>34546</v>
      </c>
      <c r="C55" s="31" t="n"/>
      <c r="D55" s="32" t="n"/>
      <c r="E55" s="33" t="n">
        <v>-0.7601</v>
      </c>
      <c r="F55" t="inlineStr">
        <is>
          <t>Down</t>
        </is>
      </c>
      <c r="G55" t="inlineStr">
        <is>
          <t>Down</t>
        </is>
      </c>
      <c r="H55" t="inlineStr">
        <is>
          <t>ED_JD</t>
        </is>
      </c>
      <c r="I55" t="inlineStr">
        <is>
          <t>2006-06</t>
        </is>
      </c>
      <c r="J55" t="n">
        <v>1</v>
      </c>
      <c r="K55" t="n">
        <v>1</v>
      </c>
      <c r="L55" s="34">
        <f>IF($J55=1,LN(B56/B55),"")</f>
        <v/>
      </c>
      <c r="M55" s="34">
        <f>IF($K55=1,INDEX(Mensal!$D$2:$D$245,MATCH($I55,Mensal!$A$2:$A$245,0)),"")</f>
        <v/>
      </c>
      <c r="N55" s="34">
        <f>IF($K55=1,L55-M55,"")</f>
        <v/>
      </c>
      <c r="O55" s="34" t="n">
        <v>0.00055994</v>
      </c>
      <c r="P55" s="34">
        <f>IF($J55=1,LN(1+O55),"")</f>
        <v/>
      </c>
      <c r="Q55" s="34">
        <f>IF($J55=1,LN(R56/R55),"")</f>
        <v/>
      </c>
      <c r="R55" s="32" t="n">
        <v>2.2378</v>
      </c>
      <c r="S55" s="35" t="n">
        <v>15.04</v>
      </c>
      <c r="T55" s="18" t="n"/>
      <c r="U55" s="18" t="n"/>
      <c r="V55" s="18" t="n">
        <v>34546</v>
      </c>
      <c r="W55" s="18" t="n"/>
      <c r="X55" s="35" t="n"/>
      <c r="Y55" s="35" t="n">
        <v>15.04</v>
      </c>
    </row>
    <row r="56">
      <c r="A56" s="25" t="n">
        <v>38890</v>
      </c>
      <c r="B56" s="18" t="n">
        <v>34316</v>
      </c>
      <c r="C56" s="31" t="n"/>
      <c r="D56" s="32" t="n"/>
      <c r="E56" s="33" t="n">
        <v>-0.7631</v>
      </c>
      <c r="F56" t="inlineStr">
        <is>
          <t>Down</t>
        </is>
      </c>
      <c r="G56" t="inlineStr">
        <is>
          <t>Down</t>
        </is>
      </c>
      <c r="H56" t="inlineStr">
        <is>
          <t>ED_JD</t>
        </is>
      </c>
      <c r="I56" t="inlineStr">
        <is>
          <t>2006-06</t>
        </is>
      </c>
      <c r="J56" t="n">
        <v>1</v>
      </c>
      <c r="K56" t="n">
        <v>1</v>
      </c>
      <c r="L56" s="34">
        <f>IF($J56=1,LN(B57/B56),"")</f>
        <v/>
      </c>
      <c r="M56" s="34">
        <f>IF($K56=1,INDEX(Mensal!$D$2:$D$245,MATCH($I56,Mensal!$A$2:$A$245,0)),"")</f>
        <v/>
      </c>
      <c r="N56" s="34">
        <f>IF($K56=1,L56-M56,"")</f>
        <v/>
      </c>
      <c r="O56" s="34" t="n">
        <v>0.0005596</v>
      </c>
      <c r="P56" s="34">
        <f>IF($J56=1,LN(1+O56),"")</f>
        <v/>
      </c>
      <c r="Q56" s="34">
        <f>IF($J56=1,LN(R57/R56),"")</f>
        <v/>
      </c>
      <c r="R56" s="32" t="n">
        <v>2.2391</v>
      </c>
      <c r="S56" s="35" t="n">
        <v>15.08</v>
      </c>
      <c r="T56" s="18" t="n"/>
      <c r="U56" s="18" t="n"/>
      <c r="V56" s="18" t="n">
        <v>34316</v>
      </c>
      <c r="W56" s="18" t="n"/>
      <c r="X56" s="35" t="n"/>
      <c r="Y56" s="35" t="n">
        <v>15.08</v>
      </c>
    </row>
    <row r="57">
      <c r="A57" s="25" t="n">
        <v>38891</v>
      </c>
      <c r="B57" s="18" t="n">
        <v>34661</v>
      </c>
      <c r="C57" s="31" t="n"/>
      <c r="D57" s="32" t="n"/>
      <c r="E57" s="33" t="n">
        <v>-0.7712</v>
      </c>
      <c r="F57" t="inlineStr">
        <is>
          <t>Down</t>
        </is>
      </c>
      <c r="G57" t="inlineStr">
        <is>
          <t>Down</t>
        </is>
      </c>
      <c r="H57" t="inlineStr">
        <is>
          <t>ED_JD</t>
        </is>
      </c>
      <c r="I57" t="inlineStr">
        <is>
          <t>2006-06</t>
        </is>
      </c>
      <c r="J57" t="n">
        <v>1</v>
      </c>
      <c r="K57" t="n">
        <v>1</v>
      </c>
      <c r="L57" s="34">
        <f>IF($J57=1,LN(B58/B57),"")</f>
        <v/>
      </c>
      <c r="M57" s="34">
        <f>IF($K57=1,INDEX(Mensal!$D$2:$D$245,MATCH($I57,Mensal!$A$2:$A$245,0)),"")</f>
        <v/>
      </c>
      <c r="N57" s="34">
        <f>IF($K57=1,L57-M57,"")</f>
        <v/>
      </c>
      <c r="O57" s="34" t="n">
        <v>0.0005596</v>
      </c>
      <c r="P57" s="34">
        <f>IF($J57=1,LN(1+O57),"")</f>
        <v/>
      </c>
      <c r="Q57" s="34">
        <f>IF($J57=1,LN(R58/R57),"")</f>
        <v/>
      </c>
      <c r="R57" s="32" t="n">
        <v>2.2462</v>
      </c>
      <c r="S57" s="35" t="n">
        <v>15.05</v>
      </c>
      <c r="T57" s="18" t="n"/>
      <c r="U57" s="18" t="n"/>
      <c r="V57" s="18" t="n">
        <v>34661</v>
      </c>
      <c r="W57" s="18" t="n"/>
      <c r="X57" s="35" t="n"/>
      <c r="Y57" s="35" t="n">
        <v>15.05</v>
      </c>
    </row>
    <row r="58">
      <c r="A58" s="25" t="n">
        <v>38894</v>
      </c>
      <c r="B58" s="18" t="n">
        <v>34631</v>
      </c>
      <c r="C58" s="31" t="n"/>
      <c r="D58" s="32" t="n"/>
      <c r="E58" s="33" t="n">
        <v>-0.7718</v>
      </c>
      <c r="F58" t="inlineStr">
        <is>
          <t>Down</t>
        </is>
      </c>
      <c r="G58" t="inlineStr">
        <is>
          <t>Down</t>
        </is>
      </c>
      <c r="H58" t="inlineStr">
        <is>
          <t>ED_JD</t>
        </is>
      </c>
      <c r="I58" t="inlineStr">
        <is>
          <t>2006-06</t>
        </is>
      </c>
      <c r="J58" t="n">
        <v>1</v>
      </c>
      <c r="K58" t="n">
        <v>1</v>
      </c>
      <c r="L58" s="34">
        <f>IF($J58=1,LN(B59/B58),"")</f>
        <v/>
      </c>
      <c r="M58" s="34">
        <f>IF($K58=1,INDEX(Mensal!$D$2:$D$245,MATCH($I58,Mensal!$A$2:$A$245,0)),"")</f>
        <v/>
      </c>
      <c r="N58" s="34">
        <f>IF($K58=1,L58-M58,"")</f>
        <v/>
      </c>
      <c r="O58" s="34" t="n">
        <v>0.0005596</v>
      </c>
      <c r="P58" s="34">
        <f>IF($J58=1,LN(1+O58),"")</f>
        <v/>
      </c>
      <c r="Q58" s="34">
        <f>IF($J58=1,LN(R59/R58),"")</f>
        <v/>
      </c>
      <c r="R58" s="32" t="n">
        <v>2.2259</v>
      </c>
      <c r="S58" s="35" t="n">
        <v>15.04</v>
      </c>
      <c r="T58" s="18" t="n"/>
      <c r="U58" s="18" t="n"/>
      <c r="V58" s="18" t="n">
        <v>34631</v>
      </c>
      <c r="W58" s="18" t="n"/>
      <c r="X58" s="35" t="n"/>
      <c r="Y58" s="35" t="n">
        <v>15.04</v>
      </c>
    </row>
    <row r="59">
      <c r="A59" s="25" t="n">
        <v>38895</v>
      </c>
      <c r="B59" s="18" t="n">
        <v>34375</v>
      </c>
      <c r="C59" s="31" t="n"/>
      <c r="D59" s="32" t="n"/>
      <c r="E59" s="33" t="n">
        <v>-0.7843</v>
      </c>
      <c r="F59" t="inlineStr">
        <is>
          <t>Down</t>
        </is>
      </c>
      <c r="G59" t="inlineStr">
        <is>
          <t>Down</t>
        </is>
      </c>
      <c r="H59" t="inlineStr">
        <is>
          <t>ED_JD</t>
        </is>
      </c>
      <c r="I59" t="inlineStr">
        <is>
          <t>2006-06</t>
        </is>
      </c>
      <c r="J59" t="n">
        <v>1</v>
      </c>
      <c r="K59" t="n">
        <v>1</v>
      </c>
      <c r="L59" s="34">
        <f>IF($J59=1,LN(B60/B59),"")</f>
        <v/>
      </c>
      <c r="M59" s="34">
        <f>IF($K59=1,INDEX(Mensal!$D$2:$D$245,MATCH($I59,Mensal!$A$2:$A$245,0)),"")</f>
        <v/>
      </c>
      <c r="N59" s="34">
        <f>IF($K59=1,L59-M59,"")</f>
        <v/>
      </c>
      <c r="O59" s="34" t="n">
        <v>0.0005592500000000001</v>
      </c>
      <c r="P59" s="34">
        <f>IF($J59=1,LN(1+O59),"")</f>
        <v/>
      </c>
      <c r="Q59" s="34">
        <f>IF($J59=1,LN(R60/R59),"")</f>
        <v/>
      </c>
      <c r="R59" s="32" t="n">
        <v>2.2315</v>
      </c>
      <c r="S59" s="35" t="n">
        <v>15.06</v>
      </c>
      <c r="T59" s="18" t="n"/>
      <c r="U59" s="18" t="n"/>
      <c r="V59" s="18" t="n">
        <v>34375</v>
      </c>
      <c r="W59" s="18" t="n"/>
      <c r="X59" s="35" t="n"/>
      <c r="Y59" s="35" t="n">
        <v>15.06</v>
      </c>
    </row>
    <row r="60">
      <c r="A60" s="25" t="n">
        <v>38896</v>
      </c>
      <c r="B60" s="18" t="n">
        <v>34834</v>
      </c>
      <c r="C60" s="31" t="n"/>
      <c r="D60" s="32" t="n"/>
      <c r="E60" s="33" t="n">
        <v>-0.7927</v>
      </c>
      <c r="F60" t="inlineStr">
        <is>
          <t>Down</t>
        </is>
      </c>
      <c r="G60" t="inlineStr">
        <is>
          <t>Down</t>
        </is>
      </c>
      <c r="H60" t="inlineStr">
        <is>
          <t>ED_JD</t>
        </is>
      </c>
      <c r="I60" t="inlineStr">
        <is>
          <t>2006-06</t>
        </is>
      </c>
      <c r="J60" t="n">
        <v>1</v>
      </c>
      <c r="K60" t="n">
        <v>1</v>
      </c>
      <c r="L60" s="34">
        <f>IF($J60=1,LN(B61/B60),"")</f>
        <v/>
      </c>
      <c r="M60" s="34">
        <f>IF($K60=1,INDEX(Mensal!$D$2:$D$245,MATCH($I60,Mensal!$A$2:$A$245,0)),"")</f>
        <v/>
      </c>
      <c r="N60" s="34">
        <f>IF($K60=1,L60-M60,"")</f>
        <v/>
      </c>
      <c r="O60" s="34" t="n">
        <v>0.0005592500000000001</v>
      </c>
      <c r="P60" s="34">
        <f>IF($J60=1,LN(1+O60),"")</f>
        <v/>
      </c>
      <c r="Q60" s="34">
        <f>IF($J60=1,LN(R61/R60),"")</f>
        <v/>
      </c>
      <c r="R60" s="32" t="n">
        <v>2.2262</v>
      </c>
      <c r="S60" s="35" t="n">
        <v>14.99</v>
      </c>
      <c r="T60" s="18" t="n"/>
      <c r="U60" s="18" t="n"/>
      <c r="V60" s="18" t="n">
        <v>34834</v>
      </c>
      <c r="W60" s="18" t="n"/>
      <c r="X60" s="35" t="n"/>
      <c r="Y60" s="35" t="n">
        <v>14.99</v>
      </c>
    </row>
    <row r="61">
      <c r="A61" s="25" t="n">
        <v>38897</v>
      </c>
      <c r="B61" s="18" t="n">
        <v>36486</v>
      </c>
      <c r="C61" s="31" t="n"/>
      <c r="D61" s="32" t="n"/>
      <c r="E61" s="33" t="n">
        <v>-0.797</v>
      </c>
      <c r="F61" t="inlineStr">
        <is>
          <t>Down</t>
        </is>
      </c>
      <c r="G61" t="inlineStr">
        <is>
          <t>Down</t>
        </is>
      </c>
      <c r="H61" t="inlineStr">
        <is>
          <t>ED_JD</t>
        </is>
      </c>
      <c r="I61" t="inlineStr">
        <is>
          <t>2006-06</t>
        </is>
      </c>
      <c r="J61" t="n">
        <v>1</v>
      </c>
      <c r="K61" t="n">
        <v>1</v>
      </c>
      <c r="L61" s="34">
        <f>IF($J61=1,LN(B62/B61),"")</f>
        <v/>
      </c>
      <c r="M61" s="34">
        <f>IF($K61=1,INDEX(Mensal!$D$2:$D$245,MATCH($I61,Mensal!$A$2:$A$245,0)),"")</f>
        <v/>
      </c>
      <c r="N61" s="34">
        <f>IF($K61=1,L61-M61,"")</f>
        <v/>
      </c>
      <c r="O61" s="34" t="n">
        <v>0.00055891</v>
      </c>
      <c r="P61" s="34">
        <f>IF($J61=1,LN(1+O61),"")</f>
        <v/>
      </c>
      <c r="Q61" s="34">
        <f>IF($J61=1,LN(R62/R61),"")</f>
        <v/>
      </c>
      <c r="R61" s="32" t="n">
        <v>2.2063</v>
      </c>
      <c r="S61" s="35" t="n">
        <v>14.84</v>
      </c>
      <c r="T61" s="18" t="n"/>
      <c r="U61" s="18" t="n"/>
      <c r="V61" s="18" t="n">
        <v>36486</v>
      </c>
      <c r="W61" s="18" t="n"/>
      <c r="X61" s="35" t="n"/>
      <c r="Y61" s="35" t="n">
        <v>14.84</v>
      </c>
    </row>
    <row r="62">
      <c r="A62" s="25" t="n">
        <v>38898</v>
      </c>
      <c r="B62" s="18" t="n">
        <v>36630</v>
      </c>
      <c r="C62" s="31" t="n"/>
      <c r="D62" s="32" t="n"/>
      <c r="E62" s="33" t="n">
        <v>-0.801</v>
      </c>
      <c r="F62" t="inlineStr">
        <is>
          <t>Down</t>
        </is>
      </c>
      <c r="G62" t="inlineStr">
        <is>
          <t>Down</t>
        </is>
      </c>
      <c r="H62" t="inlineStr">
        <is>
          <t>ED_JD</t>
        </is>
      </c>
      <c r="I62" t="inlineStr">
        <is>
          <t>2006-06</t>
        </is>
      </c>
      <c r="J62" t="n">
        <v>1</v>
      </c>
      <c r="K62" t="n">
        <v>1</v>
      </c>
      <c r="L62" s="34">
        <f>IF($J62=1,LN(B63/B62),"")</f>
        <v/>
      </c>
      <c r="M62" s="34">
        <f>IF($K62=1,INDEX(Mensal!$D$2:$D$245,MATCH($I62,Mensal!$A$2:$A$245,0)),"")</f>
        <v/>
      </c>
      <c r="N62" s="34">
        <f>IF($K62=1,L62-M62,"")</f>
        <v/>
      </c>
      <c r="O62" s="34" t="n">
        <v>0.00056097</v>
      </c>
      <c r="P62" s="34">
        <f>IF($J62=1,LN(1+O62),"")</f>
        <v/>
      </c>
      <c r="Q62" s="34">
        <f>IF($J62=1,LN(R63/R62),"")</f>
        <v/>
      </c>
      <c r="R62" s="32" t="n">
        <v>2.1643</v>
      </c>
      <c r="S62" s="35" t="n">
        <v>14.78</v>
      </c>
      <c r="T62" s="18" t="n"/>
      <c r="U62" s="18" t="n"/>
      <c r="V62" s="18" t="n">
        <v>36630</v>
      </c>
      <c r="W62" s="18" t="n"/>
      <c r="X62" s="35" t="n"/>
      <c r="Y62" s="35" t="n">
        <v>14.78</v>
      </c>
    </row>
    <row r="63">
      <c r="A63" s="25" t="n">
        <v>38901</v>
      </c>
      <c r="B63" s="18" t="n">
        <v>37357</v>
      </c>
      <c r="C63" s="31" t="n"/>
      <c r="D63" s="32" t="n"/>
      <c r="E63" s="33" t="n">
        <v>-0.8007</v>
      </c>
      <c r="F63" t="inlineStr">
        <is>
          <t>Down</t>
        </is>
      </c>
      <c r="G63" t="inlineStr">
        <is>
          <t>Down</t>
        </is>
      </c>
      <c r="H63" t="inlineStr">
        <is>
          <t>ED_JD</t>
        </is>
      </c>
      <c r="I63" t="inlineStr">
        <is>
          <t>2006-07</t>
        </is>
      </c>
      <c r="J63" t="n">
        <v>1</v>
      </c>
      <c r="K63" t="n">
        <v>1</v>
      </c>
      <c r="L63" s="34">
        <f>IF($J63=1,LN(B64/B63),"")</f>
        <v/>
      </c>
      <c r="M63" s="34">
        <f>IF($K63=1,INDEX(Mensal!$D$2:$D$245,MATCH($I63,Mensal!$A$2:$A$245,0)),"")</f>
        <v/>
      </c>
      <c r="N63" s="34">
        <f>IF($K63=1,L63-M63,"")</f>
        <v/>
      </c>
      <c r="O63" s="34" t="n">
        <v>0.00056097</v>
      </c>
      <c r="P63" s="34">
        <f>IF($J63=1,LN(1+O63),"")</f>
        <v/>
      </c>
      <c r="Q63" s="34">
        <f>IF($J63=1,LN(R64/R63),"")</f>
        <v/>
      </c>
      <c r="R63" s="32" t="n">
        <v>2.1701</v>
      </c>
      <c r="S63" s="35" t="n">
        <v>14.72</v>
      </c>
      <c r="T63" s="18" t="n"/>
      <c r="U63" s="18" t="n"/>
      <c r="V63" s="18" t="n">
        <v>37357</v>
      </c>
      <c r="W63" s="18" t="n"/>
      <c r="X63" s="35" t="n"/>
      <c r="Y63" s="35" t="n">
        <v>14.72</v>
      </c>
    </row>
    <row r="64">
      <c r="A64" s="25" t="n">
        <v>38902</v>
      </c>
      <c r="B64" s="18" t="n">
        <v>37367</v>
      </c>
      <c r="C64" s="31" t="n"/>
      <c r="D64" s="32" t="n"/>
      <c r="E64" s="33" t="n">
        <v>-0.8204</v>
      </c>
      <c r="F64" t="inlineStr">
        <is>
          <t>Down</t>
        </is>
      </c>
      <c r="G64" t="inlineStr">
        <is>
          <t>Down</t>
        </is>
      </c>
      <c r="H64" t="inlineStr">
        <is>
          <t>ED_JD</t>
        </is>
      </c>
      <c r="I64" t="inlineStr">
        <is>
          <t>2006-07</t>
        </is>
      </c>
      <c r="J64" t="n">
        <v>1</v>
      </c>
      <c r="K64" t="n">
        <v>1</v>
      </c>
      <c r="L64" s="34">
        <f>IF($J64=1,LN(B65/B64),"")</f>
        <v/>
      </c>
      <c r="M64" s="34">
        <f>IF($K64=1,INDEX(Mensal!$D$2:$D$245,MATCH($I64,Mensal!$A$2:$A$245,0)),"")</f>
        <v/>
      </c>
      <c r="N64" s="34">
        <f>IF($K64=1,L64-M64,"")</f>
        <v/>
      </c>
      <c r="O64" s="34" t="n">
        <v>0.00056028</v>
      </c>
      <c r="P64" s="34">
        <f>IF($J64=1,LN(1+O64),"")</f>
        <v/>
      </c>
      <c r="Q64" s="34">
        <f>IF($J64=1,LN(R65/R64),"")</f>
        <v/>
      </c>
      <c r="R64" s="32" t="n">
        <v>2.1646</v>
      </c>
      <c r="S64" s="35" t="n">
        <v>14.69</v>
      </c>
      <c r="T64" s="18" t="n"/>
      <c r="U64" s="18" t="n"/>
      <c r="V64" s="18" t="n">
        <v>37367</v>
      </c>
      <c r="W64" s="18" t="n"/>
      <c r="X64" s="35" t="n"/>
      <c r="Y64" s="35" t="n">
        <v>14.69</v>
      </c>
    </row>
    <row r="65">
      <c r="A65" s="25" t="n">
        <v>38903</v>
      </c>
      <c r="B65" s="18" t="n">
        <v>36378</v>
      </c>
      <c r="C65" s="31" t="n"/>
      <c r="D65" s="32" t="n"/>
      <c r="E65" s="33" t="n">
        <v>-0.8419</v>
      </c>
      <c r="F65" t="inlineStr">
        <is>
          <t>Down</t>
        </is>
      </c>
      <c r="G65" t="inlineStr">
        <is>
          <t>Down</t>
        </is>
      </c>
      <c r="H65" t="inlineStr">
        <is>
          <t>ED_JD</t>
        </is>
      </c>
      <c r="I65" t="inlineStr">
        <is>
          <t>2006-07</t>
        </is>
      </c>
      <c r="J65" t="n">
        <v>1</v>
      </c>
      <c r="K65" t="n">
        <v>1</v>
      </c>
      <c r="L65" s="34">
        <f>IF($J65=1,LN(B66/B65),"")</f>
        <v/>
      </c>
      <c r="M65" s="34">
        <f>IF($K65=1,INDEX(Mensal!$D$2:$D$245,MATCH($I65,Mensal!$A$2:$A$245,0)),"")</f>
        <v/>
      </c>
      <c r="N65" s="34">
        <f>IF($K65=1,L65-M65,"")</f>
        <v/>
      </c>
      <c r="O65" s="34" t="n">
        <v>0.00056028</v>
      </c>
      <c r="P65" s="34">
        <f>IF($J65=1,LN(1+O65),"")</f>
        <v/>
      </c>
      <c r="Q65" s="34">
        <f>IF($J65=1,LN(R66/R65),"")</f>
        <v/>
      </c>
      <c r="R65" s="32" t="n">
        <v>2.1955</v>
      </c>
      <c r="S65" s="35" t="n">
        <v>14.79</v>
      </c>
      <c r="T65" s="18" t="n"/>
      <c r="U65" s="18" t="n"/>
      <c r="V65" s="18" t="n">
        <v>36378</v>
      </c>
      <c r="W65" s="18" t="n"/>
      <c r="X65" s="35" t="n"/>
      <c r="Y65" s="35" t="n">
        <v>14.79</v>
      </c>
    </row>
    <row r="66">
      <c r="A66" s="25" t="n">
        <v>38904</v>
      </c>
      <c r="B66" s="18" t="n">
        <v>36533</v>
      </c>
      <c r="C66" s="31" t="n"/>
      <c r="D66" s="32" t="n"/>
      <c r="E66" s="33" t="n">
        <v>-0.8542</v>
      </c>
      <c r="F66" t="inlineStr">
        <is>
          <t>Down</t>
        </is>
      </c>
      <c r="G66" t="inlineStr">
        <is>
          <t>Down</t>
        </is>
      </c>
      <c r="H66" t="inlineStr">
        <is>
          <t>ED_JD</t>
        </is>
      </c>
      <c r="I66" t="inlineStr">
        <is>
          <t>2006-07</t>
        </is>
      </c>
      <c r="J66" t="n">
        <v>1</v>
      </c>
      <c r="K66" t="n">
        <v>1</v>
      </c>
      <c r="L66" s="34">
        <f>IF($J66=1,LN(B67/B66),"")</f>
        <v/>
      </c>
      <c r="M66" s="34">
        <f>IF($K66=1,INDEX(Mensal!$D$2:$D$245,MATCH($I66,Mensal!$A$2:$A$245,0)),"")</f>
        <v/>
      </c>
      <c r="N66" s="34">
        <f>IF($K66=1,L66-M66,"")</f>
        <v/>
      </c>
      <c r="O66" s="34" t="n">
        <v>0.00055994</v>
      </c>
      <c r="P66" s="34">
        <f>IF($J66=1,LN(1+O66),"")</f>
        <v/>
      </c>
      <c r="Q66" s="34">
        <f>IF($J66=1,LN(R67/R66),"")</f>
        <v/>
      </c>
      <c r="R66" s="32" t="n">
        <v>2.184</v>
      </c>
      <c r="S66" s="35" t="n">
        <v>14.7</v>
      </c>
      <c r="T66" s="18" t="n"/>
      <c r="U66" s="18" t="n"/>
      <c r="V66" s="18" t="n">
        <v>36533</v>
      </c>
      <c r="W66" s="18" t="n"/>
      <c r="X66" s="35" t="n"/>
      <c r="Y66" s="35" t="n">
        <v>14.7</v>
      </c>
    </row>
    <row r="67">
      <c r="A67" s="25" t="n">
        <v>38905</v>
      </c>
      <c r="B67" s="18" t="n">
        <v>36101</v>
      </c>
      <c r="C67" s="31" t="n"/>
      <c r="D67" s="32" t="n"/>
      <c r="E67" s="33" t="n">
        <v>-0.8832</v>
      </c>
      <c r="F67" t="inlineStr">
        <is>
          <t>Down</t>
        </is>
      </c>
      <c r="G67" t="inlineStr">
        <is>
          <t>Down</t>
        </is>
      </c>
      <c r="H67" t="inlineStr">
        <is>
          <t>ED_JD</t>
        </is>
      </c>
      <c r="I67" t="inlineStr">
        <is>
          <t>2006-07</t>
        </is>
      </c>
      <c r="J67" t="n">
        <v>1</v>
      </c>
      <c r="K67" t="n">
        <v>1</v>
      </c>
      <c r="L67" s="34">
        <f>IF($J67=1,LN(B68/B67),"")</f>
        <v/>
      </c>
      <c r="M67" s="34">
        <f>IF($K67=1,INDEX(Mensal!$D$2:$D$245,MATCH($I67,Mensal!$A$2:$A$245,0)),"")</f>
        <v/>
      </c>
      <c r="N67" s="34">
        <f>IF($K67=1,L67-M67,"")</f>
        <v/>
      </c>
      <c r="O67" s="34" t="n">
        <v>0.0005596</v>
      </c>
      <c r="P67" s="34">
        <f>IF($J67=1,LN(1+O67),"")</f>
        <v/>
      </c>
      <c r="Q67" s="34">
        <f>IF($J67=1,LN(R68/R67),"")</f>
        <v/>
      </c>
      <c r="R67" s="32" t="n">
        <v>2.1765</v>
      </c>
      <c r="S67" s="35" t="n">
        <v>14.64</v>
      </c>
      <c r="T67" s="18" t="n"/>
      <c r="U67" s="18" t="n"/>
      <c r="V67" s="18" t="n">
        <v>36101</v>
      </c>
      <c r="W67" s="18" t="n"/>
      <c r="X67" s="35" t="n"/>
      <c r="Y67" s="35" t="n">
        <v>14.64</v>
      </c>
    </row>
    <row r="68">
      <c r="A68" s="25" t="n">
        <v>38908</v>
      </c>
      <c r="B68" s="18" t="n">
        <v>36140</v>
      </c>
      <c r="C68" s="31" t="n"/>
      <c r="D68" s="32" t="n"/>
      <c r="E68" s="33" t="n">
        <v>-0.9085</v>
      </c>
      <c r="F68" t="inlineStr">
        <is>
          <t>Down</t>
        </is>
      </c>
      <c r="G68" t="inlineStr">
        <is>
          <t>Down</t>
        </is>
      </c>
      <c r="H68" t="inlineStr">
        <is>
          <t>ED_JD</t>
        </is>
      </c>
      <c r="I68" t="inlineStr">
        <is>
          <t>2006-07</t>
        </is>
      </c>
      <c r="J68" t="n">
        <v>1</v>
      </c>
      <c r="K68" t="n">
        <v>1</v>
      </c>
      <c r="L68" s="34">
        <f>IF($J68=1,LN(B69/B68),"")</f>
        <v/>
      </c>
      <c r="M68" s="34">
        <f>IF($K68=1,INDEX(Mensal!$D$2:$D$245,MATCH($I68,Mensal!$A$2:$A$245,0)),"")</f>
        <v/>
      </c>
      <c r="N68" s="34">
        <f>IF($K68=1,L68-M68,"")</f>
        <v/>
      </c>
      <c r="O68" s="34" t="n">
        <v>0.0005596</v>
      </c>
      <c r="P68" s="34">
        <f>IF($J68=1,LN(1+O68),"")</f>
        <v/>
      </c>
      <c r="Q68" s="34">
        <f>IF($J68=1,LN(R69/R68),"")</f>
        <v/>
      </c>
      <c r="R68" s="32" t="n">
        <v>2.175</v>
      </c>
      <c r="S68" s="35" t="n">
        <v>14.59</v>
      </c>
      <c r="T68" s="18" t="n"/>
      <c r="U68" s="18" t="n"/>
      <c r="V68" s="18" t="n">
        <v>36140</v>
      </c>
      <c r="W68" s="18" t="n"/>
      <c r="X68" s="35" t="n"/>
      <c r="Y68" s="35" t="n">
        <v>14.59</v>
      </c>
    </row>
    <row r="69">
      <c r="A69" s="25" t="n">
        <v>38909</v>
      </c>
      <c r="B69" s="18" t="n">
        <v>36553</v>
      </c>
      <c r="C69" s="31" t="n"/>
      <c r="D69" s="32" t="n"/>
      <c r="E69" s="33" t="n">
        <v>-0.9176</v>
      </c>
      <c r="F69" t="inlineStr">
        <is>
          <t>Down</t>
        </is>
      </c>
      <c r="G69" t="inlineStr">
        <is>
          <t>Down</t>
        </is>
      </c>
      <c r="H69" t="inlineStr">
        <is>
          <t>ED_JD</t>
        </is>
      </c>
      <c r="I69" t="inlineStr">
        <is>
          <t>2006-07</t>
        </is>
      </c>
      <c r="J69" t="n">
        <v>1</v>
      </c>
      <c r="K69" t="n">
        <v>1</v>
      </c>
      <c r="L69" s="34">
        <f>IF($J69=1,LN(B70/B69),"")</f>
        <v/>
      </c>
      <c r="M69" s="34">
        <f>IF($K69=1,INDEX(Mensal!$D$2:$D$245,MATCH($I69,Mensal!$A$2:$A$245,0)),"")</f>
        <v/>
      </c>
      <c r="N69" s="34">
        <f>IF($K69=1,L69-M69,"")</f>
        <v/>
      </c>
      <c r="O69" s="34" t="n">
        <v>0.0005592500000000001</v>
      </c>
      <c r="P69" s="34">
        <f>IF($J69=1,LN(1+O69),"")</f>
        <v/>
      </c>
      <c r="Q69" s="34">
        <f>IF($J69=1,LN(R70/R69),"")</f>
        <v/>
      </c>
      <c r="R69" s="32" t="n">
        <v>2.1859</v>
      </c>
      <c r="S69" s="35" t="n">
        <v>14.62</v>
      </c>
      <c r="T69" s="18" t="n"/>
      <c r="U69" s="18" t="n"/>
      <c r="V69" s="18" t="n">
        <v>36553</v>
      </c>
      <c r="W69" s="18" t="n"/>
      <c r="X69" s="35" t="n"/>
      <c r="Y69" s="35" t="n">
        <v>14.62</v>
      </c>
    </row>
    <row r="70">
      <c r="A70" s="25" t="n">
        <v>38910</v>
      </c>
      <c r="B70" s="18" t="n">
        <v>36229</v>
      </c>
      <c r="C70" s="31" t="n"/>
      <c r="D70" s="32" t="n"/>
      <c r="E70" s="33" t="n">
        <v>-0.9256</v>
      </c>
      <c r="F70" t="inlineStr">
        <is>
          <t>Down</t>
        </is>
      </c>
      <c r="G70" t="inlineStr">
        <is>
          <t>Down</t>
        </is>
      </c>
      <c r="H70" t="inlineStr">
        <is>
          <t>ED_JD</t>
        </is>
      </c>
      <c r="I70" t="inlineStr">
        <is>
          <t>2006-07</t>
        </is>
      </c>
      <c r="J70" t="n">
        <v>1</v>
      </c>
      <c r="K70" t="n">
        <v>1</v>
      </c>
      <c r="L70" s="34">
        <f>IF($J70=1,LN(B71/B70),"")</f>
        <v/>
      </c>
      <c r="M70" s="34">
        <f>IF($K70=1,INDEX(Mensal!$D$2:$D$245,MATCH($I70,Mensal!$A$2:$A$245,0)),"")</f>
        <v/>
      </c>
      <c r="N70" s="34">
        <f>IF($K70=1,L70-M70,"")</f>
        <v/>
      </c>
      <c r="O70" s="34" t="n">
        <v>0.0005596</v>
      </c>
      <c r="P70" s="34">
        <f>IF($J70=1,LN(1+O70),"")</f>
        <v/>
      </c>
      <c r="Q70" s="34">
        <f>IF($J70=1,LN(R71/R70),"")</f>
        <v/>
      </c>
      <c r="R70" s="32" t="n">
        <v>2.1915</v>
      </c>
      <c r="S70" s="35" t="n">
        <v>14.65</v>
      </c>
      <c r="T70" s="18" t="n"/>
      <c r="U70" s="18" t="n"/>
      <c r="V70" s="18" t="n">
        <v>36229</v>
      </c>
      <c r="W70" s="18" t="n"/>
      <c r="X70" s="35" t="n"/>
      <c r="Y70" s="35" t="n">
        <v>14.65</v>
      </c>
    </row>
    <row r="71">
      <c r="A71" s="25" t="n">
        <v>38911</v>
      </c>
      <c r="B71" s="18" t="n">
        <v>35354</v>
      </c>
      <c r="C71" s="31" t="n"/>
      <c r="D71" s="32" t="n"/>
      <c r="E71" s="33" t="n">
        <v>-0.9327</v>
      </c>
      <c r="F71" t="inlineStr">
        <is>
          <t>Down</t>
        </is>
      </c>
      <c r="G71" t="inlineStr">
        <is>
          <t>Down</t>
        </is>
      </c>
      <c r="H71" t="inlineStr">
        <is>
          <t>ED_JD</t>
        </is>
      </c>
      <c r="I71" t="inlineStr">
        <is>
          <t>2006-07</t>
        </is>
      </c>
      <c r="J71" t="n">
        <v>1</v>
      </c>
      <c r="K71" t="n">
        <v>1</v>
      </c>
      <c r="L71" s="34">
        <f>IF($J71=1,LN(B72/B71),"")</f>
        <v/>
      </c>
      <c r="M71" s="34">
        <f>IF($K71=1,INDEX(Mensal!$D$2:$D$245,MATCH($I71,Mensal!$A$2:$A$245,0)),"")</f>
        <v/>
      </c>
      <c r="N71" s="34">
        <f>IF($K71=1,L71-M71,"")</f>
        <v/>
      </c>
      <c r="O71" s="34" t="n">
        <v>0.0005592500000000001</v>
      </c>
      <c r="P71" s="34">
        <f>IF($J71=1,LN(1+O71),"")</f>
        <v/>
      </c>
      <c r="Q71" s="34">
        <f>IF($J71=1,LN(R72/R71),"")</f>
        <v/>
      </c>
      <c r="R71" s="32" t="n">
        <v>2.2106</v>
      </c>
      <c r="S71" s="35" t="n">
        <v>14.69</v>
      </c>
      <c r="T71" s="18" t="n"/>
      <c r="U71" s="18" t="n"/>
      <c r="V71" s="18" t="n">
        <v>35354</v>
      </c>
      <c r="W71" s="18" t="n"/>
      <c r="X71" s="35" t="n"/>
      <c r="Y71" s="35" t="n">
        <v>14.69</v>
      </c>
    </row>
    <row r="72">
      <c r="A72" s="25" t="n">
        <v>38912</v>
      </c>
      <c r="B72" s="18" t="n">
        <v>35349</v>
      </c>
      <c r="C72" s="31" t="n"/>
      <c r="D72" s="32" t="n"/>
      <c r="E72" s="33" t="n">
        <v>-0.9356</v>
      </c>
      <c r="F72" t="inlineStr">
        <is>
          <t>Down</t>
        </is>
      </c>
      <c r="G72" t="inlineStr">
        <is>
          <t>Down</t>
        </is>
      </c>
      <c r="H72" t="inlineStr">
        <is>
          <t>ED_JD</t>
        </is>
      </c>
      <c r="I72" t="inlineStr">
        <is>
          <t>2006-07</t>
        </is>
      </c>
      <c r="J72" t="n">
        <v>1</v>
      </c>
      <c r="K72" t="n">
        <v>1</v>
      </c>
      <c r="L72" s="34">
        <f>IF($J72=1,LN(B73/B72),"")</f>
        <v/>
      </c>
      <c r="M72" s="34">
        <f>IF($K72=1,INDEX(Mensal!$D$2:$D$245,MATCH($I72,Mensal!$A$2:$A$245,0)),"")</f>
        <v/>
      </c>
      <c r="N72" s="34">
        <f>IF($K72=1,L72-M72,"")</f>
        <v/>
      </c>
      <c r="O72" s="34" t="n">
        <v>0.00055891</v>
      </c>
      <c r="P72" s="34">
        <f>IF($J72=1,LN(1+O72),"")</f>
        <v/>
      </c>
      <c r="Q72" s="34">
        <f>IF($J72=1,LN(R73/R72),"")</f>
        <v/>
      </c>
      <c r="R72" s="32" t="n">
        <v>2.213</v>
      </c>
      <c r="S72" s="35" t="n">
        <v>14.63</v>
      </c>
      <c r="T72" s="18" t="n"/>
      <c r="U72" s="18" t="n"/>
      <c r="V72" s="18" t="n">
        <v>35349</v>
      </c>
      <c r="W72" s="18" t="n"/>
      <c r="X72" s="35" t="n"/>
      <c r="Y72" s="35" t="n">
        <v>14.63</v>
      </c>
    </row>
    <row r="73">
      <c r="A73" s="25" t="n">
        <v>38915</v>
      </c>
      <c r="B73" s="18" t="n">
        <v>34866</v>
      </c>
      <c r="C73" s="31" t="n"/>
      <c r="D73" s="32" t="n"/>
      <c r="E73" s="33" t="n">
        <v>-0.9566</v>
      </c>
      <c r="F73" t="inlineStr">
        <is>
          <t>Down</t>
        </is>
      </c>
      <c r="G73" t="inlineStr">
        <is>
          <t>Down</t>
        </is>
      </c>
      <c r="H73" t="inlineStr">
        <is>
          <t>ED_JD</t>
        </is>
      </c>
      <c r="I73" t="inlineStr">
        <is>
          <t>2006-07</t>
        </is>
      </c>
      <c r="J73" t="n">
        <v>1</v>
      </c>
      <c r="K73" t="n">
        <v>1</v>
      </c>
      <c r="L73" s="34">
        <f>IF($J73=1,LN(B74/B73),"")</f>
        <v/>
      </c>
      <c r="M73" s="34">
        <f>IF($K73=1,INDEX(Mensal!$D$2:$D$245,MATCH($I73,Mensal!$A$2:$A$245,0)),"")</f>
        <v/>
      </c>
      <c r="N73" s="34">
        <f>IF($K73=1,L73-M73,"")</f>
        <v/>
      </c>
      <c r="O73" s="34" t="n">
        <v>0.0005592500000000001</v>
      </c>
      <c r="P73" s="34">
        <f>IF($J73=1,LN(1+O73),"")</f>
        <v/>
      </c>
      <c r="Q73" s="34">
        <f>IF($J73=1,LN(R74/R73),"")</f>
        <v/>
      </c>
      <c r="R73" s="32" t="n">
        <v>2.2126</v>
      </c>
      <c r="S73" s="35" t="n">
        <v>14.57</v>
      </c>
      <c r="T73" s="18" t="n"/>
      <c r="U73" s="18" t="n"/>
      <c r="V73" s="18" t="n">
        <v>34866</v>
      </c>
      <c r="W73" s="18" t="n"/>
      <c r="X73" s="35" t="n"/>
      <c r="Y73" s="35" t="n">
        <v>14.57</v>
      </c>
    </row>
    <row r="74">
      <c r="A74" s="25" t="n">
        <v>38916</v>
      </c>
      <c r="B74" s="18" t="n">
        <v>35130</v>
      </c>
      <c r="C74" s="31" t="n"/>
      <c r="D74" s="32" t="n"/>
      <c r="E74" s="33" t="n">
        <v>-0.9977</v>
      </c>
      <c r="F74" t="inlineStr">
        <is>
          <t>Down</t>
        </is>
      </c>
      <c r="G74" t="inlineStr">
        <is>
          <t>Down</t>
        </is>
      </c>
      <c r="H74" t="inlineStr">
        <is>
          <t>ED_JD</t>
        </is>
      </c>
      <c r="I74" t="inlineStr">
        <is>
          <t>2006-07</t>
        </is>
      </c>
      <c r="J74" t="n">
        <v>1</v>
      </c>
      <c r="K74" t="n">
        <v>1</v>
      </c>
      <c r="L74" s="34">
        <f>IF($J74=1,LN(B75/B74),"")</f>
        <v/>
      </c>
      <c r="M74" s="34">
        <f>IF($K74=1,INDEX(Mensal!$D$2:$D$245,MATCH($I74,Mensal!$A$2:$A$245,0)),"")</f>
        <v/>
      </c>
      <c r="N74" s="34">
        <f>IF($K74=1,L74-M74,"")</f>
        <v/>
      </c>
      <c r="O74" s="34" t="n">
        <v>0.0005592500000000001</v>
      </c>
      <c r="P74" s="34">
        <f>IF($J74=1,LN(1+O74),"")</f>
        <v/>
      </c>
      <c r="Q74" s="34">
        <f>IF($J74=1,LN(R75/R74),"")</f>
        <v/>
      </c>
      <c r="R74" s="32" t="n">
        <v>2.1962</v>
      </c>
      <c r="S74" s="35" t="n">
        <v>14.55</v>
      </c>
      <c r="T74" s="18" t="n"/>
      <c r="U74" s="18" t="n"/>
      <c r="V74" s="18" t="n">
        <v>35130</v>
      </c>
      <c r="W74" s="18" t="n"/>
      <c r="X74" s="35" t="n"/>
      <c r="Y74" s="35" t="n">
        <v>14.55</v>
      </c>
    </row>
    <row r="75">
      <c r="A75" s="25" t="n">
        <v>38917</v>
      </c>
      <c r="B75" s="18" t="n">
        <v>36785</v>
      </c>
      <c r="C75" s="31" t="n"/>
      <c r="D75" s="32" t="n"/>
      <c r="E75" s="33" t="n">
        <v>-1.0343</v>
      </c>
      <c r="F75" t="inlineStr">
        <is>
          <t>Down</t>
        </is>
      </c>
      <c r="G75" t="inlineStr">
        <is>
          <t>Down</t>
        </is>
      </c>
      <c r="H75" t="inlineStr">
        <is>
          <t>ED_JD</t>
        </is>
      </c>
      <c r="I75" t="inlineStr">
        <is>
          <t>2006-07</t>
        </is>
      </c>
      <c r="J75" t="n">
        <v>1</v>
      </c>
      <c r="K75" t="n">
        <v>1</v>
      </c>
      <c r="L75" s="34">
        <f>IF($J75=1,LN(B76/B75),"")</f>
        <v/>
      </c>
      <c r="M75" s="34">
        <f>IF($K75=1,INDEX(Mensal!$D$2:$D$245,MATCH($I75,Mensal!$A$2:$A$245,0)),"")</f>
        <v/>
      </c>
      <c r="N75" s="34">
        <f>IF($K75=1,L75-M75,"")</f>
        <v/>
      </c>
      <c r="O75" s="34" t="n">
        <v>0.00055891</v>
      </c>
      <c r="P75" s="34">
        <f>IF($J75=1,LN(1+O75),"")</f>
        <v/>
      </c>
      <c r="Q75" s="34">
        <f>IF($J75=1,LN(R76/R75),"")</f>
        <v/>
      </c>
      <c r="R75" s="32" t="n">
        <v>2.181</v>
      </c>
      <c r="S75" s="35" t="n">
        <v>14.48</v>
      </c>
      <c r="T75" s="18" t="n"/>
      <c r="U75" s="18" t="n"/>
      <c r="V75" s="18" t="n">
        <v>36785</v>
      </c>
      <c r="W75" s="18" t="n"/>
      <c r="X75" s="35" t="n"/>
      <c r="Y75" s="35" t="n">
        <v>14.48</v>
      </c>
    </row>
    <row r="76">
      <c r="A76" s="25" t="n">
        <v>38918</v>
      </c>
      <c r="B76" s="18" t="n">
        <v>35846</v>
      </c>
      <c r="C76" s="31" t="n"/>
      <c r="D76" s="32" t="n"/>
      <c r="E76" s="33" t="n">
        <v>-1.0665</v>
      </c>
      <c r="F76" t="inlineStr">
        <is>
          <t>Down</t>
        </is>
      </c>
      <c r="G76" t="inlineStr">
        <is>
          <t>Down</t>
        </is>
      </c>
      <c r="H76" t="inlineStr">
        <is>
          <t>ED_JD</t>
        </is>
      </c>
      <c r="I76" t="inlineStr">
        <is>
          <t>2006-07</t>
        </is>
      </c>
      <c r="J76" t="n">
        <v>1</v>
      </c>
      <c r="K76" t="n">
        <v>1</v>
      </c>
      <c r="L76" s="34">
        <f>IF($J76=1,LN(B77/B76),"")</f>
        <v/>
      </c>
      <c r="M76" s="34">
        <f>IF($K76=1,INDEX(Mensal!$D$2:$D$245,MATCH($I76,Mensal!$A$2:$A$245,0)),"")</f>
        <v/>
      </c>
      <c r="N76" s="34">
        <f>IF($K76=1,L76-M76,"")</f>
        <v/>
      </c>
      <c r="O76" s="34" t="n">
        <v>0.00054197</v>
      </c>
      <c r="P76" s="34">
        <f>IF($J76=1,LN(1+O76),"")</f>
        <v/>
      </c>
      <c r="Q76" s="34">
        <f>IF($J76=1,LN(R77/R76),"")</f>
        <v/>
      </c>
      <c r="R76" s="32" t="n">
        <v>2.1895</v>
      </c>
      <c r="S76" s="35" t="n">
        <v>14.45</v>
      </c>
      <c r="T76" s="18" t="n"/>
      <c r="U76" s="18" t="n"/>
      <c r="V76" s="18" t="n">
        <v>35846</v>
      </c>
      <c r="W76" s="18" t="n"/>
      <c r="X76" s="35" t="n"/>
      <c r="Y76" s="35" t="n">
        <v>14.45</v>
      </c>
    </row>
    <row r="77">
      <c r="A77" s="25" t="n">
        <v>38919</v>
      </c>
      <c r="B77" s="18" t="n">
        <v>35510</v>
      </c>
      <c r="C77" s="31" t="n"/>
      <c r="D77" s="32" t="n"/>
      <c r="E77" s="33" t="n">
        <v>-1.0945</v>
      </c>
      <c r="F77" t="inlineStr">
        <is>
          <t>Down</t>
        </is>
      </c>
      <c r="G77" t="inlineStr">
        <is>
          <t>Down</t>
        </is>
      </c>
      <c r="H77" t="inlineStr">
        <is>
          <t>ED_JD</t>
        </is>
      </c>
      <c r="I77" t="inlineStr">
        <is>
          <t>2006-07</t>
        </is>
      </c>
      <c r="J77" t="n">
        <v>1</v>
      </c>
      <c r="K77" t="n">
        <v>1</v>
      </c>
      <c r="L77" s="34">
        <f>IF($J77=1,LN(B78/B77),"")</f>
        <v/>
      </c>
      <c r="M77" s="34">
        <f>IF($K77=1,INDEX(Mensal!$D$2:$D$245,MATCH($I77,Mensal!$A$2:$A$245,0)),"")</f>
        <v/>
      </c>
      <c r="N77" s="34">
        <f>IF($K77=1,L77-M77,"")</f>
        <v/>
      </c>
      <c r="O77" s="34" t="n">
        <v>0.00054162</v>
      </c>
      <c r="P77" s="34">
        <f>IF($J77=1,LN(1+O77),"")</f>
        <v/>
      </c>
      <c r="Q77" s="34">
        <f>IF($J77=1,LN(R78/R77),"")</f>
        <v/>
      </c>
      <c r="R77" s="32" t="n">
        <v>2.1935</v>
      </c>
      <c r="S77" s="35" t="n">
        <v>14.48</v>
      </c>
      <c r="T77" s="18" t="n"/>
      <c r="U77" s="18" t="n"/>
      <c r="V77" s="18" t="n">
        <v>35510</v>
      </c>
      <c r="W77" s="18" t="n"/>
      <c r="X77" s="35" t="n"/>
      <c r="Y77" s="35" t="n">
        <v>14.48</v>
      </c>
    </row>
    <row r="78">
      <c r="A78" s="25" t="n">
        <v>38922</v>
      </c>
      <c r="B78" s="18" t="n">
        <v>36224</v>
      </c>
      <c r="C78" s="31" t="n"/>
      <c r="D78" s="32" t="n"/>
      <c r="E78" s="33" t="n">
        <v>-1.116</v>
      </c>
      <c r="F78" t="inlineStr">
        <is>
          <t>Down</t>
        </is>
      </c>
      <c r="G78" t="inlineStr">
        <is>
          <t>Down</t>
        </is>
      </c>
      <c r="H78" t="inlineStr">
        <is>
          <t>ED_JD</t>
        </is>
      </c>
      <c r="I78" t="inlineStr">
        <is>
          <t>2006-07</t>
        </is>
      </c>
      <c r="J78" t="n">
        <v>1</v>
      </c>
      <c r="K78" t="n">
        <v>1</v>
      </c>
      <c r="L78" s="34">
        <f>IF($J78=1,LN(B79/B78),"")</f>
        <v/>
      </c>
      <c r="M78" s="34">
        <f>IF($K78=1,INDEX(Mensal!$D$2:$D$245,MATCH($I78,Mensal!$A$2:$A$245,0)),"")</f>
        <v/>
      </c>
      <c r="N78" s="34">
        <f>IF($K78=1,L78-M78,"")</f>
        <v/>
      </c>
      <c r="O78" s="34" t="n">
        <v>0.00054128</v>
      </c>
      <c r="P78" s="34">
        <f>IF($J78=1,LN(1+O78),"")</f>
        <v/>
      </c>
      <c r="Q78" s="34">
        <f>IF($J78=1,LN(R79/R78),"")</f>
        <v/>
      </c>
      <c r="R78" s="32" t="n">
        <v>2.1916</v>
      </c>
      <c r="S78" s="35" t="n">
        <v>14.47</v>
      </c>
      <c r="T78" s="18" t="n"/>
      <c r="U78" s="18" t="n"/>
      <c r="V78" s="18" t="n">
        <v>36224</v>
      </c>
      <c r="W78" s="18" t="n"/>
      <c r="X78" s="35" t="n"/>
      <c r="Y78" s="35" t="n">
        <v>14.47</v>
      </c>
    </row>
    <row r="79">
      <c r="A79" s="25" t="n">
        <v>38923</v>
      </c>
      <c r="B79" s="18" t="n">
        <v>36680</v>
      </c>
      <c r="C79" s="31" t="n"/>
      <c r="D79" s="32" t="n"/>
      <c r="E79" s="33" t="n">
        <v>-1.13</v>
      </c>
      <c r="F79" t="inlineStr">
        <is>
          <t>Down</t>
        </is>
      </c>
      <c r="G79" t="inlineStr">
        <is>
          <t>Down</t>
        </is>
      </c>
      <c r="H79" t="inlineStr">
        <is>
          <t>ED_JD</t>
        </is>
      </c>
      <c r="I79" t="inlineStr">
        <is>
          <t>2006-07</t>
        </is>
      </c>
      <c r="J79" t="n">
        <v>1</v>
      </c>
      <c r="K79" t="n">
        <v>1</v>
      </c>
      <c r="L79" s="34">
        <f>IF($J79=1,LN(B80/B79),"")</f>
        <v/>
      </c>
      <c r="M79" s="34">
        <f>IF($K79=1,INDEX(Mensal!$D$2:$D$245,MATCH($I79,Mensal!$A$2:$A$245,0)),"")</f>
        <v/>
      </c>
      <c r="N79" s="34">
        <f>IF($K79=1,L79-M79,"")</f>
        <v/>
      </c>
      <c r="O79" s="34" t="n">
        <v>0.00054128</v>
      </c>
      <c r="P79" s="34">
        <f>IF($J79=1,LN(1+O79),"")</f>
        <v/>
      </c>
      <c r="Q79" s="34">
        <f>IF($J79=1,LN(R80/R79),"")</f>
        <v/>
      </c>
      <c r="R79" s="32" t="n">
        <v>2.1993</v>
      </c>
      <c r="S79" s="35" t="n">
        <v>14.46</v>
      </c>
      <c r="T79" s="18" t="n"/>
      <c r="U79" s="18" t="n"/>
      <c r="V79" s="18" t="n">
        <v>36680</v>
      </c>
      <c r="W79" s="18" t="n"/>
      <c r="X79" s="35" t="n"/>
      <c r="Y79" s="35" t="n">
        <v>14.46</v>
      </c>
    </row>
    <row r="80">
      <c r="A80" s="25" t="n">
        <v>38924</v>
      </c>
      <c r="B80" s="18" t="n">
        <v>36594</v>
      </c>
      <c r="C80" s="31" t="n"/>
      <c r="D80" s="32" t="n"/>
      <c r="E80" s="33" t="n">
        <v>-1.1461</v>
      </c>
      <c r="F80" t="inlineStr">
        <is>
          <t>Down</t>
        </is>
      </c>
      <c r="G80" t="inlineStr">
        <is>
          <t>Down</t>
        </is>
      </c>
      <c r="H80" t="inlineStr">
        <is>
          <t>ED_JD</t>
        </is>
      </c>
      <c r="I80" t="inlineStr">
        <is>
          <t>2006-07</t>
        </is>
      </c>
      <c r="J80" t="n">
        <v>1</v>
      </c>
      <c r="K80" t="n">
        <v>1</v>
      </c>
      <c r="L80" s="34">
        <f>IF($J80=1,LN(B81/B80),"")</f>
        <v/>
      </c>
      <c r="M80" s="34">
        <f>IF($K80=1,INDEX(Mensal!$D$2:$D$245,MATCH($I80,Mensal!$A$2:$A$245,0)),"")</f>
        <v/>
      </c>
      <c r="N80" s="34">
        <f>IF($K80=1,L80-M80,"")</f>
        <v/>
      </c>
      <c r="O80" s="34" t="n">
        <v>0.00054093</v>
      </c>
      <c r="P80" s="34">
        <f>IF($J80=1,LN(1+O80),"")</f>
        <v/>
      </c>
      <c r="Q80" s="34">
        <f>IF($J80=1,LN(R81/R80),"")</f>
        <v/>
      </c>
      <c r="R80" s="32" t="n">
        <v>2.1984</v>
      </c>
      <c r="S80" s="35" t="n">
        <v>14.45</v>
      </c>
      <c r="T80" s="18" t="n"/>
      <c r="U80" s="18" t="n"/>
      <c r="V80" s="18" t="n">
        <v>36594</v>
      </c>
      <c r="W80" s="18" t="n"/>
      <c r="X80" s="35" t="n"/>
      <c r="Y80" s="35" t="n">
        <v>14.45</v>
      </c>
    </row>
    <row r="81">
      <c r="A81" s="25" t="n">
        <v>38925</v>
      </c>
      <c r="B81" s="18" t="n">
        <v>36887</v>
      </c>
      <c r="C81" s="31" t="n"/>
      <c r="D81" s="32" t="n"/>
      <c r="E81" s="33" t="n">
        <v>-1.1575</v>
      </c>
      <c r="F81" t="inlineStr">
        <is>
          <t>Down</t>
        </is>
      </c>
      <c r="G81" t="inlineStr">
        <is>
          <t>Down</t>
        </is>
      </c>
      <c r="H81" t="inlineStr">
        <is>
          <t>ED_JD</t>
        </is>
      </c>
      <c r="I81" t="inlineStr">
        <is>
          <t>2006-07</t>
        </is>
      </c>
      <c r="J81" t="n">
        <v>1</v>
      </c>
      <c r="K81" t="n">
        <v>1</v>
      </c>
      <c r="L81" s="34">
        <f>IF($J81=1,LN(B82/B81),"")</f>
        <v/>
      </c>
      <c r="M81" s="34">
        <f>IF($K81=1,INDEX(Mensal!$D$2:$D$245,MATCH($I81,Mensal!$A$2:$A$245,0)),"")</f>
        <v/>
      </c>
      <c r="N81" s="34">
        <f>IF($K81=1,L81-M81,"")</f>
        <v/>
      </c>
      <c r="O81" s="34" t="n">
        <v>0.00054058</v>
      </c>
      <c r="P81" s="34">
        <f>IF($J81=1,LN(1+O81),"")</f>
        <v/>
      </c>
      <c r="Q81" s="34">
        <f>IF($J81=1,LN(R82/R81),"")</f>
        <v/>
      </c>
      <c r="R81" s="32" t="n">
        <v>2.1899</v>
      </c>
      <c r="S81" s="35" t="n">
        <v>14.49</v>
      </c>
      <c r="T81" s="18" t="n"/>
      <c r="U81" s="18" t="n"/>
      <c r="V81" s="18" t="n">
        <v>36887</v>
      </c>
      <c r="W81" s="18" t="n"/>
      <c r="X81" s="35" t="n"/>
      <c r="Y81" s="35" t="n">
        <v>14.49</v>
      </c>
    </row>
    <row r="82">
      <c r="A82" s="25" t="n">
        <v>38926</v>
      </c>
      <c r="B82" s="18" t="n">
        <v>37381</v>
      </c>
      <c r="C82" s="31" t="n"/>
      <c r="D82" s="32" t="n"/>
      <c r="E82" s="33" t="n">
        <v>-1.1675</v>
      </c>
      <c r="F82" t="inlineStr">
        <is>
          <t>Down</t>
        </is>
      </c>
      <c r="G82" t="inlineStr">
        <is>
          <t>Down</t>
        </is>
      </c>
      <c r="H82" t="inlineStr">
        <is>
          <t>ED_JD</t>
        </is>
      </c>
      <c r="I82" t="inlineStr">
        <is>
          <t>2006-07</t>
        </is>
      </c>
      <c r="J82" t="n">
        <v>1</v>
      </c>
      <c r="K82" t="n">
        <v>1</v>
      </c>
      <c r="L82" s="34">
        <f>IF($J82=1,LN(B83/B82),"")</f>
        <v/>
      </c>
      <c r="M82" s="34">
        <f>IF($K82=1,INDEX(Mensal!$D$2:$D$245,MATCH($I82,Mensal!$A$2:$A$245,0)),"")</f>
        <v/>
      </c>
      <c r="N82" s="34">
        <f>IF($K82=1,L82-M82,"")</f>
        <v/>
      </c>
      <c r="O82" s="34" t="n">
        <v>0.00054058</v>
      </c>
      <c r="P82" s="34">
        <f>IF($J82=1,LN(1+O82),"")</f>
        <v/>
      </c>
      <c r="Q82" s="34">
        <f>IF($J82=1,LN(R83/R82),"")</f>
        <v/>
      </c>
      <c r="R82" s="32" t="n">
        <v>2.18</v>
      </c>
      <c r="S82" s="35" t="n">
        <v>14.46</v>
      </c>
      <c r="T82" s="18" t="n"/>
      <c r="U82" s="18" t="n"/>
      <c r="V82" s="18" t="n">
        <v>37381</v>
      </c>
      <c r="W82" s="18" t="n"/>
      <c r="X82" s="35" t="n"/>
      <c r="Y82" s="35" t="n">
        <v>14.46</v>
      </c>
    </row>
    <row r="83">
      <c r="A83" s="25" t="n">
        <v>38929</v>
      </c>
      <c r="B83" s="18" t="n">
        <v>37077</v>
      </c>
      <c r="C83" s="31" t="n"/>
      <c r="D83" s="32" t="n"/>
      <c r="E83" s="33" t="n">
        <v>-1.1658</v>
      </c>
      <c r="F83" t="inlineStr">
        <is>
          <t>Down</t>
        </is>
      </c>
      <c r="G83" t="inlineStr">
        <is>
          <t>Down</t>
        </is>
      </c>
      <c r="H83" t="inlineStr">
        <is>
          <t>ED_JD</t>
        </is>
      </c>
      <c r="I83" t="inlineStr">
        <is>
          <t>2006-07</t>
        </is>
      </c>
      <c r="J83" t="n">
        <v>1</v>
      </c>
      <c r="K83" t="n">
        <v>1</v>
      </c>
      <c r="L83" s="34">
        <f>IF($J83=1,LN(B84/B83),"")</f>
        <v/>
      </c>
      <c r="M83" s="34">
        <f>IF($K83=1,INDEX(Mensal!$D$2:$D$245,MATCH($I83,Mensal!$A$2:$A$245,0)),"")</f>
        <v/>
      </c>
      <c r="N83" s="34">
        <f>IF($K83=1,L83-M83,"")</f>
        <v/>
      </c>
      <c r="O83" s="34" t="n">
        <v>0.00054197</v>
      </c>
      <c r="P83" s="34">
        <f>IF($J83=1,LN(1+O83),"")</f>
        <v/>
      </c>
      <c r="Q83" s="34">
        <f>IF($J83=1,LN(R84/R83),"")</f>
        <v/>
      </c>
      <c r="R83" s="32" t="n">
        <v>2.1762</v>
      </c>
      <c r="S83" s="35" t="n">
        <v>14.48</v>
      </c>
      <c r="T83" s="18" t="n"/>
      <c r="U83" s="18" t="n"/>
      <c r="V83" s="18" t="n">
        <v>37077</v>
      </c>
      <c r="W83" s="18" t="n"/>
      <c r="X83" s="35" t="n"/>
      <c r="Y83" s="35" t="n">
        <v>14.48</v>
      </c>
    </row>
    <row r="84">
      <c r="A84" s="25" t="n">
        <v>38930</v>
      </c>
      <c r="B84" s="18" t="n">
        <v>36839</v>
      </c>
      <c r="C84" s="31" t="n"/>
      <c r="D84" s="32" t="n"/>
      <c r="E84" s="33" t="n">
        <v>-1.1612</v>
      </c>
      <c r="F84" t="inlineStr">
        <is>
          <t>Down</t>
        </is>
      </c>
      <c r="G84" t="inlineStr">
        <is>
          <t>Down</t>
        </is>
      </c>
      <c r="H84" t="inlineStr">
        <is>
          <t>ED_JD</t>
        </is>
      </c>
      <c r="I84" t="inlineStr">
        <is>
          <t>2006-08</t>
        </is>
      </c>
      <c r="J84" t="n">
        <v>1</v>
      </c>
      <c r="K84" t="n">
        <v>1</v>
      </c>
      <c r="L84" s="34">
        <f>IF($J84=1,LN(B85/B84),"")</f>
        <v/>
      </c>
      <c r="M84" s="34">
        <f>IF($K84=1,INDEX(Mensal!$D$2:$D$245,MATCH($I84,Mensal!$A$2:$A$245,0)),"")</f>
        <v/>
      </c>
      <c r="N84" s="34">
        <f>IF($K84=1,L84-M84,"")</f>
        <v/>
      </c>
      <c r="O84" s="34" t="n">
        <v>0.00054128</v>
      </c>
      <c r="P84" s="34">
        <f>IF($J84=1,LN(1+O84),"")</f>
        <v/>
      </c>
      <c r="Q84" s="34">
        <f>IF($J84=1,LN(R85/R84),"")</f>
        <v/>
      </c>
      <c r="R84" s="32" t="n">
        <v>2.1905</v>
      </c>
      <c r="S84" s="35" t="n">
        <v>14.51</v>
      </c>
      <c r="T84" s="18" t="n"/>
      <c r="U84" s="18" t="n"/>
      <c r="V84" s="18" t="n">
        <v>36839</v>
      </c>
      <c r="W84" s="18" t="n"/>
      <c r="X84" s="35" t="n"/>
      <c r="Y84" s="35" t="n">
        <v>14.51</v>
      </c>
    </row>
    <row r="85">
      <c r="A85" s="25" t="n">
        <v>38931</v>
      </c>
      <c r="B85" s="18" t="n">
        <v>37288</v>
      </c>
      <c r="C85" s="31" t="n"/>
      <c r="D85" s="32" t="n"/>
      <c r="E85" s="33" t="n">
        <v>-1.1205</v>
      </c>
      <c r="F85" t="inlineStr">
        <is>
          <t>Down</t>
        </is>
      </c>
      <c r="G85" t="inlineStr">
        <is>
          <t>Down</t>
        </is>
      </c>
      <c r="H85" t="inlineStr">
        <is>
          <t>ED_JD</t>
        </is>
      </c>
      <c r="I85" t="inlineStr">
        <is>
          <t>2006-08</t>
        </is>
      </c>
      <c r="J85" t="n">
        <v>1</v>
      </c>
      <c r="K85" t="n">
        <v>1</v>
      </c>
      <c r="L85" s="34">
        <f>IF($J85=1,LN(B86/B85),"")</f>
        <v/>
      </c>
      <c r="M85" s="34">
        <f>IF($K85=1,INDEX(Mensal!$D$2:$D$245,MATCH($I85,Mensal!$A$2:$A$245,0)),"")</f>
        <v/>
      </c>
      <c r="N85" s="34">
        <f>IF($K85=1,L85-M85,"")</f>
        <v/>
      </c>
      <c r="O85" s="34" t="n">
        <v>0.00054128</v>
      </c>
      <c r="P85" s="34">
        <f>IF($J85=1,LN(1+O85),"")</f>
        <v/>
      </c>
      <c r="Q85" s="34">
        <f>IF($J85=1,LN(R86/R85),"")</f>
        <v/>
      </c>
      <c r="R85" s="32" t="n">
        <v>2.1821</v>
      </c>
      <c r="S85" s="35" t="n">
        <v>14.48</v>
      </c>
      <c r="T85" s="18" t="n"/>
      <c r="U85" s="18" t="n"/>
      <c r="V85" s="18" t="n">
        <v>37288</v>
      </c>
      <c r="W85" s="18" t="n"/>
      <c r="X85" s="35" t="n"/>
      <c r="Y85" s="35" t="n">
        <v>14.48</v>
      </c>
    </row>
    <row r="86">
      <c r="A86" s="25" t="n">
        <v>38932</v>
      </c>
      <c r="B86" s="18" t="n">
        <v>37451</v>
      </c>
      <c r="C86" s="31" t="n"/>
      <c r="D86" s="32" t="n"/>
      <c r="E86" s="33" t="n">
        <v>-1.0872</v>
      </c>
      <c r="F86" t="inlineStr">
        <is>
          <t>Down</t>
        </is>
      </c>
      <c r="G86" t="inlineStr">
        <is>
          <t>Down</t>
        </is>
      </c>
      <c r="H86" t="inlineStr">
        <is>
          <t>ED_JD</t>
        </is>
      </c>
      <c r="I86" t="inlineStr">
        <is>
          <t>2006-08</t>
        </is>
      </c>
      <c r="J86" t="n">
        <v>1</v>
      </c>
      <c r="K86" t="n">
        <v>1</v>
      </c>
      <c r="L86" s="34">
        <f>IF($J86=1,LN(B87/B86),"")</f>
        <v/>
      </c>
      <c r="M86" s="34">
        <f>IF($K86=1,INDEX(Mensal!$D$2:$D$245,MATCH($I86,Mensal!$A$2:$A$245,0)),"")</f>
        <v/>
      </c>
      <c r="N86" s="34">
        <f>IF($K86=1,L86-M86,"")</f>
        <v/>
      </c>
      <c r="O86" s="34" t="n">
        <v>0.00054128</v>
      </c>
      <c r="P86" s="34">
        <f>IF($J86=1,LN(1+O86),"")</f>
        <v/>
      </c>
      <c r="Q86" s="34">
        <f>IF($J86=1,LN(R87/R86),"")</f>
        <v/>
      </c>
      <c r="R86" s="32" t="n">
        <v>2.1835</v>
      </c>
      <c r="S86" s="35" t="n">
        <v>14.46</v>
      </c>
      <c r="T86" s="18" t="n"/>
      <c r="U86" s="18" t="n"/>
      <c r="V86" s="18" t="n">
        <v>37451</v>
      </c>
      <c r="W86" s="18" t="n"/>
      <c r="X86" s="35" t="n"/>
      <c r="Y86" s="35" t="n">
        <v>14.46</v>
      </c>
    </row>
    <row r="87">
      <c r="A87" s="25" t="n">
        <v>38933</v>
      </c>
      <c r="B87" s="18" t="n">
        <v>37847</v>
      </c>
      <c r="C87" s="31" t="n"/>
      <c r="D87" s="32" t="n"/>
      <c r="E87" s="33" t="n">
        <v>-1.0519</v>
      </c>
      <c r="F87" t="inlineStr">
        <is>
          <t>Down</t>
        </is>
      </c>
      <c r="G87" t="inlineStr">
        <is>
          <t>Down</t>
        </is>
      </c>
      <c r="H87" t="inlineStr">
        <is>
          <t>ED_JD</t>
        </is>
      </c>
      <c r="I87" t="inlineStr">
        <is>
          <t>2006-08</t>
        </is>
      </c>
      <c r="J87" t="n">
        <v>1</v>
      </c>
      <c r="K87" t="n">
        <v>1</v>
      </c>
      <c r="L87" s="34">
        <f>IF($J87=1,LN(B88/B87),"")</f>
        <v/>
      </c>
      <c r="M87" s="34">
        <f>IF($K87=1,INDEX(Mensal!$D$2:$D$245,MATCH($I87,Mensal!$A$2:$A$245,0)),"")</f>
        <v/>
      </c>
      <c r="N87" s="34">
        <f>IF($K87=1,L87-M87,"")</f>
        <v/>
      </c>
      <c r="O87" s="34" t="n">
        <v>0.00054128</v>
      </c>
      <c r="P87" s="34">
        <f>IF($J87=1,LN(1+O87),"")</f>
        <v/>
      </c>
      <c r="Q87" s="34">
        <f>IF($J87=1,LN(R88/R87),"")</f>
        <v/>
      </c>
      <c r="R87" s="32" t="n">
        <v>2.172</v>
      </c>
      <c r="S87" s="35" t="n">
        <v>14.43</v>
      </c>
      <c r="T87" s="18" t="n"/>
      <c r="U87" s="18" t="n"/>
      <c r="V87" s="18" t="n">
        <v>37847</v>
      </c>
      <c r="W87" s="18" t="n"/>
      <c r="X87" s="35" t="n"/>
      <c r="Y87" s="35" t="n">
        <v>14.43</v>
      </c>
    </row>
    <row r="88">
      <c r="A88" s="25" t="n">
        <v>38936</v>
      </c>
      <c r="B88" s="18" t="n">
        <v>37697</v>
      </c>
      <c r="C88" s="31" t="n"/>
      <c r="D88" s="32" t="n"/>
      <c r="E88" s="33" t="n">
        <v>-1.0228</v>
      </c>
      <c r="F88" t="inlineStr">
        <is>
          <t>Down</t>
        </is>
      </c>
      <c r="G88" t="inlineStr">
        <is>
          <t>Down</t>
        </is>
      </c>
      <c r="H88" t="inlineStr">
        <is>
          <t>ED_JD</t>
        </is>
      </c>
      <c r="I88" t="inlineStr">
        <is>
          <t>2006-08</t>
        </is>
      </c>
      <c r="J88" t="n">
        <v>1</v>
      </c>
      <c r="K88" t="n">
        <v>1</v>
      </c>
      <c r="L88" s="34">
        <f>IF($J88=1,LN(B89/B88),"")</f>
        <v/>
      </c>
      <c r="M88" s="34">
        <f>IF($K88=1,INDEX(Mensal!$D$2:$D$245,MATCH($I88,Mensal!$A$2:$A$245,0)),"")</f>
        <v/>
      </c>
      <c r="N88" s="34">
        <f>IF($K88=1,L88-M88,"")</f>
        <v/>
      </c>
      <c r="O88" s="34" t="n">
        <v>0.00054093</v>
      </c>
      <c r="P88" s="34">
        <f>IF($J88=1,LN(1+O88),"")</f>
        <v/>
      </c>
      <c r="Q88" s="34">
        <f>IF($J88=1,LN(R89/R88),"")</f>
        <v/>
      </c>
      <c r="R88" s="32" t="n">
        <v>2.1793</v>
      </c>
      <c r="S88" s="35" t="n">
        <v>14.39</v>
      </c>
      <c r="T88" s="18" t="n"/>
      <c r="U88" s="18" t="n"/>
      <c r="V88" s="18" t="n">
        <v>37697</v>
      </c>
      <c r="W88" s="18" t="n"/>
      <c r="X88" s="35" t="n"/>
      <c r="Y88" s="35" t="n">
        <v>14.39</v>
      </c>
    </row>
    <row r="89">
      <c r="A89" s="25" t="n">
        <v>38937</v>
      </c>
      <c r="B89" s="18" t="n">
        <v>37600</v>
      </c>
      <c r="C89" s="31" t="n"/>
      <c r="D89" s="32" t="n"/>
      <c r="E89" s="33" t="n">
        <v>-0.9808</v>
      </c>
      <c r="F89" t="inlineStr">
        <is>
          <t>Down</t>
        </is>
      </c>
      <c r="G89" t="inlineStr">
        <is>
          <t>Down</t>
        </is>
      </c>
      <c r="H89" t="inlineStr">
        <is>
          <t>ED_JD</t>
        </is>
      </c>
      <c r="I89" t="inlineStr">
        <is>
          <t>2006-08</t>
        </is>
      </c>
      <c r="J89" t="n">
        <v>1</v>
      </c>
      <c r="K89" t="n">
        <v>1</v>
      </c>
      <c r="L89" s="34">
        <f>IF($J89=1,LN(B90/B89),"")</f>
        <v/>
      </c>
      <c r="M89" s="34">
        <f>IF($K89=1,INDEX(Mensal!$D$2:$D$245,MATCH($I89,Mensal!$A$2:$A$245,0)),"")</f>
        <v/>
      </c>
      <c r="N89" s="34">
        <f>IF($K89=1,L89-M89,"")</f>
        <v/>
      </c>
      <c r="O89" s="34" t="n">
        <v>0.00054128</v>
      </c>
      <c r="P89" s="34">
        <f>IF($J89=1,LN(1+O89),"")</f>
        <v/>
      </c>
      <c r="Q89" s="34">
        <f>IF($J89=1,LN(R90/R89),"")</f>
        <v/>
      </c>
      <c r="R89" s="32" t="n">
        <v>2.1839</v>
      </c>
      <c r="S89" s="35" t="n">
        <v>14.34</v>
      </c>
      <c r="T89" s="18" t="n"/>
      <c r="U89" s="18" t="n"/>
      <c r="V89" s="18" t="n">
        <v>37600</v>
      </c>
      <c r="W89" s="18" t="n"/>
      <c r="X89" s="35" t="n"/>
      <c r="Y89" s="35" t="n">
        <v>14.34</v>
      </c>
    </row>
    <row r="90">
      <c r="A90" s="25" t="n">
        <v>38938</v>
      </c>
      <c r="B90" s="18" t="n">
        <v>37255</v>
      </c>
      <c r="C90" s="31" t="n"/>
      <c r="D90" s="32" t="n"/>
      <c r="E90" s="33" t="n">
        <v>-0.9358</v>
      </c>
      <c r="F90" t="inlineStr">
        <is>
          <t>Down</t>
        </is>
      </c>
      <c r="G90" t="inlineStr">
        <is>
          <t>Down</t>
        </is>
      </c>
      <c r="H90" t="inlineStr">
        <is>
          <t>ED_JD</t>
        </is>
      </c>
      <c r="I90" t="inlineStr">
        <is>
          <t>2006-08</t>
        </is>
      </c>
      <c r="J90" t="n">
        <v>1</v>
      </c>
      <c r="K90" t="n">
        <v>1</v>
      </c>
      <c r="L90" s="34">
        <f>IF($J90=1,LN(B91/B90),"")</f>
        <v/>
      </c>
      <c r="M90" s="34">
        <f>IF($K90=1,INDEX(Mensal!$D$2:$D$245,MATCH($I90,Mensal!$A$2:$A$245,0)),"")</f>
        <v/>
      </c>
      <c r="N90" s="34">
        <f>IF($K90=1,L90-M90,"")</f>
        <v/>
      </c>
      <c r="O90" s="34" t="n">
        <v>0.00054128</v>
      </c>
      <c r="P90" s="34">
        <f>IF($J90=1,LN(1+O90),"")</f>
        <v/>
      </c>
      <c r="Q90" s="34">
        <f>IF($J90=1,LN(R91/R90),"")</f>
        <v/>
      </c>
      <c r="R90" s="32" t="n">
        <v>2.1687</v>
      </c>
      <c r="S90" s="35" t="n">
        <v>14.36</v>
      </c>
      <c r="T90" s="18" t="n"/>
      <c r="U90" s="18" t="n"/>
      <c r="V90" s="18" t="n">
        <v>37255</v>
      </c>
      <c r="W90" s="18" t="n"/>
      <c r="X90" s="35" t="n"/>
      <c r="Y90" s="35" t="n">
        <v>14.36</v>
      </c>
    </row>
    <row r="91">
      <c r="A91" s="25" t="n">
        <v>38939</v>
      </c>
      <c r="B91" s="18" t="n">
        <v>37353</v>
      </c>
      <c r="C91" s="31" t="n"/>
      <c r="D91" s="32" t="n"/>
      <c r="E91" s="33" t="n">
        <v>-0.8893</v>
      </c>
      <c r="F91" t="inlineStr">
        <is>
          <t>Down</t>
        </is>
      </c>
      <c r="G91" t="inlineStr">
        <is>
          <t>Down</t>
        </is>
      </c>
      <c r="H91" t="inlineStr">
        <is>
          <t>ED_JD</t>
        </is>
      </c>
      <c r="I91" t="inlineStr">
        <is>
          <t>2006-08</t>
        </is>
      </c>
      <c r="J91" t="n">
        <v>1</v>
      </c>
      <c r="K91" t="n">
        <v>1</v>
      </c>
      <c r="L91" s="34">
        <f>IF($J91=1,LN(B92/B91),"")</f>
        <v/>
      </c>
      <c r="M91" s="34">
        <f>IF($K91=1,INDEX(Mensal!$D$2:$D$245,MATCH($I91,Mensal!$A$2:$A$245,0)),"")</f>
        <v/>
      </c>
      <c r="N91" s="34">
        <f>IF($K91=1,L91-M91,"")</f>
        <v/>
      </c>
      <c r="O91" s="34" t="n">
        <v>0.00054093</v>
      </c>
      <c r="P91" s="34">
        <f>IF($J91=1,LN(1+O91),"")</f>
        <v/>
      </c>
      <c r="Q91" s="34">
        <f>IF($J91=1,LN(R92/R91),"")</f>
        <v/>
      </c>
      <c r="R91" s="32" t="n">
        <v>2.1628</v>
      </c>
      <c r="S91" s="35" t="n">
        <v>14.35</v>
      </c>
      <c r="T91" s="18" t="n"/>
      <c r="U91" s="18" t="n"/>
      <c r="V91" s="18" t="n">
        <v>37353</v>
      </c>
      <c r="W91" s="18" t="n"/>
      <c r="X91" s="35" t="n"/>
      <c r="Y91" s="35" t="n">
        <v>14.35</v>
      </c>
    </row>
    <row r="92">
      <c r="A92" s="25" t="n">
        <v>38940</v>
      </c>
      <c r="B92" s="18" t="n">
        <v>36944</v>
      </c>
      <c r="C92" s="31" t="n"/>
      <c r="D92" s="32" t="n"/>
      <c r="E92" s="33" t="n">
        <v>-0.8437</v>
      </c>
      <c r="F92" t="inlineStr">
        <is>
          <t>Down</t>
        </is>
      </c>
      <c r="G92" t="inlineStr">
        <is>
          <t>Down</t>
        </is>
      </c>
      <c r="H92" t="inlineStr">
        <is>
          <t>ED_JD</t>
        </is>
      </c>
      <c r="I92" t="inlineStr">
        <is>
          <t>2006-08</t>
        </is>
      </c>
      <c r="J92" t="n">
        <v>1</v>
      </c>
      <c r="K92" t="n">
        <v>1</v>
      </c>
      <c r="L92" s="34">
        <f>IF($J92=1,LN(B93/B92),"")</f>
        <v/>
      </c>
      <c r="M92" s="34">
        <f>IF($K92=1,INDEX(Mensal!$D$2:$D$245,MATCH($I92,Mensal!$A$2:$A$245,0)),"")</f>
        <v/>
      </c>
      <c r="N92" s="34">
        <f>IF($K92=1,L92-M92,"")</f>
        <v/>
      </c>
      <c r="O92" s="34" t="n">
        <v>0.00054162</v>
      </c>
      <c r="P92" s="34">
        <f>IF($J92=1,LN(1+O92),"")</f>
        <v/>
      </c>
      <c r="Q92" s="34">
        <f>IF($J92=1,LN(R93/R92),"")</f>
        <v/>
      </c>
      <c r="R92" s="32" t="n">
        <v>2.1616</v>
      </c>
      <c r="S92" s="35" t="n">
        <v>14.35</v>
      </c>
      <c r="T92" s="18" t="n"/>
      <c r="U92" s="18" t="n"/>
      <c r="V92" s="18" t="n">
        <v>36944</v>
      </c>
      <c r="W92" s="18" t="n"/>
      <c r="X92" s="35" t="n"/>
      <c r="Y92" s="35" t="n">
        <v>14.35</v>
      </c>
    </row>
    <row r="93">
      <c r="A93" s="25" t="n">
        <v>38943</v>
      </c>
      <c r="B93" s="18" t="n">
        <v>36556</v>
      </c>
      <c r="C93" s="31" t="n"/>
      <c r="D93" s="32" t="n"/>
      <c r="E93" s="33" t="n">
        <v>-0.777</v>
      </c>
      <c r="F93" t="inlineStr">
        <is>
          <t>Down</t>
        </is>
      </c>
      <c r="G93" t="inlineStr">
        <is>
          <t>Down</t>
        </is>
      </c>
      <c r="H93" t="inlineStr">
        <is>
          <t>ED_JD</t>
        </is>
      </c>
      <c r="I93" t="inlineStr">
        <is>
          <t>2006-08</t>
        </is>
      </c>
      <c r="J93" t="n">
        <v>1</v>
      </c>
      <c r="K93" t="n">
        <v>1</v>
      </c>
      <c r="L93" s="34">
        <f>IF($J93=1,LN(B94/B93),"")</f>
        <v/>
      </c>
      <c r="M93" s="34">
        <f>IF($K93=1,INDEX(Mensal!$D$2:$D$245,MATCH($I93,Mensal!$A$2:$A$245,0)),"")</f>
        <v/>
      </c>
      <c r="N93" s="34">
        <f>IF($K93=1,L93-M93,"")</f>
        <v/>
      </c>
      <c r="O93" s="34" t="n">
        <v>0.00054197</v>
      </c>
      <c r="P93" s="34">
        <f>IF($J93=1,LN(1+O93),"")</f>
        <v/>
      </c>
      <c r="Q93" s="34">
        <f>IF($J93=1,LN(R94/R93),"")</f>
        <v/>
      </c>
      <c r="R93" s="32" t="n">
        <v>2.1605</v>
      </c>
      <c r="S93" s="35" t="n">
        <v>14.37</v>
      </c>
      <c r="T93" s="18" t="n"/>
      <c r="U93" s="18" t="n"/>
      <c r="V93" s="18" t="n">
        <v>36556</v>
      </c>
      <c r="W93" s="18" t="n"/>
      <c r="X93" s="35" t="n"/>
      <c r="Y93" s="35" t="n">
        <v>14.37</v>
      </c>
    </row>
    <row r="94">
      <c r="A94" s="25" t="n">
        <v>38944</v>
      </c>
      <c r="B94" s="18" t="n">
        <v>37295</v>
      </c>
      <c r="C94" s="31" t="n"/>
      <c r="D94" s="32" t="n"/>
      <c r="E94" s="33" t="n">
        <v>-0.7004</v>
      </c>
      <c r="F94" t="inlineStr">
        <is>
          <t>Down</t>
        </is>
      </c>
      <c r="G94" t="inlineStr">
        <is>
          <t>Down</t>
        </is>
      </c>
      <c r="H94" t="inlineStr">
        <is>
          <t>ED_JD</t>
        </is>
      </c>
      <c r="I94" t="inlineStr">
        <is>
          <t>2006-08</t>
        </is>
      </c>
      <c r="J94" t="n">
        <v>1</v>
      </c>
      <c r="K94" t="n">
        <v>1</v>
      </c>
      <c r="L94" s="34">
        <f>IF($J94=1,LN(B95/B94),"")</f>
        <v/>
      </c>
      <c r="M94" s="34">
        <f>IF($K94=1,INDEX(Mensal!$D$2:$D$245,MATCH($I94,Mensal!$A$2:$A$245,0)),"")</f>
        <v/>
      </c>
      <c r="N94" s="34">
        <f>IF($K94=1,L94-M94,"")</f>
        <v/>
      </c>
      <c r="O94" s="34" t="n">
        <v>0.00054232</v>
      </c>
      <c r="P94" s="34">
        <f>IF($J94=1,LN(1+O94),"")</f>
        <v/>
      </c>
      <c r="Q94" s="34">
        <f>IF($J94=1,LN(R95/R94),"")</f>
        <v/>
      </c>
      <c r="R94" s="32" t="n">
        <v>2.148</v>
      </c>
      <c r="S94" s="35" t="n">
        <v>14.33</v>
      </c>
      <c r="T94" s="18" t="n"/>
      <c r="U94" s="18" t="n"/>
      <c r="V94" s="18" t="n">
        <v>37295</v>
      </c>
      <c r="W94" s="18" t="n"/>
      <c r="X94" s="35" t="n"/>
      <c r="Y94" s="35" t="n">
        <v>14.33</v>
      </c>
    </row>
    <row r="95">
      <c r="A95" s="25" t="n">
        <v>38945</v>
      </c>
      <c r="B95" s="18" t="n">
        <v>37677</v>
      </c>
      <c r="C95" s="31" t="n"/>
      <c r="D95" s="32" t="n"/>
      <c r="E95" s="33" t="n">
        <v>-0.6186</v>
      </c>
      <c r="F95" t="inlineStr">
        <is>
          <t>Down</t>
        </is>
      </c>
      <c r="G95" t="inlineStr">
        <is>
          <t>Down</t>
        </is>
      </c>
      <c r="H95" t="inlineStr">
        <is>
          <t>ED_JD</t>
        </is>
      </c>
      <c r="I95" t="inlineStr">
        <is>
          <t>2006-08</t>
        </is>
      </c>
      <c r="J95" t="n">
        <v>1</v>
      </c>
      <c r="K95" t="n">
        <v>1</v>
      </c>
      <c r="L95" s="34">
        <f>IF($J95=1,LN(B96/B95),"")</f>
        <v/>
      </c>
      <c r="M95" s="34">
        <f>IF($K95=1,INDEX(Mensal!$D$2:$D$245,MATCH($I95,Mensal!$A$2:$A$245,0)),"")</f>
        <v/>
      </c>
      <c r="N95" s="34">
        <f>IF($K95=1,L95-M95,"")</f>
        <v/>
      </c>
      <c r="O95" s="34" t="n">
        <v>0.00054232</v>
      </c>
      <c r="P95" s="34">
        <f>IF($J95=1,LN(1+O95),"")</f>
        <v/>
      </c>
      <c r="Q95" s="34">
        <f>IF($J95=1,LN(R96/R95),"")</f>
        <v/>
      </c>
      <c r="R95" s="32" t="n">
        <v>2.1329</v>
      </c>
      <c r="S95" s="35" t="n">
        <v>14.29</v>
      </c>
      <c r="T95" s="18" t="n"/>
      <c r="U95" s="18" t="n"/>
      <c r="V95" s="18" t="n">
        <v>37677</v>
      </c>
      <c r="W95" s="18" t="n"/>
      <c r="X95" s="35" t="n"/>
      <c r="Y95" s="35" t="n">
        <v>14.29</v>
      </c>
    </row>
    <row r="96">
      <c r="A96" s="25" t="n">
        <v>38946</v>
      </c>
      <c r="B96" s="18" t="n">
        <v>37558</v>
      </c>
      <c r="C96" s="31" t="n"/>
      <c r="D96" s="32" t="n"/>
      <c r="E96" s="33" t="n">
        <v>-0.5344</v>
      </c>
      <c r="F96" t="inlineStr">
        <is>
          <t>Down</t>
        </is>
      </c>
      <c r="G96" t="inlineStr">
        <is>
          <t>Down</t>
        </is>
      </c>
      <c r="H96" t="inlineStr">
        <is>
          <t>ED_JD</t>
        </is>
      </c>
      <c r="I96" t="inlineStr">
        <is>
          <t>2006-08</t>
        </is>
      </c>
      <c r="J96" t="n">
        <v>1</v>
      </c>
      <c r="K96" t="n">
        <v>1</v>
      </c>
      <c r="L96" s="34">
        <f>IF($J96=1,LN(B97/B96),"")</f>
        <v/>
      </c>
      <c r="M96" s="34">
        <f>IF($K96=1,INDEX(Mensal!$D$2:$D$245,MATCH($I96,Mensal!$A$2:$A$245,0)),"")</f>
        <v/>
      </c>
      <c r="N96" s="34">
        <f>IF($K96=1,L96-M96,"")</f>
        <v/>
      </c>
      <c r="O96" s="34" t="n">
        <v>0.00054197</v>
      </c>
      <c r="P96" s="34">
        <f>IF($J96=1,LN(1+O96),"")</f>
        <v/>
      </c>
      <c r="Q96" s="34">
        <f>IF($J96=1,LN(R97/R96),"")</f>
        <v/>
      </c>
      <c r="R96" s="32" t="n">
        <v>2.1365</v>
      </c>
      <c r="S96" s="35" t="n">
        <v>14.27</v>
      </c>
      <c r="T96" s="18" t="n"/>
      <c r="U96" s="18" t="n"/>
      <c r="V96" s="18" t="n">
        <v>37558</v>
      </c>
      <c r="W96" s="18" t="n"/>
      <c r="X96" s="35" t="n"/>
      <c r="Y96" s="35" t="n">
        <v>14.27</v>
      </c>
    </row>
    <row r="97">
      <c r="A97" s="25" t="n">
        <v>38947</v>
      </c>
      <c r="B97" s="18" t="n">
        <v>37551</v>
      </c>
      <c r="C97" s="31" t="n"/>
      <c r="D97" s="32" t="n"/>
      <c r="E97" s="33" t="n">
        <v>-0.4791</v>
      </c>
      <c r="F97" t="inlineStr">
        <is>
          <t>Down</t>
        </is>
      </c>
      <c r="G97" t="inlineStr">
        <is>
          <t>Down</t>
        </is>
      </c>
      <c r="H97" t="inlineStr">
        <is>
          <t>ED_JD</t>
        </is>
      </c>
      <c r="I97" t="inlineStr">
        <is>
          <t>2006-08</t>
        </is>
      </c>
      <c r="J97" t="n">
        <v>1</v>
      </c>
      <c r="K97" t="n">
        <v>1</v>
      </c>
      <c r="L97" s="34">
        <f>IF($J97=1,LN(B98/B97),"")</f>
        <v/>
      </c>
      <c r="M97" s="34">
        <f>IF($K97=1,INDEX(Mensal!$D$2:$D$245,MATCH($I97,Mensal!$A$2:$A$245,0)),"")</f>
        <v/>
      </c>
      <c r="N97" s="34">
        <f>IF($K97=1,L97-M97,"")</f>
        <v/>
      </c>
      <c r="O97" s="34" t="n">
        <v>0.00054232</v>
      </c>
      <c r="P97" s="34">
        <f>IF($J97=1,LN(1+O97),"")</f>
        <v/>
      </c>
      <c r="Q97" s="34">
        <f>IF($J97=1,LN(R98/R97),"")</f>
        <v/>
      </c>
      <c r="R97" s="32" t="n">
        <v>2.1456</v>
      </c>
      <c r="S97" s="35" t="n">
        <v>14.28</v>
      </c>
      <c r="T97" s="18" t="n"/>
      <c r="U97" s="18" t="n"/>
      <c r="V97" s="18" t="n">
        <v>37551</v>
      </c>
      <c r="W97" s="18" t="n"/>
      <c r="X97" s="35" t="n"/>
      <c r="Y97" s="35" t="n">
        <v>14.28</v>
      </c>
    </row>
    <row r="98">
      <c r="A98" s="25" t="n">
        <v>38950</v>
      </c>
      <c r="B98" s="18" t="n">
        <v>37160</v>
      </c>
      <c r="C98" s="31" t="n"/>
      <c r="D98" s="32" t="n"/>
      <c r="E98" s="33" t="n">
        <v>-0.4231</v>
      </c>
      <c r="F98" t="inlineStr">
        <is>
          <t>Down</t>
        </is>
      </c>
      <c r="G98" t="inlineStr">
        <is>
          <t>Down</t>
        </is>
      </c>
      <c r="H98" t="inlineStr">
        <is>
          <t>ED_JD</t>
        </is>
      </c>
      <c r="I98" t="inlineStr">
        <is>
          <t>2006-08</t>
        </is>
      </c>
      <c r="J98" t="n">
        <v>1</v>
      </c>
      <c r="K98" t="n">
        <v>1</v>
      </c>
      <c r="L98" s="34">
        <f>IF($J98=1,LN(B99/B98),"")</f>
        <v/>
      </c>
      <c r="M98" s="34">
        <f>IF($K98=1,INDEX(Mensal!$D$2:$D$245,MATCH($I98,Mensal!$A$2:$A$245,0)),"")</f>
        <v/>
      </c>
      <c r="N98" s="34">
        <f>IF($K98=1,L98-M98,"")</f>
        <v/>
      </c>
      <c r="O98" s="34" t="n">
        <v>0.00054232</v>
      </c>
      <c r="P98" s="34">
        <f>IF($J98=1,LN(1+O98),"")</f>
        <v/>
      </c>
      <c r="Q98" s="34">
        <f>IF($J98=1,LN(R99/R98),"")</f>
        <v/>
      </c>
      <c r="R98" s="32" t="n">
        <v>2.1361</v>
      </c>
      <c r="S98" s="35" t="n">
        <v>14.25</v>
      </c>
      <c r="T98" s="18" t="n"/>
      <c r="U98" s="18" t="n"/>
      <c r="V98" s="18" t="n">
        <v>37160</v>
      </c>
      <c r="W98" s="18" t="n"/>
      <c r="X98" s="35" t="n"/>
      <c r="Y98" s="35" t="n">
        <v>14.25</v>
      </c>
    </row>
    <row r="99">
      <c r="A99" s="25" t="n">
        <v>38951</v>
      </c>
      <c r="B99" s="18" t="n">
        <v>36677</v>
      </c>
      <c r="C99" s="31" t="n"/>
      <c r="D99" s="32" t="n"/>
      <c r="E99" s="33" t="n">
        <v>-0.3589</v>
      </c>
      <c r="F99" t="inlineStr">
        <is>
          <t>Down</t>
        </is>
      </c>
      <c r="G99" t="inlineStr">
        <is>
          <t>Down</t>
        </is>
      </c>
      <c r="H99" t="inlineStr">
        <is>
          <t>ED_JD</t>
        </is>
      </c>
      <c r="I99" t="inlineStr">
        <is>
          <t>2006-08</t>
        </is>
      </c>
      <c r="J99" t="n">
        <v>1</v>
      </c>
      <c r="K99" t="n">
        <v>1</v>
      </c>
      <c r="L99" s="34">
        <f>IF($J99=1,LN(B100/B99),"")</f>
        <v/>
      </c>
      <c r="M99" s="34">
        <f>IF($K99=1,INDEX(Mensal!$D$2:$D$245,MATCH($I99,Mensal!$A$2:$A$245,0)),"")</f>
        <v/>
      </c>
      <c r="N99" s="34">
        <f>IF($K99=1,L99-M99,"")</f>
        <v/>
      </c>
      <c r="O99" s="34" t="n">
        <v>0.00054232</v>
      </c>
      <c r="P99" s="34">
        <f>IF($J99=1,LN(1+O99),"")</f>
        <v/>
      </c>
      <c r="Q99" s="34">
        <f>IF($J99=1,LN(R100/R99),"")</f>
        <v/>
      </c>
      <c r="R99" s="32" t="n">
        <v>2.1355</v>
      </c>
      <c r="S99" s="35" t="n">
        <v>14.23</v>
      </c>
      <c r="T99" s="18" t="n"/>
      <c r="U99" s="18" t="n"/>
      <c r="V99" s="18" t="n">
        <v>36677</v>
      </c>
      <c r="W99" s="18" t="n"/>
      <c r="X99" s="35" t="n"/>
      <c r="Y99" s="35" t="n">
        <v>14.23</v>
      </c>
    </row>
    <row r="100">
      <c r="A100" s="25" t="n">
        <v>38952</v>
      </c>
      <c r="B100" s="18" t="n">
        <v>35512</v>
      </c>
      <c r="C100" s="31" t="n"/>
      <c r="D100" s="32" t="n"/>
      <c r="E100" s="33" t="n">
        <v>-0.308</v>
      </c>
      <c r="F100" t="inlineStr">
        <is>
          <t>Down</t>
        </is>
      </c>
      <c r="G100" t="inlineStr">
        <is>
          <t>Down</t>
        </is>
      </c>
      <c r="H100" t="inlineStr">
        <is>
          <t>ED_JD</t>
        </is>
      </c>
      <c r="I100" t="inlineStr">
        <is>
          <t>2006-08</t>
        </is>
      </c>
      <c r="J100" t="n">
        <v>1</v>
      </c>
      <c r="K100" t="n">
        <v>1</v>
      </c>
      <c r="L100" s="34">
        <f>IF($J100=1,LN(B101/B100),"")</f>
        <v/>
      </c>
      <c r="M100" s="34">
        <f>IF($K100=1,INDEX(Mensal!$D$2:$D$245,MATCH($I100,Mensal!$A$2:$A$245,0)),"")</f>
        <v/>
      </c>
      <c r="N100" s="34">
        <f>IF($K100=1,L100-M100,"")</f>
        <v/>
      </c>
      <c r="O100" s="34" t="n">
        <v>0.00054197</v>
      </c>
      <c r="P100" s="34">
        <f>IF($J100=1,LN(1+O100),"")</f>
        <v/>
      </c>
      <c r="Q100" s="34">
        <f>IF($J100=1,LN(R101/R100),"")</f>
        <v/>
      </c>
      <c r="R100" s="32" t="n">
        <v>2.1354</v>
      </c>
      <c r="S100" s="35" t="n">
        <v>14.27</v>
      </c>
      <c r="T100" s="18" t="n"/>
      <c r="U100" s="18" t="n"/>
      <c r="V100" s="18" t="n">
        <v>35512</v>
      </c>
      <c r="W100" s="18" t="n"/>
      <c r="X100" s="35" t="n"/>
      <c r="Y100" s="35" t="n">
        <v>14.27</v>
      </c>
    </row>
    <row r="101">
      <c r="A101" s="25" t="n">
        <v>38953</v>
      </c>
      <c r="B101" s="18" t="n">
        <v>35797</v>
      </c>
      <c r="C101" s="31" t="n"/>
      <c r="D101" s="32" t="n"/>
      <c r="E101" s="33" t="n">
        <v>-0.2581</v>
      </c>
      <c r="F101" t="inlineStr">
        <is>
          <t>Down</t>
        </is>
      </c>
      <c r="G101" t="inlineStr">
        <is>
          <t>Down</t>
        </is>
      </c>
      <c r="H101" t="inlineStr">
        <is>
          <t>ED_JD</t>
        </is>
      </c>
      <c r="I101" t="inlineStr">
        <is>
          <t>2006-08</t>
        </is>
      </c>
      <c r="J101" t="n">
        <v>1</v>
      </c>
      <c r="K101" t="n">
        <v>1</v>
      </c>
      <c r="L101" s="34">
        <f>IF($J101=1,LN(B102/B101),"")</f>
        <v/>
      </c>
      <c r="M101" s="34">
        <f>IF($K101=1,INDEX(Mensal!$D$2:$D$245,MATCH($I101,Mensal!$A$2:$A$245,0)),"")</f>
        <v/>
      </c>
      <c r="N101" s="34">
        <f>IF($K101=1,L101-M101,"")</f>
        <v/>
      </c>
      <c r="O101" s="34" t="n">
        <v>0.00054162</v>
      </c>
      <c r="P101" s="34">
        <f>IF($J101=1,LN(1+O101),"")</f>
        <v/>
      </c>
      <c r="Q101" s="34">
        <f>IF($J101=1,LN(R102/R101),"")</f>
        <v/>
      </c>
      <c r="R101" s="32" t="n">
        <v>2.1523</v>
      </c>
      <c r="S101" s="35" t="n">
        <v>14.28</v>
      </c>
      <c r="T101" s="18" t="n"/>
      <c r="U101" s="18" t="n"/>
      <c r="V101" s="18" t="n">
        <v>35797</v>
      </c>
      <c r="W101" s="18" t="n"/>
      <c r="X101" s="35" t="n"/>
      <c r="Y101" s="35" t="n">
        <v>14.28</v>
      </c>
    </row>
    <row r="102">
      <c r="A102" s="25" t="n">
        <v>38954</v>
      </c>
      <c r="B102" s="18" t="n">
        <v>35957</v>
      </c>
      <c r="C102" s="31" t="n"/>
      <c r="D102" s="32" t="n"/>
      <c r="E102" s="33" t="n">
        <v>-0.2062</v>
      </c>
      <c r="F102" t="inlineStr">
        <is>
          <t>Down</t>
        </is>
      </c>
      <c r="G102" t="inlineStr">
        <is>
          <t>Down</t>
        </is>
      </c>
      <c r="H102" t="inlineStr">
        <is>
          <t>ED_JD</t>
        </is>
      </c>
      <c r="I102" t="inlineStr">
        <is>
          <t>2006-08</t>
        </is>
      </c>
      <c r="J102" t="n">
        <v>1</v>
      </c>
      <c r="K102" t="n">
        <v>1</v>
      </c>
      <c r="L102" s="34">
        <f>IF($J102=1,LN(B103/B102),"")</f>
        <v/>
      </c>
      <c r="M102" s="34">
        <f>IF($K102=1,INDEX(Mensal!$D$2:$D$245,MATCH($I102,Mensal!$A$2:$A$245,0)),"")</f>
        <v/>
      </c>
      <c r="N102" s="34">
        <f>IF($K102=1,L102-M102,"")</f>
        <v/>
      </c>
      <c r="O102" s="34" t="n">
        <v>0.00054162</v>
      </c>
      <c r="P102" s="34">
        <f>IF($J102=1,LN(1+O102),"")</f>
        <v/>
      </c>
      <c r="Q102" s="34">
        <f>IF($J102=1,LN(R103/R102),"")</f>
        <v/>
      </c>
      <c r="R102" s="32" t="n">
        <v>2.1571</v>
      </c>
      <c r="S102" s="35" t="n">
        <v>14.25</v>
      </c>
      <c r="T102" s="18" t="n"/>
      <c r="U102" s="18" t="n"/>
      <c r="V102" s="18" t="n">
        <v>35957</v>
      </c>
      <c r="W102" s="18" t="n"/>
      <c r="X102" s="35" t="n"/>
      <c r="Y102" s="35" t="n">
        <v>14.25</v>
      </c>
    </row>
    <row r="103">
      <c r="A103" s="25" t="n">
        <v>38957</v>
      </c>
      <c r="B103" s="18" t="n">
        <v>36374</v>
      </c>
      <c r="C103" s="31" t="n"/>
      <c r="D103" s="32" t="n"/>
      <c r="E103" s="33" t="n">
        <v>-0.1521</v>
      </c>
      <c r="F103" t="inlineStr">
        <is>
          <t>Down</t>
        </is>
      </c>
      <c r="G103" t="inlineStr">
        <is>
          <t>Down</t>
        </is>
      </c>
      <c r="H103" t="inlineStr">
        <is>
          <t>ED_JD</t>
        </is>
      </c>
      <c r="I103" t="inlineStr">
        <is>
          <t>2006-08</t>
        </is>
      </c>
      <c r="J103" t="n">
        <v>1</v>
      </c>
      <c r="K103" t="n">
        <v>1</v>
      </c>
      <c r="L103" s="34">
        <f>IF($J103=1,LN(B104/B103),"")</f>
        <v/>
      </c>
      <c r="M103" s="34">
        <f>IF($K103=1,INDEX(Mensal!$D$2:$D$245,MATCH($I103,Mensal!$A$2:$A$245,0)),"")</f>
        <v/>
      </c>
      <c r="N103" s="34">
        <f>IF($K103=1,L103-M103,"")</f>
        <v/>
      </c>
      <c r="O103" s="34" t="n">
        <v>0.00054128</v>
      </c>
      <c r="P103" s="34">
        <f>IF($J103=1,LN(1+O103),"")</f>
        <v/>
      </c>
      <c r="Q103" s="34">
        <f>IF($J103=1,LN(R104/R103),"")</f>
        <v/>
      </c>
      <c r="R103" s="32" t="n">
        <v>2.1473</v>
      </c>
      <c r="S103" s="35" t="n">
        <v>14.24</v>
      </c>
      <c r="T103" s="18" t="n"/>
      <c r="U103" s="18" t="n"/>
      <c r="V103" s="18" t="n">
        <v>36374</v>
      </c>
      <c r="W103" s="18" t="n"/>
      <c r="X103" s="35" t="n"/>
      <c r="Y103" s="35" t="n">
        <v>14.24</v>
      </c>
    </row>
    <row r="104">
      <c r="A104" s="25" t="n">
        <v>38958</v>
      </c>
      <c r="B104" s="18" t="n">
        <v>36303</v>
      </c>
      <c r="C104" s="31" t="n"/>
      <c r="D104" s="32" t="n"/>
      <c r="E104" s="33" t="n">
        <v>-0.08939999999999999</v>
      </c>
      <c r="F104" t="inlineStr">
        <is>
          <t>Down</t>
        </is>
      </c>
      <c r="G104" t="inlineStr">
        <is>
          <t>Down</t>
        </is>
      </c>
      <c r="H104" t="inlineStr">
        <is>
          <t>ED_JD</t>
        </is>
      </c>
      <c r="I104" t="inlineStr">
        <is>
          <t>2006-08</t>
        </is>
      </c>
      <c r="J104" t="n">
        <v>1</v>
      </c>
      <c r="K104" t="n">
        <v>1</v>
      </c>
      <c r="L104" s="34">
        <f>IF($J104=1,LN(B105/B104),"")</f>
        <v/>
      </c>
      <c r="M104" s="34">
        <f>IF($K104=1,INDEX(Mensal!$D$2:$D$245,MATCH($I104,Mensal!$A$2:$A$245,0)),"")</f>
        <v/>
      </c>
      <c r="N104" s="34">
        <f>IF($K104=1,L104-M104,"")</f>
        <v/>
      </c>
      <c r="O104" s="34" t="n">
        <v>0.00054128</v>
      </c>
      <c r="P104" s="34">
        <f>IF($J104=1,LN(1+O104),"")</f>
        <v/>
      </c>
      <c r="Q104" s="34">
        <f>IF($J104=1,LN(R105/R104),"")</f>
        <v/>
      </c>
      <c r="R104" s="32" t="n">
        <v>2.1419</v>
      </c>
      <c r="S104" s="35" t="n">
        <v>14.19</v>
      </c>
      <c r="T104" s="18" t="n"/>
      <c r="U104" s="18" t="n"/>
      <c r="V104" s="18" t="n">
        <v>36303</v>
      </c>
      <c r="W104" s="18" t="n"/>
      <c r="X104" s="35" t="n"/>
      <c r="Y104" s="35" t="n">
        <v>14.19</v>
      </c>
    </row>
    <row r="105">
      <c r="A105" s="25" t="n">
        <v>38959</v>
      </c>
      <c r="B105" s="18" t="n">
        <v>36313</v>
      </c>
      <c r="C105" s="31" t="n"/>
      <c r="D105" s="32" t="n"/>
      <c r="E105" s="33" t="n">
        <v>-0.0571</v>
      </c>
      <c r="F105" t="inlineStr">
        <is>
          <t>Down</t>
        </is>
      </c>
      <c r="G105" t="inlineStr">
        <is>
          <t>Down</t>
        </is>
      </c>
      <c r="H105" t="inlineStr">
        <is>
          <t>ED_JD</t>
        </is>
      </c>
      <c r="I105" t="inlineStr">
        <is>
          <t>2006-08</t>
        </is>
      </c>
      <c r="J105" t="n">
        <v>1</v>
      </c>
      <c r="K105" t="n">
        <v>1</v>
      </c>
      <c r="L105" s="34">
        <f>IF($J105=1,LN(B106/B105),"")</f>
        <v/>
      </c>
      <c r="M105" s="34">
        <f>IF($K105=1,INDEX(Mensal!$D$2:$D$245,MATCH($I105,Mensal!$A$2:$A$245,0)),"")</f>
        <v/>
      </c>
      <c r="N105" s="34">
        <f>IF($K105=1,L105-M105,"")</f>
        <v/>
      </c>
      <c r="O105" s="34" t="n">
        <v>0.00054058</v>
      </c>
      <c r="P105" s="34">
        <f>IF($J105=1,LN(1+O105),"")</f>
        <v/>
      </c>
      <c r="Q105" s="34">
        <f>IF($J105=1,LN(R106/R105),"")</f>
        <v/>
      </c>
      <c r="R105" s="32" t="n">
        <v>2.133</v>
      </c>
      <c r="S105" s="35" t="n">
        <v>14.17</v>
      </c>
      <c r="T105" s="18" t="n"/>
      <c r="U105" s="18" t="n"/>
      <c r="V105" s="18" t="n">
        <v>36313</v>
      </c>
      <c r="W105" s="18" t="n"/>
      <c r="X105" s="35" t="n"/>
      <c r="Y105" s="35" t="n">
        <v>14.17</v>
      </c>
    </row>
    <row r="106">
      <c r="A106" s="25" t="n">
        <v>38960</v>
      </c>
      <c r="B106" s="18" t="n">
        <v>36232</v>
      </c>
      <c r="C106" s="31" t="n"/>
      <c r="D106" s="32" t="n"/>
      <c r="E106" s="33" t="n">
        <v>-0.0243</v>
      </c>
      <c r="F106" t="inlineStr">
        <is>
          <t>Down</t>
        </is>
      </c>
      <c r="G106" t="inlineStr">
        <is>
          <t>Down</t>
        </is>
      </c>
      <c r="H106" t="inlineStr">
        <is>
          <t>ED_JD</t>
        </is>
      </c>
      <c r="I106" t="inlineStr">
        <is>
          <t>2006-08</t>
        </is>
      </c>
      <c r="J106" t="n">
        <v>1</v>
      </c>
      <c r="K106" t="n">
        <v>1</v>
      </c>
      <c r="L106" s="34">
        <f>IF($J106=1,LN(B107/B106),"")</f>
        <v/>
      </c>
      <c r="M106" s="34">
        <f>IF($K106=1,INDEX(Mensal!$D$2:$D$245,MATCH($I106,Mensal!$A$2:$A$245,0)),"")</f>
        <v/>
      </c>
      <c r="N106" s="34">
        <f>IF($K106=1,L106-M106,"")</f>
        <v/>
      </c>
      <c r="O106" s="34" t="n">
        <v>0.00052392</v>
      </c>
      <c r="P106" s="34">
        <f>IF($J106=1,LN(1+O106),"")</f>
        <v/>
      </c>
      <c r="Q106" s="34">
        <f>IF($J106=1,LN(R107/R106),"")</f>
        <v/>
      </c>
      <c r="R106" s="32" t="n">
        <v>2.1388</v>
      </c>
      <c r="S106" s="35" t="n">
        <v>13.95</v>
      </c>
      <c r="T106" s="18" t="n"/>
      <c r="U106" s="18" t="n"/>
      <c r="V106" s="18" t="n">
        <v>36232</v>
      </c>
      <c r="W106" s="18" t="n"/>
      <c r="X106" s="35" t="n"/>
      <c r="Y106" s="35" t="n">
        <v>13.95</v>
      </c>
    </row>
    <row r="107">
      <c r="A107" s="25" t="n">
        <v>38961</v>
      </c>
      <c r="B107" s="18" t="n">
        <v>37329</v>
      </c>
      <c r="C107" s="31" t="n"/>
      <c r="D107" s="32" t="n"/>
      <c r="E107" s="33" t="n">
        <v>0.0382</v>
      </c>
      <c r="F107" t="inlineStr">
        <is>
          <t>Down</t>
        </is>
      </c>
      <c r="G107" t="inlineStr">
        <is>
          <t>Down</t>
        </is>
      </c>
      <c r="H107" t="inlineStr">
        <is>
          <t>ED_JD</t>
        </is>
      </c>
      <c r="I107" t="inlineStr">
        <is>
          <t>2006-09</t>
        </is>
      </c>
      <c r="J107" t="n">
        <v>1</v>
      </c>
      <c r="K107" t="n">
        <v>1</v>
      </c>
      <c r="L107" s="34">
        <f>IF($J107=1,LN(B108/B107),"")</f>
        <v/>
      </c>
      <c r="M107" s="34">
        <f>IF($K107=1,INDEX(Mensal!$D$2:$D$245,MATCH($I107,Mensal!$A$2:$A$245,0)),"")</f>
        <v/>
      </c>
      <c r="N107" s="34">
        <f>IF($K107=1,L107-M107,"")</f>
        <v/>
      </c>
      <c r="O107" s="34" t="n">
        <v>0.00052461</v>
      </c>
      <c r="P107" s="34">
        <f>IF($J107=1,LN(1+O107),"")</f>
        <v/>
      </c>
      <c r="Q107" s="34">
        <f>IF($J107=1,LN(R108/R107),"")</f>
        <v/>
      </c>
      <c r="R107" s="32" t="n">
        <v>2.1468</v>
      </c>
      <c r="S107" s="35" t="n">
        <v>13.88</v>
      </c>
      <c r="T107" s="18" t="n"/>
      <c r="U107" s="18" t="n"/>
      <c r="V107" s="18" t="n">
        <v>37329</v>
      </c>
      <c r="W107" s="18" t="n"/>
      <c r="X107" s="35" t="n"/>
      <c r="Y107" s="35" t="n">
        <v>13.88</v>
      </c>
    </row>
    <row r="108">
      <c r="A108" s="25" t="n">
        <v>38964</v>
      </c>
      <c r="B108" s="18" t="n">
        <v>37693</v>
      </c>
      <c r="C108" s="31" t="n"/>
      <c r="D108" s="32" t="n"/>
      <c r="E108" s="33" t="n">
        <v>0.1064</v>
      </c>
      <c r="F108" t="inlineStr">
        <is>
          <t>Down</t>
        </is>
      </c>
      <c r="G108" t="inlineStr">
        <is>
          <t>Down</t>
        </is>
      </c>
      <c r="H108" t="inlineStr">
        <is>
          <t>ED_JD</t>
        </is>
      </c>
      <c r="I108" t="inlineStr">
        <is>
          <t>2006-09</t>
        </is>
      </c>
      <c r="J108" t="n">
        <v>1</v>
      </c>
      <c r="K108" t="n">
        <v>1</v>
      </c>
      <c r="L108" s="34">
        <f>IF($J108=1,LN(B109/B108),"")</f>
        <v/>
      </c>
      <c r="M108" s="34">
        <f>IF($K108=1,INDEX(Mensal!$D$2:$D$245,MATCH($I108,Mensal!$A$2:$A$245,0)),"")</f>
        <v/>
      </c>
      <c r="N108" s="34">
        <f>IF($K108=1,L108-M108,"")</f>
        <v/>
      </c>
      <c r="O108" s="34" t="n">
        <v>0.00052461</v>
      </c>
      <c r="P108" s="34">
        <f>IF($J108=1,LN(1+O108),"")</f>
        <v/>
      </c>
      <c r="Q108" s="34">
        <f>IF($J108=1,LN(R109/R108),"")</f>
        <v/>
      </c>
      <c r="R108" s="32" t="n">
        <v>2.1282</v>
      </c>
      <c r="S108" s="35" t="n">
        <v>13.84</v>
      </c>
      <c r="T108" s="18" t="n"/>
      <c r="U108" s="18" t="n"/>
      <c r="V108" s="18" t="n">
        <v>37693</v>
      </c>
      <c r="W108" s="18" t="n"/>
      <c r="X108" s="35" t="n"/>
      <c r="Y108" s="35" t="n">
        <v>13.84</v>
      </c>
    </row>
    <row r="109">
      <c r="A109" s="25" t="n">
        <v>38965</v>
      </c>
      <c r="B109" s="18" t="n">
        <v>37367</v>
      </c>
      <c r="C109" s="31" t="n"/>
      <c r="D109" s="32" t="n"/>
      <c r="E109" s="33" t="n">
        <v>0.1732</v>
      </c>
      <c r="F109" t="inlineStr">
        <is>
          <t>Down</t>
        </is>
      </c>
      <c r="G109" t="inlineStr">
        <is>
          <t>Down</t>
        </is>
      </c>
      <c r="H109" t="inlineStr">
        <is>
          <t>ED_JD</t>
        </is>
      </c>
      <c r="I109" t="inlineStr">
        <is>
          <t>2006-09</t>
        </is>
      </c>
      <c r="J109" t="n">
        <v>1</v>
      </c>
      <c r="K109" t="n">
        <v>1</v>
      </c>
      <c r="L109" s="34">
        <f>IF($J109=1,LN(B110/B109),"")</f>
        <v/>
      </c>
      <c r="M109" s="34">
        <f>IF($K109=1,INDEX(Mensal!$D$2:$D$245,MATCH($I109,Mensal!$A$2:$A$245,0)),"")</f>
        <v/>
      </c>
      <c r="N109" s="34">
        <f>IF($K109=1,L109-M109,"")</f>
        <v/>
      </c>
      <c r="O109" s="34" t="n">
        <v>0.00052427</v>
      </c>
      <c r="P109" s="34">
        <f>IF($J109=1,LN(1+O109),"")</f>
        <v/>
      </c>
      <c r="Q109" s="34">
        <f>IF($J109=1,LN(R110/R109),"")</f>
        <v/>
      </c>
      <c r="R109" s="32" t="n">
        <v>2.1288</v>
      </c>
      <c r="S109" s="35" t="n">
        <v>13.85</v>
      </c>
      <c r="T109" s="18" t="n"/>
      <c r="U109" s="18" t="n"/>
      <c r="V109" s="18" t="n">
        <v>37367</v>
      </c>
      <c r="W109" s="18" t="n"/>
      <c r="X109" s="35" t="n"/>
      <c r="Y109" s="35" t="n">
        <v>13.85</v>
      </c>
    </row>
    <row r="110">
      <c r="A110" s="25" t="n">
        <v>38966</v>
      </c>
      <c r="B110" s="18" t="n">
        <v>36709</v>
      </c>
      <c r="C110" s="31" t="n"/>
      <c r="D110" s="32" t="n"/>
      <c r="E110" s="33" t="n">
        <v>0.2406</v>
      </c>
      <c r="F110" t="inlineStr">
        <is>
          <t>Down</t>
        </is>
      </c>
      <c r="G110" t="inlineStr">
        <is>
          <t>Down</t>
        </is>
      </c>
      <c r="H110" t="inlineStr">
        <is>
          <t>ED_JD</t>
        </is>
      </c>
      <c r="I110" t="inlineStr">
        <is>
          <t>2006-09</t>
        </is>
      </c>
      <c r="J110" t="n">
        <v>1</v>
      </c>
      <c r="K110" t="n">
        <v>1</v>
      </c>
      <c r="L110" s="34">
        <f>IF($J110=1,LN(B111/B110),"")</f>
        <v/>
      </c>
      <c r="M110" s="34">
        <f>IF($K110=1,INDEX(Mensal!$D$2:$D$245,MATCH($I110,Mensal!$A$2:$A$245,0)),"")</f>
        <v/>
      </c>
      <c r="N110" s="34">
        <f>IF($K110=1,L110-M110,"")</f>
        <v/>
      </c>
      <c r="O110" s="34" t="n">
        <v>0.00052461</v>
      </c>
      <c r="P110" s="34">
        <f>IF($J110=1,LN(1+O110),"")</f>
        <v/>
      </c>
      <c r="Q110" s="34">
        <f>IF($J110=1,LN(R111/R110),"")</f>
        <v/>
      </c>
      <c r="R110" s="32" t="n">
        <v>2.1443</v>
      </c>
      <c r="S110" s="35" t="n">
        <v>13.8</v>
      </c>
      <c r="T110" s="18" t="n"/>
      <c r="U110" s="18" t="n"/>
      <c r="V110" s="18" t="n">
        <v>36709</v>
      </c>
      <c r="W110" s="18" t="n"/>
      <c r="X110" s="35" t="n"/>
      <c r="Y110" s="35" t="n">
        <v>13.8</v>
      </c>
    </row>
    <row r="111">
      <c r="A111" s="25" t="n">
        <v>38968</v>
      </c>
      <c r="B111" s="18" t="n">
        <v>36558</v>
      </c>
      <c r="C111" s="31" t="n"/>
      <c r="D111" s="32" t="n"/>
      <c r="E111" s="33" t="n">
        <v>0.31</v>
      </c>
      <c r="F111" t="inlineStr">
        <is>
          <t>Down</t>
        </is>
      </c>
      <c r="G111" t="inlineStr">
        <is>
          <t>Down</t>
        </is>
      </c>
      <c r="H111" t="inlineStr">
        <is>
          <t>ED_JD</t>
        </is>
      </c>
      <c r="I111" t="inlineStr">
        <is>
          <t>2006-09</t>
        </is>
      </c>
      <c r="J111" t="n">
        <v>1</v>
      </c>
      <c r="K111" t="n">
        <v>1</v>
      </c>
      <c r="L111" s="34">
        <f>IF($J111=1,LN(B112/B111),"")</f>
        <v/>
      </c>
      <c r="M111" s="34">
        <f>IF($K111=1,INDEX(Mensal!$D$2:$D$245,MATCH($I111,Mensal!$A$2:$A$245,0)),"")</f>
        <v/>
      </c>
      <c r="N111" s="34">
        <f>IF($K111=1,L111-M111,"")</f>
        <v/>
      </c>
      <c r="O111" s="34" t="n">
        <v>0.00052427</v>
      </c>
      <c r="P111" s="34">
        <f>IF($J111=1,LN(1+O111),"")</f>
        <v/>
      </c>
      <c r="Q111" s="34">
        <f>IF($J111=1,LN(R112/R111),"")</f>
        <v/>
      </c>
      <c r="R111" s="32" t="n">
        <v>2.1582</v>
      </c>
      <c r="S111" s="35" t="n">
        <v>13.71</v>
      </c>
      <c r="T111" s="18" t="n"/>
      <c r="U111" s="18" t="n"/>
      <c r="V111" s="18" t="n">
        <v>36558</v>
      </c>
      <c r="W111" s="18" t="n"/>
      <c r="X111" s="35" t="n"/>
      <c r="Y111" s="35" t="n">
        <v>13.71</v>
      </c>
    </row>
    <row r="112">
      <c r="A112" s="25" t="n">
        <v>38971</v>
      </c>
      <c r="B112" s="18" t="n">
        <v>35772</v>
      </c>
      <c r="C112" s="31" t="n"/>
      <c r="D112" s="32" t="n"/>
      <c r="E112" s="33" t="n">
        <v>0.3793</v>
      </c>
      <c r="F112" t="inlineStr">
        <is>
          <t>Down</t>
        </is>
      </c>
      <c r="G112" t="inlineStr">
        <is>
          <t>Down</t>
        </is>
      </c>
      <c r="H112" t="inlineStr">
        <is>
          <t>ED_JD</t>
        </is>
      </c>
      <c r="I112" t="inlineStr">
        <is>
          <t>2006-09</t>
        </is>
      </c>
      <c r="J112" t="n">
        <v>1</v>
      </c>
      <c r="K112" t="n">
        <v>1</v>
      </c>
      <c r="L112" s="34">
        <f>IF($J112=1,LN(B113/B112),"")</f>
        <v/>
      </c>
      <c r="M112" s="34">
        <f>IF($K112=1,INDEX(Mensal!$D$2:$D$245,MATCH($I112,Mensal!$A$2:$A$245,0)),"")</f>
        <v/>
      </c>
      <c r="N112" s="34">
        <f>IF($K112=1,L112-M112,"")</f>
        <v/>
      </c>
      <c r="O112" s="34" t="n">
        <v>0.00052392</v>
      </c>
      <c r="P112" s="34">
        <f>IF($J112=1,LN(1+O112),"")</f>
        <v/>
      </c>
      <c r="Q112" s="34">
        <f>IF($J112=1,LN(R113/R112),"")</f>
        <v/>
      </c>
      <c r="R112" s="32" t="n">
        <v>2.1751</v>
      </c>
      <c r="S112" s="35" t="n">
        <v>13.74</v>
      </c>
      <c r="T112" s="18" t="n"/>
      <c r="U112" s="18" t="n"/>
      <c r="V112" s="18" t="n">
        <v>35772</v>
      </c>
      <c r="W112" s="18" t="n"/>
      <c r="X112" s="35" t="n"/>
      <c r="Y112" s="35" t="n">
        <v>13.74</v>
      </c>
    </row>
    <row r="113">
      <c r="A113" s="25" t="n">
        <v>38972</v>
      </c>
      <c r="B113" s="18" t="n">
        <v>36146</v>
      </c>
      <c r="C113" s="31" t="n"/>
      <c r="D113" s="32" t="n"/>
      <c r="E113" s="33" t="n">
        <v>0.4494</v>
      </c>
      <c r="F113" t="inlineStr">
        <is>
          <t>Down</t>
        </is>
      </c>
      <c r="G113" t="inlineStr">
        <is>
          <t>Down</t>
        </is>
      </c>
      <c r="H113" t="inlineStr">
        <is>
          <t>ED_JD</t>
        </is>
      </c>
      <c r="I113" t="inlineStr">
        <is>
          <t>2006-09</t>
        </is>
      </c>
      <c r="J113" t="n">
        <v>1</v>
      </c>
      <c r="K113" t="n">
        <v>1</v>
      </c>
      <c r="L113" s="34">
        <f>IF($J113=1,LN(B114/B113),"")</f>
        <v/>
      </c>
      <c r="M113" s="34">
        <f>IF($K113=1,INDEX(Mensal!$D$2:$D$245,MATCH($I113,Mensal!$A$2:$A$245,0)),"")</f>
        <v/>
      </c>
      <c r="N113" s="34">
        <f>IF($K113=1,L113-M113,"")</f>
        <v/>
      </c>
      <c r="O113" s="34" t="n">
        <v>0.00052322</v>
      </c>
      <c r="P113" s="34">
        <f>IF($J113=1,LN(1+O113),"")</f>
        <v/>
      </c>
      <c r="Q113" s="34">
        <f>IF($J113=1,LN(R114/R113),"")</f>
        <v/>
      </c>
      <c r="R113" s="32" t="n">
        <v>2.1732</v>
      </c>
      <c r="S113" s="35" t="n">
        <v>13.7</v>
      </c>
      <c r="T113" s="18" t="n"/>
      <c r="U113" s="18" t="n"/>
      <c r="V113" s="18" t="n">
        <v>36146</v>
      </c>
      <c r="W113" s="18" t="n"/>
      <c r="X113" s="35" t="n"/>
      <c r="Y113" s="35" t="n">
        <v>13.7</v>
      </c>
    </row>
    <row r="114">
      <c r="A114" s="25" t="n">
        <v>38973</v>
      </c>
      <c r="B114" s="18" t="n">
        <v>36549</v>
      </c>
      <c r="C114" s="31" t="n"/>
      <c r="D114" s="32" t="n"/>
      <c r="E114" s="33" t="n">
        <v>0.506</v>
      </c>
      <c r="F114" t="inlineStr">
        <is>
          <t>Down</t>
        </is>
      </c>
      <c r="G114" t="inlineStr">
        <is>
          <t>Down</t>
        </is>
      </c>
      <c r="H114" t="inlineStr">
        <is>
          <t>ED_JD</t>
        </is>
      </c>
      <c r="I114" t="inlineStr">
        <is>
          <t>2006-09</t>
        </is>
      </c>
      <c r="J114" t="n">
        <v>1</v>
      </c>
      <c r="K114" t="n">
        <v>1</v>
      </c>
      <c r="L114" s="34">
        <f>IF($J114=1,LN(B115/B114),"")</f>
        <v/>
      </c>
      <c r="M114" s="34">
        <f>IF($K114=1,INDEX(Mensal!$D$2:$D$245,MATCH($I114,Mensal!$A$2:$A$245,0)),"")</f>
        <v/>
      </c>
      <c r="N114" s="34">
        <f>IF($K114=1,L114-M114,"")</f>
        <v/>
      </c>
      <c r="O114" s="34" t="n">
        <v>0.00052357</v>
      </c>
      <c r="P114" s="34">
        <f>IF($J114=1,LN(1+O114),"")</f>
        <v/>
      </c>
      <c r="Q114" s="34">
        <f>IF($J114=1,LN(R115/R114),"")</f>
        <v/>
      </c>
      <c r="R114" s="32" t="n">
        <v>2.17</v>
      </c>
      <c r="S114" s="35" t="n">
        <v>13.68</v>
      </c>
      <c r="T114" s="18" t="n"/>
      <c r="U114" s="18" t="n"/>
      <c r="V114" s="18" t="n">
        <v>36549</v>
      </c>
      <c r="W114" s="18" t="n"/>
      <c r="X114" s="35" t="n"/>
      <c r="Y114" s="35" t="n">
        <v>13.68</v>
      </c>
    </row>
    <row r="115">
      <c r="A115" s="25" t="n">
        <v>38974</v>
      </c>
      <c r="B115" s="18" t="n">
        <v>36153</v>
      </c>
      <c r="C115" s="31" t="n"/>
      <c r="D115" s="32" t="n"/>
      <c r="E115" s="33" t="n">
        <v>0.5508999999999999</v>
      </c>
      <c r="F115" t="inlineStr">
        <is>
          <t>Down</t>
        </is>
      </c>
      <c r="G115" t="inlineStr">
        <is>
          <t>Down</t>
        </is>
      </c>
      <c r="H115" t="inlineStr">
        <is>
          <t>ED_JD</t>
        </is>
      </c>
      <c r="I115" t="inlineStr">
        <is>
          <t>2006-09</t>
        </is>
      </c>
      <c r="J115" t="n">
        <v>1</v>
      </c>
      <c r="K115" t="n">
        <v>1</v>
      </c>
      <c r="L115" s="34">
        <f>IF($J115=1,LN(B116/B115),"")</f>
        <v/>
      </c>
      <c r="M115" s="34">
        <f>IF($K115=1,INDEX(Mensal!$D$2:$D$245,MATCH($I115,Mensal!$A$2:$A$245,0)),"")</f>
        <v/>
      </c>
      <c r="N115" s="34">
        <f>IF($K115=1,L115-M115,"")</f>
        <v/>
      </c>
      <c r="O115" s="34" t="n">
        <v>0.00052357</v>
      </c>
      <c r="P115" s="34">
        <f>IF($J115=1,LN(1+O115),"")</f>
        <v/>
      </c>
      <c r="Q115" s="34">
        <f>IF($J115=1,LN(R116/R115),"")</f>
        <v/>
      </c>
      <c r="R115" s="32" t="n">
        <v>2.1593</v>
      </c>
      <c r="S115" s="35" t="n">
        <v>13.68</v>
      </c>
      <c r="T115" s="18" t="n"/>
      <c r="U115" s="18" t="n"/>
      <c r="V115" s="18" t="n">
        <v>36153</v>
      </c>
      <c r="W115" s="18" t="n"/>
      <c r="X115" s="35" t="n"/>
      <c r="Y115" s="35" t="n">
        <v>13.68</v>
      </c>
    </row>
    <row r="116">
      <c r="A116" s="25" t="n">
        <v>38975</v>
      </c>
      <c r="B116" s="18" t="n">
        <v>36169</v>
      </c>
      <c r="C116" s="31" t="n"/>
      <c r="D116" s="32" t="n"/>
      <c r="E116" s="33" t="n">
        <v>0.591</v>
      </c>
      <c r="F116" t="inlineStr">
        <is>
          <t>Down</t>
        </is>
      </c>
      <c r="G116" t="inlineStr">
        <is>
          <t>Down</t>
        </is>
      </c>
      <c r="H116" t="inlineStr">
        <is>
          <t>ED_JD</t>
        </is>
      </c>
      <c r="I116" t="inlineStr">
        <is>
          <t>2006-09</t>
        </is>
      </c>
      <c r="J116" t="n">
        <v>1</v>
      </c>
      <c r="K116" t="n">
        <v>1</v>
      </c>
      <c r="L116" s="34">
        <f>IF($J116=1,LN(B117/B116),"")</f>
        <v/>
      </c>
      <c r="M116" s="34">
        <f>IF($K116=1,INDEX(Mensal!$D$2:$D$245,MATCH($I116,Mensal!$A$2:$A$245,0)),"")</f>
        <v/>
      </c>
      <c r="N116" s="34">
        <f>IF($K116=1,L116-M116,"")</f>
        <v/>
      </c>
      <c r="O116" s="34" t="n">
        <v>0.00052322</v>
      </c>
      <c r="P116" s="34">
        <f>IF($J116=1,LN(1+O116),"")</f>
        <v/>
      </c>
      <c r="Q116" s="34">
        <f>IF($J116=1,LN(R117/R116),"")</f>
        <v/>
      </c>
      <c r="R116" s="32" t="n">
        <v>2.154</v>
      </c>
      <c r="S116" s="35" t="n">
        <v>13.62</v>
      </c>
      <c r="T116" s="18" t="n"/>
      <c r="U116" s="18" t="n"/>
      <c r="V116" s="18" t="n">
        <v>36169</v>
      </c>
      <c r="W116" s="18" t="n"/>
      <c r="X116" s="35" t="n"/>
      <c r="Y116" s="35" t="n">
        <v>13.62</v>
      </c>
    </row>
    <row r="117">
      <c r="A117" s="25" t="n">
        <v>38978</v>
      </c>
      <c r="B117" s="18" t="n">
        <v>36482</v>
      </c>
      <c r="C117" s="31" t="n"/>
      <c r="D117" s="32" t="n"/>
      <c r="E117" s="33" t="n">
        <v>0.6321</v>
      </c>
      <c r="F117" t="inlineStr">
        <is>
          <t>Down</t>
        </is>
      </c>
      <c r="G117" t="inlineStr">
        <is>
          <t>Down</t>
        </is>
      </c>
      <c r="H117" t="inlineStr">
        <is>
          <t>ED_JD</t>
        </is>
      </c>
      <c r="I117" t="inlineStr">
        <is>
          <t>2006-09</t>
        </is>
      </c>
      <c r="J117" t="n">
        <v>1</v>
      </c>
      <c r="K117" t="n">
        <v>1</v>
      </c>
      <c r="L117" s="34">
        <f>IF($J117=1,LN(B118/B117),"")</f>
        <v/>
      </c>
      <c r="M117" s="34">
        <f>IF($K117=1,INDEX(Mensal!$D$2:$D$245,MATCH($I117,Mensal!$A$2:$A$245,0)),"")</f>
        <v/>
      </c>
      <c r="N117" s="34">
        <f>IF($K117=1,L117-M117,"")</f>
        <v/>
      </c>
      <c r="O117" s="34" t="n">
        <v>0.00052322</v>
      </c>
      <c r="P117" s="34">
        <f>IF($J117=1,LN(1+O117),"")</f>
        <v/>
      </c>
      <c r="Q117" s="34">
        <f>IF($J117=1,LN(R118/R117),"")</f>
        <v/>
      </c>
      <c r="R117" s="32" t="n">
        <v>2.1453</v>
      </c>
      <c r="S117" s="35" t="n">
        <v>13.57</v>
      </c>
      <c r="T117" s="18" t="n"/>
      <c r="U117" s="18" t="n"/>
      <c r="V117" s="18" t="n">
        <v>36482</v>
      </c>
      <c r="W117" s="18" t="n"/>
      <c r="X117" s="35" t="n"/>
      <c r="Y117" s="35" t="n">
        <v>13.57</v>
      </c>
    </row>
    <row r="118">
      <c r="A118" s="25" t="n">
        <v>38979</v>
      </c>
      <c r="B118" s="18" t="n">
        <v>35885</v>
      </c>
      <c r="C118" s="31" t="n"/>
      <c r="D118" s="32" t="n"/>
      <c r="E118" s="33" t="n">
        <v>0.6737</v>
      </c>
      <c r="F118" t="inlineStr">
        <is>
          <t>Down</t>
        </is>
      </c>
      <c r="G118" t="inlineStr">
        <is>
          <t>Down</t>
        </is>
      </c>
      <c r="H118" t="inlineStr">
        <is>
          <t>ED_JD</t>
        </is>
      </c>
      <c r="I118" t="inlineStr">
        <is>
          <t>2006-09</t>
        </is>
      </c>
      <c r="J118" t="n">
        <v>1</v>
      </c>
      <c r="K118" t="n">
        <v>1</v>
      </c>
      <c r="L118" s="34">
        <f>IF($J118=1,LN(B119/B118),"")</f>
        <v/>
      </c>
      <c r="M118" s="34">
        <f>IF($K118=1,INDEX(Mensal!$D$2:$D$245,MATCH($I118,Mensal!$A$2:$A$245,0)),"")</f>
        <v/>
      </c>
      <c r="N118" s="34">
        <f>IF($K118=1,L118-M118,"")</f>
        <v/>
      </c>
      <c r="O118" s="34" t="n">
        <v>0.00052357</v>
      </c>
      <c r="P118" s="34">
        <f>IF($J118=1,LN(1+O118),"")</f>
        <v/>
      </c>
      <c r="Q118" s="34">
        <f>IF($J118=1,LN(R119/R118),"")</f>
        <v/>
      </c>
      <c r="R118" s="32" t="n">
        <v>2.1518</v>
      </c>
      <c r="S118" s="35" t="n">
        <v>13.62</v>
      </c>
      <c r="T118" s="18" t="n"/>
      <c r="U118" s="18" t="n"/>
      <c r="V118" s="18" t="n">
        <v>35885</v>
      </c>
      <c r="W118" s="18" t="n"/>
      <c r="X118" s="35" t="n"/>
      <c r="Y118" s="35" t="n">
        <v>13.62</v>
      </c>
    </row>
    <row r="119">
      <c r="A119" s="25" t="n">
        <v>38980</v>
      </c>
      <c r="B119" s="18" t="n">
        <v>35196</v>
      </c>
      <c r="C119" s="31" t="n"/>
      <c r="D119" s="32" t="n"/>
      <c r="E119" s="33" t="n">
        <v>0.7151999999999999</v>
      </c>
      <c r="F119" t="inlineStr">
        <is>
          <t>Down</t>
        </is>
      </c>
      <c r="G119" t="inlineStr">
        <is>
          <t>Down</t>
        </is>
      </c>
      <c r="H119" t="inlineStr">
        <is>
          <t>ED_JD</t>
        </is>
      </c>
      <c r="I119" t="inlineStr">
        <is>
          <t>2006-09</t>
        </is>
      </c>
      <c r="J119" t="n">
        <v>1</v>
      </c>
      <c r="K119" t="n">
        <v>1</v>
      </c>
      <c r="L119" s="34">
        <f>IF($J119=1,LN(B120/B119),"")</f>
        <v/>
      </c>
      <c r="M119" s="34">
        <f>IF($K119=1,INDEX(Mensal!$D$2:$D$245,MATCH($I119,Mensal!$A$2:$A$245,0)),"")</f>
        <v/>
      </c>
      <c r="N119" s="34">
        <f>IF($K119=1,L119-M119,"")</f>
        <v/>
      </c>
      <c r="O119" s="34" t="n">
        <v>0.00052322</v>
      </c>
      <c r="P119" s="34">
        <f>IF($J119=1,LN(1+O119),"")</f>
        <v/>
      </c>
      <c r="Q119" s="34">
        <f>IF($J119=1,LN(R120/R119),"")</f>
        <v/>
      </c>
      <c r="R119" s="32" t="n">
        <v>2.169</v>
      </c>
      <c r="S119" s="35" t="n">
        <v>13.66</v>
      </c>
      <c r="T119" s="18" t="n"/>
      <c r="U119" s="18" t="n"/>
      <c r="V119" s="18" t="n">
        <v>35196</v>
      </c>
      <c r="W119" s="18" t="n"/>
      <c r="X119" s="35" t="n"/>
      <c r="Y119" s="35" t="n">
        <v>13.66</v>
      </c>
    </row>
    <row r="120">
      <c r="A120" s="25" t="n">
        <v>38981</v>
      </c>
      <c r="B120" s="18" t="n">
        <v>34830</v>
      </c>
      <c r="C120" s="31" t="n"/>
      <c r="D120" s="32" t="n"/>
      <c r="E120" s="33" t="n">
        <v>0.7473</v>
      </c>
      <c r="F120" t="inlineStr">
        <is>
          <t>Down</t>
        </is>
      </c>
      <c r="G120" t="inlineStr">
        <is>
          <t>Down</t>
        </is>
      </c>
      <c r="H120" t="inlineStr">
        <is>
          <t>ED_JD</t>
        </is>
      </c>
      <c r="I120" t="inlineStr">
        <is>
          <t>2006-09</t>
        </is>
      </c>
      <c r="J120" t="n">
        <v>1</v>
      </c>
      <c r="K120" t="n">
        <v>1</v>
      </c>
      <c r="L120" s="34">
        <f>IF($J120=1,LN(B121/B120),"")</f>
        <v/>
      </c>
      <c r="M120" s="34">
        <f>IF($K120=1,INDEX(Mensal!$D$2:$D$245,MATCH($I120,Mensal!$A$2:$A$245,0)),"")</f>
        <v/>
      </c>
      <c r="N120" s="34">
        <f>IF($K120=1,L120-M120,"")</f>
        <v/>
      </c>
      <c r="O120" s="34" t="n">
        <v>0.00052322</v>
      </c>
      <c r="P120" s="34">
        <f>IF($J120=1,LN(1+O120),"")</f>
        <v/>
      </c>
      <c r="Q120" s="34">
        <f>IF($J120=1,LN(R121/R120),"")</f>
        <v/>
      </c>
      <c r="R120" s="32" t="n">
        <v>2.1969</v>
      </c>
      <c r="S120" s="35" t="n">
        <v>13.82</v>
      </c>
      <c r="T120" s="18" t="n"/>
      <c r="U120" s="18" t="n"/>
      <c r="V120" s="18" t="n">
        <v>34830</v>
      </c>
      <c r="W120" s="18" t="n"/>
      <c r="X120" s="35" t="n"/>
      <c r="Y120" s="35" t="n">
        <v>13.82</v>
      </c>
    </row>
    <row r="121">
      <c r="A121" s="25" t="n">
        <v>38982</v>
      </c>
      <c r="B121" s="18" t="n">
        <v>34798</v>
      </c>
      <c r="C121" s="31" t="n"/>
      <c r="D121" s="32" t="n"/>
      <c r="E121" s="33" t="n">
        <v>0.7844</v>
      </c>
      <c r="F121" t="inlineStr">
        <is>
          <t>Down</t>
        </is>
      </c>
      <c r="G121" t="inlineStr">
        <is>
          <t>Down</t>
        </is>
      </c>
      <c r="H121" t="inlineStr">
        <is>
          <t>ED_JD</t>
        </is>
      </c>
      <c r="I121" t="inlineStr">
        <is>
          <t>2006-09</t>
        </is>
      </c>
      <c r="J121" t="n">
        <v>1</v>
      </c>
      <c r="K121" t="n">
        <v>1</v>
      </c>
      <c r="L121" s="34">
        <f>IF($J121=1,LN(B122/B121),"")</f>
        <v/>
      </c>
      <c r="M121" s="34">
        <f>IF($K121=1,INDEX(Mensal!$D$2:$D$245,MATCH($I121,Mensal!$A$2:$A$245,0)),"")</f>
        <v/>
      </c>
      <c r="N121" s="34">
        <f>IF($K121=1,L121-M121,"")</f>
        <v/>
      </c>
      <c r="O121" s="34" t="n">
        <v>0.00052322</v>
      </c>
      <c r="P121" s="34">
        <f>IF($J121=1,LN(1+O121),"")</f>
        <v/>
      </c>
      <c r="Q121" s="34">
        <f>IF($J121=1,LN(R122/R121),"")</f>
        <v/>
      </c>
      <c r="R121" s="32" t="n">
        <v>2.2177</v>
      </c>
      <c r="S121" s="35" t="n">
        <v>13.67</v>
      </c>
      <c r="T121" s="18" t="n"/>
      <c r="U121" s="18" t="n"/>
      <c r="V121" s="18" t="n">
        <v>34798</v>
      </c>
      <c r="W121" s="18" t="n"/>
      <c r="X121" s="35" t="n"/>
      <c r="Y121" s="35" t="n">
        <v>13.67</v>
      </c>
    </row>
    <row r="122">
      <c r="A122" s="25" t="n">
        <v>38985</v>
      </c>
      <c r="B122" s="18" t="n">
        <v>34972</v>
      </c>
      <c r="C122" s="31" t="n"/>
      <c r="D122" s="32" t="n"/>
      <c r="E122" s="33" t="n">
        <v>0.828</v>
      </c>
      <c r="F122" t="inlineStr">
        <is>
          <t>Down</t>
        </is>
      </c>
      <c r="G122" t="inlineStr">
        <is>
          <t>Down</t>
        </is>
      </c>
      <c r="H122" t="inlineStr">
        <is>
          <t>ED_JD</t>
        </is>
      </c>
      <c r="I122" t="inlineStr">
        <is>
          <t>2006-09</t>
        </is>
      </c>
      <c r="J122" t="n">
        <v>1</v>
      </c>
      <c r="K122" t="n">
        <v>1</v>
      </c>
      <c r="L122" s="34">
        <f>IF($J122=1,LN(B123/B122),"")</f>
        <v/>
      </c>
      <c r="M122" s="34">
        <f>IF($K122=1,INDEX(Mensal!$D$2:$D$245,MATCH($I122,Mensal!$A$2:$A$245,0)),"")</f>
        <v/>
      </c>
      <c r="N122" s="34">
        <f>IF($K122=1,L122-M122,"")</f>
        <v/>
      </c>
      <c r="O122" s="34" t="n">
        <v>0.00052392</v>
      </c>
      <c r="P122" s="34">
        <f>IF($J122=1,LN(1+O122),"")</f>
        <v/>
      </c>
      <c r="Q122" s="34">
        <f>IF($J122=1,LN(R123/R122),"")</f>
        <v/>
      </c>
      <c r="R122" s="32" t="n">
        <v>2.2188</v>
      </c>
      <c r="S122" s="35" t="n">
        <v>13.68</v>
      </c>
      <c r="T122" s="18" t="n"/>
      <c r="U122" s="18" t="n"/>
      <c r="V122" s="18" t="n">
        <v>34972</v>
      </c>
      <c r="W122" s="18" t="n"/>
      <c r="X122" s="35" t="n"/>
      <c r="Y122" s="35" t="n">
        <v>13.68</v>
      </c>
    </row>
    <row r="123">
      <c r="A123" s="25" t="n">
        <v>38986</v>
      </c>
      <c r="B123" s="18" t="n">
        <v>35819</v>
      </c>
      <c r="C123" s="31" t="n"/>
      <c r="D123" s="32" t="n"/>
      <c r="E123" s="33" t="n">
        <v>0.8662</v>
      </c>
      <c r="F123" t="inlineStr">
        <is>
          <t>Down</t>
        </is>
      </c>
      <c r="G123" t="inlineStr">
        <is>
          <t>Down</t>
        </is>
      </c>
      <c r="H123" t="inlineStr">
        <is>
          <t>ED_JD</t>
        </is>
      </c>
      <c r="I123" t="inlineStr">
        <is>
          <t>2006-09</t>
        </is>
      </c>
      <c r="J123" t="n">
        <v>1</v>
      </c>
      <c r="K123" t="n">
        <v>1</v>
      </c>
      <c r="L123" s="34">
        <f>IF($J123=1,LN(B124/B123),"")</f>
        <v/>
      </c>
      <c r="M123" s="34">
        <f>IF($K123=1,INDEX(Mensal!$D$2:$D$245,MATCH($I123,Mensal!$A$2:$A$245,0)),"")</f>
        <v/>
      </c>
      <c r="N123" s="34">
        <f>IF($K123=1,L123-M123,"")</f>
        <v/>
      </c>
      <c r="O123" s="34" t="n">
        <v>0.00052357</v>
      </c>
      <c r="P123" s="34">
        <f>IF($J123=1,LN(1+O123),"")</f>
        <v/>
      </c>
      <c r="Q123" s="34">
        <f>IF($J123=1,LN(R124/R123),"")</f>
        <v/>
      </c>
      <c r="R123" s="32" t="n">
        <v>2.198</v>
      </c>
      <c r="S123" s="35" t="n">
        <v>13.61</v>
      </c>
      <c r="T123" s="18" t="n"/>
      <c r="U123" s="18" t="n"/>
      <c r="V123" s="18" t="n">
        <v>35819</v>
      </c>
      <c r="W123" s="18" t="n"/>
      <c r="X123" s="35" t="n"/>
      <c r="Y123" s="35" t="n">
        <v>13.61</v>
      </c>
    </row>
    <row r="124">
      <c r="A124" s="25" t="n">
        <v>38987</v>
      </c>
      <c r="B124" s="18" t="n">
        <v>36105</v>
      </c>
      <c r="C124" s="31" t="n"/>
      <c r="D124" s="32" t="n"/>
      <c r="E124" s="33" t="n">
        <v>0.9026999999999999</v>
      </c>
      <c r="F124" t="inlineStr">
        <is>
          <t>Down</t>
        </is>
      </c>
      <c r="G124" t="inlineStr">
        <is>
          <t>Down</t>
        </is>
      </c>
      <c r="H124" t="inlineStr">
        <is>
          <t>ED_JD</t>
        </is>
      </c>
      <c r="I124" t="inlineStr">
        <is>
          <t>2006-09</t>
        </is>
      </c>
      <c r="J124" t="n">
        <v>1</v>
      </c>
      <c r="K124" t="n">
        <v>1</v>
      </c>
      <c r="L124" s="34">
        <f>IF($J124=1,LN(B125/B124),"")</f>
        <v/>
      </c>
      <c r="M124" s="34">
        <f>IF($K124=1,INDEX(Mensal!$D$2:$D$245,MATCH($I124,Mensal!$A$2:$A$245,0)),"")</f>
        <v/>
      </c>
      <c r="N124" s="34">
        <f>IF($K124=1,L124-M124,"")</f>
        <v/>
      </c>
      <c r="O124" s="34" t="n">
        <v>0.00052461</v>
      </c>
      <c r="P124" s="34">
        <f>IF($J124=1,LN(1+O124),"")</f>
        <v/>
      </c>
      <c r="Q124" s="34">
        <f>IF($J124=1,LN(R125/R124),"")</f>
        <v/>
      </c>
      <c r="R124" s="32" t="n">
        <v>2.186</v>
      </c>
      <c r="S124" s="35" t="n">
        <v>13.6</v>
      </c>
      <c r="T124" s="18" t="n"/>
      <c r="U124" s="18" t="n"/>
      <c r="V124" s="18" t="n">
        <v>36105</v>
      </c>
      <c r="W124" s="18" t="n"/>
      <c r="X124" s="35" t="n"/>
      <c r="Y124" s="35" t="n">
        <v>13.6</v>
      </c>
    </row>
    <row r="125">
      <c r="A125" s="25" t="n">
        <v>38988</v>
      </c>
      <c r="B125" s="18" t="n">
        <v>36486</v>
      </c>
      <c r="C125" s="31" t="n"/>
      <c r="D125" s="32" t="n"/>
      <c r="E125" s="33" t="n">
        <v>0.9363</v>
      </c>
      <c r="F125" t="inlineStr">
        <is>
          <t>Down</t>
        </is>
      </c>
      <c r="G125" t="inlineStr">
        <is>
          <t>Down</t>
        </is>
      </c>
      <c r="H125" t="inlineStr">
        <is>
          <t>ED_JD</t>
        </is>
      </c>
      <c r="I125" t="inlineStr">
        <is>
          <t>2006-09</t>
        </is>
      </c>
      <c r="J125" t="n">
        <v>1</v>
      </c>
      <c r="K125" t="n">
        <v>1</v>
      </c>
      <c r="L125" s="34">
        <f>IF($J125=1,LN(B126/B125),"")</f>
        <v/>
      </c>
      <c r="M125" s="34">
        <f>IF($K125=1,INDEX(Mensal!$D$2:$D$245,MATCH($I125,Mensal!$A$2:$A$245,0)),"")</f>
        <v/>
      </c>
      <c r="N125" s="34">
        <f>IF($K125=1,L125-M125,"")</f>
        <v/>
      </c>
      <c r="O125" s="34" t="n">
        <v>0.00052461</v>
      </c>
      <c r="P125" s="34">
        <f>IF($J125=1,LN(1+O125),"")</f>
        <v/>
      </c>
      <c r="Q125" s="34">
        <f>IF($J125=1,LN(R126/R125),"")</f>
        <v/>
      </c>
      <c r="R125" s="32" t="n">
        <v>2.1793</v>
      </c>
      <c r="S125" s="35" t="n">
        <v>13.59</v>
      </c>
      <c r="T125" s="18" t="n"/>
      <c r="U125" s="18" t="n"/>
      <c r="V125" s="18" t="n">
        <v>36486</v>
      </c>
      <c r="W125" s="18" t="n"/>
      <c r="X125" s="35" t="n"/>
      <c r="Y125" s="35" t="n">
        <v>13.59</v>
      </c>
    </row>
    <row r="126">
      <c r="A126" s="25" t="n">
        <v>38989</v>
      </c>
      <c r="B126" s="18" t="n">
        <v>36449</v>
      </c>
      <c r="C126" s="31" t="n"/>
      <c r="D126" s="32" t="n"/>
      <c r="E126" s="33" t="n">
        <v>0.9645</v>
      </c>
      <c r="F126" t="inlineStr">
        <is>
          <t>Down</t>
        </is>
      </c>
      <c r="G126" t="inlineStr">
        <is>
          <t>Down</t>
        </is>
      </c>
      <c r="H126" t="inlineStr">
        <is>
          <t>ED_JD</t>
        </is>
      </c>
      <c r="I126" t="inlineStr">
        <is>
          <t>2006-09</t>
        </is>
      </c>
      <c r="J126" t="n">
        <v>1</v>
      </c>
      <c r="K126" t="n">
        <v>1</v>
      </c>
      <c r="L126" s="34">
        <f>IF($J126=1,LN(B127/B126),"")</f>
        <v/>
      </c>
      <c r="M126" s="34">
        <f>IF($K126=1,INDEX(Mensal!$D$2:$D$245,MATCH($I126,Mensal!$A$2:$A$245,0)),"")</f>
        <v/>
      </c>
      <c r="N126" s="34">
        <f>IF($K126=1,L126-M126,"")</f>
        <v/>
      </c>
      <c r="O126" s="34" t="n">
        <v>0.00052635</v>
      </c>
      <c r="P126" s="34">
        <f>IF($J126=1,LN(1+O126),"")</f>
        <v/>
      </c>
      <c r="Q126" s="34">
        <f>IF($J126=1,LN(R127/R126),"")</f>
        <v/>
      </c>
      <c r="R126" s="32" t="n">
        <v>2.1742</v>
      </c>
      <c r="S126" s="35" t="n">
        <v>13.57</v>
      </c>
      <c r="T126" s="18" t="n"/>
      <c r="U126" s="18" t="n"/>
      <c r="V126" s="18" t="n">
        <v>36449</v>
      </c>
      <c r="W126" s="18" t="n"/>
      <c r="X126" s="35" t="n"/>
      <c r="Y126" s="35" t="n">
        <v>13.57</v>
      </c>
    </row>
    <row r="127">
      <c r="A127" s="25" t="n">
        <v>38992</v>
      </c>
      <c r="B127" s="18" t="n">
        <v>37057</v>
      </c>
      <c r="C127" s="31" t="n"/>
      <c r="D127" s="32" t="n"/>
      <c r="E127" s="33" t="n">
        <v>0.9938</v>
      </c>
      <c r="F127" t="inlineStr">
        <is>
          <t>Down</t>
        </is>
      </c>
      <c r="G127" t="inlineStr">
        <is>
          <t>Down</t>
        </is>
      </c>
      <c r="H127" t="inlineStr">
        <is>
          <t>ED_JD</t>
        </is>
      </c>
      <c r="I127" t="inlineStr">
        <is>
          <t>2006-10</t>
        </is>
      </c>
      <c r="J127" t="n">
        <v>1</v>
      </c>
      <c r="K127" t="n">
        <v>1</v>
      </c>
      <c r="L127" s="34">
        <f>IF($J127=1,LN(B128/B127),"")</f>
        <v/>
      </c>
      <c r="M127" s="34">
        <f>IF($K127=1,INDEX(Mensal!$D$2:$D$245,MATCH($I127,Mensal!$A$2:$A$245,0)),"")</f>
        <v/>
      </c>
      <c r="N127" s="34">
        <f>IF($K127=1,L127-M127,"")</f>
        <v/>
      </c>
      <c r="O127" s="34" t="n">
        <v>0.0005256600000000001</v>
      </c>
      <c r="P127" s="34">
        <f>IF($J127=1,LN(1+O127),"")</f>
        <v/>
      </c>
      <c r="Q127" s="34">
        <f>IF($J127=1,LN(R128/R127),"")</f>
        <v/>
      </c>
      <c r="R127" s="32" t="n">
        <v>2.1623</v>
      </c>
      <c r="S127" s="35" t="n">
        <v>13.46</v>
      </c>
      <c r="T127" s="18" t="n"/>
      <c r="U127" s="18" t="n"/>
      <c r="V127" s="18" t="n">
        <v>37057</v>
      </c>
      <c r="W127" s="18" t="n"/>
      <c r="X127" s="35" t="n"/>
      <c r="Y127" s="35" t="n">
        <v>13.46</v>
      </c>
    </row>
    <row r="128">
      <c r="A128" s="25" t="n">
        <v>38993</v>
      </c>
      <c r="B128" s="18" t="n">
        <v>36437</v>
      </c>
      <c r="C128" s="31" t="n"/>
      <c r="D128" s="32" t="n"/>
      <c r="E128" s="33" t="n">
        <v>1.0178</v>
      </c>
      <c r="F128" t="inlineStr">
        <is>
          <t>Down</t>
        </is>
      </c>
      <c r="G128" t="inlineStr">
        <is>
          <t>Down</t>
        </is>
      </c>
      <c r="H128" t="inlineStr">
        <is>
          <t>ED_JD</t>
        </is>
      </c>
      <c r="I128" t="inlineStr">
        <is>
          <t>2006-10</t>
        </is>
      </c>
      <c r="J128" t="n">
        <v>1</v>
      </c>
      <c r="K128" t="n">
        <v>1</v>
      </c>
      <c r="L128" s="34">
        <f>IF($J128=1,LN(B129/B128),"")</f>
        <v/>
      </c>
      <c r="M128" s="34">
        <f>IF($K128=1,INDEX(Mensal!$D$2:$D$245,MATCH($I128,Mensal!$A$2:$A$245,0)),"")</f>
        <v/>
      </c>
      <c r="N128" s="34">
        <f>IF($K128=1,L128-M128,"")</f>
        <v/>
      </c>
      <c r="O128" s="34" t="n">
        <v>0.00052496</v>
      </c>
      <c r="P128" s="34">
        <f>IF($J128=1,LN(1+O128),"")</f>
        <v/>
      </c>
      <c r="Q128" s="34">
        <f>IF($J128=1,LN(R129/R128),"")</f>
        <v/>
      </c>
      <c r="R128" s="32" t="n">
        <v>2.1655</v>
      </c>
      <c r="S128" s="35" t="n">
        <v>13.46</v>
      </c>
      <c r="T128" s="18" t="n"/>
      <c r="U128" s="18" t="n"/>
      <c r="V128" s="18" t="n">
        <v>36437</v>
      </c>
      <c r="W128" s="18" t="n"/>
      <c r="X128" s="35" t="n"/>
      <c r="Y128" s="35" t="n">
        <v>13.46</v>
      </c>
    </row>
    <row r="129">
      <c r="A129" s="25" t="n">
        <v>38994</v>
      </c>
      <c r="B129" s="18" t="n">
        <v>37749</v>
      </c>
      <c r="C129" s="31" t="n"/>
      <c r="D129" s="32" t="n"/>
      <c r="E129" s="33" t="n">
        <v>1.0382</v>
      </c>
      <c r="F129" t="inlineStr">
        <is>
          <t>Down</t>
        </is>
      </c>
      <c r="G129" t="inlineStr">
        <is>
          <t>Down</t>
        </is>
      </c>
      <c r="H129" t="inlineStr">
        <is>
          <t>ED_JD</t>
        </is>
      </c>
      <c r="I129" t="inlineStr">
        <is>
          <t>2006-10</t>
        </is>
      </c>
      <c r="J129" t="n">
        <v>1</v>
      </c>
      <c r="K129" t="n">
        <v>1</v>
      </c>
      <c r="L129" s="34">
        <f>IF($J129=1,LN(B130/B129),"")</f>
        <v/>
      </c>
      <c r="M129" s="34">
        <f>IF($K129=1,INDEX(Mensal!$D$2:$D$245,MATCH($I129,Mensal!$A$2:$A$245,0)),"")</f>
        <v/>
      </c>
      <c r="N129" s="34">
        <f>IF($K129=1,L129-M129,"")</f>
        <v/>
      </c>
      <c r="O129" s="34" t="n">
        <v>0.00052496</v>
      </c>
      <c r="P129" s="34">
        <f>IF($J129=1,LN(1+O129),"")</f>
        <v/>
      </c>
      <c r="Q129" s="34">
        <f>IF($J129=1,LN(R130/R129),"")</f>
        <v/>
      </c>
      <c r="R129" s="32" t="n">
        <v>2.1676</v>
      </c>
      <c r="S129" s="35" t="n">
        <v>13.43</v>
      </c>
      <c r="T129" s="18" t="n"/>
      <c r="U129" s="18" t="n"/>
      <c r="V129" s="18" t="n">
        <v>37749</v>
      </c>
      <c r="W129" s="18" t="n"/>
      <c r="X129" s="35" t="n"/>
      <c r="Y129" s="35" t="n">
        <v>13.43</v>
      </c>
    </row>
    <row r="130">
      <c r="A130" s="25" t="n">
        <v>38995</v>
      </c>
      <c r="B130" s="18" t="n">
        <v>37976</v>
      </c>
      <c r="C130" s="31" t="n"/>
      <c r="D130" s="32" t="n"/>
      <c r="E130" s="33" t="n">
        <v>1.0511</v>
      </c>
      <c r="F130" t="inlineStr">
        <is>
          <t>Down</t>
        </is>
      </c>
      <c r="G130" t="inlineStr">
        <is>
          <t>Down</t>
        </is>
      </c>
      <c r="H130" t="inlineStr">
        <is>
          <t>ED_JD</t>
        </is>
      </c>
      <c r="I130" t="inlineStr">
        <is>
          <t>2006-10</t>
        </is>
      </c>
      <c r="J130" t="n">
        <v>1</v>
      </c>
      <c r="K130" t="n">
        <v>1</v>
      </c>
      <c r="L130" s="34">
        <f>IF($J130=1,LN(B131/B130),"")</f>
        <v/>
      </c>
      <c r="M130" s="34">
        <f>IF($K130=1,INDEX(Mensal!$D$2:$D$245,MATCH($I130,Mensal!$A$2:$A$245,0)),"")</f>
        <v/>
      </c>
      <c r="N130" s="34">
        <f>IF($K130=1,L130-M130,"")</f>
        <v/>
      </c>
      <c r="O130" s="34" t="n">
        <v>0.00052496</v>
      </c>
      <c r="P130" s="34">
        <f>IF($J130=1,LN(1+O130),"")</f>
        <v/>
      </c>
      <c r="Q130" s="34">
        <f>IF($J130=1,LN(R131/R130),"")</f>
        <v/>
      </c>
      <c r="R130" s="32" t="n">
        <v>2.1629</v>
      </c>
      <c r="S130" s="35" t="n">
        <v>13.41</v>
      </c>
      <c r="T130" s="18" t="n"/>
      <c r="U130" s="18" t="n"/>
      <c r="V130" s="18" t="n">
        <v>37976</v>
      </c>
      <c r="W130" s="18" t="n"/>
      <c r="X130" s="35" t="n"/>
      <c r="Y130" s="35" t="n">
        <v>13.41</v>
      </c>
    </row>
    <row r="131">
      <c r="A131" s="25" t="n">
        <v>38996</v>
      </c>
      <c r="B131" s="18" t="n">
        <v>37940</v>
      </c>
      <c r="C131" s="31" t="n"/>
      <c r="D131" s="32" t="n"/>
      <c r="E131" s="33" t="n">
        <v>1.0587</v>
      </c>
      <c r="F131" t="inlineStr">
        <is>
          <t>Down</t>
        </is>
      </c>
      <c r="G131" t="inlineStr">
        <is>
          <t>Down</t>
        </is>
      </c>
      <c r="H131" t="inlineStr">
        <is>
          <t>ED_JD</t>
        </is>
      </c>
      <c r="I131" t="inlineStr">
        <is>
          <t>2006-10</t>
        </is>
      </c>
      <c r="J131" t="n">
        <v>1</v>
      </c>
      <c r="K131" t="n">
        <v>1</v>
      </c>
      <c r="L131" s="34">
        <f>IF($J131=1,LN(B132/B131),"")</f>
        <v/>
      </c>
      <c r="M131" s="34">
        <f>IF($K131=1,INDEX(Mensal!$D$2:$D$245,MATCH($I131,Mensal!$A$2:$A$245,0)),"")</f>
        <v/>
      </c>
      <c r="N131" s="34">
        <f>IF($K131=1,L131-M131,"")</f>
        <v/>
      </c>
      <c r="O131" s="34" t="n">
        <v>0.00052461</v>
      </c>
      <c r="P131" s="34">
        <f>IF($J131=1,LN(1+O131),"")</f>
        <v/>
      </c>
      <c r="Q131" s="34">
        <f>IF($J131=1,LN(R132/R131),"")</f>
        <v/>
      </c>
      <c r="R131" s="32" t="n">
        <v>2.1636</v>
      </c>
      <c r="S131" s="35" t="n">
        <v>13.42</v>
      </c>
      <c r="T131" s="18" t="n"/>
      <c r="U131" s="18" t="n"/>
      <c r="V131" s="18" t="n">
        <v>37940</v>
      </c>
      <c r="W131" s="18" t="n"/>
      <c r="X131" s="35" t="n"/>
      <c r="Y131" s="35" t="n">
        <v>13.42</v>
      </c>
    </row>
    <row r="132">
      <c r="A132" s="25" t="n">
        <v>38999</v>
      </c>
      <c r="B132" s="18" t="n">
        <v>38406</v>
      </c>
      <c r="C132" s="31" t="n"/>
      <c r="D132" s="32" t="n"/>
      <c r="E132" s="33" t="n">
        <v>1.0654</v>
      </c>
      <c r="F132" t="inlineStr">
        <is>
          <t>Down</t>
        </is>
      </c>
      <c r="G132" t="inlineStr">
        <is>
          <t>Down</t>
        </is>
      </c>
      <c r="H132" t="inlineStr">
        <is>
          <t>ED_JD</t>
        </is>
      </c>
      <c r="I132" t="inlineStr">
        <is>
          <t>2006-10</t>
        </is>
      </c>
      <c r="J132" t="n">
        <v>1</v>
      </c>
      <c r="K132" t="n">
        <v>1</v>
      </c>
      <c r="L132" s="34">
        <f>IF($J132=1,LN(B133/B132),"")</f>
        <v/>
      </c>
      <c r="M132" s="34">
        <f>IF($K132=1,INDEX(Mensal!$D$2:$D$245,MATCH($I132,Mensal!$A$2:$A$245,0)),"")</f>
        <v/>
      </c>
      <c r="N132" s="34">
        <f>IF($K132=1,L132-M132,"")</f>
        <v/>
      </c>
      <c r="O132" s="34" t="n">
        <v>0.00052392</v>
      </c>
      <c r="P132" s="34">
        <f>IF($J132=1,LN(1+O132),"")</f>
        <v/>
      </c>
      <c r="Q132" s="34">
        <f>IF($J132=1,LN(R133/R132),"")</f>
        <v/>
      </c>
      <c r="R132" s="32" t="n">
        <v>2.1588</v>
      </c>
      <c r="S132" s="35" t="n">
        <v>13.33</v>
      </c>
      <c r="T132" s="18" t="n"/>
      <c r="U132" s="18" t="n"/>
      <c r="V132" s="18" t="n">
        <v>38406</v>
      </c>
      <c r="W132" s="18" t="n"/>
      <c r="X132" s="35" t="n"/>
      <c r="Y132" s="35" t="n">
        <v>13.33</v>
      </c>
    </row>
    <row r="133">
      <c r="A133" s="25" t="n">
        <v>39000</v>
      </c>
      <c r="B133" s="18" t="n">
        <v>38654</v>
      </c>
      <c r="C133" s="31" t="n"/>
      <c r="D133" s="32" t="n"/>
      <c r="E133" s="33" t="n">
        <v>1.0666</v>
      </c>
      <c r="F133" t="inlineStr">
        <is>
          <t>Down</t>
        </is>
      </c>
      <c r="G133" t="inlineStr">
        <is>
          <t>Down</t>
        </is>
      </c>
      <c r="H133" t="inlineStr">
        <is>
          <t>ED_JD</t>
        </is>
      </c>
      <c r="I133" t="inlineStr">
        <is>
          <t>2006-10</t>
        </is>
      </c>
      <c r="J133" t="n">
        <v>1</v>
      </c>
      <c r="K133" t="n">
        <v>1</v>
      </c>
      <c r="L133" s="34">
        <f>IF($J133=1,LN(B134/B133),"")</f>
        <v/>
      </c>
      <c r="M133" s="34">
        <f>IF($K133=1,INDEX(Mensal!$D$2:$D$245,MATCH($I133,Mensal!$A$2:$A$245,0)),"")</f>
        <v/>
      </c>
      <c r="N133" s="34">
        <f>IF($K133=1,L133-M133,"")</f>
        <v/>
      </c>
      <c r="O133" s="34" t="n">
        <v>0.00052357</v>
      </c>
      <c r="P133" s="34">
        <f>IF($J133=1,LN(1+O133),"")</f>
        <v/>
      </c>
      <c r="Q133" s="34">
        <f>IF($J133=1,LN(R134/R133),"")</f>
        <v/>
      </c>
      <c r="R133" s="32" t="n">
        <v>2.1497</v>
      </c>
      <c r="S133" s="35" t="n">
        <v>13.31</v>
      </c>
      <c r="T133" s="18" t="n"/>
      <c r="U133" s="18" t="n"/>
      <c r="V133" s="18" t="n">
        <v>38654</v>
      </c>
      <c r="W133" s="18" t="n"/>
      <c r="X133" s="35" t="n"/>
      <c r="Y133" s="35" t="n">
        <v>13.31</v>
      </c>
    </row>
    <row r="134">
      <c r="A134" s="25" t="n">
        <v>39001</v>
      </c>
      <c r="B134" s="18" t="n">
        <v>38322</v>
      </c>
      <c r="C134" s="31" t="n"/>
      <c r="D134" s="32" t="n"/>
      <c r="E134" s="33" t="n">
        <v>1.0648</v>
      </c>
      <c r="F134" t="inlineStr">
        <is>
          <t>Down</t>
        </is>
      </c>
      <c r="G134" t="inlineStr">
        <is>
          <t>Down</t>
        </is>
      </c>
      <c r="H134" t="inlineStr">
        <is>
          <t>ED_JD</t>
        </is>
      </c>
      <c r="I134" t="inlineStr">
        <is>
          <t>2006-10</t>
        </is>
      </c>
      <c r="J134" t="n">
        <v>1</v>
      </c>
      <c r="K134" t="n">
        <v>1</v>
      </c>
      <c r="L134" s="34">
        <f>IF($J134=1,LN(B135/B134),"")</f>
        <v/>
      </c>
      <c r="M134" s="34">
        <f>IF($K134=1,INDEX(Mensal!$D$2:$D$245,MATCH($I134,Mensal!$A$2:$A$245,0)),"")</f>
        <v/>
      </c>
      <c r="N134" s="34">
        <f>IF($K134=1,L134-M134,"")</f>
        <v/>
      </c>
      <c r="O134" s="34" t="n">
        <v>0.00052322</v>
      </c>
      <c r="P134" s="34">
        <f>IF($J134=1,LN(1+O134),"")</f>
        <v/>
      </c>
      <c r="Q134" s="34">
        <f>IF($J134=1,LN(R135/R134),"")</f>
        <v/>
      </c>
      <c r="R134" s="32" t="n">
        <v>2.1546</v>
      </c>
      <c r="S134" s="35" t="n">
        <v>13.32</v>
      </c>
      <c r="T134" s="18" t="n"/>
      <c r="U134" s="18" t="n"/>
      <c r="V134" s="18" t="n">
        <v>38322</v>
      </c>
      <c r="W134" s="18" t="n"/>
      <c r="X134" s="35" t="n"/>
      <c r="Y134" s="35" t="n">
        <v>13.32</v>
      </c>
    </row>
    <row r="135">
      <c r="A135" s="25" t="n">
        <v>39003</v>
      </c>
      <c r="B135" s="18" t="n">
        <v>38850</v>
      </c>
      <c r="C135" s="31" t="n"/>
      <c r="D135" s="32" t="n"/>
      <c r="E135" s="33" t="n">
        <v>1.0671</v>
      </c>
      <c r="F135" t="inlineStr">
        <is>
          <t>Down</t>
        </is>
      </c>
      <c r="G135" t="inlineStr">
        <is>
          <t>Down</t>
        </is>
      </c>
      <c r="H135" t="inlineStr">
        <is>
          <t>ED_JD</t>
        </is>
      </c>
      <c r="I135" t="inlineStr">
        <is>
          <t>2006-10</t>
        </is>
      </c>
      <c r="J135" t="n">
        <v>1</v>
      </c>
      <c r="K135" t="n">
        <v>1</v>
      </c>
      <c r="L135" s="34">
        <f>IF($J135=1,LN(B136/B135),"")</f>
        <v/>
      </c>
      <c r="M135" s="34">
        <f>IF($K135=1,INDEX(Mensal!$D$2:$D$245,MATCH($I135,Mensal!$A$2:$A$245,0)),"")</f>
        <v/>
      </c>
      <c r="N135" s="34">
        <f>IF($K135=1,L135-M135,"")</f>
        <v/>
      </c>
      <c r="O135" s="34" t="n">
        <v>0.00052287</v>
      </c>
      <c r="P135" s="34">
        <f>IF($J135=1,LN(1+O135),"")</f>
        <v/>
      </c>
      <c r="Q135" s="34">
        <f>IF($J135=1,LN(R136/R135),"")</f>
        <v/>
      </c>
      <c r="R135" s="32" t="n">
        <v>2.1419</v>
      </c>
      <c r="S135" s="35" t="n">
        <v>13.27</v>
      </c>
      <c r="T135" s="18" t="n"/>
      <c r="U135" s="18" t="n"/>
      <c r="V135" s="18" t="n">
        <v>38850</v>
      </c>
      <c r="W135" s="18" t="n"/>
      <c r="X135" s="35" t="n"/>
      <c r="Y135" s="35" t="n">
        <v>13.27</v>
      </c>
    </row>
    <row r="136">
      <c r="A136" s="25" t="n">
        <v>39006</v>
      </c>
      <c r="B136" s="18" t="n">
        <v>39229</v>
      </c>
      <c r="C136" s="31" t="n"/>
      <c r="D136" s="32" t="n"/>
      <c r="E136" s="33" t="n">
        <v>1.0681</v>
      </c>
      <c r="F136" t="inlineStr">
        <is>
          <t>Down</t>
        </is>
      </c>
      <c r="G136" t="inlineStr">
        <is>
          <t>Down</t>
        </is>
      </c>
      <c r="H136" t="inlineStr">
        <is>
          <t>ED_JD</t>
        </is>
      </c>
      <c r="I136" t="inlineStr">
        <is>
          <t>2006-10</t>
        </is>
      </c>
      <c r="J136" t="n">
        <v>1</v>
      </c>
      <c r="K136" t="n">
        <v>1</v>
      </c>
      <c r="L136" s="34">
        <f>IF($J136=1,LN(B137/B136),"")</f>
        <v/>
      </c>
      <c r="M136" s="34">
        <f>IF($K136=1,INDEX(Mensal!$D$2:$D$245,MATCH($I136,Mensal!$A$2:$A$245,0)),"")</f>
        <v/>
      </c>
      <c r="N136" s="34">
        <f>IF($K136=1,L136-M136,"")</f>
        <v/>
      </c>
      <c r="O136" s="34" t="n">
        <v>0.00052287</v>
      </c>
      <c r="P136" s="34">
        <f>IF($J136=1,LN(1+O136),"")</f>
        <v/>
      </c>
      <c r="Q136" s="34">
        <f>IF($J136=1,LN(R137/R136),"")</f>
        <v/>
      </c>
      <c r="R136" s="32" t="n">
        <v>2.1331</v>
      </c>
      <c r="S136" s="35" t="n">
        <v>13.29</v>
      </c>
      <c r="T136" s="18" t="n"/>
      <c r="U136" s="18" t="n"/>
      <c r="V136" s="18" t="n">
        <v>39229</v>
      </c>
      <c r="W136" s="18" t="n"/>
      <c r="X136" s="35" t="n"/>
      <c r="Y136" s="35" t="n">
        <v>13.29</v>
      </c>
    </row>
    <row r="137">
      <c r="A137" s="25" t="n">
        <v>39007</v>
      </c>
      <c r="B137" s="18" t="n">
        <v>38897</v>
      </c>
      <c r="C137" s="31" t="n"/>
      <c r="D137" s="32" t="n"/>
      <c r="E137" s="33" t="n">
        <v>1.0669</v>
      </c>
      <c r="F137" t="inlineStr">
        <is>
          <t>Down</t>
        </is>
      </c>
      <c r="G137" t="inlineStr">
        <is>
          <t>Down</t>
        </is>
      </c>
      <c r="H137" t="inlineStr">
        <is>
          <t>ED_JD</t>
        </is>
      </c>
      <c r="I137" t="inlineStr">
        <is>
          <t>2006-10</t>
        </is>
      </c>
      <c r="J137" t="n">
        <v>1</v>
      </c>
      <c r="K137" t="n">
        <v>1</v>
      </c>
      <c r="L137" s="34">
        <f>IF($J137=1,LN(B138/B137),"")</f>
        <v/>
      </c>
      <c r="M137" s="34">
        <f>IF($K137=1,INDEX(Mensal!$D$2:$D$245,MATCH($I137,Mensal!$A$2:$A$245,0)),"")</f>
        <v/>
      </c>
      <c r="N137" s="34">
        <f>IF($K137=1,L137-M137,"")</f>
        <v/>
      </c>
      <c r="O137" s="34" t="n">
        <v>0.00052322</v>
      </c>
      <c r="P137" s="34">
        <f>IF($J137=1,LN(1+O137),"")</f>
        <v/>
      </c>
      <c r="Q137" s="34">
        <f>IF($J137=1,LN(R138/R137),"")</f>
        <v/>
      </c>
      <c r="R137" s="32" t="n">
        <v>2.1361</v>
      </c>
      <c r="S137" s="35" t="n">
        <v>13.32</v>
      </c>
      <c r="T137" s="18" t="n"/>
      <c r="U137" s="18" t="n"/>
      <c r="V137" s="18" t="n">
        <v>38897</v>
      </c>
      <c r="W137" s="18" t="n"/>
      <c r="X137" s="35" t="n"/>
      <c r="Y137" s="35" t="n">
        <v>13.32</v>
      </c>
    </row>
    <row r="138">
      <c r="A138" s="25" t="n">
        <v>39008</v>
      </c>
      <c r="B138" s="18" t="n">
        <v>38685</v>
      </c>
      <c r="C138" s="31" t="n"/>
      <c r="D138" s="32" t="n"/>
      <c r="E138" s="33" t="n">
        <v>1.0651</v>
      </c>
      <c r="F138" t="inlineStr">
        <is>
          <t>Down</t>
        </is>
      </c>
      <c r="G138" t="inlineStr">
        <is>
          <t>Down</t>
        </is>
      </c>
      <c r="H138" t="inlineStr">
        <is>
          <t>ED_JD</t>
        </is>
      </c>
      <c r="I138" t="inlineStr">
        <is>
          <t>2006-10</t>
        </is>
      </c>
      <c r="J138" t="n">
        <v>1</v>
      </c>
      <c r="K138" t="n">
        <v>1</v>
      </c>
      <c r="L138" s="34">
        <f>IF($J138=1,LN(B139/B138),"")</f>
        <v/>
      </c>
      <c r="M138" s="34">
        <f>IF($K138=1,INDEX(Mensal!$D$2:$D$245,MATCH($I138,Mensal!$A$2:$A$245,0)),"")</f>
        <v/>
      </c>
      <c r="N138" s="34">
        <f>IF($K138=1,L138-M138,"")</f>
        <v/>
      </c>
      <c r="O138" s="34" t="n">
        <v>0.00052357</v>
      </c>
      <c r="P138" s="34">
        <f>IF($J138=1,LN(1+O138),"")</f>
        <v/>
      </c>
      <c r="Q138" s="34">
        <f>IF($J138=1,LN(R139/R138),"")</f>
        <v/>
      </c>
      <c r="R138" s="32" t="n">
        <v>2.1339</v>
      </c>
      <c r="S138" s="35" t="n">
        <v>13.33</v>
      </c>
      <c r="T138" s="18" t="n"/>
      <c r="U138" s="18" t="n"/>
      <c r="V138" s="18" t="n">
        <v>38685</v>
      </c>
      <c r="W138" s="18" t="n"/>
      <c r="X138" s="35" t="n"/>
      <c r="Y138" s="35" t="n">
        <v>13.33</v>
      </c>
    </row>
    <row r="139">
      <c r="A139" s="25" t="n">
        <v>39009</v>
      </c>
      <c r="B139" s="18" t="n">
        <v>38919</v>
      </c>
      <c r="C139" s="31" t="n"/>
      <c r="D139" s="32" t="n"/>
      <c r="E139" s="33" t="n">
        <v>1.0613</v>
      </c>
      <c r="F139" t="inlineStr">
        <is>
          <t>Down</t>
        </is>
      </c>
      <c r="G139" t="inlineStr">
        <is>
          <t>Down</t>
        </is>
      </c>
      <c r="H139" t="inlineStr">
        <is>
          <t>ED_JD</t>
        </is>
      </c>
      <c r="I139" t="inlineStr">
        <is>
          <t>2006-10</t>
        </is>
      </c>
      <c r="J139" t="n">
        <v>1</v>
      </c>
      <c r="K139" t="n">
        <v>1</v>
      </c>
      <c r="L139" s="34">
        <f>IF($J139=1,LN(B140/B139),"")</f>
        <v/>
      </c>
      <c r="M139" s="34">
        <f>IF($K139=1,INDEX(Mensal!$D$2:$D$245,MATCH($I139,Mensal!$A$2:$A$245,0)),"")</f>
        <v/>
      </c>
      <c r="N139" s="34">
        <f>IF($K139=1,L139-M139,"")</f>
        <v/>
      </c>
      <c r="O139" s="34" t="n">
        <v>0.00050613</v>
      </c>
      <c r="P139" s="34">
        <f>IF($J139=1,LN(1+O139),"")</f>
        <v/>
      </c>
      <c r="Q139" s="34">
        <f>IF($J139=1,LN(R140/R139),"")</f>
        <v/>
      </c>
      <c r="R139" s="32" t="n">
        <v>2.1387</v>
      </c>
      <c r="S139" s="35" t="n">
        <v>13.26</v>
      </c>
      <c r="T139" s="18" t="n"/>
      <c r="U139" s="18" t="n"/>
      <c r="V139" s="18" t="n">
        <v>38919</v>
      </c>
      <c r="W139" s="18" t="n"/>
      <c r="X139" s="35" t="n"/>
      <c r="Y139" s="35" t="n">
        <v>13.26</v>
      </c>
    </row>
    <row r="140">
      <c r="A140" s="25" t="n">
        <v>39010</v>
      </c>
      <c r="B140" s="18" t="n">
        <v>38642</v>
      </c>
      <c r="C140" s="31" t="n"/>
      <c r="D140" s="32" t="n"/>
      <c r="E140" s="33" t="n">
        <v>1.0585</v>
      </c>
      <c r="F140" t="inlineStr">
        <is>
          <t>Down</t>
        </is>
      </c>
      <c r="G140" t="inlineStr">
        <is>
          <t>Down</t>
        </is>
      </c>
      <c r="H140" t="inlineStr">
        <is>
          <t>ED_JD</t>
        </is>
      </c>
      <c r="I140" t="inlineStr">
        <is>
          <t>2006-10</t>
        </is>
      </c>
      <c r="J140" t="n">
        <v>1</v>
      </c>
      <c r="K140" t="n">
        <v>1</v>
      </c>
      <c r="L140" s="34">
        <f>IF($J140=1,LN(B141/B140),"")</f>
        <v/>
      </c>
      <c r="M140" s="34">
        <f>IF($K140=1,INDEX(Mensal!$D$2:$D$245,MATCH($I140,Mensal!$A$2:$A$245,0)),"")</f>
        <v/>
      </c>
      <c r="N140" s="34">
        <f>IF($K140=1,L140-M140,"")</f>
        <v/>
      </c>
      <c r="O140" s="34" t="n">
        <v>0.00050613</v>
      </c>
      <c r="P140" s="34">
        <f>IF($J140=1,LN(1+O140),"")</f>
        <v/>
      </c>
      <c r="Q140" s="34">
        <f>IF($J140=1,LN(R141/R140),"")</f>
        <v/>
      </c>
      <c r="R140" s="32" t="n">
        <v>2.1457</v>
      </c>
      <c r="S140" s="35" t="n">
        <v>13.26</v>
      </c>
      <c r="T140" s="18" t="n"/>
      <c r="U140" s="18" t="n"/>
      <c r="V140" s="18" t="n">
        <v>38642</v>
      </c>
      <c r="W140" s="18" t="n"/>
      <c r="X140" s="35" t="n"/>
      <c r="Y140" s="35" t="n">
        <v>13.26</v>
      </c>
    </row>
    <row r="141">
      <c r="A141" s="25" t="n">
        <v>39013</v>
      </c>
      <c r="B141" s="18" t="n">
        <v>39226</v>
      </c>
      <c r="C141" s="31" t="n"/>
      <c r="D141" s="32" t="n"/>
      <c r="E141" s="33" t="n">
        <v>1.0618</v>
      </c>
      <c r="F141" t="inlineStr">
        <is>
          <t>Down</t>
        </is>
      </c>
      <c r="G141" t="inlineStr">
        <is>
          <t>Down</t>
        </is>
      </c>
      <c r="H141" t="inlineStr">
        <is>
          <t>ED_JD</t>
        </is>
      </c>
      <c r="I141" t="inlineStr">
        <is>
          <t>2006-10</t>
        </is>
      </c>
      <c r="J141" t="n">
        <v>1</v>
      </c>
      <c r="K141" t="n">
        <v>1</v>
      </c>
      <c r="L141" s="34">
        <f>IF($J141=1,LN(B142/B141),"")</f>
        <v/>
      </c>
      <c r="M141" s="34">
        <f>IF($K141=1,INDEX(Mensal!$D$2:$D$245,MATCH($I141,Mensal!$A$2:$A$245,0)),"")</f>
        <v/>
      </c>
      <c r="N141" s="34">
        <f>IF($K141=1,L141-M141,"")</f>
        <v/>
      </c>
      <c r="O141" s="34" t="n">
        <v>0.00050613</v>
      </c>
      <c r="P141" s="34">
        <f>IF($J141=1,LN(1+O141),"")</f>
        <v/>
      </c>
      <c r="Q141" s="34">
        <f>IF($J141=1,LN(R142/R141),"")</f>
        <v/>
      </c>
      <c r="R141" s="32" t="n">
        <v>2.1391</v>
      </c>
      <c r="S141" s="35" t="n">
        <v>13.23</v>
      </c>
      <c r="T141" s="18" t="n"/>
      <c r="U141" s="18" t="n"/>
      <c r="V141" s="18" t="n">
        <v>39226</v>
      </c>
      <c r="W141" s="18" t="n"/>
      <c r="X141" s="35" t="n"/>
      <c r="Y141" s="35" t="n">
        <v>13.23</v>
      </c>
    </row>
    <row r="142">
      <c r="A142" s="25" t="n">
        <v>39014</v>
      </c>
      <c r="B142" s="18" t="n">
        <v>39498</v>
      </c>
      <c r="C142" s="31" t="n"/>
      <c r="D142" s="32" t="n"/>
      <c r="E142" s="33" t="n">
        <v>1.066</v>
      </c>
      <c r="F142" t="inlineStr">
        <is>
          <t>Down</t>
        </is>
      </c>
      <c r="G142" t="inlineStr">
        <is>
          <t>Down</t>
        </is>
      </c>
      <c r="H142" t="inlineStr">
        <is>
          <t>ED_JD</t>
        </is>
      </c>
      <c r="I142" t="inlineStr">
        <is>
          <t>2006-10</t>
        </is>
      </c>
      <c r="J142" t="n">
        <v>1</v>
      </c>
      <c r="K142" t="n">
        <v>1</v>
      </c>
      <c r="L142" s="34">
        <f>IF($J142=1,LN(B143/B142),"")</f>
        <v/>
      </c>
      <c r="M142" s="34">
        <f>IF($K142=1,INDEX(Mensal!$D$2:$D$245,MATCH($I142,Mensal!$A$2:$A$245,0)),"")</f>
        <v/>
      </c>
      <c r="N142" s="34">
        <f>IF($K142=1,L142-M142,"")</f>
        <v/>
      </c>
      <c r="O142" s="34" t="n">
        <v>0.00050613</v>
      </c>
      <c r="P142" s="34">
        <f>IF($J142=1,LN(1+O142),"")</f>
        <v/>
      </c>
      <c r="Q142" s="34">
        <f>IF($J142=1,LN(R143/R142),"")</f>
        <v/>
      </c>
      <c r="R142" s="32" t="n">
        <v>2.1467</v>
      </c>
      <c r="S142" s="35" t="n">
        <v>13.24</v>
      </c>
      <c r="T142" s="18" t="n"/>
      <c r="U142" s="18" t="n"/>
      <c r="V142" s="18" t="n">
        <v>39498</v>
      </c>
      <c r="W142" s="18" t="n"/>
      <c r="X142" s="35" t="n"/>
      <c r="Y142" s="35" t="n">
        <v>13.24</v>
      </c>
    </row>
    <row r="143">
      <c r="A143" s="25" t="n">
        <v>39015</v>
      </c>
      <c r="B143" s="18" t="n">
        <v>39562</v>
      </c>
      <c r="C143" s="31" t="n"/>
      <c r="D143" s="32" t="n"/>
      <c r="E143" s="33" t="n">
        <v>1.0657</v>
      </c>
      <c r="F143" t="inlineStr">
        <is>
          <t>Down</t>
        </is>
      </c>
      <c r="G143" t="inlineStr">
        <is>
          <t>Down</t>
        </is>
      </c>
      <c r="H143" t="inlineStr">
        <is>
          <t>ED_JD</t>
        </is>
      </c>
      <c r="I143" t="inlineStr">
        <is>
          <t>2006-10</t>
        </is>
      </c>
      <c r="J143" t="n">
        <v>1</v>
      </c>
      <c r="K143" t="n">
        <v>1</v>
      </c>
      <c r="L143" s="34">
        <f>IF($J143=1,LN(B144/B143),"")</f>
        <v/>
      </c>
      <c r="M143" s="34">
        <f>IF($K143=1,INDEX(Mensal!$D$2:$D$245,MATCH($I143,Mensal!$A$2:$A$245,0)),"")</f>
        <v/>
      </c>
      <c r="N143" s="34">
        <f>IF($K143=1,L143-M143,"")</f>
        <v/>
      </c>
      <c r="O143" s="34" t="n">
        <v>0.00050613</v>
      </c>
      <c r="P143" s="34">
        <f>IF($J143=1,LN(1+O143),"")</f>
        <v/>
      </c>
      <c r="Q143" s="34">
        <f>IF($J143=1,LN(R144/R143),"")</f>
        <v/>
      </c>
      <c r="R143" s="32" t="n">
        <v>2.151</v>
      </c>
      <c r="S143" s="35" t="n">
        <v>13.13</v>
      </c>
      <c r="T143" s="18" t="n"/>
      <c r="U143" s="18" t="n"/>
      <c r="V143" s="18" t="n">
        <v>39562</v>
      </c>
      <c r="W143" s="18" t="n"/>
      <c r="X143" s="35" t="n"/>
      <c r="Y143" s="35" t="n">
        <v>13.13</v>
      </c>
    </row>
    <row r="144">
      <c r="A144" s="25" t="n">
        <v>39016</v>
      </c>
      <c r="B144" s="18" t="n">
        <v>39644</v>
      </c>
      <c r="C144" s="31" t="n"/>
      <c r="D144" s="32" t="n"/>
      <c r="E144" s="33" t="n">
        <v>1.0615</v>
      </c>
      <c r="F144" t="inlineStr">
        <is>
          <t>Down</t>
        </is>
      </c>
      <c r="G144" t="inlineStr">
        <is>
          <t>Down</t>
        </is>
      </c>
      <c r="H144" t="inlineStr">
        <is>
          <t>ED_JD</t>
        </is>
      </c>
      <c r="I144" t="inlineStr">
        <is>
          <t>2006-10</t>
        </is>
      </c>
      <c r="J144" t="n">
        <v>1</v>
      </c>
      <c r="K144" t="n">
        <v>1</v>
      </c>
      <c r="L144" s="34">
        <f>IF($J144=1,LN(B145/B144),"")</f>
        <v/>
      </c>
      <c r="M144" s="34">
        <f>IF($K144=1,INDEX(Mensal!$D$2:$D$245,MATCH($I144,Mensal!$A$2:$A$245,0)),"")</f>
        <v/>
      </c>
      <c r="N144" s="34">
        <f>IF($K144=1,L144-M144,"")</f>
        <v/>
      </c>
      <c r="O144" s="34" t="n">
        <v>0.00050613</v>
      </c>
      <c r="P144" s="34">
        <f>IF($J144=1,LN(1+O144),"")</f>
        <v/>
      </c>
      <c r="Q144" s="34">
        <f>IF($J144=1,LN(R145/R144),"")</f>
        <v/>
      </c>
      <c r="R144" s="32" t="n">
        <v>2.1363</v>
      </c>
      <c r="S144" s="35" t="n">
        <v>13.12</v>
      </c>
      <c r="T144" s="18" t="n"/>
      <c r="U144" s="18" t="n"/>
      <c r="V144" s="18" t="n">
        <v>39644</v>
      </c>
      <c r="W144" s="18" t="n"/>
      <c r="X144" s="35" t="n"/>
      <c r="Y144" s="35" t="n">
        <v>13.12</v>
      </c>
    </row>
    <row r="145">
      <c r="A145" s="25" t="n">
        <v>39017</v>
      </c>
      <c r="B145" s="18" t="n">
        <v>39328</v>
      </c>
      <c r="C145" s="31" t="n"/>
      <c r="D145" s="32" t="n"/>
      <c r="E145" s="33" t="n">
        <v>1.0388</v>
      </c>
      <c r="F145" t="inlineStr">
        <is>
          <t>Down</t>
        </is>
      </c>
      <c r="G145" t="inlineStr">
        <is>
          <t>Down</t>
        </is>
      </c>
      <c r="H145" t="inlineStr">
        <is>
          <t>ED_JD</t>
        </is>
      </c>
      <c r="I145" t="inlineStr">
        <is>
          <t>2006-10</t>
        </is>
      </c>
      <c r="J145" t="n">
        <v>1</v>
      </c>
      <c r="K145" t="n">
        <v>1</v>
      </c>
      <c r="L145" s="34">
        <f>IF($J145=1,LN(B146/B145),"")</f>
        <v/>
      </c>
      <c r="M145" s="34">
        <f>IF($K145=1,INDEX(Mensal!$D$2:$D$245,MATCH($I145,Mensal!$A$2:$A$245,0)),"")</f>
        <v/>
      </c>
      <c r="N145" s="34">
        <f>IF($K145=1,L145-M145,"")</f>
        <v/>
      </c>
      <c r="O145" s="34" t="n">
        <v>0.00050613</v>
      </c>
      <c r="P145" s="34">
        <f>IF($J145=1,LN(1+O145),"")</f>
        <v/>
      </c>
      <c r="Q145" s="34">
        <f>IF($J145=1,LN(R146/R145),"")</f>
        <v/>
      </c>
      <c r="R145" s="32" t="n">
        <v>2.1378</v>
      </c>
      <c r="S145" s="35" t="n">
        <v>13.07</v>
      </c>
      <c r="T145" s="18" t="n"/>
      <c r="U145" s="18" t="n"/>
      <c r="V145" s="18" t="n">
        <v>39328</v>
      </c>
      <c r="W145" s="18" t="n"/>
      <c r="X145" s="35" t="n"/>
      <c r="Y145" s="35" t="n">
        <v>13.07</v>
      </c>
    </row>
    <row r="146">
      <c r="A146" s="25" t="n">
        <v>39020</v>
      </c>
      <c r="B146" s="18" t="n">
        <v>38900</v>
      </c>
      <c r="C146" s="31" t="n"/>
      <c r="D146" s="32" t="n"/>
      <c r="E146" s="33" t="n">
        <v>1.0178</v>
      </c>
      <c r="F146" t="inlineStr">
        <is>
          <t>Down</t>
        </is>
      </c>
      <c r="G146" t="inlineStr">
        <is>
          <t>Down</t>
        </is>
      </c>
      <c r="H146" t="inlineStr">
        <is>
          <t>ED_JD</t>
        </is>
      </c>
      <c r="I146" t="inlineStr">
        <is>
          <t>2006-10</t>
        </is>
      </c>
      <c r="J146" t="n">
        <v>1</v>
      </c>
      <c r="K146" t="n">
        <v>1</v>
      </c>
      <c r="L146" s="34">
        <f>IF($J146=1,LN(B147/B146),"")</f>
        <v/>
      </c>
      <c r="M146" s="34">
        <f>IF($K146=1,INDEX(Mensal!$D$2:$D$245,MATCH($I146,Mensal!$A$2:$A$245,0)),"")</f>
        <v/>
      </c>
      <c r="N146" s="34">
        <f>IF($K146=1,L146-M146,"")</f>
        <v/>
      </c>
      <c r="O146" s="34" t="n">
        <v>0.0005057799999999999</v>
      </c>
      <c r="P146" s="34">
        <f>IF($J146=1,LN(1+O146),"")</f>
        <v/>
      </c>
      <c r="Q146" s="34">
        <f>IF($J146=1,LN(R147/R146),"")</f>
        <v/>
      </c>
      <c r="R146" s="32" t="n">
        <v>2.1456</v>
      </c>
      <c r="S146" s="35" t="n">
        <v>13.05</v>
      </c>
      <c r="T146" s="18" t="n"/>
      <c r="U146" s="18" t="n"/>
      <c r="V146" s="18" t="n">
        <v>38900</v>
      </c>
      <c r="W146" s="18" t="n"/>
      <c r="X146" s="35" t="n"/>
      <c r="Y146" s="35" t="n">
        <v>13.05</v>
      </c>
    </row>
    <row r="147">
      <c r="A147" s="25" t="n">
        <v>39021</v>
      </c>
      <c r="B147" s="18" t="n">
        <v>39262</v>
      </c>
      <c r="C147" s="31" t="n"/>
      <c r="D147" s="32" t="n"/>
      <c r="E147" s="33" t="n">
        <v>0.9978</v>
      </c>
      <c r="F147" t="inlineStr">
        <is>
          <t>Down</t>
        </is>
      </c>
      <c r="G147" t="inlineStr">
        <is>
          <t>Down</t>
        </is>
      </c>
      <c r="H147" t="inlineStr">
        <is>
          <t>ED_JD</t>
        </is>
      </c>
      <c r="I147" t="inlineStr">
        <is>
          <t>2006-10</t>
        </is>
      </c>
      <c r="J147" t="n">
        <v>1</v>
      </c>
      <c r="K147" t="n">
        <v>1</v>
      </c>
      <c r="L147" s="34">
        <f>IF($J147=1,LN(B148/B147),"")</f>
        <v/>
      </c>
      <c r="M147" s="34">
        <f>IF($K147=1,INDEX(Mensal!$D$2:$D$245,MATCH($I147,Mensal!$A$2:$A$245,0)),"")</f>
        <v/>
      </c>
      <c r="N147" s="34">
        <f>IF($K147=1,L147-M147,"")</f>
        <v/>
      </c>
      <c r="O147" s="34" t="n">
        <v>0.0005078800000000001</v>
      </c>
      <c r="P147" s="34">
        <f>IF($J147=1,LN(1+O147),"")</f>
        <v/>
      </c>
      <c r="Q147" s="34">
        <f>IF($J147=1,LN(R148/R147),"")</f>
        <v/>
      </c>
      <c r="R147" s="32" t="n">
        <v>2.143</v>
      </c>
      <c r="S147" s="35" t="n">
        <v>13.01</v>
      </c>
      <c r="T147" s="18" t="n"/>
      <c r="U147" s="18" t="n"/>
      <c r="V147" s="18" t="n">
        <v>39262</v>
      </c>
      <c r="W147" s="18" t="n"/>
      <c r="X147" s="35" t="n"/>
      <c r="Y147" s="35" t="n">
        <v>13.01</v>
      </c>
    </row>
    <row r="148">
      <c r="A148" s="25" t="n">
        <v>39022</v>
      </c>
      <c r="B148" s="18" t="n">
        <v>39930</v>
      </c>
      <c r="C148" s="31" t="n"/>
      <c r="D148" s="32" t="n"/>
      <c r="E148" s="33" t="n">
        <v>0.9958</v>
      </c>
      <c r="F148" t="inlineStr">
        <is>
          <t>Up</t>
        </is>
      </c>
      <c r="G148" t="inlineStr">
        <is>
          <t>Down</t>
        </is>
      </c>
      <c r="H148" t="inlineStr">
        <is>
          <t>EU_JD</t>
        </is>
      </c>
      <c r="I148" t="inlineStr">
        <is>
          <t>2006-11</t>
        </is>
      </c>
      <c r="J148" t="n">
        <v>1</v>
      </c>
      <c r="K148" t="n">
        <v>1</v>
      </c>
      <c r="L148" s="34">
        <f>IF($J148=1,LN(B149/B148),"")</f>
        <v/>
      </c>
      <c r="M148" s="34">
        <f>IF($K148=1,INDEX(Mensal!$D$2:$D$245,MATCH($I148,Mensal!$A$2:$A$245,0)),"")</f>
        <v/>
      </c>
      <c r="N148" s="34">
        <f>IF($K148=1,L148-M148,"")</f>
        <v/>
      </c>
      <c r="O148" s="34" t="n">
        <v>0.00050753</v>
      </c>
      <c r="P148" s="34">
        <f>IF($J148=1,LN(1+O148),"")</f>
        <v/>
      </c>
      <c r="Q148" s="34">
        <f>IF($J148=1,LN(R149/R148),"")</f>
        <v/>
      </c>
      <c r="R148" s="32" t="n">
        <v>2.141</v>
      </c>
      <c r="S148" s="35" t="n">
        <v>12.94</v>
      </c>
      <c r="T148" s="18" t="n">
        <v>39930</v>
      </c>
      <c r="U148" s="18" t="n"/>
      <c r="V148" s="18" t="n"/>
      <c r="W148" s="18" t="n"/>
      <c r="X148" s="35" t="n"/>
      <c r="Y148" s="35" t="n">
        <v>12.94</v>
      </c>
    </row>
    <row r="149">
      <c r="A149" s="25" t="n">
        <v>39024</v>
      </c>
      <c r="B149" s="18" t="n">
        <v>40435</v>
      </c>
      <c r="C149" s="31" t="n"/>
      <c r="D149" s="32" t="n"/>
      <c r="E149" s="33" t="n">
        <v>0.9929</v>
      </c>
      <c r="F149" t="inlineStr">
        <is>
          <t>Up</t>
        </is>
      </c>
      <c r="G149" t="inlineStr">
        <is>
          <t>Down</t>
        </is>
      </c>
      <c r="H149" t="inlineStr">
        <is>
          <t>EU_JD</t>
        </is>
      </c>
      <c r="I149" t="inlineStr">
        <is>
          <t>2006-11</t>
        </is>
      </c>
      <c r="J149" t="n">
        <v>1</v>
      </c>
      <c r="K149" t="n">
        <v>1</v>
      </c>
      <c r="L149" s="34">
        <f>IF($J149=1,LN(B150/B149),"")</f>
        <v/>
      </c>
      <c r="M149" s="34">
        <f>IF($K149=1,INDEX(Mensal!$D$2:$D$245,MATCH($I149,Mensal!$A$2:$A$245,0)),"")</f>
        <v/>
      </c>
      <c r="N149" s="34">
        <f>IF($K149=1,L149-M149,"")</f>
        <v/>
      </c>
      <c r="O149" s="34" t="n">
        <v>0.00050753</v>
      </c>
      <c r="P149" s="34">
        <f>IF($J149=1,LN(1+O149),"")</f>
        <v/>
      </c>
      <c r="Q149" s="34">
        <f>IF($J149=1,LN(R150/R149),"")</f>
        <v/>
      </c>
      <c r="R149" s="32" t="n">
        <v>2.142</v>
      </c>
      <c r="S149" s="35" t="n">
        <v>12.91</v>
      </c>
      <c r="T149" s="18" t="n">
        <v>40435</v>
      </c>
      <c r="U149" s="18" t="n"/>
      <c r="V149" s="18" t="n"/>
      <c r="W149" s="18" t="n"/>
      <c r="X149" s="35" t="n"/>
      <c r="Y149" s="35" t="n">
        <v>12.91</v>
      </c>
    </row>
    <row r="150">
      <c r="A150" s="25" t="n">
        <v>39027</v>
      </c>
      <c r="B150" s="18" t="n">
        <v>41246</v>
      </c>
      <c r="C150" s="31" t="n"/>
      <c r="D150" s="32" t="n"/>
      <c r="E150" s="33" t="n">
        <v>0.9873</v>
      </c>
      <c r="F150" t="inlineStr">
        <is>
          <t>Up</t>
        </is>
      </c>
      <c r="G150" t="inlineStr">
        <is>
          <t>Down</t>
        </is>
      </c>
      <c r="H150" t="inlineStr">
        <is>
          <t>EU_JD</t>
        </is>
      </c>
      <c r="I150" t="inlineStr">
        <is>
          <t>2006-11</t>
        </is>
      </c>
      <c r="J150" t="n">
        <v>1</v>
      </c>
      <c r="K150" t="n">
        <v>1</v>
      </c>
      <c r="L150" s="34">
        <f>IF($J150=1,LN(B151/B150),"")</f>
        <v/>
      </c>
      <c r="M150" s="34">
        <f>IF($K150=1,INDEX(Mensal!$D$2:$D$245,MATCH($I150,Mensal!$A$2:$A$245,0)),"")</f>
        <v/>
      </c>
      <c r="N150" s="34">
        <f>IF($K150=1,L150-M150,"")</f>
        <v/>
      </c>
      <c r="O150" s="34" t="n">
        <v>0.00050893</v>
      </c>
      <c r="P150" s="34">
        <f>IF($J150=1,LN(1+O150),"")</f>
        <v/>
      </c>
      <c r="Q150" s="34">
        <f>IF($J150=1,LN(R151/R150),"")</f>
        <v/>
      </c>
      <c r="R150" s="32" t="n">
        <v>2.1378</v>
      </c>
      <c r="S150" s="35" t="n">
        <v>12.92</v>
      </c>
      <c r="T150" s="18" t="n">
        <v>41246</v>
      </c>
      <c r="U150" s="18" t="n"/>
      <c r="V150" s="18" t="n"/>
      <c r="W150" s="18" t="n"/>
      <c r="X150" s="35" t="n"/>
      <c r="Y150" s="35" t="n">
        <v>12.92</v>
      </c>
    </row>
    <row r="151">
      <c r="A151" s="25" t="n">
        <v>39028</v>
      </c>
      <c r="B151" s="18" t="n">
        <v>41048</v>
      </c>
      <c r="C151" s="31" t="n"/>
      <c r="D151" s="32" t="n"/>
      <c r="E151" s="33" t="n">
        <v>0.9743000000000001</v>
      </c>
      <c r="F151" t="inlineStr">
        <is>
          <t>Up</t>
        </is>
      </c>
      <c r="G151" t="inlineStr">
        <is>
          <t>Down</t>
        </is>
      </c>
      <c r="H151" t="inlineStr">
        <is>
          <t>EU_JD</t>
        </is>
      </c>
      <c r="I151" t="inlineStr">
        <is>
          <t>2006-11</t>
        </is>
      </c>
      <c r="J151" t="n">
        <v>1</v>
      </c>
      <c r="K151" t="n">
        <v>1</v>
      </c>
      <c r="L151" s="34">
        <f>IF($J151=1,LN(B152/B151),"")</f>
        <v/>
      </c>
      <c r="M151" s="34">
        <f>IF($K151=1,INDEX(Mensal!$D$2:$D$245,MATCH($I151,Mensal!$A$2:$A$245,0)),"")</f>
        <v/>
      </c>
      <c r="N151" s="34">
        <f>IF($K151=1,L151-M151,"")</f>
        <v/>
      </c>
      <c r="O151" s="34" t="n">
        <v>0.00050858</v>
      </c>
      <c r="P151" s="34">
        <f>IF($J151=1,LN(1+O151),"")</f>
        <v/>
      </c>
      <c r="Q151" s="34">
        <f>IF($J151=1,LN(R152/R151),"")</f>
        <v/>
      </c>
      <c r="R151" s="32" t="n">
        <v>2.1353</v>
      </c>
      <c r="S151" s="35" t="n">
        <v>12.93</v>
      </c>
      <c r="T151" s="18" t="n">
        <v>41048</v>
      </c>
      <c r="U151" s="18" t="n"/>
      <c r="V151" s="18" t="n"/>
      <c r="W151" s="18" t="n"/>
      <c r="X151" s="35" t="n"/>
      <c r="Y151" s="35" t="n">
        <v>12.93</v>
      </c>
    </row>
    <row r="152">
      <c r="A152" s="25" t="n">
        <v>39029</v>
      </c>
      <c r="B152" s="18" t="n">
        <v>41334</v>
      </c>
      <c r="C152" s="31" t="n"/>
      <c r="D152" s="32" t="n"/>
      <c r="E152" s="33" t="n">
        <v>0.9915</v>
      </c>
      <c r="F152" t="inlineStr">
        <is>
          <t>Up</t>
        </is>
      </c>
      <c r="G152" t="inlineStr">
        <is>
          <t>Down</t>
        </is>
      </c>
      <c r="H152" t="inlineStr">
        <is>
          <t>EU_JD</t>
        </is>
      </c>
      <c r="I152" t="inlineStr">
        <is>
          <t>2006-11</t>
        </is>
      </c>
      <c r="J152" t="n">
        <v>1</v>
      </c>
      <c r="K152" t="n">
        <v>1</v>
      </c>
      <c r="L152" s="34">
        <f>IF($J152=1,LN(B153/B152),"")</f>
        <v/>
      </c>
      <c r="M152" s="34">
        <f>IF($K152=1,INDEX(Mensal!$D$2:$D$245,MATCH($I152,Mensal!$A$2:$A$245,0)),"")</f>
        <v/>
      </c>
      <c r="N152" s="34">
        <f>IF($K152=1,L152-M152,"")</f>
        <v/>
      </c>
      <c r="O152" s="34" t="n">
        <v>0.0005078800000000001</v>
      </c>
      <c r="P152" s="34">
        <f>IF($J152=1,LN(1+O152),"")</f>
        <v/>
      </c>
      <c r="Q152" s="34">
        <f>IF($J152=1,LN(R153/R152),"")</f>
        <v/>
      </c>
      <c r="R152" s="32" t="n">
        <v>2.1464</v>
      </c>
      <c r="S152" s="35" t="n">
        <v>12.98</v>
      </c>
      <c r="T152" s="18" t="n">
        <v>41334</v>
      </c>
      <c r="U152" s="18" t="n"/>
      <c r="V152" s="18" t="n"/>
      <c r="W152" s="18" t="n"/>
      <c r="X152" s="35" t="n"/>
      <c r="Y152" s="35" t="n">
        <v>12.98</v>
      </c>
    </row>
    <row r="153">
      <c r="A153" s="25" t="n">
        <v>39030</v>
      </c>
      <c r="B153" s="18" t="n">
        <v>40815</v>
      </c>
      <c r="C153" s="31" t="n"/>
      <c r="D153" s="32" t="n"/>
      <c r="E153" s="33" t="n">
        <v>0.9985000000000001</v>
      </c>
      <c r="F153" t="inlineStr">
        <is>
          <t>Up</t>
        </is>
      </c>
      <c r="G153" t="inlineStr">
        <is>
          <t>Down</t>
        </is>
      </c>
      <c r="H153" t="inlineStr">
        <is>
          <t>EU_JD</t>
        </is>
      </c>
      <c r="I153" t="inlineStr">
        <is>
          <t>2006-11</t>
        </is>
      </c>
      <c r="J153" t="n">
        <v>1</v>
      </c>
      <c r="K153" t="n">
        <v>1</v>
      </c>
      <c r="L153" s="34">
        <f>IF($J153=1,LN(B154/B153),"")</f>
        <v/>
      </c>
      <c r="M153" s="34">
        <f>IF($K153=1,INDEX(Mensal!$D$2:$D$245,MATCH($I153,Mensal!$A$2:$A$245,0)),"")</f>
        <v/>
      </c>
      <c r="N153" s="34">
        <f>IF($K153=1,L153-M153,"")</f>
        <v/>
      </c>
      <c r="O153" s="34" t="n">
        <v>0.00050718</v>
      </c>
      <c r="P153" s="34">
        <f>IF($J153=1,LN(1+O153),"")</f>
        <v/>
      </c>
      <c r="Q153" s="34">
        <f>IF($J153=1,LN(R154/R153),"")</f>
        <v/>
      </c>
      <c r="R153" s="32" t="n">
        <v>2.1412</v>
      </c>
      <c r="S153" s="35" t="n">
        <v>13</v>
      </c>
      <c r="T153" s="18" t="n">
        <v>40815</v>
      </c>
      <c r="U153" s="18" t="n"/>
      <c r="V153" s="18" t="n"/>
      <c r="W153" s="18" t="n"/>
      <c r="X153" s="35" t="n"/>
      <c r="Y153" s="35" t="n">
        <v>13</v>
      </c>
    </row>
    <row r="154">
      <c r="A154" s="25" t="n">
        <v>39031</v>
      </c>
      <c r="B154" s="18" t="n">
        <v>40719</v>
      </c>
      <c r="C154" s="31" t="n"/>
      <c r="D154" s="32" t="n"/>
      <c r="E154" s="33" t="n">
        <v>1.0041</v>
      </c>
      <c r="F154" t="inlineStr">
        <is>
          <t>Up</t>
        </is>
      </c>
      <c r="G154" t="inlineStr">
        <is>
          <t>Down</t>
        </is>
      </c>
      <c r="H154" t="inlineStr">
        <is>
          <t>EU_JD</t>
        </is>
      </c>
      <c r="I154" t="inlineStr">
        <is>
          <t>2006-11</t>
        </is>
      </c>
      <c r="J154" t="n">
        <v>1</v>
      </c>
      <c r="K154" t="n">
        <v>1</v>
      </c>
      <c r="L154" s="34">
        <f>IF($J154=1,LN(B155/B154),"")</f>
        <v/>
      </c>
      <c r="M154" s="34">
        <f>IF($K154=1,INDEX(Mensal!$D$2:$D$245,MATCH($I154,Mensal!$A$2:$A$245,0)),"")</f>
        <v/>
      </c>
      <c r="N154" s="34">
        <f>IF($K154=1,L154-M154,"")</f>
        <v/>
      </c>
      <c r="O154" s="34" t="n">
        <v>0.00050718</v>
      </c>
      <c r="P154" s="34">
        <f>IF($J154=1,LN(1+O154),"")</f>
        <v/>
      </c>
      <c r="Q154" s="34">
        <f>IF($J154=1,LN(R155/R154),"")</f>
        <v/>
      </c>
      <c r="R154" s="32" t="n">
        <v>2.1489</v>
      </c>
      <c r="S154" s="35" t="n">
        <v>13.03</v>
      </c>
      <c r="T154" s="18" t="n">
        <v>40719</v>
      </c>
      <c r="U154" s="18" t="n"/>
      <c r="V154" s="18" t="n"/>
      <c r="W154" s="18" t="n"/>
      <c r="X154" s="35" t="n"/>
      <c r="Y154" s="35" t="n">
        <v>13.03</v>
      </c>
    </row>
    <row r="155">
      <c r="A155" s="25" t="n">
        <v>39034</v>
      </c>
      <c r="B155" s="18" t="n">
        <v>40605</v>
      </c>
      <c r="C155" s="31" t="n"/>
      <c r="D155" s="32" t="n"/>
      <c r="E155" s="33" t="n">
        <v>1.0077</v>
      </c>
      <c r="F155" t="inlineStr">
        <is>
          <t>Up</t>
        </is>
      </c>
      <c r="G155" t="inlineStr">
        <is>
          <t>Down</t>
        </is>
      </c>
      <c r="H155" t="inlineStr">
        <is>
          <t>EU_JD</t>
        </is>
      </c>
      <c r="I155" t="inlineStr">
        <is>
          <t>2006-11</t>
        </is>
      </c>
      <c r="J155" t="n">
        <v>1</v>
      </c>
      <c r="K155" t="n">
        <v>1</v>
      </c>
      <c r="L155" s="34">
        <f>IF($J155=1,LN(B156/B155),"")</f>
        <v/>
      </c>
      <c r="M155" s="34">
        <f>IF($K155=1,INDEX(Mensal!$D$2:$D$245,MATCH($I155,Mensal!$A$2:$A$245,0)),"")</f>
        <v/>
      </c>
      <c r="N155" s="34">
        <f>IF($K155=1,L155-M155,"")</f>
        <v/>
      </c>
      <c r="O155" s="34" t="n">
        <v>0.00050718</v>
      </c>
      <c r="P155" s="34">
        <f>IF($J155=1,LN(1+O155),"")</f>
        <v/>
      </c>
      <c r="Q155" s="34">
        <f>IF($J155=1,LN(R156/R155),"")</f>
        <v/>
      </c>
      <c r="R155" s="32" t="n">
        <v>2.162</v>
      </c>
      <c r="S155" s="35" t="n">
        <v>13.02</v>
      </c>
      <c r="T155" s="18" t="n">
        <v>40605</v>
      </c>
      <c r="U155" s="18" t="n"/>
      <c r="V155" s="18" t="n"/>
      <c r="W155" s="18" t="n"/>
      <c r="X155" s="35" t="n"/>
      <c r="Y155" s="35" t="n">
        <v>13.02</v>
      </c>
    </row>
    <row r="156">
      <c r="A156" s="25" t="n">
        <v>39035</v>
      </c>
      <c r="B156" s="18" t="n">
        <v>41290</v>
      </c>
      <c r="C156" s="31" t="n"/>
      <c r="D156" s="32" t="n"/>
      <c r="E156" s="33" t="n">
        <v>1.0127</v>
      </c>
      <c r="F156" t="inlineStr">
        <is>
          <t>Up</t>
        </is>
      </c>
      <c r="G156" t="inlineStr">
        <is>
          <t>Down</t>
        </is>
      </c>
      <c r="H156" t="inlineStr">
        <is>
          <t>EU_JD</t>
        </is>
      </c>
      <c r="I156" t="inlineStr">
        <is>
          <t>2006-11</t>
        </is>
      </c>
      <c r="J156" t="n">
        <v>1</v>
      </c>
      <c r="K156" t="n">
        <v>1</v>
      </c>
      <c r="L156" s="34">
        <f>IF($J156=1,LN(B157/B156),"")</f>
        <v/>
      </c>
      <c r="M156" s="34">
        <f>IF($K156=1,INDEX(Mensal!$D$2:$D$245,MATCH($I156,Mensal!$A$2:$A$245,0)),"")</f>
        <v/>
      </c>
      <c r="N156" s="34">
        <f>IF($K156=1,L156-M156,"")</f>
        <v/>
      </c>
      <c r="O156" s="34" t="n">
        <v>0.00050718</v>
      </c>
      <c r="P156" s="34">
        <f>IF($J156=1,LN(1+O156),"")</f>
        <v/>
      </c>
      <c r="Q156" s="34">
        <f>IF($J156=1,LN(R157/R156),"")</f>
        <v/>
      </c>
      <c r="R156" s="32" t="n">
        <v>2.1537</v>
      </c>
      <c r="S156" s="35" t="n">
        <v>12.95</v>
      </c>
      <c r="T156" s="18" t="n">
        <v>41290</v>
      </c>
      <c r="U156" s="18" t="n"/>
      <c r="V156" s="18" t="n"/>
      <c r="W156" s="18" t="n"/>
      <c r="X156" s="35" t="n"/>
      <c r="Y156" s="35" t="n">
        <v>12.95</v>
      </c>
    </row>
    <row r="157">
      <c r="A157" s="25" t="n">
        <v>39037</v>
      </c>
      <c r="B157" s="18" t="n">
        <v>41161</v>
      </c>
      <c r="C157" s="31" t="n"/>
      <c r="D157" s="32" t="n"/>
      <c r="E157" s="33" t="n">
        <v>1.0213</v>
      </c>
      <c r="F157" t="inlineStr">
        <is>
          <t>Up</t>
        </is>
      </c>
      <c r="G157" t="inlineStr">
        <is>
          <t>Down</t>
        </is>
      </c>
      <c r="H157" t="inlineStr">
        <is>
          <t>EU_JD</t>
        </is>
      </c>
      <c r="I157" t="inlineStr">
        <is>
          <t>2006-11</t>
        </is>
      </c>
      <c r="J157" t="n">
        <v>1</v>
      </c>
      <c r="K157" t="n">
        <v>1</v>
      </c>
      <c r="L157" s="34">
        <f>IF($J157=1,LN(B158/B157),"")</f>
        <v/>
      </c>
      <c r="M157" s="34">
        <f>IF($K157=1,INDEX(Mensal!$D$2:$D$245,MATCH($I157,Mensal!$A$2:$A$245,0)),"")</f>
        <v/>
      </c>
      <c r="N157" s="34">
        <f>IF($K157=1,L157-M157,"")</f>
        <v/>
      </c>
      <c r="O157" s="34" t="n">
        <v>0.00050683</v>
      </c>
      <c r="P157" s="34">
        <f>IF($J157=1,LN(1+O157),"")</f>
        <v/>
      </c>
      <c r="Q157" s="34">
        <f>IF($J157=1,LN(R158/R157),"")</f>
        <v/>
      </c>
      <c r="R157" s="32" t="n">
        <v>2.1517</v>
      </c>
      <c r="S157" s="35" t="n">
        <v>12.93</v>
      </c>
      <c r="T157" s="18" t="n">
        <v>41161</v>
      </c>
      <c r="U157" s="18" t="n"/>
      <c r="V157" s="18" t="n"/>
      <c r="W157" s="18" t="n"/>
      <c r="X157" s="35" t="n"/>
      <c r="Y157" s="35" t="n">
        <v>12.93</v>
      </c>
    </row>
    <row r="158">
      <c r="A158" s="25" t="n">
        <v>39038</v>
      </c>
      <c r="B158" s="18" t="n">
        <v>41029</v>
      </c>
      <c r="C158" s="31" t="n"/>
      <c r="D158" s="32" t="n"/>
      <c r="E158" s="33" t="n">
        <v>1.0286</v>
      </c>
      <c r="F158" t="inlineStr">
        <is>
          <t>Up</t>
        </is>
      </c>
      <c r="G158" t="inlineStr">
        <is>
          <t>Down</t>
        </is>
      </c>
      <c r="H158" t="inlineStr">
        <is>
          <t>EU_JD</t>
        </is>
      </c>
      <c r="I158" t="inlineStr">
        <is>
          <t>2006-11</t>
        </is>
      </c>
      <c r="J158" t="n">
        <v>1</v>
      </c>
      <c r="K158" t="n">
        <v>1</v>
      </c>
      <c r="L158" s="34">
        <f>IF($J158=1,LN(B159/B158),"")</f>
        <v/>
      </c>
      <c r="M158" s="34">
        <f>IF($K158=1,INDEX(Mensal!$D$2:$D$245,MATCH($I158,Mensal!$A$2:$A$245,0)),"")</f>
        <v/>
      </c>
      <c r="N158" s="34">
        <f>IF($K158=1,L158-M158,"")</f>
        <v/>
      </c>
      <c r="O158" s="34" t="n">
        <v>0.00050648</v>
      </c>
      <c r="P158" s="34">
        <f>IF($J158=1,LN(1+O158),"")</f>
        <v/>
      </c>
      <c r="Q158" s="34">
        <f>IF($J158=1,LN(R159/R158),"")</f>
        <v/>
      </c>
      <c r="R158" s="32" t="n">
        <v>2.1593</v>
      </c>
      <c r="S158" s="35" t="n">
        <v>13.01</v>
      </c>
      <c r="T158" s="18" t="n">
        <v>41029</v>
      </c>
      <c r="U158" s="18" t="n"/>
      <c r="V158" s="18" t="n"/>
      <c r="W158" s="18" t="n"/>
      <c r="X158" s="35" t="n"/>
      <c r="Y158" s="35" t="n">
        <v>13.01</v>
      </c>
    </row>
    <row r="159">
      <c r="A159" s="25" t="n">
        <v>39042</v>
      </c>
      <c r="B159" s="18" t="n">
        <v>41570</v>
      </c>
      <c r="C159" s="31" t="n"/>
      <c r="D159" s="32" t="n"/>
      <c r="E159" s="33" t="n">
        <v>1.0366</v>
      </c>
      <c r="F159" t="inlineStr">
        <is>
          <t>Up</t>
        </is>
      </c>
      <c r="G159" t="inlineStr">
        <is>
          <t>Down</t>
        </is>
      </c>
      <c r="H159" t="inlineStr">
        <is>
          <t>EU_JD</t>
        </is>
      </c>
      <c r="I159" t="inlineStr">
        <is>
          <t>2006-11</t>
        </is>
      </c>
      <c r="J159" t="n">
        <v>1</v>
      </c>
      <c r="K159" t="n">
        <v>1</v>
      </c>
      <c r="L159" s="34">
        <f>IF($J159=1,LN(B160/B159),"")</f>
        <v/>
      </c>
      <c r="M159" s="34">
        <f>IF($K159=1,INDEX(Mensal!$D$2:$D$245,MATCH($I159,Mensal!$A$2:$A$245,0)),"")</f>
        <v/>
      </c>
      <c r="N159" s="34">
        <f>IF($K159=1,L159-M159,"")</f>
        <v/>
      </c>
      <c r="O159" s="34" t="n">
        <v>0.00050683</v>
      </c>
      <c r="P159" s="34">
        <f>IF($J159=1,LN(1+O159),"")</f>
        <v/>
      </c>
      <c r="Q159" s="34">
        <f>IF($J159=1,LN(R160/R159),"")</f>
        <v/>
      </c>
      <c r="R159" s="32" t="n">
        <v>2.1638</v>
      </c>
      <c r="S159" s="35" t="n">
        <v>12.98</v>
      </c>
      <c r="T159" s="18" t="n">
        <v>41570</v>
      </c>
      <c r="U159" s="18" t="n"/>
      <c r="V159" s="18" t="n"/>
      <c r="W159" s="18" t="n"/>
      <c r="X159" s="35" t="n"/>
      <c r="Y159" s="35" t="n">
        <v>12.98</v>
      </c>
    </row>
    <row r="160">
      <c r="A160" s="25" t="n">
        <v>39043</v>
      </c>
      <c r="B160" s="18" t="n">
        <v>41912</v>
      </c>
      <c r="C160" s="31" t="n"/>
      <c r="D160" s="32" t="n"/>
      <c r="E160" s="33" t="n">
        <v>1.0346</v>
      </c>
      <c r="F160" t="inlineStr">
        <is>
          <t>Up</t>
        </is>
      </c>
      <c r="G160" t="inlineStr">
        <is>
          <t>Down</t>
        </is>
      </c>
      <c r="H160" t="inlineStr">
        <is>
          <t>EU_JD</t>
        </is>
      </c>
      <c r="I160" t="inlineStr">
        <is>
          <t>2006-11</t>
        </is>
      </c>
      <c r="J160" t="n">
        <v>1</v>
      </c>
      <c r="K160" t="n">
        <v>1</v>
      </c>
      <c r="L160" s="34">
        <f>IF($J160=1,LN(B161/B160),"")</f>
        <v/>
      </c>
      <c r="M160" s="34">
        <f>IF($K160=1,INDEX(Mensal!$D$2:$D$245,MATCH($I160,Mensal!$A$2:$A$245,0)),"")</f>
        <v/>
      </c>
      <c r="N160" s="34">
        <f>IF($K160=1,L160-M160,"")</f>
        <v/>
      </c>
      <c r="O160" s="34" t="n">
        <v>0.00050648</v>
      </c>
      <c r="P160" s="34">
        <f>IF($J160=1,LN(1+O160),"")</f>
        <v/>
      </c>
      <c r="Q160" s="34">
        <f>IF($J160=1,LN(R161/R160),"")</f>
        <v/>
      </c>
      <c r="R160" s="32" t="n">
        <v>2.1623</v>
      </c>
      <c r="S160" s="35" t="n">
        <v>12.95</v>
      </c>
      <c r="T160" s="18" t="n">
        <v>41912</v>
      </c>
      <c r="U160" s="18" t="n"/>
      <c r="V160" s="18" t="n"/>
      <c r="W160" s="18" t="n"/>
      <c r="X160" s="35" t="n"/>
      <c r="Y160" s="35" t="n">
        <v>12.95</v>
      </c>
    </row>
    <row r="161">
      <c r="A161" s="25" t="n">
        <v>39044</v>
      </c>
      <c r="B161" s="18" t="n">
        <v>42069</v>
      </c>
      <c r="C161" s="31" t="n"/>
      <c r="D161" s="32" t="n"/>
      <c r="E161" s="33" t="n">
        <v>1.0305</v>
      </c>
      <c r="F161" t="inlineStr">
        <is>
          <t>Up</t>
        </is>
      </c>
      <c r="G161" t="inlineStr">
        <is>
          <t>Down</t>
        </is>
      </c>
      <c r="H161" t="inlineStr">
        <is>
          <t>EU_JD</t>
        </is>
      </c>
      <c r="I161" t="inlineStr">
        <is>
          <t>2006-11</t>
        </is>
      </c>
      <c r="J161" t="n">
        <v>1</v>
      </c>
      <c r="K161" t="n">
        <v>1</v>
      </c>
      <c r="L161" s="34">
        <f>IF($J161=1,LN(B162/B161),"")</f>
        <v/>
      </c>
      <c r="M161" s="34">
        <f>IF($K161=1,INDEX(Mensal!$D$2:$D$245,MATCH($I161,Mensal!$A$2:$A$245,0)),"")</f>
        <v/>
      </c>
      <c r="N161" s="34">
        <f>IF($K161=1,L161-M161,"")</f>
        <v/>
      </c>
      <c r="O161" s="34" t="n">
        <v>0.00050683</v>
      </c>
      <c r="P161" s="34">
        <f>IF($J161=1,LN(1+O161),"")</f>
        <v/>
      </c>
      <c r="Q161" s="34">
        <f>IF($J161=1,LN(R162/R161),"")</f>
        <v/>
      </c>
      <c r="R161" s="32" t="n">
        <v>2.1683</v>
      </c>
      <c r="S161" s="35" t="n">
        <v>12.95</v>
      </c>
      <c r="T161" s="18" t="n">
        <v>42069</v>
      </c>
      <c r="U161" s="18" t="n"/>
      <c r="V161" s="18" t="n"/>
      <c r="W161" s="18" t="n"/>
      <c r="X161" s="35" t="n"/>
      <c r="Y161" s="35" t="n">
        <v>12.95</v>
      </c>
    </row>
    <row r="162">
      <c r="A162" s="25" t="n">
        <v>39045</v>
      </c>
      <c r="B162" s="18" t="n">
        <v>41757</v>
      </c>
      <c r="C162" s="31" t="n"/>
      <c r="D162" s="32" t="n"/>
      <c r="E162" s="33" t="n">
        <v>1.029</v>
      </c>
      <c r="F162" t="inlineStr">
        <is>
          <t>Up</t>
        </is>
      </c>
      <c r="G162" t="inlineStr">
        <is>
          <t>Down</t>
        </is>
      </c>
      <c r="H162" t="inlineStr">
        <is>
          <t>EU_JD</t>
        </is>
      </c>
      <c r="I162" t="inlineStr">
        <is>
          <t>2006-11</t>
        </is>
      </c>
      <c r="J162" t="n">
        <v>1</v>
      </c>
      <c r="K162" t="n">
        <v>1</v>
      </c>
      <c r="L162" s="34">
        <f>IF($J162=1,LN(B163/B162),"")</f>
        <v/>
      </c>
      <c r="M162" s="34">
        <f>IF($K162=1,INDEX(Mensal!$D$2:$D$245,MATCH($I162,Mensal!$A$2:$A$245,0)),"")</f>
        <v/>
      </c>
      <c r="N162" s="34">
        <f>IF($K162=1,L162-M162,"")</f>
        <v/>
      </c>
      <c r="O162" s="34" t="n">
        <v>0.00050648</v>
      </c>
      <c r="P162" s="34">
        <f>IF($J162=1,LN(1+O162),"")</f>
        <v/>
      </c>
      <c r="Q162" s="34">
        <f>IF($J162=1,LN(R163/R162),"")</f>
        <v/>
      </c>
      <c r="R162" s="32" t="n">
        <v>2.17</v>
      </c>
      <c r="S162" s="35" t="n">
        <v>12.93</v>
      </c>
      <c r="T162" s="18" t="n">
        <v>41757</v>
      </c>
      <c r="U162" s="18" t="n"/>
      <c r="V162" s="18" t="n"/>
      <c r="W162" s="18" t="n"/>
      <c r="X162" s="35" t="n"/>
      <c r="Y162" s="35" t="n">
        <v>12.93</v>
      </c>
    </row>
    <row r="163">
      <c r="A163" s="25" t="n">
        <v>39048</v>
      </c>
      <c r="B163" s="18" t="n">
        <v>40914</v>
      </c>
      <c r="C163" s="31" t="n"/>
      <c r="D163" s="32" t="n"/>
      <c r="E163" s="33" t="n">
        <v>1.0264</v>
      </c>
      <c r="F163" t="inlineStr">
        <is>
          <t>Up</t>
        </is>
      </c>
      <c r="G163" t="inlineStr">
        <is>
          <t>Down</t>
        </is>
      </c>
      <c r="H163" t="inlineStr">
        <is>
          <t>EU_JD</t>
        </is>
      </c>
      <c r="I163" t="inlineStr">
        <is>
          <t>2006-11</t>
        </is>
      </c>
      <c r="J163" t="n">
        <v>1</v>
      </c>
      <c r="K163" t="n">
        <v>1</v>
      </c>
      <c r="L163" s="34">
        <f>IF($J163=1,LN(B164/B163),"")</f>
        <v/>
      </c>
      <c r="M163" s="34">
        <f>IF($K163=1,INDEX(Mensal!$D$2:$D$245,MATCH($I163,Mensal!$A$2:$A$245,0)),"")</f>
        <v/>
      </c>
      <c r="N163" s="34">
        <f>IF($K163=1,L163-M163,"")</f>
        <v/>
      </c>
      <c r="O163" s="34" t="n">
        <v>0.00050648</v>
      </c>
      <c r="P163" s="34">
        <f>IF($J163=1,LN(1+O163),"")</f>
        <v/>
      </c>
      <c r="Q163" s="34">
        <f>IF($J163=1,LN(R164/R163),"")</f>
        <v/>
      </c>
      <c r="R163" s="32" t="n">
        <v>2.18</v>
      </c>
      <c r="S163" s="35" t="n">
        <v>12.93</v>
      </c>
      <c r="T163" s="18" t="n">
        <v>40914</v>
      </c>
      <c r="U163" s="18" t="n"/>
      <c r="V163" s="18" t="n"/>
      <c r="W163" s="18" t="n"/>
      <c r="X163" s="35" t="n"/>
      <c r="Y163" s="35" t="n">
        <v>12.93</v>
      </c>
    </row>
    <row r="164">
      <c r="A164" s="25" t="n">
        <v>39049</v>
      </c>
      <c r="B164" s="18" t="n">
        <v>41043</v>
      </c>
      <c r="C164" s="31" t="n"/>
      <c r="D164" s="32" t="n"/>
      <c r="E164" s="33" t="n">
        <v>1.0211</v>
      </c>
      <c r="F164" t="inlineStr">
        <is>
          <t>Up</t>
        </is>
      </c>
      <c r="G164" t="inlineStr">
        <is>
          <t>Down</t>
        </is>
      </c>
      <c r="H164" t="inlineStr">
        <is>
          <t>EU_JD</t>
        </is>
      </c>
      <c r="I164" t="inlineStr">
        <is>
          <t>2006-11</t>
        </is>
      </c>
      <c r="J164" t="n">
        <v>1</v>
      </c>
      <c r="K164" t="n">
        <v>1</v>
      </c>
      <c r="L164" s="34">
        <f>IF($J164=1,LN(B165/B164),"")</f>
        <v/>
      </c>
      <c r="M164" s="34">
        <f>IF($K164=1,INDEX(Mensal!$D$2:$D$245,MATCH($I164,Mensal!$A$2:$A$245,0)),"")</f>
        <v/>
      </c>
      <c r="N164" s="34">
        <f>IF($K164=1,L164-M164,"")</f>
        <v/>
      </c>
      <c r="O164" s="34" t="n">
        <v>0.00050613</v>
      </c>
      <c r="P164" s="34">
        <f>IF($J164=1,LN(1+O164),"")</f>
        <v/>
      </c>
      <c r="Q164" s="34">
        <f>IF($J164=1,LN(R165/R164),"")</f>
        <v/>
      </c>
      <c r="R164" s="32" t="n">
        <v>2.187</v>
      </c>
      <c r="S164" s="35" t="n">
        <v>12.9</v>
      </c>
      <c r="T164" s="18" t="n">
        <v>41043</v>
      </c>
      <c r="U164" s="18" t="n"/>
      <c r="V164" s="18" t="n"/>
      <c r="W164" s="18" t="n"/>
      <c r="X164" s="35" t="n"/>
      <c r="Y164" s="35" t="n">
        <v>12.9</v>
      </c>
    </row>
    <row r="165">
      <c r="A165" s="25" t="n">
        <v>39050</v>
      </c>
      <c r="B165" s="18" t="n">
        <v>41970</v>
      </c>
      <c r="C165" s="31" t="n"/>
      <c r="D165" s="32" t="n"/>
      <c r="E165" s="33" t="n">
        <v>1.0108</v>
      </c>
      <c r="F165" t="inlineStr">
        <is>
          <t>Up</t>
        </is>
      </c>
      <c r="G165" t="inlineStr">
        <is>
          <t>Down</t>
        </is>
      </c>
      <c r="H165" t="inlineStr">
        <is>
          <t>EU_JD</t>
        </is>
      </c>
      <c r="I165" t="inlineStr">
        <is>
          <t>2006-11</t>
        </is>
      </c>
      <c r="J165" t="n">
        <v>1</v>
      </c>
      <c r="K165" t="n">
        <v>1</v>
      </c>
      <c r="L165" s="34">
        <f>IF($J165=1,LN(B166/B165),"")</f>
        <v/>
      </c>
      <c r="M165" s="34">
        <f>IF($K165=1,INDEX(Mensal!$D$2:$D$245,MATCH($I165,Mensal!$A$2:$A$245,0)),"")</f>
        <v/>
      </c>
      <c r="N165" s="34">
        <f>IF($K165=1,L165-M165,"")</f>
        <v/>
      </c>
      <c r="O165" s="34" t="n">
        <v>0.00050613</v>
      </c>
      <c r="P165" s="34">
        <f>IF($J165=1,LN(1+O165),"")</f>
        <v/>
      </c>
      <c r="Q165" s="34">
        <f>IF($J165=1,LN(R166/R165),"")</f>
        <v/>
      </c>
      <c r="R165" s="32" t="n">
        <v>2.1783</v>
      </c>
      <c r="S165" s="35" t="n">
        <v>12.87</v>
      </c>
      <c r="T165" s="18" t="n">
        <v>41970</v>
      </c>
      <c r="U165" s="18" t="n"/>
      <c r="V165" s="18" t="n"/>
      <c r="W165" s="18" t="n"/>
      <c r="X165" s="35" t="n"/>
      <c r="Y165" s="35" t="n">
        <v>12.87</v>
      </c>
    </row>
    <row r="166">
      <c r="A166" s="25" t="n">
        <v>39051</v>
      </c>
      <c r="B166" s="18" t="n">
        <v>41931</v>
      </c>
      <c r="C166" s="31" t="n"/>
      <c r="D166" s="32" t="n"/>
      <c r="E166" s="33" t="n">
        <v>0.9975000000000001</v>
      </c>
      <c r="F166" t="inlineStr">
        <is>
          <t>Up</t>
        </is>
      </c>
      <c r="G166" t="inlineStr">
        <is>
          <t>Down</t>
        </is>
      </c>
      <c r="H166" t="inlineStr">
        <is>
          <t>EU_JD</t>
        </is>
      </c>
      <c r="I166" t="inlineStr">
        <is>
          <t>2006-11</t>
        </is>
      </c>
      <c r="J166" t="n">
        <v>1</v>
      </c>
      <c r="K166" t="n">
        <v>1</v>
      </c>
      <c r="L166" s="34">
        <f>IF($J166=1,LN(B167/B166),"")</f>
        <v/>
      </c>
      <c r="M166" s="34">
        <f>IF($K166=1,INDEX(Mensal!$D$2:$D$245,MATCH($I166,Mensal!$A$2:$A$245,0)),"")</f>
        <v/>
      </c>
      <c r="N166" s="34">
        <f>IF($K166=1,L166-M166,"")</f>
        <v/>
      </c>
      <c r="O166" s="34" t="n">
        <v>0.00048967</v>
      </c>
      <c r="P166" s="34">
        <f>IF($J166=1,LN(1+O166),"")</f>
        <v/>
      </c>
      <c r="Q166" s="34">
        <f>IF($J166=1,LN(R167/R166),"")</f>
        <v/>
      </c>
      <c r="R166" s="32" t="n">
        <v>2.1668</v>
      </c>
      <c r="S166" s="35" t="n">
        <v>12.75</v>
      </c>
      <c r="T166" s="18" t="n">
        <v>41931</v>
      </c>
      <c r="U166" s="18" t="n"/>
      <c r="V166" s="18" t="n"/>
      <c r="W166" s="18" t="n"/>
      <c r="X166" s="35" t="n"/>
      <c r="Y166" s="35" t="n">
        <v>12.75</v>
      </c>
    </row>
    <row r="167">
      <c r="A167" s="25" t="n">
        <v>39052</v>
      </c>
      <c r="B167" s="18" t="n">
        <v>41327</v>
      </c>
      <c r="C167" s="31" t="n"/>
      <c r="D167" s="32" t="n"/>
      <c r="E167" s="33" t="n">
        <v>1.0137</v>
      </c>
      <c r="F167" t="inlineStr">
        <is>
          <t>Up</t>
        </is>
      </c>
      <c r="G167" t="inlineStr">
        <is>
          <t>Down</t>
        </is>
      </c>
      <c r="H167" t="inlineStr">
        <is>
          <t>EU_JD</t>
        </is>
      </c>
      <c r="I167" t="inlineStr">
        <is>
          <t>2006-12</t>
        </is>
      </c>
      <c r="J167" t="n">
        <v>1</v>
      </c>
      <c r="K167" t="n">
        <v>1</v>
      </c>
      <c r="L167" s="34">
        <f>IF($J167=1,LN(B168/B167),"")</f>
        <v/>
      </c>
      <c r="M167" s="34">
        <f>IF($K167=1,INDEX(Mensal!$D$2:$D$245,MATCH($I167,Mensal!$A$2:$A$245,0)),"")</f>
        <v/>
      </c>
      <c r="N167" s="34">
        <f>IF($K167=1,L167-M167,"")</f>
        <v/>
      </c>
      <c r="O167" s="34" t="n">
        <v>0.00049002</v>
      </c>
      <c r="P167" s="34">
        <f>IF($J167=1,LN(1+O167),"")</f>
        <v/>
      </c>
      <c r="Q167" s="34">
        <f>IF($J167=1,LN(R168/R167),"")</f>
        <v/>
      </c>
      <c r="R167" s="32" t="n">
        <v>2.1672</v>
      </c>
      <c r="S167" s="35" t="n">
        <v>12.72</v>
      </c>
      <c r="T167" s="18" t="n">
        <v>41327</v>
      </c>
      <c r="U167" s="18" t="n"/>
      <c r="V167" s="18" t="n"/>
      <c r="W167" s="18" t="n"/>
      <c r="X167" s="35" t="n"/>
      <c r="Y167" s="35" t="n">
        <v>12.72</v>
      </c>
    </row>
    <row r="168">
      <c r="A168" s="25" t="n">
        <v>39055</v>
      </c>
      <c r="B168" s="18" t="n">
        <v>42654</v>
      </c>
      <c r="C168" s="31" t="n"/>
      <c r="D168" s="32" t="n"/>
      <c r="E168" s="33" t="n">
        <v>1.0222</v>
      </c>
      <c r="F168" t="inlineStr">
        <is>
          <t>Up</t>
        </is>
      </c>
      <c r="G168" t="inlineStr">
        <is>
          <t>Down</t>
        </is>
      </c>
      <c r="H168" t="inlineStr">
        <is>
          <t>EU_JD</t>
        </is>
      </c>
      <c r="I168" t="inlineStr">
        <is>
          <t>2006-12</t>
        </is>
      </c>
      <c r="J168" t="n">
        <v>1</v>
      </c>
      <c r="K168" t="n">
        <v>1</v>
      </c>
      <c r="L168" s="34">
        <f>IF($J168=1,LN(B169/B168),"")</f>
        <v/>
      </c>
      <c r="M168" s="34">
        <f>IF($K168=1,INDEX(Mensal!$D$2:$D$245,MATCH($I168,Mensal!$A$2:$A$245,0)),"")</f>
        <v/>
      </c>
      <c r="N168" s="34">
        <f>IF($K168=1,L168-M168,"")</f>
        <v/>
      </c>
      <c r="O168" s="34" t="n">
        <v>0.00049037</v>
      </c>
      <c r="P168" s="34">
        <f>IF($J168=1,LN(1+O168),"")</f>
        <v/>
      </c>
      <c r="Q168" s="34">
        <f>IF($J168=1,LN(R169/R168),"")</f>
        <v/>
      </c>
      <c r="R168" s="32" t="n">
        <v>2.1693</v>
      </c>
      <c r="S168" s="35" t="n">
        <v>12.74</v>
      </c>
      <c r="T168" s="18" t="n">
        <v>42654</v>
      </c>
      <c r="U168" s="18" t="n"/>
      <c r="V168" s="18" t="n"/>
      <c r="W168" s="18" t="n"/>
      <c r="X168" s="35" t="n"/>
      <c r="Y168" s="35" t="n">
        <v>12.74</v>
      </c>
    </row>
    <row r="169">
      <c r="A169" s="25" t="n">
        <v>39056</v>
      </c>
      <c r="B169" s="18" t="n">
        <v>43157</v>
      </c>
      <c r="C169" s="31" t="n"/>
      <c r="D169" s="32" t="n"/>
      <c r="E169" s="33" t="n">
        <v>1.0194</v>
      </c>
      <c r="F169" t="inlineStr">
        <is>
          <t>Up</t>
        </is>
      </c>
      <c r="G169" t="inlineStr">
        <is>
          <t>Down</t>
        </is>
      </c>
      <c r="H169" t="inlineStr">
        <is>
          <t>EU_JD</t>
        </is>
      </c>
      <c r="I169" t="inlineStr">
        <is>
          <t>2006-12</t>
        </is>
      </c>
      <c r="J169" t="n">
        <v>1</v>
      </c>
      <c r="K169" t="n">
        <v>1</v>
      </c>
      <c r="L169" s="34">
        <f>IF($J169=1,LN(B170/B169),"")</f>
        <v/>
      </c>
      <c r="M169" s="34">
        <f>IF($K169=1,INDEX(Mensal!$D$2:$D$245,MATCH($I169,Mensal!$A$2:$A$245,0)),"")</f>
        <v/>
      </c>
      <c r="N169" s="34">
        <f>IF($K169=1,L169-M169,"")</f>
        <v/>
      </c>
      <c r="O169" s="34" t="n">
        <v>0.00049037</v>
      </c>
      <c r="P169" s="34">
        <f>IF($J169=1,LN(1+O169),"")</f>
        <v/>
      </c>
      <c r="Q169" s="34">
        <f>IF($J169=1,LN(R170/R169),"")</f>
        <v/>
      </c>
      <c r="R169" s="32" t="n">
        <v>2.156</v>
      </c>
      <c r="S169" s="35" t="n">
        <v>12.67</v>
      </c>
      <c r="T169" s="18" t="n">
        <v>43157</v>
      </c>
      <c r="U169" s="18" t="n"/>
      <c r="V169" s="18" t="n"/>
      <c r="W169" s="18" t="n"/>
      <c r="X169" s="35" t="n"/>
      <c r="Y169" s="35" t="n">
        <v>12.67</v>
      </c>
    </row>
    <row r="170">
      <c r="A170" s="25" t="n">
        <v>39057</v>
      </c>
      <c r="B170" s="18" t="n">
        <v>43096</v>
      </c>
      <c r="C170" s="31" t="n"/>
      <c r="D170" s="32" t="n"/>
      <c r="E170" s="33" t="n">
        <v>1.0445</v>
      </c>
      <c r="F170" t="inlineStr">
        <is>
          <t>Up</t>
        </is>
      </c>
      <c r="G170" t="inlineStr">
        <is>
          <t>Down</t>
        </is>
      </c>
      <c r="H170" t="inlineStr">
        <is>
          <t>EU_JD</t>
        </is>
      </c>
      <c r="I170" t="inlineStr">
        <is>
          <t>2006-12</t>
        </is>
      </c>
      <c r="J170" t="n">
        <v>1</v>
      </c>
      <c r="K170" t="n">
        <v>1</v>
      </c>
      <c r="L170" s="34">
        <f>IF($J170=1,LN(B171/B170),"")</f>
        <v/>
      </c>
      <c r="M170" s="34">
        <f>IF($K170=1,INDEX(Mensal!$D$2:$D$245,MATCH($I170,Mensal!$A$2:$A$245,0)),"")</f>
        <v/>
      </c>
      <c r="N170" s="34">
        <f>IF($K170=1,L170-M170,"")</f>
        <v/>
      </c>
      <c r="O170" s="34" t="n">
        <v>0.00049002</v>
      </c>
      <c r="P170" s="34">
        <f>IF($J170=1,LN(1+O170),"")</f>
        <v/>
      </c>
      <c r="Q170" s="34">
        <f>IF($J170=1,LN(R171/R170),"")</f>
        <v/>
      </c>
      <c r="R170" s="32" t="n">
        <v>2.1528</v>
      </c>
      <c r="S170" s="35" t="n">
        <v>12.65</v>
      </c>
      <c r="T170" s="18" t="n">
        <v>43096</v>
      </c>
      <c r="U170" s="18" t="n"/>
      <c r="V170" s="18" t="n"/>
      <c r="W170" s="18" t="n"/>
      <c r="X170" s="35" t="n"/>
      <c r="Y170" s="35" t="n">
        <v>12.65</v>
      </c>
    </row>
    <row r="171">
      <c r="A171" s="25" t="n">
        <v>39058</v>
      </c>
      <c r="B171" s="18" t="n">
        <v>42909</v>
      </c>
      <c r="C171" s="31" t="n"/>
      <c r="D171" s="32" t="n"/>
      <c r="E171" s="33" t="n">
        <v>1.0693</v>
      </c>
      <c r="F171" t="inlineStr">
        <is>
          <t>Up</t>
        </is>
      </c>
      <c r="G171" t="inlineStr">
        <is>
          <t>Down</t>
        </is>
      </c>
      <c r="H171" t="inlineStr">
        <is>
          <t>EU_JD</t>
        </is>
      </c>
      <c r="I171" t="inlineStr">
        <is>
          <t>2006-12</t>
        </is>
      </c>
      <c r="J171" t="n">
        <v>1</v>
      </c>
      <c r="K171" t="n">
        <v>1</v>
      </c>
      <c r="L171" s="34">
        <f>IF($J171=1,LN(B172/B171),"")</f>
        <v/>
      </c>
      <c r="M171" s="34">
        <f>IF($K171=1,INDEX(Mensal!$D$2:$D$245,MATCH($I171,Mensal!$A$2:$A$245,0)),"")</f>
        <v/>
      </c>
      <c r="N171" s="34">
        <f>IF($K171=1,L171-M171,"")</f>
        <v/>
      </c>
      <c r="O171" s="34" t="n">
        <v>0.00048932</v>
      </c>
      <c r="P171" s="34">
        <f>IF($J171=1,LN(1+O171),"")</f>
        <v/>
      </c>
      <c r="Q171" s="34">
        <f>IF($J171=1,LN(R172/R171),"")</f>
        <v/>
      </c>
      <c r="R171" s="32" t="n">
        <v>2.1428</v>
      </c>
      <c r="S171" s="35" t="n">
        <v>12.57</v>
      </c>
      <c r="T171" s="18" t="n">
        <v>42909</v>
      </c>
      <c r="U171" s="18" t="n"/>
      <c r="V171" s="18" t="n"/>
      <c r="W171" s="18" t="n"/>
      <c r="X171" s="35" t="n"/>
      <c r="Y171" s="35" t="n">
        <v>12.57</v>
      </c>
    </row>
    <row r="172">
      <c r="A172" s="25" t="n">
        <v>39059</v>
      </c>
      <c r="B172" s="18" t="n">
        <v>42977</v>
      </c>
      <c r="C172" s="31" t="n"/>
      <c r="D172" s="32" t="n"/>
      <c r="E172" s="33" t="n">
        <v>1.1045</v>
      </c>
      <c r="F172" t="inlineStr">
        <is>
          <t>Up</t>
        </is>
      </c>
      <c r="G172" t="inlineStr">
        <is>
          <t>Down</t>
        </is>
      </c>
      <c r="H172" t="inlineStr">
        <is>
          <t>EU_JD</t>
        </is>
      </c>
      <c r="I172" t="inlineStr">
        <is>
          <t>2006-12</t>
        </is>
      </c>
      <c r="J172" t="n">
        <v>1</v>
      </c>
      <c r="K172" t="n">
        <v>1</v>
      </c>
      <c r="L172" s="34">
        <f>IF($J172=1,LN(B173/B172),"")</f>
        <v/>
      </c>
      <c r="M172" s="34">
        <f>IF($K172=1,INDEX(Mensal!$D$2:$D$245,MATCH($I172,Mensal!$A$2:$A$245,0)),"")</f>
        <v/>
      </c>
      <c r="N172" s="34">
        <f>IF($K172=1,L172-M172,"")</f>
        <v/>
      </c>
      <c r="O172" s="34" t="n">
        <v>0.00048967</v>
      </c>
      <c r="P172" s="34">
        <f>IF($J172=1,LN(1+O172),"")</f>
        <v/>
      </c>
      <c r="Q172" s="34">
        <f>IF($J172=1,LN(R173/R172),"")</f>
        <v/>
      </c>
      <c r="R172" s="32" t="n">
        <v>2.1442</v>
      </c>
      <c r="S172" s="35" t="n">
        <v>12.52</v>
      </c>
      <c r="T172" s="18" t="n">
        <v>42977</v>
      </c>
      <c r="U172" s="18" t="n"/>
      <c r="V172" s="18" t="n"/>
      <c r="W172" s="18" t="n"/>
      <c r="X172" s="35" t="n"/>
      <c r="Y172" s="35" t="n">
        <v>12.52</v>
      </c>
    </row>
    <row r="173">
      <c r="A173" s="25" t="n">
        <v>39062</v>
      </c>
      <c r="B173" s="18" t="n">
        <v>43297</v>
      </c>
      <c r="C173" s="31" t="n"/>
      <c r="D173" s="32" t="n"/>
      <c r="E173" s="33" t="n">
        <v>1.1332</v>
      </c>
      <c r="F173" t="inlineStr">
        <is>
          <t>Up</t>
        </is>
      </c>
      <c r="G173" t="inlineStr">
        <is>
          <t>Down</t>
        </is>
      </c>
      <c r="H173" t="inlineStr">
        <is>
          <t>EU_JD</t>
        </is>
      </c>
      <c r="I173" t="inlineStr">
        <is>
          <t>2006-12</t>
        </is>
      </c>
      <c r="J173" t="n">
        <v>1</v>
      </c>
      <c r="K173" t="n">
        <v>1</v>
      </c>
      <c r="L173" s="34">
        <f>IF($J173=1,LN(B174/B173),"")</f>
        <v/>
      </c>
      <c r="M173" s="34">
        <f>IF($K173=1,INDEX(Mensal!$D$2:$D$245,MATCH($I173,Mensal!$A$2:$A$245,0)),"")</f>
        <v/>
      </c>
      <c r="N173" s="34">
        <f>IF($K173=1,L173-M173,"")</f>
        <v/>
      </c>
      <c r="O173" s="34" t="n">
        <v>0.00048897</v>
      </c>
      <c r="P173" s="34">
        <f>IF($J173=1,LN(1+O173),"")</f>
        <v/>
      </c>
      <c r="Q173" s="34">
        <f>IF($J173=1,LN(R174/R173),"")</f>
        <v/>
      </c>
      <c r="R173" s="32" t="n">
        <v>2.1384</v>
      </c>
      <c r="S173" s="35" t="n">
        <v>12.5</v>
      </c>
      <c r="T173" s="18" t="n">
        <v>43297</v>
      </c>
      <c r="U173" s="18" t="n"/>
      <c r="V173" s="18" t="n"/>
      <c r="W173" s="18" t="n"/>
      <c r="X173" s="35" t="n"/>
      <c r="Y173" s="35" t="n">
        <v>12.5</v>
      </c>
    </row>
    <row r="174">
      <c r="A174" s="25" t="n">
        <v>39063</v>
      </c>
      <c r="B174" s="18" t="n">
        <v>43018</v>
      </c>
      <c r="C174" s="31" t="n"/>
      <c r="D174" s="32" t="n"/>
      <c r="E174" s="33" t="n">
        <v>1.1614</v>
      </c>
      <c r="F174" t="inlineStr">
        <is>
          <t>Up</t>
        </is>
      </c>
      <c r="G174" t="inlineStr">
        <is>
          <t>Down</t>
        </is>
      </c>
      <c r="H174" t="inlineStr">
        <is>
          <t>EU_JD</t>
        </is>
      </c>
      <c r="I174" t="inlineStr">
        <is>
          <t>2006-12</t>
        </is>
      </c>
      <c r="J174" t="n">
        <v>1</v>
      </c>
      <c r="K174" t="n">
        <v>1</v>
      </c>
      <c r="L174" s="34">
        <f>IF($J174=1,LN(B175/B174),"")</f>
        <v/>
      </c>
      <c r="M174" s="34">
        <f>IF($K174=1,INDEX(Mensal!$D$2:$D$245,MATCH($I174,Mensal!$A$2:$A$245,0)),"")</f>
        <v/>
      </c>
      <c r="N174" s="34">
        <f>IF($K174=1,L174-M174,"")</f>
        <v/>
      </c>
      <c r="O174" s="34" t="n">
        <v>0.00048862</v>
      </c>
      <c r="P174" s="34">
        <f>IF($J174=1,LN(1+O174),"")</f>
        <v/>
      </c>
      <c r="Q174" s="34">
        <f>IF($J174=1,LN(R175/R174),"")</f>
        <v/>
      </c>
      <c r="R174" s="32" t="n">
        <v>2.1481</v>
      </c>
      <c r="S174" s="35" t="n">
        <v>12.55</v>
      </c>
      <c r="T174" s="18" t="n">
        <v>43018</v>
      </c>
      <c r="U174" s="18" t="n"/>
      <c r="V174" s="18" t="n"/>
      <c r="W174" s="18" t="n"/>
      <c r="X174" s="35" t="n"/>
      <c r="Y174" s="35" t="n">
        <v>12.55</v>
      </c>
    </row>
    <row r="175">
      <c r="A175" s="25" t="n">
        <v>39064</v>
      </c>
      <c r="B175" s="18" t="n">
        <v>43284</v>
      </c>
      <c r="C175" s="31" t="n"/>
      <c r="D175" s="32" t="n"/>
      <c r="E175" s="33" t="n">
        <v>1.2025</v>
      </c>
      <c r="F175" t="inlineStr">
        <is>
          <t>Up</t>
        </is>
      </c>
      <c r="G175" t="inlineStr">
        <is>
          <t>Down</t>
        </is>
      </c>
      <c r="H175" t="inlineStr">
        <is>
          <t>EU_JD</t>
        </is>
      </c>
      <c r="I175" t="inlineStr">
        <is>
          <t>2006-12</t>
        </is>
      </c>
      <c r="J175" t="n">
        <v>1</v>
      </c>
      <c r="K175" t="n">
        <v>1</v>
      </c>
      <c r="L175" s="34">
        <f>IF($J175=1,LN(B176/B175),"")</f>
        <v/>
      </c>
      <c r="M175" s="34">
        <f>IF($K175=1,INDEX(Mensal!$D$2:$D$245,MATCH($I175,Mensal!$A$2:$A$245,0)),"")</f>
        <v/>
      </c>
      <c r="N175" s="34">
        <f>IF($K175=1,L175-M175,"")</f>
        <v/>
      </c>
      <c r="O175" s="34" t="n">
        <v>0.00048862</v>
      </c>
      <c r="P175" s="34">
        <f>IF($J175=1,LN(1+O175),"")</f>
        <v/>
      </c>
      <c r="Q175" s="34">
        <f>IF($J175=1,LN(R176/R175),"")</f>
        <v/>
      </c>
      <c r="R175" s="32" t="n">
        <v>2.1459</v>
      </c>
      <c r="S175" s="35" t="n">
        <v>12.53</v>
      </c>
      <c r="T175" s="18" t="n">
        <v>43284</v>
      </c>
      <c r="U175" s="18" t="n"/>
      <c r="V175" s="18" t="n"/>
      <c r="W175" s="18" t="n"/>
      <c r="X175" s="35" t="n"/>
      <c r="Y175" s="35" t="n">
        <v>12.53</v>
      </c>
    </row>
    <row r="176">
      <c r="A176" s="25" t="n">
        <v>39065</v>
      </c>
      <c r="B176" s="18" t="n">
        <v>43754</v>
      </c>
      <c r="C176" s="31" t="n"/>
      <c r="D176" s="32" t="n"/>
      <c r="E176" s="33" t="n">
        <v>1.2408</v>
      </c>
      <c r="F176" t="inlineStr">
        <is>
          <t>Up</t>
        </is>
      </c>
      <c r="G176" t="inlineStr">
        <is>
          <t>Down</t>
        </is>
      </c>
      <c r="H176" t="inlineStr">
        <is>
          <t>EU_JD</t>
        </is>
      </c>
      <c r="I176" t="inlineStr">
        <is>
          <t>2006-12</t>
        </is>
      </c>
      <c r="J176" t="n">
        <v>1</v>
      </c>
      <c r="K176" t="n">
        <v>1</v>
      </c>
      <c r="L176" s="34">
        <f>IF($J176=1,LN(B177/B176),"")</f>
        <v/>
      </c>
      <c r="M176" s="34">
        <f>IF($K176=1,INDEX(Mensal!$D$2:$D$245,MATCH($I176,Mensal!$A$2:$A$245,0)),"")</f>
        <v/>
      </c>
      <c r="N176" s="34">
        <f>IF($K176=1,L176-M176,"")</f>
        <v/>
      </c>
      <c r="O176" s="34" t="n">
        <v>0.00048862</v>
      </c>
      <c r="P176" s="34">
        <f>IF($J176=1,LN(1+O176),"")</f>
        <v/>
      </c>
      <c r="Q176" s="34">
        <f>IF($J176=1,LN(R177/R176),"")</f>
        <v/>
      </c>
      <c r="R176" s="32" t="n">
        <v>2.146</v>
      </c>
      <c r="S176" s="35" t="n">
        <v>12.52</v>
      </c>
      <c r="T176" s="18" t="n">
        <v>43754</v>
      </c>
      <c r="U176" s="18" t="n"/>
      <c r="V176" s="18" t="n"/>
      <c r="W176" s="18" t="n"/>
      <c r="X176" s="35" t="n"/>
      <c r="Y176" s="35" t="n">
        <v>12.52</v>
      </c>
    </row>
    <row r="177">
      <c r="A177" s="25" t="n">
        <v>39066</v>
      </c>
      <c r="B177" s="18" t="n">
        <v>43595</v>
      </c>
      <c r="C177" s="31" t="n"/>
      <c r="D177" s="32" t="n"/>
      <c r="E177" s="33" t="n">
        <v>1.2714</v>
      </c>
      <c r="F177" t="inlineStr">
        <is>
          <t>Up</t>
        </is>
      </c>
      <c r="G177" t="inlineStr">
        <is>
          <t>Down</t>
        </is>
      </c>
      <c r="H177" t="inlineStr">
        <is>
          <t>EU_JD</t>
        </is>
      </c>
      <c r="I177" t="inlineStr">
        <is>
          <t>2006-12</t>
        </is>
      </c>
      <c r="J177" t="n">
        <v>1</v>
      </c>
      <c r="K177" t="n">
        <v>1</v>
      </c>
      <c r="L177" s="34">
        <f>IF($J177=1,LN(B178/B177),"")</f>
        <v/>
      </c>
      <c r="M177" s="34">
        <f>IF($K177=1,INDEX(Mensal!$D$2:$D$245,MATCH($I177,Mensal!$A$2:$A$245,0)),"")</f>
        <v/>
      </c>
      <c r="N177" s="34">
        <f>IF($K177=1,L177-M177,"")</f>
        <v/>
      </c>
      <c r="O177" s="34" t="n">
        <v>0.00048897</v>
      </c>
      <c r="P177" s="34">
        <f>IF($J177=1,LN(1+O177),"")</f>
        <v/>
      </c>
      <c r="Q177" s="34">
        <f>IF($J177=1,LN(R178/R177),"")</f>
        <v/>
      </c>
      <c r="R177" s="32" t="n">
        <v>2.147</v>
      </c>
      <c r="S177" s="35" t="n">
        <v>12.48</v>
      </c>
      <c r="T177" s="18" t="n">
        <v>43595</v>
      </c>
      <c r="U177" s="18" t="n"/>
      <c r="V177" s="18" t="n"/>
      <c r="W177" s="18" t="n"/>
      <c r="X177" s="35" t="n"/>
      <c r="Y177" s="35" t="n">
        <v>12.48</v>
      </c>
    </row>
    <row r="178">
      <c r="A178" s="25" t="n">
        <v>39069</v>
      </c>
      <c r="B178" s="18" t="n">
        <v>43508</v>
      </c>
      <c r="C178" s="31" t="n"/>
      <c r="D178" s="32" t="n"/>
      <c r="E178" s="33" t="n">
        <v>1.2916</v>
      </c>
      <c r="F178" t="inlineStr">
        <is>
          <t>Up</t>
        </is>
      </c>
      <c r="G178" t="inlineStr">
        <is>
          <t>Down</t>
        </is>
      </c>
      <c r="H178" t="inlineStr">
        <is>
          <t>EU_JD</t>
        </is>
      </c>
      <c r="I178" t="inlineStr">
        <is>
          <t>2006-12</t>
        </is>
      </c>
      <c r="J178" t="n">
        <v>1</v>
      </c>
      <c r="K178" t="n">
        <v>1</v>
      </c>
      <c r="L178" s="34">
        <f>IF($J178=1,LN(B179/B178),"")</f>
        <v/>
      </c>
      <c r="M178" s="34">
        <f>IF($K178=1,INDEX(Mensal!$D$2:$D$245,MATCH($I178,Mensal!$A$2:$A$245,0)),"")</f>
        <v/>
      </c>
      <c r="N178" s="34">
        <f>IF($K178=1,L178-M178,"")</f>
        <v/>
      </c>
      <c r="O178" s="34" t="n">
        <v>0.00048932</v>
      </c>
      <c r="P178" s="34">
        <f>IF($J178=1,LN(1+O178),"")</f>
        <v/>
      </c>
      <c r="Q178" s="34">
        <f>IF($J178=1,LN(R179/R178),"")</f>
        <v/>
      </c>
      <c r="R178" s="32" t="n">
        <v>2.147</v>
      </c>
      <c r="S178" s="35" t="n">
        <v>12.43</v>
      </c>
      <c r="T178" s="18" t="n">
        <v>43508</v>
      </c>
      <c r="U178" s="18" t="n"/>
      <c r="V178" s="18" t="n"/>
      <c r="W178" s="18" t="n"/>
      <c r="X178" s="35" t="n"/>
      <c r="Y178" s="35" t="n">
        <v>12.43</v>
      </c>
    </row>
    <row r="179">
      <c r="A179" s="25" t="n">
        <v>39070</v>
      </c>
      <c r="B179" s="18" t="n">
        <v>43589</v>
      </c>
      <c r="C179" s="31" t="n"/>
      <c r="D179" s="32" t="n"/>
      <c r="E179" s="33" t="n">
        <v>1.315</v>
      </c>
      <c r="F179" t="inlineStr">
        <is>
          <t>Up</t>
        </is>
      </c>
      <c r="G179" t="inlineStr">
        <is>
          <t>Down</t>
        </is>
      </c>
      <c r="H179" t="inlineStr">
        <is>
          <t>EU_JD</t>
        </is>
      </c>
      <c r="I179" t="inlineStr">
        <is>
          <t>2006-12</t>
        </is>
      </c>
      <c r="J179" t="n">
        <v>1</v>
      </c>
      <c r="K179" t="n">
        <v>1</v>
      </c>
      <c r="L179" s="34">
        <f>IF($J179=1,LN(B180/B179),"")</f>
        <v/>
      </c>
      <c r="M179" s="34">
        <f>IF($K179=1,INDEX(Mensal!$D$2:$D$245,MATCH($I179,Mensal!$A$2:$A$245,0)),"")</f>
        <v/>
      </c>
      <c r="N179" s="34">
        <f>IF($K179=1,L179-M179,"")</f>
        <v/>
      </c>
      <c r="O179" s="34" t="n">
        <v>0.00049002</v>
      </c>
      <c r="P179" s="34">
        <f>IF($J179=1,LN(1+O179),"")</f>
        <v/>
      </c>
      <c r="Q179" s="34">
        <f>IF($J179=1,LN(R180/R179),"")</f>
        <v/>
      </c>
      <c r="R179" s="32" t="n">
        <v>2.1572</v>
      </c>
      <c r="S179" s="35" t="n">
        <v>12.48</v>
      </c>
      <c r="T179" s="18" t="n">
        <v>43589</v>
      </c>
      <c r="U179" s="18" t="n"/>
      <c r="V179" s="18" t="n"/>
      <c r="W179" s="18" t="n"/>
      <c r="X179" s="35" t="n"/>
      <c r="Y179" s="35" t="n">
        <v>12.48</v>
      </c>
    </row>
    <row r="180">
      <c r="A180" s="25" t="n">
        <v>39071</v>
      </c>
      <c r="B180" s="18" t="n">
        <v>43502</v>
      </c>
      <c r="C180" s="31" t="n"/>
      <c r="D180" s="32" t="n"/>
      <c r="E180" s="33" t="n">
        <v>1.3358</v>
      </c>
      <c r="F180" t="inlineStr">
        <is>
          <t>Up</t>
        </is>
      </c>
      <c r="G180" t="inlineStr">
        <is>
          <t>Down</t>
        </is>
      </c>
      <c r="H180" t="inlineStr">
        <is>
          <t>EU_JD</t>
        </is>
      </c>
      <c r="I180" t="inlineStr">
        <is>
          <t>2006-12</t>
        </is>
      </c>
      <c r="J180" t="n">
        <v>1</v>
      </c>
      <c r="K180" t="n">
        <v>1</v>
      </c>
      <c r="L180" s="34">
        <f>IF($J180=1,LN(B181/B180),"")</f>
        <v/>
      </c>
      <c r="M180" s="34">
        <f>IF($K180=1,INDEX(Mensal!$D$2:$D$245,MATCH($I180,Mensal!$A$2:$A$245,0)),"")</f>
        <v/>
      </c>
      <c r="N180" s="34">
        <f>IF($K180=1,L180-M180,"")</f>
        <v/>
      </c>
      <c r="O180" s="34" t="n">
        <v>0.00049037</v>
      </c>
      <c r="P180" s="34">
        <f>IF($J180=1,LN(1+O180),"")</f>
        <v/>
      </c>
      <c r="Q180" s="34">
        <f>IF($J180=1,LN(R181/R180),"")</f>
        <v/>
      </c>
      <c r="R180" s="32" t="n">
        <v>2.156</v>
      </c>
      <c r="S180" s="35" t="n">
        <v>12.48</v>
      </c>
      <c r="T180" s="18" t="n">
        <v>43502</v>
      </c>
      <c r="U180" s="18" t="n"/>
      <c r="V180" s="18" t="n"/>
      <c r="W180" s="18" t="n"/>
      <c r="X180" s="35" t="n"/>
      <c r="Y180" s="35" t="n">
        <v>12.48</v>
      </c>
    </row>
    <row r="181">
      <c r="A181" s="25" t="n">
        <v>39072</v>
      </c>
      <c r="B181" s="18" t="n">
        <v>43385</v>
      </c>
      <c r="C181" s="31" t="n"/>
      <c r="D181" s="32" t="n"/>
      <c r="E181" s="33" t="n">
        <v>1.3571</v>
      </c>
      <c r="F181" t="inlineStr">
        <is>
          <t>Up</t>
        </is>
      </c>
      <c r="G181" t="inlineStr">
        <is>
          <t>Down</t>
        </is>
      </c>
      <c r="H181" t="inlineStr">
        <is>
          <t>EU_JD</t>
        </is>
      </c>
      <c r="I181" t="inlineStr">
        <is>
          <t>2006-12</t>
        </is>
      </c>
      <c r="J181" t="n">
        <v>1</v>
      </c>
      <c r="K181" t="n">
        <v>1</v>
      </c>
      <c r="L181" s="34">
        <f>IF($J181=1,LN(B182/B181),"")</f>
        <v/>
      </c>
      <c r="M181" s="34">
        <f>IF($K181=1,INDEX(Mensal!$D$2:$D$245,MATCH($I181,Mensal!$A$2:$A$245,0)),"")</f>
        <v/>
      </c>
      <c r="N181" s="34">
        <f>IF($K181=1,L181-M181,"")</f>
        <v/>
      </c>
      <c r="O181" s="34" t="n">
        <v>0.00049037</v>
      </c>
      <c r="P181" s="34">
        <f>IF($J181=1,LN(1+O181),"")</f>
        <v/>
      </c>
      <c r="Q181" s="34">
        <f>IF($J181=1,LN(R182/R181),"")</f>
        <v/>
      </c>
      <c r="R181" s="32" t="n">
        <v>2.1593</v>
      </c>
      <c r="S181" s="35" t="n">
        <v>12.51</v>
      </c>
      <c r="T181" s="18" t="n">
        <v>43385</v>
      </c>
      <c r="U181" s="18" t="n"/>
      <c r="V181" s="18" t="n"/>
      <c r="W181" s="18" t="n"/>
      <c r="X181" s="35" t="n"/>
      <c r="Y181" s="35" t="n">
        <v>12.51</v>
      </c>
    </row>
    <row r="182">
      <c r="A182" s="25" t="n">
        <v>39073</v>
      </c>
      <c r="B182" s="18" t="n">
        <v>43355</v>
      </c>
      <c r="C182" s="31" t="n"/>
      <c r="D182" s="32" t="n"/>
      <c r="E182" s="33" t="n">
        <v>1.3864</v>
      </c>
      <c r="F182" t="inlineStr">
        <is>
          <t>Up</t>
        </is>
      </c>
      <c r="G182" t="inlineStr">
        <is>
          <t>Down</t>
        </is>
      </c>
      <c r="H182" t="inlineStr">
        <is>
          <t>EU_JD</t>
        </is>
      </c>
      <c r="I182" t="inlineStr">
        <is>
          <t>2006-12</t>
        </is>
      </c>
      <c r="J182" t="n">
        <v>1</v>
      </c>
      <c r="K182" t="n">
        <v>1</v>
      </c>
      <c r="L182" s="34">
        <f>IF($J182=1,LN(B183/B182),"")</f>
        <v/>
      </c>
      <c r="M182" s="34">
        <f>IF($K182=1,INDEX(Mensal!$D$2:$D$245,MATCH($I182,Mensal!$A$2:$A$245,0)),"")</f>
        <v/>
      </c>
      <c r="N182" s="34">
        <f>IF($K182=1,L182-M182,"")</f>
        <v/>
      </c>
      <c r="O182" s="34" t="n">
        <v>0.00049002</v>
      </c>
      <c r="P182" s="34">
        <f>IF($J182=1,LN(1+O182),"")</f>
        <v/>
      </c>
      <c r="Q182" s="34">
        <f>IF($J182=1,LN(R183/R182),"")</f>
        <v/>
      </c>
      <c r="R182" s="32" t="n">
        <v>2.1518</v>
      </c>
      <c r="S182" s="35" t="n">
        <v>12.5</v>
      </c>
      <c r="T182" s="18" t="n">
        <v>43355</v>
      </c>
      <c r="U182" s="18" t="n"/>
      <c r="V182" s="18" t="n"/>
      <c r="W182" s="18" t="n"/>
      <c r="X182" s="35" t="n"/>
      <c r="Y182" s="35" t="n">
        <v>12.5</v>
      </c>
    </row>
    <row r="183">
      <c r="A183" s="25" t="n">
        <v>39077</v>
      </c>
      <c r="B183" s="18" t="n">
        <v>43603</v>
      </c>
      <c r="C183" s="31" t="n"/>
      <c r="D183" s="32" t="n"/>
      <c r="E183" s="33" t="n">
        <v>1.4131</v>
      </c>
      <c r="F183" t="inlineStr">
        <is>
          <t>Up</t>
        </is>
      </c>
      <c r="G183" t="inlineStr">
        <is>
          <t>Down</t>
        </is>
      </c>
      <c r="H183" t="inlineStr">
        <is>
          <t>EU_JD</t>
        </is>
      </c>
      <c r="I183" t="inlineStr">
        <is>
          <t>2006-12</t>
        </is>
      </c>
      <c r="J183" t="n">
        <v>1</v>
      </c>
      <c r="K183" t="n">
        <v>1</v>
      </c>
      <c r="L183" s="34">
        <f>IF($J183=1,LN(B184/B183),"")</f>
        <v/>
      </c>
      <c r="M183" s="34">
        <f>IF($K183=1,INDEX(Mensal!$D$2:$D$245,MATCH($I183,Mensal!$A$2:$A$245,0)),"")</f>
        <v/>
      </c>
      <c r="N183" s="34">
        <f>IF($K183=1,L183-M183,"")</f>
        <v/>
      </c>
      <c r="O183" s="34" t="n">
        <v>0.00049073</v>
      </c>
      <c r="P183" s="34">
        <f>IF($J183=1,LN(1+O183),"")</f>
        <v/>
      </c>
      <c r="Q183" s="34">
        <f>IF($J183=1,LN(R184/R183),"")</f>
        <v/>
      </c>
      <c r="R183" s="32" t="n">
        <v>2.1437</v>
      </c>
      <c r="S183" s="35" t="n">
        <v>12.46</v>
      </c>
      <c r="T183" s="18" t="n">
        <v>43603</v>
      </c>
      <c r="U183" s="18" t="n"/>
      <c r="V183" s="18" t="n"/>
      <c r="W183" s="18" t="n"/>
      <c r="X183" s="35" t="n"/>
      <c r="Y183" s="35" t="n">
        <v>12.46</v>
      </c>
    </row>
    <row r="184">
      <c r="A184" s="25" t="n">
        <v>39078</v>
      </c>
      <c r="B184" s="18" t="n">
        <v>44526</v>
      </c>
      <c r="C184" s="31" t="n"/>
      <c r="D184" s="32" t="n"/>
      <c r="E184" s="33" t="n">
        <v>1.4386</v>
      </c>
      <c r="F184" t="inlineStr">
        <is>
          <t>Up</t>
        </is>
      </c>
      <c r="G184" t="inlineStr">
        <is>
          <t>Down</t>
        </is>
      </c>
      <c r="H184" t="inlineStr">
        <is>
          <t>EU_JD</t>
        </is>
      </c>
      <c r="I184" t="inlineStr">
        <is>
          <t>2006-12</t>
        </is>
      </c>
      <c r="J184" t="n">
        <v>1</v>
      </c>
      <c r="K184" t="n">
        <v>1</v>
      </c>
      <c r="L184" s="34">
        <f>IF($J184=1,LN(B185/B184),"")</f>
        <v/>
      </c>
      <c r="M184" s="34">
        <f>IF($K184=1,INDEX(Mensal!$D$2:$D$245,MATCH($I184,Mensal!$A$2:$A$245,0)),"")</f>
        <v/>
      </c>
      <c r="N184" s="34">
        <f>IF($K184=1,L184-M184,"")</f>
        <v/>
      </c>
      <c r="O184" s="34" t="n">
        <v>0.00049073</v>
      </c>
      <c r="P184" s="34">
        <f>IF($J184=1,LN(1+O184),"")</f>
        <v/>
      </c>
      <c r="Q184" s="34">
        <f>IF($J184=1,LN(R185/R184),"")</f>
        <v/>
      </c>
      <c r="R184" s="32" t="n">
        <v>2.1497</v>
      </c>
      <c r="S184" s="35" t="n">
        <v>12.42</v>
      </c>
      <c r="T184" s="18" t="n">
        <v>44526</v>
      </c>
      <c r="U184" s="18" t="n"/>
      <c r="V184" s="18" t="n"/>
      <c r="W184" s="18" t="n"/>
      <c r="X184" s="35" t="n"/>
      <c r="Y184" s="35" t="n">
        <v>12.42</v>
      </c>
    </row>
    <row r="185">
      <c r="A185" s="25" t="n">
        <v>39079</v>
      </c>
      <c r="B185" s="18" t="n">
        <v>44473</v>
      </c>
      <c r="C185" s="31" t="n"/>
      <c r="D185" s="32" t="n"/>
      <c r="E185" s="33" t="n">
        <v>1.4866</v>
      </c>
      <c r="F185" t="inlineStr">
        <is>
          <t>Up</t>
        </is>
      </c>
      <c r="G185" t="inlineStr">
        <is>
          <t>Down</t>
        </is>
      </c>
      <c r="H185" t="inlineStr">
        <is>
          <t>EU_JD</t>
        </is>
      </c>
      <c r="I185" t="inlineStr">
        <is>
          <t>2006-12</t>
        </is>
      </c>
      <c r="J185" t="n">
        <v>1</v>
      </c>
      <c r="K185" t="n">
        <v>1</v>
      </c>
      <c r="L185" s="34">
        <f>IF($J185=1,LN(B186/B185),"")</f>
        <v/>
      </c>
      <c r="M185" s="34">
        <f>IF($K185=1,INDEX(Mensal!$D$2:$D$245,MATCH($I185,Mensal!$A$2:$A$245,0)),"")</f>
        <v/>
      </c>
      <c r="N185" s="34">
        <f>IF($K185=1,L185-M185,"")</f>
        <v/>
      </c>
      <c r="O185" s="34" t="n">
        <v>0.00049108</v>
      </c>
      <c r="P185" s="34">
        <f>IF($J185=1,LN(1+O185),"")</f>
        <v/>
      </c>
      <c r="Q185" s="34">
        <f>IF($J185=1,LN(R186/R185),"")</f>
        <v/>
      </c>
      <c r="R185" s="32" t="n">
        <v>2.138</v>
      </c>
      <c r="S185" s="35" t="n">
        <v>12.38</v>
      </c>
      <c r="T185" s="18" t="n">
        <v>44473</v>
      </c>
      <c r="U185" s="18" t="n"/>
      <c r="V185" s="18" t="n"/>
      <c r="W185" s="18" t="n"/>
      <c r="X185" s="35" t="n"/>
      <c r="Y185" s="35" t="n">
        <v>12.38</v>
      </c>
    </row>
    <row r="186">
      <c r="A186" s="25" t="n">
        <v>39084</v>
      </c>
      <c r="B186" s="18" t="n">
        <v>45382</v>
      </c>
      <c r="C186" s="31" t="n"/>
      <c r="D186" s="32" t="n"/>
      <c r="E186" s="33" t="n">
        <v>1.5287</v>
      </c>
      <c r="F186" t="inlineStr">
        <is>
          <t>Up</t>
        </is>
      </c>
      <c r="G186" t="inlineStr">
        <is>
          <t>Down</t>
        </is>
      </c>
      <c r="H186" t="inlineStr">
        <is>
          <t>EU_JD</t>
        </is>
      </c>
      <c r="I186" t="inlineStr">
        <is>
          <t>2007-01</t>
        </is>
      </c>
      <c r="J186" t="n">
        <v>1</v>
      </c>
      <c r="K186" t="n">
        <v>1</v>
      </c>
      <c r="L186" s="34">
        <f>IF($J186=1,LN(B187/B186),"")</f>
        <v/>
      </c>
      <c r="M186" s="34">
        <f>IF($K186=1,INDEX(Mensal!$D$2:$D$245,MATCH($I186,Mensal!$A$2:$A$245,0)),"")</f>
        <v/>
      </c>
      <c r="N186" s="34">
        <f>IF($K186=1,L186-M186,"")</f>
        <v/>
      </c>
      <c r="O186" s="34" t="n">
        <v>0.00049073</v>
      </c>
      <c r="P186" s="34">
        <f>IF($J186=1,LN(1+O186),"")</f>
        <v/>
      </c>
      <c r="Q186" s="34">
        <f>IF($J186=1,LN(R187/R186),"")</f>
        <v/>
      </c>
      <c r="R186" s="32" t="n">
        <v>2.1342</v>
      </c>
      <c r="S186" s="35" t="n">
        <v>12.31</v>
      </c>
      <c r="T186" s="18" t="n">
        <v>45382</v>
      </c>
      <c r="U186" s="18" t="n"/>
      <c r="V186" s="18" t="n"/>
      <c r="W186" s="18" t="n"/>
      <c r="X186" s="35" t="n"/>
      <c r="Y186" s="35" t="n">
        <v>12.31</v>
      </c>
    </row>
    <row r="187">
      <c r="A187" s="25" t="n">
        <v>39085</v>
      </c>
      <c r="B187" s="18" t="n">
        <v>44445</v>
      </c>
      <c r="C187" s="31" t="n"/>
      <c r="D187" s="32" t="n"/>
      <c r="E187" s="33" t="n">
        <v>1.5653</v>
      </c>
      <c r="F187" t="inlineStr">
        <is>
          <t>Up</t>
        </is>
      </c>
      <c r="G187" t="inlineStr">
        <is>
          <t>Down</t>
        </is>
      </c>
      <c r="H187" t="inlineStr">
        <is>
          <t>EU_JD</t>
        </is>
      </c>
      <c r="I187" t="inlineStr">
        <is>
          <t>2007-01</t>
        </is>
      </c>
      <c r="J187" t="n">
        <v>1</v>
      </c>
      <c r="K187" t="n">
        <v>1</v>
      </c>
      <c r="L187" s="34">
        <f>IF($J187=1,LN(B188/B187),"")</f>
        <v/>
      </c>
      <c r="M187" s="34">
        <f>IF($K187=1,INDEX(Mensal!$D$2:$D$245,MATCH($I187,Mensal!$A$2:$A$245,0)),"")</f>
        <v/>
      </c>
      <c r="N187" s="34">
        <f>IF($K187=1,L187-M187,"")</f>
        <v/>
      </c>
      <c r="O187" s="34" t="n">
        <v>0.00049073</v>
      </c>
      <c r="P187" s="34">
        <f>IF($J187=1,LN(1+O187),"")</f>
        <v/>
      </c>
      <c r="Q187" s="34">
        <f>IF($J187=1,LN(R188/R187),"")</f>
        <v/>
      </c>
      <c r="R187" s="32" t="n">
        <v>2.1372</v>
      </c>
      <c r="S187" s="35" t="n">
        <v>12.3</v>
      </c>
      <c r="T187" s="18" t="n">
        <v>44445</v>
      </c>
      <c r="U187" s="18" t="n"/>
      <c r="V187" s="18" t="n"/>
      <c r="W187" s="18" t="n"/>
      <c r="X187" s="35" t="n"/>
      <c r="Y187" s="35" t="n">
        <v>12.3</v>
      </c>
    </row>
    <row r="188">
      <c r="A188" s="25" t="n">
        <v>39086</v>
      </c>
      <c r="B188" s="18" t="n">
        <v>44019</v>
      </c>
      <c r="C188" s="31" t="n"/>
      <c r="D188" s="32" t="n"/>
      <c r="E188" s="33" t="n">
        <v>1.5965</v>
      </c>
      <c r="F188" t="inlineStr">
        <is>
          <t>Up</t>
        </is>
      </c>
      <c r="G188" t="inlineStr">
        <is>
          <t>Down</t>
        </is>
      </c>
      <c r="H188" t="inlineStr">
        <is>
          <t>EU_JD</t>
        </is>
      </c>
      <c r="I188" t="inlineStr">
        <is>
          <t>2007-01</t>
        </is>
      </c>
      <c r="J188" t="n">
        <v>1</v>
      </c>
      <c r="K188" t="n">
        <v>1</v>
      </c>
      <c r="L188" s="34">
        <f>IF($J188=1,LN(B189/B188),"")</f>
        <v/>
      </c>
      <c r="M188" s="34">
        <f>IF($K188=1,INDEX(Mensal!$D$2:$D$245,MATCH($I188,Mensal!$A$2:$A$245,0)),"")</f>
        <v/>
      </c>
      <c r="N188" s="34">
        <f>IF($K188=1,L188-M188,"")</f>
        <v/>
      </c>
      <c r="O188" s="34" t="n">
        <v>0.00049073</v>
      </c>
      <c r="P188" s="34">
        <f>IF($J188=1,LN(1+O188),"")</f>
        <v/>
      </c>
      <c r="Q188" s="34">
        <f>IF($J188=1,LN(R189/R188),"")</f>
        <v/>
      </c>
      <c r="R188" s="32" t="n">
        <v>2.1429</v>
      </c>
      <c r="S188" s="35" t="n">
        <v>12.36</v>
      </c>
      <c r="T188" s="18" t="n">
        <v>44019</v>
      </c>
      <c r="U188" s="18" t="n"/>
      <c r="V188" s="18" t="n"/>
      <c r="W188" s="18" t="n"/>
      <c r="X188" s="35" t="n"/>
      <c r="Y188" s="35" t="n">
        <v>12.36</v>
      </c>
    </row>
    <row r="189">
      <c r="A189" s="25" t="n">
        <v>39087</v>
      </c>
      <c r="B189" s="18" t="n">
        <v>42245</v>
      </c>
      <c r="C189" s="31" t="n"/>
      <c r="D189" s="32" t="n"/>
      <c r="E189" s="33" t="n">
        <v>1.6196</v>
      </c>
      <c r="F189" t="inlineStr">
        <is>
          <t>Up</t>
        </is>
      </c>
      <c r="G189" t="inlineStr">
        <is>
          <t>Down</t>
        </is>
      </c>
      <c r="H189" t="inlineStr">
        <is>
          <t>EU_JD</t>
        </is>
      </c>
      <c r="I189" t="inlineStr">
        <is>
          <t>2007-01</t>
        </is>
      </c>
      <c r="J189" t="n">
        <v>1</v>
      </c>
      <c r="K189" t="n">
        <v>1</v>
      </c>
      <c r="L189" s="34">
        <f>IF($J189=1,LN(B190/B189),"")</f>
        <v/>
      </c>
      <c r="M189" s="34">
        <f>IF($K189=1,INDEX(Mensal!$D$2:$D$245,MATCH($I189,Mensal!$A$2:$A$245,0)),"")</f>
        <v/>
      </c>
      <c r="N189" s="34">
        <f>IF($K189=1,L189-M189,"")</f>
        <v/>
      </c>
      <c r="O189" s="34" t="n">
        <v>0.00049108</v>
      </c>
      <c r="P189" s="34">
        <f>IF($J189=1,LN(1+O189),"")</f>
        <v/>
      </c>
      <c r="Q189" s="34">
        <f>IF($J189=1,LN(R190/R189),"")</f>
        <v/>
      </c>
      <c r="R189" s="32" t="n">
        <v>2.1474</v>
      </c>
      <c r="S189" s="35" t="n">
        <v>12.43</v>
      </c>
      <c r="T189" s="18" t="n">
        <v>42245</v>
      </c>
      <c r="U189" s="18" t="n"/>
      <c r="V189" s="18" t="n"/>
      <c r="W189" s="18" t="n"/>
      <c r="X189" s="35" t="n"/>
      <c r="Y189" s="35" t="n">
        <v>12.43</v>
      </c>
    </row>
    <row r="190">
      <c r="A190" s="25" t="n">
        <v>39090</v>
      </c>
      <c r="B190" s="18" t="n">
        <v>42829</v>
      </c>
      <c r="C190" s="31" t="n"/>
      <c r="D190" s="32" t="n"/>
      <c r="E190" s="33" t="n">
        <v>1.6266</v>
      </c>
      <c r="F190" t="inlineStr">
        <is>
          <t>Up</t>
        </is>
      </c>
      <c r="G190" t="inlineStr">
        <is>
          <t>Down</t>
        </is>
      </c>
      <c r="H190" t="inlineStr">
        <is>
          <t>EU_JD</t>
        </is>
      </c>
      <c r="I190" t="inlineStr">
        <is>
          <t>2007-01</t>
        </is>
      </c>
      <c r="J190" t="n">
        <v>1</v>
      </c>
      <c r="K190" t="n">
        <v>1</v>
      </c>
      <c r="L190" s="34">
        <f>IF($J190=1,LN(B191/B190),"")</f>
        <v/>
      </c>
      <c r="M190" s="34">
        <f>IF($K190=1,INDEX(Mensal!$D$2:$D$245,MATCH($I190,Mensal!$A$2:$A$245,0)),"")</f>
        <v/>
      </c>
      <c r="N190" s="34">
        <f>IF($K190=1,L190-M190,"")</f>
        <v/>
      </c>
      <c r="O190" s="34" t="n">
        <v>0.0004914299999999999</v>
      </c>
      <c r="P190" s="34">
        <f>IF($J190=1,LN(1+O190),"")</f>
        <v/>
      </c>
      <c r="Q190" s="34">
        <f>IF($J190=1,LN(R191/R190),"")</f>
        <v/>
      </c>
      <c r="R190" s="32" t="n">
        <v>2.1505</v>
      </c>
      <c r="S190" s="35" t="n">
        <v>12.47</v>
      </c>
      <c r="T190" s="18" t="n">
        <v>42829</v>
      </c>
      <c r="U190" s="18" t="n"/>
      <c r="V190" s="18" t="n"/>
      <c r="W190" s="18" t="n"/>
      <c r="X190" s="35" t="n"/>
      <c r="Y190" s="35" t="n">
        <v>12.47</v>
      </c>
    </row>
    <row r="191">
      <c r="A191" s="25" t="n">
        <v>39091</v>
      </c>
      <c r="B191" s="18" t="n">
        <v>42006</v>
      </c>
      <c r="C191" s="31" t="n"/>
      <c r="D191" s="32" t="n"/>
      <c r="E191" s="33" t="n">
        <v>1.6251</v>
      </c>
      <c r="F191" t="inlineStr">
        <is>
          <t>Up</t>
        </is>
      </c>
      <c r="G191" t="inlineStr">
        <is>
          <t>Down</t>
        </is>
      </c>
      <c r="H191" t="inlineStr">
        <is>
          <t>EU_JD</t>
        </is>
      </c>
      <c r="I191" t="inlineStr">
        <is>
          <t>2007-01</t>
        </is>
      </c>
      <c r="J191" t="n">
        <v>1</v>
      </c>
      <c r="K191" t="n">
        <v>1</v>
      </c>
      <c r="L191" s="34">
        <f>IF($J191=1,LN(B192/B191),"")</f>
        <v/>
      </c>
      <c r="M191" s="34">
        <f>IF($K191=1,INDEX(Mensal!$D$2:$D$245,MATCH($I191,Mensal!$A$2:$A$245,0)),"")</f>
        <v/>
      </c>
      <c r="N191" s="34">
        <f>IF($K191=1,L191-M191,"")</f>
        <v/>
      </c>
      <c r="O191" s="34" t="n">
        <v>0.0004914299999999999</v>
      </c>
      <c r="P191" s="34">
        <f>IF($J191=1,LN(1+O191),"")</f>
        <v/>
      </c>
      <c r="Q191" s="34">
        <f>IF($J191=1,LN(R192/R191),"")</f>
        <v/>
      </c>
      <c r="R191" s="32" t="n">
        <v>2.1506</v>
      </c>
      <c r="S191" s="35" t="n">
        <v>12.46</v>
      </c>
      <c r="T191" s="18" t="n">
        <v>42006</v>
      </c>
      <c r="U191" s="18" t="n"/>
      <c r="V191" s="18" t="n"/>
      <c r="W191" s="18" t="n"/>
      <c r="X191" s="35" t="n"/>
      <c r="Y191" s="35" t="n">
        <v>12.46</v>
      </c>
    </row>
    <row r="192">
      <c r="A192" s="25" t="n">
        <v>39092</v>
      </c>
      <c r="B192" s="18" t="n">
        <v>42335</v>
      </c>
      <c r="C192" s="31" t="n"/>
      <c r="D192" s="32" t="n"/>
      <c r="E192" s="33" t="n">
        <v>1.6189</v>
      </c>
      <c r="F192" t="inlineStr">
        <is>
          <t>Up</t>
        </is>
      </c>
      <c r="G192" t="inlineStr">
        <is>
          <t>Down</t>
        </is>
      </c>
      <c r="H192" t="inlineStr">
        <is>
          <t>EU_JD</t>
        </is>
      </c>
      <c r="I192" t="inlineStr">
        <is>
          <t>2007-01</t>
        </is>
      </c>
      <c r="J192" t="n">
        <v>1</v>
      </c>
      <c r="K192" t="n">
        <v>1</v>
      </c>
      <c r="L192" s="34">
        <f>IF($J192=1,LN(B193/B192),"")</f>
        <v/>
      </c>
      <c r="M192" s="34">
        <f>IF($K192=1,INDEX(Mensal!$D$2:$D$245,MATCH($I192,Mensal!$A$2:$A$245,0)),"")</f>
        <v/>
      </c>
      <c r="N192" s="34">
        <f>IF($K192=1,L192-M192,"")</f>
        <v/>
      </c>
      <c r="O192" s="34" t="n">
        <v>0.00049037</v>
      </c>
      <c r="P192" s="34">
        <f>IF($J192=1,LN(1+O192),"")</f>
        <v/>
      </c>
      <c r="Q192" s="34">
        <f>IF($J192=1,LN(R193/R192),"")</f>
        <v/>
      </c>
      <c r="R192" s="32" t="n">
        <v>2.1556</v>
      </c>
      <c r="S192" s="35" t="n">
        <v>12.43</v>
      </c>
      <c r="T192" s="18" t="n">
        <v>42335</v>
      </c>
      <c r="U192" s="18" t="n"/>
      <c r="V192" s="18" t="n"/>
      <c r="W192" s="18" t="n"/>
      <c r="X192" s="35" t="n"/>
      <c r="Y192" s="35" t="n">
        <v>12.43</v>
      </c>
    </row>
    <row r="193">
      <c r="A193" s="25" t="n">
        <v>39093</v>
      </c>
      <c r="B193" s="18" t="n">
        <v>42670</v>
      </c>
      <c r="C193" s="31" t="n"/>
      <c r="D193" s="32" t="n"/>
      <c r="E193" s="33" t="n">
        <v>1.6105</v>
      </c>
      <c r="F193" t="inlineStr">
        <is>
          <t>Up</t>
        </is>
      </c>
      <c r="G193" t="inlineStr">
        <is>
          <t>Down</t>
        </is>
      </c>
      <c r="H193" t="inlineStr">
        <is>
          <t>EU_JD</t>
        </is>
      </c>
      <c r="I193" t="inlineStr">
        <is>
          <t>2007-01</t>
        </is>
      </c>
      <c r="J193" t="n">
        <v>1</v>
      </c>
      <c r="K193" t="n">
        <v>1</v>
      </c>
      <c r="L193" s="34">
        <f>IF($J193=1,LN(B194/B193),"")</f>
        <v/>
      </c>
      <c r="M193" s="34">
        <f>IF($K193=1,INDEX(Mensal!$D$2:$D$245,MATCH($I193,Mensal!$A$2:$A$245,0)),"")</f>
        <v/>
      </c>
      <c r="N193" s="34">
        <f>IF($K193=1,L193-M193,"")</f>
        <v/>
      </c>
      <c r="O193" s="34" t="n">
        <v>0.00048932</v>
      </c>
      <c r="P193" s="34">
        <f>IF($J193=1,LN(1+O193),"")</f>
        <v/>
      </c>
      <c r="Q193" s="34">
        <f>IF($J193=1,LN(R194/R193),"")</f>
        <v/>
      </c>
      <c r="R193" s="32" t="n">
        <v>2.1465</v>
      </c>
      <c r="S193" s="35" t="n">
        <v>12.41</v>
      </c>
      <c r="T193" s="18" t="n">
        <v>42670</v>
      </c>
      <c r="U193" s="18" t="n"/>
      <c r="V193" s="18" t="n"/>
      <c r="W193" s="18" t="n"/>
      <c r="X193" s="35" t="n"/>
      <c r="Y193" s="35" t="n">
        <v>12.41</v>
      </c>
    </row>
    <row r="194">
      <c r="A194" s="25" t="n">
        <v>39094</v>
      </c>
      <c r="B194" s="18" t="n">
        <v>43095</v>
      </c>
      <c r="C194" s="31" t="n"/>
      <c r="D194" s="32" t="n"/>
      <c r="E194" s="33" t="n">
        <v>1.6009</v>
      </c>
      <c r="F194" t="inlineStr">
        <is>
          <t>Up</t>
        </is>
      </c>
      <c r="G194" t="inlineStr">
        <is>
          <t>Down</t>
        </is>
      </c>
      <c r="H194" t="inlineStr">
        <is>
          <t>EU_JD</t>
        </is>
      </c>
      <c r="I194" t="inlineStr">
        <is>
          <t>2007-01</t>
        </is>
      </c>
      <c r="J194" t="n">
        <v>1</v>
      </c>
      <c r="K194" t="n">
        <v>1</v>
      </c>
      <c r="L194" s="34">
        <f>IF($J194=1,LN(B195/B194),"")</f>
        <v/>
      </c>
      <c r="M194" s="34">
        <f>IF($K194=1,INDEX(Mensal!$D$2:$D$245,MATCH($I194,Mensal!$A$2:$A$245,0)),"")</f>
        <v/>
      </c>
      <c r="N194" s="34">
        <f>IF($K194=1,L194-M194,"")</f>
        <v/>
      </c>
      <c r="O194" s="34" t="n">
        <v>0.00048967</v>
      </c>
      <c r="P194" s="34">
        <f>IF($J194=1,LN(1+O194),"")</f>
        <v/>
      </c>
      <c r="Q194" s="34">
        <f>IF($J194=1,LN(R195/R194),"")</f>
        <v/>
      </c>
      <c r="R194" s="32" t="n">
        <v>2.1421</v>
      </c>
      <c r="S194" s="35" t="n">
        <v>12.43</v>
      </c>
      <c r="T194" s="18" t="n">
        <v>43095</v>
      </c>
      <c r="U194" s="18" t="n"/>
      <c r="V194" s="18" t="n"/>
      <c r="W194" s="18" t="n"/>
      <c r="X194" s="35" t="n"/>
      <c r="Y194" s="35" t="n">
        <v>12.43</v>
      </c>
    </row>
    <row r="195">
      <c r="A195" s="25" t="n">
        <v>39097</v>
      </c>
      <c r="B195" s="18" t="n">
        <v>42919</v>
      </c>
      <c r="C195" s="31" t="n"/>
      <c r="D195" s="32" t="n"/>
      <c r="E195" s="33" t="n">
        <v>1.589</v>
      </c>
      <c r="F195" t="inlineStr">
        <is>
          <t>Up</t>
        </is>
      </c>
      <c r="G195" t="inlineStr">
        <is>
          <t>Down</t>
        </is>
      </c>
      <c r="H195" t="inlineStr">
        <is>
          <t>EU_JD</t>
        </is>
      </c>
      <c r="I195" t="inlineStr">
        <is>
          <t>2007-01</t>
        </is>
      </c>
      <c r="J195" t="n">
        <v>1</v>
      </c>
      <c r="K195" t="n">
        <v>1</v>
      </c>
      <c r="L195" s="34">
        <f>IF($J195=1,LN(B196/B195),"")</f>
        <v/>
      </c>
      <c r="M195" s="34">
        <f>IF($K195=1,INDEX(Mensal!$D$2:$D$245,MATCH($I195,Mensal!$A$2:$A$245,0)),"")</f>
        <v/>
      </c>
      <c r="N195" s="34">
        <f>IF($K195=1,L195-M195,"")</f>
        <v/>
      </c>
      <c r="O195" s="34" t="n">
        <v>0.00049002</v>
      </c>
      <c r="P195" s="34">
        <f>IF($J195=1,LN(1+O195),"")</f>
        <v/>
      </c>
      <c r="Q195" s="34">
        <f>IF($J195=1,LN(R196/R195),"")</f>
        <v/>
      </c>
      <c r="R195" s="32" t="n">
        <v>2.1407</v>
      </c>
      <c r="S195" s="35" t="n">
        <v>12.48</v>
      </c>
      <c r="T195" s="18" t="n">
        <v>42919</v>
      </c>
      <c r="U195" s="18" t="n"/>
      <c r="V195" s="18" t="n"/>
      <c r="W195" s="18" t="n"/>
      <c r="X195" s="35" t="n"/>
      <c r="Y195" s="35" t="n">
        <v>12.48</v>
      </c>
    </row>
    <row r="196">
      <c r="A196" s="25" t="n">
        <v>39098</v>
      </c>
      <c r="B196" s="18" t="n">
        <v>42624</v>
      </c>
      <c r="C196" s="31" t="n"/>
      <c r="D196" s="32" t="n"/>
      <c r="E196" s="33" t="n">
        <v>1.5743</v>
      </c>
      <c r="F196" t="inlineStr">
        <is>
          <t>Up</t>
        </is>
      </c>
      <c r="G196" t="inlineStr">
        <is>
          <t>Down</t>
        </is>
      </c>
      <c r="H196" t="inlineStr">
        <is>
          <t>EU_JD</t>
        </is>
      </c>
      <c r="I196" t="inlineStr">
        <is>
          <t>2007-01</t>
        </is>
      </c>
      <c r="J196" t="n">
        <v>1</v>
      </c>
      <c r="K196" t="n">
        <v>1</v>
      </c>
      <c r="L196" s="34">
        <f>IF($J196=1,LN(B197/B196),"")</f>
        <v/>
      </c>
      <c r="M196" s="34">
        <f>IF($K196=1,INDEX(Mensal!$D$2:$D$245,MATCH($I196,Mensal!$A$2:$A$245,0)),"")</f>
        <v/>
      </c>
      <c r="N196" s="34">
        <f>IF($K196=1,L196-M196,"")</f>
        <v/>
      </c>
      <c r="O196" s="34" t="n">
        <v>0.00048932</v>
      </c>
      <c r="P196" s="34">
        <f>IF($J196=1,LN(1+O196),"")</f>
        <v/>
      </c>
      <c r="Q196" s="34">
        <f>IF($J196=1,LN(R197/R196),"")</f>
        <v/>
      </c>
      <c r="R196" s="32" t="n">
        <v>2.1444</v>
      </c>
      <c r="S196" s="35" t="n">
        <v>12.43</v>
      </c>
      <c r="T196" s="18" t="n">
        <v>42624</v>
      </c>
      <c r="U196" s="18" t="n"/>
      <c r="V196" s="18" t="n"/>
      <c r="W196" s="18" t="n"/>
      <c r="X196" s="35" t="n"/>
      <c r="Y196" s="35" t="n">
        <v>12.43</v>
      </c>
    </row>
    <row r="197">
      <c r="A197" s="25" t="n">
        <v>39099</v>
      </c>
      <c r="B197" s="18" t="n">
        <v>42735</v>
      </c>
      <c r="C197" s="31" t="n"/>
      <c r="D197" s="32" t="n"/>
      <c r="E197" s="33" t="n">
        <v>1.5589</v>
      </c>
      <c r="F197" t="inlineStr">
        <is>
          <t>Up</t>
        </is>
      </c>
      <c r="G197" t="inlineStr">
        <is>
          <t>Down</t>
        </is>
      </c>
      <c r="H197" t="inlineStr">
        <is>
          <t>EU_JD</t>
        </is>
      </c>
      <c r="I197" t="inlineStr">
        <is>
          <t>2007-01</t>
        </is>
      </c>
      <c r="J197" t="n">
        <v>1</v>
      </c>
      <c r="K197" t="n">
        <v>1</v>
      </c>
      <c r="L197" s="34">
        <f>IF($J197=1,LN(B198/B197),"")</f>
        <v/>
      </c>
      <c r="M197" s="34">
        <f>IF($K197=1,INDEX(Mensal!$D$2:$D$245,MATCH($I197,Mensal!$A$2:$A$245,0)),"")</f>
        <v/>
      </c>
      <c r="N197" s="34">
        <f>IF($K197=1,L197-M197,"")</f>
        <v/>
      </c>
      <c r="O197" s="34" t="n">
        <v>0.00048932</v>
      </c>
      <c r="P197" s="34">
        <f>IF($J197=1,LN(1+O197),"")</f>
        <v/>
      </c>
      <c r="Q197" s="34">
        <f>IF($J197=1,LN(R198/R197),"")</f>
        <v/>
      </c>
      <c r="R197" s="32" t="n">
        <v>2.135</v>
      </c>
      <c r="S197" s="35" t="n">
        <v>12.402</v>
      </c>
      <c r="T197" s="18" t="n">
        <v>42735</v>
      </c>
      <c r="U197" s="18" t="n"/>
      <c r="V197" s="18" t="n"/>
      <c r="W197" s="18" t="n"/>
      <c r="X197" s="35" t="n"/>
      <c r="Y197" s="35" t="n">
        <v>12.402</v>
      </c>
    </row>
    <row r="198">
      <c r="A198" s="25" t="n">
        <v>39100</v>
      </c>
      <c r="B198" s="18" t="n">
        <v>42477</v>
      </c>
      <c r="C198" s="31" t="n"/>
      <c r="D198" s="32" t="n"/>
      <c r="E198" s="33" t="n">
        <v>1.5473</v>
      </c>
      <c r="F198" t="inlineStr">
        <is>
          <t>Up</t>
        </is>
      </c>
      <c r="G198" t="inlineStr">
        <is>
          <t>Down</t>
        </is>
      </c>
      <c r="H198" t="inlineStr">
        <is>
          <t>EU_JD</t>
        </is>
      </c>
      <c r="I198" t="inlineStr">
        <is>
          <t>2007-01</t>
        </is>
      </c>
      <c r="J198" t="n">
        <v>1</v>
      </c>
      <c r="K198" t="n">
        <v>1</v>
      </c>
      <c r="L198" s="34">
        <f>IF($J198=1,LN(B199/B198),"")</f>
        <v/>
      </c>
      <c r="M198" s="34">
        <f>IF($K198=1,INDEX(Mensal!$D$2:$D$245,MATCH($I198,Mensal!$A$2:$A$245,0)),"")</f>
        <v/>
      </c>
      <c r="N198" s="34">
        <f>IF($K198=1,L198-M198,"")</f>
        <v/>
      </c>
      <c r="O198" s="34" t="n">
        <v>0.00048967</v>
      </c>
      <c r="P198" s="34">
        <f>IF($J198=1,LN(1+O198),"")</f>
        <v/>
      </c>
      <c r="Q198" s="34">
        <f>IF($J198=1,LN(R199/R198),"")</f>
        <v/>
      </c>
      <c r="R198" s="32" t="n">
        <v>2.1329</v>
      </c>
      <c r="S198" s="35" t="n">
        <v>12.373</v>
      </c>
      <c r="T198" s="18" t="n">
        <v>42477</v>
      </c>
      <c r="U198" s="18" t="n"/>
      <c r="V198" s="18" t="n"/>
      <c r="W198" s="18" t="n"/>
      <c r="X198" s="35" t="n"/>
      <c r="Y198" s="35" t="n">
        <v>12.373</v>
      </c>
    </row>
    <row r="199">
      <c r="A199" s="25" t="n">
        <v>39101</v>
      </c>
      <c r="B199" s="18" t="n">
        <v>43427</v>
      </c>
      <c r="C199" s="31" t="n"/>
      <c r="D199" s="32" t="n"/>
      <c r="E199" s="33" t="n">
        <v>1.533</v>
      </c>
      <c r="F199" t="inlineStr">
        <is>
          <t>Up</t>
        </is>
      </c>
      <c r="G199" t="inlineStr">
        <is>
          <t>Down</t>
        </is>
      </c>
      <c r="H199" t="inlineStr">
        <is>
          <t>EU_JD</t>
        </is>
      </c>
      <c r="I199" t="inlineStr">
        <is>
          <t>2007-01</t>
        </is>
      </c>
      <c r="J199" t="n">
        <v>1</v>
      </c>
      <c r="K199" t="n">
        <v>1</v>
      </c>
      <c r="L199" s="34">
        <f>IF($J199=1,LN(B200/B199),"")</f>
        <v/>
      </c>
      <c r="M199" s="34">
        <f>IF($K199=1,INDEX(Mensal!$D$2:$D$245,MATCH($I199,Mensal!$A$2:$A$245,0)),"")</f>
        <v/>
      </c>
      <c r="N199" s="34">
        <f>IF($K199=1,L199-M199,"")</f>
        <v/>
      </c>
      <c r="O199" s="34" t="n">
        <v>0.00048897</v>
      </c>
      <c r="P199" s="34">
        <f>IF($J199=1,LN(1+O199),"")</f>
        <v/>
      </c>
      <c r="Q199" s="34">
        <f>IF($J199=1,LN(R200/R199),"")</f>
        <v/>
      </c>
      <c r="R199" s="32" t="n">
        <v>2.1307</v>
      </c>
      <c r="S199" s="35" t="n">
        <v>12.374</v>
      </c>
      <c r="T199" s="18" t="n">
        <v>43427</v>
      </c>
      <c r="U199" s="18" t="n"/>
      <c r="V199" s="18" t="n"/>
      <c r="W199" s="18" t="n"/>
      <c r="X199" s="35" t="n"/>
      <c r="Y199" s="35" t="n">
        <v>12.374</v>
      </c>
    </row>
    <row r="200">
      <c r="A200" s="25" t="n">
        <v>39104</v>
      </c>
      <c r="B200" s="18" t="n">
        <v>43553</v>
      </c>
      <c r="C200" s="31" t="n"/>
      <c r="D200" s="32" t="n"/>
      <c r="E200" s="33" t="n">
        <v>1.5121</v>
      </c>
      <c r="F200" t="inlineStr">
        <is>
          <t>Up</t>
        </is>
      </c>
      <c r="G200" t="inlineStr">
        <is>
          <t>Down</t>
        </is>
      </c>
      <c r="H200" t="inlineStr">
        <is>
          <t>EU_JD</t>
        </is>
      </c>
      <c r="I200" t="inlineStr">
        <is>
          <t>2007-01</t>
        </is>
      </c>
      <c r="J200" t="n">
        <v>1</v>
      </c>
      <c r="K200" t="n">
        <v>1</v>
      </c>
      <c r="L200" s="34">
        <f>IF($J200=1,LN(B201/B200),"")</f>
        <v/>
      </c>
      <c r="M200" s="34">
        <f>IF($K200=1,INDEX(Mensal!$D$2:$D$245,MATCH($I200,Mensal!$A$2:$A$245,0)),"")</f>
        <v/>
      </c>
      <c r="N200" s="34">
        <f>IF($K200=1,L200-M200,"")</f>
        <v/>
      </c>
      <c r="O200" s="34" t="n">
        <v>0.00048932</v>
      </c>
      <c r="P200" s="34">
        <f>IF($J200=1,LN(1+O200),"")</f>
        <v/>
      </c>
      <c r="Q200" s="34">
        <f>IF($J200=1,LN(R201/R200),"")</f>
        <v/>
      </c>
      <c r="R200" s="32" t="n">
        <v>2.1327</v>
      </c>
      <c r="S200" s="35" t="n">
        <v>12.344</v>
      </c>
      <c r="T200" s="18" t="n">
        <v>43553</v>
      </c>
      <c r="U200" s="18" t="n"/>
      <c r="V200" s="18" t="n"/>
      <c r="W200" s="18" t="n"/>
      <c r="X200" s="35" t="n"/>
      <c r="Y200" s="35" t="n">
        <v>12.344</v>
      </c>
    </row>
    <row r="201">
      <c r="A201" s="25" t="n">
        <v>39105</v>
      </c>
      <c r="B201" s="18" t="n">
        <v>44177</v>
      </c>
      <c r="C201" s="31" t="n"/>
      <c r="D201" s="32" t="n"/>
      <c r="E201" s="33" t="n">
        <v>1.4903</v>
      </c>
      <c r="F201" t="inlineStr">
        <is>
          <t>Up</t>
        </is>
      </c>
      <c r="G201" t="inlineStr">
        <is>
          <t>Down</t>
        </is>
      </c>
      <c r="H201" t="inlineStr">
        <is>
          <t>EU_JD</t>
        </is>
      </c>
      <c r="I201" t="inlineStr">
        <is>
          <t>2007-01</t>
        </is>
      </c>
      <c r="J201" t="n">
        <v>1</v>
      </c>
      <c r="K201" t="n">
        <v>1</v>
      </c>
      <c r="L201" s="34">
        <f>IF($J201=1,LN(B202/B201),"")</f>
        <v/>
      </c>
      <c r="M201" s="34">
        <f>IF($K201=1,INDEX(Mensal!$D$2:$D$245,MATCH($I201,Mensal!$A$2:$A$245,0)),"")</f>
        <v/>
      </c>
      <c r="N201" s="34">
        <f>IF($K201=1,L201-M201,"")</f>
        <v/>
      </c>
      <c r="O201" s="34" t="n">
        <v>0.00048932</v>
      </c>
      <c r="P201" s="34">
        <f>IF($J201=1,LN(1+O201),"")</f>
        <v/>
      </c>
      <c r="Q201" s="34">
        <f>IF($J201=1,LN(R202/R201),"")</f>
        <v/>
      </c>
      <c r="R201" s="32" t="n">
        <v>2.1368</v>
      </c>
      <c r="S201" s="35" t="n">
        <v>12.365</v>
      </c>
      <c r="T201" s="18" t="n">
        <v>44177</v>
      </c>
      <c r="U201" s="18" t="n"/>
      <c r="V201" s="18" t="n"/>
      <c r="W201" s="18" t="n"/>
      <c r="X201" s="35" t="n"/>
      <c r="Y201" s="35" t="n">
        <v>12.365</v>
      </c>
    </row>
    <row r="202">
      <c r="A202" s="25" t="n">
        <v>39106</v>
      </c>
      <c r="B202" s="18" t="n">
        <v>44686</v>
      </c>
      <c r="C202" s="31" t="n"/>
      <c r="D202" s="32" t="n"/>
      <c r="E202" s="33" t="n">
        <v>1.4664</v>
      </c>
      <c r="F202" t="inlineStr">
        <is>
          <t>Up</t>
        </is>
      </c>
      <c r="G202" t="inlineStr">
        <is>
          <t>Down</t>
        </is>
      </c>
      <c r="H202" t="inlineStr">
        <is>
          <t>EU_JD</t>
        </is>
      </c>
      <c r="I202" t="inlineStr">
        <is>
          <t>2007-01</t>
        </is>
      </c>
      <c r="J202" t="n">
        <v>1</v>
      </c>
      <c r="K202" t="n">
        <v>1</v>
      </c>
      <c r="L202" s="34">
        <f>IF($J202=1,LN(B203/B202),"")</f>
        <v/>
      </c>
      <c r="M202" s="34">
        <f>IF($K202=1,INDEX(Mensal!$D$2:$D$245,MATCH($I202,Mensal!$A$2:$A$245,0)),"")</f>
        <v/>
      </c>
      <c r="N202" s="34">
        <f>IF($K202=1,L202-M202,"")</f>
        <v/>
      </c>
      <c r="O202" s="34" t="n">
        <v>0.00048511</v>
      </c>
      <c r="P202" s="34">
        <f>IF($J202=1,LN(1+O202),"")</f>
        <v/>
      </c>
      <c r="Q202" s="34">
        <f>IF($J202=1,LN(R203/R202),"")</f>
        <v/>
      </c>
      <c r="R202" s="32" t="n">
        <v>2.1286</v>
      </c>
      <c r="S202" s="35" t="n">
        <v>12.408</v>
      </c>
      <c r="T202" s="18" t="n">
        <v>44686</v>
      </c>
      <c r="U202" s="18" t="n"/>
      <c r="V202" s="18" t="n"/>
      <c r="W202" s="18" t="n"/>
      <c r="X202" s="35" t="n"/>
      <c r="Y202" s="35" t="n">
        <v>12.408</v>
      </c>
    </row>
    <row r="203">
      <c r="A203" s="25" t="n">
        <v>39108</v>
      </c>
      <c r="B203" s="18" t="n">
        <v>44412</v>
      </c>
      <c r="C203" s="31" t="n"/>
      <c r="D203" s="32" t="n"/>
      <c r="E203" s="33" t="n">
        <v>1.4494</v>
      </c>
      <c r="F203" t="inlineStr">
        <is>
          <t>Up</t>
        </is>
      </c>
      <c r="G203" t="inlineStr">
        <is>
          <t>Down</t>
        </is>
      </c>
      <c r="H203" t="inlineStr">
        <is>
          <t>EU_JD</t>
        </is>
      </c>
      <c r="I203" t="inlineStr">
        <is>
          <t>2007-01</t>
        </is>
      </c>
      <c r="J203" t="n">
        <v>1</v>
      </c>
      <c r="K203" t="n">
        <v>1</v>
      </c>
      <c r="L203" s="34">
        <f>IF($J203=1,LN(B204/B203),"")</f>
        <v/>
      </c>
      <c r="M203" s="34">
        <f>IF($K203=1,INDEX(Mensal!$D$2:$D$245,MATCH($I203,Mensal!$A$2:$A$245,0)),"")</f>
        <v/>
      </c>
      <c r="N203" s="34">
        <f>IF($K203=1,L203-M203,"")</f>
        <v/>
      </c>
      <c r="O203" s="34" t="n">
        <v>0.00047948</v>
      </c>
      <c r="P203" s="34">
        <f>IF($J203=1,LN(1+O203),"")</f>
        <v/>
      </c>
      <c r="Q203" s="34">
        <f>IF($J203=1,LN(R204/R203),"")</f>
        <v/>
      </c>
      <c r="R203" s="32" t="n">
        <v>2.136</v>
      </c>
      <c r="S203" s="35" t="n">
        <v>12.434</v>
      </c>
      <c r="T203" s="18" t="n">
        <v>44412</v>
      </c>
      <c r="U203" s="18" t="n"/>
      <c r="V203" s="18" t="n"/>
      <c r="W203" s="18" t="n"/>
      <c r="X203" s="35" t="n"/>
      <c r="Y203" s="35" t="n">
        <v>12.434</v>
      </c>
    </row>
    <row r="204">
      <c r="A204" s="25" t="n">
        <v>39111</v>
      </c>
      <c r="B204" s="18" t="n">
        <v>43573</v>
      </c>
      <c r="C204" s="31" t="n"/>
      <c r="D204" s="32" t="n"/>
      <c r="E204" s="33" t="n">
        <v>1.4371</v>
      </c>
      <c r="F204" t="inlineStr">
        <is>
          <t>Up</t>
        </is>
      </c>
      <c r="G204" t="inlineStr">
        <is>
          <t>Down</t>
        </is>
      </c>
      <c r="H204" t="inlineStr">
        <is>
          <t>EU_JD</t>
        </is>
      </c>
      <c r="I204" t="inlineStr">
        <is>
          <t>2007-01</t>
        </is>
      </c>
      <c r="J204" t="n">
        <v>1</v>
      </c>
      <c r="K204" t="n">
        <v>1</v>
      </c>
      <c r="L204" s="34">
        <f>IF($J204=1,LN(B205/B204),"")</f>
        <v/>
      </c>
      <c r="M204" s="34">
        <f>IF($K204=1,INDEX(Mensal!$D$2:$D$245,MATCH($I204,Mensal!$A$2:$A$245,0)),"")</f>
        <v/>
      </c>
      <c r="N204" s="34">
        <f>IF($K204=1,L204-M204,"")</f>
        <v/>
      </c>
      <c r="O204" s="34" t="n">
        <v>0.00047983</v>
      </c>
      <c r="P204" s="34">
        <f>IF($J204=1,LN(1+O204),"")</f>
        <v/>
      </c>
      <c r="Q204" s="34">
        <f>IF($J204=1,LN(R205/R204),"")</f>
        <v/>
      </c>
      <c r="R204" s="32" t="n">
        <v>2.136</v>
      </c>
      <c r="S204" s="35" t="n">
        <v>12.407</v>
      </c>
      <c r="T204" s="18" t="n">
        <v>43573</v>
      </c>
      <c r="U204" s="18" t="n"/>
      <c r="V204" s="18" t="n"/>
      <c r="W204" s="18" t="n"/>
      <c r="X204" s="35" t="n"/>
      <c r="Y204" s="35" t="n">
        <v>12.407</v>
      </c>
    </row>
    <row r="205">
      <c r="A205" s="25" t="n">
        <v>39112</v>
      </c>
      <c r="B205" s="18" t="n">
        <v>44044</v>
      </c>
      <c r="C205" s="31" t="n"/>
      <c r="D205" s="32" t="n"/>
      <c r="E205" s="33" t="n">
        <v>1.4202</v>
      </c>
      <c r="F205" t="inlineStr">
        <is>
          <t>Up</t>
        </is>
      </c>
      <c r="G205" t="inlineStr">
        <is>
          <t>Down</t>
        </is>
      </c>
      <c r="H205" t="inlineStr">
        <is>
          <t>EU_JD</t>
        </is>
      </c>
      <c r="I205" t="inlineStr">
        <is>
          <t>2007-01</t>
        </is>
      </c>
      <c r="J205" t="n">
        <v>1</v>
      </c>
      <c r="K205" t="n">
        <v>1</v>
      </c>
      <c r="L205" s="34">
        <f>IF($J205=1,LN(B206/B205),"")</f>
        <v/>
      </c>
      <c r="M205" s="34">
        <f>IF($K205=1,INDEX(Mensal!$D$2:$D$245,MATCH($I205,Mensal!$A$2:$A$245,0)),"")</f>
        <v/>
      </c>
      <c r="N205" s="34">
        <f>IF($K205=1,L205-M205,"")</f>
        <v/>
      </c>
      <c r="O205" s="34" t="n">
        <v>0.00048054</v>
      </c>
      <c r="P205" s="34">
        <f>IF($J205=1,LN(1+O205),"")</f>
        <v/>
      </c>
      <c r="Q205" s="34">
        <f>IF($J205=1,LN(R206/R205),"")</f>
        <v/>
      </c>
      <c r="R205" s="32" t="n">
        <v>2.1329</v>
      </c>
      <c r="S205" s="35" t="n">
        <v>12.395</v>
      </c>
      <c r="T205" s="18" t="n">
        <v>44044</v>
      </c>
      <c r="U205" s="18" t="n"/>
      <c r="V205" s="18" t="n"/>
      <c r="W205" s="18" t="n"/>
      <c r="X205" s="35" t="n"/>
      <c r="Y205" s="35" t="n">
        <v>12.395</v>
      </c>
    </row>
    <row r="206">
      <c r="A206" s="25" t="n">
        <v>39113</v>
      </c>
      <c r="B206" s="18" t="n">
        <v>44641</v>
      </c>
      <c r="C206" s="31" t="n"/>
      <c r="D206" s="32" t="n"/>
      <c r="E206" s="33" t="n">
        <v>1.4011</v>
      </c>
      <c r="F206" t="inlineStr">
        <is>
          <t>Up</t>
        </is>
      </c>
      <c r="G206" t="inlineStr">
        <is>
          <t>Down</t>
        </is>
      </c>
      <c r="H206" t="inlineStr">
        <is>
          <t>EU_JD</t>
        </is>
      </c>
      <c r="I206" t="inlineStr">
        <is>
          <t>2007-01</t>
        </is>
      </c>
      <c r="J206" t="n">
        <v>1</v>
      </c>
      <c r="K206" t="n">
        <v>1</v>
      </c>
      <c r="L206" s="34">
        <f>IF($J206=1,LN(B207/B206),"")</f>
        <v/>
      </c>
      <c r="M206" s="34">
        <f>IF($K206=1,INDEX(Mensal!$D$2:$D$245,MATCH($I206,Mensal!$A$2:$A$245,0)),"")</f>
        <v/>
      </c>
      <c r="N206" s="34">
        <f>IF($K206=1,L206-M206,"")</f>
        <v/>
      </c>
      <c r="O206" s="34" t="n">
        <v>0.00048194</v>
      </c>
      <c r="P206" s="34">
        <f>IF($J206=1,LN(1+O206),"")</f>
        <v/>
      </c>
      <c r="Q206" s="34">
        <f>IF($J206=1,LN(R207/R206),"")</f>
        <v/>
      </c>
      <c r="R206" s="32" t="n">
        <v>2.1247</v>
      </c>
      <c r="S206" s="35" t="n">
        <v>12.357</v>
      </c>
      <c r="T206" s="18" t="n">
        <v>44641</v>
      </c>
      <c r="U206" s="18" t="n"/>
      <c r="V206" s="18" t="n"/>
      <c r="W206" s="18" t="n"/>
      <c r="X206" s="35" t="n"/>
      <c r="Y206" s="35" t="n">
        <v>12.357</v>
      </c>
    </row>
    <row r="207">
      <c r="A207" s="25" t="n">
        <v>39114</v>
      </c>
      <c r="B207" s="18" t="n">
        <v>44815</v>
      </c>
      <c r="C207" s="31" t="n"/>
      <c r="D207" s="32" t="n"/>
      <c r="E207" s="33" t="n">
        <v>1.3936</v>
      </c>
      <c r="F207" t="inlineStr">
        <is>
          <t>Up</t>
        </is>
      </c>
      <c r="G207" t="inlineStr">
        <is>
          <t>Down</t>
        </is>
      </c>
      <c r="H207" t="inlineStr">
        <is>
          <t>EU_JD</t>
        </is>
      </c>
      <c r="I207" t="inlineStr">
        <is>
          <t>2007-02</t>
        </is>
      </c>
      <c r="J207" t="n">
        <v>1</v>
      </c>
      <c r="K207" t="n">
        <v>1</v>
      </c>
      <c r="L207" s="34">
        <f>IF($J207=1,LN(B208/B207),"")</f>
        <v/>
      </c>
      <c r="M207" s="34">
        <f>IF($K207=1,INDEX(Mensal!$D$2:$D$245,MATCH($I207,Mensal!$A$2:$A$245,0)),"")</f>
        <v/>
      </c>
      <c r="N207" s="34">
        <f>IF($K207=1,L207-M207,"")</f>
        <v/>
      </c>
      <c r="O207" s="34" t="n">
        <v>0.0004823</v>
      </c>
      <c r="P207" s="34">
        <f>IF($J207=1,LN(1+O207),"")</f>
        <v/>
      </c>
      <c r="Q207" s="34">
        <f>IF($J207=1,LN(R208/R207),"")</f>
        <v/>
      </c>
      <c r="R207" s="32" t="n">
        <v>2.1093</v>
      </c>
      <c r="S207" s="35" t="n">
        <v>12.347</v>
      </c>
      <c r="T207" s="18" t="n">
        <v>44815</v>
      </c>
      <c r="U207" s="18" t="n"/>
      <c r="V207" s="18" t="n"/>
      <c r="W207" s="18" t="n"/>
      <c r="X207" s="35" t="n"/>
      <c r="Y207" s="35" t="n">
        <v>12.347</v>
      </c>
    </row>
    <row r="208">
      <c r="A208" s="25" t="n">
        <v>39115</v>
      </c>
      <c r="B208" s="18" t="n">
        <v>44997</v>
      </c>
      <c r="C208" s="31" t="n"/>
      <c r="D208" s="32" t="n"/>
      <c r="E208" s="33" t="n">
        <v>1.3705</v>
      </c>
      <c r="F208" t="inlineStr">
        <is>
          <t>Up</t>
        </is>
      </c>
      <c r="G208" t="inlineStr">
        <is>
          <t>Down</t>
        </is>
      </c>
      <c r="H208" t="inlineStr">
        <is>
          <t>EU_JD</t>
        </is>
      </c>
      <c r="I208" t="inlineStr">
        <is>
          <t>2007-02</t>
        </is>
      </c>
      <c r="J208" t="n">
        <v>1</v>
      </c>
      <c r="K208" t="n">
        <v>1</v>
      </c>
      <c r="L208" s="34">
        <f>IF($J208=1,LN(B209/B208),"")</f>
        <v/>
      </c>
      <c r="M208" s="34">
        <f>IF($K208=1,INDEX(Mensal!$D$2:$D$245,MATCH($I208,Mensal!$A$2:$A$245,0)),"")</f>
        <v/>
      </c>
      <c r="N208" s="34">
        <f>IF($K208=1,L208-M208,"")</f>
        <v/>
      </c>
      <c r="O208" s="34" t="n">
        <v>0.00048194</v>
      </c>
      <c r="P208" s="34">
        <f>IF($J208=1,LN(1+O208),"")</f>
        <v/>
      </c>
      <c r="Q208" s="34">
        <f>IF($J208=1,LN(R209/R208),"")</f>
        <v/>
      </c>
      <c r="R208" s="32" t="n">
        <v>2.0982</v>
      </c>
      <c r="S208" s="35" t="n">
        <v>12.353</v>
      </c>
      <c r="T208" s="18" t="n">
        <v>44997</v>
      </c>
      <c r="U208" s="18" t="n"/>
      <c r="V208" s="18" t="n"/>
      <c r="W208" s="18" t="n"/>
      <c r="X208" s="35" t="n"/>
      <c r="Y208" s="35" t="n">
        <v>12.353</v>
      </c>
    </row>
    <row r="209">
      <c r="A209" s="25" t="n">
        <v>39118</v>
      </c>
      <c r="B209" s="18" t="n">
        <v>45286</v>
      </c>
      <c r="C209" s="31" t="n"/>
      <c r="D209" s="32" t="n"/>
      <c r="E209" s="33" t="n">
        <v>1.347</v>
      </c>
      <c r="F209" t="inlineStr">
        <is>
          <t>Up</t>
        </is>
      </c>
      <c r="G209" t="inlineStr">
        <is>
          <t>Down</t>
        </is>
      </c>
      <c r="H209" t="inlineStr">
        <is>
          <t>EU_JD</t>
        </is>
      </c>
      <c r="I209" t="inlineStr">
        <is>
          <t>2007-02</t>
        </is>
      </c>
      <c r="J209" t="n">
        <v>1</v>
      </c>
      <c r="K209" t="n">
        <v>1</v>
      </c>
      <c r="L209" s="34">
        <f>IF($J209=1,LN(B210/B209),"")</f>
        <v/>
      </c>
      <c r="M209" s="34">
        <f>IF($K209=1,INDEX(Mensal!$D$2:$D$245,MATCH($I209,Mensal!$A$2:$A$245,0)),"")</f>
        <v/>
      </c>
      <c r="N209" s="34">
        <f>IF($K209=1,L209-M209,"")</f>
        <v/>
      </c>
      <c r="O209" s="34" t="n">
        <v>0.0004823</v>
      </c>
      <c r="P209" s="34">
        <f>IF($J209=1,LN(1+O209),"")</f>
        <v/>
      </c>
      <c r="Q209" s="34">
        <f>IF($J209=1,LN(R210/R209),"")</f>
        <v/>
      </c>
      <c r="R209" s="32" t="n">
        <v>2.0964</v>
      </c>
      <c r="S209" s="35" t="n">
        <v>12.308</v>
      </c>
      <c r="T209" s="18" t="n">
        <v>45286</v>
      </c>
      <c r="U209" s="18" t="n"/>
      <c r="V209" s="18" t="n"/>
      <c r="W209" s="18" t="n"/>
      <c r="X209" s="35" t="n"/>
      <c r="Y209" s="35" t="n">
        <v>12.308</v>
      </c>
    </row>
    <row r="210">
      <c r="A210" s="25" t="n">
        <v>39119</v>
      </c>
      <c r="B210" s="18" t="n">
        <v>45351</v>
      </c>
      <c r="C210" s="31" t="n"/>
      <c r="D210" s="32" t="n"/>
      <c r="E210" s="33" t="n">
        <v>1.3183</v>
      </c>
      <c r="F210" t="inlineStr">
        <is>
          <t>Up</t>
        </is>
      </c>
      <c r="G210" t="inlineStr">
        <is>
          <t>Down</t>
        </is>
      </c>
      <c r="H210" t="inlineStr">
        <is>
          <t>EU_JD</t>
        </is>
      </c>
      <c r="I210" t="inlineStr">
        <is>
          <t>2007-02</t>
        </is>
      </c>
      <c r="J210" t="n">
        <v>1</v>
      </c>
      <c r="K210" t="n">
        <v>1</v>
      </c>
      <c r="L210" s="34">
        <f>IF($J210=1,LN(B211/B210),"")</f>
        <v/>
      </c>
      <c r="M210" s="34">
        <f>IF($K210=1,INDEX(Mensal!$D$2:$D$245,MATCH($I210,Mensal!$A$2:$A$245,0)),"")</f>
        <v/>
      </c>
      <c r="N210" s="34">
        <f>IF($K210=1,L210-M210,"")</f>
        <v/>
      </c>
      <c r="O210" s="34" t="n">
        <v>0.00048159</v>
      </c>
      <c r="P210" s="34">
        <f>IF($J210=1,LN(1+O210),"")</f>
        <v/>
      </c>
      <c r="Q210" s="34">
        <f>IF($J210=1,LN(R211/R210),"")</f>
        <v/>
      </c>
      <c r="R210" s="32" t="n">
        <v>2.0833</v>
      </c>
      <c r="S210" s="35" t="n">
        <v>12.268</v>
      </c>
      <c r="T210" s="18" t="n">
        <v>45351</v>
      </c>
      <c r="U210" s="18" t="n"/>
      <c r="V210" s="18" t="n"/>
      <c r="W210" s="18" t="n"/>
      <c r="X210" s="35" t="n"/>
      <c r="Y210" s="35" t="n">
        <v>12.268</v>
      </c>
    </row>
    <row r="211">
      <c r="A211" s="25" t="n">
        <v>39120</v>
      </c>
      <c r="B211" s="18" t="n">
        <v>44587</v>
      </c>
      <c r="C211" s="31" t="n"/>
      <c r="D211" s="32" t="n"/>
      <c r="E211" s="33" t="n">
        <v>1.2935</v>
      </c>
      <c r="F211" t="inlineStr">
        <is>
          <t>Up</t>
        </is>
      </c>
      <c r="G211" t="inlineStr">
        <is>
          <t>Down</t>
        </is>
      </c>
      <c r="H211" t="inlineStr">
        <is>
          <t>EU_JD</t>
        </is>
      </c>
      <c r="I211" t="inlineStr">
        <is>
          <t>2007-02</t>
        </is>
      </c>
      <c r="J211" t="n">
        <v>1</v>
      </c>
      <c r="K211" t="n">
        <v>1</v>
      </c>
      <c r="L211" s="34">
        <f>IF($J211=1,LN(B212/B211),"")</f>
        <v/>
      </c>
      <c r="M211" s="34">
        <f>IF($K211=1,INDEX(Mensal!$D$2:$D$245,MATCH($I211,Mensal!$A$2:$A$245,0)),"")</f>
        <v/>
      </c>
      <c r="N211" s="34">
        <f>IF($K211=1,L211-M211,"")</f>
        <v/>
      </c>
      <c r="O211" s="34" t="n">
        <v>0.00048124</v>
      </c>
      <c r="P211" s="34">
        <f>IF($J211=1,LN(1+O211),"")</f>
        <v/>
      </c>
      <c r="Q211" s="34">
        <f>IF($J211=1,LN(R212/R211),"")</f>
        <v/>
      </c>
      <c r="R211" s="32" t="n">
        <v>2.0852</v>
      </c>
      <c r="S211" s="35" t="n">
        <v>12.234</v>
      </c>
      <c r="T211" s="18" t="n">
        <v>44587</v>
      </c>
      <c r="U211" s="18" t="n"/>
      <c r="V211" s="18" t="n"/>
      <c r="W211" s="18" t="n"/>
      <c r="X211" s="35" t="n"/>
      <c r="Y211" s="35" t="n">
        <v>12.234</v>
      </c>
    </row>
    <row r="212">
      <c r="A212" s="25" t="n">
        <v>39121</v>
      </c>
      <c r="B212" s="18" t="n">
        <v>44891</v>
      </c>
      <c r="C212" s="31" t="n"/>
      <c r="D212" s="32" t="n"/>
      <c r="E212" s="33" t="n">
        <v>1.2684</v>
      </c>
      <c r="F212" t="inlineStr">
        <is>
          <t>Up</t>
        </is>
      </c>
      <c r="G212" t="inlineStr">
        <is>
          <t>Down</t>
        </is>
      </c>
      <c r="H212" t="inlineStr">
        <is>
          <t>EU_JD</t>
        </is>
      </c>
      <c r="I212" t="inlineStr">
        <is>
          <t>2007-02</t>
        </is>
      </c>
      <c r="J212" t="n">
        <v>1</v>
      </c>
      <c r="K212" t="n">
        <v>1</v>
      </c>
      <c r="L212" s="34">
        <f>IF($J212=1,LN(B213/B212),"")</f>
        <v/>
      </c>
      <c r="M212" s="34">
        <f>IF($K212=1,INDEX(Mensal!$D$2:$D$245,MATCH($I212,Mensal!$A$2:$A$245,0)),"")</f>
        <v/>
      </c>
      <c r="N212" s="34">
        <f>IF($K212=1,L212-M212,"")</f>
        <v/>
      </c>
      <c r="O212" s="34" t="n">
        <v>0.00048124</v>
      </c>
      <c r="P212" s="34">
        <f>IF($J212=1,LN(1+O212),"")</f>
        <v/>
      </c>
      <c r="Q212" s="34">
        <f>IF($J212=1,LN(R213/R212),"")</f>
        <v/>
      </c>
      <c r="R212" s="32" t="n">
        <v>2.0951</v>
      </c>
      <c r="S212" s="35" t="n">
        <v>12.219</v>
      </c>
      <c r="T212" s="18" t="n">
        <v>44891</v>
      </c>
      <c r="U212" s="18" t="n"/>
      <c r="V212" s="18" t="n"/>
      <c r="W212" s="18" t="n"/>
      <c r="X212" s="35" t="n"/>
      <c r="Y212" s="35" t="n">
        <v>12.219</v>
      </c>
    </row>
    <row r="213">
      <c r="A213" s="25" t="n">
        <v>39122</v>
      </c>
      <c r="B213" s="18" t="n">
        <v>44284</v>
      </c>
      <c r="C213" s="31" t="n"/>
      <c r="D213" s="32" t="n"/>
      <c r="E213" s="33" t="n">
        <v>1.257</v>
      </c>
      <c r="F213" t="inlineStr">
        <is>
          <t>Up</t>
        </is>
      </c>
      <c r="G213" t="inlineStr">
        <is>
          <t>Down</t>
        </is>
      </c>
      <c r="H213" t="inlineStr">
        <is>
          <t>EU_JD</t>
        </is>
      </c>
      <c r="I213" t="inlineStr">
        <is>
          <t>2007-02</t>
        </is>
      </c>
      <c r="J213" t="n">
        <v>1</v>
      </c>
      <c r="K213" t="n">
        <v>1</v>
      </c>
      <c r="L213" s="34">
        <f>IF($J213=1,LN(B214/B213),"")</f>
        <v/>
      </c>
      <c r="M213" s="34">
        <f>IF($K213=1,INDEX(Mensal!$D$2:$D$245,MATCH($I213,Mensal!$A$2:$A$245,0)),"")</f>
        <v/>
      </c>
      <c r="N213" s="34">
        <f>IF($K213=1,L213-M213,"")</f>
        <v/>
      </c>
      <c r="O213" s="34" t="n">
        <v>0.00048089</v>
      </c>
      <c r="P213" s="34">
        <f>IF($J213=1,LN(1+O213),"")</f>
        <v/>
      </c>
      <c r="Q213" s="34">
        <f>IF($J213=1,LN(R214/R213),"")</f>
        <v/>
      </c>
      <c r="R213" s="32" t="n">
        <v>2.1033</v>
      </c>
      <c r="S213" s="35" t="n">
        <v>12.183</v>
      </c>
      <c r="T213" s="18" t="n">
        <v>44284</v>
      </c>
      <c r="U213" s="18" t="n"/>
      <c r="V213" s="18" t="n"/>
      <c r="W213" s="18" t="n"/>
      <c r="X213" s="35" t="n"/>
      <c r="Y213" s="35" t="n">
        <v>12.183</v>
      </c>
    </row>
    <row r="214">
      <c r="A214" s="25" t="n">
        <v>39125</v>
      </c>
      <c r="B214" s="18" t="n">
        <v>43934</v>
      </c>
      <c r="C214" s="31" t="n"/>
      <c r="D214" s="32" t="n"/>
      <c r="E214" s="33" t="n">
        <v>1.2467</v>
      </c>
      <c r="F214" t="inlineStr">
        <is>
          <t>Up</t>
        </is>
      </c>
      <c r="G214" t="inlineStr">
        <is>
          <t>Down</t>
        </is>
      </c>
      <c r="H214" t="inlineStr">
        <is>
          <t>EU_JD</t>
        </is>
      </c>
      <c r="I214" t="inlineStr">
        <is>
          <t>2007-02</t>
        </is>
      </c>
      <c r="J214" t="n">
        <v>1</v>
      </c>
      <c r="K214" t="n">
        <v>1</v>
      </c>
      <c r="L214" s="34">
        <f>IF($J214=1,LN(B215/B214),"")</f>
        <v/>
      </c>
      <c r="M214" s="34">
        <f>IF($K214=1,INDEX(Mensal!$D$2:$D$245,MATCH($I214,Mensal!$A$2:$A$245,0)),"")</f>
        <v/>
      </c>
      <c r="N214" s="34">
        <f>IF($K214=1,L214-M214,"")</f>
        <v/>
      </c>
      <c r="O214" s="34" t="n">
        <v>0.00048089</v>
      </c>
      <c r="P214" s="34">
        <f>IF($J214=1,LN(1+O214),"")</f>
        <v/>
      </c>
      <c r="Q214" s="34">
        <f>IF($J214=1,LN(R215/R214),"")</f>
        <v/>
      </c>
      <c r="R214" s="32" t="n">
        <v>2.114</v>
      </c>
      <c r="S214" s="35" t="n">
        <v>12.15</v>
      </c>
      <c r="T214" s="18" t="n">
        <v>43934</v>
      </c>
      <c r="U214" s="18" t="n"/>
      <c r="V214" s="18" t="n"/>
      <c r="W214" s="18" t="n"/>
      <c r="X214" s="35" t="n"/>
      <c r="Y214" s="35" t="n">
        <v>12.15</v>
      </c>
    </row>
    <row r="215">
      <c r="A215" s="25" t="n">
        <v>39126</v>
      </c>
      <c r="B215" s="18" t="n">
        <v>45197</v>
      </c>
      <c r="C215" s="31" t="n"/>
      <c r="D215" s="32" t="n"/>
      <c r="E215" s="33" t="n">
        <v>1.2534</v>
      </c>
      <c r="F215" t="inlineStr">
        <is>
          <t>Up</t>
        </is>
      </c>
      <c r="G215" t="inlineStr">
        <is>
          <t>Down</t>
        </is>
      </c>
      <c r="H215" t="inlineStr">
        <is>
          <t>EU_JD</t>
        </is>
      </c>
      <c r="I215" t="inlineStr">
        <is>
          <t>2007-02</t>
        </is>
      </c>
      <c r="J215" t="n">
        <v>1</v>
      </c>
      <c r="K215" t="n">
        <v>1</v>
      </c>
      <c r="L215" s="34">
        <f>IF($J215=1,LN(B216/B215),"")</f>
        <v/>
      </c>
      <c r="M215" s="34">
        <f>IF($K215=1,INDEX(Mensal!$D$2:$D$245,MATCH($I215,Mensal!$A$2:$A$245,0)),"")</f>
        <v/>
      </c>
      <c r="N215" s="34">
        <f>IF($K215=1,L215-M215,"")</f>
        <v/>
      </c>
      <c r="O215" s="34" t="n">
        <v>0.00048124</v>
      </c>
      <c r="P215" s="34">
        <f>IF($J215=1,LN(1+O215),"")</f>
        <v/>
      </c>
      <c r="Q215" s="34">
        <f>IF($J215=1,LN(R216/R215),"")</f>
        <v/>
      </c>
      <c r="R215" s="32" t="n">
        <v>2.1088</v>
      </c>
      <c r="S215" s="35" t="n">
        <v>12.136</v>
      </c>
      <c r="T215" s="18" t="n">
        <v>45197</v>
      </c>
      <c r="U215" s="18" t="n"/>
      <c r="V215" s="18" t="n"/>
      <c r="W215" s="18" t="n"/>
      <c r="X215" s="35" t="n"/>
      <c r="Y215" s="35" t="n">
        <v>12.136</v>
      </c>
    </row>
    <row r="216">
      <c r="A216" s="25" t="n">
        <v>39127</v>
      </c>
      <c r="B216" s="18" t="n">
        <v>45995</v>
      </c>
      <c r="C216" s="31" t="n"/>
      <c r="D216" s="32" t="n"/>
      <c r="E216" s="33" t="n">
        <v>1.2527</v>
      </c>
      <c r="F216" t="inlineStr">
        <is>
          <t>Up</t>
        </is>
      </c>
      <c r="G216" t="inlineStr">
        <is>
          <t>Down</t>
        </is>
      </c>
      <c r="H216" t="inlineStr">
        <is>
          <t>EU_JD</t>
        </is>
      </c>
      <c r="I216" t="inlineStr">
        <is>
          <t>2007-02</t>
        </is>
      </c>
      <c r="J216" t="n">
        <v>1</v>
      </c>
      <c r="K216" t="n">
        <v>1</v>
      </c>
      <c r="L216" s="34">
        <f>IF($J216=1,LN(B217/B216),"")</f>
        <v/>
      </c>
      <c r="M216" s="34">
        <f>IF($K216=1,INDEX(Mensal!$D$2:$D$245,MATCH($I216,Mensal!$A$2:$A$245,0)),"")</f>
        <v/>
      </c>
      <c r="N216" s="34">
        <f>IF($K216=1,L216-M216,"")</f>
        <v/>
      </c>
      <c r="O216" s="34" t="n">
        <v>0.00048124</v>
      </c>
      <c r="P216" s="34">
        <f>IF($J216=1,LN(1+O216),"")</f>
        <v/>
      </c>
      <c r="Q216" s="34">
        <f>IF($J216=1,LN(R217/R216),"")</f>
        <v/>
      </c>
      <c r="R216" s="32" t="n">
        <v>2.1</v>
      </c>
      <c r="S216" s="35" t="n">
        <v>12.089</v>
      </c>
      <c r="T216" s="18" t="n">
        <v>45995</v>
      </c>
      <c r="U216" s="18" t="n"/>
      <c r="V216" s="18" t="n"/>
      <c r="W216" s="18" t="n"/>
      <c r="X216" s="35" t="n"/>
      <c r="Y216" s="35" t="n">
        <v>12.089</v>
      </c>
    </row>
    <row r="217">
      <c r="A217" s="25" t="n">
        <v>39128</v>
      </c>
      <c r="B217" s="18" t="n">
        <v>45955</v>
      </c>
      <c r="C217" s="31" t="n"/>
      <c r="D217" s="32" t="n"/>
      <c r="E217" s="33" t="n">
        <v>1.2491</v>
      </c>
      <c r="F217" t="inlineStr">
        <is>
          <t>Up</t>
        </is>
      </c>
      <c r="G217" t="inlineStr">
        <is>
          <t>Down</t>
        </is>
      </c>
      <c r="H217" t="inlineStr">
        <is>
          <t>EU_JD</t>
        </is>
      </c>
      <c r="I217" t="inlineStr">
        <is>
          <t>2007-02</t>
        </is>
      </c>
      <c r="J217" t="n">
        <v>1</v>
      </c>
      <c r="K217" t="n">
        <v>1</v>
      </c>
      <c r="L217" s="34">
        <f>IF($J217=1,LN(B218/B217),"")</f>
        <v/>
      </c>
      <c r="M217" s="34">
        <f>IF($K217=1,INDEX(Mensal!$D$2:$D$245,MATCH($I217,Mensal!$A$2:$A$245,0)),"")</f>
        <v/>
      </c>
      <c r="N217" s="34">
        <f>IF($K217=1,L217-M217,"")</f>
        <v/>
      </c>
      <c r="O217" s="34" t="n">
        <v>0.00048089</v>
      </c>
      <c r="P217" s="34">
        <f>IF($J217=1,LN(1+O217),"")</f>
        <v/>
      </c>
      <c r="Q217" s="34">
        <f>IF($J217=1,LN(R218/R217),"")</f>
        <v/>
      </c>
      <c r="R217" s="32" t="n">
        <v>2.0896</v>
      </c>
      <c r="S217" s="35" t="n">
        <v>12.06</v>
      </c>
      <c r="T217" s="18" t="n">
        <v>45955</v>
      </c>
      <c r="U217" s="18" t="n"/>
      <c r="V217" s="18" t="n"/>
      <c r="W217" s="18" t="n"/>
      <c r="X217" s="35" t="n"/>
      <c r="Y217" s="35" t="n">
        <v>12.06</v>
      </c>
    </row>
    <row r="218">
      <c r="A218" s="25" t="n">
        <v>39129</v>
      </c>
      <c r="B218" s="18" t="n">
        <v>45849</v>
      </c>
      <c r="C218" s="31" t="n"/>
      <c r="D218" s="32" t="n"/>
      <c r="E218" s="33" t="n">
        <v>1.2499</v>
      </c>
      <c r="F218" t="inlineStr">
        <is>
          <t>Up</t>
        </is>
      </c>
      <c r="G218" t="inlineStr">
        <is>
          <t>Down</t>
        </is>
      </c>
      <c r="H218" t="inlineStr">
        <is>
          <t>EU_JD</t>
        </is>
      </c>
      <c r="I218" t="inlineStr">
        <is>
          <t>2007-02</t>
        </is>
      </c>
      <c r="J218" t="n">
        <v>1</v>
      </c>
      <c r="K218" t="n">
        <v>1</v>
      </c>
      <c r="L218" s="34">
        <f>IF($J218=1,LN(B219/B218),"")</f>
        <v/>
      </c>
      <c r="M218" s="34">
        <f>IF($K218=1,INDEX(Mensal!$D$2:$D$245,MATCH($I218,Mensal!$A$2:$A$245,0)),"")</f>
        <v/>
      </c>
      <c r="N218" s="34">
        <f>IF($K218=1,L218-M218,"")</f>
        <v/>
      </c>
      <c r="O218" s="34" t="n">
        <v>0.00048124</v>
      </c>
      <c r="P218" s="34">
        <f>IF($J218=1,LN(1+O218),"")</f>
        <v/>
      </c>
      <c r="Q218" s="34">
        <f>IF($J218=1,LN(R219/R218),"")</f>
        <v/>
      </c>
      <c r="R218" s="32" t="n">
        <v>2.0913</v>
      </c>
      <c r="S218" s="35" t="n">
        <v>12.055</v>
      </c>
      <c r="T218" s="18" t="n">
        <v>45849</v>
      </c>
      <c r="U218" s="18" t="n"/>
      <c r="V218" s="18" t="n"/>
      <c r="W218" s="18" t="n"/>
      <c r="X218" s="35" t="n"/>
      <c r="Y218" s="35" t="n">
        <v>12.055</v>
      </c>
    </row>
    <row r="219">
      <c r="A219" s="25" t="n">
        <v>39134</v>
      </c>
      <c r="B219" s="18" t="n">
        <v>46090</v>
      </c>
      <c r="C219" s="31" t="n"/>
      <c r="D219" s="32" t="n"/>
      <c r="E219" s="33" t="n">
        <v>1.24</v>
      </c>
      <c r="F219" t="inlineStr">
        <is>
          <t>Up</t>
        </is>
      </c>
      <c r="G219" t="inlineStr">
        <is>
          <t>Down</t>
        </is>
      </c>
      <c r="H219" t="inlineStr">
        <is>
          <t>EU_JD</t>
        </is>
      </c>
      <c r="I219" t="inlineStr">
        <is>
          <t>2007-02</t>
        </is>
      </c>
      <c r="J219" t="n">
        <v>1</v>
      </c>
      <c r="K219" t="n">
        <v>1</v>
      </c>
      <c r="L219" s="34">
        <f>IF($J219=1,LN(B220/B219),"")</f>
        <v/>
      </c>
      <c r="M219" s="34">
        <f>IF($K219=1,INDEX(Mensal!$D$2:$D$245,MATCH($I219,Mensal!$A$2:$A$245,0)),"")</f>
        <v/>
      </c>
      <c r="N219" s="34">
        <f>IF($K219=1,L219-M219,"")</f>
        <v/>
      </c>
      <c r="O219" s="34" t="n">
        <v>0.00048194</v>
      </c>
      <c r="P219" s="34">
        <f>IF($J219=1,LN(1+O219),"")</f>
        <v/>
      </c>
      <c r="Q219" s="34">
        <f>IF($J219=1,LN(R220/R219),"")</f>
        <v/>
      </c>
      <c r="R219" s="32" t="n">
        <v>2.0802</v>
      </c>
      <c r="S219" s="35" t="n">
        <v>11.997</v>
      </c>
      <c r="T219" s="18" t="n">
        <v>46090</v>
      </c>
      <c r="U219" s="18" t="n"/>
      <c r="V219" s="18" t="n"/>
      <c r="W219" s="18" t="n"/>
      <c r="X219" s="35" t="n"/>
      <c r="Y219" s="35" t="n">
        <v>11.997</v>
      </c>
    </row>
    <row r="220">
      <c r="A220" s="25" t="n">
        <v>39135</v>
      </c>
      <c r="B220" s="18" t="n">
        <v>46452</v>
      </c>
      <c r="C220" s="31" t="n"/>
      <c r="D220" s="32" t="n"/>
      <c r="E220" s="33" t="n">
        <v>1.2296</v>
      </c>
      <c r="F220" t="inlineStr">
        <is>
          <t>Up</t>
        </is>
      </c>
      <c r="G220" t="inlineStr">
        <is>
          <t>Down</t>
        </is>
      </c>
      <c r="H220" t="inlineStr">
        <is>
          <t>EU_JD</t>
        </is>
      </c>
      <c r="I220" t="inlineStr">
        <is>
          <t>2007-02</t>
        </is>
      </c>
      <c r="J220" t="n">
        <v>1</v>
      </c>
      <c r="K220" t="n">
        <v>1</v>
      </c>
      <c r="L220" s="34">
        <f>IF($J220=1,LN(B221/B220),"")</f>
        <v/>
      </c>
      <c r="M220" s="34">
        <f>IF($K220=1,INDEX(Mensal!$D$2:$D$245,MATCH($I220,Mensal!$A$2:$A$245,0)),"")</f>
        <v/>
      </c>
      <c r="N220" s="34">
        <f>IF($K220=1,L220-M220,"")</f>
        <v/>
      </c>
      <c r="O220" s="34" t="n">
        <v>0.00048054</v>
      </c>
      <c r="P220" s="34">
        <f>IF($J220=1,LN(1+O220),"")</f>
        <v/>
      </c>
      <c r="Q220" s="34">
        <f>IF($J220=1,LN(R221/R220),"")</f>
        <v/>
      </c>
      <c r="R220" s="32" t="n">
        <v>2.0766</v>
      </c>
      <c r="S220" s="35" t="n">
        <v>12.006</v>
      </c>
      <c r="T220" s="18" t="n">
        <v>46452</v>
      </c>
      <c r="U220" s="18" t="n"/>
      <c r="V220" s="18" t="n"/>
      <c r="W220" s="18" t="n"/>
      <c r="X220" s="35" t="n"/>
      <c r="Y220" s="35" t="n">
        <v>12.006</v>
      </c>
    </row>
    <row r="221">
      <c r="A221" s="25" t="n">
        <v>39136</v>
      </c>
      <c r="B221" s="18" t="n">
        <v>46015</v>
      </c>
      <c r="C221" s="31" t="n"/>
      <c r="D221" s="32" t="n"/>
      <c r="E221" s="33" t="n">
        <v>1.215</v>
      </c>
      <c r="F221" t="inlineStr">
        <is>
          <t>Up</t>
        </is>
      </c>
      <c r="G221" t="inlineStr">
        <is>
          <t>Down</t>
        </is>
      </c>
      <c r="H221" t="inlineStr">
        <is>
          <t>EU_JD</t>
        </is>
      </c>
      <c r="I221" t="inlineStr">
        <is>
          <t>2007-02</t>
        </is>
      </c>
      <c r="J221" t="n">
        <v>1</v>
      </c>
      <c r="K221" t="n">
        <v>1</v>
      </c>
      <c r="L221" s="34">
        <f>IF($J221=1,LN(B222/B221),"")</f>
        <v/>
      </c>
      <c r="M221" s="34">
        <f>IF($K221=1,INDEX(Mensal!$D$2:$D$245,MATCH($I221,Mensal!$A$2:$A$245,0)),"")</f>
        <v/>
      </c>
      <c r="N221" s="34">
        <f>IF($K221=1,L221-M221,"")</f>
        <v/>
      </c>
      <c r="O221" s="34" t="n">
        <v>0.00048054</v>
      </c>
      <c r="P221" s="34">
        <f>IF($J221=1,LN(1+O221),"")</f>
        <v/>
      </c>
      <c r="Q221" s="34">
        <f>IF($J221=1,LN(R222/R221),"")</f>
        <v/>
      </c>
      <c r="R221" s="32" t="n">
        <v>2.0868</v>
      </c>
      <c r="S221" s="35" t="n">
        <v>12.044</v>
      </c>
      <c r="T221" s="18" t="n">
        <v>46015</v>
      </c>
      <c r="U221" s="18" t="n"/>
      <c r="V221" s="18" t="n"/>
      <c r="W221" s="18" t="n"/>
      <c r="X221" s="35" t="n"/>
      <c r="Y221" s="35" t="n">
        <v>12.044</v>
      </c>
    </row>
    <row r="222">
      <c r="A222" s="25" t="n">
        <v>39139</v>
      </c>
      <c r="B222" s="18" t="n">
        <v>46207</v>
      </c>
      <c r="C222" s="31" t="n"/>
      <c r="D222" s="32" t="n"/>
      <c r="E222" s="33" t="n">
        <v>1.2026</v>
      </c>
      <c r="F222" t="inlineStr">
        <is>
          <t>Up</t>
        </is>
      </c>
      <c r="G222" t="inlineStr">
        <is>
          <t>Down</t>
        </is>
      </c>
      <c r="H222" t="inlineStr">
        <is>
          <t>EU_JD</t>
        </is>
      </c>
      <c r="I222" t="inlineStr">
        <is>
          <t>2007-02</t>
        </is>
      </c>
      <c r="J222" t="n">
        <v>1</v>
      </c>
      <c r="K222" t="n">
        <v>1</v>
      </c>
      <c r="L222" s="34">
        <f>IF($J222=1,LN(B223/B222),"")</f>
        <v/>
      </c>
      <c r="M222" s="34">
        <f>IF($K222=1,INDEX(Mensal!$D$2:$D$245,MATCH($I222,Mensal!$A$2:$A$245,0)),"")</f>
        <v/>
      </c>
      <c r="N222" s="34">
        <f>IF($K222=1,L222-M222,"")</f>
        <v/>
      </c>
      <c r="O222" s="34" t="n">
        <v>0.00048054</v>
      </c>
      <c r="P222" s="34">
        <f>IF($J222=1,LN(1+O222),"")</f>
        <v/>
      </c>
      <c r="Q222" s="34">
        <f>IF($J222=1,LN(R223/R222),"")</f>
        <v/>
      </c>
      <c r="R222" s="32" t="n">
        <v>2.0863</v>
      </c>
      <c r="S222" s="35" t="n">
        <v>11.991</v>
      </c>
      <c r="T222" s="18" t="n">
        <v>46207</v>
      </c>
      <c r="U222" s="18" t="n"/>
      <c r="V222" s="18" t="n"/>
      <c r="W222" s="18" t="n"/>
      <c r="X222" s="35" t="n"/>
      <c r="Y222" s="35" t="n">
        <v>11.991</v>
      </c>
    </row>
    <row r="223">
      <c r="A223" s="25" t="n">
        <v>39140</v>
      </c>
      <c r="B223" s="18" t="n">
        <v>43145</v>
      </c>
      <c r="C223" s="31" t="n"/>
      <c r="D223" s="32" t="n"/>
      <c r="E223" s="33" t="n">
        <v>1.1809</v>
      </c>
      <c r="F223" t="inlineStr">
        <is>
          <t>Up</t>
        </is>
      </c>
      <c r="G223" t="inlineStr">
        <is>
          <t>Down</t>
        </is>
      </c>
      <c r="H223" t="inlineStr">
        <is>
          <t>EU_JD</t>
        </is>
      </c>
      <c r="I223" t="inlineStr">
        <is>
          <t>2007-02</t>
        </is>
      </c>
      <c r="J223" t="n">
        <v>1</v>
      </c>
      <c r="K223" t="n">
        <v>1</v>
      </c>
      <c r="L223" s="34">
        <f>IF($J223=1,LN(B224/B223),"")</f>
        <v/>
      </c>
      <c r="M223" s="34">
        <f>IF($K223=1,INDEX(Mensal!$D$2:$D$245,MATCH($I223,Mensal!$A$2:$A$245,0)),"")</f>
        <v/>
      </c>
      <c r="N223" s="34">
        <f>IF($K223=1,L223-M223,"")</f>
        <v/>
      </c>
      <c r="O223" s="34" t="n">
        <v>0.00048019</v>
      </c>
      <c r="P223" s="34">
        <f>IF($J223=1,LN(1+O223),"")</f>
        <v/>
      </c>
      <c r="Q223" s="34">
        <f>IF($J223=1,LN(R224/R223),"")</f>
        <v/>
      </c>
      <c r="R223" s="32" t="n">
        <v>2.1099</v>
      </c>
      <c r="S223" s="35" t="n">
        <v>12.069</v>
      </c>
      <c r="T223" s="18" t="n">
        <v>43145</v>
      </c>
      <c r="U223" s="18" t="n"/>
      <c r="V223" s="18" t="n"/>
      <c r="W223" s="18" t="n"/>
      <c r="X223" s="35" t="n"/>
      <c r="Y223" s="35" t="n">
        <v>12.069</v>
      </c>
    </row>
    <row r="224">
      <c r="A224" s="25" t="n">
        <v>39141</v>
      </c>
      <c r="B224" s="18" t="n">
        <v>43892</v>
      </c>
      <c r="C224" s="31" t="n"/>
      <c r="D224" s="32" t="n"/>
      <c r="E224" s="33" t="n">
        <v>1.1613</v>
      </c>
      <c r="F224" t="inlineStr">
        <is>
          <t>Up</t>
        </is>
      </c>
      <c r="G224" t="inlineStr">
        <is>
          <t>Down</t>
        </is>
      </c>
      <c r="H224" t="inlineStr">
        <is>
          <t>EU_JD</t>
        </is>
      </c>
      <c r="I224" t="inlineStr">
        <is>
          <t>2007-02</t>
        </is>
      </c>
      <c r="J224" t="n">
        <v>1</v>
      </c>
      <c r="K224" t="n">
        <v>1</v>
      </c>
      <c r="L224" s="34">
        <f>IF($J224=1,LN(B225/B224),"")</f>
        <v/>
      </c>
      <c r="M224" s="34">
        <f>IF($K224=1,INDEX(Mensal!$D$2:$D$245,MATCH($I224,Mensal!$A$2:$A$245,0)),"")</f>
        <v/>
      </c>
      <c r="N224" s="34">
        <f>IF($K224=1,L224-M224,"")</f>
        <v/>
      </c>
      <c r="O224" s="34" t="n">
        <v>0.00048159</v>
      </c>
      <c r="P224" s="34">
        <f>IF($J224=1,LN(1+O224),"")</f>
        <v/>
      </c>
      <c r="Q224" s="34">
        <f>IF($J224=1,LN(R225/R224),"")</f>
        <v/>
      </c>
      <c r="R224" s="32" t="n">
        <v>2.1182</v>
      </c>
      <c r="S224" s="35" t="n">
        <v>12.097</v>
      </c>
      <c r="T224" s="18" t="n">
        <v>43892</v>
      </c>
      <c r="U224" s="18" t="n"/>
      <c r="V224" s="18" t="n"/>
      <c r="W224" s="18" t="n"/>
      <c r="X224" s="35" t="n"/>
      <c r="Y224" s="35" t="n">
        <v>12.097</v>
      </c>
    </row>
    <row r="225">
      <c r="A225" s="25" t="n">
        <v>39142</v>
      </c>
      <c r="B225" s="18" t="n">
        <v>43516</v>
      </c>
      <c r="C225" s="31" t="n"/>
      <c r="D225" s="32" t="n"/>
      <c r="E225" s="33" t="n">
        <v>1.1434</v>
      </c>
      <c r="F225" t="inlineStr">
        <is>
          <t>Up</t>
        </is>
      </c>
      <c r="G225" t="inlineStr">
        <is>
          <t>Down</t>
        </is>
      </c>
      <c r="H225" t="inlineStr">
        <is>
          <t>EU_JD</t>
        </is>
      </c>
      <c r="I225" t="inlineStr">
        <is>
          <t>2007-03</t>
        </is>
      </c>
      <c r="J225" t="n">
        <v>1</v>
      </c>
      <c r="K225" t="n">
        <v>1</v>
      </c>
      <c r="L225" s="34">
        <f>IF($J225=1,LN(B226/B225),"")</f>
        <v/>
      </c>
      <c r="M225" s="34">
        <f>IF($K225=1,INDEX(Mensal!$D$2:$D$245,MATCH($I225,Mensal!$A$2:$A$245,0)),"")</f>
        <v/>
      </c>
      <c r="N225" s="34">
        <f>IF($K225=1,L225-M225,"")</f>
        <v/>
      </c>
      <c r="O225" s="34" t="n">
        <v>0.00048159</v>
      </c>
      <c r="P225" s="34">
        <f>IF($J225=1,LN(1+O225),"")</f>
        <v/>
      </c>
      <c r="Q225" s="34">
        <f>IF($J225=1,LN(R226/R225),"")</f>
        <v/>
      </c>
      <c r="R225" s="32" t="n">
        <v>2.126</v>
      </c>
      <c r="S225" s="35" t="n">
        <v>12.111</v>
      </c>
      <c r="T225" s="18" t="n">
        <v>43516</v>
      </c>
      <c r="U225" s="18" t="n"/>
      <c r="V225" s="18" t="n"/>
      <c r="W225" s="18" t="n"/>
      <c r="X225" s="35" t="n"/>
      <c r="Y225" s="35" t="n">
        <v>12.111</v>
      </c>
    </row>
    <row r="226">
      <c r="A226" s="25" t="n">
        <v>39143</v>
      </c>
      <c r="B226" s="18" t="n">
        <v>42369</v>
      </c>
      <c r="C226" s="31" t="n"/>
      <c r="D226" s="32" t="n"/>
      <c r="E226" s="33" t="n">
        <v>1.1247</v>
      </c>
      <c r="F226" t="inlineStr">
        <is>
          <t>Up</t>
        </is>
      </c>
      <c r="G226" t="inlineStr">
        <is>
          <t>Down</t>
        </is>
      </c>
      <c r="H226" t="inlineStr">
        <is>
          <t>EU_JD</t>
        </is>
      </c>
      <c r="I226" t="inlineStr">
        <is>
          <t>2007-03</t>
        </is>
      </c>
      <c r="J226" t="n">
        <v>1</v>
      </c>
      <c r="K226" t="n">
        <v>1</v>
      </c>
      <c r="L226" s="34">
        <f>IF($J226=1,LN(B227/B226),"")</f>
        <v/>
      </c>
      <c r="M226" s="34">
        <f>IF($K226=1,INDEX(Mensal!$D$2:$D$245,MATCH($I226,Mensal!$A$2:$A$245,0)),"")</f>
        <v/>
      </c>
      <c r="N226" s="34">
        <f>IF($K226=1,L226-M226,"")</f>
        <v/>
      </c>
      <c r="O226" s="34" t="n">
        <v>0.00048159</v>
      </c>
      <c r="P226" s="34">
        <f>IF($J226=1,LN(1+O226),"")</f>
        <v/>
      </c>
      <c r="Q226" s="34">
        <f>IF($J226=1,LN(R227/R226),"")</f>
        <v/>
      </c>
      <c r="R226" s="32" t="n">
        <v>2.1274</v>
      </c>
      <c r="S226" s="35" t="n">
        <v>12.073</v>
      </c>
      <c r="T226" s="18" t="n">
        <v>42369</v>
      </c>
      <c r="U226" s="18" t="n"/>
      <c r="V226" s="18" t="n"/>
      <c r="W226" s="18" t="n"/>
      <c r="X226" s="35" t="n"/>
      <c r="Y226" s="35" t="n">
        <v>12.073</v>
      </c>
    </row>
    <row r="227">
      <c r="A227" s="25" t="n">
        <v>39146</v>
      </c>
      <c r="B227" s="18" t="n">
        <v>41179</v>
      </c>
      <c r="C227" s="31" t="n"/>
      <c r="D227" s="32" t="n"/>
      <c r="E227" s="33" t="n">
        <v>1.1313</v>
      </c>
      <c r="F227" t="inlineStr">
        <is>
          <t>Up</t>
        </is>
      </c>
      <c r="G227" t="inlineStr">
        <is>
          <t>Down</t>
        </is>
      </c>
      <c r="H227" t="inlineStr">
        <is>
          <t>EU_JD</t>
        </is>
      </c>
      <c r="I227" t="inlineStr">
        <is>
          <t>2007-03</t>
        </is>
      </c>
      <c r="J227" t="n">
        <v>1</v>
      </c>
      <c r="K227" t="n">
        <v>1</v>
      </c>
      <c r="L227" s="34">
        <f>IF($J227=1,LN(B228/B227),"")</f>
        <v/>
      </c>
      <c r="M227" s="34">
        <f>IF($K227=1,INDEX(Mensal!$D$2:$D$245,MATCH($I227,Mensal!$A$2:$A$245,0)),"")</f>
        <v/>
      </c>
      <c r="N227" s="34">
        <f>IF($K227=1,L227-M227,"")</f>
        <v/>
      </c>
      <c r="O227" s="34" t="n">
        <v>0.00048159</v>
      </c>
      <c r="P227" s="34">
        <f>IF($J227=1,LN(1+O227),"")</f>
        <v/>
      </c>
      <c r="Q227" s="34">
        <f>IF($J227=1,LN(R228/R227),"")</f>
        <v/>
      </c>
      <c r="R227" s="32" t="n">
        <v>2.1388</v>
      </c>
      <c r="S227" s="35" t="n">
        <v>12.106</v>
      </c>
      <c r="T227" s="18" t="n">
        <v>41179</v>
      </c>
      <c r="U227" s="18" t="n"/>
      <c r="V227" s="18" t="n"/>
      <c r="W227" s="18" t="n"/>
      <c r="X227" s="35" t="n"/>
      <c r="Y227" s="35" t="n">
        <v>12.106</v>
      </c>
    </row>
    <row r="228">
      <c r="A228" s="25" t="n">
        <v>39147</v>
      </c>
      <c r="B228" s="18" t="n">
        <v>43218</v>
      </c>
      <c r="C228" s="31" t="n"/>
      <c r="D228" s="32" t="n"/>
      <c r="E228" s="33" t="n">
        <v>1.1127</v>
      </c>
      <c r="F228" t="inlineStr">
        <is>
          <t>Up</t>
        </is>
      </c>
      <c r="G228" t="inlineStr">
        <is>
          <t>Down</t>
        </is>
      </c>
      <c r="H228" t="inlineStr">
        <is>
          <t>EU_JD</t>
        </is>
      </c>
      <c r="I228" t="inlineStr">
        <is>
          <t>2007-03</t>
        </is>
      </c>
      <c r="J228" t="n">
        <v>1</v>
      </c>
      <c r="K228" t="n">
        <v>1</v>
      </c>
      <c r="L228" s="34">
        <f>IF($J228=1,LN(B229/B228),"")</f>
        <v/>
      </c>
      <c r="M228" s="34">
        <f>IF($K228=1,INDEX(Mensal!$D$2:$D$245,MATCH($I228,Mensal!$A$2:$A$245,0)),"")</f>
        <v/>
      </c>
      <c r="N228" s="34">
        <f>IF($K228=1,L228-M228,"")</f>
        <v/>
      </c>
      <c r="O228" s="34" t="n">
        <v>0.00048124</v>
      </c>
      <c r="P228" s="34">
        <f>IF($J228=1,LN(1+O228),"")</f>
        <v/>
      </c>
      <c r="Q228" s="34">
        <f>IF($J228=1,LN(R229/R228),"")</f>
        <v/>
      </c>
      <c r="R228" s="32" t="n">
        <v>2.1209</v>
      </c>
      <c r="S228" s="35" t="n">
        <v>11.997</v>
      </c>
      <c r="T228" s="18" t="n">
        <v>43218</v>
      </c>
      <c r="U228" s="18" t="n"/>
      <c r="V228" s="18" t="n"/>
      <c r="W228" s="18" t="n"/>
      <c r="X228" s="35" t="n"/>
      <c r="Y228" s="35" t="n">
        <v>11.997</v>
      </c>
    </row>
    <row r="229">
      <c r="A229" s="25" t="n">
        <v>39148</v>
      </c>
      <c r="B229" s="18" t="n">
        <v>42667</v>
      </c>
      <c r="C229" s="31" t="n"/>
      <c r="D229" s="32" t="n"/>
      <c r="E229" s="33" t="n">
        <v>1.1055</v>
      </c>
      <c r="F229" t="inlineStr">
        <is>
          <t>Up</t>
        </is>
      </c>
      <c r="G229" t="inlineStr">
        <is>
          <t>Down</t>
        </is>
      </c>
      <c r="H229" t="inlineStr">
        <is>
          <t>EU_JD</t>
        </is>
      </c>
      <c r="I229" t="inlineStr">
        <is>
          <t>2007-03</t>
        </is>
      </c>
      <c r="J229" t="n">
        <v>1</v>
      </c>
      <c r="K229" t="n">
        <v>1</v>
      </c>
      <c r="L229" s="34">
        <f>IF($J229=1,LN(B230/B229),"")</f>
        <v/>
      </c>
      <c r="M229" s="34">
        <f>IF($K229=1,INDEX(Mensal!$D$2:$D$245,MATCH($I229,Mensal!$A$2:$A$245,0)),"")</f>
        <v/>
      </c>
      <c r="N229" s="34">
        <f>IF($K229=1,L229-M229,"")</f>
        <v/>
      </c>
      <c r="O229" s="34" t="n">
        <v>0.00048054</v>
      </c>
      <c r="P229" s="34">
        <f>IF($J229=1,LN(1+O229),"")</f>
        <v/>
      </c>
      <c r="Q229" s="34">
        <f>IF($J229=1,LN(R230/R229),"")</f>
        <v/>
      </c>
      <c r="R229" s="32" t="n">
        <v>2.1121</v>
      </c>
      <c r="S229" s="35" t="n">
        <v>11.939</v>
      </c>
      <c r="T229" s="18" t="n">
        <v>42667</v>
      </c>
      <c r="U229" s="18" t="n"/>
      <c r="V229" s="18" t="n"/>
      <c r="W229" s="18" t="n"/>
      <c r="X229" s="35" t="n"/>
      <c r="Y229" s="35" t="n">
        <v>11.939</v>
      </c>
    </row>
    <row r="230">
      <c r="A230" s="25" t="n">
        <v>39149</v>
      </c>
      <c r="B230" s="18" t="n">
        <v>43465</v>
      </c>
      <c r="C230" s="31" t="n"/>
      <c r="D230" s="32" t="n"/>
      <c r="E230" s="33" t="n">
        <v>1.139</v>
      </c>
      <c r="F230" t="inlineStr">
        <is>
          <t>Up</t>
        </is>
      </c>
      <c r="G230" t="inlineStr">
        <is>
          <t>Down</t>
        </is>
      </c>
      <c r="H230" t="inlineStr">
        <is>
          <t>EU_JD</t>
        </is>
      </c>
      <c r="I230" t="inlineStr">
        <is>
          <t>2007-03</t>
        </is>
      </c>
      <c r="J230" t="n">
        <v>1</v>
      </c>
      <c r="K230" t="n">
        <v>1</v>
      </c>
      <c r="L230" s="34">
        <f>IF($J230=1,LN(B231/B230),"")</f>
        <v/>
      </c>
      <c r="M230" s="34">
        <f>IF($K230=1,INDEX(Mensal!$D$2:$D$245,MATCH($I230,Mensal!$A$2:$A$245,0)),"")</f>
        <v/>
      </c>
      <c r="N230" s="34">
        <f>IF($K230=1,L230-M230,"")</f>
        <v/>
      </c>
      <c r="O230" s="34" t="n">
        <v>0.00047244</v>
      </c>
      <c r="P230" s="34">
        <f>IF($J230=1,LN(1+O230),"")</f>
        <v/>
      </c>
      <c r="Q230" s="34">
        <f>IF($J230=1,LN(R231/R230),"")</f>
        <v/>
      </c>
      <c r="R230" s="32" t="n">
        <v>2.1054</v>
      </c>
      <c r="S230" s="35" t="n">
        <v>11.998</v>
      </c>
      <c r="T230" s="18" t="n">
        <v>43465</v>
      </c>
      <c r="U230" s="18" t="n"/>
      <c r="V230" s="18" t="n"/>
      <c r="W230" s="18" t="n"/>
      <c r="X230" s="35" t="n"/>
      <c r="Y230" s="35" t="n">
        <v>11.998</v>
      </c>
    </row>
    <row r="231">
      <c r="A231" s="25" t="n">
        <v>39150</v>
      </c>
      <c r="B231" s="18" t="n">
        <v>42749</v>
      </c>
      <c r="C231" s="31" t="n"/>
      <c r="D231" s="32" t="n"/>
      <c r="E231" s="33" t="n">
        <v>1.1785</v>
      </c>
      <c r="F231" t="inlineStr">
        <is>
          <t>Up</t>
        </is>
      </c>
      <c r="G231" t="inlineStr">
        <is>
          <t>Down</t>
        </is>
      </c>
      <c r="H231" t="inlineStr">
        <is>
          <t>EU_JD</t>
        </is>
      </c>
      <c r="I231" t="inlineStr">
        <is>
          <t>2007-03</t>
        </is>
      </c>
      <c r="J231" t="n">
        <v>1</v>
      </c>
      <c r="K231" t="n">
        <v>1</v>
      </c>
      <c r="L231" s="34">
        <f>IF($J231=1,LN(B232/B231),"")</f>
        <v/>
      </c>
      <c r="M231" s="34">
        <f>IF($K231=1,INDEX(Mensal!$D$2:$D$245,MATCH($I231,Mensal!$A$2:$A$245,0)),"")</f>
        <v/>
      </c>
      <c r="N231" s="34">
        <f>IF($K231=1,L231-M231,"")</f>
        <v/>
      </c>
      <c r="O231" s="34" t="n">
        <v>0.00047314</v>
      </c>
      <c r="P231" s="34">
        <f>IF($J231=1,LN(1+O231),"")</f>
        <v/>
      </c>
      <c r="Q231" s="34">
        <f>IF($J231=1,LN(R232/R231),"")</f>
        <v/>
      </c>
      <c r="R231" s="32" t="n">
        <v>2.0983</v>
      </c>
      <c r="S231" s="35" t="n">
        <v>11.979</v>
      </c>
      <c r="T231" s="18" t="n">
        <v>42749</v>
      </c>
      <c r="U231" s="18" t="n"/>
      <c r="V231" s="18" t="n"/>
      <c r="W231" s="18" t="n"/>
      <c r="X231" s="35" t="n"/>
      <c r="Y231" s="35" t="n">
        <v>11.979</v>
      </c>
    </row>
    <row r="232">
      <c r="A232" s="25" t="n">
        <v>39153</v>
      </c>
      <c r="B232" s="18" t="n">
        <v>43288</v>
      </c>
      <c r="C232" s="31" t="n"/>
      <c r="D232" s="32" t="n"/>
      <c r="E232" s="33" t="n">
        <v>1.2169</v>
      </c>
      <c r="F232" t="inlineStr">
        <is>
          <t>Up</t>
        </is>
      </c>
      <c r="G232" t="inlineStr">
        <is>
          <t>Down</t>
        </is>
      </c>
      <c r="H232" t="inlineStr">
        <is>
          <t>EU_JD</t>
        </is>
      </c>
      <c r="I232" t="inlineStr">
        <is>
          <t>2007-03</t>
        </is>
      </c>
      <c r="J232" t="n">
        <v>1</v>
      </c>
      <c r="K232" t="n">
        <v>1</v>
      </c>
      <c r="L232" s="34">
        <f>IF($J232=1,LN(B233/B232),"")</f>
        <v/>
      </c>
      <c r="M232" s="34">
        <f>IF($K232=1,INDEX(Mensal!$D$2:$D$245,MATCH($I232,Mensal!$A$2:$A$245,0)),"")</f>
        <v/>
      </c>
      <c r="N232" s="34">
        <f>IF($K232=1,L232-M232,"")</f>
        <v/>
      </c>
      <c r="O232" s="34" t="n">
        <v>0.00047279</v>
      </c>
      <c r="P232" s="34">
        <f>IF($J232=1,LN(1+O232),"")</f>
        <v/>
      </c>
      <c r="Q232" s="34">
        <f>IF($J232=1,LN(R233/R232),"")</f>
        <v/>
      </c>
      <c r="R232" s="32" t="n">
        <v>2.0902</v>
      </c>
      <c r="S232" s="35" t="n">
        <v>11.93</v>
      </c>
      <c r="T232" s="18" t="n">
        <v>43288</v>
      </c>
      <c r="U232" s="18" t="n"/>
      <c r="V232" s="18" t="n"/>
      <c r="W232" s="18" t="n"/>
      <c r="X232" s="35" t="n"/>
      <c r="Y232" s="35" t="n">
        <v>11.93</v>
      </c>
    </row>
    <row r="233">
      <c r="A233" s="25" t="n">
        <v>39154</v>
      </c>
      <c r="B233" s="18" t="n">
        <v>44133</v>
      </c>
      <c r="C233" s="31" t="n"/>
      <c r="D233" s="32" t="n"/>
      <c r="E233" s="33" t="n">
        <v>1.2519</v>
      </c>
      <c r="F233" t="inlineStr">
        <is>
          <t>Up</t>
        </is>
      </c>
      <c r="G233" t="inlineStr">
        <is>
          <t>Down</t>
        </is>
      </c>
      <c r="H233" t="inlineStr">
        <is>
          <t>EU_JD</t>
        </is>
      </c>
      <c r="I233" t="inlineStr">
        <is>
          <t>2007-03</t>
        </is>
      </c>
      <c r="J233" t="n">
        <v>1</v>
      </c>
      <c r="K233" t="n">
        <v>1</v>
      </c>
      <c r="L233" s="34">
        <f>IF($J233=1,LN(B234/B233),"")</f>
        <v/>
      </c>
      <c r="M233" s="34">
        <f>IF($K233=1,INDEX(Mensal!$D$2:$D$245,MATCH($I233,Mensal!$A$2:$A$245,0)),"")</f>
        <v/>
      </c>
      <c r="N233" s="34">
        <f>IF($K233=1,L233-M233,"")</f>
        <v/>
      </c>
      <c r="O233" s="34" t="n">
        <v>0.00047173</v>
      </c>
      <c r="P233" s="34">
        <f>IF($J233=1,LN(1+O233),"")</f>
        <v/>
      </c>
      <c r="Q233" s="34">
        <f>IF($J233=1,LN(R234/R233),"")</f>
        <v/>
      </c>
      <c r="R233" s="32" t="n">
        <v>2.0962</v>
      </c>
      <c r="S233" s="35" t="n">
        <v>11.958</v>
      </c>
      <c r="T233" s="18" t="n">
        <v>44133</v>
      </c>
      <c r="U233" s="18" t="n"/>
      <c r="V233" s="18" t="n"/>
      <c r="W233" s="18" t="n"/>
      <c r="X233" s="35" t="n"/>
      <c r="Y233" s="35" t="n">
        <v>11.958</v>
      </c>
    </row>
    <row r="234">
      <c r="A234" s="25" t="n">
        <v>39155</v>
      </c>
      <c r="B234" s="18" t="n">
        <v>44249</v>
      </c>
      <c r="C234" s="31" t="n"/>
      <c r="D234" s="32" t="n"/>
      <c r="E234" s="33" t="n">
        <v>1.2848</v>
      </c>
      <c r="F234" t="inlineStr">
        <is>
          <t>Up</t>
        </is>
      </c>
      <c r="G234" t="inlineStr">
        <is>
          <t>Down</t>
        </is>
      </c>
      <c r="H234" t="inlineStr">
        <is>
          <t>EU_JD</t>
        </is>
      </c>
      <c r="I234" t="inlineStr">
        <is>
          <t>2007-03</t>
        </is>
      </c>
      <c r="J234" t="n">
        <v>1</v>
      </c>
      <c r="K234" t="n">
        <v>1</v>
      </c>
      <c r="L234" s="34">
        <f>IF($J234=1,LN(B235/B234),"")</f>
        <v/>
      </c>
      <c r="M234" s="34">
        <f>IF($K234=1,INDEX(Mensal!$D$2:$D$245,MATCH($I234,Mensal!$A$2:$A$245,0)),"")</f>
        <v/>
      </c>
      <c r="N234" s="34">
        <f>IF($K234=1,L234-M234,"")</f>
        <v/>
      </c>
      <c r="O234" s="34" t="n">
        <v>0.00047209</v>
      </c>
      <c r="P234" s="34">
        <f>IF($J234=1,LN(1+O234),"")</f>
        <v/>
      </c>
      <c r="Q234" s="34">
        <f>IF($J234=1,LN(R235/R234),"")</f>
        <v/>
      </c>
      <c r="R234" s="32" t="n">
        <v>2.1044</v>
      </c>
      <c r="S234" s="35" t="n">
        <v>11.94</v>
      </c>
      <c r="T234" s="18" t="n">
        <v>44249</v>
      </c>
      <c r="U234" s="18" t="n"/>
      <c r="V234" s="18" t="n"/>
      <c r="W234" s="18" t="n"/>
      <c r="X234" s="35" t="n"/>
      <c r="Y234" s="35" t="n">
        <v>11.94</v>
      </c>
    </row>
    <row r="235">
      <c r="A235" s="25" t="n">
        <v>39156</v>
      </c>
      <c r="B235" s="18" t="n">
        <v>43278</v>
      </c>
      <c r="C235" s="31" t="n"/>
      <c r="D235" s="32" t="n"/>
      <c r="E235" s="33" t="n">
        <v>1.3257</v>
      </c>
      <c r="F235" t="inlineStr">
        <is>
          <t>Up</t>
        </is>
      </c>
      <c r="G235" t="inlineStr">
        <is>
          <t>Down</t>
        </is>
      </c>
      <c r="H235" t="inlineStr">
        <is>
          <t>EU_JD</t>
        </is>
      </c>
      <c r="I235" t="inlineStr">
        <is>
          <t>2007-03</t>
        </is>
      </c>
      <c r="J235" t="n">
        <v>1</v>
      </c>
      <c r="K235" t="n">
        <v>1</v>
      </c>
      <c r="L235" s="34">
        <f>IF($J235=1,LN(B236/B235),"")</f>
        <v/>
      </c>
      <c r="M235" s="34">
        <f>IF($K235=1,INDEX(Mensal!$D$2:$D$245,MATCH($I235,Mensal!$A$2:$A$245,0)),"")</f>
        <v/>
      </c>
      <c r="N235" s="34">
        <f>IF($K235=1,L235-M235,"")</f>
        <v/>
      </c>
      <c r="O235" s="34" t="n">
        <v>0.00047209</v>
      </c>
      <c r="P235" s="34">
        <f>IF($J235=1,LN(1+O235),"")</f>
        <v/>
      </c>
      <c r="Q235" s="34">
        <f>IF($J235=1,LN(R236/R235),"")</f>
        <v/>
      </c>
      <c r="R235" s="32" t="n">
        <v>2.0909</v>
      </c>
      <c r="S235" s="35" t="n">
        <v>11.955</v>
      </c>
      <c r="T235" s="18" t="n">
        <v>43278</v>
      </c>
      <c r="U235" s="18" t="n"/>
      <c r="V235" s="18" t="n"/>
      <c r="W235" s="18" t="n"/>
      <c r="X235" s="35" t="n"/>
      <c r="Y235" s="35" t="n">
        <v>11.955</v>
      </c>
    </row>
    <row r="236">
      <c r="A236" s="25" t="n">
        <v>39157</v>
      </c>
      <c r="B236" s="18" t="n">
        <v>42730</v>
      </c>
      <c r="C236" s="31" t="n"/>
      <c r="D236" s="32" t="n"/>
      <c r="E236" s="33" t="n">
        <v>1.3317</v>
      </c>
      <c r="F236" t="inlineStr">
        <is>
          <t>Up</t>
        </is>
      </c>
      <c r="G236" t="inlineStr">
        <is>
          <t>Down</t>
        </is>
      </c>
      <c r="H236" t="inlineStr">
        <is>
          <t>EU_JD</t>
        </is>
      </c>
      <c r="I236" t="inlineStr">
        <is>
          <t>2007-03</t>
        </is>
      </c>
      <c r="J236" t="n">
        <v>1</v>
      </c>
      <c r="K236" t="n">
        <v>1</v>
      </c>
      <c r="L236" s="34">
        <f>IF($J236=1,LN(B237/B236),"")</f>
        <v/>
      </c>
      <c r="M236" s="34">
        <f>IF($K236=1,INDEX(Mensal!$D$2:$D$245,MATCH($I236,Mensal!$A$2:$A$245,0)),"")</f>
        <v/>
      </c>
      <c r="N236" s="34">
        <f>IF($K236=1,L236-M236,"")</f>
        <v/>
      </c>
      <c r="O236" s="34" t="n">
        <v>0.00047279</v>
      </c>
      <c r="P236" s="34">
        <f>IF($J236=1,LN(1+O236),"")</f>
        <v/>
      </c>
      <c r="Q236" s="34">
        <f>IF($J236=1,LN(R237/R236),"")</f>
        <v/>
      </c>
      <c r="R236" s="32" t="n">
        <v>2.0915</v>
      </c>
      <c r="S236" s="35" t="n">
        <v>11.97</v>
      </c>
      <c r="T236" s="18" t="n">
        <v>42730</v>
      </c>
      <c r="U236" s="18" t="n"/>
      <c r="V236" s="18" t="n"/>
      <c r="W236" s="18" t="n"/>
      <c r="X236" s="35" t="n"/>
      <c r="Y236" s="35" t="n">
        <v>11.97</v>
      </c>
    </row>
    <row r="237">
      <c r="A237" s="25" t="n">
        <v>39160</v>
      </c>
      <c r="B237" s="18" t="n">
        <v>43712</v>
      </c>
      <c r="C237" s="31" t="n"/>
      <c r="D237" s="32" t="n"/>
      <c r="E237" s="33" t="n">
        <v>1.3297</v>
      </c>
      <c r="F237" t="inlineStr">
        <is>
          <t>Up</t>
        </is>
      </c>
      <c r="G237" t="inlineStr">
        <is>
          <t>Down</t>
        </is>
      </c>
      <c r="H237" t="inlineStr">
        <is>
          <t>EU_JD</t>
        </is>
      </c>
      <c r="I237" t="inlineStr">
        <is>
          <t>2007-03</t>
        </is>
      </c>
      <c r="J237" t="n">
        <v>1</v>
      </c>
      <c r="K237" t="n">
        <v>1</v>
      </c>
      <c r="L237" s="34">
        <f>IF($J237=1,LN(B238/B237),"")</f>
        <v/>
      </c>
      <c r="M237" s="34">
        <f>IF($K237=1,INDEX(Mensal!$D$2:$D$245,MATCH($I237,Mensal!$A$2:$A$245,0)),"")</f>
        <v/>
      </c>
      <c r="N237" s="34">
        <f>IF($K237=1,L237-M237,"")</f>
        <v/>
      </c>
      <c r="O237" s="34" t="n">
        <v>0.00047279</v>
      </c>
      <c r="P237" s="34">
        <f>IF($J237=1,LN(1+O237),"")</f>
        <v/>
      </c>
      <c r="Q237" s="34">
        <f>IF($J237=1,LN(R238/R237),"")</f>
        <v/>
      </c>
      <c r="R237" s="32" t="n">
        <v>2.0792</v>
      </c>
      <c r="S237" s="35" t="n">
        <v>11.948</v>
      </c>
      <c r="T237" s="18" t="n">
        <v>43712</v>
      </c>
      <c r="U237" s="18" t="n"/>
      <c r="V237" s="18" t="n"/>
      <c r="W237" s="18" t="n"/>
      <c r="X237" s="35" t="n"/>
      <c r="Y237" s="35" t="n">
        <v>11.948</v>
      </c>
    </row>
    <row r="238">
      <c r="A238" s="25" t="n">
        <v>39161</v>
      </c>
      <c r="B238" s="18" t="n">
        <v>44350</v>
      </c>
      <c r="C238" s="31" t="n"/>
      <c r="D238" s="32" t="n"/>
      <c r="E238" s="33" t="n">
        <v>1.3381</v>
      </c>
      <c r="F238" t="inlineStr">
        <is>
          <t>Up</t>
        </is>
      </c>
      <c r="G238" t="inlineStr">
        <is>
          <t>Down</t>
        </is>
      </c>
      <c r="H238" t="inlineStr">
        <is>
          <t>EU_JD</t>
        </is>
      </c>
      <c r="I238" t="inlineStr">
        <is>
          <t>2007-03</t>
        </is>
      </c>
      <c r="J238" t="n">
        <v>1</v>
      </c>
      <c r="K238" t="n">
        <v>1</v>
      </c>
      <c r="L238" s="34">
        <f>IF($J238=1,LN(B239/B238),"")</f>
        <v/>
      </c>
      <c r="M238" s="34">
        <f>IF($K238=1,INDEX(Mensal!$D$2:$D$245,MATCH($I238,Mensal!$A$2:$A$245,0)),"")</f>
        <v/>
      </c>
      <c r="N238" s="34">
        <f>IF($K238=1,L238-M238,"")</f>
        <v/>
      </c>
      <c r="O238" s="34" t="n">
        <v>0.00047244</v>
      </c>
      <c r="P238" s="34">
        <f>IF($J238=1,LN(1+O238),"")</f>
        <v/>
      </c>
      <c r="Q238" s="34">
        <f>IF($J238=1,LN(R239/R238),"")</f>
        <v/>
      </c>
      <c r="R238" s="32" t="n">
        <v>2.0763</v>
      </c>
      <c r="S238" s="35" t="n">
        <v>11.946</v>
      </c>
      <c r="T238" s="18" t="n">
        <v>44350</v>
      </c>
      <c r="U238" s="18" t="n"/>
      <c r="V238" s="18" t="n"/>
      <c r="W238" s="18" t="n"/>
      <c r="X238" s="35" t="n"/>
      <c r="Y238" s="35" t="n">
        <v>11.946</v>
      </c>
    </row>
    <row r="239">
      <c r="A239" s="25" t="n">
        <v>39162</v>
      </c>
      <c r="B239" s="18" t="n">
        <v>45630</v>
      </c>
      <c r="C239" s="31" t="n"/>
      <c r="D239" s="32" t="n"/>
      <c r="E239" s="33" t="n">
        <v>1.3442</v>
      </c>
      <c r="F239" t="inlineStr">
        <is>
          <t>Up</t>
        </is>
      </c>
      <c r="G239" t="inlineStr">
        <is>
          <t>Down</t>
        </is>
      </c>
      <c r="H239" t="inlineStr">
        <is>
          <t>EU_JD</t>
        </is>
      </c>
      <c r="I239" t="inlineStr">
        <is>
          <t>2007-03</t>
        </is>
      </c>
      <c r="J239" t="n">
        <v>1</v>
      </c>
      <c r="K239" t="n">
        <v>1</v>
      </c>
      <c r="L239" s="34">
        <f>IF($J239=1,LN(B240/B239),"")</f>
        <v/>
      </c>
      <c r="M239" s="34">
        <f>IF($K239=1,INDEX(Mensal!$D$2:$D$245,MATCH($I239,Mensal!$A$2:$A$245,0)),"")</f>
        <v/>
      </c>
      <c r="N239" s="34">
        <f>IF($K239=1,L239-M239,"")</f>
        <v/>
      </c>
      <c r="O239" s="34" t="n">
        <v>0.00047279</v>
      </c>
      <c r="P239" s="34">
        <f>IF($J239=1,LN(1+O239),"")</f>
        <v/>
      </c>
      <c r="Q239" s="34">
        <f>IF($J239=1,LN(R240/R239),"")</f>
        <v/>
      </c>
      <c r="R239" s="32" t="n">
        <v>2.0676</v>
      </c>
      <c r="S239" s="35" t="n">
        <v>11.909</v>
      </c>
      <c r="T239" s="18" t="n">
        <v>45630</v>
      </c>
      <c r="U239" s="18" t="n"/>
      <c r="V239" s="18" t="n"/>
      <c r="W239" s="18" t="n"/>
      <c r="X239" s="35" t="n"/>
      <c r="Y239" s="35" t="n">
        <v>11.909</v>
      </c>
    </row>
    <row r="240">
      <c r="A240" s="25" t="n">
        <v>39163</v>
      </c>
      <c r="B240" s="18" t="n">
        <v>45424</v>
      </c>
      <c r="C240" s="31" t="n"/>
      <c r="D240" s="32" t="n"/>
      <c r="E240" s="33" t="n">
        <v>1.3419</v>
      </c>
      <c r="F240" t="inlineStr">
        <is>
          <t>Up</t>
        </is>
      </c>
      <c r="G240" t="inlineStr">
        <is>
          <t>Down</t>
        </is>
      </c>
      <c r="H240" t="inlineStr">
        <is>
          <t>EU_JD</t>
        </is>
      </c>
      <c r="I240" t="inlineStr">
        <is>
          <t>2007-03</t>
        </is>
      </c>
      <c r="J240" t="n">
        <v>1</v>
      </c>
      <c r="K240" t="n">
        <v>1</v>
      </c>
      <c r="L240" s="34">
        <f>IF($J240=1,LN(B241/B240),"")</f>
        <v/>
      </c>
      <c r="M240" s="34">
        <f>IF($K240=1,INDEX(Mensal!$D$2:$D$245,MATCH($I240,Mensal!$A$2:$A$245,0)),"")</f>
        <v/>
      </c>
      <c r="N240" s="34">
        <f>IF($K240=1,L240-M240,"")</f>
        <v/>
      </c>
      <c r="O240" s="34" t="n">
        <v>0.00047209</v>
      </c>
      <c r="P240" s="34">
        <f>IF($J240=1,LN(1+O240),"")</f>
        <v/>
      </c>
      <c r="Q240" s="34">
        <f>IF($J240=1,LN(R241/R240),"")</f>
        <v/>
      </c>
      <c r="R240" s="32" t="n">
        <v>2.0602</v>
      </c>
      <c r="S240" s="35" t="n">
        <v>11.911</v>
      </c>
      <c r="T240" s="18" t="n">
        <v>45424</v>
      </c>
      <c r="U240" s="18" t="n"/>
      <c r="V240" s="18" t="n"/>
      <c r="W240" s="18" t="n"/>
      <c r="X240" s="35" t="n"/>
      <c r="Y240" s="35" t="n">
        <v>11.911</v>
      </c>
    </row>
    <row r="241">
      <c r="A241" s="25" t="n">
        <v>39164</v>
      </c>
      <c r="B241" s="18" t="n">
        <v>45532</v>
      </c>
      <c r="C241" s="31" t="n"/>
      <c r="D241" s="32" t="n"/>
      <c r="E241" s="33" t="n">
        <v>1.3394</v>
      </c>
      <c r="F241" t="inlineStr">
        <is>
          <t>Up</t>
        </is>
      </c>
      <c r="G241" t="inlineStr">
        <is>
          <t>Down</t>
        </is>
      </c>
      <c r="H241" t="inlineStr">
        <is>
          <t>EU_JD</t>
        </is>
      </c>
      <c r="I241" t="inlineStr">
        <is>
          <t>2007-03</t>
        </is>
      </c>
      <c r="J241" t="n">
        <v>1</v>
      </c>
      <c r="K241" t="n">
        <v>1</v>
      </c>
      <c r="L241" s="34">
        <f>IF($J241=1,LN(B242/B241),"")</f>
        <v/>
      </c>
      <c r="M241" s="34">
        <f>IF($K241=1,INDEX(Mensal!$D$2:$D$245,MATCH($I241,Mensal!$A$2:$A$245,0)),"")</f>
        <v/>
      </c>
      <c r="N241" s="34">
        <f>IF($K241=1,L241-M241,"")</f>
        <v/>
      </c>
      <c r="O241" s="34" t="n">
        <v>0.00047138</v>
      </c>
      <c r="P241" s="34">
        <f>IF($J241=1,LN(1+O241),"")</f>
        <v/>
      </c>
      <c r="Q241" s="34">
        <f>IF($J241=1,LN(R242/R241),"")</f>
        <v/>
      </c>
      <c r="R241" s="32" t="n">
        <v>2.0652</v>
      </c>
      <c r="S241" s="35" t="n">
        <v>11.917</v>
      </c>
      <c r="T241" s="18" t="n">
        <v>45532</v>
      </c>
      <c r="U241" s="18" t="n"/>
      <c r="V241" s="18" t="n"/>
      <c r="W241" s="18" t="n"/>
      <c r="X241" s="35" t="n"/>
      <c r="Y241" s="35" t="n">
        <v>11.917</v>
      </c>
    </row>
    <row r="242">
      <c r="A242" s="25" t="n">
        <v>39167</v>
      </c>
      <c r="B242" s="18" t="n">
        <v>45644</v>
      </c>
      <c r="C242" s="31" t="n"/>
      <c r="D242" s="32" t="n"/>
      <c r="E242" s="33" t="n">
        <v>1.34</v>
      </c>
      <c r="F242" t="inlineStr">
        <is>
          <t>Up</t>
        </is>
      </c>
      <c r="G242" t="inlineStr">
        <is>
          <t>Down</t>
        </is>
      </c>
      <c r="H242" t="inlineStr">
        <is>
          <t>EU_JD</t>
        </is>
      </c>
      <c r="I242" t="inlineStr">
        <is>
          <t>2007-03</t>
        </is>
      </c>
      <c r="J242" t="n">
        <v>1</v>
      </c>
      <c r="K242" t="n">
        <v>1</v>
      </c>
      <c r="L242" s="34">
        <f>IF($J242=1,LN(B243/B242),"")</f>
        <v/>
      </c>
      <c r="M242" s="34">
        <f>IF($K242=1,INDEX(Mensal!$D$2:$D$245,MATCH($I242,Mensal!$A$2:$A$245,0)),"")</f>
        <v/>
      </c>
      <c r="N242" s="34">
        <f>IF($K242=1,L242-M242,"")</f>
        <v/>
      </c>
      <c r="O242" s="34" t="n">
        <v>0.00047103</v>
      </c>
      <c r="P242" s="34">
        <f>IF($J242=1,LN(1+O242),"")</f>
        <v/>
      </c>
      <c r="Q242" s="34">
        <f>IF($J242=1,LN(R243/R242),"")</f>
        <v/>
      </c>
      <c r="R242" s="32" t="n">
        <v>2.0601</v>
      </c>
      <c r="S242" s="35" t="n">
        <v>11.909</v>
      </c>
      <c r="T242" s="18" t="n">
        <v>45644</v>
      </c>
      <c r="U242" s="18" t="n"/>
      <c r="V242" s="18" t="n"/>
      <c r="W242" s="18" t="n"/>
      <c r="X242" s="35" t="n"/>
      <c r="Y242" s="35" t="n">
        <v>11.909</v>
      </c>
    </row>
    <row r="243">
      <c r="A243" s="25" t="n">
        <v>39168</v>
      </c>
      <c r="B243" s="18" t="n">
        <v>45206</v>
      </c>
      <c r="C243" s="31" t="n"/>
      <c r="D243" s="32" t="n"/>
      <c r="E243" s="33" t="n">
        <v>1.3339</v>
      </c>
      <c r="F243" t="inlineStr">
        <is>
          <t>Up</t>
        </is>
      </c>
      <c r="G243" t="inlineStr">
        <is>
          <t>Down</t>
        </is>
      </c>
      <c r="H243" t="inlineStr">
        <is>
          <t>EU_JD</t>
        </is>
      </c>
      <c r="I243" t="inlineStr">
        <is>
          <t>2007-03</t>
        </is>
      </c>
      <c r="J243" t="n">
        <v>1</v>
      </c>
      <c r="K243" t="n">
        <v>1</v>
      </c>
      <c r="L243" s="34">
        <f>IF($J243=1,LN(B244/B243),"")</f>
        <v/>
      </c>
      <c r="M243" s="34">
        <f>IF($K243=1,INDEX(Mensal!$D$2:$D$245,MATCH($I243,Mensal!$A$2:$A$245,0)),"")</f>
        <v/>
      </c>
      <c r="N243" s="34">
        <f>IF($K243=1,L243-M243,"")</f>
        <v/>
      </c>
      <c r="O243" s="34" t="n">
        <v>0.00047103</v>
      </c>
      <c r="P243" s="34">
        <f>IF($J243=1,LN(1+O243),"")</f>
        <v/>
      </c>
      <c r="Q243" s="34">
        <f>IF($J243=1,LN(R244/R243),"")</f>
        <v/>
      </c>
      <c r="R243" s="32" t="n">
        <v>2.0637</v>
      </c>
      <c r="S243" s="35" t="n">
        <v>11.924</v>
      </c>
      <c r="T243" s="18" t="n">
        <v>45206</v>
      </c>
      <c r="U243" s="18" t="n"/>
      <c r="V243" s="18" t="n"/>
      <c r="W243" s="18" t="n"/>
      <c r="X243" s="35" t="n"/>
      <c r="Y243" s="35" t="n">
        <v>11.924</v>
      </c>
    </row>
    <row r="244">
      <c r="A244" s="25" t="n">
        <v>39169</v>
      </c>
      <c r="B244" s="18" t="n">
        <v>44484</v>
      </c>
      <c r="C244" s="31" t="n"/>
      <c r="D244" s="32" t="n"/>
      <c r="E244" s="33" t="n">
        <v>1.3283</v>
      </c>
      <c r="F244" t="inlineStr">
        <is>
          <t>Up</t>
        </is>
      </c>
      <c r="G244" t="inlineStr">
        <is>
          <t>Down</t>
        </is>
      </c>
      <c r="H244" t="inlineStr">
        <is>
          <t>EU_JD</t>
        </is>
      </c>
      <c r="I244" t="inlineStr">
        <is>
          <t>2007-03</t>
        </is>
      </c>
      <c r="J244" t="n">
        <v>1</v>
      </c>
      <c r="K244" t="n">
        <v>1</v>
      </c>
      <c r="L244" s="34">
        <f>IF($J244=1,LN(B245/B244),"")</f>
        <v/>
      </c>
      <c r="M244" s="34">
        <f>IF($K244=1,INDEX(Mensal!$D$2:$D$245,MATCH($I244,Mensal!$A$2:$A$245,0)),"")</f>
        <v/>
      </c>
      <c r="N244" s="34">
        <f>IF($K244=1,L244-M244,"")</f>
        <v/>
      </c>
      <c r="O244" s="34" t="n">
        <v>0.00047138</v>
      </c>
      <c r="P244" s="34">
        <f>IF($J244=1,LN(1+O244),"")</f>
        <v/>
      </c>
      <c r="Q244" s="34">
        <f>IF($J244=1,LN(R245/R244),"")</f>
        <v/>
      </c>
      <c r="R244" s="32" t="n">
        <v>2.0716</v>
      </c>
      <c r="S244" s="35" t="n">
        <v>11.929</v>
      </c>
      <c r="T244" s="18" t="n">
        <v>44484</v>
      </c>
      <c r="U244" s="18" t="n"/>
      <c r="V244" s="18" t="n"/>
      <c r="W244" s="18" t="n"/>
      <c r="X244" s="35" t="n"/>
      <c r="Y244" s="35" t="n">
        <v>11.929</v>
      </c>
    </row>
    <row r="245">
      <c r="A245" s="25" t="n">
        <v>39170</v>
      </c>
      <c r="B245" s="18" t="n">
        <v>45355</v>
      </c>
      <c r="C245" s="31" t="n"/>
      <c r="D245" s="32" t="n"/>
      <c r="E245" s="33" t="n">
        <v>1.3291</v>
      </c>
      <c r="F245" t="inlineStr">
        <is>
          <t>Up</t>
        </is>
      </c>
      <c r="G245" t="inlineStr">
        <is>
          <t>Down</t>
        </is>
      </c>
      <c r="H245" t="inlineStr">
        <is>
          <t>EU_JD</t>
        </is>
      </c>
      <c r="I245" t="inlineStr">
        <is>
          <t>2007-03</t>
        </is>
      </c>
      <c r="J245" t="n">
        <v>1</v>
      </c>
      <c r="K245" t="n">
        <v>1</v>
      </c>
      <c r="L245" s="34">
        <f>IF($J245=1,LN(B246/B245),"")</f>
        <v/>
      </c>
      <c r="M245" s="34">
        <f>IF($K245=1,INDEX(Mensal!$D$2:$D$245,MATCH($I245,Mensal!$A$2:$A$245,0)),"")</f>
        <v/>
      </c>
      <c r="N245" s="34">
        <f>IF($K245=1,L245-M245,"")</f>
        <v/>
      </c>
      <c r="O245" s="34" t="n">
        <v>0.00047173</v>
      </c>
      <c r="P245" s="34">
        <f>IF($J245=1,LN(1+O245),"")</f>
        <v/>
      </c>
      <c r="Q245" s="34">
        <f>IF($J245=1,LN(R246/R245),"")</f>
        <v/>
      </c>
      <c r="R245" s="32" t="n">
        <v>2.0545</v>
      </c>
      <c r="S245" s="35" t="n">
        <v>11.91</v>
      </c>
      <c r="T245" s="18" t="n">
        <v>45355</v>
      </c>
      <c r="U245" s="18" t="n"/>
      <c r="V245" s="18" t="n"/>
      <c r="W245" s="18" t="n"/>
      <c r="X245" s="35" t="n"/>
      <c r="Y245" s="35" t="n">
        <v>11.91</v>
      </c>
    </row>
    <row r="246">
      <c r="A246" s="25" t="n">
        <v>39171</v>
      </c>
      <c r="B246" s="18" t="n">
        <v>45804</v>
      </c>
      <c r="C246" s="31" t="n"/>
      <c r="D246" s="32" t="n"/>
      <c r="E246" s="33" t="n">
        <v>1.3317</v>
      </c>
      <c r="F246" t="inlineStr">
        <is>
          <t>Up</t>
        </is>
      </c>
      <c r="G246" t="inlineStr">
        <is>
          <t>Down</t>
        </is>
      </c>
      <c r="H246" t="inlineStr">
        <is>
          <t>EU_JD</t>
        </is>
      </c>
      <c r="I246" t="inlineStr">
        <is>
          <t>2007-03</t>
        </is>
      </c>
      <c r="J246" t="n">
        <v>1</v>
      </c>
      <c r="K246" t="n">
        <v>1</v>
      </c>
      <c r="L246" s="34">
        <f>IF($J246=1,LN(B247/B246),"")</f>
        <v/>
      </c>
      <c r="M246" s="34">
        <f>IF($K246=1,INDEX(Mensal!$D$2:$D$245,MATCH($I246,Mensal!$A$2:$A$245,0)),"")</f>
        <v/>
      </c>
      <c r="N246" s="34">
        <f>IF($K246=1,L246-M246,"")</f>
        <v/>
      </c>
      <c r="O246" s="34" t="n">
        <v>0.00047314</v>
      </c>
      <c r="P246" s="34">
        <f>IF($J246=1,LN(1+O246),"")</f>
        <v/>
      </c>
      <c r="Q246" s="34">
        <f>IF($J246=1,LN(R247/R246),"")</f>
        <v/>
      </c>
      <c r="R246" s="32" t="n">
        <v>2.0504</v>
      </c>
      <c r="S246" s="35" t="n">
        <v>11.851</v>
      </c>
      <c r="T246" s="18" t="n">
        <v>45804</v>
      </c>
      <c r="U246" s="18" t="n"/>
      <c r="V246" s="18" t="n"/>
      <c r="W246" s="18" t="n"/>
      <c r="X246" s="35" t="n"/>
      <c r="Y246" s="35" t="n">
        <v>11.851</v>
      </c>
    </row>
    <row r="247">
      <c r="A247" s="25" t="n">
        <v>39174</v>
      </c>
      <c r="B247" s="18" t="n">
        <v>45597</v>
      </c>
      <c r="C247" s="31" t="n"/>
      <c r="D247" s="32" t="n"/>
      <c r="E247" s="33" t="n">
        <v>1.3335</v>
      </c>
      <c r="F247" t="inlineStr">
        <is>
          <t>Up</t>
        </is>
      </c>
      <c r="G247" t="inlineStr">
        <is>
          <t>Down</t>
        </is>
      </c>
      <c r="H247" t="inlineStr">
        <is>
          <t>EU_JD</t>
        </is>
      </c>
      <c r="I247" t="inlineStr">
        <is>
          <t>2007-04</t>
        </is>
      </c>
      <c r="J247" t="n">
        <v>1</v>
      </c>
      <c r="K247" t="n">
        <v>1</v>
      </c>
      <c r="L247" s="34">
        <f>IF($J247=1,LN(B248/B247),"")</f>
        <v/>
      </c>
      <c r="M247" s="34">
        <f>IF($K247=1,INDEX(Mensal!$D$2:$D$245,MATCH($I247,Mensal!$A$2:$A$245,0)),"")</f>
        <v/>
      </c>
      <c r="N247" s="34">
        <f>IF($K247=1,L247-M247,"")</f>
        <v/>
      </c>
      <c r="O247" s="34" t="n">
        <v>0.0004735</v>
      </c>
      <c r="P247" s="34">
        <f>IF($J247=1,LN(1+O247),"")</f>
        <v/>
      </c>
      <c r="Q247" s="34">
        <f>IF($J247=1,LN(R248/R247),"")</f>
        <v/>
      </c>
      <c r="R247" s="32" t="n">
        <v>2.0478</v>
      </c>
      <c r="S247" s="35" t="n">
        <v>11.822</v>
      </c>
      <c r="T247" s="18" t="n">
        <v>45597</v>
      </c>
      <c r="U247" s="18" t="n"/>
      <c r="V247" s="18" t="n"/>
      <c r="W247" s="18" t="n"/>
      <c r="X247" s="35" t="n"/>
      <c r="Y247" s="35" t="n">
        <v>11.822</v>
      </c>
    </row>
    <row r="248">
      <c r="A248" s="25" t="n">
        <v>39175</v>
      </c>
      <c r="B248" s="18" t="n">
        <v>46288</v>
      </c>
      <c r="C248" s="31" t="n"/>
      <c r="D248" s="32" t="n"/>
      <c r="E248" s="33" t="n">
        <v>1.3484</v>
      </c>
      <c r="F248" t="inlineStr">
        <is>
          <t>Up</t>
        </is>
      </c>
      <c r="G248" t="inlineStr">
        <is>
          <t>Down</t>
        </is>
      </c>
      <c r="H248" t="inlineStr">
        <is>
          <t>EU_JD</t>
        </is>
      </c>
      <c r="I248" t="inlineStr">
        <is>
          <t>2007-04</t>
        </is>
      </c>
      <c r="J248" t="n">
        <v>1</v>
      </c>
      <c r="K248" t="n">
        <v>1</v>
      </c>
      <c r="L248" s="34">
        <f>IF($J248=1,LN(B249/B248),"")</f>
        <v/>
      </c>
      <c r="M248" s="34">
        <f>IF($K248=1,INDEX(Mensal!$D$2:$D$245,MATCH($I248,Mensal!$A$2:$A$245,0)),"")</f>
        <v/>
      </c>
      <c r="N248" s="34">
        <f>IF($K248=1,L248-M248,"")</f>
        <v/>
      </c>
      <c r="O248" s="34" t="n">
        <v>0.00047279</v>
      </c>
      <c r="P248" s="34">
        <f>IF($J248=1,LN(1+O248),"")</f>
        <v/>
      </c>
      <c r="Q248" s="34">
        <f>IF($J248=1,LN(R249/R248),"")</f>
        <v/>
      </c>
      <c r="R248" s="32" t="n">
        <v>2.0372</v>
      </c>
      <c r="S248" s="35" t="n">
        <v>11.802</v>
      </c>
      <c r="T248" s="18" t="n">
        <v>46288</v>
      </c>
      <c r="U248" s="18" t="n"/>
      <c r="V248" s="18" t="n"/>
      <c r="W248" s="18" t="n"/>
      <c r="X248" s="35" t="n"/>
      <c r="Y248" s="35" t="n">
        <v>11.802</v>
      </c>
    </row>
    <row r="249">
      <c r="A249" s="25" t="n">
        <v>39176</v>
      </c>
      <c r="B249" s="18" t="n">
        <v>46553</v>
      </c>
      <c r="C249" s="31" t="n"/>
      <c r="D249" s="32" t="n"/>
      <c r="E249" s="33" t="n">
        <v>1.363</v>
      </c>
      <c r="F249" t="inlineStr">
        <is>
          <t>Up</t>
        </is>
      </c>
      <c r="G249" t="inlineStr">
        <is>
          <t>Down</t>
        </is>
      </c>
      <c r="H249" t="inlineStr">
        <is>
          <t>EU_JD</t>
        </is>
      </c>
      <c r="I249" t="inlineStr">
        <is>
          <t>2007-04</t>
        </is>
      </c>
      <c r="J249" t="n">
        <v>1</v>
      </c>
      <c r="K249" t="n">
        <v>1</v>
      </c>
      <c r="L249" s="34">
        <f>IF($J249=1,LN(B250/B249),"")</f>
        <v/>
      </c>
      <c r="M249" s="34">
        <f>IF($K249=1,INDEX(Mensal!$D$2:$D$245,MATCH($I249,Mensal!$A$2:$A$245,0)),"")</f>
        <v/>
      </c>
      <c r="N249" s="34">
        <f>IF($K249=1,L249-M249,"")</f>
        <v/>
      </c>
      <c r="O249" s="34" t="n">
        <v>0.00047244</v>
      </c>
      <c r="P249" s="34">
        <f>IF($J249=1,LN(1+O249),"")</f>
        <v/>
      </c>
      <c r="Q249" s="34">
        <f>IF($J249=1,LN(R250/R249),"")</f>
        <v/>
      </c>
      <c r="R249" s="32" t="n">
        <v>2.0321</v>
      </c>
      <c r="S249" s="35" t="n">
        <v>11.807</v>
      </c>
      <c r="T249" s="18" t="n">
        <v>46553</v>
      </c>
      <c r="U249" s="18" t="n"/>
      <c r="V249" s="18" t="n"/>
      <c r="W249" s="18" t="n"/>
      <c r="X249" s="35" t="n"/>
      <c r="Y249" s="35" t="n">
        <v>11.807</v>
      </c>
    </row>
    <row r="250">
      <c r="A250" s="25" t="n">
        <v>39177</v>
      </c>
      <c r="B250" s="18" t="n">
        <v>46646</v>
      </c>
      <c r="C250" s="31" t="n"/>
      <c r="D250" s="32" t="n"/>
      <c r="E250" s="33" t="n">
        <v>1.3734</v>
      </c>
      <c r="F250" t="inlineStr">
        <is>
          <t>Up</t>
        </is>
      </c>
      <c r="G250" t="inlineStr">
        <is>
          <t>Down</t>
        </is>
      </c>
      <c r="H250" t="inlineStr">
        <is>
          <t>EU_JD</t>
        </is>
      </c>
      <c r="I250" t="inlineStr">
        <is>
          <t>2007-04</t>
        </is>
      </c>
      <c r="J250" t="n">
        <v>1</v>
      </c>
      <c r="K250" t="n">
        <v>1</v>
      </c>
      <c r="L250" s="34">
        <f>IF($J250=1,LN(B251/B250),"")</f>
        <v/>
      </c>
      <c r="M250" s="34">
        <f>IF($K250=1,INDEX(Mensal!$D$2:$D$245,MATCH($I250,Mensal!$A$2:$A$245,0)),"")</f>
        <v/>
      </c>
      <c r="N250" s="34">
        <f>IF($K250=1,L250-M250,"")</f>
        <v/>
      </c>
      <c r="O250" s="34" t="n">
        <v>0.00047314</v>
      </c>
      <c r="P250" s="34">
        <f>IF($J250=1,LN(1+O250),"")</f>
        <v/>
      </c>
      <c r="Q250" s="34">
        <f>IF($J250=1,LN(R251/R250),"")</f>
        <v/>
      </c>
      <c r="R250" s="32" t="n">
        <v>2.0333</v>
      </c>
      <c r="S250" s="35" t="n">
        <v>11.811</v>
      </c>
      <c r="T250" s="18" t="n">
        <v>46646</v>
      </c>
      <c r="U250" s="18" t="n"/>
      <c r="V250" s="18" t="n"/>
      <c r="W250" s="18" t="n"/>
      <c r="X250" s="35" t="n"/>
      <c r="Y250" s="35" t="n">
        <v>11.811</v>
      </c>
    </row>
    <row r="251">
      <c r="A251" s="25" t="n">
        <v>39181</v>
      </c>
      <c r="B251" s="18" t="n">
        <v>46854</v>
      </c>
      <c r="C251" s="31" t="n"/>
      <c r="D251" s="32" t="n"/>
      <c r="E251" s="33" t="n">
        <v>1.3828</v>
      </c>
      <c r="F251" t="inlineStr">
        <is>
          <t>Up</t>
        </is>
      </c>
      <c r="G251" t="inlineStr">
        <is>
          <t>Down</t>
        </is>
      </c>
      <c r="H251" t="inlineStr">
        <is>
          <t>EU_JD</t>
        </is>
      </c>
      <c r="I251" t="inlineStr">
        <is>
          <t>2007-04</t>
        </is>
      </c>
      <c r="J251" t="n">
        <v>1</v>
      </c>
      <c r="K251" t="n">
        <v>1</v>
      </c>
      <c r="L251" s="34">
        <f>IF($J251=1,LN(B252/B251),"")</f>
        <v/>
      </c>
      <c r="M251" s="34">
        <f>IF($K251=1,INDEX(Mensal!$D$2:$D$245,MATCH($I251,Mensal!$A$2:$A$245,0)),"")</f>
        <v/>
      </c>
      <c r="N251" s="34">
        <f>IF($K251=1,L251-M251,"")</f>
        <v/>
      </c>
      <c r="O251" s="34" t="n">
        <v>0.00047279</v>
      </c>
      <c r="P251" s="34">
        <f>IF($J251=1,LN(1+O251),"")</f>
        <v/>
      </c>
      <c r="Q251" s="34">
        <f>IF($J251=1,LN(R252/R251),"")</f>
        <v/>
      </c>
      <c r="R251" s="32" t="n">
        <v>2.0236</v>
      </c>
      <c r="S251" s="35" t="n">
        <v>11.767</v>
      </c>
      <c r="T251" s="18" t="n">
        <v>46854</v>
      </c>
      <c r="U251" s="18" t="n"/>
      <c r="V251" s="18" t="n"/>
      <c r="W251" s="18" t="n"/>
      <c r="X251" s="35" t="n"/>
      <c r="Y251" s="35" t="n">
        <v>11.767</v>
      </c>
    </row>
    <row r="252">
      <c r="A252" s="25" t="n">
        <v>39182</v>
      </c>
      <c r="B252" s="18" t="n">
        <v>47174</v>
      </c>
      <c r="C252" s="31" t="n"/>
      <c r="D252" s="32" t="n"/>
      <c r="E252" s="33" t="n">
        <v>1.3827</v>
      </c>
      <c r="F252" t="inlineStr">
        <is>
          <t>Up</t>
        </is>
      </c>
      <c r="G252" t="inlineStr">
        <is>
          <t>Down</t>
        </is>
      </c>
      <c r="H252" t="inlineStr">
        <is>
          <t>EU_JD</t>
        </is>
      </c>
      <c r="I252" t="inlineStr">
        <is>
          <t>2007-04</t>
        </is>
      </c>
      <c r="J252" t="n">
        <v>1</v>
      </c>
      <c r="K252" t="n">
        <v>1</v>
      </c>
      <c r="L252" s="34">
        <f>IF($J252=1,LN(B253/B252),"")</f>
        <v/>
      </c>
      <c r="M252" s="34">
        <f>IF($K252=1,INDEX(Mensal!$D$2:$D$245,MATCH($I252,Mensal!$A$2:$A$245,0)),"")</f>
        <v/>
      </c>
      <c r="N252" s="34">
        <f>IF($K252=1,L252-M252,"")</f>
        <v/>
      </c>
      <c r="O252" s="34" t="n">
        <v>0.00047209</v>
      </c>
      <c r="P252" s="34">
        <f>IF($J252=1,LN(1+O252),"")</f>
        <v/>
      </c>
      <c r="Q252" s="34">
        <f>IF($J252=1,LN(R253/R252),"")</f>
        <v/>
      </c>
      <c r="R252" s="32" t="n">
        <v>2.0282</v>
      </c>
      <c r="S252" s="35" t="n">
        <v>11.73</v>
      </c>
      <c r="T252" s="18" t="n">
        <v>47174</v>
      </c>
      <c r="U252" s="18" t="n"/>
      <c r="V252" s="18" t="n"/>
      <c r="W252" s="18" t="n"/>
      <c r="X252" s="35" t="n"/>
      <c r="Y252" s="35" t="n">
        <v>11.73</v>
      </c>
    </row>
    <row r="253">
      <c r="A253" s="25" t="n">
        <v>39183</v>
      </c>
      <c r="B253" s="18" t="n">
        <v>46939</v>
      </c>
      <c r="C253" s="31" t="n"/>
      <c r="D253" s="32" t="n"/>
      <c r="E253" s="33" t="n">
        <v>1.3649</v>
      </c>
      <c r="F253" t="inlineStr">
        <is>
          <t>Up</t>
        </is>
      </c>
      <c r="G253" t="inlineStr">
        <is>
          <t>Down</t>
        </is>
      </c>
      <c r="H253" t="inlineStr">
        <is>
          <t>EU_JD</t>
        </is>
      </c>
      <c r="I253" t="inlineStr">
        <is>
          <t>2007-04</t>
        </is>
      </c>
      <c r="J253" t="n">
        <v>1</v>
      </c>
      <c r="K253" t="n">
        <v>1</v>
      </c>
      <c r="L253" s="34">
        <f>IF($J253=1,LN(B254/B253),"")</f>
        <v/>
      </c>
      <c r="M253" s="34">
        <f>IF($K253=1,INDEX(Mensal!$D$2:$D$245,MATCH($I253,Mensal!$A$2:$A$245,0)),"")</f>
        <v/>
      </c>
      <c r="N253" s="34">
        <f>IF($K253=1,L253-M253,"")</f>
        <v/>
      </c>
      <c r="O253" s="34" t="n">
        <v>0.00047209</v>
      </c>
      <c r="P253" s="34">
        <f>IF($J253=1,LN(1+O253),"")</f>
        <v/>
      </c>
      <c r="Q253" s="34">
        <f>IF($J253=1,LN(R254/R253),"")</f>
        <v/>
      </c>
      <c r="R253" s="32" t="n">
        <v>2.0333</v>
      </c>
      <c r="S253" s="35" t="n">
        <v>11.754</v>
      </c>
      <c r="T253" s="18" t="n">
        <v>46939</v>
      </c>
      <c r="U253" s="18" t="n"/>
      <c r="V253" s="18" t="n"/>
      <c r="W253" s="18" t="n"/>
      <c r="X253" s="35" t="n"/>
      <c r="Y253" s="35" t="n">
        <v>11.754</v>
      </c>
    </row>
    <row r="254">
      <c r="A254" s="25" t="n">
        <v>39184</v>
      </c>
      <c r="B254" s="18" t="n">
        <v>47346</v>
      </c>
      <c r="C254" s="31" t="n"/>
      <c r="D254" s="32" t="n"/>
      <c r="E254" s="33" t="n">
        <v>1.3455</v>
      </c>
      <c r="F254" t="inlineStr">
        <is>
          <t>Up</t>
        </is>
      </c>
      <c r="G254" t="inlineStr">
        <is>
          <t>Down</t>
        </is>
      </c>
      <c r="H254" t="inlineStr">
        <is>
          <t>EU_JD</t>
        </is>
      </c>
      <c r="I254" t="inlineStr">
        <is>
          <t>2007-04</t>
        </is>
      </c>
      <c r="J254" t="n">
        <v>1</v>
      </c>
      <c r="K254" t="n">
        <v>1</v>
      </c>
      <c r="L254" s="34">
        <f>IF($J254=1,LN(B255/B254),"")</f>
        <v/>
      </c>
      <c r="M254" s="34">
        <f>IF($K254=1,INDEX(Mensal!$D$2:$D$245,MATCH($I254,Mensal!$A$2:$A$245,0)),"")</f>
        <v/>
      </c>
      <c r="N254" s="34">
        <f>IF($K254=1,L254-M254,"")</f>
        <v/>
      </c>
      <c r="O254" s="34" t="n">
        <v>0.00047209</v>
      </c>
      <c r="P254" s="34">
        <f>IF($J254=1,LN(1+O254),"")</f>
        <v/>
      </c>
      <c r="Q254" s="34">
        <f>IF($J254=1,LN(R255/R254),"")</f>
        <v/>
      </c>
      <c r="R254" s="32" t="n">
        <v>2.0371</v>
      </c>
      <c r="S254" s="35" t="n">
        <v>11.795</v>
      </c>
      <c r="T254" s="18" t="n">
        <v>47346</v>
      </c>
      <c r="U254" s="18" t="n"/>
      <c r="V254" s="18" t="n"/>
      <c r="W254" s="18" t="n"/>
      <c r="X254" s="35" t="n"/>
      <c r="Y254" s="35" t="n">
        <v>11.795</v>
      </c>
    </row>
    <row r="255">
      <c r="A255" s="25" t="n">
        <v>39185</v>
      </c>
      <c r="B255" s="18" t="n">
        <v>47926</v>
      </c>
      <c r="C255" s="31" t="n"/>
      <c r="D255" s="32" t="n"/>
      <c r="E255" s="33" t="n">
        <v>1.3215</v>
      </c>
      <c r="F255" t="inlineStr">
        <is>
          <t>Up</t>
        </is>
      </c>
      <c r="G255" t="inlineStr">
        <is>
          <t>Down</t>
        </is>
      </c>
      <c r="H255" t="inlineStr">
        <is>
          <t>EU_JD</t>
        </is>
      </c>
      <c r="I255" t="inlineStr">
        <is>
          <t>2007-04</t>
        </is>
      </c>
      <c r="J255" t="n">
        <v>1</v>
      </c>
      <c r="K255" t="n">
        <v>1</v>
      </c>
      <c r="L255" s="34">
        <f>IF($J255=1,LN(B256/B255),"")</f>
        <v/>
      </c>
      <c r="M255" s="34">
        <f>IF($K255=1,INDEX(Mensal!$D$2:$D$245,MATCH($I255,Mensal!$A$2:$A$245,0)),"")</f>
        <v/>
      </c>
      <c r="N255" s="34">
        <f>IF($K255=1,L255-M255,"")</f>
        <v/>
      </c>
      <c r="O255" s="34" t="n">
        <v>0.00047209</v>
      </c>
      <c r="P255" s="34">
        <f>IF($J255=1,LN(1+O255),"")</f>
        <v/>
      </c>
      <c r="Q255" s="34">
        <f>IF($J255=1,LN(R256/R255),"")</f>
        <v/>
      </c>
      <c r="R255" s="32" t="n">
        <v>2.0231</v>
      </c>
      <c r="S255" s="35" t="n">
        <v>11.75</v>
      </c>
      <c r="T255" s="18" t="n">
        <v>47926</v>
      </c>
      <c r="U255" s="18" t="n"/>
      <c r="V255" s="18" t="n"/>
      <c r="W255" s="18" t="n"/>
      <c r="X255" s="35" t="n"/>
      <c r="Y255" s="35" t="n">
        <v>11.75</v>
      </c>
    </row>
    <row r="256">
      <c r="A256" s="25" t="n">
        <v>39188</v>
      </c>
      <c r="B256" s="18" t="n">
        <v>48921</v>
      </c>
      <c r="C256" s="31" t="n"/>
      <c r="D256" s="32" t="n"/>
      <c r="E256" s="33" t="n">
        <v>1.2614</v>
      </c>
      <c r="F256" t="inlineStr">
        <is>
          <t>Up</t>
        </is>
      </c>
      <c r="G256" t="inlineStr">
        <is>
          <t>Down</t>
        </is>
      </c>
      <c r="H256" t="inlineStr">
        <is>
          <t>EU_JD</t>
        </is>
      </c>
      <c r="I256" t="inlineStr">
        <is>
          <t>2007-04</t>
        </is>
      </c>
      <c r="J256" t="n">
        <v>1</v>
      </c>
      <c r="K256" t="n">
        <v>1</v>
      </c>
      <c r="L256" s="34">
        <f>IF($J256=1,LN(B257/B256),"")</f>
        <v/>
      </c>
      <c r="M256" s="34">
        <f>IF($K256=1,INDEX(Mensal!$D$2:$D$245,MATCH($I256,Mensal!$A$2:$A$245,0)),"")</f>
        <v/>
      </c>
      <c r="N256" s="34">
        <f>IF($K256=1,L256-M256,"")</f>
        <v/>
      </c>
      <c r="O256" s="34" t="n">
        <v>0.00047244</v>
      </c>
      <c r="P256" s="34">
        <f>IF($J256=1,LN(1+O256),"")</f>
        <v/>
      </c>
      <c r="Q256" s="34">
        <f>IF($J256=1,LN(R257/R256),"")</f>
        <v/>
      </c>
      <c r="R256" s="32" t="n">
        <v>2.034</v>
      </c>
      <c r="S256" s="35" t="n">
        <v>11.699</v>
      </c>
      <c r="T256" s="18" t="n">
        <v>48921</v>
      </c>
      <c r="U256" s="18" t="n"/>
      <c r="V256" s="18" t="n"/>
      <c r="W256" s="18" t="n"/>
      <c r="X256" s="35" t="n"/>
      <c r="Y256" s="35" t="n">
        <v>11.699</v>
      </c>
    </row>
    <row r="257">
      <c r="A257" s="25" t="n">
        <v>39189</v>
      </c>
      <c r="B257" s="18" t="n">
        <v>48755</v>
      </c>
      <c r="C257" s="31" t="n"/>
      <c r="D257" s="32" t="n"/>
      <c r="E257" s="33" t="n">
        <v>1.2083</v>
      </c>
      <c r="F257" t="inlineStr">
        <is>
          <t>Up</t>
        </is>
      </c>
      <c r="G257" t="inlineStr">
        <is>
          <t>Down</t>
        </is>
      </c>
      <c r="H257" t="inlineStr">
        <is>
          <t>EU_JD</t>
        </is>
      </c>
      <c r="I257" t="inlineStr">
        <is>
          <t>2007-04</t>
        </is>
      </c>
      <c r="J257" t="n">
        <v>1</v>
      </c>
      <c r="K257" t="n">
        <v>1</v>
      </c>
      <c r="L257" s="34">
        <f>IF($J257=1,LN(B258/B257),"")</f>
        <v/>
      </c>
      <c r="M257" s="34">
        <f>IF($K257=1,INDEX(Mensal!$D$2:$D$245,MATCH($I257,Mensal!$A$2:$A$245,0)),"")</f>
        <v/>
      </c>
      <c r="N257" s="34">
        <f>IF($K257=1,L257-M257,"")</f>
        <v/>
      </c>
      <c r="O257" s="34" t="n">
        <v>0.00047173</v>
      </c>
      <c r="P257" s="34">
        <f>IF($J257=1,LN(1+O257),"")</f>
        <v/>
      </c>
      <c r="Q257" s="34">
        <f>IF($J257=1,LN(R258/R257),"")</f>
        <v/>
      </c>
      <c r="R257" s="32" t="n">
        <v>2.0348</v>
      </c>
      <c r="S257" s="35" t="n">
        <v>11.681</v>
      </c>
      <c r="T257" s="18" t="n">
        <v>48755</v>
      </c>
      <c r="U257" s="18" t="n"/>
      <c r="V257" s="18" t="n"/>
      <c r="W257" s="18" t="n"/>
      <c r="X257" s="35" t="n"/>
      <c r="Y257" s="35" t="n">
        <v>11.681</v>
      </c>
    </row>
    <row r="258">
      <c r="A258" s="25" t="n">
        <v>39190</v>
      </c>
      <c r="B258" s="18" t="n">
        <v>48709</v>
      </c>
      <c r="C258" s="31" t="n"/>
      <c r="D258" s="32" t="n"/>
      <c r="E258" s="33" t="n">
        <v>1.1597</v>
      </c>
      <c r="F258" t="inlineStr">
        <is>
          <t>Up</t>
        </is>
      </c>
      <c r="G258" t="inlineStr">
        <is>
          <t>Down</t>
        </is>
      </c>
      <c r="H258" t="inlineStr">
        <is>
          <t>EU_JD</t>
        </is>
      </c>
      <c r="I258" t="inlineStr">
        <is>
          <t>2007-04</t>
        </is>
      </c>
      <c r="J258" t="n">
        <v>1</v>
      </c>
      <c r="K258" t="n">
        <v>1</v>
      </c>
      <c r="L258" s="34">
        <f>IF($J258=1,LN(B259/B258),"")</f>
        <v/>
      </c>
      <c r="M258" s="34">
        <f>IF($K258=1,INDEX(Mensal!$D$2:$D$245,MATCH($I258,Mensal!$A$2:$A$245,0)),"")</f>
        <v/>
      </c>
      <c r="N258" s="34">
        <f>IF($K258=1,L258-M258,"")</f>
        <v/>
      </c>
      <c r="O258" s="34" t="n">
        <v>0.00047103</v>
      </c>
      <c r="P258" s="34">
        <f>IF($J258=1,LN(1+O258),"")</f>
        <v/>
      </c>
      <c r="Q258" s="34">
        <f>IF($J258=1,LN(R259/R258),"")</f>
        <v/>
      </c>
      <c r="R258" s="32" t="n">
        <v>2.0365</v>
      </c>
      <c r="S258" s="35" t="n">
        <v>11.638</v>
      </c>
      <c r="T258" s="18" t="n">
        <v>48709</v>
      </c>
      <c r="U258" s="18" t="n"/>
      <c r="V258" s="18" t="n"/>
      <c r="W258" s="18" t="n"/>
      <c r="X258" s="35" t="n"/>
      <c r="Y258" s="35" t="n">
        <v>11.638</v>
      </c>
    </row>
    <row r="259">
      <c r="A259" s="25" t="n">
        <v>39191</v>
      </c>
      <c r="B259" s="18" t="n">
        <v>48762</v>
      </c>
      <c r="C259" s="31" t="n"/>
      <c r="D259" s="32" t="n"/>
      <c r="E259" s="33" t="n">
        <v>1.109</v>
      </c>
      <c r="F259" t="inlineStr">
        <is>
          <t>Up</t>
        </is>
      </c>
      <c r="G259" t="inlineStr">
        <is>
          <t>Down</t>
        </is>
      </c>
      <c r="H259" t="inlineStr">
        <is>
          <t>EU_JD</t>
        </is>
      </c>
      <c r="I259" t="inlineStr">
        <is>
          <t>2007-04</t>
        </is>
      </c>
      <c r="J259" t="n">
        <v>1</v>
      </c>
      <c r="K259" t="n">
        <v>1</v>
      </c>
      <c r="L259" s="34">
        <f>IF($J259=1,LN(B260/B259),"")</f>
        <v/>
      </c>
      <c r="M259" s="34">
        <f>IF($K259=1,INDEX(Mensal!$D$2:$D$245,MATCH($I259,Mensal!$A$2:$A$245,0)),"")</f>
        <v/>
      </c>
      <c r="N259" s="34">
        <f>IF($K259=1,L259-M259,"")</f>
        <v/>
      </c>
      <c r="O259" s="34" t="n">
        <v>0.00046291</v>
      </c>
      <c r="P259" s="34">
        <f>IF($J259=1,LN(1+O259),"")</f>
        <v/>
      </c>
      <c r="Q259" s="34">
        <f>IF($J259=1,LN(R260/R259),"")</f>
        <v/>
      </c>
      <c r="R259" s="32" t="n">
        <v>2.0312</v>
      </c>
      <c r="S259" s="35" t="n">
        <v>11.396</v>
      </c>
      <c r="T259" s="18" t="n">
        <v>48762</v>
      </c>
      <c r="U259" s="18" t="n"/>
      <c r="V259" s="18" t="n"/>
      <c r="W259" s="18" t="n"/>
      <c r="X259" s="35" t="n"/>
      <c r="Y259" s="35" t="n">
        <v>11.396</v>
      </c>
    </row>
    <row r="260">
      <c r="A260" s="25" t="n">
        <v>39192</v>
      </c>
      <c r="B260" s="18" t="n">
        <v>49070</v>
      </c>
      <c r="C260" s="31" t="n"/>
      <c r="D260" s="32" t="n"/>
      <c r="E260" s="33" t="n">
        <v>1.0657</v>
      </c>
      <c r="F260" t="inlineStr">
        <is>
          <t>Up</t>
        </is>
      </c>
      <c r="G260" t="inlineStr">
        <is>
          <t>Down</t>
        </is>
      </c>
      <c r="H260" t="inlineStr">
        <is>
          <t>EU_JD</t>
        </is>
      </c>
      <c r="I260" t="inlineStr">
        <is>
          <t>2007-04</t>
        </is>
      </c>
      <c r="J260" t="n">
        <v>1</v>
      </c>
      <c r="K260" t="n">
        <v>1</v>
      </c>
      <c r="L260" s="34">
        <f>IF($J260=1,LN(B261/B260),"")</f>
        <v/>
      </c>
      <c r="M260" s="34">
        <f>IF($K260=1,INDEX(Mensal!$D$2:$D$245,MATCH($I260,Mensal!$A$2:$A$245,0)),"")</f>
        <v/>
      </c>
      <c r="N260" s="34">
        <f>IF($K260=1,L260-M260,"")</f>
        <v/>
      </c>
      <c r="O260" s="34" t="n">
        <v>0.00046291</v>
      </c>
      <c r="P260" s="34">
        <f>IF($J260=1,LN(1+O260),"")</f>
        <v/>
      </c>
      <c r="Q260" s="34">
        <f>IF($J260=1,LN(R261/R260),"")</f>
        <v/>
      </c>
      <c r="R260" s="32" t="n">
        <v>2.0262</v>
      </c>
      <c r="S260" s="35" t="n">
        <v>11.336</v>
      </c>
      <c r="T260" s="18" t="n">
        <v>49070</v>
      </c>
      <c r="U260" s="18" t="n"/>
      <c r="V260" s="18" t="n"/>
      <c r="W260" s="18" t="n"/>
      <c r="X260" s="35" t="n"/>
      <c r="Y260" s="35" t="n">
        <v>11.336</v>
      </c>
    </row>
    <row r="261">
      <c r="A261" s="25" t="n">
        <v>39195</v>
      </c>
      <c r="B261" s="18" t="n">
        <v>49675</v>
      </c>
      <c r="C261" s="31" t="n"/>
      <c r="D261" s="32" t="n"/>
      <c r="E261" s="33" t="n">
        <v>1.0182</v>
      </c>
      <c r="F261" t="inlineStr">
        <is>
          <t>Up</t>
        </is>
      </c>
      <c r="G261" t="inlineStr">
        <is>
          <t>Down</t>
        </is>
      </c>
      <c r="H261" t="inlineStr">
        <is>
          <t>EU_JD</t>
        </is>
      </c>
      <c r="I261" t="inlineStr">
        <is>
          <t>2007-04</t>
        </is>
      </c>
      <c r="J261" t="n">
        <v>1</v>
      </c>
      <c r="K261" t="n">
        <v>1</v>
      </c>
      <c r="L261" s="34">
        <f>IF($J261=1,LN(B262/B261),"")</f>
        <v/>
      </c>
      <c r="M261" s="34">
        <f>IF($K261=1,INDEX(Mensal!$D$2:$D$245,MATCH($I261,Mensal!$A$2:$A$245,0)),"")</f>
        <v/>
      </c>
      <c r="N261" s="34">
        <f>IF($K261=1,L261-M261,"")</f>
        <v/>
      </c>
      <c r="O261" s="34" t="n">
        <v>0.00046256</v>
      </c>
      <c r="P261" s="34">
        <f>IF($J261=1,LN(1+O261),"")</f>
        <v/>
      </c>
      <c r="Q261" s="34">
        <f>IF($J261=1,LN(R262/R261),"")</f>
        <v/>
      </c>
      <c r="R261" s="32" t="n">
        <v>2.029</v>
      </c>
      <c r="S261" s="35" t="n">
        <v>11.326</v>
      </c>
      <c r="T261" s="18" t="n">
        <v>49675</v>
      </c>
      <c r="U261" s="18" t="n"/>
      <c r="V261" s="18" t="n"/>
      <c r="W261" s="18" t="n"/>
      <c r="X261" s="35" t="n"/>
      <c r="Y261" s="35" t="n">
        <v>11.326</v>
      </c>
    </row>
    <row r="262">
      <c r="A262" s="25" t="n">
        <v>39196</v>
      </c>
      <c r="B262" s="18" t="n">
        <v>49408</v>
      </c>
      <c r="C262" s="31" t="n"/>
      <c r="D262" s="32" t="n"/>
      <c r="E262" s="33" t="n">
        <v>0.968</v>
      </c>
      <c r="F262" t="inlineStr">
        <is>
          <t>Up</t>
        </is>
      </c>
      <c r="G262" t="inlineStr">
        <is>
          <t>Down</t>
        </is>
      </c>
      <c r="H262" t="inlineStr">
        <is>
          <t>EU_JD</t>
        </is>
      </c>
      <c r="I262" t="inlineStr">
        <is>
          <t>2007-04</t>
        </is>
      </c>
      <c r="J262" t="n">
        <v>1</v>
      </c>
      <c r="K262" t="n">
        <v>1</v>
      </c>
      <c r="L262" s="34">
        <f>IF($J262=1,LN(B263/B262),"")</f>
        <v/>
      </c>
      <c r="M262" s="34">
        <f>IF($K262=1,INDEX(Mensal!$D$2:$D$245,MATCH($I262,Mensal!$A$2:$A$245,0)),"")</f>
        <v/>
      </c>
      <c r="N262" s="34">
        <f>IF($K262=1,L262-M262,"")</f>
        <v/>
      </c>
      <c r="O262" s="34" t="n">
        <v>0.00046185</v>
      </c>
      <c r="P262" s="34">
        <f>IF($J262=1,LN(1+O262),"")</f>
        <v/>
      </c>
      <c r="Q262" s="34">
        <f>IF($J262=1,LN(R263/R262),"")</f>
        <v/>
      </c>
      <c r="R262" s="32" t="n">
        <v>2.0385</v>
      </c>
      <c r="S262" s="35" t="n">
        <v>11.343</v>
      </c>
      <c r="T262" s="18" t="n">
        <v>49408</v>
      </c>
      <c r="U262" s="18" t="n"/>
      <c r="V262" s="18" t="n"/>
      <c r="W262" s="18" t="n"/>
      <c r="X262" s="35" t="n"/>
      <c r="Y262" s="35" t="n">
        <v>11.343</v>
      </c>
    </row>
    <row r="263">
      <c r="A263" s="25" t="n">
        <v>39197</v>
      </c>
      <c r="B263" s="18" t="n">
        <v>49162</v>
      </c>
      <c r="C263" s="31" t="n"/>
      <c r="D263" s="32" t="n"/>
      <c r="E263" s="33" t="n">
        <v>0.907</v>
      </c>
      <c r="F263" t="inlineStr">
        <is>
          <t>Up</t>
        </is>
      </c>
      <c r="G263" t="inlineStr">
        <is>
          <t>Down</t>
        </is>
      </c>
      <c r="H263" t="inlineStr">
        <is>
          <t>EU_JD</t>
        </is>
      </c>
      <c r="I263" t="inlineStr">
        <is>
          <t>2007-04</t>
        </is>
      </c>
      <c r="J263" t="n">
        <v>1</v>
      </c>
      <c r="K263" t="n">
        <v>1</v>
      </c>
      <c r="L263" s="34">
        <f>IF($J263=1,LN(B264/B263),"")</f>
        <v/>
      </c>
      <c r="M263" s="34">
        <f>IF($K263=1,INDEX(Mensal!$D$2:$D$245,MATCH($I263,Mensal!$A$2:$A$245,0)),"")</f>
        <v/>
      </c>
      <c r="N263" s="34">
        <f>IF($K263=1,L263-M263,"")</f>
        <v/>
      </c>
      <c r="O263" s="34" t="n">
        <v>0.0004614999999999999</v>
      </c>
      <c r="P263" s="34">
        <f>IF($J263=1,LN(1+O263),"")</f>
        <v/>
      </c>
      <c r="Q263" s="34">
        <f>IF($J263=1,LN(R264/R263),"")</f>
        <v/>
      </c>
      <c r="R263" s="32" t="n">
        <v>2.0236</v>
      </c>
      <c r="S263" s="35" t="n">
        <v>11.27</v>
      </c>
      <c r="T263" s="18" t="n">
        <v>49162</v>
      </c>
      <c r="U263" s="18" t="n"/>
      <c r="V263" s="18" t="n"/>
      <c r="W263" s="18" t="n"/>
      <c r="X263" s="35" t="n"/>
      <c r="Y263" s="35" t="n">
        <v>11.27</v>
      </c>
    </row>
    <row r="264">
      <c r="A264" s="25" t="n">
        <v>39198</v>
      </c>
      <c r="B264" s="18" t="n">
        <v>49067</v>
      </c>
      <c r="C264" s="31" t="n"/>
      <c r="D264" s="32" t="n"/>
      <c r="E264" s="33" t="n">
        <v>0.8452</v>
      </c>
      <c r="F264" t="inlineStr">
        <is>
          <t>Up</t>
        </is>
      </c>
      <c r="G264" t="inlineStr">
        <is>
          <t>Down</t>
        </is>
      </c>
      <c r="H264" t="inlineStr">
        <is>
          <t>EU_JD</t>
        </is>
      </c>
      <c r="I264" t="inlineStr">
        <is>
          <t>2007-04</t>
        </is>
      </c>
      <c r="J264" t="n">
        <v>1</v>
      </c>
      <c r="K264" t="n">
        <v>1</v>
      </c>
      <c r="L264" s="34">
        <f>IF($J264=1,LN(B265/B264),"")</f>
        <v/>
      </c>
      <c r="M264" s="34">
        <f>IF($K264=1,INDEX(Mensal!$D$2:$D$245,MATCH($I264,Mensal!$A$2:$A$245,0)),"")</f>
        <v/>
      </c>
      <c r="N264" s="34">
        <f>IF($K264=1,L264-M264,"")</f>
        <v/>
      </c>
      <c r="O264" s="34" t="n">
        <v>0.0004614999999999999</v>
      </c>
      <c r="P264" s="34">
        <f>IF($J264=1,LN(1+O264),"")</f>
        <v/>
      </c>
      <c r="Q264" s="34">
        <f>IF($J264=1,LN(R265/R264),"")</f>
        <v/>
      </c>
      <c r="R264" s="32" t="n">
        <v>2.0252</v>
      </c>
      <c r="S264" s="35" t="n">
        <v>11.302</v>
      </c>
      <c r="T264" s="18" t="n">
        <v>49067</v>
      </c>
      <c r="U264" s="18" t="n"/>
      <c r="V264" s="18" t="n"/>
      <c r="W264" s="18" t="n"/>
      <c r="X264" s="35" t="n"/>
      <c r="Y264" s="35" t="n">
        <v>11.302</v>
      </c>
    </row>
    <row r="265">
      <c r="A265" s="25" t="n">
        <v>39199</v>
      </c>
      <c r="B265" s="18" t="n">
        <v>49229</v>
      </c>
      <c r="C265" s="31" t="n"/>
      <c r="D265" s="32" t="n"/>
      <c r="E265" s="33" t="n">
        <v>0.7828000000000001</v>
      </c>
      <c r="F265" t="inlineStr">
        <is>
          <t>Up</t>
        </is>
      </c>
      <c r="G265" t="inlineStr">
        <is>
          <t>Down</t>
        </is>
      </c>
      <c r="H265" t="inlineStr">
        <is>
          <t>EU_JD</t>
        </is>
      </c>
      <c r="I265" t="inlineStr">
        <is>
          <t>2007-04</t>
        </is>
      </c>
      <c r="J265" t="n">
        <v>1</v>
      </c>
      <c r="K265" t="n">
        <v>1</v>
      </c>
      <c r="L265" s="34">
        <f>IF($J265=1,LN(B266/B265),"")</f>
        <v/>
      </c>
      <c r="M265" s="34">
        <f>IF($K265=1,INDEX(Mensal!$D$2:$D$245,MATCH($I265,Mensal!$A$2:$A$245,0)),"")</f>
        <v/>
      </c>
      <c r="N265" s="34">
        <f>IF($K265=1,L265-M265,"")</f>
        <v/>
      </c>
      <c r="O265" s="34" t="n">
        <v>0.0004614999999999999</v>
      </c>
      <c r="P265" s="34">
        <f>IF($J265=1,LN(1+O265),"")</f>
        <v/>
      </c>
      <c r="Q265" s="34">
        <f>IF($J265=1,LN(R266/R265),"")</f>
        <v/>
      </c>
      <c r="R265" s="32" t="n">
        <v>2.0321</v>
      </c>
      <c r="S265" s="35" t="n">
        <v>11.309</v>
      </c>
      <c r="T265" s="18" t="n">
        <v>49229</v>
      </c>
      <c r="U265" s="18" t="n"/>
      <c r="V265" s="18" t="n"/>
      <c r="W265" s="18" t="n"/>
      <c r="X265" s="35" t="n"/>
      <c r="Y265" s="35" t="n">
        <v>11.309</v>
      </c>
    </row>
    <row r="266">
      <c r="A266" s="25" t="n">
        <v>39202</v>
      </c>
      <c r="B266" s="18" t="n">
        <v>48956</v>
      </c>
      <c r="C266" s="31" t="n"/>
      <c r="D266" s="32" t="n"/>
      <c r="E266" s="33" t="n">
        <v>0.7236</v>
      </c>
      <c r="F266" t="inlineStr">
        <is>
          <t>Up</t>
        </is>
      </c>
      <c r="G266" t="inlineStr">
        <is>
          <t>Down</t>
        </is>
      </c>
      <c r="H266" t="inlineStr">
        <is>
          <t>EU_JD</t>
        </is>
      </c>
      <c r="I266" t="inlineStr">
        <is>
          <t>2007-04</t>
        </is>
      </c>
      <c r="J266" t="n">
        <v>1</v>
      </c>
      <c r="K266" t="n">
        <v>1</v>
      </c>
      <c r="L266" s="34">
        <f>IF($J266=1,LN(B267/B266),"")</f>
        <v/>
      </c>
      <c r="M266" s="34">
        <f>IF($K266=1,INDEX(Mensal!$D$2:$D$245,MATCH($I266,Mensal!$A$2:$A$245,0)),"")</f>
        <v/>
      </c>
      <c r="N266" s="34">
        <f>IF($K266=1,L266-M266,"")</f>
        <v/>
      </c>
      <c r="O266" s="34" t="n">
        <v>0.0004614999999999999</v>
      </c>
      <c r="P266" s="34">
        <f>IF($J266=1,LN(1+O266),"")</f>
        <v/>
      </c>
      <c r="Q266" s="34">
        <f>IF($J266=1,LN(R267/R266),"")</f>
        <v/>
      </c>
      <c r="R266" s="32" t="n">
        <v>2.0339</v>
      </c>
      <c r="S266" s="35" t="n">
        <v>11.306</v>
      </c>
      <c r="T266" s="18" t="n">
        <v>48956</v>
      </c>
      <c r="U266" s="18" t="n"/>
      <c r="V266" s="18" t="n"/>
      <c r="W266" s="18" t="n"/>
      <c r="X266" s="35" t="n"/>
      <c r="Y266" s="35" t="n">
        <v>11.306</v>
      </c>
    </row>
    <row r="267">
      <c r="A267" s="25" t="n">
        <v>39204</v>
      </c>
      <c r="B267" s="18" t="n">
        <v>49471</v>
      </c>
      <c r="C267" s="31" t="n"/>
      <c r="D267" s="32" t="n"/>
      <c r="E267" s="33" t="n">
        <v>0.6623</v>
      </c>
      <c r="F267" t="inlineStr">
        <is>
          <t>Up</t>
        </is>
      </c>
      <c r="G267" t="inlineStr">
        <is>
          <t>Down</t>
        </is>
      </c>
      <c r="H267" t="inlineStr">
        <is>
          <t>EU_JD</t>
        </is>
      </c>
      <c r="I267" t="inlineStr">
        <is>
          <t>2007-05</t>
        </is>
      </c>
      <c r="J267" t="n">
        <v>1</v>
      </c>
      <c r="K267" t="n">
        <v>1</v>
      </c>
      <c r="L267" s="34">
        <f>IF($J267=1,LN(B268/B267),"")</f>
        <v/>
      </c>
      <c r="M267" s="34">
        <f>IF($K267=1,INDEX(Mensal!$D$2:$D$245,MATCH($I267,Mensal!$A$2:$A$245,0)),"")</f>
        <v/>
      </c>
      <c r="N267" s="34">
        <f>IF($K267=1,L267-M267,"")</f>
        <v/>
      </c>
      <c r="O267" s="34" t="n">
        <v>0.0004614999999999999</v>
      </c>
      <c r="P267" s="34">
        <f>IF($J267=1,LN(1+O267),"")</f>
        <v/>
      </c>
      <c r="Q267" s="34">
        <f>IF($J267=1,LN(R268/R267),"")</f>
        <v/>
      </c>
      <c r="R267" s="32" t="n">
        <v>2.0268</v>
      </c>
      <c r="S267" s="35" t="n">
        <v>11.253</v>
      </c>
      <c r="T267" s="18" t="n">
        <v>49471</v>
      </c>
      <c r="U267" s="18" t="n"/>
      <c r="V267" s="18" t="n"/>
      <c r="W267" s="18" t="n"/>
      <c r="X267" s="35" t="n"/>
      <c r="Y267" s="35" t="n">
        <v>11.253</v>
      </c>
    </row>
    <row r="268">
      <c r="A268" s="25" t="n">
        <v>39205</v>
      </c>
      <c r="B268" s="18" t="n">
        <v>50218</v>
      </c>
      <c r="C268" s="31" t="n"/>
      <c r="D268" s="32" t="n"/>
      <c r="E268" s="33" t="n">
        <v>0.5944</v>
      </c>
      <c r="F268" t="inlineStr">
        <is>
          <t>Up</t>
        </is>
      </c>
      <c r="G268" t="inlineStr">
        <is>
          <t>Down</t>
        </is>
      </c>
      <c r="H268" t="inlineStr">
        <is>
          <t>EU_JD</t>
        </is>
      </c>
      <c r="I268" t="inlineStr">
        <is>
          <t>2007-05</t>
        </is>
      </c>
      <c r="J268" t="n">
        <v>1</v>
      </c>
      <c r="K268" t="n">
        <v>1</v>
      </c>
      <c r="L268" s="34">
        <f>IF($J268=1,LN(B269/B268),"")</f>
        <v/>
      </c>
      <c r="M268" s="34">
        <f>IF($K268=1,INDEX(Mensal!$D$2:$D$245,MATCH($I268,Mensal!$A$2:$A$245,0)),"")</f>
        <v/>
      </c>
      <c r="N268" s="34">
        <f>IF($K268=1,L268-M268,"")</f>
        <v/>
      </c>
      <c r="O268" s="34" t="n">
        <v>0.0004614999999999999</v>
      </c>
      <c r="P268" s="34">
        <f>IF($J268=1,LN(1+O268),"")</f>
        <v/>
      </c>
      <c r="Q268" s="34">
        <f>IF($J268=1,LN(R269/R268),"")</f>
        <v/>
      </c>
      <c r="R268" s="32" t="n">
        <v>2.0239</v>
      </c>
      <c r="S268" s="35" t="n">
        <v>11.227</v>
      </c>
      <c r="T268" s="18" t="n">
        <v>50218</v>
      </c>
      <c r="U268" s="18" t="n"/>
      <c r="V268" s="18" t="n"/>
      <c r="W268" s="18" t="n"/>
      <c r="X268" s="35" t="n"/>
      <c r="Y268" s="35" t="n">
        <v>11.227</v>
      </c>
    </row>
    <row r="269">
      <c r="A269" s="25" t="n">
        <v>39206</v>
      </c>
      <c r="B269" s="18" t="n">
        <v>50597</v>
      </c>
      <c r="C269" s="31" t="n"/>
      <c r="D269" s="32" t="n"/>
      <c r="E269" s="33" t="n">
        <v>0.5241</v>
      </c>
      <c r="F269" t="inlineStr">
        <is>
          <t>Up</t>
        </is>
      </c>
      <c r="G269" t="inlineStr">
        <is>
          <t>Down</t>
        </is>
      </c>
      <c r="H269" t="inlineStr">
        <is>
          <t>EU_JD</t>
        </is>
      </c>
      <c r="I269" t="inlineStr">
        <is>
          <t>2007-05</t>
        </is>
      </c>
      <c r="J269" t="n">
        <v>1</v>
      </c>
      <c r="K269" t="n">
        <v>1</v>
      </c>
      <c r="L269" s="34">
        <f>IF($J269=1,LN(B270/B269),"")</f>
        <v/>
      </c>
      <c r="M269" s="34">
        <f>IF($K269=1,INDEX(Mensal!$D$2:$D$245,MATCH($I269,Mensal!$A$2:$A$245,0)),"")</f>
        <v/>
      </c>
      <c r="N269" s="34">
        <f>IF($K269=1,L269-M269,"")</f>
        <v/>
      </c>
      <c r="O269" s="34" t="n">
        <v>0.00046185</v>
      </c>
      <c r="P269" s="34">
        <f>IF($J269=1,LN(1+O269),"")</f>
        <v/>
      </c>
      <c r="Q269" s="34">
        <f>IF($J269=1,LN(R270/R269),"")</f>
        <v/>
      </c>
      <c r="R269" s="32" t="n">
        <v>2.0309</v>
      </c>
      <c r="S269" s="35" t="n">
        <v>11.159</v>
      </c>
      <c r="T269" s="18" t="n">
        <v>50597</v>
      </c>
      <c r="U269" s="18" t="n"/>
      <c r="V269" s="18" t="n"/>
      <c r="W269" s="18" t="n"/>
      <c r="X269" s="35" t="n"/>
      <c r="Y269" s="35" t="n">
        <v>11.159</v>
      </c>
    </row>
    <row r="270">
      <c r="A270" s="25" t="n">
        <v>39209</v>
      </c>
      <c r="B270" s="18" t="n">
        <v>50281</v>
      </c>
      <c r="C270" s="31" t="n"/>
      <c r="D270" s="32" t="n"/>
      <c r="E270" s="33" t="n">
        <v>0.4537</v>
      </c>
      <c r="F270" t="inlineStr">
        <is>
          <t>Up</t>
        </is>
      </c>
      <c r="G270" t="inlineStr">
        <is>
          <t>Down</t>
        </is>
      </c>
      <c r="H270" t="inlineStr">
        <is>
          <t>EU_JD</t>
        </is>
      </c>
      <c r="I270" t="inlineStr">
        <is>
          <t>2007-05</t>
        </is>
      </c>
      <c r="J270" t="n">
        <v>1</v>
      </c>
      <c r="K270" t="n">
        <v>1</v>
      </c>
      <c r="L270" s="34">
        <f>IF($J270=1,LN(B271/B270),"")</f>
        <v/>
      </c>
      <c r="M270" s="34">
        <f>IF($K270=1,INDEX(Mensal!$D$2:$D$245,MATCH($I270,Mensal!$A$2:$A$245,0)),"")</f>
        <v/>
      </c>
      <c r="N270" s="34">
        <f>IF($K270=1,L270-M270,"")</f>
        <v/>
      </c>
      <c r="O270" s="34" t="n">
        <v>0.00046256</v>
      </c>
      <c r="P270" s="34">
        <f>IF($J270=1,LN(1+O270),"")</f>
        <v/>
      </c>
      <c r="Q270" s="34">
        <f>IF($J270=1,LN(R271/R270),"")</f>
        <v/>
      </c>
      <c r="R270" s="32" t="n">
        <v>2.0266</v>
      </c>
      <c r="S270" s="35" t="n">
        <v>11.149</v>
      </c>
      <c r="T270" s="18" t="n">
        <v>50281</v>
      </c>
      <c r="U270" s="18" t="n"/>
      <c r="V270" s="18" t="n"/>
      <c r="W270" s="18" t="n"/>
      <c r="X270" s="35" t="n"/>
      <c r="Y270" s="35" t="n">
        <v>11.149</v>
      </c>
    </row>
    <row r="271">
      <c r="A271" s="25" t="n">
        <v>39210</v>
      </c>
      <c r="B271" s="18" t="n">
        <v>50277</v>
      </c>
      <c r="C271" s="31" t="n"/>
      <c r="D271" s="32" t="n"/>
      <c r="E271" s="33" t="n">
        <v>0.3956</v>
      </c>
      <c r="F271" t="inlineStr">
        <is>
          <t>Up</t>
        </is>
      </c>
      <c r="G271" t="inlineStr">
        <is>
          <t>Down</t>
        </is>
      </c>
      <c r="H271" t="inlineStr">
        <is>
          <t>EU_JD</t>
        </is>
      </c>
      <c r="I271" t="inlineStr">
        <is>
          <t>2007-05</t>
        </is>
      </c>
      <c r="J271" t="n">
        <v>1</v>
      </c>
      <c r="K271" t="n">
        <v>1</v>
      </c>
      <c r="L271" s="34">
        <f>IF($J271=1,LN(B272/B271),"")</f>
        <v/>
      </c>
      <c r="M271" s="34">
        <f>IF($K271=1,INDEX(Mensal!$D$2:$D$245,MATCH($I271,Mensal!$A$2:$A$245,0)),"")</f>
        <v/>
      </c>
      <c r="N271" s="34">
        <f>IF($K271=1,L271-M271,"")</f>
        <v/>
      </c>
      <c r="O271" s="34" t="n">
        <v>0.00046221</v>
      </c>
      <c r="P271" s="34">
        <f>IF($J271=1,LN(1+O271),"")</f>
        <v/>
      </c>
      <c r="Q271" s="34">
        <f>IF($J271=1,LN(R272/R271),"")</f>
        <v/>
      </c>
      <c r="R271" s="32" t="n">
        <v>2.0226</v>
      </c>
      <c r="S271" s="35" t="n">
        <v>11.159</v>
      </c>
      <c r="T271" s="18" t="n">
        <v>50277</v>
      </c>
      <c r="U271" s="18" t="n"/>
      <c r="V271" s="18" t="n"/>
      <c r="W271" s="18" t="n"/>
      <c r="X271" s="35" t="n"/>
      <c r="Y271" s="35" t="n">
        <v>11.159</v>
      </c>
    </row>
    <row r="272">
      <c r="A272" s="25" t="n">
        <v>39211</v>
      </c>
      <c r="B272" s="18" t="n">
        <v>51300</v>
      </c>
      <c r="C272" s="31" t="n"/>
      <c r="D272" s="32" t="n"/>
      <c r="E272" s="33" t="n">
        <v>0.338</v>
      </c>
      <c r="F272" t="inlineStr">
        <is>
          <t>Up</t>
        </is>
      </c>
      <c r="G272" t="inlineStr">
        <is>
          <t>Down</t>
        </is>
      </c>
      <c r="H272" t="inlineStr">
        <is>
          <t>EU_JD</t>
        </is>
      </c>
      <c r="I272" t="inlineStr">
        <is>
          <t>2007-05</t>
        </is>
      </c>
      <c r="J272" t="n">
        <v>1</v>
      </c>
      <c r="K272" t="n">
        <v>1</v>
      </c>
      <c r="L272" s="34">
        <f>IF($J272=1,LN(B273/B272),"")</f>
        <v/>
      </c>
      <c r="M272" s="34">
        <f>IF($K272=1,INDEX(Mensal!$D$2:$D$245,MATCH($I272,Mensal!$A$2:$A$245,0)),"")</f>
        <v/>
      </c>
      <c r="N272" s="34">
        <f>IF($K272=1,L272-M272,"")</f>
        <v/>
      </c>
      <c r="O272" s="34" t="n">
        <v>0.00046221</v>
      </c>
      <c r="P272" s="34">
        <f>IF($J272=1,LN(1+O272),"")</f>
        <v/>
      </c>
      <c r="Q272" s="34">
        <f>IF($J272=1,LN(R273/R272),"")</f>
        <v/>
      </c>
      <c r="R272" s="32" t="n">
        <v>2.0222</v>
      </c>
      <c r="S272" s="35" t="n">
        <v>11.141</v>
      </c>
      <c r="T272" s="18" t="n">
        <v>51300</v>
      </c>
      <c r="U272" s="18" t="n"/>
      <c r="V272" s="18" t="n"/>
      <c r="W272" s="18" t="n"/>
      <c r="X272" s="35" t="n"/>
      <c r="Y272" s="35" t="n">
        <v>11.141</v>
      </c>
    </row>
    <row r="273">
      <c r="A273" s="25" t="n">
        <v>39212</v>
      </c>
      <c r="B273" s="18" t="n">
        <v>50234</v>
      </c>
      <c r="C273" s="31" t="n"/>
      <c r="D273" s="32" t="n"/>
      <c r="E273" s="33" t="n">
        <v>0.2766</v>
      </c>
      <c r="F273" t="inlineStr">
        <is>
          <t>Up</t>
        </is>
      </c>
      <c r="G273" t="inlineStr">
        <is>
          <t>Down</t>
        </is>
      </c>
      <c r="H273" t="inlineStr">
        <is>
          <t>EU_JD</t>
        </is>
      </c>
      <c r="I273" t="inlineStr">
        <is>
          <t>2007-05</t>
        </is>
      </c>
      <c r="J273" t="n">
        <v>1</v>
      </c>
      <c r="K273" t="n">
        <v>1</v>
      </c>
      <c r="L273" s="34">
        <f>IF($J273=1,LN(B274/B273),"")</f>
        <v/>
      </c>
      <c r="M273" s="34">
        <f>IF($K273=1,INDEX(Mensal!$D$2:$D$245,MATCH($I273,Mensal!$A$2:$A$245,0)),"")</f>
        <v/>
      </c>
      <c r="N273" s="34">
        <f>IF($K273=1,L273-M273,"")</f>
        <v/>
      </c>
      <c r="O273" s="34" t="n">
        <v>0.00046256</v>
      </c>
      <c r="P273" s="34">
        <f>IF($J273=1,LN(1+O273),"")</f>
        <v/>
      </c>
      <c r="Q273" s="34">
        <f>IF($J273=1,LN(R274/R273),"")</f>
        <v/>
      </c>
      <c r="R273" s="32" t="n">
        <v>2.0217</v>
      </c>
      <c r="S273" s="35" t="n">
        <v>11.157</v>
      </c>
      <c r="T273" s="18" t="n">
        <v>50234</v>
      </c>
      <c r="U273" s="18" t="n"/>
      <c r="V273" s="18" t="n"/>
      <c r="W273" s="18" t="n"/>
      <c r="X273" s="35" t="n"/>
      <c r="Y273" s="35" t="n">
        <v>11.157</v>
      </c>
    </row>
    <row r="274">
      <c r="A274" s="25" t="n">
        <v>39213</v>
      </c>
      <c r="B274" s="18" t="n">
        <v>50902</v>
      </c>
      <c r="C274" s="31" t="n"/>
      <c r="D274" s="32" t="n"/>
      <c r="E274" s="33" t="n">
        <v>0.2105</v>
      </c>
      <c r="F274" t="inlineStr">
        <is>
          <t>Up</t>
        </is>
      </c>
      <c r="G274" t="inlineStr">
        <is>
          <t>Down</t>
        </is>
      </c>
      <c r="H274" t="inlineStr">
        <is>
          <t>EU_JD</t>
        </is>
      </c>
      <c r="I274" t="inlineStr">
        <is>
          <t>2007-05</t>
        </is>
      </c>
      <c r="J274" t="n">
        <v>1</v>
      </c>
      <c r="K274" t="n">
        <v>1</v>
      </c>
      <c r="L274" s="34">
        <f>IF($J274=1,LN(B275/B274),"")</f>
        <v/>
      </c>
      <c r="M274" s="34">
        <f>IF($K274=1,INDEX(Mensal!$D$2:$D$245,MATCH($I274,Mensal!$A$2:$A$245,0)),"")</f>
        <v/>
      </c>
      <c r="N274" s="34">
        <f>IF($K274=1,L274-M274,"")</f>
        <v/>
      </c>
      <c r="O274" s="34" t="n">
        <v>0.00046221</v>
      </c>
      <c r="P274" s="34">
        <f>IF($J274=1,LN(1+O274),"")</f>
        <v/>
      </c>
      <c r="Q274" s="34">
        <f>IF($J274=1,LN(R275/R274),"")</f>
        <v/>
      </c>
      <c r="R274" s="32" t="n">
        <v>2.0194</v>
      </c>
      <c r="S274" s="35" t="n">
        <v>11.138</v>
      </c>
      <c r="T274" s="18" t="n">
        <v>50902</v>
      </c>
      <c r="U274" s="18" t="n"/>
      <c r="V274" s="18" t="n"/>
      <c r="W274" s="18" t="n"/>
      <c r="X274" s="35" t="n"/>
      <c r="Y274" s="35" t="n">
        <v>11.138</v>
      </c>
    </row>
    <row r="275">
      <c r="A275" s="25" t="n">
        <v>39216</v>
      </c>
      <c r="B275" s="18" t="n">
        <v>50510</v>
      </c>
      <c r="C275" s="31" t="n"/>
      <c r="D275" s="32" t="n"/>
      <c r="E275" s="33" t="n">
        <v>0.1666</v>
      </c>
      <c r="F275" t="inlineStr">
        <is>
          <t>Up</t>
        </is>
      </c>
      <c r="G275" t="inlineStr">
        <is>
          <t>Down</t>
        </is>
      </c>
      <c r="H275" t="inlineStr">
        <is>
          <t>EU_JD</t>
        </is>
      </c>
      <c r="I275" t="inlineStr">
        <is>
          <t>2007-05</t>
        </is>
      </c>
      <c r="J275" t="n">
        <v>1</v>
      </c>
      <c r="K275" t="n">
        <v>1</v>
      </c>
      <c r="L275" s="34">
        <f>IF($J275=1,LN(B276/B275),"")</f>
        <v/>
      </c>
      <c r="M275" s="34">
        <f>IF($K275=1,INDEX(Mensal!$D$2:$D$245,MATCH($I275,Mensal!$A$2:$A$245,0)),"")</f>
        <v/>
      </c>
      <c r="N275" s="34">
        <f>IF($K275=1,L275-M275,"")</f>
        <v/>
      </c>
      <c r="O275" s="34" t="n">
        <v>0.00046256</v>
      </c>
      <c r="P275" s="34">
        <f>IF($J275=1,LN(1+O275),"")</f>
        <v/>
      </c>
      <c r="Q275" s="34">
        <f>IF($J275=1,LN(R276/R275),"")</f>
        <v/>
      </c>
      <c r="R275" s="32" t="n">
        <v>2.0138</v>
      </c>
      <c r="S275" s="35" t="n">
        <v>11.138</v>
      </c>
      <c r="T275" s="18" t="n">
        <v>50510</v>
      </c>
      <c r="U275" s="18" t="n"/>
      <c r="V275" s="18" t="n"/>
      <c r="W275" s="18" t="n"/>
      <c r="X275" s="35" t="n"/>
      <c r="Y275" s="35" t="n">
        <v>11.138</v>
      </c>
    </row>
    <row r="276">
      <c r="A276" s="25" t="n">
        <v>39217</v>
      </c>
      <c r="B276" s="18" t="n">
        <v>50518</v>
      </c>
      <c r="C276" s="31" t="n"/>
      <c r="D276" s="32" t="n"/>
      <c r="E276" s="33" t="n">
        <v>0.115</v>
      </c>
      <c r="F276" t="inlineStr">
        <is>
          <t>Up</t>
        </is>
      </c>
      <c r="G276" t="inlineStr">
        <is>
          <t>Down</t>
        </is>
      </c>
      <c r="H276" t="inlineStr">
        <is>
          <t>EU_JD</t>
        </is>
      </c>
      <c r="I276" t="inlineStr">
        <is>
          <t>2007-05</t>
        </is>
      </c>
      <c r="J276" t="n">
        <v>1</v>
      </c>
      <c r="K276" t="n">
        <v>1</v>
      </c>
      <c r="L276" s="34">
        <f>IF($J276=1,LN(B277/B276),"")</f>
        <v/>
      </c>
      <c r="M276" s="34">
        <f>IF($K276=1,INDEX(Mensal!$D$2:$D$245,MATCH($I276,Mensal!$A$2:$A$245,0)),"")</f>
        <v/>
      </c>
      <c r="N276" s="34">
        <f>IF($K276=1,L276-M276,"")</f>
        <v/>
      </c>
      <c r="O276" s="34" t="n">
        <v>0.00046221</v>
      </c>
      <c r="P276" s="34">
        <f>IF($J276=1,LN(1+O276),"")</f>
        <v/>
      </c>
      <c r="Q276" s="34">
        <f>IF($J276=1,LN(R277/R276),"")</f>
        <v/>
      </c>
      <c r="R276" s="32" t="n">
        <v>1.9922</v>
      </c>
      <c r="S276" s="35" t="n">
        <v>11.138</v>
      </c>
      <c r="T276" s="18" t="n">
        <v>50518</v>
      </c>
      <c r="U276" s="18" t="n"/>
      <c r="V276" s="18" t="n"/>
      <c r="W276" s="18" t="n"/>
      <c r="X276" s="35" t="n"/>
      <c r="Y276" s="35" t="n">
        <v>11.138</v>
      </c>
    </row>
    <row r="277">
      <c r="A277" s="25" t="n">
        <v>39218</v>
      </c>
      <c r="B277" s="18" t="n">
        <v>51737</v>
      </c>
      <c r="C277" s="31" t="n"/>
      <c r="D277" s="32" t="n"/>
      <c r="E277" s="33" t="n">
        <v>0.0701</v>
      </c>
      <c r="F277" t="inlineStr">
        <is>
          <t>Up</t>
        </is>
      </c>
      <c r="G277" t="inlineStr">
        <is>
          <t>Down</t>
        </is>
      </c>
      <c r="H277" t="inlineStr">
        <is>
          <t>EU_JD</t>
        </is>
      </c>
      <c r="I277" t="inlineStr">
        <is>
          <t>2007-05</t>
        </is>
      </c>
      <c r="J277" t="n">
        <v>1</v>
      </c>
      <c r="K277" t="n">
        <v>1</v>
      </c>
      <c r="L277" s="34">
        <f>IF($J277=1,LN(B278/B277),"")</f>
        <v/>
      </c>
      <c r="M277" s="34">
        <f>IF($K277=1,INDEX(Mensal!$D$2:$D$245,MATCH($I277,Mensal!$A$2:$A$245,0)),"")</f>
        <v/>
      </c>
      <c r="N277" s="34">
        <f>IF($K277=1,L277-M277,"")</f>
        <v/>
      </c>
      <c r="O277" s="34" t="n">
        <v>0.00046185</v>
      </c>
      <c r="P277" s="34">
        <f>IF($J277=1,LN(1+O277),"")</f>
        <v/>
      </c>
      <c r="Q277" s="34">
        <f>IF($J277=1,LN(R278/R277),"")</f>
        <v/>
      </c>
      <c r="R277" s="32" t="n">
        <v>1.9586</v>
      </c>
      <c r="S277" s="35" t="n">
        <v>10.943</v>
      </c>
      <c r="T277" s="18" t="n">
        <v>51737</v>
      </c>
      <c r="U277" s="18" t="n"/>
      <c r="V277" s="18" t="n"/>
      <c r="W277" s="18" t="n"/>
      <c r="X277" s="35" t="n"/>
      <c r="Y277" s="35" t="n">
        <v>10.943</v>
      </c>
    </row>
    <row r="278">
      <c r="A278" s="25" t="n">
        <v>39219</v>
      </c>
      <c r="B278" s="18" t="n">
        <v>51631</v>
      </c>
      <c r="C278" s="31" t="n"/>
      <c r="D278" s="32" t="n"/>
      <c r="E278" s="33" t="n">
        <v>0.0255</v>
      </c>
      <c r="F278" t="inlineStr">
        <is>
          <t>Up</t>
        </is>
      </c>
      <c r="G278" t="inlineStr">
        <is>
          <t>Down</t>
        </is>
      </c>
      <c r="H278" t="inlineStr">
        <is>
          <t>EU_JD</t>
        </is>
      </c>
      <c r="I278" t="inlineStr">
        <is>
          <t>2007-05</t>
        </is>
      </c>
      <c r="J278" t="n">
        <v>1</v>
      </c>
      <c r="K278" t="n">
        <v>1</v>
      </c>
      <c r="L278" s="34">
        <f>IF($J278=1,LN(B279/B278),"")</f>
        <v/>
      </c>
      <c r="M278" s="34">
        <f>IF($K278=1,INDEX(Mensal!$D$2:$D$245,MATCH($I278,Mensal!$A$2:$A$245,0)),"")</f>
        <v/>
      </c>
      <c r="N278" s="34">
        <f>IF($K278=1,L278-M278,"")</f>
        <v/>
      </c>
      <c r="O278" s="34" t="n">
        <v>0.00046256</v>
      </c>
      <c r="P278" s="34">
        <f>IF($J278=1,LN(1+O278),"")</f>
        <v/>
      </c>
      <c r="Q278" s="34">
        <f>IF($J278=1,LN(R279/R278),"")</f>
        <v/>
      </c>
      <c r="R278" s="32" t="n">
        <v>1.9573</v>
      </c>
      <c r="S278" s="35" t="n">
        <v>10.934</v>
      </c>
      <c r="T278" s="18" t="n">
        <v>51631</v>
      </c>
      <c r="U278" s="18" t="n"/>
      <c r="V278" s="18" t="n"/>
      <c r="W278" s="18" t="n"/>
      <c r="X278" s="35" t="n"/>
      <c r="Y278" s="35" t="n">
        <v>10.934</v>
      </c>
    </row>
    <row r="279">
      <c r="A279" s="25" t="n">
        <v>39220</v>
      </c>
      <c r="B279" s="18" t="n">
        <v>52077</v>
      </c>
      <c r="C279" s="31" t="n"/>
      <c r="D279" s="32" t="n"/>
      <c r="E279" s="33" t="n">
        <v>-0.0202</v>
      </c>
      <c r="F279" t="inlineStr">
        <is>
          <t>Up</t>
        </is>
      </c>
      <c r="G279" t="inlineStr">
        <is>
          <t>Down</t>
        </is>
      </c>
      <c r="H279" t="inlineStr">
        <is>
          <t>EU_JD</t>
        </is>
      </c>
      <c r="I279" t="inlineStr">
        <is>
          <t>2007-05</t>
        </is>
      </c>
      <c r="J279" t="n">
        <v>1</v>
      </c>
      <c r="K279" t="n">
        <v>1</v>
      </c>
      <c r="L279" s="34">
        <f>IF($J279=1,LN(B280/B279),"")</f>
        <v/>
      </c>
      <c r="M279" s="34">
        <f>IF($K279=1,INDEX(Mensal!$D$2:$D$245,MATCH($I279,Mensal!$A$2:$A$245,0)),"")</f>
        <v/>
      </c>
      <c r="N279" s="34">
        <f>IF($K279=1,L279-M279,"")</f>
        <v/>
      </c>
      <c r="O279" s="34" t="n">
        <v>0.00046221</v>
      </c>
      <c r="P279" s="34">
        <f>IF($J279=1,LN(1+O279),"")</f>
        <v/>
      </c>
      <c r="Q279" s="34">
        <f>IF($J279=1,LN(R280/R279),"")</f>
        <v/>
      </c>
      <c r="R279" s="32" t="n">
        <v>1.963</v>
      </c>
      <c r="S279" s="35" t="n">
        <v>10.938</v>
      </c>
      <c r="T279" s="18" t="n">
        <v>52077</v>
      </c>
      <c r="U279" s="18" t="n"/>
      <c r="V279" s="18" t="n"/>
      <c r="W279" s="18" t="n"/>
      <c r="X279" s="35" t="n"/>
      <c r="Y279" s="35" t="n">
        <v>10.938</v>
      </c>
    </row>
    <row r="280">
      <c r="A280" s="25" t="n">
        <v>39223</v>
      </c>
      <c r="B280" s="18" t="n">
        <v>52423</v>
      </c>
      <c r="C280" s="31" t="n"/>
      <c r="D280" s="32" t="n"/>
      <c r="E280" s="33" t="n">
        <v>-0.0941</v>
      </c>
      <c r="F280" t="inlineStr">
        <is>
          <t>Up</t>
        </is>
      </c>
      <c r="G280" t="inlineStr">
        <is>
          <t>Down</t>
        </is>
      </c>
      <c r="H280" t="inlineStr">
        <is>
          <t>EU_JD</t>
        </is>
      </c>
      <c r="I280" t="inlineStr">
        <is>
          <t>2007-05</t>
        </is>
      </c>
      <c r="J280" t="n">
        <v>1</v>
      </c>
      <c r="K280" t="n">
        <v>1</v>
      </c>
      <c r="L280" s="34">
        <f>IF($J280=1,LN(B281/B280),"")</f>
        <v/>
      </c>
      <c r="M280" s="34">
        <f>IF($K280=1,INDEX(Mensal!$D$2:$D$245,MATCH($I280,Mensal!$A$2:$A$245,0)),"")</f>
        <v/>
      </c>
      <c r="N280" s="34">
        <f>IF($K280=1,L280-M280,"")</f>
        <v/>
      </c>
      <c r="O280" s="34" t="n">
        <v>0.00046221</v>
      </c>
      <c r="P280" s="34">
        <f>IF($J280=1,LN(1+O280),"")</f>
        <v/>
      </c>
      <c r="Q280" s="34">
        <f>IF($J280=1,LN(R281/R280),"")</f>
        <v/>
      </c>
      <c r="R280" s="32" t="n">
        <v>1.9435</v>
      </c>
      <c r="S280" s="35" t="n">
        <v>10.912</v>
      </c>
      <c r="T280" s="18" t="n">
        <v>52423</v>
      </c>
      <c r="U280" s="18" t="n"/>
      <c r="V280" s="18" t="n"/>
      <c r="W280" s="18" t="n"/>
      <c r="X280" s="35" t="n"/>
      <c r="Y280" s="35" t="n">
        <v>10.912</v>
      </c>
    </row>
    <row r="281">
      <c r="A281" s="25" t="n">
        <v>39224</v>
      </c>
      <c r="B281" s="18" t="n">
        <v>52208</v>
      </c>
      <c r="C281" s="31" t="n"/>
      <c r="D281" s="32" t="n"/>
      <c r="E281" s="33" t="n">
        <v>-0.1706</v>
      </c>
      <c r="F281" t="inlineStr">
        <is>
          <t>Up</t>
        </is>
      </c>
      <c r="G281" t="inlineStr">
        <is>
          <t>Down</t>
        </is>
      </c>
      <c r="H281" t="inlineStr">
        <is>
          <t>EU_JD</t>
        </is>
      </c>
      <c r="I281" t="inlineStr">
        <is>
          <t>2007-05</t>
        </is>
      </c>
      <c r="J281" t="n">
        <v>1</v>
      </c>
      <c r="K281" t="n">
        <v>1</v>
      </c>
      <c r="L281" s="34">
        <f>IF($J281=1,LN(B282/B281),"")</f>
        <v/>
      </c>
      <c r="M281" s="34">
        <f>IF($K281=1,INDEX(Mensal!$D$2:$D$245,MATCH($I281,Mensal!$A$2:$A$245,0)),"")</f>
        <v/>
      </c>
      <c r="N281" s="34">
        <f>IF($K281=1,L281-M281,"")</f>
        <v/>
      </c>
      <c r="O281" s="34" t="n">
        <v>0.00046221</v>
      </c>
      <c r="P281" s="34">
        <f>IF($J281=1,LN(1+O281),"")</f>
        <v/>
      </c>
      <c r="Q281" s="34">
        <f>IF($J281=1,LN(R282/R281),"")</f>
        <v/>
      </c>
      <c r="R281" s="32" t="n">
        <v>1.9409</v>
      </c>
      <c r="S281" s="35" t="n">
        <v>10.91</v>
      </c>
      <c r="T281" s="18" t="n">
        <v>52208</v>
      </c>
      <c r="U281" s="18" t="n"/>
      <c r="V281" s="18" t="n"/>
      <c r="W281" s="18" t="n"/>
      <c r="X281" s="35" t="n"/>
      <c r="Y281" s="35" t="n">
        <v>10.91</v>
      </c>
    </row>
    <row r="282">
      <c r="A282" s="25" t="n">
        <v>39225</v>
      </c>
      <c r="B282" s="18" t="n">
        <v>51812</v>
      </c>
      <c r="C282" s="31" t="n"/>
      <c r="D282" s="32" t="n"/>
      <c r="E282" s="33" t="n">
        <v>-0.2531</v>
      </c>
      <c r="F282" t="inlineStr">
        <is>
          <t>Up</t>
        </is>
      </c>
      <c r="G282" t="inlineStr">
        <is>
          <t>Down</t>
        </is>
      </c>
      <c r="H282" t="inlineStr">
        <is>
          <t>EU_JD</t>
        </is>
      </c>
      <c r="I282" t="inlineStr">
        <is>
          <t>2007-05</t>
        </is>
      </c>
      <c r="J282" t="n">
        <v>1</v>
      </c>
      <c r="K282" t="n">
        <v>1</v>
      </c>
      <c r="L282" s="34">
        <f>IF($J282=1,LN(B283/B282),"")</f>
        <v/>
      </c>
      <c r="M282" s="34">
        <f>IF($K282=1,INDEX(Mensal!$D$2:$D$245,MATCH($I282,Mensal!$A$2:$A$245,0)),"")</f>
        <v/>
      </c>
      <c r="N282" s="34">
        <f>IF($K282=1,L282-M282,"")</f>
        <v/>
      </c>
      <c r="O282" s="34" t="n">
        <v>0.00046221</v>
      </c>
      <c r="P282" s="34">
        <f>IF($J282=1,LN(1+O282),"")</f>
        <v/>
      </c>
      <c r="Q282" s="34">
        <f>IF($J282=1,LN(R283/R282),"")</f>
        <v/>
      </c>
      <c r="R282" s="32" t="n">
        <v>1.9489</v>
      </c>
      <c r="S282" s="35" t="n">
        <v>10.942</v>
      </c>
      <c r="T282" s="18" t="n">
        <v>51812</v>
      </c>
      <c r="U282" s="18" t="n"/>
      <c r="V282" s="18" t="n"/>
      <c r="W282" s="18" t="n"/>
      <c r="X282" s="35" t="n"/>
      <c r="Y282" s="35" t="n">
        <v>10.942</v>
      </c>
    </row>
    <row r="283">
      <c r="A283" s="25" t="n">
        <v>39226</v>
      </c>
      <c r="B283" s="18" t="n">
        <v>50530</v>
      </c>
      <c r="C283" s="31" t="n"/>
      <c r="D283" s="32" t="n"/>
      <c r="E283" s="33" t="n">
        <v>-0.3182</v>
      </c>
      <c r="F283" t="inlineStr">
        <is>
          <t>Up</t>
        </is>
      </c>
      <c r="G283" t="inlineStr">
        <is>
          <t>Down</t>
        </is>
      </c>
      <c r="H283" t="inlineStr">
        <is>
          <t>EU_JD</t>
        </is>
      </c>
      <c r="I283" t="inlineStr">
        <is>
          <t>2007-05</t>
        </is>
      </c>
      <c r="J283" t="n">
        <v>1</v>
      </c>
      <c r="K283" t="n">
        <v>1</v>
      </c>
      <c r="L283" s="34">
        <f>IF($J283=1,LN(B284/B283),"")</f>
        <v/>
      </c>
      <c r="M283" s="34">
        <f>IF($K283=1,INDEX(Mensal!$D$2:$D$245,MATCH($I283,Mensal!$A$2:$A$245,0)),"")</f>
        <v/>
      </c>
      <c r="N283" s="34">
        <f>IF($K283=1,L283-M283,"")</f>
        <v/>
      </c>
      <c r="O283" s="34" t="n">
        <v>0.00046185</v>
      </c>
      <c r="P283" s="34">
        <f>IF($J283=1,LN(1+O283),"")</f>
        <v/>
      </c>
      <c r="Q283" s="34">
        <f>IF($J283=1,LN(R284/R283),"")</f>
        <v/>
      </c>
      <c r="R283" s="32" t="n">
        <v>1.9653</v>
      </c>
      <c r="S283" s="35" t="n">
        <v>11.067</v>
      </c>
      <c r="T283" s="18" t="n">
        <v>50530</v>
      </c>
      <c r="U283" s="18" t="n"/>
      <c r="V283" s="18" t="n"/>
      <c r="W283" s="18" t="n"/>
      <c r="X283" s="35" t="n"/>
      <c r="Y283" s="35" t="n">
        <v>11.067</v>
      </c>
    </row>
    <row r="284">
      <c r="A284" s="25" t="n">
        <v>39227</v>
      </c>
      <c r="B284" s="18" t="n">
        <v>51617</v>
      </c>
      <c r="C284" s="31" t="n"/>
      <c r="D284" s="32" t="n"/>
      <c r="E284" s="33" t="n">
        <v>-0.3869</v>
      </c>
      <c r="F284" t="inlineStr">
        <is>
          <t>Up</t>
        </is>
      </c>
      <c r="G284" t="inlineStr">
        <is>
          <t>Down</t>
        </is>
      </c>
      <c r="H284" t="inlineStr">
        <is>
          <t>EU_JD</t>
        </is>
      </c>
      <c r="I284" t="inlineStr">
        <is>
          <t>2007-05</t>
        </is>
      </c>
      <c r="J284" t="n">
        <v>1</v>
      </c>
      <c r="K284" t="n">
        <v>1</v>
      </c>
      <c r="L284" s="34">
        <f>IF($J284=1,LN(B285/B284),"")</f>
        <v/>
      </c>
      <c r="M284" s="34">
        <f>IF($K284=1,INDEX(Mensal!$D$2:$D$245,MATCH($I284,Mensal!$A$2:$A$245,0)),"")</f>
        <v/>
      </c>
      <c r="N284" s="34">
        <f>IF($K284=1,L284-M284,"")</f>
        <v/>
      </c>
      <c r="O284" s="34" t="n">
        <v>0.00046256</v>
      </c>
      <c r="P284" s="34">
        <f>IF($J284=1,LN(1+O284),"")</f>
        <v/>
      </c>
      <c r="Q284" s="34">
        <f>IF($J284=1,LN(R285/R284),"")</f>
        <v/>
      </c>
      <c r="R284" s="32" t="n">
        <v>1.952</v>
      </c>
      <c r="S284" s="35" t="n">
        <v>11.016</v>
      </c>
      <c r="T284" s="18" t="n">
        <v>51617</v>
      </c>
      <c r="U284" s="18" t="n"/>
      <c r="V284" s="18" t="n"/>
      <c r="W284" s="18" t="n"/>
      <c r="X284" s="35" t="n"/>
      <c r="Y284" s="35" t="n">
        <v>11.016</v>
      </c>
    </row>
    <row r="285">
      <c r="A285" s="25" t="n">
        <v>39230</v>
      </c>
      <c r="B285" s="18" t="n">
        <v>52119</v>
      </c>
      <c r="C285" s="31" t="n"/>
      <c r="D285" s="32" t="n"/>
      <c r="E285" s="33" t="n">
        <v>-0.4347</v>
      </c>
      <c r="F285" t="inlineStr">
        <is>
          <t>Up</t>
        </is>
      </c>
      <c r="G285" t="inlineStr">
        <is>
          <t>Down</t>
        </is>
      </c>
      <c r="H285" t="inlineStr">
        <is>
          <t>EU_JD</t>
        </is>
      </c>
      <c r="I285" t="inlineStr">
        <is>
          <t>2007-05</t>
        </is>
      </c>
      <c r="J285" t="n">
        <v>1</v>
      </c>
      <c r="K285" t="n">
        <v>1</v>
      </c>
      <c r="L285" s="34">
        <f>IF($J285=1,LN(B286/B285),"")</f>
        <v/>
      </c>
      <c r="M285" s="34">
        <f>IF($K285=1,INDEX(Mensal!$D$2:$D$245,MATCH($I285,Mensal!$A$2:$A$245,0)),"")</f>
        <v/>
      </c>
      <c r="N285" s="34">
        <f>IF($K285=1,L285-M285,"")</f>
        <v/>
      </c>
      <c r="O285" s="34" t="n">
        <v>0.00046291</v>
      </c>
      <c r="P285" s="34">
        <f>IF($J285=1,LN(1+O285),"")</f>
        <v/>
      </c>
      <c r="Q285" s="34">
        <f>IF($J285=1,LN(R286/R285),"")</f>
        <v/>
      </c>
      <c r="R285" s="32" t="n">
        <v>1.9441</v>
      </c>
      <c r="S285" s="35" t="n">
        <v>10.99</v>
      </c>
      <c r="T285" s="18" t="n">
        <v>52119</v>
      </c>
      <c r="U285" s="18" t="n"/>
      <c r="V285" s="18" t="n"/>
      <c r="W285" s="18" t="n"/>
      <c r="X285" s="35" t="n"/>
      <c r="Y285" s="35" t="n">
        <v>10.99</v>
      </c>
    </row>
    <row r="286">
      <c r="A286" s="25" t="n">
        <v>39231</v>
      </c>
      <c r="B286" s="18" t="n">
        <v>51713</v>
      </c>
      <c r="C286" s="31" t="n"/>
      <c r="D286" s="32" t="n"/>
      <c r="E286" s="33" t="n">
        <v>-0.4896</v>
      </c>
      <c r="F286" t="inlineStr">
        <is>
          <t>Up</t>
        </is>
      </c>
      <c r="G286" t="inlineStr">
        <is>
          <t>Down</t>
        </is>
      </c>
      <c r="H286" t="inlineStr">
        <is>
          <t>EU_JD</t>
        </is>
      </c>
      <c r="I286" t="inlineStr">
        <is>
          <t>2007-05</t>
        </is>
      </c>
      <c r="J286" t="n">
        <v>1</v>
      </c>
      <c r="K286" t="n">
        <v>1</v>
      </c>
      <c r="L286" s="34">
        <f>IF($J286=1,LN(B287/B286),"")</f>
        <v/>
      </c>
      <c r="M286" s="34">
        <f>IF($K286=1,INDEX(Mensal!$D$2:$D$245,MATCH($I286,Mensal!$A$2:$A$245,0)),"")</f>
        <v/>
      </c>
      <c r="N286" s="34">
        <f>IF($K286=1,L286-M286,"")</f>
        <v/>
      </c>
      <c r="O286" s="34" t="n">
        <v>0.00046327</v>
      </c>
      <c r="P286" s="34">
        <f>IF($J286=1,LN(1+O286),"")</f>
        <v/>
      </c>
      <c r="Q286" s="34">
        <f>IF($J286=1,LN(R287/R286),"")</f>
        <v/>
      </c>
      <c r="R286" s="32" t="n">
        <v>1.9461</v>
      </c>
      <c r="S286" s="35" t="n">
        <v>11.025</v>
      </c>
      <c r="T286" s="18" t="n">
        <v>51713</v>
      </c>
      <c r="U286" s="18" t="n"/>
      <c r="V286" s="18" t="n"/>
      <c r="W286" s="18" t="n"/>
      <c r="X286" s="35" t="n"/>
      <c r="Y286" s="35" t="n">
        <v>11.025</v>
      </c>
    </row>
    <row r="287">
      <c r="A287" s="25" t="n">
        <v>39232</v>
      </c>
      <c r="B287" s="18" t="n">
        <v>52527</v>
      </c>
      <c r="C287" s="31" t="n"/>
      <c r="D287" s="32" t="n"/>
      <c r="E287" s="33" t="n">
        <v>-0.5415</v>
      </c>
      <c r="F287" t="inlineStr">
        <is>
          <t>Up</t>
        </is>
      </c>
      <c r="G287" t="inlineStr">
        <is>
          <t>Down</t>
        </is>
      </c>
      <c r="H287" t="inlineStr">
        <is>
          <t>EU_JD</t>
        </is>
      </c>
      <c r="I287" t="inlineStr">
        <is>
          <t>2007-05</t>
        </is>
      </c>
      <c r="J287" t="n">
        <v>1</v>
      </c>
      <c r="K287" t="n">
        <v>1</v>
      </c>
      <c r="L287" s="34">
        <f>IF($J287=1,LN(B288/B287),"")</f>
        <v/>
      </c>
      <c r="M287" s="34">
        <f>IF($K287=1,INDEX(Mensal!$D$2:$D$245,MATCH($I287,Mensal!$A$2:$A$245,0)),"")</f>
        <v/>
      </c>
      <c r="N287" s="34">
        <f>IF($K287=1,L287-M287,"")</f>
        <v/>
      </c>
      <c r="O287" s="34" t="n">
        <v>0.00046291</v>
      </c>
      <c r="P287" s="34">
        <f>IF($J287=1,LN(1+O287),"")</f>
        <v/>
      </c>
      <c r="Q287" s="34">
        <f>IF($J287=1,LN(R288/R287),"")</f>
        <v/>
      </c>
      <c r="R287" s="32" t="n">
        <v>1.9468</v>
      </c>
      <c r="S287" s="35" t="n">
        <v>11.023</v>
      </c>
      <c r="T287" s="18" t="n">
        <v>52527</v>
      </c>
      <c r="U287" s="18" t="n"/>
      <c r="V287" s="18" t="n"/>
      <c r="W287" s="18" t="n"/>
      <c r="X287" s="35" t="n"/>
      <c r="Y287" s="35" t="n">
        <v>11.023</v>
      </c>
    </row>
    <row r="288">
      <c r="A288" s="25" t="n">
        <v>39233</v>
      </c>
      <c r="B288" s="18" t="n">
        <v>52268</v>
      </c>
      <c r="C288" s="31" t="n"/>
      <c r="D288" s="32" t="n"/>
      <c r="E288" s="33" t="n">
        <v>-0.588</v>
      </c>
      <c r="F288" t="inlineStr">
        <is>
          <t>Up</t>
        </is>
      </c>
      <c r="G288" t="inlineStr">
        <is>
          <t>Down</t>
        </is>
      </c>
      <c r="H288" t="inlineStr">
        <is>
          <t>EU_JD</t>
        </is>
      </c>
      <c r="I288" t="inlineStr">
        <is>
          <t>2007-05</t>
        </is>
      </c>
      <c r="J288" t="n">
        <v>1</v>
      </c>
      <c r="K288" t="n">
        <v>1</v>
      </c>
      <c r="L288" s="34">
        <f>IF($J288=1,LN(B289/B288),"")</f>
        <v/>
      </c>
      <c r="M288" s="34">
        <f>IF($K288=1,INDEX(Mensal!$D$2:$D$245,MATCH($I288,Mensal!$A$2:$A$245,0)),"")</f>
        <v/>
      </c>
      <c r="N288" s="34">
        <f>IF($K288=1,L288-M288,"")</f>
        <v/>
      </c>
      <c r="O288" s="34" t="n">
        <v>0.00046362</v>
      </c>
      <c r="P288" s="34">
        <f>IF($J288=1,LN(1+O288),"")</f>
        <v/>
      </c>
      <c r="Q288" s="34">
        <f>IF($J288=1,LN(R289/R288),"")</f>
        <v/>
      </c>
      <c r="R288" s="32" t="n">
        <v>1.9289</v>
      </c>
      <c r="S288" s="35" t="n">
        <v>10.99</v>
      </c>
      <c r="T288" s="18" t="n">
        <v>52268</v>
      </c>
      <c r="U288" s="18" t="n"/>
      <c r="V288" s="18" t="n"/>
      <c r="W288" s="18" t="n"/>
      <c r="X288" s="35" t="n"/>
      <c r="Y288" s="35" t="n">
        <v>10.99</v>
      </c>
    </row>
    <row r="289">
      <c r="A289" s="25" t="n">
        <v>39234</v>
      </c>
      <c r="B289" s="18" t="n">
        <v>53422</v>
      </c>
      <c r="C289" s="31" t="n"/>
      <c r="D289" s="32" t="n"/>
      <c r="E289" s="33" t="n">
        <v>-0.6344</v>
      </c>
      <c r="F289" t="inlineStr">
        <is>
          <t>Up</t>
        </is>
      </c>
      <c r="G289" t="inlineStr">
        <is>
          <t>Down</t>
        </is>
      </c>
      <c r="H289" t="inlineStr">
        <is>
          <t>EU_JD</t>
        </is>
      </c>
      <c r="I289" t="inlineStr">
        <is>
          <t>2007-06</t>
        </is>
      </c>
      <c r="J289" t="n">
        <v>1</v>
      </c>
      <c r="K289" t="n">
        <v>1</v>
      </c>
      <c r="L289" s="34">
        <f>IF($J289=1,LN(B290/B289),"")</f>
        <v/>
      </c>
      <c r="M289" s="34">
        <f>IF($K289=1,INDEX(Mensal!$D$2:$D$245,MATCH($I289,Mensal!$A$2:$A$245,0)),"")</f>
        <v/>
      </c>
      <c r="N289" s="34">
        <f>IF($K289=1,L289-M289,"")</f>
        <v/>
      </c>
      <c r="O289" s="34" t="n">
        <v>0.00046362</v>
      </c>
      <c r="P289" s="34">
        <f>IF($J289=1,LN(1+O289),"")</f>
        <v/>
      </c>
      <c r="Q289" s="34">
        <f>IF($J289=1,LN(R290/R289),"")</f>
        <v/>
      </c>
      <c r="R289" s="32" t="n">
        <v>1.9056</v>
      </c>
      <c r="S289" s="35" t="n">
        <v>10.895</v>
      </c>
      <c r="T289" s="18" t="n">
        <v>53422</v>
      </c>
      <c r="U289" s="18" t="n"/>
      <c r="V289" s="18" t="n"/>
      <c r="W289" s="18" t="n"/>
      <c r="X289" s="35" t="n"/>
      <c r="Y289" s="35" t="n">
        <v>10.895</v>
      </c>
    </row>
    <row r="290">
      <c r="A290" s="25" t="n">
        <v>39237</v>
      </c>
      <c r="B290" s="18" t="n">
        <v>53242</v>
      </c>
      <c r="C290" s="31" t="n"/>
      <c r="D290" s="32" t="n"/>
      <c r="E290" s="33" t="n">
        <v>-0.5953000000000001</v>
      </c>
      <c r="F290" t="inlineStr">
        <is>
          <t>Up</t>
        </is>
      </c>
      <c r="G290" t="inlineStr">
        <is>
          <t>Down</t>
        </is>
      </c>
      <c r="H290" t="inlineStr">
        <is>
          <t>EU_JD</t>
        </is>
      </c>
      <c r="I290" t="inlineStr">
        <is>
          <t>2007-06</t>
        </is>
      </c>
      <c r="J290" t="n">
        <v>1</v>
      </c>
      <c r="K290" t="n">
        <v>1</v>
      </c>
      <c r="L290" s="34">
        <f>IF($J290=1,LN(B291/B290),"")</f>
        <v/>
      </c>
      <c r="M290" s="34">
        <f>IF($K290=1,INDEX(Mensal!$D$2:$D$245,MATCH($I290,Mensal!$A$2:$A$245,0)),"")</f>
        <v/>
      </c>
      <c r="N290" s="34">
        <f>IF($K290=1,L290-M290,"")</f>
        <v/>
      </c>
      <c r="O290" s="34" t="n">
        <v>0.00046362</v>
      </c>
      <c r="P290" s="34">
        <f>IF($J290=1,LN(1+O290),"")</f>
        <v/>
      </c>
      <c r="Q290" s="34">
        <f>IF($J290=1,LN(R291/R290),"")</f>
        <v/>
      </c>
      <c r="R290" s="32" t="n">
        <v>1.9215</v>
      </c>
      <c r="S290" s="35" t="n">
        <v>10.972</v>
      </c>
      <c r="T290" s="18" t="n">
        <v>53242</v>
      </c>
      <c r="U290" s="18" t="n"/>
      <c r="V290" s="18" t="n"/>
      <c r="W290" s="18" t="n"/>
      <c r="X290" s="35" t="n"/>
      <c r="Y290" s="35" t="n">
        <v>10.972</v>
      </c>
    </row>
    <row r="291">
      <c r="A291" s="25" t="n">
        <v>39238</v>
      </c>
      <c r="B291" s="18" t="n">
        <v>53162</v>
      </c>
      <c r="C291" s="31" t="n"/>
      <c r="D291" s="32" t="n"/>
      <c r="E291" s="33" t="n">
        <v>-0.5474</v>
      </c>
      <c r="F291" t="inlineStr">
        <is>
          <t>Up</t>
        </is>
      </c>
      <c r="G291" t="inlineStr">
        <is>
          <t>Down</t>
        </is>
      </c>
      <c r="H291" t="inlineStr">
        <is>
          <t>EU_JD</t>
        </is>
      </c>
      <c r="I291" t="inlineStr">
        <is>
          <t>2007-06</t>
        </is>
      </c>
      <c r="J291" t="n">
        <v>1</v>
      </c>
      <c r="K291" t="n">
        <v>1</v>
      </c>
      <c r="L291" s="34">
        <f>IF($J291=1,LN(B292/B291),"")</f>
        <v/>
      </c>
      <c r="M291" s="34">
        <f>IF($K291=1,INDEX(Mensal!$D$2:$D$245,MATCH($I291,Mensal!$A$2:$A$245,0)),"")</f>
        <v/>
      </c>
      <c r="N291" s="34">
        <f>IF($K291=1,L291-M291,"")</f>
        <v/>
      </c>
      <c r="O291" s="34" t="n">
        <v>0.00046397</v>
      </c>
      <c r="P291" s="34">
        <f>IF($J291=1,LN(1+O291),"")</f>
        <v/>
      </c>
      <c r="Q291" s="34">
        <f>IF($J291=1,LN(R292/R291),"")</f>
        <v/>
      </c>
      <c r="R291" s="32" t="n">
        <v>1.9395</v>
      </c>
      <c r="S291" s="35" t="n">
        <v>11.014</v>
      </c>
      <c r="T291" s="18" t="n">
        <v>53162</v>
      </c>
      <c r="U291" s="18" t="n"/>
      <c r="V291" s="18" t="n"/>
      <c r="W291" s="18" t="n"/>
      <c r="X291" s="35" t="n"/>
      <c r="Y291" s="35" t="n">
        <v>11.014</v>
      </c>
    </row>
    <row r="292">
      <c r="A292" s="25" t="n">
        <v>39239</v>
      </c>
      <c r="B292" s="18" t="n">
        <v>52049</v>
      </c>
      <c r="C292" s="31" t="n"/>
      <c r="D292" s="32" t="n"/>
      <c r="E292" s="33" t="n">
        <v>-0.4876</v>
      </c>
      <c r="F292" t="inlineStr">
        <is>
          <t>Up</t>
        </is>
      </c>
      <c r="G292" t="inlineStr">
        <is>
          <t>Down</t>
        </is>
      </c>
      <c r="H292" t="inlineStr">
        <is>
          <t>EU_JD</t>
        </is>
      </c>
      <c r="I292" t="inlineStr">
        <is>
          <t>2007-06</t>
        </is>
      </c>
      <c r="J292" t="n">
        <v>1</v>
      </c>
      <c r="K292" t="n">
        <v>1</v>
      </c>
      <c r="L292" s="34">
        <f>IF($J292=1,LN(B293/B292),"")</f>
        <v/>
      </c>
      <c r="M292" s="34">
        <f>IF($K292=1,INDEX(Mensal!$D$2:$D$245,MATCH($I292,Mensal!$A$2:$A$245,0)),"")</f>
        <v/>
      </c>
      <c r="N292" s="34">
        <f>IF($K292=1,L292-M292,"")</f>
        <v/>
      </c>
      <c r="O292" s="34" t="n">
        <v>0.00046327</v>
      </c>
      <c r="P292" s="34">
        <f>IF($J292=1,LN(1+O292),"")</f>
        <v/>
      </c>
      <c r="Q292" s="34">
        <f>IF($J292=1,LN(R293/R292),"")</f>
        <v/>
      </c>
      <c r="R292" s="32" t="n">
        <v>1.9617</v>
      </c>
      <c r="S292" s="35" t="n">
        <v>11.05</v>
      </c>
      <c r="T292" s="18" t="n">
        <v>52049</v>
      </c>
      <c r="U292" s="18" t="n"/>
      <c r="V292" s="18" t="n"/>
      <c r="W292" s="18" t="n"/>
      <c r="X292" s="35" t="n"/>
      <c r="Y292" s="35" t="n">
        <v>11.05</v>
      </c>
    </row>
    <row r="293">
      <c r="A293" s="25" t="n">
        <v>39241</v>
      </c>
      <c r="B293" s="18" t="n">
        <v>52329</v>
      </c>
      <c r="C293" s="31" t="n"/>
      <c r="D293" s="32" t="n"/>
      <c r="E293" s="33" t="n">
        <v>-0.412</v>
      </c>
      <c r="F293" t="inlineStr">
        <is>
          <t>Up</t>
        </is>
      </c>
      <c r="G293" t="inlineStr">
        <is>
          <t>Down</t>
        </is>
      </c>
      <c r="H293" t="inlineStr">
        <is>
          <t>EU_JD</t>
        </is>
      </c>
      <c r="I293" t="inlineStr">
        <is>
          <t>2007-06</t>
        </is>
      </c>
      <c r="J293" t="n">
        <v>1</v>
      </c>
      <c r="K293" t="n">
        <v>1</v>
      </c>
      <c r="L293" s="34">
        <f>IF($J293=1,LN(B294/B293),"")</f>
        <v/>
      </c>
      <c r="M293" s="34">
        <f>IF($K293=1,INDEX(Mensal!$D$2:$D$245,MATCH($I293,Mensal!$A$2:$A$245,0)),"")</f>
        <v/>
      </c>
      <c r="N293" s="34">
        <f>IF($K293=1,L293-M293,"")</f>
        <v/>
      </c>
      <c r="O293" s="34" t="n">
        <v>0.00044556</v>
      </c>
      <c r="P293" s="34">
        <f>IF($J293=1,LN(1+O293),"")</f>
        <v/>
      </c>
      <c r="Q293" s="34">
        <f>IF($J293=1,LN(R294/R293),"")</f>
        <v/>
      </c>
      <c r="R293" s="32" t="n">
        <v>1.9638</v>
      </c>
      <c r="S293" s="35" t="n">
        <v>10.846</v>
      </c>
      <c r="T293" s="18" t="n">
        <v>52329</v>
      </c>
      <c r="U293" s="18" t="n"/>
      <c r="V293" s="18" t="n"/>
      <c r="W293" s="18" t="n"/>
      <c r="X293" s="35" t="n"/>
      <c r="Y293" s="35" t="n">
        <v>10.846</v>
      </c>
    </row>
    <row r="294">
      <c r="A294" s="25" t="n">
        <v>39244</v>
      </c>
      <c r="B294" s="18" t="n">
        <v>52776</v>
      </c>
      <c r="C294" s="31" t="n"/>
      <c r="D294" s="32" t="n"/>
      <c r="E294" s="33" t="n">
        <v>-0.273</v>
      </c>
      <c r="F294" t="inlineStr">
        <is>
          <t>Up</t>
        </is>
      </c>
      <c r="G294" t="inlineStr">
        <is>
          <t>Down</t>
        </is>
      </c>
      <c r="H294" t="inlineStr">
        <is>
          <t>EU_JD</t>
        </is>
      </c>
      <c r="I294" t="inlineStr">
        <is>
          <t>2007-06</t>
        </is>
      </c>
      <c r="J294" t="n">
        <v>1</v>
      </c>
      <c r="K294" t="n">
        <v>1</v>
      </c>
      <c r="L294" s="34">
        <f>IF($J294=1,LN(B295/B294),"")</f>
        <v/>
      </c>
      <c r="M294" s="34">
        <f>IF($K294=1,INDEX(Mensal!$D$2:$D$245,MATCH($I294,Mensal!$A$2:$A$245,0)),"")</f>
        <v/>
      </c>
      <c r="N294" s="34">
        <f>IF($K294=1,L294-M294,"")</f>
        <v/>
      </c>
      <c r="O294" s="34" t="n">
        <v>0.00044556</v>
      </c>
      <c r="P294" s="34">
        <f>IF($J294=1,LN(1+O294),"")</f>
        <v/>
      </c>
      <c r="Q294" s="34">
        <f>IF($J294=1,LN(R295/R294),"")</f>
        <v/>
      </c>
      <c r="R294" s="32" t="n">
        <v>1.9473</v>
      </c>
      <c r="S294" s="35" t="n">
        <v>10.814</v>
      </c>
      <c r="T294" s="18" t="n">
        <v>52776</v>
      </c>
      <c r="U294" s="18" t="n"/>
      <c r="V294" s="18" t="n"/>
      <c r="W294" s="18" t="n"/>
      <c r="X294" s="35" t="n"/>
      <c r="Y294" s="35" t="n">
        <v>10.814</v>
      </c>
    </row>
    <row r="295">
      <c r="A295" s="25" t="n">
        <v>39245</v>
      </c>
      <c r="B295" s="18" t="n">
        <v>51797</v>
      </c>
      <c r="C295" s="31" t="n"/>
      <c r="D295" s="32" t="n"/>
      <c r="E295" s="33" t="n">
        <v>-0.1198</v>
      </c>
      <c r="F295" t="inlineStr">
        <is>
          <t>Up</t>
        </is>
      </c>
      <c r="G295" t="inlineStr">
        <is>
          <t>Down</t>
        </is>
      </c>
      <c r="H295" t="inlineStr">
        <is>
          <t>EU_JD</t>
        </is>
      </c>
      <c r="I295" t="inlineStr">
        <is>
          <t>2007-06</t>
        </is>
      </c>
      <c r="J295" t="n">
        <v>1</v>
      </c>
      <c r="K295" t="n">
        <v>1</v>
      </c>
      <c r="L295" s="34">
        <f>IF($J295=1,LN(B296/B295),"")</f>
        <v/>
      </c>
      <c r="M295" s="34">
        <f>IF($K295=1,INDEX(Mensal!$D$2:$D$245,MATCH($I295,Mensal!$A$2:$A$245,0)),"")</f>
        <v/>
      </c>
      <c r="N295" s="34">
        <f>IF($K295=1,L295-M295,"")</f>
        <v/>
      </c>
      <c r="O295" s="34" t="n">
        <v>0.00044521</v>
      </c>
      <c r="P295" s="34">
        <f>IF($J295=1,LN(1+O295),"")</f>
        <v/>
      </c>
      <c r="Q295" s="34">
        <f>IF($J295=1,LN(R296/R295),"")</f>
        <v/>
      </c>
      <c r="R295" s="32" t="n">
        <v>1.942</v>
      </c>
      <c r="S295" s="35" t="n">
        <v>10.864</v>
      </c>
      <c r="T295" s="18" t="n">
        <v>51797</v>
      </c>
      <c r="U295" s="18" t="n"/>
      <c r="V295" s="18" t="n"/>
      <c r="W295" s="18" t="n"/>
      <c r="X295" s="35" t="n"/>
      <c r="Y295" s="35" t="n">
        <v>10.864</v>
      </c>
    </row>
    <row r="296">
      <c r="A296" s="25" t="n">
        <v>39246</v>
      </c>
      <c r="B296" s="18" t="n">
        <v>52993</v>
      </c>
      <c r="C296" s="31" t="n"/>
      <c r="D296" s="32" t="n"/>
      <c r="E296" s="33" t="n">
        <v>0.0289</v>
      </c>
      <c r="F296" t="inlineStr">
        <is>
          <t>Up</t>
        </is>
      </c>
      <c r="G296" t="inlineStr">
        <is>
          <t>Down</t>
        </is>
      </c>
      <c r="H296" t="inlineStr">
        <is>
          <t>EU_JD</t>
        </is>
      </c>
      <c r="I296" t="inlineStr">
        <is>
          <t>2007-06</t>
        </is>
      </c>
      <c r="J296" t="n">
        <v>1</v>
      </c>
      <c r="K296" t="n">
        <v>1</v>
      </c>
      <c r="L296" s="34">
        <f>IF($J296=1,LN(B297/B296),"")</f>
        <v/>
      </c>
      <c r="M296" s="34">
        <f>IF($K296=1,INDEX(Mensal!$D$2:$D$245,MATCH($I296,Mensal!$A$2:$A$245,0)),"")</f>
        <v/>
      </c>
      <c r="N296" s="34">
        <f>IF($K296=1,L296-M296,"")</f>
        <v/>
      </c>
      <c r="O296" s="34" t="n">
        <v>0.00044521</v>
      </c>
      <c r="P296" s="34">
        <f>IF($J296=1,LN(1+O296),"")</f>
        <v/>
      </c>
      <c r="Q296" s="34">
        <f>IF($J296=1,LN(R297/R296),"")</f>
        <v/>
      </c>
      <c r="R296" s="32" t="n">
        <v>1.9442</v>
      </c>
      <c r="S296" s="35" t="n">
        <v>10.853</v>
      </c>
      <c r="T296" s="18" t="n">
        <v>52993</v>
      </c>
      <c r="U296" s="18" t="n"/>
      <c r="V296" s="18" t="n"/>
      <c r="W296" s="18" t="n"/>
      <c r="X296" s="35" t="n"/>
      <c r="Y296" s="35" t="n">
        <v>10.853</v>
      </c>
    </row>
    <row r="297">
      <c r="A297" s="25" t="n">
        <v>39247</v>
      </c>
      <c r="B297" s="18" t="n">
        <v>53713</v>
      </c>
      <c r="C297" s="31" t="n"/>
      <c r="D297" s="32" t="n"/>
      <c r="E297" s="33" t="n">
        <v>0.1786</v>
      </c>
      <c r="F297" t="inlineStr">
        <is>
          <t>Up</t>
        </is>
      </c>
      <c r="G297" t="inlineStr">
        <is>
          <t>Down</t>
        </is>
      </c>
      <c r="H297" t="inlineStr">
        <is>
          <t>EU_JD</t>
        </is>
      </c>
      <c r="I297" t="inlineStr">
        <is>
          <t>2007-06</t>
        </is>
      </c>
      <c r="J297" t="n">
        <v>1</v>
      </c>
      <c r="K297" t="n">
        <v>1</v>
      </c>
      <c r="L297" s="34">
        <f>IF($J297=1,LN(B298/B297),"")</f>
        <v/>
      </c>
      <c r="M297" s="34">
        <f>IF($K297=1,INDEX(Mensal!$D$2:$D$245,MATCH($I297,Mensal!$A$2:$A$245,0)),"")</f>
        <v/>
      </c>
      <c r="N297" s="34">
        <f>IF($K297=1,L297-M297,"")</f>
        <v/>
      </c>
      <c r="O297" s="34" t="n">
        <v>0.0004448499999999999</v>
      </c>
      <c r="P297" s="34">
        <f>IF($J297=1,LN(1+O297),"")</f>
        <v/>
      </c>
      <c r="Q297" s="34">
        <f>IF($J297=1,LN(R298/R297),"")</f>
        <v/>
      </c>
      <c r="R297" s="32" t="n">
        <v>1.9303</v>
      </c>
      <c r="S297" s="35" t="n">
        <v>10.804</v>
      </c>
      <c r="T297" s="18" t="n">
        <v>53713</v>
      </c>
      <c r="U297" s="18" t="n"/>
      <c r="V297" s="18" t="n"/>
      <c r="W297" s="18" t="n"/>
      <c r="X297" s="35" t="n"/>
      <c r="Y297" s="35" t="n">
        <v>10.804</v>
      </c>
    </row>
    <row r="298">
      <c r="A298" s="25" t="n">
        <v>39248</v>
      </c>
      <c r="B298" s="18" t="n">
        <v>54518</v>
      </c>
      <c r="C298" s="31" t="n"/>
      <c r="D298" s="32" t="n"/>
      <c r="E298" s="33" t="n">
        <v>0.3237</v>
      </c>
      <c r="F298" t="inlineStr">
        <is>
          <t>Up</t>
        </is>
      </c>
      <c r="G298" t="inlineStr">
        <is>
          <t>Down</t>
        </is>
      </c>
      <c r="H298" t="inlineStr">
        <is>
          <t>EU_JD</t>
        </is>
      </c>
      <c r="I298" t="inlineStr">
        <is>
          <t>2007-06</t>
        </is>
      </c>
      <c r="J298" t="n">
        <v>1</v>
      </c>
      <c r="K298" t="n">
        <v>1</v>
      </c>
      <c r="L298" s="34">
        <f>IF($J298=1,LN(B299/B298),"")</f>
        <v/>
      </c>
      <c r="M298" s="34">
        <f>IF($K298=1,INDEX(Mensal!$D$2:$D$245,MATCH($I298,Mensal!$A$2:$A$245,0)),"")</f>
        <v/>
      </c>
      <c r="N298" s="34">
        <f>IF($K298=1,L298-M298,"")</f>
        <v/>
      </c>
      <c r="O298" s="34" t="n">
        <v>0.0004448499999999999</v>
      </c>
      <c r="P298" s="34">
        <f>IF($J298=1,LN(1+O298),"")</f>
        <v/>
      </c>
      <c r="Q298" s="34">
        <f>IF($J298=1,LN(R299/R298),"")</f>
        <v/>
      </c>
      <c r="R298" s="32" t="n">
        <v>1.9097</v>
      </c>
      <c r="S298" s="35" t="n">
        <v>10.784</v>
      </c>
      <c r="T298" s="18" t="n">
        <v>54518</v>
      </c>
      <c r="U298" s="18" t="n"/>
      <c r="V298" s="18" t="n"/>
      <c r="W298" s="18" t="n"/>
      <c r="X298" s="35" t="n"/>
      <c r="Y298" s="35" t="n">
        <v>10.784</v>
      </c>
    </row>
    <row r="299">
      <c r="A299" s="25" t="n">
        <v>39251</v>
      </c>
      <c r="B299" s="18" t="n">
        <v>54730</v>
      </c>
      <c r="C299" s="31" t="n"/>
      <c r="D299" s="32" t="n"/>
      <c r="E299" s="33" t="n">
        <v>0.4437</v>
      </c>
      <c r="F299" t="inlineStr">
        <is>
          <t>Up</t>
        </is>
      </c>
      <c r="G299" t="inlineStr">
        <is>
          <t>Down</t>
        </is>
      </c>
      <c r="H299" t="inlineStr">
        <is>
          <t>EU_JD</t>
        </is>
      </c>
      <c r="I299" t="inlineStr">
        <is>
          <t>2007-06</t>
        </is>
      </c>
      <c r="J299" t="n">
        <v>1</v>
      </c>
      <c r="K299" t="n">
        <v>1</v>
      </c>
      <c r="L299" s="34">
        <f>IF($J299=1,LN(B300/B299),"")</f>
        <v/>
      </c>
      <c r="M299" s="34">
        <f>IF($K299=1,INDEX(Mensal!$D$2:$D$245,MATCH($I299,Mensal!$A$2:$A$245,0)),"")</f>
        <v/>
      </c>
      <c r="N299" s="34">
        <f>IF($K299=1,L299-M299,"")</f>
        <v/>
      </c>
      <c r="O299" s="34" t="n">
        <v>0.00044521</v>
      </c>
      <c r="P299" s="34">
        <f>IF($J299=1,LN(1+O299),"")</f>
        <v/>
      </c>
      <c r="Q299" s="34">
        <f>IF($J299=1,LN(R300/R299),"")</f>
        <v/>
      </c>
      <c r="R299" s="32" t="n">
        <v>1.9047</v>
      </c>
      <c r="S299" s="35" t="n">
        <v>10.776</v>
      </c>
      <c r="T299" s="18" t="n">
        <v>54730</v>
      </c>
      <c r="U299" s="18" t="n"/>
      <c r="V299" s="18" t="n"/>
      <c r="W299" s="18" t="n"/>
      <c r="X299" s="35" t="n"/>
      <c r="Y299" s="35" t="n">
        <v>10.776</v>
      </c>
    </row>
    <row r="300">
      <c r="A300" s="25" t="n">
        <v>39252</v>
      </c>
      <c r="B300" s="18" t="n">
        <v>54643</v>
      </c>
      <c r="C300" s="31" t="n"/>
      <c r="D300" s="32" t="n"/>
      <c r="E300" s="33" t="n">
        <v>0.5587</v>
      </c>
      <c r="F300" t="inlineStr">
        <is>
          <t>Up</t>
        </is>
      </c>
      <c r="G300" t="inlineStr">
        <is>
          <t>Down</t>
        </is>
      </c>
      <c r="H300" t="inlineStr">
        <is>
          <t>EU_JD</t>
        </is>
      </c>
      <c r="I300" t="inlineStr">
        <is>
          <t>2007-06</t>
        </is>
      </c>
      <c r="J300" t="n">
        <v>1</v>
      </c>
      <c r="K300" t="n">
        <v>1</v>
      </c>
      <c r="L300" s="34">
        <f>IF($J300=1,LN(B301/B300),"")</f>
        <v/>
      </c>
      <c r="M300" s="34">
        <f>IF($K300=1,INDEX(Mensal!$D$2:$D$245,MATCH($I300,Mensal!$A$2:$A$245,0)),"")</f>
        <v/>
      </c>
      <c r="N300" s="34">
        <f>IF($K300=1,L300-M300,"")</f>
        <v/>
      </c>
      <c r="O300" s="34" t="n">
        <v>0.00044521</v>
      </c>
      <c r="P300" s="34">
        <f>IF($J300=1,LN(1+O300),"")</f>
        <v/>
      </c>
      <c r="Q300" s="34">
        <f>IF($J300=1,LN(R301/R300),"")</f>
        <v/>
      </c>
      <c r="R300" s="32" t="n">
        <v>1.9058</v>
      </c>
      <c r="S300" s="35" t="n">
        <v>10.768</v>
      </c>
      <c r="T300" s="18" t="n">
        <v>54643</v>
      </c>
      <c r="U300" s="18" t="n"/>
      <c r="V300" s="18" t="n"/>
      <c r="W300" s="18" t="n"/>
      <c r="X300" s="35" t="n"/>
      <c r="Y300" s="35" t="n">
        <v>10.768</v>
      </c>
    </row>
    <row r="301">
      <c r="A301" s="25" t="n">
        <v>39253</v>
      </c>
      <c r="B301" s="18" t="n">
        <v>54029</v>
      </c>
      <c r="C301" s="31" t="n"/>
      <c r="D301" s="32" t="n"/>
      <c r="E301" s="33" t="n">
        <v>0.6699000000000001</v>
      </c>
      <c r="F301" t="inlineStr">
        <is>
          <t>Up</t>
        </is>
      </c>
      <c r="G301" t="inlineStr">
        <is>
          <t>Down</t>
        </is>
      </c>
      <c r="H301" t="inlineStr">
        <is>
          <t>EU_JD</t>
        </is>
      </c>
      <c r="I301" t="inlineStr">
        <is>
          <t>2007-06</t>
        </is>
      </c>
      <c r="J301" t="n">
        <v>1</v>
      </c>
      <c r="K301" t="n">
        <v>1</v>
      </c>
      <c r="L301" s="34">
        <f>IF($J301=1,LN(B302/B301),"")</f>
        <v/>
      </c>
      <c r="M301" s="34">
        <f>IF($K301=1,INDEX(Mensal!$D$2:$D$245,MATCH($I301,Mensal!$A$2:$A$245,0)),"")</f>
        <v/>
      </c>
      <c r="N301" s="34">
        <f>IF($K301=1,L301-M301,"")</f>
        <v/>
      </c>
      <c r="O301" s="34" t="n">
        <v>0.0004448499999999999</v>
      </c>
      <c r="P301" s="34">
        <f>IF($J301=1,LN(1+O301),"")</f>
        <v/>
      </c>
      <c r="Q301" s="34">
        <f>IF($J301=1,LN(R302/R301),"")</f>
        <v/>
      </c>
      <c r="R301" s="32" t="n">
        <v>1.9198</v>
      </c>
      <c r="S301" s="35" t="n">
        <v>10.83</v>
      </c>
      <c r="T301" s="18" t="n">
        <v>54029</v>
      </c>
      <c r="U301" s="18" t="n"/>
      <c r="V301" s="18" t="n"/>
      <c r="W301" s="18" t="n"/>
      <c r="X301" s="35" t="n"/>
      <c r="Y301" s="35" t="n">
        <v>10.83</v>
      </c>
    </row>
    <row r="302">
      <c r="A302" s="25" t="n">
        <v>39254</v>
      </c>
      <c r="B302" s="18" t="n">
        <v>54656</v>
      </c>
      <c r="C302" s="31" t="n"/>
      <c r="D302" s="32" t="n"/>
      <c r="E302" s="33" t="n">
        <v>0.7677</v>
      </c>
      <c r="F302" t="inlineStr">
        <is>
          <t>Up</t>
        </is>
      </c>
      <c r="G302" t="inlineStr">
        <is>
          <t>Down</t>
        </is>
      </c>
      <c r="H302" t="inlineStr">
        <is>
          <t>EU_JD</t>
        </is>
      </c>
      <c r="I302" t="inlineStr">
        <is>
          <t>2007-06</t>
        </is>
      </c>
      <c r="J302" t="n">
        <v>1</v>
      </c>
      <c r="K302" t="n">
        <v>1</v>
      </c>
      <c r="L302" s="34">
        <f>IF($J302=1,LN(B303/B302),"")</f>
        <v/>
      </c>
      <c r="M302" s="34">
        <f>IF($K302=1,INDEX(Mensal!$D$2:$D$245,MATCH($I302,Mensal!$A$2:$A$245,0)),"")</f>
        <v/>
      </c>
      <c r="N302" s="34">
        <f>IF($K302=1,L302-M302,"")</f>
        <v/>
      </c>
      <c r="O302" s="34" t="n">
        <v>0.0004448499999999999</v>
      </c>
      <c r="P302" s="34">
        <f>IF($J302=1,LN(1+O302),"")</f>
        <v/>
      </c>
      <c r="Q302" s="34">
        <f>IF($J302=1,LN(R303/R302),"")</f>
        <v/>
      </c>
      <c r="R302" s="32" t="n">
        <v>1.9197</v>
      </c>
      <c r="S302" s="35" t="n">
        <v>10.81</v>
      </c>
      <c r="T302" s="18" t="n">
        <v>54656</v>
      </c>
      <c r="U302" s="18" t="n"/>
      <c r="V302" s="18" t="n"/>
      <c r="W302" s="18" t="n"/>
      <c r="X302" s="35" t="n"/>
      <c r="Y302" s="35" t="n">
        <v>10.81</v>
      </c>
    </row>
    <row r="303">
      <c r="A303" s="25" t="n">
        <v>39255</v>
      </c>
      <c r="B303" s="18" t="n">
        <v>54267</v>
      </c>
      <c r="C303" s="31" t="n"/>
      <c r="D303" s="32" t="n"/>
      <c r="E303" s="33" t="n">
        <v>0.8642</v>
      </c>
      <c r="F303" t="inlineStr">
        <is>
          <t>Up</t>
        </is>
      </c>
      <c r="G303" t="inlineStr">
        <is>
          <t>Down</t>
        </is>
      </c>
      <c r="H303" t="inlineStr">
        <is>
          <t>EU_JD</t>
        </is>
      </c>
      <c r="I303" t="inlineStr">
        <is>
          <t>2007-06</t>
        </is>
      </c>
      <c r="J303" t="n">
        <v>1</v>
      </c>
      <c r="K303" t="n">
        <v>1</v>
      </c>
      <c r="L303" s="34">
        <f>IF($J303=1,LN(B304/B303),"")</f>
        <v/>
      </c>
      <c r="M303" s="34">
        <f>IF($K303=1,INDEX(Mensal!$D$2:$D$245,MATCH($I303,Mensal!$A$2:$A$245,0)),"")</f>
        <v/>
      </c>
      <c r="N303" s="34">
        <f>IF($K303=1,L303-M303,"")</f>
        <v/>
      </c>
      <c r="O303" s="34" t="n">
        <v>0.0004448499999999999</v>
      </c>
      <c r="P303" s="34">
        <f>IF($J303=1,LN(1+O303),"")</f>
        <v/>
      </c>
      <c r="Q303" s="34">
        <f>IF($J303=1,LN(R304/R303),"")</f>
        <v/>
      </c>
      <c r="R303" s="32" t="n">
        <v>1.9334</v>
      </c>
      <c r="S303" s="35" t="n">
        <v>10.867</v>
      </c>
      <c r="T303" s="18" t="n">
        <v>54267</v>
      </c>
      <c r="U303" s="18" t="n"/>
      <c r="V303" s="18" t="n"/>
      <c r="W303" s="18" t="n"/>
      <c r="X303" s="35" t="n"/>
      <c r="Y303" s="35" t="n">
        <v>10.867</v>
      </c>
    </row>
    <row r="304">
      <c r="A304" s="25" t="n">
        <v>39258</v>
      </c>
      <c r="B304" s="18" t="n">
        <v>54041</v>
      </c>
      <c r="C304" s="31" t="n"/>
      <c r="D304" s="32" t="n"/>
      <c r="E304" s="33" t="n">
        <v>0.9578</v>
      </c>
      <c r="F304" t="inlineStr">
        <is>
          <t>Up</t>
        </is>
      </c>
      <c r="G304" t="inlineStr">
        <is>
          <t>Down</t>
        </is>
      </c>
      <c r="H304" t="inlineStr">
        <is>
          <t>EU_JD</t>
        </is>
      </c>
      <c r="I304" t="inlineStr">
        <is>
          <t>2007-06</t>
        </is>
      </c>
      <c r="J304" t="n">
        <v>1</v>
      </c>
      <c r="K304" t="n">
        <v>1</v>
      </c>
      <c r="L304" s="34">
        <f>IF($J304=1,LN(B305/B304),"")</f>
        <v/>
      </c>
      <c r="M304" s="34">
        <f>IF($K304=1,INDEX(Mensal!$D$2:$D$245,MATCH($I304,Mensal!$A$2:$A$245,0)),"")</f>
        <v/>
      </c>
      <c r="N304" s="34">
        <f>IF($K304=1,L304-M304,"")</f>
        <v/>
      </c>
      <c r="O304" s="34" t="n">
        <v>0.0004448499999999999</v>
      </c>
      <c r="P304" s="34">
        <f>IF($J304=1,LN(1+O304),"")</f>
        <v/>
      </c>
      <c r="Q304" s="34">
        <f>IF($J304=1,LN(R305/R304),"")</f>
        <v/>
      </c>
      <c r="R304" s="32" t="n">
        <v>1.9379</v>
      </c>
      <c r="S304" s="35" t="n">
        <v>10.953</v>
      </c>
      <c r="T304" s="18" t="n">
        <v>54041</v>
      </c>
      <c r="U304" s="18" t="n"/>
      <c r="V304" s="18" t="n"/>
      <c r="W304" s="18" t="n"/>
      <c r="X304" s="35" t="n"/>
      <c r="Y304" s="35" t="n">
        <v>10.953</v>
      </c>
    </row>
    <row r="305">
      <c r="A305" s="25" t="n">
        <v>39259</v>
      </c>
      <c r="B305" s="18" t="n">
        <v>53851</v>
      </c>
      <c r="C305" s="31" t="n"/>
      <c r="D305" s="32" t="n"/>
      <c r="E305" s="33" t="n">
        <v>1.0438</v>
      </c>
      <c r="F305" t="inlineStr">
        <is>
          <t>Up</t>
        </is>
      </c>
      <c r="G305" t="inlineStr">
        <is>
          <t>Down</t>
        </is>
      </c>
      <c r="H305" t="inlineStr">
        <is>
          <t>EU_JD</t>
        </is>
      </c>
      <c r="I305" t="inlineStr">
        <is>
          <t>2007-06</t>
        </is>
      </c>
      <c r="J305" t="n">
        <v>1</v>
      </c>
      <c r="K305" t="n">
        <v>1</v>
      </c>
      <c r="L305" s="34">
        <f>IF($J305=1,LN(B306/B305),"")</f>
        <v/>
      </c>
      <c r="M305" s="34">
        <f>IF($K305=1,INDEX(Mensal!$D$2:$D$245,MATCH($I305,Mensal!$A$2:$A$245,0)),"")</f>
        <v/>
      </c>
      <c r="N305" s="34">
        <f>IF($K305=1,L305-M305,"")</f>
        <v/>
      </c>
      <c r="O305" s="34" t="n">
        <v>0.0004448499999999999</v>
      </c>
      <c r="P305" s="34">
        <f>IF($J305=1,LN(1+O305),"")</f>
        <v/>
      </c>
      <c r="Q305" s="34">
        <f>IF($J305=1,LN(R306/R305),"")</f>
        <v/>
      </c>
      <c r="R305" s="32" t="n">
        <v>1.9488</v>
      </c>
      <c r="S305" s="35" t="n">
        <v>10.872</v>
      </c>
      <c r="T305" s="18" t="n">
        <v>53851</v>
      </c>
      <c r="U305" s="18" t="n"/>
      <c r="V305" s="18" t="n"/>
      <c r="W305" s="18" t="n"/>
      <c r="X305" s="35" t="n"/>
      <c r="Y305" s="35" t="n">
        <v>10.872</v>
      </c>
    </row>
    <row r="306">
      <c r="A306" s="25" t="n">
        <v>39260</v>
      </c>
      <c r="B306" s="18" t="n">
        <v>54143</v>
      </c>
      <c r="C306" s="31" t="n"/>
      <c r="D306" s="32" t="n"/>
      <c r="E306" s="33" t="n">
        <v>1.1256</v>
      </c>
      <c r="F306" t="inlineStr">
        <is>
          <t>Up</t>
        </is>
      </c>
      <c r="G306" t="inlineStr">
        <is>
          <t>Down</t>
        </is>
      </c>
      <c r="H306" t="inlineStr">
        <is>
          <t>EU_JD</t>
        </is>
      </c>
      <c r="I306" t="inlineStr">
        <is>
          <t>2007-06</t>
        </is>
      </c>
      <c r="J306" t="n">
        <v>1</v>
      </c>
      <c r="K306" t="n">
        <v>1</v>
      </c>
      <c r="L306" s="34">
        <f>IF($J306=1,LN(B307/B306),"")</f>
        <v/>
      </c>
      <c r="M306" s="34">
        <f>IF($K306=1,INDEX(Mensal!$D$2:$D$245,MATCH($I306,Mensal!$A$2:$A$245,0)),"")</f>
        <v/>
      </c>
      <c r="N306" s="34">
        <f>IF($K306=1,L306-M306,"")</f>
        <v/>
      </c>
      <c r="O306" s="34" t="n">
        <v>0.0004448499999999999</v>
      </c>
      <c r="P306" s="34">
        <f>IF($J306=1,LN(1+O306),"")</f>
        <v/>
      </c>
      <c r="Q306" s="34">
        <f>IF($J306=1,LN(R307/R306),"")</f>
        <v/>
      </c>
      <c r="R306" s="32" t="n">
        <v>1.9499</v>
      </c>
      <c r="S306" s="35" t="n">
        <v>10.823</v>
      </c>
      <c r="T306" s="18" t="n">
        <v>54143</v>
      </c>
      <c r="U306" s="18" t="n"/>
      <c r="V306" s="18" t="n"/>
      <c r="W306" s="18" t="n"/>
      <c r="X306" s="35" t="n"/>
      <c r="Y306" s="35" t="n">
        <v>10.823</v>
      </c>
    </row>
    <row r="307">
      <c r="A307" s="25" t="n">
        <v>39261</v>
      </c>
      <c r="B307" s="18" t="n">
        <v>54146</v>
      </c>
      <c r="C307" s="31" t="n"/>
      <c r="D307" s="32" t="n"/>
      <c r="E307" s="33" t="n">
        <v>1.2026</v>
      </c>
      <c r="F307" t="inlineStr">
        <is>
          <t>Up</t>
        </is>
      </c>
      <c r="G307" t="inlineStr">
        <is>
          <t>Down</t>
        </is>
      </c>
      <c r="H307" t="inlineStr">
        <is>
          <t>EU_JD</t>
        </is>
      </c>
      <c r="I307" t="inlineStr">
        <is>
          <t>2007-06</t>
        </is>
      </c>
      <c r="J307" t="n">
        <v>1</v>
      </c>
      <c r="K307" t="n">
        <v>1</v>
      </c>
      <c r="L307" s="34">
        <f>IF($J307=1,LN(B308/B307),"")</f>
        <v/>
      </c>
      <c r="M307" s="34">
        <f>IF($K307=1,INDEX(Mensal!$D$2:$D$245,MATCH($I307,Mensal!$A$2:$A$245,0)),"")</f>
        <v/>
      </c>
      <c r="N307" s="34">
        <f>IF($K307=1,L307-M307,"")</f>
        <v/>
      </c>
      <c r="O307" s="34" t="n">
        <v>0.00044521</v>
      </c>
      <c r="P307" s="34">
        <f>IF($J307=1,LN(1+O307),"")</f>
        <v/>
      </c>
      <c r="Q307" s="34">
        <f>IF($J307=1,LN(R308/R307),"")</f>
        <v/>
      </c>
      <c r="R307" s="32" t="n">
        <v>1.9256</v>
      </c>
      <c r="S307" s="35" t="n">
        <v>10.79</v>
      </c>
      <c r="T307" s="18" t="n">
        <v>54146</v>
      </c>
      <c r="U307" s="18" t="n"/>
      <c r="V307" s="18" t="n"/>
      <c r="W307" s="18" t="n"/>
      <c r="X307" s="35" t="n"/>
      <c r="Y307" s="35" t="n">
        <v>10.79</v>
      </c>
    </row>
    <row r="308">
      <c r="A308" s="25" t="n">
        <v>39262</v>
      </c>
      <c r="B308" s="18" t="n">
        <v>54392</v>
      </c>
      <c r="C308" s="31" t="n"/>
      <c r="D308" s="32" t="n"/>
      <c r="E308" s="33" t="n">
        <v>1.27</v>
      </c>
      <c r="F308" t="inlineStr">
        <is>
          <t>Up</t>
        </is>
      </c>
      <c r="G308" t="inlineStr">
        <is>
          <t>Down</t>
        </is>
      </c>
      <c r="H308" t="inlineStr">
        <is>
          <t>EU_JD</t>
        </is>
      </c>
      <c r="I308" t="inlineStr">
        <is>
          <t>2007-06</t>
        </is>
      </c>
      <c r="J308" t="n">
        <v>1</v>
      </c>
      <c r="K308" t="n">
        <v>1</v>
      </c>
      <c r="L308" s="34">
        <f>IF($J308=1,LN(B309/B308),"")</f>
        <v/>
      </c>
      <c r="M308" s="34">
        <f>IF($K308=1,INDEX(Mensal!$D$2:$D$245,MATCH($I308,Mensal!$A$2:$A$245,0)),"")</f>
        <v/>
      </c>
      <c r="N308" s="34">
        <f>IF($K308=1,L308-M308,"")</f>
        <v/>
      </c>
      <c r="O308" s="34" t="n">
        <v>0.00044592</v>
      </c>
      <c r="P308" s="34">
        <f>IF($J308=1,LN(1+O308),"")</f>
        <v/>
      </c>
      <c r="Q308" s="34">
        <f>IF($J308=1,LN(R309/R308),"")</f>
        <v/>
      </c>
      <c r="R308" s="32" t="n">
        <v>1.9262</v>
      </c>
      <c r="S308" s="35" t="n">
        <v>10.767</v>
      </c>
      <c r="T308" s="18" t="n">
        <v>54392</v>
      </c>
      <c r="U308" s="18" t="n"/>
      <c r="V308" s="18" t="n"/>
      <c r="W308" s="18" t="n"/>
      <c r="X308" s="35" t="n"/>
      <c r="Y308" s="35" t="n">
        <v>10.767</v>
      </c>
    </row>
    <row r="309">
      <c r="A309" s="25" t="n">
        <v>39265</v>
      </c>
      <c r="B309" s="18" t="n">
        <v>55371</v>
      </c>
      <c r="C309" s="31" t="n"/>
      <c r="D309" s="32" t="n"/>
      <c r="E309" s="33" t="n">
        <v>1.3375</v>
      </c>
      <c r="F309" t="inlineStr">
        <is>
          <t>Up</t>
        </is>
      </c>
      <c r="G309" t="inlineStr">
        <is>
          <t>Down</t>
        </is>
      </c>
      <c r="H309" t="inlineStr">
        <is>
          <t>EU_JD</t>
        </is>
      </c>
      <c r="I309" t="inlineStr">
        <is>
          <t>2007-07</t>
        </is>
      </c>
      <c r="J309" t="n">
        <v>1</v>
      </c>
      <c r="K309" t="n">
        <v>1</v>
      </c>
      <c r="L309" s="34">
        <f>IF($J309=1,LN(B310/B309),"")</f>
        <v/>
      </c>
      <c r="M309" s="34">
        <f>IF($K309=1,INDEX(Mensal!$D$2:$D$245,MATCH($I309,Mensal!$A$2:$A$245,0)),"")</f>
        <v/>
      </c>
      <c r="N309" s="34">
        <f>IF($K309=1,L309-M309,"")</f>
        <v/>
      </c>
      <c r="O309" s="34" t="n">
        <v>0.00044556</v>
      </c>
      <c r="P309" s="34">
        <f>IF($J309=1,LN(1+O309),"")</f>
        <v/>
      </c>
      <c r="Q309" s="34">
        <f>IF($J309=1,LN(R310/R309),"")</f>
        <v/>
      </c>
      <c r="R309" s="32" t="n">
        <v>1.9176</v>
      </c>
      <c r="S309" s="35" t="n">
        <v>10.776</v>
      </c>
      <c r="T309" s="18" t="n">
        <v>55371</v>
      </c>
      <c r="U309" s="18" t="n"/>
      <c r="V309" s="18" t="n"/>
      <c r="W309" s="18" t="n"/>
      <c r="X309" s="35" t="n"/>
      <c r="Y309" s="35" t="n">
        <v>10.776</v>
      </c>
    </row>
    <row r="310">
      <c r="A310" s="25" t="n">
        <v>39266</v>
      </c>
      <c r="B310" s="18" t="n">
        <v>55699</v>
      </c>
      <c r="C310" s="31" t="n"/>
      <c r="D310" s="32" t="n"/>
      <c r="E310" s="33" t="n">
        <v>1.4003</v>
      </c>
      <c r="F310" t="inlineStr">
        <is>
          <t>Up</t>
        </is>
      </c>
      <c r="G310" t="inlineStr">
        <is>
          <t>Down</t>
        </is>
      </c>
      <c r="H310" t="inlineStr">
        <is>
          <t>EU_JD</t>
        </is>
      </c>
      <c r="I310" t="inlineStr">
        <is>
          <t>2007-07</t>
        </is>
      </c>
      <c r="J310" t="n">
        <v>1</v>
      </c>
      <c r="K310" t="n">
        <v>1</v>
      </c>
      <c r="L310" s="34">
        <f>IF($J310=1,LN(B311/B310),"")</f>
        <v/>
      </c>
      <c r="M310" s="34">
        <f>IF($K310=1,INDEX(Mensal!$D$2:$D$245,MATCH($I310,Mensal!$A$2:$A$245,0)),"")</f>
        <v/>
      </c>
      <c r="N310" s="34">
        <f>IF($K310=1,L310-M310,"")</f>
        <v/>
      </c>
      <c r="O310" s="34" t="n">
        <v>0.00044521</v>
      </c>
      <c r="P310" s="34">
        <f>IF($J310=1,LN(1+O310),"")</f>
        <v/>
      </c>
      <c r="Q310" s="34">
        <f>IF($J310=1,LN(R311/R310),"")</f>
        <v/>
      </c>
      <c r="R310" s="32" t="n">
        <v>1.9122</v>
      </c>
      <c r="S310" s="35" t="n">
        <v>10.788</v>
      </c>
      <c r="T310" s="18" t="n">
        <v>55699</v>
      </c>
      <c r="U310" s="18" t="n"/>
      <c r="V310" s="18" t="n"/>
      <c r="W310" s="18" t="n"/>
      <c r="X310" s="35" t="n"/>
      <c r="Y310" s="35" t="n">
        <v>10.788</v>
      </c>
    </row>
    <row r="311">
      <c r="A311" s="25" t="n">
        <v>39267</v>
      </c>
      <c r="B311" s="18" t="n">
        <v>55696</v>
      </c>
      <c r="C311" s="31" t="n"/>
      <c r="D311" s="32" t="n"/>
      <c r="E311" s="33" t="n">
        <v>1.4776</v>
      </c>
      <c r="F311" t="inlineStr">
        <is>
          <t>Up</t>
        </is>
      </c>
      <c r="G311" t="inlineStr">
        <is>
          <t>Down</t>
        </is>
      </c>
      <c r="H311" t="inlineStr">
        <is>
          <t>EU_JD</t>
        </is>
      </c>
      <c r="I311" t="inlineStr">
        <is>
          <t>2007-07</t>
        </is>
      </c>
      <c r="J311" t="n">
        <v>1</v>
      </c>
      <c r="K311" t="n">
        <v>1</v>
      </c>
      <c r="L311" s="34">
        <f>IF($J311=1,LN(B312/B311),"")</f>
        <v/>
      </c>
      <c r="M311" s="34">
        <f>IF($K311=1,INDEX(Mensal!$D$2:$D$245,MATCH($I311,Mensal!$A$2:$A$245,0)),"")</f>
        <v/>
      </c>
      <c r="N311" s="34">
        <f>IF($K311=1,L311-M311,"")</f>
        <v/>
      </c>
      <c r="O311" s="34" t="n">
        <v>0.00044521</v>
      </c>
      <c r="P311" s="34">
        <f>IF($J311=1,LN(1+O311),"")</f>
        <v/>
      </c>
      <c r="Q311" s="34">
        <f>IF($J311=1,LN(R312/R311),"")</f>
        <v/>
      </c>
      <c r="R311" s="32" t="n">
        <v>1.9099</v>
      </c>
      <c r="S311" s="35" t="n">
        <v>10.893</v>
      </c>
      <c r="T311" s="18" t="n">
        <v>55696</v>
      </c>
      <c r="U311" s="18" t="n"/>
      <c r="V311" s="18" t="n"/>
      <c r="W311" s="18" t="n"/>
      <c r="X311" s="35" t="n"/>
      <c r="Y311" s="35" t="n">
        <v>10.893</v>
      </c>
    </row>
    <row r="312">
      <c r="A312" s="25" t="n">
        <v>39268</v>
      </c>
      <c r="B312" s="18" t="n">
        <v>55932</v>
      </c>
      <c r="C312" s="31" t="n"/>
      <c r="D312" s="32" t="n"/>
      <c r="E312" s="33" t="n">
        <v>1.5531</v>
      </c>
      <c r="F312" t="inlineStr">
        <is>
          <t>Up</t>
        </is>
      </c>
      <c r="G312" t="inlineStr">
        <is>
          <t>Down</t>
        </is>
      </c>
      <c r="H312" t="inlineStr">
        <is>
          <t>EU_JD</t>
        </is>
      </c>
      <c r="I312" t="inlineStr">
        <is>
          <t>2007-07</t>
        </is>
      </c>
      <c r="J312" t="n">
        <v>1</v>
      </c>
      <c r="K312" t="n">
        <v>1</v>
      </c>
      <c r="L312" s="34">
        <f>IF($J312=1,LN(B313/B312),"")</f>
        <v/>
      </c>
      <c r="M312" s="34">
        <f>IF($K312=1,INDEX(Mensal!$D$2:$D$245,MATCH($I312,Mensal!$A$2:$A$245,0)),"")</f>
        <v/>
      </c>
      <c r="N312" s="34">
        <f>IF($K312=1,L312-M312,"")</f>
        <v/>
      </c>
      <c r="O312" s="34" t="n">
        <v>0.00044521</v>
      </c>
      <c r="P312" s="34">
        <f>IF($J312=1,LN(1+O312),"")</f>
        <v/>
      </c>
      <c r="Q312" s="34">
        <f>IF($J312=1,LN(R313/R312),"")</f>
        <v/>
      </c>
      <c r="R312" s="32" t="n">
        <v>1.9157</v>
      </c>
      <c r="S312" s="35" t="n">
        <v>10.88</v>
      </c>
      <c r="T312" s="18" t="n">
        <v>55932</v>
      </c>
      <c r="U312" s="18" t="n"/>
      <c r="V312" s="18" t="n"/>
      <c r="W312" s="18" t="n"/>
      <c r="X312" s="35" t="n"/>
      <c r="Y312" s="35" t="n">
        <v>10.88</v>
      </c>
    </row>
    <row r="313">
      <c r="A313" s="25" t="n">
        <v>39269</v>
      </c>
      <c r="B313" s="18" t="n">
        <v>56444</v>
      </c>
      <c r="C313" s="31" t="n"/>
      <c r="D313" s="32" t="n"/>
      <c r="E313" s="33" t="n">
        <v>1.5836</v>
      </c>
      <c r="F313" t="inlineStr">
        <is>
          <t>Up</t>
        </is>
      </c>
      <c r="G313" t="inlineStr">
        <is>
          <t>Down</t>
        </is>
      </c>
      <c r="H313" t="inlineStr">
        <is>
          <t>EU_JD</t>
        </is>
      </c>
      <c r="I313" t="inlineStr">
        <is>
          <t>2007-07</t>
        </is>
      </c>
      <c r="J313" t="n">
        <v>1</v>
      </c>
      <c r="K313" t="n">
        <v>1</v>
      </c>
      <c r="L313" s="34">
        <f>IF($J313=1,LN(B314/B313),"")</f>
        <v/>
      </c>
      <c r="M313" s="34">
        <f>IF($K313=1,INDEX(Mensal!$D$2:$D$245,MATCH($I313,Mensal!$A$2:$A$245,0)),"")</f>
        <v/>
      </c>
      <c r="N313" s="34">
        <f>IF($K313=1,L313-M313,"")</f>
        <v/>
      </c>
      <c r="O313" s="34" t="n">
        <v>0.00044556</v>
      </c>
      <c r="P313" s="34">
        <f>IF($J313=1,LN(1+O313),"")</f>
        <v/>
      </c>
      <c r="Q313" s="34">
        <f>IF($J313=1,LN(R314/R313),"")</f>
        <v/>
      </c>
      <c r="R313" s="32" t="n">
        <v>1.9033</v>
      </c>
      <c r="S313" s="35" t="n">
        <v>10.784</v>
      </c>
      <c r="T313" s="18" t="n">
        <v>56444</v>
      </c>
      <c r="U313" s="18" t="n"/>
      <c r="V313" s="18" t="n"/>
      <c r="W313" s="18" t="n"/>
      <c r="X313" s="35" t="n"/>
      <c r="Y313" s="35" t="n">
        <v>10.784</v>
      </c>
    </row>
    <row r="314">
      <c r="A314" s="25" t="n">
        <v>39273</v>
      </c>
      <c r="B314" s="18" t="n">
        <v>55882</v>
      </c>
      <c r="C314" s="31" t="n"/>
      <c r="D314" s="32" t="n"/>
      <c r="E314" s="33" t="n">
        <v>1.6119</v>
      </c>
      <c r="F314" t="inlineStr">
        <is>
          <t>Up</t>
        </is>
      </c>
      <c r="G314" t="inlineStr">
        <is>
          <t>Down</t>
        </is>
      </c>
      <c r="H314" t="inlineStr">
        <is>
          <t>EU_JD</t>
        </is>
      </c>
      <c r="I314" t="inlineStr">
        <is>
          <t>2007-07</t>
        </is>
      </c>
      <c r="J314" t="n">
        <v>1</v>
      </c>
      <c r="K314" t="n">
        <v>1</v>
      </c>
      <c r="L314" s="34">
        <f>IF($J314=1,LN(B315/B314),"")</f>
        <v/>
      </c>
      <c r="M314" s="34">
        <f>IF($K314=1,INDEX(Mensal!$D$2:$D$245,MATCH($I314,Mensal!$A$2:$A$245,0)),"")</f>
        <v/>
      </c>
      <c r="N314" s="34">
        <f>IF($K314=1,L314-M314,"")</f>
        <v/>
      </c>
      <c r="O314" s="34" t="n">
        <v>0.00044521</v>
      </c>
      <c r="P314" s="34">
        <f>IF($J314=1,LN(1+O314),"")</f>
        <v/>
      </c>
      <c r="Q314" s="34">
        <f>IF($J314=1,LN(R315/R314),"")</f>
        <v/>
      </c>
      <c r="R314" s="32" t="n">
        <v>1.8947</v>
      </c>
      <c r="S314" s="35" t="n">
        <v>10.803</v>
      </c>
      <c r="T314" s="18" t="n">
        <v>55882</v>
      </c>
      <c r="U314" s="18" t="n"/>
      <c r="V314" s="18" t="n"/>
      <c r="W314" s="18" t="n"/>
      <c r="X314" s="35" t="n"/>
      <c r="Y314" s="35" t="n">
        <v>10.803</v>
      </c>
    </row>
    <row r="315">
      <c r="A315" s="25" t="n">
        <v>39274</v>
      </c>
      <c r="B315" s="18" t="n">
        <v>56356</v>
      </c>
      <c r="C315" s="31" t="n"/>
      <c r="D315" s="32" t="n"/>
      <c r="E315" s="33" t="n">
        <v>1.6315</v>
      </c>
      <c r="F315" t="inlineStr">
        <is>
          <t>Up</t>
        </is>
      </c>
      <c r="G315" t="inlineStr">
        <is>
          <t>Down</t>
        </is>
      </c>
      <c r="H315" t="inlineStr">
        <is>
          <t>EU_JD</t>
        </is>
      </c>
      <c r="I315" t="inlineStr">
        <is>
          <t>2007-07</t>
        </is>
      </c>
      <c r="J315" t="n">
        <v>1</v>
      </c>
      <c r="K315" t="n">
        <v>1</v>
      </c>
      <c r="L315" s="34">
        <f>IF($J315=1,LN(B316/B315),"")</f>
        <v/>
      </c>
      <c r="M315" s="34">
        <f>IF($K315=1,INDEX(Mensal!$D$2:$D$245,MATCH($I315,Mensal!$A$2:$A$245,0)),"")</f>
        <v/>
      </c>
      <c r="N315" s="34">
        <f>IF($K315=1,L315-M315,"")</f>
        <v/>
      </c>
      <c r="O315" s="34" t="n">
        <v>0.00044556</v>
      </c>
      <c r="P315" s="34">
        <f>IF($J315=1,LN(1+O315),"")</f>
        <v/>
      </c>
      <c r="Q315" s="34">
        <f>IF($J315=1,LN(R316/R315),"")</f>
        <v/>
      </c>
      <c r="R315" s="32" t="n">
        <v>1.89</v>
      </c>
      <c r="S315" s="35" t="n">
        <v>10.776</v>
      </c>
      <c r="T315" s="18" t="n">
        <v>56356</v>
      </c>
      <c r="U315" s="18" t="n"/>
      <c r="V315" s="18" t="n"/>
      <c r="W315" s="18" t="n"/>
      <c r="X315" s="35" t="n"/>
      <c r="Y315" s="35" t="n">
        <v>10.776</v>
      </c>
    </row>
    <row r="316">
      <c r="A316" s="25" t="n">
        <v>39275</v>
      </c>
      <c r="B316" s="18" t="n">
        <v>57613</v>
      </c>
      <c r="C316" s="31" t="n"/>
      <c r="D316" s="32" t="n"/>
      <c r="E316" s="33" t="n">
        <v>1.6568</v>
      </c>
      <c r="F316" t="inlineStr">
        <is>
          <t>Up</t>
        </is>
      </c>
      <c r="G316" t="inlineStr">
        <is>
          <t>Down</t>
        </is>
      </c>
      <c r="H316" t="inlineStr">
        <is>
          <t>EU_JD</t>
        </is>
      </c>
      <c r="I316" t="inlineStr">
        <is>
          <t>2007-07</t>
        </is>
      </c>
      <c r="J316" t="n">
        <v>1</v>
      </c>
      <c r="K316" t="n">
        <v>1</v>
      </c>
      <c r="L316" s="34">
        <f>IF($J316=1,LN(B317/B316),"")</f>
        <v/>
      </c>
      <c r="M316" s="34">
        <f>IF($K316=1,INDEX(Mensal!$D$2:$D$245,MATCH($I316,Mensal!$A$2:$A$245,0)),"")</f>
        <v/>
      </c>
      <c r="N316" s="34">
        <f>IF($K316=1,L316-M316,"")</f>
        <v/>
      </c>
      <c r="O316" s="34" t="n">
        <v>0.00044521</v>
      </c>
      <c r="P316" s="34">
        <f>IF($J316=1,LN(1+O316),"")</f>
        <v/>
      </c>
      <c r="Q316" s="34">
        <f>IF($J316=1,LN(R317/R316),"")</f>
        <v/>
      </c>
      <c r="R316" s="32" t="n">
        <v>1.8767</v>
      </c>
      <c r="S316" s="35" t="n">
        <v>10.717</v>
      </c>
      <c r="T316" s="18" t="n">
        <v>57613</v>
      </c>
      <c r="U316" s="18" t="n"/>
      <c r="V316" s="18" t="n"/>
      <c r="W316" s="18" t="n"/>
      <c r="X316" s="35" t="n"/>
      <c r="Y316" s="35" t="n">
        <v>10.717</v>
      </c>
    </row>
    <row r="317">
      <c r="A317" s="25" t="n">
        <v>39276</v>
      </c>
      <c r="B317" s="18" t="n">
        <v>57644</v>
      </c>
      <c r="C317" s="31" t="n"/>
      <c r="D317" s="32" t="n"/>
      <c r="E317" s="33" t="n">
        <v>1.6845</v>
      </c>
      <c r="F317" t="inlineStr">
        <is>
          <t>Up</t>
        </is>
      </c>
      <c r="G317" t="inlineStr">
        <is>
          <t>Down</t>
        </is>
      </c>
      <c r="H317" t="inlineStr">
        <is>
          <t>EU_JD</t>
        </is>
      </c>
      <c r="I317" t="inlineStr">
        <is>
          <t>2007-07</t>
        </is>
      </c>
      <c r="J317" t="n">
        <v>1</v>
      </c>
      <c r="K317" t="n">
        <v>1</v>
      </c>
      <c r="L317" s="34">
        <f>IF($J317=1,LN(B318/B317),"")</f>
        <v/>
      </c>
      <c r="M317" s="34">
        <f>IF($K317=1,INDEX(Mensal!$D$2:$D$245,MATCH($I317,Mensal!$A$2:$A$245,0)),"")</f>
        <v/>
      </c>
      <c r="N317" s="34">
        <f>IF($K317=1,L317-M317,"")</f>
        <v/>
      </c>
      <c r="O317" s="34" t="n">
        <v>0.0004448499999999999</v>
      </c>
      <c r="P317" s="34">
        <f>IF($J317=1,LN(1+O317),"")</f>
        <v/>
      </c>
      <c r="Q317" s="34">
        <f>IF($J317=1,LN(R318/R317),"")</f>
        <v/>
      </c>
      <c r="R317" s="32" t="n">
        <v>1.8684</v>
      </c>
      <c r="S317" s="35" t="n">
        <v>10.71</v>
      </c>
      <c r="T317" s="18" t="n">
        <v>57644</v>
      </c>
      <c r="U317" s="18" t="n"/>
      <c r="V317" s="18" t="n"/>
      <c r="W317" s="18" t="n"/>
      <c r="X317" s="35" t="n"/>
      <c r="Y317" s="35" t="n">
        <v>10.71</v>
      </c>
    </row>
    <row r="318">
      <c r="A318" s="25" t="n">
        <v>39279</v>
      </c>
      <c r="B318" s="18" t="n">
        <v>57374</v>
      </c>
      <c r="C318" s="31" t="n"/>
      <c r="D318" s="32" t="n"/>
      <c r="E318" s="33" t="n">
        <v>1.7127</v>
      </c>
      <c r="F318" t="inlineStr">
        <is>
          <t>Up</t>
        </is>
      </c>
      <c r="G318" t="inlineStr">
        <is>
          <t>Down</t>
        </is>
      </c>
      <c r="H318" t="inlineStr">
        <is>
          <t>EU_JD</t>
        </is>
      </c>
      <c r="I318" t="inlineStr">
        <is>
          <t>2007-07</t>
        </is>
      </c>
      <c r="J318" t="n">
        <v>1</v>
      </c>
      <c r="K318" t="n">
        <v>1</v>
      </c>
      <c r="L318" s="34">
        <f>IF($J318=1,LN(B319/B318),"")</f>
        <v/>
      </c>
      <c r="M318" s="34">
        <f>IF($K318=1,INDEX(Mensal!$D$2:$D$245,MATCH($I318,Mensal!$A$2:$A$245,0)),"")</f>
        <v/>
      </c>
      <c r="N318" s="34">
        <f>IF($K318=1,L318-M318,"")</f>
        <v/>
      </c>
      <c r="O318" s="34" t="n">
        <v>0.0004448499999999999</v>
      </c>
      <c r="P318" s="34">
        <f>IF($J318=1,LN(1+O318),"")</f>
        <v/>
      </c>
      <c r="Q318" s="34">
        <f>IF($J318=1,LN(R319/R318),"")</f>
        <v/>
      </c>
      <c r="R318" s="32" t="n">
        <v>1.8647</v>
      </c>
      <c r="S318" s="35" t="n">
        <v>10.732</v>
      </c>
      <c r="T318" s="18" t="n">
        <v>57374</v>
      </c>
      <c r="U318" s="18" t="n"/>
      <c r="V318" s="18" t="n"/>
      <c r="W318" s="18" t="n"/>
      <c r="X318" s="35" t="n"/>
      <c r="Y318" s="35" t="n">
        <v>10.732</v>
      </c>
    </row>
    <row r="319">
      <c r="A319" s="25" t="n">
        <v>39280</v>
      </c>
      <c r="B319" s="18" t="n">
        <v>57659</v>
      </c>
      <c r="C319" s="31" t="n"/>
      <c r="D319" s="32" t="n"/>
      <c r="E319" s="33" t="n">
        <v>1.7079</v>
      </c>
      <c r="F319" t="inlineStr">
        <is>
          <t>Up</t>
        </is>
      </c>
      <c r="G319" t="inlineStr">
        <is>
          <t>Down</t>
        </is>
      </c>
      <c r="H319" t="inlineStr">
        <is>
          <t>EU_JD</t>
        </is>
      </c>
      <c r="I319" t="inlineStr">
        <is>
          <t>2007-07</t>
        </is>
      </c>
      <c r="J319" t="n">
        <v>1</v>
      </c>
      <c r="K319" t="n">
        <v>1</v>
      </c>
      <c r="L319" s="34">
        <f>IF($J319=1,LN(B320/B319),"")</f>
        <v/>
      </c>
      <c r="M319" s="34">
        <f>IF($K319=1,INDEX(Mensal!$D$2:$D$245,MATCH($I319,Mensal!$A$2:$A$245,0)),"")</f>
        <v/>
      </c>
      <c r="N319" s="34">
        <f>IF($K319=1,L319-M319,"")</f>
        <v/>
      </c>
      <c r="O319" s="34" t="n">
        <v>0.0004448499999999999</v>
      </c>
      <c r="P319" s="34">
        <f>IF($J319=1,LN(1+O319),"")</f>
        <v/>
      </c>
      <c r="Q319" s="34">
        <f>IF($J319=1,LN(R320/R319),"")</f>
        <v/>
      </c>
      <c r="R319" s="32" t="n">
        <v>1.8621</v>
      </c>
      <c r="S319" s="35" t="n">
        <v>10.712</v>
      </c>
      <c r="T319" s="18" t="n">
        <v>57659</v>
      </c>
      <c r="U319" s="18" t="n"/>
      <c r="V319" s="18" t="n"/>
      <c r="W319" s="18" t="n"/>
      <c r="X319" s="35" t="n"/>
      <c r="Y319" s="35" t="n">
        <v>10.712</v>
      </c>
    </row>
    <row r="320">
      <c r="A320" s="25" t="n">
        <v>39281</v>
      </c>
      <c r="B320" s="18" t="n">
        <v>57555</v>
      </c>
      <c r="C320" s="31" t="n"/>
      <c r="D320" s="32" t="n"/>
      <c r="E320" s="33" t="n">
        <v>1.7085</v>
      </c>
      <c r="F320" t="inlineStr">
        <is>
          <t>Up</t>
        </is>
      </c>
      <c r="G320" t="inlineStr">
        <is>
          <t>Down</t>
        </is>
      </c>
      <c r="H320" t="inlineStr">
        <is>
          <t>EU_JD</t>
        </is>
      </c>
      <c r="I320" t="inlineStr">
        <is>
          <t>2007-07</t>
        </is>
      </c>
      <c r="J320" t="n">
        <v>1</v>
      </c>
      <c r="K320" t="n">
        <v>1</v>
      </c>
      <c r="L320" s="34">
        <f>IF($J320=1,LN(B321/B320),"")</f>
        <v/>
      </c>
      <c r="M320" s="34">
        <f>IF($K320=1,INDEX(Mensal!$D$2:$D$245,MATCH($I320,Mensal!$A$2:$A$245,0)),"")</f>
        <v/>
      </c>
      <c r="N320" s="34">
        <f>IF($K320=1,L320-M320,"")</f>
        <v/>
      </c>
      <c r="O320" s="34" t="n">
        <v>0.00044556</v>
      </c>
      <c r="P320" s="34">
        <f>IF($J320=1,LN(1+O320),"")</f>
        <v/>
      </c>
      <c r="Q320" s="34">
        <f>IF($J320=1,LN(R321/R320),"")</f>
        <v/>
      </c>
      <c r="R320" s="32" t="n">
        <v>1.8609</v>
      </c>
      <c r="S320" s="35" t="n">
        <v>10.695</v>
      </c>
      <c r="T320" s="18" t="n">
        <v>57555</v>
      </c>
      <c r="U320" s="18" t="n"/>
      <c r="V320" s="18" t="n"/>
      <c r="W320" s="18" t="n"/>
      <c r="X320" s="35" t="n"/>
      <c r="Y320" s="35" t="n">
        <v>10.695</v>
      </c>
    </row>
    <row r="321">
      <c r="A321" s="25" t="n">
        <v>39282</v>
      </c>
      <c r="B321" s="18" t="n">
        <v>58124</v>
      </c>
      <c r="C321" s="31" t="n"/>
      <c r="D321" s="32" t="n"/>
      <c r="E321" s="33" t="n">
        <v>1.7076</v>
      </c>
      <c r="F321" t="inlineStr">
        <is>
          <t>Up</t>
        </is>
      </c>
      <c r="G321" t="inlineStr">
        <is>
          <t>Down</t>
        </is>
      </c>
      <c r="H321" t="inlineStr">
        <is>
          <t>EU_JD</t>
        </is>
      </c>
      <c r="I321" t="inlineStr">
        <is>
          <t>2007-07</t>
        </is>
      </c>
      <c r="J321" t="n">
        <v>1</v>
      </c>
      <c r="K321" t="n">
        <v>1</v>
      </c>
      <c r="L321" s="34">
        <f>IF($J321=1,LN(B322/B321),"")</f>
        <v/>
      </c>
      <c r="M321" s="34">
        <f>IF($K321=1,INDEX(Mensal!$D$2:$D$245,MATCH($I321,Mensal!$A$2:$A$245,0)),"")</f>
        <v/>
      </c>
      <c r="N321" s="34">
        <f>IF($K321=1,L321-M321,"")</f>
        <v/>
      </c>
      <c r="O321" s="34" t="n">
        <v>0.00042671</v>
      </c>
      <c r="P321" s="34">
        <f>IF($J321=1,LN(1+O321),"")</f>
        <v/>
      </c>
      <c r="Q321" s="34">
        <f>IF($J321=1,LN(R322/R321),"")</f>
        <v/>
      </c>
      <c r="R321" s="32" t="n">
        <v>1.8536</v>
      </c>
      <c r="S321" s="35" t="n">
        <v>10.771</v>
      </c>
      <c r="T321" s="18" t="n">
        <v>58124</v>
      </c>
      <c r="U321" s="18" t="n"/>
      <c r="V321" s="18" t="n"/>
      <c r="W321" s="18" t="n"/>
      <c r="X321" s="35" t="n"/>
      <c r="Y321" s="35" t="n">
        <v>10.771</v>
      </c>
    </row>
    <row r="322">
      <c r="A322" s="25" t="n">
        <v>39283</v>
      </c>
      <c r="B322" s="18" t="n">
        <v>57442</v>
      </c>
      <c r="C322" s="31" t="n"/>
      <c r="D322" s="32" t="n"/>
      <c r="E322" s="33" t="n">
        <v>1.7047</v>
      </c>
      <c r="F322" t="inlineStr">
        <is>
          <t>Up</t>
        </is>
      </c>
      <c r="G322" t="inlineStr">
        <is>
          <t>Down</t>
        </is>
      </c>
      <c r="H322" t="inlineStr">
        <is>
          <t>EU_JD</t>
        </is>
      </c>
      <c r="I322" t="inlineStr">
        <is>
          <t>2007-07</t>
        </is>
      </c>
      <c r="J322" t="n">
        <v>1</v>
      </c>
      <c r="K322" t="n">
        <v>1</v>
      </c>
      <c r="L322" s="34">
        <f>IF($J322=1,LN(B323/B322),"")</f>
        <v/>
      </c>
      <c r="M322" s="34">
        <f>IF($K322=1,INDEX(Mensal!$D$2:$D$245,MATCH($I322,Mensal!$A$2:$A$245,0)),"")</f>
        <v/>
      </c>
      <c r="N322" s="34">
        <f>IF($K322=1,L322-M322,"")</f>
        <v/>
      </c>
      <c r="O322" s="34" t="n">
        <v>0.00042742</v>
      </c>
      <c r="P322" s="34">
        <f>IF($J322=1,LN(1+O322),"")</f>
        <v/>
      </c>
      <c r="Q322" s="34">
        <f>IF($J322=1,LN(R323/R322),"")</f>
        <v/>
      </c>
      <c r="R322" s="32" t="n">
        <v>1.8606</v>
      </c>
      <c r="S322" s="35" t="n">
        <v>10.796</v>
      </c>
      <c r="T322" s="18" t="n">
        <v>57442</v>
      </c>
      <c r="U322" s="18" t="n"/>
      <c r="V322" s="18" t="n"/>
      <c r="W322" s="18" t="n"/>
      <c r="X322" s="35" t="n"/>
      <c r="Y322" s="35" t="n">
        <v>10.796</v>
      </c>
    </row>
    <row r="323">
      <c r="A323" s="25" t="n">
        <v>39286</v>
      </c>
      <c r="B323" s="18" t="n">
        <v>58036</v>
      </c>
      <c r="C323" s="31" t="n"/>
      <c r="D323" s="32" t="n"/>
      <c r="E323" s="33" t="n">
        <v>1.7168</v>
      </c>
      <c r="F323" t="inlineStr">
        <is>
          <t>Up</t>
        </is>
      </c>
      <c r="G323" t="inlineStr">
        <is>
          <t>Down</t>
        </is>
      </c>
      <c r="H323" t="inlineStr">
        <is>
          <t>EU_JD</t>
        </is>
      </c>
      <c r="I323" t="inlineStr">
        <is>
          <t>2007-07</t>
        </is>
      </c>
      <c r="J323" t="n">
        <v>1</v>
      </c>
      <c r="K323" t="n">
        <v>1</v>
      </c>
      <c r="L323" s="34">
        <f>IF($J323=1,LN(B324/B323),"")</f>
        <v/>
      </c>
      <c r="M323" s="34">
        <f>IF($K323=1,INDEX(Mensal!$D$2:$D$245,MATCH($I323,Mensal!$A$2:$A$245,0)),"")</f>
        <v/>
      </c>
      <c r="N323" s="34">
        <f>IF($K323=1,L323-M323,"")</f>
        <v/>
      </c>
      <c r="O323" s="34" t="n">
        <v>0.0004277799999999999</v>
      </c>
      <c r="P323" s="34">
        <f>IF($J323=1,LN(1+O323),"")</f>
        <v/>
      </c>
      <c r="Q323" s="34">
        <f>IF($J323=1,LN(R324/R323),"")</f>
        <v/>
      </c>
      <c r="R323" s="32" t="n">
        <v>1.8448</v>
      </c>
      <c r="S323" s="35" t="n">
        <v>10.81</v>
      </c>
      <c r="T323" s="18" t="n">
        <v>58036</v>
      </c>
      <c r="U323" s="18" t="n"/>
      <c r="V323" s="18" t="n"/>
      <c r="W323" s="18" t="n"/>
      <c r="X323" s="35" t="n"/>
      <c r="Y323" s="35" t="n">
        <v>10.81</v>
      </c>
    </row>
    <row r="324">
      <c r="A324" s="25" t="n">
        <v>39287</v>
      </c>
      <c r="B324" s="18" t="n">
        <v>55794</v>
      </c>
      <c r="C324" s="31" t="n"/>
      <c r="D324" s="32" t="n"/>
      <c r="E324" s="33" t="n">
        <v>1.7256</v>
      </c>
      <c r="F324" t="inlineStr">
        <is>
          <t>Up</t>
        </is>
      </c>
      <c r="G324" t="inlineStr">
        <is>
          <t>Down</t>
        </is>
      </c>
      <c r="H324" t="inlineStr">
        <is>
          <t>EU_JD</t>
        </is>
      </c>
      <c r="I324" t="inlineStr">
        <is>
          <t>2007-07</t>
        </is>
      </c>
      <c r="J324" t="n">
        <v>1</v>
      </c>
      <c r="K324" t="n">
        <v>1</v>
      </c>
      <c r="L324" s="34">
        <f>IF($J324=1,LN(B325/B324),"")</f>
        <v/>
      </c>
      <c r="M324" s="34">
        <f>IF($K324=1,INDEX(Mensal!$D$2:$D$245,MATCH($I324,Mensal!$A$2:$A$245,0)),"")</f>
        <v/>
      </c>
      <c r="N324" s="34">
        <f>IF($K324=1,L324-M324,"")</f>
        <v/>
      </c>
      <c r="O324" s="34" t="n">
        <v>0.00042814</v>
      </c>
      <c r="P324" s="34">
        <f>IF($J324=1,LN(1+O324),"")</f>
        <v/>
      </c>
      <c r="Q324" s="34">
        <f>IF($J324=1,LN(R325/R324),"")</f>
        <v/>
      </c>
      <c r="R324" s="32" t="n">
        <v>1.8525</v>
      </c>
      <c r="S324" s="35" t="n">
        <v>10.854</v>
      </c>
      <c r="T324" s="18" t="n">
        <v>55794</v>
      </c>
      <c r="U324" s="18" t="n"/>
      <c r="V324" s="18" t="n"/>
      <c r="W324" s="18" t="n"/>
      <c r="X324" s="35" t="n"/>
      <c r="Y324" s="35" t="n">
        <v>10.854</v>
      </c>
    </row>
    <row r="325">
      <c r="A325" s="25" t="n">
        <v>39288</v>
      </c>
      <c r="B325" s="18" t="n">
        <v>56001</v>
      </c>
      <c r="C325" s="31" t="n"/>
      <c r="D325" s="32" t="n"/>
      <c r="E325" s="33" t="n">
        <v>1.7464</v>
      </c>
      <c r="F325" t="inlineStr">
        <is>
          <t>Up</t>
        </is>
      </c>
      <c r="G325" t="inlineStr">
        <is>
          <t>Down</t>
        </is>
      </c>
      <c r="H325" t="inlineStr">
        <is>
          <t>EU_JD</t>
        </is>
      </c>
      <c r="I325" t="inlineStr">
        <is>
          <t>2007-07</t>
        </is>
      </c>
      <c r="J325" t="n">
        <v>1</v>
      </c>
      <c r="K325" t="n">
        <v>1</v>
      </c>
      <c r="L325" s="34">
        <f>IF($J325=1,LN(B326/B325),"")</f>
        <v/>
      </c>
      <c r="M325" s="34">
        <f>IF($K325=1,INDEX(Mensal!$D$2:$D$245,MATCH($I325,Mensal!$A$2:$A$245,0)),"")</f>
        <v/>
      </c>
      <c r="N325" s="34">
        <f>IF($K325=1,L325-M325,"")</f>
        <v/>
      </c>
      <c r="O325" s="34" t="n">
        <v>0.0004277799999999999</v>
      </c>
      <c r="P325" s="34">
        <f>IF($J325=1,LN(1+O325),"")</f>
        <v/>
      </c>
      <c r="Q325" s="34">
        <f>IF($J325=1,LN(R326/R325),"")</f>
        <v/>
      </c>
      <c r="R325" s="32" t="n">
        <v>1.8643</v>
      </c>
      <c r="S325" s="35" t="n">
        <v>10.857</v>
      </c>
      <c r="T325" s="18" t="n">
        <v>56001</v>
      </c>
      <c r="U325" s="18" t="n"/>
      <c r="V325" s="18" t="n"/>
      <c r="W325" s="18" t="n"/>
      <c r="X325" s="35" t="n"/>
      <c r="Y325" s="35" t="n">
        <v>10.857</v>
      </c>
    </row>
    <row r="326">
      <c r="A326" s="25" t="n">
        <v>39289</v>
      </c>
      <c r="B326" s="18" t="n">
        <v>53893</v>
      </c>
      <c r="C326" s="31" t="n"/>
      <c r="D326" s="32" t="n"/>
      <c r="E326" s="33" t="n">
        <v>1.7632</v>
      </c>
      <c r="F326" t="inlineStr">
        <is>
          <t>Up</t>
        </is>
      </c>
      <c r="G326" t="inlineStr">
        <is>
          <t>Down</t>
        </is>
      </c>
      <c r="H326" t="inlineStr">
        <is>
          <t>EU_JD</t>
        </is>
      </c>
      <c r="I326" t="inlineStr">
        <is>
          <t>2007-07</t>
        </is>
      </c>
      <c r="J326" t="n">
        <v>1</v>
      </c>
      <c r="K326" t="n">
        <v>1</v>
      </c>
      <c r="L326" s="34">
        <f>IF($J326=1,LN(B327/B326),"")</f>
        <v/>
      </c>
      <c r="M326" s="34">
        <f>IF($K326=1,INDEX(Mensal!$D$2:$D$245,MATCH($I326,Mensal!$A$2:$A$245,0)),"")</f>
        <v/>
      </c>
      <c r="N326" s="34">
        <f>IF($K326=1,L326-M326,"")</f>
        <v/>
      </c>
      <c r="O326" s="34" t="n">
        <v>0.00042742</v>
      </c>
      <c r="P326" s="34">
        <f>IF($J326=1,LN(1+O326),"")</f>
        <v/>
      </c>
      <c r="Q326" s="34">
        <f>IF($J326=1,LN(R327/R326),"")</f>
        <v/>
      </c>
      <c r="R326" s="32" t="n">
        <v>1.9054</v>
      </c>
      <c r="S326" s="35" t="n">
        <v>11.059</v>
      </c>
      <c r="T326" s="18" t="n">
        <v>53893</v>
      </c>
      <c r="U326" s="18" t="n"/>
      <c r="V326" s="18" t="n"/>
      <c r="W326" s="18" t="n"/>
      <c r="X326" s="35" t="n"/>
      <c r="Y326" s="35" t="n">
        <v>11.059</v>
      </c>
    </row>
    <row r="327">
      <c r="A327" s="25" t="n">
        <v>39290</v>
      </c>
      <c r="B327" s="18" t="n">
        <v>52922</v>
      </c>
      <c r="C327" s="31" t="n"/>
      <c r="D327" s="32" t="n"/>
      <c r="E327" s="33" t="n">
        <v>1.777</v>
      </c>
      <c r="F327" t="inlineStr">
        <is>
          <t>Up</t>
        </is>
      </c>
      <c r="G327" t="inlineStr">
        <is>
          <t>Down</t>
        </is>
      </c>
      <c r="H327" t="inlineStr">
        <is>
          <t>EU_JD</t>
        </is>
      </c>
      <c r="I327" t="inlineStr">
        <is>
          <t>2007-07</t>
        </is>
      </c>
      <c r="J327" t="n">
        <v>1</v>
      </c>
      <c r="K327" t="n">
        <v>1</v>
      </c>
      <c r="L327" s="34">
        <f>IF($J327=1,LN(B328/B327),"")</f>
        <v/>
      </c>
      <c r="M327" s="34">
        <f>IF($K327=1,INDEX(Mensal!$D$2:$D$245,MATCH($I327,Mensal!$A$2:$A$245,0)),"")</f>
        <v/>
      </c>
      <c r="N327" s="34">
        <f>IF($K327=1,L327-M327,"")</f>
        <v/>
      </c>
      <c r="O327" s="34" t="n">
        <v>0.0004277799999999999</v>
      </c>
      <c r="P327" s="34">
        <f>IF($J327=1,LN(1+O327),"")</f>
        <v/>
      </c>
      <c r="Q327" s="34">
        <f>IF($J327=1,LN(R328/R327),"")</f>
        <v/>
      </c>
      <c r="R327" s="32" t="n">
        <v>1.9069</v>
      </c>
      <c r="S327" s="35" t="n">
        <v>10.976</v>
      </c>
      <c r="T327" s="18" t="n">
        <v>52922</v>
      </c>
      <c r="U327" s="18" t="n"/>
      <c r="V327" s="18" t="n"/>
      <c r="W327" s="18" t="n"/>
      <c r="X327" s="35" t="n"/>
      <c r="Y327" s="35" t="n">
        <v>10.976</v>
      </c>
    </row>
    <row r="328">
      <c r="A328" s="25" t="n">
        <v>39293</v>
      </c>
      <c r="B328" s="18" t="n">
        <v>54572</v>
      </c>
      <c r="C328" s="31" t="n"/>
      <c r="D328" s="32" t="n"/>
      <c r="E328" s="33" t="n">
        <v>1.7871</v>
      </c>
      <c r="F328" t="inlineStr">
        <is>
          <t>Up</t>
        </is>
      </c>
      <c r="G328" t="inlineStr">
        <is>
          <t>Down</t>
        </is>
      </c>
      <c r="H328" t="inlineStr">
        <is>
          <t>EU_JD</t>
        </is>
      </c>
      <c r="I328" t="inlineStr">
        <is>
          <t>2007-07</t>
        </is>
      </c>
      <c r="J328" t="n">
        <v>1</v>
      </c>
      <c r="K328" t="n">
        <v>1</v>
      </c>
      <c r="L328" s="34">
        <f>IF($J328=1,LN(B329/B328),"")</f>
        <v/>
      </c>
      <c r="M328" s="34">
        <f>IF($K328=1,INDEX(Mensal!$D$2:$D$245,MATCH($I328,Mensal!$A$2:$A$245,0)),"")</f>
        <v/>
      </c>
      <c r="N328" s="34">
        <f>IF($K328=1,L328-M328,"")</f>
        <v/>
      </c>
      <c r="O328" s="34" t="n">
        <v>0.0004277799999999999</v>
      </c>
      <c r="P328" s="34">
        <f>IF($J328=1,LN(1+O328),"")</f>
        <v/>
      </c>
      <c r="Q328" s="34">
        <f>IF($J328=1,LN(R329/R328),"")</f>
        <v/>
      </c>
      <c r="R328" s="32" t="n">
        <v>1.8809</v>
      </c>
      <c r="S328" s="35" t="n">
        <v>10.941</v>
      </c>
      <c r="T328" s="18" t="n">
        <v>54572</v>
      </c>
      <c r="U328" s="18" t="n"/>
      <c r="V328" s="18" t="n"/>
      <c r="W328" s="18" t="n"/>
      <c r="X328" s="35" t="n"/>
      <c r="Y328" s="35" t="n">
        <v>10.941</v>
      </c>
    </row>
    <row r="329">
      <c r="A329" s="25" t="n">
        <v>39294</v>
      </c>
      <c r="B329" s="18" t="n">
        <v>54182</v>
      </c>
      <c r="C329" s="31" t="n"/>
      <c r="D329" s="32" t="n"/>
      <c r="E329" s="33" t="n">
        <v>1.7904</v>
      </c>
      <c r="F329" t="inlineStr">
        <is>
          <t>Up</t>
        </is>
      </c>
      <c r="G329" t="inlineStr">
        <is>
          <t>Down</t>
        </is>
      </c>
      <c r="H329" t="inlineStr">
        <is>
          <t>EU_JD</t>
        </is>
      </c>
      <c r="I329" t="inlineStr">
        <is>
          <t>2007-07</t>
        </is>
      </c>
      <c r="J329" t="n">
        <v>1</v>
      </c>
      <c r="K329" t="n">
        <v>1</v>
      </c>
      <c r="L329" s="34">
        <f>IF($J329=1,LN(B330/B329),"")</f>
        <v/>
      </c>
      <c r="M329" s="34">
        <f>IF($K329=1,INDEX(Mensal!$D$2:$D$245,MATCH($I329,Mensal!$A$2:$A$245,0)),"")</f>
        <v/>
      </c>
      <c r="N329" s="34">
        <f>IF($K329=1,L329-M329,"")</f>
        <v/>
      </c>
      <c r="O329" s="34" t="n">
        <v>0.00042742</v>
      </c>
      <c r="P329" s="34">
        <f>IF($J329=1,LN(1+O329),"")</f>
        <v/>
      </c>
      <c r="Q329" s="34">
        <f>IF($J329=1,LN(R330/R329),"")</f>
        <v/>
      </c>
      <c r="R329" s="32" t="n">
        <v>1.8776</v>
      </c>
      <c r="S329" s="35" t="n">
        <v>10.935</v>
      </c>
      <c r="T329" s="18" t="n">
        <v>54182</v>
      </c>
      <c r="U329" s="18" t="n"/>
      <c r="V329" s="18" t="n"/>
      <c r="W329" s="18" t="n"/>
      <c r="X329" s="35" t="n"/>
      <c r="Y329" s="35" t="n">
        <v>10.935</v>
      </c>
    </row>
    <row r="330">
      <c r="A330" s="25" t="n">
        <v>39295</v>
      </c>
      <c r="B330" s="18" t="n">
        <v>54233</v>
      </c>
      <c r="C330" s="31" t="n"/>
      <c r="D330" s="32" t="n"/>
      <c r="E330" s="33" t="n">
        <v>1.7913</v>
      </c>
      <c r="F330" t="inlineStr">
        <is>
          <t>Up</t>
        </is>
      </c>
      <c r="G330" t="inlineStr">
        <is>
          <t>Down</t>
        </is>
      </c>
      <c r="H330" t="inlineStr">
        <is>
          <t>EU_JD</t>
        </is>
      </c>
      <c r="I330" t="inlineStr">
        <is>
          <t>2007-08</t>
        </is>
      </c>
      <c r="J330" t="n">
        <v>1</v>
      </c>
      <c r="K330" t="n">
        <v>1</v>
      </c>
      <c r="L330" s="34">
        <f>IF($J330=1,LN(B331/B330),"")</f>
        <v/>
      </c>
      <c r="M330" s="34">
        <f>IF($K330=1,INDEX(Mensal!$D$2:$D$245,MATCH($I330,Mensal!$A$2:$A$245,0)),"")</f>
        <v/>
      </c>
      <c r="N330" s="34">
        <f>IF($K330=1,L330-M330,"")</f>
        <v/>
      </c>
      <c r="O330" s="34" t="n">
        <v>0.0004277799999999999</v>
      </c>
      <c r="P330" s="34">
        <f>IF($J330=1,LN(1+O330),"")</f>
        <v/>
      </c>
      <c r="Q330" s="34">
        <f>IF($J330=1,LN(R331/R330),"")</f>
        <v/>
      </c>
      <c r="R330" s="32" t="n">
        <v>1.8856</v>
      </c>
      <c r="S330" s="35" t="n">
        <v>11.02</v>
      </c>
      <c r="T330" s="18" t="n">
        <v>54233</v>
      </c>
      <c r="U330" s="18" t="n"/>
      <c r="V330" s="18" t="n"/>
      <c r="W330" s="18" t="n"/>
      <c r="X330" s="35" t="n"/>
      <c r="Y330" s="35" t="n">
        <v>11.02</v>
      </c>
    </row>
    <row r="331">
      <c r="A331" s="25" t="n">
        <v>39296</v>
      </c>
      <c r="B331" s="18" t="n">
        <v>54690</v>
      </c>
      <c r="C331" s="31" t="n"/>
      <c r="D331" s="32" t="n"/>
      <c r="E331" s="33" t="n">
        <v>1.7945</v>
      </c>
      <c r="F331" t="inlineStr">
        <is>
          <t>Up</t>
        </is>
      </c>
      <c r="G331" t="inlineStr">
        <is>
          <t>Down</t>
        </is>
      </c>
      <c r="H331" t="inlineStr">
        <is>
          <t>EU_JD</t>
        </is>
      </c>
      <c r="I331" t="inlineStr">
        <is>
          <t>2007-08</t>
        </is>
      </c>
      <c r="J331" t="n">
        <v>1</v>
      </c>
      <c r="K331" t="n">
        <v>1</v>
      </c>
      <c r="L331" s="34">
        <f>IF($J331=1,LN(B332/B331),"")</f>
        <v/>
      </c>
      <c r="M331" s="34">
        <f>IF($K331=1,INDEX(Mensal!$D$2:$D$245,MATCH($I331,Mensal!$A$2:$A$245,0)),"")</f>
        <v/>
      </c>
      <c r="N331" s="34">
        <f>IF($K331=1,L331-M331,"")</f>
        <v/>
      </c>
      <c r="O331" s="34" t="n">
        <v>0.00042814</v>
      </c>
      <c r="P331" s="34">
        <f>IF($J331=1,LN(1+O331),"")</f>
        <v/>
      </c>
      <c r="Q331" s="34">
        <f>IF($J331=1,LN(R332/R331),"")</f>
        <v/>
      </c>
      <c r="R331" s="32" t="n">
        <v>1.8729</v>
      </c>
      <c r="S331" s="35" t="n">
        <v>10.973</v>
      </c>
      <c r="T331" s="18" t="n">
        <v>54690</v>
      </c>
      <c r="U331" s="18" t="n"/>
      <c r="V331" s="18" t="n"/>
      <c r="W331" s="18" t="n"/>
      <c r="X331" s="35" t="n"/>
      <c r="Y331" s="35" t="n">
        <v>10.973</v>
      </c>
    </row>
    <row r="332">
      <c r="A332" s="25" t="n">
        <v>39297</v>
      </c>
      <c r="B332" s="18" t="n">
        <v>52846</v>
      </c>
      <c r="C332" s="31" t="n"/>
      <c r="D332" s="32" t="n"/>
      <c r="E332" s="33" t="n">
        <v>1.7913</v>
      </c>
      <c r="F332" t="inlineStr">
        <is>
          <t>Up</t>
        </is>
      </c>
      <c r="G332" t="inlineStr">
        <is>
          <t>Down</t>
        </is>
      </c>
      <c r="H332" t="inlineStr">
        <is>
          <t>EU_JD</t>
        </is>
      </c>
      <c r="I332" t="inlineStr">
        <is>
          <t>2007-08</t>
        </is>
      </c>
      <c r="J332" t="n">
        <v>1</v>
      </c>
      <c r="K332" t="n">
        <v>1</v>
      </c>
      <c r="L332" s="34">
        <f>IF($J332=1,LN(B333/B332),"")</f>
        <v/>
      </c>
      <c r="M332" s="34">
        <f>IF($K332=1,INDEX(Mensal!$D$2:$D$245,MATCH($I332,Mensal!$A$2:$A$245,0)),"")</f>
        <v/>
      </c>
      <c r="N332" s="34">
        <f>IF($K332=1,L332-M332,"")</f>
        <v/>
      </c>
      <c r="O332" s="34" t="n">
        <v>0.00042849</v>
      </c>
      <c r="P332" s="34">
        <f>IF($J332=1,LN(1+O332),"")</f>
        <v/>
      </c>
      <c r="Q332" s="34">
        <f>IF($J332=1,LN(R333/R332),"")</f>
        <v/>
      </c>
      <c r="R332" s="32" t="n">
        <v>1.8814</v>
      </c>
      <c r="S332" s="35" t="n">
        <v>11.084</v>
      </c>
      <c r="T332" s="18" t="n">
        <v>52846</v>
      </c>
      <c r="U332" s="18" t="n"/>
      <c r="V332" s="18" t="n"/>
      <c r="W332" s="18" t="n"/>
      <c r="X332" s="35" t="n"/>
      <c r="Y332" s="35" t="n">
        <v>11.084</v>
      </c>
    </row>
    <row r="333">
      <c r="A333" s="25" t="n">
        <v>39300</v>
      </c>
      <c r="B333" s="18" t="n">
        <v>53091</v>
      </c>
      <c r="C333" s="31" t="n"/>
      <c r="D333" s="32" t="n"/>
      <c r="E333" s="33" t="n">
        <v>1.7667</v>
      </c>
      <c r="F333" t="inlineStr">
        <is>
          <t>Up</t>
        </is>
      </c>
      <c r="G333" t="inlineStr">
        <is>
          <t>Down</t>
        </is>
      </c>
      <c r="H333" t="inlineStr">
        <is>
          <t>EU_JD</t>
        </is>
      </c>
      <c r="I333" t="inlineStr">
        <is>
          <t>2007-08</t>
        </is>
      </c>
      <c r="J333" t="n">
        <v>1</v>
      </c>
      <c r="K333" t="n">
        <v>1</v>
      </c>
      <c r="L333" s="34">
        <f>IF($J333=1,LN(B334/B333),"")</f>
        <v/>
      </c>
      <c r="M333" s="34">
        <f>IF($K333=1,INDEX(Mensal!$D$2:$D$245,MATCH($I333,Mensal!$A$2:$A$245,0)),"")</f>
        <v/>
      </c>
      <c r="N333" s="34">
        <f>IF($K333=1,L333-M333,"")</f>
        <v/>
      </c>
      <c r="O333" s="34" t="n">
        <v>0.00042849</v>
      </c>
      <c r="P333" s="34">
        <f>IF($J333=1,LN(1+O333),"")</f>
        <v/>
      </c>
      <c r="Q333" s="34">
        <f>IF($J333=1,LN(R334/R333),"")</f>
        <v/>
      </c>
      <c r="R333" s="32" t="n">
        <v>1.9106</v>
      </c>
      <c r="S333" s="35" t="n">
        <v>11.083</v>
      </c>
      <c r="T333" s="18" t="n">
        <v>53091</v>
      </c>
      <c r="U333" s="18" t="n"/>
      <c r="V333" s="18" t="n"/>
      <c r="W333" s="18" t="n"/>
      <c r="X333" s="35" t="n"/>
      <c r="Y333" s="35" t="n">
        <v>11.083</v>
      </c>
    </row>
    <row r="334">
      <c r="A334" s="25" t="n">
        <v>39301</v>
      </c>
      <c r="B334" s="18" t="n">
        <v>53802</v>
      </c>
      <c r="C334" s="31" t="n"/>
      <c r="D334" s="32" t="n"/>
      <c r="E334" s="33" t="n">
        <v>1.7467</v>
      </c>
      <c r="F334" t="inlineStr">
        <is>
          <t>Up</t>
        </is>
      </c>
      <c r="G334" t="inlineStr">
        <is>
          <t>Down</t>
        </is>
      </c>
      <c r="H334" t="inlineStr">
        <is>
          <t>EU_JD</t>
        </is>
      </c>
      <c r="I334" t="inlineStr">
        <is>
          <t>2007-08</t>
        </is>
      </c>
      <c r="J334" t="n">
        <v>1</v>
      </c>
      <c r="K334" t="n">
        <v>1</v>
      </c>
      <c r="L334" s="34">
        <f>IF($J334=1,LN(B335/B334),"")</f>
        <v/>
      </c>
      <c r="M334" s="34">
        <f>IF($K334=1,INDEX(Mensal!$D$2:$D$245,MATCH($I334,Mensal!$A$2:$A$245,0)),"")</f>
        <v/>
      </c>
      <c r="N334" s="34">
        <f>IF($K334=1,L334-M334,"")</f>
        <v/>
      </c>
      <c r="O334" s="34" t="n">
        <v>0.0004277799999999999</v>
      </c>
      <c r="P334" s="34">
        <f>IF($J334=1,LN(1+O334),"")</f>
        <v/>
      </c>
      <c r="Q334" s="34">
        <f>IF($J334=1,LN(R335/R334),"")</f>
        <v/>
      </c>
      <c r="R334" s="32" t="n">
        <v>1.9077</v>
      </c>
      <c r="S334" s="35" t="n">
        <v>11.036</v>
      </c>
      <c r="T334" s="18" t="n">
        <v>53802</v>
      </c>
      <c r="U334" s="18" t="n"/>
      <c r="V334" s="18" t="n"/>
      <c r="W334" s="18" t="n"/>
      <c r="X334" s="35" t="n"/>
      <c r="Y334" s="35" t="n">
        <v>11.036</v>
      </c>
    </row>
    <row r="335">
      <c r="A335" s="25" t="n">
        <v>39302</v>
      </c>
      <c r="B335" s="18" t="n">
        <v>55241</v>
      </c>
      <c r="C335" s="31" t="n"/>
      <c r="D335" s="32" t="n"/>
      <c r="E335" s="33" t="n">
        <v>1.7227</v>
      </c>
      <c r="F335" t="inlineStr">
        <is>
          <t>Up</t>
        </is>
      </c>
      <c r="G335" t="inlineStr">
        <is>
          <t>Down</t>
        </is>
      </c>
      <c r="H335" t="inlineStr">
        <is>
          <t>EU_JD</t>
        </is>
      </c>
      <c r="I335" t="inlineStr">
        <is>
          <t>2007-08</t>
        </is>
      </c>
      <c r="J335" t="n">
        <v>1</v>
      </c>
      <c r="K335" t="n">
        <v>1</v>
      </c>
      <c r="L335" s="34">
        <f>IF($J335=1,LN(B336/B335),"")</f>
        <v/>
      </c>
      <c r="M335" s="34">
        <f>IF($K335=1,INDEX(Mensal!$D$2:$D$245,MATCH($I335,Mensal!$A$2:$A$245,0)),"")</f>
        <v/>
      </c>
      <c r="N335" s="34">
        <f>IF($K335=1,L335-M335,"")</f>
        <v/>
      </c>
      <c r="O335" s="34" t="n">
        <v>0.00042742</v>
      </c>
      <c r="P335" s="34">
        <f>IF($J335=1,LN(1+O335),"")</f>
        <v/>
      </c>
      <c r="Q335" s="34">
        <f>IF($J335=1,LN(R336/R335),"")</f>
        <v/>
      </c>
      <c r="R335" s="32" t="n">
        <v>1.8866</v>
      </c>
      <c r="S335" s="35" t="n">
        <v>10.983</v>
      </c>
      <c r="T335" s="18" t="n">
        <v>55241</v>
      </c>
      <c r="U335" s="18" t="n"/>
      <c r="V335" s="18" t="n"/>
      <c r="W335" s="18" t="n"/>
      <c r="X335" s="35" t="n"/>
      <c r="Y335" s="35" t="n">
        <v>10.983</v>
      </c>
    </row>
    <row r="336">
      <c r="A336" s="25" t="n">
        <v>39303</v>
      </c>
      <c r="B336" s="18" t="n">
        <v>53430</v>
      </c>
      <c r="C336" s="31" t="n"/>
      <c r="D336" s="32" t="n"/>
      <c r="E336" s="33" t="n">
        <v>1.7008</v>
      </c>
      <c r="F336" t="inlineStr">
        <is>
          <t>Up</t>
        </is>
      </c>
      <c r="G336" t="inlineStr">
        <is>
          <t>Down</t>
        </is>
      </c>
      <c r="H336" t="inlineStr">
        <is>
          <t>EU_JD</t>
        </is>
      </c>
      <c r="I336" t="inlineStr">
        <is>
          <t>2007-08</t>
        </is>
      </c>
      <c r="J336" t="n">
        <v>1</v>
      </c>
      <c r="K336" t="n">
        <v>1</v>
      </c>
      <c r="L336" s="34">
        <f>IF($J336=1,LN(B337/B336),"")</f>
        <v/>
      </c>
      <c r="M336" s="34">
        <f>IF($K336=1,INDEX(Mensal!$D$2:$D$245,MATCH($I336,Mensal!$A$2:$A$245,0)),"")</f>
        <v/>
      </c>
      <c r="N336" s="34">
        <f>IF($K336=1,L336-M336,"")</f>
        <v/>
      </c>
      <c r="O336" s="34" t="n">
        <v>0.00042707</v>
      </c>
      <c r="P336" s="34">
        <f>IF($J336=1,LN(1+O336),"")</f>
        <v/>
      </c>
      <c r="Q336" s="34">
        <f>IF($J336=1,LN(R337/R336),"")</f>
        <v/>
      </c>
      <c r="R336" s="32" t="n">
        <v>1.9191</v>
      </c>
      <c r="S336" s="35" t="n">
        <v>11.086</v>
      </c>
      <c r="T336" s="18" t="n">
        <v>53430</v>
      </c>
      <c r="U336" s="18" t="n"/>
      <c r="V336" s="18" t="n"/>
      <c r="W336" s="18" t="n"/>
      <c r="X336" s="35" t="n"/>
      <c r="Y336" s="35" t="n">
        <v>11.086</v>
      </c>
    </row>
    <row r="337">
      <c r="A337" s="25" t="n">
        <v>39304</v>
      </c>
      <c r="B337" s="18" t="n">
        <v>52638</v>
      </c>
      <c r="C337" s="31" t="n"/>
      <c r="D337" s="32" t="n"/>
      <c r="E337" s="33" t="n">
        <v>1.6668</v>
      </c>
      <c r="F337" t="inlineStr">
        <is>
          <t>Up</t>
        </is>
      </c>
      <c r="G337" t="inlineStr">
        <is>
          <t>Down</t>
        </is>
      </c>
      <c r="H337" t="inlineStr">
        <is>
          <t>EU_JD</t>
        </is>
      </c>
      <c r="I337" t="inlineStr">
        <is>
          <t>2007-08</t>
        </is>
      </c>
      <c r="J337" t="n">
        <v>1</v>
      </c>
      <c r="K337" t="n">
        <v>1</v>
      </c>
      <c r="L337" s="34">
        <f>IF($J337=1,LN(B338/B337),"")</f>
        <v/>
      </c>
      <c r="M337" s="34">
        <f>IF($K337=1,INDEX(Mensal!$D$2:$D$245,MATCH($I337,Mensal!$A$2:$A$245,0)),"")</f>
        <v/>
      </c>
      <c r="N337" s="34">
        <f>IF($K337=1,L337-M337,"")</f>
        <v/>
      </c>
      <c r="O337" s="34" t="n">
        <v>0.00042742</v>
      </c>
      <c r="P337" s="34">
        <f>IF($J337=1,LN(1+O337),"")</f>
        <v/>
      </c>
      <c r="Q337" s="34">
        <f>IF($J337=1,LN(R338/R337),"")</f>
        <v/>
      </c>
      <c r="R337" s="32" t="n">
        <v>1.955</v>
      </c>
      <c r="S337" s="35" t="n">
        <v>11.101</v>
      </c>
      <c r="T337" s="18" t="n">
        <v>52638</v>
      </c>
      <c r="U337" s="18" t="n"/>
      <c r="V337" s="18" t="n"/>
      <c r="W337" s="18" t="n"/>
      <c r="X337" s="35" t="n"/>
      <c r="Y337" s="35" t="n">
        <v>11.101</v>
      </c>
    </row>
    <row r="338">
      <c r="A338" s="25" t="n">
        <v>39307</v>
      </c>
      <c r="B338" s="18" t="n">
        <v>52434</v>
      </c>
      <c r="C338" s="31" t="n"/>
      <c r="D338" s="32" t="n"/>
      <c r="E338" s="33" t="n">
        <v>1.6534</v>
      </c>
      <c r="F338" t="inlineStr">
        <is>
          <t>Up</t>
        </is>
      </c>
      <c r="G338" t="inlineStr">
        <is>
          <t>Down</t>
        </is>
      </c>
      <c r="H338" t="inlineStr">
        <is>
          <t>EU_JD</t>
        </is>
      </c>
      <c r="I338" t="inlineStr">
        <is>
          <t>2007-08</t>
        </is>
      </c>
      <c r="J338" t="n">
        <v>1</v>
      </c>
      <c r="K338" t="n">
        <v>1</v>
      </c>
      <c r="L338" s="34">
        <f>IF($J338=1,LN(B339/B338),"")</f>
        <v/>
      </c>
      <c r="M338" s="34">
        <f>IF($K338=1,INDEX(Mensal!$D$2:$D$245,MATCH($I338,Mensal!$A$2:$A$245,0)),"")</f>
        <v/>
      </c>
      <c r="N338" s="34">
        <f>IF($K338=1,L338-M338,"")</f>
        <v/>
      </c>
      <c r="O338" s="34" t="n">
        <v>0.00042707</v>
      </c>
      <c r="P338" s="34">
        <f>IF($J338=1,LN(1+O338),"")</f>
        <v/>
      </c>
      <c r="Q338" s="34">
        <f>IF($J338=1,LN(R339/R338),"")</f>
        <v/>
      </c>
      <c r="R338" s="32" t="n">
        <v>1.9411</v>
      </c>
      <c r="S338" s="35" t="n">
        <v>11.063</v>
      </c>
      <c r="T338" s="18" t="n">
        <v>52434</v>
      </c>
      <c r="U338" s="18" t="n"/>
      <c r="V338" s="18" t="n"/>
      <c r="W338" s="18" t="n"/>
      <c r="X338" s="35" t="n"/>
      <c r="Y338" s="35" t="n">
        <v>11.063</v>
      </c>
    </row>
    <row r="339">
      <c r="A339" s="25" t="n">
        <v>39308</v>
      </c>
      <c r="B339" s="18" t="n">
        <v>50911</v>
      </c>
      <c r="C339" s="31" t="n"/>
      <c r="D339" s="32" t="n"/>
      <c r="E339" s="33" t="n">
        <v>1.6242</v>
      </c>
      <c r="F339" t="inlineStr">
        <is>
          <t>Up</t>
        </is>
      </c>
      <c r="G339" t="inlineStr">
        <is>
          <t>Down</t>
        </is>
      </c>
      <c r="H339" t="inlineStr">
        <is>
          <t>EU_JD</t>
        </is>
      </c>
      <c r="I339" t="inlineStr">
        <is>
          <t>2007-08</t>
        </is>
      </c>
      <c r="J339" t="n">
        <v>1</v>
      </c>
      <c r="K339" t="n">
        <v>1</v>
      </c>
      <c r="L339" s="34">
        <f>IF($J339=1,LN(B340/B339),"")</f>
        <v/>
      </c>
      <c r="M339" s="34">
        <f>IF($K339=1,INDEX(Mensal!$D$2:$D$245,MATCH($I339,Mensal!$A$2:$A$245,0)),"")</f>
        <v/>
      </c>
      <c r="N339" s="34">
        <f>IF($K339=1,L339-M339,"")</f>
        <v/>
      </c>
      <c r="O339" s="34" t="n">
        <v>0.00042742</v>
      </c>
      <c r="P339" s="34">
        <f>IF($J339=1,LN(1+O339),"")</f>
        <v/>
      </c>
      <c r="Q339" s="34">
        <f>IF($J339=1,LN(R340/R339),"")</f>
        <v/>
      </c>
      <c r="R339" s="32" t="n">
        <v>1.9809</v>
      </c>
      <c r="S339" s="35" t="n">
        <v>11.177</v>
      </c>
      <c r="T339" s="18" t="n">
        <v>50911</v>
      </c>
      <c r="U339" s="18" t="n"/>
      <c r="V339" s="18" t="n"/>
      <c r="W339" s="18" t="n"/>
      <c r="X339" s="35" t="n"/>
      <c r="Y339" s="35" t="n">
        <v>11.177</v>
      </c>
    </row>
    <row r="340">
      <c r="A340" s="25" t="n">
        <v>39309</v>
      </c>
      <c r="B340" s="18" t="n">
        <v>49285</v>
      </c>
      <c r="C340" s="31" t="n"/>
      <c r="D340" s="32" t="n"/>
      <c r="E340" s="33" t="n">
        <v>1.5937</v>
      </c>
      <c r="F340" t="inlineStr">
        <is>
          <t>Up</t>
        </is>
      </c>
      <c r="G340" t="inlineStr">
        <is>
          <t>Down</t>
        </is>
      </c>
      <c r="H340" t="inlineStr">
        <is>
          <t>EU_JD</t>
        </is>
      </c>
      <c r="I340" t="inlineStr">
        <is>
          <t>2007-08</t>
        </is>
      </c>
      <c r="J340" t="n">
        <v>1</v>
      </c>
      <c r="K340" t="n">
        <v>1</v>
      </c>
      <c r="L340" s="34">
        <f>IF($J340=1,LN(B341/B340),"")</f>
        <v/>
      </c>
      <c r="M340" s="34">
        <f>IF($K340=1,INDEX(Mensal!$D$2:$D$245,MATCH($I340,Mensal!$A$2:$A$245,0)),"")</f>
        <v/>
      </c>
      <c r="N340" s="34">
        <f>IF($K340=1,L340-M340,"")</f>
        <v/>
      </c>
      <c r="O340" s="34" t="n">
        <v>0.00042707</v>
      </c>
      <c r="P340" s="34">
        <f>IF($J340=1,LN(1+O340),"")</f>
        <v/>
      </c>
      <c r="Q340" s="34">
        <f>IF($J340=1,LN(R341/R340),"")</f>
        <v/>
      </c>
      <c r="R340" s="32" t="n">
        <v>2.0043</v>
      </c>
      <c r="S340" s="35" t="n">
        <v>11.319</v>
      </c>
      <c r="T340" s="18" t="n">
        <v>49285</v>
      </c>
      <c r="U340" s="18" t="n"/>
      <c r="V340" s="18" t="n"/>
      <c r="W340" s="18" t="n"/>
      <c r="X340" s="35" t="n"/>
      <c r="Y340" s="35" t="n">
        <v>11.319</v>
      </c>
    </row>
    <row r="341">
      <c r="A341" s="25" t="n">
        <v>39310</v>
      </c>
      <c r="B341" s="18" t="n">
        <v>48015</v>
      </c>
      <c r="C341" s="31" t="n"/>
      <c r="D341" s="32" t="n"/>
      <c r="E341" s="33" t="n">
        <v>1.5614</v>
      </c>
      <c r="F341" t="inlineStr">
        <is>
          <t>Up</t>
        </is>
      </c>
      <c r="G341" t="inlineStr">
        <is>
          <t>Down</t>
        </is>
      </c>
      <c r="H341" t="inlineStr">
        <is>
          <t>EU_JD</t>
        </is>
      </c>
      <c r="I341" t="inlineStr">
        <is>
          <t>2007-08</t>
        </is>
      </c>
      <c r="J341" t="n">
        <v>1</v>
      </c>
      <c r="K341" t="n">
        <v>1</v>
      </c>
      <c r="L341" s="34">
        <f>IF($J341=1,LN(B342/B341),"")</f>
        <v/>
      </c>
      <c r="M341" s="34">
        <f>IF($K341=1,INDEX(Mensal!$D$2:$D$245,MATCH($I341,Mensal!$A$2:$A$245,0)),"")</f>
        <v/>
      </c>
      <c r="N341" s="34">
        <f>IF($K341=1,L341-M341,"")</f>
        <v/>
      </c>
      <c r="O341" s="34" t="n">
        <v>0.00042707</v>
      </c>
      <c r="P341" s="34">
        <f>IF($J341=1,LN(1+O341),"")</f>
        <v/>
      </c>
      <c r="Q341" s="34">
        <f>IF($J341=1,LN(R342/R341),"")</f>
        <v/>
      </c>
      <c r="R341" s="32" t="n">
        <v>2.1124</v>
      </c>
      <c r="S341" s="35" t="n">
        <v>11.903</v>
      </c>
      <c r="T341" s="18" t="n">
        <v>48015</v>
      </c>
      <c r="U341" s="18" t="n"/>
      <c r="V341" s="18" t="n"/>
      <c r="W341" s="18" t="n"/>
      <c r="X341" s="35" t="n"/>
      <c r="Y341" s="35" t="n">
        <v>11.903</v>
      </c>
    </row>
    <row r="342">
      <c r="A342" s="25" t="n">
        <v>39311</v>
      </c>
      <c r="B342" s="18" t="n">
        <v>48558</v>
      </c>
      <c r="C342" s="31" t="n"/>
      <c r="D342" s="32" t="n"/>
      <c r="E342" s="33" t="n">
        <v>1.5205</v>
      </c>
      <c r="F342" t="inlineStr">
        <is>
          <t>Up</t>
        </is>
      </c>
      <c r="G342" t="inlineStr">
        <is>
          <t>Down</t>
        </is>
      </c>
      <c r="H342" t="inlineStr">
        <is>
          <t>EU_JD</t>
        </is>
      </c>
      <c r="I342" t="inlineStr">
        <is>
          <t>2007-08</t>
        </is>
      </c>
      <c r="J342" t="n">
        <v>1</v>
      </c>
      <c r="K342" t="n">
        <v>1</v>
      </c>
      <c r="L342" s="34">
        <f>IF($J342=1,LN(B343/B342),"")</f>
        <v/>
      </c>
      <c r="M342" s="34">
        <f>IF($K342=1,INDEX(Mensal!$D$2:$D$245,MATCH($I342,Mensal!$A$2:$A$245,0)),"")</f>
        <v/>
      </c>
      <c r="N342" s="34">
        <f>IF($K342=1,L342-M342,"")</f>
        <v/>
      </c>
      <c r="O342" s="34" t="n">
        <v>0.00042742</v>
      </c>
      <c r="P342" s="34">
        <f>IF($J342=1,LN(1+O342),"")</f>
        <v/>
      </c>
      <c r="Q342" s="34">
        <f>IF($J342=1,LN(R343/R342),"")</f>
        <v/>
      </c>
      <c r="R342" s="32" t="n">
        <v>2.0376</v>
      </c>
      <c r="S342" s="35" t="n">
        <v>11.571</v>
      </c>
      <c r="T342" s="18" t="n">
        <v>48558</v>
      </c>
      <c r="U342" s="18" t="n"/>
      <c r="V342" s="18" t="n"/>
      <c r="W342" s="18" t="n"/>
      <c r="X342" s="35" t="n"/>
      <c r="Y342" s="35" t="n">
        <v>11.571</v>
      </c>
    </row>
    <row r="343">
      <c r="A343" s="25" t="n">
        <v>39314</v>
      </c>
      <c r="B343" s="18" t="n">
        <v>49206</v>
      </c>
      <c r="C343" s="31" t="n"/>
      <c r="D343" s="32" t="n"/>
      <c r="E343" s="33" t="n">
        <v>1.4998</v>
      </c>
      <c r="F343" t="inlineStr">
        <is>
          <t>Up</t>
        </is>
      </c>
      <c r="G343" t="inlineStr">
        <is>
          <t>Down</t>
        </is>
      </c>
      <c r="H343" t="inlineStr">
        <is>
          <t>EU_JD</t>
        </is>
      </c>
      <c r="I343" t="inlineStr">
        <is>
          <t>2007-08</t>
        </is>
      </c>
      <c r="J343" t="n">
        <v>1</v>
      </c>
      <c r="K343" t="n">
        <v>1</v>
      </c>
      <c r="L343" s="34">
        <f>IF($J343=1,LN(B344/B343),"")</f>
        <v/>
      </c>
      <c r="M343" s="34">
        <f>IF($K343=1,INDEX(Mensal!$D$2:$D$245,MATCH($I343,Mensal!$A$2:$A$245,0)),"")</f>
        <v/>
      </c>
      <c r="N343" s="34">
        <f>IF($K343=1,L343-M343,"")</f>
        <v/>
      </c>
      <c r="O343" s="34" t="n">
        <v>0.00042742</v>
      </c>
      <c r="P343" s="34">
        <f>IF($J343=1,LN(1+O343),"")</f>
        <v/>
      </c>
      <c r="Q343" s="34">
        <f>IF($J343=1,LN(R344/R343),"")</f>
        <v/>
      </c>
      <c r="R343" s="32" t="n">
        <v>2.028</v>
      </c>
      <c r="S343" s="35" t="n">
        <v>11.655</v>
      </c>
      <c r="T343" s="18" t="n">
        <v>49206</v>
      </c>
      <c r="U343" s="18" t="n"/>
      <c r="V343" s="18" t="n"/>
      <c r="W343" s="18" t="n"/>
      <c r="X343" s="35" t="n"/>
      <c r="Y343" s="35" t="n">
        <v>11.655</v>
      </c>
    </row>
    <row r="344">
      <c r="A344" s="25" t="n">
        <v>39315</v>
      </c>
      <c r="B344" s="18" t="n">
        <v>49815</v>
      </c>
      <c r="C344" s="31" t="n"/>
      <c r="D344" s="32" t="n"/>
      <c r="E344" s="33" t="n">
        <v>1.4698</v>
      </c>
      <c r="F344" t="inlineStr">
        <is>
          <t>Up</t>
        </is>
      </c>
      <c r="G344" t="inlineStr">
        <is>
          <t>Down</t>
        </is>
      </c>
      <c r="H344" t="inlineStr">
        <is>
          <t>EU_JD</t>
        </is>
      </c>
      <c r="I344" t="inlineStr">
        <is>
          <t>2007-08</t>
        </is>
      </c>
      <c r="J344" t="n">
        <v>1</v>
      </c>
      <c r="K344" t="n">
        <v>1</v>
      </c>
      <c r="L344" s="34">
        <f>IF($J344=1,LN(B345/B344),"")</f>
        <v/>
      </c>
      <c r="M344" s="34">
        <f>IF($K344=1,INDEX(Mensal!$D$2:$D$245,MATCH($I344,Mensal!$A$2:$A$245,0)),"")</f>
        <v/>
      </c>
      <c r="N344" s="34">
        <f>IF($K344=1,L344-M344,"")</f>
        <v/>
      </c>
      <c r="O344" s="34" t="n">
        <v>0.00042707</v>
      </c>
      <c r="P344" s="34">
        <f>IF($J344=1,LN(1+O344),"")</f>
        <v/>
      </c>
      <c r="Q344" s="34">
        <f>IF($J344=1,LN(R345/R344),"")</f>
        <v/>
      </c>
      <c r="R344" s="32" t="n">
        <v>2.0385</v>
      </c>
      <c r="S344" s="35" t="n">
        <v>11.656</v>
      </c>
      <c r="T344" s="18" t="n">
        <v>49815</v>
      </c>
      <c r="U344" s="18" t="n"/>
      <c r="V344" s="18" t="n"/>
      <c r="W344" s="18" t="n"/>
      <c r="X344" s="35" t="n"/>
      <c r="Y344" s="35" t="n">
        <v>11.656</v>
      </c>
    </row>
    <row r="345">
      <c r="A345" s="25" t="n">
        <v>39316</v>
      </c>
      <c r="B345" s="18" t="n">
        <v>51744</v>
      </c>
      <c r="C345" s="31" t="n"/>
      <c r="D345" s="32" t="n"/>
      <c r="E345" s="33" t="n">
        <v>1.432</v>
      </c>
      <c r="F345" t="inlineStr">
        <is>
          <t>Up</t>
        </is>
      </c>
      <c r="G345" t="inlineStr">
        <is>
          <t>Down</t>
        </is>
      </c>
      <c r="H345" t="inlineStr">
        <is>
          <t>EU_JD</t>
        </is>
      </c>
      <c r="I345" t="inlineStr">
        <is>
          <t>2007-08</t>
        </is>
      </c>
      <c r="J345" t="n">
        <v>1</v>
      </c>
      <c r="K345" t="n">
        <v>1</v>
      </c>
      <c r="L345" s="34">
        <f>IF($J345=1,LN(B346/B345),"")</f>
        <v/>
      </c>
      <c r="M345" s="34">
        <f>IF($K345=1,INDEX(Mensal!$D$2:$D$245,MATCH($I345,Mensal!$A$2:$A$245,0)),"")</f>
        <v/>
      </c>
      <c r="N345" s="34">
        <f>IF($K345=1,L345-M345,"")</f>
        <v/>
      </c>
      <c r="O345" s="34" t="n">
        <v>0.00042707</v>
      </c>
      <c r="P345" s="34">
        <f>IF($J345=1,LN(1+O345),"")</f>
        <v/>
      </c>
      <c r="Q345" s="34">
        <f>IF($J345=1,LN(R346/R345),"")</f>
        <v/>
      </c>
      <c r="R345" s="32" t="n">
        <v>2.0173</v>
      </c>
      <c r="S345" s="35" t="n">
        <v>11.57</v>
      </c>
      <c r="T345" s="18" t="n">
        <v>51744</v>
      </c>
      <c r="U345" s="18" t="n"/>
      <c r="V345" s="18" t="n"/>
      <c r="W345" s="18" t="n"/>
      <c r="X345" s="35" t="n"/>
      <c r="Y345" s="35" t="n">
        <v>11.57</v>
      </c>
    </row>
    <row r="346">
      <c r="A346" s="25" t="n">
        <v>39317</v>
      </c>
      <c r="B346" s="18" t="n">
        <v>51848</v>
      </c>
      <c r="C346" s="31" t="n"/>
      <c r="D346" s="32" t="n"/>
      <c r="E346" s="33" t="n">
        <v>1.401</v>
      </c>
      <c r="F346" t="inlineStr">
        <is>
          <t>Up</t>
        </is>
      </c>
      <c r="G346" t="inlineStr">
        <is>
          <t>Down</t>
        </is>
      </c>
      <c r="H346" t="inlineStr">
        <is>
          <t>EU_JD</t>
        </is>
      </c>
      <c r="I346" t="inlineStr">
        <is>
          <t>2007-08</t>
        </is>
      </c>
      <c r="J346" t="n">
        <v>1</v>
      </c>
      <c r="K346" t="n">
        <v>1</v>
      </c>
      <c r="L346" s="34">
        <f>IF($J346=1,LN(B347/B346),"")</f>
        <v/>
      </c>
      <c r="M346" s="34">
        <f>IF($K346=1,INDEX(Mensal!$D$2:$D$245,MATCH($I346,Mensal!$A$2:$A$245,0)),"")</f>
        <v/>
      </c>
      <c r="N346" s="34">
        <f>IF($K346=1,L346-M346,"")</f>
        <v/>
      </c>
      <c r="O346" s="34" t="n">
        <v>0.00042671</v>
      </c>
      <c r="P346" s="34">
        <f>IF($J346=1,LN(1+O346),"")</f>
        <v/>
      </c>
      <c r="Q346" s="34">
        <f>IF($J346=1,LN(R347/R346),"")</f>
        <v/>
      </c>
      <c r="R346" s="32" t="n">
        <v>1.9939</v>
      </c>
      <c r="S346" s="35" t="n">
        <v>11.625</v>
      </c>
      <c r="T346" s="18" t="n">
        <v>51848</v>
      </c>
      <c r="U346" s="18" t="n"/>
      <c r="V346" s="18" t="n"/>
      <c r="W346" s="18" t="n"/>
      <c r="X346" s="35" t="n"/>
      <c r="Y346" s="35" t="n">
        <v>11.625</v>
      </c>
    </row>
    <row r="347">
      <c r="A347" s="25" t="n">
        <v>39318</v>
      </c>
      <c r="B347" s="18" t="n">
        <v>52997</v>
      </c>
      <c r="C347" s="31" t="n"/>
      <c r="D347" s="32" t="n"/>
      <c r="E347" s="33" t="n">
        <v>1.3659</v>
      </c>
      <c r="F347" t="inlineStr">
        <is>
          <t>Up</t>
        </is>
      </c>
      <c r="G347" t="inlineStr">
        <is>
          <t>Down</t>
        </is>
      </c>
      <c r="H347" t="inlineStr">
        <is>
          <t>EU_JD</t>
        </is>
      </c>
      <c r="I347" t="inlineStr">
        <is>
          <t>2007-08</t>
        </is>
      </c>
      <c r="J347" t="n">
        <v>1</v>
      </c>
      <c r="K347" t="n">
        <v>1</v>
      </c>
      <c r="L347" s="34">
        <f>IF($J347=1,LN(B348/B347),"")</f>
        <v/>
      </c>
      <c r="M347" s="34">
        <f>IF($K347=1,INDEX(Mensal!$D$2:$D$245,MATCH($I347,Mensal!$A$2:$A$245,0)),"")</f>
        <v/>
      </c>
      <c r="N347" s="34">
        <f>IF($K347=1,L347-M347,"")</f>
        <v/>
      </c>
      <c r="O347" s="34" t="n">
        <v>0.00042742</v>
      </c>
      <c r="P347" s="34">
        <f>IF($J347=1,LN(1+O347),"")</f>
        <v/>
      </c>
      <c r="Q347" s="34">
        <f>IF($J347=1,LN(R348/R347),"")</f>
        <v/>
      </c>
      <c r="R347" s="32" t="n">
        <v>1.9855</v>
      </c>
      <c r="S347" s="35" t="n">
        <v>11.505</v>
      </c>
      <c r="T347" s="18" t="n">
        <v>52997</v>
      </c>
      <c r="U347" s="18" t="n"/>
      <c r="V347" s="18" t="n"/>
      <c r="W347" s="18" t="n"/>
      <c r="X347" s="35" t="n"/>
      <c r="Y347" s="35" t="n">
        <v>11.505</v>
      </c>
    </row>
    <row r="348">
      <c r="A348" s="25" t="n">
        <v>39321</v>
      </c>
      <c r="B348" s="18" t="n">
        <v>53078</v>
      </c>
      <c r="C348" s="31" t="n"/>
      <c r="D348" s="32" t="n"/>
      <c r="E348" s="33" t="n">
        <v>1.3385</v>
      </c>
      <c r="F348" t="inlineStr">
        <is>
          <t>Up</t>
        </is>
      </c>
      <c r="G348" t="inlineStr">
        <is>
          <t>Down</t>
        </is>
      </c>
      <c r="H348" t="inlineStr">
        <is>
          <t>EU_JD</t>
        </is>
      </c>
      <c r="I348" t="inlineStr">
        <is>
          <t>2007-08</t>
        </is>
      </c>
      <c r="J348" t="n">
        <v>1</v>
      </c>
      <c r="K348" t="n">
        <v>1</v>
      </c>
      <c r="L348" s="34">
        <f>IF($J348=1,LN(B349/B348),"")</f>
        <v/>
      </c>
      <c r="M348" s="34">
        <f>IF($K348=1,INDEX(Mensal!$D$2:$D$245,MATCH($I348,Mensal!$A$2:$A$245,0)),"")</f>
        <v/>
      </c>
      <c r="N348" s="34">
        <f>IF($K348=1,L348-M348,"")</f>
        <v/>
      </c>
      <c r="O348" s="34" t="n">
        <v>0.00042707</v>
      </c>
      <c r="P348" s="34">
        <f>IF($J348=1,LN(1+O348),"")</f>
        <v/>
      </c>
      <c r="Q348" s="34">
        <f>IF($J348=1,LN(R349/R348),"")</f>
        <v/>
      </c>
      <c r="R348" s="32" t="n">
        <v>1.9489</v>
      </c>
      <c r="S348" s="35" t="n">
        <v>11.462</v>
      </c>
      <c r="T348" s="18" t="n">
        <v>53078</v>
      </c>
      <c r="U348" s="18" t="n"/>
      <c r="V348" s="18" t="n"/>
      <c r="W348" s="18" t="n"/>
      <c r="X348" s="35" t="n"/>
      <c r="Y348" s="35" t="n">
        <v>11.462</v>
      </c>
    </row>
    <row r="349">
      <c r="A349" s="25" t="n">
        <v>39322</v>
      </c>
      <c r="B349" s="18" t="n">
        <v>51645</v>
      </c>
      <c r="C349" s="31" t="n"/>
      <c r="D349" s="32" t="n"/>
      <c r="E349" s="33" t="n">
        <v>1.2986</v>
      </c>
      <c r="F349" t="inlineStr">
        <is>
          <t>Up</t>
        </is>
      </c>
      <c r="G349" t="inlineStr">
        <is>
          <t>Down</t>
        </is>
      </c>
      <c r="H349" t="inlineStr">
        <is>
          <t>EU_JD</t>
        </is>
      </c>
      <c r="I349" t="inlineStr">
        <is>
          <t>2007-08</t>
        </is>
      </c>
      <c r="J349" t="n">
        <v>1</v>
      </c>
      <c r="K349" t="n">
        <v>1</v>
      </c>
      <c r="L349" s="34">
        <f>IF($J349=1,LN(B350/B349),"")</f>
        <v/>
      </c>
      <c r="M349" s="34">
        <f>IF($K349=1,INDEX(Mensal!$D$2:$D$245,MATCH($I349,Mensal!$A$2:$A$245,0)),"")</f>
        <v/>
      </c>
      <c r="N349" s="34">
        <f>IF($K349=1,L349-M349,"")</f>
        <v/>
      </c>
      <c r="O349" s="34" t="n">
        <v>0.00042707</v>
      </c>
      <c r="P349" s="34">
        <f>IF($J349=1,LN(1+O349),"")</f>
        <v/>
      </c>
      <c r="Q349" s="34">
        <f>IF($J349=1,LN(R350/R349),"")</f>
        <v/>
      </c>
      <c r="R349" s="32" t="n">
        <v>1.9849</v>
      </c>
      <c r="S349" s="35" t="n">
        <v>11.478</v>
      </c>
      <c r="T349" s="18" t="n">
        <v>51645</v>
      </c>
      <c r="U349" s="18" t="n"/>
      <c r="V349" s="18" t="n"/>
      <c r="W349" s="18" t="n"/>
      <c r="X349" s="35" t="n"/>
      <c r="Y349" s="35" t="n">
        <v>11.478</v>
      </c>
    </row>
    <row r="350">
      <c r="A350" s="25" t="n">
        <v>39323</v>
      </c>
      <c r="B350" s="18" t="n">
        <v>52734</v>
      </c>
      <c r="C350" s="31" t="n"/>
      <c r="D350" s="32" t="n"/>
      <c r="E350" s="33" t="n">
        <v>1.2487</v>
      </c>
      <c r="F350" t="inlineStr">
        <is>
          <t>Up</t>
        </is>
      </c>
      <c r="G350" t="inlineStr">
        <is>
          <t>Down</t>
        </is>
      </c>
      <c r="H350" t="inlineStr">
        <is>
          <t>EU_JD</t>
        </is>
      </c>
      <c r="I350" t="inlineStr">
        <is>
          <t>2007-08</t>
        </is>
      </c>
      <c r="J350" t="n">
        <v>1</v>
      </c>
      <c r="K350" t="n">
        <v>1</v>
      </c>
      <c r="L350" s="34">
        <f>IF($J350=1,LN(B351/B350),"")</f>
        <v/>
      </c>
      <c r="M350" s="34">
        <f>IF($K350=1,INDEX(Mensal!$D$2:$D$245,MATCH($I350,Mensal!$A$2:$A$245,0)),"")</f>
        <v/>
      </c>
      <c r="N350" s="34">
        <f>IF($K350=1,L350-M350,"")</f>
        <v/>
      </c>
      <c r="O350" s="34" t="n">
        <v>0.00042707</v>
      </c>
      <c r="P350" s="34">
        <f>IF($J350=1,LN(1+O350),"")</f>
        <v/>
      </c>
      <c r="Q350" s="34">
        <f>IF($J350=1,LN(R351/R350),"")</f>
        <v/>
      </c>
      <c r="R350" s="32" t="n">
        <v>1.9864</v>
      </c>
      <c r="S350" s="35" t="n">
        <v>11.431</v>
      </c>
      <c r="T350" s="18" t="n">
        <v>52734</v>
      </c>
      <c r="U350" s="18" t="n"/>
      <c r="V350" s="18" t="n"/>
      <c r="W350" s="18" t="n"/>
      <c r="X350" s="35" t="n"/>
      <c r="Y350" s="35" t="n">
        <v>11.431</v>
      </c>
    </row>
    <row r="351">
      <c r="A351" s="25" t="n">
        <v>39324</v>
      </c>
      <c r="B351" s="18" t="n">
        <v>52857</v>
      </c>
      <c r="C351" s="31" t="n"/>
      <c r="D351" s="32" t="n"/>
      <c r="E351" s="33" t="n">
        <v>1.1891</v>
      </c>
      <c r="F351" t="inlineStr">
        <is>
          <t>Up</t>
        </is>
      </c>
      <c r="G351" t="inlineStr">
        <is>
          <t>Down</t>
        </is>
      </c>
      <c r="H351" t="inlineStr">
        <is>
          <t>EU_JD</t>
        </is>
      </c>
      <c r="I351" t="inlineStr">
        <is>
          <t>2007-08</t>
        </is>
      </c>
      <c r="J351" t="n">
        <v>1</v>
      </c>
      <c r="K351" t="n">
        <v>1</v>
      </c>
      <c r="L351" s="34">
        <f>IF($J351=1,LN(B352/B351),"")</f>
        <v/>
      </c>
      <c r="M351" s="34">
        <f>IF($K351=1,INDEX(Mensal!$D$2:$D$245,MATCH($I351,Mensal!$A$2:$A$245,0)),"")</f>
        <v/>
      </c>
      <c r="N351" s="34">
        <f>IF($K351=1,L351-M351,"")</f>
        <v/>
      </c>
      <c r="O351" s="34" t="n">
        <v>0.00042707</v>
      </c>
      <c r="P351" s="34">
        <f>IF($J351=1,LN(1+O351),"")</f>
        <v/>
      </c>
      <c r="Q351" s="34">
        <f>IF($J351=1,LN(R352/R351),"")</f>
        <v/>
      </c>
      <c r="R351" s="32" t="n">
        <v>1.9777</v>
      </c>
      <c r="S351" s="35" t="n">
        <v>11.404</v>
      </c>
      <c r="T351" s="18" t="n">
        <v>52857</v>
      </c>
      <c r="U351" s="18" t="n"/>
      <c r="V351" s="18" t="n"/>
      <c r="W351" s="18" t="n"/>
      <c r="X351" s="35" t="n"/>
      <c r="Y351" s="35" t="n">
        <v>11.404</v>
      </c>
    </row>
    <row r="352">
      <c r="A352" s="25" t="n">
        <v>39325</v>
      </c>
      <c r="B352" s="18" t="n">
        <v>54637</v>
      </c>
      <c r="C352" s="31" t="n"/>
      <c r="D352" s="32" t="n"/>
      <c r="E352" s="33" t="n">
        <v>1.3274</v>
      </c>
      <c r="F352" t="inlineStr">
        <is>
          <t>Up</t>
        </is>
      </c>
      <c r="G352" t="inlineStr">
        <is>
          <t>Down</t>
        </is>
      </c>
      <c r="H352" t="inlineStr">
        <is>
          <t>EU_JD</t>
        </is>
      </c>
      <c r="I352" t="inlineStr">
        <is>
          <t>2007-08</t>
        </is>
      </c>
      <c r="J352" t="n">
        <v>1</v>
      </c>
      <c r="K352" t="n">
        <v>1</v>
      </c>
      <c r="L352" s="34">
        <f>IF($J352=1,LN(B353/B352),"")</f>
        <v/>
      </c>
      <c r="M352" s="34">
        <f>IF($K352=1,INDEX(Mensal!$D$2:$D$245,MATCH($I352,Mensal!$A$2:$A$245,0)),"")</f>
        <v/>
      </c>
      <c r="N352" s="34">
        <f>IF($K352=1,L352-M352,"")</f>
        <v/>
      </c>
      <c r="O352" s="34" t="n">
        <v>0.00042921</v>
      </c>
      <c r="P352" s="34">
        <f>IF($J352=1,LN(1+O352),"")</f>
        <v/>
      </c>
      <c r="Q352" s="34">
        <f>IF($J352=1,LN(R353/R352),"")</f>
        <v/>
      </c>
      <c r="R352" s="32" t="n">
        <v>1.962</v>
      </c>
      <c r="S352" s="35" t="n">
        <v>11.36</v>
      </c>
      <c r="T352" s="18" t="n">
        <v>54637</v>
      </c>
      <c r="U352" s="18" t="n"/>
      <c r="V352" s="18" t="n"/>
      <c r="W352" s="18" t="n"/>
      <c r="X352" s="35" t="n"/>
      <c r="Y352" s="35" t="n">
        <v>11.36</v>
      </c>
    </row>
    <row r="353">
      <c r="A353" s="25" t="n">
        <v>39328</v>
      </c>
      <c r="B353" s="18" t="n">
        <v>54832</v>
      </c>
      <c r="C353" s="31" t="n"/>
      <c r="D353" s="32" t="n"/>
      <c r="E353" s="33" t="n">
        <v>1.5321</v>
      </c>
      <c r="F353" t="inlineStr">
        <is>
          <t>Up</t>
        </is>
      </c>
      <c r="G353" t="inlineStr">
        <is>
          <t>Down</t>
        </is>
      </c>
      <c r="H353" t="inlineStr">
        <is>
          <t>EU_JD</t>
        </is>
      </c>
      <c r="I353" t="inlineStr">
        <is>
          <t>2007-09</t>
        </is>
      </c>
      <c r="J353" t="n">
        <v>1</v>
      </c>
      <c r="K353" t="n">
        <v>1</v>
      </c>
      <c r="L353" s="34">
        <f>IF($J353=1,LN(B354/B353),"")</f>
        <v/>
      </c>
      <c r="M353" s="34">
        <f>IF($K353=1,INDEX(Mensal!$D$2:$D$245,MATCH($I353,Mensal!$A$2:$A$245,0)),"")</f>
        <v/>
      </c>
      <c r="N353" s="34">
        <f>IF($K353=1,L353-M353,"")</f>
        <v/>
      </c>
      <c r="O353" s="34" t="n">
        <v>0.00043027</v>
      </c>
      <c r="P353" s="34">
        <f>IF($J353=1,LN(1+O353),"")</f>
        <v/>
      </c>
      <c r="Q353" s="34">
        <f>IF($J353=1,LN(R354/R353),"")</f>
        <v/>
      </c>
      <c r="R353" s="32" t="n">
        <v>1.9547</v>
      </c>
      <c r="S353" s="35" t="n">
        <v>11.304</v>
      </c>
      <c r="T353" s="18" t="n">
        <v>54832</v>
      </c>
      <c r="U353" s="18" t="n"/>
      <c r="V353" s="18" t="n"/>
      <c r="W353" s="18" t="n"/>
      <c r="X353" s="35" t="n"/>
      <c r="Y353" s="35" t="n">
        <v>11.304</v>
      </c>
    </row>
    <row r="354">
      <c r="A354" s="25" t="n">
        <v>39329</v>
      </c>
      <c r="B354" s="18" t="n">
        <v>55250</v>
      </c>
      <c r="C354" s="31" t="n"/>
      <c r="D354" s="32" t="n"/>
      <c r="E354" s="33" t="n">
        <v>1.753</v>
      </c>
      <c r="F354" t="inlineStr">
        <is>
          <t>Up</t>
        </is>
      </c>
      <c r="G354" t="inlineStr">
        <is>
          <t>Down</t>
        </is>
      </c>
      <c r="H354" t="inlineStr">
        <is>
          <t>EU_JD</t>
        </is>
      </c>
      <c r="I354" t="inlineStr">
        <is>
          <t>2007-09</t>
        </is>
      </c>
      <c r="J354" t="n">
        <v>1</v>
      </c>
      <c r="K354" t="n">
        <v>1</v>
      </c>
      <c r="L354" s="34">
        <f>IF($J354=1,LN(B355/B354),"")</f>
        <v/>
      </c>
      <c r="M354" s="34">
        <f>IF($K354=1,INDEX(Mensal!$D$2:$D$245,MATCH($I354,Mensal!$A$2:$A$245,0)),"")</f>
        <v/>
      </c>
      <c r="N354" s="34">
        <f>IF($K354=1,L354-M354,"")</f>
        <v/>
      </c>
      <c r="O354" s="34" t="n">
        <v>0.00042814</v>
      </c>
      <c r="P354" s="34">
        <f>IF($J354=1,LN(1+O354),"")</f>
        <v/>
      </c>
      <c r="Q354" s="34">
        <f>IF($J354=1,LN(R355/R354),"")</f>
        <v/>
      </c>
      <c r="R354" s="32" t="n">
        <v>1.9528</v>
      </c>
      <c r="S354" s="35" t="n">
        <v>11.28</v>
      </c>
      <c r="T354" s="18" t="n">
        <v>55250</v>
      </c>
      <c r="U354" s="18" t="n"/>
      <c r="V354" s="18" t="n"/>
      <c r="W354" s="18" t="n"/>
      <c r="X354" s="35" t="n"/>
      <c r="Y354" s="35" t="n">
        <v>11.28</v>
      </c>
    </row>
    <row r="355">
      <c r="A355" s="25" t="n">
        <v>39330</v>
      </c>
      <c r="B355" s="18" t="n">
        <v>54407</v>
      </c>
      <c r="C355" s="31" t="n"/>
      <c r="D355" s="32" t="n"/>
      <c r="E355" s="33" t="n">
        <v>1.9599</v>
      </c>
      <c r="F355" t="inlineStr">
        <is>
          <t>Up</t>
        </is>
      </c>
      <c r="G355" t="inlineStr">
        <is>
          <t>Down</t>
        </is>
      </c>
      <c r="H355" t="inlineStr">
        <is>
          <t>EU_JD</t>
        </is>
      </c>
      <c r="I355" t="inlineStr">
        <is>
          <t>2007-09</t>
        </is>
      </c>
      <c r="J355" t="n">
        <v>1</v>
      </c>
      <c r="K355" t="n">
        <v>1</v>
      </c>
      <c r="L355" s="34">
        <f>IF($J355=1,LN(B356/B355),"")</f>
        <v/>
      </c>
      <c r="M355" s="34">
        <f>IF($K355=1,INDEX(Mensal!$D$2:$D$245,MATCH($I355,Mensal!$A$2:$A$245,0)),"")</f>
        <v/>
      </c>
      <c r="N355" s="34">
        <f>IF($K355=1,L355-M355,"")</f>
        <v/>
      </c>
      <c r="O355" s="34" t="n">
        <v>0.00042742</v>
      </c>
      <c r="P355" s="34">
        <f>IF($J355=1,LN(1+O355),"")</f>
        <v/>
      </c>
      <c r="Q355" s="34">
        <f>IF($J355=1,LN(R356/R355),"")</f>
        <v/>
      </c>
      <c r="R355" s="32" t="n">
        <v>1.964</v>
      </c>
      <c r="S355" s="35" t="n">
        <v>11.378</v>
      </c>
      <c r="T355" s="18" t="n">
        <v>54407</v>
      </c>
      <c r="U355" s="18" t="n"/>
      <c r="V355" s="18" t="n"/>
      <c r="W355" s="18" t="n"/>
      <c r="X355" s="35" t="n"/>
      <c r="Y355" s="35" t="n">
        <v>11.378</v>
      </c>
    </row>
    <row r="356">
      <c r="A356" s="25" t="n">
        <v>39331</v>
      </c>
      <c r="B356" s="18" t="n">
        <v>54569</v>
      </c>
      <c r="C356" s="31" t="n"/>
      <c r="D356" s="32" t="n"/>
      <c r="E356" s="33" t="n">
        <v>2.1559</v>
      </c>
      <c r="F356" t="inlineStr">
        <is>
          <t>Up</t>
        </is>
      </c>
      <c r="G356" t="inlineStr">
        <is>
          <t>Up</t>
        </is>
      </c>
      <c r="H356" t="inlineStr">
        <is>
          <t>EU_JU</t>
        </is>
      </c>
      <c r="I356" t="inlineStr">
        <is>
          <t>2007-09</t>
        </is>
      </c>
      <c r="J356" t="n">
        <v>1</v>
      </c>
      <c r="K356" t="n">
        <v>1</v>
      </c>
      <c r="L356" s="34">
        <f>IF($J356=1,LN(B357/B356),"")</f>
        <v/>
      </c>
      <c r="M356" s="34">
        <f>IF($K356=1,INDEX(Mensal!$D$2:$D$245,MATCH($I356,Mensal!$A$2:$A$245,0)),"")</f>
        <v/>
      </c>
      <c r="N356" s="34">
        <f>IF($K356=1,L356-M356,"")</f>
        <v/>
      </c>
      <c r="O356" s="34" t="n">
        <v>0.00041922</v>
      </c>
      <c r="P356" s="34">
        <f>IF($J356=1,LN(1+O356),"")</f>
        <v/>
      </c>
      <c r="Q356" s="34">
        <f>IF($J356=1,LN(R357/R356),"")</f>
        <v/>
      </c>
      <c r="R356" s="32" t="n">
        <v>1.9545</v>
      </c>
      <c r="S356" s="35" t="n">
        <v>11.352</v>
      </c>
      <c r="T356" s="18" t="n"/>
      <c r="U356" s="18" t="n">
        <v>54569</v>
      </c>
      <c r="V356" s="18" t="n"/>
      <c r="W356" s="18" t="n"/>
      <c r="X356" s="35" t="n">
        <v>11.352</v>
      </c>
      <c r="Y356" s="35" t="n"/>
    </row>
    <row r="357">
      <c r="A357" s="25" t="n">
        <v>39335</v>
      </c>
      <c r="B357" s="18" t="n">
        <v>52652</v>
      </c>
      <c r="C357" s="31" t="n"/>
      <c r="D357" s="32" t="n"/>
      <c r="E357" s="33" t="n">
        <v>2.3933</v>
      </c>
      <c r="F357" t="inlineStr">
        <is>
          <t>Up</t>
        </is>
      </c>
      <c r="G357" t="inlineStr">
        <is>
          <t>Up</t>
        </is>
      </c>
      <c r="H357" t="inlineStr">
        <is>
          <t>EU_JU</t>
        </is>
      </c>
      <c r="I357" t="inlineStr">
        <is>
          <t>2007-09</t>
        </is>
      </c>
      <c r="J357" t="n">
        <v>1</v>
      </c>
      <c r="K357" t="n">
        <v>1</v>
      </c>
      <c r="L357" s="34">
        <f>IF($J357=1,LN(B358/B357),"")</f>
        <v/>
      </c>
      <c r="M357" s="34">
        <f>IF($K357=1,INDEX(Mensal!$D$2:$D$245,MATCH($I357,Mensal!$A$2:$A$245,0)),"")</f>
        <v/>
      </c>
      <c r="N357" s="34">
        <f>IF($K357=1,L357-M357,"")</f>
        <v/>
      </c>
      <c r="O357" s="34" t="n">
        <v>0.00041922</v>
      </c>
      <c r="P357" s="34">
        <f>IF($J357=1,LN(1+O357),"")</f>
        <v/>
      </c>
      <c r="Q357" s="34">
        <f>IF($J357=1,LN(R358/R357),"")</f>
        <v/>
      </c>
      <c r="R357" s="32" t="n">
        <v>1.9591</v>
      </c>
      <c r="S357" s="35" t="n">
        <v>11.441</v>
      </c>
      <c r="T357" s="18" t="n"/>
      <c r="U357" s="18" t="n">
        <v>52652</v>
      </c>
      <c r="V357" s="18" t="n"/>
      <c r="W357" s="18" t="n"/>
      <c r="X357" s="35" t="n">
        <v>11.441</v>
      </c>
      <c r="Y357" s="35" t="n"/>
    </row>
    <row r="358">
      <c r="A358" s="25" t="n">
        <v>39336</v>
      </c>
      <c r="B358" s="18" t="n">
        <v>53920</v>
      </c>
      <c r="C358" s="31" t="n"/>
      <c r="D358" s="32" t="n"/>
      <c r="E358" s="33" t="n">
        <v>2.6197</v>
      </c>
      <c r="F358" t="inlineStr">
        <is>
          <t>Up</t>
        </is>
      </c>
      <c r="G358" t="inlineStr">
        <is>
          <t>Up</t>
        </is>
      </c>
      <c r="H358" t="inlineStr">
        <is>
          <t>EU_JU</t>
        </is>
      </c>
      <c r="I358" t="inlineStr">
        <is>
          <t>2007-09</t>
        </is>
      </c>
      <c r="J358" t="n">
        <v>1</v>
      </c>
      <c r="K358" t="n">
        <v>1</v>
      </c>
      <c r="L358" s="34">
        <f>IF($J358=1,LN(B359/B358),"")</f>
        <v/>
      </c>
      <c r="M358" s="34">
        <f>IF($K358=1,INDEX(Mensal!$D$2:$D$245,MATCH($I358,Mensal!$A$2:$A$245,0)),"")</f>
        <v/>
      </c>
      <c r="N358" s="34">
        <f>IF($K358=1,L358-M358,"")</f>
        <v/>
      </c>
      <c r="O358" s="34" t="n">
        <v>0.00041886</v>
      </c>
      <c r="P358" s="34">
        <f>IF($J358=1,LN(1+O358),"")</f>
        <v/>
      </c>
      <c r="Q358" s="34">
        <f>IF($J358=1,LN(R359/R358),"")</f>
        <v/>
      </c>
      <c r="R358" s="32" t="n">
        <v>1.9304</v>
      </c>
      <c r="S358" s="35" t="n">
        <v>11.391</v>
      </c>
      <c r="T358" s="18" t="n"/>
      <c r="U358" s="18" t="n">
        <v>53920</v>
      </c>
      <c r="V358" s="18" t="n"/>
      <c r="W358" s="18" t="n"/>
      <c r="X358" s="35" t="n">
        <v>11.391</v>
      </c>
      <c r="Y358" s="35" t="n"/>
    </row>
    <row r="359">
      <c r="A359" s="25" t="n">
        <v>39337</v>
      </c>
      <c r="B359" s="18" t="n">
        <v>53882</v>
      </c>
      <c r="C359" s="31" t="n"/>
      <c r="D359" s="32" t="n"/>
      <c r="E359" s="33" t="n">
        <v>2.8349</v>
      </c>
      <c r="F359" t="inlineStr">
        <is>
          <t>Up</t>
        </is>
      </c>
      <c r="G359" t="inlineStr">
        <is>
          <t>Up</t>
        </is>
      </c>
      <c r="H359" t="inlineStr">
        <is>
          <t>EU_JU</t>
        </is>
      </c>
      <c r="I359" t="inlineStr">
        <is>
          <t>2007-09</t>
        </is>
      </c>
      <c r="J359" t="n">
        <v>1</v>
      </c>
      <c r="K359" t="n">
        <v>1</v>
      </c>
      <c r="L359" s="34">
        <f>IF($J359=1,LN(B360/B359),"")</f>
        <v/>
      </c>
      <c r="M359" s="34">
        <f>IF($K359=1,INDEX(Mensal!$D$2:$D$245,MATCH($I359,Mensal!$A$2:$A$245,0)),"")</f>
        <v/>
      </c>
      <c r="N359" s="34">
        <f>IF($K359=1,L359-M359,"")</f>
        <v/>
      </c>
      <c r="O359" s="34" t="n">
        <v>0.0004185</v>
      </c>
      <c r="P359" s="34">
        <f>IF($J359=1,LN(1+O359),"")</f>
        <v/>
      </c>
      <c r="Q359" s="34">
        <f>IF($J359=1,LN(R360/R359),"")</f>
        <v/>
      </c>
      <c r="R359" s="32" t="n">
        <v>1.9125</v>
      </c>
      <c r="S359" s="35" t="n">
        <v>11.315</v>
      </c>
      <c r="T359" s="18" t="n"/>
      <c r="U359" s="18" t="n">
        <v>53882</v>
      </c>
      <c r="V359" s="18" t="n"/>
      <c r="W359" s="18" t="n"/>
      <c r="X359" s="35" t="n">
        <v>11.315</v>
      </c>
      <c r="Y359" s="35" t="n"/>
    </row>
    <row r="360">
      <c r="A360" s="25" t="n">
        <v>39338</v>
      </c>
      <c r="B360" s="18" t="n">
        <v>54908</v>
      </c>
      <c r="C360" s="31" t="n"/>
      <c r="D360" s="32" t="n"/>
      <c r="E360" s="33" t="n">
        <v>3.0394</v>
      </c>
      <c r="F360" t="inlineStr">
        <is>
          <t>Up</t>
        </is>
      </c>
      <c r="G360" t="inlineStr">
        <is>
          <t>Up</t>
        </is>
      </c>
      <c r="H360" t="inlineStr">
        <is>
          <t>EU_JU</t>
        </is>
      </c>
      <c r="I360" t="inlineStr">
        <is>
          <t>2007-09</t>
        </is>
      </c>
      <c r="J360" t="n">
        <v>1</v>
      </c>
      <c r="K360" t="n">
        <v>1</v>
      </c>
      <c r="L360" s="34">
        <f>IF($J360=1,LN(B361/B360),"")</f>
        <v/>
      </c>
      <c r="M360" s="34">
        <f>IF($K360=1,INDEX(Mensal!$D$2:$D$245,MATCH($I360,Mensal!$A$2:$A$245,0)),"")</f>
        <v/>
      </c>
      <c r="N360" s="34">
        <f>IF($K360=1,L360-M360,"")</f>
        <v/>
      </c>
      <c r="O360" s="34" t="n">
        <v>0.00041814</v>
      </c>
      <c r="P360" s="34">
        <f>IF($J360=1,LN(1+O360),"")</f>
        <v/>
      </c>
      <c r="Q360" s="34">
        <f>IF($J360=1,LN(R361/R360),"")</f>
        <v/>
      </c>
      <c r="R360" s="32" t="n">
        <v>1.8991</v>
      </c>
      <c r="S360" s="35" t="n">
        <v>11.387</v>
      </c>
      <c r="T360" s="18" t="n"/>
      <c r="U360" s="18" t="n">
        <v>54908</v>
      </c>
      <c r="V360" s="18" t="n"/>
      <c r="W360" s="18" t="n"/>
      <c r="X360" s="35" t="n">
        <v>11.387</v>
      </c>
      <c r="Y360" s="35" t="n"/>
    </row>
    <row r="361">
      <c r="A361" s="25" t="n">
        <v>39339</v>
      </c>
      <c r="B361" s="18" t="n">
        <v>54671</v>
      </c>
      <c r="C361" s="31" t="n"/>
      <c r="D361" s="32" t="n"/>
      <c r="E361" s="33" t="n">
        <v>3.237</v>
      </c>
      <c r="F361" t="inlineStr">
        <is>
          <t>Up</t>
        </is>
      </c>
      <c r="G361" t="inlineStr">
        <is>
          <t>Up</t>
        </is>
      </c>
      <c r="H361" t="inlineStr">
        <is>
          <t>EU_JU</t>
        </is>
      </c>
      <c r="I361" t="inlineStr">
        <is>
          <t>2007-09</t>
        </is>
      </c>
      <c r="J361" t="n">
        <v>1</v>
      </c>
      <c r="K361" t="n">
        <v>1</v>
      </c>
      <c r="L361" s="34">
        <f>IF($J361=1,LN(B362/B361),"")</f>
        <v/>
      </c>
      <c r="M361" s="34">
        <f>IF($K361=1,INDEX(Mensal!$D$2:$D$245,MATCH($I361,Mensal!$A$2:$A$245,0)),"")</f>
        <v/>
      </c>
      <c r="N361" s="34">
        <f>IF($K361=1,L361-M361,"")</f>
        <v/>
      </c>
      <c r="O361" s="34" t="n">
        <v>0.0004185</v>
      </c>
      <c r="P361" s="34">
        <f>IF($J361=1,LN(1+O361),"")</f>
        <v/>
      </c>
      <c r="Q361" s="34">
        <f>IF($J361=1,LN(R362/R361),"")</f>
        <v/>
      </c>
      <c r="R361" s="32" t="n">
        <v>1.9031</v>
      </c>
      <c r="S361" s="35" t="n">
        <v>11.337</v>
      </c>
      <c r="T361" s="18" t="n"/>
      <c r="U361" s="18" t="n">
        <v>54671</v>
      </c>
      <c r="V361" s="18" t="n"/>
      <c r="W361" s="18" t="n"/>
      <c r="X361" s="35" t="n">
        <v>11.337</v>
      </c>
      <c r="Y361" s="35" t="n"/>
    </row>
    <row r="362">
      <c r="A362" s="25" t="n">
        <v>39342</v>
      </c>
      <c r="B362" s="18" t="n">
        <v>54340</v>
      </c>
      <c r="C362" s="31" t="n"/>
      <c r="D362" s="32" t="n"/>
      <c r="E362" s="33" t="n">
        <v>3.4304</v>
      </c>
      <c r="F362" t="inlineStr">
        <is>
          <t>Up</t>
        </is>
      </c>
      <c r="G362" t="inlineStr">
        <is>
          <t>Up</t>
        </is>
      </c>
      <c r="H362" t="inlineStr">
        <is>
          <t>EU_JU</t>
        </is>
      </c>
      <c r="I362" t="inlineStr">
        <is>
          <t>2007-09</t>
        </is>
      </c>
      <c r="J362" t="n">
        <v>1</v>
      </c>
      <c r="K362" t="n">
        <v>1</v>
      </c>
      <c r="L362" s="34">
        <f>IF($J362=1,LN(B363/B362),"")</f>
        <v/>
      </c>
      <c r="M362" s="34">
        <f>IF($K362=1,INDEX(Mensal!$D$2:$D$245,MATCH($I362,Mensal!$A$2:$A$245,0)),"")</f>
        <v/>
      </c>
      <c r="N362" s="34">
        <f>IF($K362=1,L362-M362,"")</f>
        <v/>
      </c>
      <c r="O362" s="34" t="n">
        <v>0.00041814</v>
      </c>
      <c r="P362" s="34">
        <f>IF($J362=1,LN(1+O362),"")</f>
        <v/>
      </c>
      <c r="Q362" s="34">
        <f>IF($J362=1,LN(R363/R362),"")</f>
        <v/>
      </c>
      <c r="R362" s="32" t="n">
        <v>1.9123</v>
      </c>
      <c r="S362" s="35" t="n">
        <v>11.385</v>
      </c>
      <c r="T362" s="18" t="n"/>
      <c r="U362" s="18" t="n">
        <v>54340</v>
      </c>
      <c r="V362" s="18" t="n"/>
      <c r="W362" s="18" t="n"/>
      <c r="X362" s="35" t="n">
        <v>11.385</v>
      </c>
      <c r="Y362" s="35" t="n"/>
    </row>
    <row r="363">
      <c r="A363" s="25" t="n">
        <v>39343</v>
      </c>
      <c r="B363" s="18" t="n">
        <v>56666</v>
      </c>
      <c r="C363" s="31" t="n"/>
      <c r="D363" s="32" t="n"/>
      <c r="E363" s="33" t="n">
        <v>3.6118</v>
      </c>
      <c r="F363" t="inlineStr">
        <is>
          <t>Up</t>
        </is>
      </c>
      <c r="G363" t="inlineStr">
        <is>
          <t>Up</t>
        </is>
      </c>
      <c r="H363" t="inlineStr">
        <is>
          <t>EU_JU</t>
        </is>
      </c>
      <c r="I363" t="inlineStr">
        <is>
          <t>2007-09</t>
        </is>
      </c>
      <c r="J363" t="n">
        <v>1</v>
      </c>
      <c r="K363" t="n">
        <v>1</v>
      </c>
      <c r="L363" s="34">
        <f>IF($J363=1,LN(B364/B363),"")</f>
        <v/>
      </c>
      <c r="M363" s="34">
        <f>IF($K363=1,INDEX(Mensal!$D$2:$D$245,MATCH($I363,Mensal!$A$2:$A$245,0)),"")</f>
        <v/>
      </c>
      <c r="N363" s="34">
        <f>IF($K363=1,L363-M363,"")</f>
        <v/>
      </c>
      <c r="O363" s="34" t="n">
        <v>0.0004185</v>
      </c>
      <c r="P363" s="34">
        <f>IF($J363=1,LN(1+O363),"")</f>
        <v/>
      </c>
      <c r="Q363" s="34">
        <f>IF($J363=1,LN(R364/R363),"")</f>
        <v/>
      </c>
      <c r="R363" s="32" t="n">
        <v>1.896</v>
      </c>
      <c r="S363" s="35" t="n">
        <v>11.309</v>
      </c>
      <c r="T363" s="18" t="n"/>
      <c r="U363" s="18" t="n">
        <v>56666</v>
      </c>
      <c r="V363" s="18" t="n"/>
      <c r="W363" s="18" t="n"/>
      <c r="X363" s="35" t="n">
        <v>11.309</v>
      </c>
      <c r="Y363" s="35" t="n"/>
    </row>
    <row r="364">
      <c r="A364" s="25" t="n">
        <v>39344</v>
      </c>
      <c r="B364" s="18" t="n">
        <v>57264</v>
      </c>
      <c r="C364" s="31" t="n"/>
      <c r="D364" s="32" t="n"/>
      <c r="E364" s="33" t="n">
        <v>3.782</v>
      </c>
      <c r="F364" t="inlineStr">
        <is>
          <t>Up</t>
        </is>
      </c>
      <c r="G364" t="inlineStr">
        <is>
          <t>Up</t>
        </is>
      </c>
      <c r="H364" t="inlineStr">
        <is>
          <t>EU_JU</t>
        </is>
      </c>
      <c r="I364" t="inlineStr">
        <is>
          <t>2007-09</t>
        </is>
      </c>
      <c r="J364" t="n">
        <v>1</v>
      </c>
      <c r="K364" t="n">
        <v>1</v>
      </c>
      <c r="L364" s="34">
        <f>IF($J364=1,LN(B365/B364),"")</f>
        <v/>
      </c>
      <c r="M364" s="34">
        <f>IF($K364=1,INDEX(Mensal!$D$2:$D$245,MATCH($I364,Mensal!$A$2:$A$245,0)),"")</f>
        <v/>
      </c>
      <c r="N364" s="34">
        <f>IF($K364=1,L364-M364,"")</f>
        <v/>
      </c>
      <c r="O364" s="34" t="n">
        <v>0.00041779</v>
      </c>
      <c r="P364" s="34">
        <f>IF($J364=1,LN(1+O364),"")</f>
        <v/>
      </c>
      <c r="Q364" s="34">
        <f>IF($J364=1,LN(R365/R364),"")</f>
        <v/>
      </c>
      <c r="R364" s="32" t="n">
        <v>1.8639</v>
      </c>
      <c r="S364" s="35" t="n">
        <v>11.224</v>
      </c>
      <c r="T364" s="18" t="n"/>
      <c r="U364" s="18" t="n">
        <v>57264</v>
      </c>
      <c r="V364" s="18" t="n"/>
      <c r="W364" s="18" t="n"/>
      <c r="X364" s="35" t="n">
        <v>11.224</v>
      </c>
      <c r="Y364" s="35" t="n"/>
    </row>
    <row r="365">
      <c r="A365" s="25" t="n">
        <v>39345</v>
      </c>
      <c r="B365" s="18" t="n">
        <v>56906</v>
      </c>
      <c r="C365" s="31" t="n"/>
      <c r="D365" s="32" t="n"/>
      <c r="E365" s="33" t="n">
        <v>3.9295</v>
      </c>
      <c r="F365" t="inlineStr">
        <is>
          <t>Up</t>
        </is>
      </c>
      <c r="G365" t="inlineStr">
        <is>
          <t>Up</t>
        </is>
      </c>
      <c r="H365" t="inlineStr">
        <is>
          <t>EU_JU</t>
        </is>
      </c>
      <c r="I365" t="inlineStr">
        <is>
          <t>2007-09</t>
        </is>
      </c>
      <c r="J365" t="n">
        <v>1</v>
      </c>
      <c r="K365" t="n">
        <v>1</v>
      </c>
      <c r="L365" s="34">
        <f>IF($J365=1,LN(B366/B365),"")</f>
        <v/>
      </c>
      <c r="M365" s="34">
        <f>IF($K365=1,INDEX(Mensal!$D$2:$D$245,MATCH($I365,Mensal!$A$2:$A$245,0)),"")</f>
        <v/>
      </c>
      <c r="N365" s="34">
        <f>IF($K365=1,L365-M365,"")</f>
        <v/>
      </c>
      <c r="O365" s="34" t="n">
        <v>0.00041743</v>
      </c>
      <c r="P365" s="34">
        <f>IF($J365=1,LN(1+O365),"")</f>
        <v/>
      </c>
      <c r="Q365" s="34">
        <f>IF($J365=1,LN(R366/R365),"")</f>
        <v/>
      </c>
      <c r="R365" s="32" t="n">
        <v>1.8637</v>
      </c>
      <c r="S365" s="35" t="n">
        <v>11.229</v>
      </c>
      <c r="T365" s="18" t="n"/>
      <c r="U365" s="18" t="n">
        <v>56906</v>
      </c>
      <c r="V365" s="18" t="n"/>
      <c r="W365" s="18" t="n"/>
      <c r="X365" s="35" t="n">
        <v>11.229</v>
      </c>
      <c r="Y365" s="35" t="n"/>
    </row>
    <row r="366">
      <c r="A366" s="25" t="n">
        <v>39346</v>
      </c>
      <c r="B366" s="18" t="n">
        <v>57798</v>
      </c>
      <c r="C366" s="31" t="n"/>
      <c r="D366" s="32" t="n"/>
      <c r="E366" s="33" t="n">
        <v>4.0661</v>
      </c>
      <c r="F366" t="inlineStr">
        <is>
          <t>Up</t>
        </is>
      </c>
      <c r="G366" t="inlineStr">
        <is>
          <t>Up</t>
        </is>
      </c>
      <c r="H366" t="inlineStr">
        <is>
          <t>EU_JU</t>
        </is>
      </c>
      <c r="I366" t="inlineStr">
        <is>
          <t>2007-09</t>
        </is>
      </c>
      <c r="J366" t="n">
        <v>1</v>
      </c>
      <c r="K366" t="n">
        <v>1</v>
      </c>
      <c r="L366" s="34">
        <f>IF($J366=1,LN(B367/B366),"")</f>
        <v/>
      </c>
      <c r="M366" s="34">
        <f>IF($K366=1,INDEX(Mensal!$D$2:$D$245,MATCH($I366,Mensal!$A$2:$A$245,0)),"")</f>
        <v/>
      </c>
      <c r="N366" s="34">
        <f>IF($K366=1,L366-M366,"")</f>
        <v/>
      </c>
      <c r="O366" s="34" t="n">
        <v>0.00041743</v>
      </c>
      <c r="P366" s="34">
        <f>IF($J366=1,LN(1+O366),"")</f>
        <v/>
      </c>
      <c r="Q366" s="34">
        <f>IF($J366=1,LN(R367/R366),"")</f>
        <v/>
      </c>
      <c r="R366" s="32" t="n">
        <v>1.8618</v>
      </c>
      <c r="S366" s="35" t="n">
        <v>11.15</v>
      </c>
      <c r="T366" s="18" t="n"/>
      <c r="U366" s="18" t="n">
        <v>57798</v>
      </c>
      <c r="V366" s="18" t="n"/>
      <c r="W366" s="18" t="n"/>
      <c r="X366" s="35" t="n">
        <v>11.15</v>
      </c>
      <c r="Y366" s="35" t="n"/>
    </row>
    <row r="367">
      <c r="A367" s="25" t="n">
        <v>39349</v>
      </c>
      <c r="B367" s="18" t="n">
        <v>58719</v>
      </c>
      <c r="C367" s="31" t="n"/>
      <c r="D367" s="32" t="n"/>
      <c r="E367" s="33" t="n">
        <v>4.1804</v>
      </c>
      <c r="F367" t="inlineStr">
        <is>
          <t>Up</t>
        </is>
      </c>
      <c r="G367" t="inlineStr">
        <is>
          <t>Up</t>
        </is>
      </c>
      <c r="H367" t="inlineStr">
        <is>
          <t>EU_JU</t>
        </is>
      </c>
      <c r="I367" t="inlineStr">
        <is>
          <t>2007-09</t>
        </is>
      </c>
      <c r="J367" t="n">
        <v>1</v>
      </c>
      <c r="K367" t="n">
        <v>1</v>
      </c>
      <c r="L367" s="34">
        <f>IF($J367=1,LN(B368/B367),"")</f>
        <v/>
      </c>
      <c r="M367" s="34">
        <f>IF($K367=1,INDEX(Mensal!$D$2:$D$245,MATCH($I367,Mensal!$A$2:$A$245,0)),"")</f>
        <v/>
      </c>
      <c r="N367" s="34">
        <f>IF($K367=1,L367-M367,"")</f>
        <v/>
      </c>
      <c r="O367" s="34" t="n">
        <v>0.00041707</v>
      </c>
      <c r="P367" s="34">
        <f>IF($J367=1,LN(1+O367),"")</f>
        <v/>
      </c>
      <c r="Q367" s="34">
        <f>IF($J367=1,LN(R368/R367),"")</f>
        <v/>
      </c>
      <c r="R367" s="32" t="n">
        <v>1.8694</v>
      </c>
      <c r="S367" s="35" t="n">
        <v>11.181</v>
      </c>
      <c r="T367" s="18" t="n"/>
      <c r="U367" s="18" t="n">
        <v>58719</v>
      </c>
      <c r="V367" s="18" t="n"/>
      <c r="W367" s="18" t="n"/>
      <c r="X367" s="35" t="n">
        <v>11.181</v>
      </c>
      <c r="Y367" s="35" t="n"/>
    </row>
    <row r="368">
      <c r="A368" s="25" t="n">
        <v>39350</v>
      </c>
      <c r="B368" s="18" t="n">
        <v>58857</v>
      </c>
      <c r="C368" s="31" t="n"/>
      <c r="D368" s="32" t="n"/>
      <c r="E368" s="33" t="n">
        <v>4.2938</v>
      </c>
      <c r="F368" t="inlineStr">
        <is>
          <t>Up</t>
        </is>
      </c>
      <c r="G368" t="inlineStr">
        <is>
          <t>Up</t>
        </is>
      </c>
      <c r="H368" t="inlineStr">
        <is>
          <t>EU_JU</t>
        </is>
      </c>
      <c r="I368" t="inlineStr">
        <is>
          <t>2007-09</t>
        </is>
      </c>
      <c r="J368" t="n">
        <v>1</v>
      </c>
      <c r="K368" t="n">
        <v>1</v>
      </c>
      <c r="L368" s="34">
        <f>IF($J368=1,LN(B369/B368),"")</f>
        <v/>
      </c>
      <c r="M368" s="34">
        <f>IF($K368=1,INDEX(Mensal!$D$2:$D$245,MATCH($I368,Mensal!$A$2:$A$245,0)),"")</f>
        <v/>
      </c>
      <c r="N368" s="34">
        <f>IF($K368=1,L368-M368,"")</f>
        <v/>
      </c>
      <c r="O368" s="34" t="n">
        <v>0.00041707</v>
      </c>
      <c r="P368" s="34">
        <f>IF($J368=1,LN(1+O368),"")</f>
        <v/>
      </c>
      <c r="Q368" s="34">
        <f>IF($J368=1,LN(R369/R368),"")</f>
        <v/>
      </c>
      <c r="R368" s="32" t="n">
        <v>1.8656</v>
      </c>
      <c r="S368" s="35" t="n">
        <v>11.147</v>
      </c>
      <c r="T368" s="18" t="n"/>
      <c r="U368" s="18" t="n">
        <v>58857</v>
      </c>
      <c r="V368" s="18" t="n"/>
      <c r="W368" s="18" t="n"/>
      <c r="X368" s="35" t="n">
        <v>11.147</v>
      </c>
      <c r="Y368" s="35" t="n"/>
    </row>
    <row r="369">
      <c r="A369" s="25" t="n">
        <v>39351</v>
      </c>
      <c r="B369" s="18" t="n">
        <v>59714</v>
      </c>
      <c r="C369" s="31" t="n"/>
      <c r="D369" s="32" t="n"/>
      <c r="E369" s="33" t="n">
        <v>4.4005</v>
      </c>
      <c r="F369" t="inlineStr">
        <is>
          <t>Up</t>
        </is>
      </c>
      <c r="G369" t="inlineStr">
        <is>
          <t>Up</t>
        </is>
      </c>
      <c r="H369" t="inlineStr">
        <is>
          <t>EU_JU</t>
        </is>
      </c>
      <c r="I369" t="inlineStr">
        <is>
          <t>2007-09</t>
        </is>
      </c>
      <c r="J369" t="n">
        <v>1</v>
      </c>
      <c r="K369" t="n">
        <v>1</v>
      </c>
      <c r="L369" s="34">
        <f>IF($J369=1,LN(B370/B369),"")</f>
        <v/>
      </c>
      <c r="M369" s="34">
        <f>IF($K369=1,INDEX(Mensal!$D$2:$D$245,MATCH($I369,Mensal!$A$2:$A$245,0)),"")</f>
        <v/>
      </c>
      <c r="N369" s="34">
        <f>IF($K369=1,L369-M369,"")</f>
        <v/>
      </c>
      <c r="O369" s="34" t="n">
        <v>0.00041743</v>
      </c>
      <c r="P369" s="34">
        <f>IF($J369=1,LN(1+O369),"")</f>
        <v/>
      </c>
      <c r="Q369" s="34">
        <f>IF($J369=1,LN(R370/R369),"")</f>
        <v/>
      </c>
      <c r="R369" s="32" t="n">
        <v>1.8493</v>
      </c>
      <c r="S369" s="35" t="n">
        <v>11.183</v>
      </c>
      <c r="T369" s="18" t="n"/>
      <c r="U369" s="18" t="n">
        <v>59714</v>
      </c>
      <c r="V369" s="18" t="n"/>
      <c r="W369" s="18" t="n"/>
      <c r="X369" s="35" t="n">
        <v>11.183</v>
      </c>
      <c r="Y369" s="35" t="n"/>
    </row>
    <row r="370">
      <c r="A370" s="25" t="n">
        <v>39352</v>
      </c>
      <c r="B370" s="18" t="n">
        <v>61052</v>
      </c>
      <c r="C370" s="31" t="n"/>
      <c r="D370" s="32" t="n"/>
      <c r="E370" s="33" t="n">
        <v>4.4969</v>
      </c>
      <c r="F370" t="inlineStr">
        <is>
          <t>Up</t>
        </is>
      </c>
      <c r="G370" t="inlineStr">
        <is>
          <t>Up</t>
        </is>
      </c>
      <c r="H370" t="inlineStr">
        <is>
          <t>EU_JU</t>
        </is>
      </c>
      <c r="I370" t="inlineStr">
        <is>
          <t>2007-09</t>
        </is>
      </c>
      <c r="J370" t="n">
        <v>1</v>
      </c>
      <c r="K370" t="n">
        <v>1</v>
      </c>
      <c r="L370" s="34">
        <f>IF($J370=1,LN(B371/B370),"")</f>
        <v/>
      </c>
      <c r="M370" s="34">
        <f>IF($K370=1,INDEX(Mensal!$D$2:$D$245,MATCH($I370,Mensal!$A$2:$A$245,0)),"")</f>
        <v/>
      </c>
      <c r="N370" s="34">
        <f>IF($K370=1,L370-M370,"")</f>
        <v/>
      </c>
      <c r="O370" s="34" t="n">
        <v>0.00041779</v>
      </c>
      <c r="P370" s="34">
        <f>IF($J370=1,LN(1+O370),"")</f>
        <v/>
      </c>
      <c r="Q370" s="34">
        <f>IF($J370=1,LN(R371/R370),"")</f>
        <v/>
      </c>
      <c r="R370" s="32" t="n">
        <v>1.8409</v>
      </c>
      <c r="S370" s="35" t="n">
        <v>11.194</v>
      </c>
      <c r="T370" s="18" t="n"/>
      <c r="U370" s="18" t="n">
        <v>61052</v>
      </c>
      <c r="V370" s="18" t="n"/>
      <c r="W370" s="18" t="n"/>
      <c r="X370" s="35" t="n">
        <v>11.194</v>
      </c>
      <c r="Y370" s="35" t="n"/>
    </row>
    <row r="371">
      <c r="A371" s="25" t="n">
        <v>39353</v>
      </c>
      <c r="B371" s="18" t="n">
        <v>60465</v>
      </c>
      <c r="C371" s="31" t="n"/>
      <c r="D371" s="32" t="n"/>
      <c r="E371" s="33" t="n">
        <v>4.5841</v>
      </c>
      <c r="F371" t="inlineStr">
        <is>
          <t>Up</t>
        </is>
      </c>
      <c r="G371" t="inlineStr">
        <is>
          <t>Up</t>
        </is>
      </c>
      <c r="H371" t="inlineStr">
        <is>
          <t>EU_JU</t>
        </is>
      </c>
      <c r="I371" t="inlineStr">
        <is>
          <t>2007-09</t>
        </is>
      </c>
      <c r="J371" t="n">
        <v>1</v>
      </c>
      <c r="K371" t="n">
        <v>1</v>
      </c>
      <c r="L371" s="34">
        <f>IF($J371=1,LN(B372/B371),"")</f>
        <v/>
      </c>
      <c r="M371" s="34">
        <f>IF($K371=1,INDEX(Mensal!$D$2:$D$245,MATCH($I371,Mensal!$A$2:$A$245,0)),"")</f>
        <v/>
      </c>
      <c r="N371" s="34">
        <f>IF($K371=1,L371-M371,"")</f>
        <v/>
      </c>
      <c r="O371" s="34" t="n">
        <v>0.0004185</v>
      </c>
      <c r="P371" s="34">
        <f>IF($J371=1,LN(1+O371),"")</f>
        <v/>
      </c>
      <c r="Q371" s="34">
        <f>IF($J371=1,LN(R372/R371),"")</f>
        <v/>
      </c>
      <c r="R371" s="32" t="n">
        <v>1.8389</v>
      </c>
      <c r="S371" s="35" t="n">
        <v>11.159</v>
      </c>
      <c r="T371" s="18" t="n"/>
      <c r="U371" s="18" t="n">
        <v>60465</v>
      </c>
      <c r="V371" s="18" t="n"/>
      <c r="W371" s="18" t="n"/>
      <c r="X371" s="35" t="n">
        <v>11.159</v>
      </c>
      <c r="Y371" s="35" t="n"/>
    </row>
    <row r="372">
      <c r="A372" s="25" t="n">
        <v>39356</v>
      </c>
      <c r="B372" s="18" t="n">
        <v>62340</v>
      </c>
      <c r="C372" s="31" t="n"/>
      <c r="D372" s="32" t="n"/>
      <c r="E372" s="33" t="n">
        <v>4.6613</v>
      </c>
      <c r="F372" t="inlineStr">
        <is>
          <t>Up</t>
        </is>
      </c>
      <c r="G372" t="inlineStr">
        <is>
          <t>Up</t>
        </is>
      </c>
      <c r="H372" t="inlineStr">
        <is>
          <t>EU_JU</t>
        </is>
      </c>
      <c r="I372" t="inlineStr">
        <is>
          <t>2007-10</t>
        </is>
      </c>
      <c r="J372" t="n">
        <v>1</v>
      </c>
      <c r="K372" t="n">
        <v>1</v>
      </c>
      <c r="L372" s="34">
        <f>IF($J372=1,LN(B373/B372),"")</f>
        <v/>
      </c>
      <c r="M372" s="34">
        <f>IF($K372=1,INDEX(Mensal!$D$2:$D$245,MATCH($I372,Mensal!$A$2:$A$245,0)),"")</f>
        <v/>
      </c>
      <c r="N372" s="34">
        <f>IF($K372=1,L372-M372,"")</f>
        <v/>
      </c>
      <c r="O372" s="34" t="n">
        <v>0.0004185</v>
      </c>
      <c r="P372" s="34">
        <f>IF($J372=1,LN(1+O372),"")</f>
        <v/>
      </c>
      <c r="Q372" s="34">
        <f>IF($J372=1,LN(R373/R372),"")</f>
        <v/>
      </c>
      <c r="R372" s="32" t="n">
        <v>1.8225</v>
      </c>
      <c r="S372" s="35" t="n">
        <v>11.119</v>
      </c>
      <c r="T372" s="18" t="n"/>
      <c r="U372" s="18" t="n">
        <v>62340</v>
      </c>
      <c r="V372" s="18" t="n"/>
      <c r="W372" s="18" t="n"/>
      <c r="X372" s="35" t="n">
        <v>11.119</v>
      </c>
      <c r="Y372" s="35" t="n"/>
    </row>
    <row r="373">
      <c r="A373" s="25" t="n">
        <v>39357</v>
      </c>
      <c r="B373" s="18" t="n">
        <v>62017</v>
      </c>
      <c r="C373" s="31" t="n"/>
      <c r="D373" s="32" t="n"/>
      <c r="E373" s="33" t="n">
        <v>4.7298</v>
      </c>
      <c r="F373" t="inlineStr">
        <is>
          <t>Up</t>
        </is>
      </c>
      <c r="G373" t="inlineStr">
        <is>
          <t>Up</t>
        </is>
      </c>
      <c r="H373" t="inlineStr">
        <is>
          <t>EU_JU</t>
        </is>
      </c>
      <c r="I373" t="inlineStr">
        <is>
          <t>2007-10</t>
        </is>
      </c>
      <c r="J373" t="n">
        <v>1</v>
      </c>
      <c r="K373" t="n">
        <v>1</v>
      </c>
      <c r="L373" s="34">
        <f>IF($J373=1,LN(B374/B373),"")</f>
        <v/>
      </c>
      <c r="M373" s="34">
        <f>IF($K373=1,INDEX(Mensal!$D$2:$D$245,MATCH($I373,Mensal!$A$2:$A$245,0)),"")</f>
        <v/>
      </c>
      <c r="N373" s="34">
        <f>IF($K373=1,L373-M373,"")</f>
        <v/>
      </c>
      <c r="O373" s="34" t="n">
        <v>0.0004185</v>
      </c>
      <c r="P373" s="34">
        <f>IF($J373=1,LN(1+O373),"")</f>
        <v/>
      </c>
      <c r="Q373" s="34">
        <f>IF($J373=1,LN(R374/R373),"")</f>
        <v/>
      </c>
      <c r="R373" s="32" t="n">
        <v>1.8235</v>
      </c>
      <c r="S373" s="35" t="n">
        <v>11.129</v>
      </c>
      <c r="T373" s="18" t="n"/>
      <c r="U373" s="18" t="n">
        <v>62017</v>
      </c>
      <c r="V373" s="18" t="n"/>
      <c r="W373" s="18" t="n"/>
      <c r="X373" s="35" t="n">
        <v>11.129</v>
      </c>
      <c r="Y373" s="35" t="n"/>
    </row>
    <row r="374">
      <c r="A374" s="25" t="n">
        <v>39358</v>
      </c>
      <c r="B374" s="18" t="n">
        <v>60098</v>
      </c>
      <c r="C374" s="31" t="n"/>
      <c r="D374" s="32" t="n"/>
      <c r="E374" s="33" t="n">
        <v>4.795</v>
      </c>
      <c r="F374" t="inlineStr">
        <is>
          <t>Up</t>
        </is>
      </c>
      <c r="G374" t="inlineStr">
        <is>
          <t>Up</t>
        </is>
      </c>
      <c r="H374" t="inlineStr">
        <is>
          <t>EU_JU</t>
        </is>
      </c>
      <c r="I374" t="inlineStr">
        <is>
          <t>2007-10</t>
        </is>
      </c>
      <c r="J374" t="n">
        <v>1</v>
      </c>
      <c r="K374" t="n">
        <v>1</v>
      </c>
      <c r="L374" s="34">
        <f>IF($J374=1,LN(B375/B374),"")</f>
        <v/>
      </c>
      <c r="M374" s="34">
        <f>IF($K374=1,INDEX(Mensal!$D$2:$D$245,MATCH($I374,Mensal!$A$2:$A$245,0)),"")</f>
        <v/>
      </c>
      <c r="N374" s="34">
        <f>IF($K374=1,L374-M374,"")</f>
        <v/>
      </c>
      <c r="O374" s="34" t="n">
        <v>0.00041814</v>
      </c>
      <c r="P374" s="34">
        <f>IF($J374=1,LN(1+O374),"")</f>
        <v/>
      </c>
      <c r="Q374" s="34">
        <f>IF($J374=1,LN(R375/R374),"")</f>
        <v/>
      </c>
      <c r="R374" s="32" t="n">
        <v>1.8274</v>
      </c>
      <c r="S374" s="35" t="n">
        <v>11.159</v>
      </c>
      <c r="T374" s="18" t="n"/>
      <c r="U374" s="18" t="n">
        <v>60098</v>
      </c>
      <c r="V374" s="18" t="n"/>
      <c r="W374" s="18" t="n"/>
      <c r="X374" s="35" t="n">
        <v>11.159</v>
      </c>
      <c r="Y374" s="35" t="n"/>
    </row>
    <row r="375">
      <c r="A375" s="25" t="n">
        <v>39359</v>
      </c>
      <c r="B375" s="18" t="n">
        <v>60407</v>
      </c>
      <c r="C375" s="31" t="n"/>
      <c r="D375" s="32" t="n"/>
      <c r="E375" s="33" t="n">
        <v>4.8584</v>
      </c>
      <c r="F375" t="inlineStr">
        <is>
          <t>Up</t>
        </is>
      </c>
      <c r="G375" t="inlineStr">
        <is>
          <t>Up</t>
        </is>
      </c>
      <c r="H375" t="inlineStr">
        <is>
          <t>EU_JU</t>
        </is>
      </c>
      <c r="I375" t="inlineStr">
        <is>
          <t>2007-10</t>
        </is>
      </c>
      <c r="J375" t="n">
        <v>1</v>
      </c>
      <c r="K375" t="n">
        <v>1</v>
      </c>
      <c r="L375" s="34">
        <f>IF($J375=1,LN(B376/B375),"")</f>
        <v/>
      </c>
      <c r="M375" s="34">
        <f>IF($K375=1,INDEX(Mensal!$D$2:$D$245,MATCH($I375,Mensal!$A$2:$A$245,0)),"")</f>
        <v/>
      </c>
      <c r="N375" s="34">
        <f>IF($K375=1,L375-M375,"")</f>
        <v/>
      </c>
      <c r="O375" s="34" t="n">
        <v>0.00041814</v>
      </c>
      <c r="P375" s="34">
        <f>IF($J375=1,LN(1+O375),"")</f>
        <v/>
      </c>
      <c r="Q375" s="34">
        <f>IF($J375=1,LN(R376/R375),"")</f>
        <v/>
      </c>
      <c r="R375" s="32" t="n">
        <v>1.8284</v>
      </c>
      <c r="S375" s="35" t="n">
        <v>11.194</v>
      </c>
      <c r="T375" s="18" t="n"/>
      <c r="U375" s="18" t="n">
        <v>60407</v>
      </c>
      <c r="V375" s="18" t="n"/>
      <c r="W375" s="18" t="n"/>
      <c r="X375" s="35" t="n">
        <v>11.194</v>
      </c>
      <c r="Y375" s="35" t="n"/>
    </row>
    <row r="376">
      <c r="A376" s="25" t="n">
        <v>39360</v>
      </c>
      <c r="B376" s="18" t="n">
        <v>62318</v>
      </c>
      <c r="C376" s="31" t="n"/>
      <c r="D376" s="32" t="n"/>
      <c r="E376" s="33" t="n">
        <v>4.8721</v>
      </c>
      <c r="F376" t="inlineStr">
        <is>
          <t>Up</t>
        </is>
      </c>
      <c r="G376" t="inlineStr">
        <is>
          <t>Up</t>
        </is>
      </c>
      <c r="H376" t="inlineStr">
        <is>
          <t>EU_JU</t>
        </is>
      </c>
      <c r="I376" t="inlineStr">
        <is>
          <t>2007-10</t>
        </is>
      </c>
      <c r="J376" t="n">
        <v>1</v>
      </c>
      <c r="K376" t="n">
        <v>1</v>
      </c>
      <c r="L376" s="34">
        <f>IF($J376=1,LN(B377/B376),"")</f>
        <v/>
      </c>
      <c r="M376" s="34">
        <f>IF($K376=1,INDEX(Mensal!$D$2:$D$245,MATCH($I376,Mensal!$A$2:$A$245,0)),"")</f>
        <v/>
      </c>
      <c r="N376" s="34">
        <f>IF($K376=1,L376-M376,"")</f>
        <v/>
      </c>
      <c r="O376" s="34" t="n">
        <v>0.00041814</v>
      </c>
      <c r="P376" s="34">
        <f>IF($J376=1,LN(1+O376),"")</f>
        <v/>
      </c>
      <c r="Q376" s="34">
        <f>IF($J376=1,LN(R377/R376),"")</f>
        <v/>
      </c>
      <c r="R376" s="32" t="n">
        <v>1.8092</v>
      </c>
      <c r="S376" s="35" t="n">
        <v>11.179</v>
      </c>
      <c r="T376" s="18" t="n"/>
      <c r="U376" s="18" t="n">
        <v>62318</v>
      </c>
      <c r="V376" s="18" t="n"/>
      <c r="W376" s="18" t="n"/>
      <c r="X376" s="35" t="n">
        <v>11.179</v>
      </c>
      <c r="Y376" s="35" t="n"/>
    </row>
    <row r="377">
      <c r="A377" s="25" t="n">
        <v>39363</v>
      </c>
      <c r="B377" s="18" t="n">
        <v>62660</v>
      </c>
      <c r="C377" s="31" t="n"/>
      <c r="D377" s="32" t="n"/>
      <c r="E377" s="33" t="n">
        <v>4.8755</v>
      </c>
      <c r="F377" t="inlineStr">
        <is>
          <t>Up</t>
        </is>
      </c>
      <c r="G377" t="inlineStr">
        <is>
          <t>Up</t>
        </is>
      </c>
      <c r="H377" t="inlineStr">
        <is>
          <t>EU_JU</t>
        </is>
      </c>
      <c r="I377" t="inlineStr">
        <is>
          <t>2007-10</t>
        </is>
      </c>
      <c r="J377" t="n">
        <v>1</v>
      </c>
      <c r="K377" t="n">
        <v>1</v>
      </c>
      <c r="L377" s="34">
        <f>IF($J377=1,LN(B378/B377),"")</f>
        <v/>
      </c>
      <c r="M377" s="34">
        <f>IF($K377=1,INDEX(Mensal!$D$2:$D$245,MATCH($I377,Mensal!$A$2:$A$245,0)),"")</f>
        <v/>
      </c>
      <c r="N377" s="34">
        <f>IF($K377=1,L377-M377,"")</f>
        <v/>
      </c>
      <c r="O377" s="34" t="n">
        <v>0.00041814</v>
      </c>
      <c r="P377" s="34">
        <f>IF($J377=1,LN(1+O377),"")</f>
        <v/>
      </c>
      <c r="Q377" s="34">
        <f>IF($J377=1,LN(R378/R377),"")</f>
        <v/>
      </c>
      <c r="R377" s="32" t="n">
        <v>1.8133</v>
      </c>
      <c r="S377" s="35" t="n">
        <v>11.194</v>
      </c>
      <c r="T377" s="18" t="n"/>
      <c r="U377" s="18" t="n">
        <v>62660</v>
      </c>
      <c r="V377" s="18" t="n"/>
      <c r="W377" s="18" t="n"/>
      <c r="X377" s="35" t="n">
        <v>11.194</v>
      </c>
      <c r="Y377" s="35" t="n"/>
    </row>
    <row r="378">
      <c r="A378" s="25" t="n">
        <v>39364</v>
      </c>
      <c r="B378" s="18" t="n">
        <v>63548</v>
      </c>
      <c r="C378" s="31" t="n"/>
      <c r="D378" s="32" t="n"/>
      <c r="E378" s="33" t="n">
        <v>4.8635</v>
      </c>
      <c r="F378" t="inlineStr">
        <is>
          <t>Up</t>
        </is>
      </c>
      <c r="G378" t="inlineStr">
        <is>
          <t>Up</t>
        </is>
      </c>
      <c r="H378" t="inlineStr">
        <is>
          <t>EU_JU</t>
        </is>
      </c>
      <c r="I378" t="inlineStr">
        <is>
          <t>2007-10</t>
        </is>
      </c>
      <c r="J378" t="n">
        <v>1</v>
      </c>
      <c r="K378" t="n">
        <v>1</v>
      </c>
      <c r="L378" s="34">
        <f>IF($J378=1,LN(B379/B378),"")</f>
        <v/>
      </c>
      <c r="M378" s="34">
        <f>IF($K378=1,INDEX(Mensal!$D$2:$D$245,MATCH($I378,Mensal!$A$2:$A$245,0)),"")</f>
        <v/>
      </c>
      <c r="N378" s="34">
        <f>IF($K378=1,L378-M378,"")</f>
        <v/>
      </c>
      <c r="O378" s="34" t="n">
        <v>0.00041814</v>
      </c>
      <c r="P378" s="34">
        <f>IF($J378=1,LN(1+O378),"")</f>
        <v/>
      </c>
      <c r="Q378" s="34">
        <f>IF($J378=1,LN(R379/R378),"")</f>
        <v/>
      </c>
      <c r="R378" s="32" t="n">
        <v>1.8108</v>
      </c>
      <c r="S378" s="35" t="n">
        <v>11.122</v>
      </c>
      <c r="T378" s="18" t="n"/>
      <c r="U378" s="18" t="n">
        <v>63548</v>
      </c>
      <c r="V378" s="18" t="n"/>
      <c r="W378" s="18" t="n"/>
      <c r="X378" s="35" t="n">
        <v>11.122</v>
      </c>
      <c r="Y378" s="35" t="n"/>
    </row>
    <row r="379">
      <c r="A379" s="25" t="n">
        <v>39365</v>
      </c>
      <c r="B379" s="18" t="n">
        <v>63197</v>
      </c>
      <c r="C379" s="31" t="n"/>
      <c r="D379" s="32" t="n"/>
      <c r="E379" s="33" t="n">
        <v>4.8524</v>
      </c>
      <c r="F379" t="inlineStr">
        <is>
          <t>Up</t>
        </is>
      </c>
      <c r="G379" t="inlineStr">
        <is>
          <t>Up</t>
        </is>
      </c>
      <c r="H379" t="inlineStr">
        <is>
          <t>EU_JU</t>
        </is>
      </c>
      <c r="I379" t="inlineStr">
        <is>
          <t>2007-10</t>
        </is>
      </c>
      <c r="J379" t="n">
        <v>1</v>
      </c>
      <c r="K379" t="n">
        <v>1</v>
      </c>
      <c r="L379" s="34">
        <f>IF($J379=1,LN(B380/B379),"")</f>
        <v/>
      </c>
      <c r="M379" s="34">
        <f>IF($K379=1,INDEX(Mensal!$D$2:$D$245,MATCH($I379,Mensal!$A$2:$A$245,0)),"")</f>
        <v/>
      </c>
      <c r="N379" s="34">
        <f>IF($K379=1,L379-M379,"")</f>
        <v/>
      </c>
      <c r="O379" s="34" t="n">
        <v>0.00041814</v>
      </c>
      <c r="P379" s="34">
        <f>IF($J379=1,LN(1+O379),"")</f>
        <v/>
      </c>
      <c r="Q379" s="34">
        <f>IF($J379=1,LN(R380/R379),"")</f>
        <v/>
      </c>
      <c r="R379" s="32" t="n">
        <v>1.8048</v>
      </c>
      <c r="S379" s="35" t="n">
        <v>11.153</v>
      </c>
      <c r="T379" s="18" t="n"/>
      <c r="U379" s="18" t="n">
        <v>63197</v>
      </c>
      <c r="V379" s="18" t="n"/>
      <c r="W379" s="18" t="n"/>
      <c r="X379" s="35" t="n">
        <v>11.153</v>
      </c>
      <c r="Y379" s="35" t="n"/>
    </row>
    <row r="380">
      <c r="A380" s="25" t="n">
        <v>39366</v>
      </c>
      <c r="B380" s="18" t="n">
        <v>62455</v>
      </c>
      <c r="C380" s="31" t="n"/>
      <c r="D380" s="32" t="n"/>
      <c r="E380" s="33" t="n">
        <v>4.8332</v>
      </c>
      <c r="F380" t="inlineStr">
        <is>
          <t>Up</t>
        </is>
      </c>
      <c r="G380" t="inlineStr">
        <is>
          <t>Up</t>
        </is>
      </c>
      <c r="H380" t="inlineStr">
        <is>
          <t>EU_JU</t>
        </is>
      </c>
      <c r="I380" t="inlineStr">
        <is>
          <t>2007-10</t>
        </is>
      </c>
      <c r="J380" t="n">
        <v>1</v>
      </c>
      <c r="K380" t="n">
        <v>1</v>
      </c>
      <c r="L380" s="34">
        <f>IF($J380=1,LN(B381/B380),"")</f>
        <v/>
      </c>
      <c r="M380" s="34">
        <f>IF($K380=1,INDEX(Mensal!$D$2:$D$245,MATCH($I380,Mensal!$A$2:$A$245,0)),"")</f>
        <v/>
      </c>
      <c r="N380" s="34">
        <f>IF($K380=1,L380-M380,"")</f>
        <v/>
      </c>
      <c r="O380" s="34" t="n">
        <v>0.00041814</v>
      </c>
      <c r="P380" s="34">
        <f>IF($J380=1,LN(1+O380),"")</f>
        <v/>
      </c>
      <c r="Q380" s="34">
        <f>IF($J380=1,LN(R381/R380),"")</f>
        <v/>
      </c>
      <c r="R380" s="32" t="n">
        <v>1.792</v>
      </c>
      <c r="S380" s="35" t="n">
        <v>11.173</v>
      </c>
      <c r="T380" s="18" t="n"/>
      <c r="U380" s="18" t="n">
        <v>62455</v>
      </c>
      <c r="V380" s="18" t="n"/>
      <c r="W380" s="18" t="n"/>
      <c r="X380" s="35" t="n">
        <v>11.173</v>
      </c>
      <c r="Y380" s="35" t="n"/>
    </row>
    <row r="381">
      <c r="A381" s="25" t="n">
        <v>39370</v>
      </c>
      <c r="B381" s="18" t="n">
        <v>62969</v>
      </c>
      <c r="C381" s="31" t="n"/>
      <c r="D381" s="32" t="n"/>
      <c r="E381" s="33" t="n">
        <v>4.8069</v>
      </c>
      <c r="F381" t="inlineStr">
        <is>
          <t>Up</t>
        </is>
      </c>
      <c r="G381" t="inlineStr">
        <is>
          <t>Up</t>
        </is>
      </c>
      <c r="H381" t="inlineStr">
        <is>
          <t>EU_JU</t>
        </is>
      </c>
      <c r="I381" t="inlineStr">
        <is>
          <t>2007-10</t>
        </is>
      </c>
      <c r="J381" t="n">
        <v>1</v>
      </c>
      <c r="K381" t="n">
        <v>1</v>
      </c>
      <c r="L381" s="34">
        <f>IF($J381=1,LN(B382/B381),"")</f>
        <v/>
      </c>
      <c r="M381" s="34">
        <f>IF($K381=1,INDEX(Mensal!$D$2:$D$245,MATCH($I381,Mensal!$A$2:$A$245,0)),"")</f>
        <v/>
      </c>
      <c r="N381" s="34">
        <f>IF($K381=1,L381-M381,"")</f>
        <v/>
      </c>
      <c r="O381" s="34" t="n">
        <v>0.0004185</v>
      </c>
      <c r="P381" s="34">
        <f>IF($J381=1,LN(1+O381),"")</f>
        <v/>
      </c>
      <c r="Q381" s="34">
        <f>IF($J381=1,LN(R382/R381),"")</f>
        <v/>
      </c>
      <c r="R381" s="32" t="n">
        <v>1.8078</v>
      </c>
      <c r="S381" s="35" t="n">
        <v>11.156</v>
      </c>
      <c r="T381" s="18" t="n"/>
      <c r="U381" s="18" t="n">
        <v>62969</v>
      </c>
      <c r="V381" s="18" t="n"/>
      <c r="W381" s="18" t="n"/>
      <c r="X381" s="35" t="n">
        <v>11.156</v>
      </c>
      <c r="Y381" s="35" t="n"/>
    </row>
    <row r="382">
      <c r="A382" s="25" t="n">
        <v>39371</v>
      </c>
      <c r="B382" s="18" t="n">
        <v>61717</v>
      </c>
      <c r="C382" s="31" t="n"/>
      <c r="D382" s="32" t="n"/>
      <c r="E382" s="33" t="n">
        <v>4.7752</v>
      </c>
      <c r="F382" t="inlineStr">
        <is>
          <t>Up</t>
        </is>
      </c>
      <c r="G382" t="inlineStr">
        <is>
          <t>Up</t>
        </is>
      </c>
      <c r="H382" t="inlineStr">
        <is>
          <t>EU_JU</t>
        </is>
      </c>
      <c r="I382" t="inlineStr">
        <is>
          <t>2007-10</t>
        </is>
      </c>
      <c r="J382" t="n">
        <v>1</v>
      </c>
      <c r="K382" t="n">
        <v>1</v>
      </c>
      <c r="L382" s="34">
        <f>IF($J382=1,LN(B383/B382),"")</f>
        <v/>
      </c>
      <c r="M382" s="34">
        <f>IF($K382=1,INDEX(Mensal!$D$2:$D$245,MATCH($I382,Mensal!$A$2:$A$245,0)),"")</f>
        <v/>
      </c>
      <c r="N382" s="34">
        <f>IF($K382=1,L382-M382,"")</f>
        <v/>
      </c>
      <c r="O382" s="34" t="n">
        <v>0.0004185</v>
      </c>
      <c r="P382" s="34">
        <f>IF($J382=1,LN(1+O382),"")</f>
        <v/>
      </c>
      <c r="Q382" s="34">
        <f>IF($J382=1,LN(R383/R382),"")</f>
        <v/>
      </c>
      <c r="R382" s="32" t="n">
        <v>1.8242</v>
      </c>
      <c r="S382" s="35" t="n">
        <v>11.159</v>
      </c>
      <c r="T382" s="18" t="n"/>
      <c r="U382" s="18" t="n">
        <v>61717</v>
      </c>
      <c r="V382" s="18" t="n"/>
      <c r="W382" s="18" t="n"/>
      <c r="X382" s="35" t="n">
        <v>11.159</v>
      </c>
      <c r="Y382" s="35" t="n"/>
    </row>
    <row r="383">
      <c r="A383" s="25" t="n">
        <v>39372</v>
      </c>
      <c r="B383" s="18" t="n">
        <v>63193</v>
      </c>
      <c r="C383" s="31" t="n"/>
      <c r="D383" s="32" t="n"/>
      <c r="E383" s="33" t="n">
        <v>4.7325</v>
      </c>
      <c r="F383" t="inlineStr">
        <is>
          <t>Up</t>
        </is>
      </c>
      <c r="G383" t="inlineStr">
        <is>
          <t>Up</t>
        </is>
      </c>
      <c r="H383" t="inlineStr">
        <is>
          <t>EU_JU</t>
        </is>
      </c>
      <c r="I383" t="inlineStr">
        <is>
          <t>2007-10</t>
        </is>
      </c>
      <c r="J383" t="n">
        <v>1</v>
      </c>
      <c r="K383" t="n">
        <v>1</v>
      </c>
      <c r="L383" s="34">
        <f>IF($J383=1,LN(B384/B383),"")</f>
        <v/>
      </c>
      <c r="M383" s="34">
        <f>IF($K383=1,INDEX(Mensal!$D$2:$D$245,MATCH($I383,Mensal!$A$2:$A$245,0)),"")</f>
        <v/>
      </c>
      <c r="N383" s="34">
        <f>IF($K383=1,L383-M383,"")</f>
        <v/>
      </c>
      <c r="O383" s="34" t="n">
        <v>0.00041743</v>
      </c>
      <c r="P383" s="34">
        <f>IF($J383=1,LN(1+O383),"")</f>
        <v/>
      </c>
      <c r="Q383" s="34">
        <f>IF($J383=1,LN(R384/R383),"")</f>
        <v/>
      </c>
      <c r="R383" s="32" t="n">
        <v>1.8138</v>
      </c>
      <c r="S383" s="35" t="n">
        <v>11.169</v>
      </c>
      <c r="T383" s="18" t="n"/>
      <c r="U383" s="18" t="n">
        <v>63193</v>
      </c>
      <c r="V383" s="18" t="n"/>
      <c r="W383" s="18" t="n"/>
      <c r="X383" s="35" t="n">
        <v>11.169</v>
      </c>
      <c r="Y383" s="35" t="n"/>
    </row>
    <row r="384">
      <c r="A384" s="25" t="n">
        <v>39373</v>
      </c>
      <c r="B384" s="18" t="n">
        <v>63261</v>
      </c>
      <c r="C384" s="31" t="n"/>
      <c r="D384" s="32" t="n"/>
      <c r="E384" s="33" t="n">
        <v>4.6782</v>
      </c>
      <c r="F384" t="inlineStr">
        <is>
          <t>Up</t>
        </is>
      </c>
      <c r="G384" t="inlineStr">
        <is>
          <t>Up</t>
        </is>
      </c>
      <c r="H384" t="inlineStr">
        <is>
          <t>EU_JU</t>
        </is>
      </c>
      <c r="I384" t="inlineStr">
        <is>
          <t>2007-10</t>
        </is>
      </c>
      <c r="J384" t="n">
        <v>1</v>
      </c>
      <c r="K384" t="n">
        <v>1</v>
      </c>
      <c r="L384" s="34">
        <f>IF($J384=1,LN(B385/B384),"")</f>
        <v/>
      </c>
      <c r="M384" s="34">
        <f>IF($K384=1,INDEX(Mensal!$D$2:$D$245,MATCH($I384,Mensal!$A$2:$A$245,0)),"")</f>
        <v/>
      </c>
      <c r="N384" s="34">
        <f>IF($K384=1,L384-M384,"")</f>
        <v/>
      </c>
      <c r="O384" s="34" t="n">
        <v>0.00041779</v>
      </c>
      <c r="P384" s="34">
        <f>IF($J384=1,LN(1+O384),"")</f>
        <v/>
      </c>
      <c r="Q384" s="34">
        <f>IF($J384=1,LN(R385/R384),"")</f>
        <v/>
      </c>
      <c r="R384" s="32" t="n">
        <v>1.8071</v>
      </c>
      <c r="S384" s="35" t="n">
        <v>11.244</v>
      </c>
      <c r="T384" s="18" t="n"/>
      <c r="U384" s="18" t="n">
        <v>63261</v>
      </c>
      <c r="V384" s="18" t="n"/>
      <c r="W384" s="18" t="n"/>
      <c r="X384" s="35" t="n">
        <v>11.244</v>
      </c>
      <c r="Y384" s="35" t="n"/>
    </row>
    <row r="385">
      <c r="A385" s="25" t="n">
        <v>39374</v>
      </c>
      <c r="B385" s="18" t="n">
        <v>60894</v>
      </c>
      <c r="C385" s="31" t="n"/>
      <c r="D385" s="32" t="n"/>
      <c r="E385" s="33" t="n">
        <v>4.3716</v>
      </c>
      <c r="F385" t="inlineStr">
        <is>
          <t>Up</t>
        </is>
      </c>
      <c r="G385" t="inlineStr">
        <is>
          <t>Up</t>
        </is>
      </c>
      <c r="H385" t="inlineStr">
        <is>
          <t>EU_JU</t>
        </is>
      </c>
      <c r="I385" t="inlineStr">
        <is>
          <t>2007-10</t>
        </is>
      </c>
      <c r="J385" t="n">
        <v>1</v>
      </c>
      <c r="K385" t="n">
        <v>1</v>
      </c>
      <c r="L385" s="34">
        <f>IF($J385=1,LN(B386/B385),"")</f>
        <v/>
      </c>
      <c r="M385" s="34">
        <f>IF($K385=1,INDEX(Mensal!$D$2:$D$245,MATCH($I385,Mensal!$A$2:$A$245,0)),"")</f>
        <v/>
      </c>
      <c r="N385" s="34">
        <f>IF($K385=1,L385-M385,"")</f>
        <v/>
      </c>
      <c r="O385" s="34" t="n">
        <v>0.00041814</v>
      </c>
      <c r="P385" s="34">
        <f>IF($J385=1,LN(1+O385),"")</f>
        <v/>
      </c>
      <c r="Q385" s="34">
        <f>IF($J385=1,LN(R386/R385),"")</f>
        <v/>
      </c>
      <c r="R385" s="32" t="n">
        <v>1.7964</v>
      </c>
      <c r="S385" s="35" t="n">
        <v>11.306</v>
      </c>
      <c r="T385" s="18" t="n"/>
      <c r="U385" s="18" t="n">
        <v>60894</v>
      </c>
      <c r="V385" s="18" t="n"/>
      <c r="W385" s="18" t="n"/>
      <c r="X385" s="35" t="n">
        <v>11.306</v>
      </c>
      <c r="Y385" s="35" t="n"/>
    </row>
    <row r="386">
      <c r="A386" s="25" t="n">
        <v>39377</v>
      </c>
      <c r="B386" s="18" t="n">
        <v>61215</v>
      </c>
      <c r="C386" s="31" t="n"/>
      <c r="D386" s="32" t="n"/>
      <c r="E386" s="33" t="n">
        <v>4.0753</v>
      </c>
      <c r="F386" t="inlineStr">
        <is>
          <t>Up</t>
        </is>
      </c>
      <c r="G386" t="inlineStr">
        <is>
          <t>Up</t>
        </is>
      </c>
      <c r="H386" t="inlineStr">
        <is>
          <t>EU_JU</t>
        </is>
      </c>
      <c r="I386" t="inlineStr">
        <is>
          <t>2007-10</t>
        </is>
      </c>
      <c r="J386" t="n">
        <v>1</v>
      </c>
      <c r="K386" t="n">
        <v>1</v>
      </c>
      <c r="L386" s="34">
        <f>IF($J386=1,LN(B387/B386),"")</f>
        <v/>
      </c>
      <c r="M386" s="34">
        <f>IF($K386=1,INDEX(Mensal!$D$2:$D$245,MATCH($I386,Mensal!$A$2:$A$245,0)),"")</f>
        <v/>
      </c>
      <c r="N386" s="34">
        <f>IF($K386=1,L386-M386,"")</f>
        <v/>
      </c>
      <c r="O386" s="34" t="n">
        <v>0.0004185</v>
      </c>
      <c r="P386" s="34">
        <f>IF($J386=1,LN(1+O386),"")</f>
        <v/>
      </c>
      <c r="Q386" s="34">
        <f>IF($J386=1,LN(R387/R386),"")</f>
        <v/>
      </c>
      <c r="R386" s="32" t="n">
        <v>1.8206</v>
      </c>
      <c r="S386" s="35" t="n">
        <v>11.439</v>
      </c>
      <c r="T386" s="18" t="n"/>
      <c r="U386" s="18" t="n">
        <v>61215</v>
      </c>
      <c r="V386" s="18" t="n"/>
      <c r="W386" s="18" t="n"/>
      <c r="X386" s="35" t="n">
        <v>11.439</v>
      </c>
      <c r="Y386" s="35" t="n"/>
    </row>
    <row r="387">
      <c r="A387" s="25" t="n">
        <v>39378</v>
      </c>
      <c r="B387" s="18" t="n">
        <v>62697</v>
      </c>
      <c r="C387" s="31" t="n"/>
      <c r="D387" s="32" t="n"/>
      <c r="E387" s="33" t="n">
        <v>3.7747</v>
      </c>
      <c r="F387" t="inlineStr">
        <is>
          <t>Up</t>
        </is>
      </c>
      <c r="G387" t="inlineStr">
        <is>
          <t>Up</t>
        </is>
      </c>
      <c r="H387" t="inlineStr">
        <is>
          <t>EU_JU</t>
        </is>
      </c>
      <c r="I387" t="inlineStr">
        <is>
          <t>2007-10</t>
        </is>
      </c>
      <c r="J387" t="n">
        <v>1</v>
      </c>
      <c r="K387" t="n">
        <v>1</v>
      </c>
      <c r="L387" s="34">
        <f>IF($J387=1,LN(B388/B387),"")</f>
        <v/>
      </c>
      <c r="M387" s="34">
        <f>IF($K387=1,INDEX(Mensal!$D$2:$D$245,MATCH($I387,Mensal!$A$2:$A$245,0)),"")</f>
        <v/>
      </c>
      <c r="N387" s="34">
        <f>IF($K387=1,L387-M387,"")</f>
        <v/>
      </c>
      <c r="O387" s="34" t="n">
        <v>0.00041814</v>
      </c>
      <c r="P387" s="34">
        <f>IF($J387=1,LN(1+O387),"")</f>
        <v/>
      </c>
      <c r="Q387" s="34">
        <f>IF($J387=1,LN(R388/R387),"")</f>
        <v/>
      </c>
      <c r="R387" s="32" t="n">
        <v>1.8007</v>
      </c>
      <c r="S387" s="35" t="n">
        <v>11.349</v>
      </c>
      <c r="T387" s="18" t="n"/>
      <c r="U387" s="18" t="n">
        <v>62697</v>
      </c>
      <c r="V387" s="18" t="n"/>
      <c r="W387" s="18" t="n"/>
      <c r="X387" s="35" t="n">
        <v>11.349</v>
      </c>
      <c r="Y387" s="35" t="n"/>
    </row>
    <row r="388">
      <c r="A388" s="25" t="n">
        <v>39379</v>
      </c>
      <c r="B388" s="18" t="n">
        <v>62624</v>
      </c>
      <c r="C388" s="31" t="n"/>
      <c r="D388" s="32" t="n"/>
      <c r="E388" s="33" t="n">
        <v>3.4857</v>
      </c>
      <c r="F388" t="inlineStr">
        <is>
          <t>Up</t>
        </is>
      </c>
      <c r="G388" t="inlineStr">
        <is>
          <t>Up</t>
        </is>
      </c>
      <c r="H388" t="inlineStr">
        <is>
          <t>EU_JU</t>
        </is>
      </c>
      <c r="I388" t="inlineStr">
        <is>
          <t>2007-10</t>
        </is>
      </c>
      <c r="J388" t="n">
        <v>1</v>
      </c>
      <c r="K388" t="n">
        <v>1</v>
      </c>
      <c r="L388" s="34">
        <f>IF($J388=1,LN(B389/B388),"")</f>
        <v/>
      </c>
      <c r="M388" s="34">
        <f>IF($K388=1,INDEX(Mensal!$D$2:$D$245,MATCH($I388,Mensal!$A$2:$A$245,0)),"")</f>
        <v/>
      </c>
      <c r="N388" s="34">
        <f>IF($K388=1,L388-M388,"")</f>
        <v/>
      </c>
      <c r="O388" s="34" t="n">
        <v>0.0004185</v>
      </c>
      <c r="P388" s="34">
        <f>IF($J388=1,LN(1+O388),"")</f>
        <v/>
      </c>
      <c r="Q388" s="34">
        <f>IF($J388=1,LN(R389/R388),"")</f>
        <v/>
      </c>
      <c r="R388" s="32" t="n">
        <v>1.7969</v>
      </c>
      <c r="S388" s="35" t="n">
        <v>11.413</v>
      </c>
      <c r="T388" s="18" t="n"/>
      <c r="U388" s="18" t="n">
        <v>62624</v>
      </c>
      <c r="V388" s="18" t="n"/>
      <c r="W388" s="18" t="n"/>
      <c r="X388" s="35" t="n">
        <v>11.413</v>
      </c>
      <c r="Y388" s="35" t="n"/>
    </row>
    <row r="389">
      <c r="A389" s="25" t="n">
        <v>39380</v>
      </c>
      <c r="B389" s="18" t="n">
        <v>62341</v>
      </c>
      <c r="C389" s="31" t="n"/>
      <c r="D389" s="32" t="n"/>
      <c r="E389" s="33" t="n">
        <v>3.1951</v>
      </c>
      <c r="F389" t="inlineStr">
        <is>
          <t>Up</t>
        </is>
      </c>
      <c r="G389" t="inlineStr">
        <is>
          <t>Up</t>
        </is>
      </c>
      <c r="H389" t="inlineStr">
        <is>
          <t>EU_JU</t>
        </is>
      </c>
      <c r="I389" t="inlineStr">
        <is>
          <t>2007-10</t>
        </is>
      </c>
      <c r="J389" t="n">
        <v>1</v>
      </c>
      <c r="K389" t="n">
        <v>1</v>
      </c>
      <c r="L389" s="34">
        <f>IF($J389=1,LN(B390/B389),"")</f>
        <v/>
      </c>
      <c r="M389" s="34">
        <f>IF($K389=1,INDEX(Mensal!$D$2:$D$245,MATCH($I389,Mensal!$A$2:$A$245,0)),"")</f>
        <v/>
      </c>
      <c r="N389" s="34">
        <f>IF($K389=1,L389-M389,"")</f>
        <v/>
      </c>
      <c r="O389" s="34" t="n">
        <v>0.0004185</v>
      </c>
      <c r="P389" s="34">
        <f>IF($J389=1,LN(1+O389),"")</f>
        <v/>
      </c>
      <c r="Q389" s="34">
        <f>IF($J389=1,LN(R390/R389),"")</f>
        <v/>
      </c>
      <c r="R389" s="32" t="n">
        <v>1.7896</v>
      </c>
      <c r="S389" s="35" t="n">
        <v>11.413</v>
      </c>
      <c r="T389" s="18" t="n"/>
      <c r="U389" s="18" t="n">
        <v>62341</v>
      </c>
      <c r="V389" s="18" t="n"/>
      <c r="W389" s="18" t="n"/>
      <c r="X389" s="35" t="n">
        <v>11.413</v>
      </c>
      <c r="Y389" s="35" t="n"/>
    </row>
    <row r="390">
      <c r="A390" s="25" t="n">
        <v>39381</v>
      </c>
      <c r="B390" s="18" t="n">
        <v>64275</v>
      </c>
      <c r="C390" s="31" t="n"/>
      <c r="D390" s="32" t="n"/>
      <c r="E390" s="33" t="n">
        <v>2.9062</v>
      </c>
      <c r="F390" t="inlineStr">
        <is>
          <t>Up</t>
        </is>
      </c>
      <c r="G390" t="inlineStr">
        <is>
          <t>Up</t>
        </is>
      </c>
      <c r="H390" t="inlineStr">
        <is>
          <t>EU_JU</t>
        </is>
      </c>
      <c r="I390" t="inlineStr">
        <is>
          <t>2007-10</t>
        </is>
      </c>
      <c r="J390" t="n">
        <v>1</v>
      </c>
      <c r="K390" t="n">
        <v>1</v>
      </c>
      <c r="L390" s="34">
        <f>IF($J390=1,LN(B391/B390),"")</f>
        <v/>
      </c>
      <c r="M390" s="34">
        <f>IF($K390=1,INDEX(Mensal!$D$2:$D$245,MATCH($I390,Mensal!$A$2:$A$245,0)),"")</f>
        <v/>
      </c>
      <c r="N390" s="34">
        <f>IF($K390=1,L390-M390,"")</f>
        <v/>
      </c>
      <c r="O390" s="34" t="n">
        <v>0.00041814</v>
      </c>
      <c r="P390" s="34">
        <f>IF($J390=1,LN(1+O390),"")</f>
        <v/>
      </c>
      <c r="Q390" s="34">
        <f>IF($J390=1,LN(R391/R390),"")</f>
        <v/>
      </c>
      <c r="R390" s="32" t="n">
        <v>1.7752</v>
      </c>
      <c r="S390" s="35" t="n">
        <v>11.354</v>
      </c>
      <c r="T390" s="18" t="n"/>
      <c r="U390" s="18" t="n">
        <v>64275</v>
      </c>
      <c r="V390" s="18" t="n"/>
      <c r="W390" s="18" t="n"/>
      <c r="X390" s="35" t="n">
        <v>11.354</v>
      </c>
      <c r="Y390" s="35" t="n"/>
    </row>
    <row r="391">
      <c r="A391" s="25" t="n">
        <v>39384</v>
      </c>
      <c r="B391" s="18" t="n">
        <v>65044</v>
      </c>
      <c r="C391" s="31" t="n"/>
      <c r="D391" s="32" t="n"/>
      <c r="E391" s="33" t="n">
        <v>2.6127</v>
      </c>
      <c r="F391" t="inlineStr">
        <is>
          <t>Up</t>
        </is>
      </c>
      <c r="G391" t="inlineStr">
        <is>
          <t>Up</t>
        </is>
      </c>
      <c r="H391" t="inlineStr">
        <is>
          <t>EU_JU</t>
        </is>
      </c>
      <c r="I391" t="inlineStr">
        <is>
          <t>2007-10</t>
        </is>
      </c>
      <c r="J391" t="n">
        <v>1</v>
      </c>
      <c r="K391" t="n">
        <v>1</v>
      </c>
      <c r="L391" s="34">
        <f>IF($J391=1,LN(B392/B391),"")</f>
        <v/>
      </c>
      <c r="M391" s="34">
        <f>IF($K391=1,INDEX(Mensal!$D$2:$D$245,MATCH($I391,Mensal!$A$2:$A$245,0)),"")</f>
        <v/>
      </c>
      <c r="N391" s="34">
        <f>IF($K391=1,L391-M391,"")</f>
        <v/>
      </c>
      <c r="O391" s="34" t="n">
        <v>0.0004185</v>
      </c>
      <c r="P391" s="34">
        <f>IF($J391=1,LN(1+O391),"")</f>
        <v/>
      </c>
      <c r="Q391" s="34">
        <f>IF($J391=1,LN(R392/R391),"")</f>
        <v/>
      </c>
      <c r="R391" s="32" t="n">
        <v>1.7595</v>
      </c>
      <c r="S391" s="35" t="n">
        <v>11.283</v>
      </c>
      <c r="T391" s="18" t="n"/>
      <c r="U391" s="18" t="n">
        <v>65044</v>
      </c>
      <c r="V391" s="18" t="n"/>
      <c r="W391" s="18" t="n"/>
      <c r="X391" s="35" t="n">
        <v>11.283</v>
      </c>
      <c r="Y391" s="35" t="n"/>
    </row>
    <row r="392">
      <c r="A392" s="25" t="n">
        <v>39385</v>
      </c>
      <c r="B392" s="18" t="n">
        <v>64383</v>
      </c>
      <c r="C392" s="31" t="n"/>
      <c r="D392" s="32" t="n"/>
      <c r="E392" s="33" t="n">
        <v>2.317</v>
      </c>
      <c r="F392" t="inlineStr">
        <is>
          <t>Up</t>
        </is>
      </c>
      <c r="G392" t="inlineStr">
        <is>
          <t>Up</t>
        </is>
      </c>
      <c r="H392" t="inlineStr">
        <is>
          <t>EU_JU</t>
        </is>
      </c>
      <c r="I392" t="inlineStr">
        <is>
          <t>2007-10</t>
        </is>
      </c>
      <c r="J392" t="n">
        <v>1</v>
      </c>
      <c r="K392" t="n">
        <v>1</v>
      </c>
      <c r="L392" s="34">
        <f>IF($J392=1,LN(B393/B392),"")</f>
        <v/>
      </c>
      <c r="M392" s="34">
        <f>IF($K392=1,INDEX(Mensal!$D$2:$D$245,MATCH($I392,Mensal!$A$2:$A$245,0)),"")</f>
        <v/>
      </c>
      <c r="N392" s="34">
        <f>IF($K392=1,L392-M392,"")</f>
        <v/>
      </c>
      <c r="O392" s="34" t="n">
        <v>0.00041814</v>
      </c>
      <c r="P392" s="34">
        <f>IF($J392=1,LN(1+O392),"")</f>
        <v/>
      </c>
      <c r="Q392" s="34">
        <f>IF($J392=1,LN(R393/R392),"")</f>
        <v/>
      </c>
      <c r="R392" s="32" t="n">
        <v>1.7552</v>
      </c>
      <c r="S392" s="35" t="n">
        <v>11.302</v>
      </c>
      <c r="T392" s="18" t="n"/>
      <c r="U392" s="18" t="n">
        <v>64383</v>
      </c>
      <c r="V392" s="18" t="n"/>
      <c r="W392" s="18" t="n"/>
      <c r="X392" s="35" t="n">
        <v>11.302</v>
      </c>
      <c r="Y392" s="35" t="n"/>
    </row>
    <row r="393">
      <c r="A393" s="25" t="n">
        <v>39386</v>
      </c>
      <c r="B393" s="18" t="n">
        <v>65317</v>
      </c>
      <c r="C393" s="31" t="n"/>
      <c r="D393" s="32" t="n"/>
      <c r="E393" s="33" t="n">
        <v>2.0208</v>
      </c>
      <c r="F393" t="inlineStr">
        <is>
          <t>Up</t>
        </is>
      </c>
      <c r="G393" t="inlineStr">
        <is>
          <t>Up</t>
        </is>
      </c>
      <c r="H393" t="inlineStr">
        <is>
          <t>EU_JU</t>
        </is>
      </c>
      <c r="I393" t="inlineStr">
        <is>
          <t>2007-10</t>
        </is>
      </c>
      <c r="J393" t="n">
        <v>1</v>
      </c>
      <c r="K393" t="n">
        <v>1</v>
      </c>
      <c r="L393" s="34">
        <f>IF($J393=1,LN(B394/B393),"")</f>
        <v/>
      </c>
      <c r="M393" s="34">
        <f>IF($K393=1,INDEX(Mensal!$D$2:$D$245,MATCH($I393,Mensal!$A$2:$A$245,0)),"")</f>
        <v/>
      </c>
      <c r="N393" s="34">
        <f>IF($K393=1,L393-M393,"")</f>
        <v/>
      </c>
      <c r="O393" s="34" t="n">
        <v>0.00041743</v>
      </c>
      <c r="P393" s="34">
        <f>IF($J393=1,LN(1+O393),"")</f>
        <v/>
      </c>
      <c r="Q393" s="34">
        <f>IF($J393=1,LN(R394/R393),"")</f>
        <v/>
      </c>
      <c r="R393" s="32" t="n">
        <v>1.744</v>
      </c>
      <c r="S393" s="35" t="n">
        <v>11.306</v>
      </c>
      <c r="T393" s="18" t="n"/>
      <c r="U393" s="18" t="n">
        <v>65317</v>
      </c>
      <c r="V393" s="18" t="n"/>
      <c r="W393" s="18" t="n"/>
      <c r="X393" s="35" t="n">
        <v>11.306</v>
      </c>
      <c r="Y393" s="35" t="n"/>
    </row>
    <row r="394">
      <c r="A394" s="25" t="n">
        <v>39387</v>
      </c>
      <c r="B394" s="18" t="n">
        <v>64050</v>
      </c>
      <c r="C394" s="31" t="n"/>
      <c r="D394" s="32" t="n"/>
      <c r="E394" s="33" t="n">
        <v>1.7339</v>
      </c>
      <c r="F394" t="inlineStr">
        <is>
          <t>Up</t>
        </is>
      </c>
      <c r="G394" t="inlineStr">
        <is>
          <t>Up</t>
        </is>
      </c>
      <c r="H394" t="inlineStr">
        <is>
          <t>EU_JU</t>
        </is>
      </c>
      <c r="I394" t="inlineStr">
        <is>
          <t>2007-11</t>
        </is>
      </c>
      <c r="J394" t="n">
        <v>1</v>
      </c>
      <c r="K394" t="n">
        <v>1</v>
      </c>
      <c r="L394" s="34">
        <f>IF($J394=1,LN(B395/B394),"")</f>
        <v/>
      </c>
      <c r="M394" s="34">
        <f>IF($K394=1,INDEX(Mensal!$D$2:$D$245,MATCH($I394,Mensal!$A$2:$A$245,0)),"")</f>
        <v/>
      </c>
      <c r="N394" s="34">
        <f>IF($K394=1,L394-M394,"")</f>
        <v/>
      </c>
      <c r="O394" s="34" t="n">
        <v>0.00041779</v>
      </c>
      <c r="P394" s="34">
        <f>IF($J394=1,LN(1+O394),"")</f>
        <v/>
      </c>
      <c r="Q394" s="34">
        <f>IF($J394=1,LN(R395/R394),"")</f>
        <v/>
      </c>
      <c r="R394" s="32" t="n">
        <v>1.746</v>
      </c>
      <c r="S394" s="35" t="n">
        <v>11.332</v>
      </c>
      <c r="T394" s="18" t="n"/>
      <c r="U394" s="18" t="n">
        <v>64050</v>
      </c>
      <c r="V394" s="18" t="n"/>
      <c r="W394" s="18" t="n"/>
      <c r="X394" s="35" t="n">
        <v>11.332</v>
      </c>
      <c r="Y394" s="35" t="n"/>
    </row>
    <row r="395">
      <c r="A395" s="25" t="n">
        <v>39391</v>
      </c>
      <c r="B395" s="18" t="n">
        <v>62959</v>
      </c>
      <c r="C395" s="31" t="n"/>
      <c r="D395" s="32" t="n"/>
      <c r="E395" s="33" t="n">
        <v>1.45</v>
      </c>
      <c r="F395" t="inlineStr">
        <is>
          <t>Up</t>
        </is>
      </c>
      <c r="G395" t="inlineStr">
        <is>
          <t>Up</t>
        </is>
      </c>
      <c r="H395" t="inlineStr">
        <is>
          <t>EU_JU</t>
        </is>
      </c>
      <c r="I395" t="inlineStr">
        <is>
          <t>2007-11</t>
        </is>
      </c>
      <c r="J395" t="n">
        <v>1</v>
      </c>
      <c r="K395" t="n">
        <v>1</v>
      </c>
      <c r="L395" s="34">
        <f>IF($J395=1,LN(B396/B395),"")</f>
        <v/>
      </c>
      <c r="M395" s="34">
        <f>IF($K395=1,INDEX(Mensal!$D$2:$D$245,MATCH($I395,Mensal!$A$2:$A$245,0)),"")</f>
        <v/>
      </c>
      <c r="N395" s="34">
        <f>IF($K395=1,L395-M395,"")</f>
        <v/>
      </c>
      <c r="O395" s="34" t="n">
        <v>0.00041814</v>
      </c>
      <c r="P395" s="34">
        <f>IF($J395=1,LN(1+O395),"")</f>
        <v/>
      </c>
      <c r="Q395" s="34">
        <f>IF($J395=1,LN(R396/R395),"")</f>
        <v/>
      </c>
      <c r="R395" s="32" t="n">
        <v>1.7556</v>
      </c>
      <c r="S395" s="35" t="n">
        <v>11.386</v>
      </c>
      <c r="T395" s="18" t="n"/>
      <c r="U395" s="18" t="n">
        <v>62959</v>
      </c>
      <c r="V395" s="18" t="n"/>
      <c r="W395" s="18" t="n"/>
      <c r="X395" s="35" t="n">
        <v>11.386</v>
      </c>
      <c r="Y395" s="35" t="n"/>
    </row>
    <row r="396">
      <c r="A396" s="25" t="n">
        <v>39392</v>
      </c>
      <c r="B396" s="18" t="n">
        <v>64503</v>
      </c>
      <c r="C396" s="31" t="n"/>
      <c r="D396" s="32" t="n"/>
      <c r="E396" s="33" t="n">
        <v>1.1639</v>
      </c>
      <c r="F396" t="inlineStr">
        <is>
          <t>Up</t>
        </is>
      </c>
      <c r="G396" t="inlineStr">
        <is>
          <t>Up</t>
        </is>
      </c>
      <c r="H396" t="inlineStr">
        <is>
          <t>EU_JU</t>
        </is>
      </c>
      <c r="I396" t="inlineStr">
        <is>
          <t>2007-11</t>
        </is>
      </c>
      <c r="J396" t="n">
        <v>1</v>
      </c>
      <c r="K396" t="n">
        <v>1</v>
      </c>
      <c r="L396" s="34">
        <f>IF($J396=1,LN(B397/B396),"")</f>
        <v/>
      </c>
      <c r="M396" s="34">
        <f>IF($K396=1,INDEX(Mensal!$D$2:$D$245,MATCH($I396,Mensal!$A$2:$A$245,0)),"")</f>
        <v/>
      </c>
      <c r="N396" s="34">
        <f>IF($K396=1,L396-M396,"")</f>
        <v/>
      </c>
      <c r="O396" s="34" t="n">
        <v>0.00041814</v>
      </c>
      <c r="P396" s="34">
        <f>IF($J396=1,LN(1+O396),"")</f>
        <v/>
      </c>
      <c r="Q396" s="34">
        <f>IF($J396=1,LN(R397/R396),"")</f>
        <v/>
      </c>
      <c r="R396" s="32" t="n">
        <v>1.7325</v>
      </c>
      <c r="S396" s="35" t="n">
        <v>11.344</v>
      </c>
      <c r="T396" s="18" t="n"/>
      <c r="U396" s="18" t="n">
        <v>64503</v>
      </c>
      <c r="V396" s="18" t="n"/>
      <c r="W396" s="18" t="n"/>
      <c r="X396" s="35" t="n">
        <v>11.344</v>
      </c>
      <c r="Y396" s="35" t="n"/>
    </row>
    <row r="397">
      <c r="A397" s="25" t="n">
        <v>39393</v>
      </c>
      <c r="B397" s="18" t="n">
        <v>63500</v>
      </c>
      <c r="C397" s="31" t="n"/>
      <c r="D397" s="32" t="n"/>
      <c r="E397" s="33" t="n">
        <v>0.8663</v>
      </c>
      <c r="F397" t="inlineStr">
        <is>
          <t>Up</t>
        </is>
      </c>
      <c r="G397" t="inlineStr">
        <is>
          <t>Up</t>
        </is>
      </c>
      <c r="H397" t="inlineStr">
        <is>
          <t>EU_JU</t>
        </is>
      </c>
      <c r="I397" t="inlineStr">
        <is>
          <t>2007-11</t>
        </is>
      </c>
      <c r="J397" t="n">
        <v>1</v>
      </c>
      <c r="K397" t="n">
        <v>1</v>
      </c>
      <c r="L397" s="34">
        <f>IF($J397=1,LN(B398/B397),"")</f>
        <v/>
      </c>
      <c r="M397" s="34">
        <f>IF($K397=1,INDEX(Mensal!$D$2:$D$245,MATCH($I397,Mensal!$A$2:$A$245,0)),"")</f>
        <v/>
      </c>
      <c r="N397" s="34">
        <f>IF($K397=1,L397-M397,"")</f>
        <v/>
      </c>
      <c r="O397" s="34" t="n">
        <v>0.00041814</v>
      </c>
      <c r="P397" s="34">
        <f>IF($J397=1,LN(1+O397),"")</f>
        <v/>
      </c>
      <c r="Q397" s="34">
        <f>IF($J397=1,LN(R398/R397),"")</f>
        <v/>
      </c>
      <c r="R397" s="32" t="n">
        <v>1.74</v>
      </c>
      <c r="S397" s="35" t="n">
        <v>11.428</v>
      </c>
      <c r="T397" s="18" t="n"/>
      <c r="U397" s="18" t="n">
        <v>63500</v>
      </c>
      <c r="V397" s="18" t="n"/>
      <c r="W397" s="18" t="n"/>
      <c r="X397" s="35" t="n">
        <v>11.428</v>
      </c>
      <c r="Y397" s="35" t="n"/>
    </row>
    <row r="398">
      <c r="A398" s="25" t="n">
        <v>39394</v>
      </c>
      <c r="B398" s="18" t="n">
        <v>63561</v>
      </c>
      <c r="C398" s="31" t="n"/>
      <c r="D398" s="32" t="n"/>
      <c r="E398" s="33" t="n">
        <v>0.5575</v>
      </c>
      <c r="F398" t="inlineStr">
        <is>
          <t>Up</t>
        </is>
      </c>
      <c r="G398" t="inlineStr">
        <is>
          <t>Up</t>
        </is>
      </c>
      <c r="H398" t="inlineStr">
        <is>
          <t>EU_JU</t>
        </is>
      </c>
      <c r="I398" t="inlineStr">
        <is>
          <t>2007-11</t>
        </is>
      </c>
      <c r="J398" t="n">
        <v>1</v>
      </c>
      <c r="K398" t="n">
        <v>1</v>
      </c>
      <c r="L398" s="34">
        <f>IF($J398=1,LN(B399/B398),"")</f>
        <v/>
      </c>
      <c r="M398" s="34">
        <f>IF($K398=1,INDEX(Mensal!$D$2:$D$245,MATCH($I398,Mensal!$A$2:$A$245,0)),"")</f>
        <v/>
      </c>
      <c r="N398" s="34">
        <f>IF($K398=1,L398-M398,"")</f>
        <v/>
      </c>
      <c r="O398" s="34" t="n">
        <v>0.00041779</v>
      </c>
      <c r="P398" s="34">
        <f>IF($J398=1,LN(1+O398),"")</f>
        <v/>
      </c>
      <c r="Q398" s="34">
        <f>IF($J398=1,LN(R399/R398),"")</f>
        <v/>
      </c>
      <c r="R398" s="32" t="n">
        <v>1.7354</v>
      </c>
      <c r="S398" s="35" t="n">
        <v>11.507</v>
      </c>
      <c r="T398" s="18" t="n"/>
      <c r="U398" s="18" t="n">
        <v>63561</v>
      </c>
      <c r="V398" s="18" t="n"/>
      <c r="W398" s="18" t="n"/>
      <c r="X398" s="35" t="n">
        <v>11.507</v>
      </c>
      <c r="Y398" s="35" t="n"/>
    </row>
    <row r="399">
      <c r="A399" s="25" t="n">
        <v>39395</v>
      </c>
      <c r="B399" s="18" t="n">
        <v>64320</v>
      </c>
      <c r="C399" s="31" t="n"/>
      <c r="D399" s="32" t="n"/>
      <c r="E399" s="33" t="n">
        <v>0.2557</v>
      </c>
      <c r="F399" t="inlineStr">
        <is>
          <t>Up</t>
        </is>
      </c>
      <c r="G399" t="inlineStr">
        <is>
          <t>Up</t>
        </is>
      </c>
      <c r="H399" t="inlineStr">
        <is>
          <t>EU_JU</t>
        </is>
      </c>
      <c r="I399" t="inlineStr">
        <is>
          <t>2007-11</t>
        </is>
      </c>
      <c r="J399" t="n">
        <v>1</v>
      </c>
      <c r="K399" t="n">
        <v>1</v>
      </c>
      <c r="L399" s="34">
        <f>IF($J399=1,LN(B400/B399),"")</f>
        <v/>
      </c>
      <c r="M399" s="34">
        <f>IF($K399=1,INDEX(Mensal!$D$2:$D$245,MATCH($I399,Mensal!$A$2:$A$245,0)),"")</f>
        <v/>
      </c>
      <c r="N399" s="34">
        <f>IF($K399=1,L399-M399,"")</f>
        <v/>
      </c>
      <c r="O399" s="34" t="n">
        <v>0.00041779</v>
      </c>
      <c r="P399" s="34">
        <f>IF($J399=1,LN(1+O399),"")</f>
        <v/>
      </c>
      <c r="Q399" s="34">
        <f>IF($J399=1,LN(R400/R399),"")</f>
        <v/>
      </c>
      <c r="R399" s="32" t="n">
        <v>1.749</v>
      </c>
      <c r="S399" s="35" t="n">
        <v>11.439</v>
      </c>
      <c r="T399" s="18" t="n"/>
      <c r="U399" s="18" t="n">
        <v>64320</v>
      </c>
      <c r="V399" s="18" t="n"/>
      <c r="W399" s="18" t="n"/>
      <c r="X399" s="35" t="n">
        <v>11.439</v>
      </c>
      <c r="Y399" s="35" t="n"/>
    </row>
    <row r="400">
      <c r="A400" s="25" t="n">
        <v>39398</v>
      </c>
      <c r="B400" s="18" t="n">
        <v>61526</v>
      </c>
      <c r="C400" s="31" t="n"/>
      <c r="D400" s="32" t="n"/>
      <c r="E400" s="33" t="n">
        <v>-0.0434</v>
      </c>
      <c r="F400" t="inlineStr">
        <is>
          <t>Up</t>
        </is>
      </c>
      <c r="G400" t="inlineStr">
        <is>
          <t>Up</t>
        </is>
      </c>
      <c r="H400" t="inlineStr">
        <is>
          <t>EU_JU</t>
        </is>
      </c>
      <c r="I400" t="inlineStr">
        <is>
          <t>2007-11</t>
        </is>
      </c>
      <c r="J400" t="n">
        <v>1</v>
      </c>
      <c r="K400" t="n">
        <v>1</v>
      </c>
      <c r="L400" s="34">
        <f>IF($J400=1,LN(B401/B400),"")</f>
        <v/>
      </c>
      <c r="M400" s="34">
        <f>IF($K400=1,INDEX(Mensal!$D$2:$D$245,MATCH($I400,Mensal!$A$2:$A$245,0)),"")</f>
        <v/>
      </c>
      <c r="N400" s="34">
        <f>IF($K400=1,L400-M400,"")</f>
        <v/>
      </c>
      <c r="O400" s="34" t="n">
        <v>0.00041814</v>
      </c>
      <c r="P400" s="34">
        <f>IF($J400=1,LN(1+O400),"")</f>
        <v/>
      </c>
      <c r="Q400" s="34">
        <f>IF($J400=1,LN(R401/R400),"")</f>
        <v/>
      </c>
      <c r="R400" s="32" t="n">
        <v>1.774</v>
      </c>
      <c r="S400" s="35" t="n">
        <v>11.516</v>
      </c>
      <c r="T400" s="18" t="n"/>
      <c r="U400" s="18" t="n">
        <v>61526</v>
      </c>
      <c r="V400" s="18" t="n"/>
      <c r="W400" s="18" t="n"/>
      <c r="X400" s="35" t="n">
        <v>11.516</v>
      </c>
      <c r="Y400" s="35" t="n"/>
    </row>
    <row r="401">
      <c r="A401" s="25" t="n">
        <v>39399</v>
      </c>
      <c r="B401" s="18" t="n">
        <v>62927</v>
      </c>
      <c r="C401" s="31" t="n"/>
      <c r="D401" s="32" t="n"/>
      <c r="E401" s="33" t="n">
        <v>-0.3379</v>
      </c>
      <c r="F401" t="inlineStr">
        <is>
          <t>Up</t>
        </is>
      </c>
      <c r="G401" t="inlineStr">
        <is>
          <t>Up</t>
        </is>
      </c>
      <c r="H401" t="inlineStr">
        <is>
          <t>EU_JU</t>
        </is>
      </c>
      <c r="I401" t="inlineStr">
        <is>
          <t>2007-11</t>
        </is>
      </c>
      <c r="J401" t="n">
        <v>1</v>
      </c>
      <c r="K401" t="n">
        <v>1</v>
      </c>
      <c r="L401" s="34">
        <f>IF($J401=1,LN(B402/B401),"")</f>
        <v/>
      </c>
      <c r="M401" s="34">
        <f>IF($K401=1,INDEX(Mensal!$D$2:$D$245,MATCH($I401,Mensal!$A$2:$A$245,0)),"")</f>
        <v/>
      </c>
      <c r="N401" s="34">
        <f>IF($K401=1,L401-M401,"")</f>
        <v/>
      </c>
      <c r="O401" s="34" t="n">
        <v>0.00041886</v>
      </c>
      <c r="P401" s="34">
        <f>IF($J401=1,LN(1+O401),"")</f>
        <v/>
      </c>
      <c r="Q401" s="34">
        <f>IF($J401=1,LN(R402/R401),"")</f>
        <v/>
      </c>
      <c r="R401" s="32" t="n">
        <v>1.7682</v>
      </c>
      <c r="S401" s="35" t="n">
        <v>11.51</v>
      </c>
      <c r="T401" s="18" t="n"/>
      <c r="U401" s="18" t="n">
        <v>62927</v>
      </c>
      <c r="V401" s="18" t="n"/>
      <c r="W401" s="18" t="n"/>
      <c r="X401" s="35" t="n">
        <v>11.51</v>
      </c>
      <c r="Y401" s="35" t="n"/>
    </row>
    <row r="402">
      <c r="A402" s="25" t="n">
        <v>39400</v>
      </c>
      <c r="B402" s="18" t="n">
        <v>64630</v>
      </c>
      <c r="C402" s="31" t="n"/>
      <c r="D402" s="32" t="n"/>
      <c r="E402" s="33" t="n">
        <v>-0.6242</v>
      </c>
      <c r="F402" t="inlineStr">
        <is>
          <t>Up</t>
        </is>
      </c>
      <c r="G402" t="inlineStr">
        <is>
          <t>Up</t>
        </is>
      </c>
      <c r="H402" t="inlineStr">
        <is>
          <t>EU_JU</t>
        </is>
      </c>
      <c r="I402" t="inlineStr">
        <is>
          <t>2007-11</t>
        </is>
      </c>
      <c r="J402" t="n">
        <v>1</v>
      </c>
      <c r="K402" t="n">
        <v>1</v>
      </c>
      <c r="L402" s="34">
        <f>IF($J402=1,LN(B403/B402),"")</f>
        <v/>
      </c>
      <c r="M402" s="34">
        <f>IF($K402=1,INDEX(Mensal!$D$2:$D$245,MATCH($I402,Mensal!$A$2:$A$245,0)),"")</f>
        <v/>
      </c>
      <c r="N402" s="34">
        <f>IF($K402=1,L402-M402,"")</f>
        <v/>
      </c>
      <c r="O402" s="34" t="n">
        <v>0.00041814</v>
      </c>
      <c r="P402" s="34">
        <f>IF($J402=1,LN(1+O402),"")</f>
        <v/>
      </c>
      <c r="Q402" s="34">
        <f>IF($J402=1,LN(R403/R402),"")</f>
        <v/>
      </c>
      <c r="R402" s="32" t="n">
        <v>1.7378</v>
      </c>
      <c r="S402" s="35" t="n">
        <v>11.443</v>
      </c>
      <c r="T402" s="18" t="n"/>
      <c r="U402" s="18" t="n">
        <v>64630</v>
      </c>
      <c r="V402" s="18" t="n"/>
      <c r="W402" s="18" t="n"/>
      <c r="X402" s="35" t="n">
        <v>11.443</v>
      </c>
      <c r="Y402" s="35" t="n"/>
    </row>
    <row r="403">
      <c r="A403" s="25" t="n">
        <v>39402</v>
      </c>
      <c r="B403" s="18" t="n">
        <v>64609</v>
      </c>
      <c r="C403" s="31" t="n"/>
      <c r="D403" s="32" t="n"/>
      <c r="E403" s="33" t="n">
        <v>-0.9139</v>
      </c>
      <c r="F403" t="inlineStr">
        <is>
          <t>Up</t>
        </is>
      </c>
      <c r="G403" t="inlineStr">
        <is>
          <t>Up</t>
        </is>
      </c>
      <c r="H403" t="inlineStr">
        <is>
          <t>EU_JU</t>
        </is>
      </c>
      <c r="I403" t="inlineStr">
        <is>
          <t>2007-11</t>
        </is>
      </c>
      <c r="J403" t="n">
        <v>1</v>
      </c>
      <c r="K403" t="n">
        <v>1</v>
      </c>
      <c r="L403" s="34">
        <f>IF($J403=1,LN(B404/B403),"")</f>
        <v/>
      </c>
      <c r="M403" s="34">
        <f>IF($K403=1,INDEX(Mensal!$D$2:$D$245,MATCH($I403,Mensal!$A$2:$A$245,0)),"")</f>
        <v/>
      </c>
      <c r="N403" s="34">
        <f>IF($K403=1,L403-M403,"")</f>
        <v/>
      </c>
      <c r="O403" s="34" t="n">
        <v>0.00041779</v>
      </c>
      <c r="P403" s="34">
        <f>IF($J403=1,LN(1+O403),"")</f>
        <v/>
      </c>
      <c r="Q403" s="34">
        <f>IF($J403=1,LN(R404/R403),"")</f>
        <v/>
      </c>
      <c r="R403" s="32" t="n">
        <v>1.7414</v>
      </c>
      <c r="S403" s="35" t="n">
        <v>11.446</v>
      </c>
      <c r="T403" s="18" t="n"/>
      <c r="U403" s="18" t="n">
        <v>64609</v>
      </c>
      <c r="V403" s="18" t="n"/>
      <c r="W403" s="18" t="n"/>
      <c r="X403" s="35" t="n">
        <v>11.446</v>
      </c>
      <c r="Y403" s="35" t="n"/>
    </row>
    <row r="404">
      <c r="A404" s="25" t="n">
        <v>39405</v>
      </c>
      <c r="B404" s="18" t="n">
        <v>62336</v>
      </c>
      <c r="C404" s="31" t="n"/>
      <c r="D404" s="32" t="n"/>
      <c r="E404" s="33" t="n">
        <v>-1.2034</v>
      </c>
      <c r="F404" t="inlineStr">
        <is>
          <t>Up</t>
        </is>
      </c>
      <c r="G404" t="inlineStr">
        <is>
          <t>Up</t>
        </is>
      </c>
      <c r="H404" t="inlineStr">
        <is>
          <t>EU_JU</t>
        </is>
      </c>
      <c r="I404" t="inlineStr">
        <is>
          <t>2007-11</t>
        </is>
      </c>
      <c r="J404" t="n">
        <v>1</v>
      </c>
      <c r="K404" t="n">
        <v>1</v>
      </c>
      <c r="L404" s="34">
        <f>IF($J404=1,LN(B405/B404),"")</f>
        <v/>
      </c>
      <c r="M404" s="34">
        <f>IF($K404=1,INDEX(Mensal!$D$2:$D$245,MATCH($I404,Mensal!$A$2:$A$245,0)),"")</f>
        <v/>
      </c>
      <c r="N404" s="34">
        <f>IF($K404=1,L404-M404,"")</f>
        <v/>
      </c>
      <c r="O404" s="34" t="n">
        <v>0.00041886</v>
      </c>
      <c r="P404" s="34">
        <f>IF($J404=1,LN(1+O404),"")</f>
        <v/>
      </c>
      <c r="Q404" s="34">
        <f>IF($J404=1,LN(R405/R404),"")</f>
        <v/>
      </c>
      <c r="R404" s="32" t="n">
        <v>1.7593</v>
      </c>
      <c r="S404" s="35" t="n">
        <v>11.447</v>
      </c>
      <c r="T404" s="18" t="n"/>
      <c r="U404" s="18" t="n">
        <v>62336</v>
      </c>
      <c r="V404" s="18" t="n"/>
      <c r="W404" s="18" t="n"/>
      <c r="X404" s="35" t="n">
        <v>11.447</v>
      </c>
      <c r="Y404" s="35" t="n"/>
    </row>
    <row r="405">
      <c r="A405" s="25" t="n">
        <v>39407</v>
      </c>
      <c r="B405" s="18" t="n">
        <v>60581</v>
      </c>
      <c r="C405" s="31" t="n"/>
      <c r="D405" s="32" t="n"/>
      <c r="E405" s="33" t="n">
        <v>-1.4907</v>
      </c>
      <c r="F405" t="inlineStr">
        <is>
          <t>Up</t>
        </is>
      </c>
      <c r="G405" t="inlineStr">
        <is>
          <t>Up</t>
        </is>
      </c>
      <c r="H405" t="inlineStr">
        <is>
          <t>EU_JU</t>
        </is>
      </c>
      <c r="I405" t="inlineStr">
        <is>
          <t>2007-11</t>
        </is>
      </c>
      <c r="J405" t="n">
        <v>1</v>
      </c>
      <c r="K405" t="n">
        <v>1</v>
      </c>
      <c r="L405" s="34">
        <f>IF($J405=1,LN(B406/B405),"")</f>
        <v/>
      </c>
      <c r="M405" s="34">
        <f>IF($K405=1,INDEX(Mensal!$D$2:$D$245,MATCH($I405,Mensal!$A$2:$A$245,0)),"")</f>
        <v/>
      </c>
      <c r="N405" s="34">
        <f>IF($K405=1,L405-M405,"")</f>
        <v/>
      </c>
      <c r="O405" s="34" t="n">
        <v>0.00041886</v>
      </c>
      <c r="P405" s="34">
        <f>IF($J405=1,LN(1+O405),"")</f>
        <v/>
      </c>
      <c r="Q405" s="34">
        <f>IF($J405=1,LN(R406/R405),"")</f>
        <v/>
      </c>
      <c r="R405" s="32" t="n">
        <v>1.7866</v>
      </c>
      <c r="S405" s="35" t="n">
        <v>11.425</v>
      </c>
      <c r="T405" s="18" t="n"/>
      <c r="U405" s="18" t="n">
        <v>60581</v>
      </c>
      <c r="V405" s="18" t="n"/>
      <c r="W405" s="18" t="n"/>
      <c r="X405" s="35" t="n">
        <v>11.425</v>
      </c>
      <c r="Y405" s="35" t="n"/>
    </row>
    <row r="406">
      <c r="A406" s="25" t="n">
        <v>39408</v>
      </c>
      <c r="B406" s="18" t="n">
        <v>60653</v>
      </c>
      <c r="C406" s="31" t="n"/>
      <c r="D406" s="32" t="n"/>
      <c r="E406" s="33" t="n">
        <v>-1.7217</v>
      </c>
      <c r="F406" t="inlineStr">
        <is>
          <t>Up</t>
        </is>
      </c>
      <c r="G406" t="inlineStr">
        <is>
          <t>Up</t>
        </is>
      </c>
      <c r="H406" t="inlineStr">
        <is>
          <t>EU_JU</t>
        </is>
      </c>
      <c r="I406" t="inlineStr">
        <is>
          <t>2007-11</t>
        </is>
      </c>
      <c r="J406" t="n">
        <v>1</v>
      </c>
      <c r="K406" t="n">
        <v>1</v>
      </c>
      <c r="L406" s="34">
        <f>IF($J406=1,LN(B407/B406),"")</f>
        <v/>
      </c>
      <c r="M406" s="34">
        <f>IF($K406=1,INDEX(Mensal!$D$2:$D$245,MATCH($I406,Mensal!$A$2:$A$245,0)),"")</f>
        <v/>
      </c>
      <c r="N406" s="34">
        <f>IF($K406=1,L406-M406,"")</f>
        <v/>
      </c>
      <c r="O406" s="34" t="n">
        <v>0.0004185</v>
      </c>
      <c r="P406" s="34">
        <f>IF($J406=1,LN(1+O406),"")</f>
        <v/>
      </c>
      <c r="Q406" s="34">
        <f>IF($J406=1,LN(R407/R406),"")</f>
        <v/>
      </c>
      <c r="R406" s="32" t="n">
        <v>1.7747</v>
      </c>
      <c r="S406" s="35" t="n">
        <v>11.42</v>
      </c>
      <c r="T406" s="18" t="n"/>
      <c r="U406" s="18" t="n">
        <v>60653</v>
      </c>
      <c r="V406" s="18" t="n"/>
      <c r="W406" s="18" t="n"/>
      <c r="X406" s="35" t="n">
        <v>11.42</v>
      </c>
      <c r="Y406" s="35" t="n"/>
    </row>
    <row r="407">
      <c r="A407" s="25" t="n">
        <v>39409</v>
      </c>
      <c r="B407" s="18" t="n">
        <v>60970</v>
      </c>
      <c r="C407" s="31" t="n"/>
      <c r="D407" s="32" t="n"/>
      <c r="E407" s="33" t="n">
        <v>-1.9541</v>
      </c>
      <c r="F407" t="inlineStr">
        <is>
          <t>Up</t>
        </is>
      </c>
      <c r="G407" t="inlineStr">
        <is>
          <t>Up</t>
        </is>
      </c>
      <c r="H407" t="inlineStr">
        <is>
          <t>EU_JU</t>
        </is>
      </c>
      <c r="I407" t="inlineStr">
        <is>
          <t>2007-11</t>
        </is>
      </c>
      <c r="J407" t="n">
        <v>1</v>
      </c>
      <c r="K407" t="n">
        <v>1</v>
      </c>
      <c r="L407" s="34">
        <f>IF($J407=1,LN(B408/B407),"")</f>
        <v/>
      </c>
      <c r="M407" s="34">
        <f>IF($K407=1,INDEX(Mensal!$D$2:$D$245,MATCH($I407,Mensal!$A$2:$A$245,0)),"")</f>
        <v/>
      </c>
      <c r="N407" s="34">
        <f>IF($K407=1,L407-M407,"")</f>
        <v/>
      </c>
      <c r="O407" s="34" t="n">
        <v>0.00041779</v>
      </c>
      <c r="P407" s="34">
        <f>IF($J407=1,LN(1+O407),"")</f>
        <v/>
      </c>
      <c r="Q407" s="34">
        <f>IF($J407=1,LN(R408/R407),"")</f>
        <v/>
      </c>
      <c r="R407" s="32" t="n">
        <v>1.7962</v>
      </c>
      <c r="S407" s="35" t="n">
        <v>11.426</v>
      </c>
      <c r="T407" s="18" t="n"/>
      <c r="U407" s="18" t="n">
        <v>60970</v>
      </c>
      <c r="V407" s="18" t="n"/>
      <c r="W407" s="18" t="n"/>
      <c r="X407" s="35" t="n">
        <v>11.426</v>
      </c>
      <c r="Y407" s="35" t="n"/>
    </row>
    <row r="408">
      <c r="A408" s="25" t="n">
        <v>39412</v>
      </c>
      <c r="B408" s="18" t="n">
        <v>59069</v>
      </c>
      <c r="C408" s="31" t="n"/>
      <c r="D408" s="32" t="n"/>
      <c r="E408" s="33" t="n">
        <v>-2.1825</v>
      </c>
      <c r="F408" t="inlineStr">
        <is>
          <t>Up</t>
        </is>
      </c>
      <c r="G408" t="inlineStr">
        <is>
          <t>Up</t>
        </is>
      </c>
      <c r="H408" t="inlineStr">
        <is>
          <t>EU_JU</t>
        </is>
      </c>
      <c r="I408" t="inlineStr">
        <is>
          <t>2007-11</t>
        </is>
      </c>
      <c r="J408" t="n">
        <v>1</v>
      </c>
      <c r="K408" t="n">
        <v>1</v>
      </c>
      <c r="L408" s="34">
        <f>IF($J408=1,LN(B409/B408),"")</f>
        <v/>
      </c>
      <c r="M408" s="34">
        <f>IF($K408=1,INDEX(Mensal!$D$2:$D$245,MATCH($I408,Mensal!$A$2:$A$245,0)),"")</f>
        <v/>
      </c>
      <c r="N408" s="34">
        <f>IF($K408=1,L408-M408,"")</f>
        <v/>
      </c>
      <c r="O408" s="34" t="n">
        <v>0.00041814</v>
      </c>
      <c r="P408" s="34">
        <f>IF($J408=1,LN(1+O408),"")</f>
        <v/>
      </c>
      <c r="Q408" s="34">
        <f>IF($J408=1,LN(R409/R408),"")</f>
        <v/>
      </c>
      <c r="R408" s="32" t="n">
        <v>1.811</v>
      </c>
      <c r="S408" s="35" t="n">
        <v>11.436</v>
      </c>
      <c r="T408" s="18" t="n"/>
      <c r="U408" s="18" t="n">
        <v>59069</v>
      </c>
      <c r="V408" s="18" t="n"/>
      <c r="W408" s="18" t="n"/>
      <c r="X408" s="35" t="n">
        <v>11.436</v>
      </c>
      <c r="Y408" s="35" t="n"/>
    </row>
    <row r="409">
      <c r="A409" s="25" t="n">
        <v>39413</v>
      </c>
      <c r="B409" s="18" t="n">
        <v>59431</v>
      </c>
      <c r="C409" s="31" t="n"/>
      <c r="D409" s="32" t="n"/>
      <c r="E409" s="33" t="n">
        <v>-2.4115</v>
      </c>
      <c r="F409" t="inlineStr">
        <is>
          <t>Up</t>
        </is>
      </c>
      <c r="G409" t="inlineStr">
        <is>
          <t>Up</t>
        </is>
      </c>
      <c r="H409" t="inlineStr">
        <is>
          <t>EU_JU</t>
        </is>
      </c>
      <c r="I409" t="inlineStr">
        <is>
          <t>2007-11</t>
        </is>
      </c>
      <c r="J409" t="n">
        <v>1</v>
      </c>
      <c r="K409" t="n">
        <v>1</v>
      </c>
      <c r="L409" s="34">
        <f>IF($J409=1,LN(B410/B409),"")</f>
        <v/>
      </c>
      <c r="M409" s="34">
        <f>IF($K409=1,INDEX(Mensal!$D$2:$D$245,MATCH($I409,Mensal!$A$2:$A$245,0)),"")</f>
        <v/>
      </c>
      <c r="N409" s="34">
        <f>IF($K409=1,L409-M409,"")</f>
        <v/>
      </c>
      <c r="O409" s="34" t="n">
        <v>0.00041886</v>
      </c>
      <c r="P409" s="34">
        <f>IF($J409=1,LN(1+O409),"")</f>
        <v/>
      </c>
      <c r="Q409" s="34">
        <f>IF($J409=1,LN(R410/R409),"")</f>
        <v/>
      </c>
      <c r="R409" s="32" t="n">
        <v>1.8501</v>
      </c>
      <c r="S409" s="35" t="n">
        <v>11.436</v>
      </c>
      <c r="T409" s="18" t="n"/>
      <c r="U409" s="18" t="n">
        <v>59431</v>
      </c>
      <c r="V409" s="18" t="n"/>
      <c r="W409" s="18" t="n"/>
      <c r="X409" s="35" t="n">
        <v>11.436</v>
      </c>
      <c r="Y409" s="35" t="n"/>
    </row>
    <row r="410">
      <c r="A410" s="25" t="n">
        <v>39414</v>
      </c>
      <c r="B410" s="18" t="n">
        <v>61714</v>
      </c>
      <c r="C410" s="31" t="n"/>
      <c r="D410" s="32" t="n"/>
      <c r="E410" s="33" t="n">
        <v>-2.6396</v>
      </c>
      <c r="F410" t="inlineStr">
        <is>
          <t>Up</t>
        </is>
      </c>
      <c r="G410" t="inlineStr">
        <is>
          <t>Up</t>
        </is>
      </c>
      <c r="H410" t="inlineStr">
        <is>
          <t>EU_JU</t>
        </is>
      </c>
      <c r="I410" t="inlineStr">
        <is>
          <t>2007-11</t>
        </is>
      </c>
      <c r="J410" t="n">
        <v>1</v>
      </c>
      <c r="K410" t="n">
        <v>1</v>
      </c>
      <c r="L410" s="34">
        <f>IF($J410=1,LN(B411/B410),"")</f>
        <v/>
      </c>
      <c r="M410" s="34">
        <f>IF($K410=1,INDEX(Mensal!$D$2:$D$245,MATCH($I410,Mensal!$A$2:$A$245,0)),"")</f>
        <v/>
      </c>
      <c r="N410" s="34">
        <f>IF($K410=1,L410-M410,"")</f>
        <v/>
      </c>
      <c r="O410" s="34" t="n">
        <v>0.00041814</v>
      </c>
      <c r="P410" s="34">
        <f>IF($J410=1,LN(1+O410),"")</f>
        <v/>
      </c>
      <c r="Q410" s="34">
        <f>IF($J410=1,LN(R411/R410),"")</f>
        <v/>
      </c>
      <c r="R410" s="32" t="n">
        <v>1.8018</v>
      </c>
      <c r="S410" s="35" t="n">
        <v>11.497</v>
      </c>
      <c r="T410" s="18" t="n"/>
      <c r="U410" s="18" t="n">
        <v>61714</v>
      </c>
      <c r="V410" s="18" t="n"/>
      <c r="W410" s="18" t="n"/>
      <c r="X410" s="35" t="n">
        <v>11.497</v>
      </c>
      <c r="Y410" s="35" t="n"/>
    </row>
    <row r="411">
      <c r="A411" s="25" t="n">
        <v>39415</v>
      </c>
      <c r="B411" s="18" t="n">
        <v>62156</v>
      </c>
      <c r="C411" s="31" t="n"/>
      <c r="D411" s="32" t="n"/>
      <c r="E411" s="33" t="n">
        <v>-2.8691</v>
      </c>
      <c r="F411" t="inlineStr">
        <is>
          <t>Up</t>
        </is>
      </c>
      <c r="G411" t="inlineStr">
        <is>
          <t>Up</t>
        </is>
      </c>
      <c r="H411" t="inlineStr">
        <is>
          <t>EU_JU</t>
        </is>
      </c>
      <c r="I411" t="inlineStr">
        <is>
          <t>2007-11</t>
        </is>
      </c>
      <c r="J411" t="n">
        <v>1</v>
      </c>
      <c r="K411" t="n">
        <v>1</v>
      </c>
      <c r="L411" s="34">
        <f>IF($J411=1,LN(B412/B411),"")</f>
        <v/>
      </c>
      <c r="M411" s="34">
        <f>IF($K411=1,INDEX(Mensal!$D$2:$D$245,MATCH($I411,Mensal!$A$2:$A$245,0)),"")</f>
        <v/>
      </c>
      <c r="N411" s="34">
        <f>IF($K411=1,L411-M411,"")</f>
        <v/>
      </c>
      <c r="O411" s="34" t="n">
        <v>0.00041779</v>
      </c>
      <c r="P411" s="34">
        <f>IF($J411=1,LN(1+O411),"")</f>
        <v/>
      </c>
      <c r="Q411" s="34">
        <f>IF($J411=1,LN(R412/R411),"")</f>
        <v/>
      </c>
      <c r="R411" s="32" t="n">
        <v>1.7905</v>
      </c>
      <c r="S411" s="35" t="n">
        <v>11.602</v>
      </c>
      <c r="T411" s="18" t="n"/>
      <c r="U411" s="18" t="n">
        <v>62156</v>
      </c>
      <c r="V411" s="18" t="n"/>
      <c r="W411" s="18" t="n"/>
      <c r="X411" s="35" t="n">
        <v>11.602</v>
      </c>
      <c r="Y411" s="35" t="n"/>
    </row>
    <row r="412">
      <c r="A412" s="25" t="n">
        <v>39416</v>
      </c>
      <c r="B412" s="18" t="n">
        <v>63006</v>
      </c>
      <c r="C412" s="31" t="n"/>
      <c r="D412" s="32" t="n"/>
      <c r="E412" s="33" t="n">
        <v>-3.0972</v>
      </c>
      <c r="F412" t="inlineStr">
        <is>
          <t>Up</t>
        </is>
      </c>
      <c r="G412" t="inlineStr">
        <is>
          <t>Up</t>
        </is>
      </c>
      <c r="H412" t="inlineStr">
        <is>
          <t>EU_JU</t>
        </is>
      </c>
      <c r="I412" t="inlineStr">
        <is>
          <t>2007-11</t>
        </is>
      </c>
      <c r="J412" t="n">
        <v>1</v>
      </c>
      <c r="K412" t="n">
        <v>1</v>
      </c>
      <c r="L412" s="34">
        <f>IF($J412=1,LN(B413/B412),"")</f>
        <v/>
      </c>
      <c r="M412" s="34">
        <f>IF($K412=1,INDEX(Mensal!$D$2:$D$245,MATCH($I412,Mensal!$A$2:$A$245,0)),"")</f>
        <v/>
      </c>
      <c r="N412" s="34">
        <f>IF($K412=1,L412-M412,"")</f>
        <v/>
      </c>
      <c r="O412" s="34" t="n">
        <v>0.0004185</v>
      </c>
      <c r="P412" s="34">
        <f>IF($J412=1,LN(1+O412),"")</f>
        <v/>
      </c>
      <c r="Q412" s="34">
        <f>IF($J412=1,LN(R413/R412),"")</f>
        <v/>
      </c>
      <c r="R412" s="32" t="n">
        <v>1.7837</v>
      </c>
      <c r="S412" s="35" t="n">
        <v>11.586</v>
      </c>
      <c r="T412" s="18" t="n"/>
      <c r="U412" s="18" t="n">
        <v>63006</v>
      </c>
      <c r="V412" s="18" t="n"/>
      <c r="W412" s="18" t="n"/>
      <c r="X412" s="35" t="n">
        <v>11.586</v>
      </c>
      <c r="Y412" s="35" t="n"/>
    </row>
    <row r="413">
      <c r="A413" s="25" t="n">
        <v>39419</v>
      </c>
      <c r="B413" s="18" t="n">
        <v>63199</v>
      </c>
      <c r="C413" s="31" t="n"/>
      <c r="D413" s="32" t="n"/>
      <c r="E413" s="33" t="n">
        <v>-3.3261</v>
      </c>
      <c r="F413" t="inlineStr">
        <is>
          <t>Up</t>
        </is>
      </c>
      <c r="G413" t="inlineStr">
        <is>
          <t>Up</t>
        </is>
      </c>
      <c r="H413" t="inlineStr">
        <is>
          <t>EU_JU</t>
        </is>
      </c>
      <c r="I413" t="inlineStr">
        <is>
          <t>2007-12</t>
        </is>
      </c>
      <c r="J413" t="n">
        <v>1</v>
      </c>
      <c r="K413" t="n">
        <v>1</v>
      </c>
      <c r="L413" s="34">
        <f>IF($J413=1,LN(B414/B413),"")</f>
        <v/>
      </c>
      <c r="M413" s="34">
        <f>IF($K413=1,INDEX(Mensal!$D$2:$D$245,MATCH($I413,Mensal!$A$2:$A$245,0)),"")</f>
        <v/>
      </c>
      <c r="N413" s="34">
        <f>IF($K413=1,L413-M413,"")</f>
        <v/>
      </c>
      <c r="O413" s="34" t="n">
        <v>0.00041886</v>
      </c>
      <c r="P413" s="34">
        <f>IF($J413=1,LN(1+O413),"")</f>
        <v/>
      </c>
      <c r="Q413" s="34">
        <f>IF($J413=1,LN(R414/R413),"")</f>
        <v/>
      </c>
      <c r="R413" s="32" t="n">
        <v>1.7888</v>
      </c>
      <c r="S413" s="35" t="n">
        <v>11.593</v>
      </c>
      <c r="T413" s="18" t="n"/>
      <c r="U413" s="18" t="n">
        <v>63199</v>
      </c>
      <c r="V413" s="18" t="n"/>
      <c r="W413" s="18" t="n"/>
      <c r="X413" s="35" t="n">
        <v>11.593</v>
      </c>
      <c r="Y413" s="35" t="n"/>
    </row>
    <row r="414">
      <c r="A414" s="25" t="n">
        <v>39420</v>
      </c>
      <c r="B414" s="18" t="n">
        <v>63481</v>
      </c>
      <c r="C414" s="31" t="n"/>
      <c r="D414" s="32" t="n"/>
      <c r="E414" s="33" t="n">
        <v>-3.5568</v>
      </c>
      <c r="F414" t="inlineStr">
        <is>
          <t>Up</t>
        </is>
      </c>
      <c r="G414" t="inlineStr">
        <is>
          <t>Up</t>
        </is>
      </c>
      <c r="H414" t="inlineStr">
        <is>
          <t>EU_JU</t>
        </is>
      </c>
      <c r="I414" t="inlineStr">
        <is>
          <t>2007-12</t>
        </is>
      </c>
      <c r="J414" t="n">
        <v>1</v>
      </c>
      <c r="K414" t="n">
        <v>1</v>
      </c>
      <c r="L414" s="34">
        <f>IF($J414=1,LN(B415/B414),"")</f>
        <v/>
      </c>
      <c r="M414" s="34">
        <f>IF($K414=1,INDEX(Mensal!$D$2:$D$245,MATCH($I414,Mensal!$A$2:$A$245,0)),"")</f>
        <v/>
      </c>
      <c r="N414" s="34">
        <f>IF($K414=1,L414-M414,"")</f>
        <v/>
      </c>
      <c r="O414" s="34" t="n">
        <v>0.00041886</v>
      </c>
      <c r="P414" s="34">
        <f>IF($J414=1,LN(1+O414),"")</f>
        <v/>
      </c>
      <c r="Q414" s="34">
        <f>IF($J414=1,LN(R415/R414),"")</f>
        <v/>
      </c>
      <c r="R414" s="32" t="n">
        <v>1.8233</v>
      </c>
      <c r="S414" s="35" t="n">
        <v>11.618</v>
      </c>
      <c r="T414" s="18" t="n"/>
      <c r="U414" s="18" t="n">
        <v>63481</v>
      </c>
      <c r="V414" s="18" t="n"/>
      <c r="W414" s="18" t="n"/>
      <c r="X414" s="35" t="n">
        <v>11.618</v>
      </c>
      <c r="Y414" s="35" t="n"/>
    </row>
    <row r="415">
      <c r="A415" s="25" t="n">
        <v>39421</v>
      </c>
      <c r="B415" s="18" t="n">
        <v>64927</v>
      </c>
      <c r="C415" s="31" t="n"/>
      <c r="D415" s="32" t="n"/>
      <c r="E415" s="33" t="n">
        <v>-3.5745</v>
      </c>
      <c r="F415" t="inlineStr">
        <is>
          <t>Up</t>
        </is>
      </c>
      <c r="G415" t="inlineStr">
        <is>
          <t>Up</t>
        </is>
      </c>
      <c r="H415" t="inlineStr">
        <is>
          <t>EU_JU</t>
        </is>
      </c>
      <c r="I415" t="inlineStr">
        <is>
          <t>2007-12</t>
        </is>
      </c>
      <c r="J415" t="n">
        <v>1</v>
      </c>
      <c r="K415" t="n">
        <v>1</v>
      </c>
      <c r="L415" s="34">
        <f>IF($J415=1,LN(B416/B415),"")</f>
        <v/>
      </c>
      <c r="M415" s="34">
        <f>IF($K415=1,INDEX(Mensal!$D$2:$D$245,MATCH($I415,Mensal!$A$2:$A$245,0)),"")</f>
        <v/>
      </c>
      <c r="N415" s="34">
        <f>IF($K415=1,L415-M415,"")</f>
        <v/>
      </c>
      <c r="O415" s="34" t="n">
        <v>0.00041922</v>
      </c>
      <c r="P415" s="34">
        <f>IF($J415=1,LN(1+O415),"")</f>
        <v/>
      </c>
      <c r="Q415" s="34">
        <f>IF($J415=1,LN(R416/R415),"")</f>
        <v/>
      </c>
      <c r="R415" s="32" t="n">
        <v>1.7956</v>
      </c>
      <c r="S415" s="35" t="n">
        <v>11.665</v>
      </c>
      <c r="T415" s="18" t="n"/>
      <c r="U415" s="18" t="n">
        <v>64927</v>
      </c>
      <c r="V415" s="18" t="n"/>
      <c r="W415" s="18" t="n"/>
      <c r="X415" s="35" t="n">
        <v>11.665</v>
      </c>
      <c r="Y415" s="35" t="n"/>
    </row>
    <row r="416">
      <c r="A416" s="25" t="n">
        <v>39422</v>
      </c>
      <c r="B416" s="18" t="n">
        <v>65791</v>
      </c>
      <c r="C416" s="31" t="n"/>
      <c r="D416" s="32" t="n"/>
      <c r="E416" s="33" t="n">
        <v>-3.5603</v>
      </c>
      <c r="F416" t="inlineStr">
        <is>
          <t>Up</t>
        </is>
      </c>
      <c r="G416" t="inlineStr">
        <is>
          <t>Up</t>
        </is>
      </c>
      <c r="H416" t="inlineStr">
        <is>
          <t>EU_JU</t>
        </is>
      </c>
      <c r="I416" t="inlineStr">
        <is>
          <t>2007-12</t>
        </is>
      </c>
      <c r="J416" t="n">
        <v>1</v>
      </c>
      <c r="K416" t="n">
        <v>1</v>
      </c>
      <c r="L416" s="34">
        <f>IF($J416=1,LN(B417/B416),"")</f>
        <v/>
      </c>
      <c r="M416" s="34">
        <f>IF($K416=1,INDEX(Mensal!$D$2:$D$245,MATCH($I416,Mensal!$A$2:$A$245,0)),"")</f>
        <v/>
      </c>
      <c r="N416" s="34">
        <f>IF($K416=1,L416-M416,"")</f>
        <v/>
      </c>
      <c r="O416" s="34" t="n">
        <v>0.0004185</v>
      </c>
      <c r="P416" s="34">
        <f>IF($J416=1,LN(1+O416),"")</f>
        <v/>
      </c>
      <c r="Q416" s="34">
        <f>IF($J416=1,LN(R417/R416),"")</f>
        <v/>
      </c>
      <c r="R416" s="32" t="n">
        <v>1.7873</v>
      </c>
      <c r="S416" s="35" t="n">
        <v>11.657</v>
      </c>
      <c r="T416" s="18" t="n"/>
      <c r="U416" s="18" t="n">
        <v>65791</v>
      </c>
      <c r="V416" s="18" t="n"/>
      <c r="W416" s="18" t="n"/>
      <c r="X416" s="35" t="n">
        <v>11.657</v>
      </c>
      <c r="Y416" s="35" t="n"/>
    </row>
    <row r="417">
      <c r="A417" s="25" t="n">
        <v>39423</v>
      </c>
      <c r="B417" s="18" t="n">
        <v>65639</v>
      </c>
      <c r="C417" s="31" t="n"/>
      <c r="D417" s="32" t="n"/>
      <c r="E417" s="33" t="n">
        <v>-3.5409</v>
      </c>
      <c r="F417" t="inlineStr">
        <is>
          <t>Up</t>
        </is>
      </c>
      <c r="G417" t="inlineStr">
        <is>
          <t>Up</t>
        </is>
      </c>
      <c r="H417" t="inlineStr">
        <is>
          <t>EU_JU</t>
        </is>
      </c>
      <c r="I417" t="inlineStr">
        <is>
          <t>2007-12</t>
        </is>
      </c>
      <c r="J417" t="n">
        <v>1</v>
      </c>
      <c r="K417" t="n">
        <v>1</v>
      </c>
      <c r="L417" s="34">
        <f>IF($J417=1,LN(B418/B417),"")</f>
        <v/>
      </c>
      <c r="M417" s="34">
        <f>IF($K417=1,INDEX(Mensal!$D$2:$D$245,MATCH($I417,Mensal!$A$2:$A$245,0)),"")</f>
        <v/>
      </c>
      <c r="N417" s="34">
        <f>IF($K417=1,L417-M417,"")</f>
        <v/>
      </c>
      <c r="O417" s="34" t="n">
        <v>0.00041779</v>
      </c>
      <c r="P417" s="34">
        <f>IF($J417=1,LN(1+O417),"")</f>
        <v/>
      </c>
      <c r="Q417" s="34">
        <f>IF($J417=1,LN(R418/R417),"")</f>
        <v/>
      </c>
      <c r="R417" s="32" t="n">
        <v>1.7616</v>
      </c>
      <c r="S417" s="35" t="n">
        <v>11.619</v>
      </c>
      <c r="T417" s="18" t="n"/>
      <c r="U417" s="18" t="n">
        <v>65639</v>
      </c>
      <c r="V417" s="18" t="n"/>
      <c r="W417" s="18" t="n"/>
      <c r="X417" s="35" t="n">
        <v>11.619</v>
      </c>
      <c r="Y417" s="35" t="n"/>
    </row>
    <row r="418">
      <c r="A418" s="25" t="n">
        <v>39426</v>
      </c>
      <c r="B418" s="18" t="n">
        <v>65445</v>
      </c>
      <c r="C418" s="31" t="n"/>
      <c r="D418" s="32" t="n"/>
      <c r="E418" s="33" t="n">
        <v>-3.5108</v>
      </c>
      <c r="F418" t="inlineStr">
        <is>
          <t>Up</t>
        </is>
      </c>
      <c r="G418" t="inlineStr">
        <is>
          <t>Up</t>
        </is>
      </c>
      <c r="H418" t="inlineStr">
        <is>
          <t>EU_JU</t>
        </is>
      </c>
      <c r="I418" t="inlineStr">
        <is>
          <t>2007-12</t>
        </is>
      </c>
      <c r="J418" t="n">
        <v>1</v>
      </c>
      <c r="K418" t="n">
        <v>1</v>
      </c>
      <c r="L418" s="34">
        <f>IF($J418=1,LN(B419/B418),"")</f>
        <v/>
      </c>
      <c r="M418" s="34">
        <f>IF($K418=1,INDEX(Mensal!$D$2:$D$245,MATCH($I418,Mensal!$A$2:$A$245,0)),"")</f>
        <v/>
      </c>
      <c r="N418" s="34">
        <f>IF($K418=1,L418-M418,"")</f>
        <v/>
      </c>
      <c r="O418" s="34" t="n">
        <v>0.00041814</v>
      </c>
      <c r="P418" s="34">
        <f>IF($J418=1,LN(1+O418),"")</f>
        <v/>
      </c>
      <c r="Q418" s="34">
        <f>IF($J418=1,LN(R419/R418),"")</f>
        <v/>
      </c>
      <c r="R418" s="32" t="n">
        <v>1.762</v>
      </c>
      <c r="S418" s="35" t="n">
        <v>11.729</v>
      </c>
      <c r="T418" s="18" t="n"/>
      <c r="U418" s="18" t="n">
        <v>65445</v>
      </c>
      <c r="V418" s="18" t="n"/>
      <c r="W418" s="18" t="n"/>
      <c r="X418" s="35" t="n">
        <v>11.729</v>
      </c>
      <c r="Y418" s="35" t="n"/>
    </row>
    <row r="419">
      <c r="A419" s="25" t="n">
        <v>39427</v>
      </c>
      <c r="B419" s="18" t="n">
        <v>64512</v>
      </c>
      <c r="C419" s="31" t="n"/>
      <c r="D419" s="32" t="n"/>
      <c r="E419" s="33" t="n">
        <v>-3.4732</v>
      </c>
      <c r="F419" t="inlineStr">
        <is>
          <t>Up</t>
        </is>
      </c>
      <c r="G419" t="inlineStr">
        <is>
          <t>Up</t>
        </is>
      </c>
      <c r="H419" t="inlineStr">
        <is>
          <t>EU_JU</t>
        </is>
      </c>
      <c r="I419" t="inlineStr">
        <is>
          <t>2007-12</t>
        </is>
      </c>
      <c r="J419" t="n">
        <v>1</v>
      </c>
      <c r="K419" t="n">
        <v>1</v>
      </c>
      <c r="L419" s="34">
        <f>IF($J419=1,LN(B420/B419),"")</f>
        <v/>
      </c>
      <c r="M419" s="34">
        <f>IF($K419=1,INDEX(Mensal!$D$2:$D$245,MATCH($I419,Mensal!$A$2:$A$245,0)),"")</f>
        <v/>
      </c>
      <c r="N419" s="34">
        <f>IF($K419=1,L419-M419,"")</f>
        <v/>
      </c>
      <c r="O419" s="34" t="n">
        <v>0.00041743</v>
      </c>
      <c r="P419" s="34">
        <f>IF($J419=1,LN(1+O419),"")</f>
        <v/>
      </c>
      <c r="Q419" s="34">
        <f>IF($J419=1,LN(R420/R419),"")</f>
        <v/>
      </c>
      <c r="R419" s="32" t="n">
        <v>1.765</v>
      </c>
      <c r="S419" s="35" t="n">
        <v>11.705</v>
      </c>
      <c r="T419" s="18" t="n"/>
      <c r="U419" s="18" t="n">
        <v>64512</v>
      </c>
      <c r="V419" s="18" t="n"/>
      <c r="W419" s="18" t="n"/>
      <c r="X419" s="35" t="n">
        <v>11.705</v>
      </c>
      <c r="Y419" s="35" t="n"/>
    </row>
    <row r="420">
      <c r="A420" s="25" t="n">
        <v>39428</v>
      </c>
      <c r="B420" s="18" t="n">
        <v>64741</v>
      </c>
      <c r="C420" s="31" t="n"/>
      <c r="D420" s="32" t="n"/>
      <c r="E420" s="33" t="n">
        <v>-3.4315</v>
      </c>
      <c r="F420" t="inlineStr">
        <is>
          <t>Up</t>
        </is>
      </c>
      <c r="G420" t="inlineStr">
        <is>
          <t>Up</t>
        </is>
      </c>
      <c r="H420" t="inlineStr">
        <is>
          <t>EU_JU</t>
        </is>
      </c>
      <c r="I420" t="inlineStr">
        <is>
          <t>2007-12</t>
        </is>
      </c>
      <c r="J420" t="n">
        <v>1</v>
      </c>
      <c r="K420" t="n">
        <v>1</v>
      </c>
      <c r="L420" s="34">
        <f>IF($J420=1,LN(B421/B420),"")</f>
        <v/>
      </c>
      <c r="M420" s="34">
        <f>IF($K420=1,INDEX(Mensal!$D$2:$D$245,MATCH($I420,Mensal!$A$2:$A$245,0)),"")</f>
        <v/>
      </c>
      <c r="N420" s="34">
        <f>IF($K420=1,L420-M420,"")</f>
        <v/>
      </c>
      <c r="O420" s="34" t="n">
        <v>0.00041743</v>
      </c>
      <c r="P420" s="34">
        <f>IF($J420=1,LN(1+O420),"")</f>
        <v/>
      </c>
      <c r="Q420" s="34">
        <f>IF($J420=1,LN(R421/R420),"")</f>
        <v/>
      </c>
      <c r="R420" s="32" t="n">
        <v>1.7624</v>
      </c>
      <c r="S420" s="35" t="n">
        <v>11.79</v>
      </c>
      <c r="T420" s="18" t="n"/>
      <c r="U420" s="18" t="n">
        <v>64741</v>
      </c>
      <c r="V420" s="18" t="n"/>
      <c r="W420" s="18" t="n"/>
      <c r="X420" s="35" t="n">
        <v>11.79</v>
      </c>
      <c r="Y420" s="35" t="n"/>
    </row>
    <row r="421">
      <c r="A421" s="25" t="n">
        <v>39429</v>
      </c>
      <c r="B421" s="18" t="n">
        <v>62860</v>
      </c>
      <c r="C421" s="31" t="n"/>
      <c r="D421" s="32" t="n"/>
      <c r="E421" s="33" t="n">
        <v>-3.3899</v>
      </c>
      <c r="F421" t="inlineStr">
        <is>
          <t>Up</t>
        </is>
      </c>
      <c r="G421" t="inlineStr">
        <is>
          <t>Up</t>
        </is>
      </c>
      <c r="H421" t="inlineStr">
        <is>
          <t>EU_JU</t>
        </is>
      </c>
      <c r="I421" t="inlineStr">
        <is>
          <t>2007-12</t>
        </is>
      </c>
      <c r="J421" t="n">
        <v>1</v>
      </c>
      <c r="K421" t="n">
        <v>1</v>
      </c>
      <c r="L421" s="34">
        <f>IF($J421=1,LN(B422/B421),"")</f>
        <v/>
      </c>
      <c r="M421" s="34">
        <f>IF($K421=1,INDEX(Mensal!$D$2:$D$245,MATCH($I421,Mensal!$A$2:$A$245,0)),"")</f>
        <v/>
      </c>
      <c r="N421" s="34">
        <f>IF($K421=1,L421-M421,"")</f>
        <v/>
      </c>
      <c r="O421" s="34" t="n">
        <v>0.00041707</v>
      </c>
      <c r="P421" s="34">
        <f>IF($J421=1,LN(1+O421),"")</f>
        <v/>
      </c>
      <c r="Q421" s="34">
        <f>IF($J421=1,LN(R422/R421),"")</f>
        <v/>
      </c>
      <c r="R421" s="32" t="n">
        <v>1.7746</v>
      </c>
      <c r="S421" s="35" t="n">
        <v>11.96</v>
      </c>
      <c r="T421" s="18" t="n"/>
      <c r="U421" s="18" t="n">
        <v>62860</v>
      </c>
      <c r="V421" s="18" t="n"/>
      <c r="W421" s="18" t="n"/>
      <c r="X421" s="35" t="n">
        <v>11.96</v>
      </c>
      <c r="Y421" s="35" t="n"/>
    </row>
    <row r="422">
      <c r="A422" s="25" t="n">
        <v>39430</v>
      </c>
      <c r="B422" s="18" t="n">
        <v>62445</v>
      </c>
      <c r="C422" s="31" t="n"/>
      <c r="D422" s="32" t="n"/>
      <c r="E422" s="33" t="n">
        <v>-3.3432</v>
      </c>
      <c r="F422" t="inlineStr">
        <is>
          <t>Up</t>
        </is>
      </c>
      <c r="G422" t="inlineStr">
        <is>
          <t>Up</t>
        </is>
      </c>
      <c r="H422" t="inlineStr">
        <is>
          <t>EU_JU</t>
        </is>
      </c>
      <c r="I422" t="inlineStr">
        <is>
          <t>2007-12</t>
        </is>
      </c>
      <c r="J422" t="n">
        <v>1</v>
      </c>
      <c r="K422" t="n">
        <v>1</v>
      </c>
      <c r="L422" s="34">
        <f>IF($J422=1,LN(B423/B422),"")</f>
        <v/>
      </c>
      <c r="M422" s="34">
        <f>IF($K422=1,INDEX(Mensal!$D$2:$D$245,MATCH($I422,Mensal!$A$2:$A$245,0)),"")</f>
        <v/>
      </c>
      <c r="N422" s="34">
        <f>IF($K422=1,L422-M422,"")</f>
        <v/>
      </c>
      <c r="O422" s="34" t="n">
        <v>0.00041707</v>
      </c>
      <c r="P422" s="34">
        <f>IF($J422=1,LN(1+O422),"")</f>
        <v/>
      </c>
      <c r="Q422" s="34">
        <f>IF($J422=1,LN(R423/R422),"")</f>
        <v/>
      </c>
      <c r="R422" s="32" t="n">
        <v>1.7959</v>
      </c>
      <c r="S422" s="35" t="n">
        <v>11.898</v>
      </c>
      <c r="T422" s="18" t="n"/>
      <c r="U422" s="18" t="n">
        <v>62445</v>
      </c>
      <c r="V422" s="18" t="n"/>
      <c r="W422" s="18" t="n"/>
      <c r="X422" s="35" t="n">
        <v>11.898</v>
      </c>
      <c r="Y422" s="35" t="n"/>
    </row>
    <row r="423">
      <c r="A423" s="25" t="n">
        <v>39433</v>
      </c>
      <c r="B423" s="18" t="n">
        <v>59828</v>
      </c>
      <c r="C423" s="31" t="n"/>
      <c r="D423" s="32" t="n"/>
      <c r="E423" s="33" t="n">
        <v>-3.2828</v>
      </c>
      <c r="F423" t="inlineStr">
        <is>
          <t>Up</t>
        </is>
      </c>
      <c r="G423" t="inlineStr">
        <is>
          <t>Up</t>
        </is>
      </c>
      <c r="H423" t="inlineStr">
        <is>
          <t>EU_JU</t>
        </is>
      </c>
      <c r="I423" t="inlineStr">
        <is>
          <t>2007-12</t>
        </is>
      </c>
      <c r="J423" t="n">
        <v>1</v>
      </c>
      <c r="K423" t="n">
        <v>1</v>
      </c>
      <c r="L423" s="34">
        <f>IF($J423=1,LN(B424/B423),"")</f>
        <v/>
      </c>
      <c r="M423" s="34">
        <f>IF($K423=1,INDEX(Mensal!$D$2:$D$245,MATCH($I423,Mensal!$A$2:$A$245,0)),"")</f>
        <v/>
      </c>
      <c r="N423" s="34">
        <f>IF($K423=1,L423-M423,"")</f>
        <v/>
      </c>
      <c r="O423" s="34" t="n">
        <v>0.00041707</v>
      </c>
      <c r="P423" s="34">
        <f>IF($J423=1,LN(1+O423),"")</f>
        <v/>
      </c>
      <c r="Q423" s="34">
        <f>IF($J423=1,LN(R424/R423),"")</f>
        <v/>
      </c>
      <c r="R423" s="32" t="n">
        <v>1.8123</v>
      </c>
      <c r="S423" s="35" t="n">
        <v>11.924</v>
      </c>
      <c r="T423" s="18" t="n"/>
      <c r="U423" s="18" t="n">
        <v>59828</v>
      </c>
      <c r="V423" s="18" t="n"/>
      <c r="W423" s="18" t="n"/>
      <c r="X423" s="35" t="n">
        <v>11.924</v>
      </c>
      <c r="Y423" s="35" t="n"/>
    </row>
    <row r="424">
      <c r="A424" s="25" t="n">
        <v>39434</v>
      </c>
      <c r="B424" s="18" t="n">
        <v>61096</v>
      </c>
      <c r="C424" s="31" t="n"/>
      <c r="D424" s="32" t="n"/>
      <c r="E424" s="33" t="n">
        <v>-3.2055</v>
      </c>
      <c r="F424" t="inlineStr">
        <is>
          <t>Up</t>
        </is>
      </c>
      <c r="G424" t="inlineStr">
        <is>
          <t>Up</t>
        </is>
      </c>
      <c r="H424" t="inlineStr">
        <is>
          <t>EU_JU</t>
        </is>
      </c>
      <c r="I424" t="inlineStr">
        <is>
          <t>2007-12</t>
        </is>
      </c>
      <c r="J424" t="n">
        <v>1</v>
      </c>
      <c r="K424" t="n">
        <v>1</v>
      </c>
      <c r="L424" s="34">
        <f>IF($J424=1,LN(B425/B424),"")</f>
        <v/>
      </c>
      <c r="M424" s="34">
        <f>IF($K424=1,INDEX(Mensal!$D$2:$D$245,MATCH($I424,Mensal!$A$2:$A$245,0)),"")</f>
        <v/>
      </c>
      <c r="N424" s="34">
        <f>IF($K424=1,L424-M424,"")</f>
        <v/>
      </c>
      <c r="O424" s="34" t="n">
        <v>0.00041743</v>
      </c>
      <c r="P424" s="34">
        <f>IF($J424=1,LN(1+O424),"")</f>
        <v/>
      </c>
      <c r="Q424" s="34">
        <f>IF($J424=1,LN(R425/R424),"")</f>
        <v/>
      </c>
      <c r="R424" s="32" t="n">
        <v>1.8091</v>
      </c>
      <c r="S424" s="35" t="n">
        <v>11.894</v>
      </c>
      <c r="T424" s="18" t="n"/>
      <c r="U424" s="18" t="n">
        <v>61096</v>
      </c>
      <c r="V424" s="18" t="n"/>
      <c r="W424" s="18" t="n"/>
      <c r="X424" s="35" t="n">
        <v>11.894</v>
      </c>
      <c r="Y424" s="35" t="n"/>
    </row>
    <row r="425">
      <c r="A425" s="25" t="n">
        <v>39435</v>
      </c>
      <c r="B425" s="18" t="n">
        <v>61721</v>
      </c>
      <c r="C425" s="31" t="n"/>
      <c r="D425" s="32" t="n"/>
      <c r="E425" s="33" t="n">
        <v>-3.1113</v>
      </c>
      <c r="F425" t="inlineStr">
        <is>
          <t>Up</t>
        </is>
      </c>
      <c r="G425" t="inlineStr">
        <is>
          <t>Up</t>
        </is>
      </c>
      <c r="H425" t="inlineStr">
        <is>
          <t>EU_JU</t>
        </is>
      </c>
      <c r="I425" t="inlineStr">
        <is>
          <t>2007-12</t>
        </is>
      </c>
      <c r="J425" t="n">
        <v>1</v>
      </c>
      <c r="K425" t="n">
        <v>1</v>
      </c>
      <c r="L425" s="34">
        <f>IF($J425=1,LN(B426/B425),"")</f>
        <v/>
      </c>
      <c r="M425" s="34">
        <f>IF($K425=1,INDEX(Mensal!$D$2:$D$245,MATCH($I425,Mensal!$A$2:$A$245,0)),"")</f>
        <v/>
      </c>
      <c r="N425" s="34">
        <f>IF($K425=1,L425-M425,"")</f>
        <v/>
      </c>
      <c r="O425" s="34" t="n">
        <v>0.00041779</v>
      </c>
      <c r="P425" s="34">
        <f>IF($J425=1,LN(1+O425),"")</f>
        <v/>
      </c>
      <c r="Q425" s="34">
        <f>IF($J425=1,LN(R426/R425),"")</f>
        <v/>
      </c>
      <c r="R425" s="32" t="n">
        <v>1.8019</v>
      </c>
      <c r="S425" s="35" t="n">
        <v>11.849</v>
      </c>
      <c r="T425" s="18" t="n"/>
      <c r="U425" s="18" t="n">
        <v>61721</v>
      </c>
      <c r="V425" s="18" t="n"/>
      <c r="W425" s="18" t="n"/>
      <c r="X425" s="35" t="n">
        <v>11.849</v>
      </c>
      <c r="Y425" s="35" t="n"/>
    </row>
    <row r="426">
      <c r="A426" s="25" t="n">
        <v>39436</v>
      </c>
      <c r="B426" s="18" t="n">
        <v>61716</v>
      </c>
      <c r="C426" s="31" t="n"/>
      <c r="D426" s="32" t="n"/>
      <c r="E426" s="33" t="n">
        <v>-3.0243</v>
      </c>
      <c r="F426" t="inlineStr">
        <is>
          <t>Up</t>
        </is>
      </c>
      <c r="G426" t="inlineStr">
        <is>
          <t>Up</t>
        </is>
      </c>
      <c r="H426" t="inlineStr">
        <is>
          <t>EU_JU</t>
        </is>
      </c>
      <c r="I426" t="inlineStr">
        <is>
          <t>2007-12</t>
        </is>
      </c>
      <c r="J426" t="n">
        <v>1</v>
      </c>
      <c r="K426" t="n">
        <v>1</v>
      </c>
      <c r="L426" s="34">
        <f>IF($J426=1,LN(B427/B426),"")</f>
        <v/>
      </c>
      <c r="M426" s="34">
        <f>IF($K426=1,INDEX(Mensal!$D$2:$D$245,MATCH($I426,Mensal!$A$2:$A$245,0)),"")</f>
        <v/>
      </c>
      <c r="N426" s="34">
        <f>IF($K426=1,L426-M426,"")</f>
        <v/>
      </c>
      <c r="O426" s="34" t="n">
        <v>0.00041743</v>
      </c>
      <c r="P426" s="34">
        <f>IF($J426=1,LN(1+O426),"")</f>
        <v/>
      </c>
      <c r="Q426" s="34">
        <f>IF($J426=1,LN(R427/R426),"")</f>
        <v/>
      </c>
      <c r="R426" s="32" t="n">
        <v>1.8032</v>
      </c>
      <c r="S426" s="35" t="n">
        <v>11.999</v>
      </c>
      <c r="T426" s="18" t="n"/>
      <c r="U426" s="18" t="n">
        <v>61716</v>
      </c>
      <c r="V426" s="18" t="n"/>
      <c r="W426" s="18" t="n"/>
      <c r="X426" s="35" t="n">
        <v>11.999</v>
      </c>
      <c r="Y426" s="35" t="n"/>
    </row>
    <row r="427">
      <c r="A427" s="25" t="n">
        <v>39437</v>
      </c>
      <c r="B427" s="18" t="n">
        <v>63097</v>
      </c>
      <c r="C427" s="31" t="n"/>
      <c r="D427" s="32" t="n"/>
      <c r="E427" s="33" t="n">
        <v>-2.9333</v>
      </c>
      <c r="F427" t="inlineStr">
        <is>
          <t>Up</t>
        </is>
      </c>
      <c r="G427" t="inlineStr">
        <is>
          <t>Up</t>
        </is>
      </c>
      <c r="H427" t="inlineStr">
        <is>
          <t>EU_JU</t>
        </is>
      </c>
      <c r="I427" t="inlineStr">
        <is>
          <t>2007-12</t>
        </is>
      </c>
      <c r="J427" t="n">
        <v>1</v>
      </c>
      <c r="K427" t="n">
        <v>1</v>
      </c>
      <c r="L427" s="34">
        <f>IF($J427=1,LN(B428/B427),"")</f>
        <v/>
      </c>
      <c r="M427" s="34">
        <f>IF($K427=1,INDEX(Mensal!$D$2:$D$245,MATCH($I427,Mensal!$A$2:$A$245,0)),"")</f>
        <v/>
      </c>
      <c r="N427" s="34">
        <f>IF($K427=1,L427-M427,"")</f>
        <v/>
      </c>
      <c r="O427" s="34" t="n">
        <v>0.00041886</v>
      </c>
      <c r="P427" s="34">
        <f>IF($J427=1,LN(1+O427),"")</f>
        <v/>
      </c>
      <c r="Q427" s="34">
        <f>IF($J427=1,LN(R428/R427),"")</f>
        <v/>
      </c>
      <c r="R427" s="32" t="n">
        <v>1.7966</v>
      </c>
      <c r="S427" s="35" t="n">
        <v>12.037</v>
      </c>
      <c r="T427" s="18" t="n"/>
      <c r="U427" s="18" t="n">
        <v>63097</v>
      </c>
      <c r="V427" s="18" t="n"/>
      <c r="W427" s="18" t="n"/>
      <c r="X427" s="35" t="n">
        <v>12.037</v>
      </c>
      <c r="Y427" s="35" t="n"/>
    </row>
    <row r="428">
      <c r="A428" s="25" t="n">
        <v>39442</v>
      </c>
      <c r="B428" s="18" t="n">
        <v>64288</v>
      </c>
      <c r="C428" s="31" t="n"/>
      <c r="D428" s="32" t="n"/>
      <c r="E428" s="33" t="n">
        <v>-2.8304</v>
      </c>
      <c r="F428" t="inlineStr">
        <is>
          <t>Up</t>
        </is>
      </c>
      <c r="G428" t="inlineStr">
        <is>
          <t>Up</t>
        </is>
      </c>
      <c r="H428" t="inlineStr">
        <is>
          <t>EU_JU</t>
        </is>
      </c>
      <c r="I428" t="inlineStr">
        <is>
          <t>2007-12</t>
        </is>
      </c>
      <c r="J428" t="n">
        <v>1</v>
      </c>
      <c r="K428" t="n">
        <v>1</v>
      </c>
      <c r="L428" s="34">
        <f>IF($J428=1,LN(B429/B428),"")</f>
        <v/>
      </c>
      <c r="M428" s="34">
        <f>IF($K428=1,INDEX(Mensal!$D$2:$D$245,MATCH($I428,Mensal!$A$2:$A$245,0)),"")</f>
        <v/>
      </c>
      <c r="N428" s="34">
        <f>IF($K428=1,L428-M428,"")</f>
        <v/>
      </c>
      <c r="O428" s="34" t="n">
        <v>0.00041814</v>
      </c>
      <c r="P428" s="34">
        <f>IF($J428=1,LN(1+O428),"")</f>
        <v/>
      </c>
      <c r="Q428" s="34">
        <f>IF($J428=1,LN(R429/R428),"")</f>
        <v/>
      </c>
      <c r="R428" s="32" t="n">
        <v>1.7795</v>
      </c>
      <c r="S428" s="35" t="n">
        <v>12.119</v>
      </c>
      <c r="T428" s="18" t="n"/>
      <c r="U428" s="18" t="n">
        <v>64288</v>
      </c>
      <c r="V428" s="18" t="n"/>
      <c r="W428" s="18" t="n"/>
      <c r="X428" s="35" t="n">
        <v>12.119</v>
      </c>
      <c r="Y428" s="35" t="n"/>
    </row>
    <row r="429">
      <c r="A429" s="25" t="n">
        <v>39443</v>
      </c>
      <c r="B429" s="18" t="n">
        <v>63774</v>
      </c>
      <c r="C429" s="31" t="n"/>
      <c r="D429" s="32" t="n"/>
      <c r="E429" s="33" t="n">
        <v>-2.7222</v>
      </c>
      <c r="F429" t="inlineStr">
        <is>
          <t>Up</t>
        </is>
      </c>
      <c r="G429" t="inlineStr">
        <is>
          <t>Up</t>
        </is>
      </c>
      <c r="H429" t="inlineStr">
        <is>
          <t>EU_JU</t>
        </is>
      </c>
      <c r="I429" t="inlineStr">
        <is>
          <t>2007-12</t>
        </is>
      </c>
      <c r="J429" t="n">
        <v>1</v>
      </c>
      <c r="K429" t="n">
        <v>1</v>
      </c>
      <c r="L429" s="34">
        <f>IF($J429=1,LN(B430/B429),"")</f>
        <v/>
      </c>
      <c r="M429" s="34">
        <f>IF($K429=1,INDEX(Mensal!$D$2:$D$245,MATCH($I429,Mensal!$A$2:$A$245,0)),"")</f>
        <v/>
      </c>
      <c r="N429" s="34">
        <f>IF($K429=1,L429-M429,"")</f>
        <v/>
      </c>
      <c r="O429" s="34" t="n">
        <v>0.00041814</v>
      </c>
      <c r="P429" s="34">
        <f>IF($J429=1,LN(1+O429),"")</f>
        <v/>
      </c>
      <c r="Q429" s="34">
        <f>IF($J429=1,LN(R430/R429),"")</f>
        <v/>
      </c>
      <c r="R429" s="32" t="n">
        <v>1.7671</v>
      </c>
      <c r="S429" s="35" t="n">
        <v>12.055</v>
      </c>
      <c r="T429" s="18" t="n"/>
      <c r="U429" s="18" t="n">
        <v>63774</v>
      </c>
      <c r="V429" s="18" t="n"/>
      <c r="W429" s="18" t="n"/>
      <c r="X429" s="35" t="n">
        <v>12.055</v>
      </c>
      <c r="Y429" s="35" t="n"/>
    </row>
    <row r="430">
      <c r="A430" s="25" t="n">
        <v>39444</v>
      </c>
      <c r="B430" s="18" t="n">
        <v>63886</v>
      </c>
      <c r="C430" s="31" t="n"/>
      <c r="D430" s="32" t="n"/>
      <c r="E430" s="33" t="n">
        <v>-2.6199</v>
      </c>
      <c r="F430" t="inlineStr">
        <is>
          <t>Up</t>
        </is>
      </c>
      <c r="G430" t="inlineStr">
        <is>
          <t>Up</t>
        </is>
      </c>
      <c r="H430" t="inlineStr">
        <is>
          <t>EU_JU</t>
        </is>
      </c>
      <c r="I430" t="inlineStr">
        <is>
          <t>2007-12</t>
        </is>
      </c>
      <c r="J430" t="n">
        <v>1</v>
      </c>
      <c r="K430" t="n">
        <v>1</v>
      </c>
      <c r="L430" s="34">
        <f>IF($J430=1,LN(B431/B430),"")</f>
        <v/>
      </c>
      <c r="M430" s="34">
        <f>IF($K430=1,INDEX(Mensal!$D$2:$D$245,MATCH($I430,Mensal!$A$2:$A$245,0)),"")</f>
        <v/>
      </c>
      <c r="N430" s="34">
        <f>IF($K430=1,L430-M430,"")</f>
        <v/>
      </c>
      <c r="O430" s="34" t="n">
        <v>0.0004185</v>
      </c>
      <c r="P430" s="34">
        <f>IF($J430=1,LN(1+O430),"")</f>
        <v/>
      </c>
      <c r="Q430" s="34">
        <f>IF($J430=1,LN(R431/R430),"")</f>
        <v/>
      </c>
      <c r="R430" s="32" t="n">
        <v>1.7713</v>
      </c>
      <c r="S430" s="35" t="n">
        <v>12.052</v>
      </c>
      <c r="T430" s="18" t="n"/>
      <c r="U430" s="18" t="n">
        <v>63886</v>
      </c>
      <c r="V430" s="18" t="n"/>
      <c r="W430" s="18" t="n"/>
      <c r="X430" s="35" t="n">
        <v>12.052</v>
      </c>
      <c r="Y430" s="35" t="n"/>
    </row>
    <row r="431">
      <c r="A431" s="25" t="n">
        <v>39449</v>
      </c>
      <c r="B431" s="18" t="n">
        <v>62815</v>
      </c>
      <c r="C431" s="31" t="n"/>
      <c r="D431" s="32" t="n"/>
      <c r="E431" s="33" t="n">
        <v>-2.5061</v>
      </c>
      <c r="F431" t="inlineStr">
        <is>
          <t>Down</t>
        </is>
      </c>
      <c r="G431" t="inlineStr">
        <is>
          <t>Up</t>
        </is>
      </c>
      <c r="H431" t="inlineStr">
        <is>
          <t>ED_JU</t>
        </is>
      </c>
      <c r="I431" t="inlineStr">
        <is>
          <t>2008-01</t>
        </is>
      </c>
      <c r="J431" t="n">
        <v>1</v>
      </c>
      <c r="K431" t="n">
        <v>1</v>
      </c>
      <c r="L431" s="34">
        <f>IF($J431=1,LN(B432/B431),"")</f>
        <v/>
      </c>
      <c r="M431" s="34">
        <f>IF($K431=1,INDEX(Mensal!$D$2:$D$245,MATCH($I431,Mensal!$A$2:$A$245,0)),"")</f>
        <v/>
      </c>
      <c r="N431" s="34">
        <f>IF($K431=1,L431-M431,"")</f>
        <v/>
      </c>
      <c r="O431" s="34" t="n">
        <v>0.00041743</v>
      </c>
      <c r="P431" s="34">
        <f>IF($J431=1,LN(1+O431),"")</f>
        <v/>
      </c>
      <c r="Q431" s="34">
        <f>IF($J431=1,LN(R432/R431),"")</f>
        <v/>
      </c>
      <c r="R431" s="32" t="n">
        <v>1.7722</v>
      </c>
      <c r="S431" s="35" t="n">
        <v>12.02</v>
      </c>
      <c r="T431" s="18" t="n"/>
      <c r="U431" s="18" t="n"/>
      <c r="V431" s="18" t="n"/>
      <c r="W431" s="18" t="n">
        <v>62815</v>
      </c>
      <c r="X431" s="35" t="n">
        <v>12.02</v>
      </c>
      <c r="Y431" s="35" t="n"/>
    </row>
    <row r="432">
      <c r="A432" s="25" t="n">
        <v>39450</v>
      </c>
      <c r="B432" s="18" t="n">
        <v>62891</v>
      </c>
      <c r="C432" s="31" t="n"/>
      <c r="D432" s="32" t="n"/>
      <c r="E432" s="33" t="n">
        <v>-2.3782</v>
      </c>
      <c r="F432" t="inlineStr">
        <is>
          <t>Down</t>
        </is>
      </c>
      <c r="G432" t="inlineStr">
        <is>
          <t>Up</t>
        </is>
      </c>
      <c r="H432" t="inlineStr">
        <is>
          <t>ED_JU</t>
        </is>
      </c>
      <c r="I432" t="inlineStr">
        <is>
          <t>2008-01</t>
        </is>
      </c>
      <c r="J432" t="n">
        <v>1</v>
      </c>
      <c r="K432" t="n">
        <v>1</v>
      </c>
      <c r="L432" s="34">
        <f>IF($J432=1,LN(B433/B432),"")</f>
        <v/>
      </c>
      <c r="M432" s="34">
        <f>IF($K432=1,INDEX(Mensal!$D$2:$D$245,MATCH($I432,Mensal!$A$2:$A$245,0)),"")</f>
        <v/>
      </c>
      <c r="N432" s="34">
        <f>IF($K432=1,L432-M432,"")</f>
        <v/>
      </c>
      <c r="O432" s="34" t="n">
        <v>0.00041743</v>
      </c>
      <c r="P432" s="34">
        <f>IF($J432=1,LN(1+O432),"")</f>
        <v/>
      </c>
      <c r="Q432" s="34">
        <f>IF($J432=1,LN(R433/R432),"")</f>
        <v/>
      </c>
      <c r="R432" s="32" t="n">
        <v>1.7569</v>
      </c>
      <c r="S432" s="35" t="n">
        <v>11.94</v>
      </c>
      <c r="T432" s="18" t="n"/>
      <c r="U432" s="18" t="n"/>
      <c r="V432" s="18" t="n"/>
      <c r="W432" s="18" t="n">
        <v>62891</v>
      </c>
      <c r="X432" s="35" t="n">
        <v>11.94</v>
      </c>
      <c r="Y432" s="35" t="n"/>
    </row>
    <row r="433">
      <c r="A433" s="25" t="n">
        <v>39451</v>
      </c>
      <c r="B433" s="18" t="n">
        <v>61036</v>
      </c>
      <c r="C433" s="31" t="n"/>
      <c r="D433" s="32" t="n"/>
      <c r="E433" s="33" t="n">
        <v>-2.2417</v>
      </c>
      <c r="F433" t="inlineStr">
        <is>
          <t>Down</t>
        </is>
      </c>
      <c r="G433" t="inlineStr">
        <is>
          <t>Up</t>
        </is>
      </c>
      <c r="H433" t="inlineStr">
        <is>
          <t>ED_JU</t>
        </is>
      </c>
      <c r="I433" t="inlineStr">
        <is>
          <t>2008-01</t>
        </is>
      </c>
      <c r="J433" t="n">
        <v>1</v>
      </c>
      <c r="K433" t="n">
        <v>1</v>
      </c>
      <c r="L433" s="34">
        <f>IF($J433=1,LN(B434/B433),"")</f>
        <v/>
      </c>
      <c r="M433" s="34">
        <f>IF($K433=1,INDEX(Mensal!$D$2:$D$245,MATCH($I433,Mensal!$A$2:$A$245,0)),"")</f>
        <v/>
      </c>
      <c r="N433" s="34">
        <f>IF($K433=1,L433-M433,"")</f>
        <v/>
      </c>
      <c r="O433" s="34" t="n">
        <v>0.0004156399999999999</v>
      </c>
      <c r="P433" s="34">
        <f>IF($J433=1,LN(1+O433),"")</f>
        <v/>
      </c>
      <c r="Q433" s="34">
        <f>IF($J433=1,LN(R434/R433),"")</f>
        <v/>
      </c>
      <c r="R433" s="32" t="n">
        <v>1.7574</v>
      </c>
      <c r="S433" s="35" t="n">
        <v>12.036</v>
      </c>
      <c r="T433" s="18" t="n"/>
      <c r="U433" s="18" t="n"/>
      <c r="V433" s="18" t="n"/>
      <c r="W433" s="18" t="n">
        <v>61036</v>
      </c>
      <c r="X433" s="35" t="n">
        <v>12.036</v>
      </c>
      <c r="Y433" s="35" t="n"/>
    </row>
    <row r="434">
      <c r="A434" s="25" t="n">
        <v>39454</v>
      </c>
      <c r="B434" s="18" t="n">
        <v>60772</v>
      </c>
      <c r="C434" s="31" t="n"/>
      <c r="D434" s="32" t="n"/>
      <c r="E434" s="33" t="n">
        <v>-2.0877</v>
      </c>
      <c r="F434" t="inlineStr">
        <is>
          <t>Down</t>
        </is>
      </c>
      <c r="G434" t="inlineStr">
        <is>
          <t>Up</t>
        </is>
      </c>
      <c r="H434" t="inlineStr">
        <is>
          <t>ED_JU</t>
        </is>
      </c>
      <c r="I434" t="inlineStr">
        <is>
          <t>2008-01</t>
        </is>
      </c>
      <c r="J434" t="n">
        <v>1</v>
      </c>
      <c r="K434" t="n">
        <v>1</v>
      </c>
      <c r="L434" s="34">
        <f>IF($J434=1,LN(B435/B434),"")</f>
        <v/>
      </c>
      <c r="M434" s="34">
        <f>IF($K434=1,INDEX(Mensal!$D$2:$D$245,MATCH($I434,Mensal!$A$2:$A$245,0)),"")</f>
        <v/>
      </c>
      <c r="N434" s="34">
        <f>IF($K434=1,L434-M434,"")</f>
        <v/>
      </c>
      <c r="O434" s="34" t="n">
        <v>0.00041707</v>
      </c>
      <c r="P434" s="34">
        <f>IF($J434=1,LN(1+O434),"")</f>
        <v/>
      </c>
      <c r="Q434" s="34">
        <f>IF($J434=1,LN(R435/R434),"")</f>
        <v/>
      </c>
      <c r="R434" s="32" t="n">
        <v>1.7675</v>
      </c>
      <c r="S434" s="35" t="n">
        <v>12.073</v>
      </c>
      <c r="T434" s="18" t="n"/>
      <c r="U434" s="18" t="n"/>
      <c r="V434" s="18" t="n"/>
      <c r="W434" s="18" t="n">
        <v>60772</v>
      </c>
      <c r="X434" s="35" t="n">
        <v>12.073</v>
      </c>
      <c r="Y434" s="35" t="n"/>
    </row>
    <row r="435">
      <c r="A435" s="25" t="n">
        <v>39455</v>
      </c>
      <c r="B435" s="18" t="n">
        <v>62080</v>
      </c>
      <c r="C435" s="31" t="n"/>
      <c r="D435" s="32" t="n"/>
      <c r="E435" s="33" t="n">
        <v>-1.9304</v>
      </c>
      <c r="F435" t="inlineStr">
        <is>
          <t>Down</t>
        </is>
      </c>
      <c r="G435" t="inlineStr">
        <is>
          <t>Up</t>
        </is>
      </c>
      <c r="H435" t="inlineStr">
        <is>
          <t>ED_JU</t>
        </is>
      </c>
      <c r="I435" t="inlineStr">
        <is>
          <t>2008-01</t>
        </is>
      </c>
      <c r="J435" t="n">
        <v>1</v>
      </c>
      <c r="K435" t="n">
        <v>1</v>
      </c>
      <c r="L435" s="34">
        <f>IF($J435=1,LN(B436/B435),"")</f>
        <v/>
      </c>
      <c r="M435" s="34">
        <f>IF($K435=1,INDEX(Mensal!$D$2:$D$245,MATCH($I435,Mensal!$A$2:$A$245,0)),"")</f>
        <v/>
      </c>
      <c r="N435" s="34">
        <f>IF($K435=1,L435-M435,"")</f>
        <v/>
      </c>
      <c r="O435" s="34" t="n">
        <v>0.00041743</v>
      </c>
      <c r="P435" s="34">
        <f>IF($J435=1,LN(1+O435),"")</f>
        <v/>
      </c>
      <c r="Q435" s="34">
        <f>IF($J435=1,LN(R436/R435),"")</f>
        <v/>
      </c>
      <c r="R435" s="32" t="n">
        <v>1.7554</v>
      </c>
      <c r="S435" s="35" t="n">
        <v>12.03</v>
      </c>
      <c r="T435" s="18" t="n"/>
      <c r="U435" s="18" t="n"/>
      <c r="V435" s="18" t="n"/>
      <c r="W435" s="18" t="n">
        <v>62080</v>
      </c>
      <c r="X435" s="35" t="n">
        <v>12.03</v>
      </c>
      <c r="Y435" s="35" t="n"/>
    </row>
    <row r="436">
      <c r="A436" s="25" t="n">
        <v>39456</v>
      </c>
      <c r="B436" s="18" t="n">
        <v>62673</v>
      </c>
      <c r="C436" s="31" t="n"/>
      <c r="D436" s="32" t="n"/>
      <c r="E436" s="33" t="n">
        <v>-1.7665</v>
      </c>
      <c r="F436" t="inlineStr">
        <is>
          <t>Down</t>
        </is>
      </c>
      <c r="G436" t="inlineStr">
        <is>
          <t>Up</t>
        </is>
      </c>
      <c r="H436" t="inlineStr">
        <is>
          <t>ED_JU</t>
        </is>
      </c>
      <c r="I436" t="inlineStr">
        <is>
          <t>2008-01</t>
        </is>
      </c>
      <c r="J436" t="n">
        <v>1</v>
      </c>
      <c r="K436" t="n">
        <v>1</v>
      </c>
      <c r="L436" s="34">
        <f>IF($J436=1,LN(B437/B436),"")</f>
        <v/>
      </c>
      <c r="M436" s="34">
        <f>IF($K436=1,INDEX(Mensal!$D$2:$D$245,MATCH($I436,Mensal!$A$2:$A$245,0)),"")</f>
        <v/>
      </c>
      <c r="N436" s="34">
        <f>IF($K436=1,L436-M436,"")</f>
        <v/>
      </c>
      <c r="O436" s="34" t="n">
        <v>0.00041779</v>
      </c>
      <c r="P436" s="34">
        <f>IF($J436=1,LN(1+O436),"")</f>
        <v/>
      </c>
      <c r="Q436" s="34">
        <f>IF($J436=1,LN(R437/R436),"")</f>
        <v/>
      </c>
      <c r="R436" s="32" t="n">
        <v>1.7691</v>
      </c>
      <c r="S436" s="35" t="n">
        <v>12.06</v>
      </c>
      <c r="T436" s="18" t="n"/>
      <c r="U436" s="18" t="n"/>
      <c r="V436" s="18" t="n"/>
      <c r="W436" s="18" t="n">
        <v>62673</v>
      </c>
      <c r="X436" s="35" t="n">
        <v>12.06</v>
      </c>
      <c r="Y436" s="35" t="n"/>
    </row>
    <row r="437">
      <c r="A437" s="25" t="n">
        <v>39457</v>
      </c>
      <c r="B437" s="18" t="n">
        <v>63515</v>
      </c>
      <c r="C437" s="31" t="n"/>
      <c r="D437" s="32" t="n"/>
      <c r="E437" s="33" t="n">
        <v>-1.5954</v>
      </c>
      <c r="F437" t="inlineStr">
        <is>
          <t>Down</t>
        </is>
      </c>
      <c r="G437" t="inlineStr">
        <is>
          <t>Up</t>
        </is>
      </c>
      <c r="H437" t="inlineStr">
        <is>
          <t>ED_JU</t>
        </is>
      </c>
      <c r="I437" t="inlineStr">
        <is>
          <t>2008-01</t>
        </is>
      </c>
      <c r="J437" t="n">
        <v>1</v>
      </c>
      <c r="K437" t="n">
        <v>1</v>
      </c>
      <c r="L437" s="34">
        <f>IF($J437=1,LN(B438/B437),"")</f>
        <v/>
      </c>
      <c r="M437" s="34">
        <f>IF($K437=1,INDEX(Mensal!$D$2:$D$245,MATCH($I437,Mensal!$A$2:$A$245,0)),"")</f>
        <v/>
      </c>
      <c r="N437" s="34">
        <f>IF($K437=1,L437-M437,"")</f>
        <v/>
      </c>
      <c r="O437" s="34" t="n">
        <v>0.00041814</v>
      </c>
      <c r="P437" s="34">
        <f>IF($J437=1,LN(1+O437),"")</f>
        <v/>
      </c>
      <c r="Q437" s="34">
        <f>IF($J437=1,LN(R438/R437),"")</f>
        <v/>
      </c>
      <c r="R437" s="32" t="n">
        <v>1.7628</v>
      </c>
      <c r="S437" s="35" t="n">
        <v>12.106</v>
      </c>
      <c r="T437" s="18" t="n"/>
      <c r="U437" s="18" t="n"/>
      <c r="V437" s="18" t="n"/>
      <c r="W437" s="18" t="n">
        <v>63515</v>
      </c>
      <c r="X437" s="35" t="n">
        <v>12.106</v>
      </c>
      <c r="Y437" s="35" t="n"/>
    </row>
    <row r="438">
      <c r="A438" s="25" t="n">
        <v>39458</v>
      </c>
      <c r="B438" s="18" t="n">
        <v>61942</v>
      </c>
      <c r="C438" s="31" t="n"/>
      <c r="D438" s="32" t="n"/>
      <c r="E438" s="33" t="n">
        <v>-1.4076</v>
      </c>
      <c r="F438" t="inlineStr">
        <is>
          <t>Down</t>
        </is>
      </c>
      <c r="G438" t="inlineStr">
        <is>
          <t>Up</t>
        </is>
      </c>
      <c r="H438" t="inlineStr">
        <is>
          <t>ED_JU</t>
        </is>
      </c>
      <c r="I438" t="inlineStr">
        <is>
          <t>2008-01</t>
        </is>
      </c>
      <c r="J438" t="n">
        <v>1</v>
      </c>
      <c r="K438" t="n">
        <v>1</v>
      </c>
      <c r="L438" s="34">
        <f>IF($J438=1,LN(B439/B438),"")</f>
        <v/>
      </c>
      <c r="M438" s="34">
        <f>IF($K438=1,INDEX(Mensal!$D$2:$D$245,MATCH($I438,Mensal!$A$2:$A$245,0)),"")</f>
        <v/>
      </c>
      <c r="N438" s="34">
        <f>IF($K438=1,L438-M438,"")</f>
        <v/>
      </c>
      <c r="O438" s="34" t="n">
        <v>0.00041743</v>
      </c>
      <c r="P438" s="34">
        <f>IF($J438=1,LN(1+O438),"")</f>
        <v/>
      </c>
      <c r="Q438" s="34">
        <f>IF($J438=1,LN(R439/R438),"")</f>
        <v/>
      </c>
      <c r="R438" s="32" t="n">
        <v>1.7536</v>
      </c>
      <c r="S438" s="35" t="n">
        <v>12.033</v>
      </c>
      <c r="T438" s="18" t="n"/>
      <c r="U438" s="18" t="n"/>
      <c r="V438" s="18" t="n"/>
      <c r="W438" s="18" t="n">
        <v>61942</v>
      </c>
      <c r="X438" s="35" t="n">
        <v>12.033</v>
      </c>
      <c r="Y438" s="35" t="n"/>
    </row>
    <row r="439">
      <c r="A439" s="25" t="n">
        <v>39461</v>
      </c>
      <c r="B439" s="18" t="n">
        <v>62187</v>
      </c>
      <c r="C439" s="31" t="n"/>
      <c r="D439" s="32" t="n"/>
      <c r="E439" s="33" t="n">
        <v>-1.2091</v>
      </c>
      <c r="F439" t="inlineStr">
        <is>
          <t>Down</t>
        </is>
      </c>
      <c r="G439" t="inlineStr">
        <is>
          <t>Up</t>
        </is>
      </c>
      <c r="H439" t="inlineStr">
        <is>
          <t>ED_JU</t>
        </is>
      </c>
      <c r="I439" t="inlineStr">
        <is>
          <t>2008-01</t>
        </is>
      </c>
      <c r="J439" t="n">
        <v>1</v>
      </c>
      <c r="K439" t="n">
        <v>1</v>
      </c>
      <c r="L439" s="34">
        <f>IF($J439=1,LN(B440/B439),"")</f>
        <v/>
      </c>
      <c r="M439" s="34">
        <f>IF($K439=1,INDEX(Mensal!$D$2:$D$245,MATCH($I439,Mensal!$A$2:$A$245,0)),"")</f>
        <v/>
      </c>
      <c r="N439" s="34">
        <f>IF($K439=1,L439-M439,"")</f>
        <v/>
      </c>
      <c r="O439" s="34" t="n">
        <v>0.00041743</v>
      </c>
      <c r="P439" s="34">
        <f>IF($J439=1,LN(1+O439),"")</f>
        <v/>
      </c>
      <c r="Q439" s="34">
        <f>IF($J439=1,LN(R440/R439),"")</f>
        <v/>
      </c>
      <c r="R439" s="32" t="n">
        <v>1.7414</v>
      </c>
      <c r="S439" s="35" t="n">
        <v>12.049</v>
      </c>
      <c r="T439" s="18" t="n"/>
      <c r="U439" s="18" t="n"/>
      <c r="V439" s="18" t="n"/>
      <c r="W439" s="18" t="n">
        <v>62187</v>
      </c>
      <c r="X439" s="35" t="n">
        <v>12.049</v>
      </c>
      <c r="Y439" s="35" t="n"/>
    </row>
    <row r="440">
      <c r="A440" s="25" t="n">
        <v>39462</v>
      </c>
      <c r="B440" s="18" t="n">
        <v>59907</v>
      </c>
      <c r="C440" s="31" t="n"/>
      <c r="D440" s="32" t="n"/>
      <c r="E440" s="33" t="n">
        <v>-1.0017</v>
      </c>
      <c r="F440" t="inlineStr">
        <is>
          <t>Down</t>
        </is>
      </c>
      <c r="G440" t="inlineStr">
        <is>
          <t>Up</t>
        </is>
      </c>
      <c r="H440" t="inlineStr">
        <is>
          <t>ED_JU</t>
        </is>
      </c>
      <c r="I440" t="inlineStr">
        <is>
          <t>2008-01</t>
        </is>
      </c>
      <c r="J440" t="n">
        <v>1</v>
      </c>
      <c r="K440" t="n">
        <v>1</v>
      </c>
      <c r="L440" s="34">
        <f>IF($J440=1,LN(B441/B440),"")</f>
        <v/>
      </c>
      <c r="M440" s="34">
        <f>IF($K440=1,INDEX(Mensal!$D$2:$D$245,MATCH($I440,Mensal!$A$2:$A$245,0)),"")</f>
        <v/>
      </c>
      <c r="N440" s="34">
        <f>IF($K440=1,L440-M440,"")</f>
        <v/>
      </c>
      <c r="O440" s="34" t="n">
        <v>0.00041707</v>
      </c>
      <c r="P440" s="34">
        <f>IF($J440=1,LN(1+O440),"")</f>
        <v/>
      </c>
      <c r="Q440" s="34">
        <f>IF($J440=1,LN(R441/R440),"")</f>
        <v/>
      </c>
      <c r="R440" s="32" t="n">
        <v>1.745</v>
      </c>
      <c r="S440" s="35" t="n">
        <v>11.998</v>
      </c>
      <c r="T440" s="18" t="n"/>
      <c r="U440" s="18" t="n"/>
      <c r="V440" s="18" t="n"/>
      <c r="W440" s="18" t="n">
        <v>59907</v>
      </c>
      <c r="X440" s="35" t="n">
        <v>11.998</v>
      </c>
      <c r="Y440" s="35" t="n"/>
    </row>
    <row r="441">
      <c r="A441" s="25" t="n">
        <v>39463</v>
      </c>
      <c r="B441" s="18" t="n">
        <v>58777</v>
      </c>
      <c r="C441" s="31" t="n"/>
      <c r="D441" s="32" t="n"/>
      <c r="E441" s="33" t="n">
        <v>-0.7825</v>
      </c>
      <c r="F441" t="inlineStr">
        <is>
          <t>Down</t>
        </is>
      </c>
      <c r="G441" t="inlineStr">
        <is>
          <t>Up</t>
        </is>
      </c>
      <c r="H441" t="inlineStr">
        <is>
          <t>ED_JU</t>
        </is>
      </c>
      <c r="I441" t="inlineStr">
        <is>
          <t>2008-01</t>
        </is>
      </c>
      <c r="J441" t="n">
        <v>1</v>
      </c>
      <c r="K441" t="n">
        <v>1</v>
      </c>
      <c r="L441" s="34">
        <f>IF($J441=1,LN(B442/B441),"")</f>
        <v/>
      </c>
      <c r="M441" s="34">
        <f>IF($K441=1,INDEX(Mensal!$D$2:$D$245,MATCH($I441,Mensal!$A$2:$A$245,0)),"")</f>
        <v/>
      </c>
      <c r="N441" s="34">
        <f>IF($K441=1,L441-M441,"")</f>
        <v/>
      </c>
      <c r="O441" s="34" t="n">
        <v>0.00041707</v>
      </c>
      <c r="P441" s="34">
        <f>IF($J441=1,LN(1+O441),"")</f>
        <v/>
      </c>
      <c r="Q441" s="34">
        <f>IF($J441=1,LN(R442/R441),"")</f>
        <v/>
      </c>
      <c r="R441" s="32" t="n">
        <v>1.763</v>
      </c>
      <c r="S441" s="35" t="n">
        <v>12.015</v>
      </c>
      <c r="T441" s="18" t="n"/>
      <c r="U441" s="18" t="n"/>
      <c r="V441" s="18" t="n"/>
      <c r="W441" s="18" t="n">
        <v>58777</v>
      </c>
      <c r="X441" s="35" t="n">
        <v>12.015</v>
      </c>
      <c r="Y441" s="35" t="n"/>
    </row>
    <row r="442">
      <c r="A442" s="25" t="n">
        <v>39464</v>
      </c>
      <c r="B442" s="18" t="n">
        <v>57036</v>
      </c>
      <c r="C442" s="31" t="n"/>
      <c r="D442" s="32" t="n"/>
      <c r="E442" s="33" t="n">
        <v>-0.5545</v>
      </c>
      <c r="F442" t="inlineStr">
        <is>
          <t>Down</t>
        </is>
      </c>
      <c r="G442" t="inlineStr">
        <is>
          <t>Up</t>
        </is>
      </c>
      <c r="H442" t="inlineStr">
        <is>
          <t>ED_JU</t>
        </is>
      </c>
      <c r="I442" t="inlineStr">
        <is>
          <t>2008-01</t>
        </is>
      </c>
      <c r="J442" t="n">
        <v>1</v>
      </c>
      <c r="K442" t="n">
        <v>1</v>
      </c>
      <c r="L442" s="34">
        <f>IF($J442=1,LN(B443/B442),"")</f>
        <v/>
      </c>
      <c r="M442" s="34">
        <f>IF($K442=1,INDEX(Mensal!$D$2:$D$245,MATCH($I442,Mensal!$A$2:$A$245,0)),"")</f>
        <v/>
      </c>
      <c r="N442" s="34">
        <f>IF($K442=1,L442-M442,"")</f>
        <v/>
      </c>
      <c r="O442" s="34" t="n">
        <v>0.00041672</v>
      </c>
      <c r="P442" s="34">
        <f>IF($J442=1,LN(1+O442),"")</f>
        <v/>
      </c>
      <c r="Q442" s="34">
        <f>IF($J442=1,LN(R443/R442),"")</f>
        <v/>
      </c>
      <c r="R442" s="32" t="n">
        <v>1.7687</v>
      </c>
      <c r="S442" s="35" t="n">
        <v>11.998</v>
      </c>
      <c r="T442" s="18" t="n"/>
      <c r="U442" s="18" t="n"/>
      <c r="V442" s="18" t="n"/>
      <c r="W442" s="18" t="n">
        <v>57036</v>
      </c>
      <c r="X442" s="35" t="n">
        <v>11.998</v>
      </c>
      <c r="Y442" s="35" t="n"/>
    </row>
    <row r="443">
      <c r="A443" s="25" t="n">
        <v>39465</v>
      </c>
      <c r="B443" s="18" t="n">
        <v>57506</v>
      </c>
      <c r="C443" s="31" t="n"/>
      <c r="D443" s="32" t="n"/>
      <c r="E443" s="33" t="n">
        <v>-0.3122</v>
      </c>
      <c r="F443" t="inlineStr">
        <is>
          <t>Down</t>
        </is>
      </c>
      <c r="G443" t="inlineStr">
        <is>
          <t>Up</t>
        </is>
      </c>
      <c r="H443" t="inlineStr">
        <is>
          <t>ED_JU</t>
        </is>
      </c>
      <c r="I443" t="inlineStr">
        <is>
          <t>2008-01</t>
        </is>
      </c>
      <c r="J443" t="n">
        <v>1</v>
      </c>
      <c r="K443" t="n">
        <v>1</v>
      </c>
      <c r="L443" s="34">
        <f>IF($J443=1,LN(B444/B443),"")</f>
        <v/>
      </c>
      <c r="M443" s="34">
        <f>IF($K443=1,INDEX(Mensal!$D$2:$D$245,MATCH($I443,Mensal!$A$2:$A$245,0)),"")</f>
        <v/>
      </c>
      <c r="N443" s="34">
        <f>IF($K443=1,L443-M443,"")</f>
        <v/>
      </c>
      <c r="O443" s="34" t="n">
        <v>0.00041672</v>
      </c>
      <c r="P443" s="34">
        <f>IF($J443=1,LN(1+O443),"")</f>
        <v/>
      </c>
      <c r="Q443" s="34">
        <f>IF($J443=1,LN(R444/R443),"")</f>
        <v/>
      </c>
      <c r="R443" s="32" t="n">
        <v>1.785</v>
      </c>
      <c r="S443" s="35" t="n">
        <v>11.953</v>
      </c>
      <c r="T443" s="18" t="n"/>
      <c r="U443" s="18" t="n"/>
      <c r="V443" s="18" t="n"/>
      <c r="W443" s="18" t="n">
        <v>57506</v>
      </c>
      <c r="X443" s="35" t="n">
        <v>11.953</v>
      </c>
      <c r="Y443" s="35" t="n"/>
    </row>
    <row r="444">
      <c r="A444" s="25" t="n">
        <v>39468</v>
      </c>
      <c r="B444" s="18" t="n">
        <v>53709</v>
      </c>
      <c r="C444" s="31" t="n"/>
      <c r="D444" s="32" t="n"/>
      <c r="E444" s="33" t="n">
        <v>-0.0572</v>
      </c>
      <c r="F444" t="inlineStr">
        <is>
          <t>Down</t>
        </is>
      </c>
      <c r="G444" t="inlineStr">
        <is>
          <t>Up</t>
        </is>
      </c>
      <c r="H444" t="inlineStr">
        <is>
          <t>ED_JU</t>
        </is>
      </c>
      <c r="I444" t="inlineStr">
        <is>
          <t>2008-01</t>
        </is>
      </c>
      <c r="J444" t="n">
        <v>1</v>
      </c>
      <c r="K444" t="n">
        <v>1</v>
      </c>
      <c r="L444" s="34">
        <f>IF($J444=1,LN(B445/B444),"")</f>
        <v/>
      </c>
      <c r="M444" s="34">
        <f>IF($K444=1,INDEX(Mensal!$D$2:$D$245,MATCH($I444,Mensal!$A$2:$A$245,0)),"")</f>
        <v/>
      </c>
      <c r="N444" s="34">
        <f>IF($K444=1,L444-M444,"")</f>
        <v/>
      </c>
      <c r="O444" s="34" t="n">
        <v>0.00041707</v>
      </c>
      <c r="P444" s="34">
        <f>IF($J444=1,LN(1+O444),"")</f>
        <v/>
      </c>
      <c r="Q444" s="34">
        <f>IF($J444=1,LN(R445/R444),"")</f>
        <v/>
      </c>
      <c r="R444" s="32" t="n">
        <v>1.8301</v>
      </c>
      <c r="S444" s="35" t="n">
        <v>12.103</v>
      </c>
      <c r="T444" s="18" t="n"/>
      <c r="U444" s="18" t="n"/>
      <c r="V444" s="18" t="n"/>
      <c r="W444" s="18" t="n">
        <v>53709</v>
      </c>
      <c r="X444" s="35" t="n">
        <v>12.103</v>
      </c>
      <c r="Y444" s="35" t="n"/>
    </row>
    <row r="445">
      <c r="A445" s="25" t="n">
        <v>39469</v>
      </c>
      <c r="B445" s="18" t="n">
        <v>56097</v>
      </c>
      <c r="C445" s="31" t="n"/>
      <c r="D445" s="32" t="n"/>
      <c r="E445" s="33" t="n">
        <v>0.2035</v>
      </c>
      <c r="F445" t="inlineStr">
        <is>
          <t>Down</t>
        </is>
      </c>
      <c r="G445" t="inlineStr">
        <is>
          <t>Up</t>
        </is>
      </c>
      <c r="H445" t="inlineStr">
        <is>
          <t>ED_JU</t>
        </is>
      </c>
      <c r="I445" t="inlineStr">
        <is>
          <t>2008-01</t>
        </is>
      </c>
      <c r="J445" t="n">
        <v>1</v>
      </c>
      <c r="K445" t="n">
        <v>1</v>
      </c>
      <c r="L445" s="34">
        <f>IF($J445=1,LN(B446/B445),"")</f>
        <v/>
      </c>
      <c r="M445" s="34">
        <f>IF($K445=1,INDEX(Mensal!$D$2:$D$245,MATCH($I445,Mensal!$A$2:$A$245,0)),"")</f>
        <v/>
      </c>
      <c r="N445" s="34">
        <f>IF($K445=1,L445-M445,"")</f>
        <v/>
      </c>
      <c r="O445" s="34" t="n">
        <v>0.00041707</v>
      </c>
      <c r="P445" s="34">
        <f>IF($J445=1,LN(1+O445),"")</f>
        <v/>
      </c>
      <c r="Q445" s="34">
        <f>IF($J445=1,LN(R446/R445),"")</f>
        <v/>
      </c>
      <c r="R445" s="32" t="n">
        <v>1.8041</v>
      </c>
      <c r="S445" s="35" t="n">
        <v>12.033</v>
      </c>
      <c r="T445" s="18" t="n"/>
      <c r="U445" s="18" t="n"/>
      <c r="V445" s="18" t="n"/>
      <c r="W445" s="18" t="n">
        <v>56097</v>
      </c>
      <c r="X445" s="35" t="n">
        <v>12.033</v>
      </c>
      <c r="Y445" s="35" t="n"/>
    </row>
    <row r="446">
      <c r="A446" s="25" t="n">
        <v>39470</v>
      </c>
      <c r="B446" s="18" t="n">
        <v>54234</v>
      </c>
      <c r="C446" s="31" t="n"/>
      <c r="D446" s="32" t="n"/>
      <c r="E446" s="33" t="n">
        <v>0.4764</v>
      </c>
      <c r="F446" t="inlineStr">
        <is>
          <t>Down</t>
        </is>
      </c>
      <c r="G446" t="inlineStr">
        <is>
          <t>Up</t>
        </is>
      </c>
      <c r="H446" t="inlineStr">
        <is>
          <t>ED_JU</t>
        </is>
      </c>
      <c r="I446" t="inlineStr">
        <is>
          <t>2008-01</t>
        </is>
      </c>
      <c r="J446" t="n">
        <v>1</v>
      </c>
      <c r="K446" t="n">
        <v>1</v>
      </c>
      <c r="L446" s="34">
        <f>IF($J446=1,LN(B447/B446),"")</f>
        <v/>
      </c>
      <c r="M446" s="34">
        <f>IF($K446=1,INDEX(Mensal!$D$2:$D$245,MATCH($I446,Mensal!$A$2:$A$245,0)),"")</f>
        <v/>
      </c>
      <c r="N446" s="34">
        <f>IF($K446=1,L446-M446,"")</f>
        <v/>
      </c>
      <c r="O446" s="34" t="n">
        <v>0.00041707</v>
      </c>
      <c r="P446" s="34">
        <f>IF($J446=1,LN(1+O446),"")</f>
        <v/>
      </c>
      <c r="Q446" s="34">
        <f>IF($J446=1,LN(R447/R446),"")</f>
        <v/>
      </c>
      <c r="R446" s="32" t="n">
        <v>1.8147</v>
      </c>
      <c r="S446" s="35" t="n">
        <v>12.041</v>
      </c>
      <c r="T446" s="18" t="n"/>
      <c r="U446" s="18" t="n"/>
      <c r="V446" s="18" t="n"/>
      <c r="W446" s="18" t="n">
        <v>54234</v>
      </c>
      <c r="X446" s="35" t="n">
        <v>12.041</v>
      </c>
      <c r="Y446" s="35" t="n"/>
    </row>
    <row r="447">
      <c r="A447" s="25" t="n">
        <v>39471</v>
      </c>
      <c r="B447" s="18" t="n">
        <v>57463</v>
      </c>
      <c r="C447" s="31" t="n"/>
      <c r="D447" s="32" t="n"/>
      <c r="E447" s="33" t="n">
        <v>0.7573</v>
      </c>
      <c r="F447" t="inlineStr">
        <is>
          <t>Down</t>
        </is>
      </c>
      <c r="G447" t="inlineStr">
        <is>
          <t>Up</t>
        </is>
      </c>
      <c r="H447" t="inlineStr">
        <is>
          <t>ED_JU</t>
        </is>
      </c>
      <c r="I447" t="inlineStr">
        <is>
          <t>2008-01</t>
        </is>
      </c>
      <c r="J447" t="n">
        <v>1</v>
      </c>
      <c r="K447" t="n">
        <v>1</v>
      </c>
      <c r="L447" s="34">
        <f>IF($J447=1,LN(B448/B447),"")</f>
        <v/>
      </c>
      <c r="M447" s="34">
        <f>IF($K447=1,INDEX(Mensal!$D$2:$D$245,MATCH($I447,Mensal!$A$2:$A$245,0)),"")</f>
        <v/>
      </c>
      <c r="N447" s="34">
        <f>IF($K447=1,L447-M447,"")</f>
        <v/>
      </c>
      <c r="O447" s="34" t="n">
        <v>0.00041743</v>
      </c>
      <c r="P447" s="34">
        <f>IF($J447=1,LN(1+O447),"")</f>
        <v/>
      </c>
      <c r="Q447" s="34">
        <f>IF($J447=1,LN(R448/R447),"")</f>
        <v/>
      </c>
      <c r="R447" s="32" t="n">
        <v>1.7883</v>
      </c>
      <c r="S447" s="35" t="n">
        <v>11.965</v>
      </c>
      <c r="T447" s="18" t="n"/>
      <c r="U447" s="18" t="n"/>
      <c r="V447" s="18" t="n"/>
      <c r="W447" s="18" t="n">
        <v>57463</v>
      </c>
      <c r="X447" s="35" t="n">
        <v>11.965</v>
      </c>
      <c r="Y447" s="35" t="n"/>
    </row>
    <row r="448">
      <c r="A448" s="25" t="n">
        <v>39475</v>
      </c>
      <c r="B448" s="18" t="n">
        <v>58593</v>
      </c>
      <c r="C448" s="31" t="n"/>
      <c r="D448" s="32" t="n"/>
      <c r="E448" s="33" t="n">
        <v>0.803</v>
      </c>
      <c r="F448" t="inlineStr">
        <is>
          <t>Down</t>
        </is>
      </c>
      <c r="G448" t="inlineStr">
        <is>
          <t>Up</t>
        </is>
      </c>
      <c r="H448" t="inlineStr">
        <is>
          <t>ED_JU</t>
        </is>
      </c>
      <c r="I448" t="inlineStr">
        <is>
          <t>2008-01</t>
        </is>
      </c>
      <c r="J448" t="n">
        <v>1</v>
      </c>
      <c r="K448" t="n">
        <v>1</v>
      </c>
      <c r="L448" s="34">
        <f>IF($J448=1,LN(B449/B448),"")</f>
        <v/>
      </c>
      <c r="M448" s="34">
        <f>IF($K448=1,INDEX(Mensal!$D$2:$D$245,MATCH($I448,Mensal!$A$2:$A$245,0)),"")</f>
        <v/>
      </c>
      <c r="N448" s="34">
        <f>IF($K448=1,L448-M448,"")</f>
        <v/>
      </c>
      <c r="O448" s="34" t="n">
        <v>0.00041743</v>
      </c>
      <c r="P448" s="34">
        <f>IF($J448=1,LN(1+O448),"")</f>
        <v/>
      </c>
      <c r="Q448" s="34">
        <f>IF($J448=1,LN(R449/R448),"")</f>
        <v/>
      </c>
      <c r="R448" s="32" t="n">
        <v>1.7906</v>
      </c>
      <c r="S448" s="35" t="n">
        <v>11.965</v>
      </c>
      <c r="T448" s="18" t="n"/>
      <c r="U448" s="18" t="n"/>
      <c r="V448" s="18" t="n"/>
      <c r="W448" s="18" t="n">
        <v>58593</v>
      </c>
      <c r="X448" s="35" t="n">
        <v>11.965</v>
      </c>
      <c r="Y448" s="35" t="n"/>
    </row>
    <row r="449">
      <c r="A449" s="25" t="n">
        <v>39476</v>
      </c>
      <c r="B449" s="18" t="n">
        <v>59529</v>
      </c>
      <c r="C449" s="31" t="n"/>
      <c r="D449" s="32" t="n"/>
      <c r="E449" s="33" t="n">
        <v>0.8539</v>
      </c>
      <c r="F449" t="inlineStr">
        <is>
          <t>Down</t>
        </is>
      </c>
      <c r="G449" t="inlineStr">
        <is>
          <t>Up</t>
        </is>
      </c>
      <c r="H449" t="inlineStr">
        <is>
          <t>ED_JU</t>
        </is>
      </c>
      <c r="I449" t="inlineStr">
        <is>
          <t>2008-01</t>
        </is>
      </c>
      <c r="J449" t="n">
        <v>1</v>
      </c>
      <c r="K449" t="n">
        <v>1</v>
      </c>
      <c r="L449" s="34">
        <f>IF($J449=1,LN(B450/B449),"")</f>
        <v/>
      </c>
      <c r="M449" s="34">
        <f>IF($K449=1,INDEX(Mensal!$D$2:$D$245,MATCH($I449,Mensal!$A$2:$A$245,0)),"")</f>
        <v/>
      </c>
      <c r="N449" s="34">
        <f>IF($K449=1,L449-M449,"")</f>
        <v/>
      </c>
      <c r="O449" s="34" t="n">
        <v>0.00041707</v>
      </c>
      <c r="P449" s="34">
        <f>IF($J449=1,LN(1+O449),"")</f>
        <v/>
      </c>
      <c r="Q449" s="34">
        <f>IF($J449=1,LN(R450/R449),"")</f>
        <v/>
      </c>
      <c r="R449" s="32" t="n">
        <v>1.7762</v>
      </c>
      <c r="S449" s="35" t="n">
        <v>12.003</v>
      </c>
      <c r="T449" s="18" t="n"/>
      <c r="U449" s="18" t="n"/>
      <c r="V449" s="18" t="n"/>
      <c r="W449" s="18" t="n">
        <v>59529</v>
      </c>
      <c r="X449" s="35" t="n">
        <v>12.003</v>
      </c>
      <c r="Y449" s="35" t="n"/>
    </row>
    <row r="450">
      <c r="A450" s="25" t="n">
        <v>39477</v>
      </c>
      <c r="B450" s="18" t="n">
        <v>60289</v>
      </c>
      <c r="C450" s="31" t="n"/>
      <c r="D450" s="32" t="n"/>
      <c r="E450" s="33" t="n">
        <v>0.8943</v>
      </c>
      <c r="F450" t="inlineStr">
        <is>
          <t>Down</t>
        </is>
      </c>
      <c r="G450" t="inlineStr">
        <is>
          <t>Up</t>
        </is>
      </c>
      <c r="H450" t="inlineStr">
        <is>
          <t>ED_JU</t>
        </is>
      </c>
      <c r="I450" t="inlineStr">
        <is>
          <t>2008-01</t>
        </is>
      </c>
      <c r="J450" t="n">
        <v>1</v>
      </c>
      <c r="K450" t="n">
        <v>1</v>
      </c>
      <c r="L450" s="34">
        <f>IF($J450=1,LN(B451/B450),"")</f>
        <v/>
      </c>
      <c r="M450" s="34">
        <f>IF($K450=1,INDEX(Mensal!$D$2:$D$245,MATCH($I450,Mensal!$A$2:$A$245,0)),"")</f>
        <v/>
      </c>
      <c r="N450" s="34">
        <f>IF($K450=1,L450-M450,"")</f>
        <v/>
      </c>
      <c r="O450" s="34" t="n">
        <v>0.00041743</v>
      </c>
      <c r="P450" s="34">
        <f>IF($J450=1,LN(1+O450),"")</f>
        <v/>
      </c>
      <c r="Q450" s="34">
        <f>IF($J450=1,LN(R451/R450),"")</f>
        <v/>
      </c>
      <c r="R450" s="32" t="n">
        <v>1.7802</v>
      </c>
      <c r="S450" s="35" t="n">
        <v>12.011</v>
      </c>
      <c r="T450" s="18" t="n"/>
      <c r="U450" s="18" t="n"/>
      <c r="V450" s="18" t="n"/>
      <c r="W450" s="18" t="n">
        <v>60289</v>
      </c>
      <c r="X450" s="35" t="n">
        <v>12.011</v>
      </c>
      <c r="Y450" s="35" t="n"/>
    </row>
    <row r="451">
      <c r="A451" s="25" t="n">
        <v>39478</v>
      </c>
      <c r="B451" s="18" t="n">
        <v>59490</v>
      </c>
      <c r="C451" s="31" t="n"/>
      <c r="D451" s="32" t="n"/>
      <c r="E451" s="33" t="n">
        <v>0.9307</v>
      </c>
      <c r="F451" t="inlineStr">
        <is>
          <t>Down</t>
        </is>
      </c>
      <c r="G451" t="inlineStr">
        <is>
          <t>Up</t>
        </is>
      </c>
      <c r="H451" t="inlineStr">
        <is>
          <t>ED_JU</t>
        </is>
      </c>
      <c r="I451" t="inlineStr">
        <is>
          <t>2008-01</t>
        </is>
      </c>
      <c r="J451" t="n">
        <v>1</v>
      </c>
      <c r="K451" t="n">
        <v>1</v>
      </c>
      <c r="L451" s="34">
        <f>IF($J451=1,LN(B452/B451),"")</f>
        <v/>
      </c>
      <c r="M451" s="34">
        <f>IF($K451=1,INDEX(Mensal!$D$2:$D$245,MATCH($I451,Mensal!$A$2:$A$245,0)),"")</f>
        <v/>
      </c>
      <c r="N451" s="34">
        <f>IF($K451=1,L451-M451,"")</f>
        <v/>
      </c>
      <c r="O451" s="34" t="n">
        <v>0.00041779</v>
      </c>
      <c r="P451" s="34">
        <f>IF($J451=1,LN(1+O451),"")</f>
        <v/>
      </c>
      <c r="Q451" s="34">
        <f>IF($J451=1,LN(R452/R451),"")</f>
        <v/>
      </c>
      <c r="R451" s="32" t="n">
        <v>1.7603</v>
      </c>
      <c r="S451" s="35" t="n">
        <v>12.078</v>
      </c>
      <c r="T451" s="18" t="n"/>
      <c r="U451" s="18" t="n"/>
      <c r="V451" s="18" t="n"/>
      <c r="W451" s="18" t="n">
        <v>59490</v>
      </c>
      <c r="X451" s="35" t="n">
        <v>12.078</v>
      </c>
      <c r="Y451" s="35" t="n"/>
    </row>
    <row r="452">
      <c r="A452" s="25" t="n">
        <v>39479</v>
      </c>
      <c r="B452" s="18" t="n">
        <v>61079</v>
      </c>
      <c r="C452" s="31" t="n"/>
      <c r="D452" s="32" t="n"/>
      <c r="E452" s="33" t="n">
        <v>0.9643</v>
      </c>
      <c r="F452" t="inlineStr">
        <is>
          <t>Down</t>
        </is>
      </c>
      <c r="G452" t="inlineStr">
        <is>
          <t>Up</t>
        </is>
      </c>
      <c r="H452" t="inlineStr">
        <is>
          <t>ED_JU</t>
        </is>
      </c>
      <c r="I452" t="inlineStr">
        <is>
          <t>2008-02</t>
        </is>
      </c>
      <c r="J452" t="n">
        <v>1</v>
      </c>
      <c r="K452" t="n">
        <v>1</v>
      </c>
      <c r="L452" s="34">
        <f>IF($J452=1,LN(B453/B452),"")</f>
        <v/>
      </c>
      <c r="M452" s="34">
        <f>IF($K452=1,INDEX(Mensal!$D$2:$D$245,MATCH($I452,Mensal!$A$2:$A$245,0)),"")</f>
        <v/>
      </c>
      <c r="N452" s="34">
        <f>IF($K452=1,L452-M452,"")</f>
        <v/>
      </c>
      <c r="O452" s="34" t="n">
        <v>0.00041743</v>
      </c>
      <c r="P452" s="34">
        <f>IF($J452=1,LN(1+O452),"")</f>
        <v/>
      </c>
      <c r="Q452" s="34">
        <f>IF($J452=1,LN(R453/R452),"")</f>
        <v/>
      </c>
      <c r="R452" s="32" t="n">
        <v>1.7451</v>
      </c>
      <c r="S452" s="35" t="n">
        <v>12.111</v>
      </c>
      <c r="T452" s="18" t="n"/>
      <c r="U452" s="18" t="n"/>
      <c r="V452" s="18" t="n"/>
      <c r="W452" s="18" t="n">
        <v>61079</v>
      </c>
      <c r="X452" s="35" t="n">
        <v>12.111</v>
      </c>
      <c r="Y452" s="35" t="n"/>
    </row>
    <row r="453">
      <c r="A453" s="25" t="n">
        <v>39484</v>
      </c>
      <c r="B453" s="18" t="n">
        <v>58968</v>
      </c>
      <c r="C453" s="31" t="n"/>
      <c r="D453" s="32" t="n"/>
      <c r="E453" s="33" t="n">
        <v>1.0087</v>
      </c>
      <c r="F453" t="inlineStr">
        <is>
          <t>Down</t>
        </is>
      </c>
      <c r="G453" t="inlineStr">
        <is>
          <t>Up</t>
        </is>
      </c>
      <c r="H453" t="inlineStr">
        <is>
          <t>ED_JU</t>
        </is>
      </c>
      <c r="I453" t="inlineStr">
        <is>
          <t>2008-02</t>
        </is>
      </c>
      <c r="J453" t="n">
        <v>1</v>
      </c>
      <c r="K453" t="n">
        <v>1</v>
      </c>
      <c r="L453" s="34">
        <f>IF($J453=1,LN(B454/B453),"")</f>
        <v/>
      </c>
      <c r="M453" s="34">
        <f>IF($K453=1,INDEX(Mensal!$D$2:$D$245,MATCH($I453,Mensal!$A$2:$A$245,0)),"")</f>
        <v/>
      </c>
      <c r="N453" s="34">
        <f>IF($K453=1,L453-M453,"")</f>
        <v/>
      </c>
      <c r="O453" s="34" t="n">
        <v>0.00041779</v>
      </c>
      <c r="P453" s="34">
        <f>IF($J453=1,LN(1+O453),"")</f>
        <v/>
      </c>
      <c r="Q453" s="34">
        <f>IF($J453=1,LN(R454/R453),"")</f>
        <v/>
      </c>
      <c r="R453" s="32" t="n">
        <v>1.7531</v>
      </c>
      <c r="S453" s="35" t="n">
        <v>12.171</v>
      </c>
      <c r="T453" s="18" t="n"/>
      <c r="U453" s="18" t="n"/>
      <c r="V453" s="18" t="n"/>
      <c r="W453" s="18" t="n">
        <v>58968</v>
      </c>
      <c r="X453" s="35" t="n">
        <v>12.171</v>
      </c>
      <c r="Y453" s="35" t="n"/>
    </row>
    <row r="454">
      <c r="A454" s="25" t="n">
        <v>39485</v>
      </c>
      <c r="B454" s="18" t="n">
        <v>58965</v>
      </c>
      <c r="C454" s="31" t="n"/>
      <c r="D454" s="32" t="n"/>
      <c r="E454" s="33" t="n">
        <v>1.0483</v>
      </c>
      <c r="F454" t="inlineStr">
        <is>
          <t>Down</t>
        </is>
      </c>
      <c r="G454" t="inlineStr">
        <is>
          <t>Up</t>
        </is>
      </c>
      <c r="H454" t="inlineStr">
        <is>
          <t>ED_JU</t>
        </is>
      </c>
      <c r="I454" t="inlineStr">
        <is>
          <t>2008-02</t>
        </is>
      </c>
      <c r="J454" t="n">
        <v>1</v>
      </c>
      <c r="K454" t="n">
        <v>1</v>
      </c>
      <c r="L454" s="34">
        <f>IF($J454=1,LN(B455/B454),"")</f>
        <v/>
      </c>
      <c r="M454" s="34">
        <f>IF($K454=1,INDEX(Mensal!$D$2:$D$245,MATCH($I454,Mensal!$A$2:$A$245,0)),"")</f>
        <v/>
      </c>
      <c r="N454" s="34">
        <f>IF($K454=1,L454-M454,"")</f>
        <v/>
      </c>
      <c r="O454" s="34" t="n">
        <v>0.00041743</v>
      </c>
      <c r="P454" s="34">
        <f>IF($J454=1,LN(1+O454),"")</f>
        <v/>
      </c>
      <c r="Q454" s="34">
        <f>IF($J454=1,LN(R455/R454),"")</f>
        <v/>
      </c>
      <c r="R454" s="32" t="n">
        <v>1.7627</v>
      </c>
      <c r="S454" s="35" t="n">
        <v>12.107</v>
      </c>
      <c r="T454" s="18" t="n"/>
      <c r="U454" s="18" t="n"/>
      <c r="V454" s="18" t="n"/>
      <c r="W454" s="18" t="n">
        <v>58965</v>
      </c>
      <c r="X454" s="35" t="n">
        <v>12.107</v>
      </c>
      <c r="Y454" s="35" t="n"/>
    </row>
    <row r="455">
      <c r="A455" s="25" t="n">
        <v>39486</v>
      </c>
      <c r="B455" s="18" t="n">
        <v>59075</v>
      </c>
      <c r="C455" s="31" t="n"/>
      <c r="D455" s="32" t="n"/>
      <c r="E455" s="33" t="n">
        <v>1.0869</v>
      </c>
      <c r="F455" t="inlineStr">
        <is>
          <t>Down</t>
        </is>
      </c>
      <c r="G455" t="inlineStr">
        <is>
          <t>Up</t>
        </is>
      </c>
      <c r="H455" t="inlineStr">
        <is>
          <t>ED_JU</t>
        </is>
      </c>
      <c r="I455" t="inlineStr">
        <is>
          <t>2008-02</t>
        </is>
      </c>
      <c r="J455" t="n">
        <v>1</v>
      </c>
      <c r="K455" t="n">
        <v>1</v>
      </c>
      <c r="L455" s="34">
        <f>IF($J455=1,LN(B456/B455),"")</f>
        <v/>
      </c>
      <c r="M455" s="34">
        <f>IF($K455=1,INDEX(Mensal!$D$2:$D$245,MATCH($I455,Mensal!$A$2:$A$245,0)),"")</f>
        <v/>
      </c>
      <c r="N455" s="34">
        <f>IF($K455=1,L455-M455,"")</f>
        <v/>
      </c>
      <c r="O455" s="34" t="n">
        <v>0.00041707</v>
      </c>
      <c r="P455" s="34">
        <f>IF($J455=1,LN(1+O455),"")</f>
        <v/>
      </c>
      <c r="Q455" s="34">
        <f>IF($J455=1,LN(R456/R455),"")</f>
        <v/>
      </c>
      <c r="R455" s="32" t="n">
        <v>1.7681</v>
      </c>
      <c r="S455" s="35" t="n">
        <v>12.028</v>
      </c>
      <c r="T455" s="18" t="n"/>
      <c r="U455" s="18" t="n"/>
      <c r="V455" s="18" t="n"/>
      <c r="W455" s="18" t="n">
        <v>59075</v>
      </c>
      <c r="X455" s="35" t="n">
        <v>12.028</v>
      </c>
      <c r="Y455" s="35" t="n"/>
    </row>
    <row r="456">
      <c r="A456" s="25" t="n">
        <v>39489</v>
      </c>
      <c r="B456" s="18" t="n">
        <v>60643</v>
      </c>
      <c r="C456" s="31" t="n"/>
      <c r="D456" s="32" t="n"/>
      <c r="E456" s="33" t="n">
        <v>1.105</v>
      </c>
      <c r="F456" t="inlineStr">
        <is>
          <t>Down</t>
        </is>
      </c>
      <c r="G456" t="inlineStr">
        <is>
          <t>Up</t>
        </is>
      </c>
      <c r="H456" t="inlineStr">
        <is>
          <t>ED_JU</t>
        </is>
      </c>
      <c r="I456" t="inlineStr">
        <is>
          <t>2008-02</t>
        </is>
      </c>
      <c r="J456" t="n">
        <v>1</v>
      </c>
      <c r="K456" t="n">
        <v>1</v>
      </c>
      <c r="L456" s="34">
        <f>IF($J456=1,LN(B457/B456),"")</f>
        <v/>
      </c>
      <c r="M456" s="34">
        <f>IF($K456=1,INDEX(Mensal!$D$2:$D$245,MATCH($I456,Mensal!$A$2:$A$245,0)),"")</f>
        <v/>
      </c>
      <c r="N456" s="34">
        <f>IF($K456=1,L456-M456,"")</f>
        <v/>
      </c>
      <c r="O456" s="34" t="n">
        <v>0.00041743</v>
      </c>
      <c r="P456" s="34">
        <f>IF($J456=1,LN(1+O456),"")</f>
        <v/>
      </c>
      <c r="Q456" s="34">
        <f>IF($J456=1,LN(R457/R456),"")</f>
        <v/>
      </c>
      <c r="R456" s="32" t="n">
        <v>1.7601</v>
      </c>
      <c r="S456" s="35" t="n">
        <v>11.99</v>
      </c>
      <c r="T456" s="18" t="n"/>
      <c r="U456" s="18" t="n"/>
      <c r="V456" s="18" t="n"/>
      <c r="W456" s="18" t="n">
        <v>60643</v>
      </c>
      <c r="X456" s="35" t="n">
        <v>11.99</v>
      </c>
      <c r="Y456" s="35" t="n"/>
    </row>
    <row r="457">
      <c r="A457" s="25" t="n">
        <v>39490</v>
      </c>
      <c r="B457" s="18" t="n">
        <v>61805</v>
      </c>
      <c r="C457" s="31" t="n"/>
      <c r="D457" s="32" t="n"/>
      <c r="E457" s="33" t="n">
        <v>1.1234</v>
      </c>
      <c r="F457" t="inlineStr">
        <is>
          <t>Down</t>
        </is>
      </c>
      <c r="G457" t="inlineStr">
        <is>
          <t>Up</t>
        </is>
      </c>
      <c r="H457" t="inlineStr">
        <is>
          <t>ED_JU</t>
        </is>
      </c>
      <c r="I457" t="inlineStr">
        <is>
          <t>2008-02</t>
        </is>
      </c>
      <c r="J457" t="n">
        <v>1</v>
      </c>
      <c r="K457" t="n">
        <v>1</v>
      </c>
      <c r="L457" s="34">
        <f>IF($J457=1,LN(B458/B457),"")</f>
        <v/>
      </c>
      <c r="M457" s="34">
        <f>IF($K457=1,INDEX(Mensal!$D$2:$D$245,MATCH($I457,Mensal!$A$2:$A$245,0)),"")</f>
        <v/>
      </c>
      <c r="N457" s="34">
        <f>IF($K457=1,L457-M457,"")</f>
        <v/>
      </c>
      <c r="O457" s="34" t="n">
        <v>0.00041743</v>
      </c>
      <c r="P457" s="34">
        <f>IF($J457=1,LN(1+O457),"")</f>
        <v/>
      </c>
      <c r="Q457" s="34">
        <f>IF($J457=1,LN(R458/R457),"")</f>
        <v/>
      </c>
      <c r="R457" s="32" t="n">
        <v>1.7478</v>
      </c>
      <c r="S457" s="35" t="n">
        <v>11.928</v>
      </c>
      <c r="T457" s="18" t="n"/>
      <c r="U457" s="18" t="n"/>
      <c r="V457" s="18" t="n"/>
      <c r="W457" s="18" t="n">
        <v>61805</v>
      </c>
      <c r="X457" s="35" t="n">
        <v>11.928</v>
      </c>
      <c r="Y457" s="35" t="n"/>
    </row>
    <row r="458">
      <c r="A458" s="25" t="n">
        <v>39491</v>
      </c>
      <c r="B458" s="18" t="n">
        <v>62590</v>
      </c>
      <c r="C458" s="31" t="n"/>
      <c r="D458" s="32" t="n"/>
      <c r="E458" s="33" t="n">
        <v>1.1507</v>
      </c>
      <c r="F458" t="inlineStr">
        <is>
          <t>Down</t>
        </is>
      </c>
      <c r="G458" t="inlineStr">
        <is>
          <t>Up</t>
        </is>
      </c>
      <c r="H458" t="inlineStr">
        <is>
          <t>ED_JU</t>
        </is>
      </c>
      <c r="I458" t="inlineStr">
        <is>
          <t>2008-02</t>
        </is>
      </c>
      <c r="J458" t="n">
        <v>1</v>
      </c>
      <c r="K458" t="n">
        <v>1</v>
      </c>
      <c r="L458" s="34">
        <f>IF($J458=1,LN(B459/B458),"")</f>
        <v/>
      </c>
      <c r="M458" s="34">
        <f>IF($K458=1,INDEX(Mensal!$D$2:$D$245,MATCH($I458,Mensal!$A$2:$A$245,0)),"")</f>
        <v/>
      </c>
      <c r="N458" s="34">
        <f>IF($K458=1,L458-M458,"")</f>
        <v/>
      </c>
      <c r="O458" s="34" t="n">
        <v>0.00041707</v>
      </c>
      <c r="P458" s="34">
        <f>IF($J458=1,LN(1+O458),"")</f>
        <v/>
      </c>
      <c r="Q458" s="34">
        <f>IF($J458=1,LN(R459/R458),"")</f>
        <v/>
      </c>
      <c r="R458" s="32" t="n">
        <v>1.7459</v>
      </c>
      <c r="S458" s="35" t="n">
        <v>11.803</v>
      </c>
      <c r="T458" s="18" t="n"/>
      <c r="U458" s="18" t="n"/>
      <c r="V458" s="18" t="n"/>
      <c r="W458" s="18" t="n">
        <v>62590</v>
      </c>
      <c r="X458" s="35" t="n">
        <v>11.803</v>
      </c>
      <c r="Y458" s="35" t="n"/>
    </row>
    <row r="459">
      <c r="A459" s="25" t="n">
        <v>39492</v>
      </c>
      <c r="B459" s="18" t="n">
        <v>61818</v>
      </c>
      <c r="C459" s="31" t="n"/>
      <c r="D459" s="32" t="n"/>
      <c r="E459" s="33" t="n">
        <v>1.1752</v>
      </c>
      <c r="F459" t="inlineStr">
        <is>
          <t>Down</t>
        </is>
      </c>
      <c r="G459" t="inlineStr">
        <is>
          <t>Up</t>
        </is>
      </c>
      <c r="H459" t="inlineStr">
        <is>
          <t>ED_JU</t>
        </is>
      </c>
      <c r="I459" t="inlineStr">
        <is>
          <t>2008-02</t>
        </is>
      </c>
      <c r="J459" t="n">
        <v>1</v>
      </c>
      <c r="K459" t="n">
        <v>1</v>
      </c>
      <c r="L459" s="34">
        <f>IF($J459=1,LN(B460/B459),"")</f>
        <v/>
      </c>
      <c r="M459" s="34">
        <f>IF($K459=1,INDEX(Mensal!$D$2:$D$245,MATCH($I459,Mensal!$A$2:$A$245,0)),"")</f>
        <v/>
      </c>
      <c r="N459" s="34">
        <f>IF($K459=1,L459-M459,"")</f>
        <v/>
      </c>
      <c r="O459" s="34" t="n">
        <v>0.00041672</v>
      </c>
      <c r="P459" s="34">
        <f>IF($J459=1,LN(1+O459),"")</f>
        <v/>
      </c>
      <c r="Q459" s="34">
        <f>IF($J459=1,LN(R460/R459),"")</f>
        <v/>
      </c>
      <c r="R459" s="32" t="n">
        <v>1.7469</v>
      </c>
      <c r="S459" s="35" t="n">
        <v>11.807</v>
      </c>
      <c r="T459" s="18" t="n"/>
      <c r="U459" s="18" t="n"/>
      <c r="V459" s="18" t="n"/>
      <c r="W459" s="18" t="n">
        <v>61818</v>
      </c>
      <c r="X459" s="35" t="n">
        <v>11.807</v>
      </c>
      <c r="Y459" s="35" t="n"/>
    </row>
    <row r="460">
      <c r="A460" s="25" t="n">
        <v>39493</v>
      </c>
      <c r="B460" s="18" t="n">
        <v>61271</v>
      </c>
      <c r="C460" s="31" t="n"/>
      <c r="D460" s="32" t="n"/>
      <c r="E460" s="33" t="n">
        <v>1.1915</v>
      </c>
      <c r="F460" t="inlineStr">
        <is>
          <t>Down</t>
        </is>
      </c>
      <c r="G460" t="inlineStr">
        <is>
          <t>Up</t>
        </is>
      </c>
      <c r="H460" t="inlineStr">
        <is>
          <t>ED_JU</t>
        </is>
      </c>
      <c r="I460" t="inlineStr">
        <is>
          <t>2008-02</t>
        </is>
      </c>
      <c r="J460" t="n">
        <v>1</v>
      </c>
      <c r="K460" t="n">
        <v>1</v>
      </c>
      <c r="L460" s="34">
        <f>IF($J460=1,LN(B461/B460),"")</f>
        <v/>
      </c>
      <c r="M460" s="34">
        <f>IF($K460=1,INDEX(Mensal!$D$2:$D$245,MATCH($I460,Mensal!$A$2:$A$245,0)),"")</f>
        <v/>
      </c>
      <c r="N460" s="34">
        <f>IF($K460=1,L460-M460,"")</f>
        <v/>
      </c>
      <c r="O460" s="34" t="n">
        <v>0.00041636</v>
      </c>
      <c r="P460" s="34">
        <f>IF($J460=1,LN(1+O460),"")</f>
        <v/>
      </c>
      <c r="Q460" s="34">
        <f>IF($J460=1,LN(R461/R460),"")</f>
        <v/>
      </c>
      <c r="R460" s="32" t="n">
        <v>1.7541</v>
      </c>
      <c r="S460" s="35" t="n">
        <v>11.878</v>
      </c>
      <c r="T460" s="18" t="n"/>
      <c r="U460" s="18" t="n"/>
      <c r="V460" s="18" t="n"/>
      <c r="W460" s="18" t="n">
        <v>61271</v>
      </c>
      <c r="X460" s="35" t="n">
        <v>11.878</v>
      </c>
      <c r="Y460" s="35" t="n"/>
    </row>
    <row r="461">
      <c r="A461" s="25" t="n">
        <v>39496</v>
      </c>
      <c r="B461" s="18" t="n">
        <v>62801</v>
      </c>
      <c r="C461" s="31" t="n"/>
      <c r="D461" s="32" t="n"/>
      <c r="E461" s="33" t="n">
        <v>1.2061</v>
      </c>
      <c r="F461" t="inlineStr">
        <is>
          <t>Down</t>
        </is>
      </c>
      <c r="G461" t="inlineStr">
        <is>
          <t>Up</t>
        </is>
      </c>
      <c r="H461" t="inlineStr">
        <is>
          <t>ED_JU</t>
        </is>
      </c>
      <c r="I461" t="inlineStr">
        <is>
          <t>2008-02</t>
        </is>
      </c>
      <c r="J461" t="n">
        <v>1</v>
      </c>
      <c r="K461" t="n">
        <v>1</v>
      </c>
      <c r="L461" s="34">
        <f>IF($J461=1,LN(B462/B461),"")</f>
        <v/>
      </c>
      <c r="M461" s="34">
        <f>IF($K461=1,INDEX(Mensal!$D$2:$D$245,MATCH($I461,Mensal!$A$2:$A$245,0)),"")</f>
        <v/>
      </c>
      <c r="N461" s="34">
        <f>IF($K461=1,L461-M461,"")</f>
        <v/>
      </c>
      <c r="O461" s="34" t="n">
        <v>0.00041672</v>
      </c>
      <c r="P461" s="34">
        <f>IF($J461=1,LN(1+O461),"")</f>
        <v/>
      </c>
      <c r="Q461" s="34">
        <f>IF($J461=1,LN(R462/R461),"")</f>
        <v/>
      </c>
      <c r="R461" s="32" t="n">
        <v>1.7394</v>
      </c>
      <c r="S461" s="35" t="n">
        <v>11.797</v>
      </c>
      <c r="T461" s="18" t="n"/>
      <c r="U461" s="18" t="n"/>
      <c r="V461" s="18" t="n"/>
      <c r="W461" s="18" t="n">
        <v>62801</v>
      </c>
      <c r="X461" s="35" t="n">
        <v>11.797</v>
      </c>
      <c r="Y461" s="35" t="n"/>
    </row>
    <row r="462">
      <c r="A462" s="25" t="n">
        <v>39497</v>
      </c>
      <c r="B462" s="18" t="n">
        <v>62296</v>
      </c>
      <c r="C462" s="31" t="n"/>
      <c r="D462" s="32" t="n"/>
      <c r="E462" s="33" t="n">
        <v>1.2271</v>
      </c>
      <c r="F462" t="inlineStr">
        <is>
          <t>Down</t>
        </is>
      </c>
      <c r="G462" t="inlineStr">
        <is>
          <t>Up</t>
        </is>
      </c>
      <c r="H462" t="inlineStr">
        <is>
          <t>ED_JU</t>
        </is>
      </c>
      <c r="I462" t="inlineStr">
        <is>
          <t>2008-02</t>
        </is>
      </c>
      <c r="J462" t="n">
        <v>1</v>
      </c>
      <c r="K462" t="n">
        <v>1</v>
      </c>
      <c r="L462" s="34">
        <f>IF($J462=1,LN(B463/B462),"")</f>
        <v/>
      </c>
      <c r="M462" s="34">
        <f>IF($K462=1,INDEX(Mensal!$D$2:$D$245,MATCH($I462,Mensal!$A$2:$A$245,0)),"")</f>
        <v/>
      </c>
      <c r="N462" s="34">
        <f>IF($K462=1,L462-M462,"")</f>
        <v/>
      </c>
      <c r="O462" s="34" t="n">
        <v>0.00041636</v>
      </c>
      <c r="P462" s="34">
        <f>IF($J462=1,LN(1+O462),"")</f>
        <v/>
      </c>
      <c r="Q462" s="34">
        <f>IF($J462=1,LN(R463/R462),"")</f>
        <v/>
      </c>
      <c r="R462" s="32" t="n">
        <v>1.7329</v>
      </c>
      <c r="S462" s="35" t="n">
        <v>11.859</v>
      </c>
      <c r="T462" s="18" t="n"/>
      <c r="U462" s="18" t="n"/>
      <c r="V462" s="18" t="n"/>
      <c r="W462" s="18" t="n">
        <v>62296</v>
      </c>
      <c r="X462" s="35" t="n">
        <v>11.859</v>
      </c>
      <c r="Y462" s="35" t="n"/>
    </row>
    <row r="463">
      <c r="A463" s="25" t="n">
        <v>39498</v>
      </c>
      <c r="B463" s="18" t="n">
        <v>63747</v>
      </c>
      <c r="C463" s="31" t="n"/>
      <c r="D463" s="32" t="n"/>
      <c r="E463" s="33" t="n">
        <v>1.257</v>
      </c>
      <c r="F463" t="inlineStr">
        <is>
          <t>Down</t>
        </is>
      </c>
      <c r="G463" t="inlineStr">
        <is>
          <t>Up</t>
        </is>
      </c>
      <c r="H463" t="inlineStr">
        <is>
          <t>ED_JU</t>
        </is>
      </c>
      <c r="I463" t="inlineStr">
        <is>
          <t>2008-02</t>
        </is>
      </c>
      <c r="J463" t="n">
        <v>1</v>
      </c>
      <c r="K463" t="n">
        <v>1</v>
      </c>
      <c r="L463" s="34">
        <f>IF($J463=1,LN(B464/B463),"")</f>
        <v/>
      </c>
      <c r="M463" s="34">
        <f>IF($K463=1,INDEX(Mensal!$D$2:$D$245,MATCH($I463,Mensal!$A$2:$A$245,0)),"")</f>
        <v/>
      </c>
      <c r="N463" s="34">
        <f>IF($K463=1,L463-M463,"")</f>
        <v/>
      </c>
      <c r="O463" s="34" t="n">
        <v>0.00041636</v>
      </c>
      <c r="P463" s="34">
        <f>IF($J463=1,LN(1+O463),"")</f>
        <v/>
      </c>
      <c r="Q463" s="34">
        <f>IF($J463=1,LN(R464/R463),"")</f>
        <v/>
      </c>
      <c r="R463" s="32" t="n">
        <v>1.7351</v>
      </c>
      <c r="S463" s="35" t="n">
        <v>11.833</v>
      </c>
      <c r="T463" s="18" t="n"/>
      <c r="U463" s="18" t="n"/>
      <c r="V463" s="18" t="n"/>
      <c r="W463" s="18" t="n">
        <v>63747</v>
      </c>
      <c r="X463" s="35" t="n">
        <v>11.833</v>
      </c>
      <c r="Y463" s="35" t="n"/>
    </row>
    <row r="464">
      <c r="A464" s="25" t="n">
        <v>39499</v>
      </c>
      <c r="B464" s="18" t="n">
        <v>63792</v>
      </c>
      <c r="C464" s="31" t="n"/>
      <c r="D464" s="32" t="n"/>
      <c r="E464" s="33" t="n">
        <v>1.2913</v>
      </c>
      <c r="F464" t="inlineStr">
        <is>
          <t>Down</t>
        </is>
      </c>
      <c r="G464" t="inlineStr">
        <is>
          <t>Up</t>
        </is>
      </c>
      <c r="H464" t="inlineStr">
        <is>
          <t>ED_JU</t>
        </is>
      </c>
      <c r="I464" t="inlineStr">
        <is>
          <t>2008-02</t>
        </is>
      </c>
      <c r="J464" t="n">
        <v>1</v>
      </c>
      <c r="K464" t="n">
        <v>1</v>
      </c>
      <c r="L464" s="34">
        <f>IF($J464=1,LN(B465/B464),"")</f>
        <v/>
      </c>
      <c r="M464" s="34">
        <f>IF($K464=1,INDEX(Mensal!$D$2:$D$245,MATCH($I464,Mensal!$A$2:$A$245,0)),"")</f>
        <v/>
      </c>
      <c r="N464" s="34">
        <f>IF($K464=1,L464-M464,"")</f>
        <v/>
      </c>
      <c r="O464" s="34" t="n">
        <v>0.000416</v>
      </c>
      <c r="P464" s="34">
        <f>IF($J464=1,LN(1+O464),"")</f>
        <v/>
      </c>
      <c r="Q464" s="34">
        <f>IF($J464=1,LN(R465/R464),"")</f>
        <v/>
      </c>
      <c r="R464" s="32" t="n">
        <v>1.7104</v>
      </c>
      <c r="S464" s="35" t="n">
        <v>11.812</v>
      </c>
      <c r="T464" s="18" t="n"/>
      <c r="U464" s="18" t="n"/>
      <c r="V464" s="18" t="n"/>
      <c r="W464" s="18" t="n">
        <v>63792</v>
      </c>
      <c r="X464" s="35" t="n">
        <v>11.812</v>
      </c>
      <c r="Y464" s="35" t="n"/>
    </row>
    <row r="465">
      <c r="A465" s="25" t="n">
        <v>39500</v>
      </c>
      <c r="B465" s="18" t="n">
        <v>64608</v>
      </c>
      <c r="C465" s="31" t="n"/>
      <c r="D465" s="32" t="n"/>
      <c r="E465" s="33" t="n">
        <v>1.3184</v>
      </c>
      <c r="F465" t="inlineStr">
        <is>
          <t>Down</t>
        </is>
      </c>
      <c r="G465" t="inlineStr">
        <is>
          <t>Up</t>
        </is>
      </c>
      <c r="H465" t="inlineStr">
        <is>
          <t>ED_JU</t>
        </is>
      </c>
      <c r="I465" t="inlineStr">
        <is>
          <t>2008-02</t>
        </is>
      </c>
      <c r="J465" t="n">
        <v>1</v>
      </c>
      <c r="K465" t="n">
        <v>1</v>
      </c>
      <c r="L465" s="34">
        <f>IF($J465=1,LN(B466/B465),"")</f>
        <v/>
      </c>
      <c r="M465" s="34">
        <f>IF($K465=1,INDEX(Mensal!$D$2:$D$245,MATCH($I465,Mensal!$A$2:$A$245,0)),"")</f>
        <v/>
      </c>
      <c r="N465" s="34">
        <f>IF($K465=1,L465-M465,"")</f>
        <v/>
      </c>
      <c r="O465" s="34" t="n">
        <v>0.00041636</v>
      </c>
      <c r="P465" s="34">
        <f>IF($J465=1,LN(1+O465),"")</f>
        <v/>
      </c>
      <c r="Q465" s="34">
        <f>IF($J465=1,LN(R466/R465),"")</f>
        <v/>
      </c>
      <c r="R465" s="32" t="n">
        <v>1.704</v>
      </c>
      <c r="S465" s="35" t="n">
        <v>11.836</v>
      </c>
      <c r="T465" s="18" t="n"/>
      <c r="U465" s="18" t="n"/>
      <c r="V465" s="18" t="n"/>
      <c r="W465" s="18" t="n">
        <v>64608</v>
      </c>
      <c r="X465" s="35" t="n">
        <v>11.836</v>
      </c>
      <c r="Y465" s="35" t="n"/>
    </row>
    <row r="466">
      <c r="A466" s="25" t="n">
        <v>39503</v>
      </c>
      <c r="B466" s="18" t="n">
        <v>65000</v>
      </c>
      <c r="C466" s="31" t="n"/>
      <c r="D466" s="32" t="n"/>
      <c r="E466" s="33" t="n">
        <v>1.3467</v>
      </c>
      <c r="F466" t="inlineStr">
        <is>
          <t>Down</t>
        </is>
      </c>
      <c r="G466" t="inlineStr">
        <is>
          <t>Up</t>
        </is>
      </c>
      <c r="H466" t="inlineStr">
        <is>
          <t>ED_JU</t>
        </is>
      </c>
      <c r="I466" t="inlineStr">
        <is>
          <t>2008-02</t>
        </is>
      </c>
      <c r="J466" t="n">
        <v>1</v>
      </c>
      <c r="K466" t="n">
        <v>1</v>
      </c>
      <c r="L466" s="34">
        <f>IF($J466=1,LN(B467/B466),"")</f>
        <v/>
      </c>
      <c r="M466" s="34">
        <f>IF($K466=1,INDEX(Mensal!$D$2:$D$245,MATCH($I466,Mensal!$A$2:$A$245,0)),"")</f>
        <v/>
      </c>
      <c r="N466" s="34">
        <f>IF($K466=1,L466-M466,"")</f>
        <v/>
      </c>
      <c r="O466" s="34" t="n">
        <v>0.00041636</v>
      </c>
      <c r="P466" s="34">
        <f>IF($J466=1,LN(1+O466),"")</f>
        <v/>
      </c>
      <c r="Q466" s="34">
        <f>IF($J466=1,LN(R467/R466),"")</f>
        <v/>
      </c>
      <c r="R466" s="32" t="n">
        <v>1.7062</v>
      </c>
      <c r="S466" s="35" t="n">
        <v>11.902</v>
      </c>
      <c r="T466" s="18" t="n"/>
      <c r="U466" s="18" t="n"/>
      <c r="V466" s="18" t="n"/>
      <c r="W466" s="18" t="n">
        <v>65000</v>
      </c>
      <c r="X466" s="35" t="n">
        <v>11.902</v>
      </c>
      <c r="Y466" s="35" t="n"/>
    </row>
    <row r="467">
      <c r="A467" s="25" t="n">
        <v>39504</v>
      </c>
      <c r="B467" s="18" t="n">
        <v>65182</v>
      </c>
      <c r="C467" s="31" t="n"/>
      <c r="D467" s="32" t="n"/>
      <c r="E467" s="33" t="n">
        <v>1.3677</v>
      </c>
      <c r="F467" t="inlineStr">
        <is>
          <t>Down</t>
        </is>
      </c>
      <c r="G467" t="inlineStr">
        <is>
          <t>Up</t>
        </is>
      </c>
      <c r="H467" t="inlineStr">
        <is>
          <t>ED_JU</t>
        </is>
      </c>
      <c r="I467" t="inlineStr">
        <is>
          <t>2008-02</t>
        </is>
      </c>
      <c r="J467" t="n">
        <v>1</v>
      </c>
      <c r="K467" t="n">
        <v>1</v>
      </c>
      <c r="L467" s="34">
        <f>IF($J467=1,LN(B468/B467),"")</f>
        <v/>
      </c>
      <c r="M467" s="34">
        <f>IF($K467=1,INDEX(Mensal!$D$2:$D$245,MATCH($I467,Mensal!$A$2:$A$245,0)),"")</f>
        <v/>
      </c>
      <c r="N467" s="34">
        <f>IF($K467=1,L467-M467,"")</f>
        <v/>
      </c>
      <c r="O467" s="34" t="n">
        <v>0.00041672</v>
      </c>
      <c r="P467" s="34">
        <f>IF($J467=1,LN(1+O467),"")</f>
        <v/>
      </c>
      <c r="Q467" s="34">
        <f>IF($J467=1,LN(R468/R467),"")</f>
        <v/>
      </c>
      <c r="R467" s="32" t="n">
        <v>1.6882</v>
      </c>
      <c r="S467" s="35" t="n">
        <v>11.872</v>
      </c>
      <c r="T467" s="18" t="n"/>
      <c r="U467" s="18" t="n"/>
      <c r="V467" s="18" t="n"/>
      <c r="W467" s="18" t="n">
        <v>65182</v>
      </c>
      <c r="X467" s="35" t="n">
        <v>11.872</v>
      </c>
      <c r="Y467" s="35" t="n"/>
    </row>
    <row r="468">
      <c r="A468" s="25" t="n">
        <v>39505</v>
      </c>
      <c r="B468" s="18" t="n">
        <v>65494</v>
      </c>
      <c r="C468" s="31" t="n"/>
      <c r="D468" s="32" t="n"/>
      <c r="E468" s="33" t="n">
        <v>1.39</v>
      </c>
      <c r="F468" t="inlineStr">
        <is>
          <t>Down</t>
        </is>
      </c>
      <c r="G468" t="inlineStr">
        <is>
          <t>Up</t>
        </is>
      </c>
      <c r="H468" t="inlineStr">
        <is>
          <t>ED_JU</t>
        </is>
      </c>
      <c r="I468" t="inlineStr">
        <is>
          <t>2008-02</t>
        </is>
      </c>
      <c r="J468" t="n">
        <v>1</v>
      </c>
      <c r="K468" t="n">
        <v>1</v>
      </c>
      <c r="L468" s="34">
        <f>IF($J468=1,LN(B469/B468),"")</f>
        <v/>
      </c>
      <c r="M468" s="34">
        <f>IF($K468=1,INDEX(Mensal!$D$2:$D$245,MATCH($I468,Mensal!$A$2:$A$245,0)),"")</f>
        <v/>
      </c>
      <c r="N468" s="34">
        <f>IF($K468=1,L468-M468,"")</f>
        <v/>
      </c>
      <c r="O468" s="34" t="n">
        <v>0.00041672</v>
      </c>
      <c r="P468" s="34">
        <f>IF($J468=1,LN(1+O468),"")</f>
        <v/>
      </c>
      <c r="Q468" s="34">
        <f>IF($J468=1,LN(R469/R468),"")</f>
        <v/>
      </c>
      <c r="R468" s="32" t="n">
        <v>1.6715</v>
      </c>
      <c r="S468" s="35" t="n">
        <v>11.879</v>
      </c>
      <c r="T468" s="18" t="n"/>
      <c r="U468" s="18" t="n"/>
      <c r="V468" s="18" t="n"/>
      <c r="W468" s="18" t="n">
        <v>65494</v>
      </c>
      <c r="X468" s="35" t="n">
        <v>11.879</v>
      </c>
      <c r="Y468" s="35" t="n"/>
    </row>
    <row r="469">
      <c r="A469" s="25" t="n">
        <v>39506</v>
      </c>
      <c r="B469" s="18" t="n">
        <v>65555</v>
      </c>
      <c r="C469" s="31" t="n"/>
      <c r="D469" s="32" t="n"/>
      <c r="E469" s="33" t="n">
        <v>1.4018</v>
      </c>
      <c r="F469" t="inlineStr">
        <is>
          <t>Down</t>
        </is>
      </c>
      <c r="G469" t="inlineStr">
        <is>
          <t>Up</t>
        </is>
      </c>
      <c r="H469" t="inlineStr">
        <is>
          <t>ED_JU</t>
        </is>
      </c>
      <c r="I469" t="inlineStr">
        <is>
          <t>2008-02</t>
        </is>
      </c>
      <c r="J469" t="n">
        <v>1</v>
      </c>
      <c r="K469" t="n">
        <v>1</v>
      </c>
      <c r="L469" s="34">
        <f>IF($J469=1,LN(B470/B469),"")</f>
        <v/>
      </c>
      <c r="M469" s="34">
        <f>IF($K469=1,INDEX(Mensal!$D$2:$D$245,MATCH($I469,Mensal!$A$2:$A$245,0)),"")</f>
        <v/>
      </c>
      <c r="N469" s="34">
        <f>IF($K469=1,L469-M469,"")</f>
        <v/>
      </c>
      <c r="O469" s="34" t="n">
        <v>0.00041707</v>
      </c>
      <c r="P469" s="34">
        <f>IF($J469=1,LN(1+O469),"")</f>
        <v/>
      </c>
      <c r="Q469" s="34">
        <f>IF($J469=1,LN(R470/R469),"")</f>
        <v/>
      </c>
      <c r="R469" s="32" t="n">
        <v>1.6723</v>
      </c>
      <c r="S469" s="35" t="n">
        <v>11.912</v>
      </c>
      <c r="T469" s="18" t="n"/>
      <c r="U469" s="18" t="n"/>
      <c r="V469" s="18" t="n"/>
      <c r="W469" s="18" t="n">
        <v>65555</v>
      </c>
      <c r="X469" s="35" t="n">
        <v>11.912</v>
      </c>
      <c r="Y469" s="35" t="n"/>
    </row>
    <row r="470">
      <c r="A470" s="25" t="n">
        <v>39510</v>
      </c>
      <c r="B470" s="18" t="n">
        <v>64491</v>
      </c>
      <c r="C470" s="31" t="n"/>
      <c r="D470" s="32" t="n"/>
      <c r="E470" s="33" t="n">
        <v>1.4152</v>
      </c>
      <c r="F470" t="inlineStr">
        <is>
          <t>Up</t>
        </is>
      </c>
      <c r="G470" t="inlineStr">
        <is>
          <t>Up</t>
        </is>
      </c>
      <c r="H470" t="inlineStr">
        <is>
          <t>EU_JU</t>
        </is>
      </c>
      <c r="I470" t="inlineStr">
        <is>
          <t>2008-03</t>
        </is>
      </c>
      <c r="J470" t="n">
        <v>1</v>
      </c>
      <c r="K470" t="n">
        <v>1</v>
      </c>
      <c r="L470" s="34">
        <f>IF($J470=1,LN(B471/B470),"")</f>
        <v/>
      </c>
      <c r="M470" s="34">
        <f>IF($K470=1,INDEX(Mensal!$D$2:$D$245,MATCH($I470,Mensal!$A$2:$A$245,0)),"")</f>
        <v/>
      </c>
      <c r="N470" s="34">
        <f>IF($K470=1,L470-M470,"")</f>
        <v/>
      </c>
      <c r="O470" s="34" t="n">
        <v>0.00041779</v>
      </c>
      <c r="P470" s="34">
        <f>IF($J470=1,LN(1+O470),"")</f>
        <v/>
      </c>
      <c r="Q470" s="34">
        <f>IF($J470=1,LN(R471/R470),"")</f>
        <v/>
      </c>
      <c r="R470" s="32" t="n">
        <v>1.6816</v>
      </c>
      <c r="S470" s="35" t="n">
        <v>11.857</v>
      </c>
      <c r="T470" s="18" t="n"/>
      <c r="U470" s="18" t="n">
        <v>64491</v>
      </c>
      <c r="V470" s="18" t="n"/>
      <c r="W470" s="18" t="n"/>
      <c r="X470" s="35" t="n">
        <v>11.857</v>
      </c>
      <c r="Y470" s="35" t="n"/>
    </row>
    <row r="471">
      <c r="A471" s="25" t="n">
        <v>39511</v>
      </c>
      <c r="B471" s="18" t="n">
        <v>63655</v>
      </c>
      <c r="C471" s="31" t="n"/>
      <c r="D471" s="32" t="n"/>
      <c r="E471" s="33" t="n">
        <v>1.4278</v>
      </c>
      <c r="F471" t="inlineStr">
        <is>
          <t>Up</t>
        </is>
      </c>
      <c r="G471" t="inlineStr">
        <is>
          <t>Up</t>
        </is>
      </c>
      <c r="H471" t="inlineStr">
        <is>
          <t>EU_JU</t>
        </is>
      </c>
      <c r="I471" t="inlineStr">
        <is>
          <t>2008-03</t>
        </is>
      </c>
      <c r="J471" t="n">
        <v>1</v>
      </c>
      <c r="K471" t="n">
        <v>1</v>
      </c>
      <c r="L471" s="34">
        <f>IF($J471=1,LN(B472/B471),"")</f>
        <v/>
      </c>
      <c r="M471" s="34">
        <f>IF($K471=1,INDEX(Mensal!$D$2:$D$245,MATCH($I471,Mensal!$A$2:$A$245,0)),"")</f>
        <v/>
      </c>
      <c r="N471" s="34">
        <f>IF($K471=1,L471-M471,"")</f>
        <v/>
      </c>
      <c r="O471" s="34" t="n">
        <v>0.00041743</v>
      </c>
      <c r="P471" s="34">
        <f>IF($J471=1,LN(1+O471),"")</f>
        <v/>
      </c>
      <c r="Q471" s="34">
        <f>IF($J471=1,LN(R472/R471),"")</f>
        <v/>
      </c>
      <c r="R471" s="32" t="n">
        <v>1.673</v>
      </c>
      <c r="S471" s="35" t="n">
        <v>11.888</v>
      </c>
      <c r="T471" s="18" t="n"/>
      <c r="U471" s="18" t="n">
        <v>63655</v>
      </c>
      <c r="V471" s="18" t="n"/>
      <c r="W471" s="18" t="n"/>
      <c r="X471" s="35" t="n">
        <v>11.888</v>
      </c>
      <c r="Y471" s="35" t="n"/>
    </row>
    <row r="472">
      <c r="A472" s="25" t="n">
        <v>39512</v>
      </c>
      <c r="B472" s="18" t="n">
        <v>64629</v>
      </c>
      <c r="C472" s="31" t="n"/>
      <c r="D472" s="32" t="n"/>
      <c r="E472" s="33" t="n">
        <v>1.4371</v>
      </c>
      <c r="F472" t="inlineStr">
        <is>
          <t>Up</t>
        </is>
      </c>
      <c r="G472" t="inlineStr">
        <is>
          <t>Up</t>
        </is>
      </c>
      <c r="H472" t="inlineStr">
        <is>
          <t>EU_JU</t>
        </is>
      </c>
      <c r="I472" t="inlineStr">
        <is>
          <t>2008-03</t>
        </is>
      </c>
      <c r="J472" t="n">
        <v>1</v>
      </c>
      <c r="K472" t="n">
        <v>1</v>
      </c>
      <c r="L472" s="34">
        <f>IF($J472=1,LN(B473/B472),"")</f>
        <v/>
      </c>
      <c r="M472" s="34">
        <f>IF($K472=1,INDEX(Mensal!$D$2:$D$245,MATCH($I472,Mensal!$A$2:$A$245,0)),"")</f>
        <v/>
      </c>
      <c r="N472" s="34">
        <f>IF($K472=1,L472-M472,"")</f>
        <v/>
      </c>
      <c r="O472" s="34" t="n">
        <v>0.00041707</v>
      </c>
      <c r="P472" s="34">
        <f>IF($J472=1,LN(1+O472),"")</f>
        <v/>
      </c>
      <c r="Q472" s="34">
        <f>IF($J472=1,LN(R473/R472),"")</f>
        <v/>
      </c>
      <c r="R472" s="32" t="n">
        <v>1.67</v>
      </c>
      <c r="S472" s="35" t="n">
        <v>11.864</v>
      </c>
      <c r="T472" s="18" t="n"/>
      <c r="U472" s="18" t="n">
        <v>64629</v>
      </c>
      <c r="V472" s="18" t="n"/>
      <c r="W472" s="18" t="n"/>
      <c r="X472" s="35" t="n">
        <v>11.864</v>
      </c>
      <c r="Y472" s="35" t="n"/>
    </row>
    <row r="473">
      <c r="A473" s="25" t="n">
        <v>39513</v>
      </c>
      <c r="B473" s="18" t="n">
        <v>62974</v>
      </c>
      <c r="C473" s="31" t="n"/>
      <c r="D473" s="32" t="n"/>
      <c r="E473" s="33" t="n">
        <v>1.4387</v>
      </c>
      <c r="F473" t="inlineStr">
        <is>
          <t>Up</t>
        </is>
      </c>
      <c r="G473" t="inlineStr">
        <is>
          <t>Up</t>
        </is>
      </c>
      <c r="H473" t="inlineStr">
        <is>
          <t>EU_JU</t>
        </is>
      </c>
      <c r="I473" t="inlineStr">
        <is>
          <t>2008-03</t>
        </is>
      </c>
      <c r="J473" t="n">
        <v>1</v>
      </c>
      <c r="K473" t="n">
        <v>1</v>
      </c>
      <c r="L473" s="34">
        <f>IF($J473=1,LN(B474/B473),"")</f>
        <v/>
      </c>
      <c r="M473" s="34">
        <f>IF($K473=1,INDEX(Mensal!$D$2:$D$245,MATCH($I473,Mensal!$A$2:$A$245,0)),"")</f>
        <v/>
      </c>
      <c r="N473" s="34">
        <f>IF($K473=1,L473-M473,"")</f>
        <v/>
      </c>
      <c r="O473" s="34" t="n">
        <v>0.00041707</v>
      </c>
      <c r="P473" s="34">
        <f>IF($J473=1,LN(1+O473),"")</f>
        <v/>
      </c>
      <c r="Q473" s="34">
        <f>IF($J473=1,LN(R474/R473),"")</f>
        <v/>
      </c>
      <c r="R473" s="32" t="n">
        <v>1.672</v>
      </c>
      <c r="S473" s="35" t="n">
        <v>12.097</v>
      </c>
      <c r="T473" s="18" t="n"/>
      <c r="U473" s="18" t="n">
        <v>62974</v>
      </c>
      <c r="V473" s="18" t="n"/>
      <c r="W473" s="18" t="n"/>
      <c r="X473" s="35" t="n">
        <v>12.097</v>
      </c>
      <c r="Y473" s="35" t="n"/>
    </row>
    <row r="474">
      <c r="A474" s="25" t="n">
        <v>39514</v>
      </c>
      <c r="B474" s="18" t="n">
        <v>61867</v>
      </c>
      <c r="C474" s="31" t="n"/>
      <c r="D474" s="32" t="n"/>
      <c r="E474" s="33" t="n">
        <v>1.4388</v>
      </c>
      <c r="F474" t="inlineStr">
        <is>
          <t>Up</t>
        </is>
      </c>
      <c r="G474" t="inlineStr">
        <is>
          <t>Up</t>
        </is>
      </c>
      <c r="H474" t="inlineStr">
        <is>
          <t>EU_JU</t>
        </is>
      </c>
      <c r="I474" t="inlineStr">
        <is>
          <t>2008-03</t>
        </is>
      </c>
      <c r="J474" t="n">
        <v>1</v>
      </c>
      <c r="K474" t="n">
        <v>1</v>
      </c>
      <c r="L474" s="34">
        <f>IF($J474=1,LN(B475/B474),"")</f>
        <v/>
      </c>
      <c r="M474" s="34">
        <f>IF($K474=1,INDEX(Mensal!$D$2:$D$245,MATCH($I474,Mensal!$A$2:$A$245,0)),"")</f>
        <v/>
      </c>
      <c r="N474" s="34">
        <f>IF($K474=1,L474-M474,"")</f>
        <v/>
      </c>
      <c r="O474" s="34" t="n">
        <v>0.00041743</v>
      </c>
      <c r="P474" s="34">
        <f>IF($J474=1,LN(1+O474),"")</f>
        <v/>
      </c>
      <c r="Q474" s="34">
        <f>IF($J474=1,LN(R475/R474),"")</f>
        <v/>
      </c>
      <c r="R474" s="32" t="n">
        <v>1.6841</v>
      </c>
      <c r="S474" s="35" t="n">
        <v>12.097</v>
      </c>
      <c r="T474" s="18" t="n"/>
      <c r="U474" s="18" t="n">
        <v>61867</v>
      </c>
      <c r="V474" s="18" t="n"/>
      <c r="W474" s="18" t="n"/>
      <c r="X474" s="35" t="n">
        <v>12.097</v>
      </c>
      <c r="Y474" s="35" t="n"/>
    </row>
    <row r="475">
      <c r="A475" s="25" t="n">
        <v>39517</v>
      </c>
      <c r="B475" s="18" t="n">
        <v>59999</v>
      </c>
      <c r="C475" s="31" t="n"/>
      <c r="D475" s="32" t="n"/>
      <c r="E475" s="33" t="n">
        <v>1.4356</v>
      </c>
      <c r="F475" t="inlineStr">
        <is>
          <t>Up</t>
        </is>
      </c>
      <c r="G475" t="inlineStr">
        <is>
          <t>Up</t>
        </is>
      </c>
      <c r="H475" t="inlineStr">
        <is>
          <t>EU_JU</t>
        </is>
      </c>
      <c r="I475" t="inlineStr">
        <is>
          <t>2008-03</t>
        </is>
      </c>
      <c r="J475" t="n">
        <v>1</v>
      </c>
      <c r="K475" t="n">
        <v>1</v>
      </c>
      <c r="L475" s="34">
        <f>IF($J475=1,LN(B476/B475),"")</f>
        <v/>
      </c>
      <c r="M475" s="34">
        <f>IF($K475=1,INDEX(Mensal!$D$2:$D$245,MATCH($I475,Mensal!$A$2:$A$245,0)),"")</f>
        <v/>
      </c>
      <c r="N475" s="34">
        <f>IF($K475=1,L475-M475,"")</f>
        <v/>
      </c>
      <c r="O475" s="34" t="n">
        <v>0.00041743</v>
      </c>
      <c r="P475" s="34">
        <f>IF($J475=1,LN(1+O475),"")</f>
        <v/>
      </c>
      <c r="Q475" s="34">
        <f>IF($J475=1,LN(R476/R475),"")</f>
        <v/>
      </c>
      <c r="R475" s="32" t="n">
        <v>1.6996</v>
      </c>
      <c r="S475" s="35" t="n">
        <v>12.208</v>
      </c>
      <c r="T475" s="18" t="n"/>
      <c r="U475" s="18" t="n">
        <v>59999</v>
      </c>
      <c r="V475" s="18" t="n"/>
      <c r="W475" s="18" t="n"/>
      <c r="X475" s="35" t="n">
        <v>12.208</v>
      </c>
      <c r="Y475" s="35" t="n"/>
    </row>
    <row r="476">
      <c r="A476" s="25" t="n">
        <v>39518</v>
      </c>
      <c r="B476" s="18" t="n">
        <v>62367</v>
      </c>
      <c r="C476" s="31" t="n"/>
      <c r="D476" s="32" t="n"/>
      <c r="E476" s="33" t="n">
        <v>1.4275</v>
      </c>
      <c r="F476" t="inlineStr">
        <is>
          <t>Up</t>
        </is>
      </c>
      <c r="G476" t="inlineStr">
        <is>
          <t>Up</t>
        </is>
      </c>
      <c r="H476" t="inlineStr">
        <is>
          <t>EU_JU</t>
        </is>
      </c>
      <c r="I476" t="inlineStr">
        <is>
          <t>2008-03</t>
        </is>
      </c>
      <c r="J476" t="n">
        <v>1</v>
      </c>
      <c r="K476" t="n">
        <v>1</v>
      </c>
      <c r="L476" s="34">
        <f>IF($J476=1,LN(B477/B476),"")</f>
        <v/>
      </c>
      <c r="M476" s="34">
        <f>IF($K476=1,INDEX(Mensal!$D$2:$D$245,MATCH($I476,Mensal!$A$2:$A$245,0)),"")</f>
        <v/>
      </c>
      <c r="N476" s="34">
        <f>IF($K476=1,L476-M476,"")</f>
        <v/>
      </c>
      <c r="O476" s="34" t="n">
        <v>0.00041779</v>
      </c>
      <c r="P476" s="34">
        <f>IF($J476=1,LN(1+O476),"")</f>
        <v/>
      </c>
      <c r="Q476" s="34">
        <f>IF($J476=1,LN(R477/R476),"")</f>
        <v/>
      </c>
      <c r="R476" s="32" t="n">
        <v>1.6947</v>
      </c>
      <c r="S476" s="35" t="n">
        <v>12.17</v>
      </c>
      <c r="T476" s="18" t="n"/>
      <c r="U476" s="18" t="n">
        <v>62367</v>
      </c>
      <c r="V476" s="18" t="n"/>
      <c r="W476" s="18" t="n"/>
      <c r="X476" s="35" t="n">
        <v>12.17</v>
      </c>
      <c r="Y476" s="35" t="n"/>
    </row>
    <row r="477">
      <c r="A477" s="25" t="n">
        <v>39519</v>
      </c>
      <c r="B477" s="18" t="n">
        <v>62176</v>
      </c>
      <c r="C477" s="31" t="n"/>
      <c r="D477" s="32" t="n"/>
      <c r="E477" s="33" t="n">
        <v>1.4169</v>
      </c>
      <c r="F477" t="inlineStr">
        <is>
          <t>Up</t>
        </is>
      </c>
      <c r="G477" t="inlineStr">
        <is>
          <t>Up</t>
        </is>
      </c>
      <c r="H477" t="inlineStr">
        <is>
          <t>EU_JU</t>
        </is>
      </c>
      <c r="I477" t="inlineStr">
        <is>
          <t>2008-03</t>
        </is>
      </c>
      <c r="J477" t="n">
        <v>1</v>
      </c>
      <c r="K477" t="n">
        <v>1</v>
      </c>
      <c r="L477" s="34">
        <f>IF($J477=1,LN(B478/B477),"")</f>
        <v/>
      </c>
      <c r="M477" s="34">
        <f>IF($K477=1,INDEX(Mensal!$D$2:$D$245,MATCH($I477,Mensal!$A$2:$A$245,0)),"")</f>
        <v/>
      </c>
      <c r="N477" s="34">
        <f>IF($K477=1,L477-M477,"")</f>
        <v/>
      </c>
      <c r="O477" s="34" t="n">
        <v>0.00041707</v>
      </c>
      <c r="P477" s="34">
        <f>IF($J477=1,LN(1+O477),"")</f>
        <v/>
      </c>
      <c r="Q477" s="34">
        <f>IF($J477=1,LN(R478/R477),"")</f>
        <v/>
      </c>
      <c r="R477" s="32" t="n">
        <v>1.6796</v>
      </c>
      <c r="S477" s="35" t="n">
        <v>12.251</v>
      </c>
      <c r="T477" s="18" t="n"/>
      <c r="U477" s="18" t="n">
        <v>62176</v>
      </c>
      <c r="V477" s="18" t="n"/>
      <c r="W477" s="18" t="n"/>
      <c r="X477" s="35" t="n">
        <v>12.251</v>
      </c>
      <c r="Y477" s="35" t="n"/>
    </row>
    <row r="478">
      <c r="A478" s="25" t="n">
        <v>39520</v>
      </c>
      <c r="B478" s="18" t="n">
        <v>62279</v>
      </c>
      <c r="C478" s="31" t="n"/>
      <c r="D478" s="32" t="n"/>
      <c r="E478" s="33" t="n">
        <v>1.4047</v>
      </c>
      <c r="F478" t="inlineStr">
        <is>
          <t>Up</t>
        </is>
      </c>
      <c r="G478" t="inlineStr">
        <is>
          <t>Up</t>
        </is>
      </c>
      <c r="H478" t="inlineStr">
        <is>
          <t>EU_JU</t>
        </is>
      </c>
      <c r="I478" t="inlineStr">
        <is>
          <t>2008-03</t>
        </is>
      </c>
      <c r="J478" t="n">
        <v>1</v>
      </c>
      <c r="K478" t="n">
        <v>1</v>
      </c>
      <c r="L478" s="34">
        <f>IF($J478=1,LN(B479/B478),"")</f>
        <v/>
      </c>
      <c r="M478" s="34">
        <f>IF($K478=1,INDEX(Mensal!$D$2:$D$245,MATCH($I478,Mensal!$A$2:$A$245,0)),"")</f>
        <v/>
      </c>
      <c r="N478" s="34">
        <f>IF($K478=1,L478-M478,"")</f>
        <v/>
      </c>
      <c r="O478" s="34" t="n">
        <v>0.00041707</v>
      </c>
      <c r="P478" s="34">
        <f>IF($J478=1,LN(1+O478),"")</f>
        <v/>
      </c>
      <c r="Q478" s="34">
        <f>IF($J478=1,LN(R479/R478),"")</f>
        <v/>
      </c>
      <c r="R478" s="32" t="n">
        <v>1.6971</v>
      </c>
      <c r="S478" s="35" t="n">
        <v>12.393</v>
      </c>
      <c r="T478" s="18" t="n"/>
      <c r="U478" s="18" t="n">
        <v>62279</v>
      </c>
      <c r="V478" s="18" t="n"/>
      <c r="W478" s="18" t="n"/>
      <c r="X478" s="35" t="n">
        <v>12.393</v>
      </c>
      <c r="Y478" s="35" t="n"/>
    </row>
    <row r="479">
      <c r="A479" s="25" t="n">
        <v>39521</v>
      </c>
      <c r="B479" s="18" t="n">
        <v>61990</v>
      </c>
      <c r="C479" s="31" t="n"/>
      <c r="D479" s="32" t="n"/>
      <c r="E479" s="33" t="n">
        <v>1.3939</v>
      </c>
      <c r="F479" t="inlineStr">
        <is>
          <t>Up</t>
        </is>
      </c>
      <c r="G479" t="inlineStr">
        <is>
          <t>Up</t>
        </is>
      </c>
      <c r="H479" t="inlineStr">
        <is>
          <t>EU_JU</t>
        </is>
      </c>
      <c r="I479" t="inlineStr">
        <is>
          <t>2008-03</t>
        </is>
      </c>
      <c r="J479" t="n">
        <v>1</v>
      </c>
      <c r="K479" t="n">
        <v>1</v>
      </c>
      <c r="L479" s="34">
        <f>IF($J479=1,LN(B480/B479),"")</f>
        <v/>
      </c>
      <c r="M479" s="34">
        <f>IF($K479=1,INDEX(Mensal!$D$2:$D$245,MATCH($I479,Mensal!$A$2:$A$245,0)),"")</f>
        <v/>
      </c>
      <c r="N479" s="34">
        <f>IF($K479=1,L479-M479,"")</f>
        <v/>
      </c>
      <c r="O479" s="34" t="n">
        <v>0.00041779</v>
      </c>
      <c r="P479" s="34">
        <f>IF($J479=1,LN(1+O479),"")</f>
        <v/>
      </c>
      <c r="Q479" s="34">
        <f>IF($J479=1,LN(R480/R479),"")</f>
        <v/>
      </c>
      <c r="R479" s="32" t="n">
        <v>1.6947</v>
      </c>
      <c r="S479" s="35" t="n">
        <v>12.497</v>
      </c>
      <c r="T479" s="18" t="n"/>
      <c r="U479" s="18" t="n">
        <v>61990</v>
      </c>
      <c r="V479" s="18" t="n"/>
      <c r="W479" s="18" t="n"/>
      <c r="X479" s="35" t="n">
        <v>12.497</v>
      </c>
      <c r="Y479" s="35" t="n"/>
    </row>
    <row r="480">
      <c r="A480" s="25" t="n">
        <v>39524</v>
      </c>
      <c r="B480" s="18" t="n">
        <v>60011</v>
      </c>
      <c r="C480" s="31" t="n"/>
      <c r="D480" s="32" t="n"/>
      <c r="E480" s="33" t="n">
        <v>1.383</v>
      </c>
      <c r="F480" t="inlineStr">
        <is>
          <t>Up</t>
        </is>
      </c>
      <c r="G480" t="inlineStr">
        <is>
          <t>Up</t>
        </is>
      </c>
      <c r="H480" t="inlineStr">
        <is>
          <t>EU_JU</t>
        </is>
      </c>
      <c r="I480" t="inlineStr">
        <is>
          <t>2008-03</t>
        </is>
      </c>
      <c r="J480" t="n">
        <v>1</v>
      </c>
      <c r="K480" t="n">
        <v>1</v>
      </c>
      <c r="L480" s="34">
        <f>IF($J480=1,LN(B481/B480),"")</f>
        <v/>
      </c>
      <c r="M480" s="34">
        <f>IF($K480=1,INDEX(Mensal!$D$2:$D$245,MATCH($I480,Mensal!$A$2:$A$245,0)),"")</f>
        <v/>
      </c>
      <c r="N480" s="34">
        <f>IF($K480=1,L480-M480,"")</f>
        <v/>
      </c>
      <c r="O480" s="34" t="n">
        <v>0.00041743</v>
      </c>
      <c r="P480" s="34">
        <f>IF($J480=1,LN(1+O480),"")</f>
        <v/>
      </c>
      <c r="Q480" s="34">
        <f>IF($J480=1,LN(R481/R480),"")</f>
        <v/>
      </c>
      <c r="R480" s="32" t="n">
        <v>1.7248</v>
      </c>
      <c r="S480" s="35" t="n">
        <v>12.548</v>
      </c>
      <c r="T480" s="18" t="n"/>
      <c r="U480" s="18" t="n">
        <v>60011</v>
      </c>
      <c r="V480" s="18" t="n"/>
      <c r="W480" s="18" t="n"/>
      <c r="X480" s="35" t="n">
        <v>12.548</v>
      </c>
      <c r="Y480" s="35" t="n"/>
    </row>
    <row r="481">
      <c r="A481" s="25" t="n">
        <v>39525</v>
      </c>
      <c r="B481" s="18" t="n">
        <v>61932</v>
      </c>
      <c r="C481" s="31" t="n"/>
      <c r="D481" s="32" t="n"/>
      <c r="E481" s="33" t="n">
        <v>1.3738</v>
      </c>
      <c r="F481" t="inlineStr">
        <is>
          <t>Up</t>
        </is>
      </c>
      <c r="G481" t="inlineStr">
        <is>
          <t>Up</t>
        </is>
      </c>
      <c r="H481" t="inlineStr">
        <is>
          <t>EU_JU</t>
        </is>
      </c>
      <c r="I481" t="inlineStr">
        <is>
          <t>2008-03</t>
        </is>
      </c>
      <c r="J481" t="n">
        <v>1</v>
      </c>
      <c r="K481" t="n">
        <v>1</v>
      </c>
      <c r="L481" s="34">
        <f>IF($J481=1,LN(B482/B481),"")</f>
        <v/>
      </c>
      <c r="M481" s="34">
        <f>IF($K481=1,INDEX(Mensal!$D$2:$D$245,MATCH($I481,Mensal!$A$2:$A$245,0)),"")</f>
        <v/>
      </c>
      <c r="N481" s="34">
        <f>IF($K481=1,L481-M481,"")</f>
        <v/>
      </c>
      <c r="O481" s="34" t="n">
        <v>0.00041743</v>
      </c>
      <c r="P481" s="34">
        <f>IF($J481=1,LN(1+O481),"")</f>
        <v/>
      </c>
      <c r="Q481" s="34">
        <f>IF($J481=1,LN(R482/R481),"")</f>
        <v/>
      </c>
      <c r="R481" s="32" t="n">
        <v>1.7007</v>
      </c>
      <c r="S481" s="35" t="n">
        <v>12.476</v>
      </c>
      <c r="T481" s="18" t="n"/>
      <c r="U481" s="18" t="n">
        <v>61932</v>
      </c>
      <c r="V481" s="18" t="n"/>
      <c r="W481" s="18" t="n"/>
      <c r="X481" s="35" t="n">
        <v>12.476</v>
      </c>
      <c r="Y481" s="35" t="n"/>
    </row>
    <row r="482">
      <c r="A482" s="25" t="n">
        <v>39526</v>
      </c>
      <c r="B482" s="18" t="n">
        <v>58827</v>
      </c>
      <c r="C482" s="31" t="n"/>
      <c r="D482" s="32" t="n"/>
      <c r="E482" s="33" t="n">
        <v>1.3643</v>
      </c>
      <c r="F482" t="inlineStr">
        <is>
          <t>Up</t>
        </is>
      </c>
      <c r="G482" t="inlineStr">
        <is>
          <t>Up</t>
        </is>
      </c>
      <c r="H482" t="inlineStr">
        <is>
          <t>EU_JU</t>
        </is>
      </c>
      <c r="I482" t="inlineStr">
        <is>
          <t>2008-03</t>
        </is>
      </c>
      <c r="J482" t="n">
        <v>1</v>
      </c>
      <c r="K482" t="n">
        <v>1</v>
      </c>
      <c r="L482" s="34">
        <f>IF($J482=1,LN(B483/B482),"")</f>
        <v/>
      </c>
      <c r="M482" s="34">
        <f>IF($K482=1,INDEX(Mensal!$D$2:$D$245,MATCH($I482,Mensal!$A$2:$A$245,0)),"")</f>
        <v/>
      </c>
      <c r="N482" s="34">
        <f>IF($K482=1,L482-M482,"")</f>
        <v/>
      </c>
      <c r="O482" s="34" t="n">
        <v>0.00041779</v>
      </c>
      <c r="P482" s="34">
        <f>IF($J482=1,LN(1+O482),"")</f>
        <v/>
      </c>
      <c r="Q482" s="34">
        <f>IF($J482=1,LN(R483/R482),"")</f>
        <v/>
      </c>
      <c r="R482" s="32" t="n">
        <v>1.7045</v>
      </c>
      <c r="S482" s="35" t="n">
        <v>12.543</v>
      </c>
      <c r="T482" s="18" t="n"/>
      <c r="U482" s="18" t="n">
        <v>58827</v>
      </c>
      <c r="V482" s="18" t="n"/>
      <c r="W482" s="18" t="n"/>
      <c r="X482" s="35" t="n">
        <v>12.543</v>
      </c>
      <c r="Y482" s="35" t="n"/>
    </row>
    <row r="483">
      <c r="A483" s="25" t="n">
        <v>39527</v>
      </c>
      <c r="B483" s="18" t="n">
        <v>58987</v>
      </c>
      <c r="C483" s="31" t="n"/>
      <c r="D483" s="32" t="n"/>
      <c r="E483" s="33" t="n">
        <v>1.3476</v>
      </c>
      <c r="F483" t="inlineStr">
        <is>
          <t>Up</t>
        </is>
      </c>
      <c r="G483" t="inlineStr">
        <is>
          <t>Up</t>
        </is>
      </c>
      <c r="H483" t="inlineStr">
        <is>
          <t>EU_JU</t>
        </is>
      </c>
      <c r="I483" t="inlineStr">
        <is>
          <t>2008-03</t>
        </is>
      </c>
      <c r="J483" t="n">
        <v>1</v>
      </c>
      <c r="K483" t="n">
        <v>1</v>
      </c>
      <c r="L483" s="34">
        <f>IF($J483=1,LN(B484/B483),"")</f>
        <v/>
      </c>
      <c r="M483" s="34">
        <f>IF($K483=1,INDEX(Mensal!$D$2:$D$245,MATCH($I483,Mensal!$A$2:$A$245,0)),"")</f>
        <v/>
      </c>
      <c r="N483" s="34">
        <f>IF($K483=1,L483-M483,"")</f>
        <v/>
      </c>
      <c r="O483" s="34" t="n">
        <v>0.00041814</v>
      </c>
      <c r="P483" s="34">
        <f>IF($J483=1,LN(1+O483),"")</f>
        <v/>
      </c>
      <c r="Q483" s="34">
        <f>IF($J483=1,LN(R484/R483),"")</f>
        <v/>
      </c>
      <c r="R483" s="32" t="n">
        <v>1.7424</v>
      </c>
      <c r="S483" s="35" t="n">
        <v>12.512</v>
      </c>
      <c r="T483" s="18" t="n"/>
      <c r="U483" s="18" t="n">
        <v>58987</v>
      </c>
      <c r="V483" s="18" t="n"/>
      <c r="W483" s="18" t="n"/>
      <c r="X483" s="35" t="n">
        <v>12.512</v>
      </c>
      <c r="Y483" s="35" t="n"/>
    </row>
    <row r="484">
      <c r="A484" s="25" t="n">
        <v>39531</v>
      </c>
      <c r="B484" s="18" t="n">
        <v>59812</v>
      </c>
      <c r="C484" s="31" t="n"/>
      <c r="D484" s="32" t="n"/>
      <c r="E484" s="33" t="n">
        <v>1.3283</v>
      </c>
      <c r="F484" t="inlineStr">
        <is>
          <t>Up</t>
        </is>
      </c>
      <c r="G484" t="inlineStr">
        <is>
          <t>Up</t>
        </is>
      </c>
      <c r="H484" t="inlineStr">
        <is>
          <t>EU_JU</t>
        </is>
      </c>
      <c r="I484" t="inlineStr">
        <is>
          <t>2008-03</t>
        </is>
      </c>
      <c r="J484" t="n">
        <v>1</v>
      </c>
      <c r="K484" t="n">
        <v>1</v>
      </c>
      <c r="L484" s="34">
        <f>IF($J484=1,LN(B485/B484),"")</f>
        <v/>
      </c>
      <c r="M484" s="34">
        <f>IF($K484=1,INDEX(Mensal!$D$2:$D$245,MATCH($I484,Mensal!$A$2:$A$245,0)),"")</f>
        <v/>
      </c>
      <c r="N484" s="34">
        <f>IF($K484=1,L484-M484,"")</f>
        <v/>
      </c>
      <c r="O484" s="34" t="n">
        <v>0.00041779</v>
      </c>
      <c r="P484" s="34">
        <f>IF($J484=1,LN(1+O484),"")</f>
        <v/>
      </c>
      <c r="Q484" s="34">
        <f>IF($J484=1,LN(R485/R484),"")</f>
        <v/>
      </c>
      <c r="R484" s="32" t="n">
        <v>1.7407</v>
      </c>
      <c r="S484" s="35" t="n">
        <v>12.536</v>
      </c>
      <c r="T484" s="18" t="n"/>
      <c r="U484" s="18" t="n">
        <v>59812</v>
      </c>
      <c r="V484" s="18" t="n"/>
      <c r="W484" s="18" t="n"/>
      <c r="X484" s="35" t="n">
        <v>12.536</v>
      </c>
      <c r="Y484" s="35" t="n"/>
    </row>
    <row r="485">
      <c r="A485" s="25" t="n">
        <v>39532</v>
      </c>
      <c r="B485" s="18" t="n">
        <v>61234</v>
      </c>
      <c r="C485" s="31" t="n"/>
      <c r="D485" s="32" t="n"/>
      <c r="E485" s="33" t="n">
        <v>1.3087</v>
      </c>
      <c r="F485" t="inlineStr">
        <is>
          <t>Up</t>
        </is>
      </c>
      <c r="G485" t="inlineStr">
        <is>
          <t>Up</t>
        </is>
      </c>
      <c r="H485" t="inlineStr">
        <is>
          <t>EU_JU</t>
        </is>
      </c>
      <c r="I485" t="inlineStr">
        <is>
          <t>2008-03</t>
        </is>
      </c>
      <c r="J485" t="n">
        <v>1</v>
      </c>
      <c r="K485" t="n">
        <v>1</v>
      </c>
      <c r="L485" s="34">
        <f>IF($J485=1,LN(B486/B485),"")</f>
        <v/>
      </c>
      <c r="M485" s="34">
        <f>IF($K485=1,INDEX(Mensal!$D$2:$D$245,MATCH($I485,Mensal!$A$2:$A$245,0)),"")</f>
        <v/>
      </c>
      <c r="N485" s="34">
        <f>IF($K485=1,L485-M485,"")</f>
        <v/>
      </c>
      <c r="O485" s="34" t="n">
        <v>0.00041779</v>
      </c>
      <c r="P485" s="34">
        <f>IF($J485=1,LN(1+O485),"")</f>
        <v/>
      </c>
      <c r="Q485" s="34">
        <f>IF($J485=1,LN(R486/R485),"")</f>
        <v/>
      </c>
      <c r="R485" s="32" t="n">
        <v>1.7341</v>
      </c>
      <c r="S485" s="35" t="n">
        <v>12.561</v>
      </c>
      <c r="T485" s="18" t="n"/>
      <c r="U485" s="18" t="n">
        <v>61234</v>
      </c>
      <c r="V485" s="18" t="n"/>
      <c r="W485" s="18" t="n"/>
      <c r="X485" s="35" t="n">
        <v>12.561</v>
      </c>
      <c r="Y485" s="35" t="n"/>
    </row>
    <row r="486">
      <c r="A486" s="25" t="n">
        <v>39533</v>
      </c>
      <c r="B486" s="18" t="n">
        <v>61415</v>
      </c>
      <c r="C486" s="31" t="n"/>
      <c r="D486" s="32" t="n"/>
      <c r="E486" s="33" t="n">
        <v>1.2974</v>
      </c>
      <c r="F486" t="inlineStr">
        <is>
          <t>Up</t>
        </is>
      </c>
      <c r="G486" t="inlineStr">
        <is>
          <t>Up</t>
        </is>
      </c>
      <c r="H486" t="inlineStr">
        <is>
          <t>EU_JU</t>
        </is>
      </c>
      <c r="I486" t="inlineStr">
        <is>
          <t>2008-03</t>
        </is>
      </c>
      <c r="J486" t="n">
        <v>1</v>
      </c>
      <c r="K486" t="n">
        <v>1</v>
      </c>
      <c r="L486" s="34">
        <f>IF($J486=1,LN(B487/B486),"")</f>
        <v/>
      </c>
      <c r="M486" s="34">
        <f>IF($K486=1,INDEX(Mensal!$D$2:$D$245,MATCH($I486,Mensal!$A$2:$A$245,0)),"")</f>
        <v/>
      </c>
      <c r="N486" s="34">
        <f>IF($K486=1,L486-M486,"")</f>
        <v/>
      </c>
      <c r="O486" s="34" t="n">
        <v>0.00041743</v>
      </c>
      <c r="P486" s="34">
        <f>IF($J486=1,LN(1+O486),"")</f>
        <v/>
      </c>
      <c r="Q486" s="34">
        <f>IF($J486=1,LN(R487/R486),"")</f>
        <v/>
      </c>
      <c r="R486" s="32" t="n">
        <v>1.7288</v>
      </c>
      <c r="S486" s="35" t="n">
        <v>12.567</v>
      </c>
      <c r="T486" s="18" t="n"/>
      <c r="U486" s="18" t="n">
        <v>61415</v>
      </c>
      <c r="V486" s="18" t="n"/>
      <c r="W486" s="18" t="n"/>
      <c r="X486" s="35" t="n">
        <v>12.567</v>
      </c>
      <c r="Y486" s="35" t="n"/>
    </row>
    <row r="487">
      <c r="A487" s="25" t="n">
        <v>39534</v>
      </c>
      <c r="B487" s="18" t="n">
        <v>60761</v>
      </c>
      <c r="C487" s="31" t="n"/>
      <c r="D487" s="32" t="n"/>
      <c r="E487" s="33" t="n">
        <v>1.2882</v>
      </c>
      <c r="F487" t="inlineStr">
        <is>
          <t>Up</t>
        </is>
      </c>
      <c r="G487" t="inlineStr">
        <is>
          <t>Up</t>
        </is>
      </c>
      <c r="H487" t="inlineStr">
        <is>
          <t>EU_JU</t>
        </is>
      </c>
      <c r="I487" t="inlineStr">
        <is>
          <t>2008-03</t>
        </is>
      </c>
      <c r="J487" t="n">
        <v>1</v>
      </c>
      <c r="K487" t="n">
        <v>1</v>
      </c>
      <c r="L487" s="34">
        <f>IF($J487=1,LN(B488/B487),"")</f>
        <v/>
      </c>
      <c r="M487" s="34">
        <f>IF($K487=1,INDEX(Mensal!$D$2:$D$245,MATCH($I487,Mensal!$A$2:$A$245,0)),"")</f>
        <v/>
      </c>
      <c r="N487" s="34">
        <f>IF($K487=1,L487-M487,"")</f>
        <v/>
      </c>
      <c r="O487" s="34" t="n">
        <v>0.00041743</v>
      </c>
      <c r="P487" s="34">
        <f>IF($J487=1,LN(1+O487),"")</f>
        <v/>
      </c>
      <c r="Q487" s="34">
        <f>IF($J487=1,LN(R488/R487),"")</f>
        <v/>
      </c>
      <c r="R487" s="32" t="n">
        <v>1.7345</v>
      </c>
      <c r="S487" s="35" t="n">
        <v>12.637</v>
      </c>
      <c r="T487" s="18" t="n"/>
      <c r="U487" s="18" t="n">
        <v>60761</v>
      </c>
      <c r="V487" s="18" t="n"/>
      <c r="W487" s="18" t="n"/>
      <c r="X487" s="35" t="n">
        <v>12.637</v>
      </c>
      <c r="Y487" s="35" t="n"/>
    </row>
    <row r="488">
      <c r="A488" s="25" t="n">
        <v>39535</v>
      </c>
      <c r="B488" s="18" t="n">
        <v>60452</v>
      </c>
      <c r="C488" s="31" t="n"/>
      <c r="D488" s="32" t="n"/>
      <c r="E488" s="33" t="n">
        <v>1.2823</v>
      </c>
      <c r="F488" t="inlineStr">
        <is>
          <t>Up</t>
        </is>
      </c>
      <c r="G488" t="inlineStr">
        <is>
          <t>Up</t>
        </is>
      </c>
      <c r="H488" t="inlineStr">
        <is>
          <t>EU_JU</t>
        </is>
      </c>
      <c r="I488" t="inlineStr">
        <is>
          <t>2008-03</t>
        </is>
      </c>
      <c r="J488" t="n">
        <v>1</v>
      </c>
      <c r="K488" t="n">
        <v>1</v>
      </c>
      <c r="L488" s="34">
        <f>IF($J488=1,LN(B489/B488),"")</f>
        <v/>
      </c>
      <c r="M488" s="34">
        <f>IF($K488=1,INDEX(Mensal!$D$2:$D$245,MATCH($I488,Mensal!$A$2:$A$245,0)),"")</f>
        <v/>
      </c>
      <c r="N488" s="34">
        <f>IF($K488=1,L488-M488,"")</f>
        <v/>
      </c>
      <c r="O488" s="34" t="n">
        <v>0.00041743</v>
      </c>
      <c r="P488" s="34">
        <f>IF($J488=1,LN(1+O488),"")</f>
        <v/>
      </c>
      <c r="Q488" s="34">
        <f>IF($J488=1,LN(R489/R488),"")</f>
        <v/>
      </c>
      <c r="R488" s="32" t="n">
        <v>1.7456</v>
      </c>
      <c r="S488" s="35" t="n">
        <v>12.62</v>
      </c>
      <c r="T488" s="18" t="n"/>
      <c r="U488" s="18" t="n">
        <v>60452</v>
      </c>
      <c r="V488" s="18" t="n"/>
      <c r="W488" s="18" t="n"/>
      <c r="X488" s="35" t="n">
        <v>12.62</v>
      </c>
      <c r="Y488" s="35" t="n"/>
    </row>
    <row r="489">
      <c r="A489" s="25" t="n">
        <v>39538</v>
      </c>
      <c r="B489" s="18" t="n">
        <v>60968</v>
      </c>
      <c r="C489" s="31" t="n"/>
      <c r="D489" s="32" t="n"/>
      <c r="E489" s="33" t="n">
        <v>1.264</v>
      </c>
      <c r="F489" t="inlineStr">
        <is>
          <t>Up</t>
        </is>
      </c>
      <c r="G489" t="inlineStr">
        <is>
          <t>Up</t>
        </is>
      </c>
      <c r="H489" t="inlineStr">
        <is>
          <t>EU_JU</t>
        </is>
      </c>
      <c r="I489" t="inlineStr">
        <is>
          <t>2008-03</t>
        </is>
      </c>
      <c r="J489" t="n">
        <v>1</v>
      </c>
      <c r="K489" t="n">
        <v>1</v>
      </c>
      <c r="L489" s="34">
        <f>IF($J489=1,LN(B490/B489),"")</f>
        <v/>
      </c>
      <c r="M489" s="34">
        <f>IF($K489=1,INDEX(Mensal!$D$2:$D$245,MATCH($I489,Mensal!$A$2:$A$245,0)),"")</f>
        <v/>
      </c>
      <c r="N489" s="34">
        <f>IF($K489=1,L489-M489,"")</f>
        <v/>
      </c>
      <c r="O489" s="34" t="n">
        <v>0.00041957</v>
      </c>
      <c r="P489" s="34">
        <f>IF($J489=1,LN(1+O489),"")</f>
        <v/>
      </c>
      <c r="Q489" s="34">
        <f>IF($J489=1,LN(R490/R489),"")</f>
        <v/>
      </c>
      <c r="R489" s="32" t="n">
        <v>1.7491</v>
      </c>
      <c r="S489" s="35" t="n">
        <v>12.693</v>
      </c>
      <c r="T489" s="18" t="n"/>
      <c r="U489" s="18" t="n">
        <v>60968</v>
      </c>
      <c r="V489" s="18" t="n"/>
      <c r="W489" s="18" t="n"/>
      <c r="X489" s="35" t="n">
        <v>12.693</v>
      </c>
      <c r="Y489" s="35" t="n"/>
    </row>
    <row r="490">
      <c r="A490" s="25" t="n">
        <v>39539</v>
      </c>
      <c r="B490" s="18" t="n">
        <v>62774</v>
      </c>
      <c r="C490" s="31" t="n"/>
      <c r="D490" s="32" t="n"/>
      <c r="E490" s="33" t="n">
        <v>1.2451</v>
      </c>
      <c r="F490" t="inlineStr">
        <is>
          <t>Up</t>
        </is>
      </c>
      <c r="G490" t="inlineStr">
        <is>
          <t>Up</t>
        </is>
      </c>
      <c r="H490" t="inlineStr">
        <is>
          <t>EU_JU</t>
        </is>
      </c>
      <c r="I490" t="inlineStr">
        <is>
          <t>2008-04</t>
        </is>
      </c>
      <c r="J490" t="n">
        <v>1</v>
      </c>
      <c r="K490" t="n">
        <v>1</v>
      </c>
      <c r="L490" s="34">
        <f>IF($J490=1,LN(B491/B490),"")</f>
        <v/>
      </c>
      <c r="M490" s="34">
        <f>IF($K490=1,INDEX(Mensal!$D$2:$D$245,MATCH($I490,Mensal!$A$2:$A$245,0)),"")</f>
        <v/>
      </c>
      <c r="N490" s="34">
        <f>IF($K490=1,L490-M490,"")</f>
        <v/>
      </c>
      <c r="O490" s="34" t="n">
        <v>0.00041922</v>
      </c>
      <c r="P490" s="34">
        <f>IF($J490=1,LN(1+O490),"")</f>
        <v/>
      </c>
      <c r="Q490" s="34">
        <f>IF($J490=1,LN(R491/R490),"")</f>
        <v/>
      </c>
      <c r="R490" s="32" t="n">
        <v>1.7534</v>
      </c>
      <c r="S490" s="35" t="n">
        <v>12.668</v>
      </c>
      <c r="T490" s="18" t="n"/>
      <c r="U490" s="18" t="n">
        <v>62774</v>
      </c>
      <c r="V490" s="18" t="n"/>
      <c r="W490" s="18" t="n"/>
      <c r="X490" s="35" t="n">
        <v>12.668</v>
      </c>
      <c r="Y490" s="35" t="n"/>
    </row>
    <row r="491">
      <c r="A491" s="25" t="n">
        <v>39540</v>
      </c>
      <c r="B491" s="18" t="n">
        <v>63364</v>
      </c>
      <c r="C491" s="31" t="n"/>
      <c r="D491" s="32" t="n"/>
      <c r="E491" s="33" t="n">
        <v>1.2271</v>
      </c>
      <c r="F491" t="inlineStr">
        <is>
          <t>Up</t>
        </is>
      </c>
      <c r="G491" t="inlineStr">
        <is>
          <t>Up</t>
        </is>
      </c>
      <c r="H491" t="inlineStr">
        <is>
          <t>EU_JU</t>
        </is>
      </c>
      <c r="I491" t="inlineStr">
        <is>
          <t>2008-04</t>
        </is>
      </c>
      <c r="J491" t="n">
        <v>1</v>
      </c>
      <c r="K491" t="n">
        <v>1</v>
      </c>
      <c r="L491" s="34">
        <f>IF($J491=1,LN(B492/B491),"")</f>
        <v/>
      </c>
      <c r="M491" s="34">
        <f>IF($K491=1,INDEX(Mensal!$D$2:$D$245,MATCH($I491,Mensal!$A$2:$A$245,0)),"")</f>
        <v/>
      </c>
      <c r="N491" s="34">
        <f>IF($K491=1,L491-M491,"")</f>
        <v/>
      </c>
      <c r="O491" s="34" t="n">
        <v>0.00041779</v>
      </c>
      <c r="P491" s="34">
        <f>IF($J491=1,LN(1+O491),"")</f>
        <v/>
      </c>
      <c r="Q491" s="34">
        <f>IF($J491=1,LN(R492/R491),"")</f>
        <v/>
      </c>
      <c r="R491" s="32" t="n">
        <v>1.7273</v>
      </c>
      <c r="S491" s="35" t="n">
        <v>12.632</v>
      </c>
      <c r="T491" s="18" t="n"/>
      <c r="U491" s="18" t="n">
        <v>63364</v>
      </c>
      <c r="V491" s="18" t="n"/>
      <c r="W491" s="18" t="n"/>
      <c r="X491" s="35" t="n">
        <v>12.632</v>
      </c>
      <c r="Y491" s="35" t="n"/>
    </row>
    <row r="492">
      <c r="A492" s="25" t="n">
        <v>39541</v>
      </c>
      <c r="B492" s="18" t="n">
        <v>64175</v>
      </c>
      <c r="C492" s="31" t="n"/>
      <c r="D492" s="32" t="n"/>
      <c r="E492" s="33" t="n">
        <v>1.206</v>
      </c>
      <c r="F492" t="inlineStr">
        <is>
          <t>Up</t>
        </is>
      </c>
      <c r="G492" t="inlineStr">
        <is>
          <t>Up</t>
        </is>
      </c>
      <c r="H492" t="inlineStr">
        <is>
          <t>EU_JU</t>
        </is>
      </c>
      <c r="I492" t="inlineStr">
        <is>
          <t>2008-04</t>
        </is>
      </c>
      <c r="J492" t="n">
        <v>1</v>
      </c>
      <c r="K492" t="n">
        <v>1</v>
      </c>
      <c r="L492" s="34">
        <f>IF($J492=1,LN(B493/B492),"")</f>
        <v/>
      </c>
      <c r="M492" s="34">
        <f>IF($K492=1,INDEX(Mensal!$D$2:$D$245,MATCH($I492,Mensal!$A$2:$A$245,0)),"")</f>
        <v/>
      </c>
      <c r="N492" s="34">
        <f>IF($K492=1,L492-M492,"")</f>
        <v/>
      </c>
      <c r="O492" s="34" t="n">
        <v>0.00041957</v>
      </c>
      <c r="P492" s="34">
        <f>IF($J492=1,LN(1+O492),"")</f>
        <v/>
      </c>
      <c r="Q492" s="34">
        <f>IF($J492=1,LN(R493/R492),"")</f>
        <v/>
      </c>
      <c r="R492" s="32" t="n">
        <v>1.7252</v>
      </c>
      <c r="S492" s="35" t="n">
        <v>12.583</v>
      </c>
      <c r="T492" s="18" t="n"/>
      <c r="U492" s="18" t="n">
        <v>64175</v>
      </c>
      <c r="V492" s="18" t="n"/>
      <c r="W492" s="18" t="n"/>
      <c r="X492" s="35" t="n">
        <v>12.583</v>
      </c>
      <c r="Y492" s="35" t="n"/>
    </row>
    <row r="493">
      <c r="A493" s="25" t="n">
        <v>39542</v>
      </c>
      <c r="B493" s="18" t="n">
        <v>64446</v>
      </c>
      <c r="C493" s="31" t="n"/>
      <c r="D493" s="32" t="n"/>
      <c r="E493" s="33" t="n">
        <v>1.1835</v>
      </c>
      <c r="F493" t="inlineStr">
        <is>
          <t>Up</t>
        </is>
      </c>
      <c r="G493" t="inlineStr">
        <is>
          <t>Up</t>
        </is>
      </c>
      <c r="H493" t="inlineStr">
        <is>
          <t>EU_JU</t>
        </is>
      </c>
      <c r="I493" t="inlineStr">
        <is>
          <t>2008-04</t>
        </is>
      </c>
      <c r="J493" t="n">
        <v>1</v>
      </c>
      <c r="K493" t="n">
        <v>1</v>
      </c>
      <c r="L493" s="34">
        <f>IF($J493=1,LN(B494/B493),"")</f>
        <v/>
      </c>
      <c r="M493" s="34">
        <f>IF($K493=1,INDEX(Mensal!$D$2:$D$245,MATCH($I493,Mensal!$A$2:$A$245,0)),"")</f>
        <v/>
      </c>
      <c r="N493" s="34">
        <f>IF($K493=1,L493-M493,"")</f>
        <v/>
      </c>
      <c r="O493" s="34" t="n">
        <v>0.00041886</v>
      </c>
      <c r="P493" s="34">
        <f>IF($J493=1,LN(1+O493),"")</f>
        <v/>
      </c>
      <c r="Q493" s="34">
        <f>IF($J493=1,LN(R494/R493),"")</f>
        <v/>
      </c>
      <c r="R493" s="32" t="n">
        <v>1.7117</v>
      </c>
      <c r="S493" s="35" t="n">
        <v>12.573</v>
      </c>
      <c r="T493" s="18" t="n"/>
      <c r="U493" s="18" t="n">
        <v>64446</v>
      </c>
      <c r="V493" s="18" t="n"/>
      <c r="W493" s="18" t="n"/>
      <c r="X493" s="35" t="n">
        <v>12.573</v>
      </c>
      <c r="Y493" s="35" t="n"/>
    </row>
    <row r="494">
      <c r="A494" s="25" t="n">
        <v>39545</v>
      </c>
      <c r="B494" s="18" t="n">
        <v>64175</v>
      </c>
      <c r="C494" s="31" t="n"/>
      <c r="D494" s="32" t="n"/>
      <c r="E494" s="33" t="n">
        <v>1.1548</v>
      </c>
      <c r="F494" t="inlineStr">
        <is>
          <t>Up</t>
        </is>
      </c>
      <c r="G494" t="inlineStr">
        <is>
          <t>Up</t>
        </is>
      </c>
      <c r="H494" t="inlineStr">
        <is>
          <t>EU_JU</t>
        </is>
      </c>
      <c r="I494" t="inlineStr">
        <is>
          <t>2008-04</t>
        </is>
      </c>
      <c r="J494" t="n">
        <v>1</v>
      </c>
      <c r="K494" t="n">
        <v>1</v>
      </c>
      <c r="L494" s="34">
        <f>IF($J494=1,LN(B495/B494),"")</f>
        <v/>
      </c>
      <c r="M494" s="34">
        <f>IF($K494=1,INDEX(Mensal!$D$2:$D$245,MATCH($I494,Mensal!$A$2:$A$245,0)),"")</f>
        <v/>
      </c>
      <c r="N494" s="34">
        <f>IF($K494=1,L494-M494,"")</f>
        <v/>
      </c>
      <c r="O494" s="34" t="n">
        <v>0.00041957</v>
      </c>
      <c r="P494" s="34">
        <f>IF($J494=1,LN(1+O494),"")</f>
        <v/>
      </c>
      <c r="Q494" s="34">
        <f>IF($J494=1,LN(R495/R494),"")</f>
        <v/>
      </c>
      <c r="R494" s="32" t="n">
        <v>1.699</v>
      </c>
      <c r="S494" s="35" t="n">
        <v>12.68</v>
      </c>
      <c r="T494" s="18" t="n"/>
      <c r="U494" s="18" t="n">
        <v>64175</v>
      </c>
      <c r="V494" s="18" t="n"/>
      <c r="W494" s="18" t="n"/>
      <c r="X494" s="35" t="n">
        <v>12.68</v>
      </c>
      <c r="Y494" s="35" t="n"/>
    </row>
    <row r="495">
      <c r="A495" s="25" t="n">
        <v>39546</v>
      </c>
      <c r="B495" s="18" t="n">
        <v>64539</v>
      </c>
      <c r="C495" s="31" t="n"/>
      <c r="D495" s="32" t="n"/>
      <c r="E495" s="33" t="n">
        <v>1.1288</v>
      </c>
      <c r="F495" t="inlineStr">
        <is>
          <t>Up</t>
        </is>
      </c>
      <c r="G495" t="inlineStr">
        <is>
          <t>Up</t>
        </is>
      </c>
      <c r="H495" t="inlineStr">
        <is>
          <t>EU_JU</t>
        </is>
      </c>
      <c r="I495" t="inlineStr">
        <is>
          <t>2008-04</t>
        </is>
      </c>
      <c r="J495" t="n">
        <v>1</v>
      </c>
      <c r="K495" t="n">
        <v>1</v>
      </c>
      <c r="L495" s="34">
        <f>IF($J495=1,LN(B496/B495),"")</f>
        <v/>
      </c>
      <c r="M495" s="34">
        <f>IF($K495=1,INDEX(Mensal!$D$2:$D$245,MATCH($I495,Mensal!$A$2:$A$245,0)),"")</f>
        <v/>
      </c>
      <c r="N495" s="34">
        <f>IF($K495=1,L495-M495,"")</f>
        <v/>
      </c>
      <c r="O495" s="34" t="n">
        <v>0.00041814</v>
      </c>
      <c r="P495" s="34">
        <f>IF($J495=1,LN(1+O495),"")</f>
        <v/>
      </c>
      <c r="Q495" s="34">
        <f>IF($J495=1,LN(R496/R495),"")</f>
        <v/>
      </c>
      <c r="R495" s="32" t="n">
        <v>1.7038</v>
      </c>
      <c r="S495" s="35" t="n">
        <v>12.647</v>
      </c>
      <c r="T495" s="18" t="n"/>
      <c r="U495" s="18" t="n">
        <v>64539</v>
      </c>
      <c r="V495" s="18" t="n"/>
      <c r="W495" s="18" t="n"/>
      <c r="X495" s="35" t="n">
        <v>12.647</v>
      </c>
      <c r="Y495" s="35" t="n"/>
    </row>
    <row r="496">
      <c r="A496" s="25" t="n">
        <v>39547</v>
      </c>
      <c r="B496" s="18" t="n">
        <v>63477</v>
      </c>
      <c r="C496" s="31" t="n"/>
      <c r="D496" s="32" t="n"/>
      <c r="E496" s="33" t="n">
        <v>1.1107</v>
      </c>
      <c r="F496" t="inlineStr">
        <is>
          <t>Up</t>
        </is>
      </c>
      <c r="G496" t="inlineStr">
        <is>
          <t>Up</t>
        </is>
      </c>
      <c r="H496" t="inlineStr">
        <is>
          <t>EU_JU</t>
        </is>
      </c>
      <c r="I496" t="inlineStr">
        <is>
          <t>2008-04</t>
        </is>
      </c>
      <c r="J496" t="n">
        <v>1</v>
      </c>
      <c r="K496" t="n">
        <v>1</v>
      </c>
      <c r="L496" s="34">
        <f>IF($J496=1,LN(B497/B496),"")</f>
        <v/>
      </c>
      <c r="M496" s="34">
        <f>IF($K496=1,INDEX(Mensal!$D$2:$D$245,MATCH($I496,Mensal!$A$2:$A$245,0)),"")</f>
        <v/>
      </c>
      <c r="N496" s="34">
        <f>IF($K496=1,L496-M496,"")</f>
        <v/>
      </c>
      <c r="O496" s="34" t="n">
        <v>0.00041779</v>
      </c>
      <c r="P496" s="34">
        <f>IF($J496=1,LN(1+O496),"")</f>
        <v/>
      </c>
      <c r="Q496" s="34">
        <f>IF($J496=1,LN(R497/R496),"")</f>
        <v/>
      </c>
      <c r="R496" s="32" t="n">
        <v>1.6878</v>
      </c>
      <c r="S496" s="35" t="n">
        <v>12.767</v>
      </c>
      <c r="T496" s="18" t="n"/>
      <c r="U496" s="18" t="n">
        <v>63477</v>
      </c>
      <c r="V496" s="18" t="n"/>
      <c r="W496" s="18" t="n"/>
      <c r="X496" s="35" t="n">
        <v>12.767</v>
      </c>
      <c r="Y496" s="35" t="n"/>
    </row>
    <row r="497">
      <c r="A497" s="25" t="n">
        <v>39548</v>
      </c>
      <c r="B497" s="18" t="n">
        <v>63527</v>
      </c>
      <c r="C497" s="31" t="n"/>
      <c r="D497" s="32" t="n"/>
      <c r="E497" s="33" t="n">
        <v>1.1018</v>
      </c>
      <c r="F497" t="inlineStr">
        <is>
          <t>Up</t>
        </is>
      </c>
      <c r="G497" t="inlineStr">
        <is>
          <t>Up</t>
        </is>
      </c>
      <c r="H497" t="inlineStr">
        <is>
          <t>EU_JU</t>
        </is>
      </c>
      <c r="I497" t="inlineStr">
        <is>
          <t>2008-04</t>
        </is>
      </c>
      <c r="J497" t="n">
        <v>1</v>
      </c>
      <c r="K497" t="n">
        <v>1</v>
      </c>
      <c r="L497" s="34">
        <f>IF($J497=1,LN(B498/B497),"")</f>
        <v/>
      </c>
      <c r="M497" s="34">
        <f>IF($K497=1,INDEX(Mensal!$D$2:$D$245,MATCH($I497,Mensal!$A$2:$A$245,0)),"")</f>
        <v/>
      </c>
      <c r="N497" s="34">
        <f>IF($K497=1,L497-M497,"")</f>
        <v/>
      </c>
      <c r="O497" s="34" t="n">
        <v>0.00041814</v>
      </c>
      <c r="P497" s="34">
        <f>IF($J497=1,LN(1+O497),"")</f>
        <v/>
      </c>
      <c r="Q497" s="34">
        <f>IF($J497=1,LN(R498/R497),"")</f>
        <v/>
      </c>
      <c r="R497" s="32" t="n">
        <v>1.6822</v>
      </c>
      <c r="S497" s="35" t="n">
        <v>12.765</v>
      </c>
      <c r="T497" s="18" t="n"/>
      <c r="U497" s="18" t="n">
        <v>63527</v>
      </c>
      <c r="V497" s="18" t="n"/>
      <c r="W497" s="18" t="n"/>
      <c r="X497" s="35" t="n">
        <v>12.765</v>
      </c>
      <c r="Y497" s="35" t="n"/>
    </row>
    <row r="498">
      <c r="A498" s="25" t="n">
        <v>39549</v>
      </c>
      <c r="B498" s="18" t="n">
        <v>62585</v>
      </c>
      <c r="C498" s="31" t="n"/>
      <c r="D498" s="32" t="n"/>
      <c r="E498" s="33" t="n">
        <v>1.0909</v>
      </c>
      <c r="F498" t="inlineStr">
        <is>
          <t>Up</t>
        </is>
      </c>
      <c r="G498" t="inlineStr">
        <is>
          <t>Up</t>
        </is>
      </c>
      <c r="H498" t="inlineStr">
        <is>
          <t>EU_JU</t>
        </is>
      </c>
      <c r="I498" t="inlineStr">
        <is>
          <t>2008-04</t>
        </is>
      </c>
      <c r="J498" t="n">
        <v>1</v>
      </c>
      <c r="K498" t="n">
        <v>1</v>
      </c>
      <c r="L498" s="34">
        <f>IF($J498=1,LN(B499/B498),"")</f>
        <v/>
      </c>
      <c r="M498" s="34">
        <f>IF($K498=1,INDEX(Mensal!$D$2:$D$245,MATCH($I498,Mensal!$A$2:$A$245,0)),"")</f>
        <v/>
      </c>
      <c r="N498" s="34">
        <f>IF($K498=1,L498-M498,"")</f>
        <v/>
      </c>
      <c r="O498" s="34" t="n">
        <v>0.00041814</v>
      </c>
      <c r="P498" s="34">
        <f>IF($J498=1,LN(1+O498),"")</f>
        <v/>
      </c>
      <c r="Q498" s="34">
        <f>IF($J498=1,LN(R499/R498),"")</f>
        <v/>
      </c>
      <c r="R498" s="32" t="n">
        <v>1.6876</v>
      </c>
      <c r="S498" s="35" t="n">
        <v>12.79</v>
      </c>
      <c r="T498" s="18" t="n"/>
      <c r="U498" s="18" t="n">
        <v>62585</v>
      </c>
      <c r="V498" s="18" t="n"/>
      <c r="W498" s="18" t="n"/>
      <c r="X498" s="35" t="n">
        <v>12.79</v>
      </c>
      <c r="Y498" s="35" t="n"/>
    </row>
    <row r="499">
      <c r="A499" s="25" t="n">
        <v>39552</v>
      </c>
      <c r="B499" s="18" t="n">
        <v>62153</v>
      </c>
      <c r="C499" s="31" t="n"/>
      <c r="D499" s="32" t="n"/>
      <c r="E499" s="33" t="n">
        <v>1.0757</v>
      </c>
      <c r="F499" t="inlineStr">
        <is>
          <t>Up</t>
        </is>
      </c>
      <c r="G499" t="inlineStr">
        <is>
          <t>Up</t>
        </is>
      </c>
      <c r="H499" t="inlineStr">
        <is>
          <t>EU_JU</t>
        </is>
      </c>
      <c r="I499" t="inlineStr">
        <is>
          <t>2008-04</t>
        </is>
      </c>
      <c r="J499" t="n">
        <v>1</v>
      </c>
      <c r="K499" t="n">
        <v>1</v>
      </c>
      <c r="L499" s="34">
        <f>IF($J499=1,LN(B500/B499),"")</f>
        <v/>
      </c>
      <c r="M499" s="34">
        <f>IF($K499=1,INDEX(Mensal!$D$2:$D$245,MATCH($I499,Mensal!$A$2:$A$245,0)),"")</f>
        <v/>
      </c>
      <c r="N499" s="34">
        <f>IF($K499=1,L499-M499,"")</f>
        <v/>
      </c>
      <c r="O499" s="34" t="n">
        <v>0.00041814</v>
      </c>
      <c r="P499" s="34">
        <f>IF($J499=1,LN(1+O499),"")</f>
        <v/>
      </c>
      <c r="Q499" s="34">
        <f>IF($J499=1,LN(R500/R499),"")</f>
        <v/>
      </c>
      <c r="R499" s="32" t="n">
        <v>1.6867</v>
      </c>
      <c r="S499" s="35" t="n">
        <v>12.808</v>
      </c>
      <c r="T499" s="18" t="n"/>
      <c r="U499" s="18" t="n">
        <v>62153</v>
      </c>
      <c r="V499" s="18" t="n"/>
      <c r="W499" s="18" t="n"/>
      <c r="X499" s="35" t="n">
        <v>12.808</v>
      </c>
      <c r="Y499" s="35" t="n"/>
    </row>
    <row r="500">
      <c r="A500" s="25" t="n">
        <v>39553</v>
      </c>
      <c r="B500" s="18" t="n">
        <v>62618</v>
      </c>
      <c r="C500" s="31" t="n"/>
      <c r="D500" s="32" t="n"/>
      <c r="E500" s="33" t="n">
        <v>1.0531</v>
      </c>
      <c r="F500" t="inlineStr">
        <is>
          <t>Up</t>
        </is>
      </c>
      <c r="G500" t="inlineStr">
        <is>
          <t>Up</t>
        </is>
      </c>
      <c r="H500" t="inlineStr">
        <is>
          <t>EU_JU</t>
        </is>
      </c>
      <c r="I500" t="inlineStr">
        <is>
          <t>2008-04</t>
        </is>
      </c>
      <c r="J500" t="n">
        <v>1</v>
      </c>
      <c r="K500" t="n">
        <v>1</v>
      </c>
      <c r="L500" s="34">
        <f>IF($J500=1,LN(B501/B500),"")</f>
        <v/>
      </c>
      <c r="M500" s="34">
        <f>IF($K500=1,INDEX(Mensal!$D$2:$D$245,MATCH($I500,Mensal!$A$2:$A$245,0)),"")</f>
        <v/>
      </c>
      <c r="N500" s="34">
        <f>IF($K500=1,L500-M500,"")</f>
        <v/>
      </c>
      <c r="O500" s="34" t="n">
        <v>0.0004185</v>
      </c>
      <c r="P500" s="34">
        <f>IF($J500=1,LN(1+O500),"")</f>
        <v/>
      </c>
      <c r="Q500" s="34">
        <f>IF($J500=1,LN(R501/R500),"")</f>
        <v/>
      </c>
      <c r="R500" s="32" t="n">
        <v>1.6822</v>
      </c>
      <c r="S500" s="35" t="n">
        <v>12.863</v>
      </c>
      <c r="T500" s="18" t="n"/>
      <c r="U500" s="18" t="n">
        <v>62618</v>
      </c>
      <c r="V500" s="18" t="n"/>
      <c r="W500" s="18" t="n"/>
      <c r="X500" s="35" t="n">
        <v>12.863</v>
      </c>
      <c r="Y500" s="35" t="n"/>
    </row>
    <row r="501">
      <c r="A501" s="25" t="n">
        <v>39554</v>
      </c>
      <c r="B501" s="18" t="n">
        <v>64151</v>
      </c>
      <c r="C501" s="31" t="n"/>
      <c r="D501" s="32" t="n"/>
      <c r="E501" s="33" t="n">
        <v>1.0323</v>
      </c>
      <c r="F501" t="inlineStr">
        <is>
          <t>Up</t>
        </is>
      </c>
      <c r="G501" t="inlineStr">
        <is>
          <t>Up</t>
        </is>
      </c>
      <c r="H501" t="inlineStr">
        <is>
          <t>EU_JU</t>
        </is>
      </c>
      <c r="I501" t="inlineStr">
        <is>
          <t>2008-04</t>
        </is>
      </c>
      <c r="J501" t="n">
        <v>1</v>
      </c>
      <c r="K501" t="n">
        <v>1</v>
      </c>
      <c r="L501" s="34">
        <f>IF($J501=1,LN(B502/B501),"")</f>
        <v/>
      </c>
      <c r="M501" s="34">
        <f>IF($K501=1,INDEX(Mensal!$D$2:$D$245,MATCH($I501,Mensal!$A$2:$A$245,0)),"")</f>
        <v/>
      </c>
      <c r="N501" s="34">
        <f>IF($K501=1,L501-M501,"")</f>
        <v/>
      </c>
      <c r="O501" s="34" t="n">
        <v>0.0004185</v>
      </c>
      <c r="P501" s="34">
        <f>IF($J501=1,LN(1+O501),"")</f>
        <v/>
      </c>
      <c r="Q501" s="34">
        <f>IF($J501=1,LN(R502/R501),"")</f>
        <v/>
      </c>
      <c r="R501" s="32" t="n">
        <v>1.6699</v>
      </c>
      <c r="S501" s="35" t="n">
        <v>12.893</v>
      </c>
      <c r="T501" s="18" t="n"/>
      <c r="U501" s="18" t="n">
        <v>64151</v>
      </c>
      <c r="V501" s="18" t="n"/>
      <c r="W501" s="18" t="n"/>
      <c r="X501" s="35" t="n">
        <v>12.893</v>
      </c>
      <c r="Y501" s="35" t="n"/>
    </row>
    <row r="502">
      <c r="A502" s="25" t="n">
        <v>39555</v>
      </c>
      <c r="B502" s="18" t="n">
        <v>64552</v>
      </c>
      <c r="C502" s="31" t="n"/>
      <c r="D502" s="32" t="n"/>
      <c r="E502" s="33" t="n">
        <v>1.0113</v>
      </c>
      <c r="F502" t="inlineStr">
        <is>
          <t>Up</t>
        </is>
      </c>
      <c r="G502" t="inlineStr">
        <is>
          <t>Up</t>
        </is>
      </c>
      <c r="H502" t="inlineStr">
        <is>
          <t>EU_JU</t>
        </is>
      </c>
      <c r="I502" t="inlineStr">
        <is>
          <t>2008-04</t>
        </is>
      </c>
      <c r="J502" t="n">
        <v>1</v>
      </c>
      <c r="K502" t="n">
        <v>1</v>
      </c>
      <c r="L502" s="34">
        <f>IF($J502=1,LN(B503/B502),"")</f>
        <v/>
      </c>
      <c r="M502" s="34">
        <f>IF($K502=1,INDEX(Mensal!$D$2:$D$245,MATCH($I502,Mensal!$A$2:$A$245,0)),"")</f>
        <v/>
      </c>
      <c r="N502" s="34">
        <f>IF($K502=1,L502-M502,"")</f>
        <v/>
      </c>
      <c r="O502" s="34" t="n">
        <v>0.00043633</v>
      </c>
      <c r="P502" s="34">
        <f>IF($J502=1,LN(1+O502),"")</f>
        <v/>
      </c>
      <c r="Q502" s="34">
        <f>IF($J502=1,LN(R503/R502),"")</f>
        <v/>
      </c>
      <c r="R502" s="32" t="n">
        <v>1.6588</v>
      </c>
      <c r="S502" s="35" t="n">
        <v>12.957</v>
      </c>
      <c r="T502" s="18" t="n"/>
      <c r="U502" s="18" t="n">
        <v>64552</v>
      </c>
      <c r="V502" s="18" t="n"/>
      <c r="W502" s="18" t="n"/>
      <c r="X502" s="35" t="n">
        <v>12.957</v>
      </c>
      <c r="Y502" s="35" t="n"/>
    </row>
    <row r="503">
      <c r="A503" s="25" t="n">
        <v>39556</v>
      </c>
      <c r="B503" s="18" t="n">
        <v>64923</v>
      </c>
      <c r="C503" s="31" t="n"/>
      <c r="D503" s="32" t="n"/>
      <c r="E503" s="33" t="n">
        <v>0.9893999999999999</v>
      </c>
      <c r="F503" t="inlineStr">
        <is>
          <t>Up</t>
        </is>
      </c>
      <c r="G503" t="inlineStr">
        <is>
          <t>Up</t>
        </is>
      </c>
      <c r="H503" t="inlineStr">
        <is>
          <t>EU_JU</t>
        </is>
      </c>
      <c r="I503" t="inlineStr">
        <is>
          <t>2008-04</t>
        </is>
      </c>
      <c r="J503" t="n">
        <v>1</v>
      </c>
      <c r="K503" t="n">
        <v>1</v>
      </c>
      <c r="L503" s="34">
        <f>IF($J503=1,LN(B504/B503),"")</f>
        <v/>
      </c>
      <c r="M503" s="34">
        <f>IF($K503=1,INDEX(Mensal!$D$2:$D$245,MATCH($I503,Mensal!$A$2:$A$245,0)),"")</f>
        <v/>
      </c>
      <c r="N503" s="34">
        <f>IF($K503=1,L503-M503,"")</f>
        <v/>
      </c>
      <c r="O503" s="34" t="n">
        <v>0.00043633</v>
      </c>
      <c r="P503" s="34">
        <f>IF($J503=1,LN(1+O503),"")</f>
        <v/>
      </c>
      <c r="Q503" s="34">
        <f>IF($J503=1,LN(R504/R503),"")</f>
        <v/>
      </c>
      <c r="R503" s="32" t="n">
        <v>1.6693</v>
      </c>
      <c r="S503" s="35" t="n">
        <v>13.022</v>
      </c>
      <c r="T503" s="18" t="n"/>
      <c r="U503" s="18" t="n">
        <v>64923</v>
      </c>
      <c r="V503" s="18" t="n"/>
      <c r="W503" s="18" t="n"/>
      <c r="X503" s="35" t="n">
        <v>13.022</v>
      </c>
      <c r="Y503" s="35" t="n"/>
    </row>
    <row r="504">
      <c r="A504" s="25" t="n">
        <v>39560</v>
      </c>
      <c r="B504" s="18" t="n">
        <v>65412</v>
      </c>
      <c r="C504" s="31" t="n"/>
      <c r="D504" s="32" t="n"/>
      <c r="E504" s="33" t="n">
        <v>0.9778</v>
      </c>
      <c r="F504" t="inlineStr">
        <is>
          <t>Up</t>
        </is>
      </c>
      <c r="G504" t="inlineStr">
        <is>
          <t>Up</t>
        </is>
      </c>
      <c r="H504" t="inlineStr">
        <is>
          <t>EU_JU</t>
        </is>
      </c>
      <c r="I504" t="inlineStr">
        <is>
          <t>2008-04</t>
        </is>
      </c>
      <c r="J504" t="n">
        <v>1</v>
      </c>
      <c r="K504" t="n">
        <v>1</v>
      </c>
      <c r="L504" s="34">
        <f>IF($J504=1,LN(B505/B504),"")</f>
        <v/>
      </c>
      <c r="M504" s="34">
        <f>IF($K504=1,INDEX(Mensal!$D$2:$D$245,MATCH($I504,Mensal!$A$2:$A$245,0)),"")</f>
        <v/>
      </c>
      <c r="N504" s="34">
        <f>IF($K504=1,L504-M504,"")</f>
        <v/>
      </c>
      <c r="O504" s="34" t="n">
        <v>0.00043597</v>
      </c>
      <c r="P504" s="34">
        <f>IF($J504=1,LN(1+O504),"")</f>
        <v/>
      </c>
      <c r="Q504" s="34">
        <f>IF($J504=1,LN(R505/R504),"")</f>
        <v/>
      </c>
      <c r="R504" s="32" t="n">
        <v>1.6575</v>
      </c>
      <c r="S504" s="35" t="n">
        <v>13.142</v>
      </c>
      <c r="T504" s="18" t="n"/>
      <c r="U504" s="18" t="n">
        <v>65412</v>
      </c>
      <c r="V504" s="18" t="n"/>
      <c r="W504" s="18" t="n"/>
      <c r="X504" s="35" t="n">
        <v>13.142</v>
      </c>
      <c r="Y504" s="35" t="n"/>
    </row>
    <row r="505">
      <c r="A505" s="25" t="n">
        <v>39561</v>
      </c>
      <c r="B505" s="18" t="n">
        <v>64947</v>
      </c>
      <c r="C505" s="31" t="n"/>
      <c r="D505" s="32" t="n"/>
      <c r="E505" s="33" t="n">
        <v>0.9756</v>
      </c>
      <c r="F505" t="inlineStr">
        <is>
          <t>Up</t>
        </is>
      </c>
      <c r="G505" t="inlineStr">
        <is>
          <t>Up</t>
        </is>
      </c>
      <c r="H505" t="inlineStr">
        <is>
          <t>EU_JU</t>
        </is>
      </c>
      <c r="I505" t="inlineStr">
        <is>
          <t>2008-04</t>
        </is>
      </c>
      <c r="J505" t="n">
        <v>1</v>
      </c>
      <c r="K505" t="n">
        <v>1</v>
      </c>
      <c r="L505" s="34">
        <f>IF($J505=1,LN(B506/B505),"")</f>
        <v/>
      </c>
      <c r="M505" s="34">
        <f>IF($K505=1,INDEX(Mensal!$D$2:$D$245,MATCH($I505,Mensal!$A$2:$A$245,0)),"")</f>
        <v/>
      </c>
      <c r="N505" s="34">
        <f>IF($K505=1,L505-M505,"")</f>
        <v/>
      </c>
      <c r="O505" s="34" t="n">
        <v>0.0004349</v>
      </c>
      <c r="P505" s="34">
        <f>IF($J505=1,LN(1+O505),"")</f>
        <v/>
      </c>
      <c r="Q505" s="34">
        <f>IF($J505=1,LN(R506/R505),"")</f>
        <v/>
      </c>
      <c r="R505" s="32" t="n">
        <v>1.6582</v>
      </c>
      <c r="S505" s="35" t="n">
        <v>13.045</v>
      </c>
      <c r="T505" s="18" t="n"/>
      <c r="U505" s="18" t="n">
        <v>64947</v>
      </c>
      <c r="V505" s="18" t="n"/>
      <c r="W505" s="18" t="n"/>
      <c r="X505" s="35" t="n">
        <v>13.045</v>
      </c>
      <c r="Y505" s="35" t="n"/>
    </row>
    <row r="506">
      <c r="A506" s="25" t="n">
        <v>39562</v>
      </c>
      <c r="B506" s="18" t="n">
        <v>64576</v>
      </c>
      <c r="C506" s="31" t="n"/>
      <c r="D506" s="32" t="n"/>
      <c r="E506" s="33" t="n">
        <v>0.9742</v>
      </c>
      <c r="F506" t="inlineStr">
        <is>
          <t>Up</t>
        </is>
      </c>
      <c r="G506" t="inlineStr">
        <is>
          <t>Up</t>
        </is>
      </c>
      <c r="H506" t="inlineStr">
        <is>
          <t>EU_JU</t>
        </is>
      </c>
      <c r="I506" t="inlineStr">
        <is>
          <t>2008-04</t>
        </is>
      </c>
      <c r="J506" t="n">
        <v>1</v>
      </c>
      <c r="K506" t="n">
        <v>1</v>
      </c>
      <c r="L506" s="34">
        <f>IF($J506=1,LN(B507/B506),"")</f>
        <v/>
      </c>
      <c r="M506" s="34">
        <f>IF($K506=1,INDEX(Mensal!$D$2:$D$245,MATCH($I506,Mensal!$A$2:$A$245,0)),"")</f>
        <v/>
      </c>
      <c r="N506" s="34">
        <f>IF($K506=1,L506-M506,"")</f>
        <v/>
      </c>
      <c r="O506" s="34" t="n">
        <v>0.0004349</v>
      </c>
      <c r="P506" s="34">
        <f>IF($J506=1,LN(1+O506),"")</f>
        <v/>
      </c>
      <c r="Q506" s="34">
        <f>IF($J506=1,LN(R507/R506),"")</f>
        <v/>
      </c>
      <c r="R506" s="32" t="n">
        <v>1.6687</v>
      </c>
      <c r="S506" s="35" t="n">
        <v>13.063</v>
      </c>
      <c r="T506" s="18" t="n"/>
      <c r="U506" s="18" t="n">
        <v>64576</v>
      </c>
      <c r="V506" s="18" t="n"/>
      <c r="W506" s="18" t="n"/>
      <c r="X506" s="35" t="n">
        <v>13.063</v>
      </c>
      <c r="Y506" s="35" t="n"/>
    </row>
    <row r="507">
      <c r="A507" s="25" t="n">
        <v>39563</v>
      </c>
      <c r="B507" s="18" t="n">
        <v>65187</v>
      </c>
      <c r="C507" s="31" t="n"/>
      <c r="D507" s="32" t="n"/>
      <c r="E507" s="33" t="n">
        <v>0.978</v>
      </c>
      <c r="F507" t="inlineStr">
        <is>
          <t>Up</t>
        </is>
      </c>
      <c r="G507" t="inlineStr">
        <is>
          <t>Up</t>
        </is>
      </c>
      <c r="H507" t="inlineStr">
        <is>
          <t>EU_JU</t>
        </is>
      </c>
      <c r="I507" t="inlineStr">
        <is>
          <t>2008-04</t>
        </is>
      </c>
      <c r="J507" t="n">
        <v>1</v>
      </c>
      <c r="K507" t="n">
        <v>1</v>
      </c>
      <c r="L507" s="34">
        <f>IF($J507=1,LN(B508/B507),"")</f>
        <v/>
      </c>
      <c r="M507" s="34">
        <f>IF($K507=1,INDEX(Mensal!$D$2:$D$245,MATCH($I507,Mensal!$A$2:$A$245,0)),"")</f>
        <v/>
      </c>
      <c r="N507" s="34">
        <f>IF($K507=1,L507-M507,"")</f>
        <v/>
      </c>
      <c r="O507" s="34" t="n">
        <v>0.00043526</v>
      </c>
      <c r="P507" s="34">
        <f>IF($J507=1,LN(1+O507),"")</f>
        <v/>
      </c>
      <c r="Q507" s="34">
        <f>IF($J507=1,LN(R508/R507),"")</f>
        <v/>
      </c>
      <c r="R507" s="32" t="n">
        <v>1.6688</v>
      </c>
      <c r="S507" s="35" t="n">
        <v>13.118</v>
      </c>
      <c r="T507" s="18" t="n"/>
      <c r="U507" s="18" t="n">
        <v>65187</v>
      </c>
      <c r="V507" s="18" t="n"/>
      <c r="W507" s="18" t="n"/>
      <c r="X507" s="35" t="n">
        <v>13.118</v>
      </c>
      <c r="Y507" s="35" t="n"/>
    </row>
    <row r="508">
      <c r="A508" s="25" t="n">
        <v>39566</v>
      </c>
      <c r="B508" s="18" t="n">
        <v>65677</v>
      </c>
      <c r="C508" s="31" t="n"/>
      <c r="D508" s="32" t="n"/>
      <c r="E508" s="33" t="n">
        <v>0.9756</v>
      </c>
      <c r="F508" t="inlineStr">
        <is>
          <t>Up</t>
        </is>
      </c>
      <c r="G508" t="inlineStr">
        <is>
          <t>Up</t>
        </is>
      </c>
      <c r="H508" t="inlineStr">
        <is>
          <t>EU_JU</t>
        </is>
      </c>
      <c r="I508" t="inlineStr">
        <is>
          <t>2008-04</t>
        </is>
      </c>
      <c r="J508" t="n">
        <v>1</v>
      </c>
      <c r="K508" t="n">
        <v>1</v>
      </c>
      <c r="L508" s="34">
        <f>IF($J508=1,LN(B509/B508),"")</f>
        <v/>
      </c>
      <c r="M508" s="34">
        <f>IF($K508=1,INDEX(Mensal!$D$2:$D$245,MATCH($I508,Mensal!$A$2:$A$245,0)),"")</f>
        <v/>
      </c>
      <c r="N508" s="34">
        <f>IF($K508=1,L508-M508,"")</f>
        <v/>
      </c>
      <c r="O508" s="34" t="n">
        <v>0.0004349</v>
      </c>
      <c r="P508" s="34">
        <f>IF($J508=1,LN(1+O508),"")</f>
        <v/>
      </c>
      <c r="Q508" s="34">
        <f>IF($J508=1,LN(R509/R508),"")</f>
        <v/>
      </c>
      <c r="R508" s="32" t="n">
        <v>1.6764</v>
      </c>
      <c r="S508" s="35" t="n">
        <v>13.25</v>
      </c>
      <c r="T508" s="18" t="n"/>
      <c r="U508" s="18" t="n">
        <v>65677</v>
      </c>
      <c r="V508" s="18" t="n"/>
      <c r="W508" s="18" t="n"/>
      <c r="X508" s="35" t="n">
        <v>13.25</v>
      </c>
      <c r="Y508" s="35" t="n"/>
    </row>
    <row r="509">
      <c r="A509" s="25" t="n">
        <v>39567</v>
      </c>
      <c r="B509" s="18" t="n">
        <v>63825</v>
      </c>
      <c r="C509" s="31" t="n"/>
      <c r="D509" s="32" t="n"/>
      <c r="E509" s="33" t="n">
        <v>0.9813</v>
      </c>
      <c r="F509" t="inlineStr">
        <is>
          <t>Up</t>
        </is>
      </c>
      <c r="G509" t="inlineStr">
        <is>
          <t>Up</t>
        </is>
      </c>
      <c r="H509" t="inlineStr">
        <is>
          <t>EU_JU</t>
        </is>
      </c>
      <c r="I509" t="inlineStr">
        <is>
          <t>2008-04</t>
        </is>
      </c>
      <c r="J509" t="n">
        <v>1</v>
      </c>
      <c r="K509" t="n">
        <v>1</v>
      </c>
      <c r="L509" s="34">
        <f>IF($J509=1,LN(B510/B509),"")</f>
        <v/>
      </c>
      <c r="M509" s="34">
        <f>IF($K509=1,INDEX(Mensal!$D$2:$D$245,MATCH($I509,Mensal!$A$2:$A$245,0)),"")</f>
        <v/>
      </c>
      <c r="N509" s="34">
        <f>IF($K509=1,L509-M509,"")</f>
        <v/>
      </c>
      <c r="O509" s="34" t="n">
        <v>0.00043455</v>
      </c>
      <c r="P509" s="34">
        <f>IF($J509=1,LN(1+O509),"")</f>
        <v/>
      </c>
      <c r="Q509" s="34">
        <f>IF($J509=1,LN(R510/R509),"")</f>
        <v/>
      </c>
      <c r="R509" s="32" t="n">
        <v>1.7058</v>
      </c>
      <c r="S509" s="35" t="n">
        <v>13.304</v>
      </c>
      <c r="T509" s="18" t="n"/>
      <c r="U509" s="18" t="n">
        <v>63825</v>
      </c>
      <c r="V509" s="18" t="n"/>
      <c r="W509" s="18" t="n"/>
      <c r="X509" s="35" t="n">
        <v>13.304</v>
      </c>
      <c r="Y509" s="35" t="n"/>
    </row>
    <row r="510">
      <c r="A510" s="25" t="n">
        <v>39568</v>
      </c>
      <c r="B510" s="18" t="n">
        <v>67868</v>
      </c>
      <c r="C510" s="31" t="n"/>
      <c r="D510" s="32" t="n"/>
      <c r="E510" s="33" t="n">
        <v>0.9889</v>
      </c>
      <c r="F510" t="inlineStr">
        <is>
          <t>Up</t>
        </is>
      </c>
      <c r="G510" t="inlineStr">
        <is>
          <t>Up</t>
        </is>
      </c>
      <c r="H510" t="inlineStr">
        <is>
          <t>EU_JU</t>
        </is>
      </c>
      <c r="I510" t="inlineStr">
        <is>
          <t>2008-04</t>
        </is>
      </c>
      <c r="J510" t="n">
        <v>1</v>
      </c>
      <c r="K510" t="n">
        <v>1</v>
      </c>
      <c r="L510" s="34">
        <f>IF($J510=1,LN(B511/B510),"")</f>
        <v/>
      </c>
      <c r="M510" s="34">
        <f>IF($K510=1,INDEX(Mensal!$D$2:$D$245,MATCH($I510,Mensal!$A$2:$A$245,0)),"")</f>
        <v/>
      </c>
      <c r="N510" s="34">
        <f>IF($K510=1,L510-M510,"")</f>
        <v/>
      </c>
      <c r="O510" s="34" t="n">
        <v>0.00043455</v>
      </c>
      <c r="P510" s="34">
        <f>IF($J510=1,LN(1+O510),"")</f>
        <v/>
      </c>
      <c r="Q510" s="34">
        <f>IF($J510=1,LN(R511/R510),"")</f>
        <v/>
      </c>
      <c r="R510" s="32" t="n">
        <v>1.6872</v>
      </c>
      <c r="S510" s="35" t="n">
        <v>13.208</v>
      </c>
      <c r="T510" s="18" t="n"/>
      <c r="U510" s="18" t="n">
        <v>67868</v>
      </c>
      <c r="V510" s="18" t="n"/>
      <c r="W510" s="18" t="n"/>
      <c r="X510" s="35" t="n">
        <v>13.208</v>
      </c>
      <c r="Y510" s="35" t="n"/>
    </row>
    <row r="511">
      <c r="A511" s="25" t="n">
        <v>39570</v>
      </c>
      <c r="B511" s="18" t="n">
        <v>69366</v>
      </c>
      <c r="C511" s="31" t="n"/>
      <c r="D511" s="32" t="n"/>
      <c r="E511" s="33" t="n">
        <v>0.9952</v>
      </c>
      <c r="F511" t="inlineStr">
        <is>
          <t>Up</t>
        </is>
      </c>
      <c r="G511" t="inlineStr">
        <is>
          <t>Up</t>
        </is>
      </c>
      <c r="H511" t="inlineStr">
        <is>
          <t>EU_JU</t>
        </is>
      </c>
      <c r="I511" t="inlineStr">
        <is>
          <t>2008-05</t>
        </is>
      </c>
      <c r="J511" t="n">
        <v>1</v>
      </c>
      <c r="K511" t="n">
        <v>1</v>
      </c>
      <c r="L511" s="34">
        <f>IF($J511=1,LN(B512/B511),"")</f>
        <v/>
      </c>
      <c r="M511" s="34">
        <f>IF($K511=1,INDEX(Mensal!$D$2:$D$245,MATCH($I511,Mensal!$A$2:$A$245,0)),"")</f>
        <v/>
      </c>
      <c r="N511" s="34">
        <f>IF($K511=1,L511-M511,"")</f>
        <v/>
      </c>
      <c r="O511" s="34" t="n">
        <v>0.0004349</v>
      </c>
      <c r="P511" s="34">
        <f>IF($J511=1,LN(1+O511),"")</f>
        <v/>
      </c>
      <c r="Q511" s="34">
        <f>IF($J511=1,LN(R512/R511),"")</f>
        <v/>
      </c>
      <c r="R511" s="32" t="n">
        <v>1.6506</v>
      </c>
      <c r="S511" s="35" t="n">
        <v>13.231</v>
      </c>
      <c r="T511" s="18" t="n"/>
      <c r="U511" s="18" t="n">
        <v>69366</v>
      </c>
      <c r="V511" s="18" t="n"/>
      <c r="W511" s="18" t="n"/>
      <c r="X511" s="35" t="n">
        <v>13.231</v>
      </c>
      <c r="Y511" s="35" t="n"/>
    </row>
    <row r="512">
      <c r="A512" s="25" t="n">
        <v>39573</v>
      </c>
      <c r="B512" s="18" t="n">
        <v>70174</v>
      </c>
      <c r="C512" s="31" t="n"/>
      <c r="D512" s="32" t="n"/>
      <c r="E512" s="33" t="n">
        <v>1.0071</v>
      </c>
      <c r="F512" t="inlineStr">
        <is>
          <t>Up</t>
        </is>
      </c>
      <c r="G512" t="inlineStr">
        <is>
          <t>Up</t>
        </is>
      </c>
      <c r="H512" t="inlineStr">
        <is>
          <t>EU_JU</t>
        </is>
      </c>
      <c r="I512" t="inlineStr">
        <is>
          <t>2008-05</t>
        </is>
      </c>
      <c r="J512" t="n">
        <v>1</v>
      </c>
      <c r="K512" t="n">
        <v>1</v>
      </c>
      <c r="L512" s="34">
        <f>IF($J512=1,LN(B513/B512),"")</f>
        <v/>
      </c>
      <c r="M512" s="34">
        <f>IF($K512=1,INDEX(Mensal!$D$2:$D$245,MATCH($I512,Mensal!$A$2:$A$245,0)),"")</f>
        <v/>
      </c>
      <c r="N512" s="34">
        <f>IF($K512=1,L512-M512,"")</f>
        <v/>
      </c>
      <c r="O512" s="34" t="n">
        <v>0.00043419</v>
      </c>
      <c r="P512" s="34">
        <f>IF($J512=1,LN(1+O512),"")</f>
        <v/>
      </c>
      <c r="Q512" s="34">
        <f>IF($J512=1,LN(R513/R512),"")</f>
        <v/>
      </c>
      <c r="R512" s="32" t="n">
        <v>1.6578</v>
      </c>
      <c r="S512" s="35" t="n">
        <v>13.294</v>
      </c>
      <c r="T512" s="18" t="n"/>
      <c r="U512" s="18" t="n">
        <v>70174</v>
      </c>
      <c r="V512" s="18" t="n"/>
      <c r="W512" s="18" t="n"/>
      <c r="X512" s="35" t="n">
        <v>13.294</v>
      </c>
      <c r="Y512" s="35" t="n"/>
    </row>
    <row r="513">
      <c r="A513" s="25" t="n">
        <v>39574</v>
      </c>
      <c r="B513" s="18" t="n">
        <v>70195</v>
      </c>
      <c r="C513" s="31" t="n"/>
      <c r="D513" s="32" t="n"/>
      <c r="E513" s="33" t="n">
        <v>1.011</v>
      </c>
      <c r="F513" t="inlineStr">
        <is>
          <t>Up</t>
        </is>
      </c>
      <c r="G513" t="inlineStr">
        <is>
          <t>Up</t>
        </is>
      </c>
      <c r="H513" t="inlineStr">
        <is>
          <t>EU_JU</t>
        </is>
      </c>
      <c r="I513" t="inlineStr">
        <is>
          <t>2008-05</t>
        </is>
      </c>
      <c r="J513" t="n">
        <v>1</v>
      </c>
      <c r="K513" t="n">
        <v>1</v>
      </c>
      <c r="L513" s="34">
        <f>IF($J513=1,LN(B514/B513),"")</f>
        <v/>
      </c>
      <c r="M513" s="34">
        <f>IF($K513=1,INDEX(Mensal!$D$2:$D$245,MATCH($I513,Mensal!$A$2:$A$245,0)),"")</f>
        <v/>
      </c>
      <c r="N513" s="34">
        <f>IF($K513=1,L513-M513,"")</f>
        <v/>
      </c>
      <c r="O513" s="34" t="n">
        <v>0.00043419</v>
      </c>
      <c r="P513" s="34">
        <f>IF($J513=1,LN(1+O513),"")</f>
        <v/>
      </c>
      <c r="Q513" s="34">
        <f>IF($J513=1,LN(R514/R513),"")</f>
        <v/>
      </c>
      <c r="R513" s="32" t="n">
        <v>1.6615</v>
      </c>
      <c r="S513" s="35" t="n">
        <v>13.477</v>
      </c>
      <c r="T513" s="18" t="n"/>
      <c r="U513" s="18" t="n">
        <v>70195</v>
      </c>
      <c r="V513" s="18" t="n"/>
      <c r="W513" s="18" t="n"/>
      <c r="X513" s="35" t="n">
        <v>13.477</v>
      </c>
      <c r="Y513" s="35" t="n"/>
    </row>
    <row r="514">
      <c r="A514" s="25" t="n">
        <v>39575</v>
      </c>
      <c r="B514" s="18" t="n">
        <v>69017</v>
      </c>
      <c r="C514" s="31" t="n"/>
      <c r="D514" s="32" t="n"/>
      <c r="E514" s="33" t="n">
        <v>1.0138</v>
      </c>
      <c r="F514" t="inlineStr">
        <is>
          <t>Up</t>
        </is>
      </c>
      <c r="G514" t="inlineStr">
        <is>
          <t>Up</t>
        </is>
      </c>
      <c r="H514" t="inlineStr">
        <is>
          <t>EU_JU</t>
        </is>
      </c>
      <c r="I514" t="inlineStr">
        <is>
          <t>2008-05</t>
        </is>
      </c>
      <c r="J514" t="n">
        <v>1</v>
      </c>
      <c r="K514" t="n">
        <v>1</v>
      </c>
      <c r="L514" s="34">
        <f>IF($J514=1,LN(B515/B514),"")</f>
        <v/>
      </c>
      <c r="M514" s="34">
        <f>IF($K514=1,INDEX(Mensal!$D$2:$D$245,MATCH($I514,Mensal!$A$2:$A$245,0)),"")</f>
        <v/>
      </c>
      <c r="N514" s="34">
        <f>IF($K514=1,L514-M514,"")</f>
        <v/>
      </c>
      <c r="O514" s="34" t="n">
        <v>0.00043384</v>
      </c>
      <c r="P514" s="34">
        <f>IF($J514=1,LN(1+O514),"")</f>
        <v/>
      </c>
      <c r="Q514" s="34">
        <f>IF($J514=1,LN(R515/R514),"")</f>
        <v/>
      </c>
      <c r="R514" s="32" t="n">
        <v>1.6741</v>
      </c>
      <c r="S514" s="35" t="n">
        <v>13.576</v>
      </c>
      <c r="T514" s="18" t="n"/>
      <c r="U514" s="18" t="n">
        <v>69017</v>
      </c>
      <c r="V514" s="18" t="n"/>
      <c r="W514" s="18" t="n"/>
      <c r="X514" s="35" t="n">
        <v>13.576</v>
      </c>
      <c r="Y514" s="35" t="n"/>
    </row>
    <row r="515">
      <c r="A515" s="25" t="n">
        <v>39576</v>
      </c>
      <c r="B515" s="18" t="n">
        <v>69722</v>
      </c>
      <c r="C515" s="31" t="n"/>
      <c r="D515" s="32" t="n"/>
      <c r="E515" s="33" t="n">
        <v>1.0177</v>
      </c>
      <c r="F515" t="inlineStr">
        <is>
          <t>Up</t>
        </is>
      </c>
      <c r="G515" t="inlineStr">
        <is>
          <t>Up</t>
        </is>
      </c>
      <c r="H515" t="inlineStr">
        <is>
          <t>EU_JU</t>
        </is>
      </c>
      <c r="I515" t="inlineStr">
        <is>
          <t>2008-05</t>
        </is>
      </c>
      <c r="J515" t="n">
        <v>1</v>
      </c>
      <c r="K515" t="n">
        <v>1</v>
      </c>
      <c r="L515" s="34">
        <f>IF($J515=1,LN(B516/B515),"")</f>
        <v/>
      </c>
      <c r="M515" s="34">
        <f>IF($K515=1,INDEX(Mensal!$D$2:$D$245,MATCH($I515,Mensal!$A$2:$A$245,0)),"")</f>
        <v/>
      </c>
      <c r="N515" s="34">
        <f>IF($K515=1,L515-M515,"")</f>
        <v/>
      </c>
      <c r="O515" s="34" t="n">
        <v>0.00043384</v>
      </c>
      <c r="P515" s="34">
        <f>IF($J515=1,LN(1+O515),"")</f>
        <v/>
      </c>
      <c r="Q515" s="34">
        <f>IF($J515=1,LN(R516/R515),"")</f>
        <v/>
      </c>
      <c r="R515" s="32" t="n">
        <v>1.6936</v>
      </c>
      <c r="S515" s="35" t="n">
        <v>13.607</v>
      </c>
      <c r="T515" s="18" t="n"/>
      <c r="U515" s="18" t="n">
        <v>69722</v>
      </c>
      <c r="V515" s="18" t="n"/>
      <c r="W515" s="18" t="n"/>
      <c r="X515" s="35" t="n">
        <v>13.607</v>
      </c>
      <c r="Y515" s="35" t="n"/>
    </row>
    <row r="516">
      <c r="A516" s="25" t="n">
        <v>39577</v>
      </c>
      <c r="B516" s="18" t="n">
        <v>69645</v>
      </c>
      <c r="C516" s="31" t="n"/>
      <c r="D516" s="32" t="n"/>
      <c r="E516" s="33" t="n">
        <v>1.0253</v>
      </c>
      <c r="F516" t="inlineStr">
        <is>
          <t>Up</t>
        </is>
      </c>
      <c r="G516" t="inlineStr">
        <is>
          <t>Up</t>
        </is>
      </c>
      <c r="H516" t="inlineStr">
        <is>
          <t>EU_JU</t>
        </is>
      </c>
      <c r="I516" t="inlineStr">
        <is>
          <t>2008-05</t>
        </is>
      </c>
      <c r="J516" t="n">
        <v>1</v>
      </c>
      <c r="K516" t="n">
        <v>1</v>
      </c>
      <c r="L516" s="34">
        <f>IF($J516=1,LN(B517/B516),"")</f>
        <v/>
      </c>
      <c r="M516" s="34">
        <f>IF($K516=1,INDEX(Mensal!$D$2:$D$245,MATCH($I516,Mensal!$A$2:$A$245,0)),"")</f>
        <v/>
      </c>
      <c r="N516" s="34">
        <f>IF($K516=1,L516-M516,"")</f>
        <v/>
      </c>
      <c r="O516" s="34" t="n">
        <v>0.00043419</v>
      </c>
      <c r="P516" s="34">
        <f>IF($J516=1,LN(1+O516),"")</f>
        <v/>
      </c>
      <c r="Q516" s="34">
        <f>IF($J516=1,LN(R517/R516),"")</f>
        <v/>
      </c>
      <c r="R516" s="32" t="n">
        <v>1.6949</v>
      </c>
      <c r="S516" s="35" t="n">
        <v>13.737</v>
      </c>
      <c r="T516" s="18" t="n"/>
      <c r="U516" s="18" t="n">
        <v>69645</v>
      </c>
      <c r="V516" s="18" t="n"/>
      <c r="W516" s="18" t="n"/>
      <c r="X516" s="35" t="n">
        <v>13.737</v>
      </c>
      <c r="Y516" s="35" t="n"/>
    </row>
    <row r="517">
      <c r="A517" s="25" t="n">
        <v>39580</v>
      </c>
      <c r="B517" s="18" t="n">
        <v>70415</v>
      </c>
      <c r="C517" s="31" t="n"/>
      <c r="D517" s="32" t="n"/>
      <c r="E517" s="33" t="n">
        <v>1.0324</v>
      </c>
      <c r="F517" t="inlineStr">
        <is>
          <t>Up</t>
        </is>
      </c>
      <c r="G517" t="inlineStr">
        <is>
          <t>Up</t>
        </is>
      </c>
      <c r="H517" t="inlineStr">
        <is>
          <t>EU_JU</t>
        </is>
      </c>
      <c r="I517" t="inlineStr">
        <is>
          <t>2008-05</t>
        </is>
      </c>
      <c r="J517" t="n">
        <v>1</v>
      </c>
      <c r="K517" t="n">
        <v>1</v>
      </c>
      <c r="L517" s="34">
        <f>IF($J517=1,LN(B518/B517),"")</f>
        <v/>
      </c>
      <c r="M517" s="34">
        <f>IF($K517=1,INDEX(Mensal!$D$2:$D$245,MATCH($I517,Mensal!$A$2:$A$245,0)),"")</f>
        <v/>
      </c>
      <c r="N517" s="34">
        <f>IF($K517=1,L517-M517,"")</f>
        <v/>
      </c>
      <c r="O517" s="34" t="n">
        <v>0.00043419</v>
      </c>
      <c r="P517" s="34">
        <f>IF($J517=1,LN(1+O517),"")</f>
        <v/>
      </c>
      <c r="Q517" s="34">
        <f>IF($J517=1,LN(R518/R517),"")</f>
        <v/>
      </c>
      <c r="R517" s="32" t="n">
        <v>1.6743</v>
      </c>
      <c r="S517" s="35" t="n">
        <v>13.68</v>
      </c>
      <c r="T517" s="18" t="n"/>
      <c r="U517" s="18" t="n">
        <v>70415</v>
      </c>
      <c r="V517" s="18" t="n"/>
      <c r="W517" s="18" t="n"/>
      <c r="X517" s="35" t="n">
        <v>13.68</v>
      </c>
      <c r="Y517" s="35" t="n"/>
    </row>
    <row r="518">
      <c r="A518" s="25" t="n">
        <v>39581</v>
      </c>
      <c r="B518" s="18" t="n">
        <v>70503</v>
      </c>
      <c r="C518" s="31" t="n"/>
      <c r="D518" s="32" t="n"/>
      <c r="E518" s="33" t="n">
        <v>1.0416</v>
      </c>
      <c r="F518" t="inlineStr">
        <is>
          <t>Up</t>
        </is>
      </c>
      <c r="G518" t="inlineStr">
        <is>
          <t>Up</t>
        </is>
      </c>
      <c r="H518" t="inlineStr">
        <is>
          <t>EU_JU</t>
        </is>
      </c>
      <c r="I518" t="inlineStr">
        <is>
          <t>2008-05</t>
        </is>
      </c>
      <c r="J518" t="n">
        <v>1</v>
      </c>
      <c r="K518" t="n">
        <v>1</v>
      </c>
      <c r="L518" s="34">
        <f>IF($J518=1,LN(B519/B518),"")</f>
        <v/>
      </c>
      <c r="M518" s="34">
        <f>IF($K518=1,INDEX(Mensal!$D$2:$D$245,MATCH($I518,Mensal!$A$2:$A$245,0)),"")</f>
        <v/>
      </c>
      <c r="N518" s="34">
        <f>IF($K518=1,L518-M518,"")</f>
        <v/>
      </c>
      <c r="O518" s="34" t="n">
        <v>0.00043419</v>
      </c>
      <c r="P518" s="34">
        <f>IF($J518=1,LN(1+O518),"")</f>
        <v/>
      </c>
      <c r="Q518" s="34">
        <f>IF($J518=1,LN(R519/R518),"")</f>
        <v/>
      </c>
      <c r="R518" s="32" t="n">
        <v>1.6583</v>
      </c>
      <c r="S518" s="35" t="n">
        <v>13.69</v>
      </c>
      <c r="T518" s="18" t="n"/>
      <c r="U518" s="18" t="n">
        <v>70503</v>
      </c>
      <c r="V518" s="18" t="n"/>
      <c r="W518" s="18" t="n"/>
      <c r="X518" s="35" t="n">
        <v>13.69</v>
      </c>
      <c r="Y518" s="35" t="n"/>
    </row>
    <row r="519">
      <c r="A519" s="25" t="n">
        <v>39582</v>
      </c>
      <c r="B519" s="18" t="n">
        <v>70026</v>
      </c>
      <c r="C519" s="31" t="n"/>
      <c r="D519" s="32" t="n"/>
      <c r="E519" s="33" t="n">
        <v>1.0315</v>
      </c>
      <c r="F519" t="inlineStr">
        <is>
          <t>Up</t>
        </is>
      </c>
      <c r="G519" t="inlineStr">
        <is>
          <t>Up</t>
        </is>
      </c>
      <c r="H519" t="inlineStr">
        <is>
          <t>EU_JU</t>
        </is>
      </c>
      <c r="I519" t="inlineStr">
        <is>
          <t>2008-05</t>
        </is>
      </c>
      <c r="J519" t="n">
        <v>1</v>
      </c>
      <c r="K519" t="n">
        <v>1</v>
      </c>
      <c r="L519" s="34">
        <f>IF($J519=1,LN(B520/B519),"")</f>
        <v/>
      </c>
      <c r="M519" s="34">
        <f>IF($K519=1,INDEX(Mensal!$D$2:$D$245,MATCH($I519,Mensal!$A$2:$A$245,0)),"")</f>
        <v/>
      </c>
      <c r="N519" s="34">
        <f>IF($K519=1,L519-M519,"")</f>
        <v/>
      </c>
      <c r="O519" s="34" t="n">
        <v>0.00043348</v>
      </c>
      <c r="P519" s="34">
        <f>IF($J519=1,LN(1+O519),"")</f>
        <v/>
      </c>
      <c r="Q519" s="34">
        <f>IF($J519=1,LN(R520/R519),"")</f>
        <v/>
      </c>
      <c r="R519" s="32" t="n">
        <v>1.6641</v>
      </c>
      <c r="S519" s="35" t="n">
        <v>13.852</v>
      </c>
      <c r="T519" s="18" t="n"/>
      <c r="U519" s="18" t="n">
        <v>70026</v>
      </c>
      <c r="V519" s="18" t="n"/>
      <c r="W519" s="18" t="n"/>
      <c r="X519" s="35" t="n">
        <v>13.852</v>
      </c>
      <c r="Y519" s="35" t="n"/>
    </row>
    <row r="520">
      <c r="A520" s="25" t="n">
        <v>39583</v>
      </c>
      <c r="B520" s="18" t="n">
        <v>71492</v>
      </c>
      <c r="C520" s="31" t="n"/>
      <c r="D520" s="32" t="n"/>
      <c r="E520" s="33" t="n">
        <v>1.0198</v>
      </c>
      <c r="F520" t="inlineStr">
        <is>
          <t>Up</t>
        </is>
      </c>
      <c r="G520" t="inlineStr">
        <is>
          <t>Up</t>
        </is>
      </c>
      <c r="H520" t="inlineStr">
        <is>
          <t>EU_JU</t>
        </is>
      </c>
      <c r="I520" t="inlineStr">
        <is>
          <t>2008-05</t>
        </is>
      </c>
      <c r="J520" t="n">
        <v>1</v>
      </c>
      <c r="K520" t="n">
        <v>1</v>
      </c>
      <c r="L520" s="34">
        <f>IF($J520=1,LN(B521/B520),"")</f>
        <v/>
      </c>
      <c r="M520" s="34">
        <f>IF($K520=1,INDEX(Mensal!$D$2:$D$245,MATCH($I520,Mensal!$A$2:$A$245,0)),"")</f>
        <v/>
      </c>
      <c r="N520" s="34">
        <f>IF($K520=1,L520-M520,"")</f>
        <v/>
      </c>
      <c r="O520" s="34" t="n">
        <v>0.00043348</v>
      </c>
      <c r="P520" s="34">
        <f>IF($J520=1,LN(1+O520),"")</f>
        <v/>
      </c>
      <c r="Q520" s="34">
        <f>IF($J520=1,LN(R521/R520),"")</f>
        <v/>
      </c>
      <c r="R520" s="32" t="n">
        <v>1.6601</v>
      </c>
      <c r="S520" s="35" t="n">
        <v>13.831</v>
      </c>
      <c r="T520" s="18" t="n"/>
      <c r="U520" s="18" t="n">
        <v>71492</v>
      </c>
      <c r="V520" s="18" t="n"/>
      <c r="W520" s="18" t="n"/>
      <c r="X520" s="35" t="n">
        <v>13.831</v>
      </c>
      <c r="Y520" s="35" t="n"/>
    </row>
    <row r="521">
      <c r="A521" s="25" t="n">
        <v>39584</v>
      </c>
      <c r="B521" s="18" t="n">
        <v>72766</v>
      </c>
      <c r="C521" s="31" t="n"/>
      <c r="D521" s="32" t="n"/>
      <c r="E521" s="33" t="n">
        <v>1.0107</v>
      </c>
      <c r="F521" t="inlineStr">
        <is>
          <t>Up</t>
        </is>
      </c>
      <c r="G521" t="inlineStr">
        <is>
          <t>Up</t>
        </is>
      </c>
      <c r="H521" t="inlineStr">
        <is>
          <t>EU_JU</t>
        </is>
      </c>
      <c r="I521" t="inlineStr">
        <is>
          <t>2008-05</t>
        </is>
      </c>
      <c r="J521" t="n">
        <v>1</v>
      </c>
      <c r="K521" t="n">
        <v>1</v>
      </c>
      <c r="L521" s="34">
        <f>IF($J521=1,LN(B522/B521),"")</f>
        <v/>
      </c>
      <c r="M521" s="34">
        <f>IF($K521=1,INDEX(Mensal!$D$2:$D$245,MATCH($I521,Mensal!$A$2:$A$245,0)),"")</f>
        <v/>
      </c>
      <c r="N521" s="34">
        <f>IF($K521=1,L521-M521,"")</f>
        <v/>
      </c>
      <c r="O521" s="34" t="n">
        <v>0.00043348</v>
      </c>
      <c r="P521" s="34">
        <f>IF($J521=1,LN(1+O521),"")</f>
        <v/>
      </c>
      <c r="Q521" s="34">
        <f>IF($J521=1,LN(R522/R521),"")</f>
        <v/>
      </c>
      <c r="R521" s="32" t="n">
        <v>1.6434</v>
      </c>
      <c r="S521" s="35" t="n">
        <v>13.712</v>
      </c>
      <c r="T521" s="18" t="n"/>
      <c r="U521" s="18" t="n">
        <v>72766</v>
      </c>
      <c r="V521" s="18" t="n"/>
      <c r="W521" s="18" t="n"/>
      <c r="X521" s="35" t="n">
        <v>13.712</v>
      </c>
      <c r="Y521" s="35" t="n"/>
    </row>
    <row r="522">
      <c r="A522" s="25" t="n">
        <v>39587</v>
      </c>
      <c r="B522" s="18" t="n">
        <v>73438</v>
      </c>
      <c r="C522" s="31" t="n"/>
      <c r="D522" s="32" t="n"/>
      <c r="E522" s="33" t="n">
        <v>1.0015</v>
      </c>
      <c r="F522" t="inlineStr">
        <is>
          <t>Up</t>
        </is>
      </c>
      <c r="G522" t="inlineStr">
        <is>
          <t>Up</t>
        </is>
      </c>
      <c r="H522" t="inlineStr">
        <is>
          <t>EU_JU</t>
        </is>
      </c>
      <c r="I522" t="inlineStr">
        <is>
          <t>2008-05</t>
        </is>
      </c>
      <c r="J522" t="n">
        <v>1</v>
      </c>
      <c r="K522" t="n">
        <v>1</v>
      </c>
      <c r="L522" s="34">
        <f>IF($J522=1,LN(B523/B522),"")</f>
        <v/>
      </c>
      <c r="M522" s="34">
        <f>IF($K522=1,INDEX(Mensal!$D$2:$D$245,MATCH($I522,Mensal!$A$2:$A$245,0)),"")</f>
        <v/>
      </c>
      <c r="N522" s="34">
        <f>IF($K522=1,L522-M522,"")</f>
        <v/>
      </c>
      <c r="O522" s="34" t="n">
        <v>0.0004331200000000001</v>
      </c>
      <c r="P522" s="34">
        <f>IF($J522=1,LN(1+O522),"")</f>
        <v/>
      </c>
      <c r="Q522" s="34">
        <f>IF($J522=1,LN(R523/R522),"")</f>
        <v/>
      </c>
      <c r="R522" s="32" t="n">
        <v>1.646</v>
      </c>
      <c r="S522" s="35" t="n">
        <v>13.79</v>
      </c>
      <c r="T522" s="18" t="n"/>
      <c r="U522" s="18" t="n">
        <v>73438</v>
      </c>
      <c r="V522" s="18" t="n"/>
      <c r="W522" s="18" t="n"/>
      <c r="X522" s="35" t="n">
        <v>13.79</v>
      </c>
      <c r="Y522" s="35" t="n"/>
    </row>
    <row r="523">
      <c r="A523" s="25" t="n">
        <v>39588</v>
      </c>
      <c r="B523" s="18" t="n">
        <v>73516</v>
      </c>
      <c r="C523" s="31" t="n"/>
      <c r="D523" s="32" t="n"/>
      <c r="E523" s="33" t="n">
        <v>0.9877</v>
      </c>
      <c r="F523" t="inlineStr">
        <is>
          <t>Up</t>
        </is>
      </c>
      <c r="G523" t="inlineStr">
        <is>
          <t>Up</t>
        </is>
      </c>
      <c r="H523" t="inlineStr">
        <is>
          <t>EU_JU</t>
        </is>
      </c>
      <c r="I523" t="inlineStr">
        <is>
          <t>2008-05</t>
        </is>
      </c>
      <c r="J523" t="n">
        <v>1</v>
      </c>
      <c r="K523" t="n">
        <v>1</v>
      </c>
      <c r="L523" s="34">
        <f>IF($J523=1,LN(B524/B523),"")</f>
        <v/>
      </c>
      <c r="M523" s="34">
        <f>IF($K523=1,INDEX(Mensal!$D$2:$D$245,MATCH($I523,Mensal!$A$2:$A$245,0)),"")</f>
        <v/>
      </c>
      <c r="N523" s="34">
        <f>IF($K523=1,L523-M523,"")</f>
        <v/>
      </c>
      <c r="O523" s="34" t="n">
        <v>0.00043384</v>
      </c>
      <c r="P523" s="34">
        <f>IF($J523=1,LN(1+O523),"")</f>
        <v/>
      </c>
      <c r="Q523" s="34">
        <f>IF($J523=1,LN(R524/R523),"")</f>
        <v/>
      </c>
      <c r="R523" s="32" t="n">
        <v>1.657</v>
      </c>
      <c r="S523" s="35" t="n">
        <v>13.793</v>
      </c>
      <c r="T523" s="18" t="n"/>
      <c r="U523" s="18" t="n">
        <v>73516</v>
      </c>
      <c r="V523" s="18" t="n"/>
      <c r="W523" s="18" t="n"/>
      <c r="X523" s="35" t="n">
        <v>13.793</v>
      </c>
      <c r="Y523" s="35" t="n"/>
    </row>
    <row r="524">
      <c r="A524" s="25" t="n">
        <v>39589</v>
      </c>
      <c r="B524" s="18" t="n">
        <v>72294</v>
      </c>
      <c r="C524" s="31" t="n"/>
      <c r="D524" s="32" t="n"/>
      <c r="E524" s="33" t="n">
        <v>0.9805</v>
      </c>
      <c r="F524" t="inlineStr">
        <is>
          <t>Up</t>
        </is>
      </c>
      <c r="G524" t="inlineStr">
        <is>
          <t>Up</t>
        </is>
      </c>
      <c r="H524" t="inlineStr">
        <is>
          <t>EU_JU</t>
        </is>
      </c>
      <c r="I524" t="inlineStr">
        <is>
          <t>2008-05</t>
        </is>
      </c>
      <c r="J524" t="n">
        <v>1</v>
      </c>
      <c r="K524" t="n">
        <v>1</v>
      </c>
      <c r="L524" s="34">
        <f>IF($J524=1,LN(B525/B524),"")</f>
        <v/>
      </c>
      <c r="M524" s="34">
        <f>IF($K524=1,INDEX(Mensal!$D$2:$D$245,MATCH($I524,Mensal!$A$2:$A$245,0)),"")</f>
        <v/>
      </c>
      <c r="N524" s="34">
        <f>IF($K524=1,L524-M524,"")</f>
        <v/>
      </c>
      <c r="O524" s="34" t="n">
        <v>0.00043384</v>
      </c>
      <c r="P524" s="34">
        <f>IF($J524=1,LN(1+O524),"")</f>
        <v/>
      </c>
      <c r="Q524" s="34">
        <f>IF($J524=1,LN(R525/R524),"")</f>
        <v/>
      </c>
      <c r="R524" s="32" t="n">
        <v>1.6492</v>
      </c>
      <c r="S524" s="35" t="n">
        <v>13.869</v>
      </c>
      <c r="T524" s="18" t="n"/>
      <c r="U524" s="18" t="n">
        <v>72294</v>
      </c>
      <c r="V524" s="18" t="n"/>
      <c r="W524" s="18" t="n"/>
      <c r="X524" s="35" t="n">
        <v>13.869</v>
      </c>
      <c r="Y524" s="35" t="n"/>
    </row>
    <row r="525">
      <c r="A525" s="25" t="n">
        <v>39591</v>
      </c>
      <c r="B525" s="18" t="n">
        <v>71451</v>
      </c>
      <c r="C525" s="31" t="n"/>
      <c r="D525" s="32" t="n"/>
      <c r="E525" s="33" t="n">
        <v>0.9798</v>
      </c>
      <c r="F525" t="inlineStr">
        <is>
          <t>Up</t>
        </is>
      </c>
      <c r="G525" t="inlineStr">
        <is>
          <t>Up</t>
        </is>
      </c>
      <c r="H525" t="inlineStr">
        <is>
          <t>EU_JU</t>
        </is>
      </c>
      <c r="I525" t="inlineStr">
        <is>
          <t>2008-05</t>
        </is>
      </c>
      <c r="J525" t="n">
        <v>1</v>
      </c>
      <c r="K525" t="n">
        <v>1</v>
      </c>
      <c r="L525" s="34">
        <f>IF($J525=1,LN(B526/B525),"")</f>
        <v/>
      </c>
      <c r="M525" s="34">
        <f>IF($K525=1,INDEX(Mensal!$D$2:$D$245,MATCH($I525,Mensal!$A$2:$A$245,0)),"")</f>
        <v/>
      </c>
      <c r="N525" s="34">
        <f>IF($K525=1,L525-M525,"")</f>
        <v/>
      </c>
      <c r="O525" s="34" t="n">
        <v>0.00043348</v>
      </c>
      <c r="P525" s="34">
        <f>IF($J525=1,LN(1+O525),"")</f>
        <v/>
      </c>
      <c r="Q525" s="34">
        <f>IF($J525=1,LN(R526/R525),"")</f>
        <v/>
      </c>
      <c r="R525" s="32" t="n">
        <v>1.6547</v>
      </c>
      <c r="S525" s="35" t="n">
        <v>13.87</v>
      </c>
      <c r="T525" s="18" t="n"/>
      <c r="U525" s="18" t="n">
        <v>71451</v>
      </c>
      <c r="V525" s="18" t="n"/>
      <c r="W525" s="18" t="n"/>
      <c r="X525" s="35" t="n">
        <v>13.87</v>
      </c>
      <c r="Y525" s="35" t="n"/>
    </row>
    <row r="526">
      <c r="A526" s="25" t="n">
        <v>39594</v>
      </c>
      <c r="B526" s="18" t="n">
        <v>71628</v>
      </c>
      <c r="C526" s="31" t="n"/>
      <c r="D526" s="32" t="n"/>
      <c r="E526" s="33" t="n">
        <v>0.9863</v>
      </c>
      <c r="F526" t="inlineStr">
        <is>
          <t>Up</t>
        </is>
      </c>
      <c r="G526" t="inlineStr">
        <is>
          <t>Up</t>
        </is>
      </c>
      <c r="H526" t="inlineStr">
        <is>
          <t>EU_JU</t>
        </is>
      </c>
      <c r="I526" t="inlineStr">
        <is>
          <t>2008-05</t>
        </is>
      </c>
      <c r="J526" t="n">
        <v>1</v>
      </c>
      <c r="K526" t="n">
        <v>1</v>
      </c>
      <c r="L526" s="34">
        <f>IF($J526=1,LN(B527/B526),"")</f>
        <v/>
      </c>
      <c r="M526" s="34">
        <f>IF($K526=1,INDEX(Mensal!$D$2:$D$245,MATCH($I526,Mensal!$A$2:$A$245,0)),"")</f>
        <v/>
      </c>
      <c r="N526" s="34">
        <f>IF($K526=1,L526-M526,"")</f>
        <v/>
      </c>
      <c r="O526" s="34" t="n">
        <v>0.00043384</v>
      </c>
      <c r="P526" s="34">
        <f>IF($J526=1,LN(1+O526),"")</f>
        <v/>
      </c>
      <c r="Q526" s="34">
        <f>IF($J526=1,LN(R527/R526),"")</f>
        <v/>
      </c>
      <c r="R526" s="32" t="n">
        <v>1.661</v>
      </c>
      <c r="S526" s="35" t="n">
        <v>13.93</v>
      </c>
      <c r="T526" s="18" t="n"/>
      <c r="U526" s="18" t="n">
        <v>71628</v>
      </c>
      <c r="V526" s="18" t="n"/>
      <c r="W526" s="18" t="n"/>
      <c r="X526" s="35" t="n">
        <v>13.93</v>
      </c>
      <c r="Y526" s="35" t="n"/>
    </row>
    <row r="527">
      <c r="A527" s="25" t="n">
        <v>39595</v>
      </c>
      <c r="B527" s="18" t="n">
        <v>70992</v>
      </c>
      <c r="C527" s="31" t="n"/>
      <c r="D527" s="32" t="n"/>
      <c r="E527" s="33" t="n">
        <v>0.9958</v>
      </c>
      <c r="F527" t="inlineStr">
        <is>
          <t>Up</t>
        </is>
      </c>
      <c r="G527" t="inlineStr">
        <is>
          <t>Up</t>
        </is>
      </c>
      <c r="H527" t="inlineStr">
        <is>
          <t>EU_JU</t>
        </is>
      </c>
      <c r="I527" t="inlineStr">
        <is>
          <t>2008-05</t>
        </is>
      </c>
      <c r="J527" t="n">
        <v>1</v>
      </c>
      <c r="K527" t="n">
        <v>1</v>
      </c>
      <c r="L527" s="34">
        <f>IF($J527=1,LN(B528/B527),"")</f>
        <v/>
      </c>
      <c r="M527" s="34">
        <f>IF($K527=1,INDEX(Mensal!$D$2:$D$245,MATCH($I527,Mensal!$A$2:$A$245,0)),"")</f>
        <v/>
      </c>
      <c r="N527" s="34">
        <f>IF($K527=1,L527-M527,"")</f>
        <v/>
      </c>
      <c r="O527" s="34" t="n">
        <v>0.00043384</v>
      </c>
      <c r="P527" s="34">
        <f>IF($J527=1,LN(1+O527),"")</f>
        <v/>
      </c>
      <c r="Q527" s="34">
        <f>IF($J527=1,LN(R528/R527),"")</f>
        <v/>
      </c>
      <c r="R527" s="32" t="n">
        <v>1.6681</v>
      </c>
      <c r="S527" s="35" t="n">
        <v>13.981</v>
      </c>
      <c r="T527" s="18" t="n"/>
      <c r="U527" s="18" t="n">
        <v>70992</v>
      </c>
      <c r="V527" s="18" t="n"/>
      <c r="W527" s="18" t="n"/>
      <c r="X527" s="35" t="n">
        <v>13.981</v>
      </c>
      <c r="Y527" s="35" t="n"/>
    </row>
    <row r="528">
      <c r="A528" s="25" t="n">
        <v>39596</v>
      </c>
      <c r="B528" s="18" t="n">
        <v>73153</v>
      </c>
      <c r="C528" s="31" t="n"/>
      <c r="D528" s="32" t="n"/>
      <c r="E528" s="33" t="n">
        <v>1.0034</v>
      </c>
      <c r="F528" t="inlineStr">
        <is>
          <t>Up</t>
        </is>
      </c>
      <c r="G528" t="inlineStr">
        <is>
          <t>Up</t>
        </is>
      </c>
      <c r="H528" t="inlineStr">
        <is>
          <t>EU_JU</t>
        </is>
      </c>
      <c r="I528" t="inlineStr">
        <is>
          <t>2008-05</t>
        </is>
      </c>
      <c r="J528" t="n">
        <v>1</v>
      </c>
      <c r="K528" t="n">
        <v>1</v>
      </c>
      <c r="L528" s="34">
        <f>IF($J528=1,LN(B529/B528),"")</f>
        <v/>
      </c>
      <c r="M528" s="34">
        <f>IF($K528=1,INDEX(Mensal!$D$2:$D$245,MATCH($I528,Mensal!$A$2:$A$245,0)),"")</f>
        <v/>
      </c>
      <c r="N528" s="34">
        <f>IF($K528=1,L528-M528,"")</f>
        <v/>
      </c>
      <c r="O528" s="34" t="n">
        <v>0.00043348</v>
      </c>
      <c r="P528" s="34">
        <f>IF($J528=1,LN(1+O528),"")</f>
        <v/>
      </c>
      <c r="Q528" s="34">
        <f>IF($J528=1,LN(R529/R528),"")</f>
        <v/>
      </c>
      <c r="R528" s="32" t="n">
        <v>1.663</v>
      </c>
      <c r="S528" s="35" t="n">
        <v>13.89</v>
      </c>
      <c r="T528" s="18" t="n"/>
      <c r="U528" s="18" t="n">
        <v>73153</v>
      </c>
      <c r="V528" s="18" t="n"/>
      <c r="W528" s="18" t="n"/>
      <c r="X528" s="35" t="n">
        <v>13.89</v>
      </c>
      <c r="Y528" s="35" t="n"/>
    </row>
    <row r="529">
      <c r="A529" s="25" t="n">
        <v>39597</v>
      </c>
      <c r="B529" s="18" t="n">
        <v>71797</v>
      </c>
      <c r="C529" s="31" t="n"/>
      <c r="D529" s="32" t="n"/>
      <c r="E529" s="33" t="n">
        <v>1.0226</v>
      </c>
      <c r="F529" t="inlineStr">
        <is>
          <t>Up</t>
        </is>
      </c>
      <c r="G529" t="inlineStr">
        <is>
          <t>Up</t>
        </is>
      </c>
      <c r="H529" t="inlineStr">
        <is>
          <t>EU_JU</t>
        </is>
      </c>
      <c r="I529" t="inlineStr">
        <is>
          <t>2008-05</t>
        </is>
      </c>
      <c r="J529" t="n">
        <v>1</v>
      </c>
      <c r="K529" t="n">
        <v>1</v>
      </c>
      <c r="L529" s="34">
        <f>IF($J529=1,LN(B530/B529),"")</f>
        <v/>
      </c>
      <c r="M529" s="34">
        <f>IF($K529=1,INDEX(Mensal!$D$2:$D$245,MATCH($I529,Mensal!$A$2:$A$245,0)),"")</f>
        <v/>
      </c>
      <c r="N529" s="34">
        <f>IF($K529=1,L529-M529,"")</f>
        <v/>
      </c>
      <c r="O529" s="34" t="n">
        <v>0.0004331200000000001</v>
      </c>
      <c r="P529" s="34">
        <f>IF($J529=1,LN(1+O529),"")</f>
        <v/>
      </c>
      <c r="Q529" s="34">
        <f>IF($J529=1,LN(R530/R529),"")</f>
        <v/>
      </c>
      <c r="R529" s="32" t="n">
        <v>1.6496</v>
      </c>
      <c r="S529" s="35" t="n">
        <v>13.786</v>
      </c>
      <c r="T529" s="18" t="n"/>
      <c r="U529" s="18" t="n">
        <v>71797</v>
      </c>
      <c r="V529" s="18" t="n"/>
      <c r="W529" s="18" t="n"/>
      <c r="X529" s="35" t="n">
        <v>13.786</v>
      </c>
      <c r="Y529" s="35" t="n"/>
    </row>
    <row r="530">
      <c r="A530" s="25" t="n">
        <v>39598</v>
      </c>
      <c r="B530" s="18" t="n">
        <v>72592</v>
      </c>
      <c r="C530" s="31" t="n"/>
      <c r="D530" s="32" t="n"/>
      <c r="E530" s="33" t="n">
        <v>1.0345</v>
      </c>
      <c r="F530" t="inlineStr">
        <is>
          <t>Up</t>
        </is>
      </c>
      <c r="G530" t="inlineStr">
        <is>
          <t>Up</t>
        </is>
      </c>
      <c r="H530" t="inlineStr">
        <is>
          <t>EU_JU</t>
        </is>
      </c>
      <c r="I530" t="inlineStr">
        <is>
          <t>2008-05</t>
        </is>
      </c>
      <c r="J530" t="n">
        <v>1</v>
      </c>
      <c r="K530" t="n">
        <v>1</v>
      </c>
      <c r="L530" s="34">
        <f>IF($J530=1,LN(B531/B530),"")</f>
        <v/>
      </c>
      <c r="M530" s="34">
        <f>IF($K530=1,INDEX(Mensal!$D$2:$D$245,MATCH($I530,Mensal!$A$2:$A$245,0)),"")</f>
        <v/>
      </c>
      <c r="N530" s="34">
        <f>IF($K530=1,L530-M530,"")</f>
        <v/>
      </c>
      <c r="O530" s="34" t="n">
        <v>0.00043384</v>
      </c>
      <c r="P530" s="34">
        <f>IF($J530=1,LN(1+O530),"")</f>
        <v/>
      </c>
      <c r="Q530" s="34">
        <f>IF($J530=1,LN(R531/R530),"")</f>
        <v/>
      </c>
      <c r="R530" s="32" t="n">
        <v>1.6294</v>
      </c>
      <c r="S530" s="35" t="n">
        <v>13.745</v>
      </c>
      <c r="T530" s="18" t="n"/>
      <c r="U530" s="18" t="n">
        <v>72592</v>
      </c>
      <c r="V530" s="18" t="n"/>
      <c r="W530" s="18" t="n"/>
      <c r="X530" s="35" t="n">
        <v>13.745</v>
      </c>
      <c r="Y530" s="35" t="n"/>
    </row>
    <row r="531">
      <c r="A531" s="25" t="n">
        <v>39601</v>
      </c>
      <c r="B531" s="18" t="n">
        <v>71897</v>
      </c>
      <c r="C531" s="31" t="n"/>
      <c r="D531" s="32" t="n"/>
      <c r="E531" s="33" t="n">
        <v>1.0481</v>
      </c>
      <c r="F531" t="inlineStr">
        <is>
          <t>Up</t>
        </is>
      </c>
      <c r="G531" t="inlineStr">
        <is>
          <t>Up</t>
        </is>
      </c>
      <c r="H531" t="inlineStr">
        <is>
          <t>EU_JU</t>
        </is>
      </c>
      <c r="I531" t="inlineStr">
        <is>
          <t>2008-06</t>
        </is>
      </c>
      <c r="J531" t="n">
        <v>1</v>
      </c>
      <c r="K531" t="n">
        <v>1</v>
      </c>
      <c r="L531" s="34">
        <f>IF($J531=1,LN(B532/B531),"")</f>
        <v/>
      </c>
      <c r="M531" s="34">
        <f>IF($K531=1,INDEX(Mensal!$D$2:$D$245,MATCH($I531,Mensal!$A$2:$A$245,0)),"")</f>
        <v/>
      </c>
      <c r="N531" s="34">
        <f>IF($K531=1,L531-M531,"")</f>
        <v/>
      </c>
      <c r="O531" s="34" t="n">
        <v>0.00043419</v>
      </c>
      <c r="P531" s="34">
        <f>IF($J531=1,LN(1+O531),"")</f>
        <v/>
      </c>
      <c r="Q531" s="34">
        <f>IF($J531=1,LN(R532/R531),"")</f>
        <v/>
      </c>
      <c r="R531" s="32" t="n">
        <v>1.632</v>
      </c>
      <c r="S531" s="35" t="n">
        <v>13.833</v>
      </c>
      <c r="T531" s="18" t="n"/>
      <c r="U531" s="18" t="n">
        <v>71897</v>
      </c>
      <c r="V531" s="18" t="n"/>
      <c r="W531" s="18" t="n"/>
      <c r="X531" s="35" t="n">
        <v>13.833</v>
      </c>
      <c r="Y531" s="35" t="n"/>
    </row>
    <row r="532">
      <c r="A532" s="25" t="n">
        <v>39602</v>
      </c>
      <c r="B532" s="18" t="n">
        <v>70012</v>
      </c>
      <c r="C532" s="31" t="n"/>
      <c r="D532" s="32" t="n"/>
      <c r="E532" s="33" t="n">
        <v>1.053</v>
      </c>
      <c r="F532" t="inlineStr">
        <is>
          <t>Up</t>
        </is>
      </c>
      <c r="G532" t="inlineStr">
        <is>
          <t>Up</t>
        </is>
      </c>
      <c r="H532" t="inlineStr">
        <is>
          <t>EU_JU</t>
        </is>
      </c>
      <c r="I532" t="inlineStr">
        <is>
          <t>2008-06</t>
        </is>
      </c>
      <c r="J532" t="n">
        <v>1</v>
      </c>
      <c r="K532" t="n">
        <v>1</v>
      </c>
      <c r="L532" s="34">
        <f>IF($J532=1,LN(B533/B532),"")</f>
        <v/>
      </c>
      <c r="M532" s="34">
        <f>IF($K532=1,INDEX(Mensal!$D$2:$D$245,MATCH($I532,Mensal!$A$2:$A$245,0)),"")</f>
        <v/>
      </c>
      <c r="N532" s="34">
        <f>IF($K532=1,L532-M532,"")</f>
        <v/>
      </c>
      <c r="O532" s="34" t="n">
        <v>0.00043348</v>
      </c>
      <c r="P532" s="34">
        <f>IF($J532=1,LN(1+O532),"")</f>
        <v/>
      </c>
      <c r="Q532" s="34">
        <f>IF($J532=1,LN(R533/R532),"")</f>
        <v/>
      </c>
      <c r="R532" s="32" t="n">
        <v>1.6215</v>
      </c>
      <c r="S532" s="35" t="n">
        <v>13.764</v>
      </c>
      <c r="T532" s="18" t="n"/>
      <c r="U532" s="18" t="n">
        <v>70012</v>
      </c>
      <c r="V532" s="18" t="n"/>
      <c r="W532" s="18" t="n"/>
      <c r="X532" s="35" t="n">
        <v>13.764</v>
      </c>
      <c r="Y532" s="35" t="n"/>
    </row>
    <row r="533">
      <c r="A533" s="25" t="n">
        <v>39603</v>
      </c>
      <c r="B533" s="18" t="n">
        <v>68673</v>
      </c>
      <c r="C533" s="31" t="n"/>
      <c r="D533" s="32" t="n"/>
      <c r="E533" s="33" t="n">
        <v>1.0617</v>
      </c>
      <c r="F533" t="inlineStr">
        <is>
          <t>Up</t>
        </is>
      </c>
      <c r="G533" t="inlineStr">
        <is>
          <t>Up</t>
        </is>
      </c>
      <c r="H533" t="inlineStr">
        <is>
          <t>EU_JU</t>
        </is>
      </c>
      <c r="I533" t="inlineStr">
        <is>
          <t>2008-06</t>
        </is>
      </c>
      <c r="J533" t="n">
        <v>1</v>
      </c>
      <c r="K533" t="n">
        <v>1</v>
      </c>
      <c r="L533" s="34">
        <f>IF($J533=1,LN(B534/B533),"")</f>
        <v/>
      </c>
      <c r="M533" s="34">
        <f>IF($K533=1,INDEX(Mensal!$D$2:$D$245,MATCH($I533,Mensal!$A$2:$A$245,0)),"")</f>
        <v/>
      </c>
      <c r="N533" s="34">
        <f>IF($K533=1,L533-M533,"")</f>
        <v/>
      </c>
      <c r="O533" s="34" t="n">
        <v>0.0004331200000000001</v>
      </c>
      <c r="P533" s="34">
        <f>IF($J533=1,LN(1+O533),"")</f>
        <v/>
      </c>
      <c r="Q533" s="34">
        <f>IF($J533=1,LN(R534/R533),"")</f>
        <v/>
      </c>
      <c r="R533" s="32" t="n">
        <v>1.6307</v>
      </c>
      <c r="S533" s="35" t="n">
        <v>13.823</v>
      </c>
      <c r="T533" s="18" t="n"/>
      <c r="U533" s="18" t="n">
        <v>68673</v>
      </c>
      <c r="V533" s="18" t="n"/>
      <c r="W533" s="18" t="n"/>
      <c r="X533" s="35" t="n">
        <v>13.823</v>
      </c>
      <c r="Y533" s="35" t="n"/>
    </row>
    <row r="534">
      <c r="A534" s="25" t="n">
        <v>39604</v>
      </c>
      <c r="B534" s="18" t="n">
        <v>71209</v>
      </c>
      <c r="C534" s="31" t="n"/>
      <c r="D534" s="32" t="n"/>
      <c r="E534" s="33" t="n">
        <v>1.068</v>
      </c>
      <c r="F534" t="inlineStr">
        <is>
          <t>Up</t>
        </is>
      </c>
      <c r="G534" t="inlineStr">
        <is>
          <t>Up</t>
        </is>
      </c>
      <c r="H534" t="inlineStr">
        <is>
          <t>EU_JU</t>
        </is>
      </c>
      <c r="I534" t="inlineStr">
        <is>
          <t>2008-06</t>
        </is>
      </c>
      <c r="J534" t="n">
        <v>1</v>
      </c>
      <c r="K534" t="n">
        <v>1</v>
      </c>
      <c r="L534" s="34">
        <f>IF($J534=1,LN(B535/B534),"")</f>
        <v/>
      </c>
      <c r="M534" s="34">
        <f>IF($K534=1,INDEX(Mensal!$D$2:$D$245,MATCH($I534,Mensal!$A$2:$A$245,0)),"")</f>
        <v/>
      </c>
      <c r="N534" s="34">
        <f>IF($K534=1,L534-M534,"")</f>
        <v/>
      </c>
      <c r="O534" s="34" t="n">
        <v>0.00045088</v>
      </c>
      <c r="P534" s="34">
        <f>IF($J534=1,LN(1+O534),"")</f>
        <v/>
      </c>
      <c r="Q534" s="34">
        <f>IF($J534=1,LN(R535/R534),"")</f>
        <v/>
      </c>
      <c r="R534" s="32" t="n">
        <v>1.6262</v>
      </c>
      <c r="S534" s="35" t="n">
        <v>13.906</v>
      </c>
      <c r="T534" s="18" t="n"/>
      <c r="U534" s="18" t="n">
        <v>71209</v>
      </c>
      <c r="V534" s="18" t="n"/>
      <c r="W534" s="18" t="n"/>
      <c r="X534" s="35" t="n">
        <v>13.906</v>
      </c>
      <c r="Y534" s="35" t="n"/>
    </row>
    <row r="535">
      <c r="A535" s="25" t="n">
        <v>39605</v>
      </c>
      <c r="B535" s="18" t="n">
        <v>69785</v>
      </c>
      <c r="C535" s="31" t="n"/>
      <c r="D535" s="32" t="n"/>
      <c r="E535" s="33" t="n">
        <v>1.0671</v>
      </c>
      <c r="F535" t="inlineStr">
        <is>
          <t>Up</t>
        </is>
      </c>
      <c r="G535" t="inlineStr">
        <is>
          <t>Up</t>
        </is>
      </c>
      <c r="H535" t="inlineStr">
        <is>
          <t>EU_JU</t>
        </is>
      </c>
      <c r="I535" t="inlineStr">
        <is>
          <t>2008-06</t>
        </is>
      </c>
      <c r="J535" t="n">
        <v>1</v>
      </c>
      <c r="K535" t="n">
        <v>1</v>
      </c>
      <c r="L535" s="34">
        <f>IF($J535=1,LN(B536/B535),"")</f>
        <v/>
      </c>
      <c r="M535" s="34">
        <f>IF($K535=1,INDEX(Mensal!$D$2:$D$245,MATCH($I535,Mensal!$A$2:$A$245,0)),"")</f>
        <v/>
      </c>
      <c r="N535" s="34">
        <f>IF($K535=1,L535-M535,"")</f>
        <v/>
      </c>
      <c r="O535" s="34" t="n">
        <v>0.00045088</v>
      </c>
      <c r="P535" s="34">
        <f>IF($J535=1,LN(1+O535),"")</f>
        <v/>
      </c>
      <c r="Q535" s="34">
        <f>IF($J535=1,LN(R536/R535),"")</f>
        <v/>
      </c>
      <c r="R535" s="32" t="n">
        <v>1.6282</v>
      </c>
      <c r="S535" s="35" t="n">
        <v>13.983</v>
      </c>
      <c r="T535" s="18" t="n"/>
      <c r="U535" s="18" t="n">
        <v>69785</v>
      </c>
      <c r="V535" s="18" t="n"/>
      <c r="W535" s="18" t="n"/>
      <c r="X535" s="35" t="n">
        <v>13.983</v>
      </c>
      <c r="Y535" s="35" t="n"/>
    </row>
    <row r="536">
      <c r="A536" s="25" t="n">
        <v>39608</v>
      </c>
      <c r="B536" s="18" t="n">
        <v>69281</v>
      </c>
      <c r="C536" s="31" t="n"/>
      <c r="D536" s="32" t="n"/>
      <c r="E536" s="33" t="n">
        <v>1.0643</v>
      </c>
      <c r="F536" t="inlineStr">
        <is>
          <t>Up</t>
        </is>
      </c>
      <c r="G536" t="inlineStr">
        <is>
          <t>Up</t>
        </is>
      </c>
      <c r="H536" t="inlineStr">
        <is>
          <t>EU_JU</t>
        </is>
      </c>
      <c r="I536" t="inlineStr">
        <is>
          <t>2008-06</t>
        </is>
      </c>
      <c r="J536" t="n">
        <v>1</v>
      </c>
      <c r="K536" t="n">
        <v>1</v>
      </c>
      <c r="L536" s="34">
        <f>IF($J536=1,LN(B537/B536),"")</f>
        <v/>
      </c>
      <c r="M536" s="34">
        <f>IF($K536=1,INDEX(Mensal!$D$2:$D$245,MATCH($I536,Mensal!$A$2:$A$245,0)),"")</f>
        <v/>
      </c>
      <c r="N536" s="34">
        <f>IF($K536=1,L536-M536,"")</f>
        <v/>
      </c>
      <c r="O536" s="34" t="n">
        <v>0.00045124</v>
      </c>
      <c r="P536" s="34">
        <f>IF($J536=1,LN(1+O536),"")</f>
        <v/>
      </c>
      <c r="Q536" s="34">
        <f>IF($J536=1,LN(R537/R536),"")</f>
        <v/>
      </c>
      <c r="R536" s="32" t="n">
        <v>1.6265</v>
      </c>
      <c r="S536" s="35" t="n">
        <v>14.112</v>
      </c>
      <c r="T536" s="18" t="n"/>
      <c r="U536" s="18" t="n">
        <v>69281</v>
      </c>
      <c r="V536" s="18" t="n"/>
      <c r="W536" s="18" t="n"/>
      <c r="X536" s="35" t="n">
        <v>14.112</v>
      </c>
      <c r="Y536" s="35" t="n"/>
    </row>
    <row r="537">
      <c r="A537" s="25" t="n">
        <v>39609</v>
      </c>
      <c r="B537" s="18" t="n">
        <v>67774</v>
      </c>
      <c r="C537" s="31" t="n"/>
      <c r="D537" s="32" t="n"/>
      <c r="E537" s="33" t="n">
        <v>1.0617</v>
      </c>
      <c r="F537" t="inlineStr">
        <is>
          <t>Up</t>
        </is>
      </c>
      <c r="G537" t="inlineStr">
        <is>
          <t>Up</t>
        </is>
      </c>
      <c r="H537" t="inlineStr">
        <is>
          <t>EU_JU</t>
        </is>
      </c>
      <c r="I537" t="inlineStr">
        <is>
          <t>2008-06</t>
        </is>
      </c>
      <c r="J537" t="n">
        <v>1</v>
      </c>
      <c r="K537" t="n">
        <v>1</v>
      </c>
      <c r="L537" s="34">
        <f>IF($J537=1,LN(B538/B537),"")</f>
        <v/>
      </c>
      <c r="M537" s="34">
        <f>IF($K537=1,INDEX(Mensal!$D$2:$D$245,MATCH($I537,Mensal!$A$2:$A$245,0)),"")</f>
        <v/>
      </c>
      <c r="N537" s="34">
        <f>IF($K537=1,L537-M537,"")</f>
        <v/>
      </c>
      <c r="O537" s="34" t="n">
        <v>0.00045194</v>
      </c>
      <c r="P537" s="34">
        <f>IF($J537=1,LN(1+O537),"")</f>
        <v/>
      </c>
      <c r="Q537" s="34">
        <f>IF($J537=1,LN(R538/R537),"")</f>
        <v/>
      </c>
      <c r="R537" s="32" t="n">
        <v>1.6392</v>
      </c>
      <c r="S537" s="35" t="n">
        <v>14.115</v>
      </c>
      <c r="T537" s="18" t="n"/>
      <c r="U537" s="18" t="n">
        <v>67774</v>
      </c>
      <c r="V537" s="18" t="n"/>
      <c r="W537" s="18" t="n"/>
      <c r="X537" s="35" t="n">
        <v>14.115</v>
      </c>
      <c r="Y537" s="35" t="n"/>
    </row>
    <row r="538">
      <c r="A538" s="25" t="n">
        <v>39610</v>
      </c>
      <c r="B538" s="18" t="n">
        <v>66794</v>
      </c>
      <c r="C538" s="31" t="n"/>
      <c r="D538" s="32" t="n"/>
      <c r="E538" s="33" t="n">
        <v>1.0568</v>
      </c>
      <c r="F538" t="inlineStr">
        <is>
          <t>Up</t>
        </is>
      </c>
      <c r="G538" t="inlineStr">
        <is>
          <t>Up</t>
        </is>
      </c>
      <c r="H538" t="inlineStr">
        <is>
          <t>EU_JU</t>
        </is>
      </c>
      <c r="I538" t="inlineStr">
        <is>
          <t>2008-06</t>
        </is>
      </c>
      <c r="J538" t="n">
        <v>1</v>
      </c>
      <c r="K538" t="n">
        <v>1</v>
      </c>
      <c r="L538" s="34">
        <f>IF($J538=1,LN(B539/B538),"")</f>
        <v/>
      </c>
      <c r="M538" s="34">
        <f>IF($K538=1,INDEX(Mensal!$D$2:$D$245,MATCH($I538,Mensal!$A$2:$A$245,0)),"")</f>
        <v/>
      </c>
      <c r="N538" s="34">
        <f>IF($K538=1,L538-M538,"")</f>
        <v/>
      </c>
      <c r="O538" s="34" t="n">
        <v>0.0004523</v>
      </c>
      <c r="P538" s="34">
        <f>IF($J538=1,LN(1+O538),"")</f>
        <v/>
      </c>
      <c r="Q538" s="34">
        <f>IF($J538=1,LN(R539/R538),"")</f>
        <v/>
      </c>
      <c r="R538" s="32" t="n">
        <v>1.6428</v>
      </c>
      <c r="S538" s="35" t="n">
        <v>14.22</v>
      </c>
      <c r="T538" s="18" t="n"/>
      <c r="U538" s="18" t="n">
        <v>66794</v>
      </c>
      <c r="V538" s="18" t="n"/>
      <c r="W538" s="18" t="n"/>
      <c r="X538" s="35" t="n">
        <v>14.22</v>
      </c>
      <c r="Y538" s="35" t="n"/>
    </row>
    <row r="539">
      <c r="A539" s="25" t="n">
        <v>39611</v>
      </c>
      <c r="B539" s="18" t="n">
        <v>67319</v>
      </c>
      <c r="C539" s="31" t="n"/>
      <c r="D539" s="32" t="n"/>
      <c r="E539" s="33" t="n">
        <v>1.041</v>
      </c>
      <c r="F539" t="inlineStr">
        <is>
          <t>Up</t>
        </is>
      </c>
      <c r="G539" t="inlineStr">
        <is>
          <t>Up</t>
        </is>
      </c>
      <c r="H539" t="inlineStr">
        <is>
          <t>EU_JU</t>
        </is>
      </c>
      <c r="I539" t="inlineStr">
        <is>
          <t>2008-06</t>
        </is>
      </c>
      <c r="J539" t="n">
        <v>1</v>
      </c>
      <c r="K539" t="n">
        <v>1</v>
      </c>
      <c r="L539" s="34">
        <f>IF($J539=1,LN(B540/B539),"")</f>
        <v/>
      </c>
      <c r="M539" s="34">
        <f>IF($K539=1,INDEX(Mensal!$D$2:$D$245,MATCH($I539,Mensal!$A$2:$A$245,0)),"")</f>
        <v/>
      </c>
      <c r="N539" s="34">
        <f>IF($K539=1,L539-M539,"")</f>
        <v/>
      </c>
      <c r="O539" s="34" t="n">
        <v>0.00045265</v>
      </c>
      <c r="P539" s="34">
        <f>IF($J539=1,LN(1+O539),"")</f>
        <v/>
      </c>
      <c r="Q539" s="34">
        <f>IF($J539=1,LN(R540/R539),"")</f>
        <v/>
      </c>
      <c r="R539" s="32" t="n">
        <v>1.64</v>
      </c>
      <c r="S539" s="35" t="n">
        <v>14.149</v>
      </c>
      <c r="T539" s="18" t="n"/>
      <c r="U539" s="18" t="n">
        <v>67319</v>
      </c>
      <c r="V539" s="18" t="n"/>
      <c r="W539" s="18" t="n"/>
      <c r="X539" s="35" t="n">
        <v>14.149</v>
      </c>
      <c r="Y539" s="35" t="n"/>
    </row>
    <row r="540">
      <c r="A540" s="25" t="n">
        <v>39612</v>
      </c>
      <c r="B540" s="18" t="n">
        <v>67203</v>
      </c>
      <c r="C540" s="31" t="n"/>
      <c r="D540" s="32" t="n"/>
      <c r="E540" s="33" t="n">
        <v>1.0241</v>
      </c>
      <c r="F540" t="inlineStr">
        <is>
          <t>Up</t>
        </is>
      </c>
      <c r="G540" t="inlineStr">
        <is>
          <t>Up</t>
        </is>
      </c>
      <c r="H540" t="inlineStr">
        <is>
          <t>EU_JU</t>
        </is>
      </c>
      <c r="I540" t="inlineStr">
        <is>
          <t>2008-06</t>
        </is>
      </c>
      <c r="J540" t="n">
        <v>1</v>
      </c>
      <c r="K540" t="n">
        <v>1</v>
      </c>
      <c r="L540" s="34">
        <f>IF($J540=1,LN(B541/B540),"")</f>
        <v/>
      </c>
      <c r="M540" s="34">
        <f>IF($K540=1,INDEX(Mensal!$D$2:$D$245,MATCH($I540,Mensal!$A$2:$A$245,0)),"")</f>
        <v/>
      </c>
      <c r="N540" s="34">
        <f>IF($K540=1,L540-M540,"")</f>
        <v/>
      </c>
      <c r="O540" s="34" t="n">
        <v>0.0004523</v>
      </c>
      <c r="P540" s="34">
        <f>IF($J540=1,LN(1+O540),"")</f>
        <v/>
      </c>
      <c r="Q540" s="34">
        <f>IF($J540=1,LN(R541/R540),"")</f>
        <v/>
      </c>
      <c r="R540" s="32" t="n">
        <v>1.6368</v>
      </c>
      <c r="S540" s="35" t="n">
        <v>14.209</v>
      </c>
      <c r="T540" s="18" t="n"/>
      <c r="U540" s="18" t="n">
        <v>67203</v>
      </c>
      <c r="V540" s="18" t="n"/>
      <c r="W540" s="18" t="n"/>
      <c r="X540" s="35" t="n">
        <v>14.209</v>
      </c>
      <c r="Y540" s="35" t="n"/>
    </row>
    <row r="541">
      <c r="A541" s="25" t="n">
        <v>39615</v>
      </c>
      <c r="B541" s="18" t="n">
        <v>67284</v>
      </c>
      <c r="C541" s="31" t="n"/>
      <c r="D541" s="32" t="n"/>
      <c r="E541" s="33" t="n">
        <v>1.0118</v>
      </c>
      <c r="F541" t="inlineStr">
        <is>
          <t>Up</t>
        </is>
      </c>
      <c r="G541" t="inlineStr">
        <is>
          <t>Up</t>
        </is>
      </c>
      <c r="H541" t="inlineStr">
        <is>
          <t>EU_JU</t>
        </is>
      </c>
      <c r="I541" t="inlineStr">
        <is>
          <t>2008-06</t>
        </is>
      </c>
      <c r="J541" t="n">
        <v>1</v>
      </c>
      <c r="K541" t="n">
        <v>1</v>
      </c>
      <c r="L541" s="34">
        <f>IF($J541=1,LN(B542/B541),"")</f>
        <v/>
      </c>
      <c r="M541" s="34">
        <f>IF($K541=1,INDEX(Mensal!$D$2:$D$245,MATCH($I541,Mensal!$A$2:$A$245,0)),"")</f>
        <v/>
      </c>
      <c r="N541" s="34">
        <f>IF($K541=1,L541-M541,"")</f>
        <v/>
      </c>
      <c r="O541" s="34" t="n">
        <v>0.0004523</v>
      </c>
      <c r="P541" s="34">
        <f>IF($J541=1,LN(1+O541),"")</f>
        <v/>
      </c>
      <c r="Q541" s="34">
        <f>IF($J541=1,LN(R542/R541),"")</f>
        <v/>
      </c>
      <c r="R541" s="32" t="n">
        <v>1.6277</v>
      </c>
      <c r="S541" s="35" t="n">
        <v>14.285</v>
      </c>
      <c r="T541" s="18" t="n"/>
      <c r="U541" s="18" t="n">
        <v>67284</v>
      </c>
      <c r="V541" s="18" t="n"/>
      <c r="W541" s="18" t="n"/>
      <c r="X541" s="35" t="n">
        <v>14.285</v>
      </c>
      <c r="Y541" s="35" t="n"/>
    </row>
    <row r="542">
      <c r="A542" s="25" t="n">
        <v>39616</v>
      </c>
      <c r="B542" s="18" t="n">
        <v>68437</v>
      </c>
      <c r="C542" s="31" t="n"/>
      <c r="D542" s="32" t="n"/>
      <c r="E542" s="33" t="n">
        <v>0.9971</v>
      </c>
      <c r="F542" t="inlineStr">
        <is>
          <t>Up</t>
        </is>
      </c>
      <c r="G542" t="inlineStr">
        <is>
          <t>Up</t>
        </is>
      </c>
      <c r="H542" t="inlineStr">
        <is>
          <t>EU_JU</t>
        </is>
      </c>
      <c r="I542" t="inlineStr">
        <is>
          <t>2008-06</t>
        </is>
      </c>
      <c r="J542" t="n">
        <v>1</v>
      </c>
      <c r="K542" t="n">
        <v>1</v>
      </c>
      <c r="L542" s="34">
        <f>IF($J542=1,LN(B543/B542),"")</f>
        <v/>
      </c>
      <c r="M542" s="34">
        <f>IF($K542=1,INDEX(Mensal!$D$2:$D$245,MATCH($I542,Mensal!$A$2:$A$245,0)),"")</f>
        <v/>
      </c>
      <c r="N542" s="34">
        <f>IF($K542=1,L542-M542,"")</f>
        <v/>
      </c>
      <c r="O542" s="34" t="n">
        <v>0.00045265</v>
      </c>
      <c r="P542" s="34">
        <f>IF($J542=1,LN(1+O542),"")</f>
        <v/>
      </c>
      <c r="Q542" s="34">
        <f>IF($J542=1,LN(R543/R542),"")</f>
        <v/>
      </c>
      <c r="R542" s="32" t="n">
        <v>1.6127</v>
      </c>
      <c r="S542" s="35" t="n">
        <v>14.235</v>
      </c>
      <c r="T542" s="18" t="n"/>
      <c r="U542" s="18" t="n">
        <v>68437</v>
      </c>
      <c r="V542" s="18" t="n"/>
      <c r="W542" s="18" t="n"/>
      <c r="X542" s="35" t="n">
        <v>14.235</v>
      </c>
      <c r="Y542" s="35" t="n"/>
    </row>
    <row r="543">
      <c r="A543" s="25" t="n">
        <v>39617</v>
      </c>
      <c r="B543" s="18" t="n">
        <v>67090</v>
      </c>
      <c r="C543" s="31" t="n"/>
      <c r="D543" s="32" t="n"/>
      <c r="E543" s="33" t="n">
        <v>0.9857</v>
      </c>
      <c r="F543" t="inlineStr">
        <is>
          <t>Up</t>
        </is>
      </c>
      <c r="G543" t="inlineStr">
        <is>
          <t>Up</t>
        </is>
      </c>
      <c r="H543" t="inlineStr">
        <is>
          <t>EU_JU</t>
        </is>
      </c>
      <c r="I543" t="inlineStr">
        <is>
          <t>2008-06</t>
        </is>
      </c>
      <c r="J543" t="n">
        <v>1</v>
      </c>
      <c r="K543" t="n">
        <v>1</v>
      </c>
      <c r="L543" s="34">
        <f>IF($J543=1,LN(B544/B543),"")</f>
        <v/>
      </c>
      <c r="M543" s="34">
        <f>IF($K543=1,INDEX(Mensal!$D$2:$D$245,MATCH($I543,Mensal!$A$2:$A$245,0)),"")</f>
        <v/>
      </c>
      <c r="N543" s="34">
        <f>IF($K543=1,L543-M543,"")</f>
        <v/>
      </c>
      <c r="O543" s="34" t="n">
        <v>0.00045194</v>
      </c>
      <c r="P543" s="34">
        <f>IF($J543=1,LN(1+O543),"")</f>
        <v/>
      </c>
      <c r="Q543" s="34">
        <f>IF($J543=1,LN(R544/R543),"")</f>
        <v/>
      </c>
      <c r="R543" s="32" t="n">
        <v>1.6113</v>
      </c>
      <c r="S543" s="35" t="n">
        <v>14.189</v>
      </c>
      <c r="T543" s="18" t="n"/>
      <c r="U543" s="18" t="n">
        <v>67090</v>
      </c>
      <c r="V543" s="18" t="n"/>
      <c r="W543" s="18" t="n"/>
      <c r="X543" s="35" t="n">
        <v>14.189</v>
      </c>
      <c r="Y543" s="35" t="n"/>
    </row>
    <row r="544">
      <c r="A544" s="25" t="n">
        <v>39618</v>
      </c>
      <c r="B544" s="18" t="n">
        <v>66590</v>
      </c>
      <c r="C544" s="31" t="n"/>
      <c r="D544" s="32" t="n"/>
      <c r="E544" s="33" t="n">
        <v>0.9716</v>
      </c>
      <c r="F544" t="inlineStr">
        <is>
          <t>Up</t>
        </is>
      </c>
      <c r="G544" t="inlineStr">
        <is>
          <t>Up</t>
        </is>
      </c>
      <c r="H544" t="inlineStr">
        <is>
          <t>EU_JU</t>
        </is>
      </c>
      <c r="I544" t="inlineStr">
        <is>
          <t>2008-06</t>
        </is>
      </c>
      <c r="J544" t="n">
        <v>1</v>
      </c>
      <c r="K544" t="n">
        <v>1</v>
      </c>
      <c r="L544" s="34">
        <f>IF($J544=1,LN(B545/B544),"")</f>
        <v/>
      </c>
      <c r="M544" s="34">
        <f>IF($K544=1,INDEX(Mensal!$D$2:$D$245,MATCH($I544,Mensal!$A$2:$A$245,0)),"")</f>
        <v/>
      </c>
      <c r="N544" s="34">
        <f>IF($K544=1,L544-M544,"")</f>
        <v/>
      </c>
      <c r="O544" s="34" t="n">
        <v>0.00045194</v>
      </c>
      <c r="P544" s="34">
        <f>IF($J544=1,LN(1+O544),"")</f>
        <v/>
      </c>
      <c r="Q544" s="34">
        <f>IF($J544=1,LN(R545/R544),"")</f>
        <v/>
      </c>
      <c r="R544" s="32" t="n">
        <v>1.6051</v>
      </c>
      <c r="S544" s="35" t="n">
        <v>14.166</v>
      </c>
      <c r="T544" s="18" t="n"/>
      <c r="U544" s="18" t="n">
        <v>66590</v>
      </c>
      <c r="V544" s="18" t="n"/>
      <c r="W544" s="18" t="n"/>
      <c r="X544" s="35" t="n">
        <v>14.166</v>
      </c>
      <c r="Y544" s="35" t="n"/>
    </row>
    <row r="545">
      <c r="A545" s="25" t="n">
        <v>39619</v>
      </c>
      <c r="B545" s="18" t="n">
        <v>64613</v>
      </c>
      <c r="C545" s="31" t="n"/>
      <c r="D545" s="32" t="n"/>
      <c r="E545" s="33" t="n">
        <v>0.9625</v>
      </c>
      <c r="F545" t="inlineStr">
        <is>
          <t>Up</t>
        </is>
      </c>
      <c r="G545" t="inlineStr">
        <is>
          <t>Up</t>
        </is>
      </c>
      <c r="H545" t="inlineStr">
        <is>
          <t>EU_JU</t>
        </is>
      </c>
      <c r="I545" t="inlineStr">
        <is>
          <t>2008-06</t>
        </is>
      </c>
      <c r="J545" t="n">
        <v>1</v>
      </c>
      <c r="K545" t="n">
        <v>1</v>
      </c>
      <c r="L545" s="34">
        <f>IF($J545=1,LN(B546/B545),"")</f>
        <v/>
      </c>
      <c r="M545" s="34">
        <f>IF($K545=1,INDEX(Mensal!$D$2:$D$245,MATCH($I545,Mensal!$A$2:$A$245,0)),"")</f>
        <v/>
      </c>
      <c r="N545" s="34">
        <f>IF($K545=1,L545-M545,"")</f>
        <v/>
      </c>
      <c r="O545" s="34" t="n">
        <v>0.00045194</v>
      </c>
      <c r="P545" s="34">
        <f>IF($J545=1,LN(1+O545),"")</f>
        <v/>
      </c>
      <c r="Q545" s="34">
        <f>IF($J545=1,LN(R546/R545),"")</f>
        <v/>
      </c>
      <c r="R545" s="32" t="n">
        <v>1.6042</v>
      </c>
      <c r="S545" s="35" t="n">
        <v>14.239</v>
      </c>
      <c r="T545" s="18" t="n"/>
      <c r="U545" s="18" t="n">
        <v>64613</v>
      </c>
      <c r="V545" s="18" t="n"/>
      <c r="W545" s="18" t="n"/>
      <c r="X545" s="35" t="n">
        <v>14.239</v>
      </c>
      <c r="Y545" s="35" t="n"/>
    </row>
    <row r="546">
      <c r="A546" s="25" t="n">
        <v>39622</v>
      </c>
      <c r="B546" s="18" t="n">
        <v>64640</v>
      </c>
      <c r="C546" s="31" t="n"/>
      <c r="D546" s="32" t="n"/>
      <c r="E546" s="33" t="n">
        <v>0.9518</v>
      </c>
      <c r="F546" t="inlineStr">
        <is>
          <t>Up</t>
        </is>
      </c>
      <c r="G546" t="inlineStr">
        <is>
          <t>Up</t>
        </is>
      </c>
      <c r="H546" t="inlineStr">
        <is>
          <t>EU_JU</t>
        </is>
      </c>
      <c r="I546" t="inlineStr">
        <is>
          <t>2008-06</t>
        </is>
      </c>
      <c r="J546" t="n">
        <v>1</v>
      </c>
      <c r="K546" t="n">
        <v>1</v>
      </c>
      <c r="L546" s="34">
        <f>IF($J546=1,LN(B547/B546),"")</f>
        <v/>
      </c>
      <c r="M546" s="34">
        <f>IF($K546=1,INDEX(Mensal!$D$2:$D$245,MATCH($I546,Mensal!$A$2:$A$245,0)),"")</f>
        <v/>
      </c>
      <c r="N546" s="34">
        <f>IF($K546=1,L546-M546,"")</f>
        <v/>
      </c>
      <c r="O546" s="34" t="n">
        <v>0.00045301</v>
      </c>
      <c r="P546" s="34">
        <f>IF($J546=1,LN(1+O546),"")</f>
        <v/>
      </c>
      <c r="Q546" s="34">
        <f>IF($J546=1,LN(R547/R546),"")</f>
        <v/>
      </c>
      <c r="R546" s="32" t="n">
        <v>1.6117</v>
      </c>
      <c r="S546" s="35" t="n">
        <v>14.247</v>
      </c>
      <c r="T546" s="18" t="n"/>
      <c r="U546" s="18" t="n">
        <v>64640</v>
      </c>
      <c r="V546" s="18" t="n"/>
      <c r="W546" s="18" t="n"/>
      <c r="X546" s="35" t="n">
        <v>14.247</v>
      </c>
      <c r="Y546" s="35" t="n"/>
    </row>
    <row r="547">
      <c r="A547" s="25" t="n">
        <v>39623</v>
      </c>
      <c r="B547" s="18" t="n">
        <v>64167</v>
      </c>
      <c r="C547" s="31" t="n"/>
      <c r="D547" s="32" t="n"/>
      <c r="E547" s="33" t="n">
        <v>0.9413</v>
      </c>
      <c r="F547" t="inlineStr">
        <is>
          <t>Up</t>
        </is>
      </c>
      <c r="G547" t="inlineStr">
        <is>
          <t>Up</t>
        </is>
      </c>
      <c r="H547" t="inlineStr">
        <is>
          <t>EU_JU</t>
        </is>
      </c>
      <c r="I547" t="inlineStr">
        <is>
          <t>2008-06</t>
        </is>
      </c>
      <c r="J547" t="n">
        <v>1</v>
      </c>
      <c r="K547" t="n">
        <v>1</v>
      </c>
      <c r="L547" s="34">
        <f>IF($J547=1,LN(B548/B547),"")</f>
        <v/>
      </c>
      <c r="M547" s="34">
        <f>IF($K547=1,INDEX(Mensal!$D$2:$D$245,MATCH($I547,Mensal!$A$2:$A$245,0)),"")</f>
        <v/>
      </c>
      <c r="N547" s="34">
        <f>IF($K547=1,L547-M547,"")</f>
        <v/>
      </c>
      <c r="O547" s="34" t="n">
        <v>0.00045265</v>
      </c>
      <c r="P547" s="34">
        <f>IF($J547=1,LN(1+O547),"")</f>
        <v/>
      </c>
      <c r="Q547" s="34">
        <f>IF($J547=1,LN(R548/R547),"")</f>
        <v/>
      </c>
      <c r="R547" s="32" t="n">
        <v>1.6046</v>
      </c>
      <c r="S547" s="35" t="n">
        <v>14.191</v>
      </c>
      <c r="T547" s="18" t="n"/>
      <c r="U547" s="18" t="n">
        <v>64167</v>
      </c>
      <c r="V547" s="18" t="n"/>
      <c r="W547" s="18" t="n"/>
      <c r="X547" s="35" t="n">
        <v>14.191</v>
      </c>
      <c r="Y547" s="35" t="n"/>
    </row>
    <row r="548">
      <c r="A548" s="25" t="n">
        <v>39624</v>
      </c>
      <c r="B548" s="18" t="n">
        <v>65853</v>
      </c>
      <c r="C548" s="31" t="n"/>
      <c r="D548" s="32" t="n"/>
      <c r="E548" s="33" t="n">
        <v>0.9303</v>
      </c>
      <c r="F548" t="inlineStr">
        <is>
          <t>Up</t>
        </is>
      </c>
      <c r="G548" t="inlineStr">
        <is>
          <t>Up</t>
        </is>
      </c>
      <c r="H548" t="inlineStr">
        <is>
          <t>EU_JU</t>
        </is>
      </c>
      <c r="I548" t="inlineStr">
        <is>
          <t>2008-06</t>
        </is>
      </c>
      <c r="J548" t="n">
        <v>1</v>
      </c>
      <c r="K548" t="n">
        <v>1</v>
      </c>
      <c r="L548" s="34">
        <f>IF($J548=1,LN(B549/B548),"")</f>
        <v/>
      </c>
      <c r="M548" s="34">
        <f>IF($K548=1,INDEX(Mensal!$D$2:$D$245,MATCH($I548,Mensal!$A$2:$A$245,0)),"")</f>
        <v/>
      </c>
      <c r="N548" s="34">
        <f>IF($K548=1,L548-M548,"")</f>
        <v/>
      </c>
      <c r="O548" s="34" t="n">
        <v>0.00045265</v>
      </c>
      <c r="P548" s="34">
        <f>IF($J548=1,LN(1+O548),"")</f>
        <v/>
      </c>
      <c r="Q548" s="34">
        <f>IF($J548=1,LN(R549/R548),"")</f>
        <v/>
      </c>
      <c r="R548" s="32" t="n">
        <v>1.6001</v>
      </c>
      <c r="S548" s="35" t="n">
        <v>14.207</v>
      </c>
      <c r="T548" s="18" t="n"/>
      <c r="U548" s="18" t="n">
        <v>65853</v>
      </c>
      <c r="V548" s="18" t="n"/>
      <c r="W548" s="18" t="n"/>
      <c r="X548" s="35" t="n">
        <v>14.207</v>
      </c>
      <c r="Y548" s="35" t="n"/>
    </row>
    <row r="549">
      <c r="A549" s="25" t="n">
        <v>39625</v>
      </c>
      <c r="B549" s="18" t="n">
        <v>63946</v>
      </c>
      <c r="C549" s="31" t="n"/>
      <c r="D549" s="32" t="n"/>
      <c r="E549" s="33" t="n">
        <v>0.9281</v>
      </c>
      <c r="F549" t="inlineStr">
        <is>
          <t>Up</t>
        </is>
      </c>
      <c r="G549" t="inlineStr">
        <is>
          <t>Up</t>
        </is>
      </c>
      <c r="H549" t="inlineStr">
        <is>
          <t>EU_JU</t>
        </is>
      </c>
      <c r="I549" t="inlineStr">
        <is>
          <t>2008-06</t>
        </is>
      </c>
      <c r="J549" t="n">
        <v>1</v>
      </c>
      <c r="K549" t="n">
        <v>1</v>
      </c>
      <c r="L549" s="34">
        <f>IF($J549=1,LN(B550/B549),"")</f>
        <v/>
      </c>
      <c r="M549" s="34">
        <f>IF($K549=1,INDEX(Mensal!$D$2:$D$245,MATCH($I549,Mensal!$A$2:$A$245,0)),"")</f>
        <v/>
      </c>
      <c r="N549" s="34">
        <f>IF($K549=1,L549-M549,"")</f>
        <v/>
      </c>
      <c r="O549" s="34" t="n">
        <v>0.0004523</v>
      </c>
      <c r="P549" s="34">
        <f>IF($J549=1,LN(1+O549),"")</f>
        <v/>
      </c>
      <c r="Q549" s="34">
        <f>IF($J549=1,LN(R550/R549),"")</f>
        <v/>
      </c>
      <c r="R549" s="32" t="n">
        <v>1.5951</v>
      </c>
      <c r="S549" s="35" t="n">
        <v>14.314</v>
      </c>
      <c r="T549" s="18" t="n"/>
      <c r="U549" s="18" t="n">
        <v>63946</v>
      </c>
      <c r="V549" s="18" t="n"/>
      <c r="W549" s="18" t="n"/>
      <c r="X549" s="35" t="n">
        <v>14.314</v>
      </c>
      <c r="Y549" s="35" t="n"/>
    </row>
    <row r="550">
      <c r="A550" s="25" t="n">
        <v>39626</v>
      </c>
      <c r="B550" s="18" t="n">
        <v>64321</v>
      </c>
      <c r="C550" s="31" t="n"/>
      <c r="D550" s="32" t="n"/>
      <c r="E550" s="33" t="n">
        <v>0.9174</v>
      </c>
      <c r="F550" t="inlineStr">
        <is>
          <t>Up</t>
        </is>
      </c>
      <c r="G550" t="inlineStr">
        <is>
          <t>Up</t>
        </is>
      </c>
      <c r="H550" t="inlineStr">
        <is>
          <t>EU_JU</t>
        </is>
      </c>
      <c r="I550" t="inlineStr">
        <is>
          <t>2008-06</t>
        </is>
      </c>
      <c r="J550" t="n">
        <v>1</v>
      </c>
      <c r="K550" t="n">
        <v>1</v>
      </c>
      <c r="L550" s="34">
        <f>IF($J550=1,LN(B551/B550),"")</f>
        <v/>
      </c>
      <c r="M550" s="34">
        <f>IF($K550=1,INDEX(Mensal!$D$2:$D$245,MATCH($I550,Mensal!$A$2:$A$245,0)),"")</f>
        <v/>
      </c>
      <c r="N550" s="34">
        <f>IF($K550=1,L550-M550,"")</f>
        <v/>
      </c>
      <c r="O550" s="34" t="n">
        <v>0.0004523</v>
      </c>
      <c r="P550" s="34">
        <f>IF($J550=1,LN(1+O550),"")</f>
        <v/>
      </c>
      <c r="Q550" s="34">
        <f>IF($J550=1,LN(R551/R550),"")</f>
        <v/>
      </c>
      <c r="R550" s="32" t="n">
        <v>1.6077</v>
      </c>
      <c r="S550" s="35" t="n">
        <v>14.384</v>
      </c>
      <c r="T550" s="18" t="n"/>
      <c r="U550" s="18" t="n">
        <v>64321</v>
      </c>
      <c r="V550" s="18" t="n"/>
      <c r="W550" s="18" t="n"/>
      <c r="X550" s="35" t="n">
        <v>14.384</v>
      </c>
      <c r="Y550" s="35" t="n"/>
    </row>
    <row r="551">
      <c r="A551" s="25" t="n">
        <v>39629</v>
      </c>
      <c r="B551" s="18" t="n">
        <v>65017</v>
      </c>
      <c r="C551" s="31" t="n"/>
      <c r="D551" s="32" t="n"/>
      <c r="E551" s="33" t="n">
        <v>0.9034</v>
      </c>
      <c r="F551" t="inlineStr">
        <is>
          <t>Up</t>
        </is>
      </c>
      <c r="G551" t="inlineStr">
        <is>
          <t>Up</t>
        </is>
      </c>
      <c r="H551" t="inlineStr">
        <is>
          <t>EU_JU</t>
        </is>
      </c>
      <c r="I551" t="inlineStr">
        <is>
          <t>2008-06</t>
        </is>
      </c>
      <c r="J551" t="n">
        <v>1</v>
      </c>
      <c r="K551" t="n">
        <v>1</v>
      </c>
      <c r="L551" s="34">
        <f>IF($J551=1,LN(B552/B551),"")</f>
        <v/>
      </c>
      <c r="M551" s="34">
        <f>IF($K551=1,INDEX(Mensal!$D$2:$D$245,MATCH($I551,Mensal!$A$2:$A$245,0)),"")</f>
        <v/>
      </c>
      <c r="N551" s="34">
        <f>IF($K551=1,L551-M551,"")</f>
        <v/>
      </c>
      <c r="O551" s="34" t="n">
        <v>0.00045301</v>
      </c>
      <c r="P551" s="34">
        <f>IF($J551=1,LN(1+O551),"")</f>
        <v/>
      </c>
      <c r="Q551" s="34">
        <f>IF($J551=1,LN(R552/R551),"")</f>
        <v/>
      </c>
      <c r="R551" s="32" t="n">
        <v>1.5919</v>
      </c>
      <c r="S551" s="35" t="n">
        <v>14.45</v>
      </c>
      <c r="T551" s="18" t="n"/>
      <c r="U551" s="18" t="n">
        <v>65017</v>
      </c>
      <c r="V551" s="18" t="n"/>
      <c r="W551" s="18" t="n"/>
      <c r="X551" s="35" t="n">
        <v>14.45</v>
      </c>
      <c r="Y551" s="35" t="n"/>
    </row>
    <row r="552">
      <c r="A552" s="25" t="n">
        <v>39630</v>
      </c>
      <c r="B552" s="18" t="n">
        <v>63396</v>
      </c>
      <c r="C552" s="31" t="n"/>
      <c r="D552" s="32" t="n"/>
      <c r="E552" s="33" t="n">
        <v>0.8897</v>
      </c>
      <c r="F552" t="inlineStr">
        <is>
          <t>Up</t>
        </is>
      </c>
      <c r="G552" t="inlineStr">
        <is>
          <t>Up</t>
        </is>
      </c>
      <c r="H552" t="inlineStr">
        <is>
          <t>EU_JU</t>
        </is>
      </c>
      <c r="I552" t="inlineStr">
        <is>
          <t>2008-07</t>
        </is>
      </c>
      <c r="J552" t="n">
        <v>1</v>
      </c>
      <c r="K552" t="n">
        <v>1</v>
      </c>
      <c r="L552" s="34">
        <f>IF($J552=1,LN(B553/B552),"")</f>
        <v/>
      </c>
      <c r="M552" s="34">
        <f>IF($K552=1,INDEX(Mensal!$D$2:$D$245,MATCH($I552,Mensal!$A$2:$A$245,0)),"")</f>
        <v/>
      </c>
      <c r="N552" s="34">
        <f>IF($K552=1,L552-M552,"")</f>
        <v/>
      </c>
      <c r="O552" s="34" t="n">
        <v>0.00045619</v>
      </c>
      <c r="P552" s="34">
        <f>IF($J552=1,LN(1+O552),"")</f>
        <v/>
      </c>
      <c r="Q552" s="34">
        <f>IF($J552=1,LN(R553/R552),"")</f>
        <v/>
      </c>
      <c r="R552" s="32" t="n">
        <v>1.6061</v>
      </c>
      <c r="S552" s="35" t="n">
        <v>14.5</v>
      </c>
      <c r="T552" s="18" t="n"/>
      <c r="U552" s="18" t="n">
        <v>63396</v>
      </c>
      <c r="V552" s="18" t="n"/>
      <c r="W552" s="18" t="n"/>
      <c r="X552" s="35" t="n">
        <v>14.5</v>
      </c>
      <c r="Y552" s="35" t="n"/>
    </row>
    <row r="553">
      <c r="A553" s="25" t="n">
        <v>39631</v>
      </c>
      <c r="B553" s="18" t="n">
        <v>61106</v>
      </c>
      <c r="C553" s="31" t="n"/>
      <c r="D553" s="32" t="n"/>
      <c r="E553" s="33" t="n">
        <v>0.8799</v>
      </c>
      <c r="F553" t="inlineStr">
        <is>
          <t>Up</t>
        </is>
      </c>
      <c r="G553" t="inlineStr">
        <is>
          <t>Up</t>
        </is>
      </c>
      <c r="H553" t="inlineStr">
        <is>
          <t>EU_JU</t>
        </is>
      </c>
      <c r="I553" t="inlineStr">
        <is>
          <t>2008-07</t>
        </is>
      </c>
      <c r="J553" t="n">
        <v>1</v>
      </c>
      <c r="K553" t="n">
        <v>1</v>
      </c>
      <c r="L553" s="34">
        <f>IF($J553=1,LN(B554/B553),"")</f>
        <v/>
      </c>
      <c r="M553" s="34">
        <f>IF($K553=1,INDEX(Mensal!$D$2:$D$245,MATCH($I553,Mensal!$A$2:$A$245,0)),"")</f>
        <v/>
      </c>
      <c r="N553" s="34">
        <f>IF($K553=1,L553-M553,"")</f>
        <v/>
      </c>
      <c r="O553" s="34" t="n">
        <v>0.00045442</v>
      </c>
      <c r="P553" s="34">
        <f>IF($J553=1,LN(1+O553),"")</f>
        <v/>
      </c>
      <c r="Q553" s="34">
        <f>IF($J553=1,LN(R554/R553),"")</f>
        <v/>
      </c>
      <c r="R553" s="32" t="n">
        <v>1.5993</v>
      </c>
      <c r="S553" s="35" t="n">
        <v>14.626</v>
      </c>
      <c r="T553" s="18" t="n"/>
      <c r="U553" s="18" t="n">
        <v>61106</v>
      </c>
      <c r="V553" s="18" t="n"/>
      <c r="W553" s="18" t="n"/>
      <c r="X553" s="35" t="n">
        <v>14.626</v>
      </c>
      <c r="Y553" s="35" t="n"/>
    </row>
    <row r="554">
      <c r="A554" s="25" t="n">
        <v>39632</v>
      </c>
      <c r="B554" s="18" t="n">
        <v>59273</v>
      </c>
      <c r="C554" s="31" t="n"/>
      <c r="D554" s="32" t="n"/>
      <c r="E554" s="33" t="n">
        <v>0.8624000000000001</v>
      </c>
      <c r="F554" t="inlineStr">
        <is>
          <t>Up</t>
        </is>
      </c>
      <c r="G554" t="inlineStr">
        <is>
          <t>Up</t>
        </is>
      </c>
      <c r="H554" t="inlineStr">
        <is>
          <t>EU_JU</t>
        </is>
      </c>
      <c r="I554" t="inlineStr">
        <is>
          <t>2008-07</t>
        </is>
      </c>
      <c r="J554" t="n">
        <v>1</v>
      </c>
      <c r="K554" t="n">
        <v>1</v>
      </c>
      <c r="L554" s="34">
        <f>IF($J554=1,LN(B555/B554),"")</f>
        <v/>
      </c>
      <c r="M554" s="34">
        <f>IF($K554=1,INDEX(Mensal!$D$2:$D$245,MATCH($I554,Mensal!$A$2:$A$245,0)),"")</f>
        <v/>
      </c>
      <c r="N554" s="34">
        <f>IF($K554=1,L554-M554,"")</f>
        <v/>
      </c>
      <c r="O554" s="34" t="n">
        <v>0.00045336</v>
      </c>
      <c r="P554" s="34">
        <f>IF($J554=1,LN(1+O554),"")</f>
        <v/>
      </c>
      <c r="Q554" s="34">
        <f>IF($J554=1,LN(R555/R554),"")</f>
        <v/>
      </c>
      <c r="R554" s="32" t="n">
        <v>1.6089</v>
      </c>
      <c r="S554" s="35" t="n">
        <v>14.664</v>
      </c>
      <c r="T554" s="18" t="n"/>
      <c r="U554" s="18" t="n">
        <v>59273</v>
      </c>
      <c r="V554" s="18" t="n"/>
      <c r="W554" s="18" t="n"/>
      <c r="X554" s="35" t="n">
        <v>14.664</v>
      </c>
      <c r="Y554" s="35" t="n"/>
    </row>
    <row r="555">
      <c r="A555" s="25" t="n">
        <v>39633</v>
      </c>
      <c r="B555" s="18" t="n">
        <v>59365</v>
      </c>
      <c r="C555" s="31" t="n"/>
      <c r="D555" s="32" t="n"/>
      <c r="E555" s="33" t="n">
        <v>0.8424</v>
      </c>
      <c r="F555" t="inlineStr">
        <is>
          <t>Up</t>
        </is>
      </c>
      <c r="G555" t="inlineStr">
        <is>
          <t>Up</t>
        </is>
      </c>
      <c r="H555" t="inlineStr">
        <is>
          <t>EU_JU</t>
        </is>
      </c>
      <c r="I555" t="inlineStr">
        <is>
          <t>2008-07</t>
        </is>
      </c>
      <c r="J555" t="n">
        <v>1</v>
      </c>
      <c r="K555" t="n">
        <v>1</v>
      </c>
      <c r="L555" s="34">
        <f>IF($J555=1,LN(B556/B555),"")</f>
        <v/>
      </c>
      <c r="M555" s="34">
        <f>IF($K555=1,INDEX(Mensal!$D$2:$D$245,MATCH($I555,Mensal!$A$2:$A$245,0)),"")</f>
        <v/>
      </c>
      <c r="N555" s="34">
        <f>IF($K555=1,L555-M555,"")</f>
        <v/>
      </c>
      <c r="O555" s="34" t="n">
        <v>0.00045407</v>
      </c>
      <c r="P555" s="34">
        <f>IF($J555=1,LN(1+O555),"")</f>
        <v/>
      </c>
      <c r="Q555" s="34">
        <f>IF($J555=1,LN(R556/R555),"")</f>
        <v/>
      </c>
      <c r="R555" s="32" t="n">
        <v>1.61</v>
      </c>
      <c r="S555" s="35" t="n">
        <v>14.72</v>
      </c>
      <c r="T555" s="18" t="n"/>
      <c r="U555" s="18" t="n">
        <v>59365</v>
      </c>
      <c r="V555" s="18" t="n"/>
      <c r="W555" s="18" t="n"/>
      <c r="X555" s="35" t="n">
        <v>14.72</v>
      </c>
      <c r="Y555" s="35" t="n"/>
    </row>
    <row r="556">
      <c r="A556" s="25" t="n">
        <v>39636</v>
      </c>
      <c r="B556" s="18" t="n">
        <v>59088</v>
      </c>
      <c r="C556" s="31" t="n"/>
      <c r="D556" s="32" t="n"/>
      <c r="E556" s="33" t="n">
        <v>0.8316</v>
      </c>
      <c r="F556" t="inlineStr">
        <is>
          <t>Up</t>
        </is>
      </c>
      <c r="G556" t="inlineStr">
        <is>
          <t>Up</t>
        </is>
      </c>
      <c r="H556" t="inlineStr">
        <is>
          <t>EU_JU</t>
        </is>
      </c>
      <c r="I556" t="inlineStr">
        <is>
          <t>2008-07</t>
        </is>
      </c>
      <c r="J556" t="n">
        <v>1</v>
      </c>
      <c r="K556" t="n">
        <v>1</v>
      </c>
      <c r="L556" s="34">
        <f>IF($J556=1,LN(B557/B556),"")</f>
        <v/>
      </c>
      <c r="M556" s="34">
        <f>IF($K556=1,INDEX(Mensal!$D$2:$D$245,MATCH($I556,Mensal!$A$2:$A$245,0)),"")</f>
        <v/>
      </c>
      <c r="N556" s="34">
        <f>IF($K556=1,L556-M556,"")</f>
        <v/>
      </c>
      <c r="O556" s="34" t="n">
        <v>0.00045372</v>
      </c>
      <c r="P556" s="34">
        <f>IF($J556=1,LN(1+O556),"")</f>
        <v/>
      </c>
      <c r="Q556" s="34">
        <f>IF($J556=1,LN(R557/R556),"")</f>
        <v/>
      </c>
      <c r="R556" s="32" t="n">
        <v>1.6041</v>
      </c>
      <c r="S556" s="35" t="n">
        <v>14.692</v>
      </c>
      <c r="T556" s="18" t="n"/>
      <c r="U556" s="18" t="n">
        <v>59088</v>
      </c>
      <c r="V556" s="18" t="n"/>
      <c r="W556" s="18" t="n"/>
      <c r="X556" s="35" t="n">
        <v>14.692</v>
      </c>
      <c r="Y556" s="35" t="n"/>
    </row>
    <row r="557">
      <c r="A557" s="25" t="n">
        <v>39637</v>
      </c>
      <c r="B557" s="18" t="n">
        <v>59535</v>
      </c>
      <c r="C557" s="31" t="n"/>
      <c r="D557" s="32" t="n"/>
      <c r="E557" s="33" t="n">
        <v>0.8247</v>
      </c>
      <c r="F557" t="inlineStr">
        <is>
          <t>Up</t>
        </is>
      </c>
      <c r="G557" t="inlineStr">
        <is>
          <t>Up</t>
        </is>
      </c>
      <c r="H557" t="inlineStr">
        <is>
          <t>EU_JU</t>
        </is>
      </c>
      <c r="I557" t="inlineStr">
        <is>
          <t>2008-07</t>
        </is>
      </c>
      <c r="J557" t="n">
        <v>1</v>
      </c>
      <c r="K557" t="n">
        <v>1</v>
      </c>
      <c r="L557" s="34">
        <f>IF($J557=1,LN(B558/B557),"")</f>
        <v/>
      </c>
      <c r="M557" s="34">
        <f>IF($K557=1,INDEX(Mensal!$D$2:$D$245,MATCH($I557,Mensal!$A$2:$A$245,0)),"")</f>
        <v/>
      </c>
      <c r="N557" s="34">
        <f>IF($K557=1,L557-M557,"")</f>
        <v/>
      </c>
      <c r="O557" s="34" t="n">
        <v>0.00045442</v>
      </c>
      <c r="P557" s="34">
        <f>IF($J557=1,LN(1+O557),"")</f>
        <v/>
      </c>
      <c r="Q557" s="34">
        <f>IF($J557=1,LN(R558/R557),"")</f>
        <v/>
      </c>
      <c r="R557" s="32" t="n">
        <v>1.6027</v>
      </c>
      <c r="S557" s="35" t="n">
        <v>14.527</v>
      </c>
      <c r="T557" s="18" t="n"/>
      <c r="U557" s="18" t="n">
        <v>59535</v>
      </c>
      <c r="V557" s="18" t="n"/>
      <c r="W557" s="18" t="n"/>
      <c r="X557" s="35" t="n">
        <v>14.527</v>
      </c>
      <c r="Y557" s="35" t="n"/>
    </row>
    <row r="558">
      <c r="A558" s="25" t="n">
        <v>39639</v>
      </c>
      <c r="B558" s="18" t="n">
        <v>60252</v>
      </c>
      <c r="C558" s="31" t="n"/>
      <c r="D558" s="32" t="n"/>
      <c r="E558" s="33" t="n">
        <v>0.8164</v>
      </c>
      <c r="F558" t="inlineStr">
        <is>
          <t>Up</t>
        </is>
      </c>
      <c r="G558" t="inlineStr">
        <is>
          <t>Up</t>
        </is>
      </c>
      <c r="H558" t="inlineStr">
        <is>
          <t>EU_JU</t>
        </is>
      </c>
      <c r="I558" t="inlineStr">
        <is>
          <t>2008-07</t>
        </is>
      </c>
      <c r="J558" t="n">
        <v>1</v>
      </c>
      <c r="K558" t="n">
        <v>1</v>
      </c>
      <c r="L558" s="34">
        <f>IF($J558=1,LN(B559/B558),"")</f>
        <v/>
      </c>
      <c r="M558" s="34">
        <f>IF($K558=1,INDEX(Mensal!$D$2:$D$245,MATCH($I558,Mensal!$A$2:$A$245,0)),"")</f>
        <v/>
      </c>
      <c r="N558" s="34">
        <f>IF($K558=1,L558-M558,"")</f>
        <v/>
      </c>
      <c r="O558" s="34" t="n">
        <v>0.00045407</v>
      </c>
      <c r="P558" s="34">
        <f>IF($J558=1,LN(1+O558),"")</f>
        <v/>
      </c>
      <c r="Q558" s="34">
        <f>IF($J558=1,LN(R559/R558),"")</f>
        <v/>
      </c>
      <c r="R558" s="32" t="n">
        <v>1.6147</v>
      </c>
      <c r="S558" s="35" t="n">
        <v>14.479</v>
      </c>
      <c r="T558" s="18" t="n"/>
      <c r="U558" s="18" t="n">
        <v>60252</v>
      </c>
      <c r="V558" s="18" t="n"/>
      <c r="W558" s="18" t="n"/>
      <c r="X558" s="35" t="n">
        <v>14.479</v>
      </c>
      <c r="Y558" s="35" t="n"/>
    </row>
    <row r="559">
      <c r="A559" s="25" t="n">
        <v>39640</v>
      </c>
      <c r="B559" s="18" t="n">
        <v>60148</v>
      </c>
      <c r="C559" s="31" t="n"/>
      <c r="D559" s="32" t="n"/>
      <c r="E559" s="33" t="n">
        <v>0.8127</v>
      </c>
      <c r="F559" t="inlineStr">
        <is>
          <t>Up</t>
        </is>
      </c>
      <c r="G559" t="inlineStr">
        <is>
          <t>Up</t>
        </is>
      </c>
      <c r="H559" t="inlineStr">
        <is>
          <t>EU_JU</t>
        </is>
      </c>
      <c r="I559" t="inlineStr">
        <is>
          <t>2008-07</t>
        </is>
      </c>
      <c r="J559" t="n">
        <v>1</v>
      </c>
      <c r="K559" t="n">
        <v>1</v>
      </c>
      <c r="L559" s="34">
        <f>IF($J559=1,LN(B560/B559),"")</f>
        <v/>
      </c>
      <c r="M559" s="34">
        <f>IF($K559=1,INDEX(Mensal!$D$2:$D$245,MATCH($I559,Mensal!$A$2:$A$245,0)),"")</f>
        <v/>
      </c>
      <c r="N559" s="34">
        <f>IF($K559=1,L559-M559,"")</f>
        <v/>
      </c>
      <c r="O559" s="34" t="n">
        <v>0.00045372</v>
      </c>
      <c r="P559" s="34">
        <f>IF($J559=1,LN(1+O559),"")</f>
        <v/>
      </c>
      <c r="Q559" s="34">
        <f>IF($J559=1,LN(R560/R559),"")</f>
        <v/>
      </c>
      <c r="R559" s="32" t="n">
        <v>1.6032</v>
      </c>
      <c r="S559" s="35" t="n">
        <v>14.439</v>
      </c>
      <c r="T559" s="18" t="n"/>
      <c r="U559" s="18" t="n">
        <v>60148</v>
      </c>
      <c r="V559" s="18" t="n"/>
      <c r="W559" s="18" t="n"/>
      <c r="X559" s="35" t="n">
        <v>14.439</v>
      </c>
      <c r="Y559" s="35" t="n"/>
    </row>
    <row r="560">
      <c r="A560" s="25" t="n">
        <v>39643</v>
      </c>
      <c r="B560" s="18" t="n">
        <v>60720</v>
      </c>
      <c r="C560" s="31" t="n"/>
      <c r="D560" s="32" t="n"/>
      <c r="E560" s="33" t="n">
        <v>0.8097</v>
      </c>
      <c r="F560" t="inlineStr">
        <is>
          <t>Up</t>
        </is>
      </c>
      <c r="G560" t="inlineStr">
        <is>
          <t>Up</t>
        </is>
      </c>
      <c r="H560" t="inlineStr">
        <is>
          <t>EU_JU</t>
        </is>
      </c>
      <c r="I560" t="inlineStr">
        <is>
          <t>2008-07</t>
        </is>
      </c>
      <c r="J560" t="n">
        <v>1</v>
      </c>
      <c r="K560" t="n">
        <v>1</v>
      </c>
      <c r="L560" s="34">
        <f>IF($J560=1,LN(B561/B560),"")</f>
        <v/>
      </c>
      <c r="M560" s="34">
        <f>IF($K560=1,INDEX(Mensal!$D$2:$D$245,MATCH($I560,Mensal!$A$2:$A$245,0)),"")</f>
        <v/>
      </c>
      <c r="N560" s="34">
        <f>IF($K560=1,L560-M560,"")</f>
        <v/>
      </c>
      <c r="O560" s="34" t="n">
        <v>0.00045301</v>
      </c>
      <c r="P560" s="34">
        <f>IF($J560=1,LN(1+O560),"")</f>
        <v/>
      </c>
      <c r="Q560" s="34">
        <f>IF($J560=1,LN(R561/R560),"")</f>
        <v/>
      </c>
      <c r="R560" s="32" t="n">
        <v>1.5942</v>
      </c>
      <c r="S560" s="35" t="n">
        <v>14.51</v>
      </c>
      <c r="T560" s="18" t="n"/>
      <c r="U560" s="18" t="n">
        <v>60720</v>
      </c>
      <c r="V560" s="18" t="n"/>
      <c r="W560" s="18" t="n"/>
      <c r="X560" s="35" t="n">
        <v>14.51</v>
      </c>
      <c r="Y560" s="35" t="n"/>
    </row>
    <row r="561">
      <c r="A561" s="25" t="n">
        <v>39644</v>
      </c>
      <c r="B561" s="18" t="n">
        <v>61015</v>
      </c>
      <c r="C561" s="31" t="n"/>
      <c r="D561" s="32" t="n"/>
      <c r="E561" s="33" t="n">
        <v>0.8073</v>
      </c>
      <c r="F561" t="inlineStr">
        <is>
          <t>Up</t>
        </is>
      </c>
      <c r="G561" t="inlineStr">
        <is>
          <t>Up</t>
        </is>
      </c>
      <c r="H561" t="inlineStr">
        <is>
          <t>EU_JU</t>
        </is>
      </c>
      <c r="I561" t="inlineStr">
        <is>
          <t>2008-07</t>
        </is>
      </c>
      <c r="J561" t="n">
        <v>1</v>
      </c>
      <c r="K561" t="n">
        <v>1</v>
      </c>
      <c r="L561" s="34">
        <f>IF($J561=1,LN(B562/B561),"")</f>
        <v/>
      </c>
      <c r="M561" s="34">
        <f>IF($K561=1,INDEX(Mensal!$D$2:$D$245,MATCH($I561,Mensal!$A$2:$A$245,0)),"")</f>
        <v/>
      </c>
      <c r="N561" s="34">
        <f>IF($K561=1,L561-M561,"")</f>
        <v/>
      </c>
      <c r="O561" s="34" t="n">
        <v>0.00045265</v>
      </c>
      <c r="P561" s="34">
        <f>IF($J561=1,LN(1+O561),"")</f>
        <v/>
      </c>
      <c r="Q561" s="34">
        <f>IF($J561=1,LN(R562/R561),"")</f>
        <v/>
      </c>
      <c r="R561" s="32" t="n">
        <v>1.591</v>
      </c>
      <c r="S561" s="35" t="n">
        <v>14.473</v>
      </c>
      <c r="T561" s="18" t="n"/>
      <c r="U561" s="18" t="n">
        <v>61015</v>
      </c>
      <c r="V561" s="18" t="n"/>
      <c r="W561" s="18" t="n"/>
      <c r="X561" s="35" t="n">
        <v>14.473</v>
      </c>
      <c r="Y561" s="35" t="n"/>
    </row>
    <row r="562">
      <c r="A562" s="25" t="n">
        <v>39645</v>
      </c>
      <c r="B562" s="18" t="n">
        <v>62056</v>
      </c>
      <c r="C562" s="31" t="n"/>
      <c r="D562" s="32" t="n"/>
      <c r="E562" s="33" t="n">
        <v>0.8067</v>
      </c>
      <c r="F562" t="inlineStr">
        <is>
          <t>Up</t>
        </is>
      </c>
      <c r="G562" t="inlineStr">
        <is>
          <t>Up</t>
        </is>
      </c>
      <c r="H562" t="inlineStr">
        <is>
          <t>EU_JU</t>
        </is>
      </c>
      <c r="I562" t="inlineStr">
        <is>
          <t>2008-07</t>
        </is>
      </c>
      <c r="J562" t="n">
        <v>1</v>
      </c>
      <c r="K562" t="n">
        <v>1</v>
      </c>
      <c r="L562" s="34">
        <f>IF($J562=1,LN(B563/B562),"")</f>
        <v/>
      </c>
      <c r="M562" s="34">
        <f>IF($K562=1,INDEX(Mensal!$D$2:$D$245,MATCH($I562,Mensal!$A$2:$A$245,0)),"")</f>
        <v/>
      </c>
      <c r="N562" s="34">
        <f>IF($K562=1,L562-M562,"")</f>
        <v/>
      </c>
      <c r="O562" s="34" t="n">
        <v>0.00045336</v>
      </c>
      <c r="P562" s="34">
        <f>IF($J562=1,LN(1+O562),"")</f>
        <v/>
      </c>
      <c r="Q562" s="34">
        <f>IF($J562=1,LN(R563/R562),"")</f>
        <v/>
      </c>
      <c r="R562" s="32" t="n">
        <v>1.596</v>
      </c>
      <c r="S562" s="35" t="n">
        <v>14.507</v>
      </c>
      <c r="T562" s="18" t="n"/>
      <c r="U562" s="18" t="n">
        <v>62056</v>
      </c>
      <c r="V562" s="18" t="n"/>
      <c r="W562" s="18" t="n"/>
      <c r="X562" s="35" t="n">
        <v>14.507</v>
      </c>
      <c r="Y562" s="35" t="n"/>
    </row>
    <row r="563">
      <c r="A563" s="25" t="n">
        <v>39646</v>
      </c>
      <c r="B563" s="18" t="n">
        <v>60180</v>
      </c>
      <c r="C563" s="31" t="n"/>
      <c r="D563" s="32" t="n"/>
      <c r="E563" s="33" t="n">
        <v>0.7975</v>
      </c>
      <c r="F563" t="inlineStr">
        <is>
          <t>Up</t>
        </is>
      </c>
      <c r="G563" t="inlineStr">
        <is>
          <t>Up</t>
        </is>
      </c>
      <c r="H563" t="inlineStr">
        <is>
          <t>EU_JU</t>
        </is>
      </c>
      <c r="I563" t="inlineStr">
        <is>
          <t>2008-07</t>
        </is>
      </c>
      <c r="J563" t="n">
        <v>1</v>
      </c>
      <c r="K563" t="n">
        <v>1</v>
      </c>
      <c r="L563" s="34">
        <f>IF($J563=1,LN(B564/B563),"")</f>
        <v/>
      </c>
      <c r="M563" s="34">
        <f>IF($K563=1,INDEX(Mensal!$D$2:$D$245,MATCH($I563,Mensal!$A$2:$A$245,0)),"")</f>
        <v/>
      </c>
      <c r="N563" s="34">
        <f>IF($K563=1,L563-M563,"")</f>
        <v/>
      </c>
      <c r="O563" s="34" t="n">
        <v>0.00045301</v>
      </c>
      <c r="P563" s="34">
        <f>IF($J563=1,LN(1+O563),"")</f>
        <v/>
      </c>
      <c r="Q563" s="34">
        <f>IF($J563=1,LN(R564/R563),"")</f>
        <v/>
      </c>
      <c r="R563" s="32" t="n">
        <v>1.5913</v>
      </c>
      <c r="S563" s="35" t="n">
        <v>14.51</v>
      </c>
      <c r="T563" s="18" t="n"/>
      <c r="U563" s="18" t="n">
        <v>60180</v>
      </c>
      <c r="V563" s="18" t="n"/>
      <c r="W563" s="18" t="n"/>
      <c r="X563" s="35" t="n">
        <v>14.51</v>
      </c>
      <c r="Y563" s="35" t="n"/>
    </row>
    <row r="564">
      <c r="A564" s="25" t="n">
        <v>39647</v>
      </c>
      <c r="B564" s="18" t="n">
        <v>59988</v>
      </c>
      <c r="C564" s="31" t="n"/>
      <c r="D564" s="32" t="n"/>
      <c r="E564" s="33" t="n">
        <v>0.7894</v>
      </c>
      <c r="F564" t="inlineStr">
        <is>
          <t>Up</t>
        </is>
      </c>
      <c r="G564" t="inlineStr">
        <is>
          <t>Up</t>
        </is>
      </c>
      <c r="H564" t="inlineStr">
        <is>
          <t>EU_JU</t>
        </is>
      </c>
      <c r="I564" t="inlineStr">
        <is>
          <t>2008-07</t>
        </is>
      </c>
      <c r="J564" t="n">
        <v>1</v>
      </c>
      <c r="K564" t="n">
        <v>1</v>
      </c>
      <c r="L564" s="34">
        <f>IF($J564=1,LN(B565/B564),"")</f>
        <v/>
      </c>
      <c r="M564" s="34">
        <f>IF($K564=1,INDEX(Mensal!$D$2:$D$245,MATCH($I564,Mensal!$A$2:$A$245,0)),"")</f>
        <v/>
      </c>
      <c r="N564" s="34">
        <f>IF($K564=1,L564-M564,"")</f>
        <v/>
      </c>
      <c r="O564" s="34" t="n">
        <v>0.00045301</v>
      </c>
      <c r="P564" s="34">
        <f>IF($J564=1,LN(1+O564),"")</f>
        <v/>
      </c>
      <c r="Q564" s="34">
        <f>IF($J564=1,LN(R565/R564),"")</f>
        <v/>
      </c>
      <c r="R564" s="32" t="n">
        <v>1.5938</v>
      </c>
      <c r="S564" s="35" t="n">
        <v>14.509</v>
      </c>
      <c r="T564" s="18" t="n"/>
      <c r="U564" s="18" t="n">
        <v>59988</v>
      </c>
      <c r="V564" s="18" t="n"/>
      <c r="W564" s="18" t="n"/>
      <c r="X564" s="35" t="n">
        <v>14.509</v>
      </c>
      <c r="Y564" s="35" t="n"/>
    </row>
    <row r="565">
      <c r="A565" s="25" t="n">
        <v>39650</v>
      </c>
      <c r="B565" s="18" t="n">
        <v>60771</v>
      </c>
      <c r="C565" s="31" t="n"/>
      <c r="D565" s="32" t="n"/>
      <c r="E565" s="33" t="n">
        <v>0.7747000000000001</v>
      </c>
      <c r="F565" t="inlineStr">
        <is>
          <t>Up</t>
        </is>
      </c>
      <c r="G565" t="inlineStr">
        <is>
          <t>Up</t>
        </is>
      </c>
      <c r="H565" t="inlineStr">
        <is>
          <t>EU_JU</t>
        </is>
      </c>
      <c r="I565" t="inlineStr">
        <is>
          <t>2008-07</t>
        </is>
      </c>
      <c r="J565" t="n">
        <v>1</v>
      </c>
      <c r="K565" t="n">
        <v>1</v>
      </c>
      <c r="L565" s="34">
        <f>IF($J565=1,LN(B566/B565),"")</f>
        <v/>
      </c>
      <c r="M565" s="34">
        <f>IF($K565=1,INDEX(Mensal!$D$2:$D$245,MATCH($I565,Mensal!$A$2:$A$245,0)),"")</f>
        <v/>
      </c>
      <c r="N565" s="34">
        <f>IF($K565=1,L565-M565,"")</f>
        <v/>
      </c>
      <c r="O565" s="34" t="n">
        <v>0.00045336</v>
      </c>
      <c r="P565" s="34">
        <f>IF($J565=1,LN(1+O565),"")</f>
        <v/>
      </c>
      <c r="Q565" s="34">
        <f>IF($J565=1,LN(R566/R565),"")</f>
        <v/>
      </c>
      <c r="R565" s="32" t="n">
        <v>1.5818</v>
      </c>
      <c r="S565" s="35" t="n">
        <v>14.607</v>
      </c>
      <c r="T565" s="18" t="n"/>
      <c r="U565" s="18" t="n">
        <v>60771</v>
      </c>
      <c r="V565" s="18" t="n"/>
      <c r="W565" s="18" t="n"/>
      <c r="X565" s="35" t="n">
        <v>14.607</v>
      </c>
      <c r="Y565" s="35" t="n"/>
    </row>
    <row r="566">
      <c r="A566" s="25" t="n">
        <v>39651</v>
      </c>
      <c r="B566" s="18" t="n">
        <v>59647</v>
      </c>
      <c r="C566" s="31" t="n"/>
      <c r="D566" s="32" t="n"/>
      <c r="E566" s="33" t="n">
        <v>0.762</v>
      </c>
      <c r="F566" t="inlineStr">
        <is>
          <t>Up</t>
        </is>
      </c>
      <c r="G566" t="inlineStr">
        <is>
          <t>Up</t>
        </is>
      </c>
      <c r="H566" t="inlineStr">
        <is>
          <t>EU_JU</t>
        </is>
      </c>
      <c r="I566" t="inlineStr">
        <is>
          <t>2008-07</t>
        </is>
      </c>
      <c r="J566" t="n">
        <v>1</v>
      </c>
      <c r="K566" t="n">
        <v>1</v>
      </c>
      <c r="L566" s="34">
        <f>IF($J566=1,LN(B567/B566),"")</f>
        <v/>
      </c>
      <c r="M566" s="34">
        <f>IF($K566=1,INDEX(Mensal!$D$2:$D$245,MATCH($I566,Mensal!$A$2:$A$245,0)),"")</f>
        <v/>
      </c>
      <c r="N566" s="34">
        <f>IF($K566=1,L566-M566,"")</f>
        <v/>
      </c>
      <c r="O566" s="34" t="n">
        <v>0.00045265</v>
      </c>
      <c r="P566" s="34">
        <f>IF($J566=1,LN(1+O566),"")</f>
        <v/>
      </c>
      <c r="Q566" s="34">
        <f>IF($J566=1,LN(R567/R566),"")</f>
        <v/>
      </c>
      <c r="R566" s="32" t="n">
        <v>1.5811</v>
      </c>
      <c r="S566" s="35" t="n">
        <v>14.519</v>
      </c>
      <c r="T566" s="18" t="n"/>
      <c r="U566" s="18" t="n">
        <v>59647</v>
      </c>
      <c r="V566" s="18" t="n"/>
      <c r="W566" s="18" t="n"/>
      <c r="X566" s="35" t="n">
        <v>14.519</v>
      </c>
      <c r="Y566" s="35" t="n"/>
    </row>
    <row r="567">
      <c r="A567" s="25" t="n">
        <v>39652</v>
      </c>
      <c r="B567" s="18" t="n">
        <v>59420</v>
      </c>
      <c r="C567" s="31" t="n"/>
      <c r="D567" s="32" t="n"/>
      <c r="E567" s="33" t="n">
        <v>0.7514</v>
      </c>
      <c r="F567" t="inlineStr">
        <is>
          <t>Up</t>
        </is>
      </c>
      <c r="G567" t="inlineStr">
        <is>
          <t>Up</t>
        </is>
      </c>
      <c r="H567" t="inlineStr">
        <is>
          <t>EU_JU</t>
        </is>
      </c>
      <c r="I567" t="inlineStr">
        <is>
          <t>2008-07</t>
        </is>
      </c>
      <c r="J567" t="n">
        <v>1</v>
      </c>
      <c r="K567" t="n">
        <v>1</v>
      </c>
      <c r="L567" s="34">
        <f>IF($J567=1,LN(B568/B567),"")</f>
        <v/>
      </c>
      <c r="M567" s="34">
        <f>IF($K567=1,INDEX(Mensal!$D$2:$D$245,MATCH($I567,Mensal!$A$2:$A$245,0)),"")</f>
        <v/>
      </c>
      <c r="N567" s="34">
        <f>IF($K567=1,L567-M567,"")</f>
        <v/>
      </c>
      <c r="O567" s="34" t="n">
        <v>0.0004523</v>
      </c>
      <c r="P567" s="34">
        <f>IF($J567=1,LN(1+O567),"")</f>
        <v/>
      </c>
      <c r="Q567" s="34">
        <f>IF($J567=1,LN(R568/R567),"")</f>
        <v/>
      </c>
      <c r="R567" s="32" t="n">
        <v>1.5834</v>
      </c>
      <c r="S567" s="35" t="n">
        <v>14.549</v>
      </c>
      <c r="T567" s="18" t="n"/>
      <c r="U567" s="18" t="n">
        <v>59420</v>
      </c>
      <c r="V567" s="18" t="n"/>
      <c r="W567" s="18" t="n"/>
      <c r="X567" s="35" t="n">
        <v>14.549</v>
      </c>
      <c r="Y567" s="35" t="n"/>
    </row>
    <row r="568">
      <c r="A568" s="25" t="n">
        <v>39653</v>
      </c>
      <c r="B568" s="18" t="n">
        <v>57434</v>
      </c>
      <c r="C568" s="31" t="n"/>
      <c r="D568" s="32" t="n"/>
      <c r="E568" s="33" t="n">
        <v>0.7544999999999999</v>
      </c>
      <c r="F568" t="inlineStr">
        <is>
          <t>Up</t>
        </is>
      </c>
      <c r="G568" t="inlineStr">
        <is>
          <t>Up</t>
        </is>
      </c>
      <c r="H568" t="inlineStr">
        <is>
          <t>EU_JU</t>
        </is>
      </c>
      <c r="I568" t="inlineStr">
        <is>
          <t>2008-07</t>
        </is>
      </c>
      <c r="J568" t="n">
        <v>1</v>
      </c>
      <c r="K568" t="n">
        <v>1</v>
      </c>
      <c r="L568" s="34">
        <f>IF($J568=1,LN(B569/B568),"")</f>
        <v/>
      </c>
      <c r="M568" s="34">
        <f>IF($K568=1,INDEX(Mensal!$D$2:$D$245,MATCH($I568,Mensal!$A$2:$A$245,0)),"")</f>
        <v/>
      </c>
      <c r="N568" s="34">
        <f>IF($K568=1,L568-M568,"")</f>
        <v/>
      </c>
      <c r="O568" s="34" t="n">
        <v>0.00047948</v>
      </c>
      <c r="P568" s="34">
        <f>IF($J568=1,LN(1+O568),"")</f>
        <v/>
      </c>
      <c r="Q568" s="34">
        <f>IF($J568=1,LN(R569/R568),"")</f>
        <v/>
      </c>
      <c r="R568" s="32" t="n">
        <v>1.5781</v>
      </c>
      <c r="S568" s="35" t="n">
        <v>14.632</v>
      </c>
      <c r="T568" s="18" t="n"/>
      <c r="U568" s="18" t="n">
        <v>57434</v>
      </c>
      <c r="V568" s="18" t="n"/>
      <c r="W568" s="18" t="n"/>
      <c r="X568" s="35" t="n">
        <v>14.632</v>
      </c>
      <c r="Y568" s="35" t="n"/>
    </row>
    <row r="569">
      <c r="A569" s="25" t="n">
        <v>39654</v>
      </c>
      <c r="B569" s="18" t="n">
        <v>57199</v>
      </c>
      <c r="C569" s="31" t="n"/>
      <c r="D569" s="32" t="n"/>
      <c r="E569" s="33" t="n">
        <v>0.7581</v>
      </c>
      <c r="F569" t="inlineStr">
        <is>
          <t>Up</t>
        </is>
      </c>
      <c r="G569" t="inlineStr">
        <is>
          <t>Up</t>
        </is>
      </c>
      <c r="H569" t="inlineStr">
        <is>
          <t>EU_JU</t>
        </is>
      </c>
      <c r="I569" t="inlineStr">
        <is>
          <t>2008-07</t>
        </is>
      </c>
      <c r="J569" t="n">
        <v>1</v>
      </c>
      <c r="K569" t="n">
        <v>1</v>
      </c>
      <c r="L569" s="34">
        <f>IF($J569=1,LN(B570/B569),"")</f>
        <v/>
      </c>
      <c r="M569" s="34">
        <f>IF($K569=1,INDEX(Mensal!$D$2:$D$245,MATCH($I569,Mensal!$A$2:$A$245,0)),"")</f>
        <v/>
      </c>
      <c r="N569" s="34">
        <f>IF($K569=1,L569-M569,"")</f>
        <v/>
      </c>
      <c r="O569" s="34" t="n">
        <v>0.00047948</v>
      </c>
      <c r="P569" s="34">
        <f>IF($J569=1,LN(1+O569),"")</f>
        <v/>
      </c>
      <c r="Q569" s="34">
        <f>IF($J569=1,LN(R570/R569),"")</f>
        <v/>
      </c>
      <c r="R569" s="32" t="n">
        <v>1.5745</v>
      </c>
      <c r="S569" s="35" t="n">
        <v>14.575</v>
      </c>
      <c r="T569" s="18" t="n"/>
      <c r="U569" s="18" t="n">
        <v>57199</v>
      </c>
      <c r="V569" s="18" t="n"/>
      <c r="W569" s="18" t="n"/>
      <c r="X569" s="35" t="n">
        <v>14.575</v>
      </c>
      <c r="Y569" s="35" t="n"/>
    </row>
    <row r="570">
      <c r="A570" s="25" t="n">
        <v>39657</v>
      </c>
      <c r="B570" s="18" t="n">
        <v>56869</v>
      </c>
      <c r="C570" s="31" t="n"/>
      <c r="D570" s="32" t="n"/>
      <c r="E570" s="33" t="n">
        <v>0.7619</v>
      </c>
      <c r="F570" t="inlineStr">
        <is>
          <t>Up</t>
        </is>
      </c>
      <c r="G570" t="inlineStr">
        <is>
          <t>Up</t>
        </is>
      </c>
      <c r="H570" t="inlineStr">
        <is>
          <t>EU_JU</t>
        </is>
      </c>
      <c r="I570" t="inlineStr">
        <is>
          <t>2008-07</t>
        </is>
      </c>
      <c r="J570" t="n">
        <v>1</v>
      </c>
      <c r="K570" t="n">
        <v>1</v>
      </c>
      <c r="L570" s="34">
        <f>IF($J570=1,LN(B571/B570),"")</f>
        <v/>
      </c>
      <c r="M570" s="34">
        <f>IF($K570=1,INDEX(Mensal!$D$2:$D$245,MATCH($I570,Mensal!$A$2:$A$245,0)),"")</f>
        <v/>
      </c>
      <c r="N570" s="34">
        <f>IF($K570=1,L570-M570,"")</f>
        <v/>
      </c>
      <c r="O570" s="34" t="n">
        <v>0.00047913</v>
      </c>
      <c r="P570" s="34">
        <f>IF($J570=1,LN(1+O570),"")</f>
        <v/>
      </c>
      <c r="Q570" s="34">
        <f>IF($J570=1,LN(R571/R570),"")</f>
        <v/>
      </c>
      <c r="R570" s="32" t="n">
        <v>1.5754</v>
      </c>
      <c r="S570" s="35" t="n">
        <v>14.629</v>
      </c>
      <c r="T570" s="18" t="n"/>
      <c r="U570" s="18" t="n">
        <v>56869</v>
      </c>
      <c r="V570" s="18" t="n"/>
      <c r="W570" s="18" t="n"/>
      <c r="X570" s="35" t="n">
        <v>14.629</v>
      </c>
      <c r="Y570" s="35" t="n"/>
    </row>
    <row r="571">
      <c r="A571" s="25" t="n">
        <v>39658</v>
      </c>
      <c r="B571" s="18" t="n">
        <v>58042</v>
      </c>
      <c r="C571" s="31" t="n"/>
      <c r="D571" s="32" t="n"/>
      <c r="E571" s="33" t="n">
        <v>0.7634</v>
      </c>
      <c r="F571" t="inlineStr">
        <is>
          <t>Up</t>
        </is>
      </c>
      <c r="G571" t="inlineStr">
        <is>
          <t>Up</t>
        </is>
      </c>
      <c r="H571" t="inlineStr">
        <is>
          <t>EU_JU</t>
        </is>
      </c>
      <c r="I571" t="inlineStr">
        <is>
          <t>2008-07</t>
        </is>
      </c>
      <c r="J571" t="n">
        <v>1</v>
      </c>
      <c r="K571" t="n">
        <v>1</v>
      </c>
      <c r="L571" s="34">
        <f>IF($J571=1,LN(B572/B571),"")</f>
        <v/>
      </c>
      <c r="M571" s="34">
        <f>IF($K571=1,INDEX(Mensal!$D$2:$D$245,MATCH($I571,Mensal!$A$2:$A$245,0)),"")</f>
        <v/>
      </c>
      <c r="N571" s="34">
        <f>IF($K571=1,L571-M571,"")</f>
        <v/>
      </c>
      <c r="O571" s="34" t="n">
        <v>0.00047913</v>
      </c>
      <c r="P571" s="34">
        <f>IF($J571=1,LN(1+O571),"")</f>
        <v/>
      </c>
      <c r="Q571" s="34">
        <f>IF($J571=1,LN(R572/R571),"")</f>
        <v/>
      </c>
      <c r="R571" s="32" t="n">
        <v>1.573</v>
      </c>
      <c r="S571" s="35" t="n">
        <v>14.65</v>
      </c>
      <c r="T571" s="18" t="n"/>
      <c r="U571" s="18" t="n">
        <v>58042</v>
      </c>
      <c r="V571" s="18" t="n"/>
      <c r="W571" s="18" t="n"/>
      <c r="X571" s="35" t="n">
        <v>14.65</v>
      </c>
      <c r="Y571" s="35" t="n"/>
    </row>
    <row r="572">
      <c r="A572" s="25" t="n">
        <v>39659</v>
      </c>
      <c r="B572" s="18" t="n">
        <v>59997</v>
      </c>
      <c r="C572" s="31" t="n"/>
      <c r="D572" s="32" t="n"/>
      <c r="E572" s="33" t="n">
        <v>0.7632</v>
      </c>
      <c r="F572" t="inlineStr">
        <is>
          <t>Up</t>
        </is>
      </c>
      <c r="G572" t="inlineStr">
        <is>
          <t>Up</t>
        </is>
      </c>
      <c r="H572" t="inlineStr">
        <is>
          <t>EU_JU</t>
        </is>
      </c>
      <c r="I572" t="inlineStr">
        <is>
          <t>2008-07</t>
        </is>
      </c>
      <c r="J572" t="n">
        <v>1</v>
      </c>
      <c r="K572" t="n">
        <v>1</v>
      </c>
      <c r="L572" s="34">
        <f>IF($J572=1,LN(B573/B572),"")</f>
        <v/>
      </c>
      <c r="M572" s="34">
        <f>IF($K572=1,INDEX(Mensal!$D$2:$D$245,MATCH($I572,Mensal!$A$2:$A$245,0)),"")</f>
        <v/>
      </c>
      <c r="N572" s="34">
        <f>IF($K572=1,L572-M572,"")</f>
        <v/>
      </c>
      <c r="O572" s="34" t="n">
        <v>0.00047948</v>
      </c>
      <c r="P572" s="34">
        <f>IF($J572=1,LN(1+O572),"")</f>
        <v/>
      </c>
      <c r="Q572" s="34">
        <f>IF($J572=1,LN(R573/R572),"")</f>
        <v/>
      </c>
      <c r="R572" s="32" t="n">
        <v>1.5641</v>
      </c>
      <c r="S572" s="35" t="n">
        <v>14.629</v>
      </c>
      <c r="T572" s="18" t="n"/>
      <c r="U572" s="18" t="n">
        <v>59997</v>
      </c>
      <c r="V572" s="18" t="n"/>
      <c r="W572" s="18" t="n"/>
      <c r="X572" s="35" t="n">
        <v>14.629</v>
      </c>
      <c r="Y572" s="35" t="n"/>
    </row>
    <row r="573">
      <c r="A573" s="25" t="n">
        <v>39660</v>
      </c>
      <c r="B573" s="18" t="n">
        <v>59505</v>
      </c>
      <c r="C573" s="31" t="n"/>
      <c r="D573" s="32" t="n"/>
      <c r="E573" s="33" t="n">
        <v>0.768</v>
      </c>
      <c r="F573" t="inlineStr">
        <is>
          <t>Up</t>
        </is>
      </c>
      <c r="G573" t="inlineStr">
        <is>
          <t>Up</t>
        </is>
      </c>
      <c r="H573" t="inlineStr">
        <is>
          <t>EU_JU</t>
        </is>
      </c>
      <c r="I573" t="inlineStr">
        <is>
          <t>2008-07</t>
        </is>
      </c>
      <c r="J573" t="n">
        <v>1</v>
      </c>
      <c r="K573" t="n">
        <v>1</v>
      </c>
      <c r="L573" s="34">
        <f>IF($J573=1,LN(B574/B573),"")</f>
        <v/>
      </c>
      <c r="M573" s="34">
        <f>IF($K573=1,INDEX(Mensal!$D$2:$D$245,MATCH($I573,Mensal!$A$2:$A$245,0)),"")</f>
        <v/>
      </c>
      <c r="N573" s="34">
        <f>IF($K573=1,L573-M573,"")</f>
        <v/>
      </c>
      <c r="O573" s="34" t="n">
        <v>0.00047983</v>
      </c>
      <c r="P573" s="34">
        <f>IF($J573=1,LN(1+O573),"")</f>
        <v/>
      </c>
      <c r="Q573" s="34">
        <f>IF($J573=1,LN(R574/R573),"")</f>
        <v/>
      </c>
      <c r="R573" s="32" t="n">
        <v>1.5666</v>
      </c>
      <c r="S573" s="35" t="n">
        <v>14.655</v>
      </c>
      <c r="T573" s="18" t="n"/>
      <c r="U573" s="18" t="n">
        <v>59505</v>
      </c>
      <c r="V573" s="18" t="n"/>
      <c r="W573" s="18" t="n"/>
      <c r="X573" s="35" t="n">
        <v>14.655</v>
      </c>
      <c r="Y573" s="35" t="n"/>
    </row>
    <row r="574">
      <c r="A574" s="25" t="n">
        <v>39661</v>
      </c>
      <c r="B574" s="18" t="n">
        <v>57630</v>
      </c>
      <c r="C574" s="31" t="n"/>
      <c r="D574" s="32" t="n"/>
      <c r="E574" s="33" t="n">
        <v>0.74</v>
      </c>
      <c r="F574" t="inlineStr">
        <is>
          <t>Up</t>
        </is>
      </c>
      <c r="G574" t="inlineStr">
        <is>
          <t>Up</t>
        </is>
      </c>
      <c r="H574" t="inlineStr">
        <is>
          <t>EU_JU</t>
        </is>
      </c>
      <c r="I574" t="inlineStr">
        <is>
          <t>2008-08</t>
        </is>
      </c>
      <c r="J574" t="n">
        <v>1</v>
      </c>
      <c r="K574" t="n">
        <v>1</v>
      </c>
      <c r="L574" s="34">
        <f>IF($J574=1,LN(B575/B574),"")</f>
        <v/>
      </c>
      <c r="M574" s="34">
        <f>IF($K574=1,INDEX(Mensal!$D$2:$D$245,MATCH($I574,Mensal!$A$2:$A$245,0)),"")</f>
        <v/>
      </c>
      <c r="N574" s="34">
        <f>IF($K574=1,L574-M574,"")</f>
        <v/>
      </c>
      <c r="O574" s="34" t="n">
        <v>0.00048089</v>
      </c>
      <c r="P574" s="34">
        <f>IF($J574=1,LN(1+O574),"")</f>
        <v/>
      </c>
      <c r="Q574" s="34">
        <f>IF($J574=1,LN(R575/R574),"")</f>
        <v/>
      </c>
      <c r="R574" s="32" t="n">
        <v>1.5593</v>
      </c>
      <c r="S574" s="35" t="n">
        <v>14.606</v>
      </c>
      <c r="T574" s="18" t="n"/>
      <c r="U574" s="18" t="n">
        <v>57630</v>
      </c>
      <c r="V574" s="18" t="n"/>
      <c r="W574" s="18" t="n"/>
      <c r="X574" s="35" t="n">
        <v>14.606</v>
      </c>
      <c r="Y574" s="35" t="n"/>
    </row>
    <row r="575">
      <c r="A575" s="25" t="n">
        <v>39664</v>
      </c>
      <c r="B575" s="18" t="n">
        <v>55609</v>
      </c>
      <c r="C575" s="31" t="n"/>
      <c r="D575" s="32" t="n"/>
      <c r="E575" s="33" t="n">
        <v>0.7193000000000001</v>
      </c>
      <c r="F575" t="inlineStr">
        <is>
          <t>Up</t>
        </is>
      </c>
      <c r="G575" t="inlineStr">
        <is>
          <t>Up</t>
        </is>
      </c>
      <c r="H575" t="inlineStr">
        <is>
          <t>EU_JU</t>
        </is>
      </c>
      <c r="I575" t="inlineStr">
        <is>
          <t>2008-08</t>
        </is>
      </c>
      <c r="J575" t="n">
        <v>1</v>
      </c>
      <c r="K575" t="n">
        <v>1</v>
      </c>
      <c r="L575" s="34">
        <f>IF($J575=1,LN(B576/B575),"")</f>
        <v/>
      </c>
      <c r="M575" s="34">
        <f>IF($K575=1,INDEX(Mensal!$D$2:$D$245,MATCH($I575,Mensal!$A$2:$A$245,0)),"")</f>
        <v/>
      </c>
      <c r="N575" s="34">
        <f>IF($K575=1,L575-M575,"")</f>
        <v/>
      </c>
      <c r="O575" s="34" t="n">
        <v>0.00048019</v>
      </c>
      <c r="P575" s="34">
        <f>IF($J575=1,LN(1+O575),"")</f>
        <v/>
      </c>
      <c r="Q575" s="34">
        <f>IF($J575=1,LN(R576/R575),"")</f>
        <v/>
      </c>
      <c r="R575" s="32" t="n">
        <v>1.5659</v>
      </c>
      <c r="S575" s="35" t="n">
        <v>14.652</v>
      </c>
      <c r="T575" s="18" t="n"/>
      <c r="U575" s="18" t="n">
        <v>55609</v>
      </c>
      <c r="V575" s="18" t="n"/>
      <c r="W575" s="18" t="n"/>
      <c r="X575" s="35" t="n">
        <v>14.652</v>
      </c>
      <c r="Y575" s="35" t="n"/>
    </row>
    <row r="576">
      <c r="A576" s="25" t="n">
        <v>39665</v>
      </c>
      <c r="B576" s="18" t="n">
        <v>56470</v>
      </c>
      <c r="C576" s="31" t="n"/>
      <c r="D576" s="32" t="n"/>
      <c r="E576" s="33" t="n">
        <v>0.6965</v>
      </c>
      <c r="F576" t="inlineStr">
        <is>
          <t>Up</t>
        </is>
      </c>
      <c r="G576" t="inlineStr">
        <is>
          <t>Up</t>
        </is>
      </c>
      <c r="H576" t="inlineStr">
        <is>
          <t>EU_JU</t>
        </is>
      </c>
      <c r="I576" t="inlineStr">
        <is>
          <t>2008-08</t>
        </is>
      </c>
      <c r="J576" t="n">
        <v>1</v>
      </c>
      <c r="K576" t="n">
        <v>1</v>
      </c>
      <c r="L576" s="34">
        <f>IF($J576=1,LN(B577/B576),"")</f>
        <v/>
      </c>
      <c r="M576" s="34">
        <f>IF($K576=1,INDEX(Mensal!$D$2:$D$245,MATCH($I576,Mensal!$A$2:$A$245,0)),"")</f>
        <v/>
      </c>
      <c r="N576" s="34">
        <f>IF($K576=1,L576-M576,"")</f>
        <v/>
      </c>
      <c r="O576" s="34" t="n">
        <v>0.00048054</v>
      </c>
      <c r="P576" s="34">
        <f>IF($J576=1,LN(1+O576),"")</f>
        <v/>
      </c>
      <c r="Q576" s="34">
        <f>IF($J576=1,LN(R577/R576),"")</f>
        <v/>
      </c>
      <c r="R576" s="32" t="n">
        <v>1.5732</v>
      </c>
      <c r="S576" s="35" t="n">
        <v>14.602</v>
      </c>
      <c r="T576" s="18" t="n"/>
      <c r="U576" s="18" t="n">
        <v>56470</v>
      </c>
      <c r="V576" s="18" t="n"/>
      <c r="W576" s="18" t="n"/>
      <c r="X576" s="35" t="n">
        <v>14.602</v>
      </c>
      <c r="Y576" s="35" t="n"/>
    </row>
    <row r="577">
      <c r="A577" s="25" t="n">
        <v>39666</v>
      </c>
      <c r="B577" s="18" t="n">
        <v>57542</v>
      </c>
      <c r="C577" s="31" t="n"/>
      <c r="D577" s="32" t="n"/>
      <c r="E577" s="33" t="n">
        <v>0.678</v>
      </c>
      <c r="F577" t="inlineStr">
        <is>
          <t>Up</t>
        </is>
      </c>
      <c r="G577" t="inlineStr">
        <is>
          <t>Up</t>
        </is>
      </c>
      <c r="H577" t="inlineStr">
        <is>
          <t>EU_JU</t>
        </is>
      </c>
      <c r="I577" t="inlineStr">
        <is>
          <t>2008-08</t>
        </is>
      </c>
      <c r="J577" t="n">
        <v>1</v>
      </c>
      <c r="K577" t="n">
        <v>1</v>
      </c>
      <c r="L577" s="34">
        <f>IF($J577=1,LN(B578/B577),"")</f>
        <v/>
      </c>
      <c r="M577" s="34">
        <f>IF($K577=1,INDEX(Mensal!$D$2:$D$245,MATCH($I577,Mensal!$A$2:$A$245,0)),"")</f>
        <v/>
      </c>
      <c r="N577" s="34">
        <f>IF($K577=1,L577-M577,"")</f>
        <v/>
      </c>
      <c r="O577" s="34" t="n">
        <v>0.00048054</v>
      </c>
      <c r="P577" s="34">
        <f>IF($J577=1,LN(1+O577),"")</f>
        <v/>
      </c>
      <c r="Q577" s="34">
        <f>IF($J577=1,LN(R578/R577),"")</f>
        <v/>
      </c>
      <c r="R577" s="32" t="n">
        <v>1.5782</v>
      </c>
      <c r="S577" s="35" t="n">
        <v>14.508</v>
      </c>
      <c r="T577" s="18" t="n"/>
      <c r="U577" s="18" t="n">
        <v>57542</v>
      </c>
      <c r="V577" s="18" t="n"/>
      <c r="W577" s="18" t="n"/>
      <c r="X577" s="35" t="n">
        <v>14.508</v>
      </c>
      <c r="Y577" s="35" t="n"/>
    </row>
    <row r="578">
      <c r="A578" s="25" t="n">
        <v>39667</v>
      </c>
      <c r="B578" s="18" t="n">
        <v>57017</v>
      </c>
      <c r="C578" s="31" t="n"/>
      <c r="D578" s="32" t="n"/>
      <c r="E578" s="33" t="n">
        <v>0.657</v>
      </c>
      <c r="F578" t="inlineStr">
        <is>
          <t>Up</t>
        </is>
      </c>
      <c r="G578" t="inlineStr">
        <is>
          <t>Up</t>
        </is>
      </c>
      <c r="H578" t="inlineStr">
        <is>
          <t>EU_JU</t>
        </is>
      </c>
      <c r="I578" t="inlineStr">
        <is>
          <t>2008-08</t>
        </is>
      </c>
      <c r="J578" t="n">
        <v>1</v>
      </c>
      <c r="K578" t="n">
        <v>1</v>
      </c>
      <c r="L578" s="34">
        <f>IF($J578=1,LN(B579/B578),"")</f>
        <v/>
      </c>
      <c r="M578" s="34">
        <f>IF($K578=1,INDEX(Mensal!$D$2:$D$245,MATCH($I578,Mensal!$A$2:$A$245,0)),"")</f>
        <v/>
      </c>
      <c r="N578" s="34">
        <f>IF($K578=1,L578-M578,"")</f>
        <v/>
      </c>
      <c r="O578" s="34" t="n">
        <v>0.00048054</v>
      </c>
      <c r="P578" s="34">
        <f>IF($J578=1,LN(1+O578),"")</f>
        <v/>
      </c>
      <c r="Q578" s="34">
        <f>IF($J578=1,LN(R579/R578),"")</f>
        <v/>
      </c>
      <c r="R578" s="32" t="n">
        <v>1.5843</v>
      </c>
      <c r="S578" s="35" t="n">
        <v>14.508</v>
      </c>
      <c r="T578" s="18" t="n"/>
      <c r="U578" s="18" t="n">
        <v>57017</v>
      </c>
      <c r="V578" s="18" t="n"/>
      <c r="W578" s="18" t="n"/>
      <c r="X578" s="35" t="n">
        <v>14.508</v>
      </c>
      <c r="Y578" s="35" t="n"/>
    </row>
    <row r="579">
      <c r="A579" s="25" t="n">
        <v>39668</v>
      </c>
      <c r="B579" s="18" t="n">
        <v>56584</v>
      </c>
      <c r="C579" s="31" t="n"/>
      <c r="D579" s="32" t="n"/>
      <c r="E579" s="33" t="n">
        <v>0.6308</v>
      </c>
      <c r="F579" t="inlineStr">
        <is>
          <t>Up</t>
        </is>
      </c>
      <c r="G579" t="inlineStr">
        <is>
          <t>Up</t>
        </is>
      </c>
      <c r="H579" t="inlineStr">
        <is>
          <t>EU_JU</t>
        </is>
      </c>
      <c r="I579" t="inlineStr">
        <is>
          <t>2008-08</t>
        </is>
      </c>
      <c r="J579" t="n">
        <v>1</v>
      </c>
      <c r="K579" t="n">
        <v>1</v>
      </c>
      <c r="L579" s="34">
        <f>IF($J579=1,LN(B580/B579),"")</f>
        <v/>
      </c>
      <c r="M579" s="34">
        <f>IF($K579=1,INDEX(Mensal!$D$2:$D$245,MATCH($I579,Mensal!$A$2:$A$245,0)),"")</f>
        <v/>
      </c>
      <c r="N579" s="34">
        <f>IF($K579=1,L579-M579,"")</f>
        <v/>
      </c>
      <c r="O579" s="34" t="n">
        <v>0.00048019</v>
      </c>
      <c r="P579" s="34">
        <f>IF($J579=1,LN(1+O579),"")</f>
        <v/>
      </c>
      <c r="Q579" s="34">
        <f>IF($J579=1,LN(R580/R579),"")</f>
        <v/>
      </c>
      <c r="R579" s="32" t="n">
        <v>1.6136</v>
      </c>
      <c r="S579" s="35" t="n">
        <v>14.474</v>
      </c>
      <c r="T579" s="18" t="n"/>
      <c r="U579" s="18" t="n">
        <v>56584</v>
      </c>
      <c r="V579" s="18" t="n"/>
      <c r="W579" s="18" t="n"/>
      <c r="X579" s="35" t="n">
        <v>14.474</v>
      </c>
      <c r="Y579" s="35" t="n"/>
    </row>
    <row r="580">
      <c r="A580" s="25" t="n">
        <v>39671</v>
      </c>
      <c r="B580" s="18" t="n">
        <v>54720</v>
      </c>
      <c r="C580" s="31" t="n"/>
      <c r="D580" s="32" t="n"/>
      <c r="E580" s="33" t="n">
        <v>0.6095</v>
      </c>
      <c r="F580" t="inlineStr">
        <is>
          <t>Up</t>
        </is>
      </c>
      <c r="G580" t="inlineStr">
        <is>
          <t>Up</t>
        </is>
      </c>
      <c r="H580" t="inlineStr">
        <is>
          <t>EU_JU</t>
        </is>
      </c>
      <c r="I580" t="inlineStr">
        <is>
          <t>2008-08</t>
        </is>
      </c>
      <c r="J580" t="n">
        <v>1</v>
      </c>
      <c r="K580" t="n">
        <v>1</v>
      </c>
      <c r="L580" s="34">
        <f>IF($J580=1,LN(B581/B580),"")</f>
        <v/>
      </c>
      <c r="M580" s="34">
        <f>IF($K580=1,INDEX(Mensal!$D$2:$D$245,MATCH($I580,Mensal!$A$2:$A$245,0)),"")</f>
        <v/>
      </c>
      <c r="N580" s="34">
        <f>IF($K580=1,L580-M580,"")</f>
        <v/>
      </c>
      <c r="O580" s="34" t="n">
        <v>0.00047948</v>
      </c>
      <c r="P580" s="34">
        <f>IF($J580=1,LN(1+O580),"")</f>
        <v/>
      </c>
      <c r="Q580" s="34">
        <f>IF($J580=1,LN(R581/R580),"")</f>
        <v/>
      </c>
      <c r="R580" s="32" t="n">
        <v>1.6148</v>
      </c>
      <c r="S580" s="35" t="n">
        <v>14.508</v>
      </c>
      <c r="T580" s="18" t="n"/>
      <c r="U580" s="18" t="n">
        <v>54720</v>
      </c>
      <c r="V580" s="18" t="n"/>
      <c r="W580" s="18" t="n"/>
      <c r="X580" s="35" t="n">
        <v>14.508</v>
      </c>
      <c r="Y580" s="35" t="n"/>
    </row>
    <row r="581">
      <c r="A581" s="25" t="n">
        <v>39672</v>
      </c>
      <c r="B581" s="18" t="n">
        <v>54503</v>
      </c>
      <c r="C581" s="31" t="n"/>
      <c r="D581" s="32" t="n"/>
      <c r="E581" s="33" t="n">
        <v>0.5944</v>
      </c>
      <c r="F581" t="inlineStr">
        <is>
          <t>Up</t>
        </is>
      </c>
      <c r="G581" t="inlineStr">
        <is>
          <t>Up</t>
        </is>
      </c>
      <c r="H581" t="inlineStr">
        <is>
          <t>EU_JU</t>
        </is>
      </c>
      <c r="I581" t="inlineStr">
        <is>
          <t>2008-08</t>
        </is>
      </c>
      <c r="J581" t="n">
        <v>1</v>
      </c>
      <c r="K581" t="n">
        <v>1</v>
      </c>
      <c r="L581" s="34">
        <f>IF($J581=1,LN(B582/B581),"")</f>
        <v/>
      </c>
      <c r="M581" s="34">
        <f>IF($K581=1,INDEX(Mensal!$D$2:$D$245,MATCH($I581,Mensal!$A$2:$A$245,0)),"")</f>
        <v/>
      </c>
      <c r="N581" s="34">
        <f>IF($K581=1,L581-M581,"")</f>
        <v/>
      </c>
      <c r="O581" s="34" t="n">
        <v>0.00047948</v>
      </c>
      <c r="P581" s="34">
        <f>IF($J581=1,LN(1+O581),"")</f>
        <v/>
      </c>
      <c r="Q581" s="34">
        <f>IF($J581=1,LN(R582/R581),"")</f>
        <v/>
      </c>
      <c r="R581" s="32" t="n">
        <v>1.6161</v>
      </c>
      <c r="S581" s="35" t="n">
        <v>14.572</v>
      </c>
      <c r="T581" s="18" t="n"/>
      <c r="U581" s="18" t="n">
        <v>54503</v>
      </c>
      <c r="V581" s="18" t="n"/>
      <c r="W581" s="18" t="n"/>
      <c r="X581" s="35" t="n">
        <v>14.572</v>
      </c>
      <c r="Y581" s="35" t="n"/>
    </row>
    <row r="582">
      <c r="A582" s="25" t="n">
        <v>39673</v>
      </c>
      <c r="B582" s="18" t="n">
        <v>54573</v>
      </c>
      <c r="C582" s="31" t="n"/>
      <c r="D582" s="32" t="n"/>
      <c r="E582" s="33" t="n">
        <v>0.5774</v>
      </c>
      <c r="F582" t="inlineStr">
        <is>
          <t>Up</t>
        </is>
      </c>
      <c r="G582" t="inlineStr">
        <is>
          <t>Up</t>
        </is>
      </c>
      <c r="H582" t="inlineStr">
        <is>
          <t>EU_JU</t>
        </is>
      </c>
      <c r="I582" t="inlineStr">
        <is>
          <t>2008-08</t>
        </is>
      </c>
      <c r="J582" t="n">
        <v>1</v>
      </c>
      <c r="K582" t="n">
        <v>1</v>
      </c>
      <c r="L582" s="34">
        <f>IF($J582=1,LN(B583/B582),"")</f>
        <v/>
      </c>
      <c r="M582" s="34">
        <f>IF($K582=1,INDEX(Mensal!$D$2:$D$245,MATCH($I582,Mensal!$A$2:$A$245,0)),"")</f>
        <v/>
      </c>
      <c r="N582" s="34">
        <f>IF($K582=1,L582-M582,"")</f>
        <v/>
      </c>
      <c r="O582" s="34" t="n">
        <v>0.00047983</v>
      </c>
      <c r="P582" s="34">
        <f>IF($J582=1,LN(1+O582),"")</f>
        <v/>
      </c>
      <c r="Q582" s="34">
        <f>IF($J582=1,LN(R583/R582),"")</f>
        <v/>
      </c>
      <c r="R582" s="32" t="n">
        <v>1.6211</v>
      </c>
      <c r="S582" s="35" t="n">
        <v>14.579</v>
      </c>
      <c r="T582" s="18" t="n"/>
      <c r="U582" s="18" t="n">
        <v>54573</v>
      </c>
      <c r="V582" s="18" t="n"/>
      <c r="W582" s="18" t="n"/>
      <c r="X582" s="35" t="n">
        <v>14.579</v>
      </c>
      <c r="Y582" s="35" t="n"/>
    </row>
    <row r="583">
      <c r="A583" s="25" t="n">
        <v>39674</v>
      </c>
      <c r="B583" s="18" t="n">
        <v>55138</v>
      </c>
      <c r="C583" s="31" t="n"/>
      <c r="D583" s="32" t="n"/>
      <c r="E583" s="33" t="n">
        <v>0.5575</v>
      </c>
      <c r="F583" t="inlineStr">
        <is>
          <t>Up</t>
        </is>
      </c>
      <c r="G583" t="inlineStr">
        <is>
          <t>Up</t>
        </is>
      </c>
      <c r="H583" t="inlineStr">
        <is>
          <t>EU_JU</t>
        </is>
      </c>
      <c r="I583" t="inlineStr">
        <is>
          <t>2008-08</t>
        </is>
      </c>
      <c r="J583" t="n">
        <v>1</v>
      </c>
      <c r="K583" t="n">
        <v>1</v>
      </c>
      <c r="L583" s="34">
        <f>IF($J583=1,LN(B584/B583),"")</f>
        <v/>
      </c>
      <c r="M583" s="34">
        <f>IF($K583=1,INDEX(Mensal!$D$2:$D$245,MATCH($I583,Mensal!$A$2:$A$245,0)),"")</f>
        <v/>
      </c>
      <c r="N583" s="34">
        <f>IF($K583=1,L583-M583,"")</f>
        <v/>
      </c>
      <c r="O583" s="34" t="n">
        <v>0.00047983</v>
      </c>
      <c r="P583" s="34">
        <f>IF($J583=1,LN(1+O583),"")</f>
        <v/>
      </c>
      <c r="Q583" s="34">
        <f>IF($J583=1,LN(R584/R583),"")</f>
        <v/>
      </c>
      <c r="R583" s="32" t="n">
        <v>1.6204</v>
      </c>
      <c r="S583" s="35" t="n">
        <v>14.576</v>
      </c>
      <c r="T583" s="18" t="n"/>
      <c r="U583" s="18" t="n">
        <v>55138</v>
      </c>
      <c r="V583" s="18" t="n"/>
      <c r="W583" s="18" t="n"/>
      <c r="X583" s="35" t="n">
        <v>14.576</v>
      </c>
      <c r="Y583" s="35" t="n"/>
    </row>
    <row r="584">
      <c r="A584" s="25" t="n">
        <v>39675</v>
      </c>
      <c r="B584" s="18" t="n">
        <v>54244</v>
      </c>
      <c r="C584" s="31" t="n"/>
      <c r="D584" s="32" t="n"/>
      <c r="E584" s="33" t="n">
        <v>0.5397999999999999</v>
      </c>
      <c r="F584" t="inlineStr">
        <is>
          <t>Up</t>
        </is>
      </c>
      <c r="G584" t="inlineStr">
        <is>
          <t>Up</t>
        </is>
      </c>
      <c r="H584" t="inlineStr">
        <is>
          <t>EU_JU</t>
        </is>
      </c>
      <c r="I584" t="inlineStr">
        <is>
          <t>2008-08</t>
        </is>
      </c>
      <c r="J584" t="n">
        <v>1</v>
      </c>
      <c r="K584" t="n">
        <v>1</v>
      </c>
      <c r="L584" s="34">
        <f>IF($J584=1,LN(B585/B584),"")</f>
        <v/>
      </c>
      <c r="M584" s="34">
        <f>IF($K584=1,INDEX(Mensal!$D$2:$D$245,MATCH($I584,Mensal!$A$2:$A$245,0)),"")</f>
        <v/>
      </c>
      <c r="N584" s="34">
        <f>IF($K584=1,L584-M584,"")</f>
        <v/>
      </c>
      <c r="O584" s="34" t="n">
        <v>0.00047983</v>
      </c>
      <c r="P584" s="34">
        <f>IF($J584=1,LN(1+O584),"")</f>
        <v/>
      </c>
      <c r="Q584" s="34">
        <f>IF($J584=1,LN(R585/R584),"")</f>
        <v/>
      </c>
      <c r="R584" s="32" t="n">
        <v>1.6389</v>
      </c>
      <c r="S584" s="35" t="n">
        <v>14.532</v>
      </c>
      <c r="T584" s="18" t="n"/>
      <c r="U584" s="18" t="n">
        <v>54244</v>
      </c>
      <c r="V584" s="18" t="n"/>
      <c r="W584" s="18" t="n"/>
      <c r="X584" s="35" t="n">
        <v>14.532</v>
      </c>
      <c r="Y584" s="35" t="n"/>
    </row>
    <row r="585">
      <c r="A585" s="25" t="n">
        <v>39678</v>
      </c>
      <c r="B585" s="18" t="n">
        <v>53326</v>
      </c>
      <c r="C585" s="31" t="n"/>
      <c r="D585" s="32" t="n"/>
      <c r="E585" s="33" t="n">
        <v>0.5308</v>
      </c>
      <c r="F585" t="inlineStr">
        <is>
          <t>Up</t>
        </is>
      </c>
      <c r="G585" t="inlineStr">
        <is>
          <t>Up</t>
        </is>
      </c>
      <c r="H585" t="inlineStr">
        <is>
          <t>EU_JU</t>
        </is>
      </c>
      <c r="I585" t="inlineStr">
        <is>
          <t>2008-08</t>
        </is>
      </c>
      <c r="J585" t="n">
        <v>1</v>
      </c>
      <c r="K585" t="n">
        <v>1</v>
      </c>
      <c r="L585" s="34">
        <f>IF($J585=1,LN(B586/B585),"")</f>
        <v/>
      </c>
      <c r="M585" s="34">
        <f>IF($K585=1,INDEX(Mensal!$D$2:$D$245,MATCH($I585,Mensal!$A$2:$A$245,0)),"")</f>
        <v/>
      </c>
      <c r="N585" s="34">
        <f>IF($K585=1,L585-M585,"")</f>
        <v/>
      </c>
      <c r="O585" s="34" t="n">
        <v>0.00048089</v>
      </c>
      <c r="P585" s="34">
        <f>IF($J585=1,LN(1+O585),"")</f>
        <v/>
      </c>
      <c r="Q585" s="34">
        <f>IF($J585=1,LN(R586/R585),"")</f>
        <v/>
      </c>
      <c r="R585" s="32" t="n">
        <v>1.6349</v>
      </c>
      <c r="S585" s="35" t="n">
        <v>14.565</v>
      </c>
      <c r="T585" s="18" t="n"/>
      <c r="U585" s="18" t="n">
        <v>53326</v>
      </c>
      <c r="V585" s="18" t="n"/>
      <c r="W585" s="18" t="n"/>
      <c r="X585" s="35" t="n">
        <v>14.565</v>
      </c>
      <c r="Y585" s="35" t="n"/>
    </row>
    <row r="586">
      <c r="A586" s="25" t="n">
        <v>39679</v>
      </c>
      <c r="B586" s="18" t="n">
        <v>53638</v>
      </c>
      <c r="C586" s="31" t="n"/>
      <c r="D586" s="32" t="n"/>
      <c r="E586" s="33" t="n">
        <v>0.5132</v>
      </c>
      <c r="F586" t="inlineStr">
        <is>
          <t>Up</t>
        </is>
      </c>
      <c r="G586" t="inlineStr">
        <is>
          <t>Up</t>
        </is>
      </c>
      <c r="H586" t="inlineStr">
        <is>
          <t>EU_JU</t>
        </is>
      </c>
      <c r="I586" t="inlineStr">
        <is>
          <t>2008-08</t>
        </is>
      </c>
      <c r="J586" t="n">
        <v>1</v>
      </c>
      <c r="K586" t="n">
        <v>1</v>
      </c>
      <c r="L586" s="34">
        <f>IF($J586=1,LN(B587/B586),"")</f>
        <v/>
      </c>
      <c r="M586" s="34">
        <f>IF($K586=1,INDEX(Mensal!$D$2:$D$245,MATCH($I586,Mensal!$A$2:$A$245,0)),"")</f>
        <v/>
      </c>
      <c r="N586" s="34">
        <f>IF($K586=1,L586-M586,"")</f>
        <v/>
      </c>
      <c r="O586" s="34" t="n">
        <v>0.00048054</v>
      </c>
      <c r="P586" s="34">
        <f>IF($J586=1,LN(1+O586),"")</f>
        <v/>
      </c>
      <c r="Q586" s="34">
        <f>IF($J586=1,LN(R587/R586),"")</f>
        <v/>
      </c>
      <c r="R586" s="32" t="n">
        <v>1.6343</v>
      </c>
      <c r="S586" s="35" t="n">
        <v>14.543</v>
      </c>
      <c r="T586" s="18" t="n"/>
      <c r="U586" s="18" t="n">
        <v>53638</v>
      </c>
      <c r="V586" s="18" t="n"/>
      <c r="W586" s="18" t="n"/>
      <c r="X586" s="35" t="n">
        <v>14.543</v>
      </c>
      <c r="Y586" s="35" t="n"/>
    </row>
    <row r="587">
      <c r="A587" s="25" t="n">
        <v>39680</v>
      </c>
      <c r="B587" s="18" t="n">
        <v>55377</v>
      </c>
      <c r="C587" s="31" t="n"/>
      <c r="D587" s="32" t="n"/>
      <c r="E587" s="33" t="n">
        <v>0.4927</v>
      </c>
      <c r="F587" t="inlineStr">
        <is>
          <t>Up</t>
        </is>
      </c>
      <c r="G587" t="inlineStr">
        <is>
          <t>Up</t>
        </is>
      </c>
      <c r="H587" t="inlineStr">
        <is>
          <t>EU_JU</t>
        </is>
      </c>
      <c r="I587" t="inlineStr">
        <is>
          <t>2008-08</t>
        </is>
      </c>
      <c r="J587" t="n">
        <v>1</v>
      </c>
      <c r="K587" t="n">
        <v>1</v>
      </c>
      <c r="L587" s="34">
        <f>IF($J587=1,LN(B588/B587),"")</f>
        <v/>
      </c>
      <c r="M587" s="34">
        <f>IF($K587=1,INDEX(Mensal!$D$2:$D$245,MATCH($I587,Mensal!$A$2:$A$245,0)),"")</f>
        <v/>
      </c>
      <c r="N587" s="34">
        <f>IF($K587=1,L587-M587,"")</f>
        <v/>
      </c>
      <c r="O587" s="34" t="n">
        <v>0.00048019</v>
      </c>
      <c r="P587" s="34">
        <f>IF($J587=1,LN(1+O587),"")</f>
        <v/>
      </c>
      <c r="Q587" s="34">
        <f>IF($J587=1,LN(R588/R587),"")</f>
        <v/>
      </c>
      <c r="R587" s="32" t="n">
        <v>1.6207</v>
      </c>
      <c r="S587" s="35" t="n">
        <v>14.543</v>
      </c>
      <c r="T587" s="18" t="n"/>
      <c r="U587" s="18" t="n">
        <v>55377</v>
      </c>
      <c r="V587" s="18" t="n"/>
      <c r="W587" s="18" t="n"/>
      <c r="X587" s="35" t="n">
        <v>14.543</v>
      </c>
      <c r="Y587" s="35" t="n"/>
    </row>
    <row r="588">
      <c r="A588" s="25" t="n">
        <v>39681</v>
      </c>
      <c r="B588" s="18" t="n">
        <v>55934</v>
      </c>
      <c r="C588" s="31" t="n"/>
      <c r="D588" s="32" t="n"/>
      <c r="E588" s="33" t="n">
        <v>0.4789</v>
      </c>
      <c r="F588" t="inlineStr">
        <is>
          <t>Up</t>
        </is>
      </c>
      <c r="G588" t="inlineStr">
        <is>
          <t>Up</t>
        </is>
      </c>
      <c r="H588" t="inlineStr">
        <is>
          <t>EU_JU</t>
        </is>
      </c>
      <c r="I588" t="inlineStr">
        <is>
          <t>2008-08</t>
        </is>
      </c>
      <c r="J588" t="n">
        <v>1</v>
      </c>
      <c r="K588" t="n">
        <v>1</v>
      </c>
      <c r="L588" s="34">
        <f>IF($J588=1,LN(B589/B588),"")</f>
        <v/>
      </c>
      <c r="M588" s="34">
        <f>IF($K588=1,INDEX(Mensal!$D$2:$D$245,MATCH($I588,Mensal!$A$2:$A$245,0)),"")</f>
        <v/>
      </c>
      <c r="N588" s="34">
        <f>IF($K588=1,L588-M588,"")</f>
        <v/>
      </c>
      <c r="O588" s="34" t="n">
        <v>0.00048019</v>
      </c>
      <c r="P588" s="34">
        <f>IF($J588=1,LN(1+O588),"")</f>
        <v/>
      </c>
      <c r="Q588" s="34">
        <f>IF($J588=1,LN(R589/R588),"")</f>
        <v/>
      </c>
      <c r="R588" s="32" t="n">
        <v>1.6143</v>
      </c>
      <c r="S588" s="35" t="n">
        <v>14.587</v>
      </c>
      <c r="T588" s="18" t="n"/>
      <c r="U588" s="18" t="n">
        <v>55934</v>
      </c>
      <c r="V588" s="18" t="n"/>
      <c r="W588" s="18" t="n"/>
      <c r="X588" s="35" t="n">
        <v>14.587</v>
      </c>
      <c r="Y588" s="35" t="n"/>
    </row>
    <row r="589">
      <c r="A589" s="25" t="n">
        <v>39682</v>
      </c>
      <c r="B589" s="18" t="n">
        <v>55850</v>
      </c>
      <c r="C589" s="31" t="n"/>
      <c r="D589" s="32" t="n"/>
      <c r="E589" s="33" t="n">
        <v>0.4646</v>
      </c>
      <c r="F589" t="inlineStr">
        <is>
          <t>Up</t>
        </is>
      </c>
      <c r="G589" t="inlineStr">
        <is>
          <t>Up</t>
        </is>
      </c>
      <c r="H589" t="inlineStr">
        <is>
          <t>EU_JU</t>
        </is>
      </c>
      <c r="I589" t="inlineStr">
        <is>
          <t>2008-08</t>
        </is>
      </c>
      <c r="J589" t="n">
        <v>1</v>
      </c>
      <c r="K589" t="n">
        <v>1</v>
      </c>
      <c r="L589" s="34">
        <f>IF($J589=1,LN(B590/B589),"")</f>
        <v/>
      </c>
      <c r="M589" s="34">
        <f>IF($K589=1,INDEX(Mensal!$D$2:$D$245,MATCH($I589,Mensal!$A$2:$A$245,0)),"")</f>
        <v/>
      </c>
      <c r="N589" s="34">
        <f>IF($K589=1,L589-M589,"")</f>
        <v/>
      </c>
      <c r="O589" s="34" t="n">
        <v>0.00047948</v>
      </c>
      <c r="P589" s="34">
        <f>IF($J589=1,LN(1+O589),"")</f>
        <v/>
      </c>
      <c r="Q589" s="34">
        <f>IF($J589=1,LN(R590/R589),"")</f>
        <v/>
      </c>
      <c r="R589" s="32" t="n">
        <v>1.6217</v>
      </c>
      <c r="S589" s="35" t="n">
        <v>14.606</v>
      </c>
      <c r="T589" s="18" t="n"/>
      <c r="U589" s="18" t="n">
        <v>55850</v>
      </c>
      <c r="V589" s="18" t="n"/>
      <c r="W589" s="18" t="n"/>
      <c r="X589" s="35" t="n">
        <v>14.606</v>
      </c>
      <c r="Y589" s="35" t="n"/>
    </row>
    <row r="590">
      <c r="A590" s="25" t="n">
        <v>39685</v>
      </c>
      <c r="B590" s="18" t="n">
        <v>54477</v>
      </c>
      <c r="C590" s="31" t="n"/>
      <c r="D590" s="32" t="n"/>
      <c r="E590" s="33" t="n">
        <v>0.4605</v>
      </c>
      <c r="F590" t="inlineStr">
        <is>
          <t>Up</t>
        </is>
      </c>
      <c r="G590" t="inlineStr">
        <is>
          <t>Up</t>
        </is>
      </c>
      <c r="H590" t="inlineStr">
        <is>
          <t>EU_JU</t>
        </is>
      </c>
      <c r="I590" t="inlineStr">
        <is>
          <t>2008-08</t>
        </is>
      </c>
      <c r="J590" t="n">
        <v>1</v>
      </c>
      <c r="K590" t="n">
        <v>1</v>
      </c>
      <c r="L590" s="34">
        <f>IF($J590=1,LN(B591/B590),"")</f>
        <v/>
      </c>
      <c r="M590" s="34">
        <f>IF($K590=1,INDEX(Mensal!$D$2:$D$245,MATCH($I590,Mensal!$A$2:$A$245,0)),"")</f>
        <v/>
      </c>
      <c r="N590" s="34">
        <f>IF($K590=1,L590-M590,"")</f>
        <v/>
      </c>
      <c r="O590" s="34" t="n">
        <v>0.00047983</v>
      </c>
      <c r="P590" s="34">
        <f>IF($J590=1,LN(1+O590),"")</f>
        <v/>
      </c>
      <c r="Q590" s="34">
        <f>IF($J590=1,LN(R591/R590),"")</f>
        <v/>
      </c>
      <c r="R590" s="32" t="n">
        <v>1.6275</v>
      </c>
      <c r="S590" s="35" t="n">
        <v>14.659</v>
      </c>
      <c r="T590" s="18" t="n"/>
      <c r="U590" s="18" t="n">
        <v>54477</v>
      </c>
      <c r="V590" s="18" t="n"/>
      <c r="W590" s="18" t="n"/>
      <c r="X590" s="35" t="n">
        <v>14.659</v>
      </c>
      <c r="Y590" s="35" t="n"/>
    </row>
    <row r="591">
      <c r="A591" s="25" t="n">
        <v>39686</v>
      </c>
      <c r="B591" s="18" t="n">
        <v>54358</v>
      </c>
      <c r="C591" s="31" t="n"/>
      <c r="D591" s="32" t="n"/>
      <c r="E591" s="33" t="n">
        <v>0.4538</v>
      </c>
      <c r="F591" t="inlineStr">
        <is>
          <t>Up</t>
        </is>
      </c>
      <c r="G591" t="inlineStr">
        <is>
          <t>Up</t>
        </is>
      </c>
      <c r="H591" t="inlineStr">
        <is>
          <t>EU_JU</t>
        </is>
      </c>
      <c r="I591" t="inlineStr">
        <is>
          <t>2008-08</t>
        </is>
      </c>
      <c r="J591" t="n">
        <v>1</v>
      </c>
      <c r="K591" t="n">
        <v>1</v>
      </c>
      <c r="L591" s="34">
        <f>IF($J591=1,LN(B592/B591),"")</f>
        <v/>
      </c>
      <c r="M591" s="34">
        <f>IF($K591=1,INDEX(Mensal!$D$2:$D$245,MATCH($I591,Mensal!$A$2:$A$245,0)),"")</f>
        <v/>
      </c>
      <c r="N591" s="34">
        <f>IF($K591=1,L591-M591,"")</f>
        <v/>
      </c>
      <c r="O591" s="34" t="n">
        <v>0.00047948</v>
      </c>
      <c r="P591" s="34">
        <f>IF($J591=1,LN(1+O591),"")</f>
        <v/>
      </c>
      <c r="Q591" s="34">
        <f>IF($J591=1,LN(R592/R591),"")</f>
        <v/>
      </c>
      <c r="R591" s="32" t="n">
        <v>1.6375</v>
      </c>
      <c r="S591" s="35" t="n">
        <v>14.614</v>
      </c>
      <c r="T591" s="18" t="n"/>
      <c r="U591" s="18" t="n">
        <v>54358</v>
      </c>
      <c r="V591" s="18" t="n"/>
      <c r="W591" s="18" t="n"/>
      <c r="X591" s="35" t="n">
        <v>14.614</v>
      </c>
      <c r="Y591" s="35" t="n"/>
    </row>
    <row r="592">
      <c r="A592" s="25" t="n">
        <v>39687</v>
      </c>
      <c r="B592" s="18" t="n">
        <v>55519</v>
      </c>
      <c r="C592" s="31" t="n"/>
      <c r="D592" s="32" t="n"/>
      <c r="E592" s="33" t="n">
        <v>0.4549</v>
      </c>
      <c r="F592" t="inlineStr">
        <is>
          <t>Up</t>
        </is>
      </c>
      <c r="G592" t="inlineStr">
        <is>
          <t>Up</t>
        </is>
      </c>
      <c r="H592" t="inlineStr">
        <is>
          <t>EU_JU</t>
        </is>
      </c>
      <c r="I592" t="inlineStr">
        <is>
          <t>2008-08</t>
        </is>
      </c>
      <c r="J592" t="n">
        <v>1</v>
      </c>
      <c r="K592" t="n">
        <v>1</v>
      </c>
      <c r="L592" s="34">
        <f>IF($J592=1,LN(B593/B592),"")</f>
        <v/>
      </c>
      <c r="M592" s="34">
        <f>IF($K592=1,INDEX(Mensal!$D$2:$D$245,MATCH($I592,Mensal!$A$2:$A$245,0)),"")</f>
        <v/>
      </c>
      <c r="N592" s="34">
        <f>IF($K592=1,L592-M592,"")</f>
        <v/>
      </c>
      <c r="O592" s="34" t="n">
        <v>0.00047948</v>
      </c>
      <c r="P592" s="34">
        <f>IF($J592=1,LN(1+O592),"")</f>
        <v/>
      </c>
      <c r="Q592" s="34">
        <f>IF($J592=1,LN(R593/R592),"")</f>
        <v/>
      </c>
      <c r="R592" s="32" t="n">
        <v>1.6213</v>
      </c>
      <c r="S592" s="35" t="n">
        <v>14.614</v>
      </c>
      <c r="T592" s="18" t="n"/>
      <c r="U592" s="18" t="n">
        <v>55519</v>
      </c>
      <c r="V592" s="18" t="n"/>
      <c r="W592" s="18" t="n"/>
      <c r="X592" s="35" t="n">
        <v>14.614</v>
      </c>
      <c r="Y592" s="35" t="n"/>
    </row>
    <row r="593">
      <c r="A593" s="25" t="n">
        <v>39688</v>
      </c>
      <c r="B593" s="18" t="n">
        <v>56382</v>
      </c>
      <c r="C593" s="31" t="n"/>
      <c r="D593" s="32" t="n"/>
      <c r="E593" s="33" t="n">
        <v>0.4551</v>
      </c>
      <c r="F593" t="inlineStr">
        <is>
          <t>Up</t>
        </is>
      </c>
      <c r="G593" t="inlineStr">
        <is>
          <t>Up</t>
        </is>
      </c>
      <c r="H593" t="inlineStr">
        <is>
          <t>EU_JU</t>
        </is>
      </c>
      <c r="I593" t="inlineStr">
        <is>
          <t>2008-08</t>
        </is>
      </c>
      <c r="J593" t="n">
        <v>1</v>
      </c>
      <c r="K593" t="n">
        <v>1</v>
      </c>
      <c r="L593" s="34">
        <f>IF($J593=1,LN(B594/B593),"")</f>
        <v/>
      </c>
      <c r="M593" s="34">
        <f>IF($K593=1,INDEX(Mensal!$D$2:$D$245,MATCH($I593,Mensal!$A$2:$A$245,0)),"")</f>
        <v/>
      </c>
      <c r="N593" s="34">
        <f>IF($K593=1,L593-M593,"")</f>
        <v/>
      </c>
      <c r="O593" s="34" t="n">
        <v>0.00047948</v>
      </c>
      <c r="P593" s="34">
        <f>IF($J593=1,LN(1+O593),"")</f>
        <v/>
      </c>
      <c r="Q593" s="34">
        <f>IF($J593=1,LN(R594/R593),"")</f>
        <v/>
      </c>
      <c r="R593" s="32" t="n">
        <v>1.6262</v>
      </c>
      <c r="S593" s="35" t="n">
        <v>14.621</v>
      </c>
      <c r="T593" s="18" t="n"/>
      <c r="U593" s="18" t="n">
        <v>56382</v>
      </c>
      <c r="V593" s="18" t="n"/>
      <c r="W593" s="18" t="n"/>
      <c r="X593" s="35" t="n">
        <v>14.621</v>
      </c>
      <c r="Y593" s="35" t="n"/>
    </row>
    <row r="594">
      <c r="A594" s="25" t="n">
        <v>39689</v>
      </c>
      <c r="B594" s="18" t="n">
        <v>55680</v>
      </c>
      <c r="C594" s="31" t="n"/>
      <c r="D594" s="32" t="n"/>
      <c r="E594" s="33" t="n">
        <v>0.4552</v>
      </c>
      <c r="F594" t="inlineStr">
        <is>
          <t>Up</t>
        </is>
      </c>
      <c r="G594" t="inlineStr">
        <is>
          <t>Up</t>
        </is>
      </c>
      <c r="H594" t="inlineStr">
        <is>
          <t>EU_JU</t>
        </is>
      </c>
      <c r="I594" t="inlineStr">
        <is>
          <t>2008-08</t>
        </is>
      </c>
      <c r="J594" t="n">
        <v>1</v>
      </c>
      <c r="K594" t="n">
        <v>1</v>
      </c>
      <c r="L594" s="34">
        <f>IF($J594=1,LN(B595/B594),"")</f>
        <v/>
      </c>
      <c r="M594" s="34">
        <f>IF($K594=1,INDEX(Mensal!$D$2:$D$245,MATCH($I594,Mensal!$A$2:$A$245,0)),"")</f>
        <v/>
      </c>
      <c r="N594" s="34">
        <f>IF($K594=1,L594-M594,"")</f>
        <v/>
      </c>
      <c r="O594" s="34" t="n">
        <v>0.00047878</v>
      </c>
      <c r="P594" s="34">
        <f>IF($J594=1,LN(1+O594),"")</f>
        <v/>
      </c>
      <c r="Q594" s="34">
        <f>IF($J594=1,LN(R595/R594),"")</f>
        <v/>
      </c>
      <c r="R594" s="32" t="n">
        <v>1.6344</v>
      </c>
      <c r="S594" s="35" t="n">
        <v>14.573</v>
      </c>
      <c r="T594" s="18" t="n"/>
      <c r="U594" s="18" t="n">
        <v>55680</v>
      </c>
      <c r="V594" s="18" t="n"/>
      <c r="W594" s="18" t="n"/>
      <c r="X594" s="35" t="n">
        <v>14.573</v>
      </c>
      <c r="Y594" s="35" t="n"/>
    </row>
    <row r="595">
      <c r="A595" s="25" t="n">
        <v>39692</v>
      </c>
      <c r="B595" s="18" t="n">
        <v>55162</v>
      </c>
      <c r="C595" s="31" t="n"/>
      <c r="D595" s="32" t="n"/>
      <c r="E595" s="33" t="n">
        <v>0.4545</v>
      </c>
      <c r="F595" t="inlineStr">
        <is>
          <t>Up</t>
        </is>
      </c>
      <c r="G595" t="inlineStr">
        <is>
          <t>Up</t>
        </is>
      </c>
      <c r="H595" t="inlineStr">
        <is>
          <t>EU_JU</t>
        </is>
      </c>
      <c r="I595" t="inlineStr">
        <is>
          <t>2008-09</t>
        </is>
      </c>
      <c r="J595" t="n">
        <v>1</v>
      </c>
      <c r="K595" t="n">
        <v>1</v>
      </c>
      <c r="L595" s="34">
        <f>IF($J595=1,LN(B596/B595),"")</f>
        <v/>
      </c>
      <c r="M595" s="34">
        <f>IF($K595=1,INDEX(Mensal!$D$2:$D$245,MATCH($I595,Mensal!$A$2:$A$245,0)),"")</f>
        <v/>
      </c>
      <c r="N595" s="34">
        <f>IF($K595=1,L595-M595,"")</f>
        <v/>
      </c>
      <c r="O595" s="34" t="n">
        <v>0.00047948</v>
      </c>
      <c r="P595" s="34">
        <f>IF($J595=1,LN(1+O595),"")</f>
        <v/>
      </c>
      <c r="Q595" s="34">
        <f>IF($J595=1,LN(R596/R595),"")</f>
        <v/>
      </c>
      <c r="R595" s="32" t="n">
        <v>1.6447</v>
      </c>
      <c r="S595" s="35" t="n">
        <v>14.562</v>
      </c>
      <c r="T595" s="18" t="n"/>
      <c r="U595" s="18" t="n">
        <v>55162</v>
      </c>
      <c r="V595" s="18" t="n"/>
      <c r="W595" s="18" t="n"/>
      <c r="X595" s="35" t="n">
        <v>14.562</v>
      </c>
      <c r="Y595" s="35" t="n"/>
    </row>
    <row r="596">
      <c r="A596" s="25" t="n">
        <v>39693</v>
      </c>
      <c r="B596" s="18" t="n">
        <v>54404</v>
      </c>
      <c r="C596" s="31" t="n"/>
      <c r="D596" s="32" t="n"/>
      <c r="E596" s="33" t="n">
        <v>0.4569</v>
      </c>
      <c r="F596" t="inlineStr">
        <is>
          <t>Up</t>
        </is>
      </c>
      <c r="G596" t="inlineStr">
        <is>
          <t>Up</t>
        </is>
      </c>
      <c r="H596" t="inlineStr">
        <is>
          <t>EU_JU</t>
        </is>
      </c>
      <c r="I596" t="inlineStr">
        <is>
          <t>2008-09</t>
        </is>
      </c>
      <c r="J596" t="n">
        <v>1</v>
      </c>
      <c r="K596" t="n">
        <v>1</v>
      </c>
      <c r="L596" s="34">
        <f>IF($J596=1,LN(B597/B596),"")</f>
        <v/>
      </c>
      <c r="M596" s="34">
        <f>IF($K596=1,INDEX(Mensal!$D$2:$D$245,MATCH($I596,Mensal!$A$2:$A$245,0)),"")</f>
        <v/>
      </c>
      <c r="N596" s="34">
        <f>IF($K596=1,L596-M596,"")</f>
        <v/>
      </c>
      <c r="O596" s="34" t="n">
        <v>0.00047913</v>
      </c>
      <c r="P596" s="34">
        <f>IF($J596=1,LN(1+O596),"")</f>
        <v/>
      </c>
      <c r="Q596" s="34">
        <f>IF($J596=1,LN(R597/R596),"")</f>
        <v/>
      </c>
      <c r="R596" s="32" t="n">
        <v>1.6602</v>
      </c>
      <c r="S596" s="35" t="n">
        <v>14.559</v>
      </c>
      <c r="T596" s="18" t="n"/>
      <c r="U596" s="18" t="n">
        <v>54404</v>
      </c>
      <c r="V596" s="18" t="n"/>
      <c r="W596" s="18" t="n"/>
      <c r="X596" s="35" t="n">
        <v>14.559</v>
      </c>
      <c r="Y596" s="35" t="n"/>
    </row>
    <row r="597">
      <c r="A597" s="25" t="n">
        <v>39694</v>
      </c>
      <c r="B597" s="18" t="n">
        <v>53527</v>
      </c>
      <c r="C597" s="31" t="n"/>
      <c r="D597" s="32" t="n"/>
      <c r="E597" s="33" t="n">
        <v>0.4583</v>
      </c>
      <c r="F597" t="inlineStr">
        <is>
          <t>Up</t>
        </is>
      </c>
      <c r="G597" t="inlineStr">
        <is>
          <t>Up</t>
        </is>
      </c>
      <c r="H597" t="inlineStr">
        <is>
          <t>EU_JU</t>
        </is>
      </c>
      <c r="I597" t="inlineStr">
        <is>
          <t>2008-09</t>
        </is>
      </c>
      <c r="J597" t="n">
        <v>1</v>
      </c>
      <c r="K597" t="n">
        <v>1</v>
      </c>
      <c r="L597" s="34">
        <f>IF($J597=1,LN(B598/B597),"")</f>
        <v/>
      </c>
      <c r="M597" s="34">
        <f>IF($K597=1,INDEX(Mensal!$D$2:$D$245,MATCH($I597,Mensal!$A$2:$A$245,0)),"")</f>
        <v/>
      </c>
      <c r="N597" s="34">
        <f>IF($K597=1,L597-M597,"")</f>
        <v/>
      </c>
      <c r="O597" s="34" t="n">
        <v>0.00048054</v>
      </c>
      <c r="P597" s="34">
        <f>IF($J597=1,LN(1+O597),"")</f>
        <v/>
      </c>
      <c r="Q597" s="34">
        <f>IF($J597=1,LN(R598/R597),"")</f>
        <v/>
      </c>
      <c r="R597" s="32" t="n">
        <v>1.6728</v>
      </c>
      <c r="S597" s="35" t="n">
        <v>14.571</v>
      </c>
      <c r="T597" s="18" t="n"/>
      <c r="U597" s="18" t="n">
        <v>53527</v>
      </c>
      <c r="V597" s="18" t="n"/>
      <c r="W597" s="18" t="n"/>
      <c r="X597" s="35" t="n">
        <v>14.571</v>
      </c>
      <c r="Y597" s="35" t="n"/>
    </row>
    <row r="598">
      <c r="A598" s="25" t="n">
        <v>39695</v>
      </c>
      <c r="B598" s="18" t="n">
        <v>51408</v>
      </c>
      <c r="C598" s="31" t="n"/>
      <c r="D598" s="32" t="n"/>
      <c r="E598" s="33" t="n">
        <v>0.4559</v>
      </c>
      <c r="F598" t="inlineStr">
        <is>
          <t>Up</t>
        </is>
      </c>
      <c r="G598" t="inlineStr">
        <is>
          <t>Up</t>
        </is>
      </c>
      <c r="H598" t="inlineStr">
        <is>
          <t>EU_JU</t>
        </is>
      </c>
      <c r="I598" t="inlineStr">
        <is>
          <t>2008-09</t>
        </is>
      </c>
      <c r="J598" t="n">
        <v>1</v>
      </c>
      <c r="K598" t="n">
        <v>1</v>
      </c>
      <c r="L598" s="34">
        <f>IF($J598=1,LN(B599/B598),"")</f>
        <v/>
      </c>
      <c r="M598" s="34">
        <f>IF($K598=1,INDEX(Mensal!$D$2:$D$245,MATCH($I598,Mensal!$A$2:$A$245,0)),"")</f>
        <v/>
      </c>
      <c r="N598" s="34">
        <f>IF($K598=1,L598-M598,"")</f>
        <v/>
      </c>
      <c r="O598" s="34" t="n">
        <v>0.00047948</v>
      </c>
      <c r="P598" s="34">
        <f>IF($J598=1,LN(1+O598),"")</f>
        <v/>
      </c>
      <c r="Q598" s="34">
        <f>IF($J598=1,LN(R599/R598),"")</f>
        <v/>
      </c>
      <c r="R598" s="32" t="n">
        <v>1.701</v>
      </c>
      <c r="S598" s="35" t="n">
        <v>14.717</v>
      </c>
      <c r="T598" s="18" t="n"/>
      <c r="U598" s="18" t="n">
        <v>51408</v>
      </c>
      <c r="V598" s="18" t="n"/>
      <c r="W598" s="18" t="n"/>
      <c r="X598" s="35" t="n">
        <v>14.717</v>
      </c>
      <c r="Y598" s="35" t="n"/>
    </row>
    <row r="599">
      <c r="A599" s="25" t="n">
        <v>39696</v>
      </c>
      <c r="B599" s="18" t="n">
        <v>51939</v>
      </c>
      <c r="C599" s="31" t="n"/>
      <c r="D599" s="32" t="n"/>
      <c r="E599" s="33" t="n">
        <v>0.4579</v>
      </c>
      <c r="F599" t="inlineStr">
        <is>
          <t>Up</t>
        </is>
      </c>
      <c r="G599" t="inlineStr">
        <is>
          <t>Up</t>
        </is>
      </c>
      <c r="H599" t="inlineStr">
        <is>
          <t>EU_JU</t>
        </is>
      </c>
      <c r="I599" t="inlineStr">
        <is>
          <t>2008-09</t>
        </is>
      </c>
      <c r="J599" t="n">
        <v>1</v>
      </c>
      <c r="K599" t="n">
        <v>1</v>
      </c>
      <c r="L599" s="34">
        <f>IF($J599=1,LN(B600/B599),"")</f>
        <v/>
      </c>
      <c r="M599" s="34">
        <f>IF($K599=1,INDEX(Mensal!$D$2:$D$245,MATCH($I599,Mensal!$A$2:$A$245,0)),"")</f>
        <v/>
      </c>
      <c r="N599" s="34">
        <f>IF($K599=1,L599-M599,"")</f>
        <v/>
      </c>
      <c r="O599" s="34" t="n">
        <v>0.00047843</v>
      </c>
      <c r="P599" s="34">
        <f>IF($J599=1,LN(1+O599),"")</f>
        <v/>
      </c>
      <c r="Q599" s="34">
        <f>IF($J599=1,LN(R600/R599),"")</f>
        <v/>
      </c>
      <c r="R599" s="32" t="n">
        <v>1.7305</v>
      </c>
      <c r="S599" s="35" t="n">
        <v>14.645</v>
      </c>
      <c r="T599" s="18" t="n"/>
      <c r="U599" s="18" t="n">
        <v>51939</v>
      </c>
      <c r="V599" s="18" t="n"/>
      <c r="W599" s="18" t="n"/>
      <c r="X599" s="35" t="n">
        <v>14.645</v>
      </c>
      <c r="Y599" s="35" t="n"/>
    </row>
    <row r="600">
      <c r="A600" s="25" t="n">
        <v>39699</v>
      </c>
      <c r="B600" s="18" t="n">
        <v>50717</v>
      </c>
      <c r="C600" s="31" t="n"/>
      <c r="D600" s="32" t="n"/>
      <c r="E600" s="33" t="n">
        <v>0.464</v>
      </c>
      <c r="F600" t="inlineStr">
        <is>
          <t>Up</t>
        </is>
      </c>
      <c r="G600" t="inlineStr">
        <is>
          <t>Up</t>
        </is>
      </c>
      <c r="H600" t="inlineStr">
        <is>
          <t>EU_JU</t>
        </is>
      </c>
      <c r="I600" t="inlineStr">
        <is>
          <t>2008-09</t>
        </is>
      </c>
      <c r="J600" t="n">
        <v>1</v>
      </c>
      <c r="K600" t="n">
        <v>1</v>
      </c>
      <c r="L600" s="34">
        <f>IF($J600=1,LN(B601/B600),"")</f>
        <v/>
      </c>
      <c r="M600" s="34">
        <f>IF($K600=1,INDEX(Mensal!$D$2:$D$245,MATCH($I600,Mensal!$A$2:$A$245,0)),"")</f>
        <v/>
      </c>
      <c r="N600" s="34">
        <f>IF($K600=1,L600-M600,"")</f>
        <v/>
      </c>
      <c r="O600" s="34" t="n">
        <v>0.00048124</v>
      </c>
      <c r="P600" s="34">
        <f>IF($J600=1,LN(1+O600),"")</f>
        <v/>
      </c>
      <c r="Q600" s="34">
        <f>IF($J600=1,LN(R601/R600),"")</f>
        <v/>
      </c>
      <c r="R600" s="32" t="n">
        <v>1.7282</v>
      </c>
      <c r="S600" s="35" t="n">
        <v>14.676</v>
      </c>
      <c r="T600" s="18" t="n"/>
      <c r="U600" s="18" t="n">
        <v>50717</v>
      </c>
      <c r="V600" s="18" t="n"/>
      <c r="W600" s="18" t="n"/>
      <c r="X600" s="35" t="n">
        <v>14.676</v>
      </c>
      <c r="Y600" s="35" t="n"/>
    </row>
    <row r="601">
      <c r="A601" s="25" t="n">
        <v>39700</v>
      </c>
      <c r="B601" s="18" t="n">
        <v>48435</v>
      </c>
      <c r="C601" s="31" t="n"/>
      <c r="D601" s="32" t="n"/>
      <c r="E601" s="33" t="n">
        <v>0.4691</v>
      </c>
      <c r="F601" t="inlineStr">
        <is>
          <t>Up</t>
        </is>
      </c>
      <c r="G601" t="inlineStr">
        <is>
          <t>Up</t>
        </is>
      </c>
      <c r="H601" t="inlineStr">
        <is>
          <t>EU_JU</t>
        </is>
      </c>
      <c r="I601" t="inlineStr">
        <is>
          <t>2008-09</t>
        </is>
      </c>
      <c r="J601" t="n">
        <v>1</v>
      </c>
      <c r="K601" t="n">
        <v>1</v>
      </c>
      <c r="L601" s="34">
        <f>IF($J601=1,LN(B602/B601),"")</f>
        <v/>
      </c>
      <c r="M601" s="34">
        <f>IF($K601=1,INDEX(Mensal!$D$2:$D$245,MATCH($I601,Mensal!$A$2:$A$245,0)),"")</f>
        <v/>
      </c>
      <c r="N601" s="34">
        <f>IF($K601=1,L601-M601,"")</f>
        <v/>
      </c>
      <c r="O601" s="34" t="n">
        <v>0.00048019</v>
      </c>
      <c r="P601" s="34">
        <f>IF($J601=1,LN(1+O601),"")</f>
        <v/>
      </c>
      <c r="Q601" s="34">
        <f>IF($J601=1,LN(R602/R601),"")</f>
        <v/>
      </c>
      <c r="R601" s="32" t="n">
        <v>1.7544</v>
      </c>
      <c r="S601" s="35" t="n">
        <v>14.706</v>
      </c>
      <c r="T601" s="18" t="n"/>
      <c r="U601" s="18" t="n">
        <v>48435</v>
      </c>
      <c r="V601" s="18" t="n"/>
      <c r="W601" s="18" t="n"/>
      <c r="X601" s="35" t="n">
        <v>14.706</v>
      </c>
      <c r="Y601" s="35" t="n"/>
    </row>
    <row r="602">
      <c r="A602" s="25" t="n">
        <v>39701</v>
      </c>
      <c r="B602" s="18" t="n">
        <v>49633</v>
      </c>
      <c r="C602" s="31" t="n"/>
      <c r="D602" s="32" t="n"/>
      <c r="E602" s="33" t="n">
        <v>0.4659</v>
      </c>
      <c r="F602" t="inlineStr">
        <is>
          <t>Up</t>
        </is>
      </c>
      <c r="G602" t="inlineStr">
        <is>
          <t>Up</t>
        </is>
      </c>
      <c r="H602" t="inlineStr">
        <is>
          <t>EU_JU</t>
        </is>
      </c>
      <c r="I602" t="inlineStr">
        <is>
          <t>2008-09</t>
        </is>
      </c>
      <c r="J602" t="n">
        <v>1</v>
      </c>
      <c r="K602" t="n">
        <v>1</v>
      </c>
      <c r="L602" s="34">
        <f>IF($J602=1,LN(B603/B602),"")</f>
        <v/>
      </c>
      <c r="M602" s="34">
        <f>IF($K602=1,INDEX(Mensal!$D$2:$D$245,MATCH($I602,Mensal!$A$2:$A$245,0)),"")</f>
        <v/>
      </c>
      <c r="N602" s="34">
        <f>IF($K602=1,L602-M602,"")</f>
        <v/>
      </c>
      <c r="O602" s="34" t="n">
        <v>0.00048089</v>
      </c>
      <c r="P602" s="34">
        <f>IF($J602=1,LN(1+O602),"")</f>
        <v/>
      </c>
      <c r="Q602" s="34">
        <f>IF($J602=1,LN(R603/R602),"")</f>
        <v/>
      </c>
      <c r="R602" s="32" t="n">
        <v>1.7858</v>
      </c>
      <c r="S602" s="35" t="n">
        <v>14.638</v>
      </c>
      <c r="T602" s="18" t="n"/>
      <c r="U602" s="18" t="n">
        <v>49633</v>
      </c>
      <c r="V602" s="18" t="n"/>
      <c r="W602" s="18" t="n"/>
      <c r="X602" s="35" t="n">
        <v>14.638</v>
      </c>
      <c r="Y602" s="35" t="n"/>
    </row>
    <row r="603">
      <c r="A603" s="25" t="n">
        <v>39702</v>
      </c>
      <c r="B603" s="18" t="n">
        <v>51270</v>
      </c>
      <c r="C603" s="31" t="n"/>
      <c r="D603" s="32" t="n"/>
      <c r="E603" s="33" t="n">
        <v>0.4644</v>
      </c>
      <c r="F603" t="inlineStr">
        <is>
          <t>Up</t>
        </is>
      </c>
      <c r="G603" t="inlineStr">
        <is>
          <t>Up</t>
        </is>
      </c>
      <c r="H603" t="inlineStr">
        <is>
          <t>EU_JU</t>
        </is>
      </c>
      <c r="I603" t="inlineStr">
        <is>
          <t>2008-09</t>
        </is>
      </c>
      <c r="J603" t="n">
        <v>1</v>
      </c>
      <c r="K603" t="n">
        <v>1</v>
      </c>
      <c r="L603" s="34">
        <f>IF($J603=1,LN(B604/B603),"")</f>
        <v/>
      </c>
      <c r="M603" s="34">
        <f>IF($K603=1,INDEX(Mensal!$D$2:$D$245,MATCH($I603,Mensal!$A$2:$A$245,0)),"")</f>
        <v/>
      </c>
      <c r="N603" s="34">
        <f>IF($K603=1,L603-M603,"")</f>
        <v/>
      </c>
      <c r="O603" s="34" t="n">
        <v>0.00050718</v>
      </c>
      <c r="P603" s="34">
        <f>IF($J603=1,LN(1+O603),"")</f>
        <v/>
      </c>
      <c r="Q603" s="34">
        <f>IF($J603=1,LN(R604/R603),"")</f>
        <v/>
      </c>
      <c r="R603" s="32" t="n">
        <v>1.8255</v>
      </c>
      <c r="S603" s="35" t="n">
        <v>14.59</v>
      </c>
      <c r="T603" s="18" t="n"/>
      <c r="U603" s="18" t="n">
        <v>51270</v>
      </c>
      <c r="V603" s="18" t="n"/>
      <c r="W603" s="18" t="n"/>
      <c r="X603" s="35" t="n">
        <v>14.59</v>
      </c>
      <c r="Y603" s="35" t="n"/>
    </row>
    <row r="604">
      <c r="A604" s="25" t="n">
        <v>39703</v>
      </c>
      <c r="B604" s="18" t="n">
        <v>52392</v>
      </c>
      <c r="C604" s="31" t="n"/>
      <c r="D604" s="32" t="n"/>
      <c r="E604" s="33" t="n">
        <v>0.4742</v>
      </c>
      <c r="F604" t="inlineStr">
        <is>
          <t>Up</t>
        </is>
      </c>
      <c r="G604" t="inlineStr">
        <is>
          <t>Up</t>
        </is>
      </c>
      <c r="H604" t="inlineStr">
        <is>
          <t>EU_JU</t>
        </is>
      </c>
      <c r="I604" t="inlineStr">
        <is>
          <t>2008-09</t>
        </is>
      </c>
      <c r="J604" t="n">
        <v>1</v>
      </c>
      <c r="K604" t="n">
        <v>1</v>
      </c>
      <c r="L604" s="34">
        <f>IF($J604=1,LN(B605/B604),"")</f>
        <v/>
      </c>
      <c r="M604" s="34">
        <f>IF($K604=1,INDEX(Mensal!$D$2:$D$245,MATCH($I604,Mensal!$A$2:$A$245,0)),"")</f>
        <v/>
      </c>
      <c r="N604" s="34">
        <f>IF($K604=1,L604-M604,"")</f>
        <v/>
      </c>
      <c r="O604" s="34" t="n">
        <v>0.0005057799999999999</v>
      </c>
      <c r="P604" s="34">
        <f>IF($J604=1,LN(1+O604),"")</f>
        <v/>
      </c>
      <c r="Q604" s="34">
        <f>IF($J604=1,LN(R605/R604),"")</f>
        <v/>
      </c>
      <c r="R604" s="32" t="n">
        <v>1.7912</v>
      </c>
      <c r="S604" s="35" t="n">
        <v>14.581</v>
      </c>
      <c r="T604" s="18" t="n"/>
      <c r="U604" s="18" t="n">
        <v>52392</v>
      </c>
      <c r="V604" s="18" t="n"/>
      <c r="W604" s="18" t="n"/>
      <c r="X604" s="35" t="n">
        <v>14.581</v>
      </c>
      <c r="Y604" s="35" t="n"/>
    </row>
    <row r="605">
      <c r="A605" s="25" t="n">
        <v>39706</v>
      </c>
      <c r="B605" s="18" t="n">
        <v>48416</v>
      </c>
      <c r="C605" s="31" t="n"/>
      <c r="D605" s="32" t="n"/>
      <c r="E605" s="33" t="n">
        <v>0.486</v>
      </c>
      <c r="F605" t="inlineStr">
        <is>
          <t>Up</t>
        </is>
      </c>
      <c r="G605" t="inlineStr">
        <is>
          <t>Up</t>
        </is>
      </c>
      <c r="H605" t="inlineStr">
        <is>
          <t>EU_JU</t>
        </is>
      </c>
      <c r="I605" t="inlineStr">
        <is>
          <t>2008-09</t>
        </is>
      </c>
      <c r="J605" t="n">
        <v>1</v>
      </c>
      <c r="K605" t="n">
        <v>1</v>
      </c>
      <c r="L605" s="34">
        <f>IF($J605=1,LN(B606/B605),"")</f>
        <v/>
      </c>
      <c r="M605" s="34">
        <f>IF($K605=1,INDEX(Mensal!$D$2:$D$245,MATCH($I605,Mensal!$A$2:$A$245,0)),"")</f>
        <v/>
      </c>
      <c r="N605" s="34">
        <f>IF($K605=1,L605-M605,"")</f>
        <v/>
      </c>
      <c r="O605" s="34" t="n">
        <v>0.0005057799999999999</v>
      </c>
      <c r="P605" s="34">
        <f>IF($J605=1,LN(1+O605),"")</f>
        <v/>
      </c>
      <c r="Q605" s="34">
        <f>IF($J605=1,LN(R606/R605),"")</f>
        <v/>
      </c>
      <c r="R605" s="32" t="n">
        <v>1.8125</v>
      </c>
      <c r="S605" s="35" t="n">
        <v>14.562</v>
      </c>
      <c r="T605" s="18" t="n"/>
      <c r="U605" s="18" t="n">
        <v>48416</v>
      </c>
      <c r="V605" s="18" t="n"/>
      <c r="W605" s="18" t="n"/>
      <c r="X605" s="35" t="n">
        <v>14.562</v>
      </c>
      <c r="Y605" s="35" t="n"/>
    </row>
    <row r="606">
      <c r="A606" s="25" t="n">
        <v>39707</v>
      </c>
      <c r="B606" s="18" t="n">
        <v>49228</v>
      </c>
      <c r="C606" s="31" t="n"/>
      <c r="D606" s="32" t="n"/>
      <c r="E606" s="33" t="n">
        <v>0.5014</v>
      </c>
      <c r="F606" t="inlineStr">
        <is>
          <t>Up</t>
        </is>
      </c>
      <c r="G606" t="inlineStr">
        <is>
          <t>Up</t>
        </is>
      </c>
      <c r="H606" t="inlineStr">
        <is>
          <t>EU_JU</t>
        </is>
      </c>
      <c r="I606" t="inlineStr">
        <is>
          <t>2008-09</t>
        </is>
      </c>
      <c r="J606" t="n">
        <v>1</v>
      </c>
      <c r="K606" t="n">
        <v>1</v>
      </c>
      <c r="L606" s="34">
        <f>IF($J606=1,LN(B607/B606),"")</f>
        <v/>
      </c>
      <c r="M606" s="34">
        <f>IF($K606=1,INDEX(Mensal!$D$2:$D$245,MATCH($I606,Mensal!$A$2:$A$245,0)),"")</f>
        <v/>
      </c>
      <c r="N606" s="34">
        <f>IF($K606=1,L606-M606,"")</f>
        <v/>
      </c>
      <c r="O606" s="34" t="n">
        <v>0.00050613</v>
      </c>
      <c r="P606" s="34">
        <f>IF($J606=1,LN(1+O606),"")</f>
        <v/>
      </c>
      <c r="Q606" s="34">
        <f>IF($J606=1,LN(R607/R606),"")</f>
        <v/>
      </c>
      <c r="R606" s="32" t="n">
        <v>1.841</v>
      </c>
      <c r="S606" s="35" t="n">
        <v>14.553</v>
      </c>
      <c r="T606" s="18" t="n"/>
      <c r="U606" s="18" t="n">
        <v>49228</v>
      </c>
      <c r="V606" s="18" t="n"/>
      <c r="W606" s="18" t="n"/>
      <c r="X606" s="35" t="n">
        <v>14.553</v>
      </c>
      <c r="Y606" s="35" t="n"/>
    </row>
    <row r="607">
      <c r="A607" s="25" t="n">
        <v>39708</v>
      </c>
      <c r="B607" s="18" t="n">
        <v>45908</v>
      </c>
      <c r="C607" s="31" t="n"/>
      <c r="D607" s="32" t="n"/>
      <c r="E607" s="33" t="n">
        <v>0.5089</v>
      </c>
      <c r="F607" t="inlineStr">
        <is>
          <t>Up</t>
        </is>
      </c>
      <c r="G607" t="inlineStr">
        <is>
          <t>Up</t>
        </is>
      </c>
      <c r="H607" t="inlineStr">
        <is>
          <t>EU_JU</t>
        </is>
      </c>
      <c r="I607" t="inlineStr">
        <is>
          <t>2008-09</t>
        </is>
      </c>
      <c r="J607" t="n">
        <v>1</v>
      </c>
      <c r="K607" t="n">
        <v>1</v>
      </c>
      <c r="L607" s="34">
        <f>IF($J607=1,LN(B608/B607),"")</f>
        <v/>
      </c>
      <c r="M607" s="34">
        <f>IF($K607=1,INDEX(Mensal!$D$2:$D$245,MATCH($I607,Mensal!$A$2:$A$245,0)),"")</f>
        <v/>
      </c>
      <c r="N607" s="34">
        <f>IF($K607=1,L607-M607,"")</f>
        <v/>
      </c>
      <c r="O607" s="34" t="n">
        <v>0.00050543</v>
      </c>
      <c r="P607" s="34">
        <f>IF($J607=1,LN(1+O607),"")</f>
        <v/>
      </c>
      <c r="Q607" s="34">
        <f>IF($J607=1,LN(R608/R607),"")</f>
        <v/>
      </c>
      <c r="R607" s="32" t="n">
        <v>1.866</v>
      </c>
      <c r="S607" s="35" t="n">
        <v>14.729</v>
      </c>
      <c r="T607" s="18" t="n"/>
      <c r="U607" s="18" t="n">
        <v>45908</v>
      </c>
      <c r="V607" s="18" t="n"/>
      <c r="W607" s="18" t="n"/>
      <c r="X607" s="35" t="n">
        <v>14.729</v>
      </c>
      <c r="Y607" s="35" t="n"/>
    </row>
    <row r="608">
      <c r="A608" s="25" t="n">
        <v>39709</v>
      </c>
      <c r="B608" s="18" t="n">
        <v>48422</v>
      </c>
      <c r="C608" s="31" t="n"/>
      <c r="D608" s="32" t="n"/>
      <c r="E608" s="33" t="n">
        <v>0.5222</v>
      </c>
      <c r="F608" t="inlineStr">
        <is>
          <t>Up</t>
        </is>
      </c>
      <c r="G608" t="inlineStr">
        <is>
          <t>Up</t>
        </is>
      </c>
      <c r="H608" t="inlineStr">
        <is>
          <t>EU_JU</t>
        </is>
      </c>
      <c r="I608" t="inlineStr">
        <is>
          <t>2008-09</t>
        </is>
      </c>
      <c r="J608" t="n">
        <v>1</v>
      </c>
      <c r="K608" t="n">
        <v>1</v>
      </c>
      <c r="L608" s="34">
        <f>IF($J608=1,LN(B609/B608),"")</f>
        <v/>
      </c>
      <c r="M608" s="34">
        <f>IF($K608=1,INDEX(Mensal!$D$2:$D$245,MATCH($I608,Mensal!$A$2:$A$245,0)),"")</f>
        <v/>
      </c>
      <c r="N608" s="34">
        <f>IF($K608=1,L608-M608,"")</f>
        <v/>
      </c>
      <c r="O608" s="34" t="n">
        <v>0.00050543</v>
      </c>
      <c r="P608" s="34">
        <f>IF($J608=1,LN(1+O608),"")</f>
        <v/>
      </c>
      <c r="Q608" s="34">
        <f>IF($J608=1,LN(R609/R608),"")</f>
        <v/>
      </c>
      <c r="R608" s="32" t="n">
        <v>1.9159</v>
      </c>
      <c r="S608" s="35" t="n">
        <v>15.064</v>
      </c>
      <c r="T608" s="18" t="n"/>
      <c r="U608" s="18" t="n">
        <v>48422</v>
      </c>
      <c r="V608" s="18" t="n"/>
      <c r="W608" s="18" t="n"/>
      <c r="X608" s="35" t="n">
        <v>15.064</v>
      </c>
      <c r="Y608" s="35" t="n"/>
    </row>
    <row r="609">
      <c r="A609" s="25" t="n">
        <v>39710</v>
      </c>
      <c r="B609" s="18" t="n">
        <v>53055</v>
      </c>
      <c r="C609" s="31" t="n"/>
      <c r="D609" s="32" t="n"/>
      <c r="E609" s="33" t="n">
        <v>0.5386</v>
      </c>
      <c r="F609" t="inlineStr">
        <is>
          <t>Up</t>
        </is>
      </c>
      <c r="G609" t="inlineStr">
        <is>
          <t>Up</t>
        </is>
      </c>
      <c r="H609" t="inlineStr">
        <is>
          <t>EU_JU</t>
        </is>
      </c>
      <c r="I609" t="inlineStr">
        <is>
          <t>2008-09</t>
        </is>
      </c>
      <c r="J609" t="n">
        <v>1</v>
      </c>
      <c r="K609" t="n">
        <v>1</v>
      </c>
      <c r="L609" s="34">
        <f>IF($J609=1,LN(B610/B609),"")</f>
        <v/>
      </c>
      <c r="M609" s="34">
        <f>IF($K609=1,INDEX(Mensal!$D$2:$D$245,MATCH($I609,Mensal!$A$2:$A$245,0)),"")</f>
        <v/>
      </c>
      <c r="N609" s="34">
        <f>IF($K609=1,L609-M609,"")</f>
        <v/>
      </c>
      <c r="O609" s="34" t="n">
        <v>0.0005078800000000001</v>
      </c>
      <c r="P609" s="34">
        <f>IF($J609=1,LN(1+O609),"")</f>
        <v/>
      </c>
      <c r="Q609" s="34">
        <f>IF($J609=1,LN(R610/R609),"")</f>
        <v/>
      </c>
      <c r="R609" s="32" t="n">
        <v>1.8398</v>
      </c>
      <c r="S609" s="35" t="n">
        <v>14.741</v>
      </c>
      <c r="T609" s="18" t="n"/>
      <c r="U609" s="18" t="n">
        <v>53055</v>
      </c>
      <c r="V609" s="18" t="n"/>
      <c r="W609" s="18" t="n"/>
      <c r="X609" s="35" t="n">
        <v>14.741</v>
      </c>
      <c r="Y609" s="35" t="n"/>
    </row>
    <row r="610">
      <c r="A610" s="25" t="n">
        <v>39713</v>
      </c>
      <c r="B610" s="18" t="n">
        <v>51540</v>
      </c>
      <c r="C610" s="31" t="n"/>
      <c r="D610" s="32" t="n"/>
      <c r="E610" s="33" t="n">
        <v>0.5546</v>
      </c>
      <c r="F610" t="inlineStr">
        <is>
          <t>Up</t>
        </is>
      </c>
      <c r="G610" t="inlineStr">
        <is>
          <t>Up</t>
        </is>
      </c>
      <c r="H610" t="inlineStr">
        <is>
          <t>EU_JU</t>
        </is>
      </c>
      <c r="I610" t="inlineStr">
        <is>
          <t>2008-09</t>
        </is>
      </c>
      <c r="J610" t="n">
        <v>1</v>
      </c>
      <c r="K610" t="n">
        <v>1</v>
      </c>
      <c r="L610" s="34">
        <f>IF($J610=1,LN(B611/B610),"")</f>
        <v/>
      </c>
      <c r="M610" s="34">
        <f>IF($K610=1,INDEX(Mensal!$D$2:$D$245,MATCH($I610,Mensal!$A$2:$A$245,0)),"")</f>
        <v/>
      </c>
      <c r="N610" s="34">
        <f>IF($K610=1,L610-M610,"")</f>
        <v/>
      </c>
      <c r="O610" s="34" t="n">
        <v>0.00050893</v>
      </c>
      <c r="P610" s="34">
        <f>IF($J610=1,LN(1+O610),"")</f>
        <v/>
      </c>
      <c r="Q610" s="34">
        <f>IF($J610=1,LN(R611/R610),"")</f>
        <v/>
      </c>
      <c r="R610" s="32" t="n">
        <v>1.7989</v>
      </c>
      <c r="S610" s="35" t="n">
        <v>14.7</v>
      </c>
      <c r="T610" s="18" t="n"/>
      <c r="U610" s="18" t="n">
        <v>51540</v>
      </c>
      <c r="V610" s="18" t="n"/>
      <c r="W610" s="18" t="n"/>
      <c r="X610" s="35" t="n">
        <v>14.7</v>
      </c>
      <c r="Y610" s="35" t="n"/>
    </row>
    <row r="611">
      <c r="A611" s="25" t="n">
        <v>39714</v>
      </c>
      <c r="B611" s="18" t="n">
        <v>49593</v>
      </c>
      <c r="C611" s="31" t="n"/>
      <c r="D611" s="32" t="n"/>
      <c r="E611" s="33" t="n">
        <v>0.5642</v>
      </c>
      <c r="F611" t="inlineStr">
        <is>
          <t>Up</t>
        </is>
      </c>
      <c r="G611" t="inlineStr">
        <is>
          <t>Up</t>
        </is>
      </c>
      <c r="H611" t="inlineStr">
        <is>
          <t>EU_JU</t>
        </is>
      </c>
      <c r="I611" t="inlineStr">
        <is>
          <t>2008-09</t>
        </is>
      </c>
      <c r="J611" t="n">
        <v>1</v>
      </c>
      <c r="K611" t="n">
        <v>1</v>
      </c>
      <c r="L611" s="34">
        <f>IF($J611=1,LN(B612/B611),"")</f>
        <v/>
      </c>
      <c r="M611" s="34">
        <f>IF($K611=1,INDEX(Mensal!$D$2:$D$245,MATCH($I611,Mensal!$A$2:$A$245,0)),"")</f>
        <v/>
      </c>
      <c r="N611" s="34">
        <f>IF($K611=1,L611-M611,"")</f>
        <v/>
      </c>
      <c r="O611" s="34" t="n">
        <v>0.00050683</v>
      </c>
      <c r="P611" s="34">
        <f>IF($J611=1,LN(1+O611),"")</f>
        <v/>
      </c>
      <c r="Q611" s="34">
        <f>IF($J611=1,LN(R612/R611),"")</f>
        <v/>
      </c>
      <c r="R611" s="32" t="n">
        <v>1.8242</v>
      </c>
      <c r="S611" s="35" t="n">
        <v>14.714</v>
      </c>
      <c r="T611" s="18" t="n"/>
      <c r="U611" s="18" t="n">
        <v>49593</v>
      </c>
      <c r="V611" s="18" t="n"/>
      <c r="W611" s="18" t="n"/>
      <c r="X611" s="35" t="n">
        <v>14.714</v>
      </c>
      <c r="Y611" s="35" t="n"/>
    </row>
    <row r="612">
      <c r="A612" s="25" t="n">
        <v>39715</v>
      </c>
      <c r="B612" s="18" t="n">
        <v>49843</v>
      </c>
      <c r="C612" s="31" t="n"/>
      <c r="D612" s="32" t="n"/>
      <c r="E612" s="33" t="n">
        <v>0.5851</v>
      </c>
      <c r="F612" t="inlineStr">
        <is>
          <t>Up</t>
        </is>
      </c>
      <c r="G612" t="inlineStr">
        <is>
          <t>Up</t>
        </is>
      </c>
      <c r="H612" t="inlineStr">
        <is>
          <t>EU_JU</t>
        </is>
      </c>
      <c r="I612" t="inlineStr">
        <is>
          <t>2008-09</t>
        </is>
      </c>
      <c r="J612" t="n">
        <v>1</v>
      </c>
      <c r="K612" t="n">
        <v>1</v>
      </c>
      <c r="L612" s="34">
        <f>IF($J612=1,LN(B613/B612),"")</f>
        <v/>
      </c>
      <c r="M612" s="34">
        <f>IF($K612=1,INDEX(Mensal!$D$2:$D$245,MATCH($I612,Mensal!$A$2:$A$245,0)),"")</f>
        <v/>
      </c>
      <c r="N612" s="34">
        <f>IF($K612=1,L612-M612,"")</f>
        <v/>
      </c>
      <c r="O612" s="34" t="n">
        <v>0.0005057799999999999</v>
      </c>
      <c r="P612" s="34">
        <f>IF($J612=1,LN(1+O612),"")</f>
        <v/>
      </c>
      <c r="Q612" s="34">
        <f>IF($J612=1,LN(R613/R612),"")</f>
        <v/>
      </c>
      <c r="R612" s="32" t="n">
        <v>1.8445</v>
      </c>
      <c r="S612" s="35" t="n">
        <v>14.696</v>
      </c>
      <c r="T612" s="18" t="n"/>
      <c r="U612" s="18" t="n">
        <v>49843</v>
      </c>
      <c r="V612" s="18" t="n"/>
      <c r="W612" s="18" t="n"/>
      <c r="X612" s="35" t="n">
        <v>14.696</v>
      </c>
      <c r="Y612" s="35" t="n"/>
    </row>
    <row r="613">
      <c r="A613" s="25" t="n">
        <v>39716</v>
      </c>
      <c r="B613" s="18" t="n">
        <v>51828</v>
      </c>
      <c r="C613" s="31" t="n"/>
      <c r="D613" s="32" t="n"/>
      <c r="E613" s="33" t="n">
        <v>0.5987</v>
      </c>
      <c r="F613" t="inlineStr">
        <is>
          <t>Up</t>
        </is>
      </c>
      <c r="G613" t="inlineStr">
        <is>
          <t>Up</t>
        </is>
      </c>
      <c r="H613" t="inlineStr">
        <is>
          <t>EU_JU</t>
        </is>
      </c>
      <c r="I613" t="inlineStr">
        <is>
          <t>2008-09</t>
        </is>
      </c>
      <c r="J613" t="n">
        <v>1</v>
      </c>
      <c r="K613" t="n">
        <v>1</v>
      </c>
      <c r="L613" s="34">
        <f>IF($J613=1,LN(B614/B613),"")</f>
        <v/>
      </c>
      <c r="M613" s="34">
        <f>IF($K613=1,INDEX(Mensal!$D$2:$D$245,MATCH($I613,Mensal!$A$2:$A$245,0)),"")</f>
        <v/>
      </c>
      <c r="N613" s="34">
        <f>IF($K613=1,L613-M613,"")</f>
        <v/>
      </c>
      <c r="O613" s="34" t="n">
        <v>0.00050613</v>
      </c>
      <c r="P613" s="34">
        <f>IF($J613=1,LN(1+O613),"")</f>
        <v/>
      </c>
      <c r="Q613" s="34">
        <f>IF($J613=1,LN(R614/R613),"")</f>
        <v/>
      </c>
      <c r="R613" s="32" t="n">
        <v>1.8277</v>
      </c>
      <c r="S613" s="35" t="n">
        <v>14.63</v>
      </c>
      <c r="T613" s="18" t="n"/>
      <c r="U613" s="18" t="n">
        <v>51828</v>
      </c>
      <c r="V613" s="18" t="n"/>
      <c r="W613" s="18" t="n"/>
      <c r="X613" s="35" t="n">
        <v>14.63</v>
      </c>
      <c r="Y613" s="35" t="n"/>
    </row>
    <row r="614">
      <c r="A614" s="25" t="n">
        <v>39717</v>
      </c>
      <c r="B614" s="18" t="n">
        <v>50783</v>
      </c>
      <c r="C614" s="31" t="n"/>
      <c r="D614" s="32" t="n"/>
      <c r="E614" s="33" t="n">
        <v>0.6151</v>
      </c>
      <c r="F614" t="inlineStr">
        <is>
          <t>Up</t>
        </is>
      </c>
      <c r="G614" t="inlineStr">
        <is>
          <t>Up</t>
        </is>
      </c>
      <c r="H614" t="inlineStr">
        <is>
          <t>EU_JU</t>
        </is>
      </c>
      <c r="I614" t="inlineStr">
        <is>
          <t>2008-09</t>
        </is>
      </c>
      <c r="J614" t="n">
        <v>1</v>
      </c>
      <c r="K614" t="n">
        <v>1</v>
      </c>
      <c r="L614" s="34">
        <f>IF($J614=1,LN(B615/B614),"")</f>
        <v/>
      </c>
      <c r="M614" s="34">
        <f>IF($K614=1,INDEX(Mensal!$D$2:$D$245,MATCH($I614,Mensal!$A$2:$A$245,0)),"")</f>
        <v/>
      </c>
      <c r="N614" s="34">
        <f>IF($K614=1,L614-M614,"")</f>
        <v/>
      </c>
      <c r="O614" s="34" t="n">
        <v>0.00050613</v>
      </c>
      <c r="P614" s="34">
        <f>IF($J614=1,LN(1+O614),"")</f>
        <v/>
      </c>
      <c r="Q614" s="34">
        <f>IF($J614=1,LN(R615/R614),"")</f>
        <v/>
      </c>
      <c r="R614" s="32" t="n">
        <v>1.8555</v>
      </c>
      <c r="S614" s="35" t="n">
        <v>14.581</v>
      </c>
      <c r="T614" s="18" t="n"/>
      <c r="U614" s="18" t="n">
        <v>50783</v>
      </c>
      <c r="V614" s="18" t="n"/>
      <c r="W614" s="18" t="n"/>
      <c r="X614" s="35" t="n">
        <v>14.581</v>
      </c>
      <c r="Y614" s="35" t="n"/>
    </row>
    <row r="615">
      <c r="A615" s="25" t="n">
        <v>39720</v>
      </c>
      <c r="B615" s="18" t="n">
        <v>46028</v>
      </c>
      <c r="C615" s="31" t="n"/>
      <c r="D615" s="32" t="n"/>
      <c r="E615" s="33" t="n">
        <v>0.6284999999999999</v>
      </c>
      <c r="F615" t="inlineStr">
        <is>
          <t>Up</t>
        </is>
      </c>
      <c r="G615" t="inlineStr">
        <is>
          <t>Up</t>
        </is>
      </c>
      <c r="H615" t="inlineStr">
        <is>
          <t>EU_JU</t>
        </is>
      </c>
      <c r="I615" t="inlineStr">
        <is>
          <t>2008-09</t>
        </is>
      </c>
      <c r="J615" t="n">
        <v>1</v>
      </c>
      <c r="K615" t="n">
        <v>1</v>
      </c>
      <c r="L615" s="34">
        <f>IF($J615=1,LN(B616/B615),"")</f>
        <v/>
      </c>
      <c r="M615" s="34">
        <f>IF($K615=1,INDEX(Mensal!$D$2:$D$245,MATCH($I615,Mensal!$A$2:$A$245,0)),"")</f>
        <v/>
      </c>
      <c r="N615" s="34">
        <f>IF($K615=1,L615-M615,"")</f>
        <v/>
      </c>
      <c r="O615" s="34" t="n">
        <v>0.00050543</v>
      </c>
      <c r="P615" s="34">
        <f>IF($J615=1,LN(1+O615),"")</f>
        <v/>
      </c>
      <c r="Q615" s="34">
        <f>IF($J615=1,LN(R616/R615),"")</f>
        <v/>
      </c>
      <c r="R615" s="32" t="n">
        <v>1.9559</v>
      </c>
      <c r="S615" s="35" t="n">
        <v>14.573</v>
      </c>
      <c r="T615" s="18" t="n"/>
      <c r="U615" s="18" t="n">
        <v>46028</v>
      </c>
      <c r="V615" s="18" t="n"/>
      <c r="W615" s="18" t="n"/>
      <c r="X615" s="35" t="n">
        <v>14.573</v>
      </c>
      <c r="Y615" s="35" t="n"/>
    </row>
    <row r="616">
      <c r="A616" s="25" t="n">
        <v>39721</v>
      </c>
      <c r="B616" s="18" t="n">
        <v>49541</v>
      </c>
      <c r="C616" s="31" t="n"/>
      <c r="D616" s="32" t="n"/>
      <c r="E616" s="33" t="n">
        <v>0.6432</v>
      </c>
      <c r="F616" t="inlineStr">
        <is>
          <t>Up</t>
        </is>
      </c>
      <c r="G616" t="inlineStr">
        <is>
          <t>Up</t>
        </is>
      </c>
      <c r="H616" t="inlineStr">
        <is>
          <t>EU_JU</t>
        </is>
      </c>
      <c r="I616" t="inlineStr">
        <is>
          <t>2008-09</t>
        </is>
      </c>
      <c r="J616" t="n">
        <v>1</v>
      </c>
      <c r="K616" t="n">
        <v>1</v>
      </c>
      <c r="L616" s="34">
        <f>IF($J616=1,LN(B617/B616),"")</f>
        <v/>
      </c>
      <c r="M616" s="34">
        <f>IF($K616=1,INDEX(Mensal!$D$2:$D$245,MATCH($I616,Mensal!$A$2:$A$245,0)),"")</f>
        <v/>
      </c>
      <c r="N616" s="34">
        <f>IF($K616=1,L616-M616,"")</f>
        <v/>
      </c>
      <c r="O616" s="34" t="n">
        <v>0.0005057799999999999</v>
      </c>
      <c r="P616" s="34">
        <f>IF($J616=1,LN(1+O616),"")</f>
        <v/>
      </c>
      <c r="Q616" s="34">
        <f>IF($J616=1,LN(R617/R616),"")</f>
        <v/>
      </c>
      <c r="R616" s="32" t="n">
        <v>1.9143</v>
      </c>
      <c r="S616" s="35" t="n">
        <v>14.431</v>
      </c>
      <c r="T616" s="18" t="n"/>
      <c r="U616" s="18" t="n">
        <v>49541</v>
      </c>
      <c r="V616" s="18" t="n"/>
      <c r="W616" s="18" t="n"/>
      <c r="X616" s="35" t="n">
        <v>14.431</v>
      </c>
      <c r="Y616" s="35" t="n"/>
    </row>
    <row r="617">
      <c r="A617" s="25" t="n">
        <v>39722</v>
      </c>
      <c r="B617" s="18" t="n">
        <v>49798</v>
      </c>
      <c r="C617" s="31" t="n"/>
      <c r="D617" s="32" t="n"/>
      <c r="E617" s="33" t="n">
        <v>0.6506</v>
      </c>
      <c r="F617" t="inlineStr">
        <is>
          <t>Up</t>
        </is>
      </c>
      <c r="G617" t="inlineStr">
        <is>
          <t>Up</t>
        </is>
      </c>
      <c r="H617" t="inlineStr">
        <is>
          <t>EU_JU</t>
        </is>
      </c>
      <c r="I617" t="inlineStr">
        <is>
          <t>2008-10</t>
        </is>
      </c>
      <c r="J617" t="n">
        <v>1</v>
      </c>
      <c r="K617" t="n">
        <v>1</v>
      </c>
      <c r="L617" s="34">
        <f>IF($J617=1,LN(B618/B617),"")</f>
        <v/>
      </c>
      <c r="M617" s="34">
        <f>IF($K617=1,INDEX(Mensal!$D$2:$D$245,MATCH($I617,Mensal!$A$2:$A$245,0)),"")</f>
        <v/>
      </c>
      <c r="N617" s="34">
        <f>IF($K617=1,L617-M617,"")</f>
        <v/>
      </c>
      <c r="O617" s="34" t="n">
        <v>0.00050543</v>
      </c>
      <c r="P617" s="34">
        <f>IF($J617=1,LN(1+O617),"")</f>
        <v/>
      </c>
      <c r="Q617" s="34">
        <f>IF($J617=1,LN(R618/R617),"")</f>
        <v/>
      </c>
      <c r="R617" s="32" t="n">
        <v>1.9213</v>
      </c>
      <c r="S617" s="35" t="n">
        <v>14.329</v>
      </c>
      <c r="T617" s="18" t="n"/>
      <c r="U617" s="18" t="n">
        <v>49798</v>
      </c>
      <c r="V617" s="18" t="n"/>
      <c r="W617" s="18" t="n"/>
      <c r="X617" s="35" t="n">
        <v>14.329</v>
      </c>
      <c r="Y617" s="35" t="n"/>
    </row>
    <row r="618">
      <c r="A618" s="25" t="n">
        <v>39723</v>
      </c>
      <c r="B618" s="18" t="n">
        <v>46145</v>
      </c>
      <c r="C618" s="31" t="n"/>
      <c r="D618" s="32" t="n"/>
      <c r="E618" s="33" t="n">
        <v>0.657</v>
      </c>
      <c r="F618" t="inlineStr">
        <is>
          <t>Up</t>
        </is>
      </c>
      <c r="G618" t="inlineStr">
        <is>
          <t>Up</t>
        </is>
      </c>
      <c r="H618" t="inlineStr">
        <is>
          <t>EU_JU</t>
        </is>
      </c>
      <c r="I618" t="inlineStr">
        <is>
          <t>2008-10</t>
        </is>
      </c>
      <c r="J618" t="n">
        <v>1</v>
      </c>
      <c r="K618" t="n">
        <v>1</v>
      </c>
      <c r="L618" s="34">
        <f>IF($J618=1,LN(B619/B618),"")</f>
        <v/>
      </c>
      <c r="M618" s="34">
        <f>IF($K618=1,INDEX(Mensal!$D$2:$D$245,MATCH($I618,Mensal!$A$2:$A$245,0)),"")</f>
        <v/>
      </c>
      <c r="N618" s="34">
        <f>IF($K618=1,L618-M618,"")</f>
        <v/>
      </c>
      <c r="O618" s="34" t="n">
        <v>0.00050648</v>
      </c>
      <c r="P618" s="34">
        <f>IF($J618=1,LN(1+O618),"")</f>
        <v/>
      </c>
      <c r="Q618" s="34">
        <f>IF($J618=1,LN(R619/R618),"")</f>
        <v/>
      </c>
      <c r="R618" s="32" t="n">
        <v>2.0081</v>
      </c>
      <c r="S618" s="35" t="n">
        <v>14.433</v>
      </c>
      <c r="T618" s="18" t="n"/>
      <c r="U618" s="18" t="n">
        <v>46145</v>
      </c>
      <c r="V618" s="18" t="n"/>
      <c r="W618" s="18" t="n"/>
      <c r="X618" s="35" t="n">
        <v>14.433</v>
      </c>
      <c r="Y618" s="35" t="n"/>
    </row>
    <row r="619">
      <c r="A619" s="25" t="n">
        <v>39724</v>
      </c>
      <c r="B619" s="18" t="n">
        <v>44517</v>
      </c>
      <c r="C619" s="31" t="n"/>
      <c r="D619" s="32" t="n"/>
      <c r="E619" s="33" t="n">
        <v>0.6748</v>
      </c>
      <c r="F619" t="inlineStr">
        <is>
          <t>Up</t>
        </is>
      </c>
      <c r="G619" t="inlineStr">
        <is>
          <t>Up</t>
        </is>
      </c>
      <c r="H619" t="inlineStr">
        <is>
          <t>EU_JU</t>
        </is>
      </c>
      <c r="I619" t="inlineStr">
        <is>
          <t>2008-10</t>
        </is>
      </c>
      <c r="J619" t="n">
        <v>1</v>
      </c>
      <c r="K619" t="n">
        <v>1</v>
      </c>
      <c r="L619" s="34">
        <f>IF($J619=1,LN(B620/B619),"")</f>
        <v/>
      </c>
      <c r="M619" s="34">
        <f>IF($K619=1,INDEX(Mensal!$D$2:$D$245,MATCH($I619,Mensal!$A$2:$A$245,0)),"")</f>
        <v/>
      </c>
      <c r="N619" s="34">
        <f>IF($K619=1,L619-M619,"")</f>
        <v/>
      </c>
      <c r="O619" s="34" t="n">
        <v>0.0005078800000000001</v>
      </c>
      <c r="P619" s="34">
        <f>IF($J619=1,LN(1+O619),"")</f>
        <v/>
      </c>
      <c r="Q619" s="34">
        <f>IF($J619=1,LN(R620/R619),"")</f>
        <v/>
      </c>
      <c r="R619" s="32" t="n">
        <v>2.054</v>
      </c>
      <c r="S619" s="35" t="n">
        <v>14.388</v>
      </c>
      <c r="T619" s="18" t="n"/>
      <c r="U619" s="18" t="n">
        <v>44517</v>
      </c>
      <c r="V619" s="18" t="n"/>
      <c r="W619" s="18" t="n"/>
      <c r="X619" s="35" t="n">
        <v>14.388</v>
      </c>
      <c r="Y619" s="35" t="n"/>
    </row>
    <row r="620">
      <c r="A620" s="25" t="n">
        <v>39727</v>
      </c>
      <c r="B620" s="18" t="n">
        <v>42100</v>
      </c>
      <c r="C620" s="31" t="n"/>
      <c r="D620" s="32" t="n"/>
      <c r="E620" s="33" t="n">
        <v>0.6969</v>
      </c>
      <c r="F620" t="inlineStr">
        <is>
          <t>Up</t>
        </is>
      </c>
      <c r="G620" t="inlineStr">
        <is>
          <t>Up</t>
        </is>
      </c>
      <c r="H620" t="inlineStr">
        <is>
          <t>EU_JU</t>
        </is>
      </c>
      <c r="I620" t="inlineStr">
        <is>
          <t>2008-10</t>
        </is>
      </c>
      <c r="J620" t="n">
        <v>1</v>
      </c>
      <c r="K620" t="n">
        <v>1</v>
      </c>
      <c r="L620" s="34">
        <f>IF($J620=1,LN(B621/B620),"")</f>
        <v/>
      </c>
      <c r="M620" s="34">
        <f>IF($K620=1,INDEX(Mensal!$D$2:$D$245,MATCH($I620,Mensal!$A$2:$A$245,0)),"")</f>
        <v/>
      </c>
      <c r="N620" s="34">
        <f>IF($K620=1,L620-M620,"")</f>
        <v/>
      </c>
      <c r="O620" s="34" t="n">
        <v>0.00051137</v>
      </c>
      <c r="P620" s="34">
        <f>IF($J620=1,LN(1+O620),"")</f>
        <v/>
      </c>
      <c r="Q620" s="34">
        <f>IF($J620=1,LN(R621/R620),"")</f>
        <v/>
      </c>
      <c r="R620" s="32" t="n">
        <v>2.1769</v>
      </c>
      <c r="S620" s="35" t="n">
        <v>14.607</v>
      </c>
      <c r="T620" s="18" t="n"/>
      <c r="U620" s="18" t="n">
        <v>42100</v>
      </c>
      <c r="V620" s="18" t="n"/>
      <c r="W620" s="18" t="n"/>
      <c r="X620" s="35" t="n">
        <v>14.607</v>
      </c>
      <c r="Y620" s="35" t="n"/>
    </row>
    <row r="621">
      <c r="A621" s="25" t="n">
        <v>39728</v>
      </c>
      <c r="B621" s="18" t="n">
        <v>40139</v>
      </c>
      <c r="C621" s="31" t="n"/>
      <c r="D621" s="32" t="n"/>
      <c r="E621" s="33" t="n">
        <v>0.7233000000000001</v>
      </c>
      <c r="F621" t="inlineStr">
        <is>
          <t>Up</t>
        </is>
      </c>
      <c r="G621" t="inlineStr">
        <is>
          <t>Up</t>
        </is>
      </c>
      <c r="H621" t="inlineStr">
        <is>
          <t>EU_JU</t>
        </is>
      </c>
      <c r="I621" t="inlineStr">
        <is>
          <t>2008-10</t>
        </is>
      </c>
      <c r="J621" t="n">
        <v>1</v>
      </c>
      <c r="K621" t="n">
        <v>1</v>
      </c>
      <c r="L621" s="34">
        <f>IF($J621=1,LN(B622/B621),"")</f>
        <v/>
      </c>
      <c r="M621" s="34">
        <f>IF($K621=1,INDEX(Mensal!$D$2:$D$245,MATCH($I621,Mensal!$A$2:$A$245,0)),"")</f>
        <v/>
      </c>
      <c r="N621" s="34">
        <f>IF($K621=1,L621-M621,"")</f>
        <v/>
      </c>
      <c r="O621" s="34" t="n">
        <v>0.0005096300000000001</v>
      </c>
      <c r="P621" s="34">
        <f>IF($J621=1,LN(1+O621),"")</f>
        <v/>
      </c>
      <c r="Q621" s="34">
        <f>IF($J621=1,LN(R622/R621),"")</f>
        <v/>
      </c>
      <c r="R621" s="32" t="n">
        <v>2.1883</v>
      </c>
      <c r="S621" s="35" t="n">
        <v>14.625</v>
      </c>
      <c r="T621" s="18" t="n"/>
      <c r="U621" s="18" t="n">
        <v>40139</v>
      </c>
      <c r="V621" s="18" t="n"/>
      <c r="W621" s="18" t="n"/>
      <c r="X621" s="35" t="n">
        <v>14.625</v>
      </c>
      <c r="Y621" s="35" t="n"/>
    </row>
    <row r="622">
      <c r="A622" s="25" t="n">
        <v>39729</v>
      </c>
      <c r="B622" s="18" t="n">
        <v>38593</v>
      </c>
      <c r="C622" s="31" t="n"/>
      <c r="D622" s="32" t="n"/>
      <c r="E622" s="33" t="n">
        <v>0.7519</v>
      </c>
      <c r="F622" t="inlineStr">
        <is>
          <t>Up</t>
        </is>
      </c>
      <c r="G622" t="inlineStr">
        <is>
          <t>Up</t>
        </is>
      </c>
      <c r="H622" t="inlineStr">
        <is>
          <t>EU_JU</t>
        </is>
      </c>
      <c r="I622" t="inlineStr">
        <is>
          <t>2008-10</t>
        </is>
      </c>
      <c r="J622" t="n">
        <v>1</v>
      </c>
      <c r="K622" t="n">
        <v>1</v>
      </c>
      <c r="L622" s="34">
        <f>IF($J622=1,LN(B623/B622),"")</f>
        <v/>
      </c>
      <c r="M622" s="34">
        <f>IF($K622=1,INDEX(Mensal!$D$2:$D$245,MATCH($I622,Mensal!$A$2:$A$245,0)),"")</f>
        <v/>
      </c>
      <c r="N622" s="34">
        <f>IF($K622=1,L622-M622,"")</f>
        <v/>
      </c>
      <c r="O622" s="34" t="n">
        <v>0.00050858</v>
      </c>
      <c r="P622" s="34">
        <f>IF($J622=1,LN(1+O622),"")</f>
        <v/>
      </c>
      <c r="Q622" s="34">
        <f>IF($J622=1,LN(R623/R622),"")</f>
        <v/>
      </c>
      <c r="R622" s="32" t="n">
        <v>2.3924</v>
      </c>
      <c r="S622" s="35" t="n">
        <v>14.622</v>
      </c>
      <c r="T622" s="18" t="n"/>
      <c r="U622" s="18" t="n">
        <v>38593</v>
      </c>
      <c r="V622" s="18" t="n"/>
      <c r="W622" s="18" t="n"/>
      <c r="X622" s="35" t="n">
        <v>14.622</v>
      </c>
      <c r="Y622" s="35" t="n"/>
    </row>
    <row r="623">
      <c r="A623" s="25" t="n">
        <v>39730</v>
      </c>
      <c r="B623" s="18" t="n">
        <v>37080</v>
      </c>
      <c r="C623" s="31" t="n"/>
      <c r="D623" s="32" t="n"/>
      <c r="E623" s="33" t="n">
        <v>0.7748</v>
      </c>
      <c r="F623" t="inlineStr">
        <is>
          <t>Up</t>
        </is>
      </c>
      <c r="G623" t="inlineStr">
        <is>
          <t>Up</t>
        </is>
      </c>
      <c r="H623" t="inlineStr">
        <is>
          <t>EU_JU</t>
        </is>
      </c>
      <c r="I623" t="inlineStr">
        <is>
          <t>2008-10</t>
        </is>
      </c>
      <c r="J623" t="n">
        <v>1</v>
      </c>
      <c r="K623" t="n">
        <v>1</v>
      </c>
      <c r="L623" s="34">
        <f>IF($J623=1,LN(B624/B623),"")</f>
        <v/>
      </c>
      <c r="M623" s="34">
        <f>IF($K623=1,INDEX(Mensal!$D$2:$D$245,MATCH($I623,Mensal!$A$2:$A$245,0)),"")</f>
        <v/>
      </c>
      <c r="N623" s="34">
        <f>IF($K623=1,L623-M623,"")</f>
        <v/>
      </c>
      <c r="O623" s="34" t="n">
        <v>0.0005078800000000001</v>
      </c>
      <c r="P623" s="34">
        <f>IF($J623=1,LN(1+O623),"")</f>
        <v/>
      </c>
      <c r="Q623" s="34">
        <f>IF($J623=1,LN(R624/R623),"")</f>
        <v/>
      </c>
      <c r="R623" s="32" t="n">
        <v>2.1818</v>
      </c>
      <c r="S623" s="35" t="n">
        <v>14.539</v>
      </c>
      <c r="T623" s="18" t="n"/>
      <c r="U623" s="18" t="n">
        <v>37080</v>
      </c>
      <c r="V623" s="18" t="n"/>
      <c r="W623" s="18" t="n"/>
      <c r="X623" s="35" t="n">
        <v>14.539</v>
      </c>
      <c r="Y623" s="35" t="n"/>
    </row>
    <row r="624">
      <c r="A624" s="25" t="n">
        <v>39731</v>
      </c>
      <c r="B624" s="18" t="n">
        <v>35609</v>
      </c>
      <c r="C624" s="31" t="n"/>
      <c r="D624" s="32" t="n"/>
      <c r="E624" s="33" t="n">
        <v>0.7971</v>
      </c>
      <c r="F624" t="inlineStr">
        <is>
          <t>Up</t>
        </is>
      </c>
      <c r="G624" t="inlineStr">
        <is>
          <t>Up</t>
        </is>
      </c>
      <c r="H624" t="inlineStr">
        <is>
          <t>EU_JU</t>
        </is>
      </c>
      <c r="I624" t="inlineStr">
        <is>
          <t>2008-10</t>
        </is>
      </c>
      <c r="J624" t="n">
        <v>1</v>
      </c>
      <c r="K624" t="n">
        <v>1</v>
      </c>
      <c r="L624" s="34">
        <f>IF($J624=1,LN(B625/B624),"")</f>
        <v/>
      </c>
      <c r="M624" s="34">
        <f>IF($K624=1,INDEX(Mensal!$D$2:$D$245,MATCH($I624,Mensal!$A$2:$A$245,0)),"")</f>
        <v/>
      </c>
      <c r="N624" s="34">
        <f>IF($K624=1,L624-M624,"")</f>
        <v/>
      </c>
      <c r="O624" s="34" t="n">
        <v>0.00050823</v>
      </c>
      <c r="P624" s="34">
        <f>IF($J624=1,LN(1+O624),"")</f>
        <v/>
      </c>
      <c r="Q624" s="34">
        <f>IF($J624=1,LN(R625/R624),"")</f>
        <v/>
      </c>
      <c r="R624" s="32" t="n">
        <v>2.288</v>
      </c>
      <c r="S624" s="35" t="n">
        <v>14.673</v>
      </c>
      <c r="T624" s="18" t="n"/>
      <c r="U624" s="18" t="n">
        <v>35609</v>
      </c>
      <c r="V624" s="18" t="n"/>
      <c r="W624" s="18" t="n"/>
      <c r="X624" s="35" t="n">
        <v>14.673</v>
      </c>
      <c r="Y624" s="35" t="n"/>
    </row>
    <row r="625">
      <c r="A625" s="25" t="n">
        <v>39734</v>
      </c>
      <c r="B625" s="18" t="n">
        <v>40829</v>
      </c>
      <c r="C625" s="31" t="n"/>
      <c r="D625" s="32" t="n"/>
      <c r="E625" s="33" t="n">
        <v>0.8134</v>
      </c>
      <c r="F625" t="inlineStr">
        <is>
          <t>Up</t>
        </is>
      </c>
      <c r="G625" t="inlineStr">
        <is>
          <t>Up</t>
        </is>
      </c>
      <c r="H625" t="inlineStr">
        <is>
          <t>EU_JU</t>
        </is>
      </c>
      <c r="I625" t="inlineStr">
        <is>
          <t>2008-10</t>
        </is>
      </c>
      <c r="J625" t="n">
        <v>1</v>
      </c>
      <c r="K625" t="n">
        <v>1</v>
      </c>
      <c r="L625" s="34">
        <f>IF($J625=1,LN(B626/B625),"")</f>
        <v/>
      </c>
      <c r="M625" s="34">
        <f>IF($K625=1,INDEX(Mensal!$D$2:$D$245,MATCH($I625,Mensal!$A$2:$A$245,0)),"")</f>
        <v/>
      </c>
      <c r="N625" s="34">
        <f>IF($K625=1,L625-M625,"")</f>
        <v/>
      </c>
      <c r="O625" s="34" t="n">
        <v>0.00050998</v>
      </c>
      <c r="P625" s="34">
        <f>IF($J625=1,LN(1+O625),"")</f>
        <v/>
      </c>
      <c r="Q625" s="34">
        <f>IF($J625=1,LN(R626/R625),"")</f>
        <v/>
      </c>
      <c r="R625" s="32" t="n">
        <v>2.1562</v>
      </c>
      <c r="S625" s="35" t="n">
        <v>14.45</v>
      </c>
      <c r="T625" s="18" t="n"/>
      <c r="U625" s="18" t="n">
        <v>40829</v>
      </c>
      <c r="V625" s="18" t="n"/>
      <c r="W625" s="18" t="n"/>
      <c r="X625" s="35" t="n">
        <v>14.45</v>
      </c>
      <c r="Y625" s="35" t="n"/>
    </row>
    <row r="626">
      <c r="A626" s="25" t="n">
        <v>39735</v>
      </c>
      <c r="B626" s="18" t="n">
        <v>41569</v>
      </c>
      <c r="C626" s="31" t="n"/>
      <c r="D626" s="32" t="n"/>
      <c r="E626" s="33" t="n">
        <v>0.8309</v>
      </c>
      <c r="F626" t="inlineStr">
        <is>
          <t>Up</t>
        </is>
      </c>
      <c r="G626" t="inlineStr">
        <is>
          <t>Up</t>
        </is>
      </c>
      <c r="H626" t="inlineStr">
        <is>
          <t>EU_JU</t>
        </is>
      </c>
      <c r="I626" t="inlineStr">
        <is>
          <t>2008-10</t>
        </is>
      </c>
      <c r="J626" t="n">
        <v>1</v>
      </c>
      <c r="K626" t="n">
        <v>1</v>
      </c>
      <c r="L626" s="34">
        <f>IF($J626=1,LN(B627/B626),"")</f>
        <v/>
      </c>
      <c r="M626" s="34">
        <f>IF($K626=1,INDEX(Mensal!$D$2:$D$245,MATCH($I626,Mensal!$A$2:$A$245,0)),"")</f>
        <v/>
      </c>
      <c r="N626" s="34">
        <f>IF($K626=1,L626-M626,"")</f>
        <v/>
      </c>
      <c r="O626" s="34" t="n">
        <v>0.00050753</v>
      </c>
      <c r="P626" s="34">
        <f>IF($J626=1,LN(1+O626),"")</f>
        <v/>
      </c>
      <c r="Q626" s="34">
        <f>IF($J626=1,LN(R627/R626),"")</f>
        <v/>
      </c>
      <c r="R626" s="32" t="n">
        <v>2.0789</v>
      </c>
      <c r="S626" s="35" t="n">
        <v>14.487</v>
      </c>
      <c r="T626" s="18" t="n"/>
      <c r="U626" s="18" t="n">
        <v>41569</v>
      </c>
      <c r="V626" s="18" t="n"/>
      <c r="W626" s="18" t="n"/>
      <c r="X626" s="35" t="n">
        <v>14.487</v>
      </c>
      <c r="Y626" s="35" t="n"/>
    </row>
    <row r="627">
      <c r="A627" s="25" t="n">
        <v>39736</v>
      </c>
      <c r="B627" s="18" t="n">
        <v>36833</v>
      </c>
      <c r="C627" s="31" t="n"/>
      <c r="D627" s="32" t="n"/>
      <c r="E627" s="33" t="n">
        <v>0.8478</v>
      </c>
      <c r="F627" t="inlineStr">
        <is>
          <t>Up</t>
        </is>
      </c>
      <c r="G627" t="inlineStr">
        <is>
          <t>Up</t>
        </is>
      </c>
      <c r="H627" t="inlineStr">
        <is>
          <t>EU_JU</t>
        </is>
      </c>
      <c r="I627" t="inlineStr">
        <is>
          <t>2008-10</t>
        </is>
      </c>
      <c r="J627" t="n">
        <v>1</v>
      </c>
      <c r="K627" t="n">
        <v>1</v>
      </c>
      <c r="L627" s="34">
        <f>IF($J627=1,LN(B628/B627),"")</f>
        <v/>
      </c>
      <c r="M627" s="34">
        <f>IF($K627=1,INDEX(Mensal!$D$2:$D$245,MATCH($I627,Mensal!$A$2:$A$245,0)),"")</f>
        <v/>
      </c>
      <c r="N627" s="34">
        <f>IF($K627=1,L627-M627,"")</f>
        <v/>
      </c>
      <c r="O627" s="34" t="n">
        <v>0.00050893</v>
      </c>
      <c r="P627" s="34">
        <f>IF($J627=1,LN(1+O627),"")</f>
        <v/>
      </c>
      <c r="Q627" s="34">
        <f>IF($J627=1,LN(R628/R627),"")</f>
        <v/>
      </c>
      <c r="R627" s="32" t="n">
        <v>2.1551</v>
      </c>
      <c r="S627" s="35" t="n">
        <v>14.553</v>
      </c>
      <c r="T627" s="18" t="n"/>
      <c r="U627" s="18" t="n">
        <v>36833</v>
      </c>
      <c r="V627" s="18" t="n"/>
      <c r="W627" s="18" t="n"/>
      <c r="X627" s="35" t="n">
        <v>14.553</v>
      </c>
      <c r="Y627" s="35" t="n"/>
    </row>
    <row r="628">
      <c r="A628" s="25" t="n">
        <v>39737</v>
      </c>
      <c r="B628" s="18" t="n">
        <v>36441</v>
      </c>
      <c r="C628" s="31" t="n"/>
      <c r="D628" s="32" t="n"/>
      <c r="E628" s="33" t="n">
        <v>0.8571</v>
      </c>
      <c r="F628" t="inlineStr">
        <is>
          <t>Up</t>
        </is>
      </c>
      <c r="G628" t="inlineStr">
        <is>
          <t>Up</t>
        </is>
      </c>
      <c r="H628" t="inlineStr">
        <is>
          <t>EU_JU</t>
        </is>
      </c>
      <c r="I628" t="inlineStr">
        <is>
          <t>2008-10</t>
        </is>
      </c>
      <c r="J628" t="n">
        <v>1</v>
      </c>
      <c r="K628" t="n">
        <v>1</v>
      </c>
      <c r="L628" s="34">
        <f>IF($J628=1,LN(B629/B628),"")</f>
        <v/>
      </c>
      <c r="M628" s="34">
        <f>IF($K628=1,INDEX(Mensal!$D$2:$D$245,MATCH($I628,Mensal!$A$2:$A$245,0)),"")</f>
        <v/>
      </c>
      <c r="N628" s="34">
        <f>IF($K628=1,L628-M628,"")</f>
        <v/>
      </c>
      <c r="O628" s="34" t="n">
        <v>0.00050823</v>
      </c>
      <c r="P628" s="34">
        <f>IF($J628=1,LN(1+O628),"")</f>
        <v/>
      </c>
      <c r="Q628" s="34">
        <f>IF($J628=1,LN(R629/R628),"")</f>
        <v/>
      </c>
      <c r="R628" s="32" t="n">
        <v>2.1854</v>
      </c>
      <c r="S628" s="35" t="n">
        <v>14.588</v>
      </c>
      <c r="T628" s="18" t="n"/>
      <c r="U628" s="18" t="n">
        <v>36441</v>
      </c>
      <c r="V628" s="18" t="n"/>
      <c r="W628" s="18" t="n"/>
      <c r="X628" s="35" t="n">
        <v>14.588</v>
      </c>
      <c r="Y628" s="35" t="n"/>
    </row>
    <row r="629">
      <c r="A629" s="25" t="n">
        <v>39738</v>
      </c>
      <c r="B629" s="18" t="n">
        <v>36399</v>
      </c>
      <c r="C629" s="31" t="n"/>
      <c r="D629" s="32" t="n"/>
      <c r="E629" s="33" t="n">
        <v>0.8666</v>
      </c>
      <c r="F629" t="inlineStr">
        <is>
          <t>Up</t>
        </is>
      </c>
      <c r="G629" t="inlineStr">
        <is>
          <t>Up</t>
        </is>
      </c>
      <c r="H629" t="inlineStr">
        <is>
          <t>EU_JU</t>
        </is>
      </c>
      <c r="I629" t="inlineStr">
        <is>
          <t>2008-10</t>
        </is>
      </c>
      <c r="J629" t="n">
        <v>1</v>
      </c>
      <c r="K629" t="n">
        <v>1</v>
      </c>
      <c r="L629" s="34">
        <f>IF($J629=1,LN(B630/B629),"")</f>
        <v/>
      </c>
      <c r="M629" s="34">
        <f>IF($K629=1,INDEX(Mensal!$D$2:$D$245,MATCH($I629,Mensal!$A$2:$A$245,0)),"")</f>
        <v/>
      </c>
      <c r="N629" s="34">
        <f>IF($K629=1,L629-M629,"")</f>
        <v/>
      </c>
      <c r="O629" s="34" t="n">
        <v>0.00050753</v>
      </c>
      <c r="P629" s="34">
        <f>IF($J629=1,LN(1+O629),"")</f>
        <v/>
      </c>
      <c r="Q629" s="34">
        <f>IF($J629=1,LN(R630/R629),"")</f>
        <v/>
      </c>
      <c r="R629" s="32" t="n">
        <v>2.102</v>
      </c>
      <c r="S629" s="35" t="n">
        <v>14.561</v>
      </c>
      <c r="T629" s="18" t="n"/>
      <c r="U629" s="18" t="n">
        <v>36399</v>
      </c>
      <c r="V629" s="18" t="n"/>
      <c r="W629" s="18" t="n"/>
      <c r="X629" s="35" t="n">
        <v>14.561</v>
      </c>
      <c r="Y629" s="35" t="n"/>
    </row>
    <row r="630">
      <c r="A630" s="25" t="n">
        <v>39741</v>
      </c>
      <c r="B630" s="18" t="n">
        <v>39441</v>
      </c>
      <c r="C630" s="31" t="n"/>
      <c r="D630" s="32" t="n"/>
      <c r="E630" s="33" t="n">
        <v>0.8641</v>
      </c>
      <c r="F630" t="inlineStr">
        <is>
          <t>Up</t>
        </is>
      </c>
      <c r="G630" t="inlineStr">
        <is>
          <t>Up</t>
        </is>
      </c>
      <c r="H630" t="inlineStr">
        <is>
          <t>EU_JU</t>
        </is>
      </c>
      <c r="I630" t="inlineStr">
        <is>
          <t>2008-10</t>
        </is>
      </c>
      <c r="J630" t="n">
        <v>1</v>
      </c>
      <c r="K630" t="n">
        <v>1</v>
      </c>
      <c r="L630" s="34">
        <f>IF($J630=1,LN(B631/B630),"")</f>
        <v/>
      </c>
      <c r="M630" s="34">
        <f>IF($K630=1,INDEX(Mensal!$D$2:$D$245,MATCH($I630,Mensal!$A$2:$A$245,0)),"")</f>
        <v/>
      </c>
      <c r="N630" s="34">
        <f>IF($K630=1,L630-M630,"")</f>
        <v/>
      </c>
      <c r="O630" s="34" t="n">
        <v>0.00050858</v>
      </c>
      <c r="P630" s="34">
        <f>IF($J630=1,LN(1+O630),"")</f>
        <v/>
      </c>
      <c r="Q630" s="34">
        <f>IF($J630=1,LN(R631/R630),"")</f>
        <v/>
      </c>
      <c r="R630" s="32" t="n">
        <v>2.1174</v>
      </c>
      <c r="S630" s="35" t="n">
        <v>14.504</v>
      </c>
      <c r="T630" s="18" t="n"/>
      <c r="U630" s="18" t="n">
        <v>39441</v>
      </c>
      <c r="V630" s="18" t="n"/>
      <c r="W630" s="18" t="n"/>
      <c r="X630" s="35" t="n">
        <v>14.504</v>
      </c>
      <c r="Y630" s="35" t="n"/>
    </row>
    <row r="631">
      <c r="A631" s="25" t="n">
        <v>39742</v>
      </c>
      <c r="B631" s="18" t="n">
        <v>39043</v>
      </c>
      <c r="C631" s="31" t="n"/>
      <c r="D631" s="32" t="n"/>
      <c r="E631" s="33" t="n">
        <v>0.8567</v>
      </c>
      <c r="F631" t="inlineStr">
        <is>
          <t>Up</t>
        </is>
      </c>
      <c r="G631" t="inlineStr">
        <is>
          <t>Up</t>
        </is>
      </c>
      <c r="H631" t="inlineStr">
        <is>
          <t>EU_JU</t>
        </is>
      </c>
      <c r="I631" t="inlineStr">
        <is>
          <t>2008-10</t>
        </is>
      </c>
      <c r="J631" t="n">
        <v>1</v>
      </c>
      <c r="K631" t="n">
        <v>1</v>
      </c>
      <c r="L631" s="34">
        <f>IF($J631=1,LN(B632/B631),"")</f>
        <v/>
      </c>
      <c r="M631" s="34">
        <f>IF($K631=1,INDEX(Mensal!$D$2:$D$245,MATCH($I631,Mensal!$A$2:$A$245,0)),"")</f>
        <v/>
      </c>
      <c r="N631" s="34">
        <f>IF($K631=1,L631-M631,"")</f>
        <v/>
      </c>
      <c r="O631" s="34" t="n">
        <v>0.00050683</v>
      </c>
      <c r="P631" s="34">
        <f>IF($J631=1,LN(1+O631),"")</f>
        <v/>
      </c>
      <c r="Q631" s="34">
        <f>IF($J631=1,LN(R632/R631),"")</f>
        <v/>
      </c>
      <c r="R631" s="32" t="n">
        <v>2.1941</v>
      </c>
      <c r="S631" s="35" t="n">
        <v>14.519</v>
      </c>
      <c r="T631" s="18" t="n"/>
      <c r="U631" s="18" t="n">
        <v>39043</v>
      </c>
      <c r="V631" s="18" t="n"/>
      <c r="W631" s="18" t="n"/>
      <c r="X631" s="35" t="n">
        <v>14.519</v>
      </c>
      <c r="Y631" s="35" t="n"/>
    </row>
    <row r="632">
      <c r="A632" s="25" t="n">
        <v>39743</v>
      </c>
      <c r="B632" s="18" t="n">
        <v>35069</v>
      </c>
      <c r="C632" s="31" t="n"/>
      <c r="D632" s="32" t="n"/>
      <c r="E632" s="33" t="n">
        <v>0.8423</v>
      </c>
      <c r="F632" t="inlineStr">
        <is>
          <t>Up</t>
        </is>
      </c>
      <c r="G632" t="inlineStr">
        <is>
          <t>Up</t>
        </is>
      </c>
      <c r="H632" t="inlineStr">
        <is>
          <t>EU_JU</t>
        </is>
      </c>
      <c r="I632" t="inlineStr">
        <is>
          <t>2008-10</t>
        </is>
      </c>
      <c r="J632" t="n">
        <v>1</v>
      </c>
      <c r="K632" t="n">
        <v>1</v>
      </c>
      <c r="L632" s="34">
        <f>IF($J632=1,LN(B633/B632),"")</f>
        <v/>
      </c>
      <c r="M632" s="34">
        <f>IF($K632=1,INDEX(Mensal!$D$2:$D$245,MATCH($I632,Mensal!$A$2:$A$245,0)),"")</f>
        <v/>
      </c>
      <c r="N632" s="34">
        <f>IF($K632=1,L632-M632,"")</f>
        <v/>
      </c>
      <c r="O632" s="34" t="n">
        <v>0.00050439</v>
      </c>
      <c r="P632" s="34">
        <f>IF($J632=1,LN(1+O632),"")</f>
        <v/>
      </c>
      <c r="Q632" s="34">
        <f>IF($J632=1,LN(R633/R632),"")</f>
        <v/>
      </c>
      <c r="R632" s="32" t="n">
        <v>2.365</v>
      </c>
      <c r="S632" s="35" t="n">
        <v>15.836</v>
      </c>
      <c r="T632" s="18" t="n"/>
      <c r="U632" s="18" t="n">
        <v>35069</v>
      </c>
      <c r="V632" s="18" t="n"/>
      <c r="W632" s="18" t="n"/>
      <c r="X632" s="35" t="n">
        <v>15.836</v>
      </c>
      <c r="Y632" s="35" t="n"/>
    </row>
    <row r="633">
      <c r="A633" s="25" t="n">
        <v>39744</v>
      </c>
      <c r="B633" s="18" t="n">
        <v>33818</v>
      </c>
      <c r="C633" s="31" t="n"/>
      <c r="D633" s="32" t="n"/>
      <c r="E633" s="33" t="n">
        <v>0.8310999999999999</v>
      </c>
      <c r="F633" t="inlineStr">
        <is>
          <t>Up</t>
        </is>
      </c>
      <c r="G633" t="inlineStr">
        <is>
          <t>Up</t>
        </is>
      </c>
      <c r="H633" t="inlineStr">
        <is>
          <t>EU_JU</t>
        </is>
      </c>
      <c r="I633" t="inlineStr">
        <is>
          <t>2008-10</t>
        </is>
      </c>
      <c r="J633" t="n">
        <v>1</v>
      </c>
      <c r="K633" t="n">
        <v>1</v>
      </c>
      <c r="L633" s="34">
        <f>IF($J633=1,LN(B634/B633),"")</f>
        <v/>
      </c>
      <c r="M633" s="34">
        <f>IF($K633=1,INDEX(Mensal!$D$2:$D$245,MATCH($I633,Mensal!$A$2:$A$245,0)),"")</f>
        <v/>
      </c>
      <c r="N633" s="34">
        <f>IF($K633=1,L633-M633,"")</f>
        <v/>
      </c>
      <c r="O633" s="34" t="n">
        <v>0.00050613</v>
      </c>
      <c r="P633" s="34">
        <f>IF($J633=1,LN(1+O633),"")</f>
        <v/>
      </c>
      <c r="Q633" s="34">
        <f>IF($J633=1,LN(R634/R633),"")</f>
        <v/>
      </c>
      <c r="R633" s="32" t="n">
        <v>2.3147</v>
      </c>
      <c r="S633" s="35" t="n">
        <v>15.371</v>
      </c>
      <c r="T633" s="18" t="n"/>
      <c r="U633" s="18" t="n">
        <v>33818</v>
      </c>
      <c r="V633" s="18" t="n"/>
      <c r="W633" s="18" t="n"/>
      <c r="X633" s="35" t="n">
        <v>15.371</v>
      </c>
      <c r="Y633" s="35" t="n"/>
    </row>
    <row r="634">
      <c r="A634" s="25" t="n">
        <v>39745</v>
      </c>
      <c r="B634" s="18" t="n">
        <v>31481</v>
      </c>
      <c r="C634" s="31" t="n"/>
      <c r="D634" s="32" t="n"/>
      <c r="E634" s="33" t="n">
        <v>0.8128</v>
      </c>
      <c r="F634" t="inlineStr">
        <is>
          <t>Up</t>
        </is>
      </c>
      <c r="G634" t="inlineStr">
        <is>
          <t>Up</t>
        </is>
      </c>
      <c r="H634" t="inlineStr">
        <is>
          <t>EU_JU</t>
        </is>
      </c>
      <c r="I634" t="inlineStr">
        <is>
          <t>2008-10</t>
        </is>
      </c>
      <c r="J634" t="n">
        <v>1</v>
      </c>
      <c r="K634" t="n">
        <v>1</v>
      </c>
      <c r="L634" s="34">
        <f>IF($J634=1,LN(B635/B634),"")</f>
        <v/>
      </c>
      <c r="M634" s="34">
        <f>IF($K634=1,INDEX(Mensal!$D$2:$D$245,MATCH($I634,Mensal!$A$2:$A$245,0)),"")</f>
        <v/>
      </c>
      <c r="N634" s="34">
        <f>IF($K634=1,L634-M634,"")</f>
        <v/>
      </c>
      <c r="O634" s="34" t="n">
        <v>0.00050718</v>
      </c>
      <c r="P634" s="34">
        <f>IF($J634=1,LN(1+O634),"")</f>
        <v/>
      </c>
      <c r="Q634" s="34">
        <f>IF($J634=1,LN(R635/R634),"")</f>
        <v/>
      </c>
      <c r="R634" s="32" t="n">
        <v>2.3112</v>
      </c>
      <c r="S634" s="35" t="n">
        <v>16.384</v>
      </c>
      <c r="T634" s="18" t="n"/>
      <c r="U634" s="18" t="n">
        <v>31481</v>
      </c>
      <c r="V634" s="18" t="n"/>
      <c r="W634" s="18" t="n"/>
      <c r="X634" s="35" t="n">
        <v>16.384</v>
      </c>
      <c r="Y634" s="35" t="n"/>
    </row>
    <row r="635">
      <c r="A635" s="25" t="n">
        <v>39748</v>
      </c>
      <c r="B635" s="18" t="n">
        <v>29435</v>
      </c>
      <c r="C635" s="31" t="n"/>
      <c r="D635" s="32" t="n"/>
      <c r="E635" s="33" t="n">
        <v>0.8156</v>
      </c>
      <c r="F635" t="inlineStr">
        <is>
          <t>Up</t>
        </is>
      </c>
      <c r="G635" t="inlineStr">
        <is>
          <t>Up</t>
        </is>
      </c>
      <c r="H635" t="inlineStr">
        <is>
          <t>EU_JU</t>
        </is>
      </c>
      <c r="I635" t="inlineStr">
        <is>
          <t>2008-10</t>
        </is>
      </c>
      <c r="J635" t="n">
        <v>1</v>
      </c>
      <c r="K635" t="n">
        <v>1</v>
      </c>
      <c r="L635" s="34">
        <f>IF($J635=1,LN(B636/B635),"")</f>
        <v/>
      </c>
      <c r="M635" s="34">
        <f>IF($K635=1,INDEX(Mensal!$D$2:$D$245,MATCH($I635,Mensal!$A$2:$A$245,0)),"")</f>
        <v/>
      </c>
      <c r="N635" s="34">
        <f>IF($K635=1,L635-M635,"")</f>
        <v/>
      </c>
      <c r="O635" s="34" t="n">
        <v>0.00050718</v>
      </c>
      <c r="P635" s="34">
        <f>IF($J635=1,LN(1+O635),"")</f>
        <v/>
      </c>
      <c r="Q635" s="34">
        <f>IF($J635=1,LN(R636/R635),"")</f>
        <v/>
      </c>
      <c r="R635" s="32" t="n">
        <v>2.2524</v>
      </c>
      <c r="S635" s="35" t="n">
        <v>16.134</v>
      </c>
      <c r="T635" s="18" t="n"/>
      <c r="U635" s="18" t="n">
        <v>29435</v>
      </c>
      <c r="V635" s="18" t="n"/>
      <c r="W635" s="18" t="n"/>
      <c r="X635" s="35" t="n">
        <v>16.134</v>
      </c>
      <c r="Y635" s="35" t="n"/>
    </row>
    <row r="636">
      <c r="A636" s="25" t="n">
        <v>39749</v>
      </c>
      <c r="B636" s="18" t="n">
        <v>33386</v>
      </c>
      <c r="C636" s="31" t="n"/>
      <c r="D636" s="32" t="n"/>
      <c r="E636" s="33" t="n">
        <v>0.7974</v>
      </c>
      <c r="F636" t="inlineStr">
        <is>
          <t>Up</t>
        </is>
      </c>
      <c r="G636" t="inlineStr">
        <is>
          <t>Up</t>
        </is>
      </c>
      <c r="H636" t="inlineStr">
        <is>
          <t>EU_JU</t>
        </is>
      </c>
      <c r="I636" t="inlineStr">
        <is>
          <t>2008-10</t>
        </is>
      </c>
      <c r="J636" t="n">
        <v>1</v>
      </c>
      <c r="K636" t="n">
        <v>1</v>
      </c>
      <c r="L636" s="34">
        <f>IF($J636=1,LN(B637/B636),"")</f>
        <v/>
      </c>
      <c r="M636" s="34">
        <f>IF($K636=1,INDEX(Mensal!$D$2:$D$245,MATCH($I636,Mensal!$A$2:$A$245,0)),"")</f>
        <v/>
      </c>
      <c r="N636" s="34">
        <f>IF($K636=1,L636-M636,"")</f>
        <v/>
      </c>
      <c r="O636" s="34" t="n">
        <v>0.00050753</v>
      </c>
      <c r="P636" s="34">
        <f>IF($J636=1,LN(1+O636),"")</f>
        <v/>
      </c>
      <c r="Q636" s="34">
        <f>IF($J636=1,LN(R637/R636),"")</f>
        <v/>
      </c>
      <c r="R636" s="32" t="n">
        <v>2.17</v>
      </c>
      <c r="S636" s="35" t="n">
        <v>15.617</v>
      </c>
      <c r="T636" s="18" t="n"/>
      <c r="U636" s="18" t="n">
        <v>33386</v>
      </c>
      <c r="V636" s="18" t="n"/>
      <c r="W636" s="18" t="n"/>
      <c r="X636" s="35" t="n">
        <v>15.617</v>
      </c>
      <c r="Y636" s="35" t="n"/>
    </row>
    <row r="637">
      <c r="A637" s="25" t="n">
        <v>39750</v>
      </c>
      <c r="B637" s="18" t="n">
        <v>34845</v>
      </c>
      <c r="C637" s="31" t="n"/>
      <c r="D637" s="32" t="n"/>
      <c r="E637" s="33" t="n">
        <v>0.7512</v>
      </c>
      <c r="F637" t="inlineStr">
        <is>
          <t>Up</t>
        </is>
      </c>
      <c r="G637" t="inlineStr">
        <is>
          <t>Up</t>
        </is>
      </c>
      <c r="H637" t="inlineStr">
        <is>
          <t>EU_JU</t>
        </is>
      </c>
      <c r="I637" t="inlineStr">
        <is>
          <t>2008-10</t>
        </is>
      </c>
      <c r="J637" t="n">
        <v>1</v>
      </c>
      <c r="K637" t="n">
        <v>1</v>
      </c>
      <c r="L637" s="34">
        <f>IF($J637=1,LN(B638/B637),"")</f>
        <v/>
      </c>
      <c r="M637" s="34">
        <f>IF($K637=1,INDEX(Mensal!$D$2:$D$245,MATCH($I637,Mensal!$A$2:$A$245,0)),"")</f>
        <v/>
      </c>
      <c r="N637" s="34">
        <f>IF($K637=1,L637-M637,"")</f>
        <v/>
      </c>
      <c r="O637" s="34" t="n">
        <v>0.00050683</v>
      </c>
      <c r="P637" s="34">
        <f>IF($J637=1,LN(1+O637),"")</f>
        <v/>
      </c>
      <c r="Q637" s="34">
        <f>IF($J637=1,LN(R638/R637),"")</f>
        <v/>
      </c>
      <c r="R637" s="32" t="n">
        <v>2.132</v>
      </c>
      <c r="S637" s="35" t="n">
        <v>15.179</v>
      </c>
      <c r="T637" s="18" t="n"/>
      <c r="U637" s="18" t="n">
        <v>34845</v>
      </c>
      <c r="V637" s="18" t="n"/>
      <c r="W637" s="18" t="n"/>
      <c r="X637" s="35" t="n">
        <v>15.179</v>
      </c>
      <c r="Y637" s="35" t="n"/>
    </row>
    <row r="638">
      <c r="A638" s="25" t="n">
        <v>39751</v>
      </c>
      <c r="B638" s="18" t="n">
        <v>37448</v>
      </c>
      <c r="C638" s="31" t="n"/>
      <c r="D638" s="32" t="n"/>
      <c r="E638" s="33" t="n">
        <v>0.6969</v>
      </c>
      <c r="F638" t="inlineStr">
        <is>
          <t>Up</t>
        </is>
      </c>
      <c r="G638" t="inlineStr">
        <is>
          <t>Up</t>
        </is>
      </c>
      <c r="H638" t="inlineStr">
        <is>
          <t>EU_JU</t>
        </is>
      </c>
      <c r="I638" t="inlineStr">
        <is>
          <t>2008-10</t>
        </is>
      </c>
      <c r="J638" t="n">
        <v>1</v>
      </c>
      <c r="K638" t="n">
        <v>1</v>
      </c>
      <c r="L638" s="34">
        <f>IF($J638=1,LN(B639/B638),"")</f>
        <v/>
      </c>
      <c r="M638" s="34">
        <f>IF($K638=1,INDEX(Mensal!$D$2:$D$245,MATCH($I638,Mensal!$A$2:$A$245,0)),"")</f>
        <v/>
      </c>
      <c r="N638" s="34">
        <f>IF($K638=1,L638-M638,"")</f>
        <v/>
      </c>
      <c r="O638" s="34" t="n">
        <v>0.00050508</v>
      </c>
      <c r="P638" s="34">
        <f>IF($J638=1,LN(1+O638),"")</f>
        <v/>
      </c>
      <c r="Q638" s="34">
        <f>IF($J638=1,LN(R639/R638),"")</f>
        <v/>
      </c>
      <c r="R638" s="32" t="n">
        <v>2.1151</v>
      </c>
      <c r="S638" s="35" t="n">
        <v>15.355</v>
      </c>
      <c r="T638" s="18" t="n"/>
      <c r="U638" s="18" t="n">
        <v>37448</v>
      </c>
      <c r="V638" s="18" t="n"/>
      <c r="W638" s="18" t="n"/>
      <c r="X638" s="35" t="n">
        <v>15.355</v>
      </c>
      <c r="Y638" s="35" t="n"/>
    </row>
    <row r="639">
      <c r="A639" s="25" t="n">
        <v>39752</v>
      </c>
      <c r="B639" s="18" t="n">
        <v>37256</v>
      </c>
      <c r="C639" s="31" t="n"/>
      <c r="D639" s="32" t="n"/>
      <c r="E639" s="33" t="n">
        <v>0.6197</v>
      </c>
      <c r="F639" t="inlineStr">
        <is>
          <t>Up</t>
        </is>
      </c>
      <c r="G639" t="inlineStr">
        <is>
          <t>Up</t>
        </is>
      </c>
      <c r="H639" t="inlineStr">
        <is>
          <t>EU_JU</t>
        </is>
      </c>
      <c r="I639" t="inlineStr">
        <is>
          <t>2008-10</t>
        </is>
      </c>
      <c r="J639" t="n">
        <v>1</v>
      </c>
      <c r="K639" t="n">
        <v>1</v>
      </c>
      <c r="L639" s="34">
        <f>IF($J639=1,LN(B640/B639),"")</f>
        <v/>
      </c>
      <c r="M639" s="34">
        <f>IF($K639=1,INDEX(Mensal!$D$2:$D$245,MATCH($I639,Mensal!$A$2:$A$245,0)),"")</f>
        <v/>
      </c>
      <c r="N639" s="34">
        <f>IF($K639=1,L639-M639,"")</f>
        <v/>
      </c>
      <c r="O639" s="34" t="n">
        <v>0.0005057799999999999</v>
      </c>
      <c r="P639" s="34">
        <f>IF($J639=1,LN(1+O639),"")</f>
        <v/>
      </c>
      <c r="Q639" s="34">
        <f>IF($J639=1,LN(R640/R639),"")</f>
        <v/>
      </c>
      <c r="R639" s="32" t="n">
        <v>2.1153</v>
      </c>
      <c r="S639" s="35" t="n">
        <v>15.344</v>
      </c>
      <c r="T639" s="18" t="n"/>
      <c r="U639" s="18" t="n">
        <v>37256</v>
      </c>
      <c r="V639" s="18" t="n"/>
      <c r="W639" s="18" t="n"/>
      <c r="X639" s="35" t="n">
        <v>15.344</v>
      </c>
      <c r="Y639" s="35" t="n"/>
    </row>
    <row r="640">
      <c r="A640" s="25" t="n">
        <v>39755</v>
      </c>
      <c r="B640" s="18" t="n">
        <v>38249</v>
      </c>
      <c r="C640" s="31" t="n"/>
      <c r="D640" s="32" t="n"/>
      <c r="E640" s="33" t="n">
        <v>0.5457</v>
      </c>
      <c r="F640" t="inlineStr">
        <is>
          <t>Up</t>
        </is>
      </c>
      <c r="G640" t="inlineStr">
        <is>
          <t>Up</t>
        </is>
      </c>
      <c r="H640" t="inlineStr">
        <is>
          <t>EU_JU</t>
        </is>
      </c>
      <c r="I640" t="inlineStr">
        <is>
          <t>2008-11</t>
        </is>
      </c>
      <c r="J640" t="n">
        <v>1</v>
      </c>
      <c r="K640" t="n">
        <v>1</v>
      </c>
      <c r="L640" s="34">
        <f>IF($J640=1,LN(B641/B640),"")</f>
        <v/>
      </c>
      <c r="M640" s="34">
        <f>IF($K640=1,INDEX(Mensal!$D$2:$D$245,MATCH($I640,Mensal!$A$2:$A$245,0)),"")</f>
        <v/>
      </c>
      <c r="N640" s="34">
        <f>IF($K640=1,L640-M640,"")</f>
        <v/>
      </c>
      <c r="O640" s="34" t="n">
        <v>0.00050543</v>
      </c>
      <c r="P640" s="34">
        <f>IF($J640=1,LN(1+O640),"")</f>
        <v/>
      </c>
      <c r="Q640" s="34">
        <f>IF($J640=1,LN(R641/R640),"")</f>
        <v/>
      </c>
      <c r="R640" s="32" t="n">
        <v>2.1818</v>
      </c>
      <c r="S640" s="35" t="n">
        <v>15.321</v>
      </c>
      <c r="T640" s="18" t="n"/>
      <c r="U640" s="18" t="n">
        <v>38249</v>
      </c>
      <c r="V640" s="18" t="n"/>
      <c r="W640" s="18" t="n"/>
      <c r="X640" s="35" t="n">
        <v>15.321</v>
      </c>
      <c r="Y640" s="35" t="n"/>
    </row>
    <row r="641">
      <c r="A641" s="25" t="n">
        <v>39756</v>
      </c>
      <c r="B641" s="18" t="n">
        <v>40254</v>
      </c>
      <c r="C641" s="31" t="n"/>
      <c r="D641" s="32" t="n"/>
      <c r="E641" s="33" t="n">
        <v>0.459</v>
      </c>
      <c r="F641" t="inlineStr">
        <is>
          <t>Up</t>
        </is>
      </c>
      <c r="G641" t="inlineStr">
        <is>
          <t>Up</t>
        </is>
      </c>
      <c r="H641" t="inlineStr">
        <is>
          <t>EU_JU</t>
        </is>
      </c>
      <c r="I641" t="inlineStr">
        <is>
          <t>2008-11</t>
        </is>
      </c>
      <c r="J641" t="n">
        <v>1</v>
      </c>
      <c r="K641" t="n">
        <v>1</v>
      </c>
      <c r="L641" s="34">
        <f>IF($J641=1,LN(B642/B641),"")</f>
        <v/>
      </c>
      <c r="M641" s="34">
        <f>IF($K641=1,INDEX(Mensal!$D$2:$D$245,MATCH($I641,Mensal!$A$2:$A$245,0)),"")</f>
        <v/>
      </c>
      <c r="N641" s="34">
        <f>IF($K641=1,L641-M641,"")</f>
        <v/>
      </c>
      <c r="O641" s="34" t="n">
        <v>0.0005047399999999999</v>
      </c>
      <c r="P641" s="34">
        <f>IF($J641=1,LN(1+O641),"")</f>
        <v/>
      </c>
      <c r="Q641" s="34">
        <f>IF($J641=1,LN(R642/R641),"")</f>
        <v/>
      </c>
      <c r="R641" s="32" t="n">
        <v>2.1227</v>
      </c>
      <c r="S641" s="35" t="n">
        <v>15.052</v>
      </c>
      <c r="T641" s="18" t="n"/>
      <c r="U641" s="18" t="n">
        <v>40254</v>
      </c>
      <c r="V641" s="18" t="n"/>
      <c r="W641" s="18" t="n"/>
      <c r="X641" s="35" t="n">
        <v>15.052</v>
      </c>
      <c r="Y641" s="35" t="n"/>
    </row>
    <row r="642">
      <c r="A642" s="25" t="n">
        <v>39757</v>
      </c>
      <c r="B642" s="18" t="n">
        <v>37785</v>
      </c>
      <c r="C642" s="31" t="n"/>
      <c r="D642" s="32" t="n"/>
      <c r="E642" s="33" t="n">
        <v>0.3747</v>
      </c>
      <c r="F642" t="inlineStr">
        <is>
          <t>Up</t>
        </is>
      </c>
      <c r="G642" t="inlineStr">
        <is>
          <t>Up</t>
        </is>
      </c>
      <c r="H642" t="inlineStr">
        <is>
          <t>EU_JU</t>
        </is>
      </c>
      <c r="I642" t="inlineStr">
        <is>
          <t>2008-11</t>
        </is>
      </c>
      <c r="J642" t="n">
        <v>1</v>
      </c>
      <c r="K642" t="n">
        <v>1</v>
      </c>
      <c r="L642" s="34">
        <f>IF($J642=1,LN(B643/B642),"")</f>
        <v/>
      </c>
      <c r="M642" s="34">
        <f>IF($K642=1,INDEX(Mensal!$D$2:$D$245,MATCH($I642,Mensal!$A$2:$A$245,0)),"")</f>
        <v/>
      </c>
      <c r="N642" s="34">
        <f>IF($K642=1,L642-M642,"")</f>
        <v/>
      </c>
      <c r="O642" s="34" t="n">
        <v>0.0005047399999999999</v>
      </c>
      <c r="P642" s="34">
        <f>IF($J642=1,LN(1+O642),"")</f>
        <v/>
      </c>
      <c r="Q642" s="34">
        <f>IF($J642=1,LN(R643/R642),"")</f>
        <v/>
      </c>
      <c r="R642" s="32" t="n">
        <v>2.121</v>
      </c>
      <c r="S642" s="35" t="n">
        <v>15.153</v>
      </c>
      <c r="T642" s="18" t="n"/>
      <c r="U642" s="18" t="n">
        <v>37785</v>
      </c>
      <c r="V642" s="18" t="n"/>
      <c r="W642" s="18" t="n"/>
      <c r="X642" s="35" t="n">
        <v>15.153</v>
      </c>
      <c r="Y642" s="35" t="n"/>
    </row>
    <row r="643">
      <c r="A643" s="25" t="n">
        <v>39758</v>
      </c>
      <c r="B643" s="18" t="n">
        <v>36361</v>
      </c>
      <c r="C643" s="31" t="n"/>
      <c r="D643" s="32" t="n"/>
      <c r="E643" s="33" t="n">
        <v>0.292</v>
      </c>
      <c r="F643" t="inlineStr">
        <is>
          <t>Up</t>
        </is>
      </c>
      <c r="G643" t="inlineStr">
        <is>
          <t>Up</t>
        </is>
      </c>
      <c r="H643" t="inlineStr">
        <is>
          <t>EU_JU</t>
        </is>
      </c>
      <c r="I643" t="inlineStr">
        <is>
          <t>2008-11</t>
        </is>
      </c>
      <c r="J643" t="n">
        <v>1</v>
      </c>
      <c r="K643" t="n">
        <v>1</v>
      </c>
      <c r="L643" s="34">
        <f>IF($J643=1,LN(B644/B643),"")</f>
        <v/>
      </c>
      <c r="M643" s="34">
        <f>IF($K643=1,INDEX(Mensal!$D$2:$D$245,MATCH($I643,Mensal!$A$2:$A$245,0)),"")</f>
        <v/>
      </c>
      <c r="N643" s="34">
        <f>IF($K643=1,L643-M643,"")</f>
        <v/>
      </c>
      <c r="O643" s="34" t="n">
        <v>0.0005026400000000001</v>
      </c>
      <c r="P643" s="34">
        <f>IF($J643=1,LN(1+O643),"")</f>
        <v/>
      </c>
      <c r="Q643" s="34">
        <f>IF($J643=1,LN(R644/R643),"")</f>
        <v/>
      </c>
      <c r="R643" s="32" t="n">
        <v>2.1593</v>
      </c>
      <c r="S643" s="35" t="n">
        <v>15.253</v>
      </c>
      <c r="T643" s="18" t="n"/>
      <c r="U643" s="18" t="n">
        <v>36361</v>
      </c>
      <c r="V643" s="18" t="n"/>
      <c r="W643" s="18" t="n"/>
      <c r="X643" s="35" t="n">
        <v>15.253</v>
      </c>
      <c r="Y643" s="35" t="n"/>
    </row>
    <row r="644">
      <c r="A644" s="25" t="n">
        <v>39759</v>
      </c>
      <c r="B644" s="18" t="n">
        <v>36665</v>
      </c>
      <c r="C644" s="31" t="n"/>
      <c r="D644" s="32" t="n"/>
      <c r="E644" s="33" t="n">
        <v>0.2152</v>
      </c>
      <c r="F644" t="inlineStr">
        <is>
          <t>Up</t>
        </is>
      </c>
      <c r="G644" t="inlineStr">
        <is>
          <t>Up</t>
        </is>
      </c>
      <c r="H644" t="inlineStr">
        <is>
          <t>EU_JU</t>
        </is>
      </c>
      <c r="I644" t="inlineStr">
        <is>
          <t>2008-11</t>
        </is>
      </c>
      <c r="J644" t="n">
        <v>1</v>
      </c>
      <c r="K644" t="n">
        <v>1</v>
      </c>
      <c r="L644" s="34">
        <f>IF($J644=1,LN(B645/B644),"")</f>
        <v/>
      </c>
      <c r="M644" s="34">
        <f>IF($K644=1,INDEX(Mensal!$D$2:$D$245,MATCH($I644,Mensal!$A$2:$A$245,0)),"")</f>
        <v/>
      </c>
      <c r="N644" s="34">
        <f>IF($K644=1,L644-M644,"")</f>
        <v/>
      </c>
      <c r="O644" s="34" t="n">
        <v>0.0005022900000000001</v>
      </c>
      <c r="P644" s="34">
        <f>IF($J644=1,LN(1+O644),"")</f>
        <v/>
      </c>
      <c r="Q644" s="34">
        <f>IF($J644=1,LN(R645/R644),"")</f>
        <v/>
      </c>
      <c r="R644" s="32" t="n">
        <v>2.1613</v>
      </c>
      <c r="S644" s="35" t="n">
        <v>15.051</v>
      </c>
      <c r="T644" s="18" t="n"/>
      <c r="U644" s="18" t="n">
        <v>36665</v>
      </c>
      <c r="V644" s="18" t="n"/>
      <c r="W644" s="18" t="n"/>
      <c r="X644" s="35" t="n">
        <v>15.051</v>
      </c>
      <c r="Y644" s="35" t="n"/>
    </row>
    <row r="645">
      <c r="A645" s="25" t="n">
        <v>39762</v>
      </c>
      <c r="B645" s="18" t="n">
        <v>36776</v>
      </c>
      <c r="C645" s="31" t="n"/>
      <c r="D645" s="32" t="n"/>
      <c r="E645" s="33" t="n">
        <v>0.1329</v>
      </c>
      <c r="F645" t="inlineStr">
        <is>
          <t>Up</t>
        </is>
      </c>
      <c r="G645" t="inlineStr">
        <is>
          <t>Up</t>
        </is>
      </c>
      <c r="H645" t="inlineStr">
        <is>
          <t>EU_JU</t>
        </is>
      </c>
      <c r="I645" t="inlineStr">
        <is>
          <t>2008-11</t>
        </is>
      </c>
      <c r="J645" t="n">
        <v>1</v>
      </c>
      <c r="K645" t="n">
        <v>1</v>
      </c>
      <c r="L645" s="34">
        <f>IF($J645=1,LN(B646/B645),"")</f>
        <v/>
      </c>
      <c r="M645" s="34">
        <f>IF($K645=1,INDEX(Mensal!$D$2:$D$245,MATCH($I645,Mensal!$A$2:$A$245,0)),"")</f>
        <v/>
      </c>
      <c r="N645" s="34">
        <f>IF($K645=1,L645-M645,"")</f>
        <v/>
      </c>
      <c r="O645" s="34" t="n">
        <v>0.0005026400000000001</v>
      </c>
      <c r="P645" s="34">
        <f>IF($J645=1,LN(1+O645),"")</f>
        <v/>
      </c>
      <c r="Q645" s="34">
        <f>IF($J645=1,LN(R646/R645),"")</f>
        <v/>
      </c>
      <c r="R645" s="32" t="n">
        <v>2.1335</v>
      </c>
      <c r="S645" s="35" t="n">
        <v>15.059</v>
      </c>
      <c r="T645" s="18" t="n"/>
      <c r="U645" s="18" t="n">
        <v>36776</v>
      </c>
      <c r="V645" s="18" t="n"/>
      <c r="W645" s="18" t="n"/>
      <c r="X645" s="35" t="n">
        <v>15.059</v>
      </c>
      <c r="Y645" s="35" t="n"/>
    </row>
    <row r="646">
      <c r="A646" s="25" t="n">
        <v>39763</v>
      </c>
      <c r="B646" s="18" t="n">
        <v>37261</v>
      </c>
      <c r="C646" s="31" t="n"/>
      <c r="D646" s="32" t="n"/>
      <c r="E646" s="33" t="n">
        <v>0.0537</v>
      </c>
      <c r="F646" t="inlineStr">
        <is>
          <t>Up</t>
        </is>
      </c>
      <c r="G646" t="inlineStr">
        <is>
          <t>Up</t>
        </is>
      </c>
      <c r="H646" t="inlineStr">
        <is>
          <t>EU_JU</t>
        </is>
      </c>
      <c r="I646" t="inlineStr">
        <is>
          <t>2008-11</t>
        </is>
      </c>
      <c r="J646" t="n">
        <v>1</v>
      </c>
      <c r="K646" t="n">
        <v>1</v>
      </c>
      <c r="L646" s="34">
        <f>IF($J646=1,LN(B647/B646),"")</f>
        <v/>
      </c>
      <c r="M646" s="34">
        <f>IF($K646=1,INDEX(Mensal!$D$2:$D$245,MATCH($I646,Mensal!$A$2:$A$245,0)),"")</f>
        <v/>
      </c>
      <c r="N646" s="34">
        <f>IF($K646=1,L646-M646,"")</f>
        <v/>
      </c>
      <c r="O646" s="34" t="n">
        <v>0.00050124</v>
      </c>
      <c r="P646" s="34">
        <f>IF($J646=1,LN(1+O646),"")</f>
        <v/>
      </c>
      <c r="Q646" s="34">
        <f>IF($J646=1,LN(R647/R646),"")</f>
        <v/>
      </c>
      <c r="R646" s="32" t="n">
        <v>2.201</v>
      </c>
      <c r="S646" s="35" t="n">
        <v>15.038</v>
      </c>
      <c r="T646" s="18" t="n"/>
      <c r="U646" s="18" t="n">
        <v>37261</v>
      </c>
      <c r="V646" s="18" t="n"/>
      <c r="W646" s="18" t="n"/>
      <c r="X646" s="35" t="n">
        <v>15.038</v>
      </c>
      <c r="Y646" s="35" t="n"/>
    </row>
    <row r="647">
      <c r="A647" s="25" t="n">
        <v>39764</v>
      </c>
      <c r="B647" s="18" t="n">
        <v>34374</v>
      </c>
      <c r="C647" s="31" t="n"/>
      <c r="D647" s="32" t="n"/>
      <c r="E647" s="33" t="n">
        <v>-0.029</v>
      </c>
      <c r="F647" t="inlineStr">
        <is>
          <t>Up</t>
        </is>
      </c>
      <c r="G647" t="inlineStr">
        <is>
          <t>Up</t>
        </is>
      </c>
      <c r="H647" t="inlineStr">
        <is>
          <t>EU_JU</t>
        </is>
      </c>
      <c r="I647" t="inlineStr">
        <is>
          <t>2008-11</t>
        </is>
      </c>
      <c r="J647" t="n">
        <v>1</v>
      </c>
      <c r="K647" t="n">
        <v>1</v>
      </c>
      <c r="L647" s="34">
        <f>IF($J647=1,LN(B648/B647),"")</f>
        <v/>
      </c>
      <c r="M647" s="34">
        <f>IF($K647=1,INDEX(Mensal!$D$2:$D$245,MATCH($I647,Mensal!$A$2:$A$245,0)),"")</f>
        <v/>
      </c>
      <c r="N647" s="34">
        <f>IF($K647=1,L647-M647,"")</f>
        <v/>
      </c>
      <c r="O647" s="34" t="n">
        <v>0.00049914</v>
      </c>
      <c r="P647" s="34">
        <f>IF($J647=1,LN(1+O647),"")</f>
        <v/>
      </c>
      <c r="Q647" s="34">
        <f>IF($J647=1,LN(R648/R647),"")</f>
        <v/>
      </c>
      <c r="R647" s="32" t="n">
        <v>2.2632</v>
      </c>
      <c r="S647" s="35" t="n">
        <v>15.084</v>
      </c>
      <c r="T647" s="18" t="n"/>
      <c r="U647" s="18" t="n">
        <v>34374</v>
      </c>
      <c r="V647" s="18" t="n"/>
      <c r="W647" s="18" t="n"/>
      <c r="X647" s="35" t="n">
        <v>15.084</v>
      </c>
      <c r="Y647" s="35" t="n"/>
    </row>
    <row r="648">
      <c r="A648" s="25" t="n">
        <v>39765</v>
      </c>
      <c r="B648" s="18" t="n">
        <v>35993</v>
      </c>
      <c r="C648" s="31" t="n"/>
      <c r="D648" s="32" t="n"/>
      <c r="E648" s="33" t="n">
        <v>-0.1036</v>
      </c>
      <c r="F648" t="inlineStr">
        <is>
          <t>Up</t>
        </is>
      </c>
      <c r="G648" t="inlineStr">
        <is>
          <t>Up</t>
        </is>
      </c>
      <c r="H648" t="inlineStr">
        <is>
          <t>EU_JU</t>
        </is>
      </c>
      <c r="I648" t="inlineStr">
        <is>
          <t>2008-11</t>
        </is>
      </c>
      <c r="J648" t="n">
        <v>1</v>
      </c>
      <c r="K648" t="n">
        <v>1</v>
      </c>
      <c r="L648" s="34">
        <f>IF($J648=1,LN(B649/B648),"")</f>
        <v/>
      </c>
      <c r="M648" s="34">
        <f>IF($K648=1,INDEX(Mensal!$D$2:$D$245,MATCH($I648,Mensal!$A$2:$A$245,0)),"")</f>
        <v/>
      </c>
      <c r="N648" s="34">
        <f>IF($K648=1,L648-M648,"")</f>
        <v/>
      </c>
      <c r="O648" s="34" t="n">
        <v>0.0004935300000000001</v>
      </c>
      <c r="P648" s="34">
        <f>IF($J648=1,LN(1+O648),"")</f>
        <v/>
      </c>
      <c r="Q648" s="34">
        <f>IF($J648=1,LN(R649/R648),"")</f>
        <v/>
      </c>
      <c r="R648" s="32" t="n">
        <v>2.3314</v>
      </c>
      <c r="S648" s="35" t="n">
        <v>15.338</v>
      </c>
      <c r="T648" s="18" t="n"/>
      <c r="U648" s="18" t="n">
        <v>35993</v>
      </c>
      <c r="V648" s="18" t="n"/>
      <c r="W648" s="18" t="n"/>
      <c r="X648" s="35" t="n">
        <v>15.338</v>
      </c>
      <c r="Y648" s="35" t="n"/>
    </row>
    <row r="649">
      <c r="A649" s="25" t="n">
        <v>39766</v>
      </c>
      <c r="B649" s="18" t="n">
        <v>35789</v>
      </c>
      <c r="C649" s="31" t="n"/>
      <c r="D649" s="32" t="n"/>
      <c r="E649" s="33" t="n">
        <v>-0.1679</v>
      </c>
      <c r="F649" t="inlineStr">
        <is>
          <t>Up</t>
        </is>
      </c>
      <c r="G649" t="inlineStr">
        <is>
          <t>Up</t>
        </is>
      </c>
      <c r="H649" t="inlineStr">
        <is>
          <t>EU_JU</t>
        </is>
      </c>
      <c r="I649" t="inlineStr">
        <is>
          <t>2008-11</t>
        </is>
      </c>
      <c r="J649" t="n">
        <v>1</v>
      </c>
      <c r="K649" t="n">
        <v>1</v>
      </c>
      <c r="L649" s="34">
        <f>IF($J649=1,LN(B650/B649),"")</f>
        <v/>
      </c>
      <c r="M649" s="34">
        <f>IF($K649=1,INDEX(Mensal!$D$2:$D$245,MATCH($I649,Mensal!$A$2:$A$245,0)),"")</f>
        <v/>
      </c>
      <c r="N649" s="34">
        <f>IF($K649=1,L649-M649,"")</f>
        <v/>
      </c>
      <c r="O649" s="34" t="n">
        <v>0.00049388</v>
      </c>
      <c r="P649" s="34">
        <f>IF($J649=1,LN(1+O649),"")</f>
        <v/>
      </c>
      <c r="Q649" s="34">
        <f>IF($J649=1,LN(R650/R649),"")</f>
        <v/>
      </c>
      <c r="R649" s="32" t="n">
        <v>2.28</v>
      </c>
      <c r="S649" s="35" t="n">
        <v>15.031</v>
      </c>
      <c r="T649" s="18" t="n"/>
      <c r="U649" s="18" t="n">
        <v>35789</v>
      </c>
      <c r="V649" s="18" t="n"/>
      <c r="W649" s="18" t="n"/>
      <c r="X649" s="35" t="n">
        <v>15.031</v>
      </c>
      <c r="Y649" s="35" t="n"/>
    </row>
    <row r="650">
      <c r="A650" s="25" t="n">
        <v>39769</v>
      </c>
      <c r="B650" s="18" t="n">
        <v>35717</v>
      </c>
      <c r="C650" s="31" t="n"/>
      <c r="D650" s="32" t="n"/>
      <c r="E650" s="33" t="n">
        <v>-0.2526</v>
      </c>
      <c r="F650" t="inlineStr">
        <is>
          <t>Up</t>
        </is>
      </c>
      <c r="G650" t="inlineStr">
        <is>
          <t>Up</t>
        </is>
      </c>
      <c r="H650" t="inlineStr">
        <is>
          <t>EU_JU</t>
        </is>
      </c>
      <c r="I650" t="inlineStr">
        <is>
          <t>2008-11</t>
        </is>
      </c>
      <c r="J650" t="n">
        <v>1</v>
      </c>
      <c r="K650" t="n">
        <v>1</v>
      </c>
      <c r="L650" s="34">
        <f>IF($J650=1,LN(B651/B650),"")</f>
        <v/>
      </c>
      <c r="M650" s="34">
        <f>IF($K650=1,INDEX(Mensal!$D$2:$D$245,MATCH($I650,Mensal!$A$2:$A$245,0)),"")</f>
        <v/>
      </c>
      <c r="N650" s="34">
        <f>IF($K650=1,L650-M650,"")</f>
        <v/>
      </c>
      <c r="O650" s="34" t="n">
        <v>0.00049493</v>
      </c>
      <c r="P650" s="34">
        <f>IF($J650=1,LN(1+O650),"")</f>
        <v/>
      </c>
      <c r="Q650" s="34">
        <f>IF($J650=1,LN(R651/R650),"")</f>
        <v/>
      </c>
      <c r="R650" s="32" t="n">
        <v>2.294</v>
      </c>
      <c r="S650" s="35" t="n">
        <v>15.004</v>
      </c>
      <c r="T650" s="18" t="n"/>
      <c r="U650" s="18" t="n">
        <v>35717</v>
      </c>
      <c r="V650" s="18" t="n"/>
      <c r="W650" s="18" t="n"/>
      <c r="X650" s="35" t="n">
        <v>15.004</v>
      </c>
      <c r="Y650" s="35" t="n"/>
    </row>
    <row r="651">
      <c r="A651" s="25" t="n">
        <v>39770</v>
      </c>
      <c r="B651" s="18" t="n">
        <v>34094</v>
      </c>
      <c r="C651" s="31" t="n"/>
      <c r="D651" s="32" t="n"/>
      <c r="E651" s="33" t="n">
        <v>-0.3366</v>
      </c>
      <c r="F651" t="inlineStr">
        <is>
          <t>Up</t>
        </is>
      </c>
      <c r="G651" t="inlineStr">
        <is>
          <t>Up</t>
        </is>
      </c>
      <c r="H651" t="inlineStr">
        <is>
          <t>EU_JU</t>
        </is>
      </c>
      <c r="I651" t="inlineStr">
        <is>
          <t>2008-11</t>
        </is>
      </c>
      <c r="J651" t="n">
        <v>1</v>
      </c>
      <c r="K651" t="n">
        <v>1</v>
      </c>
      <c r="L651" s="34">
        <f>IF($J651=1,LN(B652/B651),"")</f>
        <v/>
      </c>
      <c r="M651" s="34">
        <f>IF($K651=1,INDEX(Mensal!$D$2:$D$245,MATCH($I651,Mensal!$A$2:$A$245,0)),"")</f>
        <v/>
      </c>
      <c r="N651" s="34">
        <f>IF($K651=1,L651-M651,"")</f>
        <v/>
      </c>
      <c r="O651" s="34" t="n">
        <v>0.00049388</v>
      </c>
      <c r="P651" s="34">
        <f>IF($J651=1,LN(1+O651),"")</f>
        <v/>
      </c>
      <c r="Q651" s="34">
        <f>IF($J651=1,LN(R652/R651),"")</f>
        <v/>
      </c>
      <c r="R651" s="32" t="n">
        <v>2.2996</v>
      </c>
      <c r="S651" s="35" t="n">
        <v>14.747</v>
      </c>
      <c r="T651" s="18" t="n"/>
      <c r="U651" s="18" t="n">
        <v>34094</v>
      </c>
      <c r="V651" s="18" t="n"/>
      <c r="W651" s="18" t="n"/>
      <c r="X651" s="35" t="n">
        <v>14.747</v>
      </c>
      <c r="Y651" s="35" t="n"/>
    </row>
    <row r="652">
      <c r="A652" s="25" t="n">
        <v>39771</v>
      </c>
      <c r="B652" s="18" t="n">
        <v>33404</v>
      </c>
      <c r="C652" s="31" t="n"/>
      <c r="D652" s="32" t="n"/>
      <c r="E652" s="33" t="n">
        <v>-0.4249</v>
      </c>
      <c r="F652" t="inlineStr">
        <is>
          <t>Up</t>
        </is>
      </c>
      <c r="G652" t="inlineStr">
        <is>
          <t>Up</t>
        </is>
      </c>
      <c r="H652" t="inlineStr">
        <is>
          <t>EU_JU</t>
        </is>
      </c>
      <c r="I652" t="inlineStr">
        <is>
          <t>2008-11</t>
        </is>
      </c>
      <c r="J652" t="n">
        <v>1</v>
      </c>
      <c r="K652" t="n">
        <v>1</v>
      </c>
      <c r="L652" s="34">
        <f>IF($J652=1,LN(B653/B652),"")</f>
        <v/>
      </c>
      <c r="M652" s="34">
        <f>IF($K652=1,INDEX(Mensal!$D$2:$D$245,MATCH($I652,Mensal!$A$2:$A$245,0)),"")</f>
        <v/>
      </c>
      <c r="N652" s="34">
        <f>IF($K652=1,L652-M652,"")</f>
        <v/>
      </c>
      <c r="O652" s="34" t="n">
        <v>0.0004823</v>
      </c>
      <c r="P652" s="34">
        <f>IF($J652=1,LN(1+O652),"")</f>
        <v/>
      </c>
      <c r="Q652" s="34">
        <f>IF($J652=1,LN(R653/R652),"")</f>
        <v/>
      </c>
      <c r="R652" s="32" t="n">
        <v>2.3766</v>
      </c>
      <c r="S652" s="35" t="n">
        <v>14.758</v>
      </c>
      <c r="T652" s="18" t="n"/>
      <c r="U652" s="18" t="n">
        <v>33404</v>
      </c>
      <c r="V652" s="18" t="n"/>
      <c r="W652" s="18" t="n"/>
      <c r="X652" s="35" t="n">
        <v>14.758</v>
      </c>
      <c r="Y652" s="35" t="n"/>
    </row>
    <row r="653">
      <c r="A653" s="25" t="n">
        <v>39773</v>
      </c>
      <c r="B653" s="18" t="n">
        <v>31250</v>
      </c>
      <c r="C653" s="31" t="n"/>
      <c r="D653" s="32" t="n"/>
      <c r="E653" s="33" t="n">
        <v>-0.5037</v>
      </c>
      <c r="F653" t="inlineStr">
        <is>
          <t>Up</t>
        </is>
      </c>
      <c r="G653" t="inlineStr">
        <is>
          <t>Up</t>
        </is>
      </c>
      <c r="H653" t="inlineStr">
        <is>
          <t>EU_JU</t>
        </is>
      </c>
      <c r="I653" t="inlineStr">
        <is>
          <t>2008-11</t>
        </is>
      </c>
      <c r="J653" t="n">
        <v>1</v>
      </c>
      <c r="K653" t="n">
        <v>1</v>
      </c>
      <c r="L653" s="34">
        <f>IF($J653=1,LN(B654/B653),"")</f>
        <v/>
      </c>
      <c r="M653" s="34">
        <f>IF($K653=1,INDEX(Mensal!$D$2:$D$245,MATCH($I653,Mensal!$A$2:$A$245,0)),"")</f>
        <v/>
      </c>
      <c r="N653" s="34">
        <f>IF($K653=1,L653-M653,"")</f>
        <v/>
      </c>
      <c r="O653" s="34" t="n">
        <v>0.00048792</v>
      </c>
      <c r="P653" s="34">
        <f>IF($J653=1,LN(1+O653),"")</f>
        <v/>
      </c>
      <c r="Q653" s="34">
        <f>IF($J653=1,LN(R654/R653),"")</f>
        <v/>
      </c>
      <c r="R653" s="32" t="n">
        <v>2.4277</v>
      </c>
      <c r="S653" s="35" t="n">
        <v>14.709</v>
      </c>
      <c r="T653" s="18" t="n"/>
      <c r="U653" s="18" t="n">
        <v>31250</v>
      </c>
      <c r="V653" s="18" t="n"/>
      <c r="W653" s="18" t="n"/>
      <c r="X653" s="35" t="n">
        <v>14.709</v>
      </c>
      <c r="Y653" s="35" t="n"/>
    </row>
    <row r="654">
      <c r="A654" s="25" t="n">
        <v>39776</v>
      </c>
      <c r="B654" s="18" t="n">
        <v>34188</v>
      </c>
      <c r="C654" s="31" t="n"/>
      <c r="D654" s="32" t="n"/>
      <c r="E654" s="33" t="n">
        <v>-0.5873</v>
      </c>
      <c r="F654" t="inlineStr">
        <is>
          <t>Up</t>
        </is>
      </c>
      <c r="G654" t="inlineStr">
        <is>
          <t>Up</t>
        </is>
      </c>
      <c r="H654" t="inlineStr">
        <is>
          <t>EU_JU</t>
        </is>
      </c>
      <c r="I654" t="inlineStr">
        <is>
          <t>2008-11</t>
        </is>
      </c>
      <c r="J654" t="n">
        <v>1</v>
      </c>
      <c r="K654" t="n">
        <v>1</v>
      </c>
      <c r="L654" s="34">
        <f>IF($J654=1,LN(B655/B654),"")</f>
        <v/>
      </c>
      <c r="M654" s="34">
        <f>IF($K654=1,INDEX(Mensal!$D$2:$D$245,MATCH($I654,Mensal!$A$2:$A$245,0)),"")</f>
        <v/>
      </c>
      <c r="N654" s="34">
        <f>IF($K654=1,L654-M654,"")</f>
        <v/>
      </c>
      <c r="O654" s="34" t="n">
        <v>0.00049073</v>
      </c>
      <c r="P654" s="34">
        <f>IF($J654=1,LN(1+O654),"")</f>
        <v/>
      </c>
      <c r="Q654" s="34">
        <f>IF($J654=1,LN(R655/R654),"")</f>
        <v/>
      </c>
      <c r="R654" s="32" t="n">
        <v>2.35</v>
      </c>
      <c r="S654" s="35" t="n">
        <v>14.58</v>
      </c>
      <c r="T654" s="18" t="n"/>
      <c r="U654" s="18" t="n">
        <v>34188</v>
      </c>
      <c r="V654" s="18" t="n"/>
      <c r="W654" s="18" t="n"/>
      <c r="X654" s="35" t="n">
        <v>14.58</v>
      </c>
      <c r="Y654" s="35" t="n"/>
    </row>
    <row r="655">
      <c r="A655" s="25" t="n">
        <v>39777</v>
      </c>
      <c r="B655" s="18" t="n">
        <v>34812</v>
      </c>
      <c r="C655" s="31" t="n"/>
      <c r="D655" s="32" t="n"/>
      <c r="E655" s="33" t="n">
        <v>-0.6654</v>
      </c>
      <c r="F655" t="inlineStr">
        <is>
          <t>Up</t>
        </is>
      </c>
      <c r="G655" t="inlineStr">
        <is>
          <t>Up</t>
        </is>
      </c>
      <c r="H655" t="inlineStr">
        <is>
          <t>EU_JU</t>
        </is>
      </c>
      <c r="I655" t="inlineStr">
        <is>
          <t>2008-11</t>
        </is>
      </c>
      <c r="J655" t="n">
        <v>1</v>
      </c>
      <c r="K655" t="n">
        <v>1</v>
      </c>
      <c r="L655" s="34">
        <f>IF($J655=1,LN(B656/B655),"")</f>
        <v/>
      </c>
      <c r="M655" s="34">
        <f>IF($K655=1,INDEX(Mensal!$D$2:$D$245,MATCH($I655,Mensal!$A$2:$A$245,0)),"")</f>
        <v/>
      </c>
      <c r="N655" s="34">
        <f>IF($K655=1,L655-M655,"")</f>
        <v/>
      </c>
      <c r="O655" s="34" t="n">
        <v>0.00049002</v>
      </c>
      <c r="P655" s="34">
        <f>IF($J655=1,LN(1+O655),"")</f>
        <v/>
      </c>
      <c r="Q655" s="34">
        <f>IF($J655=1,LN(R656/R655),"")</f>
        <v/>
      </c>
      <c r="R655" s="32" t="n">
        <v>2.3056</v>
      </c>
      <c r="S655" s="35" t="n">
        <v>14.562</v>
      </c>
      <c r="T655" s="18" t="n"/>
      <c r="U655" s="18" t="n">
        <v>34812</v>
      </c>
      <c r="V655" s="18" t="n"/>
      <c r="W655" s="18" t="n"/>
      <c r="X655" s="35" t="n">
        <v>14.562</v>
      </c>
      <c r="Y655" s="35" t="n"/>
    </row>
    <row r="656">
      <c r="A656" s="25" t="n">
        <v>39778</v>
      </c>
      <c r="B656" s="18" t="n">
        <v>36469</v>
      </c>
      <c r="C656" s="31" t="n"/>
      <c r="D656" s="32" t="n"/>
      <c r="E656" s="33" t="n">
        <v>-0.7463</v>
      </c>
      <c r="F656" t="inlineStr">
        <is>
          <t>Up</t>
        </is>
      </c>
      <c r="G656" t="inlineStr">
        <is>
          <t>Up</t>
        </is>
      </c>
      <c r="H656" t="inlineStr">
        <is>
          <t>EU_JU</t>
        </is>
      </c>
      <c r="I656" t="inlineStr">
        <is>
          <t>2008-11</t>
        </is>
      </c>
      <c r="J656" t="n">
        <v>1</v>
      </c>
      <c r="K656" t="n">
        <v>1</v>
      </c>
      <c r="L656" s="34">
        <f>IF($J656=1,LN(B657/B656),"")</f>
        <v/>
      </c>
      <c r="M656" s="34">
        <f>IF($K656=1,INDEX(Mensal!$D$2:$D$245,MATCH($I656,Mensal!$A$2:$A$245,0)),"")</f>
        <v/>
      </c>
      <c r="N656" s="34">
        <f>IF($K656=1,L656-M656,"")</f>
        <v/>
      </c>
      <c r="O656" s="34" t="n">
        <v>0.00049037</v>
      </c>
      <c r="P656" s="34">
        <f>IF($J656=1,LN(1+O656),"")</f>
        <v/>
      </c>
      <c r="Q656" s="34">
        <f>IF($J656=1,LN(R657/R656),"")</f>
        <v/>
      </c>
      <c r="R656" s="32" t="n">
        <v>2.3221</v>
      </c>
      <c r="S656" s="35" t="n">
        <v>14.493</v>
      </c>
      <c r="T656" s="18" t="n"/>
      <c r="U656" s="18" t="n">
        <v>36469</v>
      </c>
      <c r="V656" s="18" t="n"/>
      <c r="W656" s="18" t="n"/>
      <c r="X656" s="35" t="n">
        <v>14.493</v>
      </c>
      <c r="Y656" s="35" t="n"/>
    </row>
    <row r="657">
      <c r="A657" s="25" t="n">
        <v>39779</v>
      </c>
      <c r="B657" s="18" t="n">
        <v>36212</v>
      </c>
      <c r="C657" s="31" t="n"/>
      <c r="D657" s="32" t="n"/>
      <c r="E657" s="33" t="n">
        <v>-0.8293</v>
      </c>
      <c r="F657" t="inlineStr">
        <is>
          <t>Up</t>
        </is>
      </c>
      <c r="G657" t="inlineStr">
        <is>
          <t>Up</t>
        </is>
      </c>
      <c r="H657" t="inlineStr">
        <is>
          <t>EU_JU</t>
        </is>
      </c>
      <c r="I657" t="inlineStr">
        <is>
          <t>2008-11</t>
        </is>
      </c>
      <c r="J657" t="n">
        <v>1</v>
      </c>
      <c r="K657" t="n">
        <v>1</v>
      </c>
      <c r="L657" s="34">
        <f>IF($J657=1,LN(B658/B657),"")</f>
        <v/>
      </c>
      <c r="M657" s="34">
        <f>IF($K657=1,INDEX(Mensal!$D$2:$D$245,MATCH($I657,Mensal!$A$2:$A$245,0)),"")</f>
        <v/>
      </c>
      <c r="N657" s="34">
        <f>IF($K657=1,L657-M657,"")</f>
        <v/>
      </c>
      <c r="O657" s="34" t="n">
        <v>0.00049283</v>
      </c>
      <c r="P657" s="34">
        <f>IF($J657=1,LN(1+O657),"")</f>
        <v/>
      </c>
      <c r="Q657" s="34">
        <f>IF($J657=1,LN(R658/R657),"")</f>
        <v/>
      </c>
      <c r="R657" s="32" t="n">
        <v>2.2657</v>
      </c>
      <c r="S657" s="35" t="n">
        <v>14.536</v>
      </c>
      <c r="T657" s="18" t="n"/>
      <c r="U657" s="18" t="n">
        <v>36212</v>
      </c>
      <c r="V657" s="18" t="n"/>
      <c r="W657" s="18" t="n"/>
      <c r="X657" s="35" t="n">
        <v>14.536</v>
      </c>
      <c r="Y657" s="35" t="n"/>
    </row>
    <row r="658">
      <c r="A658" s="25" t="n">
        <v>39780</v>
      </c>
      <c r="B658" s="18" t="n">
        <v>36595</v>
      </c>
      <c r="C658" s="31" t="n"/>
      <c r="D658" s="32" t="n"/>
      <c r="E658" s="33" t="n">
        <v>-0.9122</v>
      </c>
      <c r="F658" t="inlineStr">
        <is>
          <t>Up</t>
        </is>
      </c>
      <c r="G658" t="inlineStr">
        <is>
          <t>Up</t>
        </is>
      </c>
      <c r="H658" t="inlineStr">
        <is>
          <t>EU_JU</t>
        </is>
      </c>
      <c r="I658" t="inlineStr">
        <is>
          <t>2008-11</t>
        </is>
      </c>
      <c r="J658" t="n">
        <v>1</v>
      </c>
      <c r="K658" t="n">
        <v>1</v>
      </c>
      <c r="L658" s="34">
        <f>IF($J658=1,LN(B659/B658),"")</f>
        <v/>
      </c>
      <c r="M658" s="34">
        <f>IF($K658=1,INDEX(Mensal!$D$2:$D$245,MATCH($I658,Mensal!$A$2:$A$245,0)),"")</f>
        <v/>
      </c>
      <c r="N658" s="34">
        <f>IF($K658=1,L658-M658,"")</f>
        <v/>
      </c>
      <c r="O658" s="34" t="n">
        <v>0.00049774</v>
      </c>
      <c r="P658" s="34">
        <f>IF($J658=1,LN(1+O658),"")</f>
        <v/>
      </c>
      <c r="Q658" s="34">
        <f>IF($J658=1,LN(R659/R658),"")</f>
        <v/>
      </c>
      <c r="R658" s="32" t="n">
        <v>2.3331</v>
      </c>
      <c r="S658" s="35" t="n">
        <v>14.427</v>
      </c>
      <c r="T658" s="18" t="n"/>
      <c r="U658" s="18" t="n">
        <v>36595</v>
      </c>
      <c r="V658" s="18" t="n"/>
      <c r="W658" s="18" t="n"/>
      <c r="X658" s="35" t="n">
        <v>14.427</v>
      </c>
      <c r="Y658" s="35" t="n"/>
    </row>
    <row r="659">
      <c r="A659" s="25" t="n">
        <v>39783</v>
      </c>
      <c r="B659" s="18" t="n">
        <v>34740</v>
      </c>
      <c r="C659" s="31" t="n"/>
      <c r="D659" s="32" t="n"/>
      <c r="E659" s="33" t="n">
        <v>-0.9926</v>
      </c>
      <c r="F659" t="inlineStr">
        <is>
          <t>Up</t>
        </is>
      </c>
      <c r="G659" t="inlineStr">
        <is>
          <t>Up</t>
        </is>
      </c>
      <c r="H659" t="inlineStr">
        <is>
          <t>EU_JU</t>
        </is>
      </c>
      <c r="I659" t="inlineStr">
        <is>
          <t>2008-12</t>
        </is>
      </c>
      <c r="J659" t="n">
        <v>1</v>
      </c>
      <c r="K659" t="n">
        <v>1</v>
      </c>
      <c r="L659" s="34">
        <f>IF($J659=1,LN(B660/B659),"")</f>
        <v/>
      </c>
      <c r="M659" s="34">
        <f>IF($K659=1,INDEX(Mensal!$D$2:$D$245,MATCH($I659,Mensal!$A$2:$A$245,0)),"")</f>
        <v/>
      </c>
      <c r="N659" s="34">
        <f>IF($K659=1,L659-M659,"")</f>
        <v/>
      </c>
      <c r="O659" s="34" t="n">
        <v>0.00050159</v>
      </c>
      <c r="P659" s="34">
        <f>IF($J659=1,LN(1+O659),"")</f>
        <v/>
      </c>
      <c r="Q659" s="34">
        <f>IF($J659=1,LN(R660/R659),"")</f>
        <v/>
      </c>
      <c r="R659" s="32" t="n">
        <v>2.3565</v>
      </c>
      <c r="S659" s="35" t="n">
        <v>14.171</v>
      </c>
      <c r="T659" s="18" t="n"/>
      <c r="U659" s="18" t="n">
        <v>34740</v>
      </c>
      <c r="V659" s="18" t="n"/>
      <c r="W659" s="18" t="n"/>
      <c r="X659" s="35" t="n">
        <v>14.171</v>
      </c>
      <c r="Y659" s="35" t="n"/>
    </row>
    <row r="660">
      <c r="A660" s="25" t="n">
        <v>39784</v>
      </c>
      <c r="B660" s="18" t="n">
        <v>35000</v>
      </c>
      <c r="C660" s="31" t="n"/>
      <c r="D660" s="32" t="n"/>
      <c r="E660" s="33" t="n">
        <v>-1.0734</v>
      </c>
      <c r="F660" t="inlineStr">
        <is>
          <t>Up</t>
        </is>
      </c>
      <c r="G660" t="inlineStr">
        <is>
          <t>Up</t>
        </is>
      </c>
      <c r="H660" t="inlineStr">
        <is>
          <t>EU_JU</t>
        </is>
      </c>
      <c r="I660" t="inlineStr">
        <is>
          <t>2008-12</t>
        </is>
      </c>
      <c r="J660" t="n">
        <v>1</v>
      </c>
      <c r="K660" t="n">
        <v>1</v>
      </c>
      <c r="L660" s="34">
        <f>IF($J660=1,LN(B661/B660),"")</f>
        <v/>
      </c>
      <c r="M660" s="34">
        <f>IF($K660=1,INDEX(Mensal!$D$2:$D$245,MATCH($I660,Mensal!$A$2:$A$245,0)),"")</f>
        <v/>
      </c>
      <c r="N660" s="34">
        <f>IF($K660=1,L660-M660,"")</f>
        <v/>
      </c>
      <c r="O660" s="34" t="n">
        <v>0.00050194</v>
      </c>
      <c r="P660" s="34">
        <f>IF($J660=1,LN(1+O660),"")</f>
        <v/>
      </c>
      <c r="Q660" s="34">
        <f>IF($J660=1,LN(R661/R660),"")</f>
        <v/>
      </c>
      <c r="R660" s="32" t="n">
        <v>2.3457</v>
      </c>
      <c r="S660" s="35" t="n">
        <v>13.928</v>
      </c>
      <c r="T660" s="18" t="n"/>
      <c r="U660" s="18" t="n">
        <v>35000</v>
      </c>
      <c r="V660" s="18" t="n"/>
      <c r="W660" s="18" t="n"/>
      <c r="X660" s="35" t="n">
        <v>13.928</v>
      </c>
      <c r="Y660" s="35" t="n"/>
    </row>
    <row r="661">
      <c r="A661" s="25" t="n">
        <v>39785</v>
      </c>
      <c r="B661" s="18" t="n">
        <v>35296</v>
      </c>
      <c r="C661" s="31" t="n"/>
      <c r="D661" s="32" t="n"/>
      <c r="E661" s="33" t="n">
        <v>-1.1506</v>
      </c>
      <c r="F661" t="inlineStr">
        <is>
          <t>Up</t>
        </is>
      </c>
      <c r="G661" t="inlineStr">
        <is>
          <t>Up</t>
        </is>
      </c>
      <c r="H661" t="inlineStr">
        <is>
          <t>EU_JU</t>
        </is>
      </c>
      <c r="I661" t="inlineStr">
        <is>
          <t>2008-12</t>
        </is>
      </c>
      <c r="J661" t="n">
        <v>1</v>
      </c>
      <c r="K661" t="n">
        <v>1</v>
      </c>
      <c r="L661" s="34">
        <f>IF($J661=1,LN(B662/B661),"")</f>
        <v/>
      </c>
      <c r="M661" s="34">
        <f>IF($K661=1,INDEX(Mensal!$D$2:$D$245,MATCH($I661,Mensal!$A$2:$A$245,0)),"")</f>
        <v/>
      </c>
      <c r="N661" s="34">
        <f>IF($K661=1,L661-M661,"")</f>
        <v/>
      </c>
      <c r="O661" s="34" t="n">
        <v>0.00050124</v>
      </c>
      <c r="P661" s="34">
        <f>IF($J661=1,LN(1+O661),"")</f>
        <v/>
      </c>
      <c r="Q661" s="34">
        <f>IF($J661=1,LN(R662/R661),"")</f>
        <v/>
      </c>
      <c r="R661" s="32" t="n">
        <v>2.4213</v>
      </c>
      <c r="S661" s="35" t="n">
        <v>13.73</v>
      </c>
      <c r="T661" s="18" t="n"/>
      <c r="U661" s="18" t="n">
        <v>35296</v>
      </c>
      <c r="V661" s="18" t="n"/>
      <c r="W661" s="18" t="n"/>
      <c r="X661" s="35" t="n">
        <v>13.73</v>
      </c>
      <c r="Y661" s="35" t="n"/>
    </row>
    <row r="662">
      <c r="A662" s="25" t="n">
        <v>39786</v>
      </c>
      <c r="B662" s="18" t="n">
        <v>35127</v>
      </c>
      <c r="C662" s="31" t="n"/>
      <c r="D662" s="32" t="n"/>
      <c r="E662" s="33" t="n">
        <v>-1.2354</v>
      </c>
      <c r="F662" t="inlineStr">
        <is>
          <t>Up</t>
        </is>
      </c>
      <c r="G662" t="inlineStr">
        <is>
          <t>Up</t>
        </is>
      </c>
      <c r="H662" t="inlineStr">
        <is>
          <t>EU_JU</t>
        </is>
      </c>
      <c r="I662" t="inlineStr">
        <is>
          <t>2008-12</t>
        </is>
      </c>
      <c r="J662" t="n">
        <v>1</v>
      </c>
      <c r="K662" t="n">
        <v>1</v>
      </c>
      <c r="L662" s="34">
        <f>IF($J662=1,LN(B663/B662),"")</f>
        <v/>
      </c>
      <c r="M662" s="34">
        <f>IF($K662=1,INDEX(Mensal!$D$2:$D$245,MATCH($I662,Mensal!$A$2:$A$245,0)),"")</f>
        <v/>
      </c>
      <c r="N662" s="34">
        <f>IF($K662=1,L662-M662,"")</f>
        <v/>
      </c>
      <c r="O662" s="34" t="n">
        <v>0.00050159</v>
      </c>
      <c r="P662" s="34">
        <f>IF($J662=1,LN(1+O662),"")</f>
        <v/>
      </c>
      <c r="Q662" s="34">
        <f>IF($J662=1,LN(R663/R662),"")</f>
        <v/>
      </c>
      <c r="R662" s="32" t="n">
        <v>2.4905</v>
      </c>
      <c r="S662" s="35" t="n">
        <v>13.699</v>
      </c>
      <c r="T662" s="18" t="n"/>
      <c r="U662" s="18" t="n">
        <v>35127</v>
      </c>
      <c r="V662" s="18" t="n"/>
      <c r="W662" s="18" t="n"/>
      <c r="X662" s="35" t="n">
        <v>13.699</v>
      </c>
      <c r="Y662" s="35" t="n"/>
    </row>
    <row r="663">
      <c r="A663" s="25" t="n">
        <v>39787</v>
      </c>
      <c r="B663" s="18" t="n">
        <v>35347</v>
      </c>
      <c r="C663" s="31" t="n"/>
      <c r="D663" s="32" t="n"/>
      <c r="E663" s="33" t="n">
        <v>-1.3162</v>
      </c>
      <c r="F663" t="inlineStr">
        <is>
          <t>Up</t>
        </is>
      </c>
      <c r="G663" t="inlineStr">
        <is>
          <t>Up</t>
        </is>
      </c>
      <c r="H663" t="inlineStr">
        <is>
          <t>EU_JU</t>
        </is>
      </c>
      <c r="I663" t="inlineStr">
        <is>
          <t>2008-12</t>
        </is>
      </c>
      <c r="J663" t="n">
        <v>1</v>
      </c>
      <c r="K663" t="n">
        <v>1</v>
      </c>
      <c r="L663" s="34">
        <f>IF($J663=1,LN(B664/B663),"")</f>
        <v/>
      </c>
      <c r="M663" s="34">
        <f>IF($K663=1,INDEX(Mensal!$D$2:$D$245,MATCH($I663,Mensal!$A$2:$A$245,0)),"")</f>
        <v/>
      </c>
      <c r="N663" s="34">
        <f>IF($K663=1,L663-M663,"")</f>
        <v/>
      </c>
      <c r="O663" s="34" t="n">
        <v>0.00050124</v>
      </c>
      <c r="P663" s="34">
        <f>IF($J663=1,LN(1+O663),"")</f>
        <v/>
      </c>
      <c r="Q663" s="34">
        <f>IF($J663=1,LN(R664/R663),"")</f>
        <v/>
      </c>
      <c r="R663" s="32" t="n">
        <v>2.5004</v>
      </c>
      <c r="S663" s="35" t="n">
        <v>13.33</v>
      </c>
      <c r="T663" s="18" t="n"/>
      <c r="U663" s="18" t="n">
        <v>35347</v>
      </c>
      <c r="V663" s="18" t="n"/>
      <c r="W663" s="18" t="n"/>
      <c r="X663" s="35" t="n">
        <v>13.33</v>
      </c>
      <c r="Y663" s="35" t="n"/>
    </row>
    <row r="664">
      <c r="A664" s="25" t="n">
        <v>39790</v>
      </c>
      <c r="B664" s="18" t="n">
        <v>38284</v>
      </c>
      <c r="C664" s="31" t="n"/>
      <c r="D664" s="32" t="n"/>
      <c r="E664" s="33" t="n">
        <v>-1.4042</v>
      </c>
      <c r="F664" t="inlineStr">
        <is>
          <t>Up</t>
        </is>
      </c>
      <c r="G664" t="inlineStr">
        <is>
          <t>Up</t>
        </is>
      </c>
      <c r="H664" t="inlineStr">
        <is>
          <t>EU_JU</t>
        </is>
      </c>
      <c r="I664" t="inlineStr">
        <is>
          <t>2008-12</t>
        </is>
      </c>
      <c r="J664" t="n">
        <v>1</v>
      </c>
      <c r="K664" t="n">
        <v>1</v>
      </c>
      <c r="L664" s="34">
        <f>IF($J664=1,LN(B665/B664),"")</f>
        <v/>
      </c>
      <c r="M664" s="34">
        <f>IF($K664=1,INDEX(Mensal!$D$2:$D$245,MATCH($I664,Mensal!$A$2:$A$245,0)),"")</f>
        <v/>
      </c>
      <c r="N664" s="34">
        <f>IF($K664=1,L664-M664,"")</f>
        <v/>
      </c>
      <c r="O664" s="34" t="n">
        <v>0.00050124</v>
      </c>
      <c r="P664" s="34">
        <f>IF($J664=1,LN(1+O664),"")</f>
        <v/>
      </c>
      <c r="Q664" s="34">
        <f>IF($J664=1,LN(R665/R664),"")</f>
        <v/>
      </c>
      <c r="R664" s="32" t="n">
        <v>2.4689</v>
      </c>
      <c r="S664" s="35" t="n">
        <v>13.141</v>
      </c>
      <c r="T664" s="18" t="n"/>
      <c r="U664" s="18" t="n">
        <v>38284</v>
      </c>
      <c r="V664" s="18" t="n"/>
      <c r="W664" s="18" t="n"/>
      <c r="X664" s="35" t="n">
        <v>13.141</v>
      </c>
      <c r="Y664" s="35" t="n"/>
    </row>
    <row r="665">
      <c r="A665" s="25" t="n">
        <v>39791</v>
      </c>
      <c r="B665" s="18" t="n">
        <v>37968</v>
      </c>
      <c r="C665" s="31" t="n"/>
      <c r="D665" s="32" t="n"/>
      <c r="E665" s="33" t="n">
        <v>-1.5105</v>
      </c>
      <c r="F665" t="inlineStr">
        <is>
          <t>Up</t>
        </is>
      </c>
      <c r="G665" t="inlineStr">
        <is>
          <t>Up</t>
        </is>
      </c>
      <c r="H665" t="inlineStr">
        <is>
          <t>EU_JU</t>
        </is>
      </c>
      <c r="I665" t="inlineStr">
        <is>
          <t>2008-12</t>
        </is>
      </c>
      <c r="J665" t="n">
        <v>1</v>
      </c>
      <c r="K665" t="n">
        <v>1</v>
      </c>
      <c r="L665" s="34">
        <f>IF($J665=1,LN(B666/B665),"")</f>
        <v/>
      </c>
      <c r="M665" s="34">
        <f>IF($K665=1,INDEX(Mensal!$D$2:$D$245,MATCH($I665,Mensal!$A$2:$A$245,0)),"")</f>
        <v/>
      </c>
      <c r="N665" s="34">
        <f>IF($K665=1,L665-M665,"")</f>
        <v/>
      </c>
      <c r="O665" s="34" t="n">
        <v>0.00050159</v>
      </c>
      <c r="P665" s="34">
        <f>IF($J665=1,LN(1+O665),"")</f>
        <v/>
      </c>
      <c r="Q665" s="34">
        <f>IF($J665=1,LN(R666/R665),"")</f>
        <v/>
      </c>
      <c r="R665" s="32" t="n">
        <v>2.4829</v>
      </c>
      <c r="S665" s="35" t="n">
        <v>13.175</v>
      </c>
      <c r="T665" s="18" t="n"/>
      <c r="U665" s="18" t="n">
        <v>37968</v>
      </c>
      <c r="V665" s="18" t="n"/>
      <c r="W665" s="18" t="n"/>
      <c r="X665" s="35" t="n">
        <v>13.175</v>
      </c>
      <c r="Y665" s="35" t="n"/>
    </row>
    <row r="666">
      <c r="A666" s="25" t="n">
        <v>39792</v>
      </c>
      <c r="B666" s="18" t="n">
        <v>39004</v>
      </c>
      <c r="C666" s="31" t="n"/>
      <c r="D666" s="32" t="n"/>
      <c r="E666" s="33" t="n">
        <v>-1.6144</v>
      </c>
      <c r="F666" t="inlineStr">
        <is>
          <t>Up</t>
        </is>
      </c>
      <c r="G666" t="inlineStr">
        <is>
          <t>Down</t>
        </is>
      </c>
      <c r="H666" t="inlineStr">
        <is>
          <t>EU_JD</t>
        </is>
      </c>
      <c r="I666" t="inlineStr">
        <is>
          <t>2008-12</t>
        </is>
      </c>
      <c r="J666" t="n">
        <v>1</v>
      </c>
      <c r="K666" t="n">
        <v>1</v>
      </c>
      <c r="L666" s="34">
        <f>IF($J666=1,LN(B667/B666),"")</f>
        <v/>
      </c>
      <c r="M666" s="34">
        <f>IF($K666=1,INDEX(Mensal!$D$2:$D$245,MATCH($I666,Mensal!$A$2:$A$245,0)),"")</f>
        <v/>
      </c>
      <c r="N666" s="34">
        <f>IF($K666=1,L666-M666,"")</f>
        <v/>
      </c>
      <c r="O666" s="34" t="n">
        <v>0.00050124</v>
      </c>
      <c r="P666" s="34">
        <f>IF($J666=1,LN(1+O666),"")</f>
        <v/>
      </c>
      <c r="Q666" s="34">
        <f>IF($J666=1,LN(R667/R666),"")</f>
        <v/>
      </c>
      <c r="R666" s="32" t="n">
        <v>2.4683</v>
      </c>
      <c r="S666" s="35" t="n">
        <v>12.948</v>
      </c>
      <c r="T666" s="18" t="n">
        <v>39004</v>
      </c>
      <c r="U666" s="18" t="n"/>
      <c r="V666" s="18" t="n"/>
      <c r="W666" s="18" t="n"/>
      <c r="X666" s="35" t="n"/>
      <c r="Y666" s="35" t="n">
        <v>12.948</v>
      </c>
    </row>
    <row r="667">
      <c r="A667" s="25" t="n">
        <v>39793</v>
      </c>
      <c r="B667" s="18" t="n">
        <v>38519</v>
      </c>
      <c r="C667" s="31" t="n"/>
      <c r="D667" s="32" t="n"/>
      <c r="E667" s="33" t="n">
        <v>-1.7199</v>
      </c>
      <c r="F667" t="inlineStr">
        <is>
          <t>Up</t>
        </is>
      </c>
      <c r="G667" t="inlineStr">
        <is>
          <t>Down</t>
        </is>
      </c>
      <c r="H667" t="inlineStr">
        <is>
          <t>EU_JD</t>
        </is>
      </c>
      <c r="I667" t="inlineStr">
        <is>
          <t>2008-12</t>
        </is>
      </c>
      <c r="J667" t="n">
        <v>1</v>
      </c>
      <c r="K667" t="n">
        <v>1</v>
      </c>
      <c r="L667" s="34">
        <f>IF($J667=1,LN(B668/B667),"")</f>
        <v/>
      </c>
      <c r="M667" s="34">
        <f>IF($K667=1,INDEX(Mensal!$D$2:$D$245,MATCH($I667,Mensal!$A$2:$A$245,0)),"")</f>
        <v/>
      </c>
      <c r="N667" s="34">
        <f>IF($K667=1,L667-M667,"")</f>
        <v/>
      </c>
      <c r="O667" s="34" t="n">
        <v>0.00050124</v>
      </c>
      <c r="P667" s="34">
        <f>IF($J667=1,LN(1+O667),"")</f>
        <v/>
      </c>
      <c r="Q667" s="34">
        <f>IF($J667=1,LN(R668/R667),"")</f>
        <v/>
      </c>
      <c r="R667" s="32" t="n">
        <v>2.3397</v>
      </c>
      <c r="S667" s="35" t="n">
        <v>12.839</v>
      </c>
      <c r="T667" s="18" t="n">
        <v>38519</v>
      </c>
      <c r="U667" s="18" t="n"/>
      <c r="V667" s="18" t="n"/>
      <c r="W667" s="18" t="n"/>
      <c r="X667" s="35" t="n"/>
      <c r="Y667" s="35" t="n">
        <v>12.839</v>
      </c>
    </row>
    <row r="668">
      <c r="A668" s="25" t="n">
        <v>39794</v>
      </c>
      <c r="B668" s="18" t="n">
        <v>39373</v>
      </c>
      <c r="C668" s="31" t="n"/>
      <c r="D668" s="32" t="n"/>
      <c r="E668" s="33" t="n">
        <v>-1.8102</v>
      </c>
      <c r="F668" t="inlineStr">
        <is>
          <t>Up</t>
        </is>
      </c>
      <c r="G668" t="inlineStr">
        <is>
          <t>Down</t>
        </is>
      </c>
      <c r="H668" t="inlineStr">
        <is>
          <t>EU_JD</t>
        </is>
      </c>
      <c r="I668" t="inlineStr">
        <is>
          <t>2008-12</t>
        </is>
      </c>
      <c r="J668" t="n">
        <v>1</v>
      </c>
      <c r="K668" t="n">
        <v>1</v>
      </c>
      <c r="L668" s="34">
        <f>IF($J668=1,LN(B669/B668),"")</f>
        <v/>
      </c>
      <c r="M668" s="34">
        <f>IF($K668=1,INDEX(Mensal!$D$2:$D$245,MATCH($I668,Mensal!$A$2:$A$245,0)),"")</f>
        <v/>
      </c>
      <c r="N668" s="34">
        <f>IF($K668=1,L668-M668,"")</f>
        <v/>
      </c>
      <c r="O668" s="34" t="n">
        <v>0.00050089</v>
      </c>
      <c r="P668" s="34">
        <f>IF($J668=1,LN(1+O668),"")</f>
        <v/>
      </c>
      <c r="Q668" s="34">
        <f>IF($J668=1,LN(R669/R668),"")</f>
        <v/>
      </c>
      <c r="R668" s="32" t="n">
        <v>2.392</v>
      </c>
      <c r="S668" s="35" t="n">
        <v>12.822</v>
      </c>
      <c r="T668" s="18" t="n">
        <v>39373</v>
      </c>
      <c r="U668" s="18" t="n"/>
      <c r="V668" s="18" t="n"/>
      <c r="W668" s="18" t="n"/>
      <c r="X668" s="35" t="n"/>
      <c r="Y668" s="35" t="n">
        <v>12.822</v>
      </c>
    </row>
    <row r="669">
      <c r="A669" s="25" t="n">
        <v>39797</v>
      </c>
      <c r="B669" s="18" t="n">
        <v>38320</v>
      </c>
      <c r="C669" s="31" t="n"/>
      <c r="D669" s="32" t="n"/>
      <c r="E669" s="33" t="n">
        <v>-1.8889</v>
      </c>
      <c r="F669" t="inlineStr">
        <is>
          <t>Up</t>
        </is>
      </c>
      <c r="G669" t="inlineStr">
        <is>
          <t>Down</t>
        </is>
      </c>
      <c r="H669" t="inlineStr">
        <is>
          <t>EU_JD</t>
        </is>
      </c>
      <c r="I669" t="inlineStr">
        <is>
          <t>2008-12</t>
        </is>
      </c>
      <c r="J669" t="n">
        <v>1</v>
      </c>
      <c r="K669" t="n">
        <v>1</v>
      </c>
      <c r="L669" s="34">
        <f>IF($J669=1,LN(B670/B669),"")</f>
        <v/>
      </c>
      <c r="M669" s="34">
        <f>IF($K669=1,INDEX(Mensal!$D$2:$D$245,MATCH($I669,Mensal!$A$2:$A$245,0)),"")</f>
        <v/>
      </c>
      <c r="N669" s="34">
        <f>IF($K669=1,L669-M669,"")</f>
        <v/>
      </c>
      <c r="O669" s="34" t="n">
        <v>0.00050124</v>
      </c>
      <c r="P669" s="34">
        <f>IF($J669=1,LN(1+O669),"")</f>
        <v/>
      </c>
      <c r="Q669" s="34">
        <f>IF($J669=1,LN(R670/R669),"")</f>
        <v/>
      </c>
      <c r="R669" s="32" t="n">
        <v>2.369</v>
      </c>
      <c r="S669" s="35" t="n">
        <v>12.781</v>
      </c>
      <c r="T669" s="18" t="n">
        <v>38320</v>
      </c>
      <c r="U669" s="18" t="n"/>
      <c r="V669" s="18" t="n"/>
      <c r="W669" s="18" t="n"/>
      <c r="X669" s="35" t="n"/>
      <c r="Y669" s="35" t="n">
        <v>12.781</v>
      </c>
    </row>
    <row r="670">
      <c r="A670" s="25" t="n">
        <v>39798</v>
      </c>
      <c r="B670" s="18" t="n">
        <v>39993</v>
      </c>
      <c r="C670" s="31" t="n"/>
      <c r="D670" s="32" t="n"/>
      <c r="E670" s="33" t="n">
        <v>-1.9716</v>
      </c>
      <c r="F670" t="inlineStr">
        <is>
          <t>Up</t>
        </is>
      </c>
      <c r="G670" t="inlineStr">
        <is>
          <t>Down</t>
        </is>
      </c>
      <c r="H670" t="inlineStr">
        <is>
          <t>EU_JD</t>
        </is>
      </c>
      <c r="I670" t="inlineStr">
        <is>
          <t>2008-12</t>
        </is>
      </c>
      <c r="J670" t="n">
        <v>1</v>
      </c>
      <c r="K670" t="n">
        <v>1</v>
      </c>
      <c r="L670" s="34">
        <f>IF($J670=1,LN(B671/B670),"")</f>
        <v/>
      </c>
      <c r="M670" s="34">
        <f>IF($K670=1,INDEX(Mensal!$D$2:$D$245,MATCH($I670,Mensal!$A$2:$A$245,0)),"")</f>
        <v/>
      </c>
      <c r="N670" s="34">
        <f>IF($K670=1,L670-M670,"")</f>
        <v/>
      </c>
      <c r="O670" s="34" t="n">
        <v>0.00050124</v>
      </c>
      <c r="P670" s="34">
        <f>IF($J670=1,LN(1+O670),"")</f>
        <v/>
      </c>
      <c r="Q670" s="34">
        <f>IF($J670=1,LN(R671/R670),"")</f>
        <v/>
      </c>
      <c r="R670" s="32" t="n">
        <v>2.3783</v>
      </c>
      <c r="S670" s="35" t="n">
        <v>12.821</v>
      </c>
      <c r="T670" s="18" t="n">
        <v>39993</v>
      </c>
      <c r="U670" s="18" t="n"/>
      <c r="V670" s="18" t="n"/>
      <c r="W670" s="18" t="n"/>
      <c r="X670" s="35" t="n"/>
      <c r="Y670" s="35" t="n">
        <v>12.821</v>
      </c>
    </row>
    <row r="671">
      <c r="A671" s="25" t="n">
        <v>39799</v>
      </c>
      <c r="B671" s="18" t="n">
        <v>39947</v>
      </c>
      <c r="C671" s="31" t="n"/>
      <c r="D671" s="32" t="n"/>
      <c r="E671" s="33" t="n">
        <v>-2.0623</v>
      </c>
      <c r="F671" t="inlineStr">
        <is>
          <t>Up</t>
        </is>
      </c>
      <c r="G671" t="inlineStr">
        <is>
          <t>Down</t>
        </is>
      </c>
      <c r="H671" t="inlineStr">
        <is>
          <t>EU_JD</t>
        </is>
      </c>
      <c r="I671" t="inlineStr">
        <is>
          <t>2008-12</t>
        </is>
      </c>
      <c r="J671" t="n">
        <v>1</v>
      </c>
      <c r="K671" t="n">
        <v>1</v>
      </c>
      <c r="L671" s="34">
        <f>IF($J671=1,LN(B672/B671),"")</f>
        <v/>
      </c>
      <c r="M671" s="34">
        <f>IF($K671=1,INDEX(Mensal!$D$2:$D$245,MATCH($I671,Mensal!$A$2:$A$245,0)),"")</f>
        <v/>
      </c>
      <c r="N671" s="34">
        <f>IF($K671=1,L671-M671,"")</f>
        <v/>
      </c>
      <c r="O671" s="34" t="n">
        <v>0.00050194</v>
      </c>
      <c r="P671" s="34">
        <f>IF($J671=1,LN(1+O671),"")</f>
        <v/>
      </c>
      <c r="Q671" s="34">
        <f>IF($J671=1,LN(R672/R671),"")</f>
        <v/>
      </c>
      <c r="R671" s="32" t="n">
        <v>2.3576</v>
      </c>
      <c r="S671" s="35" t="n">
        <v>12.523</v>
      </c>
      <c r="T671" s="18" t="n">
        <v>39947</v>
      </c>
      <c r="U671" s="18" t="n"/>
      <c r="V671" s="18" t="n"/>
      <c r="W671" s="18" t="n"/>
      <c r="X671" s="35" t="n"/>
      <c r="Y671" s="35" t="n">
        <v>12.523</v>
      </c>
    </row>
    <row r="672">
      <c r="A672" s="25" t="n">
        <v>39800</v>
      </c>
      <c r="B672" s="18" t="n">
        <v>39536</v>
      </c>
      <c r="C672" s="31" t="n"/>
      <c r="D672" s="32" t="n"/>
      <c r="E672" s="33" t="n">
        <v>-2.1453</v>
      </c>
      <c r="F672" t="inlineStr">
        <is>
          <t>Up</t>
        </is>
      </c>
      <c r="G672" t="inlineStr">
        <is>
          <t>Down</t>
        </is>
      </c>
      <c r="H672" t="inlineStr">
        <is>
          <t>EU_JD</t>
        </is>
      </c>
      <c r="I672" t="inlineStr">
        <is>
          <t>2008-12</t>
        </is>
      </c>
      <c r="J672" t="n">
        <v>1</v>
      </c>
      <c r="K672" t="n">
        <v>1</v>
      </c>
      <c r="L672" s="34">
        <f>IF($J672=1,LN(B673/B672),"")</f>
        <v/>
      </c>
      <c r="M672" s="34">
        <f>IF($K672=1,INDEX(Mensal!$D$2:$D$245,MATCH($I672,Mensal!$A$2:$A$245,0)),"")</f>
        <v/>
      </c>
      <c r="N672" s="34">
        <f>IF($K672=1,L672-M672,"")</f>
        <v/>
      </c>
      <c r="O672" s="34" t="n">
        <v>0.0005026400000000001</v>
      </c>
      <c r="P672" s="34">
        <f>IF($J672=1,LN(1+O672),"")</f>
        <v/>
      </c>
      <c r="Q672" s="34">
        <f>IF($J672=1,LN(R673/R672),"")</f>
        <v/>
      </c>
      <c r="R672" s="32" t="n">
        <v>2.3572</v>
      </c>
      <c r="S672" s="35" t="n">
        <v>12.362</v>
      </c>
      <c r="T672" s="18" t="n">
        <v>39536</v>
      </c>
      <c r="U672" s="18" t="n"/>
      <c r="V672" s="18" t="n"/>
      <c r="W672" s="18" t="n"/>
      <c r="X672" s="35" t="n"/>
      <c r="Y672" s="35" t="n">
        <v>12.362</v>
      </c>
    </row>
    <row r="673">
      <c r="A673" s="25" t="n">
        <v>39801</v>
      </c>
      <c r="B673" s="18" t="n">
        <v>39131</v>
      </c>
      <c r="C673" s="31" t="n"/>
      <c r="D673" s="32" t="n"/>
      <c r="E673" s="33" t="n">
        <v>-2.226</v>
      </c>
      <c r="F673" t="inlineStr">
        <is>
          <t>Up</t>
        </is>
      </c>
      <c r="G673" t="inlineStr">
        <is>
          <t>Down</t>
        </is>
      </c>
      <c r="H673" t="inlineStr">
        <is>
          <t>EU_JD</t>
        </is>
      </c>
      <c r="I673" t="inlineStr">
        <is>
          <t>2008-12</t>
        </is>
      </c>
      <c r="J673" t="n">
        <v>1</v>
      </c>
      <c r="K673" t="n">
        <v>1</v>
      </c>
      <c r="L673" s="34">
        <f>IF($J673=1,LN(B674/B673),"")</f>
        <v/>
      </c>
      <c r="M673" s="34">
        <f>IF($K673=1,INDEX(Mensal!$D$2:$D$245,MATCH($I673,Mensal!$A$2:$A$245,0)),"")</f>
        <v/>
      </c>
      <c r="N673" s="34">
        <f>IF($K673=1,L673-M673,"")</f>
        <v/>
      </c>
      <c r="O673" s="34" t="n">
        <v>0.00050124</v>
      </c>
      <c r="P673" s="34">
        <f>IF($J673=1,LN(1+O673),"")</f>
        <v/>
      </c>
      <c r="Q673" s="34">
        <f>IF($J673=1,LN(R674/R673),"")</f>
        <v/>
      </c>
      <c r="R673" s="32" t="n">
        <v>2.3859</v>
      </c>
      <c r="S673" s="35" t="n">
        <v>12.454</v>
      </c>
      <c r="T673" s="18" t="n">
        <v>39131</v>
      </c>
      <c r="U673" s="18" t="n"/>
      <c r="V673" s="18" t="n"/>
      <c r="W673" s="18" t="n"/>
      <c r="X673" s="35" t="n"/>
      <c r="Y673" s="35" t="n">
        <v>12.454</v>
      </c>
    </row>
    <row r="674">
      <c r="A674" s="25" t="n">
        <v>39804</v>
      </c>
      <c r="B674" s="18" t="n">
        <v>37618</v>
      </c>
      <c r="C674" s="31" t="n"/>
      <c r="D674" s="32" t="n"/>
      <c r="E674" s="33" t="n">
        <v>-2.3167</v>
      </c>
      <c r="F674" t="inlineStr">
        <is>
          <t>Up</t>
        </is>
      </c>
      <c r="G674" t="inlineStr">
        <is>
          <t>Down</t>
        </is>
      </c>
      <c r="H674" t="inlineStr">
        <is>
          <t>EU_JD</t>
        </is>
      </c>
      <c r="I674" t="inlineStr">
        <is>
          <t>2008-12</t>
        </is>
      </c>
      <c r="J674" t="n">
        <v>1</v>
      </c>
      <c r="K674" t="n">
        <v>1</v>
      </c>
      <c r="L674" s="34">
        <f>IF($J674=1,LN(B675/B674),"")</f>
        <v/>
      </c>
      <c r="M674" s="34">
        <f>IF($K674=1,INDEX(Mensal!$D$2:$D$245,MATCH($I674,Mensal!$A$2:$A$245,0)),"")</f>
        <v/>
      </c>
      <c r="N674" s="34">
        <f>IF($K674=1,L674-M674,"")</f>
        <v/>
      </c>
      <c r="O674" s="34" t="n">
        <v>0.00050299</v>
      </c>
      <c r="P674" s="34">
        <f>IF($J674=1,LN(1+O674),"")</f>
        <v/>
      </c>
      <c r="Q674" s="34">
        <f>IF($J674=1,LN(R675/R674),"")</f>
        <v/>
      </c>
      <c r="R674" s="32" t="n">
        <v>2.374</v>
      </c>
      <c r="S674" s="35" t="n">
        <v>12.304</v>
      </c>
      <c r="T674" s="18" t="n">
        <v>37618</v>
      </c>
      <c r="U674" s="18" t="n"/>
      <c r="V674" s="18" t="n"/>
      <c r="W674" s="18" t="n"/>
      <c r="X674" s="35" t="n"/>
      <c r="Y674" s="35" t="n">
        <v>12.304</v>
      </c>
    </row>
    <row r="675">
      <c r="A675" s="25" t="n">
        <v>39805</v>
      </c>
      <c r="B675" s="18" t="n">
        <v>36470</v>
      </c>
      <c r="C675" s="31" t="n"/>
      <c r="D675" s="32" t="n"/>
      <c r="E675" s="33" t="n">
        <v>-2.396</v>
      </c>
      <c r="F675" t="inlineStr">
        <is>
          <t>Up</t>
        </is>
      </c>
      <c r="G675" t="inlineStr">
        <is>
          <t>Down</t>
        </is>
      </c>
      <c r="H675" t="inlineStr">
        <is>
          <t>EU_JD</t>
        </is>
      </c>
      <c r="I675" t="inlineStr">
        <is>
          <t>2008-12</t>
        </is>
      </c>
      <c r="J675" t="n">
        <v>1</v>
      </c>
      <c r="K675" t="n">
        <v>1</v>
      </c>
      <c r="L675" s="34">
        <f>IF($J675=1,LN(B676/B675),"")</f>
        <v/>
      </c>
      <c r="M675" s="34">
        <f>IF($K675=1,INDEX(Mensal!$D$2:$D$245,MATCH($I675,Mensal!$A$2:$A$245,0)),"")</f>
        <v/>
      </c>
      <c r="N675" s="34">
        <f>IF($K675=1,L675-M675,"")</f>
        <v/>
      </c>
      <c r="O675" s="34" t="n">
        <v>0.00050159</v>
      </c>
      <c r="P675" s="34">
        <f>IF($J675=1,LN(1+O675),"")</f>
        <v/>
      </c>
      <c r="Q675" s="34">
        <f>IF($J675=1,LN(R676/R675),"")</f>
        <v/>
      </c>
      <c r="R675" s="32" t="n">
        <v>2.3829</v>
      </c>
      <c r="S675" s="35" t="n">
        <v>12.3</v>
      </c>
      <c r="T675" s="18" t="n">
        <v>36470</v>
      </c>
      <c r="U675" s="18" t="n"/>
      <c r="V675" s="18" t="n"/>
      <c r="W675" s="18" t="n"/>
      <c r="X675" s="35" t="n"/>
      <c r="Y675" s="35" t="n">
        <v>12.3</v>
      </c>
    </row>
    <row r="676">
      <c r="A676" s="25" t="n">
        <v>39808</v>
      </c>
      <c r="B676" s="18" t="n">
        <v>36864</v>
      </c>
      <c r="C676" s="31" t="n"/>
      <c r="D676" s="32" t="n"/>
      <c r="E676" s="33" t="n">
        <v>-2.4723</v>
      </c>
      <c r="F676" t="inlineStr">
        <is>
          <t>Up</t>
        </is>
      </c>
      <c r="G676" t="inlineStr">
        <is>
          <t>Down</t>
        </is>
      </c>
      <c r="H676" t="inlineStr">
        <is>
          <t>EU_JD</t>
        </is>
      </c>
      <c r="I676" t="inlineStr">
        <is>
          <t>2008-12</t>
        </is>
      </c>
      <c r="J676" t="n">
        <v>1</v>
      </c>
      <c r="K676" t="n">
        <v>1</v>
      </c>
      <c r="L676" s="34">
        <f>IF($J676=1,LN(B677/B676),"")</f>
        <v/>
      </c>
      <c r="M676" s="34">
        <f>IF($K676=1,INDEX(Mensal!$D$2:$D$245,MATCH($I676,Mensal!$A$2:$A$245,0)),"")</f>
        <v/>
      </c>
      <c r="N676" s="34">
        <f>IF($K676=1,L676-M676,"")</f>
        <v/>
      </c>
      <c r="O676" s="34" t="n">
        <v>0.00050299</v>
      </c>
      <c r="P676" s="34">
        <f>IF($J676=1,LN(1+O676),"")</f>
        <v/>
      </c>
      <c r="Q676" s="34">
        <f>IF($J676=1,LN(R677/R676),"")</f>
        <v/>
      </c>
      <c r="R676" s="32" t="n">
        <v>2.3613</v>
      </c>
      <c r="S676" s="35" t="n">
        <v>12.287</v>
      </c>
      <c r="T676" s="18" t="n">
        <v>36864</v>
      </c>
      <c r="U676" s="18" t="n"/>
      <c r="V676" s="18" t="n"/>
      <c r="W676" s="18" t="n"/>
      <c r="X676" s="35" t="n"/>
      <c r="Y676" s="35" t="n">
        <v>12.287</v>
      </c>
    </row>
    <row r="677">
      <c r="A677" s="25" t="n">
        <v>39811</v>
      </c>
      <c r="B677" s="18" t="n">
        <v>37060</v>
      </c>
      <c r="C677" s="31" t="n"/>
      <c r="D677" s="32" t="n"/>
      <c r="E677" s="33" t="n">
        <v>-2.5311</v>
      </c>
      <c r="F677" t="inlineStr">
        <is>
          <t>Up</t>
        </is>
      </c>
      <c r="G677" t="inlineStr">
        <is>
          <t>Down</t>
        </is>
      </c>
      <c r="H677" t="inlineStr">
        <is>
          <t>EU_JD</t>
        </is>
      </c>
      <c r="I677" t="inlineStr">
        <is>
          <t>2008-12</t>
        </is>
      </c>
      <c r="J677" t="n">
        <v>1</v>
      </c>
      <c r="K677" t="n">
        <v>1</v>
      </c>
      <c r="L677" s="34">
        <f>IF($J677=1,LN(B678/B677),"")</f>
        <v/>
      </c>
      <c r="M677" s="34">
        <f>IF($K677=1,INDEX(Mensal!$D$2:$D$245,MATCH($I677,Mensal!$A$2:$A$245,0)),"")</f>
        <v/>
      </c>
      <c r="N677" s="34">
        <f>IF($K677=1,L677-M677,"")</f>
        <v/>
      </c>
      <c r="O677" s="34" t="n">
        <v>0.0005057799999999999</v>
      </c>
      <c r="P677" s="34">
        <f>IF($J677=1,LN(1+O677),"")</f>
        <v/>
      </c>
      <c r="Q677" s="34">
        <f>IF($J677=1,LN(R678/R677),"")</f>
        <v/>
      </c>
      <c r="R677" s="32" t="n">
        <v>2.3956</v>
      </c>
      <c r="S677" s="35" t="n">
        <v>12.325</v>
      </c>
      <c r="T677" s="18" t="n">
        <v>37060</v>
      </c>
      <c r="U677" s="18" t="n"/>
      <c r="V677" s="18" t="n"/>
      <c r="W677" s="18" t="n"/>
      <c r="X677" s="35" t="n"/>
      <c r="Y677" s="35" t="n">
        <v>12.325</v>
      </c>
    </row>
    <row r="678">
      <c r="A678" s="25" t="n">
        <v>39812</v>
      </c>
      <c r="B678" s="18" t="n">
        <v>37550</v>
      </c>
      <c r="C678" s="31" t="n"/>
      <c r="D678" s="32" t="n"/>
      <c r="E678" s="33" t="n">
        <v>-2.5913</v>
      </c>
      <c r="F678" t="inlineStr">
        <is>
          <t>Up</t>
        </is>
      </c>
      <c r="G678" t="inlineStr">
        <is>
          <t>Down</t>
        </is>
      </c>
      <c r="H678" t="inlineStr">
        <is>
          <t>EU_JD</t>
        </is>
      </c>
      <c r="I678" t="inlineStr">
        <is>
          <t>2008-12</t>
        </is>
      </c>
      <c r="J678" t="n">
        <v>1</v>
      </c>
      <c r="K678" t="n">
        <v>1</v>
      </c>
      <c r="L678" s="34">
        <f>IF($J678=1,LN(B679/B678),"")</f>
        <v/>
      </c>
      <c r="M678" s="34">
        <f>IF($K678=1,INDEX(Mensal!$D$2:$D$245,MATCH($I678,Mensal!$A$2:$A$245,0)),"")</f>
        <v/>
      </c>
      <c r="N678" s="34">
        <f>IF($K678=1,L678-M678,"")</f>
        <v/>
      </c>
      <c r="O678" s="34" t="n">
        <v>0.00050648</v>
      </c>
      <c r="P678" s="34">
        <f>IF($J678=1,LN(1+O678),"")</f>
        <v/>
      </c>
      <c r="Q678" s="34">
        <f>IF($J678=1,LN(R679/R678),"")</f>
        <v/>
      </c>
      <c r="R678" s="32" t="n">
        <v>2.337</v>
      </c>
      <c r="S678" s="35" t="n">
        <v>12.168</v>
      </c>
      <c r="T678" s="18" t="n">
        <v>37550</v>
      </c>
      <c r="U678" s="18" t="n"/>
      <c r="V678" s="18" t="n"/>
      <c r="W678" s="18" t="n"/>
      <c r="X678" s="35" t="n"/>
      <c r="Y678" s="35" t="n">
        <v>12.168</v>
      </c>
    </row>
    <row r="679">
      <c r="A679" s="25" t="n">
        <v>39815</v>
      </c>
      <c r="B679" s="18" t="n">
        <v>40244</v>
      </c>
      <c r="C679" s="31" t="n"/>
      <c r="D679" s="32" t="n"/>
      <c r="E679" s="33" t="n">
        <v>-2.605</v>
      </c>
      <c r="F679" t="inlineStr">
        <is>
          <t>Down</t>
        </is>
      </c>
      <c r="G679" t="inlineStr">
        <is>
          <t>Down</t>
        </is>
      </c>
      <c r="H679" t="inlineStr">
        <is>
          <t>ED_JD</t>
        </is>
      </c>
      <c r="I679" t="inlineStr">
        <is>
          <t>2009-01</t>
        </is>
      </c>
      <c r="J679" t="n">
        <v>1</v>
      </c>
      <c r="K679" t="n">
        <v>1</v>
      </c>
      <c r="L679" s="34">
        <f>IF($J679=1,LN(B680/B679),"")</f>
        <v/>
      </c>
      <c r="M679" s="34">
        <f>IF($K679=1,INDEX(Mensal!$D$2:$D$245,MATCH($I679,Mensal!$A$2:$A$245,0)),"")</f>
        <v/>
      </c>
      <c r="N679" s="34">
        <f>IF($K679=1,L679-M679,"")</f>
        <v/>
      </c>
      <c r="O679" s="34" t="n">
        <v>0.00050683</v>
      </c>
      <c r="P679" s="34">
        <f>IF($J679=1,LN(1+O679),"")</f>
        <v/>
      </c>
      <c r="Q679" s="34">
        <f>IF($J679=1,LN(R680/R679),"")</f>
        <v/>
      </c>
      <c r="R679" s="32" t="n">
        <v>2.3298</v>
      </c>
      <c r="S679" s="35" t="n">
        <v>12.172</v>
      </c>
      <c r="T679" s="18" t="n"/>
      <c r="U679" s="18" t="n"/>
      <c r="V679" s="18" t="n">
        <v>40244</v>
      </c>
      <c r="W679" s="18" t="n"/>
      <c r="X679" s="35" t="n"/>
      <c r="Y679" s="35" t="n">
        <v>12.172</v>
      </c>
    </row>
    <row r="680">
      <c r="A680" s="25" t="n">
        <v>39818</v>
      </c>
      <c r="B680" s="18" t="n">
        <v>41518</v>
      </c>
      <c r="C680" s="31" t="n"/>
      <c r="D680" s="32" t="n"/>
      <c r="E680" s="33" t="n">
        <v>-2.614</v>
      </c>
      <c r="F680" t="inlineStr">
        <is>
          <t>Down</t>
        </is>
      </c>
      <c r="G680" t="inlineStr">
        <is>
          <t>Down</t>
        </is>
      </c>
      <c r="H680" t="inlineStr">
        <is>
          <t>ED_JD</t>
        </is>
      </c>
      <c r="I680" t="inlineStr">
        <is>
          <t>2009-01</t>
        </is>
      </c>
      <c r="J680" t="n">
        <v>1</v>
      </c>
      <c r="K680" t="n">
        <v>1</v>
      </c>
      <c r="L680" s="34">
        <f>IF($J680=1,LN(B681/B680),"")</f>
        <v/>
      </c>
      <c r="M680" s="34">
        <f>IF($K680=1,INDEX(Mensal!$D$2:$D$245,MATCH($I680,Mensal!$A$2:$A$245,0)),"")</f>
        <v/>
      </c>
      <c r="N680" s="34">
        <f>IF($K680=1,L680-M680,"")</f>
        <v/>
      </c>
      <c r="O680" s="34" t="n">
        <v>0.0005057799999999999</v>
      </c>
      <c r="P680" s="34">
        <f>IF($J680=1,LN(1+O680),"")</f>
        <v/>
      </c>
      <c r="Q680" s="34">
        <f>IF($J680=1,LN(R681/R680),"")</f>
        <v/>
      </c>
      <c r="R680" s="32" t="n">
        <v>2.278</v>
      </c>
      <c r="S680" s="35" t="n">
        <v>12.073</v>
      </c>
      <c r="T680" s="18" t="n"/>
      <c r="U680" s="18" t="n"/>
      <c r="V680" s="18" t="n">
        <v>41518</v>
      </c>
      <c r="W680" s="18" t="n"/>
      <c r="X680" s="35" t="n"/>
      <c r="Y680" s="35" t="n">
        <v>12.073</v>
      </c>
    </row>
    <row r="681">
      <c r="A681" s="25" t="n">
        <v>39819</v>
      </c>
      <c r="B681" s="18" t="n">
        <v>42312</v>
      </c>
      <c r="C681" s="31" t="n"/>
      <c r="D681" s="32" t="n"/>
      <c r="E681" s="33" t="n">
        <v>-2.6238</v>
      </c>
      <c r="F681" t="inlineStr">
        <is>
          <t>Down</t>
        </is>
      </c>
      <c r="G681" t="inlineStr">
        <is>
          <t>Down</t>
        </is>
      </c>
      <c r="H681" t="inlineStr">
        <is>
          <t>ED_JD</t>
        </is>
      </c>
      <c r="I681" t="inlineStr">
        <is>
          <t>2009-01</t>
        </is>
      </c>
      <c r="J681" t="n">
        <v>1</v>
      </c>
      <c r="K681" t="n">
        <v>1</v>
      </c>
      <c r="L681" s="34">
        <f>IF($J681=1,LN(B682/B681),"")</f>
        <v/>
      </c>
      <c r="M681" s="34">
        <f>IF($K681=1,INDEX(Mensal!$D$2:$D$245,MATCH($I681,Mensal!$A$2:$A$245,0)),"")</f>
        <v/>
      </c>
      <c r="N681" s="34">
        <f>IF($K681=1,L681-M681,"")</f>
        <v/>
      </c>
      <c r="O681" s="34" t="n">
        <v>0.00050613</v>
      </c>
      <c r="P681" s="34">
        <f>IF($J681=1,LN(1+O681),"")</f>
        <v/>
      </c>
      <c r="Q681" s="34">
        <f>IF($J681=1,LN(R682/R681),"")</f>
        <v/>
      </c>
      <c r="R681" s="32" t="n">
        <v>2.1889</v>
      </c>
      <c r="S681" s="35" t="n">
        <v>11.99</v>
      </c>
      <c r="T681" s="18" t="n"/>
      <c r="U681" s="18" t="n"/>
      <c r="V681" s="18" t="n">
        <v>42312</v>
      </c>
      <c r="W681" s="18" t="n"/>
      <c r="X681" s="35" t="n"/>
      <c r="Y681" s="35" t="n">
        <v>11.99</v>
      </c>
    </row>
    <row r="682">
      <c r="A682" s="25" t="n">
        <v>39820</v>
      </c>
      <c r="B682" s="18" t="n">
        <v>40820</v>
      </c>
      <c r="C682" s="31" t="n"/>
      <c r="D682" s="32" t="n"/>
      <c r="E682" s="33" t="n">
        <v>-2.6248</v>
      </c>
      <c r="F682" t="inlineStr">
        <is>
          <t>Down</t>
        </is>
      </c>
      <c r="G682" t="inlineStr">
        <is>
          <t>Down</t>
        </is>
      </c>
      <c r="H682" t="inlineStr">
        <is>
          <t>ED_JD</t>
        </is>
      </c>
      <c r="I682" t="inlineStr">
        <is>
          <t>2009-01</t>
        </is>
      </c>
      <c r="J682" t="n">
        <v>1</v>
      </c>
      <c r="K682" t="n">
        <v>1</v>
      </c>
      <c r="L682" s="34">
        <f>IF($J682=1,LN(B683/B682),"")</f>
        <v/>
      </c>
      <c r="M682" s="34">
        <f>IF($K682=1,INDEX(Mensal!$D$2:$D$245,MATCH($I682,Mensal!$A$2:$A$245,0)),"")</f>
        <v/>
      </c>
      <c r="N682" s="34">
        <f>IF($K682=1,L682-M682,"")</f>
        <v/>
      </c>
      <c r="O682" s="34" t="n">
        <v>0.00050648</v>
      </c>
      <c r="P682" s="34">
        <f>IF($J682=1,LN(1+O682),"")</f>
        <v/>
      </c>
      <c r="Q682" s="34">
        <f>IF($J682=1,LN(R683/R682),"")</f>
        <v/>
      </c>
      <c r="R682" s="32" t="n">
        <v>2.2174</v>
      </c>
      <c r="S682" s="35" t="n">
        <v>12.071</v>
      </c>
      <c r="T682" s="18" t="n"/>
      <c r="U682" s="18" t="n"/>
      <c r="V682" s="18" t="n">
        <v>40820</v>
      </c>
      <c r="W682" s="18" t="n"/>
      <c r="X682" s="35" t="n"/>
      <c r="Y682" s="35" t="n">
        <v>12.071</v>
      </c>
    </row>
    <row r="683">
      <c r="A683" s="25" t="n">
        <v>39821</v>
      </c>
      <c r="B683" s="18" t="n">
        <v>41990</v>
      </c>
      <c r="C683" s="31" t="n"/>
      <c r="D683" s="32" t="n"/>
      <c r="E683" s="33" t="n">
        <v>-2.6344</v>
      </c>
      <c r="F683" t="inlineStr">
        <is>
          <t>Down</t>
        </is>
      </c>
      <c r="G683" t="inlineStr">
        <is>
          <t>Down</t>
        </is>
      </c>
      <c r="H683" t="inlineStr">
        <is>
          <t>ED_JD</t>
        </is>
      </c>
      <c r="I683" t="inlineStr">
        <is>
          <t>2009-01</t>
        </is>
      </c>
      <c r="J683" t="n">
        <v>1</v>
      </c>
      <c r="K683" t="n">
        <v>1</v>
      </c>
      <c r="L683" s="34">
        <f>IF($J683=1,LN(B684/B683),"")</f>
        <v/>
      </c>
      <c r="M683" s="34">
        <f>IF($K683=1,INDEX(Mensal!$D$2:$D$245,MATCH($I683,Mensal!$A$2:$A$245,0)),"")</f>
        <v/>
      </c>
      <c r="N683" s="34">
        <f>IF($K683=1,L683-M683,"")</f>
        <v/>
      </c>
      <c r="O683" s="34" t="n">
        <v>0.00050613</v>
      </c>
      <c r="P683" s="34">
        <f>IF($J683=1,LN(1+O683),"")</f>
        <v/>
      </c>
      <c r="Q683" s="34">
        <f>IF($J683=1,LN(R684/R683),"")</f>
        <v/>
      </c>
      <c r="R683" s="32" t="n">
        <v>2.2683</v>
      </c>
      <c r="S683" s="35" t="n">
        <v>11.88</v>
      </c>
      <c r="T683" s="18" t="n"/>
      <c r="U683" s="18" t="n"/>
      <c r="V683" s="18" t="n">
        <v>41990</v>
      </c>
      <c r="W683" s="18" t="n"/>
      <c r="X683" s="35" t="n"/>
      <c r="Y683" s="35" t="n">
        <v>11.88</v>
      </c>
    </row>
    <row r="684">
      <c r="A684" s="25" t="n">
        <v>39822</v>
      </c>
      <c r="B684" s="18" t="n">
        <v>41582</v>
      </c>
      <c r="C684" s="31" t="n"/>
      <c r="D684" s="32" t="n"/>
      <c r="E684" s="33" t="n">
        <v>-2.6198</v>
      </c>
      <c r="F684" t="inlineStr">
        <is>
          <t>Down</t>
        </is>
      </c>
      <c r="G684" t="inlineStr">
        <is>
          <t>Down</t>
        </is>
      </c>
      <c r="H684" t="inlineStr">
        <is>
          <t>ED_JD</t>
        </is>
      </c>
      <c r="I684" t="inlineStr">
        <is>
          <t>2009-01</t>
        </is>
      </c>
      <c r="J684" t="n">
        <v>1</v>
      </c>
      <c r="K684" t="n">
        <v>1</v>
      </c>
      <c r="L684" s="34">
        <f>IF($J684=1,LN(B685/B684),"")</f>
        <v/>
      </c>
      <c r="M684" s="34">
        <f>IF($K684=1,INDEX(Mensal!$D$2:$D$245,MATCH($I684,Mensal!$A$2:$A$245,0)),"")</f>
        <v/>
      </c>
      <c r="N684" s="34">
        <f>IF($K684=1,L684-M684,"")</f>
        <v/>
      </c>
      <c r="O684" s="34" t="n">
        <v>0.00050648</v>
      </c>
      <c r="P684" s="34">
        <f>IF($J684=1,LN(1+O684),"")</f>
        <v/>
      </c>
      <c r="Q684" s="34">
        <f>IF($J684=1,LN(R685/R684),"")</f>
        <v/>
      </c>
      <c r="R684" s="32" t="n">
        <v>2.2867</v>
      </c>
      <c r="S684" s="35" t="n">
        <v>11.622</v>
      </c>
      <c r="T684" s="18" t="n"/>
      <c r="U684" s="18" t="n"/>
      <c r="V684" s="18" t="n">
        <v>41582</v>
      </c>
      <c r="W684" s="18" t="n"/>
      <c r="X684" s="35" t="n"/>
      <c r="Y684" s="35" t="n">
        <v>11.622</v>
      </c>
    </row>
    <row r="685">
      <c r="A685" s="25" t="n">
        <v>39825</v>
      </c>
      <c r="B685" s="18" t="n">
        <v>39404</v>
      </c>
      <c r="C685" s="31" t="n"/>
      <c r="D685" s="32" t="n"/>
      <c r="E685" s="33" t="n">
        <v>-2.6191</v>
      </c>
      <c r="F685" t="inlineStr">
        <is>
          <t>Down</t>
        </is>
      </c>
      <c r="G685" t="inlineStr">
        <is>
          <t>Down</t>
        </is>
      </c>
      <c r="H685" t="inlineStr">
        <is>
          <t>ED_JD</t>
        </is>
      </c>
      <c r="I685" t="inlineStr">
        <is>
          <t>2009-01</t>
        </is>
      </c>
      <c r="J685" t="n">
        <v>1</v>
      </c>
      <c r="K685" t="n">
        <v>1</v>
      </c>
      <c r="L685" s="34">
        <f>IF($J685=1,LN(B686/B685),"")</f>
        <v/>
      </c>
      <c r="M685" s="34">
        <f>IF($K685=1,INDEX(Mensal!$D$2:$D$245,MATCH($I685,Mensal!$A$2:$A$245,0)),"")</f>
        <v/>
      </c>
      <c r="N685" s="34">
        <f>IF($K685=1,L685-M685,"")</f>
        <v/>
      </c>
      <c r="O685" s="34" t="n">
        <v>0.00050613</v>
      </c>
      <c r="P685" s="34">
        <f>IF($J685=1,LN(1+O685),"")</f>
        <v/>
      </c>
      <c r="Q685" s="34">
        <f>IF($J685=1,LN(R686/R685),"")</f>
        <v/>
      </c>
      <c r="R685" s="32" t="n">
        <v>2.2969</v>
      </c>
      <c r="S685" s="35" t="n">
        <v>11.588</v>
      </c>
      <c r="T685" s="18" t="n"/>
      <c r="U685" s="18" t="n"/>
      <c r="V685" s="18" t="n">
        <v>39404</v>
      </c>
      <c r="W685" s="18" t="n"/>
      <c r="X685" s="35" t="n"/>
      <c r="Y685" s="35" t="n">
        <v>11.588</v>
      </c>
    </row>
    <row r="686">
      <c r="A686" s="25" t="n">
        <v>39826</v>
      </c>
      <c r="B686" s="18" t="n">
        <v>39544</v>
      </c>
      <c r="C686" s="31" t="n"/>
      <c r="D686" s="32" t="n"/>
      <c r="E686" s="33" t="n">
        <v>-2.6427</v>
      </c>
      <c r="F686" t="inlineStr">
        <is>
          <t>Down</t>
        </is>
      </c>
      <c r="G686" t="inlineStr">
        <is>
          <t>Down</t>
        </is>
      </c>
      <c r="H686" t="inlineStr">
        <is>
          <t>ED_JD</t>
        </is>
      </c>
      <c r="I686" t="inlineStr">
        <is>
          <t>2009-01</t>
        </is>
      </c>
      <c r="J686" t="n">
        <v>1</v>
      </c>
      <c r="K686" t="n">
        <v>1</v>
      </c>
      <c r="L686" s="34">
        <f>IF($J686=1,LN(B687/B686),"")</f>
        <v/>
      </c>
      <c r="M686" s="34">
        <f>IF($K686=1,INDEX(Mensal!$D$2:$D$245,MATCH($I686,Mensal!$A$2:$A$245,0)),"")</f>
        <v/>
      </c>
      <c r="N686" s="34">
        <f>IF($K686=1,L686-M686,"")</f>
        <v/>
      </c>
      <c r="O686" s="34" t="n">
        <v>0.00050613</v>
      </c>
      <c r="P686" s="34">
        <f>IF($J686=1,LN(1+O686),"")</f>
        <v/>
      </c>
      <c r="Q686" s="34">
        <f>IF($J686=1,LN(R687/R686),"")</f>
        <v/>
      </c>
      <c r="R686" s="32" t="n">
        <v>2.3083</v>
      </c>
      <c r="S686" s="35" t="n">
        <v>11.464</v>
      </c>
      <c r="T686" s="18" t="n"/>
      <c r="U686" s="18" t="n"/>
      <c r="V686" s="18" t="n">
        <v>39544</v>
      </c>
      <c r="W686" s="18" t="n"/>
      <c r="X686" s="35" t="n"/>
      <c r="Y686" s="35" t="n">
        <v>11.464</v>
      </c>
    </row>
    <row r="687">
      <c r="A687" s="25" t="n">
        <v>39827</v>
      </c>
      <c r="B687" s="18" t="n">
        <v>37981</v>
      </c>
      <c r="C687" s="31" t="n"/>
      <c r="D687" s="32" t="n"/>
      <c r="E687" s="33" t="n">
        <v>-2.6632</v>
      </c>
      <c r="F687" t="inlineStr">
        <is>
          <t>Down</t>
        </is>
      </c>
      <c r="G687" t="inlineStr">
        <is>
          <t>Down</t>
        </is>
      </c>
      <c r="H687" t="inlineStr">
        <is>
          <t>ED_JD</t>
        </is>
      </c>
      <c r="I687" t="inlineStr">
        <is>
          <t>2009-01</t>
        </is>
      </c>
      <c r="J687" t="n">
        <v>1</v>
      </c>
      <c r="K687" t="n">
        <v>1</v>
      </c>
      <c r="L687" s="34">
        <f>IF($J687=1,LN(B688/B687),"")</f>
        <v/>
      </c>
      <c r="M687" s="34">
        <f>IF($K687=1,INDEX(Mensal!$D$2:$D$245,MATCH($I687,Mensal!$A$2:$A$245,0)),"")</f>
        <v/>
      </c>
      <c r="N687" s="34">
        <f>IF($K687=1,L687-M687,"")</f>
        <v/>
      </c>
      <c r="O687" s="34" t="n">
        <v>0.00050613</v>
      </c>
      <c r="P687" s="34">
        <f>IF($J687=1,LN(1+O687),"")</f>
        <v/>
      </c>
      <c r="Q687" s="34">
        <f>IF($J687=1,LN(R688/R687),"")</f>
        <v/>
      </c>
      <c r="R687" s="32" t="n">
        <v>2.3341</v>
      </c>
      <c r="S687" s="35" t="n">
        <v>11.571</v>
      </c>
      <c r="T687" s="18" t="n"/>
      <c r="U687" s="18" t="n"/>
      <c r="V687" s="18" t="n">
        <v>37981</v>
      </c>
      <c r="W687" s="18" t="n"/>
      <c r="X687" s="35" t="n"/>
      <c r="Y687" s="35" t="n">
        <v>11.571</v>
      </c>
    </row>
    <row r="688">
      <c r="A688" s="25" t="n">
        <v>39828</v>
      </c>
      <c r="B688" s="18" t="n">
        <v>39151</v>
      </c>
      <c r="C688" s="31" t="n"/>
      <c r="D688" s="32" t="n"/>
      <c r="E688" s="33" t="n">
        <v>-2.6834</v>
      </c>
      <c r="F688" t="inlineStr">
        <is>
          <t>Down</t>
        </is>
      </c>
      <c r="G688" t="inlineStr">
        <is>
          <t>Down</t>
        </is>
      </c>
      <c r="H688" t="inlineStr">
        <is>
          <t>ED_JD</t>
        </is>
      </c>
      <c r="I688" t="inlineStr">
        <is>
          <t>2009-01</t>
        </is>
      </c>
      <c r="J688" t="n">
        <v>1</v>
      </c>
      <c r="K688" t="n">
        <v>1</v>
      </c>
      <c r="L688" s="34">
        <f>IF($J688=1,LN(B689/B688),"")</f>
        <v/>
      </c>
      <c r="M688" s="34">
        <f>IF($K688=1,INDEX(Mensal!$D$2:$D$245,MATCH($I688,Mensal!$A$2:$A$245,0)),"")</f>
        <v/>
      </c>
      <c r="N688" s="34">
        <f>IF($K688=1,L688-M688,"")</f>
        <v/>
      </c>
      <c r="O688" s="34" t="n">
        <v>0.00050683</v>
      </c>
      <c r="P688" s="34">
        <f>IF($J688=1,LN(1+O688),"")</f>
        <v/>
      </c>
      <c r="Q688" s="34">
        <f>IF($J688=1,LN(R689/R688),"")</f>
        <v/>
      </c>
      <c r="R688" s="32" t="n">
        <v>2.3803</v>
      </c>
      <c r="S688" s="35" t="n">
        <v>11.415</v>
      </c>
      <c r="T688" s="18" t="n"/>
      <c r="U688" s="18" t="n"/>
      <c r="V688" s="18" t="n">
        <v>39151</v>
      </c>
      <c r="W688" s="18" t="n"/>
      <c r="X688" s="35" t="n"/>
      <c r="Y688" s="35" t="n">
        <v>11.415</v>
      </c>
    </row>
    <row r="689">
      <c r="A689" s="25" t="n">
        <v>39829</v>
      </c>
      <c r="B689" s="18" t="n">
        <v>39342</v>
      </c>
      <c r="C689" s="31" t="n"/>
      <c r="D689" s="32" t="n"/>
      <c r="E689" s="33" t="n">
        <v>-2.6926</v>
      </c>
      <c r="F689" t="inlineStr">
        <is>
          <t>Down</t>
        </is>
      </c>
      <c r="G689" t="inlineStr">
        <is>
          <t>Down</t>
        </is>
      </c>
      <c r="H689" t="inlineStr">
        <is>
          <t>ED_JD</t>
        </is>
      </c>
      <c r="I689" t="inlineStr">
        <is>
          <t>2009-01</t>
        </is>
      </c>
      <c r="J689" t="n">
        <v>1</v>
      </c>
      <c r="K689" t="n">
        <v>1</v>
      </c>
      <c r="L689" s="34">
        <f>IF($J689=1,LN(B690/B689),"")</f>
        <v/>
      </c>
      <c r="M689" s="34">
        <f>IF($K689=1,INDEX(Mensal!$D$2:$D$245,MATCH($I689,Mensal!$A$2:$A$245,0)),"")</f>
        <v/>
      </c>
      <c r="N689" s="34">
        <f>IF($K689=1,L689-M689,"")</f>
        <v/>
      </c>
      <c r="O689" s="34" t="n">
        <v>0.00050648</v>
      </c>
      <c r="P689" s="34">
        <f>IF($J689=1,LN(1+O689),"")</f>
        <v/>
      </c>
      <c r="Q689" s="34">
        <f>IF($J689=1,LN(R690/R689),"")</f>
        <v/>
      </c>
      <c r="R689" s="32" t="n">
        <v>2.3248</v>
      </c>
      <c r="S689" s="35" t="n">
        <v>11.417</v>
      </c>
      <c r="T689" s="18" t="n"/>
      <c r="U689" s="18" t="n"/>
      <c r="V689" s="18" t="n">
        <v>39342</v>
      </c>
      <c r="W689" s="18" t="n"/>
      <c r="X689" s="35" t="n"/>
      <c r="Y689" s="35" t="n">
        <v>11.417</v>
      </c>
    </row>
    <row r="690">
      <c r="A690" s="25" t="n">
        <v>39832</v>
      </c>
      <c r="B690" s="18" t="n">
        <v>38828</v>
      </c>
      <c r="C690" s="31" t="n"/>
      <c r="D690" s="32" t="n"/>
      <c r="E690" s="33" t="n">
        <v>-2.7231</v>
      </c>
      <c r="F690" t="inlineStr">
        <is>
          <t>Down</t>
        </is>
      </c>
      <c r="G690" t="inlineStr">
        <is>
          <t>Down</t>
        </is>
      </c>
      <c r="H690" t="inlineStr">
        <is>
          <t>ED_JD</t>
        </is>
      </c>
      <c r="I690" t="inlineStr">
        <is>
          <t>2009-01</t>
        </is>
      </c>
      <c r="J690" t="n">
        <v>1</v>
      </c>
      <c r="K690" t="n">
        <v>1</v>
      </c>
      <c r="L690" s="34">
        <f>IF($J690=1,LN(B691/B690),"")</f>
        <v/>
      </c>
      <c r="M690" s="34">
        <f>IF($K690=1,INDEX(Mensal!$D$2:$D$245,MATCH($I690,Mensal!$A$2:$A$245,0)),"")</f>
        <v/>
      </c>
      <c r="N690" s="34">
        <f>IF($K690=1,L690-M690,"")</f>
        <v/>
      </c>
      <c r="O690" s="34" t="n">
        <v>0.00049844</v>
      </c>
      <c r="P690" s="34">
        <f>IF($J690=1,LN(1+O690),"")</f>
        <v/>
      </c>
      <c r="Q690" s="34">
        <f>IF($J690=1,LN(R691/R690),"")</f>
        <v/>
      </c>
      <c r="R690" s="32" t="n">
        <v>2.3306</v>
      </c>
      <c r="S690" s="35" t="n">
        <v>11.342</v>
      </c>
      <c r="T690" s="18" t="n"/>
      <c r="U690" s="18" t="n"/>
      <c r="V690" s="18" t="n">
        <v>38828</v>
      </c>
      <c r="W690" s="18" t="n"/>
      <c r="X690" s="35" t="n"/>
      <c r="Y690" s="35" t="n">
        <v>11.342</v>
      </c>
    </row>
    <row r="691">
      <c r="A691" s="25" t="n">
        <v>39833</v>
      </c>
      <c r="B691" s="18" t="n">
        <v>37272</v>
      </c>
      <c r="C691" s="31" t="n"/>
      <c r="D691" s="32" t="n"/>
      <c r="E691" s="33" t="n">
        <v>-2.7458</v>
      </c>
      <c r="F691" t="inlineStr">
        <is>
          <t>Down</t>
        </is>
      </c>
      <c r="G691" t="inlineStr">
        <is>
          <t>Down</t>
        </is>
      </c>
      <c r="H691" t="inlineStr">
        <is>
          <t>ED_JD</t>
        </is>
      </c>
      <c r="I691" t="inlineStr">
        <is>
          <t>2009-01</t>
        </is>
      </c>
      <c r="J691" t="n">
        <v>1</v>
      </c>
      <c r="K691" t="n">
        <v>1</v>
      </c>
      <c r="L691" s="34">
        <f>IF($J691=1,LN(B692/B691),"")</f>
        <v/>
      </c>
      <c r="M691" s="34">
        <f>IF($K691=1,INDEX(Mensal!$D$2:$D$245,MATCH($I691,Mensal!$A$2:$A$245,0)),"")</f>
        <v/>
      </c>
      <c r="N691" s="34">
        <f>IF($K691=1,L691-M691,"")</f>
        <v/>
      </c>
      <c r="O691" s="34" t="n">
        <v>0.00050089</v>
      </c>
      <c r="P691" s="34">
        <f>IF($J691=1,LN(1+O691),"")</f>
        <v/>
      </c>
      <c r="Q691" s="34">
        <f>IF($J691=1,LN(R692/R691),"")</f>
        <v/>
      </c>
      <c r="R691" s="32" t="n">
        <v>2.3548</v>
      </c>
      <c r="S691" s="35" t="n">
        <v>11.227</v>
      </c>
      <c r="T691" s="18" t="n"/>
      <c r="U691" s="18" t="n"/>
      <c r="V691" s="18" t="n">
        <v>37272</v>
      </c>
      <c r="W691" s="18" t="n"/>
      <c r="X691" s="35" t="n"/>
      <c r="Y691" s="35" t="n">
        <v>11.227</v>
      </c>
    </row>
    <row r="692">
      <c r="A692" s="25" t="n">
        <v>39834</v>
      </c>
      <c r="B692" s="18" t="n">
        <v>38543</v>
      </c>
      <c r="C692" s="31" t="n"/>
      <c r="D692" s="32" t="n"/>
      <c r="E692" s="33" t="n">
        <v>-2.7596</v>
      </c>
      <c r="F692" t="inlineStr">
        <is>
          <t>Down</t>
        </is>
      </c>
      <c r="G692" t="inlineStr">
        <is>
          <t>Down</t>
        </is>
      </c>
      <c r="H692" t="inlineStr">
        <is>
          <t>ED_JD</t>
        </is>
      </c>
      <c r="I692" t="inlineStr">
        <is>
          <t>2009-01</t>
        </is>
      </c>
      <c r="J692" t="n">
        <v>1</v>
      </c>
      <c r="K692" t="n">
        <v>1</v>
      </c>
      <c r="L692" s="34">
        <f>IF($J692=1,LN(B693/B692),"")</f>
        <v/>
      </c>
      <c r="M692" s="34">
        <f>IF($K692=1,INDEX(Mensal!$D$2:$D$245,MATCH($I692,Mensal!$A$2:$A$245,0)),"")</f>
        <v/>
      </c>
      <c r="N692" s="34">
        <f>IF($K692=1,L692-M692,"")</f>
        <v/>
      </c>
      <c r="O692" s="34" t="n">
        <v>0.00050648</v>
      </c>
      <c r="P692" s="34">
        <f>IF($J692=1,LN(1+O692),"")</f>
        <v/>
      </c>
      <c r="Q692" s="34">
        <f>IF($J692=1,LN(R693/R692),"")</f>
        <v/>
      </c>
      <c r="R692" s="32" t="n">
        <v>2.3544</v>
      </c>
      <c r="S692" s="35" t="n">
        <v>11.137</v>
      </c>
      <c r="T692" s="18" t="n"/>
      <c r="U692" s="18" t="n"/>
      <c r="V692" s="18" t="n">
        <v>38543</v>
      </c>
      <c r="W692" s="18" t="n"/>
      <c r="X692" s="35" t="n"/>
      <c r="Y692" s="35" t="n">
        <v>11.137</v>
      </c>
    </row>
    <row r="693">
      <c r="A693" s="25" t="n">
        <v>39835</v>
      </c>
      <c r="B693" s="18" t="n">
        <v>37894</v>
      </c>
      <c r="C693" s="31" t="n"/>
      <c r="D693" s="32" t="n"/>
      <c r="E693" s="33" t="n">
        <v>-2.7869</v>
      </c>
      <c r="F693" t="inlineStr">
        <is>
          <t>Down</t>
        </is>
      </c>
      <c r="G693" t="inlineStr">
        <is>
          <t>Down</t>
        </is>
      </c>
      <c r="H693" t="inlineStr">
        <is>
          <t>ED_JD</t>
        </is>
      </c>
      <c r="I693" t="inlineStr">
        <is>
          <t>2009-01</t>
        </is>
      </c>
      <c r="J693" t="n">
        <v>1</v>
      </c>
      <c r="K693" t="n">
        <v>1</v>
      </c>
      <c r="L693" s="34">
        <f>IF($J693=1,LN(B694/B693),"")</f>
        <v/>
      </c>
      <c r="M693" s="34">
        <f>IF($K693=1,INDEX(Mensal!$D$2:$D$245,MATCH($I693,Mensal!$A$2:$A$245,0)),"")</f>
        <v/>
      </c>
      <c r="N693" s="34">
        <f>IF($K693=1,L693-M693,"")</f>
        <v/>
      </c>
      <c r="O693" s="34" t="n">
        <v>0.00047138</v>
      </c>
      <c r="P693" s="34">
        <f>IF($J693=1,LN(1+O693),"")</f>
        <v/>
      </c>
      <c r="Q693" s="34">
        <f>IF($J693=1,LN(R694/R693),"")</f>
        <v/>
      </c>
      <c r="R693" s="32" t="n">
        <v>2.3299</v>
      </c>
      <c r="S693" s="35" t="n">
        <v>11.056</v>
      </c>
      <c r="T693" s="18" t="n"/>
      <c r="U693" s="18" t="n"/>
      <c r="V693" s="18" t="n">
        <v>37894</v>
      </c>
      <c r="W693" s="18" t="n"/>
      <c r="X693" s="35" t="n"/>
      <c r="Y693" s="35" t="n">
        <v>11.056</v>
      </c>
    </row>
    <row r="694">
      <c r="A694" s="25" t="n">
        <v>39836</v>
      </c>
      <c r="B694" s="18" t="n">
        <v>38132</v>
      </c>
      <c r="C694" s="31" t="n"/>
      <c r="D694" s="32" t="n"/>
      <c r="E694" s="33" t="n">
        <v>-2.8182</v>
      </c>
      <c r="F694" t="inlineStr">
        <is>
          <t>Down</t>
        </is>
      </c>
      <c r="G694" t="inlineStr">
        <is>
          <t>Down</t>
        </is>
      </c>
      <c r="H694" t="inlineStr">
        <is>
          <t>ED_JD</t>
        </is>
      </c>
      <c r="I694" t="inlineStr">
        <is>
          <t>2009-01</t>
        </is>
      </c>
      <c r="J694" t="n">
        <v>1</v>
      </c>
      <c r="K694" t="n">
        <v>1</v>
      </c>
      <c r="L694" s="34">
        <f>IF($J694=1,LN(B695/B694),"")</f>
        <v/>
      </c>
      <c r="M694" s="34">
        <f>IF($K694=1,INDEX(Mensal!$D$2:$D$245,MATCH($I694,Mensal!$A$2:$A$245,0)),"")</f>
        <v/>
      </c>
      <c r="N694" s="34">
        <f>IF($K694=1,L694-M694,"")</f>
        <v/>
      </c>
      <c r="O694" s="34" t="n">
        <v>0.00047138</v>
      </c>
      <c r="P694" s="34">
        <f>IF($J694=1,LN(1+O694),"")</f>
        <v/>
      </c>
      <c r="Q694" s="34">
        <f>IF($J694=1,LN(R695/R694),"")</f>
        <v/>
      </c>
      <c r="R694" s="32" t="n">
        <v>2.3568</v>
      </c>
      <c r="S694" s="35" t="n">
        <v>11.26</v>
      </c>
      <c r="T694" s="18" t="n"/>
      <c r="U694" s="18" t="n"/>
      <c r="V694" s="18" t="n">
        <v>38132</v>
      </c>
      <c r="W694" s="18" t="n"/>
      <c r="X694" s="35" t="n"/>
      <c r="Y694" s="35" t="n">
        <v>11.26</v>
      </c>
    </row>
    <row r="695">
      <c r="A695" s="25" t="n">
        <v>39839</v>
      </c>
      <c r="B695" s="18" t="n">
        <v>38509</v>
      </c>
      <c r="C695" s="31" t="n"/>
      <c r="D695" s="32" t="n"/>
      <c r="E695" s="33" t="n">
        <v>-2.8429</v>
      </c>
      <c r="F695" t="inlineStr">
        <is>
          <t>Down</t>
        </is>
      </c>
      <c r="G695" t="inlineStr">
        <is>
          <t>Down</t>
        </is>
      </c>
      <c r="H695" t="inlineStr">
        <is>
          <t>ED_JD</t>
        </is>
      </c>
      <c r="I695" t="inlineStr">
        <is>
          <t>2009-01</t>
        </is>
      </c>
      <c r="J695" t="n">
        <v>1</v>
      </c>
      <c r="K695" t="n">
        <v>1</v>
      </c>
      <c r="L695" s="34">
        <f>IF($J695=1,LN(B696/B695),"")</f>
        <v/>
      </c>
      <c r="M695" s="34">
        <f>IF($K695=1,INDEX(Mensal!$D$2:$D$245,MATCH($I695,Mensal!$A$2:$A$245,0)),"")</f>
        <v/>
      </c>
      <c r="N695" s="34">
        <f>IF($K695=1,L695-M695,"")</f>
        <v/>
      </c>
      <c r="O695" s="34" t="n">
        <v>0.00047173</v>
      </c>
      <c r="P695" s="34">
        <f>IF($J695=1,LN(1+O695),"")</f>
        <v/>
      </c>
      <c r="Q695" s="34">
        <f>IF($J695=1,LN(R696/R695),"")</f>
        <v/>
      </c>
      <c r="R695" s="32" t="n">
        <v>2.3149</v>
      </c>
      <c r="S695" s="35" t="n">
        <v>11.38</v>
      </c>
      <c r="T695" s="18" t="n"/>
      <c r="U695" s="18" t="n"/>
      <c r="V695" s="18" t="n">
        <v>38509</v>
      </c>
      <c r="W695" s="18" t="n"/>
      <c r="X695" s="35" t="n"/>
      <c r="Y695" s="35" t="n">
        <v>11.38</v>
      </c>
    </row>
    <row r="696">
      <c r="A696" s="25" t="n">
        <v>39840</v>
      </c>
      <c r="B696" s="18" t="n">
        <v>38699</v>
      </c>
      <c r="C696" s="31" t="n"/>
      <c r="D696" s="32" t="n"/>
      <c r="E696" s="33" t="n">
        <v>-2.8611</v>
      </c>
      <c r="F696" t="inlineStr">
        <is>
          <t>Down</t>
        </is>
      </c>
      <c r="G696" t="inlineStr">
        <is>
          <t>Down</t>
        </is>
      </c>
      <c r="H696" t="inlineStr">
        <is>
          <t>ED_JD</t>
        </is>
      </c>
      <c r="I696" t="inlineStr">
        <is>
          <t>2009-01</t>
        </is>
      </c>
      <c r="J696" t="n">
        <v>1</v>
      </c>
      <c r="K696" t="n">
        <v>1</v>
      </c>
      <c r="L696" s="34">
        <f>IF($J696=1,LN(B697/B696),"")</f>
        <v/>
      </c>
      <c r="M696" s="34">
        <f>IF($K696=1,INDEX(Mensal!$D$2:$D$245,MATCH($I696,Mensal!$A$2:$A$245,0)),"")</f>
        <v/>
      </c>
      <c r="N696" s="34">
        <f>IF($K696=1,L696-M696,"")</f>
        <v/>
      </c>
      <c r="O696" s="34" t="n">
        <v>0.00047173</v>
      </c>
      <c r="P696" s="34">
        <f>IF($J696=1,LN(1+O696),"")</f>
        <v/>
      </c>
      <c r="Q696" s="34">
        <f>IF($J696=1,LN(R697/R696),"")</f>
        <v/>
      </c>
      <c r="R696" s="32" t="n">
        <v>2.3109</v>
      </c>
      <c r="S696" s="35" t="n">
        <v>11.232</v>
      </c>
      <c r="T696" s="18" t="n"/>
      <c r="U696" s="18" t="n"/>
      <c r="V696" s="18" t="n">
        <v>38699</v>
      </c>
      <c r="W696" s="18" t="n"/>
      <c r="X696" s="35" t="n"/>
      <c r="Y696" s="35" t="n">
        <v>11.232</v>
      </c>
    </row>
    <row r="697">
      <c r="A697" s="25" t="n">
        <v>39841</v>
      </c>
      <c r="B697" s="18" t="n">
        <v>40227</v>
      </c>
      <c r="C697" s="31" t="n"/>
      <c r="D697" s="32" t="n"/>
      <c r="E697" s="33" t="n">
        <v>-2.8902</v>
      </c>
      <c r="F697" t="inlineStr">
        <is>
          <t>Down</t>
        </is>
      </c>
      <c r="G697" t="inlineStr">
        <is>
          <t>Down</t>
        </is>
      </c>
      <c r="H697" t="inlineStr">
        <is>
          <t>ED_JD</t>
        </is>
      </c>
      <c r="I697" t="inlineStr">
        <is>
          <t>2009-01</t>
        </is>
      </c>
      <c r="J697" t="n">
        <v>1</v>
      </c>
      <c r="K697" t="n">
        <v>1</v>
      </c>
      <c r="L697" s="34">
        <f>IF($J697=1,LN(B698/B697),"")</f>
        <v/>
      </c>
      <c r="M697" s="34">
        <f>IF($K697=1,INDEX(Mensal!$D$2:$D$245,MATCH($I697,Mensal!$A$2:$A$245,0)),"")</f>
        <v/>
      </c>
      <c r="N697" s="34">
        <f>IF($K697=1,L697-M697,"")</f>
        <v/>
      </c>
      <c r="O697" s="34" t="n">
        <v>0.00047173</v>
      </c>
      <c r="P697" s="34">
        <f>IF($J697=1,LN(1+O697),"")</f>
        <v/>
      </c>
      <c r="Q697" s="34">
        <f>IF($J697=1,LN(R698/R697),"")</f>
        <v/>
      </c>
      <c r="R697" s="32" t="n">
        <v>2.2982</v>
      </c>
      <c r="S697" s="35" t="n">
        <v>11.198</v>
      </c>
      <c r="T697" s="18" t="n"/>
      <c r="U697" s="18" t="n"/>
      <c r="V697" s="18" t="n">
        <v>40227</v>
      </c>
      <c r="W697" s="18" t="n"/>
      <c r="X697" s="35" t="n"/>
      <c r="Y697" s="35" t="n">
        <v>11.198</v>
      </c>
    </row>
    <row r="698">
      <c r="A698" s="25" t="n">
        <v>39842</v>
      </c>
      <c r="B698" s="18" t="n">
        <v>39638</v>
      </c>
      <c r="C698" s="31" t="n"/>
      <c r="D698" s="32" t="n"/>
      <c r="E698" s="33" t="n">
        <v>-2.8955</v>
      </c>
      <c r="F698" t="inlineStr">
        <is>
          <t>Down</t>
        </is>
      </c>
      <c r="G698" t="inlineStr">
        <is>
          <t>Down</t>
        </is>
      </c>
      <c r="H698" t="inlineStr">
        <is>
          <t>ED_JD</t>
        </is>
      </c>
      <c r="I698" t="inlineStr">
        <is>
          <t>2009-01</t>
        </is>
      </c>
      <c r="J698" t="n">
        <v>1</v>
      </c>
      <c r="K698" t="n">
        <v>1</v>
      </c>
      <c r="L698" s="34">
        <f>IF($J698=1,LN(B699/B698),"")</f>
        <v/>
      </c>
      <c r="M698" s="34">
        <f>IF($K698=1,INDEX(Mensal!$D$2:$D$245,MATCH($I698,Mensal!$A$2:$A$245,0)),"")</f>
        <v/>
      </c>
      <c r="N698" s="34">
        <f>IF($K698=1,L698-M698,"")</f>
        <v/>
      </c>
      <c r="O698" s="34" t="n">
        <v>0.00047173</v>
      </c>
      <c r="P698" s="34">
        <f>IF($J698=1,LN(1+O698),"")</f>
        <v/>
      </c>
      <c r="Q698" s="34">
        <f>IF($J698=1,LN(R699/R698),"")</f>
        <v/>
      </c>
      <c r="R698" s="32" t="n">
        <v>2.2761</v>
      </c>
      <c r="S698" s="35" t="n">
        <v>11.278</v>
      </c>
      <c r="T698" s="18" t="n"/>
      <c r="U698" s="18" t="n"/>
      <c r="V698" s="18" t="n">
        <v>39638</v>
      </c>
      <c r="W698" s="18" t="n"/>
      <c r="X698" s="35" t="n"/>
      <c r="Y698" s="35" t="n">
        <v>11.278</v>
      </c>
    </row>
    <row r="699">
      <c r="A699" s="25" t="n">
        <v>39843</v>
      </c>
      <c r="B699" s="18" t="n">
        <v>39300</v>
      </c>
      <c r="C699" s="31" t="n"/>
      <c r="D699" s="32" t="n"/>
      <c r="E699" s="33" t="n">
        <v>-2.9087</v>
      </c>
      <c r="F699" t="inlineStr">
        <is>
          <t>Down</t>
        </is>
      </c>
      <c r="G699" t="inlineStr">
        <is>
          <t>Down</t>
        </is>
      </c>
      <c r="H699" t="inlineStr">
        <is>
          <t>ED_JD</t>
        </is>
      </c>
      <c r="I699" t="inlineStr">
        <is>
          <t>2009-01</t>
        </is>
      </c>
      <c r="J699" t="n">
        <v>1</v>
      </c>
      <c r="K699" t="n">
        <v>1</v>
      </c>
      <c r="L699" s="34">
        <f>IF($J699=1,LN(B700/B699),"")</f>
        <v/>
      </c>
      <c r="M699" s="34">
        <f>IF($K699=1,INDEX(Mensal!$D$2:$D$245,MATCH($I699,Mensal!$A$2:$A$245,0)),"")</f>
        <v/>
      </c>
      <c r="N699" s="34">
        <f>IF($K699=1,L699-M699,"")</f>
        <v/>
      </c>
      <c r="O699" s="34" t="n">
        <v>0.00047138</v>
      </c>
      <c r="P699" s="34">
        <f>IF($J699=1,LN(1+O699),"")</f>
        <v/>
      </c>
      <c r="Q699" s="34">
        <f>IF($J699=1,LN(R700/R699),"")</f>
        <v/>
      </c>
      <c r="R699" s="32" t="n">
        <v>2.3162</v>
      </c>
      <c r="S699" s="35" t="n">
        <v>11.164</v>
      </c>
      <c r="T699" s="18" t="n"/>
      <c r="U699" s="18" t="n"/>
      <c r="V699" s="18" t="n">
        <v>39300</v>
      </c>
      <c r="W699" s="18" t="n"/>
      <c r="X699" s="35" t="n"/>
      <c r="Y699" s="35" t="n">
        <v>11.164</v>
      </c>
    </row>
    <row r="700">
      <c r="A700" s="25" t="n">
        <v>39846</v>
      </c>
      <c r="B700" s="18" t="n">
        <v>38666</v>
      </c>
      <c r="C700" s="31" t="n"/>
      <c r="D700" s="32" t="n"/>
      <c r="E700" s="33" t="n">
        <v>-2.9196</v>
      </c>
      <c r="F700" t="inlineStr">
        <is>
          <t>Down</t>
        </is>
      </c>
      <c r="G700" t="inlineStr">
        <is>
          <t>Down</t>
        </is>
      </c>
      <c r="H700" t="inlineStr">
        <is>
          <t>ED_JD</t>
        </is>
      </c>
      <c r="I700" t="inlineStr">
        <is>
          <t>2009-02</t>
        </is>
      </c>
      <c r="J700" t="n">
        <v>1</v>
      </c>
      <c r="K700" t="n">
        <v>1</v>
      </c>
      <c r="L700" s="34">
        <f>IF($J700=1,LN(B701/B700),"")</f>
        <v/>
      </c>
      <c r="M700" s="34">
        <f>IF($K700=1,INDEX(Mensal!$D$2:$D$245,MATCH($I700,Mensal!$A$2:$A$245,0)),"")</f>
        <v/>
      </c>
      <c r="N700" s="34">
        <f>IF($K700=1,L700-M700,"")</f>
        <v/>
      </c>
      <c r="O700" s="34" t="n">
        <v>0.00047209</v>
      </c>
      <c r="P700" s="34">
        <f>IF($J700=1,LN(1+O700),"")</f>
        <v/>
      </c>
      <c r="Q700" s="34">
        <f>IF($J700=1,LN(R701/R700),"")</f>
        <v/>
      </c>
      <c r="R700" s="32" t="n">
        <v>2.3475</v>
      </c>
      <c r="S700" s="35" t="n">
        <v>11.078</v>
      </c>
      <c r="T700" s="18" t="n"/>
      <c r="U700" s="18" t="n"/>
      <c r="V700" s="18" t="n">
        <v>38666</v>
      </c>
      <c r="W700" s="18" t="n"/>
      <c r="X700" s="35" t="n"/>
      <c r="Y700" s="35" t="n">
        <v>11.078</v>
      </c>
    </row>
    <row r="701">
      <c r="A701" s="25" t="n">
        <v>39847</v>
      </c>
      <c r="B701" s="18" t="n">
        <v>39747</v>
      </c>
      <c r="C701" s="31" t="n"/>
      <c r="D701" s="32" t="n"/>
      <c r="E701" s="33" t="n">
        <v>-2.9372</v>
      </c>
      <c r="F701" t="inlineStr">
        <is>
          <t>Down</t>
        </is>
      </c>
      <c r="G701" t="inlineStr">
        <is>
          <t>Down</t>
        </is>
      </c>
      <c r="H701" t="inlineStr">
        <is>
          <t>ED_JD</t>
        </is>
      </c>
      <c r="I701" t="inlineStr">
        <is>
          <t>2009-02</t>
        </is>
      </c>
      <c r="J701" t="n">
        <v>1</v>
      </c>
      <c r="K701" t="n">
        <v>1</v>
      </c>
      <c r="L701" s="34">
        <f>IF($J701=1,LN(B702/B701),"")</f>
        <v/>
      </c>
      <c r="M701" s="34">
        <f>IF($K701=1,INDEX(Mensal!$D$2:$D$245,MATCH($I701,Mensal!$A$2:$A$245,0)),"")</f>
        <v/>
      </c>
      <c r="N701" s="34">
        <f>IF($K701=1,L701-M701,"")</f>
        <v/>
      </c>
      <c r="O701" s="34" t="n">
        <v>0.00047173</v>
      </c>
      <c r="P701" s="34">
        <f>IF($J701=1,LN(1+O701),"")</f>
        <v/>
      </c>
      <c r="Q701" s="34">
        <f>IF($J701=1,LN(R702/R701),"")</f>
        <v/>
      </c>
      <c r="R701" s="32" t="n">
        <v>2.3144</v>
      </c>
      <c r="S701" s="35" t="n">
        <v>10.957</v>
      </c>
      <c r="T701" s="18" t="n"/>
      <c r="U701" s="18" t="n"/>
      <c r="V701" s="18" t="n">
        <v>39747</v>
      </c>
      <c r="W701" s="18" t="n"/>
      <c r="X701" s="35" t="n"/>
      <c r="Y701" s="35" t="n">
        <v>10.957</v>
      </c>
    </row>
    <row r="702">
      <c r="A702" s="25" t="n">
        <v>39848</v>
      </c>
      <c r="B702" s="18" t="n">
        <v>40129</v>
      </c>
      <c r="C702" s="31" t="n"/>
      <c r="D702" s="32" t="n"/>
      <c r="E702" s="33" t="n">
        <v>-2.9755</v>
      </c>
      <c r="F702" t="inlineStr">
        <is>
          <t>Down</t>
        </is>
      </c>
      <c r="G702" t="inlineStr">
        <is>
          <t>Down</t>
        </is>
      </c>
      <c r="H702" t="inlineStr">
        <is>
          <t>ED_JD</t>
        </is>
      </c>
      <c r="I702" t="inlineStr">
        <is>
          <t>2009-02</t>
        </is>
      </c>
      <c r="J702" t="n">
        <v>1</v>
      </c>
      <c r="K702" t="n">
        <v>1</v>
      </c>
      <c r="L702" s="34">
        <f>IF($J702=1,LN(B703/B702),"")</f>
        <v/>
      </c>
      <c r="M702" s="34">
        <f>IF($K702=1,INDEX(Mensal!$D$2:$D$245,MATCH($I702,Mensal!$A$2:$A$245,0)),"")</f>
        <v/>
      </c>
      <c r="N702" s="34">
        <f>IF($K702=1,L702-M702,"")</f>
        <v/>
      </c>
      <c r="O702" s="34" t="n">
        <v>0.00047209</v>
      </c>
      <c r="P702" s="34">
        <f>IF($J702=1,LN(1+O702),"")</f>
        <v/>
      </c>
      <c r="Q702" s="34">
        <f>IF($J702=1,LN(R703/R702),"")</f>
        <v/>
      </c>
      <c r="R702" s="32" t="n">
        <v>2.2994</v>
      </c>
      <c r="S702" s="35" t="n">
        <v>11.018</v>
      </c>
      <c r="T702" s="18" t="n"/>
      <c r="U702" s="18" t="n"/>
      <c r="V702" s="18" t="n">
        <v>40129</v>
      </c>
      <c r="W702" s="18" t="n"/>
      <c r="X702" s="35" t="n"/>
      <c r="Y702" s="35" t="n">
        <v>11.018</v>
      </c>
    </row>
    <row r="703">
      <c r="A703" s="25" t="n">
        <v>39849</v>
      </c>
      <c r="B703" s="18" t="n">
        <v>41109</v>
      </c>
      <c r="C703" s="31" t="n"/>
      <c r="D703" s="32" t="n"/>
      <c r="E703" s="33" t="n">
        <v>-3.0089</v>
      </c>
      <c r="F703" t="inlineStr">
        <is>
          <t>Down</t>
        </is>
      </c>
      <c r="G703" t="inlineStr">
        <is>
          <t>Down</t>
        </is>
      </c>
      <c r="H703" t="inlineStr">
        <is>
          <t>ED_JD</t>
        </is>
      </c>
      <c r="I703" t="inlineStr">
        <is>
          <t>2009-02</t>
        </is>
      </c>
      <c r="J703" t="n">
        <v>1</v>
      </c>
      <c r="K703" t="n">
        <v>1</v>
      </c>
      <c r="L703" s="34">
        <f>IF($J703=1,LN(B704/B703),"")</f>
        <v/>
      </c>
      <c r="M703" s="34">
        <f>IF($K703=1,INDEX(Mensal!$D$2:$D$245,MATCH($I703,Mensal!$A$2:$A$245,0)),"")</f>
        <v/>
      </c>
      <c r="N703" s="34">
        <f>IF($K703=1,L703-M703,"")</f>
        <v/>
      </c>
      <c r="O703" s="34" t="n">
        <v>0.00047209</v>
      </c>
      <c r="P703" s="34">
        <f>IF($J703=1,LN(1+O703),"")</f>
        <v/>
      </c>
      <c r="Q703" s="34">
        <f>IF($J703=1,LN(R704/R703),"")</f>
        <v/>
      </c>
      <c r="R703" s="32" t="n">
        <v>2.3065</v>
      </c>
      <c r="S703" s="35" t="n">
        <v>11.053</v>
      </c>
      <c r="T703" s="18" t="n"/>
      <c r="U703" s="18" t="n"/>
      <c r="V703" s="18" t="n">
        <v>41109</v>
      </c>
      <c r="W703" s="18" t="n"/>
      <c r="X703" s="35" t="n"/>
      <c r="Y703" s="35" t="n">
        <v>11.053</v>
      </c>
    </row>
    <row r="704">
      <c r="A704" s="25" t="n">
        <v>39850</v>
      </c>
      <c r="B704" s="18" t="n">
        <v>42755</v>
      </c>
      <c r="C704" s="31" t="n"/>
      <c r="D704" s="32" t="n"/>
      <c r="E704" s="33" t="n">
        <v>-3.0417</v>
      </c>
      <c r="F704" t="inlineStr">
        <is>
          <t>Down</t>
        </is>
      </c>
      <c r="G704" t="inlineStr">
        <is>
          <t>Down</t>
        </is>
      </c>
      <c r="H704" t="inlineStr">
        <is>
          <t>ED_JD</t>
        </is>
      </c>
      <c r="I704" t="inlineStr">
        <is>
          <t>2009-02</t>
        </is>
      </c>
      <c r="J704" t="n">
        <v>1</v>
      </c>
      <c r="K704" t="n">
        <v>1</v>
      </c>
      <c r="L704" s="34">
        <f>IF($J704=1,LN(B705/B704),"")</f>
        <v/>
      </c>
      <c r="M704" s="34">
        <f>IF($K704=1,INDEX(Mensal!$D$2:$D$245,MATCH($I704,Mensal!$A$2:$A$245,0)),"")</f>
        <v/>
      </c>
      <c r="N704" s="34">
        <f>IF($K704=1,L704-M704,"")</f>
        <v/>
      </c>
      <c r="O704" s="34" t="n">
        <v>0.00047209</v>
      </c>
      <c r="P704" s="34">
        <f>IF($J704=1,LN(1+O704),"")</f>
        <v/>
      </c>
      <c r="Q704" s="34">
        <f>IF($J704=1,LN(R705/R704),"")</f>
        <v/>
      </c>
      <c r="R704" s="32" t="n">
        <v>2.2658</v>
      </c>
      <c r="S704" s="35" t="n">
        <v>10.998</v>
      </c>
      <c r="T704" s="18" t="n"/>
      <c r="U704" s="18" t="n"/>
      <c r="V704" s="18" t="n">
        <v>42755</v>
      </c>
      <c r="W704" s="18" t="n"/>
      <c r="X704" s="35" t="n"/>
      <c r="Y704" s="35" t="n">
        <v>10.998</v>
      </c>
    </row>
    <row r="705">
      <c r="A705" s="25" t="n">
        <v>39853</v>
      </c>
      <c r="B705" s="18" t="n">
        <v>42100</v>
      </c>
      <c r="C705" s="31" t="n"/>
      <c r="D705" s="32" t="n"/>
      <c r="E705" s="33" t="n">
        <v>-3.0618</v>
      </c>
      <c r="F705" t="inlineStr">
        <is>
          <t>Down</t>
        </is>
      </c>
      <c r="G705" t="inlineStr">
        <is>
          <t>Down</t>
        </is>
      </c>
      <c r="H705" t="inlineStr">
        <is>
          <t>ED_JD</t>
        </is>
      </c>
      <c r="I705" t="inlineStr">
        <is>
          <t>2009-02</t>
        </is>
      </c>
      <c r="J705" t="n">
        <v>1</v>
      </c>
      <c r="K705" t="n">
        <v>1</v>
      </c>
      <c r="L705" s="34">
        <f>IF($J705=1,LN(B706/B705),"")</f>
        <v/>
      </c>
      <c r="M705" s="34">
        <f>IF($K705=1,INDEX(Mensal!$D$2:$D$245,MATCH($I705,Mensal!$A$2:$A$245,0)),"")</f>
        <v/>
      </c>
      <c r="N705" s="34">
        <f>IF($K705=1,L705-M705,"")</f>
        <v/>
      </c>
      <c r="O705" s="34" t="n">
        <v>0.00047173</v>
      </c>
      <c r="P705" s="34">
        <f>IF($J705=1,LN(1+O705),"")</f>
        <v/>
      </c>
      <c r="Q705" s="34">
        <f>IF($J705=1,LN(R706/R705),"")</f>
        <v/>
      </c>
      <c r="R705" s="32" t="n">
        <v>2.2446</v>
      </c>
      <c r="S705" s="35" t="n">
        <v>11.135</v>
      </c>
      <c r="T705" s="18" t="n"/>
      <c r="U705" s="18" t="n"/>
      <c r="V705" s="18" t="n">
        <v>42100</v>
      </c>
      <c r="W705" s="18" t="n"/>
      <c r="X705" s="35" t="n"/>
      <c r="Y705" s="35" t="n">
        <v>11.135</v>
      </c>
    </row>
    <row r="706">
      <c r="A706" s="25" t="n">
        <v>39854</v>
      </c>
      <c r="B706" s="18" t="n">
        <v>41207</v>
      </c>
      <c r="C706" s="31" t="n"/>
      <c r="D706" s="32" t="n"/>
      <c r="E706" s="33" t="n">
        <v>-3.0811</v>
      </c>
      <c r="F706" t="inlineStr">
        <is>
          <t>Down</t>
        </is>
      </c>
      <c r="G706" t="inlineStr">
        <is>
          <t>Down</t>
        </is>
      </c>
      <c r="H706" t="inlineStr">
        <is>
          <t>ED_JD</t>
        </is>
      </c>
      <c r="I706" t="inlineStr">
        <is>
          <t>2009-02</t>
        </is>
      </c>
      <c r="J706" t="n">
        <v>1</v>
      </c>
      <c r="K706" t="n">
        <v>1</v>
      </c>
      <c r="L706" s="34">
        <f>IF($J706=1,LN(B707/B706),"")</f>
        <v/>
      </c>
      <c r="M706" s="34">
        <f>IF($K706=1,INDEX(Mensal!$D$2:$D$245,MATCH($I706,Mensal!$A$2:$A$245,0)),"")</f>
        <v/>
      </c>
      <c r="N706" s="34">
        <f>IF($K706=1,L706-M706,"")</f>
        <v/>
      </c>
      <c r="O706" s="34" t="n">
        <v>0.00047209</v>
      </c>
      <c r="P706" s="34">
        <f>IF($J706=1,LN(1+O706),"")</f>
        <v/>
      </c>
      <c r="Q706" s="34">
        <f>IF($J706=1,LN(R707/R706),"")</f>
        <v/>
      </c>
      <c r="R706" s="32" t="n">
        <v>2.2528</v>
      </c>
      <c r="S706" s="35" t="n">
        <v>11.14</v>
      </c>
      <c r="T706" s="18" t="n"/>
      <c r="U706" s="18" t="n"/>
      <c r="V706" s="18" t="n">
        <v>41207</v>
      </c>
      <c r="W706" s="18" t="n"/>
      <c r="X706" s="35" t="n"/>
      <c r="Y706" s="35" t="n">
        <v>11.14</v>
      </c>
    </row>
    <row r="707">
      <c r="A707" s="25" t="n">
        <v>39855</v>
      </c>
      <c r="B707" s="18" t="n">
        <v>40846</v>
      </c>
      <c r="C707" s="31" t="n"/>
      <c r="D707" s="32" t="n"/>
      <c r="E707" s="33" t="n">
        <v>-3.0909</v>
      </c>
      <c r="F707" t="inlineStr">
        <is>
          <t>Down</t>
        </is>
      </c>
      <c r="G707" t="inlineStr">
        <is>
          <t>Down</t>
        </is>
      </c>
      <c r="H707" t="inlineStr">
        <is>
          <t>ED_JD</t>
        </is>
      </c>
      <c r="I707" t="inlineStr">
        <is>
          <t>2009-02</t>
        </is>
      </c>
      <c r="J707" t="n">
        <v>1</v>
      </c>
      <c r="K707" t="n">
        <v>1</v>
      </c>
      <c r="L707" s="34">
        <f>IF($J707=1,LN(B708/B707),"")</f>
        <v/>
      </c>
      <c r="M707" s="34">
        <f>IF($K707=1,INDEX(Mensal!$D$2:$D$245,MATCH($I707,Mensal!$A$2:$A$245,0)),"")</f>
        <v/>
      </c>
      <c r="N707" s="34">
        <f>IF($K707=1,L707-M707,"")</f>
        <v/>
      </c>
      <c r="O707" s="34" t="n">
        <v>0.00047173</v>
      </c>
      <c r="P707" s="34">
        <f>IF($J707=1,LN(1+O707),"")</f>
        <v/>
      </c>
      <c r="Q707" s="34">
        <f>IF($J707=1,LN(R708/R707),"")</f>
        <v/>
      </c>
      <c r="R707" s="32" t="n">
        <v>2.287</v>
      </c>
      <c r="S707" s="35" t="n">
        <v>11.129</v>
      </c>
      <c r="T707" s="18" t="n"/>
      <c r="U707" s="18" t="n"/>
      <c r="V707" s="18" t="n">
        <v>40846</v>
      </c>
      <c r="W707" s="18" t="n"/>
      <c r="X707" s="35" t="n"/>
      <c r="Y707" s="35" t="n">
        <v>11.129</v>
      </c>
    </row>
    <row r="708">
      <c r="A708" s="25" t="n">
        <v>39856</v>
      </c>
      <c r="B708" s="18" t="n">
        <v>40501</v>
      </c>
      <c r="C708" s="31" t="n"/>
      <c r="D708" s="32" t="n"/>
      <c r="E708" s="33" t="n">
        <v>-3.1169</v>
      </c>
      <c r="F708" t="inlineStr">
        <is>
          <t>Down</t>
        </is>
      </c>
      <c r="G708" t="inlineStr">
        <is>
          <t>Down</t>
        </is>
      </c>
      <c r="H708" t="inlineStr">
        <is>
          <t>ED_JD</t>
        </is>
      </c>
      <c r="I708" t="inlineStr">
        <is>
          <t>2009-02</t>
        </is>
      </c>
      <c r="J708" t="n">
        <v>1</v>
      </c>
      <c r="K708" t="n">
        <v>1</v>
      </c>
      <c r="L708" s="34">
        <f>IF($J708=1,LN(B709/B708),"")</f>
        <v/>
      </c>
      <c r="M708" s="34">
        <f>IF($K708=1,INDEX(Mensal!$D$2:$D$245,MATCH($I708,Mensal!$A$2:$A$245,0)),"")</f>
        <v/>
      </c>
      <c r="N708" s="34">
        <f>IF($K708=1,L708-M708,"")</f>
        <v/>
      </c>
      <c r="O708" s="34" t="n">
        <v>0.00047209</v>
      </c>
      <c r="P708" s="34">
        <f>IF($J708=1,LN(1+O708),"")</f>
        <v/>
      </c>
      <c r="Q708" s="34">
        <f>IF($J708=1,LN(R709/R708),"")</f>
        <v/>
      </c>
      <c r="R708" s="32" t="n">
        <v>2.2909</v>
      </c>
      <c r="S708" s="35" t="n">
        <v>11.194</v>
      </c>
      <c r="T708" s="18" t="n"/>
      <c r="U708" s="18" t="n"/>
      <c r="V708" s="18" t="n">
        <v>40501</v>
      </c>
      <c r="W708" s="18" t="n"/>
      <c r="X708" s="35" t="n"/>
      <c r="Y708" s="35" t="n">
        <v>11.194</v>
      </c>
    </row>
    <row r="709">
      <c r="A709" s="25" t="n">
        <v>39857</v>
      </c>
      <c r="B709" s="18" t="n">
        <v>41673</v>
      </c>
      <c r="C709" s="31" t="n"/>
      <c r="D709" s="32" t="n"/>
      <c r="E709" s="33" t="n">
        <v>-3.1299</v>
      </c>
      <c r="F709" t="inlineStr">
        <is>
          <t>Down</t>
        </is>
      </c>
      <c r="G709" t="inlineStr">
        <is>
          <t>Down</t>
        </is>
      </c>
      <c r="H709" t="inlineStr">
        <is>
          <t>ED_JD</t>
        </is>
      </c>
      <c r="I709" t="inlineStr">
        <is>
          <t>2009-02</t>
        </is>
      </c>
      <c r="J709" t="n">
        <v>1</v>
      </c>
      <c r="K709" t="n">
        <v>1</v>
      </c>
      <c r="L709" s="34">
        <f>IF($J709=1,LN(B710/B709),"")</f>
        <v/>
      </c>
      <c r="M709" s="34">
        <f>IF($K709=1,INDEX(Mensal!$D$2:$D$245,MATCH($I709,Mensal!$A$2:$A$245,0)),"")</f>
        <v/>
      </c>
      <c r="N709" s="34">
        <f>IF($K709=1,L709-M709,"")</f>
        <v/>
      </c>
      <c r="O709" s="34" t="n">
        <v>0.00047173</v>
      </c>
      <c r="P709" s="34">
        <f>IF($J709=1,LN(1+O709),"")</f>
        <v/>
      </c>
      <c r="Q709" s="34">
        <f>IF($J709=1,LN(R710/R709),"")</f>
        <v/>
      </c>
      <c r="R709" s="32" t="n">
        <v>2.268</v>
      </c>
      <c r="S709" s="35" t="n">
        <v>11.052</v>
      </c>
      <c r="T709" s="18" t="n"/>
      <c r="U709" s="18" t="n"/>
      <c r="V709" s="18" t="n">
        <v>41673</v>
      </c>
      <c r="W709" s="18" t="n"/>
      <c r="X709" s="35" t="n"/>
      <c r="Y709" s="35" t="n">
        <v>11.052</v>
      </c>
    </row>
    <row r="710">
      <c r="A710" s="25" t="n">
        <v>39860</v>
      </c>
      <c r="B710" s="18" t="n">
        <v>41841</v>
      </c>
      <c r="C710" s="31" t="n"/>
      <c r="D710" s="32" t="n"/>
      <c r="E710" s="33" t="n">
        <v>-3.1509</v>
      </c>
      <c r="F710" t="inlineStr">
        <is>
          <t>Down</t>
        </is>
      </c>
      <c r="G710" t="inlineStr">
        <is>
          <t>Down</t>
        </is>
      </c>
      <c r="H710" t="inlineStr">
        <is>
          <t>ED_JD</t>
        </is>
      </c>
      <c r="I710" t="inlineStr">
        <is>
          <t>2009-02</t>
        </is>
      </c>
      <c r="J710" t="n">
        <v>1</v>
      </c>
      <c r="K710" t="n">
        <v>1</v>
      </c>
      <c r="L710" s="34">
        <f>IF($J710=1,LN(B711/B710),"")</f>
        <v/>
      </c>
      <c r="M710" s="34">
        <f>IF($K710=1,INDEX(Mensal!$D$2:$D$245,MATCH($I710,Mensal!$A$2:$A$245,0)),"")</f>
        <v/>
      </c>
      <c r="N710" s="34">
        <f>IF($K710=1,L710-M710,"")</f>
        <v/>
      </c>
      <c r="O710" s="34" t="n">
        <v>0.00047209</v>
      </c>
      <c r="P710" s="34">
        <f>IF($J710=1,LN(1+O710),"")</f>
        <v/>
      </c>
      <c r="Q710" s="34">
        <f>IF($J710=1,LN(R711/R710),"")</f>
        <v/>
      </c>
      <c r="R710" s="32" t="n">
        <v>2.2719</v>
      </c>
      <c r="S710" s="35" t="n">
        <v>11.025</v>
      </c>
      <c r="T710" s="18" t="n"/>
      <c r="U710" s="18" t="n"/>
      <c r="V710" s="18" t="n">
        <v>41841</v>
      </c>
      <c r="W710" s="18" t="n"/>
      <c r="X710" s="35" t="n"/>
      <c r="Y710" s="35" t="n">
        <v>11.025</v>
      </c>
    </row>
    <row r="711">
      <c r="A711" s="25" t="n">
        <v>39861</v>
      </c>
      <c r="B711" s="18" t="n">
        <v>39847</v>
      </c>
      <c r="C711" s="31" t="n"/>
      <c r="D711" s="32" t="n"/>
      <c r="E711" s="33" t="n">
        <v>-3.1728</v>
      </c>
      <c r="F711" t="inlineStr">
        <is>
          <t>Down</t>
        </is>
      </c>
      <c r="G711" t="inlineStr">
        <is>
          <t>Down</t>
        </is>
      </c>
      <c r="H711" t="inlineStr">
        <is>
          <t>ED_JD</t>
        </is>
      </c>
      <c r="I711" t="inlineStr">
        <is>
          <t>2009-02</t>
        </is>
      </c>
      <c r="J711" t="n">
        <v>1</v>
      </c>
      <c r="K711" t="n">
        <v>1</v>
      </c>
      <c r="L711" s="34">
        <f>IF($J711=1,LN(B712/B711),"")</f>
        <v/>
      </c>
      <c r="M711" s="34">
        <f>IF($K711=1,INDEX(Mensal!$D$2:$D$245,MATCH($I711,Mensal!$A$2:$A$245,0)),"")</f>
        <v/>
      </c>
      <c r="N711" s="34">
        <f>IF($K711=1,L711-M711,"")</f>
        <v/>
      </c>
      <c r="O711" s="34" t="n">
        <v>0.00047173</v>
      </c>
      <c r="P711" s="34">
        <f>IF($J711=1,LN(1+O711),"")</f>
        <v/>
      </c>
      <c r="Q711" s="34">
        <f>IF($J711=1,LN(R712/R711),"")</f>
        <v/>
      </c>
      <c r="R711" s="32" t="n">
        <v>2.3131</v>
      </c>
      <c r="S711" s="35" t="n">
        <v>11.021</v>
      </c>
      <c r="T711" s="18" t="n"/>
      <c r="U711" s="18" t="n"/>
      <c r="V711" s="18" t="n">
        <v>39847</v>
      </c>
      <c r="W711" s="18" t="n"/>
      <c r="X711" s="35" t="n"/>
      <c r="Y711" s="35" t="n">
        <v>11.021</v>
      </c>
    </row>
    <row r="712">
      <c r="A712" s="25" t="n">
        <v>39862</v>
      </c>
      <c r="B712" s="18" t="n">
        <v>39674</v>
      </c>
      <c r="C712" s="31" t="n"/>
      <c r="D712" s="32" t="n"/>
      <c r="E712" s="33" t="n">
        <v>-3.1692</v>
      </c>
      <c r="F712" t="inlineStr">
        <is>
          <t>Down</t>
        </is>
      </c>
      <c r="G712" t="inlineStr">
        <is>
          <t>Down</t>
        </is>
      </c>
      <c r="H712" t="inlineStr">
        <is>
          <t>ED_JD</t>
        </is>
      </c>
      <c r="I712" t="inlineStr">
        <is>
          <t>2009-02</t>
        </is>
      </c>
      <c r="J712" t="n">
        <v>1</v>
      </c>
      <c r="K712" t="n">
        <v>1</v>
      </c>
      <c r="L712" s="34">
        <f>IF($J712=1,LN(B713/B712),"")</f>
        <v/>
      </c>
      <c r="M712" s="34">
        <f>IF($K712=1,INDEX(Mensal!$D$2:$D$245,MATCH($I712,Mensal!$A$2:$A$245,0)),"")</f>
        <v/>
      </c>
      <c r="N712" s="34">
        <f>IF($K712=1,L712-M712,"")</f>
        <v/>
      </c>
      <c r="O712" s="34" t="n">
        <v>0.00047173</v>
      </c>
      <c r="P712" s="34">
        <f>IF($J712=1,LN(1+O712),"")</f>
        <v/>
      </c>
      <c r="Q712" s="34">
        <f>IF($J712=1,LN(R713/R712),"")</f>
        <v/>
      </c>
      <c r="R712" s="32" t="n">
        <v>2.3396</v>
      </c>
      <c r="S712" s="35" t="n">
        <v>11.04</v>
      </c>
      <c r="T712" s="18" t="n"/>
      <c r="U712" s="18" t="n"/>
      <c r="V712" s="18" t="n">
        <v>39674</v>
      </c>
      <c r="W712" s="18" t="n"/>
      <c r="X712" s="35" t="n"/>
      <c r="Y712" s="35" t="n">
        <v>11.04</v>
      </c>
    </row>
    <row r="713">
      <c r="A713" s="25" t="n">
        <v>39863</v>
      </c>
      <c r="B713" s="18" t="n">
        <v>39730</v>
      </c>
      <c r="C713" s="31" t="n"/>
      <c r="D713" s="32" t="n"/>
      <c r="E713" s="33" t="n">
        <v>-3.1742</v>
      </c>
      <c r="F713" t="inlineStr">
        <is>
          <t>Down</t>
        </is>
      </c>
      <c r="G713" t="inlineStr">
        <is>
          <t>Down</t>
        </is>
      </c>
      <c r="H713" t="inlineStr">
        <is>
          <t>ED_JD</t>
        </is>
      </c>
      <c r="I713" t="inlineStr">
        <is>
          <t>2009-02</t>
        </is>
      </c>
      <c r="J713" t="n">
        <v>1</v>
      </c>
      <c r="K713" t="n">
        <v>1</v>
      </c>
      <c r="L713" s="34">
        <f>IF($J713=1,LN(B714/B713),"")</f>
        <v/>
      </c>
      <c r="M713" s="34">
        <f>IF($K713=1,INDEX(Mensal!$D$2:$D$245,MATCH($I713,Mensal!$A$2:$A$245,0)),"")</f>
        <v/>
      </c>
      <c r="N713" s="34">
        <f>IF($K713=1,L713-M713,"")</f>
        <v/>
      </c>
      <c r="O713" s="34" t="n">
        <v>0.00047173</v>
      </c>
      <c r="P713" s="34">
        <f>IF($J713=1,LN(1+O713),"")</f>
        <v/>
      </c>
      <c r="Q713" s="34">
        <f>IF($J713=1,LN(R714/R713),"")</f>
        <v/>
      </c>
      <c r="R713" s="32" t="n">
        <v>2.3249</v>
      </c>
      <c r="S713" s="35" t="n">
        <v>10.947</v>
      </c>
      <c r="T713" s="18" t="n"/>
      <c r="U713" s="18" t="n"/>
      <c r="V713" s="18" t="n">
        <v>39730</v>
      </c>
      <c r="W713" s="18" t="n"/>
      <c r="X713" s="35" t="n"/>
      <c r="Y713" s="35" t="n">
        <v>10.947</v>
      </c>
    </row>
    <row r="714">
      <c r="A714" s="25" t="n">
        <v>39864</v>
      </c>
      <c r="B714" s="18" t="n">
        <v>38714</v>
      </c>
      <c r="C714" s="31" t="n"/>
      <c r="D714" s="32" t="n"/>
      <c r="E714" s="33" t="n">
        <v>-3.171</v>
      </c>
      <c r="F714" t="inlineStr">
        <is>
          <t>Down</t>
        </is>
      </c>
      <c r="G714" t="inlineStr">
        <is>
          <t>Down</t>
        </is>
      </c>
      <c r="H714" t="inlineStr">
        <is>
          <t>ED_JD</t>
        </is>
      </c>
      <c r="I714" t="inlineStr">
        <is>
          <t>2009-02</t>
        </is>
      </c>
      <c r="J714" t="n">
        <v>1</v>
      </c>
      <c r="K714" t="n">
        <v>1</v>
      </c>
      <c r="L714" s="34">
        <f>IF($J714=1,LN(B715/B714),"")</f>
        <v/>
      </c>
      <c r="M714" s="34">
        <f>IF($K714=1,INDEX(Mensal!$D$2:$D$245,MATCH($I714,Mensal!$A$2:$A$245,0)),"")</f>
        <v/>
      </c>
      <c r="N714" s="34">
        <f>IF($K714=1,L714-M714,"")</f>
        <v/>
      </c>
      <c r="O714" s="34" t="n">
        <v>0.00047173</v>
      </c>
      <c r="P714" s="34">
        <f>IF($J714=1,LN(1+O714),"")</f>
        <v/>
      </c>
      <c r="Q714" s="34">
        <f>IF($J714=1,LN(R715/R714),"")</f>
        <v/>
      </c>
      <c r="R714" s="32" t="n">
        <v>2.3916</v>
      </c>
      <c r="S714" s="35" t="n">
        <v>10.942</v>
      </c>
      <c r="T714" s="18" t="n"/>
      <c r="U714" s="18" t="n"/>
      <c r="V714" s="18" t="n">
        <v>38714</v>
      </c>
      <c r="W714" s="18" t="n"/>
      <c r="X714" s="35" t="n"/>
      <c r="Y714" s="35" t="n">
        <v>10.942</v>
      </c>
    </row>
    <row r="715">
      <c r="A715" s="25" t="n">
        <v>39869</v>
      </c>
      <c r="B715" s="18" t="n">
        <v>38231</v>
      </c>
      <c r="C715" s="31" t="n"/>
      <c r="D715" s="32" t="n"/>
      <c r="E715" s="33" t="n">
        <v>-3.1532</v>
      </c>
      <c r="F715" t="inlineStr">
        <is>
          <t>Down</t>
        </is>
      </c>
      <c r="G715" t="inlineStr">
        <is>
          <t>Down</t>
        </is>
      </c>
      <c r="H715" t="inlineStr">
        <is>
          <t>ED_JD</t>
        </is>
      </c>
      <c r="I715" t="inlineStr">
        <is>
          <t>2009-02</t>
        </is>
      </c>
      <c r="J715" t="n">
        <v>1</v>
      </c>
      <c r="K715" t="n">
        <v>1</v>
      </c>
      <c r="L715" s="34">
        <f>IF($J715=1,LN(B716/B715),"")</f>
        <v/>
      </c>
      <c r="M715" s="34">
        <f>IF($K715=1,INDEX(Mensal!$D$2:$D$245,MATCH($I715,Mensal!$A$2:$A$245,0)),"")</f>
        <v/>
      </c>
      <c r="N715" s="34">
        <f>IF($K715=1,L715-M715,"")</f>
        <v/>
      </c>
      <c r="O715" s="34" t="n">
        <v>0.00047173</v>
      </c>
      <c r="P715" s="34">
        <f>IF($J715=1,LN(1+O715),"")</f>
        <v/>
      </c>
      <c r="Q715" s="34">
        <f>IF($J715=1,LN(R716/R715),"")</f>
        <v/>
      </c>
      <c r="R715" s="32" t="n">
        <v>2.3814</v>
      </c>
      <c r="S715" s="35" t="n">
        <v>10.875</v>
      </c>
      <c r="T715" s="18" t="n"/>
      <c r="U715" s="18" t="n"/>
      <c r="V715" s="18" t="n">
        <v>38231</v>
      </c>
      <c r="W715" s="18" t="n"/>
      <c r="X715" s="35" t="n"/>
      <c r="Y715" s="35" t="n">
        <v>10.875</v>
      </c>
    </row>
    <row r="716">
      <c r="A716" s="25" t="n">
        <v>39870</v>
      </c>
      <c r="B716" s="18" t="n">
        <v>38180</v>
      </c>
      <c r="C716" s="31" t="n"/>
      <c r="D716" s="32" t="n"/>
      <c r="E716" s="33" t="n">
        <v>-3.1252</v>
      </c>
      <c r="F716" t="inlineStr">
        <is>
          <t>Down</t>
        </is>
      </c>
      <c r="G716" t="inlineStr">
        <is>
          <t>Down</t>
        </is>
      </c>
      <c r="H716" t="inlineStr">
        <is>
          <t>ED_JD</t>
        </is>
      </c>
      <c r="I716" t="inlineStr">
        <is>
          <t>2009-02</t>
        </is>
      </c>
      <c r="J716" t="n">
        <v>1</v>
      </c>
      <c r="K716" t="n">
        <v>1</v>
      </c>
      <c r="L716" s="34">
        <f>IF($J716=1,LN(B717/B716),"")</f>
        <v/>
      </c>
      <c r="M716" s="34">
        <f>IF($K716=1,INDEX(Mensal!$D$2:$D$245,MATCH($I716,Mensal!$A$2:$A$245,0)),"")</f>
        <v/>
      </c>
      <c r="N716" s="34">
        <f>IF($K716=1,L716-M716,"")</f>
        <v/>
      </c>
      <c r="O716" s="34" t="n">
        <v>0.00047173</v>
      </c>
      <c r="P716" s="34">
        <f>IF($J716=1,LN(1+O716),"")</f>
        <v/>
      </c>
      <c r="Q716" s="34">
        <f>IF($J716=1,LN(R717/R716),"")</f>
        <v/>
      </c>
      <c r="R716" s="32" t="n">
        <v>2.3503</v>
      </c>
      <c r="S716" s="35" t="n">
        <v>10.729</v>
      </c>
      <c r="T716" s="18" t="n"/>
      <c r="U716" s="18" t="n"/>
      <c r="V716" s="18" t="n">
        <v>38180</v>
      </c>
      <c r="W716" s="18" t="n"/>
      <c r="X716" s="35" t="n"/>
      <c r="Y716" s="35" t="n">
        <v>10.729</v>
      </c>
    </row>
    <row r="717">
      <c r="A717" s="25" t="n">
        <v>39871</v>
      </c>
      <c r="B717" s="18" t="n">
        <v>38183</v>
      </c>
      <c r="C717" s="31" t="n"/>
      <c r="D717" s="32" t="n"/>
      <c r="E717" s="33" t="n">
        <v>-3.0928</v>
      </c>
      <c r="F717" t="inlineStr">
        <is>
          <t>Down</t>
        </is>
      </c>
      <c r="G717" t="inlineStr">
        <is>
          <t>Down</t>
        </is>
      </c>
      <c r="H717" t="inlineStr">
        <is>
          <t>ED_JD</t>
        </is>
      </c>
      <c r="I717" t="inlineStr">
        <is>
          <t>2009-02</t>
        </is>
      </c>
      <c r="J717" t="n">
        <v>1</v>
      </c>
      <c r="K717" t="n">
        <v>1</v>
      </c>
      <c r="L717" s="34">
        <f>IF($J717=1,LN(B718/B717),"")</f>
        <v/>
      </c>
      <c r="M717" s="34">
        <f>IF($K717=1,INDEX(Mensal!$D$2:$D$245,MATCH($I717,Mensal!$A$2:$A$245,0)),"")</f>
        <v/>
      </c>
      <c r="N717" s="34">
        <f>IF($K717=1,L717-M717,"")</f>
        <v/>
      </c>
      <c r="O717" s="34" t="n">
        <v>0.00047103</v>
      </c>
      <c r="P717" s="34">
        <f>IF($J717=1,LN(1+O717),"")</f>
        <v/>
      </c>
      <c r="Q717" s="34">
        <f>IF($J717=1,LN(R718/R717),"")</f>
        <v/>
      </c>
      <c r="R717" s="32" t="n">
        <v>2.3784</v>
      </c>
      <c r="S717" s="35" t="n">
        <v>10.62</v>
      </c>
      <c r="T717" s="18" t="n"/>
      <c r="U717" s="18" t="n"/>
      <c r="V717" s="18" t="n">
        <v>38183</v>
      </c>
      <c r="W717" s="18" t="n"/>
      <c r="X717" s="35" t="n"/>
      <c r="Y717" s="35" t="n">
        <v>10.62</v>
      </c>
    </row>
    <row r="718">
      <c r="A718" s="25" t="n">
        <v>39874</v>
      </c>
      <c r="B718" s="18" t="n">
        <v>36235</v>
      </c>
      <c r="C718" s="31" t="n"/>
      <c r="D718" s="32" t="n"/>
      <c r="E718" s="33" t="n">
        <v>-3.0499</v>
      </c>
      <c r="F718" t="inlineStr">
        <is>
          <t>Down</t>
        </is>
      </c>
      <c r="G718" t="inlineStr">
        <is>
          <t>Down</t>
        </is>
      </c>
      <c r="H718" t="inlineStr">
        <is>
          <t>ED_JD</t>
        </is>
      </c>
      <c r="I718" t="inlineStr">
        <is>
          <t>2009-03</t>
        </is>
      </c>
      <c r="J718" t="n">
        <v>1</v>
      </c>
      <c r="K718" t="n">
        <v>1</v>
      </c>
      <c r="L718" s="34">
        <f>IF($J718=1,LN(B719/B718),"")</f>
        <v/>
      </c>
      <c r="M718" s="34">
        <f>IF($K718=1,INDEX(Mensal!$D$2:$D$245,MATCH($I718,Mensal!$A$2:$A$245,0)),"")</f>
        <v/>
      </c>
      <c r="N718" s="34">
        <f>IF($K718=1,L718-M718,"")</f>
        <v/>
      </c>
      <c r="O718" s="34" t="n">
        <v>0.00047138</v>
      </c>
      <c r="P718" s="34">
        <f>IF($J718=1,LN(1+O718),"")</f>
        <v/>
      </c>
      <c r="Q718" s="34">
        <f>IF($J718=1,LN(R719/R718),"")</f>
        <v/>
      </c>
      <c r="R718" s="32" t="n">
        <v>2.4121</v>
      </c>
      <c r="S718" s="35" t="n">
        <v>10.665</v>
      </c>
      <c r="T718" s="18" t="n"/>
      <c r="U718" s="18" t="n"/>
      <c r="V718" s="18" t="n">
        <v>36235</v>
      </c>
      <c r="W718" s="18" t="n"/>
      <c r="X718" s="35" t="n"/>
      <c r="Y718" s="35" t="n">
        <v>10.665</v>
      </c>
    </row>
    <row r="719">
      <c r="A719" s="25" t="n">
        <v>39875</v>
      </c>
      <c r="B719" s="18" t="n">
        <v>36468</v>
      </c>
      <c r="C719" s="31" t="n"/>
      <c r="D719" s="32" t="n"/>
      <c r="E719" s="33" t="n">
        <v>-2.9973</v>
      </c>
      <c r="F719" t="inlineStr">
        <is>
          <t>Down</t>
        </is>
      </c>
      <c r="G719" t="inlineStr">
        <is>
          <t>Down</t>
        </is>
      </c>
      <c r="H719" t="inlineStr">
        <is>
          <t>ED_JD</t>
        </is>
      </c>
      <c r="I719" t="inlineStr">
        <is>
          <t>2009-03</t>
        </is>
      </c>
      <c r="J719" t="n">
        <v>1</v>
      </c>
      <c r="K719" t="n">
        <v>1</v>
      </c>
      <c r="L719" s="34">
        <f>IF($J719=1,LN(B720/B719),"")</f>
        <v/>
      </c>
      <c r="M719" s="34">
        <f>IF($K719=1,INDEX(Mensal!$D$2:$D$245,MATCH($I719,Mensal!$A$2:$A$245,0)),"")</f>
        <v/>
      </c>
      <c r="N719" s="34">
        <f>IF($K719=1,L719-M719,"")</f>
        <v/>
      </c>
      <c r="O719" s="34" t="n">
        <v>0.00047173</v>
      </c>
      <c r="P719" s="34">
        <f>IF($J719=1,LN(1+O719),"")</f>
        <v/>
      </c>
      <c r="Q719" s="34">
        <f>IF($J719=1,LN(R720/R719),"")</f>
        <v/>
      </c>
      <c r="R719" s="32" t="n">
        <v>2.4218</v>
      </c>
      <c r="S719" s="35" t="n">
        <v>10.697</v>
      </c>
      <c r="T719" s="18" t="n"/>
      <c r="U719" s="18" t="n"/>
      <c r="V719" s="18" t="n">
        <v>36468</v>
      </c>
      <c r="W719" s="18" t="n"/>
      <c r="X719" s="35" t="n"/>
      <c r="Y719" s="35" t="n">
        <v>10.697</v>
      </c>
    </row>
    <row r="720">
      <c r="A720" s="25" t="n">
        <v>39876</v>
      </c>
      <c r="B720" s="18" t="n">
        <v>38402</v>
      </c>
      <c r="C720" s="31" t="n"/>
      <c r="D720" s="32" t="n"/>
      <c r="E720" s="33" t="n">
        <v>-2.9426</v>
      </c>
      <c r="F720" t="inlineStr">
        <is>
          <t>Down</t>
        </is>
      </c>
      <c r="G720" t="inlineStr">
        <is>
          <t>Down</t>
        </is>
      </c>
      <c r="H720" t="inlineStr">
        <is>
          <t>ED_JD</t>
        </is>
      </c>
      <c r="I720" t="inlineStr">
        <is>
          <t>2009-03</t>
        </is>
      </c>
      <c r="J720" t="n">
        <v>1</v>
      </c>
      <c r="K720" t="n">
        <v>1</v>
      </c>
      <c r="L720" s="34">
        <f>IF($J720=1,LN(B721/B720),"")</f>
        <v/>
      </c>
      <c r="M720" s="34">
        <f>IF($K720=1,INDEX(Mensal!$D$2:$D$245,MATCH($I720,Mensal!$A$2:$A$245,0)),"")</f>
        <v/>
      </c>
      <c r="N720" s="34">
        <f>IF($K720=1,L720-M720,"")</f>
        <v/>
      </c>
      <c r="O720" s="34" t="n">
        <v>0.00047173</v>
      </c>
      <c r="P720" s="34">
        <f>IF($J720=1,LN(1+O720),"")</f>
        <v/>
      </c>
      <c r="Q720" s="34">
        <f>IF($J720=1,LN(R721/R720),"")</f>
        <v/>
      </c>
      <c r="R720" s="32" t="n">
        <v>2.3917</v>
      </c>
      <c r="S720" s="35" t="n">
        <v>10.695</v>
      </c>
      <c r="T720" s="18" t="n"/>
      <c r="U720" s="18" t="n"/>
      <c r="V720" s="18" t="n">
        <v>38402</v>
      </c>
      <c r="W720" s="18" t="n"/>
      <c r="X720" s="35" t="n"/>
      <c r="Y720" s="35" t="n">
        <v>10.695</v>
      </c>
    </row>
    <row r="721">
      <c r="A721" s="25" t="n">
        <v>39877</v>
      </c>
      <c r="B721" s="18" t="n">
        <v>37369</v>
      </c>
      <c r="C721" s="31" t="n"/>
      <c r="D721" s="32" t="n"/>
      <c r="E721" s="33" t="n">
        <v>-2.8878</v>
      </c>
      <c r="F721" t="inlineStr">
        <is>
          <t>Down</t>
        </is>
      </c>
      <c r="G721" t="inlineStr">
        <is>
          <t>Down</t>
        </is>
      </c>
      <c r="H721" t="inlineStr">
        <is>
          <t>ED_JD</t>
        </is>
      </c>
      <c r="I721" t="inlineStr">
        <is>
          <t>2009-03</t>
        </is>
      </c>
      <c r="J721" t="n">
        <v>1</v>
      </c>
      <c r="K721" t="n">
        <v>1</v>
      </c>
      <c r="L721" s="34">
        <f>IF($J721=1,LN(B722/B721),"")</f>
        <v/>
      </c>
      <c r="M721" s="34">
        <f>IF($K721=1,INDEX(Mensal!$D$2:$D$245,MATCH($I721,Mensal!$A$2:$A$245,0)),"")</f>
        <v/>
      </c>
      <c r="N721" s="34">
        <f>IF($K721=1,L721-M721,"")</f>
        <v/>
      </c>
      <c r="O721" s="34" t="n">
        <v>0.00047173</v>
      </c>
      <c r="P721" s="34">
        <f>IF($J721=1,LN(1+O721),"")</f>
        <v/>
      </c>
      <c r="Q721" s="34">
        <f>IF($J721=1,LN(R722/R721),"")</f>
        <v/>
      </c>
      <c r="R721" s="32" t="n">
        <v>2.3822</v>
      </c>
      <c r="S721" s="35" t="n">
        <v>10.622</v>
      </c>
      <c r="T721" s="18" t="n"/>
      <c r="U721" s="18" t="n"/>
      <c r="V721" s="18" t="n">
        <v>37369</v>
      </c>
      <c r="W721" s="18" t="n"/>
      <c r="X721" s="35" t="n"/>
      <c r="Y721" s="35" t="n">
        <v>10.622</v>
      </c>
    </row>
    <row r="722">
      <c r="A722" s="25" t="n">
        <v>39878</v>
      </c>
      <c r="B722" s="18" t="n">
        <v>37105</v>
      </c>
      <c r="C722" s="31" t="n"/>
      <c r="D722" s="32" t="n"/>
      <c r="E722" s="33" t="n">
        <v>-2.8539</v>
      </c>
      <c r="F722" t="inlineStr">
        <is>
          <t>Down</t>
        </is>
      </c>
      <c r="G722" t="inlineStr">
        <is>
          <t>Down</t>
        </is>
      </c>
      <c r="H722" t="inlineStr">
        <is>
          <t>ED_JD</t>
        </is>
      </c>
      <c r="I722" t="inlineStr">
        <is>
          <t>2009-03</t>
        </is>
      </c>
      <c r="J722" t="n">
        <v>1</v>
      </c>
      <c r="K722" t="n">
        <v>1</v>
      </c>
      <c r="L722" s="34">
        <f>IF($J722=1,LN(B723/B722),"")</f>
        <v/>
      </c>
      <c r="M722" s="34">
        <f>IF($K722=1,INDEX(Mensal!$D$2:$D$245,MATCH($I722,Mensal!$A$2:$A$245,0)),"")</f>
        <v/>
      </c>
      <c r="N722" s="34">
        <f>IF($K722=1,L722-M722,"")</f>
        <v/>
      </c>
      <c r="O722" s="34" t="n">
        <v>0.00047173</v>
      </c>
      <c r="P722" s="34">
        <f>IF($J722=1,LN(1+O722),"")</f>
        <v/>
      </c>
      <c r="Q722" s="34">
        <f>IF($J722=1,LN(R723/R722),"")</f>
        <v/>
      </c>
      <c r="R722" s="32" t="n">
        <v>2.3768</v>
      </c>
      <c r="S722" s="35" t="n">
        <v>10.372</v>
      </c>
      <c r="T722" s="18" t="n"/>
      <c r="U722" s="18" t="n"/>
      <c r="V722" s="18" t="n">
        <v>37105</v>
      </c>
      <c r="W722" s="18" t="n"/>
      <c r="X722" s="35" t="n"/>
      <c r="Y722" s="35" t="n">
        <v>10.372</v>
      </c>
    </row>
    <row r="723">
      <c r="A723" s="25" t="n">
        <v>39881</v>
      </c>
      <c r="B723" s="18" t="n">
        <v>36741</v>
      </c>
      <c r="C723" s="31" t="n"/>
      <c r="D723" s="32" t="n"/>
      <c r="E723" s="33" t="n">
        <v>-2.8154</v>
      </c>
      <c r="F723" t="inlineStr">
        <is>
          <t>Down</t>
        </is>
      </c>
      <c r="G723" t="inlineStr">
        <is>
          <t>Down</t>
        </is>
      </c>
      <c r="H723" t="inlineStr">
        <is>
          <t>ED_JD</t>
        </is>
      </c>
      <c r="I723" t="inlineStr">
        <is>
          <t>2009-03</t>
        </is>
      </c>
      <c r="J723" t="n">
        <v>1</v>
      </c>
      <c r="K723" t="n">
        <v>1</v>
      </c>
      <c r="L723" s="34">
        <f>IF($J723=1,LN(B724/B723),"")</f>
        <v/>
      </c>
      <c r="M723" s="34">
        <f>IF($K723=1,INDEX(Mensal!$D$2:$D$245,MATCH($I723,Mensal!$A$2:$A$245,0)),"")</f>
        <v/>
      </c>
      <c r="N723" s="34">
        <f>IF($K723=1,L723-M723,"")</f>
        <v/>
      </c>
      <c r="O723" s="34" t="n">
        <v>0.00047173</v>
      </c>
      <c r="P723" s="34">
        <f>IF($J723=1,LN(1+O723),"")</f>
        <v/>
      </c>
      <c r="Q723" s="34">
        <f>IF($J723=1,LN(R724/R723),"")</f>
        <v/>
      </c>
      <c r="R723" s="32" t="n">
        <v>2.3781</v>
      </c>
      <c r="S723" s="35" t="n">
        <v>10.175</v>
      </c>
      <c r="T723" s="18" t="n"/>
      <c r="U723" s="18" t="n"/>
      <c r="V723" s="18" t="n">
        <v>36741</v>
      </c>
      <c r="W723" s="18" t="n"/>
      <c r="X723" s="35" t="n"/>
      <c r="Y723" s="35" t="n">
        <v>10.175</v>
      </c>
    </row>
    <row r="724">
      <c r="A724" s="25" t="n">
        <v>39882</v>
      </c>
      <c r="B724" s="18" t="n">
        <v>38795</v>
      </c>
      <c r="C724" s="31" t="n"/>
      <c r="D724" s="32" t="n"/>
      <c r="E724" s="33" t="n">
        <v>-2.7644</v>
      </c>
      <c r="F724" t="inlineStr">
        <is>
          <t>Down</t>
        </is>
      </c>
      <c r="G724" t="inlineStr">
        <is>
          <t>Down</t>
        </is>
      </c>
      <c r="H724" t="inlineStr">
        <is>
          <t>ED_JD</t>
        </is>
      </c>
      <c r="I724" t="inlineStr">
        <is>
          <t>2009-03</t>
        </is>
      </c>
      <c r="J724" t="n">
        <v>1</v>
      </c>
      <c r="K724" t="n">
        <v>1</v>
      </c>
      <c r="L724" s="34">
        <f>IF($J724=1,LN(B725/B724),"")</f>
        <v/>
      </c>
      <c r="M724" s="34">
        <f>IF($K724=1,INDEX(Mensal!$D$2:$D$245,MATCH($I724,Mensal!$A$2:$A$245,0)),"")</f>
        <v/>
      </c>
      <c r="N724" s="34">
        <f>IF($K724=1,L724-M724,"")</f>
        <v/>
      </c>
      <c r="O724" s="34" t="n">
        <v>0.00047173</v>
      </c>
      <c r="P724" s="34">
        <f>IF($J724=1,LN(1+O724),"")</f>
        <v/>
      </c>
      <c r="Q724" s="34">
        <f>IF($J724=1,LN(R725/R724),"")</f>
        <v/>
      </c>
      <c r="R724" s="32" t="n">
        <v>2.3515</v>
      </c>
      <c r="S724" s="35" t="n">
        <v>10.118</v>
      </c>
      <c r="T724" s="18" t="n"/>
      <c r="U724" s="18" t="n"/>
      <c r="V724" s="18" t="n">
        <v>38795</v>
      </c>
      <c r="W724" s="18" t="n"/>
      <c r="X724" s="35" t="n"/>
      <c r="Y724" s="35" t="n">
        <v>10.118</v>
      </c>
    </row>
    <row r="725">
      <c r="A725" s="25" t="n">
        <v>39883</v>
      </c>
      <c r="B725" s="18" t="n">
        <v>38805</v>
      </c>
      <c r="C725" s="31" t="n"/>
      <c r="D725" s="32" t="n"/>
      <c r="E725" s="33" t="n">
        <v>-2.7211</v>
      </c>
      <c r="F725" t="inlineStr">
        <is>
          <t>Down</t>
        </is>
      </c>
      <c r="G725" t="inlineStr">
        <is>
          <t>Down</t>
        </is>
      </c>
      <c r="H725" t="inlineStr">
        <is>
          <t>ED_JD</t>
        </is>
      </c>
      <c r="I725" t="inlineStr">
        <is>
          <t>2009-03</t>
        </is>
      </c>
      <c r="J725" t="n">
        <v>1</v>
      </c>
      <c r="K725" t="n">
        <v>1</v>
      </c>
      <c r="L725" s="34">
        <f>IF($J725=1,LN(B726/B725),"")</f>
        <v/>
      </c>
      <c r="M725" s="34">
        <f>IF($K725=1,INDEX(Mensal!$D$2:$D$245,MATCH($I725,Mensal!$A$2:$A$245,0)),"")</f>
        <v/>
      </c>
      <c r="N725" s="34">
        <f>IF($K725=1,L725-M725,"")</f>
        <v/>
      </c>
      <c r="O725" s="34" t="n">
        <v>0.00047103</v>
      </c>
      <c r="P725" s="34">
        <f>IF($J725=1,LN(1+O725),"")</f>
        <v/>
      </c>
      <c r="Q725" s="34">
        <f>IF($J725=1,LN(R726/R725),"")</f>
        <v/>
      </c>
      <c r="R725" s="32" t="n">
        <v>2.3366</v>
      </c>
      <c r="S725" s="35" t="n">
        <v>9.994999999999999</v>
      </c>
      <c r="T725" s="18" t="n"/>
      <c r="U725" s="18" t="n"/>
      <c r="V725" s="18" t="n">
        <v>38805</v>
      </c>
      <c r="W725" s="18" t="n"/>
      <c r="X725" s="35" t="n"/>
      <c r="Y725" s="35" t="n">
        <v>9.994999999999999</v>
      </c>
    </row>
    <row r="726">
      <c r="A726" s="25" t="n">
        <v>39884</v>
      </c>
      <c r="B726" s="18" t="n">
        <v>39151</v>
      </c>
      <c r="C726" s="31" t="n"/>
      <c r="D726" s="32" t="n"/>
      <c r="E726" s="33" t="n">
        <v>-2.6702</v>
      </c>
      <c r="F726" t="inlineStr">
        <is>
          <t>Down</t>
        </is>
      </c>
      <c r="G726" t="inlineStr">
        <is>
          <t>Down</t>
        </is>
      </c>
      <c r="H726" t="inlineStr">
        <is>
          <t>ED_JD</t>
        </is>
      </c>
      <c r="I726" t="inlineStr">
        <is>
          <t>2009-03</t>
        </is>
      </c>
      <c r="J726" t="n">
        <v>1</v>
      </c>
      <c r="K726" t="n">
        <v>1</v>
      </c>
      <c r="L726" s="34">
        <f>IF($J726=1,LN(B727/B726),"")</f>
        <v/>
      </c>
      <c r="M726" s="34">
        <f>IF($K726=1,INDEX(Mensal!$D$2:$D$245,MATCH($I726,Mensal!$A$2:$A$245,0)),"")</f>
        <v/>
      </c>
      <c r="N726" s="34">
        <f>IF($K726=1,L726-M726,"")</f>
        <v/>
      </c>
      <c r="O726" s="34" t="n">
        <v>0.0004185</v>
      </c>
      <c r="P726" s="34">
        <f>IF($J726=1,LN(1+O726),"")</f>
        <v/>
      </c>
      <c r="Q726" s="34">
        <f>IF($J726=1,LN(R727/R726),"")</f>
        <v/>
      </c>
      <c r="R726" s="32" t="n">
        <v>2.3158</v>
      </c>
      <c r="S726" s="35" t="n">
        <v>9.951000000000001</v>
      </c>
      <c r="T726" s="18" t="n"/>
      <c r="U726" s="18" t="n"/>
      <c r="V726" s="18" t="n">
        <v>39151</v>
      </c>
      <c r="W726" s="18" t="n"/>
      <c r="X726" s="35" t="n"/>
      <c r="Y726" s="35" t="n">
        <v>9.951000000000001</v>
      </c>
    </row>
    <row r="727">
      <c r="A727" s="25" t="n">
        <v>39885</v>
      </c>
      <c r="B727" s="18" t="n">
        <v>39015</v>
      </c>
      <c r="C727" s="31" t="n"/>
      <c r="D727" s="32" t="n"/>
      <c r="E727" s="33" t="n">
        <v>-2.6209</v>
      </c>
      <c r="F727" t="inlineStr">
        <is>
          <t>Down</t>
        </is>
      </c>
      <c r="G727" t="inlineStr">
        <is>
          <t>Down</t>
        </is>
      </c>
      <c r="H727" t="inlineStr">
        <is>
          <t>ED_JD</t>
        </is>
      </c>
      <c r="I727" t="inlineStr">
        <is>
          <t>2009-03</t>
        </is>
      </c>
      <c r="J727" t="n">
        <v>1</v>
      </c>
      <c r="K727" t="n">
        <v>1</v>
      </c>
      <c r="L727" s="34">
        <f>IF($J727=1,LN(B728/B727),"")</f>
        <v/>
      </c>
      <c r="M727" s="34">
        <f>IF($K727=1,INDEX(Mensal!$D$2:$D$245,MATCH($I727,Mensal!$A$2:$A$245,0)),"")</f>
        <v/>
      </c>
      <c r="N727" s="34">
        <f>IF($K727=1,L727-M727,"")</f>
        <v/>
      </c>
      <c r="O727" s="34" t="n">
        <v>0.0004185</v>
      </c>
      <c r="P727" s="34">
        <f>IF($J727=1,LN(1+O727),"")</f>
        <v/>
      </c>
      <c r="Q727" s="34">
        <f>IF($J727=1,LN(R728/R727),"")</f>
        <v/>
      </c>
      <c r="R727" s="32" t="n">
        <v>2.3012</v>
      </c>
      <c r="S727" s="35" t="n">
        <v>10.072</v>
      </c>
      <c r="T727" s="18" t="n"/>
      <c r="U727" s="18" t="n"/>
      <c r="V727" s="18" t="n">
        <v>39015</v>
      </c>
      <c r="W727" s="18" t="n"/>
      <c r="X727" s="35" t="n"/>
      <c r="Y727" s="35" t="n">
        <v>10.072</v>
      </c>
    </row>
    <row r="728">
      <c r="A728" s="25" t="n">
        <v>39888</v>
      </c>
      <c r="B728" s="18" t="n">
        <v>38607</v>
      </c>
      <c r="C728" s="31" t="n"/>
      <c r="D728" s="32" t="n"/>
      <c r="E728" s="33" t="n">
        <v>-2.616</v>
      </c>
      <c r="F728" t="inlineStr">
        <is>
          <t>Down</t>
        </is>
      </c>
      <c r="G728" t="inlineStr">
        <is>
          <t>Down</t>
        </is>
      </c>
      <c r="H728" t="inlineStr">
        <is>
          <t>ED_JD</t>
        </is>
      </c>
      <c r="I728" t="inlineStr">
        <is>
          <t>2009-03</t>
        </is>
      </c>
      <c r="J728" t="n">
        <v>1</v>
      </c>
      <c r="K728" t="n">
        <v>1</v>
      </c>
      <c r="L728" s="34">
        <f>IF($J728=1,LN(B729/B728),"")</f>
        <v/>
      </c>
      <c r="M728" s="34">
        <f>IF($K728=1,INDEX(Mensal!$D$2:$D$245,MATCH($I728,Mensal!$A$2:$A$245,0)),"")</f>
        <v/>
      </c>
      <c r="N728" s="34">
        <f>IF($K728=1,L728-M728,"")</f>
        <v/>
      </c>
      <c r="O728" s="34" t="n">
        <v>0.000416</v>
      </c>
      <c r="P728" s="34">
        <f>IF($J728=1,LN(1+O728),"")</f>
        <v/>
      </c>
      <c r="Q728" s="34">
        <f>IF($J728=1,LN(R729/R728),"")</f>
        <v/>
      </c>
      <c r="R728" s="32" t="n">
        <v>2.2705</v>
      </c>
      <c r="S728" s="35" t="n">
        <v>10.032</v>
      </c>
      <c r="T728" s="18" t="n"/>
      <c r="U728" s="18" t="n"/>
      <c r="V728" s="18" t="n">
        <v>38607</v>
      </c>
      <c r="W728" s="18" t="n"/>
      <c r="X728" s="35" t="n"/>
      <c r="Y728" s="35" t="n">
        <v>10.032</v>
      </c>
    </row>
    <row r="729">
      <c r="A729" s="25" t="n">
        <v>39889</v>
      </c>
      <c r="B729" s="18" t="n">
        <v>39511</v>
      </c>
      <c r="C729" s="31" t="n"/>
      <c r="D729" s="32" t="n"/>
      <c r="E729" s="33" t="n">
        <v>-2.6055</v>
      </c>
      <c r="F729" t="inlineStr">
        <is>
          <t>Down</t>
        </is>
      </c>
      <c r="G729" t="inlineStr">
        <is>
          <t>Down</t>
        </is>
      </c>
      <c r="H729" t="inlineStr">
        <is>
          <t>ED_JD</t>
        </is>
      </c>
      <c r="I729" t="inlineStr">
        <is>
          <t>2009-03</t>
        </is>
      </c>
      <c r="J729" t="n">
        <v>1</v>
      </c>
      <c r="K729" t="n">
        <v>1</v>
      </c>
      <c r="L729" s="34">
        <f>IF($J729=1,LN(B730/B729),"")</f>
        <v/>
      </c>
      <c r="M729" s="34">
        <f>IF($K729=1,INDEX(Mensal!$D$2:$D$245,MATCH($I729,Mensal!$A$2:$A$245,0)),"")</f>
        <v/>
      </c>
      <c r="N729" s="34">
        <f>IF($K729=1,L729-M729,"")</f>
        <v/>
      </c>
      <c r="O729" s="34" t="n">
        <v>0.00041493</v>
      </c>
      <c r="P729" s="34">
        <f>IF($J729=1,LN(1+O729),"")</f>
        <v/>
      </c>
      <c r="Q729" s="34">
        <f>IF($J729=1,LN(R730/R729),"")</f>
        <v/>
      </c>
      <c r="R729" s="32" t="n">
        <v>2.2833</v>
      </c>
      <c r="S729" s="35" t="n">
        <v>10.009</v>
      </c>
      <c r="T729" s="18" t="n"/>
      <c r="U729" s="18" t="n"/>
      <c r="V729" s="18" t="n">
        <v>39511</v>
      </c>
      <c r="W729" s="18" t="n"/>
      <c r="X729" s="35" t="n"/>
      <c r="Y729" s="35" t="n">
        <v>10.009</v>
      </c>
    </row>
    <row r="730">
      <c r="A730" s="25" t="n">
        <v>39890</v>
      </c>
      <c r="B730" s="18" t="n">
        <v>40142</v>
      </c>
      <c r="C730" s="31" t="n"/>
      <c r="D730" s="32" t="n"/>
      <c r="E730" s="33" t="n">
        <v>-2.6077</v>
      </c>
      <c r="F730" t="inlineStr">
        <is>
          <t>Down</t>
        </is>
      </c>
      <c r="G730" t="inlineStr">
        <is>
          <t>Down</t>
        </is>
      </c>
      <c r="H730" t="inlineStr">
        <is>
          <t>ED_JD</t>
        </is>
      </c>
      <c r="I730" t="inlineStr">
        <is>
          <t>2009-03</t>
        </is>
      </c>
      <c r="J730" t="n">
        <v>1</v>
      </c>
      <c r="K730" t="n">
        <v>1</v>
      </c>
      <c r="L730" s="34">
        <f>IF($J730=1,LN(B731/B730),"")</f>
        <v/>
      </c>
      <c r="M730" s="34">
        <f>IF($K730=1,INDEX(Mensal!$D$2:$D$245,MATCH($I730,Mensal!$A$2:$A$245,0)),"")</f>
        <v/>
      </c>
      <c r="N730" s="34">
        <f>IF($K730=1,L730-M730,"")</f>
        <v/>
      </c>
      <c r="O730" s="34" t="n">
        <v>0.00041814</v>
      </c>
      <c r="P730" s="34">
        <f>IF($J730=1,LN(1+O730),"")</f>
        <v/>
      </c>
      <c r="Q730" s="34">
        <f>IF($J730=1,LN(R731/R730),"")</f>
        <v/>
      </c>
      <c r="R730" s="32" t="n">
        <v>2.2806</v>
      </c>
      <c r="S730" s="35" t="n">
        <v>9.851000000000001</v>
      </c>
      <c r="T730" s="18" t="n"/>
      <c r="U730" s="18" t="n"/>
      <c r="V730" s="18" t="n">
        <v>40142</v>
      </c>
      <c r="W730" s="18" t="n"/>
      <c r="X730" s="35" t="n"/>
      <c r="Y730" s="35" t="n">
        <v>9.851000000000001</v>
      </c>
    </row>
    <row r="731">
      <c r="A731" s="25" t="n">
        <v>39891</v>
      </c>
      <c r="B731" s="18" t="n">
        <v>40453</v>
      </c>
      <c r="C731" s="31" t="n"/>
      <c r="D731" s="32" t="n"/>
      <c r="E731" s="33" t="n">
        <v>-2.5991</v>
      </c>
      <c r="F731" t="inlineStr">
        <is>
          <t>Down</t>
        </is>
      </c>
      <c r="G731" t="inlineStr">
        <is>
          <t>Down</t>
        </is>
      </c>
      <c r="H731" t="inlineStr">
        <is>
          <t>ED_JD</t>
        </is>
      </c>
      <c r="I731" t="inlineStr">
        <is>
          <t>2009-03</t>
        </is>
      </c>
      <c r="J731" t="n">
        <v>1</v>
      </c>
      <c r="K731" t="n">
        <v>1</v>
      </c>
      <c r="L731" s="34">
        <f>IF($J731=1,LN(B732/B731),"")</f>
        <v/>
      </c>
      <c r="M731" s="34">
        <f>IF($K731=1,INDEX(Mensal!$D$2:$D$245,MATCH($I731,Mensal!$A$2:$A$245,0)),"")</f>
        <v/>
      </c>
      <c r="N731" s="34">
        <f>IF($K731=1,L731-M731,"")</f>
        <v/>
      </c>
      <c r="O731" s="34" t="n">
        <v>0.00041886</v>
      </c>
      <c r="P731" s="34">
        <f>IF($J731=1,LN(1+O731),"")</f>
        <v/>
      </c>
      <c r="Q731" s="34">
        <f>IF($J731=1,LN(R732/R731),"")</f>
        <v/>
      </c>
      <c r="R731" s="32" t="n">
        <v>2.2379</v>
      </c>
      <c r="S731" s="35" t="n">
        <v>9.756</v>
      </c>
      <c r="T731" s="18" t="n"/>
      <c r="U731" s="18" t="n"/>
      <c r="V731" s="18" t="n">
        <v>40453</v>
      </c>
      <c r="W731" s="18" t="n"/>
      <c r="X731" s="35" t="n"/>
      <c r="Y731" s="35" t="n">
        <v>9.756</v>
      </c>
    </row>
    <row r="732">
      <c r="A732" s="25" t="n">
        <v>39892</v>
      </c>
      <c r="B732" s="18" t="n">
        <v>40076</v>
      </c>
      <c r="C732" s="31" t="n"/>
      <c r="D732" s="32" t="n"/>
      <c r="E732" s="33" t="n">
        <v>-2.5746</v>
      </c>
      <c r="F732" t="inlineStr">
        <is>
          <t>Down</t>
        </is>
      </c>
      <c r="G732" t="inlineStr">
        <is>
          <t>Down</t>
        </is>
      </c>
      <c r="H732" t="inlineStr">
        <is>
          <t>ED_JD</t>
        </is>
      </c>
      <c r="I732" t="inlineStr">
        <is>
          <t>2009-03</t>
        </is>
      </c>
      <c r="J732" t="n">
        <v>1</v>
      </c>
      <c r="K732" t="n">
        <v>1</v>
      </c>
      <c r="L732" s="34">
        <f>IF($J732=1,LN(B733/B732),"")</f>
        <v/>
      </c>
      <c r="M732" s="34">
        <f>IF($K732=1,INDEX(Mensal!$D$2:$D$245,MATCH($I732,Mensal!$A$2:$A$245,0)),"")</f>
        <v/>
      </c>
      <c r="N732" s="34">
        <f>IF($K732=1,L732-M732,"")</f>
        <v/>
      </c>
      <c r="O732" s="34" t="n">
        <v>0.00041886</v>
      </c>
      <c r="P732" s="34">
        <f>IF($J732=1,LN(1+O732),"")</f>
        <v/>
      </c>
      <c r="Q732" s="34">
        <f>IF($J732=1,LN(R733/R732),"")</f>
        <v/>
      </c>
      <c r="R732" s="32" t="n">
        <v>2.2567</v>
      </c>
      <c r="S732" s="35" t="n">
        <v>9.705</v>
      </c>
      <c r="T732" s="18" t="n"/>
      <c r="U732" s="18" t="n"/>
      <c r="V732" s="18" t="n">
        <v>40076</v>
      </c>
      <c r="W732" s="18" t="n"/>
      <c r="X732" s="35" t="n"/>
      <c r="Y732" s="35" t="n">
        <v>9.705</v>
      </c>
    </row>
    <row r="733">
      <c r="A733" s="25" t="n">
        <v>39895</v>
      </c>
      <c r="B733" s="18" t="n">
        <v>42439</v>
      </c>
      <c r="C733" s="31" t="n"/>
      <c r="D733" s="32" t="n"/>
      <c r="E733" s="33" t="n">
        <v>-2.5452</v>
      </c>
      <c r="F733" t="inlineStr">
        <is>
          <t>Down</t>
        </is>
      </c>
      <c r="G733" t="inlineStr">
        <is>
          <t>Down</t>
        </is>
      </c>
      <c r="H733" t="inlineStr">
        <is>
          <t>ED_JD</t>
        </is>
      </c>
      <c r="I733" t="inlineStr">
        <is>
          <t>2009-03</t>
        </is>
      </c>
      <c r="J733" t="n">
        <v>1</v>
      </c>
      <c r="K733" t="n">
        <v>1</v>
      </c>
      <c r="L733" s="34">
        <f>IF($J733=1,LN(B734/B733),"")</f>
        <v/>
      </c>
      <c r="M733" s="34">
        <f>IF($K733=1,INDEX(Mensal!$D$2:$D$245,MATCH($I733,Mensal!$A$2:$A$245,0)),"")</f>
        <v/>
      </c>
      <c r="N733" s="34">
        <f>IF($K733=1,L733-M733,"")</f>
        <v/>
      </c>
      <c r="O733" s="34" t="n">
        <v>0.00041886</v>
      </c>
      <c r="P733" s="34">
        <f>IF($J733=1,LN(1+O733),"")</f>
        <v/>
      </c>
      <c r="Q733" s="34">
        <f>IF($J733=1,LN(R734/R733),"")</f>
        <v/>
      </c>
      <c r="R733" s="32" t="n">
        <v>2.2505</v>
      </c>
      <c r="S733" s="35" t="n">
        <v>9.756</v>
      </c>
      <c r="T733" s="18" t="n"/>
      <c r="U733" s="18" t="n"/>
      <c r="V733" s="18" t="n">
        <v>42439</v>
      </c>
      <c r="W733" s="18" t="n"/>
      <c r="X733" s="35" t="n"/>
      <c r="Y733" s="35" t="n">
        <v>9.756</v>
      </c>
    </row>
    <row r="734">
      <c r="A734" s="25" t="n">
        <v>39896</v>
      </c>
      <c r="B734" s="18" t="n">
        <v>41476</v>
      </c>
      <c r="C734" s="31" t="n"/>
      <c r="D734" s="32" t="n"/>
      <c r="E734" s="33" t="n">
        <v>-2.53</v>
      </c>
      <c r="F734" t="inlineStr">
        <is>
          <t>Down</t>
        </is>
      </c>
      <c r="G734" t="inlineStr">
        <is>
          <t>Down</t>
        </is>
      </c>
      <c r="H734" t="inlineStr">
        <is>
          <t>ED_JD</t>
        </is>
      </c>
      <c r="I734" t="inlineStr">
        <is>
          <t>2009-03</t>
        </is>
      </c>
      <c r="J734" t="n">
        <v>1</v>
      </c>
      <c r="K734" t="n">
        <v>1</v>
      </c>
      <c r="L734" s="34">
        <f>IF($J734=1,LN(B735/B734),"")</f>
        <v/>
      </c>
      <c r="M734" s="34">
        <f>IF($K734=1,INDEX(Mensal!$D$2:$D$245,MATCH($I734,Mensal!$A$2:$A$245,0)),"")</f>
        <v/>
      </c>
      <c r="N734" s="34">
        <f>IF($K734=1,L734-M734,"")</f>
        <v/>
      </c>
      <c r="O734" s="34" t="n">
        <v>0.0004185</v>
      </c>
      <c r="P734" s="34">
        <f>IF($J734=1,LN(1+O734),"")</f>
        <v/>
      </c>
      <c r="Q734" s="34">
        <f>IF($J734=1,LN(R735/R734),"")</f>
        <v/>
      </c>
      <c r="R734" s="32" t="n">
        <v>2.2567</v>
      </c>
      <c r="S734" s="35" t="n">
        <v>9.92</v>
      </c>
      <c r="T734" s="18" t="n"/>
      <c r="U734" s="18" t="n"/>
      <c r="V734" s="18" t="n">
        <v>41476</v>
      </c>
      <c r="W734" s="18" t="n"/>
      <c r="X734" s="35" t="n"/>
      <c r="Y734" s="35" t="n">
        <v>9.92</v>
      </c>
    </row>
    <row r="735">
      <c r="A735" s="25" t="n">
        <v>39897</v>
      </c>
      <c r="B735" s="18" t="n">
        <v>41799</v>
      </c>
      <c r="C735" s="31" t="n"/>
      <c r="D735" s="32" t="n"/>
      <c r="E735" s="33" t="n">
        <v>-2.514</v>
      </c>
      <c r="F735" t="inlineStr">
        <is>
          <t>Down</t>
        </is>
      </c>
      <c r="G735" t="inlineStr">
        <is>
          <t>Down</t>
        </is>
      </c>
      <c r="H735" t="inlineStr">
        <is>
          <t>ED_JD</t>
        </is>
      </c>
      <c r="I735" t="inlineStr">
        <is>
          <t>2009-03</t>
        </is>
      </c>
      <c r="J735" t="n">
        <v>1</v>
      </c>
      <c r="K735" t="n">
        <v>1</v>
      </c>
      <c r="L735" s="34">
        <f>IF($J735=1,LN(B736/B735),"")</f>
        <v/>
      </c>
      <c r="M735" s="34">
        <f>IF($K735=1,INDEX(Mensal!$D$2:$D$245,MATCH($I735,Mensal!$A$2:$A$245,0)),"")</f>
        <v/>
      </c>
      <c r="N735" s="34">
        <f>IF($K735=1,L735-M735,"")</f>
        <v/>
      </c>
      <c r="O735" s="34" t="n">
        <v>0.0004185</v>
      </c>
      <c r="P735" s="34">
        <f>IF($J735=1,LN(1+O735),"")</f>
        <v/>
      </c>
      <c r="Q735" s="34">
        <f>IF($J735=1,LN(R736/R735),"")</f>
        <v/>
      </c>
      <c r="R735" s="32" t="n">
        <v>2.2435</v>
      </c>
      <c r="S735" s="35" t="n">
        <v>9.881</v>
      </c>
      <c r="T735" s="18" t="n"/>
      <c r="U735" s="18" t="n"/>
      <c r="V735" s="18" t="n">
        <v>41799</v>
      </c>
      <c r="W735" s="18" t="n"/>
      <c r="X735" s="35" t="n"/>
      <c r="Y735" s="35" t="n">
        <v>9.881</v>
      </c>
    </row>
    <row r="736">
      <c r="A736" s="25" t="n">
        <v>39898</v>
      </c>
      <c r="B736" s="18" t="n">
        <v>42589</v>
      </c>
      <c r="C736" s="31" t="n"/>
      <c r="D736" s="32" t="n"/>
      <c r="E736" s="33" t="n">
        <v>-2.4954</v>
      </c>
      <c r="F736" t="inlineStr">
        <is>
          <t>Down</t>
        </is>
      </c>
      <c r="G736" t="inlineStr">
        <is>
          <t>Down</t>
        </is>
      </c>
      <c r="H736" t="inlineStr">
        <is>
          <t>ED_JD</t>
        </is>
      </c>
      <c r="I736" t="inlineStr">
        <is>
          <t>2009-03</t>
        </is>
      </c>
      <c r="J736" t="n">
        <v>1</v>
      </c>
      <c r="K736" t="n">
        <v>1</v>
      </c>
      <c r="L736" s="34">
        <f>IF($J736=1,LN(B737/B736),"")</f>
        <v/>
      </c>
      <c r="M736" s="34">
        <f>IF($K736=1,INDEX(Mensal!$D$2:$D$245,MATCH($I736,Mensal!$A$2:$A$245,0)),"")</f>
        <v/>
      </c>
      <c r="N736" s="34">
        <f>IF($K736=1,L736-M736,"")</f>
        <v/>
      </c>
      <c r="O736" s="34" t="n">
        <v>0.0004185</v>
      </c>
      <c r="P736" s="34">
        <f>IF($J736=1,LN(1+O736),"")</f>
        <v/>
      </c>
      <c r="Q736" s="34">
        <f>IF($J736=1,LN(R737/R736),"")</f>
        <v/>
      </c>
      <c r="R736" s="32" t="n">
        <v>2.2375</v>
      </c>
      <c r="S736" s="35" t="n">
        <v>9.792</v>
      </c>
      <c r="T736" s="18" t="n"/>
      <c r="U736" s="18" t="n"/>
      <c r="V736" s="18" t="n">
        <v>42589</v>
      </c>
      <c r="W736" s="18" t="n"/>
      <c r="X736" s="35" t="n"/>
      <c r="Y736" s="35" t="n">
        <v>9.792</v>
      </c>
    </row>
    <row r="737">
      <c r="A737" s="25" t="n">
        <v>39899</v>
      </c>
      <c r="B737" s="18" t="n">
        <v>41907</v>
      </c>
      <c r="C737" s="31" t="n"/>
      <c r="D737" s="32" t="n"/>
      <c r="E737" s="33" t="n">
        <v>-2.4845</v>
      </c>
      <c r="F737" t="inlineStr">
        <is>
          <t>Down</t>
        </is>
      </c>
      <c r="G737" t="inlineStr">
        <is>
          <t>Down</t>
        </is>
      </c>
      <c r="H737" t="inlineStr">
        <is>
          <t>ED_JD</t>
        </is>
      </c>
      <c r="I737" t="inlineStr">
        <is>
          <t>2009-03</t>
        </is>
      </c>
      <c r="J737" t="n">
        <v>1</v>
      </c>
      <c r="K737" t="n">
        <v>1</v>
      </c>
      <c r="L737" s="34">
        <f>IF($J737=1,LN(B738/B737),"")</f>
        <v/>
      </c>
      <c r="M737" s="34">
        <f>IF($K737=1,INDEX(Mensal!$D$2:$D$245,MATCH($I737,Mensal!$A$2:$A$245,0)),"")</f>
        <v/>
      </c>
      <c r="N737" s="34">
        <f>IF($K737=1,L737-M737,"")</f>
        <v/>
      </c>
      <c r="O737" s="34" t="n">
        <v>0.00041779</v>
      </c>
      <c r="P737" s="34">
        <f>IF($J737=1,LN(1+O737),"")</f>
        <v/>
      </c>
      <c r="Q737" s="34">
        <f>IF($J737=1,LN(R738/R737),"")</f>
        <v/>
      </c>
      <c r="R737" s="32" t="n">
        <v>2.2745</v>
      </c>
      <c r="S737" s="35" t="n">
        <v>9.904999999999999</v>
      </c>
      <c r="T737" s="18" t="n"/>
      <c r="U737" s="18" t="n"/>
      <c r="V737" s="18" t="n">
        <v>41907</v>
      </c>
      <c r="W737" s="18" t="n"/>
      <c r="X737" s="35" t="n"/>
      <c r="Y737" s="35" t="n">
        <v>9.904999999999999</v>
      </c>
    </row>
    <row r="738">
      <c r="A738" s="25" t="n">
        <v>39902</v>
      </c>
      <c r="B738" s="18" t="n">
        <v>40653</v>
      </c>
      <c r="C738" s="31" t="n"/>
      <c r="D738" s="32" t="n"/>
      <c r="E738" s="33" t="n">
        <v>-2.4787</v>
      </c>
      <c r="F738" t="inlineStr">
        <is>
          <t>Down</t>
        </is>
      </c>
      <c r="G738" t="inlineStr">
        <is>
          <t>Down</t>
        </is>
      </c>
      <c r="H738" t="inlineStr">
        <is>
          <t>ED_JD</t>
        </is>
      </c>
      <c r="I738" t="inlineStr">
        <is>
          <t>2009-03</t>
        </is>
      </c>
      <c r="J738" t="n">
        <v>1</v>
      </c>
      <c r="K738" t="n">
        <v>1</v>
      </c>
      <c r="L738" s="34">
        <f>IF($J738=1,LN(B739/B738),"")</f>
        <v/>
      </c>
      <c r="M738" s="34">
        <f>IF($K738=1,INDEX(Mensal!$D$2:$D$245,MATCH($I738,Mensal!$A$2:$A$245,0)),"")</f>
        <v/>
      </c>
      <c r="N738" s="34">
        <f>IF($K738=1,L738-M738,"")</f>
        <v/>
      </c>
      <c r="O738" s="34" t="n">
        <v>0.00041529</v>
      </c>
      <c r="P738" s="34">
        <f>IF($J738=1,LN(1+O738),"")</f>
        <v/>
      </c>
      <c r="Q738" s="34">
        <f>IF($J738=1,LN(R739/R738),"")</f>
        <v/>
      </c>
      <c r="R738" s="32" t="n">
        <v>2.3297</v>
      </c>
      <c r="S738" s="35" t="n">
        <v>9.833</v>
      </c>
      <c r="T738" s="18" t="n"/>
      <c r="U738" s="18" t="n"/>
      <c r="V738" s="18" t="n">
        <v>40653</v>
      </c>
      <c r="W738" s="18" t="n"/>
      <c r="X738" s="35" t="n"/>
      <c r="Y738" s="35" t="n">
        <v>9.833</v>
      </c>
    </row>
    <row r="739">
      <c r="A739" s="25" t="n">
        <v>39903</v>
      </c>
      <c r="B739" s="18" t="n">
        <v>40926</v>
      </c>
      <c r="C739" s="31" t="n"/>
      <c r="D739" s="32" t="n"/>
      <c r="E739" s="33" t="n">
        <v>-2.5197</v>
      </c>
      <c r="F739" t="inlineStr">
        <is>
          <t>Down</t>
        </is>
      </c>
      <c r="G739" t="inlineStr">
        <is>
          <t>Down</t>
        </is>
      </c>
      <c r="H739" t="inlineStr">
        <is>
          <t>ED_JD</t>
        </is>
      </c>
      <c r="I739" t="inlineStr">
        <is>
          <t>2009-03</t>
        </is>
      </c>
      <c r="J739" t="n">
        <v>1</v>
      </c>
      <c r="K739" t="n">
        <v>1</v>
      </c>
      <c r="L739" s="34">
        <f>IF($J739=1,LN(B740/B739),"")</f>
        <v/>
      </c>
      <c r="M739" s="34">
        <f>IF($K739=1,INDEX(Mensal!$D$2:$D$245,MATCH($I739,Mensal!$A$2:$A$245,0)),"")</f>
        <v/>
      </c>
      <c r="N739" s="34">
        <f>IF($K739=1,L739-M739,"")</f>
        <v/>
      </c>
      <c r="O739" s="34" t="n">
        <v>0.00041707</v>
      </c>
      <c r="P739" s="34">
        <f>IF($J739=1,LN(1+O739),"")</f>
        <v/>
      </c>
      <c r="Q739" s="34">
        <f>IF($J739=1,LN(R740/R739),"")</f>
        <v/>
      </c>
      <c r="R739" s="32" t="n">
        <v>2.3152</v>
      </c>
      <c r="S739" s="35" t="n">
        <v>9.791</v>
      </c>
      <c r="T739" s="18" t="n"/>
      <c r="U739" s="18" t="n"/>
      <c r="V739" s="18" t="n">
        <v>40926</v>
      </c>
      <c r="W739" s="18" t="n"/>
      <c r="X739" s="35" t="n"/>
      <c r="Y739" s="35" t="n">
        <v>9.791</v>
      </c>
    </row>
    <row r="740">
      <c r="A740" s="25" t="n">
        <v>39904</v>
      </c>
      <c r="B740" s="18" t="n">
        <v>41976</v>
      </c>
      <c r="C740" s="31" t="n"/>
      <c r="D740" s="32" t="n"/>
      <c r="E740" s="33" t="n">
        <v>-2.5451</v>
      </c>
      <c r="F740" t="inlineStr">
        <is>
          <t>Down</t>
        </is>
      </c>
      <c r="G740" t="inlineStr">
        <is>
          <t>Down</t>
        </is>
      </c>
      <c r="H740" t="inlineStr">
        <is>
          <t>ED_JD</t>
        </is>
      </c>
      <c r="I740" t="inlineStr">
        <is>
          <t>2009-04</t>
        </is>
      </c>
      <c r="J740" t="n">
        <v>1</v>
      </c>
      <c r="K740" t="n">
        <v>1</v>
      </c>
      <c r="L740" s="34">
        <f>IF($J740=1,LN(B741/B740),"")</f>
        <v/>
      </c>
      <c r="M740" s="34">
        <f>IF($K740=1,INDEX(Mensal!$D$2:$D$245,MATCH($I740,Mensal!$A$2:$A$245,0)),"")</f>
        <v/>
      </c>
      <c r="N740" s="34">
        <f>IF($K740=1,L740-M740,"")</f>
        <v/>
      </c>
      <c r="O740" s="34" t="n">
        <v>0.00041886</v>
      </c>
      <c r="P740" s="34">
        <f>IF($J740=1,LN(1+O740),"")</f>
        <v/>
      </c>
      <c r="Q740" s="34">
        <f>IF($J740=1,LN(R741/R740),"")</f>
        <v/>
      </c>
      <c r="R740" s="32" t="n">
        <v>2.2899</v>
      </c>
      <c r="S740" s="35" t="n">
        <v>9.785</v>
      </c>
      <c r="T740" s="18" t="n"/>
      <c r="U740" s="18" t="n"/>
      <c r="V740" s="18" t="n">
        <v>41976</v>
      </c>
      <c r="W740" s="18" t="n"/>
      <c r="X740" s="35" t="n"/>
      <c r="Y740" s="35" t="n">
        <v>9.785</v>
      </c>
    </row>
    <row r="741">
      <c r="A741" s="25" t="n">
        <v>39905</v>
      </c>
      <c r="B741" s="18" t="n">
        <v>43736</v>
      </c>
      <c r="C741" s="31" t="n"/>
      <c r="D741" s="32" t="n"/>
      <c r="E741" s="33" t="n">
        <v>-2.5579</v>
      </c>
      <c r="F741" t="inlineStr">
        <is>
          <t>Down</t>
        </is>
      </c>
      <c r="G741" t="inlineStr">
        <is>
          <t>Down</t>
        </is>
      </c>
      <c r="H741" t="inlineStr">
        <is>
          <t>ED_JD</t>
        </is>
      </c>
      <c r="I741" t="inlineStr">
        <is>
          <t>2009-04</t>
        </is>
      </c>
      <c r="J741" t="n">
        <v>1</v>
      </c>
      <c r="K741" t="n">
        <v>1</v>
      </c>
      <c r="L741" s="34">
        <f>IF($J741=1,LN(B742/B741),"")</f>
        <v/>
      </c>
      <c r="M741" s="34">
        <f>IF($K741=1,INDEX(Mensal!$D$2:$D$245,MATCH($I741,Mensal!$A$2:$A$245,0)),"")</f>
        <v/>
      </c>
      <c r="N741" s="34">
        <f>IF($K741=1,L741-M741,"")</f>
        <v/>
      </c>
      <c r="O741" s="34" t="n">
        <v>0.00041886</v>
      </c>
      <c r="P741" s="34">
        <f>IF($J741=1,LN(1+O741),"")</f>
        <v/>
      </c>
      <c r="Q741" s="34">
        <f>IF($J741=1,LN(R742/R741),"")</f>
        <v/>
      </c>
      <c r="R741" s="32" t="n">
        <v>2.2355</v>
      </c>
      <c r="S741" s="35" t="n">
        <v>9.896000000000001</v>
      </c>
      <c r="T741" s="18" t="n"/>
      <c r="U741" s="18" t="n"/>
      <c r="V741" s="18" t="n">
        <v>43736</v>
      </c>
      <c r="W741" s="18" t="n"/>
      <c r="X741" s="35" t="n"/>
      <c r="Y741" s="35" t="n">
        <v>9.896000000000001</v>
      </c>
    </row>
    <row r="742">
      <c r="A742" s="25" t="n">
        <v>39906</v>
      </c>
      <c r="B742" s="18" t="n">
        <v>44391</v>
      </c>
      <c r="C742" s="31" t="n"/>
      <c r="D742" s="32" t="n"/>
      <c r="E742" s="33" t="n">
        <v>-2.5249</v>
      </c>
      <c r="F742" t="inlineStr">
        <is>
          <t>Down</t>
        </is>
      </c>
      <c r="G742" t="inlineStr">
        <is>
          <t>Down</t>
        </is>
      </c>
      <c r="H742" t="inlineStr">
        <is>
          <t>ED_JD</t>
        </is>
      </c>
      <c r="I742" t="inlineStr">
        <is>
          <t>2009-04</t>
        </is>
      </c>
      <c r="J742" t="n">
        <v>1</v>
      </c>
      <c r="K742" t="n">
        <v>1</v>
      </c>
      <c r="L742" s="34">
        <f>IF($J742=1,LN(B743/B742),"")</f>
        <v/>
      </c>
      <c r="M742" s="34">
        <f>IF($K742=1,INDEX(Mensal!$D$2:$D$245,MATCH($I742,Mensal!$A$2:$A$245,0)),"")</f>
        <v/>
      </c>
      <c r="N742" s="34">
        <f>IF($K742=1,L742-M742,"")</f>
        <v/>
      </c>
      <c r="O742" s="34" t="n">
        <v>0.00041886</v>
      </c>
      <c r="P742" s="34">
        <f>IF($J742=1,LN(1+O742),"")</f>
        <v/>
      </c>
      <c r="Q742" s="34">
        <f>IF($J742=1,LN(R743/R742),"")</f>
        <v/>
      </c>
      <c r="R742" s="32" t="n">
        <v>2.2072</v>
      </c>
      <c r="S742" s="35" t="n">
        <v>9.945</v>
      </c>
      <c r="T742" s="18" t="n"/>
      <c r="U742" s="18" t="n"/>
      <c r="V742" s="18" t="n">
        <v>44391</v>
      </c>
      <c r="W742" s="18" t="n"/>
      <c r="X742" s="35" t="n"/>
      <c r="Y742" s="35" t="n">
        <v>9.945</v>
      </c>
    </row>
    <row r="743">
      <c r="A743" s="25" t="n">
        <v>39909</v>
      </c>
      <c r="B743" s="18" t="n">
        <v>44167</v>
      </c>
      <c r="C743" s="31" t="n"/>
      <c r="D743" s="32" t="n"/>
      <c r="E743" s="33" t="n">
        <v>-2.4937</v>
      </c>
      <c r="F743" t="inlineStr">
        <is>
          <t>Down</t>
        </is>
      </c>
      <c r="G743" t="inlineStr">
        <is>
          <t>Down</t>
        </is>
      </c>
      <c r="H743" t="inlineStr">
        <is>
          <t>ED_JD</t>
        </is>
      </c>
      <c r="I743" t="inlineStr">
        <is>
          <t>2009-04</t>
        </is>
      </c>
      <c r="J743" t="n">
        <v>1</v>
      </c>
      <c r="K743" t="n">
        <v>1</v>
      </c>
      <c r="L743" s="34">
        <f>IF($J743=1,LN(B744/B743),"")</f>
        <v/>
      </c>
      <c r="M743" s="34">
        <f>IF($K743=1,INDEX(Mensal!$D$2:$D$245,MATCH($I743,Mensal!$A$2:$A$245,0)),"")</f>
        <v/>
      </c>
      <c r="N743" s="34">
        <f>IF($K743=1,L743-M743,"")</f>
        <v/>
      </c>
      <c r="O743" s="34" t="n">
        <v>0.00041886</v>
      </c>
      <c r="P743" s="34">
        <f>IF($J743=1,LN(1+O743),"")</f>
        <v/>
      </c>
      <c r="Q743" s="34">
        <f>IF($J743=1,LN(R744/R743),"")</f>
        <v/>
      </c>
      <c r="R743" s="32" t="n">
        <v>2.2252</v>
      </c>
      <c r="S743" s="35" t="n">
        <v>9.880000000000001</v>
      </c>
      <c r="T743" s="18" t="n"/>
      <c r="U743" s="18" t="n"/>
      <c r="V743" s="18" t="n">
        <v>44167</v>
      </c>
      <c r="W743" s="18" t="n"/>
      <c r="X743" s="35" t="n"/>
      <c r="Y743" s="35" t="n">
        <v>9.880000000000001</v>
      </c>
    </row>
    <row r="744">
      <c r="A744" s="25" t="n">
        <v>39910</v>
      </c>
      <c r="B744" s="18" t="n">
        <v>43825</v>
      </c>
      <c r="C744" s="31" t="n"/>
      <c r="D744" s="32" t="n"/>
      <c r="E744" s="33" t="n">
        <v>-2.4742</v>
      </c>
      <c r="F744" t="inlineStr">
        <is>
          <t>Down</t>
        </is>
      </c>
      <c r="G744" t="inlineStr">
        <is>
          <t>Down</t>
        </is>
      </c>
      <c r="H744" t="inlineStr">
        <is>
          <t>ED_JD</t>
        </is>
      </c>
      <c r="I744" t="inlineStr">
        <is>
          <t>2009-04</t>
        </is>
      </c>
      <c r="J744" t="n">
        <v>1</v>
      </c>
      <c r="K744" t="n">
        <v>1</v>
      </c>
      <c r="L744" s="34">
        <f>IF($J744=1,LN(B745/B744),"")</f>
        <v/>
      </c>
      <c r="M744" s="34">
        <f>IF($K744=1,INDEX(Mensal!$D$2:$D$245,MATCH($I744,Mensal!$A$2:$A$245,0)),"")</f>
        <v/>
      </c>
      <c r="N744" s="34">
        <f>IF($K744=1,L744-M744,"")</f>
        <v/>
      </c>
      <c r="O744" s="34" t="n">
        <v>0.00041886</v>
      </c>
      <c r="P744" s="34">
        <f>IF($J744=1,LN(1+O744),"")</f>
        <v/>
      </c>
      <c r="Q744" s="34">
        <f>IF($J744=1,LN(R745/R744),"")</f>
        <v/>
      </c>
      <c r="R744" s="32" t="n">
        <v>2.2249</v>
      </c>
      <c r="S744" s="35" t="n">
        <v>9.874000000000001</v>
      </c>
      <c r="T744" s="18" t="n"/>
      <c r="U744" s="18" t="n"/>
      <c r="V744" s="18" t="n">
        <v>43825</v>
      </c>
      <c r="W744" s="18" t="n"/>
      <c r="X744" s="35" t="n"/>
      <c r="Y744" s="35" t="n">
        <v>9.874000000000001</v>
      </c>
    </row>
    <row r="745">
      <c r="A745" s="25" t="n">
        <v>39911</v>
      </c>
      <c r="B745" s="18" t="n">
        <v>44182</v>
      </c>
      <c r="C745" s="31" t="n"/>
      <c r="D745" s="32" t="n"/>
      <c r="E745" s="33" t="n">
        <v>-2.4428</v>
      </c>
      <c r="F745" t="inlineStr">
        <is>
          <t>Down</t>
        </is>
      </c>
      <c r="G745" t="inlineStr">
        <is>
          <t>Down</t>
        </is>
      </c>
      <c r="H745" t="inlineStr">
        <is>
          <t>ED_JD</t>
        </is>
      </c>
      <c r="I745" t="inlineStr">
        <is>
          <t>2009-04</t>
        </is>
      </c>
      <c r="J745" t="n">
        <v>1</v>
      </c>
      <c r="K745" t="n">
        <v>1</v>
      </c>
      <c r="L745" s="34">
        <f>IF($J745=1,LN(B746/B745),"")</f>
        <v/>
      </c>
      <c r="M745" s="34">
        <f>IF($K745=1,INDEX(Mensal!$D$2:$D$245,MATCH($I745,Mensal!$A$2:$A$245,0)),"")</f>
        <v/>
      </c>
      <c r="N745" s="34">
        <f>IF($K745=1,L745-M745,"")</f>
        <v/>
      </c>
      <c r="O745" s="34" t="n">
        <v>0.00041886</v>
      </c>
      <c r="P745" s="34">
        <f>IF($J745=1,LN(1+O745),"")</f>
        <v/>
      </c>
      <c r="Q745" s="34">
        <f>IF($J745=1,LN(R746/R745),"")</f>
        <v/>
      </c>
      <c r="R745" s="32" t="n">
        <v>2.2014</v>
      </c>
      <c r="S745" s="35" t="n">
        <v>9.853999999999999</v>
      </c>
      <c r="T745" s="18" t="n"/>
      <c r="U745" s="18" t="n"/>
      <c r="V745" s="18" t="n">
        <v>44182</v>
      </c>
      <c r="W745" s="18" t="n"/>
      <c r="X745" s="35" t="n"/>
      <c r="Y745" s="35" t="n">
        <v>9.853999999999999</v>
      </c>
    </row>
    <row r="746">
      <c r="A746" s="25" t="n">
        <v>39912</v>
      </c>
      <c r="B746" s="18" t="n">
        <v>45538</v>
      </c>
      <c r="C746" s="31" t="n"/>
      <c r="D746" s="32" t="n"/>
      <c r="E746" s="33" t="n">
        <v>-2.4186</v>
      </c>
      <c r="F746" t="inlineStr">
        <is>
          <t>Down</t>
        </is>
      </c>
      <c r="G746" t="inlineStr">
        <is>
          <t>Down</t>
        </is>
      </c>
      <c r="H746" t="inlineStr">
        <is>
          <t>ED_JD</t>
        </is>
      </c>
      <c r="I746" t="inlineStr">
        <is>
          <t>2009-04</t>
        </is>
      </c>
      <c r="J746" t="n">
        <v>1</v>
      </c>
      <c r="K746" t="n">
        <v>1</v>
      </c>
      <c r="L746" s="34">
        <f>IF($J746=1,LN(B747/B746),"")</f>
        <v/>
      </c>
      <c r="M746" s="34">
        <f>IF($K746=1,INDEX(Mensal!$D$2:$D$245,MATCH($I746,Mensal!$A$2:$A$245,0)),"")</f>
        <v/>
      </c>
      <c r="N746" s="34">
        <f>IF($K746=1,L746-M746,"")</f>
        <v/>
      </c>
      <c r="O746" s="34" t="n">
        <v>0.00041886</v>
      </c>
      <c r="P746" s="34">
        <f>IF($J746=1,LN(1+O746),"")</f>
        <v/>
      </c>
      <c r="Q746" s="34">
        <f>IF($J746=1,LN(R747/R746),"")</f>
        <v/>
      </c>
      <c r="R746" s="32" t="n">
        <v>2.1766</v>
      </c>
      <c r="S746" s="35" t="n">
        <v>9.814</v>
      </c>
      <c r="T746" s="18" t="n"/>
      <c r="U746" s="18" t="n"/>
      <c r="V746" s="18" t="n">
        <v>45538</v>
      </c>
      <c r="W746" s="18" t="n"/>
      <c r="X746" s="35" t="n"/>
      <c r="Y746" s="35" t="n">
        <v>9.814</v>
      </c>
    </row>
    <row r="747">
      <c r="A747" s="25" t="n">
        <v>39916</v>
      </c>
      <c r="B747" s="18" t="n">
        <v>45992</v>
      </c>
      <c r="C747" s="31" t="n"/>
      <c r="D747" s="32" t="n"/>
      <c r="E747" s="33" t="n">
        <v>-2.3646</v>
      </c>
      <c r="F747" t="inlineStr">
        <is>
          <t>Down</t>
        </is>
      </c>
      <c r="G747" t="inlineStr">
        <is>
          <t>Down</t>
        </is>
      </c>
      <c r="H747" t="inlineStr">
        <is>
          <t>ED_JD</t>
        </is>
      </c>
      <c r="I747" t="inlineStr">
        <is>
          <t>2009-04</t>
        </is>
      </c>
      <c r="J747" t="n">
        <v>1</v>
      </c>
      <c r="K747" t="n">
        <v>1</v>
      </c>
      <c r="L747" s="34">
        <f>IF($J747=1,LN(B748/B747),"")</f>
        <v/>
      </c>
      <c r="M747" s="34">
        <f>IF($K747=1,INDEX(Mensal!$D$2:$D$245,MATCH($I747,Mensal!$A$2:$A$245,0)),"")</f>
        <v/>
      </c>
      <c r="N747" s="34">
        <f>IF($K747=1,L747-M747,"")</f>
        <v/>
      </c>
      <c r="O747" s="34" t="n">
        <v>0.00041529</v>
      </c>
      <c r="P747" s="34">
        <f>IF($J747=1,LN(1+O747),"")</f>
        <v/>
      </c>
      <c r="Q747" s="34">
        <f>IF($J747=1,LN(R748/R747),"")</f>
        <v/>
      </c>
      <c r="R747" s="32" t="n">
        <v>2.1699</v>
      </c>
      <c r="S747" s="35" t="n">
        <v>9.848000000000001</v>
      </c>
      <c r="T747" s="18" t="n"/>
      <c r="U747" s="18" t="n"/>
      <c r="V747" s="18" t="n">
        <v>45992</v>
      </c>
      <c r="W747" s="18" t="n"/>
      <c r="X747" s="35" t="n"/>
      <c r="Y747" s="35" t="n">
        <v>9.848000000000001</v>
      </c>
    </row>
    <row r="748">
      <c r="A748" s="25" t="n">
        <v>39917</v>
      </c>
      <c r="B748" s="18" t="n">
        <v>45418</v>
      </c>
      <c r="C748" s="31" t="n"/>
      <c r="D748" s="32" t="n"/>
      <c r="E748" s="33" t="n">
        <v>-2.3279</v>
      </c>
      <c r="F748" t="inlineStr">
        <is>
          <t>Down</t>
        </is>
      </c>
      <c r="G748" t="inlineStr">
        <is>
          <t>Down</t>
        </is>
      </c>
      <c r="H748" t="inlineStr">
        <is>
          <t>ED_JD</t>
        </is>
      </c>
      <c r="I748" t="inlineStr">
        <is>
          <t>2009-04</t>
        </is>
      </c>
      <c r="J748" t="n">
        <v>1</v>
      </c>
      <c r="K748" t="n">
        <v>1</v>
      </c>
      <c r="L748" s="34">
        <f>IF($J748=1,LN(B749/B748),"")</f>
        <v/>
      </c>
      <c r="M748" s="34">
        <f>IF($K748=1,INDEX(Mensal!$D$2:$D$245,MATCH($I748,Mensal!$A$2:$A$245,0)),"")</f>
        <v/>
      </c>
      <c r="N748" s="34">
        <f>IF($K748=1,L748-M748,"")</f>
        <v/>
      </c>
      <c r="O748" s="34" t="n">
        <v>0.00041493</v>
      </c>
      <c r="P748" s="34">
        <f>IF($J748=1,LN(1+O748),"")</f>
        <v/>
      </c>
      <c r="Q748" s="34">
        <f>IF($J748=1,LN(R749/R748),"")</f>
        <v/>
      </c>
      <c r="R748" s="32" t="n">
        <v>2.1876</v>
      </c>
      <c r="S748" s="35" t="n">
        <v>9.807</v>
      </c>
      <c r="T748" s="18" t="n"/>
      <c r="U748" s="18" t="n"/>
      <c r="V748" s="18" t="n">
        <v>45418</v>
      </c>
      <c r="W748" s="18" t="n"/>
      <c r="X748" s="35" t="n"/>
      <c r="Y748" s="35" t="n">
        <v>9.807</v>
      </c>
    </row>
    <row r="749">
      <c r="A749" s="25" t="n">
        <v>39918</v>
      </c>
      <c r="B749" s="18" t="n">
        <v>45272</v>
      </c>
      <c r="C749" s="31" t="n"/>
      <c r="D749" s="32" t="n"/>
      <c r="E749" s="33" t="n">
        <v>-2.3116</v>
      </c>
      <c r="F749" t="inlineStr">
        <is>
          <t>Down</t>
        </is>
      </c>
      <c r="G749" t="inlineStr">
        <is>
          <t>Down</t>
        </is>
      </c>
      <c r="H749" t="inlineStr">
        <is>
          <t>ED_JD</t>
        </is>
      </c>
      <c r="I749" t="inlineStr">
        <is>
          <t>2009-04</t>
        </is>
      </c>
      <c r="J749" t="n">
        <v>1</v>
      </c>
      <c r="K749" t="n">
        <v>1</v>
      </c>
      <c r="L749" s="34">
        <f>IF($J749=1,LN(B750/B749),"")</f>
        <v/>
      </c>
      <c r="M749" s="34">
        <f>IF($K749=1,INDEX(Mensal!$D$2:$D$245,MATCH($I749,Mensal!$A$2:$A$245,0)),"")</f>
        <v/>
      </c>
      <c r="N749" s="34">
        <f>IF($K749=1,L749-M749,"")</f>
        <v/>
      </c>
      <c r="O749" s="34" t="n">
        <v>0.00041886</v>
      </c>
      <c r="P749" s="34">
        <f>IF($J749=1,LN(1+O749),"")</f>
        <v/>
      </c>
      <c r="Q749" s="34">
        <f>IF($J749=1,LN(R750/R749),"")</f>
        <v/>
      </c>
      <c r="R749" s="32" t="n">
        <v>2.1992</v>
      </c>
      <c r="S749" s="35" t="n">
        <v>9.73</v>
      </c>
      <c r="T749" s="18" t="n"/>
      <c r="U749" s="18" t="n"/>
      <c r="V749" s="18" t="n">
        <v>45272</v>
      </c>
      <c r="W749" s="18" t="n"/>
      <c r="X749" s="35" t="n"/>
      <c r="Y749" s="35" t="n">
        <v>9.73</v>
      </c>
    </row>
    <row r="750">
      <c r="A750" s="25" t="n">
        <v>39919</v>
      </c>
      <c r="B750" s="18" t="n">
        <v>46025</v>
      </c>
      <c r="C750" s="31" t="n"/>
      <c r="D750" s="32" t="n"/>
      <c r="E750" s="33" t="n">
        <v>-2.2852</v>
      </c>
      <c r="F750" t="inlineStr">
        <is>
          <t>Down</t>
        </is>
      </c>
      <c r="G750" t="inlineStr">
        <is>
          <t>Down</t>
        </is>
      </c>
      <c r="H750" t="inlineStr">
        <is>
          <t>ED_JD</t>
        </is>
      </c>
      <c r="I750" t="inlineStr">
        <is>
          <t>2009-04</t>
        </is>
      </c>
      <c r="J750" t="n">
        <v>1</v>
      </c>
      <c r="K750" t="n">
        <v>1</v>
      </c>
      <c r="L750" s="34">
        <f>IF($J750=1,LN(B751/B750),"")</f>
        <v/>
      </c>
      <c r="M750" s="34">
        <f>IF($K750=1,INDEX(Mensal!$D$2:$D$245,MATCH($I750,Mensal!$A$2:$A$245,0)),"")</f>
        <v/>
      </c>
      <c r="N750" s="34">
        <f>IF($K750=1,L750-M750,"")</f>
        <v/>
      </c>
      <c r="O750" s="34" t="n">
        <v>0.00041886</v>
      </c>
      <c r="P750" s="34">
        <f>IF($J750=1,LN(1+O750),"")</f>
        <v/>
      </c>
      <c r="Q750" s="34">
        <f>IF($J750=1,LN(R751/R750),"")</f>
        <v/>
      </c>
      <c r="R750" s="32" t="n">
        <v>2.1791</v>
      </c>
      <c r="S750" s="35" t="n">
        <v>9.829000000000001</v>
      </c>
      <c r="T750" s="18" t="n"/>
      <c r="U750" s="18" t="n"/>
      <c r="V750" s="18" t="n">
        <v>46025</v>
      </c>
      <c r="W750" s="18" t="n"/>
      <c r="X750" s="35" t="n"/>
      <c r="Y750" s="35" t="n">
        <v>9.829000000000001</v>
      </c>
    </row>
    <row r="751">
      <c r="A751" s="25" t="n">
        <v>39920</v>
      </c>
      <c r="B751" s="18" t="n">
        <v>45778</v>
      </c>
      <c r="C751" s="31" t="n"/>
      <c r="D751" s="32" t="n"/>
      <c r="E751" s="33" t="n">
        <v>-2.2558</v>
      </c>
      <c r="F751" t="inlineStr">
        <is>
          <t>Down</t>
        </is>
      </c>
      <c r="G751" t="inlineStr">
        <is>
          <t>Down</t>
        </is>
      </c>
      <c r="H751" t="inlineStr">
        <is>
          <t>ED_JD</t>
        </is>
      </c>
      <c r="I751" t="inlineStr">
        <is>
          <t>2009-04</t>
        </is>
      </c>
      <c r="J751" t="n">
        <v>1</v>
      </c>
      <c r="K751" t="n">
        <v>1</v>
      </c>
      <c r="L751" s="34">
        <f>IF($J751=1,LN(B752/B751),"")</f>
        <v/>
      </c>
      <c r="M751" s="34">
        <f>IF($K751=1,INDEX(Mensal!$D$2:$D$245,MATCH($I751,Mensal!$A$2:$A$245,0)),"")</f>
        <v/>
      </c>
      <c r="N751" s="34">
        <f>IF($K751=1,L751-M751,"")</f>
        <v/>
      </c>
      <c r="O751" s="34" t="n">
        <v>0.00041636</v>
      </c>
      <c r="P751" s="34">
        <f>IF($J751=1,LN(1+O751),"")</f>
        <v/>
      </c>
      <c r="Q751" s="34">
        <f>IF($J751=1,LN(R752/R751),"")</f>
        <v/>
      </c>
      <c r="R751" s="32" t="n">
        <v>2.1864</v>
      </c>
      <c r="S751" s="35" t="n">
        <v>10.021</v>
      </c>
      <c r="T751" s="18" t="n"/>
      <c r="U751" s="18" t="n"/>
      <c r="V751" s="18" t="n">
        <v>45778</v>
      </c>
      <c r="W751" s="18" t="n"/>
      <c r="X751" s="35" t="n"/>
      <c r="Y751" s="35" t="n">
        <v>10.021</v>
      </c>
    </row>
    <row r="752">
      <c r="A752" s="25" t="n">
        <v>39923</v>
      </c>
      <c r="B752" s="18" t="n">
        <v>44433</v>
      </c>
      <c r="C752" s="31" t="n"/>
      <c r="D752" s="32" t="n"/>
      <c r="E752" s="33" t="n">
        <v>-2.2246</v>
      </c>
      <c r="F752" t="inlineStr">
        <is>
          <t>Down</t>
        </is>
      </c>
      <c r="G752" t="inlineStr">
        <is>
          <t>Down</t>
        </is>
      </c>
      <c r="H752" t="inlineStr">
        <is>
          <t>ED_JD</t>
        </is>
      </c>
      <c r="I752" t="inlineStr">
        <is>
          <t>2009-04</t>
        </is>
      </c>
      <c r="J752" t="n">
        <v>1</v>
      </c>
      <c r="K752" t="n">
        <v>1</v>
      </c>
      <c r="L752" s="34">
        <f>IF($J752=1,LN(B753/B752),"")</f>
        <v/>
      </c>
      <c r="M752" s="34">
        <f>IF($K752=1,INDEX(Mensal!$D$2:$D$245,MATCH($I752,Mensal!$A$2:$A$245,0)),"")</f>
        <v/>
      </c>
      <c r="N752" s="34">
        <f>IF($K752=1,L752-M752,"")</f>
        <v/>
      </c>
      <c r="O752" s="34" t="n">
        <v>0.00041672</v>
      </c>
      <c r="P752" s="34">
        <f>IF($J752=1,LN(1+O752),"")</f>
        <v/>
      </c>
      <c r="Q752" s="34">
        <f>IF($J752=1,LN(R753/R752),"")</f>
        <v/>
      </c>
      <c r="R752" s="32" t="n">
        <v>2.235</v>
      </c>
      <c r="S752" s="35" t="n">
        <v>10.063</v>
      </c>
      <c r="T752" s="18" t="n"/>
      <c r="U752" s="18" t="n"/>
      <c r="V752" s="18" t="n">
        <v>44433</v>
      </c>
      <c r="W752" s="18" t="n"/>
      <c r="X752" s="35" t="n"/>
      <c r="Y752" s="35" t="n">
        <v>10.063</v>
      </c>
    </row>
    <row r="753">
      <c r="A753" s="25" t="n">
        <v>39925</v>
      </c>
      <c r="B753" s="18" t="n">
        <v>44888</v>
      </c>
      <c r="C753" s="31" t="n"/>
      <c r="D753" s="32" t="n"/>
      <c r="E753" s="33" t="n">
        <v>-2.2167</v>
      </c>
      <c r="F753" t="inlineStr">
        <is>
          <t>Down</t>
        </is>
      </c>
      <c r="G753" t="inlineStr">
        <is>
          <t>Down</t>
        </is>
      </c>
      <c r="H753" t="inlineStr">
        <is>
          <t>ED_JD</t>
        </is>
      </c>
      <c r="I753" t="inlineStr">
        <is>
          <t>2009-04</t>
        </is>
      </c>
      <c r="J753" t="n">
        <v>1</v>
      </c>
      <c r="K753" t="n">
        <v>1</v>
      </c>
      <c r="L753" s="34">
        <f>IF($J753=1,LN(B754/B753),"")</f>
        <v/>
      </c>
      <c r="M753" s="34">
        <f>IF($K753=1,INDEX(Mensal!$D$2:$D$245,MATCH($I753,Mensal!$A$2:$A$245,0)),"")</f>
        <v/>
      </c>
      <c r="N753" s="34">
        <f>IF($K753=1,L753-M753,"")</f>
        <v/>
      </c>
      <c r="O753" s="34" t="n">
        <v>0.0004185</v>
      </c>
      <c r="P753" s="34">
        <f>IF($J753=1,LN(1+O753),"")</f>
        <v/>
      </c>
      <c r="Q753" s="34">
        <f>IF($J753=1,LN(R754/R753),"")</f>
        <v/>
      </c>
      <c r="R753" s="32" t="n">
        <v>2.2128</v>
      </c>
      <c r="S753" s="35" t="n">
        <v>9.964</v>
      </c>
      <c r="T753" s="18" t="n"/>
      <c r="U753" s="18" t="n"/>
      <c r="V753" s="18" t="n">
        <v>44888</v>
      </c>
      <c r="W753" s="18" t="n"/>
      <c r="X753" s="35" t="n"/>
      <c r="Y753" s="35" t="n">
        <v>9.964</v>
      </c>
    </row>
    <row r="754">
      <c r="A754" s="25" t="n">
        <v>39926</v>
      </c>
      <c r="B754" s="18" t="n">
        <v>45801</v>
      </c>
      <c r="C754" s="31" t="n"/>
      <c r="D754" s="32" t="n"/>
      <c r="E754" s="33" t="n">
        <v>-2.2013</v>
      </c>
      <c r="F754" t="inlineStr">
        <is>
          <t>Down</t>
        </is>
      </c>
      <c r="G754" t="inlineStr">
        <is>
          <t>Down</t>
        </is>
      </c>
      <c r="H754" t="inlineStr">
        <is>
          <t>ED_JD</t>
        </is>
      </c>
      <c r="I754" t="inlineStr">
        <is>
          <t>2009-04</t>
        </is>
      </c>
      <c r="J754" t="n">
        <v>1</v>
      </c>
      <c r="K754" t="n">
        <v>1</v>
      </c>
      <c r="L754" s="34">
        <f>IF($J754=1,LN(B755/B754),"")</f>
        <v/>
      </c>
      <c r="M754" s="34">
        <f>IF($K754=1,INDEX(Mensal!$D$2:$D$245,MATCH($I754,Mensal!$A$2:$A$245,0)),"")</f>
        <v/>
      </c>
      <c r="N754" s="34">
        <f>IF($K754=1,L754-M754,"")</f>
        <v/>
      </c>
      <c r="O754" s="34" t="n">
        <v>0.00041886</v>
      </c>
      <c r="P754" s="34">
        <f>IF($J754=1,LN(1+O754),"")</f>
        <v/>
      </c>
      <c r="Q754" s="34">
        <f>IF($J754=1,LN(R755/R754),"")</f>
        <v/>
      </c>
      <c r="R754" s="32" t="n">
        <v>2.2107</v>
      </c>
      <c r="S754" s="35" t="n">
        <v>9.956</v>
      </c>
      <c r="T754" s="18" t="n"/>
      <c r="U754" s="18" t="n"/>
      <c r="V754" s="18" t="n">
        <v>45801</v>
      </c>
      <c r="W754" s="18" t="n"/>
      <c r="X754" s="35" t="n"/>
      <c r="Y754" s="35" t="n">
        <v>9.956</v>
      </c>
    </row>
    <row r="755">
      <c r="A755" s="25" t="n">
        <v>39927</v>
      </c>
      <c r="B755" s="18" t="n">
        <v>46772</v>
      </c>
      <c r="C755" s="31" t="n"/>
      <c r="D755" s="32" t="n"/>
      <c r="E755" s="33" t="n">
        <v>-2.1833</v>
      </c>
      <c r="F755" t="inlineStr">
        <is>
          <t>Down</t>
        </is>
      </c>
      <c r="G755" t="inlineStr">
        <is>
          <t>Down</t>
        </is>
      </c>
      <c r="H755" t="inlineStr">
        <is>
          <t>ED_JD</t>
        </is>
      </c>
      <c r="I755" t="inlineStr">
        <is>
          <t>2009-04</t>
        </is>
      </c>
      <c r="J755" t="n">
        <v>1</v>
      </c>
      <c r="K755" t="n">
        <v>1</v>
      </c>
      <c r="L755" s="34">
        <f>IF($J755=1,LN(B756/B755),"")</f>
        <v/>
      </c>
      <c r="M755" s="34">
        <f>IF($K755=1,INDEX(Mensal!$D$2:$D$245,MATCH($I755,Mensal!$A$2:$A$245,0)),"")</f>
        <v/>
      </c>
      <c r="N755" s="34">
        <f>IF($K755=1,L755-M755,"")</f>
        <v/>
      </c>
      <c r="O755" s="34" t="n">
        <v>0.00041886</v>
      </c>
      <c r="P755" s="34">
        <f>IF($J755=1,LN(1+O755),"")</f>
        <v/>
      </c>
      <c r="Q755" s="34">
        <f>IF($J755=1,LN(R756/R755),"")</f>
        <v/>
      </c>
      <c r="R755" s="32" t="n">
        <v>2.1933</v>
      </c>
      <c r="S755" s="35" t="n">
        <v>10.085</v>
      </c>
      <c r="T755" s="18" t="n"/>
      <c r="U755" s="18" t="n"/>
      <c r="V755" s="18" t="n">
        <v>46772</v>
      </c>
      <c r="W755" s="18" t="n"/>
      <c r="X755" s="35" t="n"/>
      <c r="Y755" s="35" t="n">
        <v>10.085</v>
      </c>
    </row>
    <row r="756">
      <c r="A756" s="25" t="n">
        <v>39930</v>
      </c>
      <c r="B756" s="18" t="n">
        <v>45819</v>
      </c>
      <c r="C756" s="31" t="n"/>
      <c r="D756" s="32" t="n"/>
      <c r="E756" s="33" t="n">
        <v>-2.1617</v>
      </c>
      <c r="F756" t="inlineStr">
        <is>
          <t>Down</t>
        </is>
      </c>
      <c r="G756" t="inlineStr">
        <is>
          <t>Down</t>
        </is>
      </c>
      <c r="H756" t="inlineStr">
        <is>
          <t>ED_JD</t>
        </is>
      </c>
      <c r="I756" t="inlineStr">
        <is>
          <t>2009-04</t>
        </is>
      </c>
      <c r="J756" t="n">
        <v>1</v>
      </c>
      <c r="K756" t="n">
        <v>1</v>
      </c>
      <c r="L756" s="34">
        <f>IF($J756=1,LN(B757/B756),"")</f>
        <v/>
      </c>
      <c r="M756" s="34">
        <f>IF($K756=1,INDEX(Mensal!$D$2:$D$245,MATCH($I756,Mensal!$A$2:$A$245,0)),"")</f>
        <v/>
      </c>
      <c r="N756" s="34">
        <f>IF($K756=1,L756-M756,"")</f>
        <v/>
      </c>
      <c r="O756" s="34" t="n">
        <v>0.00041886</v>
      </c>
      <c r="P756" s="34">
        <f>IF($J756=1,LN(1+O756),"")</f>
        <v/>
      </c>
      <c r="Q756" s="34">
        <f>IF($J756=1,LN(R757/R756),"")</f>
        <v/>
      </c>
      <c r="R756" s="32" t="n">
        <v>2.2165</v>
      </c>
      <c r="S756" s="35" t="n">
        <v>10.058</v>
      </c>
      <c r="T756" s="18" t="n"/>
      <c r="U756" s="18" t="n"/>
      <c r="V756" s="18" t="n">
        <v>45819</v>
      </c>
      <c r="W756" s="18" t="n"/>
      <c r="X756" s="35" t="n"/>
      <c r="Y756" s="35" t="n">
        <v>10.058</v>
      </c>
    </row>
    <row r="757">
      <c r="A757" s="25" t="n">
        <v>39931</v>
      </c>
      <c r="B757" s="18" t="n">
        <v>45821</v>
      </c>
      <c r="C757" s="31" t="n"/>
      <c r="D757" s="32" t="n"/>
      <c r="E757" s="33" t="n">
        <v>-2.1423</v>
      </c>
      <c r="F757" t="inlineStr">
        <is>
          <t>Down</t>
        </is>
      </c>
      <c r="G757" t="inlineStr">
        <is>
          <t>Down</t>
        </is>
      </c>
      <c r="H757" t="inlineStr">
        <is>
          <t>ED_JD</t>
        </is>
      </c>
      <c r="I757" t="inlineStr">
        <is>
          <t>2009-04</t>
        </is>
      </c>
      <c r="J757" t="n">
        <v>1</v>
      </c>
      <c r="K757" t="n">
        <v>1</v>
      </c>
      <c r="L757" s="34">
        <f>IF($J757=1,LN(B758/B757),"")</f>
        <v/>
      </c>
      <c r="M757" s="34">
        <f>IF($K757=1,INDEX(Mensal!$D$2:$D$245,MATCH($I757,Mensal!$A$2:$A$245,0)),"")</f>
        <v/>
      </c>
      <c r="N757" s="34">
        <f>IF($K757=1,L757-M757,"")</f>
        <v/>
      </c>
      <c r="O757" s="34" t="n">
        <v>0.0004185</v>
      </c>
      <c r="P757" s="34">
        <f>IF($J757=1,LN(1+O757),"")</f>
        <v/>
      </c>
      <c r="Q757" s="34">
        <f>IF($J757=1,LN(R758/R757),"")</f>
        <v/>
      </c>
      <c r="R757" s="32" t="n">
        <v>2.2037</v>
      </c>
      <c r="S757" s="35" t="n">
        <v>9.943</v>
      </c>
      <c r="T757" s="18" t="n"/>
      <c r="U757" s="18" t="n"/>
      <c r="V757" s="18" t="n">
        <v>45821</v>
      </c>
      <c r="W757" s="18" t="n"/>
      <c r="X757" s="35" t="n"/>
      <c r="Y757" s="35" t="n">
        <v>9.943</v>
      </c>
    </row>
    <row r="758">
      <c r="A758" s="25" t="n">
        <v>39932</v>
      </c>
      <c r="B758" s="18" t="n">
        <v>47227</v>
      </c>
      <c r="C758" s="31" t="n"/>
      <c r="D758" s="32" t="n"/>
      <c r="E758" s="33" t="n">
        <v>-2.1155</v>
      </c>
      <c r="F758" t="inlineStr">
        <is>
          <t>Down</t>
        </is>
      </c>
      <c r="G758" t="inlineStr">
        <is>
          <t>Down</t>
        </is>
      </c>
      <c r="H758" t="inlineStr">
        <is>
          <t>ED_JD</t>
        </is>
      </c>
      <c r="I758" t="inlineStr">
        <is>
          <t>2009-04</t>
        </is>
      </c>
      <c r="J758" t="n">
        <v>1</v>
      </c>
      <c r="K758" t="n">
        <v>1</v>
      </c>
      <c r="L758" s="34">
        <f>IF($J758=1,LN(B759/B758),"")</f>
        <v/>
      </c>
      <c r="M758" s="34">
        <f>IF($K758=1,INDEX(Mensal!$D$2:$D$245,MATCH($I758,Mensal!$A$2:$A$245,0)),"")</f>
        <v/>
      </c>
      <c r="N758" s="34">
        <f>IF($K758=1,L758-M758,"")</f>
        <v/>
      </c>
      <c r="O758" s="34" t="n">
        <v>0.00041386</v>
      </c>
      <c r="P758" s="34">
        <f>IF($J758=1,LN(1+O758),"")</f>
        <v/>
      </c>
      <c r="Q758" s="34">
        <f>IF($J758=1,LN(R759/R758),"")</f>
        <v/>
      </c>
      <c r="R758" s="32" t="n">
        <v>2.1838</v>
      </c>
      <c r="S758" s="35" t="n">
        <v>9.943</v>
      </c>
      <c r="T758" s="18" t="n"/>
      <c r="U758" s="18" t="n"/>
      <c r="V758" s="18" t="n">
        <v>47227</v>
      </c>
      <c r="W758" s="18" t="n"/>
      <c r="X758" s="35" t="n"/>
      <c r="Y758" s="35" t="n">
        <v>9.943</v>
      </c>
    </row>
    <row r="759">
      <c r="A759" s="25" t="n">
        <v>39933</v>
      </c>
      <c r="B759" s="18" t="n">
        <v>47289</v>
      </c>
      <c r="C759" s="31" t="n"/>
      <c r="D759" s="32" t="n"/>
      <c r="E759" s="33" t="n">
        <v>-2.0842</v>
      </c>
      <c r="F759" t="inlineStr">
        <is>
          <t>Down</t>
        </is>
      </c>
      <c r="G759" t="inlineStr">
        <is>
          <t>Down</t>
        </is>
      </c>
      <c r="H759" t="inlineStr">
        <is>
          <t>ED_JD</t>
        </is>
      </c>
      <c r="I759" t="inlineStr">
        <is>
          <t>2009-04</t>
        </is>
      </c>
      <c r="J759" t="n">
        <v>1</v>
      </c>
      <c r="K759" t="n">
        <v>1</v>
      </c>
      <c r="L759" s="34">
        <f>IF($J759=1,LN(B760/B759),"")</f>
        <v/>
      </c>
      <c r="M759" s="34">
        <f>IF($K759=1,INDEX(Mensal!$D$2:$D$245,MATCH($I759,Mensal!$A$2:$A$245,0)),"")</f>
        <v/>
      </c>
      <c r="N759" s="34">
        <f>IF($K759=1,L759-M759,"")</f>
        <v/>
      </c>
      <c r="O759" s="34" t="n">
        <v>0.00038261</v>
      </c>
      <c r="P759" s="34">
        <f>IF($J759=1,LN(1+O759),"")</f>
        <v/>
      </c>
      <c r="Q759" s="34">
        <f>IF($J759=1,LN(R760/R759),"")</f>
        <v/>
      </c>
      <c r="R759" s="32" t="n">
        <v>2.1783</v>
      </c>
      <c r="S759" s="35" t="n">
        <v>9.891999999999999</v>
      </c>
      <c r="T759" s="18" t="n"/>
      <c r="U759" s="18" t="n"/>
      <c r="V759" s="18" t="n">
        <v>47289</v>
      </c>
      <c r="W759" s="18" t="n"/>
      <c r="X759" s="35" t="n"/>
      <c r="Y759" s="35" t="n">
        <v>9.891999999999999</v>
      </c>
    </row>
    <row r="760">
      <c r="A760" s="25" t="n">
        <v>39937</v>
      </c>
      <c r="B760" s="18" t="n">
        <v>50405</v>
      </c>
      <c r="C760" s="31" t="n"/>
      <c r="D760" s="32" t="n"/>
      <c r="E760" s="33" t="n">
        <v>-2.0641</v>
      </c>
      <c r="F760" t="inlineStr">
        <is>
          <t>Down</t>
        </is>
      </c>
      <c r="G760" t="inlineStr">
        <is>
          <t>Down</t>
        </is>
      </c>
      <c r="H760" t="inlineStr">
        <is>
          <t>ED_JD</t>
        </is>
      </c>
      <c r="I760" t="inlineStr">
        <is>
          <t>2009-05</t>
        </is>
      </c>
      <c r="J760" t="n">
        <v>1</v>
      </c>
      <c r="K760" t="n">
        <v>1</v>
      </c>
      <c r="L760" s="34">
        <f>IF($J760=1,LN(B761/B760),"")</f>
        <v/>
      </c>
      <c r="M760" s="34">
        <f>IF($K760=1,INDEX(Mensal!$D$2:$D$245,MATCH($I760,Mensal!$A$2:$A$245,0)),"")</f>
        <v/>
      </c>
      <c r="N760" s="34">
        <f>IF($K760=1,L760-M760,"")</f>
        <v/>
      </c>
      <c r="O760" s="34" t="n">
        <v>0.00038298</v>
      </c>
      <c r="P760" s="34">
        <f>IF($J760=1,LN(1+O760),"")</f>
        <v/>
      </c>
      <c r="Q760" s="34">
        <f>IF($J760=1,LN(R761/R760),"")</f>
        <v/>
      </c>
      <c r="R760" s="32" t="n">
        <v>2.1369</v>
      </c>
      <c r="S760" s="35" t="n">
        <v>9.914999999999999</v>
      </c>
      <c r="T760" s="18" t="n"/>
      <c r="U760" s="18" t="n"/>
      <c r="V760" s="18" t="n">
        <v>50405</v>
      </c>
      <c r="W760" s="18" t="n"/>
      <c r="X760" s="35" t="n"/>
      <c r="Y760" s="35" t="n">
        <v>9.914999999999999</v>
      </c>
    </row>
    <row r="761">
      <c r="A761" s="25" t="n">
        <v>39938</v>
      </c>
      <c r="B761" s="18" t="n">
        <v>50670</v>
      </c>
      <c r="C761" s="31" t="n"/>
      <c r="D761" s="32" t="n"/>
      <c r="E761" s="33" t="n">
        <v>-2.0525</v>
      </c>
      <c r="F761" t="inlineStr">
        <is>
          <t>Down</t>
        </is>
      </c>
      <c r="G761" t="inlineStr">
        <is>
          <t>Down</t>
        </is>
      </c>
      <c r="H761" t="inlineStr">
        <is>
          <t>ED_JD</t>
        </is>
      </c>
      <c r="I761" t="inlineStr">
        <is>
          <t>2009-05</t>
        </is>
      </c>
      <c r="J761" t="n">
        <v>1</v>
      </c>
      <c r="K761" t="n">
        <v>1</v>
      </c>
      <c r="L761" s="34">
        <f>IF($J761=1,LN(B762/B761),"")</f>
        <v/>
      </c>
      <c r="M761" s="34">
        <f>IF($K761=1,INDEX(Mensal!$D$2:$D$245,MATCH($I761,Mensal!$A$2:$A$245,0)),"")</f>
        <v/>
      </c>
      <c r="N761" s="34">
        <f>IF($K761=1,L761-M761,"")</f>
        <v/>
      </c>
      <c r="O761" s="34" t="n">
        <v>0.00038298</v>
      </c>
      <c r="P761" s="34">
        <f>IF($J761=1,LN(1+O761),"")</f>
        <v/>
      </c>
      <c r="Q761" s="34">
        <f>IF($J761=1,LN(R762/R761),"")</f>
        <v/>
      </c>
      <c r="R761" s="32" t="n">
        <v>2.1476</v>
      </c>
      <c r="S761" s="35" t="n">
        <v>9.895</v>
      </c>
      <c r="T761" s="18" t="n"/>
      <c r="U761" s="18" t="n"/>
      <c r="V761" s="18" t="n">
        <v>50670</v>
      </c>
      <c r="W761" s="18" t="n"/>
      <c r="X761" s="35" t="n"/>
      <c r="Y761" s="35" t="n">
        <v>9.895</v>
      </c>
    </row>
    <row r="762">
      <c r="A762" s="25" t="n">
        <v>39939</v>
      </c>
      <c r="B762" s="18" t="n">
        <v>51500</v>
      </c>
      <c r="C762" s="31" t="n"/>
      <c r="D762" s="32" t="n"/>
      <c r="E762" s="33" t="n">
        <v>-2.0315</v>
      </c>
      <c r="F762" t="inlineStr">
        <is>
          <t>Down</t>
        </is>
      </c>
      <c r="G762" t="inlineStr">
        <is>
          <t>Down</t>
        </is>
      </c>
      <c r="H762" t="inlineStr">
        <is>
          <t>ED_JD</t>
        </is>
      </c>
      <c r="I762" t="inlineStr">
        <is>
          <t>2009-05</t>
        </is>
      </c>
      <c r="J762" t="n">
        <v>1</v>
      </c>
      <c r="K762" t="n">
        <v>1</v>
      </c>
      <c r="L762" s="34">
        <f>IF($J762=1,LN(B763/B762),"")</f>
        <v/>
      </c>
      <c r="M762" s="34">
        <f>IF($K762=1,INDEX(Mensal!$D$2:$D$245,MATCH($I762,Mensal!$A$2:$A$245,0)),"")</f>
        <v/>
      </c>
      <c r="N762" s="34">
        <f>IF($K762=1,L762-M762,"")</f>
        <v/>
      </c>
      <c r="O762" s="34" t="n">
        <v>0.00038298</v>
      </c>
      <c r="P762" s="34">
        <f>IF($J762=1,LN(1+O762),"")</f>
        <v/>
      </c>
      <c r="Q762" s="34">
        <f>IF($J762=1,LN(R763/R762),"")</f>
        <v/>
      </c>
      <c r="R762" s="32" t="n">
        <v>2.1213</v>
      </c>
      <c r="S762" s="35" t="n">
        <v>9.862</v>
      </c>
      <c r="T762" s="18" t="n"/>
      <c r="U762" s="18" t="n"/>
      <c r="V762" s="18" t="n">
        <v>51500</v>
      </c>
      <c r="W762" s="18" t="n"/>
      <c r="X762" s="35" t="n"/>
      <c r="Y762" s="35" t="n">
        <v>9.862</v>
      </c>
    </row>
    <row r="763">
      <c r="A763" s="25" t="n">
        <v>39940</v>
      </c>
      <c r="B763" s="18" t="n">
        <v>50058</v>
      </c>
      <c r="C763" s="31" t="n"/>
      <c r="D763" s="32" t="n"/>
      <c r="E763" s="33" t="n">
        <v>-2.0168</v>
      </c>
      <c r="F763" t="inlineStr">
        <is>
          <t>Down</t>
        </is>
      </c>
      <c r="G763" t="inlineStr">
        <is>
          <t>Down</t>
        </is>
      </c>
      <c r="H763" t="inlineStr">
        <is>
          <t>ED_JD</t>
        </is>
      </c>
      <c r="I763" t="inlineStr">
        <is>
          <t>2009-05</t>
        </is>
      </c>
      <c r="J763" t="n">
        <v>1</v>
      </c>
      <c r="K763" t="n">
        <v>1</v>
      </c>
      <c r="L763" s="34">
        <f>IF($J763=1,LN(B764/B763),"")</f>
        <v/>
      </c>
      <c r="M763" s="34">
        <f>IF($K763=1,INDEX(Mensal!$D$2:$D$245,MATCH($I763,Mensal!$A$2:$A$245,0)),"")</f>
        <v/>
      </c>
      <c r="N763" s="34">
        <f>IF($K763=1,L763-M763,"")</f>
        <v/>
      </c>
      <c r="O763" s="34" t="n">
        <v>0.00038298</v>
      </c>
      <c r="P763" s="34">
        <f>IF($J763=1,LN(1+O763),"")</f>
        <v/>
      </c>
      <c r="Q763" s="34">
        <f>IF($J763=1,LN(R764/R763),"")</f>
        <v/>
      </c>
      <c r="R763" s="32" t="n">
        <v>2.0984</v>
      </c>
      <c r="S763" s="35" t="n">
        <v>9.733000000000001</v>
      </c>
      <c r="T763" s="18" t="n"/>
      <c r="U763" s="18" t="n"/>
      <c r="V763" s="18" t="n">
        <v>50058</v>
      </c>
      <c r="W763" s="18" t="n"/>
      <c r="X763" s="35" t="n"/>
      <c r="Y763" s="35" t="n">
        <v>9.733000000000001</v>
      </c>
    </row>
    <row r="764">
      <c r="A764" s="25" t="n">
        <v>39941</v>
      </c>
      <c r="B764" s="18" t="n">
        <v>51395</v>
      </c>
      <c r="C764" s="31" t="n"/>
      <c r="D764" s="32" t="n"/>
      <c r="E764" s="33" t="n">
        <v>-2.0022</v>
      </c>
      <c r="F764" t="inlineStr">
        <is>
          <t>Down</t>
        </is>
      </c>
      <c r="G764" t="inlineStr">
        <is>
          <t>Down</t>
        </is>
      </c>
      <c r="H764" t="inlineStr">
        <is>
          <t>ED_JD</t>
        </is>
      </c>
      <c r="I764" t="inlineStr">
        <is>
          <t>2009-05</t>
        </is>
      </c>
      <c r="J764" t="n">
        <v>1</v>
      </c>
      <c r="K764" t="n">
        <v>1</v>
      </c>
      <c r="L764" s="34">
        <f>IF($J764=1,LN(B765/B764),"")</f>
        <v/>
      </c>
      <c r="M764" s="34">
        <f>IF($K764=1,INDEX(Mensal!$D$2:$D$245,MATCH($I764,Mensal!$A$2:$A$245,0)),"")</f>
        <v/>
      </c>
      <c r="N764" s="34">
        <f>IF($K764=1,L764-M764,"")</f>
        <v/>
      </c>
      <c r="O764" s="34" t="n">
        <v>0.00038261</v>
      </c>
      <c r="P764" s="34">
        <f>IF($J764=1,LN(1+O764),"")</f>
        <v/>
      </c>
      <c r="Q764" s="34">
        <f>IF($J764=1,LN(R765/R764),"")</f>
        <v/>
      </c>
      <c r="R764" s="32" t="n">
        <v>2.075</v>
      </c>
      <c r="S764" s="35" t="n">
        <v>9.629</v>
      </c>
      <c r="T764" s="18" t="n"/>
      <c r="U764" s="18" t="n"/>
      <c r="V764" s="18" t="n">
        <v>51395</v>
      </c>
      <c r="W764" s="18" t="n"/>
      <c r="X764" s="35" t="n"/>
      <c r="Y764" s="35" t="n">
        <v>9.629</v>
      </c>
    </row>
    <row r="765">
      <c r="A765" s="25" t="n">
        <v>39944</v>
      </c>
      <c r="B765" s="18" t="n">
        <v>50976</v>
      </c>
      <c r="C765" s="31" t="n"/>
      <c r="D765" s="32" t="n"/>
      <c r="E765" s="33" t="n">
        <v>-1.9891</v>
      </c>
      <c r="F765" t="inlineStr">
        <is>
          <t>Down</t>
        </is>
      </c>
      <c r="G765" t="inlineStr">
        <is>
          <t>Down</t>
        </is>
      </c>
      <c r="H765" t="inlineStr">
        <is>
          <t>ED_JD</t>
        </is>
      </c>
      <c r="I765" t="inlineStr">
        <is>
          <t>2009-05</t>
        </is>
      </c>
      <c r="J765" t="n">
        <v>1</v>
      </c>
      <c r="K765" t="n">
        <v>1</v>
      </c>
      <c r="L765" s="34">
        <f>IF($J765=1,LN(B766/B765),"")</f>
        <v/>
      </c>
      <c r="M765" s="34">
        <f>IF($K765=1,INDEX(Mensal!$D$2:$D$245,MATCH($I765,Mensal!$A$2:$A$245,0)),"")</f>
        <v/>
      </c>
      <c r="N765" s="34">
        <f>IF($K765=1,L765-M765,"")</f>
        <v/>
      </c>
      <c r="O765" s="34" t="n">
        <v>0.00038261</v>
      </c>
      <c r="P765" s="34">
        <f>IF($J765=1,LN(1+O765),"")</f>
        <v/>
      </c>
      <c r="Q765" s="34">
        <f>IF($J765=1,LN(R766/R765),"")</f>
        <v/>
      </c>
      <c r="R765" s="32" t="n">
        <v>2.0579</v>
      </c>
      <c r="S765" s="35" t="n">
        <v>9.547000000000001</v>
      </c>
      <c r="T765" s="18" t="n"/>
      <c r="U765" s="18" t="n"/>
      <c r="V765" s="18" t="n">
        <v>50976</v>
      </c>
      <c r="W765" s="18" t="n"/>
      <c r="X765" s="35" t="n"/>
      <c r="Y765" s="35" t="n">
        <v>9.547000000000001</v>
      </c>
    </row>
    <row r="766">
      <c r="A766" s="25" t="n">
        <v>39945</v>
      </c>
      <c r="B766" s="18" t="n">
        <v>50326</v>
      </c>
      <c r="C766" s="31" t="n"/>
      <c r="D766" s="32" t="n"/>
      <c r="E766" s="33" t="n">
        <v>-1.9709</v>
      </c>
      <c r="F766" t="inlineStr">
        <is>
          <t>Down</t>
        </is>
      </c>
      <c r="G766" t="inlineStr">
        <is>
          <t>Down</t>
        </is>
      </c>
      <c r="H766" t="inlineStr">
        <is>
          <t>ED_JD</t>
        </is>
      </c>
      <c r="I766" t="inlineStr">
        <is>
          <t>2009-05</t>
        </is>
      </c>
      <c r="J766" t="n">
        <v>1</v>
      </c>
      <c r="K766" t="n">
        <v>1</v>
      </c>
      <c r="L766" s="34">
        <f>IF($J766=1,LN(B767/B766),"")</f>
        <v/>
      </c>
      <c r="M766" s="34">
        <f>IF($K766=1,INDEX(Mensal!$D$2:$D$245,MATCH($I766,Mensal!$A$2:$A$245,0)),"")</f>
        <v/>
      </c>
      <c r="N766" s="34">
        <f>IF($K766=1,L766-M766,"")</f>
        <v/>
      </c>
      <c r="O766" s="34" t="n">
        <v>0.00038261</v>
      </c>
      <c r="P766" s="34">
        <f>IF($J766=1,LN(1+O766),"")</f>
        <v/>
      </c>
      <c r="Q766" s="34">
        <f>IF($J766=1,LN(R767/R766),"")</f>
        <v/>
      </c>
      <c r="R766" s="32" t="n">
        <v>2.0649</v>
      </c>
      <c r="S766" s="35" t="n">
        <v>9.51</v>
      </c>
      <c r="T766" s="18" t="n"/>
      <c r="U766" s="18" t="n"/>
      <c r="V766" s="18" t="n">
        <v>50326</v>
      </c>
      <c r="W766" s="18" t="n"/>
      <c r="X766" s="35" t="n"/>
      <c r="Y766" s="35" t="n">
        <v>9.51</v>
      </c>
    </row>
    <row r="767">
      <c r="A767" s="25" t="n">
        <v>39946</v>
      </c>
      <c r="B767" s="18" t="n">
        <v>48679</v>
      </c>
      <c r="C767" s="31" t="n"/>
      <c r="D767" s="32" t="n"/>
      <c r="E767" s="33" t="n">
        <v>-1.9404</v>
      </c>
      <c r="F767" t="inlineStr">
        <is>
          <t>Down</t>
        </is>
      </c>
      <c r="G767" t="inlineStr">
        <is>
          <t>Down</t>
        </is>
      </c>
      <c r="H767" t="inlineStr">
        <is>
          <t>ED_JD</t>
        </is>
      </c>
      <c r="I767" t="inlineStr">
        <is>
          <t>2009-05</t>
        </is>
      </c>
      <c r="J767" t="n">
        <v>1</v>
      </c>
      <c r="K767" t="n">
        <v>1</v>
      </c>
      <c r="L767" s="34">
        <f>IF($J767=1,LN(B768/B767),"")</f>
        <v/>
      </c>
      <c r="M767" s="34">
        <f>IF($K767=1,INDEX(Mensal!$D$2:$D$245,MATCH($I767,Mensal!$A$2:$A$245,0)),"")</f>
        <v/>
      </c>
      <c r="N767" s="34">
        <f>IF($K767=1,L767-M767,"")</f>
        <v/>
      </c>
      <c r="O767" s="34" t="n">
        <v>0.00038261</v>
      </c>
      <c r="P767" s="34">
        <f>IF($J767=1,LN(1+O767),"")</f>
        <v/>
      </c>
      <c r="Q767" s="34">
        <f>IF($J767=1,LN(R768/R767),"")</f>
        <v/>
      </c>
      <c r="R767" s="32" t="n">
        <v>2.0992</v>
      </c>
      <c r="S767" s="35" t="n">
        <v>9.462</v>
      </c>
      <c r="T767" s="18" t="n"/>
      <c r="U767" s="18" t="n"/>
      <c r="V767" s="18" t="n">
        <v>48679</v>
      </c>
      <c r="W767" s="18" t="n"/>
      <c r="X767" s="35" t="n"/>
      <c r="Y767" s="35" t="n">
        <v>9.462</v>
      </c>
    </row>
    <row r="768">
      <c r="A768" s="25" t="n">
        <v>39947</v>
      </c>
      <c r="B768" s="18" t="n">
        <v>49446</v>
      </c>
      <c r="C768" s="31" t="n"/>
      <c r="D768" s="32" t="n"/>
      <c r="E768" s="33" t="n">
        <v>-1.9024</v>
      </c>
      <c r="F768" t="inlineStr">
        <is>
          <t>Down</t>
        </is>
      </c>
      <c r="G768" t="inlineStr">
        <is>
          <t>Down</t>
        </is>
      </c>
      <c r="H768" t="inlineStr">
        <is>
          <t>ED_JD</t>
        </is>
      </c>
      <c r="I768" t="inlineStr">
        <is>
          <t>2009-05</t>
        </is>
      </c>
      <c r="J768" t="n">
        <v>1</v>
      </c>
      <c r="K768" t="n">
        <v>1</v>
      </c>
      <c r="L768" s="34">
        <f>IF($J768=1,LN(B769/B768),"")</f>
        <v/>
      </c>
      <c r="M768" s="34">
        <f>IF($K768=1,INDEX(Mensal!$D$2:$D$245,MATCH($I768,Mensal!$A$2:$A$245,0)),"")</f>
        <v/>
      </c>
      <c r="N768" s="34">
        <f>IF($K768=1,L768-M768,"")</f>
        <v/>
      </c>
      <c r="O768" s="34" t="n">
        <v>0.00038261</v>
      </c>
      <c r="P768" s="34">
        <f>IF($J768=1,LN(1+O768),"")</f>
        <v/>
      </c>
      <c r="Q768" s="34">
        <f>IF($J768=1,LN(R769/R768),"")</f>
        <v/>
      </c>
      <c r="R768" s="32" t="n">
        <v>2.0929</v>
      </c>
      <c r="S768" s="35" t="n">
        <v>9.422000000000001</v>
      </c>
      <c r="T768" s="18" t="n"/>
      <c r="U768" s="18" t="n"/>
      <c r="V768" s="18" t="n">
        <v>49446</v>
      </c>
      <c r="W768" s="18" t="n"/>
      <c r="X768" s="35" t="n"/>
      <c r="Y768" s="35" t="n">
        <v>9.422000000000001</v>
      </c>
    </row>
    <row r="769">
      <c r="A769" s="25" t="n">
        <v>39948</v>
      </c>
      <c r="B769" s="18" t="n">
        <v>49007</v>
      </c>
      <c r="C769" s="31" t="n"/>
      <c r="D769" s="32" t="n"/>
      <c r="E769" s="33" t="n">
        <v>-1.863</v>
      </c>
      <c r="F769" t="inlineStr">
        <is>
          <t>Down</t>
        </is>
      </c>
      <c r="G769" t="inlineStr">
        <is>
          <t>Down</t>
        </is>
      </c>
      <c r="H769" t="inlineStr">
        <is>
          <t>ED_JD</t>
        </is>
      </c>
      <c r="I769" t="inlineStr">
        <is>
          <t>2009-05</t>
        </is>
      </c>
      <c r="J769" t="n">
        <v>1</v>
      </c>
      <c r="K769" t="n">
        <v>1</v>
      </c>
      <c r="L769" s="34">
        <f>IF($J769=1,LN(B770/B769),"")</f>
        <v/>
      </c>
      <c r="M769" s="34">
        <f>IF($K769=1,INDEX(Mensal!$D$2:$D$245,MATCH($I769,Mensal!$A$2:$A$245,0)),"")</f>
        <v/>
      </c>
      <c r="N769" s="34">
        <f>IF($K769=1,L769-M769,"")</f>
        <v/>
      </c>
      <c r="O769" s="34" t="n">
        <v>0.00038298</v>
      </c>
      <c r="P769" s="34">
        <f>IF($J769=1,LN(1+O769),"")</f>
        <v/>
      </c>
      <c r="Q769" s="34">
        <f>IF($J769=1,LN(R770/R769),"")</f>
        <v/>
      </c>
      <c r="R769" s="32" t="n">
        <v>2.0762</v>
      </c>
      <c r="S769" s="35" t="n">
        <v>9.432</v>
      </c>
      <c r="T769" s="18" t="n"/>
      <c r="U769" s="18" t="n"/>
      <c r="V769" s="18" t="n">
        <v>49007</v>
      </c>
      <c r="W769" s="18" t="n"/>
      <c r="X769" s="35" t="n"/>
      <c r="Y769" s="35" t="n">
        <v>9.432</v>
      </c>
    </row>
    <row r="770">
      <c r="A770" s="25" t="n">
        <v>39951</v>
      </c>
      <c r="B770" s="18" t="n">
        <v>51463</v>
      </c>
      <c r="C770" s="31" t="n"/>
      <c r="D770" s="32" t="n"/>
      <c r="E770" s="33" t="n">
        <v>-1.8445</v>
      </c>
      <c r="F770" t="inlineStr">
        <is>
          <t>Down</t>
        </is>
      </c>
      <c r="G770" t="inlineStr">
        <is>
          <t>Down</t>
        </is>
      </c>
      <c r="H770" t="inlineStr">
        <is>
          <t>ED_JD</t>
        </is>
      </c>
      <c r="I770" t="inlineStr">
        <is>
          <t>2009-05</t>
        </is>
      </c>
      <c r="J770" t="n">
        <v>1</v>
      </c>
      <c r="K770" t="n">
        <v>1</v>
      </c>
      <c r="L770" s="34">
        <f>IF($J770=1,LN(B771/B770),"")</f>
        <v/>
      </c>
      <c r="M770" s="34">
        <f>IF($K770=1,INDEX(Mensal!$D$2:$D$245,MATCH($I770,Mensal!$A$2:$A$245,0)),"")</f>
        <v/>
      </c>
      <c r="N770" s="34">
        <f>IF($K770=1,L770-M770,"")</f>
        <v/>
      </c>
      <c r="O770" s="34" t="n">
        <v>0.00038298</v>
      </c>
      <c r="P770" s="34">
        <f>IF($J770=1,LN(1+O770),"")</f>
        <v/>
      </c>
      <c r="Q770" s="34">
        <f>IF($J770=1,LN(R771/R770),"")</f>
        <v/>
      </c>
      <c r="R770" s="32" t="n">
        <v>2.0784</v>
      </c>
      <c r="S770" s="35" t="n">
        <v>9.385999999999999</v>
      </c>
      <c r="T770" s="18" t="n"/>
      <c r="U770" s="18" t="n"/>
      <c r="V770" s="18" t="n">
        <v>51463</v>
      </c>
      <c r="W770" s="18" t="n"/>
      <c r="X770" s="35" t="n"/>
      <c r="Y770" s="35" t="n">
        <v>9.385999999999999</v>
      </c>
    </row>
    <row r="771">
      <c r="A771" s="25" t="n">
        <v>39952</v>
      </c>
      <c r="B771" s="18" t="n">
        <v>51347</v>
      </c>
      <c r="C771" s="31" t="n"/>
      <c r="D771" s="32" t="n"/>
      <c r="E771" s="33" t="n">
        <v>-1.8483</v>
      </c>
      <c r="F771" t="inlineStr">
        <is>
          <t>Down</t>
        </is>
      </c>
      <c r="G771" t="inlineStr">
        <is>
          <t>Down</t>
        </is>
      </c>
      <c r="H771" t="inlineStr">
        <is>
          <t>ED_JD</t>
        </is>
      </c>
      <c r="I771" t="inlineStr">
        <is>
          <t>2009-05</t>
        </is>
      </c>
      <c r="J771" t="n">
        <v>1</v>
      </c>
      <c r="K771" t="n">
        <v>1</v>
      </c>
      <c r="L771" s="34">
        <f>IF($J771=1,LN(B772/B771),"")</f>
        <v/>
      </c>
      <c r="M771" s="34">
        <f>IF($K771=1,INDEX(Mensal!$D$2:$D$245,MATCH($I771,Mensal!$A$2:$A$245,0)),"")</f>
        <v/>
      </c>
      <c r="N771" s="34">
        <f>IF($K771=1,L771-M771,"")</f>
        <v/>
      </c>
      <c r="O771" s="34" t="n">
        <v>0.00038298</v>
      </c>
      <c r="P771" s="34">
        <f>IF($J771=1,LN(1+O771),"")</f>
        <v/>
      </c>
      <c r="Q771" s="34">
        <f>IF($J771=1,LN(R772/R771),"")</f>
        <v/>
      </c>
      <c r="R771" s="32" t="n">
        <v>2.0488</v>
      </c>
      <c r="S771" s="35" t="n">
        <v>9.372</v>
      </c>
      <c r="T771" s="18" t="n"/>
      <c r="U771" s="18" t="n"/>
      <c r="V771" s="18" t="n">
        <v>51347</v>
      </c>
      <c r="W771" s="18" t="n"/>
      <c r="X771" s="35" t="n"/>
      <c r="Y771" s="35" t="n">
        <v>9.372</v>
      </c>
    </row>
    <row r="772">
      <c r="A772" s="25" t="n">
        <v>39953</v>
      </c>
      <c r="B772" s="18" t="n">
        <v>51245</v>
      </c>
      <c r="C772" s="31" t="n"/>
      <c r="D772" s="32" t="n"/>
      <c r="E772" s="33" t="n">
        <v>-1.8416</v>
      </c>
      <c r="F772" t="inlineStr">
        <is>
          <t>Down</t>
        </is>
      </c>
      <c r="G772" t="inlineStr">
        <is>
          <t>Down</t>
        </is>
      </c>
      <c r="H772" t="inlineStr">
        <is>
          <t>ED_JD</t>
        </is>
      </c>
      <c r="I772" t="inlineStr">
        <is>
          <t>2009-05</t>
        </is>
      </c>
      <c r="J772" t="n">
        <v>1</v>
      </c>
      <c r="K772" t="n">
        <v>1</v>
      </c>
      <c r="L772" s="34">
        <f>IF($J772=1,LN(B773/B772),"")</f>
        <v/>
      </c>
      <c r="M772" s="34">
        <f>IF($K772=1,INDEX(Mensal!$D$2:$D$245,MATCH($I772,Mensal!$A$2:$A$245,0)),"")</f>
        <v/>
      </c>
      <c r="N772" s="34">
        <f>IF($K772=1,L772-M772,"")</f>
        <v/>
      </c>
      <c r="O772" s="34" t="n">
        <v>0.00038298</v>
      </c>
      <c r="P772" s="34">
        <f>IF($J772=1,LN(1+O772),"")</f>
        <v/>
      </c>
      <c r="Q772" s="34">
        <f>IF($J772=1,LN(R773/R772),"")</f>
        <v/>
      </c>
      <c r="R772" s="32" t="n">
        <v>2.0199</v>
      </c>
      <c r="S772" s="35" t="n">
        <v>9.334</v>
      </c>
      <c r="T772" s="18" t="n"/>
      <c r="U772" s="18" t="n"/>
      <c r="V772" s="18" t="n">
        <v>51245</v>
      </c>
      <c r="W772" s="18" t="n"/>
      <c r="X772" s="35" t="n"/>
      <c r="Y772" s="35" t="n">
        <v>9.334</v>
      </c>
    </row>
    <row r="773">
      <c r="A773" s="25" t="n">
        <v>39954</v>
      </c>
      <c r="B773" s="18" t="n">
        <v>50087</v>
      </c>
      <c r="C773" s="31" t="n"/>
      <c r="D773" s="32" t="n"/>
      <c r="E773" s="33" t="n">
        <v>-1.8406</v>
      </c>
      <c r="F773" t="inlineStr">
        <is>
          <t>Down</t>
        </is>
      </c>
      <c r="G773" t="inlineStr">
        <is>
          <t>Down</t>
        </is>
      </c>
      <c r="H773" t="inlineStr">
        <is>
          <t>ED_JD</t>
        </is>
      </c>
      <c r="I773" t="inlineStr">
        <is>
          <t>2009-05</t>
        </is>
      </c>
      <c r="J773" t="n">
        <v>1</v>
      </c>
      <c r="K773" t="n">
        <v>1</v>
      </c>
      <c r="L773" s="34">
        <f>IF($J773=1,LN(B774/B773),"")</f>
        <v/>
      </c>
      <c r="M773" s="34">
        <f>IF($K773=1,INDEX(Mensal!$D$2:$D$245,MATCH($I773,Mensal!$A$2:$A$245,0)),"")</f>
        <v/>
      </c>
      <c r="N773" s="34">
        <f>IF($K773=1,L773-M773,"")</f>
        <v/>
      </c>
      <c r="O773" s="34" t="n">
        <v>0.00037901</v>
      </c>
      <c r="P773" s="34">
        <f>IF($J773=1,LN(1+O773),"")</f>
        <v/>
      </c>
      <c r="Q773" s="34">
        <f>IF($J773=1,LN(R774/R773),"")</f>
        <v/>
      </c>
      <c r="R773" s="32" t="n">
        <v>2.0264</v>
      </c>
      <c r="S773" s="35" t="n">
        <v>9.446</v>
      </c>
      <c r="T773" s="18" t="n"/>
      <c r="U773" s="18" t="n"/>
      <c r="V773" s="18" t="n">
        <v>50087</v>
      </c>
      <c r="W773" s="18" t="n"/>
      <c r="X773" s="35" t="n"/>
      <c r="Y773" s="35" t="n">
        <v>9.446</v>
      </c>
    </row>
    <row r="774">
      <c r="A774" s="25" t="n">
        <v>39955</v>
      </c>
      <c r="B774" s="18" t="n">
        <v>50568</v>
      </c>
      <c r="C774" s="31" t="n"/>
      <c r="D774" s="32" t="n"/>
      <c r="E774" s="33" t="n">
        <v>-1.8579</v>
      </c>
      <c r="F774" t="inlineStr">
        <is>
          <t>Down</t>
        </is>
      </c>
      <c r="G774" t="inlineStr">
        <is>
          <t>Down</t>
        </is>
      </c>
      <c r="H774" t="inlineStr">
        <is>
          <t>ED_JD</t>
        </is>
      </c>
      <c r="I774" t="inlineStr">
        <is>
          <t>2009-05</t>
        </is>
      </c>
      <c r="J774" t="n">
        <v>1</v>
      </c>
      <c r="K774" t="n">
        <v>1</v>
      </c>
      <c r="L774" s="34">
        <f>IF($J774=1,LN(B775/B774),"")</f>
        <v/>
      </c>
      <c r="M774" s="34">
        <f>IF($K774=1,INDEX(Mensal!$D$2:$D$245,MATCH($I774,Mensal!$A$2:$A$245,0)),"")</f>
        <v/>
      </c>
      <c r="N774" s="34">
        <f>IF($K774=1,L774-M774,"")</f>
        <v/>
      </c>
      <c r="O774" s="34" t="n">
        <v>0.00037793</v>
      </c>
      <c r="P774" s="34">
        <f>IF($J774=1,LN(1+O774),"")</f>
        <v/>
      </c>
      <c r="Q774" s="34">
        <f>IF($J774=1,LN(R775/R774),"")</f>
        <v/>
      </c>
      <c r="R774" s="32" t="n">
        <v>2.0279</v>
      </c>
      <c r="S774" s="35" t="n">
        <v>9.44</v>
      </c>
      <c r="T774" s="18" t="n"/>
      <c r="U774" s="18" t="n"/>
      <c r="V774" s="18" t="n">
        <v>50568</v>
      </c>
      <c r="W774" s="18" t="n"/>
      <c r="X774" s="35" t="n"/>
      <c r="Y774" s="35" t="n">
        <v>9.44</v>
      </c>
    </row>
    <row r="775">
      <c r="A775" s="25" t="n">
        <v>39958</v>
      </c>
      <c r="B775" s="18" t="n">
        <v>50816</v>
      </c>
      <c r="C775" s="31" t="n"/>
      <c r="D775" s="32" t="n"/>
      <c r="E775" s="33" t="n">
        <v>-1.8695</v>
      </c>
      <c r="F775" t="inlineStr">
        <is>
          <t>Down</t>
        </is>
      </c>
      <c r="G775" t="inlineStr">
        <is>
          <t>Down</t>
        </is>
      </c>
      <c r="H775" t="inlineStr">
        <is>
          <t>ED_JD</t>
        </is>
      </c>
      <c r="I775" t="inlineStr">
        <is>
          <t>2009-05</t>
        </is>
      </c>
      <c r="J775" t="n">
        <v>1</v>
      </c>
      <c r="K775" t="n">
        <v>1</v>
      </c>
      <c r="L775" s="34">
        <f>IF($J775=1,LN(B776/B775),"")</f>
        <v/>
      </c>
      <c r="M775" s="34">
        <f>IF($K775=1,INDEX(Mensal!$D$2:$D$245,MATCH($I775,Mensal!$A$2:$A$245,0)),"")</f>
        <v/>
      </c>
      <c r="N775" s="34">
        <f>IF($K775=1,L775-M775,"")</f>
        <v/>
      </c>
      <c r="O775" s="34" t="n">
        <v>0.00037756</v>
      </c>
      <c r="P775" s="34">
        <f>IF($J775=1,LN(1+O775),"")</f>
        <v/>
      </c>
      <c r="Q775" s="34">
        <f>IF($J775=1,LN(R776/R775),"")</f>
        <v/>
      </c>
      <c r="R775" s="32" t="n">
        <v>2.0234</v>
      </c>
      <c r="S775" s="35" t="n">
        <v>9.379</v>
      </c>
      <c r="T775" s="18" t="n"/>
      <c r="U775" s="18" t="n"/>
      <c r="V775" s="18" t="n">
        <v>50816</v>
      </c>
      <c r="W775" s="18" t="n"/>
      <c r="X775" s="35" t="n"/>
      <c r="Y775" s="35" t="n">
        <v>9.379</v>
      </c>
    </row>
    <row r="776">
      <c r="A776" s="25" t="n">
        <v>39959</v>
      </c>
      <c r="B776" s="18" t="n">
        <v>51841</v>
      </c>
      <c r="C776" s="31" t="n"/>
      <c r="D776" s="32" t="n"/>
      <c r="E776" s="33" t="n">
        <v>-1.8736</v>
      </c>
      <c r="F776" t="inlineStr">
        <is>
          <t>Down</t>
        </is>
      </c>
      <c r="G776" t="inlineStr">
        <is>
          <t>Down</t>
        </is>
      </c>
      <c r="H776" t="inlineStr">
        <is>
          <t>ED_JD</t>
        </is>
      </c>
      <c r="I776" t="inlineStr">
        <is>
          <t>2009-05</t>
        </is>
      </c>
      <c r="J776" t="n">
        <v>1</v>
      </c>
      <c r="K776" t="n">
        <v>1</v>
      </c>
      <c r="L776" s="34">
        <f>IF($J776=1,LN(B777/B776),"")</f>
        <v/>
      </c>
      <c r="M776" s="34">
        <f>IF($K776=1,INDEX(Mensal!$D$2:$D$245,MATCH($I776,Mensal!$A$2:$A$245,0)),"")</f>
        <v/>
      </c>
      <c r="N776" s="34">
        <f>IF($K776=1,L776-M776,"")</f>
        <v/>
      </c>
      <c r="O776" s="34" t="n">
        <v>0.00038261</v>
      </c>
      <c r="P776" s="34">
        <f>IF($J776=1,LN(1+O776),"")</f>
        <v/>
      </c>
      <c r="Q776" s="34">
        <f>IF($J776=1,LN(R777/R776),"")</f>
        <v/>
      </c>
      <c r="R776" s="32" t="n">
        <v>2.0261</v>
      </c>
      <c r="S776" s="35" t="n">
        <v>9.335000000000001</v>
      </c>
      <c r="T776" s="18" t="n"/>
      <c r="U776" s="18" t="n"/>
      <c r="V776" s="18" t="n">
        <v>51841</v>
      </c>
      <c r="W776" s="18" t="n"/>
      <c r="X776" s="35" t="n"/>
      <c r="Y776" s="35" t="n">
        <v>9.335000000000001</v>
      </c>
    </row>
    <row r="777">
      <c r="A777" s="25" t="n">
        <v>39960</v>
      </c>
      <c r="B777" s="18" t="n">
        <v>51792</v>
      </c>
      <c r="C777" s="31" t="n"/>
      <c r="D777" s="32" t="n"/>
      <c r="E777" s="33" t="n">
        <v>-1.8656</v>
      </c>
      <c r="F777" t="inlineStr">
        <is>
          <t>Down</t>
        </is>
      </c>
      <c r="G777" t="inlineStr">
        <is>
          <t>Down</t>
        </is>
      </c>
      <c r="H777" t="inlineStr">
        <is>
          <t>ED_JD</t>
        </is>
      </c>
      <c r="I777" t="inlineStr">
        <is>
          <t>2009-05</t>
        </is>
      </c>
      <c r="J777" t="n">
        <v>1</v>
      </c>
      <c r="K777" t="n">
        <v>1</v>
      </c>
      <c r="L777" s="34">
        <f>IF($J777=1,LN(B778/B777),"")</f>
        <v/>
      </c>
      <c r="M777" s="34">
        <f>IF($K777=1,INDEX(Mensal!$D$2:$D$245,MATCH($I777,Mensal!$A$2:$A$245,0)),"")</f>
        <v/>
      </c>
      <c r="N777" s="34">
        <f>IF($K777=1,L777-M777,"")</f>
        <v/>
      </c>
      <c r="O777" s="34" t="n">
        <v>0.00038261</v>
      </c>
      <c r="P777" s="34">
        <f>IF($J777=1,LN(1+O777),"")</f>
        <v/>
      </c>
      <c r="Q777" s="34">
        <f>IF($J777=1,LN(R778/R777),"")</f>
        <v/>
      </c>
      <c r="R777" s="32" t="n">
        <v>2.0095</v>
      </c>
      <c r="S777" s="35" t="n">
        <v>9.381</v>
      </c>
      <c r="T777" s="18" t="n"/>
      <c r="U777" s="18" t="n"/>
      <c r="V777" s="18" t="n">
        <v>51792</v>
      </c>
      <c r="W777" s="18" t="n"/>
      <c r="X777" s="35" t="n"/>
      <c r="Y777" s="35" t="n">
        <v>9.381</v>
      </c>
    </row>
    <row r="778">
      <c r="A778" s="25" t="n">
        <v>39961</v>
      </c>
      <c r="B778" s="18" t="n">
        <v>53041</v>
      </c>
      <c r="C778" s="31" t="n"/>
      <c r="D778" s="32" t="n"/>
      <c r="E778" s="33" t="n">
        <v>-1.8364</v>
      </c>
      <c r="F778" t="inlineStr">
        <is>
          <t>Down</t>
        </is>
      </c>
      <c r="G778" t="inlineStr">
        <is>
          <t>Down</t>
        </is>
      </c>
      <c r="H778" t="inlineStr">
        <is>
          <t>ED_JD</t>
        </is>
      </c>
      <c r="I778" t="inlineStr">
        <is>
          <t>2009-05</t>
        </is>
      </c>
      <c r="J778" t="n">
        <v>1</v>
      </c>
      <c r="K778" t="n">
        <v>1</v>
      </c>
      <c r="L778" s="34">
        <f>IF($J778=1,LN(B779/B778),"")</f>
        <v/>
      </c>
      <c r="M778" s="34">
        <f>IF($K778=1,INDEX(Mensal!$D$2:$D$245,MATCH($I778,Mensal!$A$2:$A$245,0)),"")</f>
        <v/>
      </c>
      <c r="N778" s="34">
        <f>IF($K778=1,L778-M778,"")</f>
        <v/>
      </c>
      <c r="O778" s="34" t="n">
        <v>0.00038189</v>
      </c>
      <c r="P778" s="34">
        <f>IF($J778=1,LN(1+O778),"")</f>
        <v/>
      </c>
      <c r="Q778" s="34">
        <f>IF($J778=1,LN(R779/R778),"")</f>
        <v/>
      </c>
      <c r="R778" s="32" t="n">
        <v>2.0144</v>
      </c>
      <c r="S778" s="35" t="n">
        <v>9.381</v>
      </c>
      <c r="T778" s="18" t="n"/>
      <c r="U778" s="18" t="n"/>
      <c r="V778" s="18" t="n">
        <v>53041</v>
      </c>
      <c r="W778" s="18" t="n"/>
      <c r="X778" s="35" t="n"/>
      <c r="Y778" s="35" t="n">
        <v>9.381</v>
      </c>
    </row>
    <row r="779">
      <c r="A779" s="25" t="n">
        <v>39962</v>
      </c>
      <c r="B779" s="18" t="n">
        <v>53197</v>
      </c>
      <c r="C779" s="31" t="n"/>
      <c r="D779" s="32" t="n"/>
      <c r="E779" s="33" t="n">
        <v>-1.7941</v>
      </c>
      <c r="F779" t="inlineStr">
        <is>
          <t>Down</t>
        </is>
      </c>
      <c r="G779" t="inlineStr">
        <is>
          <t>Down</t>
        </is>
      </c>
      <c r="H779" t="inlineStr">
        <is>
          <t>ED_JD</t>
        </is>
      </c>
      <c r="I779" t="inlineStr">
        <is>
          <t>2009-05</t>
        </is>
      </c>
      <c r="J779" t="n">
        <v>1</v>
      </c>
      <c r="K779" t="n">
        <v>1</v>
      </c>
      <c r="L779" s="34">
        <f>IF($J779=1,LN(B780/B779),"")</f>
        <v/>
      </c>
      <c r="M779" s="34">
        <f>IF($K779=1,INDEX(Mensal!$D$2:$D$245,MATCH($I779,Mensal!$A$2:$A$245,0)),"")</f>
        <v/>
      </c>
      <c r="N779" s="34">
        <f>IF($K779=1,L779-M779,"")</f>
        <v/>
      </c>
      <c r="O779" s="34" t="n">
        <v>0.00037865</v>
      </c>
      <c r="P779" s="34">
        <f>IF($J779=1,LN(1+O779),"")</f>
        <v/>
      </c>
      <c r="Q779" s="34">
        <f>IF($J779=1,LN(R780/R779),"")</f>
        <v/>
      </c>
      <c r="R779" s="32" t="n">
        <v>1.973</v>
      </c>
      <c r="S779" s="35" t="n">
        <v>9.339</v>
      </c>
      <c r="T779" s="18" t="n"/>
      <c r="U779" s="18" t="n"/>
      <c r="V779" s="18" t="n">
        <v>53197</v>
      </c>
      <c r="W779" s="18" t="n"/>
      <c r="X779" s="35" t="n"/>
      <c r="Y779" s="35" t="n">
        <v>9.339</v>
      </c>
    </row>
    <row r="780">
      <c r="A780" s="25" t="n">
        <v>39965</v>
      </c>
      <c r="B780" s="18" t="n">
        <v>54486</v>
      </c>
      <c r="C780" s="31" t="n"/>
      <c r="D780" s="32" t="n"/>
      <c r="E780" s="33" t="n">
        <v>-1.7634</v>
      </c>
      <c r="F780" t="inlineStr">
        <is>
          <t>Down</t>
        </is>
      </c>
      <c r="G780" t="inlineStr">
        <is>
          <t>Down</t>
        </is>
      </c>
      <c r="H780" t="inlineStr">
        <is>
          <t>ED_JD</t>
        </is>
      </c>
      <c r="I780" t="inlineStr">
        <is>
          <t>2009-06</t>
        </is>
      </c>
      <c r="J780" t="n">
        <v>1</v>
      </c>
      <c r="K780" t="n">
        <v>1</v>
      </c>
      <c r="L780" s="34">
        <f>IF($J780=1,LN(B781/B780),"")</f>
        <v/>
      </c>
      <c r="M780" s="34">
        <f>IF($K780=1,INDEX(Mensal!$D$2:$D$245,MATCH($I780,Mensal!$A$2:$A$245,0)),"")</f>
        <v/>
      </c>
      <c r="N780" s="34">
        <f>IF($K780=1,L780-M780,"")</f>
        <v/>
      </c>
      <c r="O780" s="34" t="n">
        <v>0.00037829</v>
      </c>
      <c r="P780" s="34">
        <f>IF($J780=1,LN(1+O780),"")</f>
        <v/>
      </c>
      <c r="Q780" s="34">
        <f>IF($J780=1,LN(R781/R780),"")</f>
        <v/>
      </c>
      <c r="R780" s="32" t="n">
        <v>1.944</v>
      </c>
      <c r="S780" s="35" t="n">
        <v>9.237</v>
      </c>
      <c r="T780" s="18" t="n"/>
      <c r="U780" s="18" t="n"/>
      <c r="V780" s="18" t="n">
        <v>54486</v>
      </c>
      <c r="W780" s="18" t="n"/>
      <c r="X780" s="35" t="n"/>
      <c r="Y780" s="35" t="n">
        <v>9.237</v>
      </c>
    </row>
    <row r="781">
      <c r="A781" s="25" t="n">
        <v>39966</v>
      </c>
      <c r="B781" s="18" t="n">
        <v>54000</v>
      </c>
      <c r="C781" s="31" t="n"/>
      <c r="D781" s="32" t="n"/>
      <c r="E781" s="33" t="n">
        <v>-1.7255</v>
      </c>
      <c r="F781" t="inlineStr">
        <is>
          <t>Down</t>
        </is>
      </c>
      <c r="G781" t="inlineStr">
        <is>
          <t>Down</t>
        </is>
      </c>
      <c r="H781" t="inlineStr">
        <is>
          <t>ED_JD</t>
        </is>
      </c>
      <c r="I781" t="inlineStr">
        <is>
          <t>2009-06</t>
        </is>
      </c>
      <c r="J781" t="n">
        <v>1</v>
      </c>
      <c r="K781" t="n">
        <v>1</v>
      </c>
      <c r="L781" s="34">
        <f>IF($J781=1,LN(B782/B781),"")</f>
        <v/>
      </c>
      <c r="M781" s="34">
        <f>IF($K781=1,INDEX(Mensal!$D$2:$D$245,MATCH($I781,Mensal!$A$2:$A$245,0)),"")</f>
        <v/>
      </c>
      <c r="N781" s="34">
        <f>IF($K781=1,L781-M781,"")</f>
        <v/>
      </c>
      <c r="O781" s="34" t="n">
        <v>0.00038189</v>
      </c>
      <c r="P781" s="34">
        <f>IF($J781=1,LN(1+O781),"")</f>
        <v/>
      </c>
      <c r="Q781" s="34">
        <f>IF($J781=1,LN(R782/R781),"")</f>
        <v/>
      </c>
      <c r="R781" s="32" t="n">
        <v>1.937</v>
      </c>
      <c r="S781" s="35" t="n">
        <v>9.239000000000001</v>
      </c>
      <c r="T781" s="18" t="n"/>
      <c r="U781" s="18" t="n"/>
      <c r="V781" s="18" t="n">
        <v>54000</v>
      </c>
      <c r="W781" s="18" t="n"/>
      <c r="X781" s="35" t="n"/>
      <c r="Y781" s="35" t="n">
        <v>9.239000000000001</v>
      </c>
    </row>
    <row r="782">
      <c r="A782" s="25" t="n">
        <v>39967</v>
      </c>
      <c r="B782" s="18" t="n">
        <v>52087</v>
      </c>
      <c r="C782" s="31" t="n"/>
      <c r="D782" s="32" t="n"/>
      <c r="E782" s="33" t="n">
        <v>-1.6738</v>
      </c>
      <c r="F782" t="inlineStr">
        <is>
          <t>Down</t>
        </is>
      </c>
      <c r="G782" t="inlineStr">
        <is>
          <t>Down</t>
        </is>
      </c>
      <c r="H782" t="inlineStr">
        <is>
          <t>ED_JD</t>
        </is>
      </c>
      <c r="I782" t="inlineStr">
        <is>
          <t>2009-06</t>
        </is>
      </c>
      <c r="J782" t="n">
        <v>1</v>
      </c>
      <c r="K782" t="n">
        <v>1</v>
      </c>
      <c r="L782" s="34">
        <f>IF($J782=1,LN(B783/B782),"")</f>
        <v/>
      </c>
      <c r="M782" s="34">
        <f>IF($K782=1,INDEX(Mensal!$D$2:$D$245,MATCH($I782,Mensal!$A$2:$A$245,0)),"")</f>
        <v/>
      </c>
      <c r="N782" s="34">
        <f>IF($K782=1,L782-M782,"")</f>
        <v/>
      </c>
      <c r="O782" s="34" t="n">
        <v>0.00038009</v>
      </c>
      <c r="P782" s="34">
        <f>IF($J782=1,LN(1+O782),"")</f>
        <v/>
      </c>
      <c r="Q782" s="34">
        <f>IF($J782=1,LN(R783/R782),"")</f>
        <v/>
      </c>
      <c r="R782" s="32" t="n">
        <v>1.96</v>
      </c>
      <c r="S782" s="35" t="n">
        <v>9.228</v>
      </c>
      <c r="T782" s="18" t="n"/>
      <c r="U782" s="18" t="n"/>
      <c r="V782" s="18" t="n">
        <v>52087</v>
      </c>
      <c r="W782" s="18" t="n"/>
      <c r="X782" s="35" t="n"/>
      <c r="Y782" s="35" t="n">
        <v>9.228</v>
      </c>
    </row>
    <row r="783">
      <c r="A783" s="25" t="n">
        <v>39968</v>
      </c>
      <c r="B783" s="18" t="n">
        <v>53464</v>
      </c>
      <c r="C783" s="31" t="n"/>
      <c r="D783" s="32" t="n"/>
      <c r="E783" s="33" t="n">
        <v>-1.6053</v>
      </c>
      <c r="F783" t="inlineStr">
        <is>
          <t>Down</t>
        </is>
      </c>
      <c r="G783" t="inlineStr">
        <is>
          <t>Down</t>
        </is>
      </c>
      <c r="H783" t="inlineStr">
        <is>
          <t>ED_JD</t>
        </is>
      </c>
      <c r="I783" t="inlineStr">
        <is>
          <t>2009-06</t>
        </is>
      </c>
      <c r="J783" t="n">
        <v>1</v>
      </c>
      <c r="K783" t="n">
        <v>1</v>
      </c>
      <c r="L783" s="34">
        <f>IF($J783=1,LN(B784/B783),"")</f>
        <v/>
      </c>
      <c r="M783" s="34">
        <f>IF($K783=1,INDEX(Mensal!$D$2:$D$245,MATCH($I783,Mensal!$A$2:$A$245,0)),"")</f>
        <v/>
      </c>
      <c r="N783" s="34">
        <f>IF($K783=1,L783-M783,"")</f>
        <v/>
      </c>
      <c r="O783" s="34" t="n">
        <v>0.00038153</v>
      </c>
      <c r="P783" s="34">
        <f>IF($J783=1,LN(1+O783),"")</f>
        <v/>
      </c>
      <c r="Q783" s="34">
        <f>IF($J783=1,LN(R784/R783),"")</f>
        <v/>
      </c>
      <c r="R783" s="32" t="n">
        <v>1.9497</v>
      </c>
      <c r="S783" s="35" t="n">
        <v>9.196999999999999</v>
      </c>
      <c r="T783" s="18" t="n"/>
      <c r="U783" s="18" t="n"/>
      <c r="V783" s="18" t="n">
        <v>53464</v>
      </c>
      <c r="W783" s="18" t="n"/>
      <c r="X783" s="35" t="n"/>
      <c r="Y783" s="35" t="n">
        <v>9.196999999999999</v>
      </c>
    </row>
    <row r="784">
      <c r="A784" s="25" t="n">
        <v>39969</v>
      </c>
      <c r="B784" s="18" t="n">
        <v>53341</v>
      </c>
      <c r="C784" s="31" t="n"/>
      <c r="D784" s="32" t="n"/>
      <c r="E784" s="33" t="n">
        <v>-1.5497</v>
      </c>
      <c r="F784" t="inlineStr">
        <is>
          <t>Down</t>
        </is>
      </c>
      <c r="G784" t="inlineStr">
        <is>
          <t>Down</t>
        </is>
      </c>
      <c r="H784" t="inlineStr">
        <is>
          <t>ED_JD</t>
        </is>
      </c>
      <c r="I784" t="inlineStr">
        <is>
          <t>2009-06</t>
        </is>
      </c>
      <c r="J784" t="n">
        <v>1</v>
      </c>
      <c r="K784" t="n">
        <v>1</v>
      </c>
      <c r="L784" s="34">
        <f>IF($J784=1,LN(B785/B784),"")</f>
        <v/>
      </c>
      <c r="M784" s="34">
        <f>IF($K784=1,INDEX(Mensal!$D$2:$D$245,MATCH($I784,Mensal!$A$2:$A$245,0)),"")</f>
        <v/>
      </c>
      <c r="N784" s="34">
        <f>IF($K784=1,L784-M784,"")</f>
        <v/>
      </c>
      <c r="O784" s="34" t="n">
        <v>0.00038189</v>
      </c>
      <c r="P784" s="34">
        <f>IF($J784=1,LN(1+O784),"")</f>
        <v/>
      </c>
      <c r="Q784" s="34">
        <f>IF($J784=1,LN(R785/R784),"")</f>
        <v/>
      </c>
      <c r="R784" s="32" t="n">
        <v>1.9534</v>
      </c>
      <c r="S784" s="35" t="n">
        <v>9.326000000000001</v>
      </c>
      <c r="T784" s="18" t="n"/>
      <c r="U784" s="18" t="n"/>
      <c r="V784" s="18" t="n">
        <v>53341</v>
      </c>
      <c r="W784" s="18" t="n"/>
      <c r="X784" s="35" t="n"/>
      <c r="Y784" s="35" t="n">
        <v>9.326000000000001</v>
      </c>
    </row>
    <row r="785">
      <c r="A785" s="25" t="n">
        <v>39972</v>
      </c>
      <c r="B785" s="18" t="n">
        <v>53630</v>
      </c>
      <c r="C785" s="31" t="n"/>
      <c r="D785" s="32" t="n"/>
      <c r="E785" s="33" t="n">
        <v>-1.5056</v>
      </c>
      <c r="F785" t="inlineStr">
        <is>
          <t>Down</t>
        </is>
      </c>
      <c r="G785" t="inlineStr">
        <is>
          <t>Down</t>
        </is>
      </c>
      <c r="H785" t="inlineStr">
        <is>
          <t>ED_JD</t>
        </is>
      </c>
      <c r="I785" t="inlineStr">
        <is>
          <t>2009-06</t>
        </is>
      </c>
      <c r="J785" t="n">
        <v>1</v>
      </c>
      <c r="K785" t="n">
        <v>1</v>
      </c>
      <c r="L785" s="34">
        <f>IF($J785=1,LN(B786/B785),"")</f>
        <v/>
      </c>
      <c r="M785" s="34">
        <f>IF($K785=1,INDEX(Mensal!$D$2:$D$245,MATCH($I785,Mensal!$A$2:$A$245,0)),"")</f>
        <v/>
      </c>
      <c r="N785" s="34">
        <f>IF($K785=1,L785-M785,"")</f>
        <v/>
      </c>
      <c r="O785" s="34" t="n">
        <v>0.00037865</v>
      </c>
      <c r="P785" s="34">
        <f>IF($J785=1,LN(1+O785),"")</f>
        <v/>
      </c>
      <c r="Q785" s="34">
        <f>IF($J785=1,LN(R786/R785),"")</f>
        <v/>
      </c>
      <c r="R785" s="32" t="n">
        <v>1.9704</v>
      </c>
      <c r="S785" s="35" t="n">
        <v>9.423999999999999</v>
      </c>
      <c r="T785" s="18" t="n"/>
      <c r="U785" s="18" t="n"/>
      <c r="V785" s="18" t="n">
        <v>53630</v>
      </c>
      <c r="W785" s="18" t="n"/>
      <c r="X785" s="35" t="n"/>
      <c r="Y785" s="35" t="n">
        <v>9.423999999999999</v>
      </c>
    </row>
    <row r="786">
      <c r="A786" s="25" t="n">
        <v>39973</v>
      </c>
      <c r="B786" s="18" t="n">
        <v>53157</v>
      </c>
      <c r="C786" s="31" t="n"/>
      <c r="D786" s="32" t="n"/>
      <c r="E786" s="33" t="n">
        <v>-1.4648</v>
      </c>
      <c r="F786" t="inlineStr">
        <is>
          <t>Down</t>
        </is>
      </c>
      <c r="G786" t="inlineStr">
        <is>
          <t>Down</t>
        </is>
      </c>
      <c r="H786" t="inlineStr">
        <is>
          <t>ED_JD</t>
        </is>
      </c>
      <c r="I786" t="inlineStr">
        <is>
          <t>2009-06</t>
        </is>
      </c>
      <c r="J786" t="n">
        <v>1</v>
      </c>
      <c r="K786" t="n">
        <v>1</v>
      </c>
      <c r="L786" s="34">
        <f>IF($J786=1,LN(B787/B786),"")</f>
        <v/>
      </c>
      <c r="M786" s="34">
        <f>IF($K786=1,INDEX(Mensal!$D$2:$D$245,MATCH($I786,Mensal!$A$2:$A$245,0)),"")</f>
        <v/>
      </c>
      <c r="N786" s="34">
        <f>IF($K786=1,L786-M786,"")</f>
        <v/>
      </c>
      <c r="O786" s="34" t="n">
        <v>0.00037468</v>
      </c>
      <c r="P786" s="34">
        <f>IF($J786=1,LN(1+O786),"")</f>
        <v/>
      </c>
      <c r="Q786" s="34">
        <f>IF($J786=1,LN(R787/R786),"")</f>
        <v/>
      </c>
      <c r="R786" s="32" t="n">
        <v>1.9385</v>
      </c>
      <c r="S786" s="35" t="n">
        <v>9.683999999999999</v>
      </c>
      <c r="T786" s="18" t="n"/>
      <c r="U786" s="18" t="n"/>
      <c r="V786" s="18" t="n">
        <v>53157</v>
      </c>
      <c r="W786" s="18" t="n"/>
      <c r="X786" s="35" t="n"/>
      <c r="Y786" s="35" t="n">
        <v>9.683999999999999</v>
      </c>
    </row>
    <row r="787">
      <c r="A787" s="25" t="n">
        <v>39974</v>
      </c>
      <c r="B787" s="18" t="n">
        <v>53411</v>
      </c>
      <c r="C787" s="31" t="n"/>
      <c r="D787" s="32" t="n"/>
      <c r="E787" s="33" t="n">
        <v>-1.4088</v>
      </c>
      <c r="F787" t="inlineStr">
        <is>
          <t>Down</t>
        </is>
      </c>
      <c r="G787" t="inlineStr">
        <is>
          <t>Down</t>
        </is>
      </c>
      <c r="H787" t="inlineStr">
        <is>
          <t>ED_JD</t>
        </is>
      </c>
      <c r="I787" t="inlineStr">
        <is>
          <t>2009-06</t>
        </is>
      </c>
      <c r="J787" t="n">
        <v>1</v>
      </c>
      <c r="K787" t="n">
        <v>1</v>
      </c>
      <c r="L787" s="34">
        <f>IF($J787=1,LN(B788/B787),"")</f>
        <v/>
      </c>
      <c r="M787" s="34">
        <f>IF($K787=1,INDEX(Mensal!$D$2:$D$245,MATCH($I787,Mensal!$A$2:$A$245,0)),"")</f>
        <v/>
      </c>
      <c r="N787" s="34">
        <f>IF($K787=1,L787-M787,"")</f>
        <v/>
      </c>
      <c r="O787" s="34" t="n">
        <v>0.00037612</v>
      </c>
      <c r="P787" s="34">
        <f>IF($J787=1,LN(1+O787),"")</f>
        <v/>
      </c>
      <c r="Q787" s="34">
        <f>IF($J787=1,LN(R788/R787),"")</f>
        <v/>
      </c>
      <c r="R787" s="32" t="n">
        <v>1.9474</v>
      </c>
      <c r="S787" s="35" t="n">
        <v>9.670999999999999</v>
      </c>
      <c r="T787" s="18" t="n"/>
      <c r="U787" s="18" t="n"/>
      <c r="V787" s="18" t="n">
        <v>53411</v>
      </c>
      <c r="W787" s="18" t="n"/>
      <c r="X787" s="35" t="n"/>
      <c r="Y787" s="35" t="n">
        <v>9.670999999999999</v>
      </c>
    </row>
    <row r="788">
      <c r="A788" s="25" t="n">
        <v>39976</v>
      </c>
      <c r="B788" s="18" t="n">
        <v>53558</v>
      </c>
      <c r="C788" s="31" t="n"/>
      <c r="D788" s="32" t="n"/>
      <c r="E788" s="33" t="n">
        <v>-1.3424</v>
      </c>
      <c r="F788" t="inlineStr">
        <is>
          <t>Down</t>
        </is>
      </c>
      <c r="G788" t="inlineStr">
        <is>
          <t>Down</t>
        </is>
      </c>
      <c r="H788" t="inlineStr">
        <is>
          <t>ED_JD</t>
        </is>
      </c>
      <c r="I788" t="inlineStr">
        <is>
          <t>2009-06</t>
        </is>
      </c>
      <c r="J788" t="n">
        <v>1</v>
      </c>
      <c r="K788" t="n">
        <v>1</v>
      </c>
      <c r="L788" s="34">
        <f>IF($J788=1,LN(B789/B788),"")</f>
        <v/>
      </c>
      <c r="M788" s="34">
        <f>IF($K788=1,INDEX(Mensal!$D$2:$D$245,MATCH($I788,Mensal!$A$2:$A$245,0)),"")</f>
        <v/>
      </c>
      <c r="N788" s="34">
        <f>IF($K788=1,L788-M788,"")</f>
        <v/>
      </c>
      <c r="O788" s="34" t="n">
        <v>0.00034604</v>
      </c>
      <c r="P788" s="34">
        <f>IF($J788=1,LN(1+O788),"")</f>
        <v/>
      </c>
      <c r="Q788" s="34">
        <f>IF($J788=1,LN(R789/R788),"")</f>
        <v/>
      </c>
      <c r="R788" s="32" t="n">
        <v>1.9301</v>
      </c>
      <c r="S788" s="35" t="n">
        <v>9.359999999999999</v>
      </c>
      <c r="T788" s="18" t="n"/>
      <c r="U788" s="18" t="n"/>
      <c r="V788" s="18" t="n">
        <v>53558</v>
      </c>
      <c r="W788" s="18" t="n"/>
      <c r="X788" s="35" t="n"/>
      <c r="Y788" s="35" t="n">
        <v>9.359999999999999</v>
      </c>
    </row>
    <row r="789">
      <c r="A789" s="25" t="n">
        <v>39979</v>
      </c>
      <c r="B789" s="18" t="n">
        <v>52034</v>
      </c>
      <c r="C789" s="31" t="n"/>
      <c r="D789" s="32" t="n"/>
      <c r="E789" s="33" t="n">
        <v>-1.2682</v>
      </c>
      <c r="F789" t="inlineStr">
        <is>
          <t>Down</t>
        </is>
      </c>
      <c r="G789" t="inlineStr">
        <is>
          <t>Down</t>
        </is>
      </c>
      <c r="H789" t="inlineStr">
        <is>
          <t>ED_JD</t>
        </is>
      </c>
      <c r="I789" t="inlineStr">
        <is>
          <t>2009-06</t>
        </is>
      </c>
      <c r="J789" t="n">
        <v>1</v>
      </c>
      <c r="K789" t="n">
        <v>1</v>
      </c>
      <c r="L789" s="34">
        <f>IF($J789=1,LN(B790/B789),"")</f>
        <v/>
      </c>
      <c r="M789" s="34">
        <f>IF($K789=1,INDEX(Mensal!$D$2:$D$245,MATCH($I789,Mensal!$A$2:$A$245,0)),"")</f>
        <v/>
      </c>
      <c r="N789" s="34">
        <f>IF($K789=1,L789-M789,"")</f>
        <v/>
      </c>
      <c r="O789" s="34" t="n">
        <v>0.0003424</v>
      </c>
      <c r="P789" s="34">
        <f>IF($J789=1,LN(1+O789),"")</f>
        <v/>
      </c>
      <c r="Q789" s="34">
        <f>IF($J789=1,LN(R790/R789),"")</f>
        <v/>
      </c>
      <c r="R789" s="32" t="n">
        <v>1.9458</v>
      </c>
      <c r="S789" s="35" t="n">
        <v>9.327</v>
      </c>
      <c r="T789" s="18" t="n"/>
      <c r="U789" s="18" t="n"/>
      <c r="V789" s="18" t="n">
        <v>52034</v>
      </c>
      <c r="W789" s="18" t="n"/>
      <c r="X789" s="35" t="n"/>
      <c r="Y789" s="35" t="n">
        <v>9.327</v>
      </c>
    </row>
    <row r="790">
      <c r="A790" s="25" t="n">
        <v>39980</v>
      </c>
      <c r="B790" s="18" t="n">
        <v>51206</v>
      </c>
      <c r="C790" s="31" t="n"/>
      <c r="D790" s="32" t="n"/>
      <c r="E790" s="33" t="n">
        <v>-1.1851</v>
      </c>
      <c r="F790" t="inlineStr">
        <is>
          <t>Down</t>
        </is>
      </c>
      <c r="G790" t="inlineStr">
        <is>
          <t>Down</t>
        </is>
      </c>
      <c r="H790" t="inlineStr">
        <is>
          <t>ED_JD</t>
        </is>
      </c>
      <c r="I790" t="inlineStr">
        <is>
          <t>2009-06</t>
        </is>
      </c>
      <c r="J790" t="n">
        <v>1</v>
      </c>
      <c r="K790" t="n">
        <v>1</v>
      </c>
      <c r="L790" s="34">
        <f>IF($J790=1,LN(B791/B790),"")</f>
        <v/>
      </c>
      <c r="M790" s="34">
        <f>IF($K790=1,INDEX(Mensal!$D$2:$D$245,MATCH($I790,Mensal!$A$2:$A$245,0)),"")</f>
        <v/>
      </c>
      <c r="N790" s="34">
        <f>IF($K790=1,L790-M790,"")</f>
        <v/>
      </c>
      <c r="O790" s="34" t="n">
        <v>0.00034167</v>
      </c>
      <c r="P790" s="34">
        <f>IF($J790=1,LN(1+O790),"")</f>
        <v/>
      </c>
      <c r="Q790" s="34">
        <f>IF($J790=1,LN(R791/R790),"")</f>
        <v/>
      </c>
      <c r="R790" s="32" t="n">
        <v>1.9461</v>
      </c>
      <c r="S790" s="35" t="n">
        <v>9.25</v>
      </c>
      <c r="T790" s="18" t="n"/>
      <c r="U790" s="18" t="n"/>
      <c r="V790" s="18" t="n">
        <v>51206</v>
      </c>
      <c r="W790" s="18" t="n"/>
      <c r="X790" s="35" t="n"/>
      <c r="Y790" s="35" t="n">
        <v>9.25</v>
      </c>
    </row>
    <row r="791">
      <c r="A791" s="25" t="n">
        <v>39981</v>
      </c>
      <c r="B791" s="18" t="n">
        <v>51046</v>
      </c>
      <c r="C791" s="31" t="n"/>
      <c r="D791" s="32" t="n"/>
      <c r="E791" s="33" t="n">
        <v>-1.1371</v>
      </c>
      <c r="F791" t="inlineStr">
        <is>
          <t>Down</t>
        </is>
      </c>
      <c r="G791" t="inlineStr">
        <is>
          <t>Down</t>
        </is>
      </c>
      <c r="H791" t="inlineStr">
        <is>
          <t>ED_JD</t>
        </is>
      </c>
      <c r="I791" t="inlineStr">
        <is>
          <t>2009-06</t>
        </is>
      </c>
      <c r="J791" t="n">
        <v>1</v>
      </c>
      <c r="K791" t="n">
        <v>1</v>
      </c>
      <c r="L791" s="34">
        <f>IF($J791=1,LN(B792/B791),"")</f>
        <v/>
      </c>
      <c r="M791" s="34">
        <f>IF($K791=1,INDEX(Mensal!$D$2:$D$245,MATCH($I791,Mensal!$A$2:$A$245,0)),"")</f>
        <v/>
      </c>
      <c r="N791" s="34">
        <f>IF($K791=1,L791-M791,"")</f>
        <v/>
      </c>
      <c r="O791" s="34" t="n">
        <v>0.00034167</v>
      </c>
      <c r="P791" s="34">
        <f>IF($J791=1,LN(1+O791),"")</f>
        <v/>
      </c>
      <c r="Q791" s="34">
        <f>IF($J791=1,LN(R792/R791),"")</f>
        <v/>
      </c>
      <c r="R791" s="32" t="n">
        <v>1.9784</v>
      </c>
      <c r="S791" s="35" t="n">
        <v>9.210000000000001</v>
      </c>
      <c r="T791" s="18" t="n"/>
      <c r="U791" s="18" t="n"/>
      <c r="V791" s="18" t="n">
        <v>51046</v>
      </c>
      <c r="W791" s="18" t="n"/>
      <c r="X791" s="35" t="n"/>
      <c r="Y791" s="35" t="n">
        <v>9.210000000000001</v>
      </c>
    </row>
    <row r="792">
      <c r="A792" s="25" t="n">
        <v>39982</v>
      </c>
      <c r="B792" s="18" t="n">
        <v>50903</v>
      </c>
      <c r="C792" s="31" t="n"/>
      <c r="D792" s="32" t="n"/>
      <c r="E792" s="33" t="n">
        <v>-1.0925</v>
      </c>
      <c r="F792" t="inlineStr">
        <is>
          <t>Down</t>
        </is>
      </c>
      <c r="G792" t="inlineStr">
        <is>
          <t>Down</t>
        </is>
      </c>
      <c r="H792" t="inlineStr">
        <is>
          <t>ED_JD</t>
        </is>
      </c>
      <c r="I792" t="inlineStr">
        <is>
          <t>2009-06</t>
        </is>
      </c>
      <c r="J792" t="n">
        <v>1</v>
      </c>
      <c r="K792" t="n">
        <v>1</v>
      </c>
      <c r="L792" s="34">
        <f>IF($J792=1,LN(B793/B792),"")</f>
        <v/>
      </c>
      <c r="M792" s="34">
        <f>IF($K792=1,INDEX(Mensal!$D$2:$D$245,MATCH($I792,Mensal!$A$2:$A$245,0)),"")</f>
        <v/>
      </c>
      <c r="N792" s="34">
        <f>IF($K792=1,L792-M792,"")</f>
        <v/>
      </c>
      <c r="O792" s="34" t="n">
        <v>0.0003420299999999999</v>
      </c>
      <c r="P792" s="34">
        <f>IF($J792=1,LN(1+O792),"")</f>
        <v/>
      </c>
      <c r="Q792" s="34">
        <f>IF($J792=1,LN(R793/R792),"")</f>
        <v/>
      </c>
      <c r="R792" s="32" t="n">
        <v>1.9709</v>
      </c>
      <c r="S792" s="35" t="n">
        <v>9.260999999999999</v>
      </c>
      <c r="T792" s="18" t="n"/>
      <c r="U792" s="18" t="n"/>
      <c r="V792" s="18" t="n">
        <v>50903</v>
      </c>
      <c r="W792" s="18" t="n"/>
      <c r="X792" s="35" t="n"/>
      <c r="Y792" s="35" t="n">
        <v>9.260999999999999</v>
      </c>
    </row>
    <row r="793">
      <c r="A793" s="25" t="n">
        <v>39983</v>
      </c>
      <c r="B793" s="18" t="n">
        <v>51373</v>
      </c>
      <c r="C793" s="31" t="n"/>
      <c r="D793" s="32" t="n"/>
      <c r="E793" s="33" t="n">
        <v>-1.029</v>
      </c>
      <c r="F793" t="inlineStr">
        <is>
          <t>Down</t>
        </is>
      </c>
      <c r="G793" t="inlineStr">
        <is>
          <t>Down</t>
        </is>
      </c>
      <c r="H793" t="inlineStr">
        <is>
          <t>ED_JD</t>
        </is>
      </c>
      <c r="I793" t="inlineStr">
        <is>
          <t>2009-06</t>
        </is>
      </c>
      <c r="J793" t="n">
        <v>1</v>
      </c>
      <c r="K793" t="n">
        <v>1</v>
      </c>
      <c r="L793" s="34">
        <f>IF($J793=1,LN(B794/B793),"")</f>
        <v/>
      </c>
      <c r="M793" s="34">
        <f>IF($K793=1,INDEX(Mensal!$D$2:$D$245,MATCH($I793,Mensal!$A$2:$A$245,0)),"")</f>
        <v/>
      </c>
      <c r="N793" s="34">
        <f>IF($K793=1,L793-M793,"")</f>
        <v/>
      </c>
      <c r="O793" s="34" t="n">
        <v>0.0003424</v>
      </c>
      <c r="P793" s="34">
        <f>IF($J793=1,LN(1+O793),"")</f>
        <v/>
      </c>
      <c r="Q793" s="34">
        <f>IF($J793=1,LN(R794/R793),"")</f>
        <v/>
      </c>
      <c r="R793" s="32" t="n">
        <v>1.9592</v>
      </c>
      <c r="S793" s="35" t="n">
        <v>9.298</v>
      </c>
      <c r="T793" s="18" t="n"/>
      <c r="U793" s="18" t="n"/>
      <c r="V793" s="18" t="n">
        <v>51373</v>
      </c>
      <c r="W793" s="18" t="n"/>
      <c r="X793" s="35" t="n"/>
      <c r="Y793" s="35" t="n">
        <v>9.298</v>
      </c>
    </row>
    <row r="794">
      <c r="A794" s="25" t="n">
        <v>39986</v>
      </c>
      <c r="B794" s="18" t="n">
        <v>49495</v>
      </c>
      <c r="C794" s="31" t="n"/>
      <c r="D794" s="32" t="n"/>
      <c r="E794" s="33" t="n">
        <v>-0.9677</v>
      </c>
      <c r="F794" t="inlineStr">
        <is>
          <t>Down</t>
        </is>
      </c>
      <c r="G794" t="inlineStr">
        <is>
          <t>Down</t>
        </is>
      </c>
      <c r="H794" t="inlineStr">
        <is>
          <t>ED_JD</t>
        </is>
      </c>
      <c r="I794" t="inlineStr">
        <is>
          <t>2009-06</t>
        </is>
      </c>
      <c r="J794" t="n">
        <v>1</v>
      </c>
      <c r="K794" t="n">
        <v>1</v>
      </c>
      <c r="L794" s="34">
        <f>IF($J794=1,LN(B795/B794),"")</f>
        <v/>
      </c>
      <c r="M794" s="34">
        <f>IF($K794=1,INDEX(Mensal!$D$2:$D$245,MATCH($I794,Mensal!$A$2:$A$245,0)),"")</f>
        <v/>
      </c>
      <c r="N794" s="34">
        <f>IF($K794=1,L794-M794,"")</f>
        <v/>
      </c>
      <c r="O794" s="34" t="n">
        <v>0.00034131</v>
      </c>
      <c r="P794" s="34">
        <f>IF($J794=1,LN(1+O794),"")</f>
        <v/>
      </c>
      <c r="Q794" s="34">
        <f>IF($J794=1,LN(R795/R794),"")</f>
        <v/>
      </c>
      <c r="R794" s="32" t="n">
        <v>2.0074</v>
      </c>
      <c r="S794" s="35" t="n">
        <v>9.308999999999999</v>
      </c>
      <c r="T794" s="18" t="n"/>
      <c r="U794" s="18" t="n"/>
      <c r="V794" s="18" t="n">
        <v>49495</v>
      </c>
      <c r="W794" s="18" t="n"/>
      <c r="X794" s="35" t="n"/>
      <c r="Y794" s="35" t="n">
        <v>9.308999999999999</v>
      </c>
    </row>
    <row r="795">
      <c r="A795" s="25" t="n">
        <v>39987</v>
      </c>
      <c r="B795" s="18" t="n">
        <v>49814</v>
      </c>
      <c r="C795" s="31" t="n"/>
      <c r="D795" s="32" t="n"/>
      <c r="E795" s="33" t="n">
        <v>-0.8923</v>
      </c>
      <c r="F795" t="inlineStr">
        <is>
          <t>Down</t>
        </is>
      </c>
      <c r="G795" t="inlineStr">
        <is>
          <t>Down</t>
        </is>
      </c>
      <c r="H795" t="inlineStr">
        <is>
          <t>ED_JD</t>
        </is>
      </c>
      <c r="I795" t="inlineStr">
        <is>
          <t>2009-06</t>
        </is>
      </c>
      <c r="J795" t="n">
        <v>1</v>
      </c>
      <c r="K795" t="n">
        <v>1</v>
      </c>
      <c r="L795" s="34">
        <f>IF($J795=1,LN(B796/B795),"")</f>
        <v/>
      </c>
      <c r="M795" s="34">
        <f>IF($K795=1,INDEX(Mensal!$D$2:$D$245,MATCH($I795,Mensal!$A$2:$A$245,0)),"")</f>
        <v/>
      </c>
      <c r="N795" s="34">
        <f>IF($K795=1,L795-M795,"")</f>
        <v/>
      </c>
      <c r="O795" s="34" t="n">
        <v>0.00034131</v>
      </c>
      <c r="P795" s="34">
        <f>IF($J795=1,LN(1+O795),"")</f>
        <v/>
      </c>
      <c r="Q795" s="34">
        <f>IF($J795=1,LN(R796/R795),"")</f>
        <v/>
      </c>
      <c r="R795" s="32" t="n">
        <v>2.0019</v>
      </c>
      <c r="S795" s="35" t="n">
        <v>9.217000000000001</v>
      </c>
      <c r="T795" s="18" t="n"/>
      <c r="U795" s="18" t="n"/>
      <c r="V795" s="18" t="n">
        <v>49814</v>
      </c>
      <c r="W795" s="18" t="n"/>
      <c r="X795" s="35" t="n"/>
      <c r="Y795" s="35" t="n">
        <v>9.217000000000001</v>
      </c>
    </row>
    <row r="796">
      <c r="A796" s="25" t="n">
        <v>39988</v>
      </c>
      <c r="B796" s="18" t="n">
        <v>49672</v>
      </c>
      <c r="C796" s="31" t="n"/>
      <c r="D796" s="32" t="n"/>
      <c r="E796" s="33" t="n">
        <v>-0.8141</v>
      </c>
      <c r="F796" t="inlineStr">
        <is>
          <t>Down</t>
        </is>
      </c>
      <c r="G796" t="inlineStr">
        <is>
          <t>Down</t>
        </is>
      </c>
      <c r="H796" t="inlineStr">
        <is>
          <t>ED_JD</t>
        </is>
      </c>
      <c r="I796" t="inlineStr">
        <is>
          <t>2009-06</t>
        </is>
      </c>
      <c r="J796" t="n">
        <v>1</v>
      </c>
      <c r="K796" t="n">
        <v>1</v>
      </c>
      <c r="L796" s="34">
        <f>IF($J796=1,LN(B797/B796),"")</f>
        <v/>
      </c>
      <c r="M796" s="34">
        <f>IF($K796=1,INDEX(Mensal!$D$2:$D$245,MATCH($I796,Mensal!$A$2:$A$245,0)),"")</f>
        <v/>
      </c>
      <c r="N796" s="34">
        <f>IF($K796=1,L796-M796,"")</f>
        <v/>
      </c>
      <c r="O796" s="34" t="n">
        <v>0.00034094</v>
      </c>
      <c r="P796" s="34">
        <f>IF($J796=1,LN(1+O796),"")</f>
        <v/>
      </c>
      <c r="Q796" s="34">
        <f>IF($J796=1,LN(R797/R796),"")</f>
        <v/>
      </c>
      <c r="R796" s="32" t="n">
        <v>1.9724</v>
      </c>
      <c r="S796" s="35" t="n">
        <v>9.182</v>
      </c>
      <c r="T796" s="18" t="n"/>
      <c r="U796" s="18" t="n"/>
      <c r="V796" s="18" t="n">
        <v>49672</v>
      </c>
      <c r="W796" s="18" t="n"/>
      <c r="X796" s="35" t="n"/>
      <c r="Y796" s="35" t="n">
        <v>9.182</v>
      </c>
    </row>
    <row r="797">
      <c r="A797" s="25" t="n">
        <v>39989</v>
      </c>
      <c r="B797" s="18" t="n">
        <v>51515</v>
      </c>
      <c r="C797" s="31" t="n"/>
      <c r="D797" s="32" t="n"/>
      <c r="E797" s="33" t="n">
        <v>-0.7352</v>
      </c>
      <c r="F797" t="inlineStr">
        <is>
          <t>Down</t>
        </is>
      </c>
      <c r="G797" t="inlineStr">
        <is>
          <t>Down</t>
        </is>
      </c>
      <c r="H797" t="inlineStr">
        <is>
          <t>ED_JD</t>
        </is>
      </c>
      <c r="I797" t="inlineStr">
        <is>
          <t>2009-06</t>
        </is>
      </c>
      <c r="J797" t="n">
        <v>1</v>
      </c>
      <c r="K797" t="n">
        <v>1</v>
      </c>
      <c r="L797" s="34">
        <f>IF($J797=1,LN(B798/B797),"")</f>
        <v/>
      </c>
      <c r="M797" s="34">
        <f>IF($K797=1,INDEX(Mensal!$D$2:$D$245,MATCH($I797,Mensal!$A$2:$A$245,0)),"")</f>
        <v/>
      </c>
      <c r="N797" s="34">
        <f>IF($K797=1,L797-M797,"")</f>
        <v/>
      </c>
      <c r="O797" s="34" t="n">
        <v>0.00034167</v>
      </c>
      <c r="P797" s="34">
        <f>IF($J797=1,LN(1+O797),"")</f>
        <v/>
      </c>
      <c r="Q797" s="34">
        <f>IF($J797=1,LN(R798/R797),"")</f>
        <v/>
      </c>
      <c r="R797" s="32" t="n">
        <v>1.9562</v>
      </c>
      <c r="S797" s="35" t="n">
        <v>9.199999999999999</v>
      </c>
      <c r="T797" s="18" t="n"/>
      <c r="U797" s="18" t="n"/>
      <c r="V797" s="18" t="n">
        <v>51515</v>
      </c>
      <c r="W797" s="18" t="n"/>
      <c r="X797" s="35" t="n"/>
      <c r="Y797" s="35" t="n">
        <v>9.199999999999999</v>
      </c>
    </row>
    <row r="798">
      <c r="A798" s="25" t="n">
        <v>39990</v>
      </c>
      <c r="B798" s="18" t="n">
        <v>51485</v>
      </c>
      <c r="C798" s="31" t="n"/>
      <c r="D798" s="32" t="n"/>
      <c r="E798" s="33" t="n">
        <v>-0.6603</v>
      </c>
      <c r="F798" t="inlineStr">
        <is>
          <t>Down</t>
        </is>
      </c>
      <c r="G798" t="inlineStr">
        <is>
          <t>Down</t>
        </is>
      </c>
      <c r="H798" t="inlineStr">
        <is>
          <t>ED_JD</t>
        </is>
      </c>
      <c r="I798" t="inlineStr">
        <is>
          <t>2009-06</t>
        </is>
      </c>
      <c r="J798" t="n">
        <v>1</v>
      </c>
      <c r="K798" t="n">
        <v>1</v>
      </c>
      <c r="L798" s="34">
        <f>IF($J798=1,LN(B799/B798),"")</f>
        <v/>
      </c>
      <c r="M798" s="34">
        <f>IF($K798=1,INDEX(Mensal!$D$2:$D$245,MATCH($I798,Mensal!$A$2:$A$245,0)),"")</f>
        <v/>
      </c>
      <c r="N798" s="34">
        <f>IF($K798=1,L798-M798,"")</f>
        <v/>
      </c>
      <c r="O798" s="34" t="n">
        <v>0.0003464</v>
      </c>
      <c r="P798" s="34">
        <f>IF($J798=1,LN(1+O798),"")</f>
        <v/>
      </c>
      <c r="Q798" s="34">
        <f>IF($J798=1,LN(R799/R798),"")</f>
        <v/>
      </c>
      <c r="R798" s="32" t="n">
        <v>1.9396</v>
      </c>
      <c r="S798" s="35" t="n">
        <v>9.163</v>
      </c>
      <c r="T798" s="18" t="n"/>
      <c r="U798" s="18" t="n"/>
      <c r="V798" s="18" t="n">
        <v>51485</v>
      </c>
      <c r="W798" s="18" t="n"/>
      <c r="X798" s="35" t="n"/>
      <c r="Y798" s="35" t="n">
        <v>9.163</v>
      </c>
    </row>
    <row r="799">
      <c r="A799" s="25" t="n">
        <v>39993</v>
      </c>
      <c r="B799" s="18" t="n">
        <v>52138</v>
      </c>
      <c r="C799" s="31" t="n"/>
      <c r="D799" s="32" t="n"/>
      <c r="E799" s="33" t="n">
        <v>-0.5873</v>
      </c>
      <c r="F799" t="inlineStr">
        <is>
          <t>Down</t>
        </is>
      </c>
      <c r="G799" t="inlineStr">
        <is>
          <t>Down</t>
        </is>
      </c>
      <c r="H799" t="inlineStr">
        <is>
          <t>ED_JD</t>
        </is>
      </c>
      <c r="I799" t="inlineStr">
        <is>
          <t>2009-06</t>
        </is>
      </c>
      <c r="J799" t="n">
        <v>1</v>
      </c>
      <c r="K799" t="n">
        <v>1</v>
      </c>
      <c r="L799" s="34">
        <f>IF($J799=1,LN(B800/B799),"")</f>
        <v/>
      </c>
      <c r="M799" s="34">
        <f>IF($K799=1,INDEX(Mensal!$D$2:$D$245,MATCH($I799,Mensal!$A$2:$A$245,0)),"")</f>
        <v/>
      </c>
      <c r="N799" s="34">
        <f>IF($K799=1,L799-M799,"")</f>
        <v/>
      </c>
      <c r="O799" s="34" t="n">
        <v>0.00034604</v>
      </c>
      <c r="P799" s="34">
        <f>IF($J799=1,LN(1+O799),"")</f>
        <v/>
      </c>
      <c r="Q799" s="34">
        <f>IF($J799=1,LN(R800/R799),"")</f>
        <v/>
      </c>
      <c r="R799" s="32" t="n">
        <v>1.9487</v>
      </c>
      <c r="S799" s="35" t="n">
        <v>9.231</v>
      </c>
      <c r="T799" s="18" t="n"/>
      <c r="U799" s="18" t="n"/>
      <c r="V799" s="18" t="n">
        <v>52138</v>
      </c>
      <c r="W799" s="18" t="n"/>
      <c r="X799" s="35" t="n"/>
      <c r="Y799" s="35" t="n">
        <v>9.231</v>
      </c>
    </row>
    <row r="800">
      <c r="A800" s="25" t="n">
        <v>39994</v>
      </c>
      <c r="B800" s="18" t="n">
        <v>51466</v>
      </c>
      <c r="C800" s="31" t="n"/>
      <c r="D800" s="32" t="n"/>
      <c r="E800" s="33" t="n">
        <v>-0.5114</v>
      </c>
      <c r="F800" t="inlineStr">
        <is>
          <t>Down</t>
        </is>
      </c>
      <c r="G800" t="inlineStr">
        <is>
          <t>Down</t>
        </is>
      </c>
      <c r="H800" t="inlineStr">
        <is>
          <t>ED_JD</t>
        </is>
      </c>
      <c r="I800" t="inlineStr">
        <is>
          <t>2009-06</t>
        </is>
      </c>
      <c r="J800" t="n">
        <v>1</v>
      </c>
      <c r="K800" t="n">
        <v>1</v>
      </c>
      <c r="L800" s="34">
        <f>IF($J800=1,LN(B801/B800),"")</f>
        <v/>
      </c>
      <c r="M800" s="34">
        <f>IF($K800=1,INDEX(Mensal!$D$2:$D$245,MATCH($I800,Mensal!$A$2:$A$245,0)),"")</f>
        <v/>
      </c>
      <c r="N800" s="34">
        <f>IF($K800=1,L800-M800,"")</f>
        <v/>
      </c>
      <c r="O800" s="34" t="n">
        <v>0.00034058</v>
      </c>
      <c r="P800" s="34">
        <f>IF($J800=1,LN(1+O800),"")</f>
        <v/>
      </c>
      <c r="Q800" s="34">
        <f>IF($J800=1,LN(R801/R800),"")</f>
        <v/>
      </c>
      <c r="R800" s="32" t="n">
        <v>1.9516</v>
      </c>
      <c r="S800" s="35" t="n">
        <v>9.226000000000001</v>
      </c>
      <c r="T800" s="18" t="n"/>
      <c r="U800" s="18" t="n"/>
      <c r="V800" s="18" t="n">
        <v>51466</v>
      </c>
      <c r="W800" s="18" t="n"/>
      <c r="X800" s="35" t="n"/>
      <c r="Y800" s="35" t="n">
        <v>9.226000000000001</v>
      </c>
    </row>
    <row r="801">
      <c r="A801" s="25" t="n">
        <v>39995</v>
      </c>
      <c r="B801" s="18" t="n">
        <v>51544</v>
      </c>
      <c r="C801" s="31" t="n"/>
      <c r="D801" s="32" t="n"/>
      <c r="E801" s="33" t="n">
        <v>-0.4405</v>
      </c>
      <c r="F801" t="inlineStr">
        <is>
          <t>Down</t>
        </is>
      </c>
      <c r="G801" t="inlineStr">
        <is>
          <t>Down</t>
        </is>
      </c>
      <c r="H801" t="inlineStr">
        <is>
          <t>ED_JD</t>
        </is>
      </c>
      <c r="I801" t="inlineStr">
        <is>
          <t>2009-07</t>
        </is>
      </c>
      <c r="J801" t="n">
        <v>1</v>
      </c>
      <c r="K801" t="n">
        <v>1</v>
      </c>
      <c r="L801" s="34">
        <f>IF($J801=1,LN(B802/B801),"")</f>
        <v/>
      </c>
      <c r="M801" s="34">
        <f>IF($K801=1,INDEX(Mensal!$D$2:$D$245,MATCH($I801,Mensal!$A$2:$A$245,0)),"")</f>
        <v/>
      </c>
      <c r="N801" s="34">
        <f>IF($K801=1,L801-M801,"")</f>
        <v/>
      </c>
      <c r="O801" s="34" t="n">
        <v>0.00034495</v>
      </c>
      <c r="P801" s="34">
        <f>IF($J801=1,LN(1+O801),"")</f>
        <v/>
      </c>
      <c r="Q801" s="34">
        <f>IF($J801=1,LN(R802/R801),"")</f>
        <v/>
      </c>
      <c r="R801" s="32" t="n">
        <v>1.9342</v>
      </c>
      <c r="S801" s="35" t="n">
        <v>9.220000000000001</v>
      </c>
      <c r="T801" s="18" t="n"/>
      <c r="U801" s="18" t="n"/>
      <c r="V801" s="18" t="n">
        <v>51544</v>
      </c>
      <c r="W801" s="18" t="n"/>
      <c r="X801" s="35" t="n"/>
      <c r="Y801" s="35" t="n">
        <v>9.220000000000001</v>
      </c>
    </row>
    <row r="802">
      <c r="A802" s="25" t="n">
        <v>39996</v>
      </c>
      <c r="B802" s="18" t="n">
        <v>51025</v>
      </c>
      <c r="C802" s="31" t="n"/>
      <c r="D802" s="32" t="n"/>
      <c r="E802" s="33" t="n">
        <v>-0.4045</v>
      </c>
      <c r="F802" t="inlineStr">
        <is>
          <t>Down</t>
        </is>
      </c>
      <c r="G802" t="inlineStr">
        <is>
          <t>Down</t>
        </is>
      </c>
      <c r="H802" t="inlineStr">
        <is>
          <t>ED_JD</t>
        </is>
      </c>
      <c r="I802" t="inlineStr">
        <is>
          <t>2009-07</t>
        </is>
      </c>
      <c r="J802" t="n">
        <v>1</v>
      </c>
      <c r="K802" t="n">
        <v>1</v>
      </c>
      <c r="L802" s="34">
        <f>IF($J802=1,LN(B803/B802),"")</f>
        <v/>
      </c>
      <c r="M802" s="34">
        <f>IF($K802=1,INDEX(Mensal!$D$2:$D$245,MATCH($I802,Mensal!$A$2:$A$245,0)),"")</f>
        <v/>
      </c>
      <c r="N802" s="34">
        <f>IF($K802=1,L802-M802,"")</f>
        <v/>
      </c>
      <c r="O802" s="34" t="n">
        <v>0.00034567</v>
      </c>
      <c r="P802" s="34">
        <f>IF($J802=1,LN(1+O802),"")</f>
        <v/>
      </c>
      <c r="Q802" s="34">
        <f>IF($J802=1,LN(R803/R802),"")</f>
        <v/>
      </c>
      <c r="R802" s="32" t="n">
        <v>1.9469</v>
      </c>
      <c r="S802" s="35" t="n">
        <v>9.161</v>
      </c>
      <c r="T802" s="18" t="n"/>
      <c r="U802" s="18" t="n"/>
      <c r="V802" s="18" t="n">
        <v>51025</v>
      </c>
      <c r="W802" s="18" t="n"/>
      <c r="X802" s="35" t="n"/>
      <c r="Y802" s="35" t="n">
        <v>9.161</v>
      </c>
    </row>
    <row r="803">
      <c r="A803" s="25" t="n">
        <v>39997</v>
      </c>
      <c r="B803" s="18" t="n">
        <v>50935</v>
      </c>
      <c r="C803" s="31" t="n"/>
      <c r="D803" s="32" t="n"/>
      <c r="E803" s="33" t="n">
        <v>-0.3795</v>
      </c>
      <c r="F803" t="inlineStr">
        <is>
          <t>Down</t>
        </is>
      </c>
      <c r="G803" t="inlineStr">
        <is>
          <t>Down</t>
        </is>
      </c>
      <c r="H803" t="inlineStr">
        <is>
          <t>ED_JD</t>
        </is>
      </c>
      <c r="I803" t="inlineStr">
        <is>
          <t>2009-07</t>
        </is>
      </c>
      <c r="J803" t="n">
        <v>1</v>
      </c>
      <c r="K803" t="n">
        <v>1</v>
      </c>
      <c r="L803" s="34">
        <f>IF($J803=1,LN(B804/B803),"")</f>
        <v/>
      </c>
      <c r="M803" s="34">
        <f>IF($K803=1,INDEX(Mensal!$D$2:$D$245,MATCH($I803,Mensal!$A$2:$A$245,0)),"")</f>
        <v/>
      </c>
      <c r="N803" s="34">
        <f>IF($K803=1,L803-M803,"")</f>
        <v/>
      </c>
      <c r="O803" s="34" t="n">
        <v>0.00034604</v>
      </c>
      <c r="P803" s="34">
        <f>IF($J803=1,LN(1+O803),"")</f>
        <v/>
      </c>
      <c r="Q803" s="34">
        <f>IF($J803=1,LN(R804/R803),"")</f>
        <v/>
      </c>
      <c r="R803" s="32" t="n">
        <v>1.9474</v>
      </c>
      <c r="S803" s="35" t="n">
        <v>9.132</v>
      </c>
      <c r="T803" s="18" t="n"/>
      <c r="U803" s="18" t="n"/>
      <c r="V803" s="18" t="n">
        <v>50935</v>
      </c>
      <c r="W803" s="18" t="n"/>
      <c r="X803" s="35" t="n"/>
      <c r="Y803" s="35" t="n">
        <v>9.132</v>
      </c>
    </row>
    <row r="804">
      <c r="A804" s="25" t="n">
        <v>40000</v>
      </c>
      <c r="B804" s="18" t="n">
        <v>50623</v>
      </c>
      <c r="C804" s="31" t="n"/>
      <c r="D804" s="32" t="n"/>
      <c r="E804" s="33" t="n">
        <v>-0.339</v>
      </c>
      <c r="F804" t="inlineStr">
        <is>
          <t>Down</t>
        </is>
      </c>
      <c r="G804" t="inlineStr">
        <is>
          <t>Down</t>
        </is>
      </c>
      <c r="H804" t="inlineStr">
        <is>
          <t>ED_JD</t>
        </is>
      </c>
      <c r="I804" t="inlineStr">
        <is>
          <t>2009-07</t>
        </is>
      </c>
      <c r="J804" t="n">
        <v>1</v>
      </c>
      <c r="K804" t="n">
        <v>1</v>
      </c>
      <c r="L804" s="34">
        <f>IF($J804=1,LN(B805/B804),"")</f>
        <v/>
      </c>
      <c r="M804" s="34">
        <f>IF($K804=1,INDEX(Mensal!$D$2:$D$245,MATCH($I804,Mensal!$A$2:$A$245,0)),"")</f>
        <v/>
      </c>
      <c r="N804" s="34">
        <f>IF($K804=1,L804-M804,"")</f>
        <v/>
      </c>
      <c r="O804" s="34" t="n">
        <v>0.0003464</v>
      </c>
      <c r="P804" s="34">
        <f>IF($J804=1,LN(1+O804),"")</f>
        <v/>
      </c>
      <c r="Q804" s="34">
        <f>IF($J804=1,LN(R805/R804),"")</f>
        <v/>
      </c>
      <c r="R804" s="32" t="n">
        <v>1.9711</v>
      </c>
      <c r="S804" s="35" t="n">
        <v>9.09</v>
      </c>
      <c r="T804" s="18" t="n"/>
      <c r="U804" s="18" t="n"/>
      <c r="V804" s="18" t="n">
        <v>50623</v>
      </c>
      <c r="W804" s="18" t="n"/>
      <c r="X804" s="35" t="n"/>
      <c r="Y804" s="35" t="n">
        <v>9.09</v>
      </c>
    </row>
    <row r="805">
      <c r="A805" s="25" t="n">
        <v>40001</v>
      </c>
      <c r="B805" s="18" t="n">
        <v>49457</v>
      </c>
      <c r="C805" s="31" t="n"/>
      <c r="D805" s="32" t="n"/>
      <c r="E805" s="33" t="n">
        <v>-0.2962</v>
      </c>
      <c r="F805" t="inlineStr">
        <is>
          <t>Down</t>
        </is>
      </c>
      <c r="G805" t="inlineStr">
        <is>
          <t>Down</t>
        </is>
      </c>
      <c r="H805" t="inlineStr">
        <is>
          <t>ED_JD</t>
        </is>
      </c>
      <c r="I805" t="inlineStr">
        <is>
          <t>2009-07</t>
        </is>
      </c>
      <c r="J805" t="n">
        <v>1</v>
      </c>
      <c r="K805" t="n">
        <v>1</v>
      </c>
      <c r="L805" s="34">
        <f>IF($J805=1,LN(B806/B805),"")</f>
        <v/>
      </c>
      <c r="M805" s="34">
        <f>IF($K805=1,INDEX(Mensal!$D$2:$D$245,MATCH($I805,Mensal!$A$2:$A$245,0)),"")</f>
        <v/>
      </c>
      <c r="N805" s="34">
        <f>IF($K805=1,L805-M805,"")</f>
        <v/>
      </c>
      <c r="O805" s="34" t="n">
        <v>0.0003464</v>
      </c>
      <c r="P805" s="34">
        <f>IF($J805=1,LN(1+O805),"")</f>
        <v/>
      </c>
      <c r="Q805" s="34">
        <f>IF($J805=1,LN(R806/R805),"")</f>
        <v/>
      </c>
      <c r="R805" s="32" t="n">
        <v>1.9641</v>
      </c>
      <c r="S805" s="35" t="n">
        <v>9.038</v>
      </c>
      <c r="T805" s="18" t="n"/>
      <c r="U805" s="18" t="n"/>
      <c r="V805" s="18" t="n">
        <v>49457</v>
      </c>
      <c r="W805" s="18" t="n"/>
      <c r="X805" s="35" t="n"/>
      <c r="Y805" s="35" t="n">
        <v>9.038</v>
      </c>
    </row>
    <row r="806">
      <c r="A806" s="25" t="n">
        <v>40002</v>
      </c>
      <c r="B806" s="18" t="n">
        <v>49178</v>
      </c>
      <c r="C806" s="31" t="n"/>
      <c r="D806" s="32" t="n"/>
      <c r="E806" s="33" t="n">
        <v>-0.2715</v>
      </c>
      <c r="F806" t="inlineStr">
        <is>
          <t>Down</t>
        </is>
      </c>
      <c r="G806" t="inlineStr">
        <is>
          <t>Down</t>
        </is>
      </c>
      <c r="H806" t="inlineStr">
        <is>
          <t>ED_JD</t>
        </is>
      </c>
      <c r="I806" t="inlineStr">
        <is>
          <t>2009-07</t>
        </is>
      </c>
      <c r="J806" t="n">
        <v>1</v>
      </c>
      <c r="K806" t="n">
        <v>1</v>
      </c>
      <c r="L806" s="34">
        <f>IF($J806=1,LN(B807/B806),"")</f>
        <v/>
      </c>
      <c r="M806" s="34">
        <f>IF($K806=1,INDEX(Mensal!$D$2:$D$245,MATCH($I806,Mensal!$A$2:$A$245,0)),"")</f>
        <v/>
      </c>
      <c r="N806" s="34">
        <f>IF($K806=1,L806-M806,"")</f>
        <v/>
      </c>
      <c r="O806" s="34" t="n">
        <v>0.00034276</v>
      </c>
      <c r="P806" s="34">
        <f>IF($J806=1,LN(1+O806),"")</f>
        <v/>
      </c>
      <c r="Q806" s="34">
        <f>IF($J806=1,LN(R807/R806),"")</f>
        <v/>
      </c>
      <c r="R806" s="32" t="n">
        <v>1.9982</v>
      </c>
      <c r="S806" s="35" t="n">
        <v>9.016</v>
      </c>
      <c r="T806" s="18" t="n"/>
      <c r="U806" s="18" t="n"/>
      <c r="V806" s="18" t="n">
        <v>49178</v>
      </c>
      <c r="W806" s="18" t="n"/>
      <c r="X806" s="35" t="n"/>
      <c r="Y806" s="35" t="n">
        <v>9.016</v>
      </c>
    </row>
    <row r="807">
      <c r="A807" s="25" t="n">
        <v>40004</v>
      </c>
      <c r="B807" s="18" t="n">
        <v>49221</v>
      </c>
      <c r="C807" s="31" t="n"/>
      <c r="D807" s="32" t="n"/>
      <c r="E807" s="33" t="n">
        <v>-0.255</v>
      </c>
      <c r="F807" t="inlineStr">
        <is>
          <t>Down</t>
        </is>
      </c>
      <c r="G807" t="inlineStr">
        <is>
          <t>Down</t>
        </is>
      </c>
      <c r="H807" t="inlineStr">
        <is>
          <t>ED_JD</t>
        </is>
      </c>
      <c r="I807" t="inlineStr">
        <is>
          <t>2009-07</t>
        </is>
      </c>
      <c r="J807" t="n">
        <v>1</v>
      </c>
      <c r="K807" t="n">
        <v>1</v>
      </c>
      <c r="L807" s="34">
        <f>IF($J807=1,LN(B808/B807),"")</f>
        <v/>
      </c>
      <c r="M807" s="34">
        <f>IF($K807=1,INDEX(Mensal!$D$2:$D$245,MATCH($I807,Mensal!$A$2:$A$245,0)),"")</f>
        <v/>
      </c>
      <c r="N807" s="34">
        <f>IF($K807=1,L807-M807,"")</f>
        <v/>
      </c>
      <c r="O807" s="34" t="n">
        <v>0.00034677</v>
      </c>
      <c r="P807" s="34">
        <f>IF($J807=1,LN(1+O807),"")</f>
        <v/>
      </c>
      <c r="Q807" s="34">
        <f>IF($J807=1,LN(R808/R807),"")</f>
        <v/>
      </c>
      <c r="R807" s="32" t="n">
        <v>2.0147</v>
      </c>
      <c r="S807" s="35" t="n">
        <v>8.986000000000001</v>
      </c>
      <c r="T807" s="18" t="n"/>
      <c r="U807" s="18" t="n"/>
      <c r="V807" s="18" t="n">
        <v>49221</v>
      </c>
      <c r="W807" s="18" t="n"/>
      <c r="X807" s="35" t="n"/>
      <c r="Y807" s="35" t="n">
        <v>8.986000000000001</v>
      </c>
    </row>
    <row r="808">
      <c r="A808" s="25" t="n">
        <v>40007</v>
      </c>
      <c r="B808" s="18" t="n">
        <v>49187</v>
      </c>
      <c r="C808" s="31" t="n"/>
      <c r="D808" s="32" t="n"/>
      <c r="E808" s="33" t="n">
        <v>-0.2246</v>
      </c>
      <c r="F808" t="inlineStr">
        <is>
          <t>Down</t>
        </is>
      </c>
      <c r="G808" t="inlineStr">
        <is>
          <t>Down</t>
        </is>
      </c>
      <c r="H808" t="inlineStr">
        <is>
          <t>ED_JD</t>
        </is>
      </c>
      <c r="I808" t="inlineStr">
        <is>
          <t>2009-07</t>
        </is>
      </c>
      <c r="J808" t="n">
        <v>1</v>
      </c>
      <c r="K808" t="n">
        <v>1</v>
      </c>
      <c r="L808" s="34">
        <f>IF($J808=1,LN(B809/B808),"")</f>
        <v/>
      </c>
      <c r="M808" s="34">
        <f>IF($K808=1,INDEX(Mensal!$D$2:$D$245,MATCH($I808,Mensal!$A$2:$A$245,0)),"")</f>
        <v/>
      </c>
      <c r="N808" s="34">
        <f>IF($K808=1,L808-M808,"")</f>
        <v/>
      </c>
      <c r="O808" s="34" t="n">
        <v>0.0003464</v>
      </c>
      <c r="P808" s="34">
        <f>IF($J808=1,LN(1+O808),"")</f>
        <v/>
      </c>
      <c r="Q808" s="34">
        <f>IF($J808=1,LN(R809/R808),"")</f>
        <v/>
      </c>
      <c r="R808" s="32" t="n">
        <v>1.9895</v>
      </c>
      <c r="S808" s="35" t="n">
        <v>9.127000000000001</v>
      </c>
      <c r="T808" s="18" t="n"/>
      <c r="U808" s="18" t="n"/>
      <c r="V808" s="18" t="n">
        <v>49187</v>
      </c>
      <c r="W808" s="18" t="n"/>
      <c r="X808" s="35" t="n"/>
      <c r="Y808" s="35" t="n">
        <v>9.127000000000001</v>
      </c>
    </row>
    <row r="809">
      <c r="A809" s="25" t="n">
        <v>40008</v>
      </c>
      <c r="B809" s="18" t="n">
        <v>48873</v>
      </c>
      <c r="C809" s="31" t="n"/>
      <c r="D809" s="32" t="n"/>
      <c r="E809" s="33" t="n">
        <v>-0.1987</v>
      </c>
      <c r="F809" t="inlineStr">
        <is>
          <t>Down</t>
        </is>
      </c>
      <c r="G809" t="inlineStr">
        <is>
          <t>Down</t>
        </is>
      </c>
      <c r="H809" t="inlineStr">
        <is>
          <t>ED_JD</t>
        </is>
      </c>
      <c r="I809" t="inlineStr">
        <is>
          <t>2009-07</t>
        </is>
      </c>
      <c r="J809" t="n">
        <v>1</v>
      </c>
      <c r="K809" t="n">
        <v>1</v>
      </c>
      <c r="L809" s="34">
        <f>IF($J809=1,LN(B810/B809),"")</f>
        <v/>
      </c>
      <c r="M809" s="34">
        <f>IF($K809=1,INDEX(Mensal!$D$2:$D$245,MATCH($I809,Mensal!$A$2:$A$245,0)),"")</f>
        <v/>
      </c>
      <c r="N809" s="34">
        <f>IF($K809=1,L809-M809,"")</f>
        <v/>
      </c>
      <c r="O809" s="34" t="n">
        <v>0.0003420299999999999</v>
      </c>
      <c r="P809" s="34">
        <f>IF($J809=1,LN(1+O809),"")</f>
        <v/>
      </c>
      <c r="Q809" s="34">
        <f>IF($J809=1,LN(R810/R809),"")</f>
        <v/>
      </c>
      <c r="R809" s="32" t="n">
        <v>1.9704</v>
      </c>
      <c r="S809" s="35" t="n">
        <v>9.042</v>
      </c>
      <c r="T809" s="18" t="n"/>
      <c r="U809" s="18" t="n"/>
      <c r="V809" s="18" t="n">
        <v>48873</v>
      </c>
      <c r="W809" s="18" t="n"/>
      <c r="X809" s="35" t="n"/>
      <c r="Y809" s="35" t="n">
        <v>9.042</v>
      </c>
    </row>
    <row r="810">
      <c r="A810" s="25" t="n">
        <v>40009</v>
      </c>
      <c r="B810" s="18" t="n">
        <v>51297</v>
      </c>
      <c r="C810" s="31" t="n"/>
      <c r="D810" s="32" t="n"/>
      <c r="E810" s="33" t="n">
        <v>-0.1659</v>
      </c>
      <c r="F810" t="inlineStr">
        <is>
          <t>Down</t>
        </is>
      </c>
      <c r="G810" t="inlineStr">
        <is>
          <t>Down</t>
        </is>
      </c>
      <c r="H810" t="inlineStr">
        <is>
          <t>ED_JD</t>
        </is>
      </c>
      <c r="I810" t="inlineStr">
        <is>
          <t>2009-07</t>
        </is>
      </c>
      <c r="J810" t="n">
        <v>1</v>
      </c>
      <c r="K810" t="n">
        <v>1</v>
      </c>
      <c r="L810" s="34">
        <f>IF($J810=1,LN(B811/B810),"")</f>
        <v/>
      </c>
      <c r="M810" s="34">
        <f>IF($K810=1,INDEX(Mensal!$D$2:$D$245,MATCH($I810,Mensal!$A$2:$A$245,0)),"")</f>
        <v/>
      </c>
      <c r="N810" s="34">
        <f>IF($K810=1,L810-M810,"")</f>
        <v/>
      </c>
      <c r="O810" s="34" t="n">
        <v>0.00034058</v>
      </c>
      <c r="P810" s="34">
        <f>IF($J810=1,LN(1+O810),"")</f>
        <v/>
      </c>
      <c r="Q810" s="34">
        <f>IF($J810=1,LN(R811/R810),"")</f>
        <v/>
      </c>
      <c r="R810" s="32" t="n">
        <v>1.942</v>
      </c>
      <c r="S810" s="35" t="n">
        <v>9.07</v>
      </c>
      <c r="T810" s="18" t="n"/>
      <c r="U810" s="18" t="n"/>
      <c r="V810" s="18" t="n">
        <v>51297</v>
      </c>
      <c r="W810" s="18" t="n"/>
      <c r="X810" s="35" t="n"/>
      <c r="Y810" s="35" t="n">
        <v>9.07</v>
      </c>
    </row>
    <row r="811">
      <c r="A811" s="25" t="n">
        <v>40010</v>
      </c>
      <c r="B811" s="18" t="n">
        <v>51918</v>
      </c>
      <c r="C811" s="31" t="n"/>
      <c r="D811" s="32" t="n"/>
      <c r="E811" s="33" t="n">
        <v>-0.1358</v>
      </c>
      <c r="F811" t="inlineStr">
        <is>
          <t>Down</t>
        </is>
      </c>
      <c r="G811" t="inlineStr">
        <is>
          <t>Down</t>
        </is>
      </c>
      <c r="H811" t="inlineStr">
        <is>
          <t>ED_JD</t>
        </is>
      </c>
      <c r="I811" t="inlineStr">
        <is>
          <t>2009-07</t>
        </is>
      </c>
      <c r="J811" t="n">
        <v>1</v>
      </c>
      <c r="K811" t="n">
        <v>1</v>
      </c>
      <c r="L811" s="34">
        <f>IF($J811=1,LN(B812/B811),"")</f>
        <v/>
      </c>
      <c r="M811" s="34">
        <f>IF($K811=1,INDEX(Mensal!$D$2:$D$245,MATCH($I811,Mensal!$A$2:$A$245,0)),"")</f>
        <v/>
      </c>
      <c r="N811" s="34">
        <f>IF($K811=1,L811-M811,"")</f>
        <v/>
      </c>
      <c r="O811" s="34" t="n">
        <v>0.00034677</v>
      </c>
      <c r="P811" s="34">
        <f>IF($J811=1,LN(1+O811),"")</f>
        <v/>
      </c>
      <c r="Q811" s="34">
        <f>IF($J811=1,LN(R812/R811),"")</f>
        <v/>
      </c>
      <c r="R811" s="32" t="n">
        <v>1.934</v>
      </c>
      <c r="S811" s="35" t="n">
        <v>9.032</v>
      </c>
      <c r="T811" s="18" t="n"/>
      <c r="U811" s="18" t="n"/>
      <c r="V811" s="18" t="n">
        <v>51918</v>
      </c>
      <c r="W811" s="18" t="n"/>
      <c r="X811" s="35" t="n"/>
      <c r="Y811" s="35" t="n">
        <v>9.032</v>
      </c>
    </row>
    <row r="812">
      <c r="A812" s="25" t="n">
        <v>40011</v>
      </c>
      <c r="B812" s="18" t="n">
        <v>52073</v>
      </c>
      <c r="C812" s="31" t="n"/>
      <c r="D812" s="32" t="n"/>
      <c r="E812" s="33" t="n">
        <v>-0.1016</v>
      </c>
      <c r="F812" t="inlineStr">
        <is>
          <t>Down</t>
        </is>
      </c>
      <c r="G812" t="inlineStr">
        <is>
          <t>Down</t>
        </is>
      </c>
      <c r="H812" t="inlineStr">
        <is>
          <t>ED_JD</t>
        </is>
      </c>
      <c r="I812" t="inlineStr">
        <is>
          <t>2009-07</t>
        </is>
      </c>
      <c r="J812" t="n">
        <v>1</v>
      </c>
      <c r="K812" t="n">
        <v>1</v>
      </c>
      <c r="L812" s="34">
        <f>IF($J812=1,LN(B813/B812),"")</f>
        <v/>
      </c>
      <c r="M812" s="34">
        <f>IF($K812=1,INDEX(Mensal!$D$2:$D$245,MATCH($I812,Mensal!$A$2:$A$245,0)),"")</f>
        <v/>
      </c>
      <c r="N812" s="34">
        <f>IF($K812=1,L812-M812,"")</f>
        <v/>
      </c>
      <c r="O812" s="34" t="n">
        <v>0.00034677</v>
      </c>
      <c r="P812" s="34">
        <f>IF($J812=1,LN(1+O812),"")</f>
        <v/>
      </c>
      <c r="Q812" s="34">
        <f>IF($J812=1,LN(R813/R812),"")</f>
        <v/>
      </c>
      <c r="R812" s="32" t="n">
        <v>1.929</v>
      </c>
      <c r="S812" s="35" t="n">
        <v>8.970000000000001</v>
      </c>
      <c r="T812" s="18" t="n"/>
      <c r="U812" s="18" t="n"/>
      <c r="V812" s="18" t="n">
        <v>52073</v>
      </c>
      <c r="W812" s="18" t="n"/>
      <c r="X812" s="35" t="n"/>
      <c r="Y812" s="35" t="n">
        <v>8.970000000000001</v>
      </c>
    </row>
    <row r="813">
      <c r="A813" s="25" t="n">
        <v>40014</v>
      </c>
      <c r="B813" s="18" t="n">
        <v>53155</v>
      </c>
      <c r="C813" s="31" t="n"/>
      <c r="D813" s="32" t="n"/>
      <c r="E813" s="33" t="n">
        <v>-0.0544</v>
      </c>
      <c r="F813" t="inlineStr">
        <is>
          <t>Down</t>
        </is>
      </c>
      <c r="G813" t="inlineStr">
        <is>
          <t>Down</t>
        </is>
      </c>
      <c r="H813" t="inlineStr">
        <is>
          <t>ED_JD</t>
        </is>
      </c>
      <c r="I813" t="inlineStr">
        <is>
          <t>2009-07</t>
        </is>
      </c>
      <c r="J813" t="n">
        <v>1</v>
      </c>
      <c r="K813" t="n">
        <v>1</v>
      </c>
      <c r="L813" s="34">
        <f>IF($J813=1,LN(B814/B813),"")</f>
        <v/>
      </c>
      <c r="M813" s="34">
        <f>IF($K813=1,INDEX(Mensal!$D$2:$D$245,MATCH($I813,Mensal!$A$2:$A$245,0)),"")</f>
        <v/>
      </c>
      <c r="N813" s="34">
        <f>IF($K813=1,L813-M813,"")</f>
        <v/>
      </c>
      <c r="O813" s="34" t="n">
        <v>0.00034677</v>
      </c>
      <c r="P813" s="34">
        <f>IF($J813=1,LN(1+O813),"")</f>
        <v/>
      </c>
      <c r="Q813" s="34">
        <f>IF($J813=1,LN(R814/R813),"")</f>
        <v/>
      </c>
      <c r="R813" s="32" t="n">
        <v>1.9068</v>
      </c>
      <c r="S813" s="35" t="n">
        <v>8.996</v>
      </c>
      <c r="T813" s="18" t="n"/>
      <c r="U813" s="18" t="n"/>
      <c r="V813" s="18" t="n">
        <v>53155</v>
      </c>
      <c r="W813" s="18" t="n"/>
      <c r="X813" s="35" t="n"/>
      <c r="Y813" s="35" t="n">
        <v>8.996</v>
      </c>
    </row>
    <row r="814">
      <c r="A814" s="25" t="n">
        <v>40015</v>
      </c>
      <c r="B814" s="18" t="n">
        <v>53234</v>
      </c>
      <c r="C814" s="31" t="n"/>
      <c r="D814" s="32" t="n"/>
      <c r="E814" s="33" t="n">
        <v>-0.0067</v>
      </c>
      <c r="F814" t="inlineStr">
        <is>
          <t>Down</t>
        </is>
      </c>
      <c r="G814" t="inlineStr">
        <is>
          <t>Down</t>
        </is>
      </c>
      <c r="H814" t="inlineStr">
        <is>
          <t>ED_JD</t>
        </is>
      </c>
      <c r="I814" t="inlineStr">
        <is>
          <t>2009-07</t>
        </is>
      </c>
      <c r="J814" t="n">
        <v>1</v>
      </c>
      <c r="K814" t="n">
        <v>1</v>
      </c>
      <c r="L814" s="34">
        <f>IF($J814=1,LN(B815/B814),"")</f>
        <v/>
      </c>
      <c r="M814" s="34">
        <f>IF($K814=1,INDEX(Mensal!$D$2:$D$245,MATCH($I814,Mensal!$A$2:$A$245,0)),"")</f>
        <v/>
      </c>
      <c r="N814" s="34">
        <f>IF($K814=1,L814-M814,"")</f>
        <v/>
      </c>
      <c r="O814" s="34" t="n">
        <v>0.0003464</v>
      </c>
      <c r="P814" s="34">
        <f>IF($J814=1,LN(1+O814),"")</f>
        <v/>
      </c>
      <c r="Q814" s="34">
        <f>IF($J814=1,LN(R815/R814),"")</f>
        <v/>
      </c>
      <c r="R814" s="32" t="n">
        <v>1.9043</v>
      </c>
      <c r="S814" s="35" t="n">
        <v>9.002000000000001</v>
      </c>
      <c r="T814" s="18" t="n"/>
      <c r="U814" s="18" t="n"/>
      <c r="V814" s="18" t="n">
        <v>53234</v>
      </c>
      <c r="W814" s="18" t="n"/>
      <c r="X814" s="35" t="n"/>
      <c r="Y814" s="35" t="n">
        <v>9.002000000000001</v>
      </c>
    </row>
    <row r="815">
      <c r="A815" s="25" t="n">
        <v>40016</v>
      </c>
      <c r="B815" s="18" t="n">
        <v>53073</v>
      </c>
      <c r="C815" s="31" t="n"/>
      <c r="D815" s="32" t="n"/>
      <c r="E815" s="33" t="n">
        <v>0.0353</v>
      </c>
      <c r="F815" t="inlineStr">
        <is>
          <t>Down</t>
        </is>
      </c>
      <c r="G815" t="inlineStr">
        <is>
          <t>Down</t>
        </is>
      </c>
      <c r="H815" t="inlineStr">
        <is>
          <t>ED_JD</t>
        </is>
      </c>
      <c r="I815" t="inlineStr">
        <is>
          <t>2009-07</t>
        </is>
      </c>
      <c r="J815" t="n">
        <v>1</v>
      </c>
      <c r="K815" t="n">
        <v>1</v>
      </c>
      <c r="L815" s="34">
        <f>IF($J815=1,LN(B816/B815),"")</f>
        <v/>
      </c>
      <c r="M815" s="34">
        <f>IF($K815=1,INDEX(Mensal!$D$2:$D$245,MATCH($I815,Mensal!$A$2:$A$245,0)),"")</f>
        <v/>
      </c>
      <c r="N815" s="34">
        <f>IF($K815=1,L815-M815,"")</f>
        <v/>
      </c>
      <c r="O815" s="34" t="n">
        <v>0.0003420299999999999</v>
      </c>
      <c r="P815" s="34">
        <f>IF($J815=1,LN(1+O815),"")</f>
        <v/>
      </c>
      <c r="Q815" s="34">
        <f>IF($J815=1,LN(R816/R815),"")</f>
        <v/>
      </c>
      <c r="R815" s="32" t="n">
        <v>1.9029</v>
      </c>
      <c r="S815" s="35" t="n">
        <v>9.045</v>
      </c>
      <c r="T815" s="18" t="n"/>
      <c r="U815" s="18" t="n"/>
      <c r="V815" s="18" t="n">
        <v>53073</v>
      </c>
      <c r="W815" s="18" t="n"/>
      <c r="X815" s="35" t="n"/>
      <c r="Y815" s="35" t="n">
        <v>9.045</v>
      </c>
    </row>
    <row r="816">
      <c r="A816" s="25" t="n">
        <v>40017</v>
      </c>
      <c r="B816" s="18" t="n">
        <v>54249</v>
      </c>
      <c r="C816" s="31" t="n"/>
      <c r="D816" s="32" t="n"/>
      <c r="E816" s="33" t="n">
        <v>0.07820000000000001</v>
      </c>
      <c r="F816" t="inlineStr">
        <is>
          <t>Down</t>
        </is>
      </c>
      <c r="G816" t="inlineStr">
        <is>
          <t>Down</t>
        </is>
      </c>
      <c r="H816" t="inlineStr">
        <is>
          <t>ED_JD</t>
        </is>
      </c>
      <c r="I816" t="inlineStr">
        <is>
          <t>2009-07</t>
        </is>
      </c>
      <c r="J816" t="n">
        <v>1</v>
      </c>
      <c r="K816" t="n">
        <v>1</v>
      </c>
      <c r="L816" s="34">
        <f>IF($J816=1,LN(B817/B816),"")</f>
        <v/>
      </c>
      <c r="M816" s="34">
        <f>IF($K816=1,INDEX(Mensal!$D$2:$D$245,MATCH($I816,Mensal!$A$2:$A$245,0)),"")</f>
        <v/>
      </c>
      <c r="N816" s="34">
        <f>IF($K816=1,L816-M816,"")</f>
        <v/>
      </c>
      <c r="O816" s="34" t="n">
        <v>0.00032817</v>
      </c>
      <c r="P816" s="34">
        <f>IF($J816=1,LN(1+O816),"")</f>
        <v/>
      </c>
      <c r="Q816" s="34">
        <f>IF($J816=1,LN(R817/R816),"")</f>
        <v/>
      </c>
      <c r="R816" s="32" t="n">
        <v>1.8922</v>
      </c>
      <c r="S816" s="35" t="n">
        <v>9.195</v>
      </c>
      <c r="T816" s="18" t="n"/>
      <c r="U816" s="18" t="n"/>
      <c r="V816" s="18" t="n">
        <v>54249</v>
      </c>
      <c r="W816" s="18" t="n"/>
      <c r="X816" s="35" t="n"/>
      <c r="Y816" s="35" t="n">
        <v>9.195</v>
      </c>
    </row>
    <row r="817">
      <c r="A817" s="25" t="n">
        <v>40018</v>
      </c>
      <c r="B817" s="18" t="n">
        <v>54457</v>
      </c>
      <c r="C817" s="31" t="n"/>
      <c r="D817" s="32" t="n"/>
      <c r="E817" s="33" t="n">
        <v>0.1218</v>
      </c>
      <c r="F817" t="inlineStr">
        <is>
          <t>Down</t>
        </is>
      </c>
      <c r="G817" t="inlineStr">
        <is>
          <t>Down</t>
        </is>
      </c>
      <c r="H817" t="inlineStr">
        <is>
          <t>ED_JD</t>
        </is>
      </c>
      <c r="I817" t="inlineStr">
        <is>
          <t>2009-07</t>
        </is>
      </c>
      <c r="J817" t="n">
        <v>1</v>
      </c>
      <c r="K817" t="n">
        <v>1</v>
      </c>
      <c r="L817" s="34">
        <f>IF($J817=1,LN(B818/B817),"")</f>
        <v/>
      </c>
      <c r="M817" s="34">
        <f>IF($K817=1,INDEX(Mensal!$D$2:$D$245,MATCH($I817,Mensal!$A$2:$A$245,0)),"")</f>
        <v/>
      </c>
      <c r="N817" s="34">
        <f>IF($K817=1,L817-M817,"")</f>
        <v/>
      </c>
      <c r="O817" s="34" t="n">
        <v>0.00032817</v>
      </c>
      <c r="P817" s="34">
        <f>IF($J817=1,LN(1+O817),"")</f>
        <v/>
      </c>
      <c r="Q817" s="34">
        <f>IF($J817=1,LN(R818/R817),"")</f>
        <v/>
      </c>
      <c r="R817" s="32" t="n">
        <v>1.896</v>
      </c>
      <c r="S817" s="35" t="n">
        <v>9.147</v>
      </c>
      <c r="T817" s="18" t="n"/>
      <c r="U817" s="18" t="n"/>
      <c r="V817" s="18" t="n">
        <v>54457</v>
      </c>
      <c r="W817" s="18" t="n"/>
      <c r="X817" s="35" t="n"/>
      <c r="Y817" s="35" t="n">
        <v>9.147</v>
      </c>
    </row>
    <row r="818">
      <c r="A818" s="25" t="n">
        <v>40021</v>
      </c>
      <c r="B818" s="18" t="n">
        <v>54549</v>
      </c>
      <c r="C818" s="31" t="n"/>
      <c r="D818" s="32" t="n"/>
      <c r="E818" s="33" t="n">
        <v>0.1624</v>
      </c>
      <c r="F818" t="inlineStr">
        <is>
          <t>Down</t>
        </is>
      </c>
      <c r="G818" t="inlineStr">
        <is>
          <t>Down</t>
        </is>
      </c>
      <c r="H818" t="inlineStr">
        <is>
          <t>ED_JD</t>
        </is>
      </c>
      <c r="I818" t="inlineStr">
        <is>
          <t>2009-07</t>
        </is>
      </c>
      <c r="J818" t="n">
        <v>1</v>
      </c>
      <c r="K818" t="n">
        <v>1</v>
      </c>
      <c r="L818" s="34">
        <f>IF($J818=1,LN(B819/B818),"")</f>
        <v/>
      </c>
      <c r="M818" s="34">
        <f>IF($K818=1,INDEX(Mensal!$D$2:$D$245,MATCH($I818,Mensal!$A$2:$A$245,0)),"")</f>
        <v/>
      </c>
      <c r="N818" s="34">
        <f>IF($K818=1,L818-M818,"")</f>
        <v/>
      </c>
      <c r="O818" s="34" t="n">
        <v>0.00032817</v>
      </c>
      <c r="P818" s="34">
        <f>IF($J818=1,LN(1+O818),"")</f>
        <v/>
      </c>
      <c r="Q818" s="34">
        <f>IF($J818=1,LN(R819/R818),"")</f>
        <v/>
      </c>
      <c r="R818" s="32" t="n">
        <v>1.8837</v>
      </c>
      <c r="S818" s="35" t="n">
        <v>9.138</v>
      </c>
      <c r="T818" s="18" t="n"/>
      <c r="U818" s="18" t="n"/>
      <c r="V818" s="18" t="n">
        <v>54549</v>
      </c>
      <c r="W818" s="18" t="n"/>
      <c r="X818" s="35" t="n"/>
      <c r="Y818" s="35" t="n">
        <v>9.138</v>
      </c>
    </row>
    <row r="819">
      <c r="A819" s="25" t="n">
        <v>40022</v>
      </c>
      <c r="B819" s="18" t="n">
        <v>54472</v>
      </c>
      <c r="C819" s="31" t="n"/>
      <c r="D819" s="32" t="n"/>
      <c r="E819" s="33" t="n">
        <v>0.2087</v>
      </c>
      <c r="F819" t="inlineStr">
        <is>
          <t>Down</t>
        </is>
      </c>
      <c r="G819" t="inlineStr">
        <is>
          <t>Down</t>
        </is>
      </c>
      <c r="H819" t="inlineStr">
        <is>
          <t>ED_JD</t>
        </is>
      </c>
      <c r="I819" t="inlineStr">
        <is>
          <t>2009-07</t>
        </is>
      </c>
      <c r="J819" t="n">
        <v>1</v>
      </c>
      <c r="K819" t="n">
        <v>1</v>
      </c>
      <c r="L819" s="34">
        <f>IF($J819=1,LN(B820/B819),"")</f>
        <v/>
      </c>
      <c r="M819" s="34">
        <f>IF($K819=1,INDEX(Mensal!$D$2:$D$245,MATCH($I819,Mensal!$A$2:$A$245,0)),"")</f>
        <v/>
      </c>
      <c r="N819" s="34">
        <f>IF($K819=1,L819-M819,"")</f>
        <v/>
      </c>
      <c r="O819" s="34" t="n">
        <v>0.00032415</v>
      </c>
      <c r="P819" s="34">
        <f>IF($J819=1,LN(1+O819),"")</f>
        <v/>
      </c>
      <c r="Q819" s="34">
        <f>IF($J819=1,LN(R820/R819),"")</f>
        <v/>
      </c>
      <c r="R819" s="32" t="n">
        <v>1.8819</v>
      </c>
      <c r="S819" s="35" t="n">
        <v>9.148</v>
      </c>
      <c r="T819" s="18" t="n"/>
      <c r="U819" s="18" t="n"/>
      <c r="V819" s="18" t="n">
        <v>54472</v>
      </c>
      <c r="W819" s="18" t="n"/>
      <c r="X819" s="35" t="n"/>
      <c r="Y819" s="35" t="n">
        <v>9.148</v>
      </c>
    </row>
    <row r="820">
      <c r="A820" s="25" t="n">
        <v>40023</v>
      </c>
      <c r="B820" s="18" t="n">
        <v>53735</v>
      </c>
      <c r="C820" s="31" t="n"/>
      <c r="D820" s="32" t="n"/>
      <c r="E820" s="33" t="n">
        <v>0.2543</v>
      </c>
      <c r="F820" t="inlineStr">
        <is>
          <t>Down</t>
        </is>
      </c>
      <c r="G820" t="inlineStr">
        <is>
          <t>Down</t>
        </is>
      </c>
      <c r="H820" t="inlineStr">
        <is>
          <t>ED_JD</t>
        </is>
      </c>
      <c r="I820" t="inlineStr">
        <is>
          <t>2009-07</t>
        </is>
      </c>
      <c r="J820" t="n">
        <v>1</v>
      </c>
      <c r="K820" t="n">
        <v>1</v>
      </c>
      <c r="L820" s="34">
        <f>IF($J820=1,LN(B821/B820),"")</f>
        <v/>
      </c>
      <c r="M820" s="34">
        <f>IF($K820=1,INDEX(Mensal!$D$2:$D$245,MATCH($I820,Mensal!$A$2:$A$245,0)),"")</f>
        <v/>
      </c>
      <c r="N820" s="34">
        <f>IF($K820=1,L820-M820,"")</f>
        <v/>
      </c>
      <c r="O820" s="34" t="n">
        <v>0.00032817</v>
      </c>
      <c r="P820" s="34">
        <f>IF($J820=1,LN(1+O820),"")</f>
        <v/>
      </c>
      <c r="Q820" s="34">
        <f>IF($J820=1,LN(R821/R820),"")</f>
        <v/>
      </c>
      <c r="R820" s="32" t="n">
        <v>1.8982</v>
      </c>
      <c r="S820" s="35" t="n">
        <v>9.112</v>
      </c>
      <c r="T820" s="18" t="n"/>
      <c r="U820" s="18" t="n"/>
      <c r="V820" s="18" t="n">
        <v>53735</v>
      </c>
      <c r="W820" s="18" t="n"/>
      <c r="X820" s="35" t="n"/>
      <c r="Y820" s="35" t="n">
        <v>9.112</v>
      </c>
    </row>
    <row r="821">
      <c r="A821" s="25" t="n">
        <v>40024</v>
      </c>
      <c r="B821" s="18" t="n">
        <v>54478</v>
      </c>
      <c r="C821" s="31" t="n"/>
      <c r="D821" s="32" t="n"/>
      <c r="E821" s="33" t="n">
        <v>0.2956</v>
      </c>
      <c r="F821" t="inlineStr">
        <is>
          <t>Down</t>
        </is>
      </c>
      <c r="G821" t="inlineStr">
        <is>
          <t>Down</t>
        </is>
      </c>
      <c r="H821" t="inlineStr">
        <is>
          <t>ED_JD</t>
        </is>
      </c>
      <c r="I821" t="inlineStr">
        <is>
          <t>2009-07</t>
        </is>
      </c>
      <c r="J821" t="n">
        <v>1</v>
      </c>
      <c r="K821" t="n">
        <v>1</v>
      </c>
      <c r="L821" s="34">
        <f>IF($J821=1,LN(B822/B821),"")</f>
        <v/>
      </c>
      <c r="M821" s="34">
        <f>IF($K821=1,INDEX(Mensal!$D$2:$D$245,MATCH($I821,Mensal!$A$2:$A$245,0)),"")</f>
        <v/>
      </c>
      <c r="N821" s="34">
        <f>IF($K821=1,L821-M821,"")</f>
        <v/>
      </c>
      <c r="O821" s="34" t="n">
        <v>0.0003277999999999999</v>
      </c>
      <c r="P821" s="34">
        <f>IF($J821=1,LN(1+O821),"")</f>
        <v/>
      </c>
      <c r="Q821" s="34">
        <f>IF($J821=1,LN(R822/R821),"")</f>
        <v/>
      </c>
      <c r="R821" s="32" t="n">
        <v>1.8811</v>
      </c>
      <c r="S821" s="35" t="n">
        <v>9.208</v>
      </c>
      <c r="T821" s="18" t="n"/>
      <c r="U821" s="18" t="n"/>
      <c r="V821" s="18" t="n">
        <v>54478</v>
      </c>
      <c r="W821" s="18" t="n"/>
      <c r="X821" s="35" t="n"/>
      <c r="Y821" s="35" t="n">
        <v>9.208</v>
      </c>
    </row>
    <row r="822">
      <c r="A822" s="25" t="n">
        <v>40025</v>
      </c>
      <c r="B822" s="18" t="n">
        <v>54766</v>
      </c>
      <c r="C822" s="31" t="n"/>
      <c r="D822" s="32" t="n"/>
      <c r="E822" s="33" t="n">
        <v>0.3434</v>
      </c>
      <c r="F822" t="inlineStr">
        <is>
          <t>Down</t>
        </is>
      </c>
      <c r="G822" t="inlineStr">
        <is>
          <t>Down</t>
        </is>
      </c>
      <c r="H822" t="inlineStr">
        <is>
          <t>ED_JD</t>
        </is>
      </c>
      <c r="I822" t="inlineStr">
        <is>
          <t>2009-07</t>
        </is>
      </c>
      <c r="J822" t="n">
        <v>1</v>
      </c>
      <c r="K822" t="n">
        <v>1</v>
      </c>
      <c r="L822" s="34">
        <f>IF($J822=1,LN(B823/B822),"")</f>
        <v/>
      </c>
      <c r="M822" s="34">
        <f>IF($K822=1,INDEX(Mensal!$D$2:$D$245,MATCH($I822,Mensal!$A$2:$A$245,0)),"")</f>
        <v/>
      </c>
      <c r="N822" s="34">
        <f>IF($K822=1,L822-M822,"")</f>
        <v/>
      </c>
      <c r="O822" s="34" t="n">
        <v>0.0003277999999999999</v>
      </c>
      <c r="P822" s="34">
        <f>IF($J822=1,LN(1+O822),"")</f>
        <v/>
      </c>
      <c r="Q822" s="34">
        <f>IF($J822=1,LN(R823/R822),"")</f>
        <v/>
      </c>
      <c r="R822" s="32" t="n">
        <v>1.8726</v>
      </c>
      <c r="S822" s="35" t="n">
        <v>9.205</v>
      </c>
      <c r="T822" s="18" t="n"/>
      <c r="U822" s="18" t="n"/>
      <c r="V822" s="18" t="n">
        <v>54766</v>
      </c>
      <c r="W822" s="18" t="n"/>
      <c r="X822" s="35" t="n"/>
      <c r="Y822" s="35" t="n">
        <v>9.205</v>
      </c>
    </row>
    <row r="823">
      <c r="A823" s="25" t="n">
        <v>40028</v>
      </c>
      <c r="B823" s="18" t="n">
        <v>55998</v>
      </c>
      <c r="C823" s="31" t="n"/>
      <c r="D823" s="32" t="n"/>
      <c r="E823" s="33" t="n">
        <v>0.386</v>
      </c>
      <c r="F823" t="inlineStr">
        <is>
          <t>Down</t>
        </is>
      </c>
      <c r="G823" t="inlineStr">
        <is>
          <t>Down</t>
        </is>
      </c>
      <c r="H823" t="inlineStr">
        <is>
          <t>ED_JD</t>
        </is>
      </c>
      <c r="I823" t="inlineStr">
        <is>
          <t>2009-08</t>
        </is>
      </c>
      <c r="J823" t="n">
        <v>1</v>
      </c>
      <c r="K823" t="n">
        <v>1</v>
      </c>
      <c r="L823" s="34">
        <f>IF($J823=1,LN(B824/B823),"")</f>
        <v/>
      </c>
      <c r="M823" s="34">
        <f>IF($K823=1,INDEX(Mensal!$D$2:$D$245,MATCH($I823,Mensal!$A$2:$A$245,0)),"")</f>
        <v/>
      </c>
      <c r="N823" s="34">
        <f>IF($K823=1,L823-M823,"")</f>
        <v/>
      </c>
      <c r="O823" s="34" t="n">
        <v>0.00032854</v>
      </c>
      <c r="P823" s="34">
        <f>IF($J823=1,LN(1+O823),"")</f>
        <v/>
      </c>
      <c r="Q823" s="34">
        <f>IF($J823=1,LN(R824/R823),"")</f>
        <v/>
      </c>
      <c r="R823" s="32" t="n">
        <v>1.8369</v>
      </c>
      <c r="S823" s="35" t="n">
        <v>9.218999999999999</v>
      </c>
      <c r="T823" s="18" t="n"/>
      <c r="U823" s="18" t="n"/>
      <c r="V823" s="18" t="n">
        <v>55998</v>
      </c>
      <c r="W823" s="18" t="n"/>
      <c r="X823" s="35" t="n"/>
      <c r="Y823" s="35" t="n">
        <v>9.218999999999999</v>
      </c>
    </row>
    <row r="824">
      <c r="A824" s="25" t="n">
        <v>40029</v>
      </c>
      <c r="B824" s="18" t="n">
        <v>56038</v>
      </c>
      <c r="C824" s="31" t="n"/>
      <c r="D824" s="32" t="n"/>
      <c r="E824" s="33" t="n">
        <v>0.4189</v>
      </c>
      <c r="F824" t="inlineStr">
        <is>
          <t>Down</t>
        </is>
      </c>
      <c r="G824" t="inlineStr">
        <is>
          <t>Down</t>
        </is>
      </c>
      <c r="H824" t="inlineStr">
        <is>
          <t>ED_JD</t>
        </is>
      </c>
      <c r="I824" t="inlineStr">
        <is>
          <t>2009-08</t>
        </is>
      </c>
      <c r="J824" t="n">
        <v>1</v>
      </c>
      <c r="K824" t="n">
        <v>1</v>
      </c>
      <c r="L824" s="34">
        <f>IF($J824=1,LN(B825/B824),"")</f>
        <v/>
      </c>
      <c r="M824" s="34">
        <f>IF($K824=1,INDEX(Mensal!$D$2:$D$245,MATCH($I824,Mensal!$A$2:$A$245,0)),"")</f>
        <v/>
      </c>
      <c r="N824" s="34">
        <f>IF($K824=1,L824-M824,"")</f>
        <v/>
      </c>
      <c r="O824" s="34" t="n">
        <v>0.0003277999999999999</v>
      </c>
      <c r="P824" s="34">
        <f>IF($J824=1,LN(1+O824),"")</f>
        <v/>
      </c>
      <c r="Q824" s="34">
        <f>IF($J824=1,LN(R825/R824),"")</f>
        <v/>
      </c>
      <c r="R824" s="32" t="n">
        <v>1.8272</v>
      </c>
      <c r="S824" s="35" t="n">
        <v>9.212</v>
      </c>
      <c r="T824" s="18" t="n"/>
      <c r="U824" s="18" t="n"/>
      <c r="V824" s="18" t="n">
        <v>56038</v>
      </c>
      <c r="W824" s="18" t="n"/>
      <c r="X824" s="35" t="n"/>
      <c r="Y824" s="35" t="n">
        <v>9.212</v>
      </c>
    </row>
    <row r="825">
      <c r="A825" s="25" t="n">
        <v>40030</v>
      </c>
      <c r="B825" s="18" t="n">
        <v>56384</v>
      </c>
      <c r="C825" s="31" t="n"/>
      <c r="D825" s="32" t="n"/>
      <c r="E825" s="33" t="n">
        <v>0.45</v>
      </c>
      <c r="F825" t="inlineStr">
        <is>
          <t>Down</t>
        </is>
      </c>
      <c r="G825" t="inlineStr">
        <is>
          <t>Down</t>
        </is>
      </c>
      <c r="H825" t="inlineStr">
        <is>
          <t>ED_JD</t>
        </is>
      </c>
      <c r="I825" t="inlineStr">
        <is>
          <t>2009-08</t>
        </is>
      </c>
      <c r="J825" t="n">
        <v>1</v>
      </c>
      <c r="K825" t="n">
        <v>1</v>
      </c>
      <c r="L825" s="34">
        <f>IF($J825=1,LN(B826/B825),"")</f>
        <v/>
      </c>
      <c r="M825" s="34">
        <f>IF($K825=1,INDEX(Mensal!$D$2:$D$245,MATCH($I825,Mensal!$A$2:$A$245,0)),"")</f>
        <v/>
      </c>
      <c r="N825" s="34">
        <f>IF($K825=1,L825-M825,"")</f>
        <v/>
      </c>
      <c r="O825" s="34" t="n">
        <v>0.0003277999999999999</v>
      </c>
      <c r="P825" s="34">
        <f>IF($J825=1,LN(1+O825),"")</f>
        <v/>
      </c>
      <c r="Q825" s="34">
        <f>IF($J825=1,LN(R826/R825),"")</f>
        <v/>
      </c>
      <c r="R825" s="32" t="n">
        <v>1.8181</v>
      </c>
      <c r="S825" s="35" t="n">
        <v>9.234999999999999</v>
      </c>
      <c r="T825" s="18" t="n"/>
      <c r="U825" s="18" t="n"/>
      <c r="V825" s="18" t="n">
        <v>56384</v>
      </c>
      <c r="W825" s="18" t="n"/>
      <c r="X825" s="35" t="n"/>
      <c r="Y825" s="35" t="n">
        <v>9.234999999999999</v>
      </c>
    </row>
    <row r="826">
      <c r="A826" s="25" t="n">
        <v>40031</v>
      </c>
      <c r="B826" s="18" t="n">
        <v>55755</v>
      </c>
      <c r="C826" s="31" t="n"/>
      <c r="D826" s="32" t="n"/>
      <c r="E826" s="33" t="n">
        <v>0.4733</v>
      </c>
      <c r="F826" t="inlineStr">
        <is>
          <t>Down</t>
        </is>
      </c>
      <c r="G826" t="inlineStr">
        <is>
          <t>Down</t>
        </is>
      </c>
      <c r="H826" t="inlineStr">
        <is>
          <t>ED_JD</t>
        </is>
      </c>
      <c r="I826" t="inlineStr">
        <is>
          <t>2009-08</t>
        </is>
      </c>
      <c r="J826" t="n">
        <v>1</v>
      </c>
      <c r="K826" t="n">
        <v>1</v>
      </c>
      <c r="L826" s="34">
        <f>IF($J826=1,LN(B827/B826),"")</f>
        <v/>
      </c>
      <c r="M826" s="34">
        <f>IF($K826=1,INDEX(Mensal!$D$2:$D$245,MATCH($I826,Mensal!$A$2:$A$245,0)),"")</f>
        <v/>
      </c>
      <c r="N826" s="34">
        <f>IF($K826=1,L826-M826,"")</f>
        <v/>
      </c>
      <c r="O826" s="34" t="n">
        <v>0.00032817</v>
      </c>
      <c r="P826" s="34">
        <f>IF($J826=1,LN(1+O826),"")</f>
        <v/>
      </c>
      <c r="Q826" s="34">
        <f>IF($J826=1,LN(R827/R826),"")</f>
        <v/>
      </c>
      <c r="R826" s="32" t="n">
        <v>1.8348</v>
      </c>
      <c r="S826" s="35" t="n">
        <v>9.199</v>
      </c>
      <c r="T826" s="18" t="n"/>
      <c r="U826" s="18" t="n"/>
      <c r="V826" s="18" t="n">
        <v>55755</v>
      </c>
      <c r="W826" s="18" t="n"/>
      <c r="X826" s="35" t="n"/>
      <c r="Y826" s="35" t="n">
        <v>9.199</v>
      </c>
    </row>
    <row r="827">
      <c r="A827" s="25" t="n">
        <v>40032</v>
      </c>
      <c r="B827" s="18" t="n">
        <v>56330</v>
      </c>
      <c r="C827" s="31" t="n"/>
      <c r="D827" s="32" t="n"/>
      <c r="E827" s="33" t="n">
        <v>0.4959</v>
      </c>
      <c r="F827" t="inlineStr">
        <is>
          <t>Down</t>
        </is>
      </c>
      <c r="G827" t="inlineStr">
        <is>
          <t>Down</t>
        </is>
      </c>
      <c r="H827" t="inlineStr">
        <is>
          <t>ED_JD</t>
        </is>
      </c>
      <c r="I827" t="inlineStr">
        <is>
          <t>2009-08</t>
        </is>
      </c>
      <c r="J827" t="n">
        <v>1</v>
      </c>
      <c r="K827" t="n">
        <v>1</v>
      </c>
      <c r="L827" s="34">
        <f>IF($J827=1,LN(B828/B827),"")</f>
        <v/>
      </c>
      <c r="M827" s="34">
        <f>IF($K827=1,INDEX(Mensal!$D$2:$D$245,MATCH($I827,Mensal!$A$2:$A$245,0)),"")</f>
        <v/>
      </c>
      <c r="N827" s="34">
        <f>IF($K827=1,L827-M827,"")</f>
        <v/>
      </c>
      <c r="O827" s="34" t="n">
        <v>0.00032817</v>
      </c>
      <c r="P827" s="34">
        <f>IF($J827=1,LN(1+O827),"")</f>
        <v/>
      </c>
      <c r="Q827" s="34">
        <f>IF($J827=1,LN(R828/R827),"")</f>
        <v/>
      </c>
      <c r="R827" s="32" t="n">
        <v>1.8232</v>
      </c>
      <c r="S827" s="35" t="n">
        <v>9.225</v>
      </c>
      <c r="T827" s="18" t="n"/>
      <c r="U827" s="18" t="n"/>
      <c r="V827" s="18" t="n">
        <v>56330</v>
      </c>
      <c r="W827" s="18" t="n"/>
      <c r="X827" s="35" t="n"/>
      <c r="Y827" s="35" t="n">
        <v>9.225</v>
      </c>
    </row>
    <row r="828">
      <c r="A828" s="25" t="n">
        <v>40035</v>
      </c>
      <c r="B828" s="18" t="n">
        <v>56830</v>
      </c>
      <c r="C828" s="31" t="n"/>
      <c r="D828" s="32" t="n"/>
      <c r="E828" s="33" t="n">
        <v>0.5231</v>
      </c>
      <c r="F828" t="inlineStr">
        <is>
          <t>Down</t>
        </is>
      </c>
      <c r="G828" t="inlineStr">
        <is>
          <t>Down</t>
        </is>
      </c>
      <c r="H828" t="inlineStr">
        <is>
          <t>ED_JD</t>
        </is>
      </c>
      <c r="I828" t="inlineStr">
        <is>
          <t>2009-08</t>
        </is>
      </c>
      <c r="J828" t="n">
        <v>1</v>
      </c>
      <c r="K828" t="n">
        <v>1</v>
      </c>
      <c r="L828" s="34">
        <f>IF($J828=1,LN(B829/B828),"")</f>
        <v/>
      </c>
      <c r="M828" s="34">
        <f>IF($K828=1,INDEX(Mensal!$D$2:$D$245,MATCH($I828,Mensal!$A$2:$A$245,0)),"")</f>
        <v/>
      </c>
      <c r="N828" s="34">
        <f>IF($K828=1,L828-M828,"")</f>
        <v/>
      </c>
      <c r="O828" s="34" t="n">
        <v>0.00032817</v>
      </c>
      <c r="P828" s="34">
        <f>IF($J828=1,LN(1+O828),"")</f>
        <v/>
      </c>
      <c r="Q828" s="34">
        <f>IF($J828=1,LN(R829/R828),"")</f>
        <v/>
      </c>
      <c r="R828" s="32" t="n">
        <v>1.8412</v>
      </c>
      <c r="S828" s="35" t="n">
        <v>9.212</v>
      </c>
      <c r="T828" s="18" t="n"/>
      <c r="U828" s="18" t="n"/>
      <c r="V828" s="18" t="n">
        <v>56830</v>
      </c>
      <c r="W828" s="18" t="n"/>
      <c r="X828" s="35" t="n"/>
      <c r="Y828" s="35" t="n">
        <v>9.212</v>
      </c>
    </row>
    <row r="829">
      <c r="A829" s="25" t="n">
        <v>40036</v>
      </c>
      <c r="B829" s="18" t="n">
        <v>55761</v>
      </c>
      <c r="C829" s="31" t="n"/>
      <c r="D829" s="32" t="n"/>
      <c r="E829" s="33" t="n">
        <v>0.5513</v>
      </c>
      <c r="F829" t="inlineStr">
        <is>
          <t>Down</t>
        </is>
      </c>
      <c r="G829" t="inlineStr">
        <is>
          <t>Down</t>
        </is>
      </c>
      <c r="H829" t="inlineStr">
        <is>
          <t>ED_JD</t>
        </is>
      </c>
      <c r="I829" t="inlineStr">
        <is>
          <t>2009-08</t>
        </is>
      </c>
      <c r="J829" t="n">
        <v>1</v>
      </c>
      <c r="K829" t="n">
        <v>1</v>
      </c>
      <c r="L829" s="34">
        <f>IF($J829=1,LN(B830/B829),"")</f>
        <v/>
      </c>
      <c r="M829" s="34">
        <f>IF($K829=1,INDEX(Mensal!$D$2:$D$245,MATCH($I829,Mensal!$A$2:$A$245,0)),"")</f>
        <v/>
      </c>
      <c r="N829" s="34">
        <f>IF($K829=1,L829-M829,"")</f>
        <v/>
      </c>
      <c r="O829" s="34" t="n">
        <v>0.00032817</v>
      </c>
      <c r="P829" s="34">
        <f>IF($J829=1,LN(1+O829),"")</f>
        <v/>
      </c>
      <c r="Q829" s="34">
        <f>IF($J829=1,LN(R830/R829),"")</f>
        <v/>
      </c>
      <c r="R829" s="32" t="n">
        <v>1.8457</v>
      </c>
      <c r="S829" s="35" t="n">
        <v>9.196</v>
      </c>
      <c r="T829" s="18" t="n"/>
      <c r="U829" s="18" t="n"/>
      <c r="V829" s="18" t="n">
        <v>55761</v>
      </c>
      <c r="W829" s="18" t="n"/>
      <c r="X829" s="35" t="n"/>
      <c r="Y829" s="35" t="n">
        <v>9.196</v>
      </c>
    </row>
    <row r="830">
      <c r="A830" s="25" t="n">
        <v>40037</v>
      </c>
      <c r="B830" s="18" t="n">
        <v>56588</v>
      </c>
      <c r="C830" s="31" t="n"/>
      <c r="D830" s="32" t="n"/>
      <c r="E830" s="33" t="n">
        <v>0.5903</v>
      </c>
      <c r="F830" t="inlineStr">
        <is>
          <t>Down</t>
        </is>
      </c>
      <c r="G830" t="inlineStr">
        <is>
          <t>Down</t>
        </is>
      </c>
      <c r="H830" t="inlineStr">
        <is>
          <t>ED_JD</t>
        </is>
      </c>
      <c r="I830" t="inlineStr">
        <is>
          <t>2009-08</t>
        </is>
      </c>
      <c r="J830" t="n">
        <v>1</v>
      </c>
      <c r="K830" t="n">
        <v>1</v>
      </c>
      <c r="L830" s="34">
        <f>IF($J830=1,LN(B831/B830),"")</f>
        <v/>
      </c>
      <c r="M830" s="34">
        <f>IF($K830=1,INDEX(Mensal!$D$2:$D$245,MATCH($I830,Mensal!$A$2:$A$245,0)),"")</f>
        <v/>
      </c>
      <c r="N830" s="34">
        <f>IF($K830=1,L830-M830,"")</f>
        <v/>
      </c>
      <c r="O830" s="34" t="n">
        <v>0.00032817</v>
      </c>
      <c r="P830" s="34">
        <f>IF($J830=1,LN(1+O830),"")</f>
        <v/>
      </c>
      <c r="Q830" s="34">
        <f>IF($J830=1,LN(R831/R830),"")</f>
        <v/>
      </c>
      <c r="R830" s="32" t="n">
        <v>1.8386</v>
      </c>
      <c r="S830" s="35" t="n">
        <v>9.186</v>
      </c>
      <c r="T830" s="18" t="n"/>
      <c r="U830" s="18" t="n"/>
      <c r="V830" s="18" t="n">
        <v>56588</v>
      </c>
      <c r="W830" s="18" t="n"/>
      <c r="X830" s="35" t="n"/>
      <c r="Y830" s="35" t="n">
        <v>9.186</v>
      </c>
    </row>
    <row r="831">
      <c r="A831" s="25" t="n">
        <v>40038</v>
      </c>
      <c r="B831" s="18" t="n">
        <v>57048</v>
      </c>
      <c r="C831" s="31" t="n"/>
      <c r="D831" s="32" t="n"/>
      <c r="E831" s="33" t="n">
        <v>0.6168</v>
      </c>
      <c r="F831" t="inlineStr">
        <is>
          <t>Down</t>
        </is>
      </c>
      <c r="G831" t="inlineStr">
        <is>
          <t>Down</t>
        </is>
      </c>
      <c r="H831" t="inlineStr">
        <is>
          <t>ED_JD</t>
        </is>
      </c>
      <c r="I831" t="inlineStr">
        <is>
          <t>2009-08</t>
        </is>
      </c>
      <c r="J831" t="n">
        <v>1</v>
      </c>
      <c r="K831" t="n">
        <v>1</v>
      </c>
      <c r="L831" s="34">
        <f>IF($J831=1,LN(B832/B831),"")</f>
        <v/>
      </c>
      <c r="M831" s="34">
        <f>IF($K831=1,INDEX(Mensal!$D$2:$D$245,MATCH($I831,Mensal!$A$2:$A$245,0)),"")</f>
        <v/>
      </c>
      <c r="N831" s="34">
        <f>IF($K831=1,L831-M831,"")</f>
        <v/>
      </c>
      <c r="O831" s="34" t="n">
        <v>0.00032817</v>
      </c>
      <c r="P831" s="34">
        <f>IF($J831=1,LN(1+O831),"")</f>
        <v/>
      </c>
      <c r="Q831" s="34">
        <f>IF($J831=1,LN(R832/R831),"")</f>
        <v/>
      </c>
      <c r="R831" s="32" t="n">
        <v>1.8325</v>
      </c>
      <c r="S831" s="35" t="n">
        <v>9.116</v>
      </c>
      <c r="T831" s="18" t="n"/>
      <c r="U831" s="18" t="n"/>
      <c r="V831" s="18" t="n">
        <v>57048</v>
      </c>
      <c r="W831" s="18" t="n"/>
      <c r="X831" s="35" t="n"/>
      <c r="Y831" s="35" t="n">
        <v>9.116</v>
      </c>
    </row>
    <row r="832">
      <c r="A832" s="25" t="n">
        <v>40039</v>
      </c>
      <c r="B832" s="18" t="n">
        <v>56638</v>
      </c>
      <c r="C832" s="31" t="n"/>
      <c r="D832" s="32" t="n"/>
      <c r="E832" s="33" t="n">
        <v>0.6475</v>
      </c>
      <c r="F832" t="inlineStr">
        <is>
          <t>Down</t>
        </is>
      </c>
      <c r="G832" t="inlineStr">
        <is>
          <t>Down</t>
        </is>
      </c>
      <c r="H832" t="inlineStr">
        <is>
          <t>ED_JD</t>
        </is>
      </c>
      <c r="I832" t="inlineStr">
        <is>
          <t>2009-08</t>
        </is>
      </c>
      <c r="J832" t="n">
        <v>1</v>
      </c>
      <c r="K832" t="n">
        <v>1</v>
      </c>
      <c r="L832" s="34">
        <f>IF($J832=1,LN(B833/B832),"")</f>
        <v/>
      </c>
      <c r="M832" s="34">
        <f>IF($K832=1,INDEX(Mensal!$D$2:$D$245,MATCH($I832,Mensal!$A$2:$A$245,0)),"")</f>
        <v/>
      </c>
      <c r="N832" s="34">
        <f>IF($K832=1,L832-M832,"")</f>
        <v/>
      </c>
      <c r="O832" s="34" t="n">
        <v>0.00032817</v>
      </c>
      <c r="P832" s="34">
        <f>IF($J832=1,LN(1+O832),"")</f>
        <v/>
      </c>
      <c r="Q832" s="34">
        <f>IF($J832=1,LN(R833/R832),"")</f>
        <v/>
      </c>
      <c r="R832" s="32" t="n">
        <v>1.8385</v>
      </c>
      <c r="S832" s="35" t="n">
        <v>9.042</v>
      </c>
      <c r="T832" s="18" t="n"/>
      <c r="U832" s="18" t="n"/>
      <c r="V832" s="18" t="n">
        <v>56638</v>
      </c>
      <c r="W832" s="18" t="n"/>
      <c r="X832" s="35" t="n"/>
      <c r="Y832" s="35" t="n">
        <v>9.042</v>
      </c>
    </row>
    <row r="833">
      <c r="A833" s="25" t="n">
        <v>40042</v>
      </c>
      <c r="B833" s="18" t="n">
        <v>55218</v>
      </c>
      <c r="C833" s="31" t="n"/>
      <c r="D833" s="32" t="n"/>
      <c r="E833" s="33" t="n">
        <v>0.6531</v>
      </c>
      <c r="F833" t="inlineStr">
        <is>
          <t>Down</t>
        </is>
      </c>
      <c r="G833" t="inlineStr">
        <is>
          <t>Down</t>
        </is>
      </c>
      <c r="H833" t="inlineStr">
        <is>
          <t>ED_JD</t>
        </is>
      </c>
      <c r="I833" t="inlineStr">
        <is>
          <t>2009-08</t>
        </is>
      </c>
      <c r="J833" t="n">
        <v>1</v>
      </c>
      <c r="K833" t="n">
        <v>1</v>
      </c>
      <c r="L833" s="34">
        <f>IF($J833=1,LN(B834/B833),"")</f>
        <v/>
      </c>
      <c r="M833" s="34">
        <f>IF($K833=1,INDEX(Mensal!$D$2:$D$245,MATCH($I833,Mensal!$A$2:$A$245,0)),"")</f>
        <v/>
      </c>
      <c r="N833" s="34">
        <f>IF($K833=1,L833-M833,"")</f>
        <v/>
      </c>
      <c r="O833" s="34" t="n">
        <v>0.00032817</v>
      </c>
      <c r="P833" s="34">
        <f>IF($J833=1,LN(1+O833),"")</f>
        <v/>
      </c>
      <c r="Q833" s="34">
        <f>IF($J833=1,LN(R834/R833),"")</f>
        <v/>
      </c>
      <c r="R833" s="32" t="n">
        <v>1.8682</v>
      </c>
      <c r="S833" s="35" t="n">
        <v>9.035</v>
      </c>
      <c r="T833" s="18" t="n"/>
      <c r="U833" s="18" t="n"/>
      <c r="V833" s="18" t="n">
        <v>55218</v>
      </c>
      <c r="W833" s="18" t="n"/>
      <c r="X833" s="35" t="n"/>
      <c r="Y833" s="35" t="n">
        <v>9.035</v>
      </c>
    </row>
    <row r="834">
      <c r="A834" s="25" t="n">
        <v>40043</v>
      </c>
      <c r="B834" s="18" t="n">
        <v>55749</v>
      </c>
      <c r="C834" s="31" t="n"/>
      <c r="D834" s="32" t="n"/>
      <c r="E834" s="33" t="n">
        <v>0.6524</v>
      </c>
      <c r="F834" t="inlineStr">
        <is>
          <t>Down</t>
        </is>
      </c>
      <c r="G834" t="inlineStr">
        <is>
          <t>Down</t>
        </is>
      </c>
      <c r="H834" t="inlineStr">
        <is>
          <t>ED_JD</t>
        </is>
      </c>
      <c r="I834" t="inlineStr">
        <is>
          <t>2009-08</t>
        </is>
      </c>
      <c r="J834" t="n">
        <v>1</v>
      </c>
      <c r="K834" t="n">
        <v>1</v>
      </c>
      <c r="L834" s="34">
        <f>IF($J834=1,LN(B835/B834),"")</f>
        <v/>
      </c>
      <c r="M834" s="34">
        <f>IF($K834=1,INDEX(Mensal!$D$2:$D$245,MATCH($I834,Mensal!$A$2:$A$245,0)),"")</f>
        <v/>
      </c>
      <c r="N834" s="34">
        <f>IF($K834=1,L834-M834,"")</f>
        <v/>
      </c>
      <c r="O834" s="34" t="n">
        <v>0.00032817</v>
      </c>
      <c r="P834" s="34">
        <f>IF($J834=1,LN(1+O834),"")</f>
        <v/>
      </c>
      <c r="Q834" s="34">
        <f>IF($J834=1,LN(R835/R834),"")</f>
        <v/>
      </c>
      <c r="R834" s="32" t="n">
        <v>1.8574</v>
      </c>
      <c r="S834" s="35" t="n">
        <v>9.06</v>
      </c>
      <c r="T834" s="18" t="n"/>
      <c r="U834" s="18" t="n"/>
      <c r="V834" s="18" t="n">
        <v>55749</v>
      </c>
      <c r="W834" s="18" t="n"/>
      <c r="X834" s="35" t="n"/>
      <c r="Y834" s="35" t="n">
        <v>9.06</v>
      </c>
    </row>
    <row r="835">
      <c r="A835" s="25" t="n">
        <v>40044</v>
      </c>
      <c r="B835" s="18" t="n">
        <v>56156</v>
      </c>
      <c r="C835" s="31" t="n"/>
      <c r="D835" s="32" t="n"/>
      <c r="E835" s="33" t="n">
        <v>0.6585</v>
      </c>
      <c r="F835" t="inlineStr">
        <is>
          <t>Down</t>
        </is>
      </c>
      <c r="G835" t="inlineStr">
        <is>
          <t>Down</t>
        </is>
      </c>
      <c r="H835" t="inlineStr">
        <is>
          <t>ED_JD</t>
        </is>
      </c>
      <c r="I835" t="inlineStr">
        <is>
          <t>2009-08</t>
        </is>
      </c>
      <c r="J835" t="n">
        <v>1</v>
      </c>
      <c r="K835" t="n">
        <v>1</v>
      </c>
      <c r="L835" s="34">
        <f>IF($J835=1,LN(B836/B835),"")</f>
        <v/>
      </c>
      <c r="M835" s="34">
        <f>IF($K835=1,INDEX(Mensal!$D$2:$D$245,MATCH($I835,Mensal!$A$2:$A$245,0)),"")</f>
        <v/>
      </c>
      <c r="N835" s="34">
        <f>IF($K835=1,L835-M835,"")</f>
        <v/>
      </c>
      <c r="O835" s="34" t="n">
        <v>0.00032854</v>
      </c>
      <c r="P835" s="34">
        <f>IF($J835=1,LN(1+O835),"")</f>
        <v/>
      </c>
      <c r="Q835" s="34">
        <f>IF($J835=1,LN(R836/R835),"")</f>
        <v/>
      </c>
      <c r="R835" s="32" t="n">
        <v>1.8433</v>
      </c>
      <c r="S835" s="35" t="n">
        <v>9.029999999999999</v>
      </c>
      <c r="T835" s="18" t="n"/>
      <c r="U835" s="18" t="n"/>
      <c r="V835" s="18" t="n">
        <v>56156</v>
      </c>
      <c r="W835" s="18" t="n"/>
      <c r="X835" s="35" t="n"/>
      <c r="Y835" s="35" t="n">
        <v>9.029999999999999</v>
      </c>
    </row>
    <row r="836">
      <c r="A836" s="25" t="n">
        <v>40045</v>
      </c>
      <c r="B836" s="18" t="n">
        <v>56831</v>
      </c>
      <c r="C836" s="31" t="n"/>
      <c r="D836" s="32" t="n"/>
      <c r="E836" s="33" t="n">
        <v>0.6646</v>
      </c>
      <c r="F836" t="inlineStr">
        <is>
          <t>Down</t>
        </is>
      </c>
      <c r="G836" t="inlineStr">
        <is>
          <t>Down</t>
        </is>
      </c>
      <c r="H836" t="inlineStr">
        <is>
          <t>ED_JD</t>
        </is>
      </c>
      <c r="I836" t="inlineStr">
        <is>
          <t>2009-08</t>
        </is>
      </c>
      <c r="J836" t="n">
        <v>1</v>
      </c>
      <c r="K836" t="n">
        <v>1</v>
      </c>
      <c r="L836" s="34">
        <f>IF($J836=1,LN(B837/B836),"")</f>
        <v/>
      </c>
      <c r="M836" s="34">
        <f>IF($K836=1,INDEX(Mensal!$D$2:$D$245,MATCH($I836,Mensal!$A$2:$A$245,0)),"")</f>
        <v/>
      </c>
      <c r="N836" s="34">
        <f>IF($K836=1,L836-M836,"")</f>
        <v/>
      </c>
      <c r="O836" s="34" t="n">
        <v>0.00032854</v>
      </c>
      <c r="P836" s="34">
        <f>IF($J836=1,LN(1+O836),"")</f>
        <v/>
      </c>
      <c r="Q836" s="34">
        <f>IF($J836=1,LN(R837/R836),"")</f>
        <v/>
      </c>
      <c r="R836" s="32" t="n">
        <v>1.8434</v>
      </c>
      <c r="S836" s="35" t="n">
        <v>9.054</v>
      </c>
      <c r="T836" s="18" t="n"/>
      <c r="U836" s="18" t="n"/>
      <c r="V836" s="18" t="n">
        <v>56831</v>
      </c>
      <c r="W836" s="18" t="n"/>
      <c r="X836" s="35" t="n"/>
      <c r="Y836" s="35" t="n">
        <v>9.054</v>
      </c>
    </row>
    <row r="837">
      <c r="A837" s="25" t="n">
        <v>40046</v>
      </c>
      <c r="B837" s="18" t="n">
        <v>57729</v>
      </c>
      <c r="C837" s="31" t="n"/>
      <c r="D837" s="32" t="n"/>
      <c r="E837" s="33" t="n">
        <v>0.6575</v>
      </c>
      <c r="F837" t="inlineStr">
        <is>
          <t>Down</t>
        </is>
      </c>
      <c r="G837" t="inlineStr">
        <is>
          <t>Down</t>
        </is>
      </c>
      <c r="H837" t="inlineStr">
        <is>
          <t>ED_JD</t>
        </is>
      </c>
      <c r="I837" t="inlineStr">
        <is>
          <t>2009-08</t>
        </is>
      </c>
      <c r="J837" t="n">
        <v>1</v>
      </c>
      <c r="K837" t="n">
        <v>1</v>
      </c>
      <c r="L837" s="34">
        <f>IF($J837=1,LN(B838/B837),"")</f>
        <v/>
      </c>
      <c r="M837" s="34">
        <f>IF($K837=1,INDEX(Mensal!$D$2:$D$245,MATCH($I837,Mensal!$A$2:$A$245,0)),"")</f>
        <v/>
      </c>
      <c r="N837" s="34">
        <f>IF($K837=1,L837-M837,"")</f>
        <v/>
      </c>
      <c r="O837" s="34" t="n">
        <v>0.00032817</v>
      </c>
      <c r="P837" s="34">
        <f>IF($J837=1,LN(1+O837),"")</f>
        <v/>
      </c>
      <c r="Q837" s="34">
        <f>IF($J837=1,LN(R838/R837),"")</f>
        <v/>
      </c>
      <c r="R837" s="32" t="n">
        <v>1.8297</v>
      </c>
      <c r="S837" s="35" t="n">
        <v>9.111000000000001</v>
      </c>
      <c r="T837" s="18" t="n"/>
      <c r="U837" s="18" t="n"/>
      <c r="V837" s="18" t="n">
        <v>57729</v>
      </c>
      <c r="W837" s="18" t="n"/>
      <c r="X837" s="35" t="n"/>
      <c r="Y837" s="35" t="n">
        <v>9.111000000000001</v>
      </c>
    </row>
    <row r="838">
      <c r="A838" s="25" t="n">
        <v>40049</v>
      </c>
      <c r="B838" s="18" t="n">
        <v>57775</v>
      </c>
      <c r="C838" s="31" t="n"/>
      <c r="D838" s="32" t="n"/>
      <c r="E838" s="33" t="n">
        <v>0.6546999999999999</v>
      </c>
      <c r="F838" t="inlineStr">
        <is>
          <t>Down</t>
        </is>
      </c>
      <c r="G838" t="inlineStr">
        <is>
          <t>Down</t>
        </is>
      </c>
      <c r="H838" t="inlineStr">
        <is>
          <t>ED_JD</t>
        </is>
      </c>
      <c r="I838" t="inlineStr">
        <is>
          <t>2009-08</t>
        </is>
      </c>
      <c r="J838" t="n">
        <v>1</v>
      </c>
      <c r="K838" t="n">
        <v>1</v>
      </c>
      <c r="L838" s="34">
        <f>IF($J838=1,LN(B839/B838),"")</f>
        <v/>
      </c>
      <c r="M838" s="34">
        <f>IF($K838=1,INDEX(Mensal!$D$2:$D$245,MATCH($I838,Mensal!$A$2:$A$245,0)),"")</f>
        <v/>
      </c>
      <c r="N838" s="34">
        <f>IF($K838=1,L838-M838,"")</f>
        <v/>
      </c>
      <c r="O838" s="34" t="n">
        <v>0.00032817</v>
      </c>
      <c r="P838" s="34">
        <f>IF($J838=1,LN(1+O838),"")</f>
        <v/>
      </c>
      <c r="Q838" s="34">
        <f>IF($J838=1,LN(R839/R838),"")</f>
        <v/>
      </c>
      <c r="R838" s="32" t="n">
        <v>1.8339</v>
      </c>
      <c r="S838" s="35" t="n">
        <v>9.115</v>
      </c>
      <c r="T838" s="18" t="n"/>
      <c r="U838" s="18" t="n"/>
      <c r="V838" s="18" t="n">
        <v>57775</v>
      </c>
      <c r="W838" s="18" t="n"/>
      <c r="X838" s="35" t="n"/>
      <c r="Y838" s="35" t="n">
        <v>9.115</v>
      </c>
    </row>
    <row r="839">
      <c r="A839" s="25" t="n">
        <v>40050</v>
      </c>
      <c r="B839" s="18" t="n">
        <v>57431</v>
      </c>
      <c r="C839" s="31" t="n"/>
      <c r="D839" s="32" t="n"/>
      <c r="E839" s="33" t="n">
        <v>0.6504</v>
      </c>
      <c r="F839" t="inlineStr">
        <is>
          <t>Down</t>
        </is>
      </c>
      <c r="G839" t="inlineStr">
        <is>
          <t>Down</t>
        </is>
      </c>
      <c r="H839" t="inlineStr">
        <is>
          <t>ED_JD</t>
        </is>
      </c>
      <c r="I839" t="inlineStr">
        <is>
          <t>2009-08</t>
        </is>
      </c>
      <c r="J839" t="n">
        <v>1</v>
      </c>
      <c r="K839" t="n">
        <v>1</v>
      </c>
      <c r="L839" s="34">
        <f>IF($J839=1,LN(B840/B839),"")</f>
        <v/>
      </c>
      <c r="M839" s="34">
        <f>IF($K839=1,INDEX(Mensal!$D$2:$D$245,MATCH($I839,Mensal!$A$2:$A$245,0)),"")</f>
        <v/>
      </c>
      <c r="N839" s="34">
        <f>IF($K839=1,L839-M839,"")</f>
        <v/>
      </c>
      <c r="O839" s="34" t="n">
        <v>0.00032817</v>
      </c>
      <c r="P839" s="34">
        <f>IF($J839=1,LN(1+O839),"")</f>
        <v/>
      </c>
      <c r="Q839" s="34">
        <f>IF($J839=1,LN(R840/R839),"")</f>
        <v/>
      </c>
      <c r="R839" s="32" t="n">
        <v>1.8419</v>
      </c>
      <c r="S839" s="35" t="n">
        <v>9.134</v>
      </c>
      <c r="T839" s="18" t="n"/>
      <c r="U839" s="18" t="n"/>
      <c r="V839" s="18" t="n">
        <v>57431</v>
      </c>
      <c r="W839" s="18" t="n"/>
      <c r="X839" s="35" t="n"/>
      <c r="Y839" s="35" t="n">
        <v>9.134</v>
      </c>
    </row>
    <row r="840">
      <c r="A840" s="25" t="n">
        <v>40051</v>
      </c>
      <c r="B840" s="18" t="n">
        <v>57766</v>
      </c>
      <c r="C840" s="31" t="n"/>
      <c r="D840" s="32" t="n"/>
      <c r="E840" s="33" t="n">
        <v>0.6503</v>
      </c>
      <c r="F840" t="inlineStr">
        <is>
          <t>Down</t>
        </is>
      </c>
      <c r="G840" t="inlineStr">
        <is>
          <t>Down</t>
        </is>
      </c>
      <c r="H840" t="inlineStr">
        <is>
          <t>ED_JD</t>
        </is>
      </c>
      <c r="I840" t="inlineStr">
        <is>
          <t>2009-08</t>
        </is>
      </c>
      <c r="J840" t="n">
        <v>1</v>
      </c>
      <c r="K840" t="n">
        <v>1</v>
      </c>
      <c r="L840" s="34">
        <f>IF($J840=1,LN(B841/B840),"")</f>
        <v/>
      </c>
      <c r="M840" s="34">
        <f>IF($K840=1,INDEX(Mensal!$D$2:$D$245,MATCH($I840,Mensal!$A$2:$A$245,0)),"")</f>
        <v/>
      </c>
      <c r="N840" s="34">
        <f>IF($K840=1,L840-M840,"")</f>
        <v/>
      </c>
      <c r="O840" s="34" t="n">
        <v>0.00032817</v>
      </c>
      <c r="P840" s="34">
        <f>IF($J840=1,LN(1+O840),"")</f>
        <v/>
      </c>
      <c r="Q840" s="34">
        <f>IF($J840=1,LN(R841/R840),"")</f>
        <v/>
      </c>
      <c r="R840" s="32" t="n">
        <v>1.867</v>
      </c>
      <c r="S840" s="35" t="n">
        <v>9.145</v>
      </c>
      <c r="T840" s="18" t="n"/>
      <c r="U840" s="18" t="n"/>
      <c r="V840" s="18" t="n">
        <v>57766</v>
      </c>
      <c r="W840" s="18" t="n"/>
      <c r="X840" s="35" t="n"/>
      <c r="Y840" s="35" t="n">
        <v>9.145</v>
      </c>
    </row>
    <row r="841">
      <c r="A841" s="25" t="n">
        <v>40052</v>
      </c>
      <c r="B841" s="18" t="n">
        <v>57704</v>
      </c>
      <c r="C841" s="31" t="n"/>
      <c r="D841" s="32" t="n"/>
      <c r="E841" s="33" t="n">
        <v>0.6543</v>
      </c>
      <c r="F841" t="inlineStr">
        <is>
          <t>Down</t>
        </is>
      </c>
      <c r="G841" t="inlineStr">
        <is>
          <t>Down</t>
        </is>
      </c>
      <c r="H841" t="inlineStr">
        <is>
          <t>ED_JD</t>
        </is>
      </c>
      <c r="I841" t="inlineStr">
        <is>
          <t>2009-08</t>
        </is>
      </c>
      <c r="J841" t="n">
        <v>1</v>
      </c>
      <c r="K841" t="n">
        <v>1</v>
      </c>
      <c r="L841" s="34">
        <f>IF($J841=1,LN(B842/B841),"")</f>
        <v/>
      </c>
      <c r="M841" s="34">
        <f>IF($K841=1,INDEX(Mensal!$D$2:$D$245,MATCH($I841,Mensal!$A$2:$A$245,0)),"")</f>
        <v/>
      </c>
      <c r="N841" s="34">
        <f>IF($K841=1,L841-M841,"")</f>
        <v/>
      </c>
      <c r="O841" s="34" t="n">
        <v>0.00032817</v>
      </c>
      <c r="P841" s="34">
        <f>IF($J841=1,LN(1+O841),"")</f>
        <v/>
      </c>
      <c r="Q841" s="34">
        <f>IF($J841=1,LN(R842/R841),"")</f>
        <v/>
      </c>
      <c r="R841" s="32" t="n">
        <v>1.8669</v>
      </c>
      <c r="S841" s="35" t="n">
        <v>9.163</v>
      </c>
      <c r="T841" s="18" t="n"/>
      <c r="U841" s="18" t="n"/>
      <c r="V841" s="18" t="n">
        <v>57704</v>
      </c>
      <c r="W841" s="18" t="n"/>
      <c r="X841" s="35" t="n"/>
      <c r="Y841" s="35" t="n">
        <v>9.163</v>
      </c>
    </row>
    <row r="842">
      <c r="A842" s="25" t="n">
        <v>40053</v>
      </c>
      <c r="B842" s="18" t="n">
        <v>57701</v>
      </c>
      <c r="C842" s="31" t="n"/>
      <c r="D842" s="32" t="n"/>
      <c r="E842" s="33" t="n">
        <v>0.6652</v>
      </c>
      <c r="F842" t="inlineStr">
        <is>
          <t>Down</t>
        </is>
      </c>
      <c r="G842" t="inlineStr">
        <is>
          <t>Down</t>
        </is>
      </c>
      <c r="H842" t="inlineStr">
        <is>
          <t>ED_JD</t>
        </is>
      </c>
      <c r="I842" t="inlineStr">
        <is>
          <t>2009-08</t>
        </is>
      </c>
      <c r="J842" t="n">
        <v>1</v>
      </c>
      <c r="K842" t="n">
        <v>1</v>
      </c>
      <c r="L842" s="34">
        <f>IF($J842=1,LN(B843/B842),"")</f>
        <v/>
      </c>
      <c r="M842" s="34">
        <f>IF($K842=1,INDEX(Mensal!$D$2:$D$245,MATCH($I842,Mensal!$A$2:$A$245,0)),"")</f>
        <v/>
      </c>
      <c r="N842" s="34">
        <f>IF($K842=1,L842-M842,"")</f>
        <v/>
      </c>
      <c r="O842" s="34" t="n">
        <v>0.00032817</v>
      </c>
      <c r="P842" s="34">
        <f>IF($J842=1,LN(1+O842),"")</f>
        <v/>
      </c>
      <c r="Q842" s="34">
        <f>IF($J842=1,LN(R843/R842),"")</f>
        <v/>
      </c>
      <c r="R842" s="32" t="n">
        <v>1.874</v>
      </c>
      <c r="S842" s="35" t="n">
        <v>9.215</v>
      </c>
      <c r="T842" s="18" t="n"/>
      <c r="U842" s="18" t="n"/>
      <c r="V842" s="18" t="n">
        <v>57701</v>
      </c>
      <c r="W842" s="18" t="n"/>
      <c r="X842" s="35" t="n"/>
      <c r="Y842" s="35" t="n">
        <v>9.215</v>
      </c>
    </row>
    <row r="843">
      <c r="A843" s="25" t="n">
        <v>40056</v>
      </c>
      <c r="B843" s="18" t="n">
        <v>56489</v>
      </c>
      <c r="C843" s="31" t="n"/>
      <c r="D843" s="32" t="n"/>
      <c r="E843" s="33" t="n">
        <v>0.6642</v>
      </c>
      <c r="F843" t="inlineStr">
        <is>
          <t>Down</t>
        </is>
      </c>
      <c r="G843" t="inlineStr">
        <is>
          <t>Down</t>
        </is>
      </c>
      <c r="H843" t="inlineStr">
        <is>
          <t>ED_JD</t>
        </is>
      </c>
      <c r="I843" t="inlineStr">
        <is>
          <t>2009-08</t>
        </is>
      </c>
      <c r="J843" t="n">
        <v>1</v>
      </c>
      <c r="K843" t="n">
        <v>1</v>
      </c>
      <c r="L843" s="34">
        <f>IF($J843=1,LN(B844/B843),"")</f>
        <v/>
      </c>
      <c r="M843" s="34">
        <f>IF($K843=1,INDEX(Mensal!$D$2:$D$245,MATCH($I843,Mensal!$A$2:$A$245,0)),"")</f>
        <v/>
      </c>
      <c r="N843" s="34">
        <f>IF($K843=1,L843-M843,"")</f>
        <v/>
      </c>
      <c r="O843" s="34" t="n">
        <v>0.00032817</v>
      </c>
      <c r="P843" s="34">
        <f>IF($J843=1,LN(1+O843),"")</f>
        <v/>
      </c>
      <c r="Q843" s="34">
        <f>IF($J843=1,LN(R844/R843),"")</f>
        <v/>
      </c>
      <c r="R843" s="32" t="n">
        <v>1.8864</v>
      </c>
      <c r="S843" s="35" t="n">
        <v>9.196999999999999</v>
      </c>
      <c r="T843" s="18" t="n"/>
      <c r="U843" s="18" t="n"/>
      <c r="V843" s="18" t="n">
        <v>56489</v>
      </c>
      <c r="W843" s="18" t="n"/>
      <c r="X843" s="35" t="n"/>
      <c r="Y843" s="35" t="n">
        <v>9.196999999999999</v>
      </c>
    </row>
    <row r="844">
      <c r="A844" s="25" t="n">
        <v>40057</v>
      </c>
      <c r="B844" s="18" t="n">
        <v>55815</v>
      </c>
      <c r="C844" s="31" t="n"/>
      <c r="D844" s="32" t="n"/>
      <c r="E844" s="33" t="n">
        <v>0.6548</v>
      </c>
      <c r="F844" t="inlineStr">
        <is>
          <t>Up</t>
        </is>
      </c>
      <c r="G844" t="inlineStr">
        <is>
          <t>Down</t>
        </is>
      </c>
      <c r="H844" t="inlineStr">
        <is>
          <t>EU_JD</t>
        </is>
      </c>
      <c r="I844" t="inlineStr">
        <is>
          <t>2009-09</t>
        </is>
      </c>
      <c r="J844" t="n">
        <v>1</v>
      </c>
      <c r="K844" t="n">
        <v>1</v>
      </c>
      <c r="L844" s="34">
        <f>IF($J844=1,LN(B845/B844),"")</f>
        <v/>
      </c>
      <c r="M844" s="34">
        <f>IF($K844=1,INDEX(Mensal!$D$2:$D$245,MATCH($I844,Mensal!$A$2:$A$245,0)),"")</f>
        <v/>
      </c>
      <c r="N844" s="34">
        <f>IF($K844=1,L844-M844,"")</f>
        <v/>
      </c>
      <c r="O844" s="34" t="n">
        <v>0.00032817</v>
      </c>
      <c r="P844" s="34">
        <f>IF($J844=1,LN(1+O844),"")</f>
        <v/>
      </c>
      <c r="Q844" s="34">
        <f>IF($J844=1,LN(R845/R844),"")</f>
        <v/>
      </c>
      <c r="R844" s="32" t="n">
        <v>1.8829</v>
      </c>
      <c r="S844" s="35" t="n">
        <v>9.148</v>
      </c>
      <c r="T844" s="18" t="n">
        <v>55815</v>
      </c>
      <c r="U844" s="18" t="n"/>
      <c r="V844" s="18" t="n"/>
      <c r="W844" s="18" t="n"/>
      <c r="X844" s="35" t="n"/>
      <c r="Y844" s="35" t="n">
        <v>9.148</v>
      </c>
    </row>
    <row r="845">
      <c r="A845" s="25" t="n">
        <v>40058</v>
      </c>
      <c r="B845" s="18" t="n">
        <v>55386</v>
      </c>
      <c r="C845" s="31" t="n"/>
      <c r="D845" s="32" t="n"/>
      <c r="E845" s="33" t="n">
        <v>0.6519</v>
      </c>
      <c r="F845" t="inlineStr">
        <is>
          <t>Up</t>
        </is>
      </c>
      <c r="G845" t="inlineStr">
        <is>
          <t>Down</t>
        </is>
      </c>
      <c r="H845" t="inlineStr">
        <is>
          <t>EU_JD</t>
        </is>
      </c>
      <c r="I845" t="inlineStr">
        <is>
          <t>2009-09</t>
        </is>
      </c>
      <c r="J845" t="n">
        <v>1</v>
      </c>
      <c r="K845" t="n">
        <v>1</v>
      </c>
      <c r="L845" s="34">
        <f>IF($J845=1,LN(B846/B845),"")</f>
        <v/>
      </c>
      <c r="M845" s="34">
        <f>IF($K845=1,INDEX(Mensal!$D$2:$D$245,MATCH($I845,Mensal!$A$2:$A$245,0)),"")</f>
        <v/>
      </c>
      <c r="N845" s="34">
        <f>IF($K845=1,L845-M845,"")</f>
        <v/>
      </c>
      <c r="O845" s="34" t="n">
        <v>0.00032817</v>
      </c>
      <c r="P845" s="34">
        <f>IF($J845=1,LN(1+O845),"")</f>
        <v/>
      </c>
      <c r="Q845" s="34">
        <f>IF($J845=1,LN(R846/R845),"")</f>
        <v/>
      </c>
      <c r="R845" s="32" t="n">
        <v>1.9038</v>
      </c>
      <c r="S845" s="35" t="n">
        <v>9.157</v>
      </c>
      <c r="T845" s="18" t="n">
        <v>55386</v>
      </c>
      <c r="U845" s="18" t="n"/>
      <c r="V845" s="18" t="n"/>
      <c r="W845" s="18" t="n"/>
      <c r="X845" s="35" t="n"/>
      <c r="Y845" s="35" t="n">
        <v>9.157</v>
      </c>
    </row>
    <row r="846">
      <c r="A846" s="25" t="n">
        <v>40059</v>
      </c>
      <c r="B846" s="18" t="n">
        <v>55707</v>
      </c>
      <c r="C846" s="31" t="n"/>
      <c r="D846" s="32" t="n"/>
      <c r="E846" s="33" t="n">
        <v>0.6621</v>
      </c>
      <c r="F846" t="inlineStr">
        <is>
          <t>Up</t>
        </is>
      </c>
      <c r="G846" t="inlineStr">
        <is>
          <t>Down</t>
        </is>
      </c>
      <c r="H846" t="inlineStr">
        <is>
          <t>EU_JD</t>
        </is>
      </c>
      <c r="I846" t="inlineStr">
        <is>
          <t>2009-09</t>
        </is>
      </c>
      <c r="J846" t="n">
        <v>1</v>
      </c>
      <c r="K846" t="n">
        <v>1</v>
      </c>
      <c r="L846" s="34">
        <f>IF($J846=1,LN(B847/B846),"")</f>
        <v/>
      </c>
      <c r="M846" s="34">
        <f>IF($K846=1,INDEX(Mensal!$D$2:$D$245,MATCH($I846,Mensal!$A$2:$A$245,0)),"")</f>
        <v/>
      </c>
      <c r="N846" s="34">
        <f>IF($K846=1,L846-M846,"")</f>
        <v/>
      </c>
      <c r="O846" s="34" t="n">
        <v>0.00032817</v>
      </c>
      <c r="P846" s="34">
        <f>IF($J846=1,LN(1+O846),"")</f>
        <v/>
      </c>
      <c r="Q846" s="34">
        <f>IF($J846=1,LN(R847/R846),"")</f>
        <v/>
      </c>
      <c r="R846" s="32" t="n">
        <v>1.8702</v>
      </c>
      <c r="S846" s="35" t="n">
        <v>9.185</v>
      </c>
      <c r="T846" s="18" t="n">
        <v>55707</v>
      </c>
      <c r="U846" s="18" t="n"/>
      <c r="V846" s="18" t="n"/>
      <c r="W846" s="18" t="n"/>
      <c r="X846" s="35" t="n"/>
      <c r="Y846" s="35" t="n">
        <v>9.185</v>
      </c>
    </row>
    <row r="847">
      <c r="A847" s="25" t="n">
        <v>40060</v>
      </c>
      <c r="B847" s="18" t="n">
        <v>56652</v>
      </c>
      <c r="C847" s="31" t="n"/>
      <c r="D847" s="32" t="n"/>
      <c r="E847" s="33" t="n">
        <v>0.6609</v>
      </c>
      <c r="F847" t="inlineStr">
        <is>
          <t>Up</t>
        </is>
      </c>
      <c r="G847" t="inlineStr">
        <is>
          <t>Down</t>
        </is>
      </c>
      <c r="H847" t="inlineStr">
        <is>
          <t>EU_JD</t>
        </is>
      </c>
      <c r="I847" t="inlineStr">
        <is>
          <t>2009-09</t>
        </is>
      </c>
      <c r="J847" t="n">
        <v>1</v>
      </c>
      <c r="K847" t="n">
        <v>1</v>
      </c>
      <c r="L847" s="34">
        <f>IF($J847=1,LN(B848/B847),"")</f>
        <v/>
      </c>
      <c r="M847" s="34">
        <f>IF($K847=1,INDEX(Mensal!$D$2:$D$245,MATCH($I847,Mensal!$A$2:$A$245,0)),"")</f>
        <v/>
      </c>
      <c r="N847" s="34">
        <f>IF($K847=1,L847-M847,"")</f>
        <v/>
      </c>
      <c r="O847" s="34" t="n">
        <v>0.00032817</v>
      </c>
      <c r="P847" s="34">
        <f>IF($J847=1,LN(1+O847),"")</f>
        <v/>
      </c>
      <c r="Q847" s="34">
        <f>IF($J847=1,LN(R848/R847),"")</f>
        <v/>
      </c>
      <c r="R847" s="32" t="n">
        <v>1.8501</v>
      </c>
      <c r="S847" s="35" t="n">
        <v>9.167</v>
      </c>
      <c r="T847" s="18" t="n">
        <v>56652</v>
      </c>
      <c r="U847" s="18" t="n"/>
      <c r="V847" s="18" t="n"/>
      <c r="W847" s="18" t="n"/>
      <c r="X847" s="35" t="n"/>
      <c r="Y847" s="35" t="n">
        <v>9.167</v>
      </c>
    </row>
    <row r="848">
      <c r="A848" s="25" t="n">
        <v>40064</v>
      </c>
      <c r="B848" s="18" t="n">
        <v>57855</v>
      </c>
      <c r="C848" s="31" t="n"/>
      <c r="D848" s="32" t="n"/>
      <c r="E848" s="33" t="n">
        <v>0.6735</v>
      </c>
      <c r="F848" t="inlineStr">
        <is>
          <t>Up</t>
        </is>
      </c>
      <c r="G848" t="inlineStr">
        <is>
          <t>Down</t>
        </is>
      </c>
      <c r="H848" t="inlineStr">
        <is>
          <t>EU_JD</t>
        </is>
      </c>
      <c r="I848" t="inlineStr">
        <is>
          <t>2009-09</t>
        </is>
      </c>
      <c r="J848" t="n">
        <v>1</v>
      </c>
      <c r="K848" t="n">
        <v>1</v>
      </c>
      <c r="L848" s="34">
        <f>IF($J848=1,LN(B849/B848),"")</f>
        <v/>
      </c>
      <c r="M848" s="34">
        <f>IF($K848=1,INDEX(Mensal!$D$2:$D$245,MATCH($I848,Mensal!$A$2:$A$245,0)),"")</f>
        <v/>
      </c>
      <c r="N848" s="34">
        <f>IF($K848=1,L848-M848,"")</f>
        <v/>
      </c>
      <c r="O848" s="34" t="n">
        <v>0.00032817</v>
      </c>
      <c r="P848" s="34">
        <f>IF($J848=1,LN(1+O848),"")</f>
        <v/>
      </c>
      <c r="Q848" s="34">
        <f>IF($J848=1,LN(R849/R848),"")</f>
        <v/>
      </c>
      <c r="R848" s="32" t="n">
        <v>1.8254</v>
      </c>
      <c r="S848" s="35" t="n">
        <v>9.194000000000001</v>
      </c>
      <c r="T848" s="18" t="n">
        <v>57855</v>
      </c>
      <c r="U848" s="18" t="n"/>
      <c r="V848" s="18" t="n"/>
      <c r="W848" s="18" t="n"/>
      <c r="X848" s="35" t="n"/>
      <c r="Y848" s="35" t="n">
        <v>9.194000000000001</v>
      </c>
    </row>
    <row r="849">
      <c r="A849" s="25" t="n">
        <v>40065</v>
      </c>
      <c r="B849" s="18" t="n">
        <v>57910</v>
      </c>
      <c r="C849" s="31" t="n"/>
      <c r="D849" s="32" t="n"/>
      <c r="E849" s="33" t="n">
        <v>0.678</v>
      </c>
      <c r="F849" t="inlineStr">
        <is>
          <t>Up</t>
        </is>
      </c>
      <c r="G849" t="inlineStr">
        <is>
          <t>Down</t>
        </is>
      </c>
      <c r="H849" t="inlineStr">
        <is>
          <t>EU_JD</t>
        </is>
      </c>
      <c r="I849" t="inlineStr">
        <is>
          <t>2009-09</t>
        </is>
      </c>
      <c r="J849" t="n">
        <v>1</v>
      </c>
      <c r="K849" t="n">
        <v>1</v>
      </c>
      <c r="L849" s="34">
        <f>IF($J849=1,LN(B850/B849),"")</f>
        <v/>
      </c>
      <c r="M849" s="34">
        <f>IF($K849=1,INDEX(Mensal!$D$2:$D$245,MATCH($I849,Mensal!$A$2:$A$245,0)),"")</f>
        <v/>
      </c>
      <c r="N849" s="34">
        <f>IF($K849=1,L849-M849,"")</f>
        <v/>
      </c>
      <c r="O849" s="34" t="n">
        <v>0.00032854</v>
      </c>
      <c r="P849" s="34">
        <f>IF($J849=1,LN(1+O849),"")</f>
        <v/>
      </c>
      <c r="Q849" s="34">
        <f>IF($J849=1,LN(R850/R849),"")</f>
        <v/>
      </c>
      <c r="R849" s="32" t="n">
        <v>1.828</v>
      </c>
      <c r="S849" s="35" t="n">
        <v>9.196999999999999</v>
      </c>
      <c r="T849" s="18" t="n">
        <v>57910</v>
      </c>
      <c r="U849" s="18" t="n"/>
      <c r="V849" s="18" t="n"/>
      <c r="W849" s="18" t="n"/>
      <c r="X849" s="35" t="n"/>
      <c r="Y849" s="35" t="n">
        <v>9.196999999999999</v>
      </c>
    </row>
    <row r="850">
      <c r="A850" s="25" t="n">
        <v>40066</v>
      </c>
      <c r="B850" s="18" t="n">
        <v>58536</v>
      </c>
      <c r="C850" s="31" t="n"/>
      <c r="D850" s="32" t="n"/>
      <c r="E850" s="33" t="n">
        <v>0.6882</v>
      </c>
      <c r="F850" t="inlineStr">
        <is>
          <t>Up</t>
        </is>
      </c>
      <c r="G850" t="inlineStr">
        <is>
          <t>Down</t>
        </is>
      </c>
      <c r="H850" t="inlineStr">
        <is>
          <t>EU_JD</t>
        </is>
      </c>
      <c r="I850" t="inlineStr">
        <is>
          <t>2009-09</t>
        </is>
      </c>
      <c r="J850" t="n">
        <v>1</v>
      </c>
      <c r="K850" t="n">
        <v>1</v>
      </c>
      <c r="L850" s="34">
        <f>IF($J850=1,LN(B851/B850),"")</f>
        <v/>
      </c>
      <c r="M850" s="34">
        <f>IF($K850=1,INDEX(Mensal!$D$2:$D$245,MATCH($I850,Mensal!$A$2:$A$245,0)),"")</f>
        <v/>
      </c>
      <c r="N850" s="34">
        <f>IF($K850=1,L850-M850,"")</f>
        <v/>
      </c>
      <c r="O850" s="34" t="n">
        <v>0.00032854</v>
      </c>
      <c r="P850" s="34">
        <f>IF($J850=1,LN(1+O850),"")</f>
        <v/>
      </c>
      <c r="Q850" s="34">
        <f>IF($J850=1,LN(R851/R850),"")</f>
        <v/>
      </c>
      <c r="R850" s="32" t="n">
        <v>1.8261</v>
      </c>
      <c r="S850" s="35" t="n">
        <v>9.175000000000001</v>
      </c>
      <c r="T850" s="18" t="n">
        <v>58536</v>
      </c>
      <c r="U850" s="18" t="n"/>
      <c r="V850" s="18" t="n"/>
      <c r="W850" s="18" t="n"/>
      <c r="X850" s="35" t="n"/>
      <c r="Y850" s="35" t="n">
        <v>9.175000000000001</v>
      </c>
    </row>
    <row r="851">
      <c r="A851" s="25" t="n">
        <v>40067</v>
      </c>
      <c r="B851" s="18" t="n">
        <v>58366</v>
      </c>
      <c r="C851" s="31" t="n"/>
      <c r="D851" s="32" t="n"/>
      <c r="E851" s="33" t="n">
        <v>0.7044</v>
      </c>
      <c r="F851" t="inlineStr">
        <is>
          <t>Up</t>
        </is>
      </c>
      <c r="G851" t="inlineStr">
        <is>
          <t>Down</t>
        </is>
      </c>
      <c r="H851" t="inlineStr">
        <is>
          <t>EU_JD</t>
        </is>
      </c>
      <c r="I851" t="inlineStr">
        <is>
          <t>2009-09</t>
        </is>
      </c>
      <c r="J851" t="n">
        <v>1</v>
      </c>
      <c r="K851" t="n">
        <v>1</v>
      </c>
      <c r="L851" s="34">
        <f>IF($J851=1,LN(B852/B851),"")</f>
        <v/>
      </c>
      <c r="M851" s="34">
        <f>IF($K851=1,INDEX(Mensal!$D$2:$D$245,MATCH($I851,Mensal!$A$2:$A$245,0)),"")</f>
        <v/>
      </c>
      <c r="N851" s="34">
        <f>IF($K851=1,L851-M851,"")</f>
        <v/>
      </c>
      <c r="O851" s="34" t="n">
        <v>0.00032854</v>
      </c>
      <c r="P851" s="34">
        <f>IF($J851=1,LN(1+O851),"")</f>
        <v/>
      </c>
      <c r="Q851" s="34">
        <f>IF($J851=1,LN(R852/R851),"")</f>
        <v/>
      </c>
      <c r="R851" s="32" t="n">
        <v>1.8179</v>
      </c>
      <c r="S851" s="35" t="n">
        <v>9.121</v>
      </c>
      <c r="T851" s="18" t="n">
        <v>58366</v>
      </c>
      <c r="U851" s="18" t="n"/>
      <c r="V851" s="18" t="n"/>
      <c r="W851" s="18" t="n"/>
      <c r="X851" s="35" t="n"/>
      <c r="Y851" s="35" t="n">
        <v>9.121</v>
      </c>
    </row>
    <row r="852">
      <c r="A852" s="25" t="n">
        <v>40070</v>
      </c>
      <c r="B852" s="18" t="n">
        <v>58868</v>
      </c>
      <c r="C852" s="31" t="n"/>
      <c r="D852" s="32" t="n"/>
      <c r="E852" s="33" t="n">
        <v>0.7229</v>
      </c>
      <c r="F852" t="inlineStr">
        <is>
          <t>Up</t>
        </is>
      </c>
      <c r="G852" t="inlineStr">
        <is>
          <t>Down</t>
        </is>
      </c>
      <c r="H852" t="inlineStr">
        <is>
          <t>EU_JD</t>
        </is>
      </c>
      <c r="I852" t="inlineStr">
        <is>
          <t>2009-09</t>
        </is>
      </c>
      <c r="J852" t="n">
        <v>1</v>
      </c>
      <c r="K852" t="n">
        <v>1</v>
      </c>
      <c r="L852" s="34">
        <f>IF($J852=1,LN(B853/B852),"")</f>
        <v/>
      </c>
      <c r="M852" s="34">
        <f>IF($K852=1,INDEX(Mensal!$D$2:$D$245,MATCH($I852,Mensal!$A$2:$A$245,0)),"")</f>
        <v/>
      </c>
      <c r="N852" s="34">
        <f>IF($K852=1,L852-M852,"")</f>
        <v/>
      </c>
      <c r="O852" s="34" t="n">
        <v>0.00032854</v>
      </c>
      <c r="P852" s="34">
        <f>IF($J852=1,LN(1+O852),"")</f>
        <v/>
      </c>
      <c r="Q852" s="34">
        <f>IF($J852=1,LN(R853/R852),"")</f>
        <v/>
      </c>
      <c r="R852" s="32" t="n">
        <v>1.8197</v>
      </c>
      <c r="S852" s="35" t="n">
        <v>9.143000000000001</v>
      </c>
      <c r="T852" s="18" t="n">
        <v>58868</v>
      </c>
      <c r="U852" s="18" t="n"/>
      <c r="V852" s="18" t="n"/>
      <c r="W852" s="18" t="n"/>
      <c r="X852" s="35" t="n"/>
      <c r="Y852" s="35" t="n">
        <v>9.143000000000001</v>
      </c>
    </row>
    <row r="853">
      <c r="A853" s="25" t="n">
        <v>40071</v>
      </c>
      <c r="B853" s="18" t="n">
        <v>59264</v>
      </c>
      <c r="C853" s="31" t="n"/>
      <c r="D853" s="32" t="n"/>
      <c r="E853" s="33" t="n">
        <v>0.7433999999999999</v>
      </c>
      <c r="F853" t="inlineStr">
        <is>
          <t>Up</t>
        </is>
      </c>
      <c r="G853" t="inlineStr">
        <is>
          <t>Down</t>
        </is>
      </c>
      <c r="H853" t="inlineStr">
        <is>
          <t>EU_JD</t>
        </is>
      </c>
      <c r="I853" t="inlineStr">
        <is>
          <t>2009-09</t>
        </is>
      </c>
      <c r="J853" t="n">
        <v>1</v>
      </c>
      <c r="K853" t="n">
        <v>1</v>
      </c>
      <c r="L853" s="34">
        <f>IF($J853=1,LN(B854/B853),"")</f>
        <v/>
      </c>
      <c r="M853" s="34">
        <f>IF($K853=1,INDEX(Mensal!$D$2:$D$245,MATCH($I853,Mensal!$A$2:$A$245,0)),"")</f>
        <v/>
      </c>
      <c r="N853" s="34">
        <f>IF($K853=1,L853-M853,"")</f>
        <v/>
      </c>
      <c r="O853" s="34" t="n">
        <v>0.00032817</v>
      </c>
      <c r="P853" s="34">
        <f>IF($J853=1,LN(1+O853),"")</f>
        <v/>
      </c>
      <c r="Q853" s="34">
        <f>IF($J853=1,LN(R854/R853),"")</f>
        <v/>
      </c>
      <c r="R853" s="32" t="n">
        <v>1.8087</v>
      </c>
      <c r="S853" s="35" t="n">
        <v>9.194000000000001</v>
      </c>
      <c r="T853" s="18" t="n">
        <v>59264</v>
      </c>
      <c r="U853" s="18" t="n"/>
      <c r="V853" s="18" t="n"/>
      <c r="W853" s="18" t="n"/>
      <c r="X853" s="35" t="n"/>
      <c r="Y853" s="35" t="n">
        <v>9.194000000000001</v>
      </c>
    </row>
    <row r="854">
      <c r="A854" s="25" t="n">
        <v>40072</v>
      </c>
      <c r="B854" s="18" t="n">
        <v>60411</v>
      </c>
      <c r="C854" s="31" t="n"/>
      <c r="D854" s="32" t="n"/>
      <c r="E854" s="33" t="n">
        <v>0.7557</v>
      </c>
      <c r="F854" t="inlineStr">
        <is>
          <t>Up</t>
        </is>
      </c>
      <c r="G854" t="inlineStr">
        <is>
          <t>Down</t>
        </is>
      </c>
      <c r="H854" t="inlineStr">
        <is>
          <t>EU_JD</t>
        </is>
      </c>
      <c r="I854" t="inlineStr">
        <is>
          <t>2009-09</t>
        </is>
      </c>
      <c r="J854" t="n">
        <v>1</v>
      </c>
      <c r="K854" t="n">
        <v>1</v>
      </c>
      <c r="L854" s="34">
        <f>IF($J854=1,LN(B855/B854),"")</f>
        <v/>
      </c>
      <c r="M854" s="34">
        <f>IF($K854=1,INDEX(Mensal!$D$2:$D$245,MATCH($I854,Mensal!$A$2:$A$245,0)),"")</f>
        <v/>
      </c>
      <c r="N854" s="34">
        <f>IF($K854=1,L854-M854,"")</f>
        <v/>
      </c>
      <c r="O854" s="34" t="n">
        <v>0.00032854</v>
      </c>
      <c r="P854" s="34">
        <f>IF($J854=1,LN(1+O854),"")</f>
        <v/>
      </c>
      <c r="Q854" s="34">
        <f>IF($J854=1,LN(R855/R854),"")</f>
        <v/>
      </c>
      <c r="R854" s="32" t="n">
        <v>1.7984</v>
      </c>
      <c r="S854" s="35" t="n">
        <v>9.33</v>
      </c>
      <c r="T854" s="18" t="n">
        <v>60411</v>
      </c>
      <c r="U854" s="18" t="n"/>
      <c r="V854" s="18" t="n"/>
      <c r="W854" s="18" t="n"/>
      <c r="X854" s="35" t="n"/>
      <c r="Y854" s="35" t="n">
        <v>9.33</v>
      </c>
    </row>
    <row r="855">
      <c r="A855" s="25" t="n">
        <v>40073</v>
      </c>
      <c r="B855" s="18" t="n">
        <v>60236</v>
      </c>
      <c r="C855" s="31" t="n"/>
      <c r="D855" s="32" t="n"/>
      <c r="E855" s="33" t="n">
        <v>0.7577</v>
      </c>
      <c r="F855" t="inlineStr">
        <is>
          <t>Up</t>
        </is>
      </c>
      <c r="G855" t="inlineStr">
        <is>
          <t>Down</t>
        </is>
      </c>
      <c r="H855" t="inlineStr">
        <is>
          <t>EU_JD</t>
        </is>
      </c>
      <c r="I855" t="inlineStr">
        <is>
          <t>2009-09</t>
        </is>
      </c>
      <c r="J855" t="n">
        <v>1</v>
      </c>
      <c r="K855" t="n">
        <v>1</v>
      </c>
      <c r="L855" s="34">
        <f>IF($J855=1,LN(B856/B855),"")</f>
        <v/>
      </c>
      <c r="M855" s="34">
        <f>IF($K855=1,INDEX(Mensal!$D$2:$D$245,MATCH($I855,Mensal!$A$2:$A$245,0)),"")</f>
        <v/>
      </c>
      <c r="N855" s="34">
        <f>IF($K855=1,L855-M855,"")</f>
        <v/>
      </c>
      <c r="O855" s="34" t="n">
        <v>0.00032817</v>
      </c>
      <c r="P855" s="34">
        <f>IF($J855=1,LN(1+O855),"")</f>
        <v/>
      </c>
      <c r="Q855" s="34">
        <f>IF($J855=1,LN(R856/R855),"")</f>
        <v/>
      </c>
      <c r="R855" s="32" t="n">
        <v>1.8094</v>
      </c>
      <c r="S855" s="35" t="n">
        <v>9.34</v>
      </c>
      <c r="T855" s="18" t="n">
        <v>60236</v>
      </c>
      <c r="U855" s="18" t="n"/>
      <c r="V855" s="18" t="n"/>
      <c r="W855" s="18" t="n"/>
      <c r="X855" s="35" t="n"/>
      <c r="Y855" s="35" t="n">
        <v>9.34</v>
      </c>
    </row>
    <row r="856">
      <c r="A856" s="25" t="n">
        <v>40074</v>
      </c>
      <c r="B856" s="18" t="n">
        <v>60703</v>
      </c>
      <c r="C856" s="31" t="n"/>
      <c r="D856" s="32" t="n"/>
      <c r="E856" s="33" t="n">
        <v>0.7814</v>
      </c>
      <c r="F856" t="inlineStr">
        <is>
          <t>Up</t>
        </is>
      </c>
      <c r="G856" t="inlineStr">
        <is>
          <t>Down</t>
        </is>
      </c>
      <c r="H856" t="inlineStr">
        <is>
          <t>EU_JD</t>
        </is>
      </c>
      <c r="I856" t="inlineStr">
        <is>
          <t>2009-09</t>
        </is>
      </c>
      <c r="J856" t="n">
        <v>1</v>
      </c>
      <c r="K856" t="n">
        <v>1</v>
      </c>
      <c r="L856" s="34">
        <f>IF($J856=1,LN(B857/B856),"")</f>
        <v/>
      </c>
      <c r="M856" s="34">
        <f>IF($K856=1,INDEX(Mensal!$D$2:$D$245,MATCH($I856,Mensal!$A$2:$A$245,0)),"")</f>
        <v/>
      </c>
      <c r="N856" s="34">
        <f>IF($K856=1,L856-M856,"")</f>
        <v/>
      </c>
      <c r="O856" s="34" t="n">
        <v>0.00032854</v>
      </c>
      <c r="P856" s="34">
        <f>IF($J856=1,LN(1+O856),"")</f>
        <v/>
      </c>
      <c r="Q856" s="34">
        <f>IF($J856=1,LN(R857/R856),"")</f>
        <v/>
      </c>
      <c r="R856" s="32" t="n">
        <v>1.8049</v>
      </c>
      <c r="S856" s="35" t="n">
        <v>9.368</v>
      </c>
      <c r="T856" s="18" t="n">
        <v>60703</v>
      </c>
      <c r="U856" s="18" t="n"/>
      <c r="V856" s="18" t="n"/>
      <c r="W856" s="18" t="n"/>
      <c r="X856" s="35" t="n"/>
      <c r="Y856" s="35" t="n">
        <v>9.368</v>
      </c>
    </row>
    <row r="857">
      <c r="A857" s="25" t="n">
        <v>40077</v>
      </c>
      <c r="B857" s="18" t="n">
        <v>60928</v>
      </c>
      <c r="C857" s="31" t="n"/>
      <c r="D857" s="32" t="n"/>
      <c r="E857" s="33" t="n">
        <v>0.7897999999999999</v>
      </c>
      <c r="F857" t="inlineStr">
        <is>
          <t>Up</t>
        </is>
      </c>
      <c r="G857" t="inlineStr">
        <is>
          <t>Down</t>
        </is>
      </c>
      <c r="H857" t="inlineStr">
        <is>
          <t>EU_JD</t>
        </is>
      </c>
      <c r="I857" t="inlineStr">
        <is>
          <t>2009-09</t>
        </is>
      </c>
      <c r="J857" t="n">
        <v>1</v>
      </c>
      <c r="K857" t="n">
        <v>1</v>
      </c>
      <c r="L857" s="34">
        <f>IF($J857=1,LN(B858/B857),"")</f>
        <v/>
      </c>
      <c r="M857" s="34">
        <f>IF($K857=1,INDEX(Mensal!$D$2:$D$245,MATCH($I857,Mensal!$A$2:$A$245,0)),"")</f>
        <v/>
      </c>
      <c r="N857" s="34">
        <f>IF($K857=1,L857-M857,"")</f>
        <v/>
      </c>
      <c r="O857" s="34" t="n">
        <v>0.00032817</v>
      </c>
      <c r="P857" s="34">
        <f>IF($J857=1,LN(1+O857),"")</f>
        <v/>
      </c>
      <c r="Q857" s="34">
        <f>IF($J857=1,LN(R858/R857),"")</f>
        <v/>
      </c>
      <c r="R857" s="32" t="n">
        <v>1.8172</v>
      </c>
      <c r="S857" s="35" t="n">
        <v>9.56</v>
      </c>
      <c r="T857" s="18" t="n">
        <v>60928</v>
      </c>
      <c r="U857" s="18" t="n"/>
      <c r="V857" s="18" t="n"/>
      <c r="W857" s="18" t="n"/>
      <c r="X857" s="35" t="n"/>
      <c r="Y857" s="35" t="n">
        <v>9.56</v>
      </c>
    </row>
    <row r="858">
      <c r="A858" s="25" t="n">
        <v>40078</v>
      </c>
      <c r="B858" s="18" t="n">
        <v>61493</v>
      </c>
      <c r="C858" s="31" t="n"/>
      <c r="D858" s="32" t="n"/>
      <c r="E858" s="33" t="n">
        <v>0.8120000000000001</v>
      </c>
      <c r="F858" t="inlineStr">
        <is>
          <t>Up</t>
        </is>
      </c>
      <c r="G858" t="inlineStr">
        <is>
          <t>Down</t>
        </is>
      </c>
      <c r="H858" t="inlineStr">
        <is>
          <t>EU_JD</t>
        </is>
      </c>
      <c r="I858" t="inlineStr">
        <is>
          <t>2009-09</t>
        </is>
      </c>
      <c r="J858" t="n">
        <v>1</v>
      </c>
      <c r="K858" t="n">
        <v>1</v>
      </c>
      <c r="L858" s="34">
        <f>IF($J858=1,LN(B859/B858),"")</f>
        <v/>
      </c>
      <c r="M858" s="34">
        <f>IF($K858=1,INDEX(Mensal!$D$2:$D$245,MATCH($I858,Mensal!$A$2:$A$245,0)),"")</f>
        <v/>
      </c>
      <c r="N858" s="34">
        <f>IF($K858=1,L858-M858,"")</f>
        <v/>
      </c>
      <c r="O858" s="34" t="n">
        <v>0.00032854</v>
      </c>
      <c r="P858" s="34">
        <f>IF($J858=1,LN(1+O858),"")</f>
        <v/>
      </c>
      <c r="Q858" s="34">
        <f>IF($J858=1,LN(R859/R858),"")</f>
        <v/>
      </c>
      <c r="R858" s="32" t="n">
        <v>1.8061</v>
      </c>
      <c r="S858" s="35" t="n">
        <v>9.472</v>
      </c>
      <c r="T858" s="18" t="n">
        <v>61493</v>
      </c>
      <c r="U858" s="18" t="n"/>
      <c r="V858" s="18" t="n"/>
      <c r="W858" s="18" t="n"/>
      <c r="X858" s="35" t="n"/>
      <c r="Y858" s="35" t="n">
        <v>9.472</v>
      </c>
    </row>
    <row r="859">
      <c r="A859" s="25" t="n">
        <v>40079</v>
      </c>
      <c r="B859" s="18" t="n">
        <v>60496</v>
      </c>
      <c r="C859" s="31" t="n"/>
      <c r="D859" s="32" t="n"/>
      <c r="E859" s="33" t="n">
        <v>0.8280999999999999</v>
      </c>
      <c r="F859" t="inlineStr">
        <is>
          <t>Up</t>
        </is>
      </c>
      <c r="G859" t="inlineStr">
        <is>
          <t>Down</t>
        </is>
      </c>
      <c r="H859" t="inlineStr">
        <is>
          <t>EU_JD</t>
        </is>
      </c>
      <c r="I859" t="inlineStr">
        <is>
          <t>2009-09</t>
        </is>
      </c>
      <c r="J859" t="n">
        <v>1</v>
      </c>
      <c r="K859" t="n">
        <v>1</v>
      </c>
      <c r="L859" s="34">
        <f>IF($J859=1,LN(B860/B859),"")</f>
        <v/>
      </c>
      <c r="M859" s="34">
        <f>IF($K859=1,INDEX(Mensal!$D$2:$D$245,MATCH($I859,Mensal!$A$2:$A$245,0)),"")</f>
        <v/>
      </c>
      <c r="N859" s="34">
        <f>IF($K859=1,L859-M859,"")</f>
        <v/>
      </c>
      <c r="O859" s="34" t="n">
        <v>0.00032854</v>
      </c>
      <c r="P859" s="34">
        <f>IF($J859=1,LN(1+O859),"")</f>
        <v/>
      </c>
      <c r="Q859" s="34">
        <f>IF($J859=1,LN(R860/R859),"")</f>
        <v/>
      </c>
      <c r="R859" s="32" t="n">
        <v>1.7916</v>
      </c>
      <c r="S859" s="35" t="n">
        <v>9.574</v>
      </c>
      <c r="T859" s="18" t="n">
        <v>60496</v>
      </c>
      <c r="U859" s="18" t="n"/>
      <c r="V859" s="18" t="n"/>
      <c r="W859" s="18" t="n"/>
      <c r="X859" s="35" t="n"/>
      <c r="Y859" s="35" t="n">
        <v>9.574</v>
      </c>
    </row>
    <row r="860">
      <c r="A860" s="25" t="n">
        <v>40080</v>
      </c>
      <c r="B860" s="18" t="n">
        <v>60046</v>
      </c>
      <c r="C860" s="31" t="n"/>
      <c r="D860" s="32" t="n"/>
      <c r="E860" s="33" t="n">
        <v>0.8514</v>
      </c>
      <c r="F860" t="inlineStr">
        <is>
          <t>Up</t>
        </is>
      </c>
      <c r="G860" t="inlineStr">
        <is>
          <t>Down</t>
        </is>
      </c>
      <c r="H860" t="inlineStr">
        <is>
          <t>EU_JD</t>
        </is>
      </c>
      <c r="I860" t="inlineStr">
        <is>
          <t>2009-09</t>
        </is>
      </c>
      <c r="J860" t="n">
        <v>1</v>
      </c>
      <c r="K860" t="n">
        <v>1</v>
      </c>
      <c r="L860" s="34">
        <f>IF($J860=1,LN(B861/B860),"")</f>
        <v/>
      </c>
      <c r="M860" s="34">
        <f>IF($K860=1,INDEX(Mensal!$D$2:$D$245,MATCH($I860,Mensal!$A$2:$A$245,0)),"")</f>
        <v/>
      </c>
      <c r="N860" s="34">
        <f>IF($K860=1,L860-M860,"")</f>
        <v/>
      </c>
      <c r="O860" s="34" t="n">
        <v>0.00032817</v>
      </c>
      <c r="P860" s="34">
        <f>IF($J860=1,LN(1+O860),"")</f>
        <v/>
      </c>
      <c r="Q860" s="34">
        <f>IF($J860=1,LN(R861/R860),"")</f>
        <v/>
      </c>
      <c r="R860" s="32" t="n">
        <v>1.7917</v>
      </c>
      <c r="S860" s="35" t="n">
        <v>9.617000000000001</v>
      </c>
      <c r="T860" s="18" t="n">
        <v>60046</v>
      </c>
      <c r="U860" s="18" t="n"/>
      <c r="V860" s="18" t="n"/>
      <c r="W860" s="18" t="n"/>
      <c r="X860" s="35" t="n"/>
      <c r="Y860" s="35" t="n">
        <v>9.617000000000001</v>
      </c>
    </row>
    <row r="861">
      <c r="A861" s="25" t="n">
        <v>40081</v>
      </c>
      <c r="B861" s="18" t="n">
        <v>60356</v>
      </c>
      <c r="C861" s="31" t="n"/>
      <c r="D861" s="32" t="n"/>
      <c r="E861" s="33" t="n">
        <v>0.8694</v>
      </c>
      <c r="F861" t="inlineStr">
        <is>
          <t>Up</t>
        </is>
      </c>
      <c r="G861" t="inlineStr">
        <is>
          <t>Down</t>
        </is>
      </c>
      <c r="H861" t="inlineStr">
        <is>
          <t>EU_JD</t>
        </is>
      </c>
      <c r="I861" t="inlineStr">
        <is>
          <t>2009-09</t>
        </is>
      </c>
      <c r="J861" t="n">
        <v>1</v>
      </c>
      <c r="K861" t="n">
        <v>1</v>
      </c>
      <c r="L861" s="34">
        <f>IF($J861=1,LN(B862/B861),"")</f>
        <v/>
      </c>
      <c r="M861" s="34">
        <f>IF($K861=1,INDEX(Mensal!$D$2:$D$245,MATCH($I861,Mensal!$A$2:$A$245,0)),"")</f>
        <v/>
      </c>
      <c r="N861" s="34">
        <f>IF($K861=1,L861-M861,"")</f>
        <v/>
      </c>
      <c r="O861" s="34" t="n">
        <v>0.00032817</v>
      </c>
      <c r="P861" s="34">
        <f>IF($J861=1,LN(1+O861),"")</f>
        <v/>
      </c>
      <c r="Q861" s="34">
        <f>IF($J861=1,LN(R862/R861),"")</f>
        <v/>
      </c>
      <c r="R861" s="32" t="n">
        <v>1.8017</v>
      </c>
      <c r="S861" s="35" t="n">
        <v>9.664999999999999</v>
      </c>
      <c r="T861" s="18" t="n">
        <v>60356</v>
      </c>
      <c r="U861" s="18" t="n"/>
      <c r="V861" s="18" t="n"/>
      <c r="W861" s="18" t="n"/>
      <c r="X861" s="35" t="n"/>
      <c r="Y861" s="35" t="n">
        <v>9.664999999999999</v>
      </c>
    </row>
    <row r="862">
      <c r="A862" s="25" t="n">
        <v>40084</v>
      </c>
      <c r="B862" s="18" t="n">
        <v>61317</v>
      </c>
      <c r="C862" s="31" t="n"/>
      <c r="D862" s="32" t="n"/>
      <c r="E862" s="33" t="n">
        <v>0.8824</v>
      </c>
      <c r="F862" t="inlineStr">
        <is>
          <t>Up</t>
        </is>
      </c>
      <c r="G862" t="inlineStr">
        <is>
          <t>Down</t>
        </is>
      </c>
      <c r="H862" t="inlineStr">
        <is>
          <t>EU_JD</t>
        </is>
      </c>
      <c r="I862" t="inlineStr">
        <is>
          <t>2009-09</t>
        </is>
      </c>
      <c r="J862" t="n">
        <v>1</v>
      </c>
      <c r="K862" t="n">
        <v>1</v>
      </c>
      <c r="L862" s="34">
        <f>IF($J862=1,LN(B863/B862),"")</f>
        <v/>
      </c>
      <c r="M862" s="34">
        <f>IF($K862=1,INDEX(Mensal!$D$2:$D$245,MATCH($I862,Mensal!$A$2:$A$245,0)),"")</f>
        <v/>
      </c>
      <c r="N862" s="34">
        <f>IF($K862=1,L862-M862,"")</f>
        <v/>
      </c>
      <c r="O862" s="34" t="n">
        <v>0.00032817</v>
      </c>
      <c r="P862" s="34">
        <f>IF($J862=1,LN(1+O862),"")</f>
        <v/>
      </c>
      <c r="Q862" s="34">
        <f>IF($J862=1,LN(R863/R862),"")</f>
        <v/>
      </c>
      <c r="R862" s="32" t="n">
        <v>1.791</v>
      </c>
      <c r="S862" s="35" t="n">
        <v>9.638</v>
      </c>
      <c r="T862" s="18" t="n">
        <v>61317</v>
      </c>
      <c r="U862" s="18" t="n"/>
      <c r="V862" s="18" t="n"/>
      <c r="W862" s="18" t="n"/>
      <c r="X862" s="35" t="n"/>
      <c r="Y862" s="35" t="n">
        <v>9.638</v>
      </c>
    </row>
    <row r="863">
      <c r="A863" s="25" t="n">
        <v>40085</v>
      </c>
      <c r="B863" s="18" t="n">
        <v>61235</v>
      </c>
      <c r="C863" s="31" t="n"/>
      <c r="D863" s="32" t="n"/>
      <c r="E863" s="33" t="n">
        <v>0.892</v>
      </c>
      <c r="F863" t="inlineStr">
        <is>
          <t>Up</t>
        </is>
      </c>
      <c r="G863" t="inlineStr">
        <is>
          <t>Down</t>
        </is>
      </c>
      <c r="H863" t="inlineStr">
        <is>
          <t>EU_JD</t>
        </is>
      </c>
      <c r="I863" t="inlineStr">
        <is>
          <t>2009-09</t>
        </is>
      </c>
      <c r="J863" t="n">
        <v>1</v>
      </c>
      <c r="K863" t="n">
        <v>1</v>
      </c>
      <c r="L863" s="34">
        <f>IF($J863=1,LN(B864/B863),"")</f>
        <v/>
      </c>
      <c r="M863" s="34">
        <f>IF($K863=1,INDEX(Mensal!$D$2:$D$245,MATCH($I863,Mensal!$A$2:$A$245,0)),"")</f>
        <v/>
      </c>
      <c r="N863" s="34">
        <f>IF($K863=1,L863-M863,"")</f>
        <v/>
      </c>
      <c r="O863" s="34" t="n">
        <v>0.00032707</v>
      </c>
      <c r="P863" s="34">
        <f>IF($J863=1,LN(1+O863),"")</f>
        <v/>
      </c>
      <c r="Q863" s="34">
        <f>IF($J863=1,LN(R864/R863),"")</f>
        <v/>
      </c>
      <c r="R863" s="32" t="n">
        <v>1.7928</v>
      </c>
      <c r="S863" s="35" t="n">
        <v>9.638</v>
      </c>
      <c r="T863" s="18" t="n">
        <v>61235</v>
      </c>
      <c r="U863" s="18" t="n"/>
      <c r="V863" s="18" t="n"/>
      <c r="W863" s="18" t="n"/>
      <c r="X863" s="35" t="n"/>
      <c r="Y863" s="35" t="n">
        <v>9.638</v>
      </c>
    </row>
    <row r="864">
      <c r="A864" s="25" t="n">
        <v>40086</v>
      </c>
      <c r="B864" s="18" t="n">
        <v>61518</v>
      </c>
      <c r="C864" s="31" t="n"/>
      <c r="D864" s="32" t="n"/>
      <c r="E864" s="33" t="n">
        <v>0.9033</v>
      </c>
      <c r="F864" t="inlineStr">
        <is>
          <t>Up</t>
        </is>
      </c>
      <c r="G864" t="inlineStr">
        <is>
          <t>Down</t>
        </is>
      </c>
      <c r="H864" t="inlineStr">
        <is>
          <t>EU_JD</t>
        </is>
      </c>
      <c r="I864" t="inlineStr">
        <is>
          <t>2009-09</t>
        </is>
      </c>
      <c r="J864" t="n">
        <v>1</v>
      </c>
      <c r="K864" t="n">
        <v>1</v>
      </c>
      <c r="L864" s="34">
        <f>IF($J864=1,LN(B865/B864),"")</f>
        <v/>
      </c>
      <c r="M864" s="34">
        <f>IF($K864=1,INDEX(Mensal!$D$2:$D$245,MATCH($I864,Mensal!$A$2:$A$245,0)),"")</f>
        <v/>
      </c>
      <c r="N864" s="34">
        <f>IF($K864=1,L864-M864,"")</f>
        <v/>
      </c>
      <c r="O864" s="34" t="n">
        <v>0.00032744</v>
      </c>
      <c r="P864" s="34">
        <f>IF($J864=1,LN(1+O864),"")</f>
        <v/>
      </c>
      <c r="Q864" s="34">
        <f>IF($J864=1,LN(R865/R864),"")</f>
        <v/>
      </c>
      <c r="R864" s="32" t="n">
        <v>1.7781</v>
      </c>
      <c r="S864" s="35" t="n">
        <v>9.648</v>
      </c>
      <c r="T864" s="18" t="n">
        <v>61518</v>
      </c>
      <c r="U864" s="18" t="n"/>
      <c r="V864" s="18" t="n"/>
      <c r="W864" s="18" t="n"/>
      <c r="X864" s="35" t="n"/>
      <c r="Y864" s="35" t="n">
        <v>9.648</v>
      </c>
    </row>
    <row r="865">
      <c r="A865" s="25" t="n">
        <v>40087</v>
      </c>
      <c r="B865" s="18" t="n">
        <v>60459</v>
      </c>
      <c r="C865" s="31" t="n"/>
      <c r="D865" s="32" t="n"/>
      <c r="E865" s="33" t="n">
        <v>0.9294</v>
      </c>
      <c r="F865" t="inlineStr">
        <is>
          <t>Up</t>
        </is>
      </c>
      <c r="G865" t="inlineStr">
        <is>
          <t>Down</t>
        </is>
      </c>
      <c r="H865" t="inlineStr">
        <is>
          <t>EU_JD</t>
        </is>
      </c>
      <c r="I865" t="inlineStr">
        <is>
          <t>2009-10</t>
        </is>
      </c>
      <c r="J865" t="n">
        <v>1</v>
      </c>
      <c r="K865" t="n">
        <v>1</v>
      </c>
      <c r="L865" s="34">
        <f>IF($J865=1,LN(B866/B865),"")</f>
        <v/>
      </c>
      <c r="M865" s="34">
        <f>IF($K865=1,INDEX(Mensal!$D$2:$D$245,MATCH($I865,Mensal!$A$2:$A$245,0)),"")</f>
        <v/>
      </c>
      <c r="N865" s="34">
        <f>IF($K865=1,L865-M865,"")</f>
        <v/>
      </c>
      <c r="O865" s="34" t="n">
        <v>0.00032817</v>
      </c>
      <c r="P865" s="34">
        <f>IF($J865=1,LN(1+O865),"")</f>
        <v/>
      </c>
      <c r="Q865" s="34">
        <f>IF($J865=1,LN(R866/R865),"")</f>
        <v/>
      </c>
      <c r="R865" s="32" t="n">
        <v>1.7794</v>
      </c>
      <c r="S865" s="35" t="n">
        <v>9.727</v>
      </c>
      <c r="T865" s="18" t="n">
        <v>60459</v>
      </c>
      <c r="U865" s="18" t="n"/>
      <c r="V865" s="18" t="n"/>
      <c r="W865" s="18" t="n"/>
      <c r="X865" s="35" t="n"/>
      <c r="Y865" s="35" t="n">
        <v>9.727</v>
      </c>
    </row>
    <row r="866">
      <c r="A866" s="25" t="n">
        <v>40088</v>
      </c>
      <c r="B866" s="18" t="n">
        <v>61172</v>
      </c>
      <c r="C866" s="31" t="n"/>
      <c r="D866" s="32" t="n"/>
      <c r="E866" s="33" t="n">
        <v>0.9402</v>
      </c>
      <c r="F866" t="inlineStr">
        <is>
          <t>Up</t>
        </is>
      </c>
      <c r="G866" t="inlineStr">
        <is>
          <t>Down</t>
        </is>
      </c>
      <c r="H866" t="inlineStr">
        <is>
          <t>EU_JD</t>
        </is>
      </c>
      <c r="I866" t="inlineStr">
        <is>
          <t>2009-10</t>
        </is>
      </c>
      <c r="J866" t="n">
        <v>1</v>
      </c>
      <c r="K866" t="n">
        <v>1</v>
      </c>
      <c r="L866" s="34">
        <f>IF($J866=1,LN(B867/B866),"")</f>
        <v/>
      </c>
      <c r="M866" s="34">
        <f>IF($K866=1,INDEX(Mensal!$D$2:$D$245,MATCH($I866,Mensal!$A$2:$A$245,0)),"")</f>
        <v/>
      </c>
      <c r="N866" s="34">
        <f>IF($K866=1,L866-M866,"")</f>
        <v/>
      </c>
      <c r="O866" s="34" t="n">
        <v>0.00032817</v>
      </c>
      <c r="P866" s="34">
        <f>IF($J866=1,LN(1+O866),"")</f>
        <v/>
      </c>
      <c r="Q866" s="34">
        <f>IF($J866=1,LN(R867/R866),"")</f>
        <v/>
      </c>
      <c r="R866" s="32" t="n">
        <v>1.7844</v>
      </c>
      <c r="S866" s="35" t="n">
        <v>9.667</v>
      </c>
      <c r="T866" s="18" t="n">
        <v>61172</v>
      </c>
      <c r="U866" s="18" t="n"/>
      <c r="V866" s="18" t="n"/>
      <c r="W866" s="18" t="n"/>
      <c r="X866" s="35" t="n"/>
      <c r="Y866" s="35" t="n">
        <v>9.667</v>
      </c>
    </row>
    <row r="867">
      <c r="A867" s="25" t="n">
        <v>40091</v>
      </c>
      <c r="B867" s="18" t="n">
        <v>62369</v>
      </c>
      <c r="C867" s="31" t="n"/>
      <c r="D867" s="32" t="n"/>
      <c r="E867" s="33" t="n">
        <v>0.9514</v>
      </c>
      <c r="F867" t="inlineStr">
        <is>
          <t>Up</t>
        </is>
      </c>
      <c r="G867" t="inlineStr">
        <is>
          <t>Up</t>
        </is>
      </c>
      <c r="H867" t="inlineStr">
        <is>
          <t>EU_JU</t>
        </is>
      </c>
      <c r="I867" t="inlineStr">
        <is>
          <t>2009-10</t>
        </is>
      </c>
      <c r="J867" t="n">
        <v>1</v>
      </c>
      <c r="K867" t="n">
        <v>1</v>
      </c>
      <c r="L867" s="34">
        <f>IF($J867=1,LN(B868/B867),"")</f>
        <v/>
      </c>
      <c r="M867" s="34">
        <f>IF($K867=1,INDEX(Mensal!$D$2:$D$245,MATCH($I867,Mensal!$A$2:$A$245,0)),"")</f>
        <v/>
      </c>
      <c r="N867" s="34">
        <f>IF($K867=1,L867-M867,"")</f>
        <v/>
      </c>
      <c r="O867" s="34" t="n">
        <v>0.00032817</v>
      </c>
      <c r="P867" s="34">
        <f>IF($J867=1,LN(1+O867),"")</f>
        <v/>
      </c>
      <c r="Q867" s="34">
        <f>IF($J867=1,LN(R868/R867),"")</f>
        <v/>
      </c>
      <c r="R867" s="32" t="n">
        <v>1.7673</v>
      </c>
      <c r="S867" s="35" t="n">
        <v>9.664</v>
      </c>
      <c r="T867" s="18" t="n"/>
      <c r="U867" s="18" t="n">
        <v>62369</v>
      </c>
      <c r="V867" s="18" t="n"/>
      <c r="W867" s="18" t="n"/>
      <c r="X867" s="35" t="n">
        <v>9.664</v>
      </c>
      <c r="Y867" s="35" t="n"/>
    </row>
    <row r="868">
      <c r="A868" s="25" t="n">
        <v>40092</v>
      </c>
      <c r="B868" s="18" t="n">
        <v>62671</v>
      </c>
      <c r="C868" s="31" t="n"/>
      <c r="D868" s="32" t="n"/>
      <c r="E868" s="33" t="n">
        <v>0.9641999999999999</v>
      </c>
      <c r="F868" t="inlineStr">
        <is>
          <t>Up</t>
        </is>
      </c>
      <c r="G868" t="inlineStr">
        <is>
          <t>Up</t>
        </is>
      </c>
      <c r="H868" t="inlineStr">
        <is>
          <t>EU_JU</t>
        </is>
      </c>
      <c r="I868" t="inlineStr">
        <is>
          <t>2009-10</t>
        </is>
      </c>
      <c r="J868" t="n">
        <v>1</v>
      </c>
      <c r="K868" t="n">
        <v>1</v>
      </c>
      <c r="L868" s="34">
        <f>IF($J868=1,LN(B869/B868),"")</f>
        <v/>
      </c>
      <c r="M868" s="34">
        <f>IF($K868=1,INDEX(Mensal!$D$2:$D$245,MATCH($I868,Mensal!$A$2:$A$245,0)),"")</f>
        <v/>
      </c>
      <c r="N868" s="34">
        <f>IF($K868=1,L868-M868,"")</f>
        <v/>
      </c>
      <c r="O868" s="34" t="n">
        <v>0.00032817</v>
      </c>
      <c r="P868" s="34">
        <f>IF($J868=1,LN(1+O868),"")</f>
        <v/>
      </c>
      <c r="Q868" s="34">
        <f>IF($J868=1,LN(R869/R868),"")</f>
        <v/>
      </c>
      <c r="R868" s="32" t="n">
        <v>1.7533</v>
      </c>
      <c r="S868" s="35" t="n">
        <v>9.74</v>
      </c>
      <c r="T868" s="18" t="n"/>
      <c r="U868" s="18" t="n">
        <v>62671</v>
      </c>
      <c r="V868" s="18" t="n"/>
      <c r="W868" s="18" t="n"/>
      <c r="X868" s="35" t="n">
        <v>9.74</v>
      </c>
      <c r="Y868" s="35" t="n"/>
    </row>
    <row r="869">
      <c r="A869" s="25" t="n">
        <v>40093</v>
      </c>
      <c r="B869" s="18" t="n">
        <v>62638</v>
      </c>
      <c r="C869" s="31" t="n"/>
      <c r="D869" s="32" t="n"/>
      <c r="E869" s="33" t="n">
        <v>0.9676</v>
      </c>
      <c r="F869" t="inlineStr">
        <is>
          <t>Up</t>
        </is>
      </c>
      <c r="G869" t="inlineStr">
        <is>
          <t>Up</t>
        </is>
      </c>
      <c r="H869" t="inlineStr">
        <is>
          <t>EU_JU</t>
        </is>
      </c>
      <c r="I869" t="inlineStr">
        <is>
          <t>2009-10</t>
        </is>
      </c>
      <c r="J869" t="n">
        <v>1</v>
      </c>
      <c r="K869" t="n">
        <v>1</v>
      </c>
      <c r="L869" s="34">
        <f>IF($J869=1,LN(B870/B869),"")</f>
        <v/>
      </c>
      <c r="M869" s="34">
        <f>IF($K869=1,INDEX(Mensal!$D$2:$D$245,MATCH($I869,Mensal!$A$2:$A$245,0)),"")</f>
        <v/>
      </c>
      <c r="N869" s="34">
        <f>IF($K869=1,L869-M869,"")</f>
        <v/>
      </c>
      <c r="O869" s="34" t="n">
        <v>0.00032817</v>
      </c>
      <c r="P869" s="34">
        <f>IF($J869=1,LN(1+O869),"")</f>
        <v/>
      </c>
      <c r="Q869" s="34">
        <f>IF($J869=1,LN(R870/R869),"")</f>
        <v/>
      </c>
      <c r="R869" s="32" t="n">
        <v>1.7595</v>
      </c>
      <c r="S869" s="35" t="n">
        <v>9.831</v>
      </c>
      <c r="T869" s="18" t="n"/>
      <c r="U869" s="18" t="n">
        <v>62638</v>
      </c>
      <c r="V869" s="18" t="n"/>
      <c r="W869" s="18" t="n"/>
      <c r="X869" s="35" t="n">
        <v>9.831</v>
      </c>
      <c r="Y869" s="35" t="n"/>
    </row>
    <row r="870">
      <c r="A870" s="25" t="n">
        <v>40094</v>
      </c>
      <c r="B870" s="18" t="n">
        <v>63760</v>
      </c>
      <c r="C870" s="31" t="n"/>
      <c r="D870" s="32" t="n"/>
      <c r="E870" s="33" t="n">
        <v>0.9692</v>
      </c>
      <c r="F870" t="inlineStr">
        <is>
          <t>Up</t>
        </is>
      </c>
      <c r="G870" t="inlineStr">
        <is>
          <t>Up</t>
        </is>
      </c>
      <c r="H870" t="inlineStr">
        <is>
          <t>EU_JU</t>
        </is>
      </c>
      <c r="I870" t="inlineStr">
        <is>
          <t>2009-10</t>
        </is>
      </c>
      <c r="J870" t="n">
        <v>1</v>
      </c>
      <c r="K870" t="n">
        <v>1</v>
      </c>
      <c r="L870" s="34">
        <f>IF($J870=1,LN(B871/B870),"")</f>
        <v/>
      </c>
      <c r="M870" s="34">
        <f>IF($K870=1,INDEX(Mensal!$D$2:$D$245,MATCH($I870,Mensal!$A$2:$A$245,0)),"")</f>
        <v/>
      </c>
      <c r="N870" s="34">
        <f>IF($K870=1,L870-M870,"")</f>
        <v/>
      </c>
      <c r="O870" s="34" t="n">
        <v>0.0003277999999999999</v>
      </c>
      <c r="P870" s="34">
        <f>IF($J870=1,LN(1+O870),"")</f>
        <v/>
      </c>
      <c r="Q870" s="34">
        <f>IF($J870=1,LN(R871/R870),"")</f>
        <v/>
      </c>
      <c r="R870" s="32" t="n">
        <v>1.7412</v>
      </c>
      <c r="S870" s="35" t="n">
        <v>9.906000000000001</v>
      </c>
      <c r="T870" s="18" t="n"/>
      <c r="U870" s="18" t="n">
        <v>63760</v>
      </c>
      <c r="V870" s="18" t="n"/>
      <c r="W870" s="18" t="n"/>
      <c r="X870" s="35" t="n">
        <v>9.906000000000001</v>
      </c>
      <c r="Y870" s="35" t="n"/>
    </row>
    <row r="871">
      <c r="A871" s="25" t="n">
        <v>40095</v>
      </c>
      <c r="B871" s="18" t="n">
        <v>64071</v>
      </c>
      <c r="C871" s="31" t="n"/>
      <c r="D871" s="32" t="n"/>
      <c r="E871" s="33" t="n">
        <v>0.9814000000000001</v>
      </c>
      <c r="F871" t="inlineStr">
        <is>
          <t>Up</t>
        </is>
      </c>
      <c r="G871" t="inlineStr">
        <is>
          <t>Up</t>
        </is>
      </c>
      <c r="H871" t="inlineStr">
        <is>
          <t>EU_JU</t>
        </is>
      </c>
      <c r="I871" t="inlineStr">
        <is>
          <t>2009-10</t>
        </is>
      </c>
      <c r="J871" t="n">
        <v>1</v>
      </c>
      <c r="K871" t="n">
        <v>1</v>
      </c>
      <c r="L871" s="34">
        <f>IF($J871=1,LN(B872/B871),"")</f>
        <v/>
      </c>
      <c r="M871" s="34">
        <f>IF($K871=1,INDEX(Mensal!$D$2:$D$245,MATCH($I871,Mensal!$A$2:$A$245,0)),"")</f>
        <v/>
      </c>
      <c r="N871" s="34">
        <f>IF($K871=1,L871-M871,"")</f>
        <v/>
      </c>
      <c r="O871" s="34" t="n">
        <v>0.0003277999999999999</v>
      </c>
      <c r="P871" s="34">
        <f>IF($J871=1,LN(1+O871),"")</f>
        <v/>
      </c>
      <c r="Q871" s="34">
        <f>IF($J871=1,LN(R872/R871),"")</f>
        <v/>
      </c>
      <c r="R871" s="32" t="n">
        <v>1.7389</v>
      </c>
      <c r="S871" s="35" t="n">
        <v>9.920999999999999</v>
      </c>
      <c r="T871" s="18" t="n"/>
      <c r="U871" s="18" t="n">
        <v>64071</v>
      </c>
      <c r="V871" s="18" t="n"/>
      <c r="W871" s="18" t="n"/>
      <c r="X871" s="35" t="n">
        <v>9.920999999999999</v>
      </c>
      <c r="Y871" s="35" t="n"/>
    </row>
    <row r="872">
      <c r="A872" s="25" t="n">
        <v>40099</v>
      </c>
      <c r="B872" s="18" t="n">
        <v>64646</v>
      </c>
      <c r="C872" s="31" t="n"/>
      <c r="D872" s="32" t="n"/>
      <c r="E872" s="33" t="n">
        <v>0.9992</v>
      </c>
      <c r="F872" t="inlineStr">
        <is>
          <t>Up</t>
        </is>
      </c>
      <c r="G872" t="inlineStr">
        <is>
          <t>Up</t>
        </is>
      </c>
      <c r="H872" t="inlineStr">
        <is>
          <t>EU_JU</t>
        </is>
      </c>
      <c r="I872" t="inlineStr">
        <is>
          <t>2009-10</t>
        </is>
      </c>
      <c r="J872" t="n">
        <v>1</v>
      </c>
      <c r="K872" t="n">
        <v>1</v>
      </c>
      <c r="L872" s="34">
        <f>IF($J872=1,LN(B873/B872),"")</f>
        <v/>
      </c>
      <c r="M872" s="34">
        <f>IF($K872=1,INDEX(Mensal!$D$2:$D$245,MATCH($I872,Mensal!$A$2:$A$245,0)),"")</f>
        <v/>
      </c>
      <c r="N872" s="34">
        <f>IF($K872=1,L872-M872,"")</f>
        <v/>
      </c>
      <c r="O872" s="34" t="n">
        <v>0.0003277999999999999</v>
      </c>
      <c r="P872" s="34">
        <f>IF($J872=1,LN(1+O872),"")</f>
        <v/>
      </c>
      <c r="Q872" s="34">
        <f>IF($J872=1,LN(R873/R872),"")</f>
        <v/>
      </c>
      <c r="R872" s="32" t="n">
        <v>1.7298</v>
      </c>
      <c r="S872" s="35" t="n">
        <v>9.974</v>
      </c>
      <c r="T872" s="18" t="n"/>
      <c r="U872" s="18" t="n">
        <v>64646</v>
      </c>
      <c r="V872" s="18" t="n"/>
      <c r="W872" s="18" t="n"/>
      <c r="X872" s="35" t="n">
        <v>9.974</v>
      </c>
      <c r="Y872" s="35" t="n"/>
    </row>
    <row r="873">
      <c r="A873" s="25" t="n">
        <v>40100</v>
      </c>
      <c r="B873" s="18" t="n">
        <v>66201</v>
      </c>
      <c r="C873" s="31" t="n"/>
      <c r="D873" s="32" t="n"/>
      <c r="E873" s="33" t="n">
        <v>1.0142</v>
      </c>
      <c r="F873" t="inlineStr">
        <is>
          <t>Up</t>
        </is>
      </c>
      <c r="G873" t="inlineStr">
        <is>
          <t>Up</t>
        </is>
      </c>
      <c r="H873" t="inlineStr">
        <is>
          <t>EU_JU</t>
        </is>
      </c>
      <c r="I873" t="inlineStr">
        <is>
          <t>2009-10</t>
        </is>
      </c>
      <c r="J873" t="n">
        <v>1</v>
      </c>
      <c r="K873" t="n">
        <v>1</v>
      </c>
      <c r="L873" s="34">
        <f>IF($J873=1,LN(B874/B873),"")</f>
        <v/>
      </c>
      <c r="M873" s="34">
        <f>IF($K873=1,INDEX(Mensal!$D$2:$D$245,MATCH($I873,Mensal!$A$2:$A$245,0)),"")</f>
        <v/>
      </c>
      <c r="N873" s="34">
        <f>IF($K873=1,L873-M873,"")</f>
        <v/>
      </c>
      <c r="O873" s="34" t="n">
        <v>0.0003277999999999999</v>
      </c>
      <c r="P873" s="34">
        <f>IF($J873=1,LN(1+O873),"")</f>
        <v/>
      </c>
      <c r="Q873" s="34">
        <f>IF($J873=1,LN(R874/R873),"")</f>
        <v/>
      </c>
      <c r="R873" s="32" t="n">
        <v>1.7099</v>
      </c>
      <c r="S873" s="35" t="n">
        <v>9.942</v>
      </c>
      <c r="T873" s="18" t="n"/>
      <c r="U873" s="18" t="n">
        <v>66201</v>
      </c>
      <c r="V873" s="18" t="n"/>
      <c r="W873" s="18" t="n"/>
      <c r="X873" s="35" t="n">
        <v>9.942</v>
      </c>
      <c r="Y873" s="35" t="n"/>
    </row>
    <row r="874">
      <c r="A874" s="25" t="n">
        <v>40101</v>
      </c>
      <c r="B874" s="18" t="n">
        <v>66703</v>
      </c>
      <c r="C874" s="31" t="n"/>
      <c r="D874" s="32" t="n"/>
      <c r="E874" s="33" t="n">
        <v>1.0267</v>
      </c>
      <c r="F874" t="inlineStr">
        <is>
          <t>Up</t>
        </is>
      </c>
      <c r="G874" t="inlineStr">
        <is>
          <t>Up</t>
        </is>
      </c>
      <c r="H874" t="inlineStr">
        <is>
          <t>EU_JU</t>
        </is>
      </c>
      <c r="I874" t="inlineStr">
        <is>
          <t>2009-10</t>
        </is>
      </c>
      <c r="J874" t="n">
        <v>1</v>
      </c>
      <c r="K874" t="n">
        <v>1</v>
      </c>
      <c r="L874" s="34">
        <f>IF($J874=1,LN(B875/B874),"")</f>
        <v/>
      </c>
      <c r="M874" s="34">
        <f>IF($K874=1,INDEX(Mensal!$D$2:$D$245,MATCH($I874,Mensal!$A$2:$A$245,0)),"")</f>
        <v/>
      </c>
      <c r="N874" s="34">
        <f>IF($K874=1,L874-M874,"")</f>
        <v/>
      </c>
      <c r="O874" s="34" t="n">
        <v>0.0003277999999999999</v>
      </c>
      <c r="P874" s="34">
        <f>IF($J874=1,LN(1+O874),"")</f>
        <v/>
      </c>
      <c r="Q874" s="34">
        <f>IF($J874=1,LN(R875/R874),"")</f>
        <v/>
      </c>
      <c r="R874" s="32" t="n">
        <v>1.7037</v>
      </c>
      <c r="S874" s="35" t="n">
        <v>10.002</v>
      </c>
      <c r="T874" s="18" t="n"/>
      <c r="U874" s="18" t="n">
        <v>66703</v>
      </c>
      <c r="V874" s="18" t="n"/>
      <c r="W874" s="18" t="n"/>
      <c r="X874" s="35" t="n">
        <v>10.002</v>
      </c>
      <c r="Y874" s="35" t="n"/>
    </row>
    <row r="875">
      <c r="A875" s="25" t="n">
        <v>40102</v>
      </c>
      <c r="B875" s="18" t="n">
        <v>66200</v>
      </c>
      <c r="C875" s="31" t="n"/>
      <c r="D875" s="32" t="n"/>
      <c r="E875" s="33" t="n">
        <v>1.0431</v>
      </c>
      <c r="F875" t="inlineStr">
        <is>
          <t>Up</t>
        </is>
      </c>
      <c r="G875" t="inlineStr">
        <is>
          <t>Up</t>
        </is>
      </c>
      <c r="H875" t="inlineStr">
        <is>
          <t>EU_JU</t>
        </is>
      </c>
      <c r="I875" t="inlineStr">
        <is>
          <t>2009-10</t>
        </is>
      </c>
      <c r="J875" t="n">
        <v>1</v>
      </c>
      <c r="K875" t="n">
        <v>1</v>
      </c>
      <c r="L875" s="34">
        <f>IF($J875=1,LN(B876/B875),"")</f>
        <v/>
      </c>
      <c r="M875" s="34">
        <f>IF($K875=1,INDEX(Mensal!$D$2:$D$245,MATCH($I875,Mensal!$A$2:$A$245,0)),"")</f>
        <v/>
      </c>
      <c r="N875" s="34">
        <f>IF($K875=1,L875-M875,"")</f>
        <v/>
      </c>
      <c r="O875" s="34" t="n">
        <v>0.00032817</v>
      </c>
      <c r="P875" s="34">
        <f>IF($J875=1,LN(1+O875),"")</f>
        <v/>
      </c>
      <c r="Q875" s="34">
        <f>IF($J875=1,LN(R876/R875),"")</f>
        <v/>
      </c>
      <c r="R875" s="32" t="n">
        <v>1.7135</v>
      </c>
      <c r="S875" s="35" t="n">
        <v>9.962</v>
      </c>
      <c r="T875" s="18" t="n"/>
      <c r="U875" s="18" t="n">
        <v>66200</v>
      </c>
      <c r="V875" s="18" t="n"/>
      <c r="W875" s="18" t="n"/>
      <c r="X875" s="35" t="n">
        <v>9.962</v>
      </c>
      <c r="Y875" s="35" t="n"/>
    </row>
    <row r="876">
      <c r="A876" s="25" t="n">
        <v>40105</v>
      </c>
      <c r="B876" s="18" t="n">
        <v>67239</v>
      </c>
      <c r="C876" s="31" t="n"/>
      <c r="D876" s="32" t="n"/>
      <c r="E876" s="33" t="n">
        <v>1.0583</v>
      </c>
      <c r="F876" t="inlineStr">
        <is>
          <t>Up</t>
        </is>
      </c>
      <c r="G876" t="inlineStr">
        <is>
          <t>Up</t>
        </is>
      </c>
      <c r="H876" t="inlineStr">
        <is>
          <t>EU_JU</t>
        </is>
      </c>
      <c r="I876" t="inlineStr">
        <is>
          <t>2009-10</t>
        </is>
      </c>
      <c r="J876" t="n">
        <v>1</v>
      </c>
      <c r="K876" t="n">
        <v>1</v>
      </c>
      <c r="L876" s="34">
        <f>IF($J876=1,LN(B877/B876),"")</f>
        <v/>
      </c>
      <c r="M876" s="34">
        <f>IF($K876=1,INDEX(Mensal!$D$2:$D$245,MATCH($I876,Mensal!$A$2:$A$245,0)),"")</f>
        <v/>
      </c>
      <c r="N876" s="34">
        <f>IF($K876=1,L876-M876,"")</f>
        <v/>
      </c>
      <c r="O876" s="34" t="n">
        <v>0.00032817</v>
      </c>
      <c r="P876" s="34">
        <f>IF($J876=1,LN(1+O876),"")</f>
        <v/>
      </c>
      <c r="Q876" s="34">
        <f>IF($J876=1,LN(R877/R876),"")</f>
        <v/>
      </c>
      <c r="R876" s="32" t="n">
        <v>1.713</v>
      </c>
      <c r="S876" s="35" t="n">
        <v>10.032</v>
      </c>
      <c r="T876" s="18" t="n"/>
      <c r="U876" s="18" t="n">
        <v>67239</v>
      </c>
      <c r="V876" s="18" t="n"/>
      <c r="W876" s="18" t="n"/>
      <c r="X876" s="35" t="n">
        <v>10.032</v>
      </c>
      <c r="Y876" s="35" t="n"/>
    </row>
    <row r="877">
      <c r="A877" s="25" t="n">
        <v>40106</v>
      </c>
      <c r="B877" s="18" t="n">
        <v>65303</v>
      </c>
      <c r="C877" s="31" t="n"/>
      <c r="D877" s="32" t="n"/>
      <c r="E877" s="33" t="n">
        <v>1.0764</v>
      </c>
      <c r="F877" t="inlineStr">
        <is>
          <t>Up</t>
        </is>
      </c>
      <c r="G877" t="inlineStr">
        <is>
          <t>Up</t>
        </is>
      </c>
      <c r="H877" t="inlineStr">
        <is>
          <t>EU_JU</t>
        </is>
      </c>
      <c r="I877" t="inlineStr">
        <is>
          <t>2009-10</t>
        </is>
      </c>
      <c r="J877" t="n">
        <v>1</v>
      </c>
      <c r="K877" t="n">
        <v>1</v>
      </c>
      <c r="L877" s="34">
        <f>IF($J877=1,LN(B878/B877),"")</f>
        <v/>
      </c>
      <c r="M877" s="34">
        <f>IF($K877=1,INDEX(Mensal!$D$2:$D$245,MATCH($I877,Mensal!$A$2:$A$245,0)),"")</f>
        <v/>
      </c>
      <c r="N877" s="34">
        <f>IF($K877=1,L877-M877,"")</f>
        <v/>
      </c>
      <c r="O877" s="34" t="n">
        <v>0.00032817</v>
      </c>
      <c r="P877" s="34">
        <f>IF($J877=1,LN(1+O877),"")</f>
        <v/>
      </c>
      <c r="Q877" s="34">
        <f>IF($J877=1,LN(R878/R877),"")</f>
        <v/>
      </c>
      <c r="R877" s="32" t="n">
        <v>1.745</v>
      </c>
      <c r="S877" s="35" t="n">
        <v>10.002</v>
      </c>
      <c r="T877" s="18" t="n"/>
      <c r="U877" s="18" t="n">
        <v>65303</v>
      </c>
      <c r="V877" s="18" t="n"/>
      <c r="W877" s="18" t="n"/>
      <c r="X877" s="35" t="n">
        <v>10.002</v>
      </c>
      <c r="Y877" s="35" t="n"/>
    </row>
    <row r="878">
      <c r="A878" s="25" t="n">
        <v>40107</v>
      </c>
      <c r="B878" s="18" t="n">
        <v>65486</v>
      </c>
      <c r="C878" s="31" t="n"/>
      <c r="D878" s="32" t="n"/>
      <c r="E878" s="33" t="n">
        <v>1.0916</v>
      </c>
      <c r="F878" t="inlineStr">
        <is>
          <t>Up</t>
        </is>
      </c>
      <c r="G878" t="inlineStr">
        <is>
          <t>Up</t>
        </is>
      </c>
      <c r="H878" t="inlineStr">
        <is>
          <t>EU_JU</t>
        </is>
      </c>
      <c r="I878" t="inlineStr">
        <is>
          <t>2009-10</t>
        </is>
      </c>
      <c r="J878" t="n">
        <v>1</v>
      </c>
      <c r="K878" t="n">
        <v>1</v>
      </c>
      <c r="L878" s="34">
        <f>IF($J878=1,LN(B879/B878),"")</f>
        <v/>
      </c>
      <c r="M878" s="34">
        <f>IF($K878=1,INDEX(Mensal!$D$2:$D$245,MATCH($I878,Mensal!$A$2:$A$245,0)),"")</f>
        <v/>
      </c>
      <c r="N878" s="34">
        <f>IF($K878=1,L878-M878,"")</f>
        <v/>
      </c>
      <c r="O878" s="34" t="n">
        <v>0.00032817</v>
      </c>
      <c r="P878" s="34">
        <f>IF($J878=1,LN(1+O878),"")</f>
        <v/>
      </c>
      <c r="Q878" s="34">
        <f>IF($J878=1,LN(R879/R878),"")</f>
        <v/>
      </c>
      <c r="R878" s="32" t="n">
        <v>1.744</v>
      </c>
      <c r="S878" s="35" t="n">
        <v>9.958</v>
      </c>
      <c r="T878" s="18" t="n"/>
      <c r="U878" s="18" t="n">
        <v>65486</v>
      </c>
      <c r="V878" s="18" t="n"/>
      <c r="W878" s="18" t="n"/>
      <c r="X878" s="35" t="n">
        <v>9.958</v>
      </c>
      <c r="Y878" s="35" t="n"/>
    </row>
    <row r="879">
      <c r="A879" s="25" t="n">
        <v>40108</v>
      </c>
      <c r="B879" s="18" t="n">
        <v>66135</v>
      </c>
      <c r="C879" s="31" t="n"/>
      <c r="D879" s="32" t="n"/>
      <c r="E879" s="33" t="n">
        <v>1.108</v>
      </c>
      <c r="F879" t="inlineStr">
        <is>
          <t>Up</t>
        </is>
      </c>
      <c r="G879" t="inlineStr">
        <is>
          <t>Up</t>
        </is>
      </c>
      <c r="H879" t="inlineStr">
        <is>
          <t>EU_JU</t>
        </is>
      </c>
      <c r="I879" t="inlineStr">
        <is>
          <t>2009-10</t>
        </is>
      </c>
      <c r="J879" t="n">
        <v>1</v>
      </c>
      <c r="K879" t="n">
        <v>1</v>
      </c>
      <c r="L879" s="34">
        <f>IF($J879=1,LN(B880/B879),"")</f>
        <v/>
      </c>
      <c r="M879" s="34">
        <f>IF($K879=1,INDEX(Mensal!$D$2:$D$245,MATCH($I879,Mensal!$A$2:$A$245,0)),"")</f>
        <v/>
      </c>
      <c r="N879" s="34">
        <f>IF($K879=1,L879-M879,"")</f>
        <v/>
      </c>
      <c r="O879" s="34" t="n">
        <v>0.00032817</v>
      </c>
      <c r="P879" s="34">
        <f>IF($J879=1,LN(1+O879),"")</f>
        <v/>
      </c>
      <c r="Q879" s="34">
        <f>IF($J879=1,LN(R880/R879),"")</f>
        <v/>
      </c>
      <c r="R879" s="32" t="n">
        <v>1.7304</v>
      </c>
      <c r="S879" s="35" t="n">
        <v>9.859999999999999</v>
      </c>
      <c r="T879" s="18" t="n"/>
      <c r="U879" s="18" t="n">
        <v>66135</v>
      </c>
      <c r="V879" s="18" t="n"/>
      <c r="W879" s="18" t="n"/>
      <c r="X879" s="35" t="n">
        <v>9.859999999999999</v>
      </c>
      <c r="Y879" s="35" t="n"/>
    </row>
    <row r="880">
      <c r="A880" s="25" t="n">
        <v>40109</v>
      </c>
      <c r="B880" s="18" t="n">
        <v>65058</v>
      </c>
      <c r="C880" s="31" t="n"/>
      <c r="D880" s="32" t="n"/>
      <c r="E880" s="33" t="n">
        <v>1.1219</v>
      </c>
      <c r="F880" t="inlineStr">
        <is>
          <t>Up</t>
        </is>
      </c>
      <c r="G880" t="inlineStr">
        <is>
          <t>Up</t>
        </is>
      </c>
      <c r="H880" t="inlineStr">
        <is>
          <t>EU_JU</t>
        </is>
      </c>
      <c r="I880" t="inlineStr">
        <is>
          <t>2009-10</t>
        </is>
      </c>
      <c r="J880" t="n">
        <v>1</v>
      </c>
      <c r="K880" t="n">
        <v>1</v>
      </c>
      <c r="L880" s="34">
        <f>IF($J880=1,LN(B881/B880),"")</f>
        <v/>
      </c>
      <c r="M880" s="34">
        <f>IF($K880=1,INDEX(Mensal!$D$2:$D$245,MATCH($I880,Mensal!$A$2:$A$245,0)),"")</f>
        <v/>
      </c>
      <c r="N880" s="34">
        <f>IF($K880=1,L880-M880,"")</f>
        <v/>
      </c>
      <c r="O880" s="34" t="n">
        <v>0.00032817</v>
      </c>
      <c r="P880" s="34">
        <f>IF($J880=1,LN(1+O880),"")</f>
        <v/>
      </c>
      <c r="Q880" s="34">
        <f>IF($J880=1,LN(R881/R880),"")</f>
        <v/>
      </c>
      <c r="R880" s="32" t="n">
        <v>1.7113</v>
      </c>
      <c r="S880" s="35" t="n">
        <v>9.795999999999999</v>
      </c>
      <c r="T880" s="18" t="n"/>
      <c r="U880" s="18" t="n">
        <v>65058</v>
      </c>
      <c r="V880" s="18" t="n"/>
      <c r="W880" s="18" t="n"/>
      <c r="X880" s="35" t="n">
        <v>9.795999999999999</v>
      </c>
      <c r="Y880" s="35" t="n"/>
    </row>
    <row r="881">
      <c r="A881" s="25" t="n">
        <v>40112</v>
      </c>
      <c r="B881" s="18" t="n">
        <v>65086</v>
      </c>
      <c r="C881" s="31" t="n"/>
      <c r="D881" s="32" t="n"/>
      <c r="E881" s="33" t="n">
        <v>1.1357</v>
      </c>
      <c r="F881" t="inlineStr">
        <is>
          <t>Up</t>
        </is>
      </c>
      <c r="G881" t="inlineStr">
        <is>
          <t>Up</t>
        </is>
      </c>
      <c r="H881" t="inlineStr">
        <is>
          <t>EU_JU</t>
        </is>
      </c>
      <c r="I881" t="inlineStr">
        <is>
          <t>2009-10</t>
        </is>
      </c>
      <c r="J881" t="n">
        <v>1</v>
      </c>
      <c r="K881" t="n">
        <v>1</v>
      </c>
      <c r="L881" s="34">
        <f>IF($J881=1,LN(B882/B881),"")</f>
        <v/>
      </c>
      <c r="M881" s="34">
        <f>IF($K881=1,INDEX(Mensal!$D$2:$D$245,MATCH($I881,Mensal!$A$2:$A$245,0)),"")</f>
        <v/>
      </c>
      <c r="N881" s="34">
        <f>IF($K881=1,L881-M881,"")</f>
        <v/>
      </c>
      <c r="O881" s="34" t="n">
        <v>0.00032817</v>
      </c>
      <c r="P881" s="34">
        <f>IF($J881=1,LN(1+O881),"")</f>
        <v/>
      </c>
      <c r="Q881" s="34">
        <f>IF($J881=1,LN(R882/R881),"")</f>
        <v/>
      </c>
      <c r="R881" s="32" t="n">
        <v>1.7157</v>
      </c>
      <c r="S881" s="35" t="n">
        <v>9.859</v>
      </c>
      <c r="T881" s="18" t="n"/>
      <c r="U881" s="18" t="n">
        <v>65086</v>
      </c>
      <c r="V881" s="18" t="n"/>
      <c r="W881" s="18" t="n"/>
      <c r="X881" s="35" t="n">
        <v>9.859</v>
      </c>
      <c r="Y881" s="35" t="n"/>
    </row>
    <row r="882">
      <c r="A882" s="25" t="n">
        <v>40113</v>
      </c>
      <c r="B882" s="18" t="n">
        <v>63131</v>
      </c>
      <c r="C882" s="31" t="n"/>
      <c r="D882" s="32" t="n"/>
      <c r="E882" s="33" t="n">
        <v>1.1473</v>
      </c>
      <c r="F882" t="inlineStr">
        <is>
          <t>Up</t>
        </is>
      </c>
      <c r="G882" t="inlineStr">
        <is>
          <t>Up</t>
        </is>
      </c>
      <c r="H882" t="inlineStr">
        <is>
          <t>EU_JU</t>
        </is>
      </c>
      <c r="I882" t="inlineStr">
        <is>
          <t>2009-10</t>
        </is>
      </c>
      <c r="J882" t="n">
        <v>1</v>
      </c>
      <c r="K882" t="n">
        <v>1</v>
      </c>
      <c r="L882" s="34">
        <f>IF($J882=1,LN(B883/B882),"")</f>
        <v/>
      </c>
      <c r="M882" s="34">
        <f>IF($K882=1,INDEX(Mensal!$D$2:$D$245,MATCH($I882,Mensal!$A$2:$A$245,0)),"")</f>
        <v/>
      </c>
      <c r="N882" s="34">
        <f>IF($K882=1,L882-M882,"")</f>
        <v/>
      </c>
      <c r="O882" s="34" t="n">
        <v>0.00032817</v>
      </c>
      <c r="P882" s="34">
        <f>IF($J882=1,LN(1+O882),"")</f>
        <v/>
      </c>
      <c r="Q882" s="34">
        <f>IF($J882=1,LN(R883/R882),"")</f>
        <v/>
      </c>
      <c r="R882" s="32" t="n">
        <v>1.7342</v>
      </c>
      <c r="S882" s="35" t="n">
        <v>9.826000000000001</v>
      </c>
      <c r="T882" s="18" t="n"/>
      <c r="U882" s="18" t="n">
        <v>63131</v>
      </c>
      <c r="V882" s="18" t="n"/>
      <c r="W882" s="18" t="n"/>
      <c r="X882" s="35" t="n">
        <v>9.826000000000001</v>
      </c>
      <c r="Y882" s="35" t="n"/>
    </row>
    <row r="883">
      <c r="A883" s="25" t="n">
        <v>40114</v>
      </c>
      <c r="B883" s="18" t="n">
        <v>60162</v>
      </c>
      <c r="C883" s="31" t="n"/>
      <c r="D883" s="32" t="n"/>
      <c r="E883" s="33" t="n">
        <v>1.1633</v>
      </c>
      <c r="F883" t="inlineStr">
        <is>
          <t>Up</t>
        </is>
      </c>
      <c r="G883" t="inlineStr">
        <is>
          <t>Up</t>
        </is>
      </c>
      <c r="H883" t="inlineStr">
        <is>
          <t>EU_JU</t>
        </is>
      </c>
      <c r="I883" t="inlineStr">
        <is>
          <t>2009-10</t>
        </is>
      </c>
      <c r="J883" t="n">
        <v>1</v>
      </c>
      <c r="K883" t="n">
        <v>1</v>
      </c>
      <c r="L883" s="34">
        <f>IF($J883=1,LN(B884/B883),"")</f>
        <v/>
      </c>
      <c r="M883" s="34">
        <f>IF($K883=1,INDEX(Mensal!$D$2:$D$245,MATCH($I883,Mensal!$A$2:$A$245,0)),"")</f>
        <v/>
      </c>
      <c r="N883" s="34">
        <f>IF($K883=1,L883-M883,"")</f>
        <v/>
      </c>
      <c r="O883" s="34" t="n">
        <v>0.0003277999999999999</v>
      </c>
      <c r="P883" s="34">
        <f>IF($J883=1,LN(1+O883),"")</f>
        <v/>
      </c>
      <c r="Q883" s="34">
        <f>IF($J883=1,LN(R884/R883),"")</f>
        <v/>
      </c>
      <c r="R883" s="32" t="n">
        <v>1.7447</v>
      </c>
      <c r="S883" s="35" t="n">
        <v>9.816000000000001</v>
      </c>
      <c r="T883" s="18" t="n"/>
      <c r="U883" s="18" t="n">
        <v>60162</v>
      </c>
      <c r="V883" s="18" t="n"/>
      <c r="W883" s="18" t="n"/>
      <c r="X883" s="35" t="n">
        <v>9.816000000000001</v>
      </c>
      <c r="Y883" s="35" t="n"/>
    </row>
    <row r="884">
      <c r="A884" s="25" t="n">
        <v>40115</v>
      </c>
      <c r="B884" s="18" t="n">
        <v>63721</v>
      </c>
      <c r="C884" s="31" t="n"/>
      <c r="D884" s="32" t="n"/>
      <c r="E884" s="33" t="n">
        <v>1.179</v>
      </c>
      <c r="F884" t="inlineStr">
        <is>
          <t>Up</t>
        </is>
      </c>
      <c r="G884" t="inlineStr">
        <is>
          <t>Up</t>
        </is>
      </c>
      <c r="H884" t="inlineStr">
        <is>
          <t>EU_JU</t>
        </is>
      </c>
      <c r="I884" t="inlineStr">
        <is>
          <t>2009-10</t>
        </is>
      </c>
      <c r="J884" t="n">
        <v>1</v>
      </c>
      <c r="K884" t="n">
        <v>1</v>
      </c>
      <c r="L884" s="34">
        <f>IF($J884=1,LN(B885/B884),"")</f>
        <v/>
      </c>
      <c r="M884" s="34">
        <f>IF($K884=1,INDEX(Mensal!$D$2:$D$245,MATCH($I884,Mensal!$A$2:$A$245,0)),"")</f>
        <v/>
      </c>
      <c r="N884" s="34">
        <f>IF($K884=1,L884-M884,"")</f>
        <v/>
      </c>
      <c r="O884" s="34" t="n">
        <v>0.00032817</v>
      </c>
      <c r="P884" s="34">
        <f>IF($J884=1,LN(1+O884),"")</f>
        <v/>
      </c>
      <c r="Q884" s="34">
        <f>IF($J884=1,LN(R885/R884),"")</f>
        <v/>
      </c>
      <c r="R884" s="32" t="n">
        <v>1.7436</v>
      </c>
      <c r="S884" s="35" t="n">
        <v>9.863</v>
      </c>
      <c r="T884" s="18" t="n"/>
      <c r="U884" s="18" t="n">
        <v>63721</v>
      </c>
      <c r="V884" s="18" t="n"/>
      <c r="W884" s="18" t="n"/>
      <c r="X884" s="35" t="n">
        <v>9.863</v>
      </c>
      <c r="Y884" s="35" t="n"/>
    </row>
    <row r="885">
      <c r="A885" s="25" t="n">
        <v>40116</v>
      </c>
      <c r="B885" s="18" t="n">
        <v>61546</v>
      </c>
      <c r="C885" s="31" t="n"/>
      <c r="D885" s="32" t="n"/>
      <c r="E885" s="33" t="n">
        <v>1.1944</v>
      </c>
      <c r="F885" t="inlineStr">
        <is>
          <t>Up</t>
        </is>
      </c>
      <c r="G885" t="inlineStr">
        <is>
          <t>Up</t>
        </is>
      </c>
      <c r="H885" t="inlineStr">
        <is>
          <t>EU_JU</t>
        </is>
      </c>
      <c r="I885" t="inlineStr">
        <is>
          <t>2009-10</t>
        </is>
      </c>
      <c r="J885" t="n">
        <v>1</v>
      </c>
      <c r="K885" t="n">
        <v>1</v>
      </c>
      <c r="L885" s="34">
        <f>IF($J885=1,LN(B886/B885),"")</f>
        <v/>
      </c>
      <c r="M885" s="34">
        <f>IF($K885=1,INDEX(Mensal!$D$2:$D$245,MATCH($I885,Mensal!$A$2:$A$245,0)),"")</f>
        <v/>
      </c>
      <c r="N885" s="34">
        <f>IF($K885=1,L885-M885,"")</f>
        <v/>
      </c>
      <c r="O885" s="34" t="n">
        <v>0.00032817</v>
      </c>
      <c r="P885" s="34">
        <f>IF($J885=1,LN(1+O885),"")</f>
        <v/>
      </c>
      <c r="Q885" s="34">
        <f>IF($J885=1,LN(R886/R885),"")</f>
        <v/>
      </c>
      <c r="R885" s="32" t="n">
        <v>1.744</v>
      </c>
      <c r="S885" s="35" t="n">
        <v>9.932</v>
      </c>
      <c r="T885" s="18" t="n"/>
      <c r="U885" s="18" t="n">
        <v>61546</v>
      </c>
      <c r="V885" s="18" t="n"/>
      <c r="W885" s="18" t="n"/>
      <c r="X885" s="35" t="n">
        <v>9.932</v>
      </c>
      <c r="Y885" s="35" t="n"/>
    </row>
    <row r="886">
      <c r="A886" s="25" t="n">
        <v>40120</v>
      </c>
      <c r="B886" s="18" t="n">
        <v>62643</v>
      </c>
      <c r="C886" s="31" t="n"/>
      <c r="D886" s="32" t="n"/>
      <c r="E886" s="33" t="n">
        <v>1.2094</v>
      </c>
      <c r="F886" t="inlineStr">
        <is>
          <t>Up</t>
        </is>
      </c>
      <c r="G886" t="inlineStr">
        <is>
          <t>Up</t>
        </is>
      </c>
      <c r="H886" t="inlineStr">
        <is>
          <t>EU_JU</t>
        </is>
      </c>
      <c r="I886" t="inlineStr">
        <is>
          <t>2009-11</t>
        </is>
      </c>
      <c r="J886" t="n">
        <v>1</v>
      </c>
      <c r="K886" t="n">
        <v>1</v>
      </c>
      <c r="L886" s="34">
        <f>IF($J886=1,LN(B887/B886),"")</f>
        <v/>
      </c>
      <c r="M886" s="34">
        <f>IF($K886=1,INDEX(Mensal!$D$2:$D$245,MATCH($I886,Mensal!$A$2:$A$245,0)),"")</f>
        <v/>
      </c>
      <c r="N886" s="34">
        <f>IF($K886=1,L886-M886,"")</f>
        <v/>
      </c>
      <c r="O886" s="34" t="n">
        <v>0.00032854</v>
      </c>
      <c r="P886" s="34">
        <f>IF($J886=1,LN(1+O886),"")</f>
        <v/>
      </c>
      <c r="Q886" s="34">
        <f>IF($J886=1,LN(R887/R886),"")</f>
        <v/>
      </c>
      <c r="R886" s="32" t="n">
        <v>1.7588</v>
      </c>
      <c r="S886" s="35" t="n">
        <v>9.888</v>
      </c>
      <c r="T886" s="18" t="n"/>
      <c r="U886" s="18" t="n">
        <v>62643</v>
      </c>
      <c r="V886" s="18" t="n"/>
      <c r="W886" s="18" t="n"/>
      <c r="X886" s="35" t="n">
        <v>9.888</v>
      </c>
      <c r="Y886" s="35" t="n"/>
    </row>
    <row r="887">
      <c r="A887" s="25" t="n">
        <v>40121</v>
      </c>
      <c r="B887" s="18" t="n">
        <v>63913</v>
      </c>
      <c r="C887" s="31" t="n"/>
      <c r="D887" s="32" t="n"/>
      <c r="E887" s="33" t="n">
        <v>1.2195</v>
      </c>
      <c r="F887" t="inlineStr">
        <is>
          <t>Up</t>
        </is>
      </c>
      <c r="G887" t="inlineStr">
        <is>
          <t>Up</t>
        </is>
      </c>
      <c r="H887" t="inlineStr">
        <is>
          <t>EU_JU</t>
        </is>
      </c>
      <c r="I887" t="inlineStr">
        <is>
          <t>2009-11</t>
        </is>
      </c>
      <c r="J887" t="n">
        <v>1</v>
      </c>
      <c r="K887" t="n">
        <v>1</v>
      </c>
      <c r="L887" s="34">
        <f>IF($J887=1,LN(B888/B887),"")</f>
        <v/>
      </c>
      <c r="M887" s="34">
        <f>IF($K887=1,INDEX(Mensal!$D$2:$D$245,MATCH($I887,Mensal!$A$2:$A$245,0)),"")</f>
        <v/>
      </c>
      <c r="N887" s="34">
        <f>IF($K887=1,L887-M887,"")</f>
        <v/>
      </c>
      <c r="O887" s="34" t="n">
        <v>0.00032854</v>
      </c>
      <c r="P887" s="34">
        <f>IF($J887=1,LN(1+O887),"")</f>
        <v/>
      </c>
      <c r="Q887" s="34">
        <f>IF($J887=1,LN(R888/R887),"")</f>
        <v/>
      </c>
      <c r="R887" s="32" t="n">
        <v>1.7271</v>
      </c>
      <c r="S887" s="35" t="n">
        <v>9.874000000000001</v>
      </c>
      <c r="T887" s="18" t="n"/>
      <c r="U887" s="18" t="n">
        <v>63913</v>
      </c>
      <c r="V887" s="18" t="n"/>
      <c r="W887" s="18" t="n"/>
      <c r="X887" s="35" t="n">
        <v>9.874000000000001</v>
      </c>
      <c r="Y887" s="35" t="n"/>
    </row>
    <row r="888">
      <c r="A888" s="25" t="n">
        <v>40122</v>
      </c>
      <c r="B888" s="18" t="n">
        <v>64816</v>
      </c>
      <c r="C888" s="31" t="n"/>
      <c r="D888" s="32" t="n"/>
      <c r="E888" s="33" t="n">
        <v>1.2276</v>
      </c>
      <c r="F888" t="inlineStr">
        <is>
          <t>Up</t>
        </is>
      </c>
      <c r="G888" t="inlineStr">
        <is>
          <t>Up</t>
        </is>
      </c>
      <c r="H888" t="inlineStr">
        <is>
          <t>EU_JU</t>
        </is>
      </c>
      <c r="I888" t="inlineStr">
        <is>
          <t>2009-11</t>
        </is>
      </c>
      <c r="J888" t="n">
        <v>1</v>
      </c>
      <c r="K888" t="n">
        <v>1</v>
      </c>
      <c r="L888" s="34">
        <f>IF($J888=1,LN(B889/B888),"")</f>
        <v/>
      </c>
      <c r="M888" s="34">
        <f>IF($K888=1,INDEX(Mensal!$D$2:$D$245,MATCH($I888,Mensal!$A$2:$A$245,0)),"")</f>
        <v/>
      </c>
      <c r="N888" s="34">
        <f>IF($K888=1,L888-M888,"")</f>
        <v/>
      </c>
      <c r="O888" s="34" t="n">
        <v>0.00032854</v>
      </c>
      <c r="P888" s="34">
        <f>IF($J888=1,LN(1+O888),"")</f>
        <v/>
      </c>
      <c r="Q888" s="34">
        <f>IF($J888=1,LN(R889/R888),"")</f>
        <v/>
      </c>
      <c r="R888" s="32" t="n">
        <v>1.724</v>
      </c>
      <c r="S888" s="35" t="n">
        <v>9.816000000000001</v>
      </c>
      <c r="T888" s="18" t="n"/>
      <c r="U888" s="18" t="n">
        <v>64816</v>
      </c>
      <c r="V888" s="18" t="n"/>
      <c r="W888" s="18" t="n"/>
      <c r="X888" s="35" t="n">
        <v>9.816000000000001</v>
      </c>
      <c r="Y888" s="35" t="n"/>
    </row>
    <row r="889">
      <c r="A889" s="25" t="n">
        <v>40123</v>
      </c>
      <c r="B889" s="18" t="n">
        <v>64466</v>
      </c>
      <c r="C889" s="31" t="n"/>
      <c r="D889" s="32" t="n"/>
      <c r="E889" s="33" t="n">
        <v>1.2335</v>
      </c>
      <c r="F889" t="inlineStr">
        <is>
          <t>Up</t>
        </is>
      </c>
      <c r="G889" t="inlineStr">
        <is>
          <t>Up</t>
        </is>
      </c>
      <c r="H889" t="inlineStr">
        <is>
          <t>EU_JU</t>
        </is>
      </c>
      <c r="I889" t="inlineStr">
        <is>
          <t>2009-11</t>
        </is>
      </c>
      <c r="J889" t="n">
        <v>1</v>
      </c>
      <c r="K889" t="n">
        <v>1</v>
      </c>
      <c r="L889" s="34">
        <f>IF($J889=1,LN(B890/B889),"")</f>
        <v/>
      </c>
      <c r="M889" s="34">
        <f>IF($K889=1,INDEX(Mensal!$D$2:$D$245,MATCH($I889,Mensal!$A$2:$A$245,0)),"")</f>
        <v/>
      </c>
      <c r="N889" s="34">
        <f>IF($K889=1,L889-M889,"")</f>
        <v/>
      </c>
      <c r="O889" s="34" t="n">
        <v>0.00032854</v>
      </c>
      <c r="P889" s="34">
        <f>IF($J889=1,LN(1+O889),"")</f>
        <v/>
      </c>
      <c r="Q889" s="34">
        <f>IF($J889=1,LN(R890/R889),"")</f>
        <v/>
      </c>
      <c r="R889" s="32" t="n">
        <v>1.7179</v>
      </c>
      <c r="S889" s="35" t="n">
        <v>9.800000000000001</v>
      </c>
      <c r="T889" s="18" t="n"/>
      <c r="U889" s="18" t="n">
        <v>64466</v>
      </c>
      <c r="V889" s="18" t="n"/>
      <c r="W889" s="18" t="n"/>
      <c r="X889" s="35" t="n">
        <v>9.800000000000001</v>
      </c>
      <c r="Y889" s="35" t="n"/>
    </row>
    <row r="890">
      <c r="A890" s="25" t="n">
        <v>40126</v>
      </c>
      <c r="B890" s="18" t="n">
        <v>66214</v>
      </c>
      <c r="C890" s="31" t="n"/>
      <c r="D890" s="32" t="n"/>
      <c r="E890" s="33" t="n">
        <v>1.2409</v>
      </c>
      <c r="F890" t="inlineStr">
        <is>
          <t>Up</t>
        </is>
      </c>
      <c r="G890" t="inlineStr">
        <is>
          <t>Up</t>
        </is>
      </c>
      <c r="H890" t="inlineStr">
        <is>
          <t>EU_JU</t>
        </is>
      </c>
      <c r="I890" t="inlineStr">
        <is>
          <t>2009-11</t>
        </is>
      </c>
      <c r="J890" t="n">
        <v>1</v>
      </c>
      <c r="K890" t="n">
        <v>1</v>
      </c>
      <c r="L890" s="34">
        <f>IF($J890=1,LN(B891/B890),"")</f>
        <v/>
      </c>
      <c r="M890" s="34">
        <f>IF($K890=1,INDEX(Mensal!$D$2:$D$245,MATCH($I890,Mensal!$A$2:$A$245,0)),"")</f>
        <v/>
      </c>
      <c r="N890" s="34">
        <f>IF($K890=1,L890-M890,"")</f>
        <v/>
      </c>
      <c r="O890" s="34" t="n">
        <v>0.00032854</v>
      </c>
      <c r="P890" s="34">
        <f>IF($J890=1,LN(1+O890),"")</f>
        <v/>
      </c>
      <c r="Q890" s="34">
        <f>IF($J890=1,LN(R891/R890),"")</f>
        <v/>
      </c>
      <c r="R890" s="32" t="n">
        <v>1.7024</v>
      </c>
      <c r="S890" s="35" t="n">
        <v>9.855</v>
      </c>
      <c r="T890" s="18" t="n"/>
      <c r="U890" s="18" t="n">
        <v>66214</v>
      </c>
      <c r="V890" s="18" t="n"/>
      <c r="W890" s="18" t="n"/>
      <c r="X890" s="35" t="n">
        <v>9.855</v>
      </c>
      <c r="Y890" s="35" t="n"/>
    </row>
    <row r="891">
      <c r="A891" s="25" t="n">
        <v>40127</v>
      </c>
      <c r="B891" s="18" t="n">
        <v>66303</v>
      </c>
      <c r="C891" s="31" t="n"/>
      <c r="D891" s="32" t="n"/>
      <c r="E891" s="33" t="n">
        <v>1.2488</v>
      </c>
      <c r="F891" t="inlineStr">
        <is>
          <t>Up</t>
        </is>
      </c>
      <c r="G891" t="inlineStr">
        <is>
          <t>Up</t>
        </is>
      </c>
      <c r="H891" t="inlineStr">
        <is>
          <t>EU_JU</t>
        </is>
      </c>
      <c r="I891" t="inlineStr">
        <is>
          <t>2009-11</t>
        </is>
      </c>
      <c r="J891" t="n">
        <v>1</v>
      </c>
      <c r="K891" t="n">
        <v>1</v>
      </c>
      <c r="L891" s="34">
        <f>IF($J891=1,LN(B892/B891),"")</f>
        <v/>
      </c>
      <c r="M891" s="34">
        <f>IF($K891=1,INDEX(Mensal!$D$2:$D$245,MATCH($I891,Mensal!$A$2:$A$245,0)),"")</f>
        <v/>
      </c>
      <c r="N891" s="34">
        <f>IF($K891=1,L891-M891,"")</f>
        <v/>
      </c>
      <c r="O891" s="34" t="n">
        <v>0.00032854</v>
      </c>
      <c r="P891" s="34">
        <f>IF($J891=1,LN(1+O891),"")</f>
        <v/>
      </c>
      <c r="Q891" s="34">
        <f>IF($J891=1,LN(R892/R891),"")</f>
        <v/>
      </c>
      <c r="R891" s="32" t="n">
        <v>1.7096</v>
      </c>
      <c r="S891" s="35" t="n">
        <v>9.866</v>
      </c>
      <c r="T891" s="18" t="n"/>
      <c r="U891" s="18" t="n">
        <v>66303</v>
      </c>
      <c r="V891" s="18" t="n"/>
      <c r="W891" s="18" t="n"/>
      <c r="X891" s="35" t="n">
        <v>9.866</v>
      </c>
      <c r="Y891" s="35" t="n"/>
    </row>
    <row r="892">
      <c r="A892" s="25" t="n">
        <v>40128</v>
      </c>
      <c r="B892" s="18" t="n">
        <v>66431</v>
      </c>
      <c r="C892" s="31" t="n"/>
      <c r="D892" s="32" t="n"/>
      <c r="E892" s="33" t="n">
        <v>1.2524</v>
      </c>
      <c r="F892" t="inlineStr">
        <is>
          <t>Up</t>
        </is>
      </c>
      <c r="G892" t="inlineStr">
        <is>
          <t>Up</t>
        </is>
      </c>
      <c r="H892" t="inlineStr">
        <is>
          <t>EU_JU</t>
        </is>
      </c>
      <c r="I892" t="inlineStr">
        <is>
          <t>2009-11</t>
        </is>
      </c>
      <c r="J892" t="n">
        <v>1</v>
      </c>
      <c r="K892" t="n">
        <v>1</v>
      </c>
      <c r="L892" s="34">
        <f>IF($J892=1,LN(B893/B892),"")</f>
        <v/>
      </c>
      <c r="M892" s="34">
        <f>IF($K892=1,INDEX(Mensal!$D$2:$D$245,MATCH($I892,Mensal!$A$2:$A$245,0)),"")</f>
        <v/>
      </c>
      <c r="N892" s="34">
        <f>IF($K892=1,L892-M892,"")</f>
        <v/>
      </c>
      <c r="O892" s="34" t="n">
        <v>0.0003289</v>
      </c>
      <c r="P892" s="34">
        <f>IF($J892=1,LN(1+O892),"")</f>
        <v/>
      </c>
      <c r="Q892" s="34">
        <f>IF($J892=1,LN(R893/R892),"")</f>
        <v/>
      </c>
      <c r="R892" s="32" t="n">
        <v>1.7112</v>
      </c>
      <c r="S892" s="35" t="n">
        <v>9.880000000000001</v>
      </c>
      <c r="T892" s="18" t="n"/>
      <c r="U892" s="18" t="n">
        <v>66431</v>
      </c>
      <c r="V892" s="18" t="n"/>
      <c r="W892" s="18" t="n"/>
      <c r="X892" s="35" t="n">
        <v>9.880000000000001</v>
      </c>
      <c r="Y892" s="35" t="n"/>
    </row>
    <row r="893">
      <c r="A893" s="25" t="n">
        <v>40129</v>
      </c>
      <c r="B893" s="18" t="n">
        <v>64448</v>
      </c>
      <c r="C893" s="31" t="n"/>
      <c r="D893" s="32" t="n"/>
      <c r="E893" s="33" t="n">
        <v>1.261</v>
      </c>
      <c r="F893" t="inlineStr">
        <is>
          <t>Up</t>
        </is>
      </c>
      <c r="G893" t="inlineStr">
        <is>
          <t>Up</t>
        </is>
      </c>
      <c r="H893" t="inlineStr">
        <is>
          <t>EU_JU</t>
        </is>
      </c>
      <c r="I893" t="inlineStr">
        <is>
          <t>2009-11</t>
        </is>
      </c>
      <c r="J893" t="n">
        <v>1</v>
      </c>
      <c r="K893" t="n">
        <v>1</v>
      </c>
      <c r="L893" s="34">
        <f>IF($J893=1,LN(B894/B893),"")</f>
        <v/>
      </c>
      <c r="M893" s="34">
        <f>IF($K893=1,INDEX(Mensal!$D$2:$D$245,MATCH($I893,Mensal!$A$2:$A$245,0)),"")</f>
        <v/>
      </c>
      <c r="N893" s="34">
        <f>IF($K893=1,L893-M893,"")</f>
        <v/>
      </c>
      <c r="O893" s="34" t="n">
        <v>0.00032854</v>
      </c>
      <c r="P893" s="34">
        <f>IF($J893=1,LN(1+O893),"")</f>
        <v/>
      </c>
      <c r="Q893" s="34">
        <f>IF($J893=1,LN(R894/R893),"")</f>
        <v/>
      </c>
      <c r="R893" s="32" t="n">
        <v>1.725</v>
      </c>
      <c r="S893" s="35" t="n">
        <v>9.943</v>
      </c>
      <c r="T893" s="18" t="n"/>
      <c r="U893" s="18" t="n">
        <v>64448</v>
      </c>
      <c r="V893" s="18" t="n"/>
      <c r="W893" s="18" t="n"/>
      <c r="X893" s="35" t="n">
        <v>9.943</v>
      </c>
      <c r="Y893" s="35" t="n"/>
    </row>
    <row r="894">
      <c r="A894" s="25" t="n">
        <v>40130</v>
      </c>
      <c r="B894" s="18" t="n">
        <v>65326</v>
      </c>
      <c r="C894" s="31" t="n"/>
      <c r="D894" s="32" t="n"/>
      <c r="E894" s="33" t="n">
        <v>1.2628</v>
      </c>
      <c r="F894" t="inlineStr">
        <is>
          <t>Up</t>
        </is>
      </c>
      <c r="G894" t="inlineStr">
        <is>
          <t>Up</t>
        </is>
      </c>
      <c r="H894" t="inlineStr">
        <is>
          <t>EU_JU</t>
        </is>
      </c>
      <c r="I894" t="inlineStr">
        <is>
          <t>2009-11</t>
        </is>
      </c>
      <c r="J894" t="n">
        <v>1</v>
      </c>
      <c r="K894" t="n">
        <v>1</v>
      </c>
      <c r="L894" s="34">
        <f>IF($J894=1,LN(B895/B894),"")</f>
        <v/>
      </c>
      <c r="M894" s="34">
        <f>IF($K894=1,INDEX(Mensal!$D$2:$D$245,MATCH($I894,Mensal!$A$2:$A$245,0)),"")</f>
        <v/>
      </c>
      <c r="N894" s="34">
        <f>IF($K894=1,L894-M894,"")</f>
        <v/>
      </c>
      <c r="O894" s="34" t="n">
        <v>0.00032854</v>
      </c>
      <c r="P894" s="34">
        <f>IF($J894=1,LN(1+O894),"")</f>
        <v/>
      </c>
      <c r="Q894" s="34">
        <f>IF($J894=1,LN(R895/R894),"")</f>
        <v/>
      </c>
      <c r="R894" s="32" t="n">
        <v>1.729</v>
      </c>
      <c r="S894" s="35" t="n">
        <v>9.984</v>
      </c>
      <c r="T894" s="18" t="n"/>
      <c r="U894" s="18" t="n">
        <v>65326</v>
      </c>
      <c r="V894" s="18" t="n"/>
      <c r="W894" s="18" t="n"/>
      <c r="X894" s="35" t="n">
        <v>9.984</v>
      </c>
      <c r="Y894" s="35" t="n"/>
    </row>
    <row r="895">
      <c r="A895" s="25" t="n">
        <v>40133</v>
      </c>
      <c r="B895" s="18" t="n">
        <v>66627</v>
      </c>
      <c r="C895" s="31" t="n"/>
      <c r="D895" s="32" t="n"/>
      <c r="E895" s="33" t="n">
        <v>1.2651</v>
      </c>
      <c r="F895" t="inlineStr">
        <is>
          <t>Up</t>
        </is>
      </c>
      <c r="G895" t="inlineStr">
        <is>
          <t>Up</t>
        </is>
      </c>
      <c r="H895" t="inlineStr">
        <is>
          <t>EU_JU</t>
        </is>
      </c>
      <c r="I895" t="inlineStr">
        <is>
          <t>2009-11</t>
        </is>
      </c>
      <c r="J895" t="n">
        <v>1</v>
      </c>
      <c r="K895" t="n">
        <v>1</v>
      </c>
      <c r="L895" s="34">
        <f>IF($J895=1,LN(B896/B895),"")</f>
        <v/>
      </c>
      <c r="M895" s="34">
        <f>IF($K895=1,INDEX(Mensal!$D$2:$D$245,MATCH($I895,Mensal!$A$2:$A$245,0)),"")</f>
        <v/>
      </c>
      <c r="N895" s="34">
        <f>IF($K895=1,L895-M895,"")</f>
        <v/>
      </c>
      <c r="O895" s="34" t="n">
        <v>0.00032854</v>
      </c>
      <c r="P895" s="34">
        <f>IF($J895=1,LN(1+O895),"")</f>
        <v/>
      </c>
      <c r="Q895" s="34">
        <f>IF($J895=1,LN(R896/R895),"")</f>
        <v/>
      </c>
      <c r="R895" s="32" t="n">
        <v>1.7127</v>
      </c>
      <c r="S895" s="35" t="n">
        <v>10.005</v>
      </c>
      <c r="T895" s="18" t="n"/>
      <c r="U895" s="18" t="n">
        <v>66627</v>
      </c>
      <c r="V895" s="18" t="n"/>
      <c r="W895" s="18" t="n"/>
      <c r="X895" s="35" t="n">
        <v>10.005</v>
      </c>
      <c r="Y895" s="35" t="n"/>
    </row>
    <row r="896">
      <c r="A896" s="25" t="n">
        <v>40134</v>
      </c>
      <c r="B896" s="18" t="n">
        <v>67406</v>
      </c>
      <c r="C896" s="31" t="n"/>
      <c r="D896" s="32" t="n"/>
      <c r="E896" s="33" t="n">
        <v>1.2598</v>
      </c>
      <c r="F896" t="inlineStr">
        <is>
          <t>Up</t>
        </is>
      </c>
      <c r="G896" t="inlineStr">
        <is>
          <t>Up</t>
        </is>
      </c>
      <c r="H896" t="inlineStr">
        <is>
          <t>EU_JU</t>
        </is>
      </c>
      <c r="I896" t="inlineStr">
        <is>
          <t>2009-11</t>
        </is>
      </c>
      <c r="J896" t="n">
        <v>1</v>
      </c>
      <c r="K896" t="n">
        <v>1</v>
      </c>
      <c r="L896" s="34">
        <f>IF($J896=1,LN(B897/B896),"")</f>
        <v/>
      </c>
      <c r="M896" s="34">
        <f>IF($K896=1,INDEX(Mensal!$D$2:$D$245,MATCH($I896,Mensal!$A$2:$A$245,0)),"")</f>
        <v/>
      </c>
      <c r="N896" s="34">
        <f>IF($K896=1,L896-M896,"")</f>
        <v/>
      </c>
      <c r="O896" s="34" t="n">
        <v>0.00032817</v>
      </c>
      <c r="P896" s="34">
        <f>IF($J896=1,LN(1+O896),"")</f>
        <v/>
      </c>
      <c r="Q896" s="34">
        <f>IF($J896=1,LN(R897/R896),"")</f>
        <v/>
      </c>
      <c r="R896" s="32" t="n">
        <v>1.7153</v>
      </c>
      <c r="S896" s="35" t="n">
        <v>9.952999999999999</v>
      </c>
      <c r="T896" s="18" t="n"/>
      <c r="U896" s="18" t="n">
        <v>67406</v>
      </c>
      <c r="V896" s="18" t="n"/>
      <c r="W896" s="18" t="n"/>
      <c r="X896" s="35" t="n">
        <v>9.952999999999999</v>
      </c>
      <c r="Y896" s="35" t="n"/>
    </row>
    <row r="897">
      <c r="A897" s="25" t="n">
        <v>40135</v>
      </c>
      <c r="B897" s="18" t="n">
        <v>66516</v>
      </c>
      <c r="C897" s="31" t="n"/>
      <c r="D897" s="32" t="n"/>
      <c r="E897" s="33" t="n">
        <v>1.2666</v>
      </c>
      <c r="F897" t="inlineStr">
        <is>
          <t>Up</t>
        </is>
      </c>
      <c r="G897" t="inlineStr">
        <is>
          <t>Up</t>
        </is>
      </c>
      <c r="H897" t="inlineStr">
        <is>
          <t>EU_JU</t>
        </is>
      </c>
      <c r="I897" t="inlineStr">
        <is>
          <t>2009-11</t>
        </is>
      </c>
      <c r="J897" t="n">
        <v>1</v>
      </c>
      <c r="K897" t="n">
        <v>1</v>
      </c>
      <c r="L897" s="34">
        <f>IF($J897=1,LN(B898/B897),"")</f>
        <v/>
      </c>
      <c r="M897" s="34">
        <f>IF($K897=1,INDEX(Mensal!$D$2:$D$245,MATCH($I897,Mensal!$A$2:$A$245,0)),"")</f>
        <v/>
      </c>
      <c r="N897" s="34">
        <f>IF($K897=1,L897-M897,"")</f>
        <v/>
      </c>
      <c r="O897" s="34" t="n">
        <v>0.00032817</v>
      </c>
      <c r="P897" s="34">
        <f>IF($J897=1,LN(1+O897),"")</f>
        <v/>
      </c>
      <c r="Q897" s="34">
        <f>IF($J897=1,LN(R898/R897),"")</f>
        <v/>
      </c>
      <c r="R897" s="32" t="n">
        <v>1.7103</v>
      </c>
      <c r="S897" s="35" t="n">
        <v>9.946999999999999</v>
      </c>
      <c r="T897" s="18" t="n"/>
      <c r="U897" s="18" t="n">
        <v>66516</v>
      </c>
      <c r="V897" s="18" t="n"/>
      <c r="W897" s="18" t="n"/>
      <c r="X897" s="35" t="n">
        <v>9.946999999999999</v>
      </c>
      <c r="Y897" s="35" t="n"/>
    </row>
    <row r="898">
      <c r="A898" s="25" t="n">
        <v>40136</v>
      </c>
      <c r="B898" s="18" t="n">
        <v>66327</v>
      </c>
      <c r="C898" s="31" t="n"/>
      <c r="D898" s="32" t="n"/>
      <c r="E898" s="33" t="n">
        <v>1.2771</v>
      </c>
      <c r="F898" t="inlineStr">
        <is>
          <t>Up</t>
        </is>
      </c>
      <c r="G898" t="inlineStr">
        <is>
          <t>Up</t>
        </is>
      </c>
      <c r="H898" t="inlineStr">
        <is>
          <t>EU_JU</t>
        </is>
      </c>
      <c r="I898" t="inlineStr">
        <is>
          <t>2009-11</t>
        </is>
      </c>
      <c r="J898" t="n">
        <v>1</v>
      </c>
      <c r="K898" t="n">
        <v>1</v>
      </c>
      <c r="L898" s="34">
        <f>IF($J898=1,LN(B899/B898),"")</f>
        <v/>
      </c>
      <c r="M898" s="34">
        <f>IF($K898=1,INDEX(Mensal!$D$2:$D$245,MATCH($I898,Mensal!$A$2:$A$245,0)),"")</f>
        <v/>
      </c>
      <c r="N898" s="34">
        <f>IF($K898=1,L898-M898,"")</f>
        <v/>
      </c>
      <c r="O898" s="34" t="n">
        <v>0.00032817</v>
      </c>
      <c r="P898" s="34">
        <f>IF($J898=1,LN(1+O898),"")</f>
        <v/>
      </c>
      <c r="Q898" s="34">
        <f>IF($J898=1,LN(R899/R898),"")</f>
        <v/>
      </c>
      <c r="R898" s="32" t="n">
        <v>1.7287</v>
      </c>
      <c r="S898" s="35" t="n">
        <v>9.922000000000001</v>
      </c>
      <c r="T898" s="18" t="n"/>
      <c r="U898" s="18" t="n">
        <v>66327</v>
      </c>
      <c r="V898" s="18" t="n"/>
      <c r="W898" s="18" t="n"/>
      <c r="X898" s="35" t="n">
        <v>9.922000000000001</v>
      </c>
      <c r="Y898" s="35" t="n"/>
    </row>
    <row r="899">
      <c r="A899" s="25" t="n">
        <v>40140</v>
      </c>
      <c r="B899" s="18" t="n">
        <v>66809</v>
      </c>
      <c r="C899" s="31" t="n"/>
      <c r="D899" s="32" t="n"/>
      <c r="E899" s="33" t="n">
        <v>1.2958</v>
      </c>
      <c r="F899" t="inlineStr">
        <is>
          <t>Up</t>
        </is>
      </c>
      <c r="G899" t="inlineStr">
        <is>
          <t>Up</t>
        </is>
      </c>
      <c r="H899" t="inlineStr">
        <is>
          <t>EU_JU</t>
        </is>
      </c>
      <c r="I899" t="inlineStr">
        <is>
          <t>2009-11</t>
        </is>
      </c>
      <c r="J899" t="n">
        <v>1</v>
      </c>
      <c r="K899" t="n">
        <v>1</v>
      </c>
      <c r="L899" s="34">
        <f>IF($J899=1,LN(B900/B899),"")</f>
        <v/>
      </c>
      <c r="M899" s="34">
        <f>IF($K899=1,INDEX(Mensal!$D$2:$D$245,MATCH($I899,Mensal!$A$2:$A$245,0)),"")</f>
        <v/>
      </c>
      <c r="N899" s="34">
        <f>IF($K899=1,L899-M899,"")</f>
        <v/>
      </c>
      <c r="O899" s="34" t="n">
        <v>0.0003277999999999999</v>
      </c>
      <c r="P899" s="34">
        <f>IF($J899=1,LN(1+O899),"")</f>
        <v/>
      </c>
      <c r="Q899" s="34">
        <f>IF($J899=1,LN(R900/R899),"")</f>
        <v/>
      </c>
      <c r="R899" s="32" t="n">
        <v>1.7245</v>
      </c>
      <c r="S899" s="35" t="n">
        <v>9.945</v>
      </c>
      <c r="T899" s="18" t="n"/>
      <c r="U899" s="18" t="n">
        <v>66809</v>
      </c>
      <c r="V899" s="18" t="n"/>
      <c r="W899" s="18" t="n"/>
      <c r="X899" s="35" t="n">
        <v>9.945</v>
      </c>
      <c r="Y899" s="35" t="n"/>
    </row>
    <row r="900">
      <c r="A900" s="25" t="n">
        <v>40141</v>
      </c>
      <c r="B900" s="18" t="n">
        <v>67317</v>
      </c>
      <c r="C900" s="31" t="n"/>
      <c r="D900" s="32" t="n"/>
      <c r="E900" s="33" t="n">
        <v>1.3093</v>
      </c>
      <c r="F900" t="inlineStr">
        <is>
          <t>Up</t>
        </is>
      </c>
      <c r="G900" t="inlineStr">
        <is>
          <t>Up</t>
        </is>
      </c>
      <c r="H900" t="inlineStr">
        <is>
          <t>EU_JU</t>
        </is>
      </c>
      <c r="I900" t="inlineStr">
        <is>
          <t>2009-11</t>
        </is>
      </c>
      <c r="J900" t="n">
        <v>1</v>
      </c>
      <c r="K900" t="n">
        <v>1</v>
      </c>
      <c r="L900" s="34">
        <f>IF($J900=1,LN(B901/B900),"")</f>
        <v/>
      </c>
      <c r="M900" s="34">
        <f>IF($K900=1,INDEX(Mensal!$D$2:$D$245,MATCH($I900,Mensal!$A$2:$A$245,0)),"")</f>
        <v/>
      </c>
      <c r="N900" s="34">
        <f>IF($K900=1,L900-M900,"")</f>
        <v/>
      </c>
      <c r="O900" s="34" t="n">
        <v>0.0003289</v>
      </c>
      <c r="P900" s="34">
        <f>IF($J900=1,LN(1+O900),"")</f>
        <v/>
      </c>
      <c r="Q900" s="34">
        <f>IF($J900=1,LN(R901/R900),"")</f>
        <v/>
      </c>
      <c r="R900" s="32" t="n">
        <v>1.7282</v>
      </c>
      <c r="S900" s="35" t="n">
        <v>9.926</v>
      </c>
      <c r="T900" s="18" t="n"/>
      <c r="U900" s="18" t="n">
        <v>67317</v>
      </c>
      <c r="V900" s="18" t="n"/>
      <c r="W900" s="18" t="n"/>
      <c r="X900" s="35" t="n">
        <v>9.926</v>
      </c>
      <c r="Y900" s="35" t="n"/>
    </row>
    <row r="901">
      <c r="A901" s="25" t="n">
        <v>40142</v>
      </c>
      <c r="B901" s="18" t="n">
        <v>67917</v>
      </c>
      <c r="C901" s="31" t="n"/>
      <c r="D901" s="32" t="n"/>
      <c r="E901" s="33" t="n">
        <v>1.3252</v>
      </c>
      <c r="F901" t="inlineStr">
        <is>
          <t>Up</t>
        </is>
      </c>
      <c r="G901" t="inlineStr">
        <is>
          <t>Up</t>
        </is>
      </c>
      <c r="H901" t="inlineStr">
        <is>
          <t>EU_JU</t>
        </is>
      </c>
      <c r="I901" t="inlineStr">
        <is>
          <t>2009-11</t>
        </is>
      </c>
      <c r="J901" t="n">
        <v>1</v>
      </c>
      <c r="K901" t="n">
        <v>1</v>
      </c>
      <c r="L901" s="34">
        <f>IF($J901=1,LN(B902/B901),"")</f>
        <v/>
      </c>
      <c r="M901" s="34">
        <f>IF($K901=1,INDEX(Mensal!$D$2:$D$245,MATCH($I901,Mensal!$A$2:$A$245,0)),"")</f>
        <v/>
      </c>
      <c r="N901" s="34">
        <f>IF($K901=1,L901-M901,"")</f>
        <v/>
      </c>
      <c r="O901" s="34" t="n">
        <v>0.00032927</v>
      </c>
      <c r="P901" s="34">
        <f>IF($J901=1,LN(1+O901),"")</f>
        <v/>
      </c>
      <c r="Q901" s="34">
        <f>IF($J901=1,LN(R902/R901),"")</f>
        <v/>
      </c>
      <c r="R901" s="32" t="n">
        <v>1.7272</v>
      </c>
      <c r="S901" s="35" t="n">
        <v>9.977</v>
      </c>
      <c r="T901" s="18" t="n"/>
      <c r="U901" s="18" t="n">
        <v>67917</v>
      </c>
      <c r="V901" s="18" t="n"/>
      <c r="W901" s="18" t="n"/>
      <c r="X901" s="35" t="n">
        <v>9.977</v>
      </c>
      <c r="Y901" s="35" t="n"/>
    </row>
    <row r="902">
      <c r="A902" s="25" t="n">
        <v>40143</v>
      </c>
      <c r="B902" s="18" t="n">
        <v>66392</v>
      </c>
      <c r="C902" s="31" t="n"/>
      <c r="D902" s="32" t="n"/>
      <c r="E902" s="33" t="n">
        <v>1.3375</v>
      </c>
      <c r="F902" t="inlineStr">
        <is>
          <t>Up</t>
        </is>
      </c>
      <c r="G902" t="inlineStr">
        <is>
          <t>Up</t>
        </is>
      </c>
      <c r="H902" t="inlineStr">
        <is>
          <t>EU_JU</t>
        </is>
      </c>
      <c r="I902" t="inlineStr">
        <is>
          <t>2009-11</t>
        </is>
      </c>
      <c r="J902" t="n">
        <v>1</v>
      </c>
      <c r="K902" t="n">
        <v>1</v>
      </c>
      <c r="L902" s="34">
        <f>IF($J902=1,LN(B903/B902),"")</f>
        <v/>
      </c>
      <c r="M902" s="34">
        <f>IF($K902=1,INDEX(Mensal!$D$2:$D$245,MATCH($I902,Mensal!$A$2:$A$245,0)),"")</f>
        <v/>
      </c>
      <c r="N902" s="34">
        <f>IF($K902=1,L902-M902,"")</f>
        <v/>
      </c>
      <c r="O902" s="34" t="n">
        <v>0.00032927</v>
      </c>
      <c r="P902" s="34">
        <f>IF($J902=1,LN(1+O902),"")</f>
        <v/>
      </c>
      <c r="Q902" s="34">
        <f>IF($J902=1,LN(R903/R902),"")</f>
        <v/>
      </c>
      <c r="R902" s="32" t="n">
        <v>1.7409</v>
      </c>
      <c r="S902" s="35" t="n">
        <v>10.061</v>
      </c>
      <c r="T902" s="18" t="n"/>
      <c r="U902" s="18" t="n">
        <v>66392</v>
      </c>
      <c r="V902" s="18" t="n"/>
      <c r="W902" s="18" t="n"/>
      <c r="X902" s="35" t="n">
        <v>10.061</v>
      </c>
      <c r="Y902" s="35" t="n"/>
    </row>
    <row r="903">
      <c r="A903" s="25" t="n">
        <v>40144</v>
      </c>
      <c r="B903" s="18" t="n">
        <v>67082</v>
      </c>
      <c r="C903" s="31" t="n"/>
      <c r="D903" s="32" t="n"/>
      <c r="E903" s="33" t="n">
        <v>1.3466</v>
      </c>
      <c r="F903" t="inlineStr">
        <is>
          <t>Up</t>
        </is>
      </c>
      <c r="G903" t="inlineStr">
        <is>
          <t>Up</t>
        </is>
      </c>
      <c r="H903" t="inlineStr">
        <is>
          <t>EU_JU</t>
        </is>
      </c>
      <c r="I903" t="inlineStr">
        <is>
          <t>2009-11</t>
        </is>
      </c>
      <c r="J903" t="n">
        <v>1</v>
      </c>
      <c r="K903" t="n">
        <v>1</v>
      </c>
      <c r="L903" s="34">
        <f>IF($J903=1,LN(B904/B903),"")</f>
        <v/>
      </c>
      <c r="M903" s="34">
        <f>IF($K903=1,INDEX(Mensal!$D$2:$D$245,MATCH($I903,Mensal!$A$2:$A$245,0)),"")</f>
        <v/>
      </c>
      <c r="N903" s="34">
        <f>IF($K903=1,L903-M903,"")</f>
        <v/>
      </c>
      <c r="O903" s="34" t="n">
        <v>0.00032744</v>
      </c>
      <c r="P903" s="34">
        <f>IF($J903=1,LN(1+O903),"")</f>
        <v/>
      </c>
      <c r="Q903" s="34">
        <f>IF($J903=1,LN(R904/R903),"")</f>
        <v/>
      </c>
      <c r="R903" s="32" t="n">
        <v>1.7443</v>
      </c>
      <c r="S903" s="35" t="n">
        <v>10.069</v>
      </c>
      <c r="T903" s="18" t="n"/>
      <c r="U903" s="18" t="n">
        <v>67082</v>
      </c>
      <c r="V903" s="18" t="n"/>
      <c r="W903" s="18" t="n"/>
      <c r="X903" s="35" t="n">
        <v>10.069</v>
      </c>
      <c r="Y903" s="35" t="n"/>
    </row>
    <row r="904">
      <c r="A904" s="25" t="n">
        <v>40147</v>
      </c>
      <c r="B904" s="18" t="n">
        <v>67044</v>
      </c>
      <c r="C904" s="31" t="n"/>
      <c r="D904" s="32" t="n"/>
      <c r="E904" s="33" t="n">
        <v>1.3513</v>
      </c>
      <c r="F904" t="inlineStr">
        <is>
          <t>Up</t>
        </is>
      </c>
      <c r="G904" t="inlineStr">
        <is>
          <t>Up</t>
        </is>
      </c>
      <c r="H904" t="inlineStr">
        <is>
          <t>EU_JU</t>
        </is>
      </c>
      <c r="I904" t="inlineStr">
        <is>
          <t>2009-11</t>
        </is>
      </c>
      <c r="J904" t="n">
        <v>1</v>
      </c>
      <c r="K904" t="n">
        <v>1</v>
      </c>
      <c r="L904" s="34">
        <f>IF($J904=1,LN(B905/B904),"")</f>
        <v/>
      </c>
      <c r="M904" s="34">
        <f>IF($K904=1,INDEX(Mensal!$D$2:$D$245,MATCH($I904,Mensal!$A$2:$A$245,0)),"")</f>
        <v/>
      </c>
      <c r="N904" s="34">
        <f>IF($K904=1,L904-M904,"")</f>
        <v/>
      </c>
      <c r="O904" s="34" t="n">
        <v>0.00032817</v>
      </c>
      <c r="P904" s="34">
        <f>IF($J904=1,LN(1+O904),"")</f>
        <v/>
      </c>
      <c r="Q904" s="34">
        <f>IF($J904=1,LN(R905/R904),"")</f>
        <v/>
      </c>
      <c r="R904" s="32" t="n">
        <v>1.7505</v>
      </c>
      <c r="S904" s="35" t="n">
        <v>10.122</v>
      </c>
      <c r="T904" s="18" t="n"/>
      <c r="U904" s="18" t="n">
        <v>67044</v>
      </c>
      <c r="V904" s="18" t="n"/>
      <c r="W904" s="18" t="n"/>
      <c r="X904" s="35" t="n">
        <v>10.122</v>
      </c>
      <c r="Y904" s="35" t="n"/>
    </row>
    <row r="905">
      <c r="A905" s="25" t="n">
        <v>40148</v>
      </c>
      <c r="B905" s="18" t="n">
        <v>68408</v>
      </c>
      <c r="C905" s="31" t="n"/>
      <c r="D905" s="32" t="n"/>
      <c r="E905" s="33" t="n">
        <v>1.3569</v>
      </c>
      <c r="F905" t="inlineStr">
        <is>
          <t>Up</t>
        </is>
      </c>
      <c r="G905" t="inlineStr">
        <is>
          <t>Up</t>
        </is>
      </c>
      <c r="H905" t="inlineStr">
        <is>
          <t>EU_JU</t>
        </is>
      </c>
      <c r="I905" t="inlineStr">
        <is>
          <t>2009-12</t>
        </is>
      </c>
      <c r="J905" t="n">
        <v>1</v>
      </c>
      <c r="K905" t="n">
        <v>1</v>
      </c>
      <c r="L905" s="34">
        <f>IF($J905=1,LN(B906/B905),"")</f>
        <v/>
      </c>
      <c r="M905" s="34">
        <f>IF($K905=1,INDEX(Mensal!$D$2:$D$245,MATCH($I905,Mensal!$A$2:$A$245,0)),"")</f>
        <v/>
      </c>
      <c r="N905" s="34">
        <f>IF($K905=1,L905-M905,"")</f>
        <v/>
      </c>
      <c r="O905" s="34" t="n">
        <v>0.00032744</v>
      </c>
      <c r="P905" s="34">
        <f>IF($J905=1,LN(1+O905),"")</f>
        <v/>
      </c>
      <c r="Q905" s="34">
        <f>IF($J905=1,LN(R906/R905),"")</f>
        <v/>
      </c>
      <c r="R905" s="32" t="n">
        <v>1.7293</v>
      </c>
      <c r="S905" s="35" t="n">
        <v>10.094</v>
      </c>
      <c r="T905" s="18" t="n"/>
      <c r="U905" s="18" t="n">
        <v>68408</v>
      </c>
      <c r="V905" s="18" t="n"/>
      <c r="W905" s="18" t="n"/>
      <c r="X905" s="35" t="n">
        <v>10.094</v>
      </c>
      <c r="Y905" s="35" t="n"/>
    </row>
    <row r="906">
      <c r="A906" s="25" t="n">
        <v>40149</v>
      </c>
      <c r="B906" s="18" t="n">
        <v>68615</v>
      </c>
      <c r="C906" s="31" t="n"/>
      <c r="D906" s="32" t="n"/>
      <c r="E906" s="33" t="n">
        <v>1.3658</v>
      </c>
      <c r="F906" t="inlineStr">
        <is>
          <t>Up</t>
        </is>
      </c>
      <c r="G906" t="inlineStr">
        <is>
          <t>Up</t>
        </is>
      </c>
      <c r="H906" t="inlineStr">
        <is>
          <t>EU_JU</t>
        </is>
      </c>
      <c r="I906" t="inlineStr">
        <is>
          <t>2009-12</t>
        </is>
      </c>
      <c r="J906" t="n">
        <v>1</v>
      </c>
      <c r="K906" t="n">
        <v>1</v>
      </c>
      <c r="L906" s="34">
        <f>IF($J906=1,LN(B907/B906),"")</f>
        <v/>
      </c>
      <c r="M906" s="34">
        <f>IF($K906=1,INDEX(Mensal!$D$2:$D$245,MATCH($I906,Mensal!$A$2:$A$245,0)),"")</f>
        <v/>
      </c>
      <c r="N906" s="34">
        <f>IF($K906=1,L906-M906,"")</f>
        <v/>
      </c>
      <c r="O906" s="34" t="n">
        <v>0.00032854</v>
      </c>
      <c r="P906" s="34">
        <f>IF($J906=1,LN(1+O906),"")</f>
        <v/>
      </c>
      <c r="Q906" s="34">
        <f>IF($J906=1,LN(R907/R906),"")</f>
        <v/>
      </c>
      <c r="R906" s="32" t="n">
        <v>1.7201</v>
      </c>
      <c r="S906" s="35" t="n">
        <v>10.178</v>
      </c>
      <c r="T906" s="18" t="n"/>
      <c r="U906" s="18" t="n">
        <v>68615</v>
      </c>
      <c r="V906" s="18" t="n"/>
      <c r="W906" s="18" t="n"/>
      <c r="X906" s="35" t="n">
        <v>10.178</v>
      </c>
      <c r="Y906" s="35" t="n"/>
    </row>
    <row r="907">
      <c r="A907" s="25" t="n">
        <v>40150</v>
      </c>
      <c r="B907" s="18" t="n">
        <v>68315</v>
      </c>
      <c r="C907" s="31" t="n"/>
      <c r="D907" s="32" t="n"/>
      <c r="E907" s="33" t="n">
        <v>1.3673</v>
      </c>
      <c r="F907" t="inlineStr">
        <is>
          <t>Up</t>
        </is>
      </c>
      <c r="G907" t="inlineStr">
        <is>
          <t>Up</t>
        </is>
      </c>
      <c r="H907" t="inlineStr">
        <is>
          <t>EU_JU</t>
        </is>
      </c>
      <c r="I907" t="inlineStr">
        <is>
          <t>2009-12</t>
        </is>
      </c>
      <c r="J907" t="n">
        <v>1</v>
      </c>
      <c r="K907" t="n">
        <v>1</v>
      </c>
      <c r="L907" s="34">
        <f>IF($J907=1,LN(B908/B907),"")</f>
        <v/>
      </c>
      <c r="M907" s="34">
        <f>IF($K907=1,INDEX(Mensal!$D$2:$D$245,MATCH($I907,Mensal!$A$2:$A$245,0)),"")</f>
        <v/>
      </c>
      <c r="N907" s="34">
        <f>IF($K907=1,L907-M907,"")</f>
        <v/>
      </c>
      <c r="O907" s="34" t="n">
        <v>0.00032854</v>
      </c>
      <c r="P907" s="34">
        <f>IF($J907=1,LN(1+O907),"")</f>
        <v/>
      </c>
      <c r="Q907" s="34">
        <f>IF($J907=1,LN(R908/R907),"")</f>
        <v/>
      </c>
      <c r="R907" s="32" t="n">
        <v>1.7096</v>
      </c>
      <c r="S907" s="35" t="n">
        <v>10.22</v>
      </c>
      <c r="T907" s="18" t="n"/>
      <c r="U907" s="18" t="n">
        <v>68315</v>
      </c>
      <c r="V907" s="18" t="n"/>
      <c r="W907" s="18" t="n"/>
      <c r="X907" s="35" t="n">
        <v>10.22</v>
      </c>
      <c r="Y907" s="35" t="n"/>
    </row>
    <row r="908">
      <c r="A908" s="25" t="n">
        <v>40151</v>
      </c>
      <c r="B908" s="18" t="n">
        <v>67604</v>
      </c>
      <c r="C908" s="31" t="n"/>
      <c r="D908" s="32" t="n"/>
      <c r="E908" s="33" t="n">
        <v>1.3763</v>
      </c>
      <c r="F908" t="inlineStr">
        <is>
          <t>Up</t>
        </is>
      </c>
      <c r="G908" t="inlineStr">
        <is>
          <t>Up</t>
        </is>
      </c>
      <c r="H908" t="inlineStr">
        <is>
          <t>EU_JU</t>
        </is>
      </c>
      <c r="I908" t="inlineStr">
        <is>
          <t>2009-12</t>
        </is>
      </c>
      <c r="J908" t="n">
        <v>1</v>
      </c>
      <c r="K908" t="n">
        <v>1</v>
      </c>
      <c r="L908" s="34">
        <f>IF($J908=1,LN(B909/B908),"")</f>
        <v/>
      </c>
      <c r="M908" s="34">
        <f>IF($K908=1,INDEX(Mensal!$D$2:$D$245,MATCH($I908,Mensal!$A$2:$A$245,0)),"")</f>
        <v/>
      </c>
      <c r="N908" s="34">
        <f>IF($K908=1,L908-M908,"")</f>
        <v/>
      </c>
      <c r="O908" s="34" t="n">
        <v>0.00032817</v>
      </c>
      <c r="P908" s="34">
        <f>IF($J908=1,LN(1+O908),"")</f>
        <v/>
      </c>
      <c r="Q908" s="34">
        <f>IF($J908=1,LN(R909/R908),"")</f>
        <v/>
      </c>
      <c r="R908" s="32" t="n">
        <v>1.7131</v>
      </c>
      <c r="S908" s="35" t="n">
        <v>10.272</v>
      </c>
      <c r="T908" s="18" t="n"/>
      <c r="U908" s="18" t="n">
        <v>67604</v>
      </c>
      <c r="V908" s="18" t="n"/>
      <c r="W908" s="18" t="n"/>
      <c r="X908" s="35" t="n">
        <v>10.272</v>
      </c>
      <c r="Y908" s="35" t="n"/>
    </row>
    <row r="909">
      <c r="A909" s="25" t="n">
        <v>40154</v>
      </c>
      <c r="B909" s="18" t="n">
        <v>68512</v>
      </c>
      <c r="C909" s="31" t="n"/>
      <c r="D909" s="32" t="n"/>
      <c r="E909" s="33" t="n">
        <v>1.3865</v>
      </c>
      <c r="F909" t="inlineStr">
        <is>
          <t>Up</t>
        </is>
      </c>
      <c r="G909" t="inlineStr">
        <is>
          <t>Up</t>
        </is>
      </c>
      <c r="H909" t="inlineStr">
        <is>
          <t>EU_JU</t>
        </is>
      </c>
      <c r="I909" t="inlineStr">
        <is>
          <t>2009-12</t>
        </is>
      </c>
      <c r="J909" t="n">
        <v>1</v>
      </c>
      <c r="K909" t="n">
        <v>1</v>
      </c>
      <c r="L909" s="34">
        <f>IF($J909=1,LN(B910/B909),"")</f>
        <v/>
      </c>
      <c r="M909" s="34">
        <f>IF($K909=1,INDEX(Mensal!$D$2:$D$245,MATCH($I909,Mensal!$A$2:$A$245,0)),"")</f>
        <v/>
      </c>
      <c r="N909" s="34">
        <f>IF($K909=1,L909-M909,"")</f>
        <v/>
      </c>
      <c r="O909" s="34" t="n">
        <v>0.00032598</v>
      </c>
      <c r="P909" s="34">
        <f>IF($J909=1,LN(1+O909),"")</f>
        <v/>
      </c>
      <c r="Q909" s="34">
        <f>IF($J909=1,LN(R910/R909),"")</f>
        <v/>
      </c>
      <c r="R909" s="32" t="n">
        <v>1.7302</v>
      </c>
      <c r="S909" s="35" t="n">
        <v>10.227</v>
      </c>
      <c r="T909" s="18" t="n"/>
      <c r="U909" s="18" t="n">
        <v>68512</v>
      </c>
      <c r="V909" s="18" t="n"/>
      <c r="W909" s="18" t="n"/>
      <c r="X909" s="35" t="n">
        <v>10.227</v>
      </c>
      <c r="Y909" s="35" t="n"/>
    </row>
    <row r="910">
      <c r="A910" s="25" t="n">
        <v>40155</v>
      </c>
      <c r="B910" s="18" t="n">
        <v>67729</v>
      </c>
      <c r="C910" s="31" t="n"/>
      <c r="D910" s="32" t="n"/>
      <c r="E910" s="33" t="n">
        <v>1.3974</v>
      </c>
      <c r="F910" t="inlineStr">
        <is>
          <t>Up</t>
        </is>
      </c>
      <c r="G910" t="inlineStr">
        <is>
          <t>Up</t>
        </is>
      </c>
      <c r="H910" t="inlineStr">
        <is>
          <t>EU_JU</t>
        </is>
      </c>
      <c r="I910" t="inlineStr">
        <is>
          <t>2009-12</t>
        </is>
      </c>
      <c r="J910" t="n">
        <v>1</v>
      </c>
      <c r="K910" t="n">
        <v>1</v>
      </c>
      <c r="L910" s="34">
        <f>IF($J910=1,LN(B911/B910),"")</f>
        <v/>
      </c>
      <c r="M910" s="34">
        <f>IF($K910=1,INDEX(Mensal!$D$2:$D$245,MATCH($I910,Mensal!$A$2:$A$245,0)),"")</f>
        <v/>
      </c>
      <c r="N910" s="34">
        <f>IF($K910=1,L910-M910,"")</f>
        <v/>
      </c>
      <c r="O910" s="34" t="n">
        <v>0.0003277999999999999</v>
      </c>
      <c r="P910" s="34">
        <f>IF($J910=1,LN(1+O910),"")</f>
        <v/>
      </c>
      <c r="Q910" s="34">
        <f>IF($J910=1,LN(R911/R910),"")</f>
        <v/>
      </c>
      <c r="R910" s="32" t="n">
        <v>1.7482</v>
      </c>
      <c r="S910" s="35" t="n">
        <v>10.278</v>
      </c>
      <c r="T910" s="18" t="n"/>
      <c r="U910" s="18" t="n">
        <v>67729</v>
      </c>
      <c r="V910" s="18" t="n"/>
      <c r="W910" s="18" t="n"/>
      <c r="X910" s="35" t="n">
        <v>10.278</v>
      </c>
      <c r="Y910" s="35" t="n"/>
    </row>
    <row r="911">
      <c r="A911" s="25" t="n">
        <v>40156</v>
      </c>
      <c r="B911" s="18" t="n">
        <v>68012</v>
      </c>
      <c r="C911" s="31" t="n"/>
      <c r="D911" s="32" t="n"/>
      <c r="E911" s="33" t="n">
        <v>1.4141</v>
      </c>
      <c r="F911" t="inlineStr">
        <is>
          <t>Up</t>
        </is>
      </c>
      <c r="G911" t="inlineStr">
        <is>
          <t>Up</t>
        </is>
      </c>
      <c r="H911" t="inlineStr">
        <is>
          <t>EU_JU</t>
        </is>
      </c>
      <c r="I911" t="inlineStr">
        <is>
          <t>2009-12</t>
        </is>
      </c>
      <c r="J911" t="n">
        <v>1</v>
      </c>
      <c r="K911" t="n">
        <v>1</v>
      </c>
      <c r="L911" s="34">
        <f>IF($J911=1,LN(B912/B911),"")</f>
        <v/>
      </c>
      <c r="M911" s="34">
        <f>IF($K911=1,INDEX(Mensal!$D$2:$D$245,MATCH($I911,Mensal!$A$2:$A$245,0)),"")</f>
        <v/>
      </c>
      <c r="N911" s="34">
        <f>IF($K911=1,L911-M911,"")</f>
        <v/>
      </c>
      <c r="O911" s="34" t="n">
        <v>0.00032854</v>
      </c>
      <c r="P911" s="34">
        <f>IF($J911=1,LN(1+O911),"")</f>
        <v/>
      </c>
      <c r="Q911" s="34">
        <f>IF($J911=1,LN(R912/R911),"")</f>
        <v/>
      </c>
      <c r="R911" s="32" t="n">
        <v>1.7611</v>
      </c>
      <c r="S911" s="35" t="n">
        <v>10.316</v>
      </c>
      <c r="T911" s="18" t="n"/>
      <c r="U911" s="18" t="n">
        <v>68012</v>
      </c>
      <c r="V911" s="18" t="n"/>
      <c r="W911" s="18" t="n"/>
      <c r="X911" s="35" t="n">
        <v>10.316</v>
      </c>
      <c r="Y911" s="35" t="n"/>
    </row>
    <row r="912">
      <c r="A912" s="25" t="n">
        <v>40157</v>
      </c>
      <c r="B912" s="18" t="n">
        <v>68728</v>
      </c>
      <c r="C912" s="31" t="n"/>
      <c r="D912" s="32" t="n"/>
      <c r="E912" s="33" t="n">
        <v>1.4272</v>
      </c>
      <c r="F912" t="inlineStr">
        <is>
          <t>Up</t>
        </is>
      </c>
      <c r="G912" t="inlineStr">
        <is>
          <t>Up</t>
        </is>
      </c>
      <c r="H912" t="inlineStr">
        <is>
          <t>EU_JU</t>
        </is>
      </c>
      <c r="I912" t="inlineStr">
        <is>
          <t>2009-12</t>
        </is>
      </c>
      <c r="J912" t="n">
        <v>1</v>
      </c>
      <c r="K912" t="n">
        <v>1</v>
      </c>
      <c r="L912" s="34">
        <f>IF($J912=1,LN(B913/B912),"")</f>
        <v/>
      </c>
      <c r="M912" s="34">
        <f>IF($K912=1,INDEX(Mensal!$D$2:$D$245,MATCH($I912,Mensal!$A$2:$A$245,0)),"")</f>
        <v/>
      </c>
      <c r="N912" s="34">
        <f>IF($K912=1,L912-M912,"")</f>
        <v/>
      </c>
      <c r="O912" s="34" t="n">
        <v>0.00032817</v>
      </c>
      <c r="P912" s="34">
        <f>IF($J912=1,LN(1+O912),"")</f>
        <v/>
      </c>
      <c r="Q912" s="34">
        <f>IF($J912=1,LN(R913/R912),"")</f>
        <v/>
      </c>
      <c r="R912" s="32" t="n">
        <v>1.7627</v>
      </c>
      <c r="S912" s="35" t="n">
        <v>10.208</v>
      </c>
      <c r="T912" s="18" t="n"/>
      <c r="U912" s="18" t="n">
        <v>68728</v>
      </c>
      <c r="V912" s="18" t="n"/>
      <c r="W912" s="18" t="n"/>
      <c r="X912" s="35" t="n">
        <v>10.208</v>
      </c>
      <c r="Y912" s="35" t="n"/>
    </row>
    <row r="913">
      <c r="A913" s="25" t="n">
        <v>40158</v>
      </c>
      <c r="B913" s="18" t="n">
        <v>69267</v>
      </c>
      <c r="C913" s="31" t="n"/>
      <c r="D913" s="32" t="n"/>
      <c r="E913" s="33" t="n">
        <v>1.4398</v>
      </c>
      <c r="F913" t="inlineStr">
        <is>
          <t>Up</t>
        </is>
      </c>
      <c r="G913" t="inlineStr">
        <is>
          <t>Up</t>
        </is>
      </c>
      <c r="H913" t="inlineStr">
        <is>
          <t>EU_JU</t>
        </is>
      </c>
      <c r="I913" t="inlineStr">
        <is>
          <t>2009-12</t>
        </is>
      </c>
      <c r="J913" t="n">
        <v>1</v>
      </c>
      <c r="K913" t="n">
        <v>1</v>
      </c>
      <c r="L913" s="34">
        <f>IF($J913=1,LN(B914/B913),"")</f>
        <v/>
      </c>
      <c r="M913" s="34">
        <f>IF($K913=1,INDEX(Mensal!$D$2:$D$245,MATCH($I913,Mensal!$A$2:$A$245,0)),"")</f>
        <v/>
      </c>
      <c r="N913" s="34">
        <f>IF($K913=1,L913-M913,"")</f>
        <v/>
      </c>
      <c r="O913" s="34" t="n">
        <v>0.00032817</v>
      </c>
      <c r="P913" s="34">
        <f>IF($J913=1,LN(1+O913),"")</f>
        <v/>
      </c>
      <c r="Q913" s="34">
        <f>IF($J913=1,LN(R914/R913),"")</f>
        <v/>
      </c>
      <c r="R913" s="32" t="n">
        <v>1.7521</v>
      </c>
      <c r="S913" s="35" t="n">
        <v>10.193</v>
      </c>
      <c r="T913" s="18" t="n"/>
      <c r="U913" s="18" t="n">
        <v>69267</v>
      </c>
      <c r="V913" s="18" t="n"/>
      <c r="W913" s="18" t="n"/>
      <c r="X913" s="35" t="n">
        <v>10.193</v>
      </c>
      <c r="Y913" s="35" t="n"/>
    </row>
    <row r="914">
      <c r="A914" s="25" t="n">
        <v>40161</v>
      </c>
      <c r="B914" s="18" t="n">
        <v>69349</v>
      </c>
      <c r="C914" s="31" t="n"/>
      <c r="D914" s="32" t="n"/>
      <c r="E914" s="33" t="n">
        <v>1.4629</v>
      </c>
      <c r="F914" t="inlineStr">
        <is>
          <t>Up</t>
        </is>
      </c>
      <c r="G914" t="inlineStr">
        <is>
          <t>Up</t>
        </is>
      </c>
      <c r="H914" t="inlineStr">
        <is>
          <t>EU_JU</t>
        </is>
      </c>
      <c r="I914" t="inlineStr">
        <is>
          <t>2009-12</t>
        </is>
      </c>
      <c r="J914" t="n">
        <v>1</v>
      </c>
      <c r="K914" t="n">
        <v>1</v>
      </c>
      <c r="L914" s="34">
        <f>IF($J914=1,LN(B915/B914),"")</f>
        <v/>
      </c>
      <c r="M914" s="34">
        <f>IF($K914=1,INDEX(Mensal!$D$2:$D$245,MATCH($I914,Mensal!$A$2:$A$245,0)),"")</f>
        <v/>
      </c>
      <c r="N914" s="34">
        <f>IF($K914=1,L914-M914,"")</f>
        <v/>
      </c>
      <c r="O914" s="34" t="n">
        <v>0.00032817</v>
      </c>
      <c r="P914" s="34">
        <f>IF($J914=1,LN(1+O914),"")</f>
        <v/>
      </c>
      <c r="Q914" s="34">
        <f>IF($J914=1,LN(R915/R914),"")</f>
        <v/>
      </c>
      <c r="R914" s="32" t="n">
        <v>1.7483</v>
      </c>
      <c r="S914" s="35" t="n">
        <v>10.225</v>
      </c>
      <c r="T914" s="18" t="n"/>
      <c r="U914" s="18" t="n">
        <v>69349</v>
      </c>
      <c r="V914" s="18" t="n"/>
      <c r="W914" s="18" t="n"/>
      <c r="X914" s="35" t="n">
        <v>10.225</v>
      </c>
      <c r="Y914" s="35" t="n"/>
    </row>
    <row r="915">
      <c r="A915" s="25" t="n">
        <v>40162</v>
      </c>
      <c r="B915" s="18" t="n">
        <v>69311</v>
      </c>
      <c r="C915" s="31" t="n"/>
      <c r="D915" s="32" t="n"/>
      <c r="E915" s="33" t="n">
        <v>1.4871</v>
      </c>
      <c r="F915" t="inlineStr">
        <is>
          <t>Up</t>
        </is>
      </c>
      <c r="G915" t="inlineStr">
        <is>
          <t>Up</t>
        </is>
      </c>
      <c r="H915" t="inlineStr">
        <is>
          <t>EU_JU</t>
        </is>
      </c>
      <c r="I915" t="inlineStr">
        <is>
          <t>2009-12</t>
        </is>
      </c>
      <c r="J915" t="n">
        <v>1</v>
      </c>
      <c r="K915" t="n">
        <v>1</v>
      </c>
      <c r="L915" s="34">
        <f>IF($J915=1,LN(B916/B915),"")</f>
        <v/>
      </c>
      <c r="M915" s="34">
        <f>IF($K915=1,INDEX(Mensal!$D$2:$D$245,MATCH($I915,Mensal!$A$2:$A$245,0)),"")</f>
        <v/>
      </c>
      <c r="N915" s="34">
        <f>IF($K915=1,L915-M915,"")</f>
        <v/>
      </c>
      <c r="O915" s="34" t="n">
        <v>0.00032854</v>
      </c>
      <c r="P915" s="34">
        <f>IF($J915=1,LN(1+O915),"")</f>
        <v/>
      </c>
      <c r="Q915" s="34">
        <f>IF($J915=1,LN(R916/R915),"")</f>
        <v/>
      </c>
      <c r="R915" s="32" t="n">
        <v>1.7557</v>
      </c>
      <c r="S915" s="35" t="n">
        <v>10.298</v>
      </c>
      <c r="T915" s="18" t="n"/>
      <c r="U915" s="18" t="n">
        <v>69311</v>
      </c>
      <c r="V915" s="18" t="n"/>
      <c r="W915" s="18" t="n"/>
      <c r="X915" s="35" t="n">
        <v>10.298</v>
      </c>
      <c r="Y915" s="35" t="n"/>
    </row>
    <row r="916">
      <c r="A916" s="25" t="n">
        <v>40163</v>
      </c>
      <c r="B916" s="18" t="n">
        <v>68622</v>
      </c>
      <c r="C916" s="31" t="n"/>
      <c r="D916" s="32" t="n"/>
      <c r="E916" s="33" t="n">
        <v>1.5083</v>
      </c>
      <c r="F916" t="inlineStr">
        <is>
          <t>Up</t>
        </is>
      </c>
      <c r="G916" t="inlineStr">
        <is>
          <t>Up</t>
        </is>
      </c>
      <c r="H916" t="inlineStr">
        <is>
          <t>EU_JU</t>
        </is>
      </c>
      <c r="I916" t="inlineStr">
        <is>
          <t>2009-12</t>
        </is>
      </c>
      <c r="J916" t="n">
        <v>1</v>
      </c>
      <c r="K916" t="n">
        <v>1</v>
      </c>
      <c r="L916" s="34">
        <f>IF($J916=1,LN(B917/B916),"")</f>
        <v/>
      </c>
      <c r="M916" s="34">
        <f>IF($K916=1,INDEX(Mensal!$D$2:$D$245,MATCH($I916,Mensal!$A$2:$A$245,0)),"")</f>
        <v/>
      </c>
      <c r="N916" s="34">
        <f>IF($K916=1,L916-M916,"")</f>
        <v/>
      </c>
      <c r="O916" s="34" t="n">
        <v>0.00032854</v>
      </c>
      <c r="P916" s="34">
        <f>IF($J916=1,LN(1+O916),"")</f>
        <v/>
      </c>
      <c r="Q916" s="34">
        <f>IF($J916=1,LN(R917/R916),"")</f>
        <v/>
      </c>
      <c r="R916" s="32" t="n">
        <v>1.7518</v>
      </c>
      <c r="S916" s="35" t="n">
        <v>10.38</v>
      </c>
      <c r="T916" s="18" t="n"/>
      <c r="U916" s="18" t="n">
        <v>68622</v>
      </c>
      <c r="V916" s="18" t="n"/>
      <c r="W916" s="18" t="n"/>
      <c r="X916" s="35" t="n">
        <v>10.38</v>
      </c>
      <c r="Y916" s="35" t="n"/>
    </row>
    <row r="917">
      <c r="A917" s="25" t="n">
        <v>40164</v>
      </c>
      <c r="B917" s="18" t="n">
        <v>67067</v>
      </c>
      <c r="C917" s="31" t="n"/>
      <c r="D917" s="32" t="n"/>
      <c r="E917" s="33" t="n">
        <v>1.5291</v>
      </c>
      <c r="F917" t="inlineStr">
        <is>
          <t>Up</t>
        </is>
      </c>
      <c r="G917" t="inlineStr">
        <is>
          <t>Up</t>
        </is>
      </c>
      <c r="H917" t="inlineStr">
        <is>
          <t>EU_JU</t>
        </is>
      </c>
      <c r="I917" t="inlineStr">
        <is>
          <t>2009-12</t>
        </is>
      </c>
      <c r="J917" t="n">
        <v>1</v>
      </c>
      <c r="K917" t="n">
        <v>1</v>
      </c>
      <c r="L917" s="34">
        <f>IF($J917=1,LN(B918/B917),"")</f>
        <v/>
      </c>
      <c r="M917" s="34">
        <f>IF($K917=1,INDEX(Mensal!$D$2:$D$245,MATCH($I917,Mensal!$A$2:$A$245,0)),"")</f>
        <v/>
      </c>
      <c r="N917" s="34">
        <f>IF($K917=1,L917-M917,"")</f>
        <v/>
      </c>
      <c r="O917" s="34" t="n">
        <v>0.00032854</v>
      </c>
      <c r="P917" s="34">
        <f>IF($J917=1,LN(1+O917),"")</f>
        <v/>
      </c>
      <c r="Q917" s="34">
        <f>IF($J917=1,LN(R918/R917),"")</f>
        <v/>
      </c>
      <c r="R917" s="32" t="n">
        <v>1.7823</v>
      </c>
      <c r="S917" s="35" t="n">
        <v>10.299</v>
      </c>
      <c r="T917" s="18" t="n"/>
      <c r="U917" s="18" t="n">
        <v>67067</v>
      </c>
      <c r="V917" s="18" t="n"/>
      <c r="W917" s="18" t="n"/>
      <c r="X917" s="35" t="n">
        <v>10.299</v>
      </c>
      <c r="Y917" s="35" t="n"/>
    </row>
    <row r="918">
      <c r="A918" s="25" t="n">
        <v>40165</v>
      </c>
      <c r="B918" s="18" t="n">
        <v>66794</v>
      </c>
      <c r="C918" s="31" t="n"/>
      <c r="D918" s="32" t="n"/>
      <c r="E918" s="33" t="n">
        <v>1.5348</v>
      </c>
      <c r="F918" t="inlineStr">
        <is>
          <t>Up</t>
        </is>
      </c>
      <c r="G918" t="inlineStr">
        <is>
          <t>Up</t>
        </is>
      </c>
      <c r="H918" t="inlineStr">
        <is>
          <t>EU_JU</t>
        </is>
      </c>
      <c r="I918" t="inlineStr">
        <is>
          <t>2009-12</t>
        </is>
      </c>
      <c r="J918" t="n">
        <v>1</v>
      </c>
      <c r="K918" t="n">
        <v>1</v>
      </c>
      <c r="L918" s="34">
        <f>IF($J918=1,LN(B919/B918),"")</f>
        <v/>
      </c>
      <c r="M918" s="34">
        <f>IF($K918=1,INDEX(Mensal!$D$2:$D$245,MATCH($I918,Mensal!$A$2:$A$245,0)),"")</f>
        <v/>
      </c>
      <c r="N918" s="34">
        <f>IF($K918=1,L918-M918,"")</f>
        <v/>
      </c>
      <c r="O918" s="34" t="n">
        <v>0.00032854</v>
      </c>
      <c r="P918" s="34">
        <f>IF($J918=1,LN(1+O918),"")</f>
        <v/>
      </c>
      <c r="Q918" s="34">
        <f>IF($J918=1,LN(R919/R918),"")</f>
        <v/>
      </c>
      <c r="R918" s="32" t="n">
        <v>1.7879</v>
      </c>
      <c r="S918" s="35" t="n">
        <v>10.251</v>
      </c>
      <c r="T918" s="18" t="n"/>
      <c r="U918" s="18" t="n">
        <v>66794</v>
      </c>
      <c r="V918" s="18" t="n"/>
      <c r="W918" s="18" t="n"/>
      <c r="X918" s="35" t="n">
        <v>10.251</v>
      </c>
      <c r="Y918" s="35" t="n"/>
    </row>
    <row r="919">
      <c r="A919" s="25" t="n">
        <v>40168</v>
      </c>
      <c r="B919" s="18" t="n">
        <v>65925</v>
      </c>
      <c r="C919" s="31" t="n"/>
      <c r="D919" s="32" t="n"/>
      <c r="E919" s="33" t="n">
        <v>1.5456</v>
      </c>
      <c r="F919" t="inlineStr">
        <is>
          <t>Up</t>
        </is>
      </c>
      <c r="G919" t="inlineStr">
        <is>
          <t>Up</t>
        </is>
      </c>
      <c r="H919" t="inlineStr">
        <is>
          <t>EU_JU</t>
        </is>
      </c>
      <c r="I919" t="inlineStr">
        <is>
          <t>2009-12</t>
        </is>
      </c>
      <c r="J919" t="n">
        <v>1</v>
      </c>
      <c r="K919" t="n">
        <v>1</v>
      </c>
      <c r="L919" s="34">
        <f>IF($J919=1,LN(B920/B919),"")</f>
        <v/>
      </c>
      <c r="M919" s="34">
        <f>IF($K919=1,INDEX(Mensal!$D$2:$D$245,MATCH($I919,Mensal!$A$2:$A$245,0)),"")</f>
        <v/>
      </c>
      <c r="N919" s="34">
        <f>IF($K919=1,L919-M919,"")</f>
        <v/>
      </c>
      <c r="O919" s="34" t="n">
        <v>0.0003289</v>
      </c>
      <c r="P919" s="34">
        <f>IF($J919=1,LN(1+O919),"")</f>
        <v/>
      </c>
      <c r="Q919" s="34">
        <f>IF($J919=1,LN(R920/R919),"")</f>
        <v/>
      </c>
      <c r="R919" s="32" t="n">
        <v>1.7787</v>
      </c>
      <c r="S919" s="35" t="n">
        <v>10.257</v>
      </c>
      <c r="T919" s="18" t="n"/>
      <c r="U919" s="18" t="n">
        <v>65925</v>
      </c>
      <c r="V919" s="18" t="n"/>
      <c r="W919" s="18" t="n"/>
      <c r="X919" s="35" t="n">
        <v>10.257</v>
      </c>
      <c r="Y919" s="35" t="n"/>
    </row>
    <row r="920">
      <c r="A920" s="25" t="n">
        <v>40169</v>
      </c>
      <c r="B920" s="18" t="n">
        <v>67418</v>
      </c>
      <c r="C920" s="31" t="n"/>
      <c r="D920" s="32" t="n"/>
      <c r="E920" s="33" t="n">
        <v>1.5451</v>
      </c>
      <c r="F920" t="inlineStr">
        <is>
          <t>Up</t>
        </is>
      </c>
      <c r="G920" t="inlineStr">
        <is>
          <t>Up</t>
        </is>
      </c>
      <c r="H920" t="inlineStr">
        <is>
          <t>EU_JU</t>
        </is>
      </c>
      <c r="I920" t="inlineStr">
        <is>
          <t>2009-12</t>
        </is>
      </c>
      <c r="J920" t="n">
        <v>1</v>
      </c>
      <c r="K920" t="n">
        <v>1</v>
      </c>
      <c r="L920" s="34">
        <f>IF($J920=1,LN(B921/B920),"")</f>
        <v/>
      </c>
      <c r="M920" s="34">
        <f>IF($K920=1,INDEX(Mensal!$D$2:$D$245,MATCH($I920,Mensal!$A$2:$A$245,0)),"")</f>
        <v/>
      </c>
      <c r="N920" s="34">
        <f>IF($K920=1,L920-M920,"")</f>
        <v/>
      </c>
      <c r="O920" s="34" t="n">
        <v>0.00032817</v>
      </c>
      <c r="P920" s="34">
        <f>IF($J920=1,LN(1+O920),"")</f>
        <v/>
      </c>
      <c r="Q920" s="34">
        <f>IF($J920=1,LN(R921/R920),"")</f>
        <v/>
      </c>
      <c r="R920" s="32" t="n">
        <v>1.7825</v>
      </c>
      <c r="S920" s="35" t="n">
        <v>10.263</v>
      </c>
      <c r="T920" s="18" t="n"/>
      <c r="U920" s="18" t="n">
        <v>67418</v>
      </c>
      <c r="V920" s="18" t="n"/>
      <c r="W920" s="18" t="n"/>
      <c r="X920" s="35" t="n">
        <v>10.263</v>
      </c>
      <c r="Y920" s="35" t="n"/>
    </row>
    <row r="921">
      <c r="A921" s="25" t="n">
        <v>40170</v>
      </c>
      <c r="B921" s="18" t="n">
        <v>67589</v>
      </c>
      <c r="C921" s="31" t="n"/>
      <c r="D921" s="32" t="n"/>
      <c r="E921" s="33" t="n">
        <v>1.5562</v>
      </c>
      <c r="F921" t="inlineStr">
        <is>
          <t>Up</t>
        </is>
      </c>
      <c r="G921" t="inlineStr">
        <is>
          <t>Up</t>
        </is>
      </c>
      <c r="H921" t="inlineStr">
        <is>
          <t>EU_JU</t>
        </is>
      </c>
      <c r="I921" t="inlineStr">
        <is>
          <t>2009-12</t>
        </is>
      </c>
      <c r="J921" t="n">
        <v>1</v>
      </c>
      <c r="K921" t="n">
        <v>1</v>
      </c>
      <c r="L921" s="34">
        <f>IF($J921=1,LN(B922/B921),"")</f>
        <v/>
      </c>
      <c r="M921" s="34">
        <f>IF($K921=1,INDEX(Mensal!$D$2:$D$245,MATCH($I921,Mensal!$A$2:$A$245,0)),"")</f>
        <v/>
      </c>
      <c r="N921" s="34">
        <f>IF($K921=1,L921-M921,"")</f>
        <v/>
      </c>
      <c r="O921" s="34" t="n">
        <v>0.0003277999999999999</v>
      </c>
      <c r="P921" s="34">
        <f>IF($J921=1,LN(1+O921),"")</f>
        <v/>
      </c>
      <c r="Q921" s="34">
        <f>IF($J921=1,LN(R922/R921),"")</f>
        <v/>
      </c>
      <c r="R921" s="32" t="n">
        <v>1.7763</v>
      </c>
      <c r="S921" s="35" t="n">
        <v>10.346</v>
      </c>
      <c r="T921" s="18" t="n"/>
      <c r="U921" s="18" t="n">
        <v>67589</v>
      </c>
      <c r="V921" s="18" t="n"/>
      <c r="W921" s="18" t="n"/>
      <c r="X921" s="35" t="n">
        <v>10.346</v>
      </c>
      <c r="Y921" s="35" t="n"/>
    </row>
    <row r="922">
      <c r="A922" s="25" t="n">
        <v>40175</v>
      </c>
      <c r="B922" s="18" t="n">
        <v>67901</v>
      </c>
      <c r="C922" s="31" t="n"/>
      <c r="D922" s="32" t="n"/>
      <c r="E922" s="33" t="n">
        <v>1.5651</v>
      </c>
      <c r="F922" t="inlineStr">
        <is>
          <t>Up</t>
        </is>
      </c>
      <c r="G922" t="inlineStr">
        <is>
          <t>Up</t>
        </is>
      </c>
      <c r="H922" t="inlineStr">
        <is>
          <t>EU_JU</t>
        </is>
      </c>
      <c r="I922" t="inlineStr">
        <is>
          <t>2009-12</t>
        </is>
      </c>
      <c r="J922" t="n">
        <v>1</v>
      </c>
      <c r="K922" t="n">
        <v>1</v>
      </c>
      <c r="L922" s="34">
        <f>IF($J922=1,LN(B923/B922),"")</f>
        <v/>
      </c>
      <c r="M922" s="34">
        <f>IF($K922=1,INDEX(Mensal!$D$2:$D$245,MATCH($I922,Mensal!$A$2:$A$245,0)),"")</f>
        <v/>
      </c>
      <c r="N922" s="34">
        <f>IF($K922=1,L922-M922,"")</f>
        <v/>
      </c>
      <c r="O922" s="34" t="n">
        <v>0.00032817</v>
      </c>
      <c r="P922" s="34">
        <f>IF($J922=1,LN(1+O922),"")</f>
        <v/>
      </c>
      <c r="Q922" s="34">
        <f>IF($J922=1,LN(R923/R922),"")</f>
        <v/>
      </c>
      <c r="R922" s="32" t="n">
        <v>1.7398</v>
      </c>
      <c r="S922" s="35" t="n">
        <v>10.389</v>
      </c>
      <c r="T922" s="18" t="n"/>
      <c r="U922" s="18" t="n">
        <v>67901</v>
      </c>
      <c r="V922" s="18" t="n"/>
      <c r="W922" s="18" t="n"/>
      <c r="X922" s="35" t="n">
        <v>10.389</v>
      </c>
      <c r="Y922" s="35" t="n"/>
    </row>
    <row r="923">
      <c r="A923" s="25" t="n">
        <v>40176</v>
      </c>
      <c r="B923" s="18" t="n">
        <v>68296</v>
      </c>
      <c r="C923" s="31" t="n"/>
      <c r="D923" s="32" t="n"/>
      <c r="E923" s="33" t="n">
        <v>1.5747</v>
      </c>
      <c r="F923" t="inlineStr">
        <is>
          <t>Up</t>
        </is>
      </c>
      <c r="G923" t="inlineStr">
        <is>
          <t>Up</t>
        </is>
      </c>
      <c r="H923" t="inlineStr">
        <is>
          <t>EU_JU</t>
        </is>
      </c>
      <c r="I923" t="inlineStr">
        <is>
          <t>2009-12</t>
        </is>
      </c>
      <c r="J923" t="n">
        <v>1</v>
      </c>
      <c r="K923" t="n">
        <v>1</v>
      </c>
      <c r="L923" s="34">
        <f>IF($J923=1,LN(B924/B923),"")</f>
        <v/>
      </c>
      <c r="M923" s="34">
        <f>IF($K923=1,INDEX(Mensal!$D$2:$D$245,MATCH($I923,Mensal!$A$2:$A$245,0)),"")</f>
        <v/>
      </c>
      <c r="N923" s="34">
        <f>IF($K923=1,L923-M923,"")</f>
        <v/>
      </c>
      <c r="O923" s="34" t="n">
        <v>0.00032817</v>
      </c>
      <c r="P923" s="34">
        <f>IF($J923=1,LN(1+O923),"")</f>
        <v/>
      </c>
      <c r="Q923" s="34">
        <f>IF($J923=1,LN(R924/R923),"")</f>
        <v/>
      </c>
      <c r="R923" s="32" t="n">
        <v>1.7421</v>
      </c>
      <c r="S923" s="35" t="n">
        <v>10.397</v>
      </c>
      <c r="T923" s="18" t="n"/>
      <c r="U923" s="18" t="n">
        <v>68296</v>
      </c>
      <c r="V923" s="18" t="n"/>
      <c r="W923" s="18" t="n"/>
      <c r="X923" s="35" t="n">
        <v>10.397</v>
      </c>
      <c r="Y923" s="35" t="n"/>
    </row>
    <row r="924">
      <c r="A924" s="25" t="n">
        <v>40177</v>
      </c>
      <c r="B924" s="18" t="n">
        <v>68588</v>
      </c>
      <c r="C924" s="31" t="n"/>
      <c r="D924" s="32" t="n"/>
      <c r="E924" s="33" t="n">
        <v>1.5811</v>
      </c>
      <c r="F924" t="inlineStr">
        <is>
          <t>Up</t>
        </is>
      </c>
      <c r="G924" t="inlineStr">
        <is>
          <t>Up</t>
        </is>
      </c>
      <c r="H924" t="inlineStr">
        <is>
          <t>EU_JU</t>
        </is>
      </c>
      <c r="I924" t="inlineStr">
        <is>
          <t>2009-12</t>
        </is>
      </c>
      <c r="J924" t="n">
        <v>1</v>
      </c>
      <c r="K924" t="n">
        <v>1</v>
      </c>
      <c r="L924" s="34">
        <f>IF($J924=1,LN(B925/B924),"")</f>
        <v/>
      </c>
      <c r="M924" s="34">
        <f>IF($K924=1,INDEX(Mensal!$D$2:$D$245,MATCH($I924,Mensal!$A$2:$A$245,0)),"")</f>
        <v/>
      </c>
      <c r="N924" s="34">
        <f>IF($K924=1,L924-M924,"")</f>
        <v/>
      </c>
      <c r="O924" s="34" t="n">
        <v>0.00032561</v>
      </c>
      <c r="P924" s="34">
        <f>IF($J924=1,LN(1+O924),"")</f>
        <v/>
      </c>
      <c r="Q924" s="34">
        <f>IF($J924=1,LN(R925/R924),"")</f>
        <v/>
      </c>
      <c r="R924" s="32" t="n">
        <v>1.7412</v>
      </c>
      <c r="S924" s="35" t="n">
        <v>10.462</v>
      </c>
      <c r="T924" s="18" t="n"/>
      <c r="U924" s="18" t="n">
        <v>68588</v>
      </c>
      <c r="V924" s="18" t="n"/>
      <c r="W924" s="18" t="n"/>
      <c r="X924" s="35" t="n">
        <v>10.462</v>
      </c>
      <c r="Y924" s="35" t="n"/>
    </row>
    <row r="925">
      <c r="A925" s="25" t="n">
        <v>40182</v>
      </c>
      <c r="B925" s="18" t="n">
        <v>70045</v>
      </c>
      <c r="C925" s="31" t="n"/>
      <c r="D925" s="32" t="n"/>
      <c r="E925" s="33" t="n">
        <v>1.5411</v>
      </c>
      <c r="F925" t="inlineStr">
        <is>
          <t>Up</t>
        </is>
      </c>
      <c r="G925" t="inlineStr">
        <is>
          <t>Up</t>
        </is>
      </c>
      <c r="H925" t="inlineStr">
        <is>
          <t>EU_JU</t>
        </is>
      </c>
      <c r="I925" t="inlineStr">
        <is>
          <t>2010-01</t>
        </is>
      </c>
      <c r="J925" t="n">
        <v>1</v>
      </c>
      <c r="K925" t="n">
        <v>1</v>
      </c>
      <c r="L925" s="34">
        <f>IF($J925=1,LN(B926/B925),"")</f>
        <v/>
      </c>
      <c r="M925" s="34">
        <f>IF($K925=1,INDEX(Mensal!$D$2:$D$245,MATCH($I925,Mensal!$A$2:$A$245,0)),"")</f>
        <v/>
      </c>
      <c r="N925" s="34">
        <f>IF($K925=1,L925-M925,"")</f>
        <v/>
      </c>
      <c r="O925" s="34" t="n">
        <v>0.0003277999999999999</v>
      </c>
      <c r="P925" s="34">
        <f>IF($J925=1,LN(1+O925),"")</f>
        <v/>
      </c>
      <c r="Q925" s="34">
        <f>IF($J925=1,LN(R926/R925),"")</f>
        <v/>
      </c>
      <c r="R925" s="32" t="n">
        <v>1.724</v>
      </c>
      <c r="S925" s="35" t="n">
        <v>10.445</v>
      </c>
      <c r="T925" s="18" t="n"/>
      <c r="U925" s="18" t="n">
        <v>70045</v>
      </c>
      <c r="V925" s="18" t="n"/>
      <c r="W925" s="18" t="n"/>
      <c r="X925" s="35" t="n">
        <v>10.445</v>
      </c>
      <c r="Y925" s="35" t="n"/>
    </row>
    <row r="926">
      <c r="A926" s="25" t="n">
        <v>40183</v>
      </c>
      <c r="B926" s="18" t="n">
        <v>70239</v>
      </c>
      <c r="C926" s="31" t="n"/>
      <c r="D926" s="32" t="n"/>
      <c r="E926" s="33" t="n">
        <v>1.5006</v>
      </c>
      <c r="F926" t="inlineStr">
        <is>
          <t>Up</t>
        </is>
      </c>
      <c r="G926" t="inlineStr">
        <is>
          <t>Up</t>
        </is>
      </c>
      <c r="H926" t="inlineStr">
        <is>
          <t>EU_JU</t>
        </is>
      </c>
      <c r="I926" t="inlineStr">
        <is>
          <t>2010-01</t>
        </is>
      </c>
      <c r="J926" t="n">
        <v>1</v>
      </c>
      <c r="K926" t="n">
        <v>1</v>
      </c>
      <c r="L926" s="34">
        <f>IF($J926=1,LN(B927/B926),"")</f>
        <v/>
      </c>
      <c r="M926" s="34">
        <f>IF($K926=1,INDEX(Mensal!$D$2:$D$245,MATCH($I926,Mensal!$A$2:$A$245,0)),"")</f>
        <v/>
      </c>
      <c r="N926" s="34">
        <f>IF($K926=1,L926-M926,"")</f>
        <v/>
      </c>
      <c r="O926" s="34" t="n">
        <v>0.0003277999999999999</v>
      </c>
      <c r="P926" s="34">
        <f>IF($J926=1,LN(1+O926),"")</f>
        <v/>
      </c>
      <c r="Q926" s="34">
        <f>IF($J926=1,LN(R927/R926),"")</f>
        <v/>
      </c>
      <c r="R926" s="32" t="n">
        <v>1.7227</v>
      </c>
      <c r="S926" s="35" t="n">
        <v>10.423</v>
      </c>
      <c r="T926" s="18" t="n"/>
      <c r="U926" s="18" t="n">
        <v>70239</v>
      </c>
      <c r="V926" s="18" t="n"/>
      <c r="W926" s="18" t="n"/>
      <c r="X926" s="35" t="n">
        <v>10.423</v>
      </c>
      <c r="Y926" s="35" t="n"/>
    </row>
    <row r="927">
      <c r="A927" s="25" t="n">
        <v>40184</v>
      </c>
      <c r="B927" s="18" t="n">
        <v>70729</v>
      </c>
      <c r="C927" s="31" t="n"/>
      <c r="D927" s="32" t="n"/>
      <c r="E927" s="33" t="n">
        <v>1.4596</v>
      </c>
      <c r="F927" t="inlineStr">
        <is>
          <t>Up</t>
        </is>
      </c>
      <c r="G927" t="inlineStr">
        <is>
          <t>Up</t>
        </is>
      </c>
      <c r="H927" t="inlineStr">
        <is>
          <t>EU_JU</t>
        </is>
      </c>
      <c r="I927" t="inlineStr">
        <is>
          <t>2010-01</t>
        </is>
      </c>
      <c r="J927" t="n">
        <v>1</v>
      </c>
      <c r="K927" t="n">
        <v>1</v>
      </c>
      <c r="L927" s="34">
        <f>IF($J927=1,LN(B928/B927),"")</f>
        <v/>
      </c>
      <c r="M927" s="34">
        <f>IF($K927=1,INDEX(Mensal!$D$2:$D$245,MATCH($I927,Mensal!$A$2:$A$245,0)),"")</f>
        <v/>
      </c>
      <c r="N927" s="34">
        <f>IF($K927=1,L927-M927,"")</f>
        <v/>
      </c>
      <c r="O927" s="34" t="n">
        <v>0.0003277999999999999</v>
      </c>
      <c r="P927" s="34">
        <f>IF($J927=1,LN(1+O927),"")</f>
        <v/>
      </c>
      <c r="Q927" s="34">
        <f>IF($J927=1,LN(R928/R927),"")</f>
        <v/>
      </c>
      <c r="R927" s="32" t="n">
        <v>1.7337</v>
      </c>
      <c r="S927" s="35" t="n">
        <v>10.34</v>
      </c>
      <c r="T927" s="18" t="n"/>
      <c r="U927" s="18" t="n">
        <v>70729</v>
      </c>
      <c r="V927" s="18" t="n"/>
      <c r="W927" s="18" t="n"/>
      <c r="X927" s="35" t="n">
        <v>10.34</v>
      </c>
      <c r="Y927" s="35" t="n"/>
    </row>
    <row r="928">
      <c r="A928" s="25" t="n">
        <v>40185</v>
      </c>
      <c r="B928" s="18" t="n">
        <v>70451</v>
      </c>
      <c r="C928" s="31" t="n"/>
      <c r="D928" s="32" t="n"/>
      <c r="E928" s="33" t="n">
        <v>1.4201</v>
      </c>
      <c r="F928" t="inlineStr">
        <is>
          <t>Up</t>
        </is>
      </c>
      <c r="G928" t="inlineStr">
        <is>
          <t>Up</t>
        </is>
      </c>
      <c r="H928" t="inlineStr">
        <is>
          <t>EU_JU</t>
        </is>
      </c>
      <c r="I928" t="inlineStr">
        <is>
          <t>2010-01</t>
        </is>
      </c>
      <c r="J928" t="n">
        <v>1</v>
      </c>
      <c r="K928" t="n">
        <v>1</v>
      </c>
      <c r="L928" s="34">
        <f>IF($J928=1,LN(B929/B928),"")</f>
        <v/>
      </c>
      <c r="M928" s="34">
        <f>IF($K928=1,INDEX(Mensal!$D$2:$D$245,MATCH($I928,Mensal!$A$2:$A$245,0)),"")</f>
        <v/>
      </c>
      <c r="N928" s="34">
        <f>IF($K928=1,L928-M928,"")</f>
        <v/>
      </c>
      <c r="O928" s="34" t="n">
        <v>0.00032817</v>
      </c>
      <c r="P928" s="34">
        <f>IF($J928=1,LN(1+O928),"")</f>
        <v/>
      </c>
      <c r="Q928" s="34">
        <f>IF($J928=1,LN(R929/R928),"")</f>
        <v/>
      </c>
      <c r="R928" s="32" t="n">
        <v>1.7413</v>
      </c>
      <c r="S928" s="35" t="n">
        <v>10.33</v>
      </c>
      <c r="T928" s="18" t="n"/>
      <c r="U928" s="18" t="n">
        <v>70451</v>
      </c>
      <c r="V928" s="18" t="n"/>
      <c r="W928" s="18" t="n"/>
      <c r="X928" s="35" t="n">
        <v>10.33</v>
      </c>
      <c r="Y928" s="35" t="n"/>
    </row>
    <row r="929">
      <c r="A929" s="25" t="n">
        <v>40186</v>
      </c>
      <c r="B929" s="18" t="n">
        <v>70262</v>
      </c>
      <c r="C929" s="31" t="n"/>
      <c r="D929" s="32" t="n"/>
      <c r="E929" s="33" t="n">
        <v>1.3789</v>
      </c>
      <c r="F929" t="inlineStr">
        <is>
          <t>Up</t>
        </is>
      </c>
      <c r="G929" t="inlineStr">
        <is>
          <t>Up</t>
        </is>
      </c>
      <c r="H929" t="inlineStr">
        <is>
          <t>EU_JU</t>
        </is>
      </c>
      <c r="I929" t="inlineStr">
        <is>
          <t>2010-01</t>
        </is>
      </c>
      <c r="J929" t="n">
        <v>1</v>
      </c>
      <c r="K929" t="n">
        <v>1</v>
      </c>
      <c r="L929" s="34">
        <f>IF($J929=1,LN(B930/B929),"")</f>
        <v/>
      </c>
      <c r="M929" s="34">
        <f>IF($K929=1,INDEX(Mensal!$D$2:$D$245,MATCH($I929,Mensal!$A$2:$A$245,0)),"")</f>
        <v/>
      </c>
      <c r="N929" s="34">
        <f>IF($K929=1,L929-M929,"")</f>
        <v/>
      </c>
      <c r="O929" s="34" t="n">
        <v>0.00032817</v>
      </c>
      <c r="P929" s="34">
        <f>IF($J929=1,LN(1+O929),"")</f>
        <v/>
      </c>
      <c r="Q929" s="34">
        <f>IF($J929=1,LN(R930/R929),"")</f>
        <v/>
      </c>
      <c r="R929" s="32" t="n">
        <v>1.739</v>
      </c>
      <c r="S929" s="35" t="n">
        <v>10.31</v>
      </c>
      <c r="T929" s="18" t="n"/>
      <c r="U929" s="18" t="n">
        <v>70262</v>
      </c>
      <c r="V929" s="18" t="n"/>
      <c r="W929" s="18" t="n"/>
      <c r="X929" s="35" t="n">
        <v>10.31</v>
      </c>
      <c r="Y929" s="35" t="n"/>
    </row>
    <row r="930">
      <c r="A930" s="25" t="n">
        <v>40189</v>
      </c>
      <c r="B930" s="18" t="n">
        <v>70433</v>
      </c>
      <c r="C930" s="31" t="n"/>
      <c r="D930" s="32" t="n"/>
      <c r="E930" s="33" t="n">
        <v>1.3428</v>
      </c>
      <c r="F930" t="inlineStr">
        <is>
          <t>Up</t>
        </is>
      </c>
      <c r="G930" t="inlineStr">
        <is>
          <t>Up</t>
        </is>
      </c>
      <c r="H930" t="inlineStr">
        <is>
          <t>EU_JU</t>
        </is>
      </c>
      <c r="I930" t="inlineStr">
        <is>
          <t>2010-01</t>
        </is>
      </c>
      <c r="J930" t="n">
        <v>1</v>
      </c>
      <c r="K930" t="n">
        <v>1</v>
      </c>
      <c r="L930" s="34">
        <f>IF($J930=1,LN(B931/B930),"")</f>
        <v/>
      </c>
      <c r="M930" s="34">
        <f>IF($K930=1,INDEX(Mensal!$D$2:$D$245,MATCH($I930,Mensal!$A$2:$A$245,0)),"")</f>
        <v/>
      </c>
      <c r="N930" s="34">
        <f>IF($K930=1,L930-M930,"")</f>
        <v/>
      </c>
      <c r="O930" s="34" t="n">
        <v>0.00032817</v>
      </c>
      <c r="P930" s="34">
        <f>IF($J930=1,LN(1+O930),"")</f>
        <v/>
      </c>
      <c r="Q930" s="34">
        <f>IF($J930=1,LN(R931/R930),"")</f>
        <v/>
      </c>
      <c r="R930" s="32" t="n">
        <v>1.7323</v>
      </c>
      <c r="S930" s="35" t="n">
        <v>10.369</v>
      </c>
      <c r="T930" s="18" t="n"/>
      <c r="U930" s="18" t="n">
        <v>70433</v>
      </c>
      <c r="V930" s="18" t="n"/>
      <c r="W930" s="18" t="n"/>
      <c r="X930" s="35" t="n">
        <v>10.369</v>
      </c>
      <c r="Y930" s="35" t="n"/>
    </row>
    <row r="931">
      <c r="A931" s="25" t="n">
        <v>40190</v>
      </c>
      <c r="B931" s="18" t="n">
        <v>70075</v>
      </c>
      <c r="C931" s="31" t="n"/>
      <c r="D931" s="32" t="n"/>
      <c r="E931" s="33" t="n">
        <v>1.3113</v>
      </c>
      <c r="F931" t="inlineStr">
        <is>
          <t>Up</t>
        </is>
      </c>
      <c r="G931" t="inlineStr">
        <is>
          <t>Up</t>
        </is>
      </c>
      <c r="H931" t="inlineStr">
        <is>
          <t>EU_JU</t>
        </is>
      </c>
      <c r="I931" t="inlineStr">
        <is>
          <t>2010-01</t>
        </is>
      </c>
      <c r="J931" t="n">
        <v>1</v>
      </c>
      <c r="K931" t="n">
        <v>1</v>
      </c>
      <c r="L931" s="34">
        <f>IF($J931=1,LN(B932/B931),"")</f>
        <v/>
      </c>
      <c r="M931" s="34">
        <f>IF($K931=1,INDEX(Mensal!$D$2:$D$245,MATCH($I931,Mensal!$A$2:$A$245,0)),"")</f>
        <v/>
      </c>
      <c r="N931" s="34">
        <f>IF($K931=1,L931-M931,"")</f>
        <v/>
      </c>
      <c r="O931" s="34" t="n">
        <v>0.00032817</v>
      </c>
      <c r="P931" s="34">
        <f>IF($J931=1,LN(1+O931),"")</f>
        <v/>
      </c>
      <c r="Q931" s="34">
        <f>IF($J931=1,LN(R932/R931),"")</f>
        <v/>
      </c>
      <c r="R931" s="32" t="n">
        <v>1.7439</v>
      </c>
      <c r="S931" s="35" t="n">
        <v>10.408</v>
      </c>
      <c r="T931" s="18" t="n"/>
      <c r="U931" s="18" t="n">
        <v>70075</v>
      </c>
      <c r="V931" s="18" t="n"/>
      <c r="W931" s="18" t="n"/>
      <c r="X931" s="35" t="n">
        <v>10.408</v>
      </c>
      <c r="Y931" s="35" t="n"/>
    </row>
    <row r="932">
      <c r="A932" s="25" t="n">
        <v>40191</v>
      </c>
      <c r="B932" s="18" t="n">
        <v>70385</v>
      </c>
      <c r="C932" s="31" t="n"/>
      <c r="D932" s="32" t="n"/>
      <c r="E932" s="33" t="n">
        <v>1.2862</v>
      </c>
      <c r="F932" t="inlineStr">
        <is>
          <t>Up</t>
        </is>
      </c>
      <c r="G932" t="inlineStr">
        <is>
          <t>Up</t>
        </is>
      </c>
      <c r="H932" t="inlineStr">
        <is>
          <t>EU_JU</t>
        </is>
      </c>
      <c r="I932" t="inlineStr">
        <is>
          <t>2010-01</t>
        </is>
      </c>
      <c r="J932" t="n">
        <v>1</v>
      </c>
      <c r="K932" t="n">
        <v>1</v>
      </c>
      <c r="L932" s="34">
        <f>IF($J932=1,LN(B933/B932),"")</f>
        <v/>
      </c>
      <c r="M932" s="34">
        <f>IF($K932=1,INDEX(Mensal!$D$2:$D$245,MATCH($I932,Mensal!$A$2:$A$245,0)),"")</f>
        <v/>
      </c>
      <c r="N932" s="34">
        <f>IF($K932=1,L932-M932,"")</f>
        <v/>
      </c>
      <c r="O932" s="34" t="n">
        <v>0.00032817</v>
      </c>
      <c r="P932" s="34">
        <f>IF($J932=1,LN(1+O932),"")</f>
        <v/>
      </c>
      <c r="Q932" s="34">
        <f>IF($J932=1,LN(R933/R932),"")</f>
        <v/>
      </c>
      <c r="R932" s="32" t="n">
        <v>1.7442</v>
      </c>
      <c r="S932" s="35" t="n">
        <v>10.349</v>
      </c>
      <c r="T932" s="18" t="n"/>
      <c r="U932" s="18" t="n">
        <v>70385</v>
      </c>
      <c r="V932" s="18" t="n"/>
      <c r="W932" s="18" t="n"/>
      <c r="X932" s="35" t="n">
        <v>10.349</v>
      </c>
      <c r="Y932" s="35" t="n"/>
    </row>
    <row r="933">
      <c r="A933" s="25" t="n">
        <v>40192</v>
      </c>
      <c r="B933" s="18" t="n">
        <v>69801</v>
      </c>
      <c r="C933" s="31" t="n"/>
      <c r="D933" s="32" t="n"/>
      <c r="E933" s="33" t="n">
        <v>1.2554</v>
      </c>
      <c r="F933" t="inlineStr">
        <is>
          <t>Up</t>
        </is>
      </c>
      <c r="G933" t="inlineStr">
        <is>
          <t>Up</t>
        </is>
      </c>
      <c r="H933" t="inlineStr">
        <is>
          <t>EU_JU</t>
        </is>
      </c>
      <c r="I933" t="inlineStr">
        <is>
          <t>2010-01</t>
        </is>
      </c>
      <c r="J933" t="n">
        <v>1</v>
      </c>
      <c r="K933" t="n">
        <v>1</v>
      </c>
      <c r="L933" s="34">
        <f>IF($J933=1,LN(B934/B933),"")</f>
        <v/>
      </c>
      <c r="M933" s="34">
        <f>IF($K933=1,INDEX(Mensal!$D$2:$D$245,MATCH($I933,Mensal!$A$2:$A$245,0)),"")</f>
        <v/>
      </c>
      <c r="N933" s="34">
        <f>IF($K933=1,L933-M933,"")</f>
        <v/>
      </c>
      <c r="O933" s="34" t="n">
        <v>0.00032817</v>
      </c>
      <c r="P933" s="34">
        <f>IF($J933=1,LN(1+O933),"")</f>
        <v/>
      </c>
      <c r="Q933" s="34">
        <f>IF($J933=1,LN(R934/R933),"")</f>
        <v/>
      </c>
      <c r="R933" s="32" t="n">
        <v>1.7648</v>
      </c>
      <c r="S933" s="35" t="n">
        <v>10.38</v>
      </c>
      <c r="T933" s="18" t="n"/>
      <c r="U933" s="18" t="n">
        <v>69801</v>
      </c>
      <c r="V933" s="18" t="n"/>
      <c r="W933" s="18" t="n"/>
      <c r="X933" s="35" t="n">
        <v>10.38</v>
      </c>
      <c r="Y933" s="35" t="n"/>
    </row>
    <row r="934">
      <c r="A934" s="25" t="n">
        <v>40193</v>
      </c>
      <c r="B934" s="18" t="n">
        <v>68978</v>
      </c>
      <c r="C934" s="31" t="n"/>
      <c r="D934" s="32" t="n"/>
      <c r="E934" s="33" t="n">
        <v>1.2277</v>
      </c>
      <c r="F934" t="inlineStr">
        <is>
          <t>Up</t>
        </is>
      </c>
      <c r="G934" t="inlineStr">
        <is>
          <t>Up</t>
        </is>
      </c>
      <c r="H934" t="inlineStr">
        <is>
          <t>EU_JU</t>
        </is>
      </c>
      <c r="I934" t="inlineStr">
        <is>
          <t>2010-01</t>
        </is>
      </c>
      <c r="J934" t="n">
        <v>1</v>
      </c>
      <c r="K934" t="n">
        <v>1</v>
      </c>
      <c r="L934" s="34">
        <f>IF($J934=1,LN(B935/B934),"")</f>
        <v/>
      </c>
      <c r="M934" s="34">
        <f>IF($K934=1,INDEX(Mensal!$D$2:$D$245,MATCH($I934,Mensal!$A$2:$A$245,0)),"")</f>
        <v/>
      </c>
      <c r="N934" s="34">
        <f>IF($K934=1,L934-M934,"")</f>
        <v/>
      </c>
      <c r="O934" s="34" t="n">
        <v>0.0003277999999999999</v>
      </c>
      <c r="P934" s="34">
        <f>IF($J934=1,LN(1+O934),"")</f>
        <v/>
      </c>
      <c r="Q934" s="34">
        <f>IF($J934=1,LN(R935/R934),"")</f>
        <v/>
      </c>
      <c r="R934" s="32" t="n">
        <v>1.7711</v>
      </c>
      <c r="S934" s="35" t="n">
        <v>10.311</v>
      </c>
      <c r="T934" s="18" t="n"/>
      <c r="U934" s="18" t="n">
        <v>68978</v>
      </c>
      <c r="V934" s="18" t="n"/>
      <c r="W934" s="18" t="n"/>
      <c r="X934" s="35" t="n">
        <v>10.311</v>
      </c>
      <c r="Y934" s="35" t="n"/>
    </row>
    <row r="935">
      <c r="A935" s="25" t="n">
        <v>40196</v>
      </c>
      <c r="B935" s="18" t="n">
        <v>69400</v>
      </c>
      <c r="C935" s="31" t="n"/>
      <c r="D935" s="32" t="n"/>
      <c r="E935" s="33" t="n">
        <v>1.2093</v>
      </c>
      <c r="F935" t="inlineStr">
        <is>
          <t>Up</t>
        </is>
      </c>
      <c r="G935" t="inlineStr">
        <is>
          <t>Up</t>
        </is>
      </c>
      <c r="H935" t="inlineStr">
        <is>
          <t>EU_JU</t>
        </is>
      </c>
      <c r="I935" t="inlineStr">
        <is>
          <t>2010-01</t>
        </is>
      </c>
      <c r="J935" t="n">
        <v>1</v>
      </c>
      <c r="K935" t="n">
        <v>1</v>
      </c>
      <c r="L935" s="34">
        <f>IF($J935=1,LN(B936/B935),"")</f>
        <v/>
      </c>
      <c r="M935" s="34">
        <f>IF($K935=1,INDEX(Mensal!$D$2:$D$245,MATCH($I935,Mensal!$A$2:$A$245,0)),"")</f>
        <v/>
      </c>
      <c r="N935" s="34">
        <f>IF($K935=1,L935-M935,"")</f>
        <v/>
      </c>
      <c r="O935" s="34" t="n">
        <v>0.0003277999999999999</v>
      </c>
      <c r="P935" s="34">
        <f>IF($J935=1,LN(1+O935),"")</f>
        <v/>
      </c>
      <c r="Q935" s="34">
        <f>IF($J935=1,LN(R936/R935),"")</f>
        <v/>
      </c>
      <c r="R935" s="32" t="n">
        <v>1.7721</v>
      </c>
      <c r="S935" s="35" t="n">
        <v>10.348</v>
      </c>
      <c r="T935" s="18" t="n"/>
      <c r="U935" s="18" t="n">
        <v>69400</v>
      </c>
      <c r="V935" s="18" t="n"/>
      <c r="W935" s="18" t="n"/>
      <c r="X935" s="35" t="n">
        <v>10.348</v>
      </c>
      <c r="Y935" s="35" t="n"/>
    </row>
    <row r="936">
      <c r="A936" s="25" t="n">
        <v>40197</v>
      </c>
      <c r="B936" s="18" t="n">
        <v>69908</v>
      </c>
      <c r="C936" s="31" t="n"/>
      <c r="D936" s="32" t="n"/>
      <c r="E936" s="33" t="n">
        <v>1.1889</v>
      </c>
      <c r="F936" t="inlineStr">
        <is>
          <t>Up</t>
        </is>
      </c>
      <c r="G936" t="inlineStr">
        <is>
          <t>Up</t>
        </is>
      </c>
      <c r="H936" t="inlineStr">
        <is>
          <t>EU_JU</t>
        </is>
      </c>
      <c r="I936" t="inlineStr">
        <is>
          <t>2010-01</t>
        </is>
      </c>
      <c r="J936" t="n">
        <v>1</v>
      </c>
      <c r="K936" t="n">
        <v>1</v>
      </c>
      <c r="L936" s="34">
        <f>IF($J936=1,LN(B937/B936),"")</f>
        <v/>
      </c>
      <c r="M936" s="34">
        <f>IF($K936=1,INDEX(Mensal!$D$2:$D$245,MATCH($I936,Mensal!$A$2:$A$245,0)),"")</f>
        <v/>
      </c>
      <c r="N936" s="34">
        <f>IF($K936=1,L936-M936,"")</f>
        <v/>
      </c>
      <c r="O936" s="34" t="n">
        <v>0.0003277999999999999</v>
      </c>
      <c r="P936" s="34">
        <f>IF($J936=1,LN(1+O936),"")</f>
        <v/>
      </c>
      <c r="Q936" s="34">
        <f>IF($J936=1,LN(R937/R936),"")</f>
        <v/>
      </c>
      <c r="R936" s="32" t="n">
        <v>1.7747</v>
      </c>
      <c r="S936" s="35" t="n">
        <v>10.423</v>
      </c>
      <c r="T936" s="18" t="n"/>
      <c r="U936" s="18" t="n">
        <v>69908</v>
      </c>
      <c r="V936" s="18" t="n"/>
      <c r="W936" s="18" t="n"/>
      <c r="X936" s="35" t="n">
        <v>10.423</v>
      </c>
      <c r="Y936" s="35" t="n"/>
    </row>
    <row r="937">
      <c r="A937" s="25" t="n">
        <v>40198</v>
      </c>
      <c r="B937" s="18" t="n">
        <v>68200</v>
      </c>
      <c r="C937" s="31" t="n"/>
      <c r="D937" s="32" t="n"/>
      <c r="E937" s="33" t="n">
        <v>1.17</v>
      </c>
      <c r="F937" t="inlineStr">
        <is>
          <t>Up</t>
        </is>
      </c>
      <c r="G937" t="inlineStr">
        <is>
          <t>Up</t>
        </is>
      </c>
      <c r="H937" t="inlineStr">
        <is>
          <t>EU_JU</t>
        </is>
      </c>
      <c r="I937" t="inlineStr">
        <is>
          <t>2010-01</t>
        </is>
      </c>
      <c r="J937" t="n">
        <v>1</v>
      </c>
      <c r="K937" t="n">
        <v>1</v>
      </c>
      <c r="L937" s="34">
        <f>IF($J937=1,LN(B938/B937),"")</f>
        <v/>
      </c>
      <c r="M937" s="34">
        <f>IF($K937=1,INDEX(Mensal!$D$2:$D$245,MATCH($I937,Mensal!$A$2:$A$245,0)),"")</f>
        <v/>
      </c>
      <c r="N937" s="34">
        <f>IF($K937=1,L937-M937,"")</f>
        <v/>
      </c>
      <c r="O937" s="34" t="n">
        <v>0.00032817</v>
      </c>
      <c r="P937" s="34">
        <f>IF($J937=1,LN(1+O937),"")</f>
        <v/>
      </c>
      <c r="Q937" s="34">
        <f>IF($J937=1,LN(R938/R937),"")</f>
        <v/>
      </c>
      <c r="R937" s="32" t="n">
        <v>1.7854</v>
      </c>
      <c r="S937" s="35" t="n">
        <v>10.426</v>
      </c>
      <c r="T937" s="18" t="n"/>
      <c r="U937" s="18" t="n">
        <v>68200</v>
      </c>
      <c r="V937" s="18" t="n"/>
      <c r="W937" s="18" t="n"/>
      <c r="X937" s="35" t="n">
        <v>10.426</v>
      </c>
      <c r="Y937" s="35" t="n"/>
    </row>
    <row r="938">
      <c r="A938" s="25" t="n">
        <v>40199</v>
      </c>
      <c r="B938" s="18" t="n">
        <v>66270</v>
      </c>
      <c r="C938" s="31" t="n"/>
      <c r="D938" s="32" t="n"/>
      <c r="E938" s="33" t="n">
        <v>1.156</v>
      </c>
      <c r="F938" t="inlineStr">
        <is>
          <t>Up</t>
        </is>
      </c>
      <c r="G938" t="inlineStr">
        <is>
          <t>Up</t>
        </is>
      </c>
      <c r="H938" t="inlineStr">
        <is>
          <t>EU_JU</t>
        </is>
      </c>
      <c r="I938" t="inlineStr">
        <is>
          <t>2010-01</t>
        </is>
      </c>
      <c r="J938" t="n">
        <v>1</v>
      </c>
      <c r="K938" t="n">
        <v>1</v>
      </c>
      <c r="L938" s="34">
        <f>IF($J938=1,LN(B939/B938),"")</f>
        <v/>
      </c>
      <c r="M938" s="34">
        <f>IF($K938=1,INDEX(Mensal!$D$2:$D$245,MATCH($I938,Mensal!$A$2:$A$245,0)),"")</f>
        <v/>
      </c>
      <c r="N938" s="34">
        <f>IF($K938=1,L938-M938,"")</f>
        <v/>
      </c>
      <c r="O938" s="34" t="n">
        <v>0.00032817</v>
      </c>
      <c r="P938" s="34">
        <f>IF($J938=1,LN(1+O938),"")</f>
        <v/>
      </c>
      <c r="Q938" s="34">
        <f>IF($J938=1,LN(R939/R938),"")</f>
        <v/>
      </c>
      <c r="R938" s="32" t="n">
        <v>1.7903</v>
      </c>
      <c r="S938" s="35" t="n">
        <v>10.478</v>
      </c>
      <c r="T938" s="18" t="n"/>
      <c r="U938" s="18" t="n">
        <v>66270</v>
      </c>
      <c r="V938" s="18" t="n"/>
      <c r="W938" s="18" t="n"/>
      <c r="X938" s="35" t="n">
        <v>10.478</v>
      </c>
      <c r="Y938" s="35" t="n"/>
    </row>
    <row r="939">
      <c r="A939" s="25" t="n">
        <v>40200</v>
      </c>
      <c r="B939" s="18" t="n">
        <v>66220</v>
      </c>
      <c r="C939" s="31" t="n"/>
      <c r="D939" s="32" t="n"/>
      <c r="E939" s="33" t="n">
        <v>1.1362</v>
      </c>
      <c r="F939" t="inlineStr">
        <is>
          <t>Up</t>
        </is>
      </c>
      <c r="G939" t="inlineStr">
        <is>
          <t>Up</t>
        </is>
      </c>
      <c r="H939" t="inlineStr">
        <is>
          <t>EU_JU</t>
        </is>
      </c>
      <c r="I939" t="inlineStr">
        <is>
          <t>2010-01</t>
        </is>
      </c>
      <c r="J939" t="n">
        <v>1</v>
      </c>
      <c r="K939" t="n">
        <v>1</v>
      </c>
      <c r="L939" s="34">
        <f>IF($J939=1,LN(B940/B939),"")</f>
        <v/>
      </c>
      <c r="M939" s="34">
        <f>IF($K939=1,INDEX(Mensal!$D$2:$D$245,MATCH($I939,Mensal!$A$2:$A$245,0)),"")</f>
        <v/>
      </c>
      <c r="N939" s="34">
        <f>IF($K939=1,L939-M939,"")</f>
        <v/>
      </c>
      <c r="O939" s="34" t="n">
        <v>0.00032817</v>
      </c>
      <c r="P939" s="34">
        <f>IF($J939=1,LN(1+O939),"")</f>
        <v/>
      </c>
      <c r="Q939" s="34">
        <f>IF($J939=1,LN(R940/R939),"")</f>
        <v/>
      </c>
      <c r="R939" s="32" t="n">
        <v>1.8187</v>
      </c>
      <c r="S939" s="35" t="n">
        <v>10.477</v>
      </c>
      <c r="T939" s="18" t="n"/>
      <c r="U939" s="18" t="n">
        <v>66220</v>
      </c>
      <c r="V939" s="18" t="n"/>
      <c r="W939" s="18" t="n"/>
      <c r="X939" s="35" t="n">
        <v>10.477</v>
      </c>
      <c r="Y939" s="35" t="n"/>
    </row>
    <row r="940">
      <c r="A940" s="25" t="n">
        <v>40204</v>
      </c>
      <c r="B940" s="18" t="n">
        <v>65523</v>
      </c>
      <c r="C940" s="31" t="n"/>
      <c r="D940" s="32" t="n"/>
      <c r="E940" s="33" t="n">
        <v>1.1241</v>
      </c>
      <c r="F940" t="inlineStr">
        <is>
          <t>Up</t>
        </is>
      </c>
      <c r="G940" t="inlineStr">
        <is>
          <t>Up</t>
        </is>
      </c>
      <c r="H940" t="inlineStr">
        <is>
          <t>EU_JU</t>
        </is>
      </c>
      <c r="I940" t="inlineStr">
        <is>
          <t>2010-01</t>
        </is>
      </c>
      <c r="J940" t="n">
        <v>1</v>
      </c>
      <c r="K940" t="n">
        <v>1</v>
      </c>
      <c r="L940" s="34">
        <f>IF($J940=1,LN(B941/B940),"")</f>
        <v/>
      </c>
      <c r="M940" s="34">
        <f>IF($K940=1,INDEX(Mensal!$D$2:$D$245,MATCH($I940,Mensal!$A$2:$A$245,0)),"")</f>
        <v/>
      </c>
      <c r="N940" s="34">
        <f>IF($K940=1,L940-M940,"")</f>
        <v/>
      </c>
      <c r="O940" s="34" t="n">
        <v>0.00032817</v>
      </c>
      <c r="P940" s="34">
        <f>IF($J940=1,LN(1+O940),"")</f>
        <v/>
      </c>
      <c r="Q940" s="34">
        <f>IF($J940=1,LN(R941/R940),"")</f>
        <v/>
      </c>
      <c r="R940" s="32" t="n">
        <v>1.8367</v>
      </c>
      <c r="S940" s="35" t="n">
        <v>10.534</v>
      </c>
      <c r="T940" s="18" t="n"/>
      <c r="U940" s="18" t="n">
        <v>65523</v>
      </c>
      <c r="V940" s="18" t="n"/>
      <c r="W940" s="18" t="n"/>
      <c r="X940" s="35" t="n">
        <v>10.534</v>
      </c>
      <c r="Y940" s="35" t="n"/>
    </row>
    <row r="941">
      <c r="A941" s="25" t="n">
        <v>40205</v>
      </c>
      <c r="B941" s="18" t="n">
        <v>65069</v>
      </c>
      <c r="C941" s="31" t="n"/>
      <c r="D941" s="32" t="n"/>
      <c r="E941" s="33" t="n">
        <v>1.1128</v>
      </c>
      <c r="F941" t="inlineStr">
        <is>
          <t>Up</t>
        </is>
      </c>
      <c r="G941" t="inlineStr">
        <is>
          <t>Up</t>
        </is>
      </c>
      <c r="H941" t="inlineStr">
        <is>
          <t>EU_JU</t>
        </is>
      </c>
      <c r="I941" t="inlineStr">
        <is>
          <t>2010-01</t>
        </is>
      </c>
      <c r="J941" t="n">
        <v>1</v>
      </c>
      <c r="K941" t="n">
        <v>1</v>
      </c>
      <c r="L941" s="34">
        <f>IF($J941=1,LN(B942/B941),"")</f>
        <v/>
      </c>
      <c r="M941" s="34">
        <f>IF($K941=1,INDEX(Mensal!$D$2:$D$245,MATCH($I941,Mensal!$A$2:$A$245,0)),"")</f>
        <v/>
      </c>
      <c r="N941" s="34">
        <f>IF($K941=1,L941-M941,"")</f>
        <v/>
      </c>
      <c r="O941" s="34" t="n">
        <v>0.00032817</v>
      </c>
      <c r="P941" s="34">
        <f>IF($J941=1,LN(1+O941),"")</f>
        <v/>
      </c>
      <c r="Q941" s="34">
        <f>IF($J941=1,LN(R942/R941),"")</f>
        <v/>
      </c>
      <c r="R941" s="32" t="n">
        <v>1.8513</v>
      </c>
      <c r="S941" s="35" t="n">
        <v>10.554</v>
      </c>
      <c r="T941" s="18" t="n"/>
      <c r="U941" s="18" t="n">
        <v>65069</v>
      </c>
      <c r="V941" s="18" t="n"/>
      <c r="W941" s="18" t="n"/>
      <c r="X941" s="35" t="n">
        <v>10.554</v>
      </c>
      <c r="Y941" s="35" t="n"/>
    </row>
    <row r="942">
      <c r="A942" s="25" t="n">
        <v>40206</v>
      </c>
      <c r="B942" s="18" t="n">
        <v>65587</v>
      </c>
      <c r="C942" s="31" t="n"/>
      <c r="D942" s="32" t="n"/>
      <c r="E942" s="33" t="n">
        <v>1.1043</v>
      </c>
      <c r="F942" t="inlineStr">
        <is>
          <t>Up</t>
        </is>
      </c>
      <c r="G942" t="inlineStr">
        <is>
          <t>Up</t>
        </is>
      </c>
      <c r="H942" t="inlineStr">
        <is>
          <t>EU_JU</t>
        </is>
      </c>
      <c r="I942" t="inlineStr">
        <is>
          <t>2010-01</t>
        </is>
      </c>
      <c r="J942" t="n">
        <v>1</v>
      </c>
      <c r="K942" t="n">
        <v>1</v>
      </c>
      <c r="L942" s="34">
        <f>IF($J942=1,LN(B943/B942),"")</f>
        <v/>
      </c>
      <c r="M942" s="34">
        <f>IF($K942=1,INDEX(Mensal!$D$2:$D$245,MATCH($I942,Mensal!$A$2:$A$245,0)),"")</f>
        <v/>
      </c>
      <c r="N942" s="34">
        <f>IF($K942=1,L942-M942,"")</f>
        <v/>
      </c>
      <c r="O942" s="34" t="n">
        <v>0.00032817</v>
      </c>
      <c r="P942" s="34">
        <f>IF($J942=1,LN(1+O942),"")</f>
        <v/>
      </c>
      <c r="Q942" s="34">
        <f>IF($J942=1,LN(R943/R942),"")</f>
        <v/>
      </c>
      <c r="R942" s="32" t="n">
        <v>1.856</v>
      </c>
      <c r="S942" s="35" t="n">
        <v>10.487</v>
      </c>
      <c r="T942" s="18" t="n"/>
      <c r="U942" s="18" t="n">
        <v>65587</v>
      </c>
      <c r="V942" s="18" t="n"/>
      <c r="W942" s="18" t="n"/>
      <c r="X942" s="35" t="n">
        <v>10.487</v>
      </c>
      <c r="Y942" s="35" t="n"/>
    </row>
    <row r="943">
      <c r="A943" s="25" t="n">
        <v>40207</v>
      </c>
      <c r="B943" s="18" t="n">
        <v>65401</v>
      </c>
      <c r="C943" s="31" t="n"/>
      <c r="D943" s="32" t="n"/>
      <c r="E943" s="33" t="n">
        <v>1.0956</v>
      </c>
      <c r="F943" t="inlineStr">
        <is>
          <t>Up</t>
        </is>
      </c>
      <c r="G943" t="inlineStr">
        <is>
          <t>Up</t>
        </is>
      </c>
      <c r="H943" t="inlineStr">
        <is>
          <t>EU_JU</t>
        </is>
      </c>
      <c r="I943" t="inlineStr">
        <is>
          <t>2010-01</t>
        </is>
      </c>
      <c r="J943" t="n">
        <v>1</v>
      </c>
      <c r="K943" t="n">
        <v>1</v>
      </c>
      <c r="L943" s="34">
        <f>IF($J943=1,LN(B944/B943),"")</f>
        <v/>
      </c>
      <c r="M943" s="34">
        <f>IF($K943=1,INDEX(Mensal!$D$2:$D$245,MATCH($I943,Mensal!$A$2:$A$245,0)),"")</f>
        <v/>
      </c>
      <c r="N943" s="34">
        <f>IF($K943=1,L943-M943,"")</f>
        <v/>
      </c>
      <c r="O943" s="34" t="n">
        <v>0.00032854</v>
      </c>
      <c r="P943" s="34">
        <f>IF($J943=1,LN(1+O943),"")</f>
        <v/>
      </c>
      <c r="Q943" s="34">
        <f>IF($J943=1,LN(R944/R943),"")</f>
        <v/>
      </c>
      <c r="R943" s="32" t="n">
        <v>1.8748</v>
      </c>
      <c r="S943" s="35" t="n">
        <v>10.487</v>
      </c>
      <c r="T943" s="18" t="n"/>
      <c r="U943" s="18" t="n">
        <v>65401</v>
      </c>
      <c r="V943" s="18" t="n"/>
      <c r="W943" s="18" t="n"/>
      <c r="X943" s="35" t="n">
        <v>10.487</v>
      </c>
      <c r="Y943" s="35" t="n"/>
    </row>
    <row r="944">
      <c r="A944" s="25" t="n">
        <v>40210</v>
      </c>
      <c r="B944" s="18" t="n">
        <v>66571</v>
      </c>
      <c r="C944" s="31" t="n"/>
      <c r="D944" s="32" t="n"/>
      <c r="E944" s="33" t="n">
        <v>1.091</v>
      </c>
      <c r="F944" t="inlineStr">
        <is>
          <t>Up</t>
        </is>
      </c>
      <c r="G944" t="inlineStr">
        <is>
          <t>Up</t>
        </is>
      </c>
      <c r="H944" t="inlineStr">
        <is>
          <t>EU_JU</t>
        </is>
      </c>
      <c r="I944" t="inlineStr">
        <is>
          <t>2010-02</t>
        </is>
      </c>
      <c r="J944" t="n">
        <v>1</v>
      </c>
      <c r="K944" t="n">
        <v>1</v>
      </c>
      <c r="L944" s="34">
        <f>IF($J944=1,LN(B945/B944),"")</f>
        <v/>
      </c>
      <c r="M944" s="34">
        <f>IF($K944=1,INDEX(Mensal!$D$2:$D$245,MATCH($I944,Mensal!$A$2:$A$245,0)),"")</f>
        <v/>
      </c>
      <c r="N944" s="34">
        <f>IF($K944=1,L944-M944,"")</f>
        <v/>
      </c>
      <c r="O944" s="34" t="n">
        <v>0.00032854</v>
      </c>
      <c r="P944" s="34">
        <f>IF($J944=1,LN(1+O944),"")</f>
        <v/>
      </c>
      <c r="Q944" s="34">
        <f>IF($J944=1,LN(R945/R944),"")</f>
        <v/>
      </c>
      <c r="R944" s="32" t="n">
        <v>1.8773</v>
      </c>
      <c r="S944" s="35" t="n">
        <v>10.47</v>
      </c>
      <c r="T944" s="18" t="n"/>
      <c r="U944" s="18" t="n">
        <v>66571</v>
      </c>
      <c r="V944" s="18" t="n"/>
      <c r="W944" s="18" t="n"/>
      <c r="X944" s="35" t="n">
        <v>10.47</v>
      </c>
      <c r="Y944" s="35" t="n"/>
    </row>
    <row r="945">
      <c r="A945" s="25" t="n">
        <v>40211</v>
      </c>
      <c r="B945" s="18" t="n">
        <v>67163</v>
      </c>
      <c r="C945" s="31" t="n"/>
      <c r="D945" s="32" t="n"/>
      <c r="E945" s="33" t="n">
        <v>1.0862</v>
      </c>
      <c r="F945" t="inlineStr">
        <is>
          <t>Up</t>
        </is>
      </c>
      <c r="G945" t="inlineStr">
        <is>
          <t>Up</t>
        </is>
      </c>
      <c r="H945" t="inlineStr">
        <is>
          <t>EU_JU</t>
        </is>
      </c>
      <c r="I945" t="inlineStr">
        <is>
          <t>2010-02</t>
        </is>
      </c>
      <c r="J945" t="n">
        <v>1</v>
      </c>
      <c r="K945" t="n">
        <v>1</v>
      </c>
      <c r="L945" s="34">
        <f>IF($J945=1,LN(B946/B945),"")</f>
        <v/>
      </c>
      <c r="M945" s="34">
        <f>IF($K945=1,INDEX(Mensal!$D$2:$D$245,MATCH($I945,Mensal!$A$2:$A$245,0)),"")</f>
        <v/>
      </c>
      <c r="N945" s="34">
        <f>IF($K945=1,L945-M945,"")</f>
        <v/>
      </c>
      <c r="O945" s="34" t="n">
        <v>0.00032817</v>
      </c>
      <c r="P945" s="34">
        <f>IF($J945=1,LN(1+O945),"")</f>
        <v/>
      </c>
      <c r="Q945" s="34">
        <f>IF($J945=1,LN(R946/R945),"")</f>
        <v/>
      </c>
      <c r="R945" s="32" t="n">
        <v>1.8363</v>
      </c>
      <c r="S945" s="35" t="n">
        <v>10.519</v>
      </c>
      <c r="T945" s="18" t="n"/>
      <c r="U945" s="18" t="n">
        <v>67163</v>
      </c>
      <c r="V945" s="18" t="n"/>
      <c r="W945" s="18" t="n"/>
      <c r="X945" s="35" t="n">
        <v>10.519</v>
      </c>
      <c r="Y945" s="35" t="n"/>
    </row>
    <row r="946">
      <c r="A946" s="25" t="n">
        <v>40212</v>
      </c>
      <c r="B946" s="18" t="n">
        <v>67108</v>
      </c>
      <c r="C946" s="31" t="n"/>
      <c r="D946" s="32" t="n"/>
      <c r="E946" s="33" t="n">
        <v>1.0785</v>
      </c>
      <c r="F946" t="inlineStr">
        <is>
          <t>Up</t>
        </is>
      </c>
      <c r="G946" t="inlineStr">
        <is>
          <t>Up</t>
        </is>
      </c>
      <c r="H946" t="inlineStr">
        <is>
          <t>EU_JU</t>
        </is>
      </c>
      <c r="I946" t="inlineStr">
        <is>
          <t>2010-02</t>
        </is>
      </c>
      <c r="J946" t="n">
        <v>1</v>
      </c>
      <c r="K946" t="n">
        <v>1</v>
      </c>
      <c r="L946" s="34">
        <f>IF($J946=1,LN(B947/B946),"")</f>
        <v/>
      </c>
      <c r="M946" s="34">
        <f>IF($K946=1,INDEX(Mensal!$D$2:$D$245,MATCH($I946,Mensal!$A$2:$A$245,0)),"")</f>
        <v/>
      </c>
      <c r="N946" s="34">
        <f>IF($K946=1,L946-M946,"")</f>
        <v/>
      </c>
      <c r="O946" s="34" t="n">
        <v>0.0003277999999999999</v>
      </c>
      <c r="P946" s="34">
        <f>IF($J946=1,LN(1+O946),"")</f>
        <v/>
      </c>
      <c r="Q946" s="34">
        <f>IF($J946=1,LN(R947/R946),"")</f>
        <v/>
      </c>
      <c r="R946" s="32" t="n">
        <v>1.8337</v>
      </c>
      <c r="S946" s="35" t="n">
        <v>10.523</v>
      </c>
      <c r="T946" s="18" t="n"/>
      <c r="U946" s="18" t="n">
        <v>67108</v>
      </c>
      <c r="V946" s="18" t="n"/>
      <c r="W946" s="18" t="n"/>
      <c r="X946" s="35" t="n">
        <v>10.523</v>
      </c>
      <c r="Y946" s="35" t="n"/>
    </row>
    <row r="947">
      <c r="A947" s="25" t="n">
        <v>40213</v>
      </c>
      <c r="B947" s="18" t="n">
        <v>63934</v>
      </c>
      <c r="C947" s="31" t="n"/>
      <c r="D947" s="32" t="n"/>
      <c r="E947" s="33" t="n">
        <v>1.0739</v>
      </c>
      <c r="F947" t="inlineStr">
        <is>
          <t>Up</t>
        </is>
      </c>
      <c r="G947" t="inlineStr">
        <is>
          <t>Up</t>
        </is>
      </c>
      <c r="H947" t="inlineStr">
        <is>
          <t>EU_JU</t>
        </is>
      </c>
      <c r="I947" t="inlineStr">
        <is>
          <t>2010-02</t>
        </is>
      </c>
      <c r="J947" t="n">
        <v>1</v>
      </c>
      <c r="K947" t="n">
        <v>1</v>
      </c>
      <c r="L947" s="34">
        <f>IF($J947=1,LN(B948/B947),"")</f>
        <v/>
      </c>
      <c r="M947" s="34">
        <f>IF($K947=1,INDEX(Mensal!$D$2:$D$245,MATCH($I947,Mensal!$A$2:$A$245,0)),"")</f>
        <v/>
      </c>
      <c r="N947" s="34">
        <f>IF($K947=1,L947-M947,"")</f>
        <v/>
      </c>
      <c r="O947" s="34" t="n">
        <v>0.00032817</v>
      </c>
      <c r="P947" s="34">
        <f>IF($J947=1,LN(1+O947),"")</f>
        <v/>
      </c>
      <c r="Q947" s="34">
        <f>IF($J947=1,LN(R948/R947),"")</f>
        <v/>
      </c>
      <c r="R947" s="32" t="n">
        <v>1.8715</v>
      </c>
      <c r="S947" s="35" t="n">
        <v>10.423</v>
      </c>
      <c r="T947" s="18" t="n"/>
      <c r="U947" s="18" t="n">
        <v>63934</v>
      </c>
      <c r="V947" s="18" t="n"/>
      <c r="W947" s="18" t="n"/>
      <c r="X947" s="35" t="n">
        <v>10.423</v>
      </c>
      <c r="Y947" s="35" t="n"/>
    </row>
    <row r="948">
      <c r="A948" s="25" t="n">
        <v>40214</v>
      </c>
      <c r="B948" s="18" t="n">
        <v>62762</v>
      </c>
      <c r="C948" s="31" t="n"/>
      <c r="D948" s="32" t="n"/>
      <c r="E948" s="33" t="n">
        <v>1.0673</v>
      </c>
      <c r="F948" t="inlineStr">
        <is>
          <t>Up</t>
        </is>
      </c>
      <c r="G948" t="inlineStr">
        <is>
          <t>Up</t>
        </is>
      </c>
      <c r="H948" t="inlineStr">
        <is>
          <t>EU_JU</t>
        </is>
      </c>
      <c r="I948" t="inlineStr">
        <is>
          <t>2010-02</t>
        </is>
      </c>
      <c r="J948" t="n">
        <v>1</v>
      </c>
      <c r="K948" t="n">
        <v>1</v>
      </c>
      <c r="L948" s="34">
        <f>IF($J948=1,LN(B949/B948),"")</f>
        <v/>
      </c>
      <c r="M948" s="34">
        <f>IF($K948=1,INDEX(Mensal!$D$2:$D$245,MATCH($I948,Mensal!$A$2:$A$245,0)),"")</f>
        <v/>
      </c>
      <c r="N948" s="34">
        <f>IF($K948=1,L948-M948,"")</f>
        <v/>
      </c>
      <c r="O948" s="34" t="n">
        <v>0.00032817</v>
      </c>
      <c r="P948" s="34">
        <f>IF($J948=1,LN(1+O948),"")</f>
        <v/>
      </c>
      <c r="Q948" s="34">
        <f>IF($J948=1,LN(R949/R948),"")</f>
        <v/>
      </c>
      <c r="R948" s="32" t="n">
        <v>1.8753</v>
      </c>
      <c r="S948" s="35" t="n">
        <v>10.403</v>
      </c>
      <c r="T948" s="18" t="n"/>
      <c r="U948" s="18" t="n">
        <v>62762</v>
      </c>
      <c r="V948" s="18" t="n"/>
      <c r="W948" s="18" t="n"/>
      <c r="X948" s="35" t="n">
        <v>10.403</v>
      </c>
      <c r="Y948" s="35" t="n"/>
    </row>
    <row r="949">
      <c r="A949" s="25" t="n">
        <v>40217</v>
      </c>
      <c r="B949" s="18" t="n">
        <v>63153</v>
      </c>
      <c r="C949" s="31" t="n"/>
      <c r="D949" s="32" t="n"/>
      <c r="E949" s="33" t="n">
        <v>1.06</v>
      </c>
      <c r="F949" t="inlineStr">
        <is>
          <t>Up</t>
        </is>
      </c>
      <c r="G949" t="inlineStr">
        <is>
          <t>Up</t>
        </is>
      </c>
      <c r="H949" t="inlineStr">
        <is>
          <t>EU_JU</t>
        </is>
      </c>
      <c r="I949" t="inlineStr">
        <is>
          <t>2010-02</t>
        </is>
      </c>
      <c r="J949" t="n">
        <v>1</v>
      </c>
      <c r="K949" t="n">
        <v>1</v>
      </c>
      <c r="L949" s="34">
        <f>IF($J949=1,LN(B950/B949),"")</f>
        <v/>
      </c>
      <c r="M949" s="34">
        <f>IF($K949=1,INDEX(Mensal!$D$2:$D$245,MATCH($I949,Mensal!$A$2:$A$245,0)),"")</f>
        <v/>
      </c>
      <c r="N949" s="34">
        <f>IF($K949=1,L949-M949,"")</f>
        <v/>
      </c>
      <c r="O949" s="34" t="n">
        <v>0.00032817</v>
      </c>
      <c r="P949" s="34">
        <f>IF($J949=1,LN(1+O949),"")</f>
        <v/>
      </c>
      <c r="Q949" s="34">
        <f>IF($J949=1,LN(R950/R949),"")</f>
        <v/>
      </c>
      <c r="R949" s="32" t="n">
        <v>1.873</v>
      </c>
      <c r="S949" s="35" t="n">
        <v>10.394</v>
      </c>
      <c r="T949" s="18" t="n"/>
      <c r="U949" s="18" t="n">
        <v>63153</v>
      </c>
      <c r="V949" s="18" t="n"/>
      <c r="W949" s="18" t="n"/>
      <c r="X949" s="35" t="n">
        <v>10.394</v>
      </c>
      <c r="Y949" s="35" t="n"/>
    </row>
    <row r="950">
      <c r="A950" s="25" t="n">
        <v>40218</v>
      </c>
      <c r="B950" s="18" t="n">
        <v>64718</v>
      </c>
      <c r="C950" s="31" t="n"/>
      <c r="D950" s="32" t="n"/>
      <c r="E950" s="33" t="n">
        <v>1.0581</v>
      </c>
      <c r="F950" t="inlineStr">
        <is>
          <t>Up</t>
        </is>
      </c>
      <c r="G950" t="inlineStr">
        <is>
          <t>Up</t>
        </is>
      </c>
      <c r="H950" t="inlineStr">
        <is>
          <t>EU_JU</t>
        </is>
      </c>
      <c r="I950" t="inlineStr">
        <is>
          <t>2010-02</t>
        </is>
      </c>
      <c r="J950" t="n">
        <v>1</v>
      </c>
      <c r="K950" t="n">
        <v>1</v>
      </c>
      <c r="L950" s="34">
        <f>IF($J950=1,LN(B951/B950),"")</f>
        <v/>
      </c>
      <c r="M950" s="34">
        <f>IF($K950=1,INDEX(Mensal!$D$2:$D$245,MATCH($I950,Mensal!$A$2:$A$245,0)),"")</f>
        <v/>
      </c>
      <c r="N950" s="34">
        <f>IF($K950=1,L950-M950,"")</f>
        <v/>
      </c>
      <c r="O950" s="34" t="n">
        <v>0.00032817</v>
      </c>
      <c r="P950" s="34">
        <f>IF($J950=1,LN(1+O950),"")</f>
        <v/>
      </c>
      <c r="Q950" s="34">
        <f>IF($J950=1,LN(R951/R950),"")</f>
        <v/>
      </c>
      <c r="R950" s="32" t="n">
        <v>1.855</v>
      </c>
      <c r="S950" s="35" t="n">
        <v>10.443</v>
      </c>
      <c r="T950" s="18" t="n"/>
      <c r="U950" s="18" t="n">
        <v>64718</v>
      </c>
      <c r="V950" s="18" t="n"/>
      <c r="W950" s="18" t="n"/>
      <c r="X950" s="35" t="n">
        <v>10.443</v>
      </c>
      <c r="Y950" s="35" t="n"/>
    </row>
    <row r="951">
      <c r="A951" s="25" t="n">
        <v>40219</v>
      </c>
      <c r="B951" s="18" t="n">
        <v>65051</v>
      </c>
      <c r="C951" s="31" t="n"/>
      <c r="D951" s="32" t="n"/>
      <c r="E951" s="33" t="n">
        <v>1.0566</v>
      </c>
      <c r="F951" t="inlineStr">
        <is>
          <t>Up</t>
        </is>
      </c>
      <c r="G951" t="inlineStr">
        <is>
          <t>Up</t>
        </is>
      </c>
      <c r="H951" t="inlineStr">
        <is>
          <t>EU_JU</t>
        </is>
      </c>
      <c r="I951" t="inlineStr">
        <is>
          <t>2010-02</t>
        </is>
      </c>
      <c r="J951" t="n">
        <v>1</v>
      </c>
      <c r="K951" t="n">
        <v>1</v>
      </c>
      <c r="L951" s="34">
        <f>IF($J951=1,LN(B952/B951),"")</f>
        <v/>
      </c>
      <c r="M951" s="34">
        <f>IF($K951=1,INDEX(Mensal!$D$2:$D$245,MATCH($I951,Mensal!$A$2:$A$245,0)),"")</f>
        <v/>
      </c>
      <c r="N951" s="34">
        <f>IF($K951=1,L951-M951,"")</f>
        <v/>
      </c>
      <c r="O951" s="34" t="n">
        <v>0.00032817</v>
      </c>
      <c r="P951" s="34">
        <f>IF($J951=1,LN(1+O951),"")</f>
        <v/>
      </c>
      <c r="Q951" s="34">
        <f>IF($J951=1,LN(R952/R951),"")</f>
        <v/>
      </c>
      <c r="R951" s="32" t="n">
        <v>1.8483</v>
      </c>
      <c r="S951" s="35" t="n">
        <v>10.474</v>
      </c>
      <c r="T951" s="18" t="n"/>
      <c r="U951" s="18" t="n">
        <v>65051</v>
      </c>
      <c r="V951" s="18" t="n"/>
      <c r="W951" s="18" t="n"/>
      <c r="X951" s="35" t="n">
        <v>10.474</v>
      </c>
      <c r="Y951" s="35" t="n"/>
    </row>
    <row r="952">
      <c r="A952" s="25" t="n">
        <v>40220</v>
      </c>
      <c r="B952" s="18" t="n">
        <v>66128</v>
      </c>
      <c r="C952" s="31" t="n"/>
      <c r="D952" s="32" t="n"/>
      <c r="E952" s="33" t="n">
        <v>1.0515</v>
      </c>
      <c r="F952" t="inlineStr">
        <is>
          <t>Up</t>
        </is>
      </c>
      <c r="G952" t="inlineStr">
        <is>
          <t>Up</t>
        </is>
      </c>
      <c r="H952" t="inlineStr">
        <is>
          <t>EU_JU</t>
        </is>
      </c>
      <c r="I952" t="inlineStr">
        <is>
          <t>2010-02</t>
        </is>
      </c>
      <c r="J952" t="n">
        <v>1</v>
      </c>
      <c r="K952" t="n">
        <v>1</v>
      </c>
      <c r="L952" s="34">
        <f>IF($J952=1,LN(B953/B952),"")</f>
        <v/>
      </c>
      <c r="M952" s="34">
        <f>IF($K952=1,INDEX(Mensal!$D$2:$D$245,MATCH($I952,Mensal!$A$2:$A$245,0)),"")</f>
        <v/>
      </c>
      <c r="N952" s="34">
        <f>IF($K952=1,L952-M952,"")</f>
        <v/>
      </c>
      <c r="O952" s="34" t="n">
        <v>0.00032817</v>
      </c>
      <c r="P952" s="34">
        <f>IF($J952=1,LN(1+O952),"")</f>
        <v/>
      </c>
      <c r="Q952" s="34">
        <f>IF($J952=1,LN(R953/R952),"")</f>
        <v/>
      </c>
      <c r="R952" s="32" t="n">
        <v>1.8516</v>
      </c>
      <c r="S952" s="35" t="n">
        <v>10.474</v>
      </c>
      <c r="T952" s="18" t="n"/>
      <c r="U952" s="18" t="n">
        <v>66128</v>
      </c>
      <c r="V952" s="18" t="n"/>
      <c r="W952" s="18" t="n"/>
      <c r="X952" s="35" t="n">
        <v>10.474</v>
      </c>
      <c r="Y952" s="35" t="n"/>
    </row>
    <row r="953">
      <c r="A953" s="25" t="n">
        <v>40221</v>
      </c>
      <c r="B953" s="18" t="n">
        <v>65854</v>
      </c>
      <c r="C953" s="31" t="n"/>
      <c r="D953" s="32" t="n"/>
      <c r="E953" s="33" t="n">
        <v>1.0489</v>
      </c>
      <c r="F953" t="inlineStr">
        <is>
          <t>Up</t>
        </is>
      </c>
      <c r="G953" t="inlineStr">
        <is>
          <t>Up</t>
        </is>
      </c>
      <c r="H953" t="inlineStr">
        <is>
          <t>EU_JU</t>
        </is>
      </c>
      <c r="I953" t="inlineStr">
        <is>
          <t>2010-02</t>
        </is>
      </c>
      <c r="J953" t="n">
        <v>1</v>
      </c>
      <c r="K953" t="n">
        <v>1</v>
      </c>
      <c r="L953" s="34">
        <f>IF($J953=1,LN(B954/B953),"")</f>
        <v/>
      </c>
      <c r="M953" s="34">
        <f>IF($K953=1,INDEX(Mensal!$D$2:$D$245,MATCH($I953,Mensal!$A$2:$A$245,0)),"")</f>
        <v/>
      </c>
      <c r="N953" s="34">
        <f>IF($K953=1,L953-M953,"")</f>
        <v/>
      </c>
      <c r="O953" s="34" t="n">
        <v>0.00032817</v>
      </c>
      <c r="P953" s="34">
        <f>IF($J953=1,LN(1+O953),"")</f>
        <v/>
      </c>
      <c r="Q953" s="34">
        <f>IF($J953=1,LN(R954/R953),"")</f>
        <v/>
      </c>
      <c r="R953" s="32" t="n">
        <v>1.867</v>
      </c>
      <c r="S953" s="35" t="n">
        <v>10.439</v>
      </c>
      <c r="T953" s="18" t="n"/>
      <c r="U953" s="18" t="n">
        <v>65854</v>
      </c>
      <c r="V953" s="18" t="n"/>
      <c r="W953" s="18" t="n"/>
      <c r="X953" s="35" t="n">
        <v>10.439</v>
      </c>
      <c r="Y953" s="35" t="n"/>
    </row>
    <row r="954">
      <c r="A954" s="25" t="n">
        <v>40226</v>
      </c>
      <c r="B954" s="18" t="n">
        <v>67284</v>
      </c>
      <c r="C954" s="31" t="n"/>
      <c r="D954" s="32" t="n"/>
      <c r="E954" s="33" t="n">
        <v>1.0411</v>
      </c>
      <c r="F954" t="inlineStr">
        <is>
          <t>Up</t>
        </is>
      </c>
      <c r="G954" t="inlineStr">
        <is>
          <t>Up</t>
        </is>
      </c>
      <c r="H954" t="inlineStr">
        <is>
          <t>EU_JU</t>
        </is>
      </c>
      <c r="I954" t="inlineStr">
        <is>
          <t>2010-02</t>
        </is>
      </c>
      <c r="J954" t="n">
        <v>1</v>
      </c>
      <c r="K954" t="n">
        <v>1</v>
      </c>
      <c r="L954" s="34">
        <f>IF($J954=1,LN(B955/B954),"")</f>
        <v/>
      </c>
      <c r="M954" s="34">
        <f>IF($K954=1,INDEX(Mensal!$D$2:$D$245,MATCH($I954,Mensal!$A$2:$A$245,0)),"")</f>
        <v/>
      </c>
      <c r="N954" s="34">
        <f>IF($K954=1,L954-M954,"")</f>
        <v/>
      </c>
      <c r="O954" s="34" t="n">
        <v>0.00032817</v>
      </c>
      <c r="P954" s="34">
        <f>IF($J954=1,LN(1+O954),"")</f>
        <v/>
      </c>
      <c r="Q954" s="34">
        <f>IF($J954=1,LN(R955/R954),"")</f>
        <v/>
      </c>
      <c r="R954" s="32" t="n">
        <v>1.8313</v>
      </c>
      <c r="S954" s="35" t="n">
        <v>10.48</v>
      </c>
      <c r="T954" s="18" t="n"/>
      <c r="U954" s="18" t="n">
        <v>67284</v>
      </c>
      <c r="V954" s="18" t="n"/>
      <c r="W954" s="18" t="n"/>
      <c r="X954" s="35" t="n">
        <v>10.48</v>
      </c>
      <c r="Y954" s="35" t="n"/>
    </row>
    <row r="955">
      <c r="A955" s="25" t="n">
        <v>40227</v>
      </c>
      <c r="B955" s="18" t="n">
        <v>67836</v>
      </c>
      <c r="C955" s="31" t="n"/>
      <c r="D955" s="32" t="n"/>
      <c r="E955" s="33" t="n">
        <v>1.0313</v>
      </c>
      <c r="F955" t="inlineStr">
        <is>
          <t>Up</t>
        </is>
      </c>
      <c r="G955" t="inlineStr">
        <is>
          <t>Up</t>
        </is>
      </c>
      <c r="H955" t="inlineStr">
        <is>
          <t>EU_JU</t>
        </is>
      </c>
      <c r="I955" t="inlineStr">
        <is>
          <t>2010-02</t>
        </is>
      </c>
      <c r="J955" t="n">
        <v>1</v>
      </c>
      <c r="K955" t="n">
        <v>1</v>
      </c>
      <c r="L955" s="34">
        <f>IF($J955=1,LN(B956/B955),"")</f>
        <v/>
      </c>
      <c r="M955" s="34">
        <f>IF($K955=1,INDEX(Mensal!$D$2:$D$245,MATCH($I955,Mensal!$A$2:$A$245,0)),"")</f>
        <v/>
      </c>
      <c r="N955" s="34">
        <f>IF($K955=1,L955-M955,"")</f>
        <v/>
      </c>
      <c r="O955" s="34" t="n">
        <v>0.00032854</v>
      </c>
      <c r="P955" s="34">
        <f>IF($J955=1,LN(1+O955),"")</f>
        <v/>
      </c>
      <c r="Q955" s="34">
        <f>IF($J955=1,LN(R956/R955),"")</f>
        <v/>
      </c>
      <c r="R955" s="32" t="n">
        <v>1.8266</v>
      </c>
      <c r="S955" s="35" t="n">
        <v>10.479</v>
      </c>
      <c r="T955" s="18" t="n"/>
      <c r="U955" s="18" t="n">
        <v>67836</v>
      </c>
      <c r="V955" s="18" t="n"/>
      <c r="W955" s="18" t="n"/>
      <c r="X955" s="35" t="n">
        <v>10.479</v>
      </c>
      <c r="Y955" s="35" t="n"/>
    </row>
    <row r="956">
      <c r="A956" s="25" t="n">
        <v>40228</v>
      </c>
      <c r="B956" s="18" t="n">
        <v>67597</v>
      </c>
      <c r="C956" s="31" t="n"/>
      <c r="D956" s="32" t="n"/>
      <c r="E956" s="33" t="n">
        <v>1.0194</v>
      </c>
      <c r="F956" t="inlineStr">
        <is>
          <t>Up</t>
        </is>
      </c>
      <c r="G956" t="inlineStr">
        <is>
          <t>Up</t>
        </is>
      </c>
      <c r="H956" t="inlineStr">
        <is>
          <t>EU_JU</t>
        </is>
      </c>
      <c r="I956" t="inlineStr">
        <is>
          <t>2010-02</t>
        </is>
      </c>
      <c r="J956" t="n">
        <v>1</v>
      </c>
      <c r="K956" t="n">
        <v>1</v>
      </c>
      <c r="L956" s="34">
        <f>IF($J956=1,LN(B957/B956),"")</f>
        <v/>
      </c>
      <c r="M956" s="34">
        <f>IF($K956=1,INDEX(Mensal!$D$2:$D$245,MATCH($I956,Mensal!$A$2:$A$245,0)),"")</f>
        <v/>
      </c>
      <c r="N956" s="34">
        <f>IF($K956=1,L956-M956,"")</f>
        <v/>
      </c>
      <c r="O956" s="34" t="n">
        <v>0.00032854</v>
      </c>
      <c r="P956" s="34">
        <f>IF($J956=1,LN(1+O956),"")</f>
        <v/>
      </c>
      <c r="Q956" s="34">
        <f>IF($J956=1,LN(R957/R956),"")</f>
        <v/>
      </c>
      <c r="R956" s="32" t="n">
        <v>1.8116</v>
      </c>
      <c r="S956" s="35" t="n">
        <v>10.479</v>
      </c>
      <c r="T956" s="18" t="n"/>
      <c r="U956" s="18" t="n">
        <v>67597</v>
      </c>
      <c r="V956" s="18" t="n"/>
      <c r="W956" s="18" t="n"/>
      <c r="X956" s="35" t="n">
        <v>10.479</v>
      </c>
      <c r="Y956" s="35" t="n"/>
    </row>
    <row r="957">
      <c r="A957" s="25" t="n">
        <v>40231</v>
      </c>
      <c r="B957" s="18" t="n">
        <v>67184</v>
      </c>
      <c r="C957" s="31" t="n"/>
      <c r="D957" s="32" t="n"/>
      <c r="E957" s="33" t="n">
        <v>1.0088</v>
      </c>
      <c r="F957" t="inlineStr">
        <is>
          <t>Up</t>
        </is>
      </c>
      <c r="G957" t="inlineStr">
        <is>
          <t>Up</t>
        </is>
      </c>
      <c r="H957" t="inlineStr">
        <is>
          <t>EU_JU</t>
        </is>
      </c>
      <c r="I957" t="inlineStr">
        <is>
          <t>2010-02</t>
        </is>
      </c>
      <c r="J957" t="n">
        <v>1</v>
      </c>
      <c r="K957" t="n">
        <v>1</v>
      </c>
      <c r="L957" s="34">
        <f>IF($J957=1,LN(B958/B957),"")</f>
        <v/>
      </c>
      <c r="M957" s="34">
        <f>IF($K957=1,INDEX(Mensal!$D$2:$D$245,MATCH($I957,Mensal!$A$2:$A$245,0)),"")</f>
        <v/>
      </c>
      <c r="N957" s="34">
        <f>IF($K957=1,L957-M957,"")</f>
        <v/>
      </c>
      <c r="O957" s="34" t="n">
        <v>0.00032854</v>
      </c>
      <c r="P957" s="34">
        <f>IF($J957=1,LN(1+O957),"")</f>
        <v/>
      </c>
      <c r="Q957" s="34">
        <f>IF($J957=1,LN(R958/R957),"")</f>
        <v/>
      </c>
      <c r="R957" s="32" t="n">
        <v>1.8046</v>
      </c>
      <c r="S957" s="35" t="n">
        <v>10.583</v>
      </c>
      <c r="T957" s="18" t="n"/>
      <c r="U957" s="18" t="n">
        <v>67184</v>
      </c>
      <c r="V957" s="18" t="n"/>
      <c r="W957" s="18" t="n"/>
      <c r="X957" s="35" t="n">
        <v>10.583</v>
      </c>
      <c r="Y957" s="35" t="n"/>
    </row>
    <row r="958">
      <c r="A958" s="25" t="n">
        <v>40232</v>
      </c>
      <c r="B958" s="18" t="n">
        <v>66108</v>
      </c>
      <c r="C958" s="31" t="n"/>
      <c r="D958" s="32" t="n"/>
      <c r="E958" s="33" t="n">
        <v>0.9939</v>
      </c>
      <c r="F958" t="inlineStr">
        <is>
          <t>Up</t>
        </is>
      </c>
      <c r="G958" t="inlineStr">
        <is>
          <t>Up</t>
        </is>
      </c>
      <c r="H958" t="inlineStr">
        <is>
          <t>EU_JU</t>
        </is>
      </c>
      <c r="I958" t="inlineStr">
        <is>
          <t>2010-02</t>
        </is>
      </c>
      <c r="J958" t="n">
        <v>1</v>
      </c>
      <c r="K958" t="n">
        <v>1</v>
      </c>
      <c r="L958" s="34">
        <f>IF($J958=1,LN(B959/B958),"")</f>
        <v/>
      </c>
      <c r="M958" s="34">
        <f>IF($K958=1,INDEX(Mensal!$D$2:$D$245,MATCH($I958,Mensal!$A$2:$A$245,0)),"")</f>
        <v/>
      </c>
      <c r="N958" s="34">
        <f>IF($K958=1,L958-M958,"")</f>
        <v/>
      </c>
      <c r="O958" s="34" t="n">
        <v>0.00032854</v>
      </c>
      <c r="P958" s="34">
        <f>IF($J958=1,LN(1+O958),"")</f>
        <v/>
      </c>
      <c r="Q958" s="34">
        <f>IF($J958=1,LN(R959/R958),"")</f>
        <v/>
      </c>
      <c r="R958" s="32" t="n">
        <v>1.8186</v>
      </c>
      <c r="S958" s="35" t="n">
        <v>10.61</v>
      </c>
      <c r="T958" s="18" t="n"/>
      <c r="U958" s="18" t="n">
        <v>66108</v>
      </c>
      <c r="V958" s="18" t="n"/>
      <c r="W958" s="18" t="n"/>
      <c r="X958" s="35" t="n">
        <v>10.61</v>
      </c>
      <c r="Y958" s="35" t="n"/>
    </row>
    <row r="959">
      <c r="A959" s="25" t="n">
        <v>40233</v>
      </c>
      <c r="B959" s="18" t="n">
        <v>65794</v>
      </c>
      <c r="C959" s="31" t="n"/>
      <c r="D959" s="32" t="n"/>
      <c r="E959" s="33" t="n">
        <v>0.9776</v>
      </c>
      <c r="F959" t="inlineStr">
        <is>
          <t>Up</t>
        </is>
      </c>
      <c r="G959" t="inlineStr">
        <is>
          <t>Up</t>
        </is>
      </c>
      <c r="H959" t="inlineStr">
        <is>
          <t>EU_JU</t>
        </is>
      </c>
      <c r="I959" t="inlineStr">
        <is>
          <t>2010-02</t>
        </is>
      </c>
      <c r="J959" t="n">
        <v>1</v>
      </c>
      <c r="K959" t="n">
        <v>1</v>
      </c>
      <c r="L959" s="34">
        <f>IF($J959=1,LN(B960/B959),"")</f>
        <v/>
      </c>
      <c r="M959" s="34">
        <f>IF($K959=1,INDEX(Mensal!$D$2:$D$245,MATCH($I959,Mensal!$A$2:$A$245,0)),"")</f>
        <v/>
      </c>
      <c r="N959" s="34">
        <f>IF($K959=1,L959-M959,"")</f>
        <v/>
      </c>
      <c r="O959" s="34" t="n">
        <v>0.00032817</v>
      </c>
      <c r="P959" s="34">
        <f>IF($J959=1,LN(1+O959),"")</f>
        <v/>
      </c>
      <c r="Q959" s="34">
        <f>IF($J959=1,LN(R960/R959),"")</f>
        <v/>
      </c>
      <c r="R959" s="32" t="n">
        <v>1.8203</v>
      </c>
      <c r="S959" s="35" t="n">
        <v>10.655</v>
      </c>
      <c r="T959" s="18" t="n"/>
      <c r="U959" s="18" t="n">
        <v>65794</v>
      </c>
      <c r="V959" s="18" t="n"/>
      <c r="W959" s="18" t="n"/>
      <c r="X959" s="35" t="n">
        <v>10.655</v>
      </c>
      <c r="Y959" s="35" t="n"/>
    </row>
    <row r="960">
      <c r="A960" s="25" t="n">
        <v>40234</v>
      </c>
      <c r="B960" s="18" t="n">
        <v>66121</v>
      </c>
      <c r="C960" s="31" t="n"/>
      <c r="D960" s="32" t="n"/>
      <c r="E960" s="33" t="n">
        <v>0.9721</v>
      </c>
      <c r="F960" t="inlineStr">
        <is>
          <t>Up</t>
        </is>
      </c>
      <c r="G960" t="inlineStr">
        <is>
          <t>Up</t>
        </is>
      </c>
      <c r="H960" t="inlineStr">
        <is>
          <t>EU_JU</t>
        </is>
      </c>
      <c r="I960" t="inlineStr">
        <is>
          <t>2010-02</t>
        </is>
      </c>
      <c r="J960" t="n">
        <v>1</v>
      </c>
      <c r="K960" t="n">
        <v>1</v>
      </c>
      <c r="L960" s="34">
        <f>IF($J960=1,LN(B961/B960),"")</f>
        <v/>
      </c>
      <c r="M960" s="34">
        <f>IF($K960=1,INDEX(Mensal!$D$2:$D$245,MATCH($I960,Mensal!$A$2:$A$245,0)),"")</f>
        <v/>
      </c>
      <c r="N960" s="34">
        <f>IF($K960=1,L960-M960,"")</f>
        <v/>
      </c>
      <c r="O960" s="34" t="n">
        <v>0.00032817</v>
      </c>
      <c r="P960" s="34">
        <f>IF($J960=1,LN(1+O960),"")</f>
        <v/>
      </c>
      <c r="Q960" s="34">
        <f>IF($J960=1,LN(R961/R960),"")</f>
        <v/>
      </c>
      <c r="R960" s="32" t="n">
        <v>1.8364</v>
      </c>
      <c r="S960" s="35" t="n">
        <v>10.685</v>
      </c>
      <c r="T960" s="18" t="n"/>
      <c r="U960" s="18" t="n">
        <v>66121</v>
      </c>
      <c r="V960" s="18" t="n"/>
      <c r="W960" s="18" t="n"/>
      <c r="X960" s="35" t="n">
        <v>10.685</v>
      </c>
      <c r="Y960" s="35" t="n"/>
    </row>
    <row r="961">
      <c r="A961" s="25" t="n">
        <v>40235</v>
      </c>
      <c r="B961" s="18" t="n">
        <v>66503</v>
      </c>
      <c r="C961" s="31" t="n"/>
      <c r="D961" s="32" t="n"/>
      <c r="E961" s="33" t="n">
        <v>0.9708</v>
      </c>
      <c r="F961" t="inlineStr">
        <is>
          <t>Up</t>
        </is>
      </c>
      <c r="G961" t="inlineStr">
        <is>
          <t>Up</t>
        </is>
      </c>
      <c r="H961" t="inlineStr">
        <is>
          <t>EU_JU</t>
        </is>
      </c>
      <c r="I961" t="inlineStr">
        <is>
          <t>2010-02</t>
        </is>
      </c>
      <c r="J961" t="n">
        <v>1</v>
      </c>
      <c r="K961" t="n">
        <v>1</v>
      </c>
      <c r="L961" s="34">
        <f>IF($J961=1,LN(B962/B961),"")</f>
        <v/>
      </c>
      <c r="M961" s="34">
        <f>IF($K961=1,INDEX(Mensal!$D$2:$D$245,MATCH($I961,Mensal!$A$2:$A$245,0)),"")</f>
        <v/>
      </c>
      <c r="N961" s="34">
        <f>IF($K961=1,L961-M961,"")</f>
        <v/>
      </c>
      <c r="O961" s="34" t="n">
        <v>0.00032817</v>
      </c>
      <c r="P961" s="34">
        <f>IF($J961=1,LN(1+O961),"")</f>
        <v/>
      </c>
      <c r="Q961" s="34">
        <f>IF($J961=1,LN(R962/R961),"")</f>
        <v/>
      </c>
      <c r="R961" s="32" t="n">
        <v>1.811</v>
      </c>
      <c r="S961" s="35" t="n">
        <v>10.749</v>
      </c>
      <c r="T961" s="18" t="n"/>
      <c r="U961" s="18" t="n">
        <v>66503</v>
      </c>
      <c r="V961" s="18" t="n"/>
      <c r="W961" s="18" t="n"/>
      <c r="X961" s="35" t="n">
        <v>10.749</v>
      </c>
      <c r="Y961" s="35" t="n"/>
    </row>
    <row r="962">
      <c r="A962" s="25" t="n">
        <v>40238</v>
      </c>
      <c r="B962" s="18" t="n">
        <v>67227</v>
      </c>
      <c r="C962" s="31" t="n"/>
      <c r="D962" s="32" t="n"/>
      <c r="E962" s="33" t="n">
        <v>0.981</v>
      </c>
      <c r="F962" t="inlineStr">
        <is>
          <t>Up</t>
        </is>
      </c>
      <c r="G962" t="inlineStr">
        <is>
          <t>Up</t>
        </is>
      </c>
      <c r="H962" t="inlineStr">
        <is>
          <t>EU_JU</t>
        </is>
      </c>
      <c r="I962" t="inlineStr">
        <is>
          <t>2010-03</t>
        </is>
      </c>
      <c r="J962" t="n">
        <v>1</v>
      </c>
      <c r="K962" t="n">
        <v>1</v>
      </c>
      <c r="L962" s="34">
        <f>IF($J962=1,LN(B963/B962),"")</f>
        <v/>
      </c>
      <c r="M962" s="34">
        <f>IF($K962=1,INDEX(Mensal!$D$2:$D$245,MATCH($I962,Mensal!$A$2:$A$245,0)),"")</f>
        <v/>
      </c>
      <c r="N962" s="34">
        <f>IF($K962=1,L962-M962,"")</f>
        <v/>
      </c>
      <c r="O962" s="34" t="n">
        <v>0.0003277999999999999</v>
      </c>
      <c r="P962" s="34">
        <f>IF($J962=1,LN(1+O962),"")</f>
        <v/>
      </c>
      <c r="Q962" s="34">
        <f>IF($J962=1,LN(R963/R962),"")</f>
        <v/>
      </c>
      <c r="R962" s="32" t="n">
        <v>1.8</v>
      </c>
      <c r="S962" s="35" t="n">
        <v>10.742</v>
      </c>
      <c r="T962" s="18" t="n"/>
      <c r="U962" s="18" t="n">
        <v>67227</v>
      </c>
      <c r="V962" s="18" t="n"/>
      <c r="W962" s="18" t="n"/>
      <c r="X962" s="35" t="n">
        <v>10.742</v>
      </c>
      <c r="Y962" s="35" t="n"/>
    </row>
    <row r="963">
      <c r="A963" s="25" t="n">
        <v>40239</v>
      </c>
      <c r="B963" s="18" t="n">
        <v>67779</v>
      </c>
      <c r="C963" s="31" t="n"/>
      <c r="D963" s="32" t="n"/>
      <c r="E963" s="33" t="n">
        <v>0.9885</v>
      </c>
      <c r="F963" t="inlineStr">
        <is>
          <t>Up</t>
        </is>
      </c>
      <c r="G963" t="inlineStr">
        <is>
          <t>Up</t>
        </is>
      </c>
      <c r="H963" t="inlineStr">
        <is>
          <t>EU_JU</t>
        </is>
      </c>
      <c r="I963" t="inlineStr">
        <is>
          <t>2010-03</t>
        </is>
      </c>
      <c r="J963" t="n">
        <v>1</v>
      </c>
      <c r="K963" t="n">
        <v>1</v>
      </c>
      <c r="L963" s="34">
        <f>IF($J963=1,LN(B964/B963),"")</f>
        <v/>
      </c>
      <c r="M963" s="34">
        <f>IF($K963=1,INDEX(Mensal!$D$2:$D$245,MATCH($I963,Mensal!$A$2:$A$245,0)),"")</f>
        <v/>
      </c>
      <c r="N963" s="34">
        <f>IF($K963=1,L963-M963,"")</f>
        <v/>
      </c>
      <c r="O963" s="34" t="n">
        <v>0.00032817</v>
      </c>
      <c r="P963" s="34">
        <f>IF($J963=1,LN(1+O963),"")</f>
        <v/>
      </c>
      <c r="Q963" s="34">
        <f>IF($J963=1,LN(R964/R963),"")</f>
        <v/>
      </c>
      <c r="R963" s="32" t="n">
        <v>1.7851</v>
      </c>
      <c r="S963" s="35" t="n">
        <v>10.735</v>
      </c>
      <c r="T963" s="18" t="n"/>
      <c r="U963" s="18" t="n">
        <v>67779</v>
      </c>
      <c r="V963" s="18" t="n"/>
      <c r="W963" s="18" t="n"/>
      <c r="X963" s="35" t="n">
        <v>10.735</v>
      </c>
      <c r="Y963" s="35" t="n"/>
    </row>
    <row r="964">
      <c r="A964" s="25" t="n">
        <v>40240</v>
      </c>
      <c r="B964" s="18" t="n">
        <v>67641</v>
      </c>
      <c r="C964" s="31" t="n"/>
      <c r="D964" s="32" t="n"/>
      <c r="E964" s="33" t="n">
        <v>0.9984</v>
      </c>
      <c r="F964" t="inlineStr">
        <is>
          <t>Up</t>
        </is>
      </c>
      <c r="G964" t="inlineStr">
        <is>
          <t>Up</t>
        </is>
      </c>
      <c r="H964" t="inlineStr">
        <is>
          <t>EU_JU</t>
        </is>
      </c>
      <c r="I964" t="inlineStr">
        <is>
          <t>2010-03</t>
        </is>
      </c>
      <c r="J964" t="n">
        <v>1</v>
      </c>
      <c r="K964" t="n">
        <v>1</v>
      </c>
      <c r="L964" s="34">
        <f>IF($J964=1,LN(B965/B964),"")</f>
        <v/>
      </c>
      <c r="M964" s="34">
        <f>IF($K964=1,INDEX(Mensal!$D$2:$D$245,MATCH($I964,Mensal!$A$2:$A$245,0)),"")</f>
        <v/>
      </c>
      <c r="N964" s="34">
        <f>IF($K964=1,L964-M964,"")</f>
        <v/>
      </c>
      <c r="O964" s="34" t="n">
        <v>0.00032817</v>
      </c>
      <c r="P964" s="34">
        <f>IF($J964=1,LN(1+O964),"")</f>
        <v/>
      </c>
      <c r="Q964" s="34">
        <f>IF($J964=1,LN(R965/R964),"")</f>
        <v/>
      </c>
      <c r="R964" s="32" t="n">
        <v>1.7846</v>
      </c>
      <c r="S964" s="35" t="n">
        <v>10.765</v>
      </c>
      <c r="T964" s="18" t="n"/>
      <c r="U964" s="18" t="n">
        <v>67641</v>
      </c>
      <c r="V964" s="18" t="n"/>
      <c r="W964" s="18" t="n"/>
      <c r="X964" s="35" t="n">
        <v>10.765</v>
      </c>
      <c r="Y964" s="35" t="n"/>
    </row>
    <row r="965">
      <c r="A965" s="25" t="n">
        <v>40241</v>
      </c>
      <c r="B965" s="18" t="n">
        <v>67814</v>
      </c>
      <c r="C965" s="31" t="n"/>
      <c r="D965" s="32" t="n"/>
      <c r="E965" s="33" t="n">
        <v>1.0183</v>
      </c>
      <c r="F965" t="inlineStr">
        <is>
          <t>Up</t>
        </is>
      </c>
      <c r="G965" t="inlineStr">
        <is>
          <t>Up</t>
        </is>
      </c>
      <c r="H965" t="inlineStr">
        <is>
          <t>EU_JU</t>
        </is>
      </c>
      <c r="I965" t="inlineStr">
        <is>
          <t>2010-03</t>
        </is>
      </c>
      <c r="J965" t="n">
        <v>1</v>
      </c>
      <c r="K965" t="n">
        <v>1</v>
      </c>
      <c r="L965" s="34">
        <f>IF($J965=1,LN(B966/B965),"")</f>
        <v/>
      </c>
      <c r="M965" s="34">
        <f>IF($K965=1,INDEX(Mensal!$D$2:$D$245,MATCH($I965,Mensal!$A$2:$A$245,0)),"")</f>
        <v/>
      </c>
      <c r="N965" s="34">
        <f>IF($K965=1,L965-M965,"")</f>
        <v/>
      </c>
      <c r="O965" s="34" t="n">
        <v>0.0003277999999999999</v>
      </c>
      <c r="P965" s="34">
        <f>IF($J965=1,LN(1+O965),"")</f>
        <v/>
      </c>
      <c r="Q965" s="34">
        <f>IF($J965=1,LN(R966/R965),"")</f>
        <v/>
      </c>
      <c r="R965" s="32" t="n">
        <v>1.7888</v>
      </c>
      <c r="S965" s="35" t="n">
        <v>10.782</v>
      </c>
      <c r="T965" s="18" t="n"/>
      <c r="U965" s="18" t="n">
        <v>67814</v>
      </c>
      <c r="V965" s="18" t="n"/>
      <c r="W965" s="18" t="n"/>
      <c r="X965" s="35" t="n">
        <v>10.782</v>
      </c>
      <c r="Y965" s="35" t="n"/>
    </row>
    <row r="966">
      <c r="A966" s="25" t="n">
        <v>40242</v>
      </c>
      <c r="B966" s="18" t="n">
        <v>68846</v>
      </c>
      <c r="C966" s="31" t="n"/>
      <c r="D966" s="32" t="n"/>
      <c r="E966" s="33" t="n">
        <v>1.0328</v>
      </c>
      <c r="F966" t="inlineStr">
        <is>
          <t>Up</t>
        </is>
      </c>
      <c r="G966" t="inlineStr">
        <is>
          <t>Up</t>
        </is>
      </c>
      <c r="H966" t="inlineStr">
        <is>
          <t>EU_JU</t>
        </is>
      </c>
      <c r="I966" t="inlineStr">
        <is>
          <t>2010-03</t>
        </is>
      </c>
      <c r="J966" t="n">
        <v>1</v>
      </c>
      <c r="K966" t="n">
        <v>1</v>
      </c>
      <c r="L966" s="34">
        <f>IF($J966=1,LN(B967/B966),"")</f>
        <v/>
      </c>
      <c r="M966" s="34">
        <f>IF($K966=1,INDEX(Mensal!$D$2:$D$245,MATCH($I966,Mensal!$A$2:$A$245,0)),"")</f>
        <v/>
      </c>
      <c r="N966" s="34">
        <f>IF($K966=1,L966-M966,"")</f>
        <v/>
      </c>
      <c r="O966" s="34" t="n">
        <v>0.0003277999999999999</v>
      </c>
      <c r="P966" s="34">
        <f>IF($J966=1,LN(1+O966),"")</f>
        <v/>
      </c>
      <c r="Q966" s="34">
        <f>IF($J966=1,LN(R967/R966),"")</f>
        <v/>
      </c>
      <c r="R966" s="32" t="n">
        <v>1.7824</v>
      </c>
      <c r="S966" s="35" t="n">
        <v>10.694</v>
      </c>
      <c r="T966" s="18" t="n"/>
      <c r="U966" s="18" t="n">
        <v>68846</v>
      </c>
      <c r="V966" s="18" t="n"/>
      <c r="W966" s="18" t="n"/>
      <c r="X966" s="35" t="n">
        <v>10.694</v>
      </c>
      <c r="Y966" s="35" t="n"/>
    </row>
    <row r="967">
      <c r="A967" s="25" t="n">
        <v>40245</v>
      </c>
      <c r="B967" s="18" t="n">
        <v>68575</v>
      </c>
      <c r="C967" s="31" t="n"/>
      <c r="D967" s="32" t="n"/>
      <c r="E967" s="33" t="n">
        <v>1.0427</v>
      </c>
      <c r="F967" t="inlineStr">
        <is>
          <t>Up</t>
        </is>
      </c>
      <c r="G967" t="inlineStr">
        <is>
          <t>Up</t>
        </is>
      </c>
      <c r="H967" t="inlineStr">
        <is>
          <t>EU_JU</t>
        </is>
      </c>
      <c r="I967" t="inlineStr">
        <is>
          <t>2010-03</t>
        </is>
      </c>
      <c r="J967" t="n">
        <v>1</v>
      </c>
      <c r="K967" t="n">
        <v>1</v>
      </c>
      <c r="L967" s="34">
        <f>IF($J967=1,LN(B968/B967),"")</f>
        <v/>
      </c>
      <c r="M967" s="34">
        <f>IF($K967=1,INDEX(Mensal!$D$2:$D$245,MATCH($I967,Mensal!$A$2:$A$245,0)),"")</f>
        <v/>
      </c>
      <c r="N967" s="34">
        <f>IF($K967=1,L967-M967,"")</f>
        <v/>
      </c>
      <c r="O967" s="34" t="n">
        <v>0.00032854</v>
      </c>
      <c r="P967" s="34">
        <f>IF($J967=1,LN(1+O967),"")</f>
        <v/>
      </c>
      <c r="Q967" s="34">
        <f>IF($J967=1,LN(R968/R967),"")</f>
        <v/>
      </c>
      <c r="R967" s="32" t="n">
        <v>1.7826</v>
      </c>
      <c r="S967" s="35" t="n">
        <v>10.723</v>
      </c>
      <c r="T967" s="18" t="n"/>
      <c r="U967" s="18" t="n">
        <v>68575</v>
      </c>
      <c r="V967" s="18" t="n"/>
      <c r="W967" s="18" t="n"/>
      <c r="X967" s="35" t="n">
        <v>10.723</v>
      </c>
      <c r="Y967" s="35" t="n"/>
    </row>
    <row r="968">
      <c r="A968" s="25" t="n">
        <v>40246</v>
      </c>
      <c r="B968" s="18" t="n">
        <v>69576</v>
      </c>
      <c r="C968" s="31" t="n"/>
      <c r="D968" s="32" t="n"/>
      <c r="E968" s="33" t="n">
        <v>1.0538</v>
      </c>
      <c r="F968" t="inlineStr">
        <is>
          <t>Up</t>
        </is>
      </c>
      <c r="G968" t="inlineStr">
        <is>
          <t>Up</t>
        </is>
      </c>
      <c r="H968" t="inlineStr">
        <is>
          <t>EU_JU</t>
        </is>
      </c>
      <c r="I968" t="inlineStr">
        <is>
          <t>2010-03</t>
        </is>
      </c>
      <c r="J968" t="n">
        <v>1</v>
      </c>
      <c r="K968" t="n">
        <v>1</v>
      </c>
      <c r="L968" s="34">
        <f>IF($J968=1,LN(B969/B968),"")</f>
        <v/>
      </c>
      <c r="M968" s="34">
        <f>IF($K968=1,INDEX(Mensal!$D$2:$D$245,MATCH($I968,Mensal!$A$2:$A$245,0)),"")</f>
        <v/>
      </c>
      <c r="N968" s="34">
        <f>IF($K968=1,L968-M968,"")</f>
        <v/>
      </c>
      <c r="O968" s="34" t="n">
        <v>0.00032854</v>
      </c>
      <c r="P968" s="34">
        <f>IF($J968=1,LN(1+O968),"")</f>
        <v/>
      </c>
      <c r="Q968" s="34">
        <f>IF($J968=1,LN(R969/R968),"")</f>
        <v/>
      </c>
      <c r="R968" s="32" t="n">
        <v>1.7899</v>
      </c>
      <c r="S968" s="35" t="n">
        <v>10.713</v>
      </c>
      <c r="T968" s="18" t="n"/>
      <c r="U968" s="18" t="n">
        <v>69576</v>
      </c>
      <c r="V968" s="18" t="n"/>
      <c r="W968" s="18" t="n"/>
      <c r="X968" s="35" t="n">
        <v>10.713</v>
      </c>
      <c r="Y968" s="35" t="n"/>
    </row>
    <row r="969">
      <c r="A969" s="25" t="n">
        <v>40247</v>
      </c>
      <c r="B969" s="18" t="n">
        <v>69979</v>
      </c>
      <c r="C969" s="31" t="n"/>
      <c r="D969" s="32" t="n"/>
      <c r="E969" s="33" t="n">
        <v>1.0701</v>
      </c>
      <c r="F969" t="inlineStr">
        <is>
          <t>Up</t>
        </is>
      </c>
      <c r="G969" t="inlineStr">
        <is>
          <t>Up</t>
        </is>
      </c>
      <c r="H969" t="inlineStr">
        <is>
          <t>EU_JU</t>
        </is>
      </c>
      <c r="I969" t="inlineStr">
        <is>
          <t>2010-03</t>
        </is>
      </c>
      <c r="J969" t="n">
        <v>1</v>
      </c>
      <c r="K969" t="n">
        <v>1</v>
      </c>
      <c r="L969" s="34">
        <f>IF($J969=1,LN(B970/B969),"")</f>
        <v/>
      </c>
      <c r="M969" s="34">
        <f>IF($K969=1,INDEX(Mensal!$D$2:$D$245,MATCH($I969,Mensal!$A$2:$A$245,0)),"")</f>
        <v/>
      </c>
      <c r="N969" s="34">
        <f>IF($K969=1,L969-M969,"")</f>
        <v/>
      </c>
      <c r="O969" s="34" t="n">
        <v>0.00032854</v>
      </c>
      <c r="P969" s="34">
        <f>IF($J969=1,LN(1+O969),"")</f>
        <v/>
      </c>
      <c r="Q969" s="34">
        <f>IF($J969=1,LN(R970/R969),"")</f>
        <v/>
      </c>
      <c r="R969" s="32" t="n">
        <v>1.7716</v>
      </c>
      <c r="S969" s="35" t="n">
        <v>10.774</v>
      </c>
      <c r="T969" s="18" t="n"/>
      <c r="U969" s="18" t="n">
        <v>69979</v>
      </c>
      <c r="V969" s="18" t="n"/>
      <c r="W969" s="18" t="n"/>
      <c r="X969" s="35" t="n">
        <v>10.774</v>
      </c>
      <c r="Y969" s="35" t="n"/>
    </row>
    <row r="970">
      <c r="A970" s="25" t="n">
        <v>40248</v>
      </c>
      <c r="B970" s="18" t="n">
        <v>69884</v>
      </c>
      <c r="C970" s="31" t="n"/>
      <c r="D970" s="32" t="n"/>
      <c r="E970" s="33" t="n">
        <v>1.0845</v>
      </c>
      <c r="F970" t="inlineStr">
        <is>
          <t>Up</t>
        </is>
      </c>
      <c r="G970" t="inlineStr">
        <is>
          <t>Up</t>
        </is>
      </c>
      <c r="H970" t="inlineStr">
        <is>
          <t>EU_JU</t>
        </is>
      </c>
      <c r="I970" t="inlineStr">
        <is>
          <t>2010-03</t>
        </is>
      </c>
      <c r="J970" t="n">
        <v>1</v>
      </c>
      <c r="K970" t="n">
        <v>1</v>
      </c>
      <c r="L970" s="34">
        <f>IF($J970=1,LN(B971/B970),"")</f>
        <v/>
      </c>
      <c r="M970" s="34">
        <f>IF($K970=1,INDEX(Mensal!$D$2:$D$245,MATCH($I970,Mensal!$A$2:$A$245,0)),"")</f>
        <v/>
      </c>
      <c r="N970" s="34">
        <f>IF($K970=1,L970-M970,"")</f>
        <v/>
      </c>
      <c r="O970" s="34" t="n">
        <v>0.00032817</v>
      </c>
      <c r="P970" s="34">
        <f>IF($J970=1,LN(1+O970),"")</f>
        <v/>
      </c>
      <c r="Q970" s="34">
        <f>IF($J970=1,LN(R971/R970),"")</f>
        <v/>
      </c>
      <c r="R970" s="32" t="n">
        <v>1.7693</v>
      </c>
      <c r="S970" s="35" t="n">
        <v>10.861</v>
      </c>
      <c r="T970" s="18" t="n"/>
      <c r="U970" s="18" t="n">
        <v>69884</v>
      </c>
      <c r="V970" s="18" t="n"/>
      <c r="W970" s="18" t="n"/>
      <c r="X970" s="35" t="n">
        <v>10.861</v>
      </c>
      <c r="Y970" s="35" t="n"/>
    </row>
    <row r="971">
      <c r="A971" s="25" t="n">
        <v>40249</v>
      </c>
      <c r="B971" s="18" t="n">
        <v>69341</v>
      </c>
      <c r="C971" s="31" t="n"/>
      <c r="D971" s="32" t="n"/>
      <c r="E971" s="33" t="n">
        <v>1.0882</v>
      </c>
      <c r="F971" t="inlineStr">
        <is>
          <t>Up</t>
        </is>
      </c>
      <c r="G971" t="inlineStr">
        <is>
          <t>Up</t>
        </is>
      </c>
      <c r="H971" t="inlineStr">
        <is>
          <t>EU_JU</t>
        </is>
      </c>
      <c r="I971" t="inlineStr">
        <is>
          <t>2010-03</t>
        </is>
      </c>
      <c r="J971" t="n">
        <v>1</v>
      </c>
      <c r="K971" t="n">
        <v>1</v>
      </c>
      <c r="L971" s="34">
        <f>IF($J971=1,LN(B972/B971),"")</f>
        <v/>
      </c>
      <c r="M971" s="34">
        <f>IF($K971=1,INDEX(Mensal!$D$2:$D$245,MATCH($I971,Mensal!$A$2:$A$245,0)),"")</f>
        <v/>
      </c>
      <c r="N971" s="34">
        <f>IF($K971=1,L971-M971,"")</f>
        <v/>
      </c>
      <c r="O971" s="34" t="n">
        <v>0.0003277999999999999</v>
      </c>
      <c r="P971" s="34">
        <f>IF($J971=1,LN(1+O971),"")</f>
        <v/>
      </c>
      <c r="Q971" s="34">
        <f>IF($J971=1,LN(R972/R971),"")</f>
        <v/>
      </c>
      <c r="R971" s="32" t="n">
        <v>1.7637</v>
      </c>
      <c r="S971" s="35" t="n">
        <v>10.853</v>
      </c>
      <c r="T971" s="18" t="n"/>
      <c r="U971" s="18" t="n">
        <v>69341</v>
      </c>
      <c r="V971" s="18" t="n"/>
      <c r="W971" s="18" t="n"/>
      <c r="X971" s="35" t="n">
        <v>10.853</v>
      </c>
      <c r="Y971" s="35" t="n"/>
    </row>
    <row r="972">
      <c r="A972" s="25" t="n">
        <v>40252</v>
      </c>
      <c r="B972" s="18" t="n">
        <v>69023</v>
      </c>
      <c r="C972" s="31" t="n"/>
      <c r="D972" s="32" t="n"/>
      <c r="E972" s="33" t="n">
        <v>1.0938</v>
      </c>
      <c r="F972" t="inlineStr">
        <is>
          <t>Up</t>
        </is>
      </c>
      <c r="G972" t="inlineStr">
        <is>
          <t>Up</t>
        </is>
      </c>
      <c r="H972" t="inlineStr">
        <is>
          <t>EU_JU</t>
        </is>
      </c>
      <c r="I972" t="inlineStr">
        <is>
          <t>2010-03</t>
        </is>
      </c>
      <c r="J972" t="n">
        <v>1</v>
      </c>
      <c r="K972" t="n">
        <v>1</v>
      </c>
      <c r="L972" s="34">
        <f>IF($J972=1,LN(B973/B972),"")</f>
        <v/>
      </c>
      <c r="M972" s="34">
        <f>IF($K972=1,INDEX(Mensal!$D$2:$D$245,MATCH($I972,Mensal!$A$2:$A$245,0)),"")</f>
        <v/>
      </c>
      <c r="N972" s="34">
        <f>IF($K972=1,L972-M972,"")</f>
        <v/>
      </c>
      <c r="O972" s="34" t="n">
        <v>0.00032817</v>
      </c>
      <c r="P972" s="34">
        <f>IF($J972=1,LN(1+O972),"")</f>
        <v/>
      </c>
      <c r="Q972" s="34">
        <f>IF($J972=1,LN(R973/R972),"")</f>
        <v/>
      </c>
      <c r="R972" s="32" t="n">
        <v>1.7644</v>
      </c>
      <c r="S972" s="35" t="n">
        <v>10.875</v>
      </c>
      <c r="T972" s="18" t="n"/>
      <c r="U972" s="18" t="n">
        <v>69023</v>
      </c>
      <c r="V972" s="18" t="n"/>
      <c r="W972" s="18" t="n"/>
      <c r="X972" s="35" t="n">
        <v>10.875</v>
      </c>
      <c r="Y972" s="35" t="n"/>
    </row>
    <row r="973">
      <c r="A973" s="25" t="n">
        <v>40253</v>
      </c>
      <c r="B973" s="18" t="n">
        <v>69942</v>
      </c>
      <c r="C973" s="31" t="n"/>
      <c r="D973" s="32" t="n"/>
      <c r="E973" s="33" t="n">
        <v>1.0987</v>
      </c>
      <c r="F973" t="inlineStr">
        <is>
          <t>Up</t>
        </is>
      </c>
      <c r="G973" t="inlineStr">
        <is>
          <t>Up</t>
        </is>
      </c>
      <c r="H973" t="inlineStr">
        <is>
          <t>EU_JU</t>
        </is>
      </c>
      <c r="I973" t="inlineStr">
        <is>
          <t>2010-03</t>
        </is>
      </c>
      <c r="J973" t="n">
        <v>1</v>
      </c>
      <c r="K973" t="n">
        <v>1</v>
      </c>
      <c r="L973" s="34">
        <f>IF($J973=1,LN(B974/B973),"")</f>
        <v/>
      </c>
      <c r="M973" s="34">
        <f>IF($K973=1,INDEX(Mensal!$D$2:$D$245,MATCH($I973,Mensal!$A$2:$A$245,0)),"")</f>
        <v/>
      </c>
      <c r="N973" s="34">
        <f>IF($K973=1,L973-M973,"")</f>
        <v/>
      </c>
      <c r="O973" s="34" t="n">
        <v>0.0003277999999999999</v>
      </c>
      <c r="P973" s="34">
        <f>IF($J973=1,LN(1+O973),"")</f>
        <v/>
      </c>
      <c r="Q973" s="34">
        <f>IF($J973=1,LN(R974/R973),"")</f>
        <v/>
      </c>
      <c r="R973" s="32" t="n">
        <v>1.7666</v>
      </c>
      <c r="S973" s="35" t="n">
        <v>10.898</v>
      </c>
      <c r="T973" s="18" t="n"/>
      <c r="U973" s="18" t="n">
        <v>69942</v>
      </c>
      <c r="V973" s="18" t="n"/>
      <c r="W973" s="18" t="n"/>
      <c r="X973" s="35" t="n">
        <v>10.898</v>
      </c>
      <c r="Y973" s="35" t="n"/>
    </row>
    <row r="974">
      <c r="A974" s="25" t="n">
        <v>40254</v>
      </c>
      <c r="B974" s="18" t="n">
        <v>69723</v>
      </c>
      <c r="C974" s="31" t="n"/>
      <c r="D974" s="32" t="n"/>
      <c r="E974" s="33" t="n">
        <v>1.1075</v>
      </c>
      <c r="F974" t="inlineStr">
        <is>
          <t>Up</t>
        </is>
      </c>
      <c r="G974" t="inlineStr">
        <is>
          <t>Up</t>
        </is>
      </c>
      <c r="H974" t="inlineStr">
        <is>
          <t>EU_JU</t>
        </is>
      </c>
      <c r="I974" t="inlineStr">
        <is>
          <t>2010-03</t>
        </is>
      </c>
      <c r="J974" t="n">
        <v>1</v>
      </c>
      <c r="K974" t="n">
        <v>1</v>
      </c>
      <c r="L974" s="34">
        <f>IF($J974=1,LN(B975/B974),"")</f>
        <v/>
      </c>
      <c r="M974" s="34">
        <f>IF($K974=1,INDEX(Mensal!$D$2:$D$245,MATCH($I974,Mensal!$A$2:$A$245,0)),"")</f>
        <v/>
      </c>
      <c r="N974" s="34">
        <f>IF($K974=1,L974-M974,"")</f>
        <v/>
      </c>
      <c r="O974" s="34" t="n">
        <v>0.00032817</v>
      </c>
      <c r="P974" s="34">
        <f>IF($J974=1,LN(1+O974),"")</f>
        <v/>
      </c>
      <c r="Q974" s="34">
        <f>IF($J974=1,LN(R975/R974),"")</f>
        <v/>
      </c>
      <c r="R974" s="32" t="n">
        <v>1.764</v>
      </c>
      <c r="S974" s="35" t="n">
        <v>10.844</v>
      </c>
      <c r="T974" s="18" t="n"/>
      <c r="U974" s="18" t="n">
        <v>69723</v>
      </c>
      <c r="V974" s="18" t="n"/>
      <c r="W974" s="18" t="n"/>
      <c r="X974" s="35" t="n">
        <v>10.844</v>
      </c>
      <c r="Y974" s="35" t="n"/>
    </row>
    <row r="975">
      <c r="A975" s="25" t="n">
        <v>40255</v>
      </c>
      <c r="B975" s="18" t="n">
        <v>69697</v>
      </c>
      <c r="C975" s="31" t="n"/>
      <c r="D975" s="32" t="n"/>
      <c r="E975" s="33" t="n">
        <v>1.1131</v>
      </c>
      <c r="F975" t="inlineStr">
        <is>
          <t>Up</t>
        </is>
      </c>
      <c r="G975" t="inlineStr">
        <is>
          <t>Up</t>
        </is>
      </c>
      <c r="H975" t="inlineStr">
        <is>
          <t>EU_JU</t>
        </is>
      </c>
      <c r="I975" t="inlineStr">
        <is>
          <t>2010-03</t>
        </is>
      </c>
      <c r="J975" t="n">
        <v>1</v>
      </c>
      <c r="K975" t="n">
        <v>1</v>
      </c>
      <c r="L975" s="34">
        <f>IF($J975=1,LN(B976/B975),"")</f>
        <v/>
      </c>
      <c r="M975" s="34">
        <f>IF($K975=1,INDEX(Mensal!$D$2:$D$245,MATCH($I975,Mensal!$A$2:$A$245,0)),"")</f>
        <v/>
      </c>
      <c r="N975" s="34">
        <f>IF($K975=1,L975-M975,"")</f>
        <v/>
      </c>
      <c r="O975" s="34" t="n">
        <v>0.0003277999999999999</v>
      </c>
      <c r="P975" s="34">
        <f>IF($J975=1,LN(1+O975),"")</f>
        <v/>
      </c>
      <c r="Q975" s="34">
        <f>IF($J975=1,LN(R976/R975),"")</f>
        <v/>
      </c>
      <c r="R975" s="32" t="n">
        <v>1.7848</v>
      </c>
      <c r="S975" s="35" t="n">
        <v>10.679</v>
      </c>
      <c r="T975" s="18" t="n"/>
      <c r="U975" s="18" t="n">
        <v>69697</v>
      </c>
      <c r="V975" s="18" t="n"/>
      <c r="W975" s="18" t="n"/>
      <c r="X975" s="35" t="n">
        <v>10.679</v>
      </c>
      <c r="Y975" s="35" t="n"/>
    </row>
    <row r="976">
      <c r="A976" s="25" t="n">
        <v>40256</v>
      </c>
      <c r="B976" s="18" t="n">
        <v>68828</v>
      </c>
      <c r="C976" s="31" t="n"/>
      <c r="D976" s="32" t="n"/>
      <c r="E976" s="33" t="n">
        <v>1.1307</v>
      </c>
      <c r="F976" t="inlineStr">
        <is>
          <t>Up</t>
        </is>
      </c>
      <c r="G976" t="inlineStr">
        <is>
          <t>Up</t>
        </is>
      </c>
      <c r="H976" t="inlineStr">
        <is>
          <t>EU_JU</t>
        </is>
      </c>
      <c r="I976" t="inlineStr">
        <is>
          <t>2010-03</t>
        </is>
      </c>
      <c r="J976" t="n">
        <v>1</v>
      </c>
      <c r="K976" t="n">
        <v>1</v>
      </c>
      <c r="L976" s="34">
        <f>IF($J976=1,LN(B977/B976),"")</f>
        <v/>
      </c>
      <c r="M976" s="34">
        <f>IF($K976=1,INDEX(Mensal!$D$2:$D$245,MATCH($I976,Mensal!$A$2:$A$245,0)),"")</f>
        <v/>
      </c>
      <c r="N976" s="34">
        <f>IF($K976=1,L976-M976,"")</f>
        <v/>
      </c>
      <c r="O976" s="34" t="n">
        <v>0.00032817</v>
      </c>
      <c r="P976" s="34">
        <f>IF($J976=1,LN(1+O976),"")</f>
        <v/>
      </c>
      <c r="Q976" s="34">
        <f>IF($J976=1,LN(R977/R976),"")</f>
        <v/>
      </c>
      <c r="R976" s="32" t="n">
        <v>1.7954</v>
      </c>
      <c r="S976" s="35" t="n">
        <v>10.715</v>
      </c>
      <c r="T976" s="18" t="n"/>
      <c r="U976" s="18" t="n">
        <v>68828</v>
      </c>
      <c r="V976" s="18" t="n"/>
      <c r="W976" s="18" t="n"/>
      <c r="X976" s="35" t="n">
        <v>10.715</v>
      </c>
      <c r="Y976" s="35" t="n"/>
    </row>
    <row r="977">
      <c r="A977" s="25" t="n">
        <v>40259</v>
      </c>
      <c r="B977" s="18" t="n">
        <v>69041</v>
      </c>
      <c r="C977" s="31" t="n"/>
      <c r="D977" s="32" t="n"/>
      <c r="E977" s="33" t="n">
        <v>1.1685</v>
      </c>
      <c r="F977" t="inlineStr">
        <is>
          <t>Up</t>
        </is>
      </c>
      <c r="G977" t="inlineStr">
        <is>
          <t>Up</t>
        </is>
      </c>
      <c r="H977" t="inlineStr">
        <is>
          <t>EU_JU</t>
        </is>
      </c>
      <c r="I977" t="inlineStr">
        <is>
          <t>2010-03</t>
        </is>
      </c>
      <c r="J977" t="n">
        <v>1</v>
      </c>
      <c r="K977" t="n">
        <v>1</v>
      </c>
      <c r="L977" s="34">
        <f>IF($J977=1,LN(B978/B977),"")</f>
        <v/>
      </c>
      <c r="M977" s="34">
        <f>IF($K977=1,INDEX(Mensal!$D$2:$D$245,MATCH($I977,Mensal!$A$2:$A$245,0)),"")</f>
        <v/>
      </c>
      <c r="N977" s="34">
        <f>IF($K977=1,L977-M977,"")</f>
        <v/>
      </c>
      <c r="O977" s="34" t="n">
        <v>0.00032817</v>
      </c>
      <c r="P977" s="34">
        <f>IF($J977=1,LN(1+O977),"")</f>
        <v/>
      </c>
      <c r="Q977" s="34">
        <f>IF($J977=1,LN(R978/R977),"")</f>
        <v/>
      </c>
      <c r="R977" s="32" t="n">
        <v>1.803</v>
      </c>
      <c r="S977" s="35" t="n">
        <v>10.719</v>
      </c>
      <c r="T977" s="18" t="n"/>
      <c r="U977" s="18" t="n">
        <v>69041</v>
      </c>
      <c r="V977" s="18" t="n"/>
      <c r="W977" s="18" t="n"/>
      <c r="X977" s="35" t="n">
        <v>10.719</v>
      </c>
      <c r="Y977" s="35" t="n"/>
    </row>
    <row r="978">
      <c r="A978" s="25" t="n">
        <v>40260</v>
      </c>
      <c r="B978" s="18" t="n">
        <v>69386</v>
      </c>
      <c r="C978" s="31" t="n"/>
      <c r="D978" s="32" t="n"/>
      <c r="E978" s="33" t="n">
        <v>1.2081</v>
      </c>
      <c r="F978" t="inlineStr">
        <is>
          <t>Up</t>
        </is>
      </c>
      <c r="G978" t="inlineStr">
        <is>
          <t>Up</t>
        </is>
      </c>
      <c r="H978" t="inlineStr">
        <is>
          <t>EU_JU</t>
        </is>
      </c>
      <c r="I978" t="inlineStr">
        <is>
          <t>2010-03</t>
        </is>
      </c>
      <c r="J978" t="n">
        <v>1</v>
      </c>
      <c r="K978" t="n">
        <v>1</v>
      </c>
      <c r="L978" s="34">
        <f>IF($J978=1,LN(B979/B978),"")</f>
        <v/>
      </c>
      <c r="M978" s="34">
        <f>IF($K978=1,INDEX(Mensal!$D$2:$D$245,MATCH($I978,Mensal!$A$2:$A$245,0)),"")</f>
        <v/>
      </c>
      <c r="N978" s="34">
        <f>IF($K978=1,L978-M978,"")</f>
        <v/>
      </c>
      <c r="O978" s="34" t="n">
        <v>0.00032817</v>
      </c>
      <c r="P978" s="34">
        <f>IF($J978=1,LN(1+O978),"")</f>
        <v/>
      </c>
      <c r="Q978" s="34">
        <f>IF($J978=1,LN(R979/R978),"")</f>
        <v/>
      </c>
      <c r="R978" s="32" t="n">
        <v>1.7813</v>
      </c>
      <c r="S978" s="35" t="n">
        <v>10.724</v>
      </c>
      <c r="T978" s="18" t="n"/>
      <c r="U978" s="18" t="n">
        <v>69386</v>
      </c>
      <c r="V978" s="18" t="n"/>
      <c r="W978" s="18" t="n"/>
      <c r="X978" s="35" t="n">
        <v>10.724</v>
      </c>
      <c r="Y978" s="35" t="n"/>
    </row>
    <row r="979">
      <c r="A979" s="25" t="n">
        <v>40261</v>
      </c>
      <c r="B979" s="18" t="n">
        <v>68913</v>
      </c>
      <c r="C979" s="31" t="n"/>
      <c r="D979" s="32" t="n"/>
      <c r="E979" s="33" t="n">
        <v>1.2506</v>
      </c>
      <c r="F979" t="inlineStr">
        <is>
          <t>Up</t>
        </is>
      </c>
      <c r="G979" t="inlineStr">
        <is>
          <t>Up</t>
        </is>
      </c>
      <c r="H979" t="inlineStr">
        <is>
          <t>EU_JU</t>
        </is>
      </c>
      <c r="I979" t="inlineStr">
        <is>
          <t>2010-03</t>
        </is>
      </c>
      <c r="J979" t="n">
        <v>1</v>
      </c>
      <c r="K979" t="n">
        <v>1</v>
      </c>
      <c r="L979" s="34">
        <f>IF($J979=1,LN(B980/B979),"")</f>
        <v/>
      </c>
      <c r="M979" s="34">
        <f>IF($K979=1,INDEX(Mensal!$D$2:$D$245,MATCH($I979,Mensal!$A$2:$A$245,0)),"")</f>
        <v/>
      </c>
      <c r="N979" s="34">
        <f>IF($K979=1,L979-M979,"")</f>
        <v/>
      </c>
      <c r="O979" s="34" t="n">
        <v>0.00032817</v>
      </c>
      <c r="P979" s="34">
        <f>IF($J979=1,LN(1+O979),"")</f>
        <v/>
      </c>
      <c r="Q979" s="34">
        <f>IF($J979=1,LN(R980/R979),"")</f>
        <v/>
      </c>
      <c r="R979" s="32" t="n">
        <v>1.7904</v>
      </c>
      <c r="S979" s="35" t="n">
        <v>10.763</v>
      </c>
      <c r="T979" s="18" t="n"/>
      <c r="U979" s="18" t="n">
        <v>68913</v>
      </c>
      <c r="V979" s="18" t="n"/>
      <c r="W979" s="18" t="n"/>
      <c r="X979" s="35" t="n">
        <v>10.763</v>
      </c>
      <c r="Y979" s="35" t="n"/>
    </row>
    <row r="980">
      <c r="A980" s="25" t="n">
        <v>40262</v>
      </c>
      <c r="B980" s="18" t="n">
        <v>68441</v>
      </c>
      <c r="C980" s="31" t="n"/>
      <c r="D980" s="32" t="n"/>
      <c r="E980" s="33" t="n">
        <v>1.296</v>
      </c>
      <c r="F980" t="inlineStr">
        <is>
          <t>Up</t>
        </is>
      </c>
      <c r="G980" t="inlineStr">
        <is>
          <t>Up</t>
        </is>
      </c>
      <c r="H980" t="inlineStr">
        <is>
          <t>EU_JU</t>
        </is>
      </c>
      <c r="I980" t="inlineStr">
        <is>
          <t>2010-03</t>
        </is>
      </c>
      <c r="J980" t="n">
        <v>1</v>
      </c>
      <c r="K980" t="n">
        <v>1</v>
      </c>
      <c r="L980" s="34">
        <f>IF($J980=1,LN(B981/B980),"")</f>
        <v/>
      </c>
      <c r="M980" s="34">
        <f>IF($K980=1,INDEX(Mensal!$D$2:$D$245,MATCH($I980,Mensal!$A$2:$A$245,0)),"")</f>
        <v/>
      </c>
      <c r="N980" s="34">
        <f>IF($K980=1,L980-M980,"")</f>
        <v/>
      </c>
      <c r="O980" s="34" t="n">
        <v>0.0003277999999999999</v>
      </c>
      <c r="P980" s="34">
        <f>IF($J980=1,LN(1+O980),"")</f>
        <v/>
      </c>
      <c r="Q980" s="34">
        <f>IF($J980=1,LN(R981/R980),"")</f>
        <v/>
      </c>
      <c r="R980" s="32" t="n">
        <v>1.8008</v>
      </c>
      <c r="S980" s="35" t="n">
        <v>10.803</v>
      </c>
      <c r="T980" s="18" t="n"/>
      <c r="U980" s="18" t="n">
        <v>68441</v>
      </c>
      <c r="V980" s="18" t="n"/>
      <c r="W980" s="18" t="n"/>
      <c r="X980" s="35" t="n">
        <v>10.803</v>
      </c>
      <c r="Y980" s="35" t="n"/>
    </row>
    <row r="981">
      <c r="A981" s="25" t="n">
        <v>40263</v>
      </c>
      <c r="B981" s="18" t="n">
        <v>68682</v>
      </c>
      <c r="C981" s="31" t="n"/>
      <c r="D981" s="32" t="n"/>
      <c r="E981" s="33" t="n">
        <v>1.3268</v>
      </c>
      <c r="F981" t="inlineStr">
        <is>
          <t>Up</t>
        </is>
      </c>
      <c r="G981" t="inlineStr">
        <is>
          <t>Up</t>
        </is>
      </c>
      <c r="H981" t="inlineStr">
        <is>
          <t>EU_JU</t>
        </is>
      </c>
      <c r="I981" t="inlineStr">
        <is>
          <t>2010-03</t>
        </is>
      </c>
      <c r="J981" t="n">
        <v>1</v>
      </c>
      <c r="K981" t="n">
        <v>1</v>
      </c>
      <c r="L981" s="34">
        <f>IF($J981=1,LN(B982/B981),"")</f>
        <v/>
      </c>
      <c r="M981" s="34">
        <f>IF($K981=1,INDEX(Mensal!$D$2:$D$245,MATCH($I981,Mensal!$A$2:$A$245,0)),"")</f>
        <v/>
      </c>
      <c r="N981" s="34">
        <f>IF($K981=1,L981-M981,"")</f>
        <v/>
      </c>
      <c r="O981" s="34" t="n">
        <v>0.00032744</v>
      </c>
      <c r="P981" s="34">
        <f>IF($J981=1,LN(1+O981),"")</f>
        <v/>
      </c>
      <c r="Q981" s="34">
        <f>IF($J981=1,LN(R982/R981),"")</f>
        <v/>
      </c>
      <c r="R981" s="32" t="n">
        <v>1.8231</v>
      </c>
      <c r="S981" s="35" t="n">
        <v>10.824</v>
      </c>
      <c r="T981" s="18" t="n"/>
      <c r="U981" s="18" t="n">
        <v>68682</v>
      </c>
      <c r="V981" s="18" t="n"/>
      <c r="W981" s="18" t="n"/>
      <c r="X981" s="35" t="n">
        <v>10.824</v>
      </c>
      <c r="Y981" s="35" t="n"/>
    </row>
    <row r="982">
      <c r="A982" s="25" t="n">
        <v>40266</v>
      </c>
      <c r="B982" s="18" t="n">
        <v>69939</v>
      </c>
      <c r="C982" s="31" t="n"/>
      <c r="D982" s="32" t="n"/>
      <c r="E982" s="33" t="n">
        <v>1.3917</v>
      </c>
      <c r="F982" t="inlineStr">
        <is>
          <t>Up</t>
        </is>
      </c>
      <c r="G982" t="inlineStr">
        <is>
          <t>Up</t>
        </is>
      </c>
      <c r="H982" t="inlineStr">
        <is>
          <t>EU_JU</t>
        </is>
      </c>
      <c r="I982" t="inlineStr">
        <is>
          <t>2010-03</t>
        </is>
      </c>
      <c r="J982" t="n">
        <v>1</v>
      </c>
      <c r="K982" t="n">
        <v>1</v>
      </c>
      <c r="L982" s="34">
        <f>IF($J982=1,LN(B983/B982),"")</f>
        <v/>
      </c>
      <c r="M982" s="34">
        <f>IF($K982=1,INDEX(Mensal!$D$2:$D$245,MATCH($I982,Mensal!$A$2:$A$245,0)),"")</f>
        <v/>
      </c>
      <c r="N982" s="34">
        <f>IF($K982=1,L982-M982,"")</f>
        <v/>
      </c>
      <c r="O982" s="34" t="n">
        <v>0.00032598</v>
      </c>
      <c r="P982" s="34">
        <f>IF($J982=1,LN(1+O982),"")</f>
        <v/>
      </c>
      <c r="Q982" s="34">
        <f>IF($J982=1,LN(R983/R982),"")</f>
        <v/>
      </c>
      <c r="R982" s="32" t="n">
        <v>1.8064</v>
      </c>
      <c r="S982" s="35" t="n">
        <v>10.813</v>
      </c>
      <c r="T982" s="18" t="n"/>
      <c r="U982" s="18" t="n">
        <v>69939</v>
      </c>
      <c r="V982" s="18" t="n"/>
      <c r="W982" s="18" t="n"/>
      <c r="X982" s="35" t="n">
        <v>10.813</v>
      </c>
      <c r="Y982" s="35" t="n"/>
    </row>
    <row r="983">
      <c r="A983" s="25" t="n">
        <v>40267</v>
      </c>
      <c r="B983" s="18" t="n">
        <v>69959</v>
      </c>
      <c r="C983" s="31" t="n"/>
      <c r="D983" s="32" t="n"/>
      <c r="E983" s="33" t="n">
        <v>1.4655</v>
      </c>
      <c r="F983" t="inlineStr">
        <is>
          <t>Up</t>
        </is>
      </c>
      <c r="G983" t="inlineStr">
        <is>
          <t>Up</t>
        </is>
      </c>
      <c r="H983" t="inlineStr">
        <is>
          <t>EU_JU</t>
        </is>
      </c>
      <c r="I983" t="inlineStr">
        <is>
          <t>2010-03</t>
        </is>
      </c>
      <c r="J983" t="n">
        <v>1</v>
      </c>
      <c r="K983" t="n">
        <v>1</v>
      </c>
      <c r="L983" s="34">
        <f>IF($J983=1,LN(B984/B983),"")</f>
        <v/>
      </c>
      <c r="M983" s="34">
        <f>IF($K983=1,INDEX(Mensal!$D$2:$D$245,MATCH($I983,Mensal!$A$2:$A$245,0)),"")</f>
        <v/>
      </c>
      <c r="N983" s="34">
        <f>IF($K983=1,L983-M983,"")</f>
        <v/>
      </c>
      <c r="O983" s="34" t="n">
        <v>0.00032707</v>
      </c>
      <c r="P983" s="34">
        <f>IF($J983=1,LN(1+O983),"")</f>
        <v/>
      </c>
      <c r="Q983" s="34">
        <f>IF($J983=1,LN(R984/R983),"")</f>
        <v/>
      </c>
      <c r="R983" s="32" t="n">
        <v>1.7952</v>
      </c>
      <c r="S983" s="35" t="n">
        <v>10.819</v>
      </c>
      <c r="T983" s="18" t="n"/>
      <c r="U983" s="18" t="n">
        <v>69959</v>
      </c>
      <c r="V983" s="18" t="n"/>
      <c r="W983" s="18" t="n"/>
      <c r="X983" s="35" t="n">
        <v>10.819</v>
      </c>
      <c r="Y983" s="35" t="n"/>
    </row>
    <row r="984">
      <c r="A984" s="25" t="n">
        <v>40268</v>
      </c>
      <c r="B984" s="18" t="n">
        <v>70371</v>
      </c>
      <c r="C984" s="31" t="n"/>
      <c r="D984" s="32" t="n"/>
      <c r="E984" s="33" t="n">
        <v>1.5417</v>
      </c>
      <c r="F984" t="inlineStr">
        <is>
          <t>Up</t>
        </is>
      </c>
      <c r="G984" t="inlineStr">
        <is>
          <t>Up</t>
        </is>
      </c>
      <c r="H984" t="inlineStr">
        <is>
          <t>EU_JU</t>
        </is>
      </c>
      <c r="I984" t="inlineStr">
        <is>
          <t>2010-03</t>
        </is>
      </c>
      <c r="J984" t="n">
        <v>1</v>
      </c>
      <c r="K984" t="n">
        <v>1</v>
      </c>
      <c r="L984" s="34">
        <f>IF($J984=1,LN(B985/B984),"")</f>
        <v/>
      </c>
      <c r="M984" s="34">
        <f>IF($K984=1,INDEX(Mensal!$D$2:$D$245,MATCH($I984,Mensal!$A$2:$A$245,0)),"")</f>
        <v/>
      </c>
      <c r="N984" s="34">
        <f>IF($K984=1,L984-M984,"")</f>
        <v/>
      </c>
      <c r="O984" s="34" t="n">
        <v>0.0003277999999999999</v>
      </c>
      <c r="P984" s="34">
        <f>IF($J984=1,LN(1+O984),"")</f>
        <v/>
      </c>
      <c r="Q984" s="34">
        <f>IF($J984=1,LN(R985/R984),"")</f>
        <v/>
      </c>
      <c r="R984" s="32" t="n">
        <v>1.781</v>
      </c>
      <c r="S984" s="35" t="n">
        <v>10.847</v>
      </c>
      <c r="T984" s="18" t="n"/>
      <c r="U984" s="18" t="n">
        <v>70371</v>
      </c>
      <c r="V984" s="18" t="n"/>
      <c r="W984" s="18" t="n"/>
      <c r="X984" s="35" t="n">
        <v>10.847</v>
      </c>
      <c r="Y984" s="35" t="n"/>
    </row>
    <row r="985">
      <c r="A985" s="25" t="n">
        <v>40269</v>
      </c>
      <c r="B985" s="18" t="n">
        <v>71136</v>
      </c>
      <c r="C985" s="31" t="n"/>
      <c r="D985" s="32" t="n"/>
      <c r="E985" s="33" t="n">
        <v>1.6179</v>
      </c>
      <c r="F985" t="inlineStr">
        <is>
          <t>Up</t>
        </is>
      </c>
      <c r="G985" t="inlineStr">
        <is>
          <t>Up</t>
        </is>
      </c>
      <c r="H985" t="inlineStr">
        <is>
          <t>EU_JU</t>
        </is>
      </c>
      <c r="I985" t="inlineStr">
        <is>
          <t>2010-04</t>
        </is>
      </c>
      <c r="J985" t="n">
        <v>1</v>
      </c>
      <c r="K985" t="n">
        <v>1</v>
      </c>
      <c r="L985" s="34">
        <f>IF($J985=1,LN(B986/B985),"")</f>
        <v/>
      </c>
      <c r="M985" s="34">
        <f>IF($K985=1,INDEX(Mensal!$D$2:$D$245,MATCH($I985,Mensal!$A$2:$A$245,0)),"")</f>
        <v/>
      </c>
      <c r="N985" s="34">
        <f>IF($K985=1,L985-M985,"")</f>
        <v/>
      </c>
      <c r="O985" s="34" t="n">
        <v>0.00032671</v>
      </c>
      <c r="P985" s="34">
        <f>IF($J985=1,LN(1+O985),"")</f>
        <v/>
      </c>
      <c r="Q985" s="34">
        <f>IF($J985=1,LN(R986/R985),"")</f>
        <v/>
      </c>
      <c r="R985" s="32" t="n">
        <v>1.7701</v>
      </c>
      <c r="S985" s="35" t="n">
        <v>10.836</v>
      </c>
      <c r="T985" s="18" t="n"/>
      <c r="U985" s="18" t="n">
        <v>71136</v>
      </c>
      <c r="V985" s="18" t="n"/>
      <c r="W985" s="18" t="n"/>
      <c r="X985" s="35" t="n">
        <v>10.836</v>
      </c>
      <c r="Y985" s="35" t="n"/>
    </row>
    <row r="986">
      <c r="A986" s="25" t="n">
        <v>40273</v>
      </c>
      <c r="B986" s="18" t="n">
        <v>71289</v>
      </c>
      <c r="C986" s="31" t="n"/>
      <c r="D986" s="32" t="n"/>
      <c r="E986" s="33" t="n">
        <v>1.695</v>
      </c>
      <c r="F986" t="inlineStr">
        <is>
          <t>Up</t>
        </is>
      </c>
      <c r="G986" t="inlineStr">
        <is>
          <t>Up</t>
        </is>
      </c>
      <c r="H986" t="inlineStr">
        <is>
          <t>EU_JU</t>
        </is>
      </c>
      <c r="I986" t="inlineStr">
        <is>
          <t>2010-04</t>
        </is>
      </c>
      <c r="J986" t="n">
        <v>1</v>
      </c>
      <c r="K986" t="n">
        <v>1</v>
      </c>
      <c r="L986" s="34">
        <f>IF($J986=1,LN(B987/B986),"")</f>
        <v/>
      </c>
      <c r="M986" s="34">
        <f>IF($K986=1,INDEX(Mensal!$D$2:$D$245,MATCH($I986,Mensal!$A$2:$A$245,0)),"")</f>
        <v/>
      </c>
      <c r="N986" s="34">
        <f>IF($K986=1,L986-M986,"")</f>
        <v/>
      </c>
      <c r="O986" s="34" t="n">
        <v>0.0003277999999999999</v>
      </c>
      <c r="P986" s="34">
        <f>IF($J986=1,LN(1+O986),"")</f>
        <v/>
      </c>
      <c r="Q986" s="34">
        <f>IF($J986=1,LN(R987/R986),"")</f>
        <v/>
      </c>
      <c r="R986" s="32" t="n">
        <v>1.7573</v>
      </c>
      <c r="S986" s="35" t="n">
        <v>10.844</v>
      </c>
      <c r="T986" s="18" t="n"/>
      <c r="U986" s="18" t="n">
        <v>71289</v>
      </c>
      <c r="V986" s="18" t="n"/>
      <c r="W986" s="18" t="n"/>
      <c r="X986" s="35" t="n">
        <v>10.844</v>
      </c>
      <c r="Y986" s="35" t="n"/>
    </row>
    <row r="987">
      <c r="A987" s="25" t="n">
        <v>40274</v>
      </c>
      <c r="B987" s="18" t="n">
        <v>71095</v>
      </c>
      <c r="C987" s="31" t="n"/>
      <c r="D987" s="32" t="n"/>
      <c r="E987" s="33" t="n">
        <v>1.7586</v>
      </c>
      <c r="F987" t="inlineStr">
        <is>
          <t>Up</t>
        </is>
      </c>
      <c r="G987" t="inlineStr">
        <is>
          <t>Up</t>
        </is>
      </c>
      <c r="H987" t="inlineStr">
        <is>
          <t>EU_JU</t>
        </is>
      </c>
      <c r="I987" t="inlineStr">
        <is>
          <t>2010-04</t>
        </is>
      </c>
      <c r="J987" t="n">
        <v>1</v>
      </c>
      <c r="K987" t="n">
        <v>1</v>
      </c>
      <c r="L987" s="34">
        <f>IF($J987=1,LN(B988/B987),"")</f>
        <v/>
      </c>
      <c r="M987" s="34">
        <f>IF($K987=1,INDEX(Mensal!$D$2:$D$245,MATCH($I987,Mensal!$A$2:$A$245,0)),"")</f>
        <v/>
      </c>
      <c r="N987" s="34">
        <f>IF($K987=1,L987-M987,"")</f>
        <v/>
      </c>
      <c r="O987" s="34" t="n">
        <v>0.00032817</v>
      </c>
      <c r="P987" s="34">
        <f>IF($J987=1,LN(1+O987),"")</f>
        <v/>
      </c>
      <c r="Q987" s="34">
        <f>IF($J987=1,LN(R988/R987),"")</f>
        <v/>
      </c>
      <c r="R987" s="32" t="n">
        <v>1.7605</v>
      </c>
      <c r="S987" s="35" t="n">
        <v>10.88</v>
      </c>
      <c r="T987" s="18" t="n"/>
      <c r="U987" s="18" t="n">
        <v>71095</v>
      </c>
      <c r="V987" s="18" t="n"/>
      <c r="W987" s="18" t="n"/>
      <c r="X987" s="35" t="n">
        <v>10.88</v>
      </c>
      <c r="Y987" s="35" t="n"/>
    </row>
    <row r="988">
      <c r="A988" s="25" t="n">
        <v>40275</v>
      </c>
      <c r="B988" s="18" t="n">
        <v>70792</v>
      </c>
      <c r="C988" s="31" t="n"/>
      <c r="D988" s="32" t="n"/>
      <c r="E988" s="33" t="n">
        <v>1.7767</v>
      </c>
      <c r="F988" t="inlineStr">
        <is>
          <t>Up</t>
        </is>
      </c>
      <c r="G988" t="inlineStr">
        <is>
          <t>Up</t>
        </is>
      </c>
      <c r="H988" t="inlineStr">
        <is>
          <t>EU_JU</t>
        </is>
      </c>
      <c r="I988" t="inlineStr">
        <is>
          <t>2010-04</t>
        </is>
      </c>
      <c r="J988" t="n">
        <v>1</v>
      </c>
      <c r="K988" t="n">
        <v>1</v>
      </c>
      <c r="L988" s="34">
        <f>IF($J988=1,LN(B989/B988),"")</f>
        <v/>
      </c>
      <c r="M988" s="34">
        <f>IF($K988=1,INDEX(Mensal!$D$2:$D$245,MATCH($I988,Mensal!$A$2:$A$245,0)),"")</f>
        <v/>
      </c>
      <c r="N988" s="34">
        <f>IF($K988=1,L988-M988,"")</f>
        <v/>
      </c>
      <c r="O988" s="34" t="n">
        <v>0.00032854</v>
      </c>
      <c r="P988" s="34">
        <f>IF($J988=1,LN(1+O988),"")</f>
        <v/>
      </c>
      <c r="Q988" s="34">
        <f>IF($J988=1,LN(R989/R988),"")</f>
        <v/>
      </c>
      <c r="R988" s="32" t="n">
        <v>1.7662</v>
      </c>
      <c r="S988" s="35" t="n">
        <v>10.907</v>
      </c>
      <c r="T988" s="18" t="n"/>
      <c r="U988" s="18" t="n">
        <v>70792</v>
      </c>
      <c r="V988" s="18" t="n"/>
      <c r="W988" s="18" t="n"/>
      <c r="X988" s="35" t="n">
        <v>10.907</v>
      </c>
      <c r="Y988" s="35" t="n"/>
    </row>
    <row r="989">
      <c r="A989" s="25" t="n">
        <v>40276</v>
      </c>
      <c r="B989" s="18" t="n">
        <v>71784</v>
      </c>
      <c r="C989" s="31" t="n"/>
      <c r="D989" s="32" t="n"/>
      <c r="E989" s="33" t="n">
        <v>1.7917</v>
      </c>
      <c r="F989" t="inlineStr">
        <is>
          <t>Up</t>
        </is>
      </c>
      <c r="G989" t="inlineStr">
        <is>
          <t>Up</t>
        </is>
      </c>
      <c r="H989" t="inlineStr">
        <is>
          <t>EU_JU</t>
        </is>
      </c>
      <c r="I989" t="inlineStr">
        <is>
          <t>2010-04</t>
        </is>
      </c>
      <c r="J989" t="n">
        <v>1</v>
      </c>
      <c r="K989" t="n">
        <v>1</v>
      </c>
      <c r="L989" s="34">
        <f>IF($J989=1,LN(B990/B989),"")</f>
        <v/>
      </c>
      <c r="M989" s="34">
        <f>IF($K989=1,INDEX(Mensal!$D$2:$D$245,MATCH($I989,Mensal!$A$2:$A$245,0)),"")</f>
        <v/>
      </c>
      <c r="N989" s="34">
        <f>IF($K989=1,L989-M989,"")</f>
        <v/>
      </c>
      <c r="O989" s="34" t="n">
        <v>0.00032817</v>
      </c>
      <c r="P989" s="34">
        <f>IF($J989=1,LN(1+O989),"")</f>
        <v/>
      </c>
      <c r="Q989" s="34">
        <f>IF($J989=1,LN(R990/R989),"")</f>
        <v/>
      </c>
      <c r="R989" s="32" t="n">
        <v>1.7806</v>
      </c>
      <c r="S989" s="35" t="n">
        <v>10.907</v>
      </c>
      <c r="T989" s="18" t="n"/>
      <c r="U989" s="18" t="n">
        <v>71784</v>
      </c>
      <c r="V989" s="18" t="n"/>
      <c r="W989" s="18" t="n"/>
      <c r="X989" s="35" t="n">
        <v>10.907</v>
      </c>
      <c r="Y989" s="35" t="n"/>
    </row>
    <row r="990">
      <c r="A990" s="25" t="n">
        <v>40277</v>
      </c>
      <c r="B990" s="18" t="n">
        <v>71417</v>
      </c>
      <c r="C990" s="31" t="n"/>
      <c r="D990" s="32" t="n"/>
      <c r="E990" s="33" t="n">
        <v>1.8032</v>
      </c>
      <c r="F990" t="inlineStr">
        <is>
          <t>Up</t>
        </is>
      </c>
      <c r="G990" t="inlineStr">
        <is>
          <t>Up</t>
        </is>
      </c>
      <c r="H990" t="inlineStr">
        <is>
          <t>EU_JU</t>
        </is>
      </c>
      <c r="I990" t="inlineStr">
        <is>
          <t>2010-04</t>
        </is>
      </c>
      <c r="J990" t="n">
        <v>1</v>
      </c>
      <c r="K990" t="n">
        <v>1</v>
      </c>
      <c r="L990" s="34">
        <f>IF($J990=1,LN(B991/B990),"")</f>
        <v/>
      </c>
      <c r="M990" s="34">
        <f>IF($K990=1,INDEX(Mensal!$D$2:$D$245,MATCH($I990,Mensal!$A$2:$A$245,0)),"")</f>
        <v/>
      </c>
      <c r="N990" s="34">
        <f>IF($K990=1,L990-M990,"")</f>
        <v/>
      </c>
      <c r="O990" s="34" t="n">
        <v>0.00032817</v>
      </c>
      <c r="P990" s="34">
        <f>IF($J990=1,LN(1+O990),"")</f>
        <v/>
      </c>
      <c r="Q990" s="34">
        <f>IF($J990=1,LN(R991/R990),"")</f>
        <v/>
      </c>
      <c r="R990" s="32" t="n">
        <v>1.773</v>
      </c>
      <c r="S990" s="35" t="n">
        <v>10.967</v>
      </c>
      <c r="T990" s="18" t="n"/>
      <c r="U990" s="18" t="n">
        <v>71417</v>
      </c>
      <c r="V990" s="18" t="n"/>
      <c r="W990" s="18" t="n"/>
      <c r="X990" s="35" t="n">
        <v>10.967</v>
      </c>
      <c r="Y990" s="35" t="n"/>
    </row>
    <row r="991">
      <c r="A991" s="25" t="n">
        <v>40280</v>
      </c>
      <c r="B991" s="18" t="n">
        <v>70614</v>
      </c>
      <c r="C991" s="31" t="n"/>
      <c r="D991" s="32" t="n"/>
      <c r="E991" s="33" t="n">
        <v>1.8159</v>
      </c>
      <c r="F991" t="inlineStr">
        <is>
          <t>Up</t>
        </is>
      </c>
      <c r="G991" t="inlineStr">
        <is>
          <t>Up</t>
        </is>
      </c>
      <c r="H991" t="inlineStr">
        <is>
          <t>EU_JU</t>
        </is>
      </c>
      <c r="I991" t="inlineStr">
        <is>
          <t>2010-04</t>
        </is>
      </c>
      <c r="J991" t="n">
        <v>1</v>
      </c>
      <c r="K991" t="n">
        <v>1</v>
      </c>
      <c r="L991" s="34">
        <f>IF($J991=1,LN(B992/B991),"")</f>
        <v/>
      </c>
      <c r="M991" s="34">
        <f>IF($K991=1,INDEX(Mensal!$D$2:$D$245,MATCH($I991,Mensal!$A$2:$A$245,0)),"")</f>
        <v/>
      </c>
      <c r="N991" s="34">
        <f>IF($K991=1,L991-M991,"")</f>
        <v/>
      </c>
      <c r="O991" s="34" t="n">
        <v>0.00032854</v>
      </c>
      <c r="P991" s="34">
        <f>IF($J991=1,LN(1+O991),"")</f>
        <v/>
      </c>
      <c r="Q991" s="34">
        <f>IF($J991=1,LN(R992/R991),"")</f>
        <v/>
      </c>
      <c r="R991" s="32" t="n">
        <v>1.7608</v>
      </c>
      <c r="S991" s="35" t="n">
        <v>10.988</v>
      </c>
      <c r="T991" s="18" t="n"/>
      <c r="U991" s="18" t="n">
        <v>70614</v>
      </c>
      <c r="V991" s="18" t="n"/>
      <c r="W991" s="18" t="n"/>
      <c r="X991" s="35" t="n">
        <v>10.988</v>
      </c>
      <c r="Y991" s="35" t="n"/>
    </row>
    <row r="992">
      <c r="A992" s="25" t="n">
        <v>40281</v>
      </c>
      <c r="B992" s="18" t="n">
        <v>70792</v>
      </c>
      <c r="C992" s="31" t="n"/>
      <c r="D992" s="32" t="n"/>
      <c r="E992" s="33" t="n">
        <v>1.8253</v>
      </c>
      <c r="F992" t="inlineStr">
        <is>
          <t>Up</t>
        </is>
      </c>
      <c r="G992" t="inlineStr">
        <is>
          <t>Up</t>
        </is>
      </c>
      <c r="H992" t="inlineStr">
        <is>
          <t>EU_JU</t>
        </is>
      </c>
      <c r="I992" t="inlineStr">
        <is>
          <t>2010-04</t>
        </is>
      </c>
      <c r="J992" t="n">
        <v>1</v>
      </c>
      <c r="K992" t="n">
        <v>1</v>
      </c>
      <c r="L992" s="34">
        <f>IF($J992=1,LN(B993/B992),"")</f>
        <v/>
      </c>
      <c r="M992" s="34">
        <f>IF($K992=1,INDEX(Mensal!$D$2:$D$245,MATCH($I992,Mensal!$A$2:$A$245,0)),"")</f>
        <v/>
      </c>
      <c r="N992" s="34">
        <f>IF($K992=1,L992-M992,"")</f>
        <v/>
      </c>
      <c r="O992" s="34" t="n">
        <v>0.00032817</v>
      </c>
      <c r="P992" s="34">
        <f>IF($J992=1,LN(1+O992),"")</f>
        <v/>
      </c>
      <c r="Q992" s="34">
        <f>IF($J992=1,LN(R993/R992),"")</f>
        <v/>
      </c>
      <c r="R992" s="32" t="n">
        <v>1.7584</v>
      </c>
      <c r="S992" s="35" t="n">
        <v>11.046</v>
      </c>
      <c r="T992" s="18" t="n"/>
      <c r="U992" s="18" t="n">
        <v>70792</v>
      </c>
      <c r="V992" s="18" t="n"/>
      <c r="W992" s="18" t="n"/>
      <c r="X992" s="35" t="n">
        <v>11.046</v>
      </c>
      <c r="Y992" s="35" t="n"/>
    </row>
    <row r="993">
      <c r="A993" s="25" t="n">
        <v>40282</v>
      </c>
      <c r="B993" s="18" t="n">
        <v>71034</v>
      </c>
      <c r="C993" s="31" t="n"/>
      <c r="D993" s="32" t="n"/>
      <c r="E993" s="33" t="n">
        <v>1.8394</v>
      </c>
      <c r="F993" t="inlineStr">
        <is>
          <t>Up</t>
        </is>
      </c>
      <c r="G993" t="inlineStr">
        <is>
          <t>Up</t>
        </is>
      </c>
      <c r="H993" t="inlineStr">
        <is>
          <t>EU_JU</t>
        </is>
      </c>
      <c r="I993" t="inlineStr">
        <is>
          <t>2010-04</t>
        </is>
      </c>
      <c r="J993" t="n">
        <v>1</v>
      </c>
      <c r="K993" t="n">
        <v>1</v>
      </c>
      <c r="L993" s="34">
        <f>IF($J993=1,LN(B994/B993),"")</f>
        <v/>
      </c>
      <c r="M993" s="34">
        <f>IF($K993=1,INDEX(Mensal!$D$2:$D$245,MATCH($I993,Mensal!$A$2:$A$245,0)),"")</f>
        <v/>
      </c>
      <c r="N993" s="34">
        <f>IF($K993=1,L993-M993,"")</f>
        <v/>
      </c>
      <c r="O993" s="34" t="n">
        <v>0.0003277999999999999</v>
      </c>
      <c r="P993" s="34">
        <f>IF($J993=1,LN(1+O993),"")</f>
        <v/>
      </c>
      <c r="Q993" s="34">
        <f>IF($J993=1,LN(R994/R993),"")</f>
        <v/>
      </c>
      <c r="R993" s="32" t="n">
        <v>1.7446</v>
      </c>
      <c r="S993" s="35" t="n">
        <v>11.131</v>
      </c>
      <c r="T993" s="18" t="n"/>
      <c r="U993" s="18" t="n">
        <v>71034</v>
      </c>
      <c r="V993" s="18" t="n"/>
      <c r="W993" s="18" t="n"/>
      <c r="X993" s="35" t="n">
        <v>11.131</v>
      </c>
      <c r="Y993" s="35" t="n"/>
    </row>
    <row r="994">
      <c r="A994" s="25" t="n">
        <v>40283</v>
      </c>
      <c r="B994" s="18" t="n">
        <v>70524</v>
      </c>
      <c r="C994" s="31" t="n"/>
      <c r="D994" s="32" t="n"/>
      <c r="E994" s="33" t="n">
        <v>1.8559</v>
      </c>
      <c r="F994" t="inlineStr">
        <is>
          <t>Up</t>
        </is>
      </c>
      <c r="G994" t="inlineStr">
        <is>
          <t>Up</t>
        </is>
      </c>
      <c r="H994" t="inlineStr">
        <is>
          <t>EU_JU</t>
        </is>
      </c>
      <c r="I994" t="inlineStr">
        <is>
          <t>2010-04</t>
        </is>
      </c>
      <c r="J994" t="n">
        <v>1</v>
      </c>
      <c r="K994" t="n">
        <v>1</v>
      </c>
      <c r="L994" s="34">
        <f>IF($J994=1,LN(B995/B994),"")</f>
        <v/>
      </c>
      <c r="M994" s="34">
        <f>IF($K994=1,INDEX(Mensal!$D$2:$D$245,MATCH($I994,Mensal!$A$2:$A$245,0)),"")</f>
        <v/>
      </c>
      <c r="N994" s="34">
        <f>IF($K994=1,L994-M994,"")</f>
        <v/>
      </c>
      <c r="O994" s="34" t="n">
        <v>0.00032817</v>
      </c>
      <c r="P994" s="34">
        <f>IF($J994=1,LN(1+O994),"")</f>
        <v/>
      </c>
      <c r="Q994" s="34">
        <f>IF($J994=1,LN(R995/R994),"")</f>
        <v/>
      </c>
      <c r="R994" s="32" t="n">
        <v>1.7483</v>
      </c>
      <c r="S994" s="35" t="n">
        <v>11.21</v>
      </c>
      <c r="T994" s="18" t="n"/>
      <c r="U994" s="18" t="n">
        <v>70524</v>
      </c>
      <c r="V994" s="18" t="n"/>
      <c r="W994" s="18" t="n"/>
      <c r="X994" s="35" t="n">
        <v>11.21</v>
      </c>
      <c r="Y994" s="35" t="n"/>
    </row>
    <row r="995">
      <c r="A995" s="25" t="n">
        <v>40284</v>
      </c>
      <c r="B995" s="18" t="n">
        <v>69421</v>
      </c>
      <c r="C995" s="31" t="n"/>
      <c r="D995" s="32" t="n"/>
      <c r="E995" s="33" t="n">
        <v>1.8769</v>
      </c>
      <c r="F995" t="inlineStr">
        <is>
          <t>Up</t>
        </is>
      </c>
      <c r="G995" t="inlineStr">
        <is>
          <t>Up</t>
        </is>
      </c>
      <c r="H995" t="inlineStr">
        <is>
          <t>EU_JU</t>
        </is>
      </c>
      <c r="I995" t="inlineStr">
        <is>
          <t>2010-04</t>
        </is>
      </c>
      <c r="J995" t="n">
        <v>1</v>
      </c>
      <c r="K995" t="n">
        <v>1</v>
      </c>
      <c r="L995" s="34">
        <f>IF($J995=1,LN(B996/B995),"")</f>
        <v/>
      </c>
      <c r="M995" s="34">
        <f>IF($K995=1,INDEX(Mensal!$D$2:$D$245,MATCH($I995,Mensal!$A$2:$A$245,0)),"")</f>
        <v/>
      </c>
      <c r="N995" s="34">
        <f>IF($K995=1,L995-M995,"")</f>
        <v/>
      </c>
      <c r="O995" s="34" t="n">
        <v>0.00032854</v>
      </c>
      <c r="P995" s="34">
        <f>IF($J995=1,LN(1+O995),"")</f>
        <v/>
      </c>
      <c r="Q995" s="34">
        <f>IF($J995=1,LN(R996/R995),"")</f>
        <v/>
      </c>
      <c r="R995" s="32" t="n">
        <v>1.7558</v>
      </c>
      <c r="S995" s="35" t="n">
        <v>11.184</v>
      </c>
      <c r="T995" s="18" t="n"/>
      <c r="U995" s="18" t="n">
        <v>69421</v>
      </c>
      <c r="V995" s="18" t="n"/>
      <c r="W995" s="18" t="n"/>
      <c r="X995" s="35" t="n">
        <v>11.184</v>
      </c>
      <c r="Y995" s="35" t="n"/>
    </row>
    <row r="996">
      <c r="A996" s="25" t="n">
        <v>40287</v>
      </c>
      <c r="B996" s="18" t="n">
        <v>69097</v>
      </c>
      <c r="C996" s="31" t="n"/>
      <c r="D996" s="32" t="n"/>
      <c r="E996" s="33" t="n">
        <v>1.8997</v>
      </c>
      <c r="F996" t="inlineStr">
        <is>
          <t>Up</t>
        </is>
      </c>
      <c r="G996" t="inlineStr">
        <is>
          <t>Up</t>
        </is>
      </c>
      <c r="H996" t="inlineStr">
        <is>
          <t>EU_JU</t>
        </is>
      </c>
      <c r="I996" t="inlineStr">
        <is>
          <t>2010-04</t>
        </is>
      </c>
      <c r="J996" t="n">
        <v>1</v>
      </c>
      <c r="K996" t="n">
        <v>1</v>
      </c>
      <c r="L996" s="34">
        <f>IF($J996=1,LN(B997/B996),"")</f>
        <v/>
      </c>
      <c r="M996" s="34">
        <f>IF($K996=1,INDEX(Mensal!$D$2:$D$245,MATCH($I996,Mensal!$A$2:$A$245,0)),"")</f>
        <v/>
      </c>
      <c r="N996" s="34">
        <f>IF($K996=1,L996-M996,"")</f>
        <v/>
      </c>
      <c r="O996" s="34" t="n">
        <v>0.00032854</v>
      </c>
      <c r="P996" s="34">
        <f>IF($J996=1,LN(1+O996),"")</f>
        <v/>
      </c>
      <c r="Q996" s="34">
        <f>IF($J996=1,LN(R997/R996),"")</f>
        <v/>
      </c>
      <c r="R996" s="32" t="n">
        <v>1.7588</v>
      </c>
      <c r="S996" s="35" t="n">
        <v>11.243</v>
      </c>
      <c r="T996" s="18" t="n"/>
      <c r="U996" s="18" t="n">
        <v>69097</v>
      </c>
      <c r="V996" s="18" t="n"/>
      <c r="W996" s="18" t="n"/>
      <c r="X996" s="35" t="n">
        <v>11.243</v>
      </c>
      <c r="Y996" s="35" t="n"/>
    </row>
    <row r="997">
      <c r="A997" s="25" t="n">
        <v>40288</v>
      </c>
      <c r="B997" s="18" t="n">
        <v>69318</v>
      </c>
      <c r="C997" s="31" t="n"/>
      <c r="D997" s="32" t="n"/>
      <c r="E997" s="33" t="n">
        <v>1.9221</v>
      </c>
      <c r="F997" t="inlineStr">
        <is>
          <t>Up</t>
        </is>
      </c>
      <c r="G997" t="inlineStr">
        <is>
          <t>Up</t>
        </is>
      </c>
      <c r="H997" t="inlineStr">
        <is>
          <t>EU_JU</t>
        </is>
      </c>
      <c r="I997" t="inlineStr">
        <is>
          <t>2010-04</t>
        </is>
      </c>
      <c r="J997" t="n">
        <v>1</v>
      </c>
      <c r="K997" t="n">
        <v>1</v>
      </c>
      <c r="L997" s="34">
        <f>IF($J997=1,LN(B998/B997),"")</f>
        <v/>
      </c>
      <c r="M997" s="34">
        <f>IF($K997=1,INDEX(Mensal!$D$2:$D$245,MATCH($I997,Mensal!$A$2:$A$245,0)),"")</f>
        <v/>
      </c>
      <c r="N997" s="34">
        <f>IF($K997=1,L997-M997,"")</f>
        <v/>
      </c>
      <c r="O997" s="34" t="n">
        <v>0.00032854</v>
      </c>
      <c r="P997" s="34">
        <f>IF($J997=1,LN(1+O997),"")</f>
        <v/>
      </c>
      <c r="Q997" s="34">
        <f>IF($J997=1,LN(R998/R997),"")</f>
        <v/>
      </c>
      <c r="R997" s="32" t="n">
        <v>1.7497</v>
      </c>
      <c r="S997" s="35" t="n">
        <v>11.226</v>
      </c>
      <c r="T997" s="18" t="n"/>
      <c r="U997" s="18" t="n">
        <v>69318</v>
      </c>
      <c r="V997" s="18" t="n"/>
      <c r="W997" s="18" t="n"/>
      <c r="X997" s="35" t="n">
        <v>11.226</v>
      </c>
      <c r="Y997" s="35" t="n"/>
    </row>
    <row r="998">
      <c r="A998" s="25" t="n">
        <v>40290</v>
      </c>
      <c r="B998" s="18" t="n">
        <v>69386</v>
      </c>
      <c r="C998" s="31" t="n"/>
      <c r="D998" s="32" t="n"/>
      <c r="E998" s="33" t="n">
        <v>1.9439</v>
      </c>
      <c r="F998" t="inlineStr">
        <is>
          <t>Up</t>
        </is>
      </c>
      <c r="G998" t="inlineStr">
        <is>
          <t>Up</t>
        </is>
      </c>
      <c r="H998" t="inlineStr">
        <is>
          <t>EU_JU</t>
        </is>
      </c>
      <c r="I998" t="inlineStr">
        <is>
          <t>2010-04</t>
        </is>
      </c>
      <c r="J998" t="n">
        <v>1</v>
      </c>
      <c r="K998" t="n">
        <v>1</v>
      </c>
      <c r="L998" s="34">
        <f>IF($J998=1,LN(B999/B998),"")</f>
        <v/>
      </c>
      <c r="M998" s="34">
        <f>IF($K998=1,INDEX(Mensal!$D$2:$D$245,MATCH($I998,Mensal!$A$2:$A$245,0)),"")</f>
        <v/>
      </c>
      <c r="N998" s="34">
        <f>IF($K998=1,L998-M998,"")</f>
        <v/>
      </c>
      <c r="O998" s="34" t="n">
        <v>0.00032817</v>
      </c>
      <c r="P998" s="34">
        <f>IF($J998=1,LN(1+O998),"")</f>
        <v/>
      </c>
      <c r="Q998" s="34">
        <f>IF($J998=1,LN(R999/R998),"")</f>
        <v/>
      </c>
      <c r="R998" s="32" t="n">
        <v>1.7626</v>
      </c>
      <c r="S998" s="35" t="n">
        <v>11.227</v>
      </c>
      <c r="T998" s="18" t="n"/>
      <c r="U998" s="18" t="n">
        <v>69386</v>
      </c>
      <c r="V998" s="18" t="n"/>
      <c r="W998" s="18" t="n"/>
      <c r="X998" s="35" t="n">
        <v>11.227</v>
      </c>
      <c r="Y998" s="35" t="n"/>
    </row>
    <row r="999">
      <c r="A999" s="25" t="n">
        <v>40291</v>
      </c>
      <c r="B999" s="18" t="n">
        <v>69509</v>
      </c>
      <c r="C999" s="31" t="n"/>
      <c r="D999" s="32" t="n"/>
      <c r="E999" s="33" t="n">
        <v>1.9662</v>
      </c>
      <c r="F999" t="inlineStr">
        <is>
          <t>Up</t>
        </is>
      </c>
      <c r="G999" t="inlineStr">
        <is>
          <t>Up</t>
        </is>
      </c>
      <c r="H999" t="inlineStr">
        <is>
          <t>EU_JU</t>
        </is>
      </c>
      <c r="I999" t="inlineStr">
        <is>
          <t>2010-04</t>
        </is>
      </c>
      <c r="J999" t="n">
        <v>1</v>
      </c>
      <c r="K999" t="n">
        <v>1</v>
      </c>
      <c r="L999" s="34">
        <f>IF($J999=1,LN(B1000/B999),"")</f>
        <v/>
      </c>
      <c r="M999" s="34">
        <f>IF($K999=1,INDEX(Mensal!$D$2:$D$245,MATCH($I999,Mensal!$A$2:$A$245,0)),"")</f>
        <v/>
      </c>
      <c r="N999" s="34">
        <f>IF($K999=1,L999-M999,"")</f>
        <v/>
      </c>
      <c r="O999" s="34" t="n">
        <v>0.00032817</v>
      </c>
      <c r="P999" s="34">
        <f>IF($J999=1,LN(1+O999),"")</f>
        <v/>
      </c>
      <c r="Q999" s="34">
        <f>IF($J999=1,LN(R1000/R999),"")</f>
        <v/>
      </c>
      <c r="R999" s="32" t="n">
        <v>1.7624</v>
      </c>
      <c r="S999" s="35" t="n">
        <v>11.279</v>
      </c>
      <c r="T999" s="18" t="n"/>
      <c r="U999" s="18" t="n">
        <v>69509</v>
      </c>
      <c r="V999" s="18" t="n"/>
      <c r="W999" s="18" t="n"/>
      <c r="X999" s="35" t="n">
        <v>11.279</v>
      </c>
      <c r="Y999" s="35" t="n"/>
    </row>
    <row r="1000">
      <c r="A1000" s="25" t="n">
        <v>40294</v>
      </c>
      <c r="B1000" s="18" t="n">
        <v>68871</v>
      </c>
      <c r="C1000" s="31" t="n"/>
      <c r="D1000" s="32" t="n"/>
      <c r="E1000" s="33" t="n">
        <v>2.0019</v>
      </c>
      <c r="F1000" t="inlineStr">
        <is>
          <t>Up</t>
        </is>
      </c>
      <c r="G1000" t="inlineStr">
        <is>
          <t>Up</t>
        </is>
      </c>
      <c r="H1000" t="inlineStr">
        <is>
          <t>EU_JU</t>
        </is>
      </c>
      <c r="I1000" t="inlineStr">
        <is>
          <t>2010-04</t>
        </is>
      </c>
      <c r="J1000" t="n">
        <v>1</v>
      </c>
      <c r="K1000" t="n">
        <v>1</v>
      </c>
      <c r="L1000" s="34">
        <f>IF($J1000=1,LN(B1001/B1000),"")</f>
        <v/>
      </c>
      <c r="M1000" s="34">
        <f>IF($K1000=1,INDEX(Mensal!$D$2:$D$245,MATCH($I1000,Mensal!$A$2:$A$245,0)),"")</f>
        <v/>
      </c>
      <c r="N1000" s="34">
        <f>IF($K1000=1,L1000-M1000,"")</f>
        <v/>
      </c>
      <c r="O1000" s="34" t="n">
        <v>0.00032817</v>
      </c>
      <c r="P1000" s="34">
        <f>IF($J1000=1,LN(1+O1000),"")</f>
        <v/>
      </c>
      <c r="Q1000" s="34">
        <f>IF($J1000=1,LN(R1001/R1000),"")</f>
        <v/>
      </c>
      <c r="R1000" s="32" t="n">
        <v>1.7446</v>
      </c>
      <c r="S1000" s="35" t="n">
        <v>11.424</v>
      </c>
      <c r="T1000" s="18" t="n"/>
      <c r="U1000" s="18" t="n">
        <v>68871</v>
      </c>
      <c r="V1000" s="18" t="n"/>
      <c r="W1000" s="18" t="n"/>
      <c r="X1000" s="35" t="n">
        <v>11.424</v>
      </c>
      <c r="Y1000" s="35" t="n"/>
    </row>
    <row r="1001">
      <c r="A1001" s="25" t="n">
        <v>40295</v>
      </c>
      <c r="B1001" s="18" t="n">
        <v>66511</v>
      </c>
      <c r="C1001" s="31" t="n"/>
      <c r="D1001" s="32" t="n"/>
      <c r="E1001" s="33" t="n">
        <v>2.0388</v>
      </c>
      <c r="F1001" t="inlineStr">
        <is>
          <t>Up</t>
        </is>
      </c>
      <c r="G1001" t="inlineStr">
        <is>
          <t>Up</t>
        </is>
      </c>
      <c r="H1001" t="inlineStr">
        <is>
          <t>EU_JU</t>
        </is>
      </c>
      <c r="I1001" t="inlineStr">
        <is>
          <t>2010-04</t>
        </is>
      </c>
      <c r="J1001" t="n">
        <v>1</v>
      </c>
      <c r="K1001" t="n">
        <v>1</v>
      </c>
      <c r="L1001" s="34">
        <f>IF($J1001=1,LN(B1002/B1001),"")</f>
        <v/>
      </c>
      <c r="M1001" s="34">
        <f>IF($K1001=1,INDEX(Mensal!$D$2:$D$245,MATCH($I1001,Mensal!$A$2:$A$245,0)),"")</f>
        <v/>
      </c>
      <c r="N1001" s="34">
        <f>IF($K1001=1,L1001-M1001,"")</f>
        <v/>
      </c>
      <c r="O1001" s="34" t="n">
        <v>0.00032854</v>
      </c>
      <c r="P1001" s="34">
        <f>IF($J1001=1,LN(1+O1001),"")</f>
        <v/>
      </c>
      <c r="Q1001" s="34">
        <f>IF($J1001=1,LN(R1002/R1001),"")</f>
        <v/>
      </c>
      <c r="R1001" s="32" t="n">
        <v>1.7592</v>
      </c>
      <c r="S1001" s="35" t="n">
        <v>11.417</v>
      </c>
      <c r="T1001" s="18" t="n"/>
      <c r="U1001" s="18" t="n">
        <v>66511</v>
      </c>
      <c r="V1001" s="18" t="n"/>
      <c r="W1001" s="18" t="n"/>
      <c r="X1001" s="35" t="n">
        <v>11.417</v>
      </c>
      <c r="Y1001" s="35" t="n"/>
    </row>
    <row r="1002">
      <c r="A1002" s="25" t="n">
        <v>40296</v>
      </c>
      <c r="B1002" s="18" t="n">
        <v>66655</v>
      </c>
      <c r="C1002" s="31" t="n"/>
      <c r="D1002" s="32" t="n"/>
      <c r="E1002" s="33" t="n">
        <v>2.0668</v>
      </c>
      <c r="F1002" t="inlineStr">
        <is>
          <t>Up</t>
        </is>
      </c>
      <c r="G1002" t="inlineStr">
        <is>
          <t>Up</t>
        </is>
      </c>
      <c r="H1002" t="inlineStr">
        <is>
          <t>EU_JU</t>
        </is>
      </c>
      <c r="I1002" t="inlineStr">
        <is>
          <t>2010-04</t>
        </is>
      </c>
      <c r="J1002" t="n">
        <v>1</v>
      </c>
      <c r="K1002" t="n">
        <v>1</v>
      </c>
      <c r="L1002" s="34">
        <f>IF($J1002=1,LN(B1003/B1002),"")</f>
        <v/>
      </c>
      <c r="M1002" s="34">
        <f>IF($K1002=1,INDEX(Mensal!$D$2:$D$245,MATCH($I1002,Mensal!$A$2:$A$245,0)),"")</f>
        <v/>
      </c>
      <c r="N1002" s="34">
        <f>IF($K1002=1,L1002-M1002,"")</f>
        <v/>
      </c>
      <c r="O1002" s="34" t="n">
        <v>0.00032817</v>
      </c>
      <c r="P1002" s="34">
        <f>IF($J1002=1,LN(1+O1002),"")</f>
        <v/>
      </c>
      <c r="Q1002" s="34">
        <f>IF($J1002=1,LN(R1003/R1002),"")</f>
        <v/>
      </c>
      <c r="R1002" s="32" t="n">
        <v>1.7558</v>
      </c>
      <c r="S1002" s="35" t="n">
        <v>11.472</v>
      </c>
      <c r="T1002" s="18" t="n"/>
      <c r="U1002" s="18" t="n">
        <v>66655</v>
      </c>
      <c r="V1002" s="18" t="n"/>
      <c r="W1002" s="18" t="n"/>
      <c r="X1002" s="35" t="n">
        <v>11.472</v>
      </c>
      <c r="Y1002" s="35" t="n"/>
    </row>
    <row r="1003">
      <c r="A1003" s="25" t="n">
        <v>40297</v>
      </c>
      <c r="B1003" s="18" t="n">
        <v>67978</v>
      </c>
      <c r="C1003" s="31" t="n"/>
      <c r="D1003" s="32" t="n"/>
      <c r="E1003" s="33" t="n">
        <v>2.0967</v>
      </c>
      <c r="F1003" t="inlineStr">
        <is>
          <t>Up</t>
        </is>
      </c>
      <c r="G1003" t="inlineStr">
        <is>
          <t>Up</t>
        </is>
      </c>
      <c r="H1003" t="inlineStr">
        <is>
          <t>EU_JU</t>
        </is>
      </c>
      <c r="I1003" t="inlineStr">
        <is>
          <t>2010-04</t>
        </is>
      </c>
      <c r="J1003" t="n">
        <v>1</v>
      </c>
      <c r="K1003" t="n">
        <v>1</v>
      </c>
      <c r="L1003" s="34">
        <f>IF($J1003=1,LN(B1004/B1003),"")</f>
        <v/>
      </c>
      <c r="M1003" s="34">
        <f>IF($K1003=1,INDEX(Mensal!$D$2:$D$245,MATCH($I1003,Mensal!$A$2:$A$245,0)),"")</f>
        <v/>
      </c>
      <c r="N1003" s="34">
        <f>IF($K1003=1,L1003-M1003,"")</f>
        <v/>
      </c>
      <c r="O1003" s="34" t="n">
        <v>0.00035585</v>
      </c>
      <c r="P1003" s="34">
        <f>IF($J1003=1,LN(1+O1003),"")</f>
        <v/>
      </c>
      <c r="Q1003" s="34">
        <f>IF($J1003=1,LN(R1004/R1003),"")</f>
        <v/>
      </c>
      <c r="R1003" s="32" t="n">
        <v>1.7321</v>
      </c>
      <c r="S1003" s="35" t="n">
        <v>11.524</v>
      </c>
      <c r="T1003" s="18" t="n"/>
      <c r="U1003" s="18" t="n">
        <v>67978</v>
      </c>
      <c r="V1003" s="18" t="n"/>
      <c r="W1003" s="18" t="n"/>
      <c r="X1003" s="35" t="n">
        <v>11.524</v>
      </c>
      <c r="Y1003" s="35" t="n"/>
    </row>
    <row r="1004">
      <c r="A1004" s="25" t="n">
        <v>40298</v>
      </c>
      <c r="B1004" s="18" t="n">
        <v>67529</v>
      </c>
      <c r="C1004" s="31" t="n"/>
      <c r="D1004" s="32" t="n"/>
      <c r="E1004" s="33" t="n">
        <v>2.1265</v>
      </c>
      <c r="F1004" t="inlineStr">
        <is>
          <t>Up</t>
        </is>
      </c>
      <c r="G1004" t="inlineStr">
        <is>
          <t>Up</t>
        </is>
      </c>
      <c r="H1004" t="inlineStr">
        <is>
          <t>EU_JU</t>
        </is>
      </c>
      <c r="I1004" t="inlineStr">
        <is>
          <t>2010-04</t>
        </is>
      </c>
      <c r="J1004" t="n">
        <v>1</v>
      </c>
      <c r="K1004" t="n">
        <v>1</v>
      </c>
      <c r="L1004" s="34">
        <f>IF($J1004=1,LN(B1005/B1004),"")</f>
        <v/>
      </c>
      <c r="M1004" s="34">
        <f>IF($K1004=1,INDEX(Mensal!$D$2:$D$245,MATCH($I1004,Mensal!$A$2:$A$245,0)),"")</f>
        <v/>
      </c>
      <c r="N1004" s="34">
        <f>IF($K1004=1,L1004-M1004,"")</f>
        <v/>
      </c>
      <c r="O1004" s="34" t="n">
        <v>0.00035585</v>
      </c>
      <c r="P1004" s="34">
        <f>IF($J1004=1,LN(1+O1004),"")</f>
        <v/>
      </c>
      <c r="Q1004" s="34">
        <f>IF($J1004=1,LN(R1005/R1004),"")</f>
        <v/>
      </c>
      <c r="R1004" s="32" t="n">
        <v>1.7306</v>
      </c>
      <c r="S1004" s="35" t="n">
        <v>11.664</v>
      </c>
      <c r="T1004" s="18" t="n"/>
      <c r="U1004" s="18" t="n">
        <v>67529</v>
      </c>
      <c r="V1004" s="18" t="n"/>
      <c r="W1004" s="18" t="n"/>
      <c r="X1004" s="35" t="n">
        <v>11.664</v>
      </c>
      <c r="Y1004" s="35" t="n"/>
    </row>
    <row r="1005">
      <c r="A1005" s="25" t="n">
        <v>40301</v>
      </c>
      <c r="B1005" s="18" t="n">
        <v>67119</v>
      </c>
      <c r="C1005" s="31" t="n"/>
      <c r="D1005" s="32" t="n"/>
      <c r="E1005" s="33" t="n">
        <v>2.1215</v>
      </c>
      <c r="F1005" t="inlineStr">
        <is>
          <t>Up</t>
        </is>
      </c>
      <c r="G1005" t="inlineStr">
        <is>
          <t>Up</t>
        </is>
      </c>
      <c r="H1005" t="inlineStr">
        <is>
          <t>EU_JU</t>
        </is>
      </c>
      <c r="I1005" t="inlineStr">
        <is>
          <t>2010-05</t>
        </is>
      </c>
      <c r="J1005" t="n">
        <v>1</v>
      </c>
      <c r="K1005" t="n">
        <v>1</v>
      </c>
      <c r="L1005" s="34">
        <f>IF($J1005=1,LN(B1006/B1005),"")</f>
        <v/>
      </c>
      <c r="M1005" s="34">
        <f>IF($K1005=1,INDEX(Mensal!$D$2:$D$245,MATCH($I1005,Mensal!$A$2:$A$245,0)),"")</f>
        <v/>
      </c>
      <c r="N1005" s="34">
        <f>IF($K1005=1,L1005-M1005,"")</f>
        <v/>
      </c>
      <c r="O1005" s="34" t="n">
        <v>0.00035694</v>
      </c>
      <c r="P1005" s="34">
        <f>IF($J1005=1,LN(1+O1005),"")</f>
        <v/>
      </c>
      <c r="Q1005" s="34">
        <f>IF($J1005=1,LN(R1006/R1005),"")</f>
        <v/>
      </c>
      <c r="R1005" s="32" t="n">
        <v>1.7315</v>
      </c>
      <c r="S1005" s="35" t="n">
        <v>11.793</v>
      </c>
      <c r="T1005" s="18" t="n"/>
      <c r="U1005" s="18" t="n">
        <v>67119</v>
      </c>
      <c r="V1005" s="18" t="n"/>
      <c r="W1005" s="18" t="n"/>
      <c r="X1005" s="35" t="n">
        <v>11.793</v>
      </c>
      <c r="Y1005" s="35" t="n"/>
    </row>
    <row r="1006">
      <c r="A1006" s="25" t="n">
        <v>40302</v>
      </c>
      <c r="B1006" s="18" t="n">
        <v>64869</v>
      </c>
      <c r="C1006" s="31" t="n"/>
      <c r="D1006" s="32" t="n"/>
      <c r="E1006" s="33" t="n">
        <v>2.1164</v>
      </c>
      <c r="F1006" t="inlineStr">
        <is>
          <t>Up</t>
        </is>
      </c>
      <c r="G1006" t="inlineStr">
        <is>
          <t>Up</t>
        </is>
      </c>
      <c r="H1006" t="inlineStr">
        <is>
          <t>EU_JU</t>
        </is>
      </c>
      <c r="I1006" t="inlineStr">
        <is>
          <t>2010-05</t>
        </is>
      </c>
      <c r="J1006" t="n">
        <v>1</v>
      </c>
      <c r="K1006" t="n">
        <v>1</v>
      </c>
      <c r="L1006" s="34">
        <f>IF($J1006=1,LN(B1007/B1006),"")</f>
        <v/>
      </c>
      <c r="M1006" s="34">
        <f>IF($K1006=1,INDEX(Mensal!$D$2:$D$245,MATCH($I1006,Mensal!$A$2:$A$245,0)),"")</f>
        <v/>
      </c>
      <c r="N1006" s="34">
        <f>IF($K1006=1,L1006-M1006,"")</f>
        <v/>
      </c>
      <c r="O1006" s="34" t="n">
        <v>0.00035694</v>
      </c>
      <c r="P1006" s="34">
        <f>IF($J1006=1,LN(1+O1006),"")</f>
        <v/>
      </c>
      <c r="Q1006" s="34">
        <f>IF($J1006=1,LN(R1007/R1006),"")</f>
        <v/>
      </c>
      <c r="R1006" s="32" t="n">
        <v>1.7557</v>
      </c>
      <c r="S1006" s="35" t="n">
        <v>11.843</v>
      </c>
      <c r="T1006" s="18" t="n"/>
      <c r="U1006" s="18" t="n">
        <v>64869</v>
      </c>
      <c r="V1006" s="18" t="n"/>
      <c r="W1006" s="18" t="n"/>
      <c r="X1006" s="35" t="n">
        <v>11.843</v>
      </c>
      <c r="Y1006" s="35" t="n"/>
    </row>
    <row r="1007">
      <c r="A1007" s="25" t="n">
        <v>40303</v>
      </c>
      <c r="B1007" s="18" t="n">
        <v>64914</v>
      </c>
      <c r="C1007" s="31" t="n"/>
      <c r="D1007" s="32" t="n"/>
      <c r="E1007" s="33" t="n">
        <v>2.1136</v>
      </c>
      <c r="F1007" t="inlineStr">
        <is>
          <t>Up</t>
        </is>
      </c>
      <c r="G1007" t="inlineStr">
        <is>
          <t>Up</t>
        </is>
      </c>
      <c r="H1007" t="inlineStr">
        <is>
          <t>EU_JU</t>
        </is>
      </c>
      <c r="I1007" t="inlineStr">
        <is>
          <t>2010-05</t>
        </is>
      </c>
      <c r="J1007" t="n">
        <v>1</v>
      </c>
      <c r="K1007" t="n">
        <v>1</v>
      </c>
      <c r="L1007" s="34">
        <f>IF($J1007=1,LN(B1008/B1007),"")</f>
        <v/>
      </c>
      <c r="M1007" s="34">
        <f>IF($K1007=1,INDEX(Mensal!$D$2:$D$245,MATCH($I1007,Mensal!$A$2:$A$245,0)),"")</f>
        <v/>
      </c>
      <c r="N1007" s="34">
        <f>IF($K1007=1,L1007-M1007,"")</f>
        <v/>
      </c>
      <c r="O1007" s="34" t="n">
        <v>0.00035694</v>
      </c>
      <c r="P1007" s="34">
        <f>IF($J1007=1,LN(1+O1007),"")</f>
        <v/>
      </c>
      <c r="Q1007" s="34">
        <f>IF($J1007=1,LN(R1008/R1007),"")</f>
        <v/>
      </c>
      <c r="R1007" s="32" t="n">
        <v>1.7862</v>
      </c>
      <c r="S1007" s="35" t="n">
        <v>11.776</v>
      </c>
      <c r="T1007" s="18" t="n"/>
      <c r="U1007" s="18" t="n">
        <v>64914</v>
      </c>
      <c r="V1007" s="18" t="n"/>
      <c r="W1007" s="18" t="n"/>
      <c r="X1007" s="35" t="n">
        <v>11.776</v>
      </c>
      <c r="Y1007" s="35" t="n"/>
    </row>
    <row r="1008">
      <c r="A1008" s="25" t="n">
        <v>40305</v>
      </c>
      <c r="B1008" s="18" t="n">
        <v>62870</v>
      </c>
      <c r="C1008" s="31" t="n"/>
      <c r="D1008" s="32" t="n"/>
      <c r="E1008" s="33" t="n">
        <v>2.1274</v>
      </c>
      <c r="F1008" t="inlineStr">
        <is>
          <t>Up</t>
        </is>
      </c>
      <c r="G1008" t="inlineStr">
        <is>
          <t>Up</t>
        </is>
      </c>
      <c r="H1008" t="inlineStr">
        <is>
          <t>EU_JU</t>
        </is>
      </c>
      <c r="I1008" t="inlineStr">
        <is>
          <t>2010-05</t>
        </is>
      </c>
      <c r="J1008" t="n">
        <v>1</v>
      </c>
      <c r="K1008" t="n">
        <v>1</v>
      </c>
      <c r="L1008" s="34">
        <f>IF($J1008=1,LN(B1009/B1008),"")</f>
        <v/>
      </c>
      <c r="M1008" s="34">
        <f>IF($K1008=1,INDEX(Mensal!$D$2:$D$245,MATCH($I1008,Mensal!$A$2:$A$245,0)),"")</f>
        <v/>
      </c>
      <c r="N1008" s="34">
        <f>IF($K1008=1,L1008-M1008,"")</f>
        <v/>
      </c>
      <c r="O1008" s="34" t="n">
        <v>0.00035621</v>
      </c>
      <c r="P1008" s="34">
        <f>IF($J1008=1,LN(1+O1008),"")</f>
        <v/>
      </c>
      <c r="Q1008" s="34">
        <f>IF($J1008=1,LN(R1009/R1008),"")</f>
        <v/>
      </c>
      <c r="R1008" s="32" t="n">
        <v>1.8343</v>
      </c>
      <c r="S1008" s="35" t="n">
        <v>11.627</v>
      </c>
      <c r="T1008" s="18" t="n"/>
      <c r="U1008" s="18" t="n">
        <v>62870</v>
      </c>
      <c r="V1008" s="18" t="n"/>
      <c r="W1008" s="18" t="n"/>
      <c r="X1008" s="35" t="n">
        <v>11.627</v>
      </c>
      <c r="Y1008" s="35" t="n"/>
    </row>
    <row r="1009">
      <c r="A1009" s="25" t="n">
        <v>40308</v>
      </c>
      <c r="B1009" s="18" t="n">
        <v>65452</v>
      </c>
      <c r="C1009" s="31" t="n"/>
      <c r="D1009" s="32" t="n"/>
      <c r="E1009" s="33" t="n">
        <v>2.1339</v>
      </c>
      <c r="F1009" t="inlineStr">
        <is>
          <t>Up</t>
        </is>
      </c>
      <c r="G1009" t="inlineStr">
        <is>
          <t>Up</t>
        </is>
      </c>
      <c r="H1009" t="inlineStr">
        <is>
          <t>EU_JU</t>
        </is>
      </c>
      <c r="I1009" t="inlineStr">
        <is>
          <t>2010-05</t>
        </is>
      </c>
      <c r="J1009" t="n">
        <v>1</v>
      </c>
      <c r="K1009" t="n">
        <v>1</v>
      </c>
      <c r="L1009" s="34">
        <f>IF($J1009=1,LN(B1010/B1009),"")</f>
        <v/>
      </c>
      <c r="M1009" s="34">
        <f>IF($K1009=1,INDEX(Mensal!$D$2:$D$245,MATCH($I1009,Mensal!$A$2:$A$245,0)),"")</f>
        <v/>
      </c>
      <c r="N1009" s="34">
        <f>IF($K1009=1,L1009-M1009,"")</f>
        <v/>
      </c>
      <c r="O1009" s="34" t="n">
        <v>0.00035585</v>
      </c>
      <c r="P1009" s="34">
        <f>IF($J1009=1,LN(1+O1009),"")</f>
        <v/>
      </c>
      <c r="Q1009" s="34">
        <f>IF($J1009=1,LN(R1010/R1009),"")</f>
        <v/>
      </c>
      <c r="R1009" s="32" t="n">
        <v>1.7833</v>
      </c>
      <c r="S1009" s="35" t="n">
        <v>11.696</v>
      </c>
      <c r="T1009" s="18" t="n"/>
      <c r="U1009" s="18" t="n">
        <v>65452</v>
      </c>
      <c r="V1009" s="18" t="n"/>
      <c r="W1009" s="18" t="n"/>
      <c r="X1009" s="35" t="n">
        <v>11.696</v>
      </c>
      <c r="Y1009" s="35" t="n"/>
    </row>
    <row r="1010">
      <c r="A1010" s="25" t="n">
        <v>40309</v>
      </c>
      <c r="B1010" s="18" t="n">
        <v>64424</v>
      </c>
      <c r="C1010" s="31" t="n"/>
      <c r="D1010" s="32" t="n"/>
      <c r="E1010" s="33" t="n">
        <v>2.1384</v>
      </c>
      <c r="F1010" t="inlineStr">
        <is>
          <t>Up</t>
        </is>
      </c>
      <c r="G1010" t="inlineStr">
        <is>
          <t>Up</t>
        </is>
      </c>
      <c r="H1010" t="inlineStr">
        <is>
          <t>EU_JU</t>
        </is>
      </c>
      <c r="I1010" t="inlineStr">
        <is>
          <t>2010-05</t>
        </is>
      </c>
      <c r="J1010" t="n">
        <v>1</v>
      </c>
      <c r="K1010" t="n">
        <v>1</v>
      </c>
      <c r="L1010" s="34">
        <f>IF($J1010=1,LN(B1011/B1010),"")</f>
        <v/>
      </c>
      <c r="M1010" s="34">
        <f>IF($K1010=1,INDEX(Mensal!$D$2:$D$245,MATCH($I1010,Mensal!$A$2:$A$245,0)),"")</f>
        <v/>
      </c>
      <c r="N1010" s="34">
        <f>IF($K1010=1,L1010-M1010,"")</f>
        <v/>
      </c>
      <c r="O1010" s="34" t="n">
        <v>0.00035549</v>
      </c>
      <c r="P1010" s="34">
        <f>IF($J1010=1,LN(1+O1010),"")</f>
        <v/>
      </c>
      <c r="Q1010" s="34">
        <f>IF($J1010=1,LN(R1011/R1010),"")</f>
        <v/>
      </c>
      <c r="R1010" s="32" t="n">
        <v>1.7843</v>
      </c>
      <c r="S1010" s="35" t="n">
        <v>11.73</v>
      </c>
      <c r="T1010" s="18" t="n"/>
      <c r="U1010" s="18" t="n">
        <v>64424</v>
      </c>
      <c r="V1010" s="18" t="n"/>
      <c r="W1010" s="18" t="n"/>
      <c r="X1010" s="35" t="n">
        <v>11.73</v>
      </c>
      <c r="Y1010" s="35" t="n"/>
    </row>
    <row r="1011">
      <c r="A1011" s="25" t="n">
        <v>40310</v>
      </c>
      <c r="B1011" s="18" t="n">
        <v>65223</v>
      </c>
      <c r="C1011" s="31" t="n"/>
      <c r="D1011" s="32" t="n"/>
      <c r="E1011" s="33" t="n">
        <v>2.1445</v>
      </c>
      <c r="F1011" t="inlineStr">
        <is>
          <t>Up</t>
        </is>
      </c>
      <c r="G1011" t="inlineStr">
        <is>
          <t>Up</t>
        </is>
      </c>
      <c r="H1011" t="inlineStr">
        <is>
          <t>EU_JU</t>
        </is>
      </c>
      <c r="I1011" t="inlineStr">
        <is>
          <t>2010-05</t>
        </is>
      </c>
      <c r="J1011" t="n">
        <v>1</v>
      </c>
      <c r="K1011" t="n">
        <v>1</v>
      </c>
      <c r="L1011" s="34">
        <f>IF($J1011=1,LN(B1012/B1011),"")</f>
        <v/>
      </c>
      <c r="M1011" s="34">
        <f>IF($K1011=1,INDEX(Mensal!$D$2:$D$245,MATCH($I1011,Mensal!$A$2:$A$245,0)),"")</f>
        <v/>
      </c>
      <c r="N1011" s="34">
        <f>IF($K1011=1,L1011-M1011,"")</f>
        <v/>
      </c>
      <c r="O1011" s="34" t="n">
        <v>0.00035585</v>
      </c>
      <c r="P1011" s="34">
        <f>IF($J1011=1,LN(1+O1011),"")</f>
        <v/>
      </c>
      <c r="Q1011" s="34">
        <f>IF($J1011=1,LN(R1012/R1011),"")</f>
        <v/>
      </c>
      <c r="R1011" s="32" t="n">
        <v>1.7723</v>
      </c>
      <c r="S1011" s="35" t="n">
        <v>11.702</v>
      </c>
      <c r="T1011" s="18" t="n"/>
      <c r="U1011" s="18" t="n">
        <v>65223</v>
      </c>
      <c r="V1011" s="18" t="n"/>
      <c r="W1011" s="18" t="n"/>
      <c r="X1011" s="35" t="n">
        <v>11.702</v>
      </c>
      <c r="Y1011" s="35" t="n"/>
    </row>
    <row r="1012">
      <c r="A1012" s="25" t="n">
        <v>40311</v>
      </c>
      <c r="B1012" s="18" t="n">
        <v>64788</v>
      </c>
      <c r="C1012" s="31" t="n"/>
      <c r="D1012" s="32" t="n"/>
      <c r="E1012" s="33" t="n">
        <v>2.1542</v>
      </c>
      <c r="F1012" t="inlineStr">
        <is>
          <t>Up</t>
        </is>
      </c>
      <c r="G1012" t="inlineStr">
        <is>
          <t>Up</t>
        </is>
      </c>
      <c r="H1012" t="inlineStr">
        <is>
          <t>EU_JU</t>
        </is>
      </c>
      <c r="I1012" t="inlineStr">
        <is>
          <t>2010-05</t>
        </is>
      </c>
      <c r="J1012" t="n">
        <v>1</v>
      </c>
      <c r="K1012" t="n">
        <v>1</v>
      </c>
      <c r="L1012" s="34">
        <f>IF($J1012=1,LN(B1013/B1012),"")</f>
        <v/>
      </c>
      <c r="M1012" s="34">
        <f>IF($K1012=1,INDEX(Mensal!$D$2:$D$245,MATCH($I1012,Mensal!$A$2:$A$245,0)),"")</f>
        <v/>
      </c>
      <c r="N1012" s="34">
        <f>IF($K1012=1,L1012-M1012,"")</f>
        <v/>
      </c>
      <c r="O1012" s="34" t="n">
        <v>0.00035585</v>
      </c>
      <c r="P1012" s="34">
        <f>IF($J1012=1,LN(1+O1012),"")</f>
        <v/>
      </c>
      <c r="Q1012" s="34">
        <f>IF($J1012=1,LN(R1013/R1012),"")</f>
        <v/>
      </c>
      <c r="R1012" s="32" t="n">
        <v>1.7737</v>
      </c>
      <c r="S1012" s="35" t="n">
        <v>11.704</v>
      </c>
      <c r="T1012" s="18" t="n"/>
      <c r="U1012" s="18" t="n">
        <v>64788</v>
      </c>
      <c r="V1012" s="18" t="n"/>
      <c r="W1012" s="18" t="n"/>
      <c r="X1012" s="35" t="n">
        <v>11.704</v>
      </c>
      <c r="Y1012" s="35" t="n"/>
    </row>
    <row r="1013">
      <c r="A1013" s="25" t="n">
        <v>40312</v>
      </c>
      <c r="B1013" s="18" t="n">
        <v>63412</v>
      </c>
      <c r="C1013" s="31" t="n"/>
      <c r="D1013" s="32" t="n"/>
      <c r="E1013" s="33" t="n">
        <v>2.1617</v>
      </c>
      <c r="F1013" t="inlineStr">
        <is>
          <t>Up</t>
        </is>
      </c>
      <c r="G1013" t="inlineStr">
        <is>
          <t>Up</t>
        </is>
      </c>
      <c r="H1013" t="inlineStr">
        <is>
          <t>EU_JU</t>
        </is>
      </c>
      <c r="I1013" t="inlineStr">
        <is>
          <t>2010-05</t>
        </is>
      </c>
      <c r="J1013" t="n">
        <v>1</v>
      </c>
      <c r="K1013" t="n">
        <v>1</v>
      </c>
      <c r="L1013" s="34">
        <f>IF($J1013=1,LN(B1014/B1013),"")</f>
        <v/>
      </c>
      <c r="M1013" s="34">
        <f>IF($K1013=1,INDEX(Mensal!$D$2:$D$245,MATCH($I1013,Mensal!$A$2:$A$245,0)),"")</f>
        <v/>
      </c>
      <c r="N1013" s="34">
        <f>IF($K1013=1,L1013-M1013,"")</f>
        <v/>
      </c>
      <c r="O1013" s="34" t="n">
        <v>0.00035585</v>
      </c>
      <c r="P1013" s="34">
        <f>IF($J1013=1,LN(1+O1013),"")</f>
        <v/>
      </c>
      <c r="Q1013" s="34">
        <f>IF($J1013=1,LN(R1014/R1013),"")</f>
        <v/>
      </c>
      <c r="R1013" s="32" t="n">
        <v>1.7967</v>
      </c>
      <c r="S1013" s="35" t="n">
        <v>11.687</v>
      </c>
      <c r="T1013" s="18" t="n"/>
      <c r="U1013" s="18" t="n">
        <v>63412</v>
      </c>
      <c r="V1013" s="18" t="n"/>
      <c r="W1013" s="18" t="n"/>
      <c r="X1013" s="35" t="n">
        <v>11.687</v>
      </c>
      <c r="Y1013" s="35" t="n"/>
    </row>
    <row r="1014">
      <c r="A1014" s="25" t="n">
        <v>40315</v>
      </c>
      <c r="B1014" s="18" t="n">
        <v>62866</v>
      </c>
      <c r="C1014" s="31" t="n"/>
      <c r="D1014" s="32" t="n"/>
      <c r="E1014" s="33" t="n">
        <v>2.1681</v>
      </c>
      <c r="F1014" t="inlineStr">
        <is>
          <t>Up</t>
        </is>
      </c>
      <c r="G1014" t="inlineStr">
        <is>
          <t>Up</t>
        </is>
      </c>
      <c r="H1014" t="inlineStr">
        <is>
          <t>EU_JU</t>
        </is>
      </c>
      <c r="I1014" t="inlineStr">
        <is>
          <t>2010-05</t>
        </is>
      </c>
      <c r="J1014" t="n">
        <v>1</v>
      </c>
      <c r="K1014" t="n">
        <v>1</v>
      </c>
      <c r="L1014" s="34">
        <f>IF($J1014=1,LN(B1015/B1014),"")</f>
        <v/>
      </c>
      <c r="M1014" s="34">
        <f>IF($K1014=1,INDEX(Mensal!$D$2:$D$245,MATCH($I1014,Mensal!$A$2:$A$245,0)),"")</f>
        <v/>
      </c>
      <c r="N1014" s="34">
        <f>IF($K1014=1,L1014-M1014,"")</f>
        <v/>
      </c>
      <c r="O1014" s="34" t="n">
        <v>0.00035585</v>
      </c>
      <c r="P1014" s="34">
        <f>IF($J1014=1,LN(1+O1014),"")</f>
        <v/>
      </c>
      <c r="Q1014" s="34">
        <f>IF($J1014=1,LN(R1015/R1014),"")</f>
        <v/>
      </c>
      <c r="R1014" s="32" t="n">
        <v>1.8045</v>
      </c>
      <c r="S1014" s="35" t="n">
        <v>11.654</v>
      </c>
      <c r="T1014" s="18" t="n"/>
      <c r="U1014" s="18" t="n">
        <v>62866</v>
      </c>
      <c r="V1014" s="18" t="n"/>
      <c r="W1014" s="18" t="n"/>
      <c r="X1014" s="35" t="n">
        <v>11.654</v>
      </c>
      <c r="Y1014" s="35" t="n"/>
    </row>
    <row r="1015">
      <c r="A1015" s="25" t="n">
        <v>40316</v>
      </c>
      <c r="B1015" s="18" t="n">
        <v>60841</v>
      </c>
      <c r="C1015" s="31" t="n"/>
      <c r="D1015" s="32" t="n"/>
      <c r="E1015" s="33" t="n">
        <v>2.1713</v>
      </c>
      <c r="F1015" t="inlineStr">
        <is>
          <t>Up</t>
        </is>
      </c>
      <c r="G1015" t="inlineStr">
        <is>
          <t>Up</t>
        </is>
      </c>
      <c r="H1015" t="inlineStr">
        <is>
          <t>EU_JU</t>
        </is>
      </c>
      <c r="I1015" t="inlineStr">
        <is>
          <t>2010-05</t>
        </is>
      </c>
      <c r="J1015" t="n">
        <v>1</v>
      </c>
      <c r="K1015" t="n">
        <v>1</v>
      </c>
      <c r="L1015" s="34">
        <f>IF($J1015=1,LN(B1016/B1015),"")</f>
        <v/>
      </c>
      <c r="M1015" s="34">
        <f>IF($K1015=1,INDEX(Mensal!$D$2:$D$245,MATCH($I1015,Mensal!$A$2:$A$245,0)),"")</f>
        <v/>
      </c>
      <c r="N1015" s="34">
        <f>IF($K1015=1,L1015-M1015,"")</f>
        <v/>
      </c>
      <c r="O1015" s="34" t="n">
        <v>0.00035549</v>
      </c>
      <c r="P1015" s="34">
        <f>IF($J1015=1,LN(1+O1015),"")</f>
        <v/>
      </c>
      <c r="Q1015" s="34">
        <f>IF($J1015=1,LN(R1016/R1015),"")</f>
        <v/>
      </c>
      <c r="R1015" s="32" t="n">
        <v>1.7921</v>
      </c>
      <c r="S1015" s="35" t="n">
        <v>11.614</v>
      </c>
      <c r="T1015" s="18" t="n"/>
      <c r="U1015" s="18" t="n">
        <v>60841</v>
      </c>
      <c r="V1015" s="18" t="n"/>
      <c r="W1015" s="18" t="n"/>
      <c r="X1015" s="35" t="n">
        <v>11.614</v>
      </c>
      <c r="Y1015" s="35" t="n"/>
    </row>
    <row r="1016">
      <c r="A1016" s="25" t="n">
        <v>40317</v>
      </c>
      <c r="B1016" s="18" t="n">
        <v>59689</v>
      </c>
      <c r="C1016" s="31" t="n"/>
      <c r="D1016" s="32" t="n"/>
      <c r="E1016" s="33" t="n">
        <v>2.1739</v>
      </c>
      <c r="F1016" t="inlineStr">
        <is>
          <t>Up</t>
        </is>
      </c>
      <c r="G1016" t="inlineStr">
        <is>
          <t>Up</t>
        </is>
      </c>
      <c r="H1016" t="inlineStr">
        <is>
          <t>EU_JU</t>
        </is>
      </c>
      <c r="I1016" t="inlineStr">
        <is>
          <t>2010-05</t>
        </is>
      </c>
      <c r="J1016" t="n">
        <v>1</v>
      </c>
      <c r="K1016" t="n">
        <v>1</v>
      </c>
      <c r="L1016" s="34">
        <f>IF($J1016=1,LN(B1017/B1016),"")</f>
        <v/>
      </c>
      <c r="M1016" s="34">
        <f>IF($K1016=1,INDEX(Mensal!$D$2:$D$245,MATCH($I1016,Mensal!$A$2:$A$245,0)),"")</f>
        <v/>
      </c>
      <c r="N1016" s="34">
        <f>IF($K1016=1,L1016-M1016,"")</f>
        <v/>
      </c>
      <c r="O1016" s="34" t="n">
        <v>0.00035549</v>
      </c>
      <c r="P1016" s="34">
        <f>IF($J1016=1,LN(1+O1016),"")</f>
        <v/>
      </c>
      <c r="Q1016" s="34">
        <f>IF($J1016=1,LN(R1017/R1016),"")</f>
        <v/>
      </c>
      <c r="R1016" s="32" t="n">
        <v>1.8366</v>
      </c>
      <c r="S1016" s="35" t="n">
        <v>11.56</v>
      </c>
      <c r="T1016" s="18" t="n"/>
      <c r="U1016" s="18" t="n">
        <v>59689</v>
      </c>
      <c r="V1016" s="18" t="n"/>
      <c r="W1016" s="18" t="n"/>
      <c r="X1016" s="35" t="n">
        <v>11.56</v>
      </c>
      <c r="Y1016" s="35" t="n"/>
    </row>
    <row r="1017">
      <c r="A1017" s="25" t="n">
        <v>40318</v>
      </c>
      <c r="B1017" s="18" t="n">
        <v>58192</v>
      </c>
      <c r="C1017" s="31" t="n"/>
      <c r="D1017" s="32" t="n"/>
      <c r="E1017" s="33" t="n">
        <v>2.1747</v>
      </c>
      <c r="F1017" t="inlineStr">
        <is>
          <t>Up</t>
        </is>
      </c>
      <c r="G1017" t="inlineStr">
        <is>
          <t>Up</t>
        </is>
      </c>
      <c r="H1017" t="inlineStr">
        <is>
          <t>EU_JU</t>
        </is>
      </c>
      <c r="I1017" t="inlineStr">
        <is>
          <t>2010-05</t>
        </is>
      </c>
      <c r="J1017" t="n">
        <v>1</v>
      </c>
      <c r="K1017" t="n">
        <v>1</v>
      </c>
      <c r="L1017" s="34">
        <f>IF($J1017=1,LN(B1018/B1017),"")</f>
        <v/>
      </c>
      <c r="M1017" s="34">
        <f>IF($K1017=1,INDEX(Mensal!$D$2:$D$245,MATCH($I1017,Mensal!$A$2:$A$245,0)),"")</f>
        <v/>
      </c>
      <c r="N1017" s="34">
        <f>IF($K1017=1,L1017-M1017,"")</f>
        <v/>
      </c>
      <c r="O1017" s="34" t="n">
        <v>0.00035549</v>
      </c>
      <c r="P1017" s="34">
        <f>IF($J1017=1,LN(1+O1017),"")</f>
        <v/>
      </c>
      <c r="Q1017" s="34">
        <f>IF($J1017=1,LN(R1018/R1017),"")</f>
        <v/>
      </c>
      <c r="R1017" s="32" t="n">
        <v>1.8677</v>
      </c>
      <c r="S1017" s="35" t="n">
        <v>11.544</v>
      </c>
      <c r="T1017" s="18" t="n"/>
      <c r="U1017" s="18" t="n">
        <v>58192</v>
      </c>
      <c r="V1017" s="18" t="n"/>
      <c r="W1017" s="18" t="n"/>
      <c r="X1017" s="35" t="n">
        <v>11.544</v>
      </c>
      <c r="Y1017" s="35" t="n"/>
    </row>
    <row r="1018">
      <c r="A1018" s="25" t="n">
        <v>40319</v>
      </c>
      <c r="B1018" s="18" t="n">
        <v>60259</v>
      </c>
      <c r="C1018" s="31" t="n"/>
      <c r="D1018" s="32" t="n"/>
      <c r="E1018" s="33" t="n">
        <v>2.1702</v>
      </c>
      <c r="F1018" t="inlineStr">
        <is>
          <t>Up</t>
        </is>
      </c>
      <c r="G1018" t="inlineStr">
        <is>
          <t>Up</t>
        </is>
      </c>
      <c r="H1018" t="inlineStr">
        <is>
          <t>EU_JU</t>
        </is>
      </c>
      <c r="I1018" t="inlineStr">
        <is>
          <t>2010-05</t>
        </is>
      </c>
      <c r="J1018" t="n">
        <v>1</v>
      </c>
      <c r="K1018" t="n">
        <v>1</v>
      </c>
      <c r="L1018" s="34">
        <f>IF($J1018=1,LN(B1019/B1018),"")</f>
        <v/>
      </c>
      <c r="M1018" s="34">
        <f>IF($K1018=1,INDEX(Mensal!$D$2:$D$245,MATCH($I1018,Mensal!$A$2:$A$245,0)),"")</f>
        <v/>
      </c>
      <c r="N1018" s="34">
        <f>IF($K1018=1,L1018-M1018,"")</f>
        <v/>
      </c>
      <c r="O1018" s="34" t="n">
        <v>0.00035549</v>
      </c>
      <c r="P1018" s="34">
        <f>IF($J1018=1,LN(1+O1018),"")</f>
        <v/>
      </c>
      <c r="Q1018" s="34">
        <f>IF($J1018=1,LN(R1019/R1018),"")</f>
        <v/>
      </c>
      <c r="R1018" s="32" t="n">
        <v>1.871</v>
      </c>
      <c r="S1018" s="35" t="n">
        <v>11.474</v>
      </c>
      <c r="T1018" s="18" t="n"/>
      <c r="U1018" s="18" t="n">
        <v>60259</v>
      </c>
      <c r="V1018" s="18" t="n"/>
      <c r="W1018" s="18" t="n"/>
      <c r="X1018" s="35" t="n">
        <v>11.474</v>
      </c>
      <c r="Y1018" s="35" t="n"/>
    </row>
    <row r="1019">
      <c r="A1019" s="25" t="n">
        <v>40322</v>
      </c>
      <c r="B1019" s="18" t="n">
        <v>59915</v>
      </c>
      <c r="C1019" s="31" t="n"/>
      <c r="D1019" s="32" t="n"/>
      <c r="E1019" s="33" t="n">
        <v>2.1618</v>
      </c>
      <c r="F1019" t="inlineStr">
        <is>
          <t>Up</t>
        </is>
      </c>
      <c r="G1019" t="inlineStr">
        <is>
          <t>Up</t>
        </is>
      </c>
      <c r="H1019" t="inlineStr">
        <is>
          <t>EU_JU</t>
        </is>
      </c>
      <c r="I1019" t="inlineStr">
        <is>
          <t>2010-05</t>
        </is>
      </c>
      <c r="J1019" t="n">
        <v>1</v>
      </c>
      <c r="K1019" t="n">
        <v>1</v>
      </c>
      <c r="L1019" s="34">
        <f>IF($J1019=1,LN(B1020/B1019),"")</f>
        <v/>
      </c>
      <c r="M1019" s="34">
        <f>IF($K1019=1,INDEX(Mensal!$D$2:$D$245,MATCH($I1019,Mensal!$A$2:$A$245,0)),"")</f>
        <v/>
      </c>
      <c r="N1019" s="34">
        <f>IF($K1019=1,L1019-M1019,"")</f>
        <v/>
      </c>
      <c r="O1019" s="34" t="n">
        <v>0.00035585</v>
      </c>
      <c r="P1019" s="34">
        <f>IF($J1019=1,LN(1+O1019),"")</f>
        <v/>
      </c>
      <c r="Q1019" s="34">
        <f>IF($J1019=1,LN(R1020/R1019),"")</f>
        <v/>
      </c>
      <c r="R1019" s="32" t="n">
        <v>1.8522</v>
      </c>
      <c r="S1019" s="35" t="n">
        <v>11.493</v>
      </c>
      <c r="T1019" s="18" t="n"/>
      <c r="U1019" s="18" t="n">
        <v>59915</v>
      </c>
      <c r="V1019" s="18" t="n"/>
      <c r="W1019" s="18" t="n"/>
      <c r="X1019" s="35" t="n">
        <v>11.493</v>
      </c>
      <c r="Y1019" s="35" t="n"/>
    </row>
    <row r="1020">
      <c r="A1020" s="25" t="n">
        <v>40323</v>
      </c>
      <c r="B1020" s="18" t="n">
        <v>59184</v>
      </c>
      <c r="C1020" s="31" t="n"/>
      <c r="D1020" s="32" t="n"/>
      <c r="E1020" s="33" t="n">
        <v>2.1488</v>
      </c>
      <c r="F1020" t="inlineStr">
        <is>
          <t>Up</t>
        </is>
      </c>
      <c r="G1020" t="inlineStr">
        <is>
          <t>Up</t>
        </is>
      </c>
      <c r="H1020" t="inlineStr">
        <is>
          <t>EU_JU</t>
        </is>
      </c>
      <c r="I1020" t="inlineStr">
        <is>
          <t>2010-05</t>
        </is>
      </c>
      <c r="J1020" t="n">
        <v>1</v>
      </c>
      <c r="K1020" t="n">
        <v>1</v>
      </c>
      <c r="L1020" s="34">
        <f>IF($J1020=1,LN(B1021/B1020),"")</f>
        <v/>
      </c>
      <c r="M1020" s="34">
        <f>IF($K1020=1,INDEX(Mensal!$D$2:$D$245,MATCH($I1020,Mensal!$A$2:$A$245,0)),"")</f>
        <v/>
      </c>
      <c r="N1020" s="34">
        <f>IF($K1020=1,L1020-M1020,"")</f>
        <v/>
      </c>
      <c r="O1020" s="34" t="n">
        <v>0.00035585</v>
      </c>
      <c r="P1020" s="34">
        <f>IF($J1020=1,LN(1+O1020),"")</f>
        <v/>
      </c>
      <c r="Q1020" s="34">
        <f>IF($J1020=1,LN(R1021/R1020),"")</f>
        <v/>
      </c>
      <c r="R1020" s="32" t="n">
        <v>1.8811</v>
      </c>
      <c r="S1020" s="35" t="n">
        <v>11.426</v>
      </c>
      <c r="T1020" s="18" t="n"/>
      <c r="U1020" s="18" t="n">
        <v>59184</v>
      </c>
      <c r="V1020" s="18" t="n"/>
      <c r="W1020" s="18" t="n"/>
      <c r="X1020" s="35" t="n">
        <v>11.426</v>
      </c>
      <c r="Y1020" s="35" t="n"/>
    </row>
    <row r="1021">
      <c r="A1021" s="25" t="n">
        <v>40324</v>
      </c>
      <c r="B1021" s="18" t="n">
        <v>60190</v>
      </c>
      <c r="C1021" s="31" t="n"/>
      <c r="D1021" s="32" t="n"/>
      <c r="E1021" s="33" t="n">
        <v>2.1385</v>
      </c>
      <c r="F1021" t="inlineStr">
        <is>
          <t>Up</t>
        </is>
      </c>
      <c r="G1021" t="inlineStr">
        <is>
          <t>Up</t>
        </is>
      </c>
      <c r="H1021" t="inlineStr">
        <is>
          <t>EU_JU</t>
        </is>
      </c>
      <c r="I1021" t="inlineStr">
        <is>
          <t>2010-05</t>
        </is>
      </c>
      <c r="J1021" t="n">
        <v>1</v>
      </c>
      <c r="K1021" t="n">
        <v>1</v>
      </c>
      <c r="L1021" s="34">
        <f>IF($J1021=1,LN(B1022/B1021),"")</f>
        <v/>
      </c>
      <c r="M1021" s="34">
        <f>IF($K1021=1,INDEX(Mensal!$D$2:$D$245,MATCH($I1021,Mensal!$A$2:$A$245,0)),"")</f>
        <v/>
      </c>
      <c r="N1021" s="34">
        <f>IF($K1021=1,L1021-M1021,"")</f>
        <v/>
      </c>
      <c r="O1021" s="34" t="n">
        <v>0.00035585</v>
      </c>
      <c r="P1021" s="34">
        <f>IF($J1021=1,LN(1+O1021),"")</f>
        <v/>
      </c>
      <c r="Q1021" s="34">
        <f>IF($J1021=1,LN(R1022/R1021),"")</f>
        <v/>
      </c>
      <c r="R1021" s="32" t="n">
        <v>1.8461</v>
      </c>
      <c r="S1021" s="35" t="n">
        <v>11.473</v>
      </c>
      <c r="T1021" s="18" t="n"/>
      <c r="U1021" s="18" t="n">
        <v>60190</v>
      </c>
      <c r="V1021" s="18" t="n"/>
      <c r="W1021" s="18" t="n"/>
      <c r="X1021" s="35" t="n">
        <v>11.473</v>
      </c>
      <c r="Y1021" s="35" t="n"/>
    </row>
    <row r="1022">
      <c r="A1022" s="25" t="n">
        <v>40325</v>
      </c>
      <c r="B1022" s="18" t="n">
        <v>62091</v>
      </c>
      <c r="C1022" s="31" t="n"/>
      <c r="D1022" s="32" t="n"/>
      <c r="E1022" s="33" t="n">
        <v>2.1232</v>
      </c>
      <c r="F1022" t="inlineStr">
        <is>
          <t>Up</t>
        </is>
      </c>
      <c r="G1022" t="inlineStr">
        <is>
          <t>Up</t>
        </is>
      </c>
      <c r="H1022" t="inlineStr">
        <is>
          <t>EU_JU</t>
        </is>
      </c>
      <c r="I1022" t="inlineStr">
        <is>
          <t>2010-05</t>
        </is>
      </c>
      <c r="J1022" t="n">
        <v>1</v>
      </c>
      <c r="K1022" t="n">
        <v>1</v>
      </c>
      <c r="L1022" s="34">
        <f>IF($J1022=1,LN(B1023/B1022),"")</f>
        <v/>
      </c>
      <c r="M1022" s="34">
        <f>IF($K1022=1,INDEX(Mensal!$D$2:$D$245,MATCH($I1022,Mensal!$A$2:$A$245,0)),"")</f>
        <v/>
      </c>
      <c r="N1022" s="34">
        <f>IF($K1022=1,L1022-M1022,"")</f>
        <v/>
      </c>
      <c r="O1022" s="34" t="n">
        <v>0.00035549</v>
      </c>
      <c r="P1022" s="34">
        <f>IF($J1022=1,LN(1+O1022),"")</f>
        <v/>
      </c>
      <c r="Q1022" s="34">
        <f>IF($J1022=1,LN(R1023/R1022),"")</f>
        <v/>
      </c>
      <c r="R1022" s="32" t="n">
        <v>1.8328</v>
      </c>
      <c r="S1022" s="35" t="n">
        <v>11.565</v>
      </c>
      <c r="T1022" s="18" t="n"/>
      <c r="U1022" s="18" t="n">
        <v>62091</v>
      </c>
      <c r="V1022" s="18" t="n"/>
      <c r="W1022" s="18" t="n"/>
      <c r="X1022" s="35" t="n">
        <v>11.565</v>
      </c>
      <c r="Y1022" s="35" t="n"/>
    </row>
    <row r="1023">
      <c r="A1023" s="25" t="n">
        <v>40326</v>
      </c>
      <c r="B1023" s="18" t="n">
        <v>61946</v>
      </c>
      <c r="C1023" s="31" t="n"/>
      <c r="D1023" s="32" t="n"/>
      <c r="E1023" s="33" t="n">
        <v>2.1069</v>
      </c>
      <c r="F1023" t="inlineStr">
        <is>
          <t>Up</t>
        </is>
      </c>
      <c r="G1023" t="inlineStr">
        <is>
          <t>Up</t>
        </is>
      </c>
      <c r="H1023" t="inlineStr">
        <is>
          <t>EU_JU</t>
        </is>
      </c>
      <c r="I1023" t="inlineStr">
        <is>
          <t>2010-05</t>
        </is>
      </c>
      <c r="J1023" t="n">
        <v>1</v>
      </c>
      <c r="K1023" t="n">
        <v>1</v>
      </c>
      <c r="L1023" s="34">
        <f>IF($J1023=1,LN(B1024/B1023),"")</f>
        <v/>
      </c>
      <c r="M1023" s="34">
        <f>IF($K1023=1,INDEX(Mensal!$D$2:$D$245,MATCH($I1023,Mensal!$A$2:$A$245,0)),"")</f>
        <v/>
      </c>
      <c r="N1023" s="34">
        <f>IF($K1023=1,L1023-M1023,"")</f>
        <v/>
      </c>
      <c r="O1023" s="34" t="n">
        <v>0.00035585</v>
      </c>
      <c r="P1023" s="34">
        <f>IF($J1023=1,LN(1+O1023),"")</f>
        <v/>
      </c>
      <c r="Q1023" s="34">
        <f>IF($J1023=1,LN(R1024/R1023),"")</f>
        <v/>
      </c>
      <c r="R1023" s="32" t="n">
        <v>1.8229</v>
      </c>
      <c r="S1023" s="35" t="n">
        <v>11.569</v>
      </c>
      <c r="T1023" s="18" t="n"/>
      <c r="U1023" s="18" t="n">
        <v>61946</v>
      </c>
      <c r="V1023" s="18" t="n"/>
      <c r="W1023" s="18" t="n"/>
      <c r="X1023" s="35" t="n">
        <v>11.569</v>
      </c>
      <c r="Y1023" s="35" t="n"/>
    </row>
    <row r="1024">
      <c r="A1024" s="25" t="n">
        <v>40329</v>
      </c>
      <c r="B1024" s="18" t="n">
        <v>63043</v>
      </c>
      <c r="C1024" s="31" t="n"/>
      <c r="D1024" s="32" t="n"/>
      <c r="E1024" s="33" t="n">
        <v>2.0893</v>
      </c>
      <c r="F1024" t="inlineStr">
        <is>
          <t>Up</t>
        </is>
      </c>
      <c r="G1024" t="inlineStr">
        <is>
          <t>Up</t>
        </is>
      </c>
      <c r="H1024" t="inlineStr">
        <is>
          <t>EU_JU</t>
        </is>
      </c>
      <c r="I1024" t="inlineStr">
        <is>
          <t>2010-05</t>
        </is>
      </c>
      <c r="J1024" t="n">
        <v>1</v>
      </c>
      <c r="K1024" t="n">
        <v>1</v>
      </c>
      <c r="L1024" s="34">
        <f>IF($J1024=1,LN(B1025/B1024),"")</f>
        <v/>
      </c>
      <c r="M1024" s="34">
        <f>IF($K1024=1,INDEX(Mensal!$D$2:$D$245,MATCH($I1024,Mensal!$A$2:$A$245,0)),"")</f>
        <v/>
      </c>
      <c r="N1024" s="34">
        <f>IF($K1024=1,L1024-M1024,"")</f>
        <v/>
      </c>
      <c r="O1024" s="34" t="n">
        <v>0.00035549</v>
      </c>
      <c r="P1024" s="34">
        <f>IF($J1024=1,LN(1+O1024),"")</f>
        <v/>
      </c>
      <c r="Q1024" s="34">
        <f>IF($J1024=1,LN(R1025/R1024),"")</f>
        <v/>
      </c>
      <c r="R1024" s="32" t="n">
        <v>1.8167</v>
      </c>
      <c r="S1024" s="35" t="n">
        <v>11.543</v>
      </c>
      <c r="T1024" s="18" t="n"/>
      <c r="U1024" s="18" t="n">
        <v>63043</v>
      </c>
      <c r="V1024" s="18" t="n"/>
      <c r="W1024" s="18" t="n"/>
      <c r="X1024" s="35" t="n">
        <v>11.543</v>
      </c>
      <c r="Y1024" s="35" t="n"/>
    </row>
    <row r="1025">
      <c r="A1025" s="25" t="n">
        <v>40330</v>
      </c>
      <c r="B1025" s="18" t="n">
        <v>61840</v>
      </c>
      <c r="C1025" s="31" t="n"/>
      <c r="D1025" s="32" t="n"/>
      <c r="E1025" s="33" t="n">
        <v>2.068</v>
      </c>
      <c r="F1025" t="inlineStr">
        <is>
          <t>Up</t>
        </is>
      </c>
      <c r="G1025" t="inlineStr">
        <is>
          <t>Up</t>
        </is>
      </c>
      <c r="H1025" t="inlineStr">
        <is>
          <t>EU_JU</t>
        </is>
      </c>
      <c r="I1025" t="inlineStr">
        <is>
          <t>2010-06</t>
        </is>
      </c>
      <c r="J1025" t="n">
        <v>1</v>
      </c>
      <c r="K1025" t="n">
        <v>1</v>
      </c>
      <c r="L1025" s="34">
        <f>IF($J1025=1,LN(B1026/B1025),"")</f>
        <v/>
      </c>
      <c r="M1025" s="34">
        <f>IF($K1025=1,INDEX(Mensal!$D$2:$D$245,MATCH($I1025,Mensal!$A$2:$A$245,0)),"")</f>
        <v/>
      </c>
      <c r="N1025" s="34">
        <f>IF($K1025=1,L1025-M1025,"")</f>
        <v/>
      </c>
      <c r="O1025" s="34" t="n">
        <v>0.00035657</v>
      </c>
      <c r="P1025" s="34">
        <f>IF($J1025=1,LN(1+O1025),"")</f>
        <v/>
      </c>
      <c r="Q1025" s="34">
        <f>IF($J1025=1,LN(R1026/R1025),"")</f>
        <v/>
      </c>
      <c r="R1025" s="32" t="n">
        <v>1.8255</v>
      </c>
      <c r="S1025" s="35" t="n">
        <v>11.535</v>
      </c>
      <c r="T1025" s="18" t="n"/>
      <c r="U1025" s="18" t="n">
        <v>61840</v>
      </c>
      <c r="V1025" s="18" t="n"/>
      <c r="W1025" s="18" t="n"/>
      <c r="X1025" s="35" t="n">
        <v>11.535</v>
      </c>
      <c r="Y1025" s="35" t="n"/>
    </row>
    <row r="1026">
      <c r="A1026" s="25" t="n">
        <v>40331</v>
      </c>
      <c r="B1026" s="18" t="n">
        <v>62942</v>
      </c>
      <c r="C1026" s="31" t="n"/>
      <c r="D1026" s="32" t="n"/>
      <c r="E1026" s="33" t="n">
        <v>2.0414</v>
      </c>
      <c r="F1026" t="inlineStr">
        <is>
          <t>Up</t>
        </is>
      </c>
      <c r="G1026" t="inlineStr">
        <is>
          <t>Up</t>
        </is>
      </c>
      <c r="H1026" t="inlineStr">
        <is>
          <t>EU_JU</t>
        </is>
      </c>
      <c r="I1026" t="inlineStr">
        <is>
          <t>2010-06</t>
        </is>
      </c>
      <c r="J1026" t="n">
        <v>1</v>
      </c>
      <c r="K1026" t="n">
        <v>1</v>
      </c>
      <c r="L1026" s="34">
        <f>IF($J1026=1,LN(B1027/B1026),"")</f>
        <v/>
      </c>
      <c r="M1026" s="34">
        <f>IF($K1026=1,INDEX(Mensal!$D$2:$D$245,MATCH($I1026,Mensal!$A$2:$A$245,0)),"")</f>
        <v/>
      </c>
      <c r="N1026" s="34">
        <f>IF($K1026=1,L1026-M1026,"")</f>
        <v/>
      </c>
      <c r="O1026" s="34" t="n">
        <v>0.00035657</v>
      </c>
      <c r="P1026" s="34">
        <f>IF($J1026=1,LN(1+O1026),"")</f>
        <v/>
      </c>
      <c r="Q1026" s="34">
        <f>IF($J1026=1,LN(R1027/R1026),"")</f>
        <v/>
      </c>
      <c r="R1026" s="32" t="n">
        <v>1.8362</v>
      </c>
      <c r="S1026" s="35" t="n">
        <v>11.539</v>
      </c>
      <c r="T1026" s="18" t="n"/>
      <c r="U1026" s="18" t="n">
        <v>62942</v>
      </c>
      <c r="V1026" s="18" t="n"/>
      <c r="W1026" s="18" t="n"/>
      <c r="X1026" s="35" t="n">
        <v>11.539</v>
      </c>
      <c r="Y1026" s="35" t="n"/>
    </row>
    <row r="1027">
      <c r="A1027" s="25" t="n">
        <v>40333</v>
      </c>
      <c r="B1027" s="18" t="n">
        <v>61675</v>
      </c>
      <c r="C1027" s="31" t="n"/>
      <c r="D1027" s="32" t="n"/>
      <c r="E1027" s="33" t="n">
        <v>2.0232</v>
      </c>
      <c r="F1027" t="inlineStr">
        <is>
          <t>Up</t>
        </is>
      </c>
      <c r="G1027" t="inlineStr">
        <is>
          <t>Up</t>
        </is>
      </c>
      <c r="H1027" t="inlineStr">
        <is>
          <t>EU_JU</t>
        </is>
      </c>
      <c r="I1027" t="inlineStr">
        <is>
          <t>2010-06</t>
        </is>
      </c>
      <c r="J1027" t="n">
        <v>1</v>
      </c>
      <c r="K1027" t="n">
        <v>1</v>
      </c>
      <c r="L1027" s="34">
        <f>IF($J1027=1,LN(B1028/B1027),"")</f>
        <v/>
      </c>
      <c r="M1027" s="34">
        <f>IF($K1027=1,INDEX(Mensal!$D$2:$D$245,MATCH($I1027,Mensal!$A$2:$A$245,0)),"")</f>
        <v/>
      </c>
      <c r="N1027" s="34">
        <f>IF($K1027=1,L1027-M1027,"")</f>
        <v/>
      </c>
      <c r="O1027" s="34" t="n">
        <v>0.00035621</v>
      </c>
      <c r="P1027" s="34">
        <f>IF($J1027=1,LN(1+O1027),"")</f>
        <v/>
      </c>
      <c r="Q1027" s="34">
        <f>IF($J1027=1,LN(R1028/R1027),"")</f>
        <v/>
      </c>
      <c r="R1027" s="32" t="n">
        <v>1.8401</v>
      </c>
      <c r="S1027" s="35" t="n">
        <v>11.446</v>
      </c>
      <c r="T1027" s="18" t="n"/>
      <c r="U1027" s="18" t="n">
        <v>61675</v>
      </c>
      <c r="V1027" s="18" t="n"/>
      <c r="W1027" s="18" t="n"/>
      <c r="X1027" s="35" t="n">
        <v>11.446</v>
      </c>
      <c r="Y1027" s="35" t="n"/>
    </row>
    <row r="1028">
      <c r="A1028" s="25" t="n">
        <v>40336</v>
      </c>
      <c r="B1028" s="18" t="n">
        <v>61182</v>
      </c>
      <c r="C1028" s="31" t="n"/>
      <c r="D1028" s="32" t="n"/>
      <c r="E1028" s="33" t="n">
        <v>2.0012</v>
      </c>
      <c r="F1028" t="inlineStr">
        <is>
          <t>Up</t>
        </is>
      </c>
      <c r="G1028" t="inlineStr">
        <is>
          <t>Up</t>
        </is>
      </c>
      <c r="H1028" t="inlineStr">
        <is>
          <t>EU_JU</t>
        </is>
      </c>
      <c r="I1028" t="inlineStr">
        <is>
          <t>2010-06</t>
        </is>
      </c>
      <c r="J1028" t="n">
        <v>1</v>
      </c>
      <c r="K1028" t="n">
        <v>1</v>
      </c>
      <c r="L1028" s="34">
        <f>IF($J1028=1,LN(B1029/B1028),"")</f>
        <v/>
      </c>
      <c r="M1028" s="34">
        <f>IF($K1028=1,INDEX(Mensal!$D$2:$D$245,MATCH($I1028,Mensal!$A$2:$A$245,0)),"")</f>
        <v/>
      </c>
      <c r="N1028" s="34">
        <f>IF($K1028=1,L1028-M1028,"")</f>
        <v/>
      </c>
      <c r="O1028" s="34" t="n">
        <v>0.00035657</v>
      </c>
      <c r="P1028" s="34">
        <f>IF($J1028=1,LN(1+O1028),"")</f>
        <v/>
      </c>
      <c r="Q1028" s="34">
        <f>IF($J1028=1,LN(R1029/R1028),"")</f>
        <v/>
      </c>
      <c r="R1028" s="32" t="n">
        <v>1.8634</v>
      </c>
      <c r="S1028" s="35" t="n">
        <v>11.476</v>
      </c>
      <c r="T1028" s="18" t="n"/>
      <c r="U1028" s="18" t="n">
        <v>61182</v>
      </c>
      <c r="V1028" s="18" t="n"/>
      <c r="W1028" s="18" t="n"/>
      <c r="X1028" s="35" t="n">
        <v>11.476</v>
      </c>
      <c r="Y1028" s="35" t="n"/>
    </row>
    <row r="1029">
      <c r="A1029" s="25" t="n">
        <v>40337</v>
      </c>
      <c r="B1029" s="18" t="n">
        <v>61793</v>
      </c>
      <c r="C1029" s="31" t="n"/>
      <c r="D1029" s="32" t="n"/>
      <c r="E1029" s="33" t="n">
        <v>1.9736</v>
      </c>
      <c r="F1029" t="inlineStr">
        <is>
          <t>Up</t>
        </is>
      </c>
      <c r="G1029" t="inlineStr">
        <is>
          <t>Up</t>
        </is>
      </c>
      <c r="H1029" t="inlineStr">
        <is>
          <t>EU_JU</t>
        </is>
      </c>
      <c r="I1029" t="inlineStr">
        <is>
          <t>2010-06</t>
        </is>
      </c>
      <c r="J1029" t="n">
        <v>1</v>
      </c>
      <c r="K1029" t="n">
        <v>1</v>
      </c>
      <c r="L1029" s="34">
        <f>IF($J1029=1,LN(B1030/B1029),"")</f>
        <v/>
      </c>
      <c r="M1029" s="34">
        <f>IF($K1029=1,INDEX(Mensal!$D$2:$D$245,MATCH($I1029,Mensal!$A$2:$A$245,0)),"")</f>
        <v/>
      </c>
      <c r="N1029" s="34">
        <f>IF($K1029=1,L1029-M1029,"")</f>
        <v/>
      </c>
      <c r="O1029" s="34" t="n">
        <v>0.00035621</v>
      </c>
      <c r="P1029" s="34">
        <f>IF($J1029=1,LN(1+O1029),"")</f>
        <v/>
      </c>
      <c r="Q1029" s="34">
        <f>IF($J1029=1,LN(R1030/R1029),"")</f>
        <v/>
      </c>
      <c r="R1029" s="32" t="n">
        <v>1.8658</v>
      </c>
      <c r="S1029" s="35" t="n">
        <v>11.524</v>
      </c>
      <c r="T1029" s="18" t="n"/>
      <c r="U1029" s="18" t="n">
        <v>61793</v>
      </c>
      <c r="V1029" s="18" t="n"/>
      <c r="W1029" s="18" t="n"/>
      <c r="X1029" s="35" t="n">
        <v>11.524</v>
      </c>
      <c r="Y1029" s="35" t="n"/>
    </row>
    <row r="1030">
      <c r="A1030" s="25" t="n">
        <v>40338</v>
      </c>
      <c r="B1030" s="18" t="n">
        <v>61478</v>
      </c>
      <c r="C1030" s="31" t="n"/>
      <c r="D1030" s="32" t="n"/>
      <c r="E1030" s="33" t="n">
        <v>1.9441</v>
      </c>
      <c r="F1030" t="inlineStr">
        <is>
          <t>Up</t>
        </is>
      </c>
      <c r="G1030" t="inlineStr">
        <is>
          <t>Up</t>
        </is>
      </c>
      <c r="H1030" t="inlineStr">
        <is>
          <t>EU_JU</t>
        </is>
      </c>
      <c r="I1030" t="inlineStr">
        <is>
          <t>2010-06</t>
        </is>
      </c>
      <c r="J1030" t="n">
        <v>1</v>
      </c>
      <c r="K1030" t="n">
        <v>1</v>
      </c>
      <c r="L1030" s="34">
        <f>IF($J1030=1,LN(B1031/B1030),"")</f>
        <v/>
      </c>
      <c r="M1030" s="34">
        <f>IF($K1030=1,INDEX(Mensal!$D$2:$D$245,MATCH($I1030,Mensal!$A$2:$A$245,0)),"")</f>
        <v/>
      </c>
      <c r="N1030" s="34">
        <f>IF($K1030=1,L1030-M1030,"")</f>
        <v/>
      </c>
      <c r="O1030" s="34" t="n">
        <v>0.00035585</v>
      </c>
      <c r="P1030" s="34">
        <f>IF($J1030=1,LN(1+O1030),"")</f>
        <v/>
      </c>
      <c r="Q1030" s="34">
        <f>IF($J1030=1,LN(R1031/R1030),"")</f>
        <v/>
      </c>
      <c r="R1030" s="32" t="n">
        <v>1.8423</v>
      </c>
      <c r="S1030" s="35" t="n">
        <v>11.575</v>
      </c>
      <c r="T1030" s="18" t="n"/>
      <c r="U1030" s="18" t="n">
        <v>61478</v>
      </c>
      <c r="V1030" s="18" t="n"/>
      <c r="W1030" s="18" t="n"/>
      <c r="X1030" s="35" t="n">
        <v>11.575</v>
      </c>
      <c r="Y1030" s="35" t="n"/>
    </row>
    <row r="1031">
      <c r="A1031" s="25" t="n">
        <v>40339</v>
      </c>
      <c r="B1031" s="18" t="n">
        <v>63048</v>
      </c>
      <c r="C1031" s="31" t="n"/>
      <c r="D1031" s="32" t="n"/>
      <c r="E1031" s="33" t="n">
        <v>1.9163</v>
      </c>
      <c r="F1031" t="inlineStr">
        <is>
          <t>Up</t>
        </is>
      </c>
      <c r="G1031" t="inlineStr">
        <is>
          <t>Up</t>
        </is>
      </c>
      <c r="H1031" t="inlineStr">
        <is>
          <t>EU_JU</t>
        </is>
      </c>
      <c r="I1031" t="inlineStr">
        <is>
          <t>2010-06</t>
        </is>
      </c>
      <c r="J1031" t="n">
        <v>1</v>
      </c>
      <c r="K1031" t="n">
        <v>1</v>
      </c>
      <c r="L1031" s="34">
        <f>IF($J1031=1,LN(B1032/B1031),"")</f>
        <v/>
      </c>
      <c r="M1031" s="34">
        <f>IF($K1031=1,INDEX(Mensal!$D$2:$D$245,MATCH($I1031,Mensal!$A$2:$A$245,0)),"")</f>
        <v/>
      </c>
      <c r="N1031" s="34">
        <f>IF($K1031=1,L1031-M1031,"")</f>
        <v/>
      </c>
      <c r="O1031" s="34" t="n">
        <v>0.00038261</v>
      </c>
      <c r="P1031" s="34">
        <f>IF($J1031=1,LN(1+O1031),"")</f>
        <v/>
      </c>
      <c r="Q1031" s="34">
        <f>IF($J1031=1,LN(R1032/R1031),"")</f>
        <v/>
      </c>
      <c r="R1031" s="32" t="n">
        <v>1.8185</v>
      </c>
      <c r="S1031" s="35" t="n">
        <v>11.635</v>
      </c>
      <c r="T1031" s="18" t="n"/>
      <c r="U1031" s="18" t="n">
        <v>63048</v>
      </c>
      <c r="V1031" s="18" t="n"/>
      <c r="W1031" s="18" t="n"/>
      <c r="X1031" s="35" t="n">
        <v>11.635</v>
      </c>
      <c r="Y1031" s="35" t="n"/>
    </row>
    <row r="1032">
      <c r="A1032" s="25" t="n">
        <v>40340</v>
      </c>
      <c r="B1032" s="18" t="n">
        <v>63605</v>
      </c>
      <c r="C1032" s="31" t="n"/>
      <c r="D1032" s="32" t="n"/>
      <c r="E1032" s="33" t="n">
        <v>1.8845</v>
      </c>
      <c r="F1032" t="inlineStr">
        <is>
          <t>Up</t>
        </is>
      </c>
      <c r="G1032" t="inlineStr">
        <is>
          <t>Up</t>
        </is>
      </c>
      <c r="H1032" t="inlineStr">
        <is>
          <t>EU_JU</t>
        </is>
      </c>
      <c r="I1032" t="inlineStr">
        <is>
          <t>2010-06</t>
        </is>
      </c>
      <c r="J1032" t="n">
        <v>1</v>
      </c>
      <c r="K1032" t="n">
        <v>1</v>
      </c>
      <c r="L1032" s="34">
        <f>IF($J1032=1,LN(B1033/B1032),"")</f>
        <v/>
      </c>
      <c r="M1032" s="34">
        <f>IF($K1032=1,INDEX(Mensal!$D$2:$D$245,MATCH($I1032,Mensal!$A$2:$A$245,0)),"")</f>
        <v/>
      </c>
      <c r="N1032" s="34">
        <f>IF($K1032=1,L1032-M1032,"")</f>
        <v/>
      </c>
      <c r="O1032" s="34" t="n">
        <v>0.00038117</v>
      </c>
      <c r="P1032" s="34">
        <f>IF($J1032=1,LN(1+O1032),"")</f>
        <v/>
      </c>
      <c r="Q1032" s="34">
        <f>IF($J1032=1,LN(R1033/R1032),"")</f>
        <v/>
      </c>
      <c r="R1032" s="32" t="n">
        <v>1.8125</v>
      </c>
      <c r="S1032" s="35" t="n">
        <v>11.717</v>
      </c>
      <c r="T1032" s="18" t="n"/>
      <c r="U1032" s="18" t="n">
        <v>63605</v>
      </c>
      <c r="V1032" s="18" t="n"/>
      <c r="W1032" s="18" t="n"/>
      <c r="X1032" s="35" t="n">
        <v>11.717</v>
      </c>
      <c r="Y1032" s="35" t="n"/>
    </row>
    <row r="1033">
      <c r="A1033" s="25" t="n">
        <v>40343</v>
      </c>
      <c r="B1033" s="18" t="n">
        <v>63532</v>
      </c>
      <c r="C1033" s="31" t="n"/>
      <c r="D1033" s="32" t="n"/>
      <c r="E1033" s="33" t="n">
        <v>1.8359</v>
      </c>
      <c r="F1033" t="inlineStr">
        <is>
          <t>Up</t>
        </is>
      </c>
      <c r="G1033" t="inlineStr">
        <is>
          <t>Up</t>
        </is>
      </c>
      <c r="H1033" t="inlineStr">
        <is>
          <t>EU_JU</t>
        </is>
      </c>
      <c r="I1033" t="inlineStr">
        <is>
          <t>2010-06</t>
        </is>
      </c>
      <c r="J1033" t="n">
        <v>1</v>
      </c>
      <c r="K1033" t="n">
        <v>1</v>
      </c>
      <c r="L1033" s="34">
        <f>IF($J1033=1,LN(B1034/B1033),"")</f>
        <v/>
      </c>
      <c r="M1033" s="34">
        <f>IF($K1033=1,INDEX(Mensal!$D$2:$D$245,MATCH($I1033,Mensal!$A$2:$A$245,0)),"")</f>
        <v/>
      </c>
      <c r="N1033" s="34">
        <f>IF($K1033=1,L1033-M1033,"")</f>
        <v/>
      </c>
      <c r="O1033" s="34" t="n">
        <v>0.00038225</v>
      </c>
      <c r="P1033" s="34">
        <f>IF($J1033=1,LN(1+O1033),"")</f>
        <v/>
      </c>
      <c r="Q1033" s="34">
        <f>IF($J1033=1,LN(R1034/R1033),"")</f>
        <v/>
      </c>
      <c r="R1033" s="32" t="n">
        <v>1.803</v>
      </c>
      <c r="S1033" s="35" t="n">
        <v>11.761</v>
      </c>
      <c r="T1033" s="18" t="n"/>
      <c r="U1033" s="18" t="n">
        <v>63532</v>
      </c>
      <c r="V1033" s="18" t="n"/>
      <c r="W1033" s="18" t="n"/>
      <c r="X1033" s="35" t="n">
        <v>11.761</v>
      </c>
      <c r="Y1033" s="35" t="n"/>
    </row>
    <row r="1034">
      <c r="A1034" s="25" t="n">
        <v>40344</v>
      </c>
      <c r="B1034" s="18" t="n">
        <v>64442</v>
      </c>
      <c r="C1034" s="31" t="n"/>
      <c r="D1034" s="32" t="n"/>
      <c r="E1034" s="33" t="n">
        <v>1.7846</v>
      </c>
      <c r="F1034" t="inlineStr">
        <is>
          <t>Up</t>
        </is>
      </c>
      <c r="G1034" t="inlineStr">
        <is>
          <t>Up</t>
        </is>
      </c>
      <c r="H1034" t="inlineStr">
        <is>
          <t>EU_JU</t>
        </is>
      </c>
      <c r="I1034" t="inlineStr">
        <is>
          <t>2010-06</t>
        </is>
      </c>
      <c r="J1034" t="n">
        <v>1</v>
      </c>
      <c r="K1034" t="n">
        <v>1</v>
      </c>
      <c r="L1034" s="34">
        <f>IF($J1034=1,LN(B1035/B1034),"")</f>
        <v/>
      </c>
      <c r="M1034" s="34">
        <f>IF($K1034=1,INDEX(Mensal!$D$2:$D$245,MATCH($I1034,Mensal!$A$2:$A$245,0)),"")</f>
        <v/>
      </c>
      <c r="N1034" s="34">
        <f>IF($K1034=1,L1034-M1034,"")</f>
        <v/>
      </c>
      <c r="O1034" s="34" t="n">
        <v>0.00038298</v>
      </c>
      <c r="P1034" s="34">
        <f>IF($J1034=1,LN(1+O1034),"")</f>
        <v/>
      </c>
      <c r="Q1034" s="34">
        <f>IF($J1034=1,LN(R1035/R1034),"")</f>
        <v/>
      </c>
      <c r="R1034" s="32" t="n">
        <v>1.7971</v>
      </c>
      <c r="S1034" s="35" t="n">
        <v>11.877</v>
      </c>
      <c r="T1034" s="18" t="n"/>
      <c r="U1034" s="18" t="n">
        <v>64442</v>
      </c>
      <c r="V1034" s="18" t="n"/>
      <c r="W1034" s="18" t="n"/>
      <c r="X1034" s="35" t="n">
        <v>11.877</v>
      </c>
      <c r="Y1034" s="35" t="n"/>
    </row>
    <row r="1035">
      <c r="A1035" s="25" t="n">
        <v>40345</v>
      </c>
      <c r="B1035" s="18" t="n">
        <v>64750</v>
      </c>
      <c r="C1035" s="31" t="n"/>
      <c r="D1035" s="32" t="n"/>
      <c r="E1035" s="33" t="n">
        <v>1.7383</v>
      </c>
      <c r="F1035" t="inlineStr">
        <is>
          <t>Up</t>
        </is>
      </c>
      <c r="G1035" t="inlineStr">
        <is>
          <t>Up</t>
        </is>
      </c>
      <c r="H1035" t="inlineStr">
        <is>
          <t>EU_JU</t>
        </is>
      </c>
      <c r="I1035" t="inlineStr">
        <is>
          <t>2010-06</t>
        </is>
      </c>
      <c r="J1035" t="n">
        <v>1</v>
      </c>
      <c r="K1035" t="n">
        <v>1</v>
      </c>
      <c r="L1035" s="34">
        <f>IF($J1035=1,LN(B1036/B1035),"")</f>
        <v/>
      </c>
      <c r="M1035" s="34">
        <f>IF($K1035=1,INDEX(Mensal!$D$2:$D$245,MATCH($I1035,Mensal!$A$2:$A$245,0)),"")</f>
        <v/>
      </c>
      <c r="N1035" s="34">
        <f>IF($K1035=1,L1035-M1035,"")</f>
        <v/>
      </c>
      <c r="O1035" s="34" t="n">
        <v>0.00038261</v>
      </c>
      <c r="P1035" s="34">
        <f>IF($J1035=1,LN(1+O1035),"")</f>
        <v/>
      </c>
      <c r="Q1035" s="34">
        <f>IF($J1035=1,LN(R1036/R1035),"")</f>
        <v/>
      </c>
      <c r="R1035" s="32" t="n">
        <v>1.7893</v>
      </c>
      <c r="S1035" s="35" t="n">
        <v>11.811</v>
      </c>
      <c r="T1035" s="18" t="n"/>
      <c r="U1035" s="18" t="n">
        <v>64750</v>
      </c>
      <c r="V1035" s="18" t="n"/>
      <c r="W1035" s="18" t="n"/>
      <c r="X1035" s="35" t="n">
        <v>11.811</v>
      </c>
      <c r="Y1035" s="35" t="n"/>
    </row>
    <row r="1036">
      <c r="A1036" s="25" t="n">
        <v>40346</v>
      </c>
      <c r="B1036" s="18" t="n">
        <v>64540</v>
      </c>
      <c r="C1036" s="31" t="n"/>
      <c r="D1036" s="32" t="n"/>
      <c r="E1036" s="33" t="n">
        <v>1.6919</v>
      </c>
      <c r="F1036" t="inlineStr">
        <is>
          <t>Up</t>
        </is>
      </c>
      <c r="G1036" t="inlineStr">
        <is>
          <t>Up</t>
        </is>
      </c>
      <c r="H1036" t="inlineStr">
        <is>
          <t>EU_JU</t>
        </is>
      </c>
      <c r="I1036" t="inlineStr">
        <is>
          <t>2010-06</t>
        </is>
      </c>
      <c r="J1036" t="n">
        <v>1</v>
      </c>
      <c r="K1036" t="n">
        <v>1</v>
      </c>
      <c r="L1036" s="34">
        <f>IF($J1036=1,LN(B1037/B1036),"")</f>
        <v/>
      </c>
      <c r="M1036" s="34">
        <f>IF($K1036=1,INDEX(Mensal!$D$2:$D$245,MATCH($I1036,Mensal!$A$2:$A$245,0)),"")</f>
        <v/>
      </c>
      <c r="N1036" s="34">
        <f>IF($K1036=1,L1036-M1036,"")</f>
        <v/>
      </c>
      <c r="O1036" s="34" t="n">
        <v>0.00038261</v>
      </c>
      <c r="P1036" s="34">
        <f>IF($J1036=1,LN(1+O1036),"")</f>
        <v/>
      </c>
      <c r="Q1036" s="34">
        <f>IF($J1036=1,LN(R1037/R1036),"")</f>
        <v/>
      </c>
      <c r="R1036" s="32" t="n">
        <v>1.7817</v>
      </c>
      <c r="S1036" s="35" t="n">
        <v>11.864</v>
      </c>
      <c r="T1036" s="18" t="n"/>
      <c r="U1036" s="18" t="n">
        <v>64540</v>
      </c>
      <c r="V1036" s="18" t="n"/>
      <c r="W1036" s="18" t="n"/>
      <c r="X1036" s="35" t="n">
        <v>11.864</v>
      </c>
      <c r="Y1036" s="35" t="n"/>
    </row>
    <row r="1037">
      <c r="A1037" s="25" t="n">
        <v>40347</v>
      </c>
      <c r="B1037" s="18" t="n">
        <v>64437</v>
      </c>
      <c r="C1037" s="31" t="n"/>
      <c r="D1037" s="32" t="n"/>
      <c r="E1037" s="33" t="n">
        <v>1.6413</v>
      </c>
      <c r="F1037" t="inlineStr">
        <is>
          <t>Up</t>
        </is>
      </c>
      <c r="G1037" t="inlineStr">
        <is>
          <t>Up</t>
        </is>
      </c>
      <c r="H1037" t="inlineStr">
        <is>
          <t>EU_JU</t>
        </is>
      </c>
      <c r="I1037" t="inlineStr">
        <is>
          <t>2010-06</t>
        </is>
      </c>
      <c r="J1037" t="n">
        <v>1</v>
      </c>
      <c r="K1037" t="n">
        <v>1</v>
      </c>
      <c r="L1037" s="34">
        <f>IF($J1037=1,LN(B1038/B1037),"")</f>
        <v/>
      </c>
      <c r="M1037" s="34">
        <f>IF($K1037=1,INDEX(Mensal!$D$2:$D$245,MATCH($I1037,Mensal!$A$2:$A$245,0)),"")</f>
        <v/>
      </c>
      <c r="N1037" s="34">
        <f>IF($K1037=1,L1037-M1037,"")</f>
        <v/>
      </c>
      <c r="O1037" s="34" t="n">
        <v>0.00038298</v>
      </c>
      <c r="P1037" s="34">
        <f>IF($J1037=1,LN(1+O1037),"")</f>
        <v/>
      </c>
      <c r="Q1037" s="34">
        <f>IF($J1037=1,LN(R1038/R1037),"")</f>
        <v/>
      </c>
      <c r="R1037" s="32" t="n">
        <v>1.7761</v>
      </c>
      <c r="S1037" s="35" t="n">
        <v>11.898</v>
      </c>
      <c r="T1037" s="18" t="n"/>
      <c r="U1037" s="18" t="n">
        <v>64437</v>
      </c>
      <c r="V1037" s="18" t="n"/>
      <c r="W1037" s="18" t="n"/>
      <c r="X1037" s="35" t="n">
        <v>11.898</v>
      </c>
      <c r="Y1037" s="35" t="n"/>
    </row>
    <row r="1038">
      <c r="A1038" s="25" t="n">
        <v>40350</v>
      </c>
      <c r="B1038" s="18" t="n">
        <v>64829</v>
      </c>
      <c r="C1038" s="31" t="n"/>
      <c r="D1038" s="32" t="n"/>
      <c r="E1038" s="33" t="n">
        <v>1.5999</v>
      </c>
      <c r="F1038" t="inlineStr">
        <is>
          <t>Up</t>
        </is>
      </c>
      <c r="G1038" t="inlineStr">
        <is>
          <t>Up</t>
        </is>
      </c>
      <c r="H1038" t="inlineStr">
        <is>
          <t>EU_JU</t>
        </is>
      </c>
      <c r="I1038" t="inlineStr">
        <is>
          <t>2010-06</t>
        </is>
      </c>
      <c r="J1038" t="n">
        <v>1</v>
      </c>
      <c r="K1038" t="n">
        <v>1</v>
      </c>
      <c r="L1038" s="34">
        <f>IF($J1038=1,LN(B1039/B1038),"")</f>
        <v/>
      </c>
      <c r="M1038" s="34">
        <f>IF($K1038=1,INDEX(Mensal!$D$2:$D$245,MATCH($I1038,Mensal!$A$2:$A$245,0)),"")</f>
        <v/>
      </c>
      <c r="N1038" s="34">
        <f>IF($K1038=1,L1038-M1038,"")</f>
        <v/>
      </c>
      <c r="O1038" s="34" t="n">
        <v>0.00038298</v>
      </c>
      <c r="P1038" s="34">
        <f>IF($J1038=1,LN(1+O1038),"")</f>
        <v/>
      </c>
      <c r="Q1038" s="34">
        <f>IF($J1038=1,LN(R1039/R1038),"")</f>
        <v/>
      </c>
      <c r="R1038" s="32" t="n">
        <v>1.7663</v>
      </c>
      <c r="S1038" s="35" t="n">
        <v>11.879</v>
      </c>
      <c r="T1038" s="18" t="n"/>
      <c r="U1038" s="18" t="n">
        <v>64829</v>
      </c>
      <c r="V1038" s="18" t="n"/>
      <c r="W1038" s="18" t="n"/>
      <c r="X1038" s="35" t="n">
        <v>11.879</v>
      </c>
      <c r="Y1038" s="35" t="n"/>
    </row>
    <row r="1039">
      <c r="A1039" s="25" t="n">
        <v>40351</v>
      </c>
      <c r="B1039" s="18" t="n">
        <v>64810</v>
      </c>
      <c r="C1039" s="31" t="n"/>
      <c r="D1039" s="32" t="n"/>
      <c r="E1039" s="33" t="n">
        <v>1.5672</v>
      </c>
      <c r="F1039" t="inlineStr">
        <is>
          <t>Up</t>
        </is>
      </c>
      <c r="G1039" t="inlineStr">
        <is>
          <t>Up</t>
        </is>
      </c>
      <c r="H1039" t="inlineStr">
        <is>
          <t>EU_JU</t>
        </is>
      </c>
      <c r="I1039" t="inlineStr">
        <is>
          <t>2010-06</t>
        </is>
      </c>
      <c r="J1039" t="n">
        <v>1</v>
      </c>
      <c r="K1039" t="n">
        <v>1</v>
      </c>
      <c r="L1039" s="34">
        <f>IF($J1039=1,LN(B1040/B1039),"")</f>
        <v/>
      </c>
      <c r="M1039" s="34">
        <f>IF($K1039=1,INDEX(Mensal!$D$2:$D$245,MATCH($I1039,Mensal!$A$2:$A$245,0)),"")</f>
        <v/>
      </c>
      <c r="N1039" s="34">
        <f>IF($K1039=1,L1039-M1039,"")</f>
        <v/>
      </c>
      <c r="O1039" s="34" t="n">
        <v>0.00038298</v>
      </c>
      <c r="P1039" s="34">
        <f>IF($J1039=1,LN(1+O1039),"")</f>
        <v/>
      </c>
      <c r="Q1039" s="34">
        <f>IF($J1039=1,LN(R1040/R1039),"")</f>
        <v/>
      </c>
      <c r="R1039" s="32" t="n">
        <v>1.768</v>
      </c>
      <c r="S1039" s="35" t="n">
        <v>11.816</v>
      </c>
      <c r="T1039" s="18" t="n"/>
      <c r="U1039" s="18" t="n">
        <v>64810</v>
      </c>
      <c r="V1039" s="18" t="n"/>
      <c r="W1039" s="18" t="n"/>
      <c r="X1039" s="35" t="n">
        <v>11.816</v>
      </c>
      <c r="Y1039" s="35" t="n"/>
    </row>
    <row r="1040">
      <c r="A1040" s="25" t="n">
        <v>40352</v>
      </c>
      <c r="B1040" s="18" t="n">
        <v>65160</v>
      </c>
      <c r="C1040" s="31" t="n"/>
      <c r="D1040" s="32" t="n"/>
      <c r="E1040" s="33" t="n">
        <v>1.5379</v>
      </c>
      <c r="F1040" t="inlineStr">
        <is>
          <t>Up</t>
        </is>
      </c>
      <c r="G1040" t="inlineStr">
        <is>
          <t>Up</t>
        </is>
      </c>
      <c r="H1040" t="inlineStr">
        <is>
          <t>EU_JU</t>
        </is>
      </c>
      <c r="I1040" t="inlineStr">
        <is>
          <t>2010-06</t>
        </is>
      </c>
      <c r="J1040" t="n">
        <v>1</v>
      </c>
      <c r="K1040" t="n">
        <v>1</v>
      </c>
      <c r="L1040" s="34">
        <f>IF($J1040=1,LN(B1041/B1040),"")</f>
        <v/>
      </c>
      <c r="M1040" s="34">
        <f>IF($K1040=1,INDEX(Mensal!$D$2:$D$245,MATCH($I1040,Mensal!$A$2:$A$245,0)),"")</f>
        <v/>
      </c>
      <c r="N1040" s="34">
        <f>IF($K1040=1,L1040-M1040,"")</f>
        <v/>
      </c>
      <c r="O1040" s="34" t="n">
        <v>0.00038298</v>
      </c>
      <c r="P1040" s="34">
        <f>IF($J1040=1,LN(1+O1040),"")</f>
        <v/>
      </c>
      <c r="Q1040" s="34">
        <f>IF($J1040=1,LN(R1041/R1040),"")</f>
        <v/>
      </c>
      <c r="R1040" s="32" t="n">
        <v>1.7908</v>
      </c>
      <c r="S1040" s="35" t="n">
        <v>11.856</v>
      </c>
      <c r="T1040" s="18" t="n"/>
      <c r="U1040" s="18" t="n">
        <v>65160</v>
      </c>
      <c r="V1040" s="18" t="n"/>
      <c r="W1040" s="18" t="n"/>
      <c r="X1040" s="35" t="n">
        <v>11.856</v>
      </c>
      <c r="Y1040" s="35" t="n"/>
    </row>
    <row r="1041">
      <c r="A1041" s="25" t="n">
        <v>40353</v>
      </c>
      <c r="B1041" s="18" t="n">
        <v>63936</v>
      </c>
      <c r="C1041" s="31" t="n"/>
      <c r="D1041" s="32" t="n"/>
      <c r="E1041" s="33" t="n">
        <v>1.502</v>
      </c>
      <c r="F1041" t="inlineStr">
        <is>
          <t>Up</t>
        </is>
      </c>
      <c r="G1041" t="inlineStr">
        <is>
          <t>Up</t>
        </is>
      </c>
      <c r="H1041" t="inlineStr">
        <is>
          <t>EU_JU</t>
        </is>
      </c>
      <c r="I1041" t="inlineStr">
        <is>
          <t>2010-06</t>
        </is>
      </c>
      <c r="J1041" t="n">
        <v>1</v>
      </c>
      <c r="K1041" t="n">
        <v>1</v>
      </c>
      <c r="L1041" s="34">
        <f>IF($J1041=1,LN(B1042/B1041),"")</f>
        <v/>
      </c>
      <c r="M1041" s="34">
        <f>IF($K1041=1,INDEX(Mensal!$D$2:$D$245,MATCH($I1041,Mensal!$A$2:$A$245,0)),"")</f>
        <v/>
      </c>
      <c r="N1041" s="34">
        <f>IF($K1041=1,L1041-M1041,"")</f>
        <v/>
      </c>
      <c r="O1041" s="34" t="n">
        <v>0.00038298</v>
      </c>
      <c r="P1041" s="34">
        <f>IF($J1041=1,LN(1+O1041),"")</f>
        <v/>
      </c>
      <c r="Q1041" s="34">
        <f>IF($J1041=1,LN(R1042/R1041),"")</f>
        <v/>
      </c>
      <c r="R1041" s="32" t="n">
        <v>1.7907</v>
      </c>
      <c r="S1041" s="35" t="n">
        <v>11.818</v>
      </c>
      <c r="T1041" s="18" t="n"/>
      <c r="U1041" s="18" t="n">
        <v>63936</v>
      </c>
      <c r="V1041" s="18" t="n"/>
      <c r="W1041" s="18" t="n"/>
      <c r="X1041" s="35" t="n">
        <v>11.818</v>
      </c>
      <c r="Y1041" s="35" t="n"/>
    </row>
    <row r="1042">
      <c r="A1042" s="25" t="n">
        <v>40354</v>
      </c>
      <c r="B1042" s="18" t="n">
        <v>64823</v>
      </c>
      <c r="C1042" s="31" t="n"/>
      <c r="D1042" s="32" t="n"/>
      <c r="E1042" s="33" t="n">
        <v>1.466</v>
      </c>
      <c r="F1042" t="inlineStr">
        <is>
          <t>Up</t>
        </is>
      </c>
      <c r="G1042" t="inlineStr">
        <is>
          <t>Up</t>
        </is>
      </c>
      <c r="H1042" t="inlineStr">
        <is>
          <t>EU_JU</t>
        </is>
      </c>
      <c r="I1042" t="inlineStr">
        <is>
          <t>2010-06</t>
        </is>
      </c>
      <c r="J1042" t="n">
        <v>1</v>
      </c>
      <c r="K1042" t="n">
        <v>1</v>
      </c>
      <c r="L1042" s="34">
        <f>IF($J1042=1,LN(B1043/B1042),"")</f>
        <v/>
      </c>
      <c r="M1042" s="34">
        <f>IF($K1042=1,INDEX(Mensal!$D$2:$D$245,MATCH($I1042,Mensal!$A$2:$A$245,0)),"")</f>
        <v/>
      </c>
      <c r="N1042" s="34">
        <f>IF($K1042=1,L1042-M1042,"")</f>
        <v/>
      </c>
      <c r="O1042" s="34" t="n">
        <v>0.00038298</v>
      </c>
      <c r="P1042" s="34">
        <f>IF($J1042=1,LN(1+O1042),"")</f>
        <v/>
      </c>
      <c r="Q1042" s="34">
        <f>IF($J1042=1,LN(R1043/R1042),"")</f>
        <v/>
      </c>
      <c r="R1042" s="32" t="n">
        <v>1.7781</v>
      </c>
      <c r="S1042" s="35" t="n">
        <v>11.828</v>
      </c>
      <c r="T1042" s="18" t="n"/>
      <c r="U1042" s="18" t="n">
        <v>64823</v>
      </c>
      <c r="V1042" s="18" t="n"/>
      <c r="W1042" s="18" t="n"/>
      <c r="X1042" s="35" t="n">
        <v>11.828</v>
      </c>
      <c r="Y1042" s="35" t="n"/>
    </row>
    <row r="1043">
      <c r="A1043" s="25" t="n">
        <v>40357</v>
      </c>
      <c r="B1043" s="18" t="n">
        <v>64225</v>
      </c>
      <c r="C1043" s="31" t="n"/>
      <c r="D1043" s="32" t="n"/>
      <c r="E1043" s="33" t="n">
        <v>1.4285</v>
      </c>
      <c r="F1043" t="inlineStr">
        <is>
          <t>Up</t>
        </is>
      </c>
      <c r="G1043" t="inlineStr">
        <is>
          <t>Up</t>
        </is>
      </c>
      <c r="H1043" t="inlineStr">
        <is>
          <t>EU_JU</t>
        </is>
      </c>
      <c r="I1043" t="inlineStr">
        <is>
          <t>2010-06</t>
        </is>
      </c>
      <c r="J1043" t="n">
        <v>1</v>
      </c>
      <c r="K1043" t="n">
        <v>1</v>
      </c>
      <c r="L1043" s="34">
        <f>IF($J1043=1,LN(B1044/B1043),"")</f>
        <v/>
      </c>
      <c r="M1043" s="34">
        <f>IF($K1043=1,INDEX(Mensal!$D$2:$D$245,MATCH($I1043,Mensal!$A$2:$A$245,0)),"")</f>
        <v/>
      </c>
      <c r="N1043" s="34">
        <f>IF($K1043=1,L1043-M1043,"")</f>
        <v/>
      </c>
      <c r="O1043" s="34" t="n">
        <v>0.00038298</v>
      </c>
      <c r="P1043" s="34">
        <f>IF($J1043=1,LN(1+O1043),"")</f>
        <v/>
      </c>
      <c r="Q1043" s="34">
        <f>IF($J1043=1,LN(R1044/R1043),"")</f>
        <v/>
      </c>
      <c r="R1043" s="32" t="n">
        <v>1.7826</v>
      </c>
      <c r="S1043" s="35" t="n">
        <v>11.828</v>
      </c>
      <c r="T1043" s="18" t="n"/>
      <c r="U1043" s="18" t="n">
        <v>64225</v>
      </c>
      <c r="V1043" s="18" t="n"/>
      <c r="W1043" s="18" t="n"/>
      <c r="X1043" s="35" t="n">
        <v>11.828</v>
      </c>
      <c r="Y1043" s="35" t="n"/>
    </row>
    <row r="1044">
      <c r="A1044" s="25" t="n">
        <v>40359</v>
      </c>
      <c r="B1044" s="18" t="n">
        <v>60935</v>
      </c>
      <c r="C1044" s="31" t="n"/>
      <c r="D1044" s="32" t="n"/>
      <c r="E1044" s="33" t="n">
        <v>1.4208</v>
      </c>
      <c r="F1044" t="inlineStr">
        <is>
          <t>Up</t>
        </is>
      </c>
      <c r="G1044" t="inlineStr">
        <is>
          <t>Up</t>
        </is>
      </c>
      <c r="H1044" t="inlineStr">
        <is>
          <t>EU_JU</t>
        </is>
      </c>
      <c r="I1044" t="inlineStr">
        <is>
          <t>2010-06</t>
        </is>
      </c>
      <c r="J1044" t="n">
        <v>1</v>
      </c>
      <c r="K1044" t="n">
        <v>1</v>
      </c>
      <c r="L1044" s="34">
        <f>IF($J1044=1,LN(B1045/B1044),"")</f>
        <v/>
      </c>
      <c r="M1044" s="34">
        <f>IF($K1044=1,INDEX(Mensal!$D$2:$D$245,MATCH($I1044,Mensal!$A$2:$A$245,0)),"")</f>
        <v/>
      </c>
      <c r="N1044" s="34">
        <f>IF($K1044=1,L1044-M1044,"")</f>
        <v/>
      </c>
      <c r="O1044" s="34" t="n">
        <v>0.00038261</v>
      </c>
      <c r="P1044" s="34">
        <f>IF($J1044=1,LN(1+O1044),"")</f>
        <v/>
      </c>
      <c r="Q1044" s="34">
        <f>IF($J1044=1,LN(R1045/R1044),"")</f>
        <v/>
      </c>
      <c r="R1044" s="32" t="n">
        <v>1.8015</v>
      </c>
      <c r="S1044" s="35" t="n">
        <v>11.861</v>
      </c>
      <c r="T1044" s="18" t="n"/>
      <c r="U1044" s="18" t="n">
        <v>60935</v>
      </c>
      <c r="V1044" s="18" t="n"/>
      <c r="W1044" s="18" t="n"/>
      <c r="X1044" s="35" t="n">
        <v>11.861</v>
      </c>
      <c r="Y1044" s="35" t="n"/>
    </row>
    <row r="1045">
      <c r="A1045" s="25" t="n">
        <v>40360</v>
      </c>
      <c r="B1045" s="18" t="n">
        <v>61236</v>
      </c>
      <c r="C1045" s="31" t="n"/>
      <c r="D1045" s="32" t="n"/>
      <c r="E1045" s="33" t="n">
        <v>1.4218</v>
      </c>
      <c r="F1045" t="inlineStr">
        <is>
          <t>Up</t>
        </is>
      </c>
      <c r="G1045" t="inlineStr">
        <is>
          <t>Up</t>
        </is>
      </c>
      <c r="H1045" t="inlineStr">
        <is>
          <t>EU_JU</t>
        </is>
      </c>
      <c r="I1045" t="inlineStr">
        <is>
          <t>2010-07</t>
        </is>
      </c>
      <c r="J1045" t="n">
        <v>1</v>
      </c>
      <c r="K1045" t="n">
        <v>1</v>
      </c>
      <c r="L1045" s="34">
        <f>IF($J1045=1,LN(B1046/B1045),"")</f>
        <v/>
      </c>
      <c r="M1045" s="34">
        <f>IF($K1045=1,INDEX(Mensal!$D$2:$D$245,MATCH($I1045,Mensal!$A$2:$A$245,0)),"")</f>
        <v/>
      </c>
      <c r="N1045" s="34">
        <f>IF($K1045=1,L1045-M1045,"")</f>
        <v/>
      </c>
      <c r="O1045" s="34" t="n">
        <v>0.00038334</v>
      </c>
      <c r="P1045" s="34">
        <f>IF($J1045=1,LN(1+O1045),"")</f>
        <v/>
      </c>
      <c r="Q1045" s="34">
        <f>IF($J1045=1,LN(R1046/R1045),"")</f>
        <v/>
      </c>
      <c r="R1045" s="32" t="n">
        <v>1.8006</v>
      </c>
      <c r="S1045" s="35" t="n">
        <v>11.771</v>
      </c>
      <c r="T1045" s="18" t="n"/>
      <c r="U1045" s="18" t="n">
        <v>61236</v>
      </c>
      <c r="V1045" s="18" t="n"/>
      <c r="W1045" s="18" t="n"/>
      <c r="X1045" s="35" t="n">
        <v>11.771</v>
      </c>
      <c r="Y1045" s="35" t="n"/>
    </row>
    <row r="1046">
      <c r="A1046" s="25" t="n">
        <v>40361</v>
      </c>
      <c r="B1046" s="18" t="n">
        <v>61429</v>
      </c>
      <c r="C1046" s="31" t="n"/>
      <c r="D1046" s="32" t="n"/>
      <c r="E1046" s="33" t="n">
        <v>1.4223</v>
      </c>
      <c r="F1046" t="inlineStr">
        <is>
          <t>Up</t>
        </is>
      </c>
      <c r="G1046" t="inlineStr">
        <is>
          <t>Up</t>
        </is>
      </c>
      <c r="H1046" t="inlineStr">
        <is>
          <t>EU_JU</t>
        </is>
      </c>
      <c r="I1046" t="inlineStr">
        <is>
          <t>2010-07</t>
        </is>
      </c>
      <c r="J1046" t="n">
        <v>1</v>
      </c>
      <c r="K1046" t="n">
        <v>1</v>
      </c>
      <c r="L1046" s="34">
        <f>IF($J1046=1,LN(B1047/B1046),"")</f>
        <v/>
      </c>
      <c r="M1046" s="34">
        <f>IF($K1046=1,INDEX(Mensal!$D$2:$D$245,MATCH($I1046,Mensal!$A$2:$A$245,0)),"")</f>
        <v/>
      </c>
      <c r="N1046" s="34">
        <f>IF($K1046=1,L1046-M1046,"")</f>
        <v/>
      </c>
      <c r="O1046" s="34" t="n">
        <v>0.00038334</v>
      </c>
      <c r="P1046" s="34">
        <f>IF($J1046=1,LN(1+O1046),"")</f>
        <v/>
      </c>
      <c r="Q1046" s="34">
        <f>IF($J1046=1,LN(R1047/R1046),"")</f>
        <v/>
      </c>
      <c r="R1046" s="32" t="n">
        <v>1.7785</v>
      </c>
      <c r="S1046" s="35" t="n">
        <v>11.752</v>
      </c>
      <c r="T1046" s="18" t="n"/>
      <c r="U1046" s="18" t="n">
        <v>61429</v>
      </c>
      <c r="V1046" s="18" t="n"/>
      <c r="W1046" s="18" t="n"/>
      <c r="X1046" s="35" t="n">
        <v>11.752</v>
      </c>
      <c r="Y1046" s="35" t="n"/>
    </row>
    <row r="1047">
      <c r="A1047" s="25" t="n">
        <v>40364</v>
      </c>
      <c r="B1047" s="18" t="n">
        <v>60865</v>
      </c>
      <c r="C1047" s="31" t="n"/>
      <c r="D1047" s="32" t="n"/>
      <c r="E1047" s="33" t="n">
        <v>1.4241</v>
      </c>
      <c r="F1047" t="inlineStr">
        <is>
          <t>Up</t>
        </is>
      </c>
      <c r="G1047" t="inlineStr">
        <is>
          <t>Up</t>
        </is>
      </c>
      <c r="H1047" t="inlineStr">
        <is>
          <t>EU_JU</t>
        </is>
      </c>
      <c r="I1047" t="inlineStr">
        <is>
          <t>2010-07</t>
        </is>
      </c>
      <c r="J1047" t="n">
        <v>1</v>
      </c>
      <c r="K1047" t="n">
        <v>1</v>
      </c>
      <c r="L1047" s="34">
        <f>IF($J1047=1,LN(B1048/B1047),"")</f>
        <v/>
      </c>
      <c r="M1047" s="34">
        <f>IF($K1047=1,INDEX(Mensal!$D$2:$D$245,MATCH($I1047,Mensal!$A$2:$A$245,0)),"")</f>
        <v/>
      </c>
      <c r="N1047" s="34">
        <f>IF($K1047=1,L1047-M1047,"")</f>
        <v/>
      </c>
      <c r="O1047" s="34" t="n">
        <v>0.00038334</v>
      </c>
      <c r="P1047" s="34">
        <f>IF($J1047=1,LN(1+O1047),"")</f>
        <v/>
      </c>
      <c r="Q1047" s="34">
        <f>IF($J1047=1,LN(R1048/R1047),"")</f>
        <v/>
      </c>
      <c r="R1047" s="32" t="n">
        <v>1.7755</v>
      </c>
      <c r="S1047" s="35" t="n">
        <v>11.738</v>
      </c>
      <c r="T1047" s="18" t="n"/>
      <c r="U1047" s="18" t="n">
        <v>60865</v>
      </c>
      <c r="V1047" s="18" t="n"/>
      <c r="W1047" s="18" t="n"/>
      <c r="X1047" s="35" t="n">
        <v>11.738</v>
      </c>
      <c r="Y1047" s="35" t="n"/>
    </row>
    <row r="1048">
      <c r="A1048" s="25" t="n">
        <v>40365</v>
      </c>
      <c r="B1048" s="18" t="n">
        <v>62064</v>
      </c>
      <c r="C1048" s="31" t="n"/>
      <c r="D1048" s="32" t="n"/>
      <c r="E1048" s="33" t="n">
        <v>1.4191</v>
      </c>
      <c r="F1048" t="inlineStr">
        <is>
          <t>Up</t>
        </is>
      </c>
      <c r="G1048" t="inlineStr">
        <is>
          <t>Up</t>
        </is>
      </c>
      <c r="H1048" t="inlineStr">
        <is>
          <t>EU_JU</t>
        </is>
      </c>
      <c r="I1048" t="inlineStr">
        <is>
          <t>2010-07</t>
        </is>
      </c>
      <c r="J1048" t="n">
        <v>1</v>
      </c>
      <c r="K1048" t="n">
        <v>1</v>
      </c>
      <c r="L1048" s="34">
        <f>IF($J1048=1,LN(B1049/B1048),"")</f>
        <v/>
      </c>
      <c r="M1048" s="34">
        <f>IF($K1048=1,INDEX(Mensal!$D$2:$D$245,MATCH($I1048,Mensal!$A$2:$A$245,0)),"")</f>
        <v/>
      </c>
      <c r="N1048" s="34">
        <f>IF($K1048=1,L1048-M1048,"")</f>
        <v/>
      </c>
      <c r="O1048" s="34" t="n">
        <v>0.00038334</v>
      </c>
      <c r="P1048" s="34">
        <f>IF($J1048=1,LN(1+O1048),"")</f>
        <v/>
      </c>
      <c r="Q1048" s="34">
        <f>IF($J1048=1,LN(R1049/R1048),"")</f>
        <v/>
      </c>
      <c r="R1048" s="32" t="n">
        <v>1.7665</v>
      </c>
      <c r="S1048" s="35" t="n">
        <v>11.76</v>
      </c>
      <c r="T1048" s="18" t="n"/>
      <c r="U1048" s="18" t="n">
        <v>62064</v>
      </c>
      <c r="V1048" s="18" t="n"/>
      <c r="W1048" s="18" t="n"/>
      <c r="X1048" s="35" t="n">
        <v>11.76</v>
      </c>
      <c r="Y1048" s="35" t="n"/>
    </row>
    <row r="1049">
      <c r="A1049" s="25" t="n">
        <v>40366</v>
      </c>
      <c r="B1049" s="18" t="n">
        <v>63283</v>
      </c>
      <c r="C1049" s="31" t="n"/>
      <c r="D1049" s="32" t="n"/>
      <c r="E1049" s="33" t="n">
        <v>1.4206</v>
      </c>
      <c r="F1049" t="inlineStr">
        <is>
          <t>Up</t>
        </is>
      </c>
      <c r="G1049" t="inlineStr">
        <is>
          <t>Up</t>
        </is>
      </c>
      <c r="H1049" t="inlineStr">
        <is>
          <t>EU_JU</t>
        </is>
      </c>
      <c r="I1049" t="inlineStr">
        <is>
          <t>2010-07</t>
        </is>
      </c>
      <c r="J1049" t="n">
        <v>1</v>
      </c>
      <c r="K1049" t="n">
        <v>1</v>
      </c>
      <c r="L1049" s="34">
        <f>IF($J1049=1,LN(B1050/B1049),"")</f>
        <v/>
      </c>
      <c r="M1049" s="34">
        <f>IF($K1049=1,INDEX(Mensal!$D$2:$D$245,MATCH($I1049,Mensal!$A$2:$A$245,0)),"")</f>
        <v/>
      </c>
      <c r="N1049" s="34">
        <f>IF($K1049=1,L1049-M1049,"")</f>
        <v/>
      </c>
      <c r="O1049" s="34" t="n">
        <v>0.00038334</v>
      </c>
      <c r="P1049" s="34">
        <f>IF($J1049=1,LN(1+O1049),"")</f>
        <v/>
      </c>
      <c r="Q1049" s="34">
        <f>IF($J1049=1,LN(R1050/R1049),"")</f>
        <v/>
      </c>
      <c r="R1049" s="32" t="n">
        <v>1.7719</v>
      </c>
      <c r="S1049" s="35" t="n">
        <v>11.723</v>
      </c>
      <c r="T1049" s="18" t="n"/>
      <c r="U1049" s="18" t="n">
        <v>63283</v>
      </c>
      <c r="V1049" s="18" t="n"/>
      <c r="W1049" s="18" t="n"/>
      <c r="X1049" s="35" t="n">
        <v>11.723</v>
      </c>
      <c r="Y1049" s="35" t="n"/>
    </row>
    <row r="1050">
      <c r="A1050" s="25" t="n">
        <v>40367</v>
      </c>
      <c r="B1050" s="18" t="n">
        <v>63476</v>
      </c>
      <c r="C1050" s="31" t="n"/>
      <c r="D1050" s="32" t="n"/>
      <c r="E1050" s="33" t="n">
        <v>1.4174</v>
      </c>
      <c r="F1050" t="inlineStr">
        <is>
          <t>Up</t>
        </is>
      </c>
      <c r="G1050" t="inlineStr">
        <is>
          <t>Up</t>
        </is>
      </c>
      <c r="H1050" t="inlineStr">
        <is>
          <t>EU_JU</t>
        </is>
      </c>
      <c r="I1050" t="inlineStr">
        <is>
          <t>2010-07</t>
        </is>
      </c>
      <c r="J1050" t="n">
        <v>1</v>
      </c>
      <c r="K1050" t="n">
        <v>1</v>
      </c>
      <c r="L1050" s="34">
        <f>IF($J1050=1,LN(B1051/B1050),"")</f>
        <v/>
      </c>
      <c r="M1050" s="34">
        <f>IF($K1050=1,INDEX(Mensal!$D$2:$D$245,MATCH($I1050,Mensal!$A$2:$A$245,0)),"")</f>
        <v/>
      </c>
      <c r="N1050" s="34">
        <f>IF($K1050=1,L1050-M1050,"")</f>
        <v/>
      </c>
      <c r="O1050" s="34" t="n">
        <v>0.00038334</v>
      </c>
      <c r="P1050" s="34">
        <f>IF($J1050=1,LN(1+O1050),"")</f>
        <v/>
      </c>
      <c r="Q1050" s="34">
        <f>IF($J1050=1,LN(R1051/R1050),"")</f>
        <v/>
      </c>
      <c r="R1050" s="32" t="n">
        <v>1.7652</v>
      </c>
      <c r="S1050" s="35" t="n">
        <v>11.753</v>
      </c>
      <c r="T1050" s="18" t="n"/>
      <c r="U1050" s="18" t="n">
        <v>63476</v>
      </c>
      <c r="V1050" s="18" t="n"/>
      <c r="W1050" s="18" t="n"/>
      <c r="X1050" s="35" t="n">
        <v>11.753</v>
      </c>
      <c r="Y1050" s="35" t="n"/>
    </row>
    <row r="1051">
      <c r="A1051" s="25" t="n">
        <v>40371</v>
      </c>
      <c r="B1051" s="18" t="n">
        <v>62960</v>
      </c>
      <c r="C1051" s="31" t="n"/>
      <c r="D1051" s="32" t="n"/>
      <c r="E1051" s="33" t="n">
        <v>1.4179</v>
      </c>
      <c r="F1051" t="inlineStr">
        <is>
          <t>Up</t>
        </is>
      </c>
      <c r="G1051" t="inlineStr">
        <is>
          <t>Up</t>
        </is>
      </c>
      <c r="H1051" t="inlineStr">
        <is>
          <t>EU_JU</t>
        </is>
      </c>
      <c r="I1051" t="inlineStr">
        <is>
          <t>2010-07</t>
        </is>
      </c>
      <c r="J1051" t="n">
        <v>1</v>
      </c>
      <c r="K1051" t="n">
        <v>1</v>
      </c>
      <c r="L1051" s="34">
        <f>IF($J1051=1,LN(B1052/B1051),"")</f>
        <v/>
      </c>
      <c r="M1051" s="34">
        <f>IF($K1051=1,INDEX(Mensal!$D$2:$D$245,MATCH($I1051,Mensal!$A$2:$A$245,0)),"")</f>
        <v/>
      </c>
      <c r="N1051" s="34">
        <f>IF($K1051=1,L1051-M1051,"")</f>
        <v/>
      </c>
      <c r="O1051" s="34" t="n">
        <v>0.00038334</v>
      </c>
      <c r="P1051" s="34">
        <f>IF($J1051=1,LN(1+O1051),"")</f>
        <v/>
      </c>
      <c r="Q1051" s="34">
        <f>IF($J1051=1,LN(R1052/R1051),"")</f>
        <v/>
      </c>
      <c r="R1051" s="32" t="n">
        <v>1.7644</v>
      </c>
      <c r="S1051" s="35" t="n">
        <v>11.729</v>
      </c>
      <c r="T1051" s="18" t="n"/>
      <c r="U1051" s="18" t="n">
        <v>62960</v>
      </c>
      <c r="V1051" s="18" t="n"/>
      <c r="W1051" s="18" t="n"/>
      <c r="X1051" s="35" t="n">
        <v>11.729</v>
      </c>
      <c r="Y1051" s="35" t="n"/>
    </row>
    <row r="1052">
      <c r="A1052" s="25" t="n">
        <v>40372</v>
      </c>
      <c r="B1052" s="18" t="n">
        <v>63685</v>
      </c>
      <c r="C1052" s="31" t="n"/>
      <c r="D1052" s="32" t="n"/>
      <c r="E1052" s="33" t="n">
        <v>1.4217</v>
      </c>
      <c r="F1052" t="inlineStr">
        <is>
          <t>Up</t>
        </is>
      </c>
      <c r="G1052" t="inlineStr">
        <is>
          <t>Up</t>
        </is>
      </c>
      <c r="H1052" t="inlineStr">
        <is>
          <t>EU_JU</t>
        </is>
      </c>
      <c r="I1052" t="inlineStr">
        <is>
          <t>2010-07</t>
        </is>
      </c>
      <c r="J1052" t="n">
        <v>1</v>
      </c>
      <c r="K1052" t="n">
        <v>1</v>
      </c>
      <c r="L1052" s="34">
        <f>IF($J1052=1,LN(B1053/B1052),"")</f>
        <v/>
      </c>
      <c r="M1052" s="34">
        <f>IF($K1052=1,INDEX(Mensal!$D$2:$D$245,MATCH($I1052,Mensal!$A$2:$A$245,0)),"")</f>
        <v/>
      </c>
      <c r="N1052" s="34">
        <f>IF($K1052=1,L1052-M1052,"")</f>
        <v/>
      </c>
      <c r="O1052" s="34" t="n">
        <v>0.00038334</v>
      </c>
      <c r="P1052" s="34">
        <f>IF($J1052=1,LN(1+O1052),"")</f>
        <v/>
      </c>
      <c r="Q1052" s="34">
        <f>IF($J1052=1,LN(R1053/R1052),"")</f>
        <v/>
      </c>
      <c r="R1052" s="32" t="n">
        <v>1.7525</v>
      </c>
      <c r="S1052" s="35" t="n">
        <v>11.66</v>
      </c>
      <c r="T1052" s="18" t="n"/>
      <c r="U1052" s="18" t="n">
        <v>63685</v>
      </c>
      <c r="V1052" s="18" t="n"/>
      <c r="W1052" s="18" t="n"/>
      <c r="X1052" s="35" t="n">
        <v>11.66</v>
      </c>
      <c r="Y1052" s="35" t="n"/>
    </row>
    <row r="1053">
      <c r="A1053" s="25" t="n">
        <v>40373</v>
      </c>
      <c r="B1053" s="18" t="n">
        <v>63479</v>
      </c>
      <c r="C1053" s="31" t="n"/>
      <c r="D1053" s="32" t="n"/>
      <c r="E1053" s="33" t="n">
        <v>1.4249</v>
      </c>
      <c r="F1053" t="inlineStr">
        <is>
          <t>Up</t>
        </is>
      </c>
      <c r="G1053" t="inlineStr">
        <is>
          <t>Up</t>
        </is>
      </c>
      <c r="H1053" t="inlineStr">
        <is>
          <t>EU_JU</t>
        </is>
      </c>
      <c r="I1053" t="inlineStr">
        <is>
          <t>2010-07</t>
        </is>
      </c>
      <c r="J1053" t="n">
        <v>1</v>
      </c>
      <c r="K1053" t="n">
        <v>1</v>
      </c>
      <c r="L1053" s="34">
        <f>IF($J1053=1,LN(B1054/B1053),"")</f>
        <v/>
      </c>
      <c r="M1053" s="34">
        <f>IF($K1053=1,INDEX(Mensal!$D$2:$D$245,MATCH($I1053,Mensal!$A$2:$A$245,0)),"")</f>
        <v/>
      </c>
      <c r="N1053" s="34">
        <f>IF($K1053=1,L1053-M1053,"")</f>
        <v/>
      </c>
      <c r="O1053" s="34" t="n">
        <v>0.00038298</v>
      </c>
      <c r="P1053" s="34">
        <f>IF($J1053=1,LN(1+O1053),"")</f>
        <v/>
      </c>
      <c r="Q1053" s="34">
        <f>IF($J1053=1,LN(R1054/R1053),"")</f>
        <v/>
      </c>
      <c r="R1053" s="32" t="n">
        <v>1.7657</v>
      </c>
      <c r="S1053" s="35" t="n">
        <v>11.655</v>
      </c>
      <c r="T1053" s="18" t="n"/>
      <c r="U1053" s="18" t="n">
        <v>63479</v>
      </c>
      <c r="V1053" s="18" t="n"/>
      <c r="W1053" s="18" t="n"/>
      <c r="X1053" s="35" t="n">
        <v>11.655</v>
      </c>
      <c r="Y1053" s="35" t="n"/>
    </row>
    <row r="1054">
      <c r="A1054" s="25" t="n">
        <v>40374</v>
      </c>
      <c r="B1054" s="18" t="n">
        <v>63489</v>
      </c>
      <c r="C1054" s="31" t="n"/>
      <c r="D1054" s="32" t="n"/>
      <c r="E1054" s="33" t="n">
        <v>1.4283</v>
      </c>
      <c r="F1054" t="inlineStr">
        <is>
          <t>Up</t>
        </is>
      </c>
      <c r="G1054" t="inlineStr">
        <is>
          <t>Up</t>
        </is>
      </c>
      <c r="H1054" t="inlineStr">
        <is>
          <t>EU_JU</t>
        </is>
      </c>
      <c r="I1054" t="inlineStr">
        <is>
          <t>2010-07</t>
        </is>
      </c>
      <c r="J1054" t="n">
        <v>1</v>
      </c>
      <c r="K1054" t="n">
        <v>1</v>
      </c>
      <c r="L1054" s="34">
        <f>IF($J1054=1,LN(B1055/B1054),"")</f>
        <v/>
      </c>
      <c r="M1054" s="34">
        <f>IF($K1054=1,INDEX(Mensal!$D$2:$D$245,MATCH($I1054,Mensal!$A$2:$A$245,0)),"")</f>
        <v/>
      </c>
      <c r="N1054" s="34">
        <f>IF($K1054=1,L1054-M1054,"")</f>
        <v/>
      </c>
      <c r="O1054" s="34" t="n">
        <v>0.00038334</v>
      </c>
      <c r="P1054" s="34">
        <f>IF($J1054=1,LN(1+O1054),"")</f>
        <v/>
      </c>
      <c r="Q1054" s="34">
        <f>IF($J1054=1,LN(R1055/R1054),"")</f>
        <v/>
      </c>
      <c r="R1054" s="32" t="n">
        <v>1.769</v>
      </c>
      <c r="S1054" s="35" t="n">
        <v>11.555</v>
      </c>
      <c r="T1054" s="18" t="n"/>
      <c r="U1054" s="18" t="n">
        <v>63489</v>
      </c>
      <c r="V1054" s="18" t="n"/>
      <c r="W1054" s="18" t="n"/>
      <c r="X1054" s="35" t="n">
        <v>11.555</v>
      </c>
      <c r="Y1054" s="35" t="n"/>
    </row>
    <row r="1055">
      <c r="A1055" s="25" t="n">
        <v>40375</v>
      </c>
      <c r="B1055" s="18" t="n">
        <v>62339</v>
      </c>
      <c r="C1055" s="31" t="n"/>
      <c r="D1055" s="32" t="n"/>
      <c r="E1055" s="33" t="n">
        <v>1.4321</v>
      </c>
      <c r="F1055" t="inlineStr">
        <is>
          <t>Up</t>
        </is>
      </c>
      <c r="G1055" t="inlineStr">
        <is>
          <t>Up</t>
        </is>
      </c>
      <c r="H1055" t="inlineStr">
        <is>
          <t>EU_JU</t>
        </is>
      </c>
      <c r="I1055" t="inlineStr">
        <is>
          <t>2010-07</t>
        </is>
      </c>
      <c r="J1055" t="n">
        <v>1</v>
      </c>
      <c r="K1055" t="n">
        <v>1</v>
      </c>
      <c r="L1055" s="34">
        <f>IF($J1055=1,LN(B1056/B1055),"")</f>
        <v/>
      </c>
      <c r="M1055" s="34">
        <f>IF($K1055=1,INDEX(Mensal!$D$2:$D$245,MATCH($I1055,Mensal!$A$2:$A$245,0)),"")</f>
        <v/>
      </c>
      <c r="N1055" s="34">
        <f>IF($K1055=1,L1055-M1055,"")</f>
        <v/>
      </c>
      <c r="O1055" s="34" t="n">
        <v>0.00038334</v>
      </c>
      <c r="P1055" s="34">
        <f>IF($J1055=1,LN(1+O1055),"")</f>
        <v/>
      </c>
      <c r="Q1055" s="34">
        <f>IF($J1055=1,LN(R1056/R1055),"")</f>
        <v/>
      </c>
      <c r="R1055" s="32" t="n">
        <v>1.7792</v>
      </c>
      <c r="S1055" s="35" t="n">
        <v>11.465</v>
      </c>
      <c r="T1055" s="18" t="n"/>
      <c r="U1055" s="18" t="n">
        <v>62339</v>
      </c>
      <c r="V1055" s="18" t="n"/>
      <c r="W1055" s="18" t="n"/>
      <c r="X1055" s="35" t="n">
        <v>11.465</v>
      </c>
      <c r="Y1055" s="35" t="n"/>
    </row>
    <row r="1056">
      <c r="A1056" s="25" t="n">
        <v>40378</v>
      </c>
      <c r="B1056" s="18" t="n">
        <v>63297</v>
      </c>
      <c r="C1056" s="31" t="n"/>
      <c r="D1056" s="32" t="n"/>
      <c r="E1056" s="33" t="n">
        <v>1.4317</v>
      </c>
      <c r="F1056" t="inlineStr">
        <is>
          <t>Up</t>
        </is>
      </c>
      <c r="G1056" t="inlineStr">
        <is>
          <t>Up</t>
        </is>
      </c>
      <c r="H1056" t="inlineStr">
        <is>
          <t>EU_JU</t>
        </is>
      </c>
      <c r="I1056" t="inlineStr">
        <is>
          <t>2010-07</t>
        </is>
      </c>
      <c r="J1056" t="n">
        <v>1</v>
      </c>
      <c r="K1056" t="n">
        <v>1</v>
      </c>
      <c r="L1056" s="34">
        <f>IF($J1056=1,LN(B1057/B1056),"")</f>
        <v/>
      </c>
      <c r="M1056" s="34">
        <f>IF($K1056=1,INDEX(Mensal!$D$2:$D$245,MATCH($I1056,Mensal!$A$2:$A$245,0)),"")</f>
        <v/>
      </c>
      <c r="N1056" s="34">
        <f>IF($K1056=1,L1056-M1056,"")</f>
        <v/>
      </c>
      <c r="O1056" s="34" t="n">
        <v>0.00038298</v>
      </c>
      <c r="P1056" s="34">
        <f>IF($J1056=1,LN(1+O1056),"")</f>
        <v/>
      </c>
      <c r="Q1056" s="34">
        <f>IF($J1056=1,LN(R1057/R1056),"")</f>
        <v/>
      </c>
      <c r="R1056" s="32" t="n">
        <v>1.7854</v>
      </c>
      <c r="S1056" s="35" t="n">
        <v>11.505</v>
      </c>
      <c r="T1056" s="18" t="n"/>
      <c r="U1056" s="18" t="n">
        <v>63297</v>
      </c>
      <c r="V1056" s="18" t="n"/>
      <c r="W1056" s="18" t="n"/>
      <c r="X1056" s="35" t="n">
        <v>11.505</v>
      </c>
      <c r="Y1056" s="35" t="n"/>
    </row>
    <row r="1057">
      <c r="A1057" s="25" t="n">
        <v>40379</v>
      </c>
      <c r="B1057" s="18" t="n">
        <v>64462</v>
      </c>
      <c r="C1057" s="31" t="n"/>
      <c r="D1057" s="32" t="n"/>
      <c r="E1057" s="33" t="n">
        <v>1.4368</v>
      </c>
      <c r="F1057" t="inlineStr">
        <is>
          <t>Up</t>
        </is>
      </c>
      <c r="G1057" t="inlineStr">
        <is>
          <t>Up</t>
        </is>
      </c>
      <c r="H1057" t="inlineStr">
        <is>
          <t>EU_JU</t>
        </is>
      </c>
      <c r="I1057" t="inlineStr">
        <is>
          <t>2010-07</t>
        </is>
      </c>
      <c r="J1057" t="n">
        <v>1</v>
      </c>
      <c r="K1057" t="n">
        <v>1</v>
      </c>
      <c r="L1057" s="34">
        <f>IF($J1057=1,LN(B1058/B1057),"")</f>
        <v/>
      </c>
      <c r="M1057" s="34">
        <f>IF($K1057=1,INDEX(Mensal!$D$2:$D$245,MATCH($I1057,Mensal!$A$2:$A$245,0)),"")</f>
        <v/>
      </c>
      <c r="N1057" s="34">
        <f>IF($K1057=1,L1057-M1057,"")</f>
        <v/>
      </c>
      <c r="O1057" s="34" t="n">
        <v>0.00038334</v>
      </c>
      <c r="P1057" s="34">
        <f>IF($J1057=1,LN(1+O1057),"")</f>
        <v/>
      </c>
      <c r="Q1057" s="34">
        <f>IF($J1057=1,LN(R1058/R1057),"")</f>
        <v/>
      </c>
      <c r="R1057" s="32" t="n">
        <v>1.78</v>
      </c>
      <c r="S1057" s="35" t="n">
        <v>11.388</v>
      </c>
      <c r="T1057" s="18" t="n"/>
      <c r="U1057" s="18" t="n">
        <v>64462</v>
      </c>
      <c r="V1057" s="18" t="n"/>
      <c r="W1057" s="18" t="n"/>
      <c r="X1057" s="35" t="n">
        <v>11.388</v>
      </c>
      <c r="Y1057" s="35" t="n"/>
    </row>
    <row r="1058">
      <c r="A1058" s="25" t="n">
        <v>40380</v>
      </c>
      <c r="B1058" s="18" t="n">
        <v>64476</v>
      </c>
      <c r="C1058" s="31" t="n"/>
      <c r="D1058" s="32" t="n"/>
      <c r="E1058" s="33" t="n">
        <v>1.4411</v>
      </c>
      <c r="F1058" t="inlineStr">
        <is>
          <t>Up</t>
        </is>
      </c>
      <c r="G1058" t="inlineStr">
        <is>
          <t>Up</t>
        </is>
      </c>
      <c r="H1058" t="inlineStr">
        <is>
          <t>EU_JU</t>
        </is>
      </c>
      <c r="I1058" t="inlineStr">
        <is>
          <t>2010-07</t>
        </is>
      </c>
      <c r="J1058" t="n">
        <v>1</v>
      </c>
      <c r="K1058" t="n">
        <v>1</v>
      </c>
      <c r="L1058" s="34">
        <f>IF($J1058=1,LN(B1059/B1058),"")</f>
        <v/>
      </c>
      <c r="M1058" s="34">
        <f>IF($K1058=1,INDEX(Mensal!$D$2:$D$245,MATCH($I1058,Mensal!$A$2:$A$245,0)),"")</f>
        <v/>
      </c>
      <c r="N1058" s="34">
        <f>IF($K1058=1,L1058-M1058,"")</f>
        <v/>
      </c>
      <c r="O1058" s="34" t="n">
        <v>0.00038334</v>
      </c>
      <c r="P1058" s="34">
        <f>IF($J1058=1,LN(1+O1058),"")</f>
        <v/>
      </c>
      <c r="Q1058" s="34">
        <f>IF($J1058=1,LN(R1059/R1058),"")</f>
        <v/>
      </c>
      <c r="R1058" s="32" t="n">
        <v>1.7766</v>
      </c>
      <c r="S1058" s="35" t="n">
        <v>11.357</v>
      </c>
      <c r="T1058" s="18" t="n"/>
      <c r="U1058" s="18" t="n">
        <v>64476</v>
      </c>
      <c r="V1058" s="18" t="n"/>
      <c r="W1058" s="18" t="n"/>
      <c r="X1058" s="35" t="n">
        <v>11.357</v>
      </c>
      <c r="Y1058" s="35" t="n"/>
    </row>
    <row r="1059">
      <c r="A1059" s="25" t="n">
        <v>40381</v>
      </c>
      <c r="B1059" s="18" t="n">
        <v>65748</v>
      </c>
      <c r="C1059" s="31" t="n"/>
      <c r="D1059" s="32" t="n"/>
      <c r="E1059" s="33" t="n">
        <v>1.4421</v>
      </c>
      <c r="F1059" t="inlineStr">
        <is>
          <t>Up</t>
        </is>
      </c>
      <c r="G1059" t="inlineStr">
        <is>
          <t>Up</t>
        </is>
      </c>
      <c r="H1059" t="inlineStr">
        <is>
          <t>EU_JU</t>
        </is>
      </c>
      <c r="I1059" t="inlineStr">
        <is>
          <t>2010-07</t>
        </is>
      </c>
      <c r="J1059" t="n">
        <v>1</v>
      </c>
      <c r="K1059" t="n">
        <v>1</v>
      </c>
      <c r="L1059" s="34">
        <f>IF($J1059=1,LN(B1060/B1059),"")</f>
        <v/>
      </c>
      <c r="M1059" s="34">
        <f>IF($K1059=1,INDEX(Mensal!$D$2:$D$245,MATCH($I1059,Mensal!$A$2:$A$245,0)),"")</f>
        <v/>
      </c>
      <c r="N1059" s="34">
        <f>IF($K1059=1,L1059-M1059,"")</f>
        <v/>
      </c>
      <c r="O1059" s="34" t="n">
        <v>0.00040132</v>
      </c>
      <c r="P1059" s="34">
        <f>IF($J1059=1,LN(1+O1059),"")</f>
        <v/>
      </c>
      <c r="Q1059" s="34">
        <f>IF($J1059=1,LN(R1060/R1059),"")</f>
        <v/>
      </c>
      <c r="R1059" s="32" t="n">
        <v>1.7629</v>
      </c>
      <c r="S1059" s="35" t="n">
        <v>11.293</v>
      </c>
      <c r="T1059" s="18" t="n"/>
      <c r="U1059" s="18" t="n">
        <v>65748</v>
      </c>
      <c r="V1059" s="18" t="n"/>
      <c r="W1059" s="18" t="n"/>
      <c r="X1059" s="35" t="n">
        <v>11.293</v>
      </c>
      <c r="Y1059" s="35" t="n"/>
    </row>
    <row r="1060">
      <c r="A1060" s="25" t="n">
        <v>40382</v>
      </c>
      <c r="B1060" s="18" t="n">
        <v>66322</v>
      </c>
      <c r="C1060" s="31" t="n"/>
      <c r="D1060" s="32" t="n"/>
      <c r="E1060" s="33" t="n">
        <v>1.445</v>
      </c>
      <c r="F1060" t="inlineStr">
        <is>
          <t>Up</t>
        </is>
      </c>
      <c r="G1060" t="inlineStr">
        <is>
          <t>Up</t>
        </is>
      </c>
      <c r="H1060" t="inlineStr">
        <is>
          <t>EU_JU</t>
        </is>
      </c>
      <c r="I1060" t="inlineStr">
        <is>
          <t>2010-07</t>
        </is>
      </c>
      <c r="J1060" t="n">
        <v>1</v>
      </c>
      <c r="K1060" t="n">
        <v>1</v>
      </c>
      <c r="L1060" s="34">
        <f>IF($J1060=1,LN(B1061/B1060),"")</f>
        <v/>
      </c>
      <c r="M1060" s="34">
        <f>IF($K1060=1,INDEX(Mensal!$D$2:$D$245,MATCH($I1060,Mensal!$A$2:$A$245,0)),"")</f>
        <v/>
      </c>
      <c r="N1060" s="34">
        <f>IF($K1060=1,L1060-M1060,"")</f>
        <v/>
      </c>
      <c r="O1060" s="34" t="n">
        <v>0.00040132</v>
      </c>
      <c r="P1060" s="34">
        <f>IF($J1060=1,LN(1+O1060),"")</f>
        <v/>
      </c>
      <c r="Q1060" s="34">
        <f>IF($J1060=1,LN(R1061/R1060),"")</f>
        <v/>
      </c>
      <c r="R1060" s="32" t="n">
        <v>1.7617</v>
      </c>
      <c r="S1060" s="35" t="n">
        <v>11.411</v>
      </c>
      <c r="T1060" s="18" t="n"/>
      <c r="U1060" s="18" t="n">
        <v>66322</v>
      </c>
      <c r="V1060" s="18" t="n"/>
      <c r="W1060" s="18" t="n"/>
      <c r="X1060" s="35" t="n">
        <v>11.411</v>
      </c>
      <c r="Y1060" s="35" t="n"/>
    </row>
    <row r="1061">
      <c r="A1061" s="25" t="n">
        <v>40385</v>
      </c>
      <c r="B1061" s="18" t="n">
        <v>66443</v>
      </c>
      <c r="C1061" s="31" t="n"/>
      <c r="D1061" s="32" t="n"/>
      <c r="E1061" s="33" t="n">
        <v>1.4639</v>
      </c>
      <c r="F1061" t="inlineStr">
        <is>
          <t>Up</t>
        </is>
      </c>
      <c r="G1061" t="inlineStr">
        <is>
          <t>Up</t>
        </is>
      </c>
      <c r="H1061" t="inlineStr">
        <is>
          <t>EU_JU</t>
        </is>
      </c>
      <c r="I1061" t="inlineStr">
        <is>
          <t>2010-07</t>
        </is>
      </c>
      <c r="J1061" t="n">
        <v>1</v>
      </c>
      <c r="K1061" t="n">
        <v>1</v>
      </c>
      <c r="L1061" s="34">
        <f>IF($J1061=1,LN(B1062/B1061),"")</f>
        <v/>
      </c>
      <c r="M1061" s="34">
        <f>IF($K1061=1,INDEX(Mensal!$D$2:$D$245,MATCH($I1061,Mensal!$A$2:$A$245,0)),"")</f>
        <v/>
      </c>
      <c r="N1061" s="34">
        <f>IF($K1061=1,L1061-M1061,"")</f>
        <v/>
      </c>
      <c r="O1061" s="34" t="n">
        <v>0.00040132</v>
      </c>
      <c r="P1061" s="34">
        <f>IF($J1061=1,LN(1+O1061),"")</f>
        <v/>
      </c>
      <c r="Q1061" s="34">
        <f>IF($J1061=1,LN(R1062/R1061),"")</f>
        <v/>
      </c>
      <c r="R1061" s="32" t="n">
        <v>1.7669</v>
      </c>
      <c r="S1061" s="35" t="n">
        <v>11.328</v>
      </c>
      <c r="T1061" s="18" t="n"/>
      <c r="U1061" s="18" t="n">
        <v>66443</v>
      </c>
      <c r="V1061" s="18" t="n"/>
      <c r="W1061" s="18" t="n"/>
      <c r="X1061" s="35" t="n">
        <v>11.328</v>
      </c>
      <c r="Y1061" s="35" t="n"/>
    </row>
    <row r="1062">
      <c r="A1062" s="25" t="n">
        <v>40386</v>
      </c>
      <c r="B1062" s="18" t="n">
        <v>66674</v>
      </c>
      <c r="C1062" s="31" t="n"/>
      <c r="D1062" s="32" t="n"/>
      <c r="E1062" s="33" t="n">
        <v>1.4822</v>
      </c>
      <c r="F1062" t="inlineStr">
        <is>
          <t>Up</t>
        </is>
      </c>
      <c r="G1062" t="inlineStr">
        <is>
          <t>Up</t>
        </is>
      </c>
      <c r="H1062" t="inlineStr">
        <is>
          <t>EU_JU</t>
        </is>
      </c>
      <c r="I1062" t="inlineStr">
        <is>
          <t>2010-07</t>
        </is>
      </c>
      <c r="J1062" t="n">
        <v>1</v>
      </c>
      <c r="K1062" t="n">
        <v>1</v>
      </c>
      <c r="L1062" s="34">
        <f>IF($J1062=1,LN(B1063/B1062),"")</f>
        <v/>
      </c>
      <c r="M1062" s="34">
        <f>IF($K1062=1,INDEX(Mensal!$D$2:$D$245,MATCH($I1062,Mensal!$A$2:$A$245,0)),"")</f>
        <v/>
      </c>
      <c r="N1062" s="34">
        <f>IF($K1062=1,L1062-M1062,"")</f>
        <v/>
      </c>
      <c r="O1062" s="34" t="n">
        <v>0.00040096</v>
      </c>
      <c r="P1062" s="34">
        <f>IF($J1062=1,LN(1+O1062),"")</f>
        <v/>
      </c>
      <c r="Q1062" s="34">
        <f>IF($J1062=1,LN(R1063/R1062),"")</f>
        <v/>
      </c>
      <c r="R1062" s="32" t="n">
        <v>1.7658</v>
      </c>
      <c r="S1062" s="35" t="n">
        <v>11.271</v>
      </c>
      <c r="T1062" s="18" t="n"/>
      <c r="U1062" s="18" t="n">
        <v>66674</v>
      </c>
      <c r="V1062" s="18" t="n"/>
      <c r="W1062" s="18" t="n"/>
      <c r="X1062" s="35" t="n">
        <v>11.271</v>
      </c>
      <c r="Y1062" s="35" t="n"/>
    </row>
    <row r="1063">
      <c r="A1063" s="25" t="n">
        <v>40387</v>
      </c>
      <c r="B1063" s="18" t="n">
        <v>66808</v>
      </c>
      <c r="C1063" s="31" t="n"/>
      <c r="D1063" s="32" t="n"/>
      <c r="E1063" s="33" t="n">
        <v>1.4927</v>
      </c>
      <c r="F1063" t="inlineStr">
        <is>
          <t>Up</t>
        </is>
      </c>
      <c r="G1063" t="inlineStr">
        <is>
          <t>Up</t>
        </is>
      </c>
      <c r="H1063" t="inlineStr">
        <is>
          <t>EU_JU</t>
        </is>
      </c>
      <c r="I1063" t="inlineStr">
        <is>
          <t>2010-07</t>
        </is>
      </c>
      <c r="J1063" t="n">
        <v>1</v>
      </c>
      <c r="K1063" t="n">
        <v>1</v>
      </c>
      <c r="L1063" s="34">
        <f>IF($J1063=1,LN(B1064/B1063),"")</f>
        <v/>
      </c>
      <c r="M1063" s="34">
        <f>IF($K1063=1,INDEX(Mensal!$D$2:$D$245,MATCH($I1063,Mensal!$A$2:$A$245,0)),"")</f>
        <v/>
      </c>
      <c r="N1063" s="34">
        <f>IF($K1063=1,L1063-M1063,"")</f>
        <v/>
      </c>
      <c r="O1063" s="34" t="n">
        <v>0.00040096</v>
      </c>
      <c r="P1063" s="34">
        <f>IF($J1063=1,LN(1+O1063),"")</f>
        <v/>
      </c>
      <c r="Q1063" s="34">
        <f>IF($J1063=1,LN(R1064/R1063),"")</f>
        <v/>
      </c>
      <c r="R1063" s="32" t="n">
        <v>1.765</v>
      </c>
      <c r="S1063" s="35" t="n">
        <v>11.262</v>
      </c>
      <c r="T1063" s="18" t="n"/>
      <c r="U1063" s="18" t="n">
        <v>66808</v>
      </c>
      <c r="V1063" s="18" t="n"/>
      <c r="W1063" s="18" t="n"/>
      <c r="X1063" s="35" t="n">
        <v>11.262</v>
      </c>
      <c r="Y1063" s="35" t="n"/>
    </row>
    <row r="1064">
      <c r="A1064" s="25" t="n">
        <v>40388</v>
      </c>
      <c r="B1064" s="18" t="n">
        <v>66953</v>
      </c>
      <c r="C1064" s="31" t="n"/>
      <c r="D1064" s="32" t="n"/>
      <c r="E1064" s="33" t="n">
        <v>1.5001</v>
      </c>
      <c r="F1064" t="inlineStr">
        <is>
          <t>Up</t>
        </is>
      </c>
      <c r="G1064" t="inlineStr">
        <is>
          <t>Up</t>
        </is>
      </c>
      <c r="H1064" t="inlineStr">
        <is>
          <t>EU_JU</t>
        </is>
      </c>
      <c r="I1064" t="inlineStr">
        <is>
          <t>2010-07</t>
        </is>
      </c>
      <c r="J1064" t="n">
        <v>1</v>
      </c>
      <c r="K1064" t="n">
        <v>1</v>
      </c>
      <c r="L1064" s="34">
        <f>IF($J1064=1,LN(B1065/B1064),"")</f>
        <v/>
      </c>
      <c r="M1064" s="34">
        <f>IF($K1064=1,INDEX(Mensal!$D$2:$D$245,MATCH($I1064,Mensal!$A$2:$A$245,0)),"")</f>
        <v/>
      </c>
      <c r="N1064" s="34">
        <f>IF($K1064=1,L1064-M1064,"")</f>
        <v/>
      </c>
      <c r="O1064" s="34" t="n">
        <v>0.00040096</v>
      </c>
      <c r="P1064" s="34">
        <f>IF($J1064=1,LN(1+O1064),"")</f>
        <v/>
      </c>
      <c r="Q1064" s="34">
        <f>IF($J1064=1,LN(R1065/R1064),"")</f>
        <v/>
      </c>
      <c r="R1064" s="32" t="n">
        <v>1.7643</v>
      </c>
      <c r="S1064" s="35" t="n">
        <v>11.232</v>
      </c>
      <c r="T1064" s="18" t="n"/>
      <c r="U1064" s="18" t="n">
        <v>66953</v>
      </c>
      <c r="V1064" s="18" t="n"/>
      <c r="W1064" s="18" t="n"/>
      <c r="X1064" s="35" t="n">
        <v>11.232</v>
      </c>
      <c r="Y1064" s="35" t="n"/>
    </row>
    <row r="1065">
      <c r="A1065" s="25" t="n">
        <v>40389</v>
      </c>
      <c r="B1065" s="18" t="n">
        <v>67515</v>
      </c>
      <c r="C1065" s="31" t="n"/>
      <c r="D1065" s="32" t="n"/>
      <c r="E1065" s="33" t="n">
        <v>1.5056</v>
      </c>
      <c r="F1065" t="inlineStr">
        <is>
          <t>Up</t>
        </is>
      </c>
      <c r="G1065" t="inlineStr">
        <is>
          <t>Up</t>
        </is>
      </c>
      <c r="H1065" t="inlineStr">
        <is>
          <t>EU_JU</t>
        </is>
      </c>
      <c r="I1065" t="inlineStr">
        <is>
          <t>2010-07</t>
        </is>
      </c>
      <c r="J1065" t="n">
        <v>1</v>
      </c>
      <c r="K1065" t="n">
        <v>1</v>
      </c>
      <c r="L1065" s="34">
        <f>IF($J1065=1,LN(B1066/B1065),"")</f>
        <v/>
      </c>
      <c r="M1065" s="34">
        <f>IF($K1065=1,INDEX(Mensal!$D$2:$D$245,MATCH($I1065,Mensal!$A$2:$A$245,0)),"")</f>
        <v/>
      </c>
      <c r="N1065" s="34">
        <f>IF($K1065=1,L1065-M1065,"")</f>
        <v/>
      </c>
      <c r="O1065" s="34" t="n">
        <v>0.00040096</v>
      </c>
      <c r="P1065" s="34">
        <f>IF($J1065=1,LN(1+O1065),"")</f>
        <v/>
      </c>
      <c r="Q1065" s="34">
        <f>IF($J1065=1,LN(R1066/R1065),"")</f>
        <v/>
      </c>
      <c r="R1065" s="32" t="n">
        <v>1.7572</v>
      </c>
      <c r="S1065" s="35" t="n">
        <v>11.159</v>
      </c>
      <c r="T1065" s="18" t="n"/>
      <c r="U1065" s="18" t="n">
        <v>67515</v>
      </c>
      <c r="V1065" s="18" t="n"/>
      <c r="W1065" s="18" t="n"/>
      <c r="X1065" s="35" t="n">
        <v>11.159</v>
      </c>
      <c r="Y1065" s="35" t="n"/>
    </row>
    <row r="1066">
      <c r="A1066" s="25" t="n">
        <v>40392</v>
      </c>
      <c r="B1066" s="18" t="n">
        <v>68517</v>
      </c>
      <c r="C1066" s="31" t="n"/>
      <c r="D1066" s="32" t="n"/>
      <c r="E1066" s="33" t="n">
        <v>1.4819</v>
      </c>
      <c r="F1066" t="inlineStr">
        <is>
          <t>Up</t>
        </is>
      </c>
      <c r="G1066" t="inlineStr">
        <is>
          <t>Up</t>
        </is>
      </c>
      <c r="H1066" t="inlineStr">
        <is>
          <t>EU_JU</t>
        </is>
      </c>
      <c r="I1066" t="inlineStr">
        <is>
          <t>2010-08</t>
        </is>
      </c>
      <c r="J1066" t="n">
        <v>1</v>
      </c>
      <c r="K1066" t="n">
        <v>1</v>
      </c>
      <c r="L1066" s="34">
        <f>IF($J1066=1,LN(B1067/B1066),"")</f>
        <v/>
      </c>
      <c r="M1066" s="34">
        <f>IF($K1066=1,INDEX(Mensal!$D$2:$D$245,MATCH($I1066,Mensal!$A$2:$A$245,0)),"")</f>
        <v/>
      </c>
      <c r="N1066" s="34">
        <f>IF($K1066=1,L1066-M1066,"")</f>
        <v/>
      </c>
      <c r="O1066" s="34" t="n">
        <v>0.00040168</v>
      </c>
      <c r="P1066" s="34">
        <f>IF($J1066=1,LN(1+O1066),"")</f>
        <v/>
      </c>
      <c r="Q1066" s="34">
        <f>IF($J1066=1,LN(R1067/R1066),"")</f>
        <v/>
      </c>
      <c r="R1066" s="32" t="n">
        <v>1.7489</v>
      </c>
      <c r="S1066" s="35" t="n">
        <v>11.206</v>
      </c>
      <c r="T1066" s="18" t="n"/>
      <c r="U1066" s="18" t="n">
        <v>68517</v>
      </c>
      <c r="V1066" s="18" t="n"/>
      <c r="W1066" s="18" t="n"/>
      <c r="X1066" s="35" t="n">
        <v>11.206</v>
      </c>
      <c r="Y1066" s="35" t="n"/>
    </row>
    <row r="1067">
      <c r="A1067" s="25" t="n">
        <v>40393</v>
      </c>
      <c r="B1067" s="18" t="n">
        <v>67997</v>
      </c>
      <c r="C1067" s="31" t="n"/>
      <c r="D1067" s="32" t="n"/>
      <c r="E1067" s="33" t="n">
        <v>1.4564</v>
      </c>
      <c r="F1067" t="inlineStr">
        <is>
          <t>Up</t>
        </is>
      </c>
      <c r="G1067" t="inlineStr">
        <is>
          <t>Up</t>
        </is>
      </c>
      <c r="H1067" t="inlineStr">
        <is>
          <t>EU_JU</t>
        </is>
      </c>
      <c r="I1067" t="inlineStr">
        <is>
          <t>2010-08</t>
        </is>
      </c>
      <c r="J1067" t="n">
        <v>1</v>
      </c>
      <c r="K1067" t="n">
        <v>1</v>
      </c>
      <c r="L1067" s="34">
        <f>IF($J1067=1,LN(B1068/B1067),"")</f>
        <v/>
      </c>
      <c r="M1067" s="34">
        <f>IF($K1067=1,INDEX(Mensal!$D$2:$D$245,MATCH($I1067,Mensal!$A$2:$A$245,0)),"")</f>
        <v/>
      </c>
      <c r="N1067" s="34">
        <f>IF($K1067=1,L1067-M1067,"")</f>
        <v/>
      </c>
      <c r="O1067" s="34" t="n">
        <v>0.00040132</v>
      </c>
      <c r="P1067" s="34">
        <f>IF($J1067=1,LN(1+O1067),"")</f>
        <v/>
      </c>
      <c r="Q1067" s="34">
        <f>IF($J1067=1,LN(R1068/R1067),"")</f>
        <v/>
      </c>
      <c r="R1067" s="32" t="n">
        <v>1.7594</v>
      </c>
      <c r="S1067" s="35" t="n">
        <v>11.255</v>
      </c>
      <c r="T1067" s="18" t="n"/>
      <c r="U1067" s="18" t="n">
        <v>67997</v>
      </c>
      <c r="V1067" s="18" t="n"/>
      <c r="W1067" s="18" t="n"/>
      <c r="X1067" s="35" t="n">
        <v>11.255</v>
      </c>
      <c r="Y1067" s="35" t="n"/>
    </row>
    <row r="1068">
      <c r="A1068" s="25" t="n">
        <v>40394</v>
      </c>
      <c r="B1068" s="18" t="n">
        <v>68272</v>
      </c>
      <c r="C1068" s="31" t="n"/>
      <c r="D1068" s="32" t="n"/>
      <c r="E1068" s="33" t="n">
        <v>1.4267</v>
      </c>
      <c r="F1068" t="inlineStr">
        <is>
          <t>Up</t>
        </is>
      </c>
      <c r="G1068" t="inlineStr">
        <is>
          <t>Up</t>
        </is>
      </c>
      <c r="H1068" t="inlineStr">
        <is>
          <t>EU_JU</t>
        </is>
      </c>
      <c r="I1068" t="inlineStr">
        <is>
          <t>2010-08</t>
        </is>
      </c>
      <c r="J1068" t="n">
        <v>1</v>
      </c>
      <c r="K1068" t="n">
        <v>1</v>
      </c>
      <c r="L1068" s="34">
        <f>IF($J1068=1,LN(B1069/B1068),"")</f>
        <v/>
      </c>
      <c r="M1068" s="34">
        <f>IF($K1068=1,INDEX(Mensal!$D$2:$D$245,MATCH($I1068,Mensal!$A$2:$A$245,0)),"")</f>
        <v/>
      </c>
      <c r="N1068" s="34">
        <f>IF($K1068=1,L1068-M1068,"")</f>
        <v/>
      </c>
      <c r="O1068" s="34" t="n">
        <v>0.00040132</v>
      </c>
      <c r="P1068" s="34">
        <f>IF($J1068=1,LN(1+O1068),"")</f>
        <v/>
      </c>
      <c r="Q1068" s="34">
        <f>IF($J1068=1,LN(R1069/R1068),"")</f>
        <v/>
      </c>
      <c r="R1068" s="32" t="n">
        <v>1.7563</v>
      </c>
      <c r="S1068" s="35" t="n">
        <v>11.339</v>
      </c>
      <c r="T1068" s="18" t="n"/>
      <c r="U1068" s="18" t="n">
        <v>68272</v>
      </c>
      <c r="V1068" s="18" t="n"/>
      <c r="W1068" s="18" t="n"/>
      <c r="X1068" s="35" t="n">
        <v>11.339</v>
      </c>
      <c r="Y1068" s="35" t="n"/>
    </row>
    <row r="1069">
      <c r="A1069" s="25" t="n">
        <v>40395</v>
      </c>
      <c r="B1069" s="18" t="n">
        <v>68411</v>
      </c>
      <c r="C1069" s="31" t="n"/>
      <c r="D1069" s="32" t="n"/>
      <c r="E1069" s="33" t="n">
        <v>1.4153</v>
      </c>
      <c r="F1069" t="inlineStr">
        <is>
          <t>Up</t>
        </is>
      </c>
      <c r="G1069" t="inlineStr">
        <is>
          <t>Up</t>
        </is>
      </c>
      <c r="H1069" t="inlineStr">
        <is>
          <t>EU_JU</t>
        </is>
      </c>
      <c r="I1069" t="inlineStr">
        <is>
          <t>2010-08</t>
        </is>
      </c>
      <c r="J1069" t="n">
        <v>1</v>
      </c>
      <c r="K1069" t="n">
        <v>1</v>
      </c>
      <c r="L1069" s="34">
        <f>IF($J1069=1,LN(B1070/B1069),"")</f>
        <v/>
      </c>
      <c r="M1069" s="34">
        <f>IF($K1069=1,INDEX(Mensal!$D$2:$D$245,MATCH($I1069,Mensal!$A$2:$A$245,0)),"")</f>
        <v/>
      </c>
      <c r="N1069" s="34">
        <f>IF($K1069=1,L1069-M1069,"")</f>
        <v/>
      </c>
      <c r="O1069" s="34" t="n">
        <v>0.00040132</v>
      </c>
      <c r="P1069" s="34">
        <f>IF($J1069=1,LN(1+O1069),"")</f>
        <v/>
      </c>
      <c r="Q1069" s="34">
        <f>IF($J1069=1,LN(R1070/R1069),"")</f>
        <v/>
      </c>
      <c r="R1069" s="32" t="n">
        <v>1.7535</v>
      </c>
      <c r="S1069" s="35" t="n">
        <v>11.261</v>
      </c>
      <c r="T1069" s="18" t="n"/>
      <c r="U1069" s="18" t="n">
        <v>68411</v>
      </c>
      <c r="V1069" s="18" t="n"/>
      <c r="W1069" s="18" t="n"/>
      <c r="X1069" s="35" t="n">
        <v>11.261</v>
      </c>
      <c r="Y1069" s="35" t="n"/>
    </row>
    <row r="1070">
      <c r="A1070" s="25" t="n">
        <v>40396</v>
      </c>
      <c r="B1070" s="18" t="n">
        <v>68094</v>
      </c>
      <c r="C1070" s="31" t="n"/>
      <c r="D1070" s="32" t="n"/>
      <c r="E1070" s="33" t="n">
        <v>1.4038</v>
      </c>
      <c r="F1070" t="inlineStr">
        <is>
          <t>Up</t>
        </is>
      </c>
      <c r="G1070" t="inlineStr">
        <is>
          <t>Up</t>
        </is>
      </c>
      <c r="H1070" t="inlineStr">
        <is>
          <t>EU_JU</t>
        </is>
      </c>
      <c r="I1070" t="inlineStr">
        <is>
          <t>2010-08</t>
        </is>
      </c>
      <c r="J1070" t="n">
        <v>1</v>
      </c>
      <c r="K1070" t="n">
        <v>1</v>
      </c>
      <c r="L1070" s="34">
        <f>IF($J1070=1,LN(B1071/B1070),"")</f>
        <v/>
      </c>
      <c r="M1070" s="34">
        <f>IF($K1070=1,INDEX(Mensal!$D$2:$D$245,MATCH($I1070,Mensal!$A$2:$A$245,0)),"")</f>
        <v/>
      </c>
      <c r="N1070" s="34">
        <f>IF($K1070=1,L1070-M1070,"")</f>
        <v/>
      </c>
      <c r="O1070" s="34" t="n">
        <v>0.00040132</v>
      </c>
      <c r="P1070" s="34">
        <f>IF($J1070=1,LN(1+O1070),"")</f>
        <v/>
      </c>
      <c r="Q1070" s="34">
        <f>IF($J1070=1,LN(R1071/R1070),"")</f>
        <v/>
      </c>
      <c r="R1070" s="32" t="n">
        <v>1.7566</v>
      </c>
      <c r="S1070" s="35" t="n">
        <v>11.269</v>
      </c>
      <c r="T1070" s="18" t="n"/>
      <c r="U1070" s="18" t="n">
        <v>68094</v>
      </c>
      <c r="V1070" s="18" t="n"/>
      <c r="W1070" s="18" t="n"/>
      <c r="X1070" s="35" t="n">
        <v>11.269</v>
      </c>
      <c r="Y1070" s="35" t="n"/>
    </row>
    <row r="1071">
      <c r="A1071" s="25" t="n">
        <v>40399</v>
      </c>
      <c r="B1071" s="18" t="n">
        <v>67862</v>
      </c>
      <c r="C1071" s="31" t="n"/>
      <c r="D1071" s="32" t="n"/>
      <c r="E1071" s="33" t="n">
        <v>1.4031</v>
      </c>
      <c r="F1071" t="inlineStr">
        <is>
          <t>Up</t>
        </is>
      </c>
      <c r="G1071" t="inlineStr">
        <is>
          <t>Up</t>
        </is>
      </c>
      <c r="H1071" t="inlineStr">
        <is>
          <t>EU_JU</t>
        </is>
      </c>
      <c r="I1071" t="inlineStr">
        <is>
          <t>2010-08</t>
        </is>
      </c>
      <c r="J1071" t="n">
        <v>1</v>
      </c>
      <c r="K1071" t="n">
        <v>1</v>
      </c>
      <c r="L1071" s="34">
        <f>IF($J1071=1,LN(B1072/B1071),"")</f>
        <v/>
      </c>
      <c r="M1071" s="34">
        <f>IF($K1071=1,INDEX(Mensal!$D$2:$D$245,MATCH($I1071,Mensal!$A$2:$A$245,0)),"")</f>
        <v/>
      </c>
      <c r="N1071" s="34">
        <f>IF($K1071=1,L1071-M1071,"")</f>
        <v/>
      </c>
      <c r="O1071" s="34" t="n">
        <v>0.00040132</v>
      </c>
      <c r="P1071" s="34">
        <f>IF($J1071=1,LN(1+O1071),"")</f>
        <v/>
      </c>
      <c r="Q1071" s="34">
        <f>IF($J1071=1,LN(R1072/R1071),"")</f>
        <v/>
      </c>
      <c r="R1071" s="32" t="n">
        <v>1.7537</v>
      </c>
      <c r="S1071" s="35" t="n">
        <v>11.241</v>
      </c>
      <c r="T1071" s="18" t="n"/>
      <c r="U1071" s="18" t="n">
        <v>67862</v>
      </c>
      <c r="V1071" s="18" t="n"/>
      <c r="W1071" s="18" t="n"/>
      <c r="X1071" s="35" t="n">
        <v>11.241</v>
      </c>
      <c r="Y1071" s="35" t="n"/>
    </row>
    <row r="1072">
      <c r="A1072" s="25" t="n">
        <v>40400</v>
      </c>
      <c r="B1072" s="18" t="n">
        <v>67223</v>
      </c>
      <c r="C1072" s="31" t="n"/>
      <c r="D1072" s="32" t="n"/>
      <c r="E1072" s="33" t="n">
        <v>1.398</v>
      </c>
      <c r="F1072" t="inlineStr">
        <is>
          <t>Up</t>
        </is>
      </c>
      <c r="G1072" t="inlineStr">
        <is>
          <t>Up</t>
        </is>
      </c>
      <c r="H1072" t="inlineStr">
        <is>
          <t>EU_JU</t>
        </is>
      </c>
      <c r="I1072" t="inlineStr">
        <is>
          <t>2010-08</t>
        </is>
      </c>
      <c r="J1072" t="n">
        <v>1</v>
      </c>
      <c r="K1072" t="n">
        <v>1</v>
      </c>
      <c r="L1072" s="34">
        <f>IF($J1072=1,LN(B1073/B1072),"")</f>
        <v/>
      </c>
      <c r="M1072" s="34">
        <f>IF($K1072=1,INDEX(Mensal!$D$2:$D$245,MATCH($I1072,Mensal!$A$2:$A$245,0)),"")</f>
        <v/>
      </c>
      <c r="N1072" s="34">
        <f>IF($K1072=1,L1072-M1072,"")</f>
        <v/>
      </c>
      <c r="O1072" s="34" t="n">
        <v>0.00040132</v>
      </c>
      <c r="P1072" s="34">
        <f>IF($J1072=1,LN(1+O1072),"")</f>
        <v/>
      </c>
      <c r="Q1072" s="34">
        <f>IF($J1072=1,LN(R1073/R1072),"")</f>
        <v/>
      </c>
      <c r="R1072" s="32" t="n">
        <v>1.7576</v>
      </c>
      <c r="S1072" s="35" t="n">
        <v>11.248</v>
      </c>
      <c r="T1072" s="18" t="n"/>
      <c r="U1072" s="18" t="n">
        <v>67223</v>
      </c>
      <c r="V1072" s="18" t="n"/>
      <c r="W1072" s="18" t="n"/>
      <c r="X1072" s="35" t="n">
        <v>11.248</v>
      </c>
      <c r="Y1072" s="35" t="n"/>
    </row>
    <row r="1073">
      <c r="A1073" s="25" t="n">
        <v>40401</v>
      </c>
      <c r="B1073" s="18" t="n">
        <v>65790</v>
      </c>
      <c r="C1073" s="31" t="n"/>
      <c r="D1073" s="32" t="n"/>
      <c r="E1073" s="33" t="n">
        <v>1.3919</v>
      </c>
      <c r="F1073" t="inlineStr">
        <is>
          <t>Up</t>
        </is>
      </c>
      <c r="G1073" t="inlineStr">
        <is>
          <t>Up</t>
        </is>
      </c>
      <c r="H1073" t="inlineStr">
        <is>
          <t>EU_JU</t>
        </is>
      </c>
      <c r="I1073" t="inlineStr">
        <is>
          <t>2010-08</t>
        </is>
      </c>
      <c r="J1073" t="n">
        <v>1</v>
      </c>
      <c r="K1073" t="n">
        <v>1</v>
      </c>
      <c r="L1073" s="34">
        <f>IF($J1073=1,LN(B1074/B1073),"")</f>
        <v/>
      </c>
      <c r="M1073" s="34">
        <f>IF($K1073=1,INDEX(Mensal!$D$2:$D$245,MATCH($I1073,Mensal!$A$2:$A$245,0)),"")</f>
        <v/>
      </c>
      <c r="N1073" s="34">
        <f>IF($K1073=1,L1073-M1073,"")</f>
        <v/>
      </c>
      <c r="O1073" s="34" t="n">
        <v>0.00040132</v>
      </c>
      <c r="P1073" s="34">
        <f>IF($J1073=1,LN(1+O1073),"")</f>
        <v/>
      </c>
      <c r="Q1073" s="34">
        <f>IF($J1073=1,LN(R1074/R1073),"")</f>
        <v/>
      </c>
      <c r="R1073" s="32" t="n">
        <v>1.7663</v>
      </c>
      <c r="S1073" s="35" t="n">
        <v>11.294</v>
      </c>
      <c r="T1073" s="18" t="n"/>
      <c r="U1073" s="18" t="n">
        <v>65790</v>
      </c>
      <c r="V1073" s="18" t="n"/>
      <c r="W1073" s="18" t="n"/>
      <c r="X1073" s="35" t="n">
        <v>11.294</v>
      </c>
      <c r="Y1073" s="35" t="n"/>
    </row>
    <row r="1074">
      <c r="A1074" s="25" t="n">
        <v>40402</v>
      </c>
      <c r="B1074" s="18" t="n">
        <v>65966</v>
      </c>
      <c r="C1074" s="31" t="n"/>
      <c r="D1074" s="32" t="n"/>
      <c r="E1074" s="33" t="n">
        <v>1.3846</v>
      </c>
      <c r="F1074" t="inlineStr">
        <is>
          <t>Up</t>
        </is>
      </c>
      <c r="G1074" t="inlineStr">
        <is>
          <t>Up</t>
        </is>
      </c>
      <c r="H1074" t="inlineStr">
        <is>
          <t>EU_JU</t>
        </is>
      </c>
      <c r="I1074" t="inlineStr">
        <is>
          <t>2010-08</t>
        </is>
      </c>
      <c r="J1074" t="n">
        <v>1</v>
      </c>
      <c r="K1074" t="n">
        <v>1</v>
      </c>
      <c r="L1074" s="34">
        <f>IF($J1074=1,LN(B1075/B1074),"")</f>
        <v/>
      </c>
      <c r="M1074" s="34">
        <f>IF($K1074=1,INDEX(Mensal!$D$2:$D$245,MATCH($I1074,Mensal!$A$2:$A$245,0)),"")</f>
        <v/>
      </c>
      <c r="N1074" s="34">
        <f>IF($K1074=1,L1074-M1074,"")</f>
        <v/>
      </c>
      <c r="O1074" s="34" t="n">
        <v>0.00040132</v>
      </c>
      <c r="P1074" s="34">
        <f>IF($J1074=1,LN(1+O1074),"")</f>
        <v/>
      </c>
      <c r="Q1074" s="34">
        <f>IF($J1074=1,LN(R1075/R1074),"")</f>
        <v/>
      </c>
      <c r="R1074" s="32" t="n">
        <v>1.7731</v>
      </c>
      <c r="S1074" s="35" t="n">
        <v>11.249</v>
      </c>
      <c r="T1074" s="18" t="n"/>
      <c r="U1074" s="18" t="n">
        <v>65966</v>
      </c>
      <c r="V1074" s="18" t="n"/>
      <c r="W1074" s="18" t="n"/>
      <c r="X1074" s="35" t="n">
        <v>11.249</v>
      </c>
      <c r="Y1074" s="35" t="n"/>
    </row>
    <row r="1075">
      <c r="A1075" s="25" t="n">
        <v>40403</v>
      </c>
      <c r="B1075" s="18" t="n">
        <v>66264</v>
      </c>
      <c r="C1075" s="31" t="n"/>
      <c r="D1075" s="32" t="n"/>
      <c r="E1075" s="33" t="n">
        <v>1.3731</v>
      </c>
      <c r="F1075" t="inlineStr">
        <is>
          <t>Up</t>
        </is>
      </c>
      <c r="G1075" t="inlineStr">
        <is>
          <t>Up</t>
        </is>
      </c>
      <c r="H1075" t="inlineStr">
        <is>
          <t>EU_JU</t>
        </is>
      </c>
      <c r="I1075" t="inlineStr">
        <is>
          <t>2010-08</t>
        </is>
      </c>
      <c r="J1075" t="n">
        <v>1</v>
      </c>
      <c r="K1075" t="n">
        <v>1</v>
      </c>
      <c r="L1075" s="34">
        <f>IF($J1075=1,LN(B1076/B1075),"")</f>
        <v/>
      </c>
      <c r="M1075" s="34">
        <f>IF($K1075=1,INDEX(Mensal!$D$2:$D$245,MATCH($I1075,Mensal!$A$2:$A$245,0)),"")</f>
        <v/>
      </c>
      <c r="N1075" s="34">
        <f>IF($K1075=1,L1075-M1075,"")</f>
        <v/>
      </c>
      <c r="O1075" s="34" t="n">
        <v>0.00040132</v>
      </c>
      <c r="P1075" s="34">
        <f>IF($J1075=1,LN(1+O1075),"")</f>
        <v/>
      </c>
      <c r="Q1075" s="34">
        <f>IF($J1075=1,LN(R1076/R1075),"")</f>
        <v/>
      </c>
      <c r="R1075" s="32" t="n">
        <v>1.7716</v>
      </c>
      <c r="S1075" s="35" t="n">
        <v>11.223</v>
      </c>
      <c r="T1075" s="18" t="n"/>
      <c r="U1075" s="18" t="n">
        <v>66264</v>
      </c>
      <c r="V1075" s="18" t="n"/>
      <c r="W1075" s="18" t="n"/>
      <c r="X1075" s="35" t="n">
        <v>11.223</v>
      </c>
      <c r="Y1075" s="35" t="n"/>
    </row>
    <row r="1076">
      <c r="A1076" s="25" t="n">
        <v>40406</v>
      </c>
      <c r="B1076" s="18" t="n">
        <v>66701</v>
      </c>
      <c r="C1076" s="31" t="n"/>
      <c r="D1076" s="32" t="n"/>
      <c r="E1076" s="33" t="n">
        <v>1.3658</v>
      </c>
      <c r="F1076" t="inlineStr">
        <is>
          <t>Up</t>
        </is>
      </c>
      <c r="G1076" t="inlineStr">
        <is>
          <t>Up</t>
        </is>
      </c>
      <c r="H1076" t="inlineStr">
        <is>
          <t>EU_JU</t>
        </is>
      </c>
      <c r="I1076" t="inlineStr">
        <is>
          <t>2010-08</t>
        </is>
      </c>
      <c r="J1076" t="n">
        <v>1</v>
      </c>
      <c r="K1076" t="n">
        <v>1</v>
      </c>
      <c r="L1076" s="34">
        <f>IF($J1076=1,LN(B1077/B1076),"")</f>
        <v/>
      </c>
      <c r="M1076" s="34">
        <f>IF($K1076=1,INDEX(Mensal!$D$2:$D$245,MATCH($I1076,Mensal!$A$2:$A$245,0)),"")</f>
        <v/>
      </c>
      <c r="N1076" s="34">
        <f>IF($K1076=1,L1076-M1076,"")</f>
        <v/>
      </c>
      <c r="O1076" s="34" t="n">
        <v>0.00040132</v>
      </c>
      <c r="P1076" s="34">
        <f>IF($J1076=1,LN(1+O1076),"")</f>
        <v/>
      </c>
      <c r="Q1076" s="34">
        <f>IF($J1076=1,LN(R1077/R1076),"")</f>
        <v/>
      </c>
      <c r="R1076" s="32" t="n">
        <v>1.7639</v>
      </c>
      <c r="S1076" s="35" t="n">
        <v>11.147</v>
      </c>
      <c r="T1076" s="18" t="n"/>
      <c r="U1076" s="18" t="n">
        <v>66701</v>
      </c>
      <c r="V1076" s="18" t="n"/>
      <c r="W1076" s="18" t="n"/>
      <c r="X1076" s="35" t="n">
        <v>11.147</v>
      </c>
      <c r="Y1076" s="35" t="n"/>
    </row>
    <row r="1077">
      <c r="A1077" s="25" t="n">
        <v>40407</v>
      </c>
      <c r="B1077" s="18" t="n">
        <v>67583</v>
      </c>
      <c r="C1077" s="31" t="n"/>
      <c r="D1077" s="32" t="n"/>
      <c r="E1077" s="33" t="n">
        <v>1.3549</v>
      </c>
      <c r="F1077" t="inlineStr">
        <is>
          <t>Up</t>
        </is>
      </c>
      <c r="G1077" t="inlineStr">
        <is>
          <t>Up</t>
        </is>
      </c>
      <c r="H1077" t="inlineStr">
        <is>
          <t>EU_JU</t>
        </is>
      </c>
      <c r="I1077" t="inlineStr">
        <is>
          <t>2010-08</t>
        </is>
      </c>
      <c r="J1077" t="n">
        <v>1</v>
      </c>
      <c r="K1077" t="n">
        <v>1</v>
      </c>
      <c r="L1077" s="34">
        <f>IF($J1077=1,LN(B1078/B1077),"")</f>
        <v/>
      </c>
      <c r="M1077" s="34">
        <f>IF($K1077=1,INDEX(Mensal!$D$2:$D$245,MATCH($I1077,Mensal!$A$2:$A$245,0)),"")</f>
        <v/>
      </c>
      <c r="N1077" s="34">
        <f>IF($K1077=1,L1077-M1077,"")</f>
        <v/>
      </c>
      <c r="O1077" s="34" t="n">
        <v>0.00040132</v>
      </c>
      <c r="P1077" s="34">
        <f>IF($J1077=1,LN(1+O1077),"")</f>
        <v/>
      </c>
      <c r="Q1077" s="34">
        <f>IF($J1077=1,LN(R1078/R1077),"")</f>
        <v/>
      </c>
      <c r="R1077" s="32" t="n">
        <v>1.7528</v>
      </c>
      <c r="S1077" s="35" t="n">
        <v>11.139</v>
      </c>
      <c r="T1077" s="18" t="n"/>
      <c r="U1077" s="18" t="n">
        <v>67583</v>
      </c>
      <c r="V1077" s="18" t="n"/>
      <c r="W1077" s="18" t="n"/>
      <c r="X1077" s="35" t="n">
        <v>11.139</v>
      </c>
      <c r="Y1077" s="35" t="n"/>
    </row>
    <row r="1078">
      <c r="A1078" s="25" t="n">
        <v>40408</v>
      </c>
      <c r="B1078" s="18" t="n">
        <v>67638</v>
      </c>
      <c r="C1078" s="31" t="n"/>
      <c r="D1078" s="32" t="n"/>
      <c r="E1078" s="33" t="n">
        <v>1.3515</v>
      </c>
      <c r="F1078" t="inlineStr">
        <is>
          <t>Up</t>
        </is>
      </c>
      <c r="G1078" t="inlineStr">
        <is>
          <t>Up</t>
        </is>
      </c>
      <c r="H1078" t="inlineStr">
        <is>
          <t>EU_JU</t>
        </is>
      </c>
      <c r="I1078" t="inlineStr">
        <is>
          <t>2010-08</t>
        </is>
      </c>
      <c r="J1078" t="n">
        <v>1</v>
      </c>
      <c r="K1078" t="n">
        <v>1</v>
      </c>
      <c r="L1078" s="34">
        <f>IF($J1078=1,LN(B1079/B1078),"")</f>
        <v/>
      </c>
      <c r="M1078" s="34">
        <f>IF($K1078=1,INDEX(Mensal!$D$2:$D$245,MATCH($I1078,Mensal!$A$2:$A$245,0)),"")</f>
        <v/>
      </c>
      <c r="N1078" s="34">
        <f>IF($K1078=1,L1078-M1078,"")</f>
        <v/>
      </c>
      <c r="O1078" s="34" t="n">
        <v>0.00040096</v>
      </c>
      <c r="P1078" s="34">
        <f>IF($J1078=1,LN(1+O1078),"")</f>
        <v/>
      </c>
      <c r="Q1078" s="34">
        <f>IF($J1078=1,LN(R1079/R1078),"")</f>
        <v/>
      </c>
      <c r="R1078" s="32" t="n">
        <v>1.7513</v>
      </c>
      <c r="S1078" s="35" t="n">
        <v>11.11</v>
      </c>
      <c r="T1078" s="18" t="n"/>
      <c r="U1078" s="18" t="n">
        <v>67638</v>
      </c>
      <c r="V1078" s="18" t="n"/>
      <c r="W1078" s="18" t="n"/>
      <c r="X1078" s="35" t="n">
        <v>11.11</v>
      </c>
      <c r="Y1078" s="35" t="n"/>
    </row>
    <row r="1079">
      <c r="A1079" s="25" t="n">
        <v>40409</v>
      </c>
      <c r="B1079" s="18" t="n">
        <v>66887</v>
      </c>
      <c r="C1079" s="31" t="n"/>
      <c r="D1079" s="32" t="n"/>
      <c r="E1079" s="33" t="n">
        <v>1.3472</v>
      </c>
      <c r="F1079" t="inlineStr">
        <is>
          <t>Up</t>
        </is>
      </c>
      <c r="G1079" t="inlineStr">
        <is>
          <t>Up</t>
        </is>
      </c>
      <c r="H1079" t="inlineStr">
        <is>
          <t>EU_JU</t>
        </is>
      </c>
      <c r="I1079" t="inlineStr">
        <is>
          <t>2010-08</t>
        </is>
      </c>
      <c r="J1079" t="n">
        <v>1</v>
      </c>
      <c r="K1079" t="n">
        <v>1</v>
      </c>
      <c r="L1079" s="34">
        <f>IF($J1079=1,LN(B1080/B1079),"")</f>
        <v/>
      </c>
      <c r="M1079" s="34">
        <f>IF($K1079=1,INDEX(Mensal!$D$2:$D$245,MATCH($I1079,Mensal!$A$2:$A$245,0)),"")</f>
        <v/>
      </c>
      <c r="N1079" s="34">
        <f>IF($K1079=1,L1079-M1079,"")</f>
        <v/>
      </c>
      <c r="O1079" s="34" t="n">
        <v>0.00040096</v>
      </c>
      <c r="P1079" s="34">
        <f>IF($J1079=1,LN(1+O1079),"")</f>
        <v/>
      </c>
      <c r="Q1079" s="34">
        <f>IF($J1079=1,LN(R1080/R1079),"")</f>
        <v/>
      </c>
      <c r="R1079" s="32" t="n">
        <v>1.7584</v>
      </c>
      <c r="S1079" s="35" t="n">
        <v>11.086</v>
      </c>
      <c r="T1079" s="18" t="n"/>
      <c r="U1079" s="18" t="n">
        <v>66887</v>
      </c>
      <c r="V1079" s="18" t="n"/>
      <c r="W1079" s="18" t="n"/>
      <c r="X1079" s="35" t="n">
        <v>11.086</v>
      </c>
      <c r="Y1079" s="35" t="n"/>
    </row>
    <row r="1080">
      <c r="A1080" s="25" t="n">
        <v>40410</v>
      </c>
      <c r="B1080" s="18" t="n">
        <v>66677</v>
      </c>
      <c r="C1080" s="31" t="n"/>
      <c r="D1080" s="32" t="n"/>
      <c r="E1080" s="33" t="n">
        <v>1.3406</v>
      </c>
      <c r="F1080" t="inlineStr">
        <is>
          <t>Up</t>
        </is>
      </c>
      <c r="G1080" t="inlineStr">
        <is>
          <t>Up</t>
        </is>
      </c>
      <c r="H1080" t="inlineStr">
        <is>
          <t>EU_JU</t>
        </is>
      </c>
      <c r="I1080" t="inlineStr">
        <is>
          <t>2010-08</t>
        </is>
      </c>
      <c r="J1080" t="n">
        <v>1</v>
      </c>
      <c r="K1080" t="n">
        <v>1</v>
      </c>
      <c r="L1080" s="34">
        <f>IF($J1080=1,LN(B1081/B1080),"")</f>
        <v/>
      </c>
      <c r="M1080" s="34">
        <f>IF($K1080=1,INDEX(Mensal!$D$2:$D$245,MATCH($I1080,Mensal!$A$2:$A$245,0)),"")</f>
        <v/>
      </c>
      <c r="N1080" s="34">
        <f>IF($K1080=1,L1080-M1080,"")</f>
        <v/>
      </c>
      <c r="O1080" s="34" t="n">
        <v>0.00040096</v>
      </c>
      <c r="P1080" s="34">
        <f>IF($J1080=1,LN(1+O1080),"")</f>
        <v/>
      </c>
      <c r="Q1080" s="34">
        <f>IF($J1080=1,LN(R1081/R1080),"")</f>
        <v/>
      </c>
      <c r="R1080" s="32" t="n">
        <v>1.7597</v>
      </c>
      <c r="S1080" s="35" t="n">
        <v>11.037</v>
      </c>
      <c r="T1080" s="18" t="n"/>
      <c r="U1080" s="18" t="n">
        <v>66677</v>
      </c>
      <c r="V1080" s="18" t="n"/>
      <c r="W1080" s="18" t="n"/>
      <c r="X1080" s="35" t="n">
        <v>11.037</v>
      </c>
      <c r="Y1080" s="35" t="n"/>
    </row>
    <row r="1081">
      <c r="A1081" s="25" t="n">
        <v>40413</v>
      </c>
      <c r="B1081" s="18" t="n">
        <v>65981</v>
      </c>
      <c r="C1081" s="31" t="n"/>
      <c r="D1081" s="32" t="n"/>
      <c r="E1081" s="33" t="n">
        <v>1.3381</v>
      </c>
      <c r="F1081" t="inlineStr">
        <is>
          <t>Up</t>
        </is>
      </c>
      <c r="G1081" t="inlineStr">
        <is>
          <t>Up</t>
        </is>
      </c>
      <c r="H1081" t="inlineStr">
        <is>
          <t>EU_JU</t>
        </is>
      </c>
      <c r="I1081" t="inlineStr">
        <is>
          <t>2010-08</t>
        </is>
      </c>
      <c r="J1081" t="n">
        <v>1</v>
      </c>
      <c r="K1081" t="n">
        <v>1</v>
      </c>
      <c r="L1081" s="34">
        <f>IF($J1081=1,LN(B1082/B1081),"")</f>
        <v/>
      </c>
      <c r="M1081" s="34">
        <f>IF($K1081=1,INDEX(Mensal!$D$2:$D$245,MATCH($I1081,Mensal!$A$2:$A$245,0)),"")</f>
        <v/>
      </c>
      <c r="N1081" s="34">
        <f>IF($K1081=1,L1081-M1081,"")</f>
        <v/>
      </c>
      <c r="O1081" s="34" t="n">
        <v>0.00040096</v>
      </c>
      <c r="P1081" s="34">
        <f>IF($J1081=1,LN(1+O1081),"")</f>
        <v/>
      </c>
      <c r="Q1081" s="34">
        <f>IF($J1081=1,LN(R1082/R1081),"")</f>
        <v/>
      </c>
      <c r="R1081" s="32" t="n">
        <v>1.7587</v>
      </c>
      <c r="S1081" s="35" t="n">
        <v>11.042</v>
      </c>
      <c r="T1081" s="18" t="n"/>
      <c r="U1081" s="18" t="n">
        <v>65981</v>
      </c>
      <c r="V1081" s="18" t="n"/>
      <c r="W1081" s="18" t="n"/>
      <c r="X1081" s="35" t="n">
        <v>11.042</v>
      </c>
      <c r="Y1081" s="35" t="n"/>
    </row>
    <row r="1082">
      <c r="A1082" s="25" t="n">
        <v>40414</v>
      </c>
      <c r="B1082" s="18" t="n">
        <v>65156</v>
      </c>
      <c r="C1082" s="31" t="n"/>
      <c r="D1082" s="32" t="n"/>
      <c r="E1082" s="33" t="n">
        <v>1.3422</v>
      </c>
      <c r="F1082" t="inlineStr">
        <is>
          <t>Up</t>
        </is>
      </c>
      <c r="G1082" t="inlineStr">
        <is>
          <t>Up</t>
        </is>
      </c>
      <c r="H1082" t="inlineStr">
        <is>
          <t>EU_JU</t>
        </is>
      </c>
      <c r="I1082" t="inlineStr">
        <is>
          <t>2010-08</t>
        </is>
      </c>
      <c r="J1082" t="n">
        <v>1</v>
      </c>
      <c r="K1082" t="n">
        <v>1</v>
      </c>
      <c r="L1082" s="34">
        <f>IF($J1082=1,LN(B1083/B1082),"")</f>
        <v/>
      </c>
      <c r="M1082" s="34">
        <f>IF($K1082=1,INDEX(Mensal!$D$2:$D$245,MATCH($I1082,Mensal!$A$2:$A$245,0)),"")</f>
        <v/>
      </c>
      <c r="N1082" s="34">
        <f>IF($K1082=1,L1082-M1082,"")</f>
        <v/>
      </c>
      <c r="O1082" s="34" t="n">
        <v>0.00040096</v>
      </c>
      <c r="P1082" s="34">
        <f>IF($J1082=1,LN(1+O1082),"")</f>
        <v/>
      </c>
      <c r="Q1082" s="34">
        <f>IF($J1082=1,LN(R1083/R1082),"")</f>
        <v/>
      </c>
      <c r="R1082" s="32" t="n">
        <v>1.7727</v>
      </c>
      <c r="S1082" s="35" t="n">
        <v>11.034</v>
      </c>
      <c r="T1082" s="18" t="n"/>
      <c r="U1082" s="18" t="n">
        <v>65156</v>
      </c>
      <c r="V1082" s="18" t="n"/>
      <c r="W1082" s="18" t="n"/>
      <c r="X1082" s="35" t="n">
        <v>11.034</v>
      </c>
      <c r="Y1082" s="35" t="n"/>
    </row>
    <row r="1083">
      <c r="A1083" s="25" t="n">
        <v>40415</v>
      </c>
      <c r="B1083" s="18" t="n">
        <v>64803</v>
      </c>
      <c r="C1083" s="31" t="n"/>
      <c r="D1083" s="32" t="n"/>
      <c r="E1083" s="33" t="n">
        <v>1.3441</v>
      </c>
      <c r="F1083" t="inlineStr">
        <is>
          <t>Up</t>
        </is>
      </c>
      <c r="G1083" t="inlineStr">
        <is>
          <t>Up</t>
        </is>
      </c>
      <c r="H1083" t="inlineStr">
        <is>
          <t>EU_JU</t>
        </is>
      </c>
      <c r="I1083" t="inlineStr">
        <is>
          <t>2010-08</t>
        </is>
      </c>
      <c r="J1083" t="n">
        <v>1</v>
      </c>
      <c r="K1083" t="n">
        <v>1</v>
      </c>
      <c r="L1083" s="34">
        <f>IF($J1083=1,LN(B1084/B1083),"")</f>
        <v/>
      </c>
      <c r="M1083" s="34">
        <f>IF($K1083=1,INDEX(Mensal!$D$2:$D$245,MATCH($I1083,Mensal!$A$2:$A$245,0)),"")</f>
        <v/>
      </c>
      <c r="N1083" s="34">
        <f>IF($K1083=1,L1083-M1083,"")</f>
        <v/>
      </c>
      <c r="O1083" s="34" t="n">
        <v>0.00040132</v>
      </c>
      <c r="P1083" s="34">
        <f>IF($J1083=1,LN(1+O1083),"")</f>
        <v/>
      </c>
      <c r="Q1083" s="34">
        <f>IF($J1083=1,LN(R1084/R1083),"")</f>
        <v/>
      </c>
      <c r="R1083" s="32" t="n">
        <v>1.7668</v>
      </c>
      <c r="S1083" s="35" t="n">
        <v>11.087</v>
      </c>
      <c r="T1083" s="18" t="n"/>
      <c r="U1083" s="18" t="n">
        <v>64803</v>
      </c>
      <c r="V1083" s="18" t="n"/>
      <c r="W1083" s="18" t="n"/>
      <c r="X1083" s="35" t="n">
        <v>11.087</v>
      </c>
      <c r="Y1083" s="35" t="n"/>
    </row>
    <row r="1084">
      <c r="A1084" s="25" t="n">
        <v>40416</v>
      </c>
      <c r="B1084" s="18" t="n">
        <v>63867</v>
      </c>
      <c r="C1084" s="31" t="n"/>
      <c r="D1084" s="32" t="n"/>
      <c r="E1084" s="33" t="n">
        <v>1.3447</v>
      </c>
      <c r="F1084" t="inlineStr">
        <is>
          <t>Up</t>
        </is>
      </c>
      <c r="G1084" t="inlineStr">
        <is>
          <t>Up</t>
        </is>
      </c>
      <c r="H1084" t="inlineStr">
        <is>
          <t>EU_JU</t>
        </is>
      </c>
      <c r="I1084" t="inlineStr">
        <is>
          <t>2010-08</t>
        </is>
      </c>
      <c r="J1084" t="n">
        <v>1</v>
      </c>
      <c r="K1084" t="n">
        <v>1</v>
      </c>
      <c r="L1084" s="34">
        <f>IF($J1084=1,LN(B1085/B1084),"")</f>
        <v/>
      </c>
      <c r="M1084" s="34">
        <f>IF($K1084=1,INDEX(Mensal!$D$2:$D$245,MATCH($I1084,Mensal!$A$2:$A$245,0)),"")</f>
        <v/>
      </c>
      <c r="N1084" s="34">
        <f>IF($K1084=1,L1084-M1084,"")</f>
        <v/>
      </c>
      <c r="O1084" s="34" t="n">
        <v>0.00040096</v>
      </c>
      <c r="P1084" s="34">
        <f>IF($J1084=1,LN(1+O1084),"")</f>
        <v/>
      </c>
      <c r="Q1084" s="34">
        <f>IF($J1084=1,LN(R1085/R1084),"")</f>
        <v/>
      </c>
      <c r="R1084" s="32" t="n">
        <v>1.7596</v>
      </c>
      <c r="S1084" s="35" t="n">
        <v>11.151</v>
      </c>
      <c r="T1084" s="18" t="n"/>
      <c r="U1084" s="18" t="n">
        <v>63867</v>
      </c>
      <c r="V1084" s="18" t="n"/>
      <c r="W1084" s="18" t="n"/>
      <c r="X1084" s="35" t="n">
        <v>11.151</v>
      </c>
      <c r="Y1084" s="35" t="n"/>
    </row>
    <row r="1085">
      <c r="A1085" s="25" t="n">
        <v>40417</v>
      </c>
      <c r="B1085" s="18" t="n">
        <v>65585</v>
      </c>
      <c r="C1085" s="31" t="n"/>
      <c r="D1085" s="32" t="n"/>
      <c r="E1085" s="33" t="n">
        <v>1.3448</v>
      </c>
      <c r="F1085" t="inlineStr">
        <is>
          <t>Up</t>
        </is>
      </c>
      <c r="G1085" t="inlineStr">
        <is>
          <t>Up</t>
        </is>
      </c>
      <c r="H1085" t="inlineStr">
        <is>
          <t>EU_JU</t>
        </is>
      </c>
      <c r="I1085" t="inlineStr">
        <is>
          <t>2010-08</t>
        </is>
      </c>
      <c r="J1085" t="n">
        <v>1</v>
      </c>
      <c r="K1085" t="n">
        <v>1</v>
      </c>
      <c r="L1085" s="34">
        <f>IF($J1085=1,LN(B1086/B1085),"")</f>
        <v/>
      </c>
      <c r="M1085" s="34">
        <f>IF($K1085=1,INDEX(Mensal!$D$2:$D$245,MATCH($I1085,Mensal!$A$2:$A$245,0)),"")</f>
        <v/>
      </c>
      <c r="N1085" s="34">
        <f>IF($K1085=1,L1085-M1085,"")</f>
        <v/>
      </c>
      <c r="O1085" s="34" t="n">
        <v>0.00040132</v>
      </c>
      <c r="P1085" s="34">
        <f>IF($J1085=1,LN(1+O1085),"")</f>
        <v/>
      </c>
      <c r="Q1085" s="34">
        <f>IF($J1085=1,LN(R1086/R1085),"")</f>
        <v/>
      </c>
      <c r="R1085" s="32" t="n">
        <v>1.7544</v>
      </c>
      <c r="S1085" s="35" t="n">
        <v>11.18</v>
      </c>
      <c r="T1085" s="18" t="n"/>
      <c r="U1085" s="18" t="n">
        <v>65585</v>
      </c>
      <c r="V1085" s="18" t="n"/>
      <c r="W1085" s="18" t="n"/>
      <c r="X1085" s="35" t="n">
        <v>11.18</v>
      </c>
      <c r="Y1085" s="35" t="n"/>
    </row>
    <row r="1086">
      <c r="A1086" s="25" t="n">
        <v>40420</v>
      </c>
      <c r="B1086" s="18" t="n">
        <v>64260</v>
      </c>
      <c r="C1086" s="31" t="n"/>
      <c r="D1086" s="32" t="n"/>
      <c r="E1086" s="33" t="n">
        <v>1.347</v>
      </c>
      <c r="F1086" t="inlineStr">
        <is>
          <t>Up</t>
        </is>
      </c>
      <c r="G1086" t="inlineStr">
        <is>
          <t>Up</t>
        </is>
      </c>
      <c r="H1086" t="inlineStr">
        <is>
          <t>EU_JU</t>
        </is>
      </c>
      <c r="I1086" t="inlineStr">
        <is>
          <t>2010-08</t>
        </is>
      </c>
      <c r="J1086" t="n">
        <v>1</v>
      </c>
      <c r="K1086" t="n">
        <v>1</v>
      </c>
      <c r="L1086" s="34">
        <f>IF($J1086=1,LN(B1087/B1086),"")</f>
        <v/>
      </c>
      <c r="M1086" s="34">
        <f>IF($K1086=1,INDEX(Mensal!$D$2:$D$245,MATCH($I1086,Mensal!$A$2:$A$245,0)),"")</f>
        <v/>
      </c>
      <c r="N1086" s="34">
        <f>IF($K1086=1,L1086-M1086,"")</f>
        <v/>
      </c>
      <c r="O1086" s="34" t="n">
        <v>0.0004002399999999999</v>
      </c>
      <c r="P1086" s="34">
        <f>IF($J1086=1,LN(1+O1086),"")</f>
        <v/>
      </c>
      <c r="Q1086" s="34">
        <f>IF($J1086=1,LN(R1087/R1086),"")</f>
        <v/>
      </c>
      <c r="R1086" s="32" t="n">
        <v>1.7591</v>
      </c>
      <c r="S1086" s="35" t="n">
        <v>11.192</v>
      </c>
      <c r="T1086" s="18" t="n"/>
      <c r="U1086" s="18" t="n">
        <v>64260</v>
      </c>
      <c r="V1086" s="18" t="n"/>
      <c r="W1086" s="18" t="n"/>
      <c r="X1086" s="35" t="n">
        <v>11.192</v>
      </c>
      <c r="Y1086" s="35" t="n"/>
    </row>
    <row r="1087">
      <c r="A1087" s="25" t="n">
        <v>40421</v>
      </c>
      <c r="B1087" s="18" t="n">
        <v>65145</v>
      </c>
      <c r="C1087" s="31" t="n"/>
      <c r="D1087" s="32" t="n"/>
      <c r="E1087" s="33" t="n">
        <v>1.3478</v>
      </c>
      <c r="F1087" t="inlineStr">
        <is>
          <t>Up</t>
        </is>
      </c>
      <c r="G1087" t="inlineStr">
        <is>
          <t>Up</t>
        </is>
      </c>
      <c r="H1087" t="inlineStr">
        <is>
          <t>EU_JU</t>
        </is>
      </c>
      <c r="I1087" t="inlineStr">
        <is>
          <t>2010-08</t>
        </is>
      </c>
      <c r="J1087" t="n">
        <v>1</v>
      </c>
      <c r="K1087" t="n">
        <v>1</v>
      </c>
      <c r="L1087" s="34">
        <f>IF($J1087=1,LN(B1088/B1087),"")</f>
        <v/>
      </c>
      <c r="M1087" s="34">
        <f>IF($K1087=1,INDEX(Mensal!$D$2:$D$245,MATCH($I1087,Mensal!$A$2:$A$245,0)),"")</f>
        <v/>
      </c>
      <c r="N1087" s="34">
        <f>IF($K1087=1,L1087-M1087,"")</f>
        <v/>
      </c>
      <c r="O1087" s="34" t="n">
        <v>0.00040096</v>
      </c>
      <c r="P1087" s="34">
        <f>IF($J1087=1,LN(1+O1087),"")</f>
        <v/>
      </c>
      <c r="Q1087" s="34">
        <f>IF($J1087=1,LN(R1088/R1087),"")</f>
        <v/>
      </c>
      <c r="R1087" s="32" t="n">
        <v>1.756</v>
      </c>
      <c r="S1087" s="35" t="n">
        <v>11.095</v>
      </c>
      <c r="T1087" s="18" t="n"/>
      <c r="U1087" s="18" t="n">
        <v>65145</v>
      </c>
      <c r="V1087" s="18" t="n"/>
      <c r="W1087" s="18" t="n"/>
      <c r="X1087" s="35" t="n">
        <v>11.095</v>
      </c>
      <c r="Y1087" s="35" t="n"/>
    </row>
    <row r="1088">
      <c r="A1088" s="25" t="n">
        <v>40422</v>
      </c>
      <c r="B1088" s="18" t="n">
        <v>67072</v>
      </c>
      <c r="C1088" s="31" t="n"/>
      <c r="D1088" s="32" t="n"/>
      <c r="E1088" s="33" t="n">
        <v>1.3504</v>
      </c>
      <c r="F1088" t="inlineStr">
        <is>
          <t>Up</t>
        </is>
      </c>
      <c r="G1088" t="inlineStr">
        <is>
          <t>Up</t>
        </is>
      </c>
      <c r="H1088" t="inlineStr">
        <is>
          <t>EU_JU</t>
        </is>
      </c>
      <c r="I1088" t="inlineStr">
        <is>
          <t>2010-09</t>
        </is>
      </c>
      <c r="J1088" t="n">
        <v>1</v>
      </c>
      <c r="K1088" t="n">
        <v>1</v>
      </c>
      <c r="L1088" s="34">
        <f>IF($J1088=1,LN(B1089/B1088),"")</f>
        <v/>
      </c>
      <c r="M1088" s="34">
        <f>IF($K1088=1,INDEX(Mensal!$D$2:$D$245,MATCH($I1088,Mensal!$A$2:$A$245,0)),"")</f>
        <v/>
      </c>
      <c r="N1088" s="34">
        <f>IF($K1088=1,L1088-M1088,"")</f>
        <v/>
      </c>
      <c r="O1088" s="34" t="n">
        <v>0.00040096</v>
      </c>
      <c r="P1088" s="34">
        <f>IF($J1088=1,LN(1+O1088),"")</f>
        <v/>
      </c>
      <c r="Q1088" s="34">
        <f>IF($J1088=1,LN(R1089/R1088),"")</f>
        <v/>
      </c>
      <c r="R1088" s="32" t="n">
        <v>1.7441</v>
      </c>
      <c r="S1088" s="35" t="n">
        <v>11.151</v>
      </c>
      <c r="T1088" s="18" t="n"/>
      <c r="U1088" s="18" t="n">
        <v>67072</v>
      </c>
      <c r="V1088" s="18" t="n"/>
      <c r="W1088" s="18" t="n"/>
      <c r="X1088" s="35" t="n">
        <v>11.151</v>
      </c>
      <c r="Y1088" s="35" t="n"/>
    </row>
    <row r="1089">
      <c r="A1089" s="25" t="n">
        <v>40423</v>
      </c>
      <c r="B1089" s="18" t="n">
        <v>66808</v>
      </c>
      <c r="C1089" s="31" t="n"/>
      <c r="D1089" s="32" t="n"/>
      <c r="E1089" s="33" t="n">
        <v>1.3493</v>
      </c>
      <c r="F1089" t="inlineStr">
        <is>
          <t>Up</t>
        </is>
      </c>
      <c r="G1089" t="inlineStr">
        <is>
          <t>Up</t>
        </is>
      </c>
      <c r="H1089" t="inlineStr">
        <is>
          <t>EU_JU</t>
        </is>
      </c>
      <c r="I1089" t="inlineStr">
        <is>
          <t>2010-09</t>
        </is>
      </c>
      <c r="J1089" t="n">
        <v>1</v>
      </c>
      <c r="K1089" t="n">
        <v>1</v>
      </c>
      <c r="L1089" s="34">
        <f>IF($J1089=1,LN(B1090/B1089),"")</f>
        <v/>
      </c>
      <c r="M1089" s="34">
        <f>IF($K1089=1,INDEX(Mensal!$D$2:$D$245,MATCH($I1089,Mensal!$A$2:$A$245,0)),"")</f>
        <v/>
      </c>
      <c r="N1089" s="34">
        <f>IF($K1089=1,L1089-M1089,"")</f>
        <v/>
      </c>
      <c r="O1089" s="34" t="n">
        <v>0.00040096</v>
      </c>
      <c r="P1089" s="34">
        <f>IF($J1089=1,LN(1+O1089),"")</f>
        <v/>
      </c>
      <c r="Q1089" s="34">
        <f>IF($J1089=1,LN(R1090/R1089),"")</f>
        <v/>
      </c>
      <c r="R1089" s="32" t="n">
        <v>1.7367</v>
      </c>
      <c r="S1089" s="35" t="n">
        <v>11.088</v>
      </c>
      <c r="T1089" s="18" t="n"/>
      <c r="U1089" s="18" t="n">
        <v>66808</v>
      </c>
      <c r="V1089" s="18" t="n"/>
      <c r="W1089" s="18" t="n"/>
      <c r="X1089" s="35" t="n">
        <v>11.088</v>
      </c>
      <c r="Y1089" s="35" t="n"/>
    </row>
    <row r="1090">
      <c r="A1090" s="25" t="n">
        <v>40424</v>
      </c>
      <c r="B1090" s="18" t="n">
        <v>66678</v>
      </c>
      <c r="C1090" s="31" t="n"/>
      <c r="D1090" s="32" t="n"/>
      <c r="E1090" s="33" t="n">
        <v>1.3482</v>
      </c>
      <c r="F1090" t="inlineStr">
        <is>
          <t>Up</t>
        </is>
      </c>
      <c r="G1090" t="inlineStr">
        <is>
          <t>Up</t>
        </is>
      </c>
      <c r="H1090" t="inlineStr">
        <is>
          <t>EU_JU</t>
        </is>
      </c>
      <c r="I1090" t="inlineStr">
        <is>
          <t>2010-09</t>
        </is>
      </c>
      <c r="J1090" t="n">
        <v>1</v>
      </c>
      <c r="K1090" t="n">
        <v>1</v>
      </c>
      <c r="L1090" s="34">
        <f>IF($J1090=1,LN(B1091/B1090),"")</f>
        <v/>
      </c>
      <c r="M1090" s="34">
        <f>IF($K1090=1,INDEX(Mensal!$D$2:$D$245,MATCH($I1090,Mensal!$A$2:$A$245,0)),"")</f>
        <v/>
      </c>
      <c r="N1090" s="34">
        <f>IF($K1090=1,L1090-M1090,"")</f>
        <v/>
      </c>
      <c r="O1090" s="34" t="n">
        <v>0.0004006</v>
      </c>
      <c r="P1090" s="34">
        <f>IF($J1090=1,LN(1+O1090),"")</f>
        <v/>
      </c>
      <c r="Q1090" s="34">
        <f>IF($J1090=1,LN(R1091/R1090),"")</f>
        <v/>
      </c>
      <c r="R1090" s="32" t="n">
        <v>1.7281</v>
      </c>
      <c r="S1090" s="35" t="n">
        <v>11.129</v>
      </c>
      <c r="T1090" s="18" t="n"/>
      <c r="U1090" s="18" t="n">
        <v>66678</v>
      </c>
      <c r="V1090" s="18" t="n"/>
      <c r="W1090" s="18" t="n"/>
      <c r="X1090" s="35" t="n">
        <v>11.129</v>
      </c>
      <c r="Y1090" s="35" t="n"/>
    </row>
    <row r="1091">
      <c r="A1091" s="25" t="n">
        <v>40427</v>
      </c>
      <c r="B1091" s="18" t="n">
        <v>66747</v>
      </c>
      <c r="C1091" s="31" t="n"/>
      <c r="D1091" s="32" t="n"/>
      <c r="E1091" s="33" t="n">
        <v>1.3464</v>
      </c>
      <c r="F1091" t="inlineStr">
        <is>
          <t>Up</t>
        </is>
      </c>
      <c r="G1091" t="inlineStr">
        <is>
          <t>Up</t>
        </is>
      </c>
      <c r="H1091" t="inlineStr">
        <is>
          <t>EU_JU</t>
        </is>
      </c>
      <c r="I1091" t="inlineStr">
        <is>
          <t>2010-09</t>
        </is>
      </c>
      <c r="J1091" t="n">
        <v>1</v>
      </c>
      <c r="K1091" t="n">
        <v>1</v>
      </c>
      <c r="L1091" s="34">
        <f>IF($J1091=1,LN(B1092/B1091),"")</f>
        <v/>
      </c>
      <c r="M1091" s="34">
        <f>IF($K1091=1,INDEX(Mensal!$D$2:$D$245,MATCH($I1091,Mensal!$A$2:$A$245,0)),"")</f>
        <v/>
      </c>
      <c r="N1091" s="34">
        <f>IF($K1091=1,L1091-M1091,"")</f>
        <v/>
      </c>
      <c r="O1091" s="34" t="n">
        <v>0.0004002399999999999</v>
      </c>
      <c r="P1091" s="34">
        <f>IF($J1091=1,LN(1+O1091),"")</f>
        <v/>
      </c>
      <c r="Q1091" s="34">
        <f>IF($J1091=1,LN(R1092/R1091),"")</f>
        <v/>
      </c>
      <c r="R1091" s="32" t="n">
        <v>1.7259</v>
      </c>
      <c r="S1091" s="35" t="n">
        <v>11.111</v>
      </c>
      <c r="T1091" s="18" t="n"/>
      <c r="U1091" s="18" t="n">
        <v>66747</v>
      </c>
      <c r="V1091" s="18" t="n"/>
      <c r="W1091" s="18" t="n"/>
      <c r="X1091" s="35" t="n">
        <v>11.111</v>
      </c>
      <c r="Y1091" s="35" t="n"/>
    </row>
    <row r="1092">
      <c r="A1092" s="25" t="n">
        <v>40429</v>
      </c>
      <c r="B1092" s="18" t="n">
        <v>66407</v>
      </c>
      <c r="C1092" s="31" t="n"/>
      <c r="D1092" s="32" t="n"/>
      <c r="E1092" s="33" t="n">
        <v>1.3386</v>
      </c>
      <c r="F1092" t="inlineStr">
        <is>
          <t>Up</t>
        </is>
      </c>
      <c r="G1092" t="inlineStr">
        <is>
          <t>Up</t>
        </is>
      </c>
      <c r="H1092" t="inlineStr">
        <is>
          <t>EU_JU</t>
        </is>
      </c>
      <c r="I1092" t="inlineStr">
        <is>
          <t>2010-09</t>
        </is>
      </c>
      <c r="J1092" t="n">
        <v>1</v>
      </c>
      <c r="K1092" t="n">
        <v>1</v>
      </c>
      <c r="L1092" s="34">
        <f>IF($J1092=1,LN(B1093/B1092),"")</f>
        <v/>
      </c>
      <c r="M1092" s="34">
        <f>IF($K1092=1,INDEX(Mensal!$D$2:$D$245,MATCH($I1092,Mensal!$A$2:$A$245,0)),"")</f>
        <v/>
      </c>
      <c r="N1092" s="34">
        <f>IF($K1092=1,L1092-M1092,"")</f>
        <v/>
      </c>
      <c r="O1092" s="34" t="n">
        <v>0.0004006</v>
      </c>
      <c r="P1092" s="34">
        <f>IF($J1092=1,LN(1+O1092),"")</f>
        <v/>
      </c>
      <c r="Q1092" s="34">
        <f>IF($J1092=1,LN(R1093/R1092),"")</f>
        <v/>
      </c>
      <c r="R1092" s="32" t="n">
        <v>1.7231</v>
      </c>
      <c r="S1092" s="35" t="n">
        <v>11.135</v>
      </c>
      <c r="T1092" s="18" t="n"/>
      <c r="U1092" s="18" t="n">
        <v>66407</v>
      </c>
      <c r="V1092" s="18" t="n"/>
      <c r="W1092" s="18" t="n"/>
      <c r="X1092" s="35" t="n">
        <v>11.135</v>
      </c>
      <c r="Y1092" s="35" t="n"/>
    </row>
    <row r="1093">
      <c r="A1093" s="25" t="n">
        <v>40430</v>
      </c>
      <c r="B1093" s="18" t="n">
        <v>66624</v>
      </c>
      <c r="C1093" s="31" t="n"/>
      <c r="D1093" s="32" t="n"/>
      <c r="E1093" s="33" t="n">
        <v>1.3266</v>
      </c>
      <c r="F1093" t="inlineStr">
        <is>
          <t>Up</t>
        </is>
      </c>
      <c r="G1093" t="inlineStr">
        <is>
          <t>Up</t>
        </is>
      </c>
      <c r="H1093" t="inlineStr">
        <is>
          <t>EU_JU</t>
        </is>
      </c>
      <c r="I1093" t="inlineStr">
        <is>
          <t>2010-09</t>
        </is>
      </c>
      <c r="J1093" t="n">
        <v>1</v>
      </c>
      <c r="K1093" t="n">
        <v>1</v>
      </c>
      <c r="L1093" s="34">
        <f>IF($J1093=1,LN(B1094/B1093),"")</f>
        <v/>
      </c>
      <c r="M1093" s="34">
        <f>IF($K1093=1,INDEX(Mensal!$D$2:$D$245,MATCH($I1093,Mensal!$A$2:$A$245,0)),"")</f>
        <v/>
      </c>
      <c r="N1093" s="34">
        <f>IF($K1093=1,L1093-M1093,"")</f>
        <v/>
      </c>
      <c r="O1093" s="34" t="n">
        <v>0.00040132</v>
      </c>
      <c r="P1093" s="34">
        <f>IF($J1093=1,LN(1+O1093),"")</f>
        <v/>
      </c>
      <c r="Q1093" s="34">
        <f>IF($J1093=1,LN(R1094/R1093),"")</f>
        <v/>
      </c>
      <c r="R1093" s="32" t="n">
        <v>1.7238</v>
      </c>
      <c r="S1093" s="35" t="n">
        <v>11.065</v>
      </c>
      <c r="T1093" s="18" t="n"/>
      <c r="U1093" s="18" t="n">
        <v>66624</v>
      </c>
      <c r="V1093" s="18" t="n"/>
      <c r="W1093" s="18" t="n"/>
      <c r="X1093" s="35" t="n">
        <v>11.065</v>
      </c>
      <c r="Y1093" s="35" t="n"/>
    </row>
    <row r="1094">
      <c r="A1094" s="25" t="n">
        <v>40431</v>
      </c>
      <c r="B1094" s="18" t="n">
        <v>66806</v>
      </c>
      <c r="C1094" s="31" t="n"/>
      <c r="D1094" s="32" t="n"/>
      <c r="E1094" s="33" t="n">
        <v>1.3152</v>
      </c>
      <c r="F1094" t="inlineStr">
        <is>
          <t>Up</t>
        </is>
      </c>
      <c r="G1094" t="inlineStr">
        <is>
          <t>Up</t>
        </is>
      </c>
      <c r="H1094" t="inlineStr">
        <is>
          <t>EU_JU</t>
        </is>
      </c>
      <c r="I1094" t="inlineStr">
        <is>
          <t>2010-09</t>
        </is>
      </c>
      <c r="J1094" t="n">
        <v>1</v>
      </c>
      <c r="K1094" t="n">
        <v>1</v>
      </c>
      <c r="L1094" s="34">
        <f>IF($J1094=1,LN(B1095/B1094),"")</f>
        <v/>
      </c>
      <c r="M1094" s="34">
        <f>IF($K1094=1,INDEX(Mensal!$D$2:$D$245,MATCH($I1094,Mensal!$A$2:$A$245,0)),"")</f>
        <v/>
      </c>
      <c r="N1094" s="34">
        <f>IF($K1094=1,L1094-M1094,"")</f>
        <v/>
      </c>
      <c r="O1094" s="34" t="n">
        <v>0.00040096</v>
      </c>
      <c r="P1094" s="34">
        <f>IF($J1094=1,LN(1+O1094),"")</f>
        <v/>
      </c>
      <c r="Q1094" s="34">
        <f>IF($J1094=1,LN(R1095/R1094),"")</f>
        <v/>
      </c>
      <c r="R1094" s="32" t="n">
        <v>1.7186</v>
      </c>
      <c r="S1094" s="35" t="n">
        <v>11.075</v>
      </c>
      <c r="T1094" s="18" t="n"/>
      <c r="U1094" s="18" t="n">
        <v>66806</v>
      </c>
      <c r="V1094" s="18" t="n"/>
      <c r="W1094" s="18" t="n"/>
      <c r="X1094" s="35" t="n">
        <v>11.075</v>
      </c>
      <c r="Y1094" s="35" t="n"/>
    </row>
    <row r="1095">
      <c r="A1095" s="25" t="n">
        <v>40434</v>
      </c>
      <c r="B1095" s="18" t="n">
        <v>68030</v>
      </c>
      <c r="C1095" s="31" t="n"/>
      <c r="D1095" s="32" t="n"/>
      <c r="E1095" s="33" t="n">
        <v>1.3023</v>
      </c>
      <c r="F1095" t="inlineStr">
        <is>
          <t>Up</t>
        </is>
      </c>
      <c r="G1095" t="inlineStr">
        <is>
          <t>Up</t>
        </is>
      </c>
      <c r="H1095" t="inlineStr">
        <is>
          <t>EU_JU</t>
        </is>
      </c>
      <c r="I1095" t="inlineStr">
        <is>
          <t>2010-09</t>
        </is>
      </c>
      <c r="J1095" t="n">
        <v>1</v>
      </c>
      <c r="K1095" t="n">
        <v>1</v>
      </c>
      <c r="L1095" s="34">
        <f>IF($J1095=1,LN(B1096/B1095),"")</f>
        <v/>
      </c>
      <c r="M1095" s="34">
        <f>IF($K1095=1,INDEX(Mensal!$D$2:$D$245,MATCH($I1095,Mensal!$A$2:$A$245,0)),"")</f>
        <v/>
      </c>
      <c r="N1095" s="34">
        <f>IF($K1095=1,L1095-M1095,"")</f>
        <v/>
      </c>
      <c r="O1095" s="34" t="n">
        <v>0.0004006</v>
      </c>
      <c r="P1095" s="34">
        <f>IF($J1095=1,LN(1+O1095),"")</f>
        <v/>
      </c>
      <c r="Q1095" s="34">
        <f>IF($J1095=1,LN(R1096/R1095),"")</f>
        <v/>
      </c>
      <c r="R1095" s="32" t="n">
        <v>1.7174</v>
      </c>
      <c r="S1095" s="35" t="n">
        <v>11.118</v>
      </c>
      <c r="T1095" s="18" t="n"/>
      <c r="U1095" s="18" t="n">
        <v>68030</v>
      </c>
      <c r="V1095" s="18" t="n"/>
      <c r="W1095" s="18" t="n"/>
      <c r="X1095" s="35" t="n">
        <v>11.118</v>
      </c>
      <c r="Y1095" s="35" t="n"/>
    </row>
    <row r="1096">
      <c r="A1096" s="25" t="n">
        <v>40435</v>
      </c>
      <c r="B1096" s="18" t="n">
        <v>67691</v>
      </c>
      <c r="C1096" s="31" t="n"/>
      <c r="D1096" s="32" t="n"/>
      <c r="E1096" s="33" t="n">
        <v>1.2877</v>
      </c>
      <c r="F1096" t="inlineStr">
        <is>
          <t>Up</t>
        </is>
      </c>
      <c r="G1096" t="inlineStr">
        <is>
          <t>Up</t>
        </is>
      </c>
      <c r="H1096" t="inlineStr">
        <is>
          <t>EU_JU</t>
        </is>
      </c>
      <c r="I1096" t="inlineStr">
        <is>
          <t>2010-09</t>
        </is>
      </c>
      <c r="J1096" t="n">
        <v>1</v>
      </c>
      <c r="K1096" t="n">
        <v>1</v>
      </c>
      <c r="L1096" s="34">
        <f>IF($J1096=1,LN(B1097/B1096),"")</f>
        <v/>
      </c>
      <c r="M1096" s="34">
        <f>IF($K1096=1,INDEX(Mensal!$D$2:$D$245,MATCH($I1096,Mensal!$A$2:$A$245,0)),"")</f>
        <v/>
      </c>
      <c r="N1096" s="34">
        <f>IF($K1096=1,L1096-M1096,"")</f>
        <v/>
      </c>
      <c r="O1096" s="34" t="n">
        <v>0.0004006</v>
      </c>
      <c r="P1096" s="34">
        <f>IF($J1096=1,LN(1+O1096),"")</f>
        <v/>
      </c>
      <c r="Q1096" s="34">
        <f>IF($J1096=1,LN(R1097/R1096),"")</f>
        <v/>
      </c>
      <c r="R1096" s="32" t="n">
        <v>1.7076</v>
      </c>
      <c r="S1096" s="35" t="n">
        <v>11.102</v>
      </c>
      <c r="T1096" s="18" t="n"/>
      <c r="U1096" s="18" t="n">
        <v>67691</v>
      </c>
      <c r="V1096" s="18" t="n"/>
      <c r="W1096" s="18" t="n"/>
      <c r="X1096" s="35" t="n">
        <v>11.102</v>
      </c>
      <c r="Y1096" s="35" t="n"/>
    </row>
    <row r="1097">
      <c r="A1097" s="25" t="n">
        <v>40436</v>
      </c>
      <c r="B1097" s="18" t="n">
        <v>68106</v>
      </c>
      <c r="C1097" s="31" t="n"/>
      <c r="D1097" s="32" t="n"/>
      <c r="E1097" s="33" t="n">
        <v>1.2829</v>
      </c>
      <c r="F1097" t="inlineStr">
        <is>
          <t>Up</t>
        </is>
      </c>
      <c r="G1097" t="inlineStr">
        <is>
          <t>Up</t>
        </is>
      </c>
      <c r="H1097" t="inlineStr">
        <is>
          <t>EU_JU</t>
        </is>
      </c>
      <c r="I1097" t="inlineStr">
        <is>
          <t>2010-09</t>
        </is>
      </c>
      <c r="J1097" t="n">
        <v>1</v>
      </c>
      <c r="K1097" t="n">
        <v>1</v>
      </c>
      <c r="L1097" s="34">
        <f>IF($J1097=1,LN(B1098/B1097),"")</f>
        <v/>
      </c>
      <c r="M1097" s="34">
        <f>IF($K1097=1,INDEX(Mensal!$D$2:$D$245,MATCH($I1097,Mensal!$A$2:$A$245,0)),"")</f>
        <v/>
      </c>
      <c r="N1097" s="34">
        <f>IF($K1097=1,L1097-M1097,"")</f>
        <v/>
      </c>
      <c r="O1097" s="34" t="n">
        <v>0.00039916</v>
      </c>
      <c r="P1097" s="34">
        <f>IF($J1097=1,LN(1+O1097),"")</f>
        <v/>
      </c>
      <c r="Q1097" s="34">
        <f>IF($J1097=1,LN(R1098/R1097),"")</f>
        <v/>
      </c>
      <c r="R1097" s="32" t="n">
        <v>1.7169</v>
      </c>
      <c r="S1097" s="35" t="n">
        <v>11.087</v>
      </c>
      <c r="T1097" s="18" t="n"/>
      <c r="U1097" s="18" t="n">
        <v>68106</v>
      </c>
      <c r="V1097" s="18" t="n"/>
      <c r="W1097" s="18" t="n"/>
      <c r="X1097" s="35" t="n">
        <v>11.087</v>
      </c>
      <c r="Y1097" s="35" t="n"/>
    </row>
    <row r="1098">
      <c r="A1098" s="25" t="n">
        <v>40437</v>
      </c>
      <c r="B1098" s="18" t="n">
        <v>67662</v>
      </c>
      <c r="C1098" s="31" t="n"/>
      <c r="D1098" s="32" t="n"/>
      <c r="E1098" s="33" t="n">
        <v>1.2724</v>
      </c>
      <c r="F1098" t="inlineStr">
        <is>
          <t>Up</t>
        </is>
      </c>
      <c r="G1098" t="inlineStr">
        <is>
          <t>Up</t>
        </is>
      </c>
      <c r="H1098" t="inlineStr">
        <is>
          <t>EU_JU</t>
        </is>
      </c>
      <c r="I1098" t="inlineStr">
        <is>
          <t>2010-09</t>
        </is>
      </c>
      <c r="J1098" t="n">
        <v>1</v>
      </c>
      <c r="K1098" t="n">
        <v>1</v>
      </c>
      <c r="L1098" s="34">
        <f>IF($J1098=1,LN(B1099/B1098),"")</f>
        <v/>
      </c>
      <c r="M1098" s="34">
        <f>IF($K1098=1,INDEX(Mensal!$D$2:$D$245,MATCH($I1098,Mensal!$A$2:$A$245,0)),"")</f>
        <v/>
      </c>
      <c r="N1098" s="34">
        <f>IF($K1098=1,L1098-M1098,"")</f>
        <v/>
      </c>
      <c r="O1098" s="34" t="n">
        <v>0.00039988</v>
      </c>
      <c r="P1098" s="34">
        <f>IF($J1098=1,LN(1+O1098),"")</f>
        <v/>
      </c>
      <c r="Q1098" s="34">
        <f>IF($J1098=1,LN(R1099/R1098),"")</f>
        <v/>
      </c>
      <c r="R1098" s="32" t="n">
        <v>1.7184</v>
      </c>
      <c r="S1098" s="35" t="n">
        <v>11.149</v>
      </c>
      <c r="T1098" s="18" t="n"/>
      <c r="U1098" s="18" t="n">
        <v>67662</v>
      </c>
      <c r="V1098" s="18" t="n"/>
      <c r="W1098" s="18" t="n"/>
      <c r="X1098" s="35" t="n">
        <v>11.149</v>
      </c>
      <c r="Y1098" s="35" t="n"/>
    </row>
    <row r="1099">
      <c r="A1099" s="25" t="n">
        <v>40438</v>
      </c>
      <c r="B1099" s="18" t="n">
        <v>67089</v>
      </c>
      <c r="C1099" s="31" t="n"/>
      <c r="D1099" s="32" t="n"/>
      <c r="E1099" s="33" t="n">
        <v>1.2605</v>
      </c>
      <c r="F1099" t="inlineStr">
        <is>
          <t>Up</t>
        </is>
      </c>
      <c r="G1099" t="inlineStr">
        <is>
          <t>Up</t>
        </is>
      </c>
      <c r="H1099" t="inlineStr">
        <is>
          <t>EU_JU</t>
        </is>
      </c>
      <c r="I1099" t="inlineStr">
        <is>
          <t>2010-09</t>
        </is>
      </c>
      <c r="J1099" t="n">
        <v>1</v>
      </c>
      <c r="K1099" t="n">
        <v>1</v>
      </c>
      <c r="L1099" s="34">
        <f>IF($J1099=1,LN(B1100/B1099),"")</f>
        <v/>
      </c>
      <c r="M1099" s="34">
        <f>IF($K1099=1,INDEX(Mensal!$D$2:$D$245,MATCH($I1099,Mensal!$A$2:$A$245,0)),"")</f>
        <v/>
      </c>
      <c r="N1099" s="34">
        <f>IF($K1099=1,L1099-M1099,"")</f>
        <v/>
      </c>
      <c r="O1099" s="34" t="n">
        <v>0.0004006</v>
      </c>
      <c r="P1099" s="34">
        <f>IF($J1099=1,LN(1+O1099),"")</f>
        <v/>
      </c>
      <c r="Q1099" s="34">
        <f>IF($J1099=1,LN(R1100/R1099),"")</f>
        <v/>
      </c>
      <c r="R1099" s="32" t="n">
        <v>1.7166</v>
      </c>
      <c r="S1099" s="35" t="n">
        <v>11.176</v>
      </c>
      <c r="T1099" s="18" t="n"/>
      <c r="U1099" s="18" t="n">
        <v>67089</v>
      </c>
      <c r="V1099" s="18" t="n"/>
      <c r="W1099" s="18" t="n"/>
      <c r="X1099" s="35" t="n">
        <v>11.176</v>
      </c>
      <c r="Y1099" s="35" t="n"/>
    </row>
    <row r="1100">
      <c r="A1100" s="25" t="n">
        <v>40441</v>
      </c>
      <c r="B1100" s="18" t="n">
        <v>68190</v>
      </c>
      <c r="C1100" s="31" t="n"/>
      <c r="D1100" s="32" t="n"/>
      <c r="E1100" s="33" t="n">
        <v>1.2505</v>
      </c>
      <c r="F1100" t="inlineStr">
        <is>
          <t>Up</t>
        </is>
      </c>
      <c r="G1100" t="inlineStr">
        <is>
          <t>Up</t>
        </is>
      </c>
      <c r="H1100" t="inlineStr">
        <is>
          <t>EU_JU</t>
        </is>
      </c>
      <c r="I1100" t="inlineStr">
        <is>
          <t>2010-09</t>
        </is>
      </c>
      <c r="J1100" t="n">
        <v>1</v>
      </c>
      <c r="K1100" t="n">
        <v>1</v>
      </c>
      <c r="L1100" s="34">
        <f>IF($J1100=1,LN(B1101/B1100),"")</f>
        <v/>
      </c>
      <c r="M1100" s="34">
        <f>IF($K1100=1,INDEX(Mensal!$D$2:$D$245,MATCH($I1100,Mensal!$A$2:$A$245,0)),"")</f>
        <v/>
      </c>
      <c r="N1100" s="34">
        <f>IF($K1100=1,L1100-M1100,"")</f>
        <v/>
      </c>
      <c r="O1100" s="34" t="n">
        <v>0.0004006</v>
      </c>
      <c r="P1100" s="34">
        <f>IF($J1100=1,LN(1+O1100),"")</f>
        <v/>
      </c>
      <c r="Q1100" s="34">
        <f>IF($J1100=1,LN(R1101/R1100),"")</f>
        <v/>
      </c>
      <c r="R1100" s="32" t="n">
        <v>1.7216</v>
      </c>
      <c r="S1100" s="35" t="n">
        <v>11.244</v>
      </c>
      <c r="T1100" s="18" t="n"/>
      <c r="U1100" s="18" t="n">
        <v>68190</v>
      </c>
      <c r="V1100" s="18" t="n"/>
      <c r="W1100" s="18" t="n"/>
      <c r="X1100" s="35" t="n">
        <v>11.244</v>
      </c>
      <c r="Y1100" s="35" t="n"/>
    </row>
    <row r="1101">
      <c r="A1101" s="25" t="n">
        <v>40442</v>
      </c>
      <c r="B1101" s="18" t="n">
        <v>67719</v>
      </c>
      <c r="C1101" s="31" t="n"/>
      <c r="D1101" s="32" t="n"/>
      <c r="E1101" s="33" t="n">
        <v>1.2419</v>
      </c>
      <c r="F1101" t="inlineStr">
        <is>
          <t>Up</t>
        </is>
      </c>
      <c r="G1101" t="inlineStr">
        <is>
          <t>Up</t>
        </is>
      </c>
      <c r="H1101" t="inlineStr">
        <is>
          <t>EU_JU</t>
        </is>
      </c>
      <c r="I1101" t="inlineStr">
        <is>
          <t>2010-09</t>
        </is>
      </c>
      <c r="J1101" t="n">
        <v>1</v>
      </c>
      <c r="K1101" t="n">
        <v>1</v>
      </c>
      <c r="L1101" s="34">
        <f>IF($J1101=1,LN(B1102/B1101),"")</f>
        <v/>
      </c>
      <c r="M1101" s="34">
        <f>IF($K1101=1,INDEX(Mensal!$D$2:$D$245,MATCH($I1101,Mensal!$A$2:$A$245,0)),"")</f>
        <v/>
      </c>
      <c r="N1101" s="34">
        <f>IF($K1101=1,L1101-M1101,"")</f>
        <v/>
      </c>
      <c r="O1101" s="34" t="n">
        <v>0.0004006</v>
      </c>
      <c r="P1101" s="34">
        <f>IF($J1101=1,LN(1+O1101),"")</f>
        <v/>
      </c>
      <c r="Q1101" s="34">
        <f>IF($J1101=1,LN(R1102/R1101),"")</f>
        <v/>
      </c>
      <c r="R1101" s="32" t="n">
        <v>1.7255</v>
      </c>
      <c r="S1101" s="35" t="n">
        <v>11.248</v>
      </c>
      <c r="T1101" s="18" t="n"/>
      <c r="U1101" s="18" t="n">
        <v>67719</v>
      </c>
      <c r="V1101" s="18" t="n"/>
      <c r="W1101" s="18" t="n"/>
      <c r="X1101" s="35" t="n">
        <v>11.248</v>
      </c>
      <c r="Y1101" s="35" t="n"/>
    </row>
    <row r="1102">
      <c r="A1102" s="25" t="n">
        <v>40443</v>
      </c>
      <c r="B1102" s="18" t="n">
        <v>68325</v>
      </c>
      <c r="C1102" s="31" t="n"/>
      <c r="D1102" s="32" t="n"/>
      <c r="E1102" s="33" t="n">
        <v>1.2367</v>
      </c>
      <c r="F1102" t="inlineStr">
        <is>
          <t>Up</t>
        </is>
      </c>
      <c r="G1102" t="inlineStr">
        <is>
          <t>Up</t>
        </is>
      </c>
      <c r="H1102" t="inlineStr">
        <is>
          <t>EU_JU</t>
        </is>
      </c>
      <c r="I1102" t="inlineStr">
        <is>
          <t>2010-09</t>
        </is>
      </c>
      <c r="J1102" t="n">
        <v>1</v>
      </c>
      <c r="K1102" t="n">
        <v>1</v>
      </c>
      <c r="L1102" s="34">
        <f>IF($J1102=1,LN(B1103/B1102),"")</f>
        <v/>
      </c>
      <c r="M1102" s="34">
        <f>IF($K1102=1,INDEX(Mensal!$D$2:$D$245,MATCH($I1102,Mensal!$A$2:$A$245,0)),"")</f>
        <v/>
      </c>
      <c r="N1102" s="34">
        <f>IF($K1102=1,L1102-M1102,"")</f>
        <v/>
      </c>
      <c r="O1102" s="34" t="n">
        <v>0.0004006</v>
      </c>
      <c r="P1102" s="34">
        <f>IF($J1102=1,LN(1+O1102),"")</f>
        <v/>
      </c>
      <c r="Q1102" s="34">
        <f>IF($J1102=1,LN(R1103/R1102),"")</f>
        <v/>
      </c>
      <c r="R1102" s="32" t="n">
        <v>1.7184</v>
      </c>
      <c r="S1102" s="35" t="n">
        <v>11.299</v>
      </c>
      <c r="T1102" s="18" t="n"/>
      <c r="U1102" s="18" t="n">
        <v>68325</v>
      </c>
      <c r="V1102" s="18" t="n"/>
      <c r="W1102" s="18" t="n"/>
      <c r="X1102" s="35" t="n">
        <v>11.299</v>
      </c>
      <c r="Y1102" s="35" t="n"/>
    </row>
    <row r="1103">
      <c r="A1103" s="25" t="n">
        <v>40444</v>
      </c>
      <c r="B1103" s="18" t="n">
        <v>68794</v>
      </c>
      <c r="C1103" s="31" t="n"/>
      <c r="D1103" s="32" t="n"/>
      <c r="E1103" s="33" t="n">
        <v>1.2239</v>
      </c>
      <c r="F1103" t="inlineStr">
        <is>
          <t>Up</t>
        </is>
      </c>
      <c r="G1103" t="inlineStr">
        <is>
          <t>Up</t>
        </is>
      </c>
      <c r="H1103" t="inlineStr">
        <is>
          <t>EU_JU</t>
        </is>
      </c>
      <c r="I1103" t="inlineStr">
        <is>
          <t>2010-09</t>
        </is>
      </c>
      <c r="J1103" t="n">
        <v>1</v>
      </c>
      <c r="K1103" t="n">
        <v>1</v>
      </c>
      <c r="L1103" s="34">
        <f>IF($J1103=1,LN(B1104/B1103),"")</f>
        <v/>
      </c>
      <c r="M1103" s="34">
        <f>IF($K1103=1,INDEX(Mensal!$D$2:$D$245,MATCH($I1103,Mensal!$A$2:$A$245,0)),"")</f>
        <v/>
      </c>
      <c r="N1103" s="34">
        <f>IF($K1103=1,L1103-M1103,"")</f>
        <v/>
      </c>
      <c r="O1103" s="34" t="n">
        <v>0.00040096</v>
      </c>
      <c r="P1103" s="34">
        <f>IF($J1103=1,LN(1+O1103),"")</f>
        <v/>
      </c>
      <c r="Q1103" s="34">
        <f>IF($J1103=1,LN(R1104/R1103),"")</f>
        <v/>
      </c>
      <c r="R1103" s="32" t="n">
        <v>1.7194</v>
      </c>
      <c r="S1103" s="35" t="n">
        <v>11.318</v>
      </c>
      <c r="T1103" s="18" t="n"/>
      <c r="U1103" s="18" t="n">
        <v>68794</v>
      </c>
      <c r="V1103" s="18" t="n"/>
      <c r="W1103" s="18" t="n"/>
      <c r="X1103" s="35" t="n">
        <v>11.318</v>
      </c>
      <c r="Y1103" s="35" t="n"/>
    </row>
    <row r="1104">
      <c r="A1104" s="25" t="n">
        <v>40445</v>
      </c>
      <c r="B1104" s="18" t="n">
        <v>68196</v>
      </c>
      <c r="C1104" s="31" t="n"/>
      <c r="D1104" s="32" t="n"/>
      <c r="E1104" s="33" t="n">
        <v>1.2135</v>
      </c>
      <c r="F1104" t="inlineStr">
        <is>
          <t>Up</t>
        </is>
      </c>
      <c r="G1104" t="inlineStr">
        <is>
          <t>Up</t>
        </is>
      </c>
      <c r="H1104" t="inlineStr">
        <is>
          <t>EU_JU</t>
        </is>
      </c>
      <c r="I1104" t="inlineStr">
        <is>
          <t>2010-09</t>
        </is>
      </c>
      <c r="J1104" t="n">
        <v>1</v>
      </c>
      <c r="K1104" t="n">
        <v>1</v>
      </c>
      <c r="L1104" s="34">
        <f>IF($J1104=1,LN(B1105/B1104),"")</f>
        <v/>
      </c>
      <c r="M1104" s="34">
        <f>IF($K1104=1,INDEX(Mensal!$D$2:$D$245,MATCH($I1104,Mensal!$A$2:$A$245,0)),"")</f>
        <v/>
      </c>
      <c r="N1104" s="34">
        <f>IF($K1104=1,L1104-M1104,"")</f>
        <v/>
      </c>
      <c r="O1104" s="34" t="n">
        <v>0.00040096</v>
      </c>
      <c r="P1104" s="34">
        <f>IF($J1104=1,LN(1+O1104),"")</f>
        <v/>
      </c>
      <c r="Q1104" s="34">
        <f>IF($J1104=1,LN(R1105/R1104),"")</f>
        <v/>
      </c>
      <c r="R1104" s="32" t="n">
        <v>1.712</v>
      </c>
      <c r="S1104" s="35" t="n">
        <v>11.298</v>
      </c>
      <c r="T1104" s="18" t="n"/>
      <c r="U1104" s="18" t="n">
        <v>68196</v>
      </c>
      <c r="V1104" s="18" t="n"/>
      <c r="W1104" s="18" t="n"/>
      <c r="X1104" s="35" t="n">
        <v>11.298</v>
      </c>
      <c r="Y1104" s="35" t="n"/>
    </row>
    <row r="1105">
      <c r="A1105" s="25" t="n">
        <v>40448</v>
      </c>
      <c r="B1105" s="18" t="n">
        <v>68815</v>
      </c>
      <c r="C1105" s="31" t="n"/>
      <c r="D1105" s="32" t="n"/>
      <c r="E1105" s="33" t="n">
        <v>1.2053</v>
      </c>
      <c r="F1105" t="inlineStr">
        <is>
          <t>Up</t>
        </is>
      </c>
      <c r="G1105" t="inlineStr">
        <is>
          <t>Up</t>
        </is>
      </c>
      <c r="H1105" t="inlineStr">
        <is>
          <t>EU_JU</t>
        </is>
      </c>
      <c r="I1105" t="inlineStr">
        <is>
          <t>2010-09</t>
        </is>
      </c>
      <c r="J1105" t="n">
        <v>1</v>
      </c>
      <c r="K1105" t="n">
        <v>1</v>
      </c>
      <c r="L1105" s="34">
        <f>IF($J1105=1,LN(B1106/B1105),"")</f>
        <v/>
      </c>
      <c r="M1105" s="34">
        <f>IF($K1105=1,INDEX(Mensal!$D$2:$D$245,MATCH($I1105,Mensal!$A$2:$A$245,0)),"")</f>
        <v/>
      </c>
      <c r="N1105" s="34">
        <f>IF($K1105=1,L1105-M1105,"")</f>
        <v/>
      </c>
      <c r="O1105" s="34" t="n">
        <v>0.00040096</v>
      </c>
      <c r="P1105" s="34">
        <f>IF($J1105=1,LN(1+O1105),"")</f>
        <v/>
      </c>
      <c r="Q1105" s="34">
        <f>IF($J1105=1,LN(R1106/R1105),"")</f>
        <v/>
      </c>
      <c r="R1105" s="32" t="n">
        <v>1.71</v>
      </c>
      <c r="S1105" s="35" t="n">
        <v>11.356</v>
      </c>
      <c r="T1105" s="18" t="n"/>
      <c r="U1105" s="18" t="n">
        <v>68815</v>
      </c>
      <c r="V1105" s="18" t="n"/>
      <c r="W1105" s="18" t="n"/>
      <c r="X1105" s="35" t="n">
        <v>11.356</v>
      </c>
      <c r="Y1105" s="35" t="n"/>
    </row>
    <row r="1106">
      <c r="A1106" s="25" t="n">
        <v>40449</v>
      </c>
      <c r="B1106" s="18" t="n">
        <v>69227</v>
      </c>
      <c r="C1106" s="31" t="n"/>
      <c r="D1106" s="32" t="n"/>
      <c r="E1106" s="33" t="n">
        <v>1.1954</v>
      </c>
      <c r="F1106" t="inlineStr">
        <is>
          <t>Up</t>
        </is>
      </c>
      <c r="G1106" t="inlineStr">
        <is>
          <t>Up</t>
        </is>
      </c>
      <c r="H1106" t="inlineStr">
        <is>
          <t>EU_JU</t>
        </is>
      </c>
      <c r="I1106" t="inlineStr">
        <is>
          <t>2010-09</t>
        </is>
      </c>
      <c r="J1106" t="n">
        <v>1</v>
      </c>
      <c r="K1106" t="n">
        <v>1</v>
      </c>
      <c r="L1106" s="34">
        <f>IF($J1106=1,LN(B1107/B1106),"")</f>
        <v/>
      </c>
      <c r="M1106" s="34">
        <f>IF($K1106=1,INDEX(Mensal!$D$2:$D$245,MATCH($I1106,Mensal!$A$2:$A$245,0)),"")</f>
        <v/>
      </c>
      <c r="N1106" s="34">
        <f>IF($K1106=1,L1106-M1106,"")</f>
        <v/>
      </c>
      <c r="O1106" s="34" t="n">
        <v>0.0004006</v>
      </c>
      <c r="P1106" s="34">
        <f>IF($J1106=1,LN(1+O1106),"")</f>
        <v/>
      </c>
      <c r="Q1106" s="34">
        <f>IF($J1106=1,LN(R1107/R1106),"")</f>
        <v/>
      </c>
      <c r="R1106" s="32" t="n">
        <v>1.7093</v>
      </c>
      <c r="S1106" s="35" t="n">
        <v>11.37</v>
      </c>
      <c r="T1106" s="18" t="n"/>
      <c r="U1106" s="18" t="n">
        <v>69227</v>
      </c>
      <c r="V1106" s="18" t="n"/>
      <c r="W1106" s="18" t="n"/>
      <c r="X1106" s="35" t="n">
        <v>11.37</v>
      </c>
      <c r="Y1106" s="35" t="n"/>
    </row>
    <row r="1107">
      <c r="A1107" s="25" t="n">
        <v>40450</v>
      </c>
      <c r="B1107" s="18" t="n">
        <v>69228</v>
      </c>
      <c r="C1107" s="31" t="n"/>
      <c r="D1107" s="32" t="n"/>
      <c r="E1107" s="33" t="n">
        <v>1.1851</v>
      </c>
      <c r="F1107" t="inlineStr">
        <is>
          <t>Up</t>
        </is>
      </c>
      <c r="G1107" t="inlineStr">
        <is>
          <t>Up</t>
        </is>
      </c>
      <c r="H1107" t="inlineStr">
        <is>
          <t>EU_JU</t>
        </is>
      </c>
      <c r="I1107" t="inlineStr">
        <is>
          <t>2010-09</t>
        </is>
      </c>
      <c r="J1107" t="n">
        <v>1</v>
      </c>
      <c r="K1107" t="n">
        <v>1</v>
      </c>
      <c r="L1107" s="34">
        <f>IF($J1107=1,LN(B1108/B1107),"")</f>
        <v/>
      </c>
      <c r="M1107" s="34">
        <f>IF($K1107=1,INDEX(Mensal!$D$2:$D$245,MATCH($I1107,Mensal!$A$2:$A$245,0)),"")</f>
        <v/>
      </c>
      <c r="N1107" s="34">
        <f>IF($K1107=1,L1107-M1107,"")</f>
        <v/>
      </c>
      <c r="O1107" s="34" t="n">
        <v>0.00039988</v>
      </c>
      <c r="P1107" s="34">
        <f>IF($J1107=1,LN(1+O1107),"")</f>
        <v/>
      </c>
      <c r="Q1107" s="34">
        <f>IF($J1107=1,LN(R1108/R1107),"")</f>
        <v/>
      </c>
      <c r="R1107" s="32" t="n">
        <v>1.7053</v>
      </c>
      <c r="S1107" s="35" t="n">
        <v>11.275</v>
      </c>
      <c r="T1107" s="18" t="n"/>
      <c r="U1107" s="18" t="n">
        <v>69228</v>
      </c>
      <c r="V1107" s="18" t="n"/>
      <c r="W1107" s="18" t="n"/>
      <c r="X1107" s="35" t="n">
        <v>11.275</v>
      </c>
      <c r="Y1107" s="35" t="n"/>
    </row>
    <row r="1108">
      <c r="A1108" s="25" t="n">
        <v>40451</v>
      </c>
      <c r="B1108" s="18" t="n">
        <v>69429</v>
      </c>
      <c r="C1108" s="31" t="n"/>
      <c r="D1108" s="32" t="n"/>
      <c r="E1108" s="33" t="n">
        <v>1.1731</v>
      </c>
      <c r="F1108" t="inlineStr">
        <is>
          <t>Up</t>
        </is>
      </c>
      <c r="G1108" t="inlineStr">
        <is>
          <t>Up</t>
        </is>
      </c>
      <c r="H1108" t="inlineStr">
        <is>
          <t>EU_JU</t>
        </is>
      </c>
      <c r="I1108" t="inlineStr">
        <is>
          <t>2010-09</t>
        </is>
      </c>
      <c r="J1108" t="n">
        <v>1</v>
      </c>
      <c r="K1108" t="n">
        <v>1</v>
      </c>
      <c r="L1108" s="34">
        <f>IF($J1108=1,LN(B1109/B1108),"")</f>
        <v/>
      </c>
      <c r="M1108" s="34">
        <f>IF($K1108=1,INDEX(Mensal!$D$2:$D$245,MATCH($I1108,Mensal!$A$2:$A$245,0)),"")</f>
        <v/>
      </c>
      <c r="N1108" s="34">
        <f>IF($K1108=1,L1108-M1108,"")</f>
        <v/>
      </c>
      <c r="O1108" s="34" t="n">
        <v>0.0004002399999999999</v>
      </c>
      <c r="P1108" s="34">
        <f>IF($J1108=1,LN(1+O1108),"")</f>
        <v/>
      </c>
      <c r="Q1108" s="34">
        <f>IF($J1108=1,LN(R1109/R1108),"")</f>
        <v/>
      </c>
      <c r="R1108" s="32" t="n">
        <v>1.6942</v>
      </c>
      <c r="S1108" s="35" t="n">
        <v>11.284</v>
      </c>
      <c r="T1108" s="18" t="n"/>
      <c r="U1108" s="18" t="n">
        <v>69429</v>
      </c>
      <c r="V1108" s="18" t="n"/>
      <c r="W1108" s="18" t="n"/>
      <c r="X1108" s="35" t="n">
        <v>11.284</v>
      </c>
      <c r="Y1108" s="35" t="n"/>
    </row>
    <row r="1109">
      <c r="A1109" s="25" t="n">
        <v>40452</v>
      </c>
      <c r="B1109" s="18" t="n">
        <v>70229</v>
      </c>
      <c r="C1109" s="31" t="n"/>
      <c r="D1109" s="32" t="n"/>
      <c r="E1109" s="33" t="n">
        <v>1.1585</v>
      </c>
      <c r="F1109" t="inlineStr">
        <is>
          <t>Up</t>
        </is>
      </c>
      <c r="G1109" t="inlineStr">
        <is>
          <t>Up</t>
        </is>
      </c>
      <c r="H1109" t="inlineStr">
        <is>
          <t>EU_JU</t>
        </is>
      </c>
      <c r="I1109" t="inlineStr">
        <is>
          <t>2010-10</t>
        </is>
      </c>
      <c r="J1109" t="n">
        <v>1</v>
      </c>
      <c r="K1109" t="n">
        <v>1</v>
      </c>
      <c r="L1109" s="34">
        <f>IF($J1109=1,LN(B1110/B1109),"")</f>
        <v/>
      </c>
      <c r="M1109" s="34">
        <f>IF($K1109=1,INDEX(Mensal!$D$2:$D$245,MATCH($I1109,Mensal!$A$2:$A$245,0)),"")</f>
        <v/>
      </c>
      <c r="N1109" s="34">
        <f>IF($K1109=1,L1109-M1109,"")</f>
        <v/>
      </c>
      <c r="O1109" s="34" t="n">
        <v>0.00040132</v>
      </c>
      <c r="P1109" s="34">
        <f>IF($J1109=1,LN(1+O1109),"")</f>
        <v/>
      </c>
      <c r="Q1109" s="34">
        <f>IF($J1109=1,LN(R1110/R1109),"")</f>
        <v/>
      </c>
      <c r="R1109" s="32" t="n">
        <v>1.6812</v>
      </c>
      <c r="S1109" s="35" t="n">
        <v>11.235</v>
      </c>
      <c r="T1109" s="18" t="n"/>
      <c r="U1109" s="18" t="n">
        <v>70229</v>
      </c>
      <c r="V1109" s="18" t="n"/>
      <c r="W1109" s="18" t="n"/>
      <c r="X1109" s="35" t="n">
        <v>11.235</v>
      </c>
      <c r="Y1109" s="35" t="n"/>
    </row>
    <row r="1110">
      <c r="A1110" s="25" t="n">
        <v>40455</v>
      </c>
      <c r="B1110" s="18" t="n">
        <v>70384</v>
      </c>
      <c r="C1110" s="31" t="n"/>
      <c r="D1110" s="32" t="n"/>
      <c r="E1110" s="33" t="n">
        <v>1.1499</v>
      </c>
      <c r="F1110" t="inlineStr">
        <is>
          <t>Up</t>
        </is>
      </c>
      <c r="G1110" t="inlineStr">
        <is>
          <t>Up</t>
        </is>
      </c>
      <c r="H1110" t="inlineStr">
        <is>
          <t>EU_JU</t>
        </is>
      </c>
      <c r="I1110" t="inlineStr">
        <is>
          <t>2010-10</t>
        </is>
      </c>
      <c r="J1110" t="n">
        <v>1</v>
      </c>
      <c r="K1110" t="n">
        <v>1</v>
      </c>
      <c r="L1110" s="34">
        <f>IF($J1110=1,LN(B1111/B1110),"")</f>
        <v/>
      </c>
      <c r="M1110" s="34">
        <f>IF($K1110=1,INDEX(Mensal!$D$2:$D$245,MATCH($I1110,Mensal!$A$2:$A$245,0)),"")</f>
        <v/>
      </c>
      <c r="N1110" s="34">
        <f>IF($K1110=1,L1110-M1110,"")</f>
        <v/>
      </c>
      <c r="O1110" s="34" t="n">
        <v>0.00040132</v>
      </c>
      <c r="P1110" s="34">
        <f>IF($J1110=1,LN(1+O1110),"")</f>
        <v/>
      </c>
      <c r="Q1110" s="34">
        <f>IF($J1110=1,LN(R1111/R1110),"")</f>
        <v/>
      </c>
      <c r="R1110" s="32" t="n">
        <v>1.6882</v>
      </c>
      <c r="S1110" s="35" t="n">
        <v>11.214</v>
      </c>
      <c r="T1110" s="18" t="n"/>
      <c r="U1110" s="18" t="n">
        <v>70384</v>
      </c>
      <c r="V1110" s="18" t="n"/>
      <c r="W1110" s="18" t="n"/>
      <c r="X1110" s="35" t="n">
        <v>11.214</v>
      </c>
      <c r="Y1110" s="35" t="n"/>
    </row>
    <row r="1111">
      <c r="A1111" s="25" t="n">
        <v>40456</v>
      </c>
      <c r="B1111" s="18" t="n">
        <v>71283</v>
      </c>
      <c r="C1111" s="31" t="n"/>
      <c r="D1111" s="32" t="n"/>
      <c r="E1111" s="33" t="n">
        <v>1.14</v>
      </c>
      <c r="F1111" t="inlineStr">
        <is>
          <t>Up</t>
        </is>
      </c>
      <c r="G1111" t="inlineStr">
        <is>
          <t>Up</t>
        </is>
      </c>
      <c r="H1111" t="inlineStr">
        <is>
          <t>EU_JU</t>
        </is>
      </c>
      <c r="I1111" t="inlineStr">
        <is>
          <t>2010-10</t>
        </is>
      </c>
      <c r="J1111" t="n">
        <v>1</v>
      </c>
      <c r="K1111" t="n">
        <v>1</v>
      </c>
      <c r="L1111" s="34">
        <f>IF($J1111=1,LN(B1112/B1111),"")</f>
        <v/>
      </c>
      <c r="M1111" s="34">
        <f>IF($K1111=1,INDEX(Mensal!$D$2:$D$245,MATCH($I1111,Mensal!$A$2:$A$245,0)),"")</f>
        <v/>
      </c>
      <c r="N1111" s="34">
        <f>IF($K1111=1,L1111-M1111,"")</f>
        <v/>
      </c>
      <c r="O1111" s="34" t="n">
        <v>0.00040132</v>
      </c>
      <c r="P1111" s="34">
        <f>IF($J1111=1,LN(1+O1111),"")</f>
        <v/>
      </c>
      <c r="Q1111" s="34">
        <f>IF($J1111=1,LN(R1112/R1111),"")</f>
        <v/>
      </c>
      <c r="R1111" s="32" t="n">
        <v>1.6808</v>
      </c>
      <c r="S1111" s="35" t="n">
        <v>11.214</v>
      </c>
      <c r="T1111" s="18" t="n"/>
      <c r="U1111" s="18" t="n">
        <v>71283</v>
      </c>
      <c r="V1111" s="18" t="n"/>
      <c r="W1111" s="18" t="n"/>
      <c r="X1111" s="35" t="n">
        <v>11.214</v>
      </c>
      <c r="Y1111" s="35" t="n"/>
    </row>
    <row r="1112">
      <c r="A1112" s="25" t="n">
        <v>40457</v>
      </c>
      <c r="B1112" s="18" t="n">
        <v>70541</v>
      </c>
      <c r="C1112" s="31" t="n"/>
      <c r="D1112" s="32" t="n"/>
      <c r="E1112" s="33" t="n">
        <v>1.1282</v>
      </c>
      <c r="F1112" t="inlineStr">
        <is>
          <t>Up</t>
        </is>
      </c>
      <c r="G1112" t="inlineStr">
        <is>
          <t>Up</t>
        </is>
      </c>
      <c r="H1112" t="inlineStr">
        <is>
          <t>EU_JU</t>
        </is>
      </c>
      <c r="I1112" t="inlineStr">
        <is>
          <t>2010-10</t>
        </is>
      </c>
      <c r="J1112" t="n">
        <v>1</v>
      </c>
      <c r="K1112" t="n">
        <v>1</v>
      </c>
      <c r="L1112" s="34">
        <f>IF($J1112=1,LN(B1113/B1112),"")</f>
        <v/>
      </c>
      <c r="M1112" s="34">
        <f>IF($K1112=1,INDEX(Mensal!$D$2:$D$245,MATCH($I1112,Mensal!$A$2:$A$245,0)),"")</f>
        <v/>
      </c>
      <c r="N1112" s="34">
        <f>IF($K1112=1,L1112-M1112,"")</f>
        <v/>
      </c>
      <c r="O1112" s="34" t="n">
        <v>0.00040132</v>
      </c>
      <c r="P1112" s="34">
        <f>IF($J1112=1,LN(1+O1112),"")</f>
        <v/>
      </c>
      <c r="Q1112" s="34">
        <f>IF($J1112=1,LN(R1113/R1112),"")</f>
        <v/>
      </c>
      <c r="R1112" s="32" t="n">
        <v>1.6758</v>
      </c>
      <c r="S1112" s="35" t="n">
        <v>11.24</v>
      </c>
      <c r="T1112" s="18" t="n"/>
      <c r="U1112" s="18" t="n">
        <v>70541</v>
      </c>
      <c r="V1112" s="18" t="n"/>
      <c r="W1112" s="18" t="n"/>
      <c r="X1112" s="35" t="n">
        <v>11.24</v>
      </c>
      <c r="Y1112" s="35" t="n"/>
    </row>
    <row r="1113">
      <c r="A1113" s="25" t="n">
        <v>40458</v>
      </c>
      <c r="B1113" s="18" t="n">
        <v>69918</v>
      </c>
      <c r="C1113" s="31" t="n"/>
      <c r="D1113" s="32" t="n"/>
      <c r="E1113" s="33" t="n">
        <v>1.1067</v>
      </c>
      <c r="F1113" t="inlineStr">
        <is>
          <t>Up</t>
        </is>
      </c>
      <c r="G1113" t="inlineStr">
        <is>
          <t>Up</t>
        </is>
      </c>
      <c r="H1113" t="inlineStr">
        <is>
          <t>EU_JU</t>
        </is>
      </c>
      <c r="I1113" t="inlineStr">
        <is>
          <t>2010-10</t>
        </is>
      </c>
      <c r="J1113" t="n">
        <v>1</v>
      </c>
      <c r="K1113" t="n">
        <v>1</v>
      </c>
      <c r="L1113" s="34">
        <f>IF($J1113=1,LN(B1114/B1113),"")</f>
        <v/>
      </c>
      <c r="M1113" s="34">
        <f>IF($K1113=1,INDEX(Mensal!$D$2:$D$245,MATCH($I1113,Mensal!$A$2:$A$245,0)),"")</f>
        <v/>
      </c>
      <c r="N1113" s="34">
        <f>IF($K1113=1,L1113-M1113,"")</f>
        <v/>
      </c>
      <c r="O1113" s="34" t="n">
        <v>0.00040132</v>
      </c>
      <c r="P1113" s="34">
        <f>IF($J1113=1,LN(1+O1113),"")</f>
        <v/>
      </c>
      <c r="Q1113" s="34">
        <f>IF($J1113=1,LN(R1114/R1113),"")</f>
        <v/>
      </c>
      <c r="R1113" s="32" t="n">
        <v>1.6777</v>
      </c>
      <c r="S1113" s="35" t="n">
        <v>11.21</v>
      </c>
      <c r="T1113" s="18" t="n"/>
      <c r="U1113" s="18" t="n">
        <v>69918</v>
      </c>
      <c r="V1113" s="18" t="n"/>
      <c r="W1113" s="18" t="n"/>
      <c r="X1113" s="35" t="n">
        <v>11.21</v>
      </c>
      <c r="Y1113" s="35" t="n"/>
    </row>
    <row r="1114">
      <c r="A1114" s="25" t="n">
        <v>40459</v>
      </c>
      <c r="B1114" s="18" t="n">
        <v>70808</v>
      </c>
      <c r="C1114" s="31" t="n"/>
      <c r="D1114" s="32" t="n"/>
      <c r="E1114" s="33" t="n">
        <v>1</v>
      </c>
      <c r="F1114" t="inlineStr">
        <is>
          <t>Up</t>
        </is>
      </c>
      <c r="G1114" t="inlineStr">
        <is>
          <t>Up</t>
        </is>
      </c>
      <c r="H1114" t="inlineStr">
        <is>
          <t>EU_JU</t>
        </is>
      </c>
      <c r="I1114" t="inlineStr">
        <is>
          <t>2010-10</t>
        </is>
      </c>
      <c r="J1114" t="n">
        <v>1</v>
      </c>
      <c r="K1114" t="n">
        <v>1</v>
      </c>
      <c r="L1114" s="34">
        <f>IF($J1114=1,LN(B1115/B1114),"")</f>
        <v/>
      </c>
      <c r="M1114" s="34">
        <f>IF($K1114=1,INDEX(Mensal!$D$2:$D$245,MATCH($I1114,Mensal!$A$2:$A$245,0)),"")</f>
        <v/>
      </c>
      <c r="N1114" s="34">
        <f>IF($K1114=1,L1114-M1114,"")</f>
        <v/>
      </c>
      <c r="O1114" s="34" t="n">
        <v>0.00040132</v>
      </c>
      <c r="P1114" s="34">
        <f>IF($J1114=1,LN(1+O1114),"")</f>
        <v/>
      </c>
      <c r="Q1114" s="34">
        <f>IF($J1114=1,LN(R1115/R1114),"")</f>
        <v/>
      </c>
      <c r="R1114" s="32" t="n">
        <v>1.6804</v>
      </c>
      <c r="S1114" s="35" t="n">
        <v>11.23</v>
      </c>
      <c r="T1114" s="18" t="n"/>
      <c r="U1114" s="18" t="n">
        <v>70808</v>
      </c>
      <c r="V1114" s="18" t="n"/>
      <c r="W1114" s="18" t="n"/>
      <c r="X1114" s="35" t="n">
        <v>11.23</v>
      </c>
      <c r="Y1114" s="35" t="n"/>
    </row>
    <row r="1115">
      <c r="A1115" s="25" t="n">
        <v>40462</v>
      </c>
      <c r="B1115" s="18" t="n">
        <v>70946</v>
      </c>
      <c r="C1115" s="31" t="n"/>
      <c r="D1115" s="32" t="n"/>
      <c r="E1115" s="33" t="n">
        <v>0.8953</v>
      </c>
      <c r="F1115" t="inlineStr">
        <is>
          <t>Up</t>
        </is>
      </c>
      <c r="G1115" t="inlineStr">
        <is>
          <t>Up</t>
        </is>
      </c>
      <c r="H1115" t="inlineStr">
        <is>
          <t>EU_JU</t>
        </is>
      </c>
      <c r="I1115" t="inlineStr">
        <is>
          <t>2010-10</t>
        </is>
      </c>
      <c r="J1115" t="n">
        <v>1</v>
      </c>
      <c r="K1115" t="n">
        <v>1</v>
      </c>
      <c r="L1115" s="34">
        <f>IF($J1115=1,LN(B1116/B1115),"")</f>
        <v/>
      </c>
      <c r="M1115" s="34">
        <f>IF($K1115=1,INDEX(Mensal!$D$2:$D$245,MATCH($I1115,Mensal!$A$2:$A$245,0)),"")</f>
        <v/>
      </c>
      <c r="N1115" s="34">
        <f>IF($K1115=1,L1115-M1115,"")</f>
        <v/>
      </c>
      <c r="O1115" s="34" t="n">
        <v>0.00040132</v>
      </c>
      <c r="P1115" s="34">
        <f>IF($J1115=1,LN(1+O1115),"")</f>
        <v/>
      </c>
      <c r="Q1115" s="34">
        <f>IF($J1115=1,LN(R1116/R1115),"")</f>
        <v/>
      </c>
      <c r="R1115" s="32" t="n">
        <v>1.6648</v>
      </c>
      <c r="S1115" s="35" t="n">
        <v>11.222</v>
      </c>
      <c r="T1115" s="18" t="n"/>
      <c r="U1115" s="18" t="n">
        <v>70946</v>
      </c>
      <c r="V1115" s="18" t="n"/>
      <c r="W1115" s="18" t="n"/>
      <c r="X1115" s="35" t="n">
        <v>11.222</v>
      </c>
      <c r="Y1115" s="35" t="n"/>
    </row>
    <row r="1116">
      <c r="A1116" s="25" t="n">
        <v>40464</v>
      </c>
      <c r="B1116" s="18" t="n">
        <v>71674</v>
      </c>
      <c r="C1116" s="31" t="n"/>
      <c r="D1116" s="32" t="n"/>
      <c r="E1116" s="33" t="n">
        <v>0.7927</v>
      </c>
      <c r="F1116" t="inlineStr">
        <is>
          <t>Up</t>
        </is>
      </c>
      <c r="G1116" t="inlineStr">
        <is>
          <t>Up</t>
        </is>
      </c>
      <c r="H1116" t="inlineStr">
        <is>
          <t>EU_JU</t>
        </is>
      </c>
      <c r="I1116" t="inlineStr">
        <is>
          <t>2010-10</t>
        </is>
      </c>
      <c r="J1116" t="n">
        <v>1</v>
      </c>
      <c r="K1116" t="n">
        <v>1</v>
      </c>
      <c r="L1116" s="34">
        <f>IF($J1116=1,LN(B1117/B1116),"")</f>
        <v/>
      </c>
      <c r="M1116" s="34">
        <f>IF($K1116=1,INDEX(Mensal!$D$2:$D$245,MATCH($I1116,Mensal!$A$2:$A$245,0)),"")</f>
        <v/>
      </c>
      <c r="N1116" s="34">
        <f>IF($K1116=1,L1116-M1116,"")</f>
        <v/>
      </c>
      <c r="O1116" s="34" t="n">
        <v>0.00040132</v>
      </c>
      <c r="P1116" s="34">
        <f>IF($J1116=1,LN(1+O1116),"")</f>
        <v/>
      </c>
      <c r="Q1116" s="34">
        <f>IF($J1116=1,LN(R1117/R1116),"")</f>
        <v/>
      </c>
      <c r="R1116" s="32" t="n">
        <v>1.6554</v>
      </c>
      <c r="S1116" s="35" t="n">
        <v>11.16</v>
      </c>
      <c r="T1116" s="18" t="n"/>
      <c r="U1116" s="18" t="n">
        <v>71674</v>
      </c>
      <c r="V1116" s="18" t="n"/>
      <c r="W1116" s="18" t="n"/>
      <c r="X1116" s="35" t="n">
        <v>11.16</v>
      </c>
      <c r="Y1116" s="35" t="n"/>
    </row>
    <row r="1117">
      <c r="A1117" s="25" t="n">
        <v>40465</v>
      </c>
      <c r="B1117" s="18" t="n">
        <v>71692</v>
      </c>
      <c r="C1117" s="31" t="n"/>
      <c r="D1117" s="32" t="n"/>
      <c r="E1117" s="33" t="n">
        <v>0.6891</v>
      </c>
      <c r="F1117" t="inlineStr">
        <is>
          <t>Up</t>
        </is>
      </c>
      <c r="G1117" t="inlineStr">
        <is>
          <t>Up</t>
        </is>
      </c>
      <c r="H1117" t="inlineStr">
        <is>
          <t>EU_JU</t>
        </is>
      </c>
      <c r="I1117" t="inlineStr">
        <is>
          <t>2010-10</t>
        </is>
      </c>
      <c r="J1117" t="n">
        <v>1</v>
      </c>
      <c r="K1117" t="n">
        <v>1</v>
      </c>
      <c r="L1117" s="34">
        <f>IF($J1117=1,LN(B1118/B1117),"")</f>
        <v/>
      </c>
      <c r="M1117" s="34">
        <f>IF($K1117=1,INDEX(Mensal!$D$2:$D$245,MATCH($I1117,Mensal!$A$2:$A$245,0)),"")</f>
        <v/>
      </c>
      <c r="N1117" s="34">
        <f>IF($K1117=1,L1117-M1117,"")</f>
        <v/>
      </c>
      <c r="O1117" s="34" t="n">
        <v>0.00040096</v>
      </c>
      <c r="P1117" s="34">
        <f>IF($J1117=1,LN(1+O1117),"")</f>
        <v/>
      </c>
      <c r="Q1117" s="34">
        <f>IF($J1117=1,LN(R1118/R1117),"")</f>
        <v/>
      </c>
      <c r="R1117" s="32" t="n">
        <v>1.6596</v>
      </c>
      <c r="S1117" s="35" t="n">
        <v>11.088</v>
      </c>
      <c r="T1117" s="18" t="n"/>
      <c r="U1117" s="18" t="n">
        <v>71692</v>
      </c>
      <c r="V1117" s="18" t="n"/>
      <c r="W1117" s="18" t="n"/>
      <c r="X1117" s="35" t="n">
        <v>11.088</v>
      </c>
      <c r="Y1117" s="35" t="n"/>
    </row>
    <row r="1118">
      <c r="A1118" s="25" t="n">
        <v>40466</v>
      </c>
      <c r="B1118" s="18" t="n">
        <v>71830</v>
      </c>
      <c r="C1118" s="31" t="n"/>
      <c r="D1118" s="32" t="n"/>
      <c r="E1118" s="33" t="n">
        <v>0.5927</v>
      </c>
      <c r="F1118" t="inlineStr">
        <is>
          <t>Up</t>
        </is>
      </c>
      <c r="G1118" t="inlineStr">
        <is>
          <t>Up</t>
        </is>
      </c>
      <c r="H1118" t="inlineStr">
        <is>
          <t>EU_JU</t>
        </is>
      </c>
      <c r="I1118" t="inlineStr">
        <is>
          <t>2010-10</t>
        </is>
      </c>
      <c r="J1118" t="n">
        <v>1</v>
      </c>
      <c r="K1118" t="n">
        <v>1</v>
      </c>
      <c r="L1118" s="34">
        <f>IF($J1118=1,LN(B1119/B1118),"")</f>
        <v/>
      </c>
      <c r="M1118" s="34">
        <f>IF($K1118=1,INDEX(Mensal!$D$2:$D$245,MATCH($I1118,Mensal!$A$2:$A$245,0)),"")</f>
        <v/>
      </c>
      <c r="N1118" s="34">
        <f>IF($K1118=1,L1118-M1118,"")</f>
        <v/>
      </c>
      <c r="O1118" s="34" t="n">
        <v>0.00040132</v>
      </c>
      <c r="P1118" s="34">
        <f>IF($J1118=1,LN(1+O1118),"")</f>
        <v/>
      </c>
      <c r="Q1118" s="34">
        <f>IF($J1118=1,LN(R1119/R1118),"")</f>
        <v/>
      </c>
      <c r="R1118" s="32" t="n">
        <v>1.6604</v>
      </c>
      <c r="S1118" s="35" t="n">
        <v>11.067</v>
      </c>
      <c r="T1118" s="18" t="n"/>
      <c r="U1118" s="18" t="n">
        <v>71830</v>
      </c>
      <c r="V1118" s="18" t="n"/>
      <c r="W1118" s="18" t="n"/>
      <c r="X1118" s="35" t="n">
        <v>11.067</v>
      </c>
      <c r="Y1118" s="35" t="n"/>
    </row>
    <row r="1119">
      <c r="A1119" s="25" t="n">
        <v>40469</v>
      </c>
      <c r="B1119" s="18" t="n">
        <v>71735</v>
      </c>
      <c r="C1119" s="31" t="n"/>
      <c r="D1119" s="32" t="n"/>
      <c r="E1119" s="33" t="n">
        <v>0.5054999999999999</v>
      </c>
      <c r="F1119" t="inlineStr">
        <is>
          <t>Up</t>
        </is>
      </c>
      <c r="G1119" t="inlineStr">
        <is>
          <t>Up</t>
        </is>
      </c>
      <c r="H1119" t="inlineStr">
        <is>
          <t>EU_JU</t>
        </is>
      </c>
      <c r="I1119" t="inlineStr">
        <is>
          <t>2010-10</t>
        </is>
      </c>
      <c r="J1119" t="n">
        <v>1</v>
      </c>
      <c r="K1119" t="n">
        <v>1</v>
      </c>
      <c r="L1119" s="34">
        <f>IF($J1119=1,LN(B1120/B1119),"")</f>
        <v/>
      </c>
      <c r="M1119" s="34">
        <f>IF($K1119=1,INDEX(Mensal!$D$2:$D$245,MATCH($I1119,Mensal!$A$2:$A$245,0)),"")</f>
        <v/>
      </c>
      <c r="N1119" s="34">
        <f>IF($K1119=1,L1119-M1119,"")</f>
        <v/>
      </c>
      <c r="O1119" s="34" t="n">
        <v>0.00040132</v>
      </c>
      <c r="P1119" s="34">
        <f>IF($J1119=1,LN(1+O1119),"")</f>
        <v/>
      </c>
      <c r="Q1119" s="34">
        <f>IF($J1119=1,LN(R1120/R1119),"")</f>
        <v/>
      </c>
      <c r="R1119" s="32" t="n">
        <v>1.6686</v>
      </c>
      <c r="S1119" s="35" t="n">
        <v>11.116</v>
      </c>
      <c r="T1119" s="18" t="n"/>
      <c r="U1119" s="18" t="n">
        <v>71735</v>
      </c>
      <c r="V1119" s="18" t="n"/>
      <c r="W1119" s="18" t="n"/>
      <c r="X1119" s="35" t="n">
        <v>11.116</v>
      </c>
      <c r="Y1119" s="35" t="n"/>
    </row>
    <row r="1120">
      <c r="A1120" s="25" t="n">
        <v>40470</v>
      </c>
      <c r="B1120" s="18" t="n">
        <v>69863</v>
      </c>
      <c r="C1120" s="31" t="n"/>
      <c r="D1120" s="32" t="n"/>
      <c r="E1120" s="33" t="n">
        <v>0.4203</v>
      </c>
      <c r="F1120" t="inlineStr">
        <is>
          <t>Up</t>
        </is>
      </c>
      <c r="G1120" t="inlineStr">
        <is>
          <t>Up</t>
        </is>
      </c>
      <c r="H1120" t="inlineStr">
        <is>
          <t>EU_JU</t>
        </is>
      </c>
      <c r="I1120" t="inlineStr">
        <is>
          <t>2010-10</t>
        </is>
      </c>
      <c r="J1120" t="n">
        <v>1</v>
      </c>
      <c r="K1120" t="n">
        <v>1</v>
      </c>
      <c r="L1120" s="34">
        <f>IF($J1120=1,LN(B1121/B1120),"")</f>
        <v/>
      </c>
      <c r="M1120" s="34">
        <f>IF($K1120=1,INDEX(Mensal!$D$2:$D$245,MATCH($I1120,Mensal!$A$2:$A$245,0)),"")</f>
        <v/>
      </c>
      <c r="N1120" s="34">
        <f>IF($K1120=1,L1120-M1120,"")</f>
        <v/>
      </c>
      <c r="O1120" s="34" t="n">
        <v>0.00040132</v>
      </c>
      <c r="P1120" s="34">
        <f>IF($J1120=1,LN(1+O1120),"")</f>
        <v/>
      </c>
      <c r="Q1120" s="34">
        <f>IF($J1120=1,LN(R1121/R1120),"")</f>
        <v/>
      </c>
      <c r="R1120" s="32" t="n">
        <v>1.6868</v>
      </c>
      <c r="S1120" s="35" t="n">
        <v>11.151</v>
      </c>
      <c r="T1120" s="18" t="n"/>
      <c r="U1120" s="18" t="n">
        <v>69863</v>
      </c>
      <c r="V1120" s="18" t="n"/>
      <c r="W1120" s="18" t="n"/>
      <c r="X1120" s="35" t="n">
        <v>11.151</v>
      </c>
      <c r="Y1120" s="35" t="n"/>
    </row>
    <row r="1121">
      <c r="A1121" s="25" t="n">
        <v>40471</v>
      </c>
      <c r="B1121" s="18" t="n">
        <v>70404</v>
      </c>
      <c r="C1121" s="31" t="n"/>
      <c r="D1121" s="32" t="n"/>
      <c r="E1121" s="33" t="n">
        <v>0.3399</v>
      </c>
      <c r="F1121" t="inlineStr">
        <is>
          <t>Up</t>
        </is>
      </c>
      <c r="G1121" t="inlineStr">
        <is>
          <t>Up</t>
        </is>
      </c>
      <c r="H1121" t="inlineStr">
        <is>
          <t>EU_JU</t>
        </is>
      </c>
      <c r="I1121" t="inlineStr">
        <is>
          <t>2010-10</t>
        </is>
      </c>
      <c r="J1121" t="n">
        <v>1</v>
      </c>
      <c r="K1121" t="n">
        <v>1</v>
      </c>
      <c r="L1121" s="34">
        <f>IF($J1121=1,LN(B1122/B1121),"")</f>
        <v/>
      </c>
      <c r="M1121" s="34">
        <f>IF($K1121=1,INDEX(Mensal!$D$2:$D$245,MATCH($I1121,Mensal!$A$2:$A$245,0)),"")</f>
        <v/>
      </c>
      <c r="N1121" s="34">
        <f>IF($K1121=1,L1121-M1121,"")</f>
        <v/>
      </c>
      <c r="O1121" s="34" t="n">
        <v>0.00040132</v>
      </c>
      <c r="P1121" s="34">
        <f>IF($J1121=1,LN(1+O1121),"")</f>
        <v/>
      </c>
      <c r="Q1121" s="34">
        <f>IF($J1121=1,LN(R1122/R1121),"")</f>
        <v/>
      </c>
      <c r="R1121" s="32" t="n">
        <v>1.6735</v>
      </c>
      <c r="S1121" s="35" t="n">
        <v>11.113</v>
      </c>
      <c r="T1121" s="18" t="n"/>
      <c r="U1121" s="18" t="n">
        <v>70404</v>
      </c>
      <c r="V1121" s="18" t="n"/>
      <c r="W1121" s="18" t="n"/>
      <c r="X1121" s="35" t="n">
        <v>11.113</v>
      </c>
      <c r="Y1121" s="35" t="n"/>
    </row>
    <row r="1122">
      <c r="A1122" s="25" t="n">
        <v>40472</v>
      </c>
      <c r="B1122" s="18" t="n">
        <v>69652</v>
      </c>
      <c r="C1122" s="31" t="n"/>
      <c r="D1122" s="32" t="n"/>
      <c r="E1122" s="33" t="n">
        <v>0.2566</v>
      </c>
      <c r="F1122" t="inlineStr">
        <is>
          <t>Up</t>
        </is>
      </c>
      <c r="G1122" t="inlineStr">
        <is>
          <t>Up</t>
        </is>
      </c>
      <c r="H1122" t="inlineStr">
        <is>
          <t>EU_JU</t>
        </is>
      </c>
      <c r="I1122" t="inlineStr">
        <is>
          <t>2010-10</t>
        </is>
      </c>
      <c r="J1122" t="n">
        <v>1</v>
      </c>
      <c r="K1122" t="n">
        <v>1</v>
      </c>
      <c r="L1122" s="34">
        <f>IF($J1122=1,LN(B1123/B1122),"")</f>
        <v/>
      </c>
      <c r="M1122" s="34">
        <f>IF($K1122=1,INDEX(Mensal!$D$2:$D$245,MATCH($I1122,Mensal!$A$2:$A$245,0)),"")</f>
        <v/>
      </c>
      <c r="N1122" s="34">
        <f>IF($K1122=1,L1122-M1122,"")</f>
        <v/>
      </c>
      <c r="O1122" s="34" t="n">
        <v>0.00040132</v>
      </c>
      <c r="P1122" s="34">
        <f>IF($J1122=1,LN(1+O1122),"")</f>
        <v/>
      </c>
      <c r="Q1122" s="34">
        <f>IF($J1122=1,LN(R1123/R1122),"")</f>
        <v/>
      </c>
      <c r="R1122" s="32" t="n">
        <v>1.6897</v>
      </c>
      <c r="S1122" s="35" t="n">
        <v>11.167</v>
      </c>
      <c r="T1122" s="18" t="n"/>
      <c r="U1122" s="18" t="n">
        <v>69652</v>
      </c>
      <c r="V1122" s="18" t="n"/>
      <c r="W1122" s="18" t="n"/>
      <c r="X1122" s="35" t="n">
        <v>11.167</v>
      </c>
      <c r="Y1122" s="35" t="n"/>
    </row>
    <row r="1123">
      <c r="A1123" s="25" t="n">
        <v>40473</v>
      </c>
      <c r="B1123" s="18" t="n">
        <v>69529</v>
      </c>
      <c r="C1123" s="31" t="n"/>
      <c r="D1123" s="32" t="n"/>
      <c r="E1123" s="33" t="n">
        <v>0.1757</v>
      </c>
      <c r="F1123" t="inlineStr">
        <is>
          <t>Up</t>
        </is>
      </c>
      <c r="G1123" t="inlineStr">
        <is>
          <t>Up</t>
        </is>
      </c>
      <c r="H1123" t="inlineStr">
        <is>
          <t>EU_JU</t>
        </is>
      </c>
      <c r="I1123" t="inlineStr">
        <is>
          <t>2010-10</t>
        </is>
      </c>
      <c r="J1123" t="n">
        <v>1</v>
      </c>
      <c r="K1123" t="n">
        <v>1</v>
      </c>
      <c r="L1123" s="34">
        <f>IF($J1123=1,LN(B1124/B1123),"")</f>
        <v/>
      </c>
      <c r="M1123" s="34">
        <f>IF($K1123=1,INDEX(Mensal!$D$2:$D$245,MATCH($I1123,Mensal!$A$2:$A$245,0)),"")</f>
        <v/>
      </c>
      <c r="N1123" s="34">
        <f>IF($K1123=1,L1123-M1123,"")</f>
        <v/>
      </c>
      <c r="O1123" s="34" t="n">
        <v>0.00040132</v>
      </c>
      <c r="P1123" s="34">
        <f>IF($J1123=1,LN(1+O1123),"")</f>
        <v/>
      </c>
      <c r="Q1123" s="34">
        <f>IF($J1123=1,LN(R1124/R1123),"")</f>
        <v/>
      </c>
      <c r="R1123" s="32" t="n">
        <v>1.6997</v>
      </c>
      <c r="S1123" s="35" t="n">
        <v>11.187</v>
      </c>
      <c r="T1123" s="18" t="n"/>
      <c r="U1123" s="18" t="n">
        <v>69529</v>
      </c>
      <c r="V1123" s="18" t="n"/>
      <c r="W1123" s="18" t="n"/>
      <c r="X1123" s="35" t="n">
        <v>11.187</v>
      </c>
      <c r="Y1123" s="35" t="n"/>
    </row>
    <row r="1124">
      <c r="A1124" s="25" t="n">
        <v>40476</v>
      </c>
      <c r="B1124" s="18" t="n">
        <v>69580</v>
      </c>
      <c r="C1124" s="31" t="n"/>
      <c r="D1124" s="32" t="n"/>
      <c r="E1124" s="33" t="n">
        <v>0.1088</v>
      </c>
      <c r="F1124" t="inlineStr">
        <is>
          <t>Up</t>
        </is>
      </c>
      <c r="G1124" t="inlineStr">
        <is>
          <t>Up</t>
        </is>
      </c>
      <c r="H1124" t="inlineStr">
        <is>
          <t>EU_JU</t>
        </is>
      </c>
      <c r="I1124" t="inlineStr">
        <is>
          <t>2010-10</t>
        </is>
      </c>
      <c r="J1124" t="n">
        <v>1</v>
      </c>
      <c r="K1124" t="n">
        <v>1</v>
      </c>
      <c r="L1124" s="34">
        <f>IF($J1124=1,LN(B1125/B1124),"")</f>
        <v/>
      </c>
      <c r="M1124" s="34">
        <f>IF($K1124=1,INDEX(Mensal!$D$2:$D$245,MATCH($I1124,Mensal!$A$2:$A$245,0)),"")</f>
        <v/>
      </c>
      <c r="N1124" s="34">
        <f>IF($K1124=1,L1124-M1124,"")</f>
        <v/>
      </c>
      <c r="O1124" s="34" t="n">
        <v>0.00040132</v>
      </c>
      <c r="P1124" s="34">
        <f>IF($J1124=1,LN(1+O1124),"")</f>
        <v/>
      </c>
      <c r="Q1124" s="34">
        <f>IF($J1124=1,LN(R1125/R1124),"")</f>
        <v/>
      </c>
      <c r="R1124" s="32" t="n">
        <v>1.7026</v>
      </c>
      <c r="S1124" s="35" t="n">
        <v>11.241</v>
      </c>
      <c r="T1124" s="18" t="n"/>
      <c r="U1124" s="18" t="n">
        <v>69580</v>
      </c>
      <c r="V1124" s="18" t="n"/>
      <c r="W1124" s="18" t="n"/>
      <c r="X1124" s="35" t="n">
        <v>11.241</v>
      </c>
      <c r="Y1124" s="35" t="n"/>
    </row>
    <row r="1125">
      <c r="A1125" s="25" t="n">
        <v>40477</v>
      </c>
      <c r="B1125" s="18" t="n">
        <v>70740</v>
      </c>
      <c r="C1125" s="31" t="n"/>
      <c r="D1125" s="32" t="n"/>
      <c r="E1125" s="33" t="n">
        <v>0.0401</v>
      </c>
      <c r="F1125" t="inlineStr">
        <is>
          <t>Up</t>
        </is>
      </c>
      <c r="G1125" t="inlineStr">
        <is>
          <t>Up</t>
        </is>
      </c>
      <c r="H1125" t="inlineStr">
        <is>
          <t>EU_JU</t>
        </is>
      </c>
      <c r="I1125" t="inlineStr">
        <is>
          <t>2010-10</t>
        </is>
      </c>
      <c r="J1125" t="n">
        <v>1</v>
      </c>
      <c r="K1125" t="n">
        <v>1</v>
      </c>
      <c r="L1125" s="34">
        <f>IF($J1125=1,LN(B1126/B1125),"")</f>
        <v/>
      </c>
      <c r="M1125" s="34">
        <f>IF($K1125=1,INDEX(Mensal!$D$2:$D$245,MATCH($I1125,Mensal!$A$2:$A$245,0)),"")</f>
        <v/>
      </c>
      <c r="N1125" s="34">
        <f>IF($K1125=1,L1125-M1125,"")</f>
        <v/>
      </c>
      <c r="O1125" s="34" t="n">
        <v>0.00040132</v>
      </c>
      <c r="P1125" s="34">
        <f>IF($J1125=1,LN(1+O1125),"")</f>
        <v/>
      </c>
      <c r="Q1125" s="34">
        <f>IF($J1125=1,LN(R1126/R1125),"")</f>
        <v/>
      </c>
      <c r="R1125" s="32" t="n">
        <v>1.7045</v>
      </c>
      <c r="S1125" s="35" t="n">
        <v>11.193</v>
      </c>
      <c r="T1125" s="18" t="n"/>
      <c r="U1125" s="18" t="n">
        <v>70740</v>
      </c>
      <c r="V1125" s="18" t="n"/>
      <c r="W1125" s="18" t="n"/>
      <c r="X1125" s="35" t="n">
        <v>11.193</v>
      </c>
      <c r="Y1125" s="35" t="n"/>
    </row>
    <row r="1126">
      <c r="A1126" s="25" t="n">
        <v>40478</v>
      </c>
      <c r="B1126" s="18" t="n">
        <v>70568</v>
      </c>
      <c r="C1126" s="31" t="n"/>
      <c r="D1126" s="32" t="n"/>
      <c r="E1126" s="33" t="n">
        <v>-0.0248</v>
      </c>
      <c r="F1126" t="inlineStr">
        <is>
          <t>Up</t>
        </is>
      </c>
      <c r="G1126" t="inlineStr">
        <is>
          <t>Up</t>
        </is>
      </c>
      <c r="H1126" t="inlineStr">
        <is>
          <t>EU_JU</t>
        </is>
      </c>
      <c r="I1126" t="inlineStr">
        <is>
          <t>2010-10</t>
        </is>
      </c>
      <c r="J1126" t="n">
        <v>1</v>
      </c>
      <c r="K1126" t="n">
        <v>1</v>
      </c>
      <c r="L1126" s="34">
        <f>IF($J1126=1,LN(B1127/B1126),"")</f>
        <v/>
      </c>
      <c r="M1126" s="34">
        <f>IF($K1126=1,INDEX(Mensal!$D$2:$D$245,MATCH($I1126,Mensal!$A$2:$A$245,0)),"")</f>
        <v/>
      </c>
      <c r="N1126" s="34">
        <f>IF($K1126=1,L1126-M1126,"")</f>
        <v/>
      </c>
      <c r="O1126" s="34" t="n">
        <v>0.00040132</v>
      </c>
      <c r="P1126" s="34">
        <f>IF($J1126=1,LN(1+O1126),"")</f>
        <v/>
      </c>
      <c r="Q1126" s="34">
        <f>IF($J1126=1,LN(R1127/R1126),"")</f>
        <v/>
      </c>
      <c r="R1126" s="32" t="n">
        <v>1.7077</v>
      </c>
      <c r="S1126" s="35" t="n">
        <v>11.207</v>
      </c>
      <c r="T1126" s="18" t="n"/>
      <c r="U1126" s="18" t="n">
        <v>70568</v>
      </c>
      <c r="V1126" s="18" t="n"/>
      <c r="W1126" s="18" t="n"/>
      <c r="X1126" s="35" t="n">
        <v>11.207</v>
      </c>
      <c r="Y1126" s="35" t="n"/>
    </row>
    <row r="1127">
      <c r="A1127" s="25" t="n">
        <v>40479</v>
      </c>
      <c r="B1127" s="18" t="n">
        <v>70320</v>
      </c>
      <c r="C1127" s="31" t="n"/>
      <c r="D1127" s="32" t="n"/>
      <c r="E1127" s="33" t="n">
        <v>-0.0883</v>
      </c>
      <c r="F1127" t="inlineStr">
        <is>
          <t>Up</t>
        </is>
      </c>
      <c r="G1127" t="inlineStr">
        <is>
          <t>Up</t>
        </is>
      </c>
      <c r="H1127" t="inlineStr">
        <is>
          <t>EU_JU</t>
        </is>
      </c>
      <c r="I1127" t="inlineStr">
        <is>
          <t>2010-10</t>
        </is>
      </c>
      <c r="J1127" t="n">
        <v>1</v>
      </c>
      <c r="K1127" t="n">
        <v>1</v>
      </c>
      <c r="L1127" s="34">
        <f>IF($J1127=1,LN(B1128/B1127),"")</f>
        <v/>
      </c>
      <c r="M1127" s="34">
        <f>IF($K1127=1,INDEX(Mensal!$D$2:$D$245,MATCH($I1127,Mensal!$A$2:$A$245,0)),"")</f>
        <v/>
      </c>
      <c r="N1127" s="34">
        <f>IF($K1127=1,L1127-M1127,"")</f>
        <v/>
      </c>
      <c r="O1127" s="34" t="n">
        <v>0.00040132</v>
      </c>
      <c r="P1127" s="34">
        <f>IF($J1127=1,LN(1+O1127),"")</f>
        <v/>
      </c>
      <c r="Q1127" s="34">
        <f>IF($J1127=1,LN(R1128/R1127),"")</f>
        <v/>
      </c>
      <c r="R1127" s="32" t="n">
        <v>1.7112</v>
      </c>
      <c r="S1127" s="35" t="n">
        <v>11.221</v>
      </c>
      <c r="T1127" s="18" t="n"/>
      <c r="U1127" s="18" t="n">
        <v>70320</v>
      </c>
      <c r="V1127" s="18" t="n"/>
      <c r="W1127" s="18" t="n"/>
      <c r="X1127" s="35" t="n">
        <v>11.221</v>
      </c>
      <c r="Y1127" s="35" t="n"/>
    </row>
    <row r="1128">
      <c r="A1128" s="25" t="n">
        <v>40480</v>
      </c>
      <c r="B1128" s="18" t="n">
        <v>70673</v>
      </c>
      <c r="C1128" s="31" t="n"/>
      <c r="D1128" s="32" t="n"/>
      <c r="E1128" s="33" t="n">
        <v>-0.1508</v>
      </c>
      <c r="F1128" t="inlineStr">
        <is>
          <t>Up</t>
        </is>
      </c>
      <c r="G1128" t="inlineStr">
        <is>
          <t>Up</t>
        </is>
      </c>
      <c r="H1128" t="inlineStr">
        <is>
          <t>EU_JU</t>
        </is>
      </c>
      <c r="I1128" t="inlineStr">
        <is>
          <t>2010-10</t>
        </is>
      </c>
      <c r="J1128" t="n">
        <v>1</v>
      </c>
      <c r="K1128" t="n">
        <v>1</v>
      </c>
      <c r="L1128" s="34">
        <f>IF($J1128=1,LN(B1129/B1128),"")</f>
        <v/>
      </c>
      <c r="M1128" s="34">
        <f>IF($K1128=1,INDEX(Mensal!$D$2:$D$245,MATCH($I1128,Mensal!$A$2:$A$245,0)),"")</f>
        <v/>
      </c>
      <c r="N1128" s="34">
        <f>IF($K1128=1,L1128-M1128,"")</f>
        <v/>
      </c>
      <c r="O1128" s="34" t="n">
        <v>0.00040132</v>
      </c>
      <c r="P1128" s="34">
        <f>IF($J1128=1,LN(1+O1128),"")</f>
        <v/>
      </c>
      <c r="Q1128" s="34">
        <f>IF($J1128=1,LN(R1129/R1128),"")</f>
        <v/>
      </c>
      <c r="R1128" s="32" t="n">
        <v>1.7014</v>
      </c>
      <c r="S1128" s="35" t="n">
        <v>11.209</v>
      </c>
      <c r="T1128" s="18" t="n"/>
      <c r="U1128" s="18" t="n">
        <v>70673</v>
      </c>
      <c r="V1128" s="18" t="n"/>
      <c r="W1128" s="18" t="n"/>
      <c r="X1128" s="35" t="n">
        <v>11.209</v>
      </c>
      <c r="Y1128" s="35" t="n"/>
    </row>
    <row r="1129">
      <c r="A1129" s="25" t="n">
        <v>40483</v>
      </c>
      <c r="B1129" s="18" t="n">
        <v>71560</v>
      </c>
      <c r="C1129" s="31" t="n"/>
      <c r="D1129" s="32" t="n"/>
      <c r="E1129" s="33" t="n">
        <v>-0.2018</v>
      </c>
      <c r="F1129" t="inlineStr">
        <is>
          <t>Up</t>
        </is>
      </c>
      <c r="G1129" t="inlineStr">
        <is>
          <t>Up</t>
        </is>
      </c>
      <c r="H1129" t="inlineStr">
        <is>
          <t>EU_JU</t>
        </is>
      </c>
      <c r="I1129" t="inlineStr">
        <is>
          <t>2010-11</t>
        </is>
      </c>
      <c r="J1129" t="n">
        <v>1</v>
      </c>
      <c r="K1129" t="n">
        <v>1</v>
      </c>
      <c r="L1129" s="34">
        <f>IF($J1129=1,LN(B1130/B1129),"")</f>
        <v/>
      </c>
      <c r="M1129" s="34">
        <f>IF($K1129=1,INDEX(Mensal!$D$2:$D$245,MATCH($I1129,Mensal!$A$2:$A$245,0)),"")</f>
        <v/>
      </c>
      <c r="N1129" s="34">
        <f>IF($K1129=1,L1129-M1129,"")</f>
        <v/>
      </c>
      <c r="O1129" s="34" t="n">
        <v>0.00040132</v>
      </c>
      <c r="P1129" s="34">
        <f>IF($J1129=1,LN(1+O1129),"")</f>
        <v/>
      </c>
      <c r="Q1129" s="34">
        <f>IF($J1129=1,LN(R1130/R1129),"")</f>
        <v/>
      </c>
      <c r="R1129" s="32" t="n">
        <v>1.7044</v>
      </c>
      <c r="S1129" s="35" t="n">
        <v>11.205</v>
      </c>
      <c r="T1129" s="18" t="n"/>
      <c r="U1129" s="18" t="n">
        <v>71560</v>
      </c>
      <c r="V1129" s="18" t="n"/>
      <c r="W1129" s="18" t="n"/>
      <c r="X1129" s="35" t="n">
        <v>11.205</v>
      </c>
      <c r="Y1129" s="35" t="n"/>
    </row>
    <row r="1130">
      <c r="A1130" s="25" t="n">
        <v>40485</v>
      </c>
      <c r="B1130" s="18" t="n">
        <v>71904</v>
      </c>
      <c r="C1130" s="31" t="n"/>
      <c r="D1130" s="32" t="n"/>
      <c r="E1130" s="33" t="n">
        <v>-0.2507</v>
      </c>
      <c r="F1130" t="inlineStr">
        <is>
          <t>Up</t>
        </is>
      </c>
      <c r="G1130" t="inlineStr">
        <is>
          <t>Up</t>
        </is>
      </c>
      <c r="H1130" t="inlineStr">
        <is>
          <t>EU_JU</t>
        </is>
      </c>
      <c r="I1130" t="inlineStr">
        <is>
          <t>2010-11</t>
        </is>
      </c>
      <c r="J1130" t="n">
        <v>1</v>
      </c>
      <c r="K1130" t="n">
        <v>1</v>
      </c>
      <c r="L1130" s="34">
        <f>IF($J1130=1,LN(B1131/B1130),"")</f>
        <v/>
      </c>
      <c r="M1130" s="34">
        <f>IF($K1130=1,INDEX(Mensal!$D$2:$D$245,MATCH($I1130,Mensal!$A$2:$A$245,0)),"")</f>
        <v/>
      </c>
      <c r="N1130" s="34">
        <f>IF($K1130=1,L1130-M1130,"")</f>
        <v/>
      </c>
      <c r="O1130" s="34" t="n">
        <v>0.00040132</v>
      </c>
      <c r="P1130" s="34">
        <f>IF($J1130=1,LN(1+O1130),"")</f>
        <v/>
      </c>
      <c r="Q1130" s="34">
        <f>IF($J1130=1,LN(R1131/R1130),"")</f>
        <v/>
      </c>
      <c r="R1130" s="32" t="n">
        <v>1.6937</v>
      </c>
      <c r="S1130" s="35" t="n">
        <v>11.215</v>
      </c>
      <c r="T1130" s="18" t="n"/>
      <c r="U1130" s="18" t="n">
        <v>71904</v>
      </c>
      <c r="V1130" s="18" t="n"/>
      <c r="W1130" s="18" t="n"/>
      <c r="X1130" s="35" t="n">
        <v>11.215</v>
      </c>
      <c r="Y1130" s="35" t="n"/>
    </row>
    <row r="1131">
      <c r="A1131" s="25" t="n">
        <v>40486</v>
      </c>
      <c r="B1131" s="18" t="n">
        <v>72995</v>
      </c>
      <c r="C1131" s="31" t="n"/>
      <c r="D1131" s="32" t="n"/>
      <c r="E1131" s="33" t="n">
        <v>-0.3049</v>
      </c>
      <c r="F1131" t="inlineStr">
        <is>
          <t>Up</t>
        </is>
      </c>
      <c r="G1131" t="inlineStr">
        <is>
          <t>Up</t>
        </is>
      </c>
      <c r="H1131" t="inlineStr">
        <is>
          <t>EU_JU</t>
        </is>
      </c>
      <c r="I1131" t="inlineStr">
        <is>
          <t>2010-11</t>
        </is>
      </c>
      <c r="J1131" t="n">
        <v>1</v>
      </c>
      <c r="K1131" t="n">
        <v>1</v>
      </c>
      <c r="L1131" s="34">
        <f>IF($J1131=1,LN(B1132/B1131),"")</f>
        <v/>
      </c>
      <c r="M1131" s="34">
        <f>IF($K1131=1,INDEX(Mensal!$D$2:$D$245,MATCH($I1131,Mensal!$A$2:$A$245,0)),"")</f>
        <v/>
      </c>
      <c r="N1131" s="34">
        <f>IF($K1131=1,L1131-M1131,"")</f>
        <v/>
      </c>
      <c r="O1131" s="34" t="n">
        <v>0.00040132</v>
      </c>
      <c r="P1131" s="34">
        <f>IF($J1131=1,LN(1+O1131),"")</f>
        <v/>
      </c>
      <c r="Q1131" s="34">
        <f>IF($J1131=1,LN(R1132/R1131),"")</f>
        <v/>
      </c>
      <c r="R1131" s="32" t="n">
        <v>1.6819</v>
      </c>
      <c r="S1131" s="35" t="n">
        <v>11.259</v>
      </c>
      <c r="T1131" s="18" t="n"/>
      <c r="U1131" s="18" t="n">
        <v>72995</v>
      </c>
      <c r="V1131" s="18" t="n"/>
      <c r="W1131" s="18" t="n"/>
      <c r="X1131" s="35" t="n">
        <v>11.259</v>
      </c>
      <c r="Y1131" s="35" t="n"/>
    </row>
    <row r="1132">
      <c r="A1132" s="25" t="n">
        <v>40487</v>
      </c>
      <c r="B1132" s="18" t="n">
        <v>72606</v>
      </c>
      <c r="C1132" s="31" t="n"/>
      <c r="D1132" s="32" t="n"/>
      <c r="E1132" s="33" t="n">
        <v>-0.3511</v>
      </c>
      <c r="F1132" t="inlineStr">
        <is>
          <t>Up</t>
        </is>
      </c>
      <c r="G1132" t="inlineStr">
        <is>
          <t>Up</t>
        </is>
      </c>
      <c r="H1132" t="inlineStr">
        <is>
          <t>EU_JU</t>
        </is>
      </c>
      <c r="I1132" t="inlineStr">
        <is>
          <t>2010-11</t>
        </is>
      </c>
      <c r="J1132" t="n">
        <v>1</v>
      </c>
      <c r="K1132" t="n">
        <v>1</v>
      </c>
      <c r="L1132" s="34">
        <f>IF($J1132=1,LN(B1133/B1132),"")</f>
        <v/>
      </c>
      <c r="M1132" s="34">
        <f>IF($K1132=1,INDEX(Mensal!$D$2:$D$245,MATCH($I1132,Mensal!$A$2:$A$245,0)),"")</f>
        <v/>
      </c>
      <c r="N1132" s="34">
        <f>IF($K1132=1,L1132-M1132,"")</f>
        <v/>
      </c>
      <c r="O1132" s="34" t="n">
        <v>0.00040132</v>
      </c>
      <c r="P1132" s="34">
        <f>IF($J1132=1,LN(1+O1132),"")</f>
        <v/>
      </c>
      <c r="Q1132" s="34">
        <f>IF($J1132=1,LN(R1133/R1132),"")</f>
        <v/>
      </c>
      <c r="R1132" s="32" t="n">
        <v>1.6801</v>
      </c>
      <c r="S1132" s="35" t="n">
        <v>11.329</v>
      </c>
      <c r="T1132" s="18" t="n"/>
      <c r="U1132" s="18" t="n">
        <v>72606</v>
      </c>
      <c r="V1132" s="18" t="n"/>
      <c r="W1132" s="18" t="n"/>
      <c r="X1132" s="35" t="n">
        <v>11.329</v>
      </c>
      <c r="Y1132" s="35" t="n"/>
    </row>
    <row r="1133">
      <c r="A1133" s="25" t="n">
        <v>40490</v>
      </c>
      <c r="B1133" s="18" t="n">
        <v>72657</v>
      </c>
      <c r="C1133" s="31" t="n"/>
      <c r="D1133" s="32" t="n"/>
      <c r="E1133" s="33" t="n">
        <v>-0.3972</v>
      </c>
      <c r="F1133" t="inlineStr">
        <is>
          <t>Up</t>
        </is>
      </c>
      <c r="G1133" t="inlineStr">
        <is>
          <t>Up</t>
        </is>
      </c>
      <c r="H1133" t="inlineStr">
        <is>
          <t>EU_JU</t>
        </is>
      </c>
      <c r="I1133" t="inlineStr">
        <is>
          <t>2010-11</t>
        </is>
      </c>
      <c r="J1133" t="n">
        <v>1</v>
      </c>
      <c r="K1133" t="n">
        <v>1</v>
      </c>
      <c r="L1133" s="34">
        <f>IF($J1133=1,LN(B1134/B1133),"")</f>
        <v/>
      </c>
      <c r="M1133" s="34">
        <f>IF($K1133=1,INDEX(Mensal!$D$2:$D$245,MATCH($I1133,Mensal!$A$2:$A$245,0)),"")</f>
        <v/>
      </c>
      <c r="N1133" s="34">
        <f>IF($K1133=1,L1133-M1133,"")</f>
        <v/>
      </c>
      <c r="O1133" s="34" t="n">
        <v>0.00040132</v>
      </c>
      <c r="P1133" s="34">
        <f>IF($J1133=1,LN(1+O1133),"")</f>
        <v/>
      </c>
      <c r="Q1133" s="34">
        <f>IF($J1133=1,LN(R1134/R1133),"")</f>
        <v/>
      </c>
      <c r="R1133" s="32" t="n">
        <v>1.697</v>
      </c>
      <c r="S1133" s="35" t="n">
        <v>11.281</v>
      </c>
      <c r="T1133" s="18" t="n"/>
      <c r="U1133" s="18" t="n">
        <v>72657</v>
      </c>
      <c r="V1133" s="18" t="n"/>
      <c r="W1133" s="18" t="n"/>
      <c r="X1133" s="35" t="n">
        <v>11.281</v>
      </c>
      <c r="Y1133" s="35" t="n"/>
    </row>
    <row r="1134">
      <c r="A1134" s="25" t="n">
        <v>40491</v>
      </c>
      <c r="B1134" s="18" t="n">
        <v>71679</v>
      </c>
      <c r="C1134" s="31" t="n"/>
      <c r="D1134" s="32" t="n"/>
      <c r="E1134" s="33" t="n">
        <v>-0.4215</v>
      </c>
      <c r="F1134" t="inlineStr">
        <is>
          <t>Up</t>
        </is>
      </c>
      <c r="G1134" t="inlineStr">
        <is>
          <t>Up</t>
        </is>
      </c>
      <c r="H1134" t="inlineStr">
        <is>
          <t>EU_JU</t>
        </is>
      </c>
      <c r="I1134" t="inlineStr">
        <is>
          <t>2010-11</t>
        </is>
      </c>
      <c r="J1134" t="n">
        <v>1</v>
      </c>
      <c r="K1134" t="n">
        <v>1</v>
      </c>
      <c r="L1134" s="34">
        <f>IF($J1134=1,LN(B1135/B1134),"")</f>
        <v/>
      </c>
      <c r="M1134" s="34">
        <f>IF($K1134=1,INDEX(Mensal!$D$2:$D$245,MATCH($I1134,Mensal!$A$2:$A$245,0)),"")</f>
        <v/>
      </c>
      <c r="N1134" s="34">
        <f>IF($K1134=1,L1134-M1134,"")</f>
        <v/>
      </c>
      <c r="O1134" s="34" t="n">
        <v>0.00040132</v>
      </c>
      <c r="P1134" s="34">
        <f>IF($J1134=1,LN(1+O1134),"")</f>
        <v/>
      </c>
      <c r="Q1134" s="34">
        <f>IF($J1134=1,LN(R1135/R1134),"")</f>
        <v/>
      </c>
      <c r="R1134" s="32" t="n">
        <v>1.697</v>
      </c>
      <c r="S1134" s="35" t="n">
        <v>11.359</v>
      </c>
      <c r="T1134" s="18" t="n"/>
      <c r="U1134" s="18" t="n">
        <v>71679</v>
      </c>
      <c r="V1134" s="18" t="n"/>
      <c r="W1134" s="18" t="n"/>
      <c r="X1134" s="35" t="n">
        <v>11.359</v>
      </c>
      <c r="Y1134" s="35" t="n"/>
    </row>
    <row r="1135">
      <c r="A1135" s="25" t="n">
        <v>40492</v>
      </c>
      <c r="B1135" s="18" t="n">
        <v>71638</v>
      </c>
      <c r="C1135" s="31" t="n"/>
      <c r="D1135" s="32" t="n"/>
      <c r="E1135" s="33" t="n">
        <v>-0.4492</v>
      </c>
      <c r="F1135" t="inlineStr">
        <is>
          <t>Up</t>
        </is>
      </c>
      <c r="G1135" t="inlineStr">
        <is>
          <t>Up</t>
        </is>
      </c>
      <c r="H1135" t="inlineStr">
        <is>
          <t>EU_JU</t>
        </is>
      </c>
      <c r="I1135" t="inlineStr">
        <is>
          <t>2010-11</t>
        </is>
      </c>
      <c r="J1135" t="n">
        <v>1</v>
      </c>
      <c r="K1135" t="n">
        <v>1</v>
      </c>
      <c r="L1135" s="34">
        <f>IF($J1135=1,LN(B1136/B1135),"")</f>
        <v/>
      </c>
      <c r="M1135" s="34">
        <f>IF($K1135=1,INDEX(Mensal!$D$2:$D$245,MATCH($I1135,Mensal!$A$2:$A$245,0)),"")</f>
        <v/>
      </c>
      <c r="N1135" s="34">
        <f>IF($K1135=1,L1135-M1135,"")</f>
        <v/>
      </c>
      <c r="O1135" s="34" t="n">
        <v>0.00040096</v>
      </c>
      <c r="P1135" s="34">
        <f>IF($J1135=1,LN(1+O1135),"")</f>
        <v/>
      </c>
      <c r="Q1135" s="34">
        <f>IF($J1135=1,LN(R1136/R1135),"")</f>
        <v/>
      </c>
      <c r="R1135" s="32" t="n">
        <v>1.707</v>
      </c>
      <c r="S1135" s="35" t="n">
        <v>11.389</v>
      </c>
      <c r="T1135" s="18" t="n"/>
      <c r="U1135" s="18" t="n">
        <v>71638</v>
      </c>
      <c r="V1135" s="18" t="n"/>
      <c r="W1135" s="18" t="n"/>
      <c r="X1135" s="35" t="n">
        <v>11.389</v>
      </c>
      <c r="Y1135" s="35" t="n"/>
    </row>
    <row r="1136">
      <c r="A1136" s="25" t="n">
        <v>40493</v>
      </c>
      <c r="B1136" s="18" t="n">
        <v>71195</v>
      </c>
      <c r="C1136" s="31" t="n"/>
      <c r="D1136" s="32" t="n"/>
      <c r="E1136" s="33" t="n">
        <v>-0.473</v>
      </c>
      <c r="F1136" t="inlineStr">
        <is>
          <t>Up</t>
        </is>
      </c>
      <c r="G1136" t="inlineStr">
        <is>
          <t>Up</t>
        </is>
      </c>
      <c r="H1136" t="inlineStr">
        <is>
          <t>EU_JU</t>
        </is>
      </c>
      <c r="I1136" t="inlineStr">
        <is>
          <t>2010-11</t>
        </is>
      </c>
      <c r="J1136" t="n">
        <v>1</v>
      </c>
      <c r="K1136" t="n">
        <v>1</v>
      </c>
      <c r="L1136" s="34">
        <f>IF($J1136=1,LN(B1137/B1136),"")</f>
        <v/>
      </c>
      <c r="M1136" s="34">
        <f>IF($K1136=1,INDEX(Mensal!$D$2:$D$245,MATCH($I1136,Mensal!$A$2:$A$245,0)),"")</f>
        <v/>
      </c>
      <c r="N1136" s="34">
        <f>IF($K1136=1,L1136-M1136,"")</f>
        <v/>
      </c>
      <c r="O1136" s="34" t="n">
        <v>0.00040096</v>
      </c>
      <c r="P1136" s="34">
        <f>IF($J1136=1,LN(1+O1136),"")</f>
        <v/>
      </c>
      <c r="Q1136" s="34">
        <f>IF($J1136=1,LN(R1137/R1136),"")</f>
        <v/>
      </c>
      <c r="R1136" s="32" t="n">
        <v>1.7178</v>
      </c>
      <c r="S1136" s="35" t="n">
        <v>11.45</v>
      </c>
      <c r="T1136" s="18" t="n"/>
      <c r="U1136" s="18" t="n">
        <v>71195</v>
      </c>
      <c r="V1136" s="18" t="n"/>
      <c r="W1136" s="18" t="n"/>
      <c r="X1136" s="35" t="n">
        <v>11.45</v>
      </c>
      <c r="Y1136" s="35" t="n"/>
    </row>
    <row r="1137">
      <c r="A1137" s="25" t="n">
        <v>40494</v>
      </c>
      <c r="B1137" s="18" t="n">
        <v>70367</v>
      </c>
      <c r="C1137" s="31" t="n"/>
      <c r="D1137" s="32" t="n"/>
      <c r="E1137" s="33" t="n">
        <v>-0.4965</v>
      </c>
      <c r="F1137" t="inlineStr">
        <is>
          <t>Up</t>
        </is>
      </c>
      <c r="G1137" t="inlineStr">
        <is>
          <t>Up</t>
        </is>
      </c>
      <c r="H1137" t="inlineStr">
        <is>
          <t>EU_JU</t>
        </is>
      </c>
      <c r="I1137" t="inlineStr">
        <is>
          <t>2010-11</t>
        </is>
      </c>
      <c r="J1137" t="n">
        <v>1</v>
      </c>
      <c r="K1137" t="n">
        <v>1</v>
      </c>
      <c r="L1137" s="34">
        <f>IF($J1137=1,LN(B1138/B1137),"")</f>
        <v/>
      </c>
      <c r="M1137" s="34">
        <f>IF($K1137=1,INDEX(Mensal!$D$2:$D$245,MATCH($I1137,Mensal!$A$2:$A$245,0)),"")</f>
        <v/>
      </c>
      <c r="N1137" s="34">
        <f>IF($K1137=1,L1137-M1137,"")</f>
        <v/>
      </c>
      <c r="O1137" s="34" t="n">
        <v>0.00040132</v>
      </c>
      <c r="P1137" s="34">
        <f>IF($J1137=1,LN(1+O1137),"")</f>
        <v/>
      </c>
      <c r="Q1137" s="34">
        <f>IF($J1137=1,LN(R1138/R1137),"")</f>
        <v/>
      </c>
      <c r="R1137" s="32" t="n">
        <v>1.7198</v>
      </c>
      <c r="S1137" s="35" t="n">
        <v>11.394</v>
      </c>
      <c r="T1137" s="18" t="n"/>
      <c r="U1137" s="18" t="n">
        <v>70367</v>
      </c>
      <c r="V1137" s="18" t="n"/>
      <c r="W1137" s="18" t="n"/>
      <c r="X1137" s="35" t="n">
        <v>11.394</v>
      </c>
      <c r="Y1137" s="35" t="n"/>
    </row>
    <row r="1138">
      <c r="A1138" s="25" t="n">
        <v>40498</v>
      </c>
      <c r="B1138" s="18" t="n">
        <v>69192</v>
      </c>
      <c r="C1138" s="31" t="n"/>
      <c r="D1138" s="32" t="n"/>
      <c r="E1138" s="33" t="n">
        <v>-0.5198</v>
      </c>
      <c r="F1138" t="inlineStr">
        <is>
          <t>Up</t>
        </is>
      </c>
      <c r="G1138" t="inlineStr">
        <is>
          <t>Up</t>
        </is>
      </c>
      <c r="H1138" t="inlineStr">
        <is>
          <t>EU_JU</t>
        </is>
      </c>
      <c r="I1138" t="inlineStr">
        <is>
          <t>2010-11</t>
        </is>
      </c>
      <c r="J1138" t="n">
        <v>1</v>
      </c>
      <c r="K1138" t="n">
        <v>1</v>
      </c>
      <c r="L1138" s="34">
        <f>IF($J1138=1,LN(B1139/B1138),"")</f>
        <v/>
      </c>
      <c r="M1138" s="34">
        <f>IF($K1138=1,INDEX(Mensal!$D$2:$D$245,MATCH($I1138,Mensal!$A$2:$A$245,0)),"")</f>
        <v/>
      </c>
      <c r="N1138" s="34">
        <f>IF($K1138=1,L1138-M1138,"")</f>
        <v/>
      </c>
      <c r="O1138" s="34" t="n">
        <v>0.00040132</v>
      </c>
      <c r="P1138" s="34">
        <f>IF($J1138=1,LN(1+O1138),"")</f>
        <v/>
      </c>
      <c r="Q1138" s="34">
        <f>IF($J1138=1,LN(R1139/R1138),"")</f>
        <v/>
      </c>
      <c r="R1138" s="32" t="n">
        <v>1.7295</v>
      </c>
      <c r="S1138" s="35" t="n">
        <v>11.489</v>
      </c>
      <c r="T1138" s="18" t="n"/>
      <c r="U1138" s="18" t="n">
        <v>69192</v>
      </c>
      <c r="V1138" s="18" t="n"/>
      <c r="W1138" s="18" t="n"/>
      <c r="X1138" s="35" t="n">
        <v>11.489</v>
      </c>
      <c r="Y1138" s="35" t="n"/>
    </row>
    <row r="1139">
      <c r="A1139" s="25" t="n">
        <v>40499</v>
      </c>
      <c r="B1139" s="18" t="n">
        <v>69708</v>
      </c>
      <c r="C1139" s="31" t="n"/>
      <c r="D1139" s="32" t="n"/>
      <c r="E1139" s="33" t="n">
        <v>-0.5356</v>
      </c>
      <c r="F1139" t="inlineStr">
        <is>
          <t>Up</t>
        </is>
      </c>
      <c r="G1139" t="inlineStr">
        <is>
          <t>Up</t>
        </is>
      </c>
      <c r="H1139" t="inlineStr">
        <is>
          <t>EU_JU</t>
        </is>
      </c>
      <c r="I1139" t="inlineStr">
        <is>
          <t>2010-11</t>
        </is>
      </c>
      <c r="J1139" t="n">
        <v>1</v>
      </c>
      <c r="K1139" t="n">
        <v>1</v>
      </c>
      <c r="L1139" s="34">
        <f>IF($J1139=1,LN(B1140/B1139),"")</f>
        <v/>
      </c>
      <c r="M1139" s="34">
        <f>IF($K1139=1,INDEX(Mensal!$D$2:$D$245,MATCH($I1139,Mensal!$A$2:$A$245,0)),"")</f>
        <v/>
      </c>
      <c r="N1139" s="34">
        <f>IF($K1139=1,L1139-M1139,"")</f>
        <v/>
      </c>
      <c r="O1139" s="34" t="n">
        <v>0.00040132</v>
      </c>
      <c r="P1139" s="34">
        <f>IF($J1139=1,LN(1+O1139),"")</f>
        <v/>
      </c>
      <c r="Q1139" s="34">
        <f>IF($J1139=1,LN(R1140/R1139),"")</f>
        <v/>
      </c>
      <c r="R1139" s="32" t="n">
        <v>1.7298</v>
      </c>
      <c r="S1139" s="35" t="n">
        <v>11.468</v>
      </c>
      <c r="T1139" s="18" t="n"/>
      <c r="U1139" s="18" t="n">
        <v>69708</v>
      </c>
      <c r="V1139" s="18" t="n"/>
      <c r="W1139" s="18" t="n"/>
      <c r="X1139" s="35" t="n">
        <v>11.468</v>
      </c>
      <c r="Y1139" s="35" t="n"/>
    </row>
    <row r="1140">
      <c r="A1140" s="25" t="n">
        <v>40500</v>
      </c>
      <c r="B1140" s="18" t="n">
        <v>70781</v>
      </c>
      <c r="C1140" s="31" t="n"/>
      <c r="D1140" s="32" t="n"/>
      <c r="E1140" s="33" t="n">
        <v>-0.5508999999999999</v>
      </c>
      <c r="F1140" t="inlineStr">
        <is>
          <t>Up</t>
        </is>
      </c>
      <c r="G1140" t="inlineStr">
        <is>
          <t>Up</t>
        </is>
      </c>
      <c r="H1140" t="inlineStr">
        <is>
          <t>EU_JU</t>
        </is>
      </c>
      <c r="I1140" t="inlineStr">
        <is>
          <t>2010-11</t>
        </is>
      </c>
      <c r="J1140" t="n">
        <v>1</v>
      </c>
      <c r="K1140" t="n">
        <v>1</v>
      </c>
      <c r="L1140" s="34">
        <f>IF($J1140=1,LN(B1141/B1140),"")</f>
        <v/>
      </c>
      <c r="M1140" s="34">
        <f>IF($K1140=1,INDEX(Mensal!$D$2:$D$245,MATCH($I1140,Mensal!$A$2:$A$245,0)),"")</f>
        <v/>
      </c>
      <c r="N1140" s="34">
        <f>IF($K1140=1,L1140-M1140,"")</f>
        <v/>
      </c>
      <c r="O1140" s="34" t="n">
        <v>0.00040132</v>
      </c>
      <c r="P1140" s="34">
        <f>IF($J1140=1,LN(1+O1140),"")</f>
        <v/>
      </c>
      <c r="Q1140" s="34">
        <f>IF($J1140=1,LN(R1141/R1140),"")</f>
        <v/>
      </c>
      <c r="R1140" s="32" t="n">
        <v>1.7143</v>
      </c>
      <c r="S1140" s="35" t="n">
        <v>11.528</v>
      </c>
      <c r="T1140" s="18" t="n"/>
      <c r="U1140" s="18" t="n">
        <v>70781</v>
      </c>
      <c r="V1140" s="18" t="n"/>
      <c r="W1140" s="18" t="n"/>
      <c r="X1140" s="35" t="n">
        <v>11.528</v>
      </c>
      <c r="Y1140" s="35" t="n"/>
    </row>
    <row r="1141">
      <c r="A1141" s="25" t="n">
        <v>40501</v>
      </c>
      <c r="B1141" s="18" t="n">
        <v>70897</v>
      </c>
      <c r="C1141" s="31" t="n"/>
      <c r="D1141" s="32" t="n"/>
      <c r="E1141" s="33" t="n">
        <v>-0.5600000000000001</v>
      </c>
      <c r="F1141" t="inlineStr">
        <is>
          <t>Up</t>
        </is>
      </c>
      <c r="G1141" t="inlineStr">
        <is>
          <t>Up</t>
        </is>
      </c>
      <c r="H1141" t="inlineStr">
        <is>
          <t>EU_JU</t>
        </is>
      </c>
      <c r="I1141" t="inlineStr">
        <is>
          <t>2010-11</t>
        </is>
      </c>
      <c r="J1141" t="n">
        <v>1</v>
      </c>
      <c r="K1141" t="n">
        <v>1</v>
      </c>
      <c r="L1141" s="34">
        <f>IF($J1141=1,LN(B1142/B1141),"")</f>
        <v/>
      </c>
      <c r="M1141" s="34">
        <f>IF($K1141=1,INDEX(Mensal!$D$2:$D$245,MATCH($I1141,Mensal!$A$2:$A$245,0)),"")</f>
        <v/>
      </c>
      <c r="N1141" s="34">
        <f>IF($K1141=1,L1141-M1141,"")</f>
        <v/>
      </c>
      <c r="O1141" s="34" t="n">
        <v>0.00040132</v>
      </c>
      <c r="P1141" s="34">
        <f>IF($J1141=1,LN(1+O1141),"")</f>
        <v/>
      </c>
      <c r="Q1141" s="34">
        <f>IF($J1141=1,LN(R1142/R1141),"")</f>
        <v/>
      </c>
      <c r="R1141" s="32" t="n">
        <v>1.7189</v>
      </c>
      <c r="S1141" s="35" t="n">
        <v>11.543</v>
      </c>
      <c r="T1141" s="18" t="n"/>
      <c r="U1141" s="18" t="n">
        <v>70897</v>
      </c>
      <c r="V1141" s="18" t="n"/>
      <c r="W1141" s="18" t="n"/>
      <c r="X1141" s="35" t="n">
        <v>11.543</v>
      </c>
      <c r="Y1141" s="35" t="n"/>
    </row>
    <row r="1142">
      <c r="A1142" s="25" t="n">
        <v>40504</v>
      </c>
      <c r="B1142" s="18" t="n">
        <v>69632</v>
      </c>
      <c r="C1142" s="31" t="n"/>
      <c r="D1142" s="32" t="n"/>
      <c r="E1142" s="33" t="n">
        <v>-0.5667</v>
      </c>
      <c r="F1142" t="inlineStr">
        <is>
          <t>Up</t>
        </is>
      </c>
      <c r="G1142" t="inlineStr">
        <is>
          <t>Up</t>
        </is>
      </c>
      <c r="H1142" t="inlineStr">
        <is>
          <t>EU_JU</t>
        </is>
      </c>
      <c r="I1142" t="inlineStr">
        <is>
          <t>2010-11</t>
        </is>
      </c>
      <c r="J1142" t="n">
        <v>1</v>
      </c>
      <c r="K1142" t="n">
        <v>1</v>
      </c>
      <c r="L1142" s="34">
        <f>IF($J1142=1,LN(B1143/B1142),"")</f>
        <v/>
      </c>
      <c r="M1142" s="34">
        <f>IF($K1142=1,INDEX(Mensal!$D$2:$D$245,MATCH($I1142,Mensal!$A$2:$A$245,0)),"")</f>
        <v/>
      </c>
      <c r="N1142" s="34">
        <f>IF($K1142=1,L1142-M1142,"")</f>
        <v/>
      </c>
      <c r="O1142" s="34" t="n">
        <v>0.00040132</v>
      </c>
      <c r="P1142" s="34">
        <f>IF($J1142=1,LN(1+O1142),"")</f>
        <v/>
      </c>
      <c r="Q1142" s="34">
        <f>IF($J1142=1,LN(R1143/R1142),"")</f>
        <v/>
      </c>
      <c r="R1142" s="32" t="n">
        <v>1.7235</v>
      </c>
      <c r="S1142" s="35" t="n">
        <v>11.652</v>
      </c>
      <c r="T1142" s="18" t="n"/>
      <c r="U1142" s="18" t="n">
        <v>69632</v>
      </c>
      <c r="V1142" s="18" t="n"/>
      <c r="W1142" s="18" t="n"/>
      <c r="X1142" s="35" t="n">
        <v>11.652</v>
      </c>
      <c r="Y1142" s="35" t="n"/>
    </row>
    <row r="1143">
      <c r="A1143" s="25" t="n">
        <v>40505</v>
      </c>
      <c r="B1143" s="18" t="n">
        <v>67952</v>
      </c>
      <c r="C1143" s="31" t="n"/>
      <c r="D1143" s="32" t="n"/>
      <c r="E1143" s="33" t="n">
        <v>-0.5712</v>
      </c>
      <c r="F1143" t="inlineStr">
        <is>
          <t>Up</t>
        </is>
      </c>
      <c r="G1143" t="inlineStr">
        <is>
          <t>Up</t>
        </is>
      </c>
      <c r="H1143" t="inlineStr">
        <is>
          <t>EU_JU</t>
        </is>
      </c>
      <c r="I1143" t="inlineStr">
        <is>
          <t>2010-11</t>
        </is>
      </c>
      <c r="J1143" t="n">
        <v>1</v>
      </c>
      <c r="K1143" t="n">
        <v>1</v>
      </c>
      <c r="L1143" s="34">
        <f>IF($J1143=1,LN(B1144/B1143),"")</f>
        <v/>
      </c>
      <c r="M1143" s="34">
        <f>IF($K1143=1,INDEX(Mensal!$D$2:$D$245,MATCH($I1143,Mensal!$A$2:$A$245,0)),"")</f>
        <v/>
      </c>
      <c r="N1143" s="34">
        <f>IF($K1143=1,L1143-M1143,"")</f>
        <v/>
      </c>
      <c r="O1143" s="34" t="n">
        <v>0.00040132</v>
      </c>
      <c r="P1143" s="34">
        <f>IF($J1143=1,LN(1+O1143),"")</f>
        <v/>
      </c>
      <c r="Q1143" s="34">
        <f>IF($J1143=1,LN(R1144/R1143),"")</f>
        <v/>
      </c>
      <c r="R1143" s="32" t="n">
        <v>1.7336</v>
      </c>
      <c r="S1143" s="35" t="n">
        <v>11.742</v>
      </c>
      <c r="T1143" s="18" t="n"/>
      <c r="U1143" s="18" t="n">
        <v>67952</v>
      </c>
      <c r="V1143" s="18" t="n"/>
      <c r="W1143" s="18" t="n"/>
      <c r="X1143" s="35" t="n">
        <v>11.742</v>
      </c>
      <c r="Y1143" s="35" t="n"/>
    </row>
    <row r="1144">
      <c r="A1144" s="25" t="n">
        <v>40506</v>
      </c>
      <c r="B1144" s="18" t="n">
        <v>69629</v>
      </c>
      <c r="C1144" s="31" t="n"/>
      <c r="D1144" s="32" t="n"/>
      <c r="E1144" s="33" t="n">
        <v>-0.5696</v>
      </c>
      <c r="F1144" t="inlineStr">
        <is>
          <t>Up</t>
        </is>
      </c>
      <c r="G1144" t="inlineStr">
        <is>
          <t>Up</t>
        </is>
      </c>
      <c r="H1144" t="inlineStr">
        <is>
          <t>EU_JU</t>
        </is>
      </c>
      <c r="I1144" t="inlineStr">
        <is>
          <t>2010-11</t>
        </is>
      </c>
      <c r="J1144" t="n">
        <v>1</v>
      </c>
      <c r="K1144" t="n">
        <v>1</v>
      </c>
      <c r="L1144" s="34">
        <f>IF($J1144=1,LN(B1145/B1144),"")</f>
        <v/>
      </c>
      <c r="M1144" s="34">
        <f>IF($K1144=1,INDEX(Mensal!$D$2:$D$245,MATCH($I1144,Mensal!$A$2:$A$245,0)),"")</f>
        <v/>
      </c>
      <c r="N1144" s="34">
        <f>IF($K1144=1,L1144-M1144,"")</f>
        <v/>
      </c>
      <c r="O1144" s="34" t="n">
        <v>0.00040132</v>
      </c>
      <c r="P1144" s="34">
        <f>IF($J1144=1,LN(1+O1144),"")</f>
        <v/>
      </c>
      <c r="Q1144" s="34">
        <f>IF($J1144=1,LN(R1145/R1144),"")</f>
        <v/>
      </c>
      <c r="R1144" s="32" t="n">
        <v>1.7247</v>
      </c>
      <c r="S1144" s="35" t="n">
        <v>11.788</v>
      </c>
      <c r="T1144" s="18" t="n"/>
      <c r="U1144" s="18" t="n">
        <v>69629</v>
      </c>
      <c r="V1144" s="18" t="n"/>
      <c r="W1144" s="18" t="n"/>
      <c r="X1144" s="35" t="n">
        <v>11.788</v>
      </c>
      <c r="Y1144" s="35" t="n"/>
    </row>
    <row r="1145">
      <c r="A1145" s="25" t="n">
        <v>40507</v>
      </c>
      <c r="B1145" s="18" t="n">
        <v>69361</v>
      </c>
      <c r="C1145" s="31" t="n"/>
      <c r="D1145" s="32" t="n"/>
      <c r="E1145" s="33" t="n">
        <v>-0.5595</v>
      </c>
      <c r="F1145" t="inlineStr">
        <is>
          <t>Up</t>
        </is>
      </c>
      <c r="G1145" t="inlineStr">
        <is>
          <t>Up</t>
        </is>
      </c>
      <c r="H1145" t="inlineStr">
        <is>
          <t>EU_JU</t>
        </is>
      </c>
      <c r="I1145" t="inlineStr">
        <is>
          <t>2010-11</t>
        </is>
      </c>
      <c r="J1145" t="n">
        <v>1</v>
      </c>
      <c r="K1145" t="n">
        <v>1</v>
      </c>
      <c r="L1145" s="34">
        <f>IF($J1145=1,LN(B1146/B1145),"")</f>
        <v/>
      </c>
      <c r="M1145" s="34">
        <f>IF($K1145=1,INDEX(Mensal!$D$2:$D$245,MATCH($I1145,Mensal!$A$2:$A$245,0)),"")</f>
        <v/>
      </c>
      <c r="N1145" s="34">
        <f>IF($K1145=1,L1145-M1145,"")</f>
        <v/>
      </c>
      <c r="O1145" s="34" t="n">
        <v>0.00040132</v>
      </c>
      <c r="P1145" s="34">
        <f>IF($J1145=1,LN(1+O1145),"")</f>
        <v/>
      </c>
      <c r="Q1145" s="34">
        <f>IF($J1145=1,LN(R1146/R1145),"")</f>
        <v/>
      </c>
      <c r="R1145" s="32" t="n">
        <v>1.7206</v>
      </c>
      <c r="S1145" s="35" t="n">
        <v>11.827</v>
      </c>
      <c r="T1145" s="18" t="n"/>
      <c r="U1145" s="18" t="n">
        <v>69361</v>
      </c>
      <c r="V1145" s="18" t="n"/>
      <c r="W1145" s="18" t="n"/>
      <c r="X1145" s="35" t="n">
        <v>11.827</v>
      </c>
      <c r="Y1145" s="35" t="n"/>
    </row>
    <row r="1146">
      <c r="A1146" s="25" t="n">
        <v>40508</v>
      </c>
      <c r="B1146" s="18" t="n">
        <v>68226</v>
      </c>
      <c r="C1146" s="31" t="n"/>
      <c r="D1146" s="32" t="n"/>
      <c r="E1146" s="33" t="n">
        <v>-0.5543</v>
      </c>
      <c r="F1146" t="inlineStr">
        <is>
          <t>Up</t>
        </is>
      </c>
      <c r="G1146" t="inlineStr">
        <is>
          <t>Up</t>
        </is>
      </c>
      <c r="H1146" t="inlineStr">
        <is>
          <t>EU_JU</t>
        </is>
      </c>
      <c r="I1146" t="inlineStr">
        <is>
          <t>2010-11</t>
        </is>
      </c>
      <c r="J1146" t="n">
        <v>1</v>
      </c>
      <c r="K1146" t="n">
        <v>1</v>
      </c>
      <c r="L1146" s="34">
        <f>IF($J1146=1,LN(B1147/B1146),"")</f>
        <v/>
      </c>
      <c r="M1146" s="34">
        <f>IF($K1146=1,INDEX(Mensal!$D$2:$D$245,MATCH($I1146,Mensal!$A$2:$A$245,0)),"")</f>
        <v/>
      </c>
      <c r="N1146" s="34">
        <f>IF($K1146=1,L1146-M1146,"")</f>
        <v/>
      </c>
      <c r="O1146" s="34" t="n">
        <v>0.00040132</v>
      </c>
      <c r="P1146" s="34">
        <f>IF($J1146=1,LN(1+O1146),"")</f>
        <v/>
      </c>
      <c r="Q1146" s="34">
        <f>IF($J1146=1,LN(R1147/R1146),"")</f>
        <v/>
      </c>
      <c r="R1146" s="32" t="n">
        <v>1.7298</v>
      </c>
      <c r="S1146" s="35" t="n">
        <v>11.961</v>
      </c>
      <c r="T1146" s="18" t="n"/>
      <c r="U1146" s="18" t="n">
        <v>68226</v>
      </c>
      <c r="V1146" s="18" t="n"/>
      <c r="W1146" s="18" t="n"/>
      <c r="X1146" s="35" t="n">
        <v>11.961</v>
      </c>
      <c r="Y1146" s="35" t="n"/>
    </row>
    <row r="1147">
      <c r="A1147" s="25" t="n">
        <v>40511</v>
      </c>
      <c r="B1147" s="18" t="n">
        <v>67908</v>
      </c>
      <c r="C1147" s="31" t="n"/>
      <c r="D1147" s="32" t="n"/>
      <c r="E1147" s="33" t="n">
        <v>-0.5436</v>
      </c>
      <c r="F1147" t="inlineStr">
        <is>
          <t>Up</t>
        </is>
      </c>
      <c r="G1147" t="inlineStr">
        <is>
          <t>Up</t>
        </is>
      </c>
      <c r="H1147" t="inlineStr">
        <is>
          <t>EU_JU</t>
        </is>
      </c>
      <c r="I1147" t="inlineStr">
        <is>
          <t>2010-11</t>
        </is>
      </c>
      <c r="J1147" t="n">
        <v>1</v>
      </c>
      <c r="K1147" t="n">
        <v>1</v>
      </c>
      <c r="L1147" s="34">
        <f>IF($J1147=1,LN(B1148/B1147),"")</f>
        <v/>
      </c>
      <c r="M1147" s="34">
        <f>IF($K1147=1,INDEX(Mensal!$D$2:$D$245,MATCH($I1147,Mensal!$A$2:$A$245,0)),"")</f>
        <v/>
      </c>
      <c r="N1147" s="34">
        <f>IF($K1147=1,L1147-M1147,"")</f>
        <v/>
      </c>
      <c r="O1147" s="34" t="n">
        <v>0.00040132</v>
      </c>
      <c r="P1147" s="34">
        <f>IF($J1147=1,LN(1+O1147),"")</f>
        <v/>
      </c>
      <c r="Q1147" s="34">
        <f>IF($J1147=1,LN(R1148/R1147),"")</f>
        <v/>
      </c>
      <c r="R1147" s="32" t="n">
        <v>1.7271</v>
      </c>
      <c r="S1147" s="35" t="n">
        <v>11.983</v>
      </c>
      <c r="T1147" s="18" t="n"/>
      <c r="U1147" s="18" t="n">
        <v>67908</v>
      </c>
      <c r="V1147" s="18" t="n"/>
      <c r="W1147" s="18" t="n"/>
      <c r="X1147" s="35" t="n">
        <v>11.983</v>
      </c>
      <c r="Y1147" s="35" t="n"/>
    </row>
    <row r="1148">
      <c r="A1148" s="25" t="n">
        <v>40512</v>
      </c>
      <c r="B1148" s="18" t="n">
        <v>67705</v>
      </c>
      <c r="C1148" s="31" t="n"/>
      <c r="D1148" s="32" t="n"/>
      <c r="E1148" s="33" t="n">
        <v>-0.532</v>
      </c>
      <c r="F1148" t="inlineStr">
        <is>
          <t>Up</t>
        </is>
      </c>
      <c r="G1148" t="inlineStr">
        <is>
          <t>Up</t>
        </is>
      </c>
      <c r="H1148" t="inlineStr">
        <is>
          <t>EU_JU</t>
        </is>
      </c>
      <c r="I1148" t="inlineStr">
        <is>
          <t>2010-11</t>
        </is>
      </c>
      <c r="J1148" t="n">
        <v>1</v>
      </c>
      <c r="K1148" t="n">
        <v>1</v>
      </c>
      <c r="L1148" s="34">
        <f>IF($J1148=1,LN(B1149/B1148),"")</f>
        <v/>
      </c>
      <c r="M1148" s="34">
        <f>IF($K1148=1,INDEX(Mensal!$D$2:$D$245,MATCH($I1148,Mensal!$A$2:$A$245,0)),"")</f>
        <v/>
      </c>
      <c r="N1148" s="34">
        <f>IF($K1148=1,L1148-M1148,"")</f>
        <v/>
      </c>
      <c r="O1148" s="34" t="n">
        <v>0.00040132</v>
      </c>
      <c r="P1148" s="34">
        <f>IF($J1148=1,LN(1+O1148),"")</f>
        <v/>
      </c>
      <c r="Q1148" s="34">
        <f>IF($J1148=1,LN(R1149/R1148),"")</f>
        <v/>
      </c>
      <c r="R1148" s="32" t="n">
        <v>1.7161</v>
      </c>
      <c r="S1148" s="35" t="n">
        <v>11.936</v>
      </c>
      <c r="T1148" s="18" t="n"/>
      <c r="U1148" s="18" t="n">
        <v>67705</v>
      </c>
      <c r="V1148" s="18" t="n"/>
      <c r="W1148" s="18" t="n"/>
      <c r="X1148" s="35" t="n">
        <v>11.936</v>
      </c>
      <c r="Y1148" s="35" t="n"/>
    </row>
    <row r="1149">
      <c r="A1149" s="25" t="n">
        <v>40513</v>
      </c>
      <c r="B1149" s="18" t="n">
        <v>69345</v>
      </c>
      <c r="C1149" s="31" t="n"/>
      <c r="D1149" s="32" t="n"/>
      <c r="E1149" s="33" t="n">
        <v>-0.5132</v>
      </c>
      <c r="F1149" t="inlineStr">
        <is>
          <t>Down</t>
        </is>
      </c>
      <c r="G1149" t="inlineStr">
        <is>
          <t>Up</t>
        </is>
      </c>
      <c r="H1149" t="inlineStr">
        <is>
          <t>ED_JU</t>
        </is>
      </c>
      <c r="I1149" t="inlineStr">
        <is>
          <t>2010-12</t>
        </is>
      </c>
      <c r="J1149" t="n">
        <v>1</v>
      </c>
      <c r="K1149" t="n">
        <v>1</v>
      </c>
      <c r="L1149" s="34">
        <f>IF($J1149=1,LN(B1150/B1149),"")</f>
        <v/>
      </c>
      <c r="M1149" s="34">
        <f>IF($K1149=1,INDEX(Mensal!$D$2:$D$245,MATCH($I1149,Mensal!$A$2:$A$245,0)),"")</f>
        <v/>
      </c>
      <c r="N1149" s="34">
        <f>IF($K1149=1,L1149-M1149,"")</f>
        <v/>
      </c>
      <c r="O1149" s="34" t="n">
        <v>0.00040132</v>
      </c>
      <c r="P1149" s="34">
        <f>IF($J1149=1,LN(1+O1149),"")</f>
        <v/>
      </c>
      <c r="Q1149" s="34">
        <f>IF($J1149=1,LN(R1150/R1149),"")</f>
        <v/>
      </c>
      <c r="R1149" s="32" t="n">
        <v>1.7052</v>
      </c>
      <c r="S1149" s="35" t="n">
        <v>12.068</v>
      </c>
      <c r="T1149" s="18" t="n"/>
      <c r="U1149" s="18" t="n"/>
      <c r="V1149" s="18" t="n"/>
      <c r="W1149" s="18" t="n">
        <v>69345</v>
      </c>
      <c r="X1149" s="35" t="n">
        <v>12.068</v>
      </c>
      <c r="Y1149" s="35" t="n"/>
    </row>
    <row r="1150">
      <c r="A1150" s="25" t="n">
        <v>40514</v>
      </c>
      <c r="B1150" s="18" t="n">
        <v>69527</v>
      </c>
      <c r="C1150" s="31" t="n"/>
      <c r="D1150" s="32" t="n"/>
      <c r="E1150" s="33" t="n">
        <v>-0.4916</v>
      </c>
      <c r="F1150" t="inlineStr">
        <is>
          <t>Down</t>
        </is>
      </c>
      <c r="G1150" t="inlineStr">
        <is>
          <t>Up</t>
        </is>
      </c>
      <c r="H1150" t="inlineStr">
        <is>
          <t>ED_JU</t>
        </is>
      </c>
      <c r="I1150" t="inlineStr">
        <is>
          <t>2010-12</t>
        </is>
      </c>
      <c r="J1150" t="n">
        <v>1</v>
      </c>
      <c r="K1150" t="n">
        <v>1</v>
      </c>
      <c r="L1150" s="34">
        <f>IF($J1150=1,LN(B1151/B1150),"")</f>
        <v/>
      </c>
      <c r="M1150" s="34">
        <f>IF($K1150=1,INDEX(Mensal!$D$2:$D$245,MATCH($I1150,Mensal!$A$2:$A$245,0)),"")</f>
        <v/>
      </c>
      <c r="N1150" s="34">
        <f>IF($K1150=1,L1150-M1150,"")</f>
        <v/>
      </c>
      <c r="O1150" s="34" t="n">
        <v>0.00040132</v>
      </c>
      <c r="P1150" s="34">
        <f>IF($J1150=1,LN(1+O1150),"")</f>
        <v/>
      </c>
      <c r="Q1150" s="34">
        <f>IF($J1150=1,LN(R1151/R1150),"")</f>
        <v/>
      </c>
      <c r="R1150" s="32" t="n">
        <v>1.7029</v>
      </c>
      <c r="S1150" s="35" t="n">
        <v>12.185</v>
      </c>
      <c r="T1150" s="18" t="n"/>
      <c r="U1150" s="18" t="n"/>
      <c r="V1150" s="18" t="n"/>
      <c r="W1150" s="18" t="n">
        <v>69527</v>
      </c>
      <c r="X1150" s="35" t="n">
        <v>12.185</v>
      </c>
      <c r="Y1150" s="35" t="n"/>
    </row>
    <row r="1151">
      <c r="A1151" s="25" t="n">
        <v>40515</v>
      </c>
      <c r="B1151" s="18" t="n">
        <v>69766</v>
      </c>
      <c r="C1151" s="31" t="n"/>
      <c r="D1151" s="32" t="n"/>
      <c r="E1151" s="33" t="n">
        <v>-0.4506</v>
      </c>
      <c r="F1151" t="inlineStr">
        <is>
          <t>Down</t>
        </is>
      </c>
      <c r="G1151" t="inlineStr">
        <is>
          <t>Up</t>
        </is>
      </c>
      <c r="H1151" t="inlineStr">
        <is>
          <t>ED_JU</t>
        </is>
      </c>
      <c r="I1151" t="inlineStr">
        <is>
          <t>2010-12</t>
        </is>
      </c>
      <c r="J1151" t="n">
        <v>1</v>
      </c>
      <c r="K1151" t="n">
        <v>1</v>
      </c>
      <c r="L1151" s="34">
        <f>IF($J1151=1,LN(B1152/B1151),"")</f>
        <v/>
      </c>
      <c r="M1151" s="34">
        <f>IF($K1151=1,INDEX(Mensal!$D$2:$D$245,MATCH($I1151,Mensal!$A$2:$A$245,0)),"")</f>
        <v/>
      </c>
      <c r="N1151" s="34">
        <f>IF($K1151=1,L1151-M1151,"")</f>
        <v/>
      </c>
      <c r="O1151" s="34" t="n">
        <v>0.00040132</v>
      </c>
      <c r="P1151" s="34">
        <f>IF($J1151=1,LN(1+O1151),"")</f>
        <v/>
      </c>
      <c r="Q1151" s="34">
        <f>IF($J1151=1,LN(R1152/R1151),"")</f>
        <v/>
      </c>
      <c r="R1151" s="32" t="n">
        <v>1.6917</v>
      </c>
      <c r="S1151" s="35" t="n">
        <v>11.988</v>
      </c>
      <c r="T1151" s="18" t="n"/>
      <c r="U1151" s="18" t="n"/>
      <c r="V1151" s="18" t="n"/>
      <c r="W1151" s="18" t="n">
        <v>69766</v>
      </c>
      <c r="X1151" s="35" t="n">
        <v>11.988</v>
      </c>
      <c r="Y1151" s="35" t="n"/>
    </row>
    <row r="1152">
      <c r="A1152" s="25" t="n">
        <v>40518</v>
      </c>
      <c r="B1152" s="18" t="n">
        <v>69551</v>
      </c>
      <c r="C1152" s="31" t="n"/>
      <c r="D1152" s="32" t="n"/>
      <c r="E1152" s="33" t="n">
        <v>-0.4098</v>
      </c>
      <c r="F1152" t="inlineStr">
        <is>
          <t>Down</t>
        </is>
      </c>
      <c r="G1152" t="inlineStr">
        <is>
          <t>Up</t>
        </is>
      </c>
      <c r="H1152" t="inlineStr">
        <is>
          <t>ED_JU</t>
        </is>
      </c>
      <c r="I1152" t="inlineStr">
        <is>
          <t>2010-12</t>
        </is>
      </c>
      <c r="J1152" t="n">
        <v>1</v>
      </c>
      <c r="K1152" t="n">
        <v>1</v>
      </c>
      <c r="L1152" s="34">
        <f>IF($J1152=1,LN(B1153/B1152),"")</f>
        <v/>
      </c>
      <c r="M1152" s="34">
        <f>IF($K1152=1,INDEX(Mensal!$D$2:$D$245,MATCH($I1152,Mensal!$A$2:$A$245,0)),"")</f>
        <v/>
      </c>
      <c r="N1152" s="34">
        <f>IF($K1152=1,L1152-M1152,"")</f>
        <v/>
      </c>
      <c r="O1152" s="34" t="n">
        <v>0.00040132</v>
      </c>
      <c r="P1152" s="34">
        <f>IF($J1152=1,LN(1+O1152),"")</f>
        <v/>
      </c>
      <c r="Q1152" s="34">
        <f>IF($J1152=1,LN(R1153/R1152),"")</f>
        <v/>
      </c>
      <c r="R1152" s="32" t="n">
        <v>1.6836</v>
      </c>
      <c r="S1152" s="35" t="n">
        <v>11.995</v>
      </c>
      <c r="T1152" s="18" t="n"/>
      <c r="U1152" s="18" t="n"/>
      <c r="V1152" s="18" t="n"/>
      <c r="W1152" s="18" t="n">
        <v>69551</v>
      </c>
      <c r="X1152" s="35" t="n">
        <v>11.995</v>
      </c>
      <c r="Y1152" s="35" t="n"/>
    </row>
    <row r="1153">
      <c r="A1153" s="25" t="n">
        <v>40519</v>
      </c>
      <c r="B1153" s="18" t="n">
        <v>69337</v>
      </c>
      <c r="C1153" s="31" t="n"/>
      <c r="D1153" s="32" t="n"/>
      <c r="E1153" s="33" t="n">
        <v>-0.3668</v>
      </c>
      <c r="F1153" t="inlineStr">
        <is>
          <t>Down</t>
        </is>
      </c>
      <c r="G1153" t="inlineStr">
        <is>
          <t>Up</t>
        </is>
      </c>
      <c r="H1153" t="inlineStr">
        <is>
          <t>ED_JU</t>
        </is>
      </c>
      <c r="I1153" t="inlineStr">
        <is>
          <t>2010-12</t>
        </is>
      </c>
      <c r="J1153" t="n">
        <v>1</v>
      </c>
      <c r="K1153" t="n">
        <v>1</v>
      </c>
      <c r="L1153" s="34">
        <f>IF($J1153=1,LN(B1154/B1153),"")</f>
        <v/>
      </c>
      <c r="M1153" s="34">
        <f>IF($K1153=1,INDEX(Mensal!$D$2:$D$245,MATCH($I1153,Mensal!$A$2:$A$245,0)),"")</f>
        <v/>
      </c>
      <c r="N1153" s="34">
        <f>IF($K1153=1,L1153-M1153,"")</f>
        <v/>
      </c>
      <c r="O1153" s="34" t="n">
        <v>0.00040132</v>
      </c>
      <c r="P1153" s="34">
        <f>IF($J1153=1,LN(1+O1153),"")</f>
        <v/>
      </c>
      <c r="Q1153" s="34">
        <f>IF($J1153=1,LN(R1154/R1153),"")</f>
        <v/>
      </c>
      <c r="R1153" s="32" t="n">
        <v>1.6739</v>
      </c>
      <c r="S1153" s="35" t="n">
        <v>12.002</v>
      </c>
      <c r="T1153" s="18" t="n"/>
      <c r="U1153" s="18" t="n"/>
      <c r="V1153" s="18" t="n"/>
      <c r="W1153" s="18" t="n">
        <v>69337</v>
      </c>
      <c r="X1153" s="35" t="n">
        <v>12.002</v>
      </c>
      <c r="Y1153" s="35" t="n"/>
    </row>
    <row r="1154">
      <c r="A1154" s="25" t="n">
        <v>40520</v>
      </c>
      <c r="B1154" s="18" t="n">
        <v>68174</v>
      </c>
      <c r="C1154" s="31" t="n"/>
      <c r="D1154" s="32" t="n"/>
      <c r="E1154" s="33" t="n">
        <v>-0.3205</v>
      </c>
      <c r="F1154" t="inlineStr">
        <is>
          <t>Down</t>
        </is>
      </c>
      <c r="G1154" t="inlineStr">
        <is>
          <t>Up</t>
        </is>
      </c>
      <c r="H1154" t="inlineStr">
        <is>
          <t>ED_JU</t>
        </is>
      </c>
      <c r="I1154" t="inlineStr">
        <is>
          <t>2010-12</t>
        </is>
      </c>
      <c r="J1154" t="n">
        <v>1</v>
      </c>
      <c r="K1154" t="n">
        <v>1</v>
      </c>
      <c r="L1154" s="34">
        <f>IF($J1154=1,LN(B1155/B1154),"")</f>
        <v/>
      </c>
      <c r="M1154" s="34">
        <f>IF($K1154=1,INDEX(Mensal!$D$2:$D$245,MATCH($I1154,Mensal!$A$2:$A$245,0)),"")</f>
        <v/>
      </c>
      <c r="N1154" s="34">
        <f>IF($K1154=1,L1154-M1154,"")</f>
        <v/>
      </c>
      <c r="O1154" s="34" t="n">
        <v>0.00040132</v>
      </c>
      <c r="P1154" s="34">
        <f>IF($J1154=1,LN(1+O1154),"")</f>
        <v/>
      </c>
      <c r="Q1154" s="34">
        <f>IF($J1154=1,LN(R1155/R1154),"")</f>
        <v/>
      </c>
      <c r="R1154" s="32" t="n">
        <v>1.6892</v>
      </c>
      <c r="S1154" s="35" t="n">
        <v>12.035</v>
      </c>
      <c r="T1154" s="18" t="n"/>
      <c r="U1154" s="18" t="n"/>
      <c r="V1154" s="18" t="n"/>
      <c r="W1154" s="18" t="n">
        <v>68174</v>
      </c>
      <c r="X1154" s="35" t="n">
        <v>12.035</v>
      </c>
      <c r="Y1154" s="35" t="n"/>
    </row>
    <row r="1155">
      <c r="A1155" s="25" t="n">
        <v>40521</v>
      </c>
      <c r="B1155" s="18" t="n">
        <v>67879</v>
      </c>
      <c r="C1155" s="31" t="n"/>
      <c r="D1155" s="32" t="n"/>
      <c r="E1155" s="33" t="n">
        <v>-0.2743</v>
      </c>
      <c r="F1155" t="inlineStr">
        <is>
          <t>Down</t>
        </is>
      </c>
      <c r="G1155" t="inlineStr">
        <is>
          <t>Up</t>
        </is>
      </c>
      <c r="H1155" t="inlineStr">
        <is>
          <t>ED_JU</t>
        </is>
      </c>
      <c r="I1155" t="inlineStr">
        <is>
          <t>2010-12</t>
        </is>
      </c>
      <c r="J1155" t="n">
        <v>1</v>
      </c>
      <c r="K1155" t="n">
        <v>1</v>
      </c>
      <c r="L1155" s="34">
        <f>IF($J1155=1,LN(B1156/B1155),"")</f>
        <v/>
      </c>
      <c r="M1155" s="34">
        <f>IF($K1155=1,INDEX(Mensal!$D$2:$D$245,MATCH($I1155,Mensal!$A$2:$A$245,0)),"")</f>
        <v/>
      </c>
      <c r="N1155" s="34">
        <f>IF($K1155=1,L1155-M1155,"")</f>
        <v/>
      </c>
      <c r="O1155" s="34" t="n">
        <v>0.00040132</v>
      </c>
      <c r="P1155" s="34">
        <f>IF($J1155=1,LN(1+O1155),"")</f>
        <v/>
      </c>
      <c r="Q1155" s="34">
        <f>IF($J1155=1,LN(R1156/R1155),"")</f>
        <v/>
      </c>
      <c r="R1155" s="32" t="n">
        <v>1.7024</v>
      </c>
      <c r="S1155" s="35" t="n">
        <v>11.94</v>
      </c>
      <c r="T1155" s="18" t="n"/>
      <c r="U1155" s="18" t="n"/>
      <c r="V1155" s="18" t="n"/>
      <c r="W1155" s="18" t="n">
        <v>67879</v>
      </c>
      <c r="X1155" s="35" t="n">
        <v>11.94</v>
      </c>
      <c r="Y1155" s="35" t="n"/>
    </row>
    <row r="1156">
      <c r="A1156" s="25" t="n">
        <v>40522</v>
      </c>
      <c r="B1156" s="18" t="n">
        <v>68341</v>
      </c>
      <c r="C1156" s="31" t="n"/>
      <c r="D1156" s="32" t="n"/>
      <c r="E1156" s="33" t="n">
        <v>-0.2279</v>
      </c>
      <c r="F1156" t="inlineStr">
        <is>
          <t>Down</t>
        </is>
      </c>
      <c r="G1156" t="inlineStr">
        <is>
          <t>Up</t>
        </is>
      </c>
      <c r="H1156" t="inlineStr">
        <is>
          <t>ED_JU</t>
        </is>
      </c>
      <c r="I1156" t="inlineStr">
        <is>
          <t>2010-12</t>
        </is>
      </c>
      <c r="J1156" t="n">
        <v>1</v>
      </c>
      <c r="K1156" t="n">
        <v>1</v>
      </c>
      <c r="L1156" s="34">
        <f>IF($J1156=1,LN(B1157/B1156),"")</f>
        <v/>
      </c>
      <c r="M1156" s="34">
        <f>IF($K1156=1,INDEX(Mensal!$D$2:$D$245,MATCH($I1156,Mensal!$A$2:$A$245,0)),"")</f>
        <v/>
      </c>
      <c r="N1156" s="34">
        <f>IF($K1156=1,L1156-M1156,"")</f>
        <v/>
      </c>
      <c r="O1156" s="34" t="n">
        <v>0.00040168</v>
      </c>
      <c r="P1156" s="34">
        <f>IF($J1156=1,LN(1+O1156),"")</f>
        <v/>
      </c>
      <c r="Q1156" s="34">
        <f>IF($J1156=1,LN(R1157/R1156),"")</f>
        <v/>
      </c>
      <c r="R1156" s="32" t="n">
        <v>1.7117</v>
      </c>
      <c r="S1156" s="35" t="n">
        <v>11.894</v>
      </c>
      <c r="T1156" s="18" t="n"/>
      <c r="U1156" s="18" t="n"/>
      <c r="V1156" s="18" t="n"/>
      <c r="W1156" s="18" t="n">
        <v>68341</v>
      </c>
      <c r="X1156" s="35" t="n">
        <v>11.894</v>
      </c>
      <c r="Y1156" s="35" t="n"/>
    </row>
    <row r="1157">
      <c r="A1157" s="25" t="n">
        <v>40525</v>
      </c>
      <c r="B1157" s="18" t="n">
        <v>69126</v>
      </c>
      <c r="C1157" s="31" t="n"/>
      <c r="D1157" s="32" t="n"/>
      <c r="E1157" s="33" t="n">
        <v>-0.1846</v>
      </c>
      <c r="F1157" t="inlineStr">
        <is>
          <t>Down</t>
        </is>
      </c>
      <c r="G1157" t="inlineStr">
        <is>
          <t>Up</t>
        </is>
      </c>
      <c r="H1157" t="inlineStr">
        <is>
          <t>ED_JU</t>
        </is>
      </c>
      <c r="I1157" t="inlineStr">
        <is>
          <t>2010-12</t>
        </is>
      </c>
      <c r="J1157" t="n">
        <v>1</v>
      </c>
      <c r="K1157" t="n">
        <v>1</v>
      </c>
      <c r="L1157" s="34">
        <f>IF($J1157=1,LN(B1158/B1157),"")</f>
        <v/>
      </c>
      <c r="M1157" s="34">
        <f>IF($K1157=1,INDEX(Mensal!$D$2:$D$245,MATCH($I1157,Mensal!$A$2:$A$245,0)),"")</f>
        <v/>
      </c>
      <c r="N1157" s="34">
        <f>IF($K1157=1,L1157-M1157,"")</f>
        <v/>
      </c>
      <c r="O1157" s="34" t="n">
        <v>0.00040132</v>
      </c>
      <c r="P1157" s="34">
        <f>IF($J1157=1,LN(1+O1157),"")</f>
        <v/>
      </c>
      <c r="Q1157" s="34">
        <f>IF($J1157=1,LN(R1158/R1157),"")</f>
        <v/>
      </c>
      <c r="R1157" s="32" t="n">
        <v>1.7027</v>
      </c>
      <c r="S1157" s="35" t="n">
        <v>11.864</v>
      </c>
      <c r="T1157" s="18" t="n"/>
      <c r="U1157" s="18" t="n"/>
      <c r="V1157" s="18" t="n"/>
      <c r="W1157" s="18" t="n">
        <v>69126</v>
      </c>
      <c r="X1157" s="35" t="n">
        <v>11.864</v>
      </c>
      <c r="Y1157" s="35" t="n"/>
    </row>
    <row r="1158">
      <c r="A1158" s="25" t="n">
        <v>40526</v>
      </c>
      <c r="B1158" s="18" t="n">
        <v>68743</v>
      </c>
      <c r="C1158" s="31" t="n"/>
      <c r="D1158" s="32" t="n"/>
      <c r="E1158" s="33" t="n">
        <v>-0.1379</v>
      </c>
      <c r="F1158" t="inlineStr">
        <is>
          <t>Down</t>
        </is>
      </c>
      <c r="G1158" t="inlineStr">
        <is>
          <t>Up</t>
        </is>
      </c>
      <c r="H1158" t="inlineStr">
        <is>
          <t>ED_JU</t>
        </is>
      </c>
      <c r="I1158" t="inlineStr">
        <is>
          <t>2010-12</t>
        </is>
      </c>
      <c r="J1158" t="n">
        <v>1</v>
      </c>
      <c r="K1158" t="n">
        <v>1</v>
      </c>
      <c r="L1158" s="34">
        <f>IF($J1158=1,LN(B1159/B1158),"")</f>
        <v/>
      </c>
      <c r="M1158" s="34">
        <f>IF($K1158=1,INDEX(Mensal!$D$2:$D$245,MATCH($I1158,Mensal!$A$2:$A$245,0)),"")</f>
        <v/>
      </c>
      <c r="N1158" s="34">
        <f>IF($K1158=1,L1158-M1158,"")</f>
        <v/>
      </c>
      <c r="O1158" s="34" t="n">
        <v>0.00040132</v>
      </c>
      <c r="P1158" s="34">
        <f>IF($J1158=1,LN(1+O1158),"")</f>
        <v/>
      </c>
      <c r="Q1158" s="34">
        <f>IF($J1158=1,LN(R1159/R1158),"")</f>
        <v/>
      </c>
      <c r="R1158" s="32" t="n">
        <v>1.6949</v>
      </c>
      <c r="S1158" s="35" t="n">
        <v>11.792</v>
      </c>
      <c r="T1158" s="18" t="n"/>
      <c r="U1158" s="18" t="n"/>
      <c r="V1158" s="18" t="n"/>
      <c r="W1158" s="18" t="n">
        <v>68743</v>
      </c>
      <c r="X1158" s="35" t="n">
        <v>11.792</v>
      </c>
      <c r="Y1158" s="35" t="n"/>
    </row>
    <row r="1159">
      <c r="A1159" s="25" t="n">
        <v>40527</v>
      </c>
      <c r="B1159" s="18" t="n">
        <v>67870</v>
      </c>
      <c r="C1159" s="31" t="n"/>
      <c r="D1159" s="32" t="n"/>
      <c r="E1159" s="33" t="n">
        <v>-0.0914</v>
      </c>
      <c r="F1159" t="inlineStr">
        <is>
          <t>Down</t>
        </is>
      </c>
      <c r="G1159" t="inlineStr">
        <is>
          <t>Up</t>
        </is>
      </c>
      <c r="H1159" t="inlineStr">
        <is>
          <t>ED_JU</t>
        </is>
      </c>
      <c r="I1159" t="inlineStr">
        <is>
          <t>2010-12</t>
        </is>
      </c>
      <c r="J1159" t="n">
        <v>1</v>
      </c>
      <c r="K1159" t="n">
        <v>1</v>
      </c>
      <c r="L1159" s="34">
        <f>IF($J1159=1,LN(B1160/B1159),"")</f>
        <v/>
      </c>
      <c r="M1159" s="34">
        <f>IF($K1159=1,INDEX(Mensal!$D$2:$D$245,MATCH($I1159,Mensal!$A$2:$A$245,0)),"")</f>
        <v/>
      </c>
      <c r="N1159" s="34">
        <f>IF($K1159=1,L1159-M1159,"")</f>
        <v/>
      </c>
      <c r="O1159" s="34" t="n">
        <v>0.00040132</v>
      </c>
      <c r="P1159" s="34">
        <f>IF($J1159=1,LN(1+O1159),"")</f>
        <v/>
      </c>
      <c r="Q1159" s="34">
        <f>IF($J1159=1,LN(R1160/R1159),"")</f>
        <v/>
      </c>
      <c r="R1159" s="32" t="n">
        <v>1.6988</v>
      </c>
      <c r="S1159" s="35" t="n">
        <v>11.833</v>
      </c>
      <c r="T1159" s="18" t="n"/>
      <c r="U1159" s="18" t="n"/>
      <c r="V1159" s="18" t="n"/>
      <c r="W1159" s="18" t="n">
        <v>67870</v>
      </c>
      <c r="X1159" s="35" t="n">
        <v>11.833</v>
      </c>
      <c r="Y1159" s="35" t="n"/>
    </row>
    <row r="1160">
      <c r="A1160" s="25" t="n">
        <v>40528</v>
      </c>
      <c r="B1160" s="18" t="n">
        <v>67306</v>
      </c>
      <c r="C1160" s="31" t="n"/>
      <c r="D1160" s="32" t="n"/>
      <c r="E1160" s="33" t="n">
        <v>-0.0414</v>
      </c>
      <c r="F1160" t="inlineStr">
        <is>
          <t>Down</t>
        </is>
      </c>
      <c r="G1160" t="inlineStr">
        <is>
          <t>Up</t>
        </is>
      </c>
      <c r="H1160" t="inlineStr">
        <is>
          <t>ED_JU</t>
        </is>
      </c>
      <c r="I1160" t="inlineStr">
        <is>
          <t>2010-12</t>
        </is>
      </c>
      <c r="J1160" t="n">
        <v>1</v>
      </c>
      <c r="K1160" t="n">
        <v>1</v>
      </c>
      <c r="L1160" s="34">
        <f>IF($J1160=1,LN(B1161/B1160),"")</f>
        <v/>
      </c>
      <c r="M1160" s="34">
        <f>IF($K1160=1,INDEX(Mensal!$D$2:$D$245,MATCH($I1160,Mensal!$A$2:$A$245,0)),"")</f>
        <v/>
      </c>
      <c r="N1160" s="34">
        <f>IF($K1160=1,L1160-M1160,"")</f>
        <v/>
      </c>
      <c r="O1160" s="34" t="n">
        <v>0.00040132</v>
      </c>
      <c r="P1160" s="34">
        <f>IF($J1160=1,LN(1+O1160),"")</f>
        <v/>
      </c>
      <c r="Q1160" s="34">
        <f>IF($J1160=1,LN(R1161/R1160),"")</f>
        <v/>
      </c>
      <c r="R1160" s="32" t="n">
        <v>1.7028</v>
      </c>
      <c r="S1160" s="35" t="n">
        <v>11.787</v>
      </c>
      <c r="T1160" s="18" t="n"/>
      <c r="U1160" s="18" t="n"/>
      <c r="V1160" s="18" t="n"/>
      <c r="W1160" s="18" t="n">
        <v>67306</v>
      </c>
      <c r="X1160" s="35" t="n">
        <v>11.787</v>
      </c>
      <c r="Y1160" s="35" t="n"/>
    </row>
    <row r="1161">
      <c r="A1161" s="25" t="n">
        <v>40529</v>
      </c>
      <c r="B1161" s="18" t="n">
        <v>67981</v>
      </c>
      <c r="C1161" s="31" t="n"/>
      <c r="D1161" s="32" t="n"/>
      <c r="E1161" s="33" t="n">
        <v>0.0071</v>
      </c>
      <c r="F1161" t="inlineStr">
        <is>
          <t>Down</t>
        </is>
      </c>
      <c r="G1161" t="inlineStr">
        <is>
          <t>Up</t>
        </is>
      </c>
      <c r="H1161" t="inlineStr">
        <is>
          <t>ED_JU</t>
        </is>
      </c>
      <c r="I1161" t="inlineStr">
        <is>
          <t>2010-12</t>
        </is>
      </c>
      <c r="J1161" t="n">
        <v>1</v>
      </c>
      <c r="K1161" t="n">
        <v>1</v>
      </c>
      <c r="L1161" s="34">
        <f>IF($J1161=1,LN(B1162/B1161),"")</f>
        <v/>
      </c>
      <c r="M1161" s="34">
        <f>IF($K1161=1,INDEX(Mensal!$D$2:$D$245,MATCH($I1161,Mensal!$A$2:$A$245,0)),"")</f>
        <v/>
      </c>
      <c r="N1161" s="34">
        <f>IF($K1161=1,L1161-M1161,"")</f>
        <v/>
      </c>
      <c r="O1161" s="34" t="n">
        <v>0.00040132</v>
      </c>
      <c r="P1161" s="34">
        <f>IF($J1161=1,LN(1+O1161),"")</f>
        <v/>
      </c>
      <c r="Q1161" s="34">
        <f>IF($J1161=1,LN(R1162/R1161),"")</f>
        <v/>
      </c>
      <c r="R1161" s="32" t="n">
        <v>1.7098</v>
      </c>
      <c r="S1161" s="35" t="n">
        <v>11.817</v>
      </c>
      <c r="T1161" s="18" t="n"/>
      <c r="U1161" s="18" t="n"/>
      <c r="V1161" s="18" t="n"/>
      <c r="W1161" s="18" t="n">
        <v>67981</v>
      </c>
      <c r="X1161" s="35" t="n">
        <v>11.817</v>
      </c>
      <c r="Y1161" s="35" t="n"/>
    </row>
    <row r="1162">
      <c r="A1162" s="25" t="n">
        <v>40532</v>
      </c>
      <c r="B1162" s="18" t="n">
        <v>67263</v>
      </c>
      <c r="C1162" s="31" t="n"/>
      <c r="D1162" s="32" t="n"/>
      <c r="E1162" s="33" t="n">
        <v>0.0573</v>
      </c>
      <c r="F1162" t="inlineStr">
        <is>
          <t>Down</t>
        </is>
      </c>
      <c r="G1162" t="inlineStr">
        <is>
          <t>Up</t>
        </is>
      </c>
      <c r="H1162" t="inlineStr">
        <is>
          <t>ED_JU</t>
        </is>
      </c>
      <c r="I1162" t="inlineStr">
        <is>
          <t>2010-12</t>
        </is>
      </c>
      <c r="J1162" t="n">
        <v>1</v>
      </c>
      <c r="K1162" t="n">
        <v>1</v>
      </c>
      <c r="L1162" s="34">
        <f>IF($J1162=1,LN(B1163/B1162),"")</f>
        <v/>
      </c>
      <c r="M1162" s="34">
        <f>IF($K1162=1,INDEX(Mensal!$D$2:$D$245,MATCH($I1162,Mensal!$A$2:$A$245,0)),"")</f>
        <v/>
      </c>
      <c r="N1162" s="34">
        <f>IF($K1162=1,L1162-M1162,"")</f>
        <v/>
      </c>
      <c r="O1162" s="34" t="n">
        <v>0.00040132</v>
      </c>
      <c r="P1162" s="34">
        <f>IF($J1162=1,LN(1+O1162),"")</f>
        <v/>
      </c>
      <c r="Q1162" s="34">
        <f>IF($J1162=1,LN(R1163/R1162),"")</f>
        <v/>
      </c>
      <c r="R1162" s="32" t="n">
        <v>1.7082</v>
      </c>
      <c r="S1162" s="35" t="n">
        <v>11.861</v>
      </c>
      <c r="T1162" s="18" t="n"/>
      <c r="U1162" s="18" t="n"/>
      <c r="V1162" s="18" t="n"/>
      <c r="W1162" s="18" t="n">
        <v>67263</v>
      </c>
      <c r="X1162" s="35" t="n">
        <v>11.861</v>
      </c>
      <c r="Y1162" s="35" t="n"/>
    </row>
    <row r="1163">
      <c r="A1163" s="25" t="n">
        <v>40533</v>
      </c>
      <c r="B1163" s="18" t="n">
        <v>68214</v>
      </c>
      <c r="C1163" s="31" t="n"/>
      <c r="D1163" s="32" t="n"/>
      <c r="E1163" s="33" t="n">
        <v>0.112</v>
      </c>
      <c r="F1163" t="inlineStr">
        <is>
          <t>Down</t>
        </is>
      </c>
      <c r="G1163" t="inlineStr">
        <is>
          <t>Up</t>
        </is>
      </c>
      <c r="H1163" t="inlineStr">
        <is>
          <t>ED_JU</t>
        </is>
      </c>
      <c r="I1163" t="inlineStr">
        <is>
          <t>2010-12</t>
        </is>
      </c>
      <c r="J1163" t="n">
        <v>1</v>
      </c>
      <c r="K1163" t="n">
        <v>1</v>
      </c>
      <c r="L1163" s="34">
        <f>IF($J1163=1,LN(B1164/B1163),"")</f>
        <v/>
      </c>
      <c r="M1163" s="34">
        <f>IF($K1163=1,INDEX(Mensal!$D$2:$D$245,MATCH($I1163,Mensal!$A$2:$A$245,0)),"")</f>
        <v/>
      </c>
      <c r="N1163" s="34">
        <f>IF($K1163=1,L1163-M1163,"")</f>
        <v/>
      </c>
      <c r="O1163" s="34" t="n">
        <v>0.00040132</v>
      </c>
      <c r="P1163" s="34">
        <f>IF($J1163=1,LN(1+O1163),"")</f>
        <v/>
      </c>
      <c r="Q1163" s="34">
        <f>IF($J1163=1,LN(R1164/R1163),"")</f>
        <v/>
      </c>
      <c r="R1163" s="32" t="n">
        <v>1.6974</v>
      </c>
      <c r="S1163" s="35" t="n">
        <v>11.972</v>
      </c>
      <c r="T1163" s="18" t="n"/>
      <c r="U1163" s="18" t="n"/>
      <c r="V1163" s="18" t="n"/>
      <c r="W1163" s="18" t="n">
        <v>68214</v>
      </c>
      <c r="X1163" s="35" t="n">
        <v>11.972</v>
      </c>
      <c r="Y1163" s="35" t="n"/>
    </row>
    <row r="1164">
      <c r="A1164" s="25" t="n">
        <v>40534</v>
      </c>
      <c r="B1164" s="18" t="n">
        <v>68470</v>
      </c>
      <c r="C1164" s="31" t="n"/>
      <c r="D1164" s="32" t="n"/>
      <c r="E1164" s="33" t="n">
        <v>0.1712</v>
      </c>
      <c r="F1164" t="inlineStr">
        <is>
          <t>Down</t>
        </is>
      </c>
      <c r="G1164" t="inlineStr">
        <is>
          <t>Up</t>
        </is>
      </c>
      <c r="H1164" t="inlineStr">
        <is>
          <t>ED_JU</t>
        </is>
      </c>
      <c r="I1164" t="inlineStr">
        <is>
          <t>2010-12</t>
        </is>
      </c>
      <c r="J1164" t="n">
        <v>1</v>
      </c>
      <c r="K1164" t="n">
        <v>1</v>
      </c>
      <c r="L1164" s="34">
        <f>IF($J1164=1,LN(B1165/B1164),"")</f>
        <v/>
      </c>
      <c r="M1164" s="34">
        <f>IF($K1164=1,INDEX(Mensal!$D$2:$D$245,MATCH($I1164,Mensal!$A$2:$A$245,0)),"")</f>
        <v/>
      </c>
      <c r="N1164" s="34">
        <f>IF($K1164=1,L1164-M1164,"")</f>
        <v/>
      </c>
      <c r="O1164" s="34" t="n">
        <v>0.00040132</v>
      </c>
      <c r="P1164" s="34">
        <f>IF($J1164=1,LN(1+O1164),"")</f>
        <v/>
      </c>
      <c r="Q1164" s="34">
        <f>IF($J1164=1,LN(R1165/R1164),"")</f>
        <v/>
      </c>
      <c r="R1164" s="32" t="n">
        <v>1.6946</v>
      </c>
      <c r="S1164" s="35" t="n">
        <v>12.084</v>
      </c>
      <c r="T1164" s="18" t="n"/>
      <c r="U1164" s="18" t="n"/>
      <c r="V1164" s="18" t="n"/>
      <c r="W1164" s="18" t="n">
        <v>68470</v>
      </c>
      <c r="X1164" s="35" t="n">
        <v>12.084</v>
      </c>
      <c r="Y1164" s="35" t="n"/>
    </row>
    <row r="1165">
      <c r="A1165" s="25" t="n">
        <v>40535</v>
      </c>
      <c r="B1165" s="18" t="n">
        <v>68485</v>
      </c>
      <c r="C1165" s="31" t="n"/>
      <c r="D1165" s="32" t="n"/>
      <c r="E1165" s="33" t="n">
        <v>0.231</v>
      </c>
      <c r="F1165" t="inlineStr">
        <is>
          <t>Down</t>
        </is>
      </c>
      <c r="G1165" t="inlineStr">
        <is>
          <t>Up</t>
        </is>
      </c>
      <c r="H1165" t="inlineStr">
        <is>
          <t>ED_JU</t>
        </is>
      </c>
      <c r="I1165" t="inlineStr">
        <is>
          <t>2010-12</t>
        </is>
      </c>
      <c r="J1165" t="n">
        <v>1</v>
      </c>
      <c r="K1165" t="n">
        <v>1</v>
      </c>
      <c r="L1165" s="34">
        <f>IF($J1165=1,LN(B1166/B1165),"")</f>
        <v/>
      </c>
      <c r="M1165" s="34">
        <f>IF($K1165=1,INDEX(Mensal!$D$2:$D$245,MATCH($I1165,Mensal!$A$2:$A$245,0)),"")</f>
        <v/>
      </c>
      <c r="N1165" s="34">
        <f>IF($K1165=1,L1165-M1165,"")</f>
        <v/>
      </c>
      <c r="O1165" s="34" t="n">
        <v>0.00040132</v>
      </c>
      <c r="P1165" s="34">
        <f>IF($J1165=1,LN(1+O1165),"")</f>
        <v/>
      </c>
      <c r="Q1165" s="34">
        <f>IF($J1165=1,LN(R1166/R1165),"")</f>
        <v/>
      </c>
      <c r="R1165" s="32" t="n">
        <v>1.6984</v>
      </c>
      <c r="S1165" s="35" t="n">
        <v>12.127</v>
      </c>
      <c r="T1165" s="18" t="n"/>
      <c r="U1165" s="18" t="n"/>
      <c r="V1165" s="18" t="n"/>
      <c r="W1165" s="18" t="n">
        <v>68485</v>
      </c>
      <c r="X1165" s="35" t="n">
        <v>12.127</v>
      </c>
      <c r="Y1165" s="35" t="n"/>
    </row>
    <row r="1166">
      <c r="A1166" s="25" t="n">
        <v>40539</v>
      </c>
      <c r="B1166" s="18" t="n">
        <v>67803</v>
      </c>
      <c r="C1166" s="31" t="n"/>
      <c r="D1166" s="32" t="n"/>
      <c r="E1166" s="33" t="n">
        <v>0.299</v>
      </c>
      <c r="F1166" t="inlineStr">
        <is>
          <t>Down</t>
        </is>
      </c>
      <c r="G1166" t="inlineStr">
        <is>
          <t>Up</t>
        </is>
      </c>
      <c r="H1166" t="inlineStr">
        <is>
          <t>ED_JU</t>
        </is>
      </c>
      <c r="I1166" t="inlineStr">
        <is>
          <t>2010-12</t>
        </is>
      </c>
      <c r="J1166" t="n">
        <v>1</v>
      </c>
      <c r="K1166" t="n">
        <v>1</v>
      </c>
      <c r="L1166" s="34">
        <f>IF($J1166=1,LN(B1167/B1166),"")</f>
        <v/>
      </c>
      <c r="M1166" s="34">
        <f>IF($K1166=1,INDEX(Mensal!$D$2:$D$245,MATCH($I1166,Mensal!$A$2:$A$245,0)),"")</f>
        <v/>
      </c>
      <c r="N1166" s="34">
        <f>IF($K1166=1,L1166-M1166,"")</f>
        <v/>
      </c>
      <c r="O1166" s="34" t="n">
        <v>0.00040132</v>
      </c>
      <c r="P1166" s="34">
        <f>IF($J1166=1,LN(1+O1166),"")</f>
        <v/>
      </c>
      <c r="Q1166" s="34">
        <f>IF($J1166=1,LN(R1167/R1166),"")</f>
        <v/>
      </c>
      <c r="R1166" s="32" t="n">
        <v>1.6922</v>
      </c>
      <c r="S1166" s="35" t="n">
        <v>12.134</v>
      </c>
      <c r="T1166" s="18" t="n"/>
      <c r="U1166" s="18" t="n"/>
      <c r="V1166" s="18" t="n"/>
      <c r="W1166" s="18" t="n">
        <v>67803</v>
      </c>
      <c r="X1166" s="35" t="n">
        <v>12.134</v>
      </c>
      <c r="Y1166" s="35" t="n"/>
    </row>
    <row r="1167">
      <c r="A1167" s="25" t="n">
        <v>40540</v>
      </c>
      <c r="B1167" s="18" t="n">
        <v>68040</v>
      </c>
      <c r="C1167" s="31" t="n"/>
      <c r="D1167" s="32" t="n"/>
      <c r="E1167" s="33" t="n">
        <v>0.3742</v>
      </c>
      <c r="F1167" t="inlineStr">
        <is>
          <t>Down</t>
        </is>
      </c>
      <c r="G1167" t="inlineStr">
        <is>
          <t>Up</t>
        </is>
      </c>
      <c r="H1167" t="inlineStr">
        <is>
          <t>ED_JU</t>
        </is>
      </c>
      <c r="I1167" t="inlineStr">
        <is>
          <t>2010-12</t>
        </is>
      </c>
      <c r="J1167" t="n">
        <v>1</v>
      </c>
      <c r="K1167" t="n">
        <v>1</v>
      </c>
      <c r="L1167" s="34">
        <f>IF($J1167=1,LN(B1168/B1167),"")</f>
        <v/>
      </c>
      <c r="M1167" s="34">
        <f>IF($K1167=1,INDEX(Mensal!$D$2:$D$245,MATCH($I1167,Mensal!$A$2:$A$245,0)),"")</f>
        <v/>
      </c>
      <c r="N1167" s="34">
        <f>IF($K1167=1,L1167-M1167,"")</f>
        <v/>
      </c>
      <c r="O1167" s="34" t="n">
        <v>0.00040132</v>
      </c>
      <c r="P1167" s="34">
        <f>IF($J1167=1,LN(1+O1167),"")</f>
        <v/>
      </c>
      <c r="Q1167" s="34">
        <f>IF($J1167=1,LN(R1168/R1167),"")</f>
        <v/>
      </c>
      <c r="R1167" s="32" t="n">
        <v>1.6866</v>
      </c>
      <c r="S1167" s="35" t="n">
        <v>12.126</v>
      </c>
      <c r="T1167" s="18" t="n"/>
      <c r="U1167" s="18" t="n"/>
      <c r="V1167" s="18" t="n"/>
      <c r="W1167" s="18" t="n">
        <v>68040</v>
      </c>
      <c r="X1167" s="35" t="n">
        <v>12.126</v>
      </c>
      <c r="Y1167" s="35" t="n"/>
    </row>
    <row r="1168">
      <c r="A1168" s="25" t="n">
        <v>40541</v>
      </c>
      <c r="B1168" s="18" t="n">
        <v>68952</v>
      </c>
      <c r="C1168" s="31" t="n"/>
      <c r="D1168" s="32" t="n"/>
      <c r="E1168" s="33" t="n">
        <v>0.4547</v>
      </c>
      <c r="F1168" t="inlineStr">
        <is>
          <t>Down</t>
        </is>
      </c>
      <c r="G1168" t="inlineStr">
        <is>
          <t>Up</t>
        </is>
      </c>
      <c r="H1168" t="inlineStr">
        <is>
          <t>ED_JU</t>
        </is>
      </c>
      <c r="I1168" t="inlineStr">
        <is>
          <t>2010-12</t>
        </is>
      </c>
      <c r="J1168" t="n">
        <v>1</v>
      </c>
      <c r="K1168" t="n">
        <v>1</v>
      </c>
      <c r="L1168" s="34">
        <f>IF($J1168=1,LN(B1169/B1168),"")</f>
        <v/>
      </c>
      <c r="M1168" s="34">
        <f>IF($K1168=1,INDEX(Mensal!$D$2:$D$245,MATCH($I1168,Mensal!$A$2:$A$245,0)),"")</f>
        <v/>
      </c>
      <c r="N1168" s="34">
        <f>IF($K1168=1,L1168-M1168,"")</f>
        <v/>
      </c>
      <c r="O1168" s="34" t="n">
        <v>0.00040132</v>
      </c>
      <c r="P1168" s="34">
        <f>IF($J1168=1,LN(1+O1168),"")</f>
        <v/>
      </c>
      <c r="Q1168" s="34">
        <f>IF($J1168=1,LN(R1169/R1168),"")</f>
        <v/>
      </c>
      <c r="R1168" s="32" t="n">
        <v>1.6788</v>
      </c>
      <c r="S1168" s="35" t="n">
        <v>12.09</v>
      </c>
      <c r="T1168" s="18" t="n"/>
      <c r="U1168" s="18" t="n"/>
      <c r="V1168" s="18" t="n"/>
      <c r="W1168" s="18" t="n">
        <v>68952</v>
      </c>
      <c r="X1168" s="35" t="n">
        <v>12.09</v>
      </c>
      <c r="Y1168" s="35" t="n"/>
    </row>
    <row r="1169">
      <c r="A1169" s="25" t="n">
        <v>40542</v>
      </c>
      <c r="B1169" s="18" t="n">
        <v>69304</v>
      </c>
      <c r="C1169" s="31" t="n"/>
      <c r="D1169" s="32" t="n"/>
      <c r="E1169" s="33" t="n">
        <v>0.5359</v>
      </c>
      <c r="F1169" t="inlineStr">
        <is>
          <t>Down</t>
        </is>
      </c>
      <c r="G1169" t="inlineStr">
        <is>
          <t>Up</t>
        </is>
      </c>
      <c r="H1169" t="inlineStr">
        <is>
          <t>ED_JU</t>
        </is>
      </c>
      <c r="I1169" t="inlineStr">
        <is>
          <t>2010-12</t>
        </is>
      </c>
      <c r="J1169" t="n">
        <v>1</v>
      </c>
      <c r="K1169" t="n">
        <v>1</v>
      </c>
      <c r="L1169" s="34">
        <f>IF($J1169=1,LN(B1170/B1169),"")</f>
        <v/>
      </c>
      <c r="M1169" s="34">
        <f>IF($K1169=1,INDEX(Mensal!$D$2:$D$245,MATCH($I1169,Mensal!$A$2:$A$245,0)),"")</f>
        <v/>
      </c>
      <c r="N1169" s="34">
        <f>IF($K1169=1,L1169-M1169,"")</f>
        <v/>
      </c>
      <c r="O1169" s="34" t="n">
        <v>0.00040132</v>
      </c>
      <c r="P1169" s="34">
        <f>IF($J1169=1,LN(1+O1169),"")</f>
        <v/>
      </c>
      <c r="Q1169" s="34">
        <f>IF($J1169=1,LN(R1170/R1169),"")</f>
        <v/>
      </c>
      <c r="R1169" s="32" t="n">
        <v>1.6662</v>
      </c>
      <c r="S1169" s="35" t="n">
        <v>12.031</v>
      </c>
      <c r="T1169" s="18" t="n"/>
      <c r="U1169" s="18" t="n"/>
      <c r="V1169" s="18" t="n"/>
      <c r="W1169" s="18" t="n">
        <v>69304</v>
      </c>
      <c r="X1169" s="35" t="n">
        <v>12.031</v>
      </c>
      <c r="Y1169" s="35" t="n"/>
    </row>
    <row r="1170">
      <c r="A1170" s="25" t="n">
        <v>40546</v>
      </c>
      <c r="B1170" s="18" t="n">
        <v>69962</v>
      </c>
      <c r="C1170" s="31" t="n"/>
      <c r="D1170" s="32" t="n"/>
      <c r="E1170" s="33" t="n">
        <v>0.5996</v>
      </c>
      <c r="F1170" t="inlineStr">
        <is>
          <t>Down</t>
        </is>
      </c>
      <c r="G1170" t="inlineStr">
        <is>
          <t>Up</t>
        </is>
      </c>
      <c r="H1170" t="inlineStr">
        <is>
          <t>ED_JU</t>
        </is>
      </c>
      <c r="I1170" t="inlineStr">
        <is>
          <t>2011-01</t>
        </is>
      </c>
      <c r="J1170" t="n">
        <v>1</v>
      </c>
      <c r="K1170" t="n">
        <v>1</v>
      </c>
      <c r="L1170" s="34">
        <f>IF($J1170=1,LN(B1171/B1170),"")</f>
        <v/>
      </c>
      <c r="M1170" s="34">
        <f>IF($K1170=1,INDEX(Mensal!$D$2:$D$245,MATCH($I1170,Mensal!$A$2:$A$245,0)),"")</f>
        <v/>
      </c>
      <c r="N1170" s="34">
        <f>IF($K1170=1,L1170-M1170,"")</f>
        <v/>
      </c>
      <c r="O1170" s="34" t="n">
        <v>0.00040132</v>
      </c>
      <c r="P1170" s="34">
        <f>IF($J1170=1,LN(1+O1170),"")</f>
        <v/>
      </c>
      <c r="Q1170" s="34">
        <f>IF($J1170=1,LN(R1171/R1170),"")</f>
        <v/>
      </c>
      <c r="R1170" s="32" t="n">
        <v>1.651</v>
      </c>
      <c r="S1170" s="35" t="n">
        <v>12.017</v>
      </c>
      <c r="T1170" s="18" t="n"/>
      <c r="U1170" s="18" t="n"/>
      <c r="V1170" s="18" t="n"/>
      <c r="W1170" s="18" t="n">
        <v>69962</v>
      </c>
      <c r="X1170" s="35" t="n">
        <v>12.017</v>
      </c>
      <c r="Y1170" s="35" t="n"/>
    </row>
    <row r="1171">
      <c r="A1171" s="25" t="n">
        <v>40547</v>
      </c>
      <c r="B1171" s="18" t="n">
        <v>70317</v>
      </c>
      <c r="C1171" s="31" t="n"/>
      <c r="D1171" s="32" t="n"/>
      <c r="E1171" s="33" t="n">
        <v>0.6646</v>
      </c>
      <c r="F1171" t="inlineStr">
        <is>
          <t>Down</t>
        </is>
      </c>
      <c r="G1171" t="inlineStr">
        <is>
          <t>Up</t>
        </is>
      </c>
      <c r="H1171" t="inlineStr">
        <is>
          <t>ED_JU</t>
        </is>
      </c>
      <c r="I1171" t="inlineStr">
        <is>
          <t>2011-01</t>
        </is>
      </c>
      <c r="J1171" t="n">
        <v>1</v>
      </c>
      <c r="K1171" t="n">
        <v>1</v>
      </c>
      <c r="L1171" s="34">
        <f>IF($J1171=1,LN(B1172/B1171),"")</f>
        <v/>
      </c>
      <c r="M1171" s="34">
        <f>IF($K1171=1,INDEX(Mensal!$D$2:$D$245,MATCH($I1171,Mensal!$A$2:$A$245,0)),"")</f>
        <v/>
      </c>
      <c r="N1171" s="34">
        <f>IF($K1171=1,L1171-M1171,"")</f>
        <v/>
      </c>
      <c r="O1171" s="34" t="n">
        <v>0.00040132</v>
      </c>
      <c r="P1171" s="34">
        <f>IF($J1171=1,LN(1+O1171),"")</f>
        <v/>
      </c>
      <c r="Q1171" s="34">
        <f>IF($J1171=1,LN(R1172/R1171),"")</f>
        <v/>
      </c>
      <c r="R1171" s="32" t="n">
        <v>1.6556</v>
      </c>
      <c r="S1171" s="35" t="n">
        <v>12.019</v>
      </c>
      <c r="T1171" s="18" t="n"/>
      <c r="U1171" s="18" t="n"/>
      <c r="V1171" s="18" t="n"/>
      <c r="W1171" s="18" t="n">
        <v>70317</v>
      </c>
      <c r="X1171" s="35" t="n">
        <v>12.019</v>
      </c>
      <c r="Y1171" s="35" t="n"/>
    </row>
    <row r="1172">
      <c r="A1172" s="25" t="n">
        <v>40548</v>
      </c>
      <c r="B1172" s="18" t="n">
        <v>71091</v>
      </c>
      <c r="C1172" s="31" t="n"/>
      <c r="D1172" s="32" t="n"/>
      <c r="E1172" s="33" t="n">
        <v>0.7309</v>
      </c>
      <c r="F1172" t="inlineStr">
        <is>
          <t>Down</t>
        </is>
      </c>
      <c r="G1172" t="inlineStr">
        <is>
          <t>Up</t>
        </is>
      </c>
      <c r="H1172" t="inlineStr">
        <is>
          <t>ED_JU</t>
        </is>
      </c>
      <c r="I1172" t="inlineStr">
        <is>
          <t>2011-01</t>
        </is>
      </c>
      <c r="J1172" t="n">
        <v>1</v>
      </c>
      <c r="K1172" t="n">
        <v>1</v>
      </c>
      <c r="L1172" s="34">
        <f>IF($J1172=1,LN(B1173/B1172),"")</f>
        <v/>
      </c>
      <c r="M1172" s="34">
        <f>IF($K1172=1,INDEX(Mensal!$D$2:$D$245,MATCH($I1172,Mensal!$A$2:$A$245,0)),"")</f>
        <v/>
      </c>
      <c r="N1172" s="34">
        <f>IF($K1172=1,L1172-M1172,"")</f>
        <v/>
      </c>
      <c r="O1172" s="34" t="n">
        <v>0.00040132</v>
      </c>
      <c r="P1172" s="34">
        <f>IF($J1172=1,LN(1+O1172),"")</f>
        <v/>
      </c>
      <c r="Q1172" s="34">
        <f>IF($J1172=1,LN(R1173/R1172),"")</f>
        <v/>
      </c>
      <c r="R1172" s="32" t="n">
        <v>1.6713</v>
      </c>
      <c r="S1172" s="35" t="n">
        <v>12.09</v>
      </c>
      <c r="T1172" s="18" t="n"/>
      <c r="U1172" s="18" t="n"/>
      <c r="V1172" s="18" t="n"/>
      <c r="W1172" s="18" t="n">
        <v>71091</v>
      </c>
      <c r="X1172" s="35" t="n">
        <v>12.09</v>
      </c>
      <c r="Y1172" s="35" t="n"/>
    </row>
    <row r="1173">
      <c r="A1173" s="25" t="n">
        <v>40549</v>
      </c>
      <c r="B1173" s="18" t="n">
        <v>70578</v>
      </c>
      <c r="C1173" s="31" t="n"/>
      <c r="D1173" s="32" t="n"/>
      <c r="E1173" s="33" t="n">
        <v>0.805</v>
      </c>
      <c r="F1173" t="inlineStr">
        <is>
          <t>Down</t>
        </is>
      </c>
      <c r="G1173" t="inlineStr">
        <is>
          <t>Up</t>
        </is>
      </c>
      <c r="H1173" t="inlineStr">
        <is>
          <t>ED_JU</t>
        </is>
      </c>
      <c r="I1173" t="inlineStr">
        <is>
          <t>2011-01</t>
        </is>
      </c>
      <c r="J1173" t="n">
        <v>1</v>
      </c>
      <c r="K1173" t="n">
        <v>1</v>
      </c>
      <c r="L1173" s="34">
        <f>IF($J1173=1,LN(B1174/B1173),"")</f>
        <v/>
      </c>
      <c r="M1173" s="34">
        <f>IF($K1173=1,INDEX(Mensal!$D$2:$D$245,MATCH($I1173,Mensal!$A$2:$A$245,0)),"")</f>
        <v/>
      </c>
      <c r="N1173" s="34">
        <f>IF($K1173=1,L1173-M1173,"")</f>
        <v/>
      </c>
      <c r="O1173" s="34" t="n">
        <v>0.00040132</v>
      </c>
      <c r="P1173" s="34">
        <f>IF($J1173=1,LN(1+O1173),"")</f>
        <v/>
      </c>
      <c r="Q1173" s="34">
        <f>IF($J1173=1,LN(R1174/R1173),"")</f>
        <v/>
      </c>
      <c r="R1173" s="32" t="n">
        <v>1.6857</v>
      </c>
      <c r="S1173" s="35" t="n">
        <v>12.1</v>
      </c>
      <c r="T1173" s="18" t="n"/>
      <c r="U1173" s="18" t="n"/>
      <c r="V1173" s="18" t="n"/>
      <c r="W1173" s="18" t="n">
        <v>70578</v>
      </c>
      <c r="X1173" s="35" t="n">
        <v>12.1</v>
      </c>
      <c r="Y1173" s="35" t="n"/>
    </row>
    <row r="1174">
      <c r="A1174" s="25" t="n">
        <v>40550</v>
      </c>
      <c r="B1174" s="18" t="n">
        <v>70057</v>
      </c>
      <c r="C1174" s="31" t="n"/>
      <c r="D1174" s="32" t="n"/>
      <c r="E1174" s="33" t="n">
        <v>0.8736</v>
      </c>
      <c r="F1174" t="inlineStr">
        <is>
          <t>Down</t>
        </is>
      </c>
      <c r="G1174" t="inlineStr">
        <is>
          <t>Up</t>
        </is>
      </c>
      <c r="H1174" t="inlineStr">
        <is>
          <t>ED_JU</t>
        </is>
      </c>
      <c r="I1174" t="inlineStr">
        <is>
          <t>2011-01</t>
        </is>
      </c>
      <c r="J1174" t="n">
        <v>1</v>
      </c>
      <c r="K1174" t="n">
        <v>1</v>
      </c>
      <c r="L1174" s="34">
        <f>IF($J1174=1,LN(B1175/B1174),"")</f>
        <v/>
      </c>
      <c r="M1174" s="34">
        <f>IF($K1174=1,INDEX(Mensal!$D$2:$D$245,MATCH($I1174,Mensal!$A$2:$A$245,0)),"")</f>
        <v/>
      </c>
      <c r="N1174" s="34">
        <f>IF($K1174=1,L1174-M1174,"")</f>
        <v/>
      </c>
      <c r="O1174" s="34" t="n">
        <v>0.00040132</v>
      </c>
      <c r="P1174" s="34">
        <f>IF($J1174=1,LN(1+O1174),"")</f>
        <v/>
      </c>
      <c r="Q1174" s="34">
        <f>IF($J1174=1,LN(R1175/R1174),"")</f>
        <v/>
      </c>
      <c r="R1174" s="32" t="n">
        <v>1.6861</v>
      </c>
      <c r="S1174" s="35" t="n">
        <v>12.19</v>
      </c>
      <c r="T1174" s="18" t="n"/>
      <c r="U1174" s="18" t="n"/>
      <c r="V1174" s="18" t="n"/>
      <c r="W1174" s="18" t="n">
        <v>70057</v>
      </c>
      <c r="X1174" s="35" t="n">
        <v>12.19</v>
      </c>
      <c r="Y1174" s="35" t="n"/>
    </row>
    <row r="1175">
      <c r="A1175" s="25" t="n">
        <v>40553</v>
      </c>
      <c r="B1175" s="18" t="n">
        <v>70127</v>
      </c>
      <c r="C1175" s="31" t="n"/>
      <c r="D1175" s="32" t="n"/>
      <c r="E1175" s="33" t="n">
        <v>0.9361</v>
      </c>
      <c r="F1175" t="inlineStr">
        <is>
          <t>Down</t>
        </is>
      </c>
      <c r="G1175" t="inlineStr">
        <is>
          <t>Up</t>
        </is>
      </c>
      <c r="H1175" t="inlineStr">
        <is>
          <t>ED_JU</t>
        </is>
      </c>
      <c r="I1175" t="inlineStr">
        <is>
          <t>2011-01</t>
        </is>
      </c>
      <c r="J1175" t="n">
        <v>1</v>
      </c>
      <c r="K1175" t="n">
        <v>1</v>
      </c>
      <c r="L1175" s="34">
        <f>IF($J1175=1,LN(B1176/B1175),"")</f>
        <v/>
      </c>
      <c r="M1175" s="34">
        <f>IF($K1175=1,INDEX(Mensal!$D$2:$D$245,MATCH($I1175,Mensal!$A$2:$A$245,0)),"")</f>
        <v/>
      </c>
      <c r="N1175" s="34">
        <f>IF($K1175=1,L1175-M1175,"")</f>
        <v/>
      </c>
      <c r="O1175" s="34" t="n">
        <v>0.00040132</v>
      </c>
      <c r="P1175" s="34">
        <f>IF($J1175=1,LN(1+O1175),"")</f>
        <v/>
      </c>
      <c r="Q1175" s="34">
        <f>IF($J1175=1,LN(R1176/R1175),"")</f>
        <v/>
      </c>
      <c r="R1175" s="32" t="n">
        <v>1.6912</v>
      </c>
      <c r="S1175" s="35" t="n">
        <v>12.289</v>
      </c>
      <c r="T1175" s="18" t="n"/>
      <c r="U1175" s="18" t="n"/>
      <c r="V1175" s="18" t="n"/>
      <c r="W1175" s="18" t="n">
        <v>70127</v>
      </c>
      <c r="X1175" s="35" t="n">
        <v>12.289</v>
      </c>
      <c r="Y1175" s="35" t="n"/>
    </row>
    <row r="1176">
      <c r="A1176" s="25" t="n">
        <v>40554</v>
      </c>
      <c r="B1176" s="18" t="n">
        <v>70423</v>
      </c>
      <c r="C1176" s="31" t="n"/>
      <c r="D1176" s="32" t="n"/>
      <c r="E1176" s="33" t="n">
        <v>0.9964</v>
      </c>
      <c r="F1176" t="inlineStr">
        <is>
          <t>Down</t>
        </is>
      </c>
      <c r="G1176" t="inlineStr">
        <is>
          <t>Up</t>
        </is>
      </c>
      <c r="H1176" t="inlineStr">
        <is>
          <t>ED_JU</t>
        </is>
      </c>
      <c r="I1176" t="inlineStr">
        <is>
          <t>2011-01</t>
        </is>
      </c>
      <c r="J1176" t="n">
        <v>1</v>
      </c>
      <c r="K1176" t="n">
        <v>1</v>
      </c>
      <c r="L1176" s="34">
        <f>IF($J1176=1,LN(B1177/B1176),"")</f>
        <v/>
      </c>
      <c r="M1176" s="34">
        <f>IF($K1176=1,INDEX(Mensal!$D$2:$D$245,MATCH($I1176,Mensal!$A$2:$A$245,0)),"")</f>
        <v/>
      </c>
      <c r="N1176" s="34">
        <f>IF($K1176=1,L1176-M1176,"")</f>
        <v/>
      </c>
      <c r="O1176" s="34" t="n">
        <v>0.00040132</v>
      </c>
      <c r="P1176" s="34">
        <f>IF($J1176=1,LN(1+O1176),"")</f>
        <v/>
      </c>
      <c r="Q1176" s="34">
        <f>IF($J1176=1,LN(R1177/R1176),"")</f>
        <v/>
      </c>
      <c r="R1176" s="32" t="n">
        <v>1.6887</v>
      </c>
      <c r="S1176" s="35" t="n">
        <v>12.241</v>
      </c>
      <c r="T1176" s="18" t="n"/>
      <c r="U1176" s="18" t="n"/>
      <c r="V1176" s="18" t="n"/>
      <c r="W1176" s="18" t="n">
        <v>70423</v>
      </c>
      <c r="X1176" s="35" t="n">
        <v>12.241</v>
      </c>
      <c r="Y1176" s="35" t="n"/>
    </row>
    <row r="1177">
      <c r="A1177" s="25" t="n">
        <v>40555</v>
      </c>
      <c r="B1177" s="18" t="n">
        <v>71632</v>
      </c>
      <c r="C1177" s="31" t="n"/>
      <c r="D1177" s="32" t="n"/>
      <c r="E1177" s="33" t="n">
        <v>0.961</v>
      </c>
      <c r="F1177" t="inlineStr">
        <is>
          <t>Down</t>
        </is>
      </c>
      <c r="G1177" t="inlineStr">
        <is>
          <t>Up</t>
        </is>
      </c>
      <c r="H1177" t="inlineStr">
        <is>
          <t>ED_JU</t>
        </is>
      </c>
      <c r="I1177" t="inlineStr">
        <is>
          <t>2011-01</t>
        </is>
      </c>
      <c r="J1177" t="n">
        <v>1</v>
      </c>
      <c r="K1177" t="n">
        <v>1</v>
      </c>
      <c r="L1177" s="34">
        <f>IF($J1177=1,LN(B1178/B1177),"")</f>
        <v/>
      </c>
      <c r="M1177" s="34">
        <f>IF($K1177=1,INDEX(Mensal!$D$2:$D$245,MATCH($I1177,Mensal!$A$2:$A$245,0)),"")</f>
        <v/>
      </c>
      <c r="N1177" s="34">
        <f>IF($K1177=1,L1177-M1177,"")</f>
        <v/>
      </c>
      <c r="O1177" s="34" t="n">
        <v>0.00040132</v>
      </c>
      <c r="P1177" s="34">
        <f>IF($J1177=1,LN(1+O1177),"")</f>
        <v/>
      </c>
      <c r="Q1177" s="34">
        <f>IF($J1177=1,LN(R1178/R1177),"")</f>
        <v/>
      </c>
      <c r="R1177" s="32" t="n">
        <v>1.6773</v>
      </c>
      <c r="S1177" s="35" t="n">
        <v>12.287</v>
      </c>
      <c r="T1177" s="18" t="n"/>
      <c r="U1177" s="18" t="n"/>
      <c r="V1177" s="18" t="n"/>
      <c r="W1177" s="18" t="n">
        <v>71632</v>
      </c>
      <c r="X1177" s="35" t="n">
        <v>12.287</v>
      </c>
      <c r="Y1177" s="35" t="n"/>
    </row>
    <row r="1178">
      <c r="A1178" s="25" t="n">
        <v>40556</v>
      </c>
      <c r="B1178" s="18" t="n">
        <v>70721</v>
      </c>
      <c r="C1178" s="31" t="n"/>
      <c r="D1178" s="32" t="n"/>
      <c r="E1178" s="33" t="n">
        <v>0.9257</v>
      </c>
      <c r="F1178" t="inlineStr">
        <is>
          <t>Down</t>
        </is>
      </c>
      <c r="G1178" t="inlineStr">
        <is>
          <t>Up</t>
        </is>
      </c>
      <c r="H1178" t="inlineStr">
        <is>
          <t>ED_JU</t>
        </is>
      </c>
      <c r="I1178" t="inlineStr">
        <is>
          <t>2011-01</t>
        </is>
      </c>
      <c r="J1178" t="n">
        <v>1</v>
      </c>
      <c r="K1178" t="n">
        <v>1</v>
      </c>
      <c r="L1178" s="34">
        <f>IF($J1178=1,LN(B1179/B1178),"")</f>
        <v/>
      </c>
      <c r="M1178" s="34">
        <f>IF($K1178=1,INDEX(Mensal!$D$2:$D$245,MATCH($I1178,Mensal!$A$2:$A$245,0)),"")</f>
        <v/>
      </c>
      <c r="N1178" s="34">
        <f>IF($K1178=1,L1178-M1178,"")</f>
        <v/>
      </c>
      <c r="O1178" s="34" t="n">
        <v>0.00040132</v>
      </c>
      <c r="P1178" s="34">
        <f>IF($J1178=1,LN(1+O1178),"")</f>
        <v/>
      </c>
      <c r="Q1178" s="34">
        <f>IF($J1178=1,LN(R1179/R1178),"")</f>
        <v/>
      </c>
      <c r="R1178" s="32" t="n">
        <v>1.6701</v>
      </c>
      <c r="S1178" s="35" t="n">
        <v>12.305</v>
      </c>
      <c r="T1178" s="18" t="n"/>
      <c r="U1178" s="18" t="n"/>
      <c r="V1178" s="18" t="n"/>
      <c r="W1178" s="18" t="n">
        <v>70721</v>
      </c>
      <c r="X1178" s="35" t="n">
        <v>12.305</v>
      </c>
      <c r="Y1178" s="35" t="n"/>
    </row>
    <row r="1179">
      <c r="A1179" s="25" t="n">
        <v>40557</v>
      </c>
      <c r="B1179" s="18" t="n">
        <v>70940</v>
      </c>
      <c r="C1179" s="31" t="n"/>
      <c r="D1179" s="32" t="n"/>
      <c r="E1179" s="33" t="n">
        <v>0.8899</v>
      </c>
      <c r="F1179" t="inlineStr">
        <is>
          <t>Down</t>
        </is>
      </c>
      <c r="G1179" t="inlineStr">
        <is>
          <t>Up</t>
        </is>
      </c>
      <c r="H1179" t="inlineStr">
        <is>
          <t>ED_JU</t>
        </is>
      </c>
      <c r="I1179" t="inlineStr">
        <is>
          <t>2011-01</t>
        </is>
      </c>
      <c r="J1179" t="n">
        <v>1</v>
      </c>
      <c r="K1179" t="n">
        <v>1</v>
      </c>
      <c r="L1179" s="34">
        <f>IF($J1179=1,LN(B1180/B1179),"")</f>
        <v/>
      </c>
      <c r="M1179" s="34">
        <f>IF($K1179=1,INDEX(Mensal!$D$2:$D$245,MATCH($I1179,Mensal!$A$2:$A$245,0)),"")</f>
        <v/>
      </c>
      <c r="N1179" s="34">
        <f>IF($K1179=1,L1179-M1179,"")</f>
        <v/>
      </c>
      <c r="O1179" s="34" t="n">
        <v>0.00040132</v>
      </c>
      <c r="P1179" s="34">
        <f>IF($J1179=1,LN(1+O1179),"")</f>
        <v/>
      </c>
      <c r="Q1179" s="34">
        <f>IF($J1179=1,LN(R1180/R1179),"")</f>
        <v/>
      </c>
      <c r="R1179" s="32" t="n">
        <v>1.6843</v>
      </c>
      <c r="S1179" s="35" t="n">
        <v>12.387</v>
      </c>
      <c r="T1179" s="18" t="n"/>
      <c r="U1179" s="18" t="n"/>
      <c r="V1179" s="18" t="n"/>
      <c r="W1179" s="18" t="n">
        <v>70940</v>
      </c>
      <c r="X1179" s="35" t="n">
        <v>12.387</v>
      </c>
      <c r="Y1179" s="35" t="n"/>
    </row>
    <row r="1180">
      <c r="A1180" s="25" t="n">
        <v>40560</v>
      </c>
      <c r="B1180" s="18" t="n">
        <v>70609</v>
      </c>
      <c r="C1180" s="31" t="n"/>
      <c r="D1180" s="32" t="n"/>
      <c r="E1180" s="33" t="n">
        <v>0.851</v>
      </c>
      <c r="F1180" t="inlineStr">
        <is>
          <t>Down</t>
        </is>
      </c>
      <c r="G1180" t="inlineStr">
        <is>
          <t>Up</t>
        </is>
      </c>
      <c r="H1180" t="inlineStr">
        <is>
          <t>ED_JU</t>
        </is>
      </c>
      <c r="I1180" t="inlineStr">
        <is>
          <t>2011-01</t>
        </is>
      </c>
      <c r="J1180" t="n">
        <v>1</v>
      </c>
      <c r="K1180" t="n">
        <v>1</v>
      </c>
      <c r="L1180" s="34">
        <f>IF($J1180=1,LN(B1181/B1180),"")</f>
        <v/>
      </c>
      <c r="M1180" s="34">
        <f>IF($K1180=1,INDEX(Mensal!$D$2:$D$245,MATCH($I1180,Mensal!$A$2:$A$245,0)),"")</f>
        <v/>
      </c>
      <c r="N1180" s="34">
        <f>IF($K1180=1,L1180-M1180,"")</f>
        <v/>
      </c>
      <c r="O1180" s="34" t="n">
        <v>0.00040132</v>
      </c>
      <c r="P1180" s="34">
        <f>IF($J1180=1,LN(1+O1180),"")</f>
        <v/>
      </c>
      <c r="Q1180" s="34">
        <f>IF($J1180=1,LN(R1181/R1180),"")</f>
        <v/>
      </c>
      <c r="R1180" s="32" t="n">
        <v>1.6818</v>
      </c>
      <c r="S1180" s="35" t="n">
        <v>12.425</v>
      </c>
      <c r="T1180" s="18" t="n"/>
      <c r="U1180" s="18" t="n"/>
      <c r="V1180" s="18" t="n"/>
      <c r="W1180" s="18" t="n">
        <v>70609</v>
      </c>
      <c r="X1180" s="35" t="n">
        <v>12.425</v>
      </c>
      <c r="Y1180" s="35" t="n"/>
    </row>
    <row r="1181">
      <c r="A1181" s="25" t="n">
        <v>40561</v>
      </c>
      <c r="B1181" s="18" t="n">
        <v>70919</v>
      </c>
      <c r="C1181" s="31" t="n"/>
      <c r="D1181" s="32" t="n"/>
      <c r="E1181" s="33" t="n">
        <v>0.825</v>
      </c>
      <c r="F1181" t="inlineStr">
        <is>
          <t>Down</t>
        </is>
      </c>
      <c r="G1181" t="inlineStr">
        <is>
          <t>Up</t>
        </is>
      </c>
      <c r="H1181" t="inlineStr">
        <is>
          <t>ED_JU</t>
        </is>
      </c>
      <c r="I1181" t="inlineStr">
        <is>
          <t>2011-01</t>
        </is>
      </c>
      <c r="J1181" t="n">
        <v>1</v>
      </c>
      <c r="K1181" t="n">
        <v>1</v>
      </c>
      <c r="L1181" s="34">
        <f>IF($J1181=1,LN(B1182/B1181),"")</f>
        <v/>
      </c>
      <c r="M1181" s="34">
        <f>IF($K1181=1,INDEX(Mensal!$D$2:$D$245,MATCH($I1181,Mensal!$A$2:$A$245,0)),"")</f>
        <v/>
      </c>
      <c r="N1181" s="34">
        <f>IF($K1181=1,L1181-M1181,"")</f>
        <v/>
      </c>
      <c r="O1181" s="34" t="n">
        <v>0.00040132</v>
      </c>
      <c r="P1181" s="34">
        <f>IF($J1181=1,LN(1+O1181),"")</f>
        <v/>
      </c>
      <c r="Q1181" s="34">
        <f>IF($J1181=1,LN(R1182/R1181),"")</f>
        <v/>
      </c>
      <c r="R1181" s="32" t="n">
        <v>1.6745</v>
      </c>
      <c r="S1181" s="35" t="n">
        <v>12.44</v>
      </c>
      <c r="T1181" s="18" t="n"/>
      <c r="U1181" s="18" t="n"/>
      <c r="V1181" s="18" t="n"/>
      <c r="W1181" s="18" t="n">
        <v>70919</v>
      </c>
      <c r="X1181" s="35" t="n">
        <v>12.44</v>
      </c>
      <c r="Y1181" s="35" t="n"/>
    </row>
    <row r="1182">
      <c r="A1182" s="25" t="n">
        <v>40562</v>
      </c>
      <c r="B1182" s="18" t="n">
        <v>70058</v>
      </c>
      <c r="C1182" s="31" t="n"/>
      <c r="D1182" s="32" t="n"/>
      <c r="E1182" s="33" t="n">
        <v>0.8052</v>
      </c>
      <c r="F1182" t="inlineStr">
        <is>
          <t>Down</t>
        </is>
      </c>
      <c r="G1182" t="inlineStr">
        <is>
          <t>Up</t>
        </is>
      </c>
      <c r="H1182" t="inlineStr">
        <is>
          <t>ED_JU</t>
        </is>
      </c>
      <c r="I1182" t="inlineStr">
        <is>
          <t>2011-01</t>
        </is>
      </c>
      <c r="J1182" t="n">
        <v>1</v>
      </c>
      <c r="K1182" t="n">
        <v>1</v>
      </c>
      <c r="L1182" s="34">
        <f>IF($J1182=1,LN(B1183/B1182),"")</f>
        <v/>
      </c>
      <c r="M1182" s="34">
        <f>IF($K1182=1,INDEX(Mensal!$D$2:$D$245,MATCH($I1182,Mensal!$A$2:$A$245,0)),"")</f>
        <v/>
      </c>
      <c r="N1182" s="34">
        <f>IF($K1182=1,L1182-M1182,"")</f>
        <v/>
      </c>
      <c r="O1182" s="34" t="n">
        <v>0.00040132</v>
      </c>
      <c r="P1182" s="34">
        <f>IF($J1182=1,LN(1+O1182),"")</f>
        <v/>
      </c>
      <c r="Q1182" s="34">
        <f>IF($J1182=1,LN(R1183/R1182),"")</f>
        <v/>
      </c>
      <c r="R1182" s="32" t="n">
        <v>1.6714</v>
      </c>
      <c r="S1182" s="35" t="n">
        <v>12.449</v>
      </c>
      <c r="T1182" s="18" t="n"/>
      <c r="U1182" s="18" t="n"/>
      <c r="V1182" s="18" t="n"/>
      <c r="W1182" s="18" t="n">
        <v>70058</v>
      </c>
      <c r="X1182" s="35" t="n">
        <v>12.449</v>
      </c>
      <c r="Y1182" s="35" t="n"/>
    </row>
    <row r="1183">
      <c r="A1183" s="25" t="n">
        <v>40563</v>
      </c>
      <c r="B1183" s="18" t="n">
        <v>69561</v>
      </c>
      <c r="C1183" s="31" t="n"/>
      <c r="D1183" s="32" t="n"/>
      <c r="E1183" s="33" t="n">
        <v>0.7811</v>
      </c>
      <c r="F1183" t="inlineStr">
        <is>
          <t>Down</t>
        </is>
      </c>
      <c r="G1183" t="inlineStr">
        <is>
          <t>Up</t>
        </is>
      </c>
      <c r="H1183" t="inlineStr">
        <is>
          <t>ED_JU</t>
        </is>
      </c>
      <c r="I1183" t="inlineStr">
        <is>
          <t>2011-01</t>
        </is>
      </c>
      <c r="J1183" t="n">
        <v>1</v>
      </c>
      <c r="K1183" t="n">
        <v>1</v>
      </c>
      <c r="L1183" s="34">
        <f>IF($J1183=1,LN(B1184/B1183),"")</f>
        <v/>
      </c>
      <c r="M1183" s="34">
        <f>IF($K1183=1,INDEX(Mensal!$D$2:$D$245,MATCH($I1183,Mensal!$A$2:$A$245,0)),"")</f>
        <v/>
      </c>
      <c r="N1183" s="34">
        <f>IF($K1183=1,L1183-M1183,"")</f>
        <v/>
      </c>
      <c r="O1183" s="34" t="n">
        <v>0.00041922</v>
      </c>
      <c r="P1183" s="34">
        <f>IF($J1183=1,LN(1+O1183),"")</f>
        <v/>
      </c>
      <c r="Q1183" s="34">
        <f>IF($J1183=1,LN(R1184/R1183),"")</f>
        <v/>
      </c>
      <c r="R1183" s="32" t="n">
        <v>1.6715</v>
      </c>
      <c r="S1183" s="35" t="n">
        <v>12.403</v>
      </c>
      <c r="T1183" s="18" t="n"/>
      <c r="U1183" s="18" t="n"/>
      <c r="V1183" s="18" t="n"/>
      <c r="W1183" s="18" t="n">
        <v>69561</v>
      </c>
      <c r="X1183" s="35" t="n">
        <v>12.403</v>
      </c>
      <c r="Y1183" s="35" t="n"/>
    </row>
    <row r="1184">
      <c r="A1184" s="25" t="n">
        <v>40564</v>
      </c>
      <c r="B1184" s="18" t="n">
        <v>69133</v>
      </c>
      <c r="C1184" s="31" t="n"/>
      <c r="D1184" s="32" t="n"/>
      <c r="E1184" s="33" t="n">
        <v>0.7565</v>
      </c>
      <c r="F1184" t="inlineStr">
        <is>
          <t>Down</t>
        </is>
      </c>
      <c r="G1184" t="inlineStr">
        <is>
          <t>Up</t>
        </is>
      </c>
      <c r="H1184" t="inlineStr">
        <is>
          <t>ED_JU</t>
        </is>
      </c>
      <c r="I1184" t="inlineStr">
        <is>
          <t>2011-01</t>
        </is>
      </c>
      <c r="J1184" t="n">
        <v>1</v>
      </c>
      <c r="K1184" t="n">
        <v>1</v>
      </c>
      <c r="L1184" s="34">
        <f>IF($J1184=1,LN(B1185/B1184),"")</f>
        <v/>
      </c>
      <c r="M1184" s="34">
        <f>IF($K1184=1,INDEX(Mensal!$D$2:$D$245,MATCH($I1184,Mensal!$A$2:$A$245,0)),"")</f>
        <v/>
      </c>
      <c r="N1184" s="34">
        <f>IF($K1184=1,L1184-M1184,"")</f>
        <v/>
      </c>
      <c r="O1184" s="34" t="n">
        <v>0.00041922</v>
      </c>
      <c r="P1184" s="34">
        <f>IF($J1184=1,LN(1+O1184),"")</f>
        <v/>
      </c>
      <c r="Q1184" s="34">
        <f>IF($J1184=1,LN(R1185/R1184),"")</f>
        <v/>
      </c>
      <c r="R1184" s="32" t="n">
        <v>1.6723</v>
      </c>
      <c r="S1184" s="35" t="n">
        <v>12.399</v>
      </c>
      <c r="T1184" s="18" t="n"/>
      <c r="U1184" s="18" t="n"/>
      <c r="V1184" s="18" t="n"/>
      <c r="W1184" s="18" t="n">
        <v>69133</v>
      </c>
      <c r="X1184" s="35" t="n">
        <v>12.399</v>
      </c>
      <c r="Y1184" s="35" t="n"/>
    </row>
    <row r="1185">
      <c r="A1185" s="25" t="n">
        <v>40567</v>
      </c>
      <c r="B1185" s="18" t="n">
        <v>69426</v>
      </c>
      <c r="C1185" s="31" t="n"/>
      <c r="D1185" s="32" t="n"/>
      <c r="E1185" s="33" t="n">
        <v>0.7343</v>
      </c>
      <c r="F1185" t="inlineStr">
        <is>
          <t>Down</t>
        </is>
      </c>
      <c r="G1185" t="inlineStr">
        <is>
          <t>Up</t>
        </is>
      </c>
      <c r="H1185" t="inlineStr">
        <is>
          <t>ED_JU</t>
        </is>
      </c>
      <c r="I1185" t="inlineStr">
        <is>
          <t>2011-01</t>
        </is>
      </c>
      <c r="J1185" t="n">
        <v>1</v>
      </c>
      <c r="K1185" t="n">
        <v>1</v>
      </c>
      <c r="L1185" s="34">
        <f>IF($J1185=1,LN(B1186/B1185),"")</f>
        <v/>
      </c>
      <c r="M1185" s="34">
        <f>IF($K1185=1,INDEX(Mensal!$D$2:$D$245,MATCH($I1185,Mensal!$A$2:$A$245,0)),"")</f>
        <v/>
      </c>
      <c r="N1185" s="34">
        <f>IF($K1185=1,L1185-M1185,"")</f>
        <v/>
      </c>
      <c r="O1185" s="34" t="n">
        <v>0.00041922</v>
      </c>
      <c r="P1185" s="34">
        <f>IF($J1185=1,LN(1+O1185),"")</f>
        <v/>
      </c>
      <c r="Q1185" s="34">
        <f>IF($J1185=1,LN(R1186/R1185),"")</f>
        <v/>
      </c>
      <c r="R1185" s="32" t="n">
        <v>1.6731</v>
      </c>
      <c r="S1185" s="35" t="n">
        <v>12.465</v>
      </c>
      <c r="T1185" s="18" t="n"/>
      <c r="U1185" s="18" t="n"/>
      <c r="V1185" s="18" t="n"/>
      <c r="W1185" s="18" t="n">
        <v>69426</v>
      </c>
      <c r="X1185" s="35" t="n">
        <v>12.465</v>
      </c>
      <c r="Y1185" s="35" t="n"/>
    </row>
    <row r="1186">
      <c r="A1186" s="25" t="n">
        <v>40569</v>
      </c>
      <c r="B1186" s="18" t="n">
        <v>68709</v>
      </c>
      <c r="C1186" s="31" t="n"/>
      <c r="D1186" s="32" t="n"/>
      <c r="E1186" s="33" t="n">
        <v>0.7072000000000001</v>
      </c>
      <c r="F1186" t="inlineStr">
        <is>
          <t>Down</t>
        </is>
      </c>
      <c r="G1186" t="inlineStr">
        <is>
          <t>Up</t>
        </is>
      </c>
      <c r="H1186" t="inlineStr">
        <is>
          <t>ED_JU</t>
        </is>
      </c>
      <c r="I1186" t="inlineStr">
        <is>
          <t>2011-01</t>
        </is>
      </c>
      <c r="J1186" t="n">
        <v>1</v>
      </c>
      <c r="K1186" t="n">
        <v>1</v>
      </c>
      <c r="L1186" s="34">
        <f>IF($J1186=1,LN(B1187/B1186),"")</f>
        <v/>
      </c>
      <c r="M1186" s="34">
        <f>IF($K1186=1,INDEX(Mensal!$D$2:$D$245,MATCH($I1186,Mensal!$A$2:$A$245,0)),"")</f>
        <v/>
      </c>
      <c r="N1186" s="34">
        <f>IF($K1186=1,L1186-M1186,"")</f>
        <v/>
      </c>
      <c r="O1186" s="34" t="n">
        <v>0.00041922</v>
      </c>
      <c r="P1186" s="34">
        <f>IF($J1186=1,LN(1+O1186),"")</f>
        <v/>
      </c>
      <c r="Q1186" s="34">
        <f>IF($J1186=1,LN(R1187/R1186),"")</f>
        <v/>
      </c>
      <c r="R1186" s="32" t="n">
        <v>1.6692</v>
      </c>
      <c r="S1186" s="35" t="n">
        <v>12.514</v>
      </c>
      <c r="T1186" s="18" t="n"/>
      <c r="U1186" s="18" t="n"/>
      <c r="V1186" s="18" t="n"/>
      <c r="W1186" s="18" t="n">
        <v>68709</v>
      </c>
      <c r="X1186" s="35" t="n">
        <v>12.514</v>
      </c>
      <c r="Y1186" s="35" t="n"/>
    </row>
    <row r="1187">
      <c r="A1187" s="25" t="n">
        <v>40570</v>
      </c>
      <c r="B1187" s="18" t="n">
        <v>68050</v>
      </c>
      <c r="C1187" s="31" t="n"/>
      <c r="D1187" s="32" t="n"/>
      <c r="E1187" s="33" t="n">
        <v>0.6861</v>
      </c>
      <c r="F1187" t="inlineStr">
        <is>
          <t>Down</t>
        </is>
      </c>
      <c r="G1187" t="inlineStr">
        <is>
          <t>Up</t>
        </is>
      </c>
      <c r="H1187" t="inlineStr">
        <is>
          <t>ED_JU</t>
        </is>
      </c>
      <c r="I1187" t="inlineStr">
        <is>
          <t>2011-01</t>
        </is>
      </c>
      <c r="J1187" t="n">
        <v>1</v>
      </c>
      <c r="K1187" t="n">
        <v>1</v>
      </c>
      <c r="L1187" s="34">
        <f>IF($J1187=1,LN(B1188/B1187),"")</f>
        <v/>
      </c>
      <c r="M1187" s="34">
        <f>IF($K1187=1,INDEX(Mensal!$D$2:$D$245,MATCH($I1187,Mensal!$A$2:$A$245,0)),"")</f>
        <v/>
      </c>
      <c r="N1187" s="34">
        <f>IF($K1187=1,L1187-M1187,"")</f>
        <v/>
      </c>
      <c r="O1187" s="34" t="n">
        <v>0.00041922</v>
      </c>
      <c r="P1187" s="34">
        <f>IF($J1187=1,LN(1+O1187),"")</f>
        <v/>
      </c>
      <c r="Q1187" s="34">
        <f>IF($J1187=1,LN(R1188/R1187),"")</f>
        <v/>
      </c>
      <c r="R1187" s="32" t="n">
        <v>1.672</v>
      </c>
      <c r="S1187" s="35" t="n">
        <v>12.514</v>
      </c>
      <c r="T1187" s="18" t="n"/>
      <c r="U1187" s="18" t="n"/>
      <c r="V1187" s="18" t="n"/>
      <c r="W1187" s="18" t="n">
        <v>68050</v>
      </c>
      <c r="X1187" s="35" t="n">
        <v>12.514</v>
      </c>
      <c r="Y1187" s="35" t="n"/>
    </row>
    <row r="1188">
      <c r="A1188" s="25" t="n">
        <v>40571</v>
      </c>
      <c r="B1188" s="18" t="n">
        <v>66697</v>
      </c>
      <c r="C1188" s="31" t="n"/>
      <c r="D1188" s="32" t="n"/>
      <c r="E1188" s="33" t="n">
        <v>0.6603</v>
      </c>
      <c r="F1188" t="inlineStr">
        <is>
          <t>Down</t>
        </is>
      </c>
      <c r="G1188" t="inlineStr">
        <is>
          <t>Up</t>
        </is>
      </c>
      <c r="H1188" t="inlineStr">
        <is>
          <t>ED_JU</t>
        </is>
      </c>
      <c r="I1188" t="inlineStr">
        <is>
          <t>2011-01</t>
        </is>
      </c>
      <c r="J1188" t="n">
        <v>1</v>
      </c>
      <c r="K1188" t="n">
        <v>1</v>
      </c>
      <c r="L1188" s="34">
        <f>IF($J1188=1,LN(B1189/B1188),"")</f>
        <v/>
      </c>
      <c r="M1188" s="34">
        <f>IF($K1188=1,INDEX(Mensal!$D$2:$D$245,MATCH($I1188,Mensal!$A$2:$A$245,0)),"")</f>
        <v/>
      </c>
      <c r="N1188" s="34">
        <f>IF($K1188=1,L1188-M1188,"")</f>
        <v/>
      </c>
      <c r="O1188" s="34" t="n">
        <v>0.00041922</v>
      </c>
      <c r="P1188" s="34">
        <f>IF($J1188=1,LN(1+O1188),"")</f>
        <v/>
      </c>
      <c r="Q1188" s="34">
        <f>IF($J1188=1,LN(R1189/R1188),"")</f>
        <v/>
      </c>
      <c r="R1188" s="32" t="n">
        <v>1.6782</v>
      </c>
      <c r="S1188" s="35" t="n">
        <v>12.444</v>
      </c>
      <c r="T1188" s="18" t="n"/>
      <c r="U1188" s="18" t="n"/>
      <c r="V1188" s="18" t="n"/>
      <c r="W1188" s="18" t="n">
        <v>66697</v>
      </c>
      <c r="X1188" s="35" t="n">
        <v>12.444</v>
      </c>
      <c r="Y1188" s="35" t="n"/>
    </row>
    <row r="1189">
      <c r="A1189" s="25" t="n">
        <v>40574</v>
      </c>
      <c r="B1189" s="18" t="n">
        <v>66574</v>
      </c>
      <c r="C1189" s="31" t="n"/>
      <c r="D1189" s="32" t="n"/>
      <c r="E1189" s="33" t="n">
        <v>0.6351</v>
      </c>
      <c r="F1189" t="inlineStr">
        <is>
          <t>Down</t>
        </is>
      </c>
      <c r="G1189" t="inlineStr">
        <is>
          <t>Up</t>
        </is>
      </c>
      <c r="H1189" t="inlineStr">
        <is>
          <t>ED_JU</t>
        </is>
      </c>
      <c r="I1189" t="inlineStr">
        <is>
          <t>2011-01</t>
        </is>
      </c>
      <c r="J1189" t="n">
        <v>1</v>
      </c>
      <c r="K1189" t="n">
        <v>1</v>
      </c>
      <c r="L1189" s="34">
        <f>IF($J1189=1,LN(B1190/B1189),"")</f>
        <v/>
      </c>
      <c r="M1189" s="34">
        <f>IF($K1189=1,INDEX(Mensal!$D$2:$D$245,MATCH($I1189,Mensal!$A$2:$A$245,0)),"")</f>
        <v/>
      </c>
      <c r="N1189" s="34">
        <f>IF($K1189=1,L1189-M1189,"")</f>
        <v/>
      </c>
      <c r="O1189" s="34" t="n">
        <v>0.00041922</v>
      </c>
      <c r="P1189" s="34">
        <f>IF($J1189=1,LN(1+O1189),"")</f>
        <v/>
      </c>
      <c r="Q1189" s="34">
        <f>IF($J1189=1,LN(R1190/R1189),"")</f>
        <v/>
      </c>
      <c r="R1189" s="32" t="n">
        <v>1.6734</v>
      </c>
      <c r="S1189" s="35" t="n">
        <v>12.441</v>
      </c>
      <c r="T1189" s="18" t="n"/>
      <c r="U1189" s="18" t="n"/>
      <c r="V1189" s="18" t="n"/>
      <c r="W1189" s="18" t="n">
        <v>66574</v>
      </c>
      <c r="X1189" s="35" t="n">
        <v>12.441</v>
      </c>
      <c r="Y1189" s="35" t="n"/>
    </row>
    <row r="1190">
      <c r="A1190" s="25" t="n">
        <v>40575</v>
      </c>
      <c r="B1190" s="18" t="n">
        <v>67847</v>
      </c>
      <c r="C1190" s="31" t="n"/>
      <c r="D1190" s="32" t="n"/>
      <c r="E1190" s="33" t="n">
        <v>0.609</v>
      </c>
      <c r="F1190" t="inlineStr">
        <is>
          <t>Up</t>
        </is>
      </c>
      <c r="G1190" t="inlineStr">
        <is>
          <t>Up</t>
        </is>
      </c>
      <c r="H1190" t="inlineStr">
        <is>
          <t>EU_JU</t>
        </is>
      </c>
      <c r="I1190" t="inlineStr">
        <is>
          <t>2011-02</t>
        </is>
      </c>
      <c r="J1190" t="n">
        <v>1</v>
      </c>
      <c r="K1190" t="n">
        <v>1</v>
      </c>
      <c r="L1190" s="34">
        <f>IF($J1190=1,LN(B1191/B1190),"")</f>
        <v/>
      </c>
      <c r="M1190" s="34">
        <f>IF($K1190=1,INDEX(Mensal!$D$2:$D$245,MATCH($I1190,Mensal!$A$2:$A$245,0)),"")</f>
        <v/>
      </c>
      <c r="N1190" s="34">
        <f>IF($K1190=1,L1190-M1190,"")</f>
        <v/>
      </c>
      <c r="O1190" s="34" t="n">
        <v>0.00041922</v>
      </c>
      <c r="P1190" s="34">
        <f>IF($J1190=1,LN(1+O1190),"")</f>
        <v/>
      </c>
      <c r="Q1190" s="34">
        <f>IF($J1190=1,LN(R1191/R1190),"")</f>
        <v/>
      </c>
      <c r="R1190" s="32" t="n">
        <v>1.6631</v>
      </c>
      <c r="S1190" s="35" t="n">
        <v>12.444</v>
      </c>
      <c r="T1190" s="18" t="n"/>
      <c r="U1190" s="18" t="n">
        <v>67847</v>
      </c>
      <c r="V1190" s="18" t="n"/>
      <c r="W1190" s="18" t="n"/>
      <c r="X1190" s="35" t="n">
        <v>12.444</v>
      </c>
      <c r="Y1190" s="35" t="n"/>
    </row>
    <row r="1191">
      <c r="A1191" s="25" t="n">
        <v>40576</v>
      </c>
      <c r="B1191" s="18" t="n">
        <v>66688</v>
      </c>
      <c r="C1191" s="31" t="n"/>
      <c r="D1191" s="32" t="n"/>
      <c r="E1191" s="33" t="n">
        <v>0.5821</v>
      </c>
      <c r="F1191" t="inlineStr">
        <is>
          <t>Up</t>
        </is>
      </c>
      <c r="G1191" t="inlineStr">
        <is>
          <t>Up</t>
        </is>
      </c>
      <c r="H1191" t="inlineStr">
        <is>
          <t>EU_JU</t>
        </is>
      </c>
      <c r="I1191" t="inlineStr">
        <is>
          <t>2011-02</t>
        </is>
      </c>
      <c r="J1191" t="n">
        <v>1</v>
      </c>
      <c r="K1191" t="n">
        <v>1</v>
      </c>
      <c r="L1191" s="34">
        <f>IF($J1191=1,LN(B1192/B1191),"")</f>
        <v/>
      </c>
      <c r="M1191" s="34">
        <f>IF($K1191=1,INDEX(Mensal!$D$2:$D$245,MATCH($I1191,Mensal!$A$2:$A$245,0)),"")</f>
        <v/>
      </c>
      <c r="N1191" s="34">
        <f>IF($K1191=1,L1191-M1191,"")</f>
        <v/>
      </c>
      <c r="O1191" s="34" t="n">
        <v>0.00041922</v>
      </c>
      <c r="P1191" s="34">
        <f>IF($J1191=1,LN(1+O1191),"")</f>
        <v/>
      </c>
      <c r="Q1191" s="34">
        <f>IF($J1191=1,LN(R1192/R1191),"")</f>
        <v/>
      </c>
      <c r="R1191" s="32" t="n">
        <v>1.6671</v>
      </c>
      <c r="S1191" s="35" t="n">
        <v>12.4</v>
      </c>
      <c r="T1191" s="18" t="n"/>
      <c r="U1191" s="18" t="n">
        <v>66688</v>
      </c>
      <c r="V1191" s="18" t="n"/>
      <c r="W1191" s="18" t="n"/>
      <c r="X1191" s="35" t="n">
        <v>12.4</v>
      </c>
      <c r="Y1191" s="35" t="n"/>
    </row>
    <row r="1192">
      <c r="A1192" s="25" t="n">
        <v>40577</v>
      </c>
      <c r="B1192" s="18" t="n">
        <v>66764</v>
      </c>
      <c r="C1192" s="31" t="n"/>
      <c r="D1192" s="32" t="n"/>
      <c r="E1192" s="33" t="n">
        <v>0.5558999999999999</v>
      </c>
      <c r="F1192" t="inlineStr">
        <is>
          <t>Up</t>
        </is>
      </c>
      <c r="G1192" t="inlineStr">
        <is>
          <t>Up</t>
        </is>
      </c>
      <c r="H1192" t="inlineStr">
        <is>
          <t>EU_JU</t>
        </is>
      </c>
      <c r="I1192" t="inlineStr">
        <is>
          <t>2011-02</t>
        </is>
      </c>
      <c r="J1192" t="n">
        <v>1</v>
      </c>
      <c r="K1192" t="n">
        <v>1</v>
      </c>
      <c r="L1192" s="34">
        <f>IF($J1192=1,LN(B1193/B1192),"")</f>
        <v/>
      </c>
      <c r="M1192" s="34">
        <f>IF($K1192=1,INDEX(Mensal!$D$2:$D$245,MATCH($I1192,Mensal!$A$2:$A$245,0)),"")</f>
        <v/>
      </c>
      <c r="N1192" s="34">
        <f>IF($K1192=1,L1192-M1192,"")</f>
        <v/>
      </c>
      <c r="O1192" s="34" t="n">
        <v>0.00041922</v>
      </c>
      <c r="P1192" s="34">
        <f>IF($J1192=1,LN(1+O1192),"")</f>
        <v/>
      </c>
      <c r="Q1192" s="34">
        <f>IF($J1192=1,LN(R1193/R1192),"")</f>
        <v/>
      </c>
      <c r="R1192" s="32" t="n">
        <v>1.6697</v>
      </c>
      <c r="S1192" s="35" t="n">
        <v>12.423</v>
      </c>
      <c r="T1192" s="18" t="n"/>
      <c r="U1192" s="18" t="n">
        <v>66764</v>
      </c>
      <c r="V1192" s="18" t="n"/>
      <c r="W1192" s="18" t="n"/>
      <c r="X1192" s="35" t="n">
        <v>12.423</v>
      </c>
      <c r="Y1192" s="35" t="n"/>
    </row>
    <row r="1193">
      <c r="A1193" s="25" t="n">
        <v>40578</v>
      </c>
      <c r="B1193" s="18" t="n">
        <v>65269</v>
      </c>
      <c r="C1193" s="31" t="n"/>
      <c r="D1193" s="32" t="n"/>
      <c r="E1193" s="33" t="n">
        <v>0.5294</v>
      </c>
      <c r="F1193" t="inlineStr">
        <is>
          <t>Up</t>
        </is>
      </c>
      <c r="G1193" t="inlineStr">
        <is>
          <t>Up</t>
        </is>
      </c>
      <c r="H1193" t="inlineStr">
        <is>
          <t>EU_JU</t>
        </is>
      </c>
      <c r="I1193" t="inlineStr">
        <is>
          <t>2011-02</t>
        </is>
      </c>
      <c r="J1193" t="n">
        <v>1</v>
      </c>
      <c r="K1193" t="n">
        <v>1</v>
      </c>
      <c r="L1193" s="34">
        <f>IF($J1193=1,LN(B1194/B1193),"")</f>
        <v/>
      </c>
      <c r="M1193" s="34">
        <f>IF($K1193=1,INDEX(Mensal!$D$2:$D$245,MATCH($I1193,Mensal!$A$2:$A$245,0)),"")</f>
        <v/>
      </c>
      <c r="N1193" s="34">
        <f>IF($K1193=1,L1193-M1193,"")</f>
        <v/>
      </c>
      <c r="O1193" s="34" t="n">
        <v>0.00041922</v>
      </c>
      <c r="P1193" s="34">
        <f>IF($J1193=1,LN(1+O1193),"")</f>
        <v/>
      </c>
      <c r="Q1193" s="34">
        <f>IF($J1193=1,LN(R1194/R1193),"")</f>
        <v/>
      </c>
      <c r="R1193" s="32" t="n">
        <v>1.6738</v>
      </c>
      <c r="S1193" s="35" t="n">
        <v>12.487</v>
      </c>
      <c r="T1193" s="18" t="n"/>
      <c r="U1193" s="18" t="n">
        <v>65269</v>
      </c>
      <c r="V1193" s="18" t="n"/>
      <c r="W1193" s="18" t="n"/>
      <c r="X1193" s="35" t="n">
        <v>12.487</v>
      </c>
      <c r="Y1193" s="35" t="n"/>
    </row>
    <row r="1194">
      <c r="A1194" s="25" t="n">
        <v>40581</v>
      </c>
      <c r="B1194" s="18" t="n">
        <v>65362</v>
      </c>
      <c r="C1194" s="31" t="n"/>
      <c r="D1194" s="32" t="n"/>
      <c r="E1194" s="33" t="n">
        <v>0.497</v>
      </c>
      <c r="F1194" t="inlineStr">
        <is>
          <t>Up</t>
        </is>
      </c>
      <c r="G1194" t="inlineStr">
        <is>
          <t>Up</t>
        </is>
      </c>
      <c r="H1194" t="inlineStr">
        <is>
          <t>EU_JU</t>
        </is>
      </c>
      <c r="I1194" t="inlineStr">
        <is>
          <t>2011-02</t>
        </is>
      </c>
      <c r="J1194" t="n">
        <v>1</v>
      </c>
      <c r="K1194" t="n">
        <v>1</v>
      </c>
      <c r="L1194" s="34">
        <f>IF($J1194=1,LN(B1195/B1194),"")</f>
        <v/>
      </c>
      <c r="M1194" s="34">
        <f>IF($K1194=1,INDEX(Mensal!$D$2:$D$245,MATCH($I1194,Mensal!$A$2:$A$245,0)),"")</f>
        <v/>
      </c>
      <c r="N1194" s="34">
        <f>IF($K1194=1,L1194-M1194,"")</f>
        <v/>
      </c>
      <c r="O1194" s="34" t="n">
        <v>0.00041922</v>
      </c>
      <c r="P1194" s="34">
        <f>IF($J1194=1,LN(1+O1194),"")</f>
        <v/>
      </c>
      <c r="Q1194" s="34">
        <f>IF($J1194=1,LN(R1195/R1194),"")</f>
        <v/>
      </c>
      <c r="R1194" s="32" t="n">
        <v>1.6776</v>
      </c>
      <c r="S1194" s="35" t="n">
        <v>12.432</v>
      </c>
      <c r="T1194" s="18" t="n"/>
      <c r="U1194" s="18" t="n">
        <v>65362</v>
      </c>
      <c r="V1194" s="18" t="n"/>
      <c r="W1194" s="18" t="n"/>
      <c r="X1194" s="35" t="n">
        <v>12.432</v>
      </c>
      <c r="Y1194" s="35" t="n"/>
    </row>
    <row r="1195">
      <c r="A1195" s="25" t="n">
        <v>40582</v>
      </c>
      <c r="B1195" s="18" t="n">
        <v>65771</v>
      </c>
      <c r="C1195" s="31" t="n"/>
      <c r="D1195" s="32" t="n"/>
      <c r="E1195" s="33" t="n">
        <v>0.4671</v>
      </c>
      <c r="F1195" t="inlineStr">
        <is>
          <t>Up</t>
        </is>
      </c>
      <c r="G1195" t="inlineStr">
        <is>
          <t>Up</t>
        </is>
      </c>
      <c r="H1195" t="inlineStr">
        <is>
          <t>EU_JU</t>
        </is>
      </c>
      <c r="I1195" t="inlineStr">
        <is>
          <t>2011-02</t>
        </is>
      </c>
      <c r="J1195" t="n">
        <v>1</v>
      </c>
      <c r="K1195" t="n">
        <v>1</v>
      </c>
      <c r="L1195" s="34">
        <f>IF($J1195=1,LN(B1196/B1195),"")</f>
        <v/>
      </c>
      <c r="M1195" s="34">
        <f>IF($K1195=1,INDEX(Mensal!$D$2:$D$245,MATCH($I1195,Mensal!$A$2:$A$245,0)),"")</f>
        <v/>
      </c>
      <c r="N1195" s="34">
        <f>IF($K1195=1,L1195-M1195,"")</f>
        <v/>
      </c>
      <c r="O1195" s="34" t="n">
        <v>0.00041922</v>
      </c>
      <c r="P1195" s="34">
        <f>IF($J1195=1,LN(1+O1195),"")</f>
        <v/>
      </c>
      <c r="Q1195" s="34">
        <f>IF($J1195=1,LN(R1196/R1195),"")</f>
        <v/>
      </c>
      <c r="R1195" s="32" t="n">
        <v>1.6711</v>
      </c>
      <c r="S1195" s="35" t="n">
        <v>12.37</v>
      </c>
      <c r="T1195" s="18" t="n"/>
      <c r="U1195" s="18" t="n">
        <v>65771</v>
      </c>
      <c r="V1195" s="18" t="n"/>
      <c r="W1195" s="18" t="n"/>
      <c r="X1195" s="35" t="n">
        <v>12.37</v>
      </c>
      <c r="Y1195" s="35" t="n"/>
    </row>
    <row r="1196">
      <c r="A1196" s="25" t="n">
        <v>40583</v>
      </c>
      <c r="B1196" s="18" t="n">
        <v>64217</v>
      </c>
      <c r="C1196" s="31" t="n"/>
      <c r="D1196" s="32" t="n"/>
      <c r="E1196" s="33" t="n">
        <v>0.4331</v>
      </c>
      <c r="F1196" t="inlineStr">
        <is>
          <t>Up</t>
        </is>
      </c>
      <c r="G1196" t="inlineStr">
        <is>
          <t>Up</t>
        </is>
      </c>
      <c r="H1196" t="inlineStr">
        <is>
          <t>EU_JU</t>
        </is>
      </c>
      <c r="I1196" t="inlineStr">
        <is>
          <t>2011-02</t>
        </is>
      </c>
      <c r="J1196" t="n">
        <v>1</v>
      </c>
      <c r="K1196" t="n">
        <v>1</v>
      </c>
      <c r="L1196" s="34">
        <f>IF($J1196=1,LN(B1197/B1196),"")</f>
        <v/>
      </c>
      <c r="M1196" s="34">
        <f>IF($K1196=1,INDEX(Mensal!$D$2:$D$245,MATCH($I1196,Mensal!$A$2:$A$245,0)),"")</f>
        <v/>
      </c>
      <c r="N1196" s="34">
        <f>IF($K1196=1,L1196-M1196,"")</f>
        <v/>
      </c>
      <c r="O1196" s="34" t="n">
        <v>0.00041922</v>
      </c>
      <c r="P1196" s="34">
        <f>IF($J1196=1,LN(1+O1196),"")</f>
        <v/>
      </c>
      <c r="Q1196" s="34">
        <f>IF($J1196=1,LN(R1197/R1196),"")</f>
        <v/>
      </c>
      <c r="R1196" s="32" t="n">
        <v>1.6643</v>
      </c>
      <c r="S1196" s="35" t="n">
        <v>12.379</v>
      </c>
      <c r="T1196" s="18" t="n"/>
      <c r="U1196" s="18" t="n">
        <v>64217</v>
      </c>
      <c r="V1196" s="18" t="n"/>
      <c r="W1196" s="18" t="n"/>
      <c r="X1196" s="35" t="n">
        <v>12.379</v>
      </c>
      <c r="Y1196" s="35" t="n"/>
    </row>
    <row r="1197">
      <c r="A1197" s="25" t="n">
        <v>40584</v>
      </c>
      <c r="B1197" s="18" t="n">
        <v>64577</v>
      </c>
      <c r="C1197" s="31" t="n"/>
      <c r="D1197" s="32" t="n"/>
      <c r="E1197" s="33" t="n">
        <v>0.4095</v>
      </c>
      <c r="F1197" t="inlineStr">
        <is>
          <t>Up</t>
        </is>
      </c>
      <c r="G1197" t="inlineStr">
        <is>
          <t>Up</t>
        </is>
      </c>
      <c r="H1197" t="inlineStr">
        <is>
          <t>EU_JU</t>
        </is>
      </c>
      <c r="I1197" t="inlineStr">
        <is>
          <t>2011-02</t>
        </is>
      </c>
      <c r="J1197" t="n">
        <v>1</v>
      </c>
      <c r="K1197" t="n">
        <v>1</v>
      </c>
      <c r="L1197" s="34">
        <f>IF($J1197=1,LN(B1198/B1197),"")</f>
        <v/>
      </c>
      <c r="M1197" s="34">
        <f>IF($K1197=1,INDEX(Mensal!$D$2:$D$245,MATCH($I1197,Mensal!$A$2:$A$245,0)),"")</f>
        <v/>
      </c>
      <c r="N1197" s="34">
        <f>IF($K1197=1,L1197-M1197,"")</f>
        <v/>
      </c>
      <c r="O1197" s="34" t="n">
        <v>0.00041957</v>
      </c>
      <c r="P1197" s="34">
        <f>IF($J1197=1,LN(1+O1197),"")</f>
        <v/>
      </c>
      <c r="Q1197" s="34">
        <f>IF($J1197=1,LN(R1198/R1197),"")</f>
        <v/>
      </c>
      <c r="R1197" s="32" t="n">
        <v>1.668</v>
      </c>
      <c r="S1197" s="35" t="n">
        <v>12.399</v>
      </c>
      <c r="T1197" s="18" t="n"/>
      <c r="U1197" s="18" t="n">
        <v>64577</v>
      </c>
      <c r="V1197" s="18" t="n"/>
      <c r="W1197" s="18" t="n"/>
      <c r="X1197" s="35" t="n">
        <v>12.399</v>
      </c>
      <c r="Y1197" s="35" t="n"/>
    </row>
    <row r="1198">
      <c r="A1198" s="25" t="n">
        <v>40585</v>
      </c>
      <c r="B1198" s="18" t="n">
        <v>65755</v>
      </c>
      <c r="C1198" s="31" t="n"/>
      <c r="D1198" s="32" t="n"/>
      <c r="E1198" s="33" t="n">
        <v>0.382</v>
      </c>
      <c r="F1198" t="inlineStr">
        <is>
          <t>Up</t>
        </is>
      </c>
      <c r="G1198" t="inlineStr">
        <is>
          <t>Up</t>
        </is>
      </c>
      <c r="H1198" t="inlineStr">
        <is>
          <t>EU_JU</t>
        </is>
      </c>
      <c r="I1198" t="inlineStr">
        <is>
          <t>2011-02</t>
        </is>
      </c>
      <c r="J1198" t="n">
        <v>1</v>
      </c>
      <c r="K1198" t="n">
        <v>1</v>
      </c>
      <c r="L1198" s="34">
        <f>IF($J1198=1,LN(B1199/B1198),"")</f>
        <v/>
      </c>
      <c r="M1198" s="34">
        <f>IF($K1198=1,INDEX(Mensal!$D$2:$D$245,MATCH($I1198,Mensal!$A$2:$A$245,0)),"")</f>
        <v/>
      </c>
      <c r="N1198" s="34">
        <f>IF($K1198=1,L1198-M1198,"")</f>
        <v/>
      </c>
      <c r="O1198" s="34" t="n">
        <v>0.00041922</v>
      </c>
      <c r="P1198" s="34">
        <f>IF($J1198=1,LN(1+O1198),"")</f>
        <v/>
      </c>
      <c r="Q1198" s="34">
        <f>IF($J1198=1,LN(R1199/R1198),"")</f>
        <v/>
      </c>
      <c r="R1198" s="32" t="n">
        <v>1.6679</v>
      </c>
      <c r="S1198" s="35" t="n">
        <v>12.399</v>
      </c>
      <c r="T1198" s="18" t="n"/>
      <c r="U1198" s="18" t="n">
        <v>65755</v>
      </c>
      <c r="V1198" s="18" t="n"/>
      <c r="W1198" s="18" t="n"/>
      <c r="X1198" s="35" t="n">
        <v>12.399</v>
      </c>
      <c r="Y1198" s="35" t="n"/>
    </row>
    <row r="1199">
      <c r="A1199" s="25" t="n">
        <v>40588</v>
      </c>
      <c r="B1199" s="18" t="n">
        <v>66557</v>
      </c>
      <c r="C1199" s="31" t="n"/>
      <c r="D1199" s="32" t="n"/>
      <c r="E1199" s="33" t="n">
        <v>0.3658</v>
      </c>
      <c r="F1199" t="inlineStr">
        <is>
          <t>Up</t>
        </is>
      </c>
      <c r="G1199" t="inlineStr">
        <is>
          <t>Up</t>
        </is>
      </c>
      <c r="H1199" t="inlineStr">
        <is>
          <t>EU_JU</t>
        </is>
      </c>
      <c r="I1199" t="inlineStr">
        <is>
          <t>2011-02</t>
        </is>
      </c>
      <c r="J1199" t="n">
        <v>1</v>
      </c>
      <c r="K1199" t="n">
        <v>1</v>
      </c>
      <c r="L1199" s="34">
        <f>IF($J1199=1,LN(B1200/B1199),"")</f>
        <v/>
      </c>
      <c r="M1199" s="34">
        <f>IF($K1199=1,INDEX(Mensal!$D$2:$D$245,MATCH($I1199,Mensal!$A$2:$A$245,0)),"")</f>
        <v/>
      </c>
      <c r="N1199" s="34">
        <f>IF($K1199=1,L1199-M1199,"")</f>
        <v/>
      </c>
      <c r="O1199" s="34" t="n">
        <v>0.00041957</v>
      </c>
      <c r="P1199" s="34">
        <f>IF($J1199=1,LN(1+O1199),"")</f>
        <v/>
      </c>
      <c r="Q1199" s="34">
        <f>IF($J1199=1,LN(R1200/R1199),"")</f>
        <v/>
      </c>
      <c r="R1199" s="32" t="n">
        <v>1.6681</v>
      </c>
      <c r="S1199" s="35" t="n">
        <v>12.511</v>
      </c>
      <c r="T1199" s="18" t="n"/>
      <c r="U1199" s="18" t="n">
        <v>66557</v>
      </c>
      <c r="V1199" s="18" t="n"/>
      <c r="W1199" s="18" t="n"/>
      <c r="X1199" s="35" t="n">
        <v>12.511</v>
      </c>
      <c r="Y1199" s="35" t="n"/>
    </row>
    <row r="1200">
      <c r="A1200" s="25" t="n">
        <v>40589</v>
      </c>
      <c r="B1200" s="18" t="n">
        <v>66341</v>
      </c>
      <c r="C1200" s="31" t="n"/>
      <c r="D1200" s="32" t="n"/>
      <c r="E1200" s="33" t="n">
        <v>0.35</v>
      </c>
      <c r="F1200" t="inlineStr">
        <is>
          <t>Up</t>
        </is>
      </c>
      <c r="G1200" t="inlineStr">
        <is>
          <t>Up</t>
        </is>
      </c>
      <c r="H1200" t="inlineStr">
        <is>
          <t>EU_JU</t>
        </is>
      </c>
      <c r="I1200" t="inlineStr">
        <is>
          <t>2011-02</t>
        </is>
      </c>
      <c r="J1200" t="n">
        <v>1</v>
      </c>
      <c r="K1200" t="n">
        <v>1</v>
      </c>
      <c r="L1200" s="34">
        <f>IF($J1200=1,LN(B1201/B1200),"")</f>
        <v/>
      </c>
      <c r="M1200" s="34">
        <f>IF($K1200=1,INDEX(Mensal!$D$2:$D$245,MATCH($I1200,Mensal!$A$2:$A$245,0)),"")</f>
        <v/>
      </c>
      <c r="N1200" s="34">
        <f>IF($K1200=1,L1200-M1200,"")</f>
        <v/>
      </c>
      <c r="O1200" s="34" t="n">
        <v>0.00041957</v>
      </c>
      <c r="P1200" s="34">
        <f>IF($J1200=1,LN(1+O1200),"")</f>
        <v/>
      </c>
      <c r="Q1200" s="34">
        <f>IF($J1200=1,LN(R1201/R1200),"")</f>
        <v/>
      </c>
      <c r="R1200" s="32" t="n">
        <v>1.6682</v>
      </c>
      <c r="S1200" s="35" t="n">
        <v>12.479</v>
      </c>
      <c r="T1200" s="18" t="n"/>
      <c r="U1200" s="18" t="n">
        <v>66341</v>
      </c>
      <c r="V1200" s="18" t="n"/>
      <c r="W1200" s="18" t="n"/>
      <c r="X1200" s="35" t="n">
        <v>12.479</v>
      </c>
      <c r="Y1200" s="35" t="n"/>
    </row>
    <row r="1201">
      <c r="A1201" s="25" t="n">
        <v>40590</v>
      </c>
      <c r="B1201" s="18" t="n">
        <v>67576</v>
      </c>
      <c r="C1201" s="31" t="n"/>
      <c r="D1201" s="32" t="n"/>
      <c r="E1201" s="33" t="n">
        <v>0.3423</v>
      </c>
      <c r="F1201" t="inlineStr">
        <is>
          <t>Up</t>
        </is>
      </c>
      <c r="G1201" t="inlineStr">
        <is>
          <t>Up</t>
        </is>
      </c>
      <c r="H1201" t="inlineStr">
        <is>
          <t>EU_JU</t>
        </is>
      </c>
      <c r="I1201" t="inlineStr">
        <is>
          <t>2011-02</t>
        </is>
      </c>
      <c r="J1201" t="n">
        <v>1</v>
      </c>
      <c r="K1201" t="n">
        <v>1</v>
      </c>
      <c r="L1201" s="34">
        <f>IF($J1201=1,LN(B1202/B1201),"")</f>
        <v/>
      </c>
      <c r="M1201" s="34">
        <f>IF($K1201=1,INDEX(Mensal!$D$2:$D$245,MATCH($I1201,Mensal!$A$2:$A$245,0)),"")</f>
        <v/>
      </c>
      <c r="N1201" s="34">
        <f>IF($K1201=1,L1201-M1201,"")</f>
        <v/>
      </c>
      <c r="O1201" s="34" t="n">
        <v>0.00041957</v>
      </c>
      <c r="P1201" s="34">
        <f>IF($J1201=1,LN(1+O1201),"")</f>
        <v/>
      </c>
      <c r="Q1201" s="34">
        <f>IF($J1201=1,LN(R1202/R1201),"")</f>
        <v/>
      </c>
      <c r="R1201" s="32" t="n">
        <v>1.6704</v>
      </c>
      <c r="S1201" s="35" t="n">
        <v>12.451</v>
      </c>
      <c r="T1201" s="18" t="n"/>
      <c r="U1201" s="18" t="n">
        <v>67576</v>
      </c>
      <c r="V1201" s="18" t="n"/>
      <c r="W1201" s="18" t="n"/>
      <c r="X1201" s="35" t="n">
        <v>12.451</v>
      </c>
      <c r="Y1201" s="35" t="n"/>
    </row>
    <row r="1202">
      <c r="A1202" s="25" t="n">
        <v>40591</v>
      </c>
      <c r="B1202" s="18" t="n">
        <v>67684</v>
      </c>
      <c r="C1202" s="31" t="n"/>
      <c r="D1202" s="32" t="n"/>
      <c r="E1202" s="33" t="n">
        <v>0.3339</v>
      </c>
      <c r="F1202" t="inlineStr">
        <is>
          <t>Up</t>
        </is>
      </c>
      <c r="G1202" t="inlineStr">
        <is>
          <t>Up</t>
        </is>
      </c>
      <c r="H1202" t="inlineStr">
        <is>
          <t>EU_JU</t>
        </is>
      </c>
      <c r="I1202" t="inlineStr">
        <is>
          <t>2011-02</t>
        </is>
      </c>
      <c r="J1202" t="n">
        <v>1</v>
      </c>
      <c r="K1202" t="n">
        <v>1</v>
      </c>
      <c r="L1202" s="34">
        <f>IF($J1202=1,LN(B1203/B1202),"")</f>
        <v/>
      </c>
      <c r="M1202" s="34">
        <f>IF($K1202=1,INDEX(Mensal!$D$2:$D$245,MATCH($I1202,Mensal!$A$2:$A$245,0)),"")</f>
        <v/>
      </c>
      <c r="N1202" s="34">
        <f>IF($K1202=1,L1202-M1202,"")</f>
        <v/>
      </c>
      <c r="O1202" s="34" t="n">
        <v>0.00041957</v>
      </c>
      <c r="P1202" s="34">
        <f>IF($J1202=1,LN(1+O1202),"")</f>
        <v/>
      </c>
      <c r="Q1202" s="34">
        <f>IF($J1202=1,LN(R1203/R1202),"")</f>
        <v/>
      </c>
      <c r="R1202" s="32" t="n">
        <v>1.6661</v>
      </c>
      <c r="S1202" s="35" t="n">
        <v>12.446</v>
      </c>
      <c r="T1202" s="18" t="n"/>
      <c r="U1202" s="18" t="n">
        <v>67684</v>
      </c>
      <c r="V1202" s="18" t="n"/>
      <c r="W1202" s="18" t="n"/>
      <c r="X1202" s="35" t="n">
        <v>12.446</v>
      </c>
      <c r="Y1202" s="35" t="n"/>
    </row>
    <row r="1203">
      <c r="A1203" s="25" t="n">
        <v>40592</v>
      </c>
      <c r="B1203" s="18" t="n">
        <v>68066</v>
      </c>
      <c r="C1203" s="31" t="n"/>
      <c r="D1203" s="32" t="n"/>
      <c r="E1203" s="33" t="n">
        <v>0.3247</v>
      </c>
      <c r="F1203" t="inlineStr">
        <is>
          <t>Up</t>
        </is>
      </c>
      <c r="G1203" t="inlineStr">
        <is>
          <t>Up</t>
        </is>
      </c>
      <c r="H1203" t="inlineStr">
        <is>
          <t>EU_JU</t>
        </is>
      </c>
      <c r="I1203" t="inlineStr">
        <is>
          <t>2011-02</t>
        </is>
      </c>
      <c r="J1203" t="n">
        <v>1</v>
      </c>
      <c r="K1203" t="n">
        <v>1</v>
      </c>
      <c r="L1203" s="34">
        <f>IF($J1203=1,LN(B1204/B1203),"")</f>
        <v/>
      </c>
      <c r="M1203" s="34">
        <f>IF($K1203=1,INDEX(Mensal!$D$2:$D$245,MATCH($I1203,Mensal!$A$2:$A$245,0)),"")</f>
        <v/>
      </c>
      <c r="N1203" s="34">
        <f>IF($K1203=1,L1203-M1203,"")</f>
        <v/>
      </c>
      <c r="O1203" s="34" t="n">
        <v>0.00041993</v>
      </c>
      <c r="P1203" s="34">
        <f>IF($J1203=1,LN(1+O1203),"")</f>
        <v/>
      </c>
      <c r="Q1203" s="34">
        <f>IF($J1203=1,LN(R1204/R1203),"")</f>
        <v/>
      </c>
      <c r="R1203" s="32" t="n">
        <v>1.6677</v>
      </c>
      <c r="S1203" s="35" t="n">
        <v>12.44</v>
      </c>
      <c r="T1203" s="18" t="n"/>
      <c r="U1203" s="18" t="n">
        <v>68066</v>
      </c>
      <c r="V1203" s="18" t="n"/>
      <c r="W1203" s="18" t="n"/>
      <c r="X1203" s="35" t="n">
        <v>12.44</v>
      </c>
      <c r="Y1203" s="35" t="n"/>
    </row>
    <row r="1204">
      <c r="A1204" s="25" t="n">
        <v>40595</v>
      </c>
      <c r="B1204" s="18" t="n">
        <v>67258</v>
      </c>
      <c r="C1204" s="31" t="n"/>
      <c r="D1204" s="32" t="n"/>
      <c r="E1204" s="33" t="n">
        <v>0.3172</v>
      </c>
      <c r="F1204" t="inlineStr">
        <is>
          <t>Up</t>
        </is>
      </c>
      <c r="G1204" t="inlineStr">
        <is>
          <t>Up</t>
        </is>
      </c>
      <c r="H1204" t="inlineStr">
        <is>
          <t>EU_JU</t>
        </is>
      </c>
      <c r="I1204" t="inlineStr">
        <is>
          <t>2011-02</t>
        </is>
      </c>
      <c r="J1204" t="n">
        <v>1</v>
      </c>
      <c r="K1204" t="n">
        <v>1</v>
      </c>
      <c r="L1204" s="34">
        <f>IF($J1204=1,LN(B1205/B1204),"")</f>
        <v/>
      </c>
      <c r="M1204" s="34">
        <f>IF($K1204=1,INDEX(Mensal!$D$2:$D$245,MATCH($I1204,Mensal!$A$2:$A$245,0)),"")</f>
        <v/>
      </c>
      <c r="N1204" s="34">
        <f>IF($K1204=1,L1204-M1204,"")</f>
        <v/>
      </c>
      <c r="O1204" s="34" t="n">
        <v>0.00041993</v>
      </c>
      <c r="P1204" s="34">
        <f>IF($J1204=1,LN(1+O1204),"")</f>
        <v/>
      </c>
      <c r="Q1204" s="34">
        <f>IF($J1204=1,LN(R1205/R1204),"")</f>
        <v/>
      </c>
      <c r="R1204" s="32" t="n">
        <v>1.6667</v>
      </c>
      <c r="S1204" s="35" t="n">
        <v>12.508</v>
      </c>
      <c r="T1204" s="18" t="n"/>
      <c r="U1204" s="18" t="n">
        <v>67258</v>
      </c>
      <c r="V1204" s="18" t="n"/>
      <c r="W1204" s="18" t="n"/>
      <c r="X1204" s="35" t="n">
        <v>12.508</v>
      </c>
      <c r="Y1204" s="35" t="n"/>
    </row>
    <row r="1205">
      <c r="A1205" s="25" t="n">
        <v>40596</v>
      </c>
      <c r="B1205" s="18" t="n">
        <v>66439</v>
      </c>
      <c r="C1205" s="31" t="n"/>
      <c r="D1205" s="32" t="n"/>
      <c r="E1205" s="33" t="n">
        <v>0.3112</v>
      </c>
      <c r="F1205" t="inlineStr">
        <is>
          <t>Up</t>
        </is>
      </c>
      <c r="G1205" t="inlineStr">
        <is>
          <t>Up</t>
        </is>
      </c>
      <c r="H1205" t="inlineStr">
        <is>
          <t>EU_JU</t>
        </is>
      </c>
      <c r="I1205" t="inlineStr">
        <is>
          <t>2011-02</t>
        </is>
      </c>
      <c r="J1205" t="n">
        <v>1</v>
      </c>
      <c r="K1205" t="n">
        <v>1</v>
      </c>
      <c r="L1205" s="34">
        <f>IF($J1205=1,LN(B1206/B1205),"")</f>
        <v/>
      </c>
      <c r="M1205" s="34">
        <f>IF($K1205=1,INDEX(Mensal!$D$2:$D$245,MATCH($I1205,Mensal!$A$2:$A$245,0)),"")</f>
        <v/>
      </c>
      <c r="N1205" s="34">
        <f>IF($K1205=1,L1205-M1205,"")</f>
        <v/>
      </c>
      <c r="O1205" s="34" t="n">
        <v>0.00041993</v>
      </c>
      <c r="P1205" s="34">
        <f>IF($J1205=1,LN(1+O1205),"")</f>
        <v/>
      </c>
      <c r="Q1205" s="34">
        <f>IF($J1205=1,LN(R1206/R1205),"")</f>
        <v/>
      </c>
      <c r="R1205" s="32" t="n">
        <v>1.6694</v>
      </c>
      <c r="S1205" s="35" t="n">
        <v>12.504</v>
      </c>
      <c r="T1205" s="18" t="n"/>
      <c r="U1205" s="18" t="n">
        <v>66439</v>
      </c>
      <c r="V1205" s="18" t="n"/>
      <c r="W1205" s="18" t="n"/>
      <c r="X1205" s="35" t="n">
        <v>12.504</v>
      </c>
      <c r="Y1205" s="35" t="n"/>
    </row>
    <row r="1206">
      <c r="A1206" s="25" t="n">
        <v>40597</v>
      </c>
      <c r="B1206" s="18" t="n">
        <v>66910</v>
      </c>
      <c r="C1206" s="31" t="n"/>
      <c r="D1206" s="32" t="n"/>
      <c r="E1206" s="33" t="n">
        <v>0.3065</v>
      </c>
      <c r="F1206" t="inlineStr">
        <is>
          <t>Up</t>
        </is>
      </c>
      <c r="G1206" t="inlineStr">
        <is>
          <t>Up</t>
        </is>
      </c>
      <c r="H1206" t="inlineStr">
        <is>
          <t>EU_JU</t>
        </is>
      </c>
      <c r="I1206" t="inlineStr">
        <is>
          <t>2011-02</t>
        </is>
      </c>
      <c r="J1206" t="n">
        <v>1</v>
      </c>
      <c r="K1206" t="n">
        <v>1</v>
      </c>
      <c r="L1206" s="34">
        <f>IF($J1206=1,LN(B1207/B1206),"")</f>
        <v/>
      </c>
      <c r="M1206" s="34">
        <f>IF($K1206=1,INDEX(Mensal!$D$2:$D$245,MATCH($I1206,Mensal!$A$2:$A$245,0)),"")</f>
        <v/>
      </c>
      <c r="N1206" s="34">
        <f>IF($K1206=1,L1206-M1206,"")</f>
        <v/>
      </c>
      <c r="O1206" s="34" t="n">
        <v>0.00041993</v>
      </c>
      <c r="P1206" s="34">
        <f>IF($J1206=1,LN(1+O1206),"")</f>
        <v/>
      </c>
      <c r="Q1206" s="34">
        <f>IF($J1206=1,LN(R1207/R1206),"")</f>
        <v/>
      </c>
      <c r="R1206" s="32" t="n">
        <v>1.672</v>
      </c>
      <c r="S1206" s="35" t="n">
        <v>12.55</v>
      </c>
      <c r="T1206" s="18" t="n"/>
      <c r="U1206" s="18" t="n">
        <v>66910</v>
      </c>
      <c r="V1206" s="18" t="n"/>
      <c r="W1206" s="18" t="n"/>
      <c r="X1206" s="35" t="n">
        <v>12.55</v>
      </c>
      <c r="Y1206" s="35" t="n"/>
    </row>
    <row r="1207">
      <c r="A1207" s="25" t="n">
        <v>40598</v>
      </c>
      <c r="B1207" s="18" t="n">
        <v>66948</v>
      </c>
      <c r="C1207" s="31" t="n"/>
      <c r="D1207" s="32" t="n"/>
      <c r="E1207" s="33" t="n">
        <v>0.3054</v>
      </c>
      <c r="F1207" t="inlineStr">
        <is>
          <t>Up</t>
        </is>
      </c>
      <c r="G1207" t="inlineStr">
        <is>
          <t>Up</t>
        </is>
      </c>
      <c r="H1207" t="inlineStr">
        <is>
          <t>EU_JU</t>
        </is>
      </c>
      <c r="I1207" t="inlineStr">
        <is>
          <t>2011-02</t>
        </is>
      </c>
      <c r="J1207" t="n">
        <v>1</v>
      </c>
      <c r="K1207" t="n">
        <v>1</v>
      </c>
      <c r="L1207" s="34">
        <f>IF($J1207=1,LN(B1208/B1207),"")</f>
        <v/>
      </c>
      <c r="M1207" s="34">
        <f>IF($K1207=1,INDEX(Mensal!$D$2:$D$245,MATCH($I1207,Mensal!$A$2:$A$245,0)),"")</f>
        <v/>
      </c>
      <c r="N1207" s="34">
        <f>IF($K1207=1,L1207-M1207,"")</f>
        <v/>
      </c>
      <c r="O1207" s="34" t="n">
        <v>0.00041993</v>
      </c>
      <c r="P1207" s="34">
        <f>IF($J1207=1,LN(1+O1207),"")</f>
        <v/>
      </c>
      <c r="Q1207" s="34">
        <f>IF($J1207=1,LN(R1208/R1207),"")</f>
        <v/>
      </c>
      <c r="R1207" s="32" t="n">
        <v>1.6649</v>
      </c>
      <c r="S1207" s="35" t="n">
        <v>12.694</v>
      </c>
      <c r="T1207" s="18" t="n"/>
      <c r="U1207" s="18" t="n">
        <v>66948</v>
      </c>
      <c r="V1207" s="18" t="n"/>
      <c r="W1207" s="18" t="n"/>
      <c r="X1207" s="35" t="n">
        <v>12.694</v>
      </c>
      <c r="Y1207" s="35" t="n"/>
    </row>
    <row r="1208">
      <c r="A1208" s="25" t="n">
        <v>40599</v>
      </c>
      <c r="B1208" s="18" t="n">
        <v>66902</v>
      </c>
      <c r="C1208" s="31" t="n"/>
      <c r="D1208" s="32" t="n"/>
      <c r="E1208" s="33" t="n">
        <v>0.3015</v>
      </c>
      <c r="F1208" t="inlineStr">
        <is>
          <t>Up</t>
        </is>
      </c>
      <c r="G1208" t="inlineStr">
        <is>
          <t>Up</t>
        </is>
      </c>
      <c r="H1208" t="inlineStr">
        <is>
          <t>EU_JU</t>
        </is>
      </c>
      <c r="I1208" t="inlineStr">
        <is>
          <t>2011-02</t>
        </is>
      </c>
      <c r="J1208" t="n">
        <v>1</v>
      </c>
      <c r="K1208" t="n">
        <v>1</v>
      </c>
      <c r="L1208" s="34">
        <f>IF($J1208=1,LN(B1209/B1208),"")</f>
        <v/>
      </c>
      <c r="M1208" s="34">
        <f>IF($K1208=1,INDEX(Mensal!$D$2:$D$245,MATCH($I1208,Mensal!$A$2:$A$245,0)),"")</f>
        <v/>
      </c>
      <c r="N1208" s="34">
        <f>IF($K1208=1,L1208-M1208,"")</f>
        <v/>
      </c>
      <c r="O1208" s="34" t="n">
        <v>0.00041993</v>
      </c>
      <c r="P1208" s="34">
        <f>IF($J1208=1,LN(1+O1208),"")</f>
        <v/>
      </c>
      <c r="Q1208" s="34">
        <f>IF($J1208=1,LN(R1209/R1208),"")</f>
        <v/>
      </c>
      <c r="R1208" s="32" t="n">
        <v>1.6625</v>
      </c>
      <c r="S1208" s="35" t="n">
        <v>12.684</v>
      </c>
      <c r="T1208" s="18" t="n"/>
      <c r="U1208" s="18" t="n">
        <v>66902</v>
      </c>
      <c r="V1208" s="18" t="n"/>
      <c r="W1208" s="18" t="n"/>
      <c r="X1208" s="35" t="n">
        <v>12.684</v>
      </c>
      <c r="Y1208" s="35" t="n"/>
    </row>
    <row r="1209">
      <c r="A1209" s="25" t="n">
        <v>40602</v>
      </c>
      <c r="B1209" s="18" t="n">
        <v>67383</v>
      </c>
      <c r="C1209" s="31" t="n"/>
      <c r="D1209" s="32" t="n"/>
      <c r="E1209" s="33" t="n">
        <v>0.3003</v>
      </c>
      <c r="F1209" t="inlineStr">
        <is>
          <t>Up</t>
        </is>
      </c>
      <c r="G1209" t="inlineStr">
        <is>
          <t>Up</t>
        </is>
      </c>
      <c r="H1209" t="inlineStr">
        <is>
          <t>EU_JU</t>
        </is>
      </c>
      <c r="I1209" t="inlineStr">
        <is>
          <t>2011-02</t>
        </is>
      </c>
      <c r="J1209" t="n">
        <v>1</v>
      </c>
      <c r="K1209" t="n">
        <v>1</v>
      </c>
      <c r="L1209" s="34">
        <f>IF($J1209=1,LN(B1210/B1209),"")</f>
        <v/>
      </c>
      <c r="M1209" s="34">
        <f>IF($K1209=1,INDEX(Mensal!$D$2:$D$245,MATCH($I1209,Mensal!$A$2:$A$245,0)),"")</f>
        <v/>
      </c>
      <c r="N1209" s="34">
        <f>IF($K1209=1,L1209-M1209,"")</f>
        <v/>
      </c>
      <c r="O1209" s="34" t="n">
        <v>0.00041957</v>
      </c>
      <c r="P1209" s="34">
        <f>IF($J1209=1,LN(1+O1209),"")</f>
        <v/>
      </c>
      <c r="Q1209" s="34">
        <f>IF($J1209=1,LN(R1210/R1209),"")</f>
        <v/>
      </c>
      <c r="R1209" s="32" t="n">
        <v>1.6612</v>
      </c>
      <c r="S1209" s="35" t="n">
        <v>12.616</v>
      </c>
      <c r="T1209" s="18" t="n"/>
      <c r="U1209" s="18" t="n">
        <v>67383</v>
      </c>
      <c r="V1209" s="18" t="n"/>
      <c r="W1209" s="18" t="n"/>
      <c r="X1209" s="35" t="n">
        <v>12.616</v>
      </c>
      <c r="Y1209" s="35" t="n"/>
    </row>
    <row r="1210">
      <c r="A1210" s="25" t="n">
        <v>40603</v>
      </c>
      <c r="B1210" s="18" t="n">
        <v>66242</v>
      </c>
      <c r="C1210" s="31" t="n"/>
      <c r="D1210" s="32" t="n"/>
      <c r="E1210" s="33" t="n">
        <v>0.2996</v>
      </c>
      <c r="F1210" t="inlineStr">
        <is>
          <t>Up</t>
        </is>
      </c>
      <c r="G1210" t="inlineStr">
        <is>
          <t>Up</t>
        </is>
      </c>
      <c r="H1210" t="inlineStr">
        <is>
          <t>EU_JU</t>
        </is>
      </c>
      <c r="I1210" t="inlineStr">
        <is>
          <t>2011-03</t>
        </is>
      </c>
      <c r="J1210" t="n">
        <v>1</v>
      </c>
      <c r="K1210" t="n">
        <v>1</v>
      </c>
      <c r="L1210" s="34">
        <f>IF($J1210=1,LN(B1211/B1210),"")</f>
        <v/>
      </c>
      <c r="M1210" s="34">
        <f>IF($K1210=1,INDEX(Mensal!$D$2:$D$245,MATCH($I1210,Mensal!$A$2:$A$245,0)),"")</f>
        <v/>
      </c>
      <c r="N1210" s="34">
        <f>IF($K1210=1,L1210-M1210,"")</f>
        <v/>
      </c>
      <c r="O1210" s="34" t="n">
        <v>0.00041993</v>
      </c>
      <c r="P1210" s="34">
        <f>IF($J1210=1,LN(1+O1210),"")</f>
        <v/>
      </c>
      <c r="Q1210" s="34">
        <f>IF($J1210=1,LN(R1211/R1210),"")</f>
        <v/>
      </c>
      <c r="R1210" s="32" t="n">
        <v>1.6627</v>
      </c>
      <c r="S1210" s="35" t="n">
        <v>12.578</v>
      </c>
      <c r="T1210" s="18" t="n"/>
      <c r="U1210" s="18" t="n">
        <v>66242</v>
      </c>
      <c r="V1210" s="18" t="n"/>
      <c r="W1210" s="18" t="n"/>
      <c r="X1210" s="35" t="n">
        <v>12.578</v>
      </c>
      <c r="Y1210" s="35" t="n"/>
    </row>
    <row r="1211">
      <c r="A1211" s="25" t="n">
        <v>40604</v>
      </c>
      <c r="B1211" s="18" t="n">
        <v>67281</v>
      </c>
      <c r="C1211" s="31" t="n"/>
      <c r="D1211" s="32" t="n"/>
      <c r="E1211" s="33" t="n">
        <v>0.2981</v>
      </c>
      <c r="F1211" t="inlineStr">
        <is>
          <t>Up</t>
        </is>
      </c>
      <c r="G1211" t="inlineStr">
        <is>
          <t>Up</t>
        </is>
      </c>
      <c r="H1211" t="inlineStr">
        <is>
          <t>EU_JU</t>
        </is>
      </c>
      <c r="I1211" t="inlineStr">
        <is>
          <t>2011-03</t>
        </is>
      </c>
      <c r="J1211" t="n">
        <v>1</v>
      </c>
      <c r="K1211" t="n">
        <v>1</v>
      </c>
      <c r="L1211" s="34">
        <f>IF($J1211=1,LN(B1212/B1211),"")</f>
        <v/>
      </c>
      <c r="M1211" s="34">
        <f>IF($K1211=1,INDEX(Mensal!$D$2:$D$245,MATCH($I1211,Mensal!$A$2:$A$245,0)),"")</f>
        <v/>
      </c>
      <c r="N1211" s="34">
        <f>IF($K1211=1,L1211-M1211,"")</f>
        <v/>
      </c>
      <c r="O1211" s="34" t="n">
        <v>0.00041993</v>
      </c>
      <c r="P1211" s="34">
        <f>IF($J1211=1,LN(1+O1211),"")</f>
        <v/>
      </c>
      <c r="Q1211" s="34">
        <f>IF($J1211=1,LN(R1212/R1211),"")</f>
        <v/>
      </c>
      <c r="R1211" s="32" t="n">
        <v>1.661</v>
      </c>
      <c r="S1211" s="35" t="n">
        <v>12.616</v>
      </c>
      <c r="T1211" s="18" t="n"/>
      <c r="U1211" s="18" t="n">
        <v>67281</v>
      </c>
      <c r="V1211" s="18" t="n"/>
      <c r="W1211" s="18" t="n"/>
      <c r="X1211" s="35" t="n">
        <v>12.616</v>
      </c>
      <c r="Y1211" s="35" t="n"/>
    </row>
    <row r="1212">
      <c r="A1212" s="25" t="n">
        <v>40605</v>
      </c>
      <c r="B1212" s="18" t="n">
        <v>68145</v>
      </c>
      <c r="C1212" s="31" t="n"/>
      <c r="D1212" s="32" t="n"/>
      <c r="E1212" s="33" t="n">
        <v>0.3037</v>
      </c>
      <c r="F1212" t="inlineStr">
        <is>
          <t>Up</t>
        </is>
      </c>
      <c r="G1212" t="inlineStr">
        <is>
          <t>Up</t>
        </is>
      </c>
      <c r="H1212" t="inlineStr">
        <is>
          <t>EU_JU</t>
        </is>
      </c>
      <c r="I1212" t="inlineStr">
        <is>
          <t>2011-03</t>
        </is>
      </c>
      <c r="J1212" t="n">
        <v>1</v>
      </c>
      <c r="K1212" t="n">
        <v>1</v>
      </c>
      <c r="L1212" s="34">
        <f>IF($J1212=1,LN(B1213/B1212),"")</f>
        <v/>
      </c>
      <c r="M1212" s="34">
        <f>IF($K1212=1,INDEX(Mensal!$D$2:$D$245,MATCH($I1212,Mensal!$A$2:$A$245,0)),"")</f>
        <v/>
      </c>
      <c r="N1212" s="34">
        <f>IF($K1212=1,L1212-M1212,"")</f>
        <v/>
      </c>
      <c r="O1212" s="34" t="n">
        <v>0.00043704</v>
      </c>
      <c r="P1212" s="34">
        <f>IF($J1212=1,LN(1+O1212),"")</f>
        <v/>
      </c>
      <c r="Q1212" s="34">
        <f>IF($J1212=1,LN(R1213/R1212),"")</f>
        <v/>
      </c>
      <c r="R1212" s="32" t="n">
        <v>1.6545</v>
      </c>
      <c r="S1212" s="35" t="n">
        <v>12.643</v>
      </c>
      <c r="T1212" s="18" t="n"/>
      <c r="U1212" s="18" t="n">
        <v>68145</v>
      </c>
      <c r="V1212" s="18" t="n"/>
      <c r="W1212" s="18" t="n"/>
      <c r="X1212" s="35" t="n">
        <v>12.643</v>
      </c>
      <c r="Y1212" s="35" t="n"/>
    </row>
    <row r="1213">
      <c r="A1213" s="25" t="n">
        <v>40606</v>
      </c>
      <c r="B1213" s="18" t="n">
        <v>68012</v>
      </c>
      <c r="C1213" s="31" t="n"/>
      <c r="D1213" s="32" t="n"/>
      <c r="E1213" s="33" t="n">
        <v>0.3096</v>
      </c>
      <c r="F1213" t="inlineStr">
        <is>
          <t>Up</t>
        </is>
      </c>
      <c r="G1213" t="inlineStr">
        <is>
          <t>Up</t>
        </is>
      </c>
      <c r="H1213" t="inlineStr">
        <is>
          <t>EU_JU</t>
        </is>
      </c>
      <c r="I1213" t="inlineStr">
        <is>
          <t>2011-03</t>
        </is>
      </c>
      <c r="J1213" t="n">
        <v>1</v>
      </c>
      <c r="K1213" t="n">
        <v>1</v>
      </c>
      <c r="L1213" s="34">
        <f>IF($J1213=1,LN(B1214/B1213),"")</f>
        <v/>
      </c>
      <c r="M1213" s="34">
        <f>IF($K1213=1,INDEX(Mensal!$D$2:$D$245,MATCH($I1213,Mensal!$A$2:$A$245,0)),"")</f>
        <v/>
      </c>
      <c r="N1213" s="34">
        <f>IF($K1213=1,L1213-M1213,"")</f>
        <v/>
      </c>
      <c r="O1213" s="34" t="n">
        <v>0.00043704</v>
      </c>
      <c r="P1213" s="34">
        <f>IF($J1213=1,LN(1+O1213),"")</f>
        <v/>
      </c>
      <c r="Q1213" s="34">
        <f>IF($J1213=1,LN(R1214/R1213),"")</f>
        <v/>
      </c>
      <c r="R1213" s="32" t="n">
        <v>1.6462</v>
      </c>
      <c r="S1213" s="35" t="n">
        <v>12.656</v>
      </c>
      <c r="T1213" s="18" t="n"/>
      <c r="U1213" s="18" t="n">
        <v>68012</v>
      </c>
      <c r="V1213" s="18" t="n"/>
      <c r="W1213" s="18" t="n"/>
      <c r="X1213" s="35" t="n">
        <v>12.656</v>
      </c>
      <c r="Y1213" s="35" t="n"/>
    </row>
    <row r="1214">
      <c r="A1214" s="25" t="n">
        <v>40611</v>
      </c>
      <c r="B1214" s="18" t="n">
        <v>67263</v>
      </c>
      <c r="C1214" s="31" t="n"/>
      <c r="D1214" s="32" t="n"/>
      <c r="E1214" s="33" t="n">
        <v>0.3168</v>
      </c>
      <c r="F1214" t="inlineStr">
        <is>
          <t>Up</t>
        </is>
      </c>
      <c r="G1214" t="inlineStr">
        <is>
          <t>Up</t>
        </is>
      </c>
      <c r="H1214" t="inlineStr">
        <is>
          <t>EU_JU</t>
        </is>
      </c>
      <c r="I1214" t="inlineStr">
        <is>
          <t>2011-03</t>
        </is>
      </c>
      <c r="J1214" t="n">
        <v>1</v>
      </c>
      <c r="K1214" t="n">
        <v>1</v>
      </c>
      <c r="L1214" s="34">
        <f>IF($J1214=1,LN(B1215/B1214),"")</f>
        <v/>
      </c>
      <c r="M1214" s="34">
        <f>IF($K1214=1,INDEX(Mensal!$D$2:$D$245,MATCH($I1214,Mensal!$A$2:$A$245,0)),"")</f>
        <v/>
      </c>
      <c r="N1214" s="34">
        <f>IF($K1214=1,L1214-M1214,"")</f>
        <v/>
      </c>
      <c r="O1214" s="34" t="n">
        <v>0.00043704</v>
      </c>
      <c r="P1214" s="34">
        <f>IF($J1214=1,LN(1+O1214),"")</f>
        <v/>
      </c>
      <c r="Q1214" s="34">
        <f>IF($J1214=1,LN(R1215/R1214),"")</f>
        <v/>
      </c>
      <c r="R1214" s="32" t="n">
        <v>1.6559</v>
      </c>
      <c r="S1214" s="35" t="n">
        <v>12.653</v>
      </c>
      <c r="T1214" s="18" t="n"/>
      <c r="U1214" s="18" t="n">
        <v>67263</v>
      </c>
      <c r="V1214" s="18" t="n"/>
      <c r="W1214" s="18" t="n"/>
      <c r="X1214" s="35" t="n">
        <v>12.653</v>
      </c>
      <c r="Y1214" s="35" t="n"/>
    </row>
    <row r="1215">
      <c r="A1215" s="25" t="n">
        <v>40612</v>
      </c>
      <c r="B1215" s="18" t="n">
        <v>66040</v>
      </c>
      <c r="C1215" s="31" t="n"/>
      <c r="D1215" s="32" t="n"/>
      <c r="E1215" s="33" t="n">
        <v>0.3274</v>
      </c>
      <c r="F1215" t="inlineStr">
        <is>
          <t>Up</t>
        </is>
      </c>
      <c r="G1215" t="inlineStr">
        <is>
          <t>Up</t>
        </is>
      </c>
      <c r="H1215" t="inlineStr">
        <is>
          <t>EU_JU</t>
        </is>
      </c>
      <c r="I1215" t="inlineStr">
        <is>
          <t>2011-03</t>
        </is>
      </c>
      <c r="J1215" t="n">
        <v>1</v>
      </c>
      <c r="K1215" t="n">
        <v>1</v>
      </c>
      <c r="L1215" s="34">
        <f>IF($J1215=1,LN(B1216/B1215),"")</f>
        <v/>
      </c>
      <c r="M1215" s="34">
        <f>IF($K1215=1,INDEX(Mensal!$D$2:$D$245,MATCH($I1215,Mensal!$A$2:$A$245,0)),"")</f>
        <v/>
      </c>
      <c r="N1215" s="34">
        <f>IF($K1215=1,L1215-M1215,"")</f>
        <v/>
      </c>
      <c r="O1215" s="34" t="n">
        <v>0.00043704</v>
      </c>
      <c r="P1215" s="34">
        <f>IF($J1215=1,LN(1+O1215),"")</f>
        <v/>
      </c>
      <c r="Q1215" s="34">
        <f>IF($J1215=1,LN(R1216/R1215),"")</f>
        <v/>
      </c>
      <c r="R1215" s="32" t="n">
        <v>1.6612</v>
      </c>
      <c r="S1215" s="35" t="n">
        <v>12.453</v>
      </c>
      <c r="T1215" s="18" t="n"/>
      <c r="U1215" s="18" t="n">
        <v>66040</v>
      </c>
      <c r="V1215" s="18" t="n"/>
      <c r="W1215" s="18" t="n"/>
      <c r="X1215" s="35" t="n">
        <v>12.453</v>
      </c>
      <c r="Y1215" s="35" t="n"/>
    </row>
    <row r="1216">
      <c r="A1216" s="25" t="n">
        <v>40613</v>
      </c>
      <c r="B1216" s="18" t="n">
        <v>66684</v>
      </c>
      <c r="C1216" s="31" t="n"/>
      <c r="D1216" s="32" t="n"/>
      <c r="E1216" s="33" t="n">
        <v>0.338</v>
      </c>
      <c r="F1216" t="inlineStr">
        <is>
          <t>Up</t>
        </is>
      </c>
      <c r="G1216" t="inlineStr">
        <is>
          <t>Up</t>
        </is>
      </c>
      <c r="H1216" t="inlineStr">
        <is>
          <t>EU_JU</t>
        </is>
      </c>
      <c r="I1216" t="inlineStr">
        <is>
          <t>2011-03</t>
        </is>
      </c>
      <c r="J1216" t="n">
        <v>1</v>
      </c>
      <c r="K1216" t="n">
        <v>1</v>
      </c>
      <c r="L1216" s="34">
        <f>IF($J1216=1,LN(B1217/B1216),"")</f>
        <v/>
      </c>
      <c r="M1216" s="34">
        <f>IF($K1216=1,INDEX(Mensal!$D$2:$D$245,MATCH($I1216,Mensal!$A$2:$A$245,0)),"")</f>
        <v/>
      </c>
      <c r="N1216" s="34">
        <f>IF($K1216=1,L1216-M1216,"")</f>
        <v/>
      </c>
      <c r="O1216" s="34" t="n">
        <v>0.00043704</v>
      </c>
      <c r="P1216" s="34">
        <f>IF($J1216=1,LN(1+O1216),"")</f>
        <v/>
      </c>
      <c r="Q1216" s="34">
        <f>IF($J1216=1,LN(R1217/R1216),"")</f>
        <v/>
      </c>
      <c r="R1216" s="32" t="n">
        <v>1.6649</v>
      </c>
      <c r="S1216" s="35" t="n">
        <v>12.446</v>
      </c>
      <c r="T1216" s="18" t="n"/>
      <c r="U1216" s="18" t="n">
        <v>66684</v>
      </c>
      <c r="V1216" s="18" t="n"/>
      <c r="W1216" s="18" t="n"/>
      <c r="X1216" s="35" t="n">
        <v>12.446</v>
      </c>
      <c r="Y1216" s="35" t="n"/>
    </row>
    <row r="1217">
      <c r="A1217" s="25" t="n">
        <v>40616</v>
      </c>
      <c r="B1217" s="18" t="n">
        <v>67169</v>
      </c>
      <c r="C1217" s="31" t="n"/>
      <c r="D1217" s="32" t="n"/>
      <c r="E1217" s="33" t="n">
        <v>0.3467</v>
      </c>
      <c r="F1217" t="inlineStr">
        <is>
          <t>Up</t>
        </is>
      </c>
      <c r="G1217" t="inlineStr">
        <is>
          <t>Up</t>
        </is>
      </c>
      <c r="H1217" t="inlineStr">
        <is>
          <t>EU_JU</t>
        </is>
      </c>
      <c r="I1217" t="inlineStr">
        <is>
          <t>2011-03</t>
        </is>
      </c>
      <c r="J1217" t="n">
        <v>1</v>
      </c>
      <c r="K1217" t="n">
        <v>1</v>
      </c>
      <c r="L1217" s="34">
        <f>IF($J1217=1,LN(B1218/B1217),"")</f>
        <v/>
      </c>
      <c r="M1217" s="34">
        <f>IF($K1217=1,INDEX(Mensal!$D$2:$D$245,MATCH($I1217,Mensal!$A$2:$A$245,0)),"")</f>
        <v/>
      </c>
      <c r="N1217" s="34">
        <f>IF($K1217=1,L1217-M1217,"")</f>
        <v/>
      </c>
      <c r="O1217" s="34" t="n">
        <v>0.00043704</v>
      </c>
      <c r="P1217" s="34">
        <f>IF($J1217=1,LN(1+O1217),"")</f>
        <v/>
      </c>
      <c r="Q1217" s="34">
        <f>IF($J1217=1,LN(R1218/R1217),"")</f>
        <v/>
      </c>
      <c r="R1217" s="32" t="n">
        <v>1.6631</v>
      </c>
      <c r="S1217" s="35" t="n">
        <v>12.431</v>
      </c>
      <c r="T1217" s="18" t="n"/>
      <c r="U1217" s="18" t="n">
        <v>67169</v>
      </c>
      <c r="V1217" s="18" t="n"/>
      <c r="W1217" s="18" t="n"/>
      <c r="X1217" s="35" t="n">
        <v>12.431</v>
      </c>
      <c r="Y1217" s="35" t="n"/>
    </row>
    <row r="1218">
      <c r="A1218" s="25" t="n">
        <v>40617</v>
      </c>
      <c r="B1218" s="18" t="n">
        <v>67005</v>
      </c>
      <c r="C1218" s="31" t="n"/>
      <c r="D1218" s="32" t="n"/>
      <c r="E1218" s="33" t="n">
        <v>0.3587</v>
      </c>
      <c r="F1218" t="inlineStr">
        <is>
          <t>Up</t>
        </is>
      </c>
      <c r="G1218" t="inlineStr">
        <is>
          <t>Up</t>
        </is>
      </c>
      <c r="H1218" t="inlineStr">
        <is>
          <t>EU_JU</t>
        </is>
      </c>
      <c r="I1218" t="inlineStr">
        <is>
          <t>2011-03</t>
        </is>
      </c>
      <c r="J1218" t="n">
        <v>1</v>
      </c>
      <c r="K1218" t="n">
        <v>1</v>
      </c>
      <c r="L1218" s="34">
        <f>IF($J1218=1,LN(B1219/B1218),"")</f>
        <v/>
      </c>
      <c r="M1218" s="34">
        <f>IF($K1218=1,INDEX(Mensal!$D$2:$D$245,MATCH($I1218,Mensal!$A$2:$A$245,0)),"")</f>
        <v/>
      </c>
      <c r="N1218" s="34">
        <f>IF($K1218=1,L1218-M1218,"")</f>
        <v/>
      </c>
      <c r="O1218" s="34" t="n">
        <v>0.00043739</v>
      </c>
      <c r="P1218" s="34">
        <f>IF($J1218=1,LN(1+O1218),"")</f>
        <v/>
      </c>
      <c r="Q1218" s="34">
        <f>IF($J1218=1,LN(R1219/R1218),"")</f>
        <v/>
      </c>
      <c r="R1218" s="32" t="n">
        <v>1.6692</v>
      </c>
      <c r="S1218" s="35" t="n">
        <v>12.437</v>
      </c>
      <c r="T1218" s="18" t="n"/>
      <c r="U1218" s="18" t="n">
        <v>67005</v>
      </c>
      <c r="V1218" s="18" t="n"/>
      <c r="W1218" s="18" t="n"/>
      <c r="X1218" s="35" t="n">
        <v>12.437</v>
      </c>
      <c r="Y1218" s="35" t="n"/>
    </row>
    <row r="1219">
      <c r="A1219" s="25" t="n">
        <v>40618</v>
      </c>
      <c r="B1219" s="18" t="n">
        <v>66002</v>
      </c>
      <c r="C1219" s="31" t="n"/>
      <c r="D1219" s="32" t="n"/>
      <c r="E1219" s="33" t="n">
        <v>0.3682</v>
      </c>
      <c r="F1219" t="inlineStr">
        <is>
          <t>Up</t>
        </is>
      </c>
      <c r="G1219" t="inlineStr">
        <is>
          <t>Up</t>
        </is>
      </c>
      <c r="H1219" t="inlineStr">
        <is>
          <t>EU_JU</t>
        </is>
      </c>
      <c r="I1219" t="inlineStr">
        <is>
          <t>2011-03</t>
        </is>
      </c>
      <c r="J1219" t="n">
        <v>1</v>
      </c>
      <c r="K1219" t="n">
        <v>1</v>
      </c>
      <c r="L1219" s="34">
        <f>IF($J1219=1,LN(B1220/B1219),"")</f>
        <v/>
      </c>
      <c r="M1219" s="34">
        <f>IF($K1219=1,INDEX(Mensal!$D$2:$D$245,MATCH($I1219,Mensal!$A$2:$A$245,0)),"")</f>
        <v/>
      </c>
      <c r="N1219" s="34">
        <f>IF($K1219=1,L1219-M1219,"")</f>
        <v/>
      </c>
      <c r="O1219" s="34" t="n">
        <v>0.00043739</v>
      </c>
      <c r="P1219" s="34">
        <f>IF($J1219=1,LN(1+O1219),"")</f>
        <v/>
      </c>
      <c r="Q1219" s="34">
        <f>IF($J1219=1,LN(R1220/R1219),"")</f>
        <v/>
      </c>
      <c r="R1219" s="32" t="n">
        <v>1.6674</v>
      </c>
      <c r="S1219" s="35" t="n">
        <v>12.423</v>
      </c>
      <c r="T1219" s="18" t="n"/>
      <c r="U1219" s="18" t="n">
        <v>66002</v>
      </c>
      <c r="V1219" s="18" t="n"/>
      <c r="W1219" s="18" t="n"/>
      <c r="X1219" s="35" t="n">
        <v>12.423</v>
      </c>
      <c r="Y1219" s="35" t="n"/>
    </row>
    <row r="1220">
      <c r="A1220" s="25" t="n">
        <v>40619</v>
      </c>
      <c r="B1220" s="18" t="n">
        <v>66215</v>
      </c>
      <c r="C1220" s="31" t="n"/>
      <c r="D1220" s="32" t="n"/>
      <c r="E1220" s="33" t="n">
        <v>0.3727</v>
      </c>
      <c r="F1220" t="inlineStr">
        <is>
          <t>Up</t>
        </is>
      </c>
      <c r="G1220" t="inlineStr">
        <is>
          <t>Up</t>
        </is>
      </c>
      <c r="H1220" t="inlineStr">
        <is>
          <t>EU_JU</t>
        </is>
      </c>
      <c r="I1220" t="inlineStr">
        <is>
          <t>2011-03</t>
        </is>
      </c>
      <c r="J1220" t="n">
        <v>1</v>
      </c>
      <c r="K1220" t="n">
        <v>1</v>
      </c>
      <c r="L1220" s="34">
        <f>IF($J1220=1,LN(B1221/B1220),"")</f>
        <v/>
      </c>
      <c r="M1220" s="34">
        <f>IF($K1220=1,INDEX(Mensal!$D$2:$D$245,MATCH($I1220,Mensal!$A$2:$A$245,0)),"")</f>
        <v/>
      </c>
      <c r="N1220" s="34">
        <f>IF($K1220=1,L1220-M1220,"")</f>
        <v/>
      </c>
      <c r="O1220" s="34" t="n">
        <v>0.00043704</v>
      </c>
      <c r="P1220" s="34">
        <f>IF($J1220=1,LN(1+O1220),"")</f>
        <v/>
      </c>
      <c r="Q1220" s="34">
        <f>IF($J1220=1,LN(R1221/R1220),"")</f>
        <v/>
      </c>
      <c r="R1220" s="32" t="n">
        <v>1.6757</v>
      </c>
      <c r="S1220" s="35" t="n">
        <v>12.449</v>
      </c>
      <c r="T1220" s="18" t="n"/>
      <c r="U1220" s="18" t="n">
        <v>66215</v>
      </c>
      <c r="V1220" s="18" t="n"/>
      <c r="W1220" s="18" t="n"/>
      <c r="X1220" s="35" t="n">
        <v>12.449</v>
      </c>
      <c r="Y1220" s="35" t="n"/>
    </row>
    <row r="1221">
      <c r="A1221" s="25" t="n">
        <v>40620</v>
      </c>
      <c r="B1221" s="18" t="n">
        <v>66879</v>
      </c>
      <c r="C1221" s="31" t="n"/>
      <c r="D1221" s="32" t="n"/>
      <c r="E1221" s="33" t="n">
        <v>0.3807</v>
      </c>
      <c r="F1221" t="inlineStr">
        <is>
          <t>Up</t>
        </is>
      </c>
      <c r="G1221" t="inlineStr">
        <is>
          <t>Up</t>
        </is>
      </c>
      <c r="H1221" t="inlineStr">
        <is>
          <t>EU_JU</t>
        </is>
      </c>
      <c r="I1221" t="inlineStr">
        <is>
          <t>2011-03</t>
        </is>
      </c>
      <c r="J1221" t="n">
        <v>1</v>
      </c>
      <c r="K1221" t="n">
        <v>1</v>
      </c>
      <c r="L1221" s="34">
        <f>IF($J1221=1,LN(B1222/B1221),"")</f>
        <v/>
      </c>
      <c r="M1221" s="34">
        <f>IF($K1221=1,INDEX(Mensal!$D$2:$D$245,MATCH($I1221,Mensal!$A$2:$A$245,0)),"")</f>
        <v/>
      </c>
      <c r="N1221" s="34">
        <f>IF($K1221=1,L1221-M1221,"")</f>
        <v/>
      </c>
      <c r="O1221" s="34" t="n">
        <v>0.00043739</v>
      </c>
      <c r="P1221" s="34">
        <f>IF($J1221=1,LN(1+O1221),"")</f>
        <v/>
      </c>
      <c r="Q1221" s="34">
        <f>IF($J1221=1,LN(R1222/R1221),"")</f>
        <v/>
      </c>
      <c r="R1221" s="32" t="n">
        <v>1.672</v>
      </c>
      <c r="S1221" s="35" t="n">
        <v>12.443</v>
      </c>
      <c r="T1221" s="18" t="n"/>
      <c r="U1221" s="18" t="n">
        <v>66879</v>
      </c>
      <c r="V1221" s="18" t="n"/>
      <c r="W1221" s="18" t="n"/>
      <c r="X1221" s="35" t="n">
        <v>12.443</v>
      </c>
      <c r="Y1221" s="35" t="n"/>
    </row>
    <row r="1222">
      <c r="A1222" s="25" t="n">
        <v>40623</v>
      </c>
      <c r="B1222" s="18" t="n">
        <v>66689</v>
      </c>
      <c r="C1222" s="31" t="n"/>
      <c r="D1222" s="32" t="n"/>
      <c r="E1222" s="33" t="n">
        <v>0.3878</v>
      </c>
      <c r="F1222" t="inlineStr">
        <is>
          <t>Up</t>
        </is>
      </c>
      <c r="G1222" t="inlineStr">
        <is>
          <t>Up</t>
        </is>
      </c>
      <c r="H1222" t="inlineStr">
        <is>
          <t>EU_JU</t>
        </is>
      </c>
      <c r="I1222" t="inlineStr">
        <is>
          <t>2011-03</t>
        </is>
      </c>
      <c r="J1222" t="n">
        <v>1</v>
      </c>
      <c r="K1222" t="n">
        <v>1</v>
      </c>
      <c r="L1222" s="34">
        <f>IF($J1222=1,LN(B1223/B1222),"")</f>
        <v/>
      </c>
      <c r="M1222" s="34">
        <f>IF($K1222=1,INDEX(Mensal!$D$2:$D$245,MATCH($I1222,Mensal!$A$2:$A$245,0)),"")</f>
        <v/>
      </c>
      <c r="N1222" s="34">
        <f>IF($K1222=1,L1222-M1222,"")</f>
        <v/>
      </c>
      <c r="O1222" s="34" t="n">
        <v>0.00043704</v>
      </c>
      <c r="P1222" s="34">
        <f>IF($J1222=1,LN(1+O1222),"")</f>
        <v/>
      </c>
      <c r="Q1222" s="34">
        <f>IF($J1222=1,LN(R1223/R1222),"")</f>
        <v/>
      </c>
      <c r="R1222" s="32" t="n">
        <v>1.6652</v>
      </c>
      <c r="S1222" s="35" t="n">
        <v>12.504</v>
      </c>
      <c r="T1222" s="18" t="n"/>
      <c r="U1222" s="18" t="n">
        <v>66689</v>
      </c>
      <c r="V1222" s="18" t="n"/>
      <c r="W1222" s="18" t="n"/>
      <c r="X1222" s="35" t="n">
        <v>12.504</v>
      </c>
      <c r="Y1222" s="35" t="n"/>
    </row>
    <row r="1223">
      <c r="A1223" s="25" t="n">
        <v>40624</v>
      </c>
      <c r="B1223" s="18" t="n">
        <v>67578</v>
      </c>
      <c r="C1223" s="31" t="n"/>
      <c r="D1223" s="32" t="n"/>
      <c r="E1223" s="33" t="n">
        <v>0.3953</v>
      </c>
      <c r="F1223" t="inlineStr">
        <is>
          <t>Up</t>
        </is>
      </c>
      <c r="G1223" t="inlineStr">
        <is>
          <t>Up</t>
        </is>
      </c>
      <c r="H1223" t="inlineStr">
        <is>
          <t>EU_JU</t>
        </is>
      </c>
      <c r="I1223" t="inlineStr">
        <is>
          <t>2011-03</t>
        </is>
      </c>
      <c r="J1223" t="n">
        <v>1</v>
      </c>
      <c r="K1223" t="n">
        <v>1</v>
      </c>
      <c r="L1223" s="34">
        <f>IF($J1223=1,LN(B1224/B1223),"")</f>
        <v/>
      </c>
      <c r="M1223" s="34">
        <f>IF($K1223=1,INDEX(Mensal!$D$2:$D$245,MATCH($I1223,Mensal!$A$2:$A$245,0)),"")</f>
        <v/>
      </c>
      <c r="N1223" s="34">
        <f>IF($K1223=1,L1223-M1223,"")</f>
        <v/>
      </c>
      <c r="O1223" s="34" t="n">
        <v>0.00043704</v>
      </c>
      <c r="P1223" s="34">
        <f>IF($J1223=1,LN(1+O1223),"")</f>
        <v/>
      </c>
      <c r="Q1223" s="34">
        <f>IF($J1223=1,LN(R1224/R1223),"")</f>
        <v/>
      </c>
      <c r="R1223" s="32" t="n">
        <v>1.6638</v>
      </c>
      <c r="S1223" s="35" t="n">
        <v>12.487</v>
      </c>
      <c r="T1223" s="18" t="n"/>
      <c r="U1223" s="18" t="n">
        <v>67578</v>
      </c>
      <c r="V1223" s="18" t="n"/>
      <c r="W1223" s="18" t="n"/>
      <c r="X1223" s="35" t="n">
        <v>12.487</v>
      </c>
      <c r="Y1223" s="35" t="n"/>
    </row>
    <row r="1224">
      <c r="A1224" s="25" t="n">
        <v>40625</v>
      </c>
      <c r="B1224" s="18" t="n">
        <v>67795</v>
      </c>
      <c r="C1224" s="31" t="n"/>
      <c r="D1224" s="32" t="n"/>
      <c r="E1224" s="33" t="n">
        <v>0.4033</v>
      </c>
      <c r="F1224" t="inlineStr">
        <is>
          <t>Up</t>
        </is>
      </c>
      <c r="G1224" t="inlineStr">
        <is>
          <t>Up</t>
        </is>
      </c>
      <c r="H1224" t="inlineStr">
        <is>
          <t>EU_JU</t>
        </is>
      </c>
      <c r="I1224" t="inlineStr">
        <is>
          <t>2011-03</t>
        </is>
      </c>
      <c r="J1224" t="n">
        <v>1</v>
      </c>
      <c r="K1224" t="n">
        <v>1</v>
      </c>
      <c r="L1224" s="34">
        <f>IF($J1224=1,LN(B1225/B1224),"")</f>
        <v/>
      </c>
      <c r="M1224" s="34">
        <f>IF($K1224=1,INDEX(Mensal!$D$2:$D$245,MATCH($I1224,Mensal!$A$2:$A$245,0)),"")</f>
        <v/>
      </c>
      <c r="N1224" s="34">
        <f>IF($K1224=1,L1224-M1224,"")</f>
        <v/>
      </c>
      <c r="O1224" s="34" t="n">
        <v>0.00043739</v>
      </c>
      <c r="P1224" s="34">
        <f>IF($J1224=1,LN(1+O1224),"")</f>
        <v/>
      </c>
      <c r="Q1224" s="34">
        <f>IF($J1224=1,LN(R1225/R1224),"")</f>
        <v/>
      </c>
      <c r="R1224" s="32" t="n">
        <v>1.6602</v>
      </c>
      <c r="S1224" s="35" t="n">
        <v>12.401</v>
      </c>
      <c r="T1224" s="18" t="n"/>
      <c r="U1224" s="18" t="n">
        <v>67795</v>
      </c>
      <c r="V1224" s="18" t="n"/>
      <c r="W1224" s="18" t="n"/>
      <c r="X1224" s="35" t="n">
        <v>12.401</v>
      </c>
      <c r="Y1224" s="35" t="n"/>
    </row>
    <row r="1225">
      <c r="A1225" s="25" t="n">
        <v>40626</v>
      </c>
      <c r="B1225" s="18" t="n">
        <v>67532</v>
      </c>
      <c r="C1225" s="31" t="n"/>
      <c r="D1225" s="32" t="n"/>
      <c r="E1225" s="33" t="n">
        <v>0.4128</v>
      </c>
      <c r="F1225" t="inlineStr">
        <is>
          <t>Up</t>
        </is>
      </c>
      <c r="G1225" t="inlineStr">
        <is>
          <t>Up</t>
        </is>
      </c>
      <c r="H1225" t="inlineStr">
        <is>
          <t>EU_JU</t>
        </is>
      </c>
      <c r="I1225" t="inlineStr">
        <is>
          <t>2011-03</t>
        </is>
      </c>
      <c r="J1225" t="n">
        <v>1</v>
      </c>
      <c r="K1225" t="n">
        <v>1</v>
      </c>
      <c r="L1225" s="34">
        <f>IF($J1225=1,LN(B1226/B1225),"")</f>
        <v/>
      </c>
      <c r="M1225" s="34">
        <f>IF($K1225=1,INDEX(Mensal!$D$2:$D$245,MATCH($I1225,Mensal!$A$2:$A$245,0)),"")</f>
        <v/>
      </c>
      <c r="N1225" s="34">
        <f>IF($K1225=1,L1225-M1225,"")</f>
        <v/>
      </c>
      <c r="O1225" s="34" t="n">
        <v>0.00043739</v>
      </c>
      <c r="P1225" s="34">
        <f>IF($J1225=1,LN(1+O1225),"")</f>
        <v/>
      </c>
      <c r="Q1225" s="34">
        <f>IF($J1225=1,LN(R1226/R1225),"")</f>
        <v/>
      </c>
      <c r="R1225" s="32" t="n">
        <v>1.6593</v>
      </c>
      <c r="S1225" s="35" t="n">
        <v>12.359</v>
      </c>
      <c r="T1225" s="18" t="n"/>
      <c r="U1225" s="18" t="n">
        <v>67532</v>
      </c>
      <c r="V1225" s="18" t="n"/>
      <c r="W1225" s="18" t="n"/>
      <c r="X1225" s="35" t="n">
        <v>12.359</v>
      </c>
      <c r="Y1225" s="35" t="n"/>
    </row>
    <row r="1226">
      <c r="A1226" s="25" t="n">
        <v>40627</v>
      </c>
      <c r="B1226" s="18" t="n">
        <v>67765</v>
      </c>
      <c r="C1226" s="31" t="n"/>
      <c r="D1226" s="32" t="n"/>
      <c r="E1226" s="33" t="n">
        <v>0.4197</v>
      </c>
      <c r="F1226" t="inlineStr">
        <is>
          <t>Up</t>
        </is>
      </c>
      <c r="G1226" t="inlineStr">
        <is>
          <t>Up</t>
        </is>
      </c>
      <c r="H1226" t="inlineStr">
        <is>
          <t>EU_JU</t>
        </is>
      </c>
      <c r="I1226" t="inlineStr">
        <is>
          <t>2011-03</t>
        </is>
      </c>
      <c r="J1226" t="n">
        <v>1</v>
      </c>
      <c r="K1226" t="n">
        <v>1</v>
      </c>
      <c r="L1226" s="34">
        <f>IF($J1226=1,LN(B1227/B1226),"")</f>
        <v/>
      </c>
      <c r="M1226" s="34">
        <f>IF($K1226=1,INDEX(Mensal!$D$2:$D$245,MATCH($I1226,Mensal!$A$2:$A$245,0)),"")</f>
        <v/>
      </c>
      <c r="N1226" s="34">
        <f>IF($K1226=1,L1226-M1226,"")</f>
        <v/>
      </c>
      <c r="O1226" s="34" t="n">
        <v>0.00043739</v>
      </c>
      <c r="P1226" s="34">
        <f>IF($J1226=1,LN(1+O1226),"")</f>
        <v/>
      </c>
      <c r="Q1226" s="34">
        <f>IF($J1226=1,LN(R1227/R1226),"")</f>
        <v/>
      </c>
      <c r="R1226" s="32" t="n">
        <v>1.6581</v>
      </c>
      <c r="S1226" s="35" t="n">
        <v>12.389</v>
      </c>
      <c r="T1226" s="18" t="n"/>
      <c r="U1226" s="18" t="n">
        <v>67765</v>
      </c>
      <c r="V1226" s="18" t="n"/>
      <c r="W1226" s="18" t="n"/>
      <c r="X1226" s="35" t="n">
        <v>12.389</v>
      </c>
      <c r="Y1226" s="35" t="n"/>
    </row>
    <row r="1227">
      <c r="A1227" s="25" t="n">
        <v>40630</v>
      </c>
      <c r="B1227" s="18" t="n">
        <v>67192</v>
      </c>
      <c r="C1227" s="31" t="n"/>
      <c r="D1227" s="32" t="n"/>
      <c r="E1227" s="33" t="n">
        <v>0.4317</v>
      </c>
      <c r="F1227" t="inlineStr">
        <is>
          <t>Up</t>
        </is>
      </c>
      <c r="G1227" t="inlineStr">
        <is>
          <t>Up</t>
        </is>
      </c>
      <c r="H1227" t="inlineStr">
        <is>
          <t>EU_JU</t>
        </is>
      </c>
      <c r="I1227" t="inlineStr">
        <is>
          <t>2011-03</t>
        </is>
      </c>
      <c r="J1227" t="n">
        <v>1</v>
      </c>
      <c r="K1227" t="n">
        <v>1</v>
      </c>
      <c r="L1227" s="34">
        <f>IF($J1227=1,LN(B1228/B1227),"")</f>
        <v/>
      </c>
      <c r="M1227" s="34">
        <f>IF($K1227=1,INDEX(Mensal!$D$2:$D$245,MATCH($I1227,Mensal!$A$2:$A$245,0)),"")</f>
        <v/>
      </c>
      <c r="N1227" s="34">
        <f>IF($K1227=1,L1227-M1227,"")</f>
        <v/>
      </c>
      <c r="O1227" s="34" t="n">
        <v>0.00043775</v>
      </c>
      <c r="P1227" s="34">
        <f>IF($J1227=1,LN(1+O1227),"")</f>
        <v/>
      </c>
      <c r="Q1227" s="34">
        <f>IF($J1227=1,LN(R1228/R1227),"")</f>
        <v/>
      </c>
      <c r="R1227" s="32" t="n">
        <v>1.6614</v>
      </c>
      <c r="S1227" s="35" t="n">
        <v>12.355</v>
      </c>
      <c r="T1227" s="18" t="n"/>
      <c r="U1227" s="18" t="n">
        <v>67192</v>
      </c>
      <c r="V1227" s="18" t="n"/>
      <c r="W1227" s="18" t="n"/>
      <c r="X1227" s="35" t="n">
        <v>12.355</v>
      </c>
      <c r="Y1227" s="35" t="n"/>
    </row>
    <row r="1228">
      <c r="A1228" s="25" t="n">
        <v>40631</v>
      </c>
      <c r="B1228" s="18" t="n">
        <v>67418</v>
      </c>
      <c r="C1228" s="31" t="n"/>
      <c r="D1228" s="32" t="n"/>
      <c r="E1228" s="33" t="n">
        <v>0.4417</v>
      </c>
      <c r="F1228" t="inlineStr">
        <is>
          <t>Up</t>
        </is>
      </c>
      <c r="G1228" t="inlineStr">
        <is>
          <t>Up</t>
        </is>
      </c>
      <c r="H1228" t="inlineStr">
        <is>
          <t>EU_JU</t>
        </is>
      </c>
      <c r="I1228" t="inlineStr">
        <is>
          <t>2011-03</t>
        </is>
      </c>
      <c r="J1228" t="n">
        <v>1</v>
      </c>
      <c r="K1228" t="n">
        <v>1</v>
      </c>
      <c r="L1228" s="34">
        <f>IF($J1228=1,LN(B1229/B1228),"")</f>
        <v/>
      </c>
      <c r="M1228" s="34">
        <f>IF($K1228=1,INDEX(Mensal!$D$2:$D$245,MATCH($I1228,Mensal!$A$2:$A$245,0)),"")</f>
        <v/>
      </c>
      <c r="N1228" s="34">
        <f>IF($K1228=1,L1228-M1228,"")</f>
        <v/>
      </c>
      <c r="O1228" s="34" t="n">
        <v>0.00043775</v>
      </c>
      <c r="P1228" s="34">
        <f>IF($J1228=1,LN(1+O1228),"")</f>
        <v/>
      </c>
      <c r="Q1228" s="34">
        <f>IF($J1228=1,LN(R1229/R1228),"")</f>
        <v/>
      </c>
      <c r="R1228" s="32" t="n">
        <v>1.6546</v>
      </c>
      <c r="S1228" s="35" t="n">
        <v>12.416</v>
      </c>
      <c r="T1228" s="18" t="n"/>
      <c r="U1228" s="18" t="n">
        <v>67418</v>
      </c>
      <c r="V1228" s="18" t="n"/>
      <c r="W1228" s="18" t="n"/>
      <c r="X1228" s="35" t="n">
        <v>12.416</v>
      </c>
      <c r="Y1228" s="35" t="n"/>
    </row>
    <row r="1229">
      <c r="A1229" s="25" t="n">
        <v>40632</v>
      </c>
      <c r="B1229" s="18" t="n">
        <v>67997</v>
      </c>
      <c r="C1229" s="31" t="n"/>
      <c r="D1229" s="32" t="n"/>
      <c r="E1229" s="33" t="n">
        <v>0.458</v>
      </c>
      <c r="F1229" t="inlineStr">
        <is>
          <t>Up</t>
        </is>
      </c>
      <c r="G1229" t="inlineStr">
        <is>
          <t>Up</t>
        </is>
      </c>
      <c r="H1229" t="inlineStr">
        <is>
          <t>EU_JU</t>
        </is>
      </c>
      <c r="I1229" t="inlineStr">
        <is>
          <t>2011-03</t>
        </is>
      </c>
      <c r="J1229" t="n">
        <v>1</v>
      </c>
      <c r="K1229" t="n">
        <v>1</v>
      </c>
      <c r="L1229" s="34">
        <f>IF($J1229=1,LN(B1230/B1229),"")</f>
        <v/>
      </c>
      <c r="M1229" s="34">
        <f>IF($K1229=1,INDEX(Mensal!$D$2:$D$245,MATCH($I1229,Mensal!$A$2:$A$245,0)),"")</f>
        <v/>
      </c>
      <c r="N1229" s="34">
        <f>IF($K1229=1,L1229-M1229,"")</f>
        <v/>
      </c>
      <c r="O1229" s="34" t="n">
        <v>0.00043775</v>
      </c>
      <c r="P1229" s="34">
        <f>IF($J1229=1,LN(1+O1229),"")</f>
        <v/>
      </c>
      <c r="Q1229" s="34">
        <f>IF($J1229=1,LN(R1230/R1229),"")</f>
        <v/>
      </c>
      <c r="R1229" s="32" t="n">
        <v>1.636</v>
      </c>
      <c r="S1229" s="35" t="n">
        <v>12.308</v>
      </c>
      <c r="T1229" s="18" t="n"/>
      <c r="U1229" s="18" t="n">
        <v>67997</v>
      </c>
      <c r="V1229" s="18" t="n"/>
      <c r="W1229" s="18" t="n"/>
      <c r="X1229" s="35" t="n">
        <v>12.308</v>
      </c>
      <c r="Y1229" s="35" t="n"/>
    </row>
    <row r="1230">
      <c r="A1230" s="25" t="n">
        <v>40633</v>
      </c>
      <c r="B1230" s="18" t="n">
        <v>68586</v>
      </c>
      <c r="C1230" s="31" t="n"/>
      <c r="D1230" s="32" t="n"/>
      <c r="E1230" s="33" t="n">
        <v>0.4773</v>
      </c>
      <c r="F1230" t="inlineStr">
        <is>
          <t>Up</t>
        </is>
      </c>
      <c r="G1230" t="inlineStr">
        <is>
          <t>Up</t>
        </is>
      </c>
      <c r="H1230" t="inlineStr">
        <is>
          <t>EU_JU</t>
        </is>
      </c>
      <c r="I1230" t="inlineStr">
        <is>
          <t>2011-03</t>
        </is>
      </c>
      <c r="J1230" t="n">
        <v>1</v>
      </c>
      <c r="K1230" t="n">
        <v>1</v>
      </c>
      <c r="L1230" s="34">
        <f>IF($J1230=1,LN(B1231/B1230),"")</f>
        <v/>
      </c>
      <c r="M1230" s="34">
        <f>IF($K1230=1,INDEX(Mensal!$D$2:$D$245,MATCH($I1230,Mensal!$A$2:$A$245,0)),"")</f>
        <v/>
      </c>
      <c r="N1230" s="34">
        <f>IF($K1230=1,L1230-M1230,"")</f>
        <v/>
      </c>
      <c r="O1230" s="34" t="n">
        <v>0.00043775</v>
      </c>
      <c r="P1230" s="34">
        <f>IF($J1230=1,LN(1+O1230),"")</f>
        <v/>
      </c>
      <c r="Q1230" s="34">
        <f>IF($J1230=1,LN(R1231/R1230),"")</f>
        <v/>
      </c>
      <c r="R1230" s="32" t="n">
        <v>1.6287</v>
      </c>
      <c r="S1230" s="35" t="n">
        <v>12.279</v>
      </c>
      <c r="T1230" s="18" t="n"/>
      <c r="U1230" s="18" t="n">
        <v>68586</v>
      </c>
      <c r="V1230" s="18" t="n"/>
      <c r="W1230" s="18" t="n"/>
      <c r="X1230" s="35" t="n">
        <v>12.279</v>
      </c>
      <c r="Y1230" s="35" t="n"/>
    </row>
    <row r="1231">
      <c r="A1231" s="25" t="n">
        <v>40634</v>
      </c>
      <c r="B1231" s="18" t="n">
        <v>69268</v>
      </c>
      <c r="C1231" s="31" t="n"/>
      <c r="D1231" s="32" t="n"/>
      <c r="E1231" s="33" t="n">
        <v>0.5036</v>
      </c>
      <c r="F1231" t="inlineStr">
        <is>
          <t>Up</t>
        </is>
      </c>
      <c r="G1231" t="inlineStr">
        <is>
          <t>Up</t>
        </is>
      </c>
      <c r="H1231" t="inlineStr">
        <is>
          <t>EU_JU</t>
        </is>
      </c>
      <c r="I1231" t="inlineStr">
        <is>
          <t>2011-04</t>
        </is>
      </c>
      <c r="J1231" t="n">
        <v>1</v>
      </c>
      <c r="K1231" t="n">
        <v>1</v>
      </c>
      <c r="L1231" s="34">
        <f>IF($J1231=1,LN(B1232/B1231),"")</f>
        <v/>
      </c>
      <c r="M1231" s="34">
        <f>IF($K1231=1,INDEX(Mensal!$D$2:$D$245,MATCH($I1231,Mensal!$A$2:$A$245,0)),"")</f>
        <v/>
      </c>
      <c r="N1231" s="34">
        <f>IF($K1231=1,L1231-M1231,"")</f>
        <v/>
      </c>
      <c r="O1231" s="34" t="n">
        <v>0.0004381</v>
      </c>
      <c r="P1231" s="34">
        <f>IF($J1231=1,LN(1+O1231),"")</f>
        <v/>
      </c>
      <c r="Q1231" s="34">
        <f>IF($J1231=1,LN(R1232/R1231),"")</f>
        <v/>
      </c>
      <c r="R1231" s="32" t="n">
        <v>1.6194</v>
      </c>
      <c r="S1231" s="35" t="n">
        <v>12.291</v>
      </c>
      <c r="T1231" s="18" t="n"/>
      <c r="U1231" s="18" t="n">
        <v>69268</v>
      </c>
      <c r="V1231" s="18" t="n"/>
      <c r="W1231" s="18" t="n"/>
      <c r="X1231" s="35" t="n">
        <v>12.291</v>
      </c>
      <c r="Y1231" s="35" t="n"/>
    </row>
    <row r="1232">
      <c r="A1232" s="25" t="n">
        <v>40637</v>
      </c>
      <c r="B1232" s="18" t="n">
        <v>69703</v>
      </c>
      <c r="C1232" s="31" t="n"/>
      <c r="D1232" s="32" t="n"/>
      <c r="E1232" s="33" t="n">
        <v>0.5336</v>
      </c>
      <c r="F1232" t="inlineStr">
        <is>
          <t>Up</t>
        </is>
      </c>
      <c r="G1232" t="inlineStr">
        <is>
          <t>Up</t>
        </is>
      </c>
      <c r="H1232" t="inlineStr">
        <is>
          <t>EU_JU</t>
        </is>
      </c>
      <c r="I1232" t="inlineStr">
        <is>
          <t>2011-04</t>
        </is>
      </c>
      <c r="J1232" t="n">
        <v>1</v>
      </c>
      <c r="K1232" t="n">
        <v>1</v>
      </c>
      <c r="L1232" s="34">
        <f>IF($J1232=1,LN(B1233/B1232),"")</f>
        <v/>
      </c>
      <c r="M1232" s="34">
        <f>IF($K1232=1,INDEX(Mensal!$D$2:$D$245,MATCH($I1232,Mensal!$A$2:$A$245,0)),"")</f>
        <v/>
      </c>
      <c r="N1232" s="34">
        <f>IF($K1232=1,L1232-M1232,"")</f>
        <v/>
      </c>
      <c r="O1232" s="34" t="n">
        <v>0.00043775</v>
      </c>
      <c r="P1232" s="34">
        <f>IF($J1232=1,LN(1+O1232),"")</f>
        <v/>
      </c>
      <c r="Q1232" s="34">
        <f>IF($J1232=1,LN(R1233/R1232),"")</f>
        <v/>
      </c>
      <c r="R1232" s="32" t="n">
        <v>1.611</v>
      </c>
      <c r="S1232" s="35" t="n">
        <v>12.316</v>
      </c>
      <c r="T1232" s="18" t="n"/>
      <c r="U1232" s="18" t="n">
        <v>69703</v>
      </c>
      <c r="V1232" s="18" t="n"/>
      <c r="W1232" s="18" t="n"/>
      <c r="X1232" s="35" t="n">
        <v>12.316</v>
      </c>
      <c r="Y1232" s="35" t="n"/>
    </row>
    <row r="1233">
      <c r="A1233" s="25" t="n">
        <v>40638</v>
      </c>
      <c r="B1233" s="18" t="n">
        <v>69837</v>
      </c>
      <c r="C1233" s="31" t="n"/>
      <c r="D1233" s="32" t="n"/>
      <c r="E1233" s="33" t="n">
        <v>0.5438</v>
      </c>
      <c r="F1233" t="inlineStr">
        <is>
          <t>Up</t>
        </is>
      </c>
      <c r="G1233" t="inlineStr">
        <is>
          <t>Up</t>
        </is>
      </c>
      <c r="H1233" t="inlineStr">
        <is>
          <t>EU_JU</t>
        </is>
      </c>
      <c r="I1233" t="inlineStr">
        <is>
          <t>2011-04</t>
        </is>
      </c>
      <c r="J1233" t="n">
        <v>1</v>
      </c>
      <c r="K1233" t="n">
        <v>1</v>
      </c>
      <c r="L1233" s="34">
        <f>IF($J1233=1,LN(B1234/B1233),"")</f>
        <v/>
      </c>
      <c r="M1233" s="34">
        <f>IF($K1233=1,INDEX(Mensal!$D$2:$D$245,MATCH($I1233,Mensal!$A$2:$A$245,0)),"")</f>
        <v/>
      </c>
      <c r="N1233" s="34">
        <f>IF($K1233=1,L1233-M1233,"")</f>
        <v/>
      </c>
      <c r="O1233" s="34" t="n">
        <v>0.00043739</v>
      </c>
      <c r="P1233" s="34">
        <f>IF($J1233=1,LN(1+O1233),"")</f>
        <v/>
      </c>
      <c r="Q1233" s="34">
        <f>IF($J1233=1,LN(R1234/R1233),"")</f>
        <v/>
      </c>
      <c r="R1233" s="32" t="n">
        <v>1.6087</v>
      </c>
      <c r="S1233" s="35" t="n">
        <v>12.398</v>
      </c>
      <c r="T1233" s="18" t="n"/>
      <c r="U1233" s="18" t="n">
        <v>69837</v>
      </c>
      <c r="V1233" s="18" t="n"/>
      <c r="W1233" s="18" t="n"/>
      <c r="X1233" s="35" t="n">
        <v>12.398</v>
      </c>
      <c r="Y1233" s="35" t="n"/>
    </row>
    <row r="1234">
      <c r="A1234" s="25" t="n">
        <v>40639</v>
      </c>
      <c r="B1234" s="18" t="n">
        <v>69036</v>
      </c>
      <c r="C1234" s="31" t="n"/>
      <c r="D1234" s="32" t="n"/>
      <c r="E1234" s="33" t="n">
        <v>0.5508</v>
      </c>
      <c r="F1234" t="inlineStr">
        <is>
          <t>Up</t>
        </is>
      </c>
      <c r="G1234" t="inlineStr">
        <is>
          <t>Up</t>
        </is>
      </c>
      <c r="H1234" t="inlineStr">
        <is>
          <t>EU_JU</t>
        </is>
      </c>
      <c r="I1234" t="inlineStr">
        <is>
          <t>2011-04</t>
        </is>
      </c>
      <c r="J1234" t="n">
        <v>1</v>
      </c>
      <c r="K1234" t="n">
        <v>1</v>
      </c>
      <c r="L1234" s="34">
        <f>IF($J1234=1,LN(B1235/B1234),"")</f>
        <v/>
      </c>
      <c r="M1234" s="34">
        <f>IF($K1234=1,INDEX(Mensal!$D$2:$D$245,MATCH($I1234,Mensal!$A$2:$A$245,0)),"")</f>
        <v/>
      </c>
      <c r="N1234" s="34">
        <f>IF($K1234=1,L1234-M1234,"")</f>
        <v/>
      </c>
      <c r="O1234" s="34" t="n">
        <v>0.00043704</v>
      </c>
      <c r="P1234" s="34">
        <f>IF($J1234=1,LN(1+O1234),"")</f>
        <v/>
      </c>
      <c r="Q1234" s="34">
        <f>IF($J1234=1,LN(R1235/R1234),"")</f>
        <v/>
      </c>
      <c r="R1234" s="32" t="n">
        <v>1.6097</v>
      </c>
      <c r="S1234" s="35" t="n">
        <v>12.41</v>
      </c>
      <c r="T1234" s="18" t="n"/>
      <c r="U1234" s="18" t="n">
        <v>69036</v>
      </c>
      <c r="V1234" s="18" t="n"/>
      <c r="W1234" s="18" t="n"/>
      <c r="X1234" s="35" t="n">
        <v>12.41</v>
      </c>
      <c r="Y1234" s="35" t="n"/>
    </row>
    <row r="1235">
      <c r="A1235" s="25" t="n">
        <v>40640</v>
      </c>
      <c r="B1235" s="18" t="n">
        <v>69176</v>
      </c>
      <c r="C1235" s="31" t="n"/>
      <c r="D1235" s="32" t="n"/>
      <c r="E1235" s="33" t="n">
        <v>0.5546</v>
      </c>
      <c r="F1235" t="inlineStr">
        <is>
          <t>Up</t>
        </is>
      </c>
      <c r="G1235" t="inlineStr">
        <is>
          <t>Up</t>
        </is>
      </c>
      <c r="H1235" t="inlineStr">
        <is>
          <t>EU_JU</t>
        </is>
      </c>
      <c r="I1235" t="inlineStr">
        <is>
          <t>2011-04</t>
        </is>
      </c>
      <c r="J1235" t="n">
        <v>1</v>
      </c>
      <c r="K1235" t="n">
        <v>1</v>
      </c>
      <c r="L1235" s="34">
        <f>IF($J1235=1,LN(B1236/B1235),"")</f>
        <v/>
      </c>
      <c r="M1235" s="34">
        <f>IF($K1235=1,INDEX(Mensal!$D$2:$D$245,MATCH($I1235,Mensal!$A$2:$A$245,0)),"")</f>
        <v/>
      </c>
      <c r="N1235" s="34">
        <f>IF($K1235=1,L1235-M1235,"")</f>
        <v/>
      </c>
      <c r="O1235" s="34" t="n">
        <v>0.00043739</v>
      </c>
      <c r="P1235" s="34">
        <f>IF($J1235=1,LN(1+O1235),"")</f>
        <v/>
      </c>
      <c r="Q1235" s="34">
        <f>IF($J1235=1,LN(R1236/R1235),"")</f>
        <v/>
      </c>
      <c r="R1235" s="32" t="n">
        <v>1.5927</v>
      </c>
      <c r="S1235" s="35" t="n">
        <v>12.42</v>
      </c>
      <c r="T1235" s="18" t="n"/>
      <c r="U1235" s="18" t="n">
        <v>69176</v>
      </c>
      <c r="V1235" s="18" t="n"/>
      <c r="W1235" s="18" t="n"/>
      <c r="X1235" s="35" t="n">
        <v>12.42</v>
      </c>
      <c r="Y1235" s="35" t="n"/>
    </row>
    <row r="1236">
      <c r="A1236" s="25" t="n">
        <v>40641</v>
      </c>
      <c r="B1236" s="18" t="n">
        <v>68718</v>
      </c>
      <c r="C1236" s="31" t="n"/>
      <c r="D1236" s="32" t="n"/>
      <c r="E1236" s="33" t="n">
        <v>0.5558999999999999</v>
      </c>
      <c r="F1236" t="inlineStr">
        <is>
          <t>Up</t>
        </is>
      </c>
      <c r="G1236" t="inlineStr">
        <is>
          <t>Up</t>
        </is>
      </c>
      <c r="H1236" t="inlineStr">
        <is>
          <t>EU_JU</t>
        </is>
      </c>
      <c r="I1236" t="inlineStr">
        <is>
          <t>2011-04</t>
        </is>
      </c>
      <c r="J1236" t="n">
        <v>1</v>
      </c>
      <c r="K1236" t="n">
        <v>1</v>
      </c>
      <c r="L1236" s="34">
        <f>IF($J1236=1,LN(B1237/B1236),"")</f>
        <v/>
      </c>
      <c r="M1236" s="34">
        <f>IF($K1236=1,INDEX(Mensal!$D$2:$D$245,MATCH($I1236,Mensal!$A$2:$A$245,0)),"")</f>
        <v/>
      </c>
      <c r="N1236" s="34">
        <f>IF($K1236=1,L1236-M1236,"")</f>
        <v/>
      </c>
      <c r="O1236" s="34" t="n">
        <v>0.00043704</v>
      </c>
      <c r="P1236" s="34">
        <f>IF($J1236=1,LN(1+O1236),"")</f>
        <v/>
      </c>
      <c r="Q1236" s="34">
        <f>IF($J1236=1,LN(R1237/R1236),"")</f>
        <v/>
      </c>
      <c r="R1236" s="32" t="n">
        <v>1.5762</v>
      </c>
      <c r="S1236" s="35" t="n">
        <v>12.41</v>
      </c>
      <c r="T1236" s="18" t="n"/>
      <c r="U1236" s="18" t="n">
        <v>68718</v>
      </c>
      <c r="V1236" s="18" t="n"/>
      <c r="W1236" s="18" t="n"/>
      <c r="X1236" s="35" t="n">
        <v>12.41</v>
      </c>
      <c r="Y1236" s="35" t="n"/>
    </row>
    <row r="1237">
      <c r="A1237" s="25" t="n">
        <v>40644</v>
      </c>
      <c r="B1237" s="18" t="n">
        <v>68164</v>
      </c>
      <c r="C1237" s="31" t="n"/>
      <c r="D1237" s="32" t="n"/>
      <c r="E1237" s="33" t="n">
        <v>0.5564</v>
      </c>
      <c r="F1237" t="inlineStr">
        <is>
          <t>Up</t>
        </is>
      </c>
      <c r="G1237" t="inlineStr">
        <is>
          <t>Up</t>
        </is>
      </c>
      <c r="H1237" t="inlineStr">
        <is>
          <t>EU_JU</t>
        </is>
      </c>
      <c r="I1237" t="inlineStr">
        <is>
          <t>2011-04</t>
        </is>
      </c>
      <c r="J1237" t="n">
        <v>1</v>
      </c>
      <c r="K1237" t="n">
        <v>1</v>
      </c>
      <c r="L1237" s="34">
        <f>IF($J1237=1,LN(B1238/B1237),"")</f>
        <v/>
      </c>
      <c r="M1237" s="34">
        <f>IF($K1237=1,INDEX(Mensal!$D$2:$D$245,MATCH($I1237,Mensal!$A$2:$A$245,0)),"")</f>
        <v/>
      </c>
      <c r="N1237" s="34">
        <f>IF($K1237=1,L1237-M1237,"")</f>
        <v/>
      </c>
      <c r="O1237" s="34" t="n">
        <v>0.00043704</v>
      </c>
      <c r="P1237" s="34">
        <f>IF($J1237=1,LN(1+O1237),"")</f>
        <v/>
      </c>
      <c r="Q1237" s="34">
        <f>IF($J1237=1,LN(R1238/R1237),"")</f>
        <v/>
      </c>
      <c r="R1237" s="32" t="n">
        <v>1.5805</v>
      </c>
      <c r="S1237" s="35" t="n">
        <v>12.491</v>
      </c>
      <c r="T1237" s="18" t="n"/>
      <c r="U1237" s="18" t="n">
        <v>68164</v>
      </c>
      <c r="V1237" s="18" t="n"/>
      <c r="W1237" s="18" t="n"/>
      <c r="X1237" s="35" t="n">
        <v>12.491</v>
      </c>
      <c r="Y1237" s="35" t="n"/>
    </row>
    <row r="1238">
      <c r="A1238" s="25" t="n">
        <v>40645</v>
      </c>
      <c r="B1238" s="18" t="n">
        <v>66896</v>
      </c>
      <c r="C1238" s="31" t="n"/>
      <c r="D1238" s="32" t="n"/>
      <c r="E1238" s="33" t="n">
        <v>0.5573</v>
      </c>
      <c r="F1238" t="inlineStr">
        <is>
          <t>Up</t>
        </is>
      </c>
      <c r="G1238" t="inlineStr">
        <is>
          <t>Up</t>
        </is>
      </c>
      <c r="H1238" t="inlineStr">
        <is>
          <t>EU_JU</t>
        </is>
      </c>
      <c r="I1238" t="inlineStr">
        <is>
          <t>2011-04</t>
        </is>
      </c>
      <c r="J1238" t="n">
        <v>1</v>
      </c>
      <c r="K1238" t="n">
        <v>1</v>
      </c>
      <c r="L1238" s="34">
        <f>IF($J1238=1,LN(B1239/B1238),"")</f>
        <v/>
      </c>
      <c r="M1238" s="34">
        <f>IF($K1238=1,INDEX(Mensal!$D$2:$D$245,MATCH($I1238,Mensal!$A$2:$A$245,0)),"")</f>
        <v/>
      </c>
      <c r="N1238" s="34">
        <f>IF($K1238=1,L1238-M1238,"")</f>
        <v/>
      </c>
      <c r="O1238" s="34" t="n">
        <v>0.00043668</v>
      </c>
      <c r="P1238" s="34">
        <f>IF($J1238=1,LN(1+O1238),"")</f>
        <v/>
      </c>
      <c r="Q1238" s="34">
        <f>IF($J1238=1,LN(R1239/R1238),"")</f>
        <v/>
      </c>
      <c r="R1238" s="32" t="n">
        <v>1.587</v>
      </c>
      <c r="S1238" s="35" t="n">
        <v>12.471</v>
      </c>
      <c r="T1238" s="18" t="n"/>
      <c r="U1238" s="18" t="n">
        <v>66896</v>
      </c>
      <c r="V1238" s="18" t="n"/>
      <c r="W1238" s="18" t="n"/>
      <c r="X1238" s="35" t="n">
        <v>12.471</v>
      </c>
      <c r="Y1238" s="35" t="n"/>
    </row>
    <row r="1239">
      <c r="A1239" s="25" t="n">
        <v>40646</v>
      </c>
      <c r="B1239" s="18" t="n">
        <v>66486</v>
      </c>
      <c r="C1239" s="31" t="n"/>
      <c r="D1239" s="32" t="n"/>
      <c r="E1239" s="33" t="n">
        <v>0.5609</v>
      </c>
      <c r="F1239" t="inlineStr">
        <is>
          <t>Up</t>
        </is>
      </c>
      <c r="G1239" t="inlineStr">
        <is>
          <t>Up</t>
        </is>
      </c>
      <c r="H1239" t="inlineStr">
        <is>
          <t>EU_JU</t>
        </is>
      </c>
      <c r="I1239" t="inlineStr">
        <is>
          <t>2011-04</t>
        </is>
      </c>
      <c r="J1239" t="n">
        <v>1</v>
      </c>
      <c r="K1239" t="n">
        <v>1</v>
      </c>
      <c r="L1239" s="34">
        <f>IF($J1239=1,LN(B1240/B1239),"")</f>
        <v/>
      </c>
      <c r="M1239" s="34">
        <f>IF($K1239=1,INDEX(Mensal!$D$2:$D$245,MATCH($I1239,Mensal!$A$2:$A$245,0)),"")</f>
        <v/>
      </c>
      <c r="N1239" s="34">
        <f>IF($K1239=1,L1239-M1239,"")</f>
        <v/>
      </c>
      <c r="O1239" s="34" t="n">
        <v>0.00043739</v>
      </c>
      <c r="P1239" s="34">
        <f>IF($J1239=1,LN(1+O1239),"")</f>
        <v/>
      </c>
      <c r="Q1239" s="34">
        <f>IF($J1239=1,LN(R1240/R1239),"")</f>
        <v/>
      </c>
      <c r="R1239" s="32" t="n">
        <v>1.5864</v>
      </c>
      <c r="S1239" s="35" t="n">
        <v>12.462</v>
      </c>
      <c r="T1239" s="18" t="n"/>
      <c r="U1239" s="18" t="n">
        <v>66486</v>
      </c>
      <c r="V1239" s="18" t="n"/>
      <c r="W1239" s="18" t="n"/>
      <c r="X1239" s="35" t="n">
        <v>12.462</v>
      </c>
      <c r="Y1239" s="35" t="n"/>
    </row>
    <row r="1240">
      <c r="A1240" s="25" t="n">
        <v>40647</v>
      </c>
      <c r="B1240" s="18" t="n">
        <v>66278</v>
      </c>
      <c r="C1240" s="31" t="n"/>
      <c r="D1240" s="32" t="n"/>
      <c r="E1240" s="33" t="n">
        <v>0.5633</v>
      </c>
      <c r="F1240" t="inlineStr">
        <is>
          <t>Up</t>
        </is>
      </c>
      <c r="G1240" t="inlineStr">
        <is>
          <t>Up</t>
        </is>
      </c>
      <c r="H1240" t="inlineStr">
        <is>
          <t>EU_JU</t>
        </is>
      </c>
      <c r="I1240" t="inlineStr">
        <is>
          <t>2011-04</t>
        </is>
      </c>
      <c r="J1240" t="n">
        <v>1</v>
      </c>
      <c r="K1240" t="n">
        <v>1</v>
      </c>
      <c r="L1240" s="34">
        <f>IF($J1240=1,LN(B1241/B1240),"")</f>
        <v/>
      </c>
      <c r="M1240" s="34">
        <f>IF($K1240=1,INDEX(Mensal!$D$2:$D$245,MATCH($I1240,Mensal!$A$2:$A$245,0)),"")</f>
        <v/>
      </c>
      <c r="N1240" s="34">
        <f>IF($K1240=1,L1240-M1240,"")</f>
        <v/>
      </c>
      <c r="O1240" s="34" t="n">
        <v>0.00043775</v>
      </c>
      <c r="P1240" s="34">
        <f>IF($J1240=1,LN(1+O1240),"")</f>
        <v/>
      </c>
      <c r="Q1240" s="34">
        <f>IF($J1240=1,LN(R1241/R1240),"")</f>
        <v/>
      </c>
      <c r="R1240" s="32" t="n">
        <v>1.5842</v>
      </c>
      <c r="S1240" s="35" t="n">
        <v>12.431</v>
      </c>
      <c r="T1240" s="18" t="n"/>
      <c r="U1240" s="18" t="n">
        <v>66278</v>
      </c>
      <c r="V1240" s="18" t="n"/>
      <c r="W1240" s="18" t="n"/>
      <c r="X1240" s="35" t="n">
        <v>12.431</v>
      </c>
      <c r="Y1240" s="35" t="n"/>
    </row>
    <row r="1241">
      <c r="A1241" s="25" t="n">
        <v>40648</v>
      </c>
      <c r="B1241" s="18" t="n">
        <v>66684</v>
      </c>
      <c r="C1241" s="31" t="n"/>
      <c r="D1241" s="32" t="n"/>
      <c r="E1241" s="33" t="n">
        <v>0.5659</v>
      </c>
      <c r="F1241" t="inlineStr">
        <is>
          <t>Up</t>
        </is>
      </c>
      <c r="G1241" t="inlineStr">
        <is>
          <t>Up</t>
        </is>
      </c>
      <c r="H1241" t="inlineStr">
        <is>
          <t>EU_JU</t>
        </is>
      </c>
      <c r="I1241" t="inlineStr">
        <is>
          <t>2011-04</t>
        </is>
      </c>
      <c r="J1241" t="n">
        <v>1</v>
      </c>
      <c r="K1241" t="n">
        <v>1</v>
      </c>
      <c r="L1241" s="34">
        <f>IF($J1241=1,LN(B1242/B1241),"")</f>
        <v/>
      </c>
      <c r="M1241" s="34">
        <f>IF($K1241=1,INDEX(Mensal!$D$2:$D$245,MATCH($I1241,Mensal!$A$2:$A$245,0)),"")</f>
        <v/>
      </c>
      <c r="N1241" s="34">
        <f>IF($K1241=1,L1241-M1241,"")</f>
        <v/>
      </c>
      <c r="O1241" s="34" t="n">
        <v>0.00043775</v>
      </c>
      <c r="P1241" s="34">
        <f>IF($J1241=1,LN(1+O1241),"")</f>
        <v/>
      </c>
      <c r="Q1241" s="34">
        <f>IF($J1241=1,LN(R1242/R1241),"")</f>
        <v/>
      </c>
      <c r="R1241" s="32" t="n">
        <v>1.5776</v>
      </c>
      <c r="S1241" s="35" t="n">
        <v>12.44</v>
      </c>
      <c r="T1241" s="18" t="n"/>
      <c r="U1241" s="18" t="n">
        <v>66684</v>
      </c>
      <c r="V1241" s="18" t="n"/>
      <c r="W1241" s="18" t="n"/>
      <c r="X1241" s="35" t="n">
        <v>12.44</v>
      </c>
      <c r="Y1241" s="35" t="n"/>
    </row>
    <row r="1242">
      <c r="A1242" s="25" t="n">
        <v>40651</v>
      </c>
      <c r="B1242" s="18" t="n">
        <v>65415</v>
      </c>
      <c r="C1242" s="31" t="n"/>
      <c r="D1242" s="32" t="n"/>
      <c r="E1242" s="33" t="n">
        <v>0.5698</v>
      </c>
      <c r="F1242" t="inlineStr">
        <is>
          <t>Up</t>
        </is>
      </c>
      <c r="G1242" t="inlineStr">
        <is>
          <t>Up</t>
        </is>
      </c>
      <c r="H1242" t="inlineStr">
        <is>
          <t>EU_JU</t>
        </is>
      </c>
      <c r="I1242" t="inlineStr">
        <is>
          <t>2011-04</t>
        </is>
      </c>
      <c r="J1242" t="n">
        <v>1</v>
      </c>
      <c r="K1242" t="n">
        <v>1</v>
      </c>
      <c r="L1242" s="34">
        <f>IF($J1242=1,LN(B1243/B1242),"")</f>
        <v/>
      </c>
      <c r="M1242" s="34">
        <f>IF($K1242=1,INDEX(Mensal!$D$2:$D$245,MATCH($I1242,Mensal!$A$2:$A$245,0)),"")</f>
        <v/>
      </c>
      <c r="N1242" s="34">
        <f>IF($K1242=1,L1242-M1242,"")</f>
        <v/>
      </c>
      <c r="O1242" s="34" t="n">
        <v>0.00043881</v>
      </c>
      <c r="P1242" s="34">
        <f>IF($J1242=1,LN(1+O1242),"")</f>
        <v/>
      </c>
      <c r="Q1242" s="34">
        <f>IF($J1242=1,LN(R1243/R1242),"")</f>
        <v/>
      </c>
      <c r="R1242" s="32" t="n">
        <v>1.5912</v>
      </c>
      <c r="S1242" s="35" t="n">
        <v>12.449</v>
      </c>
      <c r="T1242" s="18" t="n"/>
      <c r="U1242" s="18" t="n">
        <v>65415</v>
      </c>
      <c r="V1242" s="18" t="n"/>
      <c r="W1242" s="18" t="n"/>
      <c r="X1242" s="35" t="n">
        <v>12.449</v>
      </c>
      <c r="Y1242" s="35" t="n"/>
    </row>
    <row r="1243">
      <c r="A1243" s="25" t="n">
        <v>40652</v>
      </c>
      <c r="B1243" s="18" t="n">
        <v>66158</v>
      </c>
      <c r="C1243" s="31" t="n"/>
      <c r="D1243" s="32" t="n"/>
      <c r="E1243" s="33" t="n">
        <v>0.5714</v>
      </c>
      <c r="F1243" t="inlineStr">
        <is>
          <t>Up</t>
        </is>
      </c>
      <c r="G1243" t="inlineStr">
        <is>
          <t>Up</t>
        </is>
      </c>
      <c r="H1243" t="inlineStr">
        <is>
          <t>EU_JU</t>
        </is>
      </c>
      <c r="I1243" t="inlineStr">
        <is>
          <t>2011-04</t>
        </is>
      </c>
      <c r="J1243" t="n">
        <v>1</v>
      </c>
      <c r="K1243" t="n">
        <v>1</v>
      </c>
      <c r="L1243" s="34">
        <f>IF($J1243=1,LN(B1244/B1243),"")</f>
        <v/>
      </c>
      <c r="M1243" s="34">
        <f>IF($K1243=1,INDEX(Mensal!$D$2:$D$245,MATCH($I1243,Mensal!$A$2:$A$245,0)),"")</f>
        <v/>
      </c>
      <c r="N1243" s="34">
        <f>IF($K1243=1,L1243-M1243,"")</f>
        <v/>
      </c>
      <c r="O1243" s="34" t="n">
        <v>0.00043775</v>
      </c>
      <c r="P1243" s="34">
        <f>IF($J1243=1,LN(1+O1243),"")</f>
        <v/>
      </c>
      <c r="Q1243" s="34">
        <f>IF($J1243=1,LN(R1244/R1243),"")</f>
        <v/>
      </c>
      <c r="R1243" s="32" t="n">
        <v>1.5792</v>
      </c>
      <c r="S1243" s="35" t="n">
        <v>12.419</v>
      </c>
      <c r="T1243" s="18" t="n"/>
      <c r="U1243" s="18" t="n">
        <v>66158</v>
      </c>
      <c r="V1243" s="18" t="n"/>
      <c r="W1243" s="18" t="n"/>
      <c r="X1243" s="35" t="n">
        <v>12.419</v>
      </c>
      <c r="Y1243" s="35" t="n"/>
    </row>
    <row r="1244">
      <c r="A1244" s="25" t="n">
        <v>40653</v>
      </c>
      <c r="B1244" s="18" t="n">
        <v>67058</v>
      </c>
      <c r="C1244" s="31" t="n"/>
      <c r="D1244" s="32" t="n"/>
      <c r="E1244" s="33" t="n">
        <v>0.5808</v>
      </c>
      <c r="F1244" t="inlineStr">
        <is>
          <t>Up</t>
        </is>
      </c>
      <c r="G1244" t="inlineStr">
        <is>
          <t>Up</t>
        </is>
      </c>
      <c r="H1244" t="inlineStr">
        <is>
          <t>EU_JU</t>
        </is>
      </c>
      <c r="I1244" t="inlineStr">
        <is>
          <t>2011-04</t>
        </is>
      </c>
      <c r="J1244" t="n">
        <v>1</v>
      </c>
      <c r="K1244" t="n">
        <v>1</v>
      </c>
      <c r="L1244" s="34">
        <f>IF($J1244=1,LN(B1245/B1244),"")</f>
        <v/>
      </c>
      <c r="M1244" s="34">
        <f>IF($K1244=1,INDEX(Mensal!$D$2:$D$245,MATCH($I1244,Mensal!$A$2:$A$245,0)),"")</f>
        <v/>
      </c>
      <c r="N1244" s="34">
        <f>IF($K1244=1,L1244-M1244,"")</f>
        <v/>
      </c>
      <c r="O1244" s="34" t="n">
        <v>0.00043704</v>
      </c>
      <c r="P1244" s="34">
        <f>IF($J1244=1,LN(1+O1244),"")</f>
        <v/>
      </c>
      <c r="Q1244" s="34">
        <f>IF($J1244=1,LN(R1245/R1244),"")</f>
        <v/>
      </c>
      <c r="R1244" s="32" t="n">
        <v>1.5722</v>
      </c>
      <c r="S1244" s="35" t="n">
        <v>12.416</v>
      </c>
      <c r="T1244" s="18" t="n"/>
      <c r="U1244" s="18" t="n">
        <v>67058</v>
      </c>
      <c r="V1244" s="18" t="n"/>
      <c r="W1244" s="18" t="n"/>
      <c r="X1244" s="35" t="n">
        <v>12.416</v>
      </c>
      <c r="Y1244" s="35" t="n"/>
    </row>
    <row r="1245">
      <c r="A1245" s="25" t="n">
        <v>40658</v>
      </c>
      <c r="B1245" s="18" t="n">
        <v>66972</v>
      </c>
      <c r="C1245" s="31" t="n"/>
      <c r="D1245" s="32" t="n"/>
      <c r="E1245" s="33" t="n">
        <v>0.591</v>
      </c>
      <c r="F1245" t="inlineStr">
        <is>
          <t>Up</t>
        </is>
      </c>
      <c r="G1245" t="inlineStr">
        <is>
          <t>Up</t>
        </is>
      </c>
      <c r="H1245" t="inlineStr">
        <is>
          <t>EU_JU</t>
        </is>
      </c>
      <c r="I1245" t="inlineStr">
        <is>
          <t>2011-04</t>
        </is>
      </c>
      <c r="J1245" t="n">
        <v>1</v>
      </c>
      <c r="K1245" t="n">
        <v>1</v>
      </c>
      <c r="L1245" s="34">
        <f>IF($J1245=1,LN(B1246/B1245),"")</f>
        <v/>
      </c>
      <c r="M1245" s="34">
        <f>IF($K1245=1,INDEX(Mensal!$D$2:$D$245,MATCH($I1245,Mensal!$A$2:$A$245,0)),"")</f>
        <v/>
      </c>
      <c r="N1245" s="34">
        <f>IF($K1245=1,L1245-M1245,"")</f>
        <v/>
      </c>
      <c r="O1245" s="34" t="n">
        <v>0.00044556</v>
      </c>
      <c r="P1245" s="34">
        <f>IF($J1245=1,LN(1+O1245),"")</f>
        <v/>
      </c>
      <c r="Q1245" s="34">
        <f>IF($J1245=1,LN(R1246/R1245),"")</f>
        <v/>
      </c>
      <c r="R1245" s="32" t="n">
        <v>1.572</v>
      </c>
      <c r="S1245" s="35" t="n">
        <v>12.499</v>
      </c>
      <c r="T1245" s="18" t="n"/>
      <c r="U1245" s="18" t="n">
        <v>66972</v>
      </c>
      <c r="V1245" s="18" t="n"/>
      <c r="W1245" s="18" t="n"/>
      <c r="X1245" s="35" t="n">
        <v>12.499</v>
      </c>
      <c r="Y1245" s="35" t="n"/>
    </row>
    <row r="1246">
      <c r="A1246" s="25" t="n">
        <v>40659</v>
      </c>
      <c r="B1246" s="18" t="n">
        <v>67144</v>
      </c>
      <c r="C1246" s="31" t="n"/>
      <c r="D1246" s="32" t="n"/>
      <c r="E1246" s="33" t="n">
        <v>0.5985</v>
      </c>
      <c r="F1246" t="inlineStr">
        <is>
          <t>Up</t>
        </is>
      </c>
      <c r="G1246" t="inlineStr">
        <is>
          <t>Up</t>
        </is>
      </c>
      <c r="H1246" t="inlineStr">
        <is>
          <t>EU_JU</t>
        </is>
      </c>
      <c r="I1246" t="inlineStr">
        <is>
          <t>2011-04</t>
        </is>
      </c>
      <c r="J1246" t="n">
        <v>1</v>
      </c>
      <c r="K1246" t="n">
        <v>1</v>
      </c>
      <c r="L1246" s="34">
        <f>IF($J1246=1,LN(B1247/B1246),"")</f>
        <v/>
      </c>
      <c r="M1246" s="34">
        <f>IF($K1246=1,INDEX(Mensal!$D$2:$D$245,MATCH($I1246,Mensal!$A$2:$A$245,0)),"")</f>
        <v/>
      </c>
      <c r="N1246" s="34">
        <f>IF($K1246=1,L1246-M1246,"")</f>
        <v/>
      </c>
      <c r="O1246" s="34" t="n">
        <v>0.00044592</v>
      </c>
      <c r="P1246" s="34">
        <f>IF($J1246=1,LN(1+O1246),"")</f>
        <v/>
      </c>
      <c r="Q1246" s="34">
        <f>IF($J1246=1,LN(R1247/R1246),"")</f>
        <v/>
      </c>
      <c r="R1246" s="32" t="n">
        <v>1.5654</v>
      </c>
      <c r="S1246" s="35" t="n">
        <v>12.5</v>
      </c>
      <c r="T1246" s="18" t="n"/>
      <c r="U1246" s="18" t="n">
        <v>67144</v>
      </c>
      <c r="V1246" s="18" t="n"/>
      <c r="W1246" s="18" t="n"/>
      <c r="X1246" s="35" t="n">
        <v>12.5</v>
      </c>
      <c r="Y1246" s="35" t="n"/>
    </row>
    <row r="1247">
      <c r="A1247" s="25" t="n">
        <v>40660</v>
      </c>
      <c r="B1247" s="18" t="n">
        <v>66264</v>
      </c>
      <c r="C1247" s="31" t="n"/>
      <c r="D1247" s="32" t="n"/>
      <c r="E1247" s="33" t="n">
        <v>0.6069</v>
      </c>
      <c r="F1247" t="inlineStr">
        <is>
          <t>Up</t>
        </is>
      </c>
      <c r="G1247" t="inlineStr">
        <is>
          <t>Up</t>
        </is>
      </c>
      <c r="H1247" t="inlineStr">
        <is>
          <t>EU_JU</t>
        </is>
      </c>
      <c r="I1247" t="inlineStr">
        <is>
          <t>2011-04</t>
        </is>
      </c>
      <c r="J1247" t="n">
        <v>1</v>
      </c>
      <c r="K1247" t="n">
        <v>1</v>
      </c>
      <c r="L1247" s="34">
        <f>IF($J1247=1,LN(B1248/B1247),"")</f>
        <v/>
      </c>
      <c r="M1247" s="34">
        <f>IF($K1247=1,INDEX(Mensal!$D$2:$D$245,MATCH($I1247,Mensal!$A$2:$A$245,0)),"")</f>
        <v/>
      </c>
      <c r="N1247" s="34">
        <f>IF($K1247=1,L1247-M1247,"")</f>
        <v/>
      </c>
      <c r="O1247" s="34" t="n">
        <v>0.00044592</v>
      </c>
      <c r="P1247" s="34">
        <f>IF($J1247=1,LN(1+O1247),"")</f>
        <v/>
      </c>
      <c r="Q1247" s="34">
        <f>IF($J1247=1,LN(R1248/R1247),"")</f>
        <v/>
      </c>
      <c r="R1247" s="32" t="n">
        <v>1.5705</v>
      </c>
      <c r="S1247" s="35" t="n">
        <v>12.528</v>
      </c>
      <c r="T1247" s="18" t="n"/>
      <c r="U1247" s="18" t="n">
        <v>66264</v>
      </c>
      <c r="V1247" s="18" t="n"/>
      <c r="W1247" s="18" t="n"/>
      <c r="X1247" s="35" t="n">
        <v>12.528</v>
      </c>
      <c r="Y1247" s="35" t="n"/>
    </row>
    <row r="1248">
      <c r="A1248" s="25" t="n">
        <v>40661</v>
      </c>
      <c r="B1248" s="18" t="n">
        <v>65673</v>
      </c>
      <c r="C1248" s="31" t="n"/>
      <c r="D1248" s="32" t="n"/>
      <c r="E1248" s="33" t="n">
        <v>0.6168</v>
      </c>
      <c r="F1248" t="inlineStr">
        <is>
          <t>Up</t>
        </is>
      </c>
      <c r="G1248" t="inlineStr">
        <is>
          <t>Up</t>
        </is>
      </c>
      <c r="H1248" t="inlineStr">
        <is>
          <t>EU_JU</t>
        </is>
      </c>
      <c r="I1248" t="inlineStr">
        <is>
          <t>2011-04</t>
        </is>
      </c>
      <c r="J1248" t="n">
        <v>1</v>
      </c>
      <c r="K1248" t="n">
        <v>1</v>
      </c>
      <c r="L1248" s="34">
        <f>IF($J1248=1,LN(B1249/B1248),"")</f>
        <v/>
      </c>
      <c r="M1248" s="34">
        <f>IF($K1248=1,INDEX(Mensal!$D$2:$D$245,MATCH($I1248,Mensal!$A$2:$A$245,0)),"")</f>
        <v/>
      </c>
      <c r="N1248" s="34">
        <f>IF($K1248=1,L1248-M1248,"")</f>
        <v/>
      </c>
      <c r="O1248" s="34" t="n">
        <v>0.00044592</v>
      </c>
      <c r="P1248" s="34">
        <f>IF($J1248=1,LN(1+O1248),"")</f>
        <v/>
      </c>
      <c r="Q1248" s="34">
        <f>IF($J1248=1,LN(R1249/R1248),"")</f>
        <v/>
      </c>
      <c r="R1248" s="32" t="n">
        <v>1.5853</v>
      </c>
      <c r="S1248" s="35" t="n">
        <v>12.525</v>
      </c>
      <c r="T1248" s="18" t="n"/>
      <c r="U1248" s="18" t="n">
        <v>65673</v>
      </c>
      <c r="V1248" s="18" t="n"/>
      <c r="W1248" s="18" t="n"/>
      <c r="X1248" s="35" t="n">
        <v>12.525</v>
      </c>
      <c r="Y1248" s="35" t="n"/>
    </row>
    <row r="1249">
      <c r="A1249" s="25" t="n">
        <v>40662</v>
      </c>
      <c r="B1249" s="18" t="n">
        <v>66132</v>
      </c>
      <c r="C1249" s="31" t="n"/>
      <c r="D1249" s="32" t="n"/>
      <c r="E1249" s="33" t="n">
        <v>0.6202</v>
      </c>
      <c r="F1249" t="inlineStr">
        <is>
          <t>Up</t>
        </is>
      </c>
      <c r="G1249" t="inlineStr">
        <is>
          <t>Up</t>
        </is>
      </c>
      <c r="H1249" t="inlineStr">
        <is>
          <t>EU_JU</t>
        </is>
      </c>
      <c r="I1249" t="inlineStr">
        <is>
          <t>2011-04</t>
        </is>
      </c>
      <c r="J1249" t="n">
        <v>1</v>
      </c>
      <c r="K1249" t="n">
        <v>1</v>
      </c>
      <c r="L1249" s="34">
        <f>IF($J1249=1,LN(B1250/B1249),"")</f>
        <v/>
      </c>
      <c r="M1249" s="34">
        <f>IF($K1249=1,INDEX(Mensal!$D$2:$D$245,MATCH($I1249,Mensal!$A$2:$A$245,0)),"")</f>
        <v/>
      </c>
      <c r="N1249" s="34">
        <f>IF($K1249=1,L1249-M1249,"")</f>
        <v/>
      </c>
      <c r="O1249" s="34" t="n">
        <v>0.00044663</v>
      </c>
      <c r="P1249" s="34">
        <f>IF($J1249=1,LN(1+O1249),"")</f>
        <v/>
      </c>
      <c r="Q1249" s="34">
        <f>IF($J1249=1,LN(R1250/R1249),"")</f>
        <v/>
      </c>
      <c r="R1249" s="32" t="n">
        <v>1.5733</v>
      </c>
      <c r="S1249" s="35" t="n">
        <v>12.515</v>
      </c>
      <c r="T1249" s="18" t="n"/>
      <c r="U1249" s="18" t="n">
        <v>66132</v>
      </c>
      <c r="V1249" s="18" t="n"/>
      <c r="W1249" s="18" t="n"/>
      <c r="X1249" s="35" t="n">
        <v>12.515</v>
      </c>
      <c r="Y1249" s="35" t="n"/>
    </row>
    <row r="1250">
      <c r="A1250" s="25" t="n">
        <v>40665</v>
      </c>
      <c r="B1250" s="18" t="n">
        <v>65462</v>
      </c>
      <c r="C1250" s="31" t="n"/>
      <c r="D1250" s="32" t="n"/>
      <c r="E1250" s="33" t="n">
        <v>0.6001</v>
      </c>
      <c r="F1250" t="inlineStr">
        <is>
          <t>Up</t>
        </is>
      </c>
      <c r="G1250" t="inlineStr">
        <is>
          <t>Up</t>
        </is>
      </c>
      <c r="H1250" t="inlineStr">
        <is>
          <t>EU_JU</t>
        </is>
      </c>
      <c r="I1250" t="inlineStr">
        <is>
          <t>2011-05</t>
        </is>
      </c>
      <c r="J1250" t="n">
        <v>1</v>
      </c>
      <c r="K1250" t="n">
        <v>1</v>
      </c>
      <c r="L1250" s="34">
        <f>IF($J1250=1,LN(B1251/B1250),"")</f>
        <v/>
      </c>
      <c r="M1250" s="34">
        <f>IF($K1250=1,INDEX(Mensal!$D$2:$D$245,MATCH($I1250,Mensal!$A$2:$A$245,0)),"")</f>
        <v/>
      </c>
      <c r="N1250" s="34">
        <f>IF($K1250=1,L1250-M1250,"")</f>
        <v/>
      </c>
      <c r="O1250" s="34" t="n">
        <v>0.00044627</v>
      </c>
      <c r="P1250" s="34">
        <f>IF($J1250=1,LN(1+O1250),"")</f>
        <v/>
      </c>
      <c r="Q1250" s="34">
        <f>IF($J1250=1,LN(R1251/R1250),"")</f>
        <v/>
      </c>
      <c r="R1250" s="32" t="n">
        <v>1.5747</v>
      </c>
      <c r="S1250" s="35" t="n">
        <v>12.529</v>
      </c>
      <c r="T1250" s="18" t="n"/>
      <c r="U1250" s="18" t="n">
        <v>65462</v>
      </c>
      <c r="V1250" s="18" t="n"/>
      <c r="W1250" s="18" t="n"/>
      <c r="X1250" s="35" t="n">
        <v>12.529</v>
      </c>
      <c r="Y1250" s="35" t="n"/>
    </row>
    <row r="1251">
      <c r="A1251" s="25" t="n">
        <v>40666</v>
      </c>
      <c r="B1251" s="18" t="n">
        <v>64318</v>
      </c>
      <c r="C1251" s="31" t="n"/>
      <c r="D1251" s="32" t="n"/>
      <c r="E1251" s="33" t="n">
        <v>0.5809</v>
      </c>
      <c r="F1251" t="inlineStr">
        <is>
          <t>Up</t>
        </is>
      </c>
      <c r="G1251" t="inlineStr">
        <is>
          <t>Up</t>
        </is>
      </c>
      <c r="H1251" t="inlineStr">
        <is>
          <t>EU_JU</t>
        </is>
      </c>
      <c r="I1251" t="inlineStr">
        <is>
          <t>2011-05</t>
        </is>
      </c>
      <c r="J1251" t="n">
        <v>1</v>
      </c>
      <c r="K1251" t="n">
        <v>1</v>
      </c>
      <c r="L1251" s="34">
        <f>IF($J1251=1,LN(B1252/B1251),"")</f>
        <v/>
      </c>
      <c r="M1251" s="34">
        <f>IF($K1251=1,INDEX(Mensal!$D$2:$D$245,MATCH($I1251,Mensal!$A$2:$A$245,0)),"")</f>
        <v/>
      </c>
      <c r="N1251" s="34">
        <f>IF($K1251=1,L1251-M1251,"")</f>
        <v/>
      </c>
      <c r="O1251" s="34" t="n">
        <v>0.00044627</v>
      </c>
      <c r="P1251" s="34">
        <f>IF($J1251=1,LN(1+O1251),"")</f>
        <v/>
      </c>
      <c r="Q1251" s="34">
        <f>IF($J1251=1,LN(R1252/R1251),"")</f>
        <v/>
      </c>
      <c r="R1251" s="32" t="n">
        <v>1.589</v>
      </c>
      <c r="S1251" s="35" t="n">
        <v>12.521</v>
      </c>
      <c r="T1251" s="18" t="n"/>
      <c r="U1251" s="18" t="n">
        <v>64318</v>
      </c>
      <c r="V1251" s="18" t="n"/>
      <c r="W1251" s="18" t="n"/>
      <c r="X1251" s="35" t="n">
        <v>12.521</v>
      </c>
      <c r="Y1251" s="35" t="n"/>
    </row>
    <row r="1252">
      <c r="A1252" s="25" t="n">
        <v>40667</v>
      </c>
      <c r="B1252" s="18" t="n">
        <v>63615</v>
      </c>
      <c r="C1252" s="31" t="n"/>
      <c r="D1252" s="32" t="n"/>
      <c r="E1252" s="33" t="n">
        <v>0.5582</v>
      </c>
      <c r="F1252" t="inlineStr">
        <is>
          <t>Up</t>
        </is>
      </c>
      <c r="G1252" t="inlineStr">
        <is>
          <t>Up</t>
        </is>
      </c>
      <c r="H1252" t="inlineStr">
        <is>
          <t>EU_JU</t>
        </is>
      </c>
      <c r="I1252" t="inlineStr">
        <is>
          <t>2011-05</t>
        </is>
      </c>
      <c r="J1252" t="n">
        <v>1</v>
      </c>
      <c r="K1252" t="n">
        <v>1</v>
      </c>
      <c r="L1252" s="34">
        <f>IF($J1252=1,LN(B1253/B1252),"")</f>
        <v/>
      </c>
      <c r="M1252" s="34">
        <f>IF($K1252=1,INDEX(Mensal!$D$2:$D$245,MATCH($I1252,Mensal!$A$2:$A$245,0)),"")</f>
        <v/>
      </c>
      <c r="N1252" s="34">
        <f>IF($K1252=1,L1252-M1252,"")</f>
        <v/>
      </c>
      <c r="O1252" s="34" t="n">
        <v>0.00044627</v>
      </c>
      <c r="P1252" s="34">
        <f>IF($J1252=1,LN(1+O1252),"")</f>
        <v/>
      </c>
      <c r="Q1252" s="34">
        <f>IF($J1252=1,LN(R1253/R1252),"")</f>
        <v/>
      </c>
      <c r="R1252" s="32" t="n">
        <v>1.603</v>
      </c>
      <c r="S1252" s="35" t="n">
        <v>12.543</v>
      </c>
      <c r="T1252" s="18" t="n"/>
      <c r="U1252" s="18" t="n">
        <v>63615</v>
      </c>
      <c r="V1252" s="18" t="n"/>
      <c r="W1252" s="18" t="n"/>
      <c r="X1252" s="35" t="n">
        <v>12.543</v>
      </c>
      <c r="Y1252" s="35" t="n"/>
    </row>
    <row r="1253">
      <c r="A1253" s="25" t="n">
        <v>40668</v>
      </c>
      <c r="B1253" s="18" t="n">
        <v>63407</v>
      </c>
      <c r="C1253" s="31" t="n"/>
      <c r="D1253" s="32" t="n"/>
      <c r="E1253" s="33" t="n">
        <v>0.5349</v>
      </c>
      <c r="F1253" t="inlineStr">
        <is>
          <t>Up</t>
        </is>
      </c>
      <c r="G1253" t="inlineStr">
        <is>
          <t>Up</t>
        </is>
      </c>
      <c r="H1253" t="inlineStr">
        <is>
          <t>EU_JU</t>
        </is>
      </c>
      <c r="I1253" t="inlineStr">
        <is>
          <t>2011-05</t>
        </is>
      </c>
      <c r="J1253" t="n">
        <v>1</v>
      </c>
      <c r="K1253" t="n">
        <v>1</v>
      </c>
      <c r="L1253" s="34">
        <f>IF($J1253=1,LN(B1254/B1253),"")</f>
        <v/>
      </c>
      <c r="M1253" s="34">
        <f>IF($K1253=1,INDEX(Mensal!$D$2:$D$245,MATCH($I1253,Mensal!$A$2:$A$245,0)),"")</f>
        <v/>
      </c>
      <c r="N1253" s="34">
        <f>IF($K1253=1,L1253-M1253,"")</f>
        <v/>
      </c>
      <c r="O1253" s="34" t="n">
        <v>0.00044627</v>
      </c>
      <c r="P1253" s="34">
        <f>IF($J1253=1,LN(1+O1253),"")</f>
        <v/>
      </c>
      <c r="Q1253" s="34">
        <f>IF($J1253=1,LN(R1254/R1253),"")</f>
        <v/>
      </c>
      <c r="R1253" s="32" t="n">
        <v>1.6219</v>
      </c>
      <c r="S1253" s="35" t="n">
        <v>12.5</v>
      </c>
      <c r="T1253" s="18" t="n"/>
      <c r="U1253" s="18" t="n">
        <v>63407</v>
      </c>
      <c r="V1253" s="18" t="n"/>
      <c r="W1253" s="18" t="n"/>
      <c r="X1253" s="35" t="n">
        <v>12.5</v>
      </c>
      <c r="Y1253" s="35" t="n"/>
    </row>
    <row r="1254">
      <c r="A1254" s="25" t="n">
        <v>40669</v>
      </c>
      <c r="B1254" s="18" t="n">
        <v>64417</v>
      </c>
      <c r="C1254" s="31" t="n"/>
      <c r="D1254" s="32" t="n"/>
      <c r="E1254" s="33" t="n">
        <v>0.5118</v>
      </c>
      <c r="F1254" t="inlineStr">
        <is>
          <t>Up</t>
        </is>
      </c>
      <c r="G1254" t="inlineStr">
        <is>
          <t>Up</t>
        </is>
      </c>
      <c r="H1254" t="inlineStr">
        <is>
          <t>EU_JU</t>
        </is>
      </c>
      <c r="I1254" t="inlineStr">
        <is>
          <t>2011-05</t>
        </is>
      </c>
      <c r="J1254" t="n">
        <v>1</v>
      </c>
      <c r="K1254" t="n">
        <v>1</v>
      </c>
      <c r="L1254" s="34">
        <f>IF($J1254=1,LN(B1255/B1254),"")</f>
        <v/>
      </c>
      <c r="M1254" s="34">
        <f>IF($K1254=1,INDEX(Mensal!$D$2:$D$245,MATCH($I1254,Mensal!$A$2:$A$245,0)),"")</f>
        <v/>
      </c>
      <c r="N1254" s="34">
        <f>IF($K1254=1,L1254-M1254,"")</f>
        <v/>
      </c>
      <c r="O1254" s="34" t="n">
        <v>0.00044627</v>
      </c>
      <c r="P1254" s="34">
        <f>IF($J1254=1,LN(1+O1254),"")</f>
        <v/>
      </c>
      <c r="Q1254" s="34">
        <f>IF($J1254=1,LN(R1255/R1254),"")</f>
        <v/>
      </c>
      <c r="R1254" s="32" t="n">
        <v>1.6111</v>
      </c>
      <c r="S1254" s="35" t="n">
        <v>12.456</v>
      </c>
      <c r="T1254" s="18" t="n"/>
      <c r="U1254" s="18" t="n">
        <v>64417</v>
      </c>
      <c r="V1254" s="18" t="n"/>
      <c r="W1254" s="18" t="n"/>
      <c r="X1254" s="35" t="n">
        <v>12.456</v>
      </c>
      <c r="Y1254" s="35" t="n"/>
    </row>
    <row r="1255">
      <c r="A1255" s="25" t="n">
        <v>40672</v>
      </c>
      <c r="B1255" s="18" t="n">
        <v>64622</v>
      </c>
      <c r="C1255" s="31" t="n"/>
      <c r="D1255" s="32" t="n"/>
      <c r="E1255" s="33" t="n">
        <v>0.4868</v>
      </c>
      <c r="F1255" t="inlineStr">
        <is>
          <t>Up</t>
        </is>
      </c>
      <c r="G1255" t="inlineStr">
        <is>
          <t>Up</t>
        </is>
      </c>
      <c r="H1255" t="inlineStr">
        <is>
          <t>EU_JU</t>
        </is>
      </c>
      <c r="I1255" t="inlineStr">
        <is>
          <t>2011-05</t>
        </is>
      </c>
      <c r="J1255" t="n">
        <v>1</v>
      </c>
      <c r="K1255" t="n">
        <v>1</v>
      </c>
      <c r="L1255" s="34">
        <f>IF($J1255=1,LN(B1256/B1255),"")</f>
        <v/>
      </c>
      <c r="M1255" s="34">
        <f>IF($K1255=1,INDEX(Mensal!$D$2:$D$245,MATCH($I1255,Mensal!$A$2:$A$245,0)),"")</f>
        <v/>
      </c>
      <c r="N1255" s="34">
        <f>IF($K1255=1,L1255-M1255,"")</f>
        <v/>
      </c>
      <c r="O1255" s="34" t="n">
        <v>0.00044592</v>
      </c>
      <c r="P1255" s="34">
        <f>IF($J1255=1,LN(1+O1255),"")</f>
        <v/>
      </c>
      <c r="Q1255" s="34">
        <f>IF($J1255=1,LN(R1256/R1255),"")</f>
        <v/>
      </c>
      <c r="R1255" s="32" t="n">
        <v>1.6199</v>
      </c>
      <c r="S1255" s="35" t="n">
        <v>12.442</v>
      </c>
      <c r="T1255" s="18" t="n"/>
      <c r="U1255" s="18" t="n">
        <v>64622</v>
      </c>
      <c r="V1255" s="18" t="n"/>
      <c r="W1255" s="18" t="n"/>
      <c r="X1255" s="35" t="n">
        <v>12.442</v>
      </c>
      <c r="Y1255" s="35" t="n"/>
    </row>
    <row r="1256">
      <c r="A1256" s="25" t="n">
        <v>40673</v>
      </c>
      <c r="B1256" s="18" t="n">
        <v>64876</v>
      </c>
      <c r="C1256" s="31" t="n"/>
      <c r="D1256" s="32" t="n"/>
      <c r="E1256" s="33" t="n">
        <v>0.4591</v>
      </c>
      <c r="F1256" t="inlineStr">
        <is>
          <t>Up</t>
        </is>
      </c>
      <c r="G1256" t="inlineStr">
        <is>
          <t>Up</t>
        </is>
      </c>
      <c r="H1256" t="inlineStr">
        <is>
          <t>EU_JU</t>
        </is>
      </c>
      <c r="I1256" t="inlineStr">
        <is>
          <t>2011-05</t>
        </is>
      </c>
      <c r="J1256" t="n">
        <v>1</v>
      </c>
      <c r="K1256" t="n">
        <v>1</v>
      </c>
      <c r="L1256" s="34">
        <f>IF($J1256=1,LN(B1257/B1256),"")</f>
        <v/>
      </c>
      <c r="M1256" s="34">
        <f>IF($K1256=1,INDEX(Mensal!$D$2:$D$245,MATCH($I1256,Mensal!$A$2:$A$245,0)),"")</f>
        <v/>
      </c>
      <c r="N1256" s="34">
        <f>IF($K1256=1,L1256-M1256,"")</f>
        <v/>
      </c>
      <c r="O1256" s="34" t="n">
        <v>0.00044592</v>
      </c>
      <c r="P1256" s="34">
        <f>IF($J1256=1,LN(1+O1256),"")</f>
        <v/>
      </c>
      <c r="Q1256" s="34">
        <f>IF($J1256=1,LN(R1257/R1256),"")</f>
        <v/>
      </c>
      <c r="R1256" s="32" t="n">
        <v>1.6069</v>
      </c>
      <c r="S1256" s="35" t="n">
        <v>12.453</v>
      </c>
      <c r="T1256" s="18" t="n"/>
      <c r="U1256" s="18" t="n">
        <v>64876</v>
      </c>
      <c r="V1256" s="18" t="n"/>
      <c r="W1256" s="18" t="n"/>
      <c r="X1256" s="35" t="n">
        <v>12.453</v>
      </c>
      <c r="Y1256" s="35" t="n"/>
    </row>
    <row r="1257">
      <c r="A1257" s="25" t="n">
        <v>40674</v>
      </c>
      <c r="B1257" s="18" t="n">
        <v>63775</v>
      </c>
      <c r="C1257" s="31" t="n"/>
      <c r="D1257" s="32" t="n"/>
      <c r="E1257" s="33" t="n">
        <v>0.4321</v>
      </c>
      <c r="F1257" t="inlineStr">
        <is>
          <t>Up</t>
        </is>
      </c>
      <c r="G1257" t="inlineStr">
        <is>
          <t>Up</t>
        </is>
      </c>
      <c r="H1257" t="inlineStr">
        <is>
          <t>EU_JU</t>
        </is>
      </c>
      <c r="I1257" t="inlineStr">
        <is>
          <t>2011-05</t>
        </is>
      </c>
      <c r="J1257" t="n">
        <v>1</v>
      </c>
      <c r="K1257" t="n">
        <v>1</v>
      </c>
      <c r="L1257" s="34">
        <f>IF($J1257=1,LN(B1258/B1257),"")</f>
        <v/>
      </c>
      <c r="M1257" s="34">
        <f>IF($K1257=1,INDEX(Mensal!$D$2:$D$245,MATCH($I1257,Mensal!$A$2:$A$245,0)),"")</f>
        <v/>
      </c>
      <c r="N1257" s="34">
        <f>IF($K1257=1,L1257-M1257,"")</f>
        <v/>
      </c>
      <c r="O1257" s="34" t="n">
        <v>0.00044556</v>
      </c>
      <c r="P1257" s="34">
        <f>IF($J1257=1,LN(1+O1257),"")</f>
        <v/>
      </c>
      <c r="Q1257" s="34">
        <f>IF($J1257=1,LN(R1258/R1257),"")</f>
        <v/>
      </c>
      <c r="R1257" s="32" t="n">
        <v>1.6178</v>
      </c>
      <c r="S1257" s="35" t="n">
        <v>12.424</v>
      </c>
      <c r="T1257" s="18" t="n"/>
      <c r="U1257" s="18" t="n">
        <v>63775</v>
      </c>
      <c r="V1257" s="18" t="n"/>
      <c r="W1257" s="18" t="n"/>
      <c r="X1257" s="35" t="n">
        <v>12.424</v>
      </c>
      <c r="Y1257" s="35" t="n"/>
    </row>
    <row r="1258">
      <c r="A1258" s="25" t="n">
        <v>40675</v>
      </c>
      <c r="B1258" s="18" t="n">
        <v>64003</v>
      </c>
      <c r="C1258" s="31" t="n"/>
      <c r="D1258" s="32" t="n"/>
      <c r="E1258" s="33" t="n">
        <v>0.4045</v>
      </c>
      <c r="F1258" t="inlineStr">
        <is>
          <t>Up</t>
        </is>
      </c>
      <c r="G1258" t="inlineStr">
        <is>
          <t>Up</t>
        </is>
      </c>
      <c r="H1258" t="inlineStr">
        <is>
          <t>EU_JU</t>
        </is>
      </c>
      <c r="I1258" t="inlineStr">
        <is>
          <t>2011-05</t>
        </is>
      </c>
      <c r="J1258" t="n">
        <v>1</v>
      </c>
      <c r="K1258" t="n">
        <v>1</v>
      </c>
      <c r="L1258" s="34">
        <f>IF($J1258=1,LN(B1259/B1258),"")</f>
        <v/>
      </c>
      <c r="M1258" s="34">
        <f>IF($K1258=1,INDEX(Mensal!$D$2:$D$245,MATCH($I1258,Mensal!$A$2:$A$245,0)),"")</f>
        <v/>
      </c>
      <c r="N1258" s="34">
        <f>IF($K1258=1,L1258-M1258,"")</f>
        <v/>
      </c>
      <c r="O1258" s="34" t="n">
        <v>0.00044521</v>
      </c>
      <c r="P1258" s="34">
        <f>IF($J1258=1,LN(1+O1258),"")</f>
        <v/>
      </c>
      <c r="Q1258" s="34">
        <f>IF($J1258=1,LN(R1259/R1258),"")</f>
        <v/>
      </c>
      <c r="R1258" s="32" t="n">
        <v>1.6207</v>
      </c>
      <c r="S1258" s="35" t="n">
        <v>12.426</v>
      </c>
      <c r="T1258" s="18" t="n"/>
      <c r="U1258" s="18" t="n">
        <v>64003</v>
      </c>
      <c r="V1258" s="18" t="n"/>
      <c r="W1258" s="18" t="n"/>
      <c r="X1258" s="35" t="n">
        <v>12.426</v>
      </c>
      <c r="Y1258" s="35" t="n"/>
    </row>
    <row r="1259">
      <c r="A1259" s="25" t="n">
        <v>40676</v>
      </c>
      <c r="B1259" s="18" t="n">
        <v>63235</v>
      </c>
      <c r="C1259" s="31" t="n"/>
      <c r="D1259" s="32" t="n"/>
      <c r="E1259" s="33" t="n">
        <v>0.3754</v>
      </c>
      <c r="F1259" t="inlineStr">
        <is>
          <t>Up</t>
        </is>
      </c>
      <c r="G1259" t="inlineStr">
        <is>
          <t>Up</t>
        </is>
      </c>
      <c r="H1259" t="inlineStr">
        <is>
          <t>EU_JU</t>
        </is>
      </c>
      <c r="I1259" t="inlineStr">
        <is>
          <t>2011-05</t>
        </is>
      </c>
      <c r="J1259" t="n">
        <v>1</v>
      </c>
      <c r="K1259" t="n">
        <v>1</v>
      </c>
      <c r="L1259" s="34">
        <f>IF($J1259=1,LN(B1260/B1259),"")</f>
        <v/>
      </c>
      <c r="M1259" s="34">
        <f>IF($K1259=1,INDEX(Mensal!$D$2:$D$245,MATCH($I1259,Mensal!$A$2:$A$245,0)),"")</f>
        <v/>
      </c>
      <c r="N1259" s="34">
        <f>IF($K1259=1,L1259-M1259,"")</f>
        <v/>
      </c>
      <c r="O1259" s="34" t="n">
        <v>0.00044521</v>
      </c>
      <c r="P1259" s="34">
        <f>IF($J1259=1,LN(1+O1259),"")</f>
        <v/>
      </c>
      <c r="Q1259" s="34">
        <f>IF($J1259=1,LN(R1260/R1259),"")</f>
        <v/>
      </c>
      <c r="R1259" s="32" t="n">
        <v>1.6328</v>
      </c>
      <c r="S1259" s="35" t="n">
        <v>12.426</v>
      </c>
      <c r="T1259" s="18" t="n"/>
      <c r="U1259" s="18" t="n">
        <v>63235</v>
      </c>
      <c r="V1259" s="18" t="n"/>
      <c r="W1259" s="18" t="n"/>
      <c r="X1259" s="35" t="n">
        <v>12.426</v>
      </c>
      <c r="Y1259" s="35" t="n"/>
    </row>
    <row r="1260">
      <c r="A1260" s="25" t="n">
        <v>40679</v>
      </c>
      <c r="B1260" s="18" t="n">
        <v>62830</v>
      </c>
      <c r="C1260" s="31" t="n"/>
      <c r="D1260" s="32" t="n"/>
      <c r="E1260" s="33" t="n">
        <v>0.3511</v>
      </c>
      <c r="F1260" t="inlineStr">
        <is>
          <t>Up</t>
        </is>
      </c>
      <c r="G1260" t="inlineStr">
        <is>
          <t>Up</t>
        </is>
      </c>
      <c r="H1260" t="inlineStr">
        <is>
          <t>EU_JU</t>
        </is>
      </c>
      <c r="I1260" t="inlineStr">
        <is>
          <t>2011-05</t>
        </is>
      </c>
      <c r="J1260" t="n">
        <v>1</v>
      </c>
      <c r="K1260" t="n">
        <v>1</v>
      </c>
      <c r="L1260" s="34">
        <f>IF($J1260=1,LN(B1261/B1260),"")</f>
        <v/>
      </c>
      <c r="M1260" s="34">
        <f>IF($K1260=1,INDEX(Mensal!$D$2:$D$245,MATCH($I1260,Mensal!$A$2:$A$245,0)),"")</f>
        <v/>
      </c>
      <c r="N1260" s="34">
        <f>IF($K1260=1,L1260-M1260,"")</f>
        <v/>
      </c>
      <c r="O1260" s="34" t="n">
        <v>0.0004448499999999999</v>
      </c>
      <c r="P1260" s="34">
        <f>IF($J1260=1,LN(1+O1260),"")</f>
        <v/>
      </c>
      <c r="Q1260" s="34">
        <f>IF($J1260=1,LN(R1261/R1260),"")</f>
        <v/>
      </c>
      <c r="R1260" s="32" t="n">
        <v>1.6317</v>
      </c>
      <c r="S1260" s="35" t="n">
        <v>12.414</v>
      </c>
      <c r="T1260" s="18" t="n"/>
      <c r="U1260" s="18" t="n">
        <v>62830</v>
      </c>
      <c r="V1260" s="18" t="n"/>
      <c r="W1260" s="18" t="n"/>
      <c r="X1260" s="35" t="n">
        <v>12.414</v>
      </c>
      <c r="Y1260" s="35" t="n"/>
    </row>
    <row r="1261">
      <c r="A1261" s="25" t="n">
        <v>40680</v>
      </c>
      <c r="B1261" s="18" t="n">
        <v>63673</v>
      </c>
      <c r="C1261" s="31" t="n"/>
      <c r="D1261" s="32" t="n"/>
      <c r="E1261" s="33" t="n">
        <v>0.3256</v>
      </c>
      <c r="F1261" t="inlineStr">
        <is>
          <t>Up</t>
        </is>
      </c>
      <c r="G1261" t="inlineStr">
        <is>
          <t>Up</t>
        </is>
      </c>
      <c r="H1261" t="inlineStr">
        <is>
          <t>EU_JU</t>
        </is>
      </c>
      <c r="I1261" t="inlineStr">
        <is>
          <t>2011-05</t>
        </is>
      </c>
      <c r="J1261" t="n">
        <v>1</v>
      </c>
      <c r="K1261" t="n">
        <v>1</v>
      </c>
      <c r="L1261" s="34">
        <f>IF($J1261=1,LN(B1262/B1261),"")</f>
        <v/>
      </c>
      <c r="M1261" s="34">
        <f>IF($K1261=1,INDEX(Mensal!$D$2:$D$245,MATCH($I1261,Mensal!$A$2:$A$245,0)),"")</f>
        <v/>
      </c>
      <c r="N1261" s="34">
        <f>IF($K1261=1,L1261-M1261,"")</f>
        <v/>
      </c>
      <c r="O1261" s="34" t="n">
        <v>0.00044556</v>
      </c>
      <c r="P1261" s="34">
        <f>IF($J1261=1,LN(1+O1261),"")</f>
        <v/>
      </c>
      <c r="Q1261" s="34">
        <f>IF($J1261=1,LN(R1262/R1261),"")</f>
        <v/>
      </c>
      <c r="R1261" s="32" t="n">
        <v>1.629</v>
      </c>
      <c r="S1261" s="35" t="n">
        <v>12.395</v>
      </c>
      <c r="T1261" s="18" t="n"/>
      <c r="U1261" s="18" t="n">
        <v>63673</v>
      </c>
      <c r="V1261" s="18" t="n"/>
      <c r="W1261" s="18" t="n"/>
      <c r="X1261" s="35" t="n">
        <v>12.395</v>
      </c>
      <c r="Y1261" s="35" t="n"/>
    </row>
    <row r="1262">
      <c r="A1262" s="25" t="n">
        <v>40681</v>
      </c>
      <c r="B1262" s="18" t="n">
        <v>62840</v>
      </c>
      <c r="C1262" s="31" t="n"/>
      <c r="D1262" s="32" t="n"/>
      <c r="E1262" s="33" t="n">
        <v>0.3067</v>
      </c>
      <c r="F1262" t="inlineStr">
        <is>
          <t>Up</t>
        </is>
      </c>
      <c r="G1262" t="inlineStr">
        <is>
          <t>Up</t>
        </is>
      </c>
      <c r="H1262" t="inlineStr">
        <is>
          <t>EU_JU</t>
        </is>
      </c>
      <c r="I1262" t="inlineStr">
        <is>
          <t>2011-05</t>
        </is>
      </c>
      <c r="J1262" t="n">
        <v>1</v>
      </c>
      <c r="K1262" t="n">
        <v>1</v>
      </c>
      <c r="L1262" s="34">
        <f>IF($J1262=1,LN(B1263/B1262),"")</f>
        <v/>
      </c>
      <c r="M1262" s="34">
        <f>IF($K1262=1,INDEX(Mensal!$D$2:$D$245,MATCH($I1262,Mensal!$A$2:$A$245,0)),"")</f>
        <v/>
      </c>
      <c r="N1262" s="34">
        <f>IF($K1262=1,L1262-M1262,"")</f>
        <v/>
      </c>
      <c r="O1262" s="34" t="n">
        <v>0.00044556</v>
      </c>
      <c r="P1262" s="34">
        <f>IF($J1262=1,LN(1+O1262),"")</f>
        <v/>
      </c>
      <c r="Q1262" s="34">
        <f>IF($J1262=1,LN(R1263/R1262),"")</f>
        <v/>
      </c>
      <c r="R1262" s="32" t="n">
        <v>1.6166</v>
      </c>
      <c r="S1262" s="35" t="n">
        <v>12.411</v>
      </c>
      <c r="T1262" s="18" t="n"/>
      <c r="U1262" s="18" t="n">
        <v>62840</v>
      </c>
      <c r="V1262" s="18" t="n"/>
      <c r="W1262" s="18" t="n"/>
      <c r="X1262" s="35" t="n">
        <v>12.411</v>
      </c>
      <c r="Y1262" s="35" t="n"/>
    </row>
    <row r="1263">
      <c r="A1263" s="25" t="n">
        <v>40682</v>
      </c>
      <c r="B1263" s="18" t="n">
        <v>62367</v>
      </c>
      <c r="C1263" s="31" t="n"/>
      <c r="D1263" s="32" t="n"/>
      <c r="E1263" s="33" t="n">
        <v>0.2884</v>
      </c>
      <c r="F1263" t="inlineStr">
        <is>
          <t>Up</t>
        </is>
      </c>
      <c r="G1263" t="inlineStr">
        <is>
          <t>Up</t>
        </is>
      </c>
      <c r="H1263" t="inlineStr">
        <is>
          <t>EU_JU</t>
        </is>
      </c>
      <c r="I1263" t="inlineStr">
        <is>
          <t>2011-05</t>
        </is>
      </c>
      <c r="J1263" t="n">
        <v>1</v>
      </c>
      <c r="K1263" t="n">
        <v>1</v>
      </c>
      <c r="L1263" s="34">
        <f>IF($J1263=1,LN(B1264/B1263),"")</f>
        <v/>
      </c>
      <c r="M1263" s="34">
        <f>IF($K1263=1,INDEX(Mensal!$D$2:$D$245,MATCH($I1263,Mensal!$A$2:$A$245,0)),"")</f>
        <v/>
      </c>
      <c r="N1263" s="34">
        <f>IF($K1263=1,L1263-M1263,"")</f>
        <v/>
      </c>
      <c r="O1263" s="34" t="n">
        <v>0.00044556</v>
      </c>
      <c r="P1263" s="34">
        <f>IF($J1263=1,LN(1+O1263),"")</f>
        <v/>
      </c>
      <c r="Q1263" s="34">
        <f>IF($J1263=1,LN(R1264/R1263),"")</f>
        <v/>
      </c>
      <c r="R1263" s="32" t="n">
        <v>1.6165</v>
      </c>
      <c r="S1263" s="35" t="n">
        <v>12.431</v>
      </c>
      <c r="T1263" s="18" t="n"/>
      <c r="U1263" s="18" t="n">
        <v>62367</v>
      </c>
      <c r="V1263" s="18" t="n"/>
      <c r="W1263" s="18" t="n"/>
      <c r="X1263" s="35" t="n">
        <v>12.431</v>
      </c>
      <c r="Y1263" s="35" t="n"/>
    </row>
    <row r="1264">
      <c r="A1264" s="25" t="n">
        <v>40683</v>
      </c>
      <c r="B1264" s="18" t="n">
        <v>62596</v>
      </c>
      <c r="C1264" s="31" t="n"/>
      <c r="D1264" s="32" t="n"/>
      <c r="E1264" s="33" t="n">
        <v>0.2797</v>
      </c>
      <c r="F1264" t="inlineStr">
        <is>
          <t>Up</t>
        </is>
      </c>
      <c r="G1264" t="inlineStr">
        <is>
          <t>Up</t>
        </is>
      </c>
      <c r="H1264" t="inlineStr">
        <is>
          <t>EU_JU</t>
        </is>
      </c>
      <c r="I1264" t="inlineStr">
        <is>
          <t>2011-05</t>
        </is>
      </c>
      <c r="J1264" t="n">
        <v>1</v>
      </c>
      <c r="K1264" t="n">
        <v>1</v>
      </c>
      <c r="L1264" s="34">
        <f>IF($J1264=1,LN(B1265/B1264),"")</f>
        <v/>
      </c>
      <c r="M1264" s="34">
        <f>IF($K1264=1,INDEX(Mensal!$D$2:$D$245,MATCH($I1264,Mensal!$A$2:$A$245,0)),"")</f>
        <v/>
      </c>
      <c r="N1264" s="34">
        <f>IF($K1264=1,L1264-M1264,"")</f>
        <v/>
      </c>
      <c r="O1264" s="34" t="n">
        <v>0.00044627</v>
      </c>
      <c r="P1264" s="34">
        <f>IF($J1264=1,LN(1+O1264),"")</f>
        <v/>
      </c>
      <c r="Q1264" s="34">
        <f>IF($J1264=1,LN(R1265/R1264),"")</f>
        <v/>
      </c>
      <c r="R1264" s="32" t="n">
        <v>1.6169</v>
      </c>
      <c r="S1264" s="35" t="n">
        <v>12.446</v>
      </c>
      <c r="T1264" s="18" t="n"/>
      <c r="U1264" s="18" t="n">
        <v>62596</v>
      </c>
      <c r="V1264" s="18" t="n"/>
      <c r="W1264" s="18" t="n"/>
      <c r="X1264" s="35" t="n">
        <v>12.446</v>
      </c>
      <c r="Y1264" s="35" t="n"/>
    </row>
    <row r="1265">
      <c r="A1265" s="25" t="n">
        <v>40686</v>
      </c>
      <c r="B1265" s="18" t="n">
        <v>62345</v>
      </c>
      <c r="C1265" s="31" t="n"/>
      <c r="D1265" s="32" t="n"/>
      <c r="E1265" s="33" t="n">
        <v>0.263</v>
      </c>
      <c r="F1265" t="inlineStr">
        <is>
          <t>Up</t>
        </is>
      </c>
      <c r="G1265" t="inlineStr">
        <is>
          <t>Up</t>
        </is>
      </c>
      <c r="H1265" t="inlineStr">
        <is>
          <t>EU_JU</t>
        </is>
      </c>
      <c r="I1265" t="inlineStr">
        <is>
          <t>2011-05</t>
        </is>
      </c>
      <c r="J1265" t="n">
        <v>1</v>
      </c>
      <c r="K1265" t="n">
        <v>1</v>
      </c>
      <c r="L1265" s="34">
        <f>IF($J1265=1,LN(B1266/B1265),"")</f>
        <v/>
      </c>
      <c r="M1265" s="34">
        <f>IF($K1265=1,INDEX(Mensal!$D$2:$D$245,MATCH($I1265,Mensal!$A$2:$A$245,0)),"")</f>
        <v/>
      </c>
      <c r="N1265" s="34">
        <f>IF($K1265=1,L1265-M1265,"")</f>
        <v/>
      </c>
      <c r="O1265" s="34" t="n">
        <v>0.00044627</v>
      </c>
      <c r="P1265" s="34">
        <f>IF($J1265=1,LN(1+O1265),"")</f>
        <v/>
      </c>
      <c r="Q1265" s="34">
        <f>IF($J1265=1,LN(R1266/R1265),"")</f>
        <v/>
      </c>
      <c r="R1265" s="32" t="n">
        <v>1.6339</v>
      </c>
      <c r="S1265" s="35" t="n">
        <v>12.449</v>
      </c>
      <c r="T1265" s="18" t="n"/>
      <c r="U1265" s="18" t="n">
        <v>62345</v>
      </c>
      <c r="V1265" s="18" t="n"/>
      <c r="W1265" s="18" t="n"/>
      <c r="X1265" s="35" t="n">
        <v>12.449</v>
      </c>
      <c r="Y1265" s="35" t="n"/>
    </row>
    <row r="1266">
      <c r="A1266" s="25" t="n">
        <v>40687</v>
      </c>
      <c r="B1266" s="18" t="n">
        <v>63336</v>
      </c>
      <c r="C1266" s="31" t="n"/>
      <c r="D1266" s="32" t="n"/>
      <c r="E1266" s="33" t="n">
        <v>0.2452</v>
      </c>
      <c r="F1266" t="inlineStr">
        <is>
          <t>Up</t>
        </is>
      </c>
      <c r="G1266" t="inlineStr">
        <is>
          <t>Up</t>
        </is>
      </c>
      <c r="H1266" t="inlineStr">
        <is>
          <t>EU_JU</t>
        </is>
      </c>
      <c r="I1266" t="inlineStr">
        <is>
          <t>2011-05</t>
        </is>
      </c>
      <c r="J1266" t="n">
        <v>1</v>
      </c>
      <c r="K1266" t="n">
        <v>1</v>
      </c>
      <c r="L1266" s="34">
        <f>IF($J1266=1,LN(B1267/B1266),"")</f>
        <v/>
      </c>
      <c r="M1266" s="34">
        <f>IF($K1266=1,INDEX(Mensal!$D$2:$D$245,MATCH($I1266,Mensal!$A$2:$A$245,0)),"")</f>
        <v/>
      </c>
      <c r="N1266" s="34">
        <f>IF($K1266=1,L1266-M1266,"")</f>
        <v/>
      </c>
      <c r="O1266" s="34" t="n">
        <v>0.00044592</v>
      </c>
      <c r="P1266" s="34">
        <f>IF($J1266=1,LN(1+O1266),"")</f>
        <v/>
      </c>
      <c r="Q1266" s="34">
        <f>IF($J1266=1,LN(R1267/R1266),"")</f>
        <v/>
      </c>
      <c r="R1266" s="32" t="n">
        <v>1.6256</v>
      </c>
      <c r="S1266" s="35" t="n">
        <v>12.49</v>
      </c>
      <c r="T1266" s="18" t="n"/>
      <c r="U1266" s="18" t="n">
        <v>63336</v>
      </c>
      <c r="V1266" s="18" t="n"/>
      <c r="W1266" s="18" t="n"/>
      <c r="X1266" s="35" t="n">
        <v>12.49</v>
      </c>
      <c r="Y1266" s="35" t="n"/>
    </row>
    <row r="1267">
      <c r="A1267" s="25" t="n">
        <v>40688</v>
      </c>
      <c r="B1267" s="18" t="n">
        <v>63388</v>
      </c>
      <c r="C1267" s="31" t="n"/>
      <c r="D1267" s="32" t="n"/>
      <c r="E1267" s="33" t="n">
        <v>0.2281</v>
      </c>
      <c r="F1267" t="inlineStr">
        <is>
          <t>Up</t>
        </is>
      </c>
      <c r="G1267" t="inlineStr">
        <is>
          <t>Up</t>
        </is>
      </c>
      <c r="H1267" t="inlineStr">
        <is>
          <t>EU_JU</t>
        </is>
      </c>
      <c r="I1267" t="inlineStr">
        <is>
          <t>2011-05</t>
        </is>
      </c>
      <c r="J1267" t="n">
        <v>1</v>
      </c>
      <c r="K1267" t="n">
        <v>1</v>
      </c>
      <c r="L1267" s="34">
        <f>IF($J1267=1,LN(B1268/B1267),"")</f>
        <v/>
      </c>
      <c r="M1267" s="34">
        <f>IF($K1267=1,INDEX(Mensal!$D$2:$D$245,MATCH($I1267,Mensal!$A$2:$A$245,0)),"")</f>
        <v/>
      </c>
      <c r="N1267" s="34">
        <f>IF($K1267=1,L1267-M1267,"")</f>
        <v/>
      </c>
      <c r="O1267" s="34" t="n">
        <v>0.00044592</v>
      </c>
      <c r="P1267" s="34">
        <f>IF($J1267=1,LN(1+O1267),"")</f>
        <v/>
      </c>
      <c r="Q1267" s="34">
        <f>IF($J1267=1,LN(R1268/R1267),"")</f>
        <v/>
      </c>
      <c r="R1267" s="32" t="n">
        <v>1.6297</v>
      </c>
      <c r="S1267" s="35" t="n">
        <v>12.493</v>
      </c>
      <c r="T1267" s="18" t="n"/>
      <c r="U1267" s="18" t="n">
        <v>63388</v>
      </c>
      <c r="V1267" s="18" t="n"/>
      <c r="W1267" s="18" t="n"/>
      <c r="X1267" s="35" t="n">
        <v>12.493</v>
      </c>
      <c r="Y1267" s="35" t="n"/>
    </row>
    <row r="1268">
      <c r="A1268" s="25" t="n">
        <v>40689</v>
      </c>
      <c r="B1268" s="18" t="n">
        <v>64098</v>
      </c>
      <c r="C1268" s="31" t="n"/>
      <c r="D1268" s="32" t="n"/>
      <c r="E1268" s="33" t="n">
        <v>0.2114</v>
      </c>
      <c r="F1268" t="inlineStr">
        <is>
          <t>Up</t>
        </is>
      </c>
      <c r="G1268" t="inlineStr">
        <is>
          <t>Up</t>
        </is>
      </c>
      <c r="H1268" t="inlineStr">
        <is>
          <t>EU_JU</t>
        </is>
      </c>
      <c r="I1268" t="inlineStr">
        <is>
          <t>2011-05</t>
        </is>
      </c>
      <c r="J1268" t="n">
        <v>1</v>
      </c>
      <c r="K1268" t="n">
        <v>1</v>
      </c>
      <c r="L1268" s="34">
        <f>IF($J1268=1,LN(B1269/B1268),"")</f>
        <v/>
      </c>
      <c r="M1268" s="34">
        <f>IF($K1268=1,INDEX(Mensal!$D$2:$D$245,MATCH($I1268,Mensal!$A$2:$A$245,0)),"")</f>
        <v/>
      </c>
      <c r="N1268" s="34">
        <f>IF($K1268=1,L1268-M1268,"")</f>
        <v/>
      </c>
      <c r="O1268" s="34" t="n">
        <v>0.00044556</v>
      </c>
      <c r="P1268" s="34">
        <f>IF($J1268=1,LN(1+O1268),"")</f>
        <v/>
      </c>
      <c r="Q1268" s="34">
        <f>IF($J1268=1,LN(R1269/R1268),"")</f>
        <v/>
      </c>
      <c r="R1268" s="32" t="n">
        <v>1.6196</v>
      </c>
      <c r="S1268" s="35" t="n">
        <v>12.488</v>
      </c>
      <c r="T1268" s="18" t="n"/>
      <c r="U1268" s="18" t="n">
        <v>64098</v>
      </c>
      <c r="V1268" s="18" t="n"/>
      <c r="W1268" s="18" t="n"/>
      <c r="X1268" s="35" t="n">
        <v>12.488</v>
      </c>
      <c r="Y1268" s="35" t="n"/>
    </row>
    <row r="1269">
      <c r="A1269" s="25" t="n">
        <v>40690</v>
      </c>
      <c r="B1269" s="18" t="n">
        <v>64294</v>
      </c>
      <c r="C1269" s="31" t="n"/>
      <c r="D1269" s="32" t="n"/>
      <c r="E1269" s="33" t="n">
        <v>0.1956</v>
      </c>
      <c r="F1269" t="inlineStr">
        <is>
          <t>Up</t>
        </is>
      </c>
      <c r="G1269" t="inlineStr">
        <is>
          <t>Up</t>
        </is>
      </c>
      <c r="H1269" t="inlineStr">
        <is>
          <t>EU_JU</t>
        </is>
      </c>
      <c r="I1269" t="inlineStr">
        <is>
          <t>2011-05</t>
        </is>
      </c>
      <c r="J1269" t="n">
        <v>1</v>
      </c>
      <c r="K1269" t="n">
        <v>1</v>
      </c>
      <c r="L1269" s="34">
        <f>IF($J1269=1,LN(B1270/B1269),"")</f>
        <v/>
      </c>
      <c r="M1269" s="34">
        <f>IF($K1269=1,INDEX(Mensal!$D$2:$D$245,MATCH($I1269,Mensal!$A$2:$A$245,0)),"")</f>
        <v/>
      </c>
      <c r="N1269" s="34">
        <f>IF($K1269=1,L1269-M1269,"")</f>
        <v/>
      </c>
      <c r="O1269" s="34" t="n">
        <v>0.00044592</v>
      </c>
      <c r="P1269" s="34">
        <f>IF($J1269=1,LN(1+O1269),"")</f>
        <v/>
      </c>
      <c r="Q1269" s="34">
        <f>IF($J1269=1,LN(R1270/R1269),"")</f>
        <v/>
      </c>
      <c r="R1269" s="32" t="n">
        <v>1.6038</v>
      </c>
      <c r="S1269" s="35" t="n">
        <v>12.482</v>
      </c>
      <c r="T1269" s="18" t="n"/>
      <c r="U1269" s="18" t="n">
        <v>64294</v>
      </c>
      <c r="V1269" s="18" t="n"/>
      <c r="W1269" s="18" t="n"/>
      <c r="X1269" s="35" t="n">
        <v>12.482</v>
      </c>
      <c r="Y1269" s="35" t="n"/>
    </row>
    <row r="1270">
      <c r="A1270" s="25" t="n">
        <v>40693</v>
      </c>
      <c r="B1270" s="18" t="n">
        <v>63953</v>
      </c>
      <c r="C1270" s="31" t="n"/>
      <c r="D1270" s="32" t="n"/>
      <c r="E1270" s="33" t="n">
        <v>0.1796</v>
      </c>
      <c r="F1270" t="inlineStr">
        <is>
          <t>Up</t>
        </is>
      </c>
      <c r="G1270" t="inlineStr">
        <is>
          <t>Up</t>
        </is>
      </c>
      <c r="H1270" t="inlineStr">
        <is>
          <t>EU_JU</t>
        </is>
      </c>
      <c r="I1270" t="inlineStr">
        <is>
          <t>2011-05</t>
        </is>
      </c>
      <c r="J1270" t="n">
        <v>1</v>
      </c>
      <c r="K1270" t="n">
        <v>1</v>
      </c>
      <c r="L1270" s="34">
        <f>IF($J1270=1,LN(B1271/B1270),"")</f>
        <v/>
      </c>
      <c r="M1270" s="34">
        <f>IF($K1270=1,INDEX(Mensal!$D$2:$D$245,MATCH($I1270,Mensal!$A$2:$A$245,0)),"")</f>
        <v/>
      </c>
      <c r="N1270" s="34">
        <f>IF($K1270=1,L1270-M1270,"")</f>
        <v/>
      </c>
      <c r="O1270" s="34" t="n">
        <v>0.00044556</v>
      </c>
      <c r="P1270" s="34">
        <f>IF($J1270=1,LN(1+O1270),"")</f>
        <v/>
      </c>
      <c r="Q1270" s="34">
        <f>IF($J1270=1,LN(R1271/R1270),"")</f>
        <v/>
      </c>
      <c r="R1270" s="32" t="n">
        <v>1.5958</v>
      </c>
      <c r="S1270" s="35" t="n">
        <v>12.488</v>
      </c>
      <c r="T1270" s="18" t="n"/>
      <c r="U1270" s="18" t="n">
        <v>63953</v>
      </c>
      <c r="V1270" s="18" t="n"/>
      <c r="W1270" s="18" t="n"/>
      <c r="X1270" s="35" t="n">
        <v>12.488</v>
      </c>
      <c r="Y1270" s="35" t="n"/>
    </row>
    <row r="1271">
      <c r="A1271" s="25" t="n">
        <v>40694</v>
      </c>
      <c r="B1271" s="18" t="n">
        <v>64620</v>
      </c>
      <c r="C1271" s="31" t="n"/>
      <c r="D1271" s="32" t="n"/>
      <c r="E1271" s="33" t="n">
        <v>0.1606</v>
      </c>
      <c r="F1271" t="inlineStr">
        <is>
          <t>Up</t>
        </is>
      </c>
      <c r="G1271" t="inlineStr">
        <is>
          <t>Up</t>
        </is>
      </c>
      <c r="H1271" t="inlineStr">
        <is>
          <t>EU_JU</t>
        </is>
      </c>
      <c r="I1271" t="inlineStr">
        <is>
          <t>2011-05</t>
        </is>
      </c>
      <c r="J1271" t="n">
        <v>1</v>
      </c>
      <c r="K1271" t="n">
        <v>1</v>
      </c>
      <c r="L1271" s="34">
        <f>IF($J1271=1,LN(B1272/B1271),"")</f>
        <v/>
      </c>
      <c r="M1271" s="34">
        <f>IF($K1271=1,INDEX(Mensal!$D$2:$D$245,MATCH($I1271,Mensal!$A$2:$A$245,0)),"")</f>
        <v/>
      </c>
      <c r="N1271" s="34">
        <f>IF($K1271=1,L1271-M1271,"")</f>
        <v/>
      </c>
      <c r="O1271" s="34" t="n">
        <v>0.0004445</v>
      </c>
      <c r="P1271" s="34">
        <f>IF($J1271=1,LN(1+O1271),"")</f>
        <v/>
      </c>
      <c r="Q1271" s="34">
        <f>IF($J1271=1,LN(R1272/R1271),"")</f>
        <v/>
      </c>
      <c r="R1271" s="32" t="n">
        <v>1.5799</v>
      </c>
      <c r="S1271" s="35" t="n">
        <v>12.453</v>
      </c>
      <c r="T1271" s="18" t="n"/>
      <c r="U1271" s="18" t="n">
        <v>64620</v>
      </c>
      <c r="V1271" s="18" t="n"/>
      <c r="W1271" s="18" t="n"/>
      <c r="X1271" s="35" t="n">
        <v>12.453</v>
      </c>
      <c r="Y1271" s="35" t="n"/>
    </row>
    <row r="1272">
      <c r="A1272" s="25" t="n">
        <v>40695</v>
      </c>
      <c r="B1272" s="18" t="n">
        <v>63411</v>
      </c>
      <c r="C1272" s="31" t="n"/>
      <c r="D1272" s="32" t="n"/>
      <c r="E1272" s="33" t="n">
        <v>0.15</v>
      </c>
      <c r="F1272" t="inlineStr">
        <is>
          <t>Up</t>
        </is>
      </c>
      <c r="G1272" t="inlineStr">
        <is>
          <t>Up</t>
        </is>
      </c>
      <c r="H1272" t="inlineStr">
        <is>
          <t>EU_JU</t>
        </is>
      </c>
      <c r="I1272" t="inlineStr">
        <is>
          <t>2011-06</t>
        </is>
      </c>
      <c r="J1272" t="n">
        <v>1</v>
      </c>
      <c r="K1272" t="n">
        <v>1</v>
      </c>
      <c r="L1272" s="34">
        <f>IF($J1272=1,LN(B1273/B1272),"")</f>
        <v/>
      </c>
      <c r="M1272" s="34">
        <f>IF($K1272=1,INDEX(Mensal!$D$2:$D$245,MATCH($I1272,Mensal!$A$2:$A$245,0)),"")</f>
        <v/>
      </c>
      <c r="N1272" s="34">
        <f>IF($K1272=1,L1272-M1272,"")</f>
        <v/>
      </c>
      <c r="O1272" s="34" t="n">
        <v>0.00044663</v>
      </c>
      <c r="P1272" s="34">
        <f>IF($J1272=1,LN(1+O1272),"")</f>
        <v/>
      </c>
      <c r="Q1272" s="34">
        <f>IF($J1272=1,LN(R1273/R1272),"")</f>
        <v/>
      </c>
      <c r="R1272" s="32" t="n">
        <v>1.5878</v>
      </c>
      <c r="S1272" s="35" t="n">
        <v>12.444</v>
      </c>
      <c r="T1272" s="18" t="n"/>
      <c r="U1272" s="18" t="n">
        <v>63411</v>
      </c>
      <c r="V1272" s="18" t="n"/>
      <c r="W1272" s="18" t="n"/>
      <c r="X1272" s="35" t="n">
        <v>12.444</v>
      </c>
      <c r="Y1272" s="35" t="n"/>
    </row>
    <row r="1273">
      <c r="A1273" s="25" t="n">
        <v>40696</v>
      </c>
      <c r="B1273" s="18" t="n">
        <v>64218</v>
      </c>
      <c r="C1273" s="31" t="n"/>
      <c r="D1273" s="32" t="n"/>
      <c r="E1273" s="33" t="n">
        <v>0.1388</v>
      </c>
      <c r="F1273" t="inlineStr">
        <is>
          <t>Up</t>
        </is>
      </c>
      <c r="G1273" t="inlineStr">
        <is>
          <t>Up</t>
        </is>
      </c>
      <c r="H1273" t="inlineStr">
        <is>
          <t>EU_JU</t>
        </is>
      </c>
      <c r="I1273" t="inlineStr">
        <is>
          <t>2011-06</t>
        </is>
      </c>
      <c r="J1273" t="n">
        <v>1</v>
      </c>
      <c r="K1273" t="n">
        <v>1</v>
      </c>
      <c r="L1273" s="34">
        <f>IF($J1273=1,LN(B1274/B1273),"")</f>
        <v/>
      </c>
      <c r="M1273" s="34">
        <f>IF($K1273=1,INDEX(Mensal!$D$2:$D$245,MATCH($I1273,Mensal!$A$2:$A$245,0)),"")</f>
        <v/>
      </c>
      <c r="N1273" s="34">
        <f>IF($K1273=1,L1273-M1273,"")</f>
        <v/>
      </c>
      <c r="O1273" s="34" t="n">
        <v>0.00044592</v>
      </c>
      <c r="P1273" s="34">
        <f>IF($J1273=1,LN(1+O1273),"")</f>
        <v/>
      </c>
      <c r="Q1273" s="34">
        <f>IF($J1273=1,LN(R1274/R1273),"")</f>
        <v/>
      </c>
      <c r="R1273" s="32" t="n">
        <v>1.5805</v>
      </c>
      <c r="S1273" s="35" t="n">
        <v>12.454</v>
      </c>
      <c r="T1273" s="18" t="n"/>
      <c r="U1273" s="18" t="n">
        <v>64218</v>
      </c>
      <c r="V1273" s="18" t="n"/>
      <c r="W1273" s="18" t="n"/>
      <c r="X1273" s="35" t="n">
        <v>12.454</v>
      </c>
      <c r="Y1273" s="35" t="n"/>
    </row>
    <row r="1274">
      <c r="A1274" s="25" t="n">
        <v>40697</v>
      </c>
      <c r="B1274" s="18" t="n">
        <v>64340</v>
      </c>
      <c r="C1274" s="31" t="n"/>
      <c r="D1274" s="32" t="n"/>
      <c r="E1274" s="33" t="n">
        <v>0.13</v>
      </c>
      <c r="F1274" t="inlineStr">
        <is>
          <t>Up</t>
        </is>
      </c>
      <c r="G1274" t="inlineStr">
        <is>
          <t>Up</t>
        </is>
      </c>
      <c r="H1274" t="inlineStr">
        <is>
          <t>EU_JU</t>
        </is>
      </c>
      <c r="I1274" t="inlineStr">
        <is>
          <t>2011-06</t>
        </is>
      </c>
      <c r="J1274" t="n">
        <v>1</v>
      </c>
      <c r="K1274" t="n">
        <v>1</v>
      </c>
      <c r="L1274" s="34">
        <f>IF($J1274=1,LN(B1275/B1274),"")</f>
        <v/>
      </c>
      <c r="M1274" s="34">
        <f>IF($K1274=1,INDEX(Mensal!$D$2:$D$245,MATCH($I1274,Mensal!$A$2:$A$245,0)),"")</f>
        <v/>
      </c>
      <c r="N1274" s="34">
        <f>IF($K1274=1,L1274-M1274,"")</f>
        <v/>
      </c>
      <c r="O1274" s="34" t="n">
        <v>0.00044592</v>
      </c>
      <c r="P1274" s="34">
        <f>IF($J1274=1,LN(1+O1274),"")</f>
        <v/>
      </c>
      <c r="Q1274" s="34">
        <f>IF($J1274=1,LN(R1275/R1274),"")</f>
        <v/>
      </c>
      <c r="R1274" s="32" t="n">
        <v>1.5744</v>
      </c>
      <c r="S1274" s="35" t="n">
        <v>12.477</v>
      </c>
      <c r="T1274" s="18" t="n"/>
      <c r="U1274" s="18" t="n">
        <v>64340</v>
      </c>
      <c r="V1274" s="18" t="n"/>
      <c r="W1274" s="18" t="n"/>
      <c r="X1274" s="35" t="n">
        <v>12.477</v>
      </c>
      <c r="Y1274" s="35" t="n"/>
    </row>
    <row r="1275">
      <c r="A1275" s="25" t="n">
        <v>40700</v>
      </c>
      <c r="B1275" s="18" t="n">
        <v>63067</v>
      </c>
      <c r="C1275" s="31" t="n"/>
      <c r="D1275" s="32" t="n"/>
      <c r="E1275" s="33" t="n">
        <v>0.1297</v>
      </c>
      <c r="F1275" t="inlineStr">
        <is>
          <t>Up</t>
        </is>
      </c>
      <c r="G1275" t="inlineStr">
        <is>
          <t>Up</t>
        </is>
      </c>
      <c r="H1275" t="inlineStr">
        <is>
          <t>EU_JU</t>
        </is>
      </c>
      <c r="I1275" t="inlineStr">
        <is>
          <t>2011-06</t>
        </is>
      </c>
      <c r="J1275" t="n">
        <v>1</v>
      </c>
      <c r="K1275" t="n">
        <v>1</v>
      </c>
      <c r="L1275" s="34">
        <f>IF($J1275=1,LN(B1276/B1275),"")</f>
        <v/>
      </c>
      <c r="M1275" s="34">
        <f>IF($K1275=1,INDEX(Mensal!$D$2:$D$245,MATCH($I1275,Mensal!$A$2:$A$245,0)),"")</f>
        <v/>
      </c>
      <c r="N1275" s="34">
        <f>IF($K1275=1,L1275-M1275,"")</f>
        <v/>
      </c>
      <c r="O1275" s="34" t="n">
        <v>0.00044663</v>
      </c>
      <c r="P1275" s="34">
        <f>IF($J1275=1,LN(1+O1275),"")</f>
        <v/>
      </c>
      <c r="Q1275" s="34">
        <f>IF($J1275=1,LN(R1276/R1275),"")</f>
        <v/>
      </c>
      <c r="R1275" s="32" t="n">
        <v>1.581</v>
      </c>
      <c r="S1275" s="35" t="n">
        <v>12.499</v>
      </c>
      <c r="T1275" s="18" t="n"/>
      <c r="U1275" s="18" t="n">
        <v>63067</v>
      </c>
      <c r="V1275" s="18" t="n"/>
      <c r="W1275" s="18" t="n"/>
      <c r="X1275" s="35" t="n">
        <v>12.499</v>
      </c>
      <c r="Y1275" s="35" t="n"/>
    </row>
    <row r="1276">
      <c r="A1276" s="25" t="n">
        <v>40701</v>
      </c>
      <c r="B1276" s="18" t="n">
        <v>63217</v>
      </c>
      <c r="C1276" s="31" t="n"/>
      <c r="D1276" s="32" t="n"/>
      <c r="E1276" s="33" t="n">
        <v>0.1309</v>
      </c>
      <c r="F1276" t="inlineStr">
        <is>
          <t>Up</t>
        </is>
      </c>
      <c r="G1276" t="inlineStr">
        <is>
          <t>Up</t>
        </is>
      </c>
      <c r="H1276" t="inlineStr">
        <is>
          <t>EU_JU</t>
        </is>
      </c>
      <c r="I1276" t="inlineStr">
        <is>
          <t>2011-06</t>
        </is>
      </c>
      <c r="J1276" t="n">
        <v>1</v>
      </c>
      <c r="K1276" t="n">
        <v>1</v>
      </c>
      <c r="L1276" s="34">
        <f>IF($J1276=1,LN(B1277/B1276),"")</f>
        <v/>
      </c>
      <c r="M1276" s="34">
        <f>IF($K1276=1,INDEX(Mensal!$D$2:$D$245,MATCH($I1276,Mensal!$A$2:$A$245,0)),"")</f>
        <v/>
      </c>
      <c r="N1276" s="34">
        <f>IF($K1276=1,L1276-M1276,"")</f>
        <v/>
      </c>
      <c r="O1276" s="34" t="n">
        <v>0.00044592</v>
      </c>
      <c r="P1276" s="34">
        <f>IF($J1276=1,LN(1+O1276),"")</f>
        <v/>
      </c>
      <c r="Q1276" s="34">
        <f>IF($J1276=1,LN(R1277/R1276),"")</f>
        <v/>
      </c>
      <c r="R1276" s="32" t="n">
        <v>1.5764</v>
      </c>
      <c r="S1276" s="35" t="n">
        <v>12.502</v>
      </c>
      <c r="T1276" s="18" t="n"/>
      <c r="U1276" s="18" t="n">
        <v>63217</v>
      </c>
      <c r="V1276" s="18" t="n"/>
      <c r="W1276" s="18" t="n"/>
      <c r="X1276" s="35" t="n">
        <v>12.502</v>
      </c>
      <c r="Y1276" s="35" t="n"/>
    </row>
    <row r="1277">
      <c r="A1277" s="25" t="n">
        <v>40702</v>
      </c>
      <c r="B1277" s="18" t="n">
        <v>63032</v>
      </c>
      <c r="C1277" s="31" t="n"/>
      <c r="D1277" s="32" t="n"/>
      <c r="E1277" s="33" t="n">
        <v>0.116</v>
      </c>
      <c r="F1277" t="inlineStr">
        <is>
          <t>Up</t>
        </is>
      </c>
      <c r="G1277" t="inlineStr">
        <is>
          <t>Up</t>
        </is>
      </c>
      <c r="H1277" t="inlineStr">
        <is>
          <t>EU_JU</t>
        </is>
      </c>
      <c r="I1277" t="inlineStr">
        <is>
          <t>2011-06</t>
        </is>
      </c>
      <c r="J1277" t="n">
        <v>1</v>
      </c>
      <c r="K1277" t="n">
        <v>1</v>
      </c>
      <c r="L1277" s="34">
        <f>IF($J1277=1,LN(B1278/B1277),"")</f>
        <v/>
      </c>
      <c r="M1277" s="34">
        <f>IF($K1277=1,INDEX(Mensal!$D$2:$D$245,MATCH($I1277,Mensal!$A$2:$A$245,0)),"")</f>
        <v/>
      </c>
      <c r="N1277" s="34">
        <f>IF($K1277=1,L1277-M1277,"")</f>
        <v/>
      </c>
      <c r="O1277" s="34" t="n">
        <v>0.00044556</v>
      </c>
      <c r="P1277" s="34">
        <f>IF($J1277=1,LN(1+O1277),"")</f>
        <v/>
      </c>
      <c r="Q1277" s="34">
        <f>IF($J1277=1,LN(R1278/R1277),"")</f>
        <v/>
      </c>
      <c r="R1277" s="32" t="n">
        <v>1.582</v>
      </c>
      <c r="S1277" s="35" t="n">
        <v>12.495</v>
      </c>
      <c r="T1277" s="18" t="n"/>
      <c r="U1277" s="18" t="n">
        <v>63032</v>
      </c>
      <c r="V1277" s="18" t="n"/>
      <c r="W1277" s="18" t="n"/>
      <c r="X1277" s="35" t="n">
        <v>12.495</v>
      </c>
      <c r="Y1277" s="35" t="n"/>
    </row>
    <row r="1278">
      <c r="A1278" s="25" t="n">
        <v>40703</v>
      </c>
      <c r="B1278" s="18" t="n">
        <v>63468</v>
      </c>
      <c r="C1278" s="31" t="n"/>
      <c r="D1278" s="32" t="n"/>
      <c r="E1278" s="33" t="n">
        <v>0.1037</v>
      </c>
      <c r="F1278" t="inlineStr">
        <is>
          <t>Up</t>
        </is>
      </c>
      <c r="G1278" t="inlineStr">
        <is>
          <t>Up</t>
        </is>
      </c>
      <c r="H1278" t="inlineStr">
        <is>
          <t>EU_JU</t>
        </is>
      </c>
      <c r="I1278" t="inlineStr">
        <is>
          <t>2011-06</t>
        </is>
      </c>
      <c r="J1278" t="n">
        <v>1</v>
      </c>
      <c r="K1278" t="n">
        <v>1</v>
      </c>
      <c r="L1278" s="34">
        <f>IF($J1278=1,LN(B1279/B1278),"")</f>
        <v/>
      </c>
      <c r="M1278" s="34">
        <f>IF($K1278=1,INDEX(Mensal!$D$2:$D$245,MATCH($I1278,Mensal!$A$2:$A$245,0)),"")</f>
        <v/>
      </c>
      <c r="N1278" s="34">
        <f>IF($K1278=1,L1278-M1278,"")</f>
        <v/>
      </c>
      <c r="O1278" s="34" t="n">
        <v>0.0004523</v>
      </c>
      <c r="P1278" s="34">
        <f>IF($J1278=1,LN(1+O1278),"")</f>
        <v/>
      </c>
      <c r="Q1278" s="34">
        <f>IF($J1278=1,LN(R1279/R1278),"")</f>
        <v/>
      </c>
      <c r="R1278" s="32" t="n">
        <v>1.5877</v>
      </c>
      <c r="S1278" s="35" t="n">
        <v>12.51</v>
      </c>
      <c r="T1278" s="18" t="n"/>
      <c r="U1278" s="18" t="n">
        <v>63468</v>
      </c>
      <c r="V1278" s="18" t="n"/>
      <c r="W1278" s="18" t="n"/>
      <c r="X1278" s="35" t="n">
        <v>12.51</v>
      </c>
      <c r="Y1278" s="35" t="n"/>
    </row>
    <row r="1279">
      <c r="A1279" s="25" t="n">
        <v>40704</v>
      </c>
      <c r="B1279" s="18" t="n">
        <v>62697</v>
      </c>
      <c r="C1279" s="31" t="n"/>
      <c r="D1279" s="32" t="n"/>
      <c r="E1279" s="33" t="n">
        <v>0.09039999999999999</v>
      </c>
      <c r="F1279" t="inlineStr">
        <is>
          <t>Up</t>
        </is>
      </c>
      <c r="G1279" t="inlineStr">
        <is>
          <t>Up</t>
        </is>
      </c>
      <c r="H1279" t="inlineStr">
        <is>
          <t>EU_JU</t>
        </is>
      </c>
      <c r="I1279" t="inlineStr">
        <is>
          <t>2011-06</t>
        </is>
      </c>
      <c r="J1279" t="n">
        <v>1</v>
      </c>
      <c r="K1279" t="n">
        <v>1</v>
      </c>
      <c r="L1279" s="34">
        <f>IF($J1279=1,LN(B1280/B1279),"")</f>
        <v/>
      </c>
      <c r="M1279" s="34">
        <f>IF($K1279=1,INDEX(Mensal!$D$2:$D$245,MATCH($I1279,Mensal!$A$2:$A$245,0)),"")</f>
        <v/>
      </c>
      <c r="N1279" s="34">
        <f>IF($K1279=1,L1279-M1279,"")</f>
        <v/>
      </c>
      <c r="O1279" s="34" t="n">
        <v>0.00045301</v>
      </c>
      <c r="P1279" s="34">
        <f>IF($J1279=1,LN(1+O1279),"")</f>
        <v/>
      </c>
      <c r="Q1279" s="34">
        <f>IF($J1279=1,LN(R1280/R1279),"")</f>
        <v/>
      </c>
      <c r="R1279" s="32" t="n">
        <v>1.5938</v>
      </c>
      <c r="S1279" s="35" t="n">
        <v>12.5</v>
      </c>
      <c r="T1279" s="18" t="n"/>
      <c r="U1279" s="18" t="n">
        <v>62697</v>
      </c>
      <c r="V1279" s="18" t="n"/>
      <c r="W1279" s="18" t="n"/>
      <c r="X1279" s="35" t="n">
        <v>12.5</v>
      </c>
      <c r="Y1279" s="35" t="n"/>
    </row>
    <row r="1280">
      <c r="A1280" s="25" t="n">
        <v>40707</v>
      </c>
      <c r="B1280" s="18" t="n">
        <v>62022</v>
      </c>
      <c r="C1280" s="31" t="n"/>
      <c r="D1280" s="32" t="n"/>
      <c r="E1280" s="33" t="n">
        <v>0.074</v>
      </c>
      <c r="F1280" t="inlineStr">
        <is>
          <t>Up</t>
        </is>
      </c>
      <c r="G1280" t="inlineStr">
        <is>
          <t>Up</t>
        </is>
      </c>
      <c r="H1280" t="inlineStr">
        <is>
          <t>EU_JU</t>
        </is>
      </c>
      <c r="I1280" t="inlineStr">
        <is>
          <t>2011-06</t>
        </is>
      </c>
      <c r="J1280" t="n">
        <v>1</v>
      </c>
      <c r="K1280" t="n">
        <v>1</v>
      </c>
      <c r="L1280" s="34">
        <f>IF($J1280=1,LN(B1281/B1280),"")</f>
        <v/>
      </c>
      <c r="M1280" s="34">
        <f>IF($K1280=1,INDEX(Mensal!$D$2:$D$245,MATCH($I1280,Mensal!$A$2:$A$245,0)),"")</f>
        <v/>
      </c>
      <c r="N1280" s="34">
        <f>IF($K1280=1,L1280-M1280,"")</f>
        <v/>
      </c>
      <c r="O1280" s="34" t="n">
        <v>0.0004523</v>
      </c>
      <c r="P1280" s="34">
        <f>IF($J1280=1,LN(1+O1280),"")</f>
        <v/>
      </c>
      <c r="Q1280" s="34">
        <f>IF($J1280=1,LN(R1281/R1280),"")</f>
        <v/>
      </c>
      <c r="R1280" s="32" t="n">
        <v>1.5888</v>
      </c>
      <c r="S1280" s="35" t="n">
        <v>12.484</v>
      </c>
      <c r="T1280" s="18" t="n"/>
      <c r="U1280" s="18" t="n">
        <v>62022</v>
      </c>
      <c r="V1280" s="18" t="n"/>
      <c r="W1280" s="18" t="n"/>
      <c r="X1280" s="35" t="n">
        <v>12.484</v>
      </c>
      <c r="Y1280" s="35" t="n"/>
    </row>
    <row r="1281">
      <c r="A1281" s="25" t="n">
        <v>40708</v>
      </c>
      <c r="B1281" s="18" t="n">
        <v>62204</v>
      </c>
      <c r="C1281" s="31" t="n"/>
      <c r="D1281" s="32" t="n"/>
      <c r="E1281" s="33" t="n">
        <v>0.0598</v>
      </c>
      <c r="F1281" t="inlineStr">
        <is>
          <t>Up</t>
        </is>
      </c>
      <c r="G1281" t="inlineStr">
        <is>
          <t>Up</t>
        </is>
      </c>
      <c r="H1281" t="inlineStr">
        <is>
          <t>EU_JU</t>
        </is>
      </c>
      <c r="I1281" t="inlineStr">
        <is>
          <t>2011-06</t>
        </is>
      </c>
      <c r="J1281" t="n">
        <v>1</v>
      </c>
      <c r="K1281" t="n">
        <v>1</v>
      </c>
      <c r="L1281" s="34">
        <f>IF($J1281=1,LN(B1282/B1281),"")</f>
        <v/>
      </c>
      <c r="M1281" s="34">
        <f>IF($K1281=1,INDEX(Mensal!$D$2:$D$245,MATCH($I1281,Mensal!$A$2:$A$245,0)),"")</f>
        <v/>
      </c>
      <c r="N1281" s="34">
        <f>IF($K1281=1,L1281-M1281,"")</f>
        <v/>
      </c>
      <c r="O1281" s="34" t="n">
        <v>0.00045194</v>
      </c>
      <c r="P1281" s="34">
        <f>IF($J1281=1,LN(1+O1281),"")</f>
        <v/>
      </c>
      <c r="Q1281" s="34">
        <f>IF($J1281=1,LN(R1282/R1281),"")</f>
        <v/>
      </c>
      <c r="R1281" s="32" t="n">
        <v>1.5821</v>
      </c>
      <c r="S1281" s="35" t="n">
        <v>12.492</v>
      </c>
      <c r="T1281" s="18" t="n"/>
      <c r="U1281" s="18" t="n">
        <v>62204</v>
      </c>
      <c r="V1281" s="18" t="n"/>
      <c r="W1281" s="18" t="n"/>
      <c r="X1281" s="35" t="n">
        <v>12.492</v>
      </c>
      <c r="Y1281" s="35" t="n"/>
    </row>
    <row r="1282">
      <c r="A1282" s="25" t="n">
        <v>40709</v>
      </c>
      <c r="B1282" s="18" t="n">
        <v>61603</v>
      </c>
      <c r="C1282" s="31" t="n"/>
      <c r="D1282" s="32" t="n"/>
      <c r="E1282" s="33" t="n">
        <v>0.0443</v>
      </c>
      <c r="F1282" t="inlineStr">
        <is>
          <t>Up</t>
        </is>
      </c>
      <c r="G1282" t="inlineStr">
        <is>
          <t>Up</t>
        </is>
      </c>
      <c r="H1282" t="inlineStr">
        <is>
          <t>EU_JU</t>
        </is>
      </c>
      <c r="I1282" t="inlineStr">
        <is>
          <t>2011-06</t>
        </is>
      </c>
      <c r="J1282" t="n">
        <v>1</v>
      </c>
      <c r="K1282" t="n">
        <v>1</v>
      </c>
      <c r="L1282" s="34">
        <f>IF($J1282=1,LN(B1283/B1282),"")</f>
        <v/>
      </c>
      <c r="M1282" s="34">
        <f>IF($K1282=1,INDEX(Mensal!$D$2:$D$245,MATCH($I1282,Mensal!$A$2:$A$245,0)),"")</f>
        <v/>
      </c>
      <c r="N1282" s="34">
        <f>IF($K1282=1,L1282-M1282,"")</f>
        <v/>
      </c>
      <c r="O1282" s="34" t="n">
        <v>0.00045442</v>
      </c>
      <c r="P1282" s="34">
        <f>IF($J1282=1,LN(1+O1282),"")</f>
        <v/>
      </c>
      <c r="Q1282" s="34">
        <f>IF($J1282=1,LN(R1283/R1282),"")</f>
        <v/>
      </c>
      <c r="R1282" s="32" t="n">
        <v>1.596</v>
      </c>
      <c r="S1282" s="35" t="n">
        <v>12.474</v>
      </c>
      <c r="T1282" s="18" t="n"/>
      <c r="U1282" s="18" t="n">
        <v>61603</v>
      </c>
      <c r="V1282" s="18" t="n"/>
      <c r="W1282" s="18" t="n"/>
      <c r="X1282" s="35" t="n">
        <v>12.474</v>
      </c>
      <c r="Y1282" s="35" t="n"/>
    </row>
    <row r="1283">
      <c r="A1283" s="25" t="n">
        <v>40710</v>
      </c>
      <c r="B1283" s="18" t="n">
        <v>60880</v>
      </c>
      <c r="C1283" s="31" t="n"/>
      <c r="D1283" s="32" t="n"/>
      <c r="E1283" s="33" t="n">
        <v>0.0307</v>
      </c>
      <c r="F1283" t="inlineStr">
        <is>
          <t>Up</t>
        </is>
      </c>
      <c r="G1283" t="inlineStr">
        <is>
          <t>Up</t>
        </is>
      </c>
      <c r="H1283" t="inlineStr">
        <is>
          <t>EU_JU</t>
        </is>
      </c>
      <c r="I1283" t="inlineStr">
        <is>
          <t>2011-06</t>
        </is>
      </c>
      <c r="J1283" t="n">
        <v>1</v>
      </c>
      <c r="K1283" t="n">
        <v>1</v>
      </c>
      <c r="L1283" s="34">
        <f>IF($J1283=1,LN(B1284/B1283),"")</f>
        <v/>
      </c>
      <c r="M1283" s="34">
        <f>IF($K1283=1,INDEX(Mensal!$D$2:$D$245,MATCH($I1283,Mensal!$A$2:$A$245,0)),"")</f>
        <v/>
      </c>
      <c r="N1283" s="34">
        <f>IF($K1283=1,L1283-M1283,"")</f>
        <v/>
      </c>
      <c r="O1283" s="34" t="n">
        <v>0.00045442</v>
      </c>
      <c r="P1283" s="34">
        <f>IF($J1283=1,LN(1+O1283),"")</f>
        <v/>
      </c>
      <c r="Q1283" s="34">
        <f>IF($J1283=1,LN(R1284/R1283),"")</f>
        <v/>
      </c>
      <c r="R1283" s="32" t="n">
        <v>1.6108</v>
      </c>
      <c r="S1283" s="35" t="n">
        <v>12.494</v>
      </c>
      <c r="T1283" s="18" t="n"/>
      <c r="U1283" s="18" t="n">
        <v>60880</v>
      </c>
      <c r="V1283" s="18" t="n"/>
      <c r="W1283" s="18" t="n"/>
      <c r="X1283" s="35" t="n">
        <v>12.494</v>
      </c>
      <c r="Y1283" s="35" t="n"/>
    </row>
    <row r="1284">
      <c r="A1284" s="25" t="n">
        <v>40711</v>
      </c>
      <c r="B1284" s="18" t="n">
        <v>61059</v>
      </c>
      <c r="C1284" s="31" t="n"/>
      <c r="D1284" s="32" t="n"/>
      <c r="E1284" s="33" t="n">
        <v>0.019</v>
      </c>
      <c r="F1284" t="inlineStr">
        <is>
          <t>Up</t>
        </is>
      </c>
      <c r="G1284" t="inlineStr">
        <is>
          <t>Up</t>
        </is>
      </c>
      <c r="H1284" t="inlineStr">
        <is>
          <t>EU_JU</t>
        </is>
      </c>
      <c r="I1284" t="inlineStr">
        <is>
          <t>2011-06</t>
        </is>
      </c>
      <c r="J1284" t="n">
        <v>1</v>
      </c>
      <c r="K1284" t="n">
        <v>1</v>
      </c>
      <c r="L1284" s="34">
        <f>IF($J1284=1,LN(B1285/B1284),"")</f>
        <v/>
      </c>
      <c r="M1284" s="34">
        <f>IF($K1284=1,INDEX(Mensal!$D$2:$D$245,MATCH($I1284,Mensal!$A$2:$A$245,0)),"")</f>
        <v/>
      </c>
      <c r="N1284" s="34">
        <f>IF($K1284=1,L1284-M1284,"")</f>
        <v/>
      </c>
      <c r="O1284" s="34" t="n">
        <v>0.00045442</v>
      </c>
      <c r="P1284" s="34">
        <f>IF($J1284=1,LN(1+O1284),"")</f>
        <v/>
      </c>
      <c r="Q1284" s="34">
        <f>IF($J1284=1,LN(R1285/R1284),"")</f>
        <v/>
      </c>
      <c r="R1284" s="32" t="n">
        <v>1.5979</v>
      </c>
      <c r="S1284" s="35" t="n">
        <v>12.52</v>
      </c>
      <c r="T1284" s="18" t="n"/>
      <c r="U1284" s="18" t="n">
        <v>61059</v>
      </c>
      <c r="V1284" s="18" t="n"/>
      <c r="W1284" s="18" t="n"/>
      <c r="X1284" s="35" t="n">
        <v>12.52</v>
      </c>
      <c r="Y1284" s="35" t="n"/>
    </row>
    <row r="1285">
      <c r="A1285" s="25" t="n">
        <v>40714</v>
      </c>
      <c r="B1285" s="18" t="n">
        <v>61168</v>
      </c>
      <c r="C1285" s="31" t="n"/>
      <c r="D1285" s="32" t="n"/>
      <c r="E1285" s="33" t="n">
        <v>0.0104</v>
      </c>
      <c r="F1285" t="inlineStr">
        <is>
          <t>Up</t>
        </is>
      </c>
      <c r="G1285" t="inlineStr">
        <is>
          <t>Up</t>
        </is>
      </c>
      <c r="H1285" t="inlineStr">
        <is>
          <t>EU_JU</t>
        </is>
      </c>
      <c r="I1285" t="inlineStr">
        <is>
          <t>2011-06</t>
        </is>
      </c>
      <c r="J1285" t="n">
        <v>1</v>
      </c>
      <c r="K1285" t="n">
        <v>1</v>
      </c>
      <c r="L1285" s="34">
        <f>IF($J1285=1,LN(B1286/B1285),"")</f>
        <v/>
      </c>
      <c r="M1285" s="34">
        <f>IF($K1285=1,INDEX(Mensal!$D$2:$D$245,MATCH($I1285,Mensal!$A$2:$A$245,0)),"")</f>
        <v/>
      </c>
      <c r="N1285" s="34">
        <f>IF($K1285=1,L1285-M1285,"")</f>
        <v/>
      </c>
      <c r="O1285" s="34" t="n">
        <v>0.00045407</v>
      </c>
      <c r="P1285" s="34">
        <f>IF($J1285=1,LN(1+O1285),"")</f>
        <v/>
      </c>
      <c r="Q1285" s="34">
        <f>IF($J1285=1,LN(R1286/R1285),"")</f>
        <v/>
      </c>
      <c r="R1285" s="32" t="n">
        <v>1.5969</v>
      </c>
      <c r="S1285" s="35" t="n">
        <v>12.525</v>
      </c>
      <c r="T1285" s="18" t="n"/>
      <c r="U1285" s="18" t="n">
        <v>61168</v>
      </c>
      <c r="V1285" s="18" t="n"/>
      <c r="W1285" s="18" t="n"/>
      <c r="X1285" s="35" t="n">
        <v>12.525</v>
      </c>
      <c r="Y1285" s="35" t="n"/>
    </row>
    <row r="1286">
      <c r="A1286" s="25" t="n">
        <v>40715</v>
      </c>
      <c r="B1286" s="18" t="n">
        <v>61423</v>
      </c>
      <c r="C1286" s="31" t="n"/>
      <c r="D1286" s="32" t="n"/>
      <c r="E1286" s="33" t="n">
        <v>0.002</v>
      </c>
      <c r="F1286" t="inlineStr">
        <is>
          <t>Up</t>
        </is>
      </c>
      <c r="G1286" t="inlineStr">
        <is>
          <t>Up</t>
        </is>
      </c>
      <c r="H1286" t="inlineStr">
        <is>
          <t>EU_JU</t>
        </is>
      </c>
      <c r="I1286" t="inlineStr">
        <is>
          <t>2011-06</t>
        </is>
      </c>
      <c r="J1286" t="n">
        <v>1</v>
      </c>
      <c r="K1286" t="n">
        <v>1</v>
      </c>
      <c r="L1286" s="34">
        <f>IF($J1286=1,LN(B1287/B1286),"")</f>
        <v/>
      </c>
      <c r="M1286" s="34">
        <f>IF($K1286=1,INDEX(Mensal!$D$2:$D$245,MATCH($I1286,Mensal!$A$2:$A$245,0)),"")</f>
        <v/>
      </c>
      <c r="N1286" s="34">
        <f>IF($K1286=1,L1286-M1286,"")</f>
        <v/>
      </c>
      <c r="O1286" s="34" t="n">
        <v>0.00045478</v>
      </c>
      <c r="P1286" s="34">
        <f>IF($J1286=1,LN(1+O1286),"")</f>
        <v/>
      </c>
      <c r="Q1286" s="34">
        <f>IF($J1286=1,LN(R1287/R1286),"")</f>
        <v/>
      </c>
      <c r="R1286" s="32" t="n">
        <v>1.591</v>
      </c>
      <c r="S1286" s="35" t="n">
        <v>12.573</v>
      </c>
      <c r="T1286" s="18" t="n"/>
      <c r="U1286" s="18" t="n">
        <v>61423</v>
      </c>
      <c r="V1286" s="18" t="n"/>
      <c r="W1286" s="18" t="n"/>
      <c r="X1286" s="35" t="n">
        <v>12.573</v>
      </c>
      <c r="Y1286" s="35" t="n"/>
    </row>
    <row r="1287">
      <c r="A1287" s="25" t="n">
        <v>40716</v>
      </c>
      <c r="B1287" s="18" t="n">
        <v>61194</v>
      </c>
      <c r="C1287" s="31" t="n"/>
      <c r="D1287" s="32" t="n"/>
      <c r="E1287" s="33" t="n">
        <v>-0.0059</v>
      </c>
      <c r="F1287" t="inlineStr">
        <is>
          <t>Up</t>
        </is>
      </c>
      <c r="G1287" t="inlineStr">
        <is>
          <t>Up</t>
        </is>
      </c>
      <c r="H1287" t="inlineStr">
        <is>
          <t>EU_JU</t>
        </is>
      </c>
      <c r="I1287" t="inlineStr">
        <is>
          <t>2011-06</t>
        </is>
      </c>
      <c r="J1287" t="n">
        <v>1</v>
      </c>
      <c r="K1287" t="n">
        <v>1</v>
      </c>
      <c r="L1287" s="34">
        <f>IF($J1287=1,LN(B1288/B1287),"")</f>
        <v/>
      </c>
      <c r="M1287" s="34">
        <f>IF($K1287=1,INDEX(Mensal!$D$2:$D$245,MATCH($I1287,Mensal!$A$2:$A$245,0)),"")</f>
        <v/>
      </c>
      <c r="N1287" s="34">
        <f>IF($K1287=1,L1287-M1287,"")</f>
        <v/>
      </c>
      <c r="O1287" s="34" t="n">
        <v>0.00045442</v>
      </c>
      <c r="P1287" s="34">
        <f>IF($J1287=1,LN(1+O1287),"")</f>
        <v/>
      </c>
      <c r="Q1287" s="34">
        <f>IF($J1287=1,LN(R1288/R1287),"")</f>
        <v/>
      </c>
      <c r="R1287" s="32" t="n">
        <v>1.5877</v>
      </c>
      <c r="S1287" s="35" t="n">
        <v>12.565</v>
      </c>
      <c r="T1287" s="18" t="n"/>
      <c r="U1287" s="18" t="n">
        <v>61194</v>
      </c>
      <c r="V1287" s="18" t="n"/>
      <c r="W1287" s="18" t="n"/>
      <c r="X1287" s="35" t="n">
        <v>12.565</v>
      </c>
      <c r="Y1287" s="35" t="n"/>
    </row>
    <row r="1288">
      <c r="A1288" s="25" t="n">
        <v>40718</v>
      </c>
      <c r="B1288" s="18" t="n">
        <v>61016</v>
      </c>
      <c r="C1288" s="31" t="n"/>
      <c r="D1288" s="32" t="n"/>
      <c r="E1288" s="33" t="n">
        <v>-0.0124</v>
      </c>
      <c r="F1288" t="inlineStr">
        <is>
          <t>Up</t>
        </is>
      </c>
      <c r="G1288" t="inlineStr">
        <is>
          <t>Up</t>
        </is>
      </c>
      <c r="H1288" t="inlineStr">
        <is>
          <t>EU_JU</t>
        </is>
      </c>
      <c r="I1288" t="inlineStr">
        <is>
          <t>2011-06</t>
        </is>
      </c>
      <c r="J1288" t="n">
        <v>1</v>
      </c>
      <c r="K1288" t="n">
        <v>1</v>
      </c>
      <c r="L1288" s="34">
        <f>IF($J1288=1,LN(B1289/B1288),"")</f>
        <v/>
      </c>
      <c r="M1288" s="34">
        <f>IF($K1288=1,INDEX(Mensal!$D$2:$D$245,MATCH($I1288,Mensal!$A$2:$A$245,0)),"")</f>
        <v/>
      </c>
      <c r="N1288" s="34">
        <f>IF($K1288=1,L1288-M1288,"")</f>
        <v/>
      </c>
      <c r="O1288" s="34" t="n">
        <v>0.00045407</v>
      </c>
      <c r="P1288" s="34">
        <f>IF($J1288=1,LN(1+O1288),"")</f>
        <v/>
      </c>
      <c r="Q1288" s="34">
        <f>IF($J1288=1,LN(R1289/R1288),"")</f>
        <v/>
      </c>
      <c r="R1288" s="32" t="n">
        <v>1.5988</v>
      </c>
      <c r="S1288" s="35" t="n">
        <v>12.535</v>
      </c>
      <c r="T1288" s="18" t="n"/>
      <c r="U1288" s="18" t="n">
        <v>61016</v>
      </c>
      <c r="V1288" s="18" t="n"/>
      <c r="W1288" s="18" t="n"/>
      <c r="X1288" s="35" t="n">
        <v>12.535</v>
      </c>
      <c r="Y1288" s="35" t="n"/>
    </row>
    <row r="1289">
      <c r="A1289" s="25" t="n">
        <v>40721</v>
      </c>
      <c r="B1289" s="18" t="n">
        <v>61216</v>
      </c>
      <c r="C1289" s="31" t="n"/>
      <c r="D1289" s="32" t="n"/>
      <c r="E1289" s="33" t="n">
        <v>-0.0206</v>
      </c>
      <c r="F1289" t="inlineStr">
        <is>
          <t>Up</t>
        </is>
      </c>
      <c r="G1289" t="inlineStr">
        <is>
          <t>Up</t>
        </is>
      </c>
      <c r="H1289" t="inlineStr">
        <is>
          <t>EU_JU</t>
        </is>
      </c>
      <c r="I1289" t="inlineStr">
        <is>
          <t>2011-06</t>
        </is>
      </c>
      <c r="J1289" t="n">
        <v>1</v>
      </c>
      <c r="K1289" t="n">
        <v>1</v>
      </c>
      <c r="L1289" s="34">
        <f>IF($J1289=1,LN(B1290/B1289),"")</f>
        <v/>
      </c>
      <c r="M1289" s="34">
        <f>IF($K1289=1,INDEX(Mensal!$D$2:$D$245,MATCH($I1289,Mensal!$A$2:$A$245,0)),"")</f>
        <v/>
      </c>
      <c r="N1289" s="34">
        <f>IF($K1289=1,L1289-M1289,"")</f>
        <v/>
      </c>
      <c r="O1289" s="34" t="n">
        <v>0.00045407</v>
      </c>
      <c r="P1289" s="34">
        <f>IF($J1289=1,LN(1+O1289),"")</f>
        <v/>
      </c>
      <c r="Q1289" s="34">
        <f>IF($J1289=1,LN(R1290/R1289),"")</f>
        <v/>
      </c>
      <c r="R1289" s="32" t="n">
        <v>1.5969</v>
      </c>
      <c r="S1289" s="35" t="n">
        <v>12.516</v>
      </c>
      <c r="T1289" s="18" t="n"/>
      <c r="U1289" s="18" t="n">
        <v>61216</v>
      </c>
      <c r="V1289" s="18" t="n"/>
      <c r="W1289" s="18" t="n"/>
      <c r="X1289" s="35" t="n">
        <v>12.516</v>
      </c>
      <c r="Y1289" s="35" t="n"/>
    </row>
    <row r="1290">
      <c r="A1290" s="25" t="n">
        <v>40722</v>
      </c>
      <c r="B1290" s="18" t="n">
        <v>62303</v>
      </c>
      <c r="C1290" s="31" t="n"/>
      <c r="D1290" s="32" t="n"/>
      <c r="E1290" s="33" t="n">
        <v>-0.0244</v>
      </c>
      <c r="F1290" t="inlineStr">
        <is>
          <t>Up</t>
        </is>
      </c>
      <c r="G1290" t="inlineStr">
        <is>
          <t>Up</t>
        </is>
      </c>
      <c r="H1290" t="inlineStr">
        <is>
          <t>EU_JU</t>
        </is>
      </c>
      <c r="I1290" t="inlineStr">
        <is>
          <t>2011-06</t>
        </is>
      </c>
      <c r="J1290" t="n">
        <v>1</v>
      </c>
      <c r="K1290" t="n">
        <v>1</v>
      </c>
      <c r="L1290" s="34">
        <f>IF($J1290=1,LN(B1291/B1290),"")</f>
        <v/>
      </c>
      <c r="M1290" s="34">
        <f>IF($K1290=1,INDEX(Mensal!$D$2:$D$245,MATCH($I1290,Mensal!$A$2:$A$245,0)),"")</f>
        <v/>
      </c>
      <c r="N1290" s="34">
        <f>IF($K1290=1,L1290-M1290,"")</f>
        <v/>
      </c>
      <c r="O1290" s="34" t="n">
        <v>0.00045372</v>
      </c>
      <c r="P1290" s="34">
        <f>IF($J1290=1,LN(1+O1290),"")</f>
        <v/>
      </c>
      <c r="Q1290" s="34">
        <f>IF($J1290=1,LN(R1291/R1290),"")</f>
        <v/>
      </c>
      <c r="R1290" s="32" t="n">
        <v>1.5833</v>
      </c>
      <c r="S1290" s="35" t="n">
        <v>12.537</v>
      </c>
      <c r="T1290" s="18" t="n"/>
      <c r="U1290" s="18" t="n">
        <v>62303</v>
      </c>
      <c r="V1290" s="18" t="n"/>
      <c r="W1290" s="18" t="n"/>
      <c r="X1290" s="35" t="n">
        <v>12.537</v>
      </c>
      <c r="Y1290" s="35" t="n"/>
    </row>
    <row r="1291">
      <c r="A1291" s="25" t="n">
        <v>40723</v>
      </c>
      <c r="B1291" s="18" t="n">
        <v>62333</v>
      </c>
      <c r="C1291" s="31" t="n"/>
      <c r="D1291" s="32" t="n"/>
      <c r="E1291" s="33" t="n">
        <v>-0.0282</v>
      </c>
      <c r="F1291" t="inlineStr">
        <is>
          <t>Up</t>
        </is>
      </c>
      <c r="G1291" t="inlineStr">
        <is>
          <t>Up</t>
        </is>
      </c>
      <c r="H1291" t="inlineStr">
        <is>
          <t>EU_JU</t>
        </is>
      </c>
      <c r="I1291" t="inlineStr">
        <is>
          <t>2011-06</t>
        </is>
      </c>
      <c r="J1291" t="n">
        <v>1</v>
      </c>
      <c r="K1291" t="n">
        <v>1</v>
      </c>
      <c r="L1291" s="34">
        <f>IF($J1291=1,LN(B1292/B1291),"")</f>
        <v/>
      </c>
      <c r="M1291" s="34">
        <f>IF($K1291=1,INDEX(Mensal!$D$2:$D$245,MATCH($I1291,Mensal!$A$2:$A$245,0)),"")</f>
        <v/>
      </c>
      <c r="N1291" s="34">
        <f>IF($K1291=1,L1291-M1291,"")</f>
        <v/>
      </c>
      <c r="O1291" s="34" t="n">
        <v>0.00045407</v>
      </c>
      <c r="P1291" s="34">
        <f>IF($J1291=1,LN(1+O1291),"")</f>
        <v/>
      </c>
      <c r="Q1291" s="34">
        <f>IF($J1291=1,LN(R1292/R1291),"")</f>
        <v/>
      </c>
      <c r="R1291" s="32" t="n">
        <v>1.573</v>
      </c>
      <c r="S1291" s="35" t="n">
        <v>12.577</v>
      </c>
      <c r="T1291" s="18" t="n"/>
      <c r="U1291" s="18" t="n">
        <v>62333</v>
      </c>
      <c r="V1291" s="18" t="n"/>
      <c r="W1291" s="18" t="n"/>
      <c r="X1291" s="35" t="n">
        <v>12.577</v>
      </c>
      <c r="Y1291" s="35" t="n"/>
    </row>
    <row r="1292">
      <c r="A1292" s="25" t="n">
        <v>40724</v>
      </c>
      <c r="B1292" s="18" t="n">
        <v>62403</v>
      </c>
      <c r="C1292" s="31" t="n"/>
      <c r="D1292" s="32" t="n"/>
      <c r="E1292" s="33" t="n">
        <v>-0.0308</v>
      </c>
      <c r="F1292" t="inlineStr">
        <is>
          <t>Up</t>
        </is>
      </c>
      <c r="G1292" t="inlineStr">
        <is>
          <t>Up</t>
        </is>
      </c>
      <c r="H1292" t="inlineStr">
        <is>
          <t>EU_JU</t>
        </is>
      </c>
      <c r="I1292" t="inlineStr">
        <is>
          <t>2011-06</t>
        </is>
      </c>
      <c r="J1292" t="n">
        <v>1</v>
      </c>
      <c r="K1292" t="n">
        <v>1</v>
      </c>
      <c r="L1292" s="34">
        <f>IF($J1292=1,LN(B1293/B1292),"")</f>
        <v/>
      </c>
      <c r="M1292" s="34">
        <f>IF($K1292=1,INDEX(Mensal!$D$2:$D$245,MATCH($I1292,Mensal!$A$2:$A$245,0)),"")</f>
        <v/>
      </c>
      <c r="N1292" s="34">
        <f>IF($K1292=1,L1292-M1292,"")</f>
        <v/>
      </c>
      <c r="O1292" s="34" t="n">
        <v>0.00045513</v>
      </c>
      <c r="P1292" s="34">
        <f>IF($J1292=1,LN(1+O1292),"")</f>
        <v/>
      </c>
      <c r="Q1292" s="34">
        <f>IF($J1292=1,LN(R1293/R1292),"")</f>
        <v/>
      </c>
      <c r="R1292" s="32" t="n">
        <v>1.5611</v>
      </c>
      <c r="S1292" s="35" t="n">
        <v>12.645</v>
      </c>
      <c r="T1292" s="18" t="n"/>
      <c r="U1292" s="18" t="n">
        <v>62403</v>
      </c>
      <c r="V1292" s="18" t="n"/>
      <c r="W1292" s="18" t="n"/>
      <c r="X1292" s="35" t="n">
        <v>12.645</v>
      </c>
      <c r="Y1292" s="35" t="n"/>
    </row>
    <row r="1293">
      <c r="A1293" s="25" t="n">
        <v>40725</v>
      </c>
      <c r="B1293" s="18" t="n">
        <v>63394</v>
      </c>
      <c r="C1293" s="31" t="n"/>
      <c r="D1293" s="32" t="n"/>
      <c r="E1293" s="33" t="n">
        <v>-0.0321</v>
      </c>
      <c r="F1293" t="inlineStr">
        <is>
          <t>Up</t>
        </is>
      </c>
      <c r="G1293" t="inlineStr">
        <is>
          <t>Up</t>
        </is>
      </c>
      <c r="H1293" t="inlineStr">
        <is>
          <t>EU_JU</t>
        </is>
      </c>
      <c r="I1293" t="inlineStr">
        <is>
          <t>2011-07</t>
        </is>
      </c>
      <c r="J1293" t="n">
        <v>1</v>
      </c>
      <c r="K1293" t="n">
        <v>1</v>
      </c>
      <c r="L1293" s="34">
        <f>IF($J1293=1,LN(B1294/B1293),"")</f>
        <v/>
      </c>
      <c r="M1293" s="34">
        <f>IF($K1293=1,INDEX(Mensal!$D$2:$D$245,MATCH($I1293,Mensal!$A$2:$A$245,0)),"")</f>
        <v/>
      </c>
      <c r="N1293" s="34">
        <f>IF($K1293=1,L1293-M1293,"")</f>
        <v/>
      </c>
      <c r="O1293" s="34" t="n">
        <v>0.00045513</v>
      </c>
      <c r="P1293" s="34">
        <f>IF($J1293=1,LN(1+O1293),"")</f>
        <v/>
      </c>
      <c r="Q1293" s="34">
        <f>IF($J1293=1,LN(R1294/R1293),"")</f>
        <v/>
      </c>
      <c r="R1293" s="32" t="n">
        <v>1.5599</v>
      </c>
      <c r="S1293" s="35" t="n">
        <v>12.625</v>
      </c>
      <c r="T1293" s="18" t="n"/>
      <c r="U1293" s="18" t="n">
        <v>63394</v>
      </c>
      <c r="V1293" s="18" t="n"/>
      <c r="W1293" s="18" t="n"/>
      <c r="X1293" s="35" t="n">
        <v>12.625</v>
      </c>
      <c r="Y1293" s="35" t="n"/>
    </row>
    <row r="1294">
      <c r="A1294" s="25" t="n">
        <v>40728</v>
      </c>
      <c r="B1294" s="18" t="n">
        <v>63891</v>
      </c>
      <c r="C1294" s="31" t="n"/>
      <c r="D1294" s="32" t="n"/>
      <c r="E1294" s="33" t="n">
        <v>-0.0197</v>
      </c>
      <c r="F1294" t="inlineStr">
        <is>
          <t>Up</t>
        </is>
      </c>
      <c r="G1294" t="inlineStr">
        <is>
          <t>Up</t>
        </is>
      </c>
      <c r="H1294" t="inlineStr">
        <is>
          <t>EU_JU</t>
        </is>
      </c>
      <c r="I1294" t="inlineStr">
        <is>
          <t>2011-07</t>
        </is>
      </c>
      <c r="J1294" t="n">
        <v>1</v>
      </c>
      <c r="K1294" t="n">
        <v>1</v>
      </c>
      <c r="L1294" s="34">
        <f>IF($J1294=1,LN(B1295/B1294),"")</f>
        <v/>
      </c>
      <c r="M1294" s="34">
        <f>IF($K1294=1,INDEX(Mensal!$D$2:$D$245,MATCH($I1294,Mensal!$A$2:$A$245,0)),"")</f>
        <v/>
      </c>
      <c r="N1294" s="34">
        <f>IF($K1294=1,L1294-M1294,"")</f>
        <v/>
      </c>
      <c r="O1294" s="34" t="n">
        <v>0.00045513</v>
      </c>
      <c r="P1294" s="34">
        <f>IF($J1294=1,LN(1+O1294),"")</f>
        <v/>
      </c>
      <c r="Q1294" s="34">
        <f>IF($J1294=1,LN(R1295/R1294),"")</f>
        <v/>
      </c>
      <c r="R1294" s="32" t="n">
        <v>1.558</v>
      </c>
      <c r="S1294" s="35" t="n">
        <v>12.608</v>
      </c>
      <c r="T1294" s="18" t="n"/>
      <c r="U1294" s="18" t="n">
        <v>63891</v>
      </c>
      <c r="V1294" s="18" t="n"/>
      <c r="W1294" s="18" t="n"/>
      <c r="X1294" s="35" t="n">
        <v>12.608</v>
      </c>
      <c r="Y1294" s="35" t="n"/>
    </row>
    <row r="1295">
      <c r="A1295" s="25" t="n">
        <v>40729</v>
      </c>
      <c r="B1295" s="18" t="n">
        <v>63038</v>
      </c>
      <c r="C1295" s="31" t="n"/>
      <c r="D1295" s="32" t="n"/>
      <c r="E1295" s="33" t="n">
        <v>-0.008999999999999999</v>
      </c>
      <c r="F1295" t="inlineStr">
        <is>
          <t>Up</t>
        </is>
      </c>
      <c r="G1295" t="inlineStr">
        <is>
          <t>Up</t>
        </is>
      </c>
      <c r="H1295" t="inlineStr">
        <is>
          <t>EU_JU</t>
        </is>
      </c>
      <c r="I1295" t="inlineStr">
        <is>
          <t>2011-07</t>
        </is>
      </c>
      <c r="J1295" t="n">
        <v>1</v>
      </c>
      <c r="K1295" t="n">
        <v>1</v>
      </c>
      <c r="L1295" s="34">
        <f>IF($J1295=1,LN(B1296/B1295),"")</f>
        <v/>
      </c>
      <c r="M1295" s="34">
        <f>IF($K1295=1,INDEX(Mensal!$D$2:$D$245,MATCH($I1295,Mensal!$A$2:$A$245,0)),"")</f>
        <v/>
      </c>
      <c r="N1295" s="34">
        <f>IF($K1295=1,L1295-M1295,"")</f>
        <v/>
      </c>
      <c r="O1295" s="34" t="n">
        <v>0.00045549</v>
      </c>
      <c r="P1295" s="34">
        <f>IF($J1295=1,LN(1+O1295),"")</f>
        <v/>
      </c>
      <c r="Q1295" s="34">
        <f>IF($J1295=1,LN(R1296/R1295),"")</f>
        <v/>
      </c>
      <c r="R1295" s="32" t="n">
        <v>1.5637</v>
      </c>
      <c r="S1295" s="35" t="n">
        <v>12.649</v>
      </c>
      <c r="T1295" s="18" t="n"/>
      <c r="U1295" s="18" t="n">
        <v>63038</v>
      </c>
      <c r="V1295" s="18" t="n"/>
      <c r="W1295" s="18" t="n"/>
      <c r="X1295" s="35" t="n">
        <v>12.649</v>
      </c>
      <c r="Y1295" s="35" t="n"/>
    </row>
    <row r="1296">
      <c r="A1296" s="25" t="n">
        <v>40730</v>
      </c>
      <c r="B1296" s="18" t="n">
        <v>62565</v>
      </c>
      <c r="C1296" s="31" t="n"/>
      <c r="D1296" s="32" t="n"/>
      <c r="E1296" s="33" t="n">
        <v>-0.002</v>
      </c>
      <c r="F1296" t="inlineStr">
        <is>
          <t>Up</t>
        </is>
      </c>
      <c r="G1296" t="inlineStr">
        <is>
          <t>Up</t>
        </is>
      </c>
      <c r="H1296" t="inlineStr">
        <is>
          <t>EU_JU</t>
        </is>
      </c>
      <c r="I1296" t="inlineStr">
        <is>
          <t>2011-07</t>
        </is>
      </c>
      <c r="J1296" t="n">
        <v>1</v>
      </c>
      <c r="K1296" t="n">
        <v>1</v>
      </c>
      <c r="L1296" s="34">
        <f>IF($J1296=1,LN(B1297/B1296),"")</f>
        <v/>
      </c>
      <c r="M1296" s="34">
        <f>IF($K1296=1,INDEX(Mensal!$D$2:$D$245,MATCH($I1296,Mensal!$A$2:$A$245,0)),"")</f>
        <v/>
      </c>
      <c r="N1296" s="34">
        <f>IF($K1296=1,L1296-M1296,"")</f>
        <v/>
      </c>
      <c r="O1296" s="34" t="n">
        <v>0.00045513</v>
      </c>
      <c r="P1296" s="34">
        <f>IF($J1296=1,LN(1+O1296),"")</f>
        <v/>
      </c>
      <c r="Q1296" s="34">
        <f>IF($J1296=1,LN(R1297/R1296),"")</f>
        <v/>
      </c>
      <c r="R1296" s="32" t="n">
        <v>1.5662</v>
      </c>
      <c r="S1296" s="35" t="n">
        <v>12.63</v>
      </c>
      <c r="T1296" s="18" t="n"/>
      <c r="U1296" s="18" t="n">
        <v>62565</v>
      </c>
      <c r="V1296" s="18" t="n"/>
      <c r="W1296" s="18" t="n"/>
      <c r="X1296" s="35" t="n">
        <v>12.63</v>
      </c>
      <c r="Y1296" s="35" t="n"/>
    </row>
    <row r="1297">
      <c r="A1297" s="25" t="n">
        <v>40731</v>
      </c>
      <c r="B1297" s="18" t="n">
        <v>62207</v>
      </c>
      <c r="C1297" s="31" t="n"/>
      <c r="D1297" s="32" t="n"/>
      <c r="E1297" s="33" t="n">
        <v>0.0035</v>
      </c>
      <c r="F1297" t="inlineStr">
        <is>
          <t>Up</t>
        </is>
      </c>
      <c r="G1297" t="inlineStr">
        <is>
          <t>Up</t>
        </is>
      </c>
      <c r="H1297" t="inlineStr">
        <is>
          <t>EU_JU</t>
        </is>
      </c>
      <c r="I1297" t="inlineStr">
        <is>
          <t>2011-07</t>
        </is>
      </c>
      <c r="J1297" t="n">
        <v>1</v>
      </c>
      <c r="K1297" t="n">
        <v>1</v>
      </c>
      <c r="L1297" s="34">
        <f>IF($J1297=1,LN(B1298/B1297),"")</f>
        <v/>
      </c>
      <c r="M1297" s="34">
        <f>IF($K1297=1,INDEX(Mensal!$D$2:$D$245,MATCH($I1297,Mensal!$A$2:$A$245,0)),"")</f>
        <v/>
      </c>
      <c r="N1297" s="34">
        <f>IF($K1297=1,L1297-M1297,"")</f>
        <v/>
      </c>
      <c r="O1297" s="34" t="n">
        <v>0.00045513</v>
      </c>
      <c r="P1297" s="34">
        <f>IF($J1297=1,LN(1+O1297),"")</f>
        <v/>
      </c>
      <c r="Q1297" s="34">
        <f>IF($J1297=1,LN(R1298/R1297),"")</f>
        <v/>
      </c>
      <c r="R1297" s="32" t="n">
        <v>1.5581</v>
      </c>
      <c r="S1297" s="35" t="n">
        <v>12.68</v>
      </c>
      <c r="T1297" s="18" t="n"/>
      <c r="U1297" s="18" t="n">
        <v>62207</v>
      </c>
      <c r="V1297" s="18" t="n"/>
      <c r="W1297" s="18" t="n"/>
      <c r="X1297" s="35" t="n">
        <v>12.68</v>
      </c>
      <c r="Y1297" s="35" t="n"/>
    </row>
    <row r="1298">
      <c r="A1298" s="25" t="n">
        <v>40732</v>
      </c>
      <c r="B1298" s="18" t="n">
        <v>61513</v>
      </c>
      <c r="C1298" s="31" t="n"/>
      <c r="D1298" s="32" t="n"/>
      <c r="E1298" s="33" t="n">
        <v>0.0025</v>
      </c>
      <c r="F1298" t="inlineStr">
        <is>
          <t>Up</t>
        </is>
      </c>
      <c r="G1298" t="inlineStr">
        <is>
          <t>Up</t>
        </is>
      </c>
      <c r="H1298" t="inlineStr">
        <is>
          <t>EU_JU</t>
        </is>
      </c>
      <c r="I1298" t="inlineStr">
        <is>
          <t>2011-07</t>
        </is>
      </c>
      <c r="J1298" t="n">
        <v>1</v>
      </c>
      <c r="K1298" t="n">
        <v>1</v>
      </c>
      <c r="L1298" s="34">
        <f>IF($J1298=1,LN(B1299/B1298),"")</f>
        <v/>
      </c>
      <c r="M1298" s="34">
        <f>IF($K1298=1,INDEX(Mensal!$D$2:$D$245,MATCH($I1298,Mensal!$A$2:$A$245,0)),"")</f>
        <v/>
      </c>
      <c r="N1298" s="34">
        <f>IF($K1298=1,L1298-M1298,"")</f>
        <v/>
      </c>
      <c r="O1298" s="34" t="n">
        <v>0.00045513</v>
      </c>
      <c r="P1298" s="34">
        <f>IF($J1298=1,LN(1+O1298),"")</f>
        <v/>
      </c>
      <c r="Q1298" s="34">
        <f>IF($J1298=1,LN(R1299/R1298),"")</f>
        <v/>
      </c>
      <c r="R1298" s="32" t="n">
        <v>1.5634</v>
      </c>
      <c r="S1298" s="35" t="n">
        <v>12.68</v>
      </c>
      <c r="T1298" s="18" t="n"/>
      <c r="U1298" s="18" t="n">
        <v>61513</v>
      </c>
      <c r="V1298" s="18" t="n"/>
      <c r="W1298" s="18" t="n"/>
      <c r="X1298" s="35" t="n">
        <v>12.68</v>
      </c>
      <c r="Y1298" s="35" t="n"/>
    </row>
    <row r="1299">
      <c r="A1299" s="25" t="n">
        <v>40735</v>
      </c>
      <c r="B1299" s="18" t="n">
        <v>60223</v>
      </c>
      <c r="C1299" s="31" t="n"/>
      <c r="D1299" s="32" t="n"/>
      <c r="E1299" s="33" t="n">
        <v>-0.008399999999999999</v>
      </c>
      <c r="F1299" t="inlineStr">
        <is>
          <t>Up</t>
        </is>
      </c>
      <c r="G1299" t="inlineStr">
        <is>
          <t>Up</t>
        </is>
      </c>
      <c r="H1299" t="inlineStr">
        <is>
          <t>EU_JU</t>
        </is>
      </c>
      <c r="I1299" t="inlineStr">
        <is>
          <t>2011-07</t>
        </is>
      </c>
      <c r="J1299" t="n">
        <v>1</v>
      </c>
      <c r="K1299" t="n">
        <v>1</v>
      </c>
      <c r="L1299" s="34">
        <f>IF($J1299=1,LN(B1300/B1299),"")</f>
        <v/>
      </c>
      <c r="M1299" s="34">
        <f>IF($K1299=1,INDEX(Mensal!$D$2:$D$245,MATCH($I1299,Mensal!$A$2:$A$245,0)),"")</f>
        <v/>
      </c>
      <c r="N1299" s="34">
        <f>IF($K1299=1,L1299-M1299,"")</f>
        <v/>
      </c>
      <c r="O1299" s="34" t="n">
        <v>0.00045513</v>
      </c>
      <c r="P1299" s="34">
        <f>IF($J1299=1,LN(1+O1299),"")</f>
        <v/>
      </c>
      <c r="Q1299" s="34">
        <f>IF($J1299=1,LN(R1300/R1299),"")</f>
        <v/>
      </c>
      <c r="R1299" s="32" t="n">
        <v>1.5796</v>
      </c>
      <c r="S1299" s="35" t="n">
        <v>12.662</v>
      </c>
      <c r="T1299" s="18" t="n"/>
      <c r="U1299" s="18" t="n">
        <v>60223</v>
      </c>
      <c r="V1299" s="18" t="n"/>
      <c r="W1299" s="18" t="n"/>
      <c r="X1299" s="35" t="n">
        <v>12.662</v>
      </c>
      <c r="Y1299" s="35" t="n"/>
    </row>
    <row r="1300">
      <c r="A1300" s="25" t="n">
        <v>40736</v>
      </c>
      <c r="B1300" s="18" t="n">
        <v>59704</v>
      </c>
      <c r="C1300" s="31" t="n"/>
      <c r="D1300" s="32" t="n"/>
      <c r="E1300" s="33" t="n">
        <v>-0.0173</v>
      </c>
      <c r="F1300" t="inlineStr">
        <is>
          <t>Up</t>
        </is>
      </c>
      <c r="G1300" t="inlineStr">
        <is>
          <t>Up</t>
        </is>
      </c>
      <c r="H1300" t="inlineStr">
        <is>
          <t>EU_JU</t>
        </is>
      </c>
      <c r="I1300" t="inlineStr">
        <is>
          <t>2011-07</t>
        </is>
      </c>
      <c r="J1300" t="n">
        <v>1</v>
      </c>
      <c r="K1300" t="n">
        <v>1</v>
      </c>
      <c r="L1300" s="34">
        <f>IF($J1300=1,LN(B1301/B1300),"")</f>
        <v/>
      </c>
      <c r="M1300" s="34">
        <f>IF($K1300=1,INDEX(Mensal!$D$2:$D$245,MATCH($I1300,Mensal!$A$2:$A$245,0)),"")</f>
        <v/>
      </c>
      <c r="N1300" s="34">
        <f>IF($K1300=1,L1300-M1300,"")</f>
        <v/>
      </c>
      <c r="O1300" s="34" t="n">
        <v>0.00045513</v>
      </c>
      <c r="P1300" s="34">
        <f>IF($J1300=1,LN(1+O1300),"")</f>
        <v/>
      </c>
      <c r="Q1300" s="34">
        <f>IF($J1300=1,LN(R1301/R1300),"")</f>
        <v/>
      </c>
      <c r="R1300" s="32" t="n">
        <v>1.5773</v>
      </c>
      <c r="S1300" s="35" t="n">
        <v>12.644</v>
      </c>
      <c r="T1300" s="18" t="n"/>
      <c r="U1300" s="18" t="n">
        <v>59704</v>
      </c>
      <c r="V1300" s="18" t="n"/>
      <c r="W1300" s="18" t="n"/>
      <c r="X1300" s="35" t="n">
        <v>12.644</v>
      </c>
      <c r="Y1300" s="35" t="n"/>
    </row>
    <row r="1301">
      <c r="A1301" s="25" t="n">
        <v>40737</v>
      </c>
      <c r="B1301" s="18" t="n">
        <v>60669</v>
      </c>
      <c r="C1301" s="31" t="n"/>
      <c r="D1301" s="32" t="n"/>
      <c r="E1301" s="33" t="n">
        <v>-0.0216</v>
      </c>
      <c r="F1301" t="inlineStr">
        <is>
          <t>Up</t>
        </is>
      </c>
      <c r="G1301" t="inlineStr">
        <is>
          <t>Up</t>
        </is>
      </c>
      <c r="H1301" t="inlineStr">
        <is>
          <t>EU_JU</t>
        </is>
      </c>
      <c r="I1301" t="inlineStr">
        <is>
          <t>2011-07</t>
        </is>
      </c>
      <c r="J1301" t="n">
        <v>1</v>
      </c>
      <c r="K1301" t="n">
        <v>1</v>
      </c>
      <c r="L1301" s="34">
        <f>IF($J1301=1,LN(B1302/B1301),"")</f>
        <v/>
      </c>
      <c r="M1301" s="34">
        <f>IF($K1301=1,INDEX(Mensal!$D$2:$D$245,MATCH($I1301,Mensal!$A$2:$A$245,0)),"")</f>
        <v/>
      </c>
      <c r="N1301" s="34">
        <f>IF($K1301=1,L1301-M1301,"")</f>
        <v/>
      </c>
      <c r="O1301" s="34" t="n">
        <v>0.00045549</v>
      </c>
      <c r="P1301" s="34">
        <f>IF($J1301=1,LN(1+O1301),"")</f>
        <v/>
      </c>
      <c r="Q1301" s="34">
        <f>IF($J1301=1,LN(R1302/R1301),"")</f>
        <v/>
      </c>
      <c r="R1301" s="32" t="n">
        <v>1.5762</v>
      </c>
      <c r="S1301" s="35" t="n">
        <v>12.625</v>
      </c>
      <c r="T1301" s="18" t="n"/>
      <c r="U1301" s="18" t="n">
        <v>60669</v>
      </c>
      <c r="V1301" s="18" t="n"/>
      <c r="W1301" s="18" t="n"/>
      <c r="X1301" s="35" t="n">
        <v>12.625</v>
      </c>
      <c r="Y1301" s="35" t="n"/>
    </row>
    <row r="1302">
      <c r="A1302" s="25" t="n">
        <v>40738</v>
      </c>
      <c r="B1302" s="18" t="n">
        <v>59679</v>
      </c>
      <c r="C1302" s="31" t="n"/>
      <c r="D1302" s="32" t="n"/>
      <c r="E1302" s="33" t="n">
        <v>-0.0251</v>
      </c>
      <c r="F1302" t="inlineStr">
        <is>
          <t>Up</t>
        </is>
      </c>
      <c r="G1302" t="inlineStr">
        <is>
          <t>Up</t>
        </is>
      </c>
      <c r="H1302" t="inlineStr">
        <is>
          <t>EU_JU</t>
        </is>
      </c>
      <c r="I1302" t="inlineStr">
        <is>
          <t>2011-07</t>
        </is>
      </c>
      <c r="J1302" t="n">
        <v>1</v>
      </c>
      <c r="K1302" t="n">
        <v>1</v>
      </c>
      <c r="L1302" s="34">
        <f>IF($J1302=1,LN(B1303/B1302),"")</f>
        <v/>
      </c>
      <c r="M1302" s="34">
        <f>IF($K1302=1,INDEX(Mensal!$D$2:$D$245,MATCH($I1302,Mensal!$A$2:$A$245,0)),"")</f>
        <v/>
      </c>
      <c r="N1302" s="34">
        <f>IF($K1302=1,L1302-M1302,"")</f>
        <v/>
      </c>
      <c r="O1302" s="34" t="n">
        <v>0.00045549</v>
      </c>
      <c r="P1302" s="34">
        <f>IF($J1302=1,LN(1+O1302),"")</f>
        <v/>
      </c>
      <c r="Q1302" s="34">
        <f>IF($J1302=1,LN(R1303/R1302),"")</f>
        <v/>
      </c>
      <c r="R1302" s="32" t="n">
        <v>1.5729</v>
      </c>
      <c r="S1302" s="35" t="n">
        <v>12.614</v>
      </c>
      <c r="T1302" s="18" t="n"/>
      <c r="U1302" s="18" t="n">
        <v>59679</v>
      </c>
      <c r="V1302" s="18" t="n"/>
      <c r="W1302" s="18" t="n"/>
      <c r="X1302" s="35" t="n">
        <v>12.614</v>
      </c>
      <c r="Y1302" s="35" t="n"/>
    </row>
    <row r="1303">
      <c r="A1303" s="25" t="n">
        <v>40739</v>
      </c>
      <c r="B1303" s="18" t="n">
        <v>59478</v>
      </c>
      <c r="C1303" s="31" t="n"/>
      <c r="D1303" s="32" t="n"/>
      <c r="E1303" s="33" t="n">
        <v>-0.0242</v>
      </c>
      <c r="F1303" t="inlineStr">
        <is>
          <t>Up</t>
        </is>
      </c>
      <c r="G1303" t="inlineStr">
        <is>
          <t>Up</t>
        </is>
      </c>
      <c r="H1303" t="inlineStr">
        <is>
          <t>EU_JU</t>
        </is>
      </c>
      <c r="I1303" t="inlineStr">
        <is>
          <t>2011-07</t>
        </is>
      </c>
      <c r="J1303" t="n">
        <v>1</v>
      </c>
      <c r="K1303" t="n">
        <v>1</v>
      </c>
      <c r="L1303" s="34">
        <f>IF($J1303=1,LN(B1304/B1303),"")</f>
        <v/>
      </c>
      <c r="M1303" s="34">
        <f>IF($K1303=1,INDEX(Mensal!$D$2:$D$245,MATCH($I1303,Mensal!$A$2:$A$245,0)),"")</f>
        <v/>
      </c>
      <c r="N1303" s="34">
        <f>IF($K1303=1,L1303-M1303,"")</f>
        <v/>
      </c>
      <c r="O1303" s="34" t="n">
        <v>0.00045549</v>
      </c>
      <c r="P1303" s="34">
        <f>IF($J1303=1,LN(1+O1303),"")</f>
        <v/>
      </c>
      <c r="Q1303" s="34">
        <f>IF($J1303=1,LN(R1304/R1303),"")</f>
        <v/>
      </c>
      <c r="R1303" s="32" t="n">
        <v>1.5743</v>
      </c>
      <c r="S1303" s="35" t="n">
        <v>12.625</v>
      </c>
      <c r="T1303" s="18" t="n"/>
      <c r="U1303" s="18" t="n">
        <v>59478</v>
      </c>
      <c r="V1303" s="18" t="n"/>
      <c r="W1303" s="18" t="n"/>
      <c r="X1303" s="35" t="n">
        <v>12.625</v>
      </c>
      <c r="Y1303" s="35" t="n"/>
    </row>
    <row r="1304">
      <c r="A1304" s="25" t="n">
        <v>40742</v>
      </c>
      <c r="B1304" s="18" t="n">
        <v>58837</v>
      </c>
      <c r="C1304" s="31" t="n"/>
      <c r="D1304" s="32" t="n"/>
      <c r="E1304" s="33" t="n">
        <v>-0.0222</v>
      </c>
      <c r="F1304" t="inlineStr">
        <is>
          <t>Up</t>
        </is>
      </c>
      <c r="G1304" t="inlineStr">
        <is>
          <t>Up</t>
        </is>
      </c>
      <c r="H1304" t="inlineStr">
        <is>
          <t>EU_JU</t>
        </is>
      </c>
      <c r="I1304" t="inlineStr">
        <is>
          <t>2011-07</t>
        </is>
      </c>
      <c r="J1304" t="n">
        <v>1</v>
      </c>
      <c r="K1304" t="n">
        <v>1</v>
      </c>
      <c r="L1304" s="34">
        <f>IF($J1304=1,LN(B1305/B1304),"")</f>
        <v/>
      </c>
      <c r="M1304" s="34">
        <f>IF($K1304=1,INDEX(Mensal!$D$2:$D$245,MATCH($I1304,Mensal!$A$2:$A$245,0)),"")</f>
        <v/>
      </c>
      <c r="N1304" s="34">
        <f>IF($K1304=1,L1304-M1304,"")</f>
        <v/>
      </c>
      <c r="O1304" s="34" t="n">
        <v>0.00045549</v>
      </c>
      <c r="P1304" s="34">
        <f>IF($J1304=1,LN(1+O1304),"")</f>
        <v/>
      </c>
      <c r="Q1304" s="34">
        <f>IF($J1304=1,LN(R1305/R1304),"")</f>
        <v/>
      </c>
      <c r="R1304" s="32" t="n">
        <v>1.5828</v>
      </c>
      <c r="S1304" s="35" t="n">
        <v>12.598</v>
      </c>
      <c r="T1304" s="18" t="n"/>
      <c r="U1304" s="18" t="n">
        <v>58837</v>
      </c>
      <c r="V1304" s="18" t="n"/>
      <c r="W1304" s="18" t="n"/>
      <c r="X1304" s="35" t="n">
        <v>12.598</v>
      </c>
      <c r="Y1304" s="35" t="n"/>
    </row>
    <row r="1305">
      <c r="A1305" s="25" t="n">
        <v>40743</v>
      </c>
      <c r="B1305" s="18" t="n">
        <v>59082</v>
      </c>
      <c r="C1305" s="31" t="n"/>
      <c r="D1305" s="32" t="n"/>
      <c r="E1305" s="33" t="n">
        <v>-0.0179</v>
      </c>
      <c r="F1305" t="inlineStr">
        <is>
          <t>Up</t>
        </is>
      </c>
      <c r="G1305" t="inlineStr">
        <is>
          <t>Up</t>
        </is>
      </c>
      <c r="H1305" t="inlineStr">
        <is>
          <t>EU_JU</t>
        </is>
      </c>
      <c r="I1305" t="inlineStr">
        <is>
          <t>2011-07</t>
        </is>
      </c>
      <c r="J1305" t="n">
        <v>1</v>
      </c>
      <c r="K1305" t="n">
        <v>1</v>
      </c>
      <c r="L1305" s="34">
        <f>IF($J1305=1,LN(B1306/B1305),"")</f>
        <v/>
      </c>
      <c r="M1305" s="34">
        <f>IF($K1305=1,INDEX(Mensal!$D$2:$D$245,MATCH($I1305,Mensal!$A$2:$A$245,0)),"")</f>
        <v/>
      </c>
      <c r="N1305" s="34">
        <f>IF($K1305=1,L1305-M1305,"")</f>
        <v/>
      </c>
      <c r="O1305" s="34" t="n">
        <v>0.00045513</v>
      </c>
      <c r="P1305" s="34">
        <f>IF($J1305=1,LN(1+O1305),"")</f>
        <v/>
      </c>
      <c r="Q1305" s="34">
        <f>IF($J1305=1,LN(R1306/R1305),"")</f>
        <v/>
      </c>
      <c r="R1305" s="32" t="n">
        <v>1.5691</v>
      </c>
      <c r="S1305" s="35" t="n">
        <v>12.579</v>
      </c>
      <c r="T1305" s="18" t="n"/>
      <c r="U1305" s="18" t="n">
        <v>59082</v>
      </c>
      <c r="V1305" s="18" t="n"/>
      <c r="W1305" s="18" t="n"/>
      <c r="X1305" s="35" t="n">
        <v>12.579</v>
      </c>
      <c r="Y1305" s="35" t="n"/>
    </row>
    <row r="1306">
      <c r="A1306" s="25" t="n">
        <v>40744</v>
      </c>
      <c r="B1306" s="18" t="n">
        <v>59119</v>
      </c>
      <c r="C1306" s="31" t="n"/>
      <c r="D1306" s="32" t="n"/>
      <c r="E1306" s="33" t="n">
        <v>-0.0181</v>
      </c>
      <c r="F1306" t="inlineStr">
        <is>
          <t>Up</t>
        </is>
      </c>
      <c r="G1306" t="inlineStr">
        <is>
          <t>Up</t>
        </is>
      </c>
      <c r="H1306" t="inlineStr">
        <is>
          <t>EU_JU</t>
        </is>
      </c>
      <c r="I1306" t="inlineStr">
        <is>
          <t>2011-07</t>
        </is>
      </c>
      <c r="J1306" t="n">
        <v>1</v>
      </c>
      <c r="K1306" t="n">
        <v>1</v>
      </c>
      <c r="L1306" s="34">
        <f>IF($J1306=1,LN(B1307/B1306),"")</f>
        <v/>
      </c>
      <c r="M1306" s="34">
        <f>IF($K1306=1,INDEX(Mensal!$D$2:$D$245,MATCH($I1306,Mensal!$A$2:$A$245,0)),"")</f>
        <v/>
      </c>
      <c r="N1306" s="34">
        <f>IF($K1306=1,L1306-M1306,"")</f>
        <v/>
      </c>
      <c r="O1306" s="34" t="n">
        <v>0.00045513</v>
      </c>
      <c r="P1306" s="34">
        <f>IF($J1306=1,LN(1+O1306),"")</f>
        <v/>
      </c>
      <c r="Q1306" s="34">
        <f>IF($J1306=1,LN(R1307/R1306),"")</f>
        <v/>
      </c>
      <c r="R1306" s="32" t="n">
        <v>1.5651</v>
      </c>
      <c r="S1306" s="35" t="n">
        <v>12.61</v>
      </c>
      <c r="T1306" s="18" t="n"/>
      <c r="U1306" s="18" t="n">
        <v>59119</v>
      </c>
      <c r="V1306" s="18" t="n"/>
      <c r="W1306" s="18" t="n"/>
      <c r="X1306" s="35" t="n">
        <v>12.61</v>
      </c>
      <c r="Y1306" s="35" t="n"/>
    </row>
    <row r="1307">
      <c r="A1307" s="25" t="n">
        <v>40745</v>
      </c>
      <c r="B1307" s="18" t="n">
        <v>60262</v>
      </c>
      <c r="C1307" s="31" t="n"/>
      <c r="D1307" s="32" t="n"/>
      <c r="E1307" s="33" t="n">
        <v>-0.02</v>
      </c>
      <c r="F1307" t="inlineStr">
        <is>
          <t>Up</t>
        </is>
      </c>
      <c r="G1307" t="inlineStr">
        <is>
          <t>Up</t>
        </is>
      </c>
      <c r="H1307" t="inlineStr">
        <is>
          <t>EU_JU</t>
        </is>
      </c>
      <c r="I1307" t="inlineStr">
        <is>
          <t>2011-07</t>
        </is>
      </c>
      <c r="J1307" t="n">
        <v>1</v>
      </c>
      <c r="K1307" t="n">
        <v>1</v>
      </c>
      <c r="L1307" s="34">
        <f>IF($J1307=1,LN(B1308/B1307),"")</f>
        <v/>
      </c>
      <c r="M1307" s="34">
        <f>IF($K1307=1,INDEX(Mensal!$D$2:$D$245,MATCH($I1307,Mensal!$A$2:$A$245,0)),"")</f>
        <v/>
      </c>
      <c r="N1307" s="34">
        <f>IF($K1307=1,L1307-M1307,"")</f>
        <v/>
      </c>
      <c r="O1307" s="34" t="n">
        <v>0.00046397</v>
      </c>
      <c r="P1307" s="34">
        <f>IF($J1307=1,LN(1+O1307),"")</f>
        <v/>
      </c>
      <c r="Q1307" s="34">
        <f>IF($J1307=1,LN(R1308/R1307),"")</f>
        <v/>
      </c>
      <c r="R1307" s="32" t="n">
        <v>1.5567</v>
      </c>
      <c r="S1307" s="35" t="n">
        <v>12.593</v>
      </c>
      <c r="T1307" s="18" t="n"/>
      <c r="U1307" s="18" t="n">
        <v>60262</v>
      </c>
      <c r="V1307" s="18" t="n"/>
      <c r="W1307" s="18" t="n"/>
      <c r="X1307" s="35" t="n">
        <v>12.593</v>
      </c>
      <c r="Y1307" s="35" t="n"/>
    </row>
    <row r="1308">
      <c r="A1308" s="25" t="n">
        <v>40746</v>
      </c>
      <c r="B1308" s="18" t="n">
        <v>60270</v>
      </c>
      <c r="C1308" s="31" t="n"/>
      <c r="D1308" s="32" t="n"/>
      <c r="E1308" s="33" t="n">
        <v>-0.0191</v>
      </c>
      <c r="F1308" t="inlineStr">
        <is>
          <t>Up</t>
        </is>
      </c>
      <c r="G1308" t="inlineStr">
        <is>
          <t>Up</t>
        </is>
      </c>
      <c r="H1308" t="inlineStr">
        <is>
          <t>EU_JU</t>
        </is>
      </c>
      <c r="I1308" t="inlineStr">
        <is>
          <t>2011-07</t>
        </is>
      </c>
      <c r="J1308" t="n">
        <v>1</v>
      </c>
      <c r="K1308" t="n">
        <v>1</v>
      </c>
      <c r="L1308" s="34">
        <f>IF($J1308=1,LN(B1309/B1308),"")</f>
        <v/>
      </c>
      <c r="M1308" s="34">
        <f>IF($K1308=1,INDEX(Mensal!$D$2:$D$245,MATCH($I1308,Mensal!$A$2:$A$245,0)),"")</f>
        <v/>
      </c>
      <c r="N1308" s="34">
        <f>IF($K1308=1,L1308-M1308,"")</f>
        <v/>
      </c>
      <c r="O1308" s="34" t="n">
        <v>0.00046397</v>
      </c>
      <c r="P1308" s="34">
        <f>IF($J1308=1,LN(1+O1308),"")</f>
        <v/>
      </c>
      <c r="Q1308" s="34">
        <f>IF($J1308=1,LN(R1309/R1308),"")</f>
        <v/>
      </c>
      <c r="R1308" s="32" t="n">
        <v>1.5547</v>
      </c>
      <c r="S1308" s="35" t="n">
        <v>12.6</v>
      </c>
      <c r="T1308" s="18" t="n"/>
      <c r="U1308" s="18" t="n">
        <v>60270</v>
      </c>
      <c r="V1308" s="18" t="n"/>
      <c r="W1308" s="18" t="n"/>
      <c r="X1308" s="35" t="n">
        <v>12.6</v>
      </c>
      <c r="Y1308" s="35" t="n"/>
    </row>
    <row r="1309">
      <c r="A1309" s="25" t="n">
        <v>40749</v>
      </c>
      <c r="B1309" s="18" t="n">
        <v>59970</v>
      </c>
      <c r="C1309" s="31" t="n"/>
      <c r="D1309" s="32" t="n"/>
      <c r="E1309" s="33" t="n">
        <v>-0.0225</v>
      </c>
      <c r="F1309" t="inlineStr">
        <is>
          <t>Up</t>
        </is>
      </c>
      <c r="G1309" t="inlineStr">
        <is>
          <t>Up</t>
        </is>
      </c>
      <c r="H1309" t="inlineStr">
        <is>
          <t>EU_JU</t>
        </is>
      </c>
      <c r="I1309" t="inlineStr">
        <is>
          <t>2011-07</t>
        </is>
      </c>
      <c r="J1309" t="n">
        <v>1</v>
      </c>
      <c r="K1309" t="n">
        <v>1</v>
      </c>
      <c r="L1309" s="34">
        <f>IF($J1309=1,LN(B1310/B1309),"")</f>
        <v/>
      </c>
      <c r="M1309" s="34">
        <f>IF($K1309=1,INDEX(Mensal!$D$2:$D$245,MATCH($I1309,Mensal!$A$2:$A$245,0)),"")</f>
        <v/>
      </c>
      <c r="N1309" s="34">
        <f>IF($K1309=1,L1309-M1309,"")</f>
        <v/>
      </c>
      <c r="O1309" s="34" t="n">
        <v>0.00046432</v>
      </c>
      <c r="P1309" s="34">
        <f>IF($J1309=1,LN(1+O1309),"")</f>
        <v/>
      </c>
      <c r="Q1309" s="34">
        <f>IF($J1309=1,LN(R1310/R1309),"")</f>
        <v/>
      </c>
      <c r="R1309" s="32" t="n">
        <v>1.5449</v>
      </c>
      <c r="S1309" s="35" t="n">
        <v>12.597</v>
      </c>
      <c r="T1309" s="18" t="n"/>
      <c r="U1309" s="18" t="n">
        <v>59970</v>
      </c>
      <c r="V1309" s="18" t="n"/>
      <c r="W1309" s="18" t="n"/>
      <c r="X1309" s="35" t="n">
        <v>12.597</v>
      </c>
      <c r="Y1309" s="35" t="n"/>
    </row>
    <row r="1310">
      <c r="A1310" s="25" t="n">
        <v>40750</v>
      </c>
      <c r="B1310" s="18" t="n">
        <v>59339</v>
      </c>
      <c r="C1310" s="31" t="n"/>
      <c r="D1310" s="32" t="n"/>
      <c r="E1310" s="33" t="n">
        <v>-0.0263</v>
      </c>
      <c r="F1310" t="inlineStr">
        <is>
          <t>Up</t>
        </is>
      </c>
      <c r="G1310" t="inlineStr">
        <is>
          <t>Up</t>
        </is>
      </c>
      <c r="H1310" t="inlineStr">
        <is>
          <t>EU_JU</t>
        </is>
      </c>
      <c r="I1310" t="inlineStr">
        <is>
          <t>2011-07</t>
        </is>
      </c>
      <c r="J1310" t="n">
        <v>1</v>
      </c>
      <c r="K1310" t="n">
        <v>1</v>
      </c>
      <c r="L1310" s="34">
        <f>IF($J1310=1,LN(B1311/B1310),"")</f>
        <v/>
      </c>
      <c r="M1310" s="34">
        <f>IF($K1310=1,INDEX(Mensal!$D$2:$D$245,MATCH($I1310,Mensal!$A$2:$A$245,0)),"")</f>
        <v/>
      </c>
      <c r="N1310" s="34">
        <f>IF($K1310=1,L1310-M1310,"")</f>
        <v/>
      </c>
      <c r="O1310" s="34" t="n">
        <v>0.00046397</v>
      </c>
      <c r="P1310" s="34">
        <f>IF($J1310=1,LN(1+O1310),"")</f>
        <v/>
      </c>
      <c r="Q1310" s="34">
        <f>IF($J1310=1,LN(R1311/R1310),"")</f>
        <v/>
      </c>
      <c r="R1310" s="32" t="n">
        <v>1.5345</v>
      </c>
      <c r="S1310" s="35" t="n">
        <v>12.593</v>
      </c>
      <c r="T1310" s="18" t="n"/>
      <c r="U1310" s="18" t="n">
        <v>59339</v>
      </c>
      <c r="V1310" s="18" t="n"/>
      <c r="W1310" s="18" t="n"/>
      <c r="X1310" s="35" t="n">
        <v>12.593</v>
      </c>
      <c r="Y1310" s="35" t="n"/>
    </row>
    <row r="1311">
      <c r="A1311" s="25" t="n">
        <v>40751</v>
      </c>
      <c r="B1311" s="18" t="n">
        <v>58288</v>
      </c>
      <c r="C1311" s="31" t="n"/>
      <c r="D1311" s="32" t="n"/>
      <c r="E1311" s="33" t="n">
        <v>-0.029</v>
      </c>
      <c r="F1311" t="inlineStr">
        <is>
          <t>Up</t>
        </is>
      </c>
      <c r="G1311" t="inlineStr">
        <is>
          <t>Up</t>
        </is>
      </c>
      <c r="H1311" t="inlineStr">
        <is>
          <t>EU_JU</t>
        </is>
      </c>
      <c r="I1311" t="inlineStr">
        <is>
          <t>2011-07</t>
        </is>
      </c>
      <c r="J1311" t="n">
        <v>1</v>
      </c>
      <c r="K1311" t="n">
        <v>1</v>
      </c>
      <c r="L1311" s="34">
        <f>IF($J1311=1,LN(B1312/B1311),"")</f>
        <v/>
      </c>
      <c r="M1311" s="34">
        <f>IF($K1311=1,INDEX(Mensal!$D$2:$D$245,MATCH($I1311,Mensal!$A$2:$A$245,0)),"")</f>
        <v/>
      </c>
      <c r="N1311" s="34">
        <f>IF($K1311=1,L1311-M1311,"")</f>
        <v/>
      </c>
      <c r="O1311" s="34" t="n">
        <v>0.00046397</v>
      </c>
      <c r="P1311" s="34">
        <f>IF($J1311=1,LN(1+O1311),"")</f>
        <v/>
      </c>
      <c r="Q1311" s="34">
        <f>IF($J1311=1,LN(R1312/R1311),"")</f>
        <v/>
      </c>
      <c r="R1311" s="32" t="n">
        <v>1.5639</v>
      </c>
      <c r="S1311" s="35" t="n">
        <v>12.595</v>
      </c>
      <c r="T1311" s="18" t="n"/>
      <c r="U1311" s="18" t="n">
        <v>58288</v>
      </c>
      <c r="V1311" s="18" t="n"/>
      <c r="W1311" s="18" t="n"/>
      <c r="X1311" s="35" t="n">
        <v>12.595</v>
      </c>
      <c r="Y1311" s="35" t="n"/>
    </row>
    <row r="1312">
      <c r="A1312" s="25" t="n">
        <v>40752</v>
      </c>
      <c r="B1312" s="18" t="n">
        <v>58708</v>
      </c>
      <c r="C1312" s="31" t="n"/>
      <c r="D1312" s="32" t="n"/>
      <c r="E1312" s="33" t="n">
        <v>-0.0317</v>
      </c>
      <c r="F1312" t="inlineStr">
        <is>
          <t>Up</t>
        </is>
      </c>
      <c r="G1312" t="inlineStr">
        <is>
          <t>Up</t>
        </is>
      </c>
      <c r="H1312" t="inlineStr">
        <is>
          <t>EU_JU</t>
        </is>
      </c>
      <c r="I1312" t="inlineStr">
        <is>
          <t>2011-07</t>
        </is>
      </c>
      <c r="J1312" t="n">
        <v>1</v>
      </c>
      <c r="K1312" t="n">
        <v>1</v>
      </c>
      <c r="L1312" s="34">
        <f>IF($J1312=1,LN(B1313/B1312),"")</f>
        <v/>
      </c>
      <c r="M1312" s="34">
        <f>IF($K1312=1,INDEX(Mensal!$D$2:$D$245,MATCH($I1312,Mensal!$A$2:$A$245,0)),"")</f>
        <v/>
      </c>
      <c r="N1312" s="34">
        <f>IF($K1312=1,L1312-M1312,"")</f>
        <v/>
      </c>
      <c r="O1312" s="34" t="n">
        <v>0.00046397</v>
      </c>
      <c r="P1312" s="34">
        <f>IF($J1312=1,LN(1+O1312),"")</f>
        <v/>
      </c>
      <c r="Q1312" s="34">
        <f>IF($J1312=1,LN(R1313/R1312),"")</f>
        <v/>
      </c>
      <c r="R1312" s="32" t="n">
        <v>1.5651</v>
      </c>
      <c r="S1312" s="35" t="n">
        <v>12.592</v>
      </c>
      <c r="T1312" s="18" t="n"/>
      <c r="U1312" s="18" t="n">
        <v>58708</v>
      </c>
      <c r="V1312" s="18" t="n"/>
      <c r="W1312" s="18" t="n"/>
      <c r="X1312" s="35" t="n">
        <v>12.592</v>
      </c>
      <c r="Y1312" s="35" t="n"/>
    </row>
    <row r="1313">
      <c r="A1313" s="25" t="n">
        <v>40753</v>
      </c>
      <c r="B1313" s="18" t="n">
        <v>58823</v>
      </c>
      <c r="C1313" s="31" t="n"/>
      <c r="D1313" s="32" t="n"/>
      <c r="E1313" s="33" t="n">
        <v>-0.0505</v>
      </c>
      <c r="F1313" t="inlineStr">
        <is>
          <t>Up</t>
        </is>
      </c>
      <c r="G1313" t="inlineStr">
        <is>
          <t>Up</t>
        </is>
      </c>
      <c r="H1313" t="inlineStr">
        <is>
          <t>EU_JU</t>
        </is>
      </c>
      <c r="I1313" t="inlineStr">
        <is>
          <t>2011-07</t>
        </is>
      </c>
      <c r="J1313" t="n">
        <v>1</v>
      </c>
      <c r="K1313" t="n">
        <v>1</v>
      </c>
      <c r="L1313" s="34">
        <f>IF($J1313=1,LN(B1314/B1313),"")</f>
        <v/>
      </c>
      <c r="M1313" s="34">
        <f>IF($K1313=1,INDEX(Mensal!$D$2:$D$245,MATCH($I1313,Mensal!$A$2:$A$245,0)),"")</f>
        <v/>
      </c>
      <c r="N1313" s="34">
        <f>IF($K1313=1,L1313-M1313,"")</f>
        <v/>
      </c>
      <c r="O1313" s="34" t="n">
        <v>0.00046397</v>
      </c>
      <c r="P1313" s="34">
        <f>IF($J1313=1,LN(1+O1313),"")</f>
        <v/>
      </c>
      <c r="Q1313" s="34">
        <f>IF($J1313=1,LN(R1314/R1313),"")</f>
        <v/>
      </c>
      <c r="R1313" s="32" t="n">
        <v>1.5563</v>
      </c>
      <c r="S1313" s="35" t="n">
        <v>12.582</v>
      </c>
      <c r="T1313" s="18" t="n"/>
      <c r="U1313" s="18" t="n">
        <v>58823</v>
      </c>
      <c r="V1313" s="18" t="n"/>
      <c r="W1313" s="18" t="n"/>
      <c r="X1313" s="35" t="n">
        <v>12.582</v>
      </c>
      <c r="Y1313" s="35" t="n"/>
    </row>
    <row r="1314">
      <c r="A1314" s="25" t="n">
        <v>40756</v>
      </c>
      <c r="B1314" s="18" t="n">
        <v>58535</v>
      </c>
      <c r="C1314" s="31" t="n"/>
      <c r="D1314" s="32" t="n"/>
      <c r="E1314" s="33" t="n">
        <v>-0.0684</v>
      </c>
      <c r="F1314" t="inlineStr">
        <is>
          <t>Down</t>
        </is>
      </c>
      <c r="G1314" t="inlineStr">
        <is>
          <t>Up</t>
        </is>
      </c>
      <c r="H1314" t="inlineStr">
        <is>
          <t>ED_JU</t>
        </is>
      </c>
      <c r="I1314" t="inlineStr">
        <is>
          <t>2011-08</t>
        </is>
      </c>
      <c r="J1314" t="n">
        <v>1</v>
      </c>
      <c r="K1314" t="n">
        <v>1</v>
      </c>
      <c r="L1314" s="34">
        <f>IF($J1314=1,LN(B1315/B1314),"")</f>
        <v/>
      </c>
      <c r="M1314" s="34">
        <f>IF($K1314=1,INDEX(Mensal!$D$2:$D$245,MATCH($I1314,Mensal!$A$2:$A$245,0)),"")</f>
        <v/>
      </c>
      <c r="N1314" s="34">
        <f>IF($K1314=1,L1314-M1314,"")</f>
        <v/>
      </c>
      <c r="O1314" s="34" t="n">
        <v>0.00046432</v>
      </c>
      <c r="P1314" s="34">
        <f>IF($J1314=1,LN(1+O1314),"")</f>
        <v/>
      </c>
      <c r="Q1314" s="34">
        <f>IF($J1314=1,LN(R1315/R1314),"")</f>
        <v/>
      </c>
      <c r="R1314" s="32" t="n">
        <v>1.5551</v>
      </c>
      <c r="S1314" s="35" t="n">
        <v>12.537</v>
      </c>
      <c r="T1314" s="18" t="n"/>
      <c r="U1314" s="18" t="n"/>
      <c r="V1314" s="18" t="n"/>
      <c r="W1314" s="18" t="n">
        <v>58535</v>
      </c>
      <c r="X1314" s="35" t="n">
        <v>12.537</v>
      </c>
      <c r="Y1314" s="35" t="n"/>
    </row>
    <row r="1315">
      <c r="A1315" s="25" t="n">
        <v>40757</v>
      </c>
      <c r="B1315" s="18" t="n">
        <v>57310</v>
      </c>
      <c r="C1315" s="31" t="n"/>
      <c r="D1315" s="32" t="n"/>
      <c r="E1315" s="33" t="n">
        <v>-0.09279999999999999</v>
      </c>
      <c r="F1315" t="inlineStr">
        <is>
          <t>Down</t>
        </is>
      </c>
      <c r="G1315" t="inlineStr">
        <is>
          <t>Up</t>
        </is>
      </c>
      <c r="H1315" t="inlineStr">
        <is>
          <t>ED_JU</t>
        </is>
      </c>
      <c r="I1315" t="inlineStr">
        <is>
          <t>2011-08</t>
        </is>
      </c>
      <c r="J1315" t="n">
        <v>1</v>
      </c>
      <c r="K1315" t="n">
        <v>1</v>
      </c>
      <c r="L1315" s="34">
        <f>IF($J1315=1,LN(B1316/B1315),"")</f>
        <v/>
      </c>
      <c r="M1315" s="34">
        <f>IF($K1315=1,INDEX(Mensal!$D$2:$D$245,MATCH($I1315,Mensal!$A$2:$A$245,0)),"")</f>
        <v/>
      </c>
      <c r="N1315" s="34">
        <f>IF($K1315=1,L1315-M1315,"")</f>
        <v/>
      </c>
      <c r="O1315" s="34" t="n">
        <v>0.00046397</v>
      </c>
      <c r="P1315" s="34">
        <f>IF($J1315=1,LN(1+O1315),"")</f>
        <v/>
      </c>
      <c r="Q1315" s="34">
        <f>IF($J1315=1,LN(R1316/R1315),"")</f>
        <v/>
      </c>
      <c r="R1315" s="32" t="n">
        <v>1.5656</v>
      </c>
      <c r="S1315" s="35" t="n">
        <v>12.497</v>
      </c>
      <c r="T1315" s="18" t="n"/>
      <c r="U1315" s="18" t="n"/>
      <c r="V1315" s="18" t="n"/>
      <c r="W1315" s="18" t="n">
        <v>57310</v>
      </c>
      <c r="X1315" s="35" t="n">
        <v>12.497</v>
      </c>
      <c r="Y1315" s="35" t="n"/>
    </row>
    <row r="1316">
      <c r="A1316" s="25" t="n">
        <v>40758</v>
      </c>
      <c r="B1316" s="18" t="n">
        <v>56017</v>
      </c>
      <c r="C1316" s="31" t="n"/>
      <c r="D1316" s="32" t="n"/>
      <c r="E1316" s="33" t="n">
        <v>-0.1152</v>
      </c>
      <c r="F1316" t="inlineStr">
        <is>
          <t>Down</t>
        </is>
      </c>
      <c r="G1316" t="inlineStr">
        <is>
          <t>Up</t>
        </is>
      </c>
      <c r="H1316" t="inlineStr">
        <is>
          <t>ED_JU</t>
        </is>
      </c>
      <c r="I1316" t="inlineStr">
        <is>
          <t>2011-08</t>
        </is>
      </c>
      <c r="J1316" t="n">
        <v>1</v>
      </c>
      <c r="K1316" t="n">
        <v>1</v>
      </c>
      <c r="L1316" s="34">
        <f>IF($J1316=1,LN(B1317/B1316),"")</f>
        <v/>
      </c>
      <c r="M1316" s="34">
        <f>IF($K1316=1,INDEX(Mensal!$D$2:$D$245,MATCH($I1316,Mensal!$A$2:$A$245,0)),"")</f>
        <v/>
      </c>
      <c r="N1316" s="34">
        <f>IF($K1316=1,L1316-M1316,"")</f>
        <v/>
      </c>
      <c r="O1316" s="34" t="n">
        <v>0.00046397</v>
      </c>
      <c r="P1316" s="34">
        <f>IF($J1316=1,LN(1+O1316),"")</f>
        <v/>
      </c>
      <c r="Q1316" s="34">
        <f>IF($J1316=1,LN(R1317/R1316),"")</f>
        <v/>
      </c>
      <c r="R1316" s="32" t="n">
        <v>1.5651</v>
      </c>
      <c r="S1316" s="35" t="n">
        <v>12.497</v>
      </c>
      <c r="T1316" s="18" t="n"/>
      <c r="U1316" s="18" t="n"/>
      <c r="V1316" s="18" t="n"/>
      <c r="W1316" s="18" t="n">
        <v>56017</v>
      </c>
      <c r="X1316" s="35" t="n">
        <v>12.497</v>
      </c>
      <c r="Y1316" s="35" t="n"/>
    </row>
    <row r="1317">
      <c r="A1317" s="25" t="n">
        <v>40759</v>
      </c>
      <c r="B1317" s="18" t="n">
        <v>52811</v>
      </c>
      <c r="C1317" s="31" t="n"/>
      <c r="D1317" s="32" t="n"/>
      <c r="E1317" s="33" t="n">
        <v>-0.1449</v>
      </c>
      <c r="F1317" t="inlineStr">
        <is>
          <t>Down</t>
        </is>
      </c>
      <c r="G1317" t="inlineStr">
        <is>
          <t>Up</t>
        </is>
      </c>
      <c r="H1317" t="inlineStr">
        <is>
          <t>ED_JU</t>
        </is>
      </c>
      <c r="I1317" t="inlineStr">
        <is>
          <t>2011-08</t>
        </is>
      </c>
      <c r="J1317" t="n">
        <v>1</v>
      </c>
      <c r="K1317" t="n">
        <v>1</v>
      </c>
      <c r="L1317" s="34">
        <f>IF($J1317=1,LN(B1318/B1317),"")</f>
        <v/>
      </c>
      <c r="M1317" s="34">
        <f>IF($K1317=1,INDEX(Mensal!$D$2:$D$245,MATCH($I1317,Mensal!$A$2:$A$245,0)),"")</f>
        <v/>
      </c>
      <c r="N1317" s="34">
        <f>IF($K1317=1,L1317-M1317,"")</f>
        <v/>
      </c>
      <c r="O1317" s="34" t="n">
        <v>0.00046397</v>
      </c>
      <c r="P1317" s="34">
        <f>IF($J1317=1,LN(1+O1317),"")</f>
        <v/>
      </c>
      <c r="Q1317" s="34">
        <f>IF($J1317=1,LN(R1318/R1317),"")</f>
        <v/>
      </c>
      <c r="R1317" s="32" t="n">
        <v>1.5752</v>
      </c>
      <c r="S1317" s="35" t="n">
        <v>12.376</v>
      </c>
      <c r="T1317" s="18" t="n"/>
      <c r="U1317" s="18" t="n"/>
      <c r="V1317" s="18" t="n"/>
      <c r="W1317" s="18" t="n">
        <v>52811</v>
      </c>
      <c r="X1317" s="35" t="n">
        <v>12.376</v>
      </c>
      <c r="Y1317" s="35" t="n"/>
    </row>
    <row r="1318">
      <c r="A1318" s="25" t="n">
        <v>40760</v>
      </c>
      <c r="B1318" s="18" t="n">
        <v>52949</v>
      </c>
      <c r="C1318" s="31" t="n"/>
      <c r="D1318" s="32" t="n"/>
      <c r="E1318" s="33" t="n">
        <v>-0.1734</v>
      </c>
      <c r="F1318" t="inlineStr">
        <is>
          <t>Down</t>
        </is>
      </c>
      <c r="G1318" t="inlineStr">
        <is>
          <t>Up</t>
        </is>
      </c>
      <c r="H1318" t="inlineStr">
        <is>
          <t>ED_JU</t>
        </is>
      </c>
      <c r="I1318" t="inlineStr">
        <is>
          <t>2011-08</t>
        </is>
      </c>
      <c r="J1318" t="n">
        <v>1</v>
      </c>
      <c r="K1318" t="n">
        <v>1</v>
      </c>
      <c r="L1318" s="34">
        <f>IF($J1318=1,LN(B1319/B1318),"")</f>
        <v/>
      </c>
      <c r="M1318" s="34">
        <f>IF($K1318=1,INDEX(Mensal!$D$2:$D$245,MATCH($I1318,Mensal!$A$2:$A$245,0)),"")</f>
        <v/>
      </c>
      <c r="N1318" s="34">
        <f>IF($K1318=1,L1318-M1318,"")</f>
        <v/>
      </c>
      <c r="O1318" s="34" t="n">
        <v>0.00046397</v>
      </c>
      <c r="P1318" s="34">
        <f>IF($J1318=1,LN(1+O1318),"")</f>
        <v/>
      </c>
      <c r="Q1318" s="34">
        <f>IF($J1318=1,LN(R1319/R1318),"")</f>
        <v/>
      </c>
      <c r="R1318" s="32" t="n">
        <v>1.5895</v>
      </c>
      <c r="S1318" s="35" t="n">
        <v>12.304</v>
      </c>
      <c r="T1318" s="18" t="n"/>
      <c r="U1318" s="18" t="n"/>
      <c r="V1318" s="18" t="n"/>
      <c r="W1318" s="18" t="n">
        <v>52949</v>
      </c>
      <c r="X1318" s="35" t="n">
        <v>12.304</v>
      </c>
      <c r="Y1318" s="35" t="n"/>
    </row>
    <row r="1319">
      <c r="A1319" s="25" t="n">
        <v>40763</v>
      </c>
      <c r="B1319" s="18" t="n">
        <v>48668</v>
      </c>
      <c r="C1319" s="31" t="n"/>
      <c r="D1319" s="32" t="n"/>
      <c r="E1319" s="33" t="n">
        <v>-0.2007</v>
      </c>
      <c r="F1319" t="inlineStr">
        <is>
          <t>Down</t>
        </is>
      </c>
      <c r="G1319" t="inlineStr">
        <is>
          <t>Up</t>
        </is>
      </c>
      <c r="H1319" t="inlineStr">
        <is>
          <t>ED_JU</t>
        </is>
      </c>
      <c r="I1319" t="inlineStr">
        <is>
          <t>2011-08</t>
        </is>
      </c>
      <c r="J1319" t="n">
        <v>1</v>
      </c>
      <c r="K1319" t="n">
        <v>1</v>
      </c>
      <c r="L1319" s="34">
        <f>IF($J1319=1,LN(B1320/B1319),"")</f>
        <v/>
      </c>
      <c r="M1319" s="34">
        <f>IF($K1319=1,INDEX(Mensal!$D$2:$D$245,MATCH($I1319,Mensal!$A$2:$A$245,0)),"")</f>
        <v/>
      </c>
      <c r="N1319" s="34">
        <f>IF($K1319=1,L1319-M1319,"")</f>
        <v/>
      </c>
      <c r="O1319" s="34" t="n">
        <v>0.00046397</v>
      </c>
      <c r="P1319" s="34">
        <f>IF($J1319=1,LN(1+O1319),"")</f>
        <v/>
      </c>
      <c r="Q1319" s="34">
        <f>IF($J1319=1,LN(R1320/R1319),"")</f>
        <v/>
      </c>
      <c r="R1319" s="32" t="n">
        <v>1.5999</v>
      </c>
      <c r="S1319" s="35" t="n">
        <v>12.131</v>
      </c>
      <c r="T1319" s="18" t="n"/>
      <c r="U1319" s="18" t="n"/>
      <c r="V1319" s="18" t="n"/>
      <c r="W1319" s="18" t="n">
        <v>48668</v>
      </c>
      <c r="X1319" s="35" t="n">
        <v>12.131</v>
      </c>
      <c r="Y1319" s="35" t="n"/>
    </row>
    <row r="1320">
      <c r="A1320" s="25" t="n">
        <v>40764</v>
      </c>
      <c r="B1320" s="18" t="n">
        <v>51151</v>
      </c>
      <c r="C1320" s="31" t="n"/>
      <c r="D1320" s="32" t="n"/>
      <c r="E1320" s="33" t="n">
        <v>-0.229</v>
      </c>
      <c r="F1320" t="inlineStr">
        <is>
          <t>Down</t>
        </is>
      </c>
      <c r="G1320" t="inlineStr">
        <is>
          <t>Up</t>
        </is>
      </c>
      <c r="H1320" t="inlineStr">
        <is>
          <t>ED_JU</t>
        </is>
      </c>
      <c r="I1320" t="inlineStr">
        <is>
          <t>2011-08</t>
        </is>
      </c>
      <c r="J1320" t="n">
        <v>1</v>
      </c>
      <c r="K1320" t="n">
        <v>1</v>
      </c>
      <c r="L1320" s="34">
        <f>IF($J1320=1,LN(B1321/B1320),"")</f>
        <v/>
      </c>
      <c r="M1320" s="34">
        <f>IF($K1320=1,INDEX(Mensal!$D$2:$D$245,MATCH($I1320,Mensal!$A$2:$A$245,0)),"")</f>
        <v/>
      </c>
      <c r="N1320" s="34">
        <f>IF($K1320=1,L1320-M1320,"")</f>
        <v/>
      </c>
      <c r="O1320" s="34" t="n">
        <v>0.00046397</v>
      </c>
      <c r="P1320" s="34">
        <f>IF($J1320=1,LN(1+O1320),"")</f>
        <v/>
      </c>
      <c r="Q1320" s="34">
        <f>IF($J1320=1,LN(R1321/R1320),"")</f>
        <v/>
      </c>
      <c r="R1320" s="32" t="n">
        <v>1.6334</v>
      </c>
      <c r="S1320" s="35" t="n">
        <v>11.999</v>
      </c>
      <c r="T1320" s="18" t="n"/>
      <c r="U1320" s="18" t="n"/>
      <c r="V1320" s="18" t="n"/>
      <c r="W1320" s="18" t="n">
        <v>51151</v>
      </c>
      <c r="X1320" s="35" t="n">
        <v>11.999</v>
      </c>
      <c r="Y1320" s="35" t="n"/>
    </row>
    <row r="1321">
      <c r="A1321" s="25" t="n">
        <v>40765</v>
      </c>
      <c r="B1321" s="18" t="n">
        <v>51395</v>
      </c>
      <c r="C1321" s="31" t="n"/>
      <c r="D1321" s="32" t="n"/>
      <c r="E1321" s="33" t="n">
        <v>-0.2566</v>
      </c>
      <c r="F1321" t="inlineStr">
        <is>
          <t>Down</t>
        </is>
      </c>
      <c r="G1321" t="inlineStr">
        <is>
          <t>Up</t>
        </is>
      </c>
      <c r="H1321" t="inlineStr">
        <is>
          <t>ED_JU</t>
        </is>
      </c>
      <c r="I1321" t="inlineStr">
        <is>
          <t>2011-08</t>
        </is>
      </c>
      <c r="J1321" t="n">
        <v>1</v>
      </c>
      <c r="K1321" t="n">
        <v>1</v>
      </c>
      <c r="L1321" s="34">
        <f>IF($J1321=1,LN(B1322/B1321),"")</f>
        <v/>
      </c>
      <c r="M1321" s="34">
        <f>IF($K1321=1,INDEX(Mensal!$D$2:$D$245,MATCH($I1321,Mensal!$A$2:$A$245,0)),"")</f>
        <v/>
      </c>
      <c r="N1321" s="34">
        <f>IF($K1321=1,L1321-M1321,"")</f>
        <v/>
      </c>
      <c r="O1321" s="34" t="n">
        <v>0.00046397</v>
      </c>
      <c r="P1321" s="34">
        <f>IF($J1321=1,LN(1+O1321),"")</f>
        <v/>
      </c>
      <c r="Q1321" s="34">
        <f>IF($J1321=1,LN(R1322/R1321),"")</f>
        <v/>
      </c>
      <c r="R1321" s="32" t="n">
        <v>1.6183</v>
      </c>
      <c r="S1321" s="35" t="n">
        <v>12.05</v>
      </c>
      <c r="T1321" s="18" t="n"/>
      <c r="U1321" s="18" t="n"/>
      <c r="V1321" s="18" t="n"/>
      <c r="W1321" s="18" t="n">
        <v>51395</v>
      </c>
      <c r="X1321" s="35" t="n">
        <v>12.05</v>
      </c>
      <c r="Y1321" s="35" t="n"/>
    </row>
    <row r="1322">
      <c r="A1322" s="25" t="n">
        <v>40766</v>
      </c>
      <c r="B1322" s="18" t="n">
        <v>53343</v>
      </c>
      <c r="C1322" s="31" t="n"/>
      <c r="D1322" s="32" t="n"/>
      <c r="E1322" s="33" t="n">
        <v>-0.2862</v>
      </c>
      <c r="F1322" t="inlineStr">
        <is>
          <t>Down</t>
        </is>
      </c>
      <c r="G1322" t="inlineStr">
        <is>
          <t>Up</t>
        </is>
      </c>
      <c r="H1322" t="inlineStr">
        <is>
          <t>ED_JU</t>
        </is>
      </c>
      <c r="I1322" t="inlineStr">
        <is>
          <t>2011-08</t>
        </is>
      </c>
      <c r="J1322" t="n">
        <v>1</v>
      </c>
      <c r="K1322" t="n">
        <v>1</v>
      </c>
      <c r="L1322" s="34">
        <f>IF($J1322=1,LN(B1323/B1322),"")</f>
        <v/>
      </c>
      <c r="M1322" s="34">
        <f>IF($K1322=1,INDEX(Mensal!$D$2:$D$245,MATCH($I1322,Mensal!$A$2:$A$245,0)),"")</f>
        <v/>
      </c>
      <c r="N1322" s="34">
        <f>IF($K1322=1,L1322-M1322,"")</f>
        <v/>
      </c>
      <c r="O1322" s="34" t="n">
        <v>0.00046397</v>
      </c>
      <c r="P1322" s="34">
        <f>IF($J1322=1,LN(1+O1322),"")</f>
        <v/>
      </c>
      <c r="Q1322" s="34">
        <f>IF($J1322=1,LN(R1323/R1322),"")</f>
        <v/>
      </c>
      <c r="R1322" s="32" t="n">
        <v>1.6306</v>
      </c>
      <c r="S1322" s="35" t="n">
        <v>12.075</v>
      </c>
      <c r="T1322" s="18" t="n"/>
      <c r="U1322" s="18" t="n"/>
      <c r="V1322" s="18" t="n"/>
      <c r="W1322" s="18" t="n">
        <v>53343</v>
      </c>
      <c r="X1322" s="35" t="n">
        <v>12.075</v>
      </c>
      <c r="Y1322" s="35" t="n"/>
    </row>
    <row r="1323">
      <c r="A1323" s="25" t="n">
        <v>40767</v>
      </c>
      <c r="B1323" s="18" t="n">
        <v>53473</v>
      </c>
      <c r="C1323" s="31" t="n"/>
      <c r="D1323" s="32" t="n"/>
      <c r="E1323" s="33" t="n">
        <v>-0.302</v>
      </c>
      <c r="F1323" t="inlineStr">
        <is>
          <t>Down</t>
        </is>
      </c>
      <c r="G1323" t="inlineStr">
        <is>
          <t>Up</t>
        </is>
      </c>
      <c r="H1323" t="inlineStr">
        <is>
          <t>ED_JU</t>
        </is>
      </c>
      <c r="I1323" t="inlineStr">
        <is>
          <t>2011-08</t>
        </is>
      </c>
      <c r="J1323" t="n">
        <v>1</v>
      </c>
      <c r="K1323" t="n">
        <v>1</v>
      </c>
      <c r="L1323" s="34">
        <f>IF($J1323=1,LN(B1324/B1323),"")</f>
        <v/>
      </c>
      <c r="M1323" s="34">
        <f>IF($K1323=1,INDEX(Mensal!$D$2:$D$245,MATCH($I1323,Mensal!$A$2:$A$245,0)),"")</f>
        <v/>
      </c>
      <c r="N1323" s="34">
        <f>IF($K1323=1,L1323-M1323,"")</f>
        <v/>
      </c>
      <c r="O1323" s="34" t="n">
        <v>0.00046397</v>
      </c>
      <c r="P1323" s="34">
        <f>IF($J1323=1,LN(1+O1323),"")</f>
        <v/>
      </c>
      <c r="Q1323" s="34">
        <f>IF($J1323=1,LN(R1324/R1323),"")</f>
        <v/>
      </c>
      <c r="R1323" s="32" t="n">
        <v>1.6157</v>
      </c>
      <c r="S1323" s="35" t="n">
        <v>12.011</v>
      </c>
      <c r="T1323" s="18" t="n"/>
      <c r="U1323" s="18" t="n"/>
      <c r="V1323" s="18" t="n"/>
      <c r="W1323" s="18" t="n">
        <v>53473</v>
      </c>
      <c r="X1323" s="35" t="n">
        <v>12.011</v>
      </c>
      <c r="Y1323" s="35" t="n"/>
    </row>
    <row r="1324">
      <c r="A1324" s="25" t="n">
        <v>40770</v>
      </c>
      <c r="B1324" s="18" t="n">
        <v>54652</v>
      </c>
      <c r="C1324" s="31" t="n"/>
      <c r="D1324" s="32" t="n"/>
      <c r="E1324" s="33" t="n">
        <v>-0.3178</v>
      </c>
      <c r="F1324" t="inlineStr">
        <is>
          <t>Down</t>
        </is>
      </c>
      <c r="G1324" t="inlineStr">
        <is>
          <t>Up</t>
        </is>
      </c>
      <c r="H1324" t="inlineStr">
        <is>
          <t>ED_JU</t>
        </is>
      </c>
      <c r="I1324" t="inlineStr">
        <is>
          <t>2011-08</t>
        </is>
      </c>
      <c r="J1324" t="n">
        <v>1</v>
      </c>
      <c r="K1324" t="n">
        <v>1</v>
      </c>
      <c r="L1324" s="34">
        <f>IF($J1324=1,LN(B1325/B1324),"")</f>
        <v/>
      </c>
      <c r="M1324" s="34">
        <f>IF($K1324=1,INDEX(Mensal!$D$2:$D$245,MATCH($I1324,Mensal!$A$2:$A$245,0)),"")</f>
        <v/>
      </c>
      <c r="N1324" s="34">
        <f>IF($K1324=1,L1324-M1324,"")</f>
        <v/>
      </c>
      <c r="O1324" s="34" t="n">
        <v>0.00046397</v>
      </c>
      <c r="P1324" s="34">
        <f>IF($J1324=1,LN(1+O1324),"")</f>
        <v/>
      </c>
      <c r="Q1324" s="34">
        <f>IF($J1324=1,LN(R1325/R1324),"")</f>
        <v/>
      </c>
      <c r="R1324" s="32" t="n">
        <v>1.5956</v>
      </c>
      <c r="S1324" s="35" t="n">
        <v>12.015</v>
      </c>
      <c r="T1324" s="18" t="n"/>
      <c r="U1324" s="18" t="n"/>
      <c r="V1324" s="18" t="n"/>
      <c r="W1324" s="18" t="n">
        <v>54652</v>
      </c>
      <c r="X1324" s="35" t="n">
        <v>12.015</v>
      </c>
      <c r="Y1324" s="35" t="n"/>
    </row>
    <row r="1325">
      <c r="A1325" s="25" t="n">
        <v>40771</v>
      </c>
      <c r="B1325" s="18" t="n">
        <v>54323</v>
      </c>
      <c r="C1325" s="31" t="n"/>
      <c r="D1325" s="32" t="n"/>
      <c r="E1325" s="33" t="n">
        <v>-0.3354</v>
      </c>
      <c r="F1325" t="inlineStr">
        <is>
          <t>Down</t>
        </is>
      </c>
      <c r="G1325" t="inlineStr">
        <is>
          <t>Up</t>
        </is>
      </c>
      <c r="H1325" t="inlineStr">
        <is>
          <t>ED_JU</t>
        </is>
      </c>
      <c r="I1325" t="inlineStr">
        <is>
          <t>2011-08</t>
        </is>
      </c>
      <c r="J1325" t="n">
        <v>1</v>
      </c>
      <c r="K1325" t="n">
        <v>1</v>
      </c>
      <c r="L1325" s="34">
        <f>IF($J1325=1,LN(B1326/B1325),"")</f>
        <v/>
      </c>
      <c r="M1325" s="34">
        <f>IF($K1325=1,INDEX(Mensal!$D$2:$D$245,MATCH($I1325,Mensal!$A$2:$A$245,0)),"")</f>
        <v/>
      </c>
      <c r="N1325" s="34">
        <f>IF($K1325=1,L1325-M1325,"")</f>
        <v/>
      </c>
      <c r="O1325" s="34" t="n">
        <v>0.00046397</v>
      </c>
      <c r="P1325" s="34">
        <f>IF($J1325=1,LN(1+O1325),"")</f>
        <v/>
      </c>
      <c r="Q1325" s="34">
        <f>IF($J1325=1,LN(R1326/R1325),"")</f>
        <v/>
      </c>
      <c r="R1325" s="32" t="n">
        <v>1.5918</v>
      </c>
      <c r="S1325" s="35" t="n">
        <v>12.013</v>
      </c>
      <c r="T1325" s="18" t="n"/>
      <c r="U1325" s="18" t="n"/>
      <c r="V1325" s="18" t="n"/>
      <c r="W1325" s="18" t="n">
        <v>54323</v>
      </c>
      <c r="X1325" s="35" t="n">
        <v>12.013</v>
      </c>
      <c r="Y1325" s="35" t="n"/>
    </row>
    <row r="1326">
      <c r="A1326" s="25" t="n">
        <v>40772</v>
      </c>
      <c r="B1326" s="18" t="n">
        <v>55073</v>
      </c>
      <c r="C1326" s="31" t="n"/>
      <c r="D1326" s="32" t="n"/>
      <c r="E1326" s="33" t="n">
        <v>-0.3544</v>
      </c>
      <c r="F1326" t="inlineStr">
        <is>
          <t>Down</t>
        </is>
      </c>
      <c r="G1326" t="inlineStr">
        <is>
          <t>Down</t>
        </is>
      </c>
      <c r="H1326" t="inlineStr">
        <is>
          <t>ED_JD</t>
        </is>
      </c>
      <c r="I1326" t="inlineStr">
        <is>
          <t>2011-08</t>
        </is>
      </c>
      <c r="J1326" t="n">
        <v>1</v>
      </c>
      <c r="K1326" t="n">
        <v>1</v>
      </c>
      <c r="L1326" s="34">
        <f>IF($J1326=1,LN(B1327/B1326),"")</f>
        <v/>
      </c>
      <c r="M1326" s="34">
        <f>IF($K1326=1,INDEX(Mensal!$D$2:$D$245,MATCH($I1326,Mensal!$A$2:$A$245,0)),"")</f>
        <v/>
      </c>
      <c r="N1326" s="34">
        <f>IF($K1326=1,L1326-M1326,"")</f>
        <v/>
      </c>
      <c r="O1326" s="34" t="n">
        <v>0.00046397</v>
      </c>
      <c r="P1326" s="34">
        <f>IF($J1326=1,LN(1+O1326),"")</f>
        <v/>
      </c>
      <c r="Q1326" s="34">
        <f>IF($J1326=1,LN(R1327/R1326),"")</f>
        <v/>
      </c>
      <c r="R1326" s="32" t="n">
        <v>1.583</v>
      </c>
      <c r="S1326" s="35" t="n">
        <v>11.915</v>
      </c>
      <c r="T1326" s="18" t="n"/>
      <c r="U1326" s="18" t="n"/>
      <c r="V1326" s="18" t="n">
        <v>55073</v>
      </c>
      <c r="W1326" s="18" t="n"/>
      <c r="X1326" s="35" t="n"/>
      <c r="Y1326" s="35" t="n">
        <v>11.915</v>
      </c>
    </row>
    <row r="1327">
      <c r="A1327" s="25" t="n">
        <v>40773</v>
      </c>
      <c r="B1327" s="18" t="n">
        <v>53134</v>
      </c>
      <c r="C1327" s="31" t="n"/>
      <c r="D1327" s="32" t="n"/>
      <c r="E1327" s="33" t="n">
        <v>-0.3705</v>
      </c>
      <c r="F1327" t="inlineStr">
        <is>
          <t>Down</t>
        </is>
      </c>
      <c r="G1327" t="inlineStr">
        <is>
          <t>Down</t>
        </is>
      </c>
      <c r="H1327" t="inlineStr">
        <is>
          <t>ED_JD</t>
        </is>
      </c>
      <c r="I1327" t="inlineStr">
        <is>
          <t>2011-08</t>
        </is>
      </c>
      <c r="J1327" t="n">
        <v>1</v>
      </c>
      <c r="K1327" t="n">
        <v>1</v>
      </c>
      <c r="L1327" s="34">
        <f>IF($J1327=1,LN(B1328/B1327),"")</f>
        <v/>
      </c>
      <c r="M1327" s="34">
        <f>IF($K1327=1,INDEX(Mensal!$D$2:$D$245,MATCH($I1327,Mensal!$A$2:$A$245,0)),"")</f>
        <v/>
      </c>
      <c r="N1327" s="34">
        <f>IF($K1327=1,L1327-M1327,"")</f>
        <v/>
      </c>
      <c r="O1327" s="34" t="n">
        <v>0.00046362</v>
      </c>
      <c r="P1327" s="34">
        <f>IF($J1327=1,LN(1+O1327),"")</f>
        <v/>
      </c>
      <c r="Q1327" s="34">
        <f>IF($J1327=1,LN(R1328/R1327),"")</f>
        <v/>
      </c>
      <c r="R1327" s="32" t="n">
        <v>1.6062</v>
      </c>
      <c r="S1327" s="35" t="n">
        <v>11.69</v>
      </c>
      <c r="T1327" s="18" t="n"/>
      <c r="U1327" s="18" t="n"/>
      <c r="V1327" s="18" t="n">
        <v>53134</v>
      </c>
      <c r="W1327" s="18" t="n"/>
      <c r="X1327" s="35" t="n"/>
      <c r="Y1327" s="35" t="n">
        <v>11.69</v>
      </c>
    </row>
    <row r="1328">
      <c r="A1328" s="25" t="n">
        <v>40774</v>
      </c>
      <c r="B1328" s="18" t="n">
        <v>52447</v>
      </c>
      <c r="C1328" s="31" t="n"/>
      <c r="D1328" s="32" t="n"/>
      <c r="E1328" s="33" t="n">
        <v>-0.3867</v>
      </c>
      <c r="F1328" t="inlineStr">
        <is>
          <t>Down</t>
        </is>
      </c>
      <c r="G1328" t="inlineStr">
        <is>
          <t>Down</t>
        </is>
      </c>
      <c r="H1328" t="inlineStr">
        <is>
          <t>ED_JD</t>
        </is>
      </c>
      <c r="I1328" t="inlineStr">
        <is>
          <t>2011-08</t>
        </is>
      </c>
      <c r="J1328" t="n">
        <v>1</v>
      </c>
      <c r="K1328" t="n">
        <v>1</v>
      </c>
      <c r="L1328" s="34">
        <f>IF($J1328=1,LN(B1329/B1328),"")</f>
        <v/>
      </c>
      <c r="M1328" s="34">
        <f>IF($K1328=1,INDEX(Mensal!$D$2:$D$245,MATCH($I1328,Mensal!$A$2:$A$245,0)),"")</f>
        <v/>
      </c>
      <c r="N1328" s="34">
        <f>IF($K1328=1,L1328-M1328,"")</f>
        <v/>
      </c>
      <c r="O1328" s="34" t="n">
        <v>0.00046397</v>
      </c>
      <c r="P1328" s="34">
        <f>IF($J1328=1,LN(1+O1328),"")</f>
        <v/>
      </c>
      <c r="Q1328" s="34">
        <f>IF($J1328=1,LN(R1329/R1328),"")</f>
        <v/>
      </c>
      <c r="R1328" s="32" t="n">
        <v>1.596</v>
      </c>
      <c r="S1328" s="35" t="n">
        <v>11.63</v>
      </c>
      <c r="T1328" s="18" t="n"/>
      <c r="U1328" s="18" t="n"/>
      <c r="V1328" s="18" t="n">
        <v>52447</v>
      </c>
      <c r="W1328" s="18" t="n"/>
      <c r="X1328" s="35" t="n"/>
      <c r="Y1328" s="35" t="n">
        <v>11.63</v>
      </c>
    </row>
    <row r="1329">
      <c r="A1329" s="25" t="n">
        <v>40777</v>
      </c>
      <c r="B1329" s="18" t="n">
        <v>52440</v>
      </c>
      <c r="C1329" s="31" t="n"/>
      <c r="D1329" s="32" t="n"/>
      <c r="E1329" s="33" t="n">
        <v>-0.4016</v>
      </c>
      <c r="F1329" t="inlineStr">
        <is>
          <t>Down</t>
        </is>
      </c>
      <c r="G1329" t="inlineStr">
        <is>
          <t>Down</t>
        </is>
      </c>
      <c r="H1329" t="inlineStr">
        <is>
          <t>ED_JD</t>
        </is>
      </c>
      <c r="I1329" t="inlineStr">
        <is>
          <t>2011-08</t>
        </is>
      </c>
      <c r="J1329" t="n">
        <v>1</v>
      </c>
      <c r="K1329" t="n">
        <v>1</v>
      </c>
      <c r="L1329" s="34">
        <f>IF($J1329=1,LN(B1330/B1329),"")</f>
        <v/>
      </c>
      <c r="M1329" s="34">
        <f>IF($K1329=1,INDEX(Mensal!$D$2:$D$245,MATCH($I1329,Mensal!$A$2:$A$245,0)),"")</f>
        <v/>
      </c>
      <c r="N1329" s="34">
        <f>IF($K1329=1,L1329-M1329,"")</f>
        <v/>
      </c>
      <c r="O1329" s="34" t="n">
        <v>0.00046362</v>
      </c>
      <c r="P1329" s="34">
        <f>IF($J1329=1,LN(1+O1329),"")</f>
        <v/>
      </c>
      <c r="Q1329" s="34">
        <f>IF($J1329=1,LN(R1330/R1329),"")</f>
        <v/>
      </c>
      <c r="R1329" s="32" t="n">
        <v>1.6009</v>
      </c>
      <c r="S1329" s="35" t="n">
        <v>11.623</v>
      </c>
      <c r="T1329" s="18" t="n"/>
      <c r="U1329" s="18" t="n"/>
      <c r="V1329" s="18" t="n">
        <v>52440</v>
      </c>
      <c r="W1329" s="18" t="n"/>
      <c r="X1329" s="35" t="n"/>
      <c r="Y1329" s="35" t="n">
        <v>11.623</v>
      </c>
    </row>
    <row r="1330">
      <c r="A1330" s="25" t="n">
        <v>40778</v>
      </c>
      <c r="B1330" s="18" t="n">
        <v>53786</v>
      </c>
      <c r="C1330" s="31" t="n"/>
      <c r="D1330" s="32" t="n"/>
      <c r="E1330" s="33" t="n">
        <v>-0.42</v>
      </c>
      <c r="F1330" t="inlineStr">
        <is>
          <t>Down</t>
        </is>
      </c>
      <c r="G1330" t="inlineStr">
        <is>
          <t>Down</t>
        </is>
      </c>
      <c r="H1330" t="inlineStr">
        <is>
          <t>ED_JD</t>
        </is>
      </c>
      <c r="I1330" t="inlineStr">
        <is>
          <t>2011-08</t>
        </is>
      </c>
      <c r="J1330" t="n">
        <v>1</v>
      </c>
      <c r="K1330" t="n">
        <v>1</v>
      </c>
      <c r="L1330" s="34">
        <f>IF($J1330=1,LN(B1331/B1330),"")</f>
        <v/>
      </c>
      <c r="M1330" s="34">
        <f>IF($K1330=1,INDEX(Mensal!$D$2:$D$245,MATCH($I1330,Mensal!$A$2:$A$245,0)),"")</f>
        <v/>
      </c>
      <c r="N1330" s="34">
        <f>IF($K1330=1,L1330-M1330,"")</f>
        <v/>
      </c>
      <c r="O1330" s="34" t="n">
        <v>0.00046397</v>
      </c>
      <c r="P1330" s="34">
        <f>IF($J1330=1,LN(1+O1330),"")</f>
        <v/>
      </c>
      <c r="Q1330" s="34">
        <f>IF($J1330=1,LN(R1331/R1330),"")</f>
        <v/>
      </c>
      <c r="R1330" s="32" t="n">
        <v>1.6036</v>
      </c>
      <c r="S1330" s="35" t="n">
        <v>11.591</v>
      </c>
      <c r="T1330" s="18" t="n"/>
      <c r="U1330" s="18" t="n"/>
      <c r="V1330" s="18" t="n">
        <v>53786</v>
      </c>
      <c r="W1330" s="18" t="n"/>
      <c r="X1330" s="35" t="n"/>
      <c r="Y1330" s="35" t="n">
        <v>11.591</v>
      </c>
    </row>
    <row r="1331">
      <c r="A1331" s="25" t="n">
        <v>40779</v>
      </c>
      <c r="B1331" s="18" t="n">
        <v>53796</v>
      </c>
      <c r="C1331" s="31" t="n"/>
      <c r="D1331" s="32" t="n"/>
      <c r="E1331" s="33" t="n">
        <v>-0.4384</v>
      </c>
      <c r="F1331" t="inlineStr">
        <is>
          <t>Down</t>
        </is>
      </c>
      <c r="G1331" t="inlineStr">
        <is>
          <t>Down</t>
        </is>
      </c>
      <c r="H1331" t="inlineStr">
        <is>
          <t>ED_JD</t>
        </is>
      </c>
      <c r="I1331" t="inlineStr">
        <is>
          <t>2011-08</t>
        </is>
      </c>
      <c r="J1331" t="n">
        <v>1</v>
      </c>
      <c r="K1331" t="n">
        <v>1</v>
      </c>
      <c r="L1331" s="34">
        <f>IF($J1331=1,LN(B1332/B1331),"")</f>
        <v/>
      </c>
      <c r="M1331" s="34">
        <f>IF($K1331=1,INDEX(Mensal!$D$2:$D$245,MATCH($I1331,Mensal!$A$2:$A$245,0)),"")</f>
        <v/>
      </c>
      <c r="N1331" s="34">
        <f>IF($K1331=1,L1331-M1331,"")</f>
        <v/>
      </c>
      <c r="O1331" s="34" t="n">
        <v>0.00046397</v>
      </c>
      <c r="P1331" s="34">
        <f>IF($J1331=1,LN(1+O1331),"")</f>
        <v/>
      </c>
      <c r="Q1331" s="34">
        <f>IF($J1331=1,LN(R1332/R1331),"")</f>
        <v/>
      </c>
      <c r="R1331" s="32" t="n">
        <v>1.6039</v>
      </c>
      <c r="S1331" s="35" t="n">
        <v>11.501</v>
      </c>
      <c r="T1331" s="18" t="n"/>
      <c r="U1331" s="18" t="n"/>
      <c r="V1331" s="18" t="n">
        <v>53796</v>
      </c>
      <c r="W1331" s="18" t="n"/>
      <c r="X1331" s="35" t="n"/>
      <c r="Y1331" s="35" t="n">
        <v>11.501</v>
      </c>
    </row>
    <row r="1332">
      <c r="A1332" s="25" t="n">
        <v>40780</v>
      </c>
      <c r="B1332" s="18" t="n">
        <v>52953</v>
      </c>
      <c r="C1332" s="31" t="n"/>
      <c r="D1332" s="32" t="n"/>
      <c r="E1332" s="33" t="n">
        <v>-0.4537</v>
      </c>
      <c r="F1332" t="inlineStr">
        <is>
          <t>Down</t>
        </is>
      </c>
      <c r="G1332" t="inlineStr">
        <is>
          <t>Down</t>
        </is>
      </c>
      <c r="H1332" t="inlineStr">
        <is>
          <t>ED_JD</t>
        </is>
      </c>
      <c r="I1332" t="inlineStr">
        <is>
          <t>2011-08</t>
        </is>
      </c>
      <c r="J1332" t="n">
        <v>1</v>
      </c>
      <c r="K1332" t="n">
        <v>1</v>
      </c>
      <c r="L1332" s="34">
        <f>IF($J1332=1,LN(B1333/B1332),"")</f>
        <v/>
      </c>
      <c r="M1332" s="34">
        <f>IF($K1332=1,INDEX(Mensal!$D$2:$D$245,MATCH($I1332,Mensal!$A$2:$A$245,0)),"")</f>
        <v/>
      </c>
      <c r="N1332" s="34">
        <f>IF($K1332=1,L1332-M1332,"")</f>
        <v/>
      </c>
      <c r="O1332" s="34" t="n">
        <v>0.00046362</v>
      </c>
      <c r="P1332" s="34">
        <f>IF($J1332=1,LN(1+O1332),"")</f>
        <v/>
      </c>
      <c r="Q1332" s="34">
        <f>IF($J1332=1,LN(R1333/R1332),"")</f>
        <v/>
      </c>
      <c r="R1332" s="32" t="n">
        <v>1.6154</v>
      </c>
      <c r="S1332" s="35" t="n">
        <v>11.507</v>
      </c>
      <c r="T1332" s="18" t="n"/>
      <c r="U1332" s="18" t="n"/>
      <c r="V1332" s="18" t="n">
        <v>52953</v>
      </c>
      <c r="W1332" s="18" t="n"/>
      <c r="X1332" s="35" t="n"/>
      <c r="Y1332" s="35" t="n">
        <v>11.507</v>
      </c>
    </row>
    <row r="1333">
      <c r="A1333" s="25" t="n">
        <v>40781</v>
      </c>
      <c r="B1333" s="18" t="n">
        <v>53350</v>
      </c>
      <c r="C1333" s="31" t="n"/>
      <c r="D1333" s="32" t="n"/>
      <c r="E1333" s="33" t="n">
        <v>-0.4703</v>
      </c>
      <c r="F1333" t="inlineStr">
        <is>
          <t>Down</t>
        </is>
      </c>
      <c r="G1333" t="inlineStr">
        <is>
          <t>Down</t>
        </is>
      </c>
      <c r="H1333" t="inlineStr">
        <is>
          <t>ED_JD</t>
        </is>
      </c>
      <c r="I1333" t="inlineStr">
        <is>
          <t>2011-08</t>
        </is>
      </c>
      <c r="J1333" t="n">
        <v>1</v>
      </c>
      <c r="K1333" t="n">
        <v>1</v>
      </c>
      <c r="L1333" s="34">
        <f>IF($J1333=1,LN(B1334/B1333),"")</f>
        <v/>
      </c>
      <c r="M1333" s="34">
        <f>IF($K1333=1,INDEX(Mensal!$D$2:$D$245,MATCH($I1333,Mensal!$A$2:$A$245,0)),"")</f>
        <v/>
      </c>
      <c r="N1333" s="34">
        <f>IF($K1333=1,L1333-M1333,"")</f>
        <v/>
      </c>
      <c r="O1333" s="34" t="n">
        <v>0.00046362</v>
      </c>
      <c r="P1333" s="34">
        <f>IF($J1333=1,LN(1+O1333),"")</f>
        <v/>
      </c>
      <c r="Q1333" s="34">
        <f>IF($J1333=1,LN(R1334/R1333),"")</f>
        <v/>
      </c>
      <c r="R1333" s="32" t="n">
        <v>1.6114</v>
      </c>
      <c r="S1333" s="35" t="n">
        <v>11.354</v>
      </c>
      <c r="T1333" s="18" t="n"/>
      <c r="U1333" s="18" t="n"/>
      <c r="V1333" s="18" t="n">
        <v>53350</v>
      </c>
      <c r="W1333" s="18" t="n"/>
      <c r="X1333" s="35" t="n"/>
      <c r="Y1333" s="35" t="n">
        <v>11.354</v>
      </c>
    </row>
    <row r="1334">
      <c r="A1334" s="25" t="n">
        <v>40784</v>
      </c>
      <c r="B1334" s="18" t="n">
        <v>54860</v>
      </c>
      <c r="C1334" s="31" t="n"/>
      <c r="D1334" s="32" t="n"/>
      <c r="E1334" s="33" t="n">
        <v>-0.4882</v>
      </c>
      <c r="F1334" t="inlineStr">
        <is>
          <t>Down</t>
        </is>
      </c>
      <c r="G1334" t="inlineStr">
        <is>
          <t>Down</t>
        </is>
      </c>
      <c r="H1334" t="inlineStr">
        <is>
          <t>ED_JD</t>
        </is>
      </c>
      <c r="I1334" t="inlineStr">
        <is>
          <t>2011-08</t>
        </is>
      </c>
      <c r="J1334" t="n">
        <v>1</v>
      </c>
      <c r="K1334" t="n">
        <v>1</v>
      </c>
      <c r="L1334" s="34">
        <f>IF($J1334=1,LN(B1335/B1334),"")</f>
        <v/>
      </c>
      <c r="M1334" s="34">
        <f>IF($K1334=1,INDEX(Mensal!$D$2:$D$245,MATCH($I1334,Mensal!$A$2:$A$245,0)),"")</f>
        <v/>
      </c>
      <c r="N1334" s="34">
        <f>IF($K1334=1,L1334-M1334,"")</f>
        <v/>
      </c>
      <c r="O1334" s="34" t="n">
        <v>0.00046362</v>
      </c>
      <c r="P1334" s="34">
        <f>IF($J1334=1,LN(1+O1334),"")</f>
        <v/>
      </c>
      <c r="Q1334" s="34">
        <f>IF($J1334=1,LN(R1335/R1334),"")</f>
        <v/>
      </c>
      <c r="R1334" s="32" t="n">
        <v>1.5974</v>
      </c>
      <c r="S1334" s="35" t="n">
        <v>11.282</v>
      </c>
      <c r="T1334" s="18" t="n"/>
      <c r="U1334" s="18" t="n"/>
      <c r="V1334" s="18" t="n">
        <v>54860</v>
      </c>
      <c r="W1334" s="18" t="n"/>
      <c r="X1334" s="35" t="n"/>
      <c r="Y1334" s="35" t="n">
        <v>11.282</v>
      </c>
    </row>
    <row r="1335">
      <c r="A1335" s="25" t="n">
        <v>40785</v>
      </c>
      <c r="B1335" s="18" t="n">
        <v>55385</v>
      </c>
      <c r="C1335" s="31" t="n"/>
      <c r="D1335" s="32" t="n"/>
      <c r="E1335" s="33" t="n">
        <v>-0.5014</v>
      </c>
      <c r="F1335" t="inlineStr">
        <is>
          <t>Down</t>
        </is>
      </c>
      <c r="G1335" t="inlineStr">
        <is>
          <t>Down</t>
        </is>
      </c>
      <c r="H1335" t="inlineStr">
        <is>
          <t>ED_JD</t>
        </is>
      </c>
      <c r="I1335" t="inlineStr">
        <is>
          <t>2011-08</t>
        </is>
      </c>
      <c r="J1335" t="n">
        <v>1</v>
      </c>
      <c r="K1335" t="n">
        <v>1</v>
      </c>
      <c r="L1335" s="34">
        <f>IF($J1335=1,LN(B1336/B1335),"")</f>
        <v/>
      </c>
      <c r="M1335" s="34">
        <f>IF($K1335=1,INDEX(Mensal!$D$2:$D$245,MATCH($I1335,Mensal!$A$2:$A$245,0)),"")</f>
        <v/>
      </c>
      <c r="N1335" s="34">
        <f>IF($K1335=1,L1335-M1335,"")</f>
        <v/>
      </c>
      <c r="O1335" s="34" t="n">
        <v>0.00046362</v>
      </c>
      <c r="P1335" s="34">
        <f>IF($J1335=1,LN(1+O1335),"")</f>
        <v/>
      </c>
      <c r="Q1335" s="34">
        <f>IF($J1335=1,LN(R1336/R1335),"")</f>
        <v/>
      </c>
      <c r="R1335" s="32" t="n">
        <v>1.5904</v>
      </c>
      <c r="S1335" s="35" t="n">
        <v>11.266</v>
      </c>
      <c r="T1335" s="18" t="n"/>
      <c r="U1335" s="18" t="n"/>
      <c r="V1335" s="18" t="n">
        <v>55385</v>
      </c>
      <c r="W1335" s="18" t="n"/>
      <c r="X1335" s="35" t="n"/>
      <c r="Y1335" s="35" t="n">
        <v>11.266</v>
      </c>
    </row>
    <row r="1336">
      <c r="A1336" s="25" t="n">
        <v>40786</v>
      </c>
      <c r="B1336" s="18" t="n">
        <v>56495</v>
      </c>
      <c r="C1336" s="31" t="n"/>
      <c r="D1336" s="32" t="n"/>
      <c r="E1336" s="33" t="n">
        <v>-0.5131</v>
      </c>
      <c r="F1336" t="inlineStr">
        <is>
          <t>Down</t>
        </is>
      </c>
      <c r="G1336" t="inlineStr">
        <is>
          <t>Down</t>
        </is>
      </c>
      <c r="H1336" t="inlineStr">
        <is>
          <t>ED_JD</t>
        </is>
      </c>
      <c r="I1336" t="inlineStr">
        <is>
          <t>2011-08</t>
        </is>
      </c>
      <c r="J1336" t="n">
        <v>1</v>
      </c>
      <c r="K1336" t="n">
        <v>1</v>
      </c>
      <c r="L1336" s="34">
        <f>IF($J1336=1,LN(B1337/B1336),"")</f>
        <v/>
      </c>
      <c r="M1336" s="34">
        <f>IF($K1336=1,INDEX(Mensal!$D$2:$D$245,MATCH($I1336,Mensal!$A$2:$A$245,0)),"")</f>
        <v/>
      </c>
      <c r="N1336" s="34">
        <f>IF($K1336=1,L1336-M1336,"")</f>
        <v/>
      </c>
      <c r="O1336" s="34" t="n">
        <v>0.00046362</v>
      </c>
      <c r="P1336" s="34">
        <f>IF($J1336=1,LN(1+O1336),"")</f>
        <v/>
      </c>
      <c r="Q1336" s="34">
        <f>IF($J1336=1,LN(R1337/R1336),"")</f>
        <v/>
      </c>
      <c r="R1336" s="32" t="n">
        <v>1.5872</v>
      </c>
      <c r="S1336" s="35" t="n">
        <v>11.221</v>
      </c>
      <c r="T1336" s="18" t="n"/>
      <c r="U1336" s="18" t="n"/>
      <c r="V1336" s="18" t="n">
        <v>56495</v>
      </c>
      <c r="W1336" s="18" t="n"/>
      <c r="X1336" s="35" t="n"/>
      <c r="Y1336" s="35" t="n">
        <v>11.221</v>
      </c>
    </row>
    <row r="1337">
      <c r="A1337" s="25" t="n">
        <v>40787</v>
      </c>
      <c r="B1337" s="18" t="n">
        <v>58118</v>
      </c>
      <c r="C1337" s="31" t="n"/>
      <c r="D1337" s="32" t="n"/>
      <c r="E1337" s="33" t="n">
        <v>-0.5245</v>
      </c>
      <c r="F1337" t="inlineStr">
        <is>
          <t>Down</t>
        </is>
      </c>
      <c r="G1337" t="inlineStr">
        <is>
          <t>Down</t>
        </is>
      </c>
      <c r="H1337" t="inlineStr">
        <is>
          <t>ED_JD</t>
        </is>
      </c>
      <c r="I1337" t="inlineStr">
        <is>
          <t>2011-09</t>
        </is>
      </c>
      <c r="J1337" t="n">
        <v>1</v>
      </c>
      <c r="K1337" t="n">
        <v>1</v>
      </c>
      <c r="L1337" s="34">
        <f>IF($J1337=1,LN(B1338/B1337),"")</f>
        <v/>
      </c>
      <c r="M1337" s="34">
        <f>IF($K1337=1,INDEX(Mensal!$D$2:$D$245,MATCH($I1337,Mensal!$A$2:$A$245,0)),"")</f>
        <v/>
      </c>
      <c r="N1337" s="34">
        <f>IF($K1337=1,L1337-M1337,"")</f>
        <v/>
      </c>
      <c r="O1337" s="34" t="n">
        <v>0.00044556</v>
      </c>
      <c r="P1337" s="34">
        <f>IF($J1337=1,LN(1+O1337),"")</f>
        <v/>
      </c>
      <c r="Q1337" s="34">
        <f>IF($J1337=1,LN(R1338/R1337),"")</f>
        <v/>
      </c>
      <c r="R1337" s="32" t="n">
        <v>1.604</v>
      </c>
      <c r="S1337" s="35" t="n">
        <v>10.641</v>
      </c>
      <c r="T1337" s="18" t="n"/>
      <c r="U1337" s="18" t="n"/>
      <c r="V1337" s="18" t="n">
        <v>58118</v>
      </c>
      <c r="W1337" s="18" t="n"/>
      <c r="X1337" s="35" t="n"/>
      <c r="Y1337" s="35" t="n">
        <v>10.641</v>
      </c>
    </row>
    <row r="1338">
      <c r="A1338" s="25" t="n">
        <v>40788</v>
      </c>
      <c r="B1338" s="18" t="n">
        <v>56531</v>
      </c>
      <c r="C1338" s="31" t="n"/>
      <c r="D1338" s="32" t="n"/>
      <c r="E1338" s="33" t="n">
        <v>-0.5248</v>
      </c>
      <c r="F1338" t="inlineStr">
        <is>
          <t>Down</t>
        </is>
      </c>
      <c r="G1338" t="inlineStr">
        <is>
          <t>Down</t>
        </is>
      </c>
      <c r="H1338" t="inlineStr">
        <is>
          <t>ED_JD</t>
        </is>
      </c>
      <c r="I1338" t="inlineStr">
        <is>
          <t>2011-09</t>
        </is>
      </c>
      <c r="J1338" t="n">
        <v>1</v>
      </c>
      <c r="K1338" t="n">
        <v>1</v>
      </c>
      <c r="L1338" s="34">
        <f>IF($J1338=1,LN(B1339/B1338),"")</f>
        <v/>
      </c>
      <c r="M1338" s="34">
        <f>IF($K1338=1,INDEX(Mensal!$D$2:$D$245,MATCH($I1338,Mensal!$A$2:$A$245,0)),"")</f>
        <v/>
      </c>
      <c r="N1338" s="34">
        <f>IF($K1338=1,L1338-M1338,"")</f>
        <v/>
      </c>
      <c r="O1338" s="34" t="n">
        <v>0.00044556</v>
      </c>
      <c r="P1338" s="34">
        <f>IF($J1338=1,LN(1+O1338),"")</f>
        <v/>
      </c>
      <c r="Q1338" s="34">
        <f>IF($J1338=1,LN(R1339/R1338),"")</f>
        <v/>
      </c>
      <c r="R1338" s="32" t="n">
        <v>1.6343</v>
      </c>
      <c r="S1338" s="35" t="n">
        <v>10.765</v>
      </c>
      <c r="T1338" s="18" t="n"/>
      <c r="U1338" s="18" t="n"/>
      <c r="V1338" s="18" t="n">
        <v>56531</v>
      </c>
      <c r="W1338" s="18" t="n"/>
      <c r="X1338" s="35" t="n"/>
      <c r="Y1338" s="35" t="n">
        <v>10.765</v>
      </c>
    </row>
    <row r="1339">
      <c r="A1339" s="25" t="n">
        <v>40791</v>
      </c>
      <c r="B1339" s="18" t="n">
        <v>54998</v>
      </c>
      <c r="C1339" s="31" t="n"/>
      <c r="D1339" s="32" t="n"/>
      <c r="E1339" s="33" t="n">
        <v>-0.5595</v>
      </c>
      <c r="F1339" t="inlineStr">
        <is>
          <t>Down</t>
        </is>
      </c>
      <c r="G1339" t="inlineStr">
        <is>
          <t>Down</t>
        </is>
      </c>
      <c r="H1339" t="inlineStr">
        <is>
          <t>ED_JD</t>
        </is>
      </c>
      <c r="I1339" t="inlineStr">
        <is>
          <t>2011-09</t>
        </is>
      </c>
      <c r="J1339" t="n">
        <v>1</v>
      </c>
      <c r="K1339" t="n">
        <v>1</v>
      </c>
      <c r="L1339" s="34">
        <f>IF($J1339=1,LN(B1340/B1339),"")</f>
        <v/>
      </c>
      <c r="M1339" s="34">
        <f>IF($K1339=1,INDEX(Mensal!$D$2:$D$245,MATCH($I1339,Mensal!$A$2:$A$245,0)),"")</f>
        <v/>
      </c>
      <c r="N1339" s="34">
        <f>IF($K1339=1,L1339-M1339,"")</f>
        <v/>
      </c>
      <c r="O1339" s="34" t="n">
        <v>0.00044556</v>
      </c>
      <c r="P1339" s="34">
        <f>IF($J1339=1,LN(1+O1339),"")</f>
        <v/>
      </c>
      <c r="Q1339" s="34">
        <f>IF($J1339=1,LN(R1340/R1339),"")</f>
        <v/>
      </c>
      <c r="R1339" s="32" t="n">
        <v>1.6522</v>
      </c>
      <c r="S1339" s="35" t="n">
        <v>10.668</v>
      </c>
      <c r="T1339" s="18" t="n"/>
      <c r="U1339" s="18" t="n"/>
      <c r="V1339" s="18" t="n">
        <v>54998</v>
      </c>
      <c r="W1339" s="18" t="n"/>
      <c r="X1339" s="35" t="n"/>
      <c r="Y1339" s="35" t="n">
        <v>10.668</v>
      </c>
    </row>
    <row r="1340">
      <c r="A1340" s="25" t="n">
        <v>40792</v>
      </c>
      <c r="B1340" s="18" t="n">
        <v>56607</v>
      </c>
      <c r="C1340" s="31" t="n"/>
      <c r="D1340" s="32" t="n"/>
      <c r="E1340" s="33" t="n">
        <v>-0.6008</v>
      </c>
      <c r="F1340" t="inlineStr">
        <is>
          <t>Down</t>
        </is>
      </c>
      <c r="G1340" t="inlineStr">
        <is>
          <t>Down</t>
        </is>
      </c>
      <c r="H1340" t="inlineStr">
        <is>
          <t>ED_JD</t>
        </is>
      </c>
      <c r="I1340" t="inlineStr">
        <is>
          <t>2011-09</t>
        </is>
      </c>
      <c r="J1340" t="n">
        <v>1</v>
      </c>
      <c r="K1340" t="n">
        <v>1</v>
      </c>
      <c r="L1340" s="34">
        <f>IF($J1340=1,LN(B1341/B1340),"")</f>
        <v/>
      </c>
      <c r="M1340" s="34">
        <f>IF($K1340=1,INDEX(Mensal!$D$2:$D$245,MATCH($I1340,Mensal!$A$2:$A$245,0)),"")</f>
        <v/>
      </c>
      <c r="N1340" s="34">
        <f>IF($K1340=1,L1340-M1340,"")</f>
        <v/>
      </c>
      <c r="O1340" s="34" t="n">
        <v>0.00044556</v>
      </c>
      <c r="P1340" s="34">
        <f>IF($J1340=1,LN(1+O1340),"")</f>
        <v/>
      </c>
      <c r="Q1340" s="34">
        <f>IF($J1340=1,LN(R1341/R1340),"")</f>
        <v/>
      </c>
      <c r="R1340" s="32" t="n">
        <v>1.6583</v>
      </c>
      <c r="S1340" s="35" t="n">
        <v>10.726</v>
      </c>
      <c r="T1340" s="18" t="n"/>
      <c r="U1340" s="18" t="n"/>
      <c r="V1340" s="18" t="n">
        <v>56607</v>
      </c>
      <c r="W1340" s="18" t="n"/>
      <c r="X1340" s="35" t="n"/>
      <c r="Y1340" s="35" t="n">
        <v>10.726</v>
      </c>
    </row>
    <row r="1341">
      <c r="A1341" s="25" t="n">
        <v>40794</v>
      </c>
      <c r="B1341" s="18" t="n">
        <v>57623</v>
      </c>
      <c r="C1341" s="31" t="n"/>
      <c r="D1341" s="32" t="n"/>
      <c r="E1341" s="33" t="n">
        <v>-0.6382</v>
      </c>
      <c r="F1341" t="inlineStr">
        <is>
          <t>Down</t>
        </is>
      </c>
      <c r="G1341" t="inlineStr">
        <is>
          <t>Down</t>
        </is>
      </c>
      <c r="H1341" t="inlineStr">
        <is>
          <t>ED_JD</t>
        </is>
      </c>
      <c r="I1341" t="inlineStr">
        <is>
          <t>2011-09</t>
        </is>
      </c>
      <c r="J1341" t="n">
        <v>1</v>
      </c>
      <c r="K1341" t="n">
        <v>1</v>
      </c>
      <c r="L1341" s="34">
        <f>IF($J1341=1,LN(B1342/B1341),"")</f>
        <v/>
      </c>
      <c r="M1341" s="34">
        <f>IF($K1341=1,INDEX(Mensal!$D$2:$D$245,MATCH($I1341,Mensal!$A$2:$A$245,0)),"")</f>
        <v/>
      </c>
      <c r="N1341" s="34">
        <f>IF($K1341=1,L1341-M1341,"")</f>
        <v/>
      </c>
      <c r="O1341" s="34" t="n">
        <v>0.00044556</v>
      </c>
      <c r="P1341" s="34">
        <f>IF($J1341=1,LN(1+O1341),"")</f>
        <v/>
      </c>
      <c r="Q1341" s="34">
        <f>IF($J1341=1,LN(R1342/R1341),"")</f>
        <v/>
      </c>
      <c r="R1341" s="32" t="n">
        <v>1.6566</v>
      </c>
      <c r="S1341" s="35" t="n">
        <v>10.827</v>
      </c>
      <c r="T1341" s="18" t="n"/>
      <c r="U1341" s="18" t="n"/>
      <c r="V1341" s="18" t="n">
        <v>57623</v>
      </c>
      <c r="W1341" s="18" t="n"/>
      <c r="X1341" s="35" t="n"/>
      <c r="Y1341" s="35" t="n">
        <v>10.827</v>
      </c>
    </row>
    <row r="1342">
      <c r="A1342" s="25" t="n">
        <v>40795</v>
      </c>
      <c r="B1342" s="18" t="n">
        <v>55778</v>
      </c>
      <c r="C1342" s="31" t="n"/>
      <c r="D1342" s="32" t="n"/>
      <c r="E1342" s="33" t="n">
        <v>-0.6729000000000001</v>
      </c>
      <c r="F1342" t="inlineStr">
        <is>
          <t>Down</t>
        </is>
      </c>
      <c r="G1342" t="inlineStr">
        <is>
          <t>Down</t>
        </is>
      </c>
      <c r="H1342" t="inlineStr">
        <is>
          <t>ED_JD</t>
        </is>
      </c>
      <c r="I1342" t="inlineStr">
        <is>
          <t>2011-09</t>
        </is>
      </c>
      <c r="J1342" t="n">
        <v>1</v>
      </c>
      <c r="K1342" t="n">
        <v>1</v>
      </c>
      <c r="L1342" s="34">
        <f>IF($J1342=1,LN(B1343/B1342),"")</f>
        <v/>
      </c>
      <c r="M1342" s="34">
        <f>IF($K1342=1,INDEX(Mensal!$D$2:$D$245,MATCH($I1342,Mensal!$A$2:$A$245,0)),"")</f>
        <v/>
      </c>
      <c r="N1342" s="34">
        <f>IF($K1342=1,L1342-M1342,"")</f>
        <v/>
      </c>
      <c r="O1342" s="34" t="n">
        <v>0.00044556</v>
      </c>
      <c r="P1342" s="34">
        <f>IF($J1342=1,LN(1+O1342),"")</f>
        <v/>
      </c>
      <c r="Q1342" s="34">
        <f>IF($J1342=1,LN(R1343/R1342),"")</f>
        <v/>
      </c>
      <c r="R1342" s="32" t="n">
        <v>1.6774</v>
      </c>
      <c r="S1342" s="35" t="n">
        <v>10.787</v>
      </c>
      <c r="T1342" s="18" t="n"/>
      <c r="U1342" s="18" t="n"/>
      <c r="V1342" s="18" t="n">
        <v>55778</v>
      </c>
      <c r="W1342" s="18" t="n"/>
      <c r="X1342" s="35" t="n"/>
      <c r="Y1342" s="35" t="n">
        <v>10.787</v>
      </c>
    </row>
    <row r="1343">
      <c r="A1343" s="25" t="n">
        <v>40798</v>
      </c>
      <c r="B1343" s="18" t="n">
        <v>55685</v>
      </c>
      <c r="C1343" s="31" t="n"/>
      <c r="D1343" s="32" t="n"/>
      <c r="E1343" s="33" t="n">
        <v>-0.7097</v>
      </c>
      <c r="F1343" t="inlineStr">
        <is>
          <t>Down</t>
        </is>
      </c>
      <c r="G1343" t="inlineStr">
        <is>
          <t>Down</t>
        </is>
      </c>
      <c r="H1343" t="inlineStr">
        <is>
          <t>ED_JD</t>
        </is>
      </c>
      <c r="I1343" t="inlineStr">
        <is>
          <t>2011-09</t>
        </is>
      </c>
      <c r="J1343" t="n">
        <v>1</v>
      </c>
      <c r="K1343" t="n">
        <v>1</v>
      </c>
      <c r="L1343" s="34">
        <f>IF($J1343=1,LN(B1344/B1343),"")</f>
        <v/>
      </c>
      <c r="M1343" s="34">
        <f>IF($K1343=1,INDEX(Mensal!$D$2:$D$245,MATCH($I1343,Mensal!$A$2:$A$245,0)),"")</f>
        <v/>
      </c>
      <c r="N1343" s="34">
        <f>IF($K1343=1,L1343-M1343,"")</f>
        <v/>
      </c>
      <c r="O1343" s="34" t="n">
        <v>0.00044556</v>
      </c>
      <c r="P1343" s="34">
        <f>IF($J1343=1,LN(1+O1343),"")</f>
        <v/>
      </c>
      <c r="Q1343" s="34">
        <f>IF($J1343=1,LN(R1344/R1343),"")</f>
        <v/>
      </c>
      <c r="R1343" s="32" t="n">
        <v>1.6899</v>
      </c>
      <c r="S1343" s="35" t="n">
        <v>10.686</v>
      </c>
      <c r="T1343" s="18" t="n"/>
      <c r="U1343" s="18" t="n"/>
      <c r="V1343" s="18" t="n">
        <v>55685</v>
      </c>
      <c r="W1343" s="18" t="n"/>
      <c r="X1343" s="35" t="n"/>
      <c r="Y1343" s="35" t="n">
        <v>10.686</v>
      </c>
    </row>
    <row r="1344">
      <c r="A1344" s="25" t="n">
        <v>40799</v>
      </c>
      <c r="B1344" s="18" t="n">
        <v>55543</v>
      </c>
      <c r="C1344" s="31" t="n"/>
      <c r="D1344" s="32" t="n"/>
      <c r="E1344" s="33" t="n">
        <v>-0.7398</v>
      </c>
      <c r="F1344" t="inlineStr">
        <is>
          <t>Down</t>
        </is>
      </c>
      <c r="G1344" t="inlineStr">
        <is>
          <t>Down</t>
        </is>
      </c>
      <c r="H1344" t="inlineStr">
        <is>
          <t>ED_JD</t>
        </is>
      </c>
      <c r="I1344" t="inlineStr">
        <is>
          <t>2011-09</t>
        </is>
      </c>
      <c r="J1344" t="n">
        <v>1</v>
      </c>
      <c r="K1344" t="n">
        <v>1</v>
      </c>
      <c r="L1344" s="34">
        <f>IF($J1344=1,LN(B1345/B1344),"")</f>
        <v/>
      </c>
      <c r="M1344" s="34">
        <f>IF($K1344=1,INDEX(Mensal!$D$2:$D$245,MATCH($I1344,Mensal!$A$2:$A$245,0)),"")</f>
        <v/>
      </c>
      <c r="N1344" s="34">
        <f>IF($K1344=1,L1344-M1344,"")</f>
        <v/>
      </c>
      <c r="O1344" s="34" t="n">
        <v>0.00044556</v>
      </c>
      <c r="P1344" s="34">
        <f>IF($J1344=1,LN(1+O1344),"")</f>
        <v/>
      </c>
      <c r="Q1344" s="34">
        <f>IF($J1344=1,LN(R1345/R1344),"")</f>
        <v/>
      </c>
      <c r="R1344" s="32" t="n">
        <v>1.7127</v>
      </c>
      <c r="S1344" s="35" t="n">
        <v>10.773</v>
      </c>
      <c r="T1344" s="18" t="n"/>
      <c r="U1344" s="18" t="n"/>
      <c r="V1344" s="18" t="n">
        <v>55543</v>
      </c>
      <c r="W1344" s="18" t="n"/>
      <c r="X1344" s="35" t="n"/>
      <c r="Y1344" s="35" t="n">
        <v>10.773</v>
      </c>
    </row>
    <row r="1345">
      <c r="A1345" s="25" t="n">
        <v>40800</v>
      </c>
      <c r="B1345" s="18" t="n">
        <v>56286</v>
      </c>
      <c r="C1345" s="31" t="n"/>
      <c r="D1345" s="32" t="n"/>
      <c r="E1345" s="33" t="n">
        <v>-0.7673</v>
      </c>
      <c r="F1345" t="inlineStr">
        <is>
          <t>Down</t>
        </is>
      </c>
      <c r="G1345" t="inlineStr">
        <is>
          <t>Down</t>
        </is>
      </c>
      <c r="H1345" t="inlineStr">
        <is>
          <t>ED_JD</t>
        </is>
      </c>
      <c r="I1345" t="inlineStr">
        <is>
          <t>2011-09</t>
        </is>
      </c>
      <c r="J1345" t="n">
        <v>1</v>
      </c>
      <c r="K1345" t="n">
        <v>1</v>
      </c>
      <c r="L1345" s="34">
        <f>IF($J1345=1,LN(B1346/B1345),"")</f>
        <v/>
      </c>
      <c r="M1345" s="34">
        <f>IF($K1345=1,INDEX(Mensal!$D$2:$D$245,MATCH($I1345,Mensal!$A$2:$A$245,0)),"")</f>
        <v/>
      </c>
      <c r="N1345" s="34">
        <f>IF($K1345=1,L1345-M1345,"")</f>
        <v/>
      </c>
      <c r="O1345" s="34" t="n">
        <v>0.00044556</v>
      </c>
      <c r="P1345" s="34">
        <f>IF($J1345=1,LN(1+O1345),"")</f>
        <v/>
      </c>
      <c r="Q1345" s="34">
        <f>IF($J1345=1,LN(R1346/R1345),"")</f>
        <v/>
      </c>
      <c r="R1345" s="32" t="n">
        <v>1.7288</v>
      </c>
      <c r="S1345" s="35" t="n">
        <v>10.827</v>
      </c>
      <c r="T1345" s="18" t="n"/>
      <c r="U1345" s="18" t="n"/>
      <c r="V1345" s="18" t="n">
        <v>56286</v>
      </c>
      <c r="W1345" s="18" t="n"/>
      <c r="X1345" s="35" t="n"/>
      <c r="Y1345" s="35" t="n">
        <v>10.827</v>
      </c>
    </row>
    <row r="1346">
      <c r="A1346" s="25" t="n">
        <v>40801</v>
      </c>
      <c r="B1346" s="18" t="n">
        <v>56381</v>
      </c>
      <c r="C1346" s="31" t="n"/>
      <c r="D1346" s="32" t="n"/>
      <c r="E1346" s="33" t="n">
        <v>-0.794</v>
      </c>
      <c r="F1346" t="inlineStr">
        <is>
          <t>Down</t>
        </is>
      </c>
      <c r="G1346" t="inlineStr">
        <is>
          <t>Down</t>
        </is>
      </c>
      <c r="H1346" t="inlineStr">
        <is>
          <t>ED_JD</t>
        </is>
      </c>
      <c r="I1346" t="inlineStr">
        <is>
          <t>2011-09</t>
        </is>
      </c>
      <c r="J1346" t="n">
        <v>1</v>
      </c>
      <c r="K1346" t="n">
        <v>1</v>
      </c>
      <c r="L1346" s="34">
        <f>IF($J1346=1,LN(B1347/B1346),"")</f>
        <v/>
      </c>
      <c r="M1346" s="34">
        <f>IF($K1346=1,INDEX(Mensal!$D$2:$D$245,MATCH($I1346,Mensal!$A$2:$A$245,0)),"")</f>
        <v/>
      </c>
      <c r="N1346" s="34">
        <f>IF($K1346=1,L1346-M1346,"")</f>
        <v/>
      </c>
      <c r="O1346" s="34" t="n">
        <v>0.00044556</v>
      </c>
      <c r="P1346" s="34">
        <f>IF($J1346=1,LN(1+O1346),"")</f>
        <v/>
      </c>
      <c r="Q1346" s="34">
        <f>IF($J1346=1,LN(R1347/R1346),"")</f>
        <v/>
      </c>
      <c r="R1346" s="32" t="n">
        <v>1.7106</v>
      </c>
      <c r="S1346" s="35" t="n">
        <v>10.771</v>
      </c>
      <c r="T1346" s="18" t="n"/>
      <c r="U1346" s="18" t="n"/>
      <c r="V1346" s="18" t="n">
        <v>56381</v>
      </c>
      <c r="W1346" s="18" t="n"/>
      <c r="X1346" s="35" t="n"/>
      <c r="Y1346" s="35" t="n">
        <v>10.771</v>
      </c>
    </row>
    <row r="1347">
      <c r="A1347" s="25" t="n">
        <v>40802</v>
      </c>
      <c r="B1347" s="18" t="n">
        <v>57210</v>
      </c>
      <c r="C1347" s="31" t="n"/>
      <c r="D1347" s="32" t="n"/>
      <c r="E1347" s="33" t="n">
        <v>-0.8198</v>
      </c>
      <c r="F1347" t="inlineStr">
        <is>
          <t>Down</t>
        </is>
      </c>
      <c r="G1347" t="inlineStr">
        <is>
          <t>Down</t>
        </is>
      </c>
      <c r="H1347" t="inlineStr">
        <is>
          <t>ED_JD</t>
        </is>
      </c>
      <c r="I1347" t="inlineStr">
        <is>
          <t>2011-09</t>
        </is>
      </c>
      <c r="J1347" t="n">
        <v>1</v>
      </c>
      <c r="K1347" t="n">
        <v>1</v>
      </c>
      <c r="L1347" s="34">
        <f>IF($J1347=1,LN(B1348/B1347),"")</f>
        <v/>
      </c>
      <c r="M1347" s="34">
        <f>IF($K1347=1,INDEX(Mensal!$D$2:$D$245,MATCH($I1347,Mensal!$A$2:$A$245,0)),"")</f>
        <v/>
      </c>
      <c r="N1347" s="34">
        <f>IF($K1347=1,L1347-M1347,"")</f>
        <v/>
      </c>
      <c r="O1347" s="34" t="n">
        <v>0.00044556</v>
      </c>
      <c r="P1347" s="34">
        <f>IF($J1347=1,LN(1+O1347),"")</f>
        <v/>
      </c>
      <c r="Q1347" s="34">
        <f>IF($J1347=1,LN(R1348/R1347),"")</f>
        <v/>
      </c>
      <c r="R1347" s="32" t="n">
        <v>1.7122</v>
      </c>
      <c r="S1347" s="35" t="n">
        <v>10.729</v>
      </c>
      <c r="T1347" s="18" t="n"/>
      <c r="U1347" s="18" t="n"/>
      <c r="V1347" s="18" t="n">
        <v>57210</v>
      </c>
      <c r="W1347" s="18" t="n"/>
      <c r="X1347" s="35" t="n"/>
      <c r="Y1347" s="35" t="n">
        <v>10.729</v>
      </c>
    </row>
    <row r="1348">
      <c r="A1348" s="25" t="n">
        <v>40805</v>
      </c>
      <c r="B1348" s="18" t="n">
        <v>57102</v>
      </c>
      <c r="C1348" s="31" t="n"/>
      <c r="D1348" s="32" t="n"/>
      <c r="E1348" s="33" t="n">
        <v>-0.8411</v>
      </c>
      <c r="F1348" t="inlineStr">
        <is>
          <t>Down</t>
        </is>
      </c>
      <c r="G1348" t="inlineStr">
        <is>
          <t>Down</t>
        </is>
      </c>
      <c r="H1348" t="inlineStr">
        <is>
          <t>ED_JD</t>
        </is>
      </c>
      <c r="I1348" t="inlineStr">
        <is>
          <t>2011-09</t>
        </is>
      </c>
      <c r="J1348" t="n">
        <v>1</v>
      </c>
      <c r="K1348" t="n">
        <v>1</v>
      </c>
      <c r="L1348" s="34">
        <f>IF($J1348=1,LN(B1349/B1348),"")</f>
        <v/>
      </c>
      <c r="M1348" s="34">
        <f>IF($K1348=1,INDEX(Mensal!$D$2:$D$245,MATCH($I1348,Mensal!$A$2:$A$245,0)),"")</f>
        <v/>
      </c>
      <c r="N1348" s="34">
        <f>IF($K1348=1,L1348-M1348,"")</f>
        <v/>
      </c>
      <c r="O1348" s="34" t="n">
        <v>0.00044521</v>
      </c>
      <c r="P1348" s="34">
        <f>IF($J1348=1,LN(1+O1348),"")</f>
        <v/>
      </c>
      <c r="Q1348" s="34">
        <f>IF($J1348=1,LN(R1349/R1348),"")</f>
        <v/>
      </c>
      <c r="R1348" s="32" t="n">
        <v>1.7763</v>
      </c>
      <c r="S1348" s="35" t="n">
        <v>10.698</v>
      </c>
      <c r="T1348" s="18" t="n"/>
      <c r="U1348" s="18" t="n"/>
      <c r="V1348" s="18" t="n">
        <v>57102</v>
      </c>
      <c r="W1348" s="18" t="n"/>
      <c r="X1348" s="35" t="n"/>
      <c r="Y1348" s="35" t="n">
        <v>10.698</v>
      </c>
    </row>
    <row r="1349">
      <c r="A1349" s="25" t="n">
        <v>40806</v>
      </c>
      <c r="B1349" s="18" t="n">
        <v>56378</v>
      </c>
      <c r="C1349" s="31" t="n"/>
      <c r="D1349" s="32" t="n"/>
      <c r="E1349" s="33" t="n">
        <v>-0.8618</v>
      </c>
      <c r="F1349" t="inlineStr">
        <is>
          <t>Down</t>
        </is>
      </c>
      <c r="G1349" t="inlineStr">
        <is>
          <t>Down</t>
        </is>
      </c>
      <c r="H1349" t="inlineStr">
        <is>
          <t>ED_JD</t>
        </is>
      </c>
      <c r="I1349" t="inlineStr">
        <is>
          <t>2011-09</t>
        </is>
      </c>
      <c r="J1349" t="n">
        <v>1</v>
      </c>
      <c r="K1349" t="n">
        <v>1</v>
      </c>
      <c r="L1349" s="34">
        <f>IF($J1349=1,LN(B1350/B1349),"")</f>
        <v/>
      </c>
      <c r="M1349" s="34">
        <f>IF($K1349=1,INDEX(Mensal!$D$2:$D$245,MATCH($I1349,Mensal!$A$2:$A$245,0)),"")</f>
        <v/>
      </c>
      <c r="N1349" s="34">
        <f>IF($K1349=1,L1349-M1349,"")</f>
        <v/>
      </c>
      <c r="O1349" s="34" t="n">
        <v>0.00044521</v>
      </c>
      <c r="P1349" s="34">
        <f>IF($J1349=1,LN(1+O1349),"")</f>
        <v/>
      </c>
      <c r="Q1349" s="34">
        <f>IF($J1349=1,LN(R1350/R1349),"")</f>
        <v/>
      </c>
      <c r="R1349" s="32" t="n">
        <v>1.787</v>
      </c>
      <c r="S1349" s="35" t="n">
        <v>10.771</v>
      </c>
      <c r="T1349" s="18" t="n"/>
      <c r="U1349" s="18" t="n"/>
      <c r="V1349" s="18" t="n">
        <v>56378</v>
      </c>
      <c r="W1349" s="18" t="n"/>
      <c r="X1349" s="35" t="n"/>
      <c r="Y1349" s="35" t="n">
        <v>10.771</v>
      </c>
    </row>
    <row r="1350">
      <c r="A1350" s="25" t="n">
        <v>40807</v>
      </c>
      <c r="B1350" s="18" t="n">
        <v>55981</v>
      </c>
      <c r="C1350" s="31" t="n"/>
      <c r="D1350" s="32" t="n"/>
      <c r="E1350" s="33" t="n">
        <v>-0.8804999999999999</v>
      </c>
      <c r="F1350" t="inlineStr">
        <is>
          <t>Down</t>
        </is>
      </c>
      <c r="G1350" t="inlineStr">
        <is>
          <t>Down</t>
        </is>
      </c>
      <c r="H1350" t="inlineStr">
        <is>
          <t>ED_JD</t>
        </is>
      </c>
      <c r="I1350" t="inlineStr">
        <is>
          <t>2011-09</t>
        </is>
      </c>
      <c r="J1350" t="n">
        <v>1</v>
      </c>
      <c r="K1350" t="n">
        <v>1</v>
      </c>
      <c r="L1350" s="34">
        <f>IF($J1350=1,LN(B1351/B1350),"")</f>
        <v/>
      </c>
      <c r="M1350" s="34">
        <f>IF($K1350=1,INDEX(Mensal!$D$2:$D$245,MATCH($I1350,Mensal!$A$2:$A$245,0)),"")</f>
        <v/>
      </c>
      <c r="N1350" s="34">
        <f>IF($K1350=1,L1350-M1350,"")</f>
        <v/>
      </c>
      <c r="O1350" s="34" t="n">
        <v>0.00044556</v>
      </c>
      <c r="P1350" s="34">
        <f>IF($J1350=1,LN(1+O1350),"")</f>
        <v/>
      </c>
      <c r="Q1350" s="34">
        <f>IF($J1350=1,LN(R1351/R1350),"")</f>
        <v/>
      </c>
      <c r="R1350" s="32" t="n">
        <v>1.828</v>
      </c>
      <c r="S1350" s="35" t="n">
        <v>10.812</v>
      </c>
      <c r="T1350" s="18" t="n"/>
      <c r="U1350" s="18" t="n"/>
      <c r="V1350" s="18" t="n">
        <v>55981</v>
      </c>
      <c r="W1350" s="18" t="n"/>
      <c r="X1350" s="35" t="n"/>
      <c r="Y1350" s="35" t="n">
        <v>10.812</v>
      </c>
    </row>
    <row r="1351">
      <c r="A1351" s="25" t="n">
        <v>40808</v>
      </c>
      <c r="B1351" s="18" t="n">
        <v>53280</v>
      </c>
      <c r="C1351" s="31" t="n"/>
      <c r="D1351" s="32" t="n"/>
      <c r="E1351" s="33" t="n">
        <v>-0.8941</v>
      </c>
      <c r="F1351" t="inlineStr">
        <is>
          <t>Down</t>
        </is>
      </c>
      <c r="G1351" t="inlineStr">
        <is>
          <t>Down</t>
        </is>
      </c>
      <c r="H1351" t="inlineStr">
        <is>
          <t>ED_JD</t>
        </is>
      </c>
      <c r="I1351" t="inlineStr">
        <is>
          <t>2011-09</t>
        </is>
      </c>
      <c r="J1351" t="n">
        <v>1</v>
      </c>
      <c r="K1351" t="n">
        <v>1</v>
      </c>
      <c r="L1351" s="34">
        <f>IF($J1351=1,LN(B1352/B1351),"")</f>
        <v/>
      </c>
      <c r="M1351" s="34">
        <f>IF($K1351=1,INDEX(Mensal!$D$2:$D$245,MATCH($I1351,Mensal!$A$2:$A$245,0)),"")</f>
        <v/>
      </c>
      <c r="N1351" s="34">
        <f>IF($K1351=1,L1351-M1351,"")</f>
        <v/>
      </c>
      <c r="O1351" s="34" t="n">
        <v>0.00044556</v>
      </c>
      <c r="P1351" s="34">
        <f>IF($J1351=1,LN(1+O1351),"")</f>
        <v/>
      </c>
      <c r="Q1351" s="34">
        <f>IF($J1351=1,LN(R1352/R1351),"")</f>
        <v/>
      </c>
      <c r="R1351" s="32" t="n">
        <v>1.9016</v>
      </c>
      <c r="S1351" s="35" t="n">
        <v>10.726</v>
      </c>
      <c r="T1351" s="18" t="n"/>
      <c r="U1351" s="18" t="n"/>
      <c r="V1351" s="18" t="n">
        <v>53280</v>
      </c>
      <c r="W1351" s="18" t="n"/>
      <c r="X1351" s="35" t="n"/>
      <c r="Y1351" s="35" t="n">
        <v>10.726</v>
      </c>
    </row>
    <row r="1352">
      <c r="A1352" s="25" t="n">
        <v>40809</v>
      </c>
      <c r="B1352" s="18" t="n">
        <v>53230</v>
      </c>
      <c r="C1352" s="31" t="n"/>
      <c r="D1352" s="32" t="n"/>
      <c r="E1352" s="33" t="n">
        <v>-0.9048</v>
      </c>
      <c r="F1352" t="inlineStr">
        <is>
          <t>Down</t>
        </is>
      </c>
      <c r="G1352" t="inlineStr">
        <is>
          <t>Down</t>
        </is>
      </c>
      <c r="H1352" t="inlineStr">
        <is>
          <t>ED_JD</t>
        </is>
      </c>
      <c r="I1352" t="inlineStr">
        <is>
          <t>2011-09</t>
        </is>
      </c>
      <c r="J1352" t="n">
        <v>1</v>
      </c>
      <c r="K1352" t="n">
        <v>1</v>
      </c>
      <c r="L1352" s="34">
        <f>IF($J1352=1,LN(B1353/B1352),"")</f>
        <v/>
      </c>
      <c r="M1352" s="34">
        <f>IF($K1352=1,INDEX(Mensal!$D$2:$D$245,MATCH($I1352,Mensal!$A$2:$A$245,0)),"")</f>
        <v/>
      </c>
      <c r="N1352" s="34">
        <f>IF($K1352=1,L1352-M1352,"")</f>
        <v/>
      </c>
      <c r="O1352" s="34" t="n">
        <v>0.00044556</v>
      </c>
      <c r="P1352" s="34">
        <f>IF($J1352=1,LN(1+O1352),"")</f>
        <v/>
      </c>
      <c r="Q1352" s="34">
        <f>IF($J1352=1,LN(R1353/R1352),"")</f>
        <v/>
      </c>
      <c r="R1352" s="32" t="n">
        <v>1.8735</v>
      </c>
      <c r="S1352" s="35" t="n">
        <v>10.513</v>
      </c>
      <c r="T1352" s="18" t="n"/>
      <c r="U1352" s="18" t="n"/>
      <c r="V1352" s="18" t="n">
        <v>53230</v>
      </c>
      <c r="W1352" s="18" t="n"/>
      <c r="X1352" s="35" t="n"/>
      <c r="Y1352" s="35" t="n">
        <v>10.513</v>
      </c>
    </row>
    <row r="1353">
      <c r="A1353" s="25" t="n">
        <v>40812</v>
      </c>
      <c r="B1353" s="18" t="n">
        <v>53747</v>
      </c>
      <c r="C1353" s="31" t="n"/>
      <c r="D1353" s="32" t="n"/>
      <c r="E1353" s="33" t="n">
        <v>-0.9032</v>
      </c>
      <c r="F1353" t="inlineStr">
        <is>
          <t>Down</t>
        </is>
      </c>
      <c r="G1353" t="inlineStr">
        <is>
          <t>Down</t>
        </is>
      </c>
      <c r="H1353" t="inlineStr">
        <is>
          <t>ED_JD</t>
        </is>
      </c>
      <c r="I1353" t="inlineStr">
        <is>
          <t>2011-09</t>
        </is>
      </c>
      <c r="J1353" t="n">
        <v>1</v>
      </c>
      <c r="K1353" t="n">
        <v>1</v>
      </c>
      <c r="L1353" s="34">
        <f>IF($J1353=1,LN(B1354/B1353),"")</f>
        <v/>
      </c>
      <c r="M1353" s="34">
        <f>IF($K1353=1,INDEX(Mensal!$D$2:$D$245,MATCH($I1353,Mensal!$A$2:$A$245,0)),"")</f>
        <v/>
      </c>
      <c r="N1353" s="34">
        <f>IF($K1353=1,L1353-M1353,"")</f>
        <v/>
      </c>
      <c r="O1353" s="34" t="n">
        <v>0.00044556</v>
      </c>
      <c r="P1353" s="34">
        <f>IF($J1353=1,LN(1+O1353),"")</f>
        <v/>
      </c>
      <c r="Q1353" s="34">
        <f>IF($J1353=1,LN(R1354/R1353),"")</f>
        <v/>
      </c>
      <c r="R1353" s="32" t="n">
        <v>1.8445</v>
      </c>
      <c r="S1353" s="35" t="n">
        <v>10.32</v>
      </c>
      <c r="T1353" s="18" t="n"/>
      <c r="U1353" s="18" t="n"/>
      <c r="V1353" s="18" t="n">
        <v>53747</v>
      </c>
      <c r="W1353" s="18" t="n"/>
      <c r="X1353" s="35" t="n"/>
      <c r="Y1353" s="35" t="n">
        <v>10.32</v>
      </c>
    </row>
    <row r="1354">
      <c r="A1354" s="25" t="n">
        <v>40813</v>
      </c>
      <c r="B1354" s="18" t="n">
        <v>53920</v>
      </c>
      <c r="C1354" s="31" t="n"/>
      <c r="D1354" s="32" t="n"/>
      <c r="E1354" s="33" t="n">
        <v>-0.8969</v>
      </c>
      <c r="F1354" t="inlineStr">
        <is>
          <t>Down</t>
        </is>
      </c>
      <c r="G1354" t="inlineStr">
        <is>
          <t>Down</t>
        </is>
      </c>
      <c r="H1354" t="inlineStr">
        <is>
          <t>ED_JD</t>
        </is>
      </c>
      <c r="I1354" t="inlineStr">
        <is>
          <t>2011-09</t>
        </is>
      </c>
      <c r="J1354" t="n">
        <v>1</v>
      </c>
      <c r="K1354" t="n">
        <v>1</v>
      </c>
      <c r="L1354" s="34">
        <f>IF($J1354=1,LN(B1355/B1354),"")</f>
        <v/>
      </c>
      <c r="M1354" s="34">
        <f>IF($K1354=1,INDEX(Mensal!$D$2:$D$245,MATCH($I1354,Mensal!$A$2:$A$245,0)),"")</f>
        <v/>
      </c>
      <c r="N1354" s="34">
        <f>IF($K1354=1,L1354-M1354,"")</f>
        <v/>
      </c>
      <c r="O1354" s="34" t="n">
        <v>0.00044556</v>
      </c>
      <c r="P1354" s="34">
        <f>IF($J1354=1,LN(1+O1354),"")</f>
        <v/>
      </c>
      <c r="Q1354" s="34">
        <f>IF($J1354=1,LN(R1355/R1354),"")</f>
        <v/>
      </c>
      <c r="R1354" s="32" t="n">
        <v>1.8008</v>
      </c>
      <c r="S1354" s="35" t="n">
        <v>10.499</v>
      </c>
      <c r="T1354" s="18" t="n"/>
      <c r="U1354" s="18" t="n"/>
      <c r="V1354" s="18" t="n">
        <v>53920</v>
      </c>
      <c r="W1354" s="18" t="n"/>
      <c r="X1354" s="35" t="n"/>
      <c r="Y1354" s="35" t="n">
        <v>10.499</v>
      </c>
    </row>
    <row r="1355">
      <c r="A1355" s="25" t="n">
        <v>40814</v>
      </c>
      <c r="B1355" s="18" t="n">
        <v>53270</v>
      </c>
      <c r="C1355" s="31" t="n"/>
      <c r="D1355" s="32" t="n"/>
      <c r="E1355" s="33" t="n">
        <v>-0.8873</v>
      </c>
      <c r="F1355" t="inlineStr">
        <is>
          <t>Down</t>
        </is>
      </c>
      <c r="G1355" t="inlineStr">
        <is>
          <t>Down</t>
        </is>
      </c>
      <c r="H1355" t="inlineStr">
        <is>
          <t>ED_JD</t>
        </is>
      </c>
      <c r="I1355" t="inlineStr">
        <is>
          <t>2011-09</t>
        </is>
      </c>
      <c r="J1355" t="n">
        <v>1</v>
      </c>
      <c r="K1355" t="n">
        <v>1</v>
      </c>
      <c r="L1355" s="34">
        <f>IF($J1355=1,LN(B1356/B1355),"")</f>
        <v/>
      </c>
      <c r="M1355" s="34">
        <f>IF($K1355=1,INDEX(Mensal!$D$2:$D$245,MATCH($I1355,Mensal!$A$2:$A$245,0)),"")</f>
        <v/>
      </c>
      <c r="N1355" s="34">
        <f>IF($K1355=1,L1355-M1355,"")</f>
        <v/>
      </c>
      <c r="O1355" s="34" t="n">
        <v>0.00044556</v>
      </c>
      <c r="P1355" s="34">
        <f>IF($J1355=1,LN(1+O1355),"")</f>
        <v/>
      </c>
      <c r="Q1355" s="34">
        <f>IF($J1355=1,LN(R1356/R1355),"")</f>
        <v/>
      </c>
      <c r="R1355" s="32" t="n">
        <v>1.8131</v>
      </c>
      <c r="S1355" s="35" t="n">
        <v>10.457</v>
      </c>
      <c r="T1355" s="18" t="n"/>
      <c r="U1355" s="18" t="n"/>
      <c r="V1355" s="18" t="n">
        <v>53270</v>
      </c>
      <c r="W1355" s="18" t="n"/>
      <c r="X1355" s="35" t="n"/>
      <c r="Y1355" s="35" t="n">
        <v>10.457</v>
      </c>
    </row>
    <row r="1356">
      <c r="A1356" s="25" t="n">
        <v>40815</v>
      </c>
      <c r="B1356" s="18" t="n">
        <v>53384</v>
      </c>
      <c r="C1356" s="31" t="n"/>
      <c r="D1356" s="32" t="n"/>
      <c r="E1356" s="33" t="n">
        <v>-0.8754999999999999</v>
      </c>
      <c r="F1356" t="inlineStr">
        <is>
          <t>Down</t>
        </is>
      </c>
      <c r="G1356" t="inlineStr">
        <is>
          <t>Down</t>
        </is>
      </c>
      <c r="H1356" t="inlineStr">
        <is>
          <t>ED_JD</t>
        </is>
      </c>
      <c r="I1356" t="inlineStr">
        <is>
          <t>2011-09</t>
        </is>
      </c>
      <c r="J1356" t="n">
        <v>1</v>
      </c>
      <c r="K1356" t="n">
        <v>1</v>
      </c>
      <c r="L1356" s="34">
        <f>IF($J1356=1,LN(B1357/B1356),"")</f>
        <v/>
      </c>
      <c r="M1356" s="34">
        <f>IF($K1356=1,INDEX(Mensal!$D$2:$D$245,MATCH($I1356,Mensal!$A$2:$A$245,0)),"")</f>
        <v/>
      </c>
      <c r="N1356" s="34">
        <f>IF($K1356=1,L1356-M1356,"")</f>
        <v/>
      </c>
      <c r="O1356" s="34" t="n">
        <v>0.00044556</v>
      </c>
      <c r="P1356" s="34">
        <f>IF($J1356=1,LN(1+O1356),"")</f>
        <v/>
      </c>
      <c r="Q1356" s="34">
        <f>IF($J1356=1,LN(R1357/R1356),"")</f>
        <v/>
      </c>
      <c r="R1356" s="32" t="n">
        <v>1.8291</v>
      </c>
      <c r="S1356" s="35" t="n">
        <v>10.534</v>
      </c>
      <c r="T1356" s="18" t="n"/>
      <c r="U1356" s="18" t="n"/>
      <c r="V1356" s="18" t="n">
        <v>53384</v>
      </c>
      <c r="W1356" s="18" t="n"/>
      <c r="X1356" s="35" t="n"/>
      <c r="Y1356" s="35" t="n">
        <v>10.534</v>
      </c>
    </row>
    <row r="1357">
      <c r="A1357" s="25" t="n">
        <v>40816</v>
      </c>
      <c r="B1357" s="18" t="n">
        <v>52324</v>
      </c>
      <c r="C1357" s="31" t="n"/>
      <c r="D1357" s="32" t="n"/>
      <c r="E1357" s="33" t="n">
        <v>-0.8556</v>
      </c>
      <c r="F1357" t="inlineStr">
        <is>
          <t>Down</t>
        </is>
      </c>
      <c r="G1357" t="inlineStr">
        <is>
          <t>Down</t>
        </is>
      </c>
      <c r="H1357" t="inlineStr">
        <is>
          <t>ED_JD</t>
        </is>
      </c>
      <c r="I1357" t="inlineStr">
        <is>
          <t>2011-09</t>
        </is>
      </c>
      <c r="J1357" t="n">
        <v>1</v>
      </c>
      <c r="K1357" t="n">
        <v>1</v>
      </c>
      <c r="L1357" s="34">
        <f>IF($J1357=1,LN(B1358/B1357),"")</f>
        <v/>
      </c>
      <c r="M1357" s="34">
        <f>IF($K1357=1,INDEX(Mensal!$D$2:$D$245,MATCH($I1357,Mensal!$A$2:$A$245,0)),"")</f>
        <v/>
      </c>
      <c r="N1357" s="34">
        <f>IF($K1357=1,L1357-M1357,"")</f>
        <v/>
      </c>
      <c r="O1357" s="34" t="n">
        <v>0.00044556</v>
      </c>
      <c r="P1357" s="34">
        <f>IF($J1357=1,LN(1+O1357),"")</f>
        <v/>
      </c>
      <c r="Q1357" s="34">
        <f>IF($J1357=1,LN(R1358/R1357),"")</f>
        <v/>
      </c>
      <c r="R1357" s="32" t="n">
        <v>1.8544</v>
      </c>
      <c r="S1357" s="35" t="n">
        <v>10.385</v>
      </c>
      <c r="T1357" s="18" t="n"/>
      <c r="U1357" s="18" t="n"/>
      <c r="V1357" s="18" t="n">
        <v>52324</v>
      </c>
      <c r="W1357" s="18" t="n"/>
      <c r="X1357" s="35" t="n"/>
      <c r="Y1357" s="35" t="n">
        <v>10.385</v>
      </c>
    </row>
    <row r="1358">
      <c r="A1358" s="25" t="n">
        <v>40819</v>
      </c>
      <c r="B1358" s="18" t="n">
        <v>50791</v>
      </c>
      <c r="C1358" s="31" t="n"/>
      <c r="D1358" s="32" t="n"/>
      <c r="E1358" s="33" t="n">
        <v>-0.841</v>
      </c>
      <c r="F1358" t="inlineStr">
        <is>
          <t>Down</t>
        </is>
      </c>
      <c r="G1358" t="inlineStr">
        <is>
          <t>Down</t>
        </is>
      </c>
      <c r="H1358" t="inlineStr">
        <is>
          <t>ED_JD</t>
        </is>
      </c>
      <c r="I1358" t="inlineStr">
        <is>
          <t>2011-10</t>
        </is>
      </c>
      <c r="J1358" t="n">
        <v>1</v>
      </c>
      <c r="K1358" t="n">
        <v>1</v>
      </c>
      <c r="L1358" s="34">
        <f>IF($J1358=1,LN(B1359/B1358),"")</f>
        <v/>
      </c>
      <c r="M1358" s="34">
        <f>IF($K1358=1,INDEX(Mensal!$D$2:$D$245,MATCH($I1358,Mensal!$A$2:$A$245,0)),"")</f>
        <v/>
      </c>
      <c r="N1358" s="34">
        <f>IF($K1358=1,L1358-M1358,"")</f>
        <v/>
      </c>
      <c r="O1358" s="34" t="n">
        <v>0.00044592</v>
      </c>
      <c r="P1358" s="34">
        <f>IF($J1358=1,LN(1+O1358),"")</f>
        <v/>
      </c>
      <c r="Q1358" s="34">
        <f>IF($J1358=1,LN(R1359/R1358),"")</f>
        <v/>
      </c>
      <c r="R1358" s="32" t="n">
        <v>1.8811</v>
      </c>
      <c r="S1358" s="35" t="n">
        <v>10.203</v>
      </c>
      <c r="T1358" s="18" t="n"/>
      <c r="U1358" s="18" t="n"/>
      <c r="V1358" s="18" t="n">
        <v>50791</v>
      </c>
      <c r="W1358" s="18" t="n"/>
      <c r="X1358" s="35" t="n"/>
      <c r="Y1358" s="35" t="n">
        <v>10.203</v>
      </c>
    </row>
    <row r="1359">
      <c r="A1359" s="25" t="n">
        <v>40820</v>
      </c>
      <c r="B1359" s="18" t="n">
        <v>50686</v>
      </c>
      <c r="C1359" s="31" t="n"/>
      <c r="D1359" s="32" t="n"/>
      <c r="E1359" s="33" t="n">
        <v>-0.8260999999999999</v>
      </c>
      <c r="F1359" t="inlineStr">
        <is>
          <t>Down</t>
        </is>
      </c>
      <c r="G1359" t="inlineStr">
        <is>
          <t>Down</t>
        </is>
      </c>
      <c r="H1359" t="inlineStr">
        <is>
          <t>ED_JD</t>
        </is>
      </c>
      <c r="I1359" t="inlineStr">
        <is>
          <t>2011-10</t>
        </is>
      </c>
      <c r="J1359" t="n">
        <v>1</v>
      </c>
      <c r="K1359" t="n">
        <v>1</v>
      </c>
      <c r="L1359" s="34">
        <f>IF($J1359=1,LN(B1360/B1359),"")</f>
        <v/>
      </c>
      <c r="M1359" s="34">
        <f>IF($K1359=1,INDEX(Mensal!$D$2:$D$245,MATCH($I1359,Mensal!$A$2:$A$245,0)),"")</f>
        <v/>
      </c>
      <c r="N1359" s="34">
        <f>IF($K1359=1,L1359-M1359,"")</f>
        <v/>
      </c>
      <c r="O1359" s="34" t="n">
        <v>0.00044556</v>
      </c>
      <c r="P1359" s="34">
        <f>IF($J1359=1,LN(1+O1359),"")</f>
        <v/>
      </c>
      <c r="Q1359" s="34">
        <f>IF($J1359=1,LN(R1360/R1359),"")</f>
        <v/>
      </c>
      <c r="R1359" s="32" t="n">
        <v>1.8856</v>
      </c>
      <c r="S1359" s="35" t="n">
        <v>10.351</v>
      </c>
      <c r="T1359" s="18" t="n"/>
      <c r="U1359" s="18" t="n"/>
      <c r="V1359" s="18" t="n">
        <v>50686</v>
      </c>
      <c r="W1359" s="18" t="n"/>
      <c r="X1359" s="35" t="n"/>
      <c r="Y1359" s="35" t="n">
        <v>10.351</v>
      </c>
    </row>
    <row r="1360">
      <c r="A1360" s="25" t="n">
        <v>40821</v>
      </c>
      <c r="B1360" s="18" t="n">
        <v>51013</v>
      </c>
      <c r="C1360" s="31" t="n"/>
      <c r="D1360" s="32" t="n"/>
      <c r="E1360" s="33" t="n">
        <v>-0.8138</v>
      </c>
      <c r="F1360" t="inlineStr">
        <is>
          <t>Down</t>
        </is>
      </c>
      <c r="G1360" t="inlineStr">
        <is>
          <t>Down</t>
        </is>
      </c>
      <c r="H1360" t="inlineStr">
        <is>
          <t>ED_JD</t>
        </is>
      </c>
      <c r="I1360" t="inlineStr">
        <is>
          <t>2011-10</t>
        </is>
      </c>
      <c r="J1360" t="n">
        <v>1</v>
      </c>
      <c r="K1360" t="n">
        <v>1</v>
      </c>
      <c r="L1360" s="34">
        <f>IF($J1360=1,LN(B1361/B1360),"")</f>
        <v/>
      </c>
      <c r="M1360" s="34">
        <f>IF($K1360=1,INDEX(Mensal!$D$2:$D$245,MATCH($I1360,Mensal!$A$2:$A$245,0)),"")</f>
        <v/>
      </c>
      <c r="N1360" s="34">
        <f>IF($K1360=1,L1360-M1360,"")</f>
        <v/>
      </c>
      <c r="O1360" s="34" t="n">
        <v>0.00044556</v>
      </c>
      <c r="P1360" s="34">
        <f>IF($J1360=1,LN(1+O1360),"")</f>
        <v/>
      </c>
      <c r="Q1360" s="34">
        <f>IF($J1360=1,LN(R1361/R1360),"")</f>
        <v/>
      </c>
      <c r="R1360" s="32" t="n">
        <v>1.8456</v>
      </c>
      <c r="S1360" s="35" t="n">
        <v>10.29</v>
      </c>
      <c r="T1360" s="18" t="n"/>
      <c r="U1360" s="18" t="n"/>
      <c r="V1360" s="18" t="n">
        <v>51013</v>
      </c>
      <c r="W1360" s="18" t="n"/>
      <c r="X1360" s="35" t="n"/>
      <c r="Y1360" s="35" t="n">
        <v>10.29</v>
      </c>
    </row>
    <row r="1361">
      <c r="A1361" s="25" t="n">
        <v>40822</v>
      </c>
      <c r="B1361" s="18" t="n">
        <v>52290</v>
      </c>
      <c r="C1361" s="31" t="n"/>
      <c r="D1361" s="32" t="n"/>
      <c r="E1361" s="33" t="n">
        <v>-0.8032</v>
      </c>
      <c r="F1361" t="inlineStr">
        <is>
          <t>Down</t>
        </is>
      </c>
      <c r="G1361" t="inlineStr">
        <is>
          <t>Down</t>
        </is>
      </c>
      <c r="H1361" t="inlineStr">
        <is>
          <t>ED_JD</t>
        </is>
      </c>
      <c r="I1361" t="inlineStr">
        <is>
          <t>2011-10</t>
        </is>
      </c>
      <c r="J1361" t="n">
        <v>1</v>
      </c>
      <c r="K1361" t="n">
        <v>1</v>
      </c>
      <c r="L1361" s="34">
        <f>IF($J1361=1,LN(B1362/B1361),"")</f>
        <v/>
      </c>
      <c r="M1361" s="34">
        <f>IF($K1361=1,INDEX(Mensal!$D$2:$D$245,MATCH($I1361,Mensal!$A$2:$A$245,0)),"")</f>
        <v/>
      </c>
      <c r="N1361" s="34">
        <f>IF($K1361=1,L1361-M1361,"")</f>
        <v/>
      </c>
      <c r="O1361" s="34" t="n">
        <v>0.00044556</v>
      </c>
      <c r="P1361" s="34">
        <f>IF($J1361=1,LN(1+O1361),"")</f>
        <v/>
      </c>
      <c r="Q1361" s="34">
        <f>IF($J1361=1,LN(R1362/R1361),"")</f>
        <v/>
      </c>
      <c r="R1361" s="32" t="n">
        <v>1.8116</v>
      </c>
      <c r="S1361" s="35" t="n">
        <v>10.4</v>
      </c>
      <c r="T1361" s="18" t="n"/>
      <c r="U1361" s="18" t="n"/>
      <c r="V1361" s="18" t="n">
        <v>52290</v>
      </c>
      <c r="W1361" s="18" t="n"/>
      <c r="X1361" s="35" t="n"/>
      <c r="Y1361" s="35" t="n">
        <v>10.4</v>
      </c>
    </row>
    <row r="1362">
      <c r="A1362" s="25" t="n">
        <v>40823</v>
      </c>
      <c r="B1362" s="18" t="n">
        <v>51243</v>
      </c>
      <c r="C1362" s="31" t="n"/>
      <c r="D1362" s="32" t="n"/>
      <c r="E1362" s="33" t="n">
        <v>-0.8022</v>
      </c>
      <c r="F1362" t="inlineStr">
        <is>
          <t>Down</t>
        </is>
      </c>
      <c r="G1362" t="inlineStr">
        <is>
          <t>Down</t>
        </is>
      </c>
      <c r="H1362" t="inlineStr">
        <is>
          <t>ED_JD</t>
        </is>
      </c>
      <c r="I1362" t="inlineStr">
        <is>
          <t>2011-10</t>
        </is>
      </c>
      <c r="J1362" t="n">
        <v>1</v>
      </c>
      <c r="K1362" t="n">
        <v>1</v>
      </c>
      <c r="L1362" s="34">
        <f>IF($J1362=1,LN(B1363/B1362),"")</f>
        <v/>
      </c>
      <c r="M1362" s="34">
        <f>IF($K1362=1,INDEX(Mensal!$D$2:$D$245,MATCH($I1362,Mensal!$A$2:$A$245,0)),"")</f>
        <v/>
      </c>
      <c r="N1362" s="34">
        <f>IF($K1362=1,L1362-M1362,"")</f>
        <v/>
      </c>
      <c r="O1362" s="34" t="n">
        <v>0.00044556</v>
      </c>
      <c r="P1362" s="34">
        <f>IF($J1362=1,LN(1+O1362),"")</f>
        <v/>
      </c>
      <c r="Q1362" s="34">
        <f>IF($J1362=1,LN(R1363/R1362),"")</f>
        <v/>
      </c>
      <c r="R1362" s="32" t="n">
        <v>1.7666</v>
      </c>
      <c r="S1362" s="35" t="n">
        <v>10.46</v>
      </c>
      <c r="T1362" s="18" t="n"/>
      <c r="U1362" s="18" t="n"/>
      <c r="V1362" s="18" t="n">
        <v>51243</v>
      </c>
      <c r="W1362" s="18" t="n"/>
      <c r="X1362" s="35" t="n"/>
      <c r="Y1362" s="35" t="n">
        <v>10.46</v>
      </c>
    </row>
    <row r="1363">
      <c r="A1363" s="25" t="n">
        <v>40826</v>
      </c>
      <c r="B1363" s="18" t="n">
        <v>53273</v>
      </c>
      <c r="C1363" s="31" t="n"/>
      <c r="D1363" s="32" t="n"/>
      <c r="E1363" s="33" t="n">
        <v>-0.7992</v>
      </c>
      <c r="F1363" t="inlineStr">
        <is>
          <t>Down</t>
        </is>
      </c>
      <c r="G1363" t="inlineStr">
        <is>
          <t>Down</t>
        </is>
      </c>
      <c r="H1363" t="inlineStr">
        <is>
          <t>ED_JD</t>
        </is>
      </c>
      <c r="I1363" t="inlineStr">
        <is>
          <t>2011-10</t>
        </is>
      </c>
      <c r="J1363" t="n">
        <v>1</v>
      </c>
      <c r="K1363" t="n">
        <v>1</v>
      </c>
      <c r="L1363" s="34">
        <f>IF($J1363=1,LN(B1364/B1363),"")</f>
        <v/>
      </c>
      <c r="M1363" s="34">
        <f>IF($K1363=1,INDEX(Mensal!$D$2:$D$245,MATCH($I1363,Mensal!$A$2:$A$245,0)),"")</f>
        <v/>
      </c>
      <c r="N1363" s="34">
        <f>IF($K1363=1,L1363-M1363,"")</f>
        <v/>
      </c>
      <c r="O1363" s="34" t="n">
        <v>0.00044556</v>
      </c>
      <c r="P1363" s="34">
        <f>IF($J1363=1,LN(1+O1363),"")</f>
        <v/>
      </c>
      <c r="Q1363" s="34">
        <f>IF($J1363=1,LN(R1364/R1363),"")</f>
        <v/>
      </c>
      <c r="R1363" s="32" t="n">
        <v>1.7478</v>
      </c>
      <c r="S1363" s="35" t="n">
        <v>10.518</v>
      </c>
      <c r="T1363" s="18" t="n"/>
      <c r="U1363" s="18" t="n"/>
      <c r="V1363" s="18" t="n">
        <v>53273</v>
      </c>
      <c r="W1363" s="18" t="n"/>
      <c r="X1363" s="35" t="n"/>
      <c r="Y1363" s="35" t="n">
        <v>10.518</v>
      </c>
    </row>
    <row r="1364">
      <c r="A1364" s="25" t="n">
        <v>40827</v>
      </c>
      <c r="B1364" s="18" t="n">
        <v>53838</v>
      </c>
      <c r="C1364" s="31" t="n"/>
      <c r="D1364" s="32" t="n"/>
      <c r="E1364" s="33" t="n">
        <v>-0.7936</v>
      </c>
      <c r="F1364" t="inlineStr">
        <is>
          <t>Down</t>
        </is>
      </c>
      <c r="G1364" t="inlineStr">
        <is>
          <t>Down</t>
        </is>
      </c>
      <c r="H1364" t="inlineStr">
        <is>
          <t>ED_JD</t>
        </is>
      </c>
      <c r="I1364" t="inlineStr">
        <is>
          <t>2011-10</t>
        </is>
      </c>
      <c r="J1364" t="n">
        <v>1</v>
      </c>
      <c r="K1364" t="n">
        <v>1</v>
      </c>
      <c r="L1364" s="34">
        <f>IF($J1364=1,LN(B1365/B1364),"")</f>
        <v/>
      </c>
      <c r="M1364" s="34">
        <f>IF($K1364=1,INDEX(Mensal!$D$2:$D$245,MATCH($I1364,Mensal!$A$2:$A$245,0)),"")</f>
        <v/>
      </c>
      <c r="N1364" s="34">
        <f>IF($K1364=1,L1364-M1364,"")</f>
        <v/>
      </c>
      <c r="O1364" s="34" t="n">
        <v>0.00044556</v>
      </c>
      <c r="P1364" s="34">
        <f>IF($J1364=1,LN(1+O1364),"")</f>
        <v/>
      </c>
      <c r="Q1364" s="34">
        <f>IF($J1364=1,LN(R1365/R1364),"")</f>
        <v/>
      </c>
      <c r="R1364" s="32" t="n">
        <v>1.7658</v>
      </c>
      <c r="S1364" s="35" t="n">
        <v>10.488</v>
      </c>
      <c r="T1364" s="18" t="n"/>
      <c r="U1364" s="18" t="n"/>
      <c r="V1364" s="18" t="n">
        <v>53838</v>
      </c>
      <c r="W1364" s="18" t="n"/>
      <c r="X1364" s="35" t="n"/>
      <c r="Y1364" s="35" t="n">
        <v>10.488</v>
      </c>
    </row>
    <row r="1365">
      <c r="A1365" s="25" t="n">
        <v>40829</v>
      </c>
      <c r="B1365" s="18" t="n">
        <v>54601</v>
      </c>
      <c r="C1365" s="31" t="n"/>
      <c r="D1365" s="32" t="n"/>
      <c r="E1365" s="33" t="n">
        <v>-0.7828000000000001</v>
      </c>
      <c r="F1365" t="inlineStr">
        <is>
          <t>Down</t>
        </is>
      </c>
      <c r="G1365" t="inlineStr">
        <is>
          <t>Down</t>
        </is>
      </c>
      <c r="H1365" t="inlineStr">
        <is>
          <t>ED_JD</t>
        </is>
      </c>
      <c r="I1365" t="inlineStr">
        <is>
          <t>2011-10</t>
        </is>
      </c>
      <c r="J1365" t="n">
        <v>1</v>
      </c>
      <c r="K1365" t="n">
        <v>1</v>
      </c>
      <c r="L1365" s="34">
        <f>IF($J1365=1,LN(B1366/B1365),"")</f>
        <v/>
      </c>
      <c r="M1365" s="34">
        <f>IF($K1365=1,INDEX(Mensal!$D$2:$D$245,MATCH($I1365,Mensal!$A$2:$A$245,0)),"")</f>
        <v/>
      </c>
      <c r="N1365" s="34">
        <f>IF($K1365=1,L1365-M1365,"")</f>
        <v/>
      </c>
      <c r="O1365" s="34" t="n">
        <v>0.00044521</v>
      </c>
      <c r="P1365" s="34">
        <f>IF($J1365=1,LN(1+O1365),"")</f>
        <v/>
      </c>
      <c r="Q1365" s="34">
        <f>IF($J1365=1,LN(R1366/R1365),"")</f>
        <v/>
      </c>
      <c r="R1365" s="32" t="n">
        <v>1.7536</v>
      </c>
      <c r="S1365" s="35" t="n">
        <v>10.495</v>
      </c>
      <c r="T1365" s="18" t="n"/>
      <c r="U1365" s="18" t="n"/>
      <c r="V1365" s="18" t="n">
        <v>54601</v>
      </c>
      <c r="W1365" s="18" t="n"/>
      <c r="X1365" s="35" t="n"/>
      <c r="Y1365" s="35" t="n">
        <v>10.495</v>
      </c>
    </row>
    <row r="1366">
      <c r="A1366" s="25" t="n">
        <v>40830</v>
      </c>
      <c r="B1366" s="18" t="n">
        <v>55030</v>
      </c>
      <c r="C1366" s="31" t="n"/>
      <c r="D1366" s="32" t="n"/>
      <c r="E1366" s="33" t="n">
        <v>-0.7697000000000001</v>
      </c>
      <c r="F1366" t="inlineStr">
        <is>
          <t>Down</t>
        </is>
      </c>
      <c r="G1366" t="inlineStr">
        <is>
          <t>Down</t>
        </is>
      </c>
      <c r="H1366" t="inlineStr">
        <is>
          <t>ED_JD</t>
        </is>
      </c>
      <c r="I1366" t="inlineStr">
        <is>
          <t>2011-10</t>
        </is>
      </c>
      <c r="J1366" t="n">
        <v>1</v>
      </c>
      <c r="K1366" t="n">
        <v>1</v>
      </c>
      <c r="L1366" s="34">
        <f>IF($J1366=1,LN(B1367/B1366),"")</f>
        <v/>
      </c>
      <c r="M1366" s="34">
        <f>IF($K1366=1,INDEX(Mensal!$D$2:$D$245,MATCH($I1366,Mensal!$A$2:$A$245,0)),"")</f>
        <v/>
      </c>
      <c r="N1366" s="34">
        <f>IF($K1366=1,L1366-M1366,"")</f>
        <v/>
      </c>
      <c r="O1366" s="34" t="n">
        <v>0.00044521</v>
      </c>
      <c r="P1366" s="34">
        <f>IF($J1366=1,LN(1+O1366),"")</f>
        <v/>
      </c>
      <c r="Q1366" s="34">
        <f>IF($J1366=1,LN(R1367/R1366),"")</f>
        <v/>
      </c>
      <c r="R1366" s="32" t="n">
        <v>1.7376</v>
      </c>
      <c r="S1366" s="35" t="n">
        <v>10.577</v>
      </c>
      <c r="T1366" s="18" t="n"/>
      <c r="U1366" s="18" t="n"/>
      <c r="V1366" s="18" t="n">
        <v>55030</v>
      </c>
      <c r="W1366" s="18" t="n"/>
      <c r="X1366" s="35" t="n"/>
      <c r="Y1366" s="35" t="n">
        <v>10.577</v>
      </c>
    </row>
    <row r="1367">
      <c r="A1367" s="25" t="n">
        <v>40833</v>
      </c>
      <c r="B1367" s="18" t="n">
        <v>53911</v>
      </c>
      <c r="C1367" s="31" t="n"/>
      <c r="D1367" s="32" t="n"/>
      <c r="E1367" s="33" t="n">
        <v>-0.7479</v>
      </c>
      <c r="F1367" t="inlineStr">
        <is>
          <t>Down</t>
        </is>
      </c>
      <c r="G1367" t="inlineStr">
        <is>
          <t>Down</t>
        </is>
      </c>
      <c r="H1367" t="inlineStr">
        <is>
          <t>ED_JD</t>
        </is>
      </c>
      <c r="I1367" t="inlineStr">
        <is>
          <t>2011-10</t>
        </is>
      </c>
      <c r="J1367" t="n">
        <v>1</v>
      </c>
      <c r="K1367" t="n">
        <v>1</v>
      </c>
      <c r="L1367" s="34">
        <f>IF($J1367=1,LN(B1368/B1367),"")</f>
        <v/>
      </c>
      <c r="M1367" s="34">
        <f>IF($K1367=1,INDEX(Mensal!$D$2:$D$245,MATCH($I1367,Mensal!$A$2:$A$245,0)),"")</f>
        <v/>
      </c>
      <c r="N1367" s="34">
        <f>IF($K1367=1,L1367-M1367,"")</f>
        <v/>
      </c>
      <c r="O1367" s="34" t="n">
        <v>0.00044521</v>
      </c>
      <c r="P1367" s="34">
        <f>IF($J1367=1,LN(1+O1367),"")</f>
        <v/>
      </c>
      <c r="Q1367" s="34">
        <f>IF($J1367=1,LN(R1368/R1367),"")</f>
        <v/>
      </c>
      <c r="R1367" s="32" t="n">
        <v>1.7488</v>
      </c>
      <c r="S1367" s="35" t="n">
        <v>10.575</v>
      </c>
      <c r="T1367" s="18" t="n"/>
      <c r="U1367" s="18" t="n"/>
      <c r="V1367" s="18" t="n">
        <v>53911</v>
      </c>
      <c r="W1367" s="18" t="n"/>
      <c r="X1367" s="35" t="n"/>
      <c r="Y1367" s="35" t="n">
        <v>10.575</v>
      </c>
    </row>
    <row r="1368">
      <c r="A1368" s="25" t="n">
        <v>40834</v>
      </c>
      <c r="B1368" s="18" t="n">
        <v>55031</v>
      </c>
      <c r="C1368" s="31" t="n"/>
      <c r="D1368" s="32" t="n"/>
      <c r="E1368" s="33" t="n">
        <v>-0.7251</v>
      </c>
      <c r="F1368" t="inlineStr">
        <is>
          <t>Down</t>
        </is>
      </c>
      <c r="G1368" t="inlineStr">
        <is>
          <t>Down</t>
        </is>
      </c>
      <c r="H1368" t="inlineStr">
        <is>
          <t>ED_JD</t>
        </is>
      </c>
      <c r="I1368" t="inlineStr">
        <is>
          <t>2011-10</t>
        </is>
      </c>
      <c r="J1368" t="n">
        <v>1</v>
      </c>
      <c r="K1368" t="n">
        <v>1</v>
      </c>
      <c r="L1368" s="34">
        <f>IF($J1368=1,LN(B1369/B1368),"")</f>
        <v/>
      </c>
      <c r="M1368" s="34">
        <f>IF($K1368=1,INDEX(Mensal!$D$2:$D$245,MATCH($I1368,Mensal!$A$2:$A$245,0)),"")</f>
        <v/>
      </c>
      <c r="N1368" s="34">
        <f>IF($K1368=1,L1368-M1368,"")</f>
        <v/>
      </c>
      <c r="O1368" s="34" t="n">
        <v>0.00044521</v>
      </c>
      <c r="P1368" s="34">
        <f>IF($J1368=1,LN(1+O1368),"")</f>
        <v/>
      </c>
      <c r="Q1368" s="34">
        <f>IF($J1368=1,LN(R1369/R1368),"")</f>
        <v/>
      </c>
      <c r="R1368" s="32" t="n">
        <v>1.7724</v>
      </c>
      <c r="S1368" s="35" t="n">
        <v>10.486</v>
      </c>
      <c r="T1368" s="18" t="n"/>
      <c r="U1368" s="18" t="n"/>
      <c r="V1368" s="18" t="n">
        <v>55031</v>
      </c>
      <c r="W1368" s="18" t="n"/>
      <c r="X1368" s="35" t="n"/>
      <c r="Y1368" s="35" t="n">
        <v>10.486</v>
      </c>
    </row>
    <row r="1369">
      <c r="A1369" s="25" t="n">
        <v>40835</v>
      </c>
      <c r="B1369" s="18" t="n">
        <v>54966</v>
      </c>
      <c r="C1369" s="31" t="n"/>
      <c r="D1369" s="32" t="n"/>
      <c r="E1369" s="33" t="n">
        <v>-0.6997</v>
      </c>
      <c r="F1369" t="inlineStr">
        <is>
          <t>Down</t>
        </is>
      </c>
      <c r="G1369" t="inlineStr">
        <is>
          <t>Down</t>
        </is>
      </c>
      <c r="H1369" t="inlineStr">
        <is>
          <t>ED_JD</t>
        </is>
      </c>
      <c r="I1369" t="inlineStr">
        <is>
          <t>2011-10</t>
        </is>
      </c>
      <c r="J1369" t="n">
        <v>1</v>
      </c>
      <c r="K1369" t="n">
        <v>1</v>
      </c>
      <c r="L1369" s="34">
        <f>IF($J1369=1,LN(B1370/B1369),"")</f>
        <v/>
      </c>
      <c r="M1369" s="34">
        <f>IF($K1369=1,INDEX(Mensal!$D$2:$D$245,MATCH($I1369,Mensal!$A$2:$A$245,0)),"")</f>
        <v/>
      </c>
      <c r="N1369" s="34">
        <f>IF($K1369=1,L1369-M1369,"")</f>
        <v/>
      </c>
      <c r="O1369" s="34" t="n">
        <v>0.00044556</v>
      </c>
      <c r="P1369" s="34">
        <f>IF($J1369=1,LN(1+O1369),"")</f>
        <v/>
      </c>
      <c r="Q1369" s="34">
        <f>IF($J1369=1,LN(R1370/R1369),"")</f>
        <v/>
      </c>
      <c r="R1369" s="32" t="n">
        <v>1.7604</v>
      </c>
      <c r="S1369" s="35" t="n">
        <v>10.456</v>
      </c>
      <c r="T1369" s="18" t="n"/>
      <c r="U1369" s="18" t="n"/>
      <c r="V1369" s="18" t="n">
        <v>54966</v>
      </c>
      <c r="W1369" s="18" t="n"/>
      <c r="X1369" s="35" t="n"/>
      <c r="Y1369" s="35" t="n">
        <v>10.456</v>
      </c>
    </row>
    <row r="1370">
      <c r="A1370" s="25" t="n">
        <v>40836</v>
      </c>
      <c r="B1370" s="18" t="n">
        <v>54009</v>
      </c>
      <c r="C1370" s="31" t="n"/>
      <c r="D1370" s="32" t="n"/>
      <c r="E1370" s="33" t="n">
        <v>-0.6731</v>
      </c>
      <c r="F1370" t="inlineStr">
        <is>
          <t>Down</t>
        </is>
      </c>
      <c r="G1370" t="inlineStr">
        <is>
          <t>Down</t>
        </is>
      </c>
      <c r="H1370" t="inlineStr">
        <is>
          <t>ED_JD</t>
        </is>
      </c>
      <c r="I1370" t="inlineStr">
        <is>
          <t>2011-10</t>
        </is>
      </c>
      <c r="J1370" t="n">
        <v>1</v>
      </c>
      <c r="K1370" t="n">
        <v>1</v>
      </c>
      <c r="L1370" s="34">
        <f>IF($J1370=1,LN(B1371/B1370),"")</f>
        <v/>
      </c>
      <c r="M1370" s="34">
        <f>IF($K1370=1,INDEX(Mensal!$D$2:$D$245,MATCH($I1370,Mensal!$A$2:$A$245,0)),"")</f>
        <v/>
      </c>
      <c r="N1370" s="34">
        <f>IF($K1370=1,L1370-M1370,"")</f>
        <v/>
      </c>
      <c r="O1370" s="34" t="n">
        <v>0.00042814</v>
      </c>
      <c r="P1370" s="34">
        <f>IF($J1370=1,LN(1+O1370),"")</f>
        <v/>
      </c>
      <c r="Q1370" s="34">
        <f>IF($J1370=1,LN(R1371/R1370),"")</f>
        <v/>
      </c>
      <c r="R1370" s="32" t="n">
        <v>1.7826</v>
      </c>
      <c r="S1370" s="35" t="n">
        <v>10.516</v>
      </c>
      <c r="T1370" s="18" t="n"/>
      <c r="U1370" s="18" t="n"/>
      <c r="V1370" s="18" t="n">
        <v>54009</v>
      </c>
      <c r="W1370" s="18" t="n"/>
      <c r="X1370" s="35" t="n"/>
      <c r="Y1370" s="35" t="n">
        <v>10.516</v>
      </c>
    </row>
    <row r="1371">
      <c r="A1371" s="25" t="n">
        <v>40837</v>
      </c>
      <c r="B1371" s="18" t="n">
        <v>55255</v>
      </c>
      <c r="C1371" s="31" t="n"/>
      <c r="D1371" s="32" t="n"/>
      <c r="E1371" s="33" t="n">
        <v>-0.6473</v>
      </c>
      <c r="F1371" t="inlineStr">
        <is>
          <t>Down</t>
        </is>
      </c>
      <c r="G1371" t="inlineStr">
        <is>
          <t>Down</t>
        </is>
      </c>
      <c r="H1371" t="inlineStr">
        <is>
          <t>ED_JD</t>
        </is>
      </c>
      <c r="I1371" t="inlineStr">
        <is>
          <t>2011-10</t>
        </is>
      </c>
      <c r="J1371" t="n">
        <v>1</v>
      </c>
      <c r="K1371" t="n">
        <v>1</v>
      </c>
      <c r="L1371" s="34">
        <f>IF($J1371=1,LN(B1372/B1371),"")</f>
        <v/>
      </c>
      <c r="M1371" s="34">
        <f>IF($K1371=1,INDEX(Mensal!$D$2:$D$245,MATCH($I1371,Mensal!$A$2:$A$245,0)),"")</f>
        <v/>
      </c>
      <c r="N1371" s="34">
        <f>IF($K1371=1,L1371-M1371,"")</f>
        <v/>
      </c>
      <c r="O1371" s="34" t="n">
        <v>0.00042814</v>
      </c>
      <c r="P1371" s="34">
        <f>IF($J1371=1,LN(1+O1371),"")</f>
        <v/>
      </c>
      <c r="Q1371" s="34">
        <f>IF($J1371=1,LN(R1372/R1371),"")</f>
        <v/>
      </c>
      <c r="R1371" s="32" t="n">
        <v>1.7803</v>
      </c>
      <c r="S1371" s="35" t="n">
        <v>10.488</v>
      </c>
      <c r="T1371" s="18" t="n"/>
      <c r="U1371" s="18" t="n"/>
      <c r="V1371" s="18" t="n">
        <v>55255</v>
      </c>
      <c r="W1371" s="18" t="n"/>
      <c r="X1371" s="35" t="n"/>
      <c r="Y1371" s="35" t="n">
        <v>10.488</v>
      </c>
    </row>
    <row r="1372">
      <c r="A1372" s="25" t="n">
        <v>40840</v>
      </c>
      <c r="B1372" s="18" t="n">
        <v>56891</v>
      </c>
      <c r="C1372" s="31" t="n"/>
      <c r="D1372" s="32" t="n"/>
      <c r="E1372" s="33" t="n">
        <v>-0.6314</v>
      </c>
      <c r="F1372" t="inlineStr">
        <is>
          <t>Down</t>
        </is>
      </c>
      <c r="G1372" t="inlineStr">
        <is>
          <t>Down</t>
        </is>
      </c>
      <c r="H1372" t="inlineStr">
        <is>
          <t>ED_JD</t>
        </is>
      </c>
      <c r="I1372" t="inlineStr">
        <is>
          <t>2011-10</t>
        </is>
      </c>
      <c r="J1372" t="n">
        <v>1</v>
      </c>
      <c r="K1372" t="n">
        <v>1</v>
      </c>
      <c r="L1372" s="34">
        <f>IF($J1372=1,LN(B1373/B1372),"")</f>
        <v/>
      </c>
      <c r="M1372" s="34">
        <f>IF($K1372=1,INDEX(Mensal!$D$2:$D$245,MATCH($I1372,Mensal!$A$2:$A$245,0)),"")</f>
        <v/>
      </c>
      <c r="N1372" s="34">
        <f>IF($K1372=1,L1372-M1372,"")</f>
        <v/>
      </c>
      <c r="O1372" s="34" t="n">
        <v>0.00042814</v>
      </c>
      <c r="P1372" s="34">
        <f>IF($J1372=1,LN(1+O1372),"")</f>
        <v/>
      </c>
      <c r="Q1372" s="34">
        <f>IF($J1372=1,LN(R1373/R1372),"")</f>
        <v/>
      </c>
      <c r="R1372" s="32" t="n">
        <v>1.7768</v>
      </c>
      <c r="S1372" s="35" t="n">
        <v>10.433</v>
      </c>
      <c r="T1372" s="18" t="n"/>
      <c r="U1372" s="18" t="n"/>
      <c r="V1372" s="18" t="n">
        <v>56891</v>
      </c>
      <c r="W1372" s="18" t="n"/>
      <c r="X1372" s="35" t="n"/>
      <c r="Y1372" s="35" t="n">
        <v>10.433</v>
      </c>
    </row>
    <row r="1373">
      <c r="A1373" s="25" t="n">
        <v>40841</v>
      </c>
      <c r="B1373" s="18" t="n">
        <v>56285</v>
      </c>
      <c r="C1373" s="31" t="n"/>
      <c r="D1373" s="32" t="n"/>
      <c r="E1373" s="33" t="n">
        <v>-0.6194</v>
      </c>
      <c r="F1373" t="inlineStr">
        <is>
          <t>Down</t>
        </is>
      </c>
      <c r="G1373" t="inlineStr">
        <is>
          <t>Down</t>
        </is>
      </c>
      <c r="H1373" t="inlineStr">
        <is>
          <t>ED_JD</t>
        </is>
      </c>
      <c r="I1373" t="inlineStr">
        <is>
          <t>2011-10</t>
        </is>
      </c>
      <c r="J1373" t="n">
        <v>1</v>
      </c>
      <c r="K1373" t="n">
        <v>1</v>
      </c>
      <c r="L1373" s="34">
        <f>IF($J1373=1,LN(B1374/B1373),"")</f>
        <v/>
      </c>
      <c r="M1373" s="34">
        <f>IF($K1373=1,INDEX(Mensal!$D$2:$D$245,MATCH($I1373,Mensal!$A$2:$A$245,0)),"")</f>
        <v/>
      </c>
      <c r="N1373" s="34">
        <f>IF($K1373=1,L1373-M1373,"")</f>
        <v/>
      </c>
      <c r="O1373" s="34" t="n">
        <v>0.00042814</v>
      </c>
      <c r="P1373" s="34">
        <f>IF($J1373=1,LN(1+O1373),"")</f>
        <v/>
      </c>
      <c r="Q1373" s="34">
        <f>IF($J1373=1,LN(R1374/R1373),"")</f>
        <v/>
      </c>
      <c r="R1373" s="32" t="n">
        <v>1.7548</v>
      </c>
      <c r="S1373" s="35" t="n">
        <v>10.442</v>
      </c>
      <c r="T1373" s="18" t="n"/>
      <c r="U1373" s="18" t="n"/>
      <c r="V1373" s="18" t="n">
        <v>56285</v>
      </c>
      <c r="W1373" s="18" t="n"/>
      <c r="X1373" s="35" t="n"/>
      <c r="Y1373" s="35" t="n">
        <v>10.442</v>
      </c>
    </row>
    <row r="1374">
      <c r="A1374" s="25" t="n">
        <v>40842</v>
      </c>
      <c r="B1374" s="18" t="n">
        <v>57143</v>
      </c>
      <c r="C1374" s="31" t="n"/>
      <c r="D1374" s="32" t="n"/>
      <c r="E1374" s="33" t="n">
        <v>-0.6042</v>
      </c>
      <c r="F1374" t="inlineStr">
        <is>
          <t>Down</t>
        </is>
      </c>
      <c r="G1374" t="inlineStr">
        <is>
          <t>Down</t>
        </is>
      </c>
      <c r="H1374" t="inlineStr">
        <is>
          <t>ED_JD</t>
        </is>
      </c>
      <c r="I1374" t="inlineStr">
        <is>
          <t>2011-10</t>
        </is>
      </c>
      <c r="J1374" t="n">
        <v>1</v>
      </c>
      <c r="K1374" t="n">
        <v>1</v>
      </c>
      <c r="L1374" s="34">
        <f>IF($J1374=1,LN(B1375/B1374),"")</f>
        <v/>
      </c>
      <c r="M1374" s="34">
        <f>IF($K1374=1,INDEX(Mensal!$D$2:$D$245,MATCH($I1374,Mensal!$A$2:$A$245,0)),"")</f>
        <v/>
      </c>
      <c r="N1374" s="34">
        <f>IF($K1374=1,L1374-M1374,"")</f>
        <v/>
      </c>
      <c r="O1374" s="34" t="n">
        <v>0.00042814</v>
      </c>
      <c r="P1374" s="34">
        <f>IF($J1374=1,LN(1+O1374),"")</f>
        <v/>
      </c>
      <c r="Q1374" s="34">
        <f>IF($J1374=1,LN(R1375/R1374),"")</f>
        <v/>
      </c>
      <c r="R1374" s="32" t="n">
        <v>1.7606</v>
      </c>
      <c r="S1374" s="35" t="n">
        <v>10.345</v>
      </c>
      <c r="T1374" s="18" t="n"/>
      <c r="U1374" s="18" t="n"/>
      <c r="V1374" s="18" t="n">
        <v>57143</v>
      </c>
      <c r="W1374" s="18" t="n"/>
      <c r="X1374" s="35" t="n"/>
      <c r="Y1374" s="35" t="n">
        <v>10.345</v>
      </c>
    </row>
    <row r="1375">
      <c r="A1375" s="25" t="n">
        <v>40843</v>
      </c>
      <c r="B1375" s="18" t="n">
        <v>59270</v>
      </c>
      <c r="C1375" s="31" t="n"/>
      <c r="D1375" s="32" t="n"/>
      <c r="E1375" s="33" t="n">
        <v>-0.5923</v>
      </c>
      <c r="F1375" t="inlineStr">
        <is>
          <t>Down</t>
        </is>
      </c>
      <c r="G1375" t="inlineStr">
        <is>
          <t>Down</t>
        </is>
      </c>
      <c r="H1375" t="inlineStr">
        <is>
          <t>ED_JD</t>
        </is>
      </c>
      <c r="I1375" t="inlineStr">
        <is>
          <t>2011-10</t>
        </is>
      </c>
      <c r="J1375" t="n">
        <v>1</v>
      </c>
      <c r="K1375" t="n">
        <v>1</v>
      </c>
      <c r="L1375" s="34">
        <f>IF($J1375=1,LN(B1376/B1375),"")</f>
        <v/>
      </c>
      <c r="M1375" s="34">
        <f>IF($K1375=1,INDEX(Mensal!$D$2:$D$245,MATCH($I1375,Mensal!$A$2:$A$245,0)),"")</f>
        <v/>
      </c>
      <c r="N1375" s="34">
        <f>IF($K1375=1,L1375-M1375,"")</f>
        <v/>
      </c>
      <c r="O1375" s="34" t="n">
        <v>0.00042814</v>
      </c>
      <c r="P1375" s="34">
        <f>IF($J1375=1,LN(1+O1375),"")</f>
        <v/>
      </c>
      <c r="Q1375" s="34">
        <f>IF($J1375=1,LN(R1376/R1375),"")</f>
        <v/>
      </c>
      <c r="R1375" s="32" t="n">
        <v>1.7323</v>
      </c>
      <c r="S1375" s="35" t="n">
        <v>10.405</v>
      </c>
      <c r="T1375" s="18" t="n"/>
      <c r="U1375" s="18" t="n"/>
      <c r="V1375" s="18" t="n">
        <v>59270</v>
      </c>
      <c r="W1375" s="18" t="n"/>
      <c r="X1375" s="35" t="n"/>
      <c r="Y1375" s="35" t="n">
        <v>10.405</v>
      </c>
    </row>
    <row r="1376">
      <c r="A1376" s="25" t="n">
        <v>40844</v>
      </c>
      <c r="B1376" s="18" t="n">
        <v>59513</v>
      </c>
      <c r="C1376" s="31" t="n"/>
      <c r="D1376" s="32" t="n"/>
      <c r="E1376" s="33" t="n">
        <v>-0.5789</v>
      </c>
      <c r="F1376" t="inlineStr">
        <is>
          <t>Down</t>
        </is>
      </c>
      <c r="G1376" t="inlineStr">
        <is>
          <t>Down</t>
        </is>
      </c>
      <c r="H1376" t="inlineStr">
        <is>
          <t>ED_JD</t>
        </is>
      </c>
      <c r="I1376" t="inlineStr">
        <is>
          <t>2011-10</t>
        </is>
      </c>
      <c r="J1376" t="n">
        <v>1</v>
      </c>
      <c r="K1376" t="n">
        <v>1</v>
      </c>
      <c r="L1376" s="34">
        <f>IF($J1376=1,LN(B1377/B1376),"")</f>
        <v/>
      </c>
      <c r="M1376" s="34">
        <f>IF($K1376=1,INDEX(Mensal!$D$2:$D$245,MATCH($I1376,Mensal!$A$2:$A$245,0)),"")</f>
        <v/>
      </c>
      <c r="N1376" s="34">
        <f>IF($K1376=1,L1376-M1376,"")</f>
        <v/>
      </c>
      <c r="O1376" s="34" t="n">
        <v>0.00042814</v>
      </c>
      <c r="P1376" s="34">
        <f>IF($J1376=1,LN(1+O1376),"")</f>
        <v/>
      </c>
      <c r="Q1376" s="34">
        <f>IF($J1376=1,LN(R1377/R1376),"")</f>
        <v/>
      </c>
      <c r="R1376" s="32" t="n">
        <v>1.6986</v>
      </c>
      <c r="S1376" s="35" t="n">
        <v>10.362</v>
      </c>
      <c r="T1376" s="18" t="n"/>
      <c r="U1376" s="18" t="n"/>
      <c r="V1376" s="18" t="n">
        <v>59513</v>
      </c>
      <c r="W1376" s="18" t="n"/>
      <c r="X1376" s="35" t="n"/>
      <c r="Y1376" s="35" t="n">
        <v>10.362</v>
      </c>
    </row>
    <row r="1377">
      <c r="A1377" s="25" t="n">
        <v>40847</v>
      </c>
      <c r="B1377" s="18" t="n">
        <v>58338</v>
      </c>
      <c r="C1377" s="31" t="n"/>
      <c r="D1377" s="32" t="n"/>
      <c r="E1377" s="33" t="n">
        <v>-0.5707</v>
      </c>
      <c r="F1377" t="inlineStr">
        <is>
          <t>Down</t>
        </is>
      </c>
      <c r="G1377" t="inlineStr">
        <is>
          <t>Down</t>
        </is>
      </c>
      <c r="H1377" t="inlineStr">
        <is>
          <t>ED_JD</t>
        </is>
      </c>
      <c r="I1377" t="inlineStr">
        <is>
          <t>2011-10</t>
        </is>
      </c>
      <c r="J1377" t="n">
        <v>1</v>
      </c>
      <c r="K1377" t="n">
        <v>1</v>
      </c>
      <c r="L1377" s="34">
        <f>IF($J1377=1,LN(B1378/B1377),"")</f>
        <v/>
      </c>
      <c r="M1377" s="34">
        <f>IF($K1377=1,INDEX(Mensal!$D$2:$D$245,MATCH($I1377,Mensal!$A$2:$A$245,0)),"")</f>
        <v/>
      </c>
      <c r="N1377" s="34">
        <f>IF($K1377=1,L1377-M1377,"")</f>
        <v/>
      </c>
      <c r="O1377" s="34" t="n">
        <v>0.00042814</v>
      </c>
      <c r="P1377" s="34">
        <f>IF($J1377=1,LN(1+O1377),"")</f>
        <v/>
      </c>
      <c r="Q1377" s="34">
        <f>IF($J1377=1,LN(R1378/R1377),"")</f>
        <v/>
      </c>
      <c r="R1377" s="32" t="n">
        <v>1.6885</v>
      </c>
      <c r="S1377" s="35" t="n">
        <v>10.304</v>
      </c>
      <c r="T1377" s="18" t="n"/>
      <c r="U1377" s="18" t="n"/>
      <c r="V1377" s="18" t="n">
        <v>58338</v>
      </c>
      <c r="W1377" s="18" t="n"/>
      <c r="X1377" s="35" t="n"/>
      <c r="Y1377" s="35" t="n">
        <v>10.304</v>
      </c>
    </row>
    <row r="1378">
      <c r="A1378" s="25" t="n">
        <v>40848</v>
      </c>
      <c r="B1378" s="18" t="n">
        <v>57322</v>
      </c>
      <c r="C1378" s="31" t="n"/>
      <c r="D1378" s="32" t="n"/>
      <c r="E1378" s="33" t="n">
        <v>-0.5675</v>
      </c>
      <c r="F1378" t="inlineStr">
        <is>
          <t>Down</t>
        </is>
      </c>
      <c r="G1378" t="inlineStr">
        <is>
          <t>Down</t>
        </is>
      </c>
      <c r="H1378" t="inlineStr">
        <is>
          <t>ED_JD</t>
        </is>
      </c>
      <c r="I1378" t="inlineStr">
        <is>
          <t>2011-11</t>
        </is>
      </c>
      <c r="J1378" t="n">
        <v>1</v>
      </c>
      <c r="K1378" t="n">
        <v>1</v>
      </c>
      <c r="L1378" s="34">
        <f>IF($J1378=1,LN(B1379/B1378),"")</f>
        <v/>
      </c>
      <c r="M1378" s="34">
        <f>IF($K1378=1,INDEX(Mensal!$D$2:$D$245,MATCH($I1378,Mensal!$A$2:$A$245,0)),"")</f>
        <v/>
      </c>
      <c r="N1378" s="34">
        <f>IF($K1378=1,L1378-M1378,"")</f>
        <v/>
      </c>
      <c r="O1378" s="34" t="n">
        <v>0.00042814</v>
      </c>
      <c r="P1378" s="34">
        <f>IF($J1378=1,LN(1+O1378),"")</f>
        <v/>
      </c>
      <c r="Q1378" s="34">
        <f>IF($J1378=1,LN(R1379/R1378),"")</f>
        <v/>
      </c>
      <c r="R1378" s="32" t="n">
        <v>1.7506</v>
      </c>
      <c r="S1378" s="35" t="n">
        <v>10.29</v>
      </c>
      <c r="T1378" s="18" t="n"/>
      <c r="U1378" s="18" t="n"/>
      <c r="V1378" s="18" t="n">
        <v>57322</v>
      </c>
      <c r="W1378" s="18" t="n"/>
      <c r="X1378" s="35" t="n"/>
      <c r="Y1378" s="35" t="n">
        <v>10.29</v>
      </c>
    </row>
    <row r="1379">
      <c r="A1379" s="25" t="n">
        <v>40850</v>
      </c>
      <c r="B1379" s="18" t="n">
        <v>58196</v>
      </c>
      <c r="C1379" s="31" t="n"/>
      <c r="D1379" s="32" t="n"/>
      <c r="E1379" s="33" t="n">
        <v>-0.5602</v>
      </c>
      <c r="F1379" t="inlineStr">
        <is>
          <t>Down</t>
        </is>
      </c>
      <c r="G1379" t="inlineStr">
        <is>
          <t>Down</t>
        </is>
      </c>
      <c r="H1379" t="inlineStr">
        <is>
          <t>ED_JD</t>
        </is>
      </c>
      <c r="I1379" t="inlineStr">
        <is>
          <t>2011-11</t>
        </is>
      </c>
      <c r="J1379" t="n">
        <v>1</v>
      </c>
      <c r="K1379" t="n">
        <v>1</v>
      </c>
      <c r="L1379" s="34">
        <f>IF($J1379=1,LN(B1380/B1379),"")</f>
        <v/>
      </c>
      <c r="M1379" s="34">
        <f>IF($K1379=1,INDEX(Mensal!$D$2:$D$245,MATCH($I1379,Mensal!$A$2:$A$245,0)),"")</f>
        <v/>
      </c>
      <c r="N1379" s="34">
        <f>IF($K1379=1,L1379-M1379,"")</f>
        <v/>
      </c>
      <c r="O1379" s="34" t="n">
        <v>0.00042849</v>
      </c>
      <c r="P1379" s="34">
        <f>IF($J1379=1,LN(1+O1379),"")</f>
        <v/>
      </c>
      <c r="Q1379" s="34">
        <f>IF($J1379=1,LN(R1380/R1379),"")</f>
        <v/>
      </c>
      <c r="R1379" s="32" t="n">
        <v>1.727</v>
      </c>
      <c r="S1379" s="35" t="n">
        <v>10.289</v>
      </c>
      <c r="T1379" s="18" t="n"/>
      <c r="U1379" s="18" t="n"/>
      <c r="V1379" s="18" t="n">
        <v>58196</v>
      </c>
      <c r="W1379" s="18" t="n"/>
      <c r="X1379" s="35" t="n"/>
      <c r="Y1379" s="35" t="n">
        <v>10.289</v>
      </c>
    </row>
    <row r="1380">
      <c r="A1380" s="25" t="n">
        <v>40851</v>
      </c>
      <c r="B1380" s="18" t="n">
        <v>58669</v>
      </c>
      <c r="C1380" s="31" t="n"/>
      <c r="D1380" s="32" t="n"/>
      <c r="E1380" s="33" t="n">
        <v>-0.5641</v>
      </c>
      <c r="F1380" t="inlineStr">
        <is>
          <t>Down</t>
        </is>
      </c>
      <c r="G1380" t="inlineStr">
        <is>
          <t>Down</t>
        </is>
      </c>
      <c r="H1380" t="inlineStr">
        <is>
          <t>ED_JD</t>
        </is>
      </c>
      <c r="I1380" t="inlineStr">
        <is>
          <t>2011-11</t>
        </is>
      </c>
      <c r="J1380" t="n">
        <v>1</v>
      </c>
      <c r="K1380" t="n">
        <v>1</v>
      </c>
      <c r="L1380" s="34">
        <f>IF($J1380=1,LN(B1381/B1380),"")</f>
        <v/>
      </c>
      <c r="M1380" s="34">
        <f>IF($K1380=1,INDEX(Mensal!$D$2:$D$245,MATCH($I1380,Mensal!$A$2:$A$245,0)),"")</f>
        <v/>
      </c>
      <c r="N1380" s="34">
        <f>IF($K1380=1,L1380-M1380,"")</f>
        <v/>
      </c>
      <c r="O1380" s="34" t="n">
        <v>0.00042814</v>
      </c>
      <c r="P1380" s="34">
        <f>IF($J1380=1,LN(1+O1380),"")</f>
        <v/>
      </c>
      <c r="Q1380" s="34">
        <f>IF($J1380=1,LN(R1381/R1380),"")</f>
        <v/>
      </c>
      <c r="R1380" s="32" t="n">
        <v>1.7415</v>
      </c>
      <c r="S1380" s="35" t="n">
        <v>10.249</v>
      </c>
      <c r="T1380" s="18" t="n"/>
      <c r="U1380" s="18" t="n"/>
      <c r="V1380" s="18" t="n">
        <v>58669</v>
      </c>
      <c r="W1380" s="18" t="n"/>
      <c r="X1380" s="35" t="n"/>
      <c r="Y1380" s="35" t="n">
        <v>10.249</v>
      </c>
    </row>
    <row r="1381">
      <c r="A1381" s="25" t="n">
        <v>40854</v>
      </c>
      <c r="B1381" s="18" t="n">
        <v>59198</v>
      </c>
      <c r="C1381" s="31" t="n"/>
      <c r="D1381" s="32" t="n"/>
      <c r="E1381" s="33" t="n">
        <v>-0.5672</v>
      </c>
      <c r="F1381" t="inlineStr">
        <is>
          <t>Down</t>
        </is>
      </c>
      <c r="G1381" t="inlineStr">
        <is>
          <t>Down</t>
        </is>
      </c>
      <c r="H1381" t="inlineStr">
        <is>
          <t>ED_JD</t>
        </is>
      </c>
      <c r="I1381" t="inlineStr">
        <is>
          <t>2011-11</t>
        </is>
      </c>
      <c r="J1381" t="n">
        <v>1</v>
      </c>
      <c r="K1381" t="n">
        <v>1</v>
      </c>
      <c r="L1381" s="34">
        <f>IF($J1381=1,LN(B1382/B1381),"")</f>
        <v/>
      </c>
      <c r="M1381" s="34">
        <f>IF($K1381=1,INDEX(Mensal!$D$2:$D$245,MATCH($I1381,Mensal!$A$2:$A$245,0)),"")</f>
        <v/>
      </c>
      <c r="N1381" s="34">
        <f>IF($K1381=1,L1381-M1381,"")</f>
        <v/>
      </c>
      <c r="O1381" s="34" t="n">
        <v>0.00042921</v>
      </c>
      <c r="P1381" s="34">
        <f>IF($J1381=1,LN(1+O1381),"")</f>
        <v/>
      </c>
      <c r="Q1381" s="34">
        <f>IF($J1381=1,LN(R1382/R1381),"")</f>
        <v/>
      </c>
      <c r="R1381" s="32" t="n">
        <v>1.7503</v>
      </c>
      <c r="S1381" s="35" t="n">
        <v>10.178</v>
      </c>
      <c r="T1381" s="18" t="n"/>
      <c r="U1381" s="18" t="n"/>
      <c r="V1381" s="18" t="n">
        <v>59198</v>
      </c>
      <c r="W1381" s="18" t="n"/>
      <c r="X1381" s="35" t="n"/>
      <c r="Y1381" s="35" t="n">
        <v>10.178</v>
      </c>
    </row>
    <row r="1382">
      <c r="A1382" s="25" t="n">
        <v>40855</v>
      </c>
      <c r="B1382" s="18" t="n">
        <v>59026</v>
      </c>
      <c r="C1382" s="31" t="n"/>
      <c r="D1382" s="32" t="n"/>
      <c r="E1382" s="33" t="n">
        <v>-0.5681</v>
      </c>
      <c r="F1382" t="inlineStr">
        <is>
          <t>Down</t>
        </is>
      </c>
      <c r="G1382" t="inlineStr">
        <is>
          <t>Down</t>
        </is>
      </c>
      <c r="H1382" t="inlineStr">
        <is>
          <t>ED_JD</t>
        </is>
      </c>
      <c r="I1382" t="inlineStr">
        <is>
          <t>2011-11</t>
        </is>
      </c>
      <c r="J1382" t="n">
        <v>1</v>
      </c>
      <c r="K1382" t="n">
        <v>1</v>
      </c>
      <c r="L1382" s="34">
        <f>IF($J1382=1,LN(B1383/B1382),"")</f>
        <v/>
      </c>
      <c r="M1382" s="34">
        <f>IF($K1382=1,INDEX(Mensal!$D$2:$D$245,MATCH($I1382,Mensal!$A$2:$A$245,0)),"")</f>
        <v/>
      </c>
      <c r="N1382" s="34">
        <f>IF($K1382=1,L1382-M1382,"")</f>
        <v/>
      </c>
      <c r="O1382" s="34" t="n">
        <v>0.00042814</v>
      </c>
      <c r="P1382" s="34">
        <f>IF($J1382=1,LN(1+O1382),"")</f>
        <v/>
      </c>
      <c r="Q1382" s="34">
        <f>IF($J1382=1,LN(R1383/R1382),"")</f>
        <v/>
      </c>
      <c r="R1382" s="32" t="n">
        <v>1.7453</v>
      </c>
      <c r="S1382" s="35" t="n">
        <v>10.137</v>
      </c>
      <c r="T1382" s="18" t="n"/>
      <c r="U1382" s="18" t="n"/>
      <c r="V1382" s="18" t="n">
        <v>59026</v>
      </c>
      <c r="W1382" s="18" t="n"/>
      <c r="X1382" s="35" t="n"/>
      <c r="Y1382" s="35" t="n">
        <v>10.137</v>
      </c>
    </row>
    <row r="1383">
      <c r="A1383" s="25" t="n">
        <v>40856</v>
      </c>
      <c r="B1383" s="18" t="n">
        <v>57549</v>
      </c>
      <c r="C1383" s="31" t="n"/>
      <c r="D1383" s="32" t="n"/>
      <c r="E1383" s="33" t="n">
        <v>-0.5695</v>
      </c>
      <c r="F1383" t="inlineStr">
        <is>
          <t>Down</t>
        </is>
      </c>
      <c r="G1383" t="inlineStr">
        <is>
          <t>Down</t>
        </is>
      </c>
      <c r="H1383" t="inlineStr">
        <is>
          <t>ED_JD</t>
        </is>
      </c>
      <c r="I1383" t="inlineStr">
        <is>
          <t>2011-11</t>
        </is>
      </c>
      <c r="J1383" t="n">
        <v>1</v>
      </c>
      <c r="K1383" t="n">
        <v>1</v>
      </c>
      <c r="L1383" s="34">
        <f>IF($J1383=1,LN(B1384/B1383),"")</f>
        <v/>
      </c>
      <c r="M1383" s="34">
        <f>IF($K1383=1,INDEX(Mensal!$D$2:$D$245,MATCH($I1383,Mensal!$A$2:$A$245,0)),"")</f>
        <v/>
      </c>
      <c r="N1383" s="34">
        <f>IF($K1383=1,L1383-M1383,"")</f>
        <v/>
      </c>
      <c r="O1383" s="34" t="n">
        <v>0.0004277799999999999</v>
      </c>
      <c r="P1383" s="34">
        <f>IF($J1383=1,LN(1+O1383),"")</f>
        <v/>
      </c>
      <c r="Q1383" s="34">
        <f>IF($J1383=1,LN(R1384/R1383),"")</f>
        <v/>
      </c>
      <c r="R1383" s="32" t="n">
        <v>1.7516</v>
      </c>
      <c r="S1383" s="35" t="n">
        <v>9.978999999999999</v>
      </c>
      <c r="T1383" s="18" t="n"/>
      <c r="U1383" s="18" t="n"/>
      <c r="V1383" s="18" t="n">
        <v>57549</v>
      </c>
      <c r="W1383" s="18" t="n"/>
      <c r="X1383" s="35" t="n"/>
      <c r="Y1383" s="35" t="n">
        <v>9.978999999999999</v>
      </c>
    </row>
    <row r="1384">
      <c r="A1384" s="25" t="n">
        <v>40857</v>
      </c>
      <c r="B1384" s="18" t="n">
        <v>57321</v>
      </c>
      <c r="C1384" s="31" t="n"/>
      <c r="D1384" s="32" t="n"/>
      <c r="E1384" s="33" t="n">
        <v>-0.5659999999999999</v>
      </c>
      <c r="F1384" t="inlineStr">
        <is>
          <t>Down</t>
        </is>
      </c>
      <c r="G1384" t="inlineStr">
        <is>
          <t>Down</t>
        </is>
      </c>
      <c r="H1384" t="inlineStr">
        <is>
          <t>ED_JD</t>
        </is>
      </c>
      <c r="I1384" t="inlineStr">
        <is>
          <t>2011-11</t>
        </is>
      </c>
      <c r="J1384" t="n">
        <v>1</v>
      </c>
      <c r="K1384" t="n">
        <v>1</v>
      </c>
      <c r="L1384" s="34">
        <f>IF($J1384=1,LN(B1385/B1384),"")</f>
        <v/>
      </c>
      <c r="M1384" s="34">
        <f>IF($K1384=1,INDEX(Mensal!$D$2:$D$245,MATCH($I1384,Mensal!$A$2:$A$245,0)),"")</f>
        <v/>
      </c>
      <c r="N1384" s="34">
        <f>IF($K1384=1,L1384-M1384,"")</f>
        <v/>
      </c>
      <c r="O1384" s="34" t="n">
        <v>0.00042742</v>
      </c>
      <c r="P1384" s="34">
        <f>IF($J1384=1,LN(1+O1384),"")</f>
        <v/>
      </c>
      <c r="Q1384" s="34">
        <f>IF($J1384=1,LN(R1385/R1384),"")</f>
        <v/>
      </c>
      <c r="R1384" s="32" t="n">
        <v>1.761</v>
      </c>
      <c r="S1384" s="35" t="n">
        <v>10.023</v>
      </c>
      <c r="T1384" s="18" t="n"/>
      <c r="U1384" s="18" t="n"/>
      <c r="V1384" s="18" t="n">
        <v>57321</v>
      </c>
      <c r="W1384" s="18" t="n"/>
      <c r="X1384" s="35" t="n"/>
      <c r="Y1384" s="35" t="n">
        <v>10.023</v>
      </c>
    </row>
    <row r="1385">
      <c r="A1385" s="25" t="n">
        <v>40858</v>
      </c>
      <c r="B1385" s="18" t="n">
        <v>58546</v>
      </c>
      <c r="C1385" s="31" t="n"/>
      <c r="D1385" s="32" t="n"/>
      <c r="E1385" s="33" t="n">
        <v>-0.5585</v>
      </c>
      <c r="F1385" t="inlineStr">
        <is>
          <t>Down</t>
        </is>
      </c>
      <c r="G1385" t="inlineStr">
        <is>
          <t>Down</t>
        </is>
      </c>
      <c r="H1385" t="inlineStr">
        <is>
          <t>ED_JD</t>
        </is>
      </c>
      <c r="I1385" t="inlineStr">
        <is>
          <t>2011-11</t>
        </is>
      </c>
      <c r="J1385" t="n">
        <v>1</v>
      </c>
      <c r="K1385" t="n">
        <v>1</v>
      </c>
      <c r="L1385" s="34">
        <f>IF($J1385=1,LN(B1386/B1385),"")</f>
        <v/>
      </c>
      <c r="M1385" s="34">
        <f>IF($K1385=1,INDEX(Mensal!$D$2:$D$245,MATCH($I1385,Mensal!$A$2:$A$245,0)),"")</f>
        <v/>
      </c>
      <c r="N1385" s="34">
        <f>IF($K1385=1,L1385-M1385,"")</f>
        <v/>
      </c>
      <c r="O1385" s="34" t="n">
        <v>0.00042742</v>
      </c>
      <c r="P1385" s="34">
        <f>IF($J1385=1,LN(1+O1385),"")</f>
        <v/>
      </c>
      <c r="Q1385" s="34">
        <f>IF($J1385=1,LN(R1386/R1385),"")</f>
        <v/>
      </c>
      <c r="R1385" s="32" t="n">
        <v>1.7547</v>
      </c>
      <c r="S1385" s="35" t="n">
        <v>10.01</v>
      </c>
      <c r="T1385" s="18" t="n"/>
      <c r="U1385" s="18" t="n"/>
      <c r="V1385" s="18" t="n">
        <v>58546</v>
      </c>
      <c r="W1385" s="18" t="n"/>
      <c r="X1385" s="35" t="n"/>
      <c r="Y1385" s="35" t="n">
        <v>10.01</v>
      </c>
    </row>
    <row r="1386">
      <c r="A1386" s="25" t="n">
        <v>40861</v>
      </c>
      <c r="B1386" s="18" t="n">
        <v>58258</v>
      </c>
      <c r="C1386" s="31" t="n"/>
      <c r="D1386" s="32" t="n"/>
      <c r="E1386" s="33" t="n">
        <v>-0.537</v>
      </c>
      <c r="F1386" t="inlineStr">
        <is>
          <t>Down</t>
        </is>
      </c>
      <c r="G1386" t="inlineStr">
        <is>
          <t>Down</t>
        </is>
      </c>
      <c r="H1386" t="inlineStr">
        <is>
          <t>ED_JD</t>
        </is>
      </c>
      <c r="I1386" t="inlineStr">
        <is>
          <t>2011-11</t>
        </is>
      </c>
      <c r="J1386" t="n">
        <v>1</v>
      </c>
      <c r="K1386" t="n">
        <v>1</v>
      </c>
      <c r="L1386" s="34">
        <f>IF($J1386=1,LN(B1387/B1386),"")</f>
        <v/>
      </c>
      <c r="M1386" s="34">
        <f>IF($K1386=1,INDEX(Mensal!$D$2:$D$245,MATCH($I1386,Mensal!$A$2:$A$245,0)),"")</f>
        <v/>
      </c>
      <c r="N1386" s="34">
        <f>IF($K1386=1,L1386-M1386,"")</f>
        <v/>
      </c>
      <c r="O1386" s="34" t="n">
        <v>0.00042671</v>
      </c>
      <c r="P1386" s="34">
        <f>IF($J1386=1,LN(1+O1386),"")</f>
        <v/>
      </c>
      <c r="Q1386" s="34">
        <f>IF($J1386=1,LN(R1387/R1386),"")</f>
        <v/>
      </c>
      <c r="R1386" s="32" t="n">
        <v>1.7649</v>
      </c>
      <c r="S1386" s="35" t="n">
        <v>9.992000000000001</v>
      </c>
      <c r="T1386" s="18" t="n"/>
      <c r="U1386" s="18" t="n"/>
      <c r="V1386" s="18" t="n">
        <v>58258</v>
      </c>
      <c r="W1386" s="18" t="n"/>
      <c r="X1386" s="35" t="n"/>
      <c r="Y1386" s="35" t="n">
        <v>9.992000000000001</v>
      </c>
    </row>
    <row r="1387">
      <c r="A1387" s="25" t="n">
        <v>40863</v>
      </c>
      <c r="B1387" s="18" t="n">
        <v>58559</v>
      </c>
      <c r="C1387" s="31" t="n"/>
      <c r="D1387" s="32" t="n"/>
      <c r="E1387" s="33" t="n">
        <v>-0.5174</v>
      </c>
      <c r="F1387" t="inlineStr">
        <is>
          <t>Down</t>
        </is>
      </c>
      <c r="G1387" t="inlineStr">
        <is>
          <t>Down</t>
        </is>
      </c>
      <c r="H1387" t="inlineStr">
        <is>
          <t>ED_JD</t>
        </is>
      </c>
      <c r="I1387" t="inlineStr">
        <is>
          <t>2011-11</t>
        </is>
      </c>
      <c r="J1387" t="n">
        <v>1</v>
      </c>
      <c r="K1387" t="n">
        <v>1</v>
      </c>
      <c r="L1387" s="34">
        <f>IF($J1387=1,LN(B1388/B1387),"")</f>
        <v/>
      </c>
      <c r="M1387" s="34">
        <f>IF($K1387=1,INDEX(Mensal!$D$2:$D$245,MATCH($I1387,Mensal!$A$2:$A$245,0)),"")</f>
        <v/>
      </c>
      <c r="N1387" s="34">
        <f>IF($K1387=1,L1387-M1387,"")</f>
        <v/>
      </c>
      <c r="O1387" s="34" t="n">
        <v>0.00042707</v>
      </c>
      <c r="P1387" s="34">
        <f>IF($J1387=1,LN(1+O1387),"")</f>
        <v/>
      </c>
      <c r="Q1387" s="34">
        <f>IF($J1387=1,LN(R1388/R1387),"")</f>
        <v/>
      </c>
      <c r="R1387" s="32" t="n">
        <v>1.7772</v>
      </c>
      <c r="S1387" s="35" t="n">
        <v>9.968999999999999</v>
      </c>
      <c r="T1387" s="18" t="n"/>
      <c r="U1387" s="18" t="n"/>
      <c r="V1387" s="18" t="n">
        <v>58559</v>
      </c>
      <c r="W1387" s="18" t="n"/>
      <c r="X1387" s="35" t="n"/>
      <c r="Y1387" s="35" t="n">
        <v>9.968999999999999</v>
      </c>
    </row>
    <row r="1388">
      <c r="A1388" s="25" t="n">
        <v>40864</v>
      </c>
      <c r="B1388" s="18" t="n">
        <v>56988</v>
      </c>
      <c r="C1388" s="31" t="n"/>
      <c r="D1388" s="32" t="n"/>
      <c r="E1388" s="33" t="n">
        <v>-0.5009</v>
      </c>
      <c r="F1388" t="inlineStr">
        <is>
          <t>Down</t>
        </is>
      </c>
      <c r="G1388" t="inlineStr">
        <is>
          <t>Down</t>
        </is>
      </c>
      <c r="H1388" t="inlineStr">
        <is>
          <t>ED_JD</t>
        </is>
      </c>
      <c r="I1388" t="inlineStr">
        <is>
          <t>2011-11</t>
        </is>
      </c>
      <c r="J1388" t="n">
        <v>1</v>
      </c>
      <c r="K1388" t="n">
        <v>1</v>
      </c>
      <c r="L1388" s="34">
        <f>IF($J1388=1,LN(B1389/B1388),"")</f>
        <v/>
      </c>
      <c r="M1388" s="34">
        <f>IF($K1388=1,INDEX(Mensal!$D$2:$D$245,MATCH($I1388,Mensal!$A$2:$A$245,0)),"")</f>
        <v/>
      </c>
      <c r="N1388" s="34">
        <f>IF($K1388=1,L1388-M1388,"")</f>
        <v/>
      </c>
      <c r="O1388" s="34" t="n">
        <v>0.00042707</v>
      </c>
      <c r="P1388" s="34">
        <f>IF($J1388=1,LN(1+O1388),"")</f>
        <v/>
      </c>
      <c r="Q1388" s="34">
        <f>IF($J1388=1,LN(R1389/R1388),"")</f>
        <v/>
      </c>
      <c r="R1388" s="32" t="n">
        <v>1.7775</v>
      </c>
      <c r="S1388" s="35" t="n">
        <v>9.959</v>
      </c>
      <c r="T1388" s="18" t="n"/>
      <c r="U1388" s="18" t="n"/>
      <c r="V1388" s="18" t="n">
        <v>56988</v>
      </c>
      <c r="W1388" s="18" t="n"/>
      <c r="X1388" s="35" t="n"/>
      <c r="Y1388" s="35" t="n">
        <v>9.959</v>
      </c>
    </row>
    <row r="1389">
      <c r="A1389" s="25" t="n">
        <v>40865</v>
      </c>
      <c r="B1389" s="18" t="n">
        <v>56731</v>
      </c>
      <c r="C1389" s="31" t="n"/>
      <c r="D1389" s="32" t="n"/>
      <c r="E1389" s="33" t="n">
        <v>-0.4857</v>
      </c>
      <c r="F1389" t="inlineStr">
        <is>
          <t>Down</t>
        </is>
      </c>
      <c r="G1389" t="inlineStr">
        <is>
          <t>Down</t>
        </is>
      </c>
      <c r="H1389" t="inlineStr">
        <is>
          <t>ED_JD</t>
        </is>
      </c>
      <c r="I1389" t="inlineStr">
        <is>
          <t>2011-11</t>
        </is>
      </c>
      <c r="J1389" t="n">
        <v>1</v>
      </c>
      <c r="K1389" t="n">
        <v>1</v>
      </c>
      <c r="L1389" s="34">
        <f>IF($J1389=1,LN(B1390/B1389),"")</f>
        <v/>
      </c>
      <c r="M1389" s="34">
        <f>IF($K1389=1,INDEX(Mensal!$D$2:$D$245,MATCH($I1389,Mensal!$A$2:$A$245,0)),"")</f>
        <v/>
      </c>
      <c r="N1389" s="34">
        <f>IF($K1389=1,L1389-M1389,"")</f>
        <v/>
      </c>
      <c r="O1389" s="34" t="n">
        <v>0.00042742</v>
      </c>
      <c r="P1389" s="34">
        <f>IF($J1389=1,LN(1+O1389),"")</f>
        <v/>
      </c>
      <c r="Q1389" s="34">
        <f>IF($J1389=1,LN(R1390/R1389),"")</f>
        <v/>
      </c>
      <c r="R1389" s="32" t="n">
        <v>1.7723</v>
      </c>
      <c r="S1389" s="35" t="n">
        <v>9.954000000000001</v>
      </c>
      <c r="T1389" s="18" t="n"/>
      <c r="U1389" s="18" t="n"/>
      <c r="V1389" s="18" t="n">
        <v>56731</v>
      </c>
      <c r="W1389" s="18" t="n"/>
      <c r="X1389" s="35" t="n"/>
      <c r="Y1389" s="35" t="n">
        <v>9.954000000000001</v>
      </c>
    </row>
    <row r="1390">
      <c r="A1390" s="25" t="n">
        <v>40868</v>
      </c>
      <c r="B1390" s="18" t="n">
        <v>56284</v>
      </c>
      <c r="C1390" s="31" t="n"/>
      <c r="D1390" s="32" t="n"/>
      <c r="E1390" s="33" t="n">
        <v>-0.4719</v>
      </c>
      <c r="F1390" t="inlineStr">
        <is>
          <t>Down</t>
        </is>
      </c>
      <c r="G1390" t="inlineStr">
        <is>
          <t>Down</t>
        </is>
      </c>
      <c r="H1390" t="inlineStr">
        <is>
          <t>ED_JD</t>
        </is>
      </c>
      <c r="I1390" t="inlineStr">
        <is>
          <t>2011-11</t>
        </is>
      </c>
      <c r="J1390" t="n">
        <v>1</v>
      </c>
      <c r="K1390" t="n">
        <v>1</v>
      </c>
      <c r="L1390" s="34">
        <f>IF($J1390=1,LN(B1391/B1390),"")</f>
        <v/>
      </c>
      <c r="M1390" s="34">
        <f>IF($K1390=1,INDEX(Mensal!$D$2:$D$245,MATCH($I1390,Mensal!$A$2:$A$245,0)),"")</f>
        <v/>
      </c>
      <c r="N1390" s="34">
        <f>IF($K1390=1,L1390-M1390,"")</f>
        <v/>
      </c>
      <c r="O1390" s="34" t="n">
        <v>0.0004277799999999999</v>
      </c>
      <c r="P1390" s="34">
        <f>IF($J1390=1,LN(1+O1390),"")</f>
        <v/>
      </c>
      <c r="Q1390" s="34">
        <f>IF($J1390=1,LN(R1391/R1390),"")</f>
        <v/>
      </c>
      <c r="R1390" s="32" t="n">
        <v>1.8061</v>
      </c>
      <c r="S1390" s="35" t="n">
        <v>9.997999999999999</v>
      </c>
      <c r="T1390" s="18" t="n"/>
      <c r="U1390" s="18" t="n"/>
      <c r="V1390" s="18" t="n">
        <v>56284</v>
      </c>
      <c r="W1390" s="18" t="n"/>
      <c r="X1390" s="35" t="n"/>
      <c r="Y1390" s="35" t="n">
        <v>9.997999999999999</v>
      </c>
    </row>
    <row r="1391">
      <c r="A1391" s="25" t="n">
        <v>40869</v>
      </c>
      <c r="B1391" s="18" t="n">
        <v>55878</v>
      </c>
      <c r="C1391" s="31" t="n"/>
      <c r="D1391" s="32" t="n"/>
      <c r="E1391" s="33" t="n">
        <v>-0.4505</v>
      </c>
      <c r="F1391" t="inlineStr">
        <is>
          <t>Down</t>
        </is>
      </c>
      <c r="G1391" t="inlineStr">
        <is>
          <t>Down</t>
        </is>
      </c>
      <c r="H1391" t="inlineStr">
        <is>
          <t>ED_JD</t>
        </is>
      </c>
      <c r="I1391" t="inlineStr">
        <is>
          <t>2011-11</t>
        </is>
      </c>
      <c r="J1391" t="n">
        <v>1</v>
      </c>
      <c r="K1391" t="n">
        <v>1</v>
      </c>
      <c r="L1391" s="34">
        <f>IF($J1391=1,LN(B1392/B1391),"")</f>
        <v/>
      </c>
      <c r="M1391" s="34">
        <f>IF($K1391=1,INDEX(Mensal!$D$2:$D$245,MATCH($I1391,Mensal!$A$2:$A$245,0)),"")</f>
        <v/>
      </c>
      <c r="N1391" s="34">
        <f>IF($K1391=1,L1391-M1391,"")</f>
        <v/>
      </c>
      <c r="O1391" s="34" t="n">
        <v>0.0004277799999999999</v>
      </c>
      <c r="P1391" s="34">
        <f>IF($J1391=1,LN(1+O1391),"")</f>
        <v/>
      </c>
      <c r="Q1391" s="34">
        <f>IF($J1391=1,LN(R1392/R1391),"")</f>
        <v/>
      </c>
      <c r="R1391" s="32" t="n">
        <v>1.8069</v>
      </c>
      <c r="S1391" s="35" t="n">
        <v>10.028</v>
      </c>
      <c r="T1391" s="18" t="n"/>
      <c r="U1391" s="18" t="n"/>
      <c r="V1391" s="18" t="n">
        <v>55878</v>
      </c>
      <c r="W1391" s="18" t="n"/>
      <c r="X1391" s="35" t="n"/>
      <c r="Y1391" s="35" t="n">
        <v>10.028</v>
      </c>
    </row>
    <row r="1392">
      <c r="A1392" s="25" t="n">
        <v>40870</v>
      </c>
      <c r="B1392" s="18" t="n">
        <v>54972</v>
      </c>
      <c r="C1392" s="31" t="n"/>
      <c r="D1392" s="32" t="n"/>
      <c r="E1392" s="33" t="n">
        <v>-0.4302</v>
      </c>
      <c r="F1392" t="inlineStr">
        <is>
          <t>Down</t>
        </is>
      </c>
      <c r="G1392" t="inlineStr">
        <is>
          <t>Down</t>
        </is>
      </c>
      <c r="H1392" t="inlineStr">
        <is>
          <t>ED_JD</t>
        </is>
      </c>
      <c r="I1392" t="inlineStr">
        <is>
          <t>2011-11</t>
        </is>
      </c>
      <c r="J1392" t="n">
        <v>1</v>
      </c>
      <c r="K1392" t="n">
        <v>1</v>
      </c>
      <c r="L1392" s="34">
        <f>IF($J1392=1,LN(B1393/B1392),"")</f>
        <v/>
      </c>
      <c r="M1392" s="34">
        <f>IF($K1392=1,INDEX(Mensal!$D$2:$D$245,MATCH($I1392,Mensal!$A$2:$A$245,0)),"")</f>
        <v/>
      </c>
      <c r="N1392" s="34">
        <f>IF($K1392=1,L1392-M1392,"")</f>
        <v/>
      </c>
      <c r="O1392" s="34" t="n">
        <v>0.0004277799999999999</v>
      </c>
      <c r="P1392" s="34">
        <f>IF($J1392=1,LN(1+O1392),"")</f>
        <v/>
      </c>
      <c r="Q1392" s="34">
        <f>IF($J1392=1,LN(R1393/R1392),"")</f>
        <v/>
      </c>
      <c r="R1392" s="32" t="n">
        <v>1.8441</v>
      </c>
      <c r="S1392" s="35" t="n">
        <v>9.925000000000001</v>
      </c>
      <c r="T1392" s="18" t="n"/>
      <c r="U1392" s="18" t="n"/>
      <c r="V1392" s="18" t="n">
        <v>54972</v>
      </c>
      <c r="W1392" s="18" t="n"/>
      <c r="X1392" s="35" t="n"/>
      <c r="Y1392" s="35" t="n">
        <v>9.925000000000001</v>
      </c>
    </row>
    <row r="1393">
      <c r="A1393" s="25" t="n">
        <v>40871</v>
      </c>
      <c r="B1393" s="18" t="n">
        <v>55279</v>
      </c>
      <c r="C1393" s="31" t="n"/>
      <c r="D1393" s="32" t="n"/>
      <c r="E1393" s="33" t="n">
        <v>-0.4105</v>
      </c>
      <c r="F1393" t="inlineStr">
        <is>
          <t>Down</t>
        </is>
      </c>
      <c r="G1393" t="inlineStr">
        <is>
          <t>Down</t>
        </is>
      </c>
      <c r="H1393" t="inlineStr">
        <is>
          <t>ED_JD</t>
        </is>
      </c>
      <c r="I1393" t="inlineStr">
        <is>
          <t>2011-11</t>
        </is>
      </c>
      <c r="J1393" t="n">
        <v>1</v>
      </c>
      <c r="K1393" t="n">
        <v>1</v>
      </c>
      <c r="L1393" s="34">
        <f>IF($J1393=1,LN(B1394/B1393),"")</f>
        <v/>
      </c>
      <c r="M1393" s="34">
        <f>IF($K1393=1,INDEX(Mensal!$D$2:$D$245,MATCH($I1393,Mensal!$A$2:$A$245,0)),"")</f>
        <v/>
      </c>
      <c r="N1393" s="34">
        <f>IF($K1393=1,L1393-M1393,"")</f>
        <v/>
      </c>
      <c r="O1393" s="34" t="n">
        <v>0.0004277799999999999</v>
      </c>
      <c r="P1393" s="34">
        <f>IF($J1393=1,LN(1+O1393),"")</f>
        <v/>
      </c>
      <c r="Q1393" s="34">
        <f>IF($J1393=1,LN(R1394/R1393),"")</f>
        <v/>
      </c>
      <c r="R1393" s="32" t="n">
        <v>1.866</v>
      </c>
      <c r="S1393" s="35" t="n">
        <v>9.781000000000001</v>
      </c>
      <c r="T1393" s="18" t="n"/>
      <c r="U1393" s="18" t="n"/>
      <c r="V1393" s="18" t="n">
        <v>55279</v>
      </c>
      <c r="W1393" s="18" t="n"/>
      <c r="X1393" s="35" t="n"/>
      <c r="Y1393" s="35" t="n">
        <v>9.781000000000001</v>
      </c>
    </row>
    <row r="1394">
      <c r="A1394" s="25" t="n">
        <v>40872</v>
      </c>
      <c r="B1394" s="18" t="n">
        <v>54894</v>
      </c>
      <c r="C1394" s="31" t="n"/>
      <c r="D1394" s="32" t="n"/>
      <c r="E1394" s="33" t="n">
        <v>-0.3887</v>
      </c>
      <c r="F1394" t="inlineStr">
        <is>
          <t>Down</t>
        </is>
      </c>
      <c r="G1394" t="inlineStr">
        <is>
          <t>Down</t>
        </is>
      </c>
      <c r="H1394" t="inlineStr">
        <is>
          <t>ED_JD</t>
        </is>
      </c>
      <c r="I1394" t="inlineStr">
        <is>
          <t>2011-11</t>
        </is>
      </c>
      <c r="J1394" t="n">
        <v>1</v>
      </c>
      <c r="K1394" t="n">
        <v>1</v>
      </c>
      <c r="L1394" s="34">
        <f>IF($J1394=1,LN(B1395/B1394),"")</f>
        <v/>
      </c>
      <c r="M1394" s="34">
        <f>IF($K1394=1,INDEX(Mensal!$D$2:$D$245,MATCH($I1394,Mensal!$A$2:$A$245,0)),"")</f>
        <v/>
      </c>
      <c r="N1394" s="34">
        <f>IF($K1394=1,L1394-M1394,"")</f>
        <v/>
      </c>
      <c r="O1394" s="34" t="n">
        <v>0.00042707</v>
      </c>
      <c r="P1394" s="34">
        <f>IF($J1394=1,LN(1+O1394),"")</f>
        <v/>
      </c>
      <c r="Q1394" s="34">
        <f>IF($J1394=1,LN(R1395/R1394),"")</f>
        <v/>
      </c>
      <c r="R1394" s="32" t="n">
        <v>1.8937</v>
      </c>
      <c r="S1394" s="35" t="n">
        <v>9.804</v>
      </c>
      <c r="T1394" s="18" t="n"/>
      <c r="U1394" s="18" t="n"/>
      <c r="V1394" s="18" t="n">
        <v>54894</v>
      </c>
      <c r="W1394" s="18" t="n"/>
      <c r="X1394" s="35" t="n"/>
      <c r="Y1394" s="35" t="n">
        <v>9.804</v>
      </c>
    </row>
    <row r="1395">
      <c r="A1395" s="25" t="n">
        <v>40875</v>
      </c>
      <c r="B1395" s="18" t="n">
        <v>56017</v>
      </c>
      <c r="C1395" s="31" t="n"/>
      <c r="D1395" s="32" t="n"/>
      <c r="E1395" s="33" t="n">
        <v>-0.3597</v>
      </c>
      <c r="F1395" t="inlineStr">
        <is>
          <t>Down</t>
        </is>
      </c>
      <c r="G1395" t="inlineStr">
        <is>
          <t>Down</t>
        </is>
      </c>
      <c r="H1395" t="inlineStr">
        <is>
          <t>ED_JD</t>
        </is>
      </c>
      <c r="I1395" t="inlineStr">
        <is>
          <t>2011-11</t>
        </is>
      </c>
      <c r="J1395" t="n">
        <v>1</v>
      </c>
      <c r="K1395" t="n">
        <v>1</v>
      </c>
      <c r="L1395" s="34">
        <f>IF($J1395=1,LN(B1396/B1395),"")</f>
        <v/>
      </c>
      <c r="M1395" s="34">
        <f>IF($K1395=1,INDEX(Mensal!$D$2:$D$245,MATCH($I1395,Mensal!$A$2:$A$245,0)),"")</f>
        <v/>
      </c>
      <c r="N1395" s="34">
        <f>IF($K1395=1,L1395-M1395,"")</f>
        <v/>
      </c>
      <c r="O1395" s="34" t="n">
        <v>0.00042671</v>
      </c>
      <c r="P1395" s="34">
        <f>IF($J1395=1,LN(1+O1395),"")</f>
        <v/>
      </c>
      <c r="Q1395" s="34">
        <f>IF($J1395=1,LN(R1396/R1395),"")</f>
        <v/>
      </c>
      <c r="R1395" s="32" t="n">
        <v>1.8596</v>
      </c>
      <c r="S1395" s="35" t="n">
        <v>9.702</v>
      </c>
      <c r="T1395" s="18" t="n"/>
      <c r="U1395" s="18" t="n"/>
      <c r="V1395" s="18" t="n">
        <v>56017</v>
      </c>
      <c r="W1395" s="18" t="n"/>
      <c r="X1395" s="35" t="n"/>
      <c r="Y1395" s="35" t="n">
        <v>9.702</v>
      </c>
    </row>
    <row r="1396">
      <c r="A1396" s="25" t="n">
        <v>40876</v>
      </c>
      <c r="B1396" s="18" t="n">
        <v>55299</v>
      </c>
      <c r="C1396" s="31" t="n"/>
      <c r="D1396" s="32" t="n"/>
      <c r="E1396" s="33" t="n">
        <v>-0.3345</v>
      </c>
      <c r="F1396" t="inlineStr">
        <is>
          <t>Down</t>
        </is>
      </c>
      <c r="G1396" t="inlineStr">
        <is>
          <t>Down</t>
        </is>
      </c>
      <c r="H1396" t="inlineStr">
        <is>
          <t>ED_JD</t>
        </is>
      </c>
      <c r="I1396" t="inlineStr">
        <is>
          <t>2011-11</t>
        </is>
      </c>
      <c r="J1396" t="n">
        <v>1</v>
      </c>
      <c r="K1396" t="n">
        <v>1</v>
      </c>
      <c r="L1396" s="34">
        <f>IF($J1396=1,LN(B1397/B1396),"")</f>
        <v/>
      </c>
      <c r="M1396" s="34">
        <f>IF($K1396=1,INDEX(Mensal!$D$2:$D$245,MATCH($I1396,Mensal!$A$2:$A$245,0)),"")</f>
        <v/>
      </c>
      <c r="N1396" s="34">
        <f>IF($K1396=1,L1396-M1396,"")</f>
        <v/>
      </c>
      <c r="O1396" s="34" t="n">
        <v>0.00042635</v>
      </c>
      <c r="P1396" s="34">
        <f>IF($J1396=1,LN(1+O1396),"")</f>
        <v/>
      </c>
      <c r="Q1396" s="34">
        <f>IF($J1396=1,LN(R1397/R1396),"")</f>
        <v/>
      </c>
      <c r="R1396" s="32" t="n">
        <v>1.8486</v>
      </c>
      <c r="S1396" s="35" t="n">
        <v>9.715999999999999</v>
      </c>
      <c r="T1396" s="18" t="n"/>
      <c r="U1396" s="18" t="n"/>
      <c r="V1396" s="18" t="n">
        <v>55299</v>
      </c>
      <c r="W1396" s="18" t="n"/>
      <c r="X1396" s="35" t="n"/>
      <c r="Y1396" s="35" t="n">
        <v>9.715999999999999</v>
      </c>
    </row>
    <row r="1397">
      <c r="A1397" s="25" t="n">
        <v>40877</v>
      </c>
      <c r="B1397" s="18" t="n">
        <v>56874</v>
      </c>
      <c r="C1397" s="31" t="n"/>
      <c r="D1397" s="32" t="n"/>
      <c r="E1397" s="33" t="n">
        <v>-0.3132</v>
      </c>
      <c r="F1397" t="inlineStr">
        <is>
          <t>Down</t>
        </is>
      </c>
      <c r="G1397" t="inlineStr">
        <is>
          <t>Down</t>
        </is>
      </c>
      <c r="H1397" t="inlineStr">
        <is>
          <t>ED_JD</t>
        </is>
      </c>
      <c r="I1397" t="inlineStr">
        <is>
          <t>2011-11</t>
        </is>
      </c>
      <c r="J1397" t="n">
        <v>1</v>
      </c>
      <c r="K1397" t="n">
        <v>1</v>
      </c>
      <c r="L1397" s="34">
        <f>IF($J1397=1,LN(B1398/B1397),"")</f>
        <v/>
      </c>
      <c r="M1397" s="34">
        <f>IF($K1397=1,INDEX(Mensal!$D$2:$D$245,MATCH($I1397,Mensal!$A$2:$A$245,0)),"")</f>
        <v/>
      </c>
      <c r="N1397" s="34">
        <f>IF($K1397=1,L1397-M1397,"")</f>
        <v/>
      </c>
      <c r="O1397" s="34" t="n">
        <v>0.00042707</v>
      </c>
      <c r="P1397" s="34">
        <f>IF($J1397=1,LN(1+O1397),"")</f>
        <v/>
      </c>
      <c r="Q1397" s="34">
        <f>IF($J1397=1,LN(R1398/R1397),"")</f>
        <v/>
      </c>
      <c r="R1397" s="32" t="n">
        <v>1.8109</v>
      </c>
      <c r="S1397" s="35" t="n">
        <v>9.661</v>
      </c>
      <c r="T1397" s="18" t="n"/>
      <c r="U1397" s="18" t="n"/>
      <c r="V1397" s="18" t="n">
        <v>56874</v>
      </c>
      <c r="W1397" s="18" t="n"/>
      <c r="X1397" s="35" t="n"/>
      <c r="Y1397" s="35" t="n">
        <v>9.661</v>
      </c>
    </row>
    <row r="1398">
      <c r="A1398" s="25" t="n">
        <v>40878</v>
      </c>
      <c r="B1398" s="18" t="n">
        <v>58143</v>
      </c>
      <c r="C1398" s="31" t="n"/>
      <c r="D1398" s="32" t="n"/>
      <c r="E1398" s="33" t="n">
        <v>-0.2932</v>
      </c>
      <c r="F1398" t="inlineStr">
        <is>
          <t>Down</t>
        </is>
      </c>
      <c r="G1398" t="inlineStr">
        <is>
          <t>Down</t>
        </is>
      </c>
      <c r="H1398" t="inlineStr">
        <is>
          <t>ED_JD</t>
        </is>
      </c>
      <c r="I1398" t="inlineStr">
        <is>
          <t>2011-12</t>
        </is>
      </c>
      <c r="J1398" t="n">
        <v>1</v>
      </c>
      <c r="K1398" t="n">
        <v>1</v>
      </c>
      <c r="L1398" s="34">
        <f>IF($J1398=1,LN(B1399/B1398),"")</f>
        <v/>
      </c>
      <c r="M1398" s="34">
        <f>IF($K1398=1,INDEX(Mensal!$D$2:$D$245,MATCH($I1398,Mensal!$A$2:$A$245,0)),"")</f>
        <v/>
      </c>
      <c r="N1398" s="34">
        <f>IF($K1398=1,L1398-M1398,"")</f>
        <v/>
      </c>
      <c r="O1398" s="34" t="n">
        <v>0.00040956</v>
      </c>
      <c r="P1398" s="34">
        <f>IF($J1398=1,LN(1+O1398),"")</f>
        <v/>
      </c>
      <c r="Q1398" s="34">
        <f>IF($J1398=1,LN(R1399/R1398),"")</f>
        <v/>
      </c>
      <c r="R1398" s="32" t="n">
        <v>1.7929</v>
      </c>
      <c r="S1398" s="35" t="n">
        <v>9.771000000000001</v>
      </c>
      <c r="T1398" s="18" t="n"/>
      <c r="U1398" s="18" t="n"/>
      <c r="V1398" s="18" t="n">
        <v>58143</v>
      </c>
      <c r="W1398" s="18" t="n"/>
      <c r="X1398" s="35" t="n"/>
      <c r="Y1398" s="35" t="n">
        <v>9.771000000000001</v>
      </c>
    </row>
    <row r="1399">
      <c r="A1399" s="25" t="n">
        <v>40879</v>
      </c>
      <c r="B1399" s="18" t="n">
        <v>57886</v>
      </c>
      <c r="C1399" s="31" t="n"/>
      <c r="D1399" s="32" t="n"/>
      <c r="E1399" s="33" t="n">
        <v>-0.2727</v>
      </c>
      <c r="F1399" t="inlineStr">
        <is>
          <t>Down</t>
        </is>
      </c>
      <c r="G1399" t="inlineStr">
        <is>
          <t>Down</t>
        </is>
      </c>
      <c r="H1399" t="inlineStr">
        <is>
          <t>ED_JD</t>
        </is>
      </c>
      <c r="I1399" t="inlineStr">
        <is>
          <t>2011-12</t>
        </is>
      </c>
      <c r="J1399" t="n">
        <v>1</v>
      </c>
      <c r="K1399" t="n">
        <v>1</v>
      </c>
      <c r="L1399" s="34">
        <f>IF($J1399=1,LN(B1400/B1399),"")</f>
        <v/>
      </c>
      <c r="M1399" s="34">
        <f>IF($K1399=1,INDEX(Mensal!$D$2:$D$245,MATCH($I1399,Mensal!$A$2:$A$245,0)),"")</f>
        <v/>
      </c>
      <c r="N1399" s="34">
        <f>IF($K1399=1,L1399-M1399,"")</f>
        <v/>
      </c>
      <c r="O1399" s="34" t="n">
        <v>0.00040992</v>
      </c>
      <c r="P1399" s="34">
        <f>IF($J1399=1,LN(1+O1399),"")</f>
        <v/>
      </c>
      <c r="Q1399" s="34">
        <f>IF($J1399=1,LN(R1400/R1399),"")</f>
        <v/>
      </c>
      <c r="R1399" s="32" t="n">
        <v>1.7843</v>
      </c>
      <c r="S1399" s="35" t="n">
        <v>9.811</v>
      </c>
      <c r="T1399" s="18" t="n"/>
      <c r="U1399" s="18" t="n"/>
      <c r="V1399" s="18" t="n">
        <v>57886</v>
      </c>
      <c r="W1399" s="18" t="n"/>
      <c r="X1399" s="35" t="n"/>
      <c r="Y1399" s="35" t="n">
        <v>9.811</v>
      </c>
    </row>
    <row r="1400">
      <c r="A1400" s="25" t="n">
        <v>40882</v>
      </c>
      <c r="B1400" s="18" t="n">
        <v>58910</v>
      </c>
      <c r="C1400" s="31" t="n"/>
      <c r="D1400" s="32" t="n"/>
      <c r="E1400" s="33" t="n">
        <v>-0.2595</v>
      </c>
      <c r="F1400" t="inlineStr">
        <is>
          <t>Down</t>
        </is>
      </c>
      <c r="G1400" t="inlineStr">
        <is>
          <t>Down</t>
        </is>
      </c>
      <c r="H1400" t="inlineStr">
        <is>
          <t>ED_JD</t>
        </is>
      </c>
      <c r="I1400" t="inlineStr">
        <is>
          <t>2011-12</t>
        </is>
      </c>
      <c r="J1400" t="n">
        <v>1</v>
      </c>
      <c r="K1400" t="n">
        <v>1</v>
      </c>
      <c r="L1400" s="34">
        <f>IF($J1400=1,LN(B1401/B1400),"")</f>
        <v/>
      </c>
      <c r="M1400" s="34">
        <f>IF($K1400=1,INDEX(Mensal!$D$2:$D$245,MATCH($I1400,Mensal!$A$2:$A$245,0)),"")</f>
        <v/>
      </c>
      <c r="N1400" s="34">
        <f>IF($K1400=1,L1400-M1400,"")</f>
        <v/>
      </c>
      <c r="O1400" s="34" t="n">
        <v>0.00041028</v>
      </c>
      <c r="P1400" s="34">
        <f>IF($J1400=1,LN(1+O1400),"")</f>
        <v/>
      </c>
      <c r="Q1400" s="34">
        <f>IF($J1400=1,LN(R1401/R1400),"")</f>
        <v/>
      </c>
      <c r="R1400" s="32" t="n">
        <v>1.783</v>
      </c>
      <c r="S1400" s="35" t="n">
        <v>9.853999999999999</v>
      </c>
      <c r="T1400" s="18" t="n"/>
      <c r="U1400" s="18" t="n"/>
      <c r="V1400" s="18" t="n">
        <v>58910</v>
      </c>
      <c r="W1400" s="18" t="n"/>
      <c r="X1400" s="35" t="n"/>
      <c r="Y1400" s="35" t="n">
        <v>9.853999999999999</v>
      </c>
    </row>
    <row r="1401">
      <c r="A1401" s="25" t="n">
        <v>40883</v>
      </c>
      <c r="B1401" s="18" t="n">
        <v>59536</v>
      </c>
      <c r="C1401" s="31" t="n"/>
      <c r="D1401" s="32" t="n"/>
      <c r="E1401" s="33" t="n">
        <v>-0.2381</v>
      </c>
      <c r="F1401" t="inlineStr">
        <is>
          <t>Down</t>
        </is>
      </c>
      <c r="G1401" t="inlineStr">
        <is>
          <t>Down</t>
        </is>
      </c>
      <c r="H1401" t="inlineStr">
        <is>
          <t>ED_JD</t>
        </is>
      </c>
      <c r="I1401" t="inlineStr">
        <is>
          <t>2011-12</t>
        </is>
      </c>
      <c r="J1401" t="n">
        <v>1</v>
      </c>
      <c r="K1401" t="n">
        <v>1</v>
      </c>
      <c r="L1401" s="34">
        <f>IF($J1401=1,LN(B1402/B1401),"")</f>
        <v/>
      </c>
      <c r="M1401" s="34">
        <f>IF($K1401=1,INDEX(Mensal!$D$2:$D$245,MATCH($I1401,Mensal!$A$2:$A$245,0)),"")</f>
        <v/>
      </c>
      <c r="N1401" s="34">
        <f>IF($K1401=1,L1401-M1401,"")</f>
        <v/>
      </c>
      <c r="O1401" s="34" t="n">
        <v>0.00040992</v>
      </c>
      <c r="P1401" s="34">
        <f>IF($J1401=1,LN(1+O1401),"")</f>
        <v/>
      </c>
      <c r="Q1401" s="34">
        <f>IF($J1401=1,LN(R1402/R1401),"")</f>
        <v/>
      </c>
      <c r="R1401" s="32" t="n">
        <v>1.7913</v>
      </c>
      <c r="S1401" s="35" t="n">
        <v>9.83</v>
      </c>
      <c r="T1401" s="18" t="n"/>
      <c r="U1401" s="18" t="n"/>
      <c r="V1401" s="18" t="n">
        <v>59536</v>
      </c>
      <c r="W1401" s="18" t="n"/>
      <c r="X1401" s="35" t="n"/>
      <c r="Y1401" s="35" t="n">
        <v>9.83</v>
      </c>
    </row>
    <row r="1402">
      <c r="A1402" s="25" t="n">
        <v>40884</v>
      </c>
      <c r="B1402" s="18" t="n">
        <v>58662</v>
      </c>
      <c r="C1402" s="31" t="n"/>
      <c r="D1402" s="32" t="n"/>
      <c r="E1402" s="33" t="n">
        <v>-0.2547</v>
      </c>
      <c r="F1402" t="inlineStr">
        <is>
          <t>Down</t>
        </is>
      </c>
      <c r="G1402" t="inlineStr">
        <is>
          <t>Down</t>
        </is>
      </c>
      <c r="H1402" t="inlineStr">
        <is>
          <t>ED_JD</t>
        </is>
      </c>
      <c r="I1402" t="inlineStr">
        <is>
          <t>2011-12</t>
        </is>
      </c>
      <c r="J1402" t="n">
        <v>1</v>
      </c>
      <c r="K1402" t="n">
        <v>1</v>
      </c>
      <c r="L1402" s="34">
        <f>IF($J1402=1,LN(B1403/B1402),"")</f>
        <v/>
      </c>
      <c r="M1402" s="34">
        <f>IF($K1402=1,INDEX(Mensal!$D$2:$D$245,MATCH($I1402,Mensal!$A$2:$A$245,0)),"")</f>
        <v/>
      </c>
      <c r="N1402" s="34">
        <f>IF($K1402=1,L1402-M1402,"")</f>
        <v/>
      </c>
      <c r="O1402" s="34" t="n">
        <v>0.00040956</v>
      </c>
      <c r="P1402" s="34">
        <f>IF($J1402=1,LN(1+O1402),"")</f>
        <v/>
      </c>
      <c r="Q1402" s="34">
        <f>IF($J1402=1,LN(R1403/R1402),"")</f>
        <v/>
      </c>
      <c r="R1402" s="32" t="n">
        <v>1.798</v>
      </c>
      <c r="S1402" s="35" t="n">
        <v>9.766999999999999</v>
      </c>
      <c r="T1402" s="18" t="n"/>
      <c r="U1402" s="18" t="n"/>
      <c r="V1402" s="18" t="n">
        <v>58662</v>
      </c>
      <c r="W1402" s="18" t="n"/>
      <c r="X1402" s="35" t="n"/>
      <c r="Y1402" s="35" t="n">
        <v>9.766999999999999</v>
      </c>
    </row>
    <row r="1403">
      <c r="A1403" s="25" t="n">
        <v>40885</v>
      </c>
      <c r="B1403" s="18" t="n">
        <v>57455</v>
      </c>
      <c r="C1403" s="31" t="n"/>
      <c r="D1403" s="32" t="n"/>
      <c r="E1403" s="33" t="n">
        <v>-0.2716</v>
      </c>
      <c r="F1403" t="inlineStr">
        <is>
          <t>Down</t>
        </is>
      </c>
      <c r="G1403" t="inlineStr">
        <is>
          <t>Down</t>
        </is>
      </c>
      <c r="H1403" t="inlineStr">
        <is>
          <t>ED_JD</t>
        </is>
      </c>
      <c r="I1403" t="inlineStr">
        <is>
          <t>2011-12</t>
        </is>
      </c>
      <c r="J1403" t="n">
        <v>1</v>
      </c>
      <c r="K1403" t="n">
        <v>1</v>
      </c>
      <c r="L1403" s="34">
        <f>IF($J1403=1,LN(B1404/B1403),"")</f>
        <v/>
      </c>
      <c r="M1403" s="34">
        <f>IF($K1403=1,INDEX(Mensal!$D$2:$D$245,MATCH($I1403,Mensal!$A$2:$A$245,0)),"")</f>
        <v/>
      </c>
      <c r="N1403" s="34">
        <f>IF($K1403=1,L1403-M1403,"")</f>
        <v/>
      </c>
      <c r="O1403" s="34" t="n">
        <v>0.0004088399999999999</v>
      </c>
      <c r="P1403" s="34">
        <f>IF($J1403=1,LN(1+O1403),"")</f>
        <v/>
      </c>
      <c r="Q1403" s="34">
        <f>IF($J1403=1,LN(R1404/R1403),"")</f>
        <v/>
      </c>
      <c r="R1403" s="32" t="n">
        <v>1.7941</v>
      </c>
      <c r="S1403" s="35" t="n">
        <v>9.834</v>
      </c>
      <c r="T1403" s="18" t="n"/>
      <c r="U1403" s="18" t="n"/>
      <c r="V1403" s="18" t="n">
        <v>57455</v>
      </c>
      <c r="W1403" s="18" t="n"/>
      <c r="X1403" s="35" t="n"/>
      <c r="Y1403" s="35" t="n">
        <v>9.834</v>
      </c>
    </row>
    <row r="1404">
      <c r="A1404" s="25" t="n">
        <v>40886</v>
      </c>
      <c r="B1404" s="18" t="n">
        <v>58236</v>
      </c>
      <c r="C1404" s="31" t="n"/>
      <c r="D1404" s="32" t="n"/>
      <c r="E1404" s="33" t="n">
        <v>-0.2893</v>
      </c>
      <c r="F1404" t="inlineStr">
        <is>
          <t>Down</t>
        </is>
      </c>
      <c r="G1404" t="inlineStr">
        <is>
          <t>Down</t>
        </is>
      </c>
      <c r="H1404" t="inlineStr">
        <is>
          <t>ED_JD</t>
        </is>
      </c>
      <c r="I1404" t="inlineStr">
        <is>
          <t>2011-12</t>
        </is>
      </c>
      <c r="J1404" t="n">
        <v>1</v>
      </c>
      <c r="K1404" t="n">
        <v>1</v>
      </c>
      <c r="L1404" s="34">
        <f>IF($J1404=1,LN(B1405/B1404),"")</f>
        <v/>
      </c>
      <c r="M1404" s="34">
        <f>IF($K1404=1,INDEX(Mensal!$D$2:$D$245,MATCH($I1404,Mensal!$A$2:$A$245,0)),"")</f>
        <v/>
      </c>
      <c r="N1404" s="34">
        <f>IF($K1404=1,L1404-M1404,"")</f>
        <v/>
      </c>
      <c r="O1404" s="34" t="n">
        <v>0.00040813</v>
      </c>
      <c r="P1404" s="34">
        <f>IF($J1404=1,LN(1+O1404),"")</f>
        <v/>
      </c>
      <c r="Q1404" s="34">
        <f>IF($J1404=1,LN(R1405/R1404),"")</f>
        <v/>
      </c>
      <c r="R1404" s="32" t="n">
        <v>1.813</v>
      </c>
      <c r="S1404" s="35" t="n">
        <v>9.881</v>
      </c>
      <c r="T1404" s="18" t="n"/>
      <c r="U1404" s="18" t="n"/>
      <c r="V1404" s="18" t="n">
        <v>58236</v>
      </c>
      <c r="W1404" s="18" t="n"/>
      <c r="X1404" s="35" t="n"/>
      <c r="Y1404" s="35" t="n">
        <v>9.881</v>
      </c>
    </row>
    <row r="1405">
      <c r="A1405" s="25" t="n">
        <v>40889</v>
      </c>
      <c r="B1405" s="18" t="n">
        <v>57346</v>
      </c>
      <c r="C1405" s="31" t="n"/>
      <c r="D1405" s="32" t="n"/>
      <c r="E1405" s="33" t="n">
        <v>-0.303</v>
      </c>
      <c r="F1405" t="inlineStr">
        <is>
          <t>Down</t>
        </is>
      </c>
      <c r="G1405" t="inlineStr">
        <is>
          <t>Down</t>
        </is>
      </c>
      <c r="H1405" t="inlineStr">
        <is>
          <t>ED_JD</t>
        </is>
      </c>
      <c r="I1405" t="inlineStr">
        <is>
          <t>2011-12</t>
        </is>
      </c>
      <c r="J1405" t="n">
        <v>1</v>
      </c>
      <c r="K1405" t="n">
        <v>1</v>
      </c>
      <c r="L1405" s="34">
        <f>IF($J1405=1,LN(B1406/B1405),"")</f>
        <v/>
      </c>
      <c r="M1405" s="34">
        <f>IF($K1405=1,INDEX(Mensal!$D$2:$D$245,MATCH($I1405,Mensal!$A$2:$A$245,0)),"")</f>
        <v/>
      </c>
      <c r="N1405" s="34">
        <f>IF($K1405=1,L1405-M1405,"")</f>
        <v/>
      </c>
      <c r="O1405" s="34" t="n">
        <v>0.00040777</v>
      </c>
      <c r="P1405" s="34">
        <f>IF($J1405=1,LN(1+O1405),"")</f>
        <v/>
      </c>
      <c r="Q1405" s="34">
        <f>IF($J1405=1,LN(R1406/R1405),"")</f>
        <v/>
      </c>
      <c r="R1405" s="32" t="n">
        <v>1.8219</v>
      </c>
      <c r="S1405" s="35" t="n">
        <v>9.837999999999999</v>
      </c>
      <c r="T1405" s="18" t="n"/>
      <c r="U1405" s="18" t="n"/>
      <c r="V1405" s="18" t="n">
        <v>57346</v>
      </c>
      <c r="W1405" s="18" t="n"/>
      <c r="X1405" s="35" t="n"/>
      <c r="Y1405" s="35" t="n">
        <v>9.837999999999999</v>
      </c>
    </row>
    <row r="1406">
      <c r="A1406" s="25" t="n">
        <v>40890</v>
      </c>
      <c r="B1406" s="18" t="n">
        <v>57494</v>
      </c>
      <c r="C1406" s="31" t="n"/>
      <c r="D1406" s="32" t="n"/>
      <c r="E1406" s="33" t="n">
        <v>-0.3176</v>
      </c>
      <c r="F1406" t="inlineStr">
        <is>
          <t>Down</t>
        </is>
      </c>
      <c r="G1406" t="inlineStr">
        <is>
          <t>Down</t>
        </is>
      </c>
      <c r="H1406" t="inlineStr">
        <is>
          <t>ED_JD</t>
        </is>
      </c>
      <c r="I1406" t="inlineStr">
        <is>
          <t>2011-12</t>
        </is>
      </c>
      <c r="J1406" t="n">
        <v>1</v>
      </c>
      <c r="K1406" t="n">
        <v>1</v>
      </c>
      <c r="L1406" s="34">
        <f>IF($J1406=1,LN(B1407/B1406),"")</f>
        <v/>
      </c>
      <c r="M1406" s="34">
        <f>IF($K1406=1,INDEX(Mensal!$D$2:$D$245,MATCH($I1406,Mensal!$A$2:$A$245,0)),"")</f>
        <v/>
      </c>
      <c r="N1406" s="34">
        <f>IF($K1406=1,L1406-M1406,"")</f>
        <v/>
      </c>
      <c r="O1406" s="34" t="n">
        <v>0.00040813</v>
      </c>
      <c r="P1406" s="34">
        <f>IF($J1406=1,LN(1+O1406),"")</f>
        <v/>
      </c>
      <c r="Q1406" s="34">
        <f>IF($J1406=1,LN(R1407/R1406),"")</f>
        <v/>
      </c>
      <c r="R1406" s="32" t="n">
        <v>1.8409</v>
      </c>
      <c r="S1406" s="35" t="n">
        <v>9.885</v>
      </c>
      <c r="T1406" s="18" t="n"/>
      <c r="U1406" s="18" t="n"/>
      <c r="V1406" s="18" t="n">
        <v>57494</v>
      </c>
      <c r="W1406" s="18" t="n"/>
      <c r="X1406" s="35" t="n"/>
      <c r="Y1406" s="35" t="n">
        <v>9.885</v>
      </c>
    </row>
    <row r="1407">
      <c r="A1407" s="25" t="n">
        <v>40891</v>
      </c>
      <c r="B1407" s="18" t="n">
        <v>56646</v>
      </c>
      <c r="C1407" s="31" t="n"/>
      <c r="D1407" s="32" t="n"/>
      <c r="E1407" s="33" t="n">
        <v>-0.3299</v>
      </c>
      <c r="F1407" t="inlineStr">
        <is>
          <t>Down</t>
        </is>
      </c>
      <c r="G1407" t="inlineStr">
        <is>
          <t>Down</t>
        </is>
      </c>
      <c r="H1407" t="inlineStr">
        <is>
          <t>ED_JD</t>
        </is>
      </c>
      <c r="I1407" t="inlineStr">
        <is>
          <t>2011-12</t>
        </is>
      </c>
      <c r="J1407" t="n">
        <v>1</v>
      </c>
      <c r="K1407" t="n">
        <v>1</v>
      </c>
      <c r="L1407" s="34">
        <f>IF($J1407=1,LN(B1408/B1407),"")</f>
        <v/>
      </c>
      <c r="M1407" s="34">
        <f>IF($K1407=1,INDEX(Mensal!$D$2:$D$245,MATCH($I1407,Mensal!$A$2:$A$245,0)),"")</f>
        <v/>
      </c>
      <c r="N1407" s="34">
        <f>IF($K1407=1,L1407-M1407,"")</f>
        <v/>
      </c>
      <c r="O1407" s="34" t="n">
        <v>0.0004092</v>
      </c>
      <c r="P1407" s="34">
        <f>IF($J1407=1,LN(1+O1407),"")</f>
        <v/>
      </c>
      <c r="Q1407" s="34">
        <f>IF($J1407=1,LN(R1408/R1407),"")</f>
        <v/>
      </c>
      <c r="R1407" s="32" t="n">
        <v>1.8728</v>
      </c>
      <c r="S1407" s="35" t="n">
        <v>9.912000000000001</v>
      </c>
      <c r="T1407" s="18" t="n"/>
      <c r="U1407" s="18" t="n"/>
      <c r="V1407" s="18" t="n">
        <v>56646</v>
      </c>
      <c r="W1407" s="18" t="n"/>
      <c r="X1407" s="35" t="n"/>
      <c r="Y1407" s="35" t="n">
        <v>9.912000000000001</v>
      </c>
    </row>
    <row r="1408">
      <c r="A1408" s="25" t="n">
        <v>40892</v>
      </c>
      <c r="B1408" s="18" t="n">
        <v>56331</v>
      </c>
      <c r="C1408" s="31" t="n"/>
      <c r="D1408" s="32" t="n"/>
      <c r="E1408" s="33" t="n">
        <v>-0.3422</v>
      </c>
      <c r="F1408" t="inlineStr">
        <is>
          <t>Down</t>
        </is>
      </c>
      <c r="G1408" t="inlineStr">
        <is>
          <t>Down</t>
        </is>
      </c>
      <c r="H1408" t="inlineStr">
        <is>
          <t>ED_JD</t>
        </is>
      </c>
      <c r="I1408" t="inlineStr">
        <is>
          <t>2011-12</t>
        </is>
      </c>
      <c r="J1408" t="n">
        <v>1</v>
      </c>
      <c r="K1408" t="n">
        <v>1</v>
      </c>
      <c r="L1408" s="34">
        <f>IF($J1408=1,LN(B1409/B1408),"")</f>
        <v/>
      </c>
      <c r="M1408" s="34">
        <f>IF($K1408=1,INDEX(Mensal!$D$2:$D$245,MATCH($I1408,Mensal!$A$2:$A$245,0)),"")</f>
        <v/>
      </c>
      <c r="N1408" s="34">
        <f>IF($K1408=1,L1408-M1408,"")</f>
        <v/>
      </c>
      <c r="O1408" s="34" t="n">
        <v>0.00040956</v>
      </c>
      <c r="P1408" s="34">
        <f>IF($J1408=1,LN(1+O1408),"")</f>
        <v/>
      </c>
      <c r="Q1408" s="34">
        <f>IF($J1408=1,LN(R1409/R1408),"")</f>
        <v/>
      </c>
      <c r="R1408" s="32" t="n">
        <v>1.8609</v>
      </c>
      <c r="S1408" s="35" t="n">
        <v>9.907999999999999</v>
      </c>
      <c r="T1408" s="18" t="n"/>
      <c r="U1408" s="18" t="n"/>
      <c r="V1408" s="18" t="n">
        <v>56331</v>
      </c>
      <c r="W1408" s="18" t="n"/>
      <c r="X1408" s="35" t="n"/>
      <c r="Y1408" s="35" t="n">
        <v>9.907999999999999</v>
      </c>
    </row>
    <row r="1409">
      <c r="A1409" s="25" t="n">
        <v>40893</v>
      </c>
      <c r="B1409" s="18" t="n">
        <v>56096</v>
      </c>
      <c r="C1409" s="31" t="n"/>
      <c r="D1409" s="32" t="n"/>
      <c r="E1409" s="33" t="n">
        <v>-0.3551</v>
      </c>
      <c r="F1409" t="inlineStr">
        <is>
          <t>Down</t>
        </is>
      </c>
      <c r="G1409" t="inlineStr">
        <is>
          <t>Down</t>
        </is>
      </c>
      <c r="H1409" t="inlineStr">
        <is>
          <t>ED_JD</t>
        </is>
      </c>
      <c r="I1409" t="inlineStr">
        <is>
          <t>2011-12</t>
        </is>
      </c>
      <c r="J1409" t="n">
        <v>1</v>
      </c>
      <c r="K1409" t="n">
        <v>1</v>
      </c>
      <c r="L1409" s="34">
        <f>IF($J1409=1,LN(B1410/B1409),"")</f>
        <v/>
      </c>
      <c r="M1409" s="34">
        <f>IF($K1409=1,INDEX(Mensal!$D$2:$D$245,MATCH($I1409,Mensal!$A$2:$A$245,0)),"")</f>
        <v/>
      </c>
      <c r="N1409" s="34">
        <f>IF($K1409=1,L1409-M1409,"")</f>
        <v/>
      </c>
      <c r="O1409" s="34" t="n">
        <v>0.00040992</v>
      </c>
      <c r="P1409" s="34">
        <f>IF($J1409=1,LN(1+O1409),"")</f>
        <v/>
      </c>
      <c r="Q1409" s="34">
        <f>IF($J1409=1,LN(R1410/R1409),"")</f>
        <v/>
      </c>
      <c r="R1409" s="32" t="n">
        <v>1.8465</v>
      </c>
      <c r="S1409" s="35" t="n">
        <v>9.906000000000001</v>
      </c>
      <c r="T1409" s="18" t="n"/>
      <c r="U1409" s="18" t="n"/>
      <c r="V1409" s="18" t="n">
        <v>56096</v>
      </c>
      <c r="W1409" s="18" t="n"/>
      <c r="X1409" s="35" t="n"/>
      <c r="Y1409" s="35" t="n">
        <v>9.906000000000001</v>
      </c>
    </row>
    <row r="1410">
      <c r="A1410" s="25" t="n">
        <v>40896</v>
      </c>
      <c r="B1410" s="18" t="n">
        <v>55298</v>
      </c>
      <c r="C1410" s="31" t="n"/>
      <c r="D1410" s="32" t="n"/>
      <c r="E1410" s="33" t="n">
        <v>-0.3739</v>
      </c>
      <c r="F1410" t="inlineStr">
        <is>
          <t>Down</t>
        </is>
      </c>
      <c r="G1410" t="inlineStr">
        <is>
          <t>Down</t>
        </is>
      </c>
      <c r="H1410" t="inlineStr">
        <is>
          <t>ED_JD</t>
        </is>
      </c>
      <c r="I1410" t="inlineStr">
        <is>
          <t>2011-12</t>
        </is>
      </c>
      <c r="J1410" t="n">
        <v>1</v>
      </c>
      <c r="K1410" t="n">
        <v>1</v>
      </c>
      <c r="L1410" s="34">
        <f>IF($J1410=1,LN(B1411/B1410),"")</f>
        <v/>
      </c>
      <c r="M1410" s="34">
        <f>IF($K1410=1,INDEX(Mensal!$D$2:$D$245,MATCH($I1410,Mensal!$A$2:$A$245,0)),"")</f>
        <v/>
      </c>
      <c r="N1410" s="34">
        <f>IF($K1410=1,L1410-M1410,"")</f>
        <v/>
      </c>
      <c r="O1410" s="34" t="n">
        <v>0.00041028</v>
      </c>
      <c r="P1410" s="34">
        <f>IF($J1410=1,LN(1+O1410),"")</f>
        <v/>
      </c>
      <c r="Q1410" s="34">
        <f>IF($J1410=1,LN(R1411/R1410),"")</f>
        <v/>
      </c>
      <c r="R1410" s="32" t="n">
        <v>1.8616</v>
      </c>
      <c r="S1410" s="35" t="n">
        <v>9.913</v>
      </c>
      <c r="T1410" s="18" t="n"/>
      <c r="U1410" s="18" t="n"/>
      <c r="V1410" s="18" t="n">
        <v>55298</v>
      </c>
      <c r="W1410" s="18" t="n"/>
      <c r="X1410" s="35" t="n"/>
      <c r="Y1410" s="35" t="n">
        <v>9.913</v>
      </c>
    </row>
    <row r="1411">
      <c r="A1411" s="25" t="n">
        <v>40897</v>
      </c>
      <c r="B1411" s="18" t="n">
        <v>56864</v>
      </c>
      <c r="C1411" s="31" t="n"/>
      <c r="D1411" s="32" t="n"/>
      <c r="E1411" s="33" t="n">
        <v>-0.3938</v>
      </c>
      <c r="F1411" t="inlineStr">
        <is>
          <t>Down</t>
        </is>
      </c>
      <c r="G1411" t="inlineStr">
        <is>
          <t>Down</t>
        </is>
      </c>
      <c r="H1411" t="inlineStr">
        <is>
          <t>ED_JD</t>
        </is>
      </c>
      <c r="I1411" t="inlineStr">
        <is>
          <t>2011-12</t>
        </is>
      </c>
      <c r="J1411" t="n">
        <v>1</v>
      </c>
      <c r="K1411" t="n">
        <v>1</v>
      </c>
      <c r="L1411" s="34">
        <f>IF($J1411=1,LN(B1412/B1411),"")</f>
        <v/>
      </c>
      <c r="M1411" s="34">
        <f>IF($K1411=1,INDEX(Mensal!$D$2:$D$245,MATCH($I1411,Mensal!$A$2:$A$245,0)),"")</f>
        <v/>
      </c>
      <c r="N1411" s="34">
        <f>IF($K1411=1,L1411-M1411,"")</f>
        <v/>
      </c>
      <c r="O1411" s="34" t="n">
        <v>0.00041063</v>
      </c>
      <c r="P1411" s="34">
        <f>IF($J1411=1,LN(1+O1411),"")</f>
        <v/>
      </c>
      <c r="Q1411" s="34">
        <f>IF($J1411=1,LN(R1412/R1411),"")</f>
        <v/>
      </c>
      <c r="R1411" s="32" t="n">
        <v>1.8508</v>
      </c>
      <c r="S1411" s="35" t="n">
        <v>9.884</v>
      </c>
      <c r="T1411" s="18" t="n"/>
      <c r="U1411" s="18" t="n"/>
      <c r="V1411" s="18" t="n">
        <v>56864</v>
      </c>
      <c r="W1411" s="18" t="n"/>
      <c r="X1411" s="35" t="n"/>
      <c r="Y1411" s="35" t="n">
        <v>9.884</v>
      </c>
    </row>
    <row r="1412">
      <c r="A1412" s="25" t="n">
        <v>40898</v>
      </c>
      <c r="B1412" s="18" t="n">
        <v>56653</v>
      </c>
      <c r="C1412" s="31" t="n"/>
      <c r="D1412" s="32" t="n"/>
      <c r="E1412" s="33" t="n">
        <v>-0.4117</v>
      </c>
      <c r="F1412" t="inlineStr">
        <is>
          <t>Down</t>
        </is>
      </c>
      <c r="G1412" t="inlineStr">
        <is>
          <t>Down</t>
        </is>
      </c>
      <c r="H1412" t="inlineStr">
        <is>
          <t>ED_JD</t>
        </is>
      </c>
      <c r="I1412" t="inlineStr">
        <is>
          <t>2011-12</t>
        </is>
      </c>
      <c r="J1412" t="n">
        <v>1</v>
      </c>
      <c r="K1412" t="n">
        <v>1</v>
      </c>
      <c r="L1412" s="34">
        <f>IF($J1412=1,LN(B1413/B1412),"")</f>
        <v/>
      </c>
      <c r="M1412" s="34">
        <f>IF($K1412=1,INDEX(Mensal!$D$2:$D$245,MATCH($I1412,Mensal!$A$2:$A$245,0)),"")</f>
        <v/>
      </c>
      <c r="N1412" s="34">
        <f>IF($K1412=1,L1412-M1412,"")</f>
        <v/>
      </c>
      <c r="O1412" s="34" t="n">
        <v>0.00041028</v>
      </c>
      <c r="P1412" s="34">
        <f>IF($J1412=1,LN(1+O1412),"")</f>
        <v/>
      </c>
      <c r="Q1412" s="34">
        <f>IF($J1412=1,LN(R1413/R1412),"")</f>
        <v/>
      </c>
      <c r="R1412" s="32" t="n">
        <v>1.8556</v>
      </c>
      <c r="S1412" s="35" t="n">
        <v>9.834</v>
      </c>
      <c r="T1412" s="18" t="n"/>
      <c r="U1412" s="18" t="n"/>
      <c r="V1412" s="18" t="n">
        <v>56653</v>
      </c>
      <c r="W1412" s="18" t="n"/>
      <c r="X1412" s="35" t="n"/>
      <c r="Y1412" s="35" t="n">
        <v>9.834</v>
      </c>
    </row>
    <row r="1413">
      <c r="A1413" s="25" t="n">
        <v>40899</v>
      </c>
      <c r="B1413" s="18" t="n">
        <v>57347</v>
      </c>
      <c r="C1413" s="31" t="n"/>
      <c r="D1413" s="32" t="n"/>
      <c r="E1413" s="33" t="n">
        <v>-0.4284</v>
      </c>
      <c r="F1413" t="inlineStr">
        <is>
          <t>Down</t>
        </is>
      </c>
      <c r="G1413" t="inlineStr">
        <is>
          <t>Down</t>
        </is>
      </c>
      <c r="H1413" t="inlineStr">
        <is>
          <t>ED_JD</t>
        </is>
      </c>
      <c r="I1413" t="inlineStr">
        <is>
          <t>2011-12</t>
        </is>
      </c>
      <c r="J1413" t="n">
        <v>1</v>
      </c>
      <c r="K1413" t="n">
        <v>1</v>
      </c>
      <c r="L1413" s="34">
        <f>IF($J1413=1,LN(B1414/B1413),"")</f>
        <v/>
      </c>
      <c r="M1413" s="34">
        <f>IF($K1413=1,INDEX(Mensal!$D$2:$D$245,MATCH($I1413,Mensal!$A$2:$A$245,0)),"")</f>
        <v/>
      </c>
      <c r="N1413" s="34">
        <f>IF($K1413=1,L1413-M1413,"")</f>
        <v/>
      </c>
      <c r="O1413" s="34" t="n">
        <v>0.00040992</v>
      </c>
      <c r="P1413" s="34">
        <f>IF($J1413=1,LN(1+O1413),"")</f>
        <v/>
      </c>
      <c r="Q1413" s="34">
        <f>IF($J1413=1,LN(R1414/R1413),"")</f>
        <v/>
      </c>
      <c r="R1413" s="32" t="n">
        <v>1.8578</v>
      </c>
      <c r="S1413" s="35" t="n">
        <v>9.994999999999999</v>
      </c>
      <c r="T1413" s="18" t="n"/>
      <c r="U1413" s="18" t="n"/>
      <c r="V1413" s="18" t="n">
        <v>57347</v>
      </c>
      <c r="W1413" s="18" t="n"/>
      <c r="X1413" s="35" t="n"/>
      <c r="Y1413" s="35" t="n">
        <v>9.994999999999999</v>
      </c>
    </row>
    <row r="1414">
      <c r="A1414" s="25" t="n">
        <v>40900</v>
      </c>
      <c r="B1414" s="18" t="n">
        <v>57701</v>
      </c>
      <c r="C1414" s="31" t="n"/>
      <c r="D1414" s="32" t="n"/>
      <c r="E1414" s="33" t="n">
        <v>-0.4414</v>
      </c>
      <c r="F1414" t="inlineStr">
        <is>
          <t>Down</t>
        </is>
      </c>
      <c r="G1414" t="inlineStr">
        <is>
          <t>Down</t>
        </is>
      </c>
      <c r="H1414" t="inlineStr">
        <is>
          <t>ED_JD</t>
        </is>
      </c>
      <c r="I1414" t="inlineStr">
        <is>
          <t>2011-12</t>
        </is>
      </c>
      <c r="J1414" t="n">
        <v>1</v>
      </c>
      <c r="K1414" t="n">
        <v>1</v>
      </c>
      <c r="L1414" s="34">
        <f>IF($J1414=1,LN(B1415/B1414),"")</f>
        <v/>
      </c>
      <c r="M1414" s="34">
        <f>IF($K1414=1,INDEX(Mensal!$D$2:$D$245,MATCH($I1414,Mensal!$A$2:$A$245,0)),"")</f>
        <v/>
      </c>
      <c r="N1414" s="34">
        <f>IF($K1414=1,L1414-M1414,"")</f>
        <v/>
      </c>
      <c r="O1414" s="34" t="n">
        <v>0.00040992</v>
      </c>
      <c r="P1414" s="34">
        <f>IF($J1414=1,LN(1+O1414),"")</f>
        <v/>
      </c>
      <c r="Q1414" s="34">
        <f>IF($J1414=1,LN(R1415/R1414),"")</f>
        <v/>
      </c>
      <c r="R1414" s="32" t="n">
        <v>1.856</v>
      </c>
      <c r="S1414" s="35" t="n">
        <v>10.063</v>
      </c>
      <c r="T1414" s="18" t="n"/>
      <c r="U1414" s="18" t="n"/>
      <c r="V1414" s="18" t="n">
        <v>57701</v>
      </c>
      <c r="W1414" s="18" t="n"/>
      <c r="X1414" s="35" t="n"/>
      <c r="Y1414" s="35" t="n">
        <v>10.063</v>
      </c>
    </row>
    <row r="1415">
      <c r="A1415" s="25" t="n">
        <v>40903</v>
      </c>
      <c r="B1415" s="18" t="n">
        <v>57669</v>
      </c>
      <c r="C1415" s="31" t="n"/>
      <c r="D1415" s="32" t="n"/>
      <c r="E1415" s="33" t="n">
        <v>-0.4541</v>
      </c>
      <c r="F1415" t="inlineStr">
        <is>
          <t>Down</t>
        </is>
      </c>
      <c r="G1415" t="inlineStr">
        <is>
          <t>Down</t>
        </is>
      </c>
      <c r="H1415" t="inlineStr">
        <is>
          <t>ED_JD</t>
        </is>
      </c>
      <c r="I1415" t="inlineStr">
        <is>
          <t>2011-12</t>
        </is>
      </c>
      <c r="J1415" t="n">
        <v>1</v>
      </c>
      <c r="K1415" t="n">
        <v>1</v>
      </c>
      <c r="L1415" s="34">
        <f>IF($J1415=1,LN(B1416/B1415),"")</f>
        <v/>
      </c>
      <c r="M1415" s="34">
        <f>IF($K1415=1,INDEX(Mensal!$D$2:$D$245,MATCH($I1415,Mensal!$A$2:$A$245,0)),"")</f>
        <v/>
      </c>
      <c r="N1415" s="34">
        <f>IF($K1415=1,L1415-M1415,"")</f>
        <v/>
      </c>
      <c r="O1415" s="34" t="n">
        <v>0.0004088399999999999</v>
      </c>
      <c r="P1415" s="34">
        <f>IF($J1415=1,LN(1+O1415),"")</f>
        <v/>
      </c>
      <c r="Q1415" s="34">
        <f>IF($J1415=1,LN(R1416/R1415),"")</f>
        <v/>
      </c>
      <c r="R1415" s="32" t="n">
        <v>1.8566</v>
      </c>
      <c r="S1415" s="35" t="n">
        <v>10.181</v>
      </c>
      <c r="T1415" s="18" t="n"/>
      <c r="U1415" s="18" t="n"/>
      <c r="V1415" s="18" t="n">
        <v>57669</v>
      </c>
      <c r="W1415" s="18" t="n"/>
      <c r="X1415" s="35" t="n"/>
      <c r="Y1415" s="35" t="n">
        <v>10.181</v>
      </c>
    </row>
    <row r="1416">
      <c r="A1416" s="25" t="n">
        <v>40904</v>
      </c>
      <c r="B1416" s="18" t="n">
        <v>58005</v>
      </c>
      <c r="C1416" s="31" t="n"/>
      <c r="D1416" s="32" t="n"/>
      <c r="E1416" s="33" t="n">
        <v>-0.4559</v>
      </c>
      <c r="F1416" t="inlineStr">
        <is>
          <t>Down</t>
        </is>
      </c>
      <c r="G1416" t="inlineStr">
        <is>
          <t>Down</t>
        </is>
      </c>
      <c r="H1416" t="inlineStr">
        <is>
          <t>ED_JD</t>
        </is>
      </c>
      <c r="I1416" t="inlineStr">
        <is>
          <t>2011-12</t>
        </is>
      </c>
      <c r="J1416" t="n">
        <v>1</v>
      </c>
      <c r="K1416" t="n">
        <v>1</v>
      </c>
      <c r="L1416" s="34">
        <f>IF($J1416=1,LN(B1417/B1416),"")</f>
        <v/>
      </c>
      <c r="M1416" s="34">
        <f>IF($K1416=1,INDEX(Mensal!$D$2:$D$245,MATCH($I1416,Mensal!$A$2:$A$245,0)),"")</f>
        <v/>
      </c>
      <c r="N1416" s="34">
        <f>IF($K1416=1,L1416-M1416,"")</f>
        <v/>
      </c>
      <c r="O1416" s="34" t="n">
        <v>0.0004092</v>
      </c>
      <c r="P1416" s="34">
        <f>IF($J1416=1,LN(1+O1416),"")</f>
        <v/>
      </c>
      <c r="Q1416" s="34">
        <f>IF($J1416=1,LN(R1417/R1416),"")</f>
        <v/>
      </c>
      <c r="R1416" s="32" t="n">
        <v>1.8585</v>
      </c>
      <c r="S1416" s="35" t="n">
        <v>10.1</v>
      </c>
      <c r="T1416" s="18" t="n"/>
      <c r="U1416" s="18" t="n"/>
      <c r="V1416" s="18" t="n">
        <v>58005</v>
      </c>
      <c r="W1416" s="18" t="n"/>
      <c r="X1416" s="35" t="n"/>
      <c r="Y1416" s="35" t="n">
        <v>10.1</v>
      </c>
    </row>
    <row r="1417">
      <c r="A1417" s="25" t="n">
        <v>40905</v>
      </c>
      <c r="B1417" s="18" t="n">
        <v>56533</v>
      </c>
      <c r="C1417" s="31" t="n"/>
      <c r="D1417" s="32" t="n"/>
      <c r="E1417" s="33" t="n">
        <v>-0.4559</v>
      </c>
      <c r="F1417" t="inlineStr">
        <is>
          <t>Down</t>
        </is>
      </c>
      <c r="G1417" t="inlineStr">
        <is>
          <t>Down</t>
        </is>
      </c>
      <c r="H1417" t="inlineStr">
        <is>
          <t>ED_JD</t>
        </is>
      </c>
      <c r="I1417" t="inlineStr">
        <is>
          <t>2011-12</t>
        </is>
      </c>
      <c r="J1417" t="n">
        <v>1</v>
      </c>
      <c r="K1417" t="n">
        <v>1</v>
      </c>
      <c r="L1417" s="34">
        <f>IF($J1417=1,LN(B1418/B1417),"")</f>
        <v/>
      </c>
      <c r="M1417" s="34">
        <f>IF($K1417=1,INDEX(Mensal!$D$2:$D$245,MATCH($I1417,Mensal!$A$2:$A$245,0)),"")</f>
        <v/>
      </c>
      <c r="N1417" s="34">
        <f>IF($K1417=1,L1417-M1417,"")</f>
        <v/>
      </c>
      <c r="O1417" s="34" t="n">
        <v>0.0004088399999999999</v>
      </c>
      <c r="P1417" s="34">
        <f>IF($J1417=1,LN(1+O1417),"")</f>
        <v/>
      </c>
      <c r="Q1417" s="34">
        <f>IF($J1417=1,LN(R1418/R1417),"")</f>
        <v/>
      </c>
      <c r="R1417" s="32" t="n">
        <v>1.8634</v>
      </c>
      <c r="S1417" s="35" t="n">
        <v>10.062</v>
      </c>
      <c r="T1417" s="18" t="n"/>
      <c r="U1417" s="18" t="n"/>
      <c r="V1417" s="18" t="n">
        <v>56533</v>
      </c>
      <c r="W1417" s="18" t="n"/>
      <c r="X1417" s="35" t="n"/>
      <c r="Y1417" s="35" t="n">
        <v>10.062</v>
      </c>
    </row>
    <row r="1418">
      <c r="A1418" s="25" t="n">
        <v>40906</v>
      </c>
      <c r="B1418" s="18" t="n">
        <v>56754</v>
      </c>
      <c r="C1418" s="31" t="n"/>
      <c r="D1418" s="32" t="n"/>
      <c r="E1418" s="33" t="n">
        <v>-0.4543</v>
      </c>
      <c r="F1418" t="inlineStr">
        <is>
          <t>Down</t>
        </is>
      </c>
      <c r="G1418" t="inlineStr">
        <is>
          <t>Down</t>
        </is>
      </c>
      <c r="H1418" t="inlineStr">
        <is>
          <t>ED_JD</t>
        </is>
      </c>
      <c r="I1418" t="inlineStr">
        <is>
          <t>2011-12</t>
        </is>
      </c>
      <c r="J1418" t="n">
        <v>1</v>
      </c>
      <c r="K1418" t="n">
        <v>1</v>
      </c>
      <c r="L1418" s="34">
        <f>IF($J1418=1,LN(B1419/B1418),"")</f>
        <v/>
      </c>
      <c r="M1418" s="34">
        <f>IF($K1418=1,INDEX(Mensal!$D$2:$D$245,MATCH($I1418,Mensal!$A$2:$A$245,0)),"")</f>
        <v/>
      </c>
      <c r="N1418" s="34">
        <f>IF($K1418=1,L1418-M1418,"")</f>
        <v/>
      </c>
      <c r="O1418" s="34" t="n">
        <v>0.00040956</v>
      </c>
      <c r="P1418" s="34">
        <f>IF($J1418=1,LN(1+O1418),"")</f>
        <v/>
      </c>
      <c r="Q1418" s="34">
        <f>IF($J1418=1,LN(R1419/R1418),"")</f>
        <v/>
      </c>
      <c r="R1418" s="32" t="n">
        <v>1.8758</v>
      </c>
      <c r="S1418" s="35" t="n">
        <v>10.04</v>
      </c>
      <c r="T1418" s="18" t="n"/>
      <c r="U1418" s="18" t="n"/>
      <c r="V1418" s="18" t="n">
        <v>56754</v>
      </c>
      <c r="W1418" s="18" t="n"/>
      <c r="X1418" s="35" t="n"/>
      <c r="Y1418" s="35" t="n">
        <v>10.04</v>
      </c>
    </row>
    <row r="1419">
      <c r="A1419" s="25" t="n">
        <v>40910</v>
      </c>
      <c r="B1419" s="18" t="n">
        <v>57829</v>
      </c>
      <c r="C1419" s="31" t="n"/>
      <c r="D1419" s="32" t="n"/>
      <c r="E1419" s="33" t="n">
        <v>-0.3972</v>
      </c>
      <c r="F1419" t="inlineStr">
        <is>
          <t>Down</t>
        </is>
      </c>
      <c r="G1419" t="inlineStr">
        <is>
          <t>Down</t>
        </is>
      </c>
      <c r="H1419" t="inlineStr">
        <is>
          <t>ED_JD</t>
        </is>
      </c>
      <c r="I1419" t="inlineStr">
        <is>
          <t>2012-01</t>
        </is>
      </c>
      <c r="J1419" t="n">
        <v>1</v>
      </c>
      <c r="K1419" t="n">
        <v>1</v>
      </c>
      <c r="L1419" s="34">
        <f>IF($J1419=1,LN(B1420/B1419),"")</f>
        <v/>
      </c>
      <c r="M1419" s="34">
        <f>IF($K1419=1,INDEX(Mensal!$D$2:$D$245,MATCH($I1419,Mensal!$A$2:$A$245,0)),"")</f>
        <v/>
      </c>
      <c r="N1419" s="34">
        <f>IF($K1419=1,L1419-M1419,"")</f>
        <v/>
      </c>
      <c r="O1419" s="34" t="n">
        <v>0.00041028</v>
      </c>
      <c r="P1419" s="34">
        <f>IF($J1419=1,LN(1+O1419),"")</f>
        <v/>
      </c>
      <c r="Q1419" s="34">
        <f>IF($J1419=1,LN(R1420/R1419),"")</f>
        <v/>
      </c>
      <c r="R1419" s="32" t="n">
        <v>1.8683</v>
      </c>
      <c r="S1419" s="35" t="n">
        <v>10.02</v>
      </c>
      <c r="T1419" s="18" t="n"/>
      <c r="U1419" s="18" t="n"/>
      <c r="V1419" s="18" t="n">
        <v>57829</v>
      </c>
      <c r="W1419" s="18" t="n"/>
      <c r="X1419" s="35" t="n"/>
      <c r="Y1419" s="35" t="n">
        <v>10.02</v>
      </c>
    </row>
    <row r="1420">
      <c r="A1420" s="25" t="n">
        <v>40911</v>
      </c>
      <c r="B1420" s="18" t="n">
        <v>59264</v>
      </c>
      <c r="C1420" s="31" t="n"/>
      <c r="D1420" s="32" t="n"/>
      <c r="E1420" s="33" t="n">
        <v>-0.3419</v>
      </c>
      <c r="F1420" t="inlineStr">
        <is>
          <t>Down</t>
        </is>
      </c>
      <c r="G1420" t="inlineStr">
        <is>
          <t>Down</t>
        </is>
      </c>
      <c r="H1420" t="inlineStr">
        <is>
          <t>ED_JD</t>
        </is>
      </c>
      <c r="I1420" t="inlineStr">
        <is>
          <t>2012-01</t>
        </is>
      </c>
      <c r="J1420" t="n">
        <v>1</v>
      </c>
      <c r="K1420" t="n">
        <v>1</v>
      </c>
      <c r="L1420" s="34">
        <f>IF($J1420=1,LN(B1421/B1420),"")</f>
        <v/>
      </c>
      <c r="M1420" s="34">
        <f>IF($K1420=1,INDEX(Mensal!$D$2:$D$245,MATCH($I1420,Mensal!$A$2:$A$245,0)),"")</f>
        <v/>
      </c>
      <c r="N1420" s="34">
        <f>IF($K1420=1,L1420-M1420,"")</f>
        <v/>
      </c>
      <c r="O1420" s="34" t="n">
        <v>0.00040992</v>
      </c>
      <c r="P1420" s="34">
        <f>IF($J1420=1,LN(1+O1420),"")</f>
        <v/>
      </c>
      <c r="Q1420" s="34">
        <f>IF($J1420=1,LN(R1421/R1420),"")</f>
        <v/>
      </c>
      <c r="R1420" s="32" t="n">
        <v>1.8457</v>
      </c>
      <c r="S1420" s="35" t="n">
        <v>10.04</v>
      </c>
      <c r="T1420" s="18" t="n"/>
      <c r="U1420" s="18" t="n"/>
      <c r="V1420" s="18" t="n">
        <v>59264</v>
      </c>
      <c r="W1420" s="18" t="n"/>
      <c r="X1420" s="35" t="n"/>
      <c r="Y1420" s="35" t="n">
        <v>10.04</v>
      </c>
    </row>
    <row r="1421">
      <c r="A1421" s="25" t="n">
        <v>40912</v>
      </c>
      <c r="B1421" s="18" t="n">
        <v>59364</v>
      </c>
      <c r="C1421" s="31" t="n"/>
      <c r="D1421" s="32" t="n"/>
      <c r="E1421" s="33" t="n">
        <v>-0.2894</v>
      </c>
      <c r="F1421" t="inlineStr">
        <is>
          <t>Down</t>
        </is>
      </c>
      <c r="G1421" t="inlineStr">
        <is>
          <t>Down</t>
        </is>
      </c>
      <c r="H1421" t="inlineStr">
        <is>
          <t>ED_JD</t>
        </is>
      </c>
      <c r="I1421" t="inlineStr">
        <is>
          <t>2012-01</t>
        </is>
      </c>
      <c r="J1421" t="n">
        <v>1</v>
      </c>
      <c r="K1421" t="n">
        <v>1</v>
      </c>
      <c r="L1421" s="34">
        <f>IF($J1421=1,LN(B1422/B1421),"")</f>
        <v/>
      </c>
      <c r="M1421" s="34">
        <f>IF($K1421=1,INDEX(Mensal!$D$2:$D$245,MATCH($I1421,Mensal!$A$2:$A$245,0)),"")</f>
        <v/>
      </c>
      <c r="N1421" s="34">
        <f>IF($K1421=1,L1421-M1421,"")</f>
        <v/>
      </c>
      <c r="O1421" s="34" t="n">
        <v>0.00040992</v>
      </c>
      <c r="P1421" s="34">
        <f>IF($J1421=1,LN(1+O1421),"")</f>
        <v/>
      </c>
      <c r="Q1421" s="34">
        <f>IF($J1421=1,LN(R1422/R1421),"")</f>
        <v/>
      </c>
      <c r="R1421" s="32" t="n">
        <v>1.8272</v>
      </c>
      <c r="S1421" s="35" t="n">
        <v>10.13</v>
      </c>
      <c r="T1421" s="18" t="n"/>
      <c r="U1421" s="18" t="n"/>
      <c r="V1421" s="18" t="n">
        <v>59364</v>
      </c>
      <c r="W1421" s="18" t="n"/>
      <c r="X1421" s="35" t="n"/>
      <c r="Y1421" s="35" t="n">
        <v>10.13</v>
      </c>
    </row>
    <row r="1422">
      <c r="A1422" s="25" t="n">
        <v>40913</v>
      </c>
      <c r="B1422" s="18" t="n">
        <v>58546</v>
      </c>
      <c r="C1422" s="31" t="n"/>
      <c r="D1422" s="32" t="n"/>
      <c r="E1422" s="33" t="n">
        <v>-0.2378</v>
      </c>
      <c r="F1422" t="inlineStr">
        <is>
          <t>Down</t>
        </is>
      </c>
      <c r="G1422" t="inlineStr">
        <is>
          <t>Down</t>
        </is>
      </c>
      <c r="H1422" t="inlineStr">
        <is>
          <t>ED_JD</t>
        </is>
      </c>
      <c r="I1422" t="inlineStr">
        <is>
          <t>2012-01</t>
        </is>
      </c>
      <c r="J1422" t="n">
        <v>1</v>
      </c>
      <c r="K1422" t="n">
        <v>1</v>
      </c>
      <c r="L1422" s="34">
        <f>IF($J1422=1,LN(B1423/B1422),"")</f>
        <v/>
      </c>
      <c r="M1422" s="34">
        <f>IF($K1422=1,INDEX(Mensal!$D$2:$D$245,MATCH($I1422,Mensal!$A$2:$A$245,0)),"")</f>
        <v/>
      </c>
      <c r="N1422" s="34">
        <f>IF($K1422=1,L1422-M1422,"")</f>
        <v/>
      </c>
      <c r="O1422" s="34" t="n">
        <v>0.0004088399999999999</v>
      </c>
      <c r="P1422" s="34">
        <f>IF($J1422=1,LN(1+O1422),"")</f>
        <v/>
      </c>
      <c r="Q1422" s="34">
        <f>IF($J1422=1,LN(R1423/R1422),"")</f>
        <v/>
      </c>
      <c r="R1422" s="32" t="n">
        <v>1.8371</v>
      </c>
      <c r="S1422" s="35" t="n">
        <v>10.15</v>
      </c>
      <c r="T1422" s="18" t="n"/>
      <c r="U1422" s="18" t="n"/>
      <c r="V1422" s="18" t="n">
        <v>58546</v>
      </c>
      <c r="W1422" s="18" t="n"/>
      <c r="X1422" s="35" t="n"/>
      <c r="Y1422" s="35" t="n">
        <v>10.15</v>
      </c>
    </row>
    <row r="1423">
      <c r="A1423" s="25" t="n">
        <v>40914</v>
      </c>
      <c r="B1423" s="18" t="n">
        <v>58600</v>
      </c>
      <c r="C1423" s="31" t="n"/>
      <c r="D1423" s="32" t="n"/>
      <c r="E1423" s="33" t="n">
        <v>-0.1926</v>
      </c>
      <c r="F1423" t="inlineStr">
        <is>
          <t>Down</t>
        </is>
      </c>
      <c r="G1423" t="inlineStr">
        <is>
          <t>Down</t>
        </is>
      </c>
      <c r="H1423" t="inlineStr">
        <is>
          <t>ED_JD</t>
        </is>
      </c>
      <c r="I1423" t="inlineStr">
        <is>
          <t>2012-01</t>
        </is>
      </c>
      <c r="J1423" t="n">
        <v>1</v>
      </c>
      <c r="K1423" t="n">
        <v>1</v>
      </c>
      <c r="L1423" s="34">
        <f>IF($J1423=1,LN(B1424/B1423),"")</f>
        <v/>
      </c>
      <c r="M1423" s="34">
        <f>IF($K1423=1,INDEX(Mensal!$D$2:$D$245,MATCH($I1423,Mensal!$A$2:$A$245,0)),"")</f>
        <v/>
      </c>
      <c r="N1423" s="34">
        <f>IF($K1423=1,L1423-M1423,"")</f>
        <v/>
      </c>
      <c r="O1423" s="34" t="n">
        <v>0.0004092</v>
      </c>
      <c r="P1423" s="34">
        <f>IF($J1423=1,LN(1+O1423),"")</f>
        <v/>
      </c>
      <c r="Q1423" s="34">
        <f>IF($J1423=1,LN(R1424/R1423),"")</f>
        <v/>
      </c>
      <c r="R1423" s="32" t="n">
        <v>1.8449</v>
      </c>
      <c r="S1423" s="35" t="n">
        <v>10.07</v>
      </c>
      <c r="T1423" s="18" t="n"/>
      <c r="U1423" s="18" t="n"/>
      <c r="V1423" s="18" t="n">
        <v>58600</v>
      </c>
      <c r="W1423" s="18" t="n"/>
      <c r="X1423" s="35" t="n"/>
      <c r="Y1423" s="35" t="n">
        <v>10.07</v>
      </c>
    </row>
    <row r="1424">
      <c r="A1424" s="25" t="n">
        <v>40917</v>
      </c>
      <c r="B1424" s="18" t="n">
        <v>59082</v>
      </c>
      <c r="C1424" s="31" t="n"/>
      <c r="D1424" s="32" t="n"/>
      <c r="E1424" s="33" t="n">
        <v>-0.1558</v>
      </c>
      <c r="F1424" t="inlineStr">
        <is>
          <t>Down</t>
        </is>
      </c>
      <c r="G1424" t="inlineStr">
        <is>
          <t>Down</t>
        </is>
      </c>
      <c r="H1424" t="inlineStr">
        <is>
          <t>ED_JD</t>
        </is>
      </c>
      <c r="I1424" t="inlineStr">
        <is>
          <t>2012-01</t>
        </is>
      </c>
      <c r="J1424" t="n">
        <v>1</v>
      </c>
      <c r="K1424" t="n">
        <v>1</v>
      </c>
      <c r="L1424" s="34">
        <f>IF($J1424=1,LN(B1425/B1424),"")</f>
        <v/>
      </c>
      <c r="M1424" s="34">
        <f>IF($K1424=1,INDEX(Mensal!$D$2:$D$245,MATCH($I1424,Mensal!$A$2:$A$245,0)),"")</f>
        <v/>
      </c>
      <c r="N1424" s="34">
        <f>IF($K1424=1,L1424-M1424,"")</f>
        <v/>
      </c>
      <c r="O1424" s="34" t="n">
        <v>0.00040777</v>
      </c>
      <c r="P1424" s="34">
        <f>IF($J1424=1,LN(1+O1424),"")</f>
        <v/>
      </c>
      <c r="Q1424" s="34">
        <f>IF($J1424=1,LN(R1425/R1424),"")</f>
        <v/>
      </c>
      <c r="R1424" s="32" t="n">
        <v>1.8442</v>
      </c>
      <c r="S1424" s="35" t="n">
        <v>10.042</v>
      </c>
      <c r="T1424" s="18" t="n"/>
      <c r="U1424" s="18" t="n"/>
      <c r="V1424" s="18" t="n">
        <v>59082</v>
      </c>
      <c r="W1424" s="18" t="n"/>
      <c r="X1424" s="35" t="n"/>
      <c r="Y1424" s="35" t="n">
        <v>10.042</v>
      </c>
    </row>
    <row r="1425">
      <c r="A1425" s="25" t="n">
        <v>40918</v>
      </c>
      <c r="B1425" s="18" t="n">
        <v>59805</v>
      </c>
      <c r="C1425" s="31" t="n"/>
      <c r="D1425" s="32" t="n"/>
      <c r="E1425" s="33" t="n">
        <v>-0.1194</v>
      </c>
      <c r="F1425" t="inlineStr">
        <is>
          <t>Down</t>
        </is>
      </c>
      <c r="G1425" t="inlineStr">
        <is>
          <t>Down</t>
        </is>
      </c>
      <c r="H1425" t="inlineStr">
        <is>
          <t>ED_JD</t>
        </is>
      </c>
      <c r="I1425" t="inlineStr">
        <is>
          <t>2012-01</t>
        </is>
      </c>
      <c r="J1425" t="n">
        <v>1</v>
      </c>
      <c r="K1425" t="n">
        <v>1</v>
      </c>
      <c r="L1425" s="34">
        <f>IF($J1425=1,LN(B1426/B1425),"")</f>
        <v/>
      </c>
      <c r="M1425" s="34">
        <f>IF($K1425=1,INDEX(Mensal!$D$2:$D$245,MATCH($I1425,Mensal!$A$2:$A$245,0)),"")</f>
        <v/>
      </c>
      <c r="N1425" s="34">
        <f>IF($K1425=1,L1425-M1425,"")</f>
        <v/>
      </c>
      <c r="O1425" s="34" t="n">
        <v>0.00040813</v>
      </c>
      <c r="P1425" s="34">
        <f>IF($J1425=1,LN(1+O1425),"")</f>
        <v/>
      </c>
      <c r="Q1425" s="34">
        <f>IF($J1425=1,LN(R1426/R1425),"")</f>
        <v/>
      </c>
      <c r="R1425" s="32" t="n">
        <v>1.8042</v>
      </c>
      <c r="S1425" s="35" t="n">
        <v>10.004</v>
      </c>
      <c r="T1425" s="18" t="n"/>
      <c r="U1425" s="18" t="n"/>
      <c r="V1425" s="18" t="n">
        <v>59805</v>
      </c>
      <c r="W1425" s="18" t="n"/>
      <c r="X1425" s="35" t="n"/>
      <c r="Y1425" s="35" t="n">
        <v>10.004</v>
      </c>
    </row>
    <row r="1426">
      <c r="A1426" s="25" t="n">
        <v>40919</v>
      </c>
      <c r="B1426" s="18" t="n">
        <v>59962</v>
      </c>
      <c r="C1426" s="31" t="n"/>
      <c r="D1426" s="32" t="n"/>
      <c r="E1426" s="33" t="n">
        <v>-0.08939999999999999</v>
      </c>
      <c r="F1426" t="inlineStr">
        <is>
          <t>Down</t>
        </is>
      </c>
      <c r="G1426" t="inlineStr">
        <is>
          <t>Down</t>
        </is>
      </c>
      <c r="H1426" t="inlineStr">
        <is>
          <t>ED_JD</t>
        </is>
      </c>
      <c r="I1426" t="inlineStr">
        <is>
          <t>2012-01</t>
        </is>
      </c>
      <c r="J1426" t="n">
        <v>1</v>
      </c>
      <c r="K1426" t="n">
        <v>1</v>
      </c>
      <c r="L1426" s="34">
        <f>IF($J1426=1,LN(B1427/B1426),"")</f>
        <v/>
      </c>
      <c r="M1426" s="34">
        <f>IF($K1426=1,INDEX(Mensal!$D$2:$D$245,MATCH($I1426,Mensal!$A$2:$A$245,0)),"")</f>
        <v/>
      </c>
      <c r="N1426" s="34">
        <f>IF($K1426=1,L1426-M1426,"")</f>
        <v/>
      </c>
      <c r="O1426" s="34" t="n">
        <v>0.00040777</v>
      </c>
      <c r="P1426" s="34">
        <f>IF($J1426=1,LN(1+O1426),"")</f>
        <v/>
      </c>
      <c r="Q1426" s="34">
        <f>IF($J1426=1,LN(R1427/R1426),"")</f>
        <v/>
      </c>
      <c r="R1426" s="32" t="n">
        <v>1.8048</v>
      </c>
      <c r="S1426" s="35" t="n">
        <v>10.016</v>
      </c>
      <c r="T1426" s="18" t="n"/>
      <c r="U1426" s="18" t="n"/>
      <c r="V1426" s="18" t="n">
        <v>59962</v>
      </c>
      <c r="W1426" s="18" t="n"/>
      <c r="X1426" s="35" t="n"/>
      <c r="Y1426" s="35" t="n">
        <v>10.016</v>
      </c>
    </row>
    <row r="1427">
      <c r="A1427" s="25" t="n">
        <v>40920</v>
      </c>
      <c r="B1427" s="18" t="n">
        <v>59920</v>
      </c>
      <c r="C1427" s="31" t="n"/>
      <c r="D1427" s="32" t="n"/>
      <c r="E1427" s="33" t="n">
        <v>-0.0593</v>
      </c>
      <c r="F1427" t="inlineStr">
        <is>
          <t>Down</t>
        </is>
      </c>
      <c r="G1427" t="inlineStr">
        <is>
          <t>Down</t>
        </is>
      </c>
      <c r="H1427" t="inlineStr">
        <is>
          <t>ED_JD</t>
        </is>
      </c>
      <c r="I1427" t="inlineStr">
        <is>
          <t>2012-01</t>
        </is>
      </c>
      <c r="J1427" t="n">
        <v>1</v>
      </c>
      <c r="K1427" t="n">
        <v>1</v>
      </c>
      <c r="L1427" s="34">
        <f>IF($J1427=1,LN(B1428/B1427),"")</f>
        <v/>
      </c>
      <c r="M1427" s="34">
        <f>IF($K1427=1,INDEX(Mensal!$D$2:$D$245,MATCH($I1427,Mensal!$A$2:$A$245,0)),"")</f>
        <v/>
      </c>
      <c r="N1427" s="34">
        <f>IF($K1427=1,L1427-M1427,"")</f>
        <v/>
      </c>
      <c r="O1427" s="34" t="n">
        <v>0.00040741</v>
      </c>
      <c r="P1427" s="34">
        <f>IF($J1427=1,LN(1+O1427),"")</f>
        <v/>
      </c>
      <c r="Q1427" s="34">
        <f>IF($J1427=1,LN(R1428/R1427),"")</f>
        <v/>
      </c>
      <c r="R1427" s="32" t="n">
        <v>1.7874</v>
      </c>
      <c r="S1427" s="35" t="n">
        <v>10.056</v>
      </c>
      <c r="T1427" s="18" t="n"/>
      <c r="U1427" s="18" t="n"/>
      <c r="V1427" s="18" t="n">
        <v>59920</v>
      </c>
      <c r="W1427" s="18" t="n"/>
      <c r="X1427" s="35" t="n"/>
      <c r="Y1427" s="35" t="n">
        <v>10.056</v>
      </c>
    </row>
    <row r="1428">
      <c r="A1428" s="25" t="n">
        <v>40921</v>
      </c>
      <c r="B1428" s="18" t="n">
        <v>59146</v>
      </c>
      <c r="C1428" s="31" t="n"/>
      <c r="D1428" s="32" t="n"/>
      <c r="E1428" s="33" t="n">
        <v>-0.0243</v>
      </c>
      <c r="F1428" t="inlineStr">
        <is>
          <t>Down</t>
        </is>
      </c>
      <c r="G1428" t="inlineStr">
        <is>
          <t>Down</t>
        </is>
      </c>
      <c r="H1428" t="inlineStr">
        <is>
          <t>ED_JD</t>
        </is>
      </c>
      <c r="I1428" t="inlineStr">
        <is>
          <t>2012-01</t>
        </is>
      </c>
      <c r="J1428" t="n">
        <v>1</v>
      </c>
      <c r="K1428" t="n">
        <v>1</v>
      </c>
      <c r="L1428" s="34">
        <f>IF($J1428=1,LN(B1429/B1428),"")</f>
        <v/>
      </c>
      <c r="M1428" s="34">
        <f>IF($K1428=1,INDEX(Mensal!$D$2:$D$245,MATCH($I1428,Mensal!$A$2:$A$245,0)),"")</f>
        <v/>
      </c>
      <c r="N1428" s="34">
        <f>IF($K1428=1,L1428-M1428,"")</f>
        <v/>
      </c>
      <c r="O1428" s="34" t="n">
        <v>0.00040777</v>
      </c>
      <c r="P1428" s="34">
        <f>IF($J1428=1,LN(1+O1428),"")</f>
        <v/>
      </c>
      <c r="Q1428" s="34">
        <f>IF($J1428=1,LN(R1429/R1428),"")</f>
        <v/>
      </c>
      <c r="R1428" s="32" t="n">
        <v>1.7853</v>
      </c>
      <c r="S1428" s="35" t="n">
        <v>10.016</v>
      </c>
      <c r="T1428" s="18" t="n"/>
      <c r="U1428" s="18" t="n"/>
      <c r="V1428" s="18" t="n">
        <v>59146</v>
      </c>
      <c r="W1428" s="18" t="n"/>
      <c r="X1428" s="35" t="n"/>
      <c r="Y1428" s="35" t="n">
        <v>10.016</v>
      </c>
    </row>
    <row r="1429">
      <c r="A1429" s="25" t="n">
        <v>40924</v>
      </c>
      <c r="B1429" s="18" t="n">
        <v>59956</v>
      </c>
      <c r="C1429" s="31" t="n"/>
      <c r="D1429" s="32" t="n"/>
      <c r="E1429" s="33" t="n">
        <v>0.0139</v>
      </c>
      <c r="F1429" t="inlineStr">
        <is>
          <t>Down</t>
        </is>
      </c>
      <c r="G1429" t="inlineStr">
        <is>
          <t>Down</t>
        </is>
      </c>
      <c r="H1429" t="inlineStr">
        <is>
          <t>ED_JD</t>
        </is>
      </c>
      <c r="I1429" t="inlineStr">
        <is>
          <t>2012-01</t>
        </is>
      </c>
      <c r="J1429" t="n">
        <v>1</v>
      </c>
      <c r="K1429" t="n">
        <v>1</v>
      </c>
      <c r="L1429" s="34">
        <f>IF($J1429=1,LN(B1430/B1429),"")</f>
        <v/>
      </c>
      <c r="M1429" s="34">
        <f>IF($K1429=1,INDEX(Mensal!$D$2:$D$245,MATCH($I1429,Mensal!$A$2:$A$245,0)),"")</f>
        <v/>
      </c>
      <c r="N1429" s="34">
        <f>IF($K1429=1,L1429-M1429,"")</f>
        <v/>
      </c>
      <c r="O1429" s="34" t="n">
        <v>0.00040777</v>
      </c>
      <c r="P1429" s="34">
        <f>IF($J1429=1,LN(1+O1429),"")</f>
        <v/>
      </c>
      <c r="Q1429" s="34">
        <f>IF($J1429=1,LN(R1430/R1429),"")</f>
        <v/>
      </c>
      <c r="R1429" s="32" t="n">
        <v>1.7836</v>
      </c>
      <c r="S1429" s="35" t="n">
        <v>10.031</v>
      </c>
      <c r="T1429" s="18" t="n"/>
      <c r="U1429" s="18" t="n"/>
      <c r="V1429" s="18" t="n">
        <v>59956</v>
      </c>
      <c r="W1429" s="18" t="n"/>
      <c r="X1429" s="35" t="n"/>
      <c r="Y1429" s="35" t="n">
        <v>10.031</v>
      </c>
    </row>
    <row r="1430">
      <c r="A1430" s="25" t="n">
        <v>40925</v>
      </c>
      <c r="B1430" s="18" t="n">
        <v>60645</v>
      </c>
      <c r="C1430" s="31" t="n"/>
      <c r="D1430" s="32" t="n"/>
      <c r="E1430" s="33" t="n">
        <v>0.059</v>
      </c>
      <c r="F1430" t="inlineStr">
        <is>
          <t>Down</t>
        </is>
      </c>
      <c r="G1430" t="inlineStr">
        <is>
          <t>Down</t>
        </is>
      </c>
      <c r="H1430" t="inlineStr">
        <is>
          <t>ED_JD</t>
        </is>
      </c>
      <c r="I1430" t="inlineStr">
        <is>
          <t>2012-01</t>
        </is>
      </c>
      <c r="J1430" t="n">
        <v>1</v>
      </c>
      <c r="K1430" t="n">
        <v>1</v>
      </c>
      <c r="L1430" s="34">
        <f>IF($J1430=1,LN(B1431/B1430),"")</f>
        <v/>
      </c>
      <c r="M1430" s="34">
        <f>IF($K1430=1,INDEX(Mensal!$D$2:$D$245,MATCH($I1430,Mensal!$A$2:$A$245,0)),"")</f>
        <v/>
      </c>
      <c r="N1430" s="34">
        <f>IF($K1430=1,L1430-M1430,"")</f>
        <v/>
      </c>
      <c r="O1430" s="34" t="n">
        <v>0.00040741</v>
      </c>
      <c r="P1430" s="34">
        <f>IF($J1430=1,LN(1+O1430),"")</f>
        <v/>
      </c>
      <c r="Q1430" s="34">
        <f>IF($J1430=1,LN(R1431/R1430),"")</f>
        <v/>
      </c>
      <c r="R1430" s="32" t="n">
        <v>1.776</v>
      </c>
      <c r="S1430" s="35" t="n">
        <v>10.073</v>
      </c>
      <c r="T1430" s="18" t="n"/>
      <c r="U1430" s="18" t="n"/>
      <c r="V1430" s="18" t="n">
        <v>60645</v>
      </c>
      <c r="W1430" s="18" t="n"/>
      <c r="X1430" s="35" t="n"/>
      <c r="Y1430" s="35" t="n">
        <v>10.073</v>
      </c>
    </row>
    <row r="1431">
      <c r="A1431" s="25" t="n">
        <v>40926</v>
      </c>
      <c r="B1431" s="18" t="n">
        <v>61722</v>
      </c>
      <c r="C1431" s="31" t="n"/>
      <c r="D1431" s="32" t="n"/>
      <c r="E1431" s="33" t="n">
        <v>0.1058</v>
      </c>
      <c r="F1431" t="inlineStr">
        <is>
          <t>Down</t>
        </is>
      </c>
      <c r="G1431" t="inlineStr">
        <is>
          <t>Down</t>
        </is>
      </c>
      <c r="H1431" t="inlineStr">
        <is>
          <t>ED_JD</t>
        </is>
      </c>
      <c r="I1431" t="inlineStr">
        <is>
          <t>2012-01</t>
        </is>
      </c>
      <c r="J1431" t="n">
        <v>1</v>
      </c>
      <c r="K1431" t="n">
        <v>1</v>
      </c>
      <c r="L1431" s="34">
        <f>IF($J1431=1,LN(B1432/B1431),"")</f>
        <v/>
      </c>
      <c r="M1431" s="34">
        <f>IF($K1431=1,INDEX(Mensal!$D$2:$D$245,MATCH($I1431,Mensal!$A$2:$A$245,0)),"")</f>
        <v/>
      </c>
      <c r="N1431" s="34">
        <f>IF($K1431=1,L1431-M1431,"")</f>
        <v/>
      </c>
      <c r="O1431" s="34" t="n">
        <v>0.00040705</v>
      </c>
      <c r="P1431" s="34">
        <f>IF($J1431=1,LN(1+O1431),"")</f>
        <v/>
      </c>
      <c r="Q1431" s="34">
        <f>IF($J1431=1,LN(R1432/R1431),"")</f>
        <v/>
      </c>
      <c r="R1431" s="32" t="n">
        <v>1.7791</v>
      </c>
      <c r="S1431" s="35" t="n">
        <v>10.006</v>
      </c>
      <c r="T1431" s="18" t="n"/>
      <c r="U1431" s="18" t="n"/>
      <c r="V1431" s="18" t="n">
        <v>61722</v>
      </c>
      <c r="W1431" s="18" t="n"/>
      <c r="X1431" s="35" t="n"/>
      <c r="Y1431" s="35" t="n">
        <v>10.006</v>
      </c>
    </row>
    <row r="1432">
      <c r="A1432" s="25" t="n">
        <v>40927</v>
      </c>
      <c r="B1432" s="18" t="n">
        <v>61926</v>
      </c>
      <c r="C1432" s="31" t="n"/>
      <c r="D1432" s="32" t="n"/>
      <c r="E1432" s="33" t="n">
        <v>0.1504</v>
      </c>
      <c r="F1432" t="inlineStr">
        <is>
          <t>Down</t>
        </is>
      </c>
      <c r="G1432" t="inlineStr">
        <is>
          <t>Down</t>
        </is>
      </c>
      <c r="H1432" t="inlineStr">
        <is>
          <t>ED_JD</t>
        </is>
      </c>
      <c r="I1432" t="inlineStr">
        <is>
          <t>2012-01</t>
        </is>
      </c>
      <c r="J1432" t="n">
        <v>1</v>
      </c>
      <c r="K1432" t="n">
        <v>1</v>
      </c>
      <c r="L1432" s="34">
        <f>IF($J1432=1,LN(B1433/B1432),"")</f>
        <v/>
      </c>
      <c r="M1432" s="34">
        <f>IF($K1432=1,INDEX(Mensal!$D$2:$D$245,MATCH($I1432,Mensal!$A$2:$A$245,0)),"")</f>
        <v/>
      </c>
      <c r="N1432" s="34">
        <f>IF($K1432=1,L1432-M1432,"")</f>
        <v/>
      </c>
      <c r="O1432" s="34" t="n">
        <v>0.00038946</v>
      </c>
      <c r="P1432" s="34">
        <f>IF($J1432=1,LN(1+O1432),"")</f>
        <v/>
      </c>
      <c r="Q1432" s="34">
        <f>IF($J1432=1,LN(R1433/R1432),"")</f>
        <v/>
      </c>
      <c r="R1432" s="32" t="n">
        <v>1.7648</v>
      </c>
      <c r="S1432" s="35" t="n">
        <v>9.896000000000001</v>
      </c>
      <c r="T1432" s="18" t="n"/>
      <c r="U1432" s="18" t="n"/>
      <c r="V1432" s="18" t="n">
        <v>61926</v>
      </c>
      <c r="W1432" s="18" t="n"/>
      <c r="X1432" s="35" t="n"/>
      <c r="Y1432" s="35" t="n">
        <v>9.896000000000001</v>
      </c>
    </row>
    <row r="1433">
      <c r="A1433" s="25" t="n">
        <v>40928</v>
      </c>
      <c r="B1433" s="18" t="n">
        <v>62312</v>
      </c>
      <c r="C1433" s="31" t="n"/>
      <c r="D1433" s="32" t="n"/>
      <c r="E1433" s="33" t="n">
        <v>0.1956</v>
      </c>
      <c r="F1433" t="inlineStr">
        <is>
          <t>Down</t>
        </is>
      </c>
      <c r="G1433" t="inlineStr">
        <is>
          <t>Down</t>
        </is>
      </c>
      <c r="H1433" t="inlineStr">
        <is>
          <t>ED_JD</t>
        </is>
      </c>
      <c r="I1433" t="inlineStr">
        <is>
          <t>2012-01</t>
        </is>
      </c>
      <c r="J1433" t="n">
        <v>1</v>
      </c>
      <c r="K1433" t="n">
        <v>1</v>
      </c>
      <c r="L1433" s="34">
        <f>IF($J1433=1,LN(B1434/B1433),"")</f>
        <v/>
      </c>
      <c r="M1433" s="34">
        <f>IF($K1433=1,INDEX(Mensal!$D$2:$D$245,MATCH($I1433,Mensal!$A$2:$A$245,0)),"")</f>
        <v/>
      </c>
      <c r="N1433" s="34">
        <f>IF($K1433=1,L1433-M1433,"")</f>
        <v/>
      </c>
      <c r="O1433" s="34" t="n">
        <v>0.00038982</v>
      </c>
      <c r="P1433" s="34">
        <f>IF($J1433=1,LN(1+O1433),"")</f>
        <v/>
      </c>
      <c r="Q1433" s="34">
        <f>IF($J1433=1,LN(R1434/R1433),"")</f>
        <v/>
      </c>
      <c r="R1433" s="32" t="n">
        <v>1.767</v>
      </c>
      <c r="S1433" s="35" t="n">
        <v>9.837999999999999</v>
      </c>
      <c r="T1433" s="18" t="n"/>
      <c r="U1433" s="18" t="n"/>
      <c r="V1433" s="18" t="n">
        <v>62312</v>
      </c>
      <c r="W1433" s="18" t="n"/>
      <c r="X1433" s="35" t="n"/>
      <c r="Y1433" s="35" t="n">
        <v>9.837999999999999</v>
      </c>
    </row>
    <row r="1434">
      <c r="A1434" s="25" t="n">
        <v>40931</v>
      </c>
      <c r="B1434" s="18" t="n">
        <v>62386</v>
      </c>
      <c r="C1434" s="31" t="n"/>
      <c r="D1434" s="32" t="n"/>
      <c r="E1434" s="33" t="n">
        <v>0.2416</v>
      </c>
      <c r="F1434" t="inlineStr">
        <is>
          <t>Down</t>
        </is>
      </c>
      <c r="G1434" t="inlineStr">
        <is>
          <t>Down</t>
        </is>
      </c>
      <c r="H1434" t="inlineStr">
        <is>
          <t>ED_JD</t>
        </is>
      </c>
      <c r="I1434" t="inlineStr">
        <is>
          <t>2012-01</t>
        </is>
      </c>
      <c r="J1434" t="n">
        <v>1</v>
      </c>
      <c r="K1434" t="n">
        <v>1</v>
      </c>
      <c r="L1434" s="34">
        <f>IF($J1434=1,LN(B1435/B1434),"")</f>
        <v/>
      </c>
      <c r="M1434" s="34">
        <f>IF($K1434=1,INDEX(Mensal!$D$2:$D$245,MATCH($I1434,Mensal!$A$2:$A$245,0)),"")</f>
        <v/>
      </c>
      <c r="N1434" s="34">
        <f>IF($K1434=1,L1434-M1434,"")</f>
        <v/>
      </c>
      <c r="O1434" s="34" t="n">
        <v>0.00038982</v>
      </c>
      <c r="P1434" s="34">
        <f>IF($J1434=1,LN(1+O1434),"")</f>
        <v/>
      </c>
      <c r="Q1434" s="34">
        <f>IF($J1434=1,LN(R1435/R1434),"")</f>
        <v/>
      </c>
      <c r="R1434" s="32" t="n">
        <v>1.7528</v>
      </c>
      <c r="S1434" s="35" t="n">
        <v>9.884</v>
      </c>
      <c r="T1434" s="18" t="n"/>
      <c r="U1434" s="18" t="n"/>
      <c r="V1434" s="18" t="n">
        <v>62386</v>
      </c>
      <c r="W1434" s="18" t="n"/>
      <c r="X1434" s="35" t="n"/>
      <c r="Y1434" s="35" t="n">
        <v>9.884</v>
      </c>
    </row>
    <row r="1435">
      <c r="A1435" s="25" t="n">
        <v>40932</v>
      </c>
      <c r="B1435" s="18" t="n">
        <v>62486</v>
      </c>
      <c r="C1435" s="31" t="n"/>
      <c r="D1435" s="32" t="n"/>
      <c r="E1435" s="33" t="n">
        <v>0.2818</v>
      </c>
      <c r="F1435" t="inlineStr">
        <is>
          <t>Down</t>
        </is>
      </c>
      <c r="G1435" t="inlineStr">
        <is>
          <t>Down</t>
        </is>
      </c>
      <c r="H1435" t="inlineStr">
        <is>
          <t>ED_JD</t>
        </is>
      </c>
      <c r="I1435" t="inlineStr">
        <is>
          <t>2012-01</t>
        </is>
      </c>
      <c r="J1435" t="n">
        <v>1</v>
      </c>
      <c r="K1435" t="n">
        <v>1</v>
      </c>
      <c r="L1435" s="34">
        <f>IF($J1435=1,LN(B1436/B1435),"")</f>
        <v/>
      </c>
      <c r="M1435" s="34">
        <f>IF($K1435=1,INDEX(Mensal!$D$2:$D$245,MATCH($I1435,Mensal!$A$2:$A$245,0)),"")</f>
        <v/>
      </c>
      <c r="N1435" s="34">
        <f>IF($K1435=1,L1435-M1435,"")</f>
        <v/>
      </c>
      <c r="O1435" s="34" t="n">
        <v>0.00039018</v>
      </c>
      <c r="P1435" s="34">
        <f>IF($J1435=1,LN(1+O1435),"")</f>
        <v/>
      </c>
      <c r="Q1435" s="34">
        <f>IF($J1435=1,LN(R1436/R1435),"")</f>
        <v/>
      </c>
      <c r="R1435" s="32" t="n">
        <v>1.7649</v>
      </c>
      <c r="S1435" s="35" t="n">
        <v>9.869</v>
      </c>
      <c r="T1435" s="18" t="n"/>
      <c r="U1435" s="18" t="n"/>
      <c r="V1435" s="18" t="n">
        <v>62486</v>
      </c>
      <c r="W1435" s="18" t="n"/>
      <c r="X1435" s="35" t="n"/>
      <c r="Y1435" s="35" t="n">
        <v>9.869</v>
      </c>
    </row>
    <row r="1436">
      <c r="A1436" s="25" t="n">
        <v>40934</v>
      </c>
      <c r="B1436" s="18" t="n">
        <v>62953</v>
      </c>
      <c r="C1436" s="31" t="n"/>
      <c r="D1436" s="32" t="n"/>
      <c r="E1436" s="33" t="n">
        <v>0.3115</v>
      </c>
      <c r="F1436" t="inlineStr">
        <is>
          <t>Down</t>
        </is>
      </c>
      <c r="G1436" t="inlineStr">
        <is>
          <t>Down</t>
        </is>
      </c>
      <c r="H1436" t="inlineStr">
        <is>
          <t>ED_JD</t>
        </is>
      </c>
      <c r="I1436" t="inlineStr">
        <is>
          <t>2012-01</t>
        </is>
      </c>
      <c r="J1436" t="n">
        <v>1</v>
      </c>
      <c r="K1436" t="n">
        <v>1</v>
      </c>
      <c r="L1436" s="34">
        <f>IF($J1436=1,LN(B1437/B1436),"")</f>
        <v/>
      </c>
      <c r="M1436" s="34">
        <f>IF($K1436=1,INDEX(Mensal!$D$2:$D$245,MATCH($I1436,Mensal!$A$2:$A$245,0)),"")</f>
        <v/>
      </c>
      <c r="N1436" s="34">
        <f>IF($K1436=1,L1436-M1436,"")</f>
        <v/>
      </c>
      <c r="O1436" s="34" t="n">
        <v>0.00038946</v>
      </c>
      <c r="P1436" s="34">
        <f>IF($J1436=1,LN(1+O1436),"")</f>
        <v/>
      </c>
      <c r="Q1436" s="34">
        <f>IF($J1436=1,LN(R1437/R1436),"")</f>
        <v/>
      </c>
      <c r="R1436" s="32" t="n">
        <v>1.7389</v>
      </c>
      <c r="S1436" s="35" t="n">
        <v>9.683</v>
      </c>
      <c r="T1436" s="18" t="n"/>
      <c r="U1436" s="18" t="n"/>
      <c r="V1436" s="18" t="n">
        <v>62953</v>
      </c>
      <c r="W1436" s="18" t="n"/>
      <c r="X1436" s="35" t="n"/>
      <c r="Y1436" s="35" t="n">
        <v>9.683</v>
      </c>
    </row>
    <row r="1437">
      <c r="A1437" s="25" t="n">
        <v>40935</v>
      </c>
      <c r="B1437" s="18" t="n">
        <v>62904</v>
      </c>
      <c r="C1437" s="31" t="n"/>
      <c r="D1437" s="32" t="n"/>
      <c r="E1437" s="33" t="n">
        <v>0.3423</v>
      </c>
      <c r="F1437" t="inlineStr">
        <is>
          <t>Down</t>
        </is>
      </c>
      <c r="G1437" t="inlineStr">
        <is>
          <t>Down</t>
        </is>
      </c>
      <c r="H1437" t="inlineStr">
        <is>
          <t>ED_JD</t>
        </is>
      </c>
      <c r="I1437" t="inlineStr">
        <is>
          <t>2012-01</t>
        </is>
      </c>
      <c r="J1437" t="n">
        <v>1</v>
      </c>
      <c r="K1437" t="n">
        <v>1</v>
      </c>
      <c r="L1437" s="34">
        <f>IF($J1437=1,LN(B1438/B1437),"")</f>
        <v/>
      </c>
      <c r="M1437" s="34">
        <f>IF($K1437=1,INDEX(Mensal!$D$2:$D$245,MATCH($I1437,Mensal!$A$2:$A$245,0)),"")</f>
        <v/>
      </c>
      <c r="N1437" s="34">
        <f>IF($K1437=1,L1437-M1437,"")</f>
        <v/>
      </c>
      <c r="O1437" s="34" t="n">
        <v>0.0003891</v>
      </c>
      <c r="P1437" s="34">
        <f>IF($J1437=1,LN(1+O1437),"")</f>
        <v/>
      </c>
      <c r="Q1437" s="34">
        <f>IF($J1437=1,LN(R1438/R1437),"")</f>
        <v/>
      </c>
      <c r="R1437" s="32" t="n">
        <v>1.7436</v>
      </c>
      <c r="S1437" s="35" t="n">
        <v>9.628</v>
      </c>
      <c r="T1437" s="18" t="n"/>
      <c r="U1437" s="18" t="n"/>
      <c r="V1437" s="18" t="n">
        <v>62904</v>
      </c>
      <c r="W1437" s="18" t="n"/>
      <c r="X1437" s="35" t="n"/>
      <c r="Y1437" s="35" t="n">
        <v>9.628</v>
      </c>
    </row>
    <row r="1438">
      <c r="A1438" s="25" t="n">
        <v>40938</v>
      </c>
      <c r="B1438" s="18" t="n">
        <v>62770</v>
      </c>
      <c r="C1438" s="31" t="n"/>
      <c r="D1438" s="32" t="n"/>
      <c r="E1438" s="33" t="n">
        <v>0.3627</v>
      </c>
      <c r="F1438" t="inlineStr">
        <is>
          <t>Down</t>
        </is>
      </c>
      <c r="G1438" t="inlineStr">
        <is>
          <t>Down</t>
        </is>
      </c>
      <c r="H1438" t="inlineStr">
        <is>
          <t>ED_JD</t>
        </is>
      </c>
      <c r="I1438" t="inlineStr">
        <is>
          <t>2012-01</t>
        </is>
      </c>
      <c r="J1438" t="n">
        <v>1</v>
      </c>
      <c r="K1438" t="n">
        <v>1</v>
      </c>
      <c r="L1438" s="34">
        <f>IF($J1438=1,LN(B1439/B1438),"")</f>
        <v/>
      </c>
      <c r="M1438" s="34">
        <f>IF($K1438=1,INDEX(Mensal!$D$2:$D$245,MATCH($I1438,Mensal!$A$2:$A$245,0)),"")</f>
        <v/>
      </c>
      <c r="N1438" s="34">
        <f>IF($K1438=1,L1438-M1438,"")</f>
        <v/>
      </c>
      <c r="O1438" s="34" t="n">
        <v>0.0003891</v>
      </c>
      <c r="P1438" s="34">
        <f>IF($J1438=1,LN(1+O1438),"")</f>
        <v/>
      </c>
      <c r="Q1438" s="34">
        <f>IF($J1438=1,LN(R1439/R1438),"")</f>
        <v/>
      </c>
      <c r="R1438" s="32" t="n">
        <v>1.7509</v>
      </c>
      <c r="S1438" s="35" t="n">
        <v>9.532</v>
      </c>
      <c r="T1438" s="18" t="n"/>
      <c r="U1438" s="18" t="n"/>
      <c r="V1438" s="18" t="n">
        <v>62770</v>
      </c>
      <c r="W1438" s="18" t="n"/>
      <c r="X1438" s="35" t="n"/>
      <c r="Y1438" s="35" t="n">
        <v>9.532</v>
      </c>
    </row>
    <row r="1439">
      <c r="A1439" s="25" t="n">
        <v>40939</v>
      </c>
      <c r="B1439" s="18" t="n">
        <v>63072</v>
      </c>
      <c r="C1439" s="31" t="n"/>
      <c r="D1439" s="32" t="n"/>
      <c r="E1439" s="33" t="n">
        <v>0.3744</v>
      </c>
      <c r="F1439" t="inlineStr">
        <is>
          <t>Down</t>
        </is>
      </c>
      <c r="G1439" t="inlineStr">
        <is>
          <t>Down</t>
        </is>
      </c>
      <c r="H1439" t="inlineStr">
        <is>
          <t>ED_JD</t>
        </is>
      </c>
      <c r="I1439" t="inlineStr">
        <is>
          <t>2012-01</t>
        </is>
      </c>
      <c r="J1439" t="n">
        <v>1</v>
      </c>
      <c r="K1439" t="n">
        <v>1</v>
      </c>
      <c r="L1439" s="34">
        <f>IF($J1439=1,LN(B1440/B1439),"")</f>
        <v/>
      </c>
      <c r="M1439" s="34">
        <f>IF($K1439=1,INDEX(Mensal!$D$2:$D$245,MATCH($I1439,Mensal!$A$2:$A$245,0)),"")</f>
        <v/>
      </c>
      <c r="N1439" s="34">
        <f>IF($K1439=1,L1439-M1439,"")</f>
        <v/>
      </c>
      <c r="O1439" s="34" t="n">
        <v>0.00038946</v>
      </c>
      <c r="P1439" s="34">
        <f>IF($J1439=1,LN(1+O1439),"")</f>
        <v/>
      </c>
      <c r="Q1439" s="34">
        <f>IF($J1439=1,LN(R1440/R1439),"")</f>
        <v/>
      </c>
      <c r="R1439" s="32" t="n">
        <v>1.7391</v>
      </c>
      <c r="S1439" s="35" t="n">
        <v>9.550000000000001</v>
      </c>
      <c r="T1439" s="18" t="n"/>
      <c r="U1439" s="18" t="n"/>
      <c r="V1439" s="18" t="n">
        <v>63072</v>
      </c>
      <c r="W1439" s="18" t="n"/>
      <c r="X1439" s="35" t="n"/>
      <c r="Y1439" s="35" t="n">
        <v>9.550000000000001</v>
      </c>
    </row>
    <row r="1440">
      <c r="A1440" s="25" t="n">
        <v>40940</v>
      </c>
      <c r="B1440" s="18" t="n">
        <v>64567</v>
      </c>
      <c r="C1440" s="31" t="n"/>
      <c r="D1440" s="32" t="n"/>
      <c r="E1440" s="33" t="n">
        <v>0.3837</v>
      </c>
      <c r="F1440" t="inlineStr">
        <is>
          <t>Down</t>
        </is>
      </c>
      <c r="G1440" t="inlineStr">
        <is>
          <t>Down</t>
        </is>
      </c>
      <c r="H1440" t="inlineStr">
        <is>
          <t>ED_JD</t>
        </is>
      </c>
      <c r="I1440" t="inlineStr">
        <is>
          <t>2012-02</t>
        </is>
      </c>
      <c r="J1440" t="n">
        <v>1</v>
      </c>
      <c r="K1440" t="n">
        <v>1</v>
      </c>
      <c r="L1440" s="34">
        <f>IF($J1440=1,LN(B1441/B1440),"")</f>
        <v/>
      </c>
      <c r="M1440" s="34">
        <f>IF($K1440=1,INDEX(Mensal!$D$2:$D$245,MATCH($I1440,Mensal!$A$2:$A$245,0)),"")</f>
        <v/>
      </c>
      <c r="N1440" s="34">
        <f>IF($K1440=1,L1440-M1440,"")</f>
        <v/>
      </c>
      <c r="O1440" s="34" t="n">
        <v>0.0003891</v>
      </c>
      <c r="P1440" s="34">
        <f>IF($J1440=1,LN(1+O1440),"")</f>
        <v/>
      </c>
      <c r="Q1440" s="34">
        <f>IF($J1440=1,LN(R1441/R1440),"")</f>
        <v/>
      </c>
      <c r="R1440" s="32" t="n">
        <v>1.7376</v>
      </c>
      <c r="S1440" s="35" t="n">
        <v>9.518000000000001</v>
      </c>
      <c r="T1440" s="18" t="n"/>
      <c r="U1440" s="18" t="n"/>
      <c r="V1440" s="18" t="n">
        <v>64567</v>
      </c>
      <c r="W1440" s="18" t="n"/>
      <c r="X1440" s="35" t="n"/>
      <c r="Y1440" s="35" t="n">
        <v>9.518000000000001</v>
      </c>
    </row>
    <row r="1441">
      <c r="A1441" s="25" t="n">
        <v>40941</v>
      </c>
      <c r="B1441" s="18" t="n">
        <v>64593</v>
      </c>
      <c r="C1441" s="31" t="n"/>
      <c r="D1441" s="32" t="n"/>
      <c r="E1441" s="33" t="n">
        <v>0.3922</v>
      </c>
      <c r="F1441" t="inlineStr">
        <is>
          <t>Down</t>
        </is>
      </c>
      <c r="G1441" t="inlineStr">
        <is>
          <t>Down</t>
        </is>
      </c>
      <c r="H1441" t="inlineStr">
        <is>
          <t>ED_JD</t>
        </is>
      </c>
      <c r="I1441" t="inlineStr">
        <is>
          <t>2012-02</t>
        </is>
      </c>
      <c r="J1441" t="n">
        <v>1</v>
      </c>
      <c r="K1441" t="n">
        <v>1</v>
      </c>
      <c r="L1441" s="34">
        <f>IF($J1441=1,LN(B1442/B1441),"")</f>
        <v/>
      </c>
      <c r="M1441" s="34">
        <f>IF($K1441=1,INDEX(Mensal!$D$2:$D$245,MATCH($I1441,Mensal!$A$2:$A$245,0)),"")</f>
        <v/>
      </c>
      <c r="N1441" s="34">
        <f>IF($K1441=1,L1441-M1441,"")</f>
        <v/>
      </c>
      <c r="O1441" s="34" t="n">
        <v>0.0003891</v>
      </c>
      <c r="P1441" s="34">
        <f>IF($J1441=1,LN(1+O1441),"")</f>
        <v/>
      </c>
      <c r="Q1441" s="34">
        <f>IF($J1441=1,LN(R1442/R1441),"")</f>
        <v/>
      </c>
      <c r="R1441" s="32" t="n">
        <v>1.7326</v>
      </c>
      <c r="S1441" s="35" t="n">
        <v>9.468</v>
      </c>
      <c r="T1441" s="18" t="n"/>
      <c r="U1441" s="18" t="n"/>
      <c r="V1441" s="18" t="n">
        <v>64593</v>
      </c>
      <c r="W1441" s="18" t="n"/>
      <c r="X1441" s="35" t="n"/>
      <c r="Y1441" s="35" t="n">
        <v>9.468</v>
      </c>
    </row>
    <row r="1442">
      <c r="A1442" s="25" t="n">
        <v>40942</v>
      </c>
      <c r="B1442" s="18" t="n">
        <v>65217</v>
      </c>
      <c r="C1442" s="31" t="n"/>
      <c r="D1442" s="32" t="n"/>
      <c r="E1442" s="33" t="n">
        <v>0.4017</v>
      </c>
      <c r="F1442" t="inlineStr">
        <is>
          <t>Down</t>
        </is>
      </c>
      <c r="G1442" t="inlineStr">
        <is>
          <t>Down</t>
        </is>
      </c>
      <c r="H1442" t="inlineStr">
        <is>
          <t>ED_JD</t>
        </is>
      </c>
      <c r="I1442" t="inlineStr">
        <is>
          <t>2012-02</t>
        </is>
      </c>
      <c r="J1442" t="n">
        <v>1</v>
      </c>
      <c r="K1442" t="n">
        <v>1</v>
      </c>
      <c r="L1442" s="34">
        <f>IF($J1442=1,LN(B1443/B1442),"")</f>
        <v/>
      </c>
      <c r="M1442" s="34">
        <f>IF($K1442=1,INDEX(Mensal!$D$2:$D$245,MATCH($I1442,Mensal!$A$2:$A$245,0)),"")</f>
        <v/>
      </c>
      <c r="N1442" s="34">
        <f>IF($K1442=1,L1442-M1442,"")</f>
        <v/>
      </c>
      <c r="O1442" s="34" t="n">
        <v>0.00038982</v>
      </c>
      <c r="P1442" s="34">
        <f>IF($J1442=1,LN(1+O1442),"")</f>
        <v/>
      </c>
      <c r="Q1442" s="34">
        <f>IF($J1442=1,LN(R1443/R1442),"")</f>
        <v/>
      </c>
      <c r="R1442" s="32" t="n">
        <v>1.7223</v>
      </c>
      <c r="S1442" s="35" t="n">
        <v>9.518000000000001</v>
      </c>
      <c r="T1442" s="18" t="n"/>
      <c r="U1442" s="18" t="n"/>
      <c r="V1442" s="18" t="n">
        <v>65217</v>
      </c>
      <c r="W1442" s="18" t="n"/>
      <c r="X1442" s="35" t="n"/>
      <c r="Y1442" s="35" t="n">
        <v>9.518000000000001</v>
      </c>
    </row>
    <row r="1443">
      <c r="A1443" s="25" t="n">
        <v>40945</v>
      </c>
      <c r="B1443" s="18" t="n">
        <v>65223</v>
      </c>
      <c r="C1443" s="31" t="n"/>
      <c r="D1443" s="32" t="n"/>
      <c r="E1443" s="33" t="n">
        <v>0.4104</v>
      </c>
      <c r="F1443" t="inlineStr">
        <is>
          <t>Down</t>
        </is>
      </c>
      <c r="G1443" t="inlineStr">
        <is>
          <t>Down</t>
        </is>
      </c>
      <c r="H1443" t="inlineStr">
        <is>
          <t>ED_JD</t>
        </is>
      </c>
      <c r="I1443" t="inlineStr">
        <is>
          <t>2012-02</t>
        </is>
      </c>
      <c r="J1443" t="n">
        <v>1</v>
      </c>
      <c r="K1443" t="n">
        <v>1</v>
      </c>
      <c r="L1443" s="34">
        <f>IF($J1443=1,LN(B1444/B1443),"")</f>
        <v/>
      </c>
      <c r="M1443" s="34">
        <f>IF($K1443=1,INDEX(Mensal!$D$2:$D$245,MATCH($I1443,Mensal!$A$2:$A$245,0)),"")</f>
        <v/>
      </c>
      <c r="N1443" s="34">
        <f>IF($K1443=1,L1443-M1443,"")</f>
        <v/>
      </c>
      <c r="O1443" s="34" t="n">
        <v>0.0003891</v>
      </c>
      <c r="P1443" s="34">
        <f>IF($J1443=1,LN(1+O1443),"")</f>
        <v/>
      </c>
      <c r="Q1443" s="34">
        <f>IF($J1443=1,LN(R1444/R1443),"")</f>
        <v/>
      </c>
      <c r="R1443" s="32" t="n">
        <v>1.7249</v>
      </c>
      <c r="S1443" s="35" t="n">
        <v>9.52</v>
      </c>
      <c r="T1443" s="18" t="n"/>
      <c r="U1443" s="18" t="n"/>
      <c r="V1443" s="18" t="n">
        <v>65223</v>
      </c>
      <c r="W1443" s="18" t="n"/>
      <c r="X1443" s="35" t="n"/>
      <c r="Y1443" s="35" t="n">
        <v>9.52</v>
      </c>
    </row>
    <row r="1444">
      <c r="A1444" s="25" t="n">
        <v>40946</v>
      </c>
      <c r="B1444" s="18" t="n">
        <v>65917</v>
      </c>
      <c r="C1444" s="31" t="n"/>
      <c r="D1444" s="32" t="n"/>
      <c r="E1444" s="33" t="n">
        <v>0.4133</v>
      </c>
      <c r="F1444" t="inlineStr">
        <is>
          <t>Down</t>
        </is>
      </c>
      <c r="G1444" t="inlineStr">
        <is>
          <t>Down</t>
        </is>
      </c>
      <c r="H1444" t="inlineStr">
        <is>
          <t>ED_JD</t>
        </is>
      </c>
      <c r="I1444" t="inlineStr">
        <is>
          <t>2012-02</t>
        </is>
      </c>
      <c r="J1444" t="n">
        <v>1</v>
      </c>
      <c r="K1444" t="n">
        <v>1</v>
      </c>
      <c r="L1444" s="34">
        <f>IF($J1444=1,LN(B1445/B1444),"")</f>
        <v/>
      </c>
      <c r="M1444" s="34">
        <f>IF($K1444=1,INDEX(Mensal!$D$2:$D$245,MATCH($I1444,Mensal!$A$2:$A$245,0)),"")</f>
        <v/>
      </c>
      <c r="N1444" s="34">
        <f>IF($K1444=1,L1444-M1444,"")</f>
        <v/>
      </c>
      <c r="O1444" s="34" t="n">
        <v>0.0003891</v>
      </c>
      <c r="P1444" s="34">
        <f>IF($J1444=1,LN(1+O1444),"")</f>
        <v/>
      </c>
      <c r="Q1444" s="34">
        <f>IF($J1444=1,LN(R1445/R1444),"")</f>
        <v/>
      </c>
      <c r="R1444" s="32" t="n">
        <v>1.7261</v>
      </c>
      <c r="S1444" s="35" t="n">
        <v>9.475</v>
      </c>
      <c r="T1444" s="18" t="n"/>
      <c r="U1444" s="18" t="n"/>
      <c r="V1444" s="18" t="n">
        <v>65917</v>
      </c>
      <c r="W1444" s="18" t="n"/>
      <c r="X1444" s="35" t="n"/>
      <c r="Y1444" s="35" t="n">
        <v>9.475</v>
      </c>
    </row>
    <row r="1445">
      <c r="A1445" s="25" t="n">
        <v>40947</v>
      </c>
      <c r="B1445" s="18" t="n">
        <v>65831</v>
      </c>
      <c r="C1445" s="31" t="n"/>
      <c r="D1445" s="32" t="n"/>
      <c r="E1445" s="33" t="n">
        <v>0.4073</v>
      </c>
      <c r="F1445" t="inlineStr">
        <is>
          <t>Down</t>
        </is>
      </c>
      <c r="G1445" t="inlineStr">
        <is>
          <t>Down</t>
        </is>
      </c>
      <c r="H1445" t="inlineStr">
        <is>
          <t>ED_JD</t>
        </is>
      </c>
      <c r="I1445" t="inlineStr">
        <is>
          <t>2012-02</t>
        </is>
      </c>
      <c r="J1445" t="n">
        <v>1</v>
      </c>
      <c r="K1445" t="n">
        <v>1</v>
      </c>
      <c r="L1445" s="34">
        <f>IF($J1445=1,LN(B1446/B1445),"")</f>
        <v/>
      </c>
      <c r="M1445" s="34">
        <f>IF($K1445=1,INDEX(Mensal!$D$2:$D$245,MATCH($I1445,Mensal!$A$2:$A$245,0)),"")</f>
        <v/>
      </c>
      <c r="N1445" s="34">
        <f>IF($K1445=1,L1445-M1445,"")</f>
        <v/>
      </c>
      <c r="O1445" s="34" t="n">
        <v>0.00038874</v>
      </c>
      <c r="P1445" s="34">
        <f>IF($J1445=1,LN(1+O1445),"")</f>
        <v/>
      </c>
      <c r="Q1445" s="34">
        <f>IF($J1445=1,LN(R1446/R1445),"")</f>
        <v/>
      </c>
      <c r="R1445" s="32" t="n">
        <v>1.7195</v>
      </c>
      <c r="S1445" s="35" t="n">
        <v>9.412000000000001</v>
      </c>
      <c r="T1445" s="18" t="n"/>
      <c r="U1445" s="18" t="n"/>
      <c r="V1445" s="18" t="n">
        <v>65831</v>
      </c>
      <c r="W1445" s="18" t="n"/>
      <c r="X1445" s="35" t="n"/>
      <c r="Y1445" s="35" t="n">
        <v>9.412000000000001</v>
      </c>
    </row>
    <row r="1446">
      <c r="A1446" s="25" t="n">
        <v>40948</v>
      </c>
      <c r="B1446" s="18" t="n">
        <v>65530</v>
      </c>
      <c r="C1446" s="31" t="n"/>
      <c r="D1446" s="32" t="n"/>
      <c r="E1446" s="33" t="n">
        <v>0.3968</v>
      </c>
      <c r="F1446" t="inlineStr">
        <is>
          <t>Down</t>
        </is>
      </c>
      <c r="G1446" t="inlineStr">
        <is>
          <t>Down</t>
        </is>
      </c>
      <c r="H1446" t="inlineStr">
        <is>
          <t>ED_JD</t>
        </is>
      </c>
      <c r="I1446" t="inlineStr">
        <is>
          <t>2012-02</t>
        </is>
      </c>
      <c r="J1446" t="n">
        <v>1</v>
      </c>
      <c r="K1446" t="n">
        <v>1</v>
      </c>
      <c r="L1446" s="34">
        <f>IF($J1446=1,LN(B1447/B1446),"")</f>
        <v/>
      </c>
      <c r="M1446" s="34">
        <f>IF($K1446=1,INDEX(Mensal!$D$2:$D$245,MATCH($I1446,Mensal!$A$2:$A$245,0)),"")</f>
        <v/>
      </c>
      <c r="N1446" s="34">
        <f>IF($K1446=1,L1446-M1446,"")</f>
        <v/>
      </c>
      <c r="O1446" s="34" t="n">
        <v>0.0003891</v>
      </c>
      <c r="P1446" s="34">
        <f>IF($J1446=1,LN(1+O1446),"")</f>
        <v/>
      </c>
      <c r="Q1446" s="34">
        <f>IF($J1446=1,LN(R1447/R1446),"")</f>
        <v/>
      </c>
      <c r="R1446" s="32" t="n">
        <v>1.7225</v>
      </c>
      <c r="S1446" s="35" t="n">
        <v>9.348000000000001</v>
      </c>
      <c r="T1446" s="18" t="n"/>
      <c r="U1446" s="18" t="n"/>
      <c r="V1446" s="18" t="n">
        <v>65530</v>
      </c>
      <c r="W1446" s="18" t="n"/>
      <c r="X1446" s="35" t="n"/>
      <c r="Y1446" s="35" t="n">
        <v>9.348000000000001</v>
      </c>
    </row>
    <row r="1447">
      <c r="A1447" s="25" t="n">
        <v>40949</v>
      </c>
      <c r="B1447" s="18" t="n">
        <v>63997</v>
      </c>
      <c r="C1447" s="31" t="n"/>
      <c r="D1447" s="32" t="n"/>
      <c r="E1447" s="33" t="n">
        <v>0.3835</v>
      </c>
      <c r="F1447" t="inlineStr">
        <is>
          <t>Down</t>
        </is>
      </c>
      <c r="G1447" t="inlineStr">
        <is>
          <t>Down</t>
        </is>
      </c>
      <c r="H1447" t="inlineStr">
        <is>
          <t>ED_JD</t>
        </is>
      </c>
      <c r="I1447" t="inlineStr">
        <is>
          <t>2012-02</t>
        </is>
      </c>
      <c r="J1447" t="n">
        <v>1</v>
      </c>
      <c r="K1447" t="n">
        <v>1</v>
      </c>
      <c r="L1447" s="34">
        <f>IF($J1447=1,LN(B1448/B1447),"")</f>
        <v/>
      </c>
      <c r="M1447" s="34">
        <f>IF($K1447=1,INDEX(Mensal!$D$2:$D$245,MATCH($I1447,Mensal!$A$2:$A$245,0)),"")</f>
        <v/>
      </c>
      <c r="N1447" s="34">
        <f>IF($K1447=1,L1447-M1447,"")</f>
        <v/>
      </c>
      <c r="O1447" s="34" t="n">
        <v>0.0003891</v>
      </c>
      <c r="P1447" s="34">
        <f>IF($J1447=1,LN(1+O1447),"")</f>
        <v/>
      </c>
      <c r="Q1447" s="34">
        <f>IF($J1447=1,LN(R1448/R1447),"")</f>
        <v/>
      </c>
      <c r="R1447" s="32" t="n">
        <v>1.726</v>
      </c>
      <c r="S1447" s="35" t="n">
        <v>9.303000000000001</v>
      </c>
      <c r="T1447" s="18" t="n"/>
      <c r="U1447" s="18" t="n"/>
      <c r="V1447" s="18" t="n">
        <v>63997</v>
      </c>
      <c r="W1447" s="18" t="n"/>
      <c r="X1447" s="35" t="n"/>
      <c r="Y1447" s="35" t="n">
        <v>9.303000000000001</v>
      </c>
    </row>
    <row r="1448">
      <c r="A1448" s="25" t="n">
        <v>40952</v>
      </c>
      <c r="B1448" s="18" t="n">
        <v>65691</v>
      </c>
      <c r="C1448" s="31" t="n"/>
      <c r="D1448" s="32" t="n"/>
      <c r="E1448" s="33" t="n">
        <v>0.3728</v>
      </c>
      <c r="F1448" t="inlineStr">
        <is>
          <t>Down</t>
        </is>
      </c>
      <c r="G1448" t="inlineStr">
        <is>
          <t>Down</t>
        </is>
      </c>
      <c r="H1448" t="inlineStr">
        <is>
          <t>ED_JD</t>
        </is>
      </c>
      <c r="I1448" t="inlineStr">
        <is>
          <t>2012-02</t>
        </is>
      </c>
      <c r="J1448" t="n">
        <v>1</v>
      </c>
      <c r="K1448" t="n">
        <v>1</v>
      </c>
      <c r="L1448" s="34">
        <f>IF($J1448=1,LN(B1449/B1448),"")</f>
        <v/>
      </c>
      <c r="M1448" s="34">
        <f>IF($K1448=1,INDEX(Mensal!$D$2:$D$245,MATCH($I1448,Mensal!$A$2:$A$245,0)),"")</f>
        <v/>
      </c>
      <c r="N1448" s="34">
        <f>IF($K1448=1,L1448-M1448,"")</f>
        <v/>
      </c>
      <c r="O1448" s="34" t="n">
        <v>0.00038838</v>
      </c>
      <c r="P1448" s="34">
        <f>IF($J1448=1,LN(1+O1448),"")</f>
        <v/>
      </c>
      <c r="Q1448" s="34">
        <f>IF($J1448=1,LN(R1449/R1448),"")</f>
        <v/>
      </c>
      <c r="R1448" s="32" t="n">
        <v>1.7169</v>
      </c>
      <c r="S1448" s="35" t="n">
        <v>9.34</v>
      </c>
      <c r="T1448" s="18" t="n"/>
      <c r="U1448" s="18" t="n"/>
      <c r="V1448" s="18" t="n">
        <v>65691</v>
      </c>
      <c r="W1448" s="18" t="n"/>
      <c r="X1448" s="35" t="n"/>
      <c r="Y1448" s="35" t="n">
        <v>9.34</v>
      </c>
    </row>
    <row r="1449">
      <c r="A1449" s="25" t="n">
        <v>40953</v>
      </c>
      <c r="B1449" s="18" t="n">
        <v>65038</v>
      </c>
      <c r="C1449" s="31" t="n"/>
      <c r="D1449" s="32" t="n"/>
      <c r="E1449" s="33" t="n">
        <v>0.3623</v>
      </c>
      <c r="F1449" t="inlineStr">
        <is>
          <t>Down</t>
        </is>
      </c>
      <c r="G1449" t="inlineStr">
        <is>
          <t>Down</t>
        </is>
      </c>
      <c r="H1449" t="inlineStr">
        <is>
          <t>ED_JD</t>
        </is>
      </c>
      <c r="I1449" t="inlineStr">
        <is>
          <t>2012-02</t>
        </is>
      </c>
      <c r="J1449" t="n">
        <v>1</v>
      </c>
      <c r="K1449" t="n">
        <v>1</v>
      </c>
      <c r="L1449" s="34">
        <f>IF($J1449=1,LN(B1450/B1449),"")</f>
        <v/>
      </c>
      <c r="M1449" s="34">
        <f>IF($K1449=1,INDEX(Mensal!$D$2:$D$245,MATCH($I1449,Mensal!$A$2:$A$245,0)),"")</f>
        <v/>
      </c>
      <c r="N1449" s="34">
        <f>IF($K1449=1,L1449-M1449,"")</f>
        <v/>
      </c>
      <c r="O1449" s="34" t="n">
        <v>0.00038874</v>
      </c>
      <c r="P1449" s="34">
        <f>IF($J1449=1,LN(1+O1449),"")</f>
        <v/>
      </c>
      <c r="Q1449" s="34">
        <f>IF($J1449=1,LN(R1450/R1449),"")</f>
        <v/>
      </c>
      <c r="R1449" s="32" t="n">
        <v>1.7173</v>
      </c>
      <c r="S1449" s="35" t="n">
        <v>9.33</v>
      </c>
      <c r="T1449" s="18" t="n"/>
      <c r="U1449" s="18" t="n"/>
      <c r="V1449" s="18" t="n">
        <v>65038</v>
      </c>
      <c r="W1449" s="18" t="n"/>
      <c r="X1449" s="35" t="n"/>
      <c r="Y1449" s="35" t="n">
        <v>9.33</v>
      </c>
    </row>
    <row r="1450">
      <c r="A1450" s="25" t="n">
        <v>40954</v>
      </c>
      <c r="B1450" s="18" t="n">
        <v>65368</v>
      </c>
      <c r="C1450" s="31" t="n"/>
      <c r="D1450" s="32" t="n"/>
      <c r="E1450" s="33" t="n">
        <v>0.3401</v>
      </c>
      <c r="F1450" t="inlineStr">
        <is>
          <t>Down</t>
        </is>
      </c>
      <c r="G1450" t="inlineStr">
        <is>
          <t>Down</t>
        </is>
      </c>
      <c r="H1450" t="inlineStr">
        <is>
          <t>ED_JD</t>
        </is>
      </c>
      <c r="I1450" t="inlineStr">
        <is>
          <t>2012-02</t>
        </is>
      </c>
      <c r="J1450" t="n">
        <v>1</v>
      </c>
      <c r="K1450" t="n">
        <v>1</v>
      </c>
      <c r="L1450" s="34">
        <f>IF($J1450=1,LN(B1451/B1450),"")</f>
        <v/>
      </c>
      <c r="M1450" s="34">
        <f>IF($K1450=1,INDEX(Mensal!$D$2:$D$245,MATCH($I1450,Mensal!$A$2:$A$245,0)),"")</f>
        <v/>
      </c>
      <c r="N1450" s="34">
        <f>IF($K1450=1,L1450-M1450,"")</f>
        <v/>
      </c>
      <c r="O1450" s="34" t="n">
        <v>0.00038874</v>
      </c>
      <c r="P1450" s="34">
        <f>IF($J1450=1,LN(1+O1450),"")</f>
        <v/>
      </c>
      <c r="Q1450" s="34">
        <f>IF($J1450=1,LN(R1451/R1450),"")</f>
        <v/>
      </c>
      <c r="R1450" s="32" t="n">
        <v>1.7158</v>
      </c>
      <c r="S1450" s="35" t="n">
        <v>9.291</v>
      </c>
      <c r="T1450" s="18" t="n"/>
      <c r="U1450" s="18" t="n"/>
      <c r="V1450" s="18" t="n">
        <v>65368</v>
      </c>
      <c r="W1450" s="18" t="n"/>
      <c r="X1450" s="35" t="n"/>
      <c r="Y1450" s="35" t="n">
        <v>9.291</v>
      </c>
    </row>
    <row r="1451">
      <c r="A1451" s="25" t="n">
        <v>40955</v>
      </c>
      <c r="B1451" s="18" t="n">
        <v>66142</v>
      </c>
      <c r="C1451" s="31" t="n"/>
      <c r="D1451" s="32" t="n"/>
      <c r="E1451" s="33" t="n">
        <v>0.2969</v>
      </c>
      <c r="F1451" t="inlineStr">
        <is>
          <t>Down</t>
        </is>
      </c>
      <c r="G1451" t="inlineStr">
        <is>
          <t>Down</t>
        </is>
      </c>
      <c r="H1451" t="inlineStr">
        <is>
          <t>ED_JD</t>
        </is>
      </c>
      <c r="I1451" t="inlineStr">
        <is>
          <t>2012-02</t>
        </is>
      </c>
      <c r="J1451" t="n">
        <v>1</v>
      </c>
      <c r="K1451" t="n">
        <v>1</v>
      </c>
      <c r="L1451" s="34">
        <f>IF($J1451=1,LN(B1452/B1451),"")</f>
        <v/>
      </c>
      <c r="M1451" s="34">
        <f>IF($K1451=1,INDEX(Mensal!$D$2:$D$245,MATCH($I1451,Mensal!$A$2:$A$245,0)),"")</f>
        <v/>
      </c>
      <c r="N1451" s="34">
        <f>IF($K1451=1,L1451-M1451,"")</f>
        <v/>
      </c>
      <c r="O1451" s="34" t="n">
        <v>0.00038838</v>
      </c>
      <c r="P1451" s="34">
        <f>IF($J1451=1,LN(1+O1451),"")</f>
        <v/>
      </c>
      <c r="Q1451" s="34">
        <f>IF($J1451=1,LN(R1452/R1451),"")</f>
        <v/>
      </c>
      <c r="R1451" s="32" t="n">
        <v>1.7326</v>
      </c>
      <c r="S1451" s="35" t="n">
        <v>9.241</v>
      </c>
      <c r="T1451" s="18" t="n"/>
      <c r="U1451" s="18" t="n"/>
      <c r="V1451" s="18" t="n">
        <v>66142</v>
      </c>
      <c r="W1451" s="18" t="n"/>
      <c r="X1451" s="35" t="n"/>
      <c r="Y1451" s="35" t="n">
        <v>9.241</v>
      </c>
    </row>
    <row r="1452">
      <c r="A1452" s="25" t="n">
        <v>40956</v>
      </c>
      <c r="B1452" s="18" t="n">
        <v>66203</v>
      </c>
      <c r="C1452" s="31" t="n"/>
      <c r="D1452" s="32" t="n"/>
      <c r="E1452" s="33" t="n">
        <v>0.2553</v>
      </c>
      <c r="F1452" t="inlineStr">
        <is>
          <t>Down</t>
        </is>
      </c>
      <c r="G1452" t="inlineStr">
        <is>
          <t>Down</t>
        </is>
      </c>
      <c r="H1452" t="inlineStr">
        <is>
          <t>ED_JD</t>
        </is>
      </c>
      <c r="I1452" t="inlineStr">
        <is>
          <t>2012-02</t>
        </is>
      </c>
      <c r="J1452" t="n">
        <v>1</v>
      </c>
      <c r="K1452" t="n">
        <v>1</v>
      </c>
      <c r="L1452" s="34">
        <f>IF($J1452=1,LN(B1453/B1452),"")</f>
        <v/>
      </c>
      <c r="M1452" s="34">
        <f>IF($K1452=1,INDEX(Mensal!$D$2:$D$245,MATCH($I1452,Mensal!$A$2:$A$245,0)),"")</f>
        <v/>
      </c>
      <c r="N1452" s="34">
        <f>IF($K1452=1,L1452-M1452,"")</f>
        <v/>
      </c>
      <c r="O1452" s="34" t="n">
        <v>0.00038982</v>
      </c>
      <c r="P1452" s="34">
        <f>IF($J1452=1,LN(1+O1452),"")</f>
        <v/>
      </c>
      <c r="Q1452" s="34">
        <f>IF($J1452=1,LN(R1453/R1452),"")</f>
        <v/>
      </c>
      <c r="R1452" s="32" t="n">
        <v>1.7136</v>
      </c>
      <c r="S1452" s="35" t="n">
        <v>9.191000000000001</v>
      </c>
      <c r="T1452" s="18" t="n"/>
      <c r="U1452" s="18" t="n"/>
      <c r="V1452" s="18" t="n">
        <v>66203</v>
      </c>
      <c r="W1452" s="18" t="n"/>
      <c r="X1452" s="35" t="n"/>
      <c r="Y1452" s="35" t="n">
        <v>9.191000000000001</v>
      </c>
    </row>
    <row r="1453">
      <c r="A1453" s="25" t="n">
        <v>40961</v>
      </c>
      <c r="B1453" s="18" t="n">
        <v>66092</v>
      </c>
      <c r="C1453" s="31" t="n"/>
      <c r="D1453" s="32" t="n"/>
      <c r="E1453" s="33" t="n">
        <v>0.209</v>
      </c>
      <c r="F1453" t="inlineStr">
        <is>
          <t>Down</t>
        </is>
      </c>
      <c r="G1453" t="inlineStr">
        <is>
          <t>Down</t>
        </is>
      </c>
      <c r="H1453" t="inlineStr">
        <is>
          <t>ED_JD</t>
        </is>
      </c>
      <c r="I1453" t="inlineStr">
        <is>
          <t>2012-02</t>
        </is>
      </c>
      <c r="J1453" t="n">
        <v>1</v>
      </c>
      <c r="K1453" t="n">
        <v>1</v>
      </c>
      <c r="L1453" s="34">
        <f>IF($J1453=1,LN(B1454/B1453),"")</f>
        <v/>
      </c>
      <c r="M1453" s="34">
        <f>IF($K1453=1,INDEX(Mensal!$D$2:$D$245,MATCH($I1453,Mensal!$A$2:$A$245,0)),"")</f>
        <v/>
      </c>
      <c r="N1453" s="34">
        <f>IF($K1453=1,L1453-M1453,"")</f>
        <v/>
      </c>
      <c r="O1453" s="34" t="n">
        <v>0.00038874</v>
      </c>
      <c r="P1453" s="34">
        <f>IF($J1453=1,LN(1+O1453),"")</f>
        <v/>
      </c>
      <c r="Q1453" s="34">
        <f>IF($J1453=1,LN(R1454/R1453),"")</f>
        <v/>
      </c>
      <c r="R1453" s="32" t="n">
        <v>1.7076</v>
      </c>
      <c r="S1453" s="35" t="n">
        <v>9.223000000000001</v>
      </c>
      <c r="T1453" s="18" t="n"/>
      <c r="U1453" s="18" t="n"/>
      <c r="V1453" s="18" t="n">
        <v>66092</v>
      </c>
      <c r="W1453" s="18" t="n"/>
      <c r="X1453" s="35" t="n"/>
      <c r="Y1453" s="35" t="n">
        <v>9.223000000000001</v>
      </c>
    </row>
    <row r="1454">
      <c r="A1454" s="25" t="n">
        <v>40962</v>
      </c>
      <c r="B1454" s="18" t="n">
        <v>65819</v>
      </c>
      <c r="C1454" s="31" t="n"/>
      <c r="D1454" s="32" t="n"/>
      <c r="E1454" s="33" t="n">
        <v>0.1649</v>
      </c>
      <c r="F1454" t="inlineStr">
        <is>
          <t>Down</t>
        </is>
      </c>
      <c r="G1454" t="inlineStr">
        <is>
          <t>Down</t>
        </is>
      </c>
      <c r="H1454" t="inlineStr">
        <is>
          <t>ED_JD</t>
        </is>
      </c>
      <c r="I1454" t="inlineStr">
        <is>
          <t>2012-02</t>
        </is>
      </c>
      <c r="J1454" t="n">
        <v>1</v>
      </c>
      <c r="K1454" t="n">
        <v>1</v>
      </c>
      <c r="L1454" s="34">
        <f>IF($J1454=1,LN(B1455/B1454),"")</f>
        <v/>
      </c>
      <c r="M1454" s="34">
        <f>IF($K1454=1,INDEX(Mensal!$D$2:$D$245,MATCH($I1454,Mensal!$A$2:$A$245,0)),"")</f>
        <v/>
      </c>
      <c r="N1454" s="34">
        <f>IF($K1454=1,L1454-M1454,"")</f>
        <v/>
      </c>
      <c r="O1454" s="34" t="n">
        <v>0.00038874</v>
      </c>
      <c r="P1454" s="34">
        <f>IF($J1454=1,LN(1+O1454),"")</f>
        <v/>
      </c>
      <c r="Q1454" s="34">
        <f>IF($J1454=1,LN(R1455/R1454),"")</f>
        <v/>
      </c>
      <c r="R1454" s="32" t="n">
        <v>1.704</v>
      </c>
      <c r="S1454" s="35" t="n">
        <v>9.231999999999999</v>
      </c>
      <c r="T1454" s="18" t="n"/>
      <c r="U1454" s="18" t="n"/>
      <c r="V1454" s="18" t="n">
        <v>65819</v>
      </c>
      <c r="W1454" s="18" t="n"/>
      <c r="X1454" s="35" t="n"/>
      <c r="Y1454" s="35" t="n">
        <v>9.231999999999999</v>
      </c>
    </row>
    <row r="1455">
      <c r="A1455" s="25" t="n">
        <v>40963</v>
      </c>
      <c r="B1455" s="18" t="n">
        <v>65942</v>
      </c>
      <c r="C1455" s="31" t="n"/>
      <c r="D1455" s="32" t="n"/>
      <c r="E1455" s="33" t="n">
        <v>0.117</v>
      </c>
      <c r="F1455" t="inlineStr">
        <is>
          <t>Down</t>
        </is>
      </c>
      <c r="G1455" t="inlineStr">
        <is>
          <t>Down</t>
        </is>
      </c>
      <c r="H1455" t="inlineStr">
        <is>
          <t>ED_JD</t>
        </is>
      </c>
      <c r="I1455" t="inlineStr">
        <is>
          <t>2012-02</t>
        </is>
      </c>
      <c r="J1455" t="n">
        <v>1</v>
      </c>
      <c r="K1455" t="n">
        <v>1</v>
      </c>
      <c r="L1455" s="34">
        <f>IF($J1455=1,LN(B1456/B1455),"")</f>
        <v/>
      </c>
      <c r="M1455" s="34">
        <f>IF($K1455=1,INDEX(Mensal!$D$2:$D$245,MATCH($I1455,Mensal!$A$2:$A$245,0)),"")</f>
        <v/>
      </c>
      <c r="N1455" s="34">
        <f>IF($K1455=1,L1455-M1455,"")</f>
        <v/>
      </c>
      <c r="O1455" s="34" t="n">
        <v>0.00038946</v>
      </c>
      <c r="P1455" s="34">
        <f>IF($J1455=1,LN(1+O1455),"")</f>
        <v/>
      </c>
      <c r="Q1455" s="34">
        <f>IF($J1455=1,LN(R1456/R1455),"")</f>
        <v/>
      </c>
      <c r="R1455" s="32" t="n">
        <v>1.7098</v>
      </c>
      <c r="S1455" s="35" t="n">
        <v>9.298999999999999</v>
      </c>
      <c r="T1455" s="18" t="n"/>
      <c r="U1455" s="18" t="n"/>
      <c r="V1455" s="18" t="n">
        <v>65942</v>
      </c>
      <c r="W1455" s="18" t="n"/>
      <c r="X1455" s="35" t="n"/>
      <c r="Y1455" s="35" t="n">
        <v>9.298999999999999</v>
      </c>
    </row>
    <row r="1456">
      <c r="A1456" s="25" t="n">
        <v>40966</v>
      </c>
      <c r="B1456" s="18" t="n">
        <v>65241</v>
      </c>
      <c r="C1456" s="31" t="n"/>
      <c r="D1456" s="32" t="n"/>
      <c r="E1456" s="33" t="n">
        <v>0.0721</v>
      </c>
      <c r="F1456" t="inlineStr">
        <is>
          <t>Down</t>
        </is>
      </c>
      <c r="G1456" t="inlineStr">
        <is>
          <t>Down</t>
        </is>
      </c>
      <c r="H1456" t="inlineStr">
        <is>
          <t>ED_JD</t>
        </is>
      </c>
      <c r="I1456" t="inlineStr">
        <is>
          <t>2012-02</t>
        </is>
      </c>
      <c r="J1456" t="n">
        <v>1</v>
      </c>
      <c r="K1456" t="n">
        <v>1</v>
      </c>
      <c r="L1456" s="34">
        <f>IF($J1456=1,LN(B1457/B1456),"")</f>
        <v/>
      </c>
      <c r="M1456" s="34">
        <f>IF($K1456=1,INDEX(Mensal!$D$2:$D$245,MATCH($I1456,Mensal!$A$2:$A$245,0)),"")</f>
        <v/>
      </c>
      <c r="N1456" s="34">
        <f>IF($K1456=1,L1456-M1456,"")</f>
        <v/>
      </c>
      <c r="O1456" s="34" t="n">
        <v>0.00038946</v>
      </c>
      <c r="P1456" s="34">
        <f>IF($J1456=1,LN(1+O1456),"")</f>
        <v/>
      </c>
      <c r="Q1456" s="34">
        <f>IF($J1456=1,LN(R1457/R1456),"")</f>
        <v/>
      </c>
      <c r="R1456" s="32" t="n">
        <v>1.7088</v>
      </c>
      <c r="S1456" s="35" t="n">
        <v>9.361000000000001</v>
      </c>
      <c r="T1456" s="18" t="n"/>
      <c r="U1456" s="18" t="n"/>
      <c r="V1456" s="18" t="n">
        <v>65241</v>
      </c>
      <c r="W1456" s="18" t="n"/>
      <c r="X1456" s="35" t="n"/>
      <c r="Y1456" s="35" t="n">
        <v>9.361000000000001</v>
      </c>
    </row>
    <row r="1457">
      <c r="A1457" s="25" t="n">
        <v>40967</v>
      </c>
      <c r="B1457" s="18" t="n">
        <v>65959</v>
      </c>
      <c r="C1457" s="31" t="n"/>
      <c r="D1457" s="32" t="n"/>
      <c r="E1457" s="33" t="n">
        <v>0.0265</v>
      </c>
      <c r="F1457" t="inlineStr">
        <is>
          <t>Down</t>
        </is>
      </c>
      <c r="G1457" t="inlineStr">
        <is>
          <t>Down</t>
        </is>
      </c>
      <c r="H1457" t="inlineStr">
        <is>
          <t>ED_JD</t>
        </is>
      </c>
      <c r="I1457" t="inlineStr">
        <is>
          <t>2012-02</t>
        </is>
      </c>
      <c r="J1457" t="n">
        <v>1</v>
      </c>
      <c r="K1457" t="n">
        <v>1</v>
      </c>
      <c r="L1457" s="34">
        <f>IF($J1457=1,LN(B1458/B1457),"")</f>
        <v/>
      </c>
      <c r="M1457" s="34">
        <f>IF($K1457=1,INDEX(Mensal!$D$2:$D$245,MATCH($I1457,Mensal!$A$2:$A$245,0)),"")</f>
        <v/>
      </c>
      <c r="N1457" s="34">
        <f>IF($K1457=1,L1457-M1457,"")</f>
        <v/>
      </c>
      <c r="O1457" s="34" t="n">
        <v>0.00038838</v>
      </c>
      <c r="P1457" s="34">
        <f>IF($J1457=1,LN(1+O1457),"")</f>
        <v/>
      </c>
      <c r="Q1457" s="34">
        <f>IF($J1457=1,LN(R1458/R1457),"")</f>
        <v/>
      </c>
      <c r="R1457" s="32" t="n">
        <v>1.7024</v>
      </c>
      <c r="S1457" s="35" t="n">
        <v>9.286</v>
      </c>
      <c r="T1457" s="18" t="n"/>
      <c r="U1457" s="18" t="n"/>
      <c r="V1457" s="18" t="n">
        <v>65959</v>
      </c>
      <c r="W1457" s="18" t="n"/>
      <c r="X1457" s="35" t="n"/>
      <c r="Y1457" s="35" t="n">
        <v>9.286</v>
      </c>
    </row>
    <row r="1458">
      <c r="A1458" s="25" t="n">
        <v>40968</v>
      </c>
      <c r="B1458" s="18" t="n">
        <v>65811</v>
      </c>
      <c r="C1458" s="31" t="n"/>
      <c r="D1458" s="32" t="n"/>
      <c r="E1458" s="33" t="n">
        <v>-0.0124</v>
      </c>
      <c r="F1458" t="inlineStr">
        <is>
          <t>Down</t>
        </is>
      </c>
      <c r="G1458" t="inlineStr">
        <is>
          <t>Down</t>
        </is>
      </c>
      <c r="H1458" t="inlineStr">
        <is>
          <t>ED_JD</t>
        </is>
      </c>
      <c r="I1458" t="inlineStr">
        <is>
          <t>2012-02</t>
        </is>
      </c>
      <c r="J1458" t="n">
        <v>1</v>
      </c>
      <c r="K1458" t="n">
        <v>1</v>
      </c>
      <c r="L1458" s="34">
        <f>IF($J1458=1,LN(B1459/B1458),"")</f>
        <v/>
      </c>
      <c r="M1458" s="34">
        <f>IF($K1458=1,INDEX(Mensal!$D$2:$D$245,MATCH($I1458,Mensal!$A$2:$A$245,0)),"")</f>
        <v/>
      </c>
      <c r="N1458" s="34">
        <f>IF($K1458=1,L1458-M1458,"")</f>
        <v/>
      </c>
      <c r="O1458" s="34" t="n">
        <v>0.00038802</v>
      </c>
      <c r="P1458" s="34">
        <f>IF($J1458=1,LN(1+O1458),"")</f>
        <v/>
      </c>
      <c r="Q1458" s="34">
        <f>IF($J1458=1,LN(R1459/R1458),"")</f>
        <v/>
      </c>
      <c r="R1458" s="32" t="n">
        <v>1.7092</v>
      </c>
      <c r="S1458" s="35" t="n">
        <v>9.256</v>
      </c>
      <c r="T1458" s="18" t="n"/>
      <c r="U1458" s="18" t="n"/>
      <c r="V1458" s="18" t="n">
        <v>65811</v>
      </c>
      <c r="W1458" s="18" t="n"/>
      <c r="X1458" s="35" t="n"/>
      <c r="Y1458" s="35" t="n">
        <v>9.256</v>
      </c>
    </row>
    <row r="1459">
      <c r="A1459" s="25" t="n">
        <v>40969</v>
      </c>
      <c r="B1459" s="18" t="n">
        <v>66810</v>
      </c>
      <c r="C1459" s="31" t="n"/>
      <c r="D1459" s="32" t="n"/>
      <c r="E1459" s="33" t="n">
        <v>-0.0514</v>
      </c>
      <c r="F1459" t="inlineStr">
        <is>
          <t>Down</t>
        </is>
      </c>
      <c r="G1459" t="inlineStr">
        <is>
          <t>Down</t>
        </is>
      </c>
      <c r="H1459" t="inlineStr">
        <is>
          <t>ED_JD</t>
        </is>
      </c>
      <c r="I1459" t="inlineStr">
        <is>
          <t>2012-03</t>
        </is>
      </c>
      <c r="J1459" t="n">
        <v>1</v>
      </c>
      <c r="K1459" t="n">
        <v>1</v>
      </c>
      <c r="L1459" s="34">
        <f>IF($J1459=1,LN(B1460/B1459),"")</f>
        <v/>
      </c>
      <c r="M1459" s="34">
        <f>IF($K1459=1,INDEX(Mensal!$D$2:$D$245,MATCH($I1459,Mensal!$A$2:$A$245,0)),"")</f>
        <v/>
      </c>
      <c r="N1459" s="34">
        <f>IF($K1459=1,L1459-M1459,"")</f>
        <v/>
      </c>
      <c r="O1459" s="34" t="n">
        <v>0.00038802</v>
      </c>
      <c r="P1459" s="34">
        <f>IF($J1459=1,LN(1+O1459),"")</f>
        <v/>
      </c>
      <c r="Q1459" s="34">
        <f>IF($J1459=1,LN(R1460/R1459),"")</f>
        <v/>
      </c>
      <c r="R1459" s="32" t="n">
        <v>1.7152</v>
      </c>
      <c r="S1459" s="35" t="n">
        <v>9.183</v>
      </c>
      <c r="T1459" s="18" t="n"/>
      <c r="U1459" s="18" t="n"/>
      <c r="V1459" s="18" t="n">
        <v>66810</v>
      </c>
      <c r="W1459" s="18" t="n"/>
      <c r="X1459" s="35" t="n"/>
      <c r="Y1459" s="35" t="n">
        <v>9.183</v>
      </c>
    </row>
    <row r="1460">
      <c r="A1460" s="25" t="n">
        <v>40970</v>
      </c>
      <c r="B1460" s="18" t="n">
        <v>67781</v>
      </c>
      <c r="C1460" s="31" t="n"/>
      <c r="D1460" s="32" t="n"/>
      <c r="E1460" s="33" t="n">
        <v>-0.09279999999999999</v>
      </c>
      <c r="F1460" t="inlineStr">
        <is>
          <t>Down</t>
        </is>
      </c>
      <c r="G1460" t="inlineStr">
        <is>
          <t>Down</t>
        </is>
      </c>
      <c r="H1460" t="inlineStr">
        <is>
          <t>ED_JD</t>
        </is>
      </c>
      <c r="I1460" t="inlineStr">
        <is>
          <t>2012-03</t>
        </is>
      </c>
      <c r="J1460" t="n">
        <v>1</v>
      </c>
      <c r="K1460" t="n">
        <v>1</v>
      </c>
      <c r="L1460" s="34">
        <f>IF($J1460=1,LN(B1461/B1460),"")</f>
        <v/>
      </c>
      <c r="M1460" s="34">
        <f>IF($K1460=1,INDEX(Mensal!$D$2:$D$245,MATCH($I1460,Mensal!$A$2:$A$245,0)),"")</f>
        <v/>
      </c>
      <c r="N1460" s="34">
        <f>IF($K1460=1,L1460-M1460,"")</f>
        <v/>
      </c>
      <c r="O1460" s="34" t="n">
        <v>0.00038766</v>
      </c>
      <c r="P1460" s="34">
        <f>IF($J1460=1,LN(1+O1460),"")</f>
        <v/>
      </c>
      <c r="Q1460" s="34">
        <f>IF($J1460=1,LN(R1461/R1460),"")</f>
        <v/>
      </c>
      <c r="R1460" s="32" t="n">
        <v>1.7245</v>
      </c>
      <c r="S1460" s="35" t="n">
        <v>9.063000000000001</v>
      </c>
      <c r="T1460" s="18" t="n"/>
      <c r="U1460" s="18" t="n"/>
      <c r="V1460" s="18" t="n">
        <v>67781</v>
      </c>
      <c r="W1460" s="18" t="n"/>
      <c r="X1460" s="35" t="n"/>
      <c r="Y1460" s="35" t="n">
        <v>9.063000000000001</v>
      </c>
    </row>
    <row r="1461">
      <c r="A1461" s="25" t="n">
        <v>40973</v>
      </c>
      <c r="B1461" s="18" t="n">
        <v>66964</v>
      </c>
      <c r="C1461" s="31" t="n"/>
      <c r="D1461" s="32" t="n"/>
      <c r="E1461" s="33" t="n">
        <v>-0.134</v>
      </c>
      <c r="F1461" t="inlineStr">
        <is>
          <t>Down</t>
        </is>
      </c>
      <c r="G1461" t="inlineStr">
        <is>
          <t>Down</t>
        </is>
      </c>
      <c r="H1461" t="inlineStr">
        <is>
          <t>ED_JD</t>
        </is>
      </c>
      <c r="I1461" t="inlineStr">
        <is>
          <t>2012-03</t>
        </is>
      </c>
      <c r="J1461" t="n">
        <v>1</v>
      </c>
      <c r="K1461" t="n">
        <v>1</v>
      </c>
      <c r="L1461" s="34">
        <f>IF($J1461=1,LN(B1462/B1461),"")</f>
        <v/>
      </c>
      <c r="M1461" s="34">
        <f>IF($K1461=1,INDEX(Mensal!$D$2:$D$245,MATCH($I1461,Mensal!$A$2:$A$245,0)),"")</f>
        <v/>
      </c>
      <c r="N1461" s="34">
        <f>IF($K1461=1,L1461-M1461,"")</f>
        <v/>
      </c>
      <c r="O1461" s="34" t="n">
        <v>0.00038766</v>
      </c>
      <c r="P1461" s="34">
        <f>IF($J1461=1,LN(1+O1461),"")</f>
        <v/>
      </c>
      <c r="Q1461" s="34">
        <f>IF($J1461=1,LN(R1462/R1461),"")</f>
        <v/>
      </c>
      <c r="R1461" s="32" t="n">
        <v>1.7314</v>
      </c>
      <c r="S1461" s="35" t="n">
        <v>9.065</v>
      </c>
      <c r="T1461" s="18" t="n"/>
      <c r="U1461" s="18" t="n"/>
      <c r="V1461" s="18" t="n">
        <v>66964</v>
      </c>
      <c r="W1461" s="18" t="n"/>
      <c r="X1461" s="35" t="n"/>
      <c r="Y1461" s="35" t="n">
        <v>9.065</v>
      </c>
    </row>
    <row r="1462">
      <c r="A1462" s="25" t="n">
        <v>40974</v>
      </c>
      <c r="B1462" s="18" t="n">
        <v>65114</v>
      </c>
      <c r="C1462" s="31" t="n"/>
      <c r="D1462" s="32" t="n"/>
      <c r="E1462" s="33" t="n">
        <v>-0.1731</v>
      </c>
      <c r="F1462" t="inlineStr">
        <is>
          <t>Down</t>
        </is>
      </c>
      <c r="G1462" t="inlineStr">
        <is>
          <t>Down</t>
        </is>
      </c>
      <c r="H1462" t="inlineStr">
        <is>
          <t>ED_JD</t>
        </is>
      </c>
      <c r="I1462" t="inlineStr">
        <is>
          <t>2012-03</t>
        </is>
      </c>
      <c r="J1462" t="n">
        <v>1</v>
      </c>
      <c r="K1462" t="n">
        <v>1</v>
      </c>
      <c r="L1462" s="34">
        <f>IF($J1462=1,LN(B1463/B1462),"")</f>
        <v/>
      </c>
      <c r="M1462" s="34">
        <f>IF($K1462=1,INDEX(Mensal!$D$2:$D$245,MATCH($I1462,Mensal!$A$2:$A$245,0)),"")</f>
        <v/>
      </c>
      <c r="N1462" s="34">
        <f>IF($K1462=1,L1462-M1462,"")</f>
        <v/>
      </c>
      <c r="O1462" s="34" t="n">
        <v>0.0003873</v>
      </c>
      <c r="P1462" s="34">
        <f>IF($J1462=1,LN(1+O1462),"")</f>
        <v/>
      </c>
      <c r="Q1462" s="34">
        <f>IF($J1462=1,LN(R1463/R1462),"")</f>
        <v/>
      </c>
      <c r="R1462" s="32" t="n">
        <v>1.7556</v>
      </c>
      <c r="S1462" s="35" t="n">
        <v>9.06</v>
      </c>
      <c r="T1462" s="18" t="n"/>
      <c r="U1462" s="18" t="n"/>
      <c r="V1462" s="18" t="n">
        <v>65114</v>
      </c>
      <c r="W1462" s="18" t="n"/>
      <c r="X1462" s="35" t="n"/>
      <c r="Y1462" s="35" t="n">
        <v>9.06</v>
      </c>
    </row>
    <row r="1463">
      <c r="A1463" s="25" t="n">
        <v>40975</v>
      </c>
      <c r="B1463" s="18" t="n">
        <v>66016</v>
      </c>
      <c r="C1463" s="31" t="n"/>
      <c r="D1463" s="32" t="n"/>
      <c r="E1463" s="33" t="n">
        <v>-0.2209</v>
      </c>
      <c r="F1463" t="inlineStr">
        <is>
          <t>Down</t>
        </is>
      </c>
      <c r="G1463" t="inlineStr">
        <is>
          <t>Down</t>
        </is>
      </c>
      <c r="H1463" t="inlineStr">
        <is>
          <t>ED_JD</t>
        </is>
      </c>
      <c r="I1463" t="inlineStr">
        <is>
          <t>2012-03</t>
        </is>
      </c>
      <c r="J1463" t="n">
        <v>1</v>
      </c>
      <c r="K1463" t="n">
        <v>1</v>
      </c>
      <c r="L1463" s="34">
        <f>IF($J1463=1,LN(B1464/B1463),"")</f>
        <v/>
      </c>
      <c r="M1463" s="34">
        <f>IF($K1463=1,INDEX(Mensal!$D$2:$D$245,MATCH($I1463,Mensal!$A$2:$A$245,0)),"")</f>
        <v/>
      </c>
      <c r="N1463" s="34">
        <f>IF($K1463=1,L1463-M1463,"")</f>
        <v/>
      </c>
      <c r="O1463" s="34" t="n">
        <v>0.0003862199999999999</v>
      </c>
      <c r="P1463" s="34">
        <f>IF($J1463=1,LN(1+O1463),"")</f>
        <v/>
      </c>
      <c r="Q1463" s="34">
        <f>IF($J1463=1,LN(R1464/R1463),"")</f>
        <v/>
      </c>
      <c r="R1463" s="32" t="n">
        <v>1.7692</v>
      </c>
      <c r="S1463" s="35" t="n">
        <v>8.968999999999999</v>
      </c>
      <c r="T1463" s="18" t="n"/>
      <c r="U1463" s="18" t="n"/>
      <c r="V1463" s="18" t="n">
        <v>66016</v>
      </c>
      <c r="W1463" s="18" t="n"/>
      <c r="X1463" s="35" t="n"/>
      <c r="Y1463" s="35" t="n">
        <v>8.968999999999999</v>
      </c>
    </row>
    <row r="1464">
      <c r="A1464" s="25" t="n">
        <v>40976</v>
      </c>
      <c r="B1464" s="18" t="n">
        <v>66908</v>
      </c>
      <c r="C1464" s="31" t="n"/>
      <c r="D1464" s="32" t="n"/>
      <c r="E1464" s="33" t="n">
        <v>-0.2689</v>
      </c>
      <c r="F1464" t="inlineStr">
        <is>
          <t>Down</t>
        </is>
      </c>
      <c r="G1464" t="inlineStr">
        <is>
          <t>Down</t>
        </is>
      </c>
      <c r="H1464" t="inlineStr">
        <is>
          <t>ED_JD</t>
        </is>
      </c>
      <c r="I1464" t="inlineStr">
        <is>
          <t>2012-03</t>
        </is>
      </c>
      <c r="J1464" t="n">
        <v>1</v>
      </c>
      <c r="K1464" t="n">
        <v>1</v>
      </c>
      <c r="L1464" s="34">
        <f>IF($J1464=1,LN(B1465/B1464),"")</f>
        <v/>
      </c>
      <c r="M1464" s="34">
        <f>IF($K1464=1,INDEX(Mensal!$D$2:$D$245,MATCH($I1464,Mensal!$A$2:$A$245,0)),"")</f>
        <v/>
      </c>
      <c r="N1464" s="34">
        <f>IF($K1464=1,L1464-M1464,"")</f>
        <v/>
      </c>
      <c r="O1464" s="34" t="n">
        <v>0.00036129</v>
      </c>
      <c r="P1464" s="34">
        <f>IF($J1464=1,LN(1+O1464),"")</f>
        <v/>
      </c>
      <c r="Q1464" s="34">
        <f>IF($J1464=1,LN(R1465/R1464),"")</f>
        <v/>
      </c>
      <c r="R1464" s="32" t="n">
        <v>1.7697</v>
      </c>
      <c r="S1464" s="35" t="n">
        <v>8.714</v>
      </c>
      <c r="T1464" s="18" t="n"/>
      <c r="U1464" s="18" t="n"/>
      <c r="V1464" s="18" t="n">
        <v>66908</v>
      </c>
      <c r="W1464" s="18" t="n"/>
      <c r="X1464" s="35" t="n"/>
      <c r="Y1464" s="35" t="n">
        <v>8.714</v>
      </c>
    </row>
    <row r="1465">
      <c r="A1465" s="25" t="n">
        <v>40977</v>
      </c>
      <c r="B1465" s="18" t="n">
        <v>66703</v>
      </c>
      <c r="C1465" s="31" t="n"/>
      <c r="D1465" s="32" t="n"/>
      <c r="E1465" s="33" t="n">
        <v>-0.3167</v>
      </c>
      <c r="F1465" t="inlineStr">
        <is>
          <t>Down</t>
        </is>
      </c>
      <c r="G1465" t="inlineStr">
        <is>
          <t>Down</t>
        </is>
      </c>
      <c r="H1465" t="inlineStr">
        <is>
          <t>ED_JD</t>
        </is>
      </c>
      <c r="I1465" t="inlineStr">
        <is>
          <t>2012-03</t>
        </is>
      </c>
      <c r="J1465" t="n">
        <v>1</v>
      </c>
      <c r="K1465" t="n">
        <v>1</v>
      </c>
      <c r="L1465" s="34">
        <f>IF($J1465=1,LN(B1466/B1465),"")</f>
        <v/>
      </c>
      <c r="M1465" s="34">
        <f>IF($K1465=1,INDEX(Mensal!$D$2:$D$245,MATCH($I1465,Mensal!$A$2:$A$245,0)),"")</f>
        <v/>
      </c>
      <c r="N1465" s="34">
        <f>IF($K1465=1,L1465-M1465,"")</f>
        <v/>
      </c>
      <c r="O1465" s="34" t="n">
        <v>0.00036056</v>
      </c>
      <c r="P1465" s="34">
        <f>IF($J1465=1,LN(1+O1465),"")</f>
        <v/>
      </c>
      <c r="Q1465" s="34">
        <f>IF($J1465=1,LN(R1466/R1465),"")</f>
        <v/>
      </c>
      <c r="R1465" s="32" t="n">
        <v>1.7767</v>
      </c>
      <c r="S1465" s="35" t="n">
        <v>8.686999999999999</v>
      </c>
      <c r="T1465" s="18" t="n"/>
      <c r="U1465" s="18" t="n"/>
      <c r="V1465" s="18" t="n">
        <v>66703</v>
      </c>
      <c r="W1465" s="18" t="n"/>
      <c r="X1465" s="35" t="n"/>
      <c r="Y1465" s="35" t="n">
        <v>8.686999999999999</v>
      </c>
    </row>
    <row r="1466">
      <c r="A1466" s="25" t="n">
        <v>40980</v>
      </c>
      <c r="B1466" s="18" t="n">
        <v>66384</v>
      </c>
      <c r="C1466" s="31" t="n"/>
      <c r="D1466" s="32" t="n"/>
      <c r="E1466" s="33" t="n">
        <v>-0.3652</v>
      </c>
      <c r="F1466" t="inlineStr">
        <is>
          <t>Down</t>
        </is>
      </c>
      <c r="G1466" t="inlineStr">
        <is>
          <t>Down</t>
        </is>
      </c>
      <c r="H1466" t="inlineStr">
        <is>
          <t>ED_JD</t>
        </is>
      </c>
      <c r="I1466" t="inlineStr">
        <is>
          <t>2012-03</t>
        </is>
      </c>
      <c r="J1466" t="n">
        <v>1</v>
      </c>
      <c r="K1466" t="n">
        <v>1</v>
      </c>
      <c r="L1466" s="34">
        <f>IF($J1466=1,LN(B1467/B1466),"")</f>
        <v/>
      </c>
      <c r="M1466" s="34">
        <f>IF($K1466=1,INDEX(Mensal!$D$2:$D$245,MATCH($I1466,Mensal!$A$2:$A$245,0)),"")</f>
        <v/>
      </c>
      <c r="N1466" s="34">
        <f>IF($K1466=1,L1466-M1466,"")</f>
        <v/>
      </c>
      <c r="O1466" s="34" t="n">
        <v>0.00035948</v>
      </c>
      <c r="P1466" s="34">
        <f>IF($J1466=1,LN(1+O1466),"")</f>
        <v/>
      </c>
      <c r="Q1466" s="34">
        <f>IF($J1466=1,LN(R1467/R1466),"")</f>
        <v/>
      </c>
      <c r="R1466" s="32" t="n">
        <v>1.8157</v>
      </c>
      <c r="S1466" s="35" t="n">
        <v>8.727</v>
      </c>
      <c r="T1466" s="18" t="n"/>
      <c r="U1466" s="18" t="n"/>
      <c r="V1466" s="18" t="n">
        <v>66384</v>
      </c>
      <c r="W1466" s="18" t="n"/>
      <c r="X1466" s="35" t="n"/>
      <c r="Y1466" s="35" t="n">
        <v>8.727</v>
      </c>
    </row>
    <row r="1467">
      <c r="A1467" s="25" t="n">
        <v>40981</v>
      </c>
      <c r="B1467" s="18" t="n">
        <v>68394</v>
      </c>
      <c r="C1467" s="31" t="n"/>
      <c r="D1467" s="32" t="n"/>
      <c r="E1467" s="33" t="n">
        <v>-0.4176</v>
      </c>
      <c r="F1467" t="inlineStr">
        <is>
          <t>Down</t>
        </is>
      </c>
      <c r="G1467" t="inlineStr">
        <is>
          <t>Down</t>
        </is>
      </c>
      <c r="H1467" t="inlineStr">
        <is>
          <t>ED_JD</t>
        </is>
      </c>
      <c r="I1467" t="inlineStr">
        <is>
          <t>2012-03</t>
        </is>
      </c>
      <c r="J1467" t="n">
        <v>1</v>
      </c>
      <c r="K1467" t="n">
        <v>1</v>
      </c>
      <c r="L1467" s="34">
        <f>IF($J1467=1,LN(B1468/B1467),"")</f>
        <v/>
      </c>
      <c r="M1467" s="34">
        <f>IF($K1467=1,INDEX(Mensal!$D$2:$D$245,MATCH($I1467,Mensal!$A$2:$A$245,0)),"")</f>
        <v/>
      </c>
      <c r="N1467" s="34">
        <f>IF($K1467=1,L1467-M1467,"")</f>
        <v/>
      </c>
      <c r="O1467" s="34" t="n">
        <v>0.00035875</v>
      </c>
      <c r="P1467" s="34">
        <f>IF($J1467=1,LN(1+O1467),"")</f>
        <v/>
      </c>
      <c r="Q1467" s="34">
        <f>IF($J1467=1,LN(R1468/R1467),"")</f>
        <v/>
      </c>
      <c r="R1467" s="32" t="n">
        <v>1.8102</v>
      </c>
      <c r="S1467" s="35" t="n">
        <v>8.756</v>
      </c>
      <c r="T1467" s="18" t="n"/>
      <c r="U1467" s="18" t="n"/>
      <c r="V1467" s="18" t="n">
        <v>68394</v>
      </c>
      <c r="W1467" s="18" t="n"/>
      <c r="X1467" s="35" t="n"/>
      <c r="Y1467" s="35" t="n">
        <v>8.756</v>
      </c>
    </row>
    <row r="1468">
      <c r="A1468" s="25" t="n">
        <v>40982</v>
      </c>
      <c r="B1468" s="18" t="n">
        <v>68257</v>
      </c>
      <c r="C1468" s="31" t="n"/>
      <c r="D1468" s="32" t="n"/>
      <c r="E1468" s="33" t="n">
        <v>-0.4645</v>
      </c>
      <c r="F1468" t="inlineStr">
        <is>
          <t>Down</t>
        </is>
      </c>
      <c r="G1468" t="inlineStr">
        <is>
          <t>Down</t>
        </is>
      </c>
      <c r="H1468" t="inlineStr">
        <is>
          <t>ED_JD</t>
        </is>
      </c>
      <c r="I1468" t="inlineStr">
        <is>
          <t>2012-03</t>
        </is>
      </c>
      <c r="J1468" t="n">
        <v>1</v>
      </c>
      <c r="K1468" t="n">
        <v>1</v>
      </c>
      <c r="L1468" s="34">
        <f>IF($J1468=1,LN(B1469/B1468),"")</f>
        <v/>
      </c>
      <c r="M1468" s="34">
        <f>IF($K1468=1,INDEX(Mensal!$D$2:$D$245,MATCH($I1468,Mensal!$A$2:$A$245,0)),"")</f>
        <v/>
      </c>
      <c r="N1468" s="34">
        <f>IF($K1468=1,L1468-M1468,"")</f>
        <v/>
      </c>
      <c r="O1468" s="34" t="n">
        <v>0.00035839</v>
      </c>
      <c r="P1468" s="34">
        <f>IF($J1468=1,LN(1+O1468),"")</f>
        <v/>
      </c>
      <c r="Q1468" s="34">
        <f>IF($J1468=1,LN(R1469/R1468),"")</f>
        <v/>
      </c>
      <c r="R1468" s="32" t="n">
        <v>1.8146</v>
      </c>
      <c r="S1468" s="35" t="n">
        <v>8.727</v>
      </c>
      <c r="T1468" s="18" t="n"/>
      <c r="U1468" s="18" t="n"/>
      <c r="V1468" s="18" t="n">
        <v>68257</v>
      </c>
      <c r="W1468" s="18" t="n"/>
      <c r="X1468" s="35" t="n"/>
      <c r="Y1468" s="35" t="n">
        <v>8.727</v>
      </c>
    </row>
    <row r="1469">
      <c r="A1469" s="25" t="n">
        <v>40983</v>
      </c>
      <c r="B1469" s="18" t="n">
        <v>67749</v>
      </c>
      <c r="C1469" s="31" t="n"/>
      <c r="D1469" s="32" t="n"/>
      <c r="E1469" s="33" t="n">
        <v>-0.5102</v>
      </c>
      <c r="F1469" t="inlineStr">
        <is>
          <t>Down</t>
        </is>
      </c>
      <c r="G1469" t="inlineStr">
        <is>
          <t>Down</t>
        </is>
      </c>
      <c r="H1469" t="inlineStr">
        <is>
          <t>ED_JD</t>
        </is>
      </c>
      <c r="I1469" t="inlineStr">
        <is>
          <t>2012-03</t>
        </is>
      </c>
      <c r="J1469" t="n">
        <v>1</v>
      </c>
      <c r="K1469" t="n">
        <v>1</v>
      </c>
      <c r="L1469" s="34">
        <f>IF($J1469=1,LN(B1470/B1469),"")</f>
        <v/>
      </c>
      <c r="M1469" s="34">
        <f>IF($K1469=1,INDEX(Mensal!$D$2:$D$245,MATCH($I1469,Mensal!$A$2:$A$245,0)),"")</f>
        <v/>
      </c>
      <c r="N1469" s="34">
        <f>IF($K1469=1,L1469-M1469,"")</f>
        <v/>
      </c>
      <c r="O1469" s="34" t="n">
        <v>0.00035839</v>
      </c>
      <c r="P1469" s="34">
        <f>IF($J1469=1,LN(1+O1469),"")</f>
        <v/>
      </c>
      <c r="Q1469" s="34">
        <f>IF($J1469=1,LN(R1470/R1469),"")</f>
        <v/>
      </c>
      <c r="R1469" s="32" t="n">
        <v>1.8006</v>
      </c>
      <c r="S1469" s="35" t="n">
        <v>8.978999999999999</v>
      </c>
      <c r="T1469" s="18" t="n"/>
      <c r="U1469" s="18" t="n"/>
      <c r="V1469" s="18" t="n">
        <v>67749</v>
      </c>
      <c r="W1469" s="18" t="n"/>
      <c r="X1469" s="35" t="n"/>
      <c r="Y1469" s="35" t="n">
        <v>8.978999999999999</v>
      </c>
    </row>
    <row r="1470">
      <c r="A1470" s="25" t="n">
        <v>40984</v>
      </c>
      <c r="B1470" s="18" t="n">
        <v>67684</v>
      </c>
      <c r="C1470" s="31" t="n"/>
      <c r="D1470" s="32" t="n"/>
      <c r="E1470" s="33" t="n">
        <v>-0.5573</v>
      </c>
      <c r="F1470" t="inlineStr">
        <is>
          <t>Down</t>
        </is>
      </c>
      <c r="G1470" t="inlineStr">
        <is>
          <t>Down</t>
        </is>
      </c>
      <c r="H1470" t="inlineStr">
        <is>
          <t>ED_JD</t>
        </is>
      </c>
      <c r="I1470" t="inlineStr">
        <is>
          <t>2012-03</t>
        </is>
      </c>
      <c r="J1470" t="n">
        <v>1</v>
      </c>
      <c r="K1470" t="n">
        <v>1</v>
      </c>
      <c r="L1470" s="34">
        <f>IF($J1470=1,LN(B1471/B1470),"")</f>
        <v/>
      </c>
      <c r="M1470" s="34">
        <f>IF($K1470=1,INDEX(Mensal!$D$2:$D$245,MATCH($I1470,Mensal!$A$2:$A$245,0)),"")</f>
        <v/>
      </c>
      <c r="N1470" s="34">
        <f>IF($K1470=1,L1470-M1470,"")</f>
        <v/>
      </c>
      <c r="O1470" s="34" t="n">
        <v>0.00035984</v>
      </c>
      <c r="P1470" s="34">
        <f>IF($J1470=1,LN(1+O1470),"")</f>
        <v/>
      </c>
      <c r="Q1470" s="34">
        <f>IF($J1470=1,LN(R1471/R1470),"")</f>
        <v/>
      </c>
      <c r="R1470" s="32" t="n">
        <v>1.8018</v>
      </c>
      <c r="S1470" s="35" t="n">
        <v>9.029</v>
      </c>
      <c r="T1470" s="18" t="n"/>
      <c r="U1470" s="18" t="n"/>
      <c r="V1470" s="18" t="n">
        <v>67684</v>
      </c>
      <c r="W1470" s="18" t="n"/>
      <c r="X1470" s="35" t="n"/>
      <c r="Y1470" s="35" t="n">
        <v>9.029</v>
      </c>
    </row>
    <row r="1471">
      <c r="A1471" s="25" t="n">
        <v>40987</v>
      </c>
      <c r="B1471" s="18" t="n">
        <v>67730</v>
      </c>
      <c r="C1471" s="31" t="n"/>
      <c r="D1471" s="32" t="n"/>
      <c r="E1471" s="33" t="n">
        <v>-0.6026</v>
      </c>
      <c r="F1471" t="inlineStr">
        <is>
          <t>Down</t>
        </is>
      </c>
      <c r="G1471" t="inlineStr">
        <is>
          <t>Down</t>
        </is>
      </c>
      <c r="H1471" t="inlineStr">
        <is>
          <t>ED_JD</t>
        </is>
      </c>
      <c r="I1471" t="inlineStr">
        <is>
          <t>2012-03</t>
        </is>
      </c>
      <c r="J1471" t="n">
        <v>1</v>
      </c>
      <c r="K1471" t="n">
        <v>1</v>
      </c>
      <c r="L1471" s="34">
        <f>IF($J1471=1,LN(B1472/B1471),"")</f>
        <v/>
      </c>
      <c r="M1471" s="34">
        <f>IF($K1471=1,INDEX(Mensal!$D$2:$D$245,MATCH($I1471,Mensal!$A$2:$A$245,0)),"")</f>
        <v/>
      </c>
      <c r="N1471" s="34">
        <f>IF($K1471=1,L1471-M1471,"")</f>
        <v/>
      </c>
      <c r="O1471" s="34" t="n">
        <v>0.00035948</v>
      </c>
      <c r="P1471" s="34">
        <f>IF($J1471=1,LN(1+O1471),"")</f>
        <v/>
      </c>
      <c r="Q1471" s="34">
        <f>IF($J1471=1,LN(R1472/R1471),"")</f>
        <v/>
      </c>
      <c r="R1471" s="32" t="n">
        <v>1.809</v>
      </c>
      <c r="S1471" s="35" t="n">
        <v>9.068</v>
      </c>
      <c r="T1471" s="18" t="n"/>
      <c r="U1471" s="18" t="n"/>
      <c r="V1471" s="18" t="n">
        <v>67730</v>
      </c>
      <c r="W1471" s="18" t="n"/>
      <c r="X1471" s="35" t="n"/>
      <c r="Y1471" s="35" t="n">
        <v>9.068</v>
      </c>
    </row>
    <row r="1472">
      <c r="A1472" s="25" t="n">
        <v>40988</v>
      </c>
      <c r="B1472" s="18" t="n">
        <v>67295</v>
      </c>
      <c r="C1472" s="31" t="n"/>
      <c r="D1472" s="32" t="n"/>
      <c r="E1472" s="33" t="n">
        <v>-0.645</v>
      </c>
      <c r="F1472" t="inlineStr">
        <is>
          <t>Down</t>
        </is>
      </c>
      <c r="G1472" t="inlineStr">
        <is>
          <t>Down</t>
        </is>
      </c>
      <c r="H1472" t="inlineStr">
        <is>
          <t>ED_JD</t>
        </is>
      </c>
      <c r="I1472" t="inlineStr">
        <is>
          <t>2012-03</t>
        </is>
      </c>
      <c r="J1472" t="n">
        <v>1</v>
      </c>
      <c r="K1472" t="n">
        <v>1</v>
      </c>
      <c r="L1472" s="34">
        <f>IF($J1472=1,LN(B1473/B1472),"")</f>
        <v/>
      </c>
      <c r="M1472" s="34">
        <f>IF($K1472=1,INDEX(Mensal!$D$2:$D$245,MATCH($I1472,Mensal!$A$2:$A$245,0)),"")</f>
        <v/>
      </c>
      <c r="N1472" s="34">
        <f>IF($K1472=1,L1472-M1472,"")</f>
        <v/>
      </c>
      <c r="O1472" s="34" t="n">
        <v>0.00035948</v>
      </c>
      <c r="P1472" s="34">
        <f>IF($J1472=1,LN(1+O1472),"")</f>
        <v/>
      </c>
      <c r="Q1472" s="34">
        <f>IF($J1472=1,LN(R1473/R1472),"")</f>
        <v/>
      </c>
      <c r="R1472" s="32" t="n">
        <v>1.8259</v>
      </c>
      <c r="S1472" s="35" t="n">
        <v>9.031000000000001</v>
      </c>
      <c r="T1472" s="18" t="n"/>
      <c r="U1472" s="18" t="n"/>
      <c r="V1472" s="18" t="n">
        <v>67295</v>
      </c>
      <c r="W1472" s="18" t="n"/>
      <c r="X1472" s="35" t="n"/>
      <c r="Y1472" s="35" t="n">
        <v>9.031000000000001</v>
      </c>
    </row>
    <row r="1473">
      <c r="A1473" s="25" t="n">
        <v>40989</v>
      </c>
      <c r="B1473" s="18" t="n">
        <v>66860</v>
      </c>
      <c r="C1473" s="31" t="n"/>
      <c r="D1473" s="32" t="n"/>
      <c r="E1473" s="33" t="n">
        <v>-0.6932</v>
      </c>
      <c r="F1473" t="inlineStr">
        <is>
          <t>Down</t>
        </is>
      </c>
      <c r="G1473" t="inlineStr">
        <is>
          <t>Down</t>
        </is>
      </c>
      <c r="H1473" t="inlineStr">
        <is>
          <t>ED_JD</t>
        </is>
      </c>
      <c r="I1473" t="inlineStr">
        <is>
          <t>2012-03</t>
        </is>
      </c>
      <c r="J1473" t="n">
        <v>1</v>
      </c>
      <c r="K1473" t="n">
        <v>1</v>
      </c>
      <c r="L1473" s="34">
        <f>IF($J1473=1,LN(B1474/B1473),"")</f>
        <v/>
      </c>
      <c r="M1473" s="34">
        <f>IF($K1473=1,INDEX(Mensal!$D$2:$D$245,MATCH($I1473,Mensal!$A$2:$A$245,0)),"")</f>
        <v/>
      </c>
      <c r="N1473" s="34">
        <f>IF($K1473=1,L1473-M1473,"")</f>
        <v/>
      </c>
      <c r="O1473" s="34" t="n">
        <v>0.00035948</v>
      </c>
      <c r="P1473" s="34">
        <f>IF($J1473=1,LN(1+O1473),"")</f>
        <v/>
      </c>
      <c r="Q1473" s="34">
        <f>IF($J1473=1,LN(R1474/R1473),"")</f>
        <v/>
      </c>
      <c r="R1473" s="32" t="n">
        <v>1.8267</v>
      </c>
      <c r="S1473" s="35" t="n">
        <v>9</v>
      </c>
      <c r="T1473" s="18" t="n"/>
      <c r="U1473" s="18" t="n"/>
      <c r="V1473" s="18" t="n">
        <v>66860</v>
      </c>
      <c r="W1473" s="18" t="n"/>
      <c r="X1473" s="35" t="n"/>
      <c r="Y1473" s="35" t="n">
        <v>9</v>
      </c>
    </row>
    <row r="1474">
      <c r="A1474" s="25" t="n">
        <v>40990</v>
      </c>
      <c r="B1474" s="18" t="n">
        <v>65828</v>
      </c>
      <c r="C1474" s="31" t="n"/>
      <c r="D1474" s="32" t="n"/>
      <c r="E1474" s="33" t="n">
        <v>-0.7432</v>
      </c>
      <c r="F1474" t="inlineStr">
        <is>
          <t>Down</t>
        </is>
      </c>
      <c r="G1474" t="inlineStr">
        <is>
          <t>Down</t>
        </is>
      </c>
      <c r="H1474" t="inlineStr">
        <is>
          <t>ED_JD</t>
        </is>
      </c>
      <c r="I1474" t="inlineStr">
        <is>
          <t>2012-03</t>
        </is>
      </c>
      <c r="J1474" t="n">
        <v>1</v>
      </c>
      <c r="K1474" t="n">
        <v>1</v>
      </c>
      <c r="L1474" s="34">
        <f>IF($J1474=1,LN(B1475/B1474),"")</f>
        <v/>
      </c>
      <c r="M1474" s="34">
        <f>IF($K1474=1,INDEX(Mensal!$D$2:$D$245,MATCH($I1474,Mensal!$A$2:$A$245,0)),"")</f>
        <v/>
      </c>
      <c r="N1474" s="34">
        <f>IF($K1474=1,L1474-M1474,"")</f>
        <v/>
      </c>
      <c r="O1474" s="34" t="n">
        <v>0.00035948</v>
      </c>
      <c r="P1474" s="34">
        <f>IF($J1474=1,LN(1+O1474),"")</f>
        <v/>
      </c>
      <c r="Q1474" s="34">
        <f>IF($J1474=1,LN(R1475/R1474),"")</f>
        <v/>
      </c>
      <c r="R1474" s="32" t="n">
        <v>1.825</v>
      </c>
      <c r="S1474" s="35" t="n">
        <v>8.981999999999999</v>
      </c>
      <c r="T1474" s="18" t="n"/>
      <c r="U1474" s="18" t="n"/>
      <c r="V1474" s="18" t="n">
        <v>65828</v>
      </c>
      <c r="W1474" s="18" t="n"/>
      <c r="X1474" s="35" t="n"/>
      <c r="Y1474" s="35" t="n">
        <v>8.981999999999999</v>
      </c>
    </row>
    <row r="1475">
      <c r="A1475" s="25" t="n">
        <v>40991</v>
      </c>
      <c r="B1475" s="18" t="n">
        <v>65812</v>
      </c>
      <c r="C1475" s="31" t="n"/>
      <c r="D1475" s="32" t="n"/>
      <c r="E1475" s="33" t="n">
        <v>-0.7901</v>
      </c>
      <c r="F1475" t="inlineStr">
        <is>
          <t>Down</t>
        </is>
      </c>
      <c r="G1475" t="inlineStr">
        <is>
          <t>Down</t>
        </is>
      </c>
      <c r="H1475" t="inlineStr">
        <is>
          <t>ED_JD</t>
        </is>
      </c>
      <c r="I1475" t="inlineStr">
        <is>
          <t>2012-03</t>
        </is>
      </c>
      <c r="J1475" t="n">
        <v>1</v>
      </c>
      <c r="K1475" t="n">
        <v>1</v>
      </c>
      <c r="L1475" s="34">
        <f>IF($J1475=1,LN(B1476/B1475),"")</f>
        <v/>
      </c>
      <c r="M1475" s="34">
        <f>IF($K1475=1,INDEX(Mensal!$D$2:$D$245,MATCH($I1475,Mensal!$A$2:$A$245,0)),"")</f>
        <v/>
      </c>
      <c r="N1475" s="34">
        <f>IF($K1475=1,L1475-M1475,"")</f>
        <v/>
      </c>
      <c r="O1475" s="34" t="n">
        <v>0.00036093</v>
      </c>
      <c r="P1475" s="34">
        <f>IF($J1475=1,LN(1+O1475),"")</f>
        <v/>
      </c>
      <c r="Q1475" s="34">
        <f>IF($J1475=1,LN(R1476/R1475),"")</f>
        <v/>
      </c>
      <c r="R1475" s="32" t="n">
        <v>1.8194</v>
      </c>
      <c r="S1475" s="35" t="n">
        <v>8.973000000000001</v>
      </c>
      <c r="T1475" s="18" t="n"/>
      <c r="U1475" s="18" t="n"/>
      <c r="V1475" s="18" t="n">
        <v>65812</v>
      </c>
      <c r="W1475" s="18" t="n"/>
      <c r="X1475" s="35" t="n"/>
      <c r="Y1475" s="35" t="n">
        <v>8.973000000000001</v>
      </c>
    </row>
    <row r="1476">
      <c r="A1476" s="25" t="n">
        <v>40994</v>
      </c>
      <c r="B1476" s="18" t="n">
        <v>66684</v>
      </c>
      <c r="C1476" s="31" t="n"/>
      <c r="D1476" s="32" t="n"/>
      <c r="E1476" s="33" t="n">
        <v>-0.8334</v>
      </c>
      <c r="F1476" t="inlineStr">
        <is>
          <t>Down</t>
        </is>
      </c>
      <c r="G1476" t="inlineStr">
        <is>
          <t>Down</t>
        </is>
      </c>
      <c r="H1476" t="inlineStr">
        <is>
          <t>ED_JD</t>
        </is>
      </c>
      <c r="I1476" t="inlineStr">
        <is>
          <t>2012-03</t>
        </is>
      </c>
      <c r="J1476" t="n">
        <v>1</v>
      </c>
      <c r="K1476" t="n">
        <v>1</v>
      </c>
      <c r="L1476" s="34">
        <f>IF($J1476=1,LN(B1477/B1476),"")</f>
        <v/>
      </c>
      <c r="M1476" s="34">
        <f>IF($K1476=1,INDEX(Mensal!$D$2:$D$245,MATCH($I1476,Mensal!$A$2:$A$245,0)),"")</f>
        <v/>
      </c>
      <c r="N1476" s="34">
        <f>IF($K1476=1,L1476-M1476,"")</f>
        <v/>
      </c>
      <c r="O1476" s="34" t="n">
        <v>0.00035984</v>
      </c>
      <c r="P1476" s="34">
        <f>IF($J1476=1,LN(1+O1476),"")</f>
        <v/>
      </c>
      <c r="Q1476" s="34">
        <f>IF($J1476=1,LN(R1477/R1476),"")</f>
        <v/>
      </c>
      <c r="R1476" s="32" t="n">
        <v>1.8143</v>
      </c>
      <c r="S1476" s="35" t="n">
        <v>9.005000000000001</v>
      </c>
      <c r="T1476" s="18" t="n"/>
      <c r="U1476" s="18" t="n"/>
      <c r="V1476" s="18" t="n">
        <v>66684</v>
      </c>
      <c r="W1476" s="18" t="n"/>
      <c r="X1476" s="35" t="n"/>
      <c r="Y1476" s="35" t="n">
        <v>9.005000000000001</v>
      </c>
    </row>
    <row r="1477">
      <c r="A1477" s="25" t="n">
        <v>40995</v>
      </c>
      <c r="B1477" s="18" t="n">
        <v>66037</v>
      </c>
      <c r="C1477" s="31" t="n"/>
      <c r="D1477" s="32" t="n"/>
      <c r="E1477" s="33" t="n">
        <v>-0.8752</v>
      </c>
      <c r="F1477" t="inlineStr">
        <is>
          <t>Down</t>
        </is>
      </c>
      <c r="G1477" t="inlineStr">
        <is>
          <t>Down</t>
        </is>
      </c>
      <c r="H1477" t="inlineStr">
        <is>
          <t>ED_JD</t>
        </is>
      </c>
      <c r="I1477" t="inlineStr">
        <is>
          <t>2012-03</t>
        </is>
      </c>
      <c r="J1477" t="n">
        <v>1</v>
      </c>
      <c r="K1477" t="n">
        <v>1</v>
      </c>
      <c r="L1477" s="34">
        <f>IF($J1477=1,LN(B1478/B1477),"")</f>
        <v/>
      </c>
      <c r="M1477" s="34">
        <f>IF($K1477=1,INDEX(Mensal!$D$2:$D$245,MATCH($I1477,Mensal!$A$2:$A$245,0)),"")</f>
        <v/>
      </c>
      <c r="N1477" s="34">
        <f>IF($K1477=1,L1477-M1477,"")</f>
        <v/>
      </c>
      <c r="O1477" s="34" t="n">
        <v>0.00035984</v>
      </c>
      <c r="P1477" s="34">
        <f>IF($J1477=1,LN(1+O1477),"")</f>
        <v/>
      </c>
      <c r="Q1477" s="34">
        <f>IF($J1477=1,LN(R1478/R1477),"")</f>
        <v/>
      </c>
      <c r="R1477" s="32" t="n">
        <v>1.8135</v>
      </c>
      <c r="S1477" s="35" t="n">
        <v>8.965999999999999</v>
      </c>
      <c r="T1477" s="18" t="n"/>
      <c r="U1477" s="18" t="n"/>
      <c r="V1477" s="18" t="n">
        <v>66037</v>
      </c>
      <c r="W1477" s="18" t="n"/>
      <c r="X1477" s="35" t="n"/>
      <c r="Y1477" s="35" t="n">
        <v>8.965999999999999</v>
      </c>
    </row>
    <row r="1478">
      <c r="A1478" s="25" t="n">
        <v>40996</v>
      </c>
      <c r="B1478" s="18" t="n">
        <v>65079</v>
      </c>
      <c r="C1478" s="31" t="n"/>
      <c r="D1478" s="32" t="n"/>
      <c r="E1478" s="33" t="n">
        <v>-0.9173</v>
      </c>
      <c r="F1478" t="inlineStr">
        <is>
          <t>Down</t>
        </is>
      </c>
      <c r="G1478" t="inlineStr">
        <is>
          <t>Down</t>
        </is>
      </c>
      <c r="H1478" t="inlineStr">
        <is>
          <t>ED_JD</t>
        </is>
      </c>
      <c r="I1478" t="inlineStr">
        <is>
          <t>2012-03</t>
        </is>
      </c>
      <c r="J1478" t="n">
        <v>1</v>
      </c>
      <c r="K1478" t="n">
        <v>1</v>
      </c>
      <c r="L1478" s="34">
        <f>IF($J1478=1,LN(B1479/B1478),"")</f>
        <v/>
      </c>
      <c r="M1478" s="34">
        <f>IF($K1478=1,INDEX(Mensal!$D$2:$D$245,MATCH($I1478,Mensal!$A$2:$A$245,0)),"")</f>
        <v/>
      </c>
      <c r="N1478" s="34">
        <f>IF($K1478=1,L1478-M1478,"")</f>
        <v/>
      </c>
      <c r="O1478" s="34" t="n">
        <v>0.00035948</v>
      </c>
      <c r="P1478" s="34">
        <f>IF($J1478=1,LN(1+O1478),"")</f>
        <v/>
      </c>
      <c r="Q1478" s="34">
        <f>IF($J1478=1,LN(R1479/R1478),"")</f>
        <v/>
      </c>
      <c r="R1478" s="32" t="n">
        <v>1.8223</v>
      </c>
      <c r="S1478" s="35" t="n">
        <v>8.957000000000001</v>
      </c>
      <c r="T1478" s="18" t="n"/>
      <c r="U1478" s="18" t="n"/>
      <c r="V1478" s="18" t="n">
        <v>65079</v>
      </c>
      <c r="W1478" s="18" t="n"/>
      <c r="X1478" s="35" t="n"/>
      <c r="Y1478" s="35" t="n">
        <v>8.957000000000001</v>
      </c>
    </row>
    <row r="1479">
      <c r="A1479" s="25" t="n">
        <v>40997</v>
      </c>
      <c r="B1479" s="18" t="n">
        <v>64871</v>
      </c>
      <c r="C1479" s="31" t="n"/>
      <c r="D1479" s="32" t="n"/>
      <c r="E1479" s="33" t="n">
        <v>-0.9582000000000001</v>
      </c>
      <c r="F1479" t="inlineStr">
        <is>
          <t>Down</t>
        </is>
      </c>
      <c r="G1479" t="inlineStr">
        <is>
          <t>Down</t>
        </is>
      </c>
      <c r="H1479" t="inlineStr">
        <is>
          <t>ED_JD</t>
        </is>
      </c>
      <c r="I1479" t="inlineStr">
        <is>
          <t>2012-03</t>
        </is>
      </c>
      <c r="J1479" t="n">
        <v>1</v>
      </c>
      <c r="K1479" t="n">
        <v>1</v>
      </c>
      <c r="L1479" s="34">
        <f>IF($J1479=1,LN(B1480/B1479),"")</f>
        <v/>
      </c>
      <c r="M1479" s="34">
        <f>IF($K1479=1,INDEX(Mensal!$D$2:$D$245,MATCH($I1479,Mensal!$A$2:$A$245,0)),"")</f>
        <v/>
      </c>
      <c r="N1479" s="34">
        <f>IF($K1479=1,L1479-M1479,"")</f>
        <v/>
      </c>
      <c r="O1479" s="34" t="n">
        <v>0.00035948</v>
      </c>
      <c r="P1479" s="34">
        <f>IF($J1479=1,LN(1+O1479),"")</f>
        <v/>
      </c>
      <c r="Q1479" s="34">
        <f>IF($J1479=1,LN(R1480/R1479),"")</f>
        <v/>
      </c>
      <c r="R1479" s="32" t="n">
        <v>1.8334</v>
      </c>
      <c r="S1479" s="35" t="n">
        <v>8.958</v>
      </c>
      <c r="T1479" s="18" t="n"/>
      <c r="U1479" s="18" t="n"/>
      <c r="V1479" s="18" t="n">
        <v>64871</v>
      </c>
      <c r="W1479" s="18" t="n"/>
      <c r="X1479" s="35" t="n"/>
      <c r="Y1479" s="35" t="n">
        <v>8.958</v>
      </c>
    </row>
    <row r="1480">
      <c r="A1480" s="25" t="n">
        <v>40998</v>
      </c>
      <c r="B1480" s="18" t="n">
        <v>64510</v>
      </c>
      <c r="C1480" s="31" t="n"/>
      <c r="D1480" s="32" t="n"/>
      <c r="E1480" s="33" t="n">
        <v>-0.9951</v>
      </c>
      <c r="F1480" t="inlineStr">
        <is>
          <t>Down</t>
        </is>
      </c>
      <c r="G1480" t="inlineStr">
        <is>
          <t>Down</t>
        </is>
      </c>
      <c r="H1480" t="inlineStr">
        <is>
          <t>ED_JD</t>
        </is>
      </c>
      <c r="I1480" t="inlineStr">
        <is>
          <t>2012-03</t>
        </is>
      </c>
      <c r="J1480" t="n">
        <v>1</v>
      </c>
      <c r="K1480" t="n">
        <v>1</v>
      </c>
      <c r="L1480" s="34">
        <f>IF($J1480=1,LN(B1481/B1480),"")</f>
        <v/>
      </c>
      <c r="M1480" s="34">
        <f>IF($K1480=1,INDEX(Mensal!$D$2:$D$245,MATCH($I1480,Mensal!$A$2:$A$245,0)),"")</f>
        <v/>
      </c>
      <c r="N1480" s="34">
        <f>IF($K1480=1,L1480-M1480,"")</f>
        <v/>
      </c>
      <c r="O1480" s="34" t="n">
        <v>0.00036093</v>
      </c>
      <c r="P1480" s="34">
        <f>IF($J1480=1,LN(1+O1480),"")</f>
        <v/>
      </c>
      <c r="Q1480" s="34">
        <f>IF($J1480=1,LN(R1481/R1480),"")</f>
        <v/>
      </c>
      <c r="R1480" s="32" t="n">
        <v>1.8221</v>
      </c>
      <c r="S1480" s="35" t="n">
        <v>8.957000000000001</v>
      </c>
      <c r="T1480" s="18" t="n"/>
      <c r="U1480" s="18" t="n"/>
      <c r="V1480" s="18" t="n">
        <v>64510</v>
      </c>
      <c r="W1480" s="18" t="n"/>
      <c r="X1480" s="35" t="n"/>
      <c r="Y1480" s="35" t="n">
        <v>8.957000000000001</v>
      </c>
    </row>
    <row r="1481">
      <c r="A1481" s="25" t="n">
        <v>41001</v>
      </c>
      <c r="B1481" s="18" t="n">
        <v>65216</v>
      </c>
      <c r="C1481" s="31" t="n"/>
      <c r="D1481" s="32" t="n"/>
      <c r="E1481" s="33" t="n">
        <v>-1.0324</v>
      </c>
      <c r="F1481" t="inlineStr">
        <is>
          <t>Down</t>
        </is>
      </c>
      <c r="G1481" t="inlineStr">
        <is>
          <t>Down</t>
        </is>
      </c>
      <c r="H1481" t="inlineStr">
        <is>
          <t>ED_JD</t>
        </is>
      </c>
      <c r="I1481" t="inlineStr">
        <is>
          <t>2012-04</t>
        </is>
      </c>
      <c r="J1481" t="n">
        <v>1</v>
      </c>
      <c r="K1481" t="n">
        <v>1</v>
      </c>
      <c r="L1481" s="34">
        <f>IF($J1481=1,LN(B1482/B1481),"")</f>
        <v/>
      </c>
      <c r="M1481" s="34">
        <f>IF($K1481=1,INDEX(Mensal!$D$2:$D$245,MATCH($I1481,Mensal!$A$2:$A$245,0)),"")</f>
        <v/>
      </c>
      <c r="N1481" s="34">
        <f>IF($K1481=1,L1481-M1481,"")</f>
        <v/>
      </c>
      <c r="O1481" s="34" t="n">
        <v>0.0003602</v>
      </c>
      <c r="P1481" s="34">
        <f>IF($J1481=1,LN(1+O1481),"")</f>
        <v/>
      </c>
      <c r="Q1481" s="34">
        <f>IF($J1481=1,LN(R1482/R1481),"")</f>
        <v/>
      </c>
      <c r="R1481" s="32" t="n">
        <v>1.8314</v>
      </c>
      <c r="S1481" s="35" t="n">
        <v>8.9</v>
      </c>
      <c r="T1481" s="18" t="n"/>
      <c r="U1481" s="18" t="n"/>
      <c r="V1481" s="18" t="n">
        <v>65216</v>
      </c>
      <c r="W1481" s="18" t="n"/>
      <c r="X1481" s="35" t="n"/>
      <c r="Y1481" s="35" t="n">
        <v>8.9</v>
      </c>
    </row>
    <row r="1482">
      <c r="A1482" s="25" t="n">
        <v>41002</v>
      </c>
      <c r="B1482" s="18" t="n">
        <v>64284</v>
      </c>
      <c r="C1482" s="31" t="n"/>
      <c r="D1482" s="32" t="n"/>
      <c r="E1482" s="33" t="n">
        <v>-1.0119</v>
      </c>
      <c r="F1482" t="inlineStr">
        <is>
          <t>Down</t>
        </is>
      </c>
      <c r="G1482" t="inlineStr">
        <is>
          <t>Down</t>
        </is>
      </c>
      <c r="H1482" t="inlineStr">
        <is>
          <t>ED_JD</t>
        </is>
      </c>
      <c r="I1482" t="inlineStr">
        <is>
          <t>2012-04</t>
        </is>
      </c>
      <c r="J1482" t="n">
        <v>1</v>
      </c>
      <c r="K1482" t="n">
        <v>1</v>
      </c>
      <c r="L1482" s="34">
        <f>IF($J1482=1,LN(B1483/B1482),"")</f>
        <v/>
      </c>
      <c r="M1482" s="34">
        <f>IF($K1482=1,INDEX(Mensal!$D$2:$D$245,MATCH($I1482,Mensal!$A$2:$A$245,0)),"")</f>
        <v/>
      </c>
      <c r="N1482" s="34">
        <f>IF($K1482=1,L1482-M1482,"")</f>
        <v/>
      </c>
      <c r="O1482" s="34" t="n">
        <v>0.0003602</v>
      </c>
      <c r="P1482" s="34">
        <f>IF($J1482=1,LN(1+O1482),"")</f>
        <v/>
      </c>
      <c r="Q1482" s="34">
        <f>IF($J1482=1,LN(R1483/R1482),"")</f>
        <v/>
      </c>
      <c r="R1482" s="32" t="n">
        <v>1.8256</v>
      </c>
      <c r="S1482" s="35" t="n">
        <v>8.890000000000001</v>
      </c>
      <c r="T1482" s="18" t="n"/>
      <c r="U1482" s="18" t="n"/>
      <c r="V1482" s="18" t="n">
        <v>64284</v>
      </c>
      <c r="W1482" s="18" t="n"/>
      <c r="X1482" s="35" t="n"/>
      <c r="Y1482" s="35" t="n">
        <v>8.890000000000001</v>
      </c>
    </row>
    <row r="1483">
      <c r="A1483" s="25" t="n">
        <v>41003</v>
      </c>
      <c r="B1483" s="18" t="n">
        <v>63529</v>
      </c>
      <c r="C1483" s="31" t="n"/>
      <c r="D1483" s="32" t="n"/>
      <c r="E1483" s="33" t="n">
        <v>-0.9874000000000001</v>
      </c>
      <c r="F1483" t="inlineStr">
        <is>
          <t>Down</t>
        </is>
      </c>
      <c r="G1483" t="inlineStr">
        <is>
          <t>Down</t>
        </is>
      </c>
      <c r="H1483" t="inlineStr">
        <is>
          <t>ED_JD</t>
        </is>
      </c>
      <c r="I1483" t="inlineStr">
        <is>
          <t>2012-04</t>
        </is>
      </c>
      <c r="J1483" t="n">
        <v>1</v>
      </c>
      <c r="K1483" t="n">
        <v>1</v>
      </c>
      <c r="L1483" s="34">
        <f>IF($J1483=1,LN(B1484/B1483),"")</f>
        <v/>
      </c>
      <c r="M1483" s="34">
        <f>IF($K1483=1,INDEX(Mensal!$D$2:$D$245,MATCH($I1483,Mensal!$A$2:$A$245,0)),"")</f>
        <v/>
      </c>
      <c r="N1483" s="34">
        <f>IF($K1483=1,L1483-M1483,"")</f>
        <v/>
      </c>
      <c r="O1483" s="34" t="n">
        <v>0.00036129</v>
      </c>
      <c r="P1483" s="34">
        <f>IF($J1483=1,LN(1+O1483),"")</f>
        <v/>
      </c>
      <c r="Q1483" s="34">
        <f>IF($J1483=1,LN(R1484/R1483),"")</f>
        <v/>
      </c>
      <c r="R1483" s="32" t="n">
        <v>1.8316</v>
      </c>
      <c r="S1483" s="35" t="n">
        <v>8.800000000000001</v>
      </c>
      <c r="T1483" s="18" t="n"/>
      <c r="U1483" s="18" t="n"/>
      <c r="V1483" s="18" t="n">
        <v>63529</v>
      </c>
      <c r="W1483" s="18" t="n"/>
      <c r="X1483" s="35" t="n"/>
      <c r="Y1483" s="35" t="n">
        <v>8.800000000000001</v>
      </c>
    </row>
    <row r="1484">
      <c r="A1484" s="25" t="n">
        <v>41004</v>
      </c>
      <c r="B1484" s="18" t="n">
        <v>63691</v>
      </c>
      <c r="C1484" s="31" t="n"/>
      <c r="D1484" s="32" t="n"/>
      <c r="E1484" s="33" t="n">
        <v>-0.9639</v>
      </c>
      <c r="F1484" t="inlineStr">
        <is>
          <t>Down</t>
        </is>
      </c>
      <c r="G1484" t="inlineStr">
        <is>
          <t>Down</t>
        </is>
      </c>
      <c r="H1484" t="inlineStr">
        <is>
          <t>ED_JD</t>
        </is>
      </c>
      <c r="I1484" t="inlineStr">
        <is>
          <t>2012-04</t>
        </is>
      </c>
      <c r="J1484" t="n">
        <v>1</v>
      </c>
      <c r="K1484" t="n">
        <v>1</v>
      </c>
      <c r="L1484" s="34">
        <f>IF($J1484=1,LN(B1485/B1484),"")</f>
        <v/>
      </c>
      <c r="M1484" s="34">
        <f>IF($K1484=1,INDEX(Mensal!$D$2:$D$245,MATCH($I1484,Mensal!$A$2:$A$245,0)),"")</f>
        <v/>
      </c>
      <c r="N1484" s="34">
        <f>IF($K1484=1,L1484-M1484,"")</f>
        <v/>
      </c>
      <c r="O1484" s="34" t="n">
        <v>0.00036093</v>
      </c>
      <c r="P1484" s="34">
        <f>IF($J1484=1,LN(1+O1484),"")</f>
        <v/>
      </c>
      <c r="Q1484" s="34">
        <f>IF($J1484=1,LN(R1485/R1484),"")</f>
        <v/>
      </c>
      <c r="R1484" s="32" t="n">
        <v>1.8301</v>
      </c>
      <c r="S1484" s="35" t="n">
        <v>8.77</v>
      </c>
      <c r="T1484" s="18" t="n"/>
      <c r="U1484" s="18" t="n"/>
      <c r="V1484" s="18" t="n">
        <v>63691</v>
      </c>
      <c r="W1484" s="18" t="n"/>
      <c r="X1484" s="35" t="n"/>
      <c r="Y1484" s="35" t="n">
        <v>8.77</v>
      </c>
    </row>
    <row r="1485">
      <c r="A1485" s="25" t="n">
        <v>41008</v>
      </c>
      <c r="B1485" s="18" t="n">
        <v>62923</v>
      </c>
      <c r="C1485" s="31" t="n"/>
      <c r="D1485" s="32" t="n"/>
      <c r="E1485" s="33" t="n">
        <v>-0.9324</v>
      </c>
      <c r="F1485" t="inlineStr">
        <is>
          <t>Down</t>
        </is>
      </c>
      <c r="G1485" t="inlineStr">
        <is>
          <t>Down</t>
        </is>
      </c>
      <c r="H1485" t="inlineStr">
        <is>
          <t>ED_JD</t>
        </is>
      </c>
      <c r="I1485" t="inlineStr">
        <is>
          <t>2012-04</t>
        </is>
      </c>
      <c r="J1485" t="n">
        <v>1</v>
      </c>
      <c r="K1485" t="n">
        <v>1</v>
      </c>
      <c r="L1485" s="34">
        <f>IF($J1485=1,LN(B1486/B1485),"")</f>
        <v/>
      </c>
      <c r="M1485" s="34">
        <f>IF($K1485=1,INDEX(Mensal!$D$2:$D$245,MATCH($I1485,Mensal!$A$2:$A$245,0)),"")</f>
        <v/>
      </c>
      <c r="N1485" s="34">
        <f>IF($K1485=1,L1485-M1485,"")</f>
        <v/>
      </c>
      <c r="O1485" s="34" t="n">
        <v>0.0003602</v>
      </c>
      <c r="P1485" s="34">
        <f>IF($J1485=1,LN(1+O1485),"")</f>
        <v/>
      </c>
      <c r="Q1485" s="34">
        <f>IF($J1485=1,LN(R1486/R1485),"")</f>
        <v/>
      </c>
      <c r="R1485" s="32" t="n">
        <v>1.826</v>
      </c>
      <c r="S1485" s="35" t="n">
        <v>8.734999999999999</v>
      </c>
      <c r="T1485" s="18" t="n"/>
      <c r="U1485" s="18" t="n"/>
      <c r="V1485" s="18" t="n">
        <v>62923</v>
      </c>
      <c r="W1485" s="18" t="n"/>
      <c r="X1485" s="35" t="n"/>
      <c r="Y1485" s="35" t="n">
        <v>8.734999999999999</v>
      </c>
    </row>
    <row r="1486">
      <c r="A1486" s="25" t="n">
        <v>41009</v>
      </c>
      <c r="B1486" s="18" t="n">
        <v>61738</v>
      </c>
      <c r="C1486" s="31" t="n"/>
      <c r="D1486" s="32" t="n"/>
      <c r="E1486" s="33" t="n">
        <v>-0.9019</v>
      </c>
      <c r="F1486" t="inlineStr">
        <is>
          <t>Down</t>
        </is>
      </c>
      <c r="G1486" t="inlineStr">
        <is>
          <t>Down</t>
        </is>
      </c>
      <c r="H1486" t="inlineStr">
        <is>
          <t>ED_JD</t>
        </is>
      </c>
      <c r="I1486" t="inlineStr">
        <is>
          <t>2012-04</t>
        </is>
      </c>
      <c r="J1486" t="n">
        <v>1</v>
      </c>
      <c r="K1486" t="n">
        <v>1</v>
      </c>
      <c r="L1486" s="34">
        <f>IF($J1486=1,LN(B1487/B1486),"")</f>
        <v/>
      </c>
      <c r="M1486" s="34">
        <f>IF($K1486=1,INDEX(Mensal!$D$2:$D$245,MATCH($I1486,Mensal!$A$2:$A$245,0)),"")</f>
        <v/>
      </c>
      <c r="N1486" s="34">
        <f>IF($K1486=1,L1486-M1486,"")</f>
        <v/>
      </c>
      <c r="O1486" s="34" t="n">
        <v>0.00036093</v>
      </c>
      <c r="P1486" s="34">
        <f>IF($J1486=1,LN(1+O1486),"")</f>
        <v/>
      </c>
      <c r="Q1486" s="34">
        <f>IF($J1486=1,LN(R1487/R1486),"")</f>
        <v/>
      </c>
      <c r="R1486" s="32" t="n">
        <v>1.8317</v>
      </c>
      <c r="S1486" s="35" t="n">
        <v>8.756</v>
      </c>
      <c r="T1486" s="18" t="n"/>
      <c r="U1486" s="18" t="n"/>
      <c r="V1486" s="18" t="n">
        <v>61738</v>
      </c>
      <c r="W1486" s="18" t="n"/>
      <c r="X1486" s="35" t="n"/>
      <c r="Y1486" s="35" t="n">
        <v>8.756</v>
      </c>
    </row>
    <row r="1487">
      <c r="A1487" s="25" t="n">
        <v>41010</v>
      </c>
      <c r="B1487" s="18" t="n">
        <v>61293</v>
      </c>
      <c r="C1487" s="31" t="n"/>
      <c r="D1487" s="32" t="n"/>
      <c r="E1487" s="33" t="n">
        <v>-0.8773</v>
      </c>
      <c r="F1487" t="inlineStr">
        <is>
          <t>Down</t>
        </is>
      </c>
      <c r="G1487" t="inlineStr">
        <is>
          <t>Down</t>
        </is>
      </c>
      <c r="H1487" t="inlineStr">
        <is>
          <t>ED_JD</t>
        </is>
      </c>
      <c r="I1487" t="inlineStr">
        <is>
          <t>2012-04</t>
        </is>
      </c>
      <c r="J1487" t="n">
        <v>1</v>
      </c>
      <c r="K1487" t="n">
        <v>1</v>
      </c>
      <c r="L1487" s="34">
        <f>IF($J1487=1,LN(B1488/B1487),"")</f>
        <v/>
      </c>
      <c r="M1487" s="34">
        <f>IF($K1487=1,INDEX(Mensal!$D$2:$D$245,MATCH($I1487,Mensal!$A$2:$A$245,0)),"")</f>
        <v/>
      </c>
      <c r="N1487" s="34">
        <f>IF($K1487=1,L1487-M1487,"")</f>
        <v/>
      </c>
      <c r="O1487" s="34" t="n">
        <v>0.00035984</v>
      </c>
      <c r="P1487" s="34">
        <f>IF($J1487=1,LN(1+O1487),"")</f>
        <v/>
      </c>
      <c r="Q1487" s="34">
        <f>IF($J1487=1,LN(R1488/R1487),"")</f>
        <v/>
      </c>
      <c r="R1487" s="32" t="n">
        <v>1.8303</v>
      </c>
      <c r="S1487" s="35" t="n">
        <v>8.757999999999999</v>
      </c>
      <c r="T1487" s="18" t="n"/>
      <c r="U1487" s="18" t="n"/>
      <c r="V1487" s="18" t="n">
        <v>61293</v>
      </c>
      <c r="W1487" s="18" t="n"/>
      <c r="X1487" s="35" t="n"/>
      <c r="Y1487" s="35" t="n">
        <v>8.757999999999999</v>
      </c>
    </row>
    <row r="1488">
      <c r="A1488" s="25" t="n">
        <v>41011</v>
      </c>
      <c r="B1488" s="18" t="n">
        <v>63058</v>
      </c>
      <c r="C1488" s="31" t="n"/>
      <c r="D1488" s="32" t="n"/>
      <c r="E1488" s="33" t="n">
        <v>-0.8446</v>
      </c>
      <c r="F1488" t="inlineStr">
        <is>
          <t>Down</t>
        </is>
      </c>
      <c r="G1488" t="inlineStr">
        <is>
          <t>Down</t>
        </is>
      </c>
      <c r="H1488" t="inlineStr">
        <is>
          <t>ED_JD</t>
        </is>
      </c>
      <c r="I1488" t="inlineStr">
        <is>
          <t>2012-04</t>
        </is>
      </c>
      <c r="J1488" t="n">
        <v>1</v>
      </c>
      <c r="K1488" t="n">
        <v>1</v>
      </c>
      <c r="L1488" s="34">
        <f>IF($J1488=1,LN(B1489/B1488),"")</f>
        <v/>
      </c>
      <c r="M1488" s="34">
        <f>IF($K1488=1,INDEX(Mensal!$D$2:$D$245,MATCH($I1488,Mensal!$A$2:$A$245,0)),"")</f>
        <v/>
      </c>
      <c r="N1488" s="34">
        <f>IF($K1488=1,L1488-M1488,"")</f>
        <v/>
      </c>
      <c r="O1488" s="34" t="n">
        <v>0.00035948</v>
      </c>
      <c r="P1488" s="34">
        <f>IF($J1488=1,LN(1+O1488),"")</f>
        <v/>
      </c>
      <c r="Q1488" s="34">
        <f>IF($J1488=1,LN(R1489/R1488),"")</f>
        <v/>
      </c>
      <c r="R1488" s="32" t="n">
        <v>1.827</v>
      </c>
      <c r="S1488" s="35" t="n">
        <v>8.708</v>
      </c>
      <c r="T1488" s="18" t="n"/>
      <c r="U1488" s="18" t="n"/>
      <c r="V1488" s="18" t="n">
        <v>63058</v>
      </c>
      <c r="W1488" s="18" t="n"/>
      <c r="X1488" s="35" t="n"/>
      <c r="Y1488" s="35" t="n">
        <v>8.708</v>
      </c>
    </row>
    <row r="1489">
      <c r="A1489" s="25" t="n">
        <v>41012</v>
      </c>
      <c r="B1489" s="18" t="n">
        <v>62105</v>
      </c>
      <c r="C1489" s="31" t="n"/>
      <c r="D1489" s="32" t="n"/>
      <c r="E1489" s="33" t="n">
        <v>-0.8177</v>
      </c>
      <c r="F1489" t="inlineStr">
        <is>
          <t>Down</t>
        </is>
      </c>
      <c r="G1489" t="inlineStr">
        <is>
          <t>Down</t>
        </is>
      </c>
      <c r="H1489" t="inlineStr">
        <is>
          <t>ED_JD</t>
        </is>
      </c>
      <c r="I1489" t="inlineStr">
        <is>
          <t>2012-04</t>
        </is>
      </c>
      <c r="J1489" t="n">
        <v>1</v>
      </c>
      <c r="K1489" t="n">
        <v>1</v>
      </c>
      <c r="L1489" s="34">
        <f>IF($J1489=1,LN(B1490/B1489),"")</f>
        <v/>
      </c>
      <c r="M1489" s="34">
        <f>IF($K1489=1,INDEX(Mensal!$D$2:$D$245,MATCH($I1489,Mensal!$A$2:$A$245,0)),"")</f>
        <v/>
      </c>
      <c r="N1489" s="34">
        <f>IF($K1489=1,L1489-M1489,"")</f>
        <v/>
      </c>
      <c r="O1489" s="34" t="n">
        <v>0.00035948</v>
      </c>
      <c r="P1489" s="34">
        <f>IF($J1489=1,LN(1+O1489),"")</f>
        <v/>
      </c>
      <c r="Q1489" s="34">
        <f>IF($J1489=1,LN(R1490/R1489),"")</f>
        <v/>
      </c>
      <c r="R1489" s="32" t="n">
        <v>1.8364</v>
      </c>
      <c r="S1489" s="35" t="n">
        <v>8.707000000000001</v>
      </c>
      <c r="T1489" s="18" t="n"/>
      <c r="U1489" s="18" t="n"/>
      <c r="V1489" s="18" t="n">
        <v>62105</v>
      </c>
      <c r="W1489" s="18" t="n"/>
      <c r="X1489" s="35" t="n"/>
      <c r="Y1489" s="35" t="n">
        <v>8.707000000000001</v>
      </c>
    </row>
    <row r="1490">
      <c r="A1490" s="25" t="n">
        <v>41015</v>
      </c>
      <c r="B1490" s="18" t="n">
        <v>61954</v>
      </c>
      <c r="C1490" s="31" t="n"/>
      <c r="D1490" s="32" t="n"/>
      <c r="E1490" s="33" t="n">
        <v>-0.7806</v>
      </c>
      <c r="F1490" t="inlineStr">
        <is>
          <t>Down</t>
        </is>
      </c>
      <c r="G1490" t="inlineStr">
        <is>
          <t>Down</t>
        </is>
      </c>
      <c r="H1490" t="inlineStr">
        <is>
          <t>ED_JD</t>
        </is>
      </c>
      <c r="I1490" t="inlineStr">
        <is>
          <t>2012-04</t>
        </is>
      </c>
      <c r="J1490" t="n">
        <v>1</v>
      </c>
      <c r="K1490" t="n">
        <v>1</v>
      </c>
      <c r="L1490" s="34">
        <f>IF($J1490=1,LN(B1491/B1490),"")</f>
        <v/>
      </c>
      <c r="M1490" s="34">
        <f>IF($K1490=1,INDEX(Mensal!$D$2:$D$245,MATCH($I1490,Mensal!$A$2:$A$245,0)),"")</f>
        <v/>
      </c>
      <c r="N1490" s="34">
        <f>IF($K1490=1,L1490-M1490,"")</f>
        <v/>
      </c>
      <c r="O1490" s="34" t="n">
        <v>0.00035911</v>
      </c>
      <c r="P1490" s="34">
        <f>IF($J1490=1,LN(1+O1490),"")</f>
        <v/>
      </c>
      <c r="Q1490" s="34">
        <f>IF($J1490=1,LN(R1491/R1490),"")</f>
        <v/>
      </c>
      <c r="R1490" s="32" t="n">
        <v>1.8373</v>
      </c>
      <c r="S1490" s="35" t="n">
        <v>8.728999999999999</v>
      </c>
      <c r="T1490" s="18" t="n"/>
      <c r="U1490" s="18" t="n"/>
      <c r="V1490" s="18" t="n">
        <v>61954</v>
      </c>
      <c r="W1490" s="18" t="n"/>
      <c r="X1490" s="35" t="n"/>
      <c r="Y1490" s="35" t="n">
        <v>8.728999999999999</v>
      </c>
    </row>
    <row r="1491">
      <c r="A1491" s="25" t="n">
        <v>41016</v>
      </c>
      <c r="B1491" s="18" t="n">
        <v>62698</v>
      </c>
      <c r="C1491" s="31" t="n"/>
      <c r="D1491" s="32" t="n"/>
      <c r="E1491" s="33" t="n">
        <v>-0.741</v>
      </c>
      <c r="F1491" t="inlineStr">
        <is>
          <t>Down</t>
        </is>
      </c>
      <c r="G1491" t="inlineStr">
        <is>
          <t>Down</t>
        </is>
      </c>
      <c r="H1491" t="inlineStr">
        <is>
          <t>ED_JD</t>
        </is>
      </c>
      <c r="I1491" t="inlineStr">
        <is>
          <t>2012-04</t>
        </is>
      </c>
      <c r="J1491" t="n">
        <v>1</v>
      </c>
      <c r="K1491" t="n">
        <v>1</v>
      </c>
      <c r="L1491" s="34">
        <f>IF($J1491=1,LN(B1492/B1491),"")</f>
        <v/>
      </c>
      <c r="M1491" s="34">
        <f>IF($K1491=1,INDEX(Mensal!$D$2:$D$245,MATCH($I1491,Mensal!$A$2:$A$245,0)),"")</f>
        <v/>
      </c>
      <c r="N1491" s="34">
        <f>IF($K1491=1,L1491-M1491,"")</f>
        <v/>
      </c>
      <c r="O1491" s="34" t="n">
        <v>0.00035875</v>
      </c>
      <c r="P1491" s="34">
        <f>IF($J1491=1,LN(1+O1491),"")</f>
        <v/>
      </c>
      <c r="Q1491" s="34">
        <f>IF($J1491=1,LN(R1492/R1491),"")</f>
        <v/>
      </c>
      <c r="R1491" s="32" t="n">
        <v>1.8454</v>
      </c>
      <c r="S1491" s="35" t="n">
        <v>8.673999999999999</v>
      </c>
      <c r="T1491" s="18" t="n"/>
      <c r="U1491" s="18" t="n"/>
      <c r="V1491" s="18" t="n">
        <v>62698</v>
      </c>
      <c r="W1491" s="18" t="n"/>
      <c r="X1491" s="35" t="n"/>
      <c r="Y1491" s="35" t="n">
        <v>8.673999999999999</v>
      </c>
    </row>
    <row r="1492">
      <c r="A1492" s="25" t="n">
        <v>41017</v>
      </c>
      <c r="B1492" s="18" t="n">
        <v>63010</v>
      </c>
      <c r="C1492" s="31" t="n"/>
      <c r="D1492" s="32" t="n"/>
      <c r="E1492" s="33" t="n">
        <v>-0.6939</v>
      </c>
      <c r="F1492" t="inlineStr">
        <is>
          <t>Down</t>
        </is>
      </c>
      <c r="G1492" t="inlineStr">
        <is>
          <t>Down</t>
        </is>
      </c>
      <c r="H1492" t="inlineStr">
        <is>
          <t>ED_JD</t>
        </is>
      </c>
      <c r="I1492" t="inlineStr">
        <is>
          <t>2012-04</t>
        </is>
      </c>
      <c r="J1492" t="n">
        <v>1</v>
      </c>
      <c r="K1492" t="n">
        <v>1</v>
      </c>
      <c r="L1492" s="34">
        <f>IF($J1492=1,LN(B1493/B1492),"")</f>
        <v/>
      </c>
      <c r="M1492" s="34">
        <f>IF($K1492=1,INDEX(Mensal!$D$2:$D$245,MATCH($I1492,Mensal!$A$2:$A$245,0)),"")</f>
        <v/>
      </c>
      <c r="N1492" s="34">
        <f>IF($K1492=1,L1492-M1492,"")</f>
        <v/>
      </c>
      <c r="O1492" s="34" t="n">
        <v>0.00035911</v>
      </c>
      <c r="P1492" s="34">
        <f>IF($J1492=1,LN(1+O1492),"")</f>
        <v/>
      </c>
      <c r="Q1492" s="34">
        <f>IF($J1492=1,LN(R1493/R1492),"")</f>
        <v/>
      </c>
      <c r="R1492" s="32" t="n">
        <v>1.8694</v>
      </c>
      <c r="S1492" s="35" t="n">
        <v>8.685</v>
      </c>
      <c r="T1492" s="18" t="n"/>
      <c r="U1492" s="18" t="n"/>
      <c r="V1492" s="18" t="n">
        <v>63010</v>
      </c>
      <c r="W1492" s="18" t="n"/>
      <c r="X1492" s="35" t="n"/>
      <c r="Y1492" s="35" t="n">
        <v>8.685</v>
      </c>
    </row>
    <row r="1493">
      <c r="A1493" s="25" t="n">
        <v>41018</v>
      </c>
      <c r="B1493" s="18" t="n">
        <v>62618</v>
      </c>
      <c r="C1493" s="31" t="n"/>
      <c r="D1493" s="32" t="n"/>
      <c r="E1493" s="33" t="n">
        <v>-0.6489</v>
      </c>
      <c r="F1493" t="inlineStr">
        <is>
          <t>Down</t>
        </is>
      </c>
      <c r="G1493" t="inlineStr">
        <is>
          <t>Down</t>
        </is>
      </c>
      <c r="H1493" t="inlineStr">
        <is>
          <t>ED_JD</t>
        </is>
      </c>
      <c r="I1493" t="inlineStr">
        <is>
          <t>2012-04</t>
        </is>
      </c>
      <c r="J1493" t="n">
        <v>1</v>
      </c>
      <c r="K1493" t="n">
        <v>1</v>
      </c>
      <c r="L1493" s="34">
        <f>IF($J1493=1,LN(B1494/B1493),"")</f>
        <v/>
      </c>
      <c r="M1493" s="34">
        <f>IF($K1493=1,INDEX(Mensal!$D$2:$D$245,MATCH($I1493,Mensal!$A$2:$A$245,0)),"")</f>
        <v/>
      </c>
      <c r="N1493" s="34">
        <f>IF($K1493=1,L1493-M1493,"")</f>
        <v/>
      </c>
      <c r="O1493" s="34" t="n">
        <v>0.00033182</v>
      </c>
      <c r="P1493" s="34">
        <f>IF($J1493=1,LN(1+O1493),"")</f>
        <v/>
      </c>
      <c r="Q1493" s="34">
        <f>IF($J1493=1,LN(R1494/R1493),"")</f>
        <v/>
      </c>
      <c r="R1493" s="32" t="n">
        <v>1.8867</v>
      </c>
      <c r="S1493" s="35" t="n">
        <v>8.439</v>
      </c>
      <c r="T1493" s="18" t="n"/>
      <c r="U1493" s="18" t="n"/>
      <c r="V1493" s="18" t="n">
        <v>62618</v>
      </c>
      <c r="W1493" s="18" t="n"/>
      <c r="X1493" s="35" t="n"/>
      <c r="Y1493" s="35" t="n">
        <v>8.439</v>
      </c>
    </row>
    <row r="1494">
      <c r="A1494" s="25" t="n">
        <v>41019</v>
      </c>
      <c r="B1494" s="18" t="n">
        <v>62494</v>
      </c>
      <c r="C1494" s="31" t="n"/>
      <c r="D1494" s="32" t="n"/>
      <c r="E1494" s="33" t="n">
        <v>-0.6019</v>
      </c>
      <c r="F1494" t="inlineStr">
        <is>
          <t>Down</t>
        </is>
      </c>
      <c r="G1494" t="inlineStr">
        <is>
          <t>Down</t>
        </is>
      </c>
      <c r="H1494" t="inlineStr">
        <is>
          <t>ED_JD</t>
        </is>
      </c>
      <c r="I1494" t="inlineStr">
        <is>
          <t>2012-04</t>
        </is>
      </c>
      <c r="J1494" t="n">
        <v>1</v>
      </c>
      <c r="K1494" t="n">
        <v>1</v>
      </c>
      <c r="L1494" s="34">
        <f>IF($J1494=1,LN(B1495/B1494),"")</f>
        <v/>
      </c>
      <c r="M1494" s="34">
        <f>IF($K1494=1,INDEX(Mensal!$D$2:$D$245,MATCH($I1494,Mensal!$A$2:$A$245,0)),"")</f>
        <v/>
      </c>
      <c r="N1494" s="34">
        <f>IF($K1494=1,L1494-M1494,"")</f>
        <v/>
      </c>
      <c r="O1494" s="34" t="n">
        <v>0.00033219</v>
      </c>
      <c r="P1494" s="34">
        <f>IF($J1494=1,LN(1+O1494),"")</f>
        <v/>
      </c>
      <c r="Q1494" s="34">
        <f>IF($J1494=1,LN(R1495/R1494),"")</f>
        <v/>
      </c>
      <c r="R1494" s="32" t="n">
        <v>1.8786</v>
      </c>
      <c r="S1494" s="35" t="n">
        <v>8.417</v>
      </c>
      <c r="T1494" s="18" t="n"/>
      <c r="U1494" s="18" t="n"/>
      <c r="V1494" s="18" t="n">
        <v>62494</v>
      </c>
      <c r="W1494" s="18" t="n"/>
      <c r="X1494" s="35" t="n"/>
      <c r="Y1494" s="35" t="n">
        <v>8.417</v>
      </c>
    </row>
    <row r="1495">
      <c r="A1495" s="25" t="n">
        <v>41022</v>
      </c>
      <c r="B1495" s="18" t="n">
        <v>61539</v>
      </c>
      <c r="C1495" s="31" t="n"/>
      <c r="D1495" s="32" t="n"/>
      <c r="E1495" s="33" t="n">
        <v>-0.5628</v>
      </c>
      <c r="F1495" t="inlineStr">
        <is>
          <t>Down</t>
        </is>
      </c>
      <c r="G1495" t="inlineStr">
        <is>
          <t>Down</t>
        </is>
      </c>
      <c r="H1495" t="inlineStr">
        <is>
          <t>ED_JD</t>
        </is>
      </c>
      <c r="I1495" t="inlineStr">
        <is>
          <t>2012-04</t>
        </is>
      </c>
      <c r="J1495" t="n">
        <v>1</v>
      </c>
      <c r="K1495" t="n">
        <v>1</v>
      </c>
      <c r="L1495" s="34">
        <f>IF($J1495=1,LN(B1496/B1495),"")</f>
        <v/>
      </c>
      <c r="M1495" s="34">
        <f>IF($K1495=1,INDEX(Mensal!$D$2:$D$245,MATCH($I1495,Mensal!$A$2:$A$245,0)),"")</f>
        <v/>
      </c>
      <c r="N1495" s="34">
        <f>IF($K1495=1,L1495-M1495,"")</f>
        <v/>
      </c>
      <c r="O1495" s="34" t="n">
        <v>0.00033365</v>
      </c>
      <c r="P1495" s="34">
        <f>IF($J1495=1,LN(1+O1495),"")</f>
        <v/>
      </c>
      <c r="Q1495" s="34">
        <f>IF($J1495=1,LN(R1496/R1495),"")</f>
        <v/>
      </c>
      <c r="R1495" s="32" t="n">
        <v>1.8864</v>
      </c>
      <c r="S1495" s="35" t="n">
        <v>8.494999999999999</v>
      </c>
      <c r="T1495" s="18" t="n"/>
      <c r="U1495" s="18" t="n"/>
      <c r="V1495" s="18" t="n">
        <v>61539</v>
      </c>
      <c r="W1495" s="18" t="n"/>
      <c r="X1495" s="35" t="n"/>
      <c r="Y1495" s="35" t="n">
        <v>8.494999999999999</v>
      </c>
    </row>
    <row r="1496">
      <c r="A1496" s="25" t="n">
        <v>41023</v>
      </c>
      <c r="B1496" s="18" t="n">
        <v>61971</v>
      </c>
      <c r="C1496" s="31" t="n"/>
      <c r="D1496" s="32" t="n"/>
      <c r="E1496" s="33" t="n">
        <v>-0.52</v>
      </c>
      <c r="F1496" t="inlineStr">
        <is>
          <t>Down</t>
        </is>
      </c>
      <c r="G1496" t="inlineStr">
        <is>
          <t>Down</t>
        </is>
      </c>
      <c r="H1496" t="inlineStr">
        <is>
          <t>ED_JD</t>
        </is>
      </c>
      <c r="I1496" t="inlineStr">
        <is>
          <t>2012-04</t>
        </is>
      </c>
      <c r="J1496" t="n">
        <v>1</v>
      </c>
      <c r="K1496" t="n">
        <v>1</v>
      </c>
      <c r="L1496" s="34">
        <f>IF($J1496=1,LN(B1497/B1496),"")</f>
        <v/>
      </c>
      <c r="M1496" s="34">
        <f>IF($K1496=1,INDEX(Mensal!$D$2:$D$245,MATCH($I1496,Mensal!$A$2:$A$245,0)),"")</f>
        <v/>
      </c>
      <c r="N1496" s="34">
        <f>IF($K1496=1,L1496-M1496,"")</f>
        <v/>
      </c>
      <c r="O1496" s="34" t="n">
        <v>0.00033182</v>
      </c>
      <c r="P1496" s="34">
        <f>IF($J1496=1,LN(1+O1496),"")</f>
        <v/>
      </c>
      <c r="Q1496" s="34">
        <f>IF($J1496=1,LN(R1497/R1496),"")</f>
        <v/>
      </c>
      <c r="R1496" s="32" t="n">
        <v>1.878</v>
      </c>
      <c r="S1496" s="35" t="n">
        <v>8.420999999999999</v>
      </c>
      <c r="T1496" s="18" t="n"/>
      <c r="U1496" s="18" t="n"/>
      <c r="V1496" s="18" t="n">
        <v>61971</v>
      </c>
      <c r="W1496" s="18" t="n"/>
      <c r="X1496" s="35" t="n"/>
      <c r="Y1496" s="35" t="n">
        <v>8.420999999999999</v>
      </c>
    </row>
    <row r="1497">
      <c r="A1497" s="25" t="n">
        <v>41024</v>
      </c>
      <c r="B1497" s="18" t="n">
        <v>61750</v>
      </c>
      <c r="C1497" s="31" t="n"/>
      <c r="D1497" s="32" t="n"/>
      <c r="E1497" s="33" t="n">
        <v>-0.4727</v>
      </c>
      <c r="F1497" t="inlineStr">
        <is>
          <t>Down</t>
        </is>
      </c>
      <c r="G1497" t="inlineStr">
        <is>
          <t>Down</t>
        </is>
      </c>
      <c r="H1497" t="inlineStr">
        <is>
          <t>ED_JD</t>
        </is>
      </c>
      <c r="I1497" t="inlineStr">
        <is>
          <t>2012-04</t>
        </is>
      </c>
      <c r="J1497" t="n">
        <v>1</v>
      </c>
      <c r="K1497" t="n">
        <v>1</v>
      </c>
      <c r="L1497" s="34">
        <f>IF($J1497=1,LN(B1498/B1497),"")</f>
        <v/>
      </c>
      <c r="M1497" s="34">
        <f>IF($K1497=1,INDEX(Mensal!$D$2:$D$245,MATCH($I1497,Mensal!$A$2:$A$245,0)),"")</f>
        <v/>
      </c>
      <c r="N1497" s="34">
        <f>IF($K1497=1,L1497-M1497,"")</f>
        <v/>
      </c>
      <c r="O1497" s="34" t="n">
        <v>0.00033182</v>
      </c>
      <c r="P1497" s="34">
        <f>IF($J1497=1,LN(1+O1497),"")</f>
        <v/>
      </c>
      <c r="Q1497" s="34">
        <f>IF($J1497=1,LN(R1498/R1497),"")</f>
        <v/>
      </c>
      <c r="R1497" s="32" t="n">
        <v>1.8807</v>
      </c>
      <c r="S1497" s="35" t="n">
        <v>8.417</v>
      </c>
      <c r="T1497" s="18" t="n"/>
      <c r="U1497" s="18" t="n"/>
      <c r="V1497" s="18" t="n">
        <v>61750</v>
      </c>
      <c r="W1497" s="18" t="n"/>
      <c r="X1497" s="35" t="n"/>
      <c r="Y1497" s="35" t="n">
        <v>8.417</v>
      </c>
    </row>
    <row r="1498">
      <c r="A1498" s="25" t="n">
        <v>41025</v>
      </c>
      <c r="B1498" s="18" t="n">
        <v>62198</v>
      </c>
      <c r="C1498" s="31" t="n"/>
      <c r="D1498" s="32" t="n"/>
      <c r="E1498" s="33" t="n">
        <v>-0.4284</v>
      </c>
      <c r="F1498" t="inlineStr">
        <is>
          <t>Down</t>
        </is>
      </c>
      <c r="G1498" t="inlineStr">
        <is>
          <t>Down</t>
        </is>
      </c>
      <c r="H1498" t="inlineStr">
        <is>
          <t>ED_JD</t>
        </is>
      </c>
      <c r="I1498" t="inlineStr">
        <is>
          <t>2012-04</t>
        </is>
      </c>
      <c r="J1498" t="n">
        <v>1</v>
      </c>
      <c r="K1498" t="n">
        <v>1</v>
      </c>
      <c r="L1498" s="34">
        <f>IF($J1498=1,LN(B1499/B1498),"")</f>
        <v/>
      </c>
      <c r="M1498" s="34">
        <f>IF($K1498=1,INDEX(Mensal!$D$2:$D$245,MATCH($I1498,Mensal!$A$2:$A$245,0)),"")</f>
        <v/>
      </c>
      <c r="N1498" s="34">
        <f>IF($K1498=1,L1498-M1498,"")</f>
        <v/>
      </c>
      <c r="O1498" s="34" t="n">
        <v>0.00033182</v>
      </c>
      <c r="P1498" s="34">
        <f>IF($J1498=1,LN(1+O1498),"")</f>
        <v/>
      </c>
      <c r="Q1498" s="34">
        <f>IF($J1498=1,LN(R1499/R1498),"")</f>
        <v/>
      </c>
      <c r="R1498" s="32" t="n">
        <v>1.8871</v>
      </c>
      <c r="S1498" s="35" t="n">
        <v>8.380000000000001</v>
      </c>
      <c r="T1498" s="18" t="n"/>
      <c r="U1498" s="18" t="n"/>
      <c r="V1498" s="18" t="n">
        <v>62198</v>
      </c>
      <c r="W1498" s="18" t="n"/>
      <c r="X1498" s="35" t="n"/>
      <c r="Y1498" s="35" t="n">
        <v>8.380000000000001</v>
      </c>
    </row>
    <row r="1499">
      <c r="A1499" s="25" t="n">
        <v>41026</v>
      </c>
      <c r="B1499" s="18" t="n">
        <v>61691</v>
      </c>
      <c r="C1499" s="31" t="n"/>
      <c r="D1499" s="32" t="n"/>
      <c r="E1499" s="33" t="n">
        <v>-0.3912</v>
      </c>
      <c r="F1499" t="inlineStr">
        <is>
          <t>Down</t>
        </is>
      </c>
      <c r="G1499" t="inlineStr">
        <is>
          <t>Down</t>
        </is>
      </c>
      <c r="H1499" t="inlineStr">
        <is>
          <t>ED_JD</t>
        </is>
      </c>
      <c r="I1499" t="inlineStr">
        <is>
          <t>2012-04</t>
        </is>
      </c>
      <c r="J1499" t="n">
        <v>1</v>
      </c>
      <c r="K1499" t="n">
        <v>1</v>
      </c>
      <c r="L1499" s="34">
        <f>IF($J1499=1,LN(B1500/B1499),"")</f>
        <v/>
      </c>
      <c r="M1499" s="34">
        <f>IF($K1499=1,INDEX(Mensal!$D$2:$D$245,MATCH($I1499,Mensal!$A$2:$A$245,0)),"")</f>
        <v/>
      </c>
      <c r="N1499" s="34">
        <f>IF($K1499=1,L1499-M1499,"")</f>
        <v/>
      </c>
      <c r="O1499" s="34" t="n">
        <v>0.00033219</v>
      </c>
      <c r="P1499" s="34">
        <f>IF($J1499=1,LN(1+O1499),"")</f>
        <v/>
      </c>
      <c r="Q1499" s="34">
        <f>IF($J1499=1,LN(R1500/R1499),"")</f>
        <v/>
      </c>
      <c r="R1499" s="32" t="n">
        <v>1.8852</v>
      </c>
      <c r="S1499" s="35" t="n">
        <v>8.289999999999999</v>
      </c>
      <c r="T1499" s="18" t="n"/>
      <c r="U1499" s="18" t="n"/>
      <c r="V1499" s="18" t="n">
        <v>61691</v>
      </c>
      <c r="W1499" s="18" t="n"/>
      <c r="X1499" s="35" t="n"/>
      <c r="Y1499" s="35" t="n">
        <v>8.289999999999999</v>
      </c>
    </row>
    <row r="1500">
      <c r="A1500" s="25" t="n">
        <v>41029</v>
      </c>
      <c r="B1500" s="18" t="n">
        <v>61820</v>
      </c>
      <c r="C1500" s="31" t="n"/>
      <c r="D1500" s="32" t="n"/>
      <c r="E1500" s="33" t="n">
        <v>-0.3468</v>
      </c>
      <c r="F1500" t="inlineStr">
        <is>
          <t>Down</t>
        </is>
      </c>
      <c r="G1500" t="inlineStr">
        <is>
          <t>Down</t>
        </is>
      </c>
      <c r="H1500" t="inlineStr">
        <is>
          <t>ED_JD</t>
        </is>
      </c>
      <c r="I1500" t="inlineStr">
        <is>
          <t>2012-04</t>
        </is>
      </c>
      <c r="J1500" t="n">
        <v>1</v>
      </c>
      <c r="K1500" t="n">
        <v>1</v>
      </c>
      <c r="L1500" s="34">
        <f>IF($J1500=1,LN(B1501/B1500),"")</f>
        <v/>
      </c>
      <c r="M1500" s="34">
        <f>IF($K1500=1,INDEX(Mensal!$D$2:$D$245,MATCH($I1500,Mensal!$A$2:$A$245,0)),"")</f>
        <v/>
      </c>
      <c r="N1500" s="34">
        <f>IF($K1500=1,L1500-M1500,"")</f>
        <v/>
      </c>
      <c r="O1500" s="34" t="n">
        <v>0.00033109</v>
      </c>
      <c r="P1500" s="34">
        <f>IF($J1500=1,LN(1+O1500),"")</f>
        <v/>
      </c>
      <c r="Q1500" s="34">
        <f>IF($J1500=1,LN(R1501/R1500),"")</f>
        <v/>
      </c>
      <c r="R1500" s="32" t="n">
        <v>1.8918</v>
      </c>
      <c r="S1500" s="35" t="n">
        <v>8.33</v>
      </c>
      <c r="T1500" s="18" t="n"/>
      <c r="U1500" s="18" t="n"/>
      <c r="V1500" s="18" t="n">
        <v>61820</v>
      </c>
      <c r="W1500" s="18" t="n"/>
      <c r="X1500" s="35" t="n"/>
      <c r="Y1500" s="35" t="n">
        <v>8.33</v>
      </c>
    </row>
    <row r="1501">
      <c r="A1501" s="25" t="n">
        <v>41031</v>
      </c>
      <c r="B1501" s="18" t="n">
        <v>62423</v>
      </c>
      <c r="C1501" s="31" t="n"/>
      <c r="D1501" s="32" t="n"/>
      <c r="E1501" s="33" t="n">
        <v>-0.3023</v>
      </c>
      <c r="F1501" t="inlineStr">
        <is>
          <t>Down</t>
        </is>
      </c>
      <c r="G1501" t="inlineStr">
        <is>
          <t>Down</t>
        </is>
      </c>
      <c r="H1501" t="inlineStr">
        <is>
          <t>ED_JD</t>
        </is>
      </c>
      <c r="I1501" t="inlineStr">
        <is>
          <t>2012-05</t>
        </is>
      </c>
      <c r="J1501" t="n">
        <v>1</v>
      </c>
      <c r="K1501" t="n">
        <v>1</v>
      </c>
      <c r="L1501" s="34">
        <f>IF($J1501=1,LN(B1502/B1501),"")</f>
        <v/>
      </c>
      <c r="M1501" s="34">
        <f>IF($K1501=1,INDEX(Mensal!$D$2:$D$245,MATCH($I1501,Mensal!$A$2:$A$245,0)),"")</f>
        <v/>
      </c>
      <c r="N1501" s="34">
        <f>IF($K1501=1,L1501-M1501,"")</f>
        <v/>
      </c>
      <c r="O1501" s="34" t="n">
        <v>0.00033328</v>
      </c>
      <c r="P1501" s="34">
        <f>IF($J1501=1,LN(1+O1501),"")</f>
        <v/>
      </c>
      <c r="Q1501" s="34">
        <f>IF($J1501=1,LN(R1502/R1501),"")</f>
        <v/>
      </c>
      <c r="R1501" s="32" t="n">
        <v>1.9149</v>
      </c>
      <c r="S1501" s="35" t="n">
        <v>8.159000000000001</v>
      </c>
      <c r="T1501" s="18" t="n"/>
      <c r="U1501" s="18" t="n"/>
      <c r="V1501" s="18" t="n">
        <v>62423</v>
      </c>
      <c r="W1501" s="18" t="n"/>
      <c r="X1501" s="35" t="n"/>
      <c r="Y1501" s="35" t="n">
        <v>8.159000000000001</v>
      </c>
    </row>
    <row r="1502">
      <c r="A1502" s="25" t="n">
        <v>41032</v>
      </c>
      <c r="B1502" s="18" t="n">
        <v>62104</v>
      </c>
      <c r="C1502" s="31" t="n"/>
      <c r="D1502" s="32" t="n"/>
      <c r="E1502" s="33" t="n">
        <v>-0.2624</v>
      </c>
      <c r="F1502" t="inlineStr">
        <is>
          <t>Down</t>
        </is>
      </c>
      <c r="G1502" t="inlineStr">
        <is>
          <t>Down</t>
        </is>
      </c>
      <c r="H1502" t="inlineStr">
        <is>
          <t>ED_JD</t>
        </is>
      </c>
      <c r="I1502" t="inlineStr">
        <is>
          <t>2012-05</t>
        </is>
      </c>
      <c r="J1502" t="n">
        <v>1</v>
      </c>
      <c r="K1502" t="n">
        <v>1</v>
      </c>
      <c r="L1502" s="34">
        <f>IF($J1502=1,LN(B1503/B1502),"")</f>
        <v/>
      </c>
      <c r="M1502" s="34">
        <f>IF($K1502=1,INDEX(Mensal!$D$2:$D$245,MATCH($I1502,Mensal!$A$2:$A$245,0)),"")</f>
        <v/>
      </c>
      <c r="N1502" s="34">
        <f>IF($K1502=1,L1502-M1502,"")</f>
        <v/>
      </c>
      <c r="O1502" s="34" t="n">
        <v>0.00033328</v>
      </c>
      <c r="P1502" s="34">
        <f>IF($J1502=1,LN(1+O1502),"")</f>
        <v/>
      </c>
      <c r="Q1502" s="34">
        <f>IF($J1502=1,LN(R1503/R1502),"")</f>
        <v/>
      </c>
      <c r="R1502" s="32" t="n">
        <v>1.9277</v>
      </c>
      <c r="S1502" s="35" t="n">
        <v>8.122</v>
      </c>
      <c r="T1502" s="18" t="n"/>
      <c r="U1502" s="18" t="n"/>
      <c r="V1502" s="18" t="n">
        <v>62104</v>
      </c>
      <c r="W1502" s="18" t="n"/>
      <c r="X1502" s="35" t="n"/>
      <c r="Y1502" s="35" t="n">
        <v>8.122</v>
      </c>
    </row>
    <row r="1503">
      <c r="A1503" s="25" t="n">
        <v>41033</v>
      </c>
      <c r="B1503" s="18" t="n">
        <v>60820</v>
      </c>
      <c r="C1503" s="31" t="n"/>
      <c r="D1503" s="32" t="n"/>
      <c r="E1503" s="33" t="n">
        <v>-0.2195</v>
      </c>
      <c r="F1503" t="inlineStr">
        <is>
          <t>Down</t>
        </is>
      </c>
      <c r="G1503" t="inlineStr">
        <is>
          <t>Down</t>
        </is>
      </c>
      <c r="H1503" t="inlineStr">
        <is>
          <t>ED_JD</t>
        </is>
      </c>
      <c r="I1503" t="inlineStr">
        <is>
          <t>2012-05</t>
        </is>
      </c>
      <c r="J1503" t="n">
        <v>1</v>
      </c>
      <c r="K1503" t="n">
        <v>1</v>
      </c>
      <c r="L1503" s="34">
        <f>IF($J1503=1,LN(B1504/B1503),"")</f>
        <v/>
      </c>
      <c r="M1503" s="34">
        <f>IF($K1503=1,INDEX(Mensal!$D$2:$D$245,MATCH($I1503,Mensal!$A$2:$A$245,0)),"")</f>
        <v/>
      </c>
      <c r="N1503" s="34">
        <f>IF($K1503=1,L1503-M1503,"")</f>
        <v/>
      </c>
      <c r="O1503" s="34" t="n">
        <v>0.00033146</v>
      </c>
      <c r="P1503" s="34">
        <f>IF($J1503=1,LN(1+O1503),"")</f>
        <v/>
      </c>
      <c r="Q1503" s="34">
        <f>IF($J1503=1,LN(R1504/R1503),"")</f>
        <v/>
      </c>
      <c r="R1503" s="32" t="n">
        <v>1.921</v>
      </c>
      <c r="S1503" s="35" t="n">
        <v>7.955</v>
      </c>
      <c r="T1503" s="18" t="n"/>
      <c r="U1503" s="18" t="n"/>
      <c r="V1503" s="18" t="n">
        <v>60820</v>
      </c>
      <c r="W1503" s="18" t="n"/>
      <c r="X1503" s="35" t="n"/>
      <c r="Y1503" s="35" t="n">
        <v>7.955</v>
      </c>
    </row>
    <row r="1504">
      <c r="A1504" s="25" t="n">
        <v>41036</v>
      </c>
      <c r="B1504" s="18" t="n">
        <v>61220</v>
      </c>
      <c r="C1504" s="31" t="n"/>
      <c r="D1504" s="32" t="n"/>
      <c r="E1504" s="33" t="n">
        <v>-0.1358</v>
      </c>
      <c r="F1504" t="inlineStr">
        <is>
          <t>Down</t>
        </is>
      </c>
      <c r="G1504" t="inlineStr">
        <is>
          <t>Down</t>
        </is>
      </c>
      <c r="H1504" t="inlineStr">
        <is>
          <t>ED_JD</t>
        </is>
      </c>
      <c r="I1504" t="inlineStr">
        <is>
          <t>2012-05</t>
        </is>
      </c>
      <c r="J1504" t="n">
        <v>1</v>
      </c>
      <c r="K1504" t="n">
        <v>1</v>
      </c>
      <c r="L1504" s="34">
        <f>IF($J1504=1,LN(B1505/B1504),"")</f>
        <v/>
      </c>
      <c r="M1504" s="34">
        <f>IF($K1504=1,INDEX(Mensal!$D$2:$D$245,MATCH($I1504,Mensal!$A$2:$A$245,0)),"")</f>
        <v/>
      </c>
      <c r="N1504" s="34">
        <f>IF($K1504=1,L1504-M1504,"")</f>
        <v/>
      </c>
      <c r="O1504" s="34" t="n">
        <v>0.00033146</v>
      </c>
      <c r="P1504" s="34">
        <f>IF($J1504=1,LN(1+O1504),"")</f>
        <v/>
      </c>
      <c r="Q1504" s="34">
        <f>IF($J1504=1,LN(R1505/R1504),"")</f>
        <v/>
      </c>
      <c r="R1504" s="32" t="n">
        <v>1.9268</v>
      </c>
      <c r="S1504" s="35" t="n">
        <v>7.912</v>
      </c>
      <c r="T1504" s="18" t="n"/>
      <c r="U1504" s="18" t="n"/>
      <c r="V1504" s="18" t="n">
        <v>61220</v>
      </c>
      <c r="W1504" s="18" t="n"/>
      <c r="X1504" s="35" t="n"/>
      <c r="Y1504" s="35" t="n">
        <v>7.912</v>
      </c>
    </row>
    <row r="1505">
      <c r="A1505" s="25" t="n">
        <v>41037</v>
      </c>
      <c r="B1505" s="18" t="n">
        <v>60365</v>
      </c>
      <c r="C1505" s="31" t="n"/>
      <c r="D1505" s="32" t="n"/>
      <c r="E1505" s="33" t="n">
        <v>-0.0549</v>
      </c>
      <c r="F1505" t="inlineStr">
        <is>
          <t>Down</t>
        </is>
      </c>
      <c r="G1505" t="inlineStr">
        <is>
          <t>Down</t>
        </is>
      </c>
      <c r="H1505" t="inlineStr">
        <is>
          <t>ED_JD</t>
        </is>
      </c>
      <c r="I1505" t="inlineStr">
        <is>
          <t>2012-05</t>
        </is>
      </c>
      <c r="J1505" t="n">
        <v>1</v>
      </c>
      <c r="K1505" t="n">
        <v>1</v>
      </c>
      <c r="L1505" s="34">
        <f>IF($J1505=1,LN(B1506/B1505),"")</f>
        <v/>
      </c>
      <c r="M1505" s="34">
        <f>IF($K1505=1,INDEX(Mensal!$D$2:$D$245,MATCH($I1505,Mensal!$A$2:$A$245,0)),"")</f>
        <v/>
      </c>
      <c r="N1505" s="34">
        <f>IF($K1505=1,L1505-M1505,"")</f>
        <v/>
      </c>
      <c r="O1505" s="34" t="n">
        <v>0.00033073</v>
      </c>
      <c r="P1505" s="34">
        <f>IF($J1505=1,LN(1+O1505),"")</f>
        <v/>
      </c>
      <c r="Q1505" s="34">
        <f>IF($J1505=1,LN(R1506/R1505),"")</f>
        <v/>
      </c>
      <c r="R1505" s="32" t="n">
        <v>1.9366</v>
      </c>
      <c r="S1505" s="35" t="n">
        <v>7.995</v>
      </c>
      <c r="T1505" s="18" t="n"/>
      <c r="U1505" s="18" t="n"/>
      <c r="V1505" s="18" t="n">
        <v>60365</v>
      </c>
      <c r="W1505" s="18" t="n"/>
      <c r="X1505" s="35" t="n"/>
      <c r="Y1505" s="35" t="n">
        <v>7.995</v>
      </c>
    </row>
    <row r="1506">
      <c r="A1506" s="25" t="n">
        <v>41038</v>
      </c>
      <c r="B1506" s="18" t="n">
        <v>59786</v>
      </c>
      <c r="C1506" s="31" t="n"/>
      <c r="D1506" s="32" t="n"/>
      <c r="E1506" s="33" t="n">
        <v>0.0269</v>
      </c>
      <c r="F1506" t="inlineStr">
        <is>
          <t>Down</t>
        </is>
      </c>
      <c r="G1506" t="inlineStr">
        <is>
          <t>Down</t>
        </is>
      </c>
      <c r="H1506" t="inlineStr">
        <is>
          <t>ED_JD</t>
        </is>
      </c>
      <c r="I1506" t="inlineStr">
        <is>
          <t>2012-05</t>
        </is>
      </c>
      <c r="J1506" t="n">
        <v>1</v>
      </c>
      <c r="K1506" t="n">
        <v>1</v>
      </c>
      <c r="L1506" s="34">
        <f>IF($J1506=1,LN(B1507/B1506),"")</f>
        <v/>
      </c>
      <c r="M1506" s="34">
        <f>IF($K1506=1,INDEX(Mensal!$D$2:$D$245,MATCH($I1506,Mensal!$A$2:$A$245,0)),"")</f>
        <v/>
      </c>
      <c r="N1506" s="34">
        <f>IF($K1506=1,L1506-M1506,"")</f>
        <v/>
      </c>
      <c r="O1506" s="34" t="n">
        <v>0.00033073</v>
      </c>
      <c r="P1506" s="34">
        <f>IF($J1506=1,LN(1+O1506),"")</f>
        <v/>
      </c>
      <c r="Q1506" s="34">
        <f>IF($J1506=1,LN(R1507/R1506),"")</f>
        <v/>
      </c>
      <c r="R1506" s="32" t="n">
        <v>1.9577</v>
      </c>
      <c r="S1506" s="35" t="n">
        <v>8.085000000000001</v>
      </c>
      <c r="T1506" s="18" t="n"/>
      <c r="U1506" s="18" t="n"/>
      <c r="V1506" s="18" t="n">
        <v>59786</v>
      </c>
      <c r="W1506" s="18" t="n"/>
      <c r="X1506" s="35" t="n"/>
      <c r="Y1506" s="35" t="n">
        <v>8.085000000000001</v>
      </c>
    </row>
    <row r="1507">
      <c r="A1507" s="25" t="n">
        <v>41039</v>
      </c>
      <c r="B1507" s="18" t="n">
        <v>59702</v>
      </c>
      <c r="C1507" s="31" t="n"/>
      <c r="D1507" s="32" t="n"/>
      <c r="E1507" s="33" t="n">
        <v>0.0994</v>
      </c>
      <c r="F1507" t="inlineStr">
        <is>
          <t>Down</t>
        </is>
      </c>
      <c r="G1507" t="inlineStr">
        <is>
          <t>Down</t>
        </is>
      </c>
      <c r="H1507" t="inlineStr">
        <is>
          <t>ED_JD</t>
        </is>
      </c>
      <c r="I1507" t="inlineStr">
        <is>
          <t>2012-05</t>
        </is>
      </c>
      <c r="J1507" t="n">
        <v>1</v>
      </c>
      <c r="K1507" t="n">
        <v>1</v>
      </c>
      <c r="L1507" s="34">
        <f>IF($J1507=1,LN(B1508/B1507),"")</f>
        <v/>
      </c>
      <c r="M1507" s="34">
        <f>IF($K1507=1,INDEX(Mensal!$D$2:$D$245,MATCH($I1507,Mensal!$A$2:$A$245,0)),"")</f>
        <v/>
      </c>
      <c r="N1507" s="34">
        <f>IF($K1507=1,L1507-M1507,"")</f>
        <v/>
      </c>
      <c r="O1507" s="34" t="n">
        <v>0.00033036</v>
      </c>
      <c r="P1507" s="34">
        <f>IF($J1507=1,LN(1+O1507),"")</f>
        <v/>
      </c>
      <c r="Q1507" s="34">
        <f>IF($J1507=1,LN(R1508/R1507),"")</f>
        <v/>
      </c>
      <c r="R1507" s="32" t="n">
        <v>1.9581</v>
      </c>
      <c r="S1507" s="35" t="n">
        <v>8.045</v>
      </c>
      <c r="T1507" s="18" t="n"/>
      <c r="U1507" s="18" t="n"/>
      <c r="V1507" s="18" t="n">
        <v>59702</v>
      </c>
      <c r="W1507" s="18" t="n"/>
      <c r="X1507" s="35" t="n"/>
      <c r="Y1507" s="35" t="n">
        <v>8.045</v>
      </c>
    </row>
    <row r="1508">
      <c r="A1508" s="25" t="n">
        <v>41040</v>
      </c>
      <c r="B1508" s="18" t="n">
        <v>59445</v>
      </c>
      <c r="C1508" s="31" t="n"/>
      <c r="D1508" s="32" t="n"/>
      <c r="E1508" s="33" t="n">
        <v>0.1652</v>
      </c>
      <c r="F1508" t="inlineStr">
        <is>
          <t>Down</t>
        </is>
      </c>
      <c r="G1508" t="inlineStr">
        <is>
          <t>Down</t>
        </is>
      </c>
      <c r="H1508" t="inlineStr">
        <is>
          <t>ED_JD</t>
        </is>
      </c>
      <c r="I1508" t="inlineStr">
        <is>
          <t>2012-05</t>
        </is>
      </c>
      <c r="J1508" t="n">
        <v>1</v>
      </c>
      <c r="K1508" t="n">
        <v>1</v>
      </c>
      <c r="L1508" s="34">
        <f>IF($J1508=1,LN(B1509/B1508),"")</f>
        <v/>
      </c>
      <c r="M1508" s="34">
        <f>IF($K1508=1,INDEX(Mensal!$D$2:$D$245,MATCH($I1508,Mensal!$A$2:$A$245,0)),"")</f>
        <v/>
      </c>
      <c r="N1508" s="34">
        <f>IF($K1508=1,L1508-M1508,"")</f>
        <v/>
      </c>
      <c r="O1508" s="34" t="n">
        <v>0.00033036</v>
      </c>
      <c r="P1508" s="34">
        <f>IF($J1508=1,LN(1+O1508),"")</f>
        <v/>
      </c>
      <c r="Q1508" s="34">
        <f>IF($J1508=1,LN(R1509/R1508),"")</f>
        <v/>
      </c>
      <c r="R1508" s="32" t="n">
        <v>1.9513</v>
      </c>
      <c r="S1508" s="35" t="n">
        <v>7.999</v>
      </c>
      <c r="T1508" s="18" t="n"/>
      <c r="U1508" s="18" t="n"/>
      <c r="V1508" s="18" t="n">
        <v>59445</v>
      </c>
      <c r="W1508" s="18" t="n"/>
      <c r="X1508" s="35" t="n"/>
      <c r="Y1508" s="35" t="n">
        <v>7.999</v>
      </c>
    </row>
    <row r="1509">
      <c r="A1509" s="25" t="n">
        <v>41043</v>
      </c>
      <c r="B1509" s="18" t="n">
        <v>57539</v>
      </c>
      <c r="C1509" s="31" t="n"/>
      <c r="D1509" s="32" t="n"/>
      <c r="E1509" s="33" t="n">
        <v>0.2286</v>
      </c>
      <c r="F1509" t="inlineStr">
        <is>
          <t>Down</t>
        </is>
      </c>
      <c r="G1509" t="inlineStr">
        <is>
          <t>Down</t>
        </is>
      </c>
      <c r="H1509" t="inlineStr">
        <is>
          <t>ED_JD</t>
        </is>
      </c>
      <c r="I1509" t="inlineStr">
        <is>
          <t>2012-05</t>
        </is>
      </c>
      <c r="J1509" t="n">
        <v>1</v>
      </c>
      <c r="K1509" t="n">
        <v>1</v>
      </c>
      <c r="L1509" s="34">
        <f>IF($J1509=1,LN(B1510/B1509),"")</f>
        <v/>
      </c>
      <c r="M1509" s="34">
        <f>IF($K1509=1,INDEX(Mensal!$D$2:$D$245,MATCH($I1509,Mensal!$A$2:$A$245,0)),"")</f>
        <v/>
      </c>
      <c r="N1509" s="34">
        <f>IF($K1509=1,L1509-M1509,"")</f>
        <v/>
      </c>
      <c r="O1509" s="34" t="n">
        <v>0.00032854</v>
      </c>
      <c r="P1509" s="34">
        <f>IF($J1509=1,LN(1+O1509),"")</f>
        <v/>
      </c>
      <c r="Q1509" s="34">
        <f>IF($J1509=1,LN(R1510/R1509),"")</f>
        <v/>
      </c>
      <c r="R1509" s="32" t="n">
        <v>1.9866</v>
      </c>
      <c r="S1509" s="35" t="n">
        <v>7.934</v>
      </c>
      <c r="T1509" s="18" t="n"/>
      <c r="U1509" s="18" t="n"/>
      <c r="V1509" s="18" t="n">
        <v>57539</v>
      </c>
      <c r="W1509" s="18" t="n"/>
      <c r="X1509" s="35" t="n"/>
      <c r="Y1509" s="35" t="n">
        <v>7.934</v>
      </c>
    </row>
    <row r="1510">
      <c r="A1510" s="25" t="n">
        <v>41044</v>
      </c>
      <c r="B1510" s="18" t="n">
        <v>56237</v>
      </c>
      <c r="C1510" s="31" t="n"/>
      <c r="D1510" s="32" t="n"/>
      <c r="E1510" s="33" t="n">
        <v>0.2822</v>
      </c>
      <c r="F1510" t="inlineStr">
        <is>
          <t>Down</t>
        </is>
      </c>
      <c r="G1510" t="inlineStr">
        <is>
          <t>Down</t>
        </is>
      </c>
      <c r="H1510" t="inlineStr">
        <is>
          <t>ED_JD</t>
        </is>
      </c>
      <c r="I1510" t="inlineStr">
        <is>
          <t>2012-05</t>
        </is>
      </c>
      <c r="J1510" t="n">
        <v>1</v>
      </c>
      <c r="K1510" t="n">
        <v>1</v>
      </c>
      <c r="L1510" s="34">
        <f>IF($J1510=1,LN(B1511/B1510),"")</f>
        <v/>
      </c>
      <c r="M1510" s="34">
        <f>IF($K1510=1,INDEX(Mensal!$D$2:$D$245,MATCH($I1510,Mensal!$A$2:$A$245,0)),"")</f>
        <v/>
      </c>
      <c r="N1510" s="34">
        <f>IF($K1510=1,L1510-M1510,"")</f>
        <v/>
      </c>
      <c r="O1510" s="34" t="n">
        <v>0.00033182</v>
      </c>
      <c r="P1510" s="34">
        <f>IF($J1510=1,LN(1+O1510),"")</f>
        <v/>
      </c>
      <c r="Q1510" s="34">
        <f>IF($J1510=1,LN(R1511/R1510),"")</f>
        <v/>
      </c>
      <c r="R1510" s="32" t="n">
        <v>1.9947</v>
      </c>
      <c r="S1510" s="35" t="n">
        <v>7.866</v>
      </c>
      <c r="T1510" s="18" t="n"/>
      <c r="U1510" s="18" t="n"/>
      <c r="V1510" s="18" t="n">
        <v>56237</v>
      </c>
      <c r="W1510" s="18" t="n"/>
      <c r="X1510" s="35" t="n"/>
      <c r="Y1510" s="35" t="n">
        <v>7.866</v>
      </c>
    </row>
    <row r="1511">
      <c r="A1511" s="25" t="n">
        <v>41045</v>
      </c>
      <c r="B1511" s="18" t="n">
        <v>55887</v>
      </c>
      <c r="C1511" s="31" t="n"/>
      <c r="D1511" s="32" t="n"/>
      <c r="E1511" s="33" t="n">
        <v>0.3342</v>
      </c>
      <c r="F1511" t="inlineStr">
        <is>
          <t>Down</t>
        </is>
      </c>
      <c r="G1511" t="inlineStr">
        <is>
          <t>Down</t>
        </is>
      </c>
      <c r="H1511" t="inlineStr">
        <is>
          <t>ED_JD</t>
        </is>
      </c>
      <c r="I1511" t="inlineStr">
        <is>
          <t>2012-05</t>
        </is>
      </c>
      <c r="J1511" t="n">
        <v>1</v>
      </c>
      <c r="K1511" t="n">
        <v>1</v>
      </c>
      <c r="L1511" s="34">
        <f>IF($J1511=1,LN(B1512/B1511),"")</f>
        <v/>
      </c>
      <c r="M1511" s="34">
        <f>IF($K1511=1,INDEX(Mensal!$D$2:$D$245,MATCH($I1511,Mensal!$A$2:$A$245,0)),"")</f>
        <v/>
      </c>
      <c r="N1511" s="34">
        <f>IF($K1511=1,L1511-M1511,"")</f>
        <v/>
      </c>
      <c r="O1511" s="34" t="n">
        <v>0.00033219</v>
      </c>
      <c r="P1511" s="34">
        <f>IF($J1511=1,LN(1+O1511),"")</f>
        <v/>
      </c>
      <c r="Q1511" s="34">
        <f>IF($J1511=1,LN(R1512/R1511),"")</f>
        <v/>
      </c>
      <c r="R1511" s="32" t="n">
        <v>1.9974</v>
      </c>
      <c r="S1511" s="35" t="n">
        <v>7.796</v>
      </c>
      <c r="T1511" s="18" t="n"/>
      <c r="U1511" s="18" t="n"/>
      <c r="V1511" s="18" t="n">
        <v>55887</v>
      </c>
      <c r="W1511" s="18" t="n"/>
      <c r="X1511" s="35" t="n"/>
      <c r="Y1511" s="35" t="n">
        <v>7.796</v>
      </c>
    </row>
    <row r="1512">
      <c r="A1512" s="25" t="n">
        <v>41046</v>
      </c>
      <c r="B1512" s="18" t="n">
        <v>54038</v>
      </c>
      <c r="C1512" s="31" t="n"/>
      <c r="D1512" s="32" t="n"/>
      <c r="E1512" s="33" t="n">
        <v>0.3799</v>
      </c>
      <c r="F1512" t="inlineStr">
        <is>
          <t>Down</t>
        </is>
      </c>
      <c r="G1512" t="inlineStr">
        <is>
          <t>Down</t>
        </is>
      </c>
      <c r="H1512" t="inlineStr">
        <is>
          <t>ED_JD</t>
        </is>
      </c>
      <c r="I1512" t="inlineStr">
        <is>
          <t>2012-05</t>
        </is>
      </c>
      <c r="J1512" t="n">
        <v>1</v>
      </c>
      <c r="K1512" t="n">
        <v>1</v>
      </c>
      <c r="L1512" s="34">
        <f>IF($J1512=1,LN(B1513/B1512),"")</f>
        <v/>
      </c>
      <c r="M1512" s="34">
        <f>IF($K1512=1,INDEX(Mensal!$D$2:$D$245,MATCH($I1512,Mensal!$A$2:$A$245,0)),"")</f>
        <v/>
      </c>
      <c r="N1512" s="34">
        <f>IF($K1512=1,L1512-M1512,"")</f>
        <v/>
      </c>
      <c r="O1512" s="34" t="n">
        <v>0.00033255</v>
      </c>
      <c r="P1512" s="34">
        <f>IF($J1512=1,LN(1+O1512),"")</f>
        <v/>
      </c>
      <c r="Q1512" s="34">
        <f>IF($J1512=1,LN(R1513/R1512),"")</f>
        <v/>
      </c>
      <c r="R1512" s="32" t="n">
        <v>1.9973</v>
      </c>
      <c r="S1512" s="35" t="n">
        <v>7.801</v>
      </c>
      <c r="T1512" s="18" t="n"/>
      <c r="U1512" s="18" t="n"/>
      <c r="V1512" s="18" t="n">
        <v>54038</v>
      </c>
      <c r="W1512" s="18" t="n"/>
      <c r="X1512" s="35" t="n"/>
      <c r="Y1512" s="35" t="n">
        <v>7.801</v>
      </c>
    </row>
    <row r="1513">
      <c r="A1513" s="25" t="n">
        <v>41047</v>
      </c>
      <c r="B1513" s="18" t="n">
        <v>54513</v>
      </c>
      <c r="C1513" s="31" t="n"/>
      <c r="D1513" s="32" t="n"/>
      <c r="E1513" s="33" t="n">
        <v>0.4208</v>
      </c>
      <c r="F1513" t="inlineStr">
        <is>
          <t>Down</t>
        </is>
      </c>
      <c r="G1513" t="inlineStr">
        <is>
          <t>Down</t>
        </is>
      </c>
      <c r="H1513" t="inlineStr">
        <is>
          <t>ED_JD</t>
        </is>
      </c>
      <c r="I1513" t="inlineStr">
        <is>
          <t>2012-05</t>
        </is>
      </c>
      <c r="J1513" t="n">
        <v>1</v>
      </c>
      <c r="K1513" t="n">
        <v>1</v>
      </c>
      <c r="L1513" s="34">
        <f>IF($J1513=1,LN(B1514/B1513),"")</f>
        <v/>
      </c>
      <c r="M1513" s="34">
        <f>IF($K1513=1,INDEX(Mensal!$D$2:$D$245,MATCH($I1513,Mensal!$A$2:$A$245,0)),"")</f>
        <v/>
      </c>
      <c r="N1513" s="34">
        <f>IF($K1513=1,L1513-M1513,"")</f>
        <v/>
      </c>
      <c r="O1513" s="34" t="n">
        <v>0.00033328</v>
      </c>
      <c r="P1513" s="34">
        <f>IF($J1513=1,LN(1+O1513),"")</f>
        <v/>
      </c>
      <c r="Q1513" s="34">
        <f>IF($J1513=1,LN(R1514/R1513),"")</f>
        <v/>
      </c>
      <c r="R1513" s="32" t="n">
        <v>2.0095</v>
      </c>
      <c r="S1513" s="35" t="n">
        <v>7.726</v>
      </c>
      <c r="T1513" s="18" t="n"/>
      <c r="U1513" s="18" t="n"/>
      <c r="V1513" s="18" t="n">
        <v>54513</v>
      </c>
      <c r="W1513" s="18" t="n"/>
      <c r="X1513" s="35" t="n"/>
      <c r="Y1513" s="35" t="n">
        <v>7.726</v>
      </c>
    </row>
    <row r="1514">
      <c r="A1514" s="25" t="n">
        <v>41050</v>
      </c>
      <c r="B1514" s="18" t="n">
        <v>56590</v>
      </c>
      <c r="C1514" s="31" t="n"/>
      <c r="D1514" s="32" t="n"/>
      <c r="E1514" s="33" t="n">
        <v>0.4402</v>
      </c>
      <c r="F1514" t="inlineStr">
        <is>
          <t>Down</t>
        </is>
      </c>
      <c r="G1514" t="inlineStr">
        <is>
          <t>Down</t>
        </is>
      </c>
      <c r="H1514" t="inlineStr">
        <is>
          <t>ED_JD</t>
        </is>
      </c>
      <c r="I1514" t="inlineStr">
        <is>
          <t>2012-05</t>
        </is>
      </c>
      <c r="J1514" t="n">
        <v>1</v>
      </c>
      <c r="K1514" t="n">
        <v>1</v>
      </c>
      <c r="L1514" s="34">
        <f>IF($J1514=1,LN(B1515/B1514),"")</f>
        <v/>
      </c>
      <c r="M1514" s="34">
        <f>IF($K1514=1,INDEX(Mensal!$D$2:$D$245,MATCH($I1514,Mensal!$A$2:$A$245,0)),"")</f>
        <v/>
      </c>
      <c r="N1514" s="34">
        <f>IF($K1514=1,L1514-M1514,"")</f>
        <v/>
      </c>
      <c r="O1514" s="34" t="n">
        <v>0.00033219</v>
      </c>
      <c r="P1514" s="34">
        <f>IF($J1514=1,LN(1+O1514),"")</f>
        <v/>
      </c>
      <c r="Q1514" s="34">
        <f>IF($J1514=1,LN(R1515/R1514),"")</f>
        <v/>
      </c>
      <c r="R1514" s="32" t="n">
        <v>2.0374</v>
      </c>
      <c r="S1514" s="35" t="n">
        <v>7.819</v>
      </c>
      <c r="T1514" s="18" t="n"/>
      <c r="U1514" s="18" t="n"/>
      <c r="V1514" s="18" t="n">
        <v>56590</v>
      </c>
      <c r="W1514" s="18" t="n"/>
      <c r="X1514" s="35" t="n"/>
      <c r="Y1514" s="35" t="n">
        <v>7.819</v>
      </c>
    </row>
    <row r="1515">
      <c r="A1515" s="25" t="n">
        <v>41051</v>
      </c>
      <c r="B1515" s="18" t="n">
        <v>55038</v>
      </c>
      <c r="C1515" s="31" t="n"/>
      <c r="D1515" s="32" t="n"/>
      <c r="E1515" s="33" t="n">
        <v>0.4633</v>
      </c>
      <c r="F1515" t="inlineStr">
        <is>
          <t>Down</t>
        </is>
      </c>
      <c r="G1515" t="inlineStr">
        <is>
          <t>Down</t>
        </is>
      </c>
      <c r="H1515" t="inlineStr">
        <is>
          <t>ED_JD</t>
        </is>
      </c>
      <c r="I1515" t="inlineStr">
        <is>
          <t>2012-05</t>
        </is>
      </c>
      <c r="J1515" t="n">
        <v>1</v>
      </c>
      <c r="K1515" t="n">
        <v>1</v>
      </c>
      <c r="L1515" s="34">
        <f>IF($J1515=1,LN(B1516/B1515),"")</f>
        <v/>
      </c>
      <c r="M1515" s="34">
        <f>IF($K1515=1,INDEX(Mensal!$D$2:$D$245,MATCH($I1515,Mensal!$A$2:$A$245,0)),"")</f>
        <v/>
      </c>
      <c r="N1515" s="34">
        <f>IF($K1515=1,L1515-M1515,"")</f>
        <v/>
      </c>
      <c r="O1515" s="34" t="n">
        <v>0.00033365</v>
      </c>
      <c r="P1515" s="34">
        <f>IF($J1515=1,LN(1+O1515),"")</f>
        <v/>
      </c>
      <c r="Q1515" s="34">
        <f>IF($J1515=1,LN(R1516/R1515),"")</f>
        <v/>
      </c>
      <c r="R1515" s="32" t="n">
        <v>2.0493</v>
      </c>
      <c r="S1515" s="35" t="n">
        <v>7.95</v>
      </c>
      <c r="T1515" s="18" t="n"/>
      <c r="U1515" s="18" t="n"/>
      <c r="V1515" s="18" t="n">
        <v>55038</v>
      </c>
      <c r="W1515" s="18" t="n"/>
      <c r="X1515" s="35" t="n"/>
      <c r="Y1515" s="35" t="n">
        <v>7.95</v>
      </c>
    </row>
    <row r="1516">
      <c r="A1516" s="25" t="n">
        <v>41052</v>
      </c>
      <c r="B1516" s="18" t="n">
        <v>54619</v>
      </c>
      <c r="C1516" s="31" t="n"/>
      <c r="D1516" s="32" t="n"/>
      <c r="E1516" s="33" t="n">
        <v>0.4822</v>
      </c>
      <c r="F1516" t="inlineStr">
        <is>
          <t>Down</t>
        </is>
      </c>
      <c r="G1516" t="inlineStr">
        <is>
          <t>Down</t>
        </is>
      </c>
      <c r="H1516" t="inlineStr">
        <is>
          <t>ED_JD</t>
        </is>
      </c>
      <c r="I1516" t="inlineStr">
        <is>
          <t>2012-05</t>
        </is>
      </c>
      <c r="J1516" t="n">
        <v>1</v>
      </c>
      <c r="K1516" t="n">
        <v>1</v>
      </c>
      <c r="L1516" s="34">
        <f>IF($J1516=1,LN(B1517/B1516),"")</f>
        <v/>
      </c>
      <c r="M1516" s="34">
        <f>IF($K1516=1,INDEX(Mensal!$D$2:$D$245,MATCH($I1516,Mensal!$A$2:$A$245,0)),"")</f>
        <v/>
      </c>
      <c r="N1516" s="34">
        <f>IF($K1516=1,L1516-M1516,"")</f>
        <v/>
      </c>
      <c r="O1516" s="34" t="n">
        <v>0.00033401</v>
      </c>
      <c r="P1516" s="34">
        <f>IF($J1516=1,LN(1+O1516),"")</f>
        <v/>
      </c>
      <c r="Q1516" s="34">
        <f>IF($J1516=1,LN(R1517/R1516),"")</f>
        <v/>
      </c>
      <c r="R1516" s="32" t="n">
        <v>2.0816</v>
      </c>
      <c r="S1516" s="35" t="n">
        <v>7.92</v>
      </c>
      <c r="T1516" s="18" t="n"/>
      <c r="U1516" s="18" t="n"/>
      <c r="V1516" s="18" t="n">
        <v>54619</v>
      </c>
      <c r="W1516" s="18" t="n"/>
      <c r="X1516" s="35" t="n"/>
      <c r="Y1516" s="35" t="n">
        <v>7.92</v>
      </c>
    </row>
    <row r="1517">
      <c r="A1517" s="25" t="n">
        <v>41053</v>
      </c>
      <c r="B1517" s="18" t="n">
        <v>54063</v>
      </c>
      <c r="C1517" s="31" t="n"/>
      <c r="D1517" s="32" t="n"/>
      <c r="E1517" s="33" t="n">
        <v>0.4951</v>
      </c>
      <c r="F1517" t="inlineStr">
        <is>
          <t>Down</t>
        </is>
      </c>
      <c r="G1517" t="inlineStr">
        <is>
          <t>Down</t>
        </is>
      </c>
      <c r="H1517" t="inlineStr">
        <is>
          <t>ED_JD</t>
        </is>
      </c>
      <c r="I1517" t="inlineStr">
        <is>
          <t>2012-05</t>
        </is>
      </c>
      <c r="J1517" t="n">
        <v>1</v>
      </c>
      <c r="K1517" t="n">
        <v>1</v>
      </c>
      <c r="L1517" s="34">
        <f>IF($J1517=1,LN(B1518/B1517),"")</f>
        <v/>
      </c>
      <c r="M1517" s="34">
        <f>IF($K1517=1,INDEX(Mensal!$D$2:$D$245,MATCH($I1517,Mensal!$A$2:$A$245,0)),"")</f>
        <v/>
      </c>
      <c r="N1517" s="34">
        <f>IF($K1517=1,L1517-M1517,"")</f>
        <v/>
      </c>
      <c r="O1517" s="34" t="n">
        <v>0.00033401</v>
      </c>
      <c r="P1517" s="34">
        <f>IF($J1517=1,LN(1+O1517),"")</f>
        <v/>
      </c>
      <c r="Q1517" s="34">
        <f>IF($J1517=1,LN(R1518/R1517),"")</f>
        <v/>
      </c>
      <c r="R1517" s="32" t="n">
        <v>2.0384</v>
      </c>
      <c r="S1517" s="35" t="n">
        <v>8.173999999999999</v>
      </c>
      <c r="T1517" s="18" t="n"/>
      <c r="U1517" s="18" t="n"/>
      <c r="V1517" s="18" t="n">
        <v>54063</v>
      </c>
      <c r="W1517" s="18" t="n"/>
      <c r="X1517" s="35" t="n"/>
      <c r="Y1517" s="35" t="n">
        <v>8.173999999999999</v>
      </c>
    </row>
    <row r="1518">
      <c r="A1518" s="25" t="n">
        <v>41054</v>
      </c>
      <c r="B1518" s="18" t="n">
        <v>54463</v>
      </c>
      <c r="C1518" s="31" t="n"/>
      <c r="D1518" s="32" t="n"/>
      <c r="E1518" s="33" t="n">
        <v>0.5054</v>
      </c>
      <c r="F1518" t="inlineStr">
        <is>
          <t>Down</t>
        </is>
      </c>
      <c r="G1518" t="inlineStr">
        <is>
          <t>Down</t>
        </is>
      </c>
      <c r="H1518" t="inlineStr">
        <is>
          <t>ED_JD</t>
        </is>
      </c>
      <c r="I1518" t="inlineStr">
        <is>
          <t>2012-05</t>
        </is>
      </c>
      <c r="J1518" t="n">
        <v>1</v>
      </c>
      <c r="K1518" t="n">
        <v>1</v>
      </c>
      <c r="L1518" s="34">
        <f>IF($J1518=1,LN(B1519/B1518),"")</f>
        <v/>
      </c>
      <c r="M1518" s="34">
        <f>IF($K1518=1,INDEX(Mensal!$D$2:$D$245,MATCH($I1518,Mensal!$A$2:$A$245,0)),"")</f>
        <v/>
      </c>
      <c r="N1518" s="34">
        <f>IF($K1518=1,L1518-M1518,"")</f>
        <v/>
      </c>
      <c r="O1518" s="34" t="n">
        <v>0.00033438</v>
      </c>
      <c r="P1518" s="34">
        <f>IF($J1518=1,LN(1+O1518),"")</f>
        <v/>
      </c>
      <c r="Q1518" s="34">
        <f>IF($J1518=1,LN(R1519/R1518),"")</f>
        <v/>
      </c>
      <c r="R1518" s="32" t="n">
        <v>2.0032</v>
      </c>
      <c r="S1518" s="35" t="n">
        <v>8.106</v>
      </c>
      <c r="T1518" s="18" t="n"/>
      <c r="U1518" s="18" t="n"/>
      <c r="V1518" s="18" t="n">
        <v>54463</v>
      </c>
      <c r="W1518" s="18" t="n"/>
      <c r="X1518" s="35" t="n"/>
      <c r="Y1518" s="35" t="n">
        <v>8.106</v>
      </c>
    </row>
    <row r="1519">
      <c r="A1519" s="25" t="n">
        <v>41057</v>
      </c>
      <c r="B1519" s="18" t="n">
        <v>55212</v>
      </c>
      <c r="C1519" s="31" t="n"/>
      <c r="D1519" s="32" t="n"/>
      <c r="E1519" s="33" t="n">
        <v>0.5138</v>
      </c>
      <c r="F1519" t="inlineStr">
        <is>
          <t>Down</t>
        </is>
      </c>
      <c r="G1519" t="inlineStr">
        <is>
          <t>Down</t>
        </is>
      </c>
      <c r="H1519" t="inlineStr">
        <is>
          <t>ED_JD</t>
        </is>
      </c>
      <c r="I1519" t="inlineStr">
        <is>
          <t>2012-05</t>
        </is>
      </c>
      <c r="J1519" t="n">
        <v>1</v>
      </c>
      <c r="K1519" t="n">
        <v>1</v>
      </c>
      <c r="L1519" s="34">
        <f>IF($J1519=1,LN(B1520/B1519),"")</f>
        <v/>
      </c>
      <c r="M1519" s="34">
        <f>IF($K1519=1,INDEX(Mensal!$D$2:$D$245,MATCH($I1519,Mensal!$A$2:$A$245,0)),"")</f>
        <v/>
      </c>
      <c r="N1519" s="34">
        <f>IF($K1519=1,L1519-M1519,"")</f>
        <v/>
      </c>
      <c r="O1519" s="34" t="n">
        <v>0.00033401</v>
      </c>
      <c r="P1519" s="34">
        <f>IF($J1519=1,LN(1+O1519),"")</f>
        <v/>
      </c>
      <c r="Q1519" s="34">
        <f>IF($J1519=1,LN(R1520/R1519),"")</f>
        <v/>
      </c>
      <c r="R1519" s="32" t="n">
        <v>1.9778</v>
      </c>
      <c r="S1519" s="35" t="n">
        <v>8.141999999999999</v>
      </c>
      <c r="T1519" s="18" t="n"/>
      <c r="U1519" s="18" t="n"/>
      <c r="V1519" s="18" t="n">
        <v>55212</v>
      </c>
      <c r="W1519" s="18" t="n"/>
      <c r="X1519" s="35" t="n"/>
      <c r="Y1519" s="35" t="n">
        <v>8.141999999999999</v>
      </c>
    </row>
    <row r="1520">
      <c r="A1520" s="25" t="n">
        <v>41058</v>
      </c>
      <c r="B1520" s="18" t="n">
        <v>54633</v>
      </c>
      <c r="C1520" s="31" t="n"/>
      <c r="D1520" s="32" t="n"/>
      <c r="E1520" s="33" t="n">
        <v>0.5097</v>
      </c>
      <c r="F1520" t="inlineStr">
        <is>
          <t>Down</t>
        </is>
      </c>
      <c r="G1520" t="inlineStr">
        <is>
          <t>Down</t>
        </is>
      </c>
      <c r="H1520" t="inlineStr">
        <is>
          <t>ED_JD</t>
        </is>
      </c>
      <c r="I1520" t="inlineStr">
        <is>
          <t>2012-05</t>
        </is>
      </c>
      <c r="J1520" t="n">
        <v>1</v>
      </c>
      <c r="K1520" t="n">
        <v>1</v>
      </c>
      <c r="L1520" s="34">
        <f>IF($J1520=1,LN(B1521/B1520),"")</f>
        <v/>
      </c>
      <c r="M1520" s="34">
        <f>IF($K1520=1,INDEX(Mensal!$D$2:$D$245,MATCH($I1520,Mensal!$A$2:$A$245,0)),"")</f>
        <v/>
      </c>
      <c r="N1520" s="34">
        <f>IF($K1520=1,L1520-M1520,"")</f>
        <v/>
      </c>
      <c r="O1520" s="34" t="n">
        <v>0.00033438</v>
      </c>
      <c r="P1520" s="34">
        <f>IF($J1520=1,LN(1+O1520),"")</f>
        <v/>
      </c>
      <c r="Q1520" s="34">
        <f>IF($J1520=1,LN(R1521/R1520),"")</f>
        <v/>
      </c>
      <c r="R1520" s="32" t="n">
        <v>1.9944</v>
      </c>
      <c r="S1520" s="35" t="n">
        <v>8.006</v>
      </c>
      <c r="T1520" s="18" t="n"/>
      <c r="U1520" s="18" t="n"/>
      <c r="V1520" s="18" t="n">
        <v>54633</v>
      </c>
      <c r="W1520" s="18" t="n"/>
      <c r="X1520" s="35" t="n"/>
      <c r="Y1520" s="35" t="n">
        <v>8.006</v>
      </c>
    </row>
    <row r="1521">
      <c r="A1521" s="25" t="n">
        <v>41059</v>
      </c>
      <c r="B1521" s="18" t="n">
        <v>53797</v>
      </c>
      <c r="C1521" s="31" t="n"/>
      <c r="D1521" s="32" t="n"/>
      <c r="E1521" s="33" t="n">
        <v>0.5052</v>
      </c>
      <c r="F1521" t="inlineStr">
        <is>
          <t>Down</t>
        </is>
      </c>
      <c r="G1521" t="inlineStr">
        <is>
          <t>Down</t>
        </is>
      </c>
      <c r="H1521" t="inlineStr">
        <is>
          <t>ED_JD</t>
        </is>
      </c>
      <c r="I1521" t="inlineStr">
        <is>
          <t>2012-05</t>
        </is>
      </c>
      <c r="J1521" t="n">
        <v>1</v>
      </c>
      <c r="K1521" t="n">
        <v>1</v>
      </c>
      <c r="L1521" s="34">
        <f>IF($J1521=1,LN(B1522/B1521),"")</f>
        <v/>
      </c>
      <c r="M1521" s="34">
        <f>IF($K1521=1,INDEX(Mensal!$D$2:$D$245,MATCH($I1521,Mensal!$A$2:$A$245,0)),"")</f>
        <v/>
      </c>
      <c r="N1521" s="34">
        <f>IF($K1521=1,L1521-M1521,"")</f>
        <v/>
      </c>
      <c r="O1521" s="34" t="n">
        <v>0.00033511</v>
      </c>
      <c r="P1521" s="34">
        <f>IF($J1521=1,LN(1+O1521),"")</f>
        <v/>
      </c>
      <c r="Q1521" s="34">
        <f>IF($J1521=1,LN(R1522/R1521),"")</f>
        <v/>
      </c>
      <c r="R1521" s="32" t="n">
        <v>2.0078</v>
      </c>
      <c r="S1521" s="35" t="n">
        <v>7.991</v>
      </c>
      <c r="T1521" s="18" t="n"/>
      <c r="U1521" s="18" t="n"/>
      <c r="V1521" s="18" t="n">
        <v>53797</v>
      </c>
      <c r="W1521" s="18" t="n"/>
      <c r="X1521" s="35" t="n"/>
      <c r="Y1521" s="35" t="n">
        <v>7.991</v>
      </c>
    </row>
    <row r="1522">
      <c r="A1522" s="25" t="n">
        <v>41060</v>
      </c>
      <c r="B1522" s="18" t="n">
        <v>54490</v>
      </c>
      <c r="C1522" s="31" t="n"/>
      <c r="D1522" s="32" t="n"/>
      <c r="E1522" s="33" t="n">
        <v>0.5023</v>
      </c>
      <c r="F1522" t="inlineStr">
        <is>
          <t>Down</t>
        </is>
      </c>
      <c r="G1522" t="inlineStr">
        <is>
          <t>Down</t>
        </is>
      </c>
      <c r="H1522" t="inlineStr">
        <is>
          <t>ED_JD</t>
        </is>
      </c>
      <c r="I1522" t="inlineStr">
        <is>
          <t>2012-05</t>
        </is>
      </c>
      <c r="J1522" t="n">
        <v>1</v>
      </c>
      <c r="K1522" t="n">
        <v>1</v>
      </c>
      <c r="L1522" s="34">
        <f>IF($J1522=1,LN(B1523/B1522),"")</f>
        <v/>
      </c>
      <c r="M1522" s="34">
        <f>IF($K1522=1,INDEX(Mensal!$D$2:$D$245,MATCH($I1522,Mensal!$A$2:$A$245,0)),"")</f>
        <v/>
      </c>
      <c r="N1522" s="34">
        <f>IF($K1522=1,L1522-M1522,"")</f>
        <v/>
      </c>
      <c r="O1522" s="34" t="n">
        <v>0.00031756</v>
      </c>
      <c r="P1522" s="34">
        <f>IF($J1522=1,LN(1+O1522),"")</f>
        <v/>
      </c>
      <c r="Q1522" s="34">
        <f>IF($J1522=1,LN(R1523/R1522),"")</f>
        <v/>
      </c>
      <c r="R1522" s="32" t="n">
        <v>2.0223</v>
      </c>
      <c r="S1522" s="35" t="n">
        <v>7.927</v>
      </c>
      <c r="T1522" s="18" t="n"/>
      <c r="U1522" s="18" t="n"/>
      <c r="V1522" s="18" t="n">
        <v>54490</v>
      </c>
      <c r="W1522" s="18" t="n"/>
      <c r="X1522" s="35" t="n"/>
      <c r="Y1522" s="35" t="n">
        <v>7.927</v>
      </c>
    </row>
    <row r="1523">
      <c r="A1523" s="25" t="n">
        <v>41061</v>
      </c>
      <c r="B1523" s="18" t="n">
        <v>53402</v>
      </c>
      <c r="C1523" s="31" t="n"/>
      <c r="D1523" s="32" t="n"/>
      <c r="E1523" s="33" t="n">
        <v>0.4969</v>
      </c>
      <c r="F1523" t="inlineStr">
        <is>
          <t>Down</t>
        </is>
      </c>
      <c r="G1523" t="inlineStr">
        <is>
          <t>Down</t>
        </is>
      </c>
      <c r="H1523" t="inlineStr">
        <is>
          <t>ED_JD</t>
        </is>
      </c>
      <c r="I1523" t="inlineStr">
        <is>
          <t>2012-06</t>
        </is>
      </c>
      <c r="J1523" t="n">
        <v>1</v>
      </c>
      <c r="K1523" t="n">
        <v>1</v>
      </c>
      <c r="L1523" s="34">
        <f>IF($J1523=1,LN(B1524/B1523),"")</f>
        <v/>
      </c>
      <c r="M1523" s="34">
        <f>IF($K1523=1,INDEX(Mensal!$D$2:$D$245,MATCH($I1523,Mensal!$A$2:$A$245,0)),"")</f>
        <v/>
      </c>
      <c r="N1523" s="34">
        <f>IF($K1523=1,L1523-M1523,"")</f>
        <v/>
      </c>
      <c r="O1523" s="34" t="n">
        <v>0.00031792</v>
      </c>
      <c r="P1523" s="34">
        <f>IF($J1523=1,LN(1+O1523),"")</f>
        <v/>
      </c>
      <c r="Q1523" s="34">
        <f>IF($J1523=1,LN(R1524/R1523),"")</f>
        <v/>
      </c>
      <c r="R1523" s="32" t="n">
        <v>2.035</v>
      </c>
      <c r="S1523" s="35" t="n">
        <v>7.887</v>
      </c>
      <c r="T1523" s="18" t="n"/>
      <c r="U1523" s="18" t="n"/>
      <c r="V1523" s="18" t="n">
        <v>53402</v>
      </c>
      <c r="W1523" s="18" t="n"/>
      <c r="X1523" s="35" t="n"/>
      <c r="Y1523" s="35" t="n">
        <v>7.887</v>
      </c>
    </row>
    <row r="1524">
      <c r="A1524" s="25" t="n">
        <v>41064</v>
      </c>
      <c r="B1524" s="18" t="n">
        <v>53416</v>
      </c>
      <c r="C1524" s="31" t="n"/>
      <c r="D1524" s="32" t="n"/>
      <c r="E1524" s="33" t="n">
        <v>0.4886</v>
      </c>
      <c r="F1524" t="inlineStr">
        <is>
          <t>Down</t>
        </is>
      </c>
      <c r="G1524" t="inlineStr">
        <is>
          <t>Down</t>
        </is>
      </c>
      <c r="H1524" t="inlineStr">
        <is>
          <t>ED_JD</t>
        </is>
      </c>
      <c r="I1524" t="inlineStr">
        <is>
          <t>2012-06</t>
        </is>
      </c>
      <c r="J1524" t="n">
        <v>1</v>
      </c>
      <c r="K1524" t="n">
        <v>1</v>
      </c>
      <c r="L1524" s="34">
        <f>IF($J1524=1,LN(B1525/B1524),"")</f>
        <v/>
      </c>
      <c r="M1524" s="34">
        <f>IF($K1524=1,INDEX(Mensal!$D$2:$D$245,MATCH($I1524,Mensal!$A$2:$A$245,0)),"")</f>
        <v/>
      </c>
      <c r="N1524" s="34">
        <f>IF($K1524=1,L1524-M1524,"")</f>
        <v/>
      </c>
      <c r="O1524" s="34" t="n">
        <v>0.00031829</v>
      </c>
      <c r="P1524" s="34">
        <f>IF($J1524=1,LN(1+O1524),"")</f>
        <v/>
      </c>
      <c r="Q1524" s="34">
        <f>IF($J1524=1,LN(R1525/R1524),"")</f>
        <v/>
      </c>
      <c r="R1524" s="32" t="n">
        <v>2.041</v>
      </c>
      <c r="S1524" s="35" t="n">
        <v>8.005000000000001</v>
      </c>
      <c r="T1524" s="18" t="n"/>
      <c r="U1524" s="18" t="n"/>
      <c r="V1524" s="18" t="n">
        <v>53416</v>
      </c>
      <c r="W1524" s="18" t="n"/>
      <c r="X1524" s="35" t="n"/>
      <c r="Y1524" s="35" t="n">
        <v>8.005000000000001</v>
      </c>
    </row>
    <row r="1525">
      <c r="A1525" s="25" t="n">
        <v>41065</v>
      </c>
      <c r="B1525" s="18" t="n">
        <v>52481</v>
      </c>
      <c r="C1525" s="31" t="n"/>
      <c r="D1525" s="32" t="n"/>
      <c r="E1525" s="33" t="n">
        <v>0.4786</v>
      </c>
      <c r="F1525" t="inlineStr">
        <is>
          <t>Down</t>
        </is>
      </c>
      <c r="G1525" t="inlineStr">
        <is>
          <t>Down</t>
        </is>
      </c>
      <c r="H1525" t="inlineStr">
        <is>
          <t>ED_JD</t>
        </is>
      </c>
      <c r="I1525" t="inlineStr">
        <is>
          <t>2012-06</t>
        </is>
      </c>
      <c r="J1525" t="n">
        <v>1</v>
      </c>
      <c r="K1525" t="n">
        <v>1</v>
      </c>
      <c r="L1525" s="34">
        <f>IF($J1525=1,LN(B1526/B1525),"")</f>
        <v/>
      </c>
      <c r="M1525" s="34">
        <f>IF($K1525=1,INDEX(Mensal!$D$2:$D$245,MATCH($I1525,Mensal!$A$2:$A$245,0)),"")</f>
        <v/>
      </c>
      <c r="N1525" s="34">
        <f>IF($K1525=1,L1525-M1525,"")</f>
        <v/>
      </c>
      <c r="O1525" s="34" t="n">
        <v>0.00031866</v>
      </c>
      <c r="P1525" s="34">
        <f>IF($J1525=1,LN(1+O1525),"")</f>
        <v/>
      </c>
      <c r="Q1525" s="34">
        <f>IF($J1525=1,LN(R1526/R1525),"")</f>
        <v/>
      </c>
      <c r="R1525" s="32" t="n">
        <v>2.0266</v>
      </c>
      <c r="S1525" s="35" t="n">
        <v>7.951</v>
      </c>
      <c r="T1525" s="18" t="n"/>
      <c r="U1525" s="18" t="n"/>
      <c r="V1525" s="18" t="n">
        <v>52481</v>
      </c>
      <c r="W1525" s="18" t="n"/>
      <c r="X1525" s="35" t="n"/>
      <c r="Y1525" s="35" t="n">
        <v>7.951</v>
      </c>
    </row>
    <row r="1526">
      <c r="A1526" s="25" t="n">
        <v>41066</v>
      </c>
      <c r="B1526" s="18" t="n">
        <v>54156</v>
      </c>
      <c r="C1526" s="31" t="n"/>
      <c r="D1526" s="32" t="n"/>
      <c r="E1526" s="33" t="n">
        <v>0.4565</v>
      </c>
      <c r="F1526" t="inlineStr">
        <is>
          <t>Down</t>
        </is>
      </c>
      <c r="G1526" t="inlineStr">
        <is>
          <t>Down</t>
        </is>
      </c>
      <c r="H1526" t="inlineStr">
        <is>
          <t>ED_JD</t>
        </is>
      </c>
      <c r="I1526" t="inlineStr">
        <is>
          <t>2012-06</t>
        </is>
      </c>
      <c r="J1526" t="n">
        <v>1</v>
      </c>
      <c r="K1526" t="n">
        <v>1</v>
      </c>
      <c r="L1526" s="34">
        <f>IF($J1526=1,LN(B1527/B1526),"")</f>
        <v/>
      </c>
      <c r="M1526" s="34">
        <f>IF($K1526=1,INDEX(Mensal!$D$2:$D$245,MATCH($I1526,Mensal!$A$2:$A$245,0)),"")</f>
        <v/>
      </c>
      <c r="N1526" s="34">
        <f>IF($K1526=1,L1526-M1526,"")</f>
        <v/>
      </c>
      <c r="O1526" s="34" t="n">
        <v>0.00031719</v>
      </c>
      <c r="P1526" s="34">
        <f>IF($J1526=1,LN(1+O1526),"")</f>
        <v/>
      </c>
      <c r="Q1526" s="34">
        <f>IF($J1526=1,LN(R1527/R1526),"")</f>
        <v/>
      </c>
      <c r="R1526" s="32" t="n">
        <v>2.0183</v>
      </c>
      <c r="S1526" s="35" t="n">
        <v>7.904</v>
      </c>
      <c r="T1526" s="18" t="n"/>
      <c r="U1526" s="18" t="n"/>
      <c r="V1526" s="18" t="n">
        <v>54156</v>
      </c>
      <c r="W1526" s="18" t="n"/>
      <c r="X1526" s="35" t="n"/>
      <c r="Y1526" s="35" t="n">
        <v>7.904</v>
      </c>
    </row>
    <row r="1527">
      <c r="A1527" s="25" t="n">
        <v>41068</v>
      </c>
      <c r="B1527" s="18" t="n">
        <v>54429</v>
      </c>
      <c r="C1527" s="31" t="n"/>
      <c r="D1527" s="32" t="n"/>
      <c r="E1527" s="33" t="n">
        <v>0.4256</v>
      </c>
      <c r="F1527" t="inlineStr">
        <is>
          <t>Down</t>
        </is>
      </c>
      <c r="G1527" t="inlineStr">
        <is>
          <t>Down</t>
        </is>
      </c>
      <c r="H1527" t="inlineStr">
        <is>
          <t>ED_JD</t>
        </is>
      </c>
      <c r="I1527" t="inlineStr">
        <is>
          <t>2012-06</t>
        </is>
      </c>
      <c r="J1527" t="n">
        <v>1</v>
      </c>
      <c r="K1527" t="n">
        <v>1</v>
      </c>
      <c r="L1527" s="34">
        <f>IF($J1527=1,LN(B1528/B1527),"")</f>
        <v/>
      </c>
      <c r="M1527" s="34">
        <f>IF($K1527=1,INDEX(Mensal!$D$2:$D$245,MATCH($I1527,Mensal!$A$2:$A$245,0)),"")</f>
        <v/>
      </c>
      <c r="N1527" s="34">
        <f>IF($K1527=1,L1527-M1527,"")</f>
        <v/>
      </c>
      <c r="O1527" s="34" t="n">
        <v>0.00031866</v>
      </c>
      <c r="P1527" s="34">
        <f>IF($J1527=1,LN(1+O1527),"")</f>
        <v/>
      </c>
      <c r="Q1527" s="34">
        <f>IF($J1527=1,LN(R1528/R1527),"")</f>
        <v/>
      </c>
      <c r="R1527" s="32" t="n">
        <v>2.0353</v>
      </c>
      <c r="S1527" s="35" t="n">
        <v>7.772</v>
      </c>
      <c r="T1527" s="18" t="n"/>
      <c r="U1527" s="18" t="n"/>
      <c r="V1527" s="18" t="n">
        <v>54429</v>
      </c>
      <c r="W1527" s="18" t="n"/>
      <c r="X1527" s="35" t="n"/>
      <c r="Y1527" s="35" t="n">
        <v>7.772</v>
      </c>
    </row>
    <row r="1528">
      <c r="A1528" s="25" t="n">
        <v>41071</v>
      </c>
      <c r="B1528" s="18" t="n">
        <v>54001</v>
      </c>
      <c r="C1528" s="31" t="n"/>
      <c r="D1528" s="32" t="n"/>
      <c r="E1528" s="33" t="n">
        <v>0.3827</v>
      </c>
      <c r="F1528" t="inlineStr">
        <is>
          <t>Down</t>
        </is>
      </c>
      <c r="G1528" t="inlineStr">
        <is>
          <t>Down</t>
        </is>
      </c>
      <c r="H1528" t="inlineStr">
        <is>
          <t>ED_JD</t>
        </is>
      </c>
      <c r="I1528" t="inlineStr">
        <is>
          <t>2012-06</t>
        </is>
      </c>
      <c r="J1528" t="n">
        <v>1</v>
      </c>
      <c r="K1528" t="n">
        <v>1</v>
      </c>
      <c r="L1528" s="34">
        <f>IF($J1528=1,LN(B1529/B1528),"")</f>
        <v/>
      </c>
      <c r="M1528" s="34">
        <f>IF($K1528=1,INDEX(Mensal!$D$2:$D$245,MATCH($I1528,Mensal!$A$2:$A$245,0)),"")</f>
        <v/>
      </c>
      <c r="N1528" s="34">
        <f>IF($K1528=1,L1528-M1528,"")</f>
        <v/>
      </c>
      <c r="O1528" s="34" t="n">
        <v>0.00031719</v>
      </c>
      <c r="P1528" s="34">
        <f>IF($J1528=1,LN(1+O1528),"")</f>
        <v/>
      </c>
      <c r="Q1528" s="34">
        <f>IF($J1528=1,LN(R1529/R1528),"")</f>
        <v/>
      </c>
      <c r="R1528" s="32" t="n">
        <v>2.0348</v>
      </c>
      <c r="S1528" s="35" t="n">
        <v>7.713</v>
      </c>
      <c r="T1528" s="18" t="n"/>
      <c r="U1528" s="18" t="n"/>
      <c r="V1528" s="18" t="n">
        <v>54001</v>
      </c>
      <c r="W1528" s="18" t="n"/>
      <c r="X1528" s="35" t="n"/>
      <c r="Y1528" s="35" t="n">
        <v>7.713</v>
      </c>
    </row>
    <row r="1529">
      <c r="A1529" s="25" t="n">
        <v>41072</v>
      </c>
      <c r="B1529" s="18" t="n">
        <v>55049</v>
      </c>
      <c r="C1529" s="31" t="n"/>
      <c r="D1529" s="32" t="n"/>
      <c r="E1529" s="33" t="n">
        <v>0.3413</v>
      </c>
      <c r="F1529" t="inlineStr">
        <is>
          <t>Down</t>
        </is>
      </c>
      <c r="G1529" t="inlineStr">
        <is>
          <t>Down</t>
        </is>
      </c>
      <c r="H1529" t="inlineStr">
        <is>
          <t>ED_JD</t>
        </is>
      </c>
      <c r="I1529" t="inlineStr">
        <is>
          <t>2012-06</t>
        </is>
      </c>
      <c r="J1529" t="n">
        <v>1</v>
      </c>
      <c r="K1529" t="n">
        <v>1</v>
      </c>
      <c r="L1529" s="34">
        <f>IF($J1529=1,LN(B1530/B1529),"")</f>
        <v/>
      </c>
      <c r="M1529" s="34">
        <f>IF($K1529=1,INDEX(Mensal!$D$2:$D$245,MATCH($I1529,Mensal!$A$2:$A$245,0)),"")</f>
        <v/>
      </c>
      <c r="N1529" s="34">
        <f>IF($K1529=1,L1529-M1529,"")</f>
        <v/>
      </c>
      <c r="O1529" s="34" t="n">
        <v>0.00031792</v>
      </c>
      <c r="P1529" s="34">
        <f>IF($J1529=1,LN(1+O1529),"")</f>
        <v/>
      </c>
      <c r="Q1529" s="34">
        <f>IF($J1529=1,LN(R1530/R1529),"")</f>
        <v/>
      </c>
      <c r="R1529" s="32" t="n">
        <v>2.0564</v>
      </c>
      <c r="S1529" s="35" t="n">
        <v>7.686</v>
      </c>
      <c r="T1529" s="18" t="n"/>
      <c r="U1529" s="18" t="n"/>
      <c r="V1529" s="18" t="n">
        <v>55049</v>
      </c>
      <c r="W1529" s="18" t="n"/>
      <c r="X1529" s="35" t="n"/>
      <c r="Y1529" s="35" t="n">
        <v>7.686</v>
      </c>
    </row>
    <row r="1530">
      <c r="A1530" s="25" t="n">
        <v>41073</v>
      </c>
      <c r="B1530" s="18" t="n">
        <v>55650</v>
      </c>
      <c r="C1530" s="31" t="n"/>
      <c r="D1530" s="32" t="n"/>
      <c r="E1530" s="33" t="n">
        <v>0.3009</v>
      </c>
      <c r="F1530" t="inlineStr">
        <is>
          <t>Down</t>
        </is>
      </c>
      <c r="G1530" t="inlineStr">
        <is>
          <t>Down</t>
        </is>
      </c>
      <c r="H1530" t="inlineStr">
        <is>
          <t>ED_JD</t>
        </is>
      </c>
      <c r="I1530" t="inlineStr">
        <is>
          <t>2012-06</t>
        </is>
      </c>
      <c r="J1530" t="n">
        <v>1</v>
      </c>
      <c r="K1530" t="n">
        <v>1</v>
      </c>
      <c r="L1530" s="34">
        <f>IF($J1530=1,LN(B1531/B1530),"")</f>
        <v/>
      </c>
      <c r="M1530" s="34">
        <f>IF($K1530=1,INDEX(Mensal!$D$2:$D$245,MATCH($I1530,Mensal!$A$2:$A$245,0)),"")</f>
        <v/>
      </c>
      <c r="N1530" s="34">
        <f>IF($K1530=1,L1530-M1530,"")</f>
        <v/>
      </c>
      <c r="O1530" s="34" t="n">
        <v>0.00031829</v>
      </c>
      <c r="P1530" s="34">
        <f>IF($J1530=1,LN(1+O1530),"")</f>
        <v/>
      </c>
      <c r="Q1530" s="34">
        <f>IF($J1530=1,LN(R1531/R1530),"")</f>
        <v/>
      </c>
      <c r="R1530" s="32" t="n">
        <v>2.0604</v>
      </c>
      <c r="S1530" s="35" t="n">
        <v>7.664</v>
      </c>
      <c r="T1530" s="18" t="n"/>
      <c r="U1530" s="18" t="n"/>
      <c r="V1530" s="18" t="n">
        <v>55650</v>
      </c>
      <c r="W1530" s="18" t="n"/>
      <c r="X1530" s="35" t="n"/>
      <c r="Y1530" s="35" t="n">
        <v>7.664</v>
      </c>
    </row>
    <row r="1531">
      <c r="A1531" s="25" t="n">
        <v>41074</v>
      </c>
      <c r="B1531" s="18" t="n">
        <v>55351</v>
      </c>
      <c r="C1531" s="31" t="n"/>
      <c r="D1531" s="32" t="n"/>
      <c r="E1531" s="33" t="n">
        <v>0.2604</v>
      </c>
      <c r="F1531" t="inlineStr">
        <is>
          <t>Down</t>
        </is>
      </c>
      <c r="G1531" t="inlineStr">
        <is>
          <t>Down</t>
        </is>
      </c>
      <c r="H1531" t="inlineStr">
        <is>
          <t>ED_JD</t>
        </is>
      </c>
      <c r="I1531" t="inlineStr">
        <is>
          <t>2012-06</t>
        </is>
      </c>
      <c r="J1531" t="n">
        <v>1</v>
      </c>
      <c r="K1531" t="n">
        <v>1</v>
      </c>
      <c r="L1531" s="34">
        <f>IF($J1531=1,LN(B1532/B1531),"")</f>
        <v/>
      </c>
      <c r="M1531" s="34">
        <f>IF($K1531=1,INDEX(Mensal!$D$2:$D$245,MATCH($I1531,Mensal!$A$2:$A$245,0)),"")</f>
        <v/>
      </c>
      <c r="N1531" s="34">
        <f>IF($K1531=1,L1531-M1531,"")</f>
        <v/>
      </c>
      <c r="O1531" s="34" t="n">
        <v>0.00031792</v>
      </c>
      <c r="P1531" s="34">
        <f>IF($J1531=1,LN(1+O1531),"")</f>
        <v/>
      </c>
      <c r="Q1531" s="34">
        <f>IF($J1531=1,LN(R1532/R1531),"")</f>
        <v/>
      </c>
      <c r="R1531" s="32" t="n">
        <v>2.0691</v>
      </c>
      <c r="S1531" s="35" t="n">
        <v>7.648</v>
      </c>
      <c r="T1531" s="18" t="n"/>
      <c r="U1531" s="18" t="n"/>
      <c r="V1531" s="18" t="n">
        <v>55351</v>
      </c>
      <c r="W1531" s="18" t="n"/>
      <c r="X1531" s="35" t="n"/>
      <c r="Y1531" s="35" t="n">
        <v>7.648</v>
      </c>
    </row>
    <row r="1532">
      <c r="A1532" s="25" t="n">
        <v>41075</v>
      </c>
      <c r="B1532" s="18" t="n">
        <v>56105</v>
      </c>
      <c r="C1532" s="31" t="n"/>
      <c r="D1532" s="32" t="n"/>
      <c r="E1532" s="33" t="n">
        <v>0.2127</v>
      </c>
      <c r="F1532" t="inlineStr">
        <is>
          <t>Down</t>
        </is>
      </c>
      <c r="G1532" t="inlineStr">
        <is>
          <t>Down</t>
        </is>
      </c>
      <c r="H1532" t="inlineStr">
        <is>
          <t>ED_JD</t>
        </is>
      </c>
      <c r="I1532" t="inlineStr">
        <is>
          <t>2012-06</t>
        </is>
      </c>
      <c r="J1532" t="n">
        <v>1</v>
      </c>
      <c r="K1532" t="n">
        <v>1</v>
      </c>
      <c r="L1532" s="34">
        <f>IF($J1532=1,LN(B1533/B1532),"")</f>
        <v/>
      </c>
      <c r="M1532" s="34">
        <f>IF($K1532=1,INDEX(Mensal!$D$2:$D$245,MATCH($I1532,Mensal!$A$2:$A$245,0)),"")</f>
        <v/>
      </c>
      <c r="N1532" s="34">
        <f>IF($K1532=1,L1532-M1532,"")</f>
        <v/>
      </c>
      <c r="O1532" s="34" t="n">
        <v>0.00031719</v>
      </c>
      <c r="P1532" s="34">
        <f>IF($J1532=1,LN(1+O1532),"")</f>
        <v/>
      </c>
      <c r="Q1532" s="34">
        <f>IF($J1532=1,LN(R1533/R1532),"")</f>
        <v/>
      </c>
      <c r="R1532" s="32" t="n">
        <v>2.0443</v>
      </c>
      <c r="S1532" s="35" t="n">
        <v>7.72</v>
      </c>
      <c r="T1532" s="18" t="n"/>
      <c r="U1532" s="18" t="n"/>
      <c r="V1532" s="18" t="n">
        <v>56105</v>
      </c>
      <c r="W1532" s="18" t="n"/>
      <c r="X1532" s="35" t="n"/>
      <c r="Y1532" s="35" t="n">
        <v>7.72</v>
      </c>
    </row>
    <row r="1533">
      <c r="A1533" s="25" t="n">
        <v>41078</v>
      </c>
      <c r="B1533" s="18" t="n">
        <v>56195</v>
      </c>
      <c r="C1533" s="31" t="n"/>
      <c r="D1533" s="32" t="n"/>
      <c r="E1533" s="33" t="n">
        <v>0.167</v>
      </c>
      <c r="F1533" t="inlineStr">
        <is>
          <t>Down</t>
        </is>
      </c>
      <c r="G1533" t="inlineStr">
        <is>
          <t>Down</t>
        </is>
      </c>
      <c r="H1533" t="inlineStr">
        <is>
          <t>ED_JD</t>
        </is>
      </c>
      <c r="I1533" t="inlineStr">
        <is>
          <t>2012-06</t>
        </is>
      </c>
      <c r="J1533" t="n">
        <v>1</v>
      </c>
      <c r="K1533" t="n">
        <v>1</v>
      </c>
      <c r="L1533" s="34">
        <f>IF($J1533=1,LN(B1534/B1533),"")</f>
        <v/>
      </c>
      <c r="M1533" s="34">
        <f>IF($K1533=1,INDEX(Mensal!$D$2:$D$245,MATCH($I1533,Mensal!$A$2:$A$245,0)),"")</f>
        <v/>
      </c>
      <c r="N1533" s="34">
        <f>IF($K1533=1,L1533-M1533,"")</f>
        <v/>
      </c>
      <c r="O1533" s="34" t="n">
        <v>0.00031829</v>
      </c>
      <c r="P1533" s="34">
        <f>IF($J1533=1,LN(1+O1533),"")</f>
        <v/>
      </c>
      <c r="Q1533" s="34">
        <f>IF($J1533=1,LN(R1534/R1533),"")</f>
        <v/>
      </c>
      <c r="R1533" s="32" t="n">
        <v>2.0634</v>
      </c>
      <c r="S1533" s="35" t="n">
        <v>7.694</v>
      </c>
      <c r="T1533" s="18" t="n"/>
      <c r="U1533" s="18" t="n"/>
      <c r="V1533" s="18" t="n">
        <v>56195</v>
      </c>
      <c r="W1533" s="18" t="n"/>
      <c r="X1533" s="35" t="n"/>
      <c r="Y1533" s="35" t="n">
        <v>7.694</v>
      </c>
    </row>
    <row r="1534">
      <c r="A1534" s="25" t="n">
        <v>41079</v>
      </c>
      <c r="B1534" s="18" t="n">
        <v>57195</v>
      </c>
      <c r="C1534" s="31" t="n"/>
      <c r="D1534" s="32" t="n"/>
      <c r="E1534" s="33" t="n">
        <v>0.1109</v>
      </c>
      <c r="F1534" t="inlineStr">
        <is>
          <t>Down</t>
        </is>
      </c>
      <c r="G1534" t="inlineStr">
        <is>
          <t>Down</t>
        </is>
      </c>
      <c r="H1534" t="inlineStr">
        <is>
          <t>ED_JD</t>
        </is>
      </c>
      <c r="I1534" t="inlineStr">
        <is>
          <t>2012-06</t>
        </is>
      </c>
      <c r="J1534" t="n">
        <v>1</v>
      </c>
      <c r="K1534" t="n">
        <v>1</v>
      </c>
      <c r="L1534" s="34">
        <f>IF($J1534=1,LN(B1535/B1534),"")</f>
        <v/>
      </c>
      <c r="M1534" s="34">
        <f>IF($K1534=1,INDEX(Mensal!$D$2:$D$245,MATCH($I1534,Mensal!$A$2:$A$245,0)),"")</f>
        <v/>
      </c>
      <c r="N1534" s="34">
        <f>IF($K1534=1,L1534-M1534,"")</f>
        <v/>
      </c>
      <c r="O1534" s="34" t="n">
        <v>0.00031719</v>
      </c>
      <c r="P1534" s="34">
        <f>IF($J1534=1,LN(1+O1534),"")</f>
        <v/>
      </c>
      <c r="Q1534" s="34">
        <f>IF($J1534=1,LN(R1535/R1534),"")</f>
        <v/>
      </c>
      <c r="R1534" s="32" t="n">
        <v>2.044</v>
      </c>
      <c r="S1534" s="35" t="n">
        <v>7.686</v>
      </c>
      <c r="T1534" s="18" t="n"/>
      <c r="U1534" s="18" t="n"/>
      <c r="V1534" s="18" t="n">
        <v>57195</v>
      </c>
      <c r="W1534" s="18" t="n"/>
      <c r="X1534" s="35" t="n"/>
      <c r="Y1534" s="35" t="n">
        <v>7.686</v>
      </c>
    </row>
    <row r="1535">
      <c r="A1535" s="25" t="n">
        <v>41080</v>
      </c>
      <c r="B1535" s="18" t="n">
        <v>57166</v>
      </c>
      <c r="C1535" s="31" t="n"/>
      <c r="D1535" s="32" t="n"/>
      <c r="E1535" s="33" t="n">
        <v>0.0567</v>
      </c>
      <c r="F1535" t="inlineStr">
        <is>
          <t>Down</t>
        </is>
      </c>
      <c r="G1535" t="inlineStr">
        <is>
          <t>Down</t>
        </is>
      </c>
      <c r="H1535" t="inlineStr">
        <is>
          <t>ED_JD</t>
        </is>
      </c>
      <c r="I1535" t="inlineStr">
        <is>
          <t>2012-06</t>
        </is>
      </c>
      <c r="J1535" t="n">
        <v>1</v>
      </c>
      <c r="K1535" t="n">
        <v>1</v>
      </c>
      <c r="L1535" s="34">
        <f>IF($J1535=1,LN(B1536/B1535),"")</f>
        <v/>
      </c>
      <c r="M1535" s="34">
        <f>IF($K1535=1,INDEX(Mensal!$D$2:$D$245,MATCH($I1535,Mensal!$A$2:$A$245,0)),"")</f>
        <v/>
      </c>
      <c r="N1535" s="34">
        <f>IF($K1535=1,L1535-M1535,"")</f>
        <v/>
      </c>
      <c r="O1535" s="34" t="n">
        <v>0.00031902</v>
      </c>
      <c r="P1535" s="34">
        <f>IF($J1535=1,LN(1+O1535),"")</f>
        <v/>
      </c>
      <c r="Q1535" s="34">
        <f>IF($J1535=1,LN(R1536/R1535),"")</f>
        <v/>
      </c>
      <c r="R1535" s="32" t="n">
        <v>2.0293</v>
      </c>
      <c r="S1535" s="35" t="n">
        <v>7.725</v>
      </c>
      <c r="T1535" s="18" t="n"/>
      <c r="U1535" s="18" t="n"/>
      <c r="V1535" s="18" t="n">
        <v>57166</v>
      </c>
      <c r="W1535" s="18" t="n"/>
      <c r="X1535" s="35" t="n"/>
      <c r="Y1535" s="35" t="n">
        <v>7.725</v>
      </c>
    </row>
    <row r="1536">
      <c r="A1536" s="25" t="n">
        <v>41081</v>
      </c>
      <c r="B1536" s="18" t="n">
        <v>55505</v>
      </c>
      <c r="C1536" s="31" t="n"/>
      <c r="D1536" s="32" t="n"/>
      <c r="E1536" s="33" t="n">
        <v>0.0005999999999999999</v>
      </c>
      <c r="F1536" t="inlineStr">
        <is>
          <t>Down</t>
        </is>
      </c>
      <c r="G1536" t="inlineStr">
        <is>
          <t>Down</t>
        </is>
      </c>
      <c r="H1536" t="inlineStr">
        <is>
          <t>ED_JD</t>
        </is>
      </c>
      <c r="I1536" t="inlineStr">
        <is>
          <t>2012-06</t>
        </is>
      </c>
      <c r="J1536" t="n">
        <v>1</v>
      </c>
      <c r="K1536" t="n">
        <v>1</v>
      </c>
      <c r="L1536" s="34">
        <f>IF($J1536=1,LN(B1537/B1536),"")</f>
        <v/>
      </c>
      <c r="M1536" s="34">
        <f>IF($K1536=1,INDEX(Mensal!$D$2:$D$245,MATCH($I1536,Mensal!$A$2:$A$245,0)),"")</f>
        <v/>
      </c>
      <c r="N1536" s="34">
        <f>IF($K1536=1,L1536-M1536,"")</f>
        <v/>
      </c>
      <c r="O1536" s="34" t="n">
        <v>0.00031939</v>
      </c>
      <c r="P1536" s="34">
        <f>IF($J1536=1,LN(1+O1536),"")</f>
        <v/>
      </c>
      <c r="Q1536" s="34">
        <f>IF($J1536=1,LN(R1537/R1536),"")</f>
        <v/>
      </c>
      <c r="R1536" s="32" t="n">
        <v>2.0363</v>
      </c>
      <c r="S1536" s="35" t="n">
        <v>7.695</v>
      </c>
      <c r="T1536" s="18" t="n"/>
      <c r="U1536" s="18" t="n"/>
      <c r="V1536" s="18" t="n">
        <v>55505</v>
      </c>
      <c r="W1536" s="18" t="n"/>
      <c r="X1536" s="35" t="n"/>
      <c r="Y1536" s="35" t="n">
        <v>7.695</v>
      </c>
    </row>
    <row r="1537">
      <c r="A1537" s="25" t="n">
        <v>41082</v>
      </c>
      <c r="B1537" s="18" t="n">
        <v>55439</v>
      </c>
      <c r="C1537" s="31" t="n"/>
      <c r="D1537" s="32" t="n"/>
      <c r="E1537" s="33" t="n">
        <v>-0.0584</v>
      </c>
      <c r="F1537" t="inlineStr">
        <is>
          <t>Down</t>
        </is>
      </c>
      <c r="G1537" t="inlineStr">
        <is>
          <t>Down</t>
        </is>
      </c>
      <c r="H1537" t="inlineStr">
        <is>
          <t>ED_JD</t>
        </is>
      </c>
      <c r="I1537" t="inlineStr">
        <is>
          <t>2012-06</t>
        </is>
      </c>
      <c r="J1537" t="n">
        <v>1</v>
      </c>
      <c r="K1537" t="n">
        <v>1</v>
      </c>
      <c r="L1537" s="34">
        <f>IF($J1537=1,LN(B1538/B1537),"")</f>
        <v/>
      </c>
      <c r="M1537" s="34">
        <f>IF($K1537=1,INDEX(Mensal!$D$2:$D$245,MATCH($I1537,Mensal!$A$2:$A$245,0)),"")</f>
        <v/>
      </c>
      <c r="N1537" s="34">
        <f>IF($K1537=1,L1537-M1537,"")</f>
        <v/>
      </c>
      <c r="O1537" s="34" t="n">
        <v>0.00031866</v>
      </c>
      <c r="P1537" s="34">
        <f>IF($J1537=1,LN(1+O1537),"")</f>
        <v/>
      </c>
      <c r="Q1537" s="34">
        <f>IF($J1537=1,LN(R1538/R1537),"")</f>
        <v/>
      </c>
      <c r="R1537" s="32" t="n">
        <v>2.0555</v>
      </c>
      <c r="S1537" s="35" t="n">
        <v>7.706</v>
      </c>
      <c r="T1537" s="18" t="n"/>
      <c r="U1537" s="18" t="n"/>
      <c r="V1537" s="18" t="n">
        <v>55439</v>
      </c>
      <c r="W1537" s="18" t="n"/>
      <c r="X1537" s="35" t="n"/>
      <c r="Y1537" s="35" t="n">
        <v>7.706</v>
      </c>
    </row>
    <row r="1538">
      <c r="A1538" s="25" t="n">
        <v>41085</v>
      </c>
      <c r="B1538" s="18" t="n">
        <v>53805</v>
      </c>
      <c r="C1538" s="31" t="n"/>
      <c r="D1538" s="32" t="n"/>
      <c r="E1538" s="33" t="n">
        <v>-0.114</v>
      </c>
      <c r="F1538" t="inlineStr">
        <is>
          <t>Down</t>
        </is>
      </c>
      <c r="G1538" t="inlineStr">
        <is>
          <t>Down</t>
        </is>
      </c>
      <c r="H1538" t="inlineStr">
        <is>
          <t>ED_JD</t>
        </is>
      </c>
      <c r="I1538" t="inlineStr">
        <is>
          <t>2012-06</t>
        </is>
      </c>
      <c r="J1538" t="n">
        <v>1</v>
      </c>
      <c r="K1538" t="n">
        <v>1</v>
      </c>
      <c r="L1538" s="34">
        <f>IF($J1538=1,LN(B1539/B1538),"")</f>
        <v/>
      </c>
      <c r="M1538" s="34">
        <f>IF($K1538=1,INDEX(Mensal!$D$2:$D$245,MATCH($I1538,Mensal!$A$2:$A$245,0)),"")</f>
        <v/>
      </c>
      <c r="N1538" s="34">
        <f>IF($K1538=1,L1538-M1538,"")</f>
        <v/>
      </c>
      <c r="O1538" s="34" t="n">
        <v>0.00031939</v>
      </c>
      <c r="P1538" s="34">
        <f>IF($J1538=1,LN(1+O1538),"")</f>
        <v/>
      </c>
      <c r="Q1538" s="34">
        <f>IF($J1538=1,LN(R1539/R1538),"")</f>
        <v/>
      </c>
      <c r="R1538" s="32" t="n">
        <v>2.0718</v>
      </c>
      <c r="S1538" s="35" t="n">
        <v>7.619</v>
      </c>
      <c r="T1538" s="18" t="n"/>
      <c r="U1538" s="18" t="n"/>
      <c r="V1538" s="18" t="n">
        <v>53805</v>
      </c>
      <c r="W1538" s="18" t="n"/>
      <c r="X1538" s="35" t="n"/>
      <c r="Y1538" s="35" t="n">
        <v>7.619</v>
      </c>
    </row>
    <row r="1539">
      <c r="A1539" s="25" t="n">
        <v>41086</v>
      </c>
      <c r="B1539" s="18" t="n">
        <v>53837</v>
      </c>
      <c r="C1539" s="31" t="n"/>
      <c r="D1539" s="32" t="n"/>
      <c r="E1539" s="33" t="n">
        <v>-0.1657</v>
      </c>
      <c r="F1539" t="inlineStr">
        <is>
          <t>Down</t>
        </is>
      </c>
      <c r="G1539" t="inlineStr">
        <is>
          <t>Down</t>
        </is>
      </c>
      <c r="H1539" t="inlineStr">
        <is>
          <t>ED_JD</t>
        </is>
      </c>
      <c r="I1539" t="inlineStr">
        <is>
          <t>2012-06</t>
        </is>
      </c>
      <c r="J1539" t="n">
        <v>1</v>
      </c>
      <c r="K1539" t="n">
        <v>1</v>
      </c>
      <c r="L1539" s="34">
        <f>IF($J1539=1,LN(B1540/B1539),"")</f>
        <v/>
      </c>
      <c r="M1539" s="34">
        <f>IF($K1539=1,INDEX(Mensal!$D$2:$D$245,MATCH($I1539,Mensal!$A$2:$A$245,0)),"")</f>
        <v/>
      </c>
      <c r="N1539" s="34">
        <f>IF($K1539=1,L1539-M1539,"")</f>
        <v/>
      </c>
      <c r="O1539" s="34" t="n">
        <v>0.00031829</v>
      </c>
      <c r="P1539" s="34">
        <f>IF($J1539=1,LN(1+O1539),"")</f>
        <v/>
      </c>
      <c r="Q1539" s="34">
        <f>IF($J1539=1,LN(R1540/R1539),"")</f>
        <v/>
      </c>
      <c r="R1539" s="32" t="n">
        <v>2.0743</v>
      </c>
      <c r="S1539" s="35" t="n">
        <v>7.619</v>
      </c>
      <c r="T1539" s="18" t="n"/>
      <c r="U1539" s="18" t="n"/>
      <c r="V1539" s="18" t="n">
        <v>53837</v>
      </c>
      <c r="W1539" s="18" t="n"/>
      <c r="X1539" s="35" t="n"/>
      <c r="Y1539" s="35" t="n">
        <v>7.619</v>
      </c>
    </row>
    <row r="1540">
      <c r="A1540" s="25" t="n">
        <v>41087</v>
      </c>
      <c r="B1540" s="18" t="n">
        <v>53108</v>
      </c>
      <c r="C1540" s="31" t="n"/>
      <c r="D1540" s="32" t="n"/>
      <c r="E1540" s="33" t="n">
        <v>-0.2151</v>
      </c>
      <c r="F1540" t="inlineStr">
        <is>
          <t>Down</t>
        </is>
      </c>
      <c r="G1540" t="inlineStr">
        <is>
          <t>Down</t>
        </is>
      </c>
      <c r="H1540" t="inlineStr">
        <is>
          <t>ED_JD</t>
        </is>
      </c>
      <c r="I1540" t="inlineStr">
        <is>
          <t>2012-06</t>
        </is>
      </c>
      <c r="J1540" t="n">
        <v>1</v>
      </c>
      <c r="K1540" t="n">
        <v>1</v>
      </c>
      <c r="L1540" s="34">
        <f>IF($J1540=1,LN(B1541/B1540),"")</f>
        <v/>
      </c>
      <c r="M1540" s="34">
        <f>IF($K1540=1,INDEX(Mensal!$D$2:$D$245,MATCH($I1540,Mensal!$A$2:$A$245,0)),"")</f>
        <v/>
      </c>
      <c r="N1540" s="34">
        <f>IF($K1540=1,L1540-M1540,"")</f>
        <v/>
      </c>
      <c r="O1540" s="34" t="n">
        <v>0.00031902</v>
      </c>
      <c r="P1540" s="34">
        <f>IF($J1540=1,LN(1+O1540),"")</f>
        <v/>
      </c>
      <c r="Q1540" s="34">
        <f>IF($J1540=1,LN(R1541/R1540),"")</f>
        <v/>
      </c>
      <c r="R1540" s="32" t="n">
        <v>2.0764</v>
      </c>
      <c r="S1540" s="35" t="n">
        <v>7.609</v>
      </c>
      <c r="T1540" s="18" t="n"/>
      <c r="U1540" s="18" t="n"/>
      <c r="V1540" s="18" t="n">
        <v>53108</v>
      </c>
      <c r="W1540" s="18" t="n"/>
      <c r="X1540" s="35" t="n"/>
      <c r="Y1540" s="35" t="n">
        <v>7.609</v>
      </c>
    </row>
    <row r="1541">
      <c r="A1541" s="25" t="n">
        <v>41088</v>
      </c>
      <c r="B1541" s="18" t="n">
        <v>52652</v>
      </c>
      <c r="C1541" s="31" t="n"/>
      <c r="D1541" s="32" t="n"/>
      <c r="E1541" s="33" t="n">
        <v>-0.2687</v>
      </c>
      <c r="F1541" t="inlineStr">
        <is>
          <t>Down</t>
        </is>
      </c>
      <c r="G1541" t="inlineStr">
        <is>
          <t>Down</t>
        </is>
      </c>
      <c r="H1541" t="inlineStr">
        <is>
          <t>ED_JD</t>
        </is>
      </c>
      <c r="I1541" t="inlineStr">
        <is>
          <t>2012-06</t>
        </is>
      </c>
      <c r="J1541" t="n">
        <v>1</v>
      </c>
      <c r="K1541" t="n">
        <v>1</v>
      </c>
      <c r="L1541" s="34">
        <f>IF($J1541=1,LN(B1542/B1541),"")</f>
        <v/>
      </c>
      <c r="M1541" s="34">
        <f>IF($K1541=1,INDEX(Mensal!$D$2:$D$245,MATCH($I1541,Mensal!$A$2:$A$245,0)),"")</f>
        <v/>
      </c>
      <c r="N1541" s="34">
        <f>IF($K1541=1,L1541-M1541,"")</f>
        <v/>
      </c>
      <c r="O1541" s="34" t="n">
        <v>0.00031866</v>
      </c>
      <c r="P1541" s="34">
        <f>IF($J1541=1,LN(1+O1541),"")</f>
        <v/>
      </c>
      <c r="Q1541" s="34">
        <f>IF($J1541=1,LN(R1542/R1541),"")</f>
        <v/>
      </c>
      <c r="R1541" s="32" t="n">
        <v>2.0904</v>
      </c>
      <c r="S1541" s="35" t="n">
        <v>7.55</v>
      </c>
      <c r="T1541" s="18" t="n"/>
      <c r="U1541" s="18" t="n"/>
      <c r="V1541" s="18" t="n">
        <v>52652</v>
      </c>
      <c r="W1541" s="18" t="n"/>
      <c r="X1541" s="35" t="n"/>
      <c r="Y1541" s="35" t="n">
        <v>7.55</v>
      </c>
    </row>
    <row r="1542">
      <c r="A1542" s="25" t="n">
        <v>41089</v>
      </c>
      <c r="B1542" s="18" t="n">
        <v>54354</v>
      </c>
      <c r="C1542" s="31" t="n"/>
      <c r="D1542" s="32" t="n"/>
      <c r="E1542" s="33" t="n">
        <v>-0.3249</v>
      </c>
      <c r="F1542" t="inlineStr">
        <is>
          <t>Down</t>
        </is>
      </c>
      <c r="G1542" t="inlineStr">
        <is>
          <t>Down</t>
        </is>
      </c>
      <c r="H1542" t="inlineStr">
        <is>
          <t>ED_JD</t>
        </is>
      </c>
      <c r="I1542" t="inlineStr">
        <is>
          <t>2012-06</t>
        </is>
      </c>
      <c r="J1542" t="n">
        <v>1</v>
      </c>
      <c r="K1542" t="n">
        <v>1</v>
      </c>
      <c r="L1542" s="34">
        <f>IF($J1542=1,LN(B1543/B1542),"")</f>
        <v/>
      </c>
      <c r="M1542" s="34">
        <f>IF($K1542=1,INDEX(Mensal!$D$2:$D$245,MATCH($I1542,Mensal!$A$2:$A$245,0)),"")</f>
        <v/>
      </c>
      <c r="N1542" s="34">
        <f>IF($K1542=1,L1542-M1542,"")</f>
        <v/>
      </c>
      <c r="O1542" s="34" t="n">
        <v>0.00031939</v>
      </c>
      <c r="P1542" s="34">
        <f>IF($J1542=1,LN(1+O1542),"")</f>
        <v/>
      </c>
      <c r="Q1542" s="34">
        <f>IF($J1542=1,LN(R1543/R1542),"")</f>
        <v/>
      </c>
      <c r="R1542" s="32" t="n">
        <v>2.0213</v>
      </c>
      <c r="S1542" s="35" t="n">
        <v>7.569</v>
      </c>
      <c r="T1542" s="18" t="n"/>
      <c r="U1542" s="18" t="n"/>
      <c r="V1542" s="18" t="n">
        <v>54354</v>
      </c>
      <c r="W1542" s="18" t="n"/>
      <c r="X1542" s="35" t="n"/>
      <c r="Y1542" s="35" t="n">
        <v>7.569</v>
      </c>
    </row>
    <row r="1543">
      <c r="A1543" s="25" t="n">
        <v>41092</v>
      </c>
      <c r="B1543" s="18" t="n">
        <v>54692</v>
      </c>
      <c r="C1543" s="31" t="n"/>
      <c r="D1543" s="32" t="n"/>
      <c r="E1543" s="33" t="n">
        <v>-0.373</v>
      </c>
      <c r="F1543" t="inlineStr">
        <is>
          <t>Down</t>
        </is>
      </c>
      <c r="G1543" t="inlineStr">
        <is>
          <t>Down</t>
        </is>
      </c>
      <c r="H1543" t="inlineStr">
        <is>
          <t>ED_JD</t>
        </is>
      </c>
      <c r="I1543" t="inlineStr">
        <is>
          <t>2012-07</t>
        </is>
      </c>
      <c r="J1543" t="n">
        <v>1</v>
      </c>
      <c r="K1543" t="n">
        <v>1</v>
      </c>
      <c r="L1543" s="34">
        <f>IF($J1543=1,LN(B1544/B1543),"")</f>
        <v/>
      </c>
      <c r="M1543" s="34">
        <f>IF($K1543=1,INDEX(Mensal!$D$2:$D$245,MATCH($I1543,Mensal!$A$2:$A$245,0)),"")</f>
        <v/>
      </c>
      <c r="N1543" s="34">
        <f>IF($K1543=1,L1543-M1543,"")</f>
        <v/>
      </c>
      <c r="O1543" s="34" t="n">
        <v>0.00031866</v>
      </c>
      <c r="P1543" s="34">
        <f>IF($J1543=1,LN(1+O1543),"")</f>
        <v/>
      </c>
      <c r="Q1543" s="34">
        <f>IF($J1543=1,LN(R1544/R1543),"")</f>
        <v/>
      </c>
      <c r="R1543" s="32" t="n">
        <v>1.9893</v>
      </c>
      <c r="S1543" s="35" t="n">
        <v>7.53</v>
      </c>
      <c r="T1543" s="18" t="n"/>
      <c r="U1543" s="18" t="n"/>
      <c r="V1543" s="18" t="n">
        <v>54692</v>
      </c>
      <c r="W1543" s="18" t="n"/>
      <c r="X1543" s="35" t="n"/>
      <c r="Y1543" s="35" t="n">
        <v>7.53</v>
      </c>
    </row>
    <row r="1544">
      <c r="A1544" s="25" t="n">
        <v>41093</v>
      </c>
      <c r="B1544" s="18" t="n">
        <v>55780</v>
      </c>
      <c r="C1544" s="31" t="n"/>
      <c r="D1544" s="32" t="n"/>
      <c r="E1544" s="33" t="n">
        <v>-0.4239</v>
      </c>
      <c r="F1544" t="inlineStr">
        <is>
          <t>Down</t>
        </is>
      </c>
      <c r="G1544" t="inlineStr">
        <is>
          <t>Down</t>
        </is>
      </c>
      <c r="H1544" t="inlineStr">
        <is>
          <t>ED_JD</t>
        </is>
      </c>
      <c r="I1544" t="inlineStr">
        <is>
          <t>2012-07</t>
        </is>
      </c>
      <c r="J1544" t="n">
        <v>1</v>
      </c>
      <c r="K1544" t="n">
        <v>1</v>
      </c>
      <c r="L1544" s="34">
        <f>IF($J1544=1,LN(B1545/B1544),"")</f>
        <v/>
      </c>
      <c r="M1544" s="34">
        <f>IF($K1544=1,INDEX(Mensal!$D$2:$D$245,MATCH($I1544,Mensal!$A$2:$A$245,0)),"")</f>
        <v/>
      </c>
      <c r="N1544" s="34">
        <f>IF($K1544=1,L1544-M1544,"")</f>
        <v/>
      </c>
      <c r="O1544" s="34" t="n">
        <v>0.00031866</v>
      </c>
      <c r="P1544" s="34">
        <f>IF($J1544=1,LN(1+O1544),"")</f>
        <v/>
      </c>
      <c r="Q1544" s="34">
        <f>IF($J1544=1,LN(R1545/R1544),"")</f>
        <v/>
      </c>
      <c r="R1544" s="32" t="n">
        <v>1.9888</v>
      </c>
      <c r="S1544" s="35" t="n">
        <v>7.53</v>
      </c>
      <c r="T1544" s="18" t="n"/>
      <c r="U1544" s="18" t="n"/>
      <c r="V1544" s="18" t="n">
        <v>55780</v>
      </c>
      <c r="W1544" s="18" t="n"/>
      <c r="X1544" s="35" t="n"/>
      <c r="Y1544" s="35" t="n">
        <v>7.53</v>
      </c>
    </row>
    <row r="1545">
      <c r="A1545" s="25" t="n">
        <v>41094</v>
      </c>
      <c r="B1545" s="18" t="n">
        <v>56076</v>
      </c>
      <c r="C1545" s="31" t="n"/>
      <c r="D1545" s="32" t="n"/>
      <c r="E1545" s="33" t="n">
        <v>-0.4717</v>
      </c>
      <c r="F1545" t="inlineStr">
        <is>
          <t>Down</t>
        </is>
      </c>
      <c r="G1545" t="inlineStr">
        <is>
          <t>Down</t>
        </is>
      </c>
      <c r="H1545" t="inlineStr">
        <is>
          <t>ED_JD</t>
        </is>
      </c>
      <c r="I1545" t="inlineStr">
        <is>
          <t>2012-07</t>
        </is>
      </c>
      <c r="J1545" t="n">
        <v>1</v>
      </c>
      <c r="K1545" t="n">
        <v>1</v>
      </c>
      <c r="L1545" s="34">
        <f>IF($J1545=1,LN(B1546/B1545),"")</f>
        <v/>
      </c>
      <c r="M1545" s="34">
        <f>IF($K1545=1,INDEX(Mensal!$D$2:$D$245,MATCH($I1545,Mensal!$A$2:$A$245,0)),"")</f>
        <v/>
      </c>
      <c r="N1545" s="34">
        <f>IF($K1545=1,L1545-M1545,"")</f>
        <v/>
      </c>
      <c r="O1545" s="34" t="n">
        <v>0.00031902</v>
      </c>
      <c r="P1545" s="34">
        <f>IF($J1545=1,LN(1+O1545),"")</f>
        <v/>
      </c>
      <c r="Q1545" s="34">
        <f>IF($J1545=1,LN(R1546/R1545),"")</f>
        <v/>
      </c>
      <c r="R1545" s="32" t="n">
        <v>2.0201</v>
      </c>
      <c r="S1545" s="35" t="n">
        <v>7.57</v>
      </c>
      <c r="T1545" s="18" t="n"/>
      <c r="U1545" s="18" t="n"/>
      <c r="V1545" s="18" t="n">
        <v>56076</v>
      </c>
      <c r="W1545" s="18" t="n"/>
      <c r="X1545" s="35" t="n"/>
      <c r="Y1545" s="35" t="n">
        <v>7.57</v>
      </c>
    </row>
    <row r="1546">
      <c r="A1546" s="25" t="n">
        <v>41095</v>
      </c>
      <c r="B1546" s="18" t="n">
        <v>56379</v>
      </c>
      <c r="C1546" s="31" t="n"/>
      <c r="D1546" s="32" t="n"/>
      <c r="E1546" s="33" t="n">
        <v>-0.5192</v>
      </c>
      <c r="F1546" t="inlineStr">
        <is>
          <t>Down</t>
        </is>
      </c>
      <c r="G1546" t="inlineStr">
        <is>
          <t>Down</t>
        </is>
      </c>
      <c r="H1546" t="inlineStr">
        <is>
          <t>ED_JD</t>
        </is>
      </c>
      <c r="I1546" t="inlineStr">
        <is>
          <t>2012-07</t>
        </is>
      </c>
      <c r="J1546" t="n">
        <v>1</v>
      </c>
      <c r="K1546" t="n">
        <v>1</v>
      </c>
      <c r="L1546" s="34">
        <f>IF($J1546=1,LN(B1547/B1546),"")</f>
        <v/>
      </c>
      <c r="M1546" s="34">
        <f>IF($K1546=1,INDEX(Mensal!$D$2:$D$245,MATCH($I1546,Mensal!$A$2:$A$245,0)),"")</f>
        <v/>
      </c>
      <c r="N1546" s="34">
        <f>IF($K1546=1,L1546-M1546,"")</f>
        <v/>
      </c>
      <c r="O1546" s="34" t="n">
        <v>0.00031866</v>
      </c>
      <c r="P1546" s="34">
        <f>IF($J1546=1,LN(1+O1546),"")</f>
        <v/>
      </c>
      <c r="Q1546" s="34">
        <f>IF($J1546=1,LN(R1547/R1546),"")</f>
        <v/>
      </c>
      <c r="R1546" s="32" t="n">
        <v>2.0292</v>
      </c>
      <c r="S1546" s="35" t="n">
        <v>7.57</v>
      </c>
      <c r="T1546" s="18" t="n"/>
      <c r="U1546" s="18" t="n"/>
      <c r="V1546" s="18" t="n">
        <v>56379</v>
      </c>
      <c r="W1546" s="18" t="n"/>
      <c r="X1546" s="35" t="n"/>
      <c r="Y1546" s="35" t="n">
        <v>7.57</v>
      </c>
    </row>
    <row r="1547">
      <c r="A1547" s="25" t="n">
        <v>41096</v>
      </c>
      <c r="B1547" s="18" t="n">
        <v>55394</v>
      </c>
      <c r="C1547" s="31" t="n"/>
      <c r="D1547" s="32" t="n"/>
      <c r="E1547" s="33" t="n">
        <v>-0.5736</v>
      </c>
      <c r="F1547" t="inlineStr">
        <is>
          <t>Down</t>
        </is>
      </c>
      <c r="G1547" t="inlineStr">
        <is>
          <t>Down</t>
        </is>
      </c>
      <c r="H1547" t="inlineStr">
        <is>
          <t>ED_JD</t>
        </is>
      </c>
      <c r="I1547" t="inlineStr">
        <is>
          <t>2012-07</t>
        </is>
      </c>
      <c r="J1547" t="n">
        <v>1</v>
      </c>
      <c r="K1547" t="n">
        <v>1</v>
      </c>
      <c r="L1547" s="34">
        <f>IF($J1547=1,LN(B1548/B1547),"")</f>
        <v/>
      </c>
      <c r="M1547" s="34">
        <f>IF($K1547=1,INDEX(Mensal!$D$2:$D$245,MATCH($I1547,Mensal!$A$2:$A$245,0)),"")</f>
        <v/>
      </c>
      <c r="N1547" s="34">
        <f>IF($K1547=1,L1547-M1547,"")</f>
        <v/>
      </c>
      <c r="O1547" s="34" t="n">
        <v>0.00031792</v>
      </c>
      <c r="P1547" s="34">
        <f>IF($J1547=1,LN(1+O1547),"")</f>
        <v/>
      </c>
      <c r="Q1547" s="34">
        <f>IF($J1547=1,LN(R1548/R1547),"")</f>
        <v/>
      </c>
      <c r="R1547" s="32" t="n">
        <v>2.0359</v>
      </c>
      <c r="S1547" s="35" t="n">
        <v>7.47</v>
      </c>
      <c r="T1547" s="18" t="n"/>
      <c r="U1547" s="18" t="n"/>
      <c r="V1547" s="18" t="n">
        <v>55394</v>
      </c>
      <c r="W1547" s="18" t="n"/>
      <c r="X1547" s="35" t="n"/>
      <c r="Y1547" s="35" t="n">
        <v>7.47</v>
      </c>
    </row>
    <row r="1548">
      <c r="A1548" s="25" t="n">
        <v>41100</v>
      </c>
      <c r="B1548" s="18" t="n">
        <v>53705</v>
      </c>
      <c r="C1548" s="31" t="n"/>
      <c r="D1548" s="32" t="n"/>
      <c r="E1548" s="33" t="n">
        <v>-0.6378</v>
      </c>
      <c r="F1548" t="inlineStr">
        <is>
          <t>Down</t>
        </is>
      </c>
      <c r="G1548" t="inlineStr">
        <is>
          <t>Down</t>
        </is>
      </c>
      <c r="H1548" t="inlineStr">
        <is>
          <t>ED_JD</t>
        </is>
      </c>
      <c r="I1548" t="inlineStr">
        <is>
          <t>2012-07</t>
        </is>
      </c>
      <c r="J1548" t="n">
        <v>1</v>
      </c>
      <c r="K1548" t="n">
        <v>1</v>
      </c>
      <c r="L1548" s="34">
        <f>IF($J1548=1,LN(B1549/B1548),"")</f>
        <v/>
      </c>
      <c r="M1548" s="34">
        <f>IF($K1548=1,INDEX(Mensal!$D$2:$D$245,MATCH($I1548,Mensal!$A$2:$A$245,0)),"")</f>
        <v/>
      </c>
      <c r="N1548" s="34">
        <f>IF($K1548=1,L1548-M1548,"")</f>
        <v/>
      </c>
      <c r="O1548" s="34" t="n">
        <v>0.00031719</v>
      </c>
      <c r="P1548" s="34">
        <f>IF($J1548=1,LN(1+O1548),"")</f>
        <v/>
      </c>
      <c r="Q1548" s="34">
        <f>IF($J1548=1,LN(R1549/R1548),"")</f>
        <v/>
      </c>
      <c r="R1548" s="32" t="n">
        <v>2.0332</v>
      </c>
      <c r="S1548" s="35" t="n">
        <v>7.431</v>
      </c>
      <c r="T1548" s="18" t="n"/>
      <c r="U1548" s="18" t="n"/>
      <c r="V1548" s="18" t="n">
        <v>53705</v>
      </c>
      <c r="W1548" s="18" t="n"/>
      <c r="X1548" s="35" t="n"/>
      <c r="Y1548" s="35" t="n">
        <v>7.431</v>
      </c>
    </row>
    <row r="1549">
      <c r="A1549" s="25" t="n">
        <v>41101</v>
      </c>
      <c r="B1549" s="18" t="n">
        <v>53569</v>
      </c>
      <c r="C1549" s="31" t="n"/>
      <c r="D1549" s="32" t="n"/>
      <c r="E1549" s="33" t="n">
        <v>-0.7029</v>
      </c>
      <c r="F1549" t="inlineStr">
        <is>
          <t>Down</t>
        </is>
      </c>
      <c r="G1549" t="inlineStr">
        <is>
          <t>Down</t>
        </is>
      </c>
      <c r="H1549" t="inlineStr">
        <is>
          <t>ED_JD</t>
        </is>
      </c>
      <c r="I1549" t="inlineStr">
        <is>
          <t>2012-07</t>
        </is>
      </c>
      <c r="J1549" t="n">
        <v>1</v>
      </c>
      <c r="K1549" t="n">
        <v>1</v>
      </c>
      <c r="L1549" s="34">
        <f>IF($J1549=1,LN(B1550/B1549),"")</f>
        <v/>
      </c>
      <c r="M1549" s="34">
        <f>IF($K1549=1,INDEX(Mensal!$D$2:$D$245,MATCH($I1549,Mensal!$A$2:$A$245,0)),"")</f>
        <v/>
      </c>
      <c r="N1549" s="34">
        <f>IF($K1549=1,L1549-M1549,"")</f>
        <v/>
      </c>
      <c r="O1549" s="34" t="n">
        <v>0.00031646</v>
      </c>
      <c r="P1549" s="34">
        <f>IF($J1549=1,LN(1+O1549),"")</f>
        <v/>
      </c>
      <c r="Q1549" s="34">
        <f>IF($J1549=1,LN(R1550/R1549),"")</f>
        <v/>
      </c>
      <c r="R1549" s="32" t="n">
        <v>2.031</v>
      </c>
      <c r="S1549" s="35" t="n">
        <v>7.36</v>
      </c>
      <c r="T1549" s="18" t="n"/>
      <c r="U1549" s="18" t="n"/>
      <c r="V1549" s="18" t="n">
        <v>53569</v>
      </c>
      <c r="W1549" s="18" t="n"/>
      <c r="X1549" s="35" t="n"/>
      <c r="Y1549" s="35" t="n">
        <v>7.36</v>
      </c>
    </row>
    <row r="1550">
      <c r="A1550" s="25" t="n">
        <v>41102</v>
      </c>
      <c r="B1550" s="18" t="n">
        <v>53420</v>
      </c>
      <c r="C1550" s="31" t="n"/>
      <c r="D1550" s="32" t="n"/>
      <c r="E1550" s="33" t="n">
        <v>-0.7688</v>
      </c>
      <c r="F1550" t="inlineStr">
        <is>
          <t>Down</t>
        </is>
      </c>
      <c r="G1550" t="inlineStr">
        <is>
          <t>Down</t>
        </is>
      </c>
      <c r="H1550" t="inlineStr">
        <is>
          <t>ED_JD</t>
        </is>
      </c>
      <c r="I1550" t="inlineStr">
        <is>
          <t>2012-07</t>
        </is>
      </c>
      <c r="J1550" t="n">
        <v>1</v>
      </c>
      <c r="K1550" t="n">
        <v>1</v>
      </c>
      <c r="L1550" s="34">
        <f>IF($J1550=1,LN(B1551/B1550),"")</f>
        <v/>
      </c>
      <c r="M1550" s="34">
        <f>IF($K1550=1,INDEX(Mensal!$D$2:$D$245,MATCH($I1550,Mensal!$A$2:$A$245,0)),"")</f>
        <v/>
      </c>
      <c r="N1550" s="34">
        <f>IF($K1550=1,L1550-M1550,"")</f>
        <v/>
      </c>
      <c r="O1550" s="34" t="n">
        <v>0.00029993</v>
      </c>
      <c r="P1550" s="34">
        <f>IF($J1550=1,LN(1+O1550),"")</f>
        <v/>
      </c>
      <c r="Q1550" s="34">
        <f>IF($J1550=1,LN(R1551/R1550),"")</f>
        <v/>
      </c>
      <c r="R1550" s="32" t="n">
        <v>2.0471</v>
      </c>
      <c r="S1550" s="35" t="n">
        <v>7.371</v>
      </c>
      <c r="T1550" s="18" t="n"/>
      <c r="U1550" s="18" t="n"/>
      <c r="V1550" s="18" t="n">
        <v>53420</v>
      </c>
      <c r="W1550" s="18" t="n"/>
      <c r="X1550" s="35" t="n"/>
      <c r="Y1550" s="35" t="n">
        <v>7.371</v>
      </c>
    </row>
    <row r="1551">
      <c r="A1551" s="25" t="n">
        <v>41103</v>
      </c>
      <c r="B1551" s="18" t="n">
        <v>54331</v>
      </c>
      <c r="C1551" s="31" t="n"/>
      <c r="D1551" s="32" t="n"/>
      <c r="E1551" s="33" t="n">
        <v>-0.8275</v>
      </c>
      <c r="F1551" t="inlineStr">
        <is>
          <t>Down</t>
        </is>
      </c>
      <c r="G1551" t="inlineStr">
        <is>
          <t>Down</t>
        </is>
      </c>
      <c r="H1551" t="inlineStr">
        <is>
          <t>ED_JD</t>
        </is>
      </c>
      <c r="I1551" t="inlineStr">
        <is>
          <t>2012-07</t>
        </is>
      </c>
      <c r="J1551" t="n">
        <v>1</v>
      </c>
      <c r="K1551" t="n">
        <v>1</v>
      </c>
      <c r="L1551" s="34">
        <f>IF($J1551=1,LN(B1552/B1551),"")</f>
        <v/>
      </c>
      <c r="M1551" s="34">
        <f>IF($K1551=1,INDEX(Mensal!$D$2:$D$245,MATCH($I1551,Mensal!$A$2:$A$245,0)),"")</f>
        <v/>
      </c>
      <c r="N1551" s="34">
        <f>IF($K1551=1,L1551-M1551,"")</f>
        <v/>
      </c>
      <c r="O1551" s="34" t="n">
        <v>0.00029919</v>
      </c>
      <c r="P1551" s="34">
        <f>IF($J1551=1,LN(1+O1551),"")</f>
        <v/>
      </c>
      <c r="Q1551" s="34">
        <f>IF($J1551=1,LN(R1552/R1551),"")</f>
        <v/>
      </c>
      <c r="R1551" s="32" t="n">
        <v>2.0338</v>
      </c>
      <c r="S1551" s="35" t="n">
        <v>7.353</v>
      </c>
      <c r="T1551" s="18" t="n"/>
      <c r="U1551" s="18" t="n"/>
      <c r="V1551" s="18" t="n">
        <v>54331</v>
      </c>
      <c r="W1551" s="18" t="n"/>
      <c r="X1551" s="35" t="n"/>
      <c r="Y1551" s="35" t="n">
        <v>7.353</v>
      </c>
    </row>
    <row r="1552">
      <c r="A1552" s="25" t="n">
        <v>41106</v>
      </c>
      <c r="B1552" s="18" t="n">
        <v>53401</v>
      </c>
      <c r="C1552" s="31" t="n"/>
      <c r="D1552" s="32" t="n"/>
      <c r="E1552" s="33" t="n">
        <v>-0.8856000000000001</v>
      </c>
      <c r="F1552" t="inlineStr">
        <is>
          <t>Down</t>
        </is>
      </c>
      <c r="G1552" t="inlineStr">
        <is>
          <t>Down</t>
        </is>
      </c>
      <c r="H1552" t="inlineStr">
        <is>
          <t>ED_JD</t>
        </is>
      </c>
      <c r="I1552" t="inlineStr">
        <is>
          <t>2012-07</t>
        </is>
      </c>
      <c r="J1552" t="n">
        <v>1</v>
      </c>
      <c r="K1552" t="n">
        <v>1</v>
      </c>
      <c r="L1552" s="34">
        <f>IF($J1552=1,LN(B1553/B1552),"")</f>
        <v/>
      </c>
      <c r="M1552" s="34">
        <f>IF($K1552=1,INDEX(Mensal!$D$2:$D$245,MATCH($I1552,Mensal!$A$2:$A$245,0)),"")</f>
        <v/>
      </c>
      <c r="N1552" s="34">
        <f>IF($K1552=1,L1552-M1552,"")</f>
        <v/>
      </c>
      <c r="O1552" s="34" t="n">
        <v>0.00029993</v>
      </c>
      <c r="P1552" s="34">
        <f>IF($J1552=1,LN(1+O1552),"")</f>
        <v/>
      </c>
      <c r="Q1552" s="34">
        <f>IF($J1552=1,LN(R1553/R1552),"")</f>
        <v/>
      </c>
      <c r="R1552" s="32" t="n">
        <v>2.038</v>
      </c>
      <c r="S1552" s="35" t="n">
        <v>7.339</v>
      </c>
      <c r="T1552" s="18" t="n"/>
      <c r="U1552" s="18" t="n"/>
      <c r="V1552" s="18" t="n">
        <v>53401</v>
      </c>
      <c r="W1552" s="18" t="n"/>
      <c r="X1552" s="35" t="n"/>
      <c r="Y1552" s="35" t="n">
        <v>7.339</v>
      </c>
    </row>
    <row r="1553">
      <c r="A1553" s="25" t="n">
        <v>41107</v>
      </c>
      <c r="B1553" s="18" t="n">
        <v>53909</v>
      </c>
      <c r="C1553" s="31" t="n"/>
      <c r="D1553" s="32" t="n"/>
      <c r="E1553" s="33" t="n">
        <v>-0.9361</v>
      </c>
      <c r="F1553" t="inlineStr">
        <is>
          <t>Down</t>
        </is>
      </c>
      <c r="G1553" t="inlineStr">
        <is>
          <t>Down</t>
        </is>
      </c>
      <c r="H1553" t="inlineStr">
        <is>
          <t>ED_JD</t>
        </is>
      </c>
      <c r="I1553" t="inlineStr">
        <is>
          <t>2012-07</t>
        </is>
      </c>
      <c r="J1553" t="n">
        <v>1</v>
      </c>
      <c r="K1553" t="n">
        <v>1</v>
      </c>
      <c r="L1553" s="34">
        <f>IF($J1553=1,LN(B1554/B1553),"")</f>
        <v/>
      </c>
      <c r="M1553" s="34">
        <f>IF($K1553=1,INDEX(Mensal!$D$2:$D$245,MATCH($I1553,Mensal!$A$2:$A$245,0)),"")</f>
        <v/>
      </c>
      <c r="N1553" s="34">
        <f>IF($K1553=1,L1553-M1553,"")</f>
        <v/>
      </c>
      <c r="O1553" s="34" t="n">
        <v>0.00029883</v>
      </c>
      <c r="P1553" s="34">
        <f>IF($J1553=1,LN(1+O1553),"")</f>
        <v/>
      </c>
      <c r="Q1553" s="34">
        <f>IF($J1553=1,LN(R1554/R1553),"")</f>
        <v/>
      </c>
      <c r="R1553" s="32" t="n">
        <v>2.0349</v>
      </c>
      <c r="S1553" s="35" t="n">
        <v>7.437</v>
      </c>
      <c r="T1553" s="18" t="n"/>
      <c r="U1553" s="18" t="n"/>
      <c r="V1553" s="18" t="n">
        <v>53909</v>
      </c>
      <c r="W1553" s="18" t="n"/>
      <c r="X1553" s="35" t="n"/>
      <c r="Y1553" s="35" t="n">
        <v>7.437</v>
      </c>
    </row>
    <row r="1554">
      <c r="A1554" s="25" t="n">
        <v>41108</v>
      </c>
      <c r="B1554" s="18" t="n">
        <v>54583</v>
      </c>
      <c r="C1554" s="31" t="n"/>
      <c r="D1554" s="32" t="n"/>
      <c r="E1554" s="33" t="n">
        <v>-0.9833</v>
      </c>
      <c r="F1554" t="inlineStr">
        <is>
          <t>Down</t>
        </is>
      </c>
      <c r="G1554" t="inlineStr">
        <is>
          <t>Down</t>
        </is>
      </c>
      <c r="H1554" t="inlineStr">
        <is>
          <t>ED_JD</t>
        </is>
      </c>
      <c r="I1554" t="inlineStr">
        <is>
          <t>2012-07</t>
        </is>
      </c>
      <c r="J1554" t="n">
        <v>1</v>
      </c>
      <c r="K1554" t="n">
        <v>1</v>
      </c>
      <c r="L1554" s="34">
        <f>IF($J1554=1,LN(B1555/B1554),"")</f>
        <v/>
      </c>
      <c r="M1554" s="34">
        <f>IF($K1554=1,INDEX(Mensal!$D$2:$D$245,MATCH($I1554,Mensal!$A$2:$A$245,0)),"")</f>
        <v/>
      </c>
      <c r="N1554" s="34">
        <f>IF($K1554=1,L1554-M1554,"")</f>
        <v/>
      </c>
      <c r="O1554" s="34" t="n">
        <v>0.00029809</v>
      </c>
      <c r="P1554" s="34">
        <f>IF($J1554=1,LN(1+O1554),"")</f>
        <v/>
      </c>
      <c r="Q1554" s="34">
        <f>IF($J1554=1,LN(R1555/R1554),"")</f>
        <v/>
      </c>
      <c r="R1554" s="32" t="n">
        <v>2.0258</v>
      </c>
      <c r="S1554" s="35" t="n">
        <v>7.422</v>
      </c>
      <c r="T1554" s="18" t="n"/>
      <c r="U1554" s="18" t="n"/>
      <c r="V1554" s="18" t="n">
        <v>54583</v>
      </c>
      <c r="W1554" s="18" t="n"/>
      <c r="X1554" s="35" t="n"/>
      <c r="Y1554" s="35" t="n">
        <v>7.422</v>
      </c>
    </row>
    <row r="1555">
      <c r="A1555" s="25" t="n">
        <v>41109</v>
      </c>
      <c r="B1555" s="18" t="n">
        <v>55346</v>
      </c>
      <c r="C1555" s="31" t="n"/>
      <c r="D1555" s="32" t="n"/>
      <c r="E1555" s="33" t="n">
        <v>-1.0243</v>
      </c>
      <c r="F1555" t="inlineStr">
        <is>
          <t>Down</t>
        </is>
      </c>
      <c r="G1555" t="inlineStr">
        <is>
          <t>Down</t>
        </is>
      </c>
      <c r="H1555" t="inlineStr">
        <is>
          <t>ED_JD</t>
        </is>
      </c>
      <c r="I1555" t="inlineStr">
        <is>
          <t>2012-07</t>
        </is>
      </c>
      <c r="J1555" t="n">
        <v>1</v>
      </c>
      <c r="K1555" t="n">
        <v>1</v>
      </c>
      <c r="L1555" s="34">
        <f>IF($J1555=1,LN(B1556/B1555),"")</f>
        <v/>
      </c>
      <c r="M1555" s="34">
        <f>IF($K1555=1,INDEX(Mensal!$D$2:$D$245,MATCH($I1555,Mensal!$A$2:$A$245,0)),"")</f>
        <v/>
      </c>
      <c r="N1555" s="34">
        <f>IF($K1555=1,L1555-M1555,"")</f>
        <v/>
      </c>
      <c r="O1555" s="34" t="n">
        <v>0.00029919</v>
      </c>
      <c r="P1555" s="34">
        <f>IF($J1555=1,LN(1+O1555),"")</f>
        <v/>
      </c>
      <c r="Q1555" s="34">
        <f>IF($J1555=1,LN(R1556/R1555),"")</f>
        <v/>
      </c>
      <c r="R1555" s="32" t="n">
        <v>2.0239</v>
      </c>
      <c r="S1555" s="35" t="n">
        <v>7.358</v>
      </c>
      <c r="T1555" s="18" t="n"/>
      <c r="U1555" s="18" t="n"/>
      <c r="V1555" s="18" t="n">
        <v>55346</v>
      </c>
      <c r="W1555" s="18" t="n"/>
      <c r="X1555" s="35" t="n"/>
      <c r="Y1555" s="35" t="n">
        <v>7.358</v>
      </c>
    </row>
    <row r="1556">
      <c r="A1556" s="25" t="n">
        <v>41110</v>
      </c>
      <c r="B1556" s="18" t="n">
        <v>54194</v>
      </c>
      <c r="C1556" s="31" t="n"/>
      <c r="D1556" s="32" t="n"/>
      <c r="E1556" s="33" t="n">
        <v>-1.0653</v>
      </c>
      <c r="F1556" t="inlineStr">
        <is>
          <t>Down</t>
        </is>
      </c>
      <c r="G1556" t="inlineStr">
        <is>
          <t>Down</t>
        </is>
      </c>
      <c r="H1556" t="inlineStr">
        <is>
          <t>ED_JD</t>
        </is>
      </c>
      <c r="I1556" t="inlineStr">
        <is>
          <t>2012-07</t>
        </is>
      </c>
      <c r="J1556" t="n">
        <v>1</v>
      </c>
      <c r="K1556" t="n">
        <v>1</v>
      </c>
      <c r="L1556" s="34">
        <f>IF($J1556=1,LN(B1557/B1556),"")</f>
        <v/>
      </c>
      <c r="M1556" s="34">
        <f>IF($K1556=1,INDEX(Mensal!$D$2:$D$245,MATCH($I1556,Mensal!$A$2:$A$245,0)),"")</f>
        <v/>
      </c>
      <c r="N1556" s="34">
        <f>IF($K1556=1,L1556-M1556,"")</f>
        <v/>
      </c>
      <c r="O1556" s="34" t="n">
        <v>0.00029956</v>
      </c>
      <c r="P1556" s="34">
        <f>IF($J1556=1,LN(1+O1556),"")</f>
        <v/>
      </c>
      <c r="Q1556" s="34">
        <f>IF($J1556=1,LN(R1557/R1556),"")</f>
        <v/>
      </c>
      <c r="R1556" s="32" t="n">
        <v>2.0227</v>
      </c>
      <c r="S1556" s="35" t="n">
        <v>7.42</v>
      </c>
      <c r="T1556" s="18" t="n"/>
      <c r="U1556" s="18" t="n"/>
      <c r="V1556" s="18" t="n">
        <v>54194</v>
      </c>
      <c r="W1556" s="18" t="n"/>
      <c r="X1556" s="35" t="n"/>
      <c r="Y1556" s="35" t="n">
        <v>7.42</v>
      </c>
    </row>
    <row r="1557">
      <c r="A1557" s="25" t="n">
        <v>41113</v>
      </c>
      <c r="B1557" s="18" t="n">
        <v>53033</v>
      </c>
      <c r="C1557" s="31" t="n"/>
      <c r="D1557" s="32" t="n"/>
      <c r="E1557" s="33" t="n">
        <v>-1.1059</v>
      </c>
      <c r="F1557" t="inlineStr">
        <is>
          <t>Down</t>
        </is>
      </c>
      <c r="G1557" t="inlineStr">
        <is>
          <t>Down</t>
        </is>
      </c>
      <c r="H1557" t="inlineStr">
        <is>
          <t>ED_JD</t>
        </is>
      </c>
      <c r="I1557" t="inlineStr">
        <is>
          <t>2012-07</t>
        </is>
      </c>
      <c r="J1557" t="n">
        <v>1</v>
      </c>
      <c r="K1557" t="n">
        <v>1</v>
      </c>
      <c r="L1557" s="34">
        <f>IF($J1557=1,LN(B1558/B1557),"")</f>
        <v/>
      </c>
      <c r="M1557" s="34">
        <f>IF($K1557=1,INDEX(Mensal!$D$2:$D$245,MATCH($I1557,Mensal!$A$2:$A$245,0)),"")</f>
        <v/>
      </c>
      <c r="N1557" s="34">
        <f>IF($K1557=1,L1557-M1557,"")</f>
        <v/>
      </c>
      <c r="O1557" s="34" t="n">
        <v>0.00029956</v>
      </c>
      <c r="P1557" s="34">
        <f>IF($J1557=1,LN(1+O1557),"")</f>
        <v/>
      </c>
      <c r="Q1557" s="34">
        <f>IF($J1557=1,LN(R1558/R1557),"")</f>
        <v/>
      </c>
      <c r="R1557" s="32" t="n">
        <v>2.0412</v>
      </c>
      <c r="S1557" s="35" t="n">
        <v>7.366</v>
      </c>
      <c r="T1557" s="18" t="n"/>
      <c r="U1557" s="18" t="n"/>
      <c r="V1557" s="18" t="n">
        <v>53033</v>
      </c>
      <c r="W1557" s="18" t="n"/>
      <c r="X1557" s="35" t="n"/>
      <c r="Y1557" s="35" t="n">
        <v>7.366</v>
      </c>
    </row>
    <row r="1558">
      <c r="A1558" s="25" t="n">
        <v>41114</v>
      </c>
      <c r="B1558" s="18" t="n">
        <v>52638</v>
      </c>
      <c r="C1558" s="31" t="n"/>
      <c r="D1558" s="32" t="n"/>
      <c r="E1558" s="33" t="n">
        <v>-1.1539</v>
      </c>
      <c r="F1558" t="inlineStr">
        <is>
          <t>Down</t>
        </is>
      </c>
      <c r="G1558" t="inlineStr">
        <is>
          <t>Down</t>
        </is>
      </c>
      <c r="H1558" t="inlineStr">
        <is>
          <t>ED_JD</t>
        </is>
      </c>
      <c r="I1558" t="inlineStr">
        <is>
          <t>2012-07</t>
        </is>
      </c>
      <c r="J1558" t="n">
        <v>1</v>
      </c>
      <c r="K1558" t="n">
        <v>1</v>
      </c>
      <c r="L1558" s="34">
        <f>IF($J1558=1,LN(B1559/B1558),"")</f>
        <v/>
      </c>
      <c r="M1558" s="34">
        <f>IF($K1558=1,INDEX(Mensal!$D$2:$D$245,MATCH($I1558,Mensal!$A$2:$A$245,0)),"")</f>
        <v/>
      </c>
      <c r="N1558" s="34">
        <f>IF($K1558=1,L1558-M1558,"")</f>
        <v/>
      </c>
      <c r="O1558" s="34" t="n">
        <v>0.00029883</v>
      </c>
      <c r="P1558" s="34">
        <f>IF($J1558=1,LN(1+O1558),"")</f>
        <v/>
      </c>
      <c r="Q1558" s="34">
        <f>IF($J1558=1,LN(R1559/R1558),"")</f>
        <v/>
      </c>
      <c r="R1558" s="32" t="n">
        <v>2.0418</v>
      </c>
      <c r="S1558" s="35" t="n">
        <v>7.384</v>
      </c>
      <c r="T1558" s="18" t="n"/>
      <c r="U1558" s="18" t="n"/>
      <c r="V1558" s="18" t="n">
        <v>52638</v>
      </c>
      <c r="W1558" s="18" t="n"/>
      <c r="X1558" s="35" t="n"/>
      <c r="Y1558" s="35" t="n">
        <v>7.384</v>
      </c>
    </row>
    <row r="1559">
      <c r="A1559" s="25" t="n">
        <v>41115</v>
      </c>
      <c r="B1559" s="18" t="n">
        <v>52607</v>
      </c>
      <c r="C1559" s="31" t="n"/>
      <c r="D1559" s="32" t="n"/>
      <c r="E1559" s="33" t="n">
        <v>-1.201</v>
      </c>
      <c r="F1559" t="inlineStr">
        <is>
          <t>Down</t>
        </is>
      </c>
      <c r="G1559" t="inlineStr">
        <is>
          <t>Down</t>
        </is>
      </c>
      <c r="H1559" t="inlineStr">
        <is>
          <t>ED_JD</t>
        </is>
      </c>
      <c r="I1559" t="inlineStr">
        <is>
          <t>2012-07</t>
        </is>
      </c>
      <c r="J1559" t="n">
        <v>1</v>
      </c>
      <c r="K1559" t="n">
        <v>1</v>
      </c>
      <c r="L1559" s="34">
        <f>IF($J1559=1,LN(B1560/B1559),"")</f>
        <v/>
      </c>
      <c r="M1559" s="34">
        <f>IF($K1559=1,INDEX(Mensal!$D$2:$D$245,MATCH($I1559,Mensal!$A$2:$A$245,0)),"")</f>
        <v/>
      </c>
      <c r="N1559" s="34">
        <f>IF($K1559=1,L1559-M1559,"")</f>
        <v/>
      </c>
      <c r="O1559" s="34" t="n">
        <v>0.00029956</v>
      </c>
      <c r="P1559" s="34">
        <f>IF($J1559=1,LN(1+O1559),"")</f>
        <v/>
      </c>
      <c r="Q1559" s="34">
        <f>IF($J1559=1,LN(R1560/R1559),"")</f>
        <v/>
      </c>
      <c r="R1559" s="32" t="n">
        <v>2.0403</v>
      </c>
      <c r="S1559" s="35" t="n">
        <v>7.337</v>
      </c>
      <c r="T1559" s="18" t="n"/>
      <c r="U1559" s="18" t="n"/>
      <c r="V1559" s="18" t="n">
        <v>52607</v>
      </c>
      <c r="W1559" s="18" t="n"/>
      <c r="X1559" s="35" t="n"/>
      <c r="Y1559" s="35" t="n">
        <v>7.337</v>
      </c>
    </row>
    <row r="1560">
      <c r="A1560" s="25" t="n">
        <v>41116</v>
      </c>
      <c r="B1560" s="18" t="n">
        <v>54002</v>
      </c>
      <c r="C1560" s="31" t="n"/>
      <c r="D1560" s="32" t="n"/>
      <c r="E1560" s="33" t="n">
        <v>-1.2674</v>
      </c>
      <c r="F1560" t="inlineStr">
        <is>
          <t>Down</t>
        </is>
      </c>
      <c r="G1560" t="inlineStr">
        <is>
          <t>Down</t>
        </is>
      </c>
      <c r="H1560" t="inlineStr">
        <is>
          <t>ED_JD</t>
        </is>
      </c>
      <c r="I1560" t="inlineStr">
        <is>
          <t>2012-07</t>
        </is>
      </c>
      <c r="J1560" t="n">
        <v>1</v>
      </c>
      <c r="K1560" t="n">
        <v>1</v>
      </c>
      <c r="L1560" s="34">
        <f>IF($J1560=1,LN(B1561/B1560),"")</f>
        <v/>
      </c>
      <c r="M1560" s="34">
        <f>IF($K1560=1,INDEX(Mensal!$D$2:$D$245,MATCH($I1560,Mensal!$A$2:$A$245,0)),"")</f>
        <v/>
      </c>
      <c r="N1560" s="34">
        <f>IF($K1560=1,L1560-M1560,"")</f>
        <v/>
      </c>
      <c r="O1560" s="34" t="n">
        <v>0.00029846</v>
      </c>
      <c r="P1560" s="34">
        <f>IF($J1560=1,LN(1+O1560),"")</f>
        <v/>
      </c>
      <c r="Q1560" s="34">
        <f>IF($J1560=1,LN(R1561/R1560),"")</f>
        <v/>
      </c>
      <c r="R1560" s="32" t="n">
        <v>2.0255</v>
      </c>
      <c r="S1560" s="35" t="n">
        <v>7.392</v>
      </c>
      <c r="T1560" s="18" t="n"/>
      <c r="U1560" s="18" t="n"/>
      <c r="V1560" s="18" t="n">
        <v>54002</v>
      </c>
      <c r="W1560" s="18" t="n"/>
      <c r="X1560" s="35" t="n"/>
      <c r="Y1560" s="35" t="n">
        <v>7.392</v>
      </c>
    </row>
    <row r="1561">
      <c r="A1561" s="25" t="n">
        <v>41117</v>
      </c>
      <c r="B1561" s="18" t="n">
        <v>56553</v>
      </c>
      <c r="C1561" s="31" t="n"/>
      <c r="D1561" s="32" t="n"/>
      <c r="E1561" s="33" t="n">
        <v>-1.3386</v>
      </c>
      <c r="F1561" t="inlineStr">
        <is>
          <t>Down</t>
        </is>
      </c>
      <c r="G1561" t="inlineStr">
        <is>
          <t>Down</t>
        </is>
      </c>
      <c r="H1561" t="inlineStr">
        <is>
          <t>ED_JD</t>
        </is>
      </c>
      <c r="I1561" t="inlineStr">
        <is>
          <t>2012-07</t>
        </is>
      </c>
      <c r="J1561" t="n">
        <v>1</v>
      </c>
      <c r="K1561" t="n">
        <v>1</v>
      </c>
      <c r="L1561" s="34">
        <f>IF($J1561=1,LN(B1562/B1561),"")</f>
        <v/>
      </c>
      <c r="M1561" s="34">
        <f>IF($K1561=1,INDEX(Mensal!$D$2:$D$245,MATCH($I1561,Mensal!$A$2:$A$245,0)),"")</f>
        <v/>
      </c>
      <c r="N1561" s="34">
        <f>IF($K1561=1,L1561-M1561,"")</f>
        <v/>
      </c>
      <c r="O1561" s="34" t="n">
        <v>0.00029772</v>
      </c>
      <c r="P1561" s="34">
        <f>IF($J1561=1,LN(1+O1561),"")</f>
        <v/>
      </c>
      <c r="Q1561" s="34">
        <f>IF($J1561=1,LN(R1562/R1561),"")</f>
        <v/>
      </c>
      <c r="R1561" s="32" t="n">
        <v>2.0173</v>
      </c>
      <c r="S1561" s="35" t="n">
        <v>7.475</v>
      </c>
      <c r="T1561" s="18" t="n"/>
      <c r="U1561" s="18" t="n"/>
      <c r="V1561" s="18" t="n">
        <v>56553</v>
      </c>
      <c r="W1561" s="18" t="n"/>
      <c r="X1561" s="35" t="n"/>
      <c r="Y1561" s="35" t="n">
        <v>7.475</v>
      </c>
    </row>
    <row r="1562">
      <c r="A1562" s="25" t="n">
        <v>41120</v>
      </c>
      <c r="B1562" s="18" t="n">
        <v>57240</v>
      </c>
      <c r="C1562" s="31" t="n"/>
      <c r="D1562" s="32" t="n"/>
      <c r="E1562" s="33" t="n">
        <v>-1.4102</v>
      </c>
      <c r="F1562" t="inlineStr">
        <is>
          <t>Down</t>
        </is>
      </c>
      <c r="G1562" t="inlineStr">
        <is>
          <t>Down</t>
        </is>
      </c>
      <c r="H1562" t="inlineStr">
        <is>
          <t>ED_JD</t>
        </is>
      </c>
      <c r="I1562" t="inlineStr">
        <is>
          <t>2012-07</t>
        </is>
      </c>
      <c r="J1562" t="n">
        <v>1</v>
      </c>
      <c r="K1562" t="n">
        <v>1</v>
      </c>
      <c r="L1562" s="34">
        <f>IF($J1562=1,LN(B1563/B1562),"")</f>
        <v/>
      </c>
      <c r="M1562" s="34">
        <f>IF($K1562=1,INDEX(Mensal!$D$2:$D$245,MATCH($I1562,Mensal!$A$2:$A$245,0)),"")</f>
        <v/>
      </c>
      <c r="N1562" s="34">
        <f>IF($K1562=1,L1562-M1562,"")</f>
        <v/>
      </c>
      <c r="O1562" s="34" t="n">
        <v>0.00029919</v>
      </c>
      <c r="P1562" s="34">
        <f>IF($J1562=1,LN(1+O1562),"")</f>
        <v/>
      </c>
      <c r="Q1562" s="34">
        <f>IF($J1562=1,LN(R1563/R1562),"")</f>
        <v/>
      </c>
      <c r="R1562" s="32" t="n">
        <v>2.0313</v>
      </c>
      <c r="S1562" s="35" t="n">
        <v>7.435</v>
      </c>
      <c r="T1562" s="18" t="n"/>
      <c r="U1562" s="18" t="n"/>
      <c r="V1562" s="18" t="n">
        <v>57240</v>
      </c>
      <c r="W1562" s="18" t="n"/>
      <c r="X1562" s="35" t="n"/>
      <c r="Y1562" s="35" t="n">
        <v>7.435</v>
      </c>
    </row>
    <row r="1563">
      <c r="A1563" s="25" t="n">
        <v>41121</v>
      </c>
      <c r="B1563" s="18" t="n">
        <v>56097</v>
      </c>
      <c r="C1563" s="31" t="n"/>
      <c r="D1563" s="32" t="n"/>
      <c r="E1563" s="33" t="n">
        <v>-1.4712</v>
      </c>
      <c r="F1563" t="inlineStr">
        <is>
          <t>Down</t>
        </is>
      </c>
      <c r="G1563" t="inlineStr">
        <is>
          <t>Down</t>
        </is>
      </c>
      <c r="H1563" t="inlineStr">
        <is>
          <t>ED_JD</t>
        </is>
      </c>
      <c r="I1563" t="inlineStr">
        <is>
          <t>2012-07</t>
        </is>
      </c>
      <c r="J1563" t="n">
        <v>1</v>
      </c>
      <c r="K1563" t="n">
        <v>1</v>
      </c>
      <c r="L1563" s="34">
        <f>IF($J1563=1,LN(B1564/B1563),"")</f>
        <v/>
      </c>
      <c r="M1563" s="34">
        <f>IF($K1563=1,INDEX(Mensal!$D$2:$D$245,MATCH($I1563,Mensal!$A$2:$A$245,0)),"")</f>
        <v/>
      </c>
      <c r="N1563" s="34">
        <f>IF($K1563=1,L1563-M1563,"")</f>
        <v/>
      </c>
      <c r="O1563" s="34" t="n">
        <v>0.00029919</v>
      </c>
      <c r="P1563" s="34">
        <f>IF($J1563=1,LN(1+O1563),"")</f>
        <v/>
      </c>
      <c r="Q1563" s="34">
        <f>IF($J1563=1,LN(R1564/R1563),"")</f>
        <v/>
      </c>
      <c r="R1563" s="32" t="n">
        <v>2.0499</v>
      </c>
      <c r="S1563" s="35" t="n">
        <v>7.455</v>
      </c>
      <c r="T1563" s="18" t="n"/>
      <c r="U1563" s="18" t="n"/>
      <c r="V1563" s="18" t="n">
        <v>56097</v>
      </c>
      <c r="W1563" s="18" t="n"/>
      <c r="X1563" s="35" t="n"/>
      <c r="Y1563" s="35" t="n">
        <v>7.455</v>
      </c>
    </row>
    <row r="1564">
      <c r="A1564" s="25" t="n">
        <v>41122</v>
      </c>
      <c r="B1564" s="18" t="n">
        <v>56291</v>
      </c>
      <c r="C1564" s="31" t="n"/>
      <c r="D1564" s="32" t="n"/>
      <c r="E1564" s="33" t="n">
        <v>-1.5262</v>
      </c>
      <c r="F1564" t="inlineStr">
        <is>
          <t>Down</t>
        </is>
      </c>
      <c r="G1564" t="inlineStr">
        <is>
          <t>Down</t>
        </is>
      </c>
      <c r="H1564" t="inlineStr">
        <is>
          <t>ED_JD</t>
        </is>
      </c>
      <c r="I1564" t="inlineStr">
        <is>
          <t>2012-08</t>
        </is>
      </c>
      <c r="J1564" t="n">
        <v>1</v>
      </c>
      <c r="K1564" t="n">
        <v>1</v>
      </c>
      <c r="L1564" s="34">
        <f>IF($J1564=1,LN(B1565/B1564),"")</f>
        <v/>
      </c>
      <c r="M1564" s="34">
        <f>IF($K1564=1,INDEX(Mensal!$D$2:$D$245,MATCH($I1564,Mensal!$A$2:$A$245,0)),"")</f>
        <v/>
      </c>
      <c r="N1564" s="34">
        <f>IF($K1564=1,L1564-M1564,"")</f>
        <v/>
      </c>
      <c r="O1564" s="34" t="n">
        <v>0.00029919</v>
      </c>
      <c r="P1564" s="34">
        <f>IF($J1564=1,LN(1+O1564),"")</f>
        <v/>
      </c>
      <c r="Q1564" s="34">
        <f>IF($J1564=1,LN(R1565/R1564),"")</f>
        <v/>
      </c>
      <c r="R1564" s="32" t="n">
        <v>2.0432</v>
      </c>
      <c r="S1564" s="35" t="n">
        <v>7.405</v>
      </c>
      <c r="T1564" s="18" t="n"/>
      <c r="U1564" s="18" t="n"/>
      <c r="V1564" s="18" t="n">
        <v>56291</v>
      </c>
      <c r="W1564" s="18" t="n"/>
      <c r="X1564" s="35" t="n"/>
      <c r="Y1564" s="35" t="n">
        <v>7.405</v>
      </c>
    </row>
    <row r="1565">
      <c r="A1565" s="25" t="n">
        <v>41123</v>
      </c>
      <c r="B1565" s="18" t="n">
        <v>55520</v>
      </c>
      <c r="C1565" s="31" t="n"/>
      <c r="D1565" s="32" t="n"/>
      <c r="E1565" s="33" t="n">
        <v>-1.5784</v>
      </c>
      <c r="F1565" t="inlineStr">
        <is>
          <t>Down</t>
        </is>
      </c>
      <c r="G1565" t="inlineStr">
        <is>
          <t>Down</t>
        </is>
      </c>
      <c r="H1565" t="inlineStr">
        <is>
          <t>ED_JD</t>
        </is>
      </c>
      <c r="I1565" t="inlineStr">
        <is>
          <t>2012-08</t>
        </is>
      </c>
      <c r="J1565" t="n">
        <v>1</v>
      </c>
      <c r="K1565" t="n">
        <v>1</v>
      </c>
      <c r="L1565" s="34">
        <f>IF($J1565=1,LN(B1566/B1565),"")</f>
        <v/>
      </c>
      <c r="M1565" s="34">
        <f>IF($K1565=1,INDEX(Mensal!$D$2:$D$245,MATCH($I1565,Mensal!$A$2:$A$245,0)),"")</f>
        <v/>
      </c>
      <c r="N1565" s="34">
        <f>IF($K1565=1,L1565-M1565,"")</f>
        <v/>
      </c>
      <c r="O1565" s="34" t="n">
        <v>0.00029883</v>
      </c>
      <c r="P1565" s="34">
        <f>IF($J1565=1,LN(1+O1565),"")</f>
        <v/>
      </c>
      <c r="Q1565" s="34">
        <f>IF($J1565=1,LN(R1566/R1565),"")</f>
        <v/>
      </c>
      <c r="R1565" s="32" t="n">
        <v>2.0475</v>
      </c>
      <c r="S1565" s="35" t="n">
        <v>7.381</v>
      </c>
      <c r="T1565" s="18" t="n"/>
      <c r="U1565" s="18" t="n"/>
      <c r="V1565" s="18" t="n">
        <v>55520</v>
      </c>
      <c r="W1565" s="18" t="n"/>
      <c r="X1565" s="35" t="n"/>
      <c r="Y1565" s="35" t="n">
        <v>7.381</v>
      </c>
    </row>
    <row r="1566">
      <c r="A1566" s="25" t="n">
        <v>41124</v>
      </c>
      <c r="B1566" s="18" t="n">
        <v>57255</v>
      </c>
      <c r="C1566" s="31" t="n"/>
      <c r="D1566" s="32" t="n"/>
      <c r="E1566" s="33" t="n">
        <v>-1.6314</v>
      </c>
      <c r="F1566" t="inlineStr">
        <is>
          <t>Down</t>
        </is>
      </c>
      <c r="G1566" t="inlineStr">
        <is>
          <t>Down</t>
        </is>
      </c>
      <c r="H1566" t="inlineStr">
        <is>
          <t>ED_JD</t>
        </is>
      </c>
      <c r="I1566" t="inlineStr">
        <is>
          <t>2012-08</t>
        </is>
      </c>
      <c r="J1566" t="n">
        <v>1</v>
      </c>
      <c r="K1566" t="n">
        <v>1</v>
      </c>
      <c r="L1566" s="34">
        <f>IF($J1566=1,LN(B1567/B1566),"")</f>
        <v/>
      </c>
      <c r="M1566" s="34">
        <f>IF($K1566=1,INDEX(Mensal!$D$2:$D$245,MATCH($I1566,Mensal!$A$2:$A$245,0)),"")</f>
        <v/>
      </c>
      <c r="N1566" s="34">
        <f>IF($K1566=1,L1566-M1566,"")</f>
        <v/>
      </c>
      <c r="O1566" s="34" t="n">
        <v>0.00029919</v>
      </c>
      <c r="P1566" s="34">
        <f>IF($J1566=1,LN(1+O1566),"")</f>
        <v/>
      </c>
      <c r="Q1566" s="34">
        <f>IF($J1566=1,LN(R1567/R1566),"")</f>
        <v/>
      </c>
      <c r="R1566" s="32" t="n">
        <v>2.0313</v>
      </c>
      <c r="S1566" s="35" t="n">
        <v>7.412</v>
      </c>
      <c r="T1566" s="18" t="n"/>
      <c r="U1566" s="18" t="n"/>
      <c r="V1566" s="18" t="n">
        <v>57255</v>
      </c>
      <c r="W1566" s="18" t="n"/>
      <c r="X1566" s="35" t="n"/>
      <c r="Y1566" s="35" t="n">
        <v>7.412</v>
      </c>
    </row>
    <row r="1567">
      <c r="A1567" s="25" t="n">
        <v>41127</v>
      </c>
      <c r="B1567" s="18" t="n">
        <v>58344</v>
      </c>
      <c r="C1567" s="31" t="n"/>
      <c r="D1567" s="32" t="n"/>
      <c r="E1567" s="33" t="n">
        <v>-1.6428</v>
      </c>
      <c r="F1567" t="inlineStr">
        <is>
          <t>Down</t>
        </is>
      </c>
      <c r="G1567" t="inlineStr">
        <is>
          <t>Down</t>
        </is>
      </c>
      <c r="H1567" t="inlineStr">
        <is>
          <t>ED_JD</t>
        </is>
      </c>
      <c r="I1567" t="inlineStr">
        <is>
          <t>2012-08</t>
        </is>
      </c>
      <c r="J1567" t="n">
        <v>1</v>
      </c>
      <c r="K1567" t="n">
        <v>1</v>
      </c>
      <c r="L1567" s="34">
        <f>IF($J1567=1,LN(B1568/B1567),"")</f>
        <v/>
      </c>
      <c r="M1567" s="34">
        <f>IF($K1567=1,INDEX(Mensal!$D$2:$D$245,MATCH($I1567,Mensal!$A$2:$A$245,0)),"")</f>
        <v/>
      </c>
      <c r="N1567" s="34">
        <f>IF($K1567=1,L1567-M1567,"")</f>
        <v/>
      </c>
      <c r="O1567" s="34" t="n">
        <v>0.00029883</v>
      </c>
      <c r="P1567" s="34">
        <f>IF($J1567=1,LN(1+O1567),"")</f>
        <v/>
      </c>
      <c r="Q1567" s="34">
        <f>IF($J1567=1,LN(R1568/R1567),"")</f>
        <v/>
      </c>
      <c r="R1567" s="32" t="n">
        <v>2.0279</v>
      </c>
      <c r="S1567" s="35" t="n">
        <v>7.436</v>
      </c>
      <c r="T1567" s="18" t="n"/>
      <c r="U1567" s="18" t="n"/>
      <c r="V1567" s="18" t="n">
        <v>58344</v>
      </c>
      <c r="W1567" s="18" t="n"/>
      <c r="X1567" s="35" t="n"/>
      <c r="Y1567" s="35" t="n">
        <v>7.436</v>
      </c>
    </row>
    <row r="1568">
      <c r="A1568" s="25" t="n">
        <v>41128</v>
      </c>
      <c r="B1568" s="18" t="n">
        <v>57725</v>
      </c>
      <c r="C1568" s="31" t="n"/>
      <c r="D1568" s="32" t="n"/>
      <c r="E1568" s="33" t="n">
        <v>-1.6564</v>
      </c>
      <c r="F1568" t="inlineStr">
        <is>
          <t>Down</t>
        </is>
      </c>
      <c r="G1568" t="inlineStr">
        <is>
          <t>Down</t>
        </is>
      </c>
      <c r="H1568" t="inlineStr">
        <is>
          <t>ED_JD</t>
        </is>
      </c>
      <c r="I1568" t="inlineStr">
        <is>
          <t>2012-08</t>
        </is>
      </c>
      <c r="J1568" t="n">
        <v>1</v>
      </c>
      <c r="K1568" t="n">
        <v>1</v>
      </c>
      <c r="L1568" s="34">
        <f>IF($J1568=1,LN(B1569/B1568),"")</f>
        <v/>
      </c>
      <c r="M1568" s="34">
        <f>IF($K1568=1,INDEX(Mensal!$D$2:$D$245,MATCH($I1568,Mensal!$A$2:$A$245,0)),"")</f>
        <v/>
      </c>
      <c r="N1568" s="34">
        <f>IF($K1568=1,L1568-M1568,"")</f>
        <v/>
      </c>
      <c r="O1568" s="34" t="n">
        <v>0.00029883</v>
      </c>
      <c r="P1568" s="34">
        <f>IF($J1568=1,LN(1+O1568),"")</f>
        <v/>
      </c>
      <c r="Q1568" s="34">
        <f>IF($J1568=1,LN(R1569/R1568),"")</f>
        <v/>
      </c>
      <c r="R1568" s="32" t="n">
        <v>2.0281</v>
      </c>
      <c r="S1568" s="35" t="n">
        <v>7.405</v>
      </c>
      <c r="T1568" s="18" t="n"/>
      <c r="U1568" s="18" t="n"/>
      <c r="V1568" s="18" t="n">
        <v>57725</v>
      </c>
      <c r="W1568" s="18" t="n"/>
      <c r="X1568" s="35" t="n"/>
      <c r="Y1568" s="35" t="n">
        <v>7.405</v>
      </c>
    </row>
    <row r="1569">
      <c r="A1569" s="25" t="n">
        <v>41129</v>
      </c>
      <c r="B1569" s="18" t="n">
        <v>58950</v>
      </c>
      <c r="C1569" s="31" t="n"/>
      <c r="D1569" s="32" t="n"/>
      <c r="E1569" s="33" t="n">
        <v>-1.6674</v>
      </c>
      <c r="F1569" t="inlineStr">
        <is>
          <t>Down</t>
        </is>
      </c>
      <c r="G1569" t="inlineStr">
        <is>
          <t>Down</t>
        </is>
      </c>
      <c r="H1569" t="inlineStr">
        <is>
          <t>ED_JD</t>
        </is>
      </c>
      <c r="I1569" t="inlineStr">
        <is>
          <t>2012-08</t>
        </is>
      </c>
      <c r="J1569" t="n">
        <v>1</v>
      </c>
      <c r="K1569" t="n">
        <v>1</v>
      </c>
      <c r="L1569" s="34">
        <f>IF($J1569=1,LN(B1570/B1569),"")</f>
        <v/>
      </c>
      <c r="M1569" s="34">
        <f>IF($K1569=1,INDEX(Mensal!$D$2:$D$245,MATCH($I1569,Mensal!$A$2:$A$245,0)),"")</f>
        <v/>
      </c>
      <c r="N1569" s="34">
        <f>IF($K1569=1,L1569-M1569,"")</f>
        <v/>
      </c>
      <c r="O1569" s="34" t="n">
        <v>0.00029883</v>
      </c>
      <c r="P1569" s="34">
        <f>IF($J1569=1,LN(1+O1569),"")</f>
        <v/>
      </c>
      <c r="Q1569" s="34">
        <f>IF($J1569=1,LN(R1570/R1569),"")</f>
        <v/>
      </c>
      <c r="R1569" s="32" t="n">
        <v>2.0273</v>
      </c>
      <c r="S1569" s="35" t="n">
        <v>7.383</v>
      </c>
      <c r="T1569" s="18" t="n"/>
      <c r="U1569" s="18" t="n"/>
      <c r="V1569" s="18" t="n">
        <v>58950</v>
      </c>
      <c r="W1569" s="18" t="n"/>
      <c r="X1569" s="35" t="n"/>
      <c r="Y1569" s="35" t="n">
        <v>7.383</v>
      </c>
    </row>
    <row r="1570">
      <c r="A1570" s="25" t="n">
        <v>41130</v>
      </c>
      <c r="B1570" s="18" t="n">
        <v>58797</v>
      </c>
      <c r="C1570" s="31" t="n"/>
      <c r="D1570" s="32" t="n"/>
      <c r="E1570" s="33" t="n">
        <v>-1.6807</v>
      </c>
      <c r="F1570" t="inlineStr">
        <is>
          <t>Down</t>
        </is>
      </c>
      <c r="G1570" t="inlineStr">
        <is>
          <t>Down</t>
        </is>
      </c>
      <c r="H1570" t="inlineStr">
        <is>
          <t>ED_JD</t>
        </is>
      </c>
      <c r="I1570" t="inlineStr">
        <is>
          <t>2012-08</t>
        </is>
      </c>
      <c r="J1570" t="n">
        <v>1</v>
      </c>
      <c r="K1570" t="n">
        <v>1</v>
      </c>
      <c r="L1570" s="34">
        <f>IF($J1570=1,LN(B1571/B1570),"")</f>
        <v/>
      </c>
      <c r="M1570" s="34">
        <f>IF($K1570=1,INDEX(Mensal!$D$2:$D$245,MATCH($I1570,Mensal!$A$2:$A$245,0)),"")</f>
        <v/>
      </c>
      <c r="N1570" s="34">
        <f>IF($K1570=1,L1570-M1570,"")</f>
        <v/>
      </c>
      <c r="O1570" s="34" t="n">
        <v>0.00029883</v>
      </c>
      <c r="P1570" s="34">
        <f>IF($J1570=1,LN(1+O1570),"")</f>
        <v/>
      </c>
      <c r="Q1570" s="34">
        <f>IF($J1570=1,LN(R1571/R1570),"")</f>
        <v/>
      </c>
      <c r="R1570" s="32" t="n">
        <v>2.0182</v>
      </c>
      <c r="S1570" s="35" t="n">
        <v>7.383</v>
      </c>
      <c r="T1570" s="18" t="n"/>
      <c r="U1570" s="18" t="n"/>
      <c r="V1570" s="18" t="n">
        <v>58797</v>
      </c>
      <c r="W1570" s="18" t="n"/>
      <c r="X1570" s="35" t="n"/>
      <c r="Y1570" s="35" t="n">
        <v>7.383</v>
      </c>
    </row>
    <row r="1571">
      <c r="A1571" s="25" t="n">
        <v>41131</v>
      </c>
      <c r="B1571" s="18" t="n">
        <v>59208</v>
      </c>
      <c r="C1571" s="31" t="n"/>
      <c r="D1571" s="32" t="n"/>
      <c r="E1571" s="33" t="n">
        <v>-1.6916</v>
      </c>
      <c r="F1571" t="inlineStr">
        <is>
          <t>Down</t>
        </is>
      </c>
      <c r="G1571" t="inlineStr">
        <is>
          <t>Down</t>
        </is>
      </c>
      <c r="H1571" t="inlineStr">
        <is>
          <t>ED_JD</t>
        </is>
      </c>
      <c r="I1571" t="inlineStr">
        <is>
          <t>2012-08</t>
        </is>
      </c>
      <c r="J1571" t="n">
        <v>1</v>
      </c>
      <c r="K1571" t="n">
        <v>1</v>
      </c>
      <c r="L1571" s="34">
        <f>IF($J1571=1,LN(B1572/B1571),"")</f>
        <v/>
      </c>
      <c r="M1571" s="34">
        <f>IF($K1571=1,INDEX(Mensal!$D$2:$D$245,MATCH($I1571,Mensal!$A$2:$A$245,0)),"")</f>
        <v/>
      </c>
      <c r="N1571" s="34">
        <f>IF($K1571=1,L1571-M1571,"")</f>
        <v/>
      </c>
      <c r="O1571" s="34" t="n">
        <v>0.00029883</v>
      </c>
      <c r="P1571" s="34">
        <f>IF($J1571=1,LN(1+O1571),"")</f>
        <v/>
      </c>
      <c r="Q1571" s="34">
        <f>IF($J1571=1,LN(R1572/R1571),"")</f>
        <v/>
      </c>
      <c r="R1571" s="32" t="n">
        <v>2.0175</v>
      </c>
      <c r="S1571" s="35" t="n">
        <v>7.412</v>
      </c>
      <c r="T1571" s="18" t="n"/>
      <c r="U1571" s="18" t="n"/>
      <c r="V1571" s="18" t="n">
        <v>59208</v>
      </c>
      <c r="W1571" s="18" t="n"/>
      <c r="X1571" s="35" t="n"/>
      <c r="Y1571" s="35" t="n">
        <v>7.412</v>
      </c>
    </row>
    <row r="1572">
      <c r="A1572" s="25" t="n">
        <v>41134</v>
      </c>
      <c r="B1572" s="18" t="n">
        <v>59122</v>
      </c>
      <c r="C1572" s="31" t="n"/>
      <c r="D1572" s="32" t="n"/>
      <c r="E1572" s="33" t="n">
        <v>-1.6987</v>
      </c>
      <c r="F1572" t="inlineStr">
        <is>
          <t>Down</t>
        </is>
      </c>
      <c r="G1572" t="inlineStr">
        <is>
          <t>Down</t>
        </is>
      </c>
      <c r="H1572" t="inlineStr">
        <is>
          <t>ED_JD</t>
        </is>
      </c>
      <c r="I1572" t="inlineStr">
        <is>
          <t>2012-08</t>
        </is>
      </c>
      <c r="J1572" t="n">
        <v>1</v>
      </c>
      <c r="K1572" t="n">
        <v>1</v>
      </c>
      <c r="L1572" s="34">
        <f>IF($J1572=1,LN(B1573/B1572),"")</f>
        <v/>
      </c>
      <c r="M1572" s="34">
        <f>IF($K1572=1,INDEX(Mensal!$D$2:$D$245,MATCH($I1572,Mensal!$A$2:$A$245,0)),"")</f>
        <v/>
      </c>
      <c r="N1572" s="34">
        <f>IF($K1572=1,L1572-M1572,"")</f>
        <v/>
      </c>
      <c r="O1572" s="34" t="n">
        <v>0.00029809</v>
      </c>
      <c r="P1572" s="34">
        <f>IF($J1572=1,LN(1+O1572),"")</f>
        <v/>
      </c>
      <c r="Q1572" s="34">
        <f>IF($J1572=1,LN(R1573/R1572),"")</f>
        <v/>
      </c>
      <c r="R1572" s="32" t="n">
        <v>2.0266</v>
      </c>
      <c r="S1572" s="35" t="n">
        <v>7.363</v>
      </c>
      <c r="T1572" s="18" t="n"/>
      <c r="U1572" s="18" t="n"/>
      <c r="V1572" s="18" t="n">
        <v>59122</v>
      </c>
      <c r="W1572" s="18" t="n"/>
      <c r="X1572" s="35" t="n"/>
      <c r="Y1572" s="35" t="n">
        <v>7.363</v>
      </c>
    </row>
    <row r="1573">
      <c r="A1573" s="25" t="n">
        <v>41135</v>
      </c>
      <c r="B1573" s="18" t="n">
        <v>58082</v>
      </c>
      <c r="C1573" s="31" t="n"/>
      <c r="D1573" s="32" t="n"/>
      <c r="E1573" s="33" t="n">
        <v>-1.7177</v>
      </c>
      <c r="F1573" t="inlineStr">
        <is>
          <t>Down</t>
        </is>
      </c>
      <c r="G1573" t="inlineStr">
        <is>
          <t>Down</t>
        </is>
      </c>
      <c r="H1573" t="inlineStr">
        <is>
          <t>ED_JD</t>
        </is>
      </c>
      <c r="I1573" t="inlineStr">
        <is>
          <t>2012-08</t>
        </is>
      </c>
      <c r="J1573" t="n">
        <v>1</v>
      </c>
      <c r="K1573" t="n">
        <v>1</v>
      </c>
      <c r="L1573" s="34">
        <f>IF($J1573=1,LN(B1574/B1573),"")</f>
        <v/>
      </c>
      <c r="M1573" s="34">
        <f>IF($K1573=1,INDEX(Mensal!$D$2:$D$245,MATCH($I1573,Mensal!$A$2:$A$245,0)),"")</f>
        <v/>
      </c>
      <c r="N1573" s="34">
        <f>IF($K1573=1,L1573-M1573,"")</f>
        <v/>
      </c>
      <c r="O1573" s="34" t="n">
        <v>0.00029919</v>
      </c>
      <c r="P1573" s="34">
        <f>IF($J1573=1,LN(1+O1573),"")</f>
        <v/>
      </c>
      <c r="Q1573" s="34">
        <f>IF($J1573=1,LN(R1574/R1573),"")</f>
        <v/>
      </c>
      <c r="R1573" s="32" t="n">
        <v>2.0258</v>
      </c>
      <c r="S1573" s="35" t="n">
        <v>7.356</v>
      </c>
      <c r="T1573" s="18" t="n"/>
      <c r="U1573" s="18" t="n"/>
      <c r="V1573" s="18" t="n">
        <v>58082</v>
      </c>
      <c r="W1573" s="18" t="n"/>
      <c r="X1573" s="35" t="n"/>
      <c r="Y1573" s="35" t="n">
        <v>7.356</v>
      </c>
    </row>
    <row r="1574">
      <c r="A1574" s="25" t="n">
        <v>41136</v>
      </c>
      <c r="B1574" s="18" t="n">
        <v>58189</v>
      </c>
      <c r="C1574" s="31" t="n"/>
      <c r="D1574" s="32" t="n"/>
      <c r="E1574" s="33" t="n">
        <v>-1.735</v>
      </c>
      <c r="F1574" t="inlineStr">
        <is>
          <t>Down</t>
        </is>
      </c>
      <c r="G1574" t="inlineStr">
        <is>
          <t>Down</t>
        </is>
      </c>
      <c r="H1574" t="inlineStr">
        <is>
          <t>ED_JD</t>
        </is>
      </c>
      <c r="I1574" t="inlineStr">
        <is>
          <t>2012-08</t>
        </is>
      </c>
      <c r="J1574" t="n">
        <v>1</v>
      </c>
      <c r="K1574" t="n">
        <v>1</v>
      </c>
      <c r="L1574" s="34">
        <f>IF($J1574=1,LN(B1575/B1574),"")</f>
        <v/>
      </c>
      <c r="M1574" s="34">
        <f>IF($K1574=1,INDEX(Mensal!$D$2:$D$245,MATCH($I1574,Mensal!$A$2:$A$245,0)),"")</f>
        <v/>
      </c>
      <c r="N1574" s="34">
        <f>IF($K1574=1,L1574-M1574,"")</f>
        <v/>
      </c>
      <c r="O1574" s="34" t="n">
        <v>0.00029919</v>
      </c>
      <c r="P1574" s="34">
        <f>IF($J1574=1,LN(1+O1574),"")</f>
        <v/>
      </c>
      <c r="Q1574" s="34">
        <f>IF($J1574=1,LN(R1575/R1574),"")</f>
        <v/>
      </c>
      <c r="R1574" s="32" t="n">
        <v>2.0234</v>
      </c>
      <c r="S1574" s="35" t="n">
        <v>7.375</v>
      </c>
      <c r="T1574" s="18" t="n"/>
      <c r="U1574" s="18" t="n"/>
      <c r="V1574" s="18" t="n">
        <v>58189</v>
      </c>
      <c r="W1574" s="18" t="n"/>
      <c r="X1574" s="35" t="n"/>
      <c r="Y1574" s="35" t="n">
        <v>7.375</v>
      </c>
    </row>
    <row r="1575">
      <c r="A1575" s="25" t="n">
        <v>41137</v>
      </c>
      <c r="B1575" s="18" t="n">
        <v>59445</v>
      </c>
      <c r="C1575" s="31" t="n"/>
      <c r="D1575" s="32" t="n"/>
      <c r="E1575" s="33" t="n">
        <v>-1.7495</v>
      </c>
      <c r="F1575" t="inlineStr">
        <is>
          <t>Down</t>
        </is>
      </c>
      <c r="G1575" t="inlineStr">
        <is>
          <t>Down</t>
        </is>
      </c>
      <c r="H1575" t="inlineStr">
        <is>
          <t>ED_JD</t>
        </is>
      </c>
      <c r="I1575" t="inlineStr">
        <is>
          <t>2012-08</t>
        </is>
      </c>
      <c r="J1575" t="n">
        <v>1</v>
      </c>
      <c r="K1575" t="n">
        <v>1</v>
      </c>
      <c r="L1575" s="34">
        <f>IF($J1575=1,LN(B1576/B1575),"")</f>
        <v/>
      </c>
      <c r="M1575" s="34">
        <f>IF($K1575=1,INDEX(Mensal!$D$2:$D$245,MATCH($I1575,Mensal!$A$2:$A$245,0)),"")</f>
        <v/>
      </c>
      <c r="N1575" s="34">
        <f>IF($K1575=1,L1575-M1575,"")</f>
        <v/>
      </c>
      <c r="O1575" s="34" t="n">
        <v>0.00029883</v>
      </c>
      <c r="P1575" s="34">
        <f>IF($J1575=1,LN(1+O1575),"")</f>
        <v/>
      </c>
      <c r="Q1575" s="34">
        <f>IF($J1575=1,LN(R1576/R1575),"")</f>
        <v/>
      </c>
      <c r="R1575" s="32" t="n">
        <v>2.0214</v>
      </c>
      <c r="S1575" s="35" t="n">
        <v>7.475</v>
      </c>
      <c r="T1575" s="18" t="n"/>
      <c r="U1575" s="18" t="n"/>
      <c r="V1575" s="18" t="n">
        <v>59445</v>
      </c>
      <c r="W1575" s="18" t="n"/>
      <c r="X1575" s="35" t="n"/>
      <c r="Y1575" s="35" t="n">
        <v>7.475</v>
      </c>
    </row>
    <row r="1576">
      <c r="A1576" s="25" t="n">
        <v>41138</v>
      </c>
      <c r="B1576" s="18" t="n">
        <v>59082</v>
      </c>
      <c r="C1576" s="31" t="n"/>
      <c r="D1576" s="32" t="n"/>
      <c r="E1576" s="33" t="n">
        <v>-1.7589</v>
      </c>
      <c r="F1576" t="inlineStr">
        <is>
          <t>Down</t>
        </is>
      </c>
      <c r="G1576" t="inlineStr">
        <is>
          <t>Down</t>
        </is>
      </c>
      <c r="H1576" t="inlineStr">
        <is>
          <t>ED_JD</t>
        </is>
      </c>
      <c r="I1576" t="inlineStr">
        <is>
          <t>2012-08</t>
        </is>
      </c>
      <c r="J1576" t="n">
        <v>1</v>
      </c>
      <c r="K1576" t="n">
        <v>1</v>
      </c>
      <c r="L1576" s="34">
        <f>IF($J1576=1,LN(B1577/B1576),"")</f>
        <v/>
      </c>
      <c r="M1576" s="34">
        <f>IF($K1576=1,INDEX(Mensal!$D$2:$D$245,MATCH($I1576,Mensal!$A$2:$A$245,0)),"")</f>
        <v/>
      </c>
      <c r="N1576" s="34">
        <f>IF($K1576=1,L1576-M1576,"")</f>
        <v/>
      </c>
      <c r="O1576" s="34" t="n">
        <v>0.00029956</v>
      </c>
      <c r="P1576" s="34">
        <f>IF($J1576=1,LN(1+O1576),"")</f>
        <v/>
      </c>
      <c r="Q1576" s="34">
        <f>IF($J1576=1,LN(R1577/R1576),"")</f>
        <v/>
      </c>
      <c r="R1576" s="32" t="n">
        <v>2.0182</v>
      </c>
      <c r="S1576" s="35" t="n">
        <v>7.455</v>
      </c>
      <c r="T1576" s="18" t="n"/>
      <c r="U1576" s="18" t="n"/>
      <c r="V1576" s="18" t="n">
        <v>59082</v>
      </c>
      <c r="W1576" s="18" t="n"/>
      <c r="X1576" s="35" t="n"/>
      <c r="Y1576" s="35" t="n">
        <v>7.455</v>
      </c>
    </row>
    <row r="1577">
      <c r="A1577" s="25" t="n">
        <v>41141</v>
      </c>
      <c r="B1577" s="18" t="n">
        <v>59283</v>
      </c>
      <c r="C1577" s="31" t="n"/>
      <c r="D1577" s="32" t="n"/>
      <c r="E1577" s="33" t="n">
        <v>-1.7738</v>
      </c>
      <c r="F1577" t="inlineStr">
        <is>
          <t>Down</t>
        </is>
      </c>
      <c r="G1577" t="inlineStr">
        <is>
          <t>Down</t>
        </is>
      </c>
      <c r="H1577" t="inlineStr">
        <is>
          <t>ED_JD</t>
        </is>
      </c>
      <c r="I1577" t="inlineStr">
        <is>
          <t>2012-08</t>
        </is>
      </c>
      <c r="J1577" t="n">
        <v>1</v>
      </c>
      <c r="K1577" t="n">
        <v>1</v>
      </c>
      <c r="L1577" s="34">
        <f>IF($J1577=1,LN(B1578/B1577),"")</f>
        <v/>
      </c>
      <c r="M1577" s="34">
        <f>IF($K1577=1,INDEX(Mensal!$D$2:$D$245,MATCH($I1577,Mensal!$A$2:$A$245,0)),"")</f>
        <v/>
      </c>
      <c r="N1577" s="34">
        <f>IF($K1577=1,L1577-M1577,"")</f>
        <v/>
      </c>
      <c r="O1577" s="34" t="n">
        <v>0.00029993</v>
      </c>
      <c r="P1577" s="34">
        <f>IF($J1577=1,LN(1+O1577),"")</f>
        <v/>
      </c>
      <c r="Q1577" s="34">
        <f>IF($J1577=1,LN(R1578/R1577),"")</f>
        <v/>
      </c>
      <c r="R1577" s="32" t="n">
        <v>2.0209</v>
      </c>
      <c r="S1577" s="35" t="n">
        <v>7.497</v>
      </c>
      <c r="T1577" s="18" t="n"/>
      <c r="U1577" s="18" t="n"/>
      <c r="V1577" s="18" t="n">
        <v>59283</v>
      </c>
      <c r="W1577" s="18" t="n"/>
      <c r="X1577" s="35" t="n"/>
      <c r="Y1577" s="35" t="n">
        <v>7.497</v>
      </c>
    </row>
    <row r="1578">
      <c r="A1578" s="25" t="n">
        <v>41142</v>
      </c>
      <c r="B1578" s="18" t="n">
        <v>58917</v>
      </c>
      <c r="C1578" s="31" t="n"/>
      <c r="D1578" s="32" t="n"/>
      <c r="E1578" s="33" t="n">
        <v>-1.7841</v>
      </c>
      <c r="F1578" t="inlineStr">
        <is>
          <t>Down</t>
        </is>
      </c>
      <c r="G1578" t="inlineStr">
        <is>
          <t>Down</t>
        </is>
      </c>
      <c r="H1578" t="inlineStr">
        <is>
          <t>ED_JD</t>
        </is>
      </c>
      <c r="I1578" t="inlineStr">
        <is>
          <t>2012-08</t>
        </is>
      </c>
      <c r="J1578" t="n">
        <v>1</v>
      </c>
      <c r="K1578" t="n">
        <v>1</v>
      </c>
      <c r="L1578" s="34">
        <f>IF($J1578=1,LN(B1579/B1578),"")</f>
        <v/>
      </c>
      <c r="M1578" s="34">
        <f>IF($K1578=1,INDEX(Mensal!$D$2:$D$245,MATCH($I1578,Mensal!$A$2:$A$245,0)),"")</f>
        <v/>
      </c>
      <c r="N1578" s="34">
        <f>IF($K1578=1,L1578-M1578,"")</f>
        <v/>
      </c>
      <c r="O1578" s="34" t="n">
        <v>0.00029883</v>
      </c>
      <c r="P1578" s="34">
        <f>IF($J1578=1,LN(1+O1578),"")</f>
        <v/>
      </c>
      <c r="Q1578" s="34">
        <f>IF($J1578=1,LN(R1579/R1578),"")</f>
        <v/>
      </c>
      <c r="R1578" s="32" t="n">
        <v>2.0173</v>
      </c>
      <c r="S1578" s="35" t="n">
        <v>7.49</v>
      </c>
      <c r="T1578" s="18" t="n"/>
      <c r="U1578" s="18" t="n"/>
      <c r="V1578" s="18" t="n">
        <v>58917</v>
      </c>
      <c r="W1578" s="18" t="n"/>
      <c r="X1578" s="35" t="n"/>
      <c r="Y1578" s="35" t="n">
        <v>7.49</v>
      </c>
    </row>
    <row r="1579">
      <c r="A1579" s="25" t="n">
        <v>41143</v>
      </c>
      <c r="B1579" s="18" t="n">
        <v>59380</v>
      </c>
      <c r="C1579" s="31" t="n"/>
      <c r="D1579" s="32" t="n"/>
      <c r="E1579" s="33" t="n">
        <v>-1.7865</v>
      </c>
      <c r="F1579" t="inlineStr">
        <is>
          <t>Down</t>
        </is>
      </c>
      <c r="G1579" t="inlineStr">
        <is>
          <t>Down</t>
        </is>
      </c>
      <c r="H1579" t="inlineStr">
        <is>
          <t>ED_JD</t>
        </is>
      </c>
      <c r="I1579" t="inlineStr">
        <is>
          <t>2012-08</t>
        </is>
      </c>
      <c r="J1579" t="n">
        <v>1</v>
      </c>
      <c r="K1579" t="n">
        <v>1</v>
      </c>
      <c r="L1579" s="34">
        <f>IF($J1579=1,LN(B1580/B1579),"")</f>
        <v/>
      </c>
      <c r="M1579" s="34">
        <f>IF($K1579=1,INDEX(Mensal!$D$2:$D$245,MATCH($I1579,Mensal!$A$2:$A$245,0)),"")</f>
        <v/>
      </c>
      <c r="N1579" s="34">
        <f>IF($K1579=1,L1579-M1579,"")</f>
        <v/>
      </c>
      <c r="O1579" s="34" t="n">
        <v>0.00029846</v>
      </c>
      <c r="P1579" s="34">
        <f>IF($J1579=1,LN(1+O1579),"")</f>
        <v/>
      </c>
      <c r="Q1579" s="34">
        <f>IF($J1579=1,LN(R1580/R1579),"")</f>
        <v/>
      </c>
      <c r="R1579" s="32" t="n">
        <v>2.021</v>
      </c>
      <c r="S1579" s="35" t="n">
        <v>7.533</v>
      </c>
      <c r="T1579" s="18" t="n"/>
      <c r="U1579" s="18" t="n"/>
      <c r="V1579" s="18" t="n">
        <v>59380</v>
      </c>
      <c r="W1579" s="18" t="n"/>
      <c r="X1579" s="35" t="n"/>
      <c r="Y1579" s="35" t="n">
        <v>7.533</v>
      </c>
    </row>
    <row r="1580">
      <c r="A1580" s="25" t="n">
        <v>41144</v>
      </c>
      <c r="B1580" s="18" t="n">
        <v>58511</v>
      </c>
      <c r="C1580" s="31" t="n"/>
      <c r="D1580" s="32" t="n"/>
      <c r="E1580" s="33" t="n">
        <v>-1.7895</v>
      </c>
      <c r="F1580" t="inlineStr">
        <is>
          <t>Down</t>
        </is>
      </c>
      <c r="G1580" t="inlineStr">
        <is>
          <t>Down</t>
        </is>
      </c>
      <c r="H1580" t="inlineStr">
        <is>
          <t>ED_JD</t>
        </is>
      </c>
      <c r="I1580" t="inlineStr">
        <is>
          <t>2012-08</t>
        </is>
      </c>
      <c r="J1580" t="n">
        <v>1</v>
      </c>
      <c r="K1580" t="n">
        <v>1</v>
      </c>
      <c r="L1580" s="34">
        <f>IF($J1580=1,LN(B1581/B1580),"")</f>
        <v/>
      </c>
      <c r="M1580" s="34">
        <f>IF($K1580=1,INDEX(Mensal!$D$2:$D$245,MATCH($I1580,Mensal!$A$2:$A$245,0)),"")</f>
        <v/>
      </c>
      <c r="N1580" s="34">
        <f>IF($K1580=1,L1580-M1580,"")</f>
        <v/>
      </c>
      <c r="O1580" s="34" t="n">
        <v>0.00029846</v>
      </c>
      <c r="P1580" s="34">
        <f>IF($J1580=1,LN(1+O1580),"")</f>
        <v/>
      </c>
      <c r="Q1580" s="34">
        <f>IF($J1580=1,LN(R1581/R1580),"")</f>
        <v/>
      </c>
      <c r="R1580" s="32" t="n">
        <v>2.0241</v>
      </c>
      <c r="S1580" s="35" t="n">
        <v>7.573</v>
      </c>
      <c r="T1580" s="18" t="n"/>
      <c r="U1580" s="18" t="n"/>
      <c r="V1580" s="18" t="n">
        <v>58511</v>
      </c>
      <c r="W1580" s="18" t="n"/>
      <c r="X1580" s="35" t="n"/>
      <c r="Y1580" s="35" t="n">
        <v>7.573</v>
      </c>
    </row>
    <row r="1581">
      <c r="A1581" s="25" t="n">
        <v>41145</v>
      </c>
      <c r="B1581" s="18" t="n">
        <v>58425</v>
      </c>
      <c r="C1581" s="31" t="n"/>
      <c r="D1581" s="32" t="n"/>
      <c r="E1581" s="33" t="n">
        <v>-1.7902</v>
      </c>
      <c r="F1581" t="inlineStr">
        <is>
          <t>Down</t>
        </is>
      </c>
      <c r="G1581" t="inlineStr">
        <is>
          <t>Down</t>
        </is>
      </c>
      <c r="H1581" t="inlineStr">
        <is>
          <t>ED_JD</t>
        </is>
      </c>
      <c r="I1581" t="inlineStr">
        <is>
          <t>2012-08</t>
        </is>
      </c>
      <c r="J1581" t="n">
        <v>1</v>
      </c>
      <c r="K1581" t="n">
        <v>1</v>
      </c>
      <c r="L1581" s="34">
        <f>IF($J1581=1,LN(B1582/B1581),"")</f>
        <v/>
      </c>
      <c r="M1581" s="34">
        <f>IF($K1581=1,INDEX(Mensal!$D$2:$D$245,MATCH($I1581,Mensal!$A$2:$A$245,0)),"")</f>
        <v/>
      </c>
      <c r="N1581" s="34">
        <f>IF($K1581=1,L1581-M1581,"")</f>
        <v/>
      </c>
      <c r="O1581" s="34" t="n">
        <v>0.00029883</v>
      </c>
      <c r="P1581" s="34">
        <f>IF($J1581=1,LN(1+O1581),"")</f>
        <v/>
      </c>
      <c r="Q1581" s="34">
        <f>IF($J1581=1,LN(R1582/R1581),"")</f>
        <v/>
      </c>
      <c r="R1581" s="32" t="n">
        <v>2.0255</v>
      </c>
      <c r="S1581" s="35" t="n">
        <v>7.585</v>
      </c>
      <c r="T1581" s="18" t="n"/>
      <c r="U1581" s="18" t="n"/>
      <c r="V1581" s="18" t="n">
        <v>58425</v>
      </c>
      <c r="W1581" s="18" t="n"/>
      <c r="X1581" s="35" t="n"/>
      <c r="Y1581" s="35" t="n">
        <v>7.585</v>
      </c>
    </row>
    <row r="1582">
      <c r="A1582" s="25" t="n">
        <v>41148</v>
      </c>
      <c r="B1582" s="18" t="n">
        <v>58111</v>
      </c>
      <c r="C1582" s="31" t="n"/>
      <c r="D1582" s="32" t="n"/>
      <c r="E1582" s="33" t="n">
        <v>-1.7967</v>
      </c>
      <c r="F1582" t="inlineStr">
        <is>
          <t>Down</t>
        </is>
      </c>
      <c r="G1582" t="inlineStr">
        <is>
          <t>Down</t>
        </is>
      </c>
      <c r="H1582" t="inlineStr">
        <is>
          <t>ED_JD</t>
        </is>
      </c>
      <c r="I1582" t="inlineStr">
        <is>
          <t>2012-08</t>
        </is>
      </c>
      <c r="J1582" t="n">
        <v>1</v>
      </c>
      <c r="K1582" t="n">
        <v>1</v>
      </c>
      <c r="L1582" s="34">
        <f>IF($J1582=1,LN(B1583/B1582),"")</f>
        <v/>
      </c>
      <c r="M1582" s="34">
        <f>IF($K1582=1,INDEX(Mensal!$D$2:$D$245,MATCH($I1582,Mensal!$A$2:$A$245,0)),"")</f>
        <v/>
      </c>
      <c r="N1582" s="34">
        <f>IF($K1582=1,L1582-M1582,"")</f>
        <v/>
      </c>
      <c r="O1582" s="34" t="n">
        <v>0.00029919</v>
      </c>
      <c r="P1582" s="34">
        <f>IF($J1582=1,LN(1+O1582),"")</f>
        <v/>
      </c>
      <c r="Q1582" s="34">
        <f>IF($J1582=1,LN(R1583/R1582),"")</f>
        <v/>
      </c>
      <c r="R1582" s="32" t="n">
        <v>2.0293</v>
      </c>
      <c r="S1582" s="35" t="n">
        <v>7.531</v>
      </c>
      <c r="T1582" s="18" t="n"/>
      <c r="U1582" s="18" t="n"/>
      <c r="V1582" s="18" t="n">
        <v>58111</v>
      </c>
      <c r="W1582" s="18" t="n"/>
      <c r="X1582" s="35" t="n"/>
      <c r="Y1582" s="35" t="n">
        <v>7.531</v>
      </c>
    </row>
    <row r="1583">
      <c r="A1583" s="25" t="n">
        <v>41149</v>
      </c>
      <c r="B1583" s="18" t="n">
        <v>58406</v>
      </c>
      <c r="C1583" s="31" t="n"/>
      <c r="D1583" s="32" t="n"/>
      <c r="E1583" s="33" t="n">
        <v>-1.8089</v>
      </c>
      <c r="F1583" t="inlineStr">
        <is>
          <t>Down</t>
        </is>
      </c>
      <c r="G1583" t="inlineStr">
        <is>
          <t>Down</t>
        </is>
      </c>
      <c r="H1583" t="inlineStr">
        <is>
          <t>ED_JD</t>
        </is>
      </c>
      <c r="I1583" t="inlineStr">
        <is>
          <t>2012-08</t>
        </is>
      </c>
      <c r="J1583" t="n">
        <v>1</v>
      </c>
      <c r="K1583" t="n">
        <v>1</v>
      </c>
      <c r="L1583" s="34">
        <f>IF($J1583=1,LN(B1584/B1583),"")</f>
        <v/>
      </c>
      <c r="M1583" s="34">
        <f>IF($K1583=1,INDEX(Mensal!$D$2:$D$245,MATCH($I1583,Mensal!$A$2:$A$245,0)),"")</f>
        <v/>
      </c>
      <c r="N1583" s="34">
        <f>IF($K1583=1,L1583-M1583,"")</f>
        <v/>
      </c>
      <c r="O1583" s="34" t="n">
        <v>0.00029919</v>
      </c>
      <c r="P1583" s="34">
        <f>IF($J1583=1,LN(1+O1583),"")</f>
        <v/>
      </c>
      <c r="Q1583" s="34">
        <f>IF($J1583=1,LN(R1584/R1583),"")</f>
        <v/>
      </c>
      <c r="R1583" s="32" t="n">
        <v>2.0433</v>
      </c>
      <c r="S1583" s="35" t="n">
        <v>7.478</v>
      </c>
      <c r="T1583" s="18" t="n"/>
      <c r="U1583" s="18" t="n"/>
      <c r="V1583" s="18" t="n">
        <v>58406</v>
      </c>
      <c r="W1583" s="18" t="n"/>
      <c r="X1583" s="35" t="n"/>
      <c r="Y1583" s="35" t="n">
        <v>7.478</v>
      </c>
    </row>
    <row r="1584">
      <c r="A1584" s="25" t="n">
        <v>41150</v>
      </c>
      <c r="B1584" s="18" t="n">
        <v>57369</v>
      </c>
      <c r="C1584" s="31" t="n"/>
      <c r="D1584" s="32" t="n"/>
      <c r="E1584" s="33" t="n">
        <v>-1.8147</v>
      </c>
      <c r="F1584" t="inlineStr">
        <is>
          <t>Down</t>
        </is>
      </c>
      <c r="G1584" t="inlineStr">
        <is>
          <t>Down</t>
        </is>
      </c>
      <c r="H1584" t="inlineStr">
        <is>
          <t>ED_JD</t>
        </is>
      </c>
      <c r="I1584" t="inlineStr">
        <is>
          <t>2012-08</t>
        </is>
      </c>
      <c r="J1584" t="n">
        <v>1</v>
      </c>
      <c r="K1584" t="n">
        <v>1</v>
      </c>
      <c r="L1584" s="34">
        <f>IF($J1584=1,LN(B1585/B1584),"")</f>
        <v/>
      </c>
      <c r="M1584" s="34">
        <f>IF($K1584=1,INDEX(Mensal!$D$2:$D$245,MATCH($I1584,Mensal!$A$2:$A$245,0)),"")</f>
        <v/>
      </c>
      <c r="N1584" s="34">
        <f>IF($K1584=1,L1584-M1584,"")</f>
        <v/>
      </c>
      <c r="O1584" s="34" t="n">
        <v>0.00029883</v>
      </c>
      <c r="P1584" s="34">
        <f>IF($J1584=1,LN(1+O1584),"")</f>
        <v/>
      </c>
      <c r="Q1584" s="34">
        <f>IF($J1584=1,LN(R1585/R1584),"")</f>
        <v/>
      </c>
      <c r="R1584" s="32" t="n">
        <v>2.0509</v>
      </c>
      <c r="S1584" s="35" t="n">
        <v>7.421</v>
      </c>
      <c r="T1584" s="18" t="n"/>
      <c r="U1584" s="18" t="n"/>
      <c r="V1584" s="18" t="n">
        <v>57369</v>
      </c>
      <c r="W1584" s="18" t="n"/>
      <c r="X1584" s="35" t="n"/>
      <c r="Y1584" s="35" t="n">
        <v>7.421</v>
      </c>
    </row>
    <row r="1585">
      <c r="A1585" s="25" t="n">
        <v>41151</v>
      </c>
      <c r="B1585" s="18" t="n">
        <v>57256</v>
      </c>
      <c r="C1585" s="31" t="n"/>
      <c r="D1585" s="32" t="n"/>
      <c r="E1585" s="33" t="n">
        <v>-1.827</v>
      </c>
      <c r="F1585" t="inlineStr">
        <is>
          <t>Down</t>
        </is>
      </c>
      <c r="G1585" t="inlineStr">
        <is>
          <t>Down</t>
        </is>
      </c>
      <c r="H1585" t="inlineStr">
        <is>
          <t>ED_JD</t>
        </is>
      </c>
      <c r="I1585" t="inlineStr">
        <is>
          <t>2012-08</t>
        </is>
      </c>
      <c r="J1585" t="n">
        <v>1</v>
      </c>
      <c r="K1585" t="n">
        <v>1</v>
      </c>
      <c r="L1585" s="34">
        <f>IF($J1585=1,LN(B1586/B1585),"")</f>
        <v/>
      </c>
      <c r="M1585" s="34">
        <f>IF($K1585=1,INDEX(Mensal!$D$2:$D$245,MATCH($I1585,Mensal!$A$2:$A$245,0)),"")</f>
        <v/>
      </c>
      <c r="N1585" s="34">
        <f>IF($K1585=1,L1585-M1585,"")</f>
        <v/>
      </c>
      <c r="O1585" s="34" t="n">
        <v>0.00028259</v>
      </c>
      <c r="P1585" s="34">
        <f>IF($J1585=1,LN(1+O1585),"")</f>
        <v/>
      </c>
      <c r="Q1585" s="34">
        <f>IF($J1585=1,LN(R1586/R1585),"")</f>
        <v/>
      </c>
      <c r="R1585" s="32" t="n">
        <v>2.0513</v>
      </c>
      <c r="S1585" s="35" t="n">
        <v>7.484</v>
      </c>
      <c r="T1585" s="18" t="n"/>
      <c r="U1585" s="18" t="n"/>
      <c r="V1585" s="18" t="n">
        <v>57256</v>
      </c>
      <c r="W1585" s="18" t="n"/>
      <c r="X1585" s="35" t="n"/>
      <c r="Y1585" s="35" t="n">
        <v>7.484</v>
      </c>
    </row>
    <row r="1586">
      <c r="A1586" s="25" t="n">
        <v>41152</v>
      </c>
      <c r="B1586" s="18" t="n">
        <v>57061</v>
      </c>
      <c r="C1586" s="31" t="n"/>
      <c r="D1586" s="32" t="n"/>
      <c r="E1586" s="33" t="n">
        <v>-1.832</v>
      </c>
      <c r="F1586" t="inlineStr">
        <is>
          <t>Down</t>
        </is>
      </c>
      <c r="G1586" t="inlineStr">
        <is>
          <t>Down</t>
        </is>
      </c>
      <c r="H1586" t="inlineStr">
        <is>
          <t>ED_JD</t>
        </is>
      </c>
      <c r="I1586" t="inlineStr">
        <is>
          <t>2012-08</t>
        </is>
      </c>
      <c r="J1586" t="n">
        <v>1</v>
      </c>
      <c r="K1586" t="n">
        <v>1</v>
      </c>
      <c r="L1586" s="34">
        <f>IF($J1586=1,LN(B1587/B1586),"")</f>
        <v/>
      </c>
      <c r="M1586" s="34">
        <f>IF($K1586=1,INDEX(Mensal!$D$2:$D$245,MATCH($I1586,Mensal!$A$2:$A$245,0)),"")</f>
        <v/>
      </c>
      <c r="N1586" s="34">
        <f>IF($K1586=1,L1586-M1586,"")</f>
        <v/>
      </c>
      <c r="O1586" s="34" t="n">
        <v>0.00028259</v>
      </c>
      <c r="P1586" s="34">
        <f>IF($J1586=1,LN(1+O1586),"")</f>
        <v/>
      </c>
      <c r="Q1586" s="34">
        <f>IF($J1586=1,LN(R1587/R1586),"")</f>
        <v/>
      </c>
      <c r="R1586" s="32" t="n">
        <v>2.0372</v>
      </c>
      <c r="S1586" s="35" t="n">
        <v>7.494</v>
      </c>
      <c r="T1586" s="18" t="n"/>
      <c r="U1586" s="18" t="n"/>
      <c r="V1586" s="18" t="n">
        <v>57061</v>
      </c>
      <c r="W1586" s="18" t="n"/>
      <c r="X1586" s="35" t="n"/>
      <c r="Y1586" s="35" t="n">
        <v>7.494</v>
      </c>
    </row>
    <row r="1587">
      <c r="A1587" s="25" t="n">
        <v>41155</v>
      </c>
      <c r="B1587" s="18" t="n">
        <v>57281</v>
      </c>
      <c r="C1587" s="31" t="n"/>
      <c r="D1587" s="32" t="n"/>
      <c r="E1587" s="33" t="n">
        <v>-1.8649</v>
      </c>
      <c r="F1587" t="inlineStr">
        <is>
          <t>Down</t>
        </is>
      </c>
      <c r="G1587" t="inlineStr">
        <is>
          <t>Down</t>
        </is>
      </c>
      <c r="H1587" t="inlineStr">
        <is>
          <t>ED_JD</t>
        </is>
      </c>
      <c r="I1587" t="inlineStr">
        <is>
          <t>2012-09</t>
        </is>
      </c>
      <c r="J1587" t="n">
        <v>1</v>
      </c>
      <c r="K1587" t="n">
        <v>1</v>
      </c>
      <c r="L1587" s="34">
        <f>IF($J1587=1,LN(B1588/B1587),"")</f>
        <v/>
      </c>
      <c r="M1587" s="34">
        <f>IF($K1587=1,INDEX(Mensal!$D$2:$D$245,MATCH($I1587,Mensal!$A$2:$A$245,0)),"")</f>
        <v/>
      </c>
      <c r="N1587" s="34">
        <f>IF($K1587=1,L1587-M1587,"")</f>
        <v/>
      </c>
      <c r="O1587" s="34" t="n">
        <v>0.0002837</v>
      </c>
      <c r="P1587" s="34">
        <f>IF($J1587=1,LN(1+O1587),"")</f>
        <v/>
      </c>
      <c r="Q1587" s="34">
        <f>IF($J1587=1,LN(R1588/R1587),"")</f>
        <v/>
      </c>
      <c r="R1587" s="32" t="n">
        <v>2.0335</v>
      </c>
      <c r="S1587" s="35" t="n">
        <v>7.442</v>
      </c>
      <c r="T1587" s="18" t="n"/>
      <c r="U1587" s="18" t="n"/>
      <c r="V1587" s="18" t="n">
        <v>57281</v>
      </c>
      <c r="W1587" s="18" t="n"/>
      <c r="X1587" s="35" t="n"/>
      <c r="Y1587" s="35" t="n">
        <v>7.442</v>
      </c>
    </row>
    <row r="1588">
      <c r="A1588" s="25" t="n">
        <v>41156</v>
      </c>
      <c r="B1588" s="18" t="n">
        <v>56233</v>
      </c>
      <c r="C1588" s="31" t="n"/>
      <c r="D1588" s="32" t="n"/>
      <c r="E1588" s="33" t="n">
        <v>-1.9001</v>
      </c>
      <c r="F1588" t="inlineStr">
        <is>
          <t>Down</t>
        </is>
      </c>
      <c r="G1588" t="inlineStr">
        <is>
          <t>Down</t>
        </is>
      </c>
      <c r="H1588" t="inlineStr">
        <is>
          <t>ED_JD</t>
        </is>
      </c>
      <c r="I1588" t="inlineStr">
        <is>
          <t>2012-09</t>
        </is>
      </c>
      <c r="J1588" t="n">
        <v>1</v>
      </c>
      <c r="K1588" t="n">
        <v>1</v>
      </c>
      <c r="L1588" s="34">
        <f>IF($J1588=1,LN(B1589/B1588),"")</f>
        <v/>
      </c>
      <c r="M1588" s="34">
        <f>IF($K1588=1,INDEX(Mensal!$D$2:$D$245,MATCH($I1588,Mensal!$A$2:$A$245,0)),"")</f>
        <v/>
      </c>
      <c r="N1588" s="34">
        <f>IF($K1588=1,L1588-M1588,"")</f>
        <v/>
      </c>
      <c r="O1588" s="34" t="n">
        <v>0.00028296</v>
      </c>
      <c r="P1588" s="34">
        <f>IF($J1588=1,LN(1+O1588),"")</f>
        <v/>
      </c>
      <c r="Q1588" s="34">
        <f>IF($J1588=1,LN(R1589/R1588),"")</f>
        <v/>
      </c>
      <c r="R1588" s="32" t="n">
        <v>2.0392</v>
      </c>
      <c r="S1588" s="35" t="n">
        <v>7.482</v>
      </c>
      <c r="T1588" s="18" t="n"/>
      <c r="U1588" s="18" t="n"/>
      <c r="V1588" s="18" t="n">
        <v>56233</v>
      </c>
      <c r="W1588" s="18" t="n"/>
      <c r="X1588" s="35" t="n"/>
      <c r="Y1588" s="35" t="n">
        <v>7.482</v>
      </c>
    </row>
    <row r="1589">
      <c r="A1589" s="25" t="n">
        <v>41157</v>
      </c>
      <c r="B1589" s="18" t="n">
        <v>56863</v>
      </c>
      <c r="C1589" s="31" t="n"/>
      <c r="D1589" s="32" t="n"/>
      <c r="E1589" s="33" t="n">
        <v>-1.9355</v>
      </c>
      <c r="F1589" t="inlineStr">
        <is>
          <t>Down</t>
        </is>
      </c>
      <c r="G1589" t="inlineStr">
        <is>
          <t>Down</t>
        </is>
      </c>
      <c r="H1589" t="inlineStr">
        <is>
          <t>ED_JD</t>
        </is>
      </c>
      <c r="I1589" t="inlineStr">
        <is>
          <t>2012-09</t>
        </is>
      </c>
      <c r="J1589" t="n">
        <v>1</v>
      </c>
      <c r="K1589" t="n">
        <v>1</v>
      </c>
      <c r="L1589" s="34">
        <f>IF($J1589=1,LN(B1590/B1589),"")</f>
        <v/>
      </c>
      <c r="M1589" s="34">
        <f>IF($K1589=1,INDEX(Mensal!$D$2:$D$245,MATCH($I1589,Mensal!$A$2:$A$245,0)),"")</f>
        <v/>
      </c>
      <c r="N1589" s="34">
        <f>IF($K1589=1,L1589-M1589,"")</f>
        <v/>
      </c>
      <c r="O1589" s="34" t="n">
        <v>0.00028296</v>
      </c>
      <c r="P1589" s="34">
        <f>IF($J1589=1,LN(1+O1589),"")</f>
        <v/>
      </c>
      <c r="Q1589" s="34">
        <f>IF($J1589=1,LN(R1590/R1589),"")</f>
        <v/>
      </c>
      <c r="R1589" s="32" t="n">
        <v>2.0385</v>
      </c>
      <c r="S1589" s="35" t="n">
        <v>7.498</v>
      </c>
      <c r="T1589" s="18" t="n"/>
      <c r="U1589" s="18" t="n"/>
      <c r="V1589" s="18" t="n">
        <v>56863</v>
      </c>
      <c r="W1589" s="18" t="n"/>
      <c r="X1589" s="35" t="n"/>
      <c r="Y1589" s="35" t="n">
        <v>7.498</v>
      </c>
    </row>
    <row r="1590">
      <c r="A1590" s="25" t="n">
        <v>41158</v>
      </c>
      <c r="B1590" s="18" t="n">
        <v>58321</v>
      </c>
      <c r="C1590" s="31" t="n"/>
      <c r="D1590" s="32" t="n"/>
      <c r="E1590" s="33" t="n">
        <v>-1.971</v>
      </c>
      <c r="F1590" t="inlineStr">
        <is>
          <t>Down</t>
        </is>
      </c>
      <c r="G1590" t="inlineStr">
        <is>
          <t>Down</t>
        </is>
      </c>
      <c r="H1590" t="inlineStr">
        <is>
          <t>ED_JD</t>
        </is>
      </c>
      <c r="I1590" t="inlineStr">
        <is>
          <t>2012-09</t>
        </is>
      </c>
      <c r="J1590" t="n">
        <v>1</v>
      </c>
      <c r="K1590" t="n">
        <v>1</v>
      </c>
      <c r="L1590" s="34">
        <f>IF($J1590=1,LN(B1591/B1590),"")</f>
        <v/>
      </c>
      <c r="M1590" s="34">
        <f>IF($K1590=1,INDEX(Mensal!$D$2:$D$245,MATCH($I1590,Mensal!$A$2:$A$245,0)),"")</f>
        <v/>
      </c>
      <c r="N1590" s="34">
        <f>IF($K1590=1,L1590-M1590,"")</f>
        <v/>
      </c>
      <c r="O1590" s="34" t="n">
        <v>0.00028296</v>
      </c>
      <c r="P1590" s="34">
        <f>IF($J1590=1,LN(1+O1590),"")</f>
        <v/>
      </c>
      <c r="Q1590" s="34">
        <f>IF($J1590=1,LN(R1591/R1590),"")</f>
        <v/>
      </c>
      <c r="R1590" s="32" t="n">
        <v>2.0381</v>
      </c>
      <c r="S1590" s="35" t="n">
        <v>7.501</v>
      </c>
      <c r="T1590" s="18" t="n"/>
      <c r="U1590" s="18" t="n"/>
      <c r="V1590" s="18" t="n">
        <v>58321</v>
      </c>
      <c r="W1590" s="18" t="n"/>
      <c r="X1590" s="35" t="n"/>
      <c r="Y1590" s="35" t="n">
        <v>7.501</v>
      </c>
    </row>
    <row r="1591">
      <c r="A1591" s="25" t="n">
        <v>41162</v>
      </c>
      <c r="B1591" s="18" t="n">
        <v>58404</v>
      </c>
      <c r="C1591" s="31" t="n"/>
      <c r="D1591" s="32" t="n"/>
      <c r="E1591" s="33" t="n">
        <v>-2.0165</v>
      </c>
      <c r="F1591" t="inlineStr">
        <is>
          <t>Down</t>
        </is>
      </c>
      <c r="G1591" t="inlineStr">
        <is>
          <t>Down</t>
        </is>
      </c>
      <c r="H1591" t="inlineStr">
        <is>
          <t>ED_JD</t>
        </is>
      </c>
      <c r="I1591" t="inlineStr">
        <is>
          <t>2012-09</t>
        </is>
      </c>
      <c r="J1591" t="n">
        <v>1</v>
      </c>
      <c r="K1591" t="n">
        <v>1</v>
      </c>
      <c r="L1591" s="34">
        <f>IF($J1591=1,LN(B1592/B1591),"")</f>
        <v/>
      </c>
      <c r="M1591" s="34">
        <f>IF($K1591=1,INDEX(Mensal!$D$2:$D$245,MATCH($I1591,Mensal!$A$2:$A$245,0)),"")</f>
        <v/>
      </c>
      <c r="N1591" s="34">
        <f>IF($K1591=1,L1591-M1591,"")</f>
        <v/>
      </c>
      <c r="O1591" s="34" t="n">
        <v>0.00028259</v>
      </c>
      <c r="P1591" s="34">
        <f>IF($J1591=1,LN(1+O1591),"")</f>
        <v/>
      </c>
      <c r="Q1591" s="34">
        <f>IF($J1591=1,LN(R1592/R1591),"")</f>
        <v/>
      </c>
      <c r="R1591" s="32" t="n">
        <v>2.0241</v>
      </c>
      <c r="S1591" s="35" t="n">
        <v>7.52</v>
      </c>
      <c r="T1591" s="18" t="n"/>
      <c r="U1591" s="18" t="n"/>
      <c r="V1591" s="18" t="n">
        <v>58404</v>
      </c>
      <c r="W1591" s="18" t="n"/>
      <c r="X1591" s="35" t="n"/>
      <c r="Y1591" s="35" t="n">
        <v>7.52</v>
      </c>
    </row>
    <row r="1592">
      <c r="A1592" s="25" t="n">
        <v>41163</v>
      </c>
      <c r="B1592" s="18" t="n">
        <v>59422</v>
      </c>
      <c r="C1592" s="31" t="n"/>
      <c r="D1592" s="32" t="n"/>
      <c r="E1592" s="33" t="n">
        <v>-2.0529</v>
      </c>
      <c r="F1592" t="inlineStr">
        <is>
          <t>Down</t>
        </is>
      </c>
      <c r="G1592" t="inlineStr">
        <is>
          <t>Down</t>
        </is>
      </c>
      <c r="H1592" t="inlineStr">
        <is>
          <t>ED_JD</t>
        </is>
      </c>
      <c r="I1592" t="inlineStr">
        <is>
          <t>2012-09</t>
        </is>
      </c>
      <c r="J1592" t="n">
        <v>1</v>
      </c>
      <c r="K1592" t="n">
        <v>1</v>
      </c>
      <c r="L1592" s="34">
        <f>IF($J1592=1,LN(B1593/B1592),"")</f>
        <v/>
      </c>
      <c r="M1592" s="34">
        <f>IF($K1592=1,INDEX(Mensal!$D$2:$D$245,MATCH($I1592,Mensal!$A$2:$A$245,0)),"")</f>
        <v/>
      </c>
      <c r="N1592" s="34">
        <f>IF($K1592=1,L1592-M1592,"")</f>
        <v/>
      </c>
      <c r="O1592" s="34" t="n">
        <v>0.00028222</v>
      </c>
      <c r="P1592" s="34">
        <f>IF($J1592=1,LN(1+O1592),"")</f>
        <v/>
      </c>
      <c r="Q1592" s="34">
        <f>IF($J1592=1,LN(R1593/R1592),"")</f>
        <v/>
      </c>
      <c r="R1592" s="32" t="n">
        <v>2.0197</v>
      </c>
      <c r="S1592" s="35" t="n">
        <v>7.513</v>
      </c>
      <c r="T1592" s="18" t="n"/>
      <c r="U1592" s="18" t="n"/>
      <c r="V1592" s="18" t="n">
        <v>59422</v>
      </c>
      <c r="W1592" s="18" t="n"/>
      <c r="X1592" s="35" t="n"/>
      <c r="Y1592" s="35" t="n">
        <v>7.513</v>
      </c>
    </row>
    <row r="1593">
      <c r="A1593" s="25" t="n">
        <v>41164</v>
      </c>
      <c r="B1593" s="18" t="n">
        <v>59921</v>
      </c>
      <c r="C1593" s="31" t="n"/>
      <c r="D1593" s="32" t="n"/>
      <c r="E1593" s="33" t="n">
        <v>-2.0842</v>
      </c>
      <c r="F1593" t="inlineStr">
        <is>
          <t>Down</t>
        </is>
      </c>
      <c r="G1593" t="inlineStr">
        <is>
          <t>Down</t>
        </is>
      </c>
      <c r="H1593" t="inlineStr">
        <is>
          <t>ED_JD</t>
        </is>
      </c>
      <c r="I1593" t="inlineStr">
        <is>
          <t>2012-09</t>
        </is>
      </c>
      <c r="J1593" t="n">
        <v>1</v>
      </c>
      <c r="K1593" t="n">
        <v>1</v>
      </c>
      <c r="L1593" s="34">
        <f>IF($J1593=1,LN(B1594/B1593),"")</f>
        <v/>
      </c>
      <c r="M1593" s="34">
        <f>IF($K1593=1,INDEX(Mensal!$D$2:$D$245,MATCH($I1593,Mensal!$A$2:$A$245,0)),"")</f>
        <v/>
      </c>
      <c r="N1593" s="34">
        <f>IF($K1593=1,L1593-M1593,"")</f>
        <v/>
      </c>
      <c r="O1593" s="34" t="n">
        <v>0.00028186</v>
      </c>
      <c r="P1593" s="34">
        <f>IF($J1593=1,LN(1+O1593),"")</f>
        <v/>
      </c>
      <c r="Q1593" s="34">
        <f>IF($J1593=1,LN(R1594/R1593),"")</f>
        <v/>
      </c>
      <c r="R1593" s="32" t="n">
        <v>2.0204</v>
      </c>
      <c r="S1593" s="35" t="n">
        <v>7.507</v>
      </c>
      <c r="T1593" s="18" t="n"/>
      <c r="U1593" s="18" t="n"/>
      <c r="V1593" s="18" t="n">
        <v>59921</v>
      </c>
      <c r="W1593" s="18" t="n"/>
      <c r="X1593" s="35" t="n"/>
      <c r="Y1593" s="35" t="n">
        <v>7.507</v>
      </c>
    </row>
    <row r="1594">
      <c r="A1594" s="25" t="n">
        <v>41165</v>
      </c>
      <c r="B1594" s="18" t="n">
        <v>61958</v>
      </c>
      <c r="C1594" s="31" t="n"/>
      <c r="D1594" s="32" t="n"/>
      <c r="E1594" s="33" t="n">
        <v>-2.1136</v>
      </c>
      <c r="F1594" t="inlineStr">
        <is>
          <t>Down</t>
        </is>
      </c>
      <c r="G1594" t="inlineStr">
        <is>
          <t>Down</t>
        </is>
      </c>
      <c r="H1594" t="inlineStr">
        <is>
          <t>ED_JD</t>
        </is>
      </c>
      <c r="I1594" t="inlineStr">
        <is>
          <t>2012-09</t>
        </is>
      </c>
      <c r="J1594" t="n">
        <v>1</v>
      </c>
      <c r="K1594" t="n">
        <v>1</v>
      </c>
      <c r="L1594" s="34">
        <f>IF($J1594=1,LN(B1595/B1594),"")</f>
        <v/>
      </c>
      <c r="M1594" s="34">
        <f>IF($K1594=1,INDEX(Mensal!$D$2:$D$245,MATCH($I1594,Mensal!$A$2:$A$245,0)),"")</f>
        <v/>
      </c>
      <c r="N1594" s="34">
        <f>IF($K1594=1,L1594-M1594,"")</f>
        <v/>
      </c>
      <c r="O1594" s="34" t="n">
        <v>0.00028186</v>
      </c>
      <c r="P1594" s="34">
        <f>IF($J1594=1,LN(1+O1594),"")</f>
        <v/>
      </c>
      <c r="Q1594" s="34">
        <f>IF($J1594=1,LN(R1595/R1594),"")</f>
        <v/>
      </c>
      <c r="R1594" s="32" t="n">
        <v>2.0254</v>
      </c>
      <c r="S1594" s="35" t="n">
        <v>7.485</v>
      </c>
      <c r="T1594" s="18" t="n"/>
      <c r="U1594" s="18" t="n"/>
      <c r="V1594" s="18" t="n">
        <v>61958</v>
      </c>
      <c r="W1594" s="18" t="n"/>
      <c r="X1594" s="35" t="n"/>
      <c r="Y1594" s="35" t="n">
        <v>7.485</v>
      </c>
    </row>
    <row r="1595">
      <c r="A1595" s="25" t="n">
        <v>41166</v>
      </c>
      <c r="B1595" s="18" t="n">
        <v>62105</v>
      </c>
      <c r="C1595" s="31" t="n"/>
      <c r="D1595" s="32" t="n"/>
      <c r="E1595" s="33" t="n">
        <v>-2.1529</v>
      </c>
      <c r="F1595" t="inlineStr">
        <is>
          <t>Down</t>
        </is>
      </c>
      <c r="G1595" t="inlineStr">
        <is>
          <t>Down</t>
        </is>
      </c>
      <c r="H1595" t="inlineStr">
        <is>
          <t>ED_JD</t>
        </is>
      </c>
      <c r="I1595" t="inlineStr">
        <is>
          <t>2012-09</t>
        </is>
      </c>
      <c r="J1595" t="n">
        <v>1</v>
      </c>
      <c r="K1595" t="n">
        <v>1</v>
      </c>
      <c r="L1595" s="34">
        <f>IF($J1595=1,LN(B1596/B1595),"")</f>
        <v/>
      </c>
      <c r="M1595" s="34">
        <f>IF($K1595=1,INDEX(Mensal!$D$2:$D$245,MATCH($I1595,Mensal!$A$2:$A$245,0)),"")</f>
        <v/>
      </c>
      <c r="N1595" s="34">
        <f>IF($K1595=1,L1595-M1595,"")</f>
        <v/>
      </c>
      <c r="O1595" s="34" t="n">
        <v>0.00028149</v>
      </c>
      <c r="P1595" s="34">
        <f>IF($J1595=1,LN(1+O1595),"")</f>
        <v/>
      </c>
      <c r="Q1595" s="34">
        <f>IF($J1595=1,LN(R1596/R1595),"")</f>
        <v/>
      </c>
      <c r="R1595" s="32" t="n">
        <v>2.0139</v>
      </c>
      <c r="S1595" s="35" t="n">
        <v>7.489</v>
      </c>
      <c r="T1595" s="18" t="n"/>
      <c r="U1595" s="18" t="n"/>
      <c r="V1595" s="18" t="n">
        <v>62105</v>
      </c>
      <c r="W1595" s="18" t="n"/>
      <c r="X1595" s="35" t="n"/>
      <c r="Y1595" s="35" t="n">
        <v>7.489</v>
      </c>
    </row>
    <row r="1596">
      <c r="A1596" s="25" t="n">
        <v>41169</v>
      </c>
      <c r="B1596" s="18" t="n">
        <v>61805</v>
      </c>
      <c r="C1596" s="31" t="n"/>
      <c r="D1596" s="32" t="n"/>
      <c r="E1596" s="33" t="n">
        <v>-2.1877</v>
      </c>
      <c r="F1596" t="inlineStr">
        <is>
          <t>Down</t>
        </is>
      </c>
      <c r="G1596" t="inlineStr">
        <is>
          <t>Down</t>
        </is>
      </c>
      <c r="H1596" t="inlineStr">
        <is>
          <t>ED_JD</t>
        </is>
      </c>
      <c r="I1596" t="inlineStr">
        <is>
          <t>2012-09</t>
        </is>
      </c>
      <c r="J1596" t="n">
        <v>1</v>
      </c>
      <c r="K1596" t="n">
        <v>1</v>
      </c>
      <c r="L1596" s="34">
        <f>IF($J1596=1,LN(B1597/B1596),"")</f>
        <v/>
      </c>
      <c r="M1596" s="34">
        <f>IF($K1596=1,INDEX(Mensal!$D$2:$D$245,MATCH($I1596,Mensal!$A$2:$A$245,0)),"")</f>
        <v/>
      </c>
      <c r="N1596" s="34">
        <f>IF($K1596=1,L1596-M1596,"")</f>
        <v/>
      </c>
      <c r="O1596" s="34" t="n">
        <v>0.00028112</v>
      </c>
      <c r="P1596" s="34">
        <f>IF($J1596=1,LN(1+O1596),"")</f>
        <v/>
      </c>
      <c r="Q1596" s="34">
        <f>IF($J1596=1,LN(R1597/R1596),"")</f>
        <v/>
      </c>
      <c r="R1596" s="32" t="n">
        <v>2.0312</v>
      </c>
      <c r="S1596" s="35" t="n">
        <v>7.525</v>
      </c>
      <c r="T1596" s="18" t="n"/>
      <c r="U1596" s="18" t="n"/>
      <c r="V1596" s="18" t="n">
        <v>61805</v>
      </c>
      <c r="W1596" s="18" t="n"/>
      <c r="X1596" s="35" t="n"/>
      <c r="Y1596" s="35" t="n">
        <v>7.525</v>
      </c>
    </row>
    <row r="1597">
      <c r="A1597" s="25" t="n">
        <v>41170</v>
      </c>
      <c r="B1597" s="18" t="n">
        <v>61804</v>
      </c>
      <c r="C1597" s="31" t="n"/>
      <c r="D1597" s="32" t="n"/>
      <c r="E1597" s="33" t="n">
        <v>-2.2295</v>
      </c>
      <c r="F1597" t="inlineStr">
        <is>
          <t>Down</t>
        </is>
      </c>
      <c r="G1597" t="inlineStr">
        <is>
          <t>Down</t>
        </is>
      </c>
      <c r="H1597" t="inlineStr">
        <is>
          <t>ED_JD</t>
        </is>
      </c>
      <c r="I1597" t="inlineStr">
        <is>
          <t>2012-09</t>
        </is>
      </c>
      <c r="J1597" t="n">
        <v>1</v>
      </c>
      <c r="K1597" t="n">
        <v>1</v>
      </c>
      <c r="L1597" s="34">
        <f>IF($J1597=1,LN(B1598/B1597),"")</f>
        <v/>
      </c>
      <c r="M1597" s="34">
        <f>IF($K1597=1,INDEX(Mensal!$D$2:$D$245,MATCH($I1597,Mensal!$A$2:$A$245,0)),"")</f>
        <v/>
      </c>
      <c r="N1597" s="34">
        <f>IF($K1597=1,L1597-M1597,"")</f>
        <v/>
      </c>
      <c r="O1597" s="34" t="n">
        <v>0.00028075</v>
      </c>
      <c r="P1597" s="34">
        <f>IF($J1597=1,LN(1+O1597),"")</f>
        <v/>
      </c>
      <c r="Q1597" s="34">
        <f>IF($J1597=1,LN(R1598/R1597),"")</f>
        <v/>
      </c>
      <c r="R1597" s="32" t="n">
        <v>2.0274</v>
      </c>
      <c r="S1597" s="35" t="n">
        <v>7.539</v>
      </c>
      <c r="T1597" s="18" t="n"/>
      <c r="U1597" s="18" t="n"/>
      <c r="V1597" s="18" t="n">
        <v>61804</v>
      </c>
      <c r="W1597" s="18" t="n"/>
      <c r="X1597" s="35" t="n"/>
      <c r="Y1597" s="35" t="n">
        <v>7.539</v>
      </c>
    </row>
    <row r="1598">
      <c r="A1598" s="25" t="n">
        <v>41171</v>
      </c>
      <c r="B1598" s="18" t="n">
        <v>61651</v>
      </c>
      <c r="C1598" s="31" t="n"/>
      <c r="D1598" s="32" t="n"/>
      <c r="E1598" s="33" t="n">
        <v>-2.2642</v>
      </c>
      <c r="F1598" t="inlineStr">
        <is>
          <t>Down</t>
        </is>
      </c>
      <c r="G1598" t="inlineStr">
        <is>
          <t>Down</t>
        </is>
      </c>
      <c r="H1598" t="inlineStr">
        <is>
          <t>ED_JD</t>
        </is>
      </c>
      <c r="I1598" t="inlineStr">
        <is>
          <t>2012-09</t>
        </is>
      </c>
      <c r="J1598" t="n">
        <v>1</v>
      </c>
      <c r="K1598" t="n">
        <v>1</v>
      </c>
      <c r="L1598" s="34">
        <f>IF($J1598=1,LN(B1599/B1598),"")</f>
        <v/>
      </c>
      <c r="M1598" s="34">
        <f>IF($K1598=1,INDEX(Mensal!$D$2:$D$245,MATCH($I1598,Mensal!$A$2:$A$245,0)),"")</f>
        <v/>
      </c>
      <c r="N1598" s="34">
        <f>IF($K1598=1,L1598-M1598,"")</f>
        <v/>
      </c>
      <c r="O1598" s="34" t="n">
        <v>0.00028075</v>
      </c>
      <c r="P1598" s="34">
        <f>IF($J1598=1,LN(1+O1598),"")</f>
        <v/>
      </c>
      <c r="Q1598" s="34">
        <f>IF($J1598=1,LN(R1599/R1598),"")</f>
        <v/>
      </c>
      <c r="R1598" s="32" t="n">
        <v>2.0236</v>
      </c>
      <c r="S1598" s="35" t="n">
        <v>7.567</v>
      </c>
      <c r="T1598" s="18" t="n"/>
      <c r="U1598" s="18" t="n"/>
      <c r="V1598" s="18" t="n">
        <v>61651</v>
      </c>
      <c r="W1598" s="18" t="n"/>
      <c r="X1598" s="35" t="n"/>
      <c r="Y1598" s="35" t="n">
        <v>7.567</v>
      </c>
    </row>
    <row r="1599">
      <c r="A1599" s="25" t="n">
        <v>41172</v>
      </c>
      <c r="B1599" s="18" t="n">
        <v>61687</v>
      </c>
      <c r="C1599" s="31" t="n"/>
      <c r="D1599" s="32" t="n"/>
      <c r="E1599" s="33" t="n">
        <v>-2.2944</v>
      </c>
      <c r="F1599" t="inlineStr">
        <is>
          <t>Down</t>
        </is>
      </c>
      <c r="G1599" t="inlineStr">
        <is>
          <t>Down</t>
        </is>
      </c>
      <c r="H1599" t="inlineStr">
        <is>
          <t>ED_JD</t>
        </is>
      </c>
      <c r="I1599" t="inlineStr">
        <is>
          <t>2012-09</t>
        </is>
      </c>
      <c r="J1599" t="n">
        <v>1</v>
      </c>
      <c r="K1599" t="n">
        <v>1</v>
      </c>
      <c r="L1599" s="34">
        <f>IF($J1599=1,LN(B1600/B1599),"")</f>
        <v/>
      </c>
      <c r="M1599" s="34">
        <f>IF($K1599=1,INDEX(Mensal!$D$2:$D$245,MATCH($I1599,Mensal!$A$2:$A$245,0)),"")</f>
        <v/>
      </c>
      <c r="N1599" s="34">
        <f>IF($K1599=1,L1599-M1599,"")</f>
        <v/>
      </c>
      <c r="O1599" s="34" t="n">
        <v>0.00028149</v>
      </c>
      <c r="P1599" s="34">
        <f>IF($J1599=1,LN(1+O1599),"")</f>
        <v/>
      </c>
      <c r="Q1599" s="34">
        <f>IF($J1599=1,LN(R1600/R1599),"")</f>
        <v/>
      </c>
      <c r="R1599" s="32" t="n">
        <v>2.0263</v>
      </c>
      <c r="S1599" s="35" t="n">
        <v>7.547</v>
      </c>
      <c r="T1599" s="18" t="n"/>
      <c r="U1599" s="18" t="n"/>
      <c r="V1599" s="18" t="n">
        <v>61687</v>
      </c>
      <c r="W1599" s="18" t="n"/>
      <c r="X1599" s="35" t="n"/>
      <c r="Y1599" s="35" t="n">
        <v>7.547</v>
      </c>
    </row>
    <row r="1600">
      <c r="A1600" s="25" t="n">
        <v>41173</v>
      </c>
      <c r="B1600" s="18" t="n">
        <v>61320</v>
      </c>
      <c r="C1600" s="31" t="n"/>
      <c r="D1600" s="32" t="n"/>
      <c r="E1600" s="33" t="n">
        <v>-2.3247</v>
      </c>
      <c r="F1600" t="inlineStr">
        <is>
          <t>Down</t>
        </is>
      </c>
      <c r="G1600" t="inlineStr">
        <is>
          <t>Down</t>
        </is>
      </c>
      <c r="H1600" t="inlineStr">
        <is>
          <t>ED_JD</t>
        </is>
      </c>
      <c r="I1600" t="inlineStr">
        <is>
          <t>2012-09</t>
        </is>
      </c>
      <c r="J1600" t="n">
        <v>1</v>
      </c>
      <c r="K1600" t="n">
        <v>1</v>
      </c>
      <c r="L1600" s="34">
        <f>IF($J1600=1,LN(B1601/B1600),"")</f>
        <v/>
      </c>
      <c r="M1600" s="34">
        <f>IF($K1600=1,INDEX(Mensal!$D$2:$D$245,MATCH($I1600,Mensal!$A$2:$A$245,0)),"")</f>
        <v/>
      </c>
      <c r="N1600" s="34">
        <f>IF($K1600=1,L1600-M1600,"")</f>
        <v/>
      </c>
      <c r="O1600" s="34" t="n">
        <v>0.00028149</v>
      </c>
      <c r="P1600" s="34">
        <f>IF($J1600=1,LN(1+O1600),"")</f>
        <v/>
      </c>
      <c r="Q1600" s="34">
        <f>IF($J1600=1,LN(R1601/R1600),"")</f>
        <v/>
      </c>
      <c r="R1600" s="32" t="n">
        <v>2.024</v>
      </c>
      <c r="S1600" s="35" t="n">
        <v>7.518</v>
      </c>
      <c r="T1600" s="18" t="n"/>
      <c r="U1600" s="18" t="n"/>
      <c r="V1600" s="18" t="n">
        <v>61320</v>
      </c>
      <c r="W1600" s="18" t="n"/>
      <c r="X1600" s="35" t="n"/>
      <c r="Y1600" s="35" t="n">
        <v>7.518</v>
      </c>
    </row>
    <row r="1601">
      <c r="A1601" s="25" t="n">
        <v>41176</v>
      </c>
      <c r="B1601" s="18" t="n">
        <v>61909</v>
      </c>
      <c r="C1601" s="31" t="n"/>
      <c r="D1601" s="32" t="n"/>
      <c r="E1601" s="33" t="n">
        <v>-2.3596</v>
      </c>
      <c r="F1601" t="inlineStr">
        <is>
          <t>Down</t>
        </is>
      </c>
      <c r="G1601" t="inlineStr">
        <is>
          <t>Down</t>
        </is>
      </c>
      <c r="H1601" t="inlineStr">
        <is>
          <t>ED_JD</t>
        </is>
      </c>
      <c r="I1601" t="inlineStr">
        <is>
          <t>2012-09</t>
        </is>
      </c>
      <c r="J1601" t="n">
        <v>1</v>
      </c>
      <c r="K1601" t="n">
        <v>1</v>
      </c>
      <c r="L1601" s="34">
        <f>IF($J1601=1,LN(B1602/B1601),"")</f>
        <v/>
      </c>
      <c r="M1601" s="34">
        <f>IF($K1601=1,INDEX(Mensal!$D$2:$D$245,MATCH($I1601,Mensal!$A$2:$A$245,0)),"")</f>
        <v/>
      </c>
      <c r="N1601" s="34">
        <f>IF($K1601=1,L1601-M1601,"")</f>
        <v/>
      </c>
      <c r="O1601" s="34" t="n">
        <v>0.00028149</v>
      </c>
      <c r="P1601" s="34">
        <f>IF($J1601=1,LN(1+O1601),"")</f>
        <v/>
      </c>
      <c r="Q1601" s="34">
        <f>IF($J1601=1,LN(R1602/R1601),"")</f>
        <v/>
      </c>
      <c r="R1601" s="32" t="n">
        <v>2.0273</v>
      </c>
      <c r="S1601" s="35" t="n">
        <v>7.524</v>
      </c>
      <c r="T1601" s="18" t="n"/>
      <c r="U1601" s="18" t="n"/>
      <c r="V1601" s="18" t="n">
        <v>61909</v>
      </c>
      <c r="W1601" s="18" t="n"/>
      <c r="X1601" s="35" t="n"/>
      <c r="Y1601" s="35" t="n">
        <v>7.524</v>
      </c>
    </row>
    <row r="1602">
      <c r="A1602" s="25" t="n">
        <v>41177</v>
      </c>
      <c r="B1602" s="18" t="n">
        <v>60501</v>
      </c>
      <c r="C1602" s="31" t="n"/>
      <c r="D1602" s="32" t="n"/>
      <c r="E1602" s="33" t="n">
        <v>-2.4023</v>
      </c>
      <c r="F1602" t="inlineStr">
        <is>
          <t>Down</t>
        </is>
      </c>
      <c r="G1602" t="inlineStr">
        <is>
          <t>Down</t>
        </is>
      </c>
      <c r="H1602" t="inlineStr">
        <is>
          <t>ED_JD</t>
        </is>
      </c>
      <c r="I1602" t="inlineStr">
        <is>
          <t>2012-09</t>
        </is>
      </c>
      <c r="J1602" t="n">
        <v>1</v>
      </c>
      <c r="K1602" t="n">
        <v>1</v>
      </c>
      <c r="L1602" s="34">
        <f>IF($J1602=1,LN(B1603/B1602),"")</f>
        <v/>
      </c>
      <c r="M1602" s="34">
        <f>IF($K1602=1,INDEX(Mensal!$D$2:$D$245,MATCH($I1602,Mensal!$A$2:$A$245,0)),"")</f>
        <v/>
      </c>
      <c r="N1602" s="34">
        <f>IF($K1602=1,L1602-M1602,"")</f>
        <v/>
      </c>
      <c r="O1602" s="34" t="n">
        <v>0.00028259</v>
      </c>
      <c r="P1602" s="34">
        <f>IF($J1602=1,LN(1+O1602),"")</f>
        <v/>
      </c>
      <c r="Q1602" s="34">
        <f>IF($J1602=1,LN(R1603/R1602),"")</f>
        <v/>
      </c>
      <c r="R1602" s="32" t="n">
        <v>2.0251</v>
      </c>
      <c r="S1602" s="35" t="n">
        <v>7.487</v>
      </c>
      <c r="T1602" s="18" t="n"/>
      <c r="U1602" s="18" t="n"/>
      <c r="V1602" s="18" t="n">
        <v>60501</v>
      </c>
      <c r="W1602" s="18" t="n"/>
      <c r="X1602" s="35" t="n"/>
      <c r="Y1602" s="35" t="n">
        <v>7.487</v>
      </c>
    </row>
    <row r="1603">
      <c r="A1603" s="25" t="n">
        <v>41178</v>
      </c>
      <c r="B1603" s="18" t="n">
        <v>60478</v>
      </c>
      <c r="C1603" s="31" t="n"/>
      <c r="D1603" s="32" t="n"/>
      <c r="E1603" s="33" t="n">
        <v>-2.4339</v>
      </c>
      <c r="F1603" t="inlineStr">
        <is>
          <t>Down</t>
        </is>
      </c>
      <c r="G1603" t="inlineStr">
        <is>
          <t>Down</t>
        </is>
      </c>
      <c r="H1603" t="inlineStr">
        <is>
          <t>ED_JD</t>
        </is>
      </c>
      <c r="I1603" t="inlineStr">
        <is>
          <t>2012-09</t>
        </is>
      </c>
      <c r="J1603" t="n">
        <v>1</v>
      </c>
      <c r="K1603" t="n">
        <v>1</v>
      </c>
      <c r="L1603" s="34">
        <f>IF($J1603=1,LN(B1604/B1603),"")</f>
        <v/>
      </c>
      <c r="M1603" s="34">
        <f>IF($K1603=1,INDEX(Mensal!$D$2:$D$245,MATCH($I1603,Mensal!$A$2:$A$245,0)),"")</f>
        <v/>
      </c>
      <c r="N1603" s="34">
        <f>IF($K1603=1,L1603-M1603,"")</f>
        <v/>
      </c>
      <c r="O1603" s="34" t="n">
        <v>0.00028222</v>
      </c>
      <c r="P1603" s="34">
        <f>IF($J1603=1,LN(1+O1603),"")</f>
        <v/>
      </c>
      <c r="Q1603" s="34">
        <f>IF($J1603=1,LN(R1604/R1603),"")</f>
        <v/>
      </c>
      <c r="R1603" s="32" t="n">
        <v>2.0341</v>
      </c>
      <c r="S1603" s="35" t="n">
        <v>7.489</v>
      </c>
      <c r="T1603" s="18" t="n"/>
      <c r="U1603" s="18" t="n"/>
      <c r="V1603" s="18" t="n">
        <v>60478</v>
      </c>
      <c r="W1603" s="18" t="n"/>
      <c r="X1603" s="35" t="n"/>
      <c r="Y1603" s="35" t="n">
        <v>7.489</v>
      </c>
    </row>
    <row r="1604">
      <c r="A1604" s="25" t="n">
        <v>41179</v>
      </c>
      <c r="B1604" s="18" t="n">
        <v>60239</v>
      </c>
      <c r="C1604" s="31" t="n"/>
      <c r="D1604" s="32" t="n"/>
      <c r="E1604" s="33" t="n">
        <v>-2.4672</v>
      </c>
      <c r="F1604" t="inlineStr">
        <is>
          <t>Down</t>
        </is>
      </c>
      <c r="G1604" t="inlineStr">
        <is>
          <t>Down</t>
        </is>
      </c>
      <c r="H1604" t="inlineStr">
        <is>
          <t>ED_JD</t>
        </is>
      </c>
      <c r="I1604" t="inlineStr">
        <is>
          <t>2012-09</t>
        </is>
      </c>
      <c r="J1604" t="n">
        <v>1</v>
      </c>
      <c r="K1604" t="n">
        <v>1</v>
      </c>
      <c r="L1604" s="34">
        <f>IF($J1604=1,LN(B1605/B1604),"")</f>
        <v/>
      </c>
      <c r="M1604" s="34">
        <f>IF($K1604=1,INDEX(Mensal!$D$2:$D$245,MATCH($I1604,Mensal!$A$2:$A$245,0)),"")</f>
        <v/>
      </c>
      <c r="N1604" s="34">
        <f>IF($K1604=1,L1604-M1604,"")</f>
        <v/>
      </c>
      <c r="O1604" s="34" t="n">
        <v>0.00028186</v>
      </c>
      <c r="P1604" s="34">
        <f>IF($J1604=1,LN(1+O1604),"")</f>
        <v/>
      </c>
      <c r="Q1604" s="34">
        <f>IF($J1604=1,LN(R1605/R1604),"")</f>
        <v/>
      </c>
      <c r="R1604" s="32" t="n">
        <v>2.0311</v>
      </c>
      <c r="S1604" s="35" t="n">
        <v>7.499</v>
      </c>
      <c r="T1604" s="18" t="n"/>
      <c r="U1604" s="18" t="n"/>
      <c r="V1604" s="18" t="n">
        <v>60239</v>
      </c>
      <c r="W1604" s="18" t="n"/>
      <c r="X1604" s="35" t="n"/>
      <c r="Y1604" s="35" t="n">
        <v>7.499</v>
      </c>
    </row>
    <row r="1605">
      <c r="A1605" s="25" t="n">
        <v>41180</v>
      </c>
      <c r="B1605" s="18" t="n">
        <v>59175</v>
      </c>
      <c r="C1605" s="31" t="n"/>
      <c r="D1605" s="32" t="n"/>
      <c r="E1605" s="33" t="n">
        <v>-2.4936</v>
      </c>
      <c r="F1605" t="inlineStr">
        <is>
          <t>Down</t>
        </is>
      </c>
      <c r="G1605" t="inlineStr">
        <is>
          <t>Down</t>
        </is>
      </c>
      <c r="H1605" t="inlineStr">
        <is>
          <t>ED_JD</t>
        </is>
      </c>
      <c r="I1605" t="inlineStr">
        <is>
          <t>2012-09</t>
        </is>
      </c>
      <c r="J1605" t="n">
        <v>1</v>
      </c>
      <c r="K1605" t="n">
        <v>1</v>
      </c>
      <c r="L1605" s="34">
        <f>IF($J1605=1,LN(B1606/B1605),"")</f>
        <v/>
      </c>
      <c r="M1605" s="34">
        <f>IF($K1605=1,INDEX(Mensal!$D$2:$D$245,MATCH($I1605,Mensal!$A$2:$A$245,0)),"")</f>
        <v/>
      </c>
      <c r="N1605" s="34">
        <f>IF($K1605=1,L1605-M1605,"")</f>
        <v/>
      </c>
      <c r="O1605" s="34" t="n">
        <v>0.00028186</v>
      </c>
      <c r="P1605" s="34">
        <f>IF($J1605=1,LN(1+O1605),"")</f>
        <v/>
      </c>
      <c r="Q1605" s="34">
        <f>IF($J1605=1,LN(R1606/R1605),"")</f>
        <v/>
      </c>
      <c r="R1605" s="32" t="n">
        <v>2.0306</v>
      </c>
      <c r="S1605" s="35" t="n">
        <v>7.479</v>
      </c>
      <c r="T1605" s="18" t="n"/>
      <c r="U1605" s="18" t="n"/>
      <c r="V1605" s="18" t="n">
        <v>59175</v>
      </c>
      <c r="W1605" s="18" t="n"/>
      <c r="X1605" s="35" t="n"/>
      <c r="Y1605" s="35" t="n">
        <v>7.479</v>
      </c>
    </row>
    <row r="1606">
      <c r="A1606" s="25" t="n">
        <v>41183</v>
      </c>
      <c r="B1606" s="18" t="n">
        <v>59570</v>
      </c>
      <c r="C1606" s="31" t="n"/>
      <c r="D1606" s="32" t="n"/>
      <c r="E1606" s="33" t="n">
        <v>-2.5132</v>
      </c>
      <c r="F1606" t="inlineStr">
        <is>
          <t>Down</t>
        </is>
      </c>
      <c r="G1606" t="inlineStr">
        <is>
          <t>Down</t>
        </is>
      </c>
      <c r="H1606" t="inlineStr">
        <is>
          <t>ED_JD</t>
        </is>
      </c>
      <c r="I1606" t="inlineStr">
        <is>
          <t>2012-10</t>
        </is>
      </c>
      <c r="J1606" t="n">
        <v>1</v>
      </c>
      <c r="K1606" t="n">
        <v>1</v>
      </c>
      <c r="L1606" s="34">
        <f>IF($J1606=1,LN(B1607/B1606),"")</f>
        <v/>
      </c>
      <c r="M1606" s="34">
        <f>IF($K1606=1,INDEX(Mensal!$D$2:$D$245,MATCH($I1606,Mensal!$A$2:$A$245,0)),"")</f>
        <v/>
      </c>
      <c r="N1606" s="34">
        <f>IF($K1606=1,L1606-M1606,"")</f>
        <v/>
      </c>
      <c r="O1606" s="34" t="n">
        <v>0.00028186</v>
      </c>
      <c r="P1606" s="34">
        <f>IF($J1606=1,LN(1+O1606),"")</f>
        <v/>
      </c>
      <c r="Q1606" s="34">
        <f>IF($J1606=1,LN(R1607/R1606),"")</f>
        <v/>
      </c>
      <c r="R1606" s="32" t="n">
        <v>2.026</v>
      </c>
      <c r="S1606" s="35" t="n">
        <v>7.465</v>
      </c>
      <c r="T1606" s="18" t="n"/>
      <c r="U1606" s="18" t="n"/>
      <c r="V1606" s="18" t="n">
        <v>59570</v>
      </c>
      <c r="W1606" s="18" t="n"/>
      <c r="X1606" s="35" t="n"/>
      <c r="Y1606" s="35" t="n">
        <v>7.465</v>
      </c>
    </row>
    <row r="1607">
      <c r="A1607" s="25" t="n">
        <v>41184</v>
      </c>
      <c r="B1607" s="18" t="n">
        <v>59222</v>
      </c>
      <c r="C1607" s="31" t="n"/>
      <c r="D1607" s="32" t="n"/>
      <c r="E1607" s="33" t="n">
        <v>-2.5255</v>
      </c>
      <c r="F1607" t="inlineStr">
        <is>
          <t>Down</t>
        </is>
      </c>
      <c r="G1607" t="inlineStr">
        <is>
          <t>Down</t>
        </is>
      </c>
      <c r="H1607" t="inlineStr">
        <is>
          <t>ED_JD</t>
        </is>
      </c>
      <c r="I1607" t="inlineStr">
        <is>
          <t>2012-10</t>
        </is>
      </c>
      <c r="J1607" t="n">
        <v>1</v>
      </c>
      <c r="K1607" t="n">
        <v>1</v>
      </c>
      <c r="L1607" s="34">
        <f>IF($J1607=1,LN(B1608/B1607),"")</f>
        <v/>
      </c>
      <c r="M1607" s="34">
        <f>IF($K1607=1,INDEX(Mensal!$D$2:$D$245,MATCH($I1607,Mensal!$A$2:$A$245,0)),"")</f>
        <v/>
      </c>
      <c r="N1607" s="34">
        <f>IF($K1607=1,L1607-M1607,"")</f>
        <v/>
      </c>
      <c r="O1607" s="34" t="n">
        <v>0.00028149</v>
      </c>
      <c r="P1607" s="34">
        <f>IF($J1607=1,LN(1+O1607),"")</f>
        <v/>
      </c>
      <c r="Q1607" s="34">
        <f>IF($J1607=1,LN(R1608/R1607),"")</f>
        <v/>
      </c>
      <c r="R1607" s="32" t="n">
        <v>2.0266</v>
      </c>
      <c r="S1607" s="35" t="n">
        <v>7.436</v>
      </c>
      <c r="T1607" s="18" t="n"/>
      <c r="U1607" s="18" t="n"/>
      <c r="V1607" s="18" t="n">
        <v>59222</v>
      </c>
      <c r="W1607" s="18" t="n"/>
      <c r="X1607" s="35" t="n"/>
      <c r="Y1607" s="35" t="n">
        <v>7.436</v>
      </c>
    </row>
    <row r="1608">
      <c r="A1608" s="25" t="n">
        <v>41185</v>
      </c>
      <c r="B1608" s="18" t="n">
        <v>58627</v>
      </c>
      <c r="C1608" s="31" t="n"/>
      <c r="D1608" s="32" t="n"/>
      <c r="E1608" s="33" t="n">
        <v>-2.5351</v>
      </c>
      <c r="F1608" t="inlineStr">
        <is>
          <t>Down</t>
        </is>
      </c>
      <c r="G1608" t="inlineStr">
        <is>
          <t>Down</t>
        </is>
      </c>
      <c r="H1608" t="inlineStr">
        <is>
          <t>ED_JD</t>
        </is>
      </c>
      <c r="I1608" t="inlineStr">
        <is>
          <t>2012-10</t>
        </is>
      </c>
      <c r="J1608" t="n">
        <v>1</v>
      </c>
      <c r="K1608" t="n">
        <v>1</v>
      </c>
      <c r="L1608" s="34">
        <f>IF($J1608=1,LN(B1609/B1608),"")</f>
        <v/>
      </c>
      <c r="M1608" s="34">
        <f>IF($K1608=1,INDEX(Mensal!$D$2:$D$245,MATCH($I1608,Mensal!$A$2:$A$245,0)),"")</f>
        <v/>
      </c>
      <c r="N1608" s="34">
        <f>IF($K1608=1,L1608-M1608,"")</f>
        <v/>
      </c>
      <c r="O1608" s="34" t="n">
        <v>0.00028186</v>
      </c>
      <c r="P1608" s="34">
        <f>IF($J1608=1,LN(1+O1608),"")</f>
        <v/>
      </c>
      <c r="Q1608" s="34">
        <f>IF($J1608=1,LN(R1609/R1608),"")</f>
        <v/>
      </c>
      <c r="R1608" s="32" t="n">
        <v>2.0266</v>
      </c>
      <c r="S1608" s="35" t="n">
        <v>7.408</v>
      </c>
      <c r="T1608" s="18" t="n"/>
      <c r="U1608" s="18" t="n"/>
      <c r="V1608" s="18" t="n">
        <v>58627</v>
      </c>
      <c r="W1608" s="18" t="n"/>
      <c r="X1608" s="35" t="n"/>
      <c r="Y1608" s="35" t="n">
        <v>7.408</v>
      </c>
    </row>
    <row r="1609">
      <c r="A1609" s="25" t="n">
        <v>41186</v>
      </c>
      <c r="B1609" s="18" t="n">
        <v>58458</v>
      </c>
      <c r="C1609" s="31" t="n"/>
      <c r="D1609" s="32" t="n"/>
      <c r="E1609" s="33" t="n">
        <v>-2.5379</v>
      </c>
      <c r="F1609" t="inlineStr">
        <is>
          <t>Down</t>
        </is>
      </c>
      <c r="G1609" t="inlineStr">
        <is>
          <t>Down</t>
        </is>
      </c>
      <c r="H1609" t="inlineStr">
        <is>
          <t>ED_JD</t>
        </is>
      </c>
      <c r="I1609" t="inlineStr">
        <is>
          <t>2012-10</t>
        </is>
      </c>
      <c r="J1609" t="n">
        <v>1</v>
      </c>
      <c r="K1609" t="n">
        <v>1</v>
      </c>
      <c r="L1609" s="34">
        <f>IF($J1609=1,LN(B1610/B1609),"")</f>
        <v/>
      </c>
      <c r="M1609" s="34">
        <f>IF($K1609=1,INDEX(Mensal!$D$2:$D$245,MATCH($I1609,Mensal!$A$2:$A$245,0)),"")</f>
        <v/>
      </c>
      <c r="N1609" s="34">
        <f>IF($K1609=1,L1609-M1609,"")</f>
        <v/>
      </c>
      <c r="O1609" s="34" t="n">
        <v>0.00028186</v>
      </c>
      <c r="P1609" s="34">
        <f>IF($J1609=1,LN(1+O1609),"")</f>
        <v/>
      </c>
      <c r="Q1609" s="34">
        <f>IF($J1609=1,LN(R1610/R1609),"")</f>
        <v/>
      </c>
      <c r="R1609" s="32" t="n">
        <v>2.0224</v>
      </c>
      <c r="S1609" s="35" t="n">
        <v>7.388</v>
      </c>
      <c r="T1609" s="18" t="n"/>
      <c r="U1609" s="18" t="n"/>
      <c r="V1609" s="18" t="n">
        <v>58458</v>
      </c>
      <c r="W1609" s="18" t="n"/>
      <c r="X1609" s="35" t="n"/>
      <c r="Y1609" s="35" t="n">
        <v>7.388</v>
      </c>
    </row>
    <row r="1610">
      <c r="A1610" s="25" t="n">
        <v>41187</v>
      </c>
      <c r="B1610" s="18" t="n">
        <v>58571</v>
      </c>
      <c r="C1610" s="31" t="n"/>
      <c r="D1610" s="32" t="n"/>
      <c r="E1610" s="33" t="n">
        <v>-2.5374</v>
      </c>
      <c r="F1610" t="inlineStr">
        <is>
          <t>Down</t>
        </is>
      </c>
      <c r="G1610" t="inlineStr">
        <is>
          <t>Down</t>
        </is>
      </c>
      <c r="H1610" t="inlineStr">
        <is>
          <t>ED_JD</t>
        </is>
      </c>
      <c r="I1610" t="inlineStr">
        <is>
          <t>2012-10</t>
        </is>
      </c>
      <c r="J1610" t="n">
        <v>1</v>
      </c>
      <c r="K1610" t="n">
        <v>1</v>
      </c>
      <c r="L1610" s="34">
        <f>IF($J1610=1,LN(B1611/B1610),"")</f>
        <v/>
      </c>
      <c r="M1610" s="34">
        <f>IF($K1610=1,INDEX(Mensal!$D$2:$D$245,MATCH($I1610,Mensal!$A$2:$A$245,0)),"")</f>
        <v/>
      </c>
      <c r="N1610" s="34">
        <f>IF($K1610=1,L1610-M1610,"")</f>
        <v/>
      </c>
      <c r="O1610" s="34" t="n">
        <v>0.00028186</v>
      </c>
      <c r="P1610" s="34">
        <f>IF($J1610=1,LN(1+O1610),"")</f>
        <v/>
      </c>
      <c r="Q1610" s="34">
        <f>IF($J1610=1,LN(R1611/R1610),"")</f>
        <v/>
      </c>
      <c r="R1610" s="32" t="n">
        <v>2.0246</v>
      </c>
      <c r="S1610" s="35" t="n">
        <v>7.199</v>
      </c>
      <c r="T1610" s="18" t="n"/>
      <c r="U1610" s="18" t="n"/>
      <c r="V1610" s="18" t="n">
        <v>58571</v>
      </c>
      <c r="W1610" s="18" t="n"/>
      <c r="X1610" s="35" t="n"/>
      <c r="Y1610" s="35" t="n">
        <v>7.199</v>
      </c>
    </row>
    <row r="1611">
      <c r="A1611" s="25" t="n">
        <v>41190</v>
      </c>
      <c r="B1611" s="18" t="n">
        <v>59317</v>
      </c>
      <c r="C1611" s="31" t="n"/>
      <c r="D1611" s="32" t="n"/>
      <c r="E1611" s="33" t="n">
        <v>-2.5458</v>
      </c>
      <c r="F1611" t="inlineStr">
        <is>
          <t>Down</t>
        </is>
      </c>
      <c r="G1611" t="inlineStr">
        <is>
          <t>Down</t>
        </is>
      </c>
      <c r="H1611" t="inlineStr">
        <is>
          <t>ED_JD</t>
        </is>
      </c>
      <c r="I1611" t="inlineStr">
        <is>
          <t>2012-10</t>
        </is>
      </c>
      <c r="J1611" t="n">
        <v>1</v>
      </c>
      <c r="K1611" t="n">
        <v>1</v>
      </c>
      <c r="L1611" s="34">
        <f>IF($J1611=1,LN(B1612/B1611),"")</f>
        <v/>
      </c>
      <c r="M1611" s="34">
        <f>IF($K1611=1,INDEX(Mensal!$D$2:$D$245,MATCH($I1611,Mensal!$A$2:$A$245,0)),"")</f>
        <v/>
      </c>
      <c r="N1611" s="34">
        <f>IF($K1611=1,L1611-M1611,"")</f>
        <v/>
      </c>
      <c r="O1611" s="34" t="n">
        <v>0.00028186</v>
      </c>
      <c r="P1611" s="34">
        <f>IF($J1611=1,LN(1+O1611),"")</f>
        <v/>
      </c>
      <c r="Q1611" s="34">
        <f>IF($J1611=1,LN(R1612/R1611),"")</f>
        <v/>
      </c>
      <c r="R1611" s="32" t="n">
        <v>2.0313</v>
      </c>
      <c r="S1611" s="35" t="n">
        <v>7.248</v>
      </c>
      <c r="T1611" s="18" t="n"/>
      <c r="U1611" s="18" t="n"/>
      <c r="V1611" s="18" t="n">
        <v>59317</v>
      </c>
      <c r="W1611" s="18" t="n"/>
      <c r="X1611" s="35" t="n"/>
      <c r="Y1611" s="35" t="n">
        <v>7.248</v>
      </c>
    </row>
    <row r="1612">
      <c r="A1612" s="25" t="n">
        <v>41191</v>
      </c>
      <c r="B1612" s="18" t="n">
        <v>58939</v>
      </c>
      <c r="C1612" s="31" t="n"/>
      <c r="D1612" s="32" t="n"/>
      <c r="E1612" s="33" t="n">
        <v>-2.5575</v>
      </c>
      <c r="F1612" t="inlineStr">
        <is>
          <t>Down</t>
        </is>
      </c>
      <c r="G1612" t="inlineStr">
        <is>
          <t>Down</t>
        </is>
      </c>
      <c r="H1612" t="inlineStr">
        <is>
          <t>ED_JD</t>
        </is>
      </c>
      <c r="I1612" t="inlineStr">
        <is>
          <t>2012-10</t>
        </is>
      </c>
      <c r="J1612" t="n">
        <v>1</v>
      </c>
      <c r="K1612" t="n">
        <v>1</v>
      </c>
      <c r="L1612" s="34">
        <f>IF($J1612=1,LN(B1613/B1612),"")</f>
        <v/>
      </c>
      <c r="M1612" s="34">
        <f>IF($K1612=1,INDEX(Mensal!$D$2:$D$245,MATCH($I1612,Mensal!$A$2:$A$245,0)),"")</f>
        <v/>
      </c>
      <c r="N1612" s="34">
        <f>IF($K1612=1,L1612-M1612,"")</f>
        <v/>
      </c>
      <c r="O1612" s="34" t="n">
        <v>0.00028149</v>
      </c>
      <c r="P1612" s="34">
        <f>IF($J1612=1,LN(1+O1612),"")</f>
        <v/>
      </c>
      <c r="Q1612" s="34">
        <f>IF($J1612=1,LN(R1613/R1612),"")</f>
        <v/>
      </c>
      <c r="R1612" s="32" t="n">
        <v>2.0337</v>
      </c>
      <c r="S1612" s="35" t="n">
        <v>7.251</v>
      </c>
      <c r="T1612" s="18" t="n"/>
      <c r="U1612" s="18" t="n"/>
      <c r="V1612" s="18" t="n">
        <v>58939</v>
      </c>
      <c r="W1612" s="18" t="n"/>
      <c r="X1612" s="35" t="n"/>
      <c r="Y1612" s="35" t="n">
        <v>7.251</v>
      </c>
    </row>
    <row r="1613">
      <c r="A1613" s="25" t="n">
        <v>41192</v>
      </c>
      <c r="B1613" s="18" t="n">
        <v>58456</v>
      </c>
      <c r="C1613" s="31" t="n"/>
      <c r="D1613" s="32" t="n"/>
      <c r="E1613" s="33" t="n">
        <v>-2.5652</v>
      </c>
      <c r="F1613" t="inlineStr">
        <is>
          <t>Down</t>
        </is>
      </c>
      <c r="G1613" t="inlineStr">
        <is>
          <t>Down</t>
        </is>
      </c>
      <c r="H1613" t="inlineStr">
        <is>
          <t>ED_JD</t>
        </is>
      </c>
      <c r="I1613" t="inlineStr">
        <is>
          <t>2012-10</t>
        </is>
      </c>
      <c r="J1613" t="n">
        <v>1</v>
      </c>
      <c r="K1613" t="n">
        <v>1</v>
      </c>
      <c r="L1613" s="34">
        <f>IF($J1613=1,LN(B1614/B1613),"")</f>
        <v/>
      </c>
      <c r="M1613" s="34">
        <f>IF($K1613=1,INDEX(Mensal!$D$2:$D$245,MATCH($I1613,Mensal!$A$2:$A$245,0)),"")</f>
        <v/>
      </c>
      <c r="N1613" s="34">
        <f>IF($K1613=1,L1613-M1613,"")</f>
        <v/>
      </c>
      <c r="O1613" s="34" t="n">
        <v>0.00028075</v>
      </c>
      <c r="P1613" s="34">
        <f>IF($J1613=1,LN(1+O1613),"")</f>
        <v/>
      </c>
      <c r="Q1613" s="34">
        <f>IF($J1613=1,LN(R1614/R1613),"")</f>
        <v/>
      </c>
      <c r="R1613" s="32" t="n">
        <v>2.0378</v>
      </c>
      <c r="S1613" s="35" t="n">
        <v>7.275</v>
      </c>
      <c r="T1613" s="18" t="n"/>
      <c r="U1613" s="18" t="n"/>
      <c r="V1613" s="18" t="n">
        <v>58456</v>
      </c>
      <c r="W1613" s="18" t="n"/>
      <c r="X1613" s="35" t="n"/>
      <c r="Y1613" s="35" t="n">
        <v>7.275</v>
      </c>
    </row>
    <row r="1614">
      <c r="A1614" s="25" t="n">
        <v>41193</v>
      </c>
      <c r="B1614" s="18" t="n">
        <v>59161</v>
      </c>
      <c r="C1614" s="31" t="n"/>
      <c r="D1614" s="32" t="n"/>
      <c r="E1614" s="33" t="n">
        <v>-2.5742</v>
      </c>
      <c r="F1614" t="inlineStr">
        <is>
          <t>Down</t>
        </is>
      </c>
      <c r="G1614" t="inlineStr">
        <is>
          <t>Down</t>
        </is>
      </c>
      <c r="H1614" t="inlineStr">
        <is>
          <t>ED_JD</t>
        </is>
      </c>
      <c r="I1614" t="inlineStr">
        <is>
          <t>2012-10</t>
        </is>
      </c>
      <c r="J1614" t="n">
        <v>1</v>
      </c>
      <c r="K1614" t="n">
        <v>1</v>
      </c>
      <c r="L1614" s="34">
        <f>IF($J1614=1,LN(B1615/B1614),"")</f>
        <v/>
      </c>
      <c r="M1614" s="34">
        <f>IF($K1614=1,INDEX(Mensal!$D$2:$D$245,MATCH($I1614,Mensal!$A$2:$A$245,0)),"")</f>
        <v/>
      </c>
      <c r="N1614" s="34">
        <f>IF($K1614=1,L1614-M1614,"")</f>
        <v/>
      </c>
      <c r="O1614" s="34" t="n">
        <v>0.00027001</v>
      </c>
      <c r="P1614" s="34">
        <f>IF($J1614=1,LN(1+O1614),"")</f>
        <v/>
      </c>
      <c r="Q1614" s="34">
        <f>IF($J1614=1,LN(R1615/R1614),"")</f>
        <v/>
      </c>
      <c r="R1614" s="32" t="n">
        <v>2.0369</v>
      </c>
      <c r="S1614" s="35" t="n">
        <v>7.284</v>
      </c>
      <c r="T1614" s="18" t="n"/>
      <c r="U1614" s="18" t="n"/>
      <c r="V1614" s="18" t="n">
        <v>59161</v>
      </c>
      <c r="W1614" s="18" t="n"/>
      <c r="X1614" s="35" t="n"/>
      <c r="Y1614" s="35" t="n">
        <v>7.284</v>
      </c>
    </row>
    <row r="1615">
      <c r="A1615" s="25" t="n">
        <v>41197</v>
      </c>
      <c r="B1615" s="18" t="n">
        <v>59601</v>
      </c>
      <c r="C1615" s="31" t="n"/>
      <c r="D1615" s="32" t="n"/>
      <c r="E1615" s="33" t="n">
        <v>-2.5742</v>
      </c>
      <c r="F1615" t="inlineStr">
        <is>
          <t>Down</t>
        </is>
      </c>
      <c r="G1615" t="inlineStr">
        <is>
          <t>Down</t>
        </is>
      </c>
      <c r="H1615" t="inlineStr">
        <is>
          <t>ED_JD</t>
        </is>
      </c>
      <c r="I1615" t="inlineStr">
        <is>
          <t>2012-10</t>
        </is>
      </c>
      <c r="J1615" t="n">
        <v>1</v>
      </c>
      <c r="K1615" t="n">
        <v>1</v>
      </c>
      <c r="L1615" s="34">
        <f>IF($J1615=1,LN(B1616/B1615),"")</f>
        <v/>
      </c>
      <c r="M1615" s="34">
        <f>IF($K1615=1,INDEX(Mensal!$D$2:$D$245,MATCH($I1615,Mensal!$A$2:$A$245,0)),"")</f>
        <v/>
      </c>
      <c r="N1615" s="34">
        <f>IF($K1615=1,L1615-M1615,"")</f>
        <v/>
      </c>
      <c r="O1615" s="34" t="n">
        <v>0.00027001</v>
      </c>
      <c r="P1615" s="34">
        <f>IF($J1615=1,LN(1+O1615),"")</f>
        <v/>
      </c>
      <c r="Q1615" s="34">
        <f>IF($J1615=1,LN(R1616/R1615),"")</f>
        <v/>
      </c>
      <c r="R1615" s="32" t="n">
        <v>2.0382</v>
      </c>
      <c r="S1615" s="35" t="n">
        <v>7.296</v>
      </c>
      <c r="T1615" s="18" t="n"/>
      <c r="U1615" s="18" t="n"/>
      <c r="V1615" s="18" t="n">
        <v>59601</v>
      </c>
      <c r="W1615" s="18" t="n"/>
      <c r="X1615" s="35" t="n"/>
      <c r="Y1615" s="35" t="n">
        <v>7.296</v>
      </c>
    </row>
    <row r="1616">
      <c r="A1616" s="25" t="n">
        <v>41198</v>
      </c>
      <c r="B1616" s="18" t="n">
        <v>59743</v>
      </c>
      <c r="C1616" s="31" t="n"/>
      <c r="D1616" s="32" t="n"/>
      <c r="E1616" s="33" t="n">
        <v>-2.5696</v>
      </c>
      <c r="F1616" t="inlineStr">
        <is>
          <t>Down</t>
        </is>
      </c>
      <c r="G1616" t="inlineStr">
        <is>
          <t>Down</t>
        </is>
      </c>
      <c r="H1616" t="inlineStr">
        <is>
          <t>ED_JD</t>
        </is>
      </c>
      <c r="I1616" t="inlineStr">
        <is>
          <t>2012-10</t>
        </is>
      </c>
      <c r="J1616" t="n">
        <v>1</v>
      </c>
      <c r="K1616" t="n">
        <v>1</v>
      </c>
      <c r="L1616" s="34">
        <f>IF($J1616=1,LN(B1617/B1616),"")</f>
        <v/>
      </c>
      <c r="M1616" s="34">
        <f>IF($K1616=1,INDEX(Mensal!$D$2:$D$245,MATCH($I1616,Mensal!$A$2:$A$245,0)),"")</f>
        <v/>
      </c>
      <c r="N1616" s="34">
        <f>IF($K1616=1,L1616-M1616,"")</f>
        <v/>
      </c>
      <c r="O1616" s="34" t="n">
        <v>0.00027038</v>
      </c>
      <c r="P1616" s="34">
        <f>IF($J1616=1,LN(1+O1616),"")</f>
        <v/>
      </c>
      <c r="Q1616" s="34">
        <f>IF($J1616=1,LN(R1617/R1616),"")</f>
        <v/>
      </c>
      <c r="R1616" s="32" t="n">
        <v>2.0351</v>
      </c>
      <c r="S1616" s="35" t="n">
        <v>7.254</v>
      </c>
      <c r="T1616" s="18" t="n"/>
      <c r="U1616" s="18" t="n"/>
      <c r="V1616" s="18" t="n">
        <v>59743</v>
      </c>
      <c r="W1616" s="18" t="n"/>
      <c r="X1616" s="35" t="n"/>
      <c r="Y1616" s="35" t="n">
        <v>7.254</v>
      </c>
    </row>
    <row r="1617">
      <c r="A1617" s="25" t="n">
        <v>41199</v>
      </c>
      <c r="B1617" s="18" t="n">
        <v>60087</v>
      </c>
      <c r="C1617" s="31" t="n"/>
      <c r="D1617" s="32" t="n"/>
      <c r="E1617" s="33" t="n">
        <v>-2.5447</v>
      </c>
      <c r="F1617" t="inlineStr">
        <is>
          <t>Down</t>
        </is>
      </c>
      <c r="G1617" t="inlineStr">
        <is>
          <t>Down</t>
        </is>
      </c>
      <c r="H1617" t="inlineStr">
        <is>
          <t>ED_JD</t>
        </is>
      </c>
      <c r="I1617" t="inlineStr">
        <is>
          <t>2012-10</t>
        </is>
      </c>
      <c r="J1617" t="n">
        <v>1</v>
      </c>
      <c r="K1617" t="n">
        <v>1</v>
      </c>
      <c r="L1617" s="34">
        <f>IF($J1617=1,LN(B1618/B1617),"")</f>
        <v/>
      </c>
      <c r="M1617" s="34">
        <f>IF($K1617=1,INDEX(Mensal!$D$2:$D$245,MATCH($I1617,Mensal!$A$2:$A$245,0)),"")</f>
        <v/>
      </c>
      <c r="N1617" s="34">
        <f>IF($K1617=1,L1617-M1617,"")</f>
        <v/>
      </c>
      <c r="O1617" s="34" t="n">
        <v>0.00027075</v>
      </c>
      <c r="P1617" s="34">
        <f>IF($J1617=1,LN(1+O1617),"")</f>
        <v/>
      </c>
      <c r="Q1617" s="34">
        <f>IF($J1617=1,LN(R1618/R1617),"")</f>
        <v/>
      </c>
      <c r="R1617" s="32" t="n">
        <v>2.0336</v>
      </c>
      <c r="S1617" s="35" t="n">
        <v>7.289</v>
      </c>
      <c r="T1617" s="18" t="n"/>
      <c r="U1617" s="18" t="n"/>
      <c r="V1617" s="18" t="n">
        <v>60087</v>
      </c>
      <c r="W1617" s="18" t="n"/>
      <c r="X1617" s="35" t="n"/>
      <c r="Y1617" s="35" t="n">
        <v>7.289</v>
      </c>
    </row>
    <row r="1618">
      <c r="A1618" s="25" t="n">
        <v>41200</v>
      </c>
      <c r="B1618" s="18" t="n">
        <v>59733</v>
      </c>
      <c r="C1618" s="31" t="n"/>
      <c r="D1618" s="32" t="n"/>
      <c r="E1618" s="33" t="n">
        <v>-2.5209</v>
      </c>
      <c r="F1618" t="inlineStr">
        <is>
          <t>Down</t>
        </is>
      </c>
      <c r="G1618" t="inlineStr">
        <is>
          <t>Down</t>
        </is>
      </c>
      <c r="H1618" t="inlineStr">
        <is>
          <t>ED_JD</t>
        </is>
      </c>
      <c r="I1618" t="inlineStr">
        <is>
          <t>2012-10</t>
        </is>
      </c>
      <c r="J1618" t="n">
        <v>1</v>
      </c>
      <c r="K1618" t="n">
        <v>1</v>
      </c>
      <c r="L1618" s="34">
        <f>IF($J1618=1,LN(B1619/B1618),"")</f>
        <v/>
      </c>
      <c r="M1618" s="34">
        <f>IF($K1618=1,INDEX(Mensal!$D$2:$D$245,MATCH($I1618,Mensal!$A$2:$A$245,0)),"")</f>
        <v/>
      </c>
      <c r="N1618" s="34">
        <f>IF($K1618=1,L1618-M1618,"")</f>
        <v/>
      </c>
      <c r="O1618" s="34" t="n">
        <v>0.00027149</v>
      </c>
      <c r="P1618" s="34">
        <f>IF($J1618=1,LN(1+O1618),"")</f>
        <v/>
      </c>
      <c r="Q1618" s="34">
        <f>IF($J1618=1,LN(R1619/R1618),"")</f>
        <v/>
      </c>
      <c r="R1618" s="32" t="n">
        <v>2.0295</v>
      </c>
      <c r="S1618" s="35" t="n">
        <v>7.269</v>
      </c>
      <c r="T1618" s="18" t="n"/>
      <c r="U1618" s="18" t="n"/>
      <c r="V1618" s="18" t="n">
        <v>59733</v>
      </c>
      <c r="W1618" s="18" t="n"/>
      <c r="X1618" s="35" t="n"/>
      <c r="Y1618" s="35" t="n">
        <v>7.269</v>
      </c>
    </row>
    <row r="1619">
      <c r="A1619" s="25" t="n">
        <v>41201</v>
      </c>
      <c r="B1619" s="18" t="n">
        <v>58922</v>
      </c>
      <c r="C1619" s="31" t="n"/>
      <c r="D1619" s="32" t="n"/>
      <c r="E1619" s="33" t="n">
        <v>-2.4894</v>
      </c>
      <c r="F1619" t="inlineStr">
        <is>
          <t>Down</t>
        </is>
      </c>
      <c r="G1619" t="inlineStr">
        <is>
          <t>Down</t>
        </is>
      </c>
      <c r="H1619" t="inlineStr">
        <is>
          <t>ED_JD</t>
        </is>
      </c>
      <c r="I1619" t="inlineStr">
        <is>
          <t>2012-10</t>
        </is>
      </c>
      <c r="J1619" t="n">
        <v>1</v>
      </c>
      <c r="K1619" t="n">
        <v>1</v>
      </c>
      <c r="L1619" s="34">
        <f>IF($J1619=1,LN(B1620/B1619),"")</f>
        <v/>
      </c>
      <c r="M1619" s="34">
        <f>IF($K1619=1,INDEX(Mensal!$D$2:$D$245,MATCH($I1619,Mensal!$A$2:$A$245,0)),"")</f>
        <v/>
      </c>
      <c r="N1619" s="34">
        <f>IF($K1619=1,L1619-M1619,"")</f>
        <v/>
      </c>
      <c r="O1619" s="34" t="n">
        <v>0.00027149</v>
      </c>
      <c r="P1619" s="34">
        <f>IF($J1619=1,LN(1+O1619),"")</f>
        <v/>
      </c>
      <c r="Q1619" s="34">
        <f>IF($J1619=1,LN(R1620/R1619),"")</f>
        <v/>
      </c>
      <c r="R1619" s="32" t="n">
        <v>2.0272</v>
      </c>
      <c r="S1619" s="35" t="n">
        <v>7.279</v>
      </c>
      <c r="T1619" s="18" t="n"/>
      <c r="U1619" s="18" t="n"/>
      <c r="V1619" s="18" t="n">
        <v>58922</v>
      </c>
      <c r="W1619" s="18" t="n"/>
      <c r="X1619" s="35" t="n"/>
      <c r="Y1619" s="35" t="n">
        <v>7.279</v>
      </c>
    </row>
    <row r="1620">
      <c r="A1620" s="25" t="n">
        <v>41204</v>
      </c>
      <c r="B1620" s="18" t="n">
        <v>58700</v>
      </c>
      <c r="C1620" s="31" t="n"/>
      <c r="D1620" s="32" t="n"/>
      <c r="E1620" s="33" t="n">
        <v>-2.4585</v>
      </c>
      <c r="F1620" t="inlineStr">
        <is>
          <t>Down</t>
        </is>
      </c>
      <c r="G1620" t="inlineStr">
        <is>
          <t>Down</t>
        </is>
      </c>
      <c r="H1620" t="inlineStr">
        <is>
          <t>ED_JD</t>
        </is>
      </c>
      <c r="I1620" t="inlineStr">
        <is>
          <t>2012-10</t>
        </is>
      </c>
      <c r="J1620" t="n">
        <v>1</v>
      </c>
      <c r="K1620" t="n">
        <v>1</v>
      </c>
      <c r="L1620" s="34">
        <f>IF($J1620=1,LN(B1621/B1620),"")</f>
        <v/>
      </c>
      <c r="M1620" s="34">
        <f>IF($K1620=1,INDEX(Mensal!$D$2:$D$245,MATCH($I1620,Mensal!$A$2:$A$245,0)),"")</f>
        <v/>
      </c>
      <c r="N1620" s="34">
        <f>IF($K1620=1,L1620-M1620,"")</f>
        <v/>
      </c>
      <c r="O1620" s="34" t="n">
        <v>0.00027297</v>
      </c>
      <c r="P1620" s="34">
        <f>IF($J1620=1,LN(1+O1620),"")</f>
        <v/>
      </c>
      <c r="Q1620" s="34">
        <f>IF($J1620=1,LN(R1621/R1620),"")</f>
        <v/>
      </c>
      <c r="R1620" s="32" t="n">
        <v>2.0266</v>
      </c>
      <c r="S1620" s="35" t="n">
        <v>7.269</v>
      </c>
      <c r="T1620" s="18" t="n"/>
      <c r="U1620" s="18" t="n"/>
      <c r="V1620" s="18" t="n">
        <v>58700</v>
      </c>
      <c r="W1620" s="18" t="n"/>
      <c r="X1620" s="35" t="n"/>
      <c r="Y1620" s="35" t="n">
        <v>7.269</v>
      </c>
    </row>
    <row r="1621">
      <c r="A1621" s="25" t="n">
        <v>41205</v>
      </c>
      <c r="B1621" s="18" t="n">
        <v>57690</v>
      </c>
      <c r="C1621" s="31" t="n"/>
      <c r="D1621" s="32" t="n"/>
      <c r="E1621" s="33" t="n">
        <v>-2.4215</v>
      </c>
      <c r="F1621" t="inlineStr">
        <is>
          <t>Down</t>
        </is>
      </c>
      <c r="G1621" t="inlineStr">
        <is>
          <t>Down</t>
        </is>
      </c>
      <c r="H1621" t="inlineStr">
        <is>
          <t>ED_JD</t>
        </is>
      </c>
      <c r="I1621" t="inlineStr">
        <is>
          <t>2012-10</t>
        </is>
      </c>
      <c r="J1621" t="n">
        <v>1</v>
      </c>
      <c r="K1621" t="n">
        <v>1</v>
      </c>
      <c r="L1621" s="34">
        <f>IF($J1621=1,LN(B1622/B1621),"")</f>
        <v/>
      </c>
      <c r="M1621" s="34">
        <f>IF($K1621=1,INDEX(Mensal!$D$2:$D$245,MATCH($I1621,Mensal!$A$2:$A$245,0)),"")</f>
        <v/>
      </c>
      <c r="N1621" s="34">
        <f>IF($K1621=1,L1621-M1621,"")</f>
        <v/>
      </c>
      <c r="O1621" s="34" t="n">
        <v>0.00027297</v>
      </c>
      <c r="P1621" s="34">
        <f>IF($J1621=1,LN(1+O1621),"")</f>
        <v/>
      </c>
      <c r="Q1621" s="34">
        <f>IF($J1621=1,LN(R1622/R1621),"")</f>
        <v/>
      </c>
      <c r="R1621" s="32" t="n">
        <v>2.0286</v>
      </c>
      <c r="S1621" s="35" t="n">
        <v>7.269</v>
      </c>
      <c r="T1621" s="18" t="n"/>
      <c r="U1621" s="18" t="n"/>
      <c r="V1621" s="18" t="n">
        <v>57690</v>
      </c>
      <c r="W1621" s="18" t="n"/>
      <c r="X1621" s="35" t="n"/>
      <c r="Y1621" s="35" t="n">
        <v>7.269</v>
      </c>
    </row>
    <row r="1622">
      <c r="A1622" s="25" t="n">
        <v>41206</v>
      </c>
      <c r="B1622" s="18" t="n">
        <v>57160</v>
      </c>
      <c r="C1622" s="31" t="n"/>
      <c r="D1622" s="32" t="n"/>
      <c r="E1622" s="33" t="n">
        <v>-2.378</v>
      </c>
      <c r="F1622" t="inlineStr">
        <is>
          <t>Down</t>
        </is>
      </c>
      <c r="G1622" t="inlineStr">
        <is>
          <t>Down</t>
        </is>
      </c>
      <c r="H1622" t="inlineStr">
        <is>
          <t>ED_JD</t>
        </is>
      </c>
      <c r="I1622" t="inlineStr">
        <is>
          <t>2012-10</t>
        </is>
      </c>
      <c r="J1622" t="n">
        <v>1</v>
      </c>
      <c r="K1622" t="n">
        <v>1</v>
      </c>
      <c r="L1622" s="34">
        <f>IF($J1622=1,LN(B1623/B1622),"")</f>
        <v/>
      </c>
      <c r="M1622" s="34">
        <f>IF($K1622=1,INDEX(Mensal!$D$2:$D$245,MATCH($I1622,Mensal!$A$2:$A$245,0)),"")</f>
        <v/>
      </c>
      <c r="N1622" s="34">
        <f>IF($K1622=1,L1622-M1622,"")</f>
        <v/>
      </c>
      <c r="O1622" s="34" t="n">
        <v>0.00027334</v>
      </c>
      <c r="P1622" s="34">
        <f>IF($J1622=1,LN(1+O1622),"")</f>
        <v/>
      </c>
      <c r="Q1622" s="34">
        <f>IF($J1622=1,LN(R1623/R1622),"")</f>
        <v/>
      </c>
      <c r="R1622" s="32" t="n">
        <v>2.0263</v>
      </c>
      <c r="S1622" s="35" t="n">
        <v>7.249</v>
      </c>
      <c r="T1622" s="18" t="n"/>
      <c r="U1622" s="18" t="n"/>
      <c r="V1622" s="18" t="n">
        <v>57160</v>
      </c>
      <c r="W1622" s="18" t="n"/>
      <c r="X1622" s="35" t="n"/>
      <c r="Y1622" s="35" t="n">
        <v>7.249</v>
      </c>
    </row>
    <row r="1623">
      <c r="A1623" s="25" t="n">
        <v>41207</v>
      </c>
      <c r="B1623" s="18" t="n">
        <v>57836</v>
      </c>
      <c r="C1623" s="31" t="n"/>
      <c r="D1623" s="32" t="n"/>
      <c r="E1623" s="33" t="n">
        <v>-2.3513</v>
      </c>
      <c r="F1623" t="inlineStr">
        <is>
          <t>Down</t>
        </is>
      </c>
      <c r="G1623" t="inlineStr">
        <is>
          <t>Down</t>
        </is>
      </c>
      <c r="H1623" t="inlineStr">
        <is>
          <t>ED_JD</t>
        </is>
      </c>
      <c r="I1623" t="inlineStr">
        <is>
          <t>2012-10</t>
        </is>
      </c>
      <c r="J1623" t="n">
        <v>1</v>
      </c>
      <c r="K1623" t="n">
        <v>1</v>
      </c>
      <c r="L1623" s="34">
        <f>IF($J1623=1,LN(B1624/B1623),"")</f>
        <v/>
      </c>
      <c r="M1623" s="34">
        <f>IF($K1623=1,INDEX(Mensal!$D$2:$D$245,MATCH($I1623,Mensal!$A$2:$A$245,0)),"")</f>
        <v/>
      </c>
      <c r="N1623" s="34">
        <f>IF($K1623=1,L1623-M1623,"")</f>
        <v/>
      </c>
      <c r="O1623" s="34" t="n">
        <v>0.0002726</v>
      </c>
      <c r="P1623" s="34">
        <f>IF($J1623=1,LN(1+O1623),"")</f>
        <v/>
      </c>
      <c r="Q1623" s="34">
        <f>IF($J1623=1,LN(R1624/R1623),"")</f>
        <v/>
      </c>
      <c r="R1623" s="32" t="n">
        <v>2.0261</v>
      </c>
      <c r="S1623" s="35" t="n">
        <v>7.229</v>
      </c>
      <c r="T1623" s="18" t="n"/>
      <c r="U1623" s="18" t="n"/>
      <c r="V1623" s="18" t="n">
        <v>57836</v>
      </c>
      <c r="W1623" s="18" t="n"/>
      <c r="X1623" s="35" t="n"/>
      <c r="Y1623" s="35" t="n">
        <v>7.229</v>
      </c>
    </row>
    <row r="1624">
      <c r="A1624" s="25" t="n">
        <v>41208</v>
      </c>
      <c r="B1624" s="18" t="n">
        <v>57277</v>
      </c>
      <c r="C1624" s="31" t="n"/>
      <c r="D1624" s="32" t="n"/>
      <c r="E1624" s="33" t="n">
        <v>-2.3259</v>
      </c>
      <c r="F1624" t="inlineStr">
        <is>
          <t>Down</t>
        </is>
      </c>
      <c r="G1624" t="inlineStr">
        <is>
          <t>Down</t>
        </is>
      </c>
      <c r="H1624" t="inlineStr">
        <is>
          <t>ED_JD</t>
        </is>
      </c>
      <c r="I1624" t="inlineStr">
        <is>
          <t>2012-10</t>
        </is>
      </c>
      <c r="J1624" t="n">
        <v>1</v>
      </c>
      <c r="K1624" t="n">
        <v>1</v>
      </c>
      <c r="L1624" s="34">
        <f>IF($J1624=1,LN(B1625/B1624),"")</f>
        <v/>
      </c>
      <c r="M1624" s="34">
        <f>IF($K1624=1,INDEX(Mensal!$D$2:$D$245,MATCH($I1624,Mensal!$A$2:$A$245,0)),"")</f>
        <v/>
      </c>
      <c r="N1624" s="34">
        <f>IF($K1624=1,L1624-M1624,"")</f>
        <v/>
      </c>
      <c r="O1624" s="34" t="n">
        <v>0.00027186</v>
      </c>
      <c r="P1624" s="34">
        <f>IF($J1624=1,LN(1+O1624),"")</f>
        <v/>
      </c>
      <c r="Q1624" s="34">
        <f>IF($J1624=1,LN(R1625/R1624),"")</f>
        <v/>
      </c>
      <c r="R1624" s="32" t="n">
        <v>2.0263</v>
      </c>
      <c r="S1624" s="35" t="n">
        <v>7.219</v>
      </c>
      <c r="T1624" s="18" t="n"/>
      <c r="U1624" s="18" t="n"/>
      <c r="V1624" s="18" t="n">
        <v>57277</v>
      </c>
      <c r="W1624" s="18" t="n"/>
      <c r="X1624" s="35" t="n"/>
      <c r="Y1624" s="35" t="n">
        <v>7.219</v>
      </c>
    </row>
    <row r="1625">
      <c r="A1625" s="25" t="n">
        <v>41211</v>
      </c>
      <c r="B1625" s="18" t="n">
        <v>57176</v>
      </c>
      <c r="C1625" s="31" t="n"/>
      <c r="D1625" s="32" t="n"/>
      <c r="E1625" s="33" t="n">
        <v>-2.2949</v>
      </c>
      <c r="F1625" t="inlineStr">
        <is>
          <t>Down</t>
        </is>
      </c>
      <c r="G1625" t="inlineStr">
        <is>
          <t>Down</t>
        </is>
      </c>
      <c r="H1625" t="inlineStr">
        <is>
          <t>ED_JD</t>
        </is>
      </c>
      <c r="I1625" t="inlineStr">
        <is>
          <t>2012-10</t>
        </is>
      </c>
      <c r="J1625" t="n">
        <v>1</v>
      </c>
      <c r="K1625" t="n">
        <v>1</v>
      </c>
      <c r="L1625" s="34">
        <f>IF($J1625=1,LN(B1626/B1625),"")</f>
        <v/>
      </c>
      <c r="M1625" s="34">
        <f>IF($K1625=1,INDEX(Mensal!$D$2:$D$245,MATCH($I1625,Mensal!$A$2:$A$245,0)),"")</f>
        <v/>
      </c>
      <c r="N1625" s="34">
        <f>IF($K1625=1,L1625-M1625,"")</f>
        <v/>
      </c>
      <c r="O1625" s="34" t="n">
        <v>0.00027149</v>
      </c>
      <c r="P1625" s="34">
        <f>IF($J1625=1,LN(1+O1625),"")</f>
        <v/>
      </c>
      <c r="Q1625" s="34">
        <f>IF($J1625=1,LN(R1626/R1625),"")</f>
        <v/>
      </c>
      <c r="R1625" s="32" t="n">
        <v>2.0296</v>
      </c>
      <c r="S1625" s="35" t="n">
        <v>7.244</v>
      </c>
      <c r="T1625" s="18" t="n"/>
      <c r="U1625" s="18" t="n"/>
      <c r="V1625" s="18" t="n">
        <v>57176</v>
      </c>
      <c r="W1625" s="18" t="n"/>
      <c r="X1625" s="35" t="n"/>
      <c r="Y1625" s="35" t="n">
        <v>7.244</v>
      </c>
    </row>
    <row r="1626">
      <c r="A1626" s="25" t="n">
        <v>41212</v>
      </c>
      <c r="B1626" s="18" t="n">
        <v>57683</v>
      </c>
      <c r="C1626" s="31" t="n"/>
      <c r="D1626" s="32" t="n"/>
      <c r="E1626" s="33" t="n">
        <v>-2.2558</v>
      </c>
      <c r="F1626" t="inlineStr">
        <is>
          <t>Down</t>
        </is>
      </c>
      <c r="G1626" t="inlineStr">
        <is>
          <t>Down</t>
        </is>
      </c>
      <c r="H1626" t="inlineStr">
        <is>
          <t>ED_JD</t>
        </is>
      </c>
      <c r="I1626" t="inlineStr">
        <is>
          <t>2012-10</t>
        </is>
      </c>
      <c r="J1626" t="n">
        <v>1</v>
      </c>
      <c r="K1626" t="n">
        <v>1</v>
      </c>
      <c r="L1626" s="34">
        <f>IF($J1626=1,LN(B1627/B1626),"")</f>
        <v/>
      </c>
      <c r="M1626" s="34">
        <f>IF($K1626=1,INDEX(Mensal!$D$2:$D$245,MATCH($I1626,Mensal!$A$2:$A$245,0)),"")</f>
        <v/>
      </c>
      <c r="N1626" s="34">
        <f>IF($K1626=1,L1626-M1626,"")</f>
        <v/>
      </c>
      <c r="O1626" s="34" t="n">
        <v>0.00027112</v>
      </c>
      <c r="P1626" s="34">
        <f>IF($J1626=1,LN(1+O1626),"")</f>
        <v/>
      </c>
      <c r="Q1626" s="34">
        <f>IF($J1626=1,LN(R1627/R1626),"")</f>
        <v/>
      </c>
      <c r="R1626" s="32" t="n">
        <v>2.0323</v>
      </c>
      <c r="S1626" s="35" t="n">
        <v>7.247</v>
      </c>
      <c r="T1626" s="18" t="n"/>
      <c r="U1626" s="18" t="n"/>
      <c r="V1626" s="18" t="n">
        <v>57683</v>
      </c>
      <c r="W1626" s="18" t="n"/>
      <c r="X1626" s="35" t="n"/>
      <c r="Y1626" s="35" t="n">
        <v>7.247</v>
      </c>
    </row>
    <row r="1627">
      <c r="A1627" s="25" t="n">
        <v>41213</v>
      </c>
      <c r="B1627" s="18" t="n">
        <v>57068</v>
      </c>
      <c r="C1627" s="31" t="n"/>
      <c r="D1627" s="32" t="n"/>
      <c r="E1627" s="33" t="n">
        <v>-2.209</v>
      </c>
      <c r="F1627" t="inlineStr">
        <is>
          <t>Down</t>
        </is>
      </c>
      <c r="G1627" t="inlineStr">
        <is>
          <t>Down</t>
        </is>
      </c>
      <c r="H1627" t="inlineStr">
        <is>
          <t>ED_JD</t>
        </is>
      </c>
      <c r="I1627" t="inlineStr">
        <is>
          <t>2012-10</t>
        </is>
      </c>
      <c r="J1627" t="n">
        <v>1</v>
      </c>
      <c r="K1627" t="n">
        <v>1</v>
      </c>
      <c r="L1627" s="34">
        <f>IF($J1627=1,LN(B1628/B1627),"")</f>
        <v/>
      </c>
      <c r="M1627" s="34">
        <f>IF($K1627=1,INDEX(Mensal!$D$2:$D$245,MATCH($I1627,Mensal!$A$2:$A$245,0)),"")</f>
        <v/>
      </c>
      <c r="N1627" s="34">
        <f>IF($K1627=1,L1627-M1627,"")</f>
        <v/>
      </c>
      <c r="O1627" s="34" t="n">
        <v>0.00027186</v>
      </c>
      <c r="P1627" s="34">
        <f>IF($J1627=1,LN(1+O1627),"")</f>
        <v/>
      </c>
      <c r="Q1627" s="34">
        <f>IF($J1627=1,LN(R1628/R1627),"")</f>
        <v/>
      </c>
      <c r="R1627" s="32" t="n">
        <v>2.0313</v>
      </c>
      <c r="S1627" s="35" t="n">
        <v>7.243</v>
      </c>
      <c r="T1627" s="18" t="n"/>
      <c r="U1627" s="18" t="n"/>
      <c r="V1627" s="18" t="n">
        <v>57068</v>
      </c>
      <c r="W1627" s="18" t="n"/>
      <c r="X1627" s="35" t="n"/>
      <c r="Y1627" s="35" t="n">
        <v>7.243</v>
      </c>
    </row>
    <row r="1628">
      <c r="A1628" s="25" t="n">
        <v>41214</v>
      </c>
      <c r="B1628" s="18" t="n">
        <v>58382</v>
      </c>
      <c r="C1628" s="31" t="n"/>
      <c r="D1628" s="32" t="n"/>
      <c r="E1628" s="33" t="n">
        <v>-2.157</v>
      </c>
      <c r="F1628" t="inlineStr">
        <is>
          <t>Down</t>
        </is>
      </c>
      <c r="G1628" t="inlineStr">
        <is>
          <t>Down</t>
        </is>
      </c>
      <c r="H1628" t="inlineStr">
        <is>
          <t>ED_JD</t>
        </is>
      </c>
      <c r="I1628" t="inlineStr">
        <is>
          <t>2012-11</t>
        </is>
      </c>
      <c r="J1628" t="n">
        <v>1</v>
      </c>
      <c r="K1628" t="n">
        <v>1</v>
      </c>
      <c r="L1628" s="34">
        <f>IF($J1628=1,LN(B1629/B1628),"")</f>
        <v/>
      </c>
      <c r="M1628" s="34">
        <f>IF($K1628=1,INDEX(Mensal!$D$2:$D$245,MATCH($I1628,Mensal!$A$2:$A$245,0)),"")</f>
        <v/>
      </c>
      <c r="N1628" s="34">
        <f>IF($K1628=1,L1628-M1628,"")</f>
        <v/>
      </c>
      <c r="O1628" s="34" t="n">
        <v>0.0002726</v>
      </c>
      <c r="P1628" s="34">
        <f>IF($J1628=1,LN(1+O1628),"")</f>
        <v/>
      </c>
      <c r="Q1628" s="34">
        <f>IF($J1628=1,LN(R1629/R1628),"")</f>
        <v/>
      </c>
      <c r="R1628" s="32" t="n">
        <v>2.0312</v>
      </c>
      <c r="S1628" s="35" t="n">
        <v>7.236</v>
      </c>
      <c r="T1628" s="18" t="n"/>
      <c r="U1628" s="18" t="n"/>
      <c r="V1628" s="18" t="n">
        <v>58382</v>
      </c>
      <c r="W1628" s="18" t="n"/>
      <c r="X1628" s="35" t="n"/>
      <c r="Y1628" s="35" t="n">
        <v>7.236</v>
      </c>
    </row>
    <row r="1629">
      <c r="A1629" s="25" t="n">
        <v>41218</v>
      </c>
      <c r="B1629" s="18" t="n">
        <v>58209</v>
      </c>
      <c r="C1629" s="31" t="n"/>
      <c r="D1629" s="32" t="n"/>
      <c r="E1629" s="33" t="n">
        <v>-2.1102</v>
      </c>
      <c r="F1629" t="inlineStr">
        <is>
          <t>Down</t>
        </is>
      </c>
      <c r="G1629" t="inlineStr">
        <is>
          <t>Down</t>
        </is>
      </c>
      <c r="H1629" t="inlineStr">
        <is>
          <t>ED_JD</t>
        </is>
      </c>
      <c r="I1629" t="inlineStr">
        <is>
          <t>2012-11</t>
        </is>
      </c>
      <c r="J1629" t="n">
        <v>1</v>
      </c>
      <c r="K1629" t="n">
        <v>1</v>
      </c>
      <c r="L1629" s="34">
        <f>IF($J1629=1,LN(B1630/B1629),"")</f>
        <v/>
      </c>
      <c r="M1629" s="34">
        <f>IF($K1629=1,INDEX(Mensal!$D$2:$D$245,MATCH($I1629,Mensal!$A$2:$A$245,0)),"")</f>
        <v/>
      </c>
      <c r="N1629" s="34">
        <f>IF($K1629=1,L1629-M1629,"")</f>
        <v/>
      </c>
      <c r="O1629" s="34" t="n">
        <v>0.00027297</v>
      </c>
      <c r="P1629" s="34">
        <f>IF($J1629=1,LN(1+O1629),"")</f>
        <v/>
      </c>
      <c r="Q1629" s="34">
        <f>IF($J1629=1,LN(R1630/R1629),"")</f>
        <v/>
      </c>
      <c r="R1629" s="32" t="n">
        <v>2.035</v>
      </c>
      <c r="S1629" s="35" t="n">
        <v>7.23</v>
      </c>
      <c r="T1629" s="18" t="n"/>
      <c r="U1629" s="18" t="n"/>
      <c r="V1629" s="18" t="n">
        <v>58209</v>
      </c>
      <c r="W1629" s="18" t="n"/>
      <c r="X1629" s="35" t="n"/>
      <c r="Y1629" s="35" t="n">
        <v>7.23</v>
      </c>
    </row>
    <row r="1630">
      <c r="A1630" s="25" t="n">
        <v>41219</v>
      </c>
      <c r="B1630" s="18" t="n">
        <v>59458</v>
      </c>
      <c r="C1630" s="31" t="n"/>
      <c r="D1630" s="32" t="n"/>
      <c r="E1630" s="33" t="n">
        <v>-2.0597</v>
      </c>
      <c r="F1630" t="inlineStr">
        <is>
          <t>Down</t>
        </is>
      </c>
      <c r="G1630" t="inlineStr">
        <is>
          <t>Down</t>
        </is>
      </c>
      <c r="H1630" t="inlineStr">
        <is>
          <t>ED_JD</t>
        </is>
      </c>
      <c r="I1630" t="inlineStr">
        <is>
          <t>2012-11</t>
        </is>
      </c>
      <c r="J1630" t="n">
        <v>1</v>
      </c>
      <c r="K1630" t="n">
        <v>1</v>
      </c>
      <c r="L1630" s="34">
        <f>IF($J1630=1,LN(B1631/B1630),"")</f>
        <v/>
      </c>
      <c r="M1630" s="34">
        <f>IF($K1630=1,INDEX(Mensal!$D$2:$D$245,MATCH($I1630,Mensal!$A$2:$A$245,0)),"")</f>
        <v/>
      </c>
      <c r="N1630" s="34">
        <f>IF($K1630=1,L1630-M1630,"")</f>
        <v/>
      </c>
      <c r="O1630" s="34" t="n">
        <v>0.00027297</v>
      </c>
      <c r="P1630" s="34">
        <f>IF($J1630=1,LN(1+O1630),"")</f>
        <v/>
      </c>
      <c r="Q1630" s="34">
        <f>IF($J1630=1,LN(R1631/R1630),"")</f>
        <v/>
      </c>
      <c r="R1630" s="32" t="n">
        <v>2.0341</v>
      </c>
      <c r="S1630" s="35" t="n">
        <v>7.237</v>
      </c>
      <c r="T1630" s="18" t="n"/>
      <c r="U1630" s="18" t="n"/>
      <c r="V1630" s="18" t="n">
        <v>59458</v>
      </c>
      <c r="W1630" s="18" t="n"/>
      <c r="X1630" s="35" t="n"/>
      <c r="Y1630" s="35" t="n">
        <v>7.237</v>
      </c>
    </row>
    <row r="1631">
      <c r="A1631" s="25" t="n">
        <v>41220</v>
      </c>
      <c r="B1631" s="18" t="n">
        <v>58517</v>
      </c>
      <c r="C1631" s="31" t="n"/>
      <c r="D1631" s="32" t="n"/>
      <c r="E1631" s="33" t="n">
        <v>-2.0099</v>
      </c>
      <c r="F1631" t="inlineStr">
        <is>
          <t>Down</t>
        </is>
      </c>
      <c r="G1631" t="inlineStr">
        <is>
          <t>Down</t>
        </is>
      </c>
      <c r="H1631" t="inlineStr">
        <is>
          <t>ED_JD</t>
        </is>
      </c>
      <c r="I1631" t="inlineStr">
        <is>
          <t>2012-11</t>
        </is>
      </c>
      <c r="J1631" t="n">
        <v>1</v>
      </c>
      <c r="K1631" t="n">
        <v>1</v>
      </c>
      <c r="L1631" s="34">
        <f>IF($J1631=1,LN(B1632/B1631),"")</f>
        <v/>
      </c>
      <c r="M1631" s="34">
        <f>IF($K1631=1,INDEX(Mensal!$D$2:$D$245,MATCH($I1631,Mensal!$A$2:$A$245,0)),"")</f>
        <v/>
      </c>
      <c r="N1631" s="34">
        <f>IF($K1631=1,L1631-M1631,"")</f>
        <v/>
      </c>
      <c r="O1631" s="34" t="n">
        <v>0.00027334</v>
      </c>
      <c r="P1631" s="34">
        <f>IF($J1631=1,LN(1+O1631),"")</f>
        <v/>
      </c>
      <c r="Q1631" s="34">
        <f>IF($J1631=1,LN(R1632/R1631),"")</f>
        <v/>
      </c>
      <c r="R1631" s="32" t="n">
        <v>2.033</v>
      </c>
      <c r="S1631" s="35" t="n">
        <v>7.245</v>
      </c>
      <c r="T1631" s="18" t="n"/>
      <c r="U1631" s="18" t="n"/>
      <c r="V1631" s="18" t="n">
        <v>58517</v>
      </c>
      <c r="W1631" s="18" t="n"/>
      <c r="X1631" s="35" t="n"/>
      <c r="Y1631" s="35" t="n">
        <v>7.245</v>
      </c>
    </row>
    <row r="1632">
      <c r="A1632" s="25" t="n">
        <v>41221</v>
      </c>
      <c r="B1632" s="18" t="n">
        <v>57524</v>
      </c>
      <c r="C1632" s="31" t="n"/>
      <c r="D1632" s="32" t="n"/>
      <c r="E1632" s="33" t="n">
        <v>-1.9573</v>
      </c>
      <c r="F1632" t="inlineStr">
        <is>
          <t>Down</t>
        </is>
      </c>
      <c r="G1632" t="inlineStr">
        <is>
          <t>Down</t>
        </is>
      </c>
      <c r="H1632" t="inlineStr">
        <is>
          <t>ED_JD</t>
        </is>
      </c>
      <c r="I1632" t="inlineStr">
        <is>
          <t>2012-11</t>
        </is>
      </c>
      <c r="J1632" t="n">
        <v>1</v>
      </c>
      <c r="K1632" t="n">
        <v>1</v>
      </c>
      <c r="L1632" s="34">
        <f>IF($J1632=1,LN(B1633/B1632),"")</f>
        <v/>
      </c>
      <c r="M1632" s="34">
        <f>IF($K1632=1,INDEX(Mensal!$D$2:$D$245,MATCH($I1632,Mensal!$A$2:$A$245,0)),"")</f>
        <v/>
      </c>
      <c r="N1632" s="34">
        <f>IF($K1632=1,L1632-M1632,"")</f>
        <v/>
      </c>
      <c r="O1632" s="34" t="n">
        <v>0.00027186</v>
      </c>
      <c r="P1632" s="34">
        <f>IF($J1632=1,LN(1+O1632),"")</f>
        <v/>
      </c>
      <c r="Q1632" s="34">
        <f>IF($J1632=1,LN(R1633/R1632),"")</f>
        <v/>
      </c>
      <c r="R1632" s="32" t="n">
        <v>2.0357</v>
      </c>
      <c r="S1632" s="35" t="n">
        <v>7.255</v>
      </c>
      <c r="T1632" s="18" t="n"/>
      <c r="U1632" s="18" t="n"/>
      <c r="V1632" s="18" t="n">
        <v>57524</v>
      </c>
      <c r="W1632" s="18" t="n"/>
      <c r="X1632" s="35" t="n"/>
      <c r="Y1632" s="35" t="n">
        <v>7.255</v>
      </c>
    </row>
    <row r="1633">
      <c r="A1633" s="25" t="n">
        <v>41222</v>
      </c>
      <c r="B1633" s="18" t="n">
        <v>57357</v>
      </c>
      <c r="C1633" s="31" t="n"/>
      <c r="D1633" s="32" t="n"/>
      <c r="E1633" s="33" t="n">
        <v>-1.9088</v>
      </c>
      <c r="F1633" t="inlineStr">
        <is>
          <t>Down</t>
        </is>
      </c>
      <c r="G1633" t="inlineStr">
        <is>
          <t>Down</t>
        </is>
      </c>
      <c r="H1633" t="inlineStr">
        <is>
          <t>ED_JD</t>
        </is>
      </c>
      <c r="I1633" t="inlineStr">
        <is>
          <t>2012-11</t>
        </is>
      </c>
      <c r="J1633" t="n">
        <v>1</v>
      </c>
      <c r="K1633" t="n">
        <v>1</v>
      </c>
      <c r="L1633" s="34">
        <f>IF($J1633=1,LN(B1634/B1633),"")</f>
        <v/>
      </c>
      <c r="M1633" s="34">
        <f>IF($K1633=1,INDEX(Mensal!$D$2:$D$245,MATCH($I1633,Mensal!$A$2:$A$245,0)),"")</f>
        <v/>
      </c>
      <c r="N1633" s="34">
        <f>IF($K1633=1,L1633-M1633,"")</f>
        <v/>
      </c>
      <c r="O1633" s="34" t="n">
        <v>0.00027186</v>
      </c>
      <c r="P1633" s="34">
        <f>IF($J1633=1,LN(1+O1633),"")</f>
        <v/>
      </c>
      <c r="Q1633" s="34">
        <f>IF($J1633=1,LN(R1634/R1633),"")</f>
        <v/>
      </c>
      <c r="R1633" s="32" t="n">
        <v>2.0512</v>
      </c>
      <c r="S1633" s="35" t="n">
        <v>7.26</v>
      </c>
      <c r="T1633" s="18" t="n"/>
      <c r="U1633" s="18" t="n"/>
      <c r="V1633" s="18" t="n">
        <v>57357</v>
      </c>
      <c r="W1633" s="18" t="n"/>
      <c r="X1633" s="35" t="n"/>
      <c r="Y1633" s="35" t="n">
        <v>7.26</v>
      </c>
    </row>
    <row r="1634">
      <c r="A1634" s="25" t="n">
        <v>41225</v>
      </c>
      <c r="B1634" s="18" t="n">
        <v>57064</v>
      </c>
      <c r="C1634" s="31" t="n"/>
      <c r="D1634" s="32" t="n"/>
      <c r="E1634" s="33" t="n">
        <v>-1.8556</v>
      </c>
      <c r="F1634" t="inlineStr">
        <is>
          <t>Down</t>
        </is>
      </c>
      <c r="G1634" t="inlineStr">
        <is>
          <t>Down</t>
        </is>
      </c>
      <c r="H1634" t="inlineStr">
        <is>
          <t>ED_JD</t>
        </is>
      </c>
      <c r="I1634" t="inlineStr">
        <is>
          <t>2012-11</t>
        </is>
      </c>
      <c r="J1634" t="n">
        <v>1</v>
      </c>
      <c r="K1634" t="n">
        <v>1</v>
      </c>
      <c r="L1634" s="34">
        <f>IF($J1634=1,LN(B1635/B1634),"")</f>
        <v/>
      </c>
      <c r="M1634" s="34">
        <f>IF($K1634=1,INDEX(Mensal!$D$2:$D$245,MATCH($I1634,Mensal!$A$2:$A$245,0)),"")</f>
        <v/>
      </c>
      <c r="N1634" s="34">
        <f>IF($K1634=1,L1634-M1634,"")</f>
        <v/>
      </c>
      <c r="O1634" s="34" t="n">
        <v>0.00027112</v>
      </c>
      <c r="P1634" s="34">
        <f>IF($J1634=1,LN(1+O1634),"")</f>
        <v/>
      </c>
      <c r="Q1634" s="34">
        <f>IF($J1634=1,LN(R1635/R1634),"")</f>
        <v/>
      </c>
      <c r="R1634" s="32" t="n">
        <v>2.0476</v>
      </c>
      <c r="S1634" s="35" t="n">
        <v>7.277</v>
      </c>
      <c r="T1634" s="18" t="n"/>
      <c r="U1634" s="18" t="n"/>
      <c r="V1634" s="18" t="n">
        <v>57064</v>
      </c>
      <c r="W1634" s="18" t="n"/>
      <c r="X1634" s="35" t="n"/>
      <c r="Y1634" s="35" t="n">
        <v>7.277</v>
      </c>
    </row>
    <row r="1635">
      <c r="A1635" s="25" t="n">
        <v>41226</v>
      </c>
      <c r="B1635" s="18" t="n">
        <v>57486</v>
      </c>
      <c r="C1635" s="31" t="n"/>
      <c r="D1635" s="32" t="n"/>
      <c r="E1635" s="33" t="n">
        <v>-1.798</v>
      </c>
      <c r="F1635" t="inlineStr">
        <is>
          <t>Down</t>
        </is>
      </c>
      <c r="G1635" t="inlineStr">
        <is>
          <t>Down</t>
        </is>
      </c>
      <c r="H1635" t="inlineStr">
        <is>
          <t>ED_JD</t>
        </is>
      </c>
      <c r="I1635" t="inlineStr">
        <is>
          <t>2012-11</t>
        </is>
      </c>
      <c r="J1635" t="n">
        <v>1</v>
      </c>
      <c r="K1635" t="n">
        <v>1</v>
      </c>
      <c r="L1635" s="34">
        <f>IF($J1635=1,LN(B1636/B1635),"")</f>
        <v/>
      </c>
      <c r="M1635" s="34">
        <f>IF($K1635=1,INDEX(Mensal!$D$2:$D$245,MATCH($I1635,Mensal!$A$2:$A$245,0)),"")</f>
        <v/>
      </c>
      <c r="N1635" s="34">
        <f>IF($K1635=1,L1635-M1635,"")</f>
        <v/>
      </c>
      <c r="O1635" s="34" t="n">
        <v>0.00027075</v>
      </c>
      <c r="P1635" s="34">
        <f>IF($J1635=1,LN(1+O1635),"")</f>
        <v/>
      </c>
      <c r="Q1635" s="34">
        <f>IF($J1635=1,LN(R1636/R1635),"")</f>
        <v/>
      </c>
      <c r="R1635" s="32" t="n">
        <v>2.0614</v>
      </c>
      <c r="S1635" s="35" t="n">
        <v>7.3</v>
      </c>
      <c r="T1635" s="18" t="n"/>
      <c r="U1635" s="18" t="n"/>
      <c r="V1635" s="18" t="n">
        <v>57486</v>
      </c>
      <c r="W1635" s="18" t="n"/>
      <c r="X1635" s="35" t="n"/>
      <c r="Y1635" s="35" t="n">
        <v>7.3</v>
      </c>
    </row>
    <row r="1636">
      <c r="A1636" s="25" t="n">
        <v>41227</v>
      </c>
      <c r="B1636" s="18" t="n">
        <v>56279</v>
      </c>
      <c r="C1636" s="31" t="n"/>
      <c r="D1636" s="32" t="n"/>
      <c r="E1636" s="33" t="n">
        <v>-1.7437</v>
      </c>
      <c r="F1636" t="inlineStr">
        <is>
          <t>Down</t>
        </is>
      </c>
      <c r="G1636" t="inlineStr">
        <is>
          <t>Down</t>
        </is>
      </c>
      <c r="H1636" t="inlineStr">
        <is>
          <t>ED_JD</t>
        </is>
      </c>
      <c r="I1636" t="inlineStr">
        <is>
          <t>2012-11</t>
        </is>
      </c>
      <c r="J1636" t="n">
        <v>1</v>
      </c>
      <c r="K1636" t="n">
        <v>1</v>
      </c>
      <c r="L1636" s="34">
        <f>IF($J1636=1,LN(B1637/B1636),"")</f>
        <v/>
      </c>
      <c r="M1636" s="34">
        <f>IF($K1636=1,INDEX(Mensal!$D$2:$D$245,MATCH($I1636,Mensal!$A$2:$A$245,0)),"")</f>
        <v/>
      </c>
      <c r="N1636" s="34">
        <f>IF($K1636=1,L1636-M1636,"")</f>
        <v/>
      </c>
      <c r="O1636" s="34" t="n">
        <v>0.00027075</v>
      </c>
      <c r="P1636" s="34">
        <f>IF($J1636=1,LN(1+O1636),"")</f>
        <v/>
      </c>
      <c r="Q1636" s="34">
        <f>IF($J1636=1,LN(R1637/R1636),"")</f>
        <v/>
      </c>
      <c r="R1636" s="32" t="n">
        <v>2.0629</v>
      </c>
      <c r="S1636" s="35" t="n">
        <v>7.328</v>
      </c>
      <c r="T1636" s="18" t="n"/>
      <c r="U1636" s="18" t="n"/>
      <c r="V1636" s="18" t="n">
        <v>56279</v>
      </c>
      <c r="W1636" s="18" t="n"/>
      <c r="X1636" s="35" t="n"/>
      <c r="Y1636" s="35" t="n">
        <v>7.328</v>
      </c>
    </row>
    <row r="1637">
      <c r="A1637" s="25" t="n">
        <v>41229</v>
      </c>
      <c r="B1637" s="18" t="n">
        <v>55402</v>
      </c>
      <c r="C1637" s="31" t="n"/>
      <c r="D1637" s="32" t="n"/>
      <c r="E1637" s="33" t="n">
        <v>-1.6908</v>
      </c>
      <c r="F1637" t="inlineStr">
        <is>
          <t>Down</t>
        </is>
      </c>
      <c r="G1637" t="inlineStr">
        <is>
          <t>Down</t>
        </is>
      </c>
      <c r="H1637" t="inlineStr">
        <is>
          <t>ED_JD</t>
        </is>
      </c>
      <c r="I1637" t="inlineStr">
        <is>
          <t>2012-11</t>
        </is>
      </c>
      <c r="J1637" t="n">
        <v>1</v>
      </c>
      <c r="K1637" t="n">
        <v>1</v>
      </c>
      <c r="L1637" s="34">
        <f>IF($J1637=1,LN(B1638/B1637),"")</f>
        <v/>
      </c>
      <c r="M1637" s="34">
        <f>IF($K1637=1,INDEX(Mensal!$D$2:$D$245,MATCH($I1637,Mensal!$A$2:$A$245,0)),"")</f>
        <v/>
      </c>
      <c r="N1637" s="34">
        <f>IF($K1637=1,L1637-M1637,"")</f>
        <v/>
      </c>
      <c r="O1637" s="34" t="n">
        <v>0.00027038</v>
      </c>
      <c r="P1637" s="34">
        <f>IF($J1637=1,LN(1+O1637),"")</f>
        <v/>
      </c>
      <c r="Q1637" s="34">
        <f>IF($J1637=1,LN(R1638/R1637),"")</f>
        <v/>
      </c>
      <c r="R1637" s="32" t="n">
        <v>2.0712</v>
      </c>
      <c r="S1637" s="35" t="n">
        <v>7.298</v>
      </c>
      <c r="T1637" s="18" t="n"/>
      <c r="U1637" s="18" t="n"/>
      <c r="V1637" s="18" t="n">
        <v>55402</v>
      </c>
      <c r="W1637" s="18" t="n"/>
      <c r="X1637" s="35" t="n"/>
      <c r="Y1637" s="35" t="n">
        <v>7.298</v>
      </c>
    </row>
    <row r="1638">
      <c r="A1638" s="25" t="n">
        <v>41232</v>
      </c>
      <c r="B1638" s="18" t="n">
        <v>56450</v>
      </c>
      <c r="C1638" s="31" t="n"/>
      <c r="D1638" s="32" t="n"/>
      <c r="E1638" s="33" t="n">
        <v>-1.6227</v>
      </c>
      <c r="F1638" t="inlineStr">
        <is>
          <t>Down</t>
        </is>
      </c>
      <c r="G1638" t="inlineStr">
        <is>
          <t>Down</t>
        </is>
      </c>
      <c r="H1638" t="inlineStr">
        <is>
          <t>ED_JD</t>
        </is>
      </c>
      <c r="I1638" t="inlineStr">
        <is>
          <t>2012-11</t>
        </is>
      </c>
      <c r="J1638" t="n">
        <v>1</v>
      </c>
      <c r="K1638" t="n">
        <v>1</v>
      </c>
      <c r="L1638" s="34">
        <f>IF($J1638=1,LN(B1639/B1638),"")</f>
        <v/>
      </c>
      <c r="M1638" s="34">
        <f>IF($K1638=1,INDEX(Mensal!$D$2:$D$245,MATCH($I1638,Mensal!$A$2:$A$245,0)),"")</f>
        <v/>
      </c>
      <c r="N1638" s="34">
        <f>IF($K1638=1,L1638-M1638,"")</f>
        <v/>
      </c>
      <c r="O1638" s="34" t="n">
        <v>0.00026964</v>
      </c>
      <c r="P1638" s="34">
        <f>IF($J1638=1,LN(1+O1638),"")</f>
        <v/>
      </c>
      <c r="Q1638" s="34">
        <f>IF($J1638=1,LN(R1639/R1638),"")</f>
        <v/>
      </c>
      <c r="R1638" s="32" t="n">
        <v>2.0745</v>
      </c>
      <c r="S1638" s="35" t="n">
        <v>7.275</v>
      </c>
      <c r="T1638" s="18" t="n"/>
      <c r="U1638" s="18" t="n"/>
      <c r="V1638" s="18" t="n">
        <v>56450</v>
      </c>
      <c r="W1638" s="18" t="n"/>
      <c r="X1638" s="35" t="n"/>
      <c r="Y1638" s="35" t="n">
        <v>7.275</v>
      </c>
    </row>
    <row r="1639">
      <c r="A1639" s="25" t="n">
        <v>41234</v>
      </c>
      <c r="B1639" s="18" t="n">
        <v>56242</v>
      </c>
      <c r="C1639" s="31" t="n"/>
      <c r="D1639" s="32" t="n"/>
      <c r="E1639" s="33" t="n">
        <v>-1.5506</v>
      </c>
      <c r="F1639" t="inlineStr">
        <is>
          <t>Down</t>
        </is>
      </c>
      <c r="G1639" t="inlineStr">
        <is>
          <t>Down</t>
        </is>
      </c>
      <c r="H1639" t="inlineStr">
        <is>
          <t>ED_JD</t>
        </is>
      </c>
      <c r="I1639" t="inlineStr">
        <is>
          <t>2012-11</t>
        </is>
      </c>
      <c r="J1639" t="n">
        <v>1</v>
      </c>
      <c r="K1639" t="n">
        <v>1</v>
      </c>
      <c r="L1639" s="34">
        <f>IF($J1639=1,LN(B1640/B1639),"")</f>
        <v/>
      </c>
      <c r="M1639" s="34">
        <f>IF($K1639=1,INDEX(Mensal!$D$2:$D$245,MATCH($I1639,Mensal!$A$2:$A$245,0)),"")</f>
        <v/>
      </c>
      <c r="N1639" s="34">
        <f>IF($K1639=1,L1639-M1639,"")</f>
        <v/>
      </c>
      <c r="O1639" s="34" t="n">
        <v>0.00026815</v>
      </c>
      <c r="P1639" s="34">
        <f>IF($J1639=1,LN(1+O1639),"")</f>
        <v/>
      </c>
      <c r="Q1639" s="34">
        <f>IF($J1639=1,LN(R1640/R1639),"")</f>
        <v/>
      </c>
      <c r="R1639" s="32" t="n">
        <v>2.0924</v>
      </c>
      <c r="S1639" s="35" t="n">
        <v>7.284</v>
      </c>
      <c r="T1639" s="18" t="n"/>
      <c r="U1639" s="18" t="n"/>
      <c r="V1639" s="18" t="n">
        <v>56242</v>
      </c>
      <c r="W1639" s="18" t="n"/>
      <c r="X1639" s="35" t="n"/>
      <c r="Y1639" s="35" t="n">
        <v>7.284</v>
      </c>
    </row>
    <row r="1640">
      <c r="A1640" s="25" t="n">
        <v>41235</v>
      </c>
      <c r="B1640" s="18" t="n">
        <v>56436</v>
      </c>
      <c r="C1640" s="31" t="n"/>
      <c r="D1640" s="32" t="n"/>
      <c r="E1640" s="33" t="n">
        <v>-1.4816</v>
      </c>
      <c r="F1640" t="inlineStr">
        <is>
          <t>Down</t>
        </is>
      </c>
      <c r="G1640" t="inlineStr">
        <is>
          <t>Down</t>
        </is>
      </c>
      <c r="H1640" t="inlineStr">
        <is>
          <t>ED_JD</t>
        </is>
      </c>
      <c r="I1640" t="inlineStr">
        <is>
          <t>2012-11</t>
        </is>
      </c>
      <c r="J1640" t="n">
        <v>1</v>
      </c>
      <c r="K1640" t="n">
        <v>1</v>
      </c>
      <c r="L1640" s="34">
        <f>IF($J1640=1,LN(B1641/B1640),"")</f>
        <v/>
      </c>
      <c r="M1640" s="34">
        <f>IF($K1640=1,INDEX(Mensal!$D$2:$D$245,MATCH($I1640,Mensal!$A$2:$A$245,0)),"")</f>
        <v/>
      </c>
      <c r="N1640" s="34">
        <f>IF($K1640=1,L1640-M1640,"")</f>
        <v/>
      </c>
      <c r="O1640" s="34" t="n">
        <v>0.00027186</v>
      </c>
      <c r="P1640" s="34">
        <f>IF($J1640=1,LN(1+O1640),"")</f>
        <v/>
      </c>
      <c r="Q1640" s="34">
        <f>IF($J1640=1,LN(R1641/R1640),"")</f>
        <v/>
      </c>
      <c r="R1640" s="32" t="n">
        <v>2.0912</v>
      </c>
      <c r="S1640" s="35" t="n">
        <v>7.274</v>
      </c>
      <c r="T1640" s="18" t="n"/>
      <c r="U1640" s="18" t="n"/>
      <c r="V1640" s="18" t="n">
        <v>56436</v>
      </c>
      <c r="W1640" s="18" t="n"/>
      <c r="X1640" s="35" t="n"/>
      <c r="Y1640" s="35" t="n">
        <v>7.274</v>
      </c>
    </row>
    <row r="1641">
      <c r="A1641" s="25" t="n">
        <v>41236</v>
      </c>
      <c r="B1641" s="18" t="n">
        <v>57574</v>
      </c>
      <c r="C1641" s="31" t="n"/>
      <c r="D1641" s="32" t="n"/>
      <c r="E1641" s="33" t="n">
        <v>-1.4115</v>
      </c>
      <c r="F1641" t="inlineStr">
        <is>
          <t>Down</t>
        </is>
      </c>
      <c r="G1641" t="inlineStr">
        <is>
          <t>Down</t>
        </is>
      </c>
      <c r="H1641" t="inlineStr">
        <is>
          <t>ED_JD</t>
        </is>
      </c>
      <c r="I1641" t="inlineStr">
        <is>
          <t>2012-11</t>
        </is>
      </c>
      <c r="J1641" t="n">
        <v>1</v>
      </c>
      <c r="K1641" t="n">
        <v>1</v>
      </c>
      <c r="L1641" s="34">
        <f>IF($J1641=1,LN(B1642/B1641),"")</f>
        <v/>
      </c>
      <c r="M1641" s="34">
        <f>IF($K1641=1,INDEX(Mensal!$D$2:$D$245,MATCH($I1641,Mensal!$A$2:$A$245,0)),"")</f>
        <v/>
      </c>
      <c r="N1641" s="34">
        <f>IF($K1641=1,L1641-M1641,"")</f>
        <v/>
      </c>
      <c r="O1641" s="34" t="n">
        <v>0.00027297</v>
      </c>
      <c r="P1641" s="34">
        <f>IF($J1641=1,LN(1+O1641),"")</f>
        <v/>
      </c>
      <c r="Q1641" s="34">
        <f>IF($J1641=1,LN(R1642/R1641),"")</f>
        <v/>
      </c>
      <c r="R1641" s="32" t="n">
        <v>2.0985</v>
      </c>
      <c r="S1641" s="35" t="n">
        <v>7.263</v>
      </c>
      <c r="T1641" s="18" t="n"/>
      <c r="U1641" s="18" t="n"/>
      <c r="V1641" s="18" t="n">
        <v>57574</v>
      </c>
      <c r="W1641" s="18" t="n"/>
      <c r="X1641" s="35" t="n"/>
      <c r="Y1641" s="35" t="n">
        <v>7.263</v>
      </c>
    </row>
    <row r="1642">
      <c r="A1642" s="25" t="n">
        <v>41239</v>
      </c>
      <c r="B1642" s="18" t="n">
        <v>56737</v>
      </c>
      <c r="C1642" s="31" t="n"/>
      <c r="D1642" s="32" t="n"/>
      <c r="E1642" s="33" t="n">
        <v>-1.343</v>
      </c>
      <c r="F1642" t="inlineStr">
        <is>
          <t>Down</t>
        </is>
      </c>
      <c r="G1642" t="inlineStr">
        <is>
          <t>Down</t>
        </is>
      </c>
      <c r="H1642" t="inlineStr">
        <is>
          <t>ED_JD</t>
        </is>
      </c>
      <c r="I1642" t="inlineStr">
        <is>
          <t>2012-11</t>
        </is>
      </c>
      <c r="J1642" t="n">
        <v>1</v>
      </c>
      <c r="K1642" t="n">
        <v>1</v>
      </c>
      <c r="L1642" s="34">
        <f>IF($J1642=1,LN(B1643/B1642),"")</f>
        <v/>
      </c>
      <c r="M1642" s="34">
        <f>IF($K1642=1,INDEX(Mensal!$D$2:$D$245,MATCH($I1642,Mensal!$A$2:$A$245,0)),"")</f>
        <v/>
      </c>
      <c r="N1642" s="34">
        <f>IF($K1642=1,L1642-M1642,"")</f>
        <v/>
      </c>
      <c r="O1642" s="34" t="n">
        <v>0.00027334</v>
      </c>
      <c r="P1642" s="34">
        <f>IF($J1642=1,LN(1+O1642),"")</f>
        <v/>
      </c>
      <c r="Q1642" s="34">
        <f>IF($J1642=1,LN(R1643/R1642),"")</f>
        <v/>
      </c>
      <c r="R1642" s="32" t="n">
        <v>2.0787</v>
      </c>
      <c r="S1642" s="35" t="n">
        <v>7.278</v>
      </c>
      <c r="T1642" s="18" t="n"/>
      <c r="U1642" s="18" t="n"/>
      <c r="V1642" s="18" t="n">
        <v>56737</v>
      </c>
      <c r="W1642" s="18" t="n"/>
      <c r="X1642" s="35" t="n"/>
      <c r="Y1642" s="35" t="n">
        <v>7.278</v>
      </c>
    </row>
    <row r="1643">
      <c r="A1643" s="25" t="n">
        <v>41240</v>
      </c>
      <c r="B1643" s="18" t="n">
        <v>56248</v>
      </c>
      <c r="C1643" s="31" t="n"/>
      <c r="D1643" s="32" t="n"/>
      <c r="E1643" s="33" t="n">
        <v>-1.2721</v>
      </c>
      <c r="F1643" t="inlineStr">
        <is>
          <t>Down</t>
        </is>
      </c>
      <c r="G1643" t="inlineStr">
        <is>
          <t>Down</t>
        </is>
      </c>
      <c r="H1643" t="inlineStr">
        <is>
          <t>ED_JD</t>
        </is>
      </c>
      <c r="I1643" t="inlineStr">
        <is>
          <t>2012-11</t>
        </is>
      </c>
      <c r="J1643" t="n">
        <v>1</v>
      </c>
      <c r="K1643" t="n">
        <v>1</v>
      </c>
      <c r="L1643" s="34">
        <f>IF($J1643=1,LN(B1644/B1643),"")</f>
        <v/>
      </c>
      <c r="M1643" s="34">
        <f>IF($K1643=1,INDEX(Mensal!$D$2:$D$245,MATCH($I1643,Mensal!$A$2:$A$245,0)),"")</f>
        <v/>
      </c>
      <c r="N1643" s="34">
        <f>IF($K1643=1,L1643-M1643,"")</f>
        <v/>
      </c>
      <c r="O1643" s="34" t="n">
        <v>0.00027297</v>
      </c>
      <c r="P1643" s="34">
        <f>IF($J1643=1,LN(1+O1643),"")</f>
        <v/>
      </c>
      <c r="Q1643" s="34">
        <f>IF($J1643=1,LN(R1644/R1643),"")</f>
        <v/>
      </c>
      <c r="R1643" s="32" t="n">
        <v>2.0752</v>
      </c>
      <c r="S1643" s="35" t="n">
        <v>7.24</v>
      </c>
      <c r="T1643" s="18" t="n"/>
      <c r="U1643" s="18" t="n"/>
      <c r="V1643" s="18" t="n">
        <v>56248</v>
      </c>
      <c r="W1643" s="18" t="n"/>
      <c r="X1643" s="35" t="n"/>
      <c r="Y1643" s="35" t="n">
        <v>7.24</v>
      </c>
    </row>
    <row r="1644">
      <c r="A1644" s="25" t="n">
        <v>41241</v>
      </c>
      <c r="B1644" s="18" t="n">
        <v>56539</v>
      </c>
      <c r="C1644" s="31" t="n"/>
      <c r="D1644" s="32" t="n"/>
      <c r="E1644" s="33" t="n">
        <v>-1.2088</v>
      </c>
      <c r="F1644" t="inlineStr">
        <is>
          <t>Down</t>
        </is>
      </c>
      <c r="G1644" t="inlineStr">
        <is>
          <t>Down</t>
        </is>
      </c>
      <c r="H1644" t="inlineStr">
        <is>
          <t>ED_JD</t>
        </is>
      </c>
      <c r="I1644" t="inlineStr">
        <is>
          <t>2012-11</t>
        </is>
      </c>
      <c r="J1644" t="n">
        <v>1</v>
      </c>
      <c r="K1644" t="n">
        <v>1</v>
      </c>
      <c r="L1644" s="34">
        <f>IF($J1644=1,LN(B1645/B1644),"")</f>
        <v/>
      </c>
      <c r="M1644" s="34">
        <f>IF($K1644=1,INDEX(Mensal!$D$2:$D$245,MATCH($I1644,Mensal!$A$2:$A$245,0)),"")</f>
        <v/>
      </c>
      <c r="N1644" s="34">
        <f>IF($K1644=1,L1644-M1644,"")</f>
        <v/>
      </c>
      <c r="O1644" s="34" t="n">
        <v>0.0002726</v>
      </c>
      <c r="P1644" s="34">
        <f>IF($J1644=1,LN(1+O1644),"")</f>
        <v/>
      </c>
      <c r="Q1644" s="34">
        <f>IF($J1644=1,LN(R1645/R1644),"")</f>
        <v/>
      </c>
      <c r="R1644" s="32" t="n">
        <v>2.0912</v>
      </c>
      <c r="S1644" s="35" t="n">
        <v>7.249</v>
      </c>
      <c r="T1644" s="18" t="n"/>
      <c r="U1644" s="18" t="n"/>
      <c r="V1644" s="18" t="n">
        <v>56539</v>
      </c>
      <c r="W1644" s="18" t="n"/>
      <c r="X1644" s="35" t="n"/>
      <c r="Y1644" s="35" t="n">
        <v>7.249</v>
      </c>
    </row>
    <row r="1645">
      <c r="A1645" s="25" t="n">
        <v>41242</v>
      </c>
      <c r="B1645" s="18" t="n">
        <v>57852</v>
      </c>
      <c r="C1645" s="31" t="n"/>
      <c r="D1645" s="32" t="n"/>
      <c r="E1645" s="33" t="n">
        <v>-1.1529</v>
      </c>
      <c r="F1645" t="inlineStr">
        <is>
          <t>Down</t>
        </is>
      </c>
      <c r="G1645" t="inlineStr">
        <is>
          <t>Down</t>
        </is>
      </c>
      <c r="H1645" t="inlineStr">
        <is>
          <t>ED_JD</t>
        </is>
      </c>
      <c r="I1645" t="inlineStr">
        <is>
          <t>2012-11</t>
        </is>
      </c>
      <c r="J1645" t="n">
        <v>1</v>
      </c>
      <c r="K1645" t="n">
        <v>1</v>
      </c>
      <c r="L1645" s="34">
        <f>IF($J1645=1,LN(B1646/B1645),"")</f>
        <v/>
      </c>
      <c r="M1645" s="34">
        <f>IF($K1645=1,INDEX(Mensal!$D$2:$D$245,MATCH($I1645,Mensal!$A$2:$A$245,0)),"")</f>
        <v/>
      </c>
      <c r="N1645" s="34">
        <f>IF($K1645=1,L1645-M1645,"")</f>
        <v/>
      </c>
      <c r="O1645" s="34" t="n">
        <v>0.00027112</v>
      </c>
      <c r="P1645" s="34">
        <f>IF($J1645=1,LN(1+O1645),"")</f>
        <v/>
      </c>
      <c r="Q1645" s="34">
        <f>IF($J1645=1,LN(R1646/R1645),"")</f>
        <v/>
      </c>
      <c r="R1645" s="32" t="n">
        <v>2.0991</v>
      </c>
      <c r="S1645" s="35" t="n">
        <v>7.265</v>
      </c>
      <c r="T1645" s="18" t="n"/>
      <c r="U1645" s="18" t="n"/>
      <c r="V1645" s="18" t="n">
        <v>57852</v>
      </c>
      <c r="W1645" s="18" t="n"/>
      <c r="X1645" s="35" t="n"/>
      <c r="Y1645" s="35" t="n">
        <v>7.265</v>
      </c>
    </row>
    <row r="1646">
      <c r="A1646" s="25" t="n">
        <v>41243</v>
      </c>
      <c r="B1646" s="18" t="n">
        <v>57474</v>
      </c>
      <c r="C1646" s="31" t="n"/>
      <c r="D1646" s="32" t="n"/>
      <c r="E1646" s="33" t="n">
        <v>-1.1002</v>
      </c>
      <c r="F1646" t="inlineStr">
        <is>
          <t>Down</t>
        </is>
      </c>
      <c r="G1646" t="inlineStr">
        <is>
          <t>Down</t>
        </is>
      </c>
      <c r="H1646" t="inlineStr">
        <is>
          <t>ED_JD</t>
        </is>
      </c>
      <c r="I1646" t="inlineStr">
        <is>
          <t>2012-11</t>
        </is>
      </c>
      <c r="J1646" t="n">
        <v>1</v>
      </c>
      <c r="K1646" t="n">
        <v>1</v>
      </c>
      <c r="L1646" s="34">
        <f>IF($J1646=1,LN(B1647/B1646),"")</f>
        <v/>
      </c>
      <c r="M1646" s="34">
        <f>IF($K1646=1,INDEX(Mensal!$D$2:$D$245,MATCH($I1646,Mensal!$A$2:$A$245,0)),"")</f>
        <v/>
      </c>
      <c r="N1646" s="34">
        <f>IF($K1646=1,L1646-M1646,"")</f>
        <v/>
      </c>
      <c r="O1646" s="34" t="n">
        <v>0.00027075</v>
      </c>
      <c r="P1646" s="34">
        <f>IF($J1646=1,LN(1+O1646),"")</f>
        <v/>
      </c>
      <c r="Q1646" s="34">
        <f>IF($J1646=1,LN(R1647/R1646),"")</f>
        <v/>
      </c>
      <c r="R1646" s="32" t="n">
        <v>2.1074</v>
      </c>
      <c r="S1646" s="35" t="n">
        <v>7.172</v>
      </c>
      <c r="T1646" s="18" t="n"/>
      <c r="U1646" s="18" t="n"/>
      <c r="V1646" s="18" t="n">
        <v>57474</v>
      </c>
      <c r="W1646" s="18" t="n"/>
      <c r="X1646" s="35" t="n"/>
      <c r="Y1646" s="35" t="n">
        <v>7.172</v>
      </c>
    </row>
    <row r="1647">
      <c r="A1647" s="25" t="n">
        <v>41246</v>
      </c>
      <c r="B1647" s="18" t="n">
        <v>58202</v>
      </c>
      <c r="C1647" s="31" t="n"/>
      <c r="D1647" s="32" t="n"/>
      <c r="E1647" s="33" t="n">
        <v>-1.0369</v>
      </c>
      <c r="F1647" t="inlineStr">
        <is>
          <t>Down</t>
        </is>
      </c>
      <c r="G1647" t="inlineStr">
        <is>
          <t>Down</t>
        </is>
      </c>
      <c r="H1647" t="inlineStr">
        <is>
          <t>ED_JD</t>
        </is>
      </c>
      <c r="I1647" t="inlineStr">
        <is>
          <t>2012-12</t>
        </is>
      </c>
      <c r="J1647" t="n">
        <v>1</v>
      </c>
      <c r="K1647" t="n">
        <v>1</v>
      </c>
      <c r="L1647" s="34">
        <f>IF($J1647=1,LN(B1648/B1647),"")</f>
        <v/>
      </c>
      <c r="M1647" s="34">
        <f>IF($K1647=1,INDEX(Mensal!$D$2:$D$245,MATCH($I1647,Mensal!$A$2:$A$245,0)),"")</f>
        <v/>
      </c>
      <c r="N1647" s="34">
        <f>IF($K1647=1,L1647-M1647,"")</f>
        <v/>
      </c>
      <c r="O1647" s="34" t="n">
        <v>0.00027112</v>
      </c>
      <c r="P1647" s="34">
        <f>IF($J1647=1,LN(1+O1647),"")</f>
        <v/>
      </c>
      <c r="Q1647" s="34">
        <f>IF($J1647=1,LN(R1648/R1647),"")</f>
        <v/>
      </c>
      <c r="R1647" s="32" t="n">
        <v>2.1121</v>
      </c>
      <c r="S1647" s="35" t="n">
        <v>7.146</v>
      </c>
      <c r="T1647" s="18" t="n"/>
      <c r="U1647" s="18" t="n"/>
      <c r="V1647" s="18" t="n">
        <v>58202</v>
      </c>
      <c r="W1647" s="18" t="n"/>
      <c r="X1647" s="35" t="n"/>
      <c r="Y1647" s="35" t="n">
        <v>7.146</v>
      </c>
    </row>
    <row r="1648">
      <c r="A1648" s="25" t="n">
        <v>41247</v>
      </c>
      <c r="B1648" s="18" t="n">
        <v>57563</v>
      </c>
      <c r="C1648" s="31" t="n"/>
      <c r="D1648" s="32" t="n"/>
      <c r="E1648" s="33" t="n">
        <v>-0.9789</v>
      </c>
      <c r="F1648" t="inlineStr">
        <is>
          <t>Down</t>
        </is>
      </c>
      <c r="G1648" t="inlineStr">
        <is>
          <t>Down</t>
        </is>
      </c>
      <c r="H1648" t="inlineStr">
        <is>
          <t>ED_JD</t>
        </is>
      </c>
      <c r="I1648" t="inlineStr">
        <is>
          <t>2012-12</t>
        </is>
      </c>
      <c r="J1648" t="n">
        <v>1</v>
      </c>
      <c r="K1648" t="n">
        <v>1</v>
      </c>
      <c r="L1648" s="34">
        <f>IF($J1648=1,LN(B1649/B1648),"")</f>
        <v/>
      </c>
      <c r="M1648" s="34">
        <f>IF($K1648=1,INDEX(Mensal!$D$2:$D$245,MATCH($I1648,Mensal!$A$2:$A$245,0)),"")</f>
        <v/>
      </c>
      <c r="N1648" s="34">
        <f>IF($K1648=1,L1648-M1648,"")</f>
        <v/>
      </c>
      <c r="O1648" s="34" t="n">
        <v>0.00027112</v>
      </c>
      <c r="P1648" s="34">
        <f>IF($J1648=1,LN(1+O1648),"")</f>
        <v/>
      </c>
      <c r="Q1648" s="34">
        <f>IF($J1648=1,LN(R1649/R1648),"")</f>
        <v/>
      </c>
      <c r="R1648" s="32" t="n">
        <v>2.1077</v>
      </c>
      <c r="S1648" s="35" t="n">
        <v>7.079</v>
      </c>
      <c r="T1648" s="18" t="n"/>
      <c r="U1648" s="18" t="n"/>
      <c r="V1648" s="18" t="n">
        <v>57563</v>
      </c>
      <c r="W1648" s="18" t="n"/>
      <c r="X1648" s="35" t="n"/>
      <c r="Y1648" s="35" t="n">
        <v>7.079</v>
      </c>
    </row>
    <row r="1649">
      <c r="A1649" s="25" t="n">
        <v>41248</v>
      </c>
      <c r="B1649" s="18" t="n">
        <v>57679</v>
      </c>
      <c r="C1649" s="31" t="n"/>
      <c r="D1649" s="32" t="n"/>
      <c r="E1649" s="33" t="n">
        <v>-0.9172</v>
      </c>
      <c r="F1649" t="inlineStr">
        <is>
          <t>Down</t>
        </is>
      </c>
      <c r="G1649" t="inlineStr">
        <is>
          <t>Down</t>
        </is>
      </c>
      <c r="H1649" t="inlineStr">
        <is>
          <t>ED_JD</t>
        </is>
      </c>
      <c r="I1649" t="inlineStr">
        <is>
          <t>2012-12</t>
        </is>
      </c>
      <c r="J1649" t="n">
        <v>1</v>
      </c>
      <c r="K1649" t="n">
        <v>1</v>
      </c>
      <c r="L1649" s="34">
        <f>IF($J1649=1,LN(B1650/B1649),"")</f>
        <v/>
      </c>
      <c r="M1649" s="34">
        <f>IF($K1649=1,INDEX(Mensal!$D$2:$D$245,MATCH($I1649,Mensal!$A$2:$A$245,0)),"")</f>
        <v/>
      </c>
      <c r="N1649" s="34">
        <f>IF($K1649=1,L1649-M1649,"")</f>
        <v/>
      </c>
      <c r="O1649" s="34" t="n">
        <v>0.00027075</v>
      </c>
      <c r="P1649" s="34">
        <f>IF($J1649=1,LN(1+O1649),"")</f>
        <v/>
      </c>
      <c r="Q1649" s="34">
        <f>IF($J1649=1,LN(R1650/R1649),"")</f>
        <v/>
      </c>
      <c r="R1649" s="32" t="n">
        <v>2.1046</v>
      </c>
      <c r="S1649" s="35" t="n">
        <v>7.084</v>
      </c>
      <c r="T1649" s="18" t="n"/>
      <c r="U1649" s="18" t="n"/>
      <c r="V1649" s="18" t="n">
        <v>57679</v>
      </c>
      <c r="W1649" s="18" t="n"/>
      <c r="X1649" s="35" t="n"/>
      <c r="Y1649" s="35" t="n">
        <v>7.084</v>
      </c>
    </row>
    <row r="1650">
      <c r="A1650" s="25" t="n">
        <v>41249</v>
      </c>
      <c r="B1650" s="18" t="n">
        <v>57656</v>
      </c>
      <c r="C1650" s="31" t="n"/>
      <c r="D1650" s="32" t="n"/>
      <c r="E1650" s="33" t="n">
        <v>-0.8804</v>
      </c>
      <c r="F1650" t="inlineStr">
        <is>
          <t>Down</t>
        </is>
      </c>
      <c r="G1650" t="inlineStr">
        <is>
          <t>Down</t>
        </is>
      </c>
      <c r="H1650" t="inlineStr">
        <is>
          <t>ED_JD</t>
        </is>
      </c>
      <c r="I1650" t="inlineStr">
        <is>
          <t>2012-12</t>
        </is>
      </c>
      <c r="J1650" t="n">
        <v>1</v>
      </c>
      <c r="K1650" t="n">
        <v>1</v>
      </c>
      <c r="L1650" s="34">
        <f>IF($J1650=1,LN(B1651/B1650),"")</f>
        <v/>
      </c>
      <c r="M1650" s="34">
        <f>IF($K1650=1,INDEX(Mensal!$D$2:$D$245,MATCH($I1650,Mensal!$A$2:$A$245,0)),"")</f>
        <v/>
      </c>
      <c r="N1650" s="34">
        <f>IF($K1650=1,L1650-M1650,"")</f>
        <v/>
      </c>
      <c r="O1650" s="34" t="n">
        <v>0.00027038</v>
      </c>
      <c r="P1650" s="34">
        <f>IF($J1650=1,LN(1+O1650),"")</f>
        <v/>
      </c>
      <c r="Q1650" s="34">
        <f>IF($J1650=1,LN(R1651/R1650),"")</f>
        <v/>
      </c>
      <c r="R1650" s="32" t="n">
        <v>2.0836</v>
      </c>
      <c r="S1650" s="35" t="n">
        <v>6.865</v>
      </c>
      <c r="T1650" s="18" t="n"/>
      <c r="U1650" s="18" t="n"/>
      <c r="V1650" s="18" t="n">
        <v>57656</v>
      </c>
      <c r="W1650" s="18" t="n"/>
      <c r="X1650" s="35" t="n"/>
      <c r="Y1650" s="35" t="n">
        <v>6.865</v>
      </c>
    </row>
    <row r="1651">
      <c r="A1651" s="25" t="n">
        <v>41250</v>
      </c>
      <c r="B1651" s="18" t="n">
        <v>58487</v>
      </c>
      <c r="C1651" s="31" t="n"/>
      <c r="D1651" s="32" t="n"/>
      <c r="E1651" s="33" t="n">
        <v>-0.8473000000000001</v>
      </c>
      <c r="F1651" t="inlineStr">
        <is>
          <t>Down</t>
        </is>
      </c>
      <c r="G1651" t="inlineStr">
        <is>
          <t>Down</t>
        </is>
      </c>
      <c r="H1651" t="inlineStr">
        <is>
          <t>ED_JD</t>
        </is>
      </c>
      <c r="I1651" t="inlineStr">
        <is>
          <t>2012-12</t>
        </is>
      </c>
      <c r="J1651" t="n">
        <v>1</v>
      </c>
      <c r="K1651" t="n">
        <v>1</v>
      </c>
      <c r="L1651" s="34">
        <f>IF($J1651=1,LN(B1652/B1651),"")</f>
        <v/>
      </c>
      <c r="M1651" s="34">
        <f>IF($K1651=1,INDEX(Mensal!$D$2:$D$245,MATCH($I1651,Mensal!$A$2:$A$245,0)),"")</f>
        <v/>
      </c>
      <c r="N1651" s="34">
        <f>IF($K1651=1,L1651-M1651,"")</f>
        <v/>
      </c>
      <c r="O1651" s="34" t="n">
        <v>0.00027001</v>
      </c>
      <c r="P1651" s="34">
        <f>IF($J1651=1,LN(1+O1651),"")</f>
        <v/>
      </c>
      <c r="Q1651" s="34">
        <f>IF($J1651=1,LN(R1652/R1651),"")</f>
        <v/>
      </c>
      <c r="R1651" s="32" t="n">
        <v>2.0804</v>
      </c>
      <c r="S1651" s="35" t="n">
        <v>6.997</v>
      </c>
      <c r="T1651" s="18" t="n"/>
      <c r="U1651" s="18" t="n"/>
      <c r="V1651" s="18" t="n">
        <v>58487</v>
      </c>
      <c r="W1651" s="18" t="n"/>
      <c r="X1651" s="35" t="n"/>
      <c r="Y1651" s="35" t="n">
        <v>6.997</v>
      </c>
    </row>
    <row r="1652">
      <c r="A1652" s="25" t="n">
        <v>41253</v>
      </c>
      <c r="B1652" s="18" t="n">
        <v>59248</v>
      </c>
      <c r="C1652" s="31" t="n"/>
      <c r="D1652" s="32" t="n"/>
      <c r="E1652" s="33" t="n">
        <v>-0.8046</v>
      </c>
      <c r="F1652" t="inlineStr">
        <is>
          <t>Down</t>
        </is>
      </c>
      <c r="G1652" t="inlineStr">
        <is>
          <t>Down</t>
        </is>
      </c>
      <c r="H1652" t="inlineStr">
        <is>
          <t>ED_JD</t>
        </is>
      </c>
      <c r="I1652" t="inlineStr">
        <is>
          <t>2012-12</t>
        </is>
      </c>
      <c r="J1652" t="n">
        <v>1</v>
      </c>
      <c r="K1652" t="n">
        <v>1</v>
      </c>
      <c r="L1652" s="34">
        <f>IF($J1652=1,LN(B1653/B1652),"")</f>
        <v/>
      </c>
      <c r="M1652" s="34">
        <f>IF($K1652=1,INDEX(Mensal!$D$2:$D$245,MATCH($I1652,Mensal!$A$2:$A$245,0)),"")</f>
        <v/>
      </c>
      <c r="N1652" s="34">
        <f>IF($K1652=1,L1652-M1652,"")</f>
        <v/>
      </c>
      <c r="O1652" s="34" t="n">
        <v>0.00026889</v>
      </c>
      <c r="P1652" s="34">
        <f>IF($J1652=1,LN(1+O1652),"")</f>
        <v/>
      </c>
      <c r="Q1652" s="34">
        <f>IF($J1652=1,LN(R1653/R1652),"")</f>
        <v/>
      </c>
      <c r="R1652" s="32" t="n">
        <v>2.081</v>
      </c>
      <c r="S1652" s="35" t="n">
        <v>7.048</v>
      </c>
      <c r="T1652" s="18" t="n"/>
      <c r="U1652" s="18" t="n"/>
      <c r="V1652" s="18" t="n">
        <v>59248</v>
      </c>
      <c r="W1652" s="18" t="n"/>
      <c r="X1652" s="35" t="n"/>
      <c r="Y1652" s="35" t="n">
        <v>7.048</v>
      </c>
    </row>
    <row r="1653">
      <c r="A1653" s="25" t="n">
        <v>41254</v>
      </c>
      <c r="B1653" s="18" t="n">
        <v>59623</v>
      </c>
      <c r="C1653" s="31" t="n"/>
      <c r="D1653" s="32" t="n"/>
      <c r="E1653" s="33" t="n">
        <v>-0.7534999999999999</v>
      </c>
      <c r="F1653" t="inlineStr">
        <is>
          <t>Down</t>
        </is>
      </c>
      <c r="G1653" t="inlineStr">
        <is>
          <t>Down</t>
        </is>
      </c>
      <c r="H1653" t="inlineStr">
        <is>
          <t>ED_JD</t>
        </is>
      </c>
      <c r="I1653" t="inlineStr">
        <is>
          <t>2012-12</t>
        </is>
      </c>
      <c r="J1653" t="n">
        <v>1</v>
      </c>
      <c r="K1653" t="n">
        <v>1</v>
      </c>
      <c r="L1653" s="34">
        <f>IF($J1653=1,LN(B1654/B1653),"")</f>
        <v/>
      </c>
      <c r="M1653" s="34">
        <f>IF($K1653=1,INDEX(Mensal!$D$2:$D$245,MATCH($I1653,Mensal!$A$2:$A$245,0)),"")</f>
        <v/>
      </c>
      <c r="N1653" s="34">
        <f>IF($K1653=1,L1653-M1653,"")</f>
        <v/>
      </c>
      <c r="O1653" s="34" t="n">
        <v>0.00026741</v>
      </c>
      <c r="P1653" s="34">
        <f>IF($J1653=1,LN(1+O1653),"")</f>
        <v/>
      </c>
      <c r="Q1653" s="34">
        <f>IF($J1653=1,LN(R1654/R1653),"")</f>
        <v/>
      </c>
      <c r="R1653" s="32" t="n">
        <v>2.0743</v>
      </c>
      <c r="S1653" s="35" t="n">
        <v>7.096</v>
      </c>
      <c r="T1653" s="18" t="n"/>
      <c r="U1653" s="18" t="n"/>
      <c r="V1653" s="18" t="n">
        <v>59623</v>
      </c>
      <c r="W1653" s="18" t="n"/>
      <c r="X1653" s="35" t="n"/>
      <c r="Y1653" s="35" t="n">
        <v>7.096</v>
      </c>
    </row>
    <row r="1654">
      <c r="A1654" s="25" t="n">
        <v>41255</v>
      </c>
      <c r="B1654" s="18" t="n">
        <v>59474</v>
      </c>
      <c r="C1654" s="31" t="n"/>
      <c r="D1654" s="32" t="n"/>
      <c r="E1654" s="33" t="n">
        <v>-0.703</v>
      </c>
      <c r="F1654" t="inlineStr">
        <is>
          <t>Down</t>
        </is>
      </c>
      <c r="G1654" t="inlineStr">
        <is>
          <t>Down</t>
        </is>
      </c>
      <c r="H1654" t="inlineStr">
        <is>
          <t>ED_JD</t>
        </is>
      </c>
      <c r="I1654" t="inlineStr">
        <is>
          <t>2012-12</t>
        </is>
      </c>
      <c r="J1654" t="n">
        <v>1</v>
      </c>
      <c r="K1654" t="n">
        <v>1</v>
      </c>
      <c r="L1654" s="34">
        <f>IF($J1654=1,LN(B1655/B1654),"")</f>
        <v/>
      </c>
      <c r="M1654" s="34">
        <f>IF($K1654=1,INDEX(Mensal!$D$2:$D$245,MATCH($I1654,Mensal!$A$2:$A$245,0)),"")</f>
        <v/>
      </c>
      <c r="N1654" s="34">
        <f>IF($K1654=1,L1654-M1654,"")</f>
        <v/>
      </c>
      <c r="O1654" s="34" t="n">
        <v>0.00026741</v>
      </c>
      <c r="P1654" s="34">
        <f>IF($J1654=1,LN(1+O1654),"")</f>
        <v/>
      </c>
      <c r="Q1654" s="34">
        <f>IF($J1654=1,LN(R1655/R1654),"")</f>
        <v/>
      </c>
      <c r="R1654" s="32" t="n">
        <v>2.0801</v>
      </c>
      <c r="S1654" s="35" t="n">
        <v>7.074</v>
      </c>
      <c r="T1654" s="18" t="n"/>
      <c r="U1654" s="18" t="n"/>
      <c r="V1654" s="18" t="n">
        <v>59474</v>
      </c>
      <c r="W1654" s="18" t="n"/>
      <c r="X1654" s="35" t="n"/>
      <c r="Y1654" s="35" t="n">
        <v>7.074</v>
      </c>
    </row>
    <row r="1655">
      <c r="A1655" s="25" t="n">
        <v>41256</v>
      </c>
      <c r="B1655" s="18" t="n">
        <v>59316</v>
      </c>
      <c r="C1655" s="31" t="n"/>
      <c r="D1655" s="32" t="n"/>
      <c r="E1655" s="33" t="n">
        <v>-0.6473</v>
      </c>
      <c r="F1655" t="inlineStr">
        <is>
          <t>Down</t>
        </is>
      </c>
      <c r="G1655" t="inlineStr">
        <is>
          <t>Down</t>
        </is>
      </c>
      <c r="H1655" t="inlineStr">
        <is>
          <t>ED_JD</t>
        </is>
      </c>
      <c r="I1655" t="inlineStr">
        <is>
          <t>2012-12</t>
        </is>
      </c>
      <c r="J1655" t="n">
        <v>1</v>
      </c>
      <c r="K1655" t="n">
        <v>1</v>
      </c>
      <c r="L1655" s="34">
        <f>IF($J1655=1,LN(B1656/B1655),"")</f>
        <v/>
      </c>
      <c r="M1655" s="34">
        <f>IF($K1655=1,INDEX(Mensal!$D$2:$D$245,MATCH($I1655,Mensal!$A$2:$A$245,0)),"")</f>
        <v/>
      </c>
      <c r="N1655" s="34">
        <f>IF($K1655=1,L1655-M1655,"")</f>
        <v/>
      </c>
      <c r="O1655" s="34" t="n">
        <v>0.00026667</v>
      </c>
      <c r="P1655" s="34">
        <f>IF($J1655=1,LN(1+O1655),"")</f>
        <v/>
      </c>
      <c r="Q1655" s="34">
        <f>IF($J1655=1,LN(R1656/R1655),"")</f>
        <v/>
      </c>
      <c r="R1655" s="32" t="n">
        <v>2.0751</v>
      </c>
      <c r="S1655" s="35" t="n">
        <v>7.054</v>
      </c>
      <c r="T1655" s="18" t="n"/>
      <c r="U1655" s="18" t="n"/>
      <c r="V1655" s="18" t="n">
        <v>59316</v>
      </c>
      <c r="W1655" s="18" t="n"/>
      <c r="X1655" s="35" t="n"/>
      <c r="Y1655" s="35" t="n">
        <v>7.054</v>
      </c>
    </row>
    <row r="1656">
      <c r="A1656" s="25" t="n">
        <v>41257</v>
      </c>
      <c r="B1656" s="18" t="n">
        <v>59604</v>
      </c>
      <c r="C1656" s="31" t="n"/>
      <c r="D1656" s="32" t="n"/>
      <c r="E1656" s="33" t="n">
        <v>-0.5916</v>
      </c>
      <c r="F1656" t="inlineStr">
        <is>
          <t>Down</t>
        </is>
      </c>
      <c r="G1656" t="inlineStr">
        <is>
          <t>Down</t>
        </is>
      </c>
      <c r="H1656" t="inlineStr">
        <is>
          <t>ED_JD</t>
        </is>
      </c>
      <c r="I1656" t="inlineStr">
        <is>
          <t>2012-12</t>
        </is>
      </c>
      <c r="J1656" t="n">
        <v>1</v>
      </c>
      <c r="K1656" t="n">
        <v>1</v>
      </c>
      <c r="L1656" s="34">
        <f>IF($J1656=1,LN(B1657/B1656),"")</f>
        <v/>
      </c>
      <c r="M1656" s="34">
        <f>IF($K1656=1,INDEX(Mensal!$D$2:$D$245,MATCH($I1656,Mensal!$A$2:$A$245,0)),"")</f>
        <v/>
      </c>
      <c r="N1656" s="34">
        <f>IF($K1656=1,L1656-M1656,"")</f>
        <v/>
      </c>
      <c r="O1656" s="34" t="n">
        <v>0.00026481</v>
      </c>
      <c r="P1656" s="34">
        <f>IF($J1656=1,LN(1+O1656),"")</f>
        <v/>
      </c>
      <c r="Q1656" s="34">
        <f>IF($J1656=1,LN(R1657/R1656),"")</f>
        <v/>
      </c>
      <c r="R1656" s="32" t="n">
        <v>2.084</v>
      </c>
      <c r="S1656" s="35" t="n">
        <v>7.082</v>
      </c>
      <c r="T1656" s="18" t="n"/>
      <c r="U1656" s="18" t="n"/>
      <c r="V1656" s="18" t="n">
        <v>59604</v>
      </c>
      <c r="W1656" s="18" t="n"/>
      <c r="X1656" s="35" t="n"/>
      <c r="Y1656" s="35" t="n">
        <v>7.082</v>
      </c>
    </row>
    <row r="1657">
      <c r="A1657" s="25" t="n">
        <v>41260</v>
      </c>
      <c r="B1657" s="18" t="n">
        <v>59566</v>
      </c>
      <c r="C1657" s="31" t="n"/>
      <c r="D1657" s="32" t="n"/>
      <c r="E1657" s="33" t="n">
        <v>-0.5332</v>
      </c>
      <c r="F1657" t="inlineStr">
        <is>
          <t>Down</t>
        </is>
      </c>
      <c r="G1657" t="inlineStr">
        <is>
          <t>Down</t>
        </is>
      </c>
      <c r="H1657" t="inlineStr">
        <is>
          <t>ED_JD</t>
        </is>
      </c>
      <c r="I1657" t="inlineStr">
        <is>
          <t>2012-12</t>
        </is>
      </c>
      <c r="J1657" t="n">
        <v>1</v>
      </c>
      <c r="K1657" t="n">
        <v>1</v>
      </c>
      <c r="L1657" s="34">
        <f>IF($J1657=1,LN(B1658/B1657),"")</f>
        <v/>
      </c>
      <c r="M1657" s="34">
        <f>IF($K1657=1,INDEX(Mensal!$D$2:$D$245,MATCH($I1657,Mensal!$A$2:$A$245,0)),"")</f>
        <v/>
      </c>
      <c r="N1657" s="34">
        <f>IF($K1657=1,L1657-M1657,"")</f>
        <v/>
      </c>
      <c r="O1657" s="34" t="n">
        <v>0.00026444</v>
      </c>
      <c r="P1657" s="34">
        <f>IF($J1657=1,LN(1+O1657),"")</f>
        <v/>
      </c>
      <c r="Q1657" s="34">
        <f>IF($J1657=1,LN(R1658/R1657),"")</f>
        <v/>
      </c>
      <c r="R1657" s="32" t="n">
        <v>2.0902</v>
      </c>
      <c r="S1657" s="35" t="n">
        <v>7.074</v>
      </c>
      <c r="T1657" s="18" t="n"/>
      <c r="U1657" s="18" t="n"/>
      <c r="V1657" s="18" t="n">
        <v>59566</v>
      </c>
      <c r="W1657" s="18" t="n"/>
      <c r="X1657" s="35" t="n"/>
      <c r="Y1657" s="35" t="n">
        <v>7.074</v>
      </c>
    </row>
    <row r="1658">
      <c r="A1658" s="25" t="n">
        <v>41261</v>
      </c>
      <c r="B1658" s="18" t="n">
        <v>60460</v>
      </c>
      <c r="C1658" s="31" t="n"/>
      <c r="D1658" s="32" t="n"/>
      <c r="E1658" s="33" t="n">
        <v>-0.477</v>
      </c>
      <c r="F1658" t="inlineStr">
        <is>
          <t>Down</t>
        </is>
      </c>
      <c r="G1658" t="inlineStr">
        <is>
          <t>Down</t>
        </is>
      </c>
      <c r="H1658" t="inlineStr">
        <is>
          <t>ED_JD</t>
        </is>
      </c>
      <c r="I1658" t="inlineStr">
        <is>
          <t>2012-12</t>
        </is>
      </c>
      <c r="J1658" t="n">
        <v>1</v>
      </c>
      <c r="K1658" t="n">
        <v>1</v>
      </c>
      <c r="L1658" s="34">
        <f>IF($J1658=1,LN(B1659/B1658),"")</f>
        <v/>
      </c>
      <c r="M1658" s="34">
        <f>IF($K1658=1,INDEX(Mensal!$D$2:$D$245,MATCH($I1658,Mensal!$A$2:$A$245,0)),"")</f>
        <v/>
      </c>
      <c r="N1658" s="34">
        <f>IF($K1658=1,L1658-M1658,"")</f>
        <v/>
      </c>
      <c r="O1658" s="34" t="n">
        <v>0.0002637</v>
      </c>
      <c r="P1658" s="34">
        <f>IF($J1658=1,LN(1+O1658),"")</f>
        <v/>
      </c>
      <c r="Q1658" s="34">
        <f>IF($J1658=1,LN(R1659/R1658),"")</f>
        <v/>
      </c>
      <c r="R1658" s="32" t="n">
        <v>2.0966</v>
      </c>
      <c r="S1658" s="35" t="n">
        <v>7.073</v>
      </c>
      <c r="T1658" s="18" t="n"/>
      <c r="U1658" s="18" t="n"/>
      <c r="V1658" s="18" t="n">
        <v>60460</v>
      </c>
      <c r="W1658" s="18" t="n"/>
      <c r="X1658" s="35" t="n"/>
      <c r="Y1658" s="35" t="n">
        <v>7.073</v>
      </c>
    </row>
    <row r="1659">
      <c r="A1659" s="25" t="n">
        <v>41262</v>
      </c>
      <c r="B1659" s="18" t="n">
        <v>60998</v>
      </c>
      <c r="C1659" s="31" t="n"/>
      <c r="D1659" s="32" t="n"/>
      <c r="E1659" s="33" t="n">
        <v>-0.4208</v>
      </c>
      <c r="F1659" t="inlineStr">
        <is>
          <t>Down</t>
        </is>
      </c>
      <c r="G1659" t="inlineStr">
        <is>
          <t>Down</t>
        </is>
      </c>
      <c r="H1659" t="inlineStr">
        <is>
          <t>ED_JD</t>
        </is>
      </c>
      <c r="I1659" t="inlineStr">
        <is>
          <t>2012-12</t>
        </is>
      </c>
      <c r="J1659" t="n">
        <v>1</v>
      </c>
      <c r="K1659" t="n">
        <v>1</v>
      </c>
      <c r="L1659" s="34">
        <f>IF($J1659=1,LN(B1660/B1659),"")</f>
        <v/>
      </c>
      <c r="M1659" s="34">
        <f>IF($K1659=1,INDEX(Mensal!$D$2:$D$245,MATCH($I1659,Mensal!$A$2:$A$245,0)),"")</f>
        <v/>
      </c>
      <c r="N1659" s="34">
        <f>IF($K1659=1,L1659-M1659,"")</f>
        <v/>
      </c>
      <c r="O1659" s="34" t="n">
        <v>0.00026258</v>
      </c>
      <c r="P1659" s="34">
        <f>IF($J1659=1,LN(1+O1659),"")</f>
        <v/>
      </c>
      <c r="Q1659" s="34">
        <f>IF($J1659=1,LN(R1660/R1659),"")</f>
        <v/>
      </c>
      <c r="R1659" s="32" t="n">
        <v>2.0791</v>
      </c>
      <c r="S1659" s="35" t="n">
        <v>7.076</v>
      </c>
      <c r="T1659" s="18" t="n"/>
      <c r="U1659" s="18" t="n"/>
      <c r="V1659" s="18" t="n">
        <v>60998</v>
      </c>
      <c r="W1659" s="18" t="n"/>
      <c r="X1659" s="35" t="n"/>
      <c r="Y1659" s="35" t="n">
        <v>7.076</v>
      </c>
    </row>
    <row r="1660">
      <c r="A1660" s="25" t="n">
        <v>41263</v>
      </c>
      <c r="B1660" s="18" t="n">
        <v>61276</v>
      </c>
      <c r="C1660" s="31" t="n"/>
      <c r="D1660" s="32" t="n"/>
      <c r="E1660" s="33" t="n">
        <v>-0.3668</v>
      </c>
      <c r="F1660" t="inlineStr">
        <is>
          <t>Down</t>
        </is>
      </c>
      <c r="G1660" t="inlineStr">
        <is>
          <t>Down</t>
        </is>
      </c>
      <c r="H1660" t="inlineStr">
        <is>
          <t>ED_JD</t>
        </is>
      </c>
      <c r="I1660" t="inlineStr">
        <is>
          <t>2012-12</t>
        </is>
      </c>
      <c r="J1660" t="n">
        <v>1</v>
      </c>
      <c r="K1660" t="n">
        <v>1</v>
      </c>
      <c r="L1660" s="34">
        <f>IF($J1660=1,LN(B1661/B1660),"")</f>
        <v/>
      </c>
      <c r="M1660" s="34">
        <f>IF($K1660=1,INDEX(Mensal!$D$2:$D$245,MATCH($I1660,Mensal!$A$2:$A$245,0)),"")</f>
        <v/>
      </c>
      <c r="N1660" s="34">
        <f>IF($K1660=1,L1660-M1660,"")</f>
        <v/>
      </c>
      <c r="O1660" s="34" t="n">
        <v>0.00026295</v>
      </c>
      <c r="P1660" s="34">
        <f>IF($J1660=1,LN(1+O1660),"")</f>
        <v/>
      </c>
      <c r="Q1660" s="34">
        <f>IF($J1660=1,LN(R1661/R1660),"")</f>
        <v/>
      </c>
      <c r="R1660" s="32" t="n">
        <v>2.0625</v>
      </c>
      <c r="S1660" s="35" t="n">
        <v>7.135</v>
      </c>
      <c r="T1660" s="18" t="n"/>
      <c r="U1660" s="18" t="n"/>
      <c r="V1660" s="18" t="n">
        <v>61276</v>
      </c>
      <c r="W1660" s="18" t="n"/>
      <c r="X1660" s="35" t="n"/>
      <c r="Y1660" s="35" t="n">
        <v>7.135</v>
      </c>
    </row>
    <row r="1661">
      <c r="A1661" s="25" t="n">
        <v>41264</v>
      </c>
      <c r="B1661" s="18" t="n">
        <v>61007</v>
      </c>
      <c r="C1661" s="31" t="n"/>
      <c r="D1661" s="32" t="n"/>
      <c r="E1661" s="33" t="n">
        <v>-0.3105</v>
      </c>
      <c r="F1661" t="inlineStr">
        <is>
          <t>Down</t>
        </is>
      </c>
      <c r="G1661" t="inlineStr">
        <is>
          <t>Down</t>
        </is>
      </c>
      <c r="H1661" t="inlineStr">
        <is>
          <t>ED_JD</t>
        </is>
      </c>
      <c r="I1661" t="inlineStr">
        <is>
          <t>2012-12</t>
        </is>
      </c>
      <c r="J1661" t="n">
        <v>1</v>
      </c>
      <c r="K1661" t="n">
        <v>1</v>
      </c>
      <c r="L1661" s="34">
        <f>IF($J1661=1,LN(B1662/B1661),"")</f>
        <v/>
      </c>
      <c r="M1661" s="34">
        <f>IF($K1661=1,INDEX(Mensal!$D$2:$D$245,MATCH($I1661,Mensal!$A$2:$A$245,0)),"")</f>
        <v/>
      </c>
      <c r="N1661" s="34">
        <f>IF($K1661=1,L1661-M1661,"")</f>
        <v/>
      </c>
      <c r="O1661" s="34" t="n">
        <v>0.0002637</v>
      </c>
      <c r="P1661" s="34">
        <f>IF($J1661=1,LN(1+O1661),"")</f>
        <v/>
      </c>
      <c r="Q1661" s="34">
        <f>IF($J1661=1,LN(R1662/R1661),"")</f>
        <v/>
      </c>
      <c r="R1661" s="32" t="n">
        <v>2.0758</v>
      </c>
      <c r="S1661" s="35" t="n">
        <v>7.165</v>
      </c>
      <c r="T1661" s="18" t="n"/>
      <c r="U1661" s="18" t="n"/>
      <c r="V1661" s="18" t="n">
        <v>61007</v>
      </c>
      <c r="W1661" s="18" t="n"/>
      <c r="X1661" s="35" t="n"/>
      <c r="Y1661" s="35" t="n">
        <v>7.165</v>
      </c>
    </row>
    <row r="1662">
      <c r="A1662" s="25" t="n">
        <v>41269</v>
      </c>
      <c r="B1662" s="18" t="n">
        <v>60959</v>
      </c>
      <c r="C1662" s="31" t="n"/>
      <c r="D1662" s="32" t="n"/>
      <c r="E1662" s="33" t="n">
        <v>-0.2353</v>
      </c>
      <c r="F1662" t="inlineStr">
        <is>
          <t>Down</t>
        </is>
      </c>
      <c r="G1662" t="inlineStr">
        <is>
          <t>Down</t>
        </is>
      </c>
      <c r="H1662" t="inlineStr">
        <is>
          <t>ED_JD</t>
        </is>
      </c>
      <c r="I1662" t="inlineStr">
        <is>
          <t>2012-12</t>
        </is>
      </c>
      <c r="J1662" t="n">
        <v>1</v>
      </c>
      <c r="K1662" t="n">
        <v>1</v>
      </c>
      <c r="L1662" s="34">
        <f>IF($J1662=1,LN(B1663/B1662),"")</f>
        <v/>
      </c>
      <c r="M1662" s="34">
        <f>IF($K1662=1,INDEX(Mensal!$D$2:$D$245,MATCH($I1662,Mensal!$A$2:$A$245,0)),"")</f>
        <v/>
      </c>
      <c r="N1662" s="34">
        <f>IF($K1662=1,L1662-M1662,"")</f>
        <v/>
      </c>
      <c r="O1662" s="34" t="n">
        <v>0.00026481</v>
      </c>
      <c r="P1662" s="34">
        <f>IF($J1662=1,LN(1+O1662),"")</f>
        <v/>
      </c>
      <c r="Q1662" s="34">
        <f>IF($J1662=1,LN(R1663/R1662),"")</f>
        <v/>
      </c>
      <c r="R1662" s="32" t="n">
        <v>2.0569</v>
      </c>
      <c r="S1662" s="35" t="n">
        <v>7.137</v>
      </c>
      <c r="T1662" s="18" t="n"/>
      <c r="U1662" s="18" t="n"/>
      <c r="V1662" s="18" t="n">
        <v>60959</v>
      </c>
      <c r="W1662" s="18" t="n"/>
      <c r="X1662" s="35" t="n"/>
      <c r="Y1662" s="35" t="n">
        <v>7.137</v>
      </c>
    </row>
    <row r="1663">
      <c r="A1663" s="25" t="n">
        <v>41270</v>
      </c>
      <c r="B1663" s="18" t="n">
        <v>60415</v>
      </c>
      <c r="C1663" s="31" t="n"/>
      <c r="D1663" s="32" t="n"/>
      <c r="E1663" s="33" t="n">
        <v>-0.1606</v>
      </c>
      <c r="F1663" t="inlineStr">
        <is>
          <t>Down</t>
        </is>
      </c>
      <c r="G1663" t="inlineStr">
        <is>
          <t>Down</t>
        </is>
      </c>
      <c r="H1663" t="inlineStr">
        <is>
          <t>ED_JD</t>
        </is>
      </c>
      <c r="I1663" t="inlineStr">
        <is>
          <t>2012-12</t>
        </is>
      </c>
      <c r="J1663" t="n">
        <v>1</v>
      </c>
      <c r="K1663" t="n">
        <v>1</v>
      </c>
      <c r="L1663" s="34">
        <f>IF($J1663=1,LN(B1664/B1663),"")</f>
        <v/>
      </c>
      <c r="M1663" s="34">
        <f>IF($K1663=1,INDEX(Mensal!$D$2:$D$245,MATCH($I1663,Mensal!$A$2:$A$245,0)),"")</f>
        <v/>
      </c>
      <c r="N1663" s="34">
        <f>IF($K1663=1,L1663-M1663,"")</f>
        <v/>
      </c>
      <c r="O1663" s="34" t="n">
        <v>0.00026481</v>
      </c>
      <c r="P1663" s="34">
        <f>IF($J1663=1,LN(1+O1663),"")</f>
        <v/>
      </c>
      <c r="Q1663" s="34">
        <f>IF($J1663=1,LN(R1664/R1663),"")</f>
        <v/>
      </c>
      <c r="R1663" s="32" t="n">
        <v>2.0483</v>
      </c>
      <c r="S1663" s="35" t="n">
        <v>7.128</v>
      </c>
      <c r="T1663" s="18" t="n"/>
      <c r="U1663" s="18" t="n"/>
      <c r="V1663" s="18" t="n">
        <v>60415</v>
      </c>
      <c r="W1663" s="18" t="n"/>
      <c r="X1663" s="35" t="n"/>
      <c r="Y1663" s="35" t="n">
        <v>7.128</v>
      </c>
    </row>
    <row r="1664">
      <c r="A1664" s="25" t="n">
        <v>41271</v>
      </c>
      <c r="B1664" s="18" t="n">
        <v>60952</v>
      </c>
      <c r="C1664" s="31" t="n"/>
      <c r="D1664" s="32" t="n"/>
      <c r="E1664" s="33" t="n">
        <v>-0.0963</v>
      </c>
      <c r="F1664" t="inlineStr">
        <is>
          <t>Down</t>
        </is>
      </c>
      <c r="G1664" t="inlineStr">
        <is>
          <t>Down</t>
        </is>
      </c>
      <c r="H1664" t="inlineStr">
        <is>
          <t>ED_JD</t>
        </is>
      </c>
      <c r="I1664" t="inlineStr">
        <is>
          <t>2012-12</t>
        </is>
      </c>
      <c r="J1664" t="n">
        <v>1</v>
      </c>
      <c r="K1664" t="n">
        <v>1</v>
      </c>
      <c r="L1664" s="34">
        <f>IF($J1664=1,LN(B1665/B1664),"")</f>
        <v/>
      </c>
      <c r="M1664" s="34">
        <f>IF($K1664=1,INDEX(Mensal!$D$2:$D$245,MATCH($I1664,Mensal!$A$2:$A$245,0)),"")</f>
        <v/>
      </c>
      <c r="N1664" s="34">
        <f>IF($K1664=1,L1664-M1664,"")</f>
        <v/>
      </c>
      <c r="O1664" s="34" t="n">
        <v>0.00026481</v>
      </c>
      <c r="P1664" s="34">
        <f>IF($J1664=1,LN(1+O1664),"")</f>
        <v/>
      </c>
      <c r="Q1664" s="34">
        <f>IF($J1664=1,LN(R1665/R1664),"")</f>
        <v/>
      </c>
      <c r="R1664" s="32" t="n">
        <v>2.0435</v>
      </c>
      <c r="S1664" s="35" t="n">
        <v>7.136</v>
      </c>
      <c r="T1664" s="18" t="n"/>
      <c r="U1664" s="18" t="n"/>
      <c r="V1664" s="18" t="n">
        <v>60952</v>
      </c>
      <c r="W1664" s="18" t="n"/>
      <c r="X1664" s="35" t="n"/>
      <c r="Y1664" s="35" t="n">
        <v>7.136</v>
      </c>
    </row>
    <row r="1665">
      <c r="A1665" s="25" t="n">
        <v>41276</v>
      </c>
      <c r="B1665" s="18" t="n">
        <v>62550</v>
      </c>
      <c r="C1665" s="31" t="n"/>
      <c r="D1665" s="32" t="n"/>
      <c r="E1665" s="33" t="n">
        <v>-0.0549</v>
      </c>
      <c r="F1665" t="inlineStr">
        <is>
          <t>Down</t>
        </is>
      </c>
      <c r="G1665" t="inlineStr">
        <is>
          <t>Down</t>
        </is>
      </c>
      <c r="H1665" t="inlineStr">
        <is>
          <t>ED_JD</t>
        </is>
      </c>
      <c r="I1665" t="inlineStr">
        <is>
          <t>2013-01</t>
        </is>
      </c>
      <c r="J1665" t="n">
        <v>1</v>
      </c>
      <c r="K1665" t="n">
        <v>1</v>
      </c>
      <c r="L1665" s="34">
        <f>IF($J1665=1,LN(B1666/B1665),"")</f>
        <v/>
      </c>
      <c r="M1665" s="34">
        <f>IF($K1665=1,INDEX(Mensal!$D$2:$D$245,MATCH($I1665,Mensal!$A$2:$A$245,0)),"")</f>
        <v/>
      </c>
      <c r="N1665" s="34">
        <f>IF($K1665=1,L1665-M1665,"")</f>
        <v/>
      </c>
      <c r="O1665" s="34" t="n">
        <v>0.00026555</v>
      </c>
      <c r="P1665" s="34">
        <f>IF($J1665=1,LN(1+O1665),"")</f>
        <v/>
      </c>
      <c r="Q1665" s="34">
        <f>IF($J1665=1,LN(R1666/R1665),"")</f>
        <v/>
      </c>
      <c r="R1665" s="32" t="n">
        <v>2.0415</v>
      </c>
      <c r="S1665" s="35" t="n">
        <v>7.1</v>
      </c>
      <c r="T1665" s="18" t="n"/>
      <c r="U1665" s="18" t="n"/>
      <c r="V1665" s="18" t="n">
        <v>62550</v>
      </c>
      <c r="W1665" s="18" t="n"/>
      <c r="X1665" s="35" t="n"/>
      <c r="Y1665" s="35" t="n">
        <v>7.1</v>
      </c>
    </row>
    <row r="1666">
      <c r="A1666" s="25" t="n">
        <v>41277</v>
      </c>
      <c r="B1666" s="18" t="n">
        <v>63312</v>
      </c>
      <c r="C1666" s="31" t="n"/>
      <c r="D1666" s="32" t="n"/>
      <c r="E1666" s="33" t="n">
        <v>-0.008800000000000001</v>
      </c>
      <c r="F1666" t="inlineStr">
        <is>
          <t>Down</t>
        </is>
      </c>
      <c r="G1666" t="inlineStr">
        <is>
          <t>Down</t>
        </is>
      </c>
      <c r="H1666" t="inlineStr">
        <is>
          <t>ED_JD</t>
        </is>
      </c>
      <c r="I1666" t="inlineStr">
        <is>
          <t>2013-01</t>
        </is>
      </c>
      <c r="J1666" t="n">
        <v>1</v>
      </c>
      <c r="K1666" t="n">
        <v>1</v>
      </c>
      <c r="L1666" s="34">
        <f>IF($J1666=1,LN(B1667/B1666),"")</f>
        <v/>
      </c>
      <c r="M1666" s="34">
        <f>IF($K1666=1,INDEX(Mensal!$D$2:$D$245,MATCH($I1666,Mensal!$A$2:$A$245,0)),"")</f>
        <v/>
      </c>
      <c r="N1666" s="34">
        <f>IF($K1666=1,L1666-M1666,"")</f>
        <v/>
      </c>
      <c r="O1666" s="34" t="n">
        <v>0.00026555</v>
      </c>
      <c r="P1666" s="34">
        <f>IF($J1666=1,LN(1+O1666),"")</f>
        <v/>
      </c>
      <c r="Q1666" s="34">
        <f>IF($J1666=1,LN(R1667/R1666),"")</f>
        <v/>
      </c>
      <c r="R1666" s="32" t="n">
        <v>2.0464</v>
      </c>
      <c r="S1666" s="35" t="n">
        <v>7.11</v>
      </c>
      <c r="T1666" s="18" t="n"/>
      <c r="U1666" s="18" t="n"/>
      <c r="V1666" s="18" t="n">
        <v>63312</v>
      </c>
      <c r="W1666" s="18" t="n"/>
      <c r="X1666" s="35" t="n"/>
      <c r="Y1666" s="35" t="n">
        <v>7.11</v>
      </c>
    </row>
    <row r="1667">
      <c r="A1667" s="25" t="n">
        <v>41278</v>
      </c>
      <c r="B1667" s="18" t="n">
        <v>62523</v>
      </c>
      <c r="C1667" s="31" t="n"/>
      <c r="D1667" s="32" t="n"/>
      <c r="E1667" s="33" t="n">
        <v>0.0305</v>
      </c>
      <c r="F1667" t="inlineStr">
        <is>
          <t>Down</t>
        </is>
      </c>
      <c r="G1667" t="inlineStr">
        <is>
          <t>Down</t>
        </is>
      </c>
      <c r="H1667" t="inlineStr">
        <is>
          <t>ED_JD</t>
        </is>
      </c>
      <c r="I1667" t="inlineStr">
        <is>
          <t>2013-01</t>
        </is>
      </c>
      <c r="J1667" t="n">
        <v>1</v>
      </c>
      <c r="K1667" t="n">
        <v>1</v>
      </c>
      <c r="L1667" s="34">
        <f>IF($J1667=1,LN(B1668/B1667),"")</f>
        <v/>
      </c>
      <c r="M1667" s="34">
        <f>IF($K1667=1,INDEX(Mensal!$D$2:$D$245,MATCH($I1667,Mensal!$A$2:$A$245,0)),"")</f>
        <v/>
      </c>
      <c r="N1667" s="34">
        <f>IF($K1667=1,L1667-M1667,"")</f>
        <v/>
      </c>
      <c r="O1667" s="34" t="n">
        <v>0.00026593</v>
      </c>
      <c r="P1667" s="34">
        <f>IF($J1667=1,LN(1+O1667),"")</f>
        <v/>
      </c>
      <c r="Q1667" s="34">
        <f>IF($J1667=1,LN(R1668/R1667),"")</f>
        <v/>
      </c>
      <c r="R1667" s="32" t="n">
        <v>2.0425</v>
      </c>
      <c r="S1667" s="35" t="n">
        <v>7.13</v>
      </c>
      <c r="T1667" s="18" t="n"/>
      <c r="U1667" s="18" t="n"/>
      <c r="V1667" s="18" t="n">
        <v>62523</v>
      </c>
      <c r="W1667" s="18" t="n"/>
      <c r="X1667" s="35" t="n"/>
      <c r="Y1667" s="35" t="n">
        <v>7.13</v>
      </c>
    </row>
    <row r="1668">
      <c r="A1668" s="25" t="n">
        <v>41281</v>
      </c>
      <c r="B1668" s="18" t="n">
        <v>61932</v>
      </c>
      <c r="C1668" s="31" t="n"/>
      <c r="D1668" s="32" t="n"/>
      <c r="E1668" s="33" t="n">
        <v>0.0307</v>
      </c>
      <c r="F1668" t="inlineStr">
        <is>
          <t>Down</t>
        </is>
      </c>
      <c r="G1668" t="inlineStr">
        <is>
          <t>Down</t>
        </is>
      </c>
      <c r="H1668" t="inlineStr">
        <is>
          <t>ED_JD</t>
        </is>
      </c>
      <c r="I1668" t="inlineStr">
        <is>
          <t>2013-01</t>
        </is>
      </c>
      <c r="J1668" t="n">
        <v>1</v>
      </c>
      <c r="K1668" t="n">
        <v>1</v>
      </c>
      <c r="L1668" s="34">
        <f>IF($J1668=1,LN(B1669/B1668),"")</f>
        <v/>
      </c>
      <c r="M1668" s="34">
        <f>IF($K1668=1,INDEX(Mensal!$D$2:$D$245,MATCH($I1668,Mensal!$A$2:$A$245,0)),"")</f>
        <v/>
      </c>
      <c r="N1668" s="34">
        <f>IF($K1668=1,L1668-M1668,"")</f>
        <v/>
      </c>
      <c r="O1668" s="34" t="n">
        <v>0.00026555</v>
      </c>
      <c r="P1668" s="34">
        <f>IF($J1668=1,LN(1+O1668),"")</f>
        <v/>
      </c>
      <c r="Q1668" s="34">
        <f>IF($J1668=1,LN(R1669/R1668),"")</f>
        <v/>
      </c>
      <c r="R1668" s="32" t="n">
        <v>2.0312</v>
      </c>
      <c r="S1668" s="35" t="n">
        <v>7.12</v>
      </c>
      <c r="T1668" s="18" t="n"/>
      <c r="U1668" s="18" t="n"/>
      <c r="V1668" s="18" t="n">
        <v>61932</v>
      </c>
      <c r="W1668" s="18" t="n"/>
      <c r="X1668" s="35" t="n"/>
      <c r="Y1668" s="35" t="n">
        <v>7.12</v>
      </c>
    </row>
    <row r="1669">
      <c r="A1669" s="25" t="n">
        <v>41282</v>
      </c>
      <c r="B1669" s="18" t="n">
        <v>61127</v>
      </c>
      <c r="C1669" s="31" t="n"/>
      <c r="D1669" s="32" t="n"/>
      <c r="E1669" s="33" t="n">
        <v>0.0289</v>
      </c>
      <c r="F1669" t="inlineStr">
        <is>
          <t>Down</t>
        </is>
      </c>
      <c r="G1669" t="inlineStr">
        <is>
          <t>Down</t>
        </is>
      </c>
      <c r="H1669" t="inlineStr">
        <is>
          <t>ED_JD</t>
        </is>
      </c>
      <c r="I1669" t="inlineStr">
        <is>
          <t>2013-01</t>
        </is>
      </c>
      <c r="J1669" t="n">
        <v>1</v>
      </c>
      <c r="K1669" t="n">
        <v>1</v>
      </c>
      <c r="L1669" s="34">
        <f>IF($J1669=1,LN(B1670/B1669),"")</f>
        <v/>
      </c>
      <c r="M1669" s="34">
        <f>IF($K1669=1,INDEX(Mensal!$D$2:$D$245,MATCH($I1669,Mensal!$A$2:$A$245,0)),"")</f>
        <v/>
      </c>
      <c r="N1669" s="34">
        <f>IF($K1669=1,L1669-M1669,"")</f>
        <v/>
      </c>
      <c r="O1669" s="34" t="n">
        <v>0.00026518</v>
      </c>
      <c r="P1669" s="34">
        <f>IF($J1669=1,LN(1+O1669),"")</f>
        <v/>
      </c>
      <c r="Q1669" s="34">
        <f>IF($J1669=1,LN(R1670/R1669),"")</f>
        <v/>
      </c>
      <c r="R1669" s="32" t="n">
        <v>2.0286</v>
      </c>
      <c r="S1669" s="35" t="n">
        <v>7.161</v>
      </c>
      <c r="T1669" s="18" t="n"/>
      <c r="U1669" s="18" t="n"/>
      <c r="V1669" s="18" t="n">
        <v>61127</v>
      </c>
      <c r="W1669" s="18" t="n"/>
      <c r="X1669" s="35" t="n"/>
      <c r="Y1669" s="35" t="n">
        <v>7.161</v>
      </c>
    </row>
    <row r="1670">
      <c r="A1670" s="25" t="n">
        <v>41283</v>
      </c>
      <c r="B1670" s="18" t="n">
        <v>61578</v>
      </c>
      <c r="C1670" s="31" t="n"/>
      <c r="D1670" s="32" t="n"/>
      <c r="E1670" s="33" t="n">
        <v>0.0351</v>
      </c>
      <c r="F1670" t="inlineStr">
        <is>
          <t>Down</t>
        </is>
      </c>
      <c r="G1670" t="inlineStr">
        <is>
          <t>Down</t>
        </is>
      </c>
      <c r="H1670" t="inlineStr">
        <is>
          <t>ED_JD</t>
        </is>
      </c>
      <c r="I1670" t="inlineStr">
        <is>
          <t>2013-01</t>
        </is>
      </c>
      <c r="J1670" t="n">
        <v>1</v>
      </c>
      <c r="K1670" t="n">
        <v>1</v>
      </c>
      <c r="L1670" s="34">
        <f>IF($J1670=1,LN(B1671/B1670),"")</f>
        <v/>
      </c>
      <c r="M1670" s="34">
        <f>IF($K1670=1,INDEX(Mensal!$D$2:$D$245,MATCH($I1670,Mensal!$A$2:$A$245,0)),"")</f>
        <v/>
      </c>
      <c r="N1670" s="34">
        <f>IF($K1670=1,L1670-M1670,"")</f>
        <v/>
      </c>
      <c r="O1670" s="34" t="n">
        <v>0.00026481</v>
      </c>
      <c r="P1670" s="34">
        <f>IF($J1670=1,LN(1+O1670),"")</f>
        <v/>
      </c>
      <c r="Q1670" s="34">
        <f>IF($J1670=1,LN(R1671/R1670),"")</f>
        <v/>
      </c>
      <c r="R1670" s="32" t="n">
        <v>2.0417</v>
      </c>
      <c r="S1670" s="35" t="n">
        <v>7.142</v>
      </c>
      <c r="T1670" s="18" t="n"/>
      <c r="U1670" s="18" t="n"/>
      <c r="V1670" s="18" t="n">
        <v>61578</v>
      </c>
      <c r="W1670" s="18" t="n"/>
      <c r="X1670" s="35" t="n"/>
      <c r="Y1670" s="35" t="n">
        <v>7.142</v>
      </c>
    </row>
    <row r="1671">
      <c r="A1671" s="25" t="n">
        <v>41284</v>
      </c>
      <c r="B1671" s="18" t="n">
        <v>61678</v>
      </c>
      <c r="C1671" s="31" t="n"/>
      <c r="D1671" s="32" t="n"/>
      <c r="E1671" s="33" t="n">
        <v>0.0361</v>
      </c>
      <c r="F1671" t="inlineStr">
        <is>
          <t>Down</t>
        </is>
      </c>
      <c r="G1671" t="inlineStr">
        <is>
          <t>Down</t>
        </is>
      </c>
      <c r="H1671" t="inlineStr">
        <is>
          <t>ED_JD</t>
        </is>
      </c>
      <c r="I1671" t="inlineStr">
        <is>
          <t>2013-01</t>
        </is>
      </c>
      <c r="J1671" t="n">
        <v>1</v>
      </c>
      <c r="K1671" t="n">
        <v>1</v>
      </c>
      <c r="L1671" s="34">
        <f>IF($J1671=1,LN(B1672/B1671),"")</f>
        <v/>
      </c>
      <c r="M1671" s="34">
        <f>IF($K1671=1,INDEX(Mensal!$D$2:$D$245,MATCH($I1671,Mensal!$A$2:$A$245,0)),"")</f>
        <v/>
      </c>
      <c r="N1671" s="34">
        <f>IF($K1671=1,L1671-M1671,"")</f>
        <v/>
      </c>
      <c r="O1671" s="34" t="n">
        <v>0.00026518</v>
      </c>
      <c r="P1671" s="34">
        <f>IF($J1671=1,LN(1+O1671),"")</f>
        <v/>
      </c>
      <c r="Q1671" s="34">
        <f>IF($J1671=1,LN(R1672/R1671),"")</f>
        <v/>
      </c>
      <c r="R1671" s="32" t="n">
        <v>2.0358</v>
      </c>
      <c r="S1671" s="35" t="n">
        <v>7.122</v>
      </c>
      <c r="T1671" s="18" t="n"/>
      <c r="U1671" s="18" t="n"/>
      <c r="V1671" s="18" t="n">
        <v>61678</v>
      </c>
      <c r="W1671" s="18" t="n"/>
      <c r="X1671" s="35" t="n"/>
      <c r="Y1671" s="35" t="n">
        <v>7.122</v>
      </c>
    </row>
    <row r="1672">
      <c r="A1672" s="25" t="n">
        <v>41285</v>
      </c>
      <c r="B1672" s="18" t="n">
        <v>61497</v>
      </c>
      <c r="C1672" s="31" t="n"/>
      <c r="D1672" s="32" t="n"/>
      <c r="E1672" s="33" t="n">
        <v>0.0397</v>
      </c>
      <c r="F1672" t="inlineStr">
        <is>
          <t>Down</t>
        </is>
      </c>
      <c r="G1672" t="inlineStr">
        <is>
          <t>Down</t>
        </is>
      </c>
      <c r="H1672" t="inlineStr">
        <is>
          <t>ED_JD</t>
        </is>
      </c>
      <c r="I1672" t="inlineStr">
        <is>
          <t>2013-01</t>
        </is>
      </c>
      <c r="J1672" t="n">
        <v>1</v>
      </c>
      <c r="K1672" t="n">
        <v>1</v>
      </c>
      <c r="L1672" s="34">
        <f>IF($J1672=1,LN(B1673/B1672),"")</f>
        <v/>
      </c>
      <c r="M1672" s="34">
        <f>IF($K1672=1,INDEX(Mensal!$D$2:$D$245,MATCH($I1672,Mensal!$A$2:$A$245,0)),"")</f>
        <v/>
      </c>
      <c r="N1672" s="34">
        <f>IF($K1672=1,L1672-M1672,"")</f>
        <v/>
      </c>
      <c r="O1672" s="34" t="n">
        <v>0.00026555</v>
      </c>
      <c r="P1672" s="34">
        <f>IF($J1672=1,LN(1+O1672),"")</f>
        <v/>
      </c>
      <c r="Q1672" s="34">
        <f>IF($J1672=1,LN(R1673/R1672),"")</f>
        <v/>
      </c>
      <c r="R1672" s="32" t="n">
        <v>2.0341</v>
      </c>
      <c r="S1672" s="35" t="n">
        <v>7.112</v>
      </c>
      <c r="T1672" s="18" t="n"/>
      <c r="U1672" s="18" t="n"/>
      <c r="V1672" s="18" t="n">
        <v>61497</v>
      </c>
      <c r="W1672" s="18" t="n"/>
      <c r="X1672" s="35" t="n"/>
      <c r="Y1672" s="35" t="n">
        <v>7.112</v>
      </c>
    </row>
    <row r="1673">
      <c r="A1673" s="25" t="n">
        <v>41288</v>
      </c>
      <c r="B1673" s="18" t="n">
        <v>62080</v>
      </c>
      <c r="C1673" s="31" t="n"/>
      <c r="D1673" s="32" t="n"/>
      <c r="E1673" s="33" t="n">
        <v>0.0451</v>
      </c>
      <c r="F1673" t="inlineStr">
        <is>
          <t>Down</t>
        </is>
      </c>
      <c r="G1673" t="inlineStr">
        <is>
          <t>Down</t>
        </is>
      </c>
      <c r="H1673" t="inlineStr">
        <is>
          <t>ED_JD</t>
        </is>
      </c>
      <c r="I1673" t="inlineStr">
        <is>
          <t>2013-01</t>
        </is>
      </c>
      <c r="J1673" t="n">
        <v>1</v>
      </c>
      <c r="K1673" t="n">
        <v>1</v>
      </c>
      <c r="L1673" s="34">
        <f>IF($J1673=1,LN(B1674/B1673),"")</f>
        <v/>
      </c>
      <c r="M1673" s="34">
        <f>IF($K1673=1,INDEX(Mensal!$D$2:$D$245,MATCH($I1673,Mensal!$A$2:$A$245,0)),"")</f>
        <v/>
      </c>
      <c r="N1673" s="34">
        <f>IF($K1673=1,L1673-M1673,"")</f>
        <v/>
      </c>
      <c r="O1673" s="34" t="n">
        <v>0.00026593</v>
      </c>
      <c r="P1673" s="34">
        <f>IF($J1673=1,LN(1+O1673),"")</f>
        <v/>
      </c>
      <c r="Q1673" s="34">
        <f>IF($J1673=1,LN(R1674/R1673),"")</f>
        <v/>
      </c>
      <c r="R1673" s="32" t="n">
        <v>2.0334</v>
      </c>
      <c r="S1673" s="35" t="n">
        <v>7.106</v>
      </c>
      <c r="T1673" s="18" t="n"/>
      <c r="U1673" s="18" t="n"/>
      <c r="V1673" s="18" t="n">
        <v>62080</v>
      </c>
      <c r="W1673" s="18" t="n"/>
      <c r="X1673" s="35" t="n"/>
      <c r="Y1673" s="35" t="n">
        <v>7.106</v>
      </c>
    </row>
    <row r="1674">
      <c r="A1674" s="25" t="n">
        <v>41289</v>
      </c>
      <c r="B1674" s="18" t="n">
        <v>61727</v>
      </c>
      <c r="C1674" s="31" t="n"/>
      <c r="D1674" s="32" t="n"/>
      <c r="E1674" s="33" t="n">
        <v>0.052</v>
      </c>
      <c r="F1674" t="inlineStr">
        <is>
          <t>Down</t>
        </is>
      </c>
      <c r="G1674" t="inlineStr">
        <is>
          <t>Down</t>
        </is>
      </c>
      <c r="H1674" t="inlineStr">
        <is>
          <t>ED_JD</t>
        </is>
      </c>
      <c r="I1674" t="inlineStr">
        <is>
          <t>2013-01</t>
        </is>
      </c>
      <c r="J1674" t="n">
        <v>1</v>
      </c>
      <c r="K1674" t="n">
        <v>1</v>
      </c>
      <c r="L1674" s="34">
        <f>IF($J1674=1,LN(B1675/B1674),"")</f>
        <v/>
      </c>
      <c r="M1674" s="34">
        <f>IF($K1674=1,INDEX(Mensal!$D$2:$D$245,MATCH($I1674,Mensal!$A$2:$A$245,0)),"")</f>
        <v/>
      </c>
      <c r="N1674" s="34">
        <f>IF($K1674=1,L1674-M1674,"")</f>
        <v/>
      </c>
      <c r="O1674" s="34" t="n">
        <v>0.0002663</v>
      </c>
      <c r="P1674" s="34">
        <f>IF($J1674=1,LN(1+O1674),"")</f>
        <v/>
      </c>
      <c r="Q1674" s="34">
        <f>IF($J1674=1,LN(R1675/R1674),"")</f>
        <v/>
      </c>
      <c r="R1674" s="32" t="n">
        <v>2.0374</v>
      </c>
      <c r="S1674" s="35" t="n">
        <v>7.116</v>
      </c>
      <c r="T1674" s="18" t="n"/>
      <c r="U1674" s="18" t="n"/>
      <c r="V1674" s="18" t="n">
        <v>61727</v>
      </c>
      <c r="W1674" s="18" t="n"/>
      <c r="X1674" s="35" t="n"/>
      <c r="Y1674" s="35" t="n">
        <v>7.116</v>
      </c>
    </row>
    <row r="1675">
      <c r="A1675" s="25" t="n">
        <v>41290</v>
      </c>
      <c r="B1675" s="18" t="n">
        <v>61787</v>
      </c>
      <c r="C1675" s="31" t="n"/>
      <c r="D1675" s="32" t="n"/>
      <c r="E1675" s="33" t="n">
        <v>0.0515</v>
      </c>
      <c r="F1675" t="inlineStr">
        <is>
          <t>Down</t>
        </is>
      </c>
      <c r="G1675" t="inlineStr">
        <is>
          <t>Down</t>
        </is>
      </c>
      <c r="H1675" t="inlineStr">
        <is>
          <t>ED_JD</t>
        </is>
      </c>
      <c r="I1675" t="inlineStr">
        <is>
          <t>2013-01</t>
        </is>
      </c>
      <c r="J1675" t="n">
        <v>1</v>
      </c>
      <c r="K1675" t="n">
        <v>1</v>
      </c>
      <c r="L1675" s="34">
        <f>IF($J1675=1,LN(B1676/B1675),"")</f>
        <v/>
      </c>
      <c r="M1675" s="34">
        <f>IF($K1675=1,INDEX(Mensal!$D$2:$D$245,MATCH($I1675,Mensal!$A$2:$A$245,0)),"")</f>
        <v/>
      </c>
      <c r="N1675" s="34">
        <f>IF($K1675=1,L1675-M1675,"")</f>
        <v/>
      </c>
      <c r="O1675" s="34" t="n">
        <v>0.0002663</v>
      </c>
      <c r="P1675" s="34">
        <f>IF($J1675=1,LN(1+O1675),"")</f>
        <v/>
      </c>
      <c r="Q1675" s="34">
        <f>IF($J1675=1,LN(R1676/R1675),"")</f>
        <v/>
      </c>
      <c r="R1675" s="32" t="n">
        <v>2.0409</v>
      </c>
      <c r="S1675" s="35" t="n">
        <v>7.168</v>
      </c>
      <c r="T1675" s="18" t="n"/>
      <c r="U1675" s="18" t="n"/>
      <c r="V1675" s="18" t="n">
        <v>61787</v>
      </c>
      <c r="W1675" s="18" t="n"/>
      <c r="X1675" s="35" t="n"/>
      <c r="Y1675" s="35" t="n">
        <v>7.168</v>
      </c>
    </row>
    <row r="1676">
      <c r="A1676" s="25" t="n">
        <v>41291</v>
      </c>
      <c r="B1676" s="18" t="n">
        <v>62194</v>
      </c>
      <c r="C1676" s="31" t="n"/>
      <c r="D1676" s="32" t="n"/>
      <c r="E1676" s="33" t="n">
        <v>0.0507</v>
      </c>
      <c r="F1676" t="inlineStr">
        <is>
          <t>Down</t>
        </is>
      </c>
      <c r="G1676" t="inlineStr">
        <is>
          <t>Down</t>
        </is>
      </c>
      <c r="H1676" t="inlineStr">
        <is>
          <t>ED_JD</t>
        </is>
      </c>
      <c r="I1676" t="inlineStr">
        <is>
          <t>2013-01</t>
        </is>
      </c>
      <c r="J1676" t="n">
        <v>1</v>
      </c>
      <c r="K1676" t="n">
        <v>1</v>
      </c>
      <c r="L1676" s="34">
        <f>IF($J1676=1,LN(B1677/B1676),"")</f>
        <v/>
      </c>
      <c r="M1676" s="34">
        <f>IF($K1676=1,INDEX(Mensal!$D$2:$D$245,MATCH($I1676,Mensal!$A$2:$A$245,0)),"")</f>
        <v/>
      </c>
      <c r="N1676" s="34">
        <f>IF($K1676=1,L1676-M1676,"")</f>
        <v/>
      </c>
      <c r="O1676" s="34" t="n">
        <v>0.0002663</v>
      </c>
      <c r="P1676" s="34">
        <f>IF($J1676=1,LN(1+O1676),"")</f>
        <v/>
      </c>
      <c r="Q1676" s="34">
        <f>IF($J1676=1,LN(R1677/R1676),"")</f>
        <v/>
      </c>
      <c r="R1676" s="32" t="n">
        <v>2.0411</v>
      </c>
      <c r="S1676" s="35" t="n">
        <v>7.203</v>
      </c>
      <c r="T1676" s="18" t="n"/>
      <c r="U1676" s="18" t="n"/>
      <c r="V1676" s="18" t="n">
        <v>62194</v>
      </c>
      <c r="W1676" s="18" t="n"/>
      <c r="X1676" s="35" t="n"/>
      <c r="Y1676" s="35" t="n">
        <v>7.203</v>
      </c>
    </row>
    <row r="1677">
      <c r="A1677" s="25" t="n">
        <v>41292</v>
      </c>
      <c r="B1677" s="18" t="n">
        <v>61956</v>
      </c>
      <c r="C1677" s="31" t="n"/>
      <c r="D1677" s="32" t="n"/>
      <c r="E1677" s="33" t="n">
        <v>0.0425</v>
      </c>
      <c r="F1677" t="inlineStr">
        <is>
          <t>Down</t>
        </is>
      </c>
      <c r="G1677" t="inlineStr">
        <is>
          <t>Down</t>
        </is>
      </c>
      <c r="H1677" t="inlineStr">
        <is>
          <t>ED_JD</t>
        </is>
      </c>
      <c r="I1677" t="inlineStr">
        <is>
          <t>2013-01</t>
        </is>
      </c>
      <c r="J1677" t="n">
        <v>1</v>
      </c>
      <c r="K1677" t="n">
        <v>1</v>
      </c>
      <c r="L1677" s="34">
        <f>IF($J1677=1,LN(B1678/B1677),"")</f>
        <v/>
      </c>
      <c r="M1677" s="34">
        <f>IF($K1677=1,INDEX(Mensal!$D$2:$D$245,MATCH($I1677,Mensal!$A$2:$A$245,0)),"")</f>
        <v/>
      </c>
      <c r="N1677" s="34">
        <f>IF($K1677=1,L1677-M1677,"")</f>
        <v/>
      </c>
      <c r="O1677" s="34" t="n">
        <v>0.00026555</v>
      </c>
      <c r="P1677" s="34">
        <f>IF($J1677=1,LN(1+O1677),"")</f>
        <v/>
      </c>
      <c r="Q1677" s="34">
        <f>IF($J1677=1,LN(R1678/R1677),"")</f>
        <v/>
      </c>
      <c r="R1677" s="32" t="n">
        <v>2.0441</v>
      </c>
      <c r="S1677" s="35" t="n">
        <v>7.193</v>
      </c>
      <c r="T1677" s="18" t="n"/>
      <c r="U1677" s="18" t="n"/>
      <c r="V1677" s="18" t="n">
        <v>61956</v>
      </c>
      <c r="W1677" s="18" t="n"/>
      <c r="X1677" s="35" t="n"/>
      <c r="Y1677" s="35" t="n">
        <v>7.193</v>
      </c>
    </row>
    <row r="1678">
      <c r="A1678" s="25" t="n">
        <v>41295</v>
      </c>
      <c r="B1678" s="18" t="n">
        <v>61899</v>
      </c>
      <c r="C1678" s="31" t="n"/>
      <c r="D1678" s="32" t="n"/>
      <c r="E1678" s="33" t="n">
        <v>0.0383</v>
      </c>
      <c r="F1678" t="inlineStr">
        <is>
          <t>Down</t>
        </is>
      </c>
      <c r="G1678" t="inlineStr">
        <is>
          <t>Down</t>
        </is>
      </c>
      <c r="H1678" t="inlineStr">
        <is>
          <t>ED_JD</t>
        </is>
      </c>
      <c r="I1678" t="inlineStr">
        <is>
          <t>2013-01</t>
        </is>
      </c>
      <c r="J1678" t="n">
        <v>1</v>
      </c>
      <c r="K1678" t="n">
        <v>1</v>
      </c>
      <c r="L1678" s="34">
        <f>IF($J1678=1,LN(B1679/B1678),"")</f>
        <v/>
      </c>
      <c r="M1678" s="34">
        <f>IF($K1678=1,INDEX(Mensal!$D$2:$D$245,MATCH($I1678,Mensal!$A$2:$A$245,0)),"")</f>
        <v/>
      </c>
      <c r="N1678" s="34">
        <f>IF($K1678=1,L1678-M1678,"")</f>
        <v/>
      </c>
      <c r="O1678" s="34" t="n">
        <v>0.00026593</v>
      </c>
      <c r="P1678" s="34">
        <f>IF($J1678=1,LN(1+O1678),"")</f>
        <v/>
      </c>
      <c r="Q1678" s="34">
        <f>IF($J1678=1,LN(R1679/R1678),"")</f>
        <v/>
      </c>
      <c r="R1678" s="32" t="n">
        <v>2.042</v>
      </c>
      <c r="S1678" s="35" t="n">
        <v>7.146</v>
      </c>
      <c r="T1678" s="18" t="n"/>
      <c r="U1678" s="18" t="n"/>
      <c r="V1678" s="18" t="n">
        <v>61899</v>
      </c>
      <c r="W1678" s="18" t="n"/>
      <c r="X1678" s="35" t="n"/>
      <c r="Y1678" s="35" t="n">
        <v>7.146</v>
      </c>
    </row>
    <row r="1679">
      <c r="A1679" s="25" t="n">
        <v>41296</v>
      </c>
      <c r="B1679" s="18" t="n">
        <v>61692</v>
      </c>
      <c r="C1679" s="31" t="n"/>
      <c r="D1679" s="32" t="n"/>
      <c r="E1679" s="33" t="n">
        <v>0.0317</v>
      </c>
      <c r="F1679" t="inlineStr">
        <is>
          <t>Down</t>
        </is>
      </c>
      <c r="G1679" t="inlineStr">
        <is>
          <t>Down</t>
        </is>
      </c>
      <c r="H1679" t="inlineStr">
        <is>
          <t>ED_JD</t>
        </is>
      </c>
      <c r="I1679" t="inlineStr">
        <is>
          <t>2013-01</t>
        </is>
      </c>
      <c r="J1679" t="n">
        <v>1</v>
      </c>
      <c r="K1679" t="n">
        <v>1</v>
      </c>
      <c r="L1679" s="34">
        <f>IF($J1679=1,LN(B1680/B1679),"")</f>
        <v/>
      </c>
      <c r="M1679" s="34">
        <f>IF($K1679=1,INDEX(Mensal!$D$2:$D$245,MATCH($I1679,Mensal!$A$2:$A$245,0)),"")</f>
        <v/>
      </c>
      <c r="N1679" s="34">
        <f>IF($K1679=1,L1679-M1679,"")</f>
        <v/>
      </c>
      <c r="O1679" s="34" t="n">
        <v>0.00026593</v>
      </c>
      <c r="P1679" s="34">
        <f>IF($J1679=1,LN(1+O1679),"")</f>
        <v/>
      </c>
      <c r="Q1679" s="34">
        <f>IF($J1679=1,LN(R1680/R1679),"")</f>
        <v/>
      </c>
      <c r="R1679" s="32" t="n">
        <v>2.0471</v>
      </c>
      <c r="S1679" s="35" t="n">
        <v>7.189</v>
      </c>
      <c r="T1679" s="18" t="n"/>
      <c r="U1679" s="18" t="n"/>
      <c r="V1679" s="18" t="n">
        <v>61692</v>
      </c>
      <c r="W1679" s="18" t="n"/>
      <c r="X1679" s="35" t="n"/>
      <c r="Y1679" s="35" t="n">
        <v>7.189</v>
      </c>
    </row>
    <row r="1680">
      <c r="A1680" s="25" t="n">
        <v>41297</v>
      </c>
      <c r="B1680" s="18" t="n">
        <v>61966</v>
      </c>
      <c r="C1680" s="31" t="n"/>
      <c r="D1680" s="32" t="n"/>
      <c r="E1680" s="33" t="n">
        <v>0.0366</v>
      </c>
      <c r="F1680" t="inlineStr">
        <is>
          <t>Down</t>
        </is>
      </c>
      <c r="G1680" t="inlineStr">
        <is>
          <t>Down</t>
        </is>
      </c>
      <c r="H1680" t="inlineStr">
        <is>
          <t>ED_JD</t>
        </is>
      </c>
      <c r="I1680" t="inlineStr">
        <is>
          <t>2013-01</t>
        </is>
      </c>
      <c r="J1680" t="n">
        <v>1</v>
      </c>
      <c r="K1680" t="n">
        <v>1</v>
      </c>
      <c r="L1680" s="34">
        <f>IF($J1680=1,LN(B1681/B1680),"")</f>
        <v/>
      </c>
      <c r="M1680" s="34">
        <f>IF($K1680=1,INDEX(Mensal!$D$2:$D$245,MATCH($I1680,Mensal!$A$2:$A$245,0)),"")</f>
        <v/>
      </c>
      <c r="N1680" s="34">
        <f>IF($K1680=1,L1680-M1680,"")</f>
        <v/>
      </c>
      <c r="O1680" s="34" t="n">
        <v>0.00026593</v>
      </c>
      <c r="P1680" s="34">
        <f>IF($J1680=1,LN(1+O1680),"")</f>
        <v/>
      </c>
      <c r="Q1680" s="34">
        <f>IF($J1680=1,LN(R1681/R1680),"")</f>
        <v/>
      </c>
      <c r="R1680" s="32" t="n">
        <v>2.0394</v>
      </c>
      <c r="S1680" s="35" t="n">
        <v>7.201</v>
      </c>
      <c r="T1680" s="18" t="n"/>
      <c r="U1680" s="18" t="n"/>
      <c r="V1680" s="18" t="n">
        <v>61966</v>
      </c>
      <c r="W1680" s="18" t="n"/>
      <c r="X1680" s="35" t="n"/>
      <c r="Y1680" s="35" t="n">
        <v>7.201</v>
      </c>
    </row>
    <row r="1681">
      <c r="A1681" s="25" t="n">
        <v>41298</v>
      </c>
      <c r="B1681" s="18" t="n">
        <v>61169</v>
      </c>
      <c r="C1681" s="31" t="n"/>
      <c r="D1681" s="32" t="n"/>
      <c r="E1681" s="33" t="n">
        <v>0.0388</v>
      </c>
      <c r="F1681" t="inlineStr">
        <is>
          <t>Down</t>
        </is>
      </c>
      <c r="G1681" t="inlineStr">
        <is>
          <t>Down</t>
        </is>
      </c>
      <c r="H1681" t="inlineStr">
        <is>
          <t>ED_JD</t>
        </is>
      </c>
      <c r="I1681" t="inlineStr">
        <is>
          <t>2013-01</t>
        </is>
      </c>
      <c r="J1681" t="n">
        <v>1</v>
      </c>
      <c r="K1681" t="n">
        <v>1</v>
      </c>
      <c r="L1681" s="34">
        <f>IF($J1681=1,LN(B1682/B1681),"")</f>
        <v/>
      </c>
      <c r="M1681" s="34">
        <f>IF($K1681=1,INDEX(Mensal!$D$2:$D$245,MATCH($I1681,Mensal!$A$2:$A$245,0)),"")</f>
        <v/>
      </c>
      <c r="N1681" s="34">
        <f>IF($K1681=1,L1681-M1681,"")</f>
        <v/>
      </c>
      <c r="O1681" s="34" t="n">
        <v>0.00026593</v>
      </c>
      <c r="P1681" s="34">
        <f>IF($J1681=1,LN(1+O1681),"")</f>
        <v/>
      </c>
      <c r="Q1681" s="34">
        <f>IF($J1681=1,LN(R1682/R1681),"")</f>
        <v/>
      </c>
      <c r="R1681" s="32" t="n">
        <v>2.0344</v>
      </c>
      <c r="S1681" s="35" t="n">
        <v>7.274</v>
      </c>
      <c r="T1681" s="18" t="n"/>
      <c r="U1681" s="18" t="n"/>
      <c r="V1681" s="18" t="n">
        <v>61169</v>
      </c>
      <c r="W1681" s="18" t="n"/>
      <c r="X1681" s="35" t="n"/>
      <c r="Y1681" s="35" t="n">
        <v>7.274</v>
      </c>
    </row>
    <row r="1682">
      <c r="A1682" s="25" t="n">
        <v>41302</v>
      </c>
      <c r="B1682" s="18" t="n">
        <v>60027</v>
      </c>
      <c r="C1682" s="31" t="n"/>
      <c r="D1682" s="32" t="n"/>
      <c r="E1682" s="33" t="n">
        <v>0.0409</v>
      </c>
      <c r="F1682" t="inlineStr">
        <is>
          <t>Down</t>
        </is>
      </c>
      <c r="G1682" t="inlineStr">
        <is>
          <t>Down</t>
        </is>
      </c>
      <c r="H1682" t="inlineStr">
        <is>
          <t>ED_JD</t>
        </is>
      </c>
      <c r="I1682" t="inlineStr">
        <is>
          <t>2013-01</t>
        </is>
      </c>
      <c r="J1682" t="n">
        <v>1</v>
      </c>
      <c r="K1682" t="n">
        <v>1</v>
      </c>
      <c r="L1682" s="34">
        <f>IF($J1682=1,LN(B1683/B1682),"")</f>
        <v/>
      </c>
      <c r="M1682" s="34">
        <f>IF($K1682=1,INDEX(Mensal!$D$2:$D$245,MATCH($I1682,Mensal!$A$2:$A$245,0)),"")</f>
        <v/>
      </c>
      <c r="N1682" s="34">
        <f>IF($K1682=1,L1682-M1682,"")</f>
        <v/>
      </c>
      <c r="O1682" s="34" t="n">
        <v>0.0002663</v>
      </c>
      <c r="P1682" s="34">
        <f>IF($J1682=1,LN(1+O1682),"")</f>
        <v/>
      </c>
      <c r="Q1682" s="34">
        <f>IF($J1682=1,LN(R1683/R1682),"")</f>
        <v/>
      </c>
      <c r="R1682" s="32" t="n">
        <v>2.0241</v>
      </c>
      <c r="S1682" s="35" t="n">
        <v>7.269</v>
      </c>
      <c r="T1682" s="18" t="n"/>
      <c r="U1682" s="18" t="n"/>
      <c r="V1682" s="18" t="n">
        <v>60027</v>
      </c>
      <c r="W1682" s="18" t="n"/>
      <c r="X1682" s="35" t="n"/>
      <c r="Y1682" s="35" t="n">
        <v>7.269</v>
      </c>
    </row>
    <row r="1683">
      <c r="A1683" s="25" t="n">
        <v>41303</v>
      </c>
      <c r="B1683" s="18" t="n">
        <v>60406</v>
      </c>
      <c r="C1683" s="31" t="n"/>
      <c r="D1683" s="32" t="n"/>
      <c r="E1683" s="33" t="n">
        <v>0.0348</v>
      </c>
      <c r="F1683" t="inlineStr">
        <is>
          <t>Down</t>
        </is>
      </c>
      <c r="G1683" t="inlineStr">
        <is>
          <t>Down</t>
        </is>
      </c>
      <c r="H1683" t="inlineStr">
        <is>
          <t>ED_JD</t>
        </is>
      </c>
      <c r="I1683" t="inlineStr">
        <is>
          <t>2013-01</t>
        </is>
      </c>
      <c r="J1683" t="n">
        <v>1</v>
      </c>
      <c r="K1683" t="n">
        <v>1</v>
      </c>
      <c r="L1683" s="34">
        <f>IF($J1683=1,LN(B1684/B1683),"")</f>
        <v/>
      </c>
      <c r="M1683" s="34">
        <f>IF($K1683=1,INDEX(Mensal!$D$2:$D$245,MATCH($I1683,Mensal!$A$2:$A$245,0)),"")</f>
        <v/>
      </c>
      <c r="N1683" s="34">
        <f>IF($K1683=1,L1683-M1683,"")</f>
        <v/>
      </c>
      <c r="O1683" s="34" t="n">
        <v>0.00026667</v>
      </c>
      <c r="P1683" s="34">
        <f>IF($J1683=1,LN(1+O1683),"")</f>
        <v/>
      </c>
      <c r="Q1683" s="34">
        <f>IF($J1683=1,LN(R1684/R1683),"")</f>
        <v/>
      </c>
      <c r="R1683" s="32" t="n">
        <v>1.9912</v>
      </c>
      <c r="S1683" s="35" t="n">
        <v>7.224</v>
      </c>
      <c r="T1683" s="18" t="n"/>
      <c r="U1683" s="18" t="n"/>
      <c r="V1683" s="18" t="n">
        <v>60406</v>
      </c>
      <c r="W1683" s="18" t="n"/>
      <c r="X1683" s="35" t="n"/>
      <c r="Y1683" s="35" t="n">
        <v>7.224</v>
      </c>
    </row>
    <row r="1684">
      <c r="A1684" s="25" t="n">
        <v>41304</v>
      </c>
      <c r="B1684" s="18" t="n">
        <v>59336</v>
      </c>
      <c r="C1684" s="31" t="n"/>
      <c r="D1684" s="32" t="n"/>
      <c r="E1684" s="33" t="n">
        <v>0.0387</v>
      </c>
      <c r="F1684" t="inlineStr">
        <is>
          <t>Down</t>
        </is>
      </c>
      <c r="G1684" t="inlineStr">
        <is>
          <t>Down</t>
        </is>
      </c>
      <c r="H1684" t="inlineStr">
        <is>
          <t>ED_JD</t>
        </is>
      </c>
      <c r="I1684" t="inlineStr">
        <is>
          <t>2013-01</t>
        </is>
      </c>
      <c r="J1684" t="n">
        <v>1</v>
      </c>
      <c r="K1684" t="n">
        <v>1</v>
      </c>
      <c r="L1684" s="34">
        <f>IF($J1684=1,LN(B1685/B1684),"")</f>
        <v/>
      </c>
      <c r="M1684" s="34">
        <f>IF($K1684=1,INDEX(Mensal!$D$2:$D$245,MATCH($I1684,Mensal!$A$2:$A$245,0)),"")</f>
        <v/>
      </c>
      <c r="N1684" s="34">
        <f>IF($K1684=1,L1684-M1684,"")</f>
        <v/>
      </c>
      <c r="O1684" s="34" t="n">
        <v>0.00026667</v>
      </c>
      <c r="P1684" s="34">
        <f>IF($J1684=1,LN(1+O1684),"")</f>
        <v/>
      </c>
      <c r="Q1684" s="34">
        <f>IF($J1684=1,LN(R1685/R1684),"")</f>
        <v/>
      </c>
      <c r="R1684" s="32" t="n">
        <v>1.99</v>
      </c>
      <c r="S1684" s="35" t="n">
        <v>7.236</v>
      </c>
      <c r="T1684" s="18" t="n"/>
      <c r="U1684" s="18" t="n"/>
      <c r="V1684" s="18" t="n">
        <v>59336</v>
      </c>
      <c r="W1684" s="18" t="n"/>
      <c r="X1684" s="35" t="n"/>
      <c r="Y1684" s="35" t="n">
        <v>7.236</v>
      </c>
    </row>
    <row r="1685">
      <c r="A1685" s="25" t="n">
        <v>41305</v>
      </c>
      <c r="B1685" s="18" t="n">
        <v>59761</v>
      </c>
      <c r="C1685" s="31" t="n"/>
      <c r="D1685" s="32" t="n"/>
      <c r="E1685" s="33" t="n">
        <v>0.0463</v>
      </c>
      <c r="F1685" t="inlineStr">
        <is>
          <t>Down</t>
        </is>
      </c>
      <c r="G1685" t="inlineStr">
        <is>
          <t>Down</t>
        </is>
      </c>
      <c r="H1685" t="inlineStr">
        <is>
          <t>ED_JD</t>
        </is>
      </c>
      <c r="I1685" t="inlineStr">
        <is>
          <t>2013-01</t>
        </is>
      </c>
      <c r="J1685" t="n">
        <v>1</v>
      </c>
      <c r="K1685" t="n">
        <v>1</v>
      </c>
      <c r="L1685" s="34">
        <f>IF($J1685=1,LN(B1686/B1685),"")</f>
        <v/>
      </c>
      <c r="M1685" s="34">
        <f>IF($K1685=1,INDEX(Mensal!$D$2:$D$245,MATCH($I1685,Mensal!$A$2:$A$245,0)),"")</f>
        <v/>
      </c>
      <c r="N1685" s="34">
        <f>IF($K1685=1,L1685-M1685,"")</f>
        <v/>
      </c>
      <c r="O1685" s="34" t="n">
        <v>0.00026667</v>
      </c>
      <c r="P1685" s="34">
        <f>IF($J1685=1,LN(1+O1685),"")</f>
        <v/>
      </c>
      <c r="Q1685" s="34">
        <f>IF($J1685=1,LN(R1686/R1685),"")</f>
        <v/>
      </c>
      <c r="R1685" s="32" t="n">
        <v>1.9883</v>
      </c>
      <c r="S1685" s="35" t="n">
        <v>7.263</v>
      </c>
      <c r="T1685" s="18" t="n"/>
      <c r="U1685" s="18" t="n"/>
      <c r="V1685" s="18" t="n">
        <v>59761</v>
      </c>
      <c r="W1685" s="18" t="n"/>
      <c r="X1685" s="35" t="n"/>
      <c r="Y1685" s="35" t="n">
        <v>7.263</v>
      </c>
    </row>
    <row r="1686">
      <c r="A1686" s="25" t="n">
        <v>41306</v>
      </c>
      <c r="B1686" s="18" t="n">
        <v>60351</v>
      </c>
      <c r="C1686" s="31" t="n"/>
      <c r="D1686" s="32" t="n"/>
      <c r="E1686" s="33" t="n">
        <v>0.046</v>
      </c>
      <c r="F1686" t="inlineStr">
        <is>
          <t>Down</t>
        </is>
      </c>
      <c r="G1686" t="inlineStr">
        <is>
          <t>Down</t>
        </is>
      </c>
      <c r="H1686" t="inlineStr">
        <is>
          <t>ED_JD</t>
        </is>
      </c>
      <c r="I1686" t="inlineStr">
        <is>
          <t>2013-02</t>
        </is>
      </c>
      <c r="J1686" t="n">
        <v>1</v>
      </c>
      <c r="K1686" t="n">
        <v>1</v>
      </c>
      <c r="L1686" s="34">
        <f>IF($J1686=1,LN(B1687/B1686),"")</f>
        <v/>
      </c>
      <c r="M1686" s="34">
        <f>IF($K1686=1,INDEX(Mensal!$D$2:$D$245,MATCH($I1686,Mensal!$A$2:$A$245,0)),"")</f>
        <v/>
      </c>
      <c r="N1686" s="34">
        <f>IF($K1686=1,L1686-M1686,"")</f>
        <v/>
      </c>
      <c r="O1686" s="34" t="n">
        <v>0.00026667</v>
      </c>
      <c r="P1686" s="34">
        <f>IF($J1686=1,LN(1+O1686),"")</f>
        <v/>
      </c>
      <c r="Q1686" s="34">
        <f>IF($J1686=1,LN(R1687/R1686),"")</f>
        <v/>
      </c>
      <c r="R1686" s="32" t="n">
        <v>1.9843</v>
      </c>
      <c r="S1686" s="35" t="n">
        <v>7.303</v>
      </c>
      <c r="T1686" s="18" t="n"/>
      <c r="U1686" s="18" t="n"/>
      <c r="V1686" s="18" t="n">
        <v>60351</v>
      </c>
      <c r="W1686" s="18" t="n"/>
      <c r="X1686" s="35" t="n"/>
      <c r="Y1686" s="35" t="n">
        <v>7.303</v>
      </c>
    </row>
    <row r="1687">
      <c r="A1687" s="25" t="n">
        <v>41309</v>
      </c>
      <c r="B1687" s="18" t="n">
        <v>59575</v>
      </c>
      <c r="C1687" s="31" t="n"/>
      <c r="D1687" s="32" t="n"/>
      <c r="E1687" s="33" t="n">
        <v>0.0493</v>
      </c>
      <c r="F1687" t="inlineStr">
        <is>
          <t>Down</t>
        </is>
      </c>
      <c r="G1687" t="inlineStr">
        <is>
          <t>Down</t>
        </is>
      </c>
      <c r="H1687" t="inlineStr">
        <is>
          <t>ED_JD</t>
        </is>
      </c>
      <c r="I1687" t="inlineStr">
        <is>
          <t>2013-02</t>
        </is>
      </c>
      <c r="J1687" t="n">
        <v>1</v>
      </c>
      <c r="K1687" t="n">
        <v>1</v>
      </c>
      <c r="L1687" s="34">
        <f>IF($J1687=1,LN(B1688/B1687),"")</f>
        <v/>
      </c>
      <c r="M1687" s="34">
        <f>IF($K1687=1,INDEX(Mensal!$D$2:$D$245,MATCH($I1687,Mensal!$A$2:$A$245,0)),"")</f>
        <v/>
      </c>
      <c r="N1687" s="34">
        <f>IF($K1687=1,L1687-M1687,"")</f>
        <v/>
      </c>
      <c r="O1687" s="34" t="n">
        <v>0.00026704</v>
      </c>
      <c r="P1687" s="34">
        <f>IF($J1687=1,LN(1+O1687),"")</f>
        <v/>
      </c>
      <c r="Q1687" s="34">
        <f>IF($J1687=1,LN(R1688/R1687),"")</f>
        <v/>
      </c>
      <c r="R1687" s="32" t="n">
        <v>1.9893</v>
      </c>
      <c r="S1687" s="35" t="n">
        <v>7.29</v>
      </c>
      <c r="T1687" s="18" t="n"/>
      <c r="U1687" s="18" t="n"/>
      <c r="V1687" s="18" t="n">
        <v>59575</v>
      </c>
      <c r="W1687" s="18" t="n"/>
      <c r="X1687" s="35" t="n"/>
      <c r="Y1687" s="35" t="n">
        <v>7.29</v>
      </c>
    </row>
    <row r="1688">
      <c r="A1688" s="25" t="n">
        <v>41310</v>
      </c>
      <c r="B1688" s="18" t="n">
        <v>59444</v>
      </c>
      <c r="C1688" s="31" t="n"/>
      <c r="D1688" s="32" t="n"/>
      <c r="E1688" s="33" t="n">
        <v>0.0482</v>
      </c>
      <c r="F1688" t="inlineStr">
        <is>
          <t>Down</t>
        </is>
      </c>
      <c r="G1688" t="inlineStr">
        <is>
          <t>Down</t>
        </is>
      </c>
      <c r="H1688" t="inlineStr">
        <is>
          <t>ED_JD</t>
        </is>
      </c>
      <c r="I1688" t="inlineStr">
        <is>
          <t>2013-02</t>
        </is>
      </c>
      <c r="J1688" t="n">
        <v>1</v>
      </c>
      <c r="K1688" t="n">
        <v>1</v>
      </c>
      <c r="L1688" s="34">
        <f>IF($J1688=1,LN(B1689/B1688),"")</f>
        <v/>
      </c>
      <c r="M1688" s="34">
        <f>IF($K1688=1,INDEX(Mensal!$D$2:$D$245,MATCH($I1688,Mensal!$A$2:$A$245,0)),"")</f>
        <v/>
      </c>
      <c r="N1688" s="34">
        <f>IF($K1688=1,L1688-M1688,"")</f>
        <v/>
      </c>
      <c r="O1688" s="34" t="n">
        <v>0.00026704</v>
      </c>
      <c r="P1688" s="34">
        <f>IF($J1688=1,LN(1+O1688),"")</f>
        <v/>
      </c>
      <c r="Q1688" s="34">
        <f>IF($J1688=1,LN(R1689/R1688),"")</f>
        <v/>
      </c>
      <c r="R1688" s="32" t="n">
        <v>1.9881</v>
      </c>
      <c r="S1688" s="35" t="n">
        <v>7.328</v>
      </c>
      <c r="T1688" s="18" t="n"/>
      <c r="U1688" s="18" t="n"/>
      <c r="V1688" s="18" t="n">
        <v>59444</v>
      </c>
      <c r="W1688" s="18" t="n"/>
      <c r="X1688" s="35" t="n"/>
      <c r="Y1688" s="35" t="n">
        <v>7.328</v>
      </c>
    </row>
    <row r="1689">
      <c r="A1689" s="25" t="n">
        <v>41311</v>
      </c>
      <c r="B1689" s="18" t="n">
        <v>58951</v>
      </c>
      <c r="C1689" s="31" t="n"/>
      <c r="D1689" s="32" t="n"/>
      <c r="E1689" s="33" t="n">
        <v>0.0411</v>
      </c>
      <c r="F1689" t="inlineStr">
        <is>
          <t>Down</t>
        </is>
      </c>
      <c r="G1689" t="inlineStr">
        <is>
          <t>Down</t>
        </is>
      </c>
      <c r="H1689" t="inlineStr">
        <is>
          <t>ED_JD</t>
        </is>
      </c>
      <c r="I1689" t="inlineStr">
        <is>
          <t>2013-02</t>
        </is>
      </c>
      <c r="J1689" t="n">
        <v>1</v>
      </c>
      <c r="K1689" t="n">
        <v>1</v>
      </c>
      <c r="L1689" s="34">
        <f>IF($J1689=1,LN(B1690/B1689),"")</f>
        <v/>
      </c>
      <c r="M1689" s="34">
        <f>IF($K1689=1,INDEX(Mensal!$D$2:$D$245,MATCH($I1689,Mensal!$A$2:$A$245,0)),"")</f>
        <v/>
      </c>
      <c r="N1689" s="34">
        <f>IF($K1689=1,L1689-M1689,"")</f>
        <v/>
      </c>
      <c r="O1689" s="34" t="n">
        <v>0.00026704</v>
      </c>
      <c r="P1689" s="34">
        <f>IF($J1689=1,LN(1+O1689),"")</f>
        <v/>
      </c>
      <c r="Q1689" s="34">
        <f>IF($J1689=1,LN(R1690/R1689),"")</f>
        <v/>
      </c>
      <c r="R1689" s="32" t="n">
        <v>1.9884</v>
      </c>
      <c r="S1689" s="35" t="n">
        <v>7.4</v>
      </c>
      <c r="T1689" s="18" t="n"/>
      <c r="U1689" s="18" t="n"/>
      <c r="V1689" s="18" t="n">
        <v>58951</v>
      </c>
      <c r="W1689" s="18" t="n"/>
      <c r="X1689" s="35" t="n"/>
      <c r="Y1689" s="35" t="n">
        <v>7.4</v>
      </c>
    </row>
    <row r="1690">
      <c r="A1690" s="25" t="n">
        <v>41312</v>
      </c>
      <c r="B1690" s="18" t="n">
        <v>58372</v>
      </c>
      <c r="C1690" s="31" t="n"/>
      <c r="D1690" s="32" t="n"/>
      <c r="E1690" s="33" t="n">
        <v>0.0208</v>
      </c>
      <c r="F1690" t="inlineStr">
        <is>
          <t>Down</t>
        </is>
      </c>
      <c r="G1690" t="inlineStr">
        <is>
          <t>Down</t>
        </is>
      </c>
      <c r="H1690" t="inlineStr">
        <is>
          <t>ED_JD</t>
        </is>
      </c>
      <c r="I1690" t="inlineStr">
        <is>
          <t>2013-02</t>
        </is>
      </c>
      <c r="J1690" t="n">
        <v>1</v>
      </c>
      <c r="K1690" t="n">
        <v>1</v>
      </c>
      <c r="L1690" s="34">
        <f>IF($J1690=1,LN(B1691/B1690),"")</f>
        <v/>
      </c>
      <c r="M1690" s="34">
        <f>IF($K1690=1,INDEX(Mensal!$D$2:$D$245,MATCH($I1690,Mensal!$A$2:$A$245,0)),"")</f>
        <v/>
      </c>
      <c r="N1690" s="34">
        <f>IF($K1690=1,L1690-M1690,"")</f>
        <v/>
      </c>
      <c r="O1690" s="34" t="n">
        <v>0.00026667</v>
      </c>
      <c r="P1690" s="34">
        <f>IF($J1690=1,LN(1+O1690),"")</f>
        <v/>
      </c>
      <c r="Q1690" s="34">
        <f>IF($J1690=1,LN(R1691/R1690),"")</f>
        <v/>
      </c>
      <c r="R1690" s="32" t="n">
        <v>1.9789</v>
      </c>
      <c r="S1690" s="35" t="n">
        <v>7.49</v>
      </c>
      <c r="T1690" s="18" t="n"/>
      <c r="U1690" s="18" t="n"/>
      <c r="V1690" s="18" t="n">
        <v>58372</v>
      </c>
      <c r="W1690" s="18" t="n"/>
      <c r="X1690" s="35" t="n"/>
      <c r="Y1690" s="35" t="n">
        <v>7.49</v>
      </c>
    </row>
    <row r="1691">
      <c r="A1691" s="25" t="n">
        <v>41313</v>
      </c>
      <c r="B1691" s="18" t="n">
        <v>58497</v>
      </c>
      <c r="C1691" s="31" t="n"/>
      <c r="D1691" s="32" t="n"/>
      <c r="E1691" s="33" t="n">
        <v>-0.0001</v>
      </c>
      <c r="F1691" t="inlineStr">
        <is>
          <t>Down</t>
        </is>
      </c>
      <c r="G1691" t="inlineStr">
        <is>
          <t>Down</t>
        </is>
      </c>
      <c r="H1691" t="inlineStr">
        <is>
          <t>ED_JD</t>
        </is>
      </c>
      <c r="I1691" t="inlineStr">
        <is>
          <t>2013-02</t>
        </is>
      </c>
      <c r="J1691" t="n">
        <v>1</v>
      </c>
      <c r="K1691" t="n">
        <v>1</v>
      </c>
      <c r="L1691" s="34">
        <f>IF($J1691=1,LN(B1692/B1691),"")</f>
        <v/>
      </c>
      <c r="M1691" s="34">
        <f>IF($K1691=1,INDEX(Mensal!$D$2:$D$245,MATCH($I1691,Mensal!$A$2:$A$245,0)),"")</f>
        <v/>
      </c>
      <c r="N1691" s="34">
        <f>IF($K1691=1,L1691-M1691,"")</f>
        <v/>
      </c>
      <c r="O1691" s="34" t="n">
        <v>0.00026667</v>
      </c>
      <c r="P1691" s="34">
        <f>IF($J1691=1,LN(1+O1691),"")</f>
        <v/>
      </c>
      <c r="Q1691" s="34">
        <f>IF($J1691=1,LN(R1692/R1691),"")</f>
        <v/>
      </c>
      <c r="R1691" s="32" t="n">
        <v>1.9636</v>
      </c>
      <c r="S1691" s="35" t="n">
        <v>7.454</v>
      </c>
      <c r="T1691" s="18" t="n"/>
      <c r="U1691" s="18" t="n"/>
      <c r="V1691" s="18" t="n">
        <v>58497</v>
      </c>
      <c r="W1691" s="18" t="n"/>
      <c r="X1691" s="35" t="n"/>
      <c r="Y1691" s="35" t="n">
        <v>7.454</v>
      </c>
    </row>
    <row r="1692">
      <c r="A1692" s="25" t="n">
        <v>41318</v>
      </c>
      <c r="B1692" s="18" t="n">
        <v>58405</v>
      </c>
      <c r="C1692" s="31" t="n"/>
      <c r="D1692" s="32" t="n"/>
      <c r="E1692" s="33" t="n">
        <v>-0.0214</v>
      </c>
      <c r="F1692" t="inlineStr">
        <is>
          <t>Down</t>
        </is>
      </c>
      <c r="G1692" t="inlineStr">
        <is>
          <t>Down</t>
        </is>
      </c>
      <c r="H1692" t="inlineStr">
        <is>
          <t>ED_JD</t>
        </is>
      </c>
      <c r="I1692" t="inlineStr">
        <is>
          <t>2013-02</t>
        </is>
      </c>
      <c r="J1692" t="n">
        <v>1</v>
      </c>
      <c r="K1692" t="n">
        <v>1</v>
      </c>
      <c r="L1692" s="34">
        <f>IF($J1692=1,LN(B1693/B1692),"")</f>
        <v/>
      </c>
      <c r="M1692" s="34">
        <f>IF($K1692=1,INDEX(Mensal!$D$2:$D$245,MATCH($I1692,Mensal!$A$2:$A$245,0)),"")</f>
        <v/>
      </c>
      <c r="N1692" s="34">
        <f>IF($K1692=1,L1692-M1692,"")</f>
        <v/>
      </c>
      <c r="O1692" s="34" t="n">
        <v>0.00026667</v>
      </c>
      <c r="P1692" s="34">
        <f>IF($J1692=1,LN(1+O1692),"")</f>
        <v/>
      </c>
      <c r="Q1692" s="34">
        <f>IF($J1692=1,LN(R1693/R1692),"")</f>
        <v/>
      </c>
      <c r="R1692" s="32" t="n">
        <v>1.967</v>
      </c>
      <c r="S1692" s="35" t="n">
        <v>7.445</v>
      </c>
      <c r="T1692" s="18" t="n"/>
      <c r="U1692" s="18" t="n"/>
      <c r="V1692" s="18" t="n">
        <v>58405</v>
      </c>
      <c r="W1692" s="18" t="n"/>
      <c r="X1692" s="35" t="n"/>
      <c r="Y1692" s="35" t="n">
        <v>7.445</v>
      </c>
    </row>
    <row r="1693">
      <c r="A1693" s="25" t="n">
        <v>41319</v>
      </c>
      <c r="B1693" s="18" t="n">
        <v>58077</v>
      </c>
      <c r="C1693" s="31" t="n"/>
      <c r="D1693" s="32" t="n"/>
      <c r="E1693" s="33" t="n">
        <v>-0.0407</v>
      </c>
      <c r="F1693" t="inlineStr">
        <is>
          <t>Down</t>
        </is>
      </c>
      <c r="G1693" t="inlineStr">
        <is>
          <t>Down</t>
        </is>
      </c>
      <c r="H1693" t="inlineStr">
        <is>
          <t>ED_JD</t>
        </is>
      </c>
      <c r="I1693" t="inlineStr">
        <is>
          <t>2013-02</t>
        </is>
      </c>
      <c r="J1693" t="n">
        <v>1</v>
      </c>
      <c r="K1693" t="n">
        <v>1</v>
      </c>
      <c r="L1693" s="34">
        <f>IF($J1693=1,LN(B1694/B1693),"")</f>
        <v/>
      </c>
      <c r="M1693" s="34">
        <f>IF($K1693=1,INDEX(Mensal!$D$2:$D$245,MATCH($I1693,Mensal!$A$2:$A$245,0)),"")</f>
        <v/>
      </c>
      <c r="N1693" s="34">
        <f>IF($K1693=1,L1693-M1693,"")</f>
        <v/>
      </c>
      <c r="O1693" s="34" t="n">
        <v>0.0002663</v>
      </c>
      <c r="P1693" s="34">
        <f>IF($J1693=1,LN(1+O1693),"")</f>
        <v/>
      </c>
      <c r="Q1693" s="34">
        <f>IF($J1693=1,LN(R1694/R1693),"")</f>
        <v/>
      </c>
      <c r="R1693" s="32" t="n">
        <v>1.9666</v>
      </c>
      <c r="S1693" s="35" t="n">
        <v>7.46</v>
      </c>
      <c r="T1693" s="18" t="n"/>
      <c r="U1693" s="18" t="n"/>
      <c r="V1693" s="18" t="n">
        <v>58077</v>
      </c>
      <c r="W1693" s="18" t="n"/>
      <c r="X1693" s="35" t="n"/>
      <c r="Y1693" s="35" t="n">
        <v>7.46</v>
      </c>
    </row>
    <row r="1694">
      <c r="A1694" s="25" t="n">
        <v>41320</v>
      </c>
      <c r="B1694" s="18" t="n">
        <v>57903</v>
      </c>
      <c r="C1694" s="31" t="n"/>
      <c r="D1694" s="32" t="n"/>
      <c r="E1694" s="33" t="n">
        <v>-0.0699</v>
      </c>
      <c r="F1694" t="inlineStr">
        <is>
          <t>Down</t>
        </is>
      </c>
      <c r="G1694" t="inlineStr">
        <is>
          <t>Down</t>
        </is>
      </c>
      <c r="H1694" t="inlineStr">
        <is>
          <t>ED_JD</t>
        </is>
      </c>
      <c r="I1694" t="inlineStr">
        <is>
          <t>2013-02</t>
        </is>
      </c>
      <c r="J1694" t="n">
        <v>1</v>
      </c>
      <c r="K1694" t="n">
        <v>1</v>
      </c>
      <c r="L1694" s="34">
        <f>IF($J1694=1,LN(B1695/B1694),"")</f>
        <v/>
      </c>
      <c r="M1694" s="34">
        <f>IF($K1694=1,INDEX(Mensal!$D$2:$D$245,MATCH($I1694,Mensal!$A$2:$A$245,0)),"")</f>
        <v/>
      </c>
      <c r="N1694" s="34">
        <f>IF($K1694=1,L1694-M1694,"")</f>
        <v/>
      </c>
      <c r="O1694" s="34" t="n">
        <v>0.0002663</v>
      </c>
      <c r="P1694" s="34">
        <f>IF($J1694=1,LN(1+O1694),"")</f>
        <v/>
      </c>
      <c r="Q1694" s="34">
        <f>IF($J1694=1,LN(R1695/R1694),"")</f>
        <v/>
      </c>
      <c r="R1694" s="32" t="n">
        <v>1.96</v>
      </c>
      <c r="S1694" s="35" t="n">
        <v>7.69</v>
      </c>
      <c r="T1694" s="18" t="n"/>
      <c r="U1694" s="18" t="n"/>
      <c r="V1694" s="18" t="n">
        <v>57903</v>
      </c>
      <c r="W1694" s="18" t="n"/>
      <c r="X1694" s="35" t="n"/>
      <c r="Y1694" s="35" t="n">
        <v>7.69</v>
      </c>
    </row>
    <row r="1695">
      <c r="A1695" s="25" t="n">
        <v>41323</v>
      </c>
      <c r="B1695" s="18" t="n">
        <v>57613</v>
      </c>
      <c r="C1695" s="31" t="n"/>
      <c r="D1695" s="32" t="n"/>
      <c r="E1695" s="33" t="n">
        <v>-0.08989999999999999</v>
      </c>
      <c r="F1695" t="inlineStr">
        <is>
          <t>Down</t>
        </is>
      </c>
      <c r="G1695" t="inlineStr">
        <is>
          <t>Down</t>
        </is>
      </c>
      <c r="H1695" t="inlineStr">
        <is>
          <t>ED_JD</t>
        </is>
      </c>
      <c r="I1695" t="inlineStr">
        <is>
          <t>2013-02</t>
        </is>
      </c>
      <c r="J1695" t="n">
        <v>1</v>
      </c>
      <c r="K1695" t="n">
        <v>1</v>
      </c>
      <c r="L1695" s="34">
        <f>IF($J1695=1,LN(B1696/B1695),"")</f>
        <v/>
      </c>
      <c r="M1695" s="34">
        <f>IF($K1695=1,INDEX(Mensal!$D$2:$D$245,MATCH($I1695,Mensal!$A$2:$A$245,0)),"")</f>
        <v/>
      </c>
      <c r="N1695" s="34">
        <f>IF($K1695=1,L1695-M1695,"")</f>
        <v/>
      </c>
      <c r="O1695" s="34" t="n">
        <v>0.0002663</v>
      </c>
      <c r="P1695" s="34">
        <f>IF($J1695=1,LN(1+O1695),"")</f>
        <v/>
      </c>
      <c r="Q1695" s="34">
        <f>IF($J1695=1,LN(R1696/R1695),"")</f>
        <v/>
      </c>
      <c r="R1695" s="32" t="n">
        <v>1.9676</v>
      </c>
      <c r="S1695" s="35" t="n">
        <v>7.824</v>
      </c>
      <c r="T1695" s="18" t="n"/>
      <c r="U1695" s="18" t="n"/>
      <c r="V1695" s="18" t="n">
        <v>57613</v>
      </c>
      <c r="W1695" s="18" t="n"/>
      <c r="X1695" s="35" t="n"/>
      <c r="Y1695" s="35" t="n">
        <v>7.824</v>
      </c>
    </row>
    <row r="1696">
      <c r="A1696" s="25" t="n">
        <v>41324</v>
      </c>
      <c r="B1696" s="18" t="n">
        <v>57314</v>
      </c>
      <c r="C1696" s="31" t="n"/>
      <c r="D1696" s="32" t="n"/>
      <c r="E1696" s="33" t="n">
        <v>-0.1114</v>
      </c>
      <c r="F1696" t="inlineStr">
        <is>
          <t>Down</t>
        </is>
      </c>
      <c r="G1696" t="inlineStr">
        <is>
          <t>Down</t>
        </is>
      </c>
      <c r="H1696" t="inlineStr">
        <is>
          <t>ED_JD</t>
        </is>
      </c>
      <c r="I1696" t="inlineStr">
        <is>
          <t>2013-02</t>
        </is>
      </c>
      <c r="J1696" t="n">
        <v>1</v>
      </c>
      <c r="K1696" t="n">
        <v>1</v>
      </c>
      <c r="L1696" s="34">
        <f>IF($J1696=1,LN(B1697/B1696),"")</f>
        <v/>
      </c>
      <c r="M1696" s="34">
        <f>IF($K1696=1,INDEX(Mensal!$D$2:$D$245,MATCH($I1696,Mensal!$A$2:$A$245,0)),"")</f>
        <v/>
      </c>
      <c r="N1696" s="34">
        <f>IF($K1696=1,L1696-M1696,"")</f>
        <v/>
      </c>
      <c r="O1696" s="34" t="n">
        <v>0.00026593</v>
      </c>
      <c r="P1696" s="34">
        <f>IF($J1696=1,LN(1+O1696),"")</f>
        <v/>
      </c>
      <c r="Q1696" s="34">
        <f>IF($J1696=1,LN(R1697/R1696),"")</f>
        <v/>
      </c>
      <c r="R1696" s="32" t="n">
        <v>1.9597</v>
      </c>
      <c r="S1696" s="35" t="n">
        <v>7.841</v>
      </c>
      <c r="T1696" s="18" t="n"/>
      <c r="U1696" s="18" t="n"/>
      <c r="V1696" s="18" t="n">
        <v>57314</v>
      </c>
      <c r="W1696" s="18" t="n"/>
      <c r="X1696" s="35" t="n"/>
      <c r="Y1696" s="35" t="n">
        <v>7.841</v>
      </c>
    </row>
    <row r="1697">
      <c r="A1697" s="25" t="n">
        <v>41325</v>
      </c>
      <c r="B1697" s="18" t="n">
        <v>56177</v>
      </c>
      <c r="C1697" s="31" t="n"/>
      <c r="D1697" s="32" t="n"/>
      <c r="E1697" s="33" t="n">
        <v>-0.1349</v>
      </c>
      <c r="F1697" t="inlineStr">
        <is>
          <t>Down</t>
        </is>
      </c>
      <c r="G1697" t="inlineStr">
        <is>
          <t>Down</t>
        </is>
      </c>
      <c r="H1697" t="inlineStr">
        <is>
          <t>ED_JD</t>
        </is>
      </c>
      <c r="I1697" t="inlineStr">
        <is>
          <t>2013-02</t>
        </is>
      </c>
      <c r="J1697" t="n">
        <v>1</v>
      </c>
      <c r="K1697" t="n">
        <v>1</v>
      </c>
      <c r="L1697" s="34">
        <f>IF($J1697=1,LN(B1698/B1697),"")</f>
        <v/>
      </c>
      <c r="M1697" s="34">
        <f>IF($K1697=1,INDEX(Mensal!$D$2:$D$245,MATCH($I1697,Mensal!$A$2:$A$245,0)),"")</f>
        <v/>
      </c>
      <c r="N1697" s="34">
        <f>IF($K1697=1,L1697-M1697,"")</f>
        <v/>
      </c>
      <c r="O1697" s="34" t="n">
        <v>0.00026667</v>
      </c>
      <c r="P1697" s="34">
        <f>IF($J1697=1,LN(1+O1697),"")</f>
        <v/>
      </c>
      <c r="Q1697" s="34">
        <f>IF($J1697=1,LN(R1698/R1697),"")</f>
        <v/>
      </c>
      <c r="R1697" s="32" t="n">
        <v>1.957</v>
      </c>
      <c r="S1697" s="35" t="n">
        <v>7.784</v>
      </c>
      <c r="T1697" s="18" t="n"/>
      <c r="U1697" s="18" t="n"/>
      <c r="V1697" s="18" t="n">
        <v>56177</v>
      </c>
      <c r="W1697" s="18" t="n"/>
      <c r="X1697" s="35" t="n"/>
      <c r="Y1697" s="35" t="n">
        <v>7.784</v>
      </c>
    </row>
    <row r="1698">
      <c r="A1698" s="25" t="n">
        <v>41326</v>
      </c>
      <c r="B1698" s="18" t="n">
        <v>56154</v>
      </c>
      <c r="C1698" s="31" t="n"/>
      <c r="D1698" s="32" t="n"/>
      <c r="E1698" s="33" t="n">
        <v>-0.1606</v>
      </c>
      <c r="F1698" t="inlineStr">
        <is>
          <t>Down</t>
        </is>
      </c>
      <c r="G1698" t="inlineStr">
        <is>
          <t>Down</t>
        </is>
      </c>
      <c r="H1698" t="inlineStr">
        <is>
          <t>ED_JD</t>
        </is>
      </c>
      <c r="I1698" t="inlineStr">
        <is>
          <t>2013-02</t>
        </is>
      </c>
      <c r="J1698" t="n">
        <v>1</v>
      </c>
      <c r="K1698" t="n">
        <v>1</v>
      </c>
      <c r="L1698" s="34">
        <f>IF($J1698=1,LN(B1699/B1698),"")</f>
        <v/>
      </c>
      <c r="M1698" s="34">
        <f>IF($K1698=1,INDEX(Mensal!$D$2:$D$245,MATCH($I1698,Mensal!$A$2:$A$245,0)),"")</f>
        <v/>
      </c>
      <c r="N1698" s="34">
        <f>IF($K1698=1,L1698-M1698,"")</f>
        <v/>
      </c>
      <c r="O1698" s="34" t="n">
        <v>0.00026667</v>
      </c>
      <c r="P1698" s="34">
        <f>IF($J1698=1,LN(1+O1698),"")</f>
        <v/>
      </c>
      <c r="Q1698" s="34">
        <f>IF($J1698=1,LN(R1699/R1698),"")</f>
        <v/>
      </c>
      <c r="R1698" s="32" t="n">
        <v>1.972</v>
      </c>
      <c r="S1698" s="35" t="n">
        <v>7.752</v>
      </c>
      <c r="T1698" s="18" t="n"/>
      <c r="U1698" s="18" t="n"/>
      <c r="V1698" s="18" t="n">
        <v>56154</v>
      </c>
      <c r="W1698" s="18" t="n"/>
      <c r="X1698" s="35" t="n"/>
      <c r="Y1698" s="35" t="n">
        <v>7.752</v>
      </c>
    </row>
    <row r="1699">
      <c r="A1699" s="25" t="n">
        <v>41327</v>
      </c>
      <c r="B1699" s="18" t="n">
        <v>56697</v>
      </c>
      <c r="C1699" s="31" t="n"/>
      <c r="D1699" s="32" t="n"/>
      <c r="E1699" s="33" t="n">
        <v>-0.205</v>
      </c>
      <c r="F1699" t="inlineStr">
        <is>
          <t>Down</t>
        </is>
      </c>
      <c r="G1699" t="inlineStr">
        <is>
          <t>Down</t>
        </is>
      </c>
      <c r="H1699" t="inlineStr">
        <is>
          <t>ED_JD</t>
        </is>
      </c>
      <c r="I1699" t="inlineStr">
        <is>
          <t>2013-02</t>
        </is>
      </c>
      <c r="J1699" t="n">
        <v>1</v>
      </c>
      <c r="K1699" t="n">
        <v>1</v>
      </c>
      <c r="L1699" s="34">
        <f>IF($J1699=1,LN(B1700/B1699),"")</f>
        <v/>
      </c>
      <c r="M1699" s="34">
        <f>IF($K1699=1,INDEX(Mensal!$D$2:$D$245,MATCH($I1699,Mensal!$A$2:$A$245,0)),"")</f>
        <v/>
      </c>
      <c r="N1699" s="34">
        <f>IF($K1699=1,L1699-M1699,"")</f>
        <v/>
      </c>
      <c r="O1699" s="34" t="n">
        <v>0.00026704</v>
      </c>
      <c r="P1699" s="34">
        <f>IF($J1699=1,LN(1+O1699),"")</f>
        <v/>
      </c>
      <c r="Q1699" s="34">
        <f>IF($J1699=1,LN(R1700/R1699),"")</f>
        <v/>
      </c>
      <c r="R1699" s="32" t="n">
        <v>1.9705</v>
      </c>
      <c r="S1699" s="35" t="n">
        <v>7.924</v>
      </c>
      <c r="T1699" s="18" t="n"/>
      <c r="U1699" s="18" t="n"/>
      <c r="V1699" s="18" t="n">
        <v>56697</v>
      </c>
      <c r="W1699" s="18" t="n"/>
      <c r="X1699" s="35" t="n"/>
      <c r="Y1699" s="35" t="n">
        <v>7.924</v>
      </c>
    </row>
    <row r="1700">
      <c r="A1700" s="25" t="n">
        <v>41330</v>
      </c>
      <c r="B1700" s="18" t="n">
        <v>56617</v>
      </c>
      <c r="C1700" s="31" t="n"/>
      <c r="D1700" s="32" t="n"/>
      <c r="E1700" s="33" t="n">
        <v>-0.2415</v>
      </c>
      <c r="F1700" t="inlineStr">
        <is>
          <t>Down</t>
        </is>
      </c>
      <c r="G1700" t="inlineStr">
        <is>
          <t>Up</t>
        </is>
      </c>
      <c r="H1700" t="inlineStr">
        <is>
          <t>ED_JU</t>
        </is>
      </c>
      <c r="I1700" t="inlineStr">
        <is>
          <t>2013-02</t>
        </is>
      </c>
      <c r="J1700" t="n">
        <v>1</v>
      </c>
      <c r="K1700" t="n">
        <v>1</v>
      </c>
      <c r="L1700" s="34">
        <f>IF($J1700=1,LN(B1701/B1700),"")</f>
        <v/>
      </c>
      <c r="M1700" s="34">
        <f>IF($K1700=1,INDEX(Mensal!$D$2:$D$245,MATCH($I1700,Mensal!$A$2:$A$245,0)),"")</f>
        <v/>
      </c>
      <c r="N1700" s="34">
        <f>IF($K1700=1,L1700-M1700,"")</f>
        <v/>
      </c>
      <c r="O1700" s="34" t="n">
        <v>0.00026852</v>
      </c>
      <c r="P1700" s="34">
        <f>IF($J1700=1,LN(1+O1700),"")</f>
        <v/>
      </c>
      <c r="Q1700" s="34">
        <f>IF($J1700=1,LN(R1701/R1700),"")</f>
        <v/>
      </c>
      <c r="R1700" s="32" t="n">
        <v>1.9676</v>
      </c>
      <c r="S1700" s="35" t="n">
        <v>7.895</v>
      </c>
      <c r="T1700" s="18" t="n"/>
      <c r="U1700" s="18" t="n"/>
      <c r="V1700" s="18" t="n"/>
      <c r="W1700" s="18" t="n">
        <v>56617</v>
      </c>
      <c r="X1700" s="35" t="n">
        <v>7.895</v>
      </c>
      <c r="Y1700" s="35" t="n"/>
    </row>
    <row r="1701">
      <c r="A1701" s="25" t="n">
        <v>41331</v>
      </c>
      <c r="B1701" s="18" t="n">
        <v>56948</v>
      </c>
      <c r="C1701" s="31" t="n"/>
      <c r="D1701" s="32" t="n"/>
      <c r="E1701" s="33" t="n">
        <v>-0.2543</v>
      </c>
      <c r="F1701" t="inlineStr">
        <is>
          <t>Down</t>
        </is>
      </c>
      <c r="G1701" t="inlineStr">
        <is>
          <t>Up</t>
        </is>
      </c>
      <c r="H1701" t="inlineStr">
        <is>
          <t>ED_JU</t>
        </is>
      </c>
      <c r="I1701" t="inlineStr">
        <is>
          <t>2013-02</t>
        </is>
      </c>
      <c r="J1701" t="n">
        <v>1</v>
      </c>
      <c r="K1701" t="n">
        <v>1</v>
      </c>
      <c r="L1701" s="34">
        <f>IF($J1701=1,LN(B1702/B1701),"")</f>
        <v/>
      </c>
      <c r="M1701" s="34">
        <f>IF($K1701=1,INDEX(Mensal!$D$2:$D$245,MATCH($I1701,Mensal!$A$2:$A$245,0)),"")</f>
        <v/>
      </c>
      <c r="N1701" s="34">
        <f>IF($K1701=1,L1701-M1701,"")</f>
        <v/>
      </c>
      <c r="O1701" s="34" t="n">
        <v>0.00026778</v>
      </c>
      <c r="P1701" s="34">
        <f>IF($J1701=1,LN(1+O1701),"")</f>
        <v/>
      </c>
      <c r="Q1701" s="34">
        <f>IF($J1701=1,LN(R1702/R1701),"")</f>
        <v/>
      </c>
      <c r="R1701" s="32" t="n">
        <v>1.9818</v>
      </c>
      <c r="S1701" s="35" t="n">
        <v>7.901</v>
      </c>
      <c r="T1701" s="18" t="n"/>
      <c r="U1701" s="18" t="n"/>
      <c r="V1701" s="18" t="n"/>
      <c r="W1701" s="18" t="n">
        <v>56948</v>
      </c>
      <c r="X1701" s="35" t="n">
        <v>7.901</v>
      </c>
      <c r="Y1701" s="35" t="n"/>
    </row>
    <row r="1702">
      <c r="A1702" s="25" t="n">
        <v>41332</v>
      </c>
      <c r="B1702" s="18" t="n">
        <v>57273</v>
      </c>
      <c r="C1702" s="31" t="n"/>
      <c r="D1702" s="32" t="n"/>
      <c r="E1702" s="33" t="n">
        <v>-0.2679</v>
      </c>
      <c r="F1702" t="inlineStr">
        <is>
          <t>Down</t>
        </is>
      </c>
      <c r="G1702" t="inlineStr">
        <is>
          <t>Up</t>
        </is>
      </c>
      <c r="H1702" t="inlineStr">
        <is>
          <t>ED_JU</t>
        </is>
      </c>
      <c r="I1702" t="inlineStr">
        <is>
          <t>2013-02</t>
        </is>
      </c>
      <c r="J1702" t="n">
        <v>1</v>
      </c>
      <c r="K1702" t="n">
        <v>1</v>
      </c>
      <c r="L1702" s="34">
        <f>IF($J1702=1,LN(B1703/B1702),"")</f>
        <v/>
      </c>
      <c r="M1702" s="34">
        <f>IF($K1702=1,INDEX(Mensal!$D$2:$D$245,MATCH($I1702,Mensal!$A$2:$A$245,0)),"")</f>
        <v/>
      </c>
      <c r="N1702" s="34">
        <f>IF($K1702=1,L1702-M1702,"")</f>
        <v/>
      </c>
      <c r="O1702" s="34" t="n">
        <v>0.00026778</v>
      </c>
      <c r="P1702" s="34">
        <f>IF($J1702=1,LN(1+O1702),"")</f>
        <v/>
      </c>
      <c r="Q1702" s="34">
        <f>IF($J1702=1,LN(R1703/R1702),"")</f>
        <v/>
      </c>
      <c r="R1702" s="32" t="n">
        <v>1.9807</v>
      </c>
      <c r="S1702" s="35" t="n">
        <v>7.836</v>
      </c>
      <c r="T1702" s="18" t="n"/>
      <c r="U1702" s="18" t="n"/>
      <c r="V1702" s="18" t="n"/>
      <c r="W1702" s="18" t="n">
        <v>57273</v>
      </c>
      <c r="X1702" s="35" t="n">
        <v>7.836</v>
      </c>
      <c r="Y1702" s="35" t="n"/>
    </row>
    <row r="1703">
      <c r="A1703" s="25" t="n">
        <v>41333</v>
      </c>
      <c r="B1703" s="18" t="n">
        <v>57424</v>
      </c>
      <c r="C1703" s="31" t="n"/>
      <c r="D1703" s="32" t="n"/>
      <c r="E1703" s="33" t="n">
        <v>-0.2961</v>
      </c>
      <c r="F1703" t="inlineStr">
        <is>
          <t>Down</t>
        </is>
      </c>
      <c r="G1703" t="inlineStr">
        <is>
          <t>Up</t>
        </is>
      </c>
      <c r="H1703" t="inlineStr">
        <is>
          <t>ED_JU</t>
        </is>
      </c>
      <c r="I1703" t="inlineStr">
        <is>
          <t>2013-02</t>
        </is>
      </c>
      <c r="J1703" t="n">
        <v>1</v>
      </c>
      <c r="K1703" t="n">
        <v>1</v>
      </c>
      <c r="L1703" s="34">
        <f>IF($J1703=1,LN(B1704/B1703),"")</f>
        <v/>
      </c>
      <c r="M1703" s="34">
        <f>IF($K1703=1,INDEX(Mensal!$D$2:$D$245,MATCH($I1703,Mensal!$A$2:$A$245,0)),"")</f>
        <v/>
      </c>
      <c r="N1703" s="34">
        <f>IF($K1703=1,L1703-M1703,"")</f>
        <v/>
      </c>
      <c r="O1703" s="34" t="n">
        <v>0.00026778</v>
      </c>
      <c r="P1703" s="34">
        <f>IF($J1703=1,LN(1+O1703),"")</f>
        <v/>
      </c>
      <c r="Q1703" s="34">
        <f>IF($J1703=1,LN(R1704/R1703),"")</f>
        <v/>
      </c>
      <c r="R1703" s="32" t="n">
        <v>1.9754</v>
      </c>
      <c r="S1703" s="35" t="n">
        <v>7.763</v>
      </c>
      <c r="T1703" s="18" t="n"/>
      <c r="U1703" s="18" t="n"/>
      <c r="V1703" s="18" t="n"/>
      <c r="W1703" s="18" t="n">
        <v>57424</v>
      </c>
      <c r="X1703" s="35" t="n">
        <v>7.763</v>
      </c>
      <c r="Y1703" s="35" t="n"/>
    </row>
    <row r="1704">
      <c r="A1704" s="25" t="n">
        <v>41334</v>
      </c>
      <c r="B1704" s="18" t="n">
        <v>56883</v>
      </c>
      <c r="C1704" s="31" t="n"/>
      <c r="D1704" s="32" t="n"/>
      <c r="E1704" s="33" t="n">
        <v>-0.3232</v>
      </c>
      <c r="F1704" t="inlineStr">
        <is>
          <t>Down</t>
        </is>
      </c>
      <c r="G1704" t="inlineStr">
        <is>
          <t>Up</t>
        </is>
      </c>
      <c r="H1704" t="inlineStr">
        <is>
          <t>ED_JU</t>
        </is>
      </c>
      <c r="I1704" t="inlineStr">
        <is>
          <t>2013-03</t>
        </is>
      </c>
      <c r="J1704" t="n">
        <v>1</v>
      </c>
      <c r="K1704" t="n">
        <v>1</v>
      </c>
      <c r="L1704" s="34">
        <f>IF($J1704=1,LN(B1705/B1704),"")</f>
        <v/>
      </c>
      <c r="M1704" s="34">
        <f>IF($K1704=1,INDEX(Mensal!$D$2:$D$245,MATCH($I1704,Mensal!$A$2:$A$245,0)),"")</f>
        <v/>
      </c>
      <c r="N1704" s="34">
        <f>IF($K1704=1,L1704-M1704,"")</f>
        <v/>
      </c>
      <c r="O1704" s="34" t="n">
        <v>0.00026778</v>
      </c>
      <c r="P1704" s="34">
        <f>IF($J1704=1,LN(1+O1704),"")</f>
        <v/>
      </c>
      <c r="Q1704" s="34">
        <f>IF($J1704=1,LN(R1705/R1704),"")</f>
        <v/>
      </c>
      <c r="R1704" s="32" t="n">
        <v>1.9848</v>
      </c>
      <c r="S1704" s="35" t="n">
        <v>7.693</v>
      </c>
      <c r="T1704" s="18" t="n"/>
      <c r="U1704" s="18" t="n"/>
      <c r="V1704" s="18" t="n"/>
      <c r="W1704" s="18" t="n">
        <v>56883</v>
      </c>
      <c r="X1704" s="35" t="n">
        <v>7.693</v>
      </c>
      <c r="Y1704" s="35" t="n"/>
    </row>
    <row r="1705">
      <c r="A1705" s="25" t="n">
        <v>41337</v>
      </c>
      <c r="B1705" s="18" t="n">
        <v>56499</v>
      </c>
      <c r="C1705" s="31" t="n"/>
      <c r="D1705" s="32" t="n"/>
      <c r="E1705" s="33" t="n">
        <v>-0.3542</v>
      </c>
      <c r="F1705" t="inlineStr">
        <is>
          <t>Down</t>
        </is>
      </c>
      <c r="G1705" t="inlineStr">
        <is>
          <t>Up</t>
        </is>
      </c>
      <c r="H1705" t="inlineStr">
        <is>
          <t>ED_JU</t>
        </is>
      </c>
      <c r="I1705" t="inlineStr">
        <is>
          <t>2013-03</t>
        </is>
      </c>
      <c r="J1705" t="n">
        <v>1</v>
      </c>
      <c r="K1705" t="n">
        <v>1</v>
      </c>
      <c r="L1705" s="34">
        <f>IF($J1705=1,LN(B1706/B1705),"")</f>
        <v/>
      </c>
      <c r="M1705" s="34">
        <f>IF($K1705=1,INDEX(Mensal!$D$2:$D$245,MATCH($I1705,Mensal!$A$2:$A$245,0)),"")</f>
        <v/>
      </c>
      <c r="N1705" s="34">
        <f>IF($K1705=1,L1705-M1705,"")</f>
        <v/>
      </c>
      <c r="O1705" s="34" t="n">
        <v>0.00026815</v>
      </c>
      <c r="P1705" s="34">
        <f>IF($J1705=1,LN(1+O1705),"")</f>
        <v/>
      </c>
      <c r="Q1705" s="34">
        <f>IF($J1705=1,LN(R1706/R1705),"")</f>
        <v/>
      </c>
      <c r="R1705" s="32" t="n">
        <v>1.9827</v>
      </c>
      <c r="S1705" s="35" t="n">
        <v>7.725</v>
      </c>
      <c r="T1705" s="18" t="n"/>
      <c r="U1705" s="18" t="n"/>
      <c r="V1705" s="18" t="n"/>
      <c r="W1705" s="18" t="n">
        <v>56499</v>
      </c>
      <c r="X1705" s="35" t="n">
        <v>7.725</v>
      </c>
      <c r="Y1705" s="35" t="n"/>
    </row>
    <row r="1706">
      <c r="A1706" s="25" t="n">
        <v>41338</v>
      </c>
      <c r="B1706" s="18" t="n">
        <v>55950</v>
      </c>
      <c r="C1706" s="31" t="n"/>
      <c r="D1706" s="32" t="n"/>
      <c r="E1706" s="33" t="n">
        <v>-0.3825</v>
      </c>
      <c r="F1706" t="inlineStr">
        <is>
          <t>Down</t>
        </is>
      </c>
      <c r="G1706" t="inlineStr">
        <is>
          <t>Up</t>
        </is>
      </c>
      <c r="H1706" t="inlineStr">
        <is>
          <t>ED_JU</t>
        </is>
      </c>
      <c r="I1706" t="inlineStr">
        <is>
          <t>2013-03</t>
        </is>
      </c>
      <c r="J1706" t="n">
        <v>1</v>
      </c>
      <c r="K1706" t="n">
        <v>1</v>
      </c>
      <c r="L1706" s="34">
        <f>IF($J1706=1,LN(B1707/B1706),"")</f>
        <v/>
      </c>
      <c r="M1706" s="34">
        <f>IF($K1706=1,INDEX(Mensal!$D$2:$D$245,MATCH($I1706,Mensal!$A$2:$A$245,0)),"")</f>
        <v/>
      </c>
      <c r="N1706" s="34">
        <f>IF($K1706=1,L1706-M1706,"")</f>
        <v/>
      </c>
      <c r="O1706" s="34" t="n">
        <v>0.00026815</v>
      </c>
      <c r="P1706" s="34">
        <f>IF($J1706=1,LN(1+O1706),"")</f>
        <v/>
      </c>
      <c r="Q1706" s="34">
        <f>IF($J1706=1,LN(R1707/R1706),"")</f>
        <v/>
      </c>
      <c r="R1706" s="32" t="n">
        <v>1.9693</v>
      </c>
      <c r="S1706" s="35" t="n">
        <v>7.757</v>
      </c>
      <c r="T1706" s="18" t="n"/>
      <c r="U1706" s="18" t="n"/>
      <c r="V1706" s="18" t="n"/>
      <c r="W1706" s="18" t="n">
        <v>55950</v>
      </c>
      <c r="X1706" s="35" t="n">
        <v>7.757</v>
      </c>
      <c r="Y1706" s="35" t="n"/>
    </row>
    <row r="1707">
      <c r="A1707" s="25" t="n">
        <v>41339</v>
      </c>
      <c r="B1707" s="18" t="n">
        <v>57940</v>
      </c>
      <c r="C1707" s="31" t="n"/>
      <c r="D1707" s="32" t="n"/>
      <c r="E1707" s="33" t="n">
        <v>-0.4178</v>
      </c>
      <c r="F1707" t="inlineStr">
        <is>
          <t>Down</t>
        </is>
      </c>
      <c r="G1707" t="inlineStr">
        <is>
          <t>Up</t>
        </is>
      </c>
      <c r="H1707" t="inlineStr">
        <is>
          <t>ED_JU</t>
        </is>
      </c>
      <c r="I1707" t="inlineStr">
        <is>
          <t>2013-03</t>
        </is>
      </c>
      <c r="J1707" t="n">
        <v>1</v>
      </c>
      <c r="K1707" t="n">
        <v>1</v>
      </c>
      <c r="L1707" s="34">
        <f>IF($J1707=1,LN(B1708/B1707),"")</f>
        <v/>
      </c>
      <c r="M1707" s="34">
        <f>IF($K1707=1,INDEX(Mensal!$D$2:$D$245,MATCH($I1707,Mensal!$A$2:$A$245,0)),"")</f>
        <v/>
      </c>
      <c r="N1707" s="34">
        <f>IF($K1707=1,L1707-M1707,"")</f>
        <v/>
      </c>
      <c r="O1707" s="34" t="n">
        <v>0.00026815</v>
      </c>
      <c r="P1707" s="34">
        <f>IF($J1707=1,LN(1+O1707),"")</f>
        <v/>
      </c>
      <c r="Q1707" s="34">
        <f>IF($J1707=1,LN(R1708/R1707),"")</f>
        <v/>
      </c>
      <c r="R1707" s="32" t="n">
        <v>1.9673</v>
      </c>
      <c r="S1707" s="35" t="n">
        <v>7.759</v>
      </c>
      <c r="T1707" s="18" t="n"/>
      <c r="U1707" s="18" t="n"/>
      <c r="V1707" s="18" t="n"/>
      <c r="W1707" s="18" t="n">
        <v>57940</v>
      </c>
      <c r="X1707" s="35" t="n">
        <v>7.759</v>
      </c>
      <c r="Y1707" s="35" t="n"/>
    </row>
    <row r="1708">
      <c r="A1708" s="25" t="n">
        <v>41340</v>
      </c>
      <c r="B1708" s="18" t="n">
        <v>58846</v>
      </c>
      <c r="C1708" s="31" t="n"/>
      <c r="D1708" s="32" t="n"/>
      <c r="E1708" s="33" t="n">
        <v>-0.4592</v>
      </c>
      <c r="F1708" t="inlineStr">
        <is>
          <t>Down</t>
        </is>
      </c>
      <c r="G1708" t="inlineStr">
        <is>
          <t>Up</t>
        </is>
      </c>
      <c r="H1708" t="inlineStr">
        <is>
          <t>ED_JU</t>
        </is>
      </c>
      <c r="I1708" t="inlineStr">
        <is>
          <t>2013-03</t>
        </is>
      </c>
      <c r="J1708" t="n">
        <v>1</v>
      </c>
      <c r="K1708" t="n">
        <v>1</v>
      </c>
      <c r="L1708" s="34">
        <f>IF($J1708=1,LN(B1709/B1708),"")</f>
        <v/>
      </c>
      <c r="M1708" s="34">
        <f>IF($K1708=1,INDEX(Mensal!$D$2:$D$245,MATCH($I1708,Mensal!$A$2:$A$245,0)),"")</f>
        <v/>
      </c>
      <c r="N1708" s="34">
        <f>IF($K1708=1,L1708-M1708,"")</f>
        <v/>
      </c>
      <c r="O1708" s="34" t="n">
        <v>0.00026815</v>
      </c>
      <c r="P1708" s="34">
        <f>IF($J1708=1,LN(1+O1708),"")</f>
        <v/>
      </c>
      <c r="Q1708" s="34">
        <f>IF($J1708=1,LN(R1709/R1708),"")</f>
        <v/>
      </c>
      <c r="R1708" s="32" t="n">
        <v>1.9642</v>
      </c>
      <c r="S1708" s="35" t="n">
        <v>7.894</v>
      </c>
      <c r="T1708" s="18" t="n"/>
      <c r="U1708" s="18" t="n"/>
      <c r="V1708" s="18" t="n"/>
      <c r="W1708" s="18" t="n">
        <v>58846</v>
      </c>
      <c r="X1708" s="35" t="n">
        <v>7.894</v>
      </c>
      <c r="Y1708" s="35" t="n"/>
    </row>
    <row r="1709">
      <c r="A1709" s="25" t="n">
        <v>41341</v>
      </c>
      <c r="B1709" s="18" t="n">
        <v>58432</v>
      </c>
      <c r="C1709" s="31" t="n"/>
      <c r="D1709" s="32" t="n"/>
      <c r="E1709" s="33" t="n">
        <v>-0.498</v>
      </c>
      <c r="F1709" t="inlineStr">
        <is>
          <t>Down</t>
        </is>
      </c>
      <c r="G1709" t="inlineStr">
        <is>
          <t>Up</t>
        </is>
      </c>
      <c r="H1709" t="inlineStr">
        <is>
          <t>ED_JU</t>
        </is>
      </c>
      <c r="I1709" t="inlineStr">
        <is>
          <t>2013-03</t>
        </is>
      </c>
      <c r="J1709" t="n">
        <v>1</v>
      </c>
      <c r="K1709" t="n">
        <v>1</v>
      </c>
      <c r="L1709" s="34">
        <f>IF($J1709=1,LN(B1710/B1709),"")</f>
        <v/>
      </c>
      <c r="M1709" s="34">
        <f>IF($K1709=1,INDEX(Mensal!$D$2:$D$245,MATCH($I1709,Mensal!$A$2:$A$245,0)),"")</f>
        <v/>
      </c>
      <c r="N1709" s="34">
        <f>IF($K1709=1,L1709-M1709,"")</f>
        <v/>
      </c>
      <c r="O1709" s="34" t="n">
        <v>0.00026815</v>
      </c>
      <c r="P1709" s="34">
        <f>IF($J1709=1,LN(1+O1709),"")</f>
        <v/>
      </c>
      <c r="Q1709" s="34">
        <f>IF($J1709=1,LN(R1710/R1709),"")</f>
        <v/>
      </c>
      <c r="R1709" s="32" t="n">
        <v>1.9528</v>
      </c>
      <c r="S1709" s="35" t="n">
        <v>8.086</v>
      </c>
      <c r="T1709" s="18" t="n"/>
      <c r="U1709" s="18" t="n"/>
      <c r="V1709" s="18" t="n"/>
      <c r="W1709" s="18" t="n">
        <v>58432</v>
      </c>
      <c r="X1709" s="35" t="n">
        <v>8.086</v>
      </c>
      <c r="Y1709" s="35" t="n"/>
    </row>
    <row r="1710">
      <c r="A1710" s="25" t="n">
        <v>41344</v>
      </c>
      <c r="B1710" s="18" t="n">
        <v>58544</v>
      </c>
      <c r="C1710" s="31" t="n"/>
      <c r="D1710" s="32" t="n"/>
      <c r="E1710" s="33" t="n">
        <v>-0.5331</v>
      </c>
      <c r="F1710" t="inlineStr">
        <is>
          <t>Down</t>
        </is>
      </c>
      <c r="G1710" t="inlineStr">
        <is>
          <t>Up</t>
        </is>
      </c>
      <c r="H1710" t="inlineStr">
        <is>
          <t>ED_JU</t>
        </is>
      </c>
      <c r="I1710" t="inlineStr">
        <is>
          <t>2013-03</t>
        </is>
      </c>
      <c r="J1710" t="n">
        <v>1</v>
      </c>
      <c r="K1710" t="n">
        <v>1</v>
      </c>
      <c r="L1710" s="34">
        <f>IF($J1710=1,LN(B1711/B1710),"")</f>
        <v/>
      </c>
      <c r="M1710" s="34">
        <f>IF($K1710=1,INDEX(Mensal!$D$2:$D$245,MATCH($I1710,Mensal!$A$2:$A$245,0)),"")</f>
        <v/>
      </c>
      <c r="N1710" s="34">
        <f>IF($K1710=1,L1710-M1710,"")</f>
        <v/>
      </c>
      <c r="O1710" s="34" t="n">
        <v>0.00026815</v>
      </c>
      <c r="P1710" s="34">
        <f>IF($J1710=1,LN(1+O1710),"")</f>
        <v/>
      </c>
      <c r="Q1710" s="34">
        <f>IF($J1710=1,LN(R1711/R1710),"")</f>
        <v/>
      </c>
      <c r="R1710" s="32" t="n">
        <v>1.9552</v>
      </c>
      <c r="S1710" s="35" t="n">
        <v>7.971</v>
      </c>
      <c r="T1710" s="18" t="n"/>
      <c r="U1710" s="18" t="n"/>
      <c r="V1710" s="18" t="n"/>
      <c r="W1710" s="18" t="n">
        <v>58544</v>
      </c>
      <c r="X1710" s="35" t="n">
        <v>7.971</v>
      </c>
      <c r="Y1710" s="35" t="n"/>
    </row>
    <row r="1711">
      <c r="A1711" s="25" t="n">
        <v>41345</v>
      </c>
      <c r="B1711" s="18" t="n">
        <v>58208</v>
      </c>
      <c r="C1711" s="31" t="n"/>
      <c r="D1711" s="32" t="n"/>
      <c r="E1711" s="33" t="n">
        <v>-0.5657</v>
      </c>
      <c r="F1711" t="inlineStr">
        <is>
          <t>Down</t>
        </is>
      </c>
      <c r="G1711" t="inlineStr">
        <is>
          <t>Up</t>
        </is>
      </c>
      <c r="H1711" t="inlineStr">
        <is>
          <t>ED_JU</t>
        </is>
      </c>
      <c r="I1711" t="inlineStr">
        <is>
          <t>2013-03</t>
        </is>
      </c>
      <c r="J1711" t="n">
        <v>1</v>
      </c>
      <c r="K1711" t="n">
        <v>1</v>
      </c>
      <c r="L1711" s="34">
        <f>IF($J1711=1,LN(B1712/B1711),"")</f>
        <v/>
      </c>
      <c r="M1711" s="34">
        <f>IF($K1711=1,INDEX(Mensal!$D$2:$D$245,MATCH($I1711,Mensal!$A$2:$A$245,0)),"")</f>
        <v/>
      </c>
      <c r="N1711" s="34">
        <f>IF($K1711=1,L1711-M1711,"")</f>
        <v/>
      </c>
      <c r="O1711" s="34" t="n">
        <v>0.00026815</v>
      </c>
      <c r="P1711" s="34">
        <f>IF($J1711=1,LN(1+O1711),"")</f>
        <v/>
      </c>
      <c r="Q1711" s="34">
        <f>IF($J1711=1,LN(R1712/R1711),"")</f>
        <v/>
      </c>
      <c r="R1711" s="32" t="n">
        <v>1.9585</v>
      </c>
      <c r="S1711" s="35" t="n">
        <v>8.041</v>
      </c>
      <c r="T1711" s="18" t="n"/>
      <c r="U1711" s="18" t="n"/>
      <c r="V1711" s="18" t="n"/>
      <c r="W1711" s="18" t="n">
        <v>58208</v>
      </c>
      <c r="X1711" s="35" t="n">
        <v>8.041</v>
      </c>
      <c r="Y1711" s="35" t="n"/>
    </row>
    <row r="1712">
      <c r="A1712" s="25" t="n">
        <v>41346</v>
      </c>
      <c r="B1712" s="18" t="n">
        <v>57385</v>
      </c>
      <c r="C1712" s="31" t="n"/>
      <c r="D1712" s="32" t="n"/>
      <c r="E1712" s="33" t="n">
        <v>-0.5979</v>
      </c>
      <c r="F1712" t="inlineStr">
        <is>
          <t>Down</t>
        </is>
      </c>
      <c r="G1712" t="inlineStr">
        <is>
          <t>Up</t>
        </is>
      </c>
      <c r="H1712" t="inlineStr">
        <is>
          <t>ED_JU</t>
        </is>
      </c>
      <c r="I1712" t="inlineStr">
        <is>
          <t>2013-03</t>
        </is>
      </c>
      <c r="J1712" t="n">
        <v>1</v>
      </c>
      <c r="K1712" t="n">
        <v>1</v>
      </c>
      <c r="L1712" s="34">
        <f>IF($J1712=1,LN(B1713/B1712),"")</f>
        <v/>
      </c>
      <c r="M1712" s="34">
        <f>IF($K1712=1,INDEX(Mensal!$D$2:$D$245,MATCH($I1712,Mensal!$A$2:$A$245,0)),"")</f>
        <v/>
      </c>
      <c r="N1712" s="34">
        <f>IF($K1712=1,L1712-M1712,"")</f>
        <v/>
      </c>
      <c r="O1712" s="34" t="n">
        <v>0.00026815</v>
      </c>
      <c r="P1712" s="34">
        <f>IF($J1712=1,LN(1+O1712),"")</f>
        <v/>
      </c>
      <c r="Q1712" s="34">
        <f>IF($J1712=1,LN(R1713/R1712),"")</f>
        <v/>
      </c>
      <c r="R1712" s="32" t="n">
        <v>1.9619</v>
      </c>
      <c r="S1712" s="35" t="n">
        <v>8.101000000000001</v>
      </c>
      <c r="T1712" s="18" t="n"/>
      <c r="U1712" s="18" t="n"/>
      <c r="V1712" s="18" t="n"/>
      <c r="W1712" s="18" t="n">
        <v>57385</v>
      </c>
      <c r="X1712" s="35" t="n">
        <v>8.101000000000001</v>
      </c>
      <c r="Y1712" s="35" t="n"/>
    </row>
    <row r="1713">
      <c r="A1713" s="25" t="n">
        <v>41347</v>
      </c>
      <c r="B1713" s="18" t="n">
        <v>57281</v>
      </c>
      <c r="C1713" s="31" t="n"/>
      <c r="D1713" s="32" t="n"/>
      <c r="E1713" s="33" t="n">
        <v>-0.6279</v>
      </c>
      <c r="F1713" t="inlineStr">
        <is>
          <t>Down</t>
        </is>
      </c>
      <c r="G1713" t="inlineStr">
        <is>
          <t>Up</t>
        </is>
      </c>
      <c r="H1713" t="inlineStr">
        <is>
          <t>ED_JU</t>
        </is>
      </c>
      <c r="I1713" t="inlineStr">
        <is>
          <t>2013-03</t>
        </is>
      </c>
      <c r="J1713" t="n">
        <v>1</v>
      </c>
      <c r="K1713" t="n">
        <v>1</v>
      </c>
      <c r="L1713" s="34">
        <f>IF($J1713=1,LN(B1714/B1713),"")</f>
        <v/>
      </c>
      <c r="M1713" s="34">
        <f>IF($K1713=1,INDEX(Mensal!$D$2:$D$245,MATCH($I1713,Mensal!$A$2:$A$245,0)),"")</f>
        <v/>
      </c>
      <c r="N1713" s="34">
        <f>IF($K1713=1,L1713-M1713,"")</f>
        <v/>
      </c>
      <c r="O1713" s="34" t="n">
        <v>0.00026815</v>
      </c>
      <c r="P1713" s="34">
        <f>IF($J1713=1,LN(1+O1713),"")</f>
        <v/>
      </c>
      <c r="Q1713" s="34">
        <f>IF($J1713=1,LN(R1714/R1713),"")</f>
        <v/>
      </c>
      <c r="R1713" s="32" t="n">
        <v>1.9676</v>
      </c>
      <c r="S1713" s="35" t="n">
        <v>7.989</v>
      </c>
      <c r="T1713" s="18" t="n"/>
      <c r="U1713" s="18" t="n"/>
      <c r="V1713" s="18" t="n"/>
      <c r="W1713" s="18" t="n">
        <v>57281</v>
      </c>
      <c r="X1713" s="35" t="n">
        <v>7.989</v>
      </c>
      <c r="Y1713" s="35" t="n"/>
    </row>
    <row r="1714">
      <c r="A1714" s="25" t="n">
        <v>41348</v>
      </c>
      <c r="B1714" s="18" t="n">
        <v>56869</v>
      </c>
      <c r="C1714" s="31" t="n"/>
      <c r="D1714" s="32" t="n"/>
      <c r="E1714" s="33" t="n">
        <v>-0.6553</v>
      </c>
      <c r="F1714" t="inlineStr">
        <is>
          <t>Down</t>
        </is>
      </c>
      <c r="G1714" t="inlineStr">
        <is>
          <t>Up</t>
        </is>
      </c>
      <c r="H1714" t="inlineStr">
        <is>
          <t>ED_JU</t>
        </is>
      </c>
      <c r="I1714" t="inlineStr">
        <is>
          <t>2013-03</t>
        </is>
      </c>
      <c r="J1714" t="n">
        <v>1</v>
      </c>
      <c r="K1714" t="n">
        <v>1</v>
      </c>
      <c r="L1714" s="34">
        <f>IF($J1714=1,LN(B1715/B1714),"")</f>
        <v/>
      </c>
      <c r="M1714" s="34">
        <f>IF($K1714=1,INDEX(Mensal!$D$2:$D$245,MATCH($I1714,Mensal!$A$2:$A$245,0)),"")</f>
        <v/>
      </c>
      <c r="N1714" s="34">
        <f>IF($K1714=1,L1714-M1714,"")</f>
        <v/>
      </c>
      <c r="O1714" s="34" t="n">
        <v>0.00026815</v>
      </c>
      <c r="P1714" s="34">
        <f>IF($J1714=1,LN(1+O1714),"")</f>
        <v/>
      </c>
      <c r="Q1714" s="34">
        <f>IF($J1714=1,LN(R1715/R1714),"")</f>
        <v/>
      </c>
      <c r="R1714" s="32" t="n">
        <v>1.9749</v>
      </c>
      <c r="S1714" s="35" t="n">
        <v>7.981</v>
      </c>
      <c r="T1714" s="18" t="n"/>
      <c r="U1714" s="18" t="n"/>
      <c r="V1714" s="18" t="n"/>
      <c r="W1714" s="18" t="n">
        <v>56869</v>
      </c>
      <c r="X1714" s="35" t="n">
        <v>7.981</v>
      </c>
      <c r="Y1714" s="35" t="n"/>
    </row>
    <row r="1715">
      <c r="A1715" s="25" t="n">
        <v>41351</v>
      </c>
      <c r="B1715" s="18" t="n">
        <v>56972</v>
      </c>
      <c r="C1715" s="31" t="n"/>
      <c r="D1715" s="32" t="n"/>
      <c r="E1715" s="33" t="n">
        <v>-0.6763</v>
      </c>
      <c r="F1715" t="inlineStr">
        <is>
          <t>Down</t>
        </is>
      </c>
      <c r="G1715" t="inlineStr">
        <is>
          <t>Up</t>
        </is>
      </c>
      <c r="H1715" t="inlineStr">
        <is>
          <t>ED_JU</t>
        </is>
      </c>
      <c r="I1715" t="inlineStr">
        <is>
          <t>2013-03</t>
        </is>
      </c>
      <c r="J1715" t="n">
        <v>1</v>
      </c>
      <c r="K1715" t="n">
        <v>1</v>
      </c>
      <c r="L1715" s="34">
        <f>IF($J1715=1,LN(B1716/B1715),"")</f>
        <v/>
      </c>
      <c r="M1715" s="34">
        <f>IF($K1715=1,INDEX(Mensal!$D$2:$D$245,MATCH($I1715,Mensal!$A$2:$A$245,0)),"")</f>
        <v/>
      </c>
      <c r="N1715" s="34">
        <f>IF($K1715=1,L1715-M1715,"")</f>
        <v/>
      </c>
      <c r="O1715" s="34" t="n">
        <v>0.00026815</v>
      </c>
      <c r="P1715" s="34">
        <f>IF($J1715=1,LN(1+O1715),"")</f>
        <v/>
      </c>
      <c r="Q1715" s="34">
        <f>IF($J1715=1,LN(R1716/R1715),"")</f>
        <v/>
      </c>
      <c r="R1715" s="32" t="n">
        <v>1.9871</v>
      </c>
      <c r="S1715" s="35" t="n">
        <v>7.981</v>
      </c>
      <c r="T1715" s="18" t="n"/>
      <c r="U1715" s="18" t="n"/>
      <c r="V1715" s="18" t="n"/>
      <c r="W1715" s="18" t="n">
        <v>56972</v>
      </c>
      <c r="X1715" s="35" t="n">
        <v>7.981</v>
      </c>
      <c r="Y1715" s="35" t="n"/>
    </row>
    <row r="1716">
      <c r="A1716" s="25" t="n">
        <v>41352</v>
      </c>
      <c r="B1716" s="18" t="n">
        <v>56361</v>
      </c>
      <c r="C1716" s="31" t="n"/>
      <c r="D1716" s="32" t="n"/>
      <c r="E1716" s="33" t="n">
        <v>-0.6896</v>
      </c>
      <c r="F1716" t="inlineStr">
        <is>
          <t>Down</t>
        </is>
      </c>
      <c r="G1716" t="inlineStr">
        <is>
          <t>Up</t>
        </is>
      </c>
      <c r="H1716" t="inlineStr">
        <is>
          <t>ED_JU</t>
        </is>
      </c>
      <c r="I1716" t="inlineStr">
        <is>
          <t>2013-03</t>
        </is>
      </c>
      <c r="J1716" t="n">
        <v>1</v>
      </c>
      <c r="K1716" t="n">
        <v>1</v>
      </c>
      <c r="L1716" s="34">
        <f>IF($J1716=1,LN(B1717/B1716),"")</f>
        <v/>
      </c>
      <c r="M1716" s="34">
        <f>IF($K1716=1,INDEX(Mensal!$D$2:$D$245,MATCH($I1716,Mensal!$A$2:$A$245,0)),"")</f>
        <v/>
      </c>
      <c r="N1716" s="34">
        <f>IF($K1716=1,L1716-M1716,"")</f>
        <v/>
      </c>
      <c r="O1716" s="34" t="n">
        <v>0.00026815</v>
      </c>
      <c r="P1716" s="34">
        <f>IF($J1716=1,LN(1+O1716),"")</f>
        <v/>
      </c>
      <c r="Q1716" s="34">
        <f>IF($J1716=1,LN(R1717/R1716),"")</f>
        <v/>
      </c>
      <c r="R1716" s="32" t="n">
        <v>1.983</v>
      </c>
      <c r="S1716" s="35" t="n">
        <v>7.953</v>
      </c>
      <c r="T1716" s="18" t="n"/>
      <c r="U1716" s="18" t="n"/>
      <c r="V1716" s="18" t="n"/>
      <c r="W1716" s="18" t="n">
        <v>56361</v>
      </c>
      <c r="X1716" s="35" t="n">
        <v>7.953</v>
      </c>
      <c r="Y1716" s="35" t="n"/>
    </row>
    <row r="1717">
      <c r="A1717" s="25" t="n">
        <v>41353</v>
      </c>
      <c r="B1717" s="18" t="n">
        <v>56030</v>
      </c>
      <c r="C1717" s="31" t="n"/>
      <c r="D1717" s="32" t="n"/>
      <c r="E1717" s="33" t="n">
        <v>-0.6995</v>
      </c>
      <c r="F1717" t="inlineStr">
        <is>
          <t>Down</t>
        </is>
      </c>
      <c r="G1717" t="inlineStr">
        <is>
          <t>Up</t>
        </is>
      </c>
      <c r="H1717" t="inlineStr">
        <is>
          <t>ED_JU</t>
        </is>
      </c>
      <c r="I1717" t="inlineStr">
        <is>
          <t>2013-03</t>
        </is>
      </c>
      <c r="J1717" t="n">
        <v>1</v>
      </c>
      <c r="K1717" t="n">
        <v>1</v>
      </c>
      <c r="L1717" s="34">
        <f>IF($J1717=1,LN(B1718/B1717),"")</f>
        <v/>
      </c>
      <c r="M1717" s="34">
        <f>IF($K1717=1,INDEX(Mensal!$D$2:$D$245,MATCH($I1717,Mensal!$A$2:$A$245,0)),"")</f>
        <v/>
      </c>
      <c r="N1717" s="34">
        <f>IF($K1717=1,L1717-M1717,"")</f>
        <v/>
      </c>
      <c r="O1717" s="34" t="n">
        <v>0.00026815</v>
      </c>
      <c r="P1717" s="34">
        <f>IF($J1717=1,LN(1+O1717),"")</f>
        <v/>
      </c>
      <c r="Q1717" s="34">
        <f>IF($J1717=1,LN(R1718/R1717),"")</f>
        <v/>
      </c>
      <c r="R1717" s="32" t="n">
        <v>1.9868</v>
      </c>
      <c r="S1717" s="35" t="n">
        <v>7.947</v>
      </c>
      <c r="T1717" s="18" t="n"/>
      <c r="U1717" s="18" t="n"/>
      <c r="V1717" s="18" t="n"/>
      <c r="W1717" s="18" t="n">
        <v>56030</v>
      </c>
      <c r="X1717" s="35" t="n">
        <v>7.947</v>
      </c>
      <c r="Y1717" s="35" t="n"/>
    </row>
    <row r="1718">
      <c r="A1718" s="25" t="n">
        <v>41354</v>
      </c>
      <c r="B1718" s="18" t="n">
        <v>55576</v>
      </c>
      <c r="C1718" s="31" t="n"/>
      <c r="D1718" s="32" t="n"/>
      <c r="E1718" s="33" t="n">
        <v>-0.7060999999999999</v>
      </c>
      <c r="F1718" t="inlineStr">
        <is>
          <t>Down</t>
        </is>
      </c>
      <c r="G1718" t="inlineStr">
        <is>
          <t>Up</t>
        </is>
      </c>
      <c r="H1718" t="inlineStr">
        <is>
          <t>ED_JU</t>
        </is>
      </c>
      <c r="I1718" t="inlineStr">
        <is>
          <t>2013-03</t>
        </is>
      </c>
      <c r="J1718" t="n">
        <v>1</v>
      </c>
      <c r="K1718" t="n">
        <v>1</v>
      </c>
      <c r="L1718" s="34">
        <f>IF($J1718=1,LN(B1719/B1718),"")</f>
        <v/>
      </c>
      <c r="M1718" s="34">
        <f>IF($K1718=1,INDEX(Mensal!$D$2:$D$245,MATCH($I1718,Mensal!$A$2:$A$245,0)),"")</f>
        <v/>
      </c>
      <c r="N1718" s="34">
        <f>IF($K1718=1,L1718-M1718,"")</f>
        <v/>
      </c>
      <c r="O1718" s="34" t="n">
        <v>0.00026815</v>
      </c>
      <c r="P1718" s="34">
        <f>IF($J1718=1,LN(1+O1718),"")</f>
        <v/>
      </c>
      <c r="Q1718" s="34">
        <f>IF($J1718=1,LN(R1719/R1718),"")</f>
        <v/>
      </c>
      <c r="R1718" s="32" t="n">
        <v>1.9931</v>
      </c>
      <c r="S1718" s="35" t="n">
        <v>8.003</v>
      </c>
      <c r="T1718" s="18" t="n"/>
      <c r="U1718" s="18" t="n"/>
      <c r="V1718" s="18" t="n"/>
      <c r="W1718" s="18" t="n">
        <v>55576</v>
      </c>
      <c r="X1718" s="35" t="n">
        <v>8.003</v>
      </c>
      <c r="Y1718" s="35" t="n"/>
    </row>
    <row r="1719">
      <c r="A1719" s="25" t="n">
        <v>41355</v>
      </c>
      <c r="B1719" s="18" t="n">
        <v>55243</v>
      </c>
      <c r="C1719" s="31" t="n"/>
      <c r="D1719" s="32" t="n"/>
      <c r="E1719" s="33" t="n">
        <v>-0.7063</v>
      </c>
      <c r="F1719" t="inlineStr">
        <is>
          <t>Down</t>
        </is>
      </c>
      <c r="G1719" t="inlineStr">
        <is>
          <t>Up</t>
        </is>
      </c>
      <c r="H1719" t="inlineStr">
        <is>
          <t>ED_JU</t>
        </is>
      </c>
      <c r="I1719" t="inlineStr">
        <is>
          <t>2013-03</t>
        </is>
      </c>
      <c r="J1719" t="n">
        <v>1</v>
      </c>
      <c r="K1719" t="n">
        <v>1</v>
      </c>
      <c r="L1719" s="34">
        <f>IF($J1719=1,LN(B1720/B1719),"")</f>
        <v/>
      </c>
      <c r="M1719" s="34">
        <f>IF($K1719=1,INDEX(Mensal!$D$2:$D$245,MATCH($I1719,Mensal!$A$2:$A$245,0)),"")</f>
        <v/>
      </c>
      <c r="N1719" s="34">
        <f>IF($K1719=1,L1719-M1719,"")</f>
        <v/>
      </c>
      <c r="O1719" s="34" t="n">
        <v>0.00026815</v>
      </c>
      <c r="P1719" s="34">
        <f>IF($J1719=1,LN(1+O1719),"")</f>
        <v/>
      </c>
      <c r="Q1719" s="34">
        <f>IF($J1719=1,LN(R1720/R1719),"")</f>
        <v/>
      </c>
      <c r="R1719" s="32" t="n">
        <v>2.0126</v>
      </c>
      <c r="S1719" s="35" t="n">
        <v>7.916</v>
      </c>
      <c r="T1719" s="18" t="n"/>
      <c r="U1719" s="18" t="n"/>
      <c r="V1719" s="18" t="n"/>
      <c r="W1719" s="18" t="n">
        <v>55243</v>
      </c>
      <c r="X1719" s="35" t="n">
        <v>7.916</v>
      </c>
      <c r="Y1719" s="35" t="n"/>
    </row>
    <row r="1720">
      <c r="A1720" s="25" t="n">
        <v>41358</v>
      </c>
      <c r="B1720" s="18" t="n">
        <v>54873</v>
      </c>
      <c r="C1720" s="31" t="n"/>
      <c r="D1720" s="32" t="n"/>
      <c r="E1720" s="33" t="n">
        <v>-0.699</v>
      </c>
      <c r="F1720" t="inlineStr">
        <is>
          <t>Down</t>
        </is>
      </c>
      <c r="G1720" t="inlineStr">
        <is>
          <t>Up</t>
        </is>
      </c>
      <c r="H1720" t="inlineStr">
        <is>
          <t>ED_JU</t>
        </is>
      </c>
      <c r="I1720" t="inlineStr">
        <is>
          <t>2013-03</t>
        </is>
      </c>
      <c r="J1720" t="n">
        <v>1</v>
      </c>
      <c r="K1720" t="n">
        <v>1</v>
      </c>
      <c r="L1720" s="34">
        <f>IF($J1720=1,LN(B1721/B1720),"")</f>
        <v/>
      </c>
      <c r="M1720" s="34">
        <f>IF($K1720=1,INDEX(Mensal!$D$2:$D$245,MATCH($I1720,Mensal!$A$2:$A$245,0)),"")</f>
        <v/>
      </c>
      <c r="N1720" s="34">
        <f>IF($K1720=1,L1720-M1720,"")</f>
        <v/>
      </c>
      <c r="O1720" s="34" t="n">
        <v>0.00026815</v>
      </c>
      <c r="P1720" s="34">
        <f>IF($J1720=1,LN(1+O1720),"")</f>
        <v/>
      </c>
      <c r="Q1720" s="34">
        <f>IF($J1720=1,LN(R1721/R1720),"")</f>
        <v/>
      </c>
      <c r="R1720" s="32" t="n">
        <v>2.014</v>
      </c>
      <c r="S1720" s="35" t="n">
        <v>7.923</v>
      </c>
      <c r="T1720" s="18" t="n"/>
      <c r="U1720" s="18" t="n"/>
      <c r="V1720" s="18" t="n"/>
      <c r="W1720" s="18" t="n">
        <v>54873</v>
      </c>
      <c r="X1720" s="35" t="n">
        <v>7.923</v>
      </c>
      <c r="Y1720" s="35" t="n"/>
    </row>
    <row r="1721">
      <c r="A1721" s="25" t="n">
        <v>41359</v>
      </c>
      <c r="B1721" s="18" t="n">
        <v>55671</v>
      </c>
      <c r="C1721" s="31" t="n"/>
      <c r="D1721" s="32" t="n"/>
      <c r="E1721" s="33" t="n">
        <v>-0.6851</v>
      </c>
      <c r="F1721" t="inlineStr">
        <is>
          <t>Down</t>
        </is>
      </c>
      <c r="G1721" t="inlineStr">
        <is>
          <t>Up</t>
        </is>
      </c>
      <c r="H1721" t="inlineStr">
        <is>
          <t>ED_JU</t>
        </is>
      </c>
      <c r="I1721" t="inlineStr">
        <is>
          <t>2013-03</t>
        </is>
      </c>
      <c r="J1721" t="n">
        <v>1</v>
      </c>
      <c r="K1721" t="n">
        <v>1</v>
      </c>
      <c r="L1721" s="34">
        <f>IF($J1721=1,LN(B1722/B1721),"")</f>
        <v/>
      </c>
      <c r="M1721" s="34">
        <f>IF($K1721=1,INDEX(Mensal!$D$2:$D$245,MATCH($I1721,Mensal!$A$2:$A$245,0)),"")</f>
        <v/>
      </c>
      <c r="N1721" s="34">
        <f>IF($K1721=1,L1721-M1721,"")</f>
        <v/>
      </c>
      <c r="O1721" s="34" t="n">
        <v>0.00026815</v>
      </c>
      <c r="P1721" s="34">
        <f>IF($J1721=1,LN(1+O1721),"")</f>
        <v/>
      </c>
      <c r="Q1721" s="34">
        <f>IF($J1721=1,LN(R1722/R1721),"")</f>
        <v/>
      </c>
      <c r="R1721" s="32" t="n">
        <v>2.0087</v>
      </c>
      <c r="S1721" s="35" t="n">
        <v>7.945</v>
      </c>
      <c r="T1721" s="18" t="n"/>
      <c r="U1721" s="18" t="n"/>
      <c r="V1721" s="18" t="n"/>
      <c r="W1721" s="18" t="n">
        <v>55671</v>
      </c>
      <c r="X1721" s="35" t="n">
        <v>7.945</v>
      </c>
      <c r="Y1721" s="35" t="n"/>
    </row>
    <row r="1722">
      <c r="A1722" s="25" t="n">
        <v>41360</v>
      </c>
      <c r="B1722" s="18" t="n">
        <v>56034</v>
      </c>
      <c r="C1722" s="31" t="n"/>
      <c r="D1722" s="32" t="n"/>
      <c r="E1722" s="33" t="n">
        <v>-0.6593</v>
      </c>
      <c r="F1722" t="inlineStr">
        <is>
          <t>Down</t>
        </is>
      </c>
      <c r="G1722" t="inlineStr">
        <is>
          <t>Up</t>
        </is>
      </c>
      <c r="H1722" t="inlineStr">
        <is>
          <t>ED_JU</t>
        </is>
      </c>
      <c r="I1722" t="inlineStr">
        <is>
          <t>2013-03</t>
        </is>
      </c>
      <c r="J1722" t="n">
        <v>1</v>
      </c>
      <c r="K1722" t="n">
        <v>1</v>
      </c>
      <c r="L1722" s="34">
        <f>IF($J1722=1,LN(B1723/B1722),"")</f>
        <v/>
      </c>
      <c r="M1722" s="34">
        <f>IF($K1722=1,INDEX(Mensal!$D$2:$D$245,MATCH($I1722,Mensal!$A$2:$A$245,0)),"")</f>
        <v/>
      </c>
      <c r="N1722" s="34">
        <f>IF($K1722=1,L1722-M1722,"")</f>
        <v/>
      </c>
      <c r="O1722" s="34" t="n">
        <v>0.00026815</v>
      </c>
      <c r="P1722" s="34">
        <f>IF($J1722=1,LN(1+O1722),"")</f>
        <v/>
      </c>
      <c r="Q1722" s="34">
        <f>IF($J1722=1,LN(R1723/R1722),"")</f>
        <v/>
      </c>
      <c r="R1722" s="32" t="n">
        <v>2.0185</v>
      </c>
      <c r="S1722" s="35" t="n">
        <v>7.888</v>
      </c>
      <c r="T1722" s="18" t="n"/>
      <c r="U1722" s="18" t="n"/>
      <c r="V1722" s="18" t="n"/>
      <c r="W1722" s="18" t="n">
        <v>56034</v>
      </c>
      <c r="X1722" s="35" t="n">
        <v>7.888</v>
      </c>
      <c r="Y1722" s="35" t="n"/>
    </row>
    <row r="1723">
      <c r="A1723" s="25" t="n">
        <v>41361</v>
      </c>
      <c r="B1723" s="18" t="n">
        <v>56352</v>
      </c>
      <c r="C1723" s="31" t="n"/>
      <c r="D1723" s="32" t="n"/>
      <c r="E1723" s="33" t="n">
        <v>-0.6256</v>
      </c>
      <c r="F1723" t="inlineStr">
        <is>
          <t>Down</t>
        </is>
      </c>
      <c r="G1723" t="inlineStr">
        <is>
          <t>Up</t>
        </is>
      </c>
      <c r="H1723" t="inlineStr">
        <is>
          <t>ED_JU</t>
        </is>
      </c>
      <c r="I1723" t="inlineStr">
        <is>
          <t>2013-03</t>
        </is>
      </c>
      <c r="J1723" t="n">
        <v>1</v>
      </c>
      <c r="K1723" t="n">
        <v>1</v>
      </c>
      <c r="L1723" s="34">
        <f>IF($J1723=1,LN(B1724/B1723),"")</f>
        <v/>
      </c>
      <c r="M1723" s="34">
        <f>IF($K1723=1,INDEX(Mensal!$D$2:$D$245,MATCH($I1723,Mensal!$A$2:$A$245,0)),"")</f>
        <v/>
      </c>
      <c r="N1723" s="34">
        <f>IF($K1723=1,L1723-M1723,"")</f>
        <v/>
      </c>
      <c r="O1723" s="34" t="n">
        <v>0.00026889</v>
      </c>
      <c r="P1723" s="34">
        <f>IF($J1723=1,LN(1+O1723),"")</f>
        <v/>
      </c>
      <c r="Q1723" s="34">
        <f>IF($J1723=1,LN(R1724/R1723),"")</f>
        <v/>
      </c>
      <c r="R1723" s="32" t="n">
        <v>2.0138</v>
      </c>
      <c r="S1723" s="35" t="n">
        <v>7.918</v>
      </c>
      <c r="T1723" s="18" t="n"/>
      <c r="U1723" s="18" t="n"/>
      <c r="V1723" s="18" t="n"/>
      <c r="W1723" s="18" t="n">
        <v>56352</v>
      </c>
      <c r="X1723" s="35" t="n">
        <v>7.918</v>
      </c>
      <c r="Y1723" s="35" t="n"/>
    </row>
    <row r="1724">
      <c r="A1724" s="25" t="n">
        <v>41365</v>
      </c>
      <c r="B1724" s="18" t="n">
        <v>56348</v>
      </c>
      <c r="C1724" s="31" t="n"/>
      <c r="D1724" s="32" t="n"/>
      <c r="E1724" s="33" t="n">
        <v>-0.6036</v>
      </c>
      <c r="F1724" t="inlineStr">
        <is>
          <t>Down</t>
        </is>
      </c>
      <c r="G1724" t="inlineStr">
        <is>
          <t>Up</t>
        </is>
      </c>
      <c r="H1724" t="inlineStr">
        <is>
          <t>ED_JU</t>
        </is>
      </c>
      <c r="I1724" t="inlineStr">
        <is>
          <t>2013-04</t>
        </is>
      </c>
      <c r="J1724" t="n">
        <v>1</v>
      </c>
      <c r="K1724" t="n">
        <v>1</v>
      </c>
      <c r="L1724" s="34">
        <f>IF($J1724=1,LN(B1725/B1724),"")</f>
        <v/>
      </c>
      <c r="M1724" s="34">
        <f>IF($K1724=1,INDEX(Mensal!$D$2:$D$245,MATCH($I1724,Mensal!$A$2:$A$245,0)),"")</f>
        <v/>
      </c>
      <c r="N1724" s="34">
        <f>IF($K1724=1,L1724-M1724,"")</f>
        <v/>
      </c>
      <c r="O1724" s="34" t="n">
        <v>0.00026926</v>
      </c>
      <c r="P1724" s="34">
        <f>IF($J1724=1,LN(1+O1724),"")</f>
        <v/>
      </c>
      <c r="Q1724" s="34">
        <f>IF($J1724=1,LN(R1725/R1724),"")</f>
        <v/>
      </c>
      <c r="R1724" s="32" t="n">
        <v>2.0186</v>
      </c>
      <c r="S1724" s="35" t="n">
        <v>7.944</v>
      </c>
      <c r="T1724" s="18" t="n"/>
      <c r="U1724" s="18" t="n"/>
      <c r="V1724" s="18" t="n"/>
      <c r="W1724" s="18" t="n">
        <v>56348</v>
      </c>
      <c r="X1724" s="35" t="n">
        <v>7.944</v>
      </c>
      <c r="Y1724" s="35" t="n"/>
    </row>
    <row r="1725">
      <c r="A1725" s="25" t="n">
        <v>41366</v>
      </c>
      <c r="B1725" s="18" t="n">
        <v>54889</v>
      </c>
      <c r="C1725" s="31" t="n"/>
      <c r="D1725" s="32" t="n"/>
      <c r="E1725" s="33" t="n">
        <v>-0.5556</v>
      </c>
      <c r="F1725" t="inlineStr">
        <is>
          <t>Down</t>
        </is>
      </c>
      <c r="G1725" t="inlineStr">
        <is>
          <t>Up</t>
        </is>
      </c>
      <c r="H1725" t="inlineStr">
        <is>
          <t>ED_JU</t>
        </is>
      </c>
      <c r="I1725" t="inlineStr">
        <is>
          <t>2013-04</t>
        </is>
      </c>
      <c r="J1725" t="n">
        <v>1</v>
      </c>
      <c r="K1725" t="n">
        <v>1</v>
      </c>
      <c r="L1725" s="34">
        <f>IF($J1725=1,LN(B1726/B1725),"")</f>
        <v/>
      </c>
      <c r="M1725" s="34">
        <f>IF($K1725=1,INDEX(Mensal!$D$2:$D$245,MATCH($I1725,Mensal!$A$2:$A$245,0)),"")</f>
        <v/>
      </c>
      <c r="N1725" s="34">
        <f>IF($K1725=1,L1725-M1725,"")</f>
        <v/>
      </c>
      <c r="O1725" s="34" t="n">
        <v>0.00026926</v>
      </c>
      <c r="P1725" s="34">
        <f>IF($J1725=1,LN(1+O1725),"")</f>
        <v/>
      </c>
      <c r="Q1725" s="34">
        <f>IF($J1725=1,LN(R1726/R1725),"")</f>
        <v/>
      </c>
      <c r="R1725" s="32" t="n">
        <v>2.0179</v>
      </c>
      <c r="S1725" s="35" t="n">
        <v>7.906</v>
      </c>
      <c r="T1725" s="18" t="n"/>
      <c r="U1725" s="18" t="n"/>
      <c r="V1725" s="18" t="n"/>
      <c r="W1725" s="18" t="n">
        <v>54889</v>
      </c>
      <c r="X1725" s="35" t="n">
        <v>7.906</v>
      </c>
      <c r="Y1725" s="35" t="n"/>
    </row>
    <row r="1726">
      <c r="A1726" s="25" t="n">
        <v>41367</v>
      </c>
      <c r="B1726" s="18" t="n">
        <v>54888</v>
      </c>
      <c r="C1726" s="31" t="n"/>
      <c r="D1726" s="32" t="n"/>
      <c r="E1726" s="33" t="n">
        <v>-0.5016</v>
      </c>
      <c r="F1726" t="inlineStr">
        <is>
          <t>Down</t>
        </is>
      </c>
      <c r="G1726" t="inlineStr">
        <is>
          <t>Up</t>
        </is>
      </c>
      <c r="H1726" t="inlineStr">
        <is>
          <t>ED_JU</t>
        </is>
      </c>
      <c r="I1726" t="inlineStr">
        <is>
          <t>2013-04</t>
        </is>
      </c>
      <c r="J1726" t="n">
        <v>1</v>
      </c>
      <c r="K1726" t="n">
        <v>1</v>
      </c>
      <c r="L1726" s="34">
        <f>IF($J1726=1,LN(B1727/B1726),"")</f>
        <v/>
      </c>
      <c r="M1726" s="34">
        <f>IF($K1726=1,INDEX(Mensal!$D$2:$D$245,MATCH($I1726,Mensal!$A$2:$A$245,0)),"")</f>
        <v/>
      </c>
      <c r="N1726" s="34">
        <f>IF($K1726=1,L1726-M1726,"")</f>
        <v/>
      </c>
      <c r="O1726" s="34" t="n">
        <v>0.00026889</v>
      </c>
      <c r="P1726" s="34">
        <f>IF($J1726=1,LN(1+O1726),"")</f>
        <v/>
      </c>
      <c r="Q1726" s="34">
        <f>IF($J1726=1,LN(R1727/R1726),"")</f>
        <v/>
      </c>
      <c r="R1726" s="32" t="n">
        <v>2.0239</v>
      </c>
      <c r="S1726" s="35" t="n">
        <v>8.038</v>
      </c>
      <c r="T1726" s="18" t="n"/>
      <c r="U1726" s="18" t="n"/>
      <c r="V1726" s="18" t="n"/>
      <c r="W1726" s="18" t="n">
        <v>54888</v>
      </c>
      <c r="X1726" s="35" t="n">
        <v>8.038</v>
      </c>
      <c r="Y1726" s="35" t="n"/>
    </row>
    <row r="1727">
      <c r="A1727" s="25" t="n">
        <v>41368</v>
      </c>
      <c r="B1727" s="18" t="n">
        <v>54648</v>
      </c>
      <c r="C1727" s="31" t="n"/>
      <c r="D1727" s="32" t="n"/>
      <c r="E1727" s="33" t="n">
        <v>-0.443</v>
      </c>
      <c r="F1727" t="inlineStr">
        <is>
          <t>Down</t>
        </is>
      </c>
      <c r="G1727" t="inlineStr">
        <is>
          <t>Up</t>
        </is>
      </c>
      <c r="H1727" t="inlineStr">
        <is>
          <t>ED_JU</t>
        </is>
      </c>
      <c r="I1727" t="inlineStr">
        <is>
          <t>2013-04</t>
        </is>
      </c>
      <c r="J1727" t="n">
        <v>1</v>
      </c>
      <c r="K1727" t="n">
        <v>1</v>
      </c>
      <c r="L1727" s="34">
        <f>IF($J1727=1,LN(B1728/B1727),"")</f>
        <v/>
      </c>
      <c r="M1727" s="34">
        <f>IF($K1727=1,INDEX(Mensal!$D$2:$D$245,MATCH($I1727,Mensal!$A$2:$A$245,0)),"")</f>
        <v/>
      </c>
      <c r="N1727" s="34">
        <f>IF($K1727=1,L1727-M1727,"")</f>
        <v/>
      </c>
      <c r="O1727" s="34" t="n">
        <v>0.00026889</v>
      </c>
      <c r="P1727" s="34">
        <f>IF($J1727=1,LN(1+O1727),"")</f>
        <v/>
      </c>
      <c r="Q1727" s="34">
        <f>IF($J1727=1,LN(R1728/R1727),"")</f>
        <v/>
      </c>
      <c r="R1727" s="32" t="n">
        <v>2.0201</v>
      </c>
      <c r="S1727" s="35" t="n">
        <v>8.007999999999999</v>
      </c>
      <c r="T1727" s="18" t="n"/>
      <c r="U1727" s="18" t="n"/>
      <c r="V1727" s="18" t="n"/>
      <c r="W1727" s="18" t="n">
        <v>54648</v>
      </c>
      <c r="X1727" s="35" t="n">
        <v>8.007999999999999</v>
      </c>
      <c r="Y1727" s="35" t="n"/>
    </row>
    <row r="1728">
      <c r="A1728" s="25" t="n">
        <v>41369</v>
      </c>
      <c r="B1728" s="18" t="n">
        <v>55050</v>
      </c>
      <c r="C1728" s="31" t="n"/>
      <c r="D1728" s="32" t="n"/>
      <c r="E1728" s="33" t="n">
        <v>-0.3931</v>
      </c>
      <c r="F1728" t="inlineStr">
        <is>
          <t>Down</t>
        </is>
      </c>
      <c r="G1728" t="inlineStr">
        <is>
          <t>Up</t>
        </is>
      </c>
      <c r="H1728" t="inlineStr">
        <is>
          <t>ED_JU</t>
        </is>
      </c>
      <c r="I1728" t="inlineStr">
        <is>
          <t>2013-04</t>
        </is>
      </c>
      <c r="J1728" t="n">
        <v>1</v>
      </c>
      <c r="K1728" t="n">
        <v>1</v>
      </c>
      <c r="L1728" s="34">
        <f>IF($J1728=1,LN(B1729/B1728),"")</f>
        <v/>
      </c>
      <c r="M1728" s="34">
        <f>IF($K1728=1,INDEX(Mensal!$D$2:$D$245,MATCH($I1728,Mensal!$A$2:$A$245,0)),"")</f>
        <v/>
      </c>
      <c r="N1728" s="34">
        <f>IF($K1728=1,L1728-M1728,"")</f>
        <v/>
      </c>
      <c r="O1728" s="34" t="n">
        <v>0.00026889</v>
      </c>
      <c r="P1728" s="34">
        <f>IF($J1728=1,LN(1+O1728),"")</f>
        <v/>
      </c>
      <c r="Q1728" s="34">
        <f>IF($J1728=1,LN(R1729/R1728),"")</f>
        <v/>
      </c>
      <c r="R1728" s="32" t="n">
        <v>2.0035</v>
      </c>
      <c r="S1728" s="35" t="n">
        <v>7.918</v>
      </c>
      <c r="T1728" s="18" t="n"/>
      <c r="U1728" s="18" t="n"/>
      <c r="V1728" s="18" t="n"/>
      <c r="W1728" s="18" t="n">
        <v>55050</v>
      </c>
      <c r="X1728" s="35" t="n">
        <v>7.918</v>
      </c>
      <c r="Y1728" s="35" t="n"/>
    </row>
    <row r="1729">
      <c r="A1729" s="25" t="n">
        <v>41372</v>
      </c>
      <c r="B1729" s="18" t="n">
        <v>55092</v>
      </c>
      <c r="C1729" s="31" t="n"/>
      <c r="D1729" s="32" t="n"/>
      <c r="E1729" s="33" t="n">
        <v>-0.3384</v>
      </c>
      <c r="F1729" t="inlineStr">
        <is>
          <t>Down</t>
        </is>
      </c>
      <c r="G1729" t="inlineStr">
        <is>
          <t>Up</t>
        </is>
      </c>
      <c r="H1729" t="inlineStr">
        <is>
          <t>ED_JU</t>
        </is>
      </c>
      <c r="I1729" t="inlineStr">
        <is>
          <t>2013-04</t>
        </is>
      </c>
      <c r="J1729" t="n">
        <v>1</v>
      </c>
      <c r="K1729" t="n">
        <v>1</v>
      </c>
      <c r="L1729" s="34">
        <f>IF($J1729=1,LN(B1730/B1729),"")</f>
        <v/>
      </c>
      <c r="M1729" s="34">
        <f>IF($K1729=1,INDEX(Mensal!$D$2:$D$245,MATCH($I1729,Mensal!$A$2:$A$245,0)),"")</f>
        <v/>
      </c>
      <c r="N1729" s="34">
        <f>IF($K1729=1,L1729-M1729,"")</f>
        <v/>
      </c>
      <c r="O1729" s="34" t="n">
        <v>0.00026889</v>
      </c>
      <c r="P1729" s="34">
        <f>IF($J1729=1,LN(1+O1729),"")</f>
        <v/>
      </c>
      <c r="Q1729" s="34">
        <f>IF($J1729=1,LN(R1730/R1729),"")</f>
        <v/>
      </c>
      <c r="R1729" s="32" t="n">
        <v>1.9902</v>
      </c>
      <c r="S1729" s="35" t="n">
        <v>7.967</v>
      </c>
      <c r="T1729" s="18" t="n"/>
      <c r="U1729" s="18" t="n"/>
      <c r="V1729" s="18" t="n"/>
      <c r="W1729" s="18" t="n">
        <v>55092</v>
      </c>
      <c r="X1729" s="35" t="n">
        <v>7.967</v>
      </c>
      <c r="Y1729" s="35" t="n"/>
    </row>
    <row r="1730">
      <c r="A1730" s="25" t="n">
        <v>41373</v>
      </c>
      <c r="B1730" s="18" t="n">
        <v>55912</v>
      </c>
      <c r="C1730" s="31" t="n"/>
      <c r="D1730" s="32" t="n"/>
      <c r="E1730" s="33" t="n">
        <v>-0.2871</v>
      </c>
      <c r="F1730" t="inlineStr">
        <is>
          <t>Down</t>
        </is>
      </c>
      <c r="G1730" t="inlineStr">
        <is>
          <t>Up</t>
        </is>
      </c>
      <c r="H1730" t="inlineStr">
        <is>
          <t>ED_JU</t>
        </is>
      </c>
      <c r="I1730" t="inlineStr">
        <is>
          <t>2013-04</t>
        </is>
      </c>
      <c r="J1730" t="n">
        <v>1</v>
      </c>
      <c r="K1730" t="n">
        <v>1</v>
      </c>
      <c r="L1730" s="34">
        <f>IF($J1730=1,LN(B1731/B1730),"")</f>
        <v/>
      </c>
      <c r="M1730" s="34">
        <f>IF($K1730=1,INDEX(Mensal!$D$2:$D$245,MATCH($I1730,Mensal!$A$2:$A$245,0)),"")</f>
        <v/>
      </c>
      <c r="N1730" s="34">
        <f>IF($K1730=1,L1730-M1730,"")</f>
        <v/>
      </c>
      <c r="O1730" s="34" t="n">
        <v>0.00026889</v>
      </c>
      <c r="P1730" s="34">
        <f>IF($J1730=1,LN(1+O1730),"")</f>
        <v/>
      </c>
      <c r="Q1730" s="34">
        <f>IF($J1730=1,LN(R1731/R1730),"")</f>
        <v/>
      </c>
      <c r="R1730" s="32" t="n">
        <v>1.9861</v>
      </c>
      <c r="S1730" s="35" t="n">
        <v>8.039999999999999</v>
      </c>
      <c r="T1730" s="18" t="n"/>
      <c r="U1730" s="18" t="n"/>
      <c r="V1730" s="18" t="n"/>
      <c r="W1730" s="18" t="n">
        <v>55912</v>
      </c>
      <c r="X1730" s="35" t="n">
        <v>8.039999999999999</v>
      </c>
      <c r="Y1730" s="35" t="n"/>
    </row>
    <row r="1731">
      <c r="A1731" s="25" t="n">
        <v>41374</v>
      </c>
      <c r="B1731" s="18" t="n">
        <v>56189</v>
      </c>
      <c r="C1731" s="31" t="n"/>
      <c r="D1731" s="32" t="n"/>
      <c r="E1731" s="33" t="n">
        <v>-0.2766</v>
      </c>
      <c r="F1731" t="inlineStr">
        <is>
          <t>Down</t>
        </is>
      </c>
      <c r="G1731" t="inlineStr">
        <is>
          <t>Up</t>
        </is>
      </c>
      <c r="H1731" t="inlineStr">
        <is>
          <t>ED_JU</t>
        </is>
      </c>
      <c r="I1731" t="inlineStr">
        <is>
          <t>2013-04</t>
        </is>
      </c>
      <c r="J1731" t="n">
        <v>1</v>
      </c>
      <c r="K1731" t="n">
        <v>1</v>
      </c>
      <c r="L1731" s="34">
        <f>IF($J1731=1,LN(B1732/B1731),"")</f>
        <v/>
      </c>
      <c r="M1731" s="34">
        <f>IF($K1731=1,INDEX(Mensal!$D$2:$D$245,MATCH($I1731,Mensal!$A$2:$A$245,0)),"")</f>
        <v/>
      </c>
      <c r="N1731" s="34">
        <f>IF($K1731=1,L1731-M1731,"")</f>
        <v/>
      </c>
      <c r="O1731" s="34" t="n">
        <v>0.00026889</v>
      </c>
      <c r="P1731" s="34">
        <f>IF($J1731=1,LN(1+O1731),"")</f>
        <v/>
      </c>
      <c r="Q1731" s="34">
        <f>IF($J1731=1,LN(R1732/R1731),"")</f>
        <v/>
      </c>
      <c r="R1731" s="32" t="n">
        <v>1.981</v>
      </c>
      <c r="S1731" s="35" t="n">
        <v>8.054</v>
      </c>
      <c r="T1731" s="18" t="n"/>
      <c r="U1731" s="18" t="n"/>
      <c r="V1731" s="18" t="n"/>
      <c r="W1731" s="18" t="n">
        <v>56189</v>
      </c>
      <c r="X1731" s="35" t="n">
        <v>8.054</v>
      </c>
      <c r="Y1731" s="35" t="n"/>
    </row>
    <row r="1732">
      <c r="A1732" s="25" t="n">
        <v>41375</v>
      </c>
      <c r="B1732" s="18" t="n">
        <v>55400</v>
      </c>
      <c r="C1732" s="31" t="n"/>
      <c r="D1732" s="32" t="n"/>
      <c r="E1732" s="33" t="n">
        <v>-0.2742</v>
      </c>
      <c r="F1732" t="inlineStr">
        <is>
          <t>Down</t>
        </is>
      </c>
      <c r="G1732" t="inlineStr">
        <is>
          <t>Up</t>
        </is>
      </c>
      <c r="H1732" t="inlineStr">
        <is>
          <t>ED_JU</t>
        </is>
      </c>
      <c r="I1732" t="inlineStr">
        <is>
          <t>2013-04</t>
        </is>
      </c>
      <c r="J1732" t="n">
        <v>1</v>
      </c>
      <c r="K1732" t="n">
        <v>1</v>
      </c>
      <c r="L1732" s="34">
        <f>IF($J1732=1,LN(B1733/B1732),"")</f>
        <v/>
      </c>
      <c r="M1732" s="34">
        <f>IF($K1732=1,INDEX(Mensal!$D$2:$D$245,MATCH($I1732,Mensal!$A$2:$A$245,0)),"")</f>
        <v/>
      </c>
      <c r="N1732" s="34">
        <f>IF($K1732=1,L1732-M1732,"")</f>
        <v/>
      </c>
      <c r="O1732" s="34" t="n">
        <v>0.00026889</v>
      </c>
      <c r="P1732" s="34">
        <f>IF($J1732=1,LN(1+O1732),"")</f>
        <v/>
      </c>
      <c r="Q1732" s="34">
        <f>IF($J1732=1,LN(R1733/R1732),"")</f>
        <v/>
      </c>
      <c r="R1732" s="32" t="n">
        <v>1.9736</v>
      </c>
      <c r="S1732" s="35" t="n">
        <v>8.073</v>
      </c>
      <c r="T1732" s="18" t="n"/>
      <c r="U1732" s="18" t="n"/>
      <c r="V1732" s="18" t="n"/>
      <c r="W1732" s="18" t="n">
        <v>55400</v>
      </c>
      <c r="X1732" s="35" t="n">
        <v>8.073</v>
      </c>
      <c r="Y1732" s="35" t="n"/>
    </row>
    <row r="1733">
      <c r="A1733" s="25" t="n">
        <v>41376</v>
      </c>
      <c r="B1733" s="18" t="n">
        <v>55398</v>
      </c>
      <c r="C1733" s="31" t="n"/>
      <c r="D1733" s="32" t="n"/>
      <c r="E1733" s="33" t="n">
        <v>-0.2678</v>
      </c>
      <c r="F1733" t="inlineStr">
        <is>
          <t>Down</t>
        </is>
      </c>
      <c r="G1733" t="inlineStr">
        <is>
          <t>Up</t>
        </is>
      </c>
      <c r="H1733" t="inlineStr">
        <is>
          <t>ED_JU</t>
        </is>
      </c>
      <c r="I1733" t="inlineStr">
        <is>
          <t>2013-04</t>
        </is>
      </c>
      <c r="J1733" t="n">
        <v>1</v>
      </c>
      <c r="K1733" t="n">
        <v>1</v>
      </c>
      <c r="L1733" s="34">
        <f>IF($J1733=1,LN(B1734/B1733),"")</f>
        <v/>
      </c>
      <c r="M1733" s="34">
        <f>IF($K1733=1,INDEX(Mensal!$D$2:$D$245,MATCH($I1733,Mensal!$A$2:$A$245,0)),"")</f>
        <v/>
      </c>
      <c r="N1733" s="34">
        <f>IF($K1733=1,L1733-M1733,"")</f>
        <v/>
      </c>
      <c r="O1733" s="34" t="n">
        <v>0.00026889</v>
      </c>
      <c r="P1733" s="34">
        <f>IF($J1733=1,LN(1+O1733),"")</f>
        <v/>
      </c>
      <c r="Q1733" s="34">
        <f>IF($J1733=1,LN(R1734/R1733),"")</f>
        <v/>
      </c>
      <c r="R1733" s="32" t="n">
        <v>1.9761</v>
      </c>
      <c r="S1733" s="35" t="n">
        <v>8.311</v>
      </c>
      <c r="T1733" s="18" t="n"/>
      <c r="U1733" s="18" t="n"/>
      <c r="V1733" s="18" t="n"/>
      <c r="W1733" s="18" t="n">
        <v>55398</v>
      </c>
      <c r="X1733" s="35" t="n">
        <v>8.311</v>
      </c>
      <c r="Y1733" s="35" t="n"/>
    </row>
    <row r="1734">
      <c r="A1734" s="25" t="n">
        <v>41379</v>
      </c>
      <c r="B1734" s="18" t="n">
        <v>52949</v>
      </c>
      <c r="C1734" s="31" t="n"/>
      <c r="D1734" s="32" t="n"/>
      <c r="E1734" s="33" t="n">
        <v>-0.2646</v>
      </c>
      <c r="F1734" t="inlineStr">
        <is>
          <t>Down</t>
        </is>
      </c>
      <c r="G1734" t="inlineStr">
        <is>
          <t>Up</t>
        </is>
      </c>
      <c r="H1734" t="inlineStr">
        <is>
          <t>ED_JU</t>
        </is>
      </c>
      <c r="I1734" t="inlineStr">
        <is>
          <t>2013-04</t>
        </is>
      </c>
      <c r="J1734" t="n">
        <v>1</v>
      </c>
      <c r="K1734" t="n">
        <v>1</v>
      </c>
      <c r="L1734" s="34">
        <f>IF($J1734=1,LN(B1735/B1734),"")</f>
        <v/>
      </c>
      <c r="M1734" s="34">
        <f>IF($K1734=1,INDEX(Mensal!$D$2:$D$245,MATCH($I1734,Mensal!$A$2:$A$245,0)),"")</f>
        <v/>
      </c>
      <c r="N1734" s="34">
        <f>IF($K1734=1,L1734-M1734,"")</f>
        <v/>
      </c>
      <c r="O1734" s="34" t="n">
        <v>0.00026889</v>
      </c>
      <c r="P1734" s="34">
        <f>IF($J1734=1,LN(1+O1734),"")</f>
        <v/>
      </c>
      <c r="Q1734" s="34">
        <f>IF($J1734=1,LN(R1735/R1734),"")</f>
        <v/>
      </c>
      <c r="R1734" s="32" t="n">
        <v>1.979</v>
      </c>
      <c r="S1734" s="35" t="n">
        <v>8.359999999999999</v>
      </c>
      <c r="T1734" s="18" t="n"/>
      <c r="U1734" s="18" t="n"/>
      <c r="V1734" s="18" t="n"/>
      <c r="W1734" s="18" t="n">
        <v>52949</v>
      </c>
      <c r="X1734" s="35" t="n">
        <v>8.359999999999999</v>
      </c>
      <c r="Y1734" s="35" t="n"/>
    </row>
    <row r="1735">
      <c r="A1735" s="25" t="n">
        <v>41380</v>
      </c>
      <c r="B1735" s="18" t="n">
        <v>53990</v>
      </c>
      <c r="C1735" s="31" t="n"/>
      <c r="D1735" s="32" t="n"/>
      <c r="E1735" s="33" t="n">
        <v>-0.2605</v>
      </c>
      <c r="F1735" t="inlineStr">
        <is>
          <t>Down</t>
        </is>
      </c>
      <c r="G1735" t="inlineStr">
        <is>
          <t>Up</t>
        </is>
      </c>
      <c r="H1735" t="inlineStr">
        <is>
          <t>ED_JU</t>
        </is>
      </c>
      <c r="I1735" t="inlineStr">
        <is>
          <t>2013-04</t>
        </is>
      </c>
      <c r="J1735" t="n">
        <v>1</v>
      </c>
      <c r="K1735" t="n">
        <v>1</v>
      </c>
      <c r="L1735" s="34">
        <f>IF($J1735=1,LN(B1736/B1735),"")</f>
        <v/>
      </c>
      <c r="M1735" s="34">
        <f>IF($K1735=1,INDEX(Mensal!$D$2:$D$245,MATCH($I1735,Mensal!$A$2:$A$245,0)),"")</f>
        <v/>
      </c>
      <c r="N1735" s="34">
        <f>IF($K1735=1,L1735-M1735,"")</f>
        <v/>
      </c>
      <c r="O1735" s="34" t="n">
        <v>0.00026852</v>
      </c>
      <c r="P1735" s="34">
        <f>IF($J1735=1,LN(1+O1735),"")</f>
        <v/>
      </c>
      <c r="Q1735" s="34">
        <f>IF($J1735=1,LN(R1736/R1735),"")</f>
        <v/>
      </c>
      <c r="R1735" s="32" t="n">
        <v>1.9903</v>
      </c>
      <c r="S1735" s="35" t="n">
        <v>8.366</v>
      </c>
      <c r="T1735" s="18" t="n"/>
      <c r="U1735" s="18" t="n"/>
      <c r="V1735" s="18" t="n"/>
      <c r="W1735" s="18" t="n">
        <v>53990</v>
      </c>
      <c r="X1735" s="35" t="n">
        <v>8.366</v>
      </c>
      <c r="Y1735" s="35" t="n"/>
    </row>
    <row r="1736">
      <c r="A1736" s="25" t="n">
        <v>41381</v>
      </c>
      <c r="B1736" s="18" t="n">
        <v>52881</v>
      </c>
      <c r="C1736" s="31" t="n"/>
      <c r="D1736" s="32" t="n"/>
      <c r="E1736" s="33" t="n">
        <v>-0.2488</v>
      </c>
      <c r="F1736" t="inlineStr">
        <is>
          <t>Down</t>
        </is>
      </c>
      <c r="G1736" t="inlineStr">
        <is>
          <t>Up</t>
        </is>
      </c>
      <c r="H1736" t="inlineStr">
        <is>
          <t>ED_JU</t>
        </is>
      </c>
      <c r="I1736" t="inlineStr">
        <is>
          <t>2013-04</t>
        </is>
      </c>
      <c r="J1736" t="n">
        <v>1</v>
      </c>
      <c r="K1736" t="n">
        <v>1</v>
      </c>
      <c r="L1736" s="34">
        <f>IF($J1736=1,LN(B1737/B1736),"")</f>
        <v/>
      </c>
      <c r="M1736" s="34">
        <f>IF($K1736=1,INDEX(Mensal!$D$2:$D$245,MATCH($I1736,Mensal!$A$2:$A$245,0)),"")</f>
        <v/>
      </c>
      <c r="N1736" s="34">
        <f>IF($K1736=1,L1736-M1736,"")</f>
        <v/>
      </c>
      <c r="O1736" s="34" t="n">
        <v>0.00026852</v>
      </c>
      <c r="P1736" s="34">
        <f>IF($J1736=1,LN(1+O1736),"")</f>
        <v/>
      </c>
      <c r="Q1736" s="34">
        <f>IF($J1736=1,LN(R1737/R1736),"")</f>
        <v/>
      </c>
      <c r="R1736" s="32" t="n">
        <v>1.9939</v>
      </c>
      <c r="S1736" s="35" t="n">
        <v>8.348000000000001</v>
      </c>
      <c r="T1736" s="18" t="n"/>
      <c r="U1736" s="18" t="n"/>
      <c r="V1736" s="18" t="n"/>
      <c r="W1736" s="18" t="n">
        <v>52881</v>
      </c>
      <c r="X1736" s="35" t="n">
        <v>8.348000000000001</v>
      </c>
      <c r="Y1736" s="35" t="n"/>
    </row>
    <row r="1737">
      <c r="A1737" s="25" t="n">
        <v>41382</v>
      </c>
      <c r="B1737" s="18" t="n">
        <v>53165</v>
      </c>
      <c r="C1737" s="31" t="n"/>
      <c r="D1737" s="32" t="n"/>
      <c r="E1737" s="33" t="n">
        <v>-0.2378</v>
      </c>
      <c r="F1737" t="inlineStr">
        <is>
          <t>Down</t>
        </is>
      </c>
      <c r="G1737" t="inlineStr">
        <is>
          <t>Up</t>
        </is>
      </c>
      <c r="H1737" t="inlineStr">
        <is>
          <t>ED_JU</t>
        </is>
      </c>
      <c r="I1737" t="inlineStr">
        <is>
          <t>2013-04</t>
        </is>
      </c>
      <c r="J1737" t="n">
        <v>1</v>
      </c>
      <c r="K1737" t="n">
        <v>1</v>
      </c>
      <c r="L1737" s="34">
        <f>IF($J1737=1,LN(B1738/B1737),"")</f>
        <v/>
      </c>
      <c r="M1737" s="34">
        <f>IF($K1737=1,INDEX(Mensal!$D$2:$D$245,MATCH($I1737,Mensal!$A$2:$A$245,0)),"")</f>
        <v/>
      </c>
      <c r="N1737" s="34">
        <f>IF($K1737=1,L1737-M1737,"")</f>
        <v/>
      </c>
      <c r="O1737" s="34" t="n">
        <v>0.00027742</v>
      </c>
      <c r="P1737" s="34">
        <f>IF($J1737=1,LN(1+O1737),"")</f>
        <v/>
      </c>
      <c r="Q1737" s="34">
        <f>IF($J1737=1,LN(R1738/R1737),"")</f>
        <v/>
      </c>
      <c r="R1737" s="32" t="n">
        <v>2.0152</v>
      </c>
      <c r="S1737" s="35" t="n">
        <v>7.963</v>
      </c>
      <c r="T1737" s="18" t="n"/>
      <c r="U1737" s="18" t="n"/>
      <c r="V1737" s="18" t="n"/>
      <c r="W1737" s="18" t="n">
        <v>53165</v>
      </c>
      <c r="X1737" s="35" t="n">
        <v>7.963</v>
      </c>
      <c r="Y1737" s="35" t="n"/>
    </row>
    <row r="1738">
      <c r="A1738" s="25" t="n">
        <v>41383</v>
      </c>
      <c r="B1738" s="18" t="n">
        <v>53928</v>
      </c>
      <c r="C1738" s="31" t="n"/>
      <c r="D1738" s="32" t="n"/>
      <c r="E1738" s="33" t="n">
        <v>-0.2255</v>
      </c>
      <c r="F1738" t="inlineStr">
        <is>
          <t>Down</t>
        </is>
      </c>
      <c r="G1738" t="inlineStr">
        <is>
          <t>Up</t>
        </is>
      </c>
      <c r="H1738" t="inlineStr">
        <is>
          <t>ED_JU</t>
        </is>
      </c>
      <c r="I1738" t="inlineStr">
        <is>
          <t>2013-04</t>
        </is>
      </c>
      <c r="J1738" t="n">
        <v>1</v>
      </c>
      <c r="K1738" t="n">
        <v>1</v>
      </c>
      <c r="L1738" s="34">
        <f>IF($J1738=1,LN(B1739/B1738),"")</f>
        <v/>
      </c>
      <c r="M1738" s="34">
        <f>IF($K1738=1,INDEX(Mensal!$D$2:$D$245,MATCH($I1738,Mensal!$A$2:$A$245,0)),"")</f>
        <v/>
      </c>
      <c r="N1738" s="34">
        <f>IF($K1738=1,L1738-M1738,"")</f>
        <v/>
      </c>
      <c r="O1738" s="34" t="n">
        <v>0.00027742</v>
      </c>
      <c r="P1738" s="34">
        <f>IF($J1738=1,LN(1+O1738),"")</f>
        <v/>
      </c>
      <c r="Q1738" s="34">
        <f>IF($J1738=1,LN(R1739/R1738),"")</f>
        <v/>
      </c>
      <c r="R1738" s="32" t="n">
        <v>2.0089</v>
      </c>
      <c r="S1738" s="35" t="n">
        <v>8.021000000000001</v>
      </c>
      <c r="T1738" s="18" t="n"/>
      <c r="U1738" s="18" t="n"/>
      <c r="V1738" s="18" t="n"/>
      <c r="W1738" s="18" t="n">
        <v>53928</v>
      </c>
      <c r="X1738" s="35" t="n">
        <v>8.021000000000001</v>
      </c>
      <c r="Y1738" s="35" t="n"/>
    </row>
    <row r="1739">
      <c r="A1739" s="25" t="n">
        <v>41386</v>
      </c>
      <c r="B1739" s="18" t="n">
        <v>54297</v>
      </c>
      <c r="C1739" s="31" t="n"/>
      <c r="D1739" s="32" t="n"/>
      <c r="E1739" s="33" t="n">
        <v>-0.2037</v>
      </c>
      <c r="F1739" t="inlineStr">
        <is>
          <t>Down</t>
        </is>
      </c>
      <c r="G1739" t="inlineStr">
        <is>
          <t>Up</t>
        </is>
      </c>
      <c r="H1739" t="inlineStr">
        <is>
          <t>ED_JU</t>
        </is>
      </c>
      <c r="I1739" t="inlineStr">
        <is>
          <t>2013-04</t>
        </is>
      </c>
      <c r="J1739" t="n">
        <v>1</v>
      </c>
      <c r="K1739" t="n">
        <v>1</v>
      </c>
      <c r="L1739" s="34">
        <f>IF($J1739=1,LN(B1740/B1739),"")</f>
        <v/>
      </c>
      <c r="M1739" s="34">
        <f>IF($K1739=1,INDEX(Mensal!$D$2:$D$245,MATCH($I1739,Mensal!$A$2:$A$245,0)),"")</f>
        <v/>
      </c>
      <c r="N1739" s="34">
        <f>IF($K1739=1,L1739-M1739,"")</f>
        <v/>
      </c>
      <c r="O1739" s="34" t="n">
        <v>0.00027742</v>
      </c>
      <c r="P1739" s="34">
        <f>IF($J1739=1,LN(1+O1739),"")</f>
        <v/>
      </c>
      <c r="Q1739" s="34">
        <f>IF($J1739=1,LN(R1740/R1739),"")</f>
        <v/>
      </c>
      <c r="R1739" s="32" t="n">
        <v>2.0154</v>
      </c>
      <c r="S1739" s="35" t="n">
        <v>7.961</v>
      </c>
      <c r="T1739" s="18" t="n"/>
      <c r="U1739" s="18" t="n"/>
      <c r="V1739" s="18" t="n"/>
      <c r="W1739" s="18" t="n">
        <v>54297</v>
      </c>
      <c r="X1739" s="35" t="n">
        <v>7.961</v>
      </c>
      <c r="Y1739" s="35" t="n"/>
    </row>
    <row r="1740">
      <c r="A1740" s="25" t="n">
        <v>41387</v>
      </c>
      <c r="B1740" s="18" t="n">
        <v>54884</v>
      </c>
      <c r="C1740" s="31" t="n"/>
      <c r="D1740" s="32" t="n"/>
      <c r="E1740" s="33" t="n">
        <v>-0.1777</v>
      </c>
      <c r="F1740" t="inlineStr">
        <is>
          <t>Down</t>
        </is>
      </c>
      <c r="G1740" t="inlineStr">
        <is>
          <t>Up</t>
        </is>
      </c>
      <c r="H1740" t="inlineStr">
        <is>
          <t>ED_JU</t>
        </is>
      </c>
      <c r="I1740" t="inlineStr">
        <is>
          <t>2013-04</t>
        </is>
      </c>
      <c r="J1740" t="n">
        <v>1</v>
      </c>
      <c r="K1740" t="n">
        <v>1</v>
      </c>
      <c r="L1740" s="34">
        <f>IF($J1740=1,LN(B1741/B1740),"")</f>
        <v/>
      </c>
      <c r="M1740" s="34">
        <f>IF($K1740=1,INDEX(Mensal!$D$2:$D$245,MATCH($I1740,Mensal!$A$2:$A$245,0)),"")</f>
        <v/>
      </c>
      <c r="N1740" s="34">
        <f>IF($K1740=1,L1740-M1740,"")</f>
        <v/>
      </c>
      <c r="O1740" s="34" t="n">
        <v>0.00027742</v>
      </c>
      <c r="P1740" s="34">
        <f>IF($J1740=1,LN(1+O1740),"")</f>
        <v/>
      </c>
      <c r="Q1740" s="34">
        <f>IF($J1740=1,LN(R1741/R1740),"")</f>
        <v/>
      </c>
      <c r="R1740" s="32" t="n">
        <v>2.017</v>
      </c>
      <c r="S1740" s="35" t="n">
        <v>7.95</v>
      </c>
      <c r="T1740" s="18" t="n"/>
      <c r="U1740" s="18" t="n"/>
      <c r="V1740" s="18" t="n"/>
      <c r="W1740" s="18" t="n">
        <v>54884</v>
      </c>
      <c r="X1740" s="35" t="n">
        <v>7.95</v>
      </c>
      <c r="Y1740" s="35" t="n"/>
    </row>
    <row r="1741">
      <c r="A1741" s="25" t="n">
        <v>41388</v>
      </c>
      <c r="B1741" s="18" t="n">
        <v>54984</v>
      </c>
      <c r="C1741" s="31" t="n"/>
      <c r="D1741" s="32" t="n"/>
      <c r="E1741" s="33" t="n">
        <v>-0.1464</v>
      </c>
      <c r="F1741" t="inlineStr">
        <is>
          <t>Down</t>
        </is>
      </c>
      <c r="G1741" t="inlineStr">
        <is>
          <t>Up</t>
        </is>
      </c>
      <c r="H1741" t="inlineStr">
        <is>
          <t>ED_JU</t>
        </is>
      </c>
      <c r="I1741" t="inlineStr">
        <is>
          <t>2013-04</t>
        </is>
      </c>
      <c r="J1741" t="n">
        <v>1</v>
      </c>
      <c r="K1741" t="n">
        <v>1</v>
      </c>
      <c r="L1741" s="34">
        <f>IF($J1741=1,LN(B1742/B1741),"")</f>
        <v/>
      </c>
      <c r="M1741" s="34">
        <f>IF($K1741=1,INDEX(Mensal!$D$2:$D$245,MATCH($I1741,Mensal!$A$2:$A$245,0)),"")</f>
        <v/>
      </c>
      <c r="N1741" s="34">
        <f>IF($K1741=1,L1741-M1741,"")</f>
        <v/>
      </c>
      <c r="O1741" s="34" t="n">
        <v>0.00027742</v>
      </c>
      <c r="P1741" s="34">
        <f>IF($J1741=1,LN(1+O1741),"")</f>
        <v/>
      </c>
      <c r="Q1741" s="34">
        <f>IF($J1741=1,LN(R1742/R1741),"")</f>
        <v/>
      </c>
      <c r="R1741" s="32" t="n">
        <v>2.0244</v>
      </c>
      <c r="S1741" s="35" t="n">
        <v>7.963</v>
      </c>
      <c r="T1741" s="18" t="n"/>
      <c r="U1741" s="18" t="n"/>
      <c r="V1741" s="18" t="n"/>
      <c r="W1741" s="18" t="n">
        <v>54984</v>
      </c>
      <c r="X1741" s="35" t="n">
        <v>7.963</v>
      </c>
      <c r="Y1741" s="35" t="n"/>
    </row>
    <row r="1742">
      <c r="A1742" s="25" t="n">
        <v>41389</v>
      </c>
      <c r="B1742" s="18" t="n">
        <v>54963</v>
      </c>
      <c r="C1742" s="31" t="n"/>
      <c r="D1742" s="32" t="n"/>
      <c r="E1742" s="33" t="n">
        <v>-0.1139</v>
      </c>
      <c r="F1742" t="inlineStr">
        <is>
          <t>Down</t>
        </is>
      </c>
      <c r="G1742" t="inlineStr">
        <is>
          <t>Up</t>
        </is>
      </c>
      <c r="H1742" t="inlineStr">
        <is>
          <t>ED_JU</t>
        </is>
      </c>
      <c r="I1742" t="inlineStr">
        <is>
          <t>2013-04</t>
        </is>
      </c>
      <c r="J1742" t="n">
        <v>1</v>
      </c>
      <c r="K1742" t="n">
        <v>1</v>
      </c>
      <c r="L1742" s="34">
        <f>IF($J1742=1,LN(B1743/B1742),"")</f>
        <v/>
      </c>
      <c r="M1742" s="34">
        <f>IF($K1742=1,INDEX(Mensal!$D$2:$D$245,MATCH($I1742,Mensal!$A$2:$A$245,0)),"")</f>
        <v/>
      </c>
      <c r="N1742" s="34">
        <f>IF($K1742=1,L1742-M1742,"")</f>
        <v/>
      </c>
      <c r="O1742" s="34" t="n">
        <v>0.00027742</v>
      </c>
      <c r="P1742" s="34">
        <f>IF($J1742=1,LN(1+O1742),"")</f>
        <v/>
      </c>
      <c r="Q1742" s="34">
        <f>IF($J1742=1,LN(R1743/R1742),"")</f>
        <v/>
      </c>
      <c r="R1742" s="32" t="n">
        <v>2.0119</v>
      </c>
      <c r="S1742" s="35" t="n">
        <v>8.058</v>
      </c>
      <c r="T1742" s="18" t="n"/>
      <c r="U1742" s="18" t="n"/>
      <c r="V1742" s="18" t="n"/>
      <c r="W1742" s="18" t="n">
        <v>54963</v>
      </c>
      <c r="X1742" s="35" t="n">
        <v>8.058</v>
      </c>
      <c r="Y1742" s="35" t="n"/>
    </row>
    <row r="1743">
      <c r="A1743" s="25" t="n">
        <v>41390</v>
      </c>
      <c r="B1743" s="18" t="n">
        <v>54252</v>
      </c>
      <c r="C1743" s="31" t="n"/>
      <c r="D1743" s="32" t="n"/>
      <c r="E1743" s="33" t="n">
        <v>-0.081</v>
      </c>
      <c r="F1743" t="inlineStr">
        <is>
          <t>Down</t>
        </is>
      </c>
      <c r="G1743" t="inlineStr">
        <is>
          <t>Up</t>
        </is>
      </c>
      <c r="H1743" t="inlineStr">
        <is>
          <t>ED_JU</t>
        </is>
      </c>
      <c r="I1743" t="inlineStr">
        <is>
          <t>2013-04</t>
        </is>
      </c>
      <c r="J1743" t="n">
        <v>1</v>
      </c>
      <c r="K1743" t="n">
        <v>1</v>
      </c>
      <c r="L1743" s="34">
        <f>IF($J1743=1,LN(B1744/B1743),"")</f>
        <v/>
      </c>
      <c r="M1743" s="34">
        <f>IF($K1743=1,INDEX(Mensal!$D$2:$D$245,MATCH($I1743,Mensal!$A$2:$A$245,0)),"")</f>
        <v/>
      </c>
      <c r="N1743" s="34">
        <f>IF($K1743=1,L1743-M1743,"")</f>
        <v/>
      </c>
      <c r="O1743" s="34" t="n">
        <v>0.00027705</v>
      </c>
      <c r="P1743" s="34">
        <f>IF($J1743=1,LN(1+O1743),"")</f>
        <v/>
      </c>
      <c r="Q1743" s="34">
        <f>IF($J1743=1,LN(R1744/R1743),"")</f>
        <v/>
      </c>
      <c r="R1743" s="32" t="n">
        <v>2.0001</v>
      </c>
      <c r="S1743" s="35" t="n">
        <v>8.013</v>
      </c>
      <c r="T1743" s="18" t="n"/>
      <c r="U1743" s="18" t="n"/>
      <c r="V1743" s="18" t="n"/>
      <c r="W1743" s="18" t="n">
        <v>54252</v>
      </c>
      <c r="X1743" s="35" t="n">
        <v>8.013</v>
      </c>
      <c r="Y1743" s="35" t="n"/>
    </row>
    <row r="1744">
      <c r="A1744" s="25" t="n">
        <v>41393</v>
      </c>
      <c r="B1744" s="18" t="n">
        <v>54887</v>
      </c>
      <c r="C1744" s="31" t="n"/>
      <c r="D1744" s="32" t="n"/>
      <c r="E1744" s="33" t="n">
        <v>-0.0348</v>
      </c>
      <c r="F1744" t="inlineStr">
        <is>
          <t>Down</t>
        </is>
      </c>
      <c r="G1744" t="inlineStr">
        <is>
          <t>Up</t>
        </is>
      </c>
      <c r="H1744" t="inlineStr">
        <is>
          <t>ED_JU</t>
        </is>
      </c>
      <c r="I1744" t="inlineStr">
        <is>
          <t>2013-04</t>
        </is>
      </c>
      <c r="J1744" t="n">
        <v>1</v>
      </c>
      <c r="K1744" t="n">
        <v>1</v>
      </c>
      <c r="L1744" s="34">
        <f>IF($J1744=1,LN(B1745/B1744),"")</f>
        <v/>
      </c>
      <c r="M1744" s="34">
        <f>IF($K1744=1,INDEX(Mensal!$D$2:$D$245,MATCH($I1744,Mensal!$A$2:$A$245,0)),"")</f>
        <v/>
      </c>
      <c r="N1744" s="34">
        <f>IF($K1744=1,L1744-M1744,"")</f>
        <v/>
      </c>
      <c r="O1744" s="34" t="n">
        <v>0.00027705</v>
      </c>
      <c r="P1744" s="34">
        <f>IF($J1744=1,LN(1+O1744),"")</f>
        <v/>
      </c>
      <c r="Q1744" s="34">
        <f>IF($J1744=1,LN(R1745/R1744),"")</f>
        <v/>
      </c>
      <c r="R1744" s="32" t="n">
        <v>1.9999</v>
      </c>
      <c r="S1744" s="35" t="n">
        <v>8.013</v>
      </c>
      <c r="T1744" s="18" t="n"/>
      <c r="U1744" s="18" t="n"/>
      <c r="V1744" s="18" t="n"/>
      <c r="W1744" s="18" t="n">
        <v>54887</v>
      </c>
      <c r="X1744" s="35" t="n">
        <v>8.013</v>
      </c>
      <c r="Y1744" s="35" t="n"/>
    </row>
    <row r="1745">
      <c r="A1745" s="25" t="n">
        <v>41394</v>
      </c>
      <c r="B1745" s="18" t="n">
        <v>55910</v>
      </c>
      <c r="C1745" s="31" t="n"/>
      <c r="D1745" s="32" t="n"/>
      <c r="E1745" s="33" t="n">
        <v>0.0141</v>
      </c>
      <c r="F1745" t="inlineStr">
        <is>
          <t>Down</t>
        </is>
      </c>
      <c r="G1745" t="inlineStr">
        <is>
          <t>Up</t>
        </is>
      </c>
      <c r="H1745" t="inlineStr">
        <is>
          <t>ED_JU</t>
        </is>
      </c>
      <c r="I1745" t="inlineStr">
        <is>
          <t>2013-04</t>
        </is>
      </c>
      <c r="J1745" t="n">
        <v>1</v>
      </c>
      <c r="K1745" t="n">
        <v>1</v>
      </c>
      <c r="L1745" s="34">
        <f>IF($J1745=1,LN(B1746/B1745),"")</f>
        <v/>
      </c>
      <c r="M1745" s="34">
        <f>IF($K1745=1,INDEX(Mensal!$D$2:$D$245,MATCH($I1745,Mensal!$A$2:$A$245,0)),"")</f>
        <v/>
      </c>
      <c r="N1745" s="34">
        <f>IF($K1745=1,L1745-M1745,"")</f>
        <v/>
      </c>
      <c r="O1745" s="34" t="n">
        <v>0.00027705</v>
      </c>
      <c r="P1745" s="34">
        <f>IF($J1745=1,LN(1+O1745),"")</f>
        <v/>
      </c>
      <c r="Q1745" s="34">
        <f>IF($J1745=1,LN(R1746/R1745),"")</f>
        <v/>
      </c>
      <c r="R1745" s="32" t="n">
        <v>2.0017</v>
      </c>
      <c r="S1745" s="35" t="n">
        <v>8.010999999999999</v>
      </c>
      <c r="T1745" s="18" t="n"/>
      <c r="U1745" s="18" t="n"/>
      <c r="V1745" s="18" t="n"/>
      <c r="W1745" s="18" t="n">
        <v>55910</v>
      </c>
      <c r="X1745" s="35" t="n">
        <v>8.010999999999999</v>
      </c>
      <c r="Y1745" s="35" t="n"/>
    </row>
    <row r="1746">
      <c r="A1746" s="25" t="n">
        <v>41396</v>
      </c>
      <c r="B1746" s="18" t="n">
        <v>55321</v>
      </c>
      <c r="C1746" s="31" t="n"/>
      <c r="D1746" s="32" t="n"/>
      <c r="E1746" s="33" t="n">
        <v>0.0853</v>
      </c>
      <c r="F1746" t="inlineStr">
        <is>
          <t>Down</t>
        </is>
      </c>
      <c r="G1746" t="inlineStr">
        <is>
          <t>Up</t>
        </is>
      </c>
      <c r="H1746" t="inlineStr">
        <is>
          <t>ED_JU</t>
        </is>
      </c>
      <c r="I1746" t="inlineStr">
        <is>
          <t>2013-05</t>
        </is>
      </c>
      <c r="J1746" t="n">
        <v>1</v>
      </c>
      <c r="K1746" t="n">
        <v>1</v>
      </c>
      <c r="L1746" s="34">
        <f>IF($J1746=1,LN(B1747/B1746),"")</f>
        <v/>
      </c>
      <c r="M1746" s="34">
        <f>IF($K1746=1,INDEX(Mensal!$D$2:$D$245,MATCH($I1746,Mensal!$A$2:$A$245,0)),"")</f>
        <v/>
      </c>
      <c r="N1746" s="34">
        <f>IF($K1746=1,L1746-M1746,"")</f>
        <v/>
      </c>
      <c r="O1746" s="34" t="n">
        <v>0.00027705</v>
      </c>
      <c r="P1746" s="34">
        <f>IF($J1746=1,LN(1+O1746),"")</f>
        <v/>
      </c>
      <c r="Q1746" s="34">
        <f>IF($J1746=1,LN(R1747/R1746),"")</f>
        <v/>
      </c>
      <c r="R1746" s="32" t="n">
        <v>2.0095</v>
      </c>
      <c r="S1746" s="35" t="n">
        <v>7.976</v>
      </c>
      <c r="T1746" s="18" t="n"/>
      <c r="U1746" s="18" t="n"/>
      <c r="V1746" s="18" t="n"/>
      <c r="W1746" s="18" t="n">
        <v>55321</v>
      </c>
      <c r="X1746" s="35" t="n">
        <v>7.976</v>
      </c>
      <c r="Y1746" s="35" t="n"/>
    </row>
    <row r="1747">
      <c r="A1747" s="25" t="n">
        <v>41397</v>
      </c>
      <c r="B1747" s="18" t="n">
        <v>55488</v>
      </c>
      <c r="C1747" s="31" t="n"/>
      <c r="D1747" s="32" t="n"/>
      <c r="E1747" s="33" t="n">
        <v>0.1517</v>
      </c>
      <c r="F1747" t="inlineStr">
        <is>
          <t>Down</t>
        </is>
      </c>
      <c r="G1747" t="inlineStr">
        <is>
          <t>Up</t>
        </is>
      </c>
      <c r="H1747" t="inlineStr">
        <is>
          <t>ED_JU</t>
        </is>
      </c>
      <c r="I1747" t="inlineStr">
        <is>
          <t>2013-05</t>
        </is>
      </c>
      <c r="J1747" t="n">
        <v>1</v>
      </c>
      <c r="K1747" t="n">
        <v>1</v>
      </c>
      <c r="L1747" s="34">
        <f>IF($J1747=1,LN(B1748/B1747),"")</f>
        <v/>
      </c>
      <c r="M1747" s="34">
        <f>IF($K1747=1,INDEX(Mensal!$D$2:$D$245,MATCH($I1747,Mensal!$A$2:$A$245,0)),"")</f>
        <v/>
      </c>
      <c r="N1747" s="34">
        <f>IF($K1747=1,L1747-M1747,"")</f>
        <v/>
      </c>
      <c r="O1747" s="34" t="n">
        <v>0.00027705</v>
      </c>
      <c r="P1747" s="34">
        <f>IF($J1747=1,LN(1+O1747),"")</f>
        <v/>
      </c>
      <c r="Q1747" s="34">
        <f>IF($J1747=1,LN(R1748/R1747),"")</f>
        <v/>
      </c>
      <c r="R1747" s="32" t="n">
        <v>2.0093</v>
      </c>
      <c r="S1747" s="35" t="n">
        <v>8.036</v>
      </c>
      <c r="T1747" s="18" t="n"/>
      <c r="U1747" s="18" t="n"/>
      <c r="V1747" s="18" t="n"/>
      <c r="W1747" s="18" t="n">
        <v>55488</v>
      </c>
      <c r="X1747" s="35" t="n">
        <v>8.036</v>
      </c>
      <c r="Y1747" s="35" t="n"/>
    </row>
    <row r="1748">
      <c r="A1748" s="25" t="n">
        <v>41400</v>
      </c>
      <c r="B1748" s="18" t="n">
        <v>55429</v>
      </c>
      <c r="C1748" s="31" t="n"/>
      <c r="D1748" s="32" t="n"/>
      <c r="E1748" s="33" t="n">
        <v>0.1244</v>
      </c>
      <c r="F1748" t="inlineStr">
        <is>
          <t>Down</t>
        </is>
      </c>
      <c r="G1748" t="inlineStr">
        <is>
          <t>Up</t>
        </is>
      </c>
      <c r="H1748" t="inlineStr">
        <is>
          <t>ED_JU</t>
        </is>
      </c>
      <c r="I1748" t="inlineStr">
        <is>
          <t>2013-05</t>
        </is>
      </c>
      <c r="J1748" t="n">
        <v>1</v>
      </c>
      <c r="K1748" t="n">
        <v>1</v>
      </c>
      <c r="L1748" s="34">
        <f>IF($J1748=1,LN(B1749/B1748),"")</f>
        <v/>
      </c>
      <c r="M1748" s="34">
        <f>IF($K1748=1,INDEX(Mensal!$D$2:$D$245,MATCH($I1748,Mensal!$A$2:$A$245,0)),"")</f>
        <v/>
      </c>
      <c r="N1748" s="34">
        <f>IF($K1748=1,L1748-M1748,"")</f>
        <v/>
      </c>
      <c r="O1748" s="34" t="n">
        <v>0.00027742</v>
      </c>
      <c r="P1748" s="34">
        <f>IF($J1748=1,LN(1+O1748),"")</f>
        <v/>
      </c>
      <c r="Q1748" s="34">
        <f>IF($J1748=1,LN(R1749/R1748),"")</f>
        <v/>
      </c>
      <c r="R1748" s="32" t="n">
        <v>2.0143</v>
      </c>
      <c r="S1748" s="35" t="n">
        <v>8.007999999999999</v>
      </c>
      <c r="T1748" s="18" t="n"/>
      <c r="U1748" s="18" t="n"/>
      <c r="V1748" s="18" t="n"/>
      <c r="W1748" s="18" t="n">
        <v>55429</v>
      </c>
      <c r="X1748" s="35" t="n">
        <v>8.007999999999999</v>
      </c>
      <c r="Y1748" s="35" t="n"/>
    </row>
    <row r="1749">
      <c r="A1749" s="25" t="n">
        <v>41401</v>
      </c>
      <c r="B1749" s="18" t="n">
        <v>56274</v>
      </c>
      <c r="C1749" s="31" t="n"/>
      <c r="D1749" s="32" t="n"/>
      <c r="E1749" s="33" t="n">
        <v>0.094</v>
      </c>
      <c r="F1749" t="inlineStr">
        <is>
          <t>Down</t>
        </is>
      </c>
      <c r="G1749" t="inlineStr">
        <is>
          <t>Up</t>
        </is>
      </c>
      <c r="H1749" t="inlineStr">
        <is>
          <t>ED_JU</t>
        </is>
      </c>
      <c r="I1749" t="inlineStr">
        <is>
          <t>2013-05</t>
        </is>
      </c>
      <c r="J1749" t="n">
        <v>1</v>
      </c>
      <c r="K1749" t="n">
        <v>1</v>
      </c>
      <c r="L1749" s="34">
        <f>IF($J1749=1,LN(B1750/B1749),"")</f>
        <v/>
      </c>
      <c r="M1749" s="34">
        <f>IF($K1749=1,INDEX(Mensal!$D$2:$D$245,MATCH($I1749,Mensal!$A$2:$A$245,0)),"")</f>
        <v/>
      </c>
      <c r="N1749" s="34">
        <f>IF($K1749=1,L1749-M1749,"")</f>
        <v/>
      </c>
      <c r="O1749" s="34" t="n">
        <v>0.00027742</v>
      </c>
      <c r="P1749" s="34">
        <f>IF($J1749=1,LN(1+O1749),"")</f>
        <v/>
      </c>
      <c r="Q1749" s="34">
        <f>IF($J1749=1,LN(R1750/R1749),"")</f>
        <v/>
      </c>
      <c r="R1749" s="32" t="n">
        <v>2.011</v>
      </c>
      <c r="S1749" s="35" t="n">
        <v>7.974</v>
      </c>
      <c r="T1749" s="18" t="n"/>
      <c r="U1749" s="18" t="n"/>
      <c r="V1749" s="18" t="n"/>
      <c r="W1749" s="18" t="n">
        <v>56274</v>
      </c>
      <c r="X1749" s="35" t="n">
        <v>7.974</v>
      </c>
      <c r="Y1749" s="35" t="n"/>
    </row>
    <row r="1750">
      <c r="A1750" s="25" t="n">
        <v>41402</v>
      </c>
      <c r="B1750" s="18" t="n">
        <v>55804</v>
      </c>
      <c r="C1750" s="31" t="n"/>
      <c r="D1750" s="32" t="n"/>
      <c r="E1750" s="33" t="n">
        <v>0.0674</v>
      </c>
      <c r="F1750" t="inlineStr">
        <is>
          <t>Down</t>
        </is>
      </c>
      <c r="G1750" t="inlineStr">
        <is>
          <t>Up</t>
        </is>
      </c>
      <c r="H1750" t="inlineStr">
        <is>
          <t>ED_JU</t>
        </is>
      </c>
      <c r="I1750" t="inlineStr">
        <is>
          <t>2013-05</t>
        </is>
      </c>
      <c r="J1750" t="n">
        <v>1</v>
      </c>
      <c r="K1750" t="n">
        <v>1</v>
      </c>
      <c r="L1750" s="34">
        <f>IF($J1750=1,LN(B1751/B1750),"")</f>
        <v/>
      </c>
      <c r="M1750" s="34">
        <f>IF($K1750=1,INDEX(Mensal!$D$2:$D$245,MATCH($I1750,Mensal!$A$2:$A$245,0)),"")</f>
        <v/>
      </c>
      <c r="N1750" s="34">
        <f>IF($K1750=1,L1750-M1750,"")</f>
        <v/>
      </c>
      <c r="O1750" s="34" t="n">
        <v>0.00027705</v>
      </c>
      <c r="P1750" s="34">
        <f>IF($J1750=1,LN(1+O1750),"")</f>
        <v/>
      </c>
      <c r="Q1750" s="34">
        <f>IF($J1750=1,LN(R1751/R1750),"")</f>
        <v/>
      </c>
      <c r="R1750" s="32" t="n">
        <v>2.003</v>
      </c>
      <c r="S1750" s="35" t="n">
        <v>7.982</v>
      </c>
      <c r="T1750" s="18" t="n"/>
      <c r="U1750" s="18" t="n"/>
      <c r="V1750" s="18" t="n"/>
      <c r="W1750" s="18" t="n">
        <v>55804</v>
      </c>
      <c r="X1750" s="35" t="n">
        <v>7.982</v>
      </c>
      <c r="Y1750" s="35" t="n"/>
    </row>
    <row r="1751">
      <c r="A1751" s="25" t="n">
        <v>41403</v>
      </c>
      <c r="B1751" s="18" t="n">
        <v>55447</v>
      </c>
      <c r="C1751" s="31" t="n"/>
      <c r="D1751" s="32" t="n"/>
      <c r="E1751" s="33" t="n">
        <v>0.0341</v>
      </c>
      <c r="F1751" t="inlineStr">
        <is>
          <t>Down</t>
        </is>
      </c>
      <c r="G1751" t="inlineStr">
        <is>
          <t>Up</t>
        </is>
      </c>
      <c r="H1751" t="inlineStr">
        <is>
          <t>ED_JU</t>
        </is>
      </c>
      <c r="I1751" t="inlineStr">
        <is>
          <t>2013-05</t>
        </is>
      </c>
      <c r="J1751" t="n">
        <v>1</v>
      </c>
      <c r="K1751" t="n">
        <v>1</v>
      </c>
      <c r="L1751" s="34">
        <f>IF($J1751=1,LN(B1752/B1751),"")</f>
        <v/>
      </c>
      <c r="M1751" s="34">
        <f>IF($K1751=1,INDEX(Mensal!$D$2:$D$245,MATCH($I1751,Mensal!$A$2:$A$245,0)),"")</f>
        <v/>
      </c>
      <c r="N1751" s="34">
        <f>IF($K1751=1,L1751-M1751,"")</f>
        <v/>
      </c>
      <c r="O1751" s="34" t="n">
        <v>0.00027742</v>
      </c>
      <c r="P1751" s="34">
        <f>IF($J1751=1,LN(1+O1751),"")</f>
        <v/>
      </c>
      <c r="Q1751" s="34">
        <f>IF($J1751=1,LN(R1752/R1751),"")</f>
        <v/>
      </c>
      <c r="R1751" s="32" t="n">
        <v>2.0051</v>
      </c>
      <c r="S1751" s="35" t="n">
        <v>7.996</v>
      </c>
      <c r="T1751" s="18" t="n"/>
      <c r="U1751" s="18" t="n"/>
      <c r="V1751" s="18" t="n"/>
      <c r="W1751" s="18" t="n">
        <v>55447</v>
      </c>
      <c r="X1751" s="35" t="n">
        <v>7.996</v>
      </c>
      <c r="Y1751" s="35" t="n"/>
    </row>
    <row r="1752">
      <c r="A1752" s="25" t="n">
        <v>41404</v>
      </c>
      <c r="B1752" s="18" t="n">
        <v>55107</v>
      </c>
      <c r="C1752" s="31" t="n"/>
      <c r="D1752" s="32" t="n"/>
      <c r="E1752" s="33" t="n">
        <v>-0.0268</v>
      </c>
      <c r="F1752" t="inlineStr">
        <is>
          <t>Down</t>
        </is>
      </c>
      <c r="G1752" t="inlineStr">
        <is>
          <t>Up</t>
        </is>
      </c>
      <c r="H1752" t="inlineStr">
        <is>
          <t>ED_JU</t>
        </is>
      </c>
      <c r="I1752" t="inlineStr">
        <is>
          <t>2013-05</t>
        </is>
      </c>
      <c r="J1752" t="n">
        <v>1</v>
      </c>
      <c r="K1752" t="n">
        <v>1</v>
      </c>
      <c r="L1752" s="34">
        <f>IF($J1752=1,LN(B1753/B1752),"")</f>
        <v/>
      </c>
      <c r="M1752" s="34">
        <f>IF($K1752=1,INDEX(Mensal!$D$2:$D$245,MATCH($I1752,Mensal!$A$2:$A$245,0)),"")</f>
        <v/>
      </c>
      <c r="N1752" s="34">
        <f>IF($K1752=1,L1752-M1752,"")</f>
        <v/>
      </c>
      <c r="O1752" s="34" t="n">
        <v>0.00027705</v>
      </c>
      <c r="P1752" s="34">
        <f>IF($J1752=1,LN(1+O1752),"")</f>
        <v/>
      </c>
      <c r="Q1752" s="34">
        <f>IF($J1752=1,LN(R1753/R1752),"")</f>
        <v/>
      </c>
      <c r="R1752" s="32" t="n">
        <v>2.0231</v>
      </c>
      <c r="S1752" s="35" t="n">
        <v>8.103999999999999</v>
      </c>
      <c r="T1752" s="18" t="n"/>
      <c r="U1752" s="18" t="n"/>
      <c r="V1752" s="18" t="n"/>
      <c r="W1752" s="18" t="n">
        <v>55107</v>
      </c>
      <c r="X1752" s="35" t="n">
        <v>8.103999999999999</v>
      </c>
      <c r="Y1752" s="35" t="n"/>
    </row>
    <row r="1753">
      <c r="A1753" s="25" t="n">
        <v>41407</v>
      </c>
      <c r="B1753" s="18" t="n">
        <v>54447</v>
      </c>
      <c r="C1753" s="31" t="n"/>
      <c r="D1753" s="32" t="n"/>
      <c r="E1753" s="33" t="n">
        <v>-0.1052</v>
      </c>
      <c r="F1753" t="inlineStr">
        <is>
          <t>Down</t>
        </is>
      </c>
      <c r="G1753" t="inlineStr">
        <is>
          <t>Up</t>
        </is>
      </c>
      <c r="H1753" t="inlineStr">
        <is>
          <t>ED_JU</t>
        </is>
      </c>
      <c r="I1753" t="inlineStr">
        <is>
          <t>2013-05</t>
        </is>
      </c>
      <c r="J1753" t="n">
        <v>1</v>
      </c>
      <c r="K1753" t="n">
        <v>1</v>
      </c>
      <c r="L1753" s="34">
        <f>IF($J1753=1,LN(B1754/B1753),"")</f>
        <v/>
      </c>
      <c r="M1753" s="34">
        <f>IF($K1753=1,INDEX(Mensal!$D$2:$D$245,MATCH($I1753,Mensal!$A$2:$A$245,0)),"")</f>
        <v/>
      </c>
      <c r="N1753" s="34">
        <f>IF($K1753=1,L1753-M1753,"")</f>
        <v/>
      </c>
      <c r="O1753" s="34" t="n">
        <v>0.00027668</v>
      </c>
      <c r="P1753" s="34">
        <f>IF($J1753=1,LN(1+O1753),"")</f>
        <v/>
      </c>
      <c r="Q1753" s="34">
        <f>IF($J1753=1,LN(R1754/R1753),"")</f>
        <v/>
      </c>
      <c r="R1753" s="32" t="n">
        <v>2.015</v>
      </c>
      <c r="S1753" s="35" t="n">
        <v>8.08</v>
      </c>
      <c r="T1753" s="18" t="n"/>
      <c r="U1753" s="18" t="n"/>
      <c r="V1753" s="18" t="n"/>
      <c r="W1753" s="18" t="n">
        <v>54447</v>
      </c>
      <c r="X1753" s="35" t="n">
        <v>8.08</v>
      </c>
      <c r="Y1753" s="35" t="n"/>
    </row>
    <row r="1754">
      <c r="A1754" s="25" t="n">
        <v>41408</v>
      </c>
      <c r="B1754" s="18" t="n">
        <v>54666</v>
      </c>
      <c r="C1754" s="31" t="n"/>
      <c r="D1754" s="32" t="n"/>
      <c r="E1754" s="33" t="n">
        <v>-0.1919</v>
      </c>
      <c r="F1754" t="inlineStr">
        <is>
          <t>Down</t>
        </is>
      </c>
      <c r="G1754" t="inlineStr">
        <is>
          <t>Up</t>
        </is>
      </c>
      <c r="H1754" t="inlineStr">
        <is>
          <t>ED_JU</t>
        </is>
      </c>
      <c r="I1754" t="inlineStr">
        <is>
          <t>2013-05</t>
        </is>
      </c>
      <c r="J1754" t="n">
        <v>1</v>
      </c>
      <c r="K1754" t="n">
        <v>1</v>
      </c>
      <c r="L1754" s="34">
        <f>IF($J1754=1,LN(B1755/B1754),"")</f>
        <v/>
      </c>
      <c r="M1754" s="34">
        <f>IF($K1754=1,INDEX(Mensal!$D$2:$D$245,MATCH($I1754,Mensal!$A$2:$A$245,0)),"")</f>
        <v/>
      </c>
      <c r="N1754" s="34">
        <f>IF($K1754=1,L1754-M1754,"")</f>
        <v/>
      </c>
      <c r="O1754" s="34" t="n">
        <v>0.00027668</v>
      </c>
      <c r="P1754" s="34">
        <f>IF($J1754=1,LN(1+O1754),"")</f>
        <v/>
      </c>
      <c r="Q1754" s="34">
        <f>IF($J1754=1,LN(R1755/R1754),"")</f>
        <v/>
      </c>
      <c r="R1754" s="32" t="n">
        <v>2.0063</v>
      </c>
      <c r="S1754" s="35" t="n">
        <v>8.122</v>
      </c>
      <c r="T1754" s="18" t="n"/>
      <c r="U1754" s="18" t="n"/>
      <c r="V1754" s="18" t="n"/>
      <c r="W1754" s="18" t="n">
        <v>54666</v>
      </c>
      <c r="X1754" s="35" t="n">
        <v>8.122</v>
      </c>
      <c r="Y1754" s="35" t="n"/>
    </row>
    <row r="1755">
      <c r="A1755" s="25" t="n">
        <v>41409</v>
      </c>
      <c r="B1755" s="18" t="n">
        <v>54936</v>
      </c>
      <c r="C1755" s="31" t="n"/>
      <c r="D1755" s="32" t="n"/>
      <c r="E1755" s="33" t="n">
        <v>-0.2689</v>
      </c>
      <c r="F1755" t="inlineStr">
        <is>
          <t>Down</t>
        </is>
      </c>
      <c r="G1755" t="inlineStr">
        <is>
          <t>Up</t>
        </is>
      </c>
      <c r="H1755" t="inlineStr">
        <is>
          <t>ED_JU</t>
        </is>
      </c>
      <c r="I1755" t="inlineStr">
        <is>
          <t>2013-05</t>
        </is>
      </c>
      <c r="J1755" t="n">
        <v>1</v>
      </c>
      <c r="K1755" t="n">
        <v>1</v>
      </c>
      <c r="L1755" s="34">
        <f>IF($J1755=1,LN(B1756/B1755),"")</f>
        <v/>
      </c>
      <c r="M1755" s="34">
        <f>IF($K1755=1,INDEX(Mensal!$D$2:$D$245,MATCH($I1755,Mensal!$A$2:$A$245,0)),"")</f>
        <v/>
      </c>
      <c r="N1755" s="34">
        <f>IF($K1755=1,L1755-M1755,"")</f>
        <v/>
      </c>
      <c r="O1755" s="34" t="n">
        <v>0.00027668</v>
      </c>
      <c r="P1755" s="34">
        <f>IF($J1755=1,LN(1+O1755),"")</f>
        <v/>
      </c>
      <c r="Q1755" s="34">
        <f>IF($J1755=1,LN(R1756/R1755),"")</f>
        <v/>
      </c>
      <c r="R1755" s="32" t="n">
        <v>2.0233</v>
      </c>
      <c r="S1755" s="35" t="n">
        <v>8.153</v>
      </c>
      <c r="T1755" s="18" t="n"/>
      <c r="U1755" s="18" t="n"/>
      <c r="V1755" s="18" t="n"/>
      <c r="W1755" s="18" t="n">
        <v>54936</v>
      </c>
      <c r="X1755" s="35" t="n">
        <v>8.153</v>
      </c>
      <c r="Y1755" s="35" t="n"/>
    </row>
    <row r="1756">
      <c r="A1756" s="25" t="n">
        <v>41410</v>
      </c>
      <c r="B1756" s="18" t="n">
        <v>54772</v>
      </c>
      <c r="C1756" s="31" t="n"/>
      <c r="D1756" s="32" t="n"/>
      <c r="E1756" s="33" t="n">
        <v>-0.347</v>
      </c>
      <c r="F1756" t="inlineStr">
        <is>
          <t>Down</t>
        </is>
      </c>
      <c r="G1756" t="inlineStr">
        <is>
          <t>Up</t>
        </is>
      </c>
      <c r="H1756" t="inlineStr">
        <is>
          <t>ED_JU</t>
        </is>
      </c>
      <c r="I1756" t="inlineStr">
        <is>
          <t>2013-05</t>
        </is>
      </c>
      <c r="J1756" t="n">
        <v>1</v>
      </c>
      <c r="K1756" t="n">
        <v>1</v>
      </c>
      <c r="L1756" s="34">
        <f>IF($J1756=1,LN(B1757/B1756),"")</f>
        <v/>
      </c>
      <c r="M1756" s="34">
        <f>IF($K1756=1,INDEX(Mensal!$D$2:$D$245,MATCH($I1756,Mensal!$A$2:$A$245,0)),"")</f>
        <v/>
      </c>
      <c r="N1756" s="34">
        <f>IF($K1756=1,L1756-M1756,"")</f>
        <v/>
      </c>
      <c r="O1756" s="34" t="n">
        <v>0.00027668</v>
      </c>
      <c r="P1756" s="34">
        <f>IF($J1756=1,LN(1+O1756),"")</f>
        <v/>
      </c>
      <c r="Q1756" s="34">
        <f>IF($J1756=1,LN(R1757/R1756),"")</f>
        <v/>
      </c>
      <c r="R1756" s="32" t="n">
        <v>2.0254</v>
      </c>
      <c r="S1756" s="35" t="n">
        <v>8.214</v>
      </c>
      <c r="T1756" s="18" t="n"/>
      <c r="U1756" s="18" t="n"/>
      <c r="V1756" s="18" t="n"/>
      <c r="W1756" s="18" t="n">
        <v>54772</v>
      </c>
      <c r="X1756" s="35" t="n">
        <v>8.214</v>
      </c>
      <c r="Y1756" s="35" t="n"/>
    </row>
    <row r="1757">
      <c r="A1757" s="25" t="n">
        <v>41411</v>
      </c>
      <c r="B1757" s="18" t="n">
        <v>55164</v>
      </c>
      <c r="C1757" s="31" t="n"/>
      <c r="D1757" s="32" t="n"/>
      <c r="E1757" s="33" t="n">
        <v>-0.4303</v>
      </c>
      <c r="F1757" t="inlineStr">
        <is>
          <t>Down</t>
        </is>
      </c>
      <c r="G1757" t="inlineStr">
        <is>
          <t>Up</t>
        </is>
      </c>
      <c r="H1757" t="inlineStr">
        <is>
          <t>ED_JU</t>
        </is>
      </c>
      <c r="I1757" t="inlineStr">
        <is>
          <t>2013-05</t>
        </is>
      </c>
      <c r="J1757" t="n">
        <v>1</v>
      </c>
      <c r="K1757" t="n">
        <v>1</v>
      </c>
      <c r="L1757" s="34">
        <f>IF($J1757=1,LN(B1758/B1757),"")</f>
        <v/>
      </c>
      <c r="M1757" s="34">
        <f>IF($K1757=1,INDEX(Mensal!$D$2:$D$245,MATCH($I1757,Mensal!$A$2:$A$245,0)),"")</f>
        <v/>
      </c>
      <c r="N1757" s="34">
        <f>IF($K1757=1,L1757-M1757,"")</f>
        <v/>
      </c>
      <c r="O1757" s="34" t="n">
        <v>0.00027668</v>
      </c>
      <c r="P1757" s="34">
        <f>IF($J1757=1,LN(1+O1757),"")</f>
        <v/>
      </c>
      <c r="Q1757" s="34">
        <f>IF($J1757=1,LN(R1758/R1757),"")</f>
        <v/>
      </c>
      <c r="R1757" s="32" t="n">
        <v>2.0354</v>
      </c>
      <c r="S1757" s="35" t="n">
        <v>8.244</v>
      </c>
      <c r="T1757" s="18" t="n"/>
      <c r="U1757" s="18" t="n"/>
      <c r="V1757" s="18" t="n"/>
      <c r="W1757" s="18" t="n">
        <v>55164</v>
      </c>
      <c r="X1757" s="35" t="n">
        <v>8.244</v>
      </c>
      <c r="Y1757" s="35" t="n"/>
    </row>
    <row r="1758">
      <c r="A1758" s="25" t="n">
        <v>41414</v>
      </c>
      <c r="B1758" s="18" t="n">
        <v>55700</v>
      </c>
      <c r="C1758" s="31" t="n"/>
      <c r="D1758" s="32" t="n"/>
      <c r="E1758" s="33" t="n">
        <v>-0.4947</v>
      </c>
      <c r="F1758" t="inlineStr">
        <is>
          <t>Down</t>
        </is>
      </c>
      <c r="G1758" t="inlineStr">
        <is>
          <t>Up</t>
        </is>
      </c>
      <c r="H1758" t="inlineStr">
        <is>
          <t>ED_JU</t>
        </is>
      </c>
      <c r="I1758" t="inlineStr">
        <is>
          <t>2013-05</t>
        </is>
      </c>
      <c r="J1758" t="n">
        <v>1</v>
      </c>
      <c r="K1758" t="n">
        <v>1</v>
      </c>
      <c r="L1758" s="34">
        <f>IF($J1758=1,LN(B1759/B1758),"")</f>
        <v/>
      </c>
      <c r="M1758" s="34">
        <f>IF($K1758=1,INDEX(Mensal!$D$2:$D$245,MATCH($I1758,Mensal!$A$2:$A$245,0)),"")</f>
        <v/>
      </c>
      <c r="N1758" s="34">
        <f>IF($K1758=1,L1758-M1758,"")</f>
        <v/>
      </c>
      <c r="O1758" s="34" t="n">
        <v>0.00027668</v>
      </c>
      <c r="P1758" s="34">
        <f>IF($J1758=1,LN(1+O1758),"")</f>
        <v/>
      </c>
      <c r="Q1758" s="34">
        <f>IF($J1758=1,LN(R1759/R1758),"")</f>
        <v/>
      </c>
      <c r="R1758" s="32" t="n">
        <v>2.0333</v>
      </c>
      <c r="S1758" s="35" t="n">
        <v>8.294</v>
      </c>
      <c r="T1758" s="18" t="n"/>
      <c r="U1758" s="18" t="n"/>
      <c r="V1758" s="18" t="n"/>
      <c r="W1758" s="18" t="n">
        <v>55700</v>
      </c>
      <c r="X1758" s="35" t="n">
        <v>8.294</v>
      </c>
      <c r="Y1758" s="35" t="n"/>
    </row>
    <row r="1759">
      <c r="A1759" s="25" t="n">
        <v>41415</v>
      </c>
      <c r="B1759" s="18" t="n">
        <v>56265</v>
      </c>
      <c r="C1759" s="31" t="n"/>
      <c r="D1759" s="32" t="n"/>
      <c r="E1759" s="33" t="n">
        <v>-0.5491</v>
      </c>
      <c r="F1759" t="inlineStr">
        <is>
          <t>Down</t>
        </is>
      </c>
      <c r="G1759" t="inlineStr">
        <is>
          <t>Up</t>
        </is>
      </c>
      <c r="H1759" t="inlineStr">
        <is>
          <t>ED_JU</t>
        </is>
      </c>
      <c r="I1759" t="inlineStr">
        <is>
          <t>2013-05</t>
        </is>
      </c>
      <c r="J1759" t="n">
        <v>1</v>
      </c>
      <c r="K1759" t="n">
        <v>1</v>
      </c>
      <c r="L1759" s="34">
        <f>IF($J1759=1,LN(B1760/B1759),"")</f>
        <v/>
      </c>
      <c r="M1759" s="34">
        <f>IF($K1759=1,INDEX(Mensal!$D$2:$D$245,MATCH($I1759,Mensal!$A$2:$A$245,0)),"")</f>
        <v/>
      </c>
      <c r="N1759" s="34">
        <f>IF($K1759=1,L1759-M1759,"")</f>
        <v/>
      </c>
      <c r="O1759" s="34" t="n">
        <v>0.00027668</v>
      </c>
      <c r="P1759" s="34">
        <f>IF($J1759=1,LN(1+O1759),"")</f>
        <v/>
      </c>
      <c r="Q1759" s="34">
        <f>IF($J1759=1,LN(R1760/R1759),"")</f>
        <v/>
      </c>
      <c r="R1759" s="32" t="n">
        <v>2.0402</v>
      </c>
      <c r="S1759" s="35" t="n">
        <v>8.285</v>
      </c>
      <c r="T1759" s="18" t="n"/>
      <c r="U1759" s="18" t="n"/>
      <c r="V1759" s="18" t="n"/>
      <c r="W1759" s="18" t="n">
        <v>56265</v>
      </c>
      <c r="X1759" s="35" t="n">
        <v>8.285</v>
      </c>
      <c r="Y1759" s="35" t="n"/>
    </row>
    <row r="1760">
      <c r="A1760" s="25" t="n">
        <v>41416</v>
      </c>
      <c r="B1760" s="18" t="n">
        <v>56429</v>
      </c>
      <c r="C1760" s="31" t="n"/>
      <c r="D1760" s="32" t="n"/>
      <c r="E1760" s="33" t="n">
        <v>-0.6008</v>
      </c>
      <c r="F1760" t="inlineStr">
        <is>
          <t>Down</t>
        </is>
      </c>
      <c r="G1760" t="inlineStr">
        <is>
          <t>Up</t>
        </is>
      </c>
      <c r="H1760" t="inlineStr">
        <is>
          <t>ED_JU</t>
        </is>
      </c>
      <c r="I1760" t="inlineStr">
        <is>
          <t>2013-05</t>
        </is>
      </c>
      <c r="J1760" t="n">
        <v>1</v>
      </c>
      <c r="K1760" t="n">
        <v>1</v>
      </c>
      <c r="L1760" s="34">
        <f>IF($J1760=1,LN(B1761/B1760),"")</f>
        <v/>
      </c>
      <c r="M1760" s="34">
        <f>IF($K1760=1,INDEX(Mensal!$D$2:$D$245,MATCH($I1760,Mensal!$A$2:$A$245,0)),"")</f>
        <v/>
      </c>
      <c r="N1760" s="34">
        <f>IF($K1760=1,L1760-M1760,"")</f>
        <v/>
      </c>
      <c r="O1760" s="34" t="n">
        <v>0.00027668</v>
      </c>
      <c r="P1760" s="34">
        <f>IF($J1760=1,LN(1+O1760),"")</f>
        <v/>
      </c>
      <c r="Q1760" s="34">
        <f>IF($J1760=1,LN(R1761/R1760),"")</f>
        <v/>
      </c>
      <c r="R1760" s="32" t="n">
        <v>2.0387</v>
      </c>
      <c r="S1760" s="35" t="n">
        <v>8.291</v>
      </c>
      <c r="T1760" s="18" t="n"/>
      <c r="U1760" s="18" t="n"/>
      <c r="V1760" s="18" t="n"/>
      <c r="W1760" s="18" t="n">
        <v>56429</v>
      </c>
      <c r="X1760" s="35" t="n">
        <v>8.291</v>
      </c>
      <c r="Y1760" s="35" t="n"/>
    </row>
    <row r="1761">
      <c r="A1761" s="25" t="n">
        <v>41417</v>
      </c>
      <c r="B1761" s="18" t="n">
        <v>56349</v>
      </c>
      <c r="C1761" s="31" t="n"/>
      <c r="D1761" s="32" t="n"/>
      <c r="E1761" s="33" t="n">
        <v>-0.6621</v>
      </c>
      <c r="F1761" t="inlineStr">
        <is>
          <t>Down</t>
        </is>
      </c>
      <c r="G1761" t="inlineStr">
        <is>
          <t>Up</t>
        </is>
      </c>
      <c r="H1761" t="inlineStr">
        <is>
          <t>ED_JU</t>
        </is>
      </c>
      <c r="I1761" t="inlineStr">
        <is>
          <t>2013-05</t>
        </is>
      </c>
      <c r="J1761" t="n">
        <v>1</v>
      </c>
      <c r="K1761" t="n">
        <v>1</v>
      </c>
      <c r="L1761" s="34">
        <f>IF($J1761=1,LN(B1762/B1761),"")</f>
        <v/>
      </c>
      <c r="M1761" s="34">
        <f>IF($K1761=1,INDEX(Mensal!$D$2:$D$245,MATCH($I1761,Mensal!$A$2:$A$245,0)),"")</f>
        <v/>
      </c>
      <c r="N1761" s="34">
        <f>IF($K1761=1,L1761-M1761,"")</f>
        <v/>
      </c>
      <c r="O1761" s="34" t="n">
        <v>0.00027668</v>
      </c>
      <c r="P1761" s="34">
        <f>IF($J1761=1,LN(1+O1761),"")</f>
        <v/>
      </c>
      <c r="Q1761" s="34">
        <f>IF($J1761=1,LN(R1762/R1761),"")</f>
        <v/>
      </c>
      <c r="R1761" s="32" t="n">
        <v>2.0537</v>
      </c>
      <c r="S1761" s="35" t="n">
        <v>8.282999999999999</v>
      </c>
      <c r="T1761" s="18" t="n"/>
      <c r="U1761" s="18" t="n"/>
      <c r="V1761" s="18" t="n"/>
      <c r="W1761" s="18" t="n">
        <v>56349</v>
      </c>
      <c r="X1761" s="35" t="n">
        <v>8.282999999999999</v>
      </c>
      <c r="Y1761" s="35" t="n"/>
    </row>
    <row r="1762">
      <c r="A1762" s="25" t="n">
        <v>41418</v>
      </c>
      <c r="B1762" s="18" t="n">
        <v>56406</v>
      </c>
      <c r="C1762" s="31" t="n"/>
      <c r="D1762" s="32" t="n"/>
      <c r="E1762" s="33" t="n">
        <v>-0.7456</v>
      </c>
      <c r="F1762" t="inlineStr">
        <is>
          <t>Down</t>
        </is>
      </c>
      <c r="G1762" t="inlineStr">
        <is>
          <t>Up</t>
        </is>
      </c>
      <c r="H1762" t="inlineStr">
        <is>
          <t>ED_JU</t>
        </is>
      </c>
      <c r="I1762" t="inlineStr">
        <is>
          <t>2013-05</t>
        </is>
      </c>
      <c r="J1762" t="n">
        <v>1</v>
      </c>
      <c r="K1762" t="n">
        <v>1</v>
      </c>
      <c r="L1762" s="34">
        <f>IF($J1762=1,LN(B1763/B1762),"")</f>
        <v/>
      </c>
      <c r="M1762" s="34">
        <f>IF($K1762=1,INDEX(Mensal!$D$2:$D$245,MATCH($I1762,Mensal!$A$2:$A$245,0)),"")</f>
        <v/>
      </c>
      <c r="N1762" s="34">
        <f>IF($K1762=1,L1762-M1762,"")</f>
        <v/>
      </c>
      <c r="O1762" s="34" t="n">
        <v>0.00027668</v>
      </c>
      <c r="P1762" s="34">
        <f>IF($J1762=1,LN(1+O1762),"")</f>
        <v/>
      </c>
      <c r="Q1762" s="34">
        <f>IF($J1762=1,LN(R1763/R1762),"")</f>
        <v/>
      </c>
      <c r="R1762" s="32" t="n">
        <v>2.0495</v>
      </c>
      <c r="S1762" s="35" t="n">
        <v>8.311</v>
      </c>
      <c r="T1762" s="18" t="n"/>
      <c r="U1762" s="18" t="n"/>
      <c r="V1762" s="18" t="n"/>
      <c r="W1762" s="18" t="n">
        <v>56406</v>
      </c>
      <c r="X1762" s="35" t="n">
        <v>8.311</v>
      </c>
      <c r="Y1762" s="35" t="n"/>
    </row>
    <row r="1763">
      <c r="A1763" s="25" t="n">
        <v>41421</v>
      </c>
      <c r="B1763" s="18" t="n">
        <v>56395</v>
      </c>
      <c r="C1763" s="31" t="n"/>
      <c r="D1763" s="32" t="n"/>
      <c r="E1763" s="33" t="n">
        <v>-0.8105</v>
      </c>
      <c r="F1763" t="inlineStr">
        <is>
          <t>Down</t>
        </is>
      </c>
      <c r="G1763" t="inlineStr">
        <is>
          <t>Up</t>
        </is>
      </c>
      <c r="H1763" t="inlineStr">
        <is>
          <t>ED_JU</t>
        </is>
      </c>
      <c r="I1763" t="inlineStr">
        <is>
          <t>2013-05</t>
        </is>
      </c>
      <c r="J1763" t="n">
        <v>1</v>
      </c>
      <c r="K1763" t="n">
        <v>1</v>
      </c>
      <c r="L1763" s="34">
        <f>IF($J1763=1,LN(B1764/B1763),"")</f>
        <v/>
      </c>
      <c r="M1763" s="34">
        <f>IF($K1763=1,INDEX(Mensal!$D$2:$D$245,MATCH($I1763,Mensal!$A$2:$A$245,0)),"")</f>
        <v/>
      </c>
      <c r="N1763" s="34">
        <f>IF($K1763=1,L1763-M1763,"")</f>
        <v/>
      </c>
      <c r="O1763" s="34" t="n">
        <v>0.00027668</v>
      </c>
      <c r="P1763" s="34">
        <f>IF($J1763=1,LN(1+O1763),"")</f>
        <v/>
      </c>
      <c r="Q1763" s="34">
        <f>IF($J1763=1,LN(R1764/R1763),"")</f>
        <v/>
      </c>
      <c r="R1763" s="32" t="n">
        <v>2.0527</v>
      </c>
      <c r="S1763" s="35" t="n">
        <v>8.327999999999999</v>
      </c>
      <c r="T1763" s="18" t="n"/>
      <c r="U1763" s="18" t="n"/>
      <c r="V1763" s="18" t="n"/>
      <c r="W1763" s="18" t="n">
        <v>56395</v>
      </c>
      <c r="X1763" s="35" t="n">
        <v>8.327999999999999</v>
      </c>
      <c r="Y1763" s="35" t="n"/>
    </row>
    <row r="1764">
      <c r="A1764" s="25" t="n">
        <v>41422</v>
      </c>
      <c r="B1764" s="18" t="n">
        <v>56036</v>
      </c>
      <c r="C1764" s="31" t="n"/>
      <c r="D1764" s="32" t="n"/>
      <c r="E1764" s="33" t="n">
        <v>-0.8603</v>
      </c>
      <c r="F1764" t="inlineStr">
        <is>
          <t>Down</t>
        </is>
      </c>
      <c r="G1764" t="inlineStr">
        <is>
          <t>Up</t>
        </is>
      </c>
      <c r="H1764" t="inlineStr">
        <is>
          <t>ED_JU</t>
        </is>
      </c>
      <c r="I1764" t="inlineStr">
        <is>
          <t>2013-05</t>
        </is>
      </c>
      <c r="J1764" t="n">
        <v>1</v>
      </c>
      <c r="K1764" t="n">
        <v>1</v>
      </c>
      <c r="L1764" s="34">
        <f>IF($J1764=1,LN(B1765/B1764),"")</f>
        <v/>
      </c>
      <c r="M1764" s="34">
        <f>IF($K1764=1,INDEX(Mensal!$D$2:$D$245,MATCH($I1764,Mensal!$A$2:$A$245,0)),"")</f>
        <v/>
      </c>
      <c r="N1764" s="34">
        <f>IF($K1764=1,L1764-M1764,"")</f>
        <v/>
      </c>
      <c r="O1764" s="34" t="n">
        <v>0.00027668</v>
      </c>
      <c r="P1764" s="34">
        <f>IF($J1764=1,LN(1+O1764),"")</f>
        <v/>
      </c>
      <c r="Q1764" s="34">
        <f>IF($J1764=1,LN(R1765/R1764),"")</f>
        <v/>
      </c>
      <c r="R1764" s="32" t="n">
        <v>2.0616</v>
      </c>
      <c r="S1764" s="35" t="n">
        <v>8.326000000000001</v>
      </c>
      <c r="T1764" s="18" t="n"/>
      <c r="U1764" s="18" t="n"/>
      <c r="V1764" s="18" t="n"/>
      <c r="W1764" s="18" t="n">
        <v>56036</v>
      </c>
      <c r="X1764" s="35" t="n">
        <v>8.326000000000001</v>
      </c>
      <c r="Y1764" s="35" t="n"/>
    </row>
    <row r="1765">
      <c r="A1765" s="25" t="n">
        <v>41423</v>
      </c>
      <c r="B1765" s="18" t="n">
        <v>54634</v>
      </c>
      <c r="C1765" s="31" t="n"/>
      <c r="D1765" s="32" t="n"/>
      <c r="E1765" s="33" t="n">
        <v>-0.9087</v>
      </c>
      <c r="F1765" t="inlineStr">
        <is>
          <t>Down</t>
        </is>
      </c>
      <c r="G1765" t="inlineStr">
        <is>
          <t>Up</t>
        </is>
      </c>
      <c r="H1765" t="inlineStr">
        <is>
          <t>ED_JU</t>
        </is>
      </c>
      <c r="I1765" t="inlineStr">
        <is>
          <t>2013-05</t>
        </is>
      </c>
      <c r="J1765" t="n">
        <v>1</v>
      </c>
      <c r="K1765" t="n">
        <v>1</v>
      </c>
      <c r="L1765" s="34">
        <f>IF($J1765=1,LN(B1766/B1765),"")</f>
        <v/>
      </c>
      <c r="M1765" s="34">
        <f>IF($K1765=1,INDEX(Mensal!$D$2:$D$245,MATCH($I1765,Mensal!$A$2:$A$245,0)),"")</f>
        <v/>
      </c>
      <c r="N1765" s="34">
        <f>IF($K1765=1,L1765-M1765,"")</f>
        <v/>
      </c>
      <c r="O1765" s="34" t="n">
        <v>0.00027668</v>
      </c>
      <c r="P1765" s="34">
        <f>IF($J1765=1,LN(1+O1765),"")</f>
        <v/>
      </c>
      <c r="Q1765" s="34">
        <f>IF($J1765=1,LN(R1766/R1765),"")</f>
        <v/>
      </c>
      <c r="R1765" s="32" t="n">
        <v>2.0894</v>
      </c>
      <c r="S1765" s="35" t="n">
        <v>8.255000000000001</v>
      </c>
      <c r="T1765" s="18" t="n"/>
      <c r="U1765" s="18" t="n"/>
      <c r="V1765" s="18" t="n"/>
      <c r="W1765" s="18" t="n">
        <v>54634</v>
      </c>
      <c r="X1765" s="35" t="n">
        <v>8.255000000000001</v>
      </c>
      <c r="Y1765" s="35" t="n"/>
    </row>
    <row r="1766">
      <c r="A1766" s="25" t="n">
        <v>41425</v>
      </c>
      <c r="B1766" s="18" t="n">
        <v>53506</v>
      </c>
      <c r="C1766" s="31" t="n"/>
      <c r="D1766" s="32" t="n"/>
      <c r="E1766" s="33" t="n">
        <v>-0.9687</v>
      </c>
      <c r="F1766" t="inlineStr">
        <is>
          <t>Down</t>
        </is>
      </c>
      <c r="G1766" t="inlineStr">
        <is>
          <t>Up</t>
        </is>
      </c>
      <c r="H1766" t="inlineStr">
        <is>
          <t>ED_JU</t>
        </is>
      </c>
      <c r="I1766" t="inlineStr">
        <is>
          <t>2013-05</t>
        </is>
      </c>
      <c r="J1766" t="n">
        <v>1</v>
      </c>
      <c r="K1766" t="n">
        <v>1</v>
      </c>
      <c r="L1766" s="34">
        <f>IF($J1766=1,LN(B1767/B1766),"")</f>
        <v/>
      </c>
      <c r="M1766" s="34">
        <f>IF($K1766=1,INDEX(Mensal!$D$2:$D$245,MATCH($I1766,Mensal!$A$2:$A$245,0)),"")</f>
        <v/>
      </c>
      <c r="N1766" s="34">
        <f>IF($K1766=1,L1766-M1766,"")</f>
        <v/>
      </c>
      <c r="O1766" s="34" t="n">
        <v>0.00029514</v>
      </c>
      <c r="P1766" s="34">
        <f>IF($J1766=1,LN(1+O1766),"")</f>
        <v/>
      </c>
      <c r="Q1766" s="34">
        <f>IF($J1766=1,LN(R1767/R1766),"")</f>
        <v/>
      </c>
      <c r="R1766" s="32" t="n">
        <v>2.1319</v>
      </c>
      <c r="S1766" s="35" t="n">
        <v>8.664999999999999</v>
      </c>
      <c r="T1766" s="18" t="n"/>
      <c r="U1766" s="18" t="n"/>
      <c r="V1766" s="18" t="n"/>
      <c r="W1766" s="18" t="n">
        <v>53506</v>
      </c>
      <c r="X1766" s="35" t="n">
        <v>8.664999999999999</v>
      </c>
      <c r="Y1766" s="35" t="n"/>
    </row>
    <row r="1767">
      <c r="A1767" s="25" t="n">
        <v>41428</v>
      </c>
      <c r="B1767" s="18" t="n">
        <v>53944</v>
      </c>
      <c r="C1767" s="31" t="n"/>
      <c r="D1767" s="32" t="n"/>
      <c r="E1767" s="33" t="n">
        <v>-1.0327</v>
      </c>
      <c r="F1767" t="inlineStr">
        <is>
          <t>Down</t>
        </is>
      </c>
      <c r="G1767" t="inlineStr">
        <is>
          <t>Up</t>
        </is>
      </c>
      <c r="H1767" t="inlineStr">
        <is>
          <t>ED_JU</t>
        </is>
      </c>
      <c r="I1767" t="inlineStr">
        <is>
          <t>2013-06</t>
        </is>
      </c>
      <c r="J1767" t="n">
        <v>1</v>
      </c>
      <c r="K1767" t="n">
        <v>1</v>
      </c>
      <c r="L1767" s="34">
        <f>IF($J1767=1,LN(B1768/B1767),"")</f>
        <v/>
      </c>
      <c r="M1767" s="34">
        <f>IF($K1767=1,INDEX(Mensal!$D$2:$D$245,MATCH($I1767,Mensal!$A$2:$A$245,0)),"")</f>
        <v/>
      </c>
      <c r="N1767" s="34">
        <f>IF($K1767=1,L1767-M1767,"")</f>
        <v/>
      </c>
      <c r="O1767" s="34" t="n">
        <v>0.00029514</v>
      </c>
      <c r="P1767" s="34">
        <f>IF($J1767=1,LN(1+O1767),"")</f>
        <v/>
      </c>
      <c r="Q1767" s="34">
        <f>IF($J1767=1,LN(R1768/R1767),"")</f>
        <v/>
      </c>
      <c r="R1767" s="32" t="n">
        <v>2.1355</v>
      </c>
      <c r="S1767" s="35" t="n">
        <v>8.714</v>
      </c>
      <c r="T1767" s="18" t="n"/>
      <c r="U1767" s="18" t="n"/>
      <c r="V1767" s="18" t="n"/>
      <c r="W1767" s="18" t="n">
        <v>53944</v>
      </c>
      <c r="X1767" s="35" t="n">
        <v>8.714</v>
      </c>
      <c r="Y1767" s="35" t="n"/>
    </row>
    <row r="1768">
      <c r="A1768" s="25" t="n">
        <v>41429</v>
      </c>
      <c r="B1768" s="18" t="n">
        <v>54018</v>
      </c>
      <c r="C1768" s="31" t="n"/>
      <c r="D1768" s="32" t="n"/>
      <c r="E1768" s="33" t="n">
        <v>-1.0908</v>
      </c>
      <c r="F1768" t="inlineStr">
        <is>
          <t>Down</t>
        </is>
      </c>
      <c r="G1768" t="inlineStr">
        <is>
          <t>Up</t>
        </is>
      </c>
      <c r="H1768" t="inlineStr">
        <is>
          <t>ED_JU</t>
        </is>
      </c>
      <c r="I1768" t="inlineStr">
        <is>
          <t>2013-06</t>
        </is>
      </c>
      <c r="J1768" t="n">
        <v>1</v>
      </c>
      <c r="K1768" t="n">
        <v>1</v>
      </c>
      <c r="L1768" s="34">
        <f>IF($J1768=1,LN(B1769/B1768),"")</f>
        <v/>
      </c>
      <c r="M1768" s="34">
        <f>IF($K1768=1,INDEX(Mensal!$D$2:$D$245,MATCH($I1768,Mensal!$A$2:$A$245,0)),"")</f>
        <v/>
      </c>
      <c r="N1768" s="34">
        <f>IF($K1768=1,L1768-M1768,"")</f>
        <v/>
      </c>
      <c r="O1768" s="34" t="n">
        <v>0.00029514</v>
      </c>
      <c r="P1768" s="34">
        <f>IF($J1768=1,LN(1+O1768),"")</f>
        <v/>
      </c>
      <c r="Q1768" s="34">
        <f>IF($J1768=1,LN(R1769/R1768),"")</f>
        <v/>
      </c>
      <c r="R1768" s="32" t="n">
        <v>2.1282</v>
      </c>
      <c r="S1768" s="35" t="n">
        <v>8.699</v>
      </c>
      <c r="T1768" s="18" t="n"/>
      <c r="U1768" s="18" t="n"/>
      <c r="V1768" s="18" t="n"/>
      <c r="W1768" s="18" t="n">
        <v>54018</v>
      </c>
      <c r="X1768" s="35" t="n">
        <v>8.699</v>
      </c>
      <c r="Y1768" s="35" t="n"/>
    </row>
    <row r="1769">
      <c r="A1769" s="25" t="n">
        <v>41430</v>
      </c>
      <c r="B1769" s="18" t="n">
        <v>52799</v>
      </c>
      <c r="C1769" s="31" t="n"/>
      <c r="D1769" s="32" t="n"/>
      <c r="E1769" s="33" t="n">
        <v>-1.1488</v>
      </c>
      <c r="F1769" t="inlineStr">
        <is>
          <t>Down</t>
        </is>
      </c>
      <c r="G1769" t="inlineStr">
        <is>
          <t>Up</t>
        </is>
      </c>
      <c r="H1769" t="inlineStr">
        <is>
          <t>ED_JU</t>
        </is>
      </c>
      <c r="I1769" t="inlineStr">
        <is>
          <t>2013-06</t>
        </is>
      </c>
      <c r="J1769" t="n">
        <v>1</v>
      </c>
      <c r="K1769" t="n">
        <v>1</v>
      </c>
      <c r="L1769" s="34">
        <f>IF($J1769=1,LN(B1770/B1769),"")</f>
        <v/>
      </c>
      <c r="M1769" s="34">
        <f>IF($K1769=1,INDEX(Mensal!$D$2:$D$245,MATCH($I1769,Mensal!$A$2:$A$245,0)),"")</f>
        <v/>
      </c>
      <c r="N1769" s="34">
        <f>IF($K1769=1,L1769-M1769,"")</f>
        <v/>
      </c>
      <c r="O1769" s="34" t="n">
        <v>0.00029514</v>
      </c>
      <c r="P1769" s="34">
        <f>IF($J1769=1,LN(1+O1769),"")</f>
        <v/>
      </c>
      <c r="Q1769" s="34">
        <f>IF($J1769=1,LN(R1770/R1769),"")</f>
        <v/>
      </c>
      <c r="R1769" s="32" t="n">
        <v>2.1235</v>
      </c>
      <c r="S1769" s="35" t="n">
        <v>8.795999999999999</v>
      </c>
      <c r="T1769" s="18" t="n"/>
      <c r="U1769" s="18" t="n"/>
      <c r="V1769" s="18" t="n"/>
      <c r="W1769" s="18" t="n">
        <v>52799</v>
      </c>
      <c r="X1769" s="35" t="n">
        <v>8.795999999999999</v>
      </c>
      <c r="Y1769" s="35" t="n"/>
    </row>
    <row r="1770">
      <c r="A1770" s="25" t="n">
        <v>41431</v>
      </c>
      <c r="B1770" s="18" t="n">
        <v>52845</v>
      </c>
      <c r="C1770" s="31" t="n"/>
      <c r="D1770" s="32" t="n"/>
      <c r="E1770" s="33" t="n">
        <v>-1.1952</v>
      </c>
      <c r="F1770" t="inlineStr">
        <is>
          <t>Down</t>
        </is>
      </c>
      <c r="G1770" t="inlineStr">
        <is>
          <t>Up</t>
        </is>
      </c>
      <c r="H1770" t="inlineStr">
        <is>
          <t>ED_JU</t>
        </is>
      </c>
      <c r="I1770" t="inlineStr">
        <is>
          <t>2013-06</t>
        </is>
      </c>
      <c r="J1770" t="n">
        <v>1</v>
      </c>
      <c r="K1770" t="n">
        <v>1</v>
      </c>
      <c r="L1770" s="34">
        <f>IF($J1770=1,LN(B1771/B1770),"")</f>
        <v/>
      </c>
      <c r="M1770" s="34">
        <f>IF($K1770=1,INDEX(Mensal!$D$2:$D$245,MATCH($I1770,Mensal!$A$2:$A$245,0)),"")</f>
        <v/>
      </c>
      <c r="N1770" s="34">
        <f>IF($K1770=1,L1770-M1770,"")</f>
        <v/>
      </c>
      <c r="O1770" s="34" t="n">
        <v>0.00029514</v>
      </c>
      <c r="P1770" s="34">
        <f>IF($J1770=1,LN(1+O1770),"")</f>
        <v/>
      </c>
      <c r="Q1770" s="34">
        <f>IF($J1770=1,LN(R1771/R1770),"")</f>
        <v/>
      </c>
      <c r="R1770" s="32" t="n">
        <v>2.125</v>
      </c>
      <c r="S1770" s="35" t="n">
        <v>8.916</v>
      </c>
      <c r="T1770" s="18" t="n"/>
      <c r="U1770" s="18" t="n"/>
      <c r="V1770" s="18" t="n"/>
      <c r="W1770" s="18" t="n">
        <v>52845</v>
      </c>
      <c r="X1770" s="35" t="n">
        <v>8.916</v>
      </c>
      <c r="Y1770" s="35" t="n"/>
    </row>
    <row r="1771">
      <c r="A1771" s="25" t="n">
        <v>41432</v>
      </c>
      <c r="B1771" s="18" t="n">
        <v>51619</v>
      </c>
      <c r="C1771" s="31" t="n"/>
      <c r="D1771" s="32" t="n"/>
      <c r="E1771" s="33" t="n">
        <v>-1.2465</v>
      </c>
      <c r="F1771" t="inlineStr">
        <is>
          <t>Down</t>
        </is>
      </c>
      <c r="G1771" t="inlineStr">
        <is>
          <t>Up</t>
        </is>
      </c>
      <c r="H1771" t="inlineStr">
        <is>
          <t>ED_JU</t>
        </is>
      </c>
      <c r="I1771" t="inlineStr">
        <is>
          <t>2013-06</t>
        </is>
      </c>
      <c r="J1771" t="n">
        <v>1</v>
      </c>
      <c r="K1771" t="n">
        <v>1</v>
      </c>
      <c r="L1771" s="34">
        <f>IF($J1771=1,LN(B1772/B1771),"")</f>
        <v/>
      </c>
      <c r="M1771" s="34">
        <f>IF($K1771=1,INDEX(Mensal!$D$2:$D$245,MATCH($I1771,Mensal!$A$2:$A$245,0)),"")</f>
        <v/>
      </c>
      <c r="N1771" s="34">
        <f>IF($K1771=1,L1771-M1771,"")</f>
        <v/>
      </c>
      <c r="O1771" s="34" t="n">
        <v>0.00029514</v>
      </c>
      <c r="P1771" s="34">
        <f>IF($J1771=1,LN(1+O1771),"")</f>
        <v/>
      </c>
      <c r="Q1771" s="34">
        <f>IF($J1771=1,LN(R1772/R1771),"")</f>
        <v/>
      </c>
      <c r="R1771" s="32" t="n">
        <v>2.1372</v>
      </c>
      <c r="S1771" s="35" t="n">
        <v>8.909000000000001</v>
      </c>
      <c r="T1771" s="18" t="n"/>
      <c r="U1771" s="18" t="n"/>
      <c r="V1771" s="18" t="n"/>
      <c r="W1771" s="18" t="n">
        <v>51619</v>
      </c>
      <c r="X1771" s="35" t="n">
        <v>8.909000000000001</v>
      </c>
      <c r="Y1771" s="35" t="n"/>
    </row>
    <row r="1772">
      <c r="A1772" s="25" t="n">
        <v>41435</v>
      </c>
      <c r="B1772" s="18" t="n">
        <v>51316</v>
      </c>
      <c r="C1772" s="31" t="n"/>
      <c r="D1772" s="32" t="n"/>
      <c r="E1772" s="33" t="n">
        <v>-1.301</v>
      </c>
      <c r="F1772" t="inlineStr">
        <is>
          <t>Down</t>
        </is>
      </c>
      <c r="G1772" t="inlineStr">
        <is>
          <t>Up</t>
        </is>
      </c>
      <c r="H1772" t="inlineStr">
        <is>
          <t>ED_JU</t>
        </is>
      </c>
      <c r="I1772" t="inlineStr">
        <is>
          <t>2013-06</t>
        </is>
      </c>
      <c r="J1772" t="n">
        <v>1</v>
      </c>
      <c r="K1772" t="n">
        <v>1</v>
      </c>
      <c r="L1772" s="34">
        <f>IF($J1772=1,LN(B1773/B1772),"")</f>
        <v/>
      </c>
      <c r="M1772" s="34">
        <f>IF($K1772=1,INDEX(Mensal!$D$2:$D$245,MATCH($I1772,Mensal!$A$2:$A$245,0)),"")</f>
        <v/>
      </c>
      <c r="N1772" s="34">
        <f>IF($K1772=1,L1772-M1772,"")</f>
        <v/>
      </c>
      <c r="O1772" s="34" t="n">
        <v>0.00029514</v>
      </c>
      <c r="P1772" s="34">
        <f>IF($J1772=1,LN(1+O1772),"")</f>
        <v/>
      </c>
      <c r="Q1772" s="34">
        <f>IF($J1772=1,LN(R1773/R1772),"")</f>
        <v/>
      </c>
      <c r="R1772" s="32" t="n">
        <v>2.1506</v>
      </c>
      <c r="S1772" s="35" t="n">
        <v>9.016</v>
      </c>
      <c r="T1772" s="18" t="n"/>
      <c r="U1772" s="18" t="n"/>
      <c r="V1772" s="18" t="n"/>
      <c r="W1772" s="18" t="n">
        <v>51316</v>
      </c>
      <c r="X1772" s="35" t="n">
        <v>9.016</v>
      </c>
      <c r="Y1772" s="35" t="n"/>
    </row>
    <row r="1773">
      <c r="A1773" s="25" t="n">
        <v>41436</v>
      </c>
      <c r="B1773" s="18" t="n">
        <v>49769</v>
      </c>
      <c r="C1773" s="31" t="n"/>
      <c r="D1773" s="32" t="n"/>
      <c r="E1773" s="33" t="n">
        <v>-1.3532</v>
      </c>
      <c r="F1773" t="inlineStr">
        <is>
          <t>Down</t>
        </is>
      </c>
      <c r="G1773" t="inlineStr">
        <is>
          <t>Up</t>
        </is>
      </c>
      <c r="H1773" t="inlineStr">
        <is>
          <t>ED_JU</t>
        </is>
      </c>
      <c r="I1773" t="inlineStr">
        <is>
          <t>2013-06</t>
        </is>
      </c>
      <c r="J1773" t="n">
        <v>1</v>
      </c>
      <c r="K1773" t="n">
        <v>1</v>
      </c>
      <c r="L1773" s="34">
        <f>IF($J1773=1,LN(B1774/B1773),"")</f>
        <v/>
      </c>
      <c r="M1773" s="34">
        <f>IF($K1773=1,INDEX(Mensal!$D$2:$D$245,MATCH($I1773,Mensal!$A$2:$A$245,0)),"")</f>
        <v/>
      </c>
      <c r="N1773" s="34">
        <f>IF($K1773=1,L1773-M1773,"")</f>
        <v/>
      </c>
      <c r="O1773" s="34" t="n">
        <v>0.00029514</v>
      </c>
      <c r="P1773" s="34">
        <f>IF($J1773=1,LN(1+O1773),"")</f>
        <v/>
      </c>
      <c r="Q1773" s="34">
        <f>IF($J1773=1,LN(R1774/R1773),"")</f>
        <v/>
      </c>
      <c r="R1773" s="32" t="n">
        <v>2.1521</v>
      </c>
      <c r="S1773" s="35" t="n">
        <v>9.067</v>
      </c>
      <c r="T1773" s="18" t="n"/>
      <c r="U1773" s="18" t="n"/>
      <c r="V1773" s="18" t="n"/>
      <c r="W1773" s="18" t="n">
        <v>49769</v>
      </c>
      <c r="X1773" s="35" t="n">
        <v>9.067</v>
      </c>
      <c r="Y1773" s="35" t="n"/>
    </row>
    <row r="1774">
      <c r="A1774" s="25" t="n">
        <v>41437</v>
      </c>
      <c r="B1774" s="18" t="n">
        <v>49180</v>
      </c>
      <c r="C1774" s="31" t="n"/>
      <c r="D1774" s="32" t="n"/>
      <c r="E1774" s="33" t="n">
        <v>-1.3868</v>
      </c>
      <c r="F1774" t="inlineStr">
        <is>
          <t>Down</t>
        </is>
      </c>
      <c r="G1774" t="inlineStr">
        <is>
          <t>Up</t>
        </is>
      </c>
      <c r="H1774" t="inlineStr">
        <is>
          <t>ED_JU</t>
        </is>
      </c>
      <c r="I1774" t="inlineStr">
        <is>
          <t>2013-06</t>
        </is>
      </c>
      <c r="J1774" t="n">
        <v>1</v>
      </c>
      <c r="K1774" t="n">
        <v>1</v>
      </c>
      <c r="L1774" s="34">
        <f>IF($J1774=1,LN(B1775/B1774),"")</f>
        <v/>
      </c>
      <c r="M1774" s="34">
        <f>IF($K1774=1,INDEX(Mensal!$D$2:$D$245,MATCH($I1774,Mensal!$A$2:$A$245,0)),"")</f>
        <v/>
      </c>
      <c r="N1774" s="34">
        <f>IF($K1774=1,L1774-M1774,"")</f>
        <v/>
      </c>
      <c r="O1774" s="34" t="n">
        <v>0.00029514</v>
      </c>
      <c r="P1774" s="34">
        <f>IF($J1774=1,LN(1+O1774),"")</f>
        <v/>
      </c>
      <c r="Q1774" s="34">
        <f>IF($J1774=1,LN(R1775/R1774),"")</f>
        <v/>
      </c>
      <c r="R1774" s="32" t="n">
        <v>2.142</v>
      </c>
      <c r="S1774" s="35" t="n">
        <v>9.234</v>
      </c>
      <c r="T1774" s="18" t="n"/>
      <c r="U1774" s="18" t="n"/>
      <c r="V1774" s="18" t="n"/>
      <c r="W1774" s="18" t="n">
        <v>49180</v>
      </c>
      <c r="X1774" s="35" t="n">
        <v>9.234</v>
      </c>
      <c r="Y1774" s="35" t="n"/>
    </row>
    <row r="1775">
      <c r="A1775" s="25" t="n">
        <v>41438</v>
      </c>
      <c r="B1775" s="18" t="n">
        <v>50414</v>
      </c>
      <c r="C1775" s="31" t="n"/>
      <c r="D1775" s="32" t="n"/>
      <c r="E1775" s="33" t="n">
        <v>-1.4179</v>
      </c>
      <c r="F1775" t="inlineStr">
        <is>
          <t>Down</t>
        </is>
      </c>
      <c r="G1775" t="inlineStr">
        <is>
          <t>Up</t>
        </is>
      </c>
      <c r="H1775" t="inlineStr">
        <is>
          <t>ED_JU</t>
        </is>
      </c>
      <c r="I1775" t="inlineStr">
        <is>
          <t>2013-06</t>
        </is>
      </c>
      <c r="J1775" t="n">
        <v>1</v>
      </c>
      <c r="K1775" t="n">
        <v>1</v>
      </c>
      <c r="L1775" s="34">
        <f>IF($J1775=1,LN(B1776/B1775),"")</f>
        <v/>
      </c>
      <c r="M1775" s="34">
        <f>IF($K1775=1,INDEX(Mensal!$D$2:$D$245,MATCH($I1775,Mensal!$A$2:$A$245,0)),"")</f>
        <v/>
      </c>
      <c r="N1775" s="34">
        <f>IF($K1775=1,L1775-M1775,"")</f>
        <v/>
      </c>
      <c r="O1775" s="34" t="n">
        <v>0.00029514</v>
      </c>
      <c r="P1775" s="34">
        <f>IF($J1775=1,LN(1+O1775),"")</f>
        <v/>
      </c>
      <c r="Q1775" s="34">
        <f>IF($J1775=1,LN(R1776/R1775),"")</f>
        <v/>
      </c>
      <c r="R1775" s="32" t="n">
        <v>2.1447</v>
      </c>
      <c r="S1775" s="35" t="n">
        <v>9.114000000000001</v>
      </c>
      <c r="T1775" s="18" t="n"/>
      <c r="U1775" s="18" t="n"/>
      <c r="V1775" s="18" t="n"/>
      <c r="W1775" s="18" t="n">
        <v>50414</v>
      </c>
      <c r="X1775" s="35" t="n">
        <v>9.114000000000001</v>
      </c>
      <c r="Y1775" s="35" t="n"/>
    </row>
    <row r="1776">
      <c r="A1776" s="25" t="n">
        <v>41439</v>
      </c>
      <c r="B1776" s="18" t="n">
        <v>49332</v>
      </c>
      <c r="C1776" s="31" t="n"/>
      <c r="D1776" s="32" t="n"/>
      <c r="E1776" s="33" t="n">
        <v>-1.4441</v>
      </c>
      <c r="F1776" t="inlineStr">
        <is>
          <t>Down</t>
        </is>
      </c>
      <c r="G1776" t="inlineStr">
        <is>
          <t>Up</t>
        </is>
      </c>
      <c r="H1776" t="inlineStr">
        <is>
          <t>ED_JU</t>
        </is>
      </c>
      <c r="I1776" t="inlineStr">
        <is>
          <t>2013-06</t>
        </is>
      </c>
      <c r="J1776" t="n">
        <v>1</v>
      </c>
      <c r="K1776" t="n">
        <v>1</v>
      </c>
      <c r="L1776" s="34">
        <f>IF($J1776=1,LN(B1777/B1776),"")</f>
        <v/>
      </c>
      <c r="M1776" s="34">
        <f>IF($K1776=1,INDEX(Mensal!$D$2:$D$245,MATCH($I1776,Mensal!$A$2:$A$245,0)),"")</f>
        <v/>
      </c>
      <c r="N1776" s="34">
        <f>IF($K1776=1,L1776-M1776,"")</f>
        <v/>
      </c>
      <c r="O1776" s="34" t="n">
        <v>0.00029514</v>
      </c>
      <c r="P1776" s="34">
        <f>IF($J1776=1,LN(1+O1776),"")</f>
        <v/>
      </c>
      <c r="Q1776" s="34">
        <f>IF($J1776=1,LN(R1777/R1776),"")</f>
        <v/>
      </c>
      <c r="R1776" s="32" t="n">
        <v>2.1367</v>
      </c>
      <c r="S1776" s="35" t="n">
        <v>9.138</v>
      </c>
      <c r="T1776" s="18" t="n"/>
      <c r="U1776" s="18" t="n"/>
      <c r="V1776" s="18" t="n"/>
      <c r="W1776" s="18" t="n">
        <v>49332</v>
      </c>
      <c r="X1776" s="35" t="n">
        <v>9.138</v>
      </c>
      <c r="Y1776" s="35" t="n"/>
    </row>
    <row r="1777">
      <c r="A1777" s="25" t="n">
        <v>41442</v>
      </c>
      <c r="B1777" s="18" t="n">
        <v>49088</v>
      </c>
      <c r="C1777" s="31" t="n"/>
      <c r="D1777" s="32" t="n"/>
      <c r="E1777" s="33" t="n">
        <v>-1.4681</v>
      </c>
      <c r="F1777" t="inlineStr">
        <is>
          <t>Down</t>
        </is>
      </c>
      <c r="G1777" t="inlineStr">
        <is>
          <t>Up</t>
        </is>
      </c>
      <c r="H1777" t="inlineStr">
        <is>
          <t>ED_JU</t>
        </is>
      </c>
      <c r="I1777" t="inlineStr">
        <is>
          <t>2013-06</t>
        </is>
      </c>
      <c r="J1777" t="n">
        <v>1</v>
      </c>
      <c r="K1777" t="n">
        <v>1</v>
      </c>
      <c r="L1777" s="34">
        <f>IF($J1777=1,LN(B1778/B1777),"")</f>
        <v/>
      </c>
      <c r="M1777" s="34">
        <f>IF($K1777=1,INDEX(Mensal!$D$2:$D$245,MATCH($I1777,Mensal!$A$2:$A$245,0)),"")</f>
        <v/>
      </c>
      <c r="N1777" s="34">
        <f>IF($K1777=1,L1777-M1777,"")</f>
        <v/>
      </c>
      <c r="O1777" s="34" t="n">
        <v>0.00029514</v>
      </c>
      <c r="P1777" s="34">
        <f>IF($J1777=1,LN(1+O1777),"")</f>
        <v/>
      </c>
      <c r="Q1777" s="34">
        <f>IF($J1777=1,LN(R1778/R1777),"")</f>
        <v/>
      </c>
      <c r="R1777" s="32" t="n">
        <v>2.1538</v>
      </c>
      <c r="S1777" s="35" t="n">
        <v>9.346</v>
      </c>
      <c r="T1777" s="18" t="n"/>
      <c r="U1777" s="18" t="n"/>
      <c r="V1777" s="18" t="n"/>
      <c r="W1777" s="18" t="n">
        <v>49088</v>
      </c>
      <c r="X1777" s="35" t="n">
        <v>9.346</v>
      </c>
      <c r="Y1777" s="35" t="n"/>
    </row>
    <row r="1778">
      <c r="A1778" s="25" t="n">
        <v>41443</v>
      </c>
      <c r="B1778" s="18" t="n">
        <v>49464</v>
      </c>
      <c r="C1778" s="31" t="n"/>
      <c r="D1778" s="32" t="n"/>
      <c r="E1778" s="33" t="n">
        <v>-1.4907</v>
      </c>
      <c r="F1778" t="inlineStr">
        <is>
          <t>Down</t>
        </is>
      </c>
      <c r="G1778" t="inlineStr">
        <is>
          <t>Up</t>
        </is>
      </c>
      <c r="H1778" t="inlineStr">
        <is>
          <t>ED_JU</t>
        </is>
      </c>
      <c r="I1778" t="inlineStr">
        <is>
          <t>2013-06</t>
        </is>
      </c>
      <c r="J1778" t="n">
        <v>1</v>
      </c>
      <c r="K1778" t="n">
        <v>1</v>
      </c>
      <c r="L1778" s="34">
        <f>IF($J1778=1,LN(B1779/B1778),"")</f>
        <v/>
      </c>
      <c r="M1778" s="34">
        <f>IF($K1778=1,INDEX(Mensal!$D$2:$D$245,MATCH($I1778,Mensal!$A$2:$A$245,0)),"")</f>
        <v/>
      </c>
      <c r="N1778" s="34">
        <f>IF($K1778=1,L1778-M1778,"")</f>
        <v/>
      </c>
      <c r="O1778" s="34" t="n">
        <v>0.00029514</v>
      </c>
      <c r="P1778" s="34">
        <f>IF($J1778=1,LN(1+O1778),"")</f>
        <v/>
      </c>
      <c r="Q1778" s="34">
        <f>IF($J1778=1,LN(R1779/R1778),"")</f>
        <v/>
      </c>
      <c r="R1778" s="32" t="n">
        <v>2.1706</v>
      </c>
      <c r="S1778" s="35" t="n">
        <v>9.661</v>
      </c>
      <c r="T1778" s="18" t="n"/>
      <c r="U1778" s="18" t="n"/>
      <c r="V1778" s="18" t="n"/>
      <c r="W1778" s="18" t="n">
        <v>49464</v>
      </c>
      <c r="X1778" s="35" t="n">
        <v>9.661</v>
      </c>
      <c r="Y1778" s="35" t="n"/>
    </row>
    <row r="1779">
      <c r="A1779" s="25" t="n">
        <v>41444</v>
      </c>
      <c r="B1779" s="18" t="n">
        <v>47893</v>
      </c>
      <c r="C1779" s="31" t="n"/>
      <c r="D1779" s="32" t="n"/>
      <c r="E1779" s="33" t="n">
        <v>-1.5115</v>
      </c>
      <c r="F1779" t="inlineStr">
        <is>
          <t>Down</t>
        </is>
      </c>
      <c r="G1779" t="inlineStr">
        <is>
          <t>Up</t>
        </is>
      </c>
      <c r="H1779" t="inlineStr">
        <is>
          <t>ED_JU</t>
        </is>
      </c>
      <c r="I1779" t="inlineStr">
        <is>
          <t>2013-06</t>
        </is>
      </c>
      <c r="J1779" t="n">
        <v>1</v>
      </c>
      <c r="K1779" t="n">
        <v>1</v>
      </c>
      <c r="L1779" s="34">
        <f>IF($J1779=1,LN(B1780/B1779),"")</f>
        <v/>
      </c>
      <c r="M1779" s="34">
        <f>IF($K1779=1,INDEX(Mensal!$D$2:$D$245,MATCH($I1779,Mensal!$A$2:$A$245,0)),"")</f>
        <v/>
      </c>
      <c r="N1779" s="34">
        <f>IF($K1779=1,L1779-M1779,"")</f>
        <v/>
      </c>
      <c r="O1779" s="34" t="n">
        <v>0.00029514</v>
      </c>
      <c r="P1779" s="34">
        <f>IF($J1779=1,LN(1+O1779),"")</f>
        <v/>
      </c>
      <c r="Q1779" s="34">
        <f>IF($J1779=1,LN(R1780/R1779),"")</f>
        <v/>
      </c>
      <c r="R1779" s="32" t="n">
        <v>2.1744</v>
      </c>
      <c r="S1779" s="35" t="n">
        <v>9.772</v>
      </c>
      <c r="T1779" s="18" t="n"/>
      <c r="U1779" s="18" t="n"/>
      <c r="V1779" s="18" t="n"/>
      <c r="W1779" s="18" t="n">
        <v>47893</v>
      </c>
      <c r="X1779" s="35" t="n">
        <v>9.772</v>
      </c>
      <c r="Y1779" s="35" t="n"/>
    </row>
    <row r="1780">
      <c r="A1780" s="25" t="n">
        <v>41445</v>
      </c>
      <c r="B1780" s="18" t="n">
        <v>48214</v>
      </c>
      <c r="C1780" s="31" t="n"/>
      <c r="D1780" s="32" t="n"/>
      <c r="E1780" s="33" t="n">
        <v>-1.5482</v>
      </c>
      <c r="F1780" t="inlineStr">
        <is>
          <t>Down</t>
        </is>
      </c>
      <c r="G1780" t="inlineStr">
        <is>
          <t>Up</t>
        </is>
      </c>
      <c r="H1780" t="inlineStr">
        <is>
          <t>ED_JU</t>
        </is>
      </c>
      <c r="I1780" t="inlineStr">
        <is>
          <t>2013-06</t>
        </is>
      </c>
      <c r="J1780" t="n">
        <v>1</v>
      </c>
      <c r="K1780" t="n">
        <v>1</v>
      </c>
      <c r="L1780" s="34">
        <f>IF($J1780=1,LN(B1781/B1780),"")</f>
        <v/>
      </c>
      <c r="M1780" s="34">
        <f>IF($K1780=1,INDEX(Mensal!$D$2:$D$245,MATCH($I1780,Mensal!$A$2:$A$245,0)),"")</f>
        <v/>
      </c>
      <c r="N1780" s="34">
        <f>IF($K1780=1,L1780-M1780,"")</f>
        <v/>
      </c>
      <c r="O1780" s="34" t="n">
        <v>0.00029514</v>
      </c>
      <c r="P1780" s="34">
        <f>IF($J1780=1,LN(1+O1780),"")</f>
        <v/>
      </c>
      <c r="Q1780" s="34">
        <f>IF($J1780=1,LN(R1781/R1780),"")</f>
        <v/>
      </c>
      <c r="R1780" s="32" t="n">
        <v>2.2523</v>
      </c>
      <c r="S1780" s="35" t="n">
        <v>9.906000000000001</v>
      </c>
      <c r="T1780" s="18" t="n"/>
      <c r="U1780" s="18" t="n"/>
      <c r="V1780" s="18" t="n"/>
      <c r="W1780" s="18" t="n">
        <v>48214</v>
      </c>
      <c r="X1780" s="35" t="n">
        <v>9.906000000000001</v>
      </c>
      <c r="Y1780" s="35" t="n"/>
    </row>
    <row r="1781">
      <c r="A1781" s="25" t="n">
        <v>41446</v>
      </c>
      <c r="B1781" s="18" t="n">
        <v>47056</v>
      </c>
      <c r="C1781" s="31" t="n"/>
      <c r="D1781" s="32" t="n"/>
      <c r="E1781" s="33" t="n">
        <v>-1.5864</v>
      </c>
      <c r="F1781" t="inlineStr">
        <is>
          <t>Down</t>
        </is>
      </c>
      <c r="G1781" t="inlineStr">
        <is>
          <t>Up</t>
        </is>
      </c>
      <c r="H1781" t="inlineStr">
        <is>
          <t>ED_JU</t>
        </is>
      </c>
      <c r="I1781" t="inlineStr">
        <is>
          <t>2013-06</t>
        </is>
      </c>
      <c r="J1781" t="n">
        <v>1</v>
      </c>
      <c r="K1781" t="n">
        <v>1</v>
      </c>
      <c r="L1781" s="34">
        <f>IF($J1781=1,LN(B1782/B1781),"")</f>
        <v/>
      </c>
      <c r="M1781" s="34">
        <f>IF($K1781=1,INDEX(Mensal!$D$2:$D$245,MATCH($I1781,Mensal!$A$2:$A$245,0)),"")</f>
        <v/>
      </c>
      <c r="N1781" s="34">
        <f>IF($K1781=1,L1781-M1781,"")</f>
        <v/>
      </c>
      <c r="O1781" s="34" t="n">
        <v>0.00029514</v>
      </c>
      <c r="P1781" s="34">
        <f>IF($J1781=1,LN(1+O1781),"")</f>
        <v/>
      </c>
      <c r="Q1781" s="34">
        <f>IF($J1781=1,LN(R1782/R1781),"")</f>
        <v/>
      </c>
      <c r="R1781" s="32" t="n">
        <v>2.2648</v>
      </c>
      <c r="S1781" s="35" t="n">
        <v>9.877000000000001</v>
      </c>
      <c r="T1781" s="18" t="n"/>
      <c r="U1781" s="18" t="n"/>
      <c r="V1781" s="18" t="n"/>
      <c r="W1781" s="18" t="n">
        <v>47056</v>
      </c>
      <c r="X1781" s="35" t="n">
        <v>9.877000000000001</v>
      </c>
      <c r="Y1781" s="35" t="n"/>
    </row>
    <row r="1782">
      <c r="A1782" s="25" t="n">
        <v>41449</v>
      </c>
      <c r="B1782" s="18" t="n">
        <v>45965</v>
      </c>
      <c r="C1782" s="31" t="n"/>
      <c r="D1782" s="32" t="n"/>
      <c r="E1782" s="33" t="n">
        <v>-1.6106</v>
      </c>
      <c r="F1782" t="inlineStr">
        <is>
          <t>Down</t>
        </is>
      </c>
      <c r="G1782" t="inlineStr">
        <is>
          <t>Up</t>
        </is>
      </c>
      <c r="H1782" t="inlineStr">
        <is>
          <t>ED_JU</t>
        </is>
      </c>
      <c r="I1782" t="inlineStr">
        <is>
          <t>2013-06</t>
        </is>
      </c>
      <c r="J1782" t="n">
        <v>1</v>
      </c>
      <c r="K1782" t="n">
        <v>1</v>
      </c>
      <c r="L1782" s="34">
        <f>IF($J1782=1,LN(B1783/B1782),"")</f>
        <v/>
      </c>
      <c r="M1782" s="34">
        <f>IF($K1782=1,INDEX(Mensal!$D$2:$D$245,MATCH($I1782,Mensal!$A$2:$A$245,0)),"")</f>
        <v/>
      </c>
      <c r="N1782" s="34">
        <f>IF($K1782=1,L1782-M1782,"")</f>
        <v/>
      </c>
      <c r="O1782" s="34" t="n">
        <v>0.00029514</v>
      </c>
      <c r="P1782" s="34">
        <f>IF($J1782=1,LN(1+O1782),"")</f>
        <v/>
      </c>
      <c r="Q1782" s="34">
        <f>IF($J1782=1,LN(R1783/R1782),"")</f>
        <v/>
      </c>
      <c r="R1782" s="32" t="n">
        <v>2.2515</v>
      </c>
      <c r="S1782" s="35" t="n">
        <v>9.582000000000001</v>
      </c>
      <c r="T1782" s="18" t="n"/>
      <c r="U1782" s="18" t="n"/>
      <c r="V1782" s="18" t="n"/>
      <c r="W1782" s="18" t="n">
        <v>45965</v>
      </c>
      <c r="X1782" s="35" t="n">
        <v>9.582000000000001</v>
      </c>
      <c r="Y1782" s="35" t="n"/>
    </row>
    <row r="1783">
      <c r="A1783" s="25" t="n">
        <v>41450</v>
      </c>
      <c r="B1783" s="18" t="n">
        <v>46893</v>
      </c>
      <c r="C1783" s="31" t="n"/>
      <c r="D1783" s="32" t="n"/>
      <c r="E1783" s="33" t="n">
        <v>-1.6313</v>
      </c>
      <c r="F1783" t="inlineStr">
        <is>
          <t>Down</t>
        </is>
      </c>
      <c r="G1783" t="inlineStr">
        <is>
          <t>Up</t>
        </is>
      </c>
      <c r="H1783" t="inlineStr">
        <is>
          <t>ED_JU</t>
        </is>
      </c>
      <c r="I1783" t="inlineStr">
        <is>
          <t>2013-06</t>
        </is>
      </c>
      <c r="J1783" t="n">
        <v>1</v>
      </c>
      <c r="K1783" t="n">
        <v>1</v>
      </c>
      <c r="L1783" s="34">
        <f>IF($J1783=1,LN(B1784/B1783),"")</f>
        <v/>
      </c>
      <c r="M1783" s="34">
        <f>IF($K1783=1,INDEX(Mensal!$D$2:$D$245,MATCH($I1783,Mensal!$A$2:$A$245,0)),"")</f>
        <v/>
      </c>
      <c r="N1783" s="34">
        <f>IF($K1783=1,L1783-M1783,"")</f>
        <v/>
      </c>
      <c r="O1783" s="34" t="n">
        <v>0.00029514</v>
      </c>
      <c r="P1783" s="34">
        <f>IF($J1783=1,LN(1+O1783),"")</f>
        <v/>
      </c>
      <c r="Q1783" s="34">
        <f>IF($J1783=1,LN(R1784/R1783),"")</f>
        <v/>
      </c>
      <c r="R1783" s="32" t="n">
        <v>2.2185</v>
      </c>
      <c r="S1783" s="35" t="n">
        <v>9.416</v>
      </c>
      <c r="T1783" s="18" t="n"/>
      <c r="U1783" s="18" t="n"/>
      <c r="V1783" s="18" t="n"/>
      <c r="W1783" s="18" t="n">
        <v>46893</v>
      </c>
      <c r="X1783" s="35" t="n">
        <v>9.416</v>
      </c>
      <c r="Y1783" s="35" t="n"/>
    </row>
    <row r="1784">
      <c r="A1784" s="25" t="n">
        <v>41451</v>
      </c>
      <c r="B1784" s="18" t="n">
        <v>47171</v>
      </c>
      <c r="C1784" s="31" t="n"/>
      <c r="D1784" s="32" t="n"/>
      <c r="E1784" s="33" t="n">
        <v>-1.6537</v>
      </c>
      <c r="F1784" t="inlineStr">
        <is>
          <t>Down</t>
        </is>
      </c>
      <c r="G1784" t="inlineStr">
        <is>
          <t>Up</t>
        </is>
      </c>
      <c r="H1784" t="inlineStr">
        <is>
          <t>ED_JU</t>
        </is>
      </c>
      <c r="I1784" t="inlineStr">
        <is>
          <t>2013-06</t>
        </is>
      </c>
      <c r="J1784" t="n">
        <v>1</v>
      </c>
      <c r="K1784" t="n">
        <v>1</v>
      </c>
      <c r="L1784" s="34">
        <f>IF($J1784=1,LN(B1785/B1784),"")</f>
        <v/>
      </c>
      <c r="M1784" s="34">
        <f>IF($K1784=1,INDEX(Mensal!$D$2:$D$245,MATCH($I1784,Mensal!$A$2:$A$245,0)),"")</f>
        <v/>
      </c>
      <c r="N1784" s="34">
        <f>IF($K1784=1,L1784-M1784,"")</f>
        <v/>
      </c>
      <c r="O1784" s="34" t="n">
        <v>0.00029514</v>
      </c>
      <c r="P1784" s="34">
        <f>IF($J1784=1,LN(1+O1784),"")</f>
        <v/>
      </c>
      <c r="Q1784" s="34">
        <f>IF($J1784=1,LN(R1785/R1784),"")</f>
        <v/>
      </c>
      <c r="R1784" s="32" t="n">
        <v>2.1975</v>
      </c>
      <c r="S1784" s="35" t="n">
        <v>9.438000000000001</v>
      </c>
      <c r="T1784" s="18" t="n"/>
      <c r="U1784" s="18" t="n"/>
      <c r="V1784" s="18" t="n"/>
      <c r="W1784" s="18" t="n">
        <v>47171</v>
      </c>
      <c r="X1784" s="35" t="n">
        <v>9.438000000000001</v>
      </c>
      <c r="Y1784" s="35" t="n"/>
    </row>
    <row r="1785">
      <c r="A1785" s="25" t="n">
        <v>41452</v>
      </c>
      <c r="B1785" s="18" t="n">
        <v>47609</v>
      </c>
      <c r="C1785" s="31" t="n"/>
      <c r="D1785" s="32" t="n"/>
      <c r="E1785" s="33" t="n">
        <v>-1.6642</v>
      </c>
      <c r="F1785" t="inlineStr">
        <is>
          <t>Down</t>
        </is>
      </c>
      <c r="G1785" t="inlineStr">
        <is>
          <t>Up</t>
        </is>
      </c>
      <c r="H1785" t="inlineStr">
        <is>
          <t>ED_JU</t>
        </is>
      </c>
      <c r="I1785" t="inlineStr">
        <is>
          <t>2013-06</t>
        </is>
      </c>
      <c r="J1785" t="n">
        <v>1</v>
      </c>
      <c r="K1785" t="n">
        <v>1</v>
      </c>
      <c r="L1785" s="34">
        <f>IF($J1785=1,LN(B1786/B1785),"")</f>
        <v/>
      </c>
      <c r="M1785" s="34">
        <f>IF($K1785=1,INDEX(Mensal!$D$2:$D$245,MATCH($I1785,Mensal!$A$2:$A$245,0)),"")</f>
        <v/>
      </c>
      <c r="N1785" s="34">
        <f>IF($K1785=1,L1785-M1785,"")</f>
        <v/>
      </c>
      <c r="O1785" s="34" t="n">
        <v>0.00029514</v>
      </c>
      <c r="P1785" s="34">
        <f>IF($J1785=1,LN(1+O1785),"")</f>
        <v/>
      </c>
      <c r="Q1785" s="34">
        <f>IF($J1785=1,LN(R1786/R1785),"")</f>
        <v/>
      </c>
      <c r="R1785" s="32" t="n">
        <v>2.1846</v>
      </c>
      <c r="S1785" s="35" t="n">
        <v>9.321</v>
      </c>
      <c r="T1785" s="18" t="n"/>
      <c r="U1785" s="18" t="n"/>
      <c r="V1785" s="18" t="n"/>
      <c r="W1785" s="18" t="n">
        <v>47609</v>
      </c>
      <c r="X1785" s="35" t="n">
        <v>9.321</v>
      </c>
      <c r="Y1785" s="35" t="n"/>
    </row>
    <row r="1786">
      <c r="A1786" s="25" t="n">
        <v>41453</v>
      </c>
      <c r="B1786" s="18" t="n">
        <v>47457</v>
      </c>
      <c r="C1786" s="31" t="n"/>
      <c r="D1786" s="32" t="n"/>
      <c r="E1786" s="33" t="n">
        <v>-1.6695</v>
      </c>
      <c r="F1786" t="inlineStr">
        <is>
          <t>Down</t>
        </is>
      </c>
      <c r="G1786" t="inlineStr">
        <is>
          <t>Up</t>
        </is>
      </c>
      <c r="H1786" t="inlineStr">
        <is>
          <t>ED_JU</t>
        </is>
      </c>
      <c r="I1786" t="inlineStr">
        <is>
          <t>2013-06</t>
        </is>
      </c>
      <c r="J1786" t="n">
        <v>1</v>
      </c>
      <c r="K1786" t="n">
        <v>1</v>
      </c>
      <c r="L1786" s="34">
        <f>IF($J1786=1,LN(B1787/B1786),"")</f>
        <v/>
      </c>
      <c r="M1786" s="34">
        <f>IF($K1786=1,INDEX(Mensal!$D$2:$D$245,MATCH($I1786,Mensal!$A$2:$A$245,0)),"")</f>
        <v/>
      </c>
      <c r="N1786" s="34">
        <f>IF($K1786=1,L1786-M1786,"")</f>
        <v/>
      </c>
      <c r="O1786" s="34" t="n">
        <v>0.00029514</v>
      </c>
      <c r="P1786" s="34">
        <f>IF($J1786=1,LN(1+O1786),"")</f>
        <v/>
      </c>
      <c r="Q1786" s="34">
        <f>IF($J1786=1,LN(R1787/R1786),"")</f>
        <v/>
      </c>
      <c r="R1786" s="32" t="n">
        <v>2.2156</v>
      </c>
      <c r="S1786" s="35" t="n">
        <v>9.391999999999999</v>
      </c>
      <c r="T1786" s="18" t="n"/>
      <c r="U1786" s="18" t="n"/>
      <c r="V1786" s="18" t="n"/>
      <c r="W1786" s="18" t="n">
        <v>47457</v>
      </c>
      <c r="X1786" s="35" t="n">
        <v>9.391999999999999</v>
      </c>
      <c r="Y1786" s="35" t="n"/>
    </row>
    <row r="1787">
      <c r="A1787" s="25" t="n">
        <v>41456</v>
      </c>
      <c r="B1787" s="18" t="n">
        <v>47229</v>
      </c>
      <c r="C1787" s="31" t="n"/>
      <c r="D1787" s="32" t="n"/>
      <c r="E1787" s="33" t="n">
        <v>-1.6825</v>
      </c>
      <c r="F1787" t="inlineStr">
        <is>
          <t>Down</t>
        </is>
      </c>
      <c r="G1787" t="inlineStr">
        <is>
          <t>Up</t>
        </is>
      </c>
      <c r="H1787" t="inlineStr">
        <is>
          <t>ED_JU</t>
        </is>
      </c>
      <c r="I1787" t="inlineStr">
        <is>
          <t>2013-07</t>
        </is>
      </c>
      <c r="J1787" t="n">
        <v>1</v>
      </c>
      <c r="K1787" t="n">
        <v>1</v>
      </c>
      <c r="L1787" s="34">
        <f>IF($J1787=1,LN(B1788/B1787),"")</f>
        <v/>
      </c>
      <c r="M1787" s="34">
        <f>IF($K1787=1,INDEX(Mensal!$D$2:$D$245,MATCH($I1787,Mensal!$A$2:$A$245,0)),"")</f>
        <v/>
      </c>
      <c r="N1787" s="34">
        <f>IF($K1787=1,L1787-M1787,"")</f>
        <v/>
      </c>
      <c r="O1787" s="34" t="n">
        <v>0.00029514</v>
      </c>
      <c r="P1787" s="34">
        <f>IF($J1787=1,LN(1+O1787),"")</f>
        <v/>
      </c>
      <c r="Q1787" s="34">
        <f>IF($J1787=1,LN(R1788/R1787),"")</f>
        <v/>
      </c>
      <c r="R1787" s="32" t="n">
        <v>2.2297</v>
      </c>
      <c r="S1787" s="35" t="n">
        <v>9.382</v>
      </c>
      <c r="T1787" s="18" t="n"/>
      <c r="U1787" s="18" t="n"/>
      <c r="V1787" s="18" t="n"/>
      <c r="W1787" s="18" t="n">
        <v>47229</v>
      </c>
      <c r="X1787" s="35" t="n">
        <v>9.382</v>
      </c>
      <c r="Y1787" s="35" t="n"/>
    </row>
    <row r="1788">
      <c r="A1788" s="25" t="n">
        <v>41457</v>
      </c>
      <c r="B1788" s="18" t="n">
        <v>45228</v>
      </c>
      <c r="C1788" s="31" t="n"/>
      <c r="D1788" s="32" t="n"/>
      <c r="E1788" s="33" t="n">
        <v>-1.746</v>
      </c>
      <c r="F1788" t="inlineStr">
        <is>
          <t>Down</t>
        </is>
      </c>
      <c r="G1788" t="inlineStr">
        <is>
          <t>Up</t>
        </is>
      </c>
      <c r="H1788" t="inlineStr">
        <is>
          <t>ED_JU</t>
        </is>
      </c>
      <c r="I1788" t="inlineStr">
        <is>
          <t>2013-07</t>
        </is>
      </c>
      <c r="J1788" t="n">
        <v>1</v>
      </c>
      <c r="K1788" t="n">
        <v>1</v>
      </c>
      <c r="L1788" s="34">
        <f>IF($J1788=1,LN(B1789/B1788),"")</f>
        <v/>
      </c>
      <c r="M1788" s="34">
        <f>IF($K1788=1,INDEX(Mensal!$D$2:$D$245,MATCH($I1788,Mensal!$A$2:$A$245,0)),"")</f>
        <v/>
      </c>
      <c r="N1788" s="34">
        <f>IF($K1788=1,L1788-M1788,"")</f>
        <v/>
      </c>
      <c r="O1788" s="34" t="n">
        <v>0.00029514</v>
      </c>
      <c r="P1788" s="34">
        <f>IF($J1788=1,LN(1+O1788),"")</f>
        <v/>
      </c>
      <c r="Q1788" s="34">
        <f>IF($J1788=1,LN(R1789/R1788),"")</f>
        <v/>
      </c>
      <c r="R1788" s="32" t="n">
        <v>2.2412</v>
      </c>
      <c r="S1788" s="35" t="n">
        <v>9.234999999999999</v>
      </c>
      <c r="T1788" s="18" t="n"/>
      <c r="U1788" s="18" t="n"/>
      <c r="V1788" s="18" t="n"/>
      <c r="W1788" s="18" t="n">
        <v>45228</v>
      </c>
      <c r="X1788" s="35" t="n">
        <v>9.234999999999999</v>
      </c>
      <c r="Y1788" s="35" t="n"/>
    </row>
    <row r="1789">
      <c r="A1789" s="25" t="n">
        <v>41458</v>
      </c>
      <c r="B1789" s="18" t="n">
        <v>45044</v>
      </c>
      <c r="C1789" s="31" t="n"/>
      <c r="D1789" s="32" t="n"/>
      <c r="E1789" s="33" t="n">
        <v>-1.8225</v>
      </c>
      <c r="F1789" t="inlineStr">
        <is>
          <t>Down</t>
        </is>
      </c>
      <c r="G1789" t="inlineStr">
        <is>
          <t>Up</t>
        </is>
      </c>
      <c r="H1789" t="inlineStr">
        <is>
          <t>ED_JU</t>
        </is>
      </c>
      <c r="I1789" t="inlineStr">
        <is>
          <t>2013-07</t>
        </is>
      </c>
      <c r="J1789" t="n">
        <v>1</v>
      </c>
      <c r="K1789" t="n">
        <v>1</v>
      </c>
      <c r="L1789" s="34">
        <f>IF($J1789=1,LN(B1790/B1789),"")</f>
        <v/>
      </c>
      <c r="M1789" s="34">
        <f>IF($K1789=1,INDEX(Mensal!$D$2:$D$245,MATCH($I1789,Mensal!$A$2:$A$245,0)),"")</f>
        <v/>
      </c>
      <c r="N1789" s="34">
        <f>IF($K1789=1,L1789-M1789,"")</f>
        <v/>
      </c>
      <c r="O1789" s="34" t="n">
        <v>0.00029514</v>
      </c>
      <c r="P1789" s="34">
        <f>IF($J1789=1,LN(1+O1789),"")</f>
        <v/>
      </c>
      <c r="Q1789" s="34">
        <f>IF($J1789=1,LN(R1790/R1789),"")</f>
        <v/>
      </c>
      <c r="R1789" s="32" t="n">
        <v>2.2634</v>
      </c>
      <c r="S1789" s="35" t="n">
        <v>9.218</v>
      </c>
      <c r="T1789" s="18" t="n"/>
      <c r="U1789" s="18" t="n"/>
      <c r="V1789" s="18" t="n"/>
      <c r="W1789" s="18" t="n">
        <v>45044</v>
      </c>
      <c r="X1789" s="35" t="n">
        <v>9.218</v>
      </c>
      <c r="Y1789" s="35" t="n"/>
    </row>
    <row r="1790">
      <c r="A1790" s="25" t="n">
        <v>41459</v>
      </c>
      <c r="B1790" s="18" t="n">
        <v>45763</v>
      </c>
      <c r="C1790" s="31" t="n"/>
      <c r="D1790" s="32" t="n"/>
      <c r="E1790" s="33" t="n">
        <v>-1.892</v>
      </c>
      <c r="F1790" t="inlineStr">
        <is>
          <t>Down</t>
        </is>
      </c>
      <c r="G1790" t="inlineStr">
        <is>
          <t>Up</t>
        </is>
      </c>
      <c r="H1790" t="inlineStr">
        <is>
          <t>ED_JU</t>
        </is>
      </c>
      <c r="I1790" t="inlineStr">
        <is>
          <t>2013-07</t>
        </is>
      </c>
      <c r="J1790" t="n">
        <v>1</v>
      </c>
      <c r="K1790" t="n">
        <v>1</v>
      </c>
      <c r="L1790" s="34">
        <f>IF($J1790=1,LN(B1791/B1790),"")</f>
        <v/>
      </c>
      <c r="M1790" s="34">
        <f>IF($K1790=1,INDEX(Mensal!$D$2:$D$245,MATCH($I1790,Mensal!$A$2:$A$245,0)),"")</f>
        <v/>
      </c>
      <c r="N1790" s="34">
        <f>IF($K1790=1,L1790-M1790,"")</f>
        <v/>
      </c>
      <c r="O1790" s="34" t="n">
        <v>0.00029514</v>
      </c>
      <c r="P1790" s="34">
        <f>IF($J1790=1,LN(1+O1790),"")</f>
        <v/>
      </c>
      <c r="Q1790" s="34">
        <f>IF($J1790=1,LN(R1791/R1790),"")</f>
        <v/>
      </c>
      <c r="R1790" s="32" t="n">
        <v>2.2595</v>
      </c>
      <c r="S1790" s="35" t="n">
        <v>9.297000000000001</v>
      </c>
      <c r="T1790" s="18" t="n"/>
      <c r="U1790" s="18" t="n"/>
      <c r="V1790" s="18" t="n"/>
      <c r="W1790" s="18" t="n">
        <v>45763</v>
      </c>
      <c r="X1790" s="35" t="n">
        <v>9.297000000000001</v>
      </c>
      <c r="Y1790" s="35" t="n"/>
    </row>
    <row r="1791">
      <c r="A1791" s="25" t="n">
        <v>41460</v>
      </c>
      <c r="B1791" s="18" t="n">
        <v>45210</v>
      </c>
      <c r="C1791" s="31" t="n"/>
      <c r="D1791" s="32" t="n"/>
      <c r="E1791" s="33" t="n">
        <v>-1.9579</v>
      </c>
      <c r="F1791" t="inlineStr">
        <is>
          <t>Down</t>
        </is>
      </c>
      <c r="G1791" t="inlineStr">
        <is>
          <t>Up</t>
        </is>
      </c>
      <c r="H1791" t="inlineStr">
        <is>
          <t>ED_JU</t>
        </is>
      </c>
      <c r="I1791" t="inlineStr">
        <is>
          <t>2013-07</t>
        </is>
      </c>
      <c r="J1791" t="n">
        <v>1</v>
      </c>
      <c r="K1791" t="n">
        <v>1</v>
      </c>
      <c r="L1791" s="34">
        <f>IF($J1791=1,LN(B1792/B1791),"")</f>
        <v/>
      </c>
      <c r="M1791" s="34">
        <f>IF($K1791=1,INDEX(Mensal!$D$2:$D$245,MATCH($I1791,Mensal!$A$2:$A$245,0)),"")</f>
        <v/>
      </c>
      <c r="N1791" s="34">
        <f>IF($K1791=1,L1791-M1791,"")</f>
        <v/>
      </c>
      <c r="O1791" s="34" t="n">
        <v>0.00029514</v>
      </c>
      <c r="P1791" s="34">
        <f>IF($J1791=1,LN(1+O1791),"")</f>
        <v/>
      </c>
      <c r="Q1791" s="34">
        <f>IF($J1791=1,LN(R1792/R1791),"")</f>
        <v/>
      </c>
      <c r="R1791" s="32" t="n">
        <v>2.2645</v>
      </c>
      <c r="S1791" s="35" t="n">
        <v>9.247</v>
      </c>
      <c r="T1791" s="18" t="n"/>
      <c r="U1791" s="18" t="n"/>
      <c r="V1791" s="18" t="n"/>
      <c r="W1791" s="18" t="n">
        <v>45210</v>
      </c>
      <c r="X1791" s="35" t="n">
        <v>9.247</v>
      </c>
      <c r="Y1791" s="35" t="n"/>
    </row>
    <row r="1792">
      <c r="A1792" s="25" t="n">
        <v>41463</v>
      </c>
      <c r="B1792" s="18" t="n">
        <v>45075</v>
      </c>
      <c r="C1792" s="31" t="n"/>
      <c r="D1792" s="32" t="n"/>
      <c r="E1792" s="33" t="n">
        <v>-2.018</v>
      </c>
      <c r="F1792" t="inlineStr">
        <is>
          <t>Down</t>
        </is>
      </c>
      <c r="G1792" t="inlineStr">
        <is>
          <t>Up</t>
        </is>
      </c>
      <c r="H1792" t="inlineStr">
        <is>
          <t>ED_JU</t>
        </is>
      </c>
      <c r="I1792" t="inlineStr">
        <is>
          <t>2013-07</t>
        </is>
      </c>
      <c r="J1792" t="n">
        <v>1</v>
      </c>
      <c r="K1792" t="n">
        <v>1</v>
      </c>
      <c r="L1792" s="34">
        <f>IF($J1792=1,LN(B1793/B1792),"")</f>
        <v/>
      </c>
      <c r="M1792" s="34">
        <f>IF($K1792=1,INDEX(Mensal!$D$2:$D$245,MATCH($I1792,Mensal!$A$2:$A$245,0)),"")</f>
        <v/>
      </c>
      <c r="N1792" s="34">
        <f>IF($K1792=1,L1792-M1792,"")</f>
        <v/>
      </c>
      <c r="O1792" s="34" t="n">
        <v>0.00029514</v>
      </c>
      <c r="P1792" s="34">
        <f>IF($J1792=1,LN(1+O1792),"")</f>
        <v/>
      </c>
      <c r="Q1792" s="34">
        <f>IF($J1792=1,LN(R1793/R1792),"")</f>
        <v/>
      </c>
      <c r="R1792" s="32" t="n">
        <v>2.2583</v>
      </c>
      <c r="S1792" s="35" t="n">
        <v>9.188000000000001</v>
      </c>
      <c r="T1792" s="18" t="n"/>
      <c r="U1792" s="18" t="n"/>
      <c r="V1792" s="18" t="n"/>
      <c r="W1792" s="18" t="n">
        <v>45075</v>
      </c>
      <c r="X1792" s="35" t="n">
        <v>9.188000000000001</v>
      </c>
      <c r="Y1792" s="35" t="n"/>
    </row>
    <row r="1793">
      <c r="A1793" s="25" t="n">
        <v>41465</v>
      </c>
      <c r="B1793" s="18" t="n">
        <v>45483</v>
      </c>
      <c r="C1793" s="31" t="n"/>
      <c r="D1793" s="32" t="n"/>
      <c r="E1793" s="33" t="n">
        <v>-2.0868</v>
      </c>
      <c r="F1793" t="inlineStr">
        <is>
          <t>Down</t>
        </is>
      </c>
      <c r="G1793" t="inlineStr">
        <is>
          <t>Up</t>
        </is>
      </c>
      <c r="H1793" t="inlineStr">
        <is>
          <t>ED_JU</t>
        </is>
      </c>
      <c r="I1793" t="inlineStr">
        <is>
          <t>2013-07</t>
        </is>
      </c>
      <c r="J1793" t="n">
        <v>1</v>
      </c>
      <c r="K1793" t="n">
        <v>1</v>
      </c>
      <c r="L1793" s="34">
        <f>IF($J1793=1,LN(B1794/B1793),"")</f>
        <v/>
      </c>
      <c r="M1793" s="34">
        <f>IF($K1793=1,INDEX(Mensal!$D$2:$D$245,MATCH($I1793,Mensal!$A$2:$A$245,0)),"")</f>
        <v/>
      </c>
      <c r="N1793" s="34">
        <f>IF($K1793=1,L1793-M1793,"")</f>
        <v/>
      </c>
      <c r="O1793" s="34" t="n">
        <v>0.00029514</v>
      </c>
      <c r="P1793" s="34">
        <f>IF($J1793=1,LN(1+O1793),"")</f>
        <v/>
      </c>
      <c r="Q1793" s="34">
        <f>IF($J1793=1,LN(R1794/R1793),"")</f>
        <v/>
      </c>
      <c r="R1793" s="32" t="n">
        <v>2.2697</v>
      </c>
      <c r="S1793" s="35" t="n">
        <v>9.144</v>
      </c>
      <c r="T1793" s="18" t="n"/>
      <c r="U1793" s="18" t="n"/>
      <c r="V1793" s="18" t="n"/>
      <c r="W1793" s="18" t="n">
        <v>45483</v>
      </c>
      <c r="X1793" s="35" t="n">
        <v>9.144</v>
      </c>
      <c r="Y1793" s="35" t="n"/>
    </row>
    <row r="1794">
      <c r="A1794" s="25" t="n">
        <v>41466</v>
      </c>
      <c r="B1794" s="18" t="n">
        <v>46626</v>
      </c>
      <c r="C1794" s="31" t="n"/>
      <c r="D1794" s="32" t="n"/>
      <c r="E1794" s="33" t="n">
        <v>-2.1504</v>
      </c>
      <c r="F1794" t="inlineStr">
        <is>
          <t>Down</t>
        </is>
      </c>
      <c r="G1794" t="inlineStr">
        <is>
          <t>Up</t>
        </is>
      </c>
      <c r="H1794" t="inlineStr">
        <is>
          <t>ED_JU</t>
        </is>
      </c>
      <c r="I1794" t="inlineStr">
        <is>
          <t>2013-07</t>
        </is>
      </c>
      <c r="J1794" t="n">
        <v>1</v>
      </c>
      <c r="K1794" t="n">
        <v>1</v>
      </c>
      <c r="L1794" s="34">
        <f>IF($J1794=1,LN(B1795/B1794),"")</f>
        <v/>
      </c>
      <c r="M1794" s="34">
        <f>IF($K1794=1,INDEX(Mensal!$D$2:$D$245,MATCH($I1794,Mensal!$A$2:$A$245,0)),"")</f>
        <v/>
      </c>
      <c r="N1794" s="34">
        <f>IF($K1794=1,L1794-M1794,"")</f>
        <v/>
      </c>
      <c r="O1794" s="34" t="n">
        <v>0.00031353</v>
      </c>
      <c r="P1794" s="34">
        <f>IF($J1794=1,LN(1+O1794),"")</f>
        <v/>
      </c>
      <c r="Q1794" s="34">
        <f>IF($J1794=1,LN(R1795/R1794),"")</f>
        <v/>
      </c>
      <c r="R1794" s="32" t="n">
        <v>2.2672</v>
      </c>
      <c r="S1794" s="35" t="n">
        <v>9.207000000000001</v>
      </c>
      <c r="T1794" s="18" t="n"/>
      <c r="U1794" s="18" t="n"/>
      <c r="V1794" s="18" t="n"/>
      <c r="W1794" s="18" t="n">
        <v>46626</v>
      </c>
      <c r="X1794" s="35" t="n">
        <v>9.207000000000001</v>
      </c>
      <c r="Y1794" s="35" t="n"/>
    </row>
    <row r="1795">
      <c r="A1795" s="25" t="n">
        <v>41467</v>
      </c>
      <c r="B1795" s="18" t="n">
        <v>45533</v>
      </c>
      <c r="C1795" s="31" t="n"/>
      <c r="D1795" s="32" t="n"/>
      <c r="E1795" s="33" t="n">
        <v>-2.212</v>
      </c>
      <c r="F1795" t="inlineStr">
        <is>
          <t>Down</t>
        </is>
      </c>
      <c r="G1795" t="inlineStr">
        <is>
          <t>Up</t>
        </is>
      </c>
      <c r="H1795" t="inlineStr">
        <is>
          <t>ED_JU</t>
        </is>
      </c>
      <c r="I1795" t="inlineStr">
        <is>
          <t>2013-07</t>
        </is>
      </c>
      <c r="J1795" t="n">
        <v>1</v>
      </c>
      <c r="K1795" t="n">
        <v>1</v>
      </c>
      <c r="L1795" s="34">
        <f>IF($J1795=1,LN(B1796/B1795),"")</f>
        <v/>
      </c>
      <c r="M1795" s="34">
        <f>IF($K1795=1,INDEX(Mensal!$D$2:$D$245,MATCH($I1795,Mensal!$A$2:$A$245,0)),"")</f>
        <v/>
      </c>
      <c r="N1795" s="34">
        <f>IF($K1795=1,L1795-M1795,"")</f>
        <v/>
      </c>
      <c r="O1795" s="34" t="n">
        <v>0.00031353</v>
      </c>
      <c r="P1795" s="34">
        <f>IF($J1795=1,LN(1+O1795),"")</f>
        <v/>
      </c>
      <c r="Q1795" s="34">
        <f>IF($J1795=1,LN(R1796/R1795),"")</f>
        <v/>
      </c>
      <c r="R1795" s="32" t="n">
        <v>2.267</v>
      </c>
      <c r="S1795" s="35" t="n">
        <v>9.244999999999999</v>
      </c>
      <c r="T1795" s="18" t="n"/>
      <c r="U1795" s="18" t="n"/>
      <c r="V1795" s="18" t="n"/>
      <c r="W1795" s="18" t="n">
        <v>45533</v>
      </c>
      <c r="X1795" s="35" t="n">
        <v>9.244999999999999</v>
      </c>
      <c r="Y1795" s="35" t="n"/>
    </row>
    <row r="1796">
      <c r="A1796" s="25" t="n">
        <v>41470</v>
      </c>
      <c r="B1796" s="18" t="n">
        <v>46738</v>
      </c>
      <c r="C1796" s="31" t="n"/>
      <c r="D1796" s="32" t="n"/>
      <c r="E1796" s="33" t="n">
        <v>-2.274</v>
      </c>
      <c r="F1796" t="inlineStr">
        <is>
          <t>Down</t>
        </is>
      </c>
      <c r="G1796" t="inlineStr">
        <is>
          <t>Up</t>
        </is>
      </c>
      <c r="H1796" t="inlineStr">
        <is>
          <t>ED_JU</t>
        </is>
      </c>
      <c r="I1796" t="inlineStr">
        <is>
          <t>2013-07</t>
        </is>
      </c>
      <c r="J1796" t="n">
        <v>1</v>
      </c>
      <c r="K1796" t="n">
        <v>1</v>
      </c>
      <c r="L1796" s="34">
        <f>IF($J1796=1,LN(B1797/B1796),"")</f>
        <v/>
      </c>
      <c r="M1796" s="34">
        <f>IF($K1796=1,INDEX(Mensal!$D$2:$D$245,MATCH($I1796,Mensal!$A$2:$A$245,0)),"")</f>
        <v/>
      </c>
      <c r="N1796" s="34">
        <f>IF($K1796=1,L1796-M1796,"")</f>
        <v/>
      </c>
      <c r="O1796" s="34" t="n">
        <v>0.00031353</v>
      </c>
      <c r="P1796" s="34">
        <f>IF($J1796=1,LN(1+O1796),"")</f>
        <v/>
      </c>
      <c r="Q1796" s="34">
        <f>IF($J1796=1,LN(R1797/R1796),"")</f>
        <v/>
      </c>
      <c r="R1796" s="32" t="n">
        <v>2.2548</v>
      </c>
      <c r="S1796" s="35" t="n">
        <v>9.205</v>
      </c>
      <c r="T1796" s="18" t="n"/>
      <c r="U1796" s="18" t="n"/>
      <c r="V1796" s="18" t="n"/>
      <c r="W1796" s="18" t="n">
        <v>46738</v>
      </c>
      <c r="X1796" s="35" t="n">
        <v>9.205</v>
      </c>
      <c r="Y1796" s="35" t="n"/>
    </row>
    <row r="1797">
      <c r="A1797" s="25" t="n">
        <v>41471</v>
      </c>
      <c r="B1797" s="18" t="n">
        <v>46869</v>
      </c>
      <c r="C1797" s="31" t="n"/>
      <c r="D1797" s="32" t="n"/>
      <c r="E1797" s="33" t="n">
        <v>-2.3297</v>
      </c>
      <c r="F1797" t="inlineStr">
        <is>
          <t>Down</t>
        </is>
      </c>
      <c r="G1797" t="inlineStr">
        <is>
          <t>Up</t>
        </is>
      </c>
      <c r="H1797" t="inlineStr">
        <is>
          <t>ED_JU</t>
        </is>
      </c>
      <c r="I1797" t="inlineStr">
        <is>
          <t>2013-07</t>
        </is>
      </c>
      <c r="J1797" t="n">
        <v>1</v>
      </c>
      <c r="K1797" t="n">
        <v>1</v>
      </c>
      <c r="L1797" s="34">
        <f>IF($J1797=1,LN(B1798/B1797),"")</f>
        <v/>
      </c>
      <c r="M1797" s="34">
        <f>IF($K1797=1,INDEX(Mensal!$D$2:$D$245,MATCH($I1797,Mensal!$A$2:$A$245,0)),"")</f>
        <v/>
      </c>
      <c r="N1797" s="34">
        <f>IF($K1797=1,L1797-M1797,"")</f>
        <v/>
      </c>
      <c r="O1797" s="34" t="n">
        <v>0.00031353</v>
      </c>
      <c r="P1797" s="34">
        <f>IF($J1797=1,LN(1+O1797),"")</f>
        <v/>
      </c>
      <c r="Q1797" s="34">
        <f>IF($J1797=1,LN(R1798/R1797),"")</f>
        <v/>
      </c>
      <c r="R1797" s="32" t="n">
        <v>2.2353</v>
      </c>
      <c r="S1797" s="35" t="n">
        <v>9.145</v>
      </c>
      <c r="T1797" s="18" t="n"/>
      <c r="U1797" s="18" t="n"/>
      <c r="V1797" s="18" t="n"/>
      <c r="W1797" s="18" t="n">
        <v>46869</v>
      </c>
      <c r="X1797" s="35" t="n">
        <v>9.145</v>
      </c>
      <c r="Y1797" s="35" t="n"/>
    </row>
    <row r="1798">
      <c r="A1798" s="25" t="n">
        <v>41472</v>
      </c>
      <c r="B1798" s="18" t="n">
        <v>47407</v>
      </c>
      <c r="C1798" s="31" t="n"/>
      <c r="D1798" s="32" t="n"/>
      <c r="E1798" s="33" t="n">
        <v>-2.3744</v>
      </c>
      <c r="F1798" t="inlineStr">
        <is>
          <t>Down</t>
        </is>
      </c>
      <c r="G1798" t="inlineStr">
        <is>
          <t>Up</t>
        </is>
      </c>
      <c r="H1798" t="inlineStr">
        <is>
          <t>ED_JU</t>
        </is>
      </c>
      <c r="I1798" t="inlineStr">
        <is>
          <t>2013-07</t>
        </is>
      </c>
      <c r="J1798" t="n">
        <v>1</v>
      </c>
      <c r="K1798" t="n">
        <v>1</v>
      </c>
      <c r="L1798" s="34">
        <f>IF($J1798=1,LN(B1799/B1798),"")</f>
        <v/>
      </c>
      <c r="M1798" s="34">
        <f>IF($K1798=1,INDEX(Mensal!$D$2:$D$245,MATCH($I1798,Mensal!$A$2:$A$245,0)),"")</f>
        <v/>
      </c>
      <c r="N1798" s="34">
        <f>IF($K1798=1,L1798-M1798,"")</f>
        <v/>
      </c>
      <c r="O1798" s="34" t="n">
        <v>0.00031353</v>
      </c>
      <c r="P1798" s="34">
        <f>IF($J1798=1,LN(1+O1798),"")</f>
        <v/>
      </c>
      <c r="Q1798" s="34">
        <f>IF($J1798=1,LN(R1799/R1798),"")</f>
        <v/>
      </c>
      <c r="R1798" s="32" t="n">
        <v>2.2372</v>
      </c>
      <c r="S1798" s="35" t="n">
        <v>9.093</v>
      </c>
      <c r="T1798" s="18" t="n"/>
      <c r="U1798" s="18" t="n"/>
      <c r="V1798" s="18" t="n"/>
      <c r="W1798" s="18" t="n">
        <v>47407</v>
      </c>
      <c r="X1798" s="35" t="n">
        <v>9.093</v>
      </c>
      <c r="Y1798" s="35" t="n"/>
    </row>
    <row r="1799">
      <c r="A1799" s="25" t="n">
        <v>41473</v>
      </c>
      <c r="B1799" s="18" t="n">
        <v>47656</v>
      </c>
      <c r="C1799" s="31" t="n"/>
      <c r="D1799" s="32" t="n"/>
      <c r="E1799" s="33" t="n">
        <v>-2.4065</v>
      </c>
      <c r="F1799" t="inlineStr">
        <is>
          <t>Down</t>
        </is>
      </c>
      <c r="G1799" t="inlineStr">
        <is>
          <t>Up</t>
        </is>
      </c>
      <c r="H1799" t="inlineStr">
        <is>
          <t>ED_JU</t>
        </is>
      </c>
      <c r="I1799" t="inlineStr">
        <is>
          <t>2013-07</t>
        </is>
      </c>
      <c r="J1799" t="n">
        <v>1</v>
      </c>
      <c r="K1799" t="n">
        <v>1</v>
      </c>
      <c r="L1799" s="34">
        <f>IF($J1799=1,LN(B1800/B1799),"")</f>
        <v/>
      </c>
      <c r="M1799" s="34">
        <f>IF($K1799=1,INDEX(Mensal!$D$2:$D$245,MATCH($I1799,Mensal!$A$2:$A$245,0)),"")</f>
        <v/>
      </c>
      <c r="N1799" s="34">
        <f>IF($K1799=1,L1799-M1799,"")</f>
        <v/>
      </c>
      <c r="O1799" s="34" t="n">
        <v>0.00031353</v>
      </c>
      <c r="P1799" s="34">
        <f>IF($J1799=1,LN(1+O1799),"")</f>
        <v/>
      </c>
      <c r="Q1799" s="34">
        <f>IF($J1799=1,LN(R1800/R1799),"")</f>
        <v/>
      </c>
      <c r="R1799" s="32" t="n">
        <v>2.2297</v>
      </c>
      <c r="S1799" s="35" t="n">
        <v>9.073</v>
      </c>
      <c r="T1799" s="18" t="n"/>
      <c r="U1799" s="18" t="n"/>
      <c r="V1799" s="18" t="n"/>
      <c r="W1799" s="18" t="n">
        <v>47656</v>
      </c>
      <c r="X1799" s="35" t="n">
        <v>9.073</v>
      </c>
      <c r="Y1799" s="35" t="n"/>
    </row>
    <row r="1800">
      <c r="A1800" s="25" t="n">
        <v>41474</v>
      </c>
      <c r="B1800" s="18" t="n">
        <v>47400</v>
      </c>
      <c r="C1800" s="31" t="n"/>
      <c r="D1800" s="32" t="n"/>
      <c r="E1800" s="33" t="n">
        <v>-2.4308</v>
      </c>
      <c r="F1800" t="inlineStr">
        <is>
          <t>Down</t>
        </is>
      </c>
      <c r="G1800" t="inlineStr">
        <is>
          <t>Up</t>
        </is>
      </c>
      <c r="H1800" t="inlineStr">
        <is>
          <t>ED_JU</t>
        </is>
      </c>
      <c r="I1800" t="inlineStr">
        <is>
          <t>2013-07</t>
        </is>
      </c>
      <c r="J1800" t="n">
        <v>1</v>
      </c>
      <c r="K1800" t="n">
        <v>1</v>
      </c>
      <c r="L1800" s="34">
        <f>IF($J1800=1,LN(B1801/B1800),"")</f>
        <v/>
      </c>
      <c r="M1800" s="34">
        <f>IF($K1800=1,INDEX(Mensal!$D$2:$D$245,MATCH($I1800,Mensal!$A$2:$A$245,0)),"")</f>
        <v/>
      </c>
      <c r="N1800" s="34">
        <f>IF($K1800=1,L1800-M1800,"")</f>
        <v/>
      </c>
      <c r="O1800" s="34" t="n">
        <v>0.00031353</v>
      </c>
      <c r="P1800" s="34">
        <f>IF($J1800=1,LN(1+O1800),"")</f>
        <v/>
      </c>
      <c r="Q1800" s="34">
        <f>IF($J1800=1,LN(R1801/R1800),"")</f>
        <v/>
      </c>
      <c r="R1800" s="32" t="n">
        <v>2.2364</v>
      </c>
      <c r="S1800" s="35" t="n">
        <v>9.073</v>
      </c>
      <c r="T1800" s="18" t="n"/>
      <c r="U1800" s="18" t="n"/>
      <c r="V1800" s="18" t="n"/>
      <c r="W1800" s="18" t="n">
        <v>47400</v>
      </c>
      <c r="X1800" s="35" t="n">
        <v>9.073</v>
      </c>
      <c r="Y1800" s="35" t="n"/>
    </row>
    <row r="1801">
      <c r="A1801" s="25" t="n">
        <v>41477</v>
      </c>
      <c r="B1801" s="18" t="n">
        <v>48574</v>
      </c>
      <c r="C1801" s="31" t="n"/>
      <c r="D1801" s="32" t="n"/>
      <c r="E1801" s="33" t="n">
        <v>-2.419</v>
      </c>
      <c r="F1801" t="inlineStr">
        <is>
          <t>Down</t>
        </is>
      </c>
      <c r="G1801" t="inlineStr">
        <is>
          <t>Up</t>
        </is>
      </c>
      <c r="H1801" t="inlineStr">
        <is>
          <t>ED_JU</t>
        </is>
      </c>
      <c r="I1801" t="inlineStr">
        <is>
          <t>2013-07</t>
        </is>
      </c>
      <c r="J1801" t="n">
        <v>1</v>
      </c>
      <c r="K1801" t="n">
        <v>1</v>
      </c>
      <c r="L1801" s="34">
        <f>IF($J1801=1,LN(B1802/B1801),"")</f>
        <v/>
      </c>
      <c r="M1801" s="34">
        <f>IF($K1801=1,INDEX(Mensal!$D$2:$D$245,MATCH($I1801,Mensal!$A$2:$A$245,0)),"")</f>
        <v/>
      </c>
      <c r="N1801" s="34">
        <f>IF($K1801=1,L1801-M1801,"")</f>
        <v/>
      </c>
      <c r="O1801" s="34" t="n">
        <v>0.00031353</v>
      </c>
      <c r="P1801" s="34">
        <f>IF($J1801=1,LN(1+O1801),"")</f>
        <v/>
      </c>
      <c r="Q1801" s="34">
        <f>IF($J1801=1,LN(R1802/R1801),"")</f>
        <v/>
      </c>
      <c r="R1801" s="32" t="n">
        <v>2.2386</v>
      </c>
      <c r="S1801" s="35" t="n">
        <v>9.071</v>
      </c>
      <c r="T1801" s="18" t="n"/>
      <c r="U1801" s="18" t="n"/>
      <c r="V1801" s="18" t="n"/>
      <c r="W1801" s="18" t="n">
        <v>48574</v>
      </c>
      <c r="X1801" s="35" t="n">
        <v>9.071</v>
      </c>
      <c r="Y1801" s="35" t="n"/>
    </row>
    <row r="1802">
      <c r="A1802" s="25" t="n">
        <v>41478</v>
      </c>
      <c r="B1802" s="18" t="n">
        <v>48819</v>
      </c>
      <c r="C1802" s="31" t="n"/>
      <c r="D1802" s="32" t="n"/>
      <c r="E1802" s="33" t="n">
        <v>-2.3993</v>
      </c>
      <c r="F1802" t="inlineStr">
        <is>
          <t>Down</t>
        </is>
      </c>
      <c r="G1802" t="inlineStr">
        <is>
          <t>Up</t>
        </is>
      </c>
      <c r="H1802" t="inlineStr">
        <is>
          <t>ED_JU</t>
        </is>
      </c>
      <c r="I1802" t="inlineStr">
        <is>
          <t>2013-07</t>
        </is>
      </c>
      <c r="J1802" t="n">
        <v>1</v>
      </c>
      <c r="K1802" t="n">
        <v>1</v>
      </c>
      <c r="L1802" s="34">
        <f>IF($J1802=1,LN(B1803/B1802),"")</f>
        <v/>
      </c>
      <c r="M1802" s="34">
        <f>IF($K1802=1,INDEX(Mensal!$D$2:$D$245,MATCH($I1802,Mensal!$A$2:$A$245,0)),"")</f>
        <v/>
      </c>
      <c r="N1802" s="34">
        <f>IF($K1802=1,L1802-M1802,"")</f>
        <v/>
      </c>
      <c r="O1802" s="34" t="n">
        <v>0.00031353</v>
      </c>
      <c r="P1802" s="34">
        <f>IF($J1802=1,LN(1+O1802),"")</f>
        <v/>
      </c>
      <c r="Q1802" s="34">
        <f>IF($J1802=1,LN(R1803/R1802),"")</f>
        <v/>
      </c>
      <c r="R1802" s="32" t="n">
        <v>2.2267</v>
      </c>
      <c r="S1802" s="35" t="n">
        <v>9.031000000000001</v>
      </c>
      <c r="T1802" s="18" t="n"/>
      <c r="U1802" s="18" t="n"/>
      <c r="V1802" s="18" t="n"/>
      <c r="W1802" s="18" t="n">
        <v>48819</v>
      </c>
      <c r="X1802" s="35" t="n">
        <v>9.031000000000001</v>
      </c>
      <c r="Y1802" s="35" t="n"/>
    </row>
    <row r="1803">
      <c r="A1803" s="25" t="n">
        <v>41479</v>
      </c>
      <c r="B1803" s="18" t="n">
        <v>48374</v>
      </c>
      <c r="C1803" s="31" t="n"/>
      <c r="D1803" s="32" t="n"/>
      <c r="E1803" s="33" t="n">
        <v>-2.379</v>
      </c>
      <c r="F1803" t="inlineStr">
        <is>
          <t>Down</t>
        </is>
      </c>
      <c r="G1803" t="inlineStr">
        <is>
          <t>Up</t>
        </is>
      </c>
      <c r="H1803" t="inlineStr">
        <is>
          <t>ED_JU</t>
        </is>
      </c>
      <c r="I1803" t="inlineStr">
        <is>
          <t>2013-07</t>
        </is>
      </c>
      <c r="J1803" t="n">
        <v>1</v>
      </c>
      <c r="K1803" t="n">
        <v>1</v>
      </c>
      <c r="L1803" s="34">
        <f>IF($J1803=1,LN(B1804/B1803),"")</f>
        <v/>
      </c>
      <c r="M1803" s="34">
        <f>IF($K1803=1,INDEX(Mensal!$D$2:$D$245,MATCH($I1803,Mensal!$A$2:$A$245,0)),"")</f>
        <v/>
      </c>
      <c r="N1803" s="34">
        <f>IF($K1803=1,L1803-M1803,"")</f>
        <v/>
      </c>
      <c r="O1803" s="34" t="n">
        <v>0.00031353</v>
      </c>
      <c r="P1803" s="34">
        <f>IF($J1803=1,LN(1+O1803),"")</f>
        <v/>
      </c>
      <c r="Q1803" s="34">
        <f>IF($J1803=1,LN(R1804/R1803),"")</f>
        <v/>
      </c>
      <c r="R1803" s="32" t="n">
        <v>2.2348</v>
      </c>
      <c r="S1803" s="35" t="n">
        <v>9.076000000000001</v>
      </c>
      <c r="T1803" s="18" t="n"/>
      <c r="U1803" s="18" t="n"/>
      <c r="V1803" s="18" t="n"/>
      <c r="W1803" s="18" t="n">
        <v>48374</v>
      </c>
      <c r="X1803" s="35" t="n">
        <v>9.076000000000001</v>
      </c>
      <c r="Y1803" s="35" t="n"/>
    </row>
    <row r="1804">
      <c r="A1804" s="25" t="n">
        <v>41480</v>
      </c>
      <c r="B1804" s="18" t="n">
        <v>49066</v>
      </c>
      <c r="C1804" s="31" t="n"/>
      <c r="D1804" s="32" t="n"/>
      <c r="E1804" s="33" t="n">
        <v>-2.3494</v>
      </c>
      <c r="F1804" t="inlineStr">
        <is>
          <t>Down</t>
        </is>
      </c>
      <c r="G1804" t="inlineStr">
        <is>
          <t>Up</t>
        </is>
      </c>
      <c r="H1804" t="inlineStr">
        <is>
          <t>ED_JU</t>
        </is>
      </c>
      <c r="I1804" t="inlineStr">
        <is>
          <t>2013-07</t>
        </is>
      </c>
      <c r="J1804" t="n">
        <v>1</v>
      </c>
      <c r="K1804" t="n">
        <v>1</v>
      </c>
      <c r="L1804" s="34">
        <f>IF($J1804=1,LN(B1805/B1804),"")</f>
        <v/>
      </c>
      <c r="M1804" s="34">
        <f>IF($K1804=1,INDEX(Mensal!$D$2:$D$245,MATCH($I1804,Mensal!$A$2:$A$245,0)),"")</f>
        <v/>
      </c>
      <c r="N1804" s="34">
        <f>IF($K1804=1,L1804-M1804,"")</f>
        <v/>
      </c>
      <c r="O1804" s="34" t="n">
        <v>0.00031353</v>
      </c>
      <c r="P1804" s="34">
        <f>IF($J1804=1,LN(1+O1804),"")</f>
        <v/>
      </c>
      <c r="Q1804" s="34">
        <f>IF($J1804=1,LN(R1805/R1804),"")</f>
        <v/>
      </c>
      <c r="R1804" s="32" t="n">
        <v>2.2497</v>
      </c>
      <c r="S1804" s="35" t="n">
        <v>9.081</v>
      </c>
      <c r="T1804" s="18" t="n"/>
      <c r="U1804" s="18" t="n"/>
      <c r="V1804" s="18" t="n"/>
      <c r="W1804" s="18" t="n">
        <v>49066</v>
      </c>
      <c r="X1804" s="35" t="n">
        <v>9.081</v>
      </c>
      <c r="Y1804" s="35" t="n"/>
    </row>
    <row r="1805">
      <c r="A1805" s="25" t="n">
        <v>41481</v>
      </c>
      <c r="B1805" s="18" t="n">
        <v>49422</v>
      </c>
      <c r="C1805" s="31" t="n"/>
      <c r="D1805" s="32" t="n"/>
      <c r="E1805" s="33" t="n">
        <v>-2.3075</v>
      </c>
      <c r="F1805" t="inlineStr">
        <is>
          <t>Down</t>
        </is>
      </c>
      <c r="G1805" t="inlineStr">
        <is>
          <t>Up</t>
        </is>
      </c>
      <c r="H1805" t="inlineStr">
        <is>
          <t>ED_JU</t>
        </is>
      </c>
      <c r="I1805" t="inlineStr">
        <is>
          <t>2013-07</t>
        </is>
      </c>
      <c r="J1805" t="n">
        <v>1</v>
      </c>
      <c r="K1805" t="n">
        <v>1</v>
      </c>
      <c r="L1805" s="34">
        <f>IF($J1805=1,LN(B1806/B1805),"")</f>
        <v/>
      </c>
      <c r="M1805" s="34">
        <f>IF($K1805=1,INDEX(Mensal!$D$2:$D$245,MATCH($I1805,Mensal!$A$2:$A$245,0)),"")</f>
        <v/>
      </c>
      <c r="N1805" s="34">
        <f>IF($K1805=1,L1805-M1805,"")</f>
        <v/>
      </c>
      <c r="O1805" s="34" t="n">
        <v>0.00031353</v>
      </c>
      <c r="P1805" s="34">
        <f>IF($J1805=1,LN(1+O1805),"")</f>
        <v/>
      </c>
      <c r="Q1805" s="34">
        <f>IF($J1805=1,LN(R1806/R1805),"")</f>
        <v/>
      </c>
      <c r="R1805" s="32" t="n">
        <v>2.2488</v>
      </c>
      <c r="S1805" s="35" t="n">
        <v>9.125999999999999</v>
      </c>
      <c r="T1805" s="18" t="n"/>
      <c r="U1805" s="18" t="n"/>
      <c r="V1805" s="18" t="n"/>
      <c r="W1805" s="18" t="n">
        <v>49422</v>
      </c>
      <c r="X1805" s="35" t="n">
        <v>9.125999999999999</v>
      </c>
      <c r="Y1805" s="35" t="n"/>
    </row>
    <row r="1806">
      <c r="A1806" s="25" t="n">
        <v>41484</v>
      </c>
      <c r="B1806" s="18" t="n">
        <v>49212</v>
      </c>
      <c r="C1806" s="31" t="n"/>
      <c r="D1806" s="32" t="n"/>
      <c r="E1806" s="33" t="n">
        <v>-2.2623</v>
      </c>
      <c r="F1806" t="inlineStr">
        <is>
          <t>Down</t>
        </is>
      </c>
      <c r="G1806" t="inlineStr">
        <is>
          <t>Up</t>
        </is>
      </c>
      <c r="H1806" t="inlineStr">
        <is>
          <t>ED_JU</t>
        </is>
      </c>
      <c r="I1806" t="inlineStr">
        <is>
          <t>2013-07</t>
        </is>
      </c>
      <c r="J1806" t="n">
        <v>1</v>
      </c>
      <c r="K1806" t="n">
        <v>1</v>
      </c>
      <c r="L1806" s="34">
        <f>IF($J1806=1,LN(B1807/B1806),"")</f>
        <v/>
      </c>
      <c r="M1806" s="34">
        <f>IF($K1806=1,INDEX(Mensal!$D$2:$D$245,MATCH($I1806,Mensal!$A$2:$A$245,0)),"")</f>
        <v/>
      </c>
      <c r="N1806" s="34">
        <f>IF($K1806=1,L1806-M1806,"")</f>
        <v/>
      </c>
      <c r="O1806" s="34" t="n">
        <v>0.00031353</v>
      </c>
      <c r="P1806" s="34">
        <f>IF($J1806=1,LN(1+O1806),"")</f>
        <v/>
      </c>
      <c r="Q1806" s="34">
        <f>IF($J1806=1,LN(R1807/R1806),"")</f>
        <v/>
      </c>
      <c r="R1806" s="32" t="n">
        <v>2.2609</v>
      </c>
      <c r="S1806" s="35" t="n">
        <v>9.189</v>
      </c>
      <c r="T1806" s="18" t="n"/>
      <c r="U1806" s="18" t="n"/>
      <c r="V1806" s="18" t="n"/>
      <c r="W1806" s="18" t="n">
        <v>49212</v>
      </c>
      <c r="X1806" s="35" t="n">
        <v>9.189</v>
      </c>
      <c r="Y1806" s="35" t="n"/>
    </row>
    <row r="1807">
      <c r="A1807" s="25" t="n">
        <v>41485</v>
      </c>
      <c r="B1807" s="18" t="n">
        <v>48561</v>
      </c>
      <c r="C1807" s="31" t="n"/>
      <c r="D1807" s="32" t="n"/>
      <c r="E1807" s="33" t="n">
        <v>-2.1978</v>
      </c>
      <c r="F1807" t="inlineStr">
        <is>
          <t>Down</t>
        </is>
      </c>
      <c r="G1807" t="inlineStr">
        <is>
          <t>Up</t>
        </is>
      </c>
      <c r="H1807" t="inlineStr">
        <is>
          <t>ED_JU</t>
        </is>
      </c>
      <c r="I1807" t="inlineStr">
        <is>
          <t>2013-07</t>
        </is>
      </c>
      <c r="J1807" t="n">
        <v>1</v>
      </c>
      <c r="K1807" t="n">
        <v>1</v>
      </c>
      <c r="L1807" s="34">
        <f>IF($J1807=1,LN(B1808/B1807),"")</f>
        <v/>
      </c>
      <c r="M1807" s="34">
        <f>IF($K1807=1,INDEX(Mensal!$D$2:$D$245,MATCH($I1807,Mensal!$A$2:$A$245,0)),"")</f>
        <v/>
      </c>
      <c r="N1807" s="34">
        <f>IF($K1807=1,L1807-M1807,"")</f>
        <v/>
      </c>
      <c r="O1807" s="34" t="n">
        <v>0.00031353</v>
      </c>
      <c r="P1807" s="34">
        <f>IF($J1807=1,LN(1+O1807),"")</f>
        <v/>
      </c>
      <c r="Q1807" s="34">
        <f>IF($J1807=1,LN(R1808/R1807),"")</f>
        <v/>
      </c>
      <c r="R1807" s="32" t="n">
        <v>2.2734</v>
      </c>
      <c r="S1807" s="35" t="n">
        <v>9.269</v>
      </c>
      <c r="T1807" s="18" t="n"/>
      <c r="U1807" s="18" t="n"/>
      <c r="V1807" s="18" t="n"/>
      <c r="W1807" s="18" t="n">
        <v>48561</v>
      </c>
      <c r="X1807" s="35" t="n">
        <v>9.269</v>
      </c>
      <c r="Y1807" s="35" t="n"/>
    </row>
    <row r="1808">
      <c r="A1808" s="25" t="n">
        <v>41486</v>
      </c>
      <c r="B1808" s="18" t="n">
        <v>48234</v>
      </c>
      <c r="C1808" s="31" t="n"/>
      <c r="D1808" s="32" t="n"/>
      <c r="E1808" s="33" t="n">
        <v>-2.1217</v>
      </c>
      <c r="F1808" t="inlineStr">
        <is>
          <t>Down</t>
        </is>
      </c>
      <c r="G1808" t="inlineStr">
        <is>
          <t>Up</t>
        </is>
      </c>
      <c r="H1808" t="inlineStr">
        <is>
          <t>ED_JU</t>
        </is>
      </c>
      <c r="I1808" t="inlineStr">
        <is>
          <t>2013-07</t>
        </is>
      </c>
      <c r="J1808" t="n">
        <v>1</v>
      </c>
      <c r="K1808" t="n">
        <v>1</v>
      </c>
      <c r="L1808" s="34">
        <f>IF($J1808=1,LN(B1809/B1808),"")</f>
        <v/>
      </c>
      <c r="M1808" s="34">
        <f>IF($K1808=1,INDEX(Mensal!$D$2:$D$245,MATCH($I1808,Mensal!$A$2:$A$245,0)),"")</f>
        <v/>
      </c>
      <c r="N1808" s="34">
        <f>IF($K1808=1,L1808-M1808,"")</f>
        <v/>
      </c>
      <c r="O1808" s="34" t="n">
        <v>0.00031353</v>
      </c>
      <c r="P1808" s="34">
        <f>IF($J1808=1,LN(1+O1808),"")</f>
        <v/>
      </c>
      <c r="Q1808" s="34">
        <f>IF($J1808=1,LN(R1809/R1808),"")</f>
        <v/>
      </c>
      <c r="R1808" s="32" t="n">
        <v>2.2903</v>
      </c>
      <c r="S1808" s="35" t="n">
        <v>9.288</v>
      </c>
      <c r="T1808" s="18" t="n"/>
      <c r="U1808" s="18" t="n"/>
      <c r="V1808" s="18" t="n"/>
      <c r="W1808" s="18" t="n">
        <v>48234</v>
      </c>
      <c r="X1808" s="35" t="n">
        <v>9.288</v>
      </c>
      <c r="Y1808" s="35" t="n"/>
    </row>
    <row r="1809">
      <c r="A1809" s="25" t="n">
        <v>41487</v>
      </c>
      <c r="B1809" s="18" t="n">
        <v>49140</v>
      </c>
      <c r="C1809" s="31" t="n"/>
      <c r="D1809" s="32" t="n"/>
      <c r="E1809" s="33" t="n">
        <v>-2.0136</v>
      </c>
      <c r="F1809" t="inlineStr">
        <is>
          <t>Down</t>
        </is>
      </c>
      <c r="G1809" t="inlineStr">
        <is>
          <t>Up</t>
        </is>
      </c>
      <c r="H1809" t="inlineStr">
        <is>
          <t>ED_JU</t>
        </is>
      </c>
      <c r="I1809" t="inlineStr">
        <is>
          <t>2013-08</t>
        </is>
      </c>
      <c r="J1809" t="n">
        <v>1</v>
      </c>
      <c r="K1809" t="n">
        <v>1</v>
      </c>
      <c r="L1809" s="34">
        <f>IF($J1809=1,LN(B1810/B1809),"")</f>
        <v/>
      </c>
      <c r="M1809" s="34">
        <f>IF($K1809=1,INDEX(Mensal!$D$2:$D$245,MATCH($I1809,Mensal!$A$2:$A$245,0)),"")</f>
        <v/>
      </c>
      <c r="N1809" s="34">
        <f>IF($K1809=1,L1809-M1809,"")</f>
        <v/>
      </c>
      <c r="O1809" s="34" t="n">
        <v>0.00031389</v>
      </c>
      <c r="P1809" s="34">
        <f>IF($J1809=1,LN(1+O1809),"")</f>
        <v/>
      </c>
      <c r="Q1809" s="34">
        <f>IF($J1809=1,LN(R1810/R1809),"")</f>
        <v/>
      </c>
      <c r="R1809" s="32" t="n">
        <v>2.2914</v>
      </c>
      <c r="S1809" s="35" t="n">
        <v>9.468</v>
      </c>
      <c r="T1809" s="18" t="n"/>
      <c r="U1809" s="18" t="n"/>
      <c r="V1809" s="18" t="n"/>
      <c r="W1809" s="18" t="n">
        <v>49140</v>
      </c>
      <c r="X1809" s="35" t="n">
        <v>9.468</v>
      </c>
      <c r="Y1809" s="35" t="n"/>
    </row>
    <row r="1810">
      <c r="A1810" s="25" t="n">
        <v>41488</v>
      </c>
      <c r="B1810" s="18" t="n">
        <v>48474</v>
      </c>
      <c r="C1810" s="31" t="n"/>
      <c r="D1810" s="32" t="n"/>
      <c r="E1810" s="33" t="n">
        <v>-1.9054</v>
      </c>
      <c r="F1810" t="inlineStr">
        <is>
          <t>Down</t>
        </is>
      </c>
      <c r="G1810" t="inlineStr">
        <is>
          <t>Up</t>
        </is>
      </c>
      <c r="H1810" t="inlineStr">
        <is>
          <t>ED_JU</t>
        </is>
      </c>
      <c r="I1810" t="inlineStr">
        <is>
          <t>2013-08</t>
        </is>
      </c>
      <c r="J1810" t="n">
        <v>1</v>
      </c>
      <c r="K1810" t="n">
        <v>1</v>
      </c>
      <c r="L1810" s="34">
        <f>IF($J1810=1,LN(B1811/B1810),"")</f>
        <v/>
      </c>
      <c r="M1810" s="34">
        <f>IF($K1810=1,INDEX(Mensal!$D$2:$D$245,MATCH($I1810,Mensal!$A$2:$A$245,0)),"")</f>
        <v/>
      </c>
      <c r="N1810" s="34">
        <f>IF($K1810=1,L1810-M1810,"")</f>
        <v/>
      </c>
      <c r="O1810" s="34" t="n">
        <v>0.00031389</v>
      </c>
      <c r="P1810" s="34">
        <f>IF($J1810=1,LN(1+O1810),"")</f>
        <v/>
      </c>
      <c r="Q1810" s="34">
        <f>IF($J1810=1,LN(R1811/R1810),"")</f>
        <v/>
      </c>
      <c r="R1810" s="32" t="n">
        <v>2.2933</v>
      </c>
      <c r="S1810" s="35" t="n">
        <v>9.395</v>
      </c>
      <c r="T1810" s="18" t="n"/>
      <c r="U1810" s="18" t="n"/>
      <c r="V1810" s="18" t="n"/>
      <c r="W1810" s="18" t="n">
        <v>48474</v>
      </c>
      <c r="X1810" s="35" t="n">
        <v>9.395</v>
      </c>
      <c r="Y1810" s="35" t="n"/>
    </row>
    <row r="1811">
      <c r="A1811" s="25" t="n">
        <v>41491</v>
      </c>
      <c r="B1811" s="18" t="n">
        <v>48436</v>
      </c>
      <c r="C1811" s="31" t="n"/>
      <c r="D1811" s="32" t="n"/>
      <c r="E1811" s="33" t="n">
        <v>-1.8816</v>
      </c>
      <c r="F1811" t="inlineStr">
        <is>
          <t>Down</t>
        </is>
      </c>
      <c r="G1811" t="inlineStr">
        <is>
          <t>Up</t>
        </is>
      </c>
      <c r="H1811" t="inlineStr">
        <is>
          <t>ED_JU</t>
        </is>
      </c>
      <c r="I1811" t="inlineStr">
        <is>
          <t>2013-08</t>
        </is>
      </c>
      <c r="J1811" t="n">
        <v>1</v>
      </c>
      <c r="K1811" t="n">
        <v>1</v>
      </c>
      <c r="L1811" s="34">
        <f>IF($J1811=1,LN(B1812/B1811),"")</f>
        <v/>
      </c>
      <c r="M1811" s="34">
        <f>IF($K1811=1,INDEX(Mensal!$D$2:$D$245,MATCH($I1811,Mensal!$A$2:$A$245,0)),"")</f>
        <v/>
      </c>
      <c r="N1811" s="34">
        <f>IF($K1811=1,L1811-M1811,"")</f>
        <v/>
      </c>
      <c r="O1811" s="34" t="n">
        <v>0.00031353</v>
      </c>
      <c r="P1811" s="34">
        <f>IF($J1811=1,LN(1+O1811),"")</f>
        <v/>
      </c>
      <c r="Q1811" s="34">
        <f>IF($J1811=1,LN(R1812/R1811),"")</f>
        <v/>
      </c>
      <c r="R1811" s="32" t="n">
        <v>2.301</v>
      </c>
      <c r="S1811" s="35" t="n">
        <v>9.381</v>
      </c>
      <c r="T1811" s="18" t="n"/>
      <c r="U1811" s="18" t="n"/>
      <c r="V1811" s="18" t="n"/>
      <c r="W1811" s="18" t="n">
        <v>48436</v>
      </c>
      <c r="X1811" s="35" t="n">
        <v>9.381</v>
      </c>
      <c r="Y1811" s="35" t="n"/>
    </row>
    <row r="1812">
      <c r="A1812" s="25" t="n">
        <v>41492</v>
      </c>
      <c r="B1812" s="18" t="n">
        <v>47421</v>
      </c>
      <c r="C1812" s="31" t="n"/>
      <c r="D1812" s="32" t="n"/>
      <c r="E1812" s="33" t="n">
        <v>-1.8539</v>
      </c>
      <c r="F1812" t="inlineStr">
        <is>
          <t>Down</t>
        </is>
      </c>
      <c r="G1812" t="inlineStr">
        <is>
          <t>Up</t>
        </is>
      </c>
      <c r="H1812" t="inlineStr">
        <is>
          <t>ED_JU</t>
        </is>
      </c>
      <c r="I1812" t="inlineStr">
        <is>
          <t>2013-08</t>
        </is>
      </c>
      <c r="J1812" t="n">
        <v>1</v>
      </c>
      <c r="K1812" t="n">
        <v>1</v>
      </c>
      <c r="L1812" s="34">
        <f>IF($J1812=1,LN(B1813/B1812),"")</f>
        <v/>
      </c>
      <c r="M1812" s="34">
        <f>IF($K1812=1,INDEX(Mensal!$D$2:$D$245,MATCH($I1812,Mensal!$A$2:$A$245,0)),"")</f>
        <v/>
      </c>
      <c r="N1812" s="34">
        <f>IF($K1812=1,L1812-M1812,"")</f>
        <v/>
      </c>
      <c r="O1812" s="34" t="n">
        <v>0.00031353</v>
      </c>
      <c r="P1812" s="34">
        <f>IF($J1812=1,LN(1+O1812),"")</f>
        <v/>
      </c>
      <c r="Q1812" s="34">
        <f>IF($J1812=1,LN(R1813/R1812),"")</f>
        <v/>
      </c>
      <c r="R1812" s="32" t="n">
        <v>2.2955</v>
      </c>
      <c r="S1812" s="35" t="n">
        <v>9.419</v>
      </c>
      <c r="T1812" s="18" t="n"/>
      <c r="U1812" s="18" t="n"/>
      <c r="V1812" s="18" t="n"/>
      <c r="W1812" s="18" t="n">
        <v>47421</v>
      </c>
      <c r="X1812" s="35" t="n">
        <v>9.419</v>
      </c>
      <c r="Y1812" s="35" t="n"/>
    </row>
    <row r="1813">
      <c r="A1813" s="25" t="n">
        <v>41493</v>
      </c>
      <c r="B1813" s="18" t="n">
        <v>47447</v>
      </c>
      <c r="C1813" s="31" t="n"/>
      <c r="D1813" s="32" t="n"/>
      <c r="E1813" s="33" t="n">
        <v>-1.8395</v>
      </c>
      <c r="F1813" t="inlineStr">
        <is>
          <t>Down</t>
        </is>
      </c>
      <c r="G1813" t="inlineStr">
        <is>
          <t>Up</t>
        </is>
      </c>
      <c r="H1813" t="inlineStr">
        <is>
          <t>ED_JU</t>
        </is>
      </c>
      <c r="I1813" t="inlineStr">
        <is>
          <t>2013-08</t>
        </is>
      </c>
      <c r="J1813" t="n">
        <v>1</v>
      </c>
      <c r="K1813" t="n">
        <v>1</v>
      </c>
      <c r="L1813" s="34">
        <f>IF($J1813=1,LN(B1814/B1813),"")</f>
        <v/>
      </c>
      <c r="M1813" s="34">
        <f>IF($K1813=1,INDEX(Mensal!$D$2:$D$245,MATCH($I1813,Mensal!$A$2:$A$245,0)),"")</f>
        <v/>
      </c>
      <c r="N1813" s="34">
        <f>IF($K1813=1,L1813-M1813,"")</f>
        <v/>
      </c>
      <c r="O1813" s="34" t="n">
        <v>0.00031353</v>
      </c>
      <c r="P1813" s="34">
        <f>IF($J1813=1,LN(1+O1813),"")</f>
        <v/>
      </c>
      <c r="Q1813" s="34">
        <f>IF($J1813=1,LN(R1814/R1813),"")</f>
        <v/>
      </c>
      <c r="R1813" s="32" t="n">
        <v>2.3028</v>
      </c>
      <c r="S1813" s="35" t="n">
        <v>9.407999999999999</v>
      </c>
      <c r="T1813" s="18" t="n"/>
      <c r="U1813" s="18" t="n"/>
      <c r="V1813" s="18" t="n"/>
      <c r="W1813" s="18" t="n">
        <v>47447</v>
      </c>
      <c r="X1813" s="35" t="n">
        <v>9.407999999999999</v>
      </c>
      <c r="Y1813" s="35" t="n"/>
    </row>
    <row r="1814">
      <c r="A1814" s="25" t="n">
        <v>41494</v>
      </c>
      <c r="B1814" s="18" t="n">
        <v>48928</v>
      </c>
      <c r="C1814" s="31" t="n"/>
      <c r="D1814" s="32" t="n"/>
      <c r="E1814" s="33" t="n">
        <v>-1.832</v>
      </c>
      <c r="F1814" t="inlineStr">
        <is>
          <t>Down</t>
        </is>
      </c>
      <c r="G1814" t="inlineStr">
        <is>
          <t>Up</t>
        </is>
      </c>
      <c r="H1814" t="inlineStr">
        <is>
          <t>ED_JU</t>
        </is>
      </c>
      <c r="I1814" t="inlineStr">
        <is>
          <t>2013-08</t>
        </is>
      </c>
      <c r="J1814" t="n">
        <v>1</v>
      </c>
      <c r="K1814" t="n">
        <v>1</v>
      </c>
      <c r="L1814" s="34">
        <f>IF($J1814=1,LN(B1815/B1814),"")</f>
        <v/>
      </c>
      <c r="M1814" s="34">
        <f>IF($K1814=1,INDEX(Mensal!$D$2:$D$245,MATCH($I1814,Mensal!$A$2:$A$245,0)),"")</f>
        <v/>
      </c>
      <c r="N1814" s="34">
        <f>IF($K1814=1,L1814-M1814,"")</f>
        <v/>
      </c>
      <c r="O1814" s="34" t="n">
        <v>0.00031353</v>
      </c>
      <c r="P1814" s="34">
        <f>IF($J1814=1,LN(1+O1814),"")</f>
        <v/>
      </c>
      <c r="Q1814" s="34">
        <f>IF($J1814=1,LN(R1815/R1814),"")</f>
        <v/>
      </c>
      <c r="R1814" s="32" t="n">
        <v>2.2882</v>
      </c>
      <c r="S1814" s="35" t="n">
        <v>9.362</v>
      </c>
      <c r="T1814" s="18" t="n"/>
      <c r="U1814" s="18" t="n"/>
      <c r="V1814" s="18" t="n"/>
      <c r="W1814" s="18" t="n">
        <v>48928</v>
      </c>
      <c r="X1814" s="35" t="n">
        <v>9.362</v>
      </c>
      <c r="Y1814" s="35" t="n"/>
    </row>
    <row r="1815">
      <c r="A1815" s="25" t="n">
        <v>41495</v>
      </c>
      <c r="B1815" s="18" t="n">
        <v>49874</v>
      </c>
      <c r="C1815" s="31" t="n"/>
      <c r="D1815" s="32" t="n"/>
      <c r="E1815" s="33" t="n">
        <v>-1.8418</v>
      </c>
      <c r="F1815" t="inlineStr">
        <is>
          <t>Down</t>
        </is>
      </c>
      <c r="G1815" t="inlineStr">
        <is>
          <t>Up</t>
        </is>
      </c>
      <c r="H1815" t="inlineStr">
        <is>
          <t>ED_JU</t>
        </is>
      </c>
      <c r="I1815" t="inlineStr">
        <is>
          <t>2013-08</t>
        </is>
      </c>
      <c r="J1815" t="n">
        <v>1</v>
      </c>
      <c r="K1815" t="n">
        <v>1</v>
      </c>
      <c r="L1815" s="34">
        <f>IF($J1815=1,LN(B1816/B1815),"")</f>
        <v/>
      </c>
      <c r="M1815" s="34">
        <f>IF($K1815=1,INDEX(Mensal!$D$2:$D$245,MATCH($I1815,Mensal!$A$2:$A$245,0)),"")</f>
        <v/>
      </c>
      <c r="N1815" s="34">
        <f>IF($K1815=1,L1815-M1815,"")</f>
        <v/>
      </c>
      <c r="O1815" s="34" t="n">
        <v>0.00031353</v>
      </c>
      <c r="P1815" s="34">
        <f>IF($J1815=1,LN(1+O1815),"")</f>
        <v/>
      </c>
      <c r="Q1815" s="34">
        <f>IF($J1815=1,LN(R1816/R1815),"")</f>
        <v/>
      </c>
      <c r="R1815" s="32" t="n">
        <v>2.2748</v>
      </c>
      <c r="S1815" s="35" t="n">
        <v>9.337999999999999</v>
      </c>
      <c r="T1815" s="18" t="n"/>
      <c r="U1815" s="18" t="n"/>
      <c r="V1815" s="18" t="n"/>
      <c r="W1815" s="18" t="n">
        <v>49874</v>
      </c>
      <c r="X1815" s="35" t="n">
        <v>9.337999999999999</v>
      </c>
      <c r="Y1815" s="35" t="n"/>
    </row>
    <row r="1816">
      <c r="A1816" s="25" t="n">
        <v>41498</v>
      </c>
      <c r="B1816" s="18" t="n">
        <v>50299</v>
      </c>
      <c r="C1816" s="31" t="n"/>
      <c r="D1816" s="32" t="n"/>
      <c r="E1816" s="33" t="n">
        <v>-1.8525</v>
      </c>
      <c r="F1816" t="inlineStr">
        <is>
          <t>Down</t>
        </is>
      </c>
      <c r="G1816" t="inlineStr">
        <is>
          <t>Up</t>
        </is>
      </c>
      <c r="H1816" t="inlineStr">
        <is>
          <t>ED_JU</t>
        </is>
      </c>
      <c r="I1816" t="inlineStr">
        <is>
          <t>2013-08</t>
        </is>
      </c>
      <c r="J1816" t="n">
        <v>1</v>
      </c>
      <c r="K1816" t="n">
        <v>1</v>
      </c>
      <c r="L1816" s="34">
        <f>IF($J1816=1,LN(B1817/B1816),"")</f>
        <v/>
      </c>
      <c r="M1816" s="34">
        <f>IF($K1816=1,INDEX(Mensal!$D$2:$D$245,MATCH($I1816,Mensal!$A$2:$A$245,0)),"")</f>
        <v/>
      </c>
      <c r="N1816" s="34">
        <f>IF($K1816=1,L1816-M1816,"")</f>
        <v/>
      </c>
      <c r="O1816" s="34" t="n">
        <v>0.00031353</v>
      </c>
      <c r="P1816" s="34">
        <f>IF($J1816=1,LN(1+O1816),"")</f>
        <v/>
      </c>
      <c r="Q1816" s="34">
        <f>IF($J1816=1,LN(R1817/R1816),"")</f>
        <v/>
      </c>
      <c r="R1816" s="32" t="n">
        <v>2.2722</v>
      </c>
      <c r="S1816" s="35" t="n">
        <v>9.44</v>
      </c>
      <c r="T1816" s="18" t="n"/>
      <c r="U1816" s="18" t="n"/>
      <c r="V1816" s="18" t="n"/>
      <c r="W1816" s="18" t="n">
        <v>50299</v>
      </c>
      <c r="X1816" s="35" t="n">
        <v>9.44</v>
      </c>
      <c r="Y1816" s="35" t="n"/>
    </row>
    <row r="1817">
      <c r="A1817" s="25" t="n">
        <v>41499</v>
      </c>
      <c r="B1817" s="18" t="n">
        <v>50600</v>
      </c>
      <c r="C1817" s="31" t="n"/>
      <c r="D1817" s="32" t="n"/>
      <c r="E1817" s="33" t="n">
        <v>-1.8621</v>
      </c>
      <c r="F1817" t="inlineStr">
        <is>
          <t>Down</t>
        </is>
      </c>
      <c r="G1817" t="inlineStr">
        <is>
          <t>Up</t>
        </is>
      </c>
      <c r="H1817" t="inlineStr">
        <is>
          <t>ED_JU</t>
        </is>
      </c>
      <c r="I1817" t="inlineStr">
        <is>
          <t>2013-08</t>
        </is>
      </c>
      <c r="J1817" t="n">
        <v>1</v>
      </c>
      <c r="K1817" t="n">
        <v>1</v>
      </c>
      <c r="L1817" s="34">
        <f>IF($J1817=1,LN(B1818/B1817),"")</f>
        <v/>
      </c>
      <c r="M1817" s="34">
        <f>IF($K1817=1,INDEX(Mensal!$D$2:$D$245,MATCH($I1817,Mensal!$A$2:$A$245,0)),"")</f>
        <v/>
      </c>
      <c r="N1817" s="34">
        <f>IF($K1817=1,L1817-M1817,"")</f>
        <v/>
      </c>
      <c r="O1817" s="34" t="n">
        <v>0.00031353</v>
      </c>
      <c r="P1817" s="34">
        <f>IF($J1817=1,LN(1+O1817),"")</f>
        <v/>
      </c>
      <c r="Q1817" s="34">
        <f>IF($J1817=1,LN(R1818/R1817),"")</f>
        <v/>
      </c>
      <c r="R1817" s="32" t="n">
        <v>2.3035</v>
      </c>
      <c r="S1817" s="35" t="n">
        <v>9.568</v>
      </c>
      <c r="T1817" s="18" t="n"/>
      <c r="U1817" s="18" t="n"/>
      <c r="V1817" s="18" t="n"/>
      <c r="W1817" s="18" t="n">
        <v>50600</v>
      </c>
      <c r="X1817" s="35" t="n">
        <v>9.568</v>
      </c>
      <c r="Y1817" s="35" t="n"/>
    </row>
    <row r="1818">
      <c r="A1818" s="25" t="n">
        <v>41500</v>
      </c>
      <c r="B1818" s="18" t="n">
        <v>50895</v>
      </c>
      <c r="C1818" s="31" t="n"/>
      <c r="D1818" s="32" t="n"/>
      <c r="E1818" s="33" t="n">
        <v>-1.8669</v>
      </c>
      <c r="F1818" t="inlineStr">
        <is>
          <t>Down</t>
        </is>
      </c>
      <c r="G1818" t="inlineStr">
        <is>
          <t>Up</t>
        </is>
      </c>
      <c r="H1818" t="inlineStr">
        <is>
          <t>ED_JU</t>
        </is>
      </c>
      <c r="I1818" t="inlineStr">
        <is>
          <t>2013-08</t>
        </is>
      </c>
      <c r="J1818" t="n">
        <v>1</v>
      </c>
      <c r="K1818" t="n">
        <v>1</v>
      </c>
      <c r="L1818" s="34">
        <f>IF($J1818=1,LN(B1819/B1818),"")</f>
        <v/>
      </c>
      <c r="M1818" s="34">
        <f>IF($K1818=1,INDEX(Mensal!$D$2:$D$245,MATCH($I1818,Mensal!$A$2:$A$245,0)),"")</f>
        <v/>
      </c>
      <c r="N1818" s="34">
        <f>IF($K1818=1,L1818-M1818,"")</f>
        <v/>
      </c>
      <c r="O1818" s="34" t="n">
        <v>0.00031353</v>
      </c>
      <c r="P1818" s="34">
        <f>IF($J1818=1,LN(1+O1818),"")</f>
        <v/>
      </c>
      <c r="Q1818" s="34">
        <f>IF($J1818=1,LN(R1819/R1818),"")</f>
        <v/>
      </c>
      <c r="R1818" s="32" t="n">
        <v>2.3118</v>
      </c>
      <c r="S1818" s="35" t="n">
        <v>9.676</v>
      </c>
      <c r="T1818" s="18" t="n"/>
      <c r="U1818" s="18" t="n"/>
      <c r="V1818" s="18" t="n"/>
      <c r="W1818" s="18" t="n">
        <v>50895</v>
      </c>
      <c r="X1818" s="35" t="n">
        <v>9.676</v>
      </c>
      <c r="Y1818" s="35" t="n"/>
    </row>
    <row r="1819">
      <c r="A1819" s="25" t="n">
        <v>41501</v>
      </c>
      <c r="B1819" s="18" t="n">
        <v>50908</v>
      </c>
      <c r="C1819" s="31" t="n"/>
      <c r="D1819" s="32" t="n"/>
      <c r="E1819" s="33" t="n">
        <v>-1.8798</v>
      </c>
      <c r="F1819" t="inlineStr">
        <is>
          <t>Down</t>
        </is>
      </c>
      <c r="G1819" t="inlineStr">
        <is>
          <t>Up</t>
        </is>
      </c>
      <c r="H1819" t="inlineStr">
        <is>
          <t>ED_JU</t>
        </is>
      </c>
      <c r="I1819" t="inlineStr">
        <is>
          <t>2013-08</t>
        </is>
      </c>
      <c r="J1819" t="n">
        <v>1</v>
      </c>
      <c r="K1819" t="n">
        <v>1</v>
      </c>
      <c r="L1819" s="34">
        <f>IF($J1819=1,LN(B1820/B1819),"")</f>
        <v/>
      </c>
      <c r="M1819" s="34">
        <f>IF($K1819=1,INDEX(Mensal!$D$2:$D$245,MATCH($I1819,Mensal!$A$2:$A$245,0)),"")</f>
        <v/>
      </c>
      <c r="N1819" s="34">
        <f>IF($K1819=1,L1819-M1819,"")</f>
        <v/>
      </c>
      <c r="O1819" s="34" t="n">
        <v>0.00031353</v>
      </c>
      <c r="P1819" s="34">
        <f>IF($J1819=1,LN(1+O1819),"")</f>
        <v/>
      </c>
      <c r="Q1819" s="34">
        <f>IF($J1819=1,LN(R1820/R1819),"")</f>
        <v/>
      </c>
      <c r="R1819" s="32" t="n">
        <v>2.3434</v>
      </c>
      <c r="S1819" s="35" t="n">
        <v>9.711</v>
      </c>
      <c r="T1819" s="18" t="n"/>
      <c r="U1819" s="18" t="n"/>
      <c r="V1819" s="18" t="n"/>
      <c r="W1819" s="18" t="n">
        <v>50908</v>
      </c>
      <c r="X1819" s="35" t="n">
        <v>9.711</v>
      </c>
      <c r="Y1819" s="35" t="n"/>
    </row>
    <row r="1820">
      <c r="A1820" s="25" t="n">
        <v>41502</v>
      </c>
      <c r="B1820" s="18" t="n">
        <v>51538</v>
      </c>
      <c r="C1820" s="31" t="n"/>
      <c r="D1820" s="32" t="n"/>
      <c r="E1820" s="33" t="n">
        <v>-1.8873</v>
      </c>
      <c r="F1820" t="inlineStr">
        <is>
          <t>Down</t>
        </is>
      </c>
      <c r="G1820" t="inlineStr">
        <is>
          <t>Up</t>
        </is>
      </c>
      <c r="H1820" t="inlineStr">
        <is>
          <t>ED_JU</t>
        </is>
      </c>
      <c r="I1820" t="inlineStr">
        <is>
          <t>2013-08</t>
        </is>
      </c>
      <c r="J1820" t="n">
        <v>1</v>
      </c>
      <c r="K1820" t="n">
        <v>1</v>
      </c>
      <c r="L1820" s="34">
        <f>IF($J1820=1,LN(B1821/B1820),"")</f>
        <v/>
      </c>
      <c r="M1820" s="34">
        <f>IF($K1820=1,INDEX(Mensal!$D$2:$D$245,MATCH($I1820,Mensal!$A$2:$A$245,0)),"")</f>
        <v/>
      </c>
      <c r="N1820" s="34">
        <f>IF($K1820=1,L1820-M1820,"")</f>
        <v/>
      </c>
      <c r="O1820" s="34" t="n">
        <v>0.00031353</v>
      </c>
      <c r="P1820" s="34">
        <f>IF($J1820=1,LN(1+O1820),"")</f>
        <v/>
      </c>
      <c r="Q1820" s="34">
        <f>IF($J1820=1,LN(R1821/R1820),"")</f>
        <v/>
      </c>
      <c r="R1820" s="32" t="n">
        <v>2.3565</v>
      </c>
      <c r="S1820" s="35" t="n">
        <v>9.961</v>
      </c>
      <c r="T1820" s="18" t="n"/>
      <c r="U1820" s="18" t="n"/>
      <c r="V1820" s="18" t="n"/>
      <c r="W1820" s="18" t="n">
        <v>51538</v>
      </c>
      <c r="X1820" s="35" t="n">
        <v>9.961</v>
      </c>
      <c r="Y1820" s="35" t="n"/>
    </row>
    <row r="1821">
      <c r="A1821" s="25" t="n">
        <v>41505</v>
      </c>
      <c r="B1821" s="18" t="n">
        <v>51574</v>
      </c>
      <c r="C1821" s="31" t="n"/>
      <c r="D1821" s="32" t="n"/>
      <c r="E1821" s="33" t="n">
        <v>-1.878</v>
      </c>
      <c r="F1821" t="inlineStr">
        <is>
          <t>Down</t>
        </is>
      </c>
      <c r="G1821" t="inlineStr">
        <is>
          <t>Up</t>
        </is>
      </c>
      <c r="H1821" t="inlineStr">
        <is>
          <t>ED_JU</t>
        </is>
      </c>
      <c r="I1821" t="inlineStr">
        <is>
          <t>2013-08</t>
        </is>
      </c>
      <c r="J1821" t="n">
        <v>1</v>
      </c>
      <c r="K1821" t="n">
        <v>1</v>
      </c>
      <c r="L1821" s="34">
        <f>IF($J1821=1,LN(B1822/B1821),"")</f>
        <v/>
      </c>
      <c r="M1821" s="34">
        <f>IF($K1821=1,INDEX(Mensal!$D$2:$D$245,MATCH($I1821,Mensal!$A$2:$A$245,0)),"")</f>
        <v/>
      </c>
      <c r="N1821" s="34">
        <f>IF($K1821=1,L1821-M1821,"")</f>
        <v/>
      </c>
      <c r="O1821" s="34" t="n">
        <v>0.00031353</v>
      </c>
      <c r="P1821" s="34">
        <f>IF($J1821=1,LN(1+O1821),"")</f>
        <v/>
      </c>
      <c r="Q1821" s="34">
        <f>IF($J1821=1,LN(R1822/R1821),"")</f>
        <v/>
      </c>
      <c r="R1821" s="32" t="n">
        <v>2.398</v>
      </c>
      <c r="S1821" s="35" t="n">
        <v>10.279</v>
      </c>
      <c r="T1821" s="18" t="n"/>
      <c r="U1821" s="18" t="n"/>
      <c r="V1821" s="18" t="n"/>
      <c r="W1821" s="18" t="n">
        <v>51574</v>
      </c>
      <c r="X1821" s="35" t="n">
        <v>10.279</v>
      </c>
      <c r="Y1821" s="35" t="n"/>
    </row>
    <row r="1822">
      <c r="A1822" s="25" t="n">
        <v>41506</v>
      </c>
      <c r="B1822" s="18" t="n">
        <v>50507</v>
      </c>
      <c r="C1822" s="31" t="n"/>
      <c r="D1822" s="32" t="n"/>
      <c r="E1822" s="33" t="n">
        <v>-1.8624</v>
      </c>
      <c r="F1822" t="inlineStr">
        <is>
          <t>Down</t>
        </is>
      </c>
      <c r="G1822" t="inlineStr">
        <is>
          <t>Up</t>
        </is>
      </c>
      <c r="H1822" t="inlineStr">
        <is>
          <t>ED_JU</t>
        </is>
      </c>
      <c r="I1822" t="inlineStr">
        <is>
          <t>2013-08</t>
        </is>
      </c>
      <c r="J1822" t="n">
        <v>1</v>
      </c>
      <c r="K1822" t="n">
        <v>1</v>
      </c>
      <c r="L1822" s="34">
        <f>IF($J1822=1,LN(B1823/B1822),"")</f>
        <v/>
      </c>
      <c r="M1822" s="34">
        <f>IF($K1822=1,INDEX(Mensal!$D$2:$D$245,MATCH($I1822,Mensal!$A$2:$A$245,0)),"")</f>
        <v/>
      </c>
      <c r="N1822" s="34">
        <f>IF($K1822=1,L1822-M1822,"")</f>
        <v/>
      </c>
      <c r="O1822" s="34" t="n">
        <v>0.00031353</v>
      </c>
      <c r="P1822" s="34">
        <f>IF($J1822=1,LN(1+O1822),"")</f>
        <v/>
      </c>
      <c r="Q1822" s="34">
        <f>IF($J1822=1,LN(R1823/R1822),"")</f>
        <v/>
      </c>
      <c r="R1822" s="32" t="n">
        <v>2.3943</v>
      </c>
      <c r="S1822" s="35" t="n">
        <v>9.975</v>
      </c>
      <c r="T1822" s="18" t="n"/>
      <c r="U1822" s="18" t="n"/>
      <c r="V1822" s="18" t="n"/>
      <c r="W1822" s="18" t="n">
        <v>50507</v>
      </c>
      <c r="X1822" s="35" t="n">
        <v>9.975</v>
      </c>
      <c r="Y1822" s="35" t="n"/>
    </row>
    <row r="1823">
      <c r="A1823" s="25" t="n">
        <v>41507</v>
      </c>
      <c r="B1823" s="18" t="n">
        <v>50405</v>
      </c>
      <c r="C1823" s="31" t="n"/>
      <c r="D1823" s="32" t="n"/>
      <c r="E1823" s="33" t="n">
        <v>-1.8463</v>
      </c>
      <c r="F1823" t="inlineStr">
        <is>
          <t>Down</t>
        </is>
      </c>
      <c r="G1823" t="inlineStr">
        <is>
          <t>Up</t>
        </is>
      </c>
      <c r="H1823" t="inlineStr">
        <is>
          <t>ED_JU</t>
        </is>
      </c>
      <c r="I1823" t="inlineStr">
        <is>
          <t>2013-08</t>
        </is>
      </c>
      <c r="J1823" t="n">
        <v>1</v>
      </c>
      <c r="K1823" t="n">
        <v>1</v>
      </c>
      <c r="L1823" s="34">
        <f>IF($J1823=1,LN(B1824/B1823),"")</f>
        <v/>
      </c>
      <c r="M1823" s="34">
        <f>IF($K1823=1,INDEX(Mensal!$D$2:$D$245,MATCH($I1823,Mensal!$A$2:$A$245,0)),"")</f>
        <v/>
      </c>
      <c r="N1823" s="34">
        <f>IF($K1823=1,L1823-M1823,"")</f>
        <v/>
      </c>
      <c r="O1823" s="34" t="n">
        <v>0.00031353</v>
      </c>
      <c r="P1823" s="34">
        <f>IF($J1823=1,LN(1+O1823),"")</f>
        <v/>
      </c>
      <c r="Q1823" s="34">
        <f>IF($J1823=1,LN(R1824/R1823),"")</f>
        <v/>
      </c>
      <c r="R1823" s="32" t="n">
        <v>2.4169</v>
      </c>
      <c r="S1823" s="35" t="n">
        <v>10.095</v>
      </c>
      <c r="T1823" s="18" t="n"/>
      <c r="U1823" s="18" t="n"/>
      <c r="V1823" s="18" t="n"/>
      <c r="W1823" s="18" t="n">
        <v>50405</v>
      </c>
      <c r="X1823" s="35" t="n">
        <v>10.095</v>
      </c>
      <c r="Y1823" s="35" t="n"/>
    </row>
    <row r="1824">
      <c r="A1824" s="25" t="n">
        <v>41508</v>
      </c>
      <c r="B1824" s="18" t="n">
        <v>51397</v>
      </c>
      <c r="C1824" s="31" t="n"/>
      <c r="D1824" s="32" t="n"/>
      <c r="E1824" s="33" t="n">
        <v>-1.8324</v>
      </c>
      <c r="F1824" t="inlineStr">
        <is>
          <t>Down</t>
        </is>
      </c>
      <c r="G1824" t="inlineStr">
        <is>
          <t>Up</t>
        </is>
      </c>
      <c r="H1824" t="inlineStr">
        <is>
          <t>ED_JU</t>
        </is>
      </c>
      <c r="I1824" t="inlineStr">
        <is>
          <t>2013-08</t>
        </is>
      </c>
      <c r="J1824" t="n">
        <v>1</v>
      </c>
      <c r="K1824" t="n">
        <v>1</v>
      </c>
      <c r="L1824" s="34">
        <f>IF($J1824=1,LN(B1825/B1824),"")</f>
        <v/>
      </c>
      <c r="M1824" s="34">
        <f>IF($K1824=1,INDEX(Mensal!$D$2:$D$245,MATCH($I1824,Mensal!$A$2:$A$245,0)),"")</f>
        <v/>
      </c>
      <c r="N1824" s="34">
        <f>IF($K1824=1,L1824-M1824,"")</f>
        <v/>
      </c>
      <c r="O1824" s="34" t="n">
        <v>0.00031353</v>
      </c>
      <c r="P1824" s="34">
        <f>IF($J1824=1,LN(1+O1824),"")</f>
        <v/>
      </c>
      <c r="Q1824" s="34">
        <f>IF($J1824=1,LN(R1825/R1824),"")</f>
        <v/>
      </c>
      <c r="R1824" s="32" t="n">
        <v>2.4457</v>
      </c>
      <c r="S1824" s="35" t="n">
        <v>10.217</v>
      </c>
      <c r="T1824" s="18" t="n"/>
      <c r="U1824" s="18" t="n"/>
      <c r="V1824" s="18" t="n"/>
      <c r="W1824" s="18" t="n">
        <v>51397</v>
      </c>
      <c r="X1824" s="35" t="n">
        <v>10.217</v>
      </c>
      <c r="Y1824" s="35" t="n"/>
    </row>
    <row r="1825">
      <c r="A1825" s="25" t="n">
        <v>41509</v>
      </c>
      <c r="B1825" s="18" t="n">
        <v>52197</v>
      </c>
      <c r="C1825" s="31" t="n"/>
      <c r="D1825" s="32" t="n"/>
      <c r="E1825" s="33" t="n">
        <v>-1.8149</v>
      </c>
      <c r="F1825" t="inlineStr">
        <is>
          <t>Down</t>
        </is>
      </c>
      <c r="G1825" t="inlineStr">
        <is>
          <t>Up</t>
        </is>
      </c>
      <c r="H1825" t="inlineStr">
        <is>
          <t>ED_JU</t>
        </is>
      </c>
      <c r="I1825" t="inlineStr">
        <is>
          <t>2013-08</t>
        </is>
      </c>
      <c r="J1825" t="n">
        <v>1</v>
      </c>
      <c r="K1825" t="n">
        <v>1</v>
      </c>
      <c r="L1825" s="34">
        <f>IF($J1825=1,LN(B1826/B1825),"")</f>
        <v/>
      </c>
      <c r="M1825" s="34">
        <f>IF($K1825=1,INDEX(Mensal!$D$2:$D$245,MATCH($I1825,Mensal!$A$2:$A$245,0)),"")</f>
        <v/>
      </c>
      <c r="N1825" s="34">
        <f>IF($K1825=1,L1825-M1825,"")</f>
        <v/>
      </c>
      <c r="O1825" s="34" t="n">
        <v>0.00031353</v>
      </c>
      <c r="P1825" s="34">
        <f>IF($J1825=1,LN(1+O1825),"")</f>
        <v/>
      </c>
      <c r="Q1825" s="34">
        <f>IF($J1825=1,LN(R1826/R1825),"")</f>
        <v/>
      </c>
      <c r="R1825" s="32" t="n">
        <v>2.3868</v>
      </c>
      <c r="S1825" s="35" t="n">
        <v>9.954000000000001</v>
      </c>
      <c r="T1825" s="18" t="n"/>
      <c r="U1825" s="18" t="n"/>
      <c r="V1825" s="18" t="n"/>
      <c r="W1825" s="18" t="n">
        <v>52197</v>
      </c>
      <c r="X1825" s="35" t="n">
        <v>9.954000000000001</v>
      </c>
      <c r="Y1825" s="35" t="n"/>
    </row>
    <row r="1826">
      <c r="A1826" s="25" t="n">
        <v>41512</v>
      </c>
      <c r="B1826" s="18" t="n">
        <v>51429</v>
      </c>
      <c r="C1826" s="31" t="n"/>
      <c r="D1826" s="32" t="n"/>
      <c r="E1826" s="33" t="n">
        <v>-1.7859</v>
      </c>
      <c r="F1826" t="inlineStr">
        <is>
          <t>Down</t>
        </is>
      </c>
      <c r="G1826" t="inlineStr">
        <is>
          <t>Up</t>
        </is>
      </c>
      <c r="H1826" t="inlineStr">
        <is>
          <t>ED_JU</t>
        </is>
      </c>
      <c r="I1826" t="inlineStr">
        <is>
          <t>2013-08</t>
        </is>
      </c>
      <c r="J1826" t="n">
        <v>1</v>
      </c>
      <c r="K1826" t="n">
        <v>1</v>
      </c>
      <c r="L1826" s="34">
        <f>IF($J1826=1,LN(B1827/B1826),"")</f>
        <v/>
      </c>
      <c r="M1826" s="34">
        <f>IF($K1826=1,INDEX(Mensal!$D$2:$D$245,MATCH($I1826,Mensal!$A$2:$A$245,0)),"")</f>
        <v/>
      </c>
      <c r="N1826" s="34">
        <f>IF($K1826=1,L1826-M1826,"")</f>
        <v/>
      </c>
      <c r="O1826" s="34" t="n">
        <v>0.00031353</v>
      </c>
      <c r="P1826" s="34">
        <f>IF($J1826=1,LN(1+O1826),"")</f>
        <v/>
      </c>
      <c r="Q1826" s="34">
        <f>IF($J1826=1,LN(R1827/R1826),"")</f>
        <v/>
      </c>
      <c r="R1826" s="32" t="n">
        <v>2.3705</v>
      </c>
      <c r="S1826" s="35" t="n">
        <v>10.033</v>
      </c>
      <c r="T1826" s="18" t="n"/>
      <c r="U1826" s="18" t="n"/>
      <c r="V1826" s="18" t="n"/>
      <c r="W1826" s="18" t="n">
        <v>51429</v>
      </c>
      <c r="X1826" s="35" t="n">
        <v>10.033</v>
      </c>
      <c r="Y1826" s="35" t="n"/>
    </row>
    <row r="1827">
      <c r="A1827" s="25" t="n">
        <v>41513</v>
      </c>
      <c r="B1827" s="18" t="n">
        <v>50091</v>
      </c>
      <c r="C1827" s="31" t="n"/>
      <c r="D1827" s="32" t="n"/>
      <c r="E1827" s="33" t="n">
        <v>-1.7544</v>
      </c>
      <c r="F1827" t="inlineStr">
        <is>
          <t>Down</t>
        </is>
      </c>
      <c r="G1827" t="inlineStr">
        <is>
          <t>Up</t>
        </is>
      </c>
      <c r="H1827" t="inlineStr">
        <is>
          <t>ED_JU</t>
        </is>
      </c>
      <c r="I1827" t="inlineStr">
        <is>
          <t>2013-08</t>
        </is>
      </c>
      <c r="J1827" t="n">
        <v>1</v>
      </c>
      <c r="K1827" t="n">
        <v>1</v>
      </c>
      <c r="L1827" s="34">
        <f>IF($J1827=1,LN(B1828/B1827),"")</f>
        <v/>
      </c>
      <c r="M1827" s="34">
        <f>IF($K1827=1,INDEX(Mensal!$D$2:$D$245,MATCH($I1827,Mensal!$A$2:$A$245,0)),"")</f>
        <v/>
      </c>
      <c r="N1827" s="34">
        <f>IF($K1827=1,L1827-M1827,"")</f>
        <v/>
      </c>
      <c r="O1827" s="34" t="n">
        <v>0.00031353</v>
      </c>
      <c r="P1827" s="34">
        <f>IF($J1827=1,LN(1+O1827),"")</f>
        <v/>
      </c>
      <c r="Q1827" s="34">
        <f>IF($J1827=1,LN(R1828/R1827),"")</f>
        <v/>
      </c>
      <c r="R1827" s="32" t="n">
        <v>2.3998</v>
      </c>
      <c r="S1827" s="35" t="n">
        <v>10.036</v>
      </c>
      <c r="T1827" s="18" t="n"/>
      <c r="U1827" s="18" t="n"/>
      <c r="V1827" s="18" t="n"/>
      <c r="W1827" s="18" t="n">
        <v>50091</v>
      </c>
      <c r="X1827" s="35" t="n">
        <v>10.036</v>
      </c>
      <c r="Y1827" s="35" t="n"/>
    </row>
    <row r="1828">
      <c r="A1828" s="25" t="n">
        <v>41514</v>
      </c>
      <c r="B1828" s="18" t="n">
        <v>49866</v>
      </c>
      <c r="C1828" s="31" t="n"/>
      <c r="D1828" s="32" t="n"/>
      <c r="E1828" s="33" t="n">
        <v>-1.7179</v>
      </c>
      <c r="F1828" t="inlineStr">
        <is>
          <t>Down</t>
        </is>
      </c>
      <c r="G1828" t="inlineStr">
        <is>
          <t>Up</t>
        </is>
      </c>
      <c r="H1828" t="inlineStr">
        <is>
          <t>ED_JU</t>
        </is>
      </c>
      <c r="I1828" t="inlineStr">
        <is>
          <t>2013-08</t>
        </is>
      </c>
      <c r="J1828" t="n">
        <v>1</v>
      </c>
      <c r="K1828" t="n">
        <v>1</v>
      </c>
      <c r="L1828" s="34">
        <f>IF($J1828=1,LN(B1829/B1828),"")</f>
        <v/>
      </c>
      <c r="M1828" s="34">
        <f>IF($K1828=1,INDEX(Mensal!$D$2:$D$245,MATCH($I1828,Mensal!$A$2:$A$245,0)),"")</f>
        <v/>
      </c>
      <c r="N1828" s="34">
        <f>IF($K1828=1,L1828-M1828,"")</f>
        <v/>
      </c>
      <c r="O1828" s="34" t="n">
        <v>0.00031353</v>
      </c>
      <c r="P1828" s="34">
        <f>IF($J1828=1,LN(1+O1828),"")</f>
        <v/>
      </c>
      <c r="Q1828" s="34">
        <f>IF($J1828=1,LN(R1829/R1828),"")</f>
        <v/>
      </c>
      <c r="R1828" s="32" t="n">
        <v>2.3515</v>
      </c>
      <c r="S1828" s="35" t="n">
        <v>9.917999999999999</v>
      </c>
      <c r="T1828" s="18" t="n"/>
      <c r="U1828" s="18" t="n"/>
      <c r="V1828" s="18" t="n"/>
      <c r="W1828" s="18" t="n">
        <v>49866</v>
      </c>
      <c r="X1828" s="35" t="n">
        <v>9.917999999999999</v>
      </c>
      <c r="Y1828" s="35" t="n"/>
    </row>
    <row r="1829">
      <c r="A1829" s="25" t="n">
        <v>41515</v>
      </c>
      <c r="B1829" s="18" t="n">
        <v>49921</v>
      </c>
      <c r="C1829" s="31" t="n"/>
      <c r="D1829" s="32" t="n"/>
      <c r="E1829" s="33" t="n">
        <v>-1.6731</v>
      </c>
      <c r="F1829" t="inlineStr">
        <is>
          <t>Down</t>
        </is>
      </c>
      <c r="G1829" t="inlineStr">
        <is>
          <t>Up</t>
        </is>
      </c>
      <c r="H1829" t="inlineStr">
        <is>
          <t>ED_JU</t>
        </is>
      </c>
      <c r="I1829" t="inlineStr">
        <is>
          <t>2013-08</t>
        </is>
      </c>
      <c r="J1829" t="n">
        <v>1</v>
      </c>
      <c r="K1829" t="n">
        <v>1</v>
      </c>
      <c r="L1829" s="34">
        <f>IF($J1829=1,LN(B1830/B1829),"")</f>
        <v/>
      </c>
      <c r="M1829" s="34">
        <f>IF($K1829=1,INDEX(Mensal!$D$2:$D$245,MATCH($I1829,Mensal!$A$2:$A$245,0)),"")</f>
        <v/>
      </c>
      <c r="N1829" s="34">
        <f>IF($K1829=1,L1829-M1829,"")</f>
        <v/>
      </c>
      <c r="O1829" s="34" t="n">
        <v>0.00033182</v>
      </c>
      <c r="P1829" s="34">
        <f>IF($J1829=1,LN(1+O1829),"")</f>
        <v/>
      </c>
      <c r="Q1829" s="34">
        <f>IF($J1829=1,LN(R1830/R1829),"")</f>
        <v/>
      </c>
      <c r="R1829" s="32" t="n">
        <v>2.3578</v>
      </c>
      <c r="S1829" s="35" t="n">
        <v>10.124</v>
      </c>
      <c r="T1829" s="18" t="n"/>
      <c r="U1829" s="18" t="n"/>
      <c r="V1829" s="18" t="n"/>
      <c r="W1829" s="18" t="n">
        <v>49921</v>
      </c>
      <c r="X1829" s="35" t="n">
        <v>10.124</v>
      </c>
      <c r="Y1829" s="35" t="n"/>
    </row>
    <row r="1830">
      <c r="A1830" s="25" t="n">
        <v>41516</v>
      </c>
      <c r="B1830" s="18" t="n">
        <v>50011</v>
      </c>
      <c r="C1830" s="31" t="n"/>
      <c r="D1830" s="32" t="n"/>
      <c r="E1830" s="33" t="n">
        <v>-1.6313</v>
      </c>
      <c r="F1830" t="inlineStr">
        <is>
          <t>Down</t>
        </is>
      </c>
      <c r="G1830" t="inlineStr">
        <is>
          <t>Up</t>
        </is>
      </c>
      <c r="H1830" t="inlineStr">
        <is>
          <t>ED_JU</t>
        </is>
      </c>
      <c r="I1830" t="inlineStr">
        <is>
          <t>2013-08</t>
        </is>
      </c>
      <c r="J1830" t="n">
        <v>1</v>
      </c>
      <c r="K1830" t="n">
        <v>1</v>
      </c>
      <c r="L1830" s="34">
        <f>IF($J1830=1,LN(B1831/B1830),"")</f>
        <v/>
      </c>
      <c r="M1830" s="34">
        <f>IF($K1830=1,INDEX(Mensal!$D$2:$D$245,MATCH($I1830,Mensal!$A$2:$A$245,0)),"")</f>
        <v/>
      </c>
      <c r="N1830" s="34">
        <f>IF($K1830=1,L1830-M1830,"")</f>
        <v/>
      </c>
      <c r="O1830" s="34" t="n">
        <v>0.00033182</v>
      </c>
      <c r="P1830" s="34">
        <f>IF($J1830=1,LN(1+O1830),"")</f>
        <v/>
      </c>
      <c r="Q1830" s="34">
        <f>IF($J1830=1,LN(R1831/R1830),"")</f>
        <v/>
      </c>
      <c r="R1830" s="32" t="n">
        <v>2.3725</v>
      </c>
      <c r="S1830" s="35" t="n">
        <v>10.194</v>
      </c>
      <c r="T1830" s="18" t="n"/>
      <c r="U1830" s="18" t="n"/>
      <c r="V1830" s="18" t="n"/>
      <c r="W1830" s="18" t="n">
        <v>50011</v>
      </c>
      <c r="X1830" s="35" t="n">
        <v>10.194</v>
      </c>
      <c r="Y1830" s="35" t="n"/>
    </row>
    <row r="1831">
      <c r="A1831" s="25" t="n">
        <v>41519</v>
      </c>
      <c r="B1831" s="18" t="n">
        <v>51835</v>
      </c>
      <c r="C1831" s="31" t="n"/>
      <c r="D1831" s="32" t="n"/>
      <c r="E1831" s="33" t="n">
        <v>-2.3288</v>
      </c>
      <c r="F1831" t="inlineStr">
        <is>
          <t>Down</t>
        </is>
      </c>
      <c r="G1831" t="inlineStr">
        <is>
          <t>Up</t>
        </is>
      </c>
      <c r="H1831" t="inlineStr">
        <is>
          <t>ED_JU</t>
        </is>
      </c>
      <c r="I1831" t="inlineStr">
        <is>
          <t>2013-09</t>
        </is>
      </c>
      <c r="J1831" t="n">
        <v>1</v>
      </c>
      <c r="K1831" t="n">
        <v>1</v>
      </c>
      <c r="L1831" s="34">
        <f>IF($J1831=1,LN(B1832/B1831),"")</f>
        <v/>
      </c>
      <c r="M1831" s="34">
        <f>IF($K1831=1,INDEX(Mensal!$D$2:$D$245,MATCH($I1831,Mensal!$A$2:$A$245,0)),"")</f>
        <v/>
      </c>
      <c r="N1831" s="34">
        <f>IF($K1831=1,L1831-M1831,"")</f>
        <v/>
      </c>
      <c r="O1831" s="34" t="n">
        <v>0.00033182</v>
      </c>
      <c r="P1831" s="34">
        <f>IF($J1831=1,LN(1+O1831),"")</f>
        <v/>
      </c>
      <c r="Q1831" s="34">
        <f>IF($J1831=1,LN(R1832/R1831),"")</f>
        <v/>
      </c>
      <c r="R1831" s="32" t="n">
        <v>2.3643</v>
      </c>
      <c r="S1831" s="35" t="n">
        <v>10.184</v>
      </c>
      <c r="T1831" s="18" t="n"/>
      <c r="U1831" s="18" t="n"/>
      <c r="V1831" s="18" t="n"/>
      <c r="W1831" s="18" t="n">
        <v>51835</v>
      </c>
      <c r="X1831" s="35" t="n">
        <v>10.184</v>
      </c>
      <c r="Y1831" s="35" t="n"/>
    </row>
    <row r="1832">
      <c r="A1832" s="25" t="n">
        <v>41520</v>
      </c>
      <c r="B1832" s="18" t="n">
        <v>51625</v>
      </c>
      <c r="C1832" s="31" t="n"/>
      <c r="D1832" s="32" t="n"/>
      <c r="E1832" s="33" t="n">
        <v>-2.9888</v>
      </c>
      <c r="F1832" t="inlineStr">
        <is>
          <t>Down</t>
        </is>
      </c>
      <c r="G1832" t="inlineStr">
        <is>
          <t>Up</t>
        </is>
      </c>
      <c r="H1832" t="inlineStr">
        <is>
          <t>ED_JU</t>
        </is>
      </c>
      <c r="I1832" t="inlineStr">
        <is>
          <t>2013-09</t>
        </is>
      </c>
      <c r="J1832" t="n">
        <v>1</v>
      </c>
      <c r="K1832" t="n">
        <v>1</v>
      </c>
      <c r="L1832" s="34">
        <f>IF($J1832=1,LN(B1833/B1832),"")</f>
        <v/>
      </c>
      <c r="M1832" s="34">
        <f>IF($K1832=1,INDEX(Mensal!$D$2:$D$245,MATCH($I1832,Mensal!$A$2:$A$245,0)),"")</f>
        <v/>
      </c>
      <c r="N1832" s="34">
        <f>IF($K1832=1,L1832-M1832,"")</f>
        <v/>
      </c>
      <c r="O1832" s="34" t="n">
        <v>0.00033182</v>
      </c>
      <c r="P1832" s="34">
        <f>IF($J1832=1,LN(1+O1832),"")</f>
        <v/>
      </c>
      <c r="Q1832" s="34">
        <f>IF($J1832=1,LN(R1833/R1832),"")</f>
        <v/>
      </c>
      <c r="R1832" s="32" t="n">
        <v>2.3897</v>
      </c>
      <c r="S1832" s="35" t="n">
        <v>10.218</v>
      </c>
      <c r="T1832" s="18" t="n"/>
      <c r="U1832" s="18" t="n"/>
      <c r="V1832" s="18" t="n"/>
      <c r="W1832" s="18" t="n">
        <v>51625</v>
      </c>
      <c r="X1832" s="35" t="n">
        <v>10.218</v>
      </c>
      <c r="Y1832" s="35" t="n"/>
    </row>
    <row r="1833">
      <c r="A1833" s="25" t="n">
        <v>41521</v>
      </c>
      <c r="B1833" s="18" t="n">
        <v>51716</v>
      </c>
      <c r="C1833" s="31" t="n"/>
      <c r="D1833" s="32" t="n"/>
      <c r="E1833" s="33" t="n">
        <v>-3.612</v>
      </c>
      <c r="F1833" t="inlineStr">
        <is>
          <t>Down</t>
        </is>
      </c>
      <c r="G1833" t="inlineStr">
        <is>
          <t>Up</t>
        </is>
      </c>
      <c r="H1833" t="inlineStr">
        <is>
          <t>ED_JU</t>
        </is>
      </c>
      <c r="I1833" t="inlineStr">
        <is>
          <t>2013-09</t>
        </is>
      </c>
      <c r="J1833" t="n">
        <v>1</v>
      </c>
      <c r="K1833" t="n">
        <v>1</v>
      </c>
      <c r="L1833" s="34">
        <f>IF($J1833=1,LN(B1834/B1833),"")</f>
        <v/>
      </c>
      <c r="M1833" s="34">
        <f>IF($K1833=1,INDEX(Mensal!$D$2:$D$245,MATCH($I1833,Mensal!$A$2:$A$245,0)),"")</f>
        <v/>
      </c>
      <c r="N1833" s="34">
        <f>IF($K1833=1,L1833-M1833,"")</f>
        <v/>
      </c>
      <c r="O1833" s="34" t="n">
        <v>0.00033182</v>
      </c>
      <c r="P1833" s="34">
        <f>IF($J1833=1,LN(1+O1833),"")</f>
        <v/>
      </c>
      <c r="Q1833" s="34">
        <f>IF($J1833=1,LN(R1834/R1833),"")</f>
        <v/>
      </c>
      <c r="R1833" s="32" t="n">
        <v>2.3538</v>
      </c>
      <c r="S1833" s="35" t="n">
        <v>10.214</v>
      </c>
      <c r="T1833" s="18" t="n"/>
      <c r="U1833" s="18" t="n"/>
      <c r="V1833" s="18" t="n"/>
      <c r="W1833" s="18" t="n">
        <v>51716</v>
      </c>
      <c r="X1833" s="35" t="n">
        <v>10.214</v>
      </c>
      <c r="Y1833" s="35" t="n"/>
    </row>
    <row r="1834">
      <c r="A1834" s="25" t="n">
        <v>41522</v>
      </c>
      <c r="B1834" s="18" t="n">
        <v>52351</v>
      </c>
      <c r="C1834" s="31" t="n"/>
      <c r="D1834" s="32" t="n"/>
      <c r="E1834" s="33" t="n">
        <v>-4.2182</v>
      </c>
      <c r="F1834" t="inlineStr">
        <is>
          <t>Down</t>
        </is>
      </c>
      <c r="G1834" t="inlineStr">
        <is>
          <t>Up</t>
        </is>
      </c>
      <c r="H1834" t="inlineStr">
        <is>
          <t>ED_JU</t>
        </is>
      </c>
      <c r="I1834" t="inlineStr">
        <is>
          <t>2013-09</t>
        </is>
      </c>
      <c r="J1834" t="n">
        <v>1</v>
      </c>
      <c r="K1834" t="n">
        <v>1</v>
      </c>
      <c r="L1834" s="34">
        <f>IF($J1834=1,LN(B1835/B1834),"")</f>
        <v/>
      </c>
      <c r="M1834" s="34">
        <f>IF($K1834=1,INDEX(Mensal!$D$2:$D$245,MATCH($I1834,Mensal!$A$2:$A$245,0)),"")</f>
        <v/>
      </c>
      <c r="N1834" s="34">
        <f>IF($K1834=1,L1834-M1834,"")</f>
        <v/>
      </c>
      <c r="O1834" s="34" t="n">
        <v>0.00033182</v>
      </c>
      <c r="P1834" s="34">
        <f>IF($J1834=1,LN(1+O1834),"")</f>
        <v/>
      </c>
      <c r="Q1834" s="34">
        <f>IF($J1834=1,LN(R1835/R1834),"")</f>
        <v/>
      </c>
      <c r="R1834" s="32" t="n">
        <v>2.3314</v>
      </c>
      <c r="S1834" s="35" t="n">
        <v>10.176</v>
      </c>
      <c r="T1834" s="18" t="n"/>
      <c r="U1834" s="18" t="n"/>
      <c r="V1834" s="18" t="n"/>
      <c r="W1834" s="18" t="n">
        <v>52351</v>
      </c>
      <c r="X1834" s="35" t="n">
        <v>10.176</v>
      </c>
      <c r="Y1834" s="35" t="n"/>
    </row>
    <row r="1835">
      <c r="A1835" s="25" t="n">
        <v>41523</v>
      </c>
      <c r="B1835" s="18" t="n">
        <v>53749</v>
      </c>
      <c r="C1835" s="31" t="n"/>
      <c r="D1835" s="32" t="n"/>
      <c r="E1835" s="33" t="n">
        <v>-4.802</v>
      </c>
      <c r="F1835" t="inlineStr">
        <is>
          <t>Down</t>
        </is>
      </c>
      <c r="G1835" t="inlineStr">
        <is>
          <t>Up</t>
        </is>
      </c>
      <c r="H1835" t="inlineStr">
        <is>
          <t>ED_JU</t>
        </is>
      </c>
      <c r="I1835" t="inlineStr">
        <is>
          <t>2013-09</t>
        </is>
      </c>
      <c r="J1835" t="n">
        <v>1</v>
      </c>
      <c r="K1835" t="n">
        <v>1</v>
      </c>
      <c r="L1835" s="34">
        <f>IF($J1835=1,LN(B1836/B1835),"")</f>
        <v/>
      </c>
      <c r="M1835" s="34">
        <f>IF($K1835=1,INDEX(Mensal!$D$2:$D$245,MATCH($I1835,Mensal!$A$2:$A$245,0)),"")</f>
        <v/>
      </c>
      <c r="N1835" s="34">
        <f>IF($K1835=1,L1835-M1835,"")</f>
        <v/>
      </c>
      <c r="O1835" s="34" t="n">
        <v>0.00033182</v>
      </c>
      <c r="P1835" s="34">
        <f>IF($J1835=1,LN(1+O1835),"")</f>
        <v/>
      </c>
      <c r="Q1835" s="34">
        <f>IF($J1835=1,LN(R1836/R1835),"")</f>
        <v/>
      </c>
      <c r="R1835" s="32" t="n">
        <v>2.2979</v>
      </c>
      <c r="S1835" s="35" t="n">
        <v>10.002</v>
      </c>
      <c r="T1835" s="18" t="n"/>
      <c r="U1835" s="18" t="n"/>
      <c r="V1835" s="18" t="n"/>
      <c r="W1835" s="18" t="n">
        <v>53749</v>
      </c>
      <c r="X1835" s="35" t="n">
        <v>10.002</v>
      </c>
      <c r="Y1835" s="35" t="n"/>
    </row>
    <row r="1836">
      <c r="A1836" s="25" t="n">
        <v>41526</v>
      </c>
      <c r="B1836" s="18" t="n">
        <v>54251</v>
      </c>
      <c r="C1836" s="31" t="n"/>
      <c r="D1836" s="32" t="n"/>
      <c r="E1836" s="33" t="n">
        <v>-5.355</v>
      </c>
      <c r="F1836" t="inlineStr">
        <is>
          <t>Down</t>
        </is>
      </c>
      <c r="G1836" t="inlineStr">
        <is>
          <t>Up</t>
        </is>
      </c>
      <c r="H1836" t="inlineStr">
        <is>
          <t>ED_JU</t>
        </is>
      </c>
      <c r="I1836" t="inlineStr">
        <is>
          <t>2013-09</t>
        </is>
      </c>
      <c r="J1836" t="n">
        <v>1</v>
      </c>
      <c r="K1836" t="n">
        <v>1</v>
      </c>
      <c r="L1836" s="34">
        <f>IF($J1836=1,LN(B1837/B1836),"")</f>
        <v/>
      </c>
      <c r="M1836" s="34">
        <f>IF($K1836=1,INDEX(Mensal!$D$2:$D$245,MATCH($I1836,Mensal!$A$2:$A$245,0)),"")</f>
        <v/>
      </c>
      <c r="N1836" s="34">
        <f>IF($K1836=1,L1836-M1836,"")</f>
        <v/>
      </c>
      <c r="O1836" s="34" t="n">
        <v>0.00033182</v>
      </c>
      <c r="P1836" s="34">
        <f>IF($J1836=1,LN(1+O1836),"")</f>
        <v/>
      </c>
      <c r="Q1836" s="34">
        <f>IF($J1836=1,LN(R1837/R1836),"")</f>
        <v/>
      </c>
      <c r="R1836" s="32" t="n">
        <v>2.2868</v>
      </c>
      <c r="S1836" s="35" t="n">
        <v>10.019</v>
      </c>
      <c r="T1836" s="18" t="n"/>
      <c r="U1836" s="18" t="n"/>
      <c r="V1836" s="18" t="n"/>
      <c r="W1836" s="18" t="n">
        <v>54251</v>
      </c>
      <c r="X1836" s="35" t="n">
        <v>10.019</v>
      </c>
      <c r="Y1836" s="35" t="n"/>
    </row>
    <row r="1837">
      <c r="A1837" s="25" t="n">
        <v>41527</v>
      </c>
      <c r="B1837" s="18" t="n">
        <v>53979</v>
      </c>
      <c r="C1837" s="31" t="n"/>
      <c r="D1837" s="32" t="n"/>
      <c r="E1837" s="33" t="n">
        <v>-5.9716</v>
      </c>
      <c r="F1837" t="inlineStr">
        <is>
          <t>Down</t>
        </is>
      </c>
      <c r="G1837" t="inlineStr">
        <is>
          <t>Up</t>
        </is>
      </c>
      <c r="H1837" t="inlineStr">
        <is>
          <t>ED_JU</t>
        </is>
      </c>
      <c r="I1837" t="inlineStr">
        <is>
          <t>2013-09</t>
        </is>
      </c>
      <c r="J1837" t="n">
        <v>1</v>
      </c>
      <c r="K1837" t="n">
        <v>1</v>
      </c>
      <c r="L1837" s="34">
        <f>IF($J1837=1,LN(B1838/B1837),"")</f>
        <v/>
      </c>
      <c r="M1837" s="34">
        <f>IF($K1837=1,INDEX(Mensal!$D$2:$D$245,MATCH($I1837,Mensal!$A$2:$A$245,0)),"")</f>
        <v/>
      </c>
      <c r="N1837" s="34">
        <f>IF($K1837=1,L1837-M1837,"")</f>
        <v/>
      </c>
      <c r="O1837" s="34" t="n">
        <v>0.00033182</v>
      </c>
      <c r="P1837" s="34">
        <f>IF($J1837=1,LN(1+O1837),"")</f>
        <v/>
      </c>
      <c r="Q1837" s="34">
        <f>IF($J1837=1,LN(R1838/R1837),"")</f>
        <v/>
      </c>
      <c r="R1837" s="32" t="n">
        <v>2.2779</v>
      </c>
      <c r="S1837" s="35" t="n">
        <v>10.045</v>
      </c>
      <c r="T1837" s="18" t="n"/>
      <c r="U1837" s="18" t="n"/>
      <c r="V1837" s="18" t="n"/>
      <c r="W1837" s="18" t="n">
        <v>53979</v>
      </c>
      <c r="X1837" s="35" t="n">
        <v>10.045</v>
      </c>
      <c r="Y1837" s="35" t="n"/>
    </row>
    <row r="1838">
      <c r="A1838" s="25" t="n">
        <v>41528</v>
      </c>
      <c r="B1838" s="18" t="n">
        <v>53570</v>
      </c>
      <c r="C1838" s="31" t="n"/>
      <c r="D1838" s="32" t="n"/>
      <c r="E1838" s="33" t="n">
        <v>-6.5531</v>
      </c>
      <c r="F1838" t="inlineStr">
        <is>
          <t>Down</t>
        </is>
      </c>
      <c r="G1838" t="inlineStr">
        <is>
          <t>Up</t>
        </is>
      </c>
      <c r="H1838" t="inlineStr">
        <is>
          <t>ED_JU</t>
        </is>
      </c>
      <c r="I1838" t="inlineStr">
        <is>
          <t>2013-09</t>
        </is>
      </c>
      <c r="J1838" t="n">
        <v>1</v>
      </c>
      <c r="K1838" t="n">
        <v>1</v>
      </c>
      <c r="L1838" s="34">
        <f>IF($J1838=1,LN(B1839/B1838),"")</f>
        <v/>
      </c>
      <c r="M1838" s="34">
        <f>IF($K1838=1,INDEX(Mensal!$D$2:$D$245,MATCH($I1838,Mensal!$A$2:$A$245,0)),"")</f>
        <v/>
      </c>
      <c r="N1838" s="34">
        <f>IF($K1838=1,L1838-M1838,"")</f>
        <v/>
      </c>
      <c r="O1838" s="34" t="n">
        <v>0.00033182</v>
      </c>
      <c r="P1838" s="34">
        <f>IF($J1838=1,LN(1+O1838),"")</f>
        <v/>
      </c>
      <c r="Q1838" s="34">
        <f>IF($J1838=1,LN(R1839/R1838),"")</f>
        <v/>
      </c>
      <c r="R1838" s="32" t="n">
        <v>2.2947</v>
      </c>
      <c r="S1838" s="35" t="n">
        <v>10.078</v>
      </c>
      <c r="T1838" s="18" t="n"/>
      <c r="U1838" s="18" t="n"/>
      <c r="V1838" s="18" t="n"/>
      <c r="W1838" s="18" t="n">
        <v>53570</v>
      </c>
      <c r="X1838" s="35" t="n">
        <v>10.078</v>
      </c>
      <c r="Y1838" s="35" t="n"/>
    </row>
    <row r="1839">
      <c r="A1839" s="25" t="n">
        <v>41529</v>
      </c>
      <c r="B1839" s="18" t="n">
        <v>53307</v>
      </c>
      <c r="C1839" s="31" t="n"/>
      <c r="D1839" s="32" t="n"/>
      <c r="E1839" s="33" t="n">
        <v>-7.0963</v>
      </c>
      <c r="F1839" t="inlineStr">
        <is>
          <t>Down</t>
        </is>
      </c>
      <c r="G1839" t="inlineStr">
        <is>
          <t>Up</t>
        </is>
      </c>
      <c r="H1839" t="inlineStr">
        <is>
          <t>ED_JU</t>
        </is>
      </c>
      <c r="I1839" t="inlineStr">
        <is>
          <t>2013-09</t>
        </is>
      </c>
      <c r="J1839" t="n">
        <v>1</v>
      </c>
      <c r="K1839" t="n">
        <v>1</v>
      </c>
      <c r="L1839" s="34">
        <f>IF($J1839=1,LN(B1840/B1839),"")</f>
        <v/>
      </c>
      <c r="M1839" s="34">
        <f>IF($K1839=1,INDEX(Mensal!$D$2:$D$245,MATCH($I1839,Mensal!$A$2:$A$245,0)),"")</f>
        <v/>
      </c>
      <c r="N1839" s="34">
        <f>IF($K1839=1,L1839-M1839,"")</f>
        <v/>
      </c>
      <c r="O1839" s="34" t="n">
        <v>0.00033182</v>
      </c>
      <c r="P1839" s="34">
        <f>IF($J1839=1,LN(1+O1839),"")</f>
        <v/>
      </c>
      <c r="Q1839" s="34">
        <f>IF($J1839=1,LN(R1840/R1839),"")</f>
        <v/>
      </c>
      <c r="R1839" s="32" t="n">
        <v>2.2769</v>
      </c>
      <c r="S1839" s="35" t="n">
        <v>10.22</v>
      </c>
      <c r="T1839" s="18" t="n"/>
      <c r="U1839" s="18" t="n"/>
      <c r="V1839" s="18" t="n"/>
      <c r="W1839" s="18" t="n">
        <v>53307</v>
      </c>
      <c r="X1839" s="35" t="n">
        <v>10.22</v>
      </c>
      <c r="Y1839" s="35" t="n"/>
    </row>
    <row r="1840">
      <c r="A1840" s="25" t="n">
        <v>41530</v>
      </c>
      <c r="B1840" s="18" t="n">
        <v>53797</v>
      </c>
      <c r="C1840" s="31" t="n"/>
      <c r="D1840" s="32" t="n"/>
      <c r="E1840" s="33" t="n">
        <v>-7.6056</v>
      </c>
      <c r="F1840" t="inlineStr">
        <is>
          <t>Down</t>
        </is>
      </c>
      <c r="G1840" t="inlineStr">
        <is>
          <t>Up</t>
        </is>
      </c>
      <c r="H1840" t="inlineStr">
        <is>
          <t>ED_JU</t>
        </is>
      </c>
      <c r="I1840" t="inlineStr">
        <is>
          <t>2013-09</t>
        </is>
      </c>
      <c r="J1840" t="n">
        <v>1</v>
      </c>
      <c r="K1840" t="n">
        <v>1</v>
      </c>
      <c r="L1840" s="34">
        <f>IF($J1840=1,LN(B1841/B1840),"")</f>
        <v/>
      </c>
      <c r="M1840" s="34">
        <f>IF($K1840=1,INDEX(Mensal!$D$2:$D$245,MATCH($I1840,Mensal!$A$2:$A$245,0)),"")</f>
        <v/>
      </c>
      <c r="N1840" s="34">
        <f>IF($K1840=1,L1840-M1840,"")</f>
        <v/>
      </c>
      <c r="O1840" s="34" t="n">
        <v>0.00033182</v>
      </c>
      <c r="P1840" s="34">
        <f>IF($J1840=1,LN(1+O1840),"")</f>
        <v/>
      </c>
      <c r="Q1840" s="34">
        <f>IF($J1840=1,LN(R1841/R1840),"")</f>
        <v/>
      </c>
      <c r="R1840" s="32" t="n">
        <v>2.2785</v>
      </c>
      <c r="S1840" s="35" t="n">
        <v>10.202</v>
      </c>
      <c r="T1840" s="18" t="n"/>
      <c r="U1840" s="18" t="n"/>
      <c r="V1840" s="18" t="n"/>
      <c r="W1840" s="18" t="n">
        <v>53797</v>
      </c>
      <c r="X1840" s="35" t="n">
        <v>10.202</v>
      </c>
      <c r="Y1840" s="35" t="n"/>
    </row>
    <row r="1841">
      <c r="A1841" s="25" t="n">
        <v>41533</v>
      </c>
      <c r="B1841" s="18" t="n">
        <v>53821</v>
      </c>
      <c r="C1841" s="31" t="n"/>
      <c r="D1841" s="32" t="n"/>
      <c r="E1841" s="33" t="n">
        <v>-8.0624</v>
      </c>
      <c r="F1841" t="inlineStr">
        <is>
          <t>Down</t>
        </is>
      </c>
      <c r="G1841" t="inlineStr">
        <is>
          <t>Up</t>
        </is>
      </c>
      <c r="H1841" t="inlineStr">
        <is>
          <t>ED_JU</t>
        </is>
      </c>
      <c r="I1841" t="inlineStr">
        <is>
          <t>2013-09</t>
        </is>
      </c>
      <c r="J1841" t="n">
        <v>1</v>
      </c>
      <c r="K1841" t="n">
        <v>1</v>
      </c>
      <c r="L1841" s="34">
        <f>IF($J1841=1,LN(B1842/B1841),"")</f>
        <v/>
      </c>
      <c r="M1841" s="34">
        <f>IF($K1841=1,INDEX(Mensal!$D$2:$D$245,MATCH($I1841,Mensal!$A$2:$A$245,0)),"")</f>
        <v/>
      </c>
      <c r="N1841" s="34">
        <f>IF($K1841=1,L1841-M1841,"")</f>
        <v/>
      </c>
      <c r="O1841" s="34" t="n">
        <v>0.00033182</v>
      </c>
      <c r="P1841" s="34">
        <f>IF($J1841=1,LN(1+O1841),"")</f>
        <v/>
      </c>
      <c r="Q1841" s="34">
        <f>IF($J1841=1,LN(R1842/R1841),"")</f>
        <v/>
      </c>
      <c r="R1841" s="32" t="n">
        <v>2.2649</v>
      </c>
      <c r="S1841" s="35" t="n">
        <v>10.206</v>
      </c>
      <c r="T1841" s="18" t="n"/>
      <c r="U1841" s="18" t="n"/>
      <c r="V1841" s="18" t="n"/>
      <c r="W1841" s="18" t="n">
        <v>53821</v>
      </c>
      <c r="X1841" s="35" t="n">
        <v>10.206</v>
      </c>
      <c r="Y1841" s="35" t="n"/>
    </row>
    <row r="1842">
      <c r="A1842" s="25" t="n">
        <v>41534</v>
      </c>
      <c r="B1842" s="18" t="n">
        <v>54271</v>
      </c>
      <c r="C1842" s="31" t="n"/>
      <c r="D1842" s="32" t="n"/>
      <c r="E1842" s="33" t="n">
        <v>-8.492900000000001</v>
      </c>
      <c r="F1842" t="inlineStr">
        <is>
          <t>Down</t>
        </is>
      </c>
      <c r="G1842" t="inlineStr">
        <is>
          <t>Up</t>
        </is>
      </c>
      <c r="H1842" t="inlineStr">
        <is>
          <t>ED_JU</t>
        </is>
      </c>
      <c r="I1842" t="inlineStr">
        <is>
          <t>2013-09</t>
        </is>
      </c>
      <c r="J1842" t="n">
        <v>1</v>
      </c>
      <c r="K1842" t="n">
        <v>1</v>
      </c>
      <c r="L1842" s="34">
        <f>IF($J1842=1,LN(B1843/B1842),"")</f>
        <v/>
      </c>
      <c r="M1842" s="34">
        <f>IF($K1842=1,INDEX(Mensal!$D$2:$D$245,MATCH($I1842,Mensal!$A$2:$A$245,0)),"")</f>
        <v/>
      </c>
      <c r="N1842" s="34">
        <f>IF($K1842=1,L1842-M1842,"")</f>
        <v/>
      </c>
      <c r="O1842" s="34" t="n">
        <v>0.00033182</v>
      </c>
      <c r="P1842" s="34">
        <f>IF($J1842=1,LN(1+O1842),"")</f>
        <v/>
      </c>
      <c r="Q1842" s="34">
        <f>IF($J1842=1,LN(R1843/R1842),"")</f>
        <v/>
      </c>
      <c r="R1842" s="32" t="n">
        <v>2.2617</v>
      </c>
      <c r="S1842" s="35" t="n">
        <v>10.163</v>
      </c>
      <c r="T1842" s="18" t="n"/>
      <c r="U1842" s="18" t="n"/>
      <c r="V1842" s="18" t="n"/>
      <c r="W1842" s="18" t="n">
        <v>54271</v>
      </c>
      <c r="X1842" s="35" t="n">
        <v>10.163</v>
      </c>
      <c r="Y1842" s="35" t="n"/>
    </row>
    <row r="1843">
      <c r="A1843" s="25" t="n">
        <v>41535</v>
      </c>
      <c r="B1843" s="18" t="n">
        <v>55702</v>
      </c>
      <c r="C1843" s="31" t="n"/>
      <c r="D1843" s="32" t="n"/>
      <c r="E1843" s="33" t="n">
        <v>-9.021699999999999</v>
      </c>
      <c r="F1843" t="inlineStr">
        <is>
          <t>Down</t>
        </is>
      </c>
      <c r="G1843" t="inlineStr">
        <is>
          <t>Up</t>
        </is>
      </c>
      <c r="H1843" t="inlineStr">
        <is>
          <t>ED_JU</t>
        </is>
      </c>
      <c r="I1843" t="inlineStr">
        <is>
          <t>2013-09</t>
        </is>
      </c>
      <c r="J1843" t="n">
        <v>1</v>
      </c>
      <c r="K1843" t="n">
        <v>1</v>
      </c>
      <c r="L1843" s="34">
        <f>IF($J1843=1,LN(B1844/B1843),"")</f>
        <v/>
      </c>
      <c r="M1843" s="34">
        <f>IF($K1843=1,INDEX(Mensal!$D$2:$D$245,MATCH($I1843,Mensal!$A$2:$A$245,0)),"")</f>
        <v/>
      </c>
      <c r="N1843" s="34">
        <f>IF($K1843=1,L1843-M1843,"")</f>
        <v/>
      </c>
      <c r="O1843" s="34" t="n">
        <v>0.00033182</v>
      </c>
      <c r="P1843" s="34">
        <f>IF($J1843=1,LN(1+O1843),"")</f>
        <v/>
      </c>
      <c r="Q1843" s="34">
        <f>IF($J1843=1,LN(R1844/R1843),"")</f>
        <v/>
      </c>
      <c r="R1843" s="32" t="n">
        <v>2.2489</v>
      </c>
      <c r="S1843" s="35" t="n">
        <v>9.93</v>
      </c>
      <c r="T1843" s="18" t="n"/>
      <c r="U1843" s="18" t="n"/>
      <c r="V1843" s="18" t="n"/>
      <c r="W1843" s="18" t="n">
        <v>55702</v>
      </c>
      <c r="X1843" s="35" t="n">
        <v>9.93</v>
      </c>
      <c r="Y1843" s="35" t="n"/>
    </row>
    <row r="1844">
      <c r="A1844" s="25" t="n">
        <v>41536</v>
      </c>
      <c r="B1844" s="18" t="n">
        <v>55095</v>
      </c>
      <c r="C1844" s="31" t="n"/>
      <c r="D1844" s="32" t="n"/>
      <c r="E1844" s="33" t="n">
        <v>-9.5146</v>
      </c>
      <c r="F1844" t="inlineStr">
        <is>
          <t>Down</t>
        </is>
      </c>
      <c r="G1844" t="inlineStr">
        <is>
          <t>Up</t>
        </is>
      </c>
      <c r="H1844" t="inlineStr">
        <is>
          <t>ED_JU</t>
        </is>
      </c>
      <c r="I1844" t="inlineStr">
        <is>
          <t>2013-09</t>
        </is>
      </c>
      <c r="J1844" t="n">
        <v>1</v>
      </c>
      <c r="K1844" t="n">
        <v>1</v>
      </c>
      <c r="L1844" s="34">
        <f>IF($J1844=1,LN(B1845/B1844),"")</f>
        <v/>
      </c>
      <c r="M1844" s="34">
        <f>IF($K1844=1,INDEX(Mensal!$D$2:$D$245,MATCH($I1844,Mensal!$A$2:$A$245,0)),"")</f>
        <v/>
      </c>
      <c r="N1844" s="34">
        <f>IF($K1844=1,L1844-M1844,"")</f>
        <v/>
      </c>
      <c r="O1844" s="34" t="n">
        <v>0.00033146</v>
      </c>
      <c r="P1844" s="34">
        <f>IF($J1844=1,LN(1+O1844),"")</f>
        <v/>
      </c>
      <c r="Q1844" s="34">
        <f>IF($J1844=1,LN(R1845/R1844),"")</f>
        <v/>
      </c>
      <c r="R1844" s="32" t="n">
        <v>2.2036</v>
      </c>
      <c r="S1844" s="35" t="n">
        <v>9.94</v>
      </c>
      <c r="T1844" s="18" t="n"/>
      <c r="U1844" s="18" t="n"/>
      <c r="V1844" s="18" t="n"/>
      <c r="W1844" s="18" t="n">
        <v>55095</v>
      </c>
      <c r="X1844" s="35" t="n">
        <v>9.94</v>
      </c>
      <c r="Y1844" s="35" t="n"/>
    </row>
    <row r="1845">
      <c r="A1845" s="25" t="n">
        <v>41537</v>
      </c>
      <c r="B1845" s="18" t="n">
        <v>54110</v>
      </c>
      <c r="C1845" s="31" t="n"/>
      <c r="D1845" s="32" t="n"/>
      <c r="E1845" s="33" t="n">
        <v>-9.964</v>
      </c>
      <c r="F1845" t="inlineStr">
        <is>
          <t>Down</t>
        </is>
      </c>
      <c r="G1845" t="inlineStr">
        <is>
          <t>Up</t>
        </is>
      </c>
      <c r="H1845" t="inlineStr">
        <is>
          <t>ED_JU</t>
        </is>
      </c>
      <c r="I1845" t="inlineStr">
        <is>
          <t>2013-09</t>
        </is>
      </c>
      <c r="J1845" t="n">
        <v>1</v>
      </c>
      <c r="K1845" t="n">
        <v>1</v>
      </c>
      <c r="L1845" s="34">
        <f>IF($J1845=1,LN(B1846/B1845),"")</f>
        <v/>
      </c>
      <c r="M1845" s="34">
        <f>IF($K1845=1,INDEX(Mensal!$D$2:$D$245,MATCH($I1845,Mensal!$A$2:$A$245,0)),"")</f>
        <v/>
      </c>
      <c r="N1845" s="34">
        <f>IF($K1845=1,L1845-M1845,"")</f>
        <v/>
      </c>
      <c r="O1845" s="34" t="n">
        <v>0.00033109</v>
      </c>
      <c r="P1845" s="34">
        <f>IF($J1845=1,LN(1+O1845),"")</f>
        <v/>
      </c>
      <c r="Q1845" s="34">
        <f>IF($J1845=1,LN(R1846/R1845),"")</f>
        <v/>
      </c>
      <c r="R1845" s="32" t="n">
        <v>2.2053</v>
      </c>
      <c r="S1845" s="35" t="n">
        <v>9.914</v>
      </c>
      <c r="T1845" s="18" t="n"/>
      <c r="U1845" s="18" t="n"/>
      <c r="V1845" s="18" t="n"/>
      <c r="W1845" s="18" t="n">
        <v>54110</v>
      </c>
      <c r="X1845" s="35" t="n">
        <v>9.914</v>
      </c>
      <c r="Y1845" s="35" t="n"/>
    </row>
    <row r="1846">
      <c r="A1846" s="25" t="n">
        <v>41540</v>
      </c>
      <c r="B1846" s="18" t="n">
        <v>54602</v>
      </c>
      <c r="C1846" s="31" t="n"/>
      <c r="D1846" s="32" t="n"/>
      <c r="E1846" s="33" t="n">
        <v>-10.3537</v>
      </c>
      <c r="F1846" t="inlineStr">
        <is>
          <t>Down</t>
        </is>
      </c>
      <c r="G1846" t="inlineStr">
        <is>
          <t>Up</t>
        </is>
      </c>
      <c r="H1846" t="inlineStr">
        <is>
          <t>ED_JU</t>
        </is>
      </c>
      <c r="I1846" t="inlineStr">
        <is>
          <t>2013-09</t>
        </is>
      </c>
      <c r="J1846" t="n">
        <v>1</v>
      </c>
      <c r="K1846" t="n">
        <v>1</v>
      </c>
      <c r="L1846" s="34">
        <f>IF($J1846=1,LN(B1847/B1846),"")</f>
        <v/>
      </c>
      <c r="M1846" s="34">
        <f>IF($K1846=1,INDEX(Mensal!$D$2:$D$245,MATCH($I1846,Mensal!$A$2:$A$245,0)),"")</f>
        <v/>
      </c>
      <c r="N1846" s="34">
        <f>IF($K1846=1,L1846-M1846,"")</f>
        <v/>
      </c>
      <c r="O1846" s="34" t="n">
        <v>0.00033109</v>
      </c>
      <c r="P1846" s="34">
        <f>IF($J1846=1,LN(1+O1846),"")</f>
        <v/>
      </c>
      <c r="Q1846" s="34">
        <f>IF($J1846=1,LN(R1847/R1846),"")</f>
        <v/>
      </c>
      <c r="R1846" s="32" t="n">
        <v>2.2033</v>
      </c>
      <c r="S1846" s="35" t="n">
        <v>9.928000000000001</v>
      </c>
      <c r="T1846" s="18" t="n"/>
      <c r="U1846" s="18" t="n"/>
      <c r="V1846" s="18" t="n"/>
      <c r="W1846" s="18" t="n">
        <v>54602</v>
      </c>
      <c r="X1846" s="35" t="n">
        <v>9.928000000000001</v>
      </c>
      <c r="Y1846" s="35" t="n"/>
    </row>
    <row r="1847">
      <c r="A1847" s="25" t="n">
        <v>41541</v>
      </c>
      <c r="B1847" s="18" t="n">
        <v>54431</v>
      </c>
      <c r="C1847" s="31" t="n"/>
      <c r="D1847" s="32" t="n"/>
      <c r="E1847" s="33" t="n">
        <v>-10.7073</v>
      </c>
      <c r="F1847" t="inlineStr">
        <is>
          <t>Down</t>
        </is>
      </c>
      <c r="G1847" t="inlineStr">
        <is>
          <t>Up</t>
        </is>
      </c>
      <c r="H1847" t="inlineStr">
        <is>
          <t>ED_JU</t>
        </is>
      </c>
      <c r="I1847" t="inlineStr">
        <is>
          <t>2013-09</t>
        </is>
      </c>
      <c r="J1847" t="n">
        <v>1</v>
      </c>
      <c r="K1847" t="n">
        <v>1</v>
      </c>
      <c r="L1847" s="34">
        <f>IF($J1847=1,LN(B1848/B1847),"")</f>
        <v/>
      </c>
      <c r="M1847" s="34">
        <f>IF($K1847=1,INDEX(Mensal!$D$2:$D$245,MATCH($I1847,Mensal!$A$2:$A$245,0)),"")</f>
        <v/>
      </c>
      <c r="N1847" s="34">
        <f>IF($K1847=1,L1847-M1847,"")</f>
        <v/>
      </c>
      <c r="O1847" s="34" t="n">
        <v>0.00033109</v>
      </c>
      <c r="P1847" s="34">
        <f>IF($J1847=1,LN(1+O1847),"")</f>
        <v/>
      </c>
      <c r="Q1847" s="34">
        <f>IF($J1847=1,LN(R1848/R1847),"")</f>
        <v/>
      </c>
      <c r="R1847" s="32" t="n">
        <v>2.2031</v>
      </c>
      <c r="S1847" s="35" t="n">
        <v>9.872</v>
      </c>
      <c r="T1847" s="18" t="n"/>
      <c r="U1847" s="18" t="n"/>
      <c r="V1847" s="18" t="n"/>
      <c r="W1847" s="18" t="n">
        <v>54431</v>
      </c>
      <c r="X1847" s="35" t="n">
        <v>9.872</v>
      </c>
      <c r="Y1847" s="35" t="n"/>
    </row>
    <row r="1848">
      <c r="A1848" s="25" t="n">
        <v>41542</v>
      </c>
      <c r="B1848" s="18" t="n">
        <v>54261</v>
      </c>
      <c r="C1848" s="31" t="n"/>
      <c r="D1848" s="32" t="n"/>
      <c r="E1848" s="33" t="n">
        <v>-11.0208</v>
      </c>
      <c r="F1848" t="inlineStr">
        <is>
          <t>Down</t>
        </is>
      </c>
      <c r="G1848" t="inlineStr">
        <is>
          <t>Up</t>
        </is>
      </c>
      <c r="H1848" t="inlineStr">
        <is>
          <t>ED_JU</t>
        </is>
      </c>
      <c r="I1848" t="inlineStr">
        <is>
          <t>2013-09</t>
        </is>
      </c>
      <c r="J1848" t="n">
        <v>1</v>
      </c>
      <c r="K1848" t="n">
        <v>1</v>
      </c>
      <c r="L1848" s="34">
        <f>IF($J1848=1,LN(B1849/B1848),"")</f>
        <v/>
      </c>
      <c r="M1848" s="34">
        <f>IF($K1848=1,INDEX(Mensal!$D$2:$D$245,MATCH($I1848,Mensal!$A$2:$A$245,0)),"")</f>
        <v/>
      </c>
      <c r="N1848" s="34">
        <f>IF($K1848=1,L1848-M1848,"")</f>
        <v/>
      </c>
      <c r="O1848" s="34" t="n">
        <v>0.00033511</v>
      </c>
      <c r="P1848" s="34">
        <f>IF($J1848=1,LN(1+O1848),"")</f>
        <v/>
      </c>
      <c r="Q1848" s="34">
        <f>IF($J1848=1,LN(R1849/R1848),"")</f>
        <v/>
      </c>
      <c r="R1848" s="32" t="n">
        <v>2.2224</v>
      </c>
      <c r="S1848" s="35" t="n">
        <v>9.893000000000001</v>
      </c>
      <c r="T1848" s="18" t="n"/>
      <c r="U1848" s="18" t="n"/>
      <c r="V1848" s="18" t="n"/>
      <c r="W1848" s="18" t="n">
        <v>54261</v>
      </c>
      <c r="X1848" s="35" t="n">
        <v>9.893000000000001</v>
      </c>
      <c r="Y1848" s="35" t="n"/>
    </row>
    <row r="1849">
      <c r="A1849" s="25" t="n">
        <v>41543</v>
      </c>
      <c r="B1849" s="18" t="n">
        <v>53782</v>
      </c>
      <c r="C1849" s="31" t="n"/>
      <c r="D1849" s="32" t="n"/>
      <c r="E1849" s="33" t="n">
        <v>-11.3279</v>
      </c>
      <c r="F1849" t="inlineStr">
        <is>
          <t>Down</t>
        </is>
      </c>
      <c r="G1849" t="inlineStr">
        <is>
          <t>Up</t>
        </is>
      </c>
      <c r="H1849" t="inlineStr">
        <is>
          <t>ED_JU</t>
        </is>
      </c>
      <c r="I1849" t="inlineStr">
        <is>
          <t>2013-09</t>
        </is>
      </c>
      <c r="J1849" t="n">
        <v>1</v>
      </c>
      <c r="K1849" t="n">
        <v>1</v>
      </c>
      <c r="L1849" s="34">
        <f>IF($J1849=1,LN(B1850/B1849),"")</f>
        <v/>
      </c>
      <c r="M1849" s="34">
        <f>IF($K1849=1,INDEX(Mensal!$D$2:$D$245,MATCH($I1849,Mensal!$A$2:$A$245,0)),"")</f>
        <v/>
      </c>
      <c r="N1849" s="34">
        <f>IF($K1849=1,L1849-M1849,"")</f>
        <v/>
      </c>
      <c r="O1849" s="34" t="n">
        <v>0.00033182</v>
      </c>
      <c r="P1849" s="34">
        <f>IF($J1849=1,LN(1+O1849),"")</f>
        <v/>
      </c>
      <c r="Q1849" s="34">
        <f>IF($J1849=1,LN(R1850/R1849),"")</f>
        <v/>
      </c>
      <c r="R1849" s="32" t="n">
        <v>2.2285</v>
      </c>
      <c r="S1849" s="35" t="n">
        <v>9.981</v>
      </c>
      <c r="T1849" s="18" t="n"/>
      <c r="U1849" s="18" t="n"/>
      <c r="V1849" s="18" t="n"/>
      <c r="W1849" s="18" t="n">
        <v>53782</v>
      </c>
      <c r="X1849" s="35" t="n">
        <v>9.981</v>
      </c>
      <c r="Y1849" s="35" t="n"/>
    </row>
    <row r="1850">
      <c r="A1850" s="25" t="n">
        <v>41544</v>
      </c>
      <c r="B1850" s="18" t="n">
        <v>53738</v>
      </c>
      <c r="C1850" s="31" t="n"/>
      <c r="D1850" s="32" t="n"/>
      <c r="E1850" s="33" t="n">
        <v>-11.5925</v>
      </c>
      <c r="F1850" t="inlineStr">
        <is>
          <t>Down</t>
        </is>
      </c>
      <c r="G1850" t="inlineStr">
        <is>
          <t>Up</t>
        </is>
      </c>
      <c r="H1850" t="inlineStr">
        <is>
          <t>ED_JU</t>
        </is>
      </c>
      <c r="I1850" t="inlineStr">
        <is>
          <t>2013-09</t>
        </is>
      </c>
      <c r="J1850" t="n">
        <v>1</v>
      </c>
      <c r="K1850" t="n">
        <v>1</v>
      </c>
      <c r="L1850" s="34">
        <f>IF($J1850=1,LN(B1851/B1850),"")</f>
        <v/>
      </c>
      <c r="M1850" s="34">
        <f>IF($K1850=1,INDEX(Mensal!$D$2:$D$245,MATCH($I1850,Mensal!$A$2:$A$245,0)),"")</f>
        <v/>
      </c>
      <c r="N1850" s="34">
        <f>IF($K1850=1,L1850-M1850,"")</f>
        <v/>
      </c>
      <c r="O1850" s="34" t="n">
        <v>0.00033146</v>
      </c>
      <c r="P1850" s="34">
        <f>IF($J1850=1,LN(1+O1850),"")</f>
        <v/>
      </c>
      <c r="Q1850" s="34">
        <f>IF($J1850=1,LN(R1851/R1850),"")</f>
        <v/>
      </c>
      <c r="R1850" s="32" t="n">
        <v>2.2571</v>
      </c>
      <c r="S1850" s="35" t="n">
        <v>9.981</v>
      </c>
      <c r="T1850" s="18" t="n"/>
      <c r="U1850" s="18" t="n"/>
      <c r="V1850" s="18" t="n"/>
      <c r="W1850" s="18" t="n">
        <v>53738</v>
      </c>
      <c r="X1850" s="35" t="n">
        <v>9.981</v>
      </c>
      <c r="Y1850" s="35" t="n"/>
    </row>
    <row r="1851">
      <c r="A1851" s="25" t="n">
        <v>41547</v>
      </c>
      <c r="B1851" s="18" t="n">
        <v>52338</v>
      </c>
      <c r="C1851" s="31" t="n"/>
      <c r="D1851" s="32" t="n"/>
      <c r="E1851" s="33" t="n">
        <v>-11.8537</v>
      </c>
      <c r="F1851" t="inlineStr">
        <is>
          <t>Down</t>
        </is>
      </c>
      <c r="G1851" t="inlineStr">
        <is>
          <t>Up</t>
        </is>
      </c>
      <c r="H1851" t="inlineStr">
        <is>
          <t>ED_JU</t>
        </is>
      </c>
      <c r="I1851" t="inlineStr">
        <is>
          <t>2013-09</t>
        </is>
      </c>
      <c r="J1851" t="n">
        <v>1</v>
      </c>
      <c r="K1851" t="n">
        <v>1</v>
      </c>
      <c r="L1851" s="34">
        <f>IF($J1851=1,LN(B1852/B1851),"")</f>
        <v/>
      </c>
      <c r="M1851" s="34">
        <f>IF($K1851=1,INDEX(Mensal!$D$2:$D$245,MATCH($I1851,Mensal!$A$2:$A$245,0)),"")</f>
        <v/>
      </c>
      <c r="N1851" s="34">
        <f>IF($K1851=1,L1851-M1851,"")</f>
        <v/>
      </c>
      <c r="O1851" s="34" t="n">
        <v>0.00033146</v>
      </c>
      <c r="P1851" s="34">
        <f>IF($J1851=1,LN(1+O1851),"")</f>
        <v/>
      </c>
      <c r="Q1851" s="34">
        <f>IF($J1851=1,LN(R1852/R1851),"")</f>
        <v/>
      </c>
      <c r="R1851" s="32" t="n">
        <v>2.23</v>
      </c>
      <c r="S1851" s="35" t="n">
        <v>10.07</v>
      </c>
      <c r="T1851" s="18" t="n"/>
      <c r="U1851" s="18" t="n"/>
      <c r="V1851" s="18" t="n"/>
      <c r="W1851" s="18" t="n">
        <v>52338</v>
      </c>
      <c r="X1851" s="35" t="n">
        <v>10.07</v>
      </c>
      <c r="Y1851" s="35" t="n"/>
    </row>
    <row r="1852">
      <c r="A1852" s="25" t="n">
        <v>41548</v>
      </c>
      <c r="B1852" s="18" t="n">
        <v>53179</v>
      </c>
      <c r="C1852" s="31" t="n"/>
      <c r="D1852" s="32" t="n"/>
      <c r="E1852" s="33" t="n">
        <v>-12.1046</v>
      </c>
      <c r="F1852" t="inlineStr">
        <is>
          <t>Down</t>
        </is>
      </c>
      <c r="G1852" t="inlineStr">
        <is>
          <t>Up</t>
        </is>
      </c>
      <c r="H1852" t="inlineStr">
        <is>
          <t>ED_JU</t>
        </is>
      </c>
      <c r="I1852" t="inlineStr">
        <is>
          <t>2013-10</t>
        </is>
      </c>
      <c r="J1852" t="n">
        <v>1</v>
      </c>
      <c r="K1852" t="n">
        <v>1</v>
      </c>
      <c r="L1852" s="34">
        <f>IF($J1852=1,LN(B1853/B1852),"")</f>
        <v/>
      </c>
      <c r="M1852" s="34">
        <f>IF($K1852=1,INDEX(Mensal!$D$2:$D$245,MATCH($I1852,Mensal!$A$2:$A$245,0)),"")</f>
        <v/>
      </c>
      <c r="N1852" s="34">
        <f>IF($K1852=1,L1852-M1852,"")</f>
        <v/>
      </c>
      <c r="O1852" s="34" t="n">
        <v>0.00033146</v>
      </c>
      <c r="P1852" s="34">
        <f>IF($J1852=1,LN(1+O1852),"")</f>
        <v/>
      </c>
      <c r="Q1852" s="34">
        <f>IF($J1852=1,LN(R1853/R1852),"")</f>
        <v/>
      </c>
      <c r="R1852" s="32" t="n">
        <v>2.2123</v>
      </c>
      <c r="S1852" s="35" t="n">
        <v>10.142</v>
      </c>
      <c r="T1852" s="18" t="n"/>
      <c r="U1852" s="18" t="n"/>
      <c r="V1852" s="18" t="n"/>
      <c r="W1852" s="18" t="n">
        <v>53179</v>
      </c>
      <c r="X1852" s="35" t="n">
        <v>10.142</v>
      </c>
      <c r="Y1852" s="35" t="n"/>
    </row>
    <row r="1853">
      <c r="A1853" s="25" t="n">
        <v>41549</v>
      </c>
      <c r="B1853" s="18" t="n">
        <v>53100</v>
      </c>
      <c r="C1853" s="31" t="n"/>
      <c r="D1853" s="32" t="n"/>
      <c r="E1853" s="33" t="n">
        <v>-12.3247</v>
      </c>
      <c r="F1853" t="inlineStr">
        <is>
          <t>Down</t>
        </is>
      </c>
      <c r="G1853" t="inlineStr">
        <is>
          <t>Up</t>
        </is>
      </c>
      <c r="H1853" t="inlineStr">
        <is>
          <t>ED_JU</t>
        </is>
      </c>
      <c r="I1853" t="inlineStr">
        <is>
          <t>2013-10</t>
        </is>
      </c>
      <c r="J1853" t="n">
        <v>1</v>
      </c>
      <c r="K1853" t="n">
        <v>1</v>
      </c>
      <c r="L1853" s="34">
        <f>IF($J1853=1,LN(B1854/B1853),"")</f>
        <v/>
      </c>
      <c r="M1853" s="34">
        <f>IF($K1853=1,INDEX(Mensal!$D$2:$D$245,MATCH($I1853,Mensal!$A$2:$A$245,0)),"")</f>
        <v/>
      </c>
      <c r="N1853" s="34">
        <f>IF($K1853=1,L1853-M1853,"")</f>
        <v/>
      </c>
      <c r="O1853" s="34" t="n">
        <v>0.00033109</v>
      </c>
      <c r="P1853" s="34">
        <f>IF($J1853=1,LN(1+O1853),"")</f>
        <v/>
      </c>
      <c r="Q1853" s="34">
        <f>IF($J1853=1,LN(R1854/R1853),"")</f>
        <v/>
      </c>
      <c r="R1853" s="32" t="n">
        <v>2.2088</v>
      </c>
      <c r="S1853" s="35" t="n">
        <v>10.145</v>
      </c>
      <c r="T1853" s="18" t="n"/>
      <c r="U1853" s="18" t="n"/>
      <c r="V1853" s="18" t="n"/>
      <c r="W1853" s="18" t="n">
        <v>53100</v>
      </c>
      <c r="X1853" s="35" t="n">
        <v>10.145</v>
      </c>
      <c r="Y1853" s="35" t="n"/>
    </row>
    <row r="1854">
      <c r="A1854" s="25" t="n">
        <v>41550</v>
      </c>
      <c r="B1854" s="18" t="n">
        <v>52489</v>
      </c>
      <c r="C1854" s="31" t="n"/>
      <c r="D1854" s="32" t="n"/>
      <c r="E1854" s="33" t="n">
        <v>-12.51</v>
      </c>
      <c r="F1854" t="inlineStr">
        <is>
          <t>Down</t>
        </is>
      </c>
      <c r="G1854" t="inlineStr">
        <is>
          <t>Up</t>
        </is>
      </c>
      <c r="H1854" t="inlineStr">
        <is>
          <t>ED_JU</t>
        </is>
      </c>
      <c r="I1854" t="inlineStr">
        <is>
          <t>2013-10</t>
        </is>
      </c>
      <c r="J1854" t="n">
        <v>1</v>
      </c>
      <c r="K1854" t="n">
        <v>1</v>
      </c>
      <c r="L1854" s="34">
        <f>IF($J1854=1,LN(B1855/B1854),"")</f>
        <v/>
      </c>
      <c r="M1854" s="34">
        <f>IF($K1854=1,INDEX(Mensal!$D$2:$D$245,MATCH($I1854,Mensal!$A$2:$A$245,0)),"")</f>
        <v/>
      </c>
      <c r="N1854" s="34">
        <f>IF($K1854=1,L1854-M1854,"")</f>
        <v/>
      </c>
      <c r="O1854" s="34" t="n">
        <v>0.00033109</v>
      </c>
      <c r="P1854" s="34">
        <f>IF($J1854=1,LN(1+O1854),"")</f>
        <v/>
      </c>
      <c r="Q1854" s="34">
        <f>IF($J1854=1,LN(R1855/R1854),"")</f>
        <v/>
      </c>
      <c r="R1854" s="32" t="n">
        <v>2.2069</v>
      </c>
      <c r="S1854" s="35" t="n">
        <v>10.036</v>
      </c>
      <c r="T1854" s="18" t="n"/>
      <c r="U1854" s="18" t="n"/>
      <c r="V1854" s="18" t="n"/>
      <c r="W1854" s="18" t="n">
        <v>52489</v>
      </c>
      <c r="X1854" s="35" t="n">
        <v>10.036</v>
      </c>
      <c r="Y1854" s="35" t="n"/>
    </row>
    <row r="1855">
      <c r="A1855" s="25" t="n">
        <v>41551</v>
      </c>
      <c r="B1855" s="18" t="n">
        <v>52848</v>
      </c>
      <c r="C1855" s="31" t="n"/>
      <c r="D1855" s="32" t="n"/>
      <c r="E1855" s="33" t="n">
        <v>-12.6654</v>
      </c>
      <c r="F1855" t="inlineStr">
        <is>
          <t>Down</t>
        </is>
      </c>
      <c r="G1855" t="inlineStr">
        <is>
          <t>Up</t>
        </is>
      </c>
      <c r="H1855" t="inlineStr">
        <is>
          <t>ED_JU</t>
        </is>
      </c>
      <c r="I1855" t="inlineStr">
        <is>
          <t>2013-10</t>
        </is>
      </c>
      <c r="J1855" t="n">
        <v>1</v>
      </c>
      <c r="K1855" t="n">
        <v>1</v>
      </c>
      <c r="L1855" s="34">
        <f>IF($J1855=1,LN(B1856/B1855),"")</f>
        <v/>
      </c>
      <c r="M1855" s="34">
        <f>IF($K1855=1,INDEX(Mensal!$D$2:$D$245,MATCH($I1855,Mensal!$A$2:$A$245,0)),"")</f>
        <v/>
      </c>
      <c r="N1855" s="34">
        <f>IF($K1855=1,L1855-M1855,"")</f>
        <v/>
      </c>
      <c r="O1855" s="34" t="n">
        <v>0.00033584</v>
      </c>
      <c r="P1855" s="34">
        <f>IF($J1855=1,LN(1+O1855),"")</f>
        <v/>
      </c>
      <c r="Q1855" s="34">
        <f>IF($J1855=1,LN(R1856/R1855),"")</f>
        <v/>
      </c>
      <c r="R1855" s="32" t="n">
        <v>2.2051</v>
      </c>
      <c r="S1855" s="35" t="n">
        <v>10.016</v>
      </c>
      <c r="T1855" s="18" t="n"/>
      <c r="U1855" s="18" t="n"/>
      <c r="V1855" s="18" t="n"/>
      <c r="W1855" s="18" t="n">
        <v>52848</v>
      </c>
      <c r="X1855" s="35" t="n">
        <v>10.016</v>
      </c>
      <c r="Y1855" s="35" t="n"/>
    </row>
    <row r="1856">
      <c r="A1856" s="25" t="n">
        <v>41554</v>
      </c>
      <c r="B1856" s="18" t="n">
        <v>52417</v>
      </c>
      <c r="C1856" s="31" t="n"/>
      <c r="D1856" s="32" t="n"/>
      <c r="E1856" s="33" t="n">
        <v>-12.7884</v>
      </c>
      <c r="F1856" t="inlineStr">
        <is>
          <t>Down</t>
        </is>
      </c>
      <c r="G1856" t="inlineStr">
        <is>
          <t>Up</t>
        </is>
      </c>
      <c r="H1856" t="inlineStr">
        <is>
          <t>ED_JU</t>
        </is>
      </c>
      <c r="I1856" t="inlineStr">
        <is>
          <t>2013-10</t>
        </is>
      </c>
      <c r="J1856" t="n">
        <v>1</v>
      </c>
      <c r="K1856" t="n">
        <v>1</v>
      </c>
      <c r="L1856" s="34">
        <f>IF($J1856=1,LN(B1857/B1856),"")</f>
        <v/>
      </c>
      <c r="M1856" s="34">
        <f>IF($K1856=1,INDEX(Mensal!$D$2:$D$245,MATCH($I1856,Mensal!$A$2:$A$245,0)),"")</f>
        <v/>
      </c>
      <c r="N1856" s="34">
        <f>IF($K1856=1,L1856-M1856,"")</f>
        <v/>
      </c>
      <c r="O1856" s="34" t="n">
        <v>0.00033511</v>
      </c>
      <c r="P1856" s="34">
        <f>IF($J1856=1,LN(1+O1856),"")</f>
        <v/>
      </c>
      <c r="Q1856" s="34">
        <f>IF($J1856=1,LN(R1857/R1856),"")</f>
        <v/>
      </c>
      <c r="R1856" s="32" t="n">
        <v>2.2087</v>
      </c>
      <c r="S1856" s="35" t="n">
        <v>9.992000000000001</v>
      </c>
      <c r="T1856" s="18" t="n"/>
      <c r="U1856" s="18" t="n"/>
      <c r="V1856" s="18" t="n"/>
      <c r="W1856" s="18" t="n">
        <v>52417</v>
      </c>
      <c r="X1856" s="35" t="n">
        <v>9.992000000000001</v>
      </c>
      <c r="Y1856" s="35" t="n"/>
    </row>
    <row r="1857">
      <c r="A1857" s="25" t="n">
        <v>41555</v>
      </c>
      <c r="B1857" s="18" t="n">
        <v>52312</v>
      </c>
      <c r="C1857" s="31" t="n"/>
      <c r="D1857" s="32" t="n"/>
      <c r="E1857" s="33" t="n">
        <v>-12.8825</v>
      </c>
      <c r="F1857" t="inlineStr">
        <is>
          <t>Down</t>
        </is>
      </c>
      <c r="G1857" t="inlineStr">
        <is>
          <t>Up</t>
        </is>
      </c>
      <c r="H1857" t="inlineStr">
        <is>
          <t>ED_JU</t>
        </is>
      </c>
      <c r="I1857" t="inlineStr">
        <is>
          <t>2013-10</t>
        </is>
      </c>
      <c r="J1857" t="n">
        <v>1</v>
      </c>
      <c r="K1857" t="n">
        <v>1</v>
      </c>
      <c r="L1857" s="34">
        <f>IF($J1857=1,LN(B1858/B1857),"")</f>
        <v/>
      </c>
      <c r="M1857" s="34">
        <f>IF($K1857=1,INDEX(Mensal!$D$2:$D$245,MATCH($I1857,Mensal!$A$2:$A$245,0)),"")</f>
        <v/>
      </c>
      <c r="N1857" s="34">
        <f>IF($K1857=1,L1857-M1857,"")</f>
        <v/>
      </c>
      <c r="O1857" s="34" t="n">
        <v>0.00033511</v>
      </c>
      <c r="P1857" s="34">
        <f>IF($J1857=1,LN(1+O1857),"")</f>
        <v/>
      </c>
      <c r="Q1857" s="34">
        <f>IF($J1857=1,LN(R1858/R1857),"")</f>
        <v/>
      </c>
      <c r="R1857" s="32" t="n">
        <v>2.2016</v>
      </c>
      <c r="S1857" s="35" t="n">
        <v>9.974</v>
      </c>
      <c r="T1857" s="18" t="n"/>
      <c r="U1857" s="18" t="n"/>
      <c r="V1857" s="18" t="n"/>
      <c r="W1857" s="18" t="n">
        <v>52312</v>
      </c>
      <c r="X1857" s="35" t="n">
        <v>9.974</v>
      </c>
      <c r="Y1857" s="35" t="n"/>
    </row>
    <row r="1858">
      <c r="A1858" s="25" t="n">
        <v>41556</v>
      </c>
      <c r="B1858" s="18" t="n">
        <v>52547</v>
      </c>
      <c r="C1858" s="31" t="n"/>
      <c r="D1858" s="32" t="n"/>
      <c r="E1858" s="33" t="n">
        <v>-12.9342</v>
      </c>
      <c r="F1858" t="inlineStr">
        <is>
          <t>Down</t>
        </is>
      </c>
      <c r="G1858" t="inlineStr">
        <is>
          <t>Up</t>
        </is>
      </c>
      <c r="H1858" t="inlineStr">
        <is>
          <t>ED_JU</t>
        </is>
      </c>
      <c r="I1858" t="inlineStr">
        <is>
          <t>2013-10</t>
        </is>
      </c>
      <c r="J1858" t="n">
        <v>1</v>
      </c>
      <c r="K1858" t="n">
        <v>1</v>
      </c>
      <c r="L1858" s="34">
        <f>IF($J1858=1,LN(B1859/B1858),"")</f>
        <v/>
      </c>
      <c r="M1858" s="34">
        <f>IF($K1858=1,INDEX(Mensal!$D$2:$D$245,MATCH($I1858,Mensal!$A$2:$A$245,0)),"")</f>
        <v/>
      </c>
      <c r="N1858" s="34">
        <f>IF($K1858=1,L1858-M1858,"")</f>
        <v/>
      </c>
      <c r="O1858" s="34" t="n">
        <v>0.00033657</v>
      </c>
      <c r="P1858" s="34">
        <f>IF($J1858=1,LN(1+O1858),"")</f>
        <v/>
      </c>
      <c r="Q1858" s="34">
        <f>IF($J1858=1,LN(R1859/R1858),"")</f>
        <v/>
      </c>
      <c r="R1858" s="32" t="n">
        <v>2.2054</v>
      </c>
      <c r="S1858" s="35" t="n">
        <v>9.986000000000001</v>
      </c>
      <c r="T1858" s="18" t="n"/>
      <c r="U1858" s="18" t="n"/>
      <c r="V1858" s="18" t="n"/>
      <c r="W1858" s="18" t="n">
        <v>52547</v>
      </c>
      <c r="X1858" s="35" t="n">
        <v>9.986000000000001</v>
      </c>
      <c r="Y1858" s="35" t="n"/>
    </row>
    <row r="1859">
      <c r="A1859" s="25" t="n">
        <v>41557</v>
      </c>
      <c r="B1859" s="18" t="n">
        <v>52996</v>
      </c>
      <c r="C1859" s="31" t="n"/>
      <c r="D1859" s="32" t="n"/>
      <c r="E1859" s="33" t="n">
        <v>-13.0265</v>
      </c>
      <c r="F1859" t="inlineStr">
        <is>
          <t>Down</t>
        </is>
      </c>
      <c r="G1859" t="inlineStr">
        <is>
          <t>Up</t>
        </is>
      </c>
      <c r="H1859" t="inlineStr">
        <is>
          <t>ED_JU</t>
        </is>
      </c>
      <c r="I1859" t="inlineStr">
        <is>
          <t>2013-10</t>
        </is>
      </c>
      <c r="J1859" t="n">
        <v>1</v>
      </c>
      <c r="K1859" t="n">
        <v>1</v>
      </c>
      <c r="L1859" s="34">
        <f>IF($J1859=1,LN(B1860/B1859),"")</f>
        <v/>
      </c>
      <c r="M1859" s="34">
        <f>IF($K1859=1,INDEX(Mensal!$D$2:$D$245,MATCH($I1859,Mensal!$A$2:$A$245,0)),"")</f>
        <v/>
      </c>
      <c r="N1859" s="34">
        <f>IF($K1859=1,L1859-M1859,"")</f>
        <v/>
      </c>
      <c r="O1859" s="34" t="n">
        <v>0.00035512</v>
      </c>
      <c r="P1859" s="34">
        <f>IF($J1859=1,LN(1+O1859),"")</f>
        <v/>
      </c>
      <c r="Q1859" s="34">
        <f>IF($J1859=1,LN(R1860/R1859),"")</f>
        <v/>
      </c>
      <c r="R1859" s="32" t="n">
        <v>2.185</v>
      </c>
      <c r="S1859" s="35" t="n">
        <v>10.186</v>
      </c>
      <c r="T1859" s="18" t="n"/>
      <c r="U1859" s="18" t="n"/>
      <c r="V1859" s="18" t="n"/>
      <c r="W1859" s="18" t="n">
        <v>52996</v>
      </c>
      <c r="X1859" s="35" t="n">
        <v>10.186</v>
      </c>
      <c r="Y1859" s="35" t="n"/>
    </row>
    <row r="1860">
      <c r="A1860" s="25" t="n">
        <v>41558</v>
      </c>
      <c r="B1860" s="18" t="n">
        <v>53149</v>
      </c>
      <c r="C1860" s="31" t="n"/>
      <c r="D1860" s="32" t="n"/>
      <c r="E1860" s="33" t="n">
        <v>-13.0751</v>
      </c>
      <c r="F1860" t="inlineStr">
        <is>
          <t>Down</t>
        </is>
      </c>
      <c r="G1860" t="inlineStr">
        <is>
          <t>Up</t>
        </is>
      </c>
      <c r="H1860" t="inlineStr">
        <is>
          <t>ED_JU</t>
        </is>
      </c>
      <c r="I1860" t="inlineStr">
        <is>
          <t>2013-10</t>
        </is>
      </c>
      <c r="J1860" t="n">
        <v>1</v>
      </c>
      <c r="K1860" t="n">
        <v>1</v>
      </c>
      <c r="L1860" s="34">
        <f>IF($J1860=1,LN(B1861/B1860),"")</f>
        <v/>
      </c>
      <c r="M1860" s="34">
        <f>IF($K1860=1,INDEX(Mensal!$D$2:$D$245,MATCH($I1860,Mensal!$A$2:$A$245,0)),"")</f>
        <v/>
      </c>
      <c r="N1860" s="34">
        <f>IF($K1860=1,L1860-M1860,"")</f>
        <v/>
      </c>
      <c r="O1860" s="34" t="n">
        <v>0.00035367</v>
      </c>
      <c r="P1860" s="34">
        <f>IF($J1860=1,LN(1+O1860),"")</f>
        <v/>
      </c>
      <c r="Q1860" s="34">
        <f>IF($J1860=1,LN(R1861/R1860),"")</f>
        <v/>
      </c>
      <c r="R1860" s="32" t="n">
        <v>2.1821</v>
      </c>
      <c r="S1860" s="35" t="n">
        <v>10.265</v>
      </c>
      <c r="T1860" s="18" t="n"/>
      <c r="U1860" s="18" t="n"/>
      <c r="V1860" s="18" t="n"/>
      <c r="W1860" s="18" t="n">
        <v>53149</v>
      </c>
      <c r="X1860" s="35" t="n">
        <v>10.265</v>
      </c>
      <c r="Y1860" s="35" t="n"/>
    </row>
    <row r="1861">
      <c r="A1861" s="25" t="n">
        <v>41561</v>
      </c>
      <c r="B1861" s="18" t="n">
        <v>54170</v>
      </c>
      <c r="C1861" s="31" t="n"/>
      <c r="D1861" s="32" t="n"/>
      <c r="E1861" s="33" t="n">
        <v>-13.2097</v>
      </c>
      <c r="F1861" t="inlineStr">
        <is>
          <t>Down</t>
        </is>
      </c>
      <c r="G1861" t="inlineStr">
        <is>
          <t>Up</t>
        </is>
      </c>
      <c r="H1861" t="inlineStr">
        <is>
          <t>ED_JU</t>
        </is>
      </c>
      <c r="I1861" t="inlineStr">
        <is>
          <t>2013-10</t>
        </is>
      </c>
      <c r="J1861" t="n">
        <v>1</v>
      </c>
      <c r="K1861" t="n">
        <v>1</v>
      </c>
      <c r="L1861" s="34">
        <f>IF($J1861=1,LN(B1862/B1861),"")</f>
        <v/>
      </c>
      <c r="M1861" s="34">
        <f>IF($K1861=1,INDEX(Mensal!$D$2:$D$245,MATCH($I1861,Mensal!$A$2:$A$245,0)),"")</f>
        <v/>
      </c>
      <c r="N1861" s="34">
        <f>IF($K1861=1,L1861-M1861,"")</f>
        <v/>
      </c>
      <c r="O1861" s="34" t="n">
        <v>0.00035476</v>
      </c>
      <c r="P1861" s="34">
        <f>IF($J1861=1,LN(1+O1861),"")</f>
        <v/>
      </c>
      <c r="Q1861" s="34">
        <f>IF($J1861=1,LN(R1862/R1861),"")</f>
        <v/>
      </c>
      <c r="R1861" s="32" t="n">
        <v>2.1817</v>
      </c>
      <c r="S1861" s="35" t="n">
        <v>10.291</v>
      </c>
      <c r="T1861" s="18" t="n"/>
      <c r="U1861" s="18" t="n"/>
      <c r="V1861" s="18" t="n"/>
      <c r="W1861" s="18" t="n">
        <v>54170</v>
      </c>
      <c r="X1861" s="35" t="n">
        <v>10.291</v>
      </c>
      <c r="Y1861" s="35" t="n"/>
    </row>
    <row r="1862">
      <c r="A1862" s="25" t="n">
        <v>41562</v>
      </c>
      <c r="B1862" s="18" t="n">
        <v>54980</v>
      </c>
      <c r="C1862" s="31" t="n"/>
      <c r="D1862" s="32" t="n"/>
      <c r="E1862" s="33" t="n">
        <v>-13.3019</v>
      </c>
      <c r="F1862" t="inlineStr">
        <is>
          <t>Down</t>
        </is>
      </c>
      <c r="G1862" t="inlineStr">
        <is>
          <t>Up</t>
        </is>
      </c>
      <c r="H1862" t="inlineStr">
        <is>
          <t>ED_JU</t>
        </is>
      </c>
      <c r="I1862" t="inlineStr">
        <is>
          <t>2013-10</t>
        </is>
      </c>
      <c r="J1862" t="n">
        <v>1</v>
      </c>
      <c r="K1862" t="n">
        <v>1</v>
      </c>
      <c r="L1862" s="34">
        <f>IF($J1862=1,LN(B1863/B1862),"")</f>
        <v/>
      </c>
      <c r="M1862" s="34">
        <f>IF($K1862=1,INDEX(Mensal!$D$2:$D$245,MATCH($I1862,Mensal!$A$2:$A$245,0)),"")</f>
        <v/>
      </c>
      <c r="N1862" s="34">
        <f>IF($K1862=1,L1862-M1862,"")</f>
        <v/>
      </c>
      <c r="O1862" s="34" t="n">
        <v>0.00035476</v>
      </c>
      <c r="P1862" s="34">
        <f>IF($J1862=1,LN(1+O1862),"")</f>
        <v/>
      </c>
      <c r="Q1862" s="34">
        <f>IF($J1862=1,LN(R1863/R1862),"")</f>
        <v/>
      </c>
      <c r="R1862" s="32" t="n">
        <v>2.1818</v>
      </c>
      <c r="S1862" s="35" t="n">
        <v>10.273</v>
      </c>
      <c r="T1862" s="18" t="n"/>
      <c r="U1862" s="18" t="n"/>
      <c r="V1862" s="18" t="n"/>
      <c r="W1862" s="18" t="n">
        <v>54980</v>
      </c>
      <c r="X1862" s="35" t="n">
        <v>10.273</v>
      </c>
      <c r="Y1862" s="35" t="n"/>
    </row>
    <row r="1863">
      <c r="A1863" s="25" t="n">
        <v>41563</v>
      </c>
      <c r="B1863" s="18" t="n">
        <v>55973</v>
      </c>
      <c r="C1863" s="31" t="n"/>
      <c r="D1863" s="32" t="n"/>
      <c r="E1863" s="33" t="n">
        <v>-13.3547</v>
      </c>
      <c r="F1863" t="inlineStr">
        <is>
          <t>Down</t>
        </is>
      </c>
      <c r="G1863" t="inlineStr">
        <is>
          <t>Up</t>
        </is>
      </c>
      <c r="H1863" t="inlineStr">
        <is>
          <t>ED_JU</t>
        </is>
      </c>
      <c r="I1863" t="inlineStr">
        <is>
          <t>2013-10</t>
        </is>
      </c>
      <c r="J1863" t="n">
        <v>1</v>
      </c>
      <c r="K1863" t="n">
        <v>1</v>
      </c>
      <c r="L1863" s="34">
        <f>IF($J1863=1,LN(B1864/B1863),"")</f>
        <v/>
      </c>
      <c r="M1863" s="34">
        <f>IF($K1863=1,INDEX(Mensal!$D$2:$D$245,MATCH($I1863,Mensal!$A$2:$A$245,0)),"")</f>
        <v/>
      </c>
      <c r="N1863" s="34">
        <f>IF($K1863=1,L1863-M1863,"")</f>
        <v/>
      </c>
      <c r="O1863" s="34" t="n">
        <v>0.00035476</v>
      </c>
      <c r="P1863" s="34">
        <f>IF($J1863=1,LN(1+O1863),"")</f>
        <v/>
      </c>
      <c r="Q1863" s="34">
        <f>IF($J1863=1,LN(R1864/R1863),"")</f>
        <v/>
      </c>
      <c r="R1863" s="32" t="n">
        <v>2.1629</v>
      </c>
      <c r="S1863" s="35" t="n">
        <v>10.278</v>
      </c>
      <c r="T1863" s="18" t="n"/>
      <c r="U1863" s="18" t="n"/>
      <c r="V1863" s="18" t="n"/>
      <c r="W1863" s="18" t="n">
        <v>55973</v>
      </c>
      <c r="X1863" s="35" t="n">
        <v>10.278</v>
      </c>
      <c r="Y1863" s="35" t="n"/>
    </row>
    <row r="1864">
      <c r="A1864" s="25" t="n">
        <v>41564</v>
      </c>
      <c r="B1864" s="18" t="n">
        <v>55358</v>
      </c>
      <c r="C1864" s="31" t="n"/>
      <c r="D1864" s="32" t="n"/>
      <c r="E1864" s="33" t="n">
        <v>-13.3461</v>
      </c>
      <c r="F1864" t="inlineStr">
        <is>
          <t>Down</t>
        </is>
      </c>
      <c r="G1864" t="inlineStr">
        <is>
          <t>Up</t>
        </is>
      </c>
      <c r="H1864" t="inlineStr">
        <is>
          <t>ED_JU</t>
        </is>
      </c>
      <c r="I1864" t="inlineStr">
        <is>
          <t>2013-10</t>
        </is>
      </c>
      <c r="J1864" t="n">
        <v>1</v>
      </c>
      <c r="K1864" t="n">
        <v>1</v>
      </c>
      <c r="L1864" s="34">
        <f>IF($J1864=1,LN(B1865/B1864),"")</f>
        <v/>
      </c>
      <c r="M1864" s="34">
        <f>IF($K1864=1,INDEX(Mensal!$D$2:$D$245,MATCH($I1864,Mensal!$A$2:$A$245,0)),"")</f>
        <v/>
      </c>
      <c r="N1864" s="34">
        <f>IF($K1864=1,L1864-M1864,"")</f>
        <v/>
      </c>
      <c r="O1864" s="34" t="n">
        <v>0.00035476</v>
      </c>
      <c r="P1864" s="34">
        <f>IF($J1864=1,LN(1+O1864),"")</f>
        <v/>
      </c>
      <c r="Q1864" s="34">
        <f>IF($J1864=1,LN(R1865/R1864),"")</f>
        <v/>
      </c>
      <c r="R1864" s="32" t="n">
        <v>2.1611</v>
      </c>
      <c r="S1864" s="35" t="n">
        <v>10.335</v>
      </c>
      <c r="T1864" s="18" t="n"/>
      <c r="U1864" s="18" t="n"/>
      <c r="V1864" s="18" t="n"/>
      <c r="W1864" s="18" t="n">
        <v>55358</v>
      </c>
      <c r="X1864" s="35" t="n">
        <v>10.335</v>
      </c>
      <c r="Y1864" s="35" t="n"/>
    </row>
    <row r="1865">
      <c r="A1865" s="25" t="n">
        <v>41565</v>
      </c>
      <c r="B1865" s="18" t="n">
        <v>55378</v>
      </c>
      <c r="C1865" s="31" t="n"/>
      <c r="D1865" s="32" t="n"/>
      <c r="E1865" s="33" t="n">
        <v>-13.2898</v>
      </c>
      <c r="F1865" t="inlineStr">
        <is>
          <t>Down</t>
        </is>
      </c>
      <c r="G1865" t="inlineStr">
        <is>
          <t>Up</t>
        </is>
      </c>
      <c r="H1865" t="inlineStr">
        <is>
          <t>ED_JU</t>
        </is>
      </c>
      <c r="I1865" t="inlineStr">
        <is>
          <t>2013-10</t>
        </is>
      </c>
      <c r="J1865" t="n">
        <v>1</v>
      </c>
      <c r="K1865" t="n">
        <v>1</v>
      </c>
      <c r="L1865" s="34">
        <f>IF($J1865=1,LN(B1866/B1865),"")</f>
        <v/>
      </c>
      <c r="M1865" s="34">
        <f>IF($K1865=1,INDEX(Mensal!$D$2:$D$245,MATCH($I1865,Mensal!$A$2:$A$245,0)),"")</f>
        <v/>
      </c>
      <c r="N1865" s="34">
        <f>IF($K1865=1,L1865-M1865,"")</f>
        <v/>
      </c>
      <c r="O1865" s="34" t="n">
        <v>0.00035367</v>
      </c>
      <c r="P1865" s="34">
        <f>IF($J1865=1,LN(1+O1865),"")</f>
        <v/>
      </c>
      <c r="Q1865" s="34">
        <f>IF($J1865=1,LN(R1866/R1865),"")</f>
        <v/>
      </c>
      <c r="R1865" s="32" t="n">
        <v>2.1616</v>
      </c>
      <c r="S1865" s="35" t="n">
        <v>10.417</v>
      </c>
      <c r="T1865" s="18" t="n"/>
      <c r="U1865" s="18" t="n"/>
      <c r="V1865" s="18" t="n"/>
      <c r="W1865" s="18" t="n">
        <v>55378</v>
      </c>
      <c r="X1865" s="35" t="n">
        <v>10.417</v>
      </c>
      <c r="Y1865" s="35" t="n"/>
    </row>
    <row r="1866">
      <c r="A1866" s="25" t="n">
        <v>41568</v>
      </c>
      <c r="B1866" s="18" t="n">
        <v>56077</v>
      </c>
      <c r="C1866" s="31" t="n"/>
      <c r="D1866" s="32" t="n"/>
      <c r="E1866" s="33" t="n">
        <v>-13.1751</v>
      </c>
      <c r="F1866" t="inlineStr">
        <is>
          <t>Down</t>
        </is>
      </c>
      <c r="G1866" t="inlineStr">
        <is>
          <t>Up</t>
        </is>
      </c>
      <c r="H1866" t="inlineStr">
        <is>
          <t>ED_JU</t>
        </is>
      </c>
      <c r="I1866" t="inlineStr">
        <is>
          <t>2013-10</t>
        </is>
      </c>
      <c r="J1866" t="n">
        <v>1</v>
      </c>
      <c r="K1866" t="n">
        <v>1</v>
      </c>
      <c r="L1866" s="34">
        <f>IF($J1866=1,LN(B1867/B1866),"")</f>
        <v/>
      </c>
      <c r="M1866" s="34">
        <f>IF($K1866=1,INDEX(Mensal!$D$2:$D$245,MATCH($I1866,Mensal!$A$2:$A$245,0)),"")</f>
        <v/>
      </c>
      <c r="N1866" s="34">
        <f>IF($K1866=1,L1866-M1866,"")</f>
        <v/>
      </c>
      <c r="O1866" s="34" t="n">
        <v>0.00035476</v>
      </c>
      <c r="P1866" s="34">
        <f>IF($J1866=1,LN(1+O1866),"")</f>
        <v/>
      </c>
      <c r="Q1866" s="34">
        <f>IF($J1866=1,LN(R1867/R1866),"")</f>
        <v/>
      </c>
      <c r="R1866" s="32" t="n">
        <v>2.1738</v>
      </c>
      <c r="S1866" s="35" t="n">
        <v>10.467</v>
      </c>
      <c r="T1866" s="18" t="n"/>
      <c r="U1866" s="18" t="n"/>
      <c r="V1866" s="18" t="n"/>
      <c r="W1866" s="18" t="n">
        <v>56077</v>
      </c>
      <c r="X1866" s="35" t="n">
        <v>10.467</v>
      </c>
      <c r="Y1866" s="35" t="n"/>
    </row>
    <row r="1867">
      <c r="A1867" s="25" t="n">
        <v>41569</v>
      </c>
      <c r="B1867" s="18" t="n">
        <v>56460</v>
      </c>
      <c r="C1867" s="31" t="n"/>
      <c r="D1867" s="32" t="n"/>
      <c r="E1867" s="33" t="n">
        <v>-13.024</v>
      </c>
      <c r="F1867" t="inlineStr">
        <is>
          <t>Down</t>
        </is>
      </c>
      <c r="G1867" t="inlineStr">
        <is>
          <t>Up</t>
        </is>
      </c>
      <c r="H1867" t="inlineStr">
        <is>
          <t>ED_JU</t>
        </is>
      </c>
      <c r="I1867" t="inlineStr">
        <is>
          <t>2013-10</t>
        </is>
      </c>
      <c r="J1867" t="n">
        <v>1</v>
      </c>
      <c r="K1867" t="n">
        <v>1</v>
      </c>
      <c r="L1867" s="34">
        <f>IF($J1867=1,LN(B1868/B1867),"")</f>
        <v/>
      </c>
      <c r="M1867" s="34">
        <f>IF($K1867=1,INDEX(Mensal!$D$2:$D$245,MATCH($I1867,Mensal!$A$2:$A$245,0)),"")</f>
        <v/>
      </c>
      <c r="N1867" s="34">
        <f>IF($K1867=1,L1867-M1867,"")</f>
        <v/>
      </c>
      <c r="O1867" s="34" t="n">
        <v>0.00035476</v>
      </c>
      <c r="P1867" s="34">
        <f>IF($J1867=1,LN(1+O1867),"")</f>
        <v/>
      </c>
      <c r="Q1867" s="34">
        <f>IF($J1867=1,LN(R1868/R1867),"")</f>
        <v/>
      </c>
      <c r="R1867" s="32" t="n">
        <v>2.176</v>
      </c>
      <c r="S1867" s="35" t="n">
        <v>10.445</v>
      </c>
      <c r="T1867" s="18" t="n"/>
      <c r="U1867" s="18" t="n"/>
      <c r="V1867" s="18" t="n"/>
      <c r="W1867" s="18" t="n">
        <v>56460</v>
      </c>
      <c r="X1867" s="35" t="n">
        <v>10.445</v>
      </c>
      <c r="Y1867" s="35" t="n"/>
    </row>
    <row r="1868">
      <c r="A1868" s="25" t="n">
        <v>41570</v>
      </c>
      <c r="B1868" s="18" t="n">
        <v>55440</v>
      </c>
      <c r="C1868" s="31" t="n"/>
      <c r="D1868" s="32" t="n"/>
      <c r="E1868" s="33" t="n">
        <v>-12.8436</v>
      </c>
      <c r="F1868" t="inlineStr">
        <is>
          <t>Down</t>
        </is>
      </c>
      <c r="G1868" t="inlineStr">
        <is>
          <t>Up</t>
        </is>
      </c>
      <c r="H1868" t="inlineStr">
        <is>
          <t>ED_JU</t>
        </is>
      </c>
      <c r="I1868" t="inlineStr">
        <is>
          <t>2013-10</t>
        </is>
      </c>
      <c r="J1868" t="n">
        <v>1</v>
      </c>
      <c r="K1868" t="n">
        <v>1</v>
      </c>
      <c r="L1868" s="34">
        <f>IF($J1868=1,LN(B1869/B1868),"")</f>
        <v/>
      </c>
      <c r="M1868" s="34">
        <f>IF($K1868=1,INDEX(Mensal!$D$2:$D$245,MATCH($I1868,Mensal!$A$2:$A$245,0)),"")</f>
        <v/>
      </c>
      <c r="N1868" s="34">
        <f>IF($K1868=1,L1868-M1868,"")</f>
        <v/>
      </c>
      <c r="O1868" s="34" t="n">
        <v>0.00035367</v>
      </c>
      <c r="P1868" s="34">
        <f>IF($J1868=1,LN(1+O1868),"")</f>
        <v/>
      </c>
      <c r="Q1868" s="34">
        <f>IF($J1868=1,LN(R1869/R1868),"")</f>
        <v/>
      </c>
      <c r="R1868" s="32" t="n">
        <v>2.1826</v>
      </c>
      <c r="S1868" s="35" t="n">
        <v>10.407</v>
      </c>
      <c r="T1868" s="18" t="n"/>
      <c r="U1868" s="18" t="n"/>
      <c r="V1868" s="18" t="n"/>
      <c r="W1868" s="18" t="n">
        <v>55440</v>
      </c>
      <c r="X1868" s="35" t="n">
        <v>10.407</v>
      </c>
      <c r="Y1868" s="35" t="n"/>
    </row>
    <row r="1869">
      <c r="A1869" s="25" t="n">
        <v>41571</v>
      </c>
      <c r="B1869" s="18" t="n">
        <v>54877</v>
      </c>
      <c r="C1869" s="31" t="n"/>
      <c r="D1869" s="32" t="n"/>
      <c r="E1869" s="33" t="n">
        <v>-12.6362</v>
      </c>
      <c r="F1869" t="inlineStr">
        <is>
          <t>Down</t>
        </is>
      </c>
      <c r="G1869" t="inlineStr">
        <is>
          <t>Up</t>
        </is>
      </c>
      <c r="H1869" t="inlineStr">
        <is>
          <t>ED_JU</t>
        </is>
      </c>
      <c r="I1869" t="inlineStr">
        <is>
          <t>2013-10</t>
        </is>
      </c>
      <c r="J1869" t="n">
        <v>1</v>
      </c>
      <c r="K1869" t="n">
        <v>1</v>
      </c>
      <c r="L1869" s="34">
        <f>IF($J1869=1,LN(B1870/B1869),"")</f>
        <v/>
      </c>
      <c r="M1869" s="34">
        <f>IF($K1869=1,INDEX(Mensal!$D$2:$D$245,MATCH($I1869,Mensal!$A$2:$A$245,0)),"")</f>
        <v/>
      </c>
      <c r="N1869" s="34">
        <f>IF($K1869=1,L1869-M1869,"")</f>
        <v/>
      </c>
      <c r="O1869" s="34" t="n">
        <v>0.00035367</v>
      </c>
      <c r="P1869" s="34">
        <f>IF($J1869=1,LN(1+O1869),"")</f>
        <v/>
      </c>
      <c r="Q1869" s="34">
        <f>IF($J1869=1,LN(R1870/R1869),"")</f>
        <v/>
      </c>
      <c r="R1869" s="32" t="n">
        <v>2.2003</v>
      </c>
      <c r="S1869" s="35" t="n">
        <v>10.444</v>
      </c>
      <c r="T1869" s="18" t="n"/>
      <c r="U1869" s="18" t="n"/>
      <c r="V1869" s="18" t="n"/>
      <c r="W1869" s="18" t="n">
        <v>54877</v>
      </c>
      <c r="X1869" s="35" t="n">
        <v>10.444</v>
      </c>
      <c r="Y1869" s="35" t="n"/>
    </row>
    <row r="1870">
      <c r="A1870" s="25" t="n">
        <v>41572</v>
      </c>
      <c r="B1870" s="18" t="n">
        <v>54154</v>
      </c>
      <c r="C1870" s="31" t="n"/>
      <c r="D1870" s="32" t="n"/>
      <c r="E1870" s="33" t="n">
        <v>-12.5074</v>
      </c>
      <c r="F1870" t="inlineStr">
        <is>
          <t>Down</t>
        </is>
      </c>
      <c r="G1870" t="inlineStr">
        <is>
          <t>Up</t>
        </is>
      </c>
      <c r="H1870" t="inlineStr">
        <is>
          <t>ED_JU</t>
        </is>
      </c>
      <c r="I1870" t="inlineStr">
        <is>
          <t>2013-10</t>
        </is>
      </c>
      <c r="J1870" t="n">
        <v>1</v>
      </c>
      <c r="K1870" t="n">
        <v>1</v>
      </c>
      <c r="L1870" s="34">
        <f>IF($J1870=1,LN(B1871/B1870),"")</f>
        <v/>
      </c>
      <c r="M1870" s="34">
        <f>IF($K1870=1,INDEX(Mensal!$D$2:$D$245,MATCH($I1870,Mensal!$A$2:$A$245,0)),"")</f>
        <v/>
      </c>
      <c r="N1870" s="34">
        <f>IF($K1870=1,L1870-M1870,"")</f>
        <v/>
      </c>
      <c r="O1870" s="34" t="n">
        <v>0.00035367</v>
      </c>
      <c r="P1870" s="34">
        <f>IF($J1870=1,LN(1+O1870),"")</f>
        <v/>
      </c>
      <c r="Q1870" s="34">
        <f>IF($J1870=1,LN(R1871/R1870),"")</f>
        <v/>
      </c>
      <c r="R1870" s="32" t="n">
        <v>2.1848</v>
      </c>
      <c r="S1870" s="35" t="n">
        <v>10.402</v>
      </c>
      <c r="T1870" s="18" t="n"/>
      <c r="U1870" s="18" t="n"/>
      <c r="V1870" s="18" t="n"/>
      <c r="W1870" s="18" t="n">
        <v>54154</v>
      </c>
      <c r="X1870" s="35" t="n">
        <v>10.402</v>
      </c>
      <c r="Y1870" s="35" t="n"/>
    </row>
    <row r="1871">
      <c r="A1871" s="25" t="n">
        <v>41575</v>
      </c>
      <c r="B1871" s="18" t="n">
        <v>55073</v>
      </c>
      <c r="C1871" s="31" t="n"/>
      <c r="D1871" s="32" t="n"/>
      <c r="E1871" s="33" t="n">
        <v>-12.3439</v>
      </c>
      <c r="F1871" t="inlineStr">
        <is>
          <t>Down</t>
        </is>
      </c>
      <c r="G1871" t="inlineStr">
        <is>
          <t>Up</t>
        </is>
      </c>
      <c r="H1871" t="inlineStr">
        <is>
          <t>ED_JU</t>
        </is>
      </c>
      <c r="I1871" t="inlineStr">
        <is>
          <t>2013-10</t>
        </is>
      </c>
      <c r="J1871" t="n">
        <v>1</v>
      </c>
      <c r="K1871" t="n">
        <v>1</v>
      </c>
      <c r="L1871" s="34">
        <f>IF($J1871=1,LN(B1872/B1871),"")</f>
        <v/>
      </c>
      <c r="M1871" s="34">
        <f>IF($K1871=1,INDEX(Mensal!$D$2:$D$245,MATCH($I1871,Mensal!$A$2:$A$245,0)),"")</f>
        <v/>
      </c>
      <c r="N1871" s="34">
        <f>IF($K1871=1,L1871-M1871,"")</f>
        <v/>
      </c>
      <c r="O1871" s="34" t="n">
        <v>0.00035367</v>
      </c>
      <c r="P1871" s="34">
        <f>IF($J1871=1,LN(1+O1871),"")</f>
        <v/>
      </c>
      <c r="Q1871" s="34">
        <f>IF($J1871=1,LN(R1872/R1871),"")</f>
        <v/>
      </c>
      <c r="R1871" s="32" t="n">
        <v>2.1846</v>
      </c>
      <c r="S1871" s="35" t="n">
        <v>10.432</v>
      </c>
      <c r="T1871" s="18" t="n"/>
      <c r="U1871" s="18" t="n"/>
      <c r="V1871" s="18" t="n"/>
      <c r="W1871" s="18" t="n">
        <v>55073</v>
      </c>
      <c r="X1871" s="35" t="n">
        <v>10.432</v>
      </c>
      <c r="Y1871" s="35" t="n"/>
    </row>
    <row r="1872">
      <c r="A1872" s="25" t="n">
        <v>41576</v>
      </c>
      <c r="B1872" s="18" t="n">
        <v>54538</v>
      </c>
      <c r="C1872" s="31" t="n"/>
      <c r="D1872" s="32" t="n"/>
      <c r="E1872" s="33" t="n">
        <v>-12.1429</v>
      </c>
      <c r="F1872" t="inlineStr">
        <is>
          <t>Down</t>
        </is>
      </c>
      <c r="G1872" t="inlineStr">
        <is>
          <t>Up</t>
        </is>
      </c>
      <c r="H1872" t="inlineStr">
        <is>
          <t>ED_JU</t>
        </is>
      </c>
      <c r="I1872" t="inlineStr">
        <is>
          <t>2013-10</t>
        </is>
      </c>
      <c r="J1872" t="n">
        <v>1</v>
      </c>
      <c r="K1872" t="n">
        <v>1</v>
      </c>
      <c r="L1872" s="34">
        <f>IF($J1872=1,LN(B1873/B1872),"")</f>
        <v/>
      </c>
      <c r="M1872" s="34">
        <f>IF($K1872=1,INDEX(Mensal!$D$2:$D$245,MATCH($I1872,Mensal!$A$2:$A$245,0)),"")</f>
        <v/>
      </c>
      <c r="N1872" s="34">
        <f>IF($K1872=1,L1872-M1872,"")</f>
        <v/>
      </c>
      <c r="O1872" s="34" t="n">
        <v>0.00035367</v>
      </c>
      <c r="P1872" s="34">
        <f>IF($J1872=1,LN(1+O1872),"")</f>
        <v/>
      </c>
      <c r="Q1872" s="34">
        <f>IF($J1872=1,LN(R1873/R1872),"")</f>
        <v/>
      </c>
      <c r="R1872" s="32" t="n">
        <v>2.1804</v>
      </c>
      <c r="S1872" s="35" t="n">
        <v>10.461</v>
      </c>
      <c r="T1872" s="18" t="n"/>
      <c r="U1872" s="18" t="n"/>
      <c r="V1872" s="18" t="n"/>
      <c r="W1872" s="18" t="n">
        <v>54538</v>
      </c>
      <c r="X1872" s="35" t="n">
        <v>10.461</v>
      </c>
      <c r="Y1872" s="35" t="n"/>
    </row>
    <row r="1873">
      <c r="A1873" s="25" t="n">
        <v>41577</v>
      </c>
      <c r="B1873" s="18" t="n">
        <v>54172</v>
      </c>
      <c r="C1873" s="31" t="n"/>
      <c r="D1873" s="32" t="n"/>
      <c r="E1873" s="33" t="n">
        <v>-11.9941</v>
      </c>
      <c r="F1873" t="inlineStr">
        <is>
          <t>Down</t>
        </is>
      </c>
      <c r="G1873" t="inlineStr">
        <is>
          <t>Up</t>
        </is>
      </c>
      <c r="H1873" t="inlineStr">
        <is>
          <t>ED_JU</t>
        </is>
      </c>
      <c r="I1873" t="inlineStr">
        <is>
          <t>2013-10</t>
        </is>
      </c>
      <c r="J1873" t="n">
        <v>1</v>
      </c>
      <c r="K1873" t="n">
        <v>1</v>
      </c>
      <c r="L1873" s="34">
        <f>IF($J1873=1,LN(B1874/B1873),"")</f>
        <v/>
      </c>
      <c r="M1873" s="34">
        <f>IF($K1873=1,INDEX(Mensal!$D$2:$D$245,MATCH($I1873,Mensal!$A$2:$A$245,0)),"")</f>
        <v/>
      </c>
      <c r="N1873" s="34">
        <f>IF($K1873=1,L1873-M1873,"")</f>
        <v/>
      </c>
      <c r="O1873" s="34" t="n">
        <v>0.00035367</v>
      </c>
      <c r="P1873" s="34">
        <f>IF($J1873=1,LN(1+O1873),"")</f>
        <v/>
      </c>
      <c r="Q1873" s="34">
        <f>IF($J1873=1,LN(R1874/R1873),"")</f>
        <v/>
      </c>
      <c r="R1873" s="32" t="n">
        <v>2.1888</v>
      </c>
      <c r="S1873" s="35" t="n">
        <v>10.449</v>
      </c>
      <c r="T1873" s="18" t="n"/>
      <c r="U1873" s="18" t="n"/>
      <c r="V1873" s="18" t="n"/>
      <c r="W1873" s="18" t="n">
        <v>54172</v>
      </c>
      <c r="X1873" s="35" t="n">
        <v>10.449</v>
      </c>
      <c r="Y1873" s="35" t="n"/>
    </row>
    <row r="1874">
      <c r="A1874" s="25" t="n">
        <v>41578</v>
      </c>
      <c r="B1874" s="18" t="n">
        <v>54256</v>
      </c>
      <c r="C1874" s="31" t="n"/>
      <c r="D1874" s="32" t="n"/>
      <c r="E1874" s="33" t="n">
        <v>-11.8455</v>
      </c>
      <c r="F1874" t="inlineStr">
        <is>
          <t>Down</t>
        </is>
      </c>
      <c r="G1874" t="inlineStr">
        <is>
          <t>Up</t>
        </is>
      </c>
      <c r="H1874" t="inlineStr">
        <is>
          <t>ED_JU</t>
        </is>
      </c>
      <c r="I1874" t="inlineStr">
        <is>
          <t>2013-10</t>
        </is>
      </c>
      <c r="J1874" t="n">
        <v>1</v>
      </c>
      <c r="K1874" t="n">
        <v>1</v>
      </c>
      <c r="L1874" s="34">
        <f>IF($J1874=1,LN(B1875/B1874),"")</f>
        <v/>
      </c>
      <c r="M1874" s="34">
        <f>IF($K1874=1,INDEX(Mensal!$D$2:$D$245,MATCH($I1874,Mensal!$A$2:$A$245,0)),"")</f>
        <v/>
      </c>
      <c r="N1874" s="34">
        <f>IF($K1874=1,L1874-M1874,"")</f>
        <v/>
      </c>
      <c r="O1874" s="34" t="n">
        <v>0.00035367</v>
      </c>
      <c r="P1874" s="34">
        <f>IF($J1874=1,LN(1+O1874),"")</f>
        <v/>
      </c>
      <c r="Q1874" s="34">
        <f>IF($J1874=1,LN(R1875/R1874),"")</f>
        <v/>
      </c>
      <c r="R1874" s="32" t="n">
        <v>2.2026</v>
      </c>
      <c r="S1874" s="35" t="n">
        <v>10.503</v>
      </c>
      <c r="T1874" s="18" t="n"/>
      <c r="U1874" s="18" t="n"/>
      <c r="V1874" s="18" t="n"/>
      <c r="W1874" s="18" t="n">
        <v>54256</v>
      </c>
      <c r="X1874" s="35" t="n">
        <v>10.503</v>
      </c>
      <c r="Y1874" s="35" t="n"/>
    </row>
    <row r="1875">
      <c r="A1875" s="25" t="n">
        <v>41579</v>
      </c>
      <c r="B1875" s="18" t="n">
        <v>54013</v>
      </c>
      <c r="C1875" s="31" t="n"/>
      <c r="D1875" s="32" t="n"/>
      <c r="E1875" s="33" t="n">
        <v>-10.5486</v>
      </c>
      <c r="F1875" t="inlineStr">
        <is>
          <t>Down</t>
        </is>
      </c>
      <c r="G1875" t="inlineStr">
        <is>
          <t>Up</t>
        </is>
      </c>
      <c r="H1875" t="inlineStr">
        <is>
          <t>ED_JU</t>
        </is>
      </c>
      <c r="I1875" t="inlineStr">
        <is>
          <t>2013-11</t>
        </is>
      </c>
      <c r="J1875" t="n">
        <v>1</v>
      </c>
      <c r="K1875" t="n">
        <v>1</v>
      </c>
      <c r="L1875" s="34">
        <f>IF($J1875=1,LN(B1876/B1875),"")</f>
        <v/>
      </c>
      <c r="M1875" s="34">
        <f>IF($K1875=1,INDEX(Mensal!$D$2:$D$245,MATCH($I1875,Mensal!$A$2:$A$245,0)),"")</f>
        <v/>
      </c>
      <c r="N1875" s="34">
        <f>IF($K1875=1,L1875-M1875,"")</f>
        <v/>
      </c>
      <c r="O1875" s="34" t="n">
        <v>0.00035367</v>
      </c>
      <c r="P1875" s="34">
        <f>IF($J1875=1,LN(1+O1875),"")</f>
        <v/>
      </c>
      <c r="Q1875" s="34">
        <f>IF($J1875=1,LN(R1876/R1875),"")</f>
        <v/>
      </c>
      <c r="R1875" s="32" t="n">
        <v>2.2468</v>
      </c>
      <c r="S1875" s="35" t="n">
        <v>10.583</v>
      </c>
      <c r="T1875" s="18" t="n"/>
      <c r="U1875" s="18" t="n"/>
      <c r="V1875" s="18" t="n"/>
      <c r="W1875" s="18" t="n">
        <v>54013</v>
      </c>
      <c r="X1875" s="35" t="n">
        <v>10.583</v>
      </c>
      <c r="Y1875" s="35" t="n"/>
    </row>
    <row r="1876">
      <c r="A1876" s="25" t="n">
        <v>41582</v>
      </c>
      <c r="B1876" s="18" t="n">
        <v>54436</v>
      </c>
      <c r="C1876" s="31" t="n"/>
      <c r="D1876" s="32" t="n"/>
      <c r="E1876" s="33" t="n">
        <v>-9.266</v>
      </c>
      <c r="F1876" t="inlineStr">
        <is>
          <t>Down</t>
        </is>
      </c>
      <c r="G1876" t="inlineStr">
        <is>
          <t>Up</t>
        </is>
      </c>
      <c r="H1876" t="inlineStr">
        <is>
          <t>ED_JU</t>
        </is>
      </c>
      <c r="I1876" t="inlineStr">
        <is>
          <t>2013-11</t>
        </is>
      </c>
      <c r="J1876" t="n">
        <v>1</v>
      </c>
      <c r="K1876" t="n">
        <v>1</v>
      </c>
      <c r="L1876" s="34">
        <f>IF($J1876=1,LN(B1877/B1876),"")</f>
        <v/>
      </c>
      <c r="M1876" s="34">
        <f>IF($K1876=1,INDEX(Mensal!$D$2:$D$245,MATCH($I1876,Mensal!$A$2:$A$245,0)),"")</f>
        <v/>
      </c>
      <c r="N1876" s="34">
        <f>IF($K1876=1,L1876-M1876,"")</f>
        <v/>
      </c>
      <c r="O1876" s="34" t="n">
        <v>0.00035222</v>
      </c>
      <c r="P1876" s="34">
        <f>IF($J1876=1,LN(1+O1876),"")</f>
        <v/>
      </c>
      <c r="Q1876" s="34">
        <f>IF($J1876=1,LN(R1877/R1876),"")</f>
        <v/>
      </c>
      <c r="R1876" s="32" t="n">
        <v>2.2426</v>
      </c>
      <c r="S1876" s="35" t="n">
        <v>10.546</v>
      </c>
      <c r="T1876" s="18" t="n"/>
      <c r="U1876" s="18" t="n"/>
      <c r="V1876" s="18" t="n"/>
      <c r="W1876" s="18" t="n">
        <v>54436</v>
      </c>
      <c r="X1876" s="35" t="n">
        <v>10.546</v>
      </c>
      <c r="Y1876" s="35" t="n"/>
    </row>
    <row r="1877">
      <c r="A1877" s="25" t="n">
        <v>41583</v>
      </c>
      <c r="B1877" s="18" t="n">
        <v>53831</v>
      </c>
      <c r="C1877" s="31" t="n"/>
      <c r="D1877" s="32" t="n"/>
      <c r="E1877" s="33" t="n">
        <v>-7.9931</v>
      </c>
      <c r="F1877" t="inlineStr">
        <is>
          <t>Down</t>
        </is>
      </c>
      <c r="G1877" t="inlineStr">
        <is>
          <t>Up</t>
        </is>
      </c>
      <c r="H1877" t="inlineStr">
        <is>
          <t>ED_JU</t>
        </is>
      </c>
      <c r="I1877" t="inlineStr">
        <is>
          <t>2013-11</t>
        </is>
      </c>
      <c r="J1877" t="n">
        <v>1</v>
      </c>
      <c r="K1877" t="n">
        <v>1</v>
      </c>
      <c r="L1877" s="34">
        <f>IF($J1877=1,LN(B1878/B1877),"")</f>
        <v/>
      </c>
      <c r="M1877" s="34">
        <f>IF($K1877=1,INDEX(Mensal!$D$2:$D$245,MATCH($I1877,Mensal!$A$2:$A$245,0)),"")</f>
        <v/>
      </c>
      <c r="N1877" s="34">
        <f>IF($K1877=1,L1877-M1877,"")</f>
        <v/>
      </c>
      <c r="O1877" s="34" t="n">
        <v>0.00035222</v>
      </c>
      <c r="P1877" s="34">
        <f>IF($J1877=1,LN(1+O1877),"")</f>
        <v/>
      </c>
      <c r="Q1877" s="34">
        <f>IF($J1877=1,LN(R1878/R1877),"")</f>
        <v/>
      </c>
      <c r="R1877" s="32" t="n">
        <v>2.2747</v>
      </c>
      <c r="S1877" s="35" t="n">
        <v>10.613</v>
      </c>
      <c r="T1877" s="18" t="n"/>
      <c r="U1877" s="18" t="n"/>
      <c r="V1877" s="18" t="n"/>
      <c r="W1877" s="18" t="n">
        <v>53831</v>
      </c>
      <c r="X1877" s="35" t="n">
        <v>10.613</v>
      </c>
      <c r="Y1877" s="35" t="n"/>
    </row>
    <row r="1878">
      <c r="A1878" s="25" t="n">
        <v>41584</v>
      </c>
      <c r="B1878" s="18" t="n">
        <v>53384</v>
      </c>
      <c r="C1878" s="31" t="n"/>
      <c r="D1878" s="32" t="n"/>
      <c r="E1878" s="33" t="n">
        <v>-6.7257</v>
      </c>
      <c r="F1878" t="inlineStr">
        <is>
          <t>Down</t>
        </is>
      </c>
      <c r="G1878" t="inlineStr">
        <is>
          <t>Up</t>
        </is>
      </c>
      <c r="H1878" t="inlineStr">
        <is>
          <t>ED_JU</t>
        </is>
      </c>
      <c r="I1878" t="inlineStr">
        <is>
          <t>2013-11</t>
        </is>
      </c>
      <c r="J1878" t="n">
        <v>1</v>
      </c>
      <c r="K1878" t="n">
        <v>1</v>
      </c>
      <c r="L1878" s="34">
        <f>IF($J1878=1,LN(B1879/B1878),"")</f>
        <v/>
      </c>
      <c r="M1878" s="34">
        <f>IF($K1878=1,INDEX(Mensal!$D$2:$D$245,MATCH($I1878,Mensal!$A$2:$A$245,0)),"")</f>
        <v/>
      </c>
      <c r="N1878" s="34">
        <f>IF($K1878=1,L1878-M1878,"")</f>
        <v/>
      </c>
      <c r="O1878" s="34" t="n">
        <v>0.00035222</v>
      </c>
      <c r="P1878" s="34">
        <f>IF($J1878=1,LN(1+O1878),"")</f>
        <v/>
      </c>
      <c r="Q1878" s="34">
        <f>IF($J1878=1,LN(R1879/R1878),"")</f>
        <v/>
      </c>
      <c r="R1878" s="32" t="n">
        <v>2.2785</v>
      </c>
      <c r="S1878" s="35" t="n">
        <v>10.68</v>
      </c>
      <c r="T1878" s="18" t="n"/>
      <c r="U1878" s="18" t="n"/>
      <c r="V1878" s="18" t="n"/>
      <c r="W1878" s="18" t="n">
        <v>53384</v>
      </c>
      <c r="X1878" s="35" t="n">
        <v>10.68</v>
      </c>
      <c r="Y1878" s="35" t="n"/>
    </row>
    <row r="1879">
      <c r="A1879" s="25" t="n">
        <v>41585</v>
      </c>
      <c r="B1879" s="18" t="n">
        <v>52740</v>
      </c>
      <c r="C1879" s="31" t="n"/>
      <c r="D1879" s="32" t="n"/>
      <c r="E1879" s="33" t="n">
        <v>-5.4765</v>
      </c>
      <c r="F1879" t="inlineStr">
        <is>
          <t>Down</t>
        </is>
      </c>
      <c r="G1879" t="inlineStr">
        <is>
          <t>Up</t>
        </is>
      </c>
      <c r="H1879" t="inlineStr">
        <is>
          <t>ED_JU</t>
        </is>
      </c>
      <c r="I1879" t="inlineStr">
        <is>
          <t>2013-11</t>
        </is>
      </c>
      <c r="J1879" t="n">
        <v>1</v>
      </c>
      <c r="K1879" t="n">
        <v>1</v>
      </c>
      <c r="L1879" s="34">
        <f>IF($J1879=1,LN(B1880/B1879),"")</f>
        <v/>
      </c>
      <c r="M1879" s="34">
        <f>IF($K1879=1,INDEX(Mensal!$D$2:$D$245,MATCH($I1879,Mensal!$A$2:$A$245,0)),"")</f>
        <v/>
      </c>
      <c r="N1879" s="34">
        <f>IF($K1879=1,L1879-M1879,"")</f>
        <v/>
      </c>
      <c r="O1879" s="34" t="n">
        <v>0.00035222</v>
      </c>
      <c r="P1879" s="34">
        <f>IF($J1879=1,LN(1+O1879),"")</f>
        <v/>
      </c>
      <c r="Q1879" s="34">
        <f>IF($J1879=1,LN(R1880/R1879),"")</f>
        <v/>
      </c>
      <c r="R1879" s="32" t="n">
        <v>2.2825</v>
      </c>
      <c r="S1879" s="35" t="n">
        <v>10.804</v>
      </c>
      <c r="T1879" s="18" t="n"/>
      <c r="U1879" s="18" t="n"/>
      <c r="V1879" s="18" t="n"/>
      <c r="W1879" s="18" t="n">
        <v>52740</v>
      </c>
      <c r="X1879" s="35" t="n">
        <v>10.804</v>
      </c>
      <c r="Y1879" s="35" t="n"/>
    </row>
    <row r="1880">
      <c r="A1880" s="25" t="n">
        <v>41586</v>
      </c>
      <c r="B1880" s="18" t="n">
        <v>52248</v>
      </c>
      <c r="C1880" s="31" t="n"/>
      <c r="D1880" s="32" t="n"/>
      <c r="E1880" s="33" t="n">
        <v>-4.2212</v>
      </c>
      <c r="F1880" t="inlineStr">
        <is>
          <t>Down</t>
        </is>
      </c>
      <c r="G1880" t="inlineStr">
        <is>
          <t>Up</t>
        </is>
      </c>
      <c r="H1880" t="inlineStr">
        <is>
          <t>ED_JU</t>
        </is>
      </c>
      <c r="I1880" t="inlineStr">
        <is>
          <t>2013-11</t>
        </is>
      </c>
      <c r="J1880" t="n">
        <v>1</v>
      </c>
      <c r="K1880" t="n">
        <v>1</v>
      </c>
      <c r="L1880" s="34">
        <f>IF($J1880=1,LN(B1881/B1880),"")</f>
        <v/>
      </c>
      <c r="M1880" s="34">
        <f>IF($K1880=1,INDEX(Mensal!$D$2:$D$245,MATCH($I1880,Mensal!$A$2:$A$245,0)),"")</f>
        <v/>
      </c>
      <c r="N1880" s="34">
        <f>IF($K1880=1,L1880-M1880,"")</f>
        <v/>
      </c>
      <c r="O1880" s="34" t="n">
        <v>0.00035222</v>
      </c>
      <c r="P1880" s="34">
        <f>IF($J1880=1,LN(1+O1880),"")</f>
        <v/>
      </c>
      <c r="Q1880" s="34">
        <f>IF($J1880=1,LN(R1881/R1880),"")</f>
        <v/>
      </c>
      <c r="R1880" s="32" t="n">
        <v>2.317</v>
      </c>
      <c r="S1880" s="35" t="n">
        <v>10.86</v>
      </c>
      <c r="T1880" s="18" t="n"/>
      <c r="U1880" s="18" t="n"/>
      <c r="V1880" s="18" t="n"/>
      <c r="W1880" s="18" t="n">
        <v>52248</v>
      </c>
      <c r="X1880" s="35" t="n">
        <v>10.86</v>
      </c>
      <c r="Y1880" s="35" t="n"/>
    </row>
    <row r="1881">
      <c r="A1881" s="25" t="n">
        <v>41589</v>
      </c>
      <c r="B1881" s="18" t="n">
        <v>52623</v>
      </c>
      <c r="C1881" s="31" t="n"/>
      <c r="D1881" s="32" t="n"/>
      <c r="E1881" s="33" t="n">
        <v>-2.9102</v>
      </c>
      <c r="F1881" t="inlineStr">
        <is>
          <t>Down</t>
        </is>
      </c>
      <c r="G1881" t="inlineStr">
        <is>
          <t>Up</t>
        </is>
      </c>
      <c r="H1881" t="inlineStr">
        <is>
          <t>ED_JU</t>
        </is>
      </c>
      <c r="I1881" t="inlineStr">
        <is>
          <t>2013-11</t>
        </is>
      </c>
      <c r="J1881" t="n">
        <v>1</v>
      </c>
      <c r="K1881" t="n">
        <v>1</v>
      </c>
      <c r="L1881" s="34">
        <f>IF($J1881=1,LN(B1882/B1881),"")</f>
        <v/>
      </c>
      <c r="M1881" s="34">
        <f>IF($K1881=1,INDEX(Mensal!$D$2:$D$245,MATCH($I1881,Mensal!$A$2:$A$245,0)),"")</f>
        <v/>
      </c>
      <c r="N1881" s="34">
        <f>IF($K1881=1,L1881-M1881,"")</f>
        <v/>
      </c>
      <c r="O1881" s="34" t="n">
        <v>0.00035222</v>
      </c>
      <c r="P1881" s="34">
        <f>IF($J1881=1,LN(1+O1881),"")</f>
        <v/>
      </c>
      <c r="Q1881" s="34">
        <f>IF($J1881=1,LN(R1882/R1881),"")</f>
        <v/>
      </c>
      <c r="R1881" s="32" t="n">
        <v>2.3142</v>
      </c>
      <c r="S1881" s="35" t="n">
        <v>10.902</v>
      </c>
      <c r="T1881" s="18" t="n"/>
      <c r="U1881" s="18" t="n"/>
      <c r="V1881" s="18" t="n"/>
      <c r="W1881" s="18" t="n">
        <v>52623</v>
      </c>
      <c r="X1881" s="35" t="n">
        <v>10.902</v>
      </c>
      <c r="Y1881" s="35" t="n"/>
    </row>
    <row r="1882">
      <c r="A1882" s="25" t="n">
        <v>41590</v>
      </c>
      <c r="B1882" s="18" t="n">
        <v>51804</v>
      </c>
      <c r="C1882" s="31" t="n"/>
      <c r="D1882" s="32" t="n"/>
      <c r="E1882" s="33" t="n">
        <v>-1.6043</v>
      </c>
      <c r="F1882" t="inlineStr">
        <is>
          <t>Down</t>
        </is>
      </c>
      <c r="G1882" t="inlineStr">
        <is>
          <t>Up</t>
        </is>
      </c>
      <c r="H1882" t="inlineStr">
        <is>
          <t>ED_JU</t>
        </is>
      </c>
      <c r="I1882" t="inlineStr">
        <is>
          <t>2013-11</t>
        </is>
      </c>
      <c r="J1882" t="n">
        <v>1</v>
      </c>
      <c r="K1882" t="n">
        <v>1</v>
      </c>
      <c r="L1882" s="34">
        <f>IF($J1882=1,LN(B1883/B1882),"")</f>
        <v/>
      </c>
      <c r="M1882" s="34">
        <f>IF($K1882=1,INDEX(Mensal!$D$2:$D$245,MATCH($I1882,Mensal!$A$2:$A$245,0)),"")</f>
        <v/>
      </c>
      <c r="N1882" s="34">
        <f>IF($K1882=1,L1882-M1882,"")</f>
        <v/>
      </c>
      <c r="O1882" s="34" t="n">
        <v>0.00035222</v>
      </c>
      <c r="P1882" s="34">
        <f>IF($J1882=1,LN(1+O1882),"")</f>
        <v/>
      </c>
      <c r="Q1882" s="34">
        <f>IF($J1882=1,LN(R1883/R1882),"")</f>
        <v/>
      </c>
      <c r="R1882" s="32" t="n">
        <v>2.3362</v>
      </c>
      <c r="S1882" s="35" t="n">
        <v>10.856</v>
      </c>
      <c r="T1882" s="18" t="n"/>
      <c r="U1882" s="18" t="n"/>
      <c r="V1882" s="18" t="n"/>
      <c r="W1882" s="18" t="n">
        <v>51804</v>
      </c>
      <c r="X1882" s="35" t="n">
        <v>10.856</v>
      </c>
      <c r="Y1882" s="35" t="n"/>
    </row>
    <row r="1883">
      <c r="A1883" s="25" t="n">
        <v>41591</v>
      </c>
      <c r="B1883" s="18" t="n">
        <v>52230</v>
      </c>
      <c r="C1883" s="31" t="n"/>
      <c r="D1883" s="32" t="n"/>
      <c r="E1883" s="33" t="n">
        <v>-0.3059</v>
      </c>
      <c r="F1883" t="inlineStr">
        <is>
          <t>Down</t>
        </is>
      </c>
      <c r="G1883" t="inlineStr">
        <is>
          <t>Up</t>
        </is>
      </c>
      <c r="H1883" t="inlineStr">
        <is>
          <t>ED_JU</t>
        </is>
      </c>
      <c r="I1883" t="inlineStr">
        <is>
          <t>2013-11</t>
        </is>
      </c>
      <c r="J1883" t="n">
        <v>1</v>
      </c>
      <c r="K1883" t="n">
        <v>1</v>
      </c>
      <c r="L1883" s="34">
        <f>IF($J1883=1,LN(B1884/B1883),"")</f>
        <v/>
      </c>
      <c r="M1883" s="34">
        <f>IF($K1883=1,INDEX(Mensal!$D$2:$D$245,MATCH($I1883,Mensal!$A$2:$A$245,0)),"")</f>
        <v/>
      </c>
      <c r="N1883" s="34">
        <f>IF($K1883=1,L1883-M1883,"")</f>
        <v/>
      </c>
      <c r="O1883" s="34" t="n">
        <v>0.00035222</v>
      </c>
      <c r="P1883" s="34">
        <f>IF($J1883=1,LN(1+O1883),"")</f>
        <v/>
      </c>
      <c r="Q1883" s="34">
        <f>IF($J1883=1,LN(R1884/R1883),"")</f>
        <v/>
      </c>
      <c r="R1883" s="32" t="n">
        <v>2.3234</v>
      </c>
      <c r="S1883" s="35" t="n">
        <v>10.769</v>
      </c>
      <c r="T1883" s="18" t="n"/>
      <c r="U1883" s="18" t="n"/>
      <c r="V1883" s="18" t="n"/>
      <c r="W1883" s="18" t="n">
        <v>52230</v>
      </c>
      <c r="X1883" s="35" t="n">
        <v>10.769</v>
      </c>
      <c r="Y1883" s="35" t="n"/>
    </row>
    <row r="1884">
      <c r="A1884" s="25" t="n">
        <v>41592</v>
      </c>
      <c r="B1884" s="18" t="n">
        <v>53451</v>
      </c>
      <c r="C1884" s="31" t="n"/>
      <c r="D1884" s="32" t="n"/>
      <c r="E1884" s="33" t="n">
        <v>0.9999</v>
      </c>
      <c r="F1884" t="inlineStr">
        <is>
          <t>Down</t>
        </is>
      </c>
      <c r="G1884" t="inlineStr">
        <is>
          <t>Up</t>
        </is>
      </c>
      <c r="H1884" t="inlineStr">
        <is>
          <t>ED_JU</t>
        </is>
      </c>
      <c r="I1884" t="inlineStr">
        <is>
          <t>2013-11</t>
        </is>
      </c>
      <c r="J1884" t="n">
        <v>1</v>
      </c>
      <c r="K1884" t="n">
        <v>1</v>
      </c>
      <c r="L1884" s="34">
        <f>IF($J1884=1,LN(B1885/B1884),"")</f>
        <v/>
      </c>
      <c r="M1884" s="34">
        <f>IF($K1884=1,INDEX(Mensal!$D$2:$D$245,MATCH($I1884,Mensal!$A$2:$A$245,0)),"")</f>
        <v/>
      </c>
      <c r="N1884" s="34">
        <f>IF($K1884=1,L1884-M1884,"")</f>
        <v/>
      </c>
      <c r="O1884" s="34" t="n">
        <v>0.00035222</v>
      </c>
      <c r="P1884" s="34">
        <f>IF($J1884=1,LN(1+O1884),"")</f>
        <v/>
      </c>
      <c r="Q1884" s="34">
        <f>IF($J1884=1,LN(R1885/R1884),"")</f>
        <v/>
      </c>
      <c r="R1884" s="32" t="n">
        <v>2.3289</v>
      </c>
      <c r="S1884" s="35" t="n">
        <v>10.714</v>
      </c>
      <c r="T1884" s="18" t="n"/>
      <c r="U1884" s="18" t="n"/>
      <c r="V1884" s="18" t="n"/>
      <c r="W1884" s="18" t="n">
        <v>53451</v>
      </c>
      <c r="X1884" s="35" t="n">
        <v>10.714</v>
      </c>
      <c r="Y1884" s="35" t="n"/>
    </row>
    <row r="1885">
      <c r="A1885" s="25" t="n">
        <v>41596</v>
      </c>
      <c r="B1885" s="18" t="n">
        <v>54307</v>
      </c>
      <c r="C1885" s="31" t="n"/>
      <c r="D1885" s="32" t="n"/>
      <c r="E1885" s="33" t="n">
        <v>2.309</v>
      </c>
      <c r="F1885" t="inlineStr">
        <is>
          <t>Down</t>
        </is>
      </c>
      <c r="G1885" t="inlineStr">
        <is>
          <t>Up</t>
        </is>
      </c>
      <c r="H1885" t="inlineStr">
        <is>
          <t>ED_JU</t>
        </is>
      </c>
      <c r="I1885" t="inlineStr">
        <is>
          <t>2013-11</t>
        </is>
      </c>
      <c r="J1885" t="n">
        <v>1</v>
      </c>
      <c r="K1885" t="n">
        <v>1</v>
      </c>
      <c r="L1885" s="34">
        <f>IF($J1885=1,LN(B1886/B1885),"")</f>
        <v/>
      </c>
      <c r="M1885" s="34">
        <f>IF($K1885=1,INDEX(Mensal!$D$2:$D$245,MATCH($I1885,Mensal!$A$2:$A$245,0)),"")</f>
        <v/>
      </c>
      <c r="N1885" s="34">
        <f>IF($K1885=1,L1885-M1885,"")</f>
        <v/>
      </c>
      <c r="O1885" s="34" t="n">
        <v>0.00035222</v>
      </c>
      <c r="P1885" s="34">
        <f>IF($J1885=1,LN(1+O1885),"")</f>
        <v/>
      </c>
      <c r="Q1885" s="34">
        <f>IF($J1885=1,LN(R1886/R1885),"")</f>
        <v/>
      </c>
      <c r="R1885" s="32" t="n">
        <v>2.2828</v>
      </c>
      <c r="S1885" s="35" t="n">
        <v>10.667</v>
      </c>
      <c r="T1885" s="18" t="n"/>
      <c r="U1885" s="18" t="n"/>
      <c r="V1885" s="18" t="n"/>
      <c r="W1885" s="18" t="n">
        <v>54307</v>
      </c>
      <c r="X1885" s="35" t="n">
        <v>10.667</v>
      </c>
      <c r="Y1885" s="35" t="n"/>
    </row>
    <row r="1886">
      <c r="A1886" s="25" t="n">
        <v>41597</v>
      </c>
      <c r="B1886" s="18" t="n">
        <v>53032</v>
      </c>
      <c r="C1886" s="31" t="n"/>
      <c r="D1886" s="32" t="n"/>
      <c r="E1886" s="33" t="n">
        <v>3.6078</v>
      </c>
      <c r="F1886" t="inlineStr">
        <is>
          <t>Down</t>
        </is>
      </c>
      <c r="G1886" t="inlineStr">
        <is>
          <t>Up</t>
        </is>
      </c>
      <c r="H1886" t="inlineStr">
        <is>
          <t>ED_JU</t>
        </is>
      </c>
      <c r="I1886" t="inlineStr">
        <is>
          <t>2013-11</t>
        </is>
      </c>
      <c r="J1886" t="n">
        <v>1</v>
      </c>
      <c r="K1886" t="n">
        <v>1</v>
      </c>
      <c r="L1886" s="34">
        <f>IF($J1886=1,LN(B1887/B1886),"")</f>
        <v/>
      </c>
      <c r="M1886" s="34">
        <f>IF($K1886=1,INDEX(Mensal!$D$2:$D$245,MATCH($I1886,Mensal!$A$2:$A$245,0)),"")</f>
        <v/>
      </c>
      <c r="N1886" s="34">
        <f>IF($K1886=1,L1886-M1886,"")</f>
        <v/>
      </c>
      <c r="O1886" s="34" t="n">
        <v>0.00035222</v>
      </c>
      <c r="P1886" s="34">
        <f>IF($J1886=1,LN(1+O1886),"")</f>
        <v/>
      </c>
      <c r="Q1886" s="34">
        <f>IF($J1886=1,LN(R1887/R1886),"")</f>
        <v/>
      </c>
      <c r="R1886" s="32" t="n">
        <v>2.2662</v>
      </c>
      <c r="S1886" s="35" t="n">
        <v>10.69</v>
      </c>
      <c r="T1886" s="18" t="n"/>
      <c r="U1886" s="18" t="n"/>
      <c r="V1886" s="18" t="n"/>
      <c r="W1886" s="18" t="n">
        <v>53032</v>
      </c>
      <c r="X1886" s="35" t="n">
        <v>10.69</v>
      </c>
      <c r="Y1886" s="35" t="n"/>
    </row>
    <row r="1887">
      <c r="A1887" s="25" t="n">
        <v>41599</v>
      </c>
      <c r="B1887" s="18" t="n">
        <v>52688</v>
      </c>
      <c r="C1887" s="31" t="n"/>
      <c r="D1887" s="32" t="n"/>
      <c r="E1887" s="33" t="n">
        <v>4.902</v>
      </c>
      <c r="F1887" t="inlineStr">
        <is>
          <t>Down</t>
        </is>
      </c>
      <c r="G1887" t="inlineStr">
        <is>
          <t>Up</t>
        </is>
      </c>
      <c r="H1887" t="inlineStr">
        <is>
          <t>ED_JU</t>
        </is>
      </c>
      <c r="I1887" t="inlineStr">
        <is>
          <t>2013-11</t>
        </is>
      </c>
      <c r="J1887" t="n">
        <v>1</v>
      </c>
      <c r="K1887" t="n">
        <v>1</v>
      </c>
      <c r="L1887" s="34">
        <f>IF($J1887=1,LN(B1888/B1887),"")</f>
        <v/>
      </c>
      <c r="M1887" s="34">
        <f>IF($K1887=1,INDEX(Mensal!$D$2:$D$245,MATCH($I1887,Mensal!$A$2:$A$245,0)),"")</f>
        <v/>
      </c>
      <c r="N1887" s="34">
        <f>IF($K1887=1,L1887-M1887,"")</f>
        <v/>
      </c>
      <c r="O1887" s="34" t="n">
        <v>0.00035222</v>
      </c>
      <c r="P1887" s="34">
        <f>IF($J1887=1,LN(1+O1887),"")</f>
        <v/>
      </c>
      <c r="Q1887" s="34">
        <f>IF($J1887=1,LN(R1888/R1887),"")</f>
        <v/>
      </c>
      <c r="R1887" s="32" t="n">
        <v>2.3067</v>
      </c>
      <c r="S1887" s="35" t="n">
        <v>10.799</v>
      </c>
      <c r="T1887" s="18" t="n"/>
      <c r="U1887" s="18" t="n"/>
      <c r="V1887" s="18" t="n"/>
      <c r="W1887" s="18" t="n">
        <v>52688</v>
      </c>
      <c r="X1887" s="35" t="n">
        <v>10.799</v>
      </c>
      <c r="Y1887" s="35" t="n"/>
    </row>
    <row r="1888">
      <c r="A1888" s="25" t="n">
        <v>41600</v>
      </c>
      <c r="B1888" s="18" t="n">
        <v>52800</v>
      </c>
      <c r="C1888" s="31" t="n"/>
      <c r="D1888" s="32" t="n"/>
      <c r="E1888" s="33" t="n">
        <v>6.1988</v>
      </c>
      <c r="F1888" t="inlineStr">
        <is>
          <t>Down</t>
        </is>
      </c>
      <c r="G1888" t="inlineStr">
        <is>
          <t>Up</t>
        </is>
      </c>
      <c r="H1888" t="inlineStr">
        <is>
          <t>ED_JU</t>
        </is>
      </c>
      <c r="I1888" t="inlineStr">
        <is>
          <t>2013-11</t>
        </is>
      </c>
      <c r="J1888" t="n">
        <v>1</v>
      </c>
      <c r="K1888" t="n">
        <v>1</v>
      </c>
      <c r="L1888" s="34">
        <f>IF($J1888=1,LN(B1889/B1888),"")</f>
        <v/>
      </c>
      <c r="M1888" s="34">
        <f>IF($K1888=1,INDEX(Mensal!$D$2:$D$245,MATCH($I1888,Mensal!$A$2:$A$245,0)),"")</f>
        <v/>
      </c>
      <c r="N1888" s="34">
        <f>IF($K1888=1,L1888-M1888,"")</f>
        <v/>
      </c>
      <c r="O1888" s="34" t="n">
        <v>0.00035222</v>
      </c>
      <c r="P1888" s="34">
        <f>IF($J1888=1,LN(1+O1888),"")</f>
        <v/>
      </c>
      <c r="Q1888" s="34">
        <f>IF($J1888=1,LN(R1889/R1888),"")</f>
        <v/>
      </c>
      <c r="R1888" s="32" t="n">
        <v>2.2913</v>
      </c>
      <c r="S1888" s="35" t="n">
        <v>10.793</v>
      </c>
      <c r="T1888" s="18" t="n"/>
      <c r="U1888" s="18" t="n"/>
      <c r="V1888" s="18" t="n"/>
      <c r="W1888" s="18" t="n">
        <v>52800</v>
      </c>
      <c r="X1888" s="35" t="n">
        <v>10.793</v>
      </c>
      <c r="Y1888" s="35" t="n"/>
    </row>
    <row r="1889">
      <c r="A1889" s="25" t="n">
        <v>41603</v>
      </c>
      <c r="B1889" s="18" t="n">
        <v>52263</v>
      </c>
      <c r="C1889" s="31" t="n"/>
      <c r="D1889" s="32" t="n"/>
      <c r="E1889" s="33" t="n">
        <v>7.5015</v>
      </c>
      <c r="F1889" t="inlineStr">
        <is>
          <t>Down</t>
        </is>
      </c>
      <c r="G1889" t="inlineStr">
        <is>
          <t>Up</t>
        </is>
      </c>
      <c r="H1889" t="inlineStr">
        <is>
          <t>ED_JU</t>
        </is>
      </c>
      <c r="I1889" t="inlineStr">
        <is>
          <t>2013-11</t>
        </is>
      </c>
      <c r="J1889" t="n">
        <v>1</v>
      </c>
      <c r="K1889" t="n">
        <v>1</v>
      </c>
      <c r="L1889" s="34">
        <f>IF($J1889=1,LN(B1890/B1889),"")</f>
        <v/>
      </c>
      <c r="M1889" s="34">
        <f>IF($K1889=1,INDEX(Mensal!$D$2:$D$245,MATCH($I1889,Mensal!$A$2:$A$245,0)),"")</f>
        <v/>
      </c>
      <c r="N1889" s="34">
        <f>IF($K1889=1,L1889-M1889,"")</f>
        <v/>
      </c>
      <c r="O1889" s="34" t="n">
        <v>0.00035222</v>
      </c>
      <c r="P1889" s="34">
        <f>IF($J1889=1,LN(1+O1889),"")</f>
        <v/>
      </c>
      <c r="Q1889" s="34">
        <f>IF($J1889=1,LN(R1890/R1889),"")</f>
        <v/>
      </c>
      <c r="R1889" s="32" t="n">
        <v>2.2871</v>
      </c>
      <c r="S1889" s="35" t="n">
        <v>10.814</v>
      </c>
      <c r="T1889" s="18" t="n"/>
      <c r="U1889" s="18" t="n"/>
      <c r="V1889" s="18" t="n"/>
      <c r="W1889" s="18" t="n">
        <v>52263</v>
      </c>
      <c r="X1889" s="35" t="n">
        <v>10.814</v>
      </c>
      <c r="Y1889" s="35" t="n"/>
    </row>
    <row r="1890">
      <c r="A1890" s="25" t="n">
        <v>41604</v>
      </c>
      <c r="B1890" s="18" t="n">
        <v>51446</v>
      </c>
      <c r="C1890" s="31" t="n"/>
      <c r="D1890" s="32" t="n"/>
      <c r="E1890" s="33" t="n">
        <v>8.801399999999999</v>
      </c>
      <c r="F1890" t="inlineStr">
        <is>
          <t>Down</t>
        </is>
      </c>
      <c r="G1890" t="inlineStr">
        <is>
          <t>Up</t>
        </is>
      </c>
      <c r="H1890" t="inlineStr">
        <is>
          <t>ED_JU</t>
        </is>
      </c>
      <c r="I1890" t="inlineStr">
        <is>
          <t>2013-11</t>
        </is>
      </c>
      <c r="J1890" t="n">
        <v>1</v>
      </c>
      <c r="K1890" t="n">
        <v>1</v>
      </c>
      <c r="L1890" s="34">
        <f>IF($J1890=1,LN(B1891/B1890),"")</f>
        <v/>
      </c>
      <c r="M1890" s="34">
        <f>IF($K1890=1,INDEX(Mensal!$D$2:$D$245,MATCH($I1890,Mensal!$A$2:$A$245,0)),"")</f>
        <v/>
      </c>
      <c r="N1890" s="34">
        <f>IF($K1890=1,L1890-M1890,"")</f>
        <v/>
      </c>
      <c r="O1890" s="34" t="n">
        <v>0.00035222</v>
      </c>
      <c r="P1890" s="34">
        <f>IF($J1890=1,LN(1+O1890),"")</f>
        <v/>
      </c>
      <c r="Q1890" s="34">
        <f>IF($J1890=1,LN(R1891/R1890),"")</f>
        <v/>
      </c>
      <c r="R1890" s="32" t="n">
        <v>2.304</v>
      </c>
      <c r="S1890" s="35" t="n">
        <v>10.764</v>
      </c>
      <c r="T1890" s="18" t="n"/>
      <c r="U1890" s="18" t="n"/>
      <c r="V1890" s="18" t="n"/>
      <c r="W1890" s="18" t="n">
        <v>51446</v>
      </c>
      <c r="X1890" s="35" t="n">
        <v>10.764</v>
      </c>
      <c r="Y1890" s="35" t="n"/>
    </row>
    <row r="1891">
      <c r="A1891" s="25" t="n">
        <v>41605</v>
      </c>
      <c r="B1891" s="18" t="n">
        <v>51861</v>
      </c>
      <c r="C1891" s="31" t="n"/>
      <c r="D1891" s="32" t="n"/>
      <c r="E1891" s="33" t="n">
        <v>10.0917</v>
      </c>
      <c r="F1891" t="inlineStr">
        <is>
          <t>Down</t>
        </is>
      </c>
      <c r="G1891" t="inlineStr">
        <is>
          <t>Up</t>
        </is>
      </c>
      <c r="H1891" t="inlineStr">
        <is>
          <t>ED_JU</t>
        </is>
      </c>
      <c r="I1891" t="inlineStr">
        <is>
          <t>2013-11</t>
        </is>
      </c>
      <c r="J1891" t="n">
        <v>1</v>
      </c>
      <c r="K1891" t="n">
        <v>1</v>
      </c>
      <c r="L1891" s="34">
        <f>IF($J1891=1,LN(B1892/B1891),"")</f>
        <v/>
      </c>
      <c r="M1891" s="34">
        <f>IF($K1891=1,INDEX(Mensal!$D$2:$D$245,MATCH($I1891,Mensal!$A$2:$A$245,0)),"")</f>
        <v/>
      </c>
      <c r="N1891" s="34">
        <f>IF($K1891=1,L1891-M1891,"")</f>
        <v/>
      </c>
      <c r="O1891" s="34" t="n">
        <v>0.00035222</v>
      </c>
      <c r="P1891" s="34">
        <f>IF($J1891=1,LN(1+O1891),"")</f>
        <v/>
      </c>
      <c r="Q1891" s="34">
        <f>IF($J1891=1,LN(R1892/R1891),"")</f>
        <v/>
      </c>
      <c r="R1891" s="32" t="n">
        <v>2.3058</v>
      </c>
      <c r="S1891" s="35" t="n">
        <v>10.753</v>
      </c>
      <c r="T1891" s="18" t="n"/>
      <c r="U1891" s="18" t="n"/>
      <c r="V1891" s="18" t="n"/>
      <c r="W1891" s="18" t="n">
        <v>51861</v>
      </c>
      <c r="X1891" s="35" t="n">
        <v>10.753</v>
      </c>
      <c r="Y1891" s="35" t="n"/>
    </row>
    <row r="1892">
      <c r="A1892" s="25" t="n">
        <v>41606</v>
      </c>
      <c r="B1892" s="18" t="n">
        <v>51846</v>
      </c>
      <c r="C1892" s="31" t="n"/>
      <c r="D1892" s="32" t="n"/>
      <c r="E1892" s="33" t="n">
        <v>11.3786</v>
      </c>
      <c r="F1892" t="inlineStr">
        <is>
          <t>Down</t>
        </is>
      </c>
      <c r="G1892" t="inlineStr">
        <is>
          <t>Up</t>
        </is>
      </c>
      <c r="H1892" t="inlineStr">
        <is>
          <t>ED_JU</t>
        </is>
      </c>
      <c r="I1892" t="inlineStr">
        <is>
          <t>2013-11</t>
        </is>
      </c>
      <c r="J1892" t="n">
        <v>1</v>
      </c>
      <c r="K1892" t="n">
        <v>1</v>
      </c>
      <c r="L1892" s="34">
        <f>IF($J1892=1,LN(B1893/B1892),"")</f>
        <v/>
      </c>
      <c r="M1892" s="34">
        <f>IF($K1892=1,INDEX(Mensal!$D$2:$D$245,MATCH($I1892,Mensal!$A$2:$A$245,0)),"")</f>
        <v/>
      </c>
      <c r="N1892" s="34">
        <f>IF($K1892=1,L1892-M1892,"")</f>
        <v/>
      </c>
      <c r="O1892" s="34" t="n">
        <v>0.00036998</v>
      </c>
      <c r="P1892" s="34">
        <f>IF($J1892=1,LN(1+O1892),"")</f>
        <v/>
      </c>
      <c r="Q1892" s="34">
        <f>IF($J1892=1,LN(R1893/R1892),"")</f>
        <v/>
      </c>
      <c r="R1892" s="32" t="n">
        <v>2.3208</v>
      </c>
      <c r="S1892" s="35" t="n">
        <v>10.567</v>
      </c>
      <c r="T1892" s="18" t="n"/>
      <c r="U1892" s="18" t="n"/>
      <c r="V1892" s="18" t="n"/>
      <c r="W1892" s="18" t="n">
        <v>51846</v>
      </c>
      <c r="X1892" s="35" t="n">
        <v>10.567</v>
      </c>
      <c r="Y1892" s="35" t="n"/>
    </row>
    <row r="1893">
      <c r="A1893" s="25" t="n">
        <v>41607</v>
      </c>
      <c r="B1893" s="18" t="n">
        <v>52482</v>
      </c>
      <c r="C1893" s="31" t="n"/>
      <c r="D1893" s="32" t="n"/>
      <c r="E1893" s="33" t="n">
        <v>12.6649</v>
      </c>
      <c r="F1893" t="inlineStr">
        <is>
          <t>Down</t>
        </is>
      </c>
      <c r="G1893" t="inlineStr">
        <is>
          <t>Up</t>
        </is>
      </c>
      <c r="H1893" t="inlineStr">
        <is>
          <t>ED_JU</t>
        </is>
      </c>
      <c r="I1893" t="inlineStr">
        <is>
          <t>2013-11</t>
        </is>
      </c>
      <c r="J1893" t="n">
        <v>1</v>
      </c>
      <c r="K1893" t="n">
        <v>1</v>
      </c>
      <c r="L1893" s="34">
        <f>IF($J1893=1,LN(B1894/B1893),"")</f>
        <v/>
      </c>
      <c r="M1893" s="34">
        <f>IF($K1893=1,INDEX(Mensal!$D$2:$D$245,MATCH($I1893,Mensal!$A$2:$A$245,0)),"")</f>
        <v/>
      </c>
      <c r="N1893" s="34">
        <f>IF($K1893=1,L1893-M1893,"")</f>
        <v/>
      </c>
      <c r="O1893" s="34" t="n">
        <v>0.00036998</v>
      </c>
      <c r="P1893" s="34">
        <f>IF($J1893=1,LN(1+O1893),"")</f>
        <v/>
      </c>
      <c r="Q1893" s="34">
        <f>IF($J1893=1,LN(R1894/R1893),"")</f>
        <v/>
      </c>
      <c r="R1893" s="32" t="n">
        <v>2.3249</v>
      </c>
      <c r="S1893" s="35" t="n">
        <v>10.603</v>
      </c>
      <c r="T1893" s="18" t="n"/>
      <c r="U1893" s="18" t="n"/>
      <c r="V1893" s="18" t="n"/>
      <c r="W1893" s="18" t="n">
        <v>52482</v>
      </c>
      <c r="X1893" s="35" t="n">
        <v>10.603</v>
      </c>
      <c r="Y1893" s="35" t="n"/>
    </row>
    <row r="1894">
      <c r="A1894" s="25" t="n">
        <v>41610</v>
      </c>
      <c r="B1894" s="18" t="n">
        <v>51244</v>
      </c>
      <c r="C1894" s="31" t="n"/>
      <c r="D1894" s="32" t="n"/>
      <c r="E1894" s="33" t="n">
        <v>13.1894</v>
      </c>
      <c r="F1894" t="inlineStr">
        <is>
          <t>Down</t>
        </is>
      </c>
      <c r="G1894" t="inlineStr">
        <is>
          <t>Up</t>
        </is>
      </c>
      <c r="H1894" t="inlineStr">
        <is>
          <t>ED_JU</t>
        </is>
      </c>
      <c r="I1894" t="inlineStr">
        <is>
          <t>2013-12</t>
        </is>
      </c>
      <c r="J1894" t="n">
        <v>1</v>
      </c>
      <c r="K1894" t="n">
        <v>1</v>
      </c>
      <c r="L1894" s="34">
        <f>IF($J1894=1,LN(B1895/B1894),"")</f>
        <v/>
      </c>
      <c r="M1894" s="34">
        <f>IF($K1894=1,INDEX(Mensal!$D$2:$D$245,MATCH($I1894,Mensal!$A$2:$A$245,0)),"")</f>
        <v/>
      </c>
      <c r="N1894" s="34">
        <f>IF($K1894=1,L1894-M1894,"")</f>
        <v/>
      </c>
      <c r="O1894" s="34" t="n">
        <v>0.00036998</v>
      </c>
      <c r="P1894" s="34">
        <f>IF($J1894=1,LN(1+O1894),"")</f>
        <v/>
      </c>
      <c r="Q1894" s="34">
        <f>IF($J1894=1,LN(R1895/R1894),"")</f>
        <v/>
      </c>
      <c r="R1894" s="32" t="n">
        <v>2.3449</v>
      </c>
      <c r="S1894" s="35" t="n">
        <v>10.685</v>
      </c>
      <c r="T1894" s="18" t="n"/>
      <c r="U1894" s="18" t="n"/>
      <c r="V1894" s="18" t="n"/>
      <c r="W1894" s="18" t="n">
        <v>51244</v>
      </c>
      <c r="X1894" s="35" t="n">
        <v>10.685</v>
      </c>
      <c r="Y1894" s="35" t="n"/>
    </row>
    <row r="1895">
      <c r="A1895" s="25" t="n">
        <v>41611</v>
      </c>
      <c r="B1895" s="18" t="n">
        <v>50348</v>
      </c>
      <c r="C1895" s="31" t="n"/>
      <c r="D1895" s="32" t="n"/>
      <c r="E1895" s="33" t="n">
        <v>13.6922</v>
      </c>
      <c r="F1895" t="inlineStr">
        <is>
          <t>Down</t>
        </is>
      </c>
      <c r="G1895" t="inlineStr">
        <is>
          <t>Up</t>
        </is>
      </c>
      <c r="H1895" t="inlineStr">
        <is>
          <t>ED_JU</t>
        </is>
      </c>
      <c r="I1895" t="inlineStr">
        <is>
          <t>2013-12</t>
        </is>
      </c>
      <c r="J1895" t="n">
        <v>1</v>
      </c>
      <c r="K1895" t="n">
        <v>1</v>
      </c>
      <c r="L1895" s="34">
        <f>IF($J1895=1,LN(B1896/B1895),"")</f>
        <v/>
      </c>
      <c r="M1895" s="34">
        <f>IF($K1895=1,INDEX(Mensal!$D$2:$D$245,MATCH($I1895,Mensal!$A$2:$A$245,0)),"")</f>
        <v/>
      </c>
      <c r="N1895" s="34">
        <f>IF($K1895=1,L1895-M1895,"")</f>
        <v/>
      </c>
      <c r="O1895" s="34" t="n">
        <v>0.00036998</v>
      </c>
      <c r="P1895" s="34">
        <f>IF($J1895=1,LN(1+O1895),"")</f>
        <v/>
      </c>
      <c r="Q1895" s="34">
        <f>IF($J1895=1,LN(R1896/R1895),"")</f>
        <v/>
      </c>
      <c r="R1895" s="32" t="n">
        <v>2.3558</v>
      </c>
      <c r="S1895" s="35" t="n">
        <v>10.678</v>
      </c>
      <c r="T1895" s="18" t="n"/>
      <c r="U1895" s="18" t="n"/>
      <c r="V1895" s="18" t="n"/>
      <c r="W1895" s="18" t="n">
        <v>50348</v>
      </c>
      <c r="X1895" s="35" t="n">
        <v>10.678</v>
      </c>
      <c r="Y1895" s="35" t="n"/>
    </row>
    <row r="1896">
      <c r="A1896" s="25" t="n">
        <v>41612</v>
      </c>
      <c r="B1896" s="18" t="n">
        <v>50215</v>
      </c>
      <c r="C1896" s="31" t="n"/>
      <c r="D1896" s="32" t="n"/>
      <c r="E1896" s="33" t="n">
        <v>14.1771</v>
      </c>
      <c r="F1896" t="inlineStr">
        <is>
          <t>Down</t>
        </is>
      </c>
      <c r="G1896" t="inlineStr">
        <is>
          <t>Up</t>
        </is>
      </c>
      <c r="H1896" t="inlineStr">
        <is>
          <t>ED_JU</t>
        </is>
      </c>
      <c r="I1896" t="inlineStr">
        <is>
          <t>2013-12</t>
        </is>
      </c>
      <c r="J1896" t="n">
        <v>1</v>
      </c>
      <c r="K1896" t="n">
        <v>1</v>
      </c>
      <c r="L1896" s="34">
        <f>IF($J1896=1,LN(B1897/B1896),"")</f>
        <v/>
      </c>
      <c r="M1896" s="34">
        <f>IF($K1896=1,INDEX(Mensal!$D$2:$D$245,MATCH($I1896,Mensal!$A$2:$A$245,0)),"")</f>
        <v/>
      </c>
      <c r="N1896" s="34">
        <f>IF($K1896=1,L1896-M1896,"")</f>
        <v/>
      </c>
      <c r="O1896" s="34" t="n">
        <v>0.00036998</v>
      </c>
      <c r="P1896" s="34">
        <f>IF($J1896=1,LN(1+O1896),"")</f>
        <v/>
      </c>
      <c r="Q1896" s="34">
        <f>IF($J1896=1,LN(R1897/R1896),"")</f>
        <v/>
      </c>
      <c r="R1896" s="32" t="n">
        <v>2.374</v>
      </c>
      <c r="S1896" s="35" t="n">
        <v>10.62</v>
      </c>
      <c r="T1896" s="18" t="n"/>
      <c r="U1896" s="18" t="n"/>
      <c r="V1896" s="18" t="n"/>
      <c r="W1896" s="18" t="n">
        <v>50215</v>
      </c>
      <c r="X1896" s="35" t="n">
        <v>10.62</v>
      </c>
      <c r="Y1896" s="35" t="n"/>
    </row>
    <row r="1897">
      <c r="A1897" s="25" t="n">
        <v>41613</v>
      </c>
      <c r="B1897" s="18" t="n">
        <v>50787</v>
      </c>
      <c r="C1897" s="31" t="n"/>
      <c r="D1897" s="32" t="n"/>
      <c r="E1897" s="33" t="n">
        <v>14.625</v>
      </c>
      <c r="F1897" t="inlineStr">
        <is>
          <t>Down</t>
        </is>
      </c>
      <c r="G1897" t="inlineStr">
        <is>
          <t>Up</t>
        </is>
      </c>
      <c r="H1897" t="inlineStr">
        <is>
          <t>ED_JU</t>
        </is>
      </c>
      <c r="I1897" t="inlineStr">
        <is>
          <t>2013-12</t>
        </is>
      </c>
      <c r="J1897" t="n">
        <v>1</v>
      </c>
      <c r="K1897" t="n">
        <v>1</v>
      </c>
      <c r="L1897" s="34">
        <f>IF($J1897=1,LN(B1898/B1897),"")</f>
        <v/>
      </c>
      <c r="M1897" s="34">
        <f>IF($K1897=1,INDEX(Mensal!$D$2:$D$245,MATCH($I1897,Mensal!$A$2:$A$245,0)),"")</f>
        <v/>
      </c>
      <c r="N1897" s="34">
        <f>IF($K1897=1,L1897-M1897,"")</f>
        <v/>
      </c>
      <c r="O1897" s="34" t="n">
        <v>0.00036998</v>
      </c>
      <c r="P1897" s="34">
        <f>IF($J1897=1,LN(1+O1897),"")</f>
        <v/>
      </c>
      <c r="Q1897" s="34">
        <f>IF($J1897=1,LN(R1898/R1897),"")</f>
        <v/>
      </c>
      <c r="R1897" s="32" t="n">
        <v>2.3747</v>
      </c>
      <c r="S1897" s="35" t="n">
        <v>10.63</v>
      </c>
      <c r="T1897" s="18" t="n"/>
      <c r="U1897" s="18" t="n"/>
      <c r="V1897" s="18" t="n"/>
      <c r="W1897" s="18" t="n">
        <v>50787</v>
      </c>
      <c r="X1897" s="35" t="n">
        <v>10.63</v>
      </c>
      <c r="Y1897" s="35" t="n"/>
    </row>
    <row r="1898">
      <c r="A1898" s="25" t="n">
        <v>41614</v>
      </c>
      <c r="B1898" s="18" t="n">
        <v>50944</v>
      </c>
      <c r="C1898" s="31" t="n"/>
      <c r="D1898" s="32" t="n"/>
      <c r="E1898" s="33" t="n">
        <v>15.0503</v>
      </c>
      <c r="F1898" t="inlineStr">
        <is>
          <t>Down</t>
        </is>
      </c>
      <c r="G1898" t="inlineStr">
        <is>
          <t>Up</t>
        </is>
      </c>
      <c r="H1898" t="inlineStr">
        <is>
          <t>ED_JU</t>
        </is>
      </c>
      <c r="I1898" t="inlineStr">
        <is>
          <t>2013-12</t>
        </is>
      </c>
      <c r="J1898" t="n">
        <v>1</v>
      </c>
      <c r="K1898" t="n">
        <v>1</v>
      </c>
      <c r="L1898" s="34">
        <f>IF($J1898=1,LN(B1899/B1898),"")</f>
        <v/>
      </c>
      <c r="M1898" s="34">
        <f>IF($K1898=1,INDEX(Mensal!$D$2:$D$245,MATCH($I1898,Mensal!$A$2:$A$245,0)),"")</f>
        <v/>
      </c>
      <c r="N1898" s="34">
        <f>IF($K1898=1,L1898-M1898,"")</f>
        <v/>
      </c>
      <c r="O1898" s="34" t="n">
        <v>0.00036962</v>
      </c>
      <c r="P1898" s="34">
        <f>IF($J1898=1,LN(1+O1898),"")</f>
        <v/>
      </c>
      <c r="Q1898" s="34">
        <f>IF($J1898=1,LN(R1899/R1898),"")</f>
        <v/>
      </c>
      <c r="R1898" s="32" t="n">
        <v>2.3525</v>
      </c>
      <c r="S1898" s="35" t="n">
        <v>10.58</v>
      </c>
      <c r="T1898" s="18" t="n"/>
      <c r="U1898" s="18" t="n"/>
      <c r="V1898" s="18" t="n"/>
      <c r="W1898" s="18" t="n">
        <v>50944</v>
      </c>
      <c r="X1898" s="35" t="n">
        <v>10.58</v>
      </c>
      <c r="Y1898" s="35" t="n"/>
    </row>
    <row r="1899">
      <c r="A1899" s="25" t="n">
        <v>41617</v>
      </c>
      <c r="B1899" s="18" t="n">
        <v>51165</v>
      </c>
      <c r="C1899" s="31" t="n"/>
      <c r="D1899" s="32" t="n"/>
      <c r="E1899" s="33" t="n">
        <v>15.4475</v>
      </c>
      <c r="F1899" t="inlineStr">
        <is>
          <t>Down</t>
        </is>
      </c>
      <c r="G1899" t="inlineStr">
        <is>
          <t>Up</t>
        </is>
      </c>
      <c r="H1899" t="inlineStr">
        <is>
          <t>ED_JU</t>
        </is>
      </c>
      <c r="I1899" t="inlineStr">
        <is>
          <t>2013-12</t>
        </is>
      </c>
      <c r="J1899" t="n">
        <v>1</v>
      </c>
      <c r="K1899" t="n">
        <v>1</v>
      </c>
      <c r="L1899" s="34">
        <f>IF($J1899=1,LN(B1900/B1899),"")</f>
        <v/>
      </c>
      <c r="M1899" s="34">
        <f>IF($K1899=1,INDEX(Mensal!$D$2:$D$245,MATCH($I1899,Mensal!$A$2:$A$245,0)),"")</f>
        <v/>
      </c>
      <c r="N1899" s="34">
        <f>IF($K1899=1,L1899-M1899,"")</f>
        <v/>
      </c>
      <c r="O1899" s="34" t="n">
        <v>0.00037287</v>
      </c>
      <c r="P1899" s="34">
        <f>IF($J1899=1,LN(1+O1899),"")</f>
        <v/>
      </c>
      <c r="Q1899" s="34">
        <f>IF($J1899=1,LN(R1900/R1899),"")</f>
        <v/>
      </c>
      <c r="R1899" s="32" t="n">
        <v>2.3225</v>
      </c>
      <c r="S1899" s="35" t="n">
        <v>10.542</v>
      </c>
      <c r="T1899" s="18" t="n"/>
      <c r="U1899" s="18" t="n"/>
      <c r="V1899" s="18" t="n"/>
      <c r="W1899" s="18" t="n">
        <v>51165</v>
      </c>
      <c r="X1899" s="35" t="n">
        <v>10.542</v>
      </c>
      <c r="Y1899" s="35" t="n"/>
    </row>
    <row r="1900">
      <c r="A1900" s="25" t="n">
        <v>41618</v>
      </c>
      <c r="B1900" s="18" t="n">
        <v>50993</v>
      </c>
      <c r="C1900" s="31" t="n"/>
      <c r="D1900" s="32" t="n"/>
      <c r="E1900" s="33" t="n">
        <v>15.7022</v>
      </c>
      <c r="F1900" t="inlineStr">
        <is>
          <t>Down</t>
        </is>
      </c>
      <c r="G1900" t="inlineStr">
        <is>
          <t>Up</t>
        </is>
      </c>
      <c r="H1900" t="inlineStr">
        <is>
          <t>ED_JU</t>
        </is>
      </c>
      <c r="I1900" t="inlineStr">
        <is>
          <t>2013-12</t>
        </is>
      </c>
      <c r="J1900" t="n">
        <v>1</v>
      </c>
      <c r="K1900" t="n">
        <v>1</v>
      </c>
      <c r="L1900" s="34">
        <f>IF($J1900=1,LN(B1901/B1900),"")</f>
        <v/>
      </c>
      <c r="M1900" s="34">
        <f>IF($K1900=1,INDEX(Mensal!$D$2:$D$245,MATCH($I1900,Mensal!$A$2:$A$245,0)),"")</f>
        <v/>
      </c>
      <c r="N1900" s="34">
        <f>IF($K1900=1,L1900-M1900,"")</f>
        <v/>
      </c>
      <c r="O1900" s="34" t="n">
        <v>0.00036998</v>
      </c>
      <c r="P1900" s="34">
        <f>IF($J1900=1,LN(1+O1900),"")</f>
        <v/>
      </c>
      <c r="Q1900" s="34">
        <f>IF($J1900=1,LN(R1901/R1900),"")</f>
        <v/>
      </c>
      <c r="R1900" s="32" t="n">
        <v>2.3102</v>
      </c>
      <c r="S1900" s="35" t="n">
        <v>10.534</v>
      </c>
      <c r="T1900" s="18" t="n"/>
      <c r="U1900" s="18" t="n"/>
      <c r="V1900" s="18" t="n"/>
      <c r="W1900" s="18" t="n">
        <v>50993</v>
      </c>
      <c r="X1900" s="35" t="n">
        <v>10.534</v>
      </c>
      <c r="Y1900" s="35" t="n"/>
    </row>
    <row r="1901">
      <c r="A1901" s="25" t="n">
        <v>41619</v>
      </c>
      <c r="B1901" s="18" t="n">
        <v>50067</v>
      </c>
      <c r="C1901" s="31" t="n"/>
      <c r="D1901" s="32" t="n"/>
      <c r="E1901" s="33" t="n">
        <v>15.9291</v>
      </c>
      <c r="F1901" t="inlineStr">
        <is>
          <t>Down</t>
        </is>
      </c>
      <c r="G1901" t="inlineStr">
        <is>
          <t>Up</t>
        </is>
      </c>
      <c r="H1901" t="inlineStr">
        <is>
          <t>ED_JU</t>
        </is>
      </c>
      <c r="I1901" t="inlineStr">
        <is>
          <t>2013-12</t>
        </is>
      </c>
      <c r="J1901" t="n">
        <v>1</v>
      </c>
      <c r="K1901" t="n">
        <v>1</v>
      </c>
      <c r="L1901" s="34">
        <f>IF($J1901=1,LN(B1902/B1901),"")</f>
        <v/>
      </c>
      <c r="M1901" s="34">
        <f>IF($K1901=1,INDEX(Mensal!$D$2:$D$245,MATCH($I1901,Mensal!$A$2:$A$245,0)),"")</f>
        <v/>
      </c>
      <c r="N1901" s="34">
        <f>IF($K1901=1,L1901-M1901,"")</f>
        <v/>
      </c>
      <c r="O1901" s="34" t="n">
        <v>0.00036998</v>
      </c>
      <c r="P1901" s="34">
        <f>IF($J1901=1,LN(1+O1901),"")</f>
        <v/>
      </c>
      <c r="Q1901" s="34">
        <f>IF($J1901=1,LN(R1902/R1901),"")</f>
        <v/>
      </c>
      <c r="R1901" s="32" t="n">
        <v>2.3262</v>
      </c>
      <c r="S1901" s="35" t="n">
        <v>10.448</v>
      </c>
      <c r="T1901" s="18" t="n"/>
      <c r="U1901" s="18" t="n"/>
      <c r="V1901" s="18" t="n"/>
      <c r="W1901" s="18" t="n">
        <v>50067</v>
      </c>
      <c r="X1901" s="35" t="n">
        <v>10.448</v>
      </c>
      <c r="Y1901" s="35" t="n"/>
    </row>
    <row r="1902">
      <c r="A1902" s="25" t="n">
        <v>41620</v>
      </c>
      <c r="B1902" s="18" t="n">
        <v>50121</v>
      </c>
      <c r="C1902" s="31" t="n"/>
      <c r="D1902" s="32" t="n"/>
      <c r="E1902" s="33" t="n">
        <v>16.1299</v>
      </c>
      <c r="F1902" t="inlineStr">
        <is>
          <t>Down</t>
        </is>
      </c>
      <c r="G1902" t="inlineStr">
        <is>
          <t>Up</t>
        </is>
      </c>
      <c r="H1902" t="inlineStr">
        <is>
          <t>ED_JU</t>
        </is>
      </c>
      <c r="I1902" t="inlineStr">
        <is>
          <t>2013-12</t>
        </is>
      </c>
      <c r="J1902" t="n">
        <v>1</v>
      </c>
      <c r="K1902" t="n">
        <v>1</v>
      </c>
      <c r="L1902" s="34">
        <f>IF($J1902=1,LN(B1903/B1902),"")</f>
        <v/>
      </c>
      <c r="M1902" s="34">
        <f>IF($K1902=1,INDEX(Mensal!$D$2:$D$245,MATCH($I1902,Mensal!$A$2:$A$245,0)),"")</f>
        <v/>
      </c>
      <c r="N1902" s="34">
        <f>IF($K1902=1,L1902-M1902,"")</f>
        <v/>
      </c>
      <c r="O1902" s="34" t="n">
        <v>0.00036998</v>
      </c>
      <c r="P1902" s="34">
        <f>IF($J1902=1,LN(1+O1902),"")</f>
        <v/>
      </c>
      <c r="Q1902" s="34">
        <f>IF($J1902=1,LN(R1903/R1902),"")</f>
        <v/>
      </c>
      <c r="R1902" s="32" t="n">
        <v>2.3338</v>
      </c>
      <c r="S1902" s="35" t="n">
        <v>10.446</v>
      </c>
      <c r="T1902" s="18" t="n"/>
      <c r="U1902" s="18" t="n"/>
      <c r="V1902" s="18" t="n"/>
      <c r="W1902" s="18" t="n">
        <v>50121</v>
      </c>
      <c r="X1902" s="35" t="n">
        <v>10.446</v>
      </c>
      <c r="Y1902" s="35" t="n"/>
    </row>
    <row r="1903">
      <c r="A1903" s="25" t="n">
        <v>41621</v>
      </c>
      <c r="B1903" s="18" t="n">
        <v>50051</v>
      </c>
      <c r="C1903" s="31" t="n"/>
      <c r="D1903" s="32" t="n"/>
      <c r="E1903" s="33" t="n">
        <v>16.3035</v>
      </c>
      <c r="F1903" t="inlineStr">
        <is>
          <t>Down</t>
        </is>
      </c>
      <c r="G1903" t="inlineStr">
        <is>
          <t>Up</t>
        </is>
      </c>
      <c r="H1903" t="inlineStr">
        <is>
          <t>ED_JU</t>
        </is>
      </c>
      <c r="I1903" t="inlineStr">
        <is>
          <t>2013-12</t>
        </is>
      </c>
      <c r="J1903" t="n">
        <v>1</v>
      </c>
      <c r="K1903" t="n">
        <v>1</v>
      </c>
      <c r="L1903" s="34">
        <f>IF($J1903=1,LN(B1904/B1903),"")</f>
        <v/>
      </c>
      <c r="M1903" s="34">
        <f>IF($K1903=1,INDEX(Mensal!$D$2:$D$245,MATCH($I1903,Mensal!$A$2:$A$245,0)),"")</f>
        <v/>
      </c>
      <c r="N1903" s="34">
        <f>IF($K1903=1,L1903-M1903,"")</f>
        <v/>
      </c>
      <c r="O1903" s="34" t="n">
        <v>0.00036998</v>
      </c>
      <c r="P1903" s="34">
        <f>IF($J1903=1,LN(1+O1903),"")</f>
        <v/>
      </c>
      <c r="Q1903" s="34">
        <f>IF($J1903=1,LN(R1904/R1903),"")</f>
        <v/>
      </c>
      <c r="R1903" s="32" t="n">
        <v>2.3354</v>
      </c>
      <c r="S1903" s="35" t="n">
        <v>10.476</v>
      </c>
      <c r="T1903" s="18" t="n"/>
      <c r="U1903" s="18" t="n"/>
      <c r="V1903" s="18" t="n"/>
      <c r="W1903" s="18" t="n">
        <v>50051</v>
      </c>
      <c r="X1903" s="35" t="n">
        <v>10.476</v>
      </c>
      <c r="Y1903" s="35" t="n"/>
    </row>
    <row r="1904">
      <c r="A1904" s="25" t="n">
        <v>41624</v>
      </c>
      <c r="B1904" s="18" t="n">
        <v>50279</v>
      </c>
      <c r="C1904" s="31" t="n"/>
      <c r="D1904" s="32" t="n"/>
      <c r="E1904" s="33" t="n">
        <v>16.4519</v>
      </c>
      <c r="F1904" t="inlineStr">
        <is>
          <t>Down</t>
        </is>
      </c>
      <c r="G1904" t="inlineStr">
        <is>
          <t>Up</t>
        </is>
      </c>
      <c r="H1904" t="inlineStr">
        <is>
          <t>ED_JU</t>
        </is>
      </c>
      <c r="I1904" t="inlineStr">
        <is>
          <t>2013-12</t>
        </is>
      </c>
      <c r="J1904" t="n">
        <v>1</v>
      </c>
      <c r="K1904" t="n">
        <v>1</v>
      </c>
      <c r="L1904" s="34">
        <f>IF($J1904=1,LN(B1905/B1904),"")</f>
        <v/>
      </c>
      <c r="M1904" s="34">
        <f>IF($K1904=1,INDEX(Mensal!$D$2:$D$245,MATCH($I1904,Mensal!$A$2:$A$245,0)),"")</f>
        <v/>
      </c>
      <c r="N1904" s="34">
        <f>IF($K1904=1,L1904-M1904,"")</f>
        <v/>
      </c>
      <c r="O1904" s="34" t="n">
        <v>0.00037287</v>
      </c>
      <c r="P1904" s="34">
        <f>IF($J1904=1,LN(1+O1904),"")</f>
        <v/>
      </c>
      <c r="Q1904" s="34">
        <f>IF($J1904=1,LN(R1905/R1904),"")</f>
        <v/>
      </c>
      <c r="R1904" s="32" t="n">
        <v>2.3255</v>
      </c>
      <c r="S1904" s="35" t="n">
        <v>10.444</v>
      </c>
      <c r="T1904" s="18" t="n"/>
      <c r="U1904" s="18" t="n"/>
      <c r="V1904" s="18" t="n"/>
      <c r="W1904" s="18" t="n">
        <v>50279</v>
      </c>
      <c r="X1904" s="35" t="n">
        <v>10.444</v>
      </c>
      <c r="Y1904" s="35" t="n"/>
    </row>
    <row r="1905">
      <c r="A1905" s="25" t="n">
        <v>41625</v>
      </c>
      <c r="B1905" s="18" t="n">
        <v>50090</v>
      </c>
      <c r="C1905" s="31" t="n"/>
      <c r="D1905" s="32" t="n"/>
      <c r="E1905" s="33" t="n">
        <v>16.5731</v>
      </c>
      <c r="F1905" t="inlineStr">
        <is>
          <t>Down</t>
        </is>
      </c>
      <c r="G1905" t="inlineStr">
        <is>
          <t>Up</t>
        </is>
      </c>
      <c r="H1905" t="inlineStr">
        <is>
          <t>ED_JU</t>
        </is>
      </c>
      <c r="I1905" t="inlineStr">
        <is>
          <t>2013-12</t>
        </is>
      </c>
      <c r="J1905" t="n">
        <v>1</v>
      </c>
      <c r="K1905" t="n">
        <v>1</v>
      </c>
      <c r="L1905" s="34">
        <f>IF($J1905=1,LN(B1906/B1905),"")</f>
        <v/>
      </c>
      <c r="M1905" s="34">
        <f>IF($K1905=1,INDEX(Mensal!$D$2:$D$245,MATCH($I1905,Mensal!$A$2:$A$245,0)),"")</f>
        <v/>
      </c>
      <c r="N1905" s="34">
        <f>IF($K1905=1,L1905-M1905,"")</f>
        <v/>
      </c>
      <c r="O1905" s="34" t="n">
        <v>0.00036998</v>
      </c>
      <c r="P1905" s="34">
        <f>IF($J1905=1,LN(1+O1905),"")</f>
        <v/>
      </c>
      <c r="Q1905" s="34">
        <f>IF($J1905=1,LN(R1906/R1905),"")</f>
        <v/>
      </c>
      <c r="R1905" s="32" t="n">
        <v>2.3221</v>
      </c>
      <c r="S1905" s="35" t="n">
        <v>10.448</v>
      </c>
      <c r="T1905" s="18" t="n"/>
      <c r="U1905" s="18" t="n"/>
      <c r="V1905" s="18" t="n"/>
      <c r="W1905" s="18" t="n">
        <v>50090</v>
      </c>
      <c r="X1905" s="35" t="n">
        <v>10.448</v>
      </c>
      <c r="Y1905" s="35" t="n"/>
    </row>
    <row r="1906">
      <c r="A1906" s="25" t="n">
        <v>41626</v>
      </c>
      <c r="B1906" s="18" t="n">
        <v>50563</v>
      </c>
      <c r="C1906" s="31" t="n"/>
      <c r="D1906" s="32" t="n"/>
      <c r="E1906" s="33" t="n">
        <v>16.5432</v>
      </c>
      <c r="F1906" t="inlineStr">
        <is>
          <t>Down</t>
        </is>
      </c>
      <c r="G1906" t="inlineStr">
        <is>
          <t>Up</t>
        </is>
      </c>
      <c r="H1906" t="inlineStr">
        <is>
          <t>ED_JU</t>
        </is>
      </c>
      <c r="I1906" t="inlineStr">
        <is>
          <t>2013-12</t>
        </is>
      </c>
      <c r="J1906" t="n">
        <v>1</v>
      </c>
      <c r="K1906" t="n">
        <v>1</v>
      </c>
      <c r="L1906" s="34">
        <f>IF($J1906=1,LN(B1907/B1906),"")</f>
        <v/>
      </c>
      <c r="M1906" s="34">
        <f>IF($K1906=1,INDEX(Mensal!$D$2:$D$245,MATCH($I1906,Mensal!$A$2:$A$245,0)),"")</f>
        <v/>
      </c>
      <c r="N1906" s="34">
        <f>IF($K1906=1,L1906-M1906,"")</f>
        <v/>
      </c>
      <c r="O1906" s="34" t="n">
        <v>0.00036998</v>
      </c>
      <c r="P1906" s="34">
        <f>IF($J1906=1,LN(1+O1906),"")</f>
        <v/>
      </c>
      <c r="Q1906" s="34">
        <f>IF($J1906=1,LN(R1907/R1906),"")</f>
        <v/>
      </c>
      <c r="R1906" s="32" t="n">
        <v>2.3274</v>
      </c>
      <c r="S1906" s="35" t="n">
        <v>10.47</v>
      </c>
      <c r="T1906" s="18" t="n"/>
      <c r="U1906" s="18" t="n"/>
      <c r="V1906" s="18" t="n"/>
      <c r="W1906" s="18" t="n">
        <v>50563</v>
      </c>
      <c r="X1906" s="35" t="n">
        <v>10.47</v>
      </c>
      <c r="Y1906" s="35" t="n"/>
    </row>
    <row r="1907">
      <c r="A1907" s="25" t="n">
        <v>41627</v>
      </c>
      <c r="B1907" s="18" t="n">
        <v>51633</v>
      </c>
      <c r="C1907" s="31" t="n"/>
      <c r="D1907" s="32" t="n"/>
      <c r="E1907" s="33" t="n">
        <v>16.4864</v>
      </c>
      <c r="F1907" t="inlineStr">
        <is>
          <t>Down</t>
        </is>
      </c>
      <c r="G1907" t="inlineStr">
        <is>
          <t>Up</t>
        </is>
      </c>
      <c r="H1907" t="inlineStr">
        <is>
          <t>ED_JU</t>
        </is>
      </c>
      <c r="I1907" t="inlineStr">
        <is>
          <t>2013-12</t>
        </is>
      </c>
      <c r="J1907" t="n">
        <v>1</v>
      </c>
      <c r="K1907" t="n">
        <v>1</v>
      </c>
      <c r="L1907" s="34">
        <f>IF($J1907=1,LN(B1908/B1907),"")</f>
        <v/>
      </c>
      <c r="M1907" s="34">
        <f>IF($K1907=1,INDEX(Mensal!$D$2:$D$245,MATCH($I1907,Mensal!$A$2:$A$245,0)),"")</f>
        <v/>
      </c>
      <c r="N1907" s="34">
        <f>IF($K1907=1,L1907-M1907,"")</f>
        <v/>
      </c>
      <c r="O1907" s="34" t="n">
        <v>0.00036998</v>
      </c>
      <c r="P1907" s="34">
        <f>IF($J1907=1,LN(1+O1907),"")</f>
        <v/>
      </c>
      <c r="Q1907" s="34">
        <f>IF($J1907=1,LN(R1908/R1907),"")</f>
        <v/>
      </c>
      <c r="R1907" s="32" t="n">
        <v>2.3528</v>
      </c>
      <c r="S1907" s="35" t="n">
        <v>10.52</v>
      </c>
      <c r="T1907" s="18" t="n"/>
      <c r="U1907" s="18" t="n"/>
      <c r="V1907" s="18" t="n"/>
      <c r="W1907" s="18" t="n">
        <v>51633</v>
      </c>
      <c r="X1907" s="35" t="n">
        <v>10.52</v>
      </c>
      <c r="Y1907" s="35" t="n"/>
    </row>
    <row r="1908">
      <c r="A1908" s="25" t="n">
        <v>41628</v>
      </c>
      <c r="B1908" s="18" t="n">
        <v>51185</v>
      </c>
      <c r="C1908" s="31" t="n"/>
      <c r="D1908" s="32" t="n"/>
      <c r="E1908" s="33" t="n">
        <v>16.4013</v>
      </c>
      <c r="F1908" t="inlineStr">
        <is>
          <t>Down</t>
        </is>
      </c>
      <c r="G1908" t="inlineStr">
        <is>
          <t>Up</t>
        </is>
      </c>
      <c r="H1908" t="inlineStr">
        <is>
          <t>ED_JU</t>
        </is>
      </c>
      <c r="I1908" t="inlineStr">
        <is>
          <t>2013-12</t>
        </is>
      </c>
      <c r="J1908" t="n">
        <v>1</v>
      </c>
      <c r="K1908" t="n">
        <v>1</v>
      </c>
      <c r="L1908" s="34">
        <f>IF($J1908=1,LN(B1909/B1908),"")</f>
        <v/>
      </c>
      <c r="M1908" s="34">
        <f>IF($K1908=1,INDEX(Mensal!$D$2:$D$245,MATCH($I1908,Mensal!$A$2:$A$245,0)),"")</f>
        <v/>
      </c>
      <c r="N1908" s="34">
        <f>IF($K1908=1,L1908-M1908,"")</f>
        <v/>
      </c>
      <c r="O1908" s="34" t="n">
        <v>0.00036998</v>
      </c>
      <c r="P1908" s="34">
        <f>IF($J1908=1,LN(1+O1908),"")</f>
        <v/>
      </c>
      <c r="Q1908" s="34">
        <f>IF($J1908=1,LN(R1909/R1908),"")</f>
        <v/>
      </c>
      <c r="R1908" s="32" t="n">
        <v>2.3817</v>
      </c>
      <c r="S1908" s="35" t="n">
        <v>10.605</v>
      </c>
      <c r="T1908" s="18" t="n"/>
      <c r="U1908" s="18" t="n"/>
      <c r="V1908" s="18" t="n"/>
      <c r="W1908" s="18" t="n">
        <v>51185</v>
      </c>
      <c r="X1908" s="35" t="n">
        <v>10.605</v>
      </c>
      <c r="Y1908" s="35" t="n"/>
    </row>
    <row r="1909">
      <c r="A1909" s="25" t="n">
        <v>41631</v>
      </c>
      <c r="B1909" s="18" t="n">
        <v>51356</v>
      </c>
      <c r="C1909" s="31" t="n"/>
      <c r="D1909" s="32" t="n"/>
      <c r="E1909" s="33" t="n">
        <v>16.3166</v>
      </c>
      <c r="F1909" t="inlineStr">
        <is>
          <t>Down</t>
        </is>
      </c>
      <c r="G1909" t="inlineStr">
        <is>
          <t>Up</t>
        </is>
      </c>
      <c r="H1909" t="inlineStr">
        <is>
          <t>ED_JU</t>
        </is>
      </c>
      <c r="I1909" t="inlineStr">
        <is>
          <t>2013-12</t>
        </is>
      </c>
      <c r="J1909" t="n">
        <v>1</v>
      </c>
      <c r="K1909" t="n">
        <v>1</v>
      </c>
      <c r="L1909" s="34">
        <f>IF($J1909=1,LN(B1910/B1909),"")</f>
        <v/>
      </c>
      <c r="M1909" s="34">
        <f>IF($K1909=1,INDEX(Mensal!$D$2:$D$245,MATCH($I1909,Mensal!$A$2:$A$245,0)),"")</f>
        <v/>
      </c>
      <c r="N1909" s="34">
        <f>IF($K1909=1,L1909-M1909,"")</f>
        <v/>
      </c>
      <c r="O1909" s="34" t="n">
        <v>0.00036998</v>
      </c>
      <c r="P1909" s="34">
        <f>IF($J1909=1,LN(1+O1909),"")</f>
        <v/>
      </c>
      <c r="Q1909" s="34">
        <f>IF($J1909=1,LN(R1910/R1909),"")</f>
        <v/>
      </c>
      <c r="R1909" s="32" t="n">
        <v>2.3706</v>
      </c>
      <c r="S1909" s="35" t="n">
        <v>10.602</v>
      </c>
      <c r="T1909" s="18" t="n"/>
      <c r="U1909" s="18" t="n"/>
      <c r="V1909" s="18" t="n"/>
      <c r="W1909" s="18" t="n">
        <v>51356</v>
      </c>
      <c r="X1909" s="35" t="n">
        <v>10.602</v>
      </c>
      <c r="Y1909" s="35" t="n"/>
    </row>
    <row r="1910">
      <c r="A1910" s="25" t="n">
        <v>41634</v>
      </c>
      <c r="B1910" s="18" t="n">
        <v>51221</v>
      </c>
      <c r="C1910" s="31" t="n"/>
      <c r="D1910" s="32" t="n"/>
      <c r="E1910" s="33" t="n">
        <v>16.2121</v>
      </c>
      <c r="F1910" t="inlineStr">
        <is>
          <t>Down</t>
        </is>
      </c>
      <c r="G1910" t="inlineStr">
        <is>
          <t>Up</t>
        </is>
      </c>
      <c r="H1910" t="inlineStr">
        <is>
          <t>ED_JU</t>
        </is>
      </c>
      <c r="I1910" t="inlineStr">
        <is>
          <t>2013-12</t>
        </is>
      </c>
      <c r="J1910" t="n">
        <v>1</v>
      </c>
      <c r="K1910" t="n">
        <v>1</v>
      </c>
      <c r="L1910" s="34">
        <f>IF($J1910=1,LN(B1911/B1910),"")</f>
        <v/>
      </c>
      <c r="M1910" s="34">
        <f>IF($K1910=1,INDEX(Mensal!$D$2:$D$245,MATCH($I1910,Mensal!$A$2:$A$245,0)),"")</f>
        <v/>
      </c>
      <c r="N1910" s="34">
        <f>IF($K1910=1,L1910-M1910,"")</f>
        <v/>
      </c>
      <c r="O1910" s="34" t="n">
        <v>0.00036998</v>
      </c>
      <c r="P1910" s="34">
        <f>IF($J1910=1,LN(1+O1910),"")</f>
        <v/>
      </c>
      <c r="Q1910" s="34">
        <f>IF($J1910=1,LN(R1911/R1910),"")</f>
        <v/>
      </c>
      <c r="R1910" s="32" t="n">
        <v>2.3507</v>
      </c>
      <c r="S1910" s="35" t="n">
        <v>10.617</v>
      </c>
      <c r="T1910" s="18" t="n"/>
      <c r="U1910" s="18" t="n"/>
      <c r="V1910" s="18" t="n"/>
      <c r="W1910" s="18" t="n">
        <v>51221</v>
      </c>
      <c r="X1910" s="35" t="n">
        <v>10.617</v>
      </c>
      <c r="Y1910" s="35" t="n"/>
    </row>
    <row r="1911">
      <c r="A1911" s="25" t="n">
        <v>41635</v>
      </c>
      <c r="B1911" s="18" t="n">
        <v>51266</v>
      </c>
      <c r="C1911" s="31" t="n"/>
      <c r="D1911" s="32" t="n"/>
      <c r="E1911" s="33" t="n">
        <v>16.0823</v>
      </c>
      <c r="F1911" t="inlineStr">
        <is>
          <t>Down</t>
        </is>
      </c>
      <c r="G1911" t="inlineStr">
        <is>
          <t>Up</t>
        </is>
      </c>
      <c r="H1911" t="inlineStr">
        <is>
          <t>ED_JU</t>
        </is>
      </c>
      <c r="I1911" t="inlineStr">
        <is>
          <t>2013-12</t>
        </is>
      </c>
      <c r="J1911" t="n">
        <v>1</v>
      </c>
      <c r="K1911" t="n">
        <v>1</v>
      </c>
      <c r="L1911" s="34">
        <f>IF($J1911=1,LN(B1912/B1911),"")</f>
        <v/>
      </c>
      <c r="M1911" s="34">
        <f>IF($K1911=1,INDEX(Mensal!$D$2:$D$245,MATCH($I1911,Mensal!$A$2:$A$245,0)),"")</f>
        <v/>
      </c>
      <c r="N1911" s="34">
        <f>IF($K1911=1,L1911-M1911,"")</f>
        <v/>
      </c>
      <c r="O1911" s="34" t="n">
        <v>0.00036998</v>
      </c>
      <c r="P1911" s="34">
        <f>IF($J1911=1,LN(1+O1911),"")</f>
        <v/>
      </c>
      <c r="Q1911" s="34">
        <f>IF($J1911=1,LN(R1912/R1911),"")</f>
        <v/>
      </c>
      <c r="R1911" s="32" t="n">
        <v>2.3538</v>
      </c>
      <c r="S1911" s="35" t="n">
        <v>10.577</v>
      </c>
      <c r="T1911" s="18" t="n"/>
      <c r="U1911" s="18" t="n"/>
      <c r="V1911" s="18" t="n"/>
      <c r="W1911" s="18" t="n">
        <v>51266</v>
      </c>
      <c r="X1911" s="35" t="n">
        <v>10.577</v>
      </c>
      <c r="Y1911" s="35" t="n"/>
    </row>
    <row r="1912">
      <c r="A1912" s="25" t="n">
        <v>41638</v>
      </c>
      <c r="B1912" s="18" t="n">
        <v>51507</v>
      </c>
      <c r="C1912" s="31" t="n"/>
      <c r="D1912" s="32" t="n"/>
      <c r="E1912" s="33" t="n">
        <v>15.9062</v>
      </c>
      <c r="F1912" t="inlineStr">
        <is>
          <t>Down</t>
        </is>
      </c>
      <c r="G1912" t="inlineStr">
        <is>
          <t>Up</t>
        </is>
      </c>
      <c r="H1912" t="inlineStr">
        <is>
          <t>ED_JU</t>
        </is>
      </c>
      <c r="I1912" t="inlineStr">
        <is>
          <t>2013-12</t>
        </is>
      </c>
      <c r="J1912" t="n">
        <v>1</v>
      </c>
      <c r="K1912" t="n">
        <v>1</v>
      </c>
      <c r="L1912" s="34">
        <f>IF($J1912=1,LN(B1913/B1912),"")</f>
        <v/>
      </c>
      <c r="M1912" s="34">
        <f>IF($K1912=1,INDEX(Mensal!$D$2:$D$245,MATCH($I1912,Mensal!$A$2:$A$245,0)),"")</f>
        <v/>
      </c>
      <c r="N1912" s="34">
        <f>IF($K1912=1,L1912-M1912,"")</f>
        <v/>
      </c>
      <c r="O1912" s="34" t="n">
        <v>0.00036998</v>
      </c>
      <c r="P1912" s="34">
        <f>IF($J1912=1,LN(1+O1912),"")</f>
        <v/>
      </c>
      <c r="Q1912" s="34">
        <f>IF($J1912=1,LN(R1913/R1912),"")</f>
        <v/>
      </c>
      <c r="R1912" s="32" t="n">
        <v>2.3426</v>
      </c>
      <c r="S1912" s="35" t="n">
        <v>10.574</v>
      </c>
      <c r="T1912" s="18" t="n"/>
      <c r="U1912" s="18" t="n"/>
      <c r="V1912" s="18" t="n"/>
      <c r="W1912" s="18" t="n">
        <v>51507</v>
      </c>
      <c r="X1912" s="35" t="n">
        <v>10.574</v>
      </c>
      <c r="Y1912" s="35" t="n"/>
    </row>
    <row r="1913">
      <c r="A1913" s="25" t="n">
        <v>41641</v>
      </c>
      <c r="B1913" s="18" t="n">
        <v>50341.25</v>
      </c>
      <c r="C1913" s="31" t="n"/>
      <c r="D1913" s="32" t="n"/>
      <c r="E1913" s="33" t="n">
        <v>15.7027</v>
      </c>
      <c r="F1913" t="inlineStr">
        <is>
          <t>Up</t>
        </is>
      </c>
      <c r="G1913" t="inlineStr">
        <is>
          <t>Up</t>
        </is>
      </c>
      <c r="H1913" t="inlineStr">
        <is>
          <t>EU_JU</t>
        </is>
      </c>
      <c r="I1913" t="inlineStr">
        <is>
          <t>2014-01</t>
        </is>
      </c>
      <c r="J1913" t="n">
        <v>1</v>
      </c>
      <c r="K1913" t="n">
        <v>1</v>
      </c>
      <c r="L1913" s="34">
        <f>IF($J1913=1,LN(B1914/B1913),"")</f>
        <v/>
      </c>
      <c r="M1913" s="34">
        <f>IF($K1913=1,INDEX(Mensal!$D$2:$D$245,MATCH($I1913,Mensal!$A$2:$A$245,0)),"")</f>
        <v/>
      </c>
      <c r="N1913" s="34">
        <f>IF($K1913=1,L1913-M1913,"")</f>
        <v/>
      </c>
      <c r="O1913" s="34" t="n">
        <v>0.00036998</v>
      </c>
      <c r="P1913" s="34">
        <f>IF($J1913=1,LN(1+O1913),"")</f>
        <v/>
      </c>
      <c r="Q1913" s="34">
        <f>IF($J1913=1,LN(R1914/R1913),"")</f>
        <v/>
      </c>
      <c r="R1913" s="32" t="n">
        <v>2.3975</v>
      </c>
      <c r="S1913" s="35" t="n">
        <v>10.565</v>
      </c>
      <c r="T1913" s="18" t="n"/>
      <c r="U1913" s="18" t="n">
        <v>50341.25</v>
      </c>
      <c r="V1913" s="18" t="n"/>
      <c r="W1913" s="18" t="n"/>
      <c r="X1913" s="35" t="n">
        <v>10.565</v>
      </c>
      <c r="Y1913" s="35" t="n"/>
    </row>
    <row r="1914">
      <c r="A1914" s="25" t="n">
        <v>41642</v>
      </c>
      <c r="B1914" s="18" t="n">
        <v>50981.09</v>
      </c>
      <c r="C1914" s="31" t="n"/>
      <c r="D1914" s="32" t="n"/>
      <c r="E1914" s="33" t="n">
        <v>15.5031</v>
      </c>
      <c r="F1914" t="inlineStr">
        <is>
          <t>Up</t>
        </is>
      </c>
      <c r="G1914" t="inlineStr">
        <is>
          <t>Up</t>
        </is>
      </c>
      <c r="H1914" t="inlineStr">
        <is>
          <t>EU_JU</t>
        </is>
      </c>
      <c r="I1914" t="inlineStr">
        <is>
          <t>2014-01</t>
        </is>
      </c>
      <c r="J1914" t="n">
        <v>1</v>
      </c>
      <c r="K1914" t="n">
        <v>1</v>
      </c>
      <c r="L1914" s="34">
        <f>IF($J1914=1,LN(B1915/B1914),"")</f>
        <v/>
      </c>
      <c r="M1914" s="34">
        <f>IF($K1914=1,INDEX(Mensal!$D$2:$D$245,MATCH($I1914,Mensal!$A$2:$A$245,0)),"")</f>
        <v/>
      </c>
      <c r="N1914" s="34">
        <f>IF($K1914=1,L1914-M1914,"")</f>
        <v/>
      </c>
      <c r="O1914" s="34" t="n">
        <v>0.00036998</v>
      </c>
      <c r="P1914" s="34">
        <f>IF($J1914=1,LN(1+O1914),"")</f>
        <v/>
      </c>
      <c r="Q1914" s="34">
        <f>IF($J1914=1,LN(R1915/R1914),"")</f>
        <v/>
      </c>
      <c r="R1914" s="32" t="n">
        <v>2.3741</v>
      </c>
      <c r="S1914" s="35" t="n">
        <v>10.535</v>
      </c>
      <c r="T1914" s="18" t="n"/>
      <c r="U1914" s="18" t="n">
        <v>50981.09</v>
      </c>
      <c r="V1914" s="18" t="n"/>
      <c r="W1914" s="18" t="n"/>
      <c r="X1914" s="35" t="n">
        <v>10.535</v>
      </c>
      <c r="Y1914" s="35" t="n"/>
    </row>
    <row r="1915">
      <c r="A1915" s="25" t="n">
        <v>41645</v>
      </c>
      <c r="B1915" s="18" t="n">
        <v>50973.62</v>
      </c>
      <c r="C1915" s="31" t="n"/>
      <c r="D1915" s="32" t="n"/>
      <c r="E1915" s="33" t="n">
        <v>15.2777</v>
      </c>
      <c r="F1915" t="inlineStr">
        <is>
          <t>Up</t>
        </is>
      </c>
      <c r="G1915" t="inlineStr">
        <is>
          <t>Up</t>
        </is>
      </c>
      <c r="H1915" t="inlineStr">
        <is>
          <t>EU_JU</t>
        </is>
      </c>
      <c r="I1915" t="inlineStr">
        <is>
          <t>2014-01</t>
        </is>
      </c>
      <c r="J1915" t="n">
        <v>1</v>
      </c>
      <c r="K1915" t="n">
        <v>1</v>
      </c>
      <c r="L1915" s="34">
        <f>IF($J1915=1,LN(B1916/B1915),"")</f>
        <v/>
      </c>
      <c r="M1915" s="34">
        <f>IF($K1915=1,INDEX(Mensal!$D$2:$D$245,MATCH($I1915,Mensal!$A$2:$A$245,0)),"")</f>
        <v/>
      </c>
      <c r="N1915" s="34">
        <f>IF($K1915=1,L1915-M1915,"")</f>
        <v/>
      </c>
      <c r="O1915" s="34" t="n">
        <v>0.00036998</v>
      </c>
      <c r="P1915" s="34">
        <f>IF($J1915=1,LN(1+O1915),"")</f>
        <v/>
      </c>
      <c r="Q1915" s="34">
        <f>IF($J1915=1,LN(R1916/R1915),"")</f>
        <v/>
      </c>
      <c r="R1915" s="32" t="n">
        <v>2.3789</v>
      </c>
      <c r="S1915" s="35" t="n">
        <v>10.56</v>
      </c>
      <c r="T1915" s="18" t="n"/>
      <c r="U1915" s="18" t="n">
        <v>50973.62</v>
      </c>
      <c r="V1915" s="18" t="n"/>
      <c r="W1915" s="18" t="n"/>
      <c r="X1915" s="35" t="n">
        <v>10.56</v>
      </c>
      <c r="Y1915" s="35" t="n"/>
    </row>
    <row r="1916">
      <c r="A1916" s="25" t="n">
        <v>41646</v>
      </c>
      <c r="B1916" s="18" t="n">
        <v>50430.02</v>
      </c>
      <c r="C1916" s="31" t="n"/>
      <c r="D1916" s="32" t="n"/>
      <c r="E1916" s="33" t="n">
        <v>15.0219</v>
      </c>
      <c r="F1916" t="inlineStr">
        <is>
          <t>Up</t>
        </is>
      </c>
      <c r="G1916" t="inlineStr">
        <is>
          <t>Up</t>
        </is>
      </c>
      <c r="H1916" t="inlineStr">
        <is>
          <t>EU_JU</t>
        </is>
      </c>
      <c r="I1916" t="inlineStr">
        <is>
          <t>2014-01</t>
        </is>
      </c>
      <c r="J1916" t="n">
        <v>1</v>
      </c>
      <c r="K1916" t="n">
        <v>1</v>
      </c>
      <c r="L1916" s="34">
        <f>IF($J1916=1,LN(B1917/B1916),"")</f>
        <v/>
      </c>
      <c r="M1916" s="34">
        <f>IF($K1916=1,INDEX(Mensal!$D$2:$D$245,MATCH($I1916,Mensal!$A$2:$A$245,0)),"")</f>
        <v/>
      </c>
      <c r="N1916" s="34">
        <f>IF($K1916=1,L1916-M1916,"")</f>
        <v/>
      </c>
      <c r="O1916" s="34" t="n">
        <v>0.00036998</v>
      </c>
      <c r="P1916" s="34">
        <f>IF($J1916=1,LN(1+O1916),"")</f>
        <v/>
      </c>
      <c r="Q1916" s="34">
        <f>IF($J1916=1,LN(R1917/R1916),"")</f>
        <v/>
      </c>
      <c r="R1916" s="32" t="n">
        <v>2.3634</v>
      </c>
      <c r="S1916" s="35" t="n">
        <v>10.53</v>
      </c>
      <c r="T1916" s="18" t="n"/>
      <c r="U1916" s="18" t="n">
        <v>50430.02</v>
      </c>
      <c r="V1916" s="18" t="n"/>
      <c r="W1916" s="18" t="n"/>
      <c r="X1916" s="35" t="n">
        <v>10.53</v>
      </c>
      <c r="Y1916" s="35" t="n"/>
    </row>
    <row r="1917">
      <c r="A1917" s="25" t="n">
        <v>41647</v>
      </c>
      <c r="B1917" s="18" t="n">
        <v>50576.64</v>
      </c>
      <c r="C1917" s="31" t="n"/>
      <c r="D1917" s="32" t="n"/>
      <c r="E1917" s="33" t="n">
        <v>14.7441</v>
      </c>
      <c r="F1917" t="inlineStr">
        <is>
          <t>Up</t>
        </is>
      </c>
      <c r="G1917" t="inlineStr">
        <is>
          <t>Up</t>
        </is>
      </c>
      <c r="H1917" t="inlineStr">
        <is>
          <t>EU_JU</t>
        </is>
      </c>
      <c r="I1917" t="inlineStr">
        <is>
          <t>2014-01</t>
        </is>
      </c>
      <c r="J1917" t="n">
        <v>1</v>
      </c>
      <c r="K1917" t="n">
        <v>1</v>
      </c>
      <c r="L1917" s="34">
        <f>IF($J1917=1,LN(B1918/B1917),"")</f>
        <v/>
      </c>
      <c r="M1917" s="34">
        <f>IF($K1917=1,INDEX(Mensal!$D$2:$D$245,MATCH($I1917,Mensal!$A$2:$A$245,0)),"")</f>
        <v/>
      </c>
      <c r="N1917" s="34">
        <f>IF($K1917=1,L1917-M1917,"")</f>
        <v/>
      </c>
      <c r="O1917" s="34" t="n">
        <v>0.00036998</v>
      </c>
      <c r="P1917" s="34">
        <f>IF($J1917=1,LN(1+O1917),"")</f>
        <v/>
      </c>
      <c r="Q1917" s="34">
        <f>IF($J1917=1,LN(R1918/R1917),"")</f>
        <v/>
      </c>
      <c r="R1917" s="32" t="n">
        <v>2.3779</v>
      </c>
      <c r="S1917" s="35" t="n">
        <v>10.565</v>
      </c>
      <c r="T1917" s="18" t="n"/>
      <c r="U1917" s="18" t="n">
        <v>50576.64</v>
      </c>
      <c r="V1917" s="18" t="n"/>
      <c r="W1917" s="18" t="n"/>
      <c r="X1917" s="35" t="n">
        <v>10.565</v>
      </c>
      <c r="Y1917" s="35" t="n"/>
    </row>
    <row r="1918">
      <c r="A1918" s="25" t="n">
        <v>41648</v>
      </c>
      <c r="B1918" s="18" t="n">
        <v>49321.68</v>
      </c>
      <c r="C1918" s="31" t="n"/>
      <c r="D1918" s="32" t="n"/>
      <c r="E1918" s="33" t="n">
        <v>14.4396</v>
      </c>
      <c r="F1918" t="inlineStr">
        <is>
          <t>Up</t>
        </is>
      </c>
      <c r="G1918" t="inlineStr">
        <is>
          <t>Up</t>
        </is>
      </c>
      <c r="H1918" t="inlineStr">
        <is>
          <t>EU_JU</t>
        </is>
      </c>
      <c r="I1918" t="inlineStr">
        <is>
          <t>2014-01</t>
        </is>
      </c>
      <c r="J1918" t="n">
        <v>1</v>
      </c>
      <c r="K1918" t="n">
        <v>1</v>
      </c>
      <c r="L1918" s="34">
        <f>IF($J1918=1,LN(B1919/B1918),"")</f>
        <v/>
      </c>
      <c r="M1918" s="34">
        <f>IF($K1918=1,INDEX(Mensal!$D$2:$D$245,MATCH($I1918,Mensal!$A$2:$A$245,0)),"")</f>
        <v/>
      </c>
      <c r="N1918" s="34">
        <f>IF($K1918=1,L1918-M1918,"")</f>
        <v/>
      </c>
      <c r="O1918" s="34" t="n">
        <v>0.00036998</v>
      </c>
      <c r="P1918" s="34">
        <f>IF($J1918=1,LN(1+O1918),"")</f>
        <v/>
      </c>
      <c r="Q1918" s="34">
        <f>IF($J1918=1,LN(R1919/R1918),"")</f>
        <v/>
      </c>
      <c r="R1918" s="32" t="n">
        <v>2.396</v>
      </c>
      <c r="S1918" s="35" t="n">
        <v>10.585</v>
      </c>
      <c r="T1918" s="18" t="n"/>
      <c r="U1918" s="18" t="n">
        <v>49321.68</v>
      </c>
      <c r="V1918" s="18" t="n"/>
      <c r="W1918" s="18" t="n"/>
      <c r="X1918" s="35" t="n">
        <v>10.585</v>
      </c>
      <c r="Y1918" s="35" t="n"/>
    </row>
    <row r="1919">
      <c r="A1919" s="25" t="n">
        <v>41649</v>
      </c>
      <c r="B1919" s="18" t="n">
        <v>49696.45</v>
      </c>
      <c r="C1919" s="31" t="n"/>
      <c r="D1919" s="32" t="n"/>
      <c r="E1919" s="33" t="n">
        <v>14.119</v>
      </c>
      <c r="F1919" t="inlineStr">
        <is>
          <t>Up</t>
        </is>
      </c>
      <c r="G1919" t="inlineStr">
        <is>
          <t>Up</t>
        </is>
      </c>
      <c r="H1919" t="inlineStr">
        <is>
          <t>EU_JU</t>
        </is>
      </c>
      <c r="I1919" t="inlineStr">
        <is>
          <t>2014-01</t>
        </is>
      </c>
      <c r="J1919" t="n">
        <v>1</v>
      </c>
      <c r="K1919" t="n">
        <v>1</v>
      </c>
      <c r="L1919" s="34">
        <f>IF($J1919=1,LN(B1920/B1919),"")</f>
        <v/>
      </c>
      <c r="M1919" s="34">
        <f>IF($K1919=1,INDEX(Mensal!$D$2:$D$245,MATCH($I1919,Mensal!$A$2:$A$245,0)),"")</f>
        <v/>
      </c>
      <c r="N1919" s="34">
        <f>IF($K1919=1,L1919-M1919,"")</f>
        <v/>
      </c>
      <c r="O1919" s="34" t="n">
        <v>0.00036998</v>
      </c>
      <c r="P1919" s="34">
        <f>IF($J1919=1,LN(1+O1919),"")</f>
        <v/>
      </c>
      <c r="Q1919" s="34">
        <f>IF($J1919=1,LN(R1920/R1919),"")</f>
        <v/>
      </c>
      <c r="R1919" s="32" t="n">
        <v>2.3819</v>
      </c>
      <c r="S1919" s="35" t="n">
        <v>10.615</v>
      </c>
      <c r="T1919" s="18" t="n"/>
      <c r="U1919" s="18" t="n">
        <v>49696.45</v>
      </c>
      <c r="V1919" s="18" t="n"/>
      <c r="W1919" s="18" t="n"/>
      <c r="X1919" s="35" t="n">
        <v>10.615</v>
      </c>
      <c r="Y1919" s="35" t="n"/>
    </row>
    <row r="1920">
      <c r="A1920" s="25" t="n">
        <v>41652</v>
      </c>
      <c r="B1920" s="18" t="n">
        <v>49426.9</v>
      </c>
      <c r="C1920" s="31" t="n"/>
      <c r="D1920" s="32" t="n"/>
      <c r="E1920" s="33" t="n">
        <v>13.7746</v>
      </c>
      <c r="F1920" t="inlineStr">
        <is>
          <t>Up</t>
        </is>
      </c>
      <c r="G1920" t="inlineStr">
        <is>
          <t>Up</t>
        </is>
      </c>
      <c r="H1920" t="inlineStr">
        <is>
          <t>EU_JU</t>
        </is>
      </c>
      <c r="I1920" t="inlineStr">
        <is>
          <t>2014-01</t>
        </is>
      </c>
      <c r="J1920" t="n">
        <v>1</v>
      </c>
      <c r="K1920" t="n">
        <v>1</v>
      </c>
      <c r="L1920" s="34">
        <f>IF($J1920=1,LN(B1921/B1920),"")</f>
        <v/>
      </c>
      <c r="M1920" s="34">
        <f>IF($K1920=1,INDEX(Mensal!$D$2:$D$245,MATCH($I1920,Mensal!$A$2:$A$245,0)),"")</f>
        <v/>
      </c>
      <c r="N1920" s="34">
        <f>IF($K1920=1,L1920-M1920,"")</f>
        <v/>
      </c>
      <c r="O1920" s="34" t="n">
        <v>0.00036998</v>
      </c>
      <c r="P1920" s="34">
        <f>IF($J1920=1,LN(1+O1920),"")</f>
        <v/>
      </c>
      <c r="Q1920" s="34">
        <f>IF($J1920=1,LN(R1921/R1920),"")</f>
        <v/>
      </c>
      <c r="R1920" s="32" t="n">
        <v>2.3491</v>
      </c>
      <c r="S1920" s="35" t="n">
        <v>10.728</v>
      </c>
      <c r="T1920" s="18" t="n"/>
      <c r="U1920" s="18" t="n">
        <v>49426.9</v>
      </c>
      <c r="V1920" s="18" t="n"/>
      <c r="W1920" s="18" t="n"/>
      <c r="X1920" s="35" t="n">
        <v>10.728</v>
      </c>
      <c r="Y1920" s="35" t="n"/>
    </row>
    <row r="1921">
      <c r="A1921" s="25" t="n">
        <v>41653</v>
      </c>
      <c r="B1921" s="18" t="n">
        <v>49703.1</v>
      </c>
      <c r="C1921" s="31" t="n"/>
      <c r="D1921" s="32" t="n"/>
      <c r="E1921" s="33" t="n">
        <v>13.4126</v>
      </c>
      <c r="F1921" t="inlineStr">
        <is>
          <t>Up</t>
        </is>
      </c>
      <c r="G1921" t="inlineStr">
        <is>
          <t>Up</t>
        </is>
      </c>
      <c r="H1921" t="inlineStr">
        <is>
          <t>EU_JU</t>
        </is>
      </c>
      <c r="I1921" t="inlineStr">
        <is>
          <t>2014-01</t>
        </is>
      </c>
      <c r="J1921" t="n">
        <v>1</v>
      </c>
      <c r="K1921" t="n">
        <v>1</v>
      </c>
      <c r="L1921" s="34">
        <f>IF($J1921=1,LN(B1922/B1921),"")</f>
        <v/>
      </c>
      <c r="M1921" s="34">
        <f>IF($K1921=1,INDEX(Mensal!$D$2:$D$245,MATCH($I1921,Mensal!$A$2:$A$245,0)),"")</f>
        <v/>
      </c>
      <c r="N1921" s="34">
        <f>IF($K1921=1,L1921-M1921,"")</f>
        <v/>
      </c>
      <c r="O1921" s="34" t="n">
        <v>0.00036998</v>
      </c>
      <c r="P1921" s="34">
        <f>IF($J1921=1,LN(1+O1921),"")</f>
        <v/>
      </c>
      <c r="Q1921" s="34">
        <f>IF($J1921=1,LN(R1922/R1921),"")</f>
        <v/>
      </c>
      <c r="R1921" s="32" t="n">
        <v>2.3617</v>
      </c>
      <c r="S1921" s="35" t="n">
        <v>10.803</v>
      </c>
      <c r="T1921" s="18" t="n"/>
      <c r="U1921" s="18" t="n">
        <v>49703.1</v>
      </c>
      <c r="V1921" s="18" t="n"/>
      <c r="W1921" s="18" t="n"/>
      <c r="X1921" s="35" t="n">
        <v>10.803</v>
      </c>
      <c r="Y1921" s="35" t="n"/>
    </row>
    <row r="1922">
      <c r="A1922" s="25" t="n">
        <v>41654</v>
      </c>
      <c r="B1922" s="18" t="n">
        <v>50105.37</v>
      </c>
      <c r="C1922" s="31" t="n"/>
      <c r="D1922" s="32" t="n"/>
      <c r="E1922" s="33" t="n">
        <v>12.9591</v>
      </c>
      <c r="F1922" t="inlineStr">
        <is>
          <t>Up</t>
        </is>
      </c>
      <c r="G1922" t="inlineStr">
        <is>
          <t>Up</t>
        </is>
      </c>
      <c r="H1922" t="inlineStr">
        <is>
          <t>EU_JU</t>
        </is>
      </c>
      <c r="I1922" t="inlineStr">
        <is>
          <t>2014-01</t>
        </is>
      </c>
      <c r="J1922" t="n">
        <v>1</v>
      </c>
      <c r="K1922" t="n">
        <v>1</v>
      </c>
      <c r="L1922" s="34">
        <f>IF($J1922=1,LN(B1923/B1922),"")</f>
        <v/>
      </c>
      <c r="M1922" s="34">
        <f>IF($K1922=1,INDEX(Mensal!$D$2:$D$245,MATCH($I1922,Mensal!$A$2:$A$245,0)),"")</f>
        <v/>
      </c>
      <c r="N1922" s="34">
        <f>IF($K1922=1,L1922-M1922,"")</f>
        <v/>
      </c>
      <c r="O1922" s="34" t="n">
        <v>0.00036998</v>
      </c>
      <c r="P1922" s="34">
        <f>IF($J1922=1,LN(1+O1922),"")</f>
        <v/>
      </c>
      <c r="Q1922" s="34">
        <f>IF($J1922=1,LN(R1923/R1922),"")</f>
        <v/>
      </c>
      <c r="R1922" s="32" t="n">
        <v>2.347</v>
      </c>
      <c r="S1922" s="35" t="n">
        <v>10.765</v>
      </c>
      <c r="T1922" s="18" t="n"/>
      <c r="U1922" s="18" t="n">
        <v>50105.37</v>
      </c>
      <c r="V1922" s="18" t="n"/>
      <c r="W1922" s="18" t="n"/>
      <c r="X1922" s="35" t="n">
        <v>10.765</v>
      </c>
      <c r="Y1922" s="35" t="n"/>
    </row>
    <row r="1923">
      <c r="A1923" s="25" t="n">
        <v>41655</v>
      </c>
      <c r="B1923" s="18" t="n">
        <v>49696.28</v>
      </c>
      <c r="C1923" s="31" t="n"/>
      <c r="D1923" s="32" t="n"/>
      <c r="E1923" s="33" t="n">
        <v>12.4859</v>
      </c>
      <c r="F1923" t="inlineStr">
        <is>
          <t>Up</t>
        </is>
      </c>
      <c r="G1923" t="inlineStr">
        <is>
          <t>Up</t>
        </is>
      </c>
      <c r="H1923" t="inlineStr">
        <is>
          <t>EU_JU</t>
        </is>
      </c>
      <c r="I1923" t="inlineStr">
        <is>
          <t>2014-01</t>
        </is>
      </c>
      <c r="J1923" t="n">
        <v>1</v>
      </c>
      <c r="K1923" t="n">
        <v>1</v>
      </c>
      <c r="L1923" s="34">
        <f>IF($J1923=1,LN(B1924/B1923),"")</f>
        <v/>
      </c>
      <c r="M1923" s="34">
        <f>IF($K1923=1,INDEX(Mensal!$D$2:$D$245,MATCH($I1923,Mensal!$A$2:$A$245,0)),"")</f>
        <v/>
      </c>
      <c r="N1923" s="34">
        <f>IF($K1923=1,L1923-M1923,"")</f>
        <v/>
      </c>
      <c r="O1923" s="34" t="n">
        <v>0.00038802</v>
      </c>
      <c r="P1923" s="34">
        <f>IF($J1923=1,LN(1+O1923),"")</f>
        <v/>
      </c>
      <c r="Q1923" s="34">
        <f>IF($J1923=1,LN(R1924/R1923),"")</f>
        <v/>
      </c>
      <c r="R1923" s="32" t="n">
        <v>2.3683</v>
      </c>
      <c r="S1923" s="35" t="n">
        <v>10.953</v>
      </c>
      <c r="T1923" s="18" t="n"/>
      <c r="U1923" s="18" t="n">
        <v>49696.28</v>
      </c>
      <c r="V1923" s="18" t="n"/>
      <c r="W1923" s="18" t="n"/>
      <c r="X1923" s="35" t="n">
        <v>10.953</v>
      </c>
      <c r="Y1923" s="35" t="n"/>
    </row>
    <row r="1924">
      <c r="A1924" s="25" t="n">
        <v>41656</v>
      </c>
      <c r="B1924" s="18" t="n">
        <v>49181.86</v>
      </c>
      <c r="C1924" s="31" t="n"/>
      <c r="D1924" s="32" t="n"/>
      <c r="E1924" s="33" t="n">
        <v>11.8631</v>
      </c>
      <c r="F1924" t="inlineStr">
        <is>
          <t>Up</t>
        </is>
      </c>
      <c r="G1924" t="inlineStr">
        <is>
          <t>Up</t>
        </is>
      </c>
      <c r="H1924" t="inlineStr">
        <is>
          <t>EU_JU</t>
        </is>
      </c>
      <c r="I1924" t="inlineStr">
        <is>
          <t>2014-01</t>
        </is>
      </c>
      <c r="J1924" t="n">
        <v>1</v>
      </c>
      <c r="K1924" t="n">
        <v>1</v>
      </c>
      <c r="L1924" s="34">
        <f>IF($J1924=1,LN(B1925/B1924),"")</f>
        <v/>
      </c>
      <c r="M1924" s="34">
        <f>IF($K1924=1,INDEX(Mensal!$D$2:$D$245,MATCH($I1924,Mensal!$A$2:$A$245,0)),"")</f>
        <v/>
      </c>
      <c r="N1924" s="34">
        <f>IF($K1924=1,L1924-M1924,"")</f>
        <v/>
      </c>
      <c r="O1924" s="34" t="n">
        <v>0.00039054</v>
      </c>
      <c r="P1924" s="34">
        <f>IF($J1924=1,LN(1+O1924),"")</f>
        <v/>
      </c>
      <c r="Q1924" s="34">
        <f>IF($J1924=1,LN(R1925/R1924),"")</f>
        <v/>
      </c>
      <c r="R1924" s="32" t="n">
        <v>2.3601</v>
      </c>
      <c r="S1924" s="35" t="n">
        <v>10.943</v>
      </c>
      <c r="T1924" s="18" t="n"/>
      <c r="U1924" s="18" t="n">
        <v>49181.86</v>
      </c>
      <c r="V1924" s="18" t="n"/>
      <c r="W1924" s="18" t="n"/>
      <c r="X1924" s="35" t="n">
        <v>10.943</v>
      </c>
      <c r="Y1924" s="35" t="n"/>
    </row>
    <row r="1925">
      <c r="A1925" s="25" t="n">
        <v>41659</v>
      </c>
      <c r="B1925" s="18" t="n">
        <v>48708.41</v>
      </c>
      <c r="C1925" s="31" t="n"/>
      <c r="D1925" s="32" t="n"/>
      <c r="E1925" s="33" t="n">
        <v>11.2206</v>
      </c>
      <c r="F1925" t="inlineStr">
        <is>
          <t>Up</t>
        </is>
      </c>
      <c r="G1925" t="inlineStr">
        <is>
          <t>Up</t>
        </is>
      </c>
      <c r="H1925" t="inlineStr">
        <is>
          <t>EU_JU</t>
        </is>
      </c>
      <c r="I1925" t="inlineStr">
        <is>
          <t>2014-01</t>
        </is>
      </c>
      <c r="J1925" t="n">
        <v>1</v>
      </c>
      <c r="K1925" t="n">
        <v>1</v>
      </c>
      <c r="L1925" s="34">
        <f>IF($J1925=1,LN(B1926/B1925),"")</f>
        <v/>
      </c>
      <c r="M1925" s="34">
        <f>IF($K1925=1,INDEX(Mensal!$D$2:$D$245,MATCH($I1925,Mensal!$A$2:$A$245,0)),"")</f>
        <v/>
      </c>
      <c r="N1925" s="34">
        <f>IF($K1925=1,L1925-M1925,"")</f>
        <v/>
      </c>
      <c r="O1925" s="34" t="n">
        <v>0.0003909</v>
      </c>
      <c r="P1925" s="34">
        <f>IF($J1925=1,LN(1+O1925),"")</f>
        <v/>
      </c>
      <c r="Q1925" s="34">
        <f>IF($J1925=1,LN(R1926/R1925),"")</f>
        <v/>
      </c>
      <c r="R1925" s="32" t="n">
        <v>2.3335</v>
      </c>
      <c r="S1925" s="35" t="n">
        <v>11.046</v>
      </c>
      <c r="T1925" s="18" t="n"/>
      <c r="U1925" s="18" t="n">
        <v>48708.41</v>
      </c>
      <c r="V1925" s="18" t="n"/>
      <c r="W1925" s="18" t="n"/>
      <c r="X1925" s="35" t="n">
        <v>11.046</v>
      </c>
      <c r="Y1925" s="35" t="n"/>
    </row>
    <row r="1926">
      <c r="A1926" s="25" t="n">
        <v>41660</v>
      </c>
      <c r="B1926" s="18" t="n">
        <v>48542.07</v>
      </c>
      <c r="C1926" s="31" t="n"/>
      <c r="D1926" s="32" t="n"/>
      <c r="E1926" s="33" t="n">
        <v>10.5503</v>
      </c>
      <c r="F1926" t="inlineStr">
        <is>
          <t>Up</t>
        </is>
      </c>
      <c r="G1926" t="inlineStr">
        <is>
          <t>Up</t>
        </is>
      </c>
      <c r="H1926" t="inlineStr">
        <is>
          <t>EU_JU</t>
        </is>
      </c>
      <c r="I1926" t="inlineStr">
        <is>
          <t>2014-01</t>
        </is>
      </c>
      <c r="J1926" t="n">
        <v>1</v>
      </c>
      <c r="K1926" t="n">
        <v>1</v>
      </c>
      <c r="L1926" s="34">
        <f>IF($J1926=1,LN(B1927/B1926),"")</f>
        <v/>
      </c>
      <c r="M1926" s="34">
        <f>IF($K1926=1,INDEX(Mensal!$D$2:$D$245,MATCH($I1926,Mensal!$A$2:$A$245,0)),"")</f>
        <v/>
      </c>
      <c r="N1926" s="34">
        <f>IF($K1926=1,L1926-M1926,"")</f>
        <v/>
      </c>
      <c r="O1926" s="34" t="n">
        <v>0.0003909</v>
      </c>
      <c r="P1926" s="34">
        <f>IF($J1926=1,LN(1+O1926),"")</f>
        <v/>
      </c>
      <c r="Q1926" s="34">
        <f>IF($J1926=1,LN(R1927/R1926),"")</f>
        <v/>
      </c>
      <c r="R1926" s="32" t="n">
        <v>2.3608</v>
      </c>
      <c r="S1926" s="35" t="n">
        <v>11.109</v>
      </c>
      <c r="T1926" s="18" t="n"/>
      <c r="U1926" s="18" t="n">
        <v>48542.07</v>
      </c>
      <c r="V1926" s="18" t="n"/>
      <c r="W1926" s="18" t="n"/>
      <c r="X1926" s="35" t="n">
        <v>11.109</v>
      </c>
      <c r="Y1926" s="35" t="n"/>
    </row>
    <row r="1927">
      <c r="A1927" s="25" t="n">
        <v>41661</v>
      </c>
      <c r="B1927" s="18" t="n">
        <v>49299.66</v>
      </c>
      <c r="C1927" s="31" t="n"/>
      <c r="D1927" s="32" t="n"/>
      <c r="E1927" s="33" t="n">
        <v>9.849399999999999</v>
      </c>
      <c r="F1927" t="inlineStr">
        <is>
          <t>Up</t>
        </is>
      </c>
      <c r="G1927" t="inlineStr">
        <is>
          <t>Up</t>
        </is>
      </c>
      <c r="H1927" t="inlineStr">
        <is>
          <t>EU_JU</t>
        </is>
      </c>
      <c r="I1927" t="inlineStr">
        <is>
          <t>2014-01</t>
        </is>
      </c>
      <c r="J1927" t="n">
        <v>1</v>
      </c>
      <c r="K1927" t="n">
        <v>1</v>
      </c>
      <c r="L1927" s="34">
        <f>IF($J1927=1,LN(B1928/B1927),"")</f>
        <v/>
      </c>
      <c r="M1927" s="34">
        <f>IF($K1927=1,INDEX(Mensal!$D$2:$D$245,MATCH($I1927,Mensal!$A$2:$A$245,0)),"")</f>
        <v/>
      </c>
      <c r="N1927" s="34">
        <f>IF($K1927=1,L1927-M1927,"")</f>
        <v/>
      </c>
      <c r="O1927" s="34" t="n">
        <v>0.00038802</v>
      </c>
      <c r="P1927" s="34">
        <f>IF($J1927=1,LN(1+O1927),"")</f>
        <v/>
      </c>
      <c r="Q1927" s="34">
        <f>IF($J1927=1,LN(R1928/R1927),"")</f>
        <v/>
      </c>
      <c r="R1927" s="32" t="n">
        <v>2.3601</v>
      </c>
      <c r="S1927" s="35" t="n">
        <v>11.113</v>
      </c>
      <c r="T1927" s="18" t="n"/>
      <c r="U1927" s="18" t="n">
        <v>49299.66</v>
      </c>
      <c r="V1927" s="18" t="n"/>
      <c r="W1927" s="18" t="n"/>
      <c r="X1927" s="35" t="n">
        <v>11.113</v>
      </c>
      <c r="Y1927" s="35" t="n"/>
    </row>
    <row r="1928">
      <c r="A1928" s="25" t="n">
        <v>41662</v>
      </c>
      <c r="B1928" s="18" t="n">
        <v>48320.64</v>
      </c>
      <c r="C1928" s="31" t="n"/>
      <c r="D1928" s="32" t="n"/>
      <c r="E1928" s="33" t="n">
        <v>9.138199999999999</v>
      </c>
      <c r="F1928" t="inlineStr">
        <is>
          <t>Up</t>
        </is>
      </c>
      <c r="G1928" t="inlineStr">
        <is>
          <t>Up</t>
        </is>
      </c>
      <c r="H1928" t="inlineStr">
        <is>
          <t>EU_JU</t>
        </is>
      </c>
      <c r="I1928" t="inlineStr">
        <is>
          <t>2014-01</t>
        </is>
      </c>
      <c r="J1928" t="n">
        <v>1</v>
      </c>
      <c r="K1928" t="n">
        <v>1</v>
      </c>
      <c r="L1928" s="34">
        <f>IF($J1928=1,LN(B1929/B1928),"")</f>
        <v/>
      </c>
      <c r="M1928" s="34">
        <f>IF($K1928=1,INDEX(Mensal!$D$2:$D$245,MATCH($I1928,Mensal!$A$2:$A$245,0)),"")</f>
        <v/>
      </c>
      <c r="N1928" s="34">
        <f>IF($K1928=1,L1928-M1928,"")</f>
        <v/>
      </c>
      <c r="O1928" s="34" t="n">
        <v>0.00038802</v>
      </c>
      <c r="P1928" s="34">
        <f>IF($J1928=1,LN(1+O1928),"")</f>
        <v/>
      </c>
      <c r="Q1928" s="34">
        <f>IF($J1928=1,LN(R1929/R1928),"")</f>
        <v/>
      </c>
      <c r="R1928" s="32" t="n">
        <v>2.3761</v>
      </c>
      <c r="S1928" s="35" t="n">
        <v>11.203</v>
      </c>
      <c r="T1928" s="18" t="n"/>
      <c r="U1928" s="18" t="n">
        <v>48320.64</v>
      </c>
      <c r="V1928" s="18" t="n"/>
      <c r="W1928" s="18" t="n"/>
      <c r="X1928" s="35" t="n">
        <v>11.203</v>
      </c>
      <c r="Y1928" s="35" t="n"/>
    </row>
    <row r="1929">
      <c r="A1929" s="25" t="n">
        <v>41663</v>
      </c>
      <c r="B1929" s="18" t="n">
        <v>47787.38</v>
      </c>
      <c r="C1929" s="31" t="n"/>
      <c r="D1929" s="32" t="n"/>
      <c r="E1929" s="33" t="n">
        <v>8.4337</v>
      </c>
      <c r="F1929" t="inlineStr">
        <is>
          <t>Up</t>
        </is>
      </c>
      <c r="G1929" t="inlineStr">
        <is>
          <t>Up</t>
        </is>
      </c>
      <c r="H1929" t="inlineStr">
        <is>
          <t>EU_JU</t>
        </is>
      </c>
      <c r="I1929" t="inlineStr">
        <is>
          <t>2014-01</t>
        </is>
      </c>
      <c r="J1929" t="n">
        <v>1</v>
      </c>
      <c r="K1929" t="n">
        <v>1</v>
      </c>
      <c r="L1929" s="34">
        <f>IF($J1929=1,LN(B1930/B1929),"")</f>
        <v/>
      </c>
      <c r="M1929" s="34">
        <f>IF($K1929=1,INDEX(Mensal!$D$2:$D$245,MATCH($I1929,Mensal!$A$2:$A$245,0)),"")</f>
        <v/>
      </c>
      <c r="N1929" s="34">
        <f>IF($K1929=1,L1929-M1929,"")</f>
        <v/>
      </c>
      <c r="O1929" s="34" t="n">
        <v>0.00038802</v>
      </c>
      <c r="P1929" s="34">
        <f>IF($J1929=1,LN(1+O1929),"")</f>
        <v/>
      </c>
      <c r="Q1929" s="34">
        <f>IF($J1929=1,LN(R1930/R1929),"")</f>
        <v/>
      </c>
      <c r="R1929" s="32" t="n">
        <v>2.4129</v>
      </c>
      <c r="S1929" s="35" t="n">
        <v>11.171</v>
      </c>
      <c r="T1929" s="18" t="n"/>
      <c r="U1929" s="18" t="n">
        <v>47787.38</v>
      </c>
      <c r="V1929" s="18" t="n"/>
      <c r="W1929" s="18" t="n"/>
      <c r="X1929" s="35" t="n">
        <v>11.171</v>
      </c>
      <c r="Y1929" s="35" t="n"/>
    </row>
    <row r="1930">
      <c r="A1930" s="25" t="n">
        <v>41666</v>
      </c>
      <c r="B1930" s="18" t="n">
        <v>47701.05</v>
      </c>
      <c r="C1930" s="31" t="n"/>
      <c r="D1930" s="32" t="n"/>
      <c r="E1930" s="33" t="n">
        <v>7.7082</v>
      </c>
      <c r="F1930" t="inlineStr">
        <is>
          <t>Up</t>
        </is>
      </c>
      <c r="G1930" t="inlineStr">
        <is>
          <t>Up</t>
        </is>
      </c>
      <c r="H1930" t="inlineStr">
        <is>
          <t>EU_JU</t>
        </is>
      </c>
      <c r="I1930" t="inlineStr">
        <is>
          <t>2014-01</t>
        </is>
      </c>
      <c r="J1930" t="n">
        <v>1</v>
      </c>
      <c r="K1930" t="n">
        <v>1</v>
      </c>
      <c r="L1930" s="34">
        <f>IF($J1930=1,LN(B1931/B1930),"")</f>
        <v/>
      </c>
      <c r="M1930" s="34">
        <f>IF($K1930=1,INDEX(Mensal!$D$2:$D$245,MATCH($I1930,Mensal!$A$2:$A$245,0)),"")</f>
        <v/>
      </c>
      <c r="N1930" s="34">
        <f>IF($K1930=1,L1930-M1930,"")</f>
        <v/>
      </c>
      <c r="O1930" s="34" t="n">
        <v>0.00038802</v>
      </c>
      <c r="P1930" s="34">
        <f>IF($J1930=1,LN(1+O1930),"")</f>
        <v/>
      </c>
      <c r="Q1930" s="34">
        <f>IF($J1930=1,LN(R1931/R1930),"")</f>
        <v/>
      </c>
      <c r="R1930" s="32" t="n">
        <v>2.4044</v>
      </c>
      <c r="S1930" s="35" t="n">
        <v>11.26</v>
      </c>
      <c r="T1930" s="18" t="n"/>
      <c r="U1930" s="18" t="n">
        <v>47701.05</v>
      </c>
      <c r="V1930" s="18" t="n"/>
      <c r="W1930" s="18" t="n"/>
      <c r="X1930" s="35" t="n">
        <v>11.26</v>
      </c>
      <c r="Y1930" s="35" t="n"/>
    </row>
    <row r="1931">
      <c r="A1931" s="25" t="n">
        <v>41667</v>
      </c>
      <c r="B1931" s="18" t="n">
        <v>47840.93</v>
      </c>
      <c r="C1931" s="31" t="n"/>
      <c r="D1931" s="32" t="n"/>
      <c r="E1931" s="33" t="n">
        <v>6.9509</v>
      </c>
      <c r="F1931" t="inlineStr">
        <is>
          <t>Up</t>
        </is>
      </c>
      <c r="G1931" t="inlineStr">
        <is>
          <t>Up</t>
        </is>
      </c>
      <c r="H1931" t="inlineStr">
        <is>
          <t>EU_JU</t>
        </is>
      </c>
      <c r="I1931" t="inlineStr">
        <is>
          <t>2014-01</t>
        </is>
      </c>
      <c r="J1931" t="n">
        <v>1</v>
      </c>
      <c r="K1931" t="n">
        <v>1</v>
      </c>
      <c r="L1931" s="34">
        <f>IF($J1931=1,LN(B1932/B1931),"")</f>
        <v/>
      </c>
      <c r="M1931" s="34">
        <f>IF($K1931=1,INDEX(Mensal!$D$2:$D$245,MATCH($I1931,Mensal!$A$2:$A$245,0)),"")</f>
        <v/>
      </c>
      <c r="N1931" s="34">
        <f>IF($K1931=1,L1931-M1931,"")</f>
        <v/>
      </c>
      <c r="O1931" s="34" t="n">
        <v>0.00038802</v>
      </c>
      <c r="P1931" s="34">
        <f>IF($J1931=1,LN(1+O1931),"")</f>
        <v/>
      </c>
      <c r="Q1931" s="34">
        <f>IF($J1931=1,LN(R1932/R1931),"")</f>
        <v/>
      </c>
      <c r="R1931" s="32" t="n">
        <v>2.4165</v>
      </c>
      <c r="S1931" s="35" t="n">
        <v>11.301</v>
      </c>
      <c r="T1931" s="18" t="n"/>
      <c r="U1931" s="18" t="n">
        <v>47840.93</v>
      </c>
      <c r="V1931" s="18" t="n"/>
      <c r="W1931" s="18" t="n"/>
      <c r="X1931" s="35" t="n">
        <v>11.301</v>
      </c>
      <c r="Y1931" s="35" t="n"/>
    </row>
    <row r="1932">
      <c r="A1932" s="25" t="n">
        <v>41668</v>
      </c>
      <c r="B1932" s="18" t="n">
        <v>47556.78</v>
      </c>
      <c r="C1932" s="31" t="n"/>
      <c r="D1932" s="32" t="n"/>
      <c r="E1932" s="33" t="n">
        <v>6.168</v>
      </c>
      <c r="F1932" t="inlineStr">
        <is>
          <t>Up</t>
        </is>
      </c>
      <c r="G1932" t="inlineStr">
        <is>
          <t>Up</t>
        </is>
      </c>
      <c r="H1932" t="inlineStr">
        <is>
          <t>EU_JU</t>
        </is>
      </c>
      <c r="I1932" t="inlineStr">
        <is>
          <t>2014-01</t>
        </is>
      </c>
      <c r="J1932" t="n">
        <v>1</v>
      </c>
      <c r="K1932" t="n">
        <v>1</v>
      </c>
      <c r="L1932" s="34">
        <f>IF($J1932=1,LN(B1933/B1932),"")</f>
        <v/>
      </c>
      <c r="M1932" s="34">
        <f>IF($K1932=1,INDEX(Mensal!$D$2:$D$245,MATCH($I1932,Mensal!$A$2:$A$245,0)),"")</f>
        <v/>
      </c>
      <c r="N1932" s="34">
        <f>IF($K1932=1,L1932-M1932,"")</f>
        <v/>
      </c>
      <c r="O1932" s="34" t="n">
        <v>0.00038802</v>
      </c>
      <c r="P1932" s="34">
        <f>IF($J1932=1,LN(1+O1932),"")</f>
        <v/>
      </c>
      <c r="Q1932" s="34">
        <f>IF($J1932=1,LN(R1933/R1932),"")</f>
        <v/>
      </c>
      <c r="R1932" s="32" t="n">
        <v>2.4397</v>
      </c>
      <c r="S1932" s="35" t="n">
        <v>11.498</v>
      </c>
      <c r="T1932" s="18" t="n"/>
      <c r="U1932" s="18" t="n">
        <v>47556.78</v>
      </c>
      <c r="V1932" s="18" t="n"/>
      <c r="W1932" s="18" t="n"/>
      <c r="X1932" s="35" t="n">
        <v>11.498</v>
      </c>
      <c r="Y1932" s="35" t="n"/>
    </row>
    <row r="1933">
      <c r="A1933" s="25" t="n">
        <v>41669</v>
      </c>
      <c r="B1933" s="18" t="n">
        <v>47244.26</v>
      </c>
      <c r="C1933" s="31" t="n"/>
      <c r="D1933" s="32" t="n"/>
      <c r="E1933" s="33" t="n">
        <v>5.2406</v>
      </c>
      <c r="F1933" t="inlineStr">
        <is>
          <t>Up</t>
        </is>
      </c>
      <c r="G1933" t="inlineStr">
        <is>
          <t>Up</t>
        </is>
      </c>
      <c r="H1933" t="inlineStr">
        <is>
          <t>EU_JU</t>
        </is>
      </c>
      <c r="I1933" t="inlineStr">
        <is>
          <t>2014-01</t>
        </is>
      </c>
      <c r="J1933" t="n">
        <v>1</v>
      </c>
      <c r="K1933" t="n">
        <v>1</v>
      </c>
      <c r="L1933" s="34">
        <f>IF($J1933=1,LN(B1934/B1933),"")</f>
        <v/>
      </c>
      <c r="M1933" s="34">
        <f>IF($K1933=1,INDEX(Mensal!$D$2:$D$245,MATCH($I1933,Mensal!$A$2:$A$245,0)),"")</f>
        <v/>
      </c>
      <c r="N1933" s="34">
        <f>IF($K1933=1,L1933-M1933,"")</f>
        <v/>
      </c>
      <c r="O1933" s="34" t="n">
        <v>0.00038802</v>
      </c>
      <c r="P1933" s="34">
        <f>IF($J1933=1,LN(1+O1933),"")</f>
        <v/>
      </c>
      <c r="Q1933" s="34">
        <f>IF($J1933=1,LN(R1934/R1933),"")</f>
        <v/>
      </c>
      <c r="R1933" s="32" t="n">
        <v>2.4224</v>
      </c>
      <c r="S1933" s="35" t="n">
        <v>11.701</v>
      </c>
      <c r="T1933" s="18" t="n"/>
      <c r="U1933" s="18" t="n">
        <v>47244.26</v>
      </c>
      <c r="V1933" s="18" t="n"/>
      <c r="W1933" s="18" t="n"/>
      <c r="X1933" s="35" t="n">
        <v>11.701</v>
      </c>
      <c r="Y1933" s="35" t="n"/>
    </row>
    <row r="1934">
      <c r="A1934" s="25" t="n">
        <v>41670</v>
      </c>
      <c r="B1934" s="18" t="n">
        <v>47638.99</v>
      </c>
      <c r="C1934" s="31" t="n"/>
      <c r="D1934" s="32" t="n"/>
      <c r="E1934" s="33" t="n">
        <v>4.2746</v>
      </c>
      <c r="F1934" t="inlineStr">
        <is>
          <t>Up</t>
        </is>
      </c>
      <c r="G1934" t="inlineStr">
        <is>
          <t>Up</t>
        </is>
      </c>
      <c r="H1934" t="inlineStr">
        <is>
          <t>EU_JU</t>
        </is>
      </c>
      <c r="I1934" t="inlineStr">
        <is>
          <t>2014-01</t>
        </is>
      </c>
      <c r="J1934" t="n">
        <v>1</v>
      </c>
      <c r="K1934" t="n">
        <v>1</v>
      </c>
      <c r="L1934" s="34">
        <f>IF($J1934=1,LN(B1935/B1934),"")</f>
        <v/>
      </c>
      <c r="M1934" s="34">
        <f>IF($K1934=1,INDEX(Mensal!$D$2:$D$245,MATCH($I1934,Mensal!$A$2:$A$245,0)),"")</f>
        <v/>
      </c>
      <c r="N1934" s="34">
        <f>IF($K1934=1,L1934-M1934,"")</f>
        <v/>
      </c>
      <c r="O1934" s="34" t="n">
        <v>0.00038802</v>
      </c>
      <c r="P1934" s="34">
        <f>IF($J1934=1,LN(1+O1934),"")</f>
        <v/>
      </c>
      <c r="Q1934" s="34">
        <f>IF($J1934=1,LN(R1935/R1934),"")</f>
        <v/>
      </c>
      <c r="R1934" s="32" t="n">
        <v>2.4263</v>
      </c>
      <c r="S1934" s="35" t="n">
        <v>11.771</v>
      </c>
      <c r="T1934" s="18" t="n"/>
      <c r="U1934" s="18" t="n">
        <v>47638.99</v>
      </c>
      <c r="V1934" s="18" t="n"/>
      <c r="W1934" s="18" t="n"/>
      <c r="X1934" s="35" t="n">
        <v>11.771</v>
      </c>
      <c r="Y1934" s="35" t="n"/>
    </row>
    <row r="1935">
      <c r="A1935" s="25" t="n">
        <v>41673</v>
      </c>
      <c r="B1935" s="18" t="n">
        <v>46147.52</v>
      </c>
      <c r="C1935" s="31" t="n"/>
      <c r="D1935" s="32" t="n"/>
      <c r="E1935" s="33" t="n">
        <v>3.2823</v>
      </c>
      <c r="F1935" t="inlineStr">
        <is>
          <t>Up</t>
        </is>
      </c>
      <c r="G1935" t="inlineStr">
        <is>
          <t>Up</t>
        </is>
      </c>
      <c r="H1935" t="inlineStr">
        <is>
          <t>EU_JU</t>
        </is>
      </c>
      <c r="I1935" t="inlineStr">
        <is>
          <t>2014-02</t>
        </is>
      </c>
      <c r="J1935" t="n">
        <v>1</v>
      </c>
      <c r="K1935" t="n">
        <v>1</v>
      </c>
      <c r="L1935" s="34">
        <f>IF($J1935=1,LN(B1936/B1935),"")</f>
        <v/>
      </c>
      <c r="M1935" s="34">
        <f>IF($K1935=1,INDEX(Mensal!$D$2:$D$245,MATCH($I1935,Mensal!$A$2:$A$245,0)),"")</f>
        <v/>
      </c>
      <c r="N1935" s="34">
        <f>IF($K1935=1,L1935-M1935,"")</f>
        <v/>
      </c>
      <c r="O1935" s="34" t="n">
        <v>0.00038802</v>
      </c>
      <c r="P1935" s="34">
        <f>IF($J1935=1,LN(1+O1935),"")</f>
        <v/>
      </c>
      <c r="Q1935" s="34">
        <f>IF($J1935=1,LN(R1936/R1935),"")</f>
        <v/>
      </c>
      <c r="R1935" s="32" t="n">
        <v>2.409</v>
      </c>
      <c r="S1935" s="35" t="n">
        <v>11.832</v>
      </c>
      <c r="T1935" s="18" t="n"/>
      <c r="U1935" s="18" t="n">
        <v>46147.52</v>
      </c>
      <c r="V1935" s="18" t="n"/>
      <c r="W1935" s="18" t="n"/>
      <c r="X1935" s="35" t="n">
        <v>11.832</v>
      </c>
      <c r="Y1935" s="35" t="n"/>
    </row>
    <row r="1936">
      <c r="A1936" s="25" t="n">
        <v>41674</v>
      </c>
      <c r="B1936" s="18" t="n">
        <v>46964.22</v>
      </c>
      <c r="C1936" s="31" t="n"/>
      <c r="D1936" s="32" t="n"/>
      <c r="E1936" s="33" t="n">
        <v>2.1617</v>
      </c>
      <c r="F1936" t="inlineStr">
        <is>
          <t>Up</t>
        </is>
      </c>
      <c r="G1936" t="inlineStr">
        <is>
          <t>Up</t>
        </is>
      </c>
      <c r="H1936" t="inlineStr">
        <is>
          <t>EU_JU</t>
        </is>
      </c>
      <c r="I1936" t="inlineStr">
        <is>
          <t>2014-02</t>
        </is>
      </c>
      <c r="J1936" t="n">
        <v>1</v>
      </c>
      <c r="K1936" t="n">
        <v>1</v>
      </c>
      <c r="L1936" s="34">
        <f>IF($J1936=1,LN(B1937/B1936),"")</f>
        <v/>
      </c>
      <c r="M1936" s="34">
        <f>IF($K1936=1,INDEX(Mensal!$D$2:$D$245,MATCH($I1936,Mensal!$A$2:$A$245,0)),"")</f>
        <v/>
      </c>
      <c r="N1936" s="34">
        <f>IF($K1936=1,L1936-M1936,"")</f>
        <v/>
      </c>
      <c r="O1936" s="34" t="n">
        <v>0.00038874</v>
      </c>
      <c r="P1936" s="34">
        <f>IF($J1936=1,LN(1+O1936),"")</f>
        <v/>
      </c>
      <c r="Q1936" s="34">
        <f>IF($J1936=1,LN(R1937/R1936),"")</f>
        <v/>
      </c>
      <c r="R1936" s="32" t="n">
        <v>2.4177</v>
      </c>
      <c r="S1936" s="35" t="n">
        <v>11.669</v>
      </c>
      <c r="T1936" s="18" t="n"/>
      <c r="U1936" s="18" t="n">
        <v>46964.22</v>
      </c>
      <c r="V1936" s="18" t="n"/>
      <c r="W1936" s="18" t="n"/>
      <c r="X1936" s="35" t="n">
        <v>11.669</v>
      </c>
      <c r="Y1936" s="35" t="n"/>
    </row>
    <row r="1937">
      <c r="A1937" s="25" t="n">
        <v>41675</v>
      </c>
      <c r="B1937" s="18" t="n">
        <v>46624.39</v>
      </c>
      <c r="C1937" s="31" t="n"/>
      <c r="D1937" s="32" t="n"/>
      <c r="E1937" s="33" t="n">
        <v>0.9664</v>
      </c>
      <c r="F1937" t="inlineStr">
        <is>
          <t>Up</t>
        </is>
      </c>
      <c r="G1937" t="inlineStr">
        <is>
          <t>Up</t>
        </is>
      </c>
      <c r="H1937" t="inlineStr">
        <is>
          <t>EU_JU</t>
        </is>
      </c>
      <c r="I1937" t="inlineStr">
        <is>
          <t>2014-02</t>
        </is>
      </c>
      <c r="J1937" t="n">
        <v>1</v>
      </c>
      <c r="K1937" t="n">
        <v>1</v>
      </c>
      <c r="L1937" s="34">
        <f>IF($J1937=1,LN(B1938/B1937),"")</f>
        <v/>
      </c>
      <c r="M1937" s="34">
        <f>IF($K1937=1,INDEX(Mensal!$D$2:$D$245,MATCH($I1937,Mensal!$A$2:$A$245,0)),"")</f>
        <v/>
      </c>
      <c r="N1937" s="34">
        <f>IF($K1937=1,L1937-M1937,"")</f>
        <v/>
      </c>
      <c r="O1937" s="34" t="n">
        <v>0.00038874</v>
      </c>
      <c r="P1937" s="34">
        <f>IF($J1937=1,LN(1+O1937),"")</f>
        <v/>
      </c>
      <c r="Q1937" s="34">
        <f>IF($J1937=1,LN(R1938/R1937),"")</f>
        <v/>
      </c>
      <c r="R1937" s="32" t="n">
        <v>2.4106</v>
      </c>
      <c r="S1937" s="35" t="n">
        <v>11.552</v>
      </c>
      <c r="T1937" s="18" t="n"/>
      <c r="U1937" s="18" t="n">
        <v>46624.39</v>
      </c>
      <c r="V1937" s="18" t="n"/>
      <c r="W1937" s="18" t="n"/>
      <c r="X1937" s="35" t="n">
        <v>11.552</v>
      </c>
      <c r="Y1937" s="35" t="n"/>
    </row>
    <row r="1938">
      <c r="A1938" s="25" t="n">
        <v>41676</v>
      </c>
      <c r="B1938" s="18" t="n">
        <v>47738.09</v>
      </c>
      <c r="C1938" s="31" t="n"/>
      <c r="D1938" s="32" t="n"/>
      <c r="E1938" s="33" t="n">
        <v>0.8877</v>
      </c>
      <c r="F1938" t="inlineStr">
        <is>
          <t>Up</t>
        </is>
      </c>
      <c r="G1938" t="inlineStr">
        <is>
          <t>Up</t>
        </is>
      </c>
      <c r="H1938" t="inlineStr">
        <is>
          <t>EU_JU</t>
        </is>
      </c>
      <c r="I1938" t="inlineStr">
        <is>
          <t>2014-02</t>
        </is>
      </c>
      <c r="J1938" t="n">
        <v>1</v>
      </c>
      <c r="K1938" t="n">
        <v>1</v>
      </c>
      <c r="L1938" s="34">
        <f>IF($J1938=1,LN(B1939/B1938),"")</f>
        <v/>
      </c>
      <c r="M1938" s="34">
        <f>IF($K1938=1,INDEX(Mensal!$D$2:$D$245,MATCH($I1938,Mensal!$A$2:$A$245,0)),"")</f>
        <v/>
      </c>
      <c r="N1938" s="34">
        <f>IF($K1938=1,L1938-M1938,"")</f>
        <v/>
      </c>
      <c r="O1938" s="34" t="n">
        <v>0.00038874</v>
      </c>
      <c r="P1938" s="34">
        <f>IF($J1938=1,LN(1+O1938),"")</f>
        <v/>
      </c>
      <c r="Q1938" s="34">
        <f>IF($J1938=1,LN(R1939/R1938),"")</f>
        <v/>
      </c>
      <c r="R1938" s="32" t="n">
        <v>2.4041</v>
      </c>
      <c r="S1938" s="35" t="n">
        <v>11.586</v>
      </c>
      <c r="T1938" s="18" t="n"/>
      <c r="U1938" s="18" t="n">
        <v>47738.09</v>
      </c>
      <c r="V1938" s="18" t="n"/>
      <c r="W1938" s="18" t="n"/>
      <c r="X1938" s="35" t="n">
        <v>11.586</v>
      </c>
      <c r="Y1938" s="35" t="n"/>
    </row>
    <row r="1939">
      <c r="A1939" s="25" t="n">
        <v>41677</v>
      </c>
      <c r="B1939" s="18" t="n">
        <v>48073.6</v>
      </c>
      <c r="C1939" s="31" t="n"/>
      <c r="D1939" s="32" t="n"/>
      <c r="E1939" s="33" t="n">
        <v>0.8100000000000001</v>
      </c>
      <c r="F1939" t="inlineStr">
        <is>
          <t>Up</t>
        </is>
      </c>
      <c r="G1939" t="inlineStr">
        <is>
          <t>Up</t>
        </is>
      </c>
      <c r="H1939" t="inlineStr">
        <is>
          <t>EU_JU</t>
        </is>
      </c>
      <c r="I1939" t="inlineStr">
        <is>
          <t>2014-02</t>
        </is>
      </c>
      <c r="J1939" t="n">
        <v>1</v>
      </c>
      <c r="K1939" t="n">
        <v>1</v>
      </c>
      <c r="L1939" s="34">
        <f>IF($J1939=1,LN(B1940/B1939),"")</f>
        <v/>
      </c>
      <c r="M1939" s="34">
        <f>IF($K1939=1,INDEX(Mensal!$D$2:$D$245,MATCH($I1939,Mensal!$A$2:$A$245,0)),"")</f>
        <v/>
      </c>
      <c r="N1939" s="34">
        <f>IF($K1939=1,L1939-M1939,"")</f>
        <v/>
      </c>
      <c r="O1939" s="34" t="n">
        <v>0.00038874</v>
      </c>
      <c r="P1939" s="34">
        <f>IF($J1939=1,LN(1+O1939),"")</f>
        <v/>
      </c>
      <c r="Q1939" s="34">
        <f>IF($J1939=1,LN(R1940/R1939),"")</f>
        <v/>
      </c>
      <c r="R1939" s="32" t="n">
        <v>2.3817</v>
      </c>
      <c r="S1939" s="35" t="n">
        <v>11.476</v>
      </c>
      <c r="T1939" s="18" t="n"/>
      <c r="U1939" s="18" t="n">
        <v>48073.6</v>
      </c>
      <c r="V1939" s="18" t="n"/>
      <c r="W1939" s="18" t="n"/>
      <c r="X1939" s="35" t="n">
        <v>11.476</v>
      </c>
      <c r="Y1939" s="35" t="n"/>
    </row>
    <row r="1940">
      <c r="A1940" s="25" t="n">
        <v>41680</v>
      </c>
      <c r="B1940" s="18" t="n">
        <v>47710.82</v>
      </c>
      <c r="C1940" s="31" t="n"/>
      <c r="D1940" s="32" t="n"/>
      <c r="E1940" s="33" t="n">
        <v>0.7299</v>
      </c>
      <c r="F1940" t="inlineStr">
        <is>
          <t>Up</t>
        </is>
      </c>
      <c r="G1940" t="inlineStr">
        <is>
          <t>Up</t>
        </is>
      </c>
      <c r="H1940" t="inlineStr">
        <is>
          <t>EU_JU</t>
        </is>
      </c>
      <c r="I1940" t="inlineStr">
        <is>
          <t>2014-02</t>
        </is>
      </c>
      <c r="J1940" t="n">
        <v>1</v>
      </c>
      <c r="K1940" t="n">
        <v>1</v>
      </c>
      <c r="L1940" s="34">
        <f>IF($J1940=1,LN(B1941/B1940),"")</f>
        <v/>
      </c>
      <c r="M1940" s="34">
        <f>IF($K1940=1,INDEX(Mensal!$D$2:$D$245,MATCH($I1940,Mensal!$A$2:$A$245,0)),"")</f>
        <v/>
      </c>
      <c r="N1940" s="34">
        <f>IF($K1940=1,L1940-M1940,"")</f>
        <v/>
      </c>
      <c r="O1940" s="34" t="n">
        <v>0.00038874</v>
      </c>
      <c r="P1940" s="34">
        <f>IF($J1940=1,LN(1+O1940),"")</f>
        <v/>
      </c>
      <c r="Q1940" s="34">
        <f>IF($J1940=1,LN(R1941/R1940),"")</f>
        <v/>
      </c>
      <c r="R1940" s="32" t="n">
        <v>2.3936</v>
      </c>
      <c r="S1940" s="35" t="n">
        <v>11.418</v>
      </c>
      <c r="T1940" s="18" t="n"/>
      <c r="U1940" s="18" t="n">
        <v>47710.82</v>
      </c>
      <c r="V1940" s="18" t="n"/>
      <c r="W1940" s="18" t="n"/>
      <c r="X1940" s="35" t="n">
        <v>11.418</v>
      </c>
      <c r="Y1940" s="35" t="n"/>
    </row>
    <row r="1941">
      <c r="A1941" s="25" t="n">
        <v>41681</v>
      </c>
      <c r="B1941" s="18" t="n">
        <v>48462.79</v>
      </c>
      <c r="C1941" s="31" t="n"/>
      <c r="D1941" s="32" t="n"/>
      <c r="E1941" s="33" t="n">
        <v>0.6466</v>
      </c>
      <c r="F1941" t="inlineStr">
        <is>
          <t>Up</t>
        </is>
      </c>
      <c r="G1941" t="inlineStr">
        <is>
          <t>Up</t>
        </is>
      </c>
      <c r="H1941" t="inlineStr">
        <is>
          <t>EU_JU</t>
        </is>
      </c>
      <c r="I1941" t="inlineStr">
        <is>
          <t>2014-02</t>
        </is>
      </c>
      <c r="J1941" t="n">
        <v>1</v>
      </c>
      <c r="K1941" t="n">
        <v>1</v>
      </c>
      <c r="L1941" s="34">
        <f>IF($J1941=1,LN(B1942/B1941),"")</f>
        <v/>
      </c>
      <c r="M1941" s="34">
        <f>IF($K1941=1,INDEX(Mensal!$D$2:$D$245,MATCH($I1941,Mensal!$A$2:$A$245,0)),"")</f>
        <v/>
      </c>
      <c r="N1941" s="34">
        <f>IF($K1941=1,L1941-M1941,"")</f>
        <v/>
      </c>
      <c r="O1941" s="34" t="n">
        <v>0.00038874</v>
      </c>
      <c r="P1941" s="34">
        <f>IF($J1941=1,LN(1+O1941),"")</f>
        <v/>
      </c>
      <c r="Q1941" s="34">
        <f>IF($J1941=1,LN(R1942/R1941),"")</f>
        <v/>
      </c>
      <c r="R1941" s="32" t="n">
        <v>2.4076</v>
      </c>
      <c r="S1941" s="35" t="n">
        <v>11.438</v>
      </c>
      <c r="T1941" s="18" t="n"/>
      <c r="U1941" s="18" t="n">
        <v>48462.79</v>
      </c>
      <c r="V1941" s="18" t="n"/>
      <c r="W1941" s="18" t="n"/>
      <c r="X1941" s="35" t="n">
        <v>11.438</v>
      </c>
      <c r="Y1941" s="35" t="n"/>
    </row>
    <row r="1942">
      <c r="A1942" s="25" t="n">
        <v>41682</v>
      </c>
      <c r="B1942" s="18" t="n">
        <v>48216.89</v>
      </c>
      <c r="C1942" s="31" t="n"/>
      <c r="D1942" s="32" t="n"/>
      <c r="E1942" s="33" t="n">
        <v>0.548</v>
      </c>
      <c r="F1942" t="inlineStr">
        <is>
          <t>Up</t>
        </is>
      </c>
      <c r="G1942" t="inlineStr">
        <is>
          <t>Up</t>
        </is>
      </c>
      <c r="H1942" t="inlineStr">
        <is>
          <t>EU_JU</t>
        </is>
      </c>
      <c r="I1942" t="inlineStr">
        <is>
          <t>2014-02</t>
        </is>
      </c>
      <c r="J1942" t="n">
        <v>1</v>
      </c>
      <c r="K1942" t="n">
        <v>1</v>
      </c>
      <c r="L1942" s="34">
        <f>IF($J1942=1,LN(B1943/B1942),"")</f>
        <v/>
      </c>
      <c r="M1942" s="34">
        <f>IF($K1942=1,INDEX(Mensal!$D$2:$D$245,MATCH($I1942,Mensal!$A$2:$A$245,0)),"")</f>
        <v/>
      </c>
      <c r="N1942" s="34">
        <f>IF($K1942=1,L1942-M1942,"")</f>
        <v/>
      </c>
      <c r="O1942" s="34" t="n">
        <v>0.00038874</v>
      </c>
      <c r="P1942" s="34">
        <f>IF($J1942=1,LN(1+O1942),"")</f>
        <v/>
      </c>
      <c r="Q1942" s="34">
        <f>IF($J1942=1,LN(R1943/R1942),"")</f>
        <v/>
      </c>
      <c r="R1942" s="32" t="n">
        <v>2.4086</v>
      </c>
      <c r="S1942" s="35" t="n">
        <v>11.496</v>
      </c>
      <c r="T1942" s="18" t="n"/>
      <c r="U1942" s="18" t="n">
        <v>48216.89</v>
      </c>
      <c r="V1942" s="18" t="n"/>
      <c r="W1942" s="18" t="n"/>
      <c r="X1942" s="35" t="n">
        <v>11.496</v>
      </c>
      <c r="Y1942" s="35" t="n"/>
    </row>
    <row r="1943">
      <c r="A1943" s="25" t="n">
        <v>41683</v>
      </c>
      <c r="B1943" s="18" t="n">
        <v>47812.83</v>
      </c>
      <c r="C1943" s="31" t="n"/>
      <c r="D1943" s="32" t="n"/>
      <c r="E1943" s="33" t="n">
        <v>0.4458</v>
      </c>
      <c r="F1943" t="inlineStr">
        <is>
          <t>Up</t>
        </is>
      </c>
      <c r="G1943" t="inlineStr">
        <is>
          <t>Up</t>
        </is>
      </c>
      <c r="H1943" t="inlineStr">
        <is>
          <t>EU_JU</t>
        </is>
      </c>
      <c r="I1943" t="inlineStr">
        <is>
          <t>2014-02</t>
        </is>
      </c>
      <c r="J1943" t="n">
        <v>1</v>
      </c>
      <c r="K1943" t="n">
        <v>1</v>
      </c>
      <c r="L1943" s="34">
        <f>IF($J1943=1,LN(B1944/B1943),"")</f>
        <v/>
      </c>
      <c r="M1943" s="34">
        <f>IF($K1943=1,INDEX(Mensal!$D$2:$D$245,MATCH($I1943,Mensal!$A$2:$A$245,0)),"")</f>
        <v/>
      </c>
      <c r="N1943" s="34">
        <f>IF($K1943=1,L1943-M1943,"")</f>
        <v/>
      </c>
      <c r="O1943" s="34" t="n">
        <v>0.00038874</v>
      </c>
      <c r="P1943" s="34">
        <f>IF($J1943=1,LN(1+O1943),"")</f>
        <v/>
      </c>
      <c r="Q1943" s="34">
        <f>IF($J1943=1,LN(R1944/R1943),"")</f>
        <v/>
      </c>
      <c r="R1943" s="32" t="n">
        <v>2.4238</v>
      </c>
      <c r="S1943" s="35" t="n">
        <v>11.497</v>
      </c>
      <c r="T1943" s="18" t="n"/>
      <c r="U1943" s="18" t="n">
        <v>47812.83</v>
      </c>
      <c r="V1943" s="18" t="n"/>
      <c r="W1943" s="18" t="n"/>
      <c r="X1943" s="35" t="n">
        <v>11.497</v>
      </c>
      <c r="Y1943" s="35" t="n"/>
    </row>
    <row r="1944">
      <c r="A1944" s="25" t="n">
        <v>41684</v>
      </c>
      <c r="B1944" s="18" t="n">
        <v>48201.11</v>
      </c>
      <c r="C1944" s="31" t="n"/>
      <c r="D1944" s="32" t="n"/>
      <c r="E1944" s="33" t="n">
        <v>0.4016</v>
      </c>
      <c r="F1944" t="inlineStr">
        <is>
          <t>Up</t>
        </is>
      </c>
      <c r="G1944" t="inlineStr">
        <is>
          <t>Up</t>
        </is>
      </c>
      <c r="H1944" t="inlineStr">
        <is>
          <t>EU_JU</t>
        </is>
      </c>
      <c r="I1944" t="inlineStr">
        <is>
          <t>2014-02</t>
        </is>
      </c>
      <c r="J1944" t="n">
        <v>1</v>
      </c>
      <c r="K1944" t="n">
        <v>1</v>
      </c>
      <c r="L1944" s="34">
        <f>IF($J1944=1,LN(B1945/B1944),"")</f>
        <v/>
      </c>
      <c r="M1944" s="34">
        <f>IF($K1944=1,INDEX(Mensal!$D$2:$D$245,MATCH($I1944,Mensal!$A$2:$A$245,0)),"")</f>
        <v/>
      </c>
      <c r="N1944" s="34">
        <f>IF($K1944=1,L1944-M1944,"")</f>
        <v/>
      </c>
      <c r="O1944" s="34" t="n">
        <v>0.00038874</v>
      </c>
      <c r="P1944" s="34">
        <f>IF($J1944=1,LN(1+O1944),"")</f>
        <v/>
      </c>
      <c r="Q1944" s="34">
        <f>IF($J1944=1,LN(R1945/R1944),"")</f>
        <v/>
      </c>
      <c r="R1944" s="32" t="n">
        <v>2.3924</v>
      </c>
      <c r="S1944" s="35" t="n">
        <v>11.437</v>
      </c>
      <c r="T1944" s="18" t="n"/>
      <c r="U1944" s="18" t="n">
        <v>48201.11</v>
      </c>
      <c r="V1944" s="18" t="n"/>
      <c r="W1944" s="18" t="n"/>
      <c r="X1944" s="35" t="n">
        <v>11.437</v>
      </c>
      <c r="Y1944" s="35" t="n"/>
    </row>
    <row r="1945">
      <c r="A1945" s="25" t="n">
        <v>41687</v>
      </c>
      <c r="B1945" s="18" t="n">
        <v>47576.33</v>
      </c>
      <c r="C1945" s="31" t="n"/>
      <c r="D1945" s="32" t="n"/>
      <c r="E1945" s="33" t="n">
        <v>0.3701</v>
      </c>
      <c r="F1945" t="inlineStr">
        <is>
          <t>Up</t>
        </is>
      </c>
      <c r="G1945" t="inlineStr">
        <is>
          <t>Up</t>
        </is>
      </c>
      <c r="H1945" t="inlineStr">
        <is>
          <t>EU_JU</t>
        </is>
      </c>
      <c r="I1945" t="inlineStr">
        <is>
          <t>2014-02</t>
        </is>
      </c>
      <c r="J1945" t="n">
        <v>1</v>
      </c>
      <c r="K1945" t="n">
        <v>1</v>
      </c>
      <c r="L1945" s="34">
        <f>IF($J1945=1,LN(B1946/B1945),"")</f>
        <v/>
      </c>
      <c r="M1945" s="34">
        <f>IF($K1945=1,INDEX(Mensal!$D$2:$D$245,MATCH($I1945,Mensal!$A$2:$A$245,0)),"")</f>
        <v/>
      </c>
      <c r="N1945" s="34">
        <f>IF($K1945=1,L1945-M1945,"")</f>
        <v/>
      </c>
      <c r="O1945" s="34" t="n">
        <v>0.00038874</v>
      </c>
      <c r="P1945" s="34">
        <f>IF($J1945=1,LN(1+O1945),"")</f>
        <v/>
      </c>
      <c r="Q1945" s="34">
        <f>IF($J1945=1,LN(R1946/R1945),"")</f>
        <v/>
      </c>
      <c r="R1945" s="32" t="n">
        <v>2.387</v>
      </c>
      <c r="S1945" s="35" t="n">
        <v>11.349</v>
      </c>
      <c r="T1945" s="18" t="n"/>
      <c r="U1945" s="18" t="n">
        <v>47576.33</v>
      </c>
      <c r="V1945" s="18" t="n"/>
      <c r="W1945" s="18" t="n"/>
      <c r="X1945" s="35" t="n">
        <v>11.349</v>
      </c>
      <c r="Y1945" s="35" t="n"/>
    </row>
    <row r="1946">
      <c r="A1946" s="25" t="n">
        <v>41688</v>
      </c>
      <c r="B1946" s="18" t="n">
        <v>46599.76</v>
      </c>
      <c r="C1946" s="31" t="n"/>
      <c r="D1946" s="32" t="n"/>
      <c r="E1946" s="33" t="n">
        <v>0.3284</v>
      </c>
      <c r="F1946" t="inlineStr">
        <is>
          <t>Up</t>
        </is>
      </c>
      <c r="G1946" t="inlineStr">
        <is>
          <t>Up</t>
        </is>
      </c>
      <c r="H1946" t="inlineStr">
        <is>
          <t>EU_JU</t>
        </is>
      </c>
      <c r="I1946" t="inlineStr">
        <is>
          <t>2014-02</t>
        </is>
      </c>
      <c r="J1946" t="n">
        <v>1</v>
      </c>
      <c r="K1946" t="n">
        <v>1</v>
      </c>
      <c r="L1946" s="34">
        <f>IF($J1946=1,LN(B1947/B1946),"")</f>
        <v/>
      </c>
      <c r="M1946" s="34">
        <f>IF($K1946=1,INDEX(Mensal!$D$2:$D$245,MATCH($I1946,Mensal!$A$2:$A$245,0)),"")</f>
        <v/>
      </c>
      <c r="N1946" s="34">
        <f>IF($K1946=1,L1946-M1946,"")</f>
        <v/>
      </c>
      <c r="O1946" s="34" t="n">
        <v>0.00038874</v>
      </c>
      <c r="P1946" s="34">
        <f>IF($J1946=1,LN(1+O1946),"")</f>
        <v/>
      </c>
      <c r="Q1946" s="34">
        <f>IF($J1946=1,LN(R1947/R1946),"")</f>
        <v/>
      </c>
      <c r="R1946" s="32" t="n">
        <v>2.3983</v>
      </c>
      <c r="S1946" s="35" t="n">
        <v>11.253</v>
      </c>
      <c r="T1946" s="18" t="n"/>
      <c r="U1946" s="18" t="n">
        <v>46599.76</v>
      </c>
      <c r="V1946" s="18" t="n"/>
      <c r="W1946" s="18" t="n"/>
      <c r="X1946" s="35" t="n">
        <v>11.253</v>
      </c>
      <c r="Y1946" s="35" t="n"/>
    </row>
    <row r="1947">
      <c r="A1947" s="25" t="n">
        <v>41689</v>
      </c>
      <c r="B1947" s="18" t="n">
        <v>47150.83</v>
      </c>
      <c r="C1947" s="31" t="n"/>
      <c r="D1947" s="32" t="n"/>
      <c r="E1947" s="33" t="n">
        <v>0.2963</v>
      </c>
      <c r="F1947" t="inlineStr">
        <is>
          <t>Up</t>
        </is>
      </c>
      <c r="G1947" t="inlineStr">
        <is>
          <t>Up</t>
        </is>
      </c>
      <c r="H1947" t="inlineStr">
        <is>
          <t>EU_JU</t>
        </is>
      </c>
      <c r="I1947" t="inlineStr">
        <is>
          <t>2014-02</t>
        </is>
      </c>
      <c r="J1947" t="n">
        <v>1</v>
      </c>
      <c r="K1947" t="n">
        <v>1</v>
      </c>
      <c r="L1947" s="34">
        <f>IF($J1947=1,LN(B1948/B1947),"")</f>
        <v/>
      </c>
      <c r="M1947" s="34">
        <f>IF($K1947=1,INDEX(Mensal!$D$2:$D$245,MATCH($I1947,Mensal!$A$2:$A$245,0)),"")</f>
        <v/>
      </c>
      <c r="N1947" s="34">
        <f>IF($K1947=1,L1947-M1947,"")</f>
        <v/>
      </c>
      <c r="O1947" s="34" t="n">
        <v>0.00038874</v>
      </c>
      <c r="P1947" s="34">
        <f>IF($J1947=1,LN(1+O1947),"")</f>
        <v/>
      </c>
      <c r="Q1947" s="34">
        <f>IF($J1947=1,LN(R1948/R1947),"")</f>
        <v/>
      </c>
      <c r="R1947" s="32" t="n">
        <v>2.3986</v>
      </c>
      <c r="S1947" s="35" t="n">
        <v>11.255</v>
      </c>
      <c r="T1947" s="18" t="n"/>
      <c r="U1947" s="18" t="n">
        <v>47150.83</v>
      </c>
      <c r="V1947" s="18" t="n"/>
      <c r="W1947" s="18" t="n"/>
      <c r="X1947" s="35" t="n">
        <v>11.255</v>
      </c>
      <c r="Y1947" s="35" t="n"/>
    </row>
    <row r="1948">
      <c r="A1948" s="25" t="n">
        <v>41690</v>
      </c>
      <c r="B1948" s="18" t="n">
        <v>47288.61</v>
      </c>
      <c r="C1948" s="31" t="n"/>
      <c r="D1948" s="32" t="n"/>
      <c r="E1948" s="33" t="n">
        <v>0.2708</v>
      </c>
      <c r="F1948" t="inlineStr">
        <is>
          <t>Up</t>
        </is>
      </c>
      <c r="G1948" t="inlineStr">
        <is>
          <t>Up</t>
        </is>
      </c>
      <c r="H1948" t="inlineStr">
        <is>
          <t>EU_JU</t>
        </is>
      </c>
      <c r="I1948" t="inlineStr">
        <is>
          <t>2014-02</t>
        </is>
      </c>
      <c r="J1948" t="n">
        <v>1</v>
      </c>
      <c r="K1948" t="n">
        <v>1</v>
      </c>
      <c r="L1948" s="34">
        <f>IF($J1948=1,LN(B1949/B1948),"")</f>
        <v/>
      </c>
      <c r="M1948" s="34">
        <f>IF($K1948=1,INDEX(Mensal!$D$2:$D$245,MATCH($I1948,Mensal!$A$2:$A$245,0)),"")</f>
        <v/>
      </c>
      <c r="N1948" s="34">
        <f>IF($K1948=1,L1948-M1948,"")</f>
        <v/>
      </c>
      <c r="O1948" s="34" t="n">
        <v>0.00038874</v>
      </c>
      <c r="P1948" s="34">
        <f>IF($J1948=1,LN(1+O1948),"")</f>
        <v/>
      </c>
      <c r="Q1948" s="34">
        <f>IF($J1948=1,LN(R1949/R1948),"")</f>
        <v/>
      </c>
      <c r="R1948" s="32" t="n">
        <v>2.3799</v>
      </c>
      <c r="S1948" s="35" t="n">
        <v>11.148</v>
      </c>
      <c r="T1948" s="18" t="n"/>
      <c r="U1948" s="18" t="n">
        <v>47288.61</v>
      </c>
      <c r="V1948" s="18" t="n"/>
      <c r="W1948" s="18" t="n"/>
      <c r="X1948" s="35" t="n">
        <v>11.148</v>
      </c>
      <c r="Y1948" s="35" t="n"/>
    </row>
    <row r="1949">
      <c r="A1949" s="25" t="n">
        <v>41691</v>
      </c>
      <c r="B1949" s="18" t="n">
        <v>47380.24</v>
      </c>
      <c r="C1949" s="31" t="n"/>
      <c r="D1949" s="32" t="n"/>
      <c r="E1949" s="33" t="n">
        <v>0.2476</v>
      </c>
      <c r="F1949" t="inlineStr">
        <is>
          <t>Up</t>
        </is>
      </c>
      <c r="G1949" t="inlineStr">
        <is>
          <t>Up</t>
        </is>
      </c>
      <c r="H1949" t="inlineStr">
        <is>
          <t>EU_JU</t>
        </is>
      </c>
      <c r="I1949" t="inlineStr">
        <is>
          <t>2014-02</t>
        </is>
      </c>
      <c r="J1949" t="n">
        <v>1</v>
      </c>
      <c r="K1949" t="n">
        <v>1</v>
      </c>
      <c r="L1949" s="34">
        <f>IF($J1949=1,LN(B1950/B1949),"")</f>
        <v/>
      </c>
      <c r="M1949" s="34">
        <f>IF($K1949=1,INDEX(Mensal!$D$2:$D$245,MATCH($I1949,Mensal!$A$2:$A$245,0)),"")</f>
        <v/>
      </c>
      <c r="N1949" s="34">
        <f>IF($K1949=1,L1949-M1949,"")</f>
        <v/>
      </c>
      <c r="O1949" s="34" t="n">
        <v>0.00038874</v>
      </c>
      <c r="P1949" s="34">
        <f>IF($J1949=1,LN(1+O1949),"")</f>
        <v/>
      </c>
      <c r="Q1949" s="34">
        <f>IF($J1949=1,LN(R1950/R1949),"")</f>
        <v/>
      </c>
      <c r="R1949" s="32" t="n">
        <v>2.3625</v>
      </c>
      <c r="S1949" s="35" t="n">
        <v>11.168</v>
      </c>
      <c r="T1949" s="18" t="n"/>
      <c r="U1949" s="18" t="n">
        <v>47380.24</v>
      </c>
      <c r="V1949" s="18" t="n"/>
      <c r="W1949" s="18" t="n"/>
      <c r="X1949" s="35" t="n">
        <v>11.168</v>
      </c>
      <c r="Y1949" s="35" t="n"/>
    </row>
    <row r="1950">
      <c r="A1950" s="25" t="n">
        <v>41694</v>
      </c>
      <c r="B1950" s="18" t="n">
        <v>47393.5</v>
      </c>
      <c r="C1950" s="31" t="n"/>
      <c r="D1950" s="32" t="n"/>
      <c r="E1950" s="33" t="n">
        <v>0.2239</v>
      </c>
      <c r="F1950" t="inlineStr">
        <is>
          <t>Up</t>
        </is>
      </c>
      <c r="G1950" t="inlineStr">
        <is>
          <t>Up</t>
        </is>
      </c>
      <c r="H1950" t="inlineStr">
        <is>
          <t>EU_JU</t>
        </is>
      </c>
      <c r="I1950" t="inlineStr">
        <is>
          <t>2014-02</t>
        </is>
      </c>
      <c r="J1950" t="n">
        <v>1</v>
      </c>
      <c r="K1950" t="n">
        <v>1</v>
      </c>
      <c r="L1950" s="34">
        <f>IF($J1950=1,LN(B1951/B1950),"")</f>
        <v/>
      </c>
      <c r="M1950" s="34">
        <f>IF($K1950=1,INDEX(Mensal!$D$2:$D$245,MATCH($I1950,Mensal!$A$2:$A$245,0)),"")</f>
        <v/>
      </c>
      <c r="N1950" s="34">
        <f>IF($K1950=1,L1950-M1950,"")</f>
        <v/>
      </c>
      <c r="O1950" s="34" t="n">
        <v>0.00038874</v>
      </c>
      <c r="P1950" s="34">
        <f>IF($J1950=1,LN(1+O1950),"")</f>
        <v/>
      </c>
      <c r="Q1950" s="34">
        <f>IF($J1950=1,LN(R1951/R1950),"")</f>
        <v/>
      </c>
      <c r="R1950" s="32" t="n">
        <v>2.3391</v>
      </c>
      <c r="S1950" s="35" t="n">
        <v>11.161</v>
      </c>
      <c r="T1950" s="18" t="n"/>
      <c r="U1950" s="18" t="n">
        <v>47393.5</v>
      </c>
      <c r="V1950" s="18" t="n"/>
      <c r="W1950" s="18" t="n"/>
      <c r="X1950" s="35" t="n">
        <v>11.161</v>
      </c>
      <c r="Y1950" s="35" t="n"/>
    </row>
    <row r="1951">
      <c r="A1951" s="25" t="n">
        <v>41695</v>
      </c>
      <c r="B1951" s="18" t="n">
        <v>46715.91</v>
      </c>
      <c r="C1951" s="31" t="n"/>
      <c r="D1951" s="32" t="n"/>
      <c r="E1951" s="33" t="n">
        <v>0.2027</v>
      </c>
      <c r="F1951" t="inlineStr">
        <is>
          <t>Up</t>
        </is>
      </c>
      <c r="G1951" t="inlineStr">
        <is>
          <t>Up</t>
        </is>
      </c>
      <c r="H1951" t="inlineStr">
        <is>
          <t>EU_JU</t>
        </is>
      </c>
      <c r="I1951" t="inlineStr">
        <is>
          <t>2014-02</t>
        </is>
      </c>
      <c r="J1951" t="n">
        <v>1</v>
      </c>
      <c r="K1951" t="n">
        <v>1</v>
      </c>
      <c r="L1951" s="34">
        <f>IF($J1951=1,LN(B1952/B1951),"")</f>
        <v/>
      </c>
      <c r="M1951" s="34">
        <f>IF($K1951=1,INDEX(Mensal!$D$2:$D$245,MATCH($I1951,Mensal!$A$2:$A$245,0)),"")</f>
        <v/>
      </c>
      <c r="N1951" s="34">
        <f>IF($K1951=1,L1951-M1951,"")</f>
        <v/>
      </c>
      <c r="O1951" s="34" t="n">
        <v>0.00038874</v>
      </c>
      <c r="P1951" s="34">
        <f>IF($J1951=1,LN(1+O1951),"")</f>
        <v/>
      </c>
      <c r="Q1951" s="34">
        <f>IF($J1951=1,LN(R1952/R1951),"")</f>
        <v/>
      </c>
      <c r="R1951" s="32" t="n">
        <v>2.3367</v>
      </c>
      <c r="S1951" s="35" t="n">
        <v>11.134</v>
      </c>
      <c r="T1951" s="18" t="n"/>
      <c r="U1951" s="18" t="n">
        <v>46715.91</v>
      </c>
      <c r="V1951" s="18" t="n"/>
      <c r="W1951" s="18" t="n"/>
      <c r="X1951" s="35" t="n">
        <v>11.134</v>
      </c>
      <c r="Y1951" s="35" t="n"/>
    </row>
    <row r="1952">
      <c r="A1952" s="25" t="n">
        <v>41696</v>
      </c>
      <c r="B1952" s="18" t="n">
        <v>46599.21</v>
      </c>
      <c r="C1952" s="31" t="n"/>
      <c r="D1952" s="32" t="n"/>
      <c r="E1952" s="33" t="n">
        <v>0.1773</v>
      </c>
      <c r="F1952" t="inlineStr">
        <is>
          <t>Up</t>
        </is>
      </c>
      <c r="G1952" t="inlineStr">
        <is>
          <t>Up</t>
        </is>
      </c>
      <c r="H1952" t="inlineStr">
        <is>
          <t>EU_JU</t>
        </is>
      </c>
      <c r="I1952" t="inlineStr">
        <is>
          <t>2014-02</t>
        </is>
      </c>
      <c r="J1952" t="n">
        <v>1</v>
      </c>
      <c r="K1952" t="n">
        <v>1</v>
      </c>
      <c r="L1952" s="34">
        <f>IF($J1952=1,LN(B1953/B1952),"")</f>
        <v/>
      </c>
      <c r="M1952" s="34">
        <f>IF($K1952=1,INDEX(Mensal!$D$2:$D$245,MATCH($I1952,Mensal!$A$2:$A$245,0)),"")</f>
        <v/>
      </c>
      <c r="N1952" s="34">
        <f>IF($K1952=1,L1952-M1952,"")</f>
        <v/>
      </c>
      <c r="O1952" s="34" t="n">
        <v>0.0003909</v>
      </c>
      <c r="P1952" s="34">
        <f>IF($J1952=1,LN(1+O1952),"")</f>
        <v/>
      </c>
      <c r="Q1952" s="34">
        <f>IF($J1952=1,LN(R1953/R1952),"")</f>
        <v/>
      </c>
      <c r="R1952" s="32" t="n">
        <v>2.3454</v>
      </c>
      <c r="S1952" s="35" t="n">
        <v>11.131</v>
      </c>
      <c r="T1952" s="18" t="n"/>
      <c r="U1952" s="18" t="n">
        <v>46599.21</v>
      </c>
      <c r="V1952" s="18" t="n"/>
      <c r="W1952" s="18" t="n"/>
      <c r="X1952" s="35" t="n">
        <v>11.131</v>
      </c>
      <c r="Y1952" s="35" t="n"/>
    </row>
    <row r="1953">
      <c r="A1953" s="25" t="n">
        <v>41697</v>
      </c>
      <c r="B1953" s="18" t="n">
        <v>47606.75</v>
      </c>
      <c r="C1953" s="31" t="n"/>
      <c r="D1953" s="32" t="n"/>
      <c r="E1953" s="33" t="n">
        <v>0.1553</v>
      </c>
      <c r="F1953" t="inlineStr">
        <is>
          <t>Up</t>
        </is>
      </c>
      <c r="G1953" t="inlineStr">
        <is>
          <t>Up</t>
        </is>
      </c>
      <c r="H1953" t="inlineStr">
        <is>
          <t>EU_JU</t>
        </is>
      </c>
      <c r="I1953" t="inlineStr">
        <is>
          <t>2014-02</t>
        </is>
      </c>
      <c r="J1953" t="n">
        <v>1</v>
      </c>
      <c r="K1953" t="n">
        <v>1</v>
      </c>
      <c r="L1953" s="34">
        <f>IF($J1953=1,LN(B1954/B1953),"")</f>
        <v/>
      </c>
      <c r="M1953" s="34">
        <f>IF($K1953=1,INDEX(Mensal!$D$2:$D$245,MATCH($I1953,Mensal!$A$2:$A$245,0)),"")</f>
        <v/>
      </c>
      <c r="N1953" s="34">
        <f>IF($K1953=1,L1953-M1953,"")</f>
        <v/>
      </c>
      <c r="O1953" s="34" t="n">
        <v>0.00039952</v>
      </c>
      <c r="P1953" s="34">
        <f>IF($J1953=1,LN(1+O1953),"")</f>
        <v/>
      </c>
      <c r="Q1953" s="34">
        <f>IF($J1953=1,LN(R1954/R1953),"")</f>
        <v/>
      </c>
      <c r="R1953" s="32" t="n">
        <v>2.3436</v>
      </c>
      <c r="S1953" s="35" t="n">
        <v>11.094</v>
      </c>
      <c r="T1953" s="18" t="n"/>
      <c r="U1953" s="18" t="n">
        <v>47606.75</v>
      </c>
      <c r="V1953" s="18" t="n"/>
      <c r="W1953" s="18" t="n"/>
      <c r="X1953" s="35" t="n">
        <v>11.094</v>
      </c>
      <c r="Y1953" s="35" t="n"/>
    </row>
    <row r="1954">
      <c r="A1954" s="25" t="n">
        <v>41698</v>
      </c>
      <c r="B1954" s="18" t="n">
        <v>47094.4</v>
      </c>
      <c r="C1954" s="31" t="n"/>
      <c r="D1954" s="32" t="n"/>
      <c r="E1954" s="33" t="n">
        <v>0.1312</v>
      </c>
      <c r="F1954" t="inlineStr">
        <is>
          <t>Up</t>
        </is>
      </c>
      <c r="G1954" t="inlineStr">
        <is>
          <t>Up</t>
        </is>
      </c>
      <c r="H1954" t="inlineStr">
        <is>
          <t>EU_JU</t>
        </is>
      </c>
      <c r="I1954" t="inlineStr">
        <is>
          <t>2014-02</t>
        </is>
      </c>
      <c r="J1954" t="n">
        <v>1</v>
      </c>
      <c r="K1954" t="n">
        <v>1</v>
      </c>
      <c r="L1954" s="34">
        <f>IF($J1954=1,LN(B1955/B1954),"")</f>
        <v/>
      </c>
      <c r="M1954" s="34">
        <f>IF($K1954=1,INDEX(Mensal!$D$2:$D$245,MATCH($I1954,Mensal!$A$2:$A$245,0)),"")</f>
        <v/>
      </c>
      <c r="N1954" s="34">
        <f>IF($K1954=1,L1954-M1954,"")</f>
        <v/>
      </c>
      <c r="O1954" s="34" t="n">
        <v>0.00039952</v>
      </c>
      <c r="P1954" s="34">
        <f>IF($J1954=1,LN(1+O1954),"")</f>
        <v/>
      </c>
      <c r="Q1954" s="34">
        <f>IF($J1954=1,LN(R1955/R1954),"")</f>
        <v/>
      </c>
      <c r="R1954" s="32" t="n">
        <v>2.3334</v>
      </c>
      <c r="S1954" s="35" t="n">
        <v>11.218</v>
      </c>
      <c r="T1954" s="18" t="n"/>
      <c r="U1954" s="18" t="n">
        <v>47094.4</v>
      </c>
      <c r="V1954" s="18" t="n"/>
      <c r="W1954" s="18" t="n"/>
      <c r="X1954" s="35" t="n">
        <v>11.218</v>
      </c>
      <c r="Y1954" s="35" t="n"/>
    </row>
    <row r="1955">
      <c r="A1955" s="25" t="n">
        <v>41703</v>
      </c>
      <c r="B1955" s="18" t="n">
        <v>46589</v>
      </c>
      <c r="C1955" s="31" t="n"/>
      <c r="D1955" s="32" t="n"/>
      <c r="E1955" s="33" t="n">
        <v>0.1123</v>
      </c>
      <c r="F1955" t="inlineStr">
        <is>
          <t>Up</t>
        </is>
      </c>
      <c r="G1955" t="inlineStr">
        <is>
          <t>Up</t>
        </is>
      </c>
      <c r="H1955" t="inlineStr">
        <is>
          <t>EU_JU</t>
        </is>
      </c>
      <c r="I1955" t="inlineStr">
        <is>
          <t>2014-03</t>
        </is>
      </c>
      <c r="J1955" t="n">
        <v>1</v>
      </c>
      <c r="K1955" t="n">
        <v>1</v>
      </c>
      <c r="L1955" s="34">
        <f>IF($J1955=1,LN(B1956/B1955),"")</f>
        <v/>
      </c>
      <c r="M1955" s="34">
        <f>IF($K1955=1,INDEX(Mensal!$D$2:$D$245,MATCH($I1955,Mensal!$A$2:$A$245,0)),"")</f>
        <v/>
      </c>
      <c r="N1955" s="34">
        <f>IF($K1955=1,L1955-M1955,"")</f>
        <v/>
      </c>
      <c r="O1955" s="34" t="n">
        <v>0.00039809</v>
      </c>
      <c r="P1955" s="34">
        <f>IF($J1955=1,LN(1+O1955),"")</f>
        <v/>
      </c>
      <c r="Q1955" s="34">
        <f>IF($J1955=1,LN(R1956/R1955),"")</f>
        <v/>
      </c>
      <c r="R1955" s="32" t="n">
        <v>2.324</v>
      </c>
      <c r="S1955" s="35" t="n">
        <v>11.213</v>
      </c>
      <c r="T1955" s="18" t="n"/>
      <c r="U1955" s="18" t="n">
        <v>46589</v>
      </c>
      <c r="V1955" s="18" t="n"/>
      <c r="W1955" s="18" t="n"/>
      <c r="X1955" s="35" t="n">
        <v>11.213</v>
      </c>
      <c r="Y1955" s="35" t="n"/>
    </row>
    <row r="1956">
      <c r="A1956" s="25" t="n">
        <v>41704</v>
      </c>
      <c r="B1956" s="18" t="n">
        <v>47093.13</v>
      </c>
      <c r="C1956" s="31" t="n"/>
      <c r="D1956" s="32" t="n"/>
      <c r="E1956" s="33" t="n">
        <v>0.1011</v>
      </c>
      <c r="F1956" t="inlineStr">
        <is>
          <t>Up</t>
        </is>
      </c>
      <c r="G1956" t="inlineStr">
        <is>
          <t>Up</t>
        </is>
      </c>
      <c r="H1956" t="inlineStr">
        <is>
          <t>EU_JU</t>
        </is>
      </c>
      <c r="I1956" t="inlineStr">
        <is>
          <t>2014-03</t>
        </is>
      </c>
      <c r="J1956" t="n">
        <v>1</v>
      </c>
      <c r="K1956" t="n">
        <v>1</v>
      </c>
      <c r="L1956" s="34">
        <f>IF($J1956=1,LN(B1957/B1956),"")</f>
        <v/>
      </c>
      <c r="M1956" s="34">
        <f>IF($K1956=1,INDEX(Mensal!$D$2:$D$245,MATCH($I1956,Mensal!$A$2:$A$245,0)),"")</f>
        <v/>
      </c>
      <c r="N1956" s="34">
        <f>IF($K1956=1,L1956-M1956,"")</f>
        <v/>
      </c>
      <c r="O1956" s="34" t="n">
        <v>0.00039809</v>
      </c>
      <c r="P1956" s="34">
        <f>IF($J1956=1,LN(1+O1956),"")</f>
        <v/>
      </c>
      <c r="Q1956" s="34">
        <f>IF($J1956=1,LN(R1957/R1956),"")</f>
        <v/>
      </c>
      <c r="R1956" s="32" t="n">
        <v>2.3094</v>
      </c>
      <c r="S1956" s="35" t="n">
        <v>11.233</v>
      </c>
      <c r="T1956" s="18" t="n"/>
      <c r="U1956" s="18" t="n">
        <v>47093.13</v>
      </c>
      <c r="V1956" s="18" t="n"/>
      <c r="W1956" s="18" t="n"/>
      <c r="X1956" s="35" t="n">
        <v>11.233</v>
      </c>
      <c r="Y1956" s="35" t="n"/>
    </row>
    <row r="1957">
      <c r="A1957" s="25" t="n">
        <v>41705</v>
      </c>
      <c r="B1957" s="18" t="n">
        <v>46244.07</v>
      </c>
      <c r="C1957" s="31" t="n"/>
      <c r="D1957" s="32" t="n"/>
      <c r="E1957" s="33" t="n">
        <v>0.0999</v>
      </c>
      <c r="F1957" t="inlineStr">
        <is>
          <t>Up</t>
        </is>
      </c>
      <c r="G1957" t="inlineStr">
        <is>
          <t>Up</t>
        </is>
      </c>
      <c r="H1957" t="inlineStr">
        <is>
          <t>EU_JU</t>
        </is>
      </c>
      <c r="I1957" t="inlineStr">
        <is>
          <t>2014-03</t>
        </is>
      </c>
      <c r="J1957" t="n">
        <v>1</v>
      </c>
      <c r="K1957" t="n">
        <v>1</v>
      </c>
      <c r="L1957" s="34">
        <f>IF($J1957=1,LN(B1958/B1957),"")</f>
        <v/>
      </c>
      <c r="M1957" s="34">
        <f>IF($K1957=1,INDEX(Mensal!$D$2:$D$245,MATCH($I1957,Mensal!$A$2:$A$245,0)),"")</f>
        <v/>
      </c>
      <c r="N1957" s="34">
        <f>IF($K1957=1,L1957-M1957,"")</f>
        <v/>
      </c>
      <c r="O1957" s="34" t="n">
        <v>0.00039809</v>
      </c>
      <c r="P1957" s="34">
        <f>IF($J1957=1,LN(1+O1957),"")</f>
        <v/>
      </c>
      <c r="Q1957" s="34">
        <f>IF($J1957=1,LN(R1958/R1957),"")</f>
        <v/>
      </c>
      <c r="R1957" s="32" t="n">
        <v>2.3382</v>
      </c>
      <c r="S1957" s="35" t="n">
        <v>11.297</v>
      </c>
      <c r="T1957" s="18" t="n"/>
      <c r="U1957" s="18" t="n">
        <v>46244.07</v>
      </c>
      <c r="V1957" s="18" t="n"/>
      <c r="W1957" s="18" t="n"/>
      <c r="X1957" s="35" t="n">
        <v>11.297</v>
      </c>
      <c r="Y1957" s="35" t="n"/>
    </row>
    <row r="1958">
      <c r="A1958" s="25" t="n">
        <v>41708</v>
      </c>
      <c r="B1958" s="18" t="n">
        <v>45533.2</v>
      </c>
      <c r="C1958" s="31" t="n"/>
      <c r="D1958" s="32" t="n"/>
      <c r="E1958" s="33" t="n">
        <v>0.0945</v>
      </c>
      <c r="F1958" t="inlineStr">
        <is>
          <t>Up</t>
        </is>
      </c>
      <c r="G1958" t="inlineStr">
        <is>
          <t>Up</t>
        </is>
      </c>
      <c r="H1958" t="inlineStr">
        <is>
          <t>EU_JU</t>
        </is>
      </c>
      <c r="I1958" t="inlineStr">
        <is>
          <t>2014-03</t>
        </is>
      </c>
      <c r="J1958" t="n">
        <v>1</v>
      </c>
      <c r="K1958" t="n">
        <v>1</v>
      </c>
      <c r="L1958" s="34">
        <f>IF($J1958=1,LN(B1959/B1958),"")</f>
        <v/>
      </c>
      <c r="M1958" s="34">
        <f>IF($K1958=1,INDEX(Mensal!$D$2:$D$245,MATCH($I1958,Mensal!$A$2:$A$245,0)),"")</f>
        <v/>
      </c>
      <c r="N1958" s="34">
        <f>IF($K1958=1,L1958-M1958,"")</f>
        <v/>
      </c>
      <c r="O1958" s="34" t="n">
        <v>0.00039809</v>
      </c>
      <c r="P1958" s="34">
        <f>IF($J1958=1,LN(1+O1958),"")</f>
        <v/>
      </c>
      <c r="Q1958" s="34">
        <f>IF($J1958=1,LN(R1959/R1958),"")</f>
        <v/>
      </c>
      <c r="R1958" s="32" t="n">
        <v>2.341</v>
      </c>
      <c r="S1958" s="35" t="n">
        <v>11.348</v>
      </c>
      <c r="T1958" s="18" t="n"/>
      <c r="U1958" s="18" t="n">
        <v>45533.2</v>
      </c>
      <c r="V1958" s="18" t="n"/>
      <c r="W1958" s="18" t="n"/>
      <c r="X1958" s="35" t="n">
        <v>11.348</v>
      </c>
      <c r="Y1958" s="35" t="n"/>
    </row>
    <row r="1959">
      <c r="A1959" s="25" t="n">
        <v>41709</v>
      </c>
      <c r="B1959" s="18" t="n">
        <v>45697.62</v>
      </c>
      <c r="C1959" s="31" t="n"/>
      <c r="D1959" s="32" t="n"/>
      <c r="E1959" s="33" t="n">
        <v>0.1028</v>
      </c>
      <c r="F1959" t="inlineStr">
        <is>
          <t>Up</t>
        </is>
      </c>
      <c r="G1959" t="inlineStr">
        <is>
          <t>Up</t>
        </is>
      </c>
      <c r="H1959" t="inlineStr">
        <is>
          <t>EU_JU</t>
        </is>
      </c>
      <c r="I1959" t="inlineStr">
        <is>
          <t>2014-03</t>
        </is>
      </c>
      <c r="J1959" t="n">
        <v>1</v>
      </c>
      <c r="K1959" t="n">
        <v>1</v>
      </c>
      <c r="L1959" s="34">
        <f>IF($J1959=1,LN(B1960/B1959),"")</f>
        <v/>
      </c>
      <c r="M1959" s="34">
        <f>IF($K1959=1,INDEX(Mensal!$D$2:$D$245,MATCH($I1959,Mensal!$A$2:$A$245,0)),"")</f>
        <v/>
      </c>
      <c r="N1959" s="34">
        <f>IF($K1959=1,L1959-M1959,"")</f>
        <v/>
      </c>
      <c r="O1959" s="34" t="n">
        <v>0.00039809</v>
      </c>
      <c r="P1959" s="34">
        <f>IF($J1959=1,LN(1+O1959),"")</f>
        <v/>
      </c>
      <c r="Q1959" s="34">
        <f>IF($J1959=1,LN(R1960/R1959),"")</f>
        <v/>
      </c>
      <c r="R1959" s="32" t="n">
        <v>2.3461</v>
      </c>
      <c r="S1959" s="35" t="n">
        <v>11.304</v>
      </c>
      <c r="T1959" s="18" t="n"/>
      <c r="U1959" s="18" t="n">
        <v>45697.62</v>
      </c>
      <c r="V1959" s="18" t="n"/>
      <c r="W1959" s="18" t="n"/>
      <c r="X1959" s="35" t="n">
        <v>11.304</v>
      </c>
      <c r="Y1959" s="35" t="n"/>
    </row>
    <row r="1960">
      <c r="A1960" s="25" t="n">
        <v>41710</v>
      </c>
      <c r="B1960" s="18" t="n">
        <v>45861.81</v>
      </c>
      <c r="C1960" s="31" t="n"/>
      <c r="D1960" s="32" t="n"/>
      <c r="E1960" s="33" t="n">
        <v>0.1132</v>
      </c>
      <c r="F1960" t="inlineStr">
        <is>
          <t>Up</t>
        </is>
      </c>
      <c r="G1960" t="inlineStr">
        <is>
          <t>Up</t>
        </is>
      </c>
      <c r="H1960" t="inlineStr">
        <is>
          <t>EU_JU</t>
        </is>
      </c>
      <c r="I1960" t="inlineStr">
        <is>
          <t>2014-03</t>
        </is>
      </c>
      <c r="J1960" t="n">
        <v>1</v>
      </c>
      <c r="K1960" t="n">
        <v>1</v>
      </c>
      <c r="L1960" s="34">
        <f>IF($J1960=1,LN(B1961/B1960),"")</f>
        <v/>
      </c>
      <c r="M1960" s="34">
        <f>IF($K1960=1,INDEX(Mensal!$D$2:$D$245,MATCH($I1960,Mensal!$A$2:$A$245,0)),"")</f>
        <v/>
      </c>
      <c r="N1960" s="34">
        <f>IF($K1960=1,L1960-M1960,"")</f>
        <v/>
      </c>
      <c r="O1960" s="34" t="n">
        <v>0.00039809</v>
      </c>
      <c r="P1960" s="34">
        <f>IF($J1960=1,LN(1+O1960),"")</f>
        <v/>
      </c>
      <c r="Q1960" s="34">
        <f>IF($J1960=1,LN(R1961/R1960),"")</f>
        <v/>
      </c>
      <c r="R1960" s="32" t="n">
        <v>2.3649</v>
      </c>
      <c r="S1960" s="35" t="n">
        <v>11.279</v>
      </c>
      <c r="T1960" s="18" t="n"/>
      <c r="U1960" s="18" t="n">
        <v>45861.81</v>
      </c>
      <c r="V1960" s="18" t="n"/>
      <c r="W1960" s="18" t="n"/>
      <c r="X1960" s="35" t="n">
        <v>11.279</v>
      </c>
      <c r="Y1960" s="35" t="n"/>
    </row>
    <row r="1961">
      <c r="A1961" s="25" t="n">
        <v>41711</v>
      </c>
      <c r="B1961" s="18" t="n">
        <v>45443.83</v>
      </c>
      <c r="C1961" s="31" t="n"/>
      <c r="D1961" s="32" t="n"/>
      <c r="E1961" s="33" t="n">
        <v>0.1262</v>
      </c>
      <c r="F1961" t="inlineStr">
        <is>
          <t>Up</t>
        </is>
      </c>
      <c r="G1961" t="inlineStr">
        <is>
          <t>Up</t>
        </is>
      </c>
      <c r="H1961" t="inlineStr">
        <is>
          <t>EU_JU</t>
        </is>
      </c>
      <c r="I1961" t="inlineStr">
        <is>
          <t>2014-03</t>
        </is>
      </c>
      <c r="J1961" t="n">
        <v>1</v>
      </c>
      <c r="K1961" t="n">
        <v>1</v>
      </c>
      <c r="L1961" s="34">
        <f>IF($J1961=1,LN(B1962/B1961),"")</f>
        <v/>
      </c>
      <c r="M1961" s="34">
        <f>IF($K1961=1,INDEX(Mensal!$D$2:$D$245,MATCH($I1961,Mensal!$A$2:$A$245,0)),"")</f>
        <v/>
      </c>
      <c r="N1961" s="34">
        <f>IF($K1961=1,L1961-M1961,"")</f>
        <v/>
      </c>
      <c r="O1961" s="34" t="n">
        <v>0.00039809</v>
      </c>
      <c r="P1961" s="34">
        <f>IF($J1961=1,LN(1+O1961),"")</f>
        <v/>
      </c>
      <c r="Q1961" s="34">
        <f>IF($J1961=1,LN(R1962/R1961),"")</f>
        <v/>
      </c>
      <c r="R1961" s="32" t="n">
        <v>2.3486</v>
      </c>
      <c r="S1961" s="35" t="n">
        <v>11.343</v>
      </c>
      <c r="T1961" s="18" t="n"/>
      <c r="U1961" s="18" t="n">
        <v>45443.83</v>
      </c>
      <c r="V1961" s="18" t="n"/>
      <c r="W1961" s="18" t="n"/>
      <c r="X1961" s="35" t="n">
        <v>11.343</v>
      </c>
      <c r="Y1961" s="35" t="n"/>
    </row>
    <row r="1962">
      <c r="A1962" s="25" t="n">
        <v>41712</v>
      </c>
      <c r="B1962" s="18" t="n">
        <v>44965.66</v>
      </c>
      <c r="C1962" s="31" t="n"/>
      <c r="D1962" s="32" t="n"/>
      <c r="E1962" s="33" t="n">
        <v>0.1371</v>
      </c>
      <c r="F1962" t="inlineStr">
        <is>
          <t>Up</t>
        </is>
      </c>
      <c r="G1962" t="inlineStr">
        <is>
          <t>Up</t>
        </is>
      </c>
      <c r="H1962" t="inlineStr">
        <is>
          <t>EU_JU</t>
        </is>
      </c>
      <c r="I1962" t="inlineStr">
        <is>
          <t>2014-03</t>
        </is>
      </c>
      <c r="J1962" t="n">
        <v>1</v>
      </c>
      <c r="K1962" t="n">
        <v>1</v>
      </c>
      <c r="L1962" s="34">
        <f>IF($J1962=1,LN(B1963/B1962),"")</f>
        <v/>
      </c>
      <c r="M1962" s="34">
        <f>IF($K1962=1,INDEX(Mensal!$D$2:$D$245,MATCH($I1962,Mensal!$A$2:$A$245,0)),"")</f>
        <v/>
      </c>
      <c r="N1962" s="34">
        <f>IF($K1962=1,L1962-M1962,"")</f>
        <v/>
      </c>
      <c r="O1962" s="34" t="n">
        <v>0.00039809</v>
      </c>
      <c r="P1962" s="34">
        <f>IF($J1962=1,LN(1+O1962),"")</f>
        <v/>
      </c>
      <c r="Q1962" s="34">
        <f>IF($J1962=1,LN(R1963/R1962),"")</f>
        <v/>
      </c>
      <c r="R1962" s="32" t="n">
        <v>2.3638</v>
      </c>
      <c r="S1962" s="35" t="n">
        <v>11.36</v>
      </c>
      <c r="T1962" s="18" t="n"/>
      <c r="U1962" s="18" t="n">
        <v>44965.66</v>
      </c>
      <c r="V1962" s="18" t="n"/>
      <c r="W1962" s="18" t="n"/>
      <c r="X1962" s="35" t="n">
        <v>11.36</v>
      </c>
      <c r="Y1962" s="35" t="n"/>
    </row>
    <row r="1963">
      <c r="A1963" s="25" t="n">
        <v>41715</v>
      </c>
      <c r="B1963" s="18" t="n">
        <v>45117.8</v>
      </c>
      <c r="C1963" s="31" t="n"/>
      <c r="D1963" s="32" t="n"/>
      <c r="E1963" s="33" t="n">
        <v>0.1473</v>
      </c>
      <c r="F1963" t="inlineStr">
        <is>
          <t>Up</t>
        </is>
      </c>
      <c r="G1963" t="inlineStr">
        <is>
          <t>Up</t>
        </is>
      </c>
      <c r="H1963" t="inlineStr">
        <is>
          <t>EU_JU</t>
        </is>
      </c>
      <c r="I1963" t="inlineStr">
        <is>
          <t>2014-03</t>
        </is>
      </c>
      <c r="J1963" t="n">
        <v>1</v>
      </c>
      <c r="K1963" t="n">
        <v>1</v>
      </c>
      <c r="L1963" s="34">
        <f>IF($J1963=1,LN(B1964/B1963),"")</f>
        <v/>
      </c>
      <c r="M1963" s="34">
        <f>IF($K1963=1,INDEX(Mensal!$D$2:$D$245,MATCH($I1963,Mensal!$A$2:$A$245,0)),"")</f>
        <v/>
      </c>
      <c r="N1963" s="34">
        <f>IF($K1963=1,L1963-M1963,"")</f>
        <v/>
      </c>
      <c r="O1963" s="34" t="n">
        <v>0.00039809</v>
      </c>
      <c r="P1963" s="34">
        <f>IF($J1963=1,LN(1+O1963),"")</f>
        <v/>
      </c>
      <c r="Q1963" s="34">
        <f>IF($J1963=1,LN(R1964/R1963),"")</f>
        <v/>
      </c>
      <c r="R1963" s="32" t="n">
        <v>2.3518</v>
      </c>
      <c r="S1963" s="35" t="n">
        <v>11.345</v>
      </c>
      <c r="T1963" s="18" t="n"/>
      <c r="U1963" s="18" t="n">
        <v>45117.8</v>
      </c>
      <c r="V1963" s="18" t="n"/>
      <c r="W1963" s="18" t="n"/>
      <c r="X1963" s="35" t="n">
        <v>11.345</v>
      </c>
      <c r="Y1963" s="35" t="n"/>
    </row>
    <row r="1964">
      <c r="A1964" s="25" t="n">
        <v>41716</v>
      </c>
      <c r="B1964" s="18" t="n">
        <v>46150.96</v>
      </c>
      <c r="C1964" s="31" t="n"/>
      <c r="D1964" s="32" t="n"/>
      <c r="E1964" s="33" t="n">
        <v>0.16</v>
      </c>
      <c r="F1964" t="inlineStr">
        <is>
          <t>Up</t>
        </is>
      </c>
      <c r="G1964" t="inlineStr">
        <is>
          <t>Up</t>
        </is>
      </c>
      <c r="H1964" t="inlineStr">
        <is>
          <t>EU_JU</t>
        </is>
      </c>
      <c r="I1964" t="inlineStr">
        <is>
          <t>2014-03</t>
        </is>
      </c>
      <c r="J1964" t="n">
        <v>1</v>
      </c>
      <c r="K1964" t="n">
        <v>1</v>
      </c>
      <c r="L1964" s="34">
        <f>IF($J1964=1,LN(B1965/B1964),"")</f>
        <v/>
      </c>
      <c r="M1964" s="34">
        <f>IF($K1964=1,INDEX(Mensal!$D$2:$D$245,MATCH($I1964,Mensal!$A$2:$A$245,0)),"")</f>
        <v/>
      </c>
      <c r="N1964" s="34">
        <f>IF($K1964=1,L1964-M1964,"")</f>
        <v/>
      </c>
      <c r="O1964" s="34" t="n">
        <v>0.00039809</v>
      </c>
      <c r="P1964" s="34">
        <f>IF($J1964=1,LN(1+O1964),"")</f>
        <v/>
      </c>
      <c r="Q1964" s="34">
        <f>IF($J1964=1,LN(R1965/R1964),"")</f>
        <v/>
      </c>
      <c r="R1964" s="32" t="n">
        <v>2.3522</v>
      </c>
      <c r="S1964" s="35" t="n">
        <v>11.385</v>
      </c>
      <c r="T1964" s="18" t="n"/>
      <c r="U1964" s="18" t="n">
        <v>46150.96</v>
      </c>
      <c r="V1964" s="18" t="n"/>
      <c r="W1964" s="18" t="n"/>
      <c r="X1964" s="35" t="n">
        <v>11.385</v>
      </c>
      <c r="Y1964" s="35" t="n"/>
    </row>
    <row r="1965">
      <c r="A1965" s="25" t="n">
        <v>41717</v>
      </c>
      <c r="B1965" s="18" t="n">
        <v>46567.23</v>
      </c>
      <c r="C1965" s="31" t="n"/>
      <c r="D1965" s="32" t="n"/>
      <c r="E1965" s="33" t="n">
        <v>0.1749</v>
      </c>
      <c r="F1965" t="inlineStr">
        <is>
          <t>Up</t>
        </is>
      </c>
      <c r="G1965" t="inlineStr">
        <is>
          <t>Up</t>
        </is>
      </c>
      <c r="H1965" t="inlineStr">
        <is>
          <t>EU_JU</t>
        </is>
      </c>
      <c r="I1965" t="inlineStr">
        <is>
          <t>2014-03</t>
        </is>
      </c>
      <c r="J1965" t="n">
        <v>1</v>
      </c>
      <c r="K1965" t="n">
        <v>1</v>
      </c>
      <c r="L1965" s="34">
        <f>IF($J1965=1,LN(B1966/B1965),"")</f>
        <v/>
      </c>
      <c r="M1965" s="34">
        <f>IF($K1965=1,INDEX(Mensal!$D$2:$D$245,MATCH($I1965,Mensal!$A$2:$A$245,0)),"")</f>
        <v/>
      </c>
      <c r="N1965" s="34">
        <f>IF($K1965=1,L1965-M1965,"")</f>
        <v/>
      </c>
      <c r="O1965" s="34" t="n">
        <v>0.00039952</v>
      </c>
      <c r="P1965" s="34">
        <f>IF($J1965=1,LN(1+O1965),"")</f>
        <v/>
      </c>
      <c r="Q1965" s="34">
        <f>IF($J1965=1,LN(R1966/R1965),"")</f>
        <v/>
      </c>
      <c r="R1965" s="32" t="n">
        <v>2.3338</v>
      </c>
      <c r="S1965" s="35" t="n">
        <v>11.452</v>
      </c>
      <c r="T1965" s="18" t="n"/>
      <c r="U1965" s="18" t="n">
        <v>46567.23</v>
      </c>
      <c r="V1965" s="18" t="n"/>
      <c r="W1965" s="18" t="n"/>
      <c r="X1965" s="35" t="n">
        <v>11.452</v>
      </c>
      <c r="Y1965" s="35" t="n"/>
    </row>
    <row r="1966">
      <c r="A1966" s="25" t="n">
        <v>41718</v>
      </c>
      <c r="B1966" s="18" t="n">
        <v>47278.48</v>
      </c>
      <c r="C1966" s="31" t="n"/>
      <c r="D1966" s="32" t="n"/>
      <c r="E1966" s="33" t="n">
        <v>0.1896</v>
      </c>
      <c r="F1966" t="inlineStr">
        <is>
          <t>Up</t>
        </is>
      </c>
      <c r="G1966" t="inlineStr">
        <is>
          <t>Up</t>
        </is>
      </c>
      <c r="H1966" t="inlineStr">
        <is>
          <t>EU_JU</t>
        </is>
      </c>
      <c r="I1966" t="inlineStr">
        <is>
          <t>2014-03</t>
        </is>
      </c>
      <c r="J1966" t="n">
        <v>1</v>
      </c>
      <c r="K1966" t="n">
        <v>1</v>
      </c>
      <c r="L1966" s="34">
        <f>IF($J1966=1,LN(B1967/B1966),"")</f>
        <v/>
      </c>
      <c r="M1966" s="34">
        <f>IF($K1966=1,INDEX(Mensal!$D$2:$D$245,MATCH($I1966,Mensal!$A$2:$A$245,0)),"")</f>
        <v/>
      </c>
      <c r="N1966" s="34">
        <f>IF($K1966=1,L1966-M1966,"")</f>
        <v/>
      </c>
      <c r="O1966" s="34" t="n">
        <v>0.00039952</v>
      </c>
      <c r="P1966" s="34">
        <f>IF($J1966=1,LN(1+O1966),"")</f>
        <v/>
      </c>
      <c r="Q1966" s="34">
        <f>IF($J1966=1,LN(R1967/R1966),"")</f>
        <v/>
      </c>
      <c r="R1966" s="32" t="n">
        <v>2.342</v>
      </c>
      <c r="S1966" s="35" t="n">
        <v>11.469</v>
      </c>
      <c r="T1966" s="18" t="n"/>
      <c r="U1966" s="18" t="n">
        <v>47278.48</v>
      </c>
      <c r="V1966" s="18" t="n"/>
      <c r="W1966" s="18" t="n"/>
      <c r="X1966" s="35" t="n">
        <v>11.469</v>
      </c>
      <c r="Y1966" s="35" t="n"/>
    </row>
    <row r="1967">
      <c r="A1967" s="25" t="n">
        <v>41719</v>
      </c>
      <c r="B1967" s="18" t="n">
        <v>47380.94</v>
      </c>
      <c r="C1967" s="31" t="n"/>
      <c r="D1967" s="32" t="n"/>
      <c r="E1967" s="33" t="n">
        <v>0.185</v>
      </c>
      <c r="F1967" t="inlineStr">
        <is>
          <t>Up</t>
        </is>
      </c>
      <c r="G1967" t="inlineStr">
        <is>
          <t>Up</t>
        </is>
      </c>
      <c r="H1967" t="inlineStr">
        <is>
          <t>EU_JU</t>
        </is>
      </c>
      <c r="I1967" t="inlineStr">
        <is>
          <t>2014-03</t>
        </is>
      </c>
      <c r="J1967" t="n">
        <v>1</v>
      </c>
      <c r="K1967" t="n">
        <v>1</v>
      </c>
      <c r="L1967" s="34">
        <f>IF($J1967=1,LN(B1968/B1967),"")</f>
        <v/>
      </c>
      <c r="M1967" s="34">
        <f>IF($K1967=1,INDEX(Mensal!$D$2:$D$245,MATCH($I1967,Mensal!$A$2:$A$245,0)),"")</f>
        <v/>
      </c>
      <c r="N1967" s="34">
        <f>IF($K1967=1,L1967-M1967,"")</f>
        <v/>
      </c>
      <c r="O1967" s="34" t="n">
        <v>0.00039952</v>
      </c>
      <c r="P1967" s="34">
        <f>IF($J1967=1,LN(1+O1967),"")</f>
        <v/>
      </c>
      <c r="Q1967" s="34">
        <f>IF($J1967=1,LN(R1968/R1967),"")</f>
        <v/>
      </c>
      <c r="R1967" s="32" t="n">
        <v>2.3245</v>
      </c>
      <c r="S1967" s="35" t="n">
        <v>11.43</v>
      </c>
      <c r="T1967" s="18" t="n"/>
      <c r="U1967" s="18" t="n">
        <v>47380.94</v>
      </c>
      <c r="V1967" s="18" t="n"/>
      <c r="W1967" s="18" t="n"/>
      <c r="X1967" s="35" t="n">
        <v>11.43</v>
      </c>
      <c r="Y1967" s="35" t="n"/>
    </row>
    <row r="1968">
      <c r="A1968" s="25" t="n">
        <v>41722</v>
      </c>
      <c r="B1968" s="18" t="n">
        <v>47993.42</v>
      </c>
      <c r="C1968" s="31" t="n"/>
      <c r="D1968" s="32" t="n"/>
      <c r="E1968" s="33" t="n">
        <v>0.1877</v>
      </c>
      <c r="F1968" t="inlineStr">
        <is>
          <t>Up</t>
        </is>
      </c>
      <c r="G1968" t="inlineStr">
        <is>
          <t>Up</t>
        </is>
      </c>
      <c r="H1968" t="inlineStr">
        <is>
          <t>EU_JU</t>
        </is>
      </c>
      <c r="I1968" t="inlineStr">
        <is>
          <t>2014-03</t>
        </is>
      </c>
      <c r="J1968" t="n">
        <v>1</v>
      </c>
      <c r="K1968" t="n">
        <v>1</v>
      </c>
      <c r="L1968" s="34">
        <f>IF($J1968=1,LN(B1969/B1968),"")</f>
        <v/>
      </c>
      <c r="M1968" s="34">
        <f>IF($K1968=1,INDEX(Mensal!$D$2:$D$245,MATCH($I1968,Mensal!$A$2:$A$245,0)),"")</f>
        <v/>
      </c>
      <c r="N1968" s="34">
        <f>IF($K1968=1,L1968-M1968,"")</f>
        <v/>
      </c>
      <c r="O1968" s="34" t="n">
        <v>0.00039952</v>
      </c>
      <c r="P1968" s="34">
        <f>IF($J1968=1,LN(1+O1968),"")</f>
        <v/>
      </c>
      <c r="Q1968" s="34">
        <f>IF($J1968=1,LN(R1969/R1968),"")</f>
        <v/>
      </c>
      <c r="R1968" s="32" t="n">
        <v>2.3248</v>
      </c>
      <c r="S1968" s="35" t="n">
        <v>11.391</v>
      </c>
      <c r="T1968" s="18" t="n"/>
      <c r="U1968" s="18" t="n">
        <v>47993.42</v>
      </c>
      <c r="V1968" s="18" t="n"/>
      <c r="W1968" s="18" t="n"/>
      <c r="X1968" s="35" t="n">
        <v>11.391</v>
      </c>
      <c r="Y1968" s="35" t="n"/>
    </row>
    <row r="1969">
      <c r="A1969" s="25" t="n">
        <v>41723</v>
      </c>
      <c r="B1969" s="18" t="n">
        <v>48180.14</v>
      </c>
      <c r="C1969" s="31" t="n"/>
      <c r="D1969" s="32" t="n"/>
      <c r="E1969" s="33" t="n">
        <v>0.1815</v>
      </c>
      <c r="F1969" t="inlineStr">
        <is>
          <t>Up</t>
        </is>
      </c>
      <c r="G1969" t="inlineStr">
        <is>
          <t>Up</t>
        </is>
      </c>
      <c r="H1969" t="inlineStr">
        <is>
          <t>EU_JU</t>
        </is>
      </c>
      <c r="I1969" t="inlineStr">
        <is>
          <t>2014-03</t>
        </is>
      </c>
      <c r="J1969" t="n">
        <v>1</v>
      </c>
      <c r="K1969" t="n">
        <v>1</v>
      </c>
      <c r="L1969" s="34">
        <f>IF($J1969=1,LN(B1970/B1969),"")</f>
        <v/>
      </c>
      <c r="M1969" s="34">
        <f>IF($K1969=1,INDEX(Mensal!$D$2:$D$245,MATCH($I1969,Mensal!$A$2:$A$245,0)),"")</f>
        <v/>
      </c>
      <c r="N1969" s="34">
        <f>IF($K1969=1,L1969-M1969,"")</f>
        <v/>
      </c>
      <c r="O1969" s="34" t="n">
        <v>0.00039952</v>
      </c>
      <c r="P1969" s="34">
        <f>IF($J1969=1,LN(1+O1969),"")</f>
        <v/>
      </c>
      <c r="Q1969" s="34">
        <f>IF($J1969=1,LN(R1970/R1969),"")</f>
        <v/>
      </c>
      <c r="R1969" s="32" t="n">
        <v>2.3124</v>
      </c>
      <c r="S1969" s="35" t="n">
        <v>11.375</v>
      </c>
      <c r="T1969" s="18" t="n"/>
      <c r="U1969" s="18" t="n">
        <v>48180.14</v>
      </c>
      <c r="V1969" s="18" t="n"/>
      <c r="W1969" s="18" t="n"/>
      <c r="X1969" s="35" t="n">
        <v>11.375</v>
      </c>
      <c r="Y1969" s="35" t="n"/>
    </row>
    <row r="1970">
      <c r="A1970" s="25" t="n">
        <v>41724</v>
      </c>
      <c r="B1970" s="18" t="n">
        <v>47965.61</v>
      </c>
      <c r="C1970" s="31" t="n"/>
      <c r="D1970" s="32" t="n"/>
      <c r="E1970" s="33" t="n">
        <v>0.1828</v>
      </c>
      <c r="F1970" t="inlineStr">
        <is>
          <t>Up</t>
        </is>
      </c>
      <c r="G1970" t="inlineStr">
        <is>
          <t>Up</t>
        </is>
      </c>
      <c r="H1970" t="inlineStr">
        <is>
          <t>EU_JU</t>
        </is>
      </c>
      <c r="I1970" t="inlineStr">
        <is>
          <t>2014-03</t>
        </is>
      </c>
      <c r="J1970" t="n">
        <v>1</v>
      </c>
      <c r="K1970" t="n">
        <v>1</v>
      </c>
      <c r="L1970" s="34">
        <f>IF($J1970=1,LN(B1971/B1970),"")</f>
        <v/>
      </c>
      <c r="M1970" s="34">
        <f>IF($K1970=1,INDEX(Mensal!$D$2:$D$245,MATCH($I1970,Mensal!$A$2:$A$245,0)),"")</f>
        <v/>
      </c>
      <c r="N1970" s="34">
        <f>IF($K1970=1,L1970-M1970,"")</f>
        <v/>
      </c>
      <c r="O1970" s="34" t="n">
        <v>0.00039952</v>
      </c>
      <c r="P1970" s="34">
        <f>IF($J1970=1,LN(1+O1970),"")</f>
        <v/>
      </c>
      <c r="Q1970" s="34">
        <f>IF($J1970=1,LN(R1971/R1970),"")</f>
        <v/>
      </c>
      <c r="R1970" s="32" t="n">
        <v>2.3119</v>
      </c>
      <c r="S1970" s="35" t="n">
        <v>11.377</v>
      </c>
      <c r="T1970" s="18" t="n"/>
      <c r="U1970" s="18" t="n">
        <v>47965.61</v>
      </c>
      <c r="V1970" s="18" t="n"/>
      <c r="W1970" s="18" t="n"/>
      <c r="X1970" s="35" t="n">
        <v>11.377</v>
      </c>
      <c r="Y1970" s="35" t="n"/>
    </row>
    <row r="1971">
      <c r="A1971" s="25" t="n">
        <v>41725</v>
      </c>
      <c r="B1971" s="18" t="n">
        <v>49646.79</v>
      </c>
      <c r="C1971" s="31" t="n"/>
      <c r="D1971" s="32" t="n"/>
      <c r="E1971" s="33" t="n">
        <v>0.1839</v>
      </c>
      <c r="F1971" t="inlineStr">
        <is>
          <t>Up</t>
        </is>
      </c>
      <c r="G1971" t="inlineStr">
        <is>
          <t>Up</t>
        </is>
      </c>
      <c r="H1971" t="inlineStr">
        <is>
          <t>EU_JU</t>
        </is>
      </c>
      <c r="I1971" t="inlineStr">
        <is>
          <t>2014-03</t>
        </is>
      </c>
      <c r="J1971" t="n">
        <v>1</v>
      </c>
      <c r="K1971" t="n">
        <v>1</v>
      </c>
      <c r="L1971" s="34">
        <f>IF($J1971=1,LN(B1972/B1971),"")</f>
        <v/>
      </c>
      <c r="M1971" s="34">
        <f>IF($K1971=1,INDEX(Mensal!$D$2:$D$245,MATCH($I1971,Mensal!$A$2:$A$245,0)),"")</f>
        <v/>
      </c>
      <c r="N1971" s="34">
        <f>IF($K1971=1,L1971-M1971,"")</f>
        <v/>
      </c>
      <c r="O1971" s="34" t="n">
        <v>0.00039809</v>
      </c>
      <c r="P1971" s="34">
        <f>IF($J1971=1,LN(1+O1971),"")</f>
        <v/>
      </c>
      <c r="Q1971" s="34">
        <f>IF($J1971=1,LN(R1972/R1971),"")</f>
        <v/>
      </c>
      <c r="R1971" s="32" t="n">
        <v>2.283</v>
      </c>
      <c r="S1971" s="35" t="n">
        <v>11.368</v>
      </c>
      <c r="T1971" s="18" t="n"/>
      <c r="U1971" s="18" t="n">
        <v>49646.79</v>
      </c>
      <c r="V1971" s="18" t="n"/>
      <c r="W1971" s="18" t="n"/>
      <c r="X1971" s="35" t="n">
        <v>11.368</v>
      </c>
      <c r="Y1971" s="35" t="n"/>
    </row>
    <row r="1972">
      <c r="A1972" s="25" t="n">
        <v>41726</v>
      </c>
      <c r="B1972" s="18" t="n">
        <v>49768.06</v>
      </c>
      <c r="C1972" s="31" t="n"/>
      <c r="D1972" s="32" t="n"/>
      <c r="E1972" s="33" t="n">
        <v>0.188</v>
      </c>
      <c r="F1972" t="inlineStr">
        <is>
          <t>Up</t>
        </is>
      </c>
      <c r="G1972" t="inlineStr">
        <is>
          <t>Up</t>
        </is>
      </c>
      <c r="H1972" t="inlineStr">
        <is>
          <t>EU_JU</t>
        </is>
      </c>
      <c r="I1972" t="inlineStr">
        <is>
          <t>2014-03</t>
        </is>
      </c>
      <c r="J1972" t="n">
        <v>1</v>
      </c>
      <c r="K1972" t="n">
        <v>1</v>
      </c>
      <c r="L1972" s="34">
        <f>IF($J1972=1,LN(B1973/B1972),"")</f>
        <v/>
      </c>
      <c r="M1972" s="34">
        <f>IF($K1972=1,INDEX(Mensal!$D$2:$D$245,MATCH($I1972,Mensal!$A$2:$A$245,0)),"")</f>
        <v/>
      </c>
      <c r="N1972" s="34">
        <f>IF($K1972=1,L1972-M1972,"")</f>
        <v/>
      </c>
      <c r="O1972" s="34" t="n">
        <v>0.00039809</v>
      </c>
      <c r="P1972" s="34">
        <f>IF($J1972=1,LN(1+O1972),"")</f>
        <v/>
      </c>
      <c r="Q1972" s="34">
        <f>IF($J1972=1,LN(R1973/R1972),"")</f>
        <v/>
      </c>
      <c r="R1972" s="32" t="n">
        <v>2.2603</v>
      </c>
      <c r="S1972" s="35" t="n">
        <v>11.376</v>
      </c>
      <c r="T1972" s="18" t="n"/>
      <c r="U1972" s="18" t="n">
        <v>49768.06</v>
      </c>
      <c r="V1972" s="18" t="n"/>
      <c r="W1972" s="18" t="n"/>
      <c r="X1972" s="35" t="n">
        <v>11.376</v>
      </c>
      <c r="Y1972" s="35" t="n"/>
    </row>
    <row r="1973">
      <c r="A1973" s="25" t="n">
        <v>41729</v>
      </c>
      <c r="B1973" s="18" t="n">
        <v>50414.92</v>
      </c>
      <c r="C1973" s="31" t="n"/>
      <c r="D1973" s="32" t="n"/>
      <c r="E1973" s="33" t="n">
        <v>0.1991</v>
      </c>
      <c r="F1973" t="inlineStr">
        <is>
          <t>Up</t>
        </is>
      </c>
      <c r="G1973" t="inlineStr">
        <is>
          <t>Up</t>
        </is>
      </c>
      <c r="H1973" t="inlineStr">
        <is>
          <t>EU_JU</t>
        </is>
      </c>
      <c r="I1973" t="inlineStr">
        <is>
          <t>2014-03</t>
        </is>
      </c>
      <c r="J1973" t="n">
        <v>1</v>
      </c>
      <c r="K1973" t="n">
        <v>1</v>
      </c>
      <c r="L1973" s="34">
        <f>IF($J1973=1,LN(B1974/B1973),"")</f>
        <v/>
      </c>
      <c r="M1973" s="34">
        <f>IF($K1973=1,INDEX(Mensal!$D$2:$D$245,MATCH($I1973,Mensal!$A$2:$A$245,0)),"")</f>
        <v/>
      </c>
      <c r="N1973" s="34">
        <f>IF($K1973=1,L1973-M1973,"")</f>
        <v/>
      </c>
      <c r="O1973" s="34" t="n">
        <v>0.00039809</v>
      </c>
      <c r="P1973" s="34">
        <f>IF($J1973=1,LN(1+O1973),"")</f>
        <v/>
      </c>
      <c r="Q1973" s="34">
        <f>IF($J1973=1,LN(R1974/R1973),"")</f>
        <v/>
      </c>
      <c r="R1973" s="32" t="n">
        <v>2.263</v>
      </c>
      <c r="S1973" s="35" t="n">
        <v>11.376</v>
      </c>
      <c r="T1973" s="18" t="n"/>
      <c r="U1973" s="18" t="n">
        <v>50414.92</v>
      </c>
      <c r="V1973" s="18" t="n"/>
      <c r="W1973" s="18" t="n"/>
      <c r="X1973" s="35" t="n">
        <v>11.376</v>
      </c>
      <c r="Y1973" s="35" t="n"/>
    </row>
    <row r="1974">
      <c r="A1974" s="25" t="n">
        <v>41730</v>
      </c>
      <c r="B1974" s="18" t="n">
        <v>50270.37</v>
      </c>
      <c r="C1974" s="31" t="n"/>
      <c r="D1974" s="32" t="n"/>
      <c r="E1974" s="33" t="n">
        <v>0.2071</v>
      </c>
      <c r="F1974" t="inlineStr">
        <is>
          <t>Up</t>
        </is>
      </c>
      <c r="G1974" t="inlineStr">
        <is>
          <t>Up</t>
        </is>
      </c>
      <c r="H1974" t="inlineStr">
        <is>
          <t>EU_JU</t>
        </is>
      </c>
      <c r="I1974" t="inlineStr">
        <is>
          <t>2014-04</t>
        </is>
      </c>
      <c r="J1974" t="n">
        <v>1</v>
      </c>
      <c r="K1974" t="n">
        <v>1</v>
      </c>
      <c r="L1974" s="34">
        <f>IF($J1974=1,LN(B1975/B1974),"")</f>
        <v/>
      </c>
      <c r="M1974" s="34">
        <f>IF($K1974=1,INDEX(Mensal!$D$2:$D$245,MATCH($I1974,Mensal!$A$2:$A$245,0)),"")</f>
        <v/>
      </c>
      <c r="N1974" s="34">
        <f>IF($K1974=1,L1974-M1974,"")</f>
        <v/>
      </c>
      <c r="O1974" s="34" t="n">
        <v>0.00039809</v>
      </c>
      <c r="P1974" s="34">
        <f>IF($J1974=1,LN(1+O1974),"")</f>
        <v/>
      </c>
      <c r="Q1974" s="34">
        <f>IF($J1974=1,LN(R1975/R1974),"")</f>
        <v/>
      </c>
      <c r="R1974" s="32" t="n">
        <v>2.262</v>
      </c>
      <c r="S1974" s="35" t="n">
        <v>11.361</v>
      </c>
      <c r="T1974" s="18" t="n"/>
      <c r="U1974" s="18" t="n">
        <v>50270.37</v>
      </c>
      <c r="V1974" s="18" t="n"/>
      <c r="W1974" s="18" t="n"/>
      <c r="X1974" s="35" t="n">
        <v>11.361</v>
      </c>
      <c r="Y1974" s="35" t="n"/>
    </row>
    <row r="1975">
      <c r="A1975" s="25" t="n">
        <v>41731</v>
      </c>
      <c r="B1975" s="18" t="n">
        <v>51701.05</v>
      </c>
      <c r="C1975" s="31" t="n"/>
      <c r="D1975" s="32" t="n"/>
      <c r="E1975" s="33" t="n">
        <v>0.2165</v>
      </c>
      <c r="F1975" t="inlineStr">
        <is>
          <t>Up</t>
        </is>
      </c>
      <c r="G1975" t="inlineStr">
        <is>
          <t>Up</t>
        </is>
      </c>
      <c r="H1975" t="inlineStr">
        <is>
          <t>EU_JU</t>
        </is>
      </c>
      <c r="I1975" t="inlineStr">
        <is>
          <t>2014-04</t>
        </is>
      </c>
      <c r="J1975" t="n">
        <v>1</v>
      </c>
      <c r="K1975" t="n">
        <v>1</v>
      </c>
      <c r="L1975" s="34">
        <f>IF($J1975=1,LN(B1976/B1975),"")</f>
        <v/>
      </c>
      <c r="M1975" s="34">
        <f>IF($K1975=1,INDEX(Mensal!$D$2:$D$245,MATCH($I1975,Mensal!$A$2:$A$245,0)),"")</f>
        <v/>
      </c>
      <c r="N1975" s="34">
        <f>IF($K1975=1,L1975-M1975,"")</f>
        <v/>
      </c>
      <c r="O1975" s="34" t="n">
        <v>0.00039809</v>
      </c>
      <c r="P1975" s="34">
        <f>IF($J1975=1,LN(1+O1975),"")</f>
        <v/>
      </c>
      <c r="Q1975" s="34">
        <f>IF($J1975=1,LN(R1976/R1975),"")</f>
        <v/>
      </c>
      <c r="R1975" s="32" t="n">
        <v>2.2711</v>
      </c>
      <c r="S1975" s="35" t="n">
        <v>11.364</v>
      </c>
      <c r="T1975" s="18" t="n"/>
      <c r="U1975" s="18" t="n">
        <v>51701.05</v>
      </c>
      <c r="V1975" s="18" t="n"/>
      <c r="W1975" s="18" t="n"/>
      <c r="X1975" s="35" t="n">
        <v>11.364</v>
      </c>
      <c r="Y1975" s="35" t="n"/>
    </row>
    <row r="1976">
      <c r="A1976" s="25" t="n">
        <v>41732</v>
      </c>
      <c r="B1976" s="18" t="n">
        <v>51408.21</v>
      </c>
      <c r="C1976" s="31" t="n"/>
      <c r="D1976" s="32" t="n"/>
      <c r="E1976" s="33" t="n">
        <v>0.2319</v>
      </c>
      <c r="F1976" t="inlineStr">
        <is>
          <t>Up</t>
        </is>
      </c>
      <c r="G1976" t="inlineStr">
        <is>
          <t>Up</t>
        </is>
      </c>
      <c r="H1976" t="inlineStr">
        <is>
          <t>EU_JU</t>
        </is>
      </c>
      <c r="I1976" t="inlineStr">
        <is>
          <t>2014-04</t>
        </is>
      </c>
      <c r="J1976" t="n">
        <v>1</v>
      </c>
      <c r="K1976" t="n">
        <v>1</v>
      </c>
      <c r="L1976" s="34">
        <f>IF($J1976=1,LN(B1977/B1976),"")</f>
        <v/>
      </c>
      <c r="M1976" s="34">
        <f>IF($K1976=1,INDEX(Mensal!$D$2:$D$245,MATCH($I1976,Mensal!$A$2:$A$245,0)),"")</f>
        <v/>
      </c>
      <c r="N1976" s="34">
        <f>IF($K1976=1,L1976-M1976,"")</f>
        <v/>
      </c>
      <c r="O1976" s="34" t="n">
        <v>0.00040705</v>
      </c>
      <c r="P1976" s="34">
        <f>IF($J1976=1,LN(1+O1976),"")</f>
        <v/>
      </c>
      <c r="Q1976" s="34">
        <f>IF($J1976=1,LN(R1977/R1976),"")</f>
        <v/>
      </c>
      <c r="R1976" s="32" t="n">
        <v>2.2811</v>
      </c>
      <c r="S1976" s="35" t="n">
        <v>11.294</v>
      </c>
      <c r="T1976" s="18" t="n"/>
      <c r="U1976" s="18" t="n">
        <v>51408.21</v>
      </c>
      <c r="V1976" s="18" t="n"/>
      <c r="W1976" s="18" t="n"/>
      <c r="X1976" s="35" t="n">
        <v>11.294</v>
      </c>
      <c r="Y1976" s="35" t="n"/>
    </row>
    <row r="1977">
      <c r="A1977" s="25" t="n">
        <v>41733</v>
      </c>
      <c r="B1977" s="18" t="n">
        <v>51081.78</v>
      </c>
      <c r="C1977" s="31" t="n"/>
      <c r="D1977" s="32" t="n"/>
      <c r="E1977" s="33" t="n">
        <v>0.2478</v>
      </c>
      <c r="F1977" t="inlineStr">
        <is>
          <t>Up</t>
        </is>
      </c>
      <c r="G1977" t="inlineStr">
        <is>
          <t>Up</t>
        </is>
      </c>
      <c r="H1977" t="inlineStr">
        <is>
          <t>EU_JU</t>
        </is>
      </c>
      <c r="I1977" t="inlineStr">
        <is>
          <t>2014-04</t>
        </is>
      </c>
      <c r="J1977" t="n">
        <v>1</v>
      </c>
      <c r="K1977" t="n">
        <v>1</v>
      </c>
      <c r="L1977" s="34">
        <f>IF($J1977=1,LN(B1978/B1977),"")</f>
        <v/>
      </c>
      <c r="M1977" s="34">
        <f>IF($K1977=1,INDEX(Mensal!$D$2:$D$245,MATCH($I1977,Mensal!$A$2:$A$245,0)),"")</f>
        <v/>
      </c>
      <c r="N1977" s="34">
        <f>IF($K1977=1,L1977-M1977,"")</f>
        <v/>
      </c>
      <c r="O1977" s="34" t="n">
        <v>0.00040705</v>
      </c>
      <c r="P1977" s="34">
        <f>IF($J1977=1,LN(1+O1977),"")</f>
        <v/>
      </c>
      <c r="Q1977" s="34">
        <f>IF($J1977=1,LN(R1978/R1977),"")</f>
        <v/>
      </c>
      <c r="R1977" s="32" t="n">
        <v>2.242</v>
      </c>
      <c r="S1977" s="35" t="n">
        <v>11.304</v>
      </c>
      <c r="T1977" s="18" t="n"/>
      <c r="U1977" s="18" t="n">
        <v>51081.78</v>
      </c>
      <c r="V1977" s="18" t="n"/>
      <c r="W1977" s="18" t="n"/>
      <c r="X1977" s="35" t="n">
        <v>11.304</v>
      </c>
      <c r="Y1977" s="35" t="n"/>
    </row>
    <row r="1978">
      <c r="A1978" s="25" t="n">
        <v>41736</v>
      </c>
      <c r="B1978" s="18" t="n">
        <v>52155.28</v>
      </c>
      <c r="C1978" s="31" t="n"/>
      <c r="D1978" s="32" t="n"/>
      <c r="E1978" s="33" t="n">
        <v>0.2665</v>
      </c>
      <c r="F1978" t="inlineStr">
        <is>
          <t>Up</t>
        </is>
      </c>
      <c r="G1978" t="inlineStr">
        <is>
          <t>Up</t>
        </is>
      </c>
      <c r="H1978" t="inlineStr">
        <is>
          <t>EU_JU</t>
        </is>
      </c>
      <c r="I1978" t="inlineStr">
        <is>
          <t>2014-04</t>
        </is>
      </c>
      <c r="J1978" t="n">
        <v>1</v>
      </c>
      <c r="K1978" t="n">
        <v>1</v>
      </c>
      <c r="L1978" s="34">
        <f>IF($J1978=1,LN(B1979/B1978),"")</f>
        <v/>
      </c>
      <c r="M1978" s="34">
        <f>IF($K1978=1,INDEX(Mensal!$D$2:$D$245,MATCH($I1978,Mensal!$A$2:$A$245,0)),"")</f>
        <v/>
      </c>
      <c r="N1978" s="34">
        <f>IF($K1978=1,L1978-M1978,"")</f>
        <v/>
      </c>
      <c r="O1978" s="34" t="n">
        <v>0.00040705</v>
      </c>
      <c r="P1978" s="34">
        <f>IF($J1978=1,LN(1+O1978),"")</f>
        <v/>
      </c>
      <c r="Q1978" s="34">
        <f>IF($J1978=1,LN(R1979/R1978),"")</f>
        <v/>
      </c>
      <c r="R1978" s="32" t="n">
        <v>2.2326</v>
      </c>
      <c r="S1978" s="35" t="n">
        <v>11.306</v>
      </c>
      <c r="T1978" s="18" t="n"/>
      <c r="U1978" s="18" t="n">
        <v>52155.28</v>
      </c>
      <c r="V1978" s="18" t="n"/>
      <c r="W1978" s="18" t="n"/>
      <c r="X1978" s="35" t="n">
        <v>11.306</v>
      </c>
      <c r="Y1978" s="35" t="n"/>
    </row>
    <row r="1979">
      <c r="A1979" s="25" t="n">
        <v>41737</v>
      </c>
      <c r="B1979" s="18" t="n">
        <v>51629.07</v>
      </c>
      <c r="C1979" s="31" t="n"/>
      <c r="D1979" s="32" t="n"/>
      <c r="E1979" s="33" t="n">
        <v>0.2826</v>
      </c>
      <c r="F1979" t="inlineStr">
        <is>
          <t>Up</t>
        </is>
      </c>
      <c r="G1979" t="inlineStr">
        <is>
          <t>Up</t>
        </is>
      </c>
      <c r="H1979" t="inlineStr">
        <is>
          <t>EU_JU</t>
        </is>
      </c>
      <c r="I1979" t="inlineStr">
        <is>
          <t>2014-04</t>
        </is>
      </c>
      <c r="J1979" t="n">
        <v>1</v>
      </c>
      <c r="K1979" t="n">
        <v>1</v>
      </c>
      <c r="L1979" s="34">
        <f>IF($J1979=1,LN(B1980/B1979),"")</f>
        <v/>
      </c>
      <c r="M1979" s="34">
        <f>IF($K1979=1,INDEX(Mensal!$D$2:$D$245,MATCH($I1979,Mensal!$A$2:$A$245,0)),"")</f>
        <v/>
      </c>
      <c r="N1979" s="34">
        <f>IF($K1979=1,L1979-M1979,"")</f>
        <v/>
      </c>
      <c r="O1979" s="34" t="n">
        <v>0.00040705</v>
      </c>
      <c r="P1979" s="34">
        <f>IF($J1979=1,LN(1+O1979),"")</f>
        <v/>
      </c>
      <c r="Q1979" s="34">
        <f>IF($J1979=1,LN(R1980/R1979),"")</f>
        <v/>
      </c>
      <c r="R1979" s="32" t="n">
        <v>2.1974</v>
      </c>
      <c r="S1979" s="35" t="n">
        <v>11.311</v>
      </c>
      <c r="T1979" s="18" t="n"/>
      <c r="U1979" s="18" t="n">
        <v>51629.07</v>
      </c>
      <c r="V1979" s="18" t="n"/>
      <c r="W1979" s="18" t="n"/>
      <c r="X1979" s="35" t="n">
        <v>11.311</v>
      </c>
      <c r="Y1979" s="35" t="n"/>
    </row>
    <row r="1980">
      <c r="A1980" s="25" t="n">
        <v>41738</v>
      </c>
      <c r="B1980" s="18" t="n">
        <v>51185.4</v>
      </c>
      <c r="C1980" s="31" t="n"/>
      <c r="D1980" s="32" t="n"/>
      <c r="E1980" s="33" t="n">
        <v>0.3032</v>
      </c>
      <c r="F1980" t="inlineStr">
        <is>
          <t>Up</t>
        </is>
      </c>
      <c r="G1980" t="inlineStr">
        <is>
          <t>Up</t>
        </is>
      </c>
      <c r="H1980" t="inlineStr">
        <is>
          <t>EU_JU</t>
        </is>
      </c>
      <c r="I1980" t="inlineStr">
        <is>
          <t>2014-04</t>
        </is>
      </c>
      <c r="J1980" t="n">
        <v>1</v>
      </c>
      <c r="K1980" t="n">
        <v>1</v>
      </c>
      <c r="L1980" s="34">
        <f>IF($J1980=1,LN(B1981/B1980),"")</f>
        <v/>
      </c>
      <c r="M1980" s="34">
        <f>IF($K1980=1,INDEX(Mensal!$D$2:$D$245,MATCH($I1980,Mensal!$A$2:$A$245,0)),"")</f>
        <v/>
      </c>
      <c r="N1980" s="34">
        <f>IF($K1980=1,L1980-M1980,"")</f>
        <v/>
      </c>
      <c r="O1980" s="34" t="n">
        <v>0.00040705</v>
      </c>
      <c r="P1980" s="34">
        <f>IF($J1980=1,LN(1+O1980),"")</f>
        <v/>
      </c>
      <c r="Q1980" s="34">
        <f>IF($J1980=1,LN(R1981/R1980),"")</f>
        <v/>
      </c>
      <c r="R1980" s="32" t="n">
        <v>2.2111</v>
      </c>
      <c r="S1980" s="35" t="n">
        <v>11.361</v>
      </c>
      <c r="T1980" s="18" t="n"/>
      <c r="U1980" s="18" t="n">
        <v>51185.4</v>
      </c>
      <c r="V1980" s="18" t="n"/>
      <c r="W1980" s="18" t="n"/>
      <c r="X1980" s="35" t="n">
        <v>11.361</v>
      </c>
      <c r="Y1980" s="35" t="n"/>
    </row>
    <row r="1981">
      <c r="A1981" s="25" t="n">
        <v>41739</v>
      </c>
      <c r="B1981" s="18" t="n">
        <v>51127.48</v>
      </c>
      <c r="C1981" s="31" t="n"/>
      <c r="D1981" s="32" t="n"/>
      <c r="E1981" s="33" t="n">
        <v>0.3258</v>
      </c>
      <c r="F1981" t="inlineStr">
        <is>
          <t>Up</t>
        </is>
      </c>
      <c r="G1981" t="inlineStr">
        <is>
          <t>Up</t>
        </is>
      </c>
      <c r="H1981" t="inlineStr">
        <is>
          <t>EU_JU</t>
        </is>
      </c>
      <c r="I1981" t="inlineStr">
        <is>
          <t>2014-04</t>
        </is>
      </c>
      <c r="J1981" t="n">
        <v>1</v>
      </c>
      <c r="K1981" t="n">
        <v>1</v>
      </c>
      <c r="L1981" s="34">
        <f>IF($J1981=1,LN(B1982/B1981),"")</f>
        <v/>
      </c>
      <c r="M1981" s="34">
        <f>IF($K1981=1,INDEX(Mensal!$D$2:$D$245,MATCH($I1981,Mensal!$A$2:$A$245,0)),"")</f>
        <v/>
      </c>
      <c r="N1981" s="34">
        <f>IF($K1981=1,L1981-M1981,"")</f>
        <v/>
      </c>
      <c r="O1981" s="34" t="n">
        <v>0.00040705</v>
      </c>
      <c r="P1981" s="34">
        <f>IF($J1981=1,LN(1+O1981),"")</f>
        <v/>
      </c>
      <c r="Q1981" s="34">
        <f>IF($J1981=1,LN(R1982/R1981),"")</f>
        <v/>
      </c>
      <c r="R1981" s="32" t="n">
        <v>2.1987</v>
      </c>
      <c r="S1981" s="35" t="n">
        <v>11.321</v>
      </c>
      <c r="T1981" s="18" t="n"/>
      <c r="U1981" s="18" t="n">
        <v>51127.48</v>
      </c>
      <c r="V1981" s="18" t="n"/>
      <c r="W1981" s="18" t="n"/>
      <c r="X1981" s="35" t="n">
        <v>11.321</v>
      </c>
      <c r="Y1981" s="35" t="n"/>
    </row>
    <row r="1982">
      <c r="A1982" s="25" t="n">
        <v>41740</v>
      </c>
      <c r="B1982" s="18" t="n">
        <v>51867.29</v>
      </c>
      <c r="C1982" s="31" t="n"/>
      <c r="D1982" s="32" t="n"/>
      <c r="E1982" s="33" t="n">
        <v>0.3396</v>
      </c>
      <c r="F1982" t="inlineStr">
        <is>
          <t>Up</t>
        </is>
      </c>
      <c r="G1982" t="inlineStr">
        <is>
          <t>Up</t>
        </is>
      </c>
      <c r="H1982" t="inlineStr">
        <is>
          <t>EU_JU</t>
        </is>
      </c>
      <c r="I1982" t="inlineStr">
        <is>
          <t>2014-04</t>
        </is>
      </c>
      <c r="J1982" t="n">
        <v>1</v>
      </c>
      <c r="K1982" t="n">
        <v>1</v>
      </c>
      <c r="L1982" s="34">
        <f>IF($J1982=1,LN(B1983/B1982),"")</f>
        <v/>
      </c>
      <c r="M1982" s="34">
        <f>IF($K1982=1,INDEX(Mensal!$D$2:$D$245,MATCH($I1982,Mensal!$A$2:$A$245,0)),"")</f>
        <v/>
      </c>
      <c r="N1982" s="34">
        <f>IF($K1982=1,L1982-M1982,"")</f>
        <v/>
      </c>
      <c r="O1982" s="34" t="n">
        <v>0.00040705</v>
      </c>
      <c r="P1982" s="34">
        <f>IF($J1982=1,LN(1+O1982),"")</f>
        <v/>
      </c>
      <c r="Q1982" s="34">
        <f>IF($J1982=1,LN(R1983/R1982),"")</f>
        <v/>
      </c>
      <c r="R1982" s="32" t="n">
        <v>2.2059</v>
      </c>
      <c r="S1982" s="35" t="n">
        <v>11.342</v>
      </c>
      <c r="T1982" s="18" t="n"/>
      <c r="U1982" s="18" t="n">
        <v>51867.29</v>
      </c>
      <c r="V1982" s="18" t="n"/>
      <c r="W1982" s="18" t="n"/>
      <c r="X1982" s="35" t="n">
        <v>11.342</v>
      </c>
      <c r="Y1982" s="35" t="n"/>
    </row>
    <row r="1983">
      <c r="A1983" s="25" t="n">
        <v>41743</v>
      </c>
      <c r="B1983" s="18" t="n">
        <v>51596.55</v>
      </c>
      <c r="C1983" s="31" t="n"/>
      <c r="D1983" s="32" t="n"/>
      <c r="E1983" s="33" t="n">
        <v>0.3543</v>
      </c>
      <c r="F1983" t="inlineStr">
        <is>
          <t>Up</t>
        </is>
      </c>
      <c r="G1983" t="inlineStr">
        <is>
          <t>Up</t>
        </is>
      </c>
      <c r="H1983" t="inlineStr">
        <is>
          <t>EU_JU</t>
        </is>
      </c>
      <c r="I1983" t="inlineStr">
        <is>
          <t>2014-04</t>
        </is>
      </c>
      <c r="J1983" t="n">
        <v>1</v>
      </c>
      <c r="K1983" t="n">
        <v>1</v>
      </c>
      <c r="L1983" s="34">
        <f>IF($J1983=1,LN(B1984/B1983),"")</f>
        <v/>
      </c>
      <c r="M1983" s="34">
        <f>IF($K1983=1,INDEX(Mensal!$D$2:$D$245,MATCH($I1983,Mensal!$A$2:$A$245,0)),"")</f>
        <v/>
      </c>
      <c r="N1983" s="34">
        <f>IF($K1983=1,L1983-M1983,"")</f>
        <v/>
      </c>
      <c r="O1983" s="34" t="n">
        <v>0.00040705</v>
      </c>
      <c r="P1983" s="34">
        <f>IF($J1983=1,LN(1+O1983),"")</f>
        <v/>
      </c>
      <c r="Q1983" s="34">
        <f>IF($J1983=1,LN(R1984/R1983),"")</f>
        <v/>
      </c>
      <c r="R1983" s="32" t="n">
        <v>2.2096</v>
      </c>
      <c r="S1983" s="35" t="n">
        <v>11.382</v>
      </c>
      <c r="T1983" s="18" t="n"/>
      <c r="U1983" s="18" t="n">
        <v>51596.55</v>
      </c>
      <c r="V1983" s="18" t="n"/>
      <c r="W1983" s="18" t="n"/>
      <c r="X1983" s="35" t="n">
        <v>11.382</v>
      </c>
      <c r="Y1983" s="35" t="n"/>
    </row>
    <row r="1984">
      <c r="A1984" s="25" t="n">
        <v>41744</v>
      </c>
      <c r="B1984" s="18" t="n">
        <v>50454.35</v>
      </c>
      <c r="C1984" s="31" t="n"/>
      <c r="D1984" s="32" t="n"/>
      <c r="E1984" s="33" t="n">
        <v>0.3704</v>
      </c>
      <c r="F1984" t="inlineStr">
        <is>
          <t>Up</t>
        </is>
      </c>
      <c r="G1984" t="inlineStr">
        <is>
          <t>Up</t>
        </is>
      </c>
      <c r="H1984" t="inlineStr">
        <is>
          <t>EU_JU</t>
        </is>
      </c>
      <c r="I1984" t="inlineStr">
        <is>
          <t>2014-04</t>
        </is>
      </c>
      <c r="J1984" t="n">
        <v>1</v>
      </c>
      <c r="K1984" t="n">
        <v>1</v>
      </c>
      <c r="L1984" s="34">
        <f>IF($J1984=1,LN(B1985/B1984),"")</f>
        <v/>
      </c>
      <c r="M1984" s="34">
        <f>IF($K1984=1,INDEX(Mensal!$D$2:$D$245,MATCH($I1984,Mensal!$A$2:$A$245,0)),"")</f>
        <v/>
      </c>
      <c r="N1984" s="34">
        <f>IF($K1984=1,L1984-M1984,"")</f>
        <v/>
      </c>
      <c r="O1984" s="34" t="n">
        <v>0.00040705</v>
      </c>
      <c r="P1984" s="34">
        <f>IF($J1984=1,LN(1+O1984),"")</f>
        <v/>
      </c>
      <c r="Q1984" s="34">
        <f>IF($J1984=1,LN(R1985/R1984),"")</f>
        <v/>
      </c>
      <c r="R1984" s="32" t="n">
        <v>2.2257</v>
      </c>
      <c r="S1984" s="35" t="n">
        <v>11.367</v>
      </c>
      <c r="T1984" s="18" t="n"/>
      <c r="U1984" s="18" t="n">
        <v>50454.35</v>
      </c>
      <c r="V1984" s="18" t="n"/>
      <c r="W1984" s="18" t="n"/>
      <c r="X1984" s="35" t="n">
        <v>11.367</v>
      </c>
      <c r="Y1984" s="35" t="n"/>
    </row>
    <row r="1985">
      <c r="A1985" s="25" t="n">
        <v>41745</v>
      </c>
      <c r="B1985" s="18" t="n">
        <v>51200.56</v>
      </c>
      <c r="C1985" s="31" t="n"/>
      <c r="D1985" s="32" t="n"/>
      <c r="E1985" s="33" t="n">
        <v>0.3818</v>
      </c>
      <c r="F1985" t="inlineStr">
        <is>
          <t>Up</t>
        </is>
      </c>
      <c r="G1985" t="inlineStr">
        <is>
          <t>Up</t>
        </is>
      </c>
      <c r="H1985" t="inlineStr">
        <is>
          <t>EU_JU</t>
        </is>
      </c>
      <c r="I1985" t="inlineStr">
        <is>
          <t>2014-04</t>
        </is>
      </c>
      <c r="J1985" t="n">
        <v>1</v>
      </c>
      <c r="K1985" t="n">
        <v>1</v>
      </c>
      <c r="L1985" s="34">
        <f>IF($J1985=1,LN(B1986/B1985),"")</f>
        <v/>
      </c>
      <c r="M1985" s="34">
        <f>IF($K1985=1,INDEX(Mensal!$D$2:$D$245,MATCH($I1985,Mensal!$A$2:$A$245,0)),"")</f>
        <v/>
      </c>
      <c r="N1985" s="34">
        <f>IF($K1985=1,L1985-M1985,"")</f>
        <v/>
      </c>
      <c r="O1985" s="34" t="n">
        <v>0.00040705</v>
      </c>
      <c r="P1985" s="34">
        <f>IF($J1985=1,LN(1+O1985),"")</f>
        <v/>
      </c>
      <c r="Q1985" s="34">
        <f>IF($J1985=1,LN(R1986/R1985),"")</f>
        <v/>
      </c>
      <c r="R1985" s="32" t="n">
        <v>2.2342</v>
      </c>
      <c r="S1985" s="35" t="n">
        <v>11.363</v>
      </c>
      <c r="T1985" s="18" t="n"/>
      <c r="U1985" s="18" t="n">
        <v>51200.56</v>
      </c>
      <c r="V1985" s="18" t="n"/>
      <c r="W1985" s="18" t="n"/>
      <c r="X1985" s="35" t="n">
        <v>11.363</v>
      </c>
      <c r="Y1985" s="35" t="n"/>
    </row>
    <row r="1986">
      <c r="A1986" s="25" t="n">
        <v>41746</v>
      </c>
      <c r="B1986" s="18" t="n">
        <v>52111.85</v>
      </c>
      <c r="C1986" s="31" t="n"/>
      <c r="D1986" s="32" t="n"/>
      <c r="E1986" s="33" t="n">
        <v>0.3907</v>
      </c>
      <c r="F1986" t="inlineStr">
        <is>
          <t>Up</t>
        </is>
      </c>
      <c r="G1986" t="inlineStr">
        <is>
          <t>Up</t>
        </is>
      </c>
      <c r="H1986" t="inlineStr">
        <is>
          <t>EU_JU</t>
        </is>
      </c>
      <c r="I1986" t="inlineStr">
        <is>
          <t>2014-04</t>
        </is>
      </c>
      <c r="J1986" t="n">
        <v>1</v>
      </c>
      <c r="K1986" t="n">
        <v>1</v>
      </c>
      <c r="L1986" s="34">
        <f>IF($J1986=1,LN(B1987/B1986),"")</f>
        <v/>
      </c>
      <c r="M1986" s="34">
        <f>IF($K1986=1,INDEX(Mensal!$D$2:$D$245,MATCH($I1986,Mensal!$A$2:$A$245,0)),"")</f>
        <v/>
      </c>
      <c r="N1986" s="34">
        <f>IF($K1986=1,L1986-M1986,"")</f>
        <v/>
      </c>
      <c r="O1986" s="34" t="n">
        <v>0.00040705</v>
      </c>
      <c r="P1986" s="34">
        <f>IF($J1986=1,LN(1+O1986),"")</f>
        <v/>
      </c>
      <c r="Q1986" s="34">
        <f>IF($J1986=1,LN(R1987/R1986),"")</f>
        <v/>
      </c>
      <c r="R1986" s="32" t="n">
        <v>2.2482</v>
      </c>
      <c r="S1986" s="35" t="n">
        <v>11.3</v>
      </c>
      <c r="T1986" s="18" t="n"/>
      <c r="U1986" s="18" t="n">
        <v>52111.85</v>
      </c>
      <c r="V1986" s="18" t="n"/>
      <c r="W1986" s="18" t="n"/>
      <c r="X1986" s="35" t="n">
        <v>11.3</v>
      </c>
      <c r="Y1986" s="35" t="n"/>
    </row>
    <row r="1987">
      <c r="A1987" s="25" t="n">
        <v>41751</v>
      </c>
      <c r="B1987" s="18" t="n">
        <v>51976.86</v>
      </c>
      <c r="C1987" s="31" t="n"/>
      <c r="D1987" s="32" t="n"/>
      <c r="E1987" s="33" t="n">
        <v>0.4011</v>
      </c>
      <c r="F1987" t="inlineStr">
        <is>
          <t>Up</t>
        </is>
      </c>
      <c r="G1987" t="inlineStr">
        <is>
          <t>Up</t>
        </is>
      </c>
      <c r="H1987" t="inlineStr">
        <is>
          <t>EU_JU</t>
        </is>
      </c>
      <c r="I1987" t="inlineStr">
        <is>
          <t>2014-04</t>
        </is>
      </c>
      <c r="J1987" t="n">
        <v>1</v>
      </c>
      <c r="K1987" t="n">
        <v>1</v>
      </c>
      <c r="L1987" s="34">
        <f>IF($J1987=1,LN(B1988/B1987),"")</f>
        <v/>
      </c>
      <c r="M1987" s="34">
        <f>IF($K1987=1,INDEX(Mensal!$D$2:$D$245,MATCH($I1987,Mensal!$A$2:$A$245,0)),"")</f>
        <v/>
      </c>
      <c r="N1987" s="34">
        <f>IF($K1987=1,L1987-M1987,"")</f>
        <v/>
      </c>
      <c r="O1987" s="34" t="n">
        <v>0.00040705</v>
      </c>
      <c r="P1987" s="34">
        <f>IF($J1987=1,LN(1+O1987),"")</f>
        <v/>
      </c>
      <c r="Q1987" s="34">
        <f>IF($J1987=1,LN(R1988/R1987),"")</f>
        <v/>
      </c>
      <c r="R1987" s="32" t="n">
        <v>2.2449</v>
      </c>
      <c r="S1987" s="35" t="n">
        <v>11.325</v>
      </c>
      <c r="T1987" s="18" t="n"/>
      <c r="U1987" s="18" t="n">
        <v>51976.86</v>
      </c>
      <c r="V1987" s="18" t="n"/>
      <c r="W1987" s="18" t="n"/>
      <c r="X1987" s="35" t="n">
        <v>11.325</v>
      </c>
      <c r="Y1987" s="35" t="n"/>
    </row>
    <row r="1988">
      <c r="A1988" s="25" t="n">
        <v>41752</v>
      </c>
      <c r="B1988" s="18" t="n">
        <v>51569.69</v>
      </c>
      <c r="C1988" s="31" t="n"/>
      <c r="D1988" s="32" t="n"/>
      <c r="E1988" s="33" t="n">
        <v>0.4154</v>
      </c>
      <c r="F1988" t="inlineStr">
        <is>
          <t>Up</t>
        </is>
      </c>
      <c r="G1988" t="inlineStr">
        <is>
          <t>Up</t>
        </is>
      </c>
      <c r="H1988" t="inlineStr">
        <is>
          <t>EU_JU</t>
        </is>
      </c>
      <c r="I1988" t="inlineStr">
        <is>
          <t>2014-04</t>
        </is>
      </c>
      <c r="J1988" t="n">
        <v>1</v>
      </c>
      <c r="K1988" t="n">
        <v>1</v>
      </c>
      <c r="L1988" s="34">
        <f>IF($J1988=1,LN(B1989/B1988),"")</f>
        <v/>
      </c>
      <c r="M1988" s="34">
        <f>IF($K1988=1,INDEX(Mensal!$D$2:$D$245,MATCH($I1988,Mensal!$A$2:$A$245,0)),"")</f>
        <v/>
      </c>
      <c r="N1988" s="34">
        <f>IF($K1988=1,L1988-M1988,"")</f>
        <v/>
      </c>
      <c r="O1988" s="34" t="n">
        <v>0.00040705</v>
      </c>
      <c r="P1988" s="34">
        <f>IF($J1988=1,LN(1+O1988),"")</f>
        <v/>
      </c>
      <c r="Q1988" s="34">
        <f>IF($J1988=1,LN(R1989/R1988),"")</f>
        <v/>
      </c>
      <c r="R1988" s="32" t="n">
        <v>2.2426</v>
      </c>
      <c r="S1988" s="35" t="n">
        <v>11.288</v>
      </c>
      <c r="T1988" s="18" t="n"/>
      <c r="U1988" s="18" t="n">
        <v>51569.69</v>
      </c>
      <c r="V1988" s="18" t="n"/>
      <c r="W1988" s="18" t="n"/>
      <c r="X1988" s="35" t="n">
        <v>11.288</v>
      </c>
      <c r="Y1988" s="35" t="n"/>
    </row>
    <row r="1989">
      <c r="A1989" s="25" t="n">
        <v>41753</v>
      </c>
      <c r="B1989" s="18" t="n">
        <v>51817.45</v>
      </c>
      <c r="C1989" s="31" t="n"/>
      <c r="D1989" s="32" t="n"/>
      <c r="E1989" s="33" t="n">
        <v>0.4256</v>
      </c>
      <c r="F1989" t="inlineStr">
        <is>
          <t>Up</t>
        </is>
      </c>
      <c r="G1989" t="inlineStr">
        <is>
          <t>Up</t>
        </is>
      </c>
      <c r="H1989" t="inlineStr">
        <is>
          <t>EU_JU</t>
        </is>
      </c>
      <c r="I1989" t="inlineStr">
        <is>
          <t>2014-04</t>
        </is>
      </c>
      <c r="J1989" t="n">
        <v>1</v>
      </c>
      <c r="K1989" t="n">
        <v>1</v>
      </c>
      <c r="L1989" s="34">
        <f>IF($J1989=1,LN(B1990/B1989),"")</f>
        <v/>
      </c>
      <c r="M1989" s="34">
        <f>IF($K1989=1,INDEX(Mensal!$D$2:$D$245,MATCH($I1989,Mensal!$A$2:$A$245,0)),"")</f>
        <v/>
      </c>
      <c r="N1989" s="34">
        <f>IF($K1989=1,L1989-M1989,"")</f>
        <v/>
      </c>
      <c r="O1989" s="34" t="n">
        <v>0.00040705</v>
      </c>
      <c r="P1989" s="34">
        <f>IF($J1989=1,LN(1+O1989),"")</f>
        <v/>
      </c>
      <c r="Q1989" s="34">
        <f>IF($J1989=1,LN(R1990/R1989),"")</f>
        <v/>
      </c>
      <c r="R1989" s="32" t="n">
        <v>2.2229</v>
      </c>
      <c r="S1989" s="35" t="n">
        <v>11.301</v>
      </c>
      <c r="T1989" s="18" t="n"/>
      <c r="U1989" s="18" t="n">
        <v>51817.45</v>
      </c>
      <c r="V1989" s="18" t="n"/>
      <c r="W1989" s="18" t="n"/>
      <c r="X1989" s="35" t="n">
        <v>11.301</v>
      </c>
      <c r="Y1989" s="35" t="n"/>
    </row>
    <row r="1990">
      <c r="A1990" s="25" t="n">
        <v>41754</v>
      </c>
      <c r="B1990" s="18" t="n">
        <v>51399.35</v>
      </c>
      <c r="C1990" s="31" t="n"/>
      <c r="D1990" s="32" t="n"/>
      <c r="E1990" s="33" t="n">
        <v>0.4436</v>
      </c>
      <c r="F1990" t="inlineStr">
        <is>
          <t>Up</t>
        </is>
      </c>
      <c r="G1990" t="inlineStr">
        <is>
          <t>Up</t>
        </is>
      </c>
      <c r="H1990" t="inlineStr">
        <is>
          <t>EU_JU</t>
        </is>
      </c>
      <c r="I1990" t="inlineStr">
        <is>
          <t>2014-04</t>
        </is>
      </c>
      <c r="J1990" t="n">
        <v>1</v>
      </c>
      <c r="K1990" t="n">
        <v>1</v>
      </c>
      <c r="L1990" s="34">
        <f>IF($J1990=1,LN(B1991/B1990),"")</f>
        <v/>
      </c>
      <c r="M1990" s="34">
        <f>IF($K1990=1,INDEX(Mensal!$D$2:$D$245,MATCH($I1990,Mensal!$A$2:$A$245,0)),"")</f>
        <v/>
      </c>
      <c r="N1990" s="34">
        <f>IF($K1990=1,L1990-M1990,"")</f>
        <v/>
      </c>
      <c r="O1990" s="34" t="n">
        <v>0.00040705</v>
      </c>
      <c r="P1990" s="34">
        <f>IF($J1990=1,LN(1+O1990),"")</f>
        <v/>
      </c>
      <c r="Q1990" s="34">
        <f>IF($J1990=1,LN(R1991/R1990),"")</f>
        <v/>
      </c>
      <c r="R1990" s="32" t="n">
        <v>2.2325</v>
      </c>
      <c r="S1990" s="35" t="n">
        <v>11.314</v>
      </c>
      <c r="T1990" s="18" t="n"/>
      <c r="U1990" s="18" t="n">
        <v>51399.35</v>
      </c>
      <c r="V1990" s="18" t="n"/>
      <c r="W1990" s="18" t="n"/>
      <c r="X1990" s="35" t="n">
        <v>11.314</v>
      </c>
      <c r="Y1990" s="35" t="n"/>
    </row>
    <row r="1991">
      <c r="A1991" s="25" t="n">
        <v>41757</v>
      </c>
      <c r="B1991" s="18" t="n">
        <v>51383.68</v>
      </c>
      <c r="C1991" s="31" t="n"/>
      <c r="D1991" s="32" t="n"/>
      <c r="E1991" s="33" t="n">
        <v>0.4614</v>
      </c>
      <c r="F1991" t="inlineStr">
        <is>
          <t>Up</t>
        </is>
      </c>
      <c r="G1991" t="inlineStr">
        <is>
          <t>Up</t>
        </is>
      </c>
      <c r="H1991" t="inlineStr">
        <is>
          <t>EU_JU</t>
        </is>
      </c>
      <c r="I1991" t="inlineStr">
        <is>
          <t>2014-04</t>
        </is>
      </c>
      <c r="J1991" t="n">
        <v>1</v>
      </c>
      <c r="K1991" t="n">
        <v>1</v>
      </c>
      <c r="L1991" s="34">
        <f>IF($J1991=1,LN(B1992/B1991),"")</f>
        <v/>
      </c>
      <c r="M1991" s="34">
        <f>IF($K1991=1,INDEX(Mensal!$D$2:$D$245,MATCH($I1991,Mensal!$A$2:$A$245,0)),"")</f>
        <v/>
      </c>
      <c r="N1991" s="34">
        <f>IF($K1991=1,L1991-M1991,"")</f>
        <v/>
      </c>
      <c r="O1991" s="34" t="n">
        <v>0.00040705</v>
      </c>
      <c r="P1991" s="34">
        <f>IF($J1991=1,LN(1+O1991),"")</f>
        <v/>
      </c>
      <c r="Q1991" s="34">
        <f>IF($J1991=1,LN(R1992/R1991),"")</f>
        <v/>
      </c>
      <c r="R1991" s="32" t="n">
        <v>2.237</v>
      </c>
      <c r="S1991" s="35" t="n">
        <v>11.324</v>
      </c>
      <c r="T1991" s="18" t="n"/>
      <c r="U1991" s="18" t="n">
        <v>51383.68</v>
      </c>
      <c r="V1991" s="18" t="n"/>
      <c r="W1991" s="18" t="n"/>
      <c r="X1991" s="35" t="n">
        <v>11.324</v>
      </c>
      <c r="Y1991" s="35" t="n"/>
    </row>
    <row r="1992">
      <c r="A1992" s="25" t="n">
        <v>41758</v>
      </c>
      <c r="B1992" s="18" t="n">
        <v>51838.61</v>
      </c>
      <c r="C1992" s="31" t="n"/>
      <c r="D1992" s="32" t="n"/>
      <c r="E1992" s="33" t="n">
        <v>0.4791</v>
      </c>
      <c r="F1992" t="inlineStr">
        <is>
          <t>Up</t>
        </is>
      </c>
      <c r="G1992" t="inlineStr">
        <is>
          <t>Up</t>
        </is>
      </c>
      <c r="H1992" t="inlineStr">
        <is>
          <t>EU_JU</t>
        </is>
      </c>
      <c r="I1992" t="inlineStr">
        <is>
          <t>2014-04</t>
        </is>
      </c>
      <c r="J1992" t="n">
        <v>1</v>
      </c>
      <c r="K1992" t="n">
        <v>1</v>
      </c>
      <c r="L1992" s="34">
        <f>IF($J1992=1,LN(B1993/B1992),"")</f>
        <v/>
      </c>
      <c r="M1992" s="34">
        <f>IF($K1992=1,INDEX(Mensal!$D$2:$D$245,MATCH($I1992,Mensal!$A$2:$A$245,0)),"")</f>
        <v/>
      </c>
      <c r="N1992" s="34">
        <f>IF($K1992=1,L1992-M1992,"")</f>
        <v/>
      </c>
      <c r="O1992" s="34" t="n">
        <v>0.00040705</v>
      </c>
      <c r="P1992" s="34">
        <f>IF($J1992=1,LN(1+O1992),"")</f>
        <v/>
      </c>
      <c r="Q1992" s="34">
        <f>IF($J1992=1,LN(R1993/R1992),"")</f>
        <v/>
      </c>
      <c r="R1992" s="32" t="n">
        <v>2.2199</v>
      </c>
      <c r="S1992" s="35" t="n">
        <v>11.334</v>
      </c>
      <c r="T1992" s="18" t="n"/>
      <c r="U1992" s="18" t="n">
        <v>51838.61</v>
      </c>
      <c r="V1992" s="18" t="n"/>
      <c r="W1992" s="18" t="n"/>
      <c r="X1992" s="35" t="n">
        <v>11.334</v>
      </c>
      <c r="Y1992" s="35" t="n"/>
    </row>
    <row r="1993">
      <c r="A1993" s="25" t="n">
        <v>41759</v>
      </c>
      <c r="B1993" s="18" t="n">
        <v>51626.69</v>
      </c>
      <c r="C1993" s="31" t="n"/>
      <c r="D1993" s="32" t="n"/>
      <c r="E1993" s="33" t="n">
        <v>0.496</v>
      </c>
      <c r="F1993" t="inlineStr">
        <is>
          <t>Up</t>
        </is>
      </c>
      <c r="G1993" t="inlineStr">
        <is>
          <t>Up</t>
        </is>
      </c>
      <c r="H1993" t="inlineStr">
        <is>
          <t>EU_JU</t>
        </is>
      </c>
      <c r="I1993" t="inlineStr">
        <is>
          <t>2014-04</t>
        </is>
      </c>
      <c r="J1993" t="n">
        <v>1</v>
      </c>
      <c r="K1993" t="n">
        <v>1</v>
      </c>
      <c r="L1993" s="34">
        <f>IF($J1993=1,LN(B1994/B1993),"")</f>
        <v/>
      </c>
      <c r="M1993" s="34">
        <f>IF($K1993=1,INDEX(Mensal!$D$2:$D$245,MATCH($I1993,Mensal!$A$2:$A$245,0)),"")</f>
        <v/>
      </c>
      <c r="N1993" s="34">
        <f>IF($K1993=1,L1993-M1993,"")</f>
        <v/>
      </c>
      <c r="O1993" s="34" t="n">
        <v>0.00040705</v>
      </c>
      <c r="P1993" s="34">
        <f>IF($J1993=1,LN(1+O1993),"")</f>
        <v/>
      </c>
      <c r="Q1993" s="34">
        <f>IF($J1993=1,LN(R1994/R1993),"")</f>
        <v/>
      </c>
      <c r="R1993" s="32" t="n">
        <v>2.236</v>
      </c>
      <c r="S1993" s="35" t="n">
        <v>11.333</v>
      </c>
      <c r="T1993" s="18" t="n"/>
      <c r="U1993" s="18" t="n">
        <v>51626.69</v>
      </c>
      <c r="V1993" s="18" t="n"/>
      <c r="W1993" s="18" t="n"/>
      <c r="X1993" s="35" t="n">
        <v>11.333</v>
      </c>
      <c r="Y1993" s="35" t="n"/>
    </row>
    <row r="1994">
      <c r="A1994" s="25" t="n">
        <v>41761</v>
      </c>
      <c r="B1994" s="18" t="n">
        <v>52980.31</v>
      </c>
      <c r="C1994" s="31" t="n"/>
      <c r="D1994" s="32" t="n"/>
      <c r="E1994" s="33" t="n">
        <v>0.5117</v>
      </c>
      <c r="F1994" t="inlineStr">
        <is>
          <t>Up</t>
        </is>
      </c>
      <c r="G1994" t="inlineStr">
        <is>
          <t>Up</t>
        </is>
      </c>
      <c r="H1994" t="inlineStr">
        <is>
          <t>EU_JU</t>
        </is>
      </c>
      <c r="I1994" t="inlineStr">
        <is>
          <t>2014-05</t>
        </is>
      </c>
      <c r="J1994" t="n">
        <v>1</v>
      </c>
      <c r="K1994" t="n">
        <v>1</v>
      </c>
      <c r="L1994" s="34">
        <f>IF($J1994=1,LN(B1995/B1994),"")</f>
        <v/>
      </c>
      <c r="M1994" s="34">
        <f>IF($K1994=1,INDEX(Mensal!$D$2:$D$245,MATCH($I1994,Mensal!$A$2:$A$245,0)),"")</f>
        <v/>
      </c>
      <c r="N1994" s="34">
        <f>IF($K1994=1,L1994-M1994,"")</f>
        <v/>
      </c>
      <c r="O1994" s="34" t="n">
        <v>0.00040705</v>
      </c>
      <c r="P1994" s="34">
        <f>IF($J1994=1,LN(1+O1994),"")</f>
        <v/>
      </c>
      <c r="Q1994" s="34">
        <f>IF($J1994=1,LN(R1995/R1994),"")</f>
        <v/>
      </c>
      <c r="R1994" s="32" t="n">
        <v>2.2221</v>
      </c>
      <c r="S1994" s="35" t="n">
        <v>11.304</v>
      </c>
      <c r="T1994" s="18" t="n"/>
      <c r="U1994" s="18" t="n">
        <v>52980.31</v>
      </c>
      <c r="V1994" s="18" t="n"/>
      <c r="W1994" s="18" t="n"/>
      <c r="X1994" s="35" t="n">
        <v>11.304</v>
      </c>
      <c r="Y1994" s="35" t="n"/>
    </row>
    <row r="1995">
      <c r="A1995" s="25" t="n">
        <v>41764</v>
      </c>
      <c r="B1995" s="18" t="n">
        <v>53446.17</v>
      </c>
      <c r="C1995" s="31" t="n"/>
      <c r="D1995" s="32" t="n"/>
      <c r="E1995" s="33" t="n">
        <v>0.5173</v>
      </c>
      <c r="F1995" t="inlineStr">
        <is>
          <t>Up</t>
        </is>
      </c>
      <c r="G1995" t="inlineStr">
        <is>
          <t>Up</t>
        </is>
      </c>
      <c r="H1995" t="inlineStr">
        <is>
          <t>EU_JU</t>
        </is>
      </c>
      <c r="I1995" t="inlineStr">
        <is>
          <t>2014-05</t>
        </is>
      </c>
      <c r="J1995" t="n">
        <v>1</v>
      </c>
      <c r="K1995" t="n">
        <v>1</v>
      </c>
      <c r="L1995" s="34">
        <f>IF($J1995=1,LN(B1996/B1995),"")</f>
        <v/>
      </c>
      <c r="M1995" s="34">
        <f>IF($K1995=1,INDEX(Mensal!$D$2:$D$245,MATCH($I1995,Mensal!$A$2:$A$245,0)),"")</f>
        <v/>
      </c>
      <c r="N1995" s="34">
        <f>IF($K1995=1,L1995-M1995,"")</f>
        <v/>
      </c>
      <c r="O1995" s="34" t="n">
        <v>0.00040705</v>
      </c>
      <c r="P1995" s="34">
        <f>IF($J1995=1,LN(1+O1995),"")</f>
        <v/>
      </c>
      <c r="Q1995" s="34">
        <f>IF($J1995=1,LN(R1996/R1995),"")</f>
        <v/>
      </c>
      <c r="R1995" s="32" t="n">
        <v>2.2286</v>
      </c>
      <c r="S1995" s="35" t="n">
        <v>11.342</v>
      </c>
      <c r="T1995" s="18" t="n"/>
      <c r="U1995" s="18" t="n">
        <v>53446.17</v>
      </c>
      <c r="V1995" s="18" t="n"/>
      <c r="W1995" s="18" t="n"/>
      <c r="X1995" s="35" t="n">
        <v>11.342</v>
      </c>
      <c r="Y1995" s="35" t="n"/>
    </row>
    <row r="1996">
      <c r="A1996" s="25" t="n">
        <v>41765</v>
      </c>
      <c r="B1996" s="18" t="n">
        <v>53779.74</v>
      </c>
      <c r="C1996" s="31" t="n"/>
      <c r="D1996" s="32" t="n"/>
      <c r="E1996" s="33" t="n">
        <v>0.521</v>
      </c>
      <c r="F1996" t="inlineStr">
        <is>
          <t>Up</t>
        </is>
      </c>
      <c r="G1996" t="inlineStr">
        <is>
          <t>Up</t>
        </is>
      </c>
      <c r="H1996" t="inlineStr">
        <is>
          <t>EU_JU</t>
        </is>
      </c>
      <c r="I1996" t="inlineStr">
        <is>
          <t>2014-05</t>
        </is>
      </c>
      <c r="J1996" t="n">
        <v>1</v>
      </c>
      <c r="K1996" t="n">
        <v>1</v>
      </c>
      <c r="L1996" s="34">
        <f>IF($J1996=1,LN(B1997/B1996),"")</f>
        <v/>
      </c>
      <c r="M1996" s="34">
        <f>IF($K1996=1,INDEX(Mensal!$D$2:$D$245,MATCH($I1996,Mensal!$A$2:$A$245,0)),"")</f>
        <v/>
      </c>
      <c r="N1996" s="34">
        <f>IF($K1996=1,L1996-M1996,"")</f>
        <v/>
      </c>
      <c r="O1996" s="34" t="n">
        <v>0.00040705</v>
      </c>
      <c r="P1996" s="34">
        <f>IF($J1996=1,LN(1+O1996),"")</f>
        <v/>
      </c>
      <c r="Q1996" s="34">
        <f>IF($J1996=1,LN(R1997/R1996),"")</f>
        <v/>
      </c>
      <c r="R1996" s="32" t="n">
        <v>2.2322</v>
      </c>
      <c r="S1996" s="35" t="n">
        <v>11.317</v>
      </c>
      <c r="T1996" s="18" t="n"/>
      <c r="U1996" s="18" t="n">
        <v>53779.74</v>
      </c>
      <c r="V1996" s="18" t="n"/>
      <c r="W1996" s="18" t="n"/>
      <c r="X1996" s="35" t="n">
        <v>11.317</v>
      </c>
      <c r="Y1996" s="35" t="n"/>
    </row>
    <row r="1997">
      <c r="A1997" s="25" t="n">
        <v>41766</v>
      </c>
      <c r="B1997" s="18" t="n">
        <v>54052.74</v>
      </c>
      <c r="C1997" s="31" t="n"/>
      <c r="D1997" s="32" t="n"/>
      <c r="E1997" s="33" t="n">
        <v>0.5093</v>
      </c>
      <c r="F1997" t="inlineStr">
        <is>
          <t>Up</t>
        </is>
      </c>
      <c r="G1997" t="inlineStr">
        <is>
          <t>Up</t>
        </is>
      </c>
      <c r="H1997" t="inlineStr">
        <is>
          <t>EU_JU</t>
        </is>
      </c>
      <c r="I1997" t="inlineStr">
        <is>
          <t>2014-05</t>
        </is>
      </c>
      <c r="J1997" t="n">
        <v>1</v>
      </c>
      <c r="K1997" t="n">
        <v>1</v>
      </c>
      <c r="L1997" s="34">
        <f>IF($J1997=1,LN(B1998/B1997),"")</f>
        <v/>
      </c>
      <c r="M1997" s="34">
        <f>IF($K1997=1,INDEX(Mensal!$D$2:$D$245,MATCH($I1997,Mensal!$A$2:$A$245,0)),"")</f>
        <v/>
      </c>
      <c r="N1997" s="34">
        <f>IF($K1997=1,L1997-M1997,"")</f>
        <v/>
      </c>
      <c r="O1997" s="34" t="n">
        <v>0.00040705</v>
      </c>
      <c r="P1997" s="34">
        <f>IF($J1997=1,LN(1+O1997),"")</f>
        <v/>
      </c>
      <c r="Q1997" s="34">
        <f>IF($J1997=1,LN(R1998/R1997),"")</f>
        <v/>
      </c>
      <c r="R1997" s="32" t="n">
        <v>2.2282</v>
      </c>
      <c r="S1997" s="35" t="n">
        <v>11.323</v>
      </c>
      <c r="T1997" s="18" t="n"/>
      <c r="U1997" s="18" t="n">
        <v>54052.74</v>
      </c>
      <c r="V1997" s="18" t="n"/>
      <c r="W1997" s="18" t="n"/>
      <c r="X1997" s="35" t="n">
        <v>11.323</v>
      </c>
      <c r="Y1997" s="35" t="n"/>
    </row>
    <row r="1998">
      <c r="A1998" s="25" t="n">
        <v>41767</v>
      </c>
      <c r="B1998" s="18" t="n">
        <v>53422.37</v>
      </c>
      <c r="C1998" s="31" t="n"/>
      <c r="D1998" s="32" t="n"/>
      <c r="E1998" s="33" t="n">
        <v>0.4945</v>
      </c>
      <c r="F1998" t="inlineStr">
        <is>
          <t>Up</t>
        </is>
      </c>
      <c r="G1998" t="inlineStr">
        <is>
          <t>Up</t>
        </is>
      </c>
      <c r="H1998" t="inlineStr">
        <is>
          <t>EU_JU</t>
        </is>
      </c>
      <c r="I1998" t="inlineStr">
        <is>
          <t>2014-05</t>
        </is>
      </c>
      <c r="J1998" t="n">
        <v>1</v>
      </c>
      <c r="K1998" t="n">
        <v>1</v>
      </c>
      <c r="L1998" s="34">
        <f>IF($J1998=1,LN(B1999/B1998),"")</f>
        <v/>
      </c>
      <c r="M1998" s="34">
        <f>IF($K1998=1,INDEX(Mensal!$D$2:$D$245,MATCH($I1998,Mensal!$A$2:$A$245,0)),"")</f>
        <v/>
      </c>
      <c r="N1998" s="34">
        <f>IF($K1998=1,L1998-M1998,"")</f>
        <v/>
      </c>
      <c r="O1998" s="34" t="n">
        <v>0.00040705</v>
      </c>
      <c r="P1998" s="34">
        <f>IF($J1998=1,LN(1+O1998),"")</f>
        <v/>
      </c>
      <c r="Q1998" s="34">
        <f>IF($J1998=1,LN(R1999/R1998),"")</f>
        <v/>
      </c>
      <c r="R1998" s="32" t="n">
        <v>2.2107</v>
      </c>
      <c r="S1998" s="35" t="n">
        <v>11.361</v>
      </c>
      <c r="T1998" s="18" t="n"/>
      <c r="U1998" s="18" t="n">
        <v>53422.37</v>
      </c>
      <c r="V1998" s="18" t="n"/>
      <c r="W1998" s="18" t="n"/>
      <c r="X1998" s="35" t="n">
        <v>11.361</v>
      </c>
      <c r="Y1998" s="35" t="n"/>
    </row>
    <row r="1999">
      <c r="A1999" s="25" t="n">
        <v>41768</v>
      </c>
      <c r="B1999" s="18" t="n">
        <v>53100.34</v>
      </c>
      <c r="C1999" s="31" t="n"/>
      <c r="D1999" s="32" t="n"/>
      <c r="E1999" s="33" t="n">
        <v>0.4719</v>
      </c>
      <c r="F1999" t="inlineStr">
        <is>
          <t>Up</t>
        </is>
      </c>
      <c r="G1999" t="inlineStr">
        <is>
          <t>Up</t>
        </is>
      </c>
      <c r="H1999" t="inlineStr">
        <is>
          <t>EU_JU</t>
        </is>
      </c>
      <c r="I1999" t="inlineStr">
        <is>
          <t>2014-05</t>
        </is>
      </c>
      <c r="J1999" t="n">
        <v>1</v>
      </c>
      <c r="K1999" t="n">
        <v>1</v>
      </c>
      <c r="L1999" s="34">
        <f>IF($J1999=1,LN(B2000/B1999),"")</f>
        <v/>
      </c>
      <c r="M1999" s="34">
        <f>IF($K1999=1,INDEX(Mensal!$D$2:$D$245,MATCH($I1999,Mensal!$A$2:$A$245,0)),"")</f>
        <v/>
      </c>
      <c r="N1999" s="34">
        <f>IF($K1999=1,L1999-M1999,"")</f>
        <v/>
      </c>
      <c r="O1999" s="34" t="n">
        <v>0.00040705</v>
      </c>
      <c r="P1999" s="34">
        <f>IF($J1999=1,LN(1+O1999),"")</f>
        <v/>
      </c>
      <c r="Q1999" s="34">
        <f>IF($J1999=1,LN(R2000/R1999),"")</f>
        <v/>
      </c>
      <c r="R1999" s="32" t="n">
        <v>2.2192</v>
      </c>
      <c r="S1999" s="35" t="n">
        <v>11.303</v>
      </c>
      <c r="T1999" s="18" t="n"/>
      <c r="U1999" s="18" t="n">
        <v>53100.34</v>
      </c>
      <c r="V1999" s="18" t="n"/>
      <c r="W1999" s="18" t="n"/>
      <c r="X1999" s="35" t="n">
        <v>11.303</v>
      </c>
      <c r="Y1999" s="35" t="n"/>
    </row>
    <row r="2000">
      <c r="A2000" s="25" t="n">
        <v>41771</v>
      </c>
      <c r="B2000" s="18" t="n">
        <v>54052.9</v>
      </c>
      <c r="C2000" s="31" t="n"/>
      <c r="D2000" s="32" t="n"/>
      <c r="E2000" s="33" t="n">
        <v>0.4432</v>
      </c>
      <c r="F2000" t="inlineStr">
        <is>
          <t>Up</t>
        </is>
      </c>
      <c r="G2000" t="inlineStr">
        <is>
          <t>Up</t>
        </is>
      </c>
      <c r="H2000" t="inlineStr">
        <is>
          <t>EU_JU</t>
        </is>
      </c>
      <c r="I2000" t="inlineStr">
        <is>
          <t>2014-05</t>
        </is>
      </c>
      <c r="J2000" t="n">
        <v>1</v>
      </c>
      <c r="K2000" t="n">
        <v>1</v>
      </c>
      <c r="L2000" s="34">
        <f>IF($J2000=1,LN(B2001/B2000),"")</f>
        <v/>
      </c>
      <c r="M2000" s="34">
        <f>IF($K2000=1,INDEX(Mensal!$D$2:$D$245,MATCH($I2000,Mensal!$A$2:$A$245,0)),"")</f>
        <v/>
      </c>
      <c r="N2000" s="34">
        <f>IF($K2000=1,L2000-M2000,"")</f>
        <v/>
      </c>
      <c r="O2000" s="34" t="n">
        <v>0.00040705</v>
      </c>
      <c r="P2000" s="34">
        <f>IF($J2000=1,LN(1+O2000),"")</f>
        <v/>
      </c>
      <c r="Q2000" s="34">
        <f>IF($J2000=1,LN(R2001/R2000),"")</f>
        <v/>
      </c>
      <c r="R2000" s="32" t="n">
        <v>2.2164</v>
      </c>
      <c r="S2000" s="35" t="n">
        <v>11.337</v>
      </c>
      <c r="T2000" s="18" t="n"/>
      <c r="U2000" s="18" t="n">
        <v>54052.9</v>
      </c>
      <c r="V2000" s="18" t="n"/>
      <c r="W2000" s="18" t="n"/>
      <c r="X2000" s="35" t="n">
        <v>11.337</v>
      </c>
      <c r="Y2000" s="35" t="n"/>
    </row>
    <row r="2001">
      <c r="A2001" s="25" t="n">
        <v>41772</v>
      </c>
      <c r="B2001" s="18" t="n">
        <v>53907.46</v>
      </c>
      <c r="C2001" s="31" t="n"/>
      <c r="D2001" s="32" t="n"/>
      <c r="E2001" s="33" t="n">
        <v>0.4133</v>
      </c>
      <c r="F2001" t="inlineStr">
        <is>
          <t>Up</t>
        </is>
      </c>
      <c r="G2001" t="inlineStr">
        <is>
          <t>Up</t>
        </is>
      </c>
      <c r="H2001" t="inlineStr">
        <is>
          <t>EU_JU</t>
        </is>
      </c>
      <c r="I2001" t="inlineStr">
        <is>
          <t>2014-05</t>
        </is>
      </c>
      <c r="J2001" t="n">
        <v>1</v>
      </c>
      <c r="K2001" t="n">
        <v>1</v>
      </c>
      <c r="L2001" s="34">
        <f>IF($J2001=1,LN(B2002/B2001),"")</f>
        <v/>
      </c>
      <c r="M2001" s="34">
        <f>IF($K2001=1,INDEX(Mensal!$D$2:$D$245,MATCH($I2001,Mensal!$A$2:$A$245,0)),"")</f>
        <v/>
      </c>
      <c r="N2001" s="34">
        <f>IF($K2001=1,L2001-M2001,"")</f>
        <v/>
      </c>
      <c r="O2001" s="34" t="n">
        <v>0.00040705</v>
      </c>
      <c r="P2001" s="34">
        <f>IF($J2001=1,LN(1+O2001),"")</f>
        <v/>
      </c>
      <c r="Q2001" s="34">
        <f>IF($J2001=1,LN(R2002/R2001),"")</f>
        <v/>
      </c>
      <c r="R2001" s="32" t="n">
        <v>2.2101</v>
      </c>
      <c r="S2001" s="35" t="n">
        <v>11.333</v>
      </c>
      <c r="T2001" s="18" t="n"/>
      <c r="U2001" s="18" t="n">
        <v>53907.46</v>
      </c>
      <c r="V2001" s="18" t="n"/>
      <c r="W2001" s="18" t="n"/>
      <c r="X2001" s="35" t="n">
        <v>11.333</v>
      </c>
      <c r="Y2001" s="35" t="n"/>
    </row>
    <row r="2002">
      <c r="A2002" s="25" t="n">
        <v>41773</v>
      </c>
      <c r="B2002" s="18" t="n">
        <v>54412.54</v>
      </c>
      <c r="C2002" s="31" t="n"/>
      <c r="D2002" s="32" t="n"/>
      <c r="E2002" s="33" t="n">
        <v>0.3848</v>
      </c>
      <c r="F2002" t="inlineStr">
        <is>
          <t>Up</t>
        </is>
      </c>
      <c r="G2002" t="inlineStr">
        <is>
          <t>Up</t>
        </is>
      </c>
      <c r="H2002" t="inlineStr">
        <is>
          <t>EU_JU</t>
        </is>
      </c>
      <c r="I2002" t="inlineStr">
        <is>
          <t>2014-05</t>
        </is>
      </c>
      <c r="J2002" t="n">
        <v>1</v>
      </c>
      <c r="K2002" t="n">
        <v>1</v>
      </c>
      <c r="L2002" s="34">
        <f>IF($J2002=1,LN(B2003/B2002),"")</f>
        <v/>
      </c>
      <c r="M2002" s="34">
        <f>IF($K2002=1,INDEX(Mensal!$D$2:$D$245,MATCH($I2002,Mensal!$A$2:$A$245,0)),"")</f>
        <v/>
      </c>
      <c r="N2002" s="34">
        <f>IF($K2002=1,L2002-M2002,"")</f>
        <v/>
      </c>
      <c r="O2002" s="34" t="n">
        <v>0.00040705</v>
      </c>
      <c r="P2002" s="34">
        <f>IF($J2002=1,LN(1+O2002),"")</f>
        <v/>
      </c>
      <c r="Q2002" s="34">
        <f>IF($J2002=1,LN(R2003/R2002),"")</f>
        <v/>
      </c>
      <c r="R2002" s="32" t="n">
        <v>2.2129</v>
      </c>
      <c r="S2002" s="35" t="n">
        <v>11.307</v>
      </c>
      <c r="T2002" s="18" t="n"/>
      <c r="U2002" s="18" t="n">
        <v>54412.54</v>
      </c>
      <c r="V2002" s="18" t="n"/>
      <c r="W2002" s="18" t="n"/>
      <c r="X2002" s="35" t="n">
        <v>11.307</v>
      </c>
      <c r="Y2002" s="35" t="n"/>
    </row>
    <row r="2003">
      <c r="A2003" s="25" t="n">
        <v>41774</v>
      </c>
      <c r="B2003" s="18" t="n">
        <v>53855.54</v>
      </c>
      <c r="C2003" s="31" t="n"/>
      <c r="D2003" s="32" t="n"/>
      <c r="E2003" s="33" t="n">
        <v>0.3529</v>
      </c>
      <c r="F2003" t="inlineStr">
        <is>
          <t>Up</t>
        </is>
      </c>
      <c r="G2003" t="inlineStr">
        <is>
          <t>Up</t>
        </is>
      </c>
      <c r="H2003" t="inlineStr">
        <is>
          <t>EU_JU</t>
        </is>
      </c>
      <c r="I2003" t="inlineStr">
        <is>
          <t>2014-05</t>
        </is>
      </c>
      <c r="J2003" t="n">
        <v>1</v>
      </c>
      <c r="K2003" t="n">
        <v>1</v>
      </c>
      <c r="L2003" s="34">
        <f>IF($J2003=1,LN(B2004/B2003),"")</f>
        <v/>
      </c>
      <c r="M2003" s="34">
        <f>IF($K2003=1,INDEX(Mensal!$D$2:$D$245,MATCH($I2003,Mensal!$A$2:$A$245,0)),"")</f>
        <v/>
      </c>
      <c r="N2003" s="34">
        <f>IF($K2003=1,L2003-M2003,"")</f>
        <v/>
      </c>
      <c r="O2003" s="34" t="n">
        <v>0.00040705</v>
      </c>
      <c r="P2003" s="34">
        <f>IF($J2003=1,LN(1+O2003),"")</f>
        <v/>
      </c>
      <c r="Q2003" s="34">
        <f>IF($J2003=1,LN(R2004/R2003),"")</f>
        <v/>
      </c>
      <c r="R2003" s="32" t="n">
        <v>2.2166</v>
      </c>
      <c r="S2003" s="35" t="n">
        <v>11.312</v>
      </c>
      <c r="T2003" s="18" t="n"/>
      <c r="U2003" s="18" t="n">
        <v>53855.54</v>
      </c>
      <c r="V2003" s="18" t="n"/>
      <c r="W2003" s="18" t="n"/>
      <c r="X2003" s="35" t="n">
        <v>11.312</v>
      </c>
      <c r="Y2003" s="35" t="n"/>
    </row>
    <row r="2004">
      <c r="A2004" s="25" t="n">
        <v>41775</v>
      </c>
      <c r="B2004" s="18" t="n">
        <v>53975.76</v>
      </c>
      <c r="C2004" s="31" t="n"/>
      <c r="D2004" s="32" t="n"/>
      <c r="E2004" s="33" t="n">
        <v>0.3231</v>
      </c>
      <c r="F2004" t="inlineStr">
        <is>
          <t>Up</t>
        </is>
      </c>
      <c r="G2004" t="inlineStr">
        <is>
          <t>Up</t>
        </is>
      </c>
      <c r="H2004" t="inlineStr">
        <is>
          <t>EU_JU</t>
        </is>
      </c>
      <c r="I2004" t="inlineStr">
        <is>
          <t>2014-05</t>
        </is>
      </c>
      <c r="J2004" t="n">
        <v>1</v>
      </c>
      <c r="K2004" t="n">
        <v>1</v>
      </c>
      <c r="L2004" s="34">
        <f>IF($J2004=1,LN(B2005/B2004),"")</f>
        <v/>
      </c>
      <c r="M2004" s="34">
        <f>IF($K2004=1,INDEX(Mensal!$D$2:$D$245,MATCH($I2004,Mensal!$A$2:$A$245,0)),"")</f>
        <v/>
      </c>
      <c r="N2004" s="34">
        <f>IF($K2004=1,L2004-M2004,"")</f>
        <v/>
      </c>
      <c r="O2004" s="34" t="n">
        <v>0.00040705</v>
      </c>
      <c r="P2004" s="34">
        <f>IF($J2004=1,LN(1+O2004),"")</f>
        <v/>
      </c>
      <c r="Q2004" s="34">
        <f>IF($J2004=1,LN(R2005/R2004),"")</f>
        <v/>
      </c>
      <c r="R2004" s="32" t="n">
        <v>2.211</v>
      </c>
      <c r="S2004" s="35" t="n">
        <v>11.287</v>
      </c>
      <c r="T2004" s="18" t="n"/>
      <c r="U2004" s="18" t="n">
        <v>53975.76</v>
      </c>
      <c r="V2004" s="18" t="n"/>
      <c r="W2004" s="18" t="n"/>
      <c r="X2004" s="35" t="n">
        <v>11.287</v>
      </c>
      <c r="Y2004" s="35" t="n"/>
    </row>
    <row r="2005">
      <c r="A2005" s="25" t="n">
        <v>41778</v>
      </c>
      <c r="B2005" s="18" t="n">
        <v>53353.1</v>
      </c>
      <c r="C2005" s="31" t="n"/>
      <c r="D2005" s="32" t="n"/>
      <c r="E2005" s="33" t="n">
        <v>0.2948</v>
      </c>
      <c r="F2005" t="inlineStr">
        <is>
          <t>Up</t>
        </is>
      </c>
      <c r="G2005" t="inlineStr">
        <is>
          <t>Up</t>
        </is>
      </c>
      <c r="H2005" t="inlineStr">
        <is>
          <t>EU_JU</t>
        </is>
      </c>
      <c r="I2005" t="inlineStr">
        <is>
          <t>2014-05</t>
        </is>
      </c>
      <c r="J2005" t="n">
        <v>1</v>
      </c>
      <c r="K2005" t="n">
        <v>1</v>
      </c>
      <c r="L2005" s="34">
        <f>IF($J2005=1,LN(B2006/B2005),"")</f>
        <v/>
      </c>
      <c r="M2005" s="34">
        <f>IF($K2005=1,INDEX(Mensal!$D$2:$D$245,MATCH($I2005,Mensal!$A$2:$A$245,0)),"")</f>
        <v/>
      </c>
      <c r="N2005" s="34">
        <f>IF($K2005=1,L2005-M2005,"")</f>
        <v/>
      </c>
      <c r="O2005" s="34" t="n">
        <v>0.00040705</v>
      </c>
      <c r="P2005" s="34">
        <f>IF($J2005=1,LN(1+O2005),"")</f>
        <v/>
      </c>
      <c r="Q2005" s="34">
        <f>IF($J2005=1,LN(R2006/R2005),"")</f>
        <v/>
      </c>
      <c r="R2005" s="32" t="n">
        <v>2.2111</v>
      </c>
      <c r="S2005" s="35" t="n">
        <v>11.28</v>
      </c>
      <c r="T2005" s="18" t="n"/>
      <c r="U2005" s="18" t="n">
        <v>53353.1</v>
      </c>
      <c r="V2005" s="18" t="n"/>
      <c r="W2005" s="18" t="n"/>
      <c r="X2005" s="35" t="n">
        <v>11.28</v>
      </c>
      <c r="Y2005" s="35" t="n"/>
    </row>
    <row r="2006">
      <c r="A2006" s="25" t="n">
        <v>41779</v>
      </c>
      <c r="B2006" s="18" t="n">
        <v>52366.19</v>
      </c>
      <c r="C2006" s="31" t="n"/>
      <c r="D2006" s="32" t="n"/>
      <c r="E2006" s="33" t="n">
        <v>0.2641</v>
      </c>
      <c r="F2006" t="inlineStr">
        <is>
          <t>Up</t>
        </is>
      </c>
      <c r="G2006" t="inlineStr">
        <is>
          <t>Up</t>
        </is>
      </c>
      <c r="H2006" t="inlineStr">
        <is>
          <t>EU_JU</t>
        </is>
      </c>
      <c r="I2006" t="inlineStr">
        <is>
          <t>2014-05</t>
        </is>
      </c>
      <c r="J2006" t="n">
        <v>1</v>
      </c>
      <c r="K2006" t="n">
        <v>1</v>
      </c>
      <c r="L2006" s="34">
        <f>IF($J2006=1,LN(B2007/B2006),"")</f>
        <v/>
      </c>
      <c r="M2006" s="34">
        <f>IF($K2006=1,INDEX(Mensal!$D$2:$D$245,MATCH($I2006,Mensal!$A$2:$A$245,0)),"")</f>
        <v/>
      </c>
      <c r="N2006" s="34">
        <f>IF($K2006=1,L2006-M2006,"")</f>
        <v/>
      </c>
      <c r="O2006" s="34" t="n">
        <v>0.00040705</v>
      </c>
      <c r="P2006" s="34">
        <f>IF($J2006=1,LN(1+O2006),"")</f>
        <v/>
      </c>
      <c r="Q2006" s="34">
        <f>IF($J2006=1,LN(R2007/R2006),"")</f>
        <v/>
      </c>
      <c r="R2006" s="32" t="n">
        <v>2.2156</v>
      </c>
      <c r="S2006" s="35" t="n">
        <v>11.264</v>
      </c>
      <c r="T2006" s="18" t="n"/>
      <c r="U2006" s="18" t="n">
        <v>52366.19</v>
      </c>
      <c r="V2006" s="18" t="n"/>
      <c r="W2006" s="18" t="n"/>
      <c r="X2006" s="35" t="n">
        <v>11.264</v>
      </c>
      <c r="Y2006" s="35" t="n"/>
    </row>
    <row r="2007">
      <c r="A2007" s="25" t="n">
        <v>41780</v>
      </c>
      <c r="B2007" s="18" t="n">
        <v>52203.37</v>
      </c>
      <c r="C2007" s="31" t="n"/>
      <c r="D2007" s="32" t="n"/>
      <c r="E2007" s="33" t="n">
        <v>0.236</v>
      </c>
      <c r="F2007" t="inlineStr">
        <is>
          <t>Up</t>
        </is>
      </c>
      <c r="G2007" t="inlineStr">
        <is>
          <t>Up</t>
        </is>
      </c>
      <c r="H2007" t="inlineStr">
        <is>
          <t>EU_JU</t>
        </is>
      </c>
      <c r="I2007" t="inlineStr">
        <is>
          <t>2014-05</t>
        </is>
      </c>
      <c r="J2007" t="n">
        <v>1</v>
      </c>
      <c r="K2007" t="n">
        <v>1</v>
      </c>
      <c r="L2007" s="34">
        <f>IF($J2007=1,LN(B2008/B2007),"")</f>
        <v/>
      </c>
      <c r="M2007" s="34">
        <f>IF($K2007=1,INDEX(Mensal!$D$2:$D$245,MATCH($I2007,Mensal!$A$2:$A$245,0)),"")</f>
        <v/>
      </c>
      <c r="N2007" s="34">
        <f>IF($K2007=1,L2007-M2007,"")</f>
        <v/>
      </c>
      <c r="O2007" s="34" t="n">
        <v>0.00040705</v>
      </c>
      <c r="P2007" s="34">
        <f>IF($J2007=1,LN(1+O2007),"")</f>
        <v/>
      </c>
      <c r="Q2007" s="34">
        <f>IF($J2007=1,LN(R2008/R2007),"")</f>
        <v/>
      </c>
      <c r="R2007" s="32" t="n">
        <v>2.2111</v>
      </c>
      <c r="S2007" s="35" t="n">
        <v>11.206</v>
      </c>
      <c r="T2007" s="18" t="n"/>
      <c r="U2007" s="18" t="n">
        <v>52203.37</v>
      </c>
      <c r="V2007" s="18" t="n"/>
      <c r="W2007" s="18" t="n"/>
      <c r="X2007" s="35" t="n">
        <v>11.206</v>
      </c>
      <c r="Y2007" s="35" t="n"/>
    </row>
    <row r="2008">
      <c r="A2008" s="25" t="n">
        <v>41781</v>
      </c>
      <c r="B2008" s="18" t="n">
        <v>52806.22</v>
      </c>
      <c r="C2008" s="31" t="n"/>
      <c r="D2008" s="32" t="n"/>
      <c r="E2008" s="33" t="n">
        <v>0.2147</v>
      </c>
      <c r="F2008" t="inlineStr">
        <is>
          <t>Up</t>
        </is>
      </c>
      <c r="G2008" t="inlineStr">
        <is>
          <t>Up</t>
        </is>
      </c>
      <c r="H2008" t="inlineStr">
        <is>
          <t>EU_JU</t>
        </is>
      </c>
      <c r="I2008" t="inlineStr">
        <is>
          <t>2014-05</t>
        </is>
      </c>
      <c r="J2008" t="n">
        <v>1</v>
      </c>
      <c r="K2008" t="n">
        <v>1</v>
      </c>
      <c r="L2008" s="34">
        <f>IF($J2008=1,LN(B2009/B2008),"")</f>
        <v/>
      </c>
      <c r="M2008" s="34">
        <f>IF($K2008=1,INDEX(Mensal!$D$2:$D$245,MATCH($I2008,Mensal!$A$2:$A$245,0)),"")</f>
        <v/>
      </c>
      <c r="N2008" s="34">
        <f>IF($K2008=1,L2008-M2008,"")</f>
        <v/>
      </c>
      <c r="O2008" s="34" t="n">
        <v>0.00040705</v>
      </c>
      <c r="P2008" s="34">
        <f>IF($J2008=1,LN(1+O2008),"")</f>
        <v/>
      </c>
      <c r="Q2008" s="34">
        <f>IF($J2008=1,LN(R2009/R2008),"")</f>
        <v/>
      </c>
      <c r="R2008" s="32" t="n">
        <v>2.2131</v>
      </c>
      <c r="S2008" s="35" t="n">
        <v>11.161</v>
      </c>
      <c r="T2008" s="18" t="n"/>
      <c r="U2008" s="18" t="n">
        <v>52806.22</v>
      </c>
      <c r="V2008" s="18" t="n"/>
      <c r="W2008" s="18" t="n"/>
      <c r="X2008" s="35" t="n">
        <v>11.161</v>
      </c>
      <c r="Y2008" s="35" t="n"/>
    </row>
    <row r="2009">
      <c r="A2009" s="25" t="n">
        <v>41782</v>
      </c>
      <c r="B2009" s="18" t="n">
        <v>52626.41</v>
      </c>
      <c r="C2009" s="31" t="n"/>
      <c r="D2009" s="32" t="n"/>
      <c r="E2009" s="33" t="n">
        <v>0.189</v>
      </c>
      <c r="F2009" t="inlineStr">
        <is>
          <t>Up</t>
        </is>
      </c>
      <c r="G2009" t="inlineStr">
        <is>
          <t>Up</t>
        </is>
      </c>
      <c r="H2009" t="inlineStr">
        <is>
          <t>EU_JU</t>
        </is>
      </c>
      <c r="I2009" t="inlineStr">
        <is>
          <t>2014-05</t>
        </is>
      </c>
      <c r="J2009" t="n">
        <v>1</v>
      </c>
      <c r="K2009" t="n">
        <v>1</v>
      </c>
      <c r="L2009" s="34">
        <f>IF($J2009=1,LN(B2010/B2009),"")</f>
        <v/>
      </c>
      <c r="M2009" s="34">
        <f>IF($K2009=1,INDEX(Mensal!$D$2:$D$245,MATCH($I2009,Mensal!$A$2:$A$245,0)),"")</f>
        <v/>
      </c>
      <c r="N2009" s="34">
        <f>IF($K2009=1,L2009-M2009,"")</f>
        <v/>
      </c>
      <c r="O2009" s="34" t="n">
        <v>0.00040705</v>
      </c>
      <c r="P2009" s="34">
        <f>IF($J2009=1,LN(1+O2009),"")</f>
        <v/>
      </c>
      <c r="Q2009" s="34">
        <f>IF($J2009=1,LN(R2010/R2009),"")</f>
        <v/>
      </c>
      <c r="R2009" s="32" t="n">
        <v>2.2187</v>
      </c>
      <c r="S2009" s="35" t="n">
        <v>11.161</v>
      </c>
      <c r="T2009" s="18" t="n"/>
      <c r="U2009" s="18" t="n">
        <v>52626.41</v>
      </c>
      <c r="V2009" s="18" t="n"/>
      <c r="W2009" s="18" t="n"/>
      <c r="X2009" s="35" t="n">
        <v>11.161</v>
      </c>
      <c r="Y2009" s="35" t="n"/>
    </row>
    <row r="2010">
      <c r="A2010" s="25" t="n">
        <v>41785</v>
      </c>
      <c r="B2010" s="18" t="n">
        <v>52932.91</v>
      </c>
      <c r="C2010" s="31" t="n"/>
      <c r="D2010" s="32" t="n"/>
      <c r="E2010" s="33" t="n">
        <v>0.1714</v>
      </c>
      <c r="F2010" t="inlineStr">
        <is>
          <t>Up</t>
        </is>
      </c>
      <c r="G2010" t="inlineStr">
        <is>
          <t>Up</t>
        </is>
      </c>
      <c r="H2010" t="inlineStr">
        <is>
          <t>EU_JU</t>
        </is>
      </c>
      <c r="I2010" t="inlineStr">
        <is>
          <t>2014-05</t>
        </is>
      </c>
      <c r="J2010" t="n">
        <v>1</v>
      </c>
      <c r="K2010" t="n">
        <v>1</v>
      </c>
      <c r="L2010" s="34">
        <f>IF($J2010=1,LN(B2011/B2010),"")</f>
        <v/>
      </c>
      <c r="M2010" s="34">
        <f>IF($K2010=1,INDEX(Mensal!$D$2:$D$245,MATCH($I2010,Mensal!$A$2:$A$245,0)),"")</f>
        <v/>
      </c>
      <c r="N2010" s="34">
        <f>IF($K2010=1,L2010-M2010,"")</f>
        <v/>
      </c>
      <c r="O2010" s="34" t="n">
        <v>0.00040705</v>
      </c>
      <c r="P2010" s="34">
        <f>IF($J2010=1,LN(1+O2010),"")</f>
        <v/>
      </c>
      <c r="Q2010" s="34">
        <f>IF($J2010=1,LN(R2011/R2010),"")</f>
        <v/>
      </c>
      <c r="R2010" s="32" t="n">
        <v>2.2209</v>
      </c>
      <c r="S2010" s="35" t="n">
        <v>11.176</v>
      </c>
      <c r="T2010" s="18" t="n"/>
      <c r="U2010" s="18" t="n">
        <v>52932.91</v>
      </c>
      <c r="V2010" s="18" t="n"/>
      <c r="W2010" s="18" t="n"/>
      <c r="X2010" s="35" t="n">
        <v>11.176</v>
      </c>
      <c r="Y2010" s="35" t="n"/>
    </row>
    <row r="2011">
      <c r="A2011" s="25" t="n">
        <v>41786</v>
      </c>
      <c r="B2011" s="18" t="n">
        <v>52173.98</v>
      </c>
      <c r="C2011" s="31" t="n"/>
      <c r="D2011" s="32" t="n"/>
      <c r="E2011" s="33" t="n">
        <v>0.1548</v>
      </c>
      <c r="F2011" t="inlineStr">
        <is>
          <t>Up</t>
        </is>
      </c>
      <c r="G2011" t="inlineStr">
        <is>
          <t>Up</t>
        </is>
      </c>
      <c r="H2011" t="inlineStr">
        <is>
          <t>EU_JU</t>
        </is>
      </c>
      <c r="I2011" t="inlineStr">
        <is>
          <t>2014-05</t>
        </is>
      </c>
      <c r="J2011" t="n">
        <v>1</v>
      </c>
      <c r="K2011" t="n">
        <v>1</v>
      </c>
      <c r="L2011" s="34">
        <f>IF($J2011=1,LN(B2012/B2011),"")</f>
        <v/>
      </c>
      <c r="M2011" s="34">
        <f>IF($K2011=1,INDEX(Mensal!$D$2:$D$245,MATCH($I2011,Mensal!$A$2:$A$245,0)),"")</f>
        <v/>
      </c>
      <c r="N2011" s="34">
        <f>IF($K2011=1,L2011-M2011,"")</f>
        <v/>
      </c>
      <c r="O2011" s="34" t="n">
        <v>0.00040705</v>
      </c>
      <c r="P2011" s="34">
        <f>IF($J2011=1,LN(1+O2011),"")</f>
        <v/>
      </c>
      <c r="Q2011" s="34">
        <f>IF($J2011=1,LN(R2012/R2011),"")</f>
        <v/>
      </c>
      <c r="R2011" s="32" t="n">
        <v>2.2354</v>
      </c>
      <c r="S2011" s="35" t="n">
        <v>11.216</v>
      </c>
      <c r="T2011" s="18" t="n"/>
      <c r="U2011" s="18" t="n">
        <v>52173.98</v>
      </c>
      <c r="V2011" s="18" t="n"/>
      <c r="W2011" s="18" t="n"/>
      <c r="X2011" s="35" t="n">
        <v>11.216</v>
      </c>
      <c r="Y2011" s="35" t="n"/>
    </row>
    <row r="2012">
      <c r="A2012" s="25" t="n">
        <v>41787</v>
      </c>
      <c r="B2012" s="18" t="n">
        <v>52639.75</v>
      </c>
      <c r="C2012" s="31" t="n"/>
      <c r="D2012" s="32" t="n"/>
      <c r="E2012" s="33" t="n">
        <v>0.1392</v>
      </c>
      <c r="F2012" t="inlineStr">
        <is>
          <t>Up</t>
        </is>
      </c>
      <c r="G2012" t="inlineStr">
        <is>
          <t>Up</t>
        </is>
      </c>
      <c r="H2012" t="inlineStr">
        <is>
          <t>EU_JU</t>
        </is>
      </c>
      <c r="I2012" t="inlineStr">
        <is>
          <t>2014-05</t>
        </is>
      </c>
      <c r="J2012" t="n">
        <v>1</v>
      </c>
      <c r="K2012" t="n">
        <v>1</v>
      </c>
      <c r="L2012" s="34">
        <f>IF($J2012=1,LN(B2013/B2012),"")</f>
        <v/>
      </c>
      <c r="M2012" s="34">
        <f>IF($K2012=1,INDEX(Mensal!$D$2:$D$245,MATCH($I2012,Mensal!$A$2:$A$245,0)),"")</f>
        <v/>
      </c>
      <c r="N2012" s="34">
        <f>IF($K2012=1,L2012-M2012,"")</f>
        <v/>
      </c>
      <c r="O2012" s="34" t="n">
        <v>0.00040705</v>
      </c>
      <c r="P2012" s="34">
        <f>IF($J2012=1,LN(1+O2012),"")</f>
        <v/>
      </c>
      <c r="Q2012" s="34">
        <f>IF($J2012=1,LN(R2013/R2012),"")</f>
        <v/>
      </c>
      <c r="R2012" s="32" t="n">
        <v>2.2405</v>
      </c>
      <c r="S2012" s="35" t="n">
        <v>11.16</v>
      </c>
      <c r="T2012" s="18" t="n"/>
      <c r="U2012" s="18" t="n">
        <v>52639.75</v>
      </c>
      <c r="V2012" s="18" t="n"/>
      <c r="W2012" s="18" t="n"/>
      <c r="X2012" s="35" t="n">
        <v>11.16</v>
      </c>
      <c r="Y2012" s="35" t="n"/>
    </row>
    <row r="2013">
      <c r="A2013" s="25" t="n">
        <v>41788</v>
      </c>
      <c r="B2013" s="18" t="n">
        <v>52239.34</v>
      </c>
      <c r="C2013" s="31" t="n"/>
      <c r="D2013" s="32" t="n"/>
      <c r="E2013" s="33" t="n">
        <v>0.1262</v>
      </c>
      <c r="F2013" t="inlineStr">
        <is>
          <t>Up</t>
        </is>
      </c>
      <c r="G2013" t="inlineStr">
        <is>
          <t>Up</t>
        </is>
      </c>
      <c r="H2013" t="inlineStr">
        <is>
          <t>EU_JU</t>
        </is>
      </c>
      <c r="I2013" t="inlineStr">
        <is>
          <t>2014-05</t>
        </is>
      </c>
      <c r="J2013" t="n">
        <v>1</v>
      </c>
      <c r="K2013" t="n">
        <v>1</v>
      </c>
      <c r="L2013" s="34">
        <f>IF($J2013=1,LN(B2014/B2013),"")</f>
        <v/>
      </c>
      <c r="M2013" s="34">
        <f>IF($K2013=1,INDEX(Mensal!$D$2:$D$245,MATCH($I2013,Mensal!$A$2:$A$245,0)),"")</f>
        <v/>
      </c>
      <c r="N2013" s="34">
        <f>IF($K2013=1,L2013-M2013,"")</f>
        <v/>
      </c>
      <c r="O2013" s="34" t="n">
        <v>0.00040705</v>
      </c>
      <c r="P2013" s="34">
        <f>IF($J2013=1,LN(1+O2013),"")</f>
        <v/>
      </c>
      <c r="Q2013" s="34">
        <f>IF($J2013=1,LN(R2014/R2013),"")</f>
        <v/>
      </c>
      <c r="R2013" s="32" t="n">
        <v>2.2251</v>
      </c>
      <c r="S2013" s="35" t="n">
        <v>11.12</v>
      </c>
      <c r="T2013" s="18" t="n"/>
      <c r="U2013" s="18" t="n">
        <v>52239.34</v>
      </c>
      <c r="V2013" s="18" t="n"/>
      <c r="W2013" s="18" t="n"/>
      <c r="X2013" s="35" t="n">
        <v>11.12</v>
      </c>
      <c r="Y2013" s="35" t="n"/>
    </row>
    <row r="2014">
      <c r="A2014" s="25" t="n">
        <v>41789</v>
      </c>
      <c r="B2014" s="18" t="n">
        <v>51239.34</v>
      </c>
      <c r="C2014" s="31" t="n"/>
      <c r="D2014" s="32" t="n"/>
      <c r="E2014" s="33" t="n">
        <v>0.1113</v>
      </c>
      <c r="F2014" t="inlineStr">
        <is>
          <t>Up</t>
        </is>
      </c>
      <c r="G2014" t="inlineStr">
        <is>
          <t>Up</t>
        </is>
      </c>
      <c r="H2014" t="inlineStr">
        <is>
          <t>EU_JU</t>
        </is>
      </c>
      <c r="I2014" t="inlineStr">
        <is>
          <t>2014-05</t>
        </is>
      </c>
      <c r="J2014" t="n">
        <v>1</v>
      </c>
      <c r="K2014" t="n">
        <v>1</v>
      </c>
      <c r="L2014" s="34">
        <f>IF($J2014=1,LN(B2015/B2014),"")</f>
        <v/>
      </c>
      <c r="M2014" s="34">
        <f>IF($K2014=1,INDEX(Mensal!$D$2:$D$245,MATCH($I2014,Mensal!$A$2:$A$245,0)),"")</f>
        <v/>
      </c>
      <c r="N2014" s="34">
        <f>IF($K2014=1,L2014-M2014,"")</f>
        <v/>
      </c>
      <c r="O2014" s="34" t="n">
        <v>0.00040705</v>
      </c>
      <c r="P2014" s="34">
        <f>IF($J2014=1,LN(1+O2014),"")</f>
        <v/>
      </c>
      <c r="Q2014" s="34">
        <f>IF($J2014=1,LN(R2015/R2014),"")</f>
        <v/>
      </c>
      <c r="R2014" s="32" t="n">
        <v>2.239</v>
      </c>
      <c r="S2014" s="35" t="n">
        <v>11.104</v>
      </c>
      <c r="T2014" s="18" t="n"/>
      <c r="U2014" s="18" t="n">
        <v>51239.34</v>
      </c>
      <c r="V2014" s="18" t="n"/>
      <c r="W2014" s="18" t="n"/>
      <c r="X2014" s="35" t="n">
        <v>11.104</v>
      </c>
      <c r="Y2014" s="35" t="n"/>
    </row>
    <row r="2015">
      <c r="A2015" s="25" t="n">
        <v>41792</v>
      </c>
      <c r="B2015" s="18" t="n">
        <v>51605.83</v>
      </c>
      <c r="C2015" s="31" t="n"/>
      <c r="D2015" s="32" t="n"/>
      <c r="E2015" s="33" t="n">
        <v>0.09089999999999999</v>
      </c>
      <c r="F2015" t="inlineStr">
        <is>
          <t>Up</t>
        </is>
      </c>
      <c r="G2015" t="inlineStr">
        <is>
          <t>Up</t>
        </is>
      </c>
      <c r="H2015" t="inlineStr">
        <is>
          <t>EU_JU</t>
        </is>
      </c>
      <c r="I2015" t="inlineStr">
        <is>
          <t>2014-06</t>
        </is>
      </c>
      <c r="J2015" t="n">
        <v>1</v>
      </c>
      <c r="K2015" t="n">
        <v>1</v>
      </c>
      <c r="L2015" s="34">
        <f>IF($J2015=1,LN(B2016/B2015),"")</f>
        <v/>
      </c>
      <c r="M2015" s="34">
        <f>IF($K2015=1,INDEX(Mensal!$D$2:$D$245,MATCH($I2015,Mensal!$A$2:$A$245,0)),"")</f>
        <v/>
      </c>
      <c r="N2015" s="34">
        <f>IF($K2015=1,L2015-M2015,"")</f>
        <v/>
      </c>
      <c r="O2015" s="34" t="n">
        <v>0.00040705</v>
      </c>
      <c r="P2015" s="34">
        <f>IF($J2015=1,LN(1+O2015),"")</f>
        <v/>
      </c>
      <c r="Q2015" s="34">
        <f>IF($J2015=1,LN(R2016/R2015),"")</f>
        <v/>
      </c>
      <c r="R2015" s="32" t="n">
        <v>2.264</v>
      </c>
      <c r="S2015" s="35" t="n">
        <v>11.102</v>
      </c>
      <c r="T2015" s="18" t="n"/>
      <c r="U2015" s="18" t="n">
        <v>51605.83</v>
      </c>
      <c r="V2015" s="18" t="n"/>
      <c r="W2015" s="18" t="n"/>
      <c r="X2015" s="35" t="n">
        <v>11.102</v>
      </c>
      <c r="Y2015" s="35" t="n"/>
    </row>
    <row r="2016">
      <c r="A2016" s="25" t="n">
        <v>41793</v>
      </c>
      <c r="B2016" s="18" t="n">
        <v>52032.38</v>
      </c>
      <c r="C2016" s="31" t="n"/>
      <c r="D2016" s="32" t="n"/>
      <c r="E2016" s="33" t="n">
        <v>0.0731</v>
      </c>
      <c r="F2016" t="inlineStr">
        <is>
          <t>Up</t>
        </is>
      </c>
      <c r="G2016" t="inlineStr">
        <is>
          <t>Up</t>
        </is>
      </c>
      <c r="H2016" t="inlineStr">
        <is>
          <t>EU_JU</t>
        </is>
      </c>
      <c r="I2016" t="inlineStr">
        <is>
          <t>2014-06</t>
        </is>
      </c>
      <c r="J2016" t="n">
        <v>1</v>
      </c>
      <c r="K2016" t="n">
        <v>1</v>
      </c>
      <c r="L2016" s="34">
        <f>IF($J2016=1,LN(B2017/B2016),"")</f>
        <v/>
      </c>
      <c r="M2016" s="34">
        <f>IF($K2016=1,INDEX(Mensal!$D$2:$D$245,MATCH($I2016,Mensal!$A$2:$A$245,0)),"")</f>
        <v/>
      </c>
      <c r="N2016" s="34">
        <f>IF($K2016=1,L2016-M2016,"")</f>
        <v/>
      </c>
      <c r="O2016" s="34" t="n">
        <v>0.00040705</v>
      </c>
      <c r="P2016" s="34">
        <f>IF($J2016=1,LN(1+O2016),"")</f>
        <v/>
      </c>
      <c r="Q2016" s="34">
        <f>IF($J2016=1,LN(R2017/R2016),"")</f>
        <v/>
      </c>
      <c r="R2016" s="32" t="n">
        <v>2.2654</v>
      </c>
      <c r="S2016" s="35" t="n">
        <v>11.102</v>
      </c>
      <c r="T2016" s="18" t="n"/>
      <c r="U2016" s="18" t="n">
        <v>52032.38</v>
      </c>
      <c r="V2016" s="18" t="n"/>
      <c r="W2016" s="18" t="n"/>
      <c r="X2016" s="35" t="n">
        <v>11.102</v>
      </c>
      <c r="Y2016" s="35" t="n"/>
    </row>
    <row r="2017">
      <c r="A2017" s="25" t="n">
        <v>41794</v>
      </c>
      <c r="B2017" s="18" t="n">
        <v>51832.98</v>
      </c>
      <c r="C2017" s="31" t="n"/>
      <c r="D2017" s="32" t="n"/>
      <c r="E2017" s="33" t="n">
        <v>0.0567</v>
      </c>
      <c r="F2017" t="inlineStr">
        <is>
          <t>Up</t>
        </is>
      </c>
      <c r="G2017" t="inlineStr">
        <is>
          <t>Up</t>
        </is>
      </c>
      <c r="H2017" t="inlineStr">
        <is>
          <t>EU_JU</t>
        </is>
      </c>
      <c r="I2017" t="inlineStr">
        <is>
          <t>2014-06</t>
        </is>
      </c>
      <c r="J2017" t="n">
        <v>1</v>
      </c>
      <c r="K2017" t="n">
        <v>1</v>
      </c>
      <c r="L2017" s="34">
        <f>IF($J2017=1,LN(B2018/B2017),"")</f>
        <v/>
      </c>
      <c r="M2017" s="34">
        <f>IF($K2017=1,INDEX(Mensal!$D$2:$D$245,MATCH($I2017,Mensal!$A$2:$A$245,0)),"")</f>
        <v/>
      </c>
      <c r="N2017" s="34">
        <f>IF($K2017=1,L2017-M2017,"")</f>
        <v/>
      </c>
      <c r="O2017" s="34" t="n">
        <v>0.00040705</v>
      </c>
      <c r="P2017" s="34">
        <f>IF($J2017=1,LN(1+O2017),"")</f>
        <v/>
      </c>
      <c r="Q2017" s="34">
        <f>IF($J2017=1,LN(R2018/R2017),"")</f>
        <v/>
      </c>
      <c r="R2017" s="32" t="n">
        <v>2.2802</v>
      </c>
      <c r="S2017" s="35" t="n">
        <v>11.088</v>
      </c>
      <c r="T2017" s="18" t="n"/>
      <c r="U2017" s="18" t="n">
        <v>51832.98</v>
      </c>
      <c r="V2017" s="18" t="n"/>
      <c r="W2017" s="18" t="n"/>
      <c r="X2017" s="35" t="n">
        <v>11.088</v>
      </c>
      <c r="Y2017" s="35" t="n"/>
    </row>
    <row r="2018">
      <c r="A2018" s="25" t="n">
        <v>41795</v>
      </c>
      <c r="B2018" s="18" t="n">
        <v>51558.79</v>
      </c>
      <c r="C2018" s="31" t="n"/>
      <c r="D2018" s="32" t="n"/>
      <c r="E2018" s="33" t="n">
        <v>0.0433</v>
      </c>
      <c r="F2018" t="inlineStr">
        <is>
          <t>Up</t>
        </is>
      </c>
      <c r="G2018" t="inlineStr">
        <is>
          <t>Up</t>
        </is>
      </c>
      <c r="H2018" t="inlineStr">
        <is>
          <t>EU_JU</t>
        </is>
      </c>
      <c r="I2018" t="inlineStr">
        <is>
          <t>2014-06</t>
        </is>
      </c>
      <c r="J2018" t="n">
        <v>1</v>
      </c>
      <c r="K2018" t="n">
        <v>1</v>
      </c>
      <c r="L2018" s="34">
        <f>IF($J2018=1,LN(B2019/B2018),"")</f>
        <v/>
      </c>
      <c r="M2018" s="34">
        <f>IF($K2018=1,INDEX(Mensal!$D$2:$D$245,MATCH($I2018,Mensal!$A$2:$A$245,0)),"")</f>
        <v/>
      </c>
      <c r="N2018" s="34">
        <f>IF($K2018=1,L2018-M2018,"")</f>
        <v/>
      </c>
      <c r="O2018" s="34" t="n">
        <v>0.00040705</v>
      </c>
      <c r="P2018" s="34">
        <f>IF($J2018=1,LN(1+O2018),"")</f>
        <v/>
      </c>
      <c r="Q2018" s="34">
        <f>IF($J2018=1,LN(R2019/R2018),"")</f>
        <v/>
      </c>
      <c r="R2018" s="32" t="n">
        <v>2.2695</v>
      </c>
      <c r="S2018" s="35" t="n">
        <v>10.997</v>
      </c>
      <c r="T2018" s="18" t="n"/>
      <c r="U2018" s="18" t="n">
        <v>51558.79</v>
      </c>
      <c r="V2018" s="18" t="n"/>
      <c r="W2018" s="18" t="n"/>
      <c r="X2018" s="35" t="n">
        <v>10.997</v>
      </c>
      <c r="Y2018" s="35" t="n"/>
    </row>
    <row r="2019">
      <c r="A2019" s="25" t="n">
        <v>41796</v>
      </c>
      <c r="B2019" s="18" t="n">
        <v>53128.66</v>
      </c>
      <c r="C2019" s="31" t="n"/>
      <c r="D2019" s="32" t="n"/>
      <c r="E2019" s="33" t="n">
        <v>0.032</v>
      </c>
      <c r="F2019" t="inlineStr">
        <is>
          <t>Up</t>
        </is>
      </c>
      <c r="G2019" t="inlineStr">
        <is>
          <t>Up</t>
        </is>
      </c>
      <c r="H2019" t="inlineStr">
        <is>
          <t>EU_JU</t>
        </is>
      </c>
      <c r="I2019" t="inlineStr">
        <is>
          <t>2014-06</t>
        </is>
      </c>
      <c r="J2019" t="n">
        <v>1</v>
      </c>
      <c r="K2019" t="n">
        <v>1</v>
      </c>
      <c r="L2019" s="34">
        <f>IF($J2019=1,LN(B2020/B2019),"")</f>
        <v/>
      </c>
      <c r="M2019" s="34">
        <f>IF($K2019=1,INDEX(Mensal!$D$2:$D$245,MATCH($I2019,Mensal!$A$2:$A$245,0)),"")</f>
        <v/>
      </c>
      <c r="N2019" s="34">
        <f>IF($K2019=1,L2019-M2019,"")</f>
        <v/>
      </c>
      <c r="O2019" s="34" t="n">
        <v>0.00040705</v>
      </c>
      <c r="P2019" s="34">
        <f>IF($J2019=1,LN(1+O2019),"")</f>
        <v/>
      </c>
      <c r="Q2019" s="34">
        <f>IF($J2019=1,LN(R2020/R2019),"")</f>
        <v/>
      </c>
      <c r="R2019" s="32" t="n">
        <v>2.2445</v>
      </c>
      <c r="S2019" s="35" t="n">
        <v>10.942</v>
      </c>
      <c r="T2019" s="18" t="n"/>
      <c r="U2019" s="18" t="n">
        <v>53128.66</v>
      </c>
      <c r="V2019" s="18" t="n"/>
      <c r="W2019" s="18" t="n"/>
      <c r="X2019" s="35" t="n">
        <v>10.942</v>
      </c>
      <c r="Y2019" s="35" t="n"/>
    </row>
    <row r="2020">
      <c r="A2020" s="25" t="n">
        <v>41799</v>
      </c>
      <c r="B2020" s="18" t="n">
        <v>54273.16</v>
      </c>
      <c r="C2020" s="31" t="n"/>
      <c r="D2020" s="32" t="n"/>
      <c r="E2020" s="33" t="n">
        <v>0.0183</v>
      </c>
      <c r="F2020" t="inlineStr">
        <is>
          <t>Up</t>
        </is>
      </c>
      <c r="G2020" t="inlineStr">
        <is>
          <t>Up</t>
        </is>
      </c>
      <c r="H2020" t="inlineStr">
        <is>
          <t>EU_JU</t>
        </is>
      </c>
      <c r="I2020" t="inlineStr">
        <is>
          <t>2014-06</t>
        </is>
      </c>
      <c r="J2020" t="n">
        <v>1</v>
      </c>
      <c r="K2020" t="n">
        <v>1</v>
      </c>
      <c r="L2020" s="34">
        <f>IF($J2020=1,LN(B2021/B2020),"")</f>
        <v/>
      </c>
      <c r="M2020" s="34">
        <f>IF($K2020=1,INDEX(Mensal!$D$2:$D$245,MATCH($I2020,Mensal!$A$2:$A$245,0)),"")</f>
        <v/>
      </c>
      <c r="N2020" s="34">
        <f>IF($K2020=1,L2020-M2020,"")</f>
        <v/>
      </c>
      <c r="O2020" s="34" t="n">
        <v>0.00040849</v>
      </c>
      <c r="P2020" s="34">
        <f>IF($J2020=1,LN(1+O2020),"")</f>
        <v/>
      </c>
      <c r="Q2020" s="34">
        <f>IF($J2020=1,LN(R2021/R2020),"")</f>
        <v/>
      </c>
      <c r="R2020" s="32" t="n">
        <v>2.2336</v>
      </c>
      <c r="S2020" s="35" t="n">
        <v>10.973</v>
      </c>
      <c r="T2020" s="18" t="n"/>
      <c r="U2020" s="18" t="n">
        <v>54273.16</v>
      </c>
      <c r="V2020" s="18" t="n"/>
      <c r="W2020" s="18" t="n"/>
      <c r="X2020" s="35" t="n">
        <v>10.973</v>
      </c>
      <c r="Y2020" s="35" t="n"/>
    </row>
    <row r="2021">
      <c r="A2021" s="25" t="n">
        <v>41800</v>
      </c>
      <c r="B2021" s="18" t="n">
        <v>54604.34</v>
      </c>
      <c r="C2021" s="31" t="n"/>
      <c r="D2021" s="32" t="n"/>
      <c r="E2021" s="33" t="n">
        <v>0.0044</v>
      </c>
      <c r="F2021" t="inlineStr">
        <is>
          <t>Up</t>
        </is>
      </c>
      <c r="G2021" t="inlineStr">
        <is>
          <t>Up</t>
        </is>
      </c>
      <c r="H2021" t="inlineStr">
        <is>
          <t>EU_JU</t>
        </is>
      </c>
      <c r="I2021" t="inlineStr">
        <is>
          <t>2014-06</t>
        </is>
      </c>
      <c r="J2021" t="n">
        <v>1</v>
      </c>
      <c r="K2021" t="n">
        <v>1</v>
      </c>
      <c r="L2021" s="34">
        <f>IF($J2021=1,LN(B2022/B2021),"")</f>
        <v/>
      </c>
      <c r="M2021" s="34">
        <f>IF($K2021=1,INDEX(Mensal!$D$2:$D$245,MATCH($I2021,Mensal!$A$2:$A$245,0)),"")</f>
        <v/>
      </c>
      <c r="N2021" s="34">
        <f>IF($K2021=1,L2021-M2021,"")</f>
        <v/>
      </c>
      <c r="O2021" s="34" t="n">
        <v>0.00040705</v>
      </c>
      <c r="P2021" s="34">
        <f>IF($J2021=1,LN(1+O2021),"")</f>
        <v/>
      </c>
      <c r="Q2021" s="34">
        <f>IF($J2021=1,LN(R2022/R2021),"")</f>
        <v/>
      </c>
      <c r="R2021" s="32" t="n">
        <v>2.2296</v>
      </c>
      <c r="S2021" s="35" t="n">
        <v>10.991</v>
      </c>
      <c r="T2021" s="18" t="n"/>
      <c r="U2021" s="18" t="n">
        <v>54604.34</v>
      </c>
      <c r="V2021" s="18" t="n"/>
      <c r="W2021" s="18" t="n"/>
      <c r="X2021" s="35" t="n">
        <v>10.991</v>
      </c>
      <c r="Y2021" s="35" t="n"/>
    </row>
    <row r="2022">
      <c r="A2022" s="25" t="n">
        <v>41801</v>
      </c>
      <c r="B2022" s="18" t="n">
        <v>55102.44</v>
      </c>
      <c r="C2022" s="31" t="n"/>
      <c r="D2022" s="32" t="n"/>
      <c r="E2022" s="33" t="n">
        <v>-0.0071</v>
      </c>
      <c r="F2022" t="inlineStr">
        <is>
          <t>Up</t>
        </is>
      </c>
      <c r="G2022" t="inlineStr">
        <is>
          <t>Up</t>
        </is>
      </c>
      <c r="H2022" t="inlineStr">
        <is>
          <t>EU_JU</t>
        </is>
      </c>
      <c r="I2022" t="inlineStr">
        <is>
          <t>2014-06</t>
        </is>
      </c>
      <c r="J2022" t="n">
        <v>1</v>
      </c>
      <c r="K2022" t="n">
        <v>1</v>
      </c>
      <c r="L2022" s="34">
        <f>IF($J2022=1,LN(B2023/B2022),"")</f>
        <v/>
      </c>
      <c r="M2022" s="34">
        <f>IF($K2022=1,INDEX(Mensal!$D$2:$D$245,MATCH($I2022,Mensal!$A$2:$A$245,0)),"")</f>
        <v/>
      </c>
      <c r="N2022" s="34">
        <f>IF($K2022=1,L2022-M2022,"")</f>
        <v/>
      </c>
      <c r="O2022" s="34" t="n">
        <v>0.00040705</v>
      </c>
      <c r="P2022" s="34">
        <f>IF($J2022=1,LN(1+O2022),"")</f>
        <v/>
      </c>
      <c r="Q2022" s="34">
        <f>IF($J2022=1,LN(R2023/R2022),"")</f>
        <v/>
      </c>
      <c r="R2022" s="32" t="n">
        <v>2.2307</v>
      </c>
      <c r="S2022" s="35" t="n">
        <v>11.011</v>
      </c>
      <c r="T2022" s="18" t="n"/>
      <c r="U2022" s="18" t="n">
        <v>55102.44</v>
      </c>
      <c r="V2022" s="18" t="n"/>
      <c r="W2022" s="18" t="n"/>
      <c r="X2022" s="35" t="n">
        <v>11.011</v>
      </c>
      <c r="Y2022" s="35" t="n"/>
    </row>
    <row r="2023">
      <c r="A2023" s="25" t="n">
        <v>41803</v>
      </c>
      <c r="B2023" s="18" t="n">
        <v>54806.64</v>
      </c>
      <c r="C2023" s="31" t="n"/>
      <c r="D2023" s="32" t="n"/>
      <c r="E2023" s="33" t="n">
        <v>-0.022</v>
      </c>
      <c r="F2023" t="inlineStr">
        <is>
          <t>Up</t>
        </is>
      </c>
      <c r="G2023" t="inlineStr">
        <is>
          <t>Up</t>
        </is>
      </c>
      <c r="H2023" t="inlineStr">
        <is>
          <t>EU_JU</t>
        </is>
      </c>
      <c r="I2023" t="inlineStr">
        <is>
          <t>2014-06</t>
        </is>
      </c>
      <c r="J2023" t="n">
        <v>1</v>
      </c>
      <c r="K2023" t="n">
        <v>1</v>
      </c>
      <c r="L2023" s="34">
        <f>IF($J2023=1,LN(B2024/B2023),"")</f>
        <v/>
      </c>
      <c r="M2023" s="34">
        <f>IF($K2023=1,INDEX(Mensal!$D$2:$D$245,MATCH($I2023,Mensal!$A$2:$A$245,0)),"")</f>
        <v/>
      </c>
      <c r="N2023" s="34">
        <f>IF($K2023=1,L2023-M2023,"")</f>
        <v/>
      </c>
      <c r="O2023" s="34" t="n">
        <v>0.00040705</v>
      </c>
      <c r="P2023" s="34">
        <f>IF($J2023=1,LN(1+O2023),"")</f>
        <v/>
      </c>
      <c r="Q2023" s="34">
        <f>IF($J2023=1,LN(R2024/R2023),"")</f>
        <v/>
      </c>
      <c r="R2023" s="32" t="n">
        <v>2.2347</v>
      </c>
      <c r="S2023" s="35" t="n">
        <v>10.943</v>
      </c>
      <c r="T2023" s="18" t="n"/>
      <c r="U2023" s="18" t="n">
        <v>54806.64</v>
      </c>
      <c r="V2023" s="18" t="n"/>
      <c r="W2023" s="18" t="n"/>
      <c r="X2023" s="35" t="n">
        <v>10.943</v>
      </c>
      <c r="Y2023" s="35" t="n"/>
    </row>
    <row r="2024">
      <c r="A2024" s="25" t="n">
        <v>41806</v>
      </c>
      <c r="B2024" s="18" t="n">
        <v>54629.55</v>
      </c>
      <c r="C2024" s="31" t="n"/>
      <c r="D2024" s="32" t="n"/>
      <c r="E2024" s="33" t="n">
        <v>-0.0315</v>
      </c>
      <c r="F2024" t="inlineStr">
        <is>
          <t>Up</t>
        </is>
      </c>
      <c r="G2024" t="inlineStr">
        <is>
          <t>Up</t>
        </is>
      </c>
      <c r="H2024" t="inlineStr">
        <is>
          <t>EU_JU</t>
        </is>
      </c>
      <c r="I2024" t="inlineStr">
        <is>
          <t>2014-06</t>
        </is>
      </c>
      <c r="J2024" t="n">
        <v>1</v>
      </c>
      <c r="K2024" t="n">
        <v>1</v>
      </c>
      <c r="L2024" s="34">
        <f>IF($J2024=1,LN(B2025/B2024),"")</f>
        <v/>
      </c>
      <c r="M2024" s="34">
        <f>IF($K2024=1,INDEX(Mensal!$D$2:$D$245,MATCH($I2024,Mensal!$A$2:$A$245,0)),"")</f>
        <v/>
      </c>
      <c r="N2024" s="34">
        <f>IF($K2024=1,L2024-M2024,"")</f>
        <v/>
      </c>
      <c r="O2024" s="34" t="n">
        <v>0.00040705</v>
      </c>
      <c r="P2024" s="34">
        <f>IF($J2024=1,LN(1+O2024),"")</f>
        <v/>
      </c>
      <c r="Q2024" s="34">
        <f>IF($J2024=1,LN(R2025/R2024),"")</f>
        <v/>
      </c>
      <c r="R2024" s="32" t="n">
        <v>2.2313</v>
      </c>
      <c r="S2024" s="35" t="n">
        <v>10.974</v>
      </c>
      <c r="T2024" s="18" t="n"/>
      <c r="U2024" s="18" t="n">
        <v>54629.55</v>
      </c>
      <c r="V2024" s="18" t="n"/>
      <c r="W2024" s="18" t="n"/>
      <c r="X2024" s="35" t="n">
        <v>10.974</v>
      </c>
      <c r="Y2024" s="35" t="n"/>
    </row>
    <row r="2025">
      <c r="A2025" s="25" t="n">
        <v>41807</v>
      </c>
      <c r="B2025" s="18" t="n">
        <v>54299.95</v>
      </c>
      <c r="C2025" s="31" t="n"/>
      <c r="D2025" s="32" t="n"/>
      <c r="E2025" s="33" t="n">
        <v>-0.0412</v>
      </c>
      <c r="F2025" t="inlineStr">
        <is>
          <t>Up</t>
        </is>
      </c>
      <c r="G2025" t="inlineStr">
        <is>
          <t>Up</t>
        </is>
      </c>
      <c r="H2025" t="inlineStr">
        <is>
          <t>EU_JU</t>
        </is>
      </c>
      <c r="I2025" t="inlineStr">
        <is>
          <t>2014-06</t>
        </is>
      </c>
      <c r="J2025" t="n">
        <v>1</v>
      </c>
      <c r="K2025" t="n">
        <v>1</v>
      </c>
      <c r="L2025" s="34">
        <f>IF($J2025=1,LN(B2026/B2025),"")</f>
        <v/>
      </c>
      <c r="M2025" s="34">
        <f>IF($K2025=1,INDEX(Mensal!$D$2:$D$245,MATCH($I2025,Mensal!$A$2:$A$245,0)),"")</f>
        <v/>
      </c>
      <c r="N2025" s="34">
        <f>IF($K2025=1,L2025-M2025,"")</f>
        <v/>
      </c>
      <c r="O2025" s="34" t="n">
        <v>0.00040705</v>
      </c>
      <c r="P2025" s="34">
        <f>IF($J2025=1,LN(1+O2025),"")</f>
        <v/>
      </c>
      <c r="Q2025" s="34">
        <f>IF($J2025=1,LN(R2026/R2025),"")</f>
        <v/>
      </c>
      <c r="R2025" s="32" t="n">
        <v>2.2486</v>
      </c>
      <c r="S2025" s="35" t="n">
        <v>10.974</v>
      </c>
      <c r="T2025" s="18" t="n"/>
      <c r="U2025" s="18" t="n">
        <v>54299.95</v>
      </c>
      <c r="V2025" s="18" t="n"/>
      <c r="W2025" s="18" t="n"/>
      <c r="X2025" s="35" t="n">
        <v>10.974</v>
      </c>
      <c r="Y2025" s="35" t="n"/>
    </row>
    <row r="2026">
      <c r="A2026" s="25" t="n">
        <v>41808</v>
      </c>
      <c r="B2026" s="18" t="n">
        <v>55202.54</v>
      </c>
      <c r="C2026" s="31" t="n"/>
      <c r="D2026" s="32" t="n"/>
      <c r="E2026" s="33" t="n">
        <v>-0.0509</v>
      </c>
      <c r="F2026" t="inlineStr">
        <is>
          <t>Up</t>
        </is>
      </c>
      <c r="G2026" t="inlineStr">
        <is>
          <t>Up</t>
        </is>
      </c>
      <c r="H2026" t="inlineStr">
        <is>
          <t>EU_JU</t>
        </is>
      </c>
      <c r="I2026" t="inlineStr">
        <is>
          <t>2014-06</t>
        </is>
      </c>
      <c r="J2026" t="n">
        <v>1</v>
      </c>
      <c r="K2026" t="n">
        <v>1</v>
      </c>
      <c r="L2026" s="34">
        <f>IF($J2026=1,LN(B2027/B2026),"")</f>
        <v/>
      </c>
      <c r="M2026" s="34">
        <f>IF($K2026=1,INDEX(Mensal!$D$2:$D$245,MATCH($I2026,Mensal!$A$2:$A$245,0)),"")</f>
        <v/>
      </c>
      <c r="N2026" s="34">
        <f>IF($K2026=1,L2026-M2026,"")</f>
        <v/>
      </c>
      <c r="O2026" s="34" t="n">
        <v>0.00040705</v>
      </c>
      <c r="P2026" s="34">
        <f>IF($J2026=1,LN(1+O2026),"")</f>
        <v/>
      </c>
      <c r="Q2026" s="34">
        <f>IF($J2026=1,LN(R2027/R2026),"")</f>
        <v/>
      </c>
      <c r="R2026" s="32" t="n">
        <v>2.2534</v>
      </c>
      <c r="S2026" s="35" t="n">
        <v>10.948</v>
      </c>
      <c r="T2026" s="18" t="n"/>
      <c r="U2026" s="18" t="n">
        <v>55202.54</v>
      </c>
      <c r="V2026" s="18" t="n"/>
      <c r="W2026" s="18" t="n"/>
      <c r="X2026" s="35" t="n">
        <v>10.948</v>
      </c>
      <c r="Y2026" s="35" t="n"/>
    </row>
    <row r="2027">
      <c r="A2027" s="25" t="n">
        <v>41810</v>
      </c>
      <c r="B2027" s="18" t="n">
        <v>54638.19</v>
      </c>
      <c r="C2027" s="31" t="n"/>
      <c r="D2027" s="32" t="n"/>
      <c r="E2027" s="33" t="n">
        <v>-0.0593</v>
      </c>
      <c r="F2027" t="inlineStr">
        <is>
          <t>Up</t>
        </is>
      </c>
      <c r="G2027" t="inlineStr">
        <is>
          <t>Up</t>
        </is>
      </c>
      <c r="H2027" t="inlineStr">
        <is>
          <t>EU_JU</t>
        </is>
      </c>
      <c r="I2027" t="inlineStr">
        <is>
          <t>2014-06</t>
        </is>
      </c>
      <c r="J2027" t="n">
        <v>1</v>
      </c>
      <c r="K2027" t="n">
        <v>1</v>
      </c>
      <c r="L2027" s="34">
        <f>IF($J2027=1,LN(B2028/B2027),"")</f>
        <v/>
      </c>
      <c r="M2027" s="34">
        <f>IF($K2027=1,INDEX(Mensal!$D$2:$D$245,MATCH($I2027,Mensal!$A$2:$A$245,0)),"")</f>
        <v/>
      </c>
      <c r="N2027" s="34">
        <f>IF($K2027=1,L2027-M2027,"")</f>
        <v/>
      </c>
      <c r="O2027" s="34" t="n">
        <v>0.00040705</v>
      </c>
      <c r="P2027" s="34">
        <f>IF($J2027=1,LN(1+O2027),"")</f>
        <v/>
      </c>
      <c r="Q2027" s="34">
        <f>IF($J2027=1,LN(R2028/R2027),"")</f>
        <v/>
      </c>
      <c r="R2027" s="32" t="n">
        <v>2.238</v>
      </c>
      <c r="S2027" s="35" t="n">
        <v>10.948</v>
      </c>
      <c r="T2027" s="18" t="n"/>
      <c r="U2027" s="18" t="n">
        <v>54638.19</v>
      </c>
      <c r="V2027" s="18" t="n"/>
      <c r="W2027" s="18" t="n"/>
      <c r="X2027" s="35" t="n">
        <v>10.948</v>
      </c>
      <c r="Y2027" s="35" t="n"/>
    </row>
    <row r="2028">
      <c r="A2028" s="25" t="n">
        <v>41813</v>
      </c>
      <c r="B2028" s="18" t="n">
        <v>54210.05</v>
      </c>
      <c r="C2028" s="31" t="n"/>
      <c r="D2028" s="32" t="n"/>
      <c r="E2028" s="33" t="n">
        <v>-0.0653</v>
      </c>
      <c r="F2028" t="inlineStr">
        <is>
          <t>Up</t>
        </is>
      </c>
      <c r="G2028" t="inlineStr">
        <is>
          <t>Up</t>
        </is>
      </c>
      <c r="H2028" t="inlineStr">
        <is>
          <t>EU_JU</t>
        </is>
      </c>
      <c r="I2028" t="inlineStr">
        <is>
          <t>2014-06</t>
        </is>
      </c>
      <c r="J2028" t="n">
        <v>1</v>
      </c>
      <c r="K2028" t="n">
        <v>1</v>
      </c>
      <c r="L2028" s="34">
        <f>IF($J2028=1,LN(B2029/B2028),"")</f>
        <v/>
      </c>
      <c r="M2028" s="34">
        <f>IF($K2028=1,INDEX(Mensal!$D$2:$D$245,MATCH($I2028,Mensal!$A$2:$A$245,0)),"")</f>
        <v/>
      </c>
      <c r="N2028" s="34">
        <f>IF($K2028=1,L2028-M2028,"")</f>
        <v/>
      </c>
      <c r="O2028" s="34" t="n">
        <v>0.00040705</v>
      </c>
      <c r="P2028" s="34">
        <f>IF($J2028=1,LN(1+O2028),"")</f>
        <v/>
      </c>
      <c r="Q2028" s="34">
        <f>IF($J2028=1,LN(R2029/R2028),"")</f>
        <v/>
      </c>
      <c r="R2028" s="32" t="n">
        <v>2.2195</v>
      </c>
      <c r="S2028" s="35" t="n">
        <v>10.944</v>
      </c>
      <c r="T2028" s="18" t="n"/>
      <c r="U2028" s="18" t="n">
        <v>54210.05</v>
      </c>
      <c r="V2028" s="18" t="n"/>
      <c r="W2028" s="18" t="n"/>
      <c r="X2028" s="35" t="n">
        <v>10.944</v>
      </c>
      <c r="Y2028" s="35" t="n"/>
    </row>
    <row r="2029">
      <c r="A2029" s="25" t="n">
        <v>41814</v>
      </c>
      <c r="B2029" s="18" t="n">
        <v>54280.78</v>
      </c>
      <c r="C2029" s="31" t="n"/>
      <c r="D2029" s="32" t="n"/>
      <c r="E2029" s="33" t="n">
        <v>-0.07679999999999999</v>
      </c>
      <c r="F2029" t="inlineStr">
        <is>
          <t>Up</t>
        </is>
      </c>
      <c r="G2029" t="inlineStr">
        <is>
          <t>Up</t>
        </is>
      </c>
      <c r="H2029" t="inlineStr">
        <is>
          <t>EU_JU</t>
        </is>
      </c>
      <c r="I2029" t="inlineStr">
        <is>
          <t>2014-06</t>
        </is>
      </c>
      <c r="J2029" t="n">
        <v>1</v>
      </c>
      <c r="K2029" t="n">
        <v>1</v>
      </c>
      <c r="L2029" s="34">
        <f>IF($J2029=1,LN(B2030/B2029),"")</f>
        <v/>
      </c>
      <c r="M2029" s="34">
        <f>IF($K2029=1,INDEX(Mensal!$D$2:$D$245,MATCH($I2029,Mensal!$A$2:$A$245,0)),"")</f>
        <v/>
      </c>
      <c r="N2029" s="34">
        <f>IF($K2029=1,L2029-M2029,"")</f>
        <v/>
      </c>
      <c r="O2029" s="34" t="n">
        <v>0.00040705</v>
      </c>
      <c r="P2029" s="34">
        <f>IF($J2029=1,LN(1+O2029),"")</f>
        <v/>
      </c>
      <c r="Q2029" s="34">
        <f>IF($J2029=1,LN(R2030/R2029),"")</f>
        <v/>
      </c>
      <c r="R2029" s="32" t="n">
        <v>2.2217</v>
      </c>
      <c r="S2029" s="35" t="n">
        <v>10.919</v>
      </c>
      <c r="T2029" s="18" t="n"/>
      <c r="U2029" s="18" t="n">
        <v>54280.78</v>
      </c>
      <c r="V2029" s="18" t="n"/>
      <c r="W2029" s="18" t="n"/>
      <c r="X2029" s="35" t="n">
        <v>10.919</v>
      </c>
      <c r="Y2029" s="35" t="n"/>
    </row>
    <row r="2030">
      <c r="A2030" s="25" t="n">
        <v>41815</v>
      </c>
      <c r="B2030" s="18" t="n">
        <v>53425.74</v>
      </c>
      <c r="C2030" s="31" t="n"/>
      <c r="D2030" s="32" t="n"/>
      <c r="E2030" s="33" t="n">
        <v>-0.0926</v>
      </c>
      <c r="F2030" t="inlineStr">
        <is>
          <t>Up</t>
        </is>
      </c>
      <c r="G2030" t="inlineStr">
        <is>
          <t>Up</t>
        </is>
      </c>
      <c r="H2030" t="inlineStr">
        <is>
          <t>EU_JU</t>
        </is>
      </c>
      <c r="I2030" t="inlineStr">
        <is>
          <t>2014-06</t>
        </is>
      </c>
      <c r="J2030" t="n">
        <v>1</v>
      </c>
      <c r="K2030" t="n">
        <v>1</v>
      </c>
      <c r="L2030" s="34">
        <f>IF($J2030=1,LN(B2031/B2030),"")</f>
        <v/>
      </c>
      <c r="M2030" s="34">
        <f>IF($K2030=1,INDEX(Mensal!$D$2:$D$245,MATCH($I2030,Mensal!$A$2:$A$245,0)),"")</f>
        <v/>
      </c>
      <c r="N2030" s="34">
        <f>IF($K2030=1,L2030-M2030,"")</f>
        <v/>
      </c>
      <c r="O2030" s="34" t="n">
        <v>0.00040705</v>
      </c>
      <c r="P2030" s="34">
        <f>IF($J2030=1,LN(1+O2030),"")</f>
        <v/>
      </c>
      <c r="Q2030" s="34">
        <f>IF($J2030=1,LN(R2031/R2030),"")</f>
        <v/>
      </c>
      <c r="R2030" s="32" t="n">
        <v>2.2052</v>
      </c>
      <c r="S2030" s="35" t="n">
        <v>10.901</v>
      </c>
      <c r="T2030" s="18" t="n"/>
      <c r="U2030" s="18" t="n">
        <v>53425.74</v>
      </c>
      <c r="V2030" s="18" t="n"/>
      <c r="W2030" s="18" t="n"/>
      <c r="X2030" s="35" t="n">
        <v>10.901</v>
      </c>
      <c r="Y2030" s="35" t="n"/>
    </row>
    <row r="2031">
      <c r="A2031" s="25" t="n">
        <v>41816</v>
      </c>
      <c r="B2031" s="18" t="n">
        <v>53506.75</v>
      </c>
      <c r="C2031" s="31" t="n"/>
      <c r="D2031" s="32" t="n"/>
      <c r="E2031" s="33" t="n">
        <v>-0.11</v>
      </c>
      <c r="F2031" t="inlineStr">
        <is>
          <t>Up</t>
        </is>
      </c>
      <c r="G2031" t="inlineStr">
        <is>
          <t>Up</t>
        </is>
      </c>
      <c r="H2031" t="inlineStr">
        <is>
          <t>EU_JU</t>
        </is>
      </c>
      <c r="I2031" t="inlineStr">
        <is>
          <t>2014-06</t>
        </is>
      </c>
      <c r="J2031" t="n">
        <v>1</v>
      </c>
      <c r="K2031" t="n">
        <v>1</v>
      </c>
      <c r="L2031" s="34">
        <f>IF($J2031=1,LN(B2032/B2031),"")</f>
        <v/>
      </c>
      <c r="M2031" s="34">
        <f>IF($K2031=1,INDEX(Mensal!$D$2:$D$245,MATCH($I2031,Mensal!$A$2:$A$245,0)),"")</f>
        <v/>
      </c>
      <c r="N2031" s="34">
        <f>IF($K2031=1,L2031-M2031,"")</f>
        <v/>
      </c>
      <c r="O2031" s="34" t="n">
        <v>0.00040705</v>
      </c>
      <c r="P2031" s="34">
        <f>IF($J2031=1,LN(1+O2031),"")</f>
        <v/>
      </c>
      <c r="Q2031" s="34">
        <f>IF($J2031=1,LN(R2032/R2031),"")</f>
        <v/>
      </c>
      <c r="R2031" s="32" t="n">
        <v>2.2089</v>
      </c>
      <c r="S2031" s="35" t="n">
        <v>10.912</v>
      </c>
      <c r="T2031" s="18" t="n"/>
      <c r="U2031" s="18" t="n">
        <v>53506.75</v>
      </c>
      <c r="V2031" s="18" t="n"/>
      <c r="W2031" s="18" t="n"/>
      <c r="X2031" s="35" t="n">
        <v>10.912</v>
      </c>
      <c r="Y2031" s="35" t="n"/>
    </row>
    <row r="2032">
      <c r="A2032" s="25" t="n">
        <v>41817</v>
      </c>
      <c r="B2032" s="18" t="n">
        <v>53157.3</v>
      </c>
      <c r="C2032" s="31" t="n"/>
      <c r="D2032" s="32" t="n"/>
      <c r="E2032" s="33" t="n">
        <v>-0.1276</v>
      </c>
      <c r="F2032" t="inlineStr">
        <is>
          <t>Up</t>
        </is>
      </c>
      <c r="G2032" t="inlineStr">
        <is>
          <t>Up</t>
        </is>
      </c>
      <c r="H2032" t="inlineStr">
        <is>
          <t>EU_JU</t>
        </is>
      </c>
      <c r="I2032" t="inlineStr">
        <is>
          <t>2014-06</t>
        </is>
      </c>
      <c r="J2032" t="n">
        <v>1</v>
      </c>
      <c r="K2032" t="n">
        <v>1</v>
      </c>
      <c r="L2032" s="34">
        <f>IF($J2032=1,LN(B2033/B2032),"")</f>
        <v/>
      </c>
      <c r="M2032" s="34">
        <f>IF($K2032=1,INDEX(Mensal!$D$2:$D$245,MATCH($I2032,Mensal!$A$2:$A$245,0)),"")</f>
        <v/>
      </c>
      <c r="N2032" s="34">
        <f>IF($K2032=1,L2032-M2032,"")</f>
        <v/>
      </c>
      <c r="O2032" s="34" t="n">
        <v>0.00040705</v>
      </c>
      <c r="P2032" s="34">
        <f>IF($J2032=1,LN(1+O2032),"")</f>
        <v/>
      </c>
      <c r="Q2032" s="34">
        <f>IF($J2032=1,LN(R2033/R2032),"")</f>
        <v/>
      </c>
      <c r="R2032" s="32" t="n">
        <v>2.1975</v>
      </c>
      <c r="S2032" s="35" t="n">
        <v>10.911</v>
      </c>
      <c r="T2032" s="18" t="n"/>
      <c r="U2032" s="18" t="n">
        <v>53157.3</v>
      </c>
      <c r="V2032" s="18" t="n"/>
      <c r="W2032" s="18" t="n"/>
      <c r="X2032" s="35" t="n">
        <v>10.911</v>
      </c>
      <c r="Y2032" s="35" t="n"/>
    </row>
    <row r="2033">
      <c r="A2033" s="25" t="n">
        <v>41820</v>
      </c>
      <c r="B2033" s="18" t="n">
        <v>53168.22</v>
      </c>
      <c r="C2033" s="31" t="n"/>
      <c r="D2033" s="32" t="n"/>
      <c r="E2033" s="33" t="n">
        <v>-0.1372</v>
      </c>
      <c r="F2033" t="inlineStr">
        <is>
          <t>Up</t>
        </is>
      </c>
      <c r="G2033" t="inlineStr">
        <is>
          <t>Up</t>
        </is>
      </c>
      <c r="H2033" t="inlineStr">
        <is>
          <t>EU_JU</t>
        </is>
      </c>
      <c r="I2033" t="inlineStr">
        <is>
          <t>2014-06</t>
        </is>
      </c>
      <c r="J2033" t="n">
        <v>1</v>
      </c>
      <c r="K2033" t="n">
        <v>1</v>
      </c>
      <c r="L2033" s="34">
        <f>IF($J2033=1,LN(B2034/B2033),"")</f>
        <v/>
      </c>
      <c r="M2033" s="34">
        <f>IF($K2033=1,INDEX(Mensal!$D$2:$D$245,MATCH($I2033,Mensal!$A$2:$A$245,0)),"")</f>
        <v/>
      </c>
      <c r="N2033" s="34">
        <f>IF($K2033=1,L2033-M2033,"")</f>
        <v/>
      </c>
      <c r="O2033" s="34" t="n">
        <v>0.00040705</v>
      </c>
      <c r="P2033" s="34">
        <f>IF($J2033=1,LN(1+O2033),"")</f>
        <v/>
      </c>
      <c r="Q2033" s="34">
        <f>IF($J2033=1,LN(R2034/R2033),"")</f>
        <v/>
      </c>
      <c r="R2033" s="32" t="n">
        <v>2.2025</v>
      </c>
      <c r="S2033" s="35" t="n">
        <v>10.905</v>
      </c>
      <c r="T2033" s="18" t="n"/>
      <c r="U2033" s="18" t="n">
        <v>53168.22</v>
      </c>
      <c r="V2033" s="18" t="n"/>
      <c r="W2033" s="18" t="n"/>
      <c r="X2033" s="35" t="n">
        <v>10.905</v>
      </c>
      <c r="Y2033" s="35" t="n"/>
    </row>
    <row r="2034">
      <c r="A2034" s="25" t="n">
        <v>41821</v>
      </c>
      <c r="B2034" s="18" t="n">
        <v>53171.49</v>
      </c>
      <c r="C2034" s="31" t="n"/>
      <c r="D2034" s="32" t="n"/>
      <c r="E2034" s="33" t="n">
        <v>-0.1476</v>
      </c>
      <c r="F2034" t="inlineStr">
        <is>
          <t>Up</t>
        </is>
      </c>
      <c r="G2034" t="inlineStr">
        <is>
          <t>Up</t>
        </is>
      </c>
      <c r="H2034" t="inlineStr">
        <is>
          <t>EU_JU</t>
        </is>
      </c>
      <c r="I2034" t="inlineStr">
        <is>
          <t>2014-07</t>
        </is>
      </c>
      <c r="J2034" t="n">
        <v>1</v>
      </c>
      <c r="K2034" t="n">
        <v>1</v>
      </c>
      <c r="L2034" s="34">
        <f>IF($J2034=1,LN(B2035/B2034),"")</f>
        <v/>
      </c>
      <c r="M2034" s="34">
        <f>IF($K2034=1,INDEX(Mensal!$D$2:$D$245,MATCH($I2034,Mensal!$A$2:$A$245,0)),"")</f>
        <v/>
      </c>
      <c r="N2034" s="34">
        <f>IF($K2034=1,L2034-M2034,"")</f>
        <v/>
      </c>
      <c r="O2034" s="34" t="n">
        <v>0.00040705</v>
      </c>
      <c r="P2034" s="34">
        <f>IF($J2034=1,LN(1+O2034),"")</f>
        <v/>
      </c>
      <c r="Q2034" s="34">
        <f>IF($J2034=1,LN(R2035/R2034),"")</f>
        <v/>
      </c>
      <c r="R2034" s="32" t="n">
        <v>2.2054</v>
      </c>
      <c r="S2034" s="35" t="n">
        <v>10.867</v>
      </c>
      <c r="T2034" s="18" t="n"/>
      <c r="U2034" s="18" t="n">
        <v>53171.49</v>
      </c>
      <c r="V2034" s="18" t="n"/>
      <c r="W2034" s="18" t="n"/>
      <c r="X2034" s="35" t="n">
        <v>10.867</v>
      </c>
      <c r="Y2034" s="35" t="n"/>
    </row>
    <row r="2035">
      <c r="A2035" s="25" t="n">
        <v>41822</v>
      </c>
      <c r="B2035" s="18" t="n">
        <v>53028.78</v>
      </c>
      <c r="C2035" s="31" t="n"/>
      <c r="D2035" s="32" t="n"/>
      <c r="E2035" s="33" t="n">
        <v>-0.1653</v>
      </c>
      <c r="F2035" t="inlineStr">
        <is>
          <t>Up</t>
        </is>
      </c>
      <c r="G2035" t="inlineStr">
        <is>
          <t>Up</t>
        </is>
      </c>
      <c r="H2035" t="inlineStr">
        <is>
          <t>EU_JU</t>
        </is>
      </c>
      <c r="I2035" t="inlineStr">
        <is>
          <t>2014-07</t>
        </is>
      </c>
      <c r="J2035" t="n">
        <v>1</v>
      </c>
      <c r="K2035" t="n">
        <v>1</v>
      </c>
      <c r="L2035" s="34">
        <f>IF($J2035=1,LN(B2036/B2035),"")</f>
        <v/>
      </c>
      <c r="M2035" s="34">
        <f>IF($K2035=1,INDEX(Mensal!$D$2:$D$245,MATCH($I2035,Mensal!$A$2:$A$245,0)),"")</f>
        <v/>
      </c>
      <c r="N2035" s="34">
        <f>IF($K2035=1,L2035-M2035,"")</f>
        <v/>
      </c>
      <c r="O2035" s="34" t="n">
        <v>0.00040705</v>
      </c>
      <c r="P2035" s="34">
        <f>IF($J2035=1,LN(1+O2035),"")</f>
        <v/>
      </c>
      <c r="Q2035" s="34">
        <f>IF($J2035=1,LN(R2036/R2035),"")</f>
        <v/>
      </c>
      <c r="R2035" s="32" t="n">
        <v>2.2134</v>
      </c>
      <c r="S2035" s="35" t="n">
        <v>10.878</v>
      </c>
      <c r="T2035" s="18" t="n"/>
      <c r="U2035" s="18" t="n">
        <v>53028.78</v>
      </c>
      <c r="V2035" s="18" t="n"/>
      <c r="W2035" s="18" t="n"/>
      <c r="X2035" s="35" t="n">
        <v>10.878</v>
      </c>
      <c r="Y2035" s="35" t="n"/>
    </row>
    <row r="2036">
      <c r="A2036" s="25" t="n">
        <v>41823</v>
      </c>
      <c r="B2036" s="18" t="n">
        <v>53874.58</v>
      </c>
      <c r="C2036" s="31" t="n"/>
      <c r="D2036" s="32" t="n"/>
      <c r="E2036" s="33" t="n">
        <v>-0.1844</v>
      </c>
      <c r="F2036" t="inlineStr">
        <is>
          <t>Up</t>
        </is>
      </c>
      <c r="G2036" t="inlineStr">
        <is>
          <t>Up</t>
        </is>
      </c>
      <c r="H2036" t="inlineStr">
        <is>
          <t>EU_JU</t>
        </is>
      </c>
      <c r="I2036" t="inlineStr">
        <is>
          <t>2014-07</t>
        </is>
      </c>
      <c r="J2036" t="n">
        <v>1</v>
      </c>
      <c r="K2036" t="n">
        <v>1</v>
      </c>
      <c r="L2036" s="34">
        <f>IF($J2036=1,LN(B2037/B2036),"")</f>
        <v/>
      </c>
      <c r="M2036" s="34">
        <f>IF($K2036=1,INDEX(Mensal!$D$2:$D$245,MATCH($I2036,Mensal!$A$2:$A$245,0)),"")</f>
        <v/>
      </c>
      <c r="N2036" s="34">
        <f>IF($K2036=1,L2036-M2036,"")</f>
        <v/>
      </c>
      <c r="O2036" s="34" t="n">
        <v>0.00040705</v>
      </c>
      <c r="P2036" s="34">
        <f>IF($J2036=1,LN(1+O2036),"")</f>
        <v/>
      </c>
      <c r="Q2036" s="34">
        <f>IF($J2036=1,LN(R2037/R2036),"")</f>
        <v/>
      </c>
      <c r="R2036" s="32" t="n">
        <v>2.2281</v>
      </c>
      <c r="S2036" s="35" t="n">
        <v>10.877</v>
      </c>
      <c r="T2036" s="18" t="n"/>
      <c r="U2036" s="18" t="n">
        <v>53874.58</v>
      </c>
      <c r="V2036" s="18" t="n"/>
      <c r="W2036" s="18" t="n"/>
      <c r="X2036" s="35" t="n">
        <v>10.877</v>
      </c>
      <c r="Y2036" s="35" t="n"/>
    </row>
    <row r="2037">
      <c r="A2037" s="25" t="n">
        <v>41824</v>
      </c>
      <c r="B2037" s="18" t="n">
        <v>54055.9</v>
      </c>
      <c r="C2037" s="31" t="n"/>
      <c r="D2037" s="32" t="n"/>
      <c r="E2037" s="33" t="n">
        <v>-0.2019</v>
      </c>
      <c r="F2037" t="inlineStr">
        <is>
          <t>Up</t>
        </is>
      </c>
      <c r="G2037" t="inlineStr">
        <is>
          <t>Up</t>
        </is>
      </c>
      <c r="H2037" t="inlineStr">
        <is>
          <t>EU_JU</t>
        </is>
      </c>
      <c r="I2037" t="inlineStr">
        <is>
          <t>2014-07</t>
        </is>
      </c>
      <c r="J2037" t="n">
        <v>1</v>
      </c>
      <c r="K2037" t="n">
        <v>1</v>
      </c>
      <c r="L2037" s="34">
        <f>IF($J2037=1,LN(B2038/B2037),"")</f>
        <v/>
      </c>
      <c r="M2037" s="34">
        <f>IF($K2037=1,INDEX(Mensal!$D$2:$D$245,MATCH($I2037,Mensal!$A$2:$A$245,0)),"")</f>
        <v/>
      </c>
      <c r="N2037" s="34">
        <f>IF($K2037=1,L2037-M2037,"")</f>
        <v/>
      </c>
      <c r="O2037" s="34" t="n">
        <v>0.00040705</v>
      </c>
      <c r="P2037" s="34">
        <f>IF($J2037=1,LN(1+O2037),"")</f>
        <v/>
      </c>
      <c r="Q2037" s="34">
        <f>IF($J2037=1,LN(R2038/R2037),"")</f>
        <v/>
      </c>
      <c r="R2037" s="32" t="n">
        <v>2.2149</v>
      </c>
      <c r="S2037" s="35" t="n">
        <v>10.887</v>
      </c>
      <c r="T2037" s="18" t="n"/>
      <c r="U2037" s="18" t="n">
        <v>54055.9</v>
      </c>
      <c r="V2037" s="18" t="n"/>
      <c r="W2037" s="18" t="n"/>
      <c r="X2037" s="35" t="n">
        <v>10.887</v>
      </c>
      <c r="Y2037" s="35" t="n"/>
    </row>
    <row r="2038">
      <c r="A2038" s="25" t="n">
        <v>41827</v>
      </c>
      <c r="B2038" s="18" t="n">
        <v>53801.83</v>
      </c>
      <c r="C2038" s="31" t="n"/>
      <c r="D2038" s="32" t="n"/>
      <c r="E2038" s="33" t="n">
        <v>-0.2208</v>
      </c>
      <c r="F2038" t="inlineStr">
        <is>
          <t>Up</t>
        </is>
      </c>
      <c r="G2038" t="inlineStr">
        <is>
          <t>Up</t>
        </is>
      </c>
      <c r="H2038" t="inlineStr">
        <is>
          <t>EU_JU</t>
        </is>
      </c>
      <c r="I2038" t="inlineStr">
        <is>
          <t>2014-07</t>
        </is>
      </c>
      <c r="J2038" t="n">
        <v>1</v>
      </c>
      <c r="K2038" t="n">
        <v>1</v>
      </c>
      <c r="L2038" s="34">
        <f>IF($J2038=1,LN(B2039/B2038),"")</f>
        <v/>
      </c>
      <c r="M2038" s="34">
        <f>IF($K2038=1,INDEX(Mensal!$D$2:$D$245,MATCH($I2038,Mensal!$A$2:$A$245,0)),"")</f>
        <v/>
      </c>
      <c r="N2038" s="34">
        <f>IF($K2038=1,L2038-M2038,"")</f>
        <v/>
      </c>
      <c r="O2038" s="34" t="n">
        <v>0.00040705</v>
      </c>
      <c r="P2038" s="34">
        <f>IF($J2038=1,LN(1+O2038),"")</f>
        <v/>
      </c>
      <c r="Q2038" s="34">
        <f>IF($J2038=1,LN(R2039/R2038),"")</f>
        <v/>
      </c>
      <c r="R2038" s="32" t="n">
        <v>2.2201</v>
      </c>
      <c r="S2038" s="35" t="n">
        <v>10.862</v>
      </c>
      <c r="T2038" s="18" t="n"/>
      <c r="U2038" s="18" t="n">
        <v>53801.83</v>
      </c>
      <c r="V2038" s="18" t="n"/>
      <c r="W2038" s="18" t="n"/>
      <c r="X2038" s="35" t="n">
        <v>10.862</v>
      </c>
      <c r="Y2038" s="35" t="n"/>
    </row>
    <row r="2039">
      <c r="A2039" s="25" t="n">
        <v>41828</v>
      </c>
      <c r="B2039" s="18" t="n">
        <v>53634.69</v>
      </c>
      <c r="C2039" s="31" t="n"/>
      <c r="D2039" s="32" t="n"/>
      <c r="E2039" s="33" t="n">
        <v>-0.2305</v>
      </c>
      <c r="F2039" t="inlineStr">
        <is>
          <t>Up</t>
        </is>
      </c>
      <c r="G2039" t="inlineStr">
        <is>
          <t>Up</t>
        </is>
      </c>
      <c r="H2039" t="inlineStr">
        <is>
          <t>EU_JU</t>
        </is>
      </c>
      <c r="I2039" t="inlineStr">
        <is>
          <t>2014-07</t>
        </is>
      </c>
      <c r="J2039" t="n">
        <v>1</v>
      </c>
      <c r="K2039" t="n">
        <v>1</v>
      </c>
      <c r="L2039" s="34">
        <f>IF($J2039=1,LN(B2040/B2039),"")</f>
        <v/>
      </c>
      <c r="M2039" s="34">
        <f>IF($K2039=1,INDEX(Mensal!$D$2:$D$245,MATCH($I2039,Mensal!$A$2:$A$245,0)),"")</f>
        <v/>
      </c>
      <c r="N2039" s="34">
        <f>IF($K2039=1,L2039-M2039,"")</f>
        <v/>
      </c>
      <c r="O2039" s="34" t="n">
        <v>0.00040705</v>
      </c>
      <c r="P2039" s="34">
        <f>IF($J2039=1,LN(1+O2039),"")</f>
        <v/>
      </c>
      <c r="Q2039" s="34">
        <f>IF($J2039=1,LN(R2040/R2039),"")</f>
        <v/>
      </c>
      <c r="R2039" s="32" t="n">
        <v>2.215</v>
      </c>
      <c r="S2039" s="35" t="n">
        <v>10.874</v>
      </c>
      <c r="T2039" s="18" t="n"/>
      <c r="U2039" s="18" t="n">
        <v>53634.69</v>
      </c>
      <c r="V2039" s="18" t="n"/>
      <c r="W2039" s="18" t="n"/>
      <c r="X2039" s="35" t="n">
        <v>10.874</v>
      </c>
      <c r="Y2039" s="35" t="n"/>
    </row>
    <row r="2040">
      <c r="A2040" s="25" t="n">
        <v>41830</v>
      </c>
      <c r="B2040" s="18" t="n">
        <v>54592.75</v>
      </c>
      <c r="C2040" s="31" t="n"/>
      <c r="D2040" s="32" t="n"/>
      <c r="E2040" s="33" t="n">
        <v>-0.2395</v>
      </c>
      <c r="F2040" t="inlineStr">
        <is>
          <t>Up</t>
        </is>
      </c>
      <c r="G2040" t="inlineStr">
        <is>
          <t>Up</t>
        </is>
      </c>
      <c r="H2040" t="inlineStr">
        <is>
          <t>EU_JU</t>
        </is>
      </c>
      <c r="I2040" t="inlineStr">
        <is>
          <t>2014-07</t>
        </is>
      </c>
      <c r="J2040" t="n">
        <v>1</v>
      </c>
      <c r="K2040" t="n">
        <v>1</v>
      </c>
      <c r="L2040" s="34">
        <f>IF($J2040=1,LN(B2041/B2040),"")</f>
        <v/>
      </c>
      <c r="M2040" s="34">
        <f>IF($K2040=1,INDEX(Mensal!$D$2:$D$245,MATCH($I2040,Mensal!$A$2:$A$245,0)),"")</f>
        <v/>
      </c>
      <c r="N2040" s="34">
        <f>IF($K2040=1,L2040-M2040,"")</f>
        <v/>
      </c>
      <c r="O2040" s="34" t="n">
        <v>0.00040705</v>
      </c>
      <c r="P2040" s="34">
        <f>IF($J2040=1,LN(1+O2040),"")</f>
        <v/>
      </c>
      <c r="Q2040" s="34">
        <f>IF($J2040=1,LN(R2041/R2040),"")</f>
        <v/>
      </c>
      <c r="R2040" s="32" t="n">
        <v>2.2237</v>
      </c>
      <c r="S2040" s="35" t="n">
        <v>10.877</v>
      </c>
      <c r="T2040" s="18" t="n"/>
      <c r="U2040" s="18" t="n">
        <v>54592.75</v>
      </c>
      <c r="V2040" s="18" t="n"/>
      <c r="W2040" s="18" t="n"/>
      <c r="X2040" s="35" t="n">
        <v>10.877</v>
      </c>
      <c r="Y2040" s="35" t="n"/>
    </row>
    <row r="2041">
      <c r="A2041" s="25" t="n">
        <v>41831</v>
      </c>
      <c r="B2041" s="18" t="n">
        <v>54785.93</v>
      </c>
      <c r="C2041" s="31" t="n"/>
      <c r="D2041" s="32" t="n"/>
      <c r="E2041" s="33" t="n">
        <v>-0.2469</v>
      </c>
      <c r="F2041" t="inlineStr">
        <is>
          <t>Up</t>
        </is>
      </c>
      <c r="G2041" t="inlineStr">
        <is>
          <t>Up</t>
        </is>
      </c>
      <c r="H2041" t="inlineStr">
        <is>
          <t>EU_JU</t>
        </is>
      </c>
      <c r="I2041" t="inlineStr">
        <is>
          <t>2014-07</t>
        </is>
      </c>
      <c r="J2041" t="n">
        <v>1</v>
      </c>
      <c r="K2041" t="n">
        <v>1</v>
      </c>
      <c r="L2041" s="34">
        <f>IF($J2041=1,LN(B2042/B2041),"")</f>
        <v/>
      </c>
      <c r="M2041" s="34">
        <f>IF($K2041=1,INDEX(Mensal!$D$2:$D$245,MATCH($I2041,Mensal!$A$2:$A$245,0)),"")</f>
        <v/>
      </c>
      <c r="N2041" s="34">
        <f>IF($K2041=1,L2041-M2041,"")</f>
        <v/>
      </c>
      <c r="O2041" s="34" t="n">
        <v>0.00040705</v>
      </c>
      <c r="P2041" s="34">
        <f>IF($J2041=1,LN(1+O2041),"")</f>
        <v/>
      </c>
      <c r="Q2041" s="34">
        <f>IF($J2041=1,LN(R2042/R2041),"")</f>
        <v/>
      </c>
      <c r="R2041" s="32" t="n">
        <v>2.2228</v>
      </c>
      <c r="S2041" s="35" t="n">
        <v>10.907</v>
      </c>
      <c r="T2041" s="18" t="n"/>
      <c r="U2041" s="18" t="n">
        <v>54785.93</v>
      </c>
      <c r="V2041" s="18" t="n"/>
      <c r="W2041" s="18" t="n"/>
      <c r="X2041" s="35" t="n">
        <v>10.907</v>
      </c>
      <c r="Y2041" s="35" t="n"/>
    </row>
    <row r="2042">
      <c r="A2042" s="25" t="n">
        <v>41834</v>
      </c>
      <c r="B2042" s="18" t="n">
        <v>55743.98</v>
      </c>
      <c r="C2042" s="31" t="n"/>
      <c r="D2042" s="32" t="n"/>
      <c r="E2042" s="33" t="n">
        <v>-0.2512</v>
      </c>
      <c r="F2042" t="inlineStr">
        <is>
          <t>Up</t>
        </is>
      </c>
      <c r="G2042" t="inlineStr">
        <is>
          <t>Up</t>
        </is>
      </c>
      <c r="H2042" t="inlineStr">
        <is>
          <t>EU_JU</t>
        </is>
      </c>
      <c r="I2042" t="inlineStr">
        <is>
          <t>2014-07</t>
        </is>
      </c>
      <c r="J2042" t="n">
        <v>1</v>
      </c>
      <c r="K2042" t="n">
        <v>1</v>
      </c>
      <c r="L2042" s="34">
        <f>IF($J2042=1,LN(B2043/B2042),"")</f>
        <v/>
      </c>
      <c r="M2042" s="34">
        <f>IF($K2042=1,INDEX(Mensal!$D$2:$D$245,MATCH($I2042,Mensal!$A$2:$A$245,0)),"")</f>
        <v/>
      </c>
      <c r="N2042" s="34">
        <f>IF($K2042=1,L2042-M2042,"")</f>
        <v/>
      </c>
      <c r="O2042" s="34" t="n">
        <v>0.00040705</v>
      </c>
      <c r="P2042" s="34">
        <f>IF($J2042=1,LN(1+O2042),"")</f>
        <v/>
      </c>
      <c r="Q2042" s="34">
        <f>IF($J2042=1,LN(R2043/R2042),"")</f>
        <v/>
      </c>
      <c r="R2042" s="32" t="n">
        <v>2.2176</v>
      </c>
      <c r="S2042" s="35" t="n">
        <v>10.883</v>
      </c>
      <c r="T2042" s="18" t="n"/>
      <c r="U2042" s="18" t="n">
        <v>55743.98</v>
      </c>
      <c r="V2042" s="18" t="n"/>
      <c r="W2042" s="18" t="n"/>
      <c r="X2042" s="35" t="n">
        <v>10.883</v>
      </c>
      <c r="Y2042" s="35" t="n"/>
    </row>
    <row r="2043">
      <c r="A2043" s="25" t="n">
        <v>41835</v>
      </c>
      <c r="B2043" s="18" t="n">
        <v>55973.61</v>
      </c>
      <c r="C2043" s="31" t="n"/>
      <c r="D2043" s="32" t="n"/>
      <c r="E2043" s="33" t="n">
        <v>-0.2541</v>
      </c>
      <c r="F2043" t="inlineStr">
        <is>
          <t>Up</t>
        </is>
      </c>
      <c r="G2043" t="inlineStr">
        <is>
          <t>Up</t>
        </is>
      </c>
      <c r="H2043" t="inlineStr">
        <is>
          <t>EU_JU</t>
        </is>
      </c>
      <c r="I2043" t="inlineStr">
        <is>
          <t>2014-07</t>
        </is>
      </c>
      <c r="J2043" t="n">
        <v>1</v>
      </c>
      <c r="K2043" t="n">
        <v>1</v>
      </c>
      <c r="L2043" s="34">
        <f>IF($J2043=1,LN(B2044/B2043),"")</f>
        <v/>
      </c>
      <c r="M2043" s="34">
        <f>IF($K2043=1,INDEX(Mensal!$D$2:$D$245,MATCH($I2043,Mensal!$A$2:$A$245,0)),"")</f>
        <v/>
      </c>
      <c r="N2043" s="34">
        <f>IF($K2043=1,L2043-M2043,"")</f>
        <v/>
      </c>
      <c r="O2043" s="34" t="n">
        <v>0.00040705</v>
      </c>
      <c r="P2043" s="34">
        <f>IF($J2043=1,LN(1+O2043),"")</f>
        <v/>
      </c>
      <c r="Q2043" s="34">
        <f>IF($J2043=1,LN(R2044/R2043),"")</f>
        <v/>
      </c>
      <c r="R2043" s="32" t="n">
        <v>2.2195</v>
      </c>
      <c r="S2043" s="35" t="n">
        <v>10.895</v>
      </c>
      <c r="T2043" s="18" t="n"/>
      <c r="U2043" s="18" t="n">
        <v>55973.61</v>
      </c>
      <c r="V2043" s="18" t="n"/>
      <c r="W2043" s="18" t="n"/>
      <c r="X2043" s="35" t="n">
        <v>10.895</v>
      </c>
      <c r="Y2043" s="35" t="n"/>
    </row>
    <row r="2044">
      <c r="A2044" s="25" t="n">
        <v>41836</v>
      </c>
      <c r="B2044" s="18" t="n">
        <v>55717.36</v>
      </c>
      <c r="C2044" s="31" t="n"/>
      <c r="D2044" s="32" t="n"/>
      <c r="E2044" s="33" t="n">
        <v>-0.253</v>
      </c>
      <c r="F2044" t="inlineStr">
        <is>
          <t>Up</t>
        </is>
      </c>
      <c r="G2044" t="inlineStr">
        <is>
          <t>Up</t>
        </is>
      </c>
      <c r="H2044" t="inlineStr">
        <is>
          <t>EU_JU</t>
        </is>
      </c>
      <c r="I2044" t="inlineStr">
        <is>
          <t>2014-07</t>
        </is>
      </c>
      <c r="J2044" t="n">
        <v>1</v>
      </c>
      <c r="K2044" t="n">
        <v>1</v>
      </c>
      <c r="L2044" s="34">
        <f>IF($J2044=1,LN(B2045/B2044),"")</f>
        <v/>
      </c>
      <c r="M2044" s="34">
        <f>IF($K2044=1,INDEX(Mensal!$D$2:$D$245,MATCH($I2044,Mensal!$A$2:$A$245,0)),"")</f>
        <v/>
      </c>
      <c r="N2044" s="34">
        <f>IF($K2044=1,L2044-M2044,"")</f>
        <v/>
      </c>
      <c r="O2044" s="34" t="n">
        <v>0.00040705</v>
      </c>
      <c r="P2044" s="34">
        <f>IF($J2044=1,LN(1+O2044),"")</f>
        <v/>
      </c>
      <c r="Q2044" s="34">
        <f>IF($J2044=1,LN(R2045/R2044),"")</f>
        <v/>
      </c>
      <c r="R2044" s="32" t="n">
        <v>2.2193</v>
      </c>
      <c r="S2044" s="35" t="n">
        <v>10.864</v>
      </c>
      <c r="T2044" s="18" t="n"/>
      <c r="U2044" s="18" t="n">
        <v>55717.36</v>
      </c>
      <c r="V2044" s="18" t="n"/>
      <c r="W2044" s="18" t="n"/>
      <c r="X2044" s="35" t="n">
        <v>10.864</v>
      </c>
      <c r="Y2044" s="35" t="n"/>
    </row>
    <row r="2045">
      <c r="A2045" s="25" t="n">
        <v>41837</v>
      </c>
      <c r="B2045" s="18" t="n">
        <v>55637.51</v>
      </c>
      <c r="C2045" s="31" t="n"/>
      <c r="D2045" s="32" t="n"/>
      <c r="E2045" s="33" t="n">
        <v>-0.2544</v>
      </c>
      <c r="F2045" t="inlineStr">
        <is>
          <t>Up</t>
        </is>
      </c>
      <c r="G2045" t="inlineStr">
        <is>
          <t>Up</t>
        </is>
      </c>
      <c r="H2045" t="inlineStr">
        <is>
          <t>EU_JU</t>
        </is>
      </c>
      <c r="I2045" t="inlineStr">
        <is>
          <t>2014-07</t>
        </is>
      </c>
      <c r="J2045" t="n">
        <v>1</v>
      </c>
      <c r="K2045" t="n">
        <v>1</v>
      </c>
      <c r="L2045" s="34">
        <f>IF($J2045=1,LN(B2046/B2045),"")</f>
        <v/>
      </c>
      <c r="M2045" s="34">
        <f>IF($K2045=1,INDEX(Mensal!$D$2:$D$245,MATCH($I2045,Mensal!$A$2:$A$245,0)),"")</f>
        <v/>
      </c>
      <c r="N2045" s="34">
        <f>IF($K2045=1,L2045-M2045,"")</f>
        <v/>
      </c>
      <c r="O2045" s="34" t="n">
        <v>0.00040705</v>
      </c>
      <c r="P2045" s="34">
        <f>IF($J2045=1,LN(1+O2045),"")</f>
        <v/>
      </c>
      <c r="Q2045" s="34">
        <f>IF($J2045=1,LN(R2046/R2045),"")</f>
        <v/>
      </c>
      <c r="R2045" s="32" t="n">
        <v>2.2403</v>
      </c>
      <c r="S2045" s="35" t="n">
        <v>10.791</v>
      </c>
      <c r="T2045" s="18" t="n"/>
      <c r="U2045" s="18" t="n">
        <v>55637.51</v>
      </c>
      <c r="V2045" s="18" t="n"/>
      <c r="W2045" s="18" t="n"/>
      <c r="X2045" s="35" t="n">
        <v>10.791</v>
      </c>
      <c r="Y2045" s="35" t="n"/>
    </row>
    <row r="2046">
      <c r="A2046" s="25" t="n">
        <v>41838</v>
      </c>
      <c r="B2046" s="18" t="n">
        <v>57012.9</v>
      </c>
      <c r="C2046" s="31" t="n"/>
      <c r="D2046" s="32" t="n"/>
      <c r="E2046" s="33" t="n">
        <v>-0.2562</v>
      </c>
      <c r="F2046" t="inlineStr">
        <is>
          <t>Up</t>
        </is>
      </c>
      <c r="G2046" t="inlineStr">
        <is>
          <t>Up</t>
        </is>
      </c>
      <c r="H2046" t="inlineStr">
        <is>
          <t>EU_JU</t>
        </is>
      </c>
      <c r="I2046" t="inlineStr">
        <is>
          <t>2014-07</t>
        </is>
      </c>
      <c r="J2046" t="n">
        <v>1</v>
      </c>
      <c r="K2046" t="n">
        <v>1</v>
      </c>
      <c r="L2046" s="34">
        <f>IF($J2046=1,LN(B2047/B2046),"")</f>
        <v/>
      </c>
      <c r="M2046" s="34">
        <f>IF($K2046=1,INDEX(Mensal!$D$2:$D$245,MATCH($I2046,Mensal!$A$2:$A$245,0)),"")</f>
        <v/>
      </c>
      <c r="N2046" s="34">
        <f>IF($K2046=1,L2046-M2046,"")</f>
        <v/>
      </c>
      <c r="O2046" s="34" t="n">
        <v>0.00040705</v>
      </c>
      <c r="P2046" s="34">
        <f>IF($J2046=1,LN(1+O2046),"")</f>
        <v/>
      </c>
      <c r="Q2046" s="34">
        <f>IF($J2046=1,LN(R2047/R2046),"")</f>
        <v/>
      </c>
      <c r="R2046" s="32" t="n">
        <v>2.2362</v>
      </c>
      <c r="S2046" s="35" t="n">
        <v>10.799</v>
      </c>
      <c r="T2046" s="18" t="n"/>
      <c r="U2046" s="18" t="n">
        <v>57012.9</v>
      </c>
      <c r="V2046" s="18" t="n"/>
      <c r="W2046" s="18" t="n"/>
      <c r="X2046" s="35" t="n">
        <v>10.799</v>
      </c>
      <c r="Y2046" s="35" t="n"/>
    </row>
    <row r="2047">
      <c r="A2047" s="25" t="n">
        <v>41841</v>
      </c>
      <c r="B2047" s="18" t="n">
        <v>57633.92</v>
      </c>
      <c r="C2047" s="31" t="n"/>
      <c r="D2047" s="32" t="n"/>
      <c r="E2047" s="33" t="n">
        <v>-0.2526</v>
      </c>
      <c r="F2047" t="inlineStr">
        <is>
          <t>Up</t>
        </is>
      </c>
      <c r="G2047" t="inlineStr">
        <is>
          <t>Up</t>
        </is>
      </c>
      <c r="H2047" t="inlineStr">
        <is>
          <t>EU_JU</t>
        </is>
      </c>
      <c r="I2047" t="inlineStr">
        <is>
          <t>2014-07</t>
        </is>
      </c>
      <c r="J2047" t="n">
        <v>1</v>
      </c>
      <c r="K2047" t="n">
        <v>1</v>
      </c>
      <c r="L2047" s="34">
        <f>IF($J2047=1,LN(B2048/B2047),"")</f>
        <v/>
      </c>
      <c r="M2047" s="34">
        <f>IF($K2047=1,INDEX(Mensal!$D$2:$D$245,MATCH($I2047,Mensal!$A$2:$A$245,0)),"")</f>
        <v/>
      </c>
      <c r="N2047" s="34">
        <f>IF($K2047=1,L2047-M2047,"")</f>
        <v/>
      </c>
      <c r="O2047" s="34" t="n">
        <v>0.00040705</v>
      </c>
      <c r="P2047" s="34">
        <f>IF($J2047=1,LN(1+O2047),"")</f>
        <v/>
      </c>
      <c r="Q2047" s="34">
        <f>IF($J2047=1,LN(R2048/R2047),"")</f>
        <v/>
      </c>
      <c r="R2047" s="32" t="n">
        <v>2.2238</v>
      </c>
      <c r="S2047" s="35" t="n">
        <v>10.834</v>
      </c>
      <c r="T2047" s="18" t="n"/>
      <c r="U2047" s="18" t="n">
        <v>57633.92</v>
      </c>
      <c r="V2047" s="18" t="n"/>
      <c r="W2047" s="18" t="n"/>
      <c r="X2047" s="35" t="n">
        <v>10.834</v>
      </c>
      <c r="Y2047" s="35" t="n"/>
    </row>
    <row r="2048">
      <c r="A2048" s="25" t="n">
        <v>41842</v>
      </c>
      <c r="B2048" s="18" t="n">
        <v>57983.32</v>
      </c>
      <c r="C2048" s="31" t="n"/>
      <c r="D2048" s="32" t="n"/>
      <c r="E2048" s="33" t="n">
        <v>-0.2504</v>
      </c>
      <c r="F2048" t="inlineStr">
        <is>
          <t>Up</t>
        </is>
      </c>
      <c r="G2048" t="inlineStr">
        <is>
          <t>Up</t>
        </is>
      </c>
      <c r="H2048" t="inlineStr">
        <is>
          <t>EU_JU</t>
        </is>
      </c>
      <c r="I2048" t="inlineStr">
        <is>
          <t>2014-07</t>
        </is>
      </c>
      <c r="J2048" t="n">
        <v>1</v>
      </c>
      <c r="K2048" t="n">
        <v>1</v>
      </c>
      <c r="L2048" s="34">
        <f>IF($J2048=1,LN(B2049/B2048),"")</f>
        <v/>
      </c>
      <c r="M2048" s="34">
        <f>IF($K2048=1,INDEX(Mensal!$D$2:$D$245,MATCH($I2048,Mensal!$A$2:$A$245,0)),"")</f>
        <v/>
      </c>
      <c r="N2048" s="34">
        <f>IF($K2048=1,L2048-M2048,"")</f>
        <v/>
      </c>
      <c r="O2048" s="34" t="n">
        <v>0.00040705</v>
      </c>
      <c r="P2048" s="34">
        <f>IF($J2048=1,LN(1+O2048),"")</f>
        <v/>
      </c>
      <c r="Q2048" s="34">
        <f>IF($J2048=1,LN(R2049/R2048),"")</f>
        <v/>
      </c>
      <c r="R2048" s="32" t="n">
        <v>2.2129</v>
      </c>
      <c r="S2048" s="35" t="n">
        <v>10.806</v>
      </c>
      <c r="T2048" s="18" t="n"/>
      <c r="U2048" s="18" t="n">
        <v>57983.32</v>
      </c>
      <c r="V2048" s="18" t="n"/>
      <c r="W2048" s="18" t="n"/>
      <c r="X2048" s="35" t="n">
        <v>10.806</v>
      </c>
      <c r="Y2048" s="35" t="n"/>
    </row>
    <row r="2049">
      <c r="A2049" s="25" t="n">
        <v>41843</v>
      </c>
      <c r="B2049" s="18" t="n">
        <v>57419.96</v>
      </c>
      <c r="C2049" s="31" t="n"/>
      <c r="D2049" s="32" t="n"/>
      <c r="E2049" s="33" t="n">
        <v>-0.2502</v>
      </c>
      <c r="F2049" t="inlineStr">
        <is>
          <t>Up</t>
        </is>
      </c>
      <c r="G2049" t="inlineStr">
        <is>
          <t>Up</t>
        </is>
      </c>
      <c r="H2049" t="inlineStr">
        <is>
          <t>EU_JU</t>
        </is>
      </c>
      <c r="I2049" t="inlineStr">
        <is>
          <t>2014-07</t>
        </is>
      </c>
      <c r="J2049" t="n">
        <v>1</v>
      </c>
      <c r="K2049" t="n">
        <v>1</v>
      </c>
      <c r="L2049" s="34">
        <f>IF($J2049=1,LN(B2050/B2049),"")</f>
        <v/>
      </c>
      <c r="M2049" s="34">
        <f>IF($K2049=1,INDEX(Mensal!$D$2:$D$245,MATCH($I2049,Mensal!$A$2:$A$245,0)),"")</f>
        <v/>
      </c>
      <c r="N2049" s="34">
        <f>IF($K2049=1,L2049-M2049,"")</f>
        <v/>
      </c>
      <c r="O2049" s="34" t="n">
        <v>0.00040705</v>
      </c>
      <c r="P2049" s="34">
        <f>IF($J2049=1,LN(1+O2049),"")</f>
        <v/>
      </c>
      <c r="Q2049" s="34">
        <f>IF($J2049=1,LN(R2050/R2049),"")</f>
        <v/>
      </c>
      <c r="R2049" s="32" t="n">
        <v>2.2202</v>
      </c>
      <c r="S2049" s="35" t="n">
        <v>10.829</v>
      </c>
      <c r="T2049" s="18" t="n"/>
      <c r="U2049" s="18" t="n">
        <v>57419.96</v>
      </c>
      <c r="V2049" s="18" t="n"/>
      <c r="W2049" s="18" t="n"/>
      <c r="X2049" s="35" t="n">
        <v>10.829</v>
      </c>
      <c r="Y2049" s="35" t="n"/>
    </row>
    <row r="2050">
      <c r="A2050" s="25" t="n">
        <v>41844</v>
      </c>
      <c r="B2050" s="18" t="n">
        <v>57977.56</v>
      </c>
      <c r="C2050" s="31" t="n"/>
      <c r="D2050" s="32" t="n"/>
      <c r="E2050" s="33" t="n">
        <v>-0.2488</v>
      </c>
      <c r="F2050" t="inlineStr">
        <is>
          <t>Up</t>
        </is>
      </c>
      <c r="G2050" t="inlineStr">
        <is>
          <t>Up</t>
        </is>
      </c>
      <c r="H2050" t="inlineStr">
        <is>
          <t>EU_JU</t>
        </is>
      </c>
      <c r="I2050" t="inlineStr">
        <is>
          <t>2014-07</t>
        </is>
      </c>
      <c r="J2050" t="n">
        <v>1</v>
      </c>
      <c r="K2050" t="n">
        <v>1</v>
      </c>
      <c r="L2050" s="34">
        <f>IF($J2050=1,LN(B2051/B2050),"")</f>
        <v/>
      </c>
      <c r="M2050" s="34">
        <f>IF($K2050=1,INDEX(Mensal!$D$2:$D$245,MATCH($I2050,Mensal!$A$2:$A$245,0)),"")</f>
        <v/>
      </c>
      <c r="N2050" s="34">
        <f>IF($K2050=1,L2050-M2050,"")</f>
        <v/>
      </c>
      <c r="O2050" s="34" t="n">
        <v>0.00040705</v>
      </c>
      <c r="P2050" s="34">
        <f>IF($J2050=1,LN(1+O2050),"")</f>
        <v/>
      </c>
      <c r="Q2050" s="34">
        <f>IF($J2050=1,LN(R2051/R2050),"")</f>
        <v/>
      </c>
      <c r="R2050" s="32" t="n">
        <v>2.2204</v>
      </c>
      <c r="S2050" s="35" t="n">
        <v>10.924</v>
      </c>
      <c r="T2050" s="18" t="n"/>
      <c r="U2050" s="18" t="n">
        <v>57977.56</v>
      </c>
      <c r="V2050" s="18" t="n"/>
      <c r="W2050" s="18" t="n"/>
      <c r="X2050" s="35" t="n">
        <v>10.924</v>
      </c>
      <c r="Y2050" s="35" t="n"/>
    </row>
    <row r="2051">
      <c r="A2051" s="25" t="n">
        <v>41845</v>
      </c>
      <c r="B2051" s="18" t="n">
        <v>57821.08</v>
      </c>
      <c r="C2051" s="31" t="n"/>
      <c r="D2051" s="32" t="n"/>
      <c r="E2051" s="33" t="n">
        <v>-0.2464</v>
      </c>
      <c r="F2051" t="inlineStr">
        <is>
          <t>Up</t>
        </is>
      </c>
      <c r="G2051" t="inlineStr">
        <is>
          <t>Up</t>
        </is>
      </c>
      <c r="H2051" t="inlineStr">
        <is>
          <t>EU_JU</t>
        </is>
      </c>
      <c r="I2051" t="inlineStr">
        <is>
          <t>2014-07</t>
        </is>
      </c>
      <c r="J2051" t="n">
        <v>1</v>
      </c>
      <c r="K2051" t="n">
        <v>1</v>
      </c>
      <c r="L2051" s="34">
        <f>IF($J2051=1,LN(B2052/B2051),"")</f>
        <v/>
      </c>
      <c r="M2051" s="34">
        <f>IF($K2051=1,INDEX(Mensal!$D$2:$D$245,MATCH($I2051,Mensal!$A$2:$A$245,0)),"")</f>
        <v/>
      </c>
      <c r="N2051" s="34">
        <f>IF($K2051=1,L2051-M2051,"")</f>
        <v/>
      </c>
      <c r="O2051" s="34" t="n">
        <v>0.00040705</v>
      </c>
      <c r="P2051" s="34">
        <f>IF($J2051=1,LN(1+O2051),"")</f>
        <v/>
      </c>
      <c r="Q2051" s="34">
        <f>IF($J2051=1,LN(R2052/R2051),"")</f>
        <v/>
      </c>
      <c r="R2051" s="32" t="n">
        <v>2.2293</v>
      </c>
      <c r="S2051" s="35" t="n">
        <v>10.884</v>
      </c>
      <c r="T2051" s="18" t="n"/>
      <c r="U2051" s="18" t="n">
        <v>57821.08</v>
      </c>
      <c r="V2051" s="18" t="n"/>
      <c r="W2051" s="18" t="n"/>
      <c r="X2051" s="35" t="n">
        <v>10.884</v>
      </c>
      <c r="Y2051" s="35" t="n"/>
    </row>
    <row r="2052">
      <c r="A2052" s="25" t="n">
        <v>41848</v>
      </c>
      <c r="B2052" s="18" t="n">
        <v>57695.72</v>
      </c>
      <c r="C2052" s="31" t="n"/>
      <c r="D2052" s="32" t="n"/>
      <c r="E2052" s="33" t="n">
        <v>-0.2424</v>
      </c>
      <c r="F2052" t="inlineStr">
        <is>
          <t>Up</t>
        </is>
      </c>
      <c r="G2052" t="inlineStr">
        <is>
          <t>Up</t>
        </is>
      </c>
      <c r="H2052" t="inlineStr">
        <is>
          <t>EU_JU</t>
        </is>
      </c>
      <c r="I2052" t="inlineStr">
        <is>
          <t>2014-07</t>
        </is>
      </c>
      <c r="J2052" t="n">
        <v>1</v>
      </c>
      <c r="K2052" t="n">
        <v>1</v>
      </c>
      <c r="L2052" s="34">
        <f>IF($J2052=1,LN(B2053/B2052),"")</f>
        <v/>
      </c>
      <c r="M2052" s="34">
        <f>IF($K2052=1,INDEX(Mensal!$D$2:$D$245,MATCH($I2052,Mensal!$A$2:$A$245,0)),"")</f>
        <v/>
      </c>
      <c r="N2052" s="34">
        <f>IF($K2052=1,L2052-M2052,"")</f>
        <v/>
      </c>
      <c r="O2052" s="34" t="n">
        <v>0.00040705</v>
      </c>
      <c r="P2052" s="34">
        <f>IF($J2052=1,LN(1+O2052),"")</f>
        <v/>
      </c>
      <c r="Q2052" s="34">
        <f>IF($J2052=1,LN(R2053/R2052),"")</f>
        <v/>
      </c>
      <c r="R2052" s="32" t="n">
        <v>2.2302</v>
      </c>
      <c r="S2052" s="35" t="n">
        <v>10.899</v>
      </c>
      <c r="T2052" s="18" t="n"/>
      <c r="U2052" s="18" t="n">
        <v>57695.72</v>
      </c>
      <c r="V2052" s="18" t="n"/>
      <c r="W2052" s="18" t="n"/>
      <c r="X2052" s="35" t="n">
        <v>10.899</v>
      </c>
      <c r="Y2052" s="35" t="n"/>
    </row>
    <row r="2053">
      <c r="A2053" s="25" t="n">
        <v>41849</v>
      </c>
      <c r="B2053" s="18" t="n">
        <v>57118.81</v>
      </c>
      <c r="C2053" s="31" t="n"/>
      <c r="D2053" s="32" t="n"/>
      <c r="E2053" s="33" t="n">
        <v>-0.2312</v>
      </c>
      <c r="F2053" t="inlineStr">
        <is>
          <t>Up</t>
        </is>
      </c>
      <c r="G2053" t="inlineStr">
        <is>
          <t>Up</t>
        </is>
      </c>
      <c r="H2053" t="inlineStr">
        <is>
          <t>EU_JU</t>
        </is>
      </c>
      <c r="I2053" t="inlineStr">
        <is>
          <t>2014-07</t>
        </is>
      </c>
      <c r="J2053" t="n">
        <v>1</v>
      </c>
      <c r="K2053" t="n">
        <v>1</v>
      </c>
      <c r="L2053" s="34">
        <f>IF($J2053=1,LN(B2054/B2053),"")</f>
        <v/>
      </c>
      <c r="M2053" s="34">
        <f>IF($K2053=1,INDEX(Mensal!$D$2:$D$245,MATCH($I2053,Mensal!$A$2:$A$245,0)),"")</f>
        <v/>
      </c>
      <c r="N2053" s="34">
        <f>IF($K2053=1,L2053-M2053,"")</f>
        <v/>
      </c>
      <c r="O2053" s="34" t="n">
        <v>0.00040705</v>
      </c>
      <c r="P2053" s="34">
        <f>IF($J2053=1,LN(1+O2053),"")</f>
        <v/>
      </c>
      <c r="Q2053" s="34">
        <f>IF($J2053=1,LN(R2054/R2053),"")</f>
        <v/>
      </c>
      <c r="R2053" s="32" t="n">
        <v>2.2278</v>
      </c>
      <c r="S2053" s="35" t="n">
        <v>10.908</v>
      </c>
      <c r="T2053" s="18" t="n"/>
      <c r="U2053" s="18" t="n">
        <v>57118.81</v>
      </c>
      <c r="V2053" s="18" t="n"/>
      <c r="W2053" s="18" t="n"/>
      <c r="X2053" s="35" t="n">
        <v>10.908</v>
      </c>
      <c r="Y2053" s="35" t="n"/>
    </row>
    <row r="2054">
      <c r="A2054" s="25" t="n">
        <v>41850</v>
      </c>
      <c r="B2054" s="18" t="n">
        <v>56877.97</v>
      </c>
      <c r="C2054" s="31" t="n"/>
      <c r="D2054" s="32" t="n"/>
      <c r="E2054" s="33" t="n">
        <v>-0.2155</v>
      </c>
      <c r="F2054" t="inlineStr">
        <is>
          <t>Up</t>
        </is>
      </c>
      <c r="G2054" t="inlineStr">
        <is>
          <t>Up</t>
        </is>
      </c>
      <c r="H2054" t="inlineStr">
        <is>
          <t>EU_JU</t>
        </is>
      </c>
      <c r="I2054" t="inlineStr">
        <is>
          <t>2014-07</t>
        </is>
      </c>
      <c r="J2054" t="n">
        <v>1</v>
      </c>
      <c r="K2054" t="n">
        <v>1</v>
      </c>
      <c r="L2054" s="34">
        <f>IF($J2054=1,LN(B2055/B2054),"")</f>
        <v/>
      </c>
      <c r="M2054" s="34">
        <f>IF($K2054=1,INDEX(Mensal!$D$2:$D$245,MATCH($I2054,Mensal!$A$2:$A$245,0)),"")</f>
        <v/>
      </c>
      <c r="N2054" s="34">
        <f>IF($K2054=1,L2054-M2054,"")</f>
        <v/>
      </c>
      <c r="O2054" s="34" t="n">
        <v>0.00040705</v>
      </c>
      <c r="P2054" s="34">
        <f>IF($J2054=1,LN(1+O2054),"")</f>
        <v/>
      </c>
      <c r="Q2054" s="34">
        <f>IF($J2054=1,LN(R2055/R2054),"")</f>
        <v/>
      </c>
      <c r="R2054" s="32" t="n">
        <v>2.2447</v>
      </c>
      <c r="S2054" s="35" t="n">
        <v>10.946</v>
      </c>
      <c r="T2054" s="18" t="n"/>
      <c r="U2054" s="18" t="n">
        <v>56877.97</v>
      </c>
      <c r="V2054" s="18" t="n"/>
      <c r="W2054" s="18" t="n"/>
      <c r="X2054" s="35" t="n">
        <v>10.946</v>
      </c>
      <c r="Y2054" s="35" t="n"/>
    </row>
    <row r="2055">
      <c r="A2055" s="25" t="n">
        <v>41851</v>
      </c>
      <c r="B2055" s="18" t="n">
        <v>55829.41</v>
      </c>
      <c r="C2055" s="31" t="n"/>
      <c r="D2055" s="32" t="n"/>
      <c r="E2055" s="33" t="n">
        <v>-0.1985</v>
      </c>
      <c r="F2055" t="inlineStr">
        <is>
          <t>Up</t>
        </is>
      </c>
      <c r="G2055" t="inlineStr">
        <is>
          <t>Up</t>
        </is>
      </c>
      <c r="H2055" t="inlineStr">
        <is>
          <t>EU_JU</t>
        </is>
      </c>
      <c r="I2055" t="inlineStr">
        <is>
          <t>2014-07</t>
        </is>
      </c>
      <c r="J2055" t="n">
        <v>1</v>
      </c>
      <c r="K2055" t="n">
        <v>1</v>
      </c>
      <c r="L2055" s="34">
        <f>IF($J2055=1,LN(B2056/B2055),"")</f>
        <v/>
      </c>
      <c r="M2055" s="34">
        <f>IF($K2055=1,INDEX(Mensal!$D$2:$D$245,MATCH($I2055,Mensal!$A$2:$A$245,0)),"")</f>
        <v/>
      </c>
      <c r="N2055" s="34">
        <f>IF($K2055=1,L2055-M2055,"")</f>
        <v/>
      </c>
      <c r="O2055" s="34" t="n">
        <v>0.00040705</v>
      </c>
      <c r="P2055" s="34">
        <f>IF($J2055=1,LN(1+O2055),"")</f>
        <v/>
      </c>
      <c r="Q2055" s="34">
        <f>IF($J2055=1,LN(R2056/R2055),"")</f>
        <v/>
      </c>
      <c r="R2055" s="32" t="n">
        <v>2.2674</v>
      </c>
      <c r="S2055" s="35" t="n">
        <v>10.973</v>
      </c>
      <c r="T2055" s="18" t="n"/>
      <c r="U2055" s="18" t="n">
        <v>55829.41</v>
      </c>
      <c r="V2055" s="18" t="n"/>
      <c r="W2055" s="18" t="n"/>
      <c r="X2055" s="35" t="n">
        <v>10.973</v>
      </c>
      <c r="Y2055" s="35" t="n"/>
    </row>
    <row r="2056">
      <c r="A2056" s="25" t="n">
        <v>41852</v>
      </c>
      <c r="B2056" s="18" t="n">
        <v>55902.87</v>
      </c>
      <c r="C2056" s="31" t="n"/>
      <c r="D2056" s="32" t="n"/>
      <c r="E2056" s="33" t="n">
        <v>-0.1833</v>
      </c>
      <c r="F2056" t="inlineStr">
        <is>
          <t>Down</t>
        </is>
      </c>
      <c r="G2056" t="inlineStr">
        <is>
          <t>Up</t>
        </is>
      </c>
      <c r="H2056" t="inlineStr">
        <is>
          <t>ED_JU</t>
        </is>
      </c>
      <c r="I2056" t="inlineStr">
        <is>
          <t>2014-08</t>
        </is>
      </c>
      <c r="J2056" t="n">
        <v>1</v>
      </c>
      <c r="K2056" t="n">
        <v>1</v>
      </c>
      <c r="L2056" s="34">
        <f>IF($J2056=1,LN(B2057/B2056),"")</f>
        <v/>
      </c>
      <c r="M2056" s="34">
        <f>IF($K2056=1,INDEX(Mensal!$D$2:$D$245,MATCH($I2056,Mensal!$A$2:$A$245,0)),"")</f>
        <v/>
      </c>
      <c r="N2056" s="34">
        <f>IF($K2056=1,L2056-M2056,"")</f>
        <v/>
      </c>
      <c r="O2056" s="34" t="n">
        <v>0.00040705</v>
      </c>
      <c r="P2056" s="34">
        <f>IF($J2056=1,LN(1+O2056),"")</f>
        <v/>
      </c>
      <c r="Q2056" s="34">
        <f>IF($J2056=1,LN(R2057/R2056),"")</f>
        <v/>
      </c>
      <c r="R2056" s="32" t="n">
        <v>2.2607</v>
      </c>
      <c r="S2056" s="35" t="n">
        <v>11.053</v>
      </c>
      <c r="T2056" s="18" t="n"/>
      <c r="U2056" s="18" t="n"/>
      <c r="V2056" s="18" t="n"/>
      <c r="W2056" s="18" t="n">
        <v>55902.87</v>
      </c>
      <c r="X2056" s="35" t="n">
        <v>11.053</v>
      </c>
      <c r="Y2056" s="35" t="n"/>
    </row>
    <row r="2057">
      <c r="A2057" s="25" t="n">
        <v>41855</v>
      </c>
      <c r="B2057" s="18" t="n">
        <v>56616.33</v>
      </c>
      <c r="C2057" s="31" t="n"/>
      <c r="D2057" s="32" t="n"/>
      <c r="E2057" s="33" t="n">
        <v>-0.1663</v>
      </c>
      <c r="F2057" t="inlineStr">
        <is>
          <t>Down</t>
        </is>
      </c>
      <c r="G2057" t="inlineStr">
        <is>
          <t>Up</t>
        </is>
      </c>
      <c r="H2057" t="inlineStr">
        <is>
          <t>ED_JU</t>
        </is>
      </c>
      <c r="I2057" t="inlineStr">
        <is>
          <t>2014-08</t>
        </is>
      </c>
      <c r="J2057" t="n">
        <v>1</v>
      </c>
      <c r="K2057" t="n">
        <v>1</v>
      </c>
      <c r="L2057" s="34">
        <f>IF($J2057=1,LN(B2058/B2057),"")</f>
        <v/>
      </c>
      <c r="M2057" s="34">
        <f>IF($K2057=1,INDEX(Mensal!$D$2:$D$245,MATCH($I2057,Mensal!$A$2:$A$245,0)),"")</f>
        <v/>
      </c>
      <c r="N2057" s="34">
        <f>IF($K2057=1,L2057-M2057,"")</f>
        <v/>
      </c>
      <c r="O2057" s="34" t="n">
        <v>0.00040741</v>
      </c>
      <c r="P2057" s="34">
        <f>IF($J2057=1,LN(1+O2057),"")</f>
        <v/>
      </c>
      <c r="Q2057" s="34">
        <f>IF($J2057=1,LN(R2058/R2057),"")</f>
        <v/>
      </c>
      <c r="R2057" s="32" t="n">
        <v>2.2577</v>
      </c>
      <c r="S2057" s="35" t="n">
        <v>11.113</v>
      </c>
      <c r="T2057" s="18" t="n"/>
      <c r="U2057" s="18" t="n"/>
      <c r="V2057" s="18" t="n"/>
      <c r="W2057" s="18" t="n">
        <v>56616.33</v>
      </c>
      <c r="X2057" s="35" t="n">
        <v>11.113</v>
      </c>
      <c r="Y2057" s="35" t="n"/>
    </row>
    <row r="2058">
      <c r="A2058" s="25" t="n">
        <v>41856</v>
      </c>
      <c r="B2058" s="18" t="n">
        <v>56202.1</v>
      </c>
      <c r="C2058" s="31" t="n"/>
      <c r="D2058" s="32" t="n"/>
      <c r="E2058" s="33" t="n">
        <v>-0.1582</v>
      </c>
      <c r="F2058" t="inlineStr">
        <is>
          <t>Down</t>
        </is>
      </c>
      <c r="G2058" t="inlineStr">
        <is>
          <t>Up</t>
        </is>
      </c>
      <c r="H2058" t="inlineStr">
        <is>
          <t>ED_JU</t>
        </is>
      </c>
      <c r="I2058" t="inlineStr">
        <is>
          <t>2014-08</t>
        </is>
      </c>
      <c r="J2058" t="n">
        <v>1</v>
      </c>
      <c r="K2058" t="n">
        <v>1</v>
      </c>
      <c r="L2058" s="34">
        <f>IF($J2058=1,LN(B2059/B2058),"")</f>
        <v/>
      </c>
      <c r="M2058" s="34">
        <f>IF($K2058=1,INDEX(Mensal!$D$2:$D$245,MATCH($I2058,Mensal!$A$2:$A$245,0)),"")</f>
        <v/>
      </c>
      <c r="N2058" s="34">
        <f>IF($K2058=1,L2058-M2058,"")</f>
        <v/>
      </c>
      <c r="O2058" s="34" t="n">
        <v>0.00040741</v>
      </c>
      <c r="P2058" s="34">
        <f>IF($J2058=1,LN(1+O2058),"")</f>
        <v/>
      </c>
      <c r="Q2058" s="34">
        <f>IF($J2058=1,LN(R2059/R2058),"")</f>
        <v/>
      </c>
      <c r="R2058" s="32" t="n">
        <v>2.2756</v>
      </c>
      <c r="S2058" s="35" t="n">
        <v>11.291</v>
      </c>
      <c r="T2058" s="18" t="n"/>
      <c r="U2058" s="18" t="n"/>
      <c r="V2058" s="18" t="n"/>
      <c r="W2058" s="18" t="n">
        <v>56202.1</v>
      </c>
      <c r="X2058" s="35" t="n">
        <v>11.291</v>
      </c>
      <c r="Y2058" s="35" t="n"/>
    </row>
    <row r="2059">
      <c r="A2059" s="25" t="n">
        <v>41857</v>
      </c>
      <c r="B2059" s="18" t="n">
        <v>56487.18</v>
      </c>
      <c r="C2059" s="31" t="n"/>
      <c r="D2059" s="32" t="n"/>
      <c r="E2059" s="33" t="n">
        <v>-0.1457</v>
      </c>
      <c r="F2059" t="inlineStr">
        <is>
          <t>Down</t>
        </is>
      </c>
      <c r="G2059" t="inlineStr">
        <is>
          <t>Up</t>
        </is>
      </c>
      <c r="H2059" t="inlineStr">
        <is>
          <t>ED_JU</t>
        </is>
      </c>
      <c r="I2059" t="inlineStr">
        <is>
          <t>2014-08</t>
        </is>
      </c>
      <c r="J2059" t="n">
        <v>1</v>
      </c>
      <c r="K2059" t="n">
        <v>1</v>
      </c>
      <c r="L2059" s="34">
        <f>IF($J2059=1,LN(B2060/B2059),"")</f>
        <v/>
      </c>
      <c r="M2059" s="34">
        <f>IF($K2059=1,INDEX(Mensal!$D$2:$D$245,MATCH($I2059,Mensal!$A$2:$A$245,0)),"")</f>
        <v/>
      </c>
      <c r="N2059" s="34">
        <f>IF($K2059=1,L2059-M2059,"")</f>
        <v/>
      </c>
      <c r="O2059" s="34" t="n">
        <v>0.00040741</v>
      </c>
      <c r="P2059" s="34">
        <f>IF($J2059=1,LN(1+O2059),"")</f>
        <v/>
      </c>
      <c r="Q2059" s="34">
        <f>IF($J2059=1,LN(R2060/R2059),"")</f>
        <v/>
      </c>
      <c r="R2059" s="32" t="n">
        <v>2.279</v>
      </c>
      <c r="S2059" s="35" t="n">
        <v>11.216</v>
      </c>
      <c r="T2059" s="18" t="n"/>
      <c r="U2059" s="18" t="n"/>
      <c r="V2059" s="18" t="n"/>
      <c r="W2059" s="18" t="n">
        <v>56487.18</v>
      </c>
      <c r="X2059" s="35" t="n">
        <v>11.216</v>
      </c>
      <c r="Y2059" s="35" t="n"/>
    </row>
    <row r="2060">
      <c r="A2060" s="25" t="n">
        <v>41858</v>
      </c>
      <c r="B2060" s="18" t="n">
        <v>56188.05</v>
      </c>
      <c r="C2060" s="31" t="n"/>
      <c r="D2060" s="32" t="n"/>
      <c r="E2060" s="33" t="n">
        <v>-0.1394</v>
      </c>
      <c r="F2060" t="inlineStr">
        <is>
          <t>Down</t>
        </is>
      </c>
      <c r="G2060" t="inlineStr">
        <is>
          <t>Up</t>
        </is>
      </c>
      <c r="H2060" t="inlineStr">
        <is>
          <t>ED_JU</t>
        </is>
      </c>
      <c r="I2060" t="inlineStr">
        <is>
          <t>2014-08</t>
        </is>
      </c>
      <c r="J2060" t="n">
        <v>1</v>
      </c>
      <c r="K2060" t="n">
        <v>1</v>
      </c>
      <c r="L2060" s="34">
        <f>IF($J2060=1,LN(B2061/B2060),"")</f>
        <v/>
      </c>
      <c r="M2060" s="34">
        <f>IF($K2060=1,INDEX(Mensal!$D$2:$D$245,MATCH($I2060,Mensal!$A$2:$A$245,0)),"")</f>
        <v/>
      </c>
      <c r="N2060" s="34">
        <f>IF($K2060=1,L2060-M2060,"")</f>
        <v/>
      </c>
      <c r="O2060" s="34" t="n">
        <v>0.00040741</v>
      </c>
      <c r="P2060" s="34">
        <f>IF($J2060=1,LN(1+O2060),"")</f>
        <v/>
      </c>
      <c r="Q2060" s="34">
        <f>IF($J2060=1,LN(R2061/R2060),"")</f>
        <v/>
      </c>
      <c r="R2060" s="32" t="n">
        <v>2.2802</v>
      </c>
      <c r="S2060" s="35" t="n">
        <v>11.27</v>
      </c>
      <c r="T2060" s="18" t="n"/>
      <c r="U2060" s="18" t="n"/>
      <c r="V2060" s="18" t="n"/>
      <c r="W2060" s="18" t="n">
        <v>56188.05</v>
      </c>
      <c r="X2060" s="35" t="n">
        <v>11.27</v>
      </c>
      <c r="Y2060" s="35" t="n"/>
    </row>
    <row r="2061">
      <c r="A2061" s="25" t="n">
        <v>41859</v>
      </c>
      <c r="B2061" s="18" t="n">
        <v>55572.93</v>
      </c>
      <c r="C2061" s="31" t="n"/>
      <c r="D2061" s="32" t="n"/>
      <c r="E2061" s="33" t="n">
        <v>-0.1311</v>
      </c>
      <c r="F2061" t="inlineStr">
        <is>
          <t>Down</t>
        </is>
      </c>
      <c r="G2061" t="inlineStr">
        <is>
          <t>Up</t>
        </is>
      </c>
      <c r="H2061" t="inlineStr">
        <is>
          <t>ED_JU</t>
        </is>
      </c>
      <c r="I2061" t="inlineStr">
        <is>
          <t>2014-08</t>
        </is>
      </c>
      <c r="J2061" t="n">
        <v>1</v>
      </c>
      <c r="K2061" t="n">
        <v>1</v>
      </c>
      <c r="L2061" s="34">
        <f>IF($J2061=1,LN(B2062/B2061),"")</f>
        <v/>
      </c>
      <c r="M2061" s="34">
        <f>IF($K2061=1,INDEX(Mensal!$D$2:$D$245,MATCH($I2061,Mensal!$A$2:$A$245,0)),"")</f>
        <v/>
      </c>
      <c r="N2061" s="34">
        <f>IF($K2061=1,L2061-M2061,"")</f>
        <v/>
      </c>
      <c r="O2061" s="34" t="n">
        <v>0.00040741</v>
      </c>
      <c r="P2061" s="34">
        <f>IF($J2061=1,LN(1+O2061),"")</f>
        <v/>
      </c>
      <c r="Q2061" s="34">
        <f>IF($J2061=1,LN(R2062/R2061),"")</f>
        <v/>
      </c>
      <c r="R2061" s="32" t="n">
        <v>2.2986</v>
      </c>
      <c r="S2061" s="35" t="n">
        <v>11.206</v>
      </c>
      <c r="T2061" s="18" t="n"/>
      <c r="U2061" s="18" t="n"/>
      <c r="V2061" s="18" t="n"/>
      <c r="W2061" s="18" t="n">
        <v>55572.93</v>
      </c>
      <c r="X2061" s="35" t="n">
        <v>11.206</v>
      </c>
      <c r="Y2061" s="35" t="n"/>
    </row>
    <row r="2062">
      <c r="A2062" s="25" t="n">
        <v>41862</v>
      </c>
      <c r="B2062" s="18" t="n">
        <v>56613.32</v>
      </c>
      <c r="C2062" s="31" t="n"/>
      <c r="D2062" s="32" t="n"/>
      <c r="E2062" s="33" t="n">
        <v>-0.1238</v>
      </c>
      <c r="F2062" t="inlineStr">
        <is>
          <t>Down</t>
        </is>
      </c>
      <c r="G2062" t="inlineStr">
        <is>
          <t>Up</t>
        </is>
      </c>
      <c r="H2062" t="inlineStr">
        <is>
          <t>ED_JU</t>
        </is>
      </c>
      <c r="I2062" t="inlineStr">
        <is>
          <t>2014-08</t>
        </is>
      </c>
      <c r="J2062" t="n">
        <v>1</v>
      </c>
      <c r="K2062" t="n">
        <v>1</v>
      </c>
      <c r="L2062" s="34">
        <f>IF($J2062=1,LN(B2063/B2062),"")</f>
        <v/>
      </c>
      <c r="M2062" s="34">
        <f>IF($K2062=1,INDEX(Mensal!$D$2:$D$245,MATCH($I2062,Mensal!$A$2:$A$245,0)),"")</f>
        <v/>
      </c>
      <c r="N2062" s="34">
        <f>IF($K2062=1,L2062-M2062,"")</f>
        <v/>
      </c>
      <c r="O2062" s="34" t="n">
        <v>0.00040741</v>
      </c>
      <c r="P2062" s="34">
        <f>IF($J2062=1,LN(1+O2062),"")</f>
        <v/>
      </c>
      <c r="Q2062" s="34">
        <f>IF($J2062=1,LN(R2063/R2062),"")</f>
        <v/>
      </c>
      <c r="R2062" s="32" t="n">
        <v>2.2779</v>
      </c>
      <c r="S2062" s="35" t="n">
        <v>11.195</v>
      </c>
      <c r="T2062" s="18" t="n"/>
      <c r="U2062" s="18" t="n"/>
      <c r="V2062" s="18" t="n"/>
      <c r="W2062" s="18" t="n">
        <v>56613.32</v>
      </c>
      <c r="X2062" s="35" t="n">
        <v>11.195</v>
      </c>
      <c r="Y2062" s="35" t="n"/>
    </row>
    <row r="2063">
      <c r="A2063" s="25" t="n">
        <v>41863</v>
      </c>
      <c r="B2063" s="18" t="n">
        <v>56442.34</v>
      </c>
      <c r="C2063" s="31" t="n"/>
      <c r="D2063" s="32" t="n"/>
      <c r="E2063" s="33" t="n">
        <v>-0.1231</v>
      </c>
      <c r="F2063" t="inlineStr">
        <is>
          <t>Down</t>
        </is>
      </c>
      <c r="G2063" t="inlineStr">
        <is>
          <t>Up</t>
        </is>
      </c>
      <c r="H2063" t="inlineStr">
        <is>
          <t>ED_JU</t>
        </is>
      </c>
      <c r="I2063" t="inlineStr">
        <is>
          <t>2014-08</t>
        </is>
      </c>
      <c r="J2063" t="n">
        <v>1</v>
      </c>
      <c r="K2063" t="n">
        <v>1</v>
      </c>
      <c r="L2063" s="34">
        <f>IF($J2063=1,LN(B2064/B2063),"")</f>
        <v/>
      </c>
      <c r="M2063" s="34">
        <f>IF($K2063=1,INDEX(Mensal!$D$2:$D$245,MATCH($I2063,Mensal!$A$2:$A$245,0)),"")</f>
        <v/>
      </c>
      <c r="N2063" s="34">
        <f>IF($K2063=1,L2063-M2063,"")</f>
        <v/>
      </c>
      <c r="O2063" s="34" t="n">
        <v>0.00040741</v>
      </c>
      <c r="P2063" s="34">
        <f>IF($J2063=1,LN(1+O2063),"")</f>
        <v/>
      </c>
      <c r="Q2063" s="34">
        <f>IF($J2063=1,LN(R2064/R2063),"")</f>
        <v/>
      </c>
      <c r="R2063" s="32" t="n">
        <v>2.277</v>
      </c>
      <c r="S2063" s="35" t="n">
        <v>11.182</v>
      </c>
      <c r="T2063" s="18" t="n"/>
      <c r="U2063" s="18" t="n"/>
      <c r="V2063" s="18" t="n"/>
      <c r="W2063" s="18" t="n">
        <v>56442.34</v>
      </c>
      <c r="X2063" s="35" t="n">
        <v>11.182</v>
      </c>
      <c r="Y2063" s="35" t="n"/>
    </row>
    <row r="2064">
      <c r="A2064" s="25" t="n">
        <v>41864</v>
      </c>
      <c r="B2064" s="18" t="n">
        <v>55581.19</v>
      </c>
      <c r="C2064" s="31" t="n"/>
      <c r="D2064" s="32" t="n"/>
      <c r="E2064" s="33" t="n">
        <v>-0.1178</v>
      </c>
      <c r="F2064" t="inlineStr">
        <is>
          <t>Down</t>
        </is>
      </c>
      <c r="G2064" t="inlineStr">
        <is>
          <t>Up</t>
        </is>
      </c>
      <c r="H2064" t="inlineStr">
        <is>
          <t>ED_JU</t>
        </is>
      </c>
      <c r="I2064" t="inlineStr">
        <is>
          <t>2014-08</t>
        </is>
      </c>
      <c r="J2064" t="n">
        <v>1</v>
      </c>
      <c r="K2064" t="n">
        <v>1</v>
      </c>
      <c r="L2064" s="34">
        <f>IF($J2064=1,LN(B2065/B2064),"")</f>
        <v/>
      </c>
      <c r="M2064" s="34">
        <f>IF($K2064=1,INDEX(Mensal!$D$2:$D$245,MATCH($I2064,Mensal!$A$2:$A$245,0)),"")</f>
        <v/>
      </c>
      <c r="N2064" s="34">
        <f>IF($K2064=1,L2064-M2064,"")</f>
        <v/>
      </c>
      <c r="O2064" s="34" t="n">
        <v>0.00040741</v>
      </c>
      <c r="P2064" s="34">
        <f>IF($J2064=1,LN(1+O2064),"")</f>
        <v/>
      </c>
      <c r="Q2064" s="34">
        <f>IF($J2064=1,LN(R2065/R2064),"")</f>
        <v/>
      </c>
      <c r="R2064" s="32" t="n">
        <v>2.2692</v>
      </c>
      <c r="S2064" s="35" t="n">
        <v>11.199</v>
      </c>
      <c r="T2064" s="18" t="n"/>
      <c r="U2064" s="18" t="n"/>
      <c r="V2064" s="18" t="n"/>
      <c r="W2064" s="18" t="n">
        <v>55581.19</v>
      </c>
      <c r="X2064" s="35" t="n">
        <v>11.199</v>
      </c>
      <c r="Y2064" s="35" t="n"/>
    </row>
    <row r="2065">
      <c r="A2065" s="25" t="n">
        <v>41865</v>
      </c>
      <c r="B2065" s="18" t="n">
        <v>55780.41</v>
      </c>
      <c r="C2065" s="31" t="n"/>
      <c r="D2065" s="32" t="n"/>
      <c r="E2065" s="33" t="n">
        <v>-0.1101</v>
      </c>
      <c r="F2065" t="inlineStr">
        <is>
          <t>Down</t>
        </is>
      </c>
      <c r="G2065" t="inlineStr">
        <is>
          <t>Up</t>
        </is>
      </c>
      <c r="H2065" t="inlineStr">
        <is>
          <t>ED_JU</t>
        </is>
      </c>
      <c r="I2065" t="inlineStr">
        <is>
          <t>2014-08</t>
        </is>
      </c>
      <c r="J2065" t="n">
        <v>1</v>
      </c>
      <c r="K2065" t="n">
        <v>1</v>
      </c>
      <c r="L2065" s="34">
        <f>IF($J2065=1,LN(B2066/B2065),"")</f>
        <v/>
      </c>
      <c r="M2065" s="34">
        <f>IF($K2065=1,INDEX(Mensal!$D$2:$D$245,MATCH($I2065,Mensal!$A$2:$A$245,0)),"")</f>
        <v/>
      </c>
      <c r="N2065" s="34">
        <f>IF($K2065=1,L2065-M2065,"")</f>
        <v/>
      </c>
      <c r="O2065" s="34" t="n">
        <v>0.00040741</v>
      </c>
      <c r="P2065" s="34">
        <f>IF($J2065=1,LN(1+O2065),"")</f>
        <v/>
      </c>
      <c r="Q2065" s="34">
        <f>IF($J2065=1,LN(R2066/R2065),"")</f>
        <v/>
      </c>
      <c r="R2065" s="32" t="n">
        <v>2.2703</v>
      </c>
      <c r="S2065" s="35" t="n">
        <v>11.184</v>
      </c>
      <c r="T2065" s="18" t="n"/>
      <c r="U2065" s="18" t="n"/>
      <c r="V2065" s="18" t="n"/>
      <c r="W2065" s="18" t="n">
        <v>55780.41</v>
      </c>
      <c r="X2065" s="35" t="n">
        <v>11.184</v>
      </c>
      <c r="Y2065" s="35" t="n"/>
    </row>
    <row r="2066">
      <c r="A2066" s="25" t="n">
        <v>41866</v>
      </c>
      <c r="B2066" s="18" t="n">
        <v>56963.65</v>
      </c>
      <c r="C2066" s="31" t="n"/>
      <c r="D2066" s="32" t="n"/>
      <c r="E2066" s="33" t="n">
        <v>-0.1038</v>
      </c>
      <c r="F2066" t="inlineStr">
        <is>
          <t>Down</t>
        </is>
      </c>
      <c r="G2066" t="inlineStr">
        <is>
          <t>Up</t>
        </is>
      </c>
      <c r="H2066" t="inlineStr">
        <is>
          <t>ED_JU</t>
        </is>
      </c>
      <c r="I2066" t="inlineStr">
        <is>
          <t>2014-08</t>
        </is>
      </c>
      <c r="J2066" t="n">
        <v>1</v>
      </c>
      <c r="K2066" t="n">
        <v>1</v>
      </c>
      <c r="L2066" s="34">
        <f>IF($J2066=1,LN(B2067/B2066),"")</f>
        <v/>
      </c>
      <c r="M2066" s="34">
        <f>IF($K2066=1,INDEX(Mensal!$D$2:$D$245,MATCH($I2066,Mensal!$A$2:$A$245,0)),"")</f>
        <v/>
      </c>
      <c r="N2066" s="34">
        <f>IF($K2066=1,L2066-M2066,"")</f>
        <v/>
      </c>
      <c r="O2066" s="34" t="n">
        <v>0.00040777</v>
      </c>
      <c r="P2066" s="34">
        <f>IF($J2066=1,LN(1+O2066),"")</f>
        <v/>
      </c>
      <c r="Q2066" s="34">
        <f>IF($J2066=1,LN(R2067/R2066),"")</f>
        <v/>
      </c>
      <c r="R2066" s="32" t="n">
        <v>2.269</v>
      </c>
      <c r="S2066" s="35" t="n">
        <v>11.129</v>
      </c>
      <c r="T2066" s="18" t="n"/>
      <c r="U2066" s="18" t="n"/>
      <c r="V2066" s="18" t="n"/>
      <c r="W2066" s="18" t="n">
        <v>56963.65</v>
      </c>
      <c r="X2066" s="35" t="n">
        <v>11.129</v>
      </c>
      <c r="Y2066" s="35" t="n"/>
    </row>
    <row r="2067">
      <c r="A2067" s="25" t="n">
        <v>41869</v>
      </c>
      <c r="B2067" s="18" t="n">
        <v>57560.72</v>
      </c>
      <c r="C2067" s="31" t="n"/>
      <c r="D2067" s="32" t="n"/>
      <c r="E2067" s="33" t="n">
        <v>-0.1061</v>
      </c>
      <c r="F2067" t="inlineStr">
        <is>
          <t>Down</t>
        </is>
      </c>
      <c r="G2067" t="inlineStr">
        <is>
          <t>Up</t>
        </is>
      </c>
      <c r="H2067" t="inlineStr">
        <is>
          <t>ED_JU</t>
        </is>
      </c>
      <c r="I2067" t="inlineStr">
        <is>
          <t>2014-08</t>
        </is>
      </c>
      <c r="J2067" t="n">
        <v>1</v>
      </c>
      <c r="K2067" t="n">
        <v>1</v>
      </c>
      <c r="L2067" s="34">
        <f>IF($J2067=1,LN(B2068/B2067),"")</f>
        <v/>
      </c>
      <c r="M2067" s="34">
        <f>IF($K2067=1,INDEX(Mensal!$D$2:$D$245,MATCH($I2067,Mensal!$A$2:$A$245,0)),"")</f>
        <v/>
      </c>
      <c r="N2067" s="34">
        <f>IF($K2067=1,L2067-M2067,"")</f>
        <v/>
      </c>
      <c r="O2067" s="34" t="n">
        <v>0.00040741</v>
      </c>
      <c r="P2067" s="34">
        <f>IF($J2067=1,LN(1+O2067),"")</f>
        <v/>
      </c>
      <c r="Q2067" s="34">
        <f>IF($J2067=1,LN(R2068/R2067),"")</f>
        <v/>
      </c>
      <c r="R2067" s="32" t="n">
        <v>2.2595</v>
      </c>
      <c r="S2067" s="35" t="n">
        <v>11.08</v>
      </c>
      <c r="T2067" s="18" t="n"/>
      <c r="U2067" s="18" t="n"/>
      <c r="V2067" s="18" t="n"/>
      <c r="W2067" s="18" t="n">
        <v>57560.72</v>
      </c>
      <c r="X2067" s="35" t="n">
        <v>11.08</v>
      </c>
      <c r="Y2067" s="35" t="n"/>
    </row>
    <row r="2068">
      <c r="A2068" s="25" t="n">
        <v>41870</v>
      </c>
      <c r="B2068" s="18" t="n">
        <v>58449.29</v>
      </c>
      <c r="C2068" s="31" t="n"/>
      <c r="D2068" s="32" t="n"/>
      <c r="E2068" s="33" t="n">
        <v>-0.1073</v>
      </c>
      <c r="F2068" t="inlineStr">
        <is>
          <t>Down</t>
        </is>
      </c>
      <c r="G2068" t="inlineStr">
        <is>
          <t>Up</t>
        </is>
      </c>
      <c r="H2068" t="inlineStr">
        <is>
          <t>ED_JU</t>
        </is>
      </c>
      <c r="I2068" t="inlineStr">
        <is>
          <t>2014-08</t>
        </is>
      </c>
      <c r="J2068" t="n">
        <v>1</v>
      </c>
      <c r="K2068" t="n">
        <v>1</v>
      </c>
      <c r="L2068" s="34">
        <f>IF($J2068=1,LN(B2069/B2068),"")</f>
        <v/>
      </c>
      <c r="M2068" s="34">
        <f>IF($K2068=1,INDEX(Mensal!$D$2:$D$245,MATCH($I2068,Mensal!$A$2:$A$245,0)),"")</f>
        <v/>
      </c>
      <c r="N2068" s="34">
        <f>IF($K2068=1,L2068-M2068,"")</f>
        <v/>
      </c>
      <c r="O2068" s="34" t="n">
        <v>0.00040741</v>
      </c>
      <c r="P2068" s="34">
        <f>IF($J2068=1,LN(1+O2068),"")</f>
        <v/>
      </c>
      <c r="Q2068" s="34">
        <f>IF($J2068=1,LN(R2069/R2068),"")</f>
        <v/>
      </c>
      <c r="R2068" s="32" t="n">
        <v>2.2587</v>
      </c>
      <c r="S2068" s="35" t="n">
        <v>11.081</v>
      </c>
      <c r="T2068" s="18" t="n"/>
      <c r="U2068" s="18" t="n"/>
      <c r="V2068" s="18" t="n"/>
      <c r="W2068" s="18" t="n">
        <v>58449.29</v>
      </c>
      <c r="X2068" s="35" t="n">
        <v>11.081</v>
      </c>
      <c r="Y2068" s="35" t="n"/>
    </row>
    <row r="2069">
      <c r="A2069" s="25" t="n">
        <v>41871</v>
      </c>
      <c r="B2069" s="18" t="n">
        <v>58878.24</v>
      </c>
      <c r="C2069" s="31" t="n"/>
      <c r="D2069" s="32" t="n"/>
      <c r="E2069" s="33" t="n">
        <v>-0.1044</v>
      </c>
      <c r="F2069" t="inlineStr">
        <is>
          <t>Down</t>
        </is>
      </c>
      <c r="G2069" t="inlineStr">
        <is>
          <t>Up</t>
        </is>
      </c>
      <c r="H2069" t="inlineStr">
        <is>
          <t>ED_JU</t>
        </is>
      </c>
      <c r="I2069" t="inlineStr">
        <is>
          <t>2014-08</t>
        </is>
      </c>
      <c r="J2069" t="n">
        <v>1</v>
      </c>
      <c r="K2069" t="n">
        <v>1</v>
      </c>
      <c r="L2069" s="34">
        <f>IF($J2069=1,LN(B2070/B2069),"")</f>
        <v/>
      </c>
      <c r="M2069" s="34">
        <f>IF($K2069=1,INDEX(Mensal!$D$2:$D$245,MATCH($I2069,Mensal!$A$2:$A$245,0)),"")</f>
        <v/>
      </c>
      <c r="N2069" s="34">
        <f>IF($K2069=1,L2069-M2069,"")</f>
        <v/>
      </c>
      <c r="O2069" s="34" t="n">
        <v>0.00040849</v>
      </c>
      <c r="P2069" s="34">
        <f>IF($J2069=1,LN(1+O2069),"")</f>
        <v/>
      </c>
      <c r="Q2069" s="34">
        <f>IF($J2069=1,LN(R2070/R2069),"")</f>
        <v/>
      </c>
      <c r="R2069" s="32" t="n">
        <v>2.255</v>
      </c>
      <c r="S2069" s="35" t="n">
        <v>11.079</v>
      </c>
      <c r="T2069" s="18" t="n"/>
      <c r="U2069" s="18" t="n"/>
      <c r="V2069" s="18" t="n"/>
      <c r="W2069" s="18" t="n">
        <v>58878.24</v>
      </c>
      <c r="X2069" s="35" t="n">
        <v>11.079</v>
      </c>
      <c r="Y2069" s="35" t="n"/>
    </row>
    <row r="2070">
      <c r="A2070" s="25" t="n">
        <v>41872</v>
      </c>
      <c r="B2070" s="18" t="n">
        <v>58992.11</v>
      </c>
      <c r="C2070" s="31" t="n"/>
      <c r="D2070" s="32" t="n"/>
      <c r="E2070" s="33" t="n">
        <v>-0.0984</v>
      </c>
      <c r="F2070" t="inlineStr">
        <is>
          <t>Down</t>
        </is>
      </c>
      <c r="G2070" t="inlineStr">
        <is>
          <t>Up</t>
        </is>
      </c>
      <c r="H2070" t="inlineStr">
        <is>
          <t>ED_JU</t>
        </is>
      </c>
      <c r="I2070" t="inlineStr">
        <is>
          <t>2014-08</t>
        </is>
      </c>
      <c r="J2070" t="n">
        <v>1</v>
      </c>
      <c r="K2070" t="n">
        <v>1</v>
      </c>
      <c r="L2070" s="34">
        <f>IF($J2070=1,LN(B2071/B2070),"")</f>
        <v/>
      </c>
      <c r="M2070" s="34">
        <f>IF($K2070=1,INDEX(Mensal!$D$2:$D$245,MATCH($I2070,Mensal!$A$2:$A$245,0)),"")</f>
        <v/>
      </c>
      <c r="N2070" s="34">
        <f>IF($K2070=1,L2070-M2070,"")</f>
        <v/>
      </c>
      <c r="O2070" s="34" t="n">
        <v>0.00040777</v>
      </c>
      <c r="P2070" s="34">
        <f>IF($J2070=1,LN(1+O2070),"")</f>
        <v/>
      </c>
      <c r="Q2070" s="34">
        <f>IF($J2070=1,LN(R2071/R2070),"")</f>
        <v/>
      </c>
      <c r="R2070" s="32" t="n">
        <v>2.2582</v>
      </c>
      <c r="S2070" s="35" t="n">
        <v>11.116</v>
      </c>
      <c r="T2070" s="18" t="n"/>
      <c r="U2070" s="18" t="n"/>
      <c r="V2070" s="18" t="n"/>
      <c r="W2070" s="18" t="n">
        <v>58992.11</v>
      </c>
      <c r="X2070" s="35" t="n">
        <v>11.116</v>
      </c>
      <c r="Y2070" s="35" t="n"/>
    </row>
    <row r="2071">
      <c r="A2071" s="25" t="n">
        <v>41873</v>
      </c>
      <c r="B2071" s="18" t="n">
        <v>58407.32</v>
      </c>
      <c r="C2071" s="31" t="n"/>
      <c r="D2071" s="32" t="n"/>
      <c r="E2071" s="33" t="n">
        <v>-0.0916</v>
      </c>
      <c r="F2071" t="inlineStr">
        <is>
          <t>Down</t>
        </is>
      </c>
      <c r="G2071" t="inlineStr">
        <is>
          <t>Up</t>
        </is>
      </c>
      <c r="H2071" t="inlineStr">
        <is>
          <t>ED_JU</t>
        </is>
      </c>
      <c r="I2071" t="inlineStr">
        <is>
          <t>2014-08</t>
        </is>
      </c>
      <c r="J2071" t="n">
        <v>1</v>
      </c>
      <c r="K2071" t="n">
        <v>1</v>
      </c>
      <c r="L2071" s="34">
        <f>IF($J2071=1,LN(B2072/B2071),"")</f>
        <v/>
      </c>
      <c r="M2071" s="34">
        <f>IF($K2071=1,INDEX(Mensal!$D$2:$D$245,MATCH($I2071,Mensal!$A$2:$A$245,0)),"")</f>
        <v/>
      </c>
      <c r="N2071" s="34">
        <f>IF($K2071=1,L2071-M2071,"")</f>
        <v/>
      </c>
      <c r="O2071" s="34" t="n">
        <v>0.00040741</v>
      </c>
      <c r="P2071" s="34">
        <f>IF($J2071=1,LN(1+O2071),"")</f>
        <v/>
      </c>
      <c r="Q2071" s="34">
        <f>IF($J2071=1,LN(R2072/R2071),"")</f>
        <v/>
      </c>
      <c r="R2071" s="32" t="n">
        <v>2.2778</v>
      </c>
      <c r="S2071" s="35" t="n">
        <v>11.094</v>
      </c>
      <c r="T2071" s="18" t="n"/>
      <c r="U2071" s="18" t="n"/>
      <c r="V2071" s="18" t="n"/>
      <c r="W2071" s="18" t="n">
        <v>58407.32</v>
      </c>
      <c r="X2071" s="35" t="n">
        <v>11.094</v>
      </c>
      <c r="Y2071" s="35" t="n"/>
    </row>
    <row r="2072">
      <c r="A2072" s="25" t="n">
        <v>41876</v>
      </c>
      <c r="B2072" s="18" t="n">
        <v>59735.17</v>
      </c>
      <c r="C2072" s="31" t="n"/>
      <c r="D2072" s="32" t="n"/>
      <c r="E2072" s="33" t="n">
        <v>-0.0815</v>
      </c>
      <c r="F2072" t="inlineStr">
        <is>
          <t>Down</t>
        </is>
      </c>
      <c r="G2072" t="inlineStr">
        <is>
          <t>Up</t>
        </is>
      </c>
      <c r="H2072" t="inlineStr">
        <is>
          <t>ED_JU</t>
        </is>
      </c>
      <c r="I2072" t="inlineStr">
        <is>
          <t>2014-08</t>
        </is>
      </c>
      <c r="J2072" t="n">
        <v>1</v>
      </c>
      <c r="K2072" t="n">
        <v>1</v>
      </c>
      <c r="L2072" s="34">
        <f>IF($J2072=1,LN(B2073/B2072),"")</f>
        <v/>
      </c>
      <c r="M2072" s="34">
        <f>IF($K2072=1,INDEX(Mensal!$D$2:$D$245,MATCH($I2072,Mensal!$A$2:$A$245,0)),"")</f>
        <v/>
      </c>
      <c r="N2072" s="34">
        <f>IF($K2072=1,L2072-M2072,"")</f>
        <v/>
      </c>
      <c r="O2072" s="34" t="n">
        <v>0.00040849</v>
      </c>
      <c r="P2072" s="34">
        <f>IF($J2072=1,LN(1+O2072),"")</f>
        <v/>
      </c>
      <c r="Q2072" s="34">
        <f>IF($J2072=1,LN(R2073/R2072),"")</f>
        <v/>
      </c>
      <c r="R2072" s="32" t="n">
        <v>2.2808</v>
      </c>
      <c r="S2072" s="35" t="n">
        <v>11.094</v>
      </c>
      <c r="T2072" s="18" t="n"/>
      <c r="U2072" s="18" t="n"/>
      <c r="V2072" s="18" t="n"/>
      <c r="W2072" s="18" t="n">
        <v>59735.17</v>
      </c>
      <c r="X2072" s="35" t="n">
        <v>11.094</v>
      </c>
      <c r="Y2072" s="35" t="n"/>
    </row>
    <row r="2073">
      <c r="A2073" s="25" t="n">
        <v>41877</v>
      </c>
      <c r="B2073" s="18" t="n">
        <v>59821.45</v>
      </c>
      <c r="C2073" s="31" t="n"/>
      <c r="D2073" s="32" t="n"/>
      <c r="E2073" s="33" t="n">
        <v>-0.068</v>
      </c>
      <c r="F2073" t="inlineStr">
        <is>
          <t>Down</t>
        </is>
      </c>
      <c r="G2073" t="inlineStr">
        <is>
          <t>Up</t>
        </is>
      </c>
      <c r="H2073" t="inlineStr">
        <is>
          <t>ED_JU</t>
        </is>
      </c>
      <c r="I2073" t="inlineStr">
        <is>
          <t>2014-08</t>
        </is>
      </c>
      <c r="J2073" t="n">
        <v>1</v>
      </c>
      <c r="K2073" t="n">
        <v>1</v>
      </c>
      <c r="L2073" s="34">
        <f>IF($J2073=1,LN(B2074/B2073),"")</f>
        <v/>
      </c>
      <c r="M2073" s="34">
        <f>IF($K2073=1,INDEX(Mensal!$D$2:$D$245,MATCH($I2073,Mensal!$A$2:$A$245,0)),"")</f>
        <v/>
      </c>
      <c r="N2073" s="34">
        <f>IF($K2073=1,L2073-M2073,"")</f>
        <v/>
      </c>
      <c r="O2073" s="34" t="n">
        <v>0.00040849</v>
      </c>
      <c r="P2073" s="34">
        <f>IF($J2073=1,LN(1+O2073),"")</f>
        <v/>
      </c>
      <c r="Q2073" s="34">
        <f>IF($J2073=1,LN(R2074/R2073),"")</f>
        <v/>
      </c>
      <c r="R2073" s="32" t="n">
        <v>2.2748</v>
      </c>
      <c r="S2073" s="35" t="n">
        <v>11.102</v>
      </c>
      <c r="T2073" s="18" t="n"/>
      <c r="U2073" s="18" t="n"/>
      <c r="V2073" s="18" t="n"/>
      <c r="W2073" s="18" t="n">
        <v>59821.45</v>
      </c>
      <c r="X2073" s="35" t="n">
        <v>11.102</v>
      </c>
      <c r="Y2073" s="35" t="n"/>
    </row>
    <row r="2074">
      <c r="A2074" s="25" t="n">
        <v>41878</v>
      </c>
      <c r="B2074" s="18" t="n">
        <v>60950.57</v>
      </c>
      <c r="C2074" s="31" t="n"/>
      <c r="D2074" s="32" t="n"/>
      <c r="E2074" s="33" t="n">
        <v>-0.0566</v>
      </c>
      <c r="F2074" t="inlineStr">
        <is>
          <t>Down</t>
        </is>
      </c>
      <c r="G2074" t="inlineStr">
        <is>
          <t>Up</t>
        </is>
      </c>
      <c r="H2074" t="inlineStr">
        <is>
          <t>ED_JU</t>
        </is>
      </c>
      <c r="I2074" t="inlineStr">
        <is>
          <t>2014-08</t>
        </is>
      </c>
      <c r="J2074" t="n">
        <v>1</v>
      </c>
      <c r="K2074" t="n">
        <v>1</v>
      </c>
      <c r="L2074" s="34">
        <f>IF($J2074=1,LN(B2075/B2074),"")</f>
        <v/>
      </c>
      <c r="M2074" s="34">
        <f>IF($K2074=1,INDEX(Mensal!$D$2:$D$245,MATCH($I2074,Mensal!$A$2:$A$245,0)),"")</f>
        <v/>
      </c>
      <c r="N2074" s="34">
        <f>IF($K2074=1,L2074-M2074,"")</f>
        <v/>
      </c>
      <c r="O2074" s="34" t="n">
        <v>0.00040741</v>
      </c>
      <c r="P2074" s="34">
        <f>IF($J2074=1,LN(1+O2074),"")</f>
        <v/>
      </c>
      <c r="Q2074" s="34">
        <f>IF($J2074=1,LN(R2075/R2074),"")</f>
        <v/>
      </c>
      <c r="R2074" s="32" t="n">
        <v>2.2591</v>
      </c>
      <c r="S2074" s="35" t="n">
        <v>11.141</v>
      </c>
      <c r="T2074" s="18" t="n"/>
      <c r="U2074" s="18" t="n"/>
      <c r="V2074" s="18" t="n"/>
      <c r="W2074" s="18" t="n">
        <v>60950.57</v>
      </c>
      <c r="X2074" s="35" t="n">
        <v>11.141</v>
      </c>
      <c r="Y2074" s="35" t="n"/>
    </row>
    <row r="2075">
      <c r="A2075" s="25" t="n">
        <v>41879</v>
      </c>
      <c r="B2075" s="18" t="n">
        <v>60290.87</v>
      </c>
      <c r="C2075" s="31" t="n"/>
      <c r="D2075" s="32" t="n"/>
      <c r="E2075" s="33" t="n">
        <v>-0.0515</v>
      </c>
      <c r="F2075" t="inlineStr">
        <is>
          <t>Down</t>
        </is>
      </c>
      <c r="G2075" t="inlineStr">
        <is>
          <t>Up</t>
        </is>
      </c>
      <c r="H2075" t="inlineStr">
        <is>
          <t>ED_JU</t>
        </is>
      </c>
      <c r="I2075" t="inlineStr">
        <is>
          <t>2014-08</t>
        </is>
      </c>
      <c r="J2075" t="n">
        <v>1</v>
      </c>
      <c r="K2075" t="n">
        <v>1</v>
      </c>
      <c r="L2075" s="34">
        <f>IF($J2075=1,LN(B2076/B2075),"")</f>
        <v/>
      </c>
      <c r="M2075" s="34">
        <f>IF($K2075=1,INDEX(Mensal!$D$2:$D$245,MATCH($I2075,Mensal!$A$2:$A$245,0)),"")</f>
        <v/>
      </c>
      <c r="N2075" s="34">
        <f>IF($K2075=1,L2075-M2075,"")</f>
        <v/>
      </c>
      <c r="O2075" s="34" t="n">
        <v>0.00040849</v>
      </c>
      <c r="P2075" s="34">
        <f>IF($J2075=1,LN(1+O2075),"")</f>
        <v/>
      </c>
      <c r="Q2075" s="34">
        <f>IF($J2075=1,LN(R2076/R2075),"")</f>
        <v/>
      </c>
      <c r="R2075" s="32" t="n">
        <v>2.2499</v>
      </c>
      <c r="S2075" s="35" t="n">
        <v>11.091</v>
      </c>
      <c r="T2075" s="18" t="n"/>
      <c r="U2075" s="18" t="n"/>
      <c r="V2075" s="18" t="n"/>
      <c r="W2075" s="18" t="n">
        <v>60290.87</v>
      </c>
      <c r="X2075" s="35" t="n">
        <v>11.091</v>
      </c>
      <c r="Y2075" s="35" t="n"/>
    </row>
    <row r="2076">
      <c r="A2076" s="25" t="n">
        <v>41880</v>
      </c>
      <c r="B2076" s="18" t="n">
        <v>61288.15</v>
      </c>
      <c r="C2076" s="31" t="n"/>
      <c r="D2076" s="32" t="n"/>
      <c r="E2076" s="33" t="n">
        <v>-0.0453</v>
      </c>
      <c r="F2076" t="inlineStr">
        <is>
          <t>Down</t>
        </is>
      </c>
      <c r="G2076" t="inlineStr">
        <is>
          <t>Up</t>
        </is>
      </c>
      <c r="H2076" t="inlineStr">
        <is>
          <t>ED_JU</t>
        </is>
      </c>
      <c r="I2076" t="inlineStr">
        <is>
          <t>2014-08</t>
        </is>
      </c>
      <c r="J2076" t="n">
        <v>1</v>
      </c>
      <c r="K2076" t="n">
        <v>1</v>
      </c>
      <c r="L2076" s="34">
        <f>IF($J2076=1,LN(B2077/B2076),"")</f>
        <v/>
      </c>
      <c r="M2076" s="34">
        <f>IF($K2076=1,INDEX(Mensal!$D$2:$D$245,MATCH($I2076,Mensal!$A$2:$A$245,0)),"")</f>
        <v/>
      </c>
      <c r="N2076" s="34">
        <f>IF($K2076=1,L2076-M2076,"")</f>
        <v/>
      </c>
      <c r="O2076" s="34" t="n">
        <v>0.00040741</v>
      </c>
      <c r="P2076" s="34">
        <f>IF($J2076=1,LN(1+O2076),"")</f>
        <v/>
      </c>
      <c r="Q2076" s="34">
        <f>IF($J2076=1,LN(R2077/R2076),"")</f>
        <v/>
      </c>
      <c r="R2076" s="32" t="n">
        <v>2.2396</v>
      </c>
      <c r="S2076" s="35" t="n">
        <v>11.091</v>
      </c>
      <c r="T2076" s="18" t="n"/>
      <c r="U2076" s="18" t="n"/>
      <c r="V2076" s="18" t="n"/>
      <c r="W2076" s="18" t="n">
        <v>61288.15</v>
      </c>
      <c r="X2076" s="35" t="n">
        <v>11.091</v>
      </c>
      <c r="Y2076" s="35" t="n"/>
    </row>
    <row r="2077">
      <c r="A2077" s="25" t="n">
        <v>41883</v>
      </c>
      <c r="B2077" s="18" t="n">
        <v>61141.27</v>
      </c>
      <c r="C2077" s="31" t="n"/>
      <c r="D2077" s="32" t="n"/>
      <c r="E2077" s="33" t="n">
        <v>-0.0751</v>
      </c>
      <c r="F2077" t="inlineStr">
        <is>
          <t>Down</t>
        </is>
      </c>
      <c r="G2077" t="inlineStr">
        <is>
          <t>Up</t>
        </is>
      </c>
      <c r="H2077" t="inlineStr">
        <is>
          <t>ED_JU</t>
        </is>
      </c>
      <c r="I2077" t="inlineStr">
        <is>
          <t>2014-09</t>
        </is>
      </c>
      <c r="J2077" t="n">
        <v>1</v>
      </c>
      <c r="K2077" t="n">
        <v>1</v>
      </c>
      <c r="L2077" s="34">
        <f>IF($J2077=1,LN(B2078/B2077),"")</f>
        <v/>
      </c>
      <c r="M2077" s="34">
        <f>IF($K2077=1,INDEX(Mensal!$D$2:$D$245,MATCH($I2077,Mensal!$A$2:$A$245,0)),"")</f>
        <v/>
      </c>
      <c r="N2077" s="34">
        <f>IF($K2077=1,L2077-M2077,"")</f>
        <v/>
      </c>
      <c r="O2077" s="34" t="n">
        <v>0.00040741</v>
      </c>
      <c r="P2077" s="34">
        <f>IF($J2077=1,LN(1+O2077),"")</f>
        <v/>
      </c>
      <c r="Q2077" s="34">
        <f>IF($J2077=1,LN(R2078/R2077),"")</f>
        <v/>
      </c>
      <c r="R2077" s="32" t="n">
        <v>2.2364</v>
      </c>
      <c r="S2077" s="35" t="n">
        <v>11.14</v>
      </c>
      <c r="T2077" s="18" t="n"/>
      <c r="U2077" s="18" t="n"/>
      <c r="V2077" s="18" t="n"/>
      <c r="W2077" s="18" t="n">
        <v>61141.27</v>
      </c>
      <c r="X2077" s="35" t="n">
        <v>11.14</v>
      </c>
      <c r="Y2077" s="35" t="n"/>
    </row>
    <row r="2078">
      <c r="A2078" s="25" t="n">
        <v>41884</v>
      </c>
      <c r="B2078" s="18" t="n">
        <v>61895.98</v>
      </c>
      <c r="C2078" s="31" t="n"/>
      <c r="D2078" s="32" t="n"/>
      <c r="E2078" s="33" t="n">
        <v>-0.0983</v>
      </c>
      <c r="F2078" t="inlineStr">
        <is>
          <t>Down</t>
        </is>
      </c>
      <c r="G2078" t="inlineStr">
        <is>
          <t>Up</t>
        </is>
      </c>
      <c r="H2078" t="inlineStr">
        <is>
          <t>ED_JU</t>
        </is>
      </c>
      <c r="I2078" t="inlineStr">
        <is>
          <t>2014-09</t>
        </is>
      </c>
      <c r="J2078" t="n">
        <v>1</v>
      </c>
      <c r="K2078" t="n">
        <v>1</v>
      </c>
      <c r="L2078" s="34">
        <f>IF($J2078=1,LN(B2079/B2078),"")</f>
        <v/>
      </c>
      <c r="M2078" s="34">
        <f>IF($K2078=1,INDEX(Mensal!$D$2:$D$245,MATCH($I2078,Mensal!$A$2:$A$245,0)),"")</f>
        <v/>
      </c>
      <c r="N2078" s="34">
        <f>IF($K2078=1,L2078-M2078,"")</f>
        <v/>
      </c>
      <c r="O2078" s="34" t="n">
        <v>0.00040741</v>
      </c>
      <c r="P2078" s="34">
        <f>IF($J2078=1,LN(1+O2078),"")</f>
        <v/>
      </c>
      <c r="Q2078" s="34">
        <f>IF($J2078=1,LN(R2079/R2078),"")</f>
        <v/>
      </c>
      <c r="R2078" s="32" t="n">
        <v>2.2521</v>
      </c>
      <c r="S2078" s="35" t="n">
        <v>11.182</v>
      </c>
      <c r="T2078" s="18" t="n"/>
      <c r="U2078" s="18" t="n"/>
      <c r="V2078" s="18" t="n"/>
      <c r="W2078" s="18" t="n">
        <v>61895.98</v>
      </c>
      <c r="X2078" s="35" t="n">
        <v>11.182</v>
      </c>
      <c r="Y2078" s="35" t="n"/>
    </row>
    <row r="2079">
      <c r="A2079" s="25" t="n">
        <v>41885</v>
      </c>
      <c r="B2079" s="18" t="n">
        <v>61837.04</v>
      </c>
      <c r="C2079" s="31" t="n"/>
      <c r="D2079" s="32" t="n"/>
      <c r="E2079" s="33" t="n">
        <v>-0.1183</v>
      </c>
      <c r="F2079" t="inlineStr">
        <is>
          <t>Down</t>
        </is>
      </c>
      <c r="G2079" t="inlineStr">
        <is>
          <t>Up</t>
        </is>
      </c>
      <c r="H2079" t="inlineStr">
        <is>
          <t>ED_JU</t>
        </is>
      </c>
      <c r="I2079" t="inlineStr">
        <is>
          <t>2014-09</t>
        </is>
      </c>
      <c r="J2079" t="n">
        <v>1</v>
      </c>
      <c r="K2079" t="n">
        <v>1</v>
      </c>
      <c r="L2079" s="34">
        <f>IF($J2079=1,LN(B2080/B2079),"")</f>
        <v/>
      </c>
      <c r="M2079" s="34">
        <f>IF($K2079=1,INDEX(Mensal!$D$2:$D$245,MATCH($I2079,Mensal!$A$2:$A$245,0)),"")</f>
        <v/>
      </c>
      <c r="N2079" s="34">
        <f>IF($K2079=1,L2079-M2079,"")</f>
        <v/>
      </c>
      <c r="O2079" s="34" t="n">
        <v>0.00040741</v>
      </c>
      <c r="P2079" s="34">
        <f>IF($J2079=1,LN(1+O2079),"")</f>
        <v/>
      </c>
      <c r="Q2079" s="34">
        <f>IF($J2079=1,LN(R2080/R2079),"")</f>
        <v/>
      </c>
      <c r="R2079" s="32" t="n">
        <v>2.2319</v>
      </c>
      <c r="S2079" s="35" t="n">
        <v>11.159</v>
      </c>
      <c r="T2079" s="18" t="n"/>
      <c r="U2079" s="18" t="n"/>
      <c r="V2079" s="18" t="n"/>
      <c r="W2079" s="18" t="n">
        <v>61837.04</v>
      </c>
      <c r="X2079" s="35" t="n">
        <v>11.159</v>
      </c>
      <c r="Y2079" s="35" t="n"/>
    </row>
    <row r="2080">
      <c r="A2080" s="25" t="n">
        <v>41886</v>
      </c>
      <c r="B2080" s="18" t="n">
        <v>60800.02</v>
      </c>
      <c r="C2080" s="31" t="n"/>
      <c r="D2080" s="32" t="n"/>
      <c r="E2080" s="33" t="n">
        <v>-0.1334</v>
      </c>
      <c r="F2080" t="inlineStr">
        <is>
          <t>Down</t>
        </is>
      </c>
      <c r="G2080" t="inlineStr">
        <is>
          <t>Up</t>
        </is>
      </c>
      <c r="H2080" t="inlineStr">
        <is>
          <t>ED_JU</t>
        </is>
      </c>
      <c r="I2080" t="inlineStr">
        <is>
          <t>2014-09</t>
        </is>
      </c>
      <c r="J2080" t="n">
        <v>1</v>
      </c>
      <c r="K2080" t="n">
        <v>1</v>
      </c>
      <c r="L2080" s="34">
        <f>IF($J2080=1,LN(B2081/B2080),"")</f>
        <v/>
      </c>
      <c r="M2080" s="34">
        <f>IF($K2080=1,INDEX(Mensal!$D$2:$D$245,MATCH($I2080,Mensal!$A$2:$A$245,0)),"")</f>
        <v/>
      </c>
      <c r="N2080" s="34">
        <f>IF($K2080=1,L2080-M2080,"")</f>
        <v/>
      </c>
      <c r="O2080" s="34" t="n">
        <v>0.00040741</v>
      </c>
      <c r="P2080" s="34">
        <f>IF($J2080=1,LN(1+O2080),"")</f>
        <v/>
      </c>
      <c r="Q2080" s="34">
        <f>IF($J2080=1,LN(R2081/R2080),"")</f>
        <v/>
      </c>
      <c r="R2080" s="32" t="n">
        <v>2.2356</v>
      </c>
      <c r="S2080" s="35" t="n">
        <v>11.221</v>
      </c>
      <c r="T2080" s="18" t="n"/>
      <c r="U2080" s="18" t="n"/>
      <c r="V2080" s="18" t="n"/>
      <c r="W2080" s="18" t="n">
        <v>60800.02</v>
      </c>
      <c r="X2080" s="35" t="n">
        <v>11.221</v>
      </c>
      <c r="Y2080" s="35" t="n"/>
    </row>
    <row r="2081">
      <c r="A2081" s="25" t="n">
        <v>41887</v>
      </c>
      <c r="B2081" s="18" t="n">
        <v>60681.98</v>
      </c>
      <c r="C2081" s="31" t="n"/>
      <c r="D2081" s="32" t="n"/>
      <c r="E2081" s="33" t="n">
        <v>-0.1494</v>
      </c>
      <c r="F2081" t="inlineStr">
        <is>
          <t>Down</t>
        </is>
      </c>
      <c r="G2081" t="inlineStr">
        <is>
          <t>Up</t>
        </is>
      </c>
      <c r="H2081" t="inlineStr">
        <is>
          <t>ED_JU</t>
        </is>
      </c>
      <c r="I2081" t="inlineStr">
        <is>
          <t>2014-09</t>
        </is>
      </c>
      <c r="J2081" t="n">
        <v>1</v>
      </c>
      <c r="K2081" t="n">
        <v>1</v>
      </c>
      <c r="L2081" s="34">
        <f>IF($J2081=1,LN(B2082/B2081),"")</f>
        <v/>
      </c>
      <c r="M2081" s="34">
        <f>IF($K2081=1,INDEX(Mensal!$D$2:$D$245,MATCH($I2081,Mensal!$A$2:$A$245,0)),"")</f>
        <v/>
      </c>
      <c r="N2081" s="34">
        <f>IF($K2081=1,L2081-M2081,"")</f>
        <v/>
      </c>
      <c r="O2081" s="34" t="n">
        <v>0.00040741</v>
      </c>
      <c r="P2081" s="34">
        <f>IF($J2081=1,LN(1+O2081),"")</f>
        <v/>
      </c>
      <c r="Q2081" s="34">
        <f>IF($J2081=1,LN(R2082/R2081),"")</f>
        <v/>
      </c>
      <c r="R2081" s="32" t="n">
        <v>2.2416</v>
      </c>
      <c r="S2081" s="35" t="n">
        <v>11.238</v>
      </c>
      <c r="T2081" s="18" t="n"/>
      <c r="U2081" s="18" t="n"/>
      <c r="V2081" s="18" t="n"/>
      <c r="W2081" s="18" t="n">
        <v>60681.98</v>
      </c>
      <c r="X2081" s="35" t="n">
        <v>11.238</v>
      </c>
      <c r="Y2081" s="35" t="n"/>
    </row>
    <row r="2082">
      <c r="A2082" s="25" t="n">
        <v>41890</v>
      </c>
      <c r="B2082" s="18" t="n">
        <v>59192.75</v>
      </c>
      <c r="C2082" s="31" t="n"/>
      <c r="D2082" s="32" t="n"/>
      <c r="E2082" s="33" t="n">
        <v>-0.1628</v>
      </c>
      <c r="F2082" t="inlineStr">
        <is>
          <t>Down</t>
        </is>
      </c>
      <c r="G2082" t="inlineStr">
        <is>
          <t>Up</t>
        </is>
      </c>
      <c r="H2082" t="inlineStr">
        <is>
          <t>ED_JU</t>
        </is>
      </c>
      <c r="I2082" t="inlineStr">
        <is>
          <t>2014-09</t>
        </is>
      </c>
      <c r="J2082" t="n">
        <v>1</v>
      </c>
      <c r="K2082" t="n">
        <v>1</v>
      </c>
      <c r="L2082" s="34">
        <f>IF($J2082=1,LN(B2083/B2082),"")</f>
        <v/>
      </c>
      <c r="M2082" s="34">
        <f>IF($K2082=1,INDEX(Mensal!$D$2:$D$245,MATCH($I2082,Mensal!$A$2:$A$245,0)),"")</f>
        <v/>
      </c>
      <c r="N2082" s="34">
        <f>IF($K2082=1,L2082-M2082,"")</f>
        <v/>
      </c>
      <c r="O2082" s="34" t="n">
        <v>0.00040741</v>
      </c>
      <c r="P2082" s="34">
        <f>IF($J2082=1,LN(1+O2082),"")</f>
        <v/>
      </c>
      <c r="Q2082" s="34">
        <f>IF($J2082=1,LN(R2083/R2082),"")</f>
        <v/>
      </c>
      <c r="R2082" s="32" t="n">
        <v>2.2491</v>
      </c>
      <c r="S2082" s="35" t="n">
        <v>11.272</v>
      </c>
      <c r="T2082" s="18" t="n"/>
      <c r="U2082" s="18" t="n"/>
      <c r="V2082" s="18" t="n"/>
      <c r="W2082" s="18" t="n">
        <v>59192.75</v>
      </c>
      <c r="X2082" s="35" t="n">
        <v>11.272</v>
      </c>
      <c r="Y2082" s="35" t="n"/>
    </row>
    <row r="2083">
      <c r="A2083" s="25" t="n">
        <v>41891</v>
      </c>
      <c r="B2083" s="18" t="n">
        <v>58676.34</v>
      </c>
      <c r="C2083" s="31" t="n"/>
      <c r="D2083" s="32" t="n"/>
      <c r="E2083" s="33" t="n">
        <v>-0.1762</v>
      </c>
      <c r="F2083" t="inlineStr">
        <is>
          <t>Down</t>
        </is>
      </c>
      <c r="G2083" t="inlineStr">
        <is>
          <t>Up</t>
        </is>
      </c>
      <c r="H2083" t="inlineStr">
        <is>
          <t>ED_JU</t>
        </is>
      </c>
      <c r="I2083" t="inlineStr">
        <is>
          <t>2014-09</t>
        </is>
      </c>
      <c r="J2083" t="n">
        <v>1</v>
      </c>
      <c r="K2083" t="n">
        <v>1</v>
      </c>
      <c r="L2083" s="34">
        <f>IF($J2083=1,LN(B2084/B2083),"")</f>
        <v/>
      </c>
      <c r="M2083" s="34">
        <f>IF($K2083=1,INDEX(Mensal!$D$2:$D$245,MATCH($I2083,Mensal!$A$2:$A$245,0)),"")</f>
        <v/>
      </c>
      <c r="N2083" s="34">
        <f>IF($K2083=1,L2083-M2083,"")</f>
        <v/>
      </c>
      <c r="O2083" s="34" t="n">
        <v>0.00040741</v>
      </c>
      <c r="P2083" s="34">
        <f>IF($J2083=1,LN(1+O2083),"")</f>
        <v/>
      </c>
      <c r="Q2083" s="34">
        <f>IF($J2083=1,LN(R2084/R2083),"")</f>
        <v/>
      </c>
      <c r="R2083" s="32" t="n">
        <v>2.2813</v>
      </c>
      <c r="S2083" s="35" t="n">
        <v>11.327</v>
      </c>
      <c r="T2083" s="18" t="n"/>
      <c r="U2083" s="18" t="n"/>
      <c r="V2083" s="18" t="n"/>
      <c r="W2083" s="18" t="n">
        <v>58676.34</v>
      </c>
      <c r="X2083" s="35" t="n">
        <v>11.327</v>
      </c>
      <c r="Y2083" s="35" t="n"/>
    </row>
    <row r="2084">
      <c r="A2084" s="25" t="n">
        <v>41892</v>
      </c>
      <c r="B2084" s="18" t="n">
        <v>58198.66</v>
      </c>
      <c r="C2084" s="31" t="n"/>
      <c r="D2084" s="32" t="n"/>
      <c r="E2084" s="33" t="n">
        <v>-0.1913</v>
      </c>
      <c r="F2084" t="inlineStr">
        <is>
          <t>Down</t>
        </is>
      </c>
      <c r="G2084" t="inlineStr">
        <is>
          <t>Up</t>
        </is>
      </c>
      <c r="H2084" t="inlineStr">
        <is>
          <t>ED_JU</t>
        </is>
      </c>
      <c r="I2084" t="inlineStr">
        <is>
          <t>2014-09</t>
        </is>
      </c>
      <c r="J2084" t="n">
        <v>1</v>
      </c>
      <c r="K2084" t="n">
        <v>1</v>
      </c>
      <c r="L2084" s="34">
        <f>IF($J2084=1,LN(B2085/B2084),"")</f>
        <v/>
      </c>
      <c r="M2084" s="34">
        <f>IF($K2084=1,INDEX(Mensal!$D$2:$D$245,MATCH($I2084,Mensal!$A$2:$A$245,0)),"")</f>
        <v/>
      </c>
      <c r="N2084" s="34">
        <f>IF($K2084=1,L2084-M2084,"")</f>
        <v/>
      </c>
      <c r="O2084" s="34" t="n">
        <v>0.00040849</v>
      </c>
      <c r="P2084" s="34">
        <f>IF($J2084=1,LN(1+O2084),"")</f>
        <v/>
      </c>
      <c r="Q2084" s="34">
        <f>IF($J2084=1,LN(R2085/R2084),"")</f>
        <v/>
      </c>
      <c r="R2084" s="32" t="n">
        <v>2.2967</v>
      </c>
      <c r="S2084" s="35" t="n">
        <v>11.338</v>
      </c>
      <c r="T2084" s="18" t="n"/>
      <c r="U2084" s="18" t="n"/>
      <c r="V2084" s="18" t="n"/>
      <c r="W2084" s="18" t="n">
        <v>58198.66</v>
      </c>
      <c r="X2084" s="35" t="n">
        <v>11.338</v>
      </c>
      <c r="Y2084" s="35" t="n"/>
    </row>
    <row r="2085">
      <c r="A2085" s="25" t="n">
        <v>41893</v>
      </c>
      <c r="B2085" s="18" t="n">
        <v>58337.29</v>
      </c>
      <c r="C2085" s="31" t="n"/>
      <c r="D2085" s="32" t="n"/>
      <c r="E2085" s="33" t="n">
        <v>-0.2058</v>
      </c>
      <c r="F2085" t="inlineStr">
        <is>
          <t>Down</t>
        </is>
      </c>
      <c r="G2085" t="inlineStr">
        <is>
          <t>Up</t>
        </is>
      </c>
      <c r="H2085" t="inlineStr">
        <is>
          <t>ED_JU</t>
        </is>
      </c>
      <c r="I2085" t="inlineStr">
        <is>
          <t>2014-09</t>
        </is>
      </c>
      <c r="J2085" t="n">
        <v>1</v>
      </c>
      <c r="K2085" t="n">
        <v>1</v>
      </c>
      <c r="L2085" s="34">
        <f>IF($J2085=1,LN(B2086/B2085),"")</f>
        <v/>
      </c>
      <c r="M2085" s="34">
        <f>IF($K2085=1,INDEX(Mensal!$D$2:$D$245,MATCH($I2085,Mensal!$A$2:$A$245,0)),"")</f>
        <v/>
      </c>
      <c r="N2085" s="34">
        <f>IF($K2085=1,L2085-M2085,"")</f>
        <v/>
      </c>
      <c r="O2085" s="34" t="n">
        <v>0.00040741</v>
      </c>
      <c r="P2085" s="34">
        <f>IF($J2085=1,LN(1+O2085),"")</f>
        <v/>
      </c>
      <c r="Q2085" s="34">
        <f>IF($J2085=1,LN(R2086/R2085),"")</f>
        <v/>
      </c>
      <c r="R2085" s="32" t="n">
        <v>2.288</v>
      </c>
      <c r="S2085" s="35" t="n">
        <v>11.27</v>
      </c>
      <c r="T2085" s="18" t="n"/>
      <c r="U2085" s="18" t="n"/>
      <c r="V2085" s="18" t="n"/>
      <c r="W2085" s="18" t="n">
        <v>58337.29</v>
      </c>
      <c r="X2085" s="35" t="n">
        <v>11.27</v>
      </c>
      <c r="Y2085" s="35" t="n"/>
    </row>
    <row r="2086">
      <c r="A2086" s="25" t="n">
        <v>41894</v>
      </c>
      <c r="B2086" s="18" t="n">
        <v>56927.81</v>
      </c>
      <c r="C2086" s="31" t="n"/>
      <c r="D2086" s="32" t="n"/>
      <c r="E2086" s="33" t="n">
        <v>-0.2195</v>
      </c>
      <c r="F2086" t="inlineStr">
        <is>
          <t>Down</t>
        </is>
      </c>
      <c r="G2086" t="inlineStr">
        <is>
          <t>Up</t>
        </is>
      </c>
      <c r="H2086" t="inlineStr">
        <is>
          <t>ED_JU</t>
        </is>
      </c>
      <c r="I2086" t="inlineStr">
        <is>
          <t>2014-09</t>
        </is>
      </c>
      <c r="J2086" t="n">
        <v>1</v>
      </c>
      <c r="K2086" t="n">
        <v>1</v>
      </c>
      <c r="L2086" s="34">
        <f>IF($J2086=1,LN(B2087/B2086),"")</f>
        <v/>
      </c>
      <c r="M2086" s="34">
        <f>IF($K2086=1,INDEX(Mensal!$D$2:$D$245,MATCH($I2086,Mensal!$A$2:$A$245,0)),"")</f>
        <v/>
      </c>
      <c r="N2086" s="34">
        <f>IF($K2086=1,L2086-M2086,"")</f>
        <v/>
      </c>
      <c r="O2086" s="34" t="n">
        <v>0.00040741</v>
      </c>
      <c r="P2086" s="34">
        <f>IF($J2086=1,LN(1+O2086),"")</f>
        <v/>
      </c>
      <c r="Q2086" s="34">
        <f>IF($J2086=1,LN(R2087/R2086),"")</f>
        <v/>
      </c>
      <c r="R2086" s="32" t="n">
        <v>2.3251</v>
      </c>
      <c r="S2086" s="35" t="n">
        <v>11.424</v>
      </c>
      <c r="T2086" s="18" t="n"/>
      <c r="U2086" s="18" t="n"/>
      <c r="V2086" s="18" t="n"/>
      <c r="W2086" s="18" t="n">
        <v>56927.81</v>
      </c>
      <c r="X2086" s="35" t="n">
        <v>11.424</v>
      </c>
      <c r="Y2086" s="35" t="n"/>
    </row>
    <row r="2087">
      <c r="A2087" s="25" t="n">
        <v>41897</v>
      </c>
      <c r="B2087" s="18" t="n">
        <v>57948.76</v>
      </c>
      <c r="C2087" s="31" t="n"/>
      <c r="D2087" s="32" t="n"/>
      <c r="E2087" s="33" t="n">
        <v>-0.2245</v>
      </c>
      <c r="F2087" t="inlineStr">
        <is>
          <t>Down</t>
        </is>
      </c>
      <c r="G2087" t="inlineStr">
        <is>
          <t>Up</t>
        </is>
      </c>
      <c r="H2087" t="inlineStr">
        <is>
          <t>ED_JU</t>
        </is>
      </c>
      <c r="I2087" t="inlineStr">
        <is>
          <t>2014-09</t>
        </is>
      </c>
      <c r="J2087" t="n">
        <v>1</v>
      </c>
      <c r="K2087" t="n">
        <v>1</v>
      </c>
      <c r="L2087" s="34">
        <f>IF($J2087=1,LN(B2088/B2087),"")</f>
        <v/>
      </c>
      <c r="M2087" s="34">
        <f>IF($K2087=1,INDEX(Mensal!$D$2:$D$245,MATCH($I2087,Mensal!$A$2:$A$245,0)),"")</f>
        <v/>
      </c>
      <c r="N2087" s="34">
        <f>IF($K2087=1,L2087-M2087,"")</f>
        <v/>
      </c>
      <c r="O2087" s="34" t="n">
        <v>0.00040741</v>
      </c>
      <c r="P2087" s="34">
        <f>IF($J2087=1,LN(1+O2087),"")</f>
        <v/>
      </c>
      <c r="Q2087" s="34">
        <f>IF($J2087=1,LN(R2088/R2087),"")</f>
        <v/>
      </c>
      <c r="R2087" s="32" t="n">
        <v>2.3401</v>
      </c>
      <c r="S2087" s="35" t="n">
        <v>11.365</v>
      </c>
      <c r="T2087" s="18" t="n"/>
      <c r="U2087" s="18" t="n"/>
      <c r="V2087" s="18" t="n"/>
      <c r="W2087" s="18" t="n">
        <v>57948.76</v>
      </c>
      <c r="X2087" s="35" t="n">
        <v>11.365</v>
      </c>
      <c r="Y2087" s="35" t="n"/>
    </row>
    <row r="2088">
      <c r="A2088" s="25" t="n">
        <v>41898</v>
      </c>
      <c r="B2088" s="18" t="n">
        <v>59114.66</v>
      </c>
      <c r="C2088" s="31" t="n"/>
      <c r="D2088" s="32" t="n"/>
      <c r="E2088" s="33" t="n">
        <v>-0.2282</v>
      </c>
      <c r="F2088" t="inlineStr">
        <is>
          <t>Down</t>
        </is>
      </c>
      <c r="G2088" t="inlineStr">
        <is>
          <t>Up</t>
        </is>
      </c>
      <c r="H2088" t="inlineStr">
        <is>
          <t>ED_JU</t>
        </is>
      </c>
      <c r="I2088" t="inlineStr">
        <is>
          <t>2014-09</t>
        </is>
      </c>
      <c r="J2088" t="n">
        <v>1</v>
      </c>
      <c r="K2088" t="n">
        <v>1</v>
      </c>
      <c r="L2088" s="34">
        <f>IF($J2088=1,LN(B2089/B2088),"")</f>
        <v/>
      </c>
      <c r="M2088" s="34">
        <f>IF($K2088=1,INDEX(Mensal!$D$2:$D$245,MATCH($I2088,Mensal!$A$2:$A$245,0)),"")</f>
        <v/>
      </c>
      <c r="N2088" s="34">
        <f>IF($K2088=1,L2088-M2088,"")</f>
        <v/>
      </c>
      <c r="O2088" s="34" t="n">
        <v>0.00040741</v>
      </c>
      <c r="P2088" s="34">
        <f>IF($J2088=1,LN(1+O2088),"")</f>
        <v/>
      </c>
      <c r="Q2088" s="34">
        <f>IF($J2088=1,LN(R2089/R2088),"")</f>
        <v/>
      </c>
      <c r="R2088" s="32" t="n">
        <v>2.3351</v>
      </c>
      <c r="S2088" s="35" t="n">
        <v>11.367</v>
      </c>
      <c r="T2088" s="18" t="n"/>
      <c r="U2088" s="18" t="n"/>
      <c r="V2088" s="18" t="n"/>
      <c r="W2088" s="18" t="n">
        <v>59114.66</v>
      </c>
      <c r="X2088" s="35" t="n">
        <v>11.367</v>
      </c>
      <c r="Y2088" s="35" t="n"/>
    </row>
    <row r="2089">
      <c r="A2089" s="25" t="n">
        <v>41899</v>
      </c>
      <c r="B2089" s="18" t="n">
        <v>59108.19</v>
      </c>
      <c r="C2089" s="31" t="n"/>
      <c r="D2089" s="32" t="n"/>
      <c r="E2089" s="33" t="n">
        <v>-0.2321</v>
      </c>
      <c r="F2089" t="inlineStr">
        <is>
          <t>Down</t>
        </is>
      </c>
      <c r="G2089" t="inlineStr">
        <is>
          <t>Up</t>
        </is>
      </c>
      <c r="H2089" t="inlineStr">
        <is>
          <t>ED_JU</t>
        </is>
      </c>
      <c r="I2089" t="inlineStr">
        <is>
          <t>2014-09</t>
        </is>
      </c>
      <c r="J2089" t="n">
        <v>1</v>
      </c>
      <c r="K2089" t="n">
        <v>1</v>
      </c>
      <c r="L2089" s="34">
        <f>IF($J2089=1,LN(B2090/B2089),"")</f>
        <v/>
      </c>
      <c r="M2089" s="34">
        <f>IF($K2089=1,INDEX(Mensal!$D$2:$D$245,MATCH($I2089,Mensal!$A$2:$A$245,0)),"")</f>
        <v/>
      </c>
      <c r="N2089" s="34">
        <f>IF($K2089=1,L2089-M2089,"")</f>
        <v/>
      </c>
      <c r="O2089" s="34" t="n">
        <v>0.00040741</v>
      </c>
      <c r="P2089" s="34">
        <f>IF($J2089=1,LN(1+O2089),"")</f>
        <v/>
      </c>
      <c r="Q2089" s="34">
        <f>IF($J2089=1,LN(R2090/R2089),"")</f>
        <v/>
      </c>
      <c r="R2089" s="32" t="n">
        <v>2.3384</v>
      </c>
      <c r="S2089" s="35" t="n">
        <v>11.39</v>
      </c>
      <c r="T2089" s="18" t="n"/>
      <c r="U2089" s="18" t="n"/>
      <c r="V2089" s="18" t="n"/>
      <c r="W2089" s="18" t="n">
        <v>59108.19</v>
      </c>
      <c r="X2089" s="35" t="n">
        <v>11.39</v>
      </c>
      <c r="Y2089" s="35" t="n"/>
    </row>
    <row r="2090">
      <c r="A2090" s="25" t="n">
        <v>41900</v>
      </c>
      <c r="B2090" s="18" t="n">
        <v>58374.48</v>
      </c>
      <c r="C2090" s="31" t="n"/>
      <c r="D2090" s="32" t="n"/>
      <c r="E2090" s="33" t="n">
        <v>-0.2315</v>
      </c>
      <c r="F2090" t="inlineStr">
        <is>
          <t>Down</t>
        </is>
      </c>
      <c r="G2090" t="inlineStr">
        <is>
          <t>Up</t>
        </is>
      </c>
      <c r="H2090" t="inlineStr">
        <is>
          <t>ED_JU</t>
        </is>
      </c>
      <c r="I2090" t="inlineStr">
        <is>
          <t>2014-09</t>
        </is>
      </c>
      <c r="J2090" t="n">
        <v>1</v>
      </c>
      <c r="K2090" t="n">
        <v>1</v>
      </c>
      <c r="L2090" s="34">
        <f>IF($J2090=1,LN(B2091/B2090),"")</f>
        <v/>
      </c>
      <c r="M2090" s="34">
        <f>IF($K2090=1,INDEX(Mensal!$D$2:$D$245,MATCH($I2090,Mensal!$A$2:$A$245,0)),"")</f>
        <v/>
      </c>
      <c r="N2090" s="34">
        <f>IF($K2090=1,L2090-M2090,"")</f>
        <v/>
      </c>
      <c r="O2090" s="34" t="n">
        <v>0.00040741</v>
      </c>
      <c r="P2090" s="34">
        <f>IF($J2090=1,LN(1+O2090),"")</f>
        <v/>
      </c>
      <c r="Q2090" s="34">
        <f>IF($J2090=1,LN(R2091/R2090),"")</f>
        <v/>
      </c>
      <c r="R2090" s="32" t="n">
        <v>2.3668</v>
      </c>
      <c r="S2090" s="35" t="n">
        <v>11.465</v>
      </c>
      <c r="T2090" s="18" t="n"/>
      <c r="U2090" s="18" t="n"/>
      <c r="V2090" s="18" t="n"/>
      <c r="W2090" s="18" t="n">
        <v>58374.48</v>
      </c>
      <c r="X2090" s="35" t="n">
        <v>11.465</v>
      </c>
      <c r="Y2090" s="35" t="n"/>
    </row>
    <row r="2091">
      <c r="A2091" s="25" t="n">
        <v>41901</v>
      </c>
      <c r="B2091" s="18" t="n">
        <v>57788.7</v>
      </c>
      <c r="C2091" s="31" t="n"/>
      <c r="D2091" s="32" t="n"/>
      <c r="E2091" s="33" t="n">
        <v>-0.2294</v>
      </c>
      <c r="F2091" t="inlineStr">
        <is>
          <t>Down</t>
        </is>
      </c>
      <c r="G2091" t="inlineStr">
        <is>
          <t>Up</t>
        </is>
      </c>
      <c r="H2091" t="inlineStr">
        <is>
          <t>ED_JU</t>
        </is>
      </c>
      <c r="I2091" t="inlineStr">
        <is>
          <t>2014-09</t>
        </is>
      </c>
      <c r="J2091" t="n">
        <v>1</v>
      </c>
      <c r="K2091" t="n">
        <v>1</v>
      </c>
      <c r="L2091" s="34">
        <f>IF($J2091=1,LN(B2092/B2091),"")</f>
        <v/>
      </c>
      <c r="M2091" s="34">
        <f>IF($K2091=1,INDEX(Mensal!$D$2:$D$245,MATCH($I2091,Mensal!$A$2:$A$245,0)),"")</f>
        <v/>
      </c>
      <c r="N2091" s="34">
        <f>IF($K2091=1,L2091-M2091,"")</f>
        <v/>
      </c>
      <c r="O2091" s="34" t="n">
        <v>0.00040741</v>
      </c>
      <c r="P2091" s="34">
        <f>IF($J2091=1,LN(1+O2091),"")</f>
        <v/>
      </c>
      <c r="Q2091" s="34">
        <f>IF($J2091=1,LN(R2092/R2091),"")</f>
        <v/>
      </c>
      <c r="R2091" s="32" t="n">
        <v>2.3656</v>
      </c>
      <c r="S2091" s="35" t="n">
        <v>11.524</v>
      </c>
      <c r="T2091" s="18" t="n"/>
      <c r="U2091" s="18" t="n"/>
      <c r="V2091" s="18" t="n"/>
      <c r="W2091" s="18" t="n">
        <v>57788.7</v>
      </c>
      <c r="X2091" s="35" t="n">
        <v>11.524</v>
      </c>
      <c r="Y2091" s="35" t="n"/>
    </row>
    <row r="2092">
      <c r="A2092" s="25" t="n">
        <v>41904</v>
      </c>
      <c r="B2092" s="18" t="n">
        <v>56818.11</v>
      </c>
      <c r="C2092" s="31" t="n"/>
      <c r="D2092" s="32" t="n"/>
      <c r="E2092" s="33" t="n">
        <v>-0.2293</v>
      </c>
      <c r="F2092" t="inlineStr">
        <is>
          <t>Down</t>
        </is>
      </c>
      <c r="G2092" t="inlineStr">
        <is>
          <t>Up</t>
        </is>
      </c>
      <c r="H2092" t="inlineStr">
        <is>
          <t>ED_JU</t>
        </is>
      </c>
      <c r="I2092" t="inlineStr">
        <is>
          <t>2014-09</t>
        </is>
      </c>
      <c r="J2092" t="n">
        <v>1</v>
      </c>
      <c r="K2092" t="n">
        <v>1</v>
      </c>
      <c r="L2092" s="34">
        <f>IF($J2092=1,LN(B2093/B2092),"")</f>
        <v/>
      </c>
      <c r="M2092" s="34">
        <f>IF($K2092=1,INDEX(Mensal!$D$2:$D$245,MATCH($I2092,Mensal!$A$2:$A$245,0)),"")</f>
        <v/>
      </c>
      <c r="N2092" s="34">
        <f>IF($K2092=1,L2092-M2092,"")</f>
        <v/>
      </c>
      <c r="O2092" s="34" t="n">
        <v>0.00040741</v>
      </c>
      <c r="P2092" s="34">
        <f>IF($J2092=1,LN(1+O2092),"")</f>
        <v/>
      </c>
      <c r="Q2092" s="34">
        <f>IF($J2092=1,LN(R2093/R2092),"")</f>
        <v/>
      </c>
      <c r="R2092" s="32" t="n">
        <v>2.387</v>
      </c>
      <c r="S2092" s="35" t="n">
        <v>11.601</v>
      </c>
      <c r="T2092" s="18" t="n"/>
      <c r="U2092" s="18" t="n"/>
      <c r="V2092" s="18" t="n"/>
      <c r="W2092" s="18" t="n">
        <v>56818.11</v>
      </c>
      <c r="X2092" s="35" t="n">
        <v>11.601</v>
      </c>
      <c r="Y2092" s="35" t="n"/>
    </row>
    <row r="2093">
      <c r="A2093" s="25" t="n">
        <v>41905</v>
      </c>
      <c r="B2093" s="18" t="n">
        <v>56540.5</v>
      </c>
      <c r="C2093" s="31" t="n"/>
      <c r="D2093" s="32" t="n"/>
      <c r="E2093" s="33" t="n">
        <v>-0.2297</v>
      </c>
      <c r="F2093" t="inlineStr">
        <is>
          <t>Down</t>
        </is>
      </c>
      <c r="G2093" t="inlineStr">
        <is>
          <t>Up</t>
        </is>
      </c>
      <c r="H2093" t="inlineStr">
        <is>
          <t>ED_JU</t>
        </is>
      </c>
      <c r="I2093" t="inlineStr">
        <is>
          <t>2014-09</t>
        </is>
      </c>
      <c r="J2093" t="n">
        <v>1</v>
      </c>
      <c r="K2093" t="n">
        <v>1</v>
      </c>
      <c r="L2093" s="34">
        <f>IF($J2093=1,LN(B2094/B2093),"")</f>
        <v/>
      </c>
      <c r="M2093" s="34">
        <f>IF($K2093=1,INDEX(Mensal!$D$2:$D$245,MATCH($I2093,Mensal!$A$2:$A$245,0)),"")</f>
        <v/>
      </c>
      <c r="N2093" s="34">
        <f>IF($K2093=1,L2093-M2093,"")</f>
        <v/>
      </c>
      <c r="O2093" s="34" t="n">
        <v>0.00040849</v>
      </c>
      <c r="P2093" s="34">
        <f>IF($J2093=1,LN(1+O2093),"")</f>
        <v/>
      </c>
      <c r="Q2093" s="34">
        <f>IF($J2093=1,LN(R2094/R2093),"")</f>
        <v/>
      </c>
      <c r="R2093" s="32" t="n">
        <v>2.4026</v>
      </c>
      <c r="S2093" s="35" t="n">
        <v>11.584</v>
      </c>
      <c r="T2093" s="18" t="n"/>
      <c r="U2093" s="18" t="n"/>
      <c r="V2093" s="18" t="n"/>
      <c r="W2093" s="18" t="n">
        <v>56540.5</v>
      </c>
      <c r="X2093" s="35" t="n">
        <v>11.584</v>
      </c>
      <c r="Y2093" s="35" t="n"/>
    </row>
    <row r="2094">
      <c r="A2094" s="25" t="n">
        <v>41906</v>
      </c>
      <c r="B2094" s="18" t="n">
        <v>56824.42</v>
      </c>
      <c r="C2094" s="31" t="n"/>
      <c r="D2094" s="32" t="n"/>
      <c r="E2094" s="33" t="n">
        <v>-0.236</v>
      </c>
      <c r="F2094" t="inlineStr">
        <is>
          <t>Down</t>
        </is>
      </c>
      <c r="G2094" t="inlineStr">
        <is>
          <t>Up</t>
        </is>
      </c>
      <c r="H2094" t="inlineStr">
        <is>
          <t>ED_JU</t>
        </is>
      </c>
      <c r="I2094" t="inlineStr">
        <is>
          <t>2014-09</t>
        </is>
      </c>
      <c r="J2094" t="n">
        <v>1</v>
      </c>
      <c r="K2094" t="n">
        <v>1</v>
      </c>
      <c r="L2094" s="34">
        <f>IF($J2094=1,LN(B2095/B2094),"")</f>
        <v/>
      </c>
      <c r="M2094" s="34">
        <f>IF($K2094=1,INDEX(Mensal!$D$2:$D$245,MATCH($I2094,Mensal!$A$2:$A$245,0)),"")</f>
        <v/>
      </c>
      <c r="N2094" s="34">
        <f>IF($K2094=1,L2094-M2094,"")</f>
        <v/>
      </c>
      <c r="O2094" s="34" t="n">
        <v>0.00040849</v>
      </c>
      <c r="P2094" s="34">
        <f>IF($J2094=1,LN(1+O2094),"")</f>
        <v/>
      </c>
      <c r="Q2094" s="34">
        <f>IF($J2094=1,LN(R2095/R2094),"")</f>
        <v/>
      </c>
      <c r="R2094" s="32" t="n">
        <v>2.407</v>
      </c>
      <c r="S2094" s="35" t="n">
        <v>11.512</v>
      </c>
      <c r="T2094" s="18" t="n"/>
      <c r="U2094" s="18" t="n"/>
      <c r="V2094" s="18" t="n"/>
      <c r="W2094" s="18" t="n">
        <v>56824.42</v>
      </c>
      <c r="X2094" s="35" t="n">
        <v>11.512</v>
      </c>
      <c r="Y2094" s="35" t="n"/>
    </row>
    <row r="2095">
      <c r="A2095" s="25" t="n">
        <v>41907</v>
      </c>
      <c r="B2095" s="18" t="n">
        <v>55962.08</v>
      </c>
      <c r="C2095" s="31" t="n"/>
      <c r="D2095" s="32" t="n"/>
      <c r="E2095" s="33" t="n">
        <v>-0.2406</v>
      </c>
      <c r="F2095" t="inlineStr">
        <is>
          <t>Down</t>
        </is>
      </c>
      <c r="G2095" t="inlineStr">
        <is>
          <t>Up</t>
        </is>
      </c>
      <c r="H2095" t="inlineStr">
        <is>
          <t>ED_JU</t>
        </is>
      </c>
      <c r="I2095" t="inlineStr">
        <is>
          <t>2014-09</t>
        </is>
      </c>
      <c r="J2095" t="n">
        <v>1</v>
      </c>
      <c r="K2095" t="n">
        <v>1</v>
      </c>
      <c r="L2095" s="34">
        <f>IF($J2095=1,LN(B2096/B2095),"")</f>
        <v/>
      </c>
      <c r="M2095" s="34">
        <f>IF($K2095=1,INDEX(Mensal!$D$2:$D$245,MATCH($I2095,Mensal!$A$2:$A$245,0)),"")</f>
        <v/>
      </c>
      <c r="N2095" s="34">
        <f>IF($K2095=1,L2095-M2095,"")</f>
        <v/>
      </c>
      <c r="O2095" s="34" t="n">
        <v>0.00040849</v>
      </c>
      <c r="P2095" s="34">
        <f>IF($J2095=1,LN(1+O2095),"")</f>
        <v/>
      </c>
      <c r="Q2095" s="34">
        <f>IF($J2095=1,LN(R2096/R2095),"")</f>
        <v/>
      </c>
      <c r="R2095" s="32" t="n">
        <v>2.4085</v>
      </c>
      <c r="S2095" s="35" t="n">
        <v>11.607</v>
      </c>
      <c r="T2095" s="18" t="n"/>
      <c r="U2095" s="18" t="n"/>
      <c r="V2095" s="18" t="n"/>
      <c r="W2095" s="18" t="n">
        <v>55962.08</v>
      </c>
      <c r="X2095" s="35" t="n">
        <v>11.607</v>
      </c>
      <c r="Y2095" s="35" t="n"/>
    </row>
    <row r="2096">
      <c r="A2096" s="25" t="n">
        <v>41908</v>
      </c>
      <c r="B2096" s="18" t="n">
        <v>57212.38</v>
      </c>
      <c r="C2096" s="31" t="n"/>
      <c r="D2096" s="32" t="n"/>
      <c r="E2096" s="33" t="n">
        <v>-0.2441</v>
      </c>
      <c r="F2096" t="inlineStr">
        <is>
          <t>Down</t>
        </is>
      </c>
      <c r="G2096" t="inlineStr">
        <is>
          <t>Up</t>
        </is>
      </c>
      <c r="H2096" t="inlineStr">
        <is>
          <t>ED_JU</t>
        </is>
      </c>
      <c r="I2096" t="inlineStr">
        <is>
          <t>2014-09</t>
        </is>
      </c>
      <c r="J2096" t="n">
        <v>1</v>
      </c>
      <c r="K2096" t="n">
        <v>1</v>
      </c>
      <c r="L2096" s="34">
        <f>IF($J2096=1,LN(B2097/B2096),"")</f>
        <v/>
      </c>
      <c r="M2096" s="34">
        <f>IF($K2096=1,INDEX(Mensal!$D$2:$D$245,MATCH($I2096,Mensal!$A$2:$A$245,0)),"")</f>
        <v/>
      </c>
      <c r="N2096" s="34">
        <f>IF($K2096=1,L2096-M2096,"")</f>
        <v/>
      </c>
      <c r="O2096" s="34" t="n">
        <v>0.00040741</v>
      </c>
      <c r="P2096" s="34">
        <f>IF($J2096=1,LN(1+O2096),"")</f>
        <v/>
      </c>
      <c r="Q2096" s="34">
        <f>IF($J2096=1,LN(R2097/R2096),"")</f>
        <v/>
      </c>
      <c r="R2096" s="32" t="n">
        <v>2.431</v>
      </c>
      <c r="S2096" s="35" t="n">
        <v>11.559</v>
      </c>
      <c r="T2096" s="18" t="n"/>
      <c r="U2096" s="18" t="n"/>
      <c r="V2096" s="18" t="n"/>
      <c r="W2096" s="18" t="n">
        <v>57212.38</v>
      </c>
      <c r="X2096" s="35" t="n">
        <v>11.559</v>
      </c>
      <c r="Y2096" s="35" t="n"/>
    </row>
    <row r="2097">
      <c r="A2097" s="25" t="n">
        <v>41911</v>
      </c>
      <c r="B2097" s="18" t="n">
        <v>54625.35</v>
      </c>
      <c r="C2097" s="31" t="n"/>
      <c r="D2097" s="32" t="n"/>
      <c r="E2097" s="33" t="n">
        <v>-0.2385</v>
      </c>
      <c r="F2097" t="inlineStr">
        <is>
          <t>Down</t>
        </is>
      </c>
      <c r="G2097" t="inlineStr">
        <is>
          <t>Up</t>
        </is>
      </c>
      <c r="H2097" t="inlineStr">
        <is>
          <t>ED_JU</t>
        </is>
      </c>
      <c r="I2097" t="inlineStr">
        <is>
          <t>2014-09</t>
        </is>
      </c>
      <c r="J2097" t="n">
        <v>1</v>
      </c>
      <c r="K2097" t="n">
        <v>1</v>
      </c>
      <c r="L2097" s="34">
        <f>IF($J2097=1,LN(B2098/B2097),"")</f>
        <v/>
      </c>
      <c r="M2097" s="34">
        <f>IF($K2097=1,INDEX(Mensal!$D$2:$D$245,MATCH($I2097,Mensal!$A$2:$A$245,0)),"")</f>
        <v/>
      </c>
      <c r="N2097" s="34">
        <f>IF($K2097=1,L2097-M2097,"")</f>
        <v/>
      </c>
      <c r="O2097" s="34" t="n">
        <v>0.00040741</v>
      </c>
      <c r="P2097" s="34">
        <f>IF($J2097=1,LN(1+O2097),"")</f>
        <v/>
      </c>
      <c r="Q2097" s="34">
        <f>IF($J2097=1,LN(R2098/R2097),"")</f>
        <v/>
      </c>
      <c r="R2097" s="32" t="n">
        <v>2.4522</v>
      </c>
      <c r="S2097" s="35" t="n">
        <v>11.814</v>
      </c>
      <c r="T2097" s="18" t="n"/>
      <c r="U2097" s="18" t="n"/>
      <c r="V2097" s="18" t="n"/>
      <c r="W2097" s="18" t="n">
        <v>54625.35</v>
      </c>
      <c r="X2097" s="35" t="n">
        <v>11.814</v>
      </c>
      <c r="Y2097" s="35" t="n"/>
    </row>
    <row r="2098">
      <c r="A2098" s="25" t="n">
        <v>41912</v>
      </c>
      <c r="B2098" s="18" t="n">
        <v>54115.98</v>
      </c>
      <c r="C2098" s="31" t="n"/>
      <c r="D2098" s="32" t="n"/>
      <c r="E2098" s="33" t="n">
        <v>-0.2377</v>
      </c>
      <c r="F2098" t="inlineStr">
        <is>
          <t>Down</t>
        </is>
      </c>
      <c r="G2098" t="inlineStr">
        <is>
          <t>Up</t>
        </is>
      </c>
      <c r="H2098" t="inlineStr">
        <is>
          <t>ED_JU</t>
        </is>
      </c>
      <c r="I2098" t="inlineStr">
        <is>
          <t>2014-09</t>
        </is>
      </c>
      <c r="J2098" t="n">
        <v>1</v>
      </c>
      <c r="K2098" t="n">
        <v>1</v>
      </c>
      <c r="L2098" s="34">
        <f>IF($J2098=1,LN(B2099/B2098),"")</f>
        <v/>
      </c>
      <c r="M2098" s="34">
        <f>IF($K2098=1,INDEX(Mensal!$D$2:$D$245,MATCH($I2098,Mensal!$A$2:$A$245,0)),"")</f>
        <v/>
      </c>
      <c r="N2098" s="34">
        <f>IF($K2098=1,L2098-M2098,"")</f>
        <v/>
      </c>
      <c r="O2098" s="34" t="n">
        <v>0.00040741</v>
      </c>
      <c r="P2098" s="34">
        <f>IF($J2098=1,LN(1+O2098),"")</f>
        <v/>
      </c>
      <c r="Q2098" s="34">
        <f>IF($J2098=1,LN(R2099/R2098),"")</f>
        <v/>
      </c>
      <c r="R2098" s="32" t="n">
        <v>2.451</v>
      </c>
      <c r="S2098" s="35" t="n">
        <v>11.768</v>
      </c>
      <c r="T2098" s="18" t="n"/>
      <c r="U2098" s="18" t="n"/>
      <c r="V2098" s="18" t="n"/>
      <c r="W2098" s="18" t="n">
        <v>54115.98</v>
      </c>
      <c r="X2098" s="35" t="n">
        <v>11.768</v>
      </c>
      <c r="Y2098" s="35" t="n"/>
    </row>
    <row r="2099">
      <c r="A2099" s="25" t="n">
        <v>41913</v>
      </c>
      <c r="B2099" s="18" t="n">
        <v>52858.43</v>
      </c>
      <c r="C2099" s="31" t="n"/>
      <c r="D2099" s="32" t="n"/>
      <c r="E2099" s="33" t="n">
        <v>-0.2491</v>
      </c>
      <c r="F2099" t="inlineStr">
        <is>
          <t>Down</t>
        </is>
      </c>
      <c r="G2099" t="inlineStr">
        <is>
          <t>Up</t>
        </is>
      </c>
      <c r="H2099" t="inlineStr">
        <is>
          <t>ED_JU</t>
        </is>
      </c>
      <c r="I2099" t="inlineStr">
        <is>
          <t>2014-10</t>
        </is>
      </c>
      <c r="J2099" t="n">
        <v>1</v>
      </c>
      <c r="K2099" t="n">
        <v>1</v>
      </c>
      <c r="L2099" s="34">
        <f>IF($J2099=1,LN(B2100/B2099),"")</f>
        <v/>
      </c>
      <c r="M2099" s="34">
        <f>IF($K2099=1,INDEX(Mensal!$D$2:$D$245,MATCH($I2099,Mensal!$A$2:$A$245,0)),"")</f>
        <v/>
      </c>
      <c r="N2099" s="34">
        <f>IF($K2099=1,L2099-M2099,"")</f>
        <v/>
      </c>
      <c r="O2099" s="34" t="n">
        <v>0.00040741</v>
      </c>
      <c r="P2099" s="34">
        <f>IF($J2099=1,LN(1+O2099),"")</f>
        <v/>
      </c>
      <c r="Q2099" s="34">
        <f>IF($J2099=1,LN(R2100/R2099),"")</f>
        <v/>
      </c>
      <c r="R2099" s="32" t="n">
        <v>2.4623</v>
      </c>
      <c r="S2099" s="35" t="n">
        <v>11.791</v>
      </c>
      <c r="T2099" s="18" t="n"/>
      <c r="U2099" s="18" t="n"/>
      <c r="V2099" s="18" t="n"/>
      <c r="W2099" s="18" t="n">
        <v>52858.43</v>
      </c>
      <c r="X2099" s="35" t="n">
        <v>11.791</v>
      </c>
      <c r="Y2099" s="35" t="n"/>
    </row>
    <row r="2100">
      <c r="A2100" s="25" t="n">
        <v>41914</v>
      </c>
      <c r="B2100" s="18" t="n">
        <v>53518.57</v>
      </c>
      <c r="C2100" s="31" t="n"/>
      <c r="D2100" s="32" t="n"/>
      <c r="E2100" s="33" t="n">
        <v>-0.2607</v>
      </c>
      <c r="F2100" t="inlineStr">
        <is>
          <t>Down</t>
        </is>
      </c>
      <c r="G2100" t="inlineStr">
        <is>
          <t>Up</t>
        </is>
      </c>
      <c r="H2100" t="inlineStr">
        <is>
          <t>ED_JU</t>
        </is>
      </c>
      <c r="I2100" t="inlineStr">
        <is>
          <t>2014-10</t>
        </is>
      </c>
      <c r="J2100" t="n">
        <v>1</v>
      </c>
      <c r="K2100" t="n">
        <v>1</v>
      </c>
      <c r="L2100" s="34">
        <f>IF($J2100=1,LN(B2101/B2100),"")</f>
        <v/>
      </c>
      <c r="M2100" s="34">
        <f>IF($K2100=1,INDEX(Mensal!$D$2:$D$245,MATCH($I2100,Mensal!$A$2:$A$245,0)),"")</f>
        <v/>
      </c>
      <c r="N2100" s="34">
        <f>IF($K2100=1,L2100-M2100,"")</f>
        <v/>
      </c>
      <c r="O2100" s="34" t="n">
        <v>0.00040741</v>
      </c>
      <c r="P2100" s="34">
        <f>IF($J2100=1,LN(1+O2100),"")</f>
        <v/>
      </c>
      <c r="Q2100" s="34">
        <f>IF($J2100=1,LN(R2101/R2100),"")</f>
        <v/>
      </c>
      <c r="R2100" s="32" t="n">
        <v>2.4785</v>
      </c>
      <c r="S2100" s="35" t="n">
        <v>11.822</v>
      </c>
      <c r="T2100" s="18" t="n"/>
      <c r="U2100" s="18" t="n"/>
      <c r="V2100" s="18" t="n"/>
      <c r="W2100" s="18" t="n">
        <v>53518.57</v>
      </c>
      <c r="X2100" s="35" t="n">
        <v>11.822</v>
      </c>
      <c r="Y2100" s="35" t="n"/>
    </row>
    <row r="2101">
      <c r="A2101" s="25" t="n">
        <v>41915</v>
      </c>
      <c r="B2101" s="18" t="n">
        <v>54539.55</v>
      </c>
      <c r="C2101" s="31" t="n"/>
      <c r="D2101" s="32" t="n"/>
      <c r="E2101" s="33" t="n">
        <v>-0.2745</v>
      </c>
      <c r="F2101" t="inlineStr">
        <is>
          <t>Down</t>
        </is>
      </c>
      <c r="G2101" t="inlineStr">
        <is>
          <t>Up</t>
        </is>
      </c>
      <c r="H2101" t="inlineStr">
        <is>
          <t>ED_JU</t>
        </is>
      </c>
      <c r="I2101" t="inlineStr">
        <is>
          <t>2014-10</t>
        </is>
      </c>
      <c r="J2101" t="n">
        <v>1</v>
      </c>
      <c r="K2101" t="n">
        <v>1</v>
      </c>
      <c r="L2101" s="34">
        <f>IF($J2101=1,LN(B2102/B2101),"")</f>
        <v/>
      </c>
      <c r="M2101" s="34">
        <f>IF($K2101=1,INDEX(Mensal!$D$2:$D$245,MATCH($I2101,Mensal!$A$2:$A$245,0)),"")</f>
        <v/>
      </c>
      <c r="N2101" s="34">
        <f>IF($K2101=1,L2101-M2101,"")</f>
        <v/>
      </c>
      <c r="O2101" s="34" t="n">
        <v>0.00040741</v>
      </c>
      <c r="P2101" s="34">
        <f>IF($J2101=1,LN(1+O2101),"")</f>
        <v/>
      </c>
      <c r="Q2101" s="34">
        <f>IF($J2101=1,LN(R2102/R2101),"")</f>
        <v/>
      </c>
      <c r="R2101" s="32" t="n">
        <v>2.4932</v>
      </c>
      <c r="S2101" s="35" t="n">
        <v>11.752</v>
      </c>
      <c r="T2101" s="18" t="n"/>
      <c r="U2101" s="18" t="n"/>
      <c r="V2101" s="18" t="n"/>
      <c r="W2101" s="18" t="n">
        <v>54539.55</v>
      </c>
      <c r="X2101" s="35" t="n">
        <v>11.752</v>
      </c>
      <c r="Y2101" s="35" t="n"/>
    </row>
    <row r="2102">
      <c r="A2102" s="25" t="n">
        <v>41918</v>
      </c>
      <c r="B2102" s="18" t="n">
        <v>57115.9</v>
      </c>
      <c r="C2102" s="31" t="n"/>
      <c r="D2102" s="32" t="n"/>
      <c r="E2102" s="33" t="n">
        <v>-0.2864</v>
      </c>
      <c r="F2102" t="inlineStr">
        <is>
          <t>Down</t>
        </is>
      </c>
      <c r="G2102" t="inlineStr">
        <is>
          <t>Up</t>
        </is>
      </c>
      <c r="H2102" t="inlineStr">
        <is>
          <t>ED_JU</t>
        </is>
      </c>
      <c r="I2102" t="inlineStr">
        <is>
          <t>2014-10</t>
        </is>
      </c>
      <c r="J2102" t="n">
        <v>1</v>
      </c>
      <c r="K2102" t="n">
        <v>1</v>
      </c>
      <c r="L2102" s="34">
        <f>IF($J2102=1,LN(B2103/B2102),"")</f>
        <v/>
      </c>
      <c r="M2102" s="34">
        <f>IF($K2102=1,INDEX(Mensal!$D$2:$D$245,MATCH($I2102,Mensal!$A$2:$A$245,0)),"")</f>
        <v/>
      </c>
      <c r="N2102" s="34">
        <f>IF($K2102=1,L2102-M2102,"")</f>
        <v/>
      </c>
      <c r="O2102" s="34" t="n">
        <v>0.00040741</v>
      </c>
      <c r="P2102" s="34">
        <f>IF($J2102=1,LN(1+O2102),"")</f>
        <v/>
      </c>
      <c r="Q2102" s="34">
        <f>IF($J2102=1,LN(R2103/R2102),"")</f>
        <v/>
      </c>
      <c r="R2102" s="32" t="n">
        <v>2.4098</v>
      </c>
      <c r="S2102" s="35" t="n">
        <v>11.7</v>
      </c>
      <c r="T2102" s="18" t="n"/>
      <c r="U2102" s="18" t="n"/>
      <c r="V2102" s="18" t="n"/>
      <c r="W2102" s="18" t="n">
        <v>57115.9</v>
      </c>
      <c r="X2102" s="35" t="n">
        <v>11.7</v>
      </c>
      <c r="Y2102" s="35" t="n"/>
    </row>
    <row r="2103">
      <c r="A2103" s="25" t="n">
        <v>41919</v>
      </c>
      <c r="B2103" s="18" t="n">
        <v>57436.33</v>
      </c>
      <c r="C2103" s="31" t="n"/>
      <c r="D2103" s="32" t="n"/>
      <c r="E2103" s="33" t="n">
        <v>-0.2965</v>
      </c>
      <c r="F2103" t="inlineStr">
        <is>
          <t>Down</t>
        </is>
      </c>
      <c r="G2103" t="inlineStr">
        <is>
          <t>Up</t>
        </is>
      </c>
      <c r="H2103" t="inlineStr">
        <is>
          <t>ED_JU</t>
        </is>
      </c>
      <c r="I2103" t="inlineStr">
        <is>
          <t>2014-10</t>
        </is>
      </c>
      <c r="J2103" t="n">
        <v>1</v>
      </c>
      <c r="K2103" t="n">
        <v>1</v>
      </c>
      <c r="L2103" s="34">
        <f>IF($J2103=1,LN(B2104/B2103),"")</f>
        <v/>
      </c>
      <c r="M2103" s="34">
        <f>IF($K2103=1,INDEX(Mensal!$D$2:$D$245,MATCH($I2103,Mensal!$A$2:$A$245,0)),"")</f>
        <v/>
      </c>
      <c r="N2103" s="34">
        <f>IF($K2103=1,L2103-M2103,"")</f>
        <v/>
      </c>
      <c r="O2103" s="34" t="n">
        <v>0.00040849</v>
      </c>
      <c r="P2103" s="34">
        <f>IF($J2103=1,LN(1+O2103),"")</f>
        <v/>
      </c>
      <c r="Q2103" s="34">
        <f>IF($J2103=1,LN(R2104/R2103),"")</f>
        <v/>
      </c>
      <c r="R2103" s="32" t="n">
        <v>2.4038</v>
      </c>
      <c r="S2103" s="35" t="n">
        <v>11.653</v>
      </c>
      <c r="T2103" s="18" t="n"/>
      <c r="U2103" s="18" t="n"/>
      <c r="V2103" s="18" t="n"/>
      <c r="W2103" s="18" t="n">
        <v>57436.33</v>
      </c>
      <c r="X2103" s="35" t="n">
        <v>11.653</v>
      </c>
      <c r="Y2103" s="35" t="n"/>
    </row>
    <row r="2104">
      <c r="A2104" s="25" t="n">
        <v>41920</v>
      </c>
      <c r="B2104" s="18" t="n">
        <v>57058.48</v>
      </c>
      <c r="C2104" s="31" t="n"/>
      <c r="D2104" s="32" t="n"/>
      <c r="E2104" s="33" t="n">
        <v>-0.3071</v>
      </c>
      <c r="F2104" t="inlineStr">
        <is>
          <t>Down</t>
        </is>
      </c>
      <c r="G2104" t="inlineStr">
        <is>
          <t>Up</t>
        </is>
      </c>
      <c r="H2104" t="inlineStr">
        <is>
          <t>ED_JU</t>
        </is>
      </c>
      <c r="I2104" t="inlineStr">
        <is>
          <t>2014-10</t>
        </is>
      </c>
      <c r="J2104" t="n">
        <v>1</v>
      </c>
      <c r="K2104" t="n">
        <v>1</v>
      </c>
      <c r="L2104" s="34">
        <f>IF($J2104=1,LN(B2105/B2104),"")</f>
        <v/>
      </c>
      <c r="M2104" s="34">
        <f>IF($K2104=1,INDEX(Mensal!$D$2:$D$245,MATCH($I2104,Mensal!$A$2:$A$245,0)),"")</f>
        <v/>
      </c>
      <c r="N2104" s="34">
        <f>IF($K2104=1,L2104-M2104,"")</f>
        <v/>
      </c>
      <c r="O2104" s="34" t="n">
        <v>0.00040849</v>
      </c>
      <c r="P2104" s="34">
        <f>IF($J2104=1,LN(1+O2104),"")</f>
        <v/>
      </c>
      <c r="Q2104" s="34">
        <f>IF($J2104=1,LN(R2105/R2104),"")</f>
        <v/>
      </c>
      <c r="R2104" s="32" t="n">
        <v>2.4072</v>
      </c>
      <c r="S2104" s="35" t="n">
        <v>11.744</v>
      </c>
      <c r="T2104" s="18" t="n"/>
      <c r="U2104" s="18" t="n"/>
      <c r="V2104" s="18" t="n"/>
      <c r="W2104" s="18" t="n">
        <v>57058.48</v>
      </c>
      <c r="X2104" s="35" t="n">
        <v>11.744</v>
      </c>
      <c r="Y2104" s="35" t="n"/>
    </row>
    <row r="2105">
      <c r="A2105" s="25" t="n">
        <v>41921</v>
      </c>
      <c r="B2105" s="18" t="n">
        <v>57267.53</v>
      </c>
      <c r="C2105" s="31" t="n"/>
      <c r="D2105" s="32" t="n"/>
      <c r="E2105" s="33" t="n">
        <v>-0.3151</v>
      </c>
      <c r="F2105" t="inlineStr">
        <is>
          <t>Down</t>
        </is>
      </c>
      <c r="G2105" t="inlineStr">
        <is>
          <t>Up</t>
        </is>
      </c>
      <c r="H2105" t="inlineStr">
        <is>
          <t>ED_JU</t>
        </is>
      </c>
      <c r="I2105" t="inlineStr">
        <is>
          <t>2014-10</t>
        </is>
      </c>
      <c r="J2105" t="n">
        <v>1</v>
      </c>
      <c r="K2105" t="n">
        <v>1</v>
      </c>
      <c r="L2105" s="34">
        <f>IF($J2105=1,LN(B2106/B2105),"")</f>
        <v/>
      </c>
      <c r="M2105" s="34">
        <f>IF($K2105=1,INDEX(Mensal!$D$2:$D$245,MATCH($I2105,Mensal!$A$2:$A$245,0)),"")</f>
        <v/>
      </c>
      <c r="N2105" s="34">
        <f>IF($K2105=1,L2105-M2105,"")</f>
        <v/>
      </c>
      <c r="O2105" s="34" t="n">
        <v>0.00040849</v>
      </c>
      <c r="P2105" s="34">
        <f>IF($J2105=1,LN(1+O2105),"")</f>
        <v/>
      </c>
      <c r="Q2105" s="34">
        <f>IF($J2105=1,LN(R2106/R2105),"")</f>
        <v/>
      </c>
      <c r="R2105" s="32" t="n">
        <v>2.3914</v>
      </c>
      <c r="S2105" s="35" t="n">
        <v>11.793</v>
      </c>
      <c r="T2105" s="18" t="n"/>
      <c r="U2105" s="18" t="n"/>
      <c r="V2105" s="18" t="n"/>
      <c r="W2105" s="18" t="n">
        <v>57267.53</v>
      </c>
      <c r="X2105" s="35" t="n">
        <v>11.793</v>
      </c>
      <c r="Y2105" s="35" t="n"/>
    </row>
    <row r="2106">
      <c r="A2106" s="25" t="n">
        <v>41922</v>
      </c>
      <c r="B2106" s="18" t="n">
        <v>55311.59</v>
      </c>
      <c r="C2106" s="31" t="n"/>
      <c r="D2106" s="32" t="n"/>
      <c r="E2106" s="33" t="n">
        <v>-0.328</v>
      </c>
      <c r="F2106" t="inlineStr">
        <is>
          <t>Down</t>
        </is>
      </c>
      <c r="G2106" t="inlineStr">
        <is>
          <t>Up</t>
        </is>
      </c>
      <c r="H2106" t="inlineStr">
        <is>
          <t>ED_JU</t>
        </is>
      </c>
      <c r="I2106" t="inlineStr">
        <is>
          <t>2014-10</t>
        </is>
      </c>
      <c r="J2106" t="n">
        <v>1</v>
      </c>
      <c r="K2106" t="n">
        <v>1</v>
      </c>
      <c r="L2106" s="34">
        <f>IF($J2106=1,LN(B2107/B2106),"")</f>
        <v/>
      </c>
      <c r="M2106" s="34">
        <f>IF($K2106=1,INDEX(Mensal!$D$2:$D$245,MATCH($I2106,Mensal!$A$2:$A$245,0)),"")</f>
        <v/>
      </c>
      <c r="N2106" s="34">
        <f>IF($K2106=1,L2106-M2106,"")</f>
        <v/>
      </c>
      <c r="O2106" s="34" t="n">
        <v>0.00040849</v>
      </c>
      <c r="P2106" s="34">
        <f>IF($J2106=1,LN(1+O2106),"")</f>
        <v/>
      </c>
      <c r="Q2106" s="34">
        <f>IF($J2106=1,LN(R2107/R2106),"")</f>
        <v/>
      </c>
      <c r="R2106" s="32" t="n">
        <v>2.4103</v>
      </c>
      <c r="S2106" s="35" t="n">
        <v>11.864</v>
      </c>
      <c r="T2106" s="18" t="n"/>
      <c r="U2106" s="18" t="n"/>
      <c r="V2106" s="18" t="n"/>
      <c r="W2106" s="18" t="n">
        <v>55311.59</v>
      </c>
      <c r="X2106" s="35" t="n">
        <v>11.864</v>
      </c>
      <c r="Y2106" s="35" t="n"/>
    </row>
    <row r="2107">
      <c r="A2107" s="25" t="n">
        <v>41925</v>
      </c>
      <c r="B2107" s="18" t="n">
        <v>57956.53</v>
      </c>
      <c r="C2107" s="31" t="n"/>
      <c r="D2107" s="32" t="n"/>
      <c r="E2107" s="33" t="n">
        <v>-0.3391</v>
      </c>
      <c r="F2107" t="inlineStr">
        <is>
          <t>Down</t>
        </is>
      </c>
      <c r="G2107" t="inlineStr">
        <is>
          <t>Up</t>
        </is>
      </c>
      <c r="H2107" t="inlineStr">
        <is>
          <t>ED_JU</t>
        </is>
      </c>
      <c r="I2107" t="inlineStr">
        <is>
          <t>2014-10</t>
        </is>
      </c>
      <c r="J2107" t="n">
        <v>1</v>
      </c>
      <c r="K2107" t="n">
        <v>1</v>
      </c>
      <c r="L2107" s="34">
        <f>IF($J2107=1,LN(B2108/B2107),"")</f>
        <v/>
      </c>
      <c r="M2107" s="34">
        <f>IF($K2107=1,INDEX(Mensal!$D$2:$D$245,MATCH($I2107,Mensal!$A$2:$A$245,0)),"")</f>
        <v/>
      </c>
      <c r="N2107" s="34">
        <f>IF($K2107=1,L2107-M2107,"")</f>
        <v/>
      </c>
      <c r="O2107" s="34" t="n">
        <v>0.00040741</v>
      </c>
      <c r="P2107" s="34">
        <f>IF($J2107=1,LN(1+O2107),"")</f>
        <v/>
      </c>
      <c r="Q2107" s="34">
        <f>IF($J2107=1,LN(R2108/R2107),"")</f>
        <v/>
      </c>
      <c r="R2107" s="32" t="n">
        <v>2.3923</v>
      </c>
      <c r="S2107" s="35" t="n">
        <v>11.809</v>
      </c>
      <c r="T2107" s="18" t="n"/>
      <c r="U2107" s="18" t="n"/>
      <c r="V2107" s="18" t="n"/>
      <c r="W2107" s="18" t="n">
        <v>57956.53</v>
      </c>
      <c r="X2107" s="35" t="n">
        <v>11.809</v>
      </c>
      <c r="Y2107" s="35" t="n"/>
    </row>
    <row r="2108">
      <c r="A2108" s="25" t="n">
        <v>41926</v>
      </c>
      <c r="B2108" s="18" t="n">
        <v>58015.46</v>
      </c>
      <c r="C2108" s="31" t="n"/>
      <c r="D2108" s="32" t="n"/>
      <c r="E2108" s="33" t="n">
        <v>-0.3496</v>
      </c>
      <c r="F2108" t="inlineStr">
        <is>
          <t>Down</t>
        </is>
      </c>
      <c r="G2108" t="inlineStr">
        <is>
          <t>Up</t>
        </is>
      </c>
      <c r="H2108" t="inlineStr">
        <is>
          <t>ED_JU</t>
        </is>
      </c>
      <c r="I2108" t="inlineStr">
        <is>
          <t>2014-10</t>
        </is>
      </c>
      <c r="J2108" t="n">
        <v>1</v>
      </c>
      <c r="K2108" t="n">
        <v>1</v>
      </c>
      <c r="L2108" s="34">
        <f>IF($J2108=1,LN(B2109/B2108),"")</f>
        <v/>
      </c>
      <c r="M2108" s="34">
        <f>IF($K2108=1,INDEX(Mensal!$D$2:$D$245,MATCH($I2108,Mensal!$A$2:$A$245,0)),"")</f>
        <v/>
      </c>
      <c r="N2108" s="34">
        <f>IF($K2108=1,L2108-M2108,"")</f>
        <v/>
      </c>
      <c r="O2108" s="34" t="n">
        <v>0.00040849</v>
      </c>
      <c r="P2108" s="34">
        <f>IF($J2108=1,LN(1+O2108),"")</f>
        <v/>
      </c>
      <c r="Q2108" s="34">
        <f>IF($J2108=1,LN(R2109/R2108),"")</f>
        <v/>
      </c>
      <c r="R2108" s="32" t="n">
        <v>2.3991</v>
      </c>
      <c r="S2108" s="35" t="n">
        <v>11.788</v>
      </c>
      <c r="T2108" s="18" t="n"/>
      <c r="U2108" s="18" t="n"/>
      <c r="V2108" s="18" t="n"/>
      <c r="W2108" s="18" t="n">
        <v>58015.46</v>
      </c>
      <c r="X2108" s="35" t="n">
        <v>11.788</v>
      </c>
      <c r="Y2108" s="35" t="n"/>
    </row>
    <row r="2109">
      <c r="A2109" s="25" t="n">
        <v>41927</v>
      </c>
      <c r="B2109" s="18" t="n">
        <v>56135.27</v>
      </c>
      <c r="C2109" s="31" t="n"/>
      <c r="D2109" s="32" t="n"/>
      <c r="E2109" s="33" t="n">
        <v>-0.3691</v>
      </c>
      <c r="F2109" t="inlineStr">
        <is>
          <t>Down</t>
        </is>
      </c>
      <c r="G2109" t="inlineStr">
        <is>
          <t>Up</t>
        </is>
      </c>
      <c r="H2109" t="inlineStr">
        <is>
          <t>ED_JU</t>
        </is>
      </c>
      <c r="I2109" t="inlineStr">
        <is>
          <t>2014-10</t>
        </is>
      </c>
      <c r="J2109" t="n">
        <v>1</v>
      </c>
      <c r="K2109" t="n">
        <v>1</v>
      </c>
      <c r="L2109" s="34">
        <f>IF($J2109=1,LN(B2110/B2109),"")</f>
        <v/>
      </c>
      <c r="M2109" s="34">
        <f>IF($K2109=1,INDEX(Mensal!$D$2:$D$245,MATCH($I2109,Mensal!$A$2:$A$245,0)),"")</f>
        <v/>
      </c>
      <c r="N2109" s="34">
        <f>IF($K2109=1,L2109-M2109,"")</f>
        <v/>
      </c>
      <c r="O2109" s="34" t="n">
        <v>0.00040741</v>
      </c>
      <c r="P2109" s="34">
        <f>IF($J2109=1,LN(1+O2109),"")</f>
        <v/>
      </c>
      <c r="Q2109" s="34">
        <f>IF($J2109=1,LN(R2110/R2109),"")</f>
        <v/>
      </c>
      <c r="R2109" s="32" t="n">
        <v>2.4316</v>
      </c>
      <c r="S2109" s="35" t="n">
        <v>11.846</v>
      </c>
      <c r="T2109" s="18" t="n"/>
      <c r="U2109" s="18" t="n"/>
      <c r="V2109" s="18" t="n"/>
      <c r="W2109" s="18" t="n">
        <v>56135.27</v>
      </c>
      <c r="X2109" s="35" t="n">
        <v>11.846</v>
      </c>
      <c r="Y2109" s="35" t="n"/>
    </row>
    <row r="2110">
      <c r="A2110" s="25" t="n">
        <v>41928</v>
      </c>
      <c r="B2110" s="18" t="n">
        <v>54298.33</v>
      </c>
      <c r="C2110" s="31" t="n"/>
      <c r="D2110" s="32" t="n"/>
      <c r="E2110" s="33" t="n">
        <v>-0.3882</v>
      </c>
      <c r="F2110" t="inlineStr">
        <is>
          <t>Down</t>
        </is>
      </c>
      <c r="G2110" t="inlineStr">
        <is>
          <t>Up</t>
        </is>
      </c>
      <c r="H2110" t="inlineStr">
        <is>
          <t>ED_JU</t>
        </is>
      </c>
      <c r="I2110" t="inlineStr">
        <is>
          <t>2014-10</t>
        </is>
      </c>
      <c r="J2110" t="n">
        <v>1</v>
      </c>
      <c r="K2110" t="n">
        <v>1</v>
      </c>
      <c r="L2110" s="34">
        <f>IF($J2110=1,LN(B2111/B2110),"")</f>
        <v/>
      </c>
      <c r="M2110" s="34">
        <f>IF($K2110=1,INDEX(Mensal!$D$2:$D$245,MATCH($I2110,Mensal!$A$2:$A$245,0)),"")</f>
        <v/>
      </c>
      <c r="N2110" s="34">
        <f>IF($K2110=1,L2110-M2110,"")</f>
        <v/>
      </c>
      <c r="O2110" s="34" t="n">
        <v>0.00040849</v>
      </c>
      <c r="P2110" s="34">
        <f>IF($J2110=1,LN(1+O2110),"")</f>
        <v/>
      </c>
      <c r="Q2110" s="34">
        <f>IF($J2110=1,LN(R2111/R2110),"")</f>
        <v/>
      </c>
      <c r="R2110" s="32" t="n">
        <v>2.477</v>
      </c>
      <c r="S2110" s="35" t="n">
        <v>11.918</v>
      </c>
      <c r="T2110" s="18" t="n"/>
      <c r="U2110" s="18" t="n"/>
      <c r="V2110" s="18" t="n"/>
      <c r="W2110" s="18" t="n">
        <v>54298.33</v>
      </c>
      <c r="X2110" s="35" t="n">
        <v>11.918</v>
      </c>
      <c r="Y2110" s="35" t="n"/>
    </row>
    <row r="2111">
      <c r="A2111" s="25" t="n">
        <v>41929</v>
      </c>
      <c r="B2111" s="18" t="n">
        <v>55723.79</v>
      </c>
      <c r="C2111" s="31" t="n"/>
      <c r="D2111" s="32" t="n"/>
      <c r="E2111" s="33" t="n">
        <v>-0.4001</v>
      </c>
      <c r="F2111" t="inlineStr">
        <is>
          <t>Down</t>
        </is>
      </c>
      <c r="G2111" t="inlineStr">
        <is>
          <t>Up</t>
        </is>
      </c>
      <c r="H2111" t="inlineStr">
        <is>
          <t>ED_JU</t>
        </is>
      </c>
      <c r="I2111" t="inlineStr">
        <is>
          <t>2014-10</t>
        </is>
      </c>
      <c r="J2111" t="n">
        <v>1</v>
      </c>
      <c r="K2111" t="n">
        <v>1</v>
      </c>
      <c r="L2111" s="34">
        <f>IF($J2111=1,LN(B2112/B2111),"")</f>
        <v/>
      </c>
      <c r="M2111" s="34">
        <f>IF($K2111=1,INDEX(Mensal!$D$2:$D$245,MATCH($I2111,Mensal!$A$2:$A$245,0)),"")</f>
        <v/>
      </c>
      <c r="N2111" s="34">
        <f>IF($K2111=1,L2111-M2111,"")</f>
        <v/>
      </c>
      <c r="O2111" s="34" t="n">
        <v>0.00040849</v>
      </c>
      <c r="P2111" s="34">
        <f>IF($J2111=1,LN(1+O2111),"")</f>
        <v/>
      </c>
      <c r="Q2111" s="34">
        <f>IF($J2111=1,LN(R2112/R2111),"")</f>
        <v/>
      </c>
      <c r="R2111" s="32" t="n">
        <v>2.4477</v>
      </c>
      <c r="S2111" s="35" t="n">
        <v>11.836</v>
      </c>
      <c r="T2111" s="18" t="n"/>
      <c r="U2111" s="18" t="n"/>
      <c r="V2111" s="18" t="n"/>
      <c r="W2111" s="18" t="n">
        <v>55723.79</v>
      </c>
      <c r="X2111" s="35" t="n">
        <v>11.836</v>
      </c>
      <c r="Y2111" s="35" t="n"/>
    </row>
    <row r="2112">
      <c r="A2112" s="25" t="n">
        <v>41932</v>
      </c>
      <c r="B2112" s="18" t="n">
        <v>54302.57</v>
      </c>
      <c r="C2112" s="31" t="n"/>
      <c r="D2112" s="32" t="n"/>
      <c r="E2112" s="33" t="n">
        <v>-0.4133</v>
      </c>
      <c r="F2112" t="inlineStr">
        <is>
          <t>Down</t>
        </is>
      </c>
      <c r="G2112" t="inlineStr">
        <is>
          <t>Up</t>
        </is>
      </c>
      <c r="H2112" t="inlineStr">
        <is>
          <t>ED_JU</t>
        </is>
      </c>
      <c r="I2112" t="inlineStr">
        <is>
          <t>2014-10</t>
        </is>
      </c>
      <c r="J2112" t="n">
        <v>1</v>
      </c>
      <c r="K2112" t="n">
        <v>1</v>
      </c>
      <c r="L2112" s="34">
        <f>IF($J2112=1,LN(B2113/B2112),"")</f>
        <v/>
      </c>
      <c r="M2112" s="34">
        <f>IF($K2112=1,INDEX(Mensal!$D$2:$D$245,MATCH($I2112,Mensal!$A$2:$A$245,0)),"")</f>
        <v/>
      </c>
      <c r="N2112" s="34">
        <f>IF($K2112=1,L2112-M2112,"")</f>
        <v/>
      </c>
      <c r="O2112" s="34" t="n">
        <v>0.00040849</v>
      </c>
      <c r="P2112" s="34">
        <f>IF($J2112=1,LN(1+O2112),"")</f>
        <v/>
      </c>
      <c r="Q2112" s="34">
        <f>IF($J2112=1,LN(R2113/R2112),"")</f>
        <v/>
      </c>
      <c r="R2112" s="32" t="n">
        <v>2.4554</v>
      </c>
      <c r="S2112" s="35" t="n">
        <v>11.963</v>
      </c>
      <c r="T2112" s="18" t="n"/>
      <c r="U2112" s="18" t="n"/>
      <c r="V2112" s="18" t="n"/>
      <c r="W2112" s="18" t="n">
        <v>54302.57</v>
      </c>
      <c r="X2112" s="35" t="n">
        <v>11.963</v>
      </c>
      <c r="Y2112" s="35" t="n"/>
    </row>
    <row r="2113">
      <c r="A2113" s="25" t="n">
        <v>41933</v>
      </c>
      <c r="B2113" s="18" t="n">
        <v>52432.43</v>
      </c>
      <c r="C2113" s="31" t="n"/>
      <c r="D2113" s="32" t="n"/>
      <c r="E2113" s="33" t="n">
        <v>-0.4247</v>
      </c>
      <c r="F2113" t="inlineStr">
        <is>
          <t>Down</t>
        </is>
      </c>
      <c r="G2113" t="inlineStr">
        <is>
          <t>Up</t>
        </is>
      </c>
      <c r="H2113" t="inlineStr">
        <is>
          <t>ED_JU</t>
        </is>
      </c>
      <c r="I2113" t="inlineStr">
        <is>
          <t>2014-10</t>
        </is>
      </c>
      <c r="J2113" t="n">
        <v>1</v>
      </c>
      <c r="K2113" t="n">
        <v>1</v>
      </c>
      <c r="L2113" s="34">
        <f>IF($J2113=1,LN(B2114/B2113),"")</f>
        <v/>
      </c>
      <c r="M2113" s="34">
        <f>IF($K2113=1,INDEX(Mensal!$D$2:$D$245,MATCH($I2113,Mensal!$A$2:$A$245,0)),"")</f>
        <v/>
      </c>
      <c r="N2113" s="34">
        <f>IF($K2113=1,L2113-M2113,"")</f>
        <v/>
      </c>
      <c r="O2113" s="34" t="n">
        <v>0.00040849</v>
      </c>
      <c r="P2113" s="34">
        <f>IF($J2113=1,LN(1+O2113),"")</f>
        <v/>
      </c>
      <c r="Q2113" s="34">
        <f>IF($J2113=1,LN(R2114/R2113),"")</f>
        <v/>
      </c>
      <c r="R2113" s="32" t="n">
        <v>2.4797</v>
      </c>
      <c r="S2113" s="35" t="n">
        <v>11.969</v>
      </c>
      <c r="T2113" s="18" t="n"/>
      <c r="U2113" s="18" t="n"/>
      <c r="V2113" s="18" t="n"/>
      <c r="W2113" s="18" t="n">
        <v>52432.43</v>
      </c>
      <c r="X2113" s="35" t="n">
        <v>11.969</v>
      </c>
      <c r="Y2113" s="35" t="n"/>
    </row>
    <row r="2114">
      <c r="A2114" s="25" t="n">
        <v>41934</v>
      </c>
      <c r="B2114" s="18" t="n">
        <v>52411.03</v>
      </c>
      <c r="C2114" s="31" t="n"/>
      <c r="D2114" s="32" t="n"/>
      <c r="E2114" s="33" t="n">
        <v>-0.4361</v>
      </c>
      <c r="F2114" t="inlineStr">
        <is>
          <t>Down</t>
        </is>
      </c>
      <c r="G2114" t="inlineStr">
        <is>
          <t>Up</t>
        </is>
      </c>
      <c r="H2114" t="inlineStr">
        <is>
          <t>ED_JU</t>
        </is>
      </c>
      <c r="I2114" t="inlineStr">
        <is>
          <t>2014-10</t>
        </is>
      </c>
      <c r="J2114" t="n">
        <v>1</v>
      </c>
      <c r="K2114" t="n">
        <v>1</v>
      </c>
      <c r="L2114" s="34">
        <f>IF($J2114=1,LN(B2115/B2114),"")</f>
        <v/>
      </c>
      <c r="M2114" s="34">
        <f>IF($K2114=1,INDEX(Mensal!$D$2:$D$245,MATCH($I2114,Mensal!$A$2:$A$245,0)),"")</f>
        <v/>
      </c>
      <c r="N2114" s="34">
        <f>IF($K2114=1,L2114-M2114,"")</f>
        <v/>
      </c>
      <c r="O2114" s="34" t="n">
        <v>0.00040849</v>
      </c>
      <c r="P2114" s="34">
        <f>IF($J2114=1,LN(1+O2114),"")</f>
        <v/>
      </c>
      <c r="Q2114" s="34">
        <f>IF($J2114=1,LN(R2115/R2114),"")</f>
        <v/>
      </c>
      <c r="R2114" s="32" t="n">
        <v>2.4781</v>
      </c>
      <c r="S2114" s="35" t="n">
        <v>11.865</v>
      </c>
      <c r="T2114" s="18" t="n"/>
      <c r="U2114" s="18" t="n"/>
      <c r="V2114" s="18" t="n"/>
      <c r="W2114" s="18" t="n">
        <v>52411.03</v>
      </c>
      <c r="X2114" s="35" t="n">
        <v>11.865</v>
      </c>
      <c r="Y2114" s="35" t="n"/>
    </row>
    <row r="2115">
      <c r="A2115" s="25" t="n">
        <v>41935</v>
      </c>
      <c r="B2115" s="18" t="n">
        <v>50713.26</v>
      </c>
      <c r="C2115" s="31" t="n"/>
      <c r="D2115" s="32" t="n"/>
      <c r="E2115" s="33" t="n">
        <v>-0.4424</v>
      </c>
      <c r="F2115" t="inlineStr">
        <is>
          <t>Down</t>
        </is>
      </c>
      <c r="G2115" t="inlineStr">
        <is>
          <t>Up</t>
        </is>
      </c>
      <c r="H2115" t="inlineStr">
        <is>
          <t>ED_JU</t>
        </is>
      </c>
      <c r="I2115" t="inlineStr">
        <is>
          <t>2014-10</t>
        </is>
      </c>
      <c r="J2115" t="n">
        <v>1</v>
      </c>
      <c r="K2115" t="n">
        <v>1</v>
      </c>
      <c r="L2115" s="34">
        <f>IF($J2115=1,LN(B2116/B2115),"")</f>
        <v/>
      </c>
      <c r="M2115" s="34">
        <f>IF($K2115=1,INDEX(Mensal!$D$2:$D$245,MATCH($I2115,Mensal!$A$2:$A$245,0)),"")</f>
        <v/>
      </c>
      <c r="N2115" s="34">
        <f>IF($K2115=1,L2115-M2115,"")</f>
        <v/>
      </c>
      <c r="O2115" s="34" t="n">
        <v>0.00040849</v>
      </c>
      <c r="P2115" s="34">
        <f>IF($J2115=1,LN(1+O2115),"")</f>
        <v/>
      </c>
      <c r="Q2115" s="34">
        <f>IF($J2115=1,LN(R2116/R2115),"")</f>
        <v/>
      </c>
      <c r="R2115" s="32" t="n">
        <v>2.5004</v>
      </c>
      <c r="S2115" s="35" t="n">
        <v>11.93</v>
      </c>
      <c r="T2115" s="18" t="n"/>
      <c r="U2115" s="18" t="n"/>
      <c r="V2115" s="18" t="n"/>
      <c r="W2115" s="18" t="n">
        <v>50713.26</v>
      </c>
      <c r="X2115" s="35" t="n">
        <v>11.93</v>
      </c>
      <c r="Y2115" s="35" t="n"/>
    </row>
    <row r="2116">
      <c r="A2116" s="25" t="n">
        <v>41936</v>
      </c>
      <c r="B2116" s="18" t="n">
        <v>51940.73</v>
      </c>
      <c r="C2116" s="31" t="n"/>
      <c r="D2116" s="32" t="n"/>
      <c r="E2116" s="33" t="n">
        <v>-0.4464</v>
      </c>
      <c r="F2116" t="inlineStr">
        <is>
          <t>Down</t>
        </is>
      </c>
      <c r="G2116" t="inlineStr">
        <is>
          <t>Up</t>
        </is>
      </c>
      <c r="H2116" t="inlineStr">
        <is>
          <t>ED_JU</t>
        </is>
      </c>
      <c r="I2116" t="inlineStr">
        <is>
          <t>2014-10</t>
        </is>
      </c>
      <c r="J2116" t="n">
        <v>1</v>
      </c>
      <c r="K2116" t="n">
        <v>1</v>
      </c>
      <c r="L2116" s="34">
        <f>IF($J2116=1,LN(B2117/B2116),"")</f>
        <v/>
      </c>
      <c r="M2116" s="34">
        <f>IF($K2116=1,INDEX(Mensal!$D$2:$D$245,MATCH($I2116,Mensal!$A$2:$A$245,0)),"")</f>
        <v/>
      </c>
      <c r="N2116" s="34">
        <f>IF($K2116=1,L2116-M2116,"")</f>
        <v/>
      </c>
      <c r="O2116" s="34" t="n">
        <v>0.00040849</v>
      </c>
      <c r="P2116" s="34">
        <f>IF($J2116=1,LN(1+O2116),"")</f>
        <v/>
      </c>
      <c r="Q2116" s="34">
        <f>IF($J2116=1,LN(R2117/R2116),"")</f>
        <v/>
      </c>
      <c r="R2116" s="32" t="n">
        <v>2.4805</v>
      </c>
      <c r="S2116" s="35" t="n">
        <v>11.825</v>
      </c>
      <c r="T2116" s="18" t="n"/>
      <c r="U2116" s="18" t="n"/>
      <c r="V2116" s="18" t="n"/>
      <c r="W2116" s="18" t="n">
        <v>51940.73</v>
      </c>
      <c r="X2116" s="35" t="n">
        <v>11.825</v>
      </c>
      <c r="Y2116" s="35" t="n"/>
    </row>
    <row r="2117">
      <c r="A2117" s="25" t="n">
        <v>41939</v>
      </c>
      <c r="B2117" s="18" t="n">
        <v>50503.66</v>
      </c>
      <c r="C2117" s="31" t="n"/>
      <c r="D2117" s="32" t="n"/>
      <c r="E2117" s="33" t="n">
        <v>-0.4508</v>
      </c>
      <c r="F2117" t="inlineStr">
        <is>
          <t>Down</t>
        </is>
      </c>
      <c r="G2117" t="inlineStr">
        <is>
          <t>Up</t>
        </is>
      </c>
      <c r="H2117" t="inlineStr">
        <is>
          <t>ED_JU</t>
        </is>
      </c>
      <c r="I2117" t="inlineStr">
        <is>
          <t>2014-10</t>
        </is>
      </c>
      <c r="J2117" t="n">
        <v>1</v>
      </c>
      <c r="K2117" t="n">
        <v>1</v>
      </c>
      <c r="L2117" s="34">
        <f>IF($J2117=1,LN(B2118/B2117),"")</f>
        <v/>
      </c>
      <c r="M2117" s="34">
        <f>IF($K2117=1,INDEX(Mensal!$D$2:$D$245,MATCH($I2117,Mensal!$A$2:$A$245,0)),"")</f>
        <v/>
      </c>
      <c r="N2117" s="34">
        <f>IF($K2117=1,L2117-M2117,"")</f>
        <v/>
      </c>
      <c r="O2117" s="34" t="n">
        <v>0.00040849</v>
      </c>
      <c r="P2117" s="34">
        <f>IF($J2117=1,LN(1+O2117),"")</f>
        <v/>
      </c>
      <c r="Q2117" s="34">
        <f>IF($J2117=1,LN(R2118/R2117),"")</f>
        <v/>
      </c>
      <c r="R2117" s="32" t="n">
        <v>2.5341</v>
      </c>
      <c r="S2117" s="35" t="n">
        <v>11.749</v>
      </c>
      <c r="T2117" s="18" t="n"/>
      <c r="U2117" s="18" t="n"/>
      <c r="V2117" s="18" t="n"/>
      <c r="W2117" s="18" t="n">
        <v>50503.66</v>
      </c>
      <c r="X2117" s="35" t="n">
        <v>11.749</v>
      </c>
      <c r="Y2117" s="35" t="n"/>
    </row>
    <row r="2118">
      <c r="A2118" s="25" t="n">
        <v>41940</v>
      </c>
      <c r="B2118" s="18" t="n">
        <v>52330.03</v>
      </c>
      <c r="C2118" s="31" t="n"/>
      <c r="D2118" s="32" t="n"/>
      <c r="E2118" s="33" t="n">
        <v>-0.467</v>
      </c>
      <c r="F2118" t="inlineStr">
        <is>
          <t>Down</t>
        </is>
      </c>
      <c r="G2118" t="inlineStr">
        <is>
          <t>Up</t>
        </is>
      </c>
      <c r="H2118" t="inlineStr">
        <is>
          <t>ED_JU</t>
        </is>
      </c>
      <c r="I2118" t="inlineStr">
        <is>
          <t>2014-10</t>
        </is>
      </c>
      <c r="J2118" t="n">
        <v>1</v>
      </c>
      <c r="K2118" t="n">
        <v>1</v>
      </c>
      <c r="L2118" s="34">
        <f>IF($J2118=1,LN(B2119/B2118),"")</f>
        <v/>
      </c>
      <c r="M2118" s="34">
        <f>IF($K2118=1,INDEX(Mensal!$D$2:$D$245,MATCH($I2118,Mensal!$A$2:$A$245,0)),"")</f>
        <v/>
      </c>
      <c r="N2118" s="34">
        <f>IF($K2118=1,L2118-M2118,"")</f>
        <v/>
      </c>
      <c r="O2118" s="34" t="n">
        <v>0.00040849</v>
      </c>
      <c r="P2118" s="34">
        <f>IF($J2118=1,LN(1+O2118),"")</f>
        <v/>
      </c>
      <c r="Q2118" s="34">
        <f>IF($J2118=1,LN(R2119/R2118),"")</f>
        <v/>
      </c>
      <c r="R2118" s="32" t="n">
        <v>2.4869</v>
      </c>
      <c r="S2118" s="35" t="n">
        <v>11.716</v>
      </c>
      <c r="T2118" s="18" t="n"/>
      <c r="U2118" s="18" t="n"/>
      <c r="V2118" s="18" t="n"/>
      <c r="W2118" s="18" t="n">
        <v>52330.03</v>
      </c>
      <c r="X2118" s="35" t="n">
        <v>11.716</v>
      </c>
      <c r="Y2118" s="35" t="n"/>
    </row>
    <row r="2119">
      <c r="A2119" s="25" t="n">
        <v>41941</v>
      </c>
      <c r="B2119" s="18" t="n">
        <v>51049.32</v>
      </c>
      <c r="C2119" s="31" t="n"/>
      <c r="D2119" s="32" t="n"/>
      <c r="E2119" s="33" t="n">
        <v>-0.479</v>
      </c>
      <c r="F2119" t="inlineStr">
        <is>
          <t>Down</t>
        </is>
      </c>
      <c r="G2119" t="inlineStr">
        <is>
          <t>Up</t>
        </is>
      </c>
      <c r="H2119" t="inlineStr">
        <is>
          <t>ED_JU</t>
        </is>
      </c>
      <c r="I2119" t="inlineStr">
        <is>
          <t>2014-10</t>
        </is>
      </c>
      <c r="J2119" t="n">
        <v>1</v>
      </c>
      <c r="K2119" t="n">
        <v>1</v>
      </c>
      <c r="L2119" s="34">
        <f>IF($J2119=1,LN(B2120/B2119),"")</f>
        <v/>
      </c>
      <c r="M2119" s="34">
        <f>IF($K2119=1,INDEX(Mensal!$D$2:$D$245,MATCH($I2119,Mensal!$A$2:$A$245,0)),"")</f>
        <v/>
      </c>
      <c r="N2119" s="34">
        <f>IF($K2119=1,L2119-M2119,"")</f>
        <v/>
      </c>
      <c r="O2119" s="34" t="n">
        <v>0.00040849</v>
      </c>
      <c r="P2119" s="34">
        <f>IF($J2119=1,LN(1+O2119),"")</f>
        <v/>
      </c>
      <c r="Q2119" s="34">
        <f>IF($J2119=1,LN(R2120/R2119),"")</f>
        <v/>
      </c>
      <c r="R2119" s="32" t="n">
        <v>2.4346</v>
      </c>
      <c r="S2119" s="35" t="n">
        <v>11.767</v>
      </c>
      <c r="T2119" s="18" t="n"/>
      <c r="U2119" s="18" t="n"/>
      <c r="V2119" s="18" t="n"/>
      <c r="W2119" s="18" t="n">
        <v>51049.32</v>
      </c>
      <c r="X2119" s="35" t="n">
        <v>11.767</v>
      </c>
      <c r="Y2119" s="35" t="n"/>
    </row>
    <row r="2120">
      <c r="A2120" s="25" t="n">
        <v>41942</v>
      </c>
      <c r="B2120" s="18" t="n">
        <v>52336.83</v>
      </c>
      <c r="C2120" s="31" t="n"/>
      <c r="D2120" s="32" t="n"/>
      <c r="E2120" s="33" t="n">
        <v>-0.4974</v>
      </c>
      <c r="F2120" t="inlineStr">
        <is>
          <t>Down</t>
        </is>
      </c>
      <c r="G2120" t="inlineStr">
        <is>
          <t>Up</t>
        </is>
      </c>
      <c r="H2120" t="inlineStr">
        <is>
          <t>ED_JU</t>
        </is>
      </c>
      <c r="I2120" t="inlineStr">
        <is>
          <t>2014-10</t>
        </is>
      </c>
      <c r="J2120" t="n">
        <v>1</v>
      </c>
      <c r="K2120" t="n">
        <v>1</v>
      </c>
      <c r="L2120" s="34">
        <f>IF($J2120=1,LN(B2121/B2120),"")</f>
        <v/>
      </c>
      <c r="M2120" s="34">
        <f>IF($K2120=1,INDEX(Mensal!$D$2:$D$245,MATCH($I2120,Mensal!$A$2:$A$245,0)),"")</f>
        <v/>
      </c>
      <c r="N2120" s="34">
        <f>IF($K2120=1,L2120-M2120,"")</f>
        <v/>
      </c>
      <c r="O2120" s="34" t="n">
        <v>0.00041743</v>
      </c>
      <c r="P2120" s="34">
        <f>IF($J2120=1,LN(1+O2120),"")</f>
        <v/>
      </c>
      <c r="Q2120" s="34">
        <f>IF($J2120=1,LN(R2121/R2120),"")</f>
        <v/>
      </c>
      <c r="R2120" s="32" t="n">
        <v>2.4119</v>
      </c>
      <c r="S2120" s="35" t="n">
        <v>12.104</v>
      </c>
      <c r="T2120" s="18" t="n"/>
      <c r="U2120" s="18" t="n"/>
      <c r="V2120" s="18" t="n"/>
      <c r="W2120" s="18" t="n">
        <v>52336.83</v>
      </c>
      <c r="X2120" s="35" t="n">
        <v>12.104</v>
      </c>
      <c r="Y2120" s="35" t="n"/>
    </row>
    <row r="2121">
      <c r="A2121" s="25" t="n">
        <v>41943</v>
      </c>
      <c r="B2121" s="18" t="n">
        <v>54628.6</v>
      </c>
      <c r="C2121" s="31" t="n"/>
      <c r="D2121" s="32" t="n"/>
      <c r="E2121" s="33" t="n">
        <v>-0.5187</v>
      </c>
      <c r="F2121" t="inlineStr">
        <is>
          <t>Down</t>
        </is>
      </c>
      <c r="G2121" t="inlineStr">
        <is>
          <t>Up</t>
        </is>
      </c>
      <c r="H2121" t="inlineStr">
        <is>
          <t>ED_JU</t>
        </is>
      </c>
      <c r="I2121" t="inlineStr">
        <is>
          <t>2014-10</t>
        </is>
      </c>
      <c r="J2121" t="n">
        <v>1</v>
      </c>
      <c r="K2121" t="n">
        <v>1</v>
      </c>
      <c r="L2121" s="34">
        <f>IF($J2121=1,LN(B2122/B2121),"")</f>
        <v/>
      </c>
      <c r="M2121" s="34">
        <f>IF($K2121=1,INDEX(Mensal!$D$2:$D$245,MATCH($I2121,Mensal!$A$2:$A$245,0)),"")</f>
        <v/>
      </c>
      <c r="N2121" s="34">
        <f>IF($K2121=1,L2121-M2121,"")</f>
        <v/>
      </c>
      <c r="O2121" s="34" t="n">
        <v>0.00041636</v>
      </c>
      <c r="P2121" s="34">
        <f>IF($J2121=1,LN(1+O2121),"")</f>
        <v/>
      </c>
      <c r="Q2121" s="34">
        <f>IF($J2121=1,LN(R2122/R2121),"")</f>
        <v/>
      </c>
      <c r="R2121" s="32" t="n">
        <v>2.4442</v>
      </c>
      <c r="S2121" s="35" t="n">
        <v>12.171</v>
      </c>
      <c r="T2121" s="18" t="n"/>
      <c r="U2121" s="18" t="n"/>
      <c r="V2121" s="18" t="n"/>
      <c r="W2121" s="18" t="n">
        <v>54628.6</v>
      </c>
      <c r="X2121" s="35" t="n">
        <v>12.171</v>
      </c>
      <c r="Y2121" s="35" t="n"/>
    </row>
    <row r="2122">
      <c r="A2122" s="25" t="n">
        <v>41946</v>
      </c>
      <c r="B2122" s="18" t="n">
        <v>53947.21</v>
      </c>
      <c r="C2122" s="31" t="n"/>
      <c r="D2122" s="32" t="n"/>
      <c r="E2122" s="33" t="n">
        <v>-0.5387</v>
      </c>
      <c r="F2122" t="inlineStr">
        <is>
          <t>Down</t>
        </is>
      </c>
      <c r="G2122" t="inlineStr">
        <is>
          <t>Up</t>
        </is>
      </c>
      <c r="H2122" t="inlineStr">
        <is>
          <t>ED_JU</t>
        </is>
      </c>
      <c r="I2122" t="inlineStr">
        <is>
          <t>2014-11</t>
        </is>
      </c>
      <c r="J2122" t="n">
        <v>1</v>
      </c>
      <c r="K2122" t="n">
        <v>1</v>
      </c>
      <c r="L2122" s="34">
        <f>IF($J2122=1,LN(B2123/B2122),"")</f>
        <v/>
      </c>
      <c r="M2122" s="34">
        <f>IF($K2122=1,INDEX(Mensal!$D$2:$D$245,MATCH($I2122,Mensal!$A$2:$A$245,0)),"")</f>
        <v/>
      </c>
      <c r="N2122" s="34">
        <f>IF($K2122=1,L2122-M2122,"")</f>
        <v/>
      </c>
      <c r="O2122" s="34" t="n">
        <v>0.00041636</v>
      </c>
      <c r="P2122" s="34">
        <f>IF($J2122=1,LN(1+O2122),"")</f>
        <v/>
      </c>
      <c r="Q2122" s="34">
        <f>IF($J2122=1,LN(R2123/R2122),"")</f>
        <v/>
      </c>
      <c r="R2122" s="32" t="n">
        <v>2.4839</v>
      </c>
      <c r="S2122" s="35" t="n">
        <v>12.229</v>
      </c>
      <c r="T2122" s="18" t="n"/>
      <c r="U2122" s="18" t="n"/>
      <c r="V2122" s="18" t="n"/>
      <c r="W2122" s="18" t="n">
        <v>53947.21</v>
      </c>
      <c r="X2122" s="35" t="n">
        <v>12.229</v>
      </c>
      <c r="Y2122" s="35" t="n"/>
    </row>
    <row r="2123">
      <c r="A2123" s="25" t="n">
        <v>41947</v>
      </c>
      <c r="B2123" s="18" t="n">
        <v>54383.59</v>
      </c>
      <c r="C2123" s="31" t="n"/>
      <c r="D2123" s="32" t="n"/>
      <c r="E2123" s="33" t="n">
        <v>-0.5514</v>
      </c>
      <c r="F2123" t="inlineStr">
        <is>
          <t>Down</t>
        </is>
      </c>
      <c r="G2123" t="inlineStr">
        <is>
          <t>Up</t>
        </is>
      </c>
      <c r="H2123" t="inlineStr">
        <is>
          <t>ED_JU</t>
        </is>
      </c>
      <c r="I2123" t="inlineStr">
        <is>
          <t>2014-11</t>
        </is>
      </c>
      <c r="J2123" t="n">
        <v>1</v>
      </c>
      <c r="K2123" t="n">
        <v>1</v>
      </c>
      <c r="L2123" s="34">
        <f>IF($J2123=1,LN(B2124/B2123),"")</f>
        <v/>
      </c>
      <c r="M2123" s="34">
        <f>IF($K2123=1,INDEX(Mensal!$D$2:$D$245,MATCH($I2123,Mensal!$A$2:$A$245,0)),"")</f>
        <v/>
      </c>
      <c r="N2123" s="34">
        <f>IF($K2123=1,L2123-M2123,"")</f>
        <v/>
      </c>
      <c r="O2123" s="34" t="n">
        <v>0.00041636</v>
      </c>
      <c r="P2123" s="34">
        <f>IF($J2123=1,LN(1+O2123),"")</f>
        <v/>
      </c>
      <c r="Q2123" s="34">
        <f>IF($J2123=1,LN(R2124/R2123),"")</f>
        <v/>
      </c>
      <c r="R2123" s="32" t="n">
        <v>2.5195</v>
      </c>
      <c r="S2123" s="35" t="n">
        <v>12.281</v>
      </c>
      <c r="T2123" s="18" t="n"/>
      <c r="U2123" s="18" t="n"/>
      <c r="V2123" s="18" t="n"/>
      <c r="W2123" s="18" t="n">
        <v>54383.59</v>
      </c>
      <c r="X2123" s="35" t="n">
        <v>12.281</v>
      </c>
      <c r="Y2123" s="35" t="n"/>
    </row>
    <row r="2124">
      <c r="A2124" s="25" t="n">
        <v>41948</v>
      </c>
      <c r="B2124" s="18" t="n">
        <v>53698.42</v>
      </c>
      <c r="C2124" s="31" t="n"/>
      <c r="D2124" s="32" t="n"/>
      <c r="E2124" s="33" t="n">
        <v>-0.5573</v>
      </c>
      <c r="F2124" t="inlineStr">
        <is>
          <t>Down</t>
        </is>
      </c>
      <c r="G2124" t="inlineStr">
        <is>
          <t>Up</t>
        </is>
      </c>
      <c r="H2124" t="inlineStr">
        <is>
          <t>ED_JU</t>
        </is>
      </c>
      <c r="I2124" t="inlineStr">
        <is>
          <t>2014-11</t>
        </is>
      </c>
      <c r="J2124" t="n">
        <v>1</v>
      </c>
      <c r="K2124" t="n">
        <v>1</v>
      </c>
      <c r="L2124" s="34">
        <f>IF($J2124=1,LN(B2125/B2124),"")</f>
        <v/>
      </c>
      <c r="M2124" s="34">
        <f>IF($K2124=1,INDEX(Mensal!$D$2:$D$245,MATCH($I2124,Mensal!$A$2:$A$245,0)),"")</f>
        <v/>
      </c>
      <c r="N2124" s="34">
        <f>IF($K2124=1,L2124-M2124,"")</f>
        <v/>
      </c>
      <c r="O2124" s="34" t="n">
        <v>0.00041743</v>
      </c>
      <c r="P2124" s="34">
        <f>IF($J2124=1,LN(1+O2124),"")</f>
        <v/>
      </c>
      <c r="Q2124" s="34">
        <f>IF($J2124=1,LN(R2125/R2124),"")</f>
        <v/>
      </c>
      <c r="R2124" s="32" t="n">
        <v>2.5168</v>
      </c>
      <c r="S2124" s="35" t="n">
        <v>12.247</v>
      </c>
      <c r="T2124" s="18" t="n"/>
      <c r="U2124" s="18" t="n"/>
      <c r="V2124" s="18" t="n"/>
      <c r="W2124" s="18" t="n">
        <v>53698.42</v>
      </c>
      <c r="X2124" s="35" t="n">
        <v>12.247</v>
      </c>
      <c r="Y2124" s="35" t="n"/>
    </row>
    <row r="2125">
      <c r="A2125" s="25" t="n">
        <v>41949</v>
      </c>
      <c r="B2125" s="18" t="n">
        <v>52637.06</v>
      </c>
      <c r="C2125" s="31" t="n"/>
      <c r="D2125" s="32" t="n"/>
      <c r="E2125" s="33" t="n">
        <v>-0.5564</v>
      </c>
      <c r="F2125" t="inlineStr">
        <is>
          <t>Down</t>
        </is>
      </c>
      <c r="G2125" t="inlineStr">
        <is>
          <t>Up</t>
        </is>
      </c>
      <c r="H2125" t="inlineStr">
        <is>
          <t>ED_JU</t>
        </is>
      </c>
      <c r="I2125" t="inlineStr">
        <is>
          <t>2014-11</t>
        </is>
      </c>
      <c r="J2125" t="n">
        <v>1</v>
      </c>
      <c r="K2125" t="n">
        <v>1</v>
      </c>
      <c r="L2125" s="34">
        <f>IF($J2125=1,LN(B2126/B2125),"")</f>
        <v/>
      </c>
      <c r="M2125" s="34">
        <f>IF($K2125=1,INDEX(Mensal!$D$2:$D$245,MATCH($I2125,Mensal!$A$2:$A$245,0)),"")</f>
        <v/>
      </c>
      <c r="N2125" s="34">
        <f>IF($K2125=1,L2125-M2125,"")</f>
        <v/>
      </c>
      <c r="O2125" s="34" t="n">
        <v>0.00041743</v>
      </c>
      <c r="P2125" s="34">
        <f>IF($J2125=1,LN(1+O2125),"")</f>
        <v/>
      </c>
      <c r="Q2125" s="34">
        <f>IF($J2125=1,LN(R2126/R2125),"")</f>
        <v/>
      </c>
      <c r="R2125" s="32" t="n">
        <v>2.5325</v>
      </c>
      <c r="S2125" s="35" t="n">
        <v>12.317</v>
      </c>
      <c r="T2125" s="18" t="n"/>
      <c r="U2125" s="18" t="n"/>
      <c r="V2125" s="18" t="n"/>
      <c r="W2125" s="18" t="n">
        <v>52637.06</v>
      </c>
      <c r="X2125" s="35" t="n">
        <v>12.317</v>
      </c>
      <c r="Y2125" s="35" t="n"/>
    </row>
    <row r="2126">
      <c r="A2126" s="25" t="n">
        <v>41950</v>
      </c>
      <c r="B2126" s="18" t="n">
        <v>53222.85</v>
      </c>
      <c r="C2126" s="31" t="n"/>
      <c r="D2126" s="32" t="n"/>
      <c r="E2126" s="33" t="n">
        <v>-0.5555</v>
      </c>
      <c r="F2126" t="inlineStr">
        <is>
          <t>Down</t>
        </is>
      </c>
      <c r="G2126" t="inlineStr">
        <is>
          <t>Up</t>
        </is>
      </c>
      <c r="H2126" t="inlineStr">
        <is>
          <t>ED_JU</t>
        </is>
      </c>
      <c r="I2126" t="inlineStr">
        <is>
          <t>2014-11</t>
        </is>
      </c>
      <c r="J2126" t="n">
        <v>1</v>
      </c>
      <c r="K2126" t="n">
        <v>1</v>
      </c>
      <c r="L2126" s="34">
        <f>IF($J2126=1,LN(B2127/B2126),"")</f>
        <v/>
      </c>
      <c r="M2126" s="34">
        <f>IF($K2126=1,INDEX(Mensal!$D$2:$D$245,MATCH($I2126,Mensal!$A$2:$A$245,0)),"")</f>
        <v/>
      </c>
      <c r="N2126" s="34">
        <f>IF($K2126=1,L2126-M2126,"")</f>
        <v/>
      </c>
      <c r="O2126" s="34" t="n">
        <v>0.00041743</v>
      </c>
      <c r="P2126" s="34">
        <f>IF($J2126=1,LN(1+O2126),"")</f>
        <v/>
      </c>
      <c r="Q2126" s="34">
        <f>IF($J2126=1,LN(R2127/R2126),"")</f>
        <v/>
      </c>
      <c r="R2126" s="32" t="n">
        <v>2.5721</v>
      </c>
      <c r="S2126" s="35" t="n">
        <v>12.329</v>
      </c>
      <c r="T2126" s="18" t="n"/>
      <c r="U2126" s="18" t="n"/>
      <c r="V2126" s="18" t="n"/>
      <c r="W2126" s="18" t="n">
        <v>53222.85</v>
      </c>
      <c r="X2126" s="35" t="n">
        <v>12.329</v>
      </c>
      <c r="Y2126" s="35" t="n"/>
    </row>
    <row r="2127">
      <c r="A2127" s="25" t="n">
        <v>41953</v>
      </c>
      <c r="B2127" s="18" t="n">
        <v>52725.38</v>
      </c>
      <c r="C2127" s="31" t="n"/>
      <c r="D2127" s="32" t="n"/>
      <c r="E2127" s="33" t="n">
        <v>-0.5488</v>
      </c>
      <c r="F2127" t="inlineStr">
        <is>
          <t>Down</t>
        </is>
      </c>
      <c r="G2127" t="inlineStr">
        <is>
          <t>Up</t>
        </is>
      </c>
      <c r="H2127" t="inlineStr">
        <is>
          <t>ED_JU</t>
        </is>
      </c>
      <c r="I2127" t="inlineStr">
        <is>
          <t>2014-11</t>
        </is>
      </c>
      <c r="J2127" t="n">
        <v>1</v>
      </c>
      <c r="K2127" t="n">
        <v>1</v>
      </c>
      <c r="L2127" s="34">
        <f>IF($J2127=1,LN(B2128/B2127),"")</f>
        <v/>
      </c>
      <c r="M2127" s="34">
        <f>IF($K2127=1,INDEX(Mensal!$D$2:$D$245,MATCH($I2127,Mensal!$A$2:$A$245,0)),"")</f>
        <v/>
      </c>
      <c r="N2127" s="34">
        <f>IF($K2127=1,L2127-M2127,"")</f>
        <v/>
      </c>
      <c r="O2127" s="34" t="n">
        <v>0.00041743</v>
      </c>
      <c r="P2127" s="34">
        <f>IF($J2127=1,LN(1+O2127),"")</f>
        <v/>
      </c>
      <c r="Q2127" s="34">
        <f>IF($J2127=1,LN(R2128/R2127),"")</f>
        <v/>
      </c>
      <c r="R2127" s="32" t="n">
        <v>2.539</v>
      </c>
      <c r="S2127" s="35" t="n">
        <v>12.315</v>
      </c>
      <c r="T2127" s="18" t="n"/>
      <c r="U2127" s="18" t="n"/>
      <c r="V2127" s="18" t="n"/>
      <c r="W2127" s="18" t="n">
        <v>52725.38</v>
      </c>
      <c r="X2127" s="35" t="n">
        <v>12.315</v>
      </c>
      <c r="Y2127" s="35" t="n"/>
    </row>
    <row r="2128">
      <c r="A2128" s="25" t="n">
        <v>41954</v>
      </c>
      <c r="B2128" s="18" t="n">
        <v>52474.27</v>
      </c>
      <c r="C2128" s="31" t="n"/>
      <c r="D2128" s="32" t="n"/>
      <c r="E2128" s="33" t="n">
        <v>-0.5417</v>
      </c>
      <c r="F2128" t="inlineStr">
        <is>
          <t>Down</t>
        </is>
      </c>
      <c r="G2128" t="inlineStr">
        <is>
          <t>Up</t>
        </is>
      </c>
      <c r="H2128" t="inlineStr">
        <is>
          <t>ED_JU</t>
        </is>
      </c>
      <c r="I2128" t="inlineStr">
        <is>
          <t>2014-11</t>
        </is>
      </c>
      <c r="J2128" t="n">
        <v>1</v>
      </c>
      <c r="K2128" t="n">
        <v>1</v>
      </c>
      <c r="L2128" s="34">
        <f>IF($J2128=1,LN(B2129/B2128),"")</f>
        <v/>
      </c>
      <c r="M2128" s="34">
        <f>IF($K2128=1,INDEX(Mensal!$D$2:$D$245,MATCH($I2128,Mensal!$A$2:$A$245,0)),"")</f>
        <v/>
      </c>
      <c r="N2128" s="34">
        <f>IF($K2128=1,L2128-M2128,"")</f>
        <v/>
      </c>
      <c r="O2128" s="34" t="n">
        <v>0.00041743</v>
      </c>
      <c r="P2128" s="34">
        <f>IF($J2128=1,LN(1+O2128),"")</f>
        <v/>
      </c>
      <c r="Q2128" s="34">
        <f>IF($J2128=1,LN(R2129/R2128),"")</f>
        <v/>
      </c>
      <c r="R2128" s="32" t="n">
        <v>2.5644</v>
      </c>
      <c r="S2128" s="35" t="n">
        <v>12.372</v>
      </c>
      <c r="T2128" s="18" t="n"/>
      <c r="U2128" s="18" t="n"/>
      <c r="V2128" s="18" t="n"/>
      <c r="W2128" s="18" t="n">
        <v>52474.27</v>
      </c>
      <c r="X2128" s="35" t="n">
        <v>12.372</v>
      </c>
      <c r="Y2128" s="35" t="n"/>
    </row>
    <row r="2129">
      <c r="A2129" s="25" t="n">
        <v>41955</v>
      </c>
      <c r="B2129" s="18" t="n">
        <v>52978.89</v>
      </c>
      <c r="C2129" s="31" t="n"/>
      <c r="D2129" s="32" t="n"/>
      <c r="E2129" s="33" t="n">
        <v>-0.5342</v>
      </c>
      <c r="F2129" t="inlineStr">
        <is>
          <t>Down</t>
        </is>
      </c>
      <c r="G2129" t="inlineStr">
        <is>
          <t>Up</t>
        </is>
      </c>
      <c r="H2129" t="inlineStr">
        <is>
          <t>ED_JU</t>
        </is>
      </c>
      <c r="I2129" t="inlineStr">
        <is>
          <t>2014-11</t>
        </is>
      </c>
      <c r="J2129" t="n">
        <v>1</v>
      </c>
      <c r="K2129" t="n">
        <v>1</v>
      </c>
      <c r="L2129" s="34">
        <f>IF($J2129=1,LN(B2130/B2129),"")</f>
        <v/>
      </c>
      <c r="M2129" s="34">
        <f>IF($K2129=1,INDEX(Mensal!$D$2:$D$245,MATCH($I2129,Mensal!$A$2:$A$245,0)),"")</f>
        <v/>
      </c>
      <c r="N2129" s="34">
        <f>IF($K2129=1,L2129-M2129,"")</f>
        <v/>
      </c>
      <c r="O2129" s="34" t="n">
        <v>0.00041743</v>
      </c>
      <c r="P2129" s="34">
        <f>IF($J2129=1,LN(1+O2129),"")</f>
        <v/>
      </c>
      <c r="Q2129" s="34">
        <f>IF($J2129=1,LN(R2130/R2129),"")</f>
        <v/>
      </c>
      <c r="R2129" s="32" t="n">
        <v>2.555</v>
      </c>
      <c r="S2129" s="35" t="n">
        <v>12.409</v>
      </c>
      <c r="T2129" s="18" t="n"/>
      <c r="U2129" s="18" t="n"/>
      <c r="V2129" s="18" t="n"/>
      <c r="W2129" s="18" t="n">
        <v>52978.89</v>
      </c>
      <c r="X2129" s="35" t="n">
        <v>12.409</v>
      </c>
      <c r="Y2129" s="35" t="n"/>
    </row>
    <row r="2130">
      <c r="A2130" s="25" t="n">
        <v>41956</v>
      </c>
      <c r="B2130" s="18" t="n">
        <v>51846.03</v>
      </c>
      <c r="C2130" s="31" t="n"/>
      <c r="D2130" s="32" t="n"/>
      <c r="E2130" s="33" t="n">
        <v>-0.5368000000000001</v>
      </c>
      <c r="F2130" t="inlineStr">
        <is>
          <t>Down</t>
        </is>
      </c>
      <c r="G2130" t="inlineStr">
        <is>
          <t>Up</t>
        </is>
      </c>
      <c r="H2130" t="inlineStr">
        <is>
          <t>ED_JU</t>
        </is>
      </c>
      <c r="I2130" t="inlineStr">
        <is>
          <t>2014-11</t>
        </is>
      </c>
      <c r="J2130" t="n">
        <v>1</v>
      </c>
      <c r="K2130" t="n">
        <v>1</v>
      </c>
      <c r="L2130" s="34">
        <f>IF($J2130=1,LN(B2131/B2130),"")</f>
        <v/>
      </c>
      <c r="M2130" s="34">
        <f>IF($K2130=1,INDEX(Mensal!$D$2:$D$245,MATCH($I2130,Mensal!$A$2:$A$245,0)),"")</f>
        <v/>
      </c>
      <c r="N2130" s="34">
        <f>IF($K2130=1,L2130-M2130,"")</f>
        <v/>
      </c>
      <c r="O2130" s="34" t="n">
        <v>0.00041743</v>
      </c>
      <c r="P2130" s="34">
        <f>IF($J2130=1,LN(1+O2130),"")</f>
        <v/>
      </c>
      <c r="Q2130" s="34">
        <f>IF($J2130=1,LN(R2131/R2130),"")</f>
        <v/>
      </c>
      <c r="R2130" s="32" t="n">
        <v>2.5725</v>
      </c>
      <c r="S2130" s="35" t="n">
        <v>12.489</v>
      </c>
      <c r="T2130" s="18" t="n"/>
      <c r="U2130" s="18" t="n"/>
      <c r="V2130" s="18" t="n"/>
      <c r="W2130" s="18" t="n">
        <v>51846.03</v>
      </c>
      <c r="X2130" s="35" t="n">
        <v>12.489</v>
      </c>
      <c r="Y2130" s="35" t="n"/>
    </row>
    <row r="2131">
      <c r="A2131" s="25" t="n">
        <v>41957</v>
      </c>
      <c r="B2131" s="18" t="n">
        <v>51772.4</v>
      </c>
      <c r="C2131" s="31" t="n"/>
      <c r="D2131" s="32" t="n"/>
      <c r="E2131" s="33" t="n">
        <v>-0.5381</v>
      </c>
      <c r="F2131" t="inlineStr">
        <is>
          <t>Down</t>
        </is>
      </c>
      <c r="G2131" t="inlineStr">
        <is>
          <t>Up</t>
        </is>
      </c>
      <c r="H2131" t="inlineStr">
        <is>
          <t>ED_JU</t>
        </is>
      </c>
      <c r="I2131" t="inlineStr">
        <is>
          <t>2014-11</t>
        </is>
      </c>
      <c r="J2131" t="n">
        <v>1</v>
      </c>
      <c r="K2131" t="n">
        <v>1</v>
      </c>
      <c r="L2131" s="34">
        <f>IF($J2131=1,LN(B2132/B2131),"")</f>
        <v/>
      </c>
      <c r="M2131" s="34">
        <f>IF($K2131=1,INDEX(Mensal!$D$2:$D$245,MATCH($I2131,Mensal!$A$2:$A$245,0)),"")</f>
        <v/>
      </c>
      <c r="N2131" s="34">
        <f>IF($K2131=1,L2131-M2131,"")</f>
        <v/>
      </c>
      <c r="O2131" s="34" t="n">
        <v>0.00041743</v>
      </c>
      <c r="P2131" s="34">
        <f>IF($J2131=1,LN(1+O2131),"")</f>
        <v/>
      </c>
      <c r="Q2131" s="34">
        <f>IF($J2131=1,LN(R2132/R2131),"")</f>
        <v/>
      </c>
      <c r="R2131" s="32" t="n">
        <v>2.6136</v>
      </c>
      <c r="S2131" s="35" t="n">
        <v>12.449</v>
      </c>
      <c r="T2131" s="18" t="n"/>
      <c r="U2131" s="18" t="n"/>
      <c r="V2131" s="18" t="n"/>
      <c r="W2131" s="18" t="n">
        <v>51772.4</v>
      </c>
      <c r="X2131" s="35" t="n">
        <v>12.449</v>
      </c>
      <c r="Y2131" s="35" t="n"/>
    </row>
    <row r="2132">
      <c r="A2132" s="25" t="n">
        <v>41960</v>
      </c>
      <c r="B2132" s="18" t="n">
        <v>51256.99</v>
      </c>
      <c r="C2132" s="31" t="n"/>
      <c r="D2132" s="32" t="n"/>
      <c r="E2132" s="33" t="n">
        <v>-0.5332</v>
      </c>
      <c r="F2132" t="inlineStr">
        <is>
          <t>Down</t>
        </is>
      </c>
      <c r="G2132" t="inlineStr">
        <is>
          <t>Up</t>
        </is>
      </c>
      <c r="H2132" t="inlineStr">
        <is>
          <t>ED_JU</t>
        </is>
      </c>
      <c r="I2132" t="inlineStr">
        <is>
          <t>2014-11</t>
        </is>
      </c>
      <c r="J2132" t="n">
        <v>1</v>
      </c>
      <c r="K2132" t="n">
        <v>1</v>
      </c>
      <c r="L2132" s="34">
        <f>IF($J2132=1,LN(B2133/B2132),"")</f>
        <v/>
      </c>
      <c r="M2132" s="34">
        <f>IF($K2132=1,INDEX(Mensal!$D$2:$D$245,MATCH($I2132,Mensal!$A$2:$A$245,0)),"")</f>
        <v/>
      </c>
      <c r="N2132" s="34">
        <f>IF($K2132=1,L2132-M2132,"")</f>
        <v/>
      </c>
      <c r="O2132" s="34" t="n">
        <v>0.00041743</v>
      </c>
      <c r="P2132" s="34">
        <f>IF($J2132=1,LN(1+O2132),"")</f>
        <v/>
      </c>
      <c r="Q2132" s="34">
        <f>IF($J2132=1,LN(R2133/R2132),"")</f>
        <v/>
      </c>
      <c r="R2132" s="32" t="n">
        <v>2.6035</v>
      </c>
      <c r="S2132" s="35" t="n">
        <v>12.486</v>
      </c>
      <c r="T2132" s="18" t="n"/>
      <c r="U2132" s="18" t="n"/>
      <c r="V2132" s="18" t="n"/>
      <c r="W2132" s="18" t="n">
        <v>51256.99</v>
      </c>
      <c r="X2132" s="35" t="n">
        <v>12.486</v>
      </c>
      <c r="Y2132" s="35" t="n"/>
    </row>
    <row r="2133">
      <c r="A2133" s="25" t="n">
        <v>41961</v>
      </c>
      <c r="B2133" s="18" t="n">
        <v>52061.86</v>
      </c>
      <c r="C2133" s="31" t="n"/>
      <c r="D2133" s="32" t="n"/>
      <c r="E2133" s="33" t="n">
        <v>-0.5294</v>
      </c>
      <c r="F2133" t="inlineStr">
        <is>
          <t>Down</t>
        </is>
      </c>
      <c r="G2133" t="inlineStr">
        <is>
          <t>Up</t>
        </is>
      </c>
      <c r="H2133" t="inlineStr">
        <is>
          <t>ED_JU</t>
        </is>
      </c>
      <c r="I2133" t="inlineStr">
        <is>
          <t>2014-11</t>
        </is>
      </c>
      <c r="J2133" t="n">
        <v>1</v>
      </c>
      <c r="K2133" t="n">
        <v>1</v>
      </c>
      <c r="L2133" s="34">
        <f>IF($J2133=1,LN(B2134/B2133),"")</f>
        <v/>
      </c>
      <c r="M2133" s="34">
        <f>IF($K2133=1,INDEX(Mensal!$D$2:$D$245,MATCH($I2133,Mensal!$A$2:$A$245,0)),"")</f>
        <v/>
      </c>
      <c r="N2133" s="34">
        <f>IF($K2133=1,L2133-M2133,"")</f>
        <v/>
      </c>
      <c r="O2133" s="34" t="n">
        <v>0.00041743</v>
      </c>
      <c r="P2133" s="34">
        <f>IF($J2133=1,LN(1+O2133),"")</f>
        <v/>
      </c>
      <c r="Q2133" s="34">
        <f>IF($J2133=1,LN(R2134/R2133),"")</f>
        <v/>
      </c>
      <c r="R2133" s="32" t="n">
        <v>2.5967</v>
      </c>
      <c r="S2133" s="35" t="n">
        <v>12.443</v>
      </c>
      <c r="T2133" s="18" t="n"/>
      <c r="U2133" s="18" t="n"/>
      <c r="V2133" s="18" t="n"/>
      <c r="W2133" s="18" t="n">
        <v>52061.86</v>
      </c>
      <c r="X2133" s="35" t="n">
        <v>12.443</v>
      </c>
      <c r="Y2133" s="35" t="n"/>
    </row>
    <row r="2134">
      <c r="A2134" s="25" t="n">
        <v>41962</v>
      </c>
      <c r="B2134" s="18" t="n">
        <v>53402.81</v>
      </c>
      <c r="C2134" s="31" t="n"/>
      <c r="D2134" s="32" t="n"/>
      <c r="E2134" s="33" t="n">
        <v>-0.5251</v>
      </c>
      <c r="F2134" t="inlineStr">
        <is>
          <t>Down</t>
        </is>
      </c>
      <c r="G2134" t="inlineStr">
        <is>
          <t>Up</t>
        </is>
      </c>
      <c r="H2134" t="inlineStr">
        <is>
          <t>ED_JU</t>
        </is>
      </c>
      <c r="I2134" t="inlineStr">
        <is>
          <t>2014-11</t>
        </is>
      </c>
      <c r="J2134" t="n">
        <v>1</v>
      </c>
      <c r="K2134" t="n">
        <v>1</v>
      </c>
      <c r="L2134" s="34">
        <f>IF($J2134=1,LN(B2135/B2134),"")</f>
        <v/>
      </c>
      <c r="M2134" s="34">
        <f>IF($K2134=1,INDEX(Mensal!$D$2:$D$245,MATCH($I2134,Mensal!$A$2:$A$245,0)),"")</f>
        <v/>
      </c>
      <c r="N2134" s="34">
        <f>IF($K2134=1,L2134-M2134,"")</f>
        <v/>
      </c>
      <c r="O2134" s="34" t="n">
        <v>0.00041743</v>
      </c>
      <c r="P2134" s="34">
        <f>IF($J2134=1,LN(1+O2134),"")</f>
        <v/>
      </c>
      <c r="Q2134" s="34">
        <f>IF($J2134=1,LN(R2135/R2134),"")</f>
        <v/>
      </c>
      <c r="R2134" s="32" t="n">
        <v>2.5849</v>
      </c>
      <c r="S2134" s="35" t="n">
        <v>12.404</v>
      </c>
      <c r="T2134" s="18" t="n"/>
      <c r="U2134" s="18" t="n"/>
      <c r="V2134" s="18" t="n"/>
      <c r="W2134" s="18" t="n">
        <v>53402.81</v>
      </c>
      <c r="X2134" s="35" t="n">
        <v>12.404</v>
      </c>
      <c r="Y2134" s="35" t="n"/>
    </row>
    <row r="2135">
      <c r="A2135" s="25" t="n">
        <v>41964</v>
      </c>
      <c r="B2135" s="18" t="n">
        <v>56084.04</v>
      </c>
      <c r="C2135" s="31" t="n"/>
      <c r="D2135" s="32" t="n"/>
      <c r="E2135" s="33" t="n">
        <v>-0.5168</v>
      </c>
      <c r="F2135" t="inlineStr">
        <is>
          <t>Down</t>
        </is>
      </c>
      <c r="G2135" t="inlineStr">
        <is>
          <t>Up</t>
        </is>
      </c>
      <c r="H2135" t="inlineStr">
        <is>
          <t>ED_JU</t>
        </is>
      </c>
      <c r="I2135" t="inlineStr">
        <is>
          <t>2014-11</t>
        </is>
      </c>
      <c r="J2135" t="n">
        <v>1</v>
      </c>
      <c r="K2135" t="n">
        <v>1</v>
      </c>
      <c r="L2135" s="34">
        <f>IF($J2135=1,LN(B2136/B2135),"")</f>
        <v/>
      </c>
      <c r="M2135" s="34">
        <f>IF($K2135=1,INDEX(Mensal!$D$2:$D$245,MATCH($I2135,Mensal!$A$2:$A$245,0)),"")</f>
        <v/>
      </c>
      <c r="N2135" s="34">
        <f>IF($K2135=1,L2135-M2135,"")</f>
        <v/>
      </c>
      <c r="O2135" s="34" t="n">
        <v>0.00041743</v>
      </c>
      <c r="P2135" s="34">
        <f>IF($J2135=1,LN(1+O2135),"")</f>
        <v/>
      </c>
      <c r="Q2135" s="34">
        <f>IF($J2135=1,LN(R2136/R2135),"")</f>
        <v/>
      </c>
      <c r="R2135" s="32" t="n">
        <v>2.5391</v>
      </c>
      <c r="S2135" s="35" t="n">
        <v>12.284</v>
      </c>
      <c r="T2135" s="18" t="n"/>
      <c r="U2135" s="18" t="n"/>
      <c r="V2135" s="18" t="n"/>
      <c r="W2135" s="18" t="n">
        <v>56084.04</v>
      </c>
      <c r="X2135" s="35" t="n">
        <v>12.284</v>
      </c>
      <c r="Y2135" s="35" t="n"/>
    </row>
    <row r="2136">
      <c r="A2136" s="25" t="n">
        <v>41967</v>
      </c>
      <c r="B2136" s="18" t="n">
        <v>55406.91</v>
      </c>
      <c r="C2136" s="31" t="n"/>
      <c r="D2136" s="32" t="n"/>
      <c r="E2136" s="33" t="n">
        <v>-0.5033</v>
      </c>
      <c r="F2136" t="inlineStr">
        <is>
          <t>Down</t>
        </is>
      </c>
      <c r="G2136" t="inlineStr">
        <is>
          <t>Up</t>
        </is>
      </c>
      <c r="H2136" t="inlineStr">
        <is>
          <t>ED_JU</t>
        </is>
      </c>
      <c r="I2136" t="inlineStr">
        <is>
          <t>2014-11</t>
        </is>
      </c>
      <c r="J2136" t="n">
        <v>1</v>
      </c>
      <c r="K2136" t="n">
        <v>1</v>
      </c>
      <c r="L2136" s="34">
        <f>IF($J2136=1,LN(B2137/B2136),"")</f>
        <v/>
      </c>
      <c r="M2136" s="34">
        <f>IF($K2136=1,INDEX(Mensal!$D$2:$D$245,MATCH($I2136,Mensal!$A$2:$A$245,0)),"")</f>
        <v/>
      </c>
      <c r="N2136" s="34">
        <f>IF($K2136=1,L2136-M2136,"")</f>
        <v/>
      </c>
      <c r="O2136" s="34" t="n">
        <v>0.00041743</v>
      </c>
      <c r="P2136" s="34">
        <f>IF($J2136=1,LN(1+O2136),"")</f>
        <v/>
      </c>
      <c r="Q2136" s="34">
        <f>IF($J2136=1,LN(R2137/R2136),"")</f>
        <v/>
      </c>
      <c r="R2136" s="32" t="n">
        <v>2.5282</v>
      </c>
      <c r="S2136" s="35" t="n">
        <v>12.263</v>
      </c>
      <c r="T2136" s="18" t="n"/>
      <c r="U2136" s="18" t="n"/>
      <c r="V2136" s="18" t="n"/>
      <c r="W2136" s="18" t="n">
        <v>55406.91</v>
      </c>
      <c r="X2136" s="35" t="n">
        <v>12.263</v>
      </c>
      <c r="Y2136" s="35" t="n"/>
    </row>
    <row r="2137">
      <c r="A2137" s="25" t="n">
        <v>41968</v>
      </c>
      <c r="B2137" s="18" t="n">
        <v>55560.81</v>
      </c>
      <c r="C2137" s="31" t="n"/>
      <c r="D2137" s="32" t="n"/>
      <c r="E2137" s="33" t="n">
        <v>-0.4903</v>
      </c>
      <c r="F2137" t="inlineStr">
        <is>
          <t>Down</t>
        </is>
      </c>
      <c r="G2137" t="inlineStr">
        <is>
          <t>Up</t>
        </is>
      </c>
      <c r="H2137" t="inlineStr">
        <is>
          <t>ED_JU</t>
        </is>
      </c>
      <c r="I2137" t="inlineStr">
        <is>
          <t>2014-11</t>
        </is>
      </c>
      <c r="J2137" t="n">
        <v>1</v>
      </c>
      <c r="K2137" t="n">
        <v>1</v>
      </c>
      <c r="L2137" s="34">
        <f>IF($J2137=1,LN(B2138/B2137),"")</f>
        <v/>
      </c>
      <c r="M2137" s="34">
        <f>IF($K2137=1,INDEX(Mensal!$D$2:$D$245,MATCH($I2137,Mensal!$A$2:$A$245,0)),"")</f>
        <v/>
      </c>
      <c r="N2137" s="34">
        <f>IF($K2137=1,L2137-M2137,"")</f>
        <v/>
      </c>
      <c r="O2137" s="34" t="n">
        <v>0.00041743</v>
      </c>
      <c r="P2137" s="34">
        <f>IF($J2137=1,LN(1+O2137),"")</f>
        <v/>
      </c>
      <c r="Q2137" s="34">
        <f>IF($J2137=1,LN(R2138/R2137),"")</f>
        <v/>
      </c>
      <c r="R2137" s="32" t="n">
        <v>2.5237</v>
      </c>
      <c r="S2137" s="35" t="n">
        <v>12.272</v>
      </c>
      <c r="T2137" s="18" t="n"/>
      <c r="U2137" s="18" t="n"/>
      <c r="V2137" s="18" t="n"/>
      <c r="W2137" s="18" t="n">
        <v>55560.81</v>
      </c>
      <c r="X2137" s="35" t="n">
        <v>12.272</v>
      </c>
      <c r="Y2137" s="35" t="n"/>
    </row>
    <row r="2138">
      <c r="A2138" s="25" t="n">
        <v>41969</v>
      </c>
      <c r="B2138" s="18" t="n">
        <v>55098.47</v>
      </c>
      <c r="C2138" s="31" t="n"/>
      <c r="D2138" s="32" t="n"/>
      <c r="E2138" s="33" t="n">
        <v>-0.4794</v>
      </c>
      <c r="F2138" t="inlineStr">
        <is>
          <t>Down</t>
        </is>
      </c>
      <c r="G2138" t="inlineStr">
        <is>
          <t>Up</t>
        </is>
      </c>
      <c r="H2138" t="inlineStr">
        <is>
          <t>ED_JU</t>
        </is>
      </c>
      <c r="I2138" t="inlineStr">
        <is>
          <t>2014-11</t>
        </is>
      </c>
      <c r="J2138" t="n">
        <v>1</v>
      </c>
      <c r="K2138" t="n">
        <v>1</v>
      </c>
      <c r="L2138" s="34">
        <f>IF($J2138=1,LN(B2139/B2138),"")</f>
        <v/>
      </c>
      <c r="M2138" s="34">
        <f>IF($K2138=1,INDEX(Mensal!$D$2:$D$245,MATCH($I2138,Mensal!$A$2:$A$245,0)),"")</f>
        <v/>
      </c>
      <c r="N2138" s="34">
        <f>IF($K2138=1,L2138-M2138,"")</f>
        <v/>
      </c>
      <c r="O2138" s="34" t="n">
        <v>0.00041743</v>
      </c>
      <c r="P2138" s="34">
        <f>IF($J2138=1,LN(1+O2138),"")</f>
        <v/>
      </c>
      <c r="Q2138" s="34">
        <f>IF($J2138=1,LN(R2139/R2138),"")</f>
        <v/>
      </c>
      <c r="R2138" s="32" t="n">
        <v>2.5103</v>
      </c>
      <c r="S2138" s="35" t="n">
        <v>12.325</v>
      </c>
      <c r="T2138" s="18" t="n"/>
      <c r="U2138" s="18" t="n"/>
      <c r="V2138" s="18" t="n"/>
      <c r="W2138" s="18" t="n">
        <v>55098.47</v>
      </c>
      <c r="X2138" s="35" t="n">
        <v>12.325</v>
      </c>
      <c r="Y2138" s="35" t="n"/>
    </row>
    <row r="2139">
      <c r="A2139" s="25" t="n">
        <v>41970</v>
      </c>
      <c r="B2139" s="18" t="n">
        <v>54721.32</v>
      </c>
      <c r="C2139" s="31" t="n"/>
      <c r="D2139" s="32" t="n"/>
      <c r="E2139" s="33" t="n">
        <v>-0.4659</v>
      </c>
      <c r="F2139" t="inlineStr">
        <is>
          <t>Down</t>
        </is>
      </c>
      <c r="G2139" t="inlineStr">
        <is>
          <t>Up</t>
        </is>
      </c>
      <c r="H2139" t="inlineStr">
        <is>
          <t>ED_JU</t>
        </is>
      </c>
      <c r="I2139" t="inlineStr">
        <is>
          <t>2014-11</t>
        </is>
      </c>
      <c r="J2139" t="n">
        <v>1</v>
      </c>
      <c r="K2139" t="n">
        <v>1</v>
      </c>
      <c r="L2139" s="34">
        <f>IF($J2139=1,LN(B2140/B2139),"")</f>
        <v/>
      </c>
      <c r="M2139" s="34">
        <f>IF($K2139=1,INDEX(Mensal!$D$2:$D$245,MATCH($I2139,Mensal!$A$2:$A$245,0)),"")</f>
        <v/>
      </c>
      <c r="N2139" s="34">
        <f>IF($K2139=1,L2139-M2139,"")</f>
        <v/>
      </c>
      <c r="O2139" s="34" t="n">
        <v>0.00041743</v>
      </c>
      <c r="P2139" s="34">
        <f>IF($J2139=1,LN(1+O2139),"")</f>
        <v/>
      </c>
      <c r="Q2139" s="34">
        <f>IF($J2139=1,LN(R2140/R2139),"")</f>
        <v/>
      </c>
      <c r="R2139" s="32" t="n">
        <v>2.5065</v>
      </c>
      <c r="S2139" s="35" t="n">
        <v>12.311</v>
      </c>
      <c r="T2139" s="18" t="n"/>
      <c r="U2139" s="18" t="n"/>
      <c r="V2139" s="18" t="n"/>
      <c r="W2139" s="18" t="n">
        <v>54721.32</v>
      </c>
      <c r="X2139" s="35" t="n">
        <v>12.311</v>
      </c>
      <c r="Y2139" s="35" t="n"/>
    </row>
    <row r="2140">
      <c r="A2140" s="25" t="n">
        <v>41971</v>
      </c>
      <c r="B2140" s="18" t="n">
        <v>54724</v>
      </c>
      <c r="C2140" s="31" t="n"/>
      <c r="D2140" s="32" t="n"/>
      <c r="E2140" s="33" t="n">
        <v>-0.488</v>
      </c>
      <c r="F2140" t="inlineStr">
        <is>
          <t>Down</t>
        </is>
      </c>
      <c r="G2140" t="inlineStr">
        <is>
          <t>Up</t>
        </is>
      </c>
      <c r="H2140" t="inlineStr">
        <is>
          <t>ED_JU</t>
        </is>
      </c>
      <c r="I2140" t="inlineStr">
        <is>
          <t>2014-11</t>
        </is>
      </c>
      <c r="J2140" t="n">
        <v>1</v>
      </c>
      <c r="K2140" t="n">
        <v>1</v>
      </c>
      <c r="L2140" s="34">
        <f>IF($J2140=1,LN(B2141/B2140),"")</f>
        <v/>
      </c>
      <c r="M2140" s="34">
        <f>IF($K2140=1,INDEX(Mensal!$D$2:$D$245,MATCH($I2140,Mensal!$A$2:$A$245,0)),"")</f>
        <v/>
      </c>
      <c r="N2140" s="34">
        <f>IF($K2140=1,L2140-M2140,"")</f>
        <v/>
      </c>
      <c r="O2140" s="34" t="n">
        <v>0.00041636</v>
      </c>
      <c r="P2140" s="34">
        <f>IF($J2140=1,LN(1+O2140),"")</f>
        <v/>
      </c>
      <c r="Q2140" s="34">
        <f>IF($J2140=1,LN(R2141/R2140),"")</f>
        <v/>
      </c>
      <c r="R2140" s="32" t="n">
        <v>2.5601</v>
      </c>
      <c r="S2140" s="35" t="n">
        <v>12.441</v>
      </c>
      <c r="T2140" s="18" t="n"/>
      <c r="U2140" s="18" t="n"/>
      <c r="V2140" s="18" t="n"/>
      <c r="W2140" s="18" t="n">
        <v>54724</v>
      </c>
      <c r="X2140" s="35" t="n">
        <v>12.441</v>
      </c>
      <c r="Y2140" s="35" t="n"/>
    </row>
    <row r="2141">
      <c r="A2141" s="25" t="n">
        <v>41974</v>
      </c>
      <c r="B2141" s="18" t="n">
        <v>52276.58</v>
      </c>
      <c r="C2141" s="31" t="n"/>
      <c r="D2141" s="32" t="n"/>
      <c r="E2141" s="33" t="n">
        <v>-0.5084</v>
      </c>
      <c r="F2141" t="inlineStr">
        <is>
          <t>Down</t>
        </is>
      </c>
      <c r="G2141" t="inlineStr">
        <is>
          <t>Up</t>
        </is>
      </c>
      <c r="H2141" t="inlineStr">
        <is>
          <t>ED_JU</t>
        </is>
      </c>
      <c r="I2141" t="inlineStr">
        <is>
          <t>2014-12</t>
        </is>
      </c>
      <c r="J2141" t="n">
        <v>1</v>
      </c>
      <c r="K2141" t="n">
        <v>1</v>
      </c>
      <c r="L2141" s="34">
        <f>IF($J2141=1,LN(B2142/B2141),"")</f>
        <v/>
      </c>
      <c r="M2141" s="34">
        <f>IF($K2141=1,INDEX(Mensal!$D$2:$D$245,MATCH($I2141,Mensal!$A$2:$A$245,0)),"")</f>
        <v/>
      </c>
      <c r="N2141" s="34">
        <f>IF($K2141=1,L2141-M2141,"")</f>
        <v/>
      </c>
      <c r="O2141" s="34" t="n">
        <v>0.00041636</v>
      </c>
      <c r="P2141" s="34">
        <f>IF($J2141=1,LN(1+O2141),"")</f>
        <v/>
      </c>
      <c r="Q2141" s="34">
        <f>IF($J2141=1,LN(R2142/R2141),"")</f>
        <v/>
      </c>
      <c r="R2141" s="32" t="n">
        <v>2.5624</v>
      </c>
      <c r="S2141" s="35" t="n">
        <v>12.48</v>
      </c>
      <c r="T2141" s="18" t="n"/>
      <c r="U2141" s="18" t="n"/>
      <c r="V2141" s="18" t="n"/>
      <c r="W2141" s="18" t="n">
        <v>52276.58</v>
      </c>
      <c r="X2141" s="35" t="n">
        <v>12.48</v>
      </c>
      <c r="Y2141" s="35" t="n"/>
    </row>
    <row r="2142">
      <c r="A2142" s="25" t="n">
        <v>41975</v>
      </c>
      <c r="B2142" s="18" t="n">
        <v>51612.47</v>
      </c>
      <c r="C2142" s="31" t="n"/>
      <c r="D2142" s="32" t="n"/>
      <c r="E2142" s="33" t="n">
        <v>-0.5286999999999999</v>
      </c>
      <c r="F2142" t="inlineStr">
        <is>
          <t>Down</t>
        </is>
      </c>
      <c r="G2142" t="inlineStr">
        <is>
          <t>Up</t>
        </is>
      </c>
      <c r="H2142" t="inlineStr">
        <is>
          <t>ED_JU</t>
        </is>
      </c>
      <c r="I2142" t="inlineStr">
        <is>
          <t>2014-12</t>
        </is>
      </c>
      <c r="J2142" t="n">
        <v>1</v>
      </c>
      <c r="K2142" t="n">
        <v>1</v>
      </c>
      <c r="L2142" s="34">
        <f>IF($J2142=1,LN(B2143/B2142),"")</f>
        <v/>
      </c>
      <c r="M2142" s="34">
        <f>IF($K2142=1,INDEX(Mensal!$D$2:$D$245,MATCH($I2142,Mensal!$A$2:$A$245,0)),"")</f>
        <v/>
      </c>
      <c r="N2142" s="34">
        <f>IF($K2142=1,L2142-M2142,"")</f>
        <v/>
      </c>
      <c r="O2142" s="34" t="n">
        <v>0.00041636</v>
      </c>
      <c r="P2142" s="34">
        <f>IF($J2142=1,LN(1+O2142),"")</f>
        <v/>
      </c>
      <c r="Q2142" s="34">
        <f>IF($J2142=1,LN(R2143/R2142),"")</f>
        <v/>
      </c>
      <c r="R2142" s="32" t="n">
        <v>2.5664</v>
      </c>
      <c r="S2142" s="35" t="n">
        <v>12.525</v>
      </c>
      <c r="T2142" s="18" t="n"/>
      <c r="U2142" s="18" t="n"/>
      <c r="V2142" s="18" t="n"/>
      <c r="W2142" s="18" t="n">
        <v>51612.47</v>
      </c>
      <c r="X2142" s="35" t="n">
        <v>12.525</v>
      </c>
      <c r="Y2142" s="35" t="n"/>
    </row>
    <row r="2143">
      <c r="A2143" s="25" t="n">
        <v>41976</v>
      </c>
      <c r="B2143" s="18" t="n">
        <v>52320.48</v>
      </c>
      <c r="C2143" s="31" t="n"/>
      <c r="D2143" s="32" t="n"/>
      <c r="E2143" s="33" t="n">
        <v>-0.553</v>
      </c>
      <c r="F2143" t="inlineStr">
        <is>
          <t>Down</t>
        </is>
      </c>
      <c r="G2143" t="inlineStr">
        <is>
          <t>Up</t>
        </is>
      </c>
      <c r="H2143" t="inlineStr">
        <is>
          <t>ED_JU</t>
        </is>
      </c>
      <c r="I2143" t="inlineStr">
        <is>
          <t>2014-12</t>
        </is>
      </c>
      <c r="J2143" t="n">
        <v>1</v>
      </c>
      <c r="K2143" t="n">
        <v>1</v>
      </c>
      <c r="L2143" s="34">
        <f>IF($J2143=1,LN(B2144/B2143),"")</f>
        <v/>
      </c>
      <c r="M2143" s="34">
        <f>IF($K2143=1,INDEX(Mensal!$D$2:$D$245,MATCH($I2143,Mensal!$A$2:$A$245,0)),"")</f>
        <v/>
      </c>
      <c r="N2143" s="34">
        <f>IF($K2143=1,L2143-M2143,"")</f>
        <v/>
      </c>
      <c r="O2143" s="34" t="n">
        <v>0.00041743</v>
      </c>
      <c r="P2143" s="34">
        <f>IF($J2143=1,LN(1+O2143),"")</f>
        <v/>
      </c>
      <c r="Q2143" s="34">
        <f>IF($J2143=1,LN(R2144/R2143),"")</f>
        <v/>
      </c>
      <c r="R2143" s="32" t="n">
        <v>2.5607</v>
      </c>
      <c r="S2143" s="35" t="n">
        <v>12.579</v>
      </c>
      <c r="T2143" s="18" t="n"/>
      <c r="U2143" s="18" t="n"/>
      <c r="V2143" s="18" t="n"/>
      <c r="W2143" s="18" t="n">
        <v>52320.48</v>
      </c>
      <c r="X2143" s="35" t="n">
        <v>12.579</v>
      </c>
      <c r="Y2143" s="35" t="n"/>
    </row>
    <row r="2144">
      <c r="A2144" s="25" t="n">
        <v>41977</v>
      </c>
      <c r="B2144" s="18" t="n">
        <v>51426.87</v>
      </c>
      <c r="C2144" s="31" t="n"/>
      <c r="D2144" s="32" t="n"/>
      <c r="E2144" s="33" t="n">
        <v>-0.5785</v>
      </c>
      <c r="F2144" t="inlineStr">
        <is>
          <t>Down</t>
        </is>
      </c>
      <c r="G2144" t="inlineStr">
        <is>
          <t>Up</t>
        </is>
      </c>
      <c r="H2144" t="inlineStr">
        <is>
          <t>ED_JU</t>
        </is>
      </c>
      <c r="I2144" t="inlineStr">
        <is>
          <t>2014-12</t>
        </is>
      </c>
      <c r="J2144" t="n">
        <v>1</v>
      </c>
      <c r="K2144" t="n">
        <v>1</v>
      </c>
      <c r="L2144" s="34">
        <f>IF($J2144=1,LN(B2145/B2144),"")</f>
        <v/>
      </c>
      <c r="M2144" s="34">
        <f>IF($K2144=1,INDEX(Mensal!$D$2:$D$245,MATCH($I2144,Mensal!$A$2:$A$245,0)),"")</f>
        <v/>
      </c>
      <c r="N2144" s="34">
        <f>IF($K2144=1,L2144-M2144,"")</f>
        <v/>
      </c>
      <c r="O2144" s="34" t="n">
        <v>0.00043526</v>
      </c>
      <c r="P2144" s="34">
        <f>IF($J2144=1,LN(1+O2144),"")</f>
        <v/>
      </c>
      <c r="Q2144" s="34">
        <f>IF($J2144=1,LN(R2145/R2144),"")</f>
        <v/>
      </c>
      <c r="R2144" s="32" t="n">
        <v>2.5797</v>
      </c>
      <c r="S2144" s="35" t="n">
        <v>12.388</v>
      </c>
      <c r="T2144" s="18" t="n"/>
      <c r="U2144" s="18" t="n"/>
      <c r="V2144" s="18" t="n"/>
      <c r="W2144" s="18" t="n">
        <v>51426.87</v>
      </c>
      <c r="X2144" s="35" t="n">
        <v>12.388</v>
      </c>
      <c r="Y2144" s="35" t="n"/>
    </row>
    <row r="2145">
      <c r="A2145" s="25" t="n">
        <v>41978</v>
      </c>
      <c r="B2145" s="18" t="n">
        <v>51992.89</v>
      </c>
      <c r="C2145" s="31" t="n"/>
      <c r="D2145" s="32" t="n"/>
      <c r="E2145" s="33" t="n">
        <v>-0.6014</v>
      </c>
      <c r="F2145" t="inlineStr">
        <is>
          <t>Down</t>
        </is>
      </c>
      <c r="G2145" t="inlineStr">
        <is>
          <t>Up</t>
        </is>
      </c>
      <c r="H2145" t="inlineStr">
        <is>
          <t>ED_JU</t>
        </is>
      </c>
      <c r="I2145" t="inlineStr">
        <is>
          <t>2014-12</t>
        </is>
      </c>
      <c r="J2145" t="n">
        <v>1</v>
      </c>
      <c r="K2145" t="n">
        <v>1</v>
      </c>
      <c r="L2145" s="34">
        <f>IF($J2145=1,LN(B2146/B2145),"")</f>
        <v/>
      </c>
      <c r="M2145" s="34">
        <f>IF($K2145=1,INDEX(Mensal!$D$2:$D$245,MATCH($I2145,Mensal!$A$2:$A$245,0)),"")</f>
        <v/>
      </c>
      <c r="N2145" s="34">
        <f>IF($K2145=1,L2145-M2145,"")</f>
        <v/>
      </c>
      <c r="O2145" s="34" t="n">
        <v>0.00043526</v>
      </c>
      <c r="P2145" s="34">
        <f>IF($J2145=1,LN(1+O2145),"")</f>
        <v/>
      </c>
      <c r="Q2145" s="34">
        <f>IF($J2145=1,LN(R2146/R2145),"")</f>
        <v/>
      </c>
      <c r="R2145" s="32" t="n">
        <v>2.5888</v>
      </c>
      <c r="S2145" s="35" t="n">
        <v>12.389</v>
      </c>
      <c r="T2145" s="18" t="n"/>
      <c r="U2145" s="18" t="n"/>
      <c r="V2145" s="18" t="n"/>
      <c r="W2145" s="18" t="n">
        <v>51992.89</v>
      </c>
      <c r="X2145" s="35" t="n">
        <v>12.389</v>
      </c>
      <c r="Y2145" s="35" t="n"/>
    </row>
    <row r="2146">
      <c r="A2146" s="25" t="n">
        <v>41981</v>
      </c>
      <c r="B2146" s="18" t="n">
        <v>50274.07</v>
      </c>
      <c r="C2146" s="31" t="n"/>
      <c r="D2146" s="32" t="n"/>
      <c r="E2146" s="33" t="n">
        <v>-0.6257</v>
      </c>
      <c r="F2146" t="inlineStr">
        <is>
          <t>Down</t>
        </is>
      </c>
      <c r="G2146" t="inlineStr">
        <is>
          <t>Up</t>
        </is>
      </c>
      <c r="H2146" t="inlineStr">
        <is>
          <t>ED_JU</t>
        </is>
      </c>
      <c r="I2146" t="inlineStr">
        <is>
          <t>2014-12</t>
        </is>
      </c>
      <c r="J2146" t="n">
        <v>1</v>
      </c>
      <c r="K2146" t="n">
        <v>1</v>
      </c>
      <c r="L2146" s="34">
        <f>IF($J2146=1,LN(B2147/B2146),"")</f>
        <v/>
      </c>
      <c r="M2146" s="34">
        <f>IF($K2146=1,INDEX(Mensal!$D$2:$D$245,MATCH($I2146,Mensal!$A$2:$A$245,0)),"")</f>
        <v/>
      </c>
      <c r="N2146" s="34">
        <f>IF($K2146=1,L2146-M2146,"")</f>
        <v/>
      </c>
      <c r="O2146" s="34" t="n">
        <v>0.00043526</v>
      </c>
      <c r="P2146" s="34">
        <f>IF($J2146=1,LN(1+O2146),"")</f>
        <v/>
      </c>
      <c r="Q2146" s="34">
        <f>IF($J2146=1,LN(R2147/R2146),"")</f>
        <v/>
      </c>
      <c r="R2146" s="32" t="n">
        <v>2.5923</v>
      </c>
      <c r="S2146" s="35" t="n">
        <v>12.454</v>
      </c>
      <c r="T2146" s="18" t="n"/>
      <c r="U2146" s="18" t="n"/>
      <c r="V2146" s="18" t="n"/>
      <c r="W2146" s="18" t="n">
        <v>50274.07</v>
      </c>
      <c r="X2146" s="35" t="n">
        <v>12.454</v>
      </c>
      <c r="Y2146" s="35" t="n"/>
    </row>
    <row r="2147">
      <c r="A2147" s="25" t="n">
        <v>41982</v>
      </c>
      <c r="B2147" s="18" t="n">
        <v>50193.47</v>
      </c>
      <c r="C2147" s="31" t="n"/>
      <c r="D2147" s="32" t="n"/>
      <c r="E2147" s="33" t="n">
        <v>-0.6591</v>
      </c>
      <c r="F2147" t="inlineStr">
        <is>
          <t>Down</t>
        </is>
      </c>
      <c r="G2147" t="inlineStr">
        <is>
          <t>Up</t>
        </is>
      </c>
      <c r="H2147" t="inlineStr">
        <is>
          <t>ED_JU</t>
        </is>
      </c>
      <c r="I2147" t="inlineStr">
        <is>
          <t>2014-12</t>
        </is>
      </c>
      <c r="J2147" t="n">
        <v>1</v>
      </c>
      <c r="K2147" t="n">
        <v>1</v>
      </c>
      <c r="L2147" s="34">
        <f>IF($J2147=1,LN(B2148/B2147),"")</f>
        <v/>
      </c>
      <c r="M2147" s="34">
        <f>IF($K2147=1,INDEX(Mensal!$D$2:$D$245,MATCH($I2147,Mensal!$A$2:$A$245,0)),"")</f>
        <v/>
      </c>
      <c r="N2147" s="34">
        <f>IF($K2147=1,L2147-M2147,"")</f>
        <v/>
      </c>
      <c r="O2147" s="34" t="n">
        <v>0.00043455</v>
      </c>
      <c r="P2147" s="34">
        <f>IF($J2147=1,LN(1+O2147),"")</f>
        <v/>
      </c>
      <c r="Q2147" s="34">
        <f>IF($J2147=1,LN(R2148/R2147),"")</f>
        <v/>
      </c>
      <c r="R2147" s="32" t="n">
        <v>2.6016</v>
      </c>
      <c r="S2147" s="35" t="n">
        <v>12.443</v>
      </c>
      <c r="T2147" s="18" t="n"/>
      <c r="U2147" s="18" t="n"/>
      <c r="V2147" s="18" t="n"/>
      <c r="W2147" s="18" t="n">
        <v>50193.47</v>
      </c>
      <c r="X2147" s="35" t="n">
        <v>12.443</v>
      </c>
      <c r="Y2147" s="35" t="n"/>
    </row>
    <row r="2148">
      <c r="A2148" s="25" t="n">
        <v>41983</v>
      </c>
      <c r="B2148" s="18" t="n">
        <v>49548.08</v>
      </c>
      <c r="C2148" s="31" t="n"/>
      <c r="D2148" s="32" t="n"/>
      <c r="E2148" s="33" t="n">
        <v>-0.6905</v>
      </c>
      <c r="F2148" t="inlineStr">
        <is>
          <t>Down</t>
        </is>
      </c>
      <c r="G2148" t="inlineStr">
        <is>
          <t>Up</t>
        </is>
      </c>
      <c r="H2148" t="inlineStr">
        <is>
          <t>ED_JU</t>
        </is>
      </c>
      <c r="I2148" t="inlineStr">
        <is>
          <t>2014-12</t>
        </is>
      </c>
      <c r="J2148" t="n">
        <v>1</v>
      </c>
      <c r="K2148" t="n">
        <v>1</v>
      </c>
      <c r="L2148" s="34">
        <f>IF($J2148=1,LN(B2149/B2148),"")</f>
        <v/>
      </c>
      <c r="M2148" s="34">
        <f>IF($K2148=1,INDEX(Mensal!$D$2:$D$245,MATCH($I2148,Mensal!$A$2:$A$245,0)),"")</f>
        <v/>
      </c>
      <c r="N2148" s="34">
        <f>IF($K2148=1,L2148-M2148,"")</f>
        <v/>
      </c>
      <c r="O2148" s="34" t="n">
        <v>0.00043455</v>
      </c>
      <c r="P2148" s="34">
        <f>IF($J2148=1,LN(1+O2148),"")</f>
        <v/>
      </c>
      <c r="Q2148" s="34">
        <f>IF($J2148=1,LN(R2149/R2148),"")</f>
        <v/>
      </c>
      <c r="R2148" s="32" t="n">
        <v>2.5931</v>
      </c>
      <c r="S2148" s="35" t="n">
        <v>12.476</v>
      </c>
      <c r="T2148" s="18" t="n"/>
      <c r="U2148" s="18" t="n"/>
      <c r="V2148" s="18" t="n"/>
      <c r="W2148" s="18" t="n">
        <v>49548.08</v>
      </c>
      <c r="X2148" s="35" t="n">
        <v>12.476</v>
      </c>
      <c r="Y2148" s="35" t="n"/>
    </row>
    <row r="2149">
      <c r="A2149" s="25" t="n">
        <v>41984</v>
      </c>
      <c r="B2149" s="18" t="n">
        <v>49861.81</v>
      </c>
      <c r="C2149" s="31" t="n"/>
      <c r="D2149" s="32" t="n"/>
      <c r="E2149" s="33" t="n">
        <v>-0.7159</v>
      </c>
      <c r="F2149" t="inlineStr">
        <is>
          <t>Down</t>
        </is>
      </c>
      <c r="G2149" t="inlineStr">
        <is>
          <t>Up</t>
        </is>
      </c>
      <c r="H2149" t="inlineStr">
        <is>
          <t>ED_JU</t>
        </is>
      </c>
      <c r="I2149" t="inlineStr">
        <is>
          <t>2014-12</t>
        </is>
      </c>
      <c r="J2149" t="n">
        <v>1</v>
      </c>
      <c r="K2149" t="n">
        <v>1</v>
      </c>
      <c r="L2149" s="34">
        <f>IF($J2149=1,LN(B2150/B2149),"")</f>
        <v/>
      </c>
      <c r="M2149" s="34">
        <f>IF($K2149=1,INDEX(Mensal!$D$2:$D$245,MATCH($I2149,Mensal!$A$2:$A$245,0)),"")</f>
        <v/>
      </c>
      <c r="N2149" s="34">
        <f>IF($K2149=1,L2149-M2149,"")</f>
        <v/>
      </c>
      <c r="O2149" s="34" t="n">
        <v>0.00043526</v>
      </c>
      <c r="P2149" s="34">
        <f>IF($J2149=1,LN(1+O2149),"")</f>
        <v/>
      </c>
      <c r="Q2149" s="34">
        <f>IF($J2149=1,LN(R2150/R2149),"")</f>
        <v/>
      </c>
      <c r="R2149" s="32" t="n">
        <v>2.6271</v>
      </c>
      <c r="S2149" s="35" t="n">
        <v>12.494</v>
      </c>
      <c r="T2149" s="18" t="n"/>
      <c r="U2149" s="18" t="n"/>
      <c r="V2149" s="18" t="n"/>
      <c r="W2149" s="18" t="n">
        <v>49861.81</v>
      </c>
      <c r="X2149" s="35" t="n">
        <v>12.494</v>
      </c>
      <c r="Y2149" s="35" t="n"/>
    </row>
    <row r="2150">
      <c r="A2150" s="25" t="n">
        <v>41985</v>
      </c>
      <c r="B2150" s="18" t="n">
        <v>48001.98</v>
      </c>
      <c r="C2150" s="31" t="n"/>
      <c r="D2150" s="32" t="n"/>
      <c r="E2150" s="33" t="n">
        <v>-0.7332</v>
      </c>
      <c r="F2150" t="inlineStr">
        <is>
          <t>Down</t>
        </is>
      </c>
      <c r="G2150" t="inlineStr">
        <is>
          <t>Up</t>
        </is>
      </c>
      <c r="H2150" t="inlineStr">
        <is>
          <t>ED_JU</t>
        </is>
      </c>
      <c r="I2150" t="inlineStr">
        <is>
          <t>2014-12</t>
        </is>
      </c>
      <c r="J2150" t="n">
        <v>1</v>
      </c>
      <c r="K2150" t="n">
        <v>1</v>
      </c>
      <c r="L2150" s="34">
        <f>IF($J2150=1,LN(B2151/B2150),"")</f>
        <v/>
      </c>
      <c r="M2150" s="34">
        <f>IF($K2150=1,INDEX(Mensal!$D$2:$D$245,MATCH($I2150,Mensal!$A$2:$A$245,0)),"")</f>
        <v/>
      </c>
      <c r="N2150" s="34">
        <f>IF($K2150=1,L2150-M2150,"")</f>
        <v/>
      </c>
      <c r="O2150" s="34" t="n">
        <v>0.00043526</v>
      </c>
      <c r="P2150" s="34">
        <f>IF($J2150=1,LN(1+O2150),"")</f>
        <v/>
      </c>
      <c r="Q2150" s="34">
        <f>IF($J2150=1,LN(R2151/R2150),"")</f>
        <v/>
      </c>
      <c r="R2150" s="32" t="n">
        <v>2.6558</v>
      </c>
      <c r="S2150" s="35" t="n">
        <v>12.529</v>
      </c>
      <c r="T2150" s="18" t="n"/>
      <c r="U2150" s="18" t="n"/>
      <c r="V2150" s="18" t="n"/>
      <c r="W2150" s="18" t="n">
        <v>48001.98</v>
      </c>
      <c r="X2150" s="35" t="n">
        <v>12.529</v>
      </c>
      <c r="Y2150" s="35" t="n"/>
    </row>
    <row r="2151">
      <c r="A2151" s="25" t="n">
        <v>41988</v>
      </c>
      <c r="B2151" s="18" t="n">
        <v>47018.68</v>
      </c>
      <c r="C2151" s="31" t="n"/>
      <c r="D2151" s="32" t="n"/>
      <c r="E2151" s="33" t="n">
        <v>-0.7749</v>
      </c>
      <c r="F2151" t="inlineStr">
        <is>
          <t>Down</t>
        </is>
      </c>
      <c r="G2151" t="inlineStr">
        <is>
          <t>Up</t>
        </is>
      </c>
      <c r="H2151" t="inlineStr">
        <is>
          <t>ED_JU</t>
        </is>
      </c>
      <c r="I2151" t="inlineStr">
        <is>
          <t>2014-12</t>
        </is>
      </c>
      <c r="J2151" t="n">
        <v>1</v>
      </c>
      <c r="K2151" t="n">
        <v>1</v>
      </c>
      <c r="L2151" s="34">
        <f>IF($J2151=1,LN(B2152/B2151),"")</f>
        <v/>
      </c>
      <c r="M2151" s="34">
        <f>IF($K2151=1,INDEX(Mensal!$D$2:$D$245,MATCH($I2151,Mensal!$A$2:$A$245,0)),"")</f>
        <v/>
      </c>
      <c r="N2151" s="34">
        <f>IF($K2151=1,L2151-M2151,"")</f>
        <v/>
      </c>
      <c r="O2151" s="34" t="n">
        <v>0.00043526</v>
      </c>
      <c r="P2151" s="34">
        <f>IF($J2151=1,LN(1+O2151),"")</f>
        <v/>
      </c>
      <c r="Q2151" s="34">
        <f>IF($J2151=1,LN(R2152/R2151),"")</f>
        <v/>
      </c>
      <c r="R2151" s="32" t="n">
        <v>2.6717</v>
      </c>
      <c r="S2151" s="35" t="n">
        <v>12.621</v>
      </c>
      <c r="T2151" s="18" t="n"/>
      <c r="U2151" s="18" t="n"/>
      <c r="V2151" s="18" t="n"/>
      <c r="W2151" s="18" t="n">
        <v>47018.68</v>
      </c>
      <c r="X2151" s="35" t="n">
        <v>12.621</v>
      </c>
      <c r="Y2151" s="35" t="n"/>
    </row>
    <row r="2152">
      <c r="A2152" s="25" t="n">
        <v>41989</v>
      </c>
      <c r="B2152" s="18" t="n">
        <v>47007.51</v>
      </c>
      <c r="C2152" s="31" t="n"/>
      <c r="D2152" s="32" t="n"/>
      <c r="E2152" s="33" t="n">
        <v>-0.8279</v>
      </c>
      <c r="F2152" t="inlineStr">
        <is>
          <t>Down</t>
        </is>
      </c>
      <c r="G2152" t="inlineStr">
        <is>
          <t>Up</t>
        </is>
      </c>
      <c r="H2152" t="inlineStr">
        <is>
          <t>ED_JU</t>
        </is>
      </c>
      <c r="I2152" t="inlineStr">
        <is>
          <t>2014-12</t>
        </is>
      </c>
      <c r="J2152" t="n">
        <v>1</v>
      </c>
      <c r="K2152" t="n">
        <v>1</v>
      </c>
      <c r="L2152" s="34">
        <f>IF($J2152=1,LN(B2153/B2152),"")</f>
        <v/>
      </c>
      <c r="M2152" s="34">
        <f>IF($K2152=1,INDEX(Mensal!$D$2:$D$245,MATCH($I2152,Mensal!$A$2:$A$245,0)),"")</f>
        <v/>
      </c>
      <c r="N2152" s="34">
        <f>IF($K2152=1,L2152-M2152,"")</f>
        <v/>
      </c>
      <c r="O2152" s="34" t="n">
        <v>0.00043526</v>
      </c>
      <c r="P2152" s="34">
        <f>IF($J2152=1,LN(1+O2152),"")</f>
        <v/>
      </c>
      <c r="Q2152" s="34">
        <f>IF($J2152=1,LN(R2153/R2152),"")</f>
        <v/>
      </c>
      <c r="R2152" s="32" t="n">
        <v>2.7403</v>
      </c>
      <c r="S2152" s="35" t="n">
        <v>12.897</v>
      </c>
      <c r="T2152" s="18" t="n"/>
      <c r="U2152" s="18" t="n"/>
      <c r="V2152" s="18" t="n"/>
      <c r="W2152" s="18" t="n">
        <v>47007.51</v>
      </c>
      <c r="X2152" s="35" t="n">
        <v>12.897</v>
      </c>
      <c r="Y2152" s="35" t="n"/>
    </row>
    <row r="2153">
      <c r="A2153" s="25" t="n">
        <v>41990</v>
      </c>
      <c r="B2153" s="18" t="n">
        <v>48713.64</v>
      </c>
      <c r="C2153" s="31" t="n"/>
      <c r="D2153" s="32" t="n"/>
      <c r="E2153" s="33" t="n">
        <v>-0.8793</v>
      </c>
      <c r="F2153" t="inlineStr">
        <is>
          <t>Down</t>
        </is>
      </c>
      <c r="G2153" t="inlineStr">
        <is>
          <t>Up</t>
        </is>
      </c>
      <c r="H2153" t="inlineStr">
        <is>
          <t>ED_JU</t>
        </is>
      </c>
      <c r="I2153" t="inlineStr">
        <is>
          <t>2014-12</t>
        </is>
      </c>
      <c r="J2153" t="n">
        <v>1</v>
      </c>
      <c r="K2153" t="n">
        <v>1</v>
      </c>
      <c r="L2153" s="34">
        <f>IF($J2153=1,LN(B2154/B2153),"")</f>
        <v/>
      </c>
      <c r="M2153" s="34">
        <f>IF($K2153=1,INDEX(Mensal!$D$2:$D$245,MATCH($I2153,Mensal!$A$2:$A$245,0)),"")</f>
        <v/>
      </c>
      <c r="N2153" s="34">
        <f>IF($K2153=1,L2153-M2153,"")</f>
        <v/>
      </c>
      <c r="O2153" s="34" t="n">
        <v>0.00043526</v>
      </c>
      <c r="P2153" s="34">
        <f>IF($J2153=1,LN(1+O2153),"")</f>
        <v/>
      </c>
      <c r="Q2153" s="34">
        <f>IF($J2153=1,LN(R2154/R2153),"")</f>
        <v/>
      </c>
      <c r="R2153" s="32" t="n">
        <v>2.7246</v>
      </c>
      <c r="S2153" s="35" t="n">
        <v>12.899</v>
      </c>
      <c r="T2153" s="18" t="n"/>
      <c r="U2153" s="18" t="n"/>
      <c r="V2153" s="18" t="n"/>
      <c r="W2153" s="18" t="n">
        <v>48713.64</v>
      </c>
      <c r="X2153" s="35" t="n">
        <v>12.899</v>
      </c>
      <c r="Y2153" s="35" t="n"/>
    </row>
    <row r="2154">
      <c r="A2154" s="25" t="n">
        <v>41991</v>
      </c>
      <c r="B2154" s="18" t="n">
        <v>48495.7</v>
      </c>
      <c r="C2154" s="31" t="n"/>
      <c r="D2154" s="32" t="n"/>
      <c r="E2154" s="33" t="n">
        <v>-0.9278</v>
      </c>
      <c r="F2154" t="inlineStr">
        <is>
          <t>Down</t>
        </is>
      </c>
      <c r="G2154" t="inlineStr">
        <is>
          <t>Up</t>
        </is>
      </c>
      <c r="H2154" t="inlineStr">
        <is>
          <t>ED_JU</t>
        </is>
      </c>
      <c r="I2154" t="inlineStr">
        <is>
          <t>2014-12</t>
        </is>
      </c>
      <c r="J2154" t="n">
        <v>1</v>
      </c>
      <c r="K2154" t="n">
        <v>1</v>
      </c>
      <c r="L2154" s="34">
        <f>IF($J2154=1,LN(B2155/B2154),"")</f>
        <v/>
      </c>
      <c r="M2154" s="34">
        <f>IF($K2154=1,INDEX(Mensal!$D$2:$D$245,MATCH($I2154,Mensal!$A$2:$A$245,0)),"")</f>
        <v/>
      </c>
      <c r="N2154" s="34">
        <f>IF($K2154=1,L2154-M2154,"")</f>
        <v/>
      </c>
      <c r="O2154" s="34" t="n">
        <v>0.00043526</v>
      </c>
      <c r="P2154" s="34">
        <f>IF($J2154=1,LN(1+O2154),"")</f>
        <v/>
      </c>
      <c r="Q2154" s="34">
        <f>IF($J2154=1,LN(R2155/R2154),"")</f>
        <v/>
      </c>
      <c r="R2154" s="32" t="n">
        <v>2.6676</v>
      </c>
      <c r="S2154" s="35" t="n">
        <v>12.89</v>
      </c>
      <c r="T2154" s="18" t="n"/>
      <c r="U2154" s="18" t="n"/>
      <c r="V2154" s="18" t="n"/>
      <c r="W2154" s="18" t="n">
        <v>48495.7</v>
      </c>
      <c r="X2154" s="35" t="n">
        <v>12.89</v>
      </c>
      <c r="Y2154" s="35" t="n"/>
    </row>
    <row r="2155">
      <c r="A2155" s="25" t="n">
        <v>41992</v>
      </c>
      <c r="B2155" s="18" t="n">
        <v>49650.98</v>
      </c>
      <c r="C2155" s="31" t="n"/>
      <c r="D2155" s="32" t="n"/>
      <c r="E2155" s="33" t="n">
        <v>-0.9706</v>
      </c>
      <c r="F2155" t="inlineStr">
        <is>
          <t>Down</t>
        </is>
      </c>
      <c r="G2155" t="inlineStr">
        <is>
          <t>Up</t>
        </is>
      </c>
      <c r="H2155" t="inlineStr">
        <is>
          <t>ED_JU</t>
        </is>
      </c>
      <c r="I2155" t="inlineStr">
        <is>
          <t>2014-12</t>
        </is>
      </c>
      <c r="J2155" t="n">
        <v>1</v>
      </c>
      <c r="K2155" t="n">
        <v>1</v>
      </c>
      <c r="L2155" s="34">
        <f>IF($J2155=1,LN(B2156/B2155),"")</f>
        <v/>
      </c>
      <c r="M2155" s="34">
        <f>IF($K2155=1,INDEX(Mensal!$D$2:$D$245,MATCH($I2155,Mensal!$A$2:$A$245,0)),"")</f>
        <v/>
      </c>
      <c r="N2155" s="34">
        <f>IF($K2155=1,L2155-M2155,"")</f>
        <v/>
      </c>
      <c r="O2155" s="34" t="n">
        <v>0.00043526</v>
      </c>
      <c r="P2155" s="34">
        <f>IF($J2155=1,LN(1+O2155),"")</f>
        <v/>
      </c>
      <c r="Q2155" s="34">
        <f>IF($J2155=1,LN(R2156/R2155),"")</f>
        <v/>
      </c>
      <c r="R2155" s="32" t="n">
        <v>2.6486</v>
      </c>
      <c r="S2155" s="35" t="n">
        <v>12.914</v>
      </c>
      <c r="T2155" s="18" t="n"/>
      <c r="U2155" s="18" t="n"/>
      <c r="V2155" s="18" t="n"/>
      <c r="W2155" s="18" t="n">
        <v>49650.98</v>
      </c>
      <c r="X2155" s="35" t="n">
        <v>12.914</v>
      </c>
      <c r="Y2155" s="35" t="n"/>
    </row>
    <row r="2156">
      <c r="A2156" s="25" t="n">
        <v>41995</v>
      </c>
      <c r="B2156" s="18" t="n">
        <v>50120.86</v>
      </c>
      <c r="C2156" s="31" t="n"/>
      <c r="D2156" s="32" t="n"/>
      <c r="E2156" s="33" t="n">
        <v>-1.0063</v>
      </c>
      <c r="F2156" t="inlineStr">
        <is>
          <t>Down</t>
        </is>
      </c>
      <c r="G2156" t="inlineStr">
        <is>
          <t>Up</t>
        </is>
      </c>
      <c r="H2156" t="inlineStr">
        <is>
          <t>ED_JU</t>
        </is>
      </c>
      <c r="I2156" t="inlineStr">
        <is>
          <t>2014-12</t>
        </is>
      </c>
      <c r="J2156" t="n">
        <v>1</v>
      </c>
      <c r="K2156" t="n">
        <v>1</v>
      </c>
      <c r="L2156" s="34">
        <f>IF($J2156=1,LN(B2157/B2156),"")</f>
        <v/>
      </c>
      <c r="M2156" s="34">
        <f>IF($K2156=1,INDEX(Mensal!$D$2:$D$245,MATCH($I2156,Mensal!$A$2:$A$245,0)),"")</f>
        <v/>
      </c>
      <c r="N2156" s="34">
        <f>IF($K2156=1,L2156-M2156,"")</f>
        <v/>
      </c>
      <c r="O2156" s="34" t="n">
        <v>0.00043526</v>
      </c>
      <c r="P2156" s="34">
        <f>IF($J2156=1,LN(1+O2156),"")</f>
        <v/>
      </c>
      <c r="Q2156" s="34">
        <f>IF($J2156=1,LN(R2157/R2156),"")</f>
        <v/>
      </c>
      <c r="R2156" s="32" t="n">
        <v>2.6527</v>
      </c>
      <c r="S2156" s="35" t="n">
        <v>12.878</v>
      </c>
      <c r="T2156" s="18" t="n"/>
      <c r="U2156" s="18" t="n"/>
      <c r="V2156" s="18" t="n"/>
      <c r="W2156" s="18" t="n">
        <v>50120.86</v>
      </c>
      <c r="X2156" s="35" t="n">
        <v>12.878</v>
      </c>
      <c r="Y2156" s="35" t="n"/>
    </row>
    <row r="2157">
      <c r="A2157" s="25" t="n">
        <v>41996</v>
      </c>
      <c r="B2157" s="18" t="n">
        <v>50889.81</v>
      </c>
      <c r="C2157" s="31" t="n"/>
      <c r="D2157" s="32" t="n"/>
      <c r="E2157" s="33" t="n">
        <v>-1.0414</v>
      </c>
      <c r="F2157" t="inlineStr">
        <is>
          <t>Down</t>
        </is>
      </c>
      <c r="G2157" t="inlineStr">
        <is>
          <t>Up</t>
        </is>
      </c>
      <c r="H2157" t="inlineStr">
        <is>
          <t>ED_JU</t>
        </is>
      </c>
      <c r="I2157" t="inlineStr">
        <is>
          <t>2014-12</t>
        </is>
      </c>
      <c r="J2157" t="n">
        <v>1</v>
      </c>
      <c r="K2157" t="n">
        <v>1</v>
      </c>
      <c r="L2157" s="34">
        <f>IF($J2157=1,LN(B2158/B2157),"")</f>
        <v/>
      </c>
      <c r="M2157" s="34">
        <f>IF($K2157=1,INDEX(Mensal!$D$2:$D$245,MATCH($I2157,Mensal!$A$2:$A$245,0)),"")</f>
        <v/>
      </c>
      <c r="N2157" s="34">
        <f>IF($K2157=1,L2157-M2157,"")</f>
        <v/>
      </c>
      <c r="O2157" s="34" t="n">
        <v>0.00043455</v>
      </c>
      <c r="P2157" s="34">
        <f>IF($J2157=1,LN(1+O2157),"")</f>
        <v/>
      </c>
      <c r="Q2157" s="34">
        <f>IF($J2157=1,LN(R2158/R2157),"")</f>
        <v/>
      </c>
      <c r="R2157" s="32" t="n">
        <v>2.6775</v>
      </c>
      <c r="S2157" s="35" t="n">
        <v>12.878</v>
      </c>
      <c r="T2157" s="18" t="n"/>
      <c r="U2157" s="18" t="n"/>
      <c r="V2157" s="18" t="n"/>
      <c r="W2157" s="18" t="n">
        <v>50889.81</v>
      </c>
      <c r="X2157" s="35" t="n">
        <v>12.878</v>
      </c>
      <c r="Y2157" s="35" t="n"/>
    </row>
    <row r="2158">
      <c r="A2158" s="25" t="n">
        <v>41999</v>
      </c>
      <c r="B2158" s="18" t="n">
        <v>50144.63</v>
      </c>
      <c r="C2158" s="31" t="n"/>
      <c r="D2158" s="32" t="n"/>
      <c r="E2158" s="33" t="n">
        <v>-1.0703</v>
      </c>
      <c r="F2158" t="inlineStr">
        <is>
          <t>Down</t>
        </is>
      </c>
      <c r="G2158" t="inlineStr">
        <is>
          <t>Up</t>
        </is>
      </c>
      <c r="H2158" t="inlineStr">
        <is>
          <t>ED_JU</t>
        </is>
      </c>
      <c r="I2158" t="inlineStr">
        <is>
          <t>2014-12</t>
        </is>
      </c>
      <c r="J2158" t="n">
        <v>1</v>
      </c>
      <c r="K2158" t="n">
        <v>1</v>
      </c>
      <c r="L2158" s="34">
        <f>IF($J2158=1,LN(B2159/B2158),"")</f>
        <v/>
      </c>
      <c r="M2158" s="34">
        <f>IF($K2158=1,INDEX(Mensal!$D$2:$D$245,MATCH($I2158,Mensal!$A$2:$A$245,0)),"")</f>
        <v/>
      </c>
      <c r="N2158" s="34">
        <f>IF($K2158=1,L2158-M2158,"")</f>
        <v/>
      </c>
      <c r="O2158" s="34" t="n">
        <v>0.00043455</v>
      </c>
      <c r="P2158" s="34">
        <f>IF($J2158=1,LN(1+O2158),"")</f>
        <v/>
      </c>
      <c r="Q2158" s="34">
        <f>IF($J2158=1,LN(R2159/R2158),"")</f>
        <v/>
      </c>
      <c r="R2158" s="32" t="n">
        <v>2.6812</v>
      </c>
      <c r="S2158" s="35" t="n">
        <v>12.939</v>
      </c>
      <c r="T2158" s="18" t="n"/>
      <c r="U2158" s="18" t="n"/>
      <c r="V2158" s="18" t="n"/>
      <c r="W2158" s="18" t="n">
        <v>50144.63</v>
      </c>
      <c r="X2158" s="35" t="n">
        <v>12.939</v>
      </c>
      <c r="Y2158" s="35" t="n"/>
    </row>
    <row r="2159">
      <c r="A2159" s="25" t="n">
        <v>42002</v>
      </c>
      <c r="B2159" s="18" t="n">
        <v>50593.82</v>
      </c>
      <c r="C2159" s="31" t="n"/>
      <c r="D2159" s="32" t="n"/>
      <c r="E2159" s="33" t="n">
        <v>-1.0945</v>
      </c>
      <c r="F2159" t="inlineStr">
        <is>
          <t>Down</t>
        </is>
      </c>
      <c r="G2159" t="inlineStr">
        <is>
          <t>Up</t>
        </is>
      </c>
      <c r="H2159" t="inlineStr">
        <is>
          <t>ED_JU</t>
        </is>
      </c>
      <c r="I2159" t="inlineStr">
        <is>
          <t>2014-12</t>
        </is>
      </c>
      <c r="J2159" t="n">
        <v>1</v>
      </c>
      <c r="K2159" t="n">
        <v>1</v>
      </c>
      <c r="L2159" s="34">
        <f>IF($J2159=1,LN(B2160/B2159),"")</f>
        <v/>
      </c>
      <c r="M2159" s="34">
        <f>IF($K2159=1,INDEX(Mensal!$D$2:$D$245,MATCH($I2159,Mensal!$A$2:$A$245,0)),"")</f>
        <v/>
      </c>
      <c r="N2159" s="34">
        <f>IF($K2159=1,L2159-M2159,"")</f>
        <v/>
      </c>
      <c r="O2159" s="34" t="n">
        <v>0.00043526</v>
      </c>
      <c r="P2159" s="34">
        <f>IF($J2159=1,LN(1+O2159),"")</f>
        <v/>
      </c>
      <c r="Q2159" s="34">
        <f>IF($J2159=1,LN(R2160/R2159),"")</f>
        <v/>
      </c>
      <c r="R2159" s="32" t="n">
        <v>2.6783</v>
      </c>
      <c r="S2159" s="35" t="n">
        <v>12.973</v>
      </c>
      <c r="T2159" s="18" t="n"/>
      <c r="U2159" s="18" t="n"/>
      <c r="V2159" s="18" t="n"/>
      <c r="W2159" s="18" t="n">
        <v>50593.82</v>
      </c>
      <c r="X2159" s="35" t="n">
        <v>12.973</v>
      </c>
      <c r="Y2159" s="35" t="n"/>
    </row>
    <row r="2160">
      <c r="A2160" s="25" t="n">
        <v>42003</v>
      </c>
      <c r="B2160" s="18" t="n">
        <v>50007.41</v>
      </c>
      <c r="C2160" s="31" t="n"/>
      <c r="D2160" s="32" t="n"/>
      <c r="E2160" s="33" t="n">
        <v>-1.1052</v>
      </c>
      <c r="F2160" t="inlineStr">
        <is>
          <t>Down</t>
        </is>
      </c>
      <c r="G2160" t="inlineStr">
        <is>
          <t>Up</t>
        </is>
      </c>
      <c r="H2160" t="inlineStr">
        <is>
          <t>ED_JU</t>
        </is>
      </c>
      <c r="I2160" t="inlineStr">
        <is>
          <t>2014-12</t>
        </is>
      </c>
      <c r="J2160" t="n">
        <v>1</v>
      </c>
      <c r="K2160" t="n">
        <v>1</v>
      </c>
      <c r="L2160" s="34">
        <f>IF($J2160=1,LN(B2161/B2160),"")</f>
        <v/>
      </c>
      <c r="M2160" s="34">
        <f>IF($K2160=1,INDEX(Mensal!$D$2:$D$245,MATCH($I2160,Mensal!$A$2:$A$245,0)),"")</f>
        <v/>
      </c>
      <c r="N2160" s="34">
        <f>IF($K2160=1,L2160-M2160,"")</f>
        <v/>
      </c>
      <c r="O2160" s="34" t="n">
        <v>0.00043455</v>
      </c>
      <c r="P2160" s="34">
        <f>IF($J2160=1,LN(1+O2160),"")</f>
        <v/>
      </c>
      <c r="Q2160" s="34">
        <f>IF($J2160=1,LN(R2161/R2160),"")</f>
        <v/>
      </c>
      <c r="R2160" s="32" t="n">
        <v>2.6562</v>
      </c>
      <c r="S2160" s="35" t="n">
        <v>12.955</v>
      </c>
      <c r="T2160" s="18" t="n"/>
      <c r="U2160" s="18" t="n"/>
      <c r="V2160" s="18" t="n"/>
      <c r="W2160" s="18" t="n">
        <v>50007.41</v>
      </c>
      <c r="X2160" s="35" t="n">
        <v>12.955</v>
      </c>
      <c r="Y2160" s="35" t="n"/>
    </row>
    <row r="2161">
      <c r="A2161" s="25" t="n">
        <v>42006</v>
      </c>
      <c r="B2161" s="18" t="n">
        <v>48512.22</v>
      </c>
      <c r="C2161" s="31" t="n"/>
      <c r="D2161" s="32" t="n"/>
      <c r="E2161" s="33" t="n">
        <v>-1.1151</v>
      </c>
      <c r="F2161" t="inlineStr">
        <is>
          <t>Down</t>
        </is>
      </c>
      <c r="G2161" t="inlineStr">
        <is>
          <t>Up</t>
        </is>
      </c>
      <c r="H2161" t="inlineStr">
        <is>
          <t>ED_JU</t>
        </is>
      </c>
      <c r="I2161" t="inlineStr">
        <is>
          <t>2015-01</t>
        </is>
      </c>
      <c r="J2161" t="n">
        <v>1</v>
      </c>
      <c r="K2161" t="n">
        <v>1</v>
      </c>
      <c r="L2161" s="34">
        <f>IF($J2161=1,LN(B2162/B2161),"")</f>
        <v/>
      </c>
      <c r="M2161" s="34">
        <f>IF($K2161=1,INDEX(Mensal!$D$2:$D$245,MATCH($I2161,Mensal!$A$2:$A$245,0)),"")</f>
        <v/>
      </c>
      <c r="N2161" s="34">
        <f>IF($K2161=1,L2161-M2161,"")</f>
        <v/>
      </c>
      <c r="O2161" s="34" t="n">
        <v>0.00043455</v>
      </c>
      <c r="P2161" s="34">
        <f>IF($J2161=1,LN(1+O2161),"")</f>
        <v/>
      </c>
      <c r="Q2161" s="34">
        <f>IF($J2161=1,LN(R2162/R2161),"")</f>
        <v/>
      </c>
      <c r="R2161" s="32" t="n">
        <v>2.6929</v>
      </c>
      <c r="S2161" s="35" t="n">
        <v>12.905</v>
      </c>
      <c r="T2161" s="18" t="n"/>
      <c r="U2161" s="18" t="n"/>
      <c r="V2161" s="18" t="n"/>
      <c r="W2161" s="18" t="n">
        <v>48512.22</v>
      </c>
      <c r="X2161" s="35" t="n">
        <v>12.905</v>
      </c>
      <c r="Y2161" s="35" t="n"/>
    </row>
    <row r="2162">
      <c r="A2162" s="25" t="n">
        <v>42009</v>
      </c>
      <c r="B2162" s="18" t="n">
        <v>47516.82</v>
      </c>
      <c r="C2162" s="31" t="n"/>
      <c r="D2162" s="32" t="n"/>
      <c r="E2162" s="33" t="n">
        <v>-1.0995</v>
      </c>
      <c r="F2162" t="inlineStr">
        <is>
          <t>Down</t>
        </is>
      </c>
      <c r="G2162" t="inlineStr">
        <is>
          <t>Up</t>
        </is>
      </c>
      <c r="H2162" t="inlineStr">
        <is>
          <t>ED_JU</t>
        </is>
      </c>
      <c r="I2162" t="inlineStr">
        <is>
          <t>2015-01</t>
        </is>
      </c>
      <c r="J2162" t="n">
        <v>1</v>
      </c>
      <c r="K2162" t="n">
        <v>1</v>
      </c>
      <c r="L2162" s="34">
        <f>IF($J2162=1,LN(B2163/B2162),"")</f>
        <v/>
      </c>
      <c r="M2162" s="34">
        <f>IF($K2162=1,INDEX(Mensal!$D$2:$D$245,MATCH($I2162,Mensal!$A$2:$A$245,0)),"")</f>
        <v/>
      </c>
      <c r="N2162" s="34">
        <f>IF($K2162=1,L2162-M2162,"")</f>
        <v/>
      </c>
      <c r="O2162" s="34" t="n">
        <v>0.00043455</v>
      </c>
      <c r="P2162" s="34">
        <f>IF($J2162=1,LN(1+O2162),"")</f>
        <v/>
      </c>
      <c r="Q2162" s="34">
        <f>IF($J2162=1,LN(R2163/R2162),"")</f>
        <v/>
      </c>
      <c r="R2162" s="32" t="n">
        <v>2.7107</v>
      </c>
      <c r="S2162" s="35" t="n">
        <v>12.859</v>
      </c>
      <c r="T2162" s="18" t="n"/>
      <c r="U2162" s="18" t="n"/>
      <c r="V2162" s="18" t="n"/>
      <c r="W2162" s="18" t="n">
        <v>47516.82</v>
      </c>
      <c r="X2162" s="35" t="n">
        <v>12.859</v>
      </c>
      <c r="Y2162" s="35" t="n"/>
    </row>
    <row r="2163">
      <c r="A2163" s="25" t="n">
        <v>42010</v>
      </c>
      <c r="B2163" s="18" t="n">
        <v>48000.92</v>
      </c>
      <c r="C2163" s="31" t="n"/>
      <c r="D2163" s="32" t="n"/>
      <c r="E2163" s="33" t="n">
        <v>-1.0858</v>
      </c>
      <c r="F2163" t="inlineStr">
        <is>
          <t>Down</t>
        </is>
      </c>
      <c r="G2163" t="inlineStr">
        <is>
          <t>Up</t>
        </is>
      </c>
      <c r="H2163" t="inlineStr">
        <is>
          <t>ED_JU</t>
        </is>
      </c>
      <c r="I2163" t="inlineStr">
        <is>
          <t>2015-01</t>
        </is>
      </c>
      <c r="J2163" t="n">
        <v>1</v>
      </c>
      <c r="K2163" t="n">
        <v>1</v>
      </c>
      <c r="L2163" s="34">
        <f>IF($J2163=1,LN(B2164/B2163),"")</f>
        <v/>
      </c>
      <c r="M2163" s="34">
        <f>IF($K2163=1,INDEX(Mensal!$D$2:$D$245,MATCH($I2163,Mensal!$A$2:$A$245,0)),"")</f>
        <v/>
      </c>
      <c r="N2163" s="34">
        <f>IF($K2163=1,L2163-M2163,"")</f>
        <v/>
      </c>
      <c r="O2163" s="34" t="n">
        <v>0.00043455</v>
      </c>
      <c r="P2163" s="34">
        <f>IF($J2163=1,LN(1+O2163),"")</f>
        <v/>
      </c>
      <c r="Q2163" s="34">
        <f>IF($J2163=1,LN(R2164/R2163),"")</f>
        <v/>
      </c>
      <c r="R2163" s="32" t="n">
        <v>2.7023</v>
      </c>
      <c r="S2163" s="35" t="n">
        <v>12.78</v>
      </c>
      <c r="T2163" s="18" t="n"/>
      <c r="U2163" s="18" t="n"/>
      <c r="V2163" s="18" t="n"/>
      <c r="W2163" s="18" t="n">
        <v>48000.92</v>
      </c>
      <c r="X2163" s="35" t="n">
        <v>12.78</v>
      </c>
      <c r="Y2163" s="35" t="n"/>
    </row>
    <row r="2164">
      <c r="A2164" s="25" t="n">
        <v>42011</v>
      </c>
      <c r="B2164" s="18" t="n">
        <v>49462.91</v>
      </c>
      <c r="C2164" s="31" t="n"/>
      <c r="D2164" s="32" t="n"/>
      <c r="E2164" s="33" t="n">
        <v>-1.0741</v>
      </c>
      <c r="F2164" t="inlineStr">
        <is>
          <t>Down</t>
        </is>
      </c>
      <c r="G2164" t="inlineStr">
        <is>
          <t>Up</t>
        </is>
      </c>
      <c r="H2164" t="inlineStr">
        <is>
          <t>ED_JU</t>
        </is>
      </c>
      <c r="I2164" t="inlineStr">
        <is>
          <t>2015-01</t>
        </is>
      </c>
      <c r="J2164" t="n">
        <v>1</v>
      </c>
      <c r="K2164" t="n">
        <v>1</v>
      </c>
      <c r="L2164" s="34">
        <f>IF($J2164=1,LN(B2165/B2164),"")</f>
        <v/>
      </c>
      <c r="M2164" s="34">
        <f>IF($K2164=1,INDEX(Mensal!$D$2:$D$245,MATCH($I2164,Mensal!$A$2:$A$245,0)),"")</f>
        <v/>
      </c>
      <c r="N2164" s="34">
        <f>IF($K2164=1,L2164-M2164,"")</f>
        <v/>
      </c>
      <c r="O2164" s="34" t="n">
        <v>0.00043455</v>
      </c>
      <c r="P2164" s="34">
        <f>IF($J2164=1,LN(1+O2164),"")</f>
        <v/>
      </c>
      <c r="Q2164" s="34">
        <f>IF($J2164=1,LN(R2165/R2164),"")</f>
        <v/>
      </c>
      <c r="R2164" s="32" t="n">
        <v>2.6807</v>
      </c>
      <c r="S2164" s="35" t="n">
        <v>12.74</v>
      </c>
      <c r="T2164" s="18" t="n"/>
      <c r="U2164" s="18" t="n"/>
      <c r="V2164" s="18" t="n"/>
      <c r="W2164" s="18" t="n">
        <v>49462.91</v>
      </c>
      <c r="X2164" s="35" t="n">
        <v>12.74</v>
      </c>
      <c r="Y2164" s="35" t="n"/>
    </row>
    <row r="2165">
      <c r="A2165" s="25" t="n">
        <v>42012</v>
      </c>
      <c r="B2165" s="18" t="n">
        <v>49943.3</v>
      </c>
      <c r="C2165" s="31" t="n"/>
      <c r="D2165" s="32" t="n"/>
      <c r="E2165" s="33" t="n">
        <v>-1.0616</v>
      </c>
      <c r="F2165" t="inlineStr">
        <is>
          <t>Down</t>
        </is>
      </c>
      <c r="G2165" t="inlineStr">
        <is>
          <t>Up</t>
        </is>
      </c>
      <c r="H2165" t="inlineStr">
        <is>
          <t>ED_JU</t>
        </is>
      </c>
      <c r="I2165" t="inlineStr">
        <is>
          <t>2015-01</t>
        </is>
      </c>
      <c r="J2165" t="n">
        <v>1</v>
      </c>
      <c r="K2165" t="n">
        <v>1</v>
      </c>
      <c r="L2165" s="34">
        <f>IF($J2165=1,LN(B2166/B2165),"")</f>
        <v/>
      </c>
      <c r="M2165" s="34">
        <f>IF($K2165=1,INDEX(Mensal!$D$2:$D$245,MATCH($I2165,Mensal!$A$2:$A$245,0)),"")</f>
        <v/>
      </c>
      <c r="N2165" s="34">
        <f>IF($K2165=1,L2165-M2165,"")</f>
        <v/>
      </c>
      <c r="O2165" s="34" t="n">
        <v>0.00043455</v>
      </c>
      <c r="P2165" s="34">
        <f>IF($J2165=1,LN(1+O2165),"")</f>
        <v/>
      </c>
      <c r="Q2165" s="34">
        <f>IF($J2165=1,LN(R2166/R2165),"")</f>
        <v/>
      </c>
      <c r="R2165" s="32" t="n">
        <v>2.6919</v>
      </c>
      <c r="S2165" s="35" t="n">
        <v>12.72</v>
      </c>
      <c r="T2165" s="18" t="n"/>
      <c r="U2165" s="18" t="n"/>
      <c r="V2165" s="18" t="n"/>
      <c r="W2165" s="18" t="n">
        <v>49943.3</v>
      </c>
      <c r="X2165" s="35" t="n">
        <v>12.72</v>
      </c>
      <c r="Y2165" s="35" t="n"/>
    </row>
    <row r="2166">
      <c r="A2166" s="25" t="n">
        <v>42013</v>
      </c>
      <c r="B2166" s="18" t="n">
        <v>48840.25</v>
      </c>
      <c r="C2166" s="31" t="n"/>
      <c r="D2166" s="32" t="n"/>
      <c r="E2166" s="33" t="n">
        <v>-1.0578</v>
      </c>
      <c r="F2166" t="inlineStr">
        <is>
          <t>Down</t>
        </is>
      </c>
      <c r="G2166" t="inlineStr">
        <is>
          <t>Up</t>
        </is>
      </c>
      <c r="H2166" t="inlineStr">
        <is>
          <t>ED_JU</t>
        </is>
      </c>
      <c r="I2166" t="inlineStr">
        <is>
          <t>2015-01</t>
        </is>
      </c>
      <c r="J2166" t="n">
        <v>1</v>
      </c>
      <c r="K2166" t="n">
        <v>1</v>
      </c>
      <c r="L2166" s="34">
        <f>IF($J2166=1,LN(B2167/B2166),"")</f>
        <v/>
      </c>
      <c r="M2166" s="34">
        <f>IF($K2166=1,INDEX(Mensal!$D$2:$D$245,MATCH($I2166,Mensal!$A$2:$A$245,0)),"")</f>
        <v/>
      </c>
      <c r="N2166" s="34">
        <f>IF($K2166=1,L2166-M2166,"")</f>
        <v/>
      </c>
      <c r="O2166" s="34" t="n">
        <v>0.00043455</v>
      </c>
      <c r="P2166" s="34">
        <f>IF($J2166=1,LN(1+O2166),"")</f>
        <v/>
      </c>
      <c r="Q2166" s="34">
        <f>IF($J2166=1,LN(R2167/R2166),"")</f>
        <v/>
      </c>
      <c r="R2166" s="32" t="n">
        <v>2.6583</v>
      </c>
      <c r="S2166" s="35" t="n">
        <v>12.69</v>
      </c>
      <c r="T2166" s="18" t="n"/>
      <c r="U2166" s="18" t="n"/>
      <c r="V2166" s="18" t="n"/>
      <c r="W2166" s="18" t="n">
        <v>48840.25</v>
      </c>
      <c r="X2166" s="35" t="n">
        <v>12.69</v>
      </c>
      <c r="Y2166" s="35" t="n"/>
    </row>
    <row r="2167">
      <c r="A2167" s="25" t="n">
        <v>42016</v>
      </c>
      <c r="B2167" s="18" t="n">
        <v>48139.74</v>
      </c>
      <c r="C2167" s="31" t="n"/>
      <c r="D2167" s="32" t="n"/>
      <c r="E2167" s="33" t="n">
        <v>-1.0604</v>
      </c>
      <c r="F2167" t="inlineStr">
        <is>
          <t>Down</t>
        </is>
      </c>
      <c r="G2167" t="inlineStr">
        <is>
          <t>Up</t>
        </is>
      </c>
      <c r="H2167" t="inlineStr">
        <is>
          <t>ED_JU</t>
        </is>
      </c>
      <c r="I2167" t="inlineStr">
        <is>
          <t>2015-01</t>
        </is>
      </c>
      <c r="J2167" t="n">
        <v>1</v>
      </c>
      <c r="K2167" t="n">
        <v>1</v>
      </c>
      <c r="L2167" s="34">
        <f>IF($J2167=1,LN(B2168/B2167),"")</f>
        <v/>
      </c>
      <c r="M2167" s="34">
        <f>IF($K2167=1,INDEX(Mensal!$D$2:$D$245,MATCH($I2167,Mensal!$A$2:$A$245,0)),"")</f>
        <v/>
      </c>
      <c r="N2167" s="34">
        <f>IF($K2167=1,L2167-M2167,"")</f>
        <v/>
      </c>
      <c r="O2167" s="34" t="n">
        <v>0.00043455</v>
      </c>
      <c r="P2167" s="34">
        <f>IF($J2167=1,LN(1+O2167),"")</f>
        <v/>
      </c>
      <c r="Q2167" s="34">
        <f>IF($J2167=1,LN(R2168/R2167),"")</f>
        <v/>
      </c>
      <c r="R2167" s="32" t="n">
        <v>2.6575</v>
      </c>
      <c r="S2167" s="35" t="n">
        <v>12.75</v>
      </c>
      <c r="T2167" s="18" t="n"/>
      <c r="U2167" s="18" t="n"/>
      <c r="V2167" s="18" t="n"/>
      <c r="W2167" s="18" t="n">
        <v>48139.74</v>
      </c>
      <c r="X2167" s="35" t="n">
        <v>12.75</v>
      </c>
      <c r="Y2167" s="35" t="n"/>
    </row>
    <row r="2168">
      <c r="A2168" s="25" t="n">
        <v>42017</v>
      </c>
      <c r="B2168" s="18" t="n">
        <v>48041.67</v>
      </c>
      <c r="C2168" s="31" t="n"/>
      <c r="D2168" s="32" t="n"/>
      <c r="E2168" s="33" t="n">
        <v>-1.056</v>
      </c>
      <c r="F2168" t="inlineStr">
        <is>
          <t>Down</t>
        </is>
      </c>
      <c r="G2168" t="inlineStr">
        <is>
          <t>Up</t>
        </is>
      </c>
      <c r="H2168" t="inlineStr">
        <is>
          <t>ED_JU</t>
        </is>
      </c>
      <c r="I2168" t="inlineStr">
        <is>
          <t>2015-01</t>
        </is>
      </c>
      <c r="J2168" t="n">
        <v>1</v>
      </c>
      <c r="K2168" t="n">
        <v>1</v>
      </c>
      <c r="L2168" s="34">
        <f>IF($J2168=1,LN(B2169/B2168),"")</f>
        <v/>
      </c>
      <c r="M2168" s="34">
        <f>IF($K2168=1,INDEX(Mensal!$D$2:$D$245,MATCH($I2168,Mensal!$A$2:$A$245,0)),"")</f>
        <v/>
      </c>
      <c r="N2168" s="34">
        <f>IF($K2168=1,L2168-M2168,"")</f>
        <v/>
      </c>
      <c r="O2168" s="34" t="n">
        <v>0.00043455</v>
      </c>
      <c r="P2168" s="34">
        <f>IF($J2168=1,LN(1+O2168),"")</f>
        <v/>
      </c>
      <c r="Q2168" s="34">
        <f>IF($J2168=1,LN(R2169/R2168),"")</f>
        <v/>
      </c>
      <c r="R2168" s="32" t="n">
        <v>2.6485</v>
      </c>
      <c r="S2168" s="35" t="n">
        <v>12.669</v>
      </c>
      <c r="T2168" s="18" t="n"/>
      <c r="U2168" s="18" t="n"/>
      <c r="V2168" s="18" t="n"/>
      <c r="W2168" s="18" t="n">
        <v>48041.67</v>
      </c>
      <c r="X2168" s="35" t="n">
        <v>12.669</v>
      </c>
      <c r="Y2168" s="35" t="n"/>
    </row>
    <row r="2169">
      <c r="A2169" s="25" t="n">
        <v>42018</v>
      </c>
      <c r="B2169" s="18" t="n">
        <v>47645.87</v>
      </c>
      <c r="C2169" s="31" t="n"/>
      <c r="D2169" s="32" t="n"/>
      <c r="E2169" s="33" t="n">
        <v>-1.0511</v>
      </c>
      <c r="F2169" t="inlineStr">
        <is>
          <t>Down</t>
        </is>
      </c>
      <c r="G2169" t="inlineStr">
        <is>
          <t>Up</t>
        </is>
      </c>
      <c r="H2169" t="inlineStr">
        <is>
          <t>ED_JU</t>
        </is>
      </c>
      <c r="I2169" t="inlineStr">
        <is>
          <t>2015-01</t>
        </is>
      </c>
      <c r="J2169" t="n">
        <v>1</v>
      </c>
      <c r="K2169" t="n">
        <v>1</v>
      </c>
      <c r="L2169" s="34">
        <f>IF($J2169=1,LN(B2170/B2169),"")</f>
        <v/>
      </c>
      <c r="M2169" s="34">
        <f>IF($K2169=1,INDEX(Mensal!$D$2:$D$245,MATCH($I2169,Mensal!$A$2:$A$245,0)),"")</f>
        <v/>
      </c>
      <c r="N2169" s="34">
        <f>IF($K2169=1,L2169-M2169,"")</f>
        <v/>
      </c>
      <c r="O2169" s="34" t="n">
        <v>0.00043455</v>
      </c>
      <c r="P2169" s="34">
        <f>IF($J2169=1,LN(1+O2169),"")</f>
        <v/>
      </c>
      <c r="Q2169" s="34">
        <f>IF($J2169=1,LN(R2170/R2169),"")</f>
        <v/>
      </c>
      <c r="R2169" s="32" t="n">
        <v>2.6222</v>
      </c>
      <c r="S2169" s="35" t="n">
        <v>12.659</v>
      </c>
      <c r="T2169" s="18" t="n"/>
      <c r="U2169" s="18" t="n"/>
      <c r="V2169" s="18" t="n"/>
      <c r="W2169" s="18" t="n">
        <v>47645.87</v>
      </c>
      <c r="X2169" s="35" t="n">
        <v>12.659</v>
      </c>
      <c r="Y2169" s="35" t="n"/>
    </row>
    <row r="2170">
      <c r="A2170" s="25" t="n">
        <v>42019</v>
      </c>
      <c r="B2170" s="18" t="n">
        <v>48026.31</v>
      </c>
      <c r="C2170" s="31" t="n"/>
      <c r="D2170" s="32" t="n"/>
      <c r="E2170" s="33" t="n">
        <v>-1.0657</v>
      </c>
      <c r="F2170" t="inlineStr">
        <is>
          <t>Down</t>
        </is>
      </c>
      <c r="G2170" t="inlineStr">
        <is>
          <t>Up</t>
        </is>
      </c>
      <c r="H2170" t="inlineStr">
        <is>
          <t>ED_JU</t>
        </is>
      </c>
      <c r="I2170" t="inlineStr">
        <is>
          <t>2015-01</t>
        </is>
      </c>
      <c r="J2170" t="n">
        <v>1</v>
      </c>
      <c r="K2170" t="n">
        <v>1</v>
      </c>
      <c r="L2170" s="34">
        <f>IF($J2170=1,LN(B2171/B2170),"")</f>
        <v/>
      </c>
      <c r="M2170" s="34">
        <f>IF($K2170=1,INDEX(Mensal!$D$2:$D$245,MATCH($I2170,Mensal!$A$2:$A$245,0)),"")</f>
        <v/>
      </c>
      <c r="N2170" s="34">
        <f>IF($K2170=1,L2170-M2170,"")</f>
        <v/>
      </c>
      <c r="O2170" s="34" t="n">
        <v>0.00043455</v>
      </c>
      <c r="P2170" s="34">
        <f>IF($J2170=1,LN(1+O2170),"")</f>
        <v/>
      </c>
      <c r="Q2170" s="34">
        <f>IF($J2170=1,LN(R2171/R2170),"")</f>
        <v/>
      </c>
      <c r="R2170" s="32" t="n">
        <v>2.6122</v>
      </c>
      <c r="S2170" s="35" t="n">
        <v>12.62</v>
      </c>
      <c r="T2170" s="18" t="n"/>
      <c r="U2170" s="18" t="n"/>
      <c r="V2170" s="18" t="n"/>
      <c r="W2170" s="18" t="n">
        <v>48026.31</v>
      </c>
      <c r="X2170" s="35" t="n">
        <v>12.62</v>
      </c>
      <c r="Y2170" s="35" t="n"/>
    </row>
    <row r="2171">
      <c r="A2171" s="25" t="n">
        <v>42020</v>
      </c>
      <c r="B2171" s="18" t="n">
        <v>49016.52</v>
      </c>
      <c r="C2171" s="31" t="n"/>
      <c r="D2171" s="32" t="n"/>
      <c r="E2171" s="33" t="n">
        <v>-1.0814</v>
      </c>
      <c r="F2171" t="inlineStr">
        <is>
          <t>Down</t>
        </is>
      </c>
      <c r="G2171" t="inlineStr">
        <is>
          <t>Up</t>
        </is>
      </c>
      <c r="H2171" t="inlineStr">
        <is>
          <t>ED_JU</t>
        </is>
      </c>
      <c r="I2171" t="inlineStr">
        <is>
          <t>2015-01</t>
        </is>
      </c>
      <c r="J2171" t="n">
        <v>1</v>
      </c>
      <c r="K2171" t="n">
        <v>1</v>
      </c>
      <c r="L2171" s="34">
        <f>IF($J2171=1,LN(B2172/B2171),"")</f>
        <v/>
      </c>
      <c r="M2171" s="34">
        <f>IF($K2171=1,INDEX(Mensal!$D$2:$D$245,MATCH($I2171,Mensal!$A$2:$A$245,0)),"")</f>
        <v/>
      </c>
      <c r="N2171" s="34">
        <f>IF($K2171=1,L2171-M2171,"")</f>
        <v/>
      </c>
      <c r="O2171" s="34" t="n">
        <v>0.00043455</v>
      </c>
      <c r="P2171" s="34">
        <f>IF($J2171=1,LN(1+O2171),"")</f>
        <v/>
      </c>
      <c r="Q2171" s="34">
        <f>IF($J2171=1,LN(R2172/R2171),"")</f>
        <v/>
      </c>
      <c r="R2171" s="32" t="n">
        <v>2.6193</v>
      </c>
      <c r="S2171" s="35" t="n">
        <v>12.557</v>
      </c>
      <c r="T2171" s="18" t="n"/>
      <c r="U2171" s="18" t="n"/>
      <c r="V2171" s="18" t="n"/>
      <c r="W2171" s="18" t="n">
        <v>49016.52</v>
      </c>
      <c r="X2171" s="35" t="n">
        <v>12.557</v>
      </c>
      <c r="Y2171" s="35" t="n"/>
    </row>
    <row r="2172">
      <c r="A2172" s="25" t="n">
        <v>42023</v>
      </c>
      <c r="B2172" s="18" t="n">
        <v>47758.01</v>
      </c>
      <c r="C2172" s="31" t="n"/>
      <c r="D2172" s="32" t="n"/>
      <c r="E2172" s="33" t="n">
        <v>-1.1118</v>
      </c>
      <c r="F2172" t="inlineStr">
        <is>
          <t>Down</t>
        </is>
      </c>
      <c r="G2172" t="inlineStr">
        <is>
          <t>Up</t>
        </is>
      </c>
      <c r="H2172" t="inlineStr">
        <is>
          <t>ED_JU</t>
        </is>
      </c>
      <c r="I2172" t="inlineStr">
        <is>
          <t>2015-01</t>
        </is>
      </c>
      <c r="J2172" t="n">
        <v>1</v>
      </c>
      <c r="K2172" t="n">
        <v>1</v>
      </c>
      <c r="L2172" s="34">
        <f>IF($J2172=1,LN(B2173/B2172),"")</f>
        <v/>
      </c>
      <c r="M2172" s="34">
        <f>IF($K2172=1,INDEX(Mensal!$D$2:$D$245,MATCH($I2172,Mensal!$A$2:$A$245,0)),"")</f>
        <v/>
      </c>
      <c r="N2172" s="34">
        <f>IF($K2172=1,L2172-M2172,"")</f>
        <v/>
      </c>
      <c r="O2172" s="34" t="n">
        <v>0.00043455</v>
      </c>
      <c r="P2172" s="34">
        <f>IF($J2172=1,LN(1+O2172),"")</f>
        <v/>
      </c>
      <c r="Q2172" s="34">
        <f>IF($J2172=1,LN(R2173/R2172),"")</f>
        <v/>
      </c>
      <c r="R2172" s="32" t="n">
        <v>2.6243</v>
      </c>
      <c r="S2172" s="35" t="n">
        <v>12.665</v>
      </c>
      <c r="T2172" s="18" t="n"/>
      <c r="U2172" s="18" t="n"/>
      <c r="V2172" s="18" t="n"/>
      <c r="W2172" s="18" t="n">
        <v>47758.01</v>
      </c>
      <c r="X2172" s="35" t="n">
        <v>12.665</v>
      </c>
      <c r="Y2172" s="35" t="n"/>
    </row>
    <row r="2173">
      <c r="A2173" s="25" t="n">
        <v>42024</v>
      </c>
      <c r="B2173" s="18" t="n">
        <v>47876.66</v>
      </c>
      <c r="C2173" s="31" t="n"/>
      <c r="D2173" s="32" t="n"/>
      <c r="E2173" s="33" t="n">
        <v>-1.144</v>
      </c>
      <c r="F2173" t="inlineStr">
        <is>
          <t>Down</t>
        </is>
      </c>
      <c r="G2173" t="inlineStr">
        <is>
          <t>Up</t>
        </is>
      </c>
      <c r="H2173" t="inlineStr">
        <is>
          <t>ED_JU</t>
        </is>
      </c>
      <c r="I2173" t="inlineStr">
        <is>
          <t>2015-01</t>
        </is>
      </c>
      <c r="J2173" t="n">
        <v>1</v>
      </c>
      <c r="K2173" t="n">
        <v>1</v>
      </c>
      <c r="L2173" s="34">
        <f>IF($J2173=1,LN(B2174/B2173),"")</f>
        <v/>
      </c>
      <c r="M2173" s="34">
        <f>IF($K2173=1,INDEX(Mensal!$D$2:$D$245,MATCH($I2173,Mensal!$A$2:$A$245,0)),"")</f>
        <v/>
      </c>
      <c r="N2173" s="34">
        <f>IF($K2173=1,L2173-M2173,"")</f>
        <v/>
      </c>
      <c r="O2173" s="34" t="n">
        <v>0.00043455</v>
      </c>
      <c r="P2173" s="34">
        <f>IF($J2173=1,LN(1+O2173),"")</f>
        <v/>
      </c>
      <c r="Q2173" s="34">
        <f>IF($J2173=1,LN(R2174/R2173),"")</f>
        <v/>
      </c>
      <c r="R2173" s="32" t="n">
        <v>2.6247</v>
      </c>
      <c r="S2173" s="35" t="n">
        <v>12.623</v>
      </c>
      <c r="T2173" s="18" t="n"/>
      <c r="U2173" s="18" t="n"/>
      <c r="V2173" s="18" t="n"/>
      <c r="W2173" s="18" t="n">
        <v>47876.66</v>
      </c>
      <c r="X2173" s="35" t="n">
        <v>12.623</v>
      </c>
      <c r="Y2173" s="35" t="n"/>
    </row>
    <row r="2174">
      <c r="A2174" s="25" t="n">
        <v>42025</v>
      </c>
      <c r="B2174" s="18" t="n">
        <v>49224.08</v>
      </c>
      <c r="C2174" s="31" t="n"/>
      <c r="D2174" s="32" t="n"/>
      <c r="E2174" s="33" t="n">
        <v>-1.1679</v>
      </c>
      <c r="F2174" t="inlineStr">
        <is>
          <t>Down</t>
        </is>
      </c>
      <c r="G2174" t="inlineStr">
        <is>
          <t>Up</t>
        </is>
      </c>
      <c r="H2174" t="inlineStr">
        <is>
          <t>ED_JU</t>
        </is>
      </c>
      <c r="I2174" t="inlineStr">
        <is>
          <t>2015-01</t>
        </is>
      </c>
      <c r="J2174" t="n">
        <v>1</v>
      </c>
      <c r="K2174" t="n">
        <v>1</v>
      </c>
      <c r="L2174" s="34">
        <f>IF($J2174=1,LN(B2175/B2174),"")</f>
        <v/>
      </c>
      <c r="M2174" s="34">
        <f>IF($K2174=1,INDEX(Mensal!$D$2:$D$245,MATCH($I2174,Mensal!$A$2:$A$245,0)),"")</f>
        <v/>
      </c>
      <c r="N2174" s="34">
        <f>IF($K2174=1,L2174-M2174,"")</f>
        <v/>
      </c>
      <c r="O2174" s="34" t="n">
        <v>0.00043455</v>
      </c>
      <c r="P2174" s="34">
        <f>IF($J2174=1,LN(1+O2174),"")</f>
        <v/>
      </c>
      <c r="Q2174" s="34">
        <f>IF($J2174=1,LN(R2175/R2174),"")</f>
        <v/>
      </c>
      <c r="R2174" s="32" t="n">
        <v>2.5968</v>
      </c>
      <c r="S2174" s="35" t="n">
        <v>12.614</v>
      </c>
      <c r="T2174" s="18" t="n"/>
      <c r="U2174" s="18" t="n"/>
      <c r="V2174" s="18" t="n"/>
      <c r="W2174" s="18" t="n">
        <v>49224.08</v>
      </c>
      <c r="X2174" s="35" t="n">
        <v>12.614</v>
      </c>
      <c r="Y2174" s="35" t="n"/>
    </row>
    <row r="2175">
      <c r="A2175" s="25" t="n">
        <v>42026</v>
      </c>
      <c r="B2175" s="18" t="n">
        <v>49442.62</v>
      </c>
      <c r="C2175" s="31" t="n"/>
      <c r="D2175" s="32" t="n"/>
      <c r="E2175" s="33" t="n">
        <v>-1.1901</v>
      </c>
      <c r="F2175" t="inlineStr">
        <is>
          <t>Down</t>
        </is>
      </c>
      <c r="G2175" t="inlineStr">
        <is>
          <t>Up</t>
        </is>
      </c>
      <c r="H2175" t="inlineStr">
        <is>
          <t>ED_JU</t>
        </is>
      </c>
      <c r="I2175" t="inlineStr">
        <is>
          <t>2015-01</t>
        </is>
      </c>
      <c r="J2175" t="n">
        <v>1</v>
      </c>
      <c r="K2175" t="n">
        <v>1</v>
      </c>
      <c r="L2175" s="34">
        <f>IF($J2175=1,LN(B2176/B2175),"")</f>
        <v/>
      </c>
      <c r="M2175" s="34">
        <f>IF($K2175=1,INDEX(Mensal!$D$2:$D$245,MATCH($I2175,Mensal!$A$2:$A$245,0)),"")</f>
        <v/>
      </c>
      <c r="N2175" s="34">
        <f>IF($K2175=1,L2175-M2175,"")</f>
        <v/>
      </c>
      <c r="O2175" s="34" t="n">
        <v>0.00045301</v>
      </c>
      <c r="P2175" s="34">
        <f>IF($J2175=1,LN(1+O2175),"")</f>
        <v/>
      </c>
      <c r="Q2175" s="34">
        <f>IF($J2175=1,LN(R2176/R2175),"")</f>
        <v/>
      </c>
      <c r="R2175" s="32" t="n">
        <v>2.5754</v>
      </c>
      <c r="S2175" s="35" t="n">
        <v>12.678</v>
      </c>
      <c r="T2175" s="18" t="n"/>
      <c r="U2175" s="18" t="n"/>
      <c r="V2175" s="18" t="n"/>
      <c r="W2175" s="18" t="n">
        <v>49442.62</v>
      </c>
      <c r="X2175" s="35" t="n">
        <v>12.678</v>
      </c>
      <c r="Y2175" s="35" t="n"/>
    </row>
    <row r="2176">
      <c r="A2176" s="25" t="n">
        <v>42027</v>
      </c>
      <c r="B2176" s="18" t="n">
        <v>48775.3</v>
      </c>
      <c r="C2176" s="31" t="n"/>
      <c r="D2176" s="32" t="n"/>
      <c r="E2176" s="33" t="n">
        <v>-1.211</v>
      </c>
      <c r="F2176" t="inlineStr">
        <is>
          <t>Down</t>
        </is>
      </c>
      <c r="G2176" t="inlineStr">
        <is>
          <t>Up</t>
        </is>
      </c>
      <c r="H2176" t="inlineStr">
        <is>
          <t>ED_JU</t>
        </is>
      </c>
      <c r="I2176" t="inlineStr">
        <is>
          <t>2015-01</t>
        </is>
      </c>
      <c r="J2176" t="n">
        <v>1</v>
      </c>
      <c r="K2176" t="n">
        <v>1</v>
      </c>
      <c r="L2176" s="34">
        <f>IF($J2176=1,LN(B2177/B2176),"")</f>
        <v/>
      </c>
      <c r="M2176" s="34">
        <f>IF($K2176=1,INDEX(Mensal!$D$2:$D$245,MATCH($I2176,Mensal!$A$2:$A$245,0)),"")</f>
        <v/>
      </c>
      <c r="N2176" s="34">
        <f>IF($K2176=1,L2176-M2176,"")</f>
        <v/>
      </c>
      <c r="O2176" s="34" t="n">
        <v>0.00045265</v>
      </c>
      <c r="P2176" s="34">
        <f>IF($J2176=1,LN(1+O2176),"")</f>
        <v/>
      </c>
      <c r="Q2176" s="34">
        <f>IF($J2176=1,LN(R2177/R2176),"")</f>
        <v/>
      </c>
      <c r="R2176" s="32" t="n">
        <v>2.5856</v>
      </c>
      <c r="S2176" s="35" t="n">
        <v>12.676</v>
      </c>
      <c r="T2176" s="18" t="n"/>
      <c r="U2176" s="18" t="n"/>
      <c r="V2176" s="18" t="n"/>
      <c r="W2176" s="18" t="n">
        <v>48775.3</v>
      </c>
      <c r="X2176" s="35" t="n">
        <v>12.676</v>
      </c>
      <c r="Y2176" s="35" t="n"/>
    </row>
    <row r="2177">
      <c r="A2177" s="25" t="n">
        <v>42030</v>
      </c>
      <c r="B2177" s="18" t="n">
        <v>48576.55</v>
      </c>
      <c r="C2177" s="31" t="n"/>
      <c r="D2177" s="32" t="n"/>
      <c r="E2177" s="33" t="n">
        <v>-1.2287</v>
      </c>
      <c r="F2177" t="inlineStr">
        <is>
          <t>Down</t>
        </is>
      </c>
      <c r="G2177" t="inlineStr">
        <is>
          <t>Up</t>
        </is>
      </c>
      <c r="H2177" t="inlineStr">
        <is>
          <t>ED_JU</t>
        </is>
      </c>
      <c r="I2177" t="inlineStr">
        <is>
          <t>2015-01</t>
        </is>
      </c>
      <c r="J2177" t="n">
        <v>1</v>
      </c>
      <c r="K2177" t="n">
        <v>1</v>
      </c>
      <c r="L2177" s="34">
        <f>IF($J2177=1,LN(B2178/B2177),"")</f>
        <v/>
      </c>
      <c r="M2177" s="34">
        <f>IF($K2177=1,INDEX(Mensal!$D$2:$D$245,MATCH($I2177,Mensal!$A$2:$A$245,0)),"")</f>
        <v/>
      </c>
      <c r="N2177" s="34">
        <f>IF($K2177=1,L2177-M2177,"")</f>
        <v/>
      </c>
      <c r="O2177" s="34" t="n">
        <v>0.00045265</v>
      </c>
      <c r="P2177" s="34">
        <f>IF($J2177=1,LN(1+O2177),"")</f>
        <v/>
      </c>
      <c r="Q2177" s="34">
        <f>IF($J2177=1,LN(R2178/R2177),"")</f>
        <v/>
      </c>
      <c r="R2177" s="32" t="n">
        <v>2.5966</v>
      </c>
      <c r="S2177" s="35" t="n">
        <v>12.685</v>
      </c>
      <c r="T2177" s="18" t="n"/>
      <c r="U2177" s="18" t="n"/>
      <c r="V2177" s="18" t="n"/>
      <c r="W2177" s="18" t="n">
        <v>48576.55</v>
      </c>
      <c r="X2177" s="35" t="n">
        <v>12.685</v>
      </c>
      <c r="Y2177" s="35" t="n"/>
    </row>
    <row r="2178">
      <c r="A2178" s="25" t="n">
        <v>42031</v>
      </c>
      <c r="B2178" s="18" t="n">
        <v>48591.23</v>
      </c>
      <c r="C2178" s="31" t="n"/>
      <c r="D2178" s="32" t="n"/>
      <c r="E2178" s="33" t="n">
        <v>-1.2469</v>
      </c>
      <c r="F2178" t="inlineStr">
        <is>
          <t>Down</t>
        </is>
      </c>
      <c r="G2178" t="inlineStr">
        <is>
          <t>Up</t>
        </is>
      </c>
      <c r="H2178" t="inlineStr">
        <is>
          <t>ED_JU</t>
        </is>
      </c>
      <c r="I2178" t="inlineStr">
        <is>
          <t>2015-01</t>
        </is>
      </c>
      <c r="J2178" t="n">
        <v>1</v>
      </c>
      <c r="K2178" t="n">
        <v>1</v>
      </c>
      <c r="L2178" s="34">
        <f>IF($J2178=1,LN(B2179/B2178),"")</f>
        <v/>
      </c>
      <c r="M2178" s="34">
        <f>IF($K2178=1,INDEX(Mensal!$D$2:$D$245,MATCH($I2178,Mensal!$A$2:$A$245,0)),"")</f>
        <v/>
      </c>
      <c r="N2178" s="34">
        <f>IF($K2178=1,L2178-M2178,"")</f>
        <v/>
      </c>
      <c r="O2178" s="34" t="n">
        <v>0.00045265</v>
      </c>
      <c r="P2178" s="34">
        <f>IF($J2178=1,LN(1+O2178),"")</f>
        <v/>
      </c>
      <c r="Q2178" s="34">
        <f>IF($J2178=1,LN(R2179/R2178),"")</f>
        <v/>
      </c>
      <c r="R2178" s="32" t="n">
        <v>2.5809</v>
      </c>
      <c r="S2178" s="35" t="n">
        <v>12.679</v>
      </c>
      <c r="T2178" s="18" t="n"/>
      <c r="U2178" s="18" t="n"/>
      <c r="V2178" s="18" t="n"/>
      <c r="W2178" s="18" t="n">
        <v>48591.23</v>
      </c>
      <c r="X2178" s="35" t="n">
        <v>12.679</v>
      </c>
      <c r="Y2178" s="35" t="n"/>
    </row>
    <row r="2179">
      <c r="A2179" s="25" t="n">
        <v>42032</v>
      </c>
      <c r="B2179" s="18" t="n">
        <v>47694.54</v>
      </c>
      <c r="C2179" s="31" t="n"/>
      <c r="D2179" s="32" t="n"/>
      <c r="E2179" s="33" t="n">
        <v>-1.251</v>
      </c>
      <c r="F2179" t="inlineStr">
        <is>
          <t>Down</t>
        </is>
      </c>
      <c r="G2179" t="inlineStr">
        <is>
          <t>Up</t>
        </is>
      </c>
      <c r="H2179" t="inlineStr">
        <is>
          <t>ED_JU</t>
        </is>
      </c>
      <c r="I2179" t="inlineStr">
        <is>
          <t>2015-01</t>
        </is>
      </c>
      <c r="J2179" t="n">
        <v>1</v>
      </c>
      <c r="K2179" t="n">
        <v>1</v>
      </c>
      <c r="L2179" s="34">
        <f>IF($J2179=1,LN(B2180/B2179),"")</f>
        <v/>
      </c>
      <c r="M2179" s="34">
        <f>IF($K2179=1,INDEX(Mensal!$D$2:$D$245,MATCH($I2179,Mensal!$A$2:$A$245,0)),"")</f>
        <v/>
      </c>
      <c r="N2179" s="34">
        <f>IF($K2179=1,L2179-M2179,"")</f>
        <v/>
      </c>
      <c r="O2179" s="34" t="n">
        <v>0.00045265</v>
      </c>
      <c r="P2179" s="34">
        <f>IF($J2179=1,LN(1+O2179),"")</f>
        <v/>
      </c>
      <c r="Q2179" s="34">
        <f>IF($J2179=1,LN(R2180/R2179),"")</f>
        <v/>
      </c>
      <c r="R2179" s="32" t="n">
        <v>2.5797</v>
      </c>
      <c r="S2179" s="35" t="n">
        <v>12.671</v>
      </c>
      <c r="T2179" s="18" t="n"/>
      <c r="U2179" s="18" t="n"/>
      <c r="V2179" s="18" t="n"/>
      <c r="W2179" s="18" t="n">
        <v>47694.54</v>
      </c>
      <c r="X2179" s="35" t="n">
        <v>12.671</v>
      </c>
      <c r="Y2179" s="35" t="n"/>
    </row>
    <row r="2180">
      <c r="A2180" s="25" t="n">
        <v>42033</v>
      </c>
      <c r="B2180" s="18" t="n">
        <v>47762.24</v>
      </c>
      <c r="C2180" s="31" t="n"/>
      <c r="D2180" s="32" t="n"/>
      <c r="E2180" s="33" t="n">
        <v>-1.2594</v>
      </c>
      <c r="F2180" t="inlineStr">
        <is>
          <t>Down</t>
        </is>
      </c>
      <c r="G2180" t="inlineStr">
        <is>
          <t>Up</t>
        </is>
      </c>
      <c r="H2180" t="inlineStr">
        <is>
          <t>ED_JU</t>
        </is>
      </c>
      <c r="I2180" t="inlineStr">
        <is>
          <t>2015-01</t>
        </is>
      </c>
      <c r="J2180" t="n">
        <v>1</v>
      </c>
      <c r="K2180" t="n">
        <v>1</v>
      </c>
      <c r="L2180" s="34">
        <f>IF($J2180=1,LN(B2181/B2180),"")</f>
        <v/>
      </c>
      <c r="M2180" s="34">
        <f>IF($K2180=1,INDEX(Mensal!$D$2:$D$245,MATCH($I2180,Mensal!$A$2:$A$245,0)),"")</f>
        <v/>
      </c>
      <c r="N2180" s="34">
        <f>IF($K2180=1,L2180-M2180,"")</f>
        <v/>
      </c>
      <c r="O2180" s="34" t="n">
        <v>0.00045265</v>
      </c>
      <c r="P2180" s="34">
        <f>IF($J2180=1,LN(1+O2180),"")</f>
        <v/>
      </c>
      <c r="Q2180" s="34">
        <f>IF($J2180=1,LN(R2181/R2180),"")</f>
        <v/>
      </c>
      <c r="R2180" s="32" t="n">
        <v>2.596</v>
      </c>
      <c r="S2180" s="35" t="n">
        <v>12.664</v>
      </c>
      <c r="T2180" s="18" t="n"/>
      <c r="U2180" s="18" t="n"/>
      <c r="V2180" s="18" t="n"/>
      <c r="W2180" s="18" t="n">
        <v>47762.24</v>
      </c>
      <c r="X2180" s="35" t="n">
        <v>12.664</v>
      </c>
      <c r="Y2180" s="35" t="n"/>
    </row>
    <row r="2181">
      <c r="A2181" s="25" t="n">
        <v>42034</v>
      </c>
      <c r="B2181" s="18" t="n">
        <v>46907.68</v>
      </c>
      <c r="C2181" s="31" t="n"/>
      <c r="D2181" s="32" t="n"/>
      <c r="E2181" s="33" t="n">
        <v>-1.2765</v>
      </c>
      <c r="F2181" t="inlineStr">
        <is>
          <t>Down</t>
        </is>
      </c>
      <c r="G2181" t="inlineStr">
        <is>
          <t>Up</t>
        </is>
      </c>
      <c r="H2181" t="inlineStr">
        <is>
          <t>ED_JU</t>
        </is>
      </c>
      <c r="I2181" t="inlineStr">
        <is>
          <t>2015-01</t>
        </is>
      </c>
      <c r="J2181" t="n">
        <v>1</v>
      </c>
      <c r="K2181" t="n">
        <v>1</v>
      </c>
      <c r="L2181" s="34">
        <f>IF($J2181=1,LN(B2182/B2181),"")</f>
        <v/>
      </c>
      <c r="M2181" s="34">
        <f>IF($K2181=1,INDEX(Mensal!$D$2:$D$245,MATCH($I2181,Mensal!$A$2:$A$245,0)),"")</f>
        <v/>
      </c>
      <c r="N2181" s="34">
        <f>IF($K2181=1,L2181-M2181,"")</f>
        <v/>
      </c>
      <c r="O2181" s="34" t="n">
        <v>0.00045265</v>
      </c>
      <c r="P2181" s="34">
        <f>IF($J2181=1,LN(1+O2181),"")</f>
        <v/>
      </c>
      <c r="Q2181" s="34">
        <f>IF($J2181=1,LN(R2182/R2181),"")</f>
        <v/>
      </c>
      <c r="R2181" s="32" t="n">
        <v>2.6623</v>
      </c>
      <c r="S2181" s="35" t="n">
        <v>12.747</v>
      </c>
      <c r="T2181" s="18" t="n"/>
      <c r="U2181" s="18" t="n"/>
      <c r="V2181" s="18" t="n"/>
      <c r="W2181" s="18" t="n">
        <v>46907.68</v>
      </c>
      <c r="X2181" s="35" t="n">
        <v>12.747</v>
      </c>
      <c r="Y2181" s="35" t="n"/>
    </row>
    <row r="2182">
      <c r="A2182" s="25" t="n">
        <v>42037</v>
      </c>
      <c r="B2182" s="18" t="n">
        <v>47650.73</v>
      </c>
      <c r="C2182" s="31" t="n"/>
      <c r="D2182" s="32" t="n"/>
      <c r="E2182" s="33" t="n">
        <v>-1.2801</v>
      </c>
      <c r="F2182" t="inlineStr">
        <is>
          <t>Down</t>
        </is>
      </c>
      <c r="G2182" t="inlineStr">
        <is>
          <t>Up</t>
        </is>
      </c>
      <c r="H2182" t="inlineStr">
        <is>
          <t>ED_JU</t>
        </is>
      </c>
      <c r="I2182" t="inlineStr">
        <is>
          <t>2015-02</t>
        </is>
      </c>
      <c r="J2182" t="n">
        <v>1</v>
      </c>
      <c r="K2182" t="n">
        <v>1</v>
      </c>
      <c r="L2182" s="34">
        <f>IF($J2182=1,LN(B2183/B2182),"")</f>
        <v/>
      </c>
      <c r="M2182" s="34">
        <f>IF($K2182=1,INDEX(Mensal!$D$2:$D$245,MATCH($I2182,Mensal!$A$2:$A$245,0)),"")</f>
        <v/>
      </c>
      <c r="N2182" s="34">
        <f>IF($K2182=1,L2182-M2182,"")</f>
        <v/>
      </c>
      <c r="O2182" s="34" t="n">
        <v>0.00045265</v>
      </c>
      <c r="P2182" s="34">
        <f>IF($J2182=1,LN(1+O2182),"")</f>
        <v/>
      </c>
      <c r="Q2182" s="34">
        <f>IF($J2182=1,LN(R2183/R2182),"")</f>
        <v/>
      </c>
      <c r="R2182" s="32" t="n">
        <v>2.6894</v>
      </c>
      <c r="S2182" s="35" t="n">
        <v>12.854</v>
      </c>
      <c r="T2182" s="18" t="n"/>
      <c r="U2182" s="18" t="n"/>
      <c r="V2182" s="18" t="n"/>
      <c r="W2182" s="18" t="n">
        <v>47650.73</v>
      </c>
      <c r="X2182" s="35" t="n">
        <v>12.854</v>
      </c>
      <c r="Y2182" s="35" t="n"/>
    </row>
    <row r="2183">
      <c r="A2183" s="25" t="n">
        <v>42038</v>
      </c>
      <c r="B2183" s="18" t="n">
        <v>48963.66</v>
      </c>
      <c r="C2183" s="31" t="n"/>
      <c r="D2183" s="32" t="n"/>
      <c r="E2183" s="33" t="n">
        <v>-1.2943</v>
      </c>
      <c r="F2183" t="inlineStr">
        <is>
          <t>Down</t>
        </is>
      </c>
      <c r="G2183" t="inlineStr">
        <is>
          <t>Up</t>
        </is>
      </c>
      <c r="H2183" t="inlineStr">
        <is>
          <t>ED_JU</t>
        </is>
      </c>
      <c r="I2183" t="inlineStr">
        <is>
          <t>2015-02</t>
        </is>
      </c>
      <c r="J2183" t="n">
        <v>1</v>
      </c>
      <c r="K2183" t="n">
        <v>1</v>
      </c>
      <c r="L2183" s="34">
        <f>IF($J2183=1,LN(B2184/B2183),"")</f>
        <v/>
      </c>
      <c r="M2183" s="34">
        <f>IF($K2183=1,INDEX(Mensal!$D$2:$D$245,MATCH($I2183,Mensal!$A$2:$A$245,0)),"")</f>
        <v/>
      </c>
      <c r="N2183" s="34">
        <f>IF($K2183=1,L2183-M2183,"")</f>
        <v/>
      </c>
      <c r="O2183" s="34" t="n">
        <v>0.00045301</v>
      </c>
      <c r="P2183" s="34">
        <f>IF($J2183=1,LN(1+O2183),"")</f>
        <v/>
      </c>
      <c r="Q2183" s="34">
        <f>IF($J2183=1,LN(R2184/R2183),"")</f>
        <v/>
      </c>
      <c r="R2183" s="32" t="n">
        <v>2.7059</v>
      </c>
      <c r="S2183" s="35" t="n">
        <v>12.764</v>
      </c>
      <c r="T2183" s="18" t="n"/>
      <c r="U2183" s="18" t="n"/>
      <c r="V2183" s="18" t="n"/>
      <c r="W2183" s="18" t="n">
        <v>48963.66</v>
      </c>
      <c r="X2183" s="35" t="n">
        <v>12.764</v>
      </c>
      <c r="Y2183" s="35" t="n"/>
    </row>
    <row r="2184">
      <c r="A2184" s="25" t="n">
        <v>42039</v>
      </c>
      <c r="B2184" s="18" t="n">
        <v>49301.05</v>
      </c>
      <c r="C2184" s="31" t="n"/>
      <c r="D2184" s="32" t="n"/>
      <c r="E2184" s="33" t="n">
        <v>-1.3122</v>
      </c>
      <c r="F2184" t="inlineStr">
        <is>
          <t>Down</t>
        </is>
      </c>
      <c r="G2184" t="inlineStr">
        <is>
          <t>Up</t>
        </is>
      </c>
      <c r="H2184" t="inlineStr">
        <is>
          <t>ED_JU</t>
        </is>
      </c>
      <c r="I2184" t="inlineStr">
        <is>
          <t>2015-02</t>
        </is>
      </c>
      <c r="J2184" t="n">
        <v>1</v>
      </c>
      <c r="K2184" t="n">
        <v>1</v>
      </c>
      <c r="L2184" s="34">
        <f>IF($J2184=1,LN(B2185/B2184),"")</f>
        <v/>
      </c>
      <c r="M2184" s="34">
        <f>IF($K2184=1,INDEX(Mensal!$D$2:$D$245,MATCH($I2184,Mensal!$A$2:$A$245,0)),"")</f>
        <v/>
      </c>
      <c r="N2184" s="34">
        <f>IF($K2184=1,L2184-M2184,"")</f>
        <v/>
      </c>
      <c r="O2184" s="34" t="n">
        <v>0.00045301</v>
      </c>
      <c r="P2184" s="34">
        <f>IF($J2184=1,LN(1+O2184),"")</f>
        <v/>
      </c>
      <c r="Q2184" s="34">
        <f>IF($J2184=1,LN(R2185/R2184),"")</f>
        <v/>
      </c>
      <c r="R2184" s="32" t="n">
        <v>2.7148</v>
      </c>
      <c r="S2184" s="35" t="n">
        <v>12.92</v>
      </c>
      <c r="T2184" s="18" t="n"/>
      <c r="U2184" s="18" t="n"/>
      <c r="V2184" s="18" t="n"/>
      <c r="W2184" s="18" t="n">
        <v>49301.05</v>
      </c>
      <c r="X2184" s="35" t="n">
        <v>12.92</v>
      </c>
      <c r="Y2184" s="35" t="n"/>
    </row>
    <row r="2185">
      <c r="A2185" s="25" t="n">
        <v>42040</v>
      </c>
      <c r="B2185" s="18" t="n">
        <v>49233.85</v>
      </c>
      <c r="C2185" s="31" t="n"/>
      <c r="D2185" s="32" t="n"/>
      <c r="E2185" s="33" t="n">
        <v>-1.3315</v>
      </c>
      <c r="F2185" t="inlineStr">
        <is>
          <t>Down</t>
        </is>
      </c>
      <c r="G2185" t="inlineStr">
        <is>
          <t>Up</t>
        </is>
      </c>
      <c r="H2185" t="inlineStr">
        <is>
          <t>ED_JU</t>
        </is>
      </c>
      <c r="I2185" t="inlineStr">
        <is>
          <t>2015-02</t>
        </is>
      </c>
      <c r="J2185" t="n">
        <v>1</v>
      </c>
      <c r="K2185" t="n">
        <v>1</v>
      </c>
      <c r="L2185" s="34">
        <f>IF($J2185=1,LN(B2186/B2185),"")</f>
        <v/>
      </c>
      <c r="M2185" s="34">
        <f>IF($K2185=1,INDEX(Mensal!$D$2:$D$245,MATCH($I2185,Mensal!$A$2:$A$245,0)),"")</f>
        <v/>
      </c>
      <c r="N2185" s="34">
        <f>IF($K2185=1,L2185-M2185,"")</f>
        <v/>
      </c>
      <c r="O2185" s="34" t="n">
        <v>0.00045301</v>
      </c>
      <c r="P2185" s="34">
        <f>IF($J2185=1,LN(1+O2185),"")</f>
        <v/>
      </c>
      <c r="Q2185" s="34">
        <f>IF($J2185=1,LN(R2186/R2185),"")</f>
        <v/>
      </c>
      <c r="R2185" s="32" t="n">
        <v>2.7386</v>
      </c>
      <c r="S2185" s="35" t="n">
        <v>12.834</v>
      </c>
      <c r="T2185" s="18" t="n"/>
      <c r="U2185" s="18" t="n"/>
      <c r="V2185" s="18" t="n"/>
      <c r="W2185" s="18" t="n">
        <v>49233.85</v>
      </c>
      <c r="X2185" s="35" t="n">
        <v>12.834</v>
      </c>
      <c r="Y2185" s="35" t="n"/>
    </row>
    <row r="2186">
      <c r="A2186" s="25" t="n">
        <v>42041</v>
      </c>
      <c r="B2186" s="18" t="n">
        <v>48792.27</v>
      </c>
      <c r="C2186" s="31" t="n"/>
      <c r="D2186" s="32" t="n"/>
      <c r="E2186" s="33" t="n">
        <v>-1.3399</v>
      </c>
      <c r="F2186" t="inlineStr">
        <is>
          <t>Down</t>
        </is>
      </c>
      <c r="G2186" t="inlineStr">
        <is>
          <t>Up</t>
        </is>
      </c>
      <c r="H2186" t="inlineStr">
        <is>
          <t>ED_JU</t>
        </is>
      </c>
      <c r="I2186" t="inlineStr">
        <is>
          <t>2015-02</t>
        </is>
      </c>
      <c r="J2186" t="n">
        <v>1</v>
      </c>
      <c r="K2186" t="n">
        <v>1</v>
      </c>
      <c r="L2186" s="34">
        <f>IF($J2186=1,LN(B2187/B2186),"")</f>
        <v/>
      </c>
      <c r="M2186" s="34">
        <f>IF($K2186=1,INDEX(Mensal!$D$2:$D$245,MATCH($I2186,Mensal!$A$2:$A$245,0)),"")</f>
        <v/>
      </c>
      <c r="N2186" s="34">
        <f>IF($K2186=1,L2186-M2186,"")</f>
        <v/>
      </c>
      <c r="O2186" s="34" t="n">
        <v>0.00045301</v>
      </c>
      <c r="P2186" s="34">
        <f>IF($J2186=1,LN(1+O2186),"")</f>
        <v/>
      </c>
      <c r="Q2186" s="34">
        <f>IF($J2186=1,LN(R2187/R2186),"")</f>
        <v/>
      </c>
      <c r="R2186" s="32" t="n">
        <v>2.7641</v>
      </c>
      <c r="S2186" s="35" t="n">
        <v>12.844</v>
      </c>
      <c r="T2186" s="18" t="n"/>
      <c r="U2186" s="18" t="n"/>
      <c r="V2186" s="18" t="n"/>
      <c r="W2186" s="18" t="n">
        <v>48792.27</v>
      </c>
      <c r="X2186" s="35" t="n">
        <v>12.844</v>
      </c>
      <c r="Y2186" s="35" t="n"/>
    </row>
    <row r="2187">
      <c r="A2187" s="25" t="n">
        <v>42044</v>
      </c>
      <c r="B2187" s="18" t="n">
        <v>49382.58</v>
      </c>
      <c r="C2187" s="31" t="n"/>
      <c r="D2187" s="32" t="n"/>
      <c r="E2187" s="33" t="n">
        <v>-1.3499</v>
      </c>
      <c r="F2187" t="inlineStr">
        <is>
          <t>Down</t>
        </is>
      </c>
      <c r="G2187" t="inlineStr">
        <is>
          <t>Up</t>
        </is>
      </c>
      <c r="H2187" t="inlineStr">
        <is>
          <t>ED_JU</t>
        </is>
      </c>
      <c r="I2187" t="inlineStr">
        <is>
          <t>2015-02</t>
        </is>
      </c>
      <c r="J2187" t="n">
        <v>1</v>
      </c>
      <c r="K2187" t="n">
        <v>1</v>
      </c>
      <c r="L2187" s="34">
        <f>IF($J2187=1,LN(B2188/B2187),"")</f>
        <v/>
      </c>
      <c r="M2187" s="34">
        <f>IF($K2187=1,INDEX(Mensal!$D$2:$D$245,MATCH($I2187,Mensal!$A$2:$A$245,0)),"")</f>
        <v/>
      </c>
      <c r="N2187" s="34">
        <f>IF($K2187=1,L2187-M2187,"")</f>
        <v/>
      </c>
      <c r="O2187" s="34" t="n">
        <v>0.00045301</v>
      </c>
      <c r="P2187" s="34">
        <f>IF($J2187=1,LN(1+O2187),"")</f>
        <v/>
      </c>
      <c r="Q2187" s="34">
        <f>IF($J2187=1,LN(R2188/R2187),"")</f>
        <v/>
      </c>
      <c r="R2187" s="32" t="n">
        <v>2.7873</v>
      </c>
      <c r="S2187" s="35" t="n">
        <v>12.922</v>
      </c>
      <c r="T2187" s="18" t="n"/>
      <c r="U2187" s="18" t="n"/>
      <c r="V2187" s="18" t="n"/>
      <c r="W2187" s="18" t="n">
        <v>49382.58</v>
      </c>
      <c r="X2187" s="35" t="n">
        <v>12.922</v>
      </c>
      <c r="Y2187" s="35" t="n"/>
    </row>
    <row r="2188">
      <c r="A2188" s="25" t="n">
        <v>42045</v>
      </c>
      <c r="B2188" s="18" t="n">
        <v>48510.28</v>
      </c>
      <c r="C2188" s="31" t="n"/>
      <c r="D2188" s="32" t="n"/>
      <c r="E2188" s="33" t="n">
        <v>-1.349</v>
      </c>
      <c r="F2188" t="inlineStr">
        <is>
          <t>Down</t>
        </is>
      </c>
      <c r="G2188" t="inlineStr">
        <is>
          <t>Up</t>
        </is>
      </c>
      <c r="H2188" t="inlineStr">
        <is>
          <t>ED_JU</t>
        </is>
      </c>
      <c r="I2188" t="inlineStr">
        <is>
          <t>2015-02</t>
        </is>
      </c>
      <c r="J2188" t="n">
        <v>1</v>
      </c>
      <c r="K2188" t="n">
        <v>1</v>
      </c>
      <c r="L2188" s="34">
        <f>IF($J2188=1,LN(B2189/B2188),"")</f>
        <v/>
      </c>
      <c r="M2188" s="34">
        <f>IF($K2188=1,INDEX(Mensal!$D$2:$D$245,MATCH($I2188,Mensal!$A$2:$A$245,0)),"")</f>
        <v/>
      </c>
      <c r="N2188" s="34">
        <f>IF($K2188=1,L2188-M2188,"")</f>
        <v/>
      </c>
      <c r="O2188" s="34" t="n">
        <v>0.00045301</v>
      </c>
      <c r="P2188" s="34">
        <f>IF($J2188=1,LN(1+O2188),"")</f>
        <v/>
      </c>
      <c r="Q2188" s="34">
        <f>IF($J2188=1,LN(R2189/R2188),"")</f>
        <v/>
      </c>
      <c r="R2188" s="32" t="n">
        <v>2.8075</v>
      </c>
      <c r="S2188" s="35" t="n">
        <v>13.021</v>
      </c>
      <c r="T2188" s="18" t="n"/>
      <c r="U2188" s="18" t="n"/>
      <c r="V2188" s="18" t="n"/>
      <c r="W2188" s="18" t="n">
        <v>48510.28</v>
      </c>
      <c r="X2188" s="35" t="n">
        <v>13.021</v>
      </c>
      <c r="Y2188" s="35" t="n"/>
    </row>
    <row r="2189">
      <c r="A2189" s="25" t="n">
        <v>42046</v>
      </c>
      <c r="B2189" s="18" t="n">
        <v>48239.67</v>
      </c>
      <c r="C2189" s="31" t="n"/>
      <c r="D2189" s="32" t="n"/>
      <c r="E2189" s="33" t="n">
        <v>-1.3354</v>
      </c>
      <c r="F2189" t="inlineStr">
        <is>
          <t>Down</t>
        </is>
      </c>
      <c r="G2189" t="inlineStr">
        <is>
          <t>Up</t>
        </is>
      </c>
      <c r="H2189" t="inlineStr">
        <is>
          <t>ED_JU</t>
        </is>
      </c>
      <c r="I2189" t="inlineStr">
        <is>
          <t>2015-02</t>
        </is>
      </c>
      <c r="J2189" t="n">
        <v>1</v>
      </c>
      <c r="K2189" t="n">
        <v>1</v>
      </c>
      <c r="L2189" s="34">
        <f>IF($J2189=1,LN(B2190/B2189),"")</f>
        <v/>
      </c>
      <c r="M2189" s="34">
        <f>IF($K2189=1,INDEX(Mensal!$D$2:$D$245,MATCH($I2189,Mensal!$A$2:$A$245,0)),"")</f>
        <v/>
      </c>
      <c r="N2189" s="34">
        <f>IF($K2189=1,L2189-M2189,"")</f>
        <v/>
      </c>
      <c r="O2189" s="34" t="n">
        <v>0.00045301</v>
      </c>
      <c r="P2189" s="34">
        <f>IF($J2189=1,LN(1+O2189),"")</f>
        <v/>
      </c>
      <c r="Q2189" s="34">
        <f>IF($J2189=1,LN(R2190/R2189),"")</f>
        <v/>
      </c>
      <c r="R2189" s="32" t="n">
        <v>2.8576</v>
      </c>
      <c r="S2189" s="35" t="n">
        <v>13.288</v>
      </c>
      <c r="T2189" s="18" t="n"/>
      <c r="U2189" s="18" t="n"/>
      <c r="V2189" s="18" t="n"/>
      <c r="W2189" s="18" t="n">
        <v>48239.67</v>
      </c>
      <c r="X2189" s="35" t="n">
        <v>13.288</v>
      </c>
      <c r="Y2189" s="35" t="n"/>
    </row>
    <row r="2190">
      <c r="A2190" s="25" t="n">
        <v>42047</v>
      </c>
      <c r="B2190" s="18" t="n">
        <v>49532.72</v>
      </c>
      <c r="C2190" s="31" t="n"/>
      <c r="D2190" s="32" t="n"/>
      <c r="E2190" s="33" t="n">
        <v>-1.321</v>
      </c>
      <c r="F2190" t="inlineStr">
        <is>
          <t>Down</t>
        </is>
      </c>
      <c r="G2190" t="inlineStr">
        <is>
          <t>Up</t>
        </is>
      </c>
      <c r="H2190" t="inlineStr">
        <is>
          <t>ED_JU</t>
        </is>
      </c>
      <c r="I2190" t="inlineStr">
        <is>
          <t>2015-02</t>
        </is>
      </c>
      <c r="J2190" t="n">
        <v>1</v>
      </c>
      <c r="K2190" t="n">
        <v>1</v>
      </c>
      <c r="L2190" s="34">
        <f>IF($J2190=1,LN(B2191/B2190),"")</f>
        <v/>
      </c>
      <c r="M2190" s="34">
        <f>IF($K2190=1,INDEX(Mensal!$D$2:$D$245,MATCH($I2190,Mensal!$A$2:$A$245,0)),"")</f>
        <v/>
      </c>
      <c r="N2190" s="34">
        <f>IF($K2190=1,L2190-M2190,"")</f>
        <v/>
      </c>
      <c r="O2190" s="34" t="n">
        <v>0.00045301</v>
      </c>
      <c r="P2190" s="34">
        <f>IF($J2190=1,LN(1+O2190),"")</f>
        <v/>
      </c>
      <c r="Q2190" s="34">
        <f>IF($J2190=1,LN(R2191/R2190),"")</f>
        <v/>
      </c>
      <c r="R2190" s="32" t="n">
        <v>2.8625</v>
      </c>
      <c r="S2190" s="35" t="n">
        <v>13.219</v>
      </c>
      <c r="T2190" s="18" t="n"/>
      <c r="U2190" s="18" t="n"/>
      <c r="V2190" s="18" t="n"/>
      <c r="W2190" s="18" t="n">
        <v>49532.72</v>
      </c>
      <c r="X2190" s="35" t="n">
        <v>13.219</v>
      </c>
      <c r="Y2190" s="35" t="n"/>
    </row>
    <row r="2191">
      <c r="A2191" s="25" t="n">
        <v>42048</v>
      </c>
      <c r="B2191" s="18" t="n">
        <v>50635.92</v>
      </c>
      <c r="C2191" s="31" t="n"/>
      <c r="D2191" s="32" t="n"/>
      <c r="E2191" s="33" t="n">
        <v>-1.3064</v>
      </c>
      <c r="F2191" t="inlineStr">
        <is>
          <t>Down</t>
        </is>
      </c>
      <c r="G2191" t="inlineStr">
        <is>
          <t>Up</t>
        </is>
      </c>
      <c r="H2191" t="inlineStr">
        <is>
          <t>ED_JU</t>
        </is>
      </c>
      <c r="I2191" t="inlineStr">
        <is>
          <t>2015-02</t>
        </is>
      </c>
      <c r="J2191" t="n">
        <v>1</v>
      </c>
      <c r="K2191" t="n">
        <v>1</v>
      </c>
      <c r="L2191" s="34">
        <f>IF($J2191=1,LN(B2192/B2191),"")</f>
        <v/>
      </c>
      <c r="M2191" s="34">
        <f>IF($K2191=1,INDEX(Mensal!$D$2:$D$245,MATCH($I2191,Mensal!$A$2:$A$245,0)),"")</f>
        <v/>
      </c>
      <c r="N2191" s="34">
        <f>IF($K2191=1,L2191-M2191,"")</f>
        <v/>
      </c>
      <c r="O2191" s="34" t="n">
        <v>0.00045301</v>
      </c>
      <c r="P2191" s="34">
        <f>IF($J2191=1,LN(1+O2191),"")</f>
        <v/>
      </c>
      <c r="Q2191" s="34">
        <f>IF($J2191=1,LN(R2192/R2191),"")</f>
        <v/>
      </c>
      <c r="R2191" s="32" t="n">
        <v>2.8392</v>
      </c>
      <c r="S2191" s="35" t="n">
        <v>13.199</v>
      </c>
      <c r="T2191" s="18" t="n"/>
      <c r="U2191" s="18" t="n"/>
      <c r="V2191" s="18" t="n"/>
      <c r="W2191" s="18" t="n">
        <v>50635.92</v>
      </c>
      <c r="X2191" s="35" t="n">
        <v>13.199</v>
      </c>
      <c r="Y2191" s="35" t="n"/>
    </row>
    <row r="2192">
      <c r="A2192" s="25" t="n">
        <v>42053</v>
      </c>
      <c r="B2192" s="18" t="n">
        <v>51280.36</v>
      </c>
      <c r="C2192" s="31" t="n"/>
      <c r="D2192" s="32" t="n"/>
      <c r="E2192" s="33" t="n">
        <v>-1.2864</v>
      </c>
      <c r="F2192" t="inlineStr">
        <is>
          <t>Down</t>
        </is>
      </c>
      <c r="G2192" t="inlineStr">
        <is>
          <t>Up</t>
        </is>
      </c>
      <c r="H2192" t="inlineStr">
        <is>
          <t>ED_JU</t>
        </is>
      </c>
      <c r="I2192" t="inlineStr">
        <is>
          <t>2015-02</t>
        </is>
      </c>
      <c r="J2192" t="n">
        <v>1</v>
      </c>
      <c r="K2192" t="n">
        <v>1</v>
      </c>
      <c r="L2192" s="34">
        <f>IF($J2192=1,LN(B2193/B2192),"")</f>
        <v/>
      </c>
      <c r="M2192" s="34">
        <f>IF($K2192=1,INDEX(Mensal!$D$2:$D$245,MATCH($I2192,Mensal!$A$2:$A$245,0)),"")</f>
        <v/>
      </c>
      <c r="N2192" s="34">
        <f>IF($K2192=1,L2192-M2192,"")</f>
        <v/>
      </c>
      <c r="O2192" s="34" t="n">
        <v>0.00045301</v>
      </c>
      <c r="P2192" s="34">
        <f>IF($J2192=1,LN(1+O2192),"")</f>
        <v/>
      </c>
      <c r="Q2192" s="34">
        <f>IF($J2192=1,LN(R2193/R2192),"")</f>
        <v/>
      </c>
      <c r="R2192" s="32" t="n">
        <v>2.843</v>
      </c>
      <c r="S2192" s="35" t="n">
        <v>13.201</v>
      </c>
      <c r="T2192" s="18" t="n"/>
      <c r="U2192" s="18" t="n"/>
      <c r="V2192" s="18" t="n"/>
      <c r="W2192" s="18" t="n">
        <v>51280.36</v>
      </c>
      <c r="X2192" s="35" t="n">
        <v>13.201</v>
      </c>
      <c r="Y2192" s="35" t="n"/>
    </row>
    <row r="2193">
      <c r="A2193" s="25" t="n">
        <v>42054</v>
      </c>
      <c r="B2193" s="18" t="n">
        <v>51294.03</v>
      </c>
      <c r="C2193" s="31" t="n"/>
      <c r="D2193" s="32" t="n"/>
      <c r="E2193" s="33" t="n">
        <v>-1.2711</v>
      </c>
      <c r="F2193" t="inlineStr">
        <is>
          <t>Down</t>
        </is>
      </c>
      <c r="G2193" t="inlineStr">
        <is>
          <t>Up</t>
        </is>
      </c>
      <c r="H2193" t="inlineStr">
        <is>
          <t>ED_JU</t>
        </is>
      </c>
      <c r="I2193" t="inlineStr">
        <is>
          <t>2015-02</t>
        </is>
      </c>
      <c r="J2193" t="n">
        <v>1</v>
      </c>
      <c r="K2193" t="n">
        <v>1</v>
      </c>
      <c r="L2193" s="34">
        <f>IF($J2193=1,LN(B2194/B2193),"")</f>
        <v/>
      </c>
      <c r="M2193" s="34">
        <f>IF($K2193=1,INDEX(Mensal!$D$2:$D$245,MATCH($I2193,Mensal!$A$2:$A$245,0)),"")</f>
        <v/>
      </c>
      <c r="N2193" s="34">
        <f>IF($K2193=1,L2193-M2193,"")</f>
        <v/>
      </c>
      <c r="O2193" s="34" t="n">
        <v>0.00045301</v>
      </c>
      <c r="P2193" s="34">
        <f>IF($J2193=1,LN(1+O2193),"")</f>
        <v/>
      </c>
      <c r="Q2193" s="34">
        <f>IF($J2193=1,LN(R2194/R2193),"")</f>
        <v/>
      </c>
      <c r="R2193" s="32" t="n">
        <v>2.8545</v>
      </c>
      <c r="S2193" s="35" t="n">
        <v>13.219</v>
      </c>
      <c r="T2193" s="18" t="n"/>
      <c r="U2193" s="18" t="n"/>
      <c r="V2193" s="18" t="n"/>
      <c r="W2193" s="18" t="n">
        <v>51294.03</v>
      </c>
      <c r="X2193" s="35" t="n">
        <v>13.219</v>
      </c>
      <c r="Y2193" s="35" t="n"/>
    </row>
    <row r="2194">
      <c r="A2194" s="25" t="n">
        <v>42055</v>
      </c>
      <c r="B2194" s="18" t="n">
        <v>51237.7</v>
      </c>
      <c r="C2194" s="31" t="n"/>
      <c r="D2194" s="32" t="n"/>
      <c r="E2194" s="33" t="n">
        <v>-1.2533</v>
      </c>
      <c r="F2194" t="inlineStr">
        <is>
          <t>Down</t>
        </is>
      </c>
      <c r="G2194" t="inlineStr">
        <is>
          <t>Up</t>
        </is>
      </c>
      <c r="H2194" t="inlineStr">
        <is>
          <t>ED_JU</t>
        </is>
      </c>
      <c r="I2194" t="inlineStr">
        <is>
          <t>2015-02</t>
        </is>
      </c>
      <c r="J2194" t="n">
        <v>1</v>
      </c>
      <c r="K2194" t="n">
        <v>1</v>
      </c>
      <c r="L2194" s="34">
        <f>IF($J2194=1,LN(B2195/B2194),"")</f>
        <v/>
      </c>
      <c r="M2194" s="34">
        <f>IF($K2194=1,INDEX(Mensal!$D$2:$D$245,MATCH($I2194,Mensal!$A$2:$A$245,0)),"")</f>
        <v/>
      </c>
      <c r="N2194" s="34">
        <f>IF($K2194=1,L2194-M2194,"")</f>
        <v/>
      </c>
      <c r="O2194" s="34" t="n">
        <v>0.00045301</v>
      </c>
      <c r="P2194" s="34">
        <f>IF($J2194=1,LN(1+O2194),"")</f>
        <v/>
      </c>
      <c r="Q2194" s="34">
        <f>IF($J2194=1,LN(R2195/R2194),"")</f>
        <v/>
      </c>
      <c r="R2194" s="32" t="n">
        <v>2.8701</v>
      </c>
      <c r="S2194" s="35" t="n">
        <v>13.281</v>
      </c>
      <c r="T2194" s="18" t="n"/>
      <c r="U2194" s="18" t="n"/>
      <c r="V2194" s="18" t="n"/>
      <c r="W2194" s="18" t="n">
        <v>51237.7</v>
      </c>
      <c r="X2194" s="35" t="n">
        <v>13.281</v>
      </c>
      <c r="Y2194" s="35" t="n"/>
    </row>
    <row r="2195">
      <c r="A2195" s="25" t="n">
        <v>42058</v>
      </c>
      <c r="B2195" s="18" t="n">
        <v>51280.64</v>
      </c>
      <c r="C2195" s="31" t="n"/>
      <c r="D2195" s="32" t="n"/>
      <c r="E2195" s="33" t="n">
        <v>-1.2335</v>
      </c>
      <c r="F2195" t="inlineStr">
        <is>
          <t>Down</t>
        </is>
      </c>
      <c r="G2195" t="inlineStr">
        <is>
          <t>Up</t>
        </is>
      </c>
      <c r="H2195" t="inlineStr">
        <is>
          <t>ED_JU</t>
        </is>
      </c>
      <c r="I2195" t="inlineStr">
        <is>
          <t>2015-02</t>
        </is>
      </c>
      <c r="J2195" t="n">
        <v>1</v>
      </c>
      <c r="K2195" t="n">
        <v>1</v>
      </c>
      <c r="L2195" s="34">
        <f>IF($J2195=1,LN(B2196/B2195),"")</f>
        <v/>
      </c>
      <c r="M2195" s="34">
        <f>IF($K2195=1,INDEX(Mensal!$D$2:$D$245,MATCH($I2195,Mensal!$A$2:$A$245,0)),"")</f>
        <v/>
      </c>
      <c r="N2195" s="34">
        <f>IF($K2195=1,L2195-M2195,"")</f>
        <v/>
      </c>
      <c r="O2195" s="34" t="n">
        <v>0.00045301</v>
      </c>
      <c r="P2195" s="34">
        <f>IF($J2195=1,LN(1+O2195),"")</f>
        <v/>
      </c>
      <c r="Q2195" s="34">
        <f>IF($J2195=1,LN(R2196/R2195),"")</f>
        <v/>
      </c>
      <c r="R2195" s="32" t="n">
        <v>2.8811</v>
      </c>
      <c r="S2195" s="35" t="n">
        <v>13.253</v>
      </c>
      <c r="T2195" s="18" t="n"/>
      <c r="U2195" s="18" t="n"/>
      <c r="V2195" s="18" t="n"/>
      <c r="W2195" s="18" t="n">
        <v>51280.64</v>
      </c>
      <c r="X2195" s="35" t="n">
        <v>13.253</v>
      </c>
      <c r="Y2195" s="35" t="n"/>
    </row>
    <row r="2196">
      <c r="A2196" s="25" t="n">
        <v>42059</v>
      </c>
      <c r="B2196" s="18" t="n">
        <v>51874.17</v>
      </c>
      <c r="C2196" s="31" t="n"/>
      <c r="D2196" s="32" t="n"/>
      <c r="E2196" s="33" t="n">
        <v>-1.2152</v>
      </c>
      <c r="F2196" t="inlineStr">
        <is>
          <t>Down</t>
        </is>
      </c>
      <c r="G2196" t="inlineStr">
        <is>
          <t>Up</t>
        </is>
      </c>
      <c r="H2196" t="inlineStr">
        <is>
          <t>ED_JU</t>
        </is>
      </c>
      <c r="I2196" t="inlineStr">
        <is>
          <t>2015-02</t>
        </is>
      </c>
      <c r="J2196" t="n">
        <v>1</v>
      </c>
      <c r="K2196" t="n">
        <v>1</v>
      </c>
      <c r="L2196" s="34">
        <f>IF($J2196=1,LN(B2197/B2196),"")</f>
        <v/>
      </c>
      <c r="M2196" s="34">
        <f>IF($K2196=1,INDEX(Mensal!$D$2:$D$245,MATCH($I2196,Mensal!$A$2:$A$245,0)),"")</f>
        <v/>
      </c>
      <c r="N2196" s="34">
        <f>IF($K2196=1,L2196-M2196,"")</f>
        <v/>
      </c>
      <c r="O2196" s="34" t="n">
        <v>0.00045301</v>
      </c>
      <c r="P2196" s="34">
        <f>IF($J2196=1,LN(1+O2196),"")</f>
        <v/>
      </c>
      <c r="Q2196" s="34">
        <f>IF($J2196=1,LN(R2197/R2196),"")</f>
        <v/>
      </c>
      <c r="R2196" s="32" t="n">
        <v>2.8649</v>
      </c>
      <c r="S2196" s="35" t="n">
        <v>13.118</v>
      </c>
      <c r="T2196" s="18" t="n"/>
      <c r="U2196" s="18" t="n"/>
      <c r="V2196" s="18" t="n"/>
      <c r="W2196" s="18" t="n">
        <v>51874.17</v>
      </c>
      <c r="X2196" s="35" t="n">
        <v>13.118</v>
      </c>
      <c r="Y2196" s="35" t="n"/>
    </row>
    <row r="2197">
      <c r="A2197" s="25" t="n">
        <v>42060</v>
      </c>
      <c r="B2197" s="18" t="n">
        <v>51811.02</v>
      </c>
      <c r="C2197" s="31" t="n"/>
      <c r="D2197" s="32" t="n"/>
      <c r="E2197" s="33" t="n">
        <v>-1.1947</v>
      </c>
      <c r="F2197" t="inlineStr">
        <is>
          <t>Down</t>
        </is>
      </c>
      <c r="G2197" t="inlineStr">
        <is>
          <t>Up</t>
        </is>
      </c>
      <c r="H2197" t="inlineStr">
        <is>
          <t>ED_JU</t>
        </is>
      </c>
      <c r="I2197" t="inlineStr">
        <is>
          <t>2015-02</t>
        </is>
      </c>
      <c r="J2197" t="n">
        <v>1</v>
      </c>
      <c r="K2197" t="n">
        <v>1</v>
      </c>
      <c r="L2197" s="34">
        <f>IF($J2197=1,LN(B2198/B2197),"")</f>
        <v/>
      </c>
      <c r="M2197" s="34">
        <f>IF($K2197=1,INDEX(Mensal!$D$2:$D$245,MATCH($I2197,Mensal!$A$2:$A$245,0)),"")</f>
        <v/>
      </c>
      <c r="N2197" s="34">
        <f>IF($K2197=1,L2197-M2197,"")</f>
        <v/>
      </c>
      <c r="O2197" s="34" t="n">
        <v>0.00045301</v>
      </c>
      <c r="P2197" s="34">
        <f>IF($J2197=1,LN(1+O2197),"")</f>
        <v/>
      </c>
      <c r="Q2197" s="34">
        <f>IF($J2197=1,LN(R2198/R2197),"")</f>
        <v/>
      </c>
      <c r="R2197" s="32" t="n">
        <v>2.8646</v>
      </c>
      <c r="S2197" s="35" t="n">
        <v>13.127</v>
      </c>
      <c r="T2197" s="18" t="n"/>
      <c r="U2197" s="18" t="n"/>
      <c r="V2197" s="18" t="n"/>
      <c r="W2197" s="18" t="n">
        <v>51811.02</v>
      </c>
      <c r="X2197" s="35" t="n">
        <v>13.127</v>
      </c>
      <c r="Y2197" s="35" t="n"/>
    </row>
    <row r="2198">
      <c r="A2198" s="25" t="n">
        <v>42061</v>
      </c>
      <c r="B2198" s="18" t="n">
        <v>51760.54</v>
      </c>
      <c r="C2198" s="31" t="n"/>
      <c r="D2198" s="32" t="n"/>
      <c r="E2198" s="33" t="n">
        <v>-1.1817</v>
      </c>
      <c r="F2198" t="inlineStr">
        <is>
          <t>Down</t>
        </is>
      </c>
      <c r="G2198" t="inlineStr">
        <is>
          <t>Up</t>
        </is>
      </c>
      <c r="H2198" t="inlineStr">
        <is>
          <t>ED_JU</t>
        </is>
      </c>
      <c r="I2198" t="inlineStr">
        <is>
          <t>2015-02</t>
        </is>
      </c>
      <c r="J2198" t="n">
        <v>1</v>
      </c>
      <c r="K2198" t="n">
        <v>1</v>
      </c>
      <c r="L2198" s="34">
        <f>IF($J2198=1,LN(B2199/B2198),"")</f>
        <v/>
      </c>
      <c r="M2198" s="34">
        <f>IF($K2198=1,INDEX(Mensal!$D$2:$D$245,MATCH($I2198,Mensal!$A$2:$A$245,0)),"")</f>
        <v/>
      </c>
      <c r="N2198" s="34">
        <f>IF($K2198=1,L2198-M2198,"")</f>
        <v/>
      </c>
      <c r="O2198" s="34" t="n">
        <v>0.00045301</v>
      </c>
      <c r="P2198" s="34">
        <f>IF($J2198=1,LN(1+O2198),"")</f>
        <v/>
      </c>
      <c r="Q2198" s="34">
        <f>IF($J2198=1,LN(R2199/R2198),"")</f>
        <v/>
      </c>
      <c r="R2198" s="32" t="n">
        <v>2.8728</v>
      </c>
      <c r="S2198" s="35" t="n">
        <v>13.138</v>
      </c>
      <c r="T2198" s="18" t="n"/>
      <c r="U2198" s="18" t="n"/>
      <c r="V2198" s="18" t="n"/>
      <c r="W2198" s="18" t="n">
        <v>51760.54</v>
      </c>
      <c r="X2198" s="35" t="n">
        <v>13.138</v>
      </c>
      <c r="Y2198" s="35" t="n"/>
    </row>
    <row r="2199">
      <c r="A2199" s="25" t="n">
        <v>42062</v>
      </c>
      <c r="B2199" s="18" t="n">
        <v>51583.09</v>
      </c>
      <c r="C2199" s="31" t="n"/>
      <c r="D2199" s="32" t="n"/>
      <c r="E2199" s="33" t="n">
        <v>-1.1739</v>
      </c>
      <c r="F2199" t="inlineStr">
        <is>
          <t>Down</t>
        </is>
      </c>
      <c r="G2199" t="inlineStr">
        <is>
          <t>Up</t>
        </is>
      </c>
      <c r="H2199" t="inlineStr">
        <is>
          <t>ED_JU</t>
        </is>
      </c>
      <c r="I2199" t="inlineStr">
        <is>
          <t>2015-02</t>
        </is>
      </c>
      <c r="J2199" t="n">
        <v>1</v>
      </c>
      <c r="K2199" t="n">
        <v>1</v>
      </c>
      <c r="L2199" s="34">
        <f>IF($J2199=1,LN(B2200/B2199),"")</f>
        <v/>
      </c>
      <c r="M2199" s="34">
        <f>IF($K2199=1,INDEX(Mensal!$D$2:$D$245,MATCH($I2199,Mensal!$A$2:$A$245,0)),"")</f>
        <v/>
      </c>
      <c r="N2199" s="34">
        <f>IF($K2199=1,L2199-M2199,"")</f>
        <v/>
      </c>
      <c r="O2199" s="34" t="n">
        <v>0.00045301</v>
      </c>
      <c r="P2199" s="34">
        <f>IF($J2199=1,LN(1+O2199),"")</f>
        <v/>
      </c>
      <c r="Q2199" s="34">
        <f>IF($J2199=1,LN(R2200/R2199),"")</f>
        <v/>
      </c>
      <c r="R2199" s="32" t="n">
        <v>2.8782</v>
      </c>
      <c r="S2199" s="35" t="n">
        <v>13.05</v>
      </c>
      <c r="T2199" s="18" t="n"/>
      <c r="U2199" s="18" t="n"/>
      <c r="V2199" s="18" t="n"/>
      <c r="W2199" s="18" t="n">
        <v>51583.09</v>
      </c>
      <c r="X2199" s="35" t="n">
        <v>13.05</v>
      </c>
      <c r="Y2199" s="35" t="n"/>
    </row>
    <row r="2200">
      <c r="A2200" s="25" t="n">
        <v>42065</v>
      </c>
      <c r="B2200" s="18" t="n">
        <v>51020.81</v>
      </c>
      <c r="C2200" s="31" t="n"/>
      <c r="D2200" s="32" t="n"/>
      <c r="E2200" s="33" t="n">
        <v>-1.1615</v>
      </c>
      <c r="F2200" t="inlineStr">
        <is>
          <t>Down</t>
        </is>
      </c>
      <c r="G2200" t="inlineStr">
        <is>
          <t>Up</t>
        </is>
      </c>
      <c r="H2200" t="inlineStr">
        <is>
          <t>ED_JU</t>
        </is>
      </c>
      <c r="I2200" t="inlineStr">
        <is>
          <t>2015-03</t>
        </is>
      </c>
      <c r="J2200" t="n">
        <v>1</v>
      </c>
      <c r="K2200" t="n">
        <v>1</v>
      </c>
      <c r="L2200" s="34">
        <f>IF($J2200=1,LN(B2201/B2200),"")</f>
        <v/>
      </c>
      <c r="M2200" s="34">
        <f>IF($K2200=1,INDEX(Mensal!$D$2:$D$245,MATCH($I2200,Mensal!$A$2:$A$245,0)),"")</f>
        <v/>
      </c>
      <c r="N2200" s="34">
        <f>IF($K2200=1,L2200-M2200,"")</f>
        <v/>
      </c>
      <c r="O2200" s="34" t="n">
        <v>0.00045301</v>
      </c>
      <c r="P2200" s="34">
        <f>IF($J2200=1,LN(1+O2200),"")</f>
        <v/>
      </c>
      <c r="Q2200" s="34">
        <f>IF($J2200=1,LN(R2201/R2200),"")</f>
        <v/>
      </c>
      <c r="R2200" s="32" t="n">
        <v>2.8655</v>
      </c>
      <c r="S2200" s="35" t="n">
        <v>13.134</v>
      </c>
      <c r="T2200" s="18" t="n"/>
      <c r="U2200" s="18" t="n"/>
      <c r="V2200" s="18" t="n"/>
      <c r="W2200" s="18" t="n">
        <v>51020.81</v>
      </c>
      <c r="X2200" s="35" t="n">
        <v>13.134</v>
      </c>
      <c r="Y2200" s="35" t="n"/>
    </row>
    <row r="2201">
      <c r="A2201" s="25" t="n">
        <v>42066</v>
      </c>
      <c r="B2201" s="18" t="n">
        <v>51304.1</v>
      </c>
      <c r="C2201" s="31" t="n"/>
      <c r="D2201" s="32" t="n"/>
      <c r="E2201" s="33" t="n">
        <v>-1.1458</v>
      </c>
      <c r="F2201" t="inlineStr">
        <is>
          <t>Down</t>
        </is>
      </c>
      <c r="G2201" t="inlineStr">
        <is>
          <t>Up</t>
        </is>
      </c>
      <c r="H2201" t="inlineStr">
        <is>
          <t>ED_JU</t>
        </is>
      </c>
      <c r="I2201" t="inlineStr">
        <is>
          <t>2015-03</t>
        </is>
      </c>
      <c r="J2201" t="n">
        <v>1</v>
      </c>
      <c r="K2201" t="n">
        <v>1</v>
      </c>
      <c r="L2201" s="34">
        <f>IF($J2201=1,LN(B2202/B2201),"")</f>
        <v/>
      </c>
      <c r="M2201" s="34">
        <f>IF($K2201=1,INDEX(Mensal!$D$2:$D$245,MATCH($I2201,Mensal!$A$2:$A$245,0)),"")</f>
        <v/>
      </c>
      <c r="N2201" s="34">
        <f>IF($K2201=1,L2201-M2201,"")</f>
        <v/>
      </c>
      <c r="O2201" s="34" t="n">
        <v>0.00045301</v>
      </c>
      <c r="P2201" s="34">
        <f>IF($J2201=1,LN(1+O2201),"")</f>
        <v/>
      </c>
      <c r="Q2201" s="34">
        <f>IF($J2201=1,LN(R2202/R2201),"")</f>
        <v/>
      </c>
      <c r="R2201" s="32" t="n">
        <v>2.9051</v>
      </c>
      <c r="S2201" s="35" t="n">
        <v>13.108</v>
      </c>
      <c r="T2201" s="18" t="n"/>
      <c r="U2201" s="18" t="n"/>
      <c r="V2201" s="18" t="n"/>
      <c r="W2201" s="18" t="n">
        <v>51304.1</v>
      </c>
      <c r="X2201" s="35" t="n">
        <v>13.108</v>
      </c>
      <c r="Y2201" s="35" t="n"/>
    </row>
    <row r="2202">
      <c r="A2202" s="25" t="n">
        <v>42067</v>
      </c>
      <c r="B2202" s="18" t="n">
        <v>50468.05</v>
      </c>
      <c r="C2202" s="31" t="n"/>
      <c r="D2202" s="32" t="n"/>
      <c r="E2202" s="33" t="n">
        <v>-1.1256</v>
      </c>
      <c r="F2202" t="inlineStr">
        <is>
          <t>Down</t>
        </is>
      </c>
      <c r="G2202" t="inlineStr">
        <is>
          <t>Up</t>
        </is>
      </c>
      <c r="H2202" t="inlineStr">
        <is>
          <t>ED_JU</t>
        </is>
      </c>
      <c r="I2202" t="inlineStr">
        <is>
          <t>2015-03</t>
        </is>
      </c>
      <c r="J2202" t="n">
        <v>1</v>
      </c>
      <c r="K2202" t="n">
        <v>1</v>
      </c>
      <c r="L2202" s="34">
        <f>IF($J2202=1,LN(B2203/B2202),"")</f>
        <v/>
      </c>
      <c r="M2202" s="34">
        <f>IF($K2202=1,INDEX(Mensal!$D$2:$D$245,MATCH($I2202,Mensal!$A$2:$A$245,0)),"")</f>
        <v/>
      </c>
      <c r="N2202" s="34">
        <f>IF($K2202=1,L2202-M2202,"")</f>
        <v/>
      </c>
      <c r="O2202" s="34" t="n">
        <v>0.00045301</v>
      </c>
      <c r="P2202" s="34">
        <f>IF($J2202=1,LN(1+O2202),"")</f>
        <v/>
      </c>
      <c r="Q2202" s="34">
        <f>IF($J2202=1,LN(R2203/R2202),"")</f>
        <v/>
      </c>
      <c r="R2202" s="32" t="n">
        <v>2.9804</v>
      </c>
      <c r="S2202" s="35" t="n">
        <v>13.237</v>
      </c>
      <c r="T2202" s="18" t="n"/>
      <c r="U2202" s="18" t="n"/>
      <c r="V2202" s="18" t="n"/>
      <c r="W2202" s="18" t="n">
        <v>50468.05</v>
      </c>
      <c r="X2202" s="35" t="n">
        <v>13.237</v>
      </c>
      <c r="Y2202" s="35" t="n"/>
    </row>
    <row r="2203">
      <c r="A2203" s="25" t="n">
        <v>42068</v>
      </c>
      <c r="B2203" s="18" t="n">
        <v>50365.2</v>
      </c>
      <c r="C2203" s="31" t="n"/>
      <c r="D2203" s="32" t="n"/>
      <c r="E2203" s="33" t="n">
        <v>-1.1033</v>
      </c>
      <c r="F2203" t="inlineStr">
        <is>
          <t>Down</t>
        </is>
      </c>
      <c r="G2203" t="inlineStr">
        <is>
          <t>Up</t>
        </is>
      </c>
      <c r="H2203" t="inlineStr">
        <is>
          <t>ED_JU</t>
        </is>
      </c>
      <c r="I2203" t="inlineStr">
        <is>
          <t>2015-03</t>
        </is>
      </c>
      <c r="J2203" t="n">
        <v>1</v>
      </c>
      <c r="K2203" t="n">
        <v>1</v>
      </c>
      <c r="L2203" s="34">
        <f>IF($J2203=1,LN(B2204/B2203),"")</f>
        <v/>
      </c>
      <c r="M2203" s="34">
        <f>IF($K2203=1,INDEX(Mensal!$D$2:$D$245,MATCH($I2203,Mensal!$A$2:$A$245,0)),"")</f>
        <v/>
      </c>
      <c r="N2203" s="34">
        <f>IF($K2203=1,L2203-M2203,"")</f>
        <v/>
      </c>
      <c r="O2203" s="34" t="n">
        <v>0.00047103</v>
      </c>
      <c r="P2203" s="34">
        <f>IF($J2203=1,LN(1+O2203),"")</f>
        <v/>
      </c>
      <c r="Q2203" s="34">
        <f>IF($J2203=1,LN(R2204/R2203),"")</f>
        <v/>
      </c>
      <c r="R2203" s="32" t="n">
        <v>2.9931</v>
      </c>
      <c r="S2203" s="35" t="n">
        <v>13.357</v>
      </c>
      <c r="T2203" s="18" t="n"/>
      <c r="U2203" s="18" t="n"/>
      <c r="V2203" s="18" t="n"/>
      <c r="W2203" s="18" t="n">
        <v>50365.2</v>
      </c>
      <c r="X2203" s="35" t="n">
        <v>13.357</v>
      </c>
      <c r="Y2203" s="35" t="n"/>
    </row>
    <row r="2204">
      <c r="A2204" s="25" t="n">
        <v>42069</v>
      </c>
      <c r="B2204" s="18" t="n">
        <v>49981.19</v>
      </c>
      <c r="C2204" s="31" t="n"/>
      <c r="D2204" s="32" t="n"/>
      <c r="E2204" s="33" t="n">
        <v>-1.0742</v>
      </c>
      <c r="F2204" t="inlineStr">
        <is>
          <t>Down</t>
        </is>
      </c>
      <c r="G2204" t="inlineStr">
        <is>
          <t>Up</t>
        </is>
      </c>
      <c r="H2204" t="inlineStr">
        <is>
          <t>ED_JU</t>
        </is>
      </c>
      <c r="I2204" t="inlineStr">
        <is>
          <t>2015-03</t>
        </is>
      </c>
      <c r="J2204" t="n">
        <v>1</v>
      </c>
      <c r="K2204" t="n">
        <v>1</v>
      </c>
      <c r="L2204" s="34">
        <f>IF($J2204=1,LN(B2205/B2204),"")</f>
        <v/>
      </c>
      <c r="M2204" s="34">
        <f>IF($K2204=1,INDEX(Mensal!$D$2:$D$245,MATCH($I2204,Mensal!$A$2:$A$245,0)),"")</f>
        <v/>
      </c>
      <c r="N2204" s="34">
        <f>IF($K2204=1,L2204-M2204,"")</f>
        <v/>
      </c>
      <c r="O2204" s="34" t="n">
        <v>0.00047103</v>
      </c>
      <c r="P2204" s="34">
        <f>IF($J2204=1,LN(1+O2204),"")</f>
        <v/>
      </c>
      <c r="Q2204" s="34">
        <f>IF($J2204=1,LN(R2205/R2204),"")</f>
        <v/>
      </c>
      <c r="R2204" s="32" t="n">
        <v>3.0366</v>
      </c>
      <c r="S2204" s="35" t="n">
        <v>13.551</v>
      </c>
      <c r="T2204" s="18" t="n"/>
      <c r="U2204" s="18" t="n"/>
      <c r="V2204" s="18" t="n"/>
      <c r="W2204" s="18" t="n">
        <v>49981.19</v>
      </c>
      <c r="X2204" s="35" t="n">
        <v>13.551</v>
      </c>
      <c r="Y2204" s="35" t="n"/>
    </row>
    <row r="2205">
      <c r="A2205" s="25" t="n">
        <v>42072</v>
      </c>
      <c r="B2205" s="18" t="n">
        <v>49181.01</v>
      </c>
      <c r="C2205" s="31" t="n"/>
      <c r="D2205" s="32" t="n"/>
      <c r="E2205" s="33" t="n">
        <v>-1.0419</v>
      </c>
      <c r="F2205" t="inlineStr">
        <is>
          <t>Down</t>
        </is>
      </c>
      <c r="G2205" t="inlineStr">
        <is>
          <t>Up</t>
        </is>
      </c>
      <c r="H2205" t="inlineStr">
        <is>
          <t>ED_JU</t>
        </is>
      </c>
      <c r="I2205" t="inlineStr">
        <is>
          <t>2015-03</t>
        </is>
      </c>
      <c r="J2205" t="n">
        <v>1</v>
      </c>
      <c r="K2205" t="n">
        <v>1</v>
      </c>
      <c r="L2205" s="34">
        <f>IF($J2205=1,LN(B2206/B2205),"")</f>
        <v/>
      </c>
      <c r="M2205" s="34">
        <f>IF($K2205=1,INDEX(Mensal!$D$2:$D$245,MATCH($I2205,Mensal!$A$2:$A$245,0)),"")</f>
        <v/>
      </c>
      <c r="N2205" s="34">
        <f>IF($K2205=1,L2205-M2205,"")</f>
        <v/>
      </c>
      <c r="O2205" s="34" t="n">
        <v>0.00047103</v>
      </c>
      <c r="P2205" s="34">
        <f>IF($J2205=1,LN(1+O2205),"")</f>
        <v/>
      </c>
      <c r="Q2205" s="34">
        <f>IF($J2205=1,LN(R2206/R2205),"")</f>
        <v/>
      </c>
      <c r="R2205" s="32" t="n">
        <v>3.1018</v>
      </c>
      <c r="S2205" s="35" t="n">
        <v>13.874</v>
      </c>
      <c r="T2205" s="18" t="n"/>
      <c r="U2205" s="18" t="n"/>
      <c r="V2205" s="18" t="n"/>
      <c r="W2205" s="18" t="n">
        <v>49181.01</v>
      </c>
      <c r="X2205" s="35" t="n">
        <v>13.874</v>
      </c>
      <c r="Y2205" s="35" t="n"/>
    </row>
    <row r="2206">
      <c r="A2206" s="25" t="n">
        <v>42073</v>
      </c>
      <c r="B2206" s="18" t="n">
        <v>48293.4</v>
      </c>
      <c r="C2206" s="31" t="n"/>
      <c r="D2206" s="32" t="n"/>
      <c r="E2206" s="33" t="n">
        <v>-1.0172</v>
      </c>
      <c r="F2206" t="inlineStr">
        <is>
          <t>Down</t>
        </is>
      </c>
      <c r="G2206" t="inlineStr">
        <is>
          <t>Up</t>
        </is>
      </c>
      <c r="H2206" t="inlineStr">
        <is>
          <t>ED_JU</t>
        </is>
      </c>
      <c r="I2206" t="inlineStr">
        <is>
          <t>2015-03</t>
        </is>
      </c>
      <c r="J2206" t="n">
        <v>1</v>
      </c>
      <c r="K2206" t="n">
        <v>1</v>
      </c>
      <c r="L2206" s="34">
        <f>IF($J2206=1,LN(B2207/B2206),"")</f>
        <v/>
      </c>
      <c r="M2206" s="34">
        <f>IF($K2206=1,INDEX(Mensal!$D$2:$D$245,MATCH($I2206,Mensal!$A$2:$A$245,0)),"")</f>
        <v/>
      </c>
      <c r="N2206" s="34">
        <f>IF($K2206=1,L2206-M2206,"")</f>
        <v/>
      </c>
      <c r="O2206" s="34" t="n">
        <v>0.00047103</v>
      </c>
      <c r="P2206" s="34">
        <f>IF($J2206=1,LN(1+O2206),"")</f>
        <v/>
      </c>
      <c r="Q2206" s="34">
        <f>IF($J2206=1,LN(R2207/R2206),"")</f>
        <v/>
      </c>
      <c r="R2206" s="32" t="n">
        <v>3.1299</v>
      </c>
      <c r="S2206" s="35" t="n">
        <v>13.76</v>
      </c>
      <c r="T2206" s="18" t="n"/>
      <c r="U2206" s="18" t="n"/>
      <c r="V2206" s="18" t="n"/>
      <c r="W2206" s="18" t="n">
        <v>48293.4</v>
      </c>
      <c r="X2206" s="35" t="n">
        <v>13.76</v>
      </c>
      <c r="Y2206" s="35" t="n"/>
    </row>
    <row r="2207">
      <c r="A2207" s="25" t="n">
        <v>42074</v>
      </c>
      <c r="B2207" s="18" t="n">
        <v>48905.58</v>
      </c>
      <c r="C2207" s="31" t="n"/>
      <c r="D2207" s="32" t="n"/>
      <c r="E2207" s="33" t="n">
        <v>-1.0065</v>
      </c>
      <c r="F2207" t="inlineStr">
        <is>
          <t>Down</t>
        </is>
      </c>
      <c r="G2207" t="inlineStr">
        <is>
          <t>Up</t>
        </is>
      </c>
      <c r="H2207" t="inlineStr">
        <is>
          <t>ED_JU</t>
        </is>
      </c>
      <c r="I2207" t="inlineStr">
        <is>
          <t>2015-03</t>
        </is>
      </c>
      <c r="J2207" t="n">
        <v>1</v>
      </c>
      <c r="K2207" t="n">
        <v>1</v>
      </c>
      <c r="L2207" s="34">
        <f>IF($J2207=1,LN(B2208/B2207),"")</f>
        <v/>
      </c>
      <c r="M2207" s="34">
        <f>IF($K2207=1,INDEX(Mensal!$D$2:$D$245,MATCH($I2207,Mensal!$A$2:$A$245,0)),"")</f>
        <v/>
      </c>
      <c r="N2207" s="34">
        <f>IF($K2207=1,L2207-M2207,"")</f>
        <v/>
      </c>
      <c r="O2207" s="34" t="n">
        <v>0.00047103</v>
      </c>
      <c r="P2207" s="34">
        <f>IF($J2207=1,LN(1+O2207),"")</f>
        <v/>
      </c>
      <c r="Q2207" s="34">
        <f>IF($J2207=1,LN(R2208/R2207),"")</f>
        <v/>
      </c>
      <c r="R2207" s="32" t="n">
        <v>3.1162</v>
      </c>
      <c r="S2207" s="35" t="n">
        <v>13.7</v>
      </c>
      <c r="T2207" s="18" t="n"/>
      <c r="U2207" s="18" t="n"/>
      <c r="V2207" s="18" t="n"/>
      <c r="W2207" s="18" t="n">
        <v>48905.58</v>
      </c>
      <c r="X2207" s="35" t="n">
        <v>13.7</v>
      </c>
      <c r="Y2207" s="35" t="n"/>
    </row>
    <row r="2208">
      <c r="A2208" s="25" t="n">
        <v>42075</v>
      </c>
      <c r="B2208" s="18" t="n">
        <v>48880.4</v>
      </c>
      <c r="C2208" s="31" t="n"/>
      <c r="D2208" s="32" t="n"/>
      <c r="E2208" s="33" t="n">
        <v>-0.993</v>
      </c>
      <c r="F2208" t="inlineStr">
        <is>
          <t>Down</t>
        </is>
      </c>
      <c r="G2208" t="inlineStr">
        <is>
          <t>Up</t>
        </is>
      </c>
      <c r="H2208" t="inlineStr">
        <is>
          <t>ED_JU</t>
        </is>
      </c>
      <c r="I2208" t="inlineStr">
        <is>
          <t>2015-03</t>
        </is>
      </c>
      <c r="J2208" t="n">
        <v>1</v>
      </c>
      <c r="K2208" t="n">
        <v>1</v>
      </c>
      <c r="L2208" s="34">
        <f>IF($J2208=1,LN(B2209/B2208),"")</f>
        <v/>
      </c>
      <c r="M2208" s="34">
        <f>IF($K2208=1,INDEX(Mensal!$D$2:$D$245,MATCH($I2208,Mensal!$A$2:$A$245,0)),"")</f>
        <v/>
      </c>
      <c r="N2208" s="34">
        <f>IF($K2208=1,L2208-M2208,"")</f>
        <v/>
      </c>
      <c r="O2208" s="34" t="n">
        <v>0.00047103</v>
      </c>
      <c r="P2208" s="34">
        <f>IF($J2208=1,LN(1+O2208),"")</f>
        <v/>
      </c>
      <c r="Q2208" s="34">
        <f>IF($J2208=1,LN(R2209/R2208),"")</f>
        <v/>
      </c>
      <c r="R2208" s="32" t="n">
        <v>3.1171</v>
      </c>
      <c r="S2208" s="35" t="n">
        <v>13.833</v>
      </c>
      <c r="T2208" s="18" t="n"/>
      <c r="U2208" s="18" t="n"/>
      <c r="V2208" s="18" t="n"/>
      <c r="W2208" s="18" t="n">
        <v>48880.4</v>
      </c>
      <c r="X2208" s="35" t="n">
        <v>13.833</v>
      </c>
      <c r="Y2208" s="35" t="n"/>
    </row>
    <row r="2209">
      <c r="A2209" s="25" t="n">
        <v>42076</v>
      </c>
      <c r="B2209" s="18" t="n">
        <v>48595.81</v>
      </c>
      <c r="C2209" s="31" t="n"/>
      <c r="D2209" s="32" t="n"/>
      <c r="E2209" s="33" t="n">
        <v>-1.0069</v>
      </c>
      <c r="F2209" t="inlineStr">
        <is>
          <t>Down</t>
        </is>
      </c>
      <c r="G2209" t="inlineStr">
        <is>
          <t>Up</t>
        </is>
      </c>
      <c r="H2209" t="inlineStr">
        <is>
          <t>ED_JU</t>
        </is>
      </c>
      <c r="I2209" t="inlineStr">
        <is>
          <t>2015-03</t>
        </is>
      </c>
      <c r="J2209" t="n">
        <v>1</v>
      </c>
      <c r="K2209" t="n">
        <v>1</v>
      </c>
      <c r="L2209" s="34">
        <f>IF($J2209=1,LN(B2210/B2209),"")</f>
        <v/>
      </c>
      <c r="M2209" s="34">
        <f>IF($K2209=1,INDEX(Mensal!$D$2:$D$245,MATCH($I2209,Mensal!$A$2:$A$245,0)),"")</f>
        <v/>
      </c>
      <c r="N2209" s="34">
        <f>IF($K2209=1,L2209-M2209,"")</f>
        <v/>
      </c>
      <c r="O2209" s="34" t="n">
        <v>0.00047103</v>
      </c>
      <c r="P2209" s="34">
        <f>IF($J2209=1,LN(1+O2209),"")</f>
        <v/>
      </c>
      <c r="Q2209" s="34">
        <f>IF($J2209=1,LN(R2210/R2209),"")</f>
        <v/>
      </c>
      <c r="R2209" s="32" t="n">
        <v>3.2264</v>
      </c>
      <c r="S2209" s="35" t="n">
        <v>13.906</v>
      </c>
      <c r="T2209" s="18" t="n"/>
      <c r="U2209" s="18" t="n"/>
      <c r="V2209" s="18" t="n"/>
      <c r="W2209" s="18" t="n">
        <v>48595.81</v>
      </c>
      <c r="X2209" s="35" t="n">
        <v>13.906</v>
      </c>
      <c r="Y2209" s="35" t="n"/>
    </row>
    <row r="2210">
      <c r="A2210" s="25" t="n">
        <v>42079</v>
      </c>
      <c r="B2210" s="18" t="n">
        <v>48848.21</v>
      </c>
      <c r="C2210" s="31" t="n"/>
      <c r="D2210" s="32" t="n"/>
      <c r="E2210" s="33" t="n">
        <v>-1.0288</v>
      </c>
      <c r="F2210" t="inlineStr">
        <is>
          <t>Down</t>
        </is>
      </c>
      <c r="G2210" t="inlineStr">
        <is>
          <t>Up</t>
        </is>
      </c>
      <c r="H2210" t="inlineStr">
        <is>
          <t>ED_JU</t>
        </is>
      </c>
      <c r="I2210" t="inlineStr">
        <is>
          <t>2015-03</t>
        </is>
      </c>
      <c r="J2210" t="n">
        <v>1</v>
      </c>
      <c r="K2210" t="n">
        <v>1</v>
      </c>
      <c r="L2210" s="34">
        <f>IF($J2210=1,LN(B2211/B2210),"")</f>
        <v/>
      </c>
      <c r="M2210" s="34">
        <f>IF($K2210=1,INDEX(Mensal!$D$2:$D$245,MATCH($I2210,Mensal!$A$2:$A$245,0)),"")</f>
        <v/>
      </c>
      <c r="N2210" s="34">
        <f>IF($K2210=1,L2210-M2210,"")</f>
        <v/>
      </c>
      <c r="O2210" s="34" t="n">
        <v>0.00047103</v>
      </c>
      <c r="P2210" s="34">
        <f>IF($J2210=1,LN(1+O2210),"")</f>
        <v/>
      </c>
      <c r="Q2210" s="34">
        <f>IF($J2210=1,LN(R2211/R2210),"")</f>
        <v/>
      </c>
      <c r="R2210" s="32" t="n">
        <v>3.2257</v>
      </c>
      <c r="S2210" s="35" t="n">
        <v>13.908</v>
      </c>
      <c r="T2210" s="18" t="n"/>
      <c r="U2210" s="18" t="n"/>
      <c r="V2210" s="18" t="n"/>
      <c r="W2210" s="18" t="n">
        <v>48848.21</v>
      </c>
      <c r="X2210" s="35" t="n">
        <v>13.908</v>
      </c>
      <c r="Y2210" s="35" t="n"/>
    </row>
    <row r="2211">
      <c r="A2211" s="25" t="n">
        <v>42080</v>
      </c>
      <c r="B2211" s="18" t="n">
        <v>50285.12</v>
      </c>
      <c r="C2211" s="31" t="n"/>
      <c r="D2211" s="32" t="n"/>
      <c r="E2211" s="33" t="n">
        <v>-1.0525</v>
      </c>
      <c r="F2211" t="inlineStr">
        <is>
          <t>Down</t>
        </is>
      </c>
      <c r="G2211" t="inlineStr">
        <is>
          <t>Up</t>
        </is>
      </c>
      <c r="H2211" t="inlineStr">
        <is>
          <t>ED_JU</t>
        </is>
      </c>
      <c r="I2211" t="inlineStr">
        <is>
          <t>2015-03</t>
        </is>
      </c>
      <c r="J2211" t="n">
        <v>1</v>
      </c>
      <c r="K2211" t="n">
        <v>1</v>
      </c>
      <c r="L2211" s="34">
        <f>IF($J2211=1,LN(B2212/B2211),"")</f>
        <v/>
      </c>
      <c r="M2211" s="34">
        <f>IF($K2211=1,INDEX(Mensal!$D$2:$D$245,MATCH($I2211,Mensal!$A$2:$A$245,0)),"")</f>
        <v/>
      </c>
      <c r="N2211" s="34">
        <f>IF($K2211=1,L2211-M2211,"")</f>
        <v/>
      </c>
      <c r="O2211" s="34" t="n">
        <v>0.00047103</v>
      </c>
      <c r="P2211" s="34">
        <f>IF($J2211=1,LN(1+O2211),"")</f>
        <v/>
      </c>
      <c r="Q2211" s="34">
        <f>IF($J2211=1,LN(R2212/R2211),"")</f>
        <v/>
      </c>
      <c r="R2211" s="32" t="n">
        <v>3.2683</v>
      </c>
      <c r="S2211" s="35" t="n">
        <v>13.784</v>
      </c>
      <c r="T2211" s="18" t="n"/>
      <c r="U2211" s="18" t="n"/>
      <c r="V2211" s="18" t="n"/>
      <c r="W2211" s="18" t="n">
        <v>50285.12</v>
      </c>
      <c r="X2211" s="35" t="n">
        <v>13.784</v>
      </c>
      <c r="Y2211" s="35" t="n"/>
    </row>
    <row r="2212">
      <c r="A2212" s="25" t="n">
        <v>42081</v>
      </c>
      <c r="B2212" s="18" t="n">
        <v>51526.19</v>
      </c>
      <c r="C2212" s="31" t="n"/>
      <c r="D2212" s="32" t="n"/>
      <c r="E2212" s="33" t="n">
        <v>-1.0676</v>
      </c>
      <c r="F2212" t="inlineStr">
        <is>
          <t>Down</t>
        </is>
      </c>
      <c r="G2212" t="inlineStr">
        <is>
          <t>Up</t>
        </is>
      </c>
      <c r="H2212" t="inlineStr">
        <is>
          <t>ED_JU</t>
        </is>
      </c>
      <c r="I2212" t="inlineStr">
        <is>
          <t>2015-03</t>
        </is>
      </c>
      <c r="J2212" t="n">
        <v>1</v>
      </c>
      <c r="K2212" t="n">
        <v>1</v>
      </c>
      <c r="L2212" s="34">
        <f>IF($J2212=1,LN(B2213/B2212),"")</f>
        <v/>
      </c>
      <c r="M2212" s="34">
        <f>IF($K2212=1,INDEX(Mensal!$D$2:$D$245,MATCH($I2212,Mensal!$A$2:$A$245,0)),"")</f>
        <v/>
      </c>
      <c r="N2212" s="34">
        <f>IF($K2212=1,L2212-M2212,"")</f>
        <v/>
      </c>
      <c r="O2212" s="34" t="n">
        <v>0.00047103</v>
      </c>
      <c r="P2212" s="34">
        <f>IF($J2212=1,LN(1+O2212),"")</f>
        <v/>
      </c>
      <c r="Q2212" s="34">
        <f>IF($J2212=1,LN(R2213/R2212),"")</f>
        <v/>
      </c>
      <c r="R2212" s="32" t="n">
        <v>3.2518</v>
      </c>
      <c r="S2212" s="35" t="n">
        <v>13.658</v>
      </c>
      <c r="T2212" s="18" t="n"/>
      <c r="U2212" s="18" t="n"/>
      <c r="V2212" s="18" t="n"/>
      <c r="W2212" s="18" t="n">
        <v>51526.19</v>
      </c>
      <c r="X2212" s="35" t="n">
        <v>13.658</v>
      </c>
      <c r="Y2212" s="35" t="n"/>
    </row>
    <row r="2213">
      <c r="A2213" s="25" t="n">
        <v>42082</v>
      </c>
      <c r="B2213" s="18" t="n">
        <v>50953.53</v>
      </c>
      <c r="C2213" s="31" t="n"/>
      <c r="D2213" s="32" t="n"/>
      <c r="E2213" s="33" t="n">
        <v>-1.0819</v>
      </c>
      <c r="F2213" t="inlineStr">
        <is>
          <t>Down</t>
        </is>
      </c>
      <c r="G2213" t="inlineStr">
        <is>
          <t>Up</t>
        </is>
      </c>
      <c r="H2213" t="inlineStr">
        <is>
          <t>ED_JU</t>
        </is>
      </c>
      <c r="I2213" t="inlineStr">
        <is>
          <t>2015-03</t>
        </is>
      </c>
      <c r="J2213" t="n">
        <v>1</v>
      </c>
      <c r="K2213" t="n">
        <v>1</v>
      </c>
      <c r="L2213" s="34">
        <f>IF($J2213=1,LN(B2214/B2213),"")</f>
        <v/>
      </c>
      <c r="M2213" s="34">
        <f>IF($K2213=1,INDEX(Mensal!$D$2:$D$245,MATCH($I2213,Mensal!$A$2:$A$245,0)),"")</f>
        <v/>
      </c>
      <c r="N2213" s="34">
        <f>IF($K2213=1,L2213-M2213,"")</f>
        <v/>
      </c>
      <c r="O2213" s="34" t="n">
        <v>0.00047103</v>
      </c>
      <c r="P2213" s="34">
        <f>IF($J2213=1,LN(1+O2213),"")</f>
        <v/>
      </c>
      <c r="Q2213" s="34">
        <f>IF($J2213=1,LN(R2214/R2213),"")</f>
        <v/>
      </c>
      <c r="R2213" s="32" t="n">
        <v>3.2642</v>
      </c>
      <c r="S2213" s="35" t="n">
        <v>13.787</v>
      </c>
      <c r="T2213" s="18" t="n"/>
      <c r="U2213" s="18" t="n"/>
      <c r="V2213" s="18" t="n"/>
      <c r="W2213" s="18" t="n">
        <v>50953.53</v>
      </c>
      <c r="X2213" s="35" t="n">
        <v>13.787</v>
      </c>
      <c r="Y2213" s="35" t="n"/>
    </row>
    <row r="2214">
      <c r="A2214" s="25" t="n">
        <v>42083</v>
      </c>
      <c r="B2214" s="18" t="n">
        <v>51966.58</v>
      </c>
      <c r="C2214" s="31" t="n"/>
      <c r="D2214" s="32" t="n"/>
      <c r="E2214" s="33" t="n">
        <v>-1.1192</v>
      </c>
      <c r="F2214" t="inlineStr">
        <is>
          <t>Down</t>
        </is>
      </c>
      <c r="G2214" t="inlineStr">
        <is>
          <t>Up</t>
        </is>
      </c>
      <c r="H2214" t="inlineStr">
        <is>
          <t>ED_JU</t>
        </is>
      </c>
      <c r="I2214" t="inlineStr">
        <is>
          <t>2015-03</t>
        </is>
      </c>
      <c r="J2214" t="n">
        <v>1</v>
      </c>
      <c r="K2214" t="n">
        <v>1</v>
      </c>
      <c r="L2214" s="34">
        <f>IF($J2214=1,LN(B2215/B2214),"")</f>
        <v/>
      </c>
      <c r="M2214" s="34">
        <f>IF($K2214=1,INDEX(Mensal!$D$2:$D$245,MATCH($I2214,Mensal!$A$2:$A$245,0)),"")</f>
        <v/>
      </c>
      <c r="N2214" s="34">
        <f>IF($K2214=1,L2214-M2214,"")</f>
        <v/>
      </c>
      <c r="O2214" s="34" t="n">
        <v>0.00047103</v>
      </c>
      <c r="P2214" s="34">
        <f>IF($J2214=1,LN(1+O2214),"")</f>
        <v/>
      </c>
      <c r="Q2214" s="34">
        <f>IF($J2214=1,LN(R2215/R2214),"")</f>
        <v/>
      </c>
      <c r="R2214" s="32" t="n">
        <v>3.2423</v>
      </c>
      <c r="S2214" s="35" t="n">
        <v>13.69</v>
      </c>
      <c r="T2214" s="18" t="n"/>
      <c r="U2214" s="18" t="n"/>
      <c r="V2214" s="18" t="n"/>
      <c r="W2214" s="18" t="n">
        <v>51966.58</v>
      </c>
      <c r="X2214" s="35" t="n">
        <v>13.69</v>
      </c>
      <c r="Y2214" s="35" t="n"/>
    </row>
    <row r="2215">
      <c r="A2215" s="25" t="n">
        <v>42086</v>
      </c>
      <c r="B2215" s="18" t="n">
        <v>51908.46</v>
      </c>
      <c r="C2215" s="31" t="n"/>
      <c r="D2215" s="32" t="n"/>
      <c r="E2215" s="33" t="n">
        <v>-1.1738</v>
      </c>
      <c r="F2215" t="inlineStr">
        <is>
          <t>Down</t>
        </is>
      </c>
      <c r="G2215" t="inlineStr">
        <is>
          <t>Up</t>
        </is>
      </c>
      <c r="H2215" t="inlineStr">
        <is>
          <t>ED_JU</t>
        </is>
      </c>
      <c r="I2215" t="inlineStr">
        <is>
          <t>2015-03</t>
        </is>
      </c>
      <c r="J2215" t="n">
        <v>1</v>
      </c>
      <c r="K2215" t="n">
        <v>1</v>
      </c>
      <c r="L2215" s="34">
        <f>IF($J2215=1,LN(B2216/B2215),"")</f>
        <v/>
      </c>
      <c r="M2215" s="34">
        <f>IF($K2215=1,INDEX(Mensal!$D$2:$D$245,MATCH($I2215,Mensal!$A$2:$A$245,0)),"")</f>
        <v/>
      </c>
      <c r="N2215" s="34">
        <f>IF($K2215=1,L2215-M2215,"")</f>
        <v/>
      </c>
      <c r="O2215" s="34" t="n">
        <v>0.00047138</v>
      </c>
      <c r="P2215" s="34">
        <f>IF($J2215=1,LN(1+O2215),"")</f>
        <v/>
      </c>
      <c r="Q2215" s="34">
        <f>IF($J2215=1,LN(R2216/R2215),"")</f>
        <v/>
      </c>
      <c r="R2215" s="32" t="n">
        <v>3.18</v>
      </c>
      <c r="S2215" s="35" t="n">
        <v>13.617</v>
      </c>
      <c r="T2215" s="18" t="n"/>
      <c r="U2215" s="18" t="n"/>
      <c r="V2215" s="18" t="n"/>
      <c r="W2215" s="18" t="n">
        <v>51908.46</v>
      </c>
      <c r="X2215" s="35" t="n">
        <v>13.617</v>
      </c>
      <c r="Y2215" s="35" t="n"/>
    </row>
    <row r="2216">
      <c r="A2216" s="25" t="n">
        <v>42087</v>
      </c>
      <c r="B2216" s="18" t="n">
        <v>51506.07</v>
      </c>
      <c r="C2216" s="31" t="n"/>
      <c r="D2216" s="32" t="n"/>
      <c r="E2216" s="33" t="n">
        <v>-1.2296</v>
      </c>
      <c r="F2216" t="inlineStr">
        <is>
          <t>Down</t>
        </is>
      </c>
      <c r="G2216" t="inlineStr">
        <is>
          <t>Up</t>
        </is>
      </c>
      <c r="H2216" t="inlineStr">
        <is>
          <t>ED_JU</t>
        </is>
      </c>
      <c r="I2216" t="inlineStr">
        <is>
          <t>2015-03</t>
        </is>
      </c>
      <c r="J2216" t="n">
        <v>1</v>
      </c>
      <c r="K2216" t="n">
        <v>1</v>
      </c>
      <c r="L2216" s="34">
        <f>IF($J2216=1,LN(B2217/B2216),"")</f>
        <v/>
      </c>
      <c r="M2216" s="34">
        <f>IF($K2216=1,INDEX(Mensal!$D$2:$D$245,MATCH($I2216,Mensal!$A$2:$A$245,0)),"")</f>
        <v/>
      </c>
      <c r="N2216" s="34">
        <f>IF($K2216=1,L2216-M2216,"")</f>
        <v/>
      </c>
      <c r="O2216" s="34" t="n">
        <v>0.00047138</v>
      </c>
      <c r="P2216" s="34">
        <f>IF($J2216=1,LN(1+O2216),"")</f>
        <v/>
      </c>
      <c r="Q2216" s="34">
        <f>IF($J2216=1,LN(R2217/R2216),"")</f>
        <v/>
      </c>
      <c r="R2216" s="32" t="n">
        <v>3.131</v>
      </c>
      <c r="S2216" s="35" t="n">
        <v>13.587</v>
      </c>
      <c r="T2216" s="18" t="n"/>
      <c r="U2216" s="18" t="n"/>
      <c r="V2216" s="18" t="n"/>
      <c r="W2216" s="18" t="n">
        <v>51506.07</v>
      </c>
      <c r="X2216" s="35" t="n">
        <v>13.587</v>
      </c>
      <c r="Y2216" s="35" t="n"/>
    </row>
    <row r="2217">
      <c r="A2217" s="25" t="n">
        <v>42088</v>
      </c>
      <c r="B2217" s="18" t="n">
        <v>51858.3</v>
      </c>
      <c r="C2217" s="31" t="n"/>
      <c r="D2217" s="32" t="n"/>
      <c r="E2217" s="33" t="n">
        <v>-1.2893</v>
      </c>
      <c r="F2217" t="inlineStr">
        <is>
          <t>Down</t>
        </is>
      </c>
      <c r="G2217" t="inlineStr">
        <is>
          <t>Up</t>
        </is>
      </c>
      <c r="H2217" t="inlineStr">
        <is>
          <t>ED_JU</t>
        </is>
      </c>
      <c r="I2217" t="inlineStr">
        <is>
          <t>2015-03</t>
        </is>
      </c>
      <c r="J2217" t="n">
        <v>1</v>
      </c>
      <c r="K2217" t="n">
        <v>1</v>
      </c>
      <c r="L2217" s="34">
        <f>IF($J2217=1,LN(B2218/B2217),"")</f>
        <v/>
      </c>
      <c r="M2217" s="34">
        <f>IF($K2217=1,INDEX(Mensal!$D$2:$D$245,MATCH($I2217,Mensal!$A$2:$A$245,0)),"")</f>
        <v/>
      </c>
      <c r="N2217" s="34">
        <f>IF($K2217=1,L2217-M2217,"")</f>
        <v/>
      </c>
      <c r="O2217" s="34" t="n">
        <v>0.00047138</v>
      </c>
      <c r="P2217" s="34">
        <f>IF($J2217=1,LN(1+O2217),"")</f>
        <v/>
      </c>
      <c r="Q2217" s="34">
        <f>IF($J2217=1,LN(R2218/R2217),"")</f>
        <v/>
      </c>
      <c r="R2217" s="32" t="n">
        <v>3.1476</v>
      </c>
      <c r="S2217" s="35" t="n">
        <v>13.557</v>
      </c>
      <c r="T2217" s="18" t="n"/>
      <c r="U2217" s="18" t="n"/>
      <c r="V2217" s="18" t="n"/>
      <c r="W2217" s="18" t="n">
        <v>51858.3</v>
      </c>
      <c r="X2217" s="35" t="n">
        <v>13.557</v>
      </c>
      <c r="Y2217" s="35" t="n"/>
    </row>
    <row r="2218">
      <c r="A2218" s="25" t="n">
        <v>42089</v>
      </c>
      <c r="B2218" s="18" t="n">
        <v>50579.85</v>
      </c>
      <c r="C2218" s="31" t="n"/>
      <c r="D2218" s="32" t="n"/>
      <c r="E2218" s="33" t="n">
        <v>-1.3405</v>
      </c>
      <c r="F2218" t="inlineStr">
        <is>
          <t>Down</t>
        </is>
      </c>
      <c r="G2218" t="inlineStr">
        <is>
          <t>Up</t>
        </is>
      </c>
      <c r="H2218" t="inlineStr">
        <is>
          <t>ED_JU</t>
        </is>
      </c>
      <c r="I2218" t="inlineStr">
        <is>
          <t>2015-03</t>
        </is>
      </c>
      <c r="J2218" t="n">
        <v>1</v>
      </c>
      <c r="K2218" t="n">
        <v>1</v>
      </c>
      <c r="L2218" s="34">
        <f>IF($J2218=1,LN(B2219/B2218),"")</f>
        <v/>
      </c>
      <c r="M2218" s="34">
        <f>IF($K2218=1,INDEX(Mensal!$D$2:$D$245,MATCH($I2218,Mensal!$A$2:$A$245,0)),"")</f>
        <v/>
      </c>
      <c r="N2218" s="34">
        <f>IF($K2218=1,L2218-M2218,"")</f>
        <v/>
      </c>
      <c r="O2218" s="34" t="n">
        <v>0.00047138</v>
      </c>
      <c r="P2218" s="34">
        <f>IF($J2218=1,LN(1+O2218),"")</f>
        <v/>
      </c>
      <c r="Q2218" s="34">
        <f>IF($J2218=1,LN(R2219/R2218),"")</f>
        <v/>
      </c>
      <c r="R2218" s="32" t="n">
        <v>3.1915</v>
      </c>
      <c r="S2218" s="35" t="n">
        <v>13.587</v>
      </c>
      <c r="T2218" s="18" t="n"/>
      <c r="U2218" s="18" t="n"/>
      <c r="V2218" s="18" t="n"/>
      <c r="W2218" s="18" t="n">
        <v>50579.85</v>
      </c>
      <c r="X2218" s="35" t="n">
        <v>13.587</v>
      </c>
      <c r="Y2218" s="35" t="n"/>
    </row>
    <row r="2219">
      <c r="A2219" s="25" t="n">
        <v>42090</v>
      </c>
      <c r="B2219" s="18" t="n">
        <v>50094.66</v>
      </c>
      <c r="C2219" s="31" t="n"/>
      <c r="D2219" s="32" t="n"/>
      <c r="E2219" s="33" t="n">
        <v>-1.3799</v>
      </c>
      <c r="F2219" t="inlineStr">
        <is>
          <t>Down</t>
        </is>
      </c>
      <c r="G2219" t="inlineStr">
        <is>
          <t>Up</t>
        </is>
      </c>
      <c r="H2219" t="inlineStr">
        <is>
          <t>ED_JU</t>
        </is>
      </c>
      <c r="I2219" t="inlineStr">
        <is>
          <t>2015-03</t>
        </is>
      </c>
      <c r="J2219" t="n">
        <v>1</v>
      </c>
      <c r="K2219" t="n">
        <v>1</v>
      </c>
      <c r="L2219" s="34">
        <f>IF($J2219=1,LN(B2220/B2219),"")</f>
        <v/>
      </c>
      <c r="M2219" s="34">
        <f>IF($K2219=1,INDEX(Mensal!$D$2:$D$245,MATCH($I2219,Mensal!$A$2:$A$245,0)),"")</f>
        <v/>
      </c>
      <c r="N2219" s="34">
        <f>IF($K2219=1,L2219-M2219,"")</f>
        <v/>
      </c>
      <c r="O2219" s="34" t="n">
        <v>0.00047138</v>
      </c>
      <c r="P2219" s="34">
        <f>IF($J2219=1,LN(1+O2219),"")</f>
        <v/>
      </c>
      <c r="Q2219" s="34">
        <f>IF($J2219=1,LN(R2220/R2219),"")</f>
        <v/>
      </c>
      <c r="R2219" s="32" t="n">
        <v>3.2259</v>
      </c>
      <c r="S2219" s="35" t="n">
        <v>13.634</v>
      </c>
      <c r="T2219" s="18" t="n"/>
      <c r="U2219" s="18" t="n"/>
      <c r="V2219" s="18" t="n"/>
      <c r="W2219" s="18" t="n">
        <v>50094.66</v>
      </c>
      <c r="X2219" s="35" t="n">
        <v>13.634</v>
      </c>
      <c r="Y2219" s="35" t="n"/>
    </row>
    <row r="2220">
      <c r="A2220" s="25" t="n">
        <v>42093</v>
      </c>
      <c r="B2220" s="18" t="n">
        <v>51243.45</v>
      </c>
      <c r="C2220" s="31" t="n"/>
      <c r="D2220" s="32" t="n"/>
      <c r="E2220" s="33" t="n">
        <v>-1.4095</v>
      </c>
      <c r="F2220" t="inlineStr">
        <is>
          <t>Down</t>
        </is>
      </c>
      <c r="G2220" t="inlineStr">
        <is>
          <t>Up</t>
        </is>
      </c>
      <c r="H2220" t="inlineStr">
        <is>
          <t>ED_JU</t>
        </is>
      </c>
      <c r="I2220" t="inlineStr">
        <is>
          <t>2015-03</t>
        </is>
      </c>
      <c r="J2220" t="n">
        <v>1</v>
      </c>
      <c r="K2220" t="n">
        <v>1</v>
      </c>
      <c r="L2220" s="34">
        <f>IF($J2220=1,LN(B2221/B2220),"")</f>
        <v/>
      </c>
      <c r="M2220" s="34">
        <f>IF($K2220=1,INDEX(Mensal!$D$2:$D$245,MATCH($I2220,Mensal!$A$2:$A$245,0)),"")</f>
        <v/>
      </c>
      <c r="N2220" s="34">
        <f>IF($K2220=1,L2220-M2220,"")</f>
        <v/>
      </c>
      <c r="O2220" s="34" t="n">
        <v>0.00047103</v>
      </c>
      <c r="P2220" s="34">
        <f>IF($J2220=1,LN(1+O2220),"")</f>
        <v/>
      </c>
      <c r="Q2220" s="34">
        <f>IF($J2220=1,LN(R2221/R2220),"")</f>
        <v/>
      </c>
      <c r="R2220" s="32" t="n">
        <v>3.2601</v>
      </c>
      <c r="S2220" s="35" t="n">
        <v>13.597</v>
      </c>
      <c r="T2220" s="18" t="n"/>
      <c r="U2220" s="18" t="n"/>
      <c r="V2220" s="18" t="n"/>
      <c r="W2220" s="18" t="n">
        <v>51243.45</v>
      </c>
      <c r="X2220" s="35" t="n">
        <v>13.597</v>
      </c>
      <c r="Y2220" s="35" t="n"/>
    </row>
    <row r="2221">
      <c r="A2221" s="25" t="n">
        <v>42094</v>
      </c>
      <c r="B2221" s="18" t="n">
        <v>51150.16</v>
      </c>
      <c r="C2221" s="31" t="n"/>
      <c r="D2221" s="32" t="n"/>
      <c r="E2221" s="33" t="n">
        <v>-1.4341</v>
      </c>
      <c r="F2221" t="inlineStr">
        <is>
          <t>Down</t>
        </is>
      </c>
      <c r="G2221" t="inlineStr">
        <is>
          <t>Up</t>
        </is>
      </c>
      <c r="H2221" t="inlineStr">
        <is>
          <t>ED_JU</t>
        </is>
      </c>
      <c r="I2221" t="inlineStr">
        <is>
          <t>2015-03</t>
        </is>
      </c>
      <c r="J2221" t="n">
        <v>1</v>
      </c>
      <c r="K2221" t="n">
        <v>1</v>
      </c>
      <c r="L2221" s="34">
        <f>IF($J2221=1,LN(B2222/B2221),"")</f>
        <v/>
      </c>
      <c r="M2221" s="34">
        <f>IF($K2221=1,INDEX(Mensal!$D$2:$D$245,MATCH($I2221,Mensal!$A$2:$A$245,0)),"")</f>
        <v/>
      </c>
      <c r="N2221" s="34">
        <f>IF($K2221=1,L2221-M2221,"")</f>
        <v/>
      </c>
      <c r="O2221" s="34" t="n">
        <v>0.00047103</v>
      </c>
      <c r="P2221" s="34">
        <f>IF($J2221=1,LN(1+O2221),"")</f>
        <v/>
      </c>
      <c r="Q2221" s="34">
        <f>IF($J2221=1,LN(R2222/R2221),"")</f>
        <v/>
      </c>
      <c r="R2221" s="32" t="n">
        <v>3.208</v>
      </c>
      <c r="S2221" s="35" t="n">
        <v>13.519</v>
      </c>
      <c r="T2221" s="18" t="n"/>
      <c r="U2221" s="18" t="n"/>
      <c r="V2221" s="18" t="n"/>
      <c r="W2221" s="18" t="n">
        <v>51150.16</v>
      </c>
      <c r="X2221" s="35" t="n">
        <v>13.519</v>
      </c>
      <c r="Y2221" s="35" t="n"/>
    </row>
    <row r="2222">
      <c r="A2222" s="25" t="n">
        <v>42095</v>
      </c>
      <c r="B2222" s="18" t="n">
        <v>52321.76</v>
      </c>
      <c r="C2222" s="31" t="n"/>
      <c r="D2222" s="32" t="n"/>
      <c r="E2222" s="33" t="n">
        <v>-1.4577</v>
      </c>
      <c r="F2222" t="inlineStr">
        <is>
          <t>Down</t>
        </is>
      </c>
      <c r="G2222" t="inlineStr">
        <is>
          <t>Up</t>
        </is>
      </c>
      <c r="H2222" t="inlineStr">
        <is>
          <t>ED_JU</t>
        </is>
      </c>
      <c r="I2222" t="inlineStr">
        <is>
          <t>2015-04</t>
        </is>
      </c>
      <c r="J2222" t="n">
        <v>1</v>
      </c>
      <c r="K2222" t="n">
        <v>1</v>
      </c>
      <c r="L2222" s="34">
        <f>IF($J2222=1,LN(B2223/B2222),"")</f>
        <v/>
      </c>
      <c r="M2222" s="34">
        <f>IF($K2222=1,INDEX(Mensal!$D$2:$D$245,MATCH($I2222,Mensal!$A$2:$A$245,0)),"")</f>
        <v/>
      </c>
      <c r="N2222" s="34">
        <f>IF($K2222=1,L2222-M2222,"")</f>
        <v/>
      </c>
      <c r="O2222" s="34" t="n">
        <v>0.00047103</v>
      </c>
      <c r="P2222" s="34">
        <f>IF($J2222=1,LN(1+O2222),"")</f>
        <v/>
      </c>
      <c r="Q2222" s="34">
        <f>IF($J2222=1,LN(R2223/R2222),"")</f>
        <v/>
      </c>
      <c r="R2222" s="32" t="n">
        <v>3.1556</v>
      </c>
      <c r="S2222" s="35" t="n">
        <v>13.351</v>
      </c>
      <c r="T2222" s="18" t="n"/>
      <c r="U2222" s="18" t="n"/>
      <c r="V2222" s="18" t="n"/>
      <c r="W2222" s="18" t="n">
        <v>52321.76</v>
      </c>
      <c r="X2222" s="35" t="n">
        <v>13.351</v>
      </c>
      <c r="Y2222" s="35" t="n"/>
    </row>
    <row r="2223">
      <c r="A2223" s="25" t="n">
        <v>42096</v>
      </c>
      <c r="B2223" s="18" t="n">
        <v>53123.02</v>
      </c>
      <c r="C2223" s="31" t="n"/>
      <c r="D2223" s="32" t="n"/>
      <c r="E2223" s="33" t="n">
        <v>-1.4733</v>
      </c>
      <c r="F2223" t="inlineStr">
        <is>
          <t>Down</t>
        </is>
      </c>
      <c r="G2223" t="inlineStr">
        <is>
          <t>Up</t>
        </is>
      </c>
      <c r="H2223" t="inlineStr">
        <is>
          <t>ED_JU</t>
        </is>
      </c>
      <c r="I2223" t="inlineStr">
        <is>
          <t>2015-04</t>
        </is>
      </c>
      <c r="J2223" t="n">
        <v>1</v>
      </c>
      <c r="K2223" t="n">
        <v>1</v>
      </c>
      <c r="L2223" s="34">
        <f>IF($J2223=1,LN(B2224/B2223),"")</f>
        <v/>
      </c>
      <c r="M2223" s="34">
        <f>IF($K2223=1,INDEX(Mensal!$D$2:$D$245,MATCH($I2223,Mensal!$A$2:$A$245,0)),"")</f>
        <v/>
      </c>
      <c r="N2223" s="34">
        <f>IF($K2223=1,L2223-M2223,"")</f>
        <v/>
      </c>
      <c r="O2223" s="34" t="n">
        <v>0.00047103</v>
      </c>
      <c r="P2223" s="34">
        <f>IF($J2223=1,LN(1+O2223),"")</f>
        <v/>
      </c>
      <c r="Q2223" s="34">
        <f>IF($J2223=1,LN(R2224/R2223),"")</f>
        <v/>
      </c>
      <c r="R2223" s="32" t="n">
        <v>3.1492</v>
      </c>
      <c r="S2223" s="35" t="n">
        <v>13.361</v>
      </c>
      <c r="T2223" s="18" t="n"/>
      <c r="U2223" s="18" t="n"/>
      <c r="V2223" s="18" t="n"/>
      <c r="W2223" s="18" t="n">
        <v>53123.02</v>
      </c>
      <c r="X2223" s="35" t="n">
        <v>13.361</v>
      </c>
      <c r="Y2223" s="35" t="n"/>
    </row>
    <row r="2224">
      <c r="A2224" s="25" t="n">
        <v>42100</v>
      </c>
      <c r="B2224" s="18" t="n">
        <v>53737.26</v>
      </c>
      <c r="C2224" s="31" t="n"/>
      <c r="D2224" s="32" t="n"/>
      <c r="E2224" s="33" t="n">
        <v>-1.4864</v>
      </c>
      <c r="F2224" t="inlineStr">
        <is>
          <t>Down</t>
        </is>
      </c>
      <c r="G2224" t="inlineStr">
        <is>
          <t>Up</t>
        </is>
      </c>
      <c r="H2224" t="inlineStr">
        <is>
          <t>ED_JU</t>
        </is>
      </c>
      <c r="I2224" t="inlineStr">
        <is>
          <t>2015-04</t>
        </is>
      </c>
      <c r="J2224" t="n">
        <v>1</v>
      </c>
      <c r="K2224" t="n">
        <v>1</v>
      </c>
      <c r="L2224" s="34">
        <f>IF($J2224=1,LN(B2225/B2224),"")</f>
        <v/>
      </c>
      <c r="M2224" s="34">
        <f>IF($K2224=1,INDEX(Mensal!$D$2:$D$245,MATCH($I2224,Mensal!$A$2:$A$245,0)),"")</f>
        <v/>
      </c>
      <c r="N2224" s="34">
        <f>IF($K2224=1,L2224-M2224,"")</f>
        <v/>
      </c>
      <c r="O2224" s="34" t="n">
        <v>0.00047103</v>
      </c>
      <c r="P2224" s="34">
        <f>IF($J2224=1,LN(1+O2224),"")</f>
        <v/>
      </c>
      <c r="Q2224" s="34">
        <f>IF($J2224=1,LN(R2225/R2224),"")</f>
        <v/>
      </c>
      <c r="R2224" s="32" t="n">
        <v>3.0926</v>
      </c>
      <c r="S2224" s="35" t="n">
        <v>13.34</v>
      </c>
      <c r="T2224" s="18" t="n"/>
      <c r="U2224" s="18" t="n"/>
      <c r="V2224" s="18" t="n"/>
      <c r="W2224" s="18" t="n">
        <v>53737.26</v>
      </c>
      <c r="X2224" s="35" t="n">
        <v>13.34</v>
      </c>
      <c r="Y2224" s="35" t="n"/>
    </row>
    <row r="2225">
      <c r="A2225" s="25" t="n">
        <v>42101</v>
      </c>
      <c r="B2225" s="18" t="n">
        <v>53729.16</v>
      </c>
      <c r="C2225" s="31" t="n"/>
      <c r="D2225" s="32" t="n"/>
      <c r="E2225" s="33" t="n">
        <v>-1.4776</v>
      </c>
      <c r="F2225" t="inlineStr">
        <is>
          <t>Down</t>
        </is>
      </c>
      <c r="G2225" t="inlineStr">
        <is>
          <t>Up</t>
        </is>
      </c>
      <c r="H2225" t="inlineStr">
        <is>
          <t>ED_JU</t>
        </is>
      </c>
      <c r="I2225" t="inlineStr">
        <is>
          <t>2015-04</t>
        </is>
      </c>
      <c r="J2225" t="n">
        <v>1</v>
      </c>
      <c r="K2225" t="n">
        <v>1</v>
      </c>
      <c r="L2225" s="34">
        <f>IF($J2225=1,LN(B2226/B2225),"")</f>
        <v/>
      </c>
      <c r="M2225" s="34">
        <f>IF($K2225=1,INDEX(Mensal!$D$2:$D$245,MATCH($I2225,Mensal!$A$2:$A$245,0)),"")</f>
        <v/>
      </c>
      <c r="N2225" s="34">
        <f>IF($K2225=1,L2225-M2225,"")</f>
        <v/>
      </c>
      <c r="O2225" s="34" t="n">
        <v>0.00047103</v>
      </c>
      <c r="P2225" s="34">
        <f>IF($J2225=1,LN(1+O2225),"")</f>
        <v/>
      </c>
      <c r="Q2225" s="34">
        <f>IF($J2225=1,LN(R2226/R2225),"")</f>
        <v/>
      </c>
      <c r="R2225" s="32" t="n">
        <v>3.1231</v>
      </c>
      <c r="S2225" s="35" t="n">
        <v>13.3</v>
      </c>
      <c r="T2225" s="18" t="n"/>
      <c r="U2225" s="18" t="n"/>
      <c r="V2225" s="18" t="n"/>
      <c r="W2225" s="18" t="n">
        <v>53729.16</v>
      </c>
      <c r="X2225" s="35" t="n">
        <v>13.3</v>
      </c>
      <c r="Y2225" s="35" t="n"/>
    </row>
    <row r="2226">
      <c r="A2226" s="25" t="n">
        <v>42102</v>
      </c>
      <c r="B2226" s="18" t="n">
        <v>53661.11</v>
      </c>
      <c r="C2226" s="31" t="n"/>
      <c r="D2226" s="32" t="n"/>
      <c r="E2226" s="33" t="n">
        <v>-1.4739</v>
      </c>
      <c r="F2226" t="inlineStr">
        <is>
          <t>Down</t>
        </is>
      </c>
      <c r="G2226" t="inlineStr">
        <is>
          <t>Up</t>
        </is>
      </c>
      <c r="H2226" t="inlineStr">
        <is>
          <t>ED_JU</t>
        </is>
      </c>
      <c r="I2226" t="inlineStr">
        <is>
          <t>2015-04</t>
        </is>
      </c>
      <c r="J2226" t="n">
        <v>1</v>
      </c>
      <c r="K2226" t="n">
        <v>1</v>
      </c>
      <c r="L2226" s="34">
        <f>IF($J2226=1,LN(B2227/B2226),"")</f>
        <v/>
      </c>
      <c r="M2226" s="34">
        <f>IF($K2226=1,INDEX(Mensal!$D$2:$D$245,MATCH($I2226,Mensal!$A$2:$A$245,0)),"")</f>
        <v/>
      </c>
      <c r="N2226" s="34">
        <f>IF($K2226=1,L2226-M2226,"")</f>
        <v/>
      </c>
      <c r="O2226" s="34" t="n">
        <v>0.00047103</v>
      </c>
      <c r="P2226" s="34">
        <f>IF($J2226=1,LN(1+O2226),"")</f>
        <v/>
      </c>
      <c r="Q2226" s="34">
        <f>IF($J2226=1,LN(R2227/R2226),"")</f>
        <v/>
      </c>
      <c r="R2226" s="32" t="n">
        <v>3.0834</v>
      </c>
      <c r="S2226" s="35" t="n">
        <v>13.219</v>
      </c>
      <c r="T2226" s="18" t="n"/>
      <c r="U2226" s="18" t="n"/>
      <c r="V2226" s="18" t="n"/>
      <c r="W2226" s="18" t="n">
        <v>53661.11</v>
      </c>
      <c r="X2226" s="35" t="n">
        <v>13.219</v>
      </c>
      <c r="Y2226" s="35" t="n"/>
    </row>
    <row r="2227">
      <c r="A2227" s="25" t="n">
        <v>42103</v>
      </c>
      <c r="B2227" s="18" t="n">
        <v>53802.66</v>
      </c>
      <c r="C2227" s="31" t="n"/>
      <c r="D2227" s="32" t="n"/>
      <c r="E2227" s="33" t="n">
        <v>-1.4648</v>
      </c>
      <c r="F2227" t="inlineStr">
        <is>
          <t>Down</t>
        </is>
      </c>
      <c r="G2227" t="inlineStr">
        <is>
          <t>Up</t>
        </is>
      </c>
      <c r="H2227" t="inlineStr">
        <is>
          <t>ED_JU</t>
        </is>
      </c>
      <c r="I2227" t="inlineStr">
        <is>
          <t>2015-04</t>
        </is>
      </c>
      <c r="J2227" t="n">
        <v>1</v>
      </c>
      <c r="K2227" t="n">
        <v>1</v>
      </c>
      <c r="L2227" s="34">
        <f>IF($J2227=1,LN(B2228/B2227),"")</f>
        <v/>
      </c>
      <c r="M2227" s="34">
        <f>IF($K2227=1,INDEX(Mensal!$D$2:$D$245,MATCH($I2227,Mensal!$A$2:$A$245,0)),"")</f>
        <v/>
      </c>
      <c r="N2227" s="34">
        <f>IF($K2227=1,L2227-M2227,"")</f>
        <v/>
      </c>
      <c r="O2227" s="34" t="n">
        <v>0.00047103</v>
      </c>
      <c r="P2227" s="34">
        <f>IF($J2227=1,LN(1+O2227),"")</f>
        <v/>
      </c>
      <c r="Q2227" s="34">
        <f>IF($J2227=1,LN(R2228/R2227),"")</f>
        <v/>
      </c>
      <c r="R2227" s="32" t="n">
        <v>3.0466</v>
      </c>
      <c r="S2227" s="35" t="n">
        <v>13.259</v>
      </c>
      <c r="T2227" s="18" t="n"/>
      <c r="U2227" s="18" t="n"/>
      <c r="V2227" s="18" t="n"/>
      <c r="W2227" s="18" t="n">
        <v>53802.66</v>
      </c>
      <c r="X2227" s="35" t="n">
        <v>13.259</v>
      </c>
      <c r="Y2227" s="35" t="n"/>
    </row>
    <row r="2228">
      <c r="A2228" s="25" t="n">
        <v>42104</v>
      </c>
      <c r="B2228" s="18" t="n">
        <v>54214.11</v>
      </c>
      <c r="C2228" s="31" t="n"/>
      <c r="D2228" s="32" t="n"/>
      <c r="E2228" s="33" t="n">
        <v>-1.4519</v>
      </c>
      <c r="F2228" t="inlineStr">
        <is>
          <t>Down</t>
        </is>
      </c>
      <c r="G2228" t="inlineStr">
        <is>
          <t>Up</t>
        </is>
      </c>
      <c r="H2228" t="inlineStr">
        <is>
          <t>ED_JU</t>
        </is>
      </c>
      <c r="I2228" t="inlineStr">
        <is>
          <t>2015-04</t>
        </is>
      </c>
      <c r="J2228" t="n">
        <v>1</v>
      </c>
      <c r="K2228" t="n">
        <v>1</v>
      </c>
      <c r="L2228" s="34">
        <f>IF($J2228=1,LN(B2229/B2228),"")</f>
        <v/>
      </c>
      <c r="M2228" s="34">
        <f>IF($K2228=1,INDEX(Mensal!$D$2:$D$245,MATCH($I2228,Mensal!$A$2:$A$245,0)),"")</f>
        <v/>
      </c>
      <c r="N2228" s="34">
        <f>IF($K2228=1,L2228-M2228,"")</f>
        <v/>
      </c>
      <c r="O2228" s="34" t="n">
        <v>0.00047103</v>
      </c>
      <c r="P2228" s="34">
        <f>IF($J2228=1,LN(1+O2228),"")</f>
        <v/>
      </c>
      <c r="Q2228" s="34">
        <f>IF($J2228=1,LN(R2229/R2228),"")</f>
        <v/>
      </c>
      <c r="R2228" s="32" t="n">
        <v>3.0796</v>
      </c>
      <c r="S2228" s="35" t="n">
        <v>13.239</v>
      </c>
      <c r="T2228" s="18" t="n"/>
      <c r="U2228" s="18" t="n"/>
      <c r="V2228" s="18" t="n"/>
      <c r="W2228" s="18" t="n">
        <v>54214.11</v>
      </c>
      <c r="X2228" s="35" t="n">
        <v>13.239</v>
      </c>
      <c r="Y2228" s="35" t="n"/>
    </row>
    <row r="2229">
      <c r="A2229" s="25" t="n">
        <v>42107</v>
      </c>
      <c r="B2229" s="18" t="n">
        <v>54239.77</v>
      </c>
      <c r="C2229" s="31" t="n"/>
      <c r="D2229" s="32" t="n"/>
      <c r="E2229" s="33" t="n">
        <v>-1.4605</v>
      </c>
      <c r="F2229" t="inlineStr">
        <is>
          <t>Down</t>
        </is>
      </c>
      <c r="G2229" t="inlineStr">
        <is>
          <t>Up</t>
        </is>
      </c>
      <c r="H2229" t="inlineStr">
        <is>
          <t>ED_JU</t>
        </is>
      </c>
      <c r="I2229" t="inlineStr">
        <is>
          <t>2015-04</t>
        </is>
      </c>
      <c r="J2229" t="n">
        <v>1</v>
      </c>
      <c r="K2229" t="n">
        <v>1</v>
      </c>
      <c r="L2229" s="34">
        <f>IF($J2229=1,LN(B2230/B2229),"")</f>
        <v/>
      </c>
      <c r="M2229" s="34">
        <f>IF($K2229=1,INDEX(Mensal!$D$2:$D$245,MATCH($I2229,Mensal!$A$2:$A$245,0)),"")</f>
        <v/>
      </c>
      <c r="N2229" s="34">
        <f>IF($K2229=1,L2229-M2229,"")</f>
        <v/>
      </c>
      <c r="O2229" s="34" t="n">
        <v>0.00047103</v>
      </c>
      <c r="P2229" s="34">
        <f>IF($J2229=1,LN(1+O2229),"")</f>
        <v/>
      </c>
      <c r="Q2229" s="34">
        <f>IF($J2229=1,LN(R2230/R2229),"")</f>
        <v/>
      </c>
      <c r="R2229" s="32" t="n">
        <v>3.1011</v>
      </c>
      <c r="S2229" s="35" t="n">
        <v>13.257</v>
      </c>
      <c r="T2229" s="18" t="n"/>
      <c r="U2229" s="18" t="n"/>
      <c r="V2229" s="18" t="n"/>
      <c r="W2229" s="18" t="n">
        <v>54239.77</v>
      </c>
      <c r="X2229" s="35" t="n">
        <v>13.257</v>
      </c>
      <c r="Y2229" s="35" t="n"/>
    </row>
    <row r="2230">
      <c r="A2230" s="25" t="n">
        <v>42108</v>
      </c>
      <c r="B2230" s="18" t="n">
        <v>53981.92</v>
      </c>
      <c r="C2230" s="31" t="n"/>
      <c r="D2230" s="32" t="n"/>
      <c r="E2230" s="33" t="n">
        <v>-1.4732</v>
      </c>
      <c r="F2230" t="inlineStr">
        <is>
          <t>Down</t>
        </is>
      </c>
      <c r="G2230" t="inlineStr">
        <is>
          <t>Up</t>
        </is>
      </c>
      <c r="H2230" t="inlineStr">
        <is>
          <t>ED_JU</t>
        </is>
      </c>
      <c r="I2230" t="inlineStr">
        <is>
          <t>2015-04</t>
        </is>
      </c>
      <c r="J2230" t="n">
        <v>1</v>
      </c>
      <c r="K2230" t="n">
        <v>1</v>
      </c>
      <c r="L2230" s="34">
        <f>IF($J2230=1,LN(B2231/B2230),"")</f>
        <v/>
      </c>
      <c r="M2230" s="34">
        <f>IF($K2230=1,INDEX(Mensal!$D$2:$D$245,MATCH($I2230,Mensal!$A$2:$A$245,0)),"")</f>
        <v/>
      </c>
      <c r="N2230" s="34">
        <f>IF($K2230=1,L2230-M2230,"")</f>
        <v/>
      </c>
      <c r="O2230" s="34" t="n">
        <v>0.00047103</v>
      </c>
      <c r="P2230" s="34">
        <f>IF($J2230=1,LN(1+O2230),"")</f>
        <v/>
      </c>
      <c r="Q2230" s="34">
        <f>IF($J2230=1,LN(R2231/R2230),"")</f>
        <v/>
      </c>
      <c r="R2230" s="32" t="n">
        <v>3.088</v>
      </c>
      <c r="S2230" s="35" t="n">
        <v>13.243</v>
      </c>
      <c r="T2230" s="18" t="n"/>
      <c r="U2230" s="18" t="n"/>
      <c r="V2230" s="18" t="n"/>
      <c r="W2230" s="18" t="n">
        <v>53981.92</v>
      </c>
      <c r="X2230" s="35" t="n">
        <v>13.243</v>
      </c>
      <c r="Y2230" s="35" t="n"/>
    </row>
    <row r="2231">
      <c r="A2231" s="25" t="n">
        <v>42109</v>
      </c>
      <c r="B2231" s="18" t="n">
        <v>54918.74</v>
      </c>
      <c r="C2231" s="31" t="n"/>
      <c r="D2231" s="32" t="n"/>
      <c r="E2231" s="33" t="n">
        <v>-1.4823</v>
      </c>
      <c r="F2231" t="inlineStr">
        <is>
          <t>Down</t>
        </is>
      </c>
      <c r="G2231" t="inlineStr">
        <is>
          <t>Up</t>
        </is>
      </c>
      <c r="H2231" t="inlineStr">
        <is>
          <t>ED_JU</t>
        </is>
      </c>
      <c r="I2231" t="inlineStr">
        <is>
          <t>2015-04</t>
        </is>
      </c>
      <c r="J2231" t="n">
        <v>1</v>
      </c>
      <c r="K2231" t="n">
        <v>1</v>
      </c>
      <c r="L2231" s="34">
        <f>IF($J2231=1,LN(B2232/B2231),"")</f>
        <v/>
      </c>
      <c r="M2231" s="34">
        <f>IF($K2231=1,INDEX(Mensal!$D$2:$D$245,MATCH($I2231,Mensal!$A$2:$A$245,0)),"")</f>
        <v/>
      </c>
      <c r="N2231" s="34">
        <f>IF($K2231=1,L2231-M2231,"")</f>
        <v/>
      </c>
      <c r="O2231" s="34" t="n">
        <v>0.00047103</v>
      </c>
      <c r="P2231" s="34">
        <f>IF($J2231=1,LN(1+O2231),"")</f>
        <v/>
      </c>
      <c r="Q2231" s="34">
        <f>IF($J2231=1,LN(R2232/R2231),"")</f>
        <v/>
      </c>
      <c r="R2231" s="32" t="n">
        <v>3.0681</v>
      </c>
      <c r="S2231" s="35" t="n">
        <v>13.24</v>
      </c>
      <c r="T2231" s="18" t="n"/>
      <c r="U2231" s="18" t="n"/>
      <c r="V2231" s="18" t="n"/>
      <c r="W2231" s="18" t="n">
        <v>54918.74</v>
      </c>
      <c r="X2231" s="35" t="n">
        <v>13.24</v>
      </c>
      <c r="Y2231" s="35" t="n"/>
    </row>
    <row r="2232">
      <c r="A2232" s="25" t="n">
        <v>42110</v>
      </c>
      <c r="B2232" s="18" t="n">
        <v>54674.21</v>
      </c>
      <c r="C2232" s="31" t="n"/>
      <c r="D2232" s="32" t="n"/>
      <c r="E2232" s="33" t="n">
        <v>-1.4859</v>
      </c>
      <c r="F2232" t="inlineStr">
        <is>
          <t>Down</t>
        </is>
      </c>
      <c r="G2232" t="inlineStr">
        <is>
          <t>Up</t>
        </is>
      </c>
      <c r="H2232" t="inlineStr">
        <is>
          <t>ED_JU</t>
        </is>
      </c>
      <c r="I2232" t="inlineStr">
        <is>
          <t>2015-04</t>
        </is>
      </c>
      <c r="J2232" t="n">
        <v>1</v>
      </c>
      <c r="K2232" t="n">
        <v>1</v>
      </c>
      <c r="L2232" s="34">
        <f>IF($J2232=1,LN(B2233/B2232),"")</f>
        <v/>
      </c>
      <c r="M2232" s="34">
        <f>IF($K2232=1,INDEX(Mensal!$D$2:$D$245,MATCH($I2232,Mensal!$A$2:$A$245,0)),"")</f>
        <v/>
      </c>
      <c r="N2232" s="34">
        <f>IF($K2232=1,L2232-M2232,"")</f>
        <v/>
      </c>
      <c r="O2232" s="34" t="n">
        <v>0.00047103</v>
      </c>
      <c r="P2232" s="34">
        <f>IF($J2232=1,LN(1+O2232),"")</f>
        <v/>
      </c>
      <c r="Q2232" s="34">
        <f>IF($J2232=1,LN(R2233/R2232),"")</f>
        <v/>
      </c>
      <c r="R2232" s="32" t="n">
        <v>3.0249</v>
      </c>
      <c r="S2232" s="35" t="n">
        <v>13.3</v>
      </c>
      <c r="T2232" s="18" t="n"/>
      <c r="U2232" s="18" t="n"/>
      <c r="V2232" s="18" t="n"/>
      <c r="W2232" s="18" t="n">
        <v>54674.21</v>
      </c>
      <c r="X2232" s="35" t="n">
        <v>13.3</v>
      </c>
      <c r="Y2232" s="35" t="n"/>
    </row>
    <row r="2233">
      <c r="A2233" s="25" t="n">
        <v>42111</v>
      </c>
      <c r="B2233" s="18" t="n">
        <v>53954.79</v>
      </c>
      <c r="C2233" s="31" t="n"/>
      <c r="D2233" s="32" t="n"/>
      <c r="E2233" s="33" t="n">
        <v>-1.5074</v>
      </c>
      <c r="F2233" t="inlineStr">
        <is>
          <t>Down</t>
        </is>
      </c>
      <c r="G2233" t="inlineStr">
        <is>
          <t>Up</t>
        </is>
      </c>
      <c r="H2233" t="inlineStr">
        <is>
          <t>ED_JU</t>
        </is>
      </c>
      <c r="I2233" t="inlineStr">
        <is>
          <t>2015-04</t>
        </is>
      </c>
      <c r="J2233" t="n">
        <v>1</v>
      </c>
      <c r="K2233" t="n">
        <v>1</v>
      </c>
      <c r="L2233" s="34">
        <f>IF($J2233=1,LN(B2234/B2233),"")</f>
        <v/>
      </c>
      <c r="M2233" s="34">
        <f>IF($K2233=1,INDEX(Mensal!$D$2:$D$245,MATCH($I2233,Mensal!$A$2:$A$245,0)),"")</f>
        <v/>
      </c>
      <c r="N2233" s="34">
        <f>IF($K2233=1,L2233-M2233,"")</f>
        <v/>
      </c>
      <c r="O2233" s="34" t="n">
        <v>0.00047103</v>
      </c>
      <c r="P2233" s="34">
        <f>IF($J2233=1,LN(1+O2233),"")</f>
        <v/>
      </c>
      <c r="Q2233" s="34">
        <f>IF($J2233=1,LN(R2234/R2233),"")</f>
        <v/>
      </c>
      <c r="R2233" s="32" t="n">
        <v>3.0544</v>
      </c>
      <c r="S2233" s="35" t="n">
        <v>13.404</v>
      </c>
      <c r="T2233" s="18" t="n"/>
      <c r="U2233" s="18" t="n"/>
      <c r="V2233" s="18" t="n"/>
      <c r="W2233" s="18" t="n">
        <v>53954.79</v>
      </c>
      <c r="X2233" s="35" t="n">
        <v>13.404</v>
      </c>
      <c r="Y2233" s="35" t="n"/>
    </row>
    <row r="2234">
      <c r="A2234" s="25" t="n">
        <v>42114</v>
      </c>
      <c r="B2234" s="18" t="n">
        <v>53761.27</v>
      </c>
      <c r="C2234" s="31" t="n"/>
      <c r="D2234" s="32" t="n"/>
      <c r="E2234" s="33" t="n">
        <v>-1.5264</v>
      </c>
      <c r="F2234" t="inlineStr">
        <is>
          <t>Down</t>
        </is>
      </c>
      <c r="G2234" t="inlineStr">
        <is>
          <t>Up</t>
        </is>
      </c>
      <c r="H2234" t="inlineStr">
        <is>
          <t>ED_JU</t>
        </is>
      </c>
      <c r="I2234" t="inlineStr">
        <is>
          <t>2015-04</t>
        </is>
      </c>
      <c r="J2234" t="n">
        <v>1</v>
      </c>
      <c r="K2234" t="n">
        <v>1</v>
      </c>
      <c r="L2234" s="34">
        <f>IF($J2234=1,LN(B2235/B2234),"")</f>
        <v/>
      </c>
      <c r="M2234" s="34">
        <f>IF($K2234=1,INDEX(Mensal!$D$2:$D$245,MATCH($I2234,Mensal!$A$2:$A$245,0)),"")</f>
        <v/>
      </c>
      <c r="N2234" s="34">
        <f>IF($K2234=1,L2234-M2234,"")</f>
        <v/>
      </c>
      <c r="O2234" s="34" t="n">
        <v>0.00047103</v>
      </c>
      <c r="P2234" s="34">
        <f>IF($J2234=1,LN(1+O2234),"")</f>
        <v/>
      </c>
      <c r="Q2234" s="34">
        <f>IF($J2234=1,LN(R2235/R2234),"")</f>
        <v/>
      </c>
      <c r="R2234" s="32" t="n">
        <v>3.0473</v>
      </c>
      <c r="S2234" s="35" t="n">
        <v>13.507</v>
      </c>
      <c r="T2234" s="18" t="n"/>
      <c r="U2234" s="18" t="n"/>
      <c r="V2234" s="18" t="n"/>
      <c r="W2234" s="18" t="n">
        <v>53761.27</v>
      </c>
      <c r="X2234" s="35" t="n">
        <v>13.507</v>
      </c>
      <c r="Y2234" s="35" t="n"/>
    </row>
    <row r="2235">
      <c r="A2235" s="25" t="n">
        <v>42116</v>
      </c>
      <c r="B2235" s="18" t="n">
        <v>54617.36</v>
      </c>
      <c r="C2235" s="31" t="n"/>
      <c r="D2235" s="32" t="n"/>
      <c r="E2235" s="33" t="n">
        <v>-1.565</v>
      </c>
      <c r="F2235" t="inlineStr">
        <is>
          <t>Down</t>
        </is>
      </c>
      <c r="G2235" t="inlineStr">
        <is>
          <t>Up</t>
        </is>
      </c>
      <c r="H2235" t="inlineStr">
        <is>
          <t>ED_JU</t>
        </is>
      </c>
      <c r="I2235" t="inlineStr">
        <is>
          <t>2015-04</t>
        </is>
      </c>
      <c r="J2235" t="n">
        <v>1</v>
      </c>
      <c r="K2235" t="n">
        <v>1</v>
      </c>
      <c r="L2235" s="34">
        <f>IF($J2235=1,LN(B2236/B2235),"")</f>
        <v/>
      </c>
      <c r="M2235" s="34">
        <f>IF($K2235=1,INDEX(Mensal!$D$2:$D$245,MATCH($I2235,Mensal!$A$2:$A$245,0)),"")</f>
        <v/>
      </c>
      <c r="N2235" s="34">
        <f>IF($K2235=1,L2235-M2235,"")</f>
        <v/>
      </c>
      <c r="O2235" s="34" t="n">
        <v>0.00047103</v>
      </c>
      <c r="P2235" s="34">
        <f>IF($J2235=1,LN(1+O2235),"")</f>
        <v/>
      </c>
      <c r="Q2235" s="34">
        <f>IF($J2235=1,LN(R2236/R2235),"")</f>
        <v/>
      </c>
      <c r="R2235" s="32" t="n">
        <v>3.0186</v>
      </c>
      <c r="S2235" s="35" t="n">
        <v>13.523</v>
      </c>
      <c r="T2235" s="18" t="n"/>
      <c r="U2235" s="18" t="n"/>
      <c r="V2235" s="18" t="n"/>
      <c r="W2235" s="18" t="n">
        <v>54617.36</v>
      </c>
      <c r="X2235" s="35" t="n">
        <v>13.523</v>
      </c>
      <c r="Y2235" s="35" t="n"/>
    </row>
    <row r="2236">
      <c r="A2236" s="25" t="n">
        <v>42117</v>
      </c>
      <c r="B2236" s="18" t="n">
        <v>55684.85</v>
      </c>
      <c r="C2236" s="31" t="n"/>
      <c r="D2236" s="32" t="n"/>
      <c r="E2236" s="33" t="n">
        <v>-1.6003</v>
      </c>
      <c r="F2236" t="inlineStr">
        <is>
          <t>Down</t>
        </is>
      </c>
      <c r="G2236" t="inlineStr">
        <is>
          <t>Up</t>
        </is>
      </c>
      <c r="H2236" t="inlineStr">
        <is>
          <t>ED_JU</t>
        </is>
      </c>
      <c r="I2236" t="inlineStr">
        <is>
          <t>2015-04</t>
        </is>
      </c>
      <c r="J2236" t="n">
        <v>1</v>
      </c>
      <c r="K2236" t="n">
        <v>1</v>
      </c>
      <c r="L2236" s="34">
        <f>IF($J2236=1,LN(B2237/B2236),"")</f>
        <v/>
      </c>
      <c r="M2236" s="34">
        <f>IF($K2236=1,INDEX(Mensal!$D$2:$D$245,MATCH($I2236,Mensal!$A$2:$A$245,0)),"")</f>
        <v/>
      </c>
      <c r="N2236" s="34">
        <f>IF($K2236=1,L2236-M2236,"")</f>
        <v/>
      </c>
      <c r="O2236" s="34" t="n">
        <v>0.00047103</v>
      </c>
      <c r="P2236" s="34">
        <f>IF($J2236=1,LN(1+O2236),"")</f>
        <v/>
      </c>
      <c r="Q2236" s="34">
        <f>IF($J2236=1,LN(R2237/R2236),"")</f>
        <v/>
      </c>
      <c r="R2236" s="32" t="n">
        <v>3.0084</v>
      </c>
      <c r="S2236" s="35" t="n">
        <v>13.524</v>
      </c>
      <c r="T2236" s="18" t="n"/>
      <c r="U2236" s="18" t="n"/>
      <c r="V2236" s="18" t="n"/>
      <c r="W2236" s="18" t="n">
        <v>55684.85</v>
      </c>
      <c r="X2236" s="35" t="n">
        <v>13.524</v>
      </c>
      <c r="Y2236" s="35" t="n"/>
    </row>
    <row r="2237">
      <c r="A2237" s="25" t="n">
        <v>42118</v>
      </c>
      <c r="B2237" s="18" t="n">
        <v>56594.22</v>
      </c>
      <c r="C2237" s="31" t="n"/>
      <c r="D2237" s="32" t="n"/>
      <c r="E2237" s="33" t="n">
        <v>-1.6431</v>
      </c>
      <c r="F2237" t="inlineStr">
        <is>
          <t>Down</t>
        </is>
      </c>
      <c r="G2237" t="inlineStr">
        <is>
          <t>Up</t>
        </is>
      </c>
      <c r="H2237" t="inlineStr">
        <is>
          <t>ED_JU</t>
        </is>
      </c>
      <c r="I2237" t="inlineStr">
        <is>
          <t>2015-04</t>
        </is>
      </c>
      <c r="J2237" t="n">
        <v>1</v>
      </c>
      <c r="K2237" t="n">
        <v>1</v>
      </c>
      <c r="L2237" s="34">
        <f>IF($J2237=1,LN(B2238/B2237),"")</f>
        <v/>
      </c>
      <c r="M2237" s="34">
        <f>IF($K2237=1,INDEX(Mensal!$D$2:$D$245,MATCH($I2237,Mensal!$A$2:$A$245,0)),"")</f>
        <v/>
      </c>
      <c r="N2237" s="34">
        <f>IF($K2237=1,L2237-M2237,"")</f>
        <v/>
      </c>
      <c r="O2237" s="34" t="n">
        <v>0.00047103</v>
      </c>
      <c r="P2237" s="34">
        <f>IF($J2237=1,LN(1+O2237),"")</f>
        <v/>
      </c>
      <c r="Q2237" s="34">
        <f>IF($J2237=1,LN(R2238/R2237),"")</f>
        <v/>
      </c>
      <c r="R2237" s="32" t="n">
        <v>2.9745</v>
      </c>
      <c r="S2237" s="35" t="n">
        <v>13.586</v>
      </c>
      <c r="T2237" s="18" t="n"/>
      <c r="U2237" s="18" t="n"/>
      <c r="V2237" s="18" t="n"/>
      <c r="W2237" s="18" t="n">
        <v>56594.22</v>
      </c>
      <c r="X2237" s="35" t="n">
        <v>13.586</v>
      </c>
      <c r="Y2237" s="35" t="n"/>
    </row>
    <row r="2238">
      <c r="A2238" s="25" t="n">
        <v>42121</v>
      </c>
      <c r="B2238" s="18" t="n">
        <v>55534.5</v>
      </c>
      <c r="C2238" s="31" t="n"/>
      <c r="D2238" s="32" t="n"/>
      <c r="E2238" s="33" t="n">
        <v>-1.6926</v>
      </c>
      <c r="F2238" t="inlineStr">
        <is>
          <t>Down</t>
        </is>
      </c>
      <c r="G2238" t="inlineStr">
        <is>
          <t>Up</t>
        </is>
      </c>
      <c r="H2238" t="inlineStr">
        <is>
          <t>ED_JU</t>
        </is>
      </c>
      <c r="I2238" t="inlineStr">
        <is>
          <t>2015-04</t>
        </is>
      </c>
      <c r="J2238" t="n">
        <v>1</v>
      </c>
      <c r="K2238" t="n">
        <v>1</v>
      </c>
      <c r="L2238" s="34">
        <f>IF($J2238=1,LN(B2239/B2238),"")</f>
        <v/>
      </c>
      <c r="M2238" s="34">
        <f>IF($K2238=1,INDEX(Mensal!$D$2:$D$245,MATCH($I2238,Mensal!$A$2:$A$245,0)),"")</f>
        <v/>
      </c>
      <c r="N2238" s="34">
        <f>IF($K2238=1,L2238-M2238,"")</f>
        <v/>
      </c>
      <c r="O2238" s="34" t="n">
        <v>0.00047138</v>
      </c>
      <c r="P2238" s="34">
        <f>IF($J2238=1,LN(1+O2238),"")</f>
        <v/>
      </c>
      <c r="Q2238" s="34">
        <f>IF($J2238=1,LN(R2239/R2238),"")</f>
        <v/>
      </c>
      <c r="R2238" s="32" t="n">
        <v>2.9236</v>
      </c>
      <c r="S2238" s="35" t="n">
        <v>13.476</v>
      </c>
      <c r="T2238" s="18" t="n"/>
      <c r="U2238" s="18" t="n"/>
      <c r="V2238" s="18" t="n"/>
      <c r="W2238" s="18" t="n">
        <v>55534.5</v>
      </c>
      <c r="X2238" s="35" t="n">
        <v>13.476</v>
      </c>
      <c r="Y2238" s="35" t="n"/>
    </row>
    <row r="2239">
      <c r="A2239" s="25" t="n">
        <v>42122</v>
      </c>
      <c r="B2239" s="18" t="n">
        <v>55812.03</v>
      </c>
      <c r="C2239" s="31" t="n"/>
      <c r="D2239" s="32" t="n"/>
      <c r="E2239" s="33" t="n">
        <v>-1.7275</v>
      </c>
      <c r="F2239" t="inlineStr">
        <is>
          <t>Down</t>
        </is>
      </c>
      <c r="G2239" t="inlineStr">
        <is>
          <t>Up</t>
        </is>
      </c>
      <c r="H2239" t="inlineStr">
        <is>
          <t>ED_JU</t>
        </is>
      </c>
      <c r="I2239" t="inlineStr">
        <is>
          <t>2015-04</t>
        </is>
      </c>
      <c r="J2239" t="n">
        <v>1</v>
      </c>
      <c r="K2239" t="n">
        <v>1</v>
      </c>
      <c r="L2239" s="34">
        <f>IF($J2239=1,LN(B2240/B2239),"")</f>
        <v/>
      </c>
      <c r="M2239" s="34">
        <f>IF($K2239=1,INDEX(Mensal!$D$2:$D$245,MATCH($I2239,Mensal!$A$2:$A$245,0)),"")</f>
        <v/>
      </c>
      <c r="N2239" s="34">
        <f>IF($K2239=1,L2239-M2239,"")</f>
        <v/>
      </c>
      <c r="O2239" s="34" t="n">
        <v>0.00047173</v>
      </c>
      <c r="P2239" s="34">
        <f>IF($J2239=1,LN(1+O2239),"")</f>
        <v/>
      </c>
      <c r="Q2239" s="34">
        <f>IF($J2239=1,LN(R2240/R2239),"")</f>
        <v/>
      </c>
      <c r="R2239" s="32" t="n">
        <v>2.8943</v>
      </c>
      <c r="S2239" s="35" t="n">
        <v>13.499</v>
      </c>
      <c r="T2239" s="18" t="n"/>
      <c r="U2239" s="18" t="n"/>
      <c r="V2239" s="18" t="n"/>
      <c r="W2239" s="18" t="n">
        <v>55812.03</v>
      </c>
      <c r="X2239" s="35" t="n">
        <v>13.499</v>
      </c>
      <c r="Y2239" s="35" t="n"/>
    </row>
    <row r="2240">
      <c r="A2240" s="25" t="n">
        <v>42123</v>
      </c>
      <c r="B2240" s="18" t="n">
        <v>55325.29</v>
      </c>
      <c r="C2240" s="31" t="n"/>
      <c r="D2240" s="32" t="n"/>
      <c r="E2240" s="33" t="n">
        <v>-1.7583</v>
      </c>
      <c r="F2240" t="inlineStr">
        <is>
          <t>Down</t>
        </is>
      </c>
      <c r="G2240" t="inlineStr">
        <is>
          <t>Up</t>
        </is>
      </c>
      <c r="H2240" t="inlineStr">
        <is>
          <t>ED_JU</t>
        </is>
      </c>
      <c r="I2240" t="inlineStr">
        <is>
          <t>2015-04</t>
        </is>
      </c>
      <c r="J2240" t="n">
        <v>1</v>
      </c>
      <c r="K2240" t="n">
        <v>1</v>
      </c>
      <c r="L2240" s="34">
        <f>IF($J2240=1,LN(B2241/B2240),"")</f>
        <v/>
      </c>
      <c r="M2240" s="34">
        <f>IF($K2240=1,INDEX(Mensal!$D$2:$D$245,MATCH($I2240,Mensal!$A$2:$A$245,0)),"")</f>
        <v/>
      </c>
      <c r="N2240" s="34">
        <f>IF($K2240=1,L2240-M2240,"")</f>
        <v/>
      </c>
      <c r="O2240" s="34" t="n">
        <v>0.00047173</v>
      </c>
      <c r="P2240" s="34">
        <f>IF($J2240=1,LN(1+O2240),"")</f>
        <v/>
      </c>
      <c r="Q2240" s="34">
        <f>IF($J2240=1,LN(R2241/R2240),"")</f>
        <v/>
      </c>
      <c r="R2240" s="32" t="n">
        <v>2.9375</v>
      </c>
      <c r="S2240" s="35" t="n">
        <v>13.455</v>
      </c>
      <c r="T2240" s="18" t="n"/>
      <c r="U2240" s="18" t="n"/>
      <c r="V2240" s="18" t="n"/>
      <c r="W2240" s="18" t="n">
        <v>55325.29</v>
      </c>
      <c r="X2240" s="35" t="n">
        <v>13.455</v>
      </c>
      <c r="Y2240" s="35" t="n"/>
    </row>
    <row r="2241">
      <c r="A2241" s="25" t="n">
        <v>42124</v>
      </c>
      <c r="B2241" s="18" t="n">
        <v>56229.38</v>
      </c>
      <c r="C2241" s="31" t="n"/>
      <c r="D2241" s="32" t="n"/>
      <c r="E2241" s="33" t="n">
        <v>-1.8276</v>
      </c>
      <c r="F2241" t="inlineStr">
        <is>
          <t>Down</t>
        </is>
      </c>
      <c r="G2241" t="inlineStr">
        <is>
          <t>Up</t>
        </is>
      </c>
      <c r="H2241" t="inlineStr">
        <is>
          <t>ED_JU</t>
        </is>
      </c>
      <c r="I2241" t="inlineStr">
        <is>
          <t>2015-04</t>
        </is>
      </c>
      <c r="J2241" t="n">
        <v>1</v>
      </c>
      <c r="K2241" t="n">
        <v>1</v>
      </c>
      <c r="L2241" s="34">
        <f>IF($J2241=1,LN(B2242/B2241),"")</f>
        <v/>
      </c>
      <c r="M2241" s="34">
        <f>IF($K2241=1,INDEX(Mensal!$D$2:$D$245,MATCH($I2241,Mensal!$A$2:$A$245,0)),"")</f>
        <v/>
      </c>
      <c r="N2241" s="34">
        <f>IF($K2241=1,L2241-M2241,"")</f>
        <v/>
      </c>
      <c r="O2241" s="34" t="n">
        <v>0.00048897</v>
      </c>
      <c r="P2241" s="34">
        <f>IF($J2241=1,LN(1+O2241),"")</f>
        <v/>
      </c>
      <c r="Q2241" s="34">
        <f>IF($J2241=1,LN(R2242/R2241),"")</f>
        <v/>
      </c>
      <c r="R2241" s="32" t="n">
        <v>2.9936</v>
      </c>
      <c r="S2241" s="35" t="n">
        <v>13.667</v>
      </c>
      <c r="T2241" s="18" t="n"/>
      <c r="U2241" s="18" t="n"/>
      <c r="V2241" s="18" t="n"/>
      <c r="W2241" s="18" t="n">
        <v>56229.38</v>
      </c>
      <c r="X2241" s="35" t="n">
        <v>13.667</v>
      </c>
      <c r="Y2241" s="35" t="n"/>
    </row>
    <row r="2242">
      <c r="A2242" s="25" t="n">
        <v>42128</v>
      </c>
      <c r="B2242" s="18" t="n">
        <v>57353.98</v>
      </c>
      <c r="C2242" s="31" t="n"/>
      <c r="D2242" s="32" t="n"/>
      <c r="E2242" s="33" t="n">
        <v>-1.8763</v>
      </c>
      <c r="F2242" t="inlineStr">
        <is>
          <t>Down</t>
        </is>
      </c>
      <c r="G2242" t="inlineStr">
        <is>
          <t>Up</t>
        </is>
      </c>
      <c r="H2242" t="inlineStr">
        <is>
          <t>ED_JU</t>
        </is>
      </c>
      <c r="I2242" t="inlineStr">
        <is>
          <t>2015-05</t>
        </is>
      </c>
      <c r="J2242" t="n">
        <v>1</v>
      </c>
      <c r="K2242" t="n">
        <v>1</v>
      </c>
      <c r="L2242" s="34">
        <f>IF($J2242=1,LN(B2243/B2242),"")</f>
        <v/>
      </c>
      <c r="M2242" s="34">
        <f>IF($K2242=1,INDEX(Mensal!$D$2:$D$245,MATCH($I2242,Mensal!$A$2:$A$245,0)),"")</f>
        <v/>
      </c>
      <c r="N2242" s="34">
        <f>IF($K2242=1,L2242-M2242,"")</f>
        <v/>
      </c>
      <c r="O2242" s="34" t="n">
        <v>0.00048897</v>
      </c>
      <c r="P2242" s="34">
        <f>IF($J2242=1,LN(1+O2242),"")</f>
        <v/>
      </c>
      <c r="Q2242" s="34">
        <f>IF($J2242=1,LN(R2243/R2242),"")</f>
        <v/>
      </c>
      <c r="R2242" s="32" t="n">
        <v>3.0754</v>
      </c>
      <c r="S2242" s="35" t="n">
        <v>13.681</v>
      </c>
      <c r="T2242" s="18" t="n"/>
      <c r="U2242" s="18" t="n"/>
      <c r="V2242" s="18" t="n"/>
      <c r="W2242" s="18" t="n">
        <v>57353.98</v>
      </c>
      <c r="X2242" s="35" t="n">
        <v>13.681</v>
      </c>
      <c r="Y2242" s="35" t="n"/>
    </row>
    <row r="2243">
      <c r="A2243" s="25" t="n">
        <v>42129</v>
      </c>
      <c r="B2243" s="18" t="n">
        <v>58051.61</v>
      </c>
      <c r="C2243" s="31" t="n"/>
      <c r="D2243" s="32" t="n"/>
      <c r="E2243" s="33" t="n">
        <v>-1.9235</v>
      </c>
      <c r="F2243" t="inlineStr">
        <is>
          <t>Down</t>
        </is>
      </c>
      <c r="G2243" t="inlineStr">
        <is>
          <t>Up</t>
        </is>
      </c>
      <c r="H2243" t="inlineStr">
        <is>
          <t>ED_JU</t>
        </is>
      </c>
      <c r="I2243" t="inlineStr">
        <is>
          <t>2015-05</t>
        </is>
      </c>
      <c r="J2243" t="n">
        <v>1</v>
      </c>
      <c r="K2243" t="n">
        <v>1</v>
      </c>
      <c r="L2243" s="34">
        <f>IF($J2243=1,LN(B2244/B2243),"")</f>
        <v/>
      </c>
      <c r="M2243" s="34">
        <f>IF($K2243=1,INDEX(Mensal!$D$2:$D$245,MATCH($I2243,Mensal!$A$2:$A$245,0)),"")</f>
        <v/>
      </c>
      <c r="N2243" s="34">
        <f>IF($K2243=1,L2243-M2243,"")</f>
        <v/>
      </c>
      <c r="O2243" s="34" t="n">
        <v>0.00048967</v>
      </c>
      <c r="P2243" s="34">
        <f>IF($J2243=1,LN(1+O2243),"")</f>
        <v/>
      </c>
      <c r="Q2243" s="34">
        <f>IF($J2243=1,LN(R2244/R2243),"")</f>
        <v/>
      </c>
      <c r="R2243" s="32" t="n">
        <v>3.0626</v>
      </c>
      <c r="S2243" s="35" t="n">
        <v>13.686</v>
      </c>
      <c r="T2243" s="18" t="n"/>
      <c r="U2243" s="18" t="n"/>
      <c r="V2243" s="18" t="n"/>
      <c r="W2243" s="18" t="n">
        <v>58051.61</v>
      </c>
      <c r="X2243" s="35" t="n">
        <v>13.686</v>
      </c>
      <c r="Y2243" s="35" t="n"/>
    </row>
    <row r="2244">
      <c r="A2244" s="25" t="n">
        <v>42130</v>
      </c>
      <c r="B2244" s="18" t="n">
        <v>57103.14</v>
      </c>
      <c r="C2244" s="31" t="n"/>
      <c r="D2244" s="32" t="n"/>
      <c r="E2244" s="33" t="n">
        <v>-1.9549</v>
      </c>
      <c r="F2244" t="inlineStr">
        <is>
          <t>Down</t>
        </is>
      </c>
      <c r="G2244" t="inlineStr">
        <is>
          <t>Up</t>
        </is>
      </c>
      <c r="H2244" t="inlineStr">
        <is>
          <t>ED_JU</t>
        </is>
      </c>
      <c r="I2244" t="inlineStr">
        <is>
          <t>2015-05</t>
        </is>
      </c>
      <c r="J2244" t="n">
        <v>1</v>
      </c>
      <c r="K2244" t="n">
        <v>1</v>
      </c>
      <c r="L2244" s="34">
        <f>IF($J2244=1,LN(B2245/B2244),"")</f>
        <v/>
      </c>
      <c r="M2244" s="34">
        <f>IF($K2244=1,INDEX(Mensal!$D$2:$D$245,MATCH($I2244,Mensal!$A$2:$A$245,0)),"")</f>
        <v/>
      </c>
      <c r="N2244" s="34">
        <f>IF($K2244=1,L2244-M2244,"")</f>
        <v/>
      </c>
      <c r="O2244" s="34" t="n">
        <v>0.00048967</v>
      </c>
      <c r="P2244" s="34">
        <f>IF($J2244=1,LN(1+O2244),"")</f>
        <v/>
      </c>
      <c r="Q2244" s="34">
        <f>IF($J2244=1,LN(R2245/R2244),"")</f>
        <v/>
      </c>
      <c r="R2244" s="32" t="n">
        <v>3.042</v>
      </c>
      <c r="S2244" s="35" t="n">
        <v>13.696</v>
      </c>
      <c r="T2244" s="18" t="n"/>
      <c r="U2244" s="18" t="n"/>
      <c r="V2244" s="18" t="n"/>
      <c r="W2244" s="18" t="n">
        <v>57103.14</v>
      </c>
      <c r="X2244" s="35" t="n">
        <v>13.696</v>
      </c>
      <c r="Y2244" s="35" t="n"/>
    </row>
    <row r="2245">
      <c r="A2245" s="25" t="n">
        <v>42131</v>
      </c>
      <c r="B2245" s="18" t="n">
        <v>56921.39</v>
      </c>
      <c r="C2245" s="31" t="n"/>
      <c r="D2245" s="32" t="n"/>
      <c r="E2245" s="33" t="n">
        <v>-1.9652</v>
      </c>
      <c r="F2245" t="inlineStr">
        <is>
          <t>Down</t>
        </is>
      </c>
      <c r="G2245" t="inlineStr">
        <is>
          <t>Up</t>
        </is>
      </c>
      <c r="H2245" t="inlineStr">
        <is>
          <t>ED_JU</t>
        </is>
      </c>
      <c r="I2245" t="inlineStr">
        <is>
          <t>2015-05</t>
        </is>
      </c>
      <c r="J2245" t="n">
        <v>1</v>
      </c>
      <c r="K2245" t="n">
        <v>1</v>
      </c>
      <c r="L2245" s="34">
        <f>IF($J2245=1,LN(B2246/B2245),"")</f>
        <v/>
      </c>
      <c r="M2245" s="34">
        <f>IF($K2245=1,INDEX(Mensal!$D$2:$D$245,MATCH($I2245,Mensal!$A$2:$A$245,0)),"")</f>
        <v/>
      </c>
      <c r="N2245" s="34">
        <f>IF($K2245=1,L2245-M2245,"")</f>
        <v/>
      </c>
      <c r="O2245" s="34" t="n">
        <v>0.00048967</v>
      </c>
      <c r="P2245" s="34">
        <f>IF($J2245=1,LN(1+O2245),"")</f>
        <v/>
      </c>
      <c r="Q2245" s="34">
        <f>IF($J2245=1,LN(R2246/R2245),"")</f>
        <v/>
      </c>
      <c r="R2245" s="32" t="n">
        <v>3.0421</v>
      </c>
      <c r="S2245" s="35" t="n">
        <v>13.81</v>
      </c>
      <c r="T2245" s="18" t="n"/>
      <c r="U2245" s="18" t="n"/>
      <c r="V2245" s="18" t="n"/>
      <c r="W2245" s="18" t="n">
        <v>56921.39</v>
      </c>
      <c r="X2245" s="35" t="n">
        <v>13.81</v>
      </c>
      <c r="Y2245" s="35" t="n"/>
    </row>
    <row r="2246">
      <c r="A2246" s="25" t="n">
        <v>42132</v>
      </c>
      <c r="B2246" s="18" t="n">
        <v>57149.33</v>
      </c>
      <c r="C2246" s="31" t="n"/>
      <c r="D2246" s="32" t="n"/>
      <c r="E2246" s="33" t="n">
        <v>-1.9786</v>
      </c>
      <c r="F2246" t="inlineStr">
        <is>
          <t>Down</t>
        </is>
      </c>
      <c r="G2246" t="inlineStr">
        <is>
          <t>Up</t>
        </is>
      </c>
      <c r="H2246" t="inlineStr">
        <is>
          <t>ED_JU</t>
        </is>
      </c>
      <c r="I2246" t="inlineStr">
        <is>
          <t>2015-05</t>
        </is>
      </c>
      <c r="J2246" t="n">
        <v>1</v>
      </c>
      <c r="K2246" t="n">
        <v>1</v>
      </c>
      <c r="L2246" s="34">
        <f>IF($J2246=1,LN(B2247/B2246),"")</f>
        <v/>
      </c>
      <c r="M2246" s="34">
        <f>IF($K2246=1,INDEX(Mensal!$D$2:$D$245,MATCH($I2246,Mensal!$A$2:$A$245,0)),"")</f>
        <v/>
      </c>
      <c r="N2246" s="34">
        <f>IF($K2246=1,L2246-M2246,"")</f>
        <v/>
      </c>
      <c r="O2246" s="34" t="n">
        <v>0.00048967</v>
      </c>
      <c r="P2246" s="34">
        <f>IF($J2246=1,LN(1+O2246),"")</f>
        <v/>
      </c>
      <c r="Q2246" s="34">
        <f>IF($J2246=1,LN(R2247/R2246),"")</f>
        <v/>
      </c>
      <c r="R2246" s="32" t="n">
        <v>2.9966</v>
      </c>
      <c r="S2246" s="35" t="n">
        <v>13.753</v>
      </c>
      <c r="T2246" s="18" t="n"/>
      <c r="U2246" s="18" t="n"/>
      <c r="V2246" s="18" t="n"/>
      <c r="W2246" s="18" t="n">
        <v>57149.33</v>
      </c>
      <c r="X2246" s="35" t="n">
        <v>13.753</v>
      </c>
      <c r="Y2246" s="35" t="n"/>
    </row>
    <row r="2247">
      <c r="A2247" s="25" t="n">
        <v>42136</v>
      </c>
      <c r="B2247" s="18" t="n">
        <v>56792.05</v>
      </c>
      <c r="C2247" s="31" t="n"/>
      <c r="D2247" s="32" t="n"/>
      <c r="E2247" s="33" t="n">
        <v>-1.9896</v>
      </c>
      <c r="F2247" t="inlineStr">
        <is>
          <t>Down</t>
        </is>
      </c>
      <c r="G2247" t="inlineStr">
        <is>
          <t>Up</t>
        </is>
      </c>
      <c r="H2247" t="inlineStr">
        <is>
          <t>ED_JU</t>
        </is>
      </c>
      <c r="I2247" t="inlineStr">
        <is>
          <t>2015-05</t>
        </is>
      </c>
      <c r="J2247" t="n">
        <v>1</v>
      </c>
      <c r="K2247" t="n">
        <v>1</v>
      </c>
      <c r="L2247" s="34">
        <f>IF($J2247=1,LN(B2248/B2247),"")</f>
        <v/>
      </c>
      <c r="M2247" s="34">
        <f>IF($K2247=1,INDEX(Mensal!$D$2:$D$245,MATCH($I2247,Mensal!$A$2:$A$245,0)),"")</f>
        <v/>
      </c>
      <c r="N2247" s="34">
        <f>IF($K2247=1,L2247-M2247,"")</f>
        <v/>
      </c>
      <c r="O2247" s="34" t="n">
        <v>0.00048967</v>
      </c>
      <c r="P2247" s="34">
        <f>IF($J2247=1,LN(1+O2247),"")</f>
        <v/>
      </c>
      <c r="Q2247" s="34">
        <f>IF($J2247=1,LN(R2248/R2247),"")</f>
        <v/>
      </c>
      <c r="R2247" s="32" t="n">
        <v>3.0389</v>
      </c>
      <c r="S2247" s="35" t="n">
        <v>13.79</v>
      </c>
      <c r="T2247" s="18" t="n"/>
      <c r="U2247" s="18" t="n"/>
      <c r="V2247" s="18" t="n"/>
      <c r="W2247" s="18" t="n">
        <v>56792.05</v>
      </c>
      <c r="X2247" s="35" t="n">
        <v>13.79</v>
      </c>
      <c r="Y2247" s="35" t="n"/>
    </row>
    <row r="2248">
      <c r="A2248" s="25" t="n">
        <v>42137</v>
      </c>
      <c r="B2248" s="18" t="n">
        <v>56372.04</v>
      </c>
      <c r="C2248" s="31" t="n"/>
      <c r="D2248" s="32" t="n"/>
      <c r="E2248" s="33" t="n">
        <v>-1.978</v>
      </c>
      <c r="F2248" t="inlineStr">
        <is>
          <t>Down</t>
        </is>
      </c>
      <c r="G2248" t="inlineStr">
        <is>
          <t>Up</t>
        </is>
      </c>
      <c r="H2248" t="inlineStr">
        <is>
          <t>ED_JU</t>
        </is>
      </c>
      <c r="I2248" t="inlineStr">
        <is>
          <t>2015-05</t>
        </is>
      </c>
      <c r="J2248" t="n">
        <v>1</v>
      </c>
      <c r="K2248" t="n">
        <v>1</v>
      </c>
      <c r="L2248" s="34">
        <f>IF($J2248=1,LN(B2249/B2248),"")</f>
        <v/>
      </c>
      <c r="M2248" s="34">
        <f>IF($K2248=1,INDEX(Mensal!$D$2:$D$245,MATCH($I2248,Mensal!$A$2:$A$245,0)),"")</f>
        <v/>
      </c>
      <c r="N2248" s="34">
        <f>IF($K2248=1,L2248-M2248,"")</f>
        <v/>
      </c>
      <c r="O2248" s="34" t="n">
        <v>0.00048967</v>
      </c>
      <c r="P2248" s="34">
        <f>IF($J2248=1,LN(1+O2248),"")</f>
        <v/>
      </c>
      <c r="Q2248" s="34">
        <f>IF($J2248=1,LN(R2249/R2248),"")</f>
        <v/>
      </c>
      <c r="R2248" s="32" t="n">
        <v>3.0103</v>
      </c>
      <c r="S2248" s="35" t="n">
        <v>13.797</v>
      </c>
      <c r="T2248" s="18" t="n"/>
      <c r="U2248" s="18" t="n"/>
      <c r="V2248" s="18" t="n"/>
      <c r="W2248" s="18" t="n">
        <v>56372.04</v>
      </c>
      <c r="X2248" s="35" t="n">
        <v>13.797</v>
      </c>
      <c r="Y2248" s="35" t="n"/>
    </row>
    <row r="2249">
      <c r="A2249" s="25" t="n">
        <v>42138</v>
      </c>
      <c r="B2249" s="18" t="n">
        <v>56656.57</v>
      </c>
      <c r="C2249" s="31" t="n"/>
      <c r="D2249" s="32" t="n"/>
      <c r="E2249" s="33" t="n">
        <v>-1.9771</v>
      </c>
      <c r="F2249" t="inlineStr">
        <is>
          <t>Down</t>
        </is>
      </c>
      <c r="G2249" t="inlineStr">
        <is>
          <t>Up</t>
        </is>
      </c>
      <c r="H2249" t="inlineStr">
        <is>
          <t>ED_JU</t>
        </is>
      </c>
      <c r="I2249" t="inlineStr">
        <is>
          <t>2015-05</t>
        </is>
      </c>
      <c r="J2249" t="n">
        <v>1</v>
      </c>
      <c r="K2249" t="n">
        <v>1</v>
      </c>
      <c r="L2249" s="34">
        <f>IF($J2249=1,LN(B2250/B2249),"")</f>
        <v/>
      </c>
      <c r="M2249" s="34">
        <f>IF($K2249=1,INDEX(Mensal!$D$2:$D$245,MATCH($I2249,Mensal!$A$2:$A$245,0)),"")</f>
        <v/>
      </c>
      <c r="N2249" s="34">
        <f>IF($K2249=1,L2249-M2249,"")</f>
        <v/>
      </c>
      <c r="O2249" s="34" t="n">
        <v>0.00048967</v>
      </c>
      <c r="P2249" s="34">
        <f>IF($J2249=1,LN(1+O2249),"")</f>
        <v/>
      </c>
      <c r="Q2249" s="34">
        <f>IF($J2249=1,LN(R2250/R2249),"")</f>
        <v/>
      </c>
      <c r="R2249" s="32" t="n">
        <v>3.0032</v>
      </c>
      <c r="S2249" s="35" t="n">
        <v>13.747</v>
      </c>
      <c r="T2249" s="18" t="n"/>
      <c r="U2249" s="18" t="n"/>
      <c r="V2249" s="18" t="n"/>
      <c r="W2249" s="18" t="n">
        <v>56656.57</v>
      </c>
      <c r="X2249" s="35" t="n">
        <v>13.747</v>
      </c>
      <c r="Y2249" s="35" t="n"/>
    </row>
    <row r="2250">
      <c r="A2250" s="25" t="n">
        <v>42139</v>
      </c>
      <c r="B2250" s="18" t="n">
        <v>57248.63</v>
      </c>
      <c r="C2250" s="31" t="n"/>
      <c r="D2250" s="32" t="n"/>
      <c r="E2250" s="33" t="n">
        <v>-1.9711</v>
      </c>
      <c r="F2250" t="inlineStr">
        <is>
          <t>Down</t>
        </is>
      </c>
      <c r="G2250" t="inlineStr">
        <is>
          <t>Up</t>
        </is>
      </c>
      <c r="H2250" t="inlineStr">
        <is>
          <t>ED_JU</t>
        </is>
      </c>
      <c r="I2250" t="inlineStr">
        <is>
          <t>2015-05</t>
        </is>
      </c>
      <c r="J2250" t="n">
        <v>1</v>
      </c>
      <c r="K2250" t="n">
        <v>1</v>
      </c>
      <c r="L2250" s="34">
        <f>IF($J2250=1,LN(B2251/B2250),"")</f>
        <v/>
      </c>
      <c r="M2250" s="34">
        <f>IF($K2250=1,INDEX(Mensal!$D$2:$D$245,MATCH($I2250,Mensal!$A$2:$A$245,0)),"")</f>
        <v/>
      </c>
      <c r="N2250" s="34">
        <f>IF($K2250=1,L2250-M2250,"")</f>
        <v/>
      </c>
      <c r="O2250" s="34" t="n">
        <v>0.00048967</v>
      </c>
      <c r="P2250" s="34">
        <f>IF($J2250=1,LN(1+O2250),"")</f>
        <v/>
      </c>
      <c r="Q2250" s="34">
        <f>IF($J2250=1,LN(R2251/R2250),"")</f>
        <v/>
      </c>
      <c r="R2250" s="32" t="n">
        <v>2.9894</v>
      </c>
      <c r="S2250" s="35" t="n">
        <v>13.731</v>
      </c>
      <c r="T2250" s="18" t="n"/>
      <c r="U2250" s="18" t="n"/>
      <c r="V2250" s="18" t="n"/>
      <c r="W2250" s="18" t="n">
        <v>57248.63</v>
      </c>
      <c r="X2250" s="35" t="n">
        <v>13.731</v>
      </c>
      <c r="Y2250" s="35" t="n"/>
    </row>
    <row r="2251">
      <c r="A2251" s="25" t="n">
        <v>42142</v>
      </c>
      <c r="B2251" s="18" t="n">
        <v>56204.23</v>
      </c>
      <c r="C2251" s="31" t="n"/>
      <c r="D2251" s="32" t="n"/>
      <c r="E2251" s="33" t="n">
        <v>-1.9309</v>
      </c>
      <c r="F2251" t="inlineStr">
        <is>
          <t>Down</t>
        </is>
      </c>
      <c r="G2251" t="inlineStr">
        <is>
          <t>Up</t>
        </is>
      </c>
      <c r="H2251" t="inlineStr">
        <is>
          <t>ED_JU</t>
        </is>
      </c>
      <c r="I2251" t="inlineStr">
        <is>
          <t>2015-05</t>
        </is>
      </c>
      <c r="J2251" t="n">
        <v>1</v>
      </c>
      <c r="K2251" t="n">
        <v>1</v>
      </c>
      <c r="L2251" s="34">
        <f>IF($J2251=1,LN(B2252/B2251),"")</f>
        <v/>
      </c>
      <c r="M2251" s="34">
        <f>IF($K2251=1,INDEX(Mensal!$D$2:$D$245,MATCH($I2251,Mensal!$A$2:$A$245,0)),"")</f>
        <v/>
      </c>
      <c r="N2251" s="34">
        <f>IF($K2251=1,L2251-M2251,"")</f>
        <v/>
      </c>
      <c r="O2251" s="34" t="n">
        <v>0.00048967</v>
      </c>
      <c r="P2251" s="34">
        <f>IF($J2251=1,LN(1+O2251),"")</f>
        <v/>
      </c>
      <c r="Q2251" s="34">
        <f>IF($J2251=1,LN(R2252/R2251),"")</f>
        <v/>
      </c>
      <c r="R2251" s="32" t="n">
        <v>3.0145</v>
      </c>
      <c r="S2251" s="35" t="n">
        <v>13.778</v>
      </c>
      <c r="T2251" s="18" t="n"/>
      <c r="U2251" s="18" t="n"/>
      <c r="V2251" s="18" t="n"/>
      <c r="W2251" s="18" t="n">
        <v>56204.23</v>
      </c>
      <c r="X2251" s="35" t="n">
        <v>13.778</v>
      </c>
      <c r="Y2251" s="35" t="n"/>
    </row>
    <row r="2252">
      <c r="A2252" s="25" t="n">
        <v>42143</v>
      </c>
      <c r="B2252" s="18" t="n">
        <v>55498.82</v>
      </c>
      <c r="C2252" s="31" t="n"/>
      <c r="D2252" s="32" t="n"/>
      <c r="E2252" s="33" t="n">
        <v>-1.8899</v>
      </c>
      <c r="F2252" t="inlineStr">
        <is>
          <t>Down</t>
        </is>
      </c>
      <c r="G2252" t="inlineStr">
        <is>
          <t>Up</t>
        </is>
      </c>
      <c r="H2252" t="inlineStr">
        <is>
          <t>ED_JU</t>
        </is>
      </c>
      <c r="I2252" t="inlineStr">
        <is>
          <t>2015-05</t>
        </is>
      </c>
      <c r="J2252" t="n">
        <v>1</v>
      </c>
      <c r="K2252" t="n">
        <v>1</v>
      </c>
      <c r="L2252" s="34">
        <f>IF($J2252=1,LN(B2253/B2252),"")</f>
        <v/>
      </c>
      <c r="M2252" s="34">
        <f>IF($K2252=1,INDEX(Mensal!$D$2:$D$245,MATCH($I2252,Mensal!$A$2:$A$245,0)),"")</f>
        <v/>
      </c>
      <c r="N2252" s="34">
        <f>IF($K2252=1,L2252-M2252,"")</f>
        <v/>
      </c>
      <c r="O2252" s="34" t="n">
        <v>0.00048967</v>
      </c>
      <c r="P2252" s="34">
        <f>IF($J2252=1,LN(1+O2252),"")</f>
        <v/>
      </c>
      <c r="Q2252" s="34">
        <f>IF($J2252=1,LN(R2253/R2252),"")</f>
        <v/>
      </c>
      <c r="R2252" s="32" t="n">
        <v>3.0284</v>
      </c>
      <c r="S2252" s="35" t="n">
        <v>13.794</v>
      </c>
      <c r="T2252" s="18" t="n"/>
      <c r="U2252" s="18" t="n"/>
      <c r="V2252" s="18" t="n"/>
      <c r="W2252" s="18" t="n">
        <v>55498.82</v>
      </c>
      <c r="X2252" s="35" t="n">
        <v>13.794</v>
      </c>
      <c r="Y2252" s="35" t="n"/>
    </row>
    <row r="2253">
      <c r="A2253" s="25" t="n">
        <v>42144</v>
      </c>
      <c r="B2253" s="18" t="n">
        <v>54901.02</v>
      </c>
      <c r="C2253" s="31" t="n"/>
      <c r="D2253" s="32" t="n"/>
      <c r="E2253" s="33" t="n">
        <v>-1.8419</v>
      </c>
      <c r="F2253" t="inlineStr">
        <is>
          <t>Down</t>
        </is>
      </c>
      <c r="G2253" t="inlineStr">
        <is>
          <t>Up</t>
        </is>
      </c>
      <c r="H2253" t="inlineStr">
        <is>
          <t>ED_JU</t>
        </is>
      </c>
      <c r="I2253" t="inlineStr">
        <is>
          <t>2015-05</t>
        </is>
      </c>
      <c r="J2253" t="n">
        <v>1</v>
      </c>
      <c r="K2253" t="n">
        <v>1</v>
      </c>
      <c r="L2253" s="34">
        <f>IF($J2253=1,LN(B2254/B2253),"")</f>
        <v/>
      </c>
      <c r="M2253" s="34">
        <f>IF($K2253=1,INDEX(Mensal!$D$2:$D$245,MATCH($I2253,Mensal!$A$2:$A$245,0)),"")</f>
        <v/>
      </c>
      <c r="N2253" s="34">
        <f>IF($K2253=1,L2253-M2253,"")</f>
        <v/>
      </c>
      <c r="O2253" s="34" t="n">
        <v>0.00048967</v>
      </c>
      <c r="P2253" s="34">
        <f>IF($J2253=1,LN(1+O2253),"")</f>
        <v/>
      </c>
      <c r="Q2253" s="34">
        <f>IF($J2253=1,LN(R2254/R2253),"")</f>
        <v/>
      </c>
      <c r="R2253" s="32" t="n">
        <v>3.0347</v>
      </c>
      <c r="S2253" s="35" t="n">
        <v>13.699</v>
      </c>
      <c r="T2253" s="18" t="n"/>
      <c r="U2253" s="18" t="n"/>
      <c r="V2253" s="18" t="n"/>
      <c r="W2253" s="18" t="n">
        <v>54901.02</v>
      </c>
      <c r="X2253" s="35" t="n">
        <v>13.699</v>
      </c>
      <c r="Y2253" s="35" t="n"/>
    </row>
    <row r="2254">
      <c r="A2254" s="25" t="n">
        <v>42145</v>
      </c>
      <c r="B2254" s="18" t="n">
        <v>55112.05</v>
      </c>
      <c r="C2254" s="31" t="n"/>
      <c r="D2254" s="32" t="n"/>
      <c r="E2254" s="33" t="n">
        <v>-1.7854</v>
      </c>
      <c r="F2254" t="inlineStr">
        <is>
          <t>Down</t>
        </is>
      </c>
      <c r="G2254" t="inlineStr">
        <is>
          <t>Up</t>
        </is>
      </c>
      <c r="H2254" t="inlineStr">
        <is>
          <t>ED_JU</t>
        </is>
      </c>
      <c r="I2254" t="inlineStr">
        <is>
          <t>2015-05</t>
        </is>
      </c>
      <c r="J2254" t="n">
        <v>1</v>
      </c>
      <c r="K2254" t="n">
        <v>1</v>
      </c>
      <c r="L2254" s="34">
        <f>IF($J2254=1,LN(B2255/B2254),"")</f>
        <v/>
      </c>
      <c r="M2254" s="34">
        <f>IF($K2254=1,INDEX(Mensal!$D$2:$D$245,MATCH($I2254,Mensal!$A$2:$A$245,0)),"")</f>
        <v/>
      </c>
      <c r="N2254" s="34">
        <f>IF($K2254=1,L2254-M2254,"")</f>
        <v/>
      </c>
      <c r="O2254" s="34" t="n">
        <v>0.00048967</v>
      </c>
      <c r="P2254" s="34">
        <f>IF($J2254=1,LN(1+O2254),"")</f>
        <v/>
      </c>
      <c r="Q2254" s="34">
        <f>IF($J2254=1,LN(R2255/R2254),"")</f>
        <v/>
      </c>
      <c r="R2254" s="32" t="n">
        <v>3.0295</v>
      </c>
      <c r="S2254" s="35" t="n">
        <v>13.711</v>
      </c>
      <c r="T2254" s="18" t="n"/>
      <c r="U2254" s="18" t="n"/>
      <c r="V2254" s="18" t="n"/>
      <c r="W2254" s="18" t="n">
        <v>55112.05</v>
      </c>
      <c r="X2254" s="35" t="n">
        <v>13.711</v>
      </c>
      <c r="Y2254" s="35" t="n"/>
    </row>
    <row r="2255">
      <c r="A2255" s="25" t="n">
        <v>42146</v>
      </c>
      <c r="B2255" s="18" t="n">
        <v>54377.29</v>
      </c>
      <c r="C2255" s="31" t="n"/>
      <c r="D2255" s="32" t="n"/>
      <c r="E2255" s="33" t="n">
        <v>-1.7288</v>
      </c>
      <c r="F2255" t="inlineStr">
        <is>
          <t>Down</t>
        </is>
      </c>
      <c r="G2255" t="inlineStr">
        <is>
          <t>Up</t>
        </is>
      </c>
      <c r="H2255" t="inlineStr">
        <is>
          <t>ED_JU</t>
        </is>
      </c>
      <c r="I2255" t="inlineStr">
        <is>
          <t>2015-05</t>
        </is>
      </c>
      <c r="J2255" t="n">
        <v>1</v>
      </c>
      <c r="K2255" t="n">
        <v>1</v>
      </c>
      <c r="L2255" s="34">
        <f>IF($J2255=1,LN(B2256/B2255),"")</f>
        <v/>
      </c>
      <c r="M2255" s="34">
        <f>IF($K2255=1,INDEX(Mensal!$D$2:$D$245,MATCH($I2255,Mensal!$A$2:$A$245,0)),"")</f>
        <v/>
      </c>
      <c r="N2255" s="34">
        <f>IF($K2255=1,L2255-M2255,"")</f>
        <v/>
      </c>
      <c r="O2255" s="34" t="n">
        <v>0.00048967</v>
      </c>
      <c r="P2255" s="34">
        <f>IF($J2255=1,LN(1+O2255),"")</f>
        <v/>
      </c>
      <c r="Q2255" s="34">
        <f>IF($J2255=1,LN(R2256/R2255),"")</f>
        <v/>
      </c>
      <c r="R2255" s="32" t="n">
        <v>3.0653</v>
      </c>
      <c r="S2255" s="35" t="n">
        <v>13.691</v>
      </c>
      <c r="T2255" s="18" t="n"/>
      <c r="U2255" s="18" t="n"/>
      <c r="V2255" s="18" t="n"/>
      <c r="W2255" s="18" t="n">
        <v>54377.29</v>
      </c>
      <c r="X2255" s="35" t="n">
        <v>13.691</v>
      </c>
      <c r="Y2255" s="35" t="n"/>
    </row>
    <row r="2256">
      <c r="A2256" s="25" t="n">
        <v>42149</v>
      </c>
      <c r="B2256" s="18" t="n">
        <v>54609.25</v>
      </c>
      <c r="C2256" s="31" t="n"/>
      <c r="D2256" s="32" t="n"/>
      <c r="E2256" s="33" t="n">
        <v>-1.6651</v>
      </c>
      <c r="F2256" t="inlineStr">
        <is>
          <t>Down</t>
        </is>
      </c>
      <c r="G2256" t="inlineStr">
        <is>
          <t>Up</t>
        </is>
      </c>
      <c r="H2256" t="inlineStr">
        <is>
          <t>ED_JU</t>
        </is>
      </c>
      <c r="I2256" t="inlineStr">
        <is>
          <t>2015-05</t>
        </is>
      </c>
      <c r="J2256" t="n">
        <v>1</v>
      </c>
      <c r="K2256" t="n">
        <v>1</v>
      </c>
      <c r="L2256" s="34">
        <f>IF($J2256=1,LN(B2257/B2256),"")</f>
        <v/>
      </c>
      <c r="M2256" s="34">
        <f>IF($K2256=1,INDEX(Mensal!$D$2:$D$245,MATCH($I2256,Mensal!$A$2:$A$245,0)),"")</f>
        <v/>
      </c>
      <c r="N2256" s="34">
        <f>IF($K2256=1,L2256-M2256,"")</f>
        <v/>
      </c>
      <c r="O2256" s="34" t="n">
        <v>0.00048967</v>
      </c>
      <c r="P2256" s="34">
        <f>IF($J2256=1,LN(1+O2256),"")</f>
        <v/>
      </c>
      <c r="Q2256" s="34">
        <f>IF($J2256=1,LN(R2257/R2256),"")</f>
        <v/>
      </c>
      <c r="R2256" s="32" t="n">
        <v>3.1212</v>
      </c>
      <c r="S2256" s="35" t="n">
        <v>13.673</v>
      </c>
      <c r="T2256" s="18" t="n"/>
      <c r="U2256" s="18" t="n"/>
      <c r="V2256" s="18" t="n"/>
      <c r="W2256" s="18" t="n">
        <v>54609.25</v>
      </c>
      <c r="X2256" s="35" t="n">
        <v>13.673</v>
      </c>
      <c r="Y2256" s="35" t="n"/>
    </row>
    <row r="2257">
      <c r="A2257" s="25" t="n">
        <v>42150</v>
      </c>
      <c r="B2257" s="18" t="n">
        <v>53629.78</v>
      </c>
      <c r="C2257" s="31" t="n"/>
      <c r="D2257" s="32" t="n"/>
      <c r="E2257" s="33" t="n">
        <v>-1.6017</v>
      </c>
      <c r="F2257" t="inlineStr">
        <is>
          <t>Down</t>
        </is>
      </c>
      <c r="G2257" t="inlineStr">
        <is>
          <t>Up</t>
        </is>
      </c>
      <c r="H2257" t="inlineStr">
        <is>
          <t>ED_JU</t>
        </is>
      </c>
      <c r="I2257" t="inlineStr">
        <is>
          <t>2015-05</t>
        </is>
      </c>
      <c r="J2257" t="n">
        <v>1</v>
      </c>
      <c r="K2257" t="n">
        <v>1</v>
      </c>
      <c r="L2257" s="34">
        <f>IF($J2257=1,LN(B2258/B2257),"")</f>
        <v/>
      </c>
      <c r="M2257" s="34">
        <f>IF($K2257=1,INDEX(Mensal!$D$2:$D$245,MATCH($I2257,Mensal!$A$2:$A$245,0)),"")</f>
        <v/>
      </c>
      <c r="N2257" s="34">
        <f>IF($K2257=1,L2257-M2257,"")</f>
        <v/>
      </c>
      <c r="O2257" s="34" t="n">
        <v>0.00048967</v>
      </c>
      <c r="P2257" s="34">
        <f>IF($J2257=1,LN(1+O2257),"")</f>
        <v/>
      </c>
      <c r="Q2257" s="34">
        <f>IF($J2257=1,LN(R2258/R2257),"")</f>
        <v/>
      </c>
      <c r="R2257" s="32" t="n">
        <v>3.1351</v>
      </c>
      <c r="S2257" s="35" t="n">
        <v>13.639</v>
      </c>
      <c r="T2257" s="18" t="n"/>
      <c r="U2257" s="18" t="n"/>
      <c r="V2257" s="18" t="n"/>
      <c r="W2257" s="18" t="n">
        <v>53629.78</v>
      </c>
      <c r="X2257" s="35" t="n">
        <v>13.639</v>
      </c>
      <c r="Y2257" s="35" t="n"/>
    </row>
    <row r="2258">
      <c r="A2258" s="25" t="n">
        <v>42151</v>
      </c>
      <c r="B2258" s="18" t="n">
        <v>54236.25</v>
      </c>
      <c r="C2258" s="31" t="n"/>
      <c r="D2258" s="32" t="n"/>
      <c r="E2258" s="33" t="n">
        <v>-1.5327</v>
      </c>
      <c r="F2258" t="inlineStr">
        <is>
          <t>Down</t>
        </is>
      </c>
      <c r="G2258" t="inlineStr">
        <is>
          <t>Up</t>
        </is>
      </c>
      <c r="H2258" t="inlineStr">
        <is>
          <t>ED_JU</t>
        </is>
      </c>
      <c r="I2258" t="inlineStr">
        <is>
          <t>2015-05</t>
        </is>
      </c>
      <c r="J2258" t="n">
        <v>1</v>
      </c>
      <c r="K2258" t="n">
        <v>1</v>
      </c>
      <c r="L2258" s="34">
        <f>IF($J2258=1,LN(B2259/B2258),"")</f>
        <v/>
      </c>
      <c r="M2258" s="34">
        <f>IF($K2258=1,INDEX(Mensal!$D$2:$D$245,MATCH($I2258,Mensal!$A$2:$A$245,0)),"")</f>
        <v/>
      </c>
      <c r="N2258" s="34">
        <f>IF($K2258=1,L2258-M2258,"")</f>
        <v/>
      </c>
      <c r="O2258" s="34" t="n">
        <v>0.00048967</v>
      </c>
      <c r="P2258" s="34">
        <f>IF($J2258=1,LN(1+O2258),"")</f>
        <v/>
      </c>
      <c r="Q2258" s="34">
        <f>IF($J2258=1,LN(R2259/R2258),"")</f>
        <v/>
      </c>
      <c r="R2258" s="32" t="n">
        <v>3.174</v>
      </c>
      <c r="S2258" s="35" t="n">
        <v>13.724</v>
      </c>
      <c r="T2258" s="18" t="n"/>
      <c r="U2258" s="18" t="n"/>
      <c r="V2258" s="18" t="n"/>
      <c r="W2258" s="18" t="n">
        <v>54236.25</v>
      </c>
      <c r="X2258" s="35" t="n">
        <v>13.724</v>
      </c>
      <c r="Y2258" s="35" t="n"/>
    </row>
    <row r="2259">
      <c r="A2259" s="25" t="n">
        <v>42152</v>
      </c>
      <c r="B2259" s="18" t="n">
        <v>53976.27</v>
      </c>
      <c r="C2259" s="31" t="n"/>
      <c r="D2259" s="32" t="n"/>
      <c r="E2259" s="33" t="n">
        <v>-1.4571</v>
      </c>
      <c r="F2259" t="inlineStr">
        <is>
          <t>Down</t>
        </is>
      </c>
      <c r="G2259" t="inlineStr">
        <is>
          <t>Up</t>
        </is>
      </c>
      <c r="H2259" t="inlineStr">
        <is>
          <t>ED_JU</t>
        </is>
      </c>
      <c r="I2259" t="inlineStr">
        <is>
          <t>2015-05</t>
        </is>
      </c>
      <c r="J2259" t="n">
        <v>1</v>
      </c>
      <c r="K2259" t="n">
        <v>1</v>
      </c>
      <c r="L2259" s="34">
        <f>IF($J2259=1,LN(B2260/B2259),"")</f>
        <v/>
      </c>
      <c r="M2259" s="34">
        <f>IF($K2259=1,INDEX(Mensal!$D$2:$D$245,MATCH($I2259,Mensal!$A$2:$A$245,0)),"")</f>
        <v/>
      </c>
      <c r="N2259" s="34">
        <f>IF($K2259=1,L2259-M2259,"")</f>
        <v/>
      </c>
      <c r="O2259" s="34" t="n">
        <v>0.00048967</v>
      </c>
      <c r="P2259" s="34">
        <f>IF($J2259=1,LN(1+O2259),"")</f>
        <v/>
      </c>
      <c r="Q2259" s="34">
        <f>IF($J2259=1,LN(R2260/R2259),"")</f>
        <v/>
      </c>
      <c r="R2259" s="32" t="n">
        <v>3.1748</v>
      </c>
      <c r="S2259" s="35" t="n">
        <v>13.712</v>
      </c>
      <c r="T2259" s="18" t="n"/>
      <c r="U2259" s="18" t="n"/>
      <c r="V2259" s="18" t="n"/>
      <c r="W2259" s="18" t="n">
        <v>53976.27</v>
      </c>
      <c r="X2259" s="35" t="n">
        <v>13.712</v>
      </c>
      <c r="Y2259" s="35" t="n"/>
    </row>
    <row r="2260">
      <c r="A2260" s="25" t="n">
        <v>42153</v>
      </c>
      <c r="B2260" s="18" t="n">
        <v>52760.47</v>
      </c>
      <c r="C2260" s="31" t="n"/>
      <c r="D2260" s="32" t="n"/>
      <c r="E2260" s="33" t="n">
        <v>-1.3863</v>
      </c>
      <c r="F2260" t="inlineStr">
        <is>
          <t>Down</t>
        </is>
      </c>
      <c r="G2260" t="inlineStr">
        <is>
          <t>Up</t>
        </is>
      </c>
      <c r="H2260" t="inlineStr">
        <is>
          <t>ED_JU</t>
        </is>
      </c>
      <c r="I2260" t="inlineStr">
        <is>
          <t>2015-05</t>
        </is>
      </c>
      <c r="J2260" t="n">
        <v>1</v>
      </c>
      <c r="K2260" t="n">
        <v>1</v>
      </c>
      <c r="L2260" s="34">
        <f>IF($J2260=1,LN(B2261/B2260),"")</f>
        <v/>
      </c>
      <c r="M2260" s="34">
        <f>IF($K2260=1,INDEX(Mensal!$D$2:$D$245,MATCH($I2260,Mensal!$A$2:$A$245,0)),"")</f>
        <v/>
      </c>
      <c r="N2260" s="34">
        <f>IF($K2260=1,L2260-M2260,"")</f>
        <v/>
      </c>
      <c r="O2260" s="34" t="n">
        <v>0.00048967</v>
      </c>
      <c r="P2260" s="34">
        <f>IF($J2260=1,LN(1+O2260),"")</f>
        <v/>
      </c>
      <c r="Q2260" s="34">
        <f>IF($J2260=1,LN(R2261/R2260),"")</f>
        <v/>
      </c>
      <c r="R2260" s="32" t="n">
        <v>3.1788</v>
      </c>
      <c r="S2260" s="35" t="n">
        <v>13.756</v>
      </c>
      <c r="T2260" s="18" t="n"/>
      <c r="U2260" s="18" t="n"/>
      <c r="V2260" s="18" t="n"/>
      <c r="W2260" s="18" t="n">
        <v>52760.47</v>
      </c>
      <c r="X2260" s="35" t="n">
        <v>13.756</v>
      </c>
      <c r="Y2260" s="35" t="n"/>
    </row>
    <row r="2261">
      <c r="A2261" s="25" t="n">
        <v>42156</v>
      </c>
      <c r="B2261" s="18" t="n">
        <v>53031.31</v>
      </c>
      <c r="C2261" s="31" t="n"/>
      <c r="D2261" s="32" t="n"/>
      <c r="E2261" s="33" t="n">
        <v>-1.3209</v>
      </c>
      <c r="F2261" t="inlineStr">
        <is>
          <t>Down</t>
        </is>
      </c>
      <c r="G2261" t="inlineStr">
        <is>
          <t>Up</t>
        </is>
      </c>
      <c r="H2261" t="inlineStr">
        <is>
          <t>ED_JU</t>
        </is>
      </c>
      <c r="I2261" t="inlineStr">
        <is>
          <t>2015-06</t>
        </is>
      </c>
      <c r="J2261" t="n">
        <v>1</v>
      </c>
      <c r="K2261" t="n">
        <v>1</v>
      </c>
      <c r="L2261" s="34">
        <f>IF($J2261=1,LN(B2262/B2261),"")</f>
        <v/>
      </c>
      <c r="M2261" s="34">
        <f>IF($K2261=1,INDEX(Mensal!$D$2:$D$245,MATCH($I2261,Mensal!$A$2:$A$245,0)),"")</f>
        <v/>
      </c>
      <c r="N2261" s="34">
        <f>IF($K2261=1,L2261-M2261,"")</f>
        <v/>
      </c>
      <c r="O2261" s="34" t="n">
        <v>0.00048967</v>
      </c>
      <c r="P2261" s="34">
        <f>IF($J2261=1,LN(1+O2261),"")</f>
        <v/>
      </c>
      <c r="Q2261" s="34">
        <f>IF($J2261=1,LN(R2262/R2261),"")</f>
        <v/>
      </c>
      <c r="R2261" s="32" t="n">
        <v>3.1789</v>
      </c>
      <c r="S2261" s="35" t="n">
        <v>13.82</v>
      </c>
      <c r="T2261" s="18" t="n"/>
      <c r="U2261" s="18" t="n"/>
      <c r="V2261" s="18" t="n"/>
      <c r="W2261" s="18" t="n">
        <v>53031.31</v>
      </c>
      <c r="X2261" s="35" t="n">
        <v>13.82</v>
      </c>
      <c r="Y2261" s="35" t="n"/>
    </row>
    <row r="2262">
      <c r="A2262" s="25" t="n">
        <v>42157</v>
      </c>
      <c r="B2262" s="18" t="n">
        <v>54236.43</v>
      </c>
      <c r="C2262" s="31" t="n"/>
      <c r="D2262" s="32" t="n"/>
      <c r="E2262" s="33" t="n">
        <v>-1.2505</v>
      </c>
      <c r="F2262" t="inlineStr">
        <is>
          <t>Down</t>
        </is>
      </c>
      <c r="G2262" t="inlineStr">
        <is>
          <t>Up</t>
        </is>
      </c>
      <c r="H2262" t="inlineStr">
        <is>
          <t>ED_JU</t>
        </is>
      </c>
      <c r="I2262" t="inlineStr">
        <is>
          <t>2015-06</t>
        </is>
      </c>
      <c r="J2262" t="n">
        <v>1</v>
      </c>
      <c r="K2262" t="n">
        <v>1</v>
      </c>
      <c r="L2262" s="34">
        <f>IF($J2262=1,LN(B2263/B2262),"")</f>
        <v/>
      </c>
      <c r="M2262" s="34">
        <f>IF($K2262=1,INDEX(Mensal!$D$2:$D$245,MATCH($I2262,Mensal!$A$2:$A$245,0)),"")</f>
        <v/>
      </c>
      <c r="N2262" s="34">
        <f>IF($K2262=1,L2262-M2262,"")</f>
        <v/>
      </c>
      <c r="O2262" s="34" t="n">
        <v>0.00048967</v>
      </c>
      <c r="P2262" s="34">
        <f>IF($J2262=1,LN(1+O2262),"")</f>
        <v/>
      </c>
      <c r="Q2262" s="34">
        <f>IF($J2262=1,LN(R2263/R2262),"")</f>
        <v/>
      </c>
      <c r="R2262" s="32" t="n">
        <v>3.1443</v>
      </c>
      <c r="S2262" s="35" t="n">
        <v>13.89</v>
      </c>
      <c r="T2262" s="18" t="n"/>
      <c r="U2262" s="18" t="n"/>
      <c r="V2262" s="18" t="n"/>
      <c r="W2262" s="18" t="n">
        <v>54236.43</v>
      </c>
      <c r="X2262" s="35" t="n">
        <v>13.89</v>
      </c>
      <c r="Y2262" s="35" t="n"/>
    </row>
    <row r="2263">
      <c r="A2263" s="25" t="n">
        <v>42158</v>
      </c>
      <c r="B2263" s="18" t="n">
        <v>53522.9</v>
      </c>
      <c r="C2263" s="31" t="n"/>
      <c r="D2263" s="32" t="n"/>
      <c r="E2263" s="33" t="n">
        <v>-1.1773</v>
      </c>
      <c r="F2263" t="inlineStr">
        <is>
          <t>Down</t>
        </is>
      </c>
      <c r="G2263" t="inlineStr">
        <is>
          <t>Up</t>
        </is>
      </c>
      <c r="H2263" t="inlineStr">
        <is>
          <t>ED_JU</t>
        </is>
      </c>
      <c r="I2263" t="inlineStr">
        <is>
          <t>2015-06</t>
        </is>
      </c>
      <c r="J2263" t="n">
        <v>1</v>
      </c>
      <c r="K2263" t="n">
        <v>1</v>
      </c>
      <c r="L2263" s="34">
        <f>IF($J2263=1,LN(B2264/B2263),"")</f>
        <v/>
      </c>
      <c r="M2263" s="34">
        <f>IF($K2263=1,INDEX(Mensal!$D$2:$D$245,MATCH($I2263,Mensal!$A$2:$A$245,0)),"")</f>
        <v/>
      </c>
      <c r="N2263" s="34">
        <f>IF($K2263=1,L2263-M2263,"")</f>
        <v/>
      </c>
      <c r="O2263" s="34" t="n">
        <v>0.00048967</v>
      </c>
      <c r="P2263" s="34">
        <f>IF($J2263=1,LN(1+O2263),"")</f>
        <v/>
      </c>
      <c r="Q2263" s="34">
        <f>IF($J2263=1,LN(R2264/R2263),"")</f>
        <v/>
      </c>
      <c r="R2263" s="32" t="n">
        <v>3.1184</v>
      </c>
      <c r="S2263" s="35" t="n">
        <v>13.922</v>
      </c>
      <c r="T2263" s="18" t="n"/>
      <c r="U2263" s="18" t="n"/>
      <c r="V2263" s="18" t="n"/>
      <c r="W2263" s="18" t="n">
        <v>53522.9</v>
      </c>
      <c r="X2263" s="35" t="n">
        <v>13.922</v>
      </c>
      <c r="Y2263" s="35" t="n"/>
    </row>
    <row r="2264">
      <c r="A2264" s="25" t="n">
        <v>42160</v>
      </c>
      <c r="B2264" s="18" t="n">
        <v>52973.37</v>
      </c>
      <c r="C2264" s="31" t="n"/>
      <c r="D2264" s="32" t="n"/>
      <c r="E2264" s="33" t="n">
        <v>-1.0969</v>
      </c>
      <c r="F2264" t="inlineStr">
        <is>
          <t>Down</t>
        </is>
      </c>
      <c r="G2264" t="inlineStr">
        <is>
          <t>Up</t>
        </is>
      </c>
      <c r="H2264" t="inlineStr">
        <is>
          <t>ED_JU</t>
        </is>
      </c>
      <c r="I2264" t="inlineStr">
        <is>
          <t>2015-06</t>
        </is>
      </c>
      <c r="J2264" t="n">
        <v>1</v>
      </c>
      <c r="K2264" t="n">
        <v>1</v>
      </c>
      <c r="L2264" s="34">
        <f>IF($J2264=1,LN(B2265/B2264),"")</f>
        <v/>
      </c>
      <c r="M2264" s="34">
        <f>IF($K2264=1,INDEX(Mensal!$D$2:$D$245,MATCH($I2264,Mensal!$A$2:$A$245,0)),"")</f>
        <v/>
      </c>
      <c r="N2264" s="34">
        <f>IF($K2264=1,L2264-M2264,"")</f>
        <v/>
      </c>
      <c r="O2264" s="34" t="n">
        <v>0.00050753</v>
      </c>
      <c r="P2264" s="34">
        <f>IF($J2264=1,LN(1+O2264),"")</f>
        <v/>
      </c>
      <c r="Q2264" s="34">
        <f>IF($J2264=1,LN(R2265/R2264),"")</f>
        <v/>
      </c>
      <c r="R2264" s="32" t="n">
        <v>3.1684</v>
      </c>
      <c r="S2264" s="35" t="n">
        <v>14.022</v>
      </c>
      <c r="T2264" s="18" t="n"/>
      <c r="U2264" s="18" t="n"/>
      <c r="V2264" s="18" t="n"/>
      <c r="W2264" s="18" t="n">
        <v>52973.37</v>
      </c>
      <c r="X2264" s="35" t="n">
        <v>14.022</v>
      </c>
      <c r="Y2264" s="35" t="n"/>
    </row>
    <row r="2265">
      <c r="A2265" s="25" t="n">
        <v>42163</v>
      </c>
      <c r="B2265" s="18" t="n">
        <v>52809.63</v>
      </c>
      <c r="C2265" s="31" t="n"/>
      <c r="D2265" s="32" t="n"/>
      <c r="E2265" s="33" t="n">
        <v>-1.0136</v>
      </c>
      <c r="F2265" t="inlineStr">
        <is>
          <t>Down</t>
        </is>
      </c>
      <c r="G2265" t="inlineStr">
        <is>
          <t>Up</t>
        </is>
      </c>
      <c r="H2265" t="inlineStr">
        <is>
          <t>ED_JU</t>
        </is>
      </c>
      <c r="I2265" t="inlineStr">
        <is>
          <t>2015-06</t>
        </is>
      </c>
      <c r="J2265" t="n">
        <v>1</v>
      </c>
      <c r="K2265" t="n">
        <v>1</v>
      </c>
      <c r="L2265" s="34">
        <f>IF($J2265=1,LN(B2266/B2265),"")</f>
        <v/>
      </c>
      <c r="M2265" s="34">
        <f>IF($K2265=1,INDEX(Mensal!$D$2:$D$245,MATCH($I2265,Mensal!$A$2:$A$245,0)),"")</f>
        <v/>
      </c>
      <c r="N2265" s="34">
        <f>IF($K2265=1,L2265-M2265,"")</f>
        <v/>
      </c>
      <c r="O2265" s="34" t="n">
        <v>0.00050753</v>
      </c>
      <c r="P2265" s="34">
        <f>IF($J2265=1,LN(1+O2265),"")</f>
        <v/>
      </c>
      <c r="Q2265" s="34">
        <f>IF($J2265=1,LN(R2266/R2265),"")</f>
        <v/>
      </c>
      <c r="R2265" s="32" t="n">
        <v>3.119</v>
      </c>
      <c r="S2265" s="35" t="n">
        <v>13.963</v>
      </c>
      <c r="T2265" s="18" t="n"/>
      <c r="U2265" s="18" t="n"/>
      <c r="V2265" s="18" t="n"/>
      <c r="W2265" s="18" t="n">
        <v>52809.63</v>
      </c>
      <c r="X2265" s="35" t="n">
        <v>13.963</v>
      </c>
      <c r="Y2265" s="35" t="n"/>
    </row>
    <row r="2266">
      <c r="A2266" s="25" t="n">
        <v>42164</v>
      </c>
      <c r="B2266" s="18" t="n">
        <v>52815.99</v>
      </c>
      <c r="C2266" s="31" t="n"/>
      <c r="D2266" s="32" t="n"/>
      <c r="E2266" s="33" t="n">
        <v>-0.9216</v>
      </c>
      <c r="F2266" t="inlineStr">
        <is>
          <t>Down</t>
        </is>
      </c>
      <c r="G2266" t="inlineStr">
        <is>
          <t>Up</t>
        </is>
      </c>
      <c r="H2266" t="inlineStr">
        <is>
          <t>ED_JU</t>
        </is>
      </c>
      <c r="I2266" t="inlineStr">
        <is>
          <t>2015-06</t>
        </is>
      </c>
      <c r="J2266" t="n">
        <v>1</v>
      </c>
      <c r="K2266" t="n">
        <v>1</v>
      </c>
      <c r="L2266" s="34">
        <f>IF($J2266=1,LN(B2267/B2266),"")</f>
        <v/>
      </c>
      <c r="M2266" s="34">
        <f>IF($K2266=1,INDEX(Mensal!$D$2:$D$245,MATCH($I2266,Mensal!$A$2:$A$245,0)),"")</f>
        <v/>
      </c>
      <c r="N2266" s="34">
        <f>IF($K2266=1,L2266-M2266,"")</f>
        <v/>
      </c>
      <c r="O2266" s="34" t="n">
        <v>0.00050753</v>
      </c>
      <c r="P2266" s="34">
        <f>IF($J2266=1,LN(1+O2266),"")</f>
        <v/>
      </c>
      <c r="Q2266" s="34">
        <f>IF($J2266=1,LN(R2267/R2266),"")</f>
        <v/>
      </c>
      <c r="R2266" s="32" t="n">
        <v>3.0991</v>
      </c>
      <c r="S2266" s="35" t="n">
        <v>14.005</v>
      </c>
      <c r="T2266" s="18" t="n"/>
      <c r="U2266" s="18" t="n"/>
      <c r="V2266" s="18" t="n"/>
      <c r="W2266" s="18" t="n">
        <v>52815.99</v>
      </c>
      <c r="X2266" s="35" t="n">
        <v>14.005</v>
      </c>
      <c r="Y2266" s="35" t="n"/>
    </row>
    <row r="2267">
      <c r="A2267" s="25" t="n">
        <v>42165</v>
      </c>
      <c r="B2267" s="18" t="n">
        <v>53876.44</v>
      </c>
      <c r="C2267" s="31" t="n"/>
      <c r="D2267" s="32" t="n"/>
      <c r="E2267" s="33" t="n">
        <v>-0.8246</v>
      </c>
      <c r="F2267" t="inlineStr">
        <is>
          <t>Down</t>
        </is>
      </c>
      <c r="G2267" t="inlineStr">
        <is>
          <t>Up</t>
        </is>
      </c>
      <c r="H2267" t="inlineStr">
        <is>
          <t>ED_JU</t>
        </is>
      </c>
      <c r="I2267" t="inlineStr">
        <is>
          <t>2015-06</t>
        </is>
      </c>
      <c r="J2267" t="n">
        <v>1</v>
      </c>
      <c r="K2267" t="n">
        <v>1</v>
      </c>
      <c r="L2267" s="34">
        <f>IF($J2267=1,LN(B2268/B2267),"")</f>
        <v/>
      </c>
      <c r="M2267" s="34">
        <f>IF($K2267=1,INDEX(Mensal!$D$2:$D$245,MATCH($I2267,Mensal!$A$2:$A$245,0)),"")</f>
        <v/>
      </c>
      <c r="N2267" s="34">
        <f>IF($K2267=1,L2267-M2267,"")</f>
        <v/>
      </c>
      <c r="O2267" s="34" t="n">
        <v>0.00050753</v>
      </c>
      <c r="P2267" s="34">
        <f>IF($J2267=1,LN(1+O2267),"")</f>
        <v/>
      </c>
      <c r="Q2267" s="34">
        <f>IF($J2267=1,LN(R2268/R2267),"")</f>
        <v/>
      </c>
      <c r="R2267" s="32" t="n">
        <v>3.0843</v>
      </c>
      <c r="S2267" s="35" t="n">
        <v>14.117</v>
      </c>
      <c r="T2267" s="18" t="n"/>
      <c r="U2267" s="18" t="n"/>
      <c r="V2267" s="18" t="n"/>
      <c r="W2267" s="18" t="n">
        <v>53876.44</v>
      </c>
      <c r="X2267" s="35" t="n">
        <v>14.117</v>
      </c>
      <c r="Y2267" s="35" t="n"/>
    </row>
    <row r="2268">
      <c r="A2268" s="25" t="n">
        <v>42166</v>
      </c>
      <c r="B2268" s="18" t="n">
        <v>53688.51</v>
      </c>
      <c r="C2268" s="31" t="n"/>
      <c r="D2268" s="32" t="n"/>
      <c r="E2268" s="33" t="n">
        <v>-0.7354000000000001</v>
      </c>
      <c r="F2268" t="inlineStr">
        <is>
          <t>Down</t>
        </is>
      </c>
      <c r="G2268" t="inlineStr">
        <is>
          <t>Up</t>
        </is>
      </c>
      <c r="H2268" t="inlineStr">
        <is>
          <t>ED_JU</t>
        </is>
      </c>
      <c r="I2268" t="inlineStr">
        <is>
          <t>2015-06</t>
        </is>
      </c>
      <c r="J2268" t="n">
        <v>1</v>
      </c>
      <c r="K2268" t="n">
        <v>1</v>
      </c>
      <c r="L2268" s="34">
        <f>IF($J2268=1,LN(B2269/B2268),"")</f>
        <v/>
      </c>
      <c r="M2268" s="34">
        <f>IF($K2268=1,INDEX(Mensal!$D$2:$D$245,MATCH($I2268,Mensal!$A$2:$A$245,0)),"")</f>
        <v/>
      </c>
      <c r="N2268" s="34">
        <f>IF($K2268=1,L2268-M2268,"")</f>
        <v/>
      </c>
      <c r="O2268" s="34" t="n">
        <v>0.00050753</v>
      </c>
      <c r="P2268" s="34">
        <f>IF($J2268=1,LN(1+O2268),"")</f>
        <v/>
      </c>
      <c r="Q2268" s="34">
        <f>IF($J2268=1,LN(R2269/R2268),"")</f>
        <v/>
      </c>
      <c r="R2268" s="32" t="n">
        <v>3.1514</v>
      </c>
      <c r="S2268" s="35" t="n">
        <v>14.235</v>
      </c>
      <c r="T2268" s="18" t="n"/>
      <c r="U2268" s="18" t="n"/>
      <c r="V2268" s="18" t="n"/>
      <c r="W2268" s="18" t="n">
        <v>53688.51</v>
      </c>
      <c r="X2268" s="35" t="n">
        <v>14.235</v>
      </c>
      <c r="Y2268" s="35" t="n"/>
    </row>
    <row r="2269">
      <c r="A2269" s="25" t="n">
        <v>42167</v>
      </c>
      <c r="B2269" s="18" t="n">
        <v>53347.53</v>
      </c>
      <c r="C2269" s="31" t="n"/>
      <c r="D2269" s="32" t="n"/>
      <c r="E2269" s="33" t="n">
        <v>-0.6575</v>
      </c>
      <c r="F2269" t="inlineStr">
        <is>
          <t>Down</t>
        </is>
      </c>
      <c r="G2269" t="inlineStr">
        <is>
          <t>Up</t>
        </is>
      </c>
      <c r="H2269" t="inlineStr">
        <is>
          <t>ED_JU</t>
        </is>
      </c>
      <c r="I2269" t="inlineStr">
        <is>
          <t>2015-06</t>
        </is>
      </c>
      <c r="J2269" t="n">
        <v>1</v>
      </c>
      <c r="K2269" t="n">
        <v>1</v>
      </c>
      <c r="L2269" s="34">
        <f>IF($J2269=1,LN(B2270/B2269),"")</f>
        <v/>
      </c>
      <c r="M2269" s="34">
        <f>IF($K2269=1,INDEX(Mensal!$D$2:$D$245,MATCH($I2269,Mensal!$A$2:$A$245,0)),"")</f>
        <v/>
      </c>
      <c r="N2269" s="34">
        <f>IF($K2269=1,L2269-M2269,"")</f>
        <v/>
      </c>
      <c r="O2269" s="34" t="n">
        <v>0.00050753</v>
      </c>
      <c r="P2269" s="34">
        <f>IF($J2269=1,LN(1+O2269),"")</f>
        <v/>
      </c>
      <c r="Q2269" s="34">
        <f>IF($J2269=1,LN(R2270/R2269),"")</f>
        <v/>
      </c>
      <c r="R2269" s="32" t="n">
        <v>3.1107</v>
      </c>
      <c r="S2269" s="35" t="n">
        <v>14.224</v>
      </c>
      <c r="T2269" s="18" t="n"/>
      <c r="U2269" s="18" t="n"/>
      <c r="V2269" s="18" t="n"/>
      <c r="W2269" s="18" t="n">
        <v>53347.53</v>
      </c>
      <c r="X2269" s="35" t="n">
        <v>14.224</v>
      </c>
      <c r="Y2269" s="35" t="n"/>
    </row>
    <row r="2270">
      <c r="A2270" s="25" t="n">
        <v>42170</v>
      </c>
      <c r="B2270" s="18" t="n">
        <v>53137.53</v>
      </c>
      <c r="C2270" s="31" t="n"/>
      <c r="D2270" s="32" t="n"/>
      <c r="E2270" s="33" t="n">
        <v>-0.5717</v>
      </c>
      <c r="F2270" t="inlineStr">
        <is>
          <t>Down</t>
        </is>
      </c>
      <c r="G2270" t="inlineStr">
        <is>
          <t>Up</t>
        </is>
      </c>
      <c r="H2270" t="inlineStr">
        <is>
          <t>ED_JU</t>
        </is>
      </c>
      <c r="I2270" t="inlineStr">
        <is>
          <t>2015-06</t>
        </is>
      </c>
      <c r="J2270" t="n">
        <v>1</v>
      </c>
      <c r="K2270" t="n">
        <v>1</v>
      </c>
      <c r="L2270" s="34">
        <f>IF($J2270=1,LN(B2271/B2270),"")</f>
        <v/>
      </c>
      <c r="M2270" s="34">
        <f>IF($K2270=1,INDEX(Mensal!$D$2:$D$245,MATCH($I2270,Mensal!$A$2:$A$245,0)),"")</f>
        <v/>
      </c>
      <c r="N2270" s="34">
        <f>IF($K2270=1,L2270-M2270,"")</f>
        <v/>
      </c>
      <c r="O2270" s="34" t="n">
        <v>0.00050753</v>
      </c>
      <c r="P2270" s="34">
        <f>IF($J2270=1,LN(1+O2270),"")</f>
        <v/>
      </c>
      <c r="Q2270" s="34">
        <f>IF($J2270=1,LN(R2271/R2270),"")</f>
        <v/>
      </c>
      <c r="R2270" s="32" t="n">
        <v>3.1036</v>
      </c>
      <c r="S2270" s="35" t="n">
        <v>14.336</v>
      </c>
      <c r="T2270" s="18" t="n"/>
      <c r="U2270" s="18" t="n"/>
      <c r="V2270" s="18" t="n"/>
      <c r="W2270" s="18" t="n">
        <v>53137.53</v>
      </c>
      <c r="X2270" s="35" t="n">
        <v>14.336</v>
      </c>
      <c r="Y2270" s="35" t="n"/>
    </row>
    <row r="2271">
      <c r="A2271" s="25" t="n">
        <v>42171</v>
      </c>
      <c r="B2271" s="18" t="n">
        <v>53702.15</v>
      </c>
      <c r="C2271" s="31" t="n"/>
      <c r="D2271" s="32" t="n"/>
      <c r="E2271" s="33" t="n">
        <v>-0.514</v>
      </c>
      <c r="F2271" t="inlineStr">
        <is>
          <t>Down</t>
        </is>
      </c>
      <c r="G2271" t="inlineStr">
        <is>
          <t>Up</t>
        </is>
      </c>
      <c r="H2271" t="inlineStr">
        <is>
          <t>ED_JU</t>
        </is>
      </c>
      <c r="I2271" t="inlineStr">
        <is>
          <t>2015-06</t>
        </is>
      </c>
      <c r="J2271" t="n">
        <v>1</v>
      </c>
      <c r="K2271" t="n">
        <v>1</v>
      </c>
      <c r="L2271" s="34">
        <f>IF($J2271=1,LN(B2272/B2271),"")</f>
        <v/>
      </c>
      <c r="M2271" s="34">
        <f>IF($K2271=1,INDEX(Mensal!$D$2:$D$245,MATCH($I2271,Mensal!$A$2:$A$245,0)),"")</f>
        <v/>
      </c>
      <c r="N2271" s="34">
        <f>IF($K2271=1,L2271-M2271,"")</f>
        <v/>
      </c>
      <c r="O2271" s="34" t="n">
        <v>0.00050753</v>
      </c>
      <c r="P2271" s="34">
        <f>IF($J2271=1,LN(1+O2271),"")</f>
        <v/>
      </c>
      <c r="Q2271" s="34">
        <f>IF($J2271=1,LN(R2272/R2271),"")</f>
        <v/>
      </c>
      <c r="R2271" s="32" t="n">
        <v>3.1082</v>
      </c>
      <c r="S2271" s="35" t="n">
        <v>14.279</v>
      </c>
      <c r="T2271" s="18" t="n"/>
      <c r="U2271" s="18" t="n"/>
      <c r="V2271" s="18" t="n"/>
      <c r="W2271" s="18" t="n">
        <v>53702.15</v>
      </c>
      <c r="X2271" s="35" t="n">
        <v>14.279</v>
      </c>
      <c r="Y2271" s="35" t="n"/>
    </row>
    <row r="2272">
      <c r="A2272" s="25" t="n">
        <v>42172</v>
      </c>
      <c r="B2272" s="18" t="n">
        <v>53248.54</v>
      </c>
      <c r="C2272" s="31" t="n"/>
      <c r="D2272" s="32" t="n"/>
      <c r="E2272" s="33" t="n">
        <v>-0.4569</v>
      </c>
      <c r="F2272" t="inlineStr">
        <is>
          <t>Down</t>
        </is>
      </c>
      <c r="G2272" t="inlineStr">
        <is>
          <t>Up</t>
        </is>
      </c>
      <c r="H2272" t="inlineStr">
        <is>
          <t>ED_JU</t>
        </is>
      </c>
      <c r="I2272" t="inlineStr">
        <is>
          <t>2015-06</t>
        </is>
      </c>
      <c r="J2272" t="n">
        <v>1</v>
      </c>
      <c r="K2272" t="n">
        <v>1</v>
      </c>
      <c r="L2272" s="34">
        <f>IF($J2272=1,LN(B2273/B2272),"")</f>
        <v/>
      </c>
      <c r="M2272" s="34">
        <f>IF($K2272=1,INDEX(Mensal!$D$2:$D$245,MATCH($I2272,Mensal!$A$2:$A$245,0)),"")</f>
        <v/>
      </c>
      <c r="N2272" s="34">
        <f>IF($K2272=1,L2272-M2272,"")</f>
        <v/>
      </c>
      <c r="O2272" s="34" t="n">
        <v>0.00050753</v>
      </c>
      <c r="P2272" s="34">
        <f>IF($J2272=1,LN(1+O2272),"")</f>
        <v/>
      </c>
      <c r="Q2272" s="34">
        <f>IF($J2272=1,LN(R2273/R2272),"")</f>
        <v/>
      </c>
      <c r="R2272" s="32" t="n">
        <v>3.0989</v>
      </c>
      <c r="S2272" s="35" t="n">
        <v>14.257</v>
      </c>
      <c r="T2272" s="18" t="n"/>
      <c r="U2272" s="18" t="n"/>
      <c r="V2272" s="18" t="n"/>
      <c r="W2272" s="18" t="n">
        <v>53248.54</v>
      </c>
      <c r="X2272" s="35" t="n">
        <v>14.257</v>
      </c>
      <c r="Y2272" s="35" t="n"/>
    </row>
    <row r="2273">
      <c r="A2273" s="25" t="n">
        <v>42173</v>
      </c>
      <c r="B2273" s="18" t="n">
        <v>54238.59</v>
      </c>
      <c r="C2273" s="31" t="n"/>
      <c r="D2273" s="32" t="n"/>
      <c r="E2273" s="33" t="n">
        <v>-0.3999</v>
      </c>
      <c r="F2273" t="inlineStr">
        <is>
          <t>Down</t>
        </is>
      </c>
      <c r="G2273" t="inlineStr">
        <is>
          <t>Up</t>
        </is>
      </c>
      <c r="H2273" t="inlineStr">
        <is>
          <t>ED_JU</t>
        </is>
      </c>
      <c r="I2273" t="inlineStr">
        <is>
          <t>2015-06</t>
        </is>
      </c>
      <c r="J2273" t="n">
        <v>1</v>
      </c>
      <c r="K2273" t="n">
        <v>1</v>
      </c>
      <c r="L2273" s="34">
        <f>IF($J2273=1,LN(B2274/B2273),"")</f>
        <v/>
      </c>
      <c r="M2273" s="34">
        <f>IF($K2273=1,INDEX(Mensal!$D$2:$D$245,MATCH($I2273,Mensal!$A$2:$A$245,0)),"")</f>
        <v/>
      </c>
      <c r="N2273" s="34">
        <f>IF($K2273=1,L2273-M2273,"")</f>
        <v/>
      </c>
      <c r="O2273" s="34" t="n">
        <v>0.00050753</v>
      </c>
      <c r="P2273" s="34">
        <f>IF($J2273=1,LN(1+O2273),"")</f>
        <v/>
      </c>
      <c r="Q2273" s="34">
        <f>IF($J2273=1,LN(R2274/R2273),"")</f>
        <v/>
      </c>
      <c r="R2273" s="32" t="n">
        <v>3.0472</v>
      </c>
      <c r="S2273" s="35" t="n">
        <v>14.267</v>
      </c>
      <c r="T2273" s="18" t="n"/>
      <c r="U2273" s="18" t="n"/>
      <c r="V2273" s="18" t="n"/>
      <c r="W2273" s="18" t="n">
        <v>54238.59</v>
      </c>
      <c r="X2273" s="35" t="n">
        <v>14.267</v>
      </c>
      <c r="Y2273" s="35" t="n"/>
    </row>
    <row r="2274">
      <c r="A2274" s="25" t="n">
        <v>42174</v>
      </c>
      <c r="B2274" s="18" t="n">
        <v>53749.41</v>
      </c>
      <c r="C2274" s="31" t="n"/>
      <c r="D2274" s="32" t="n"/>
      <c r="E2274" s="33" t="n">
        <v>-0.335</v>
      </c>
      <c r="F2274" t="inlineStr">
        <is>
          <t>Down</t>
        </is>
      </c>
      <c r="G2274" t="inlineStr">
        <is>
          <t>Up</t>
        </is>
      </c>
      <c r="H2274" t="inlineStr">
        <is>
          <t>ED_JU</t>
        </is>
      </c>
      <c r="I2274" t="inlineStr">
        <is>
          <t>2015-06</t>
        </is>
      </c>
      <c r="J2274" t="n">
        <v>1</v>
      </c>
      <c r="K2274" t="n">
        <v>1</v>
      </c>
      <c r="L2274" s="34">
        <f>IF($J2274=1,LN(B2275/B2274),"")</f>
        <v/>
      </c>
      <c r="M2274" s="34">
        <f>IF($K2274=1,INDEX(Mensal!$D$2:$D$245,MATCH($I2274,Mensal!$A$2:$A$245,0)),"")</f>
        <v/>
      </c>
      <c r="N2274" s="34">
        <f>IF($K2274=1,L2274-M2274,"")</f>
        <v/>
      </c>
      <c r="O2274" s="34" t="n">
        <v>0.00050753</v>
      </c>
      <c r="P2274" s="34">
        <f>IF($J2274=1,LN(1+O2274),"")</f>
        <v/>
      </c>
      <c r="Q2274" s="34">
        <f>IF($J2274=1,LN(R2275/R2274),"")</f>
        <v/>
      </c>
      <c r="R2274" s="32" t="n">
        <v>3.0788</v>
      </c>
      <c r="S2274" s="35" t="n">
        <v>14.284</v>
      </c>
      <c r="T2274" s="18" t="n"/>
      <c r="U2274" s="18" t="n"/>
      <c r="V2274" s="18" t="n"/>
      <c r="W2274" s="18" t="n">
        <v>53749.41</v>
      </c>
      <c r="X2274" s="35" t="n">
        <v>14.284</v>
      </c>
      <c r="Y2274" s="35" t="n"/>
    </row>
    <row r="2275">
      <c r="A2275" s="25" t="n">
        <v>42177</v>
      </c>
      <c r="B2275" s="18" t="n">
        <v>53863.67</v>
      </c>
      <c r="C2275" s="31" t="n"/>
      <c r="D2275" s="32" t="n"/>
      <c r="E2275" s="33" t="n">
        <v>-0.2723</v>
      </c>
      <c r="F2275" t="inlineStr">
        <is>
          <t>Down</t>
        </is>
      </c>
      <c r="G2275" t="inlineStr">
        <is>
          <t>Up</t>
        </is>
      </c>
      <c r="H2275" t="inlineStr">
        <is>
          <t>ED_JU</t>
        </is>
      </c>
      <c r="I2275" t="inlineStr">
        <is>
          <t>2015-06</t>
        </is>
      </c>
      <c r="J2275" t="n">
        <v>1</v>
      </c>
      <c r="K2275" t="n">
        <v>1</v>
      </c>
      <c r="L2275" s="34">
        <f>IF($J2275=1,LN(B2276/B2275),"")</f>
        <v/>
      </c>
      <c r="M2275" s="34">
        <f>IF($K2275=1,INDEX(Mensal!$D$2:$D$245,MATCH($I2275,Mensal!$A$2:$A$245,0)),"")</f>
        <v/>
      </c>
      <c r="N2275" s="34">
        <f>IF($K2275=1,L2275-M2275,"")</f>
        <v/>
      </c>
      <c r="O2275" s="34" t="n">
        <v>0.00050753</v>
      </c>
      <c r="P2275" s="34">
        <f>IF($J2275=1,LN(1+O2275),"")</f>
        <v/>
      </c>
      <c r="Q2275" s="34">
        <f>IF($J2275=1,LN(R2276/R2275),"")</f>
        <v/>
      </c>
      <c r="R2275" s="32" t="n">
        <v>3.0757</v>
      </c>
      <c r="S2275" s="35" t="n">
        <v>14.235</v>
      </c>
      <c r="T2275" s="18" t="n"/>
      <c r="U2275" s="18" t="n"/>
      <c r="V2275" s="18" t="n"/>
      <c r="W2275" s="18" t="n">
        <v>53863.67</v>
      </c>
      <c r="X2275" s="35" t="n">
        <v>14.235</v>
      </c>
      <c r="Y2275" s="35" t="n"/>
    </row>
    <row r="2276">
      <c r="A2276" s="25" t="n">
        <v>42178</v>
      </c>
      <c r="B2276" s="18" t="n">
        <v>53772.43</v>
      </c>
      <c r="C2276" s="31" t="n"/>
      <c r="D2276" s="32" t="n"/>
      <c r="E2276" s="33" t="n">
        <v>-0.2083</v>
      </c>
      <c r="F2276" t="inlineStr">
        <is>
          <t>Down</t>
        </is>
      </c>
      <c r="G2276" t="inlineStr">
        <is>
          <t>Up</t>
        </is>
      </c>
      <c r="H2276" t="inlineStr">
        <is>
          <t>ED_JU</t>
        </is>
      </c>
      <c r="I2276" t="inlineStr">
        <is>
          <t>2015-06</t>
        </is>
      </c>
      <c r="J2276" t="n">
        <v>1</v>
      </c>
      <c r="K2276" t="n">
        <v>1</v>
      </c>
      <c r="L2276" s="34">
        <f>IF($J2276=1,LN(B2277/B2276),"")</f>
        <v/>
      </c>
      <c r="M2276" s="34">
        <f>IF($K2276=1,INDEX(Mensal!$D$2:$D$245,MATCH($I2276,Mensal!$A$2:$A$245,0)),"")</f>
        <v/>
      </c>
      <c r="N2276" s="34">
        <f>IF($K2276=1,L2276-M2276,"")</f>
        <v/>
      </c>
      <c r="O2276" s="34" t="n">
        <v>0.00050753</v>
      </c>
      <c r="P2276" s="34">
        <f>IF($J2276=1,LN(1+O2276),"")</f>
        <v/>
      </c>
      <c r="Q2276" s="34">
        <f>IF($J2276=1,LN(R2277/R2276),"")</f>
        <v/>
      </c>
      <c r="R2276" s="32" t="n">
        <v>3.1042</v>
      </c>
      <c r="S2276" s="35" t="n">
        <v>14.16</v>
      </c>
      <c r="T2276" s="18" t="n"/>
      <c r="U2276" s="18" t="n"/>
      <c r="V2276" s="18" t="n"/>
      <c r="W2276" s="18" t="n">
        <v>53772.43</v>
      </c>
      <c r="X2276" s="35" t="n">
        <v>14.16</v>
      </c>
      <c r="Y2276" s="35" t="n"/>
    </row>
    <row r="2277">
      <c r="A2277" s="25" t="n">
        <v>42179</v>
      </c>
      <c r="B2277" s="18" t="n">
        <v>53842.53</v>
      </c>
      <c r="C2277" s="31" t="n"/>
      <c r="D2277" s="32" t="n"/>
      <c r="E2277" s="33" t="n">
        <v>-0.1506</v>
      </c>
      <c r="F2277" t="inlineStr">
        <is>
          <t>Down</t>
        </is>
      </c>
      <c r="G2277" t="inlineStr">
        <is>
          <t>Up</t>
        </is>
      </c>
      <c r="H2277" t="inlineStr">
        <is>
          <t>ED_JU</t>
        </is>
      </c>
      <c r="I2277" t="inlineStr">
        <is>
          <t>2015-06</t>
        </is>
      </c>
      <c r="J2277" t="n">
        <v>1</v>
      </c>
      <c r="K2277" t="n">
        <v>1</v>
      </c>
      <c r="L2277" s="34">
        <f>IF($J2277=1,LN(B2278/B2277),"")</f>
        <v/>
      </c>
      <c r="M2277" s="34">
        <f>IF($K2277=1,INDEX(Mensal!$D$2:$D$245,MATCH($I2277,Mensal!$A$2:$A$245,0)),"")</f>
        <v/>
      </c>
      <c r="N2277" s="34">
        <f>IF($K2277=1,L2277-M2277,"")</f>
        <v/>
      </c>
      <c r="O2277" s="34" t="n">
        <v>0.00050753</v>
      </c>
      <c r="P2277" s="34">
        <f>IF($J2277=1,LN(1+O2277),"")</f>
        <v/>
      </c>
      <c r="Q2277" s="34">
        <f>IF($J2277=1,LN(R2278/R2277),"")</f>
        <v/>
      </c>
      <c r="R2277" s="32" t="n">
        <v>3.0852</v>
      </c>
      <c r="S2277" s="35" t="n">
        <v>14.262</v>
      </c>
      <c r="T2277" s="18" t="n"/>
      <c r="U2277" s="18" t="n"/>
      <c r="V2277" s="18" t="n"/>
      <c r="W2277" s="18" t="n">
        <v>53842.53</v>
      </c>
      <c r="X2277" s="35" t="n">
        <v>14.262</v>
      </c>
      <c r="Y2277" s="35" t="n"/>
    </row>
    <row r="2278">
      <c r="A2278" s="25" t="n">
        <v>42180</v>
      </c>
      <c r="B2278" s="18" t="n">
        <v>53175.66</v>
      </c>
      <c r="C2278" s="31" t="n"/>
      <c r="D2278" s="32" t="n"/>
      <c r="E2278" s="33" t="n">
        <v>-0.0906</v>
      </c>
      <c r="F2278" t="inlineStr">
        <is>
          <t>Down</t>
        </is>
      </c>
      <c r="G2278" t="inlineStr">
        <is>
          <t>Up</t>
        </is>
      </c>
      <c r="H2278" t="inlineStr">
        <is>
          <t>ED_JU</t>
        </is>
      </c>
      <c r="I2278" t="inlineStr">
        <is>
          <t>2015-06</t>
        </is>
      </c>
      <c r="J2278" t="n">
        <v>1</v>
      </c>
      <c r="K2278" t="n">
        <v>1</v>
      </c>
      <c r="L2278" s="34">
        <f>IF($J2278=1,LN(B2279/B2278),"")</f>
        <v/>
      </c>
      <c r="M2278" s="34">
        <f>IF($K2278=1,INDEX(Mensal!$D$2:$D$245,MATCH($I2278,Mensal!$A$2:$A$245,0)),"")</f>
        <v/>
      </c>
      <c r="N2278" s="34">
        <f>IF($K2278=1,L2278-M2278,"")</f>
        <v/>
      </c>
      <c r="O2278" s="34" t="n">
        <v>0.00050753</v>
      </c>
      <c r="P2278" s="34">
        <f>IF($J2278=1,LN(1+O2278),"")</f>
        <v/>
      </c>
      <c r="Q2278" s="34">
        <f>IF($J2278=1,LN(R2279/R2278),"")</f>
        <v/>
      </c>
      <c r="R2278" s="32" t="n">
        <v>3.1015</v>
      </c>
      <c r="S2278" s="35" t="n">
        <v>14.336</v>
      </c>
      <c r="T2278" s="18" t="n"/>
      <c r="U2278" s="18" t="n"/>
      <c r="V2278" s="18" t="n"/>
      <c r="W2278" s="18" t="n">
        <v>53175.66</v>
      </c>
      <c r="X2278" s="35" t="n">
        <v>14.336</v>
      </c>
      <c r="Y2278" s="35" t="n"/>
    </row>
    <row r="2279">
      <c r="A2279" s="25" t="n">
        <v>42181</v>
      </c>
      <c r="B2279" s="18" t="n">
        <v>54016.97</v>
      </c>
      <c r="C2279" s="31" t="n"/>
      <c r="D2279" s="32" t="n"/>
      <c r="E2279" s="33" t="n">
        <v>-0.0384</v>
      </c>
      <c r="F2279" t="inlineStr">
        <is>
          <t>Down</t>
        </is>
      </c>
      <c r="G2279" t="inlineStr">
        <is>
          <t>Up</t>
        </is>
      </c>
      <c r="H2279" t="inlineStr">
        <is>
          <t>ED_JU</t>
        </is>
      </c>
      <c r="I2279" t="inlineStr">
        <is>
          <t>2015-06</t>
        </is>
      </c>
      <c r="J2279" t="n">
        <v>1</v>
      </c>
      <c r="K2279" t="n">
        <v>1</v>
      </c>
      <c r="L2279" s="34">
        <f>IF($J2279=1,LN(B2280/B2279),"")</f>
        <v/>
      </c>
      <c r="M2279" s="34">
        <f>IF($K2279=1,INDEX(Mensal!$D$2:$D$245,MATCH($I2279,Mensal!$A$2:$A$245,0)),"")</f>
        <v/>
      </c>
      <c r="N2279" s="34">
        <f>IF($K2279=1,L2279-M2279,"")</f>
        <v/>
      </c>
      <c r="O2279" s="34" t="n">
        <v>0.00050753</v>
      </c>
      <c r="P2279" s="34">
        <f>IF($J2279=1,LN(1+O2279),"")</f>
        <v/>
      </c>
      <c r="Q2279" s="34">
        <f>IF($J2279=1,LN(R2280/R2279),"")</f>
        <v/>
      </c>
      <c r="R2279" s="32" t="n">
        <v>3.1271</v>
      </c>
      <c r="S2279" s="35" t="n">
        <v>14.348</v>
      </c>
      <c r="T2279" s="18" t="n"/>
      <c r="U2279" s="18" t="n"/>
      <c r="V2279" s="18" t="n"/>
      <c r="W2279" s="18" t="n">
        <v>54016.97</v>
      </c>
      <c r="X2279" s="35" t="n">
        <v>14.348</v>
      </c>
      <c r="Y2279" s="35" t="n"/>
    </row>
    <row r="2280">
      <c r="A2280" s="25" t="n">
        <v>42184</v>
      </c>
      <c r="B2280" s="18" t="n">
        <v>53014.21</v>
      </c>
      <c r="C2280" s="31" t="n"/>
      <c r="D2280" s="32" t="n"/>
      <c r="E2280" s="33" t="n">
        <v>0.0235</v>
      </c>
      <c r="F2280" t="inlineStr">
        <is>
          <t>Down</t>
        </is>
      </c>
      <c r="G2280" t="inlineStr">
        <is>
          <t>Up</t>
        </is>
      </c>
      <c r="H2280" t="inlineStr">
        <is>
          <t>ED_JU</t>
        </is>
      </c>
      <c r="I2280" t="inlineStr">
        <is>
          <t>2015-06</t>
        </is>
      </c>
      <c r="J2280" t="n">
        <v>1</v>
      </c>
      <c r="K2280" t="n">
        <v>1</v>
      </c>
      <c r="L2280" s="34">
        <f>IF($J2280=1,LN(B2281/B2280),"")</f>
        <v/>
      </c>
      <c r="M2280" s="34">
        <f>IF($K2280=1,INDEX(Mensal!$D$2:$D$245,MATCH($I2280,Mensal!$A$2:$A$245,0)),"")</f>
        <v/>
      </c>
      <c r="N2280" s="34">
        <f>IF($K2280=1,L2280-M2280,"")</f>
        <v/>
      </c>
      <c r="O2280" s="34" t="n">
        <v>0.00050753</v>
      </c>
      <c r="P2280" s="34">
        <f>IF($J2280=1,LN(1+O2280),"")</f>
        <v/>
      </c>
      <c r="Q2280" s="34">
        <f>IF($J2280=1,LN(R2281/R2280),"")</f>
        <v/>
      </c>
      <c r="R2280" s="32" t="n">
        <v>3.139</v>
      </c>
      <c r="S2280" s="35" t="n">
        <v>14.323</v>
      </c>
      <c r="T2280" s="18" t="n"/>
      <c r="U2280" s="18" t="n"/>
      <c r="V2280" s="18" t="n"/>
      <c r="W2280" s="18" t="n">
        <v>53014.21</v>
      </c>
      <c r="X2280" s="35" t="n">
        <v>14.323</v>
      </c>
      <c r="Y2280" s="35" t="n"/>
    </row>
    <row r="2281">
      <c r="A2281" s="25" t="n">
        <v>42185</v>
      </c>
      <c r="B2281" s="18" t="n">
        <v>53080.88</v>
      </c>
      <c r="C2281" s="31" t="n"/>
      <c r="D2281" s="32" t="n"/>
      <c r="E2281" s="33" t="n">
        <v>0.0931</v>
      </c>
      <c r="F2281" t="inlineStr">
        <is>
          <t>Down</t>
        </is>
      </c>
      <c r="G2281" t="inlineStr">
        <is>
          <t>Up</t>
        </is>
      </c>
      <c r="H2281" t="inlineStr">
        <is>
          <t>ED_JU</t>
        </is>
      </c>
      <c r="I2281" t="inlineStr">
        <is>
          <t>2015-06</t>
        </is>
      </c>
      <c r="J2281" t="n">
        <v>1</v>
      </c>
      <c r="K2281" t="n">
        <v>1</v>
      </c>
      <c r="L2281" s="34">
        <f>IF($J2281=1,LN(B2282/B2281),"")</f>
        <v/>
      </c>
      <c r="M2281" s="34">
        <f>IF($K2281=1,INDEX(Mensal!$D$2:$D$245,MATCH($I2281,Mensal!$A$2:$A$245,0)),"")</f>
        <v/>
      </c>
      <c r="N2281" s="34">
        <f>IF($K2281=1,L2281-M2281,"")</f>
        <v/>
      </c>
      <c r="O2281" s="34" t="n">
        <v>0.00050753</v>
      </c>
      <c r="P2281" s="34">
        <f>IF($J2281=1,LN(1+O2281),"")</f>
        <v/>
      </c>
      <c r="Q2281" s="34">
        <f>IF($J2281=1,LN(R2282/R2281),"")</f>
        <v/>
      </c>
      <c r="R2281" s="32" t="n">
        <v>3.1026</v>
      </c>
      <c r="S2281" s="35" t="n">
        <v>14.272</v>
      </c>
      <c r="T2281" s="18" t="n"/>
      <c r="U2281" s="18" t="n"/>
      <c r="V2281" s="18" t="n"/>
      <c r="W2281" s="18" t="n">
        <v>53080.88</v>
      </c>
      <c r="X2281" s="35" t="n">
        <v>14.272</v>
      </c>
      <c r="Y2281" s="35" t="n"/>
    </row>
    <row r="2282">
      <c r="A2282" s="25" t="n">
        <v>42186</v>
      </c>
      <c r="B2282" s="18" t="n">
        <v>52757.53</v>
      </c>
      <c r="C2282" s="31" t="n"/>
      <c r="D2282" s="32" t="n"/>
      <c r="E2282" s="33" t="n">
        <v>0.1685</v>
      </c>
      <c r="F2282" t="inlineStr">
        <is>
          <t>Down</t>
        </is>
      </c>
      <c r="G2282" t="inlineStr">
        <is>
          <t>Up</t>
        </is>
      </c>
      <c r="H2282" t="inlineStr">
        <is>
          <t>ED_JU</t>
        </is>
      </c>
      <c r="I2282" t="inlineStr">
        <is>
          <t>2015-07</t>
        </is>
      </c>
      <c r="J2282" t="n">
        <v>1</v>
      </c>
      <c r="K2282" t="n">
        <v>1</v>
      </c>
      <c r="L2282" s="34">
        <f>IF($J2282=1,LN(B2283/B2282),"")</f>
        <v/>
      </c>
      <c r="M2282" s="34">
        <f>IF($K2282=1,INDEX(Mensal!$D$2:$D$245,MATCH($I2282,Mensal!$A$2:$A$245,0)),"")</f>
        <v/>
      </c>
      <c r="N2282" s="34">
        <f>IF($K2282=1,L2282-M2282,"")</f>
        <v/>
      </c>
      <c r="O2282" s="34" t="n">
        <v>0.00050753</v>
      </c>
      <c r="P2282" s="34">
        <f>IF($J2282=1,LN(1+O2282),"")</f>
        <v/>
      </c>
      <c r="Q2282" s="34">
        <f>IF($J2282=1,LN(R2283/R2282),"")</f>
        <v/>
      </c>
      <c r="R2282" s="32" t="n">
        <v>3.1191</v>
      </c>
      <c r="S2282" s="35" t="n">
        <v>14.3</v>
      </c>
      <c r="T2282" s="18" t="n"/>
      <c r="U2282" s="18" t="n"/>
      <c r="V2282" s="18" t="n"/>
      <c r="W2282" s="18" t="n">
        <v>52757.53</v>
      </c>
      <c r="X2282" s="35" t="n">
        <v>14.3</v>
      </c>
      <c r="Y2282" s="35" t="n"/>
    </row>
    <row r="2283">
      <c r="A2283" s="25" t="n">
        <v>42187</v>
      </c>
      <c r="B2283" s="18" t="n">
        <v>53106.18</v>
      </c>
      <c r="C2283" s="31" t="n"/>
      <c r="D2283" s="32" t="n"/>
      <c r="E2283" s="33" t="n">
        <v>0.2464</v>
      </c>
      <c r="F2283" t="inlineStr">
        <is>
          <t>Down</t>
        </is>
      </c>
      <c r="G2283" t="inlineStr">
        <is>
          <t>Up</t>
        </is>
      </c>
      <c r="H2283" t="inlineStr">
        <is>
          <t>ED_JU</t>
        </is>
      </c>
      <c r="I2283" t="inlineStr">
        <is>
          <t>2015-07</t>
        </is>
      </c>
      <c r="J2283" t="n">
        <v>1</v>
      </c>
      <c r="K2283" t="n">
        <v>1</v>
      </c>
      <c r="L2283" s="34">
        <f>IF($J2283=1,LN(B2284/B2283),"")</f>
        <v/>
      </c>
      <c r="M2283" s="34">
        <f>IF($K2283=1,INDEX(Mensal!$D$2:$D$245,MATCH($I2283,Mensal!$A$2:$A$245,0)),"")</f>
        <v/>
      </c>
      <c r="N2283" s="34">
        <f>IF($K2283=1,L2283-M2283,"")</f>
        <v/>
      </c>
      <c r="O2283" s="34" t="n">
        <v>0.00050753</v>
      </c>
      <c r="P2283" s="34">
        <f>IF($J2283=1,LN(1+O2283),"")</f>
        <v/>
      </c>
      <c r="Q2283" s="34">
        <f>IF($J2283=1,LN(R2284/R2283),"")</f>
        <v/>
      </c>
      <c r="R2283" s="32" t="n">
        <v>3.1173</v>
      </c>
      <c r="S2283" s="35" t="n">
        <v>14.162</v>
      </c>
      <c r="T2283" s="18" t="n"/>
      <c r="U2283" s="18" t="n"/>
      <c r="V2283" s="18" t="n"/>
      <c r="W2283" s="18" t="n">
        <v>53106.18</v>
      </c>
      <c r="X2283" s="35" t="n">
        <v>14.162</v>
      </c>
      <c r="Y2283" s="35" t="n"/>
    </row>
    <row r="2284">
      <c r="A2284" s="25" t="n">
        <v>42188</v>
      </c>
      <c r="B2284" s="18" t="n">
        <v>52519.4</v>
      </c>
      <c r="C2284" s="31" t="n"/>
      <c r="D2284" s="32" t="n"/>
      <c r="E2284" s="33" t="n">
        <v>0.3227</v>
      </c>
      <c r="F2284" t="inlineStr">
        <is>
          <t>Down</t>
        </is>
      </c>
      <c r="G2284" t="inlineStr">
        <is>
          <t>Up</t>
        </is>
      </c>
      <c r="H2284" t="inlineStr">
        <is>
          <t>ED_JU</t>
        </is>
      </c>
      <c r="I2284" t="inlineStr">
        <is>
          <t>2015-07</t>
        </is>
      </c>
      <c r="J2284" t="n">
        <v>1</v>
      </c>
      <c r="K2284" t="n">
        <v>1</v>
      </c>
      <c r="L2284" s="34">
        <f>IF($J2284=1,LN(B2285/B2284),"")</f>
        <v/>
      </c>
      <c r="M2284" s="34">
        <f>IF($K2284=1,INDEX(Mensal!$D$2:$D$245,MATCH($I2284,Mensal!$A$2:$A$245,0)),"")</f>
        <v/>
      </c>
      <c r="N2284" s="34">
        <f>IF($K2284=1,L2284-M2284,"")</f>
        <v/>
      </c>
      <c r="O2284" s="34" t="n">
        <v>0.00050753</v>
      </c>
      <c r="P2284" s="34">
        <f>IF($J2284=1,LN(1+O2284),"")</f>
        <v/>
      </c>
      <c r="Q2284" s="34">
        <f>IF($J2284=1,LN(R2285/R2284),"")</f>
        <v/>
      </c>
      <c r="R2284" s="32" t="n">
        <v>3.1271</v>
      </c>
      <c r="S2284" s="35" t="n">
        <v>14.102</v>
      </c>
      <c r="T2284" s="18" t="n"/>
      <c r="U2284" s="18" t="n"/>
      <c r="V2284" s="18" t="n"/>
      <c r="W2284" s="18" t="n">
        <v>52519.4</v>
      </c>
      <c r="X2284" s="35" t="n">
        <v>14.102</v>
      </c>
      <c r="Y2284" s="35" t="n"/>
    </row>
    <row r="2285">
      <c r="A2285" s="25" t="n">
        <v>42191</v>
      </c>
      <c r="B2285" s="18" t="n">
        <v>52149.37</v>
      </c>
      <c r="C2285" s="31" t="n"/>
      <c r="D2285" s="32" t="n"/>
      <c r="E2285" s="33" t="n">
        <v>0.4009</v>
      </c>
      <c r="F2285" t="inlineStr">
        <is>
          <t>Down</t>
        </is>
      </c>
      <c r="G2285" t="inlineStr">
        <is>
          <t>Up</t>
        </is>
      </c>
      <c r="H2285" t="inlineStr">
        <is>
          <t>ED_JU</t>
        </is>
      </c>
      <c r="I2285" t="inlineStr">
        <is>
          <t>2015-07</t>
        </is>
      </c>
      <c r="J2285" t="n">
        <v>1</v>
      </c>
      <c r="K2285" t="n">
        <v>1</v>
      </c>
      <c r="L2285" s="34">
        <f>IF($J2285=1,LN(B2286/B2285),"")</f>
        <v/>
      </c>
      <c r="M2285" s="34">
        <f>IF($K2285=1,INDEX(Mensal!$D$2:$D$245,MATCH($I2285,Mensal!$A$2:$A$245,0)),"")</f>
        <v/>
      </c>
      <c r="N2285" s="34">
        <f>IF($K2285=1,L2285-M2285,"")</f>
        <v/>
      </c>
      <c r="O2285" s="34" t="n">
        <v>0.00050753</v>
      </c>
      <c r="P2285" s="34">
        <f>IF($J2285=1,LN(1+O2285),"")</f>
        <v/>
      </c>
      <c r="Q2285" s="34">
        <f>IF($J2285=1,LN(R2286/R2285),"")</f>
        <v/>
      </c>
      <c r="R2285" s="32" t="n">
        <v>3.1431</v>
      </c>
      <c r="S2285" s="35" t="n">
        <v>14.13</v>
      </c>
      <c r="T2285" s="18" t="n"/>
      <c r="U2285" s="18" t="n"/>
      <c r="V2285" s="18" t="n"/>
      <c r="W2285" s="18" t="n">
        <v>52149.37</v>
      </c>
      <c r="X2285" s="35" t="n">
        <v>14.13</v>
      </c>
      <c r="Y2285" s="35" t="n"/>
    </row>
    <row r="2286">
      <c r="A2286" s="25" t="n">
        <v>42192</v>
      </c>
      <c r="B2286" s="18" t="n">
        <v>52343.71</v>
      </c>
      <c r="C2286" s="31" t="n"/>
      <c r="D2286" s="32" t="n"/>
      <c r="E2286" s="33" t="n">
        <v>0.4753</v>
      </c>
      <c r="F2286" t="inlineStr">
        <is>
          <t>Down</t>
        </is>
      </c>
      <c r="G2286" t="inlineStr">
        <is>
          <t>Up</t>
        </is>
      </c>
      <c r="H2286" t="inlineStr">
        <is>
          <t>ED_JU</t>
        </is>
      </c>
      <c r="I2286" t="inlineStr">
        <is>
          <t>2015-07</t>
        </is>
      </c>
      <c r="J2286" t="n">
        <v>1</v>
      </c>
      <c r="K2286" t="n">
        <v>1</v>
      </c>
      <c r="L2286" s="34">
        <f>IF($J2286=1,LN(B2287/B2286),"")</f>
        <v/>
      </c>
      <c r="M2286" s="34">
        <f>IF($K2286=1,INDEX(Mensal!$D$2:$D$245,MATCH($I2286,Mensal!$A$2:$A$245,0)),"")</f>
        <v/>
      </c>
      <c r="N2286" s="34">
        <f>IF($K2286=1,L2286-M2286,"")</f>
        <v/>
      </c>
      <c r="O2286" s="34" t="n">
        <v>0.00050753</v>
      </c>
      <c r="P2286" s="34">
        <f>IF($J2286=1,LN(1+O2286),"")</f>
        <v/>
      </c>
      <c r="Q2286" s="34">
        <f>IF($J2286=1,LN(R2287/R2286),"")</f>
        <v/>
      </c>
      <c r="R2286" s="32" t="n">
        <v>3.1809</v>
      </c>
      <c r="S2286" s="35" t="n">
        <v>14.1</v>
      </c>
      <c r="T2286" s="18" t="n"/>
      <c r="U2286" s="18" t="n"/>
      <c r="V2286" s="18" t="n"/>
      <c r="W2286" s="18" t="n">
        <v>52343.71</v>
      </c>
      <c r="X2286" s="35" t="n">
        <v>14.1</v>
      </c>
      <c r="Y2286" s="35" t="n"/>
    </row>
    <row r="2287">
      <c r="A2287" s="25" t="n">
        <v>42193</v>
      </c>
      <c r="B2287" s="18" t="n">
        <v>51781.74</v>
      </c>
      <c r="C2287" s="31" t="n"/>
      <c r="D2287" s="32" t="n"/>
      <c r="E2287" s="33" t="n">
        <v>0.5401</v>
      </c>
      <c r="F2287" t="inlineStr">
        <is>
          <t>Down</t>
        </is>
      </c>
      <c r="G2287" t="inlineStr">
        <is>
          <t>Up</t>
        </is>
      </c>
      <c r="H2287" t="inlineStr">
        <is>
          <t>ED_JU</t>
        </is>
      </c>
      <c r="I2287" t="inlineStr">
        <is>
          <t>2015-07</t>
        </is>
      </c>
      <c r="J2287" t="n">
        <v>1</v>
      </c>
      <c r="K2287" t="n">
        <v>1</v>
      </c>
      <c r="L2287" s="34">
        <f>IF($J2287=1,LN(B2288/B2287),"")</f>
        <v/>
      </c>
      <c r="M2287" s="34">
        <f>IF($K2287=1,INDEX(Mensal!$D$2:$D$245,MATCH($I2287,Mensal!$A$2:$A$245,0)),"")</f>
        <v/>
      </c>
      <c r="N2287" s="34">
        <f>IF($K2287=1,L2287-M2287,"")</f>
        <v/>
      </c>
      <c r="O2287" s="34" t="n">
        <v>0.00050753</v>
      </c>
      <c r="P2287" s="34">
        <f>IF($J2287=1,LN(1+O2287),"")</f>
        <v/>
      </c>
      <c r="Q2287" s="34">
        <f>IF($J2287=1,LN(R2288/R2287),"")</f>
        <v/>
      </c>
      <c r="R2287" s="32" t="n">
        <v>3.2282</v>
      </c>
      <c r="S2287" s="35" t="n">
        <v>14.017</v>
      </c>
      <c r="T2287" s="18" t="n"/>
      <c r="U2287" s="18" t="n"/>
      <c r="V2287" s="18" t="n"/>
      <c r="W2287" s="18" t="n">
        <v>51781.74</v>
      </c>
      <c r="X2287" s="35" t="n">
        <v>14.017</v>
      </c>
      <c r="Y2287" s="35" t="n"/>
    </row>
    <row r="2288">
      <c r="A2288" s="25" t="n">
        <v>42195</v>
      </c>
      <c r="B2288" s="18" t="n">
        <v>52590.72</v>
      </c>
      <c r="C2288" s="31" t="n"/>
      <c r="D2288" s="32" t="n"/>
      <c r="E2288" s="33" t="n">
        <v>0.5954</v>
      </c>
      <c r="F2288" t="inlineStr">
        <is>
          <t>Down</t>
        </is>
      </c>
      <c r="G2288" t="inlineStr">
        <is>
          <t>Up</t>
        </is>
      </c>
      <c r="H2288" t="inlineStr">
        <is>
          <t>ED_JU</t>
        </is>
      </c>
      <c r="I2288" t="inlineStr">
        <is>
          <t>2015-07</t>
        </is>
      </c>
      <c r="J2288" t="n">
        <v>1</v>
      </c>
      <c r="K2288" t="n">
        <v>1</v>
      </c>
      <c r="L2288" s="34">
        <f>IF($J2288=1,LN(B2289/B2288),"")</f>
        <v/>
      </c>
      <c r="M2288" s="34">
        <f>IF($K2288=1,INDEX(Mensal!$D$2:$D$245,MATCH($I2288,Mensal!$A$2:$A$245,0)),"")</f>
        <v/>
      </c>
      <c r="N2288" s="34">
        <f>IF($K2288=1,L2288-M2288,"")</f>
        <v/>
      </c>
      <c r="O2288" s="34" t="n">
        <v>0.00050753</v>
      </c>
      <c r="P2288" s="34">
        <f>IF($J2288=1,LN(1+O2288),"")</f>
        <v/>
      </c>
      <c r="Q2288" s="34">
        <f>IF($J2288=1,LN(R2289/R2288),"")</f>
        <v/>
      </c>
      <c r="R2288" s="32" t="n">
        <v>3.1897</v>
      </c>
      <c r="S2288" s="35" t="n">
        <v>13.947</v>
      </c>
      <c r="T2288" s="18" t="n"/>
      <c r="U2288" s="18" t="n"/>
      <c r="V2288" s="18" t="n"/>
      <c r="W2288" s="18" t="n">
        <v>52590.72</v>
      </c>
      <c r="X2288" s="35" t="n">
        <v>13.947</v>
      </c>
      <c r="Y2288" s="35" t="n"/>
    </row>
    <row r="2289">
      <c r="A2289" s="25" t="n">
        <v>42198</v>
      </c>
      <c r="B2289" s="18" t="n">
        <v>53119.47</v>
      </c>
      <c r="C2289" s="31" t="n"/>
      <c r="D2289" s="32" t="n"/>
      <c r="E2289" s="33" t="n">
        <v>0.6518</v>
      </c>
      <c r="F2289" t="inlineStr">
        <is>
          <t>Down</t>
        </is>
      </c>
      <c r="G2289" t="inlineStr">
        <is>
          <t>Up</t>
        </is>
      </c>
      <c r="H2289" t="inlineStr">
        <is>
          <t>ED_JU</t>
        </is>
      </c>
      <c r="I2289" t="inlineStr">
        <is>
          <t>2015-07</t>
        </is>
      </c>
      <c r="J2289" t="n">
        <v>1</v>
      </c>
      <c r="K2289" t="n">
        <v>1</v>
      </c>
      <c r="L2289" s="34">
        <f>IF($J2289=1,LN(B2290/B2289),"")</f>
        <v/>
      </c>
      <c r="M2289" s="34">
        <f>IF($K2289=1,INDEX(Mensal!$D$2:$D$245,MATCH($I2289,Mensal!$A$2:$A$245,0)),"")</f>
        <v/>
      </c>
      <c r="N2289" s="34">
        <f>IF($K2289=1,L2289-M2289,"")</f>
        <v/>
      </c>
      <c r="O2289" s="34" t="n">
        <v>0.00050753</v>
      </c>
      <c r="P2289" s="34">
        <f>IF($J2289=1,LN(1+O2289),"")</f>
        <v/>
      </c>
      <c r="Q2289" s="34">
        <f>IF($J2289=1,LN(R2290/R2289),"")</f>
        <v/>
      </c>
      <c r="R2289" s="32" t="n">
        <v>3.1594</v>
      </c>
      <c r="S2289" s="35" t="n">
        <v>13.939</v>
      </c>
      <c r="T2289" s="18" t="n"/>
      <c r="U2289" s="18" t="n"/>
      <c r="V2289" s="18" t="n"/>
      <c r="W2289" s="18" t="n">
        <v>53119.47</v>
      </c>
      <c r="X2289" s="35" t="n">
        <v>13.939</v>
      </c>
      <c r="Y2289" s="35" t="n"/>
    </row>
    <row r="2290">
      <c r="A2290" s="25" t="n">
        <v>42199</v>
      </c>
      <c r="B2290" s="18" t="n">
        <v>53239.17</v>
      </c>
      <c r="C2290" s="31" t="n"/>
      <c r="D2290" s="32" t="n"/>
      <c r="E2290" s="33" t="n">
        <v>0.7084</v>
      </c>
      <c r="F2290" t="inlineStr">
        <is>
          <t>Down</t>
        </is>
      </c>
      <c r="G2290" t="inlineStr">
        <is>
          <t>Up</t>
        </is>
      </c>
      <c r="H2290" t="inlineStr">
        <is>
          <t>ED_JU</t>
        </is>
      </c>
      <c r="I2290" t="inlineStr">
        <is>
          <t>2015-07</t>
        </is>
      </c>
      <c r="J2290" t="n">
        <v>1</v>
      </c>
      <c r="K2290" t="n">
        <v>1</v>
      </c>
      <c r="L2290" s="34">
        <f>IF($J2290=1,LN(B2291/B2290),"")</f>
        <v/>
      </c>
      <c r="M2290" s="34">
        <f>IF($K2290=1,INDEX(Mensal!$D$2:$D$245,MATCH($I2290,Mensal!$A$2:$A$245,0)),"")</f>
        <v/>
      </c>
      <c r="N2290" s="34">
        <f>IF($K2290=1,L2290-M2290,"")</f>
        <v/>
      </c>
      <c r="O2290" s="34" t="n">
        <v>0.00050753</v>
      </c>
      <c r="P2290" s="34">
        <f>IF($J2290=1,LN(1+O2290),"")</f>
        <v/>
      </c>
      <c r="Q2290" s="34">
        <f>IF($J2290=1,LN(R2291/R2290),"")</f>
        <v/>
      </c>
      <c r="R2290" s="32" t="n">
        <v>3.123</v>
      </c>
      <c r="S2290" s="35" t="n">
        <v>13.934</v>
      </c>
      <c r="T2290" s="18" t="n"/>
      <c r="U2290" s="18" t="n"/>
      <c r="V2290" s="18" t="n"/>
      <c r="W2290" s="18" t="n">
        <v>53239.17</v>
      </c>
      <c r="X2290" s="35" t="n">
        <v>13.934</v>
      </c>
      <c r="Y2290" s="35" t="n"/>
    </row>
    <row r="2291">
      <c r="A2291" s="25" t="n">
        <v>42200</v>
      </c>
      <c r="B2291" s="18" t="n">
        <v>52902.28</v>
      </c>
      <c r="C2291" s="31" t="n"/>
      <c r="D2291" s="32" t="n"/>
      <c r="E2291" s="33" t="n">
        <v>0.7488</v>
      </c>
      <c r="F2291" t="inlineStr">
        <is>
          <t>Down</t>
        </is>
      </c>
      <c r="G2291" t="inlineStr">
        <is>
          <t>Up</t>
        </is>
      </c>
      <c r="H2291" t="inlineStr">
        <is>
          <t>ED_JU</t>
        </is>
      </c>
      <c r="I2291" t="inlineStr">
        <is>
          <t>2015-07</t>
        </is>
      </c>
      <c r="J2291" t="n">
        <v>1</v>
      </c>
      <c r="K2291" t="n">
        <v>1</v>
      </c>
      <c r="L2291" s="34">
        <f>IF($J2291=1,LN(B2292/B2291),"")</f>
        <v/>
      </c>
      <c r="M2291" s="34">
        <f>IF($K2291=1,INDEX(Mensal!$D$2:$D$245,MATCH($I2291,Mensal!$A$2:$A$245,0)),"")</f>
        <v/>
      </c>
      <c r="N2291" s="34">
        <f>IF($K2291=1,L2291-M2291,"")</f>
        <v/>
      </c>
      <c r="O2291" s="34" t="n">
        <v>0.00050753</v>
      </c>
      <c r="P2291" s="34">
        <f>IF($J2291=1,LN(1+O2291),"")</f>
        <v/>
      </c>
      <c r="Q2291" s="34">
        <f>IF($J2291=1,LN(R2292/R2291),"")</f>
        <v/>
      </c>
      <c r="R2291" s="32" t="n">
        <v>3.1532</v>
      </c>
      <c r="S2291" s="35" t="n">
        <v>13.931</v>
      </c>
      <c r="T2291" s="18" t="n"/>
      <c r="U2291" s="18" t="n"/>
      <c r="V2291" s="18" t="n"/>
      <c r="W2291" s="18" t="n">
        <v>52902.28</v>
      </c>
      <c r="X2291" s="35" t="n">
        <v>13.931</v>
      </c>
      <c r="Y2291" s="35" t="n"/>
    </row>
    <row r="2292">
      <c r="A2292" s="25" t="n">
        <v>42201</v>
      </c>
      <c r="B2292" s="18" t="n">
        <v>53069.75</v>
      </c>
      <c r="C2292" s="31" t="n"/>
      <c r="D2292" s="32" t="n"/>
      <c r="E2292" s="33" t="n">
        <v>0.7869</v>
      </c>
      <c r="F2292" t="inlineStr">
        <is>
          <t>Down</t>
        </is>
      </c>
      <c r="G2292" t="inlineStr">
        <is>
          <t>Up</t>
        </is>
      </c>
      <c r="H2292" t="inlineStr">
        <is>
          <t>ED_JU</t>
        </is>
      </c>
      <c r="I2292" t="inlineStr">
        <is>
          <t>2015-07</t>
        </is>
      </c>
      <c r="J2292" t="n">
        <v>1</v>
      </c>
      <c r="K2292" t="n">
        <v>1</v>
      </c>
      <c r="L2292" s="34">
        <f>IF($J2292=1,LN(B2293/B2292),"")</f>
        <v/>
      </c>
      <c r="M2292" s="34">
        <f>IF($K2292=1,INDEX(Mensal!$D$2:$D$245,MATCH($I2292,Mensal!$A$2:$A$245,0)),"")</f>
        <v/>
      </c>
      <c r="N2292" s="34">
        <f>IF($K2292=1,L2292-M2292,"")</f>
        <v/>
      </c>
      <c r="O2292" s="34" t="n">
        <v>0.00050753</v>
      </c>
      <c r="P2292" s="34">
        <f>IF($J2292=1,LN(1+O2292),"")</f>
        <v/>
      </c>
      <c r="Q2292" s="34">
        <f>IF($J2292=1,LN(R2293/R2292),"")</f>
        <v/>
      </c>
      <c r="R2292" s="32" t="n">
        <v>3.1375</v>
      </c>
      <c r="S2292" s="35" t="n">
        <v>13.933</v>
      </c>
      <c r="T2292" s="18" t="n"/>
      <c r="U2292" s="18" t="n"/>
      <c r="V2292" s="18" t="n"/>
      <c r="W2292" s="18" t="n">
        <v>53069.75</v>
      </c>
      <c r="X2292" s="35" t="n">
        <v>13.933</v>
      </c>
      <c r="Y2292" s="35" t="n"/>
    </row>
    <row r="2293">
      <c r="A2293" s="25" t="n">
        <v>42202</v>
      </c>
      <c r="B2293" s="18" t="n">
        <v>52341.8</v>
      </c>
      <c r="C2293" s="31" t="n"/>
      <c r="D2293" s="32" t="n"/>
      <c r="E2293" s="33" t="n">
        <v>0.8177</v>
      </c>
      <c r="F2293" t="inlineStr">
        <is>
          <t>Down</t>
        </is>
      </c>
      <c r="G2293" t="inlineStr">
        <is>
          <t>Up</t>
        </is>
      </c>
      <c r="H2293" t="inlineStr">
        <is>
          <t>ED_JU</t>
        </is>
      </c>
      <c r="I2293" t="inlineStr">
        <is>
          <t>2015-07</t>
        </is>
      </c>
      <c r="J2293" t="n">
        <v>1</v>
      </c>
      <c r="K2293" t="n">
        <v>1</v>
      </c>
      <c r="L2293" s="34">
        <f>IF($J2293=1,LN(B2294/B2293),"")</f>
        <v/>
      </c>
      <c r="M2293" s="34">
        <f>IF($K2293=1,INDEX(Mensal!$D$2:$D$245,MATCH($I2293,Mensal!$A$2:$A$245,0)),"")</f>
        <v/>
      </c>
      <c r="N2293" s="34">
        <f>IF($K2293=1,L2293-M2293,"")</f>
        <v/>
      </c>
      <c r="O2293" s="34" t="n">
        <v>0.00050753</v>
      </c>
      <c r="P2293" s="34">
        <f>IF($J2293=1,LN(1+O2293),"")</f>
        <v/>
      </c>
      <c r="Q2293" s="34">
        <f>IF($J2293=1,LN(R2294/R2293),"")</f>
        <v/>
      </c>
      <c r="R2293" s="32" t="n">
        <v>3.1832</v>
      </c>
      <c r="S2293" s="35" t="n">
        <v>13.847</v>
      </c>
      <c r="T2293" s="18" t="n"/>
      <c r="U2293" s="18" t="n"/>
      <c r="V2293" s="18" t="n"/>
      <c r="W2293" s="18" t="n">
        <v>52341.8</v>
      </c>
      <c r="X2293" s="35" t="n">
        <v>13.847</v>
      </c>
      <c r="Y2293" s="35" t="n"/>
    </row>
    <row r="2294">
      <c r="A2294" s="25" t="n">
        <v>42205</v>
      </c>
      <c r="B2294" s="18" t="n">
        <v>51600.07</v>
      </c>
      <c r="C2294" s="31" t="n"/>
      <c r="D2294" s="32" t="n"/>
      <c r="E2294" s="33" t="n">
        <v>0.8447</v>
      </c>
      <c r="F2294" t="inlineStr">
        <is>
          <t>Down</t>
        </is>
      </c>
      <c r="G2294" t="inlineStr">
        <is>
          <t>Up</t>
        </is>
      </c>
      <c r="H2294" t="inlineStr">
        <is>
          <t>ED_JU</t>
        </is>
      </c>
      <c r="I2294" t="inlineStr">
        <is>
          <t>2015-07</t>
        </is>
      </c>
      <c r="J2294" t="n">
        <v>1</v>
      </c>
      <c r="K2294" t="n">
        <v>1</v>
      </c>
      <c r="L2294" s="34">
        <f>IF($J2294=1,LN(B2295/B2294),"")</f>
        <v/>
      </c>
      <c r="M2294" s="34">
        <f>IF($K2294=1,INDEX(Mensal!$D$2:$D$245,MATCH($I2294,Mensal!$A$2:$A$245,0)),"")</f>
        <v/>
      </c>
      <c r="N2294" s="34">
        <f>IF($K2294=1,L2294-M2294,"")</f>
        <v/>
      </c>
      <c r="O2294" s="34" t="n">
        <v>0.00050753</v>
      </c>
      <c r="P2294" s="34">
        <f>IF($J2294=1,LN(1+O2294),"")</f>
        <v/>
      </c>
      <c r="Q2294" s="34">
        <f>IF($J2294=1,LN(R2295/R2294),"")</f>
        <v/>
      </c>
      <c r="R2294" s="32" t="n">
        <v>3.2149</v>
      </c>
      <c r="S2294" s="35" t="n">
        <v>13.771</v>
      </c>
      <c r="T2294" s="18" t="n"/>
      <c r="U2294" s="18" t="n"/>
      <c r="V2294" s="18" t="n"/>
      <c r="W2294" s="18" t="n">
        <v>51600.07</v>
      </c>
      <c r="X2294" s="35" t="n">
        <v>13.771</v>
      </c>
      <c r="Y2294" s="35" t="n"/>
    </row>
    <row r="2295">
      <c r="A2295" s="25" t="n">
        <v>42206</v>
      </c>
      <c r="B2295" s="18" t="n">
        <v>51474.28</v>
      </c>
      <c r="C2295" s="31" t="n"/>
      <c r="D2295" s="32" t="n"/>
      <c r="E2295" s="33" t="n">
        <v>0.8726</v>
      </c>
      <c r="F2295" t="inlineStr">
        <is>
          <t>Down</t>
        </is>
      </c>
      <c r="G2295" t="inlineStr">
        <is>
          <t>Up</t>
        </is>
      </c>
      <c r="H2295" t="inlineStr">
        <is>
          <t>ED_JU</t>
        </is>
      </c>
      <c r="I2295" t="inlineStr">
        <is>
          <t>2015-07</t>
        </is>
      </c>
      <c r="J2295" t="n">
        <v>1</v>
      </c>
      <c r="K2295" t="n">
        <v>1</v>
      </c>
      <c r="L2295" s="34">
        <f>IF($J2295=1,LN(B2296/B2295),"")</f>
        <v/>
      </c>
      <c r="M2295" s="34">
        <f>IF($K2295=1,INDEX(Mensal!$D$2:$D$245,MATCH($I2295,Mensal!$A$2:$A$245,0)),"")</f>
        <v/>
      </c>
      <c r="N2295" s="34">
        <f>IF($K2295=1,L2295-M2295,"")</f>
        <v/>
      </c>
      <c r="O2295" s="34" t="n">
        <v>0.00050753</v>
      </c>
      <c r="P2295" s="34">
        <f>IF($J2295=1,LN(1+O2295),"")</f>
        <v/>
      </c>
      <c r="Q2295" s="34">
        <f>IF($J2295=1,LN(R2296/R2295),"")</f>
        <v/>
      </c>
      <c r="R2295" s="32" t="n">
        <v>3.1813</v>
      </c>
      <c r="S2295" s="35" t="n">
        <v>13.759</v>
      </c>
      <c r="T2295" s="18" t="n"/>
      <c r="U2295" s="18" t="n"/>
      <c r="V2295" s="18" t="n"/>
      <c r="W2295" s="18" t="n">
        <v>51474.28</v>
      </c>
      <c r="X2295" s="35" t="n">
        <v>13.759</v>
      </c>
      <c r="Y2295" s="35" t="n"/>
    </row>
    <row r="2296">
      <c r="A2296" s="25" t="n">
        <v>42207</v>
      </c>
      <c r="B2296" s="18" t="n">
        <v>50915.78</v>
      </c>
      <c r="C2296" s="31" t="n"/>
      <c r="D2296" s="32" t="n"/>
      <c r="E2296" s="33" t="n">
        <v>0.9076</v>
      </c>
      <c r="F2296" t="inlineStr">
        <is>
          <t>Down</t>
        </is>
      </c>
      <c r="G2296" t="inlineStr">
        <is>
          <t>Up</t>
        </is>
      </c>
      <c r="H2296" t="inlineStr">
        <is>
          <t>ED_JU</t>
        </is>
      </c>
      <c r="I2296" t="inlineStr">
        <is>
          <t>2015-07</t>
        </is>
      </c>
      <c r="J2296" t="n">
        <v>1</v>
      </c>
      <c r="K2296" t="n">
        <v>1</v>
      </c>
      <c r="L2296" s="34">
        <f>IF($J2296=1,LN(B2297/B2296),"")</f>
        <v/>
      </c>
      <c r="M2296" s="34">
        <f>IF($K2296=1,INDEX(Mensal!$D$2:$D$245,MATCH($I2296,Mensal!$A$2:$A$245,0)),"")</f>
        <v/>
      </c>
      <c r="N2296" s="34">
        <f>IF($K2296=1,L2296-M2296,"")</f>
        <v/>
      </c>
      <c r="O2296" s="34" t="n">
        <v>0.00050753</v>
      </c>
      <c r="P2296" s="34">
        <f>IF($J2296=1,LN(1+O2296),"")</f>
        <v/>
      </c>
      <c r="Q2296" s="34">
        <f>IF($J2296=1,LN(R2297/R2296),"")</f>
        <v/>
      </c>
      <c r="R2296" s="32" t="n">
        <v>3.2094</v>
      </c>
      <c r="S2296" s="35" t="n">
        <v>13.765</v>
      </c>
      <c r="T2296" s="18" t="n"/>
      <c r="U2296" s="18" t="n"/>
      <c r="V2296" s="18" t="n"/>
      <c r="W2296" s="18" t="n">
        <v>50915.78</v>
      </c>
      <c r="X2296" s="35" t="n">
        <v>13.765</v>
      </c>
      <c r="Y2296" s="35" t="n"/>
    </row>
    <row r="2297">
      <c r="A2297" s="25" t="n">
        <v>42208</v>
      </c>
      <c r="B2297" s="18" t="n">
        <v>49806.62</v>
      </c>
      <c r="C2297" s="31" t="n"/>
      <c r="D2297" s="32" t="n"/>
      <c r="E2297" s="33" t="n">
        <v>0.9263</v>
      </c>
      <c r="F2297" t="inlineStr">
        <is>
          <t>Down</t>
        </is>
      </c>
      <c r="G2297" t="inlineStr">
        <is>
          <t>Up</t>
        </is>
      </c>
      <c r="H2297" t="inlineStr">
        <is>
          <t>ED_JU</t>
        </is>
      </c>
      <c r="I2297" t="inlineStr">
        <is>
          <t>2015-07</t>
        </is>
      </c>
      <c r="J2297" t="n">
        <v>1</v>
      </c>
      <c r="K2297" t="n">
        <v>1</v>
      </c>
      <c r="L2297" s="34">
        <f>IF($J2297=1,LN(B2298/B2297),"")</f>
        <v/>
      </c>
      <c r="M2297" s="34">
        <f>IF($K2297=1,INDEX(Mensal!$D$2:$D$245,MATCH($I2297,Mensal!$A$2:$A$245,0)),"")</f>
        <v/>
      </c>
      <c r="N2297" s="34">
        <f>IF($K2297=1,L2297-M2297,"")</f>
        <v/>
      </c>
      <c r="O2297" s="34" t="n">
        <v>0.00050753</v>
      </c>
      <c r="P2297" s="34">
        <f>IF($J2297=1,LN(1+O2297),"")</f>
        <v/>
      </c>
      <c r="Q2297" s="34">
        <f>IF($J2297=1,LN(R2298/R2297),"")</f>
        <v/>
      </c>
      <c r="R2297" s="32" t="n">
        <v>3.285</v>
      </c>
      <c r="S2297" s="35" t="n">
        <v>13.995</v>
      </c>
      <c r="T2297" s="18" t="n"/>
      <c r="U2297" s="18" t="n"/>
      <c r="V2297" s="18" t="n"/>
      <c r="W2297" s="18" t="n">
        <v>49806.62</v>
      </c>
      <c r="X2297" s="35" t="n">
        <v>13.995</v>
      </c>
      <c r="Y2297" s="35" t="n"/>
    </row>
    <row r="2298">
      <c r="A2298" s="25" t="n">
        <v>42209</v>
      </c>
      <c r="B2298" s="18" t="n">
        <v>49245.84</v>
      </c>
      <c r="C2298" s="31" t="n"/>
      <c r="D2298" s="32" t="n"/>
      <c r="E2298" s="33" t="n">
        <v>0.9359</v>
      </c>
      <c r="F2298" t="inlineStr">
        <is>
          <t>Down</t>
        </is>
      </c>
      <c r="G2298" t="inlineStr">
        <is>
          <t>Up</t>
        </is>
      </c>
      <c r="H2298" t="inlineStr">
        <is>
          <t>ED_JU</t>
        </is>
      </c>
      <c r="I2298" t="inlineStr">
        <is>
          <t>2015-07</t>
        </is>
      </c>
      <c r="J2298" t="n">
        <v>1</v>
      </c>
      <c r="K2298" t="n">
        <v>1</v>
      </c>
      <c r="L2298" s="34">
        <f>IF($J2298=1,LN(B2299/B2298),"")</f>
        <v/>
      </c>
      <c r="M2298" s="34">
        <f>IF($K2298=1,INDEX(Mensal!$D$2:$D$245,MATCH($I2298,Mensal!$A$2:$A$245,0)),"")</f>
        <v/>
      </c>
      <c r="N2298" s="34">
        <f>IF($K2298=1,L2298-M2298,"")</f>
        <v/>
      </c>
      <c r="O2298" s="34" t="n">
        <v>0.00050753</v>
      </c>
      <c r="P2298" s="34">
        <f>IF($J2298=1,LN(1+O2298),"")</f>
        <v/>
      </c>
      <c r="Q2298" s="34">
        <f>IF($J2298=1,LN(R2299/R2298),"")</f>
        <v/>
      </c>
      <c r="R2298" s="32" t="n">
        <v>3.3254</v>
      </c>
      <c r="S2298" s="35" t="n">
        <v>14.231</v>
      </c>
      <c r="T2298" s="18" t="n"/>
      <c r="U2298" s="18" t="n"/>
      <c r="V2298" s="18" t="n"/>
      <c r="W2298" s="18" t="n">
        <v>49245.84</v>
      </c>
      <c r="X2298" s="35" t="n">
        <v>14.231</v>
      </c>
      <c r="Y2298" s="35" t="n"/>
    </row>
    <row r="2299">
      <c r="A2299" s="25" t="n">
        <v>42212</v>
      </c>
      <c r="B2299" s="18" t="n">
        <v>48735.54</v>
      </c>
      <c r="C2299" s="31" t="n"/>
      <c r="D2299" s="32" t="n"/>
      <c r="E2299" s="33" t="n">
        <v>0.9358</v>
      </c>
      <c r="F2299" t="inlineStr">
        <is>
          <t>Down</t>
        </is>
      </c>
      <c r="G2299" t="inlineStr">
        <is>
          <t>Up</t>
        </is>
      </c>
      <c r="H2299" t="inlineStr">
        <is>
          <t>ED_JU</t>
        </is>
      </c>
      <c r="I2299" t="inlineStr">
        <is>
          <t>2015-07</t>
        </is>
      </c>
      <c r="J2299" t="n">
        <v>1</v>
      </c>
      <c r="K2299" t="n">
        <v>1</v>
      </c>
      <c r="L2299" s="34">
        <f>IF($J2299=1,LN(B2300/B2299),"")</f>
        <v/>
      </c>
      <c r="M2299" s="34">
        <f>IF($K2299=1,INDEX(Mensal!$D$2:$D$245,MATCH($I2299,Mensal!$A$2:$A$245,0)),"")</f>
        <v/>
      </c>
      <c r="N2299" s="34">
        <f>IF($K2299=1,L2299-M2299,"")</f>
        <v/>
      </c>
      <c r="O2299" s="34" t="n">
        <v>0.00050753</v>
      </c>
      <c r="P2299" s="34">
        <f>IF($J2299=1,LN(1+O2299),"")</f>
        <v/>
      </c>
      <c r="Q2299" s="34">
        <f>IF($J2299=1,LN(R2300/R2299),"")</f>
        <v/>
      </c>
      <c r="R2299" s="32" t="n">
        <v>3.3557</v>
      </c>
      <c r="S2299" s="35" t="n">
        <v>14.231</v>
      </c>
      <c r="T2299" s="18" t="n"/>
      <c r="U2299" s="18" t="n"/>
      <c r="V2299" s="18" t="n"/>
      <c r="W2299" s="18" t="n">
        <v>48735.54</v>
      </c>
      <c r="X2299" s="35" t="n">
        <v>14.231</v>
      </c>
      <c r="Y2299" s="35" t="n"/>
    </row>
    <row r="2300">
      <c r="A2300" s="25" t="n">
        <v>42213</v>
      </c>
      <c r="B2300" s="18" t="n">
        <v>49601.59</v>
      </c>
      <c r="C2300" s="31" t="n"/>
      <c r="D2300" s="32" t="n"/>
      <c r="E2300" s="33" t="n">
        <v>0.9251</v>
      </c>
      <c r="F2300" t="inlineStr">
        <is>
          <t>Down</t>
        </is>
      </c>
      <c r="G2300" t="inlineStr">
        <is>
          <t>Up</t>
        </is>
      </c>
      <c r="H2300" t="inlineStr">
        <is>
          <t>ED_JU</t>
        </is>
      </c>
      <c r="I2300" t="inlineStr">
        <is>
          <t>2015-07</t>
        </is>
      </c>
      <c r="J2300" t="n">
        <v>1</v>
      </c>
      <c r="K2300" t="n">
        <v>1</v>
      </c>
      <c r="L2300" s="34">
        <f>IF($J2300=1,LN(B2301/B2300),"")</f>
        <v/>
      </c>
      <c r="M2300" s="34">
        <f>IF($K2300=1,INDEX(Mensal!$D$2:$D$245,MATCH($I2300,Mensal!$A$2:$A$245,0)),"")</f>
        <v/>
      </c>
      <c r="N2300" s="34">
        <f>IF($K2300=1,L2300-M2300,"")</f>
        <v/>
      </c>
      <c r="O2300" s="34" t="n">
        <v>0.00050753</v>
      </c>
      <c r="P2300" s="34">
        <f>IF($J2300=1,LN(1+O2300),"")</f>
        <v/>
      </c>
      <c r="Q2300" s="34">
        <f>IF($J2300=1,LN(R2301/R2300),"")</f>
        <v/>
      </c>
      <c r="R2300" s="32" t="n">
        <v>3.3815</v>
      </c>
      <c r="S2300" s="35" t="n">
        <v>14.261</v>
      </c>
      <c r="T2300" s="18" t="n"/>
      <c r="U2300" s="18" t="n"/>
      <c r="V2300" s="18" t="n"/>
      <c r="W2300" s="18" t="n">
        <v>49601.59</v>
      </c>
      <c r="X2300" s="35" t="n">
        <v>14.261</v>
      </c>
      <c r="Y2300" s="35" t="n"/>
    </row>
    <row r="2301">
      <c r="A2301" s="25" t="n">
        <v>42214</v>
      </c>
      <c r="B2301" s="18" t="n">
        <v>50245.14</v>
      </c>
      <c r="C2301" s="31" t="n"/>
      <c r="D2301" s="32" t="n"/>
      <c r="E2301" s="33" t="n">
        <v>0.9266</v>
      </c>
      <c r="F2301" t="inlineStr">
        <is>
          <t>Down</t>
        </is>
      </c>
      <c r="G2301" t="inlineStr">
        <is>
          <t>Up</t>
        </is>
      </c>
      <c r="H2301" t="inlineStr">
        <is>
          <t>ED_JU</t>
        </is>
      </c>
      <c r="I2301" t="inlineStr">
        <is>
          <t>2015-07</t>
        </is>
      </c>
      <c r="J2301" t="n">
        <v>1</v>
      </c>
      <c r="K2301" t="n">
        <v>1</v>
      </c>
      <c r="L2301" s="34">
        <f>IF($J2301=1,LN(B2302/B2301),"")</f>
        <v/>
      </c>
      <c r="M2301" s="34">
        <f>IF($K2301=1,INDEX(Mensal!$D$2:$D$245,MATCH($I2301,Mensal!$A$2:$A$245,0)),"")</f>
        <v/>
      </c>
      <c r="N2301" s="34">
        <f>IF($K2301=1,L2301-M2301,"")</f>
        <v/>
      </c>
      <c r="O2301" s="34" t="n">
        <v>0.00050753</v>
      </c>
      <c r="P2301" s="34">
        <f>IF($J2301=1,LN(1+O2301),"")</f>
        <v/>
      </c>
      <c r="Q2301" s="34">
        <f>IF($J2301=1,LN(R2302/R2301),"")</f>
        <v/>
      </c>
      <c r="R2301" s="32" t="n">
        <v>3.3419</v>
      </c>
      <c r="S2301" s="35" t="n">
        <v>14.193</v>
      </c>
      <c r="T2301" s="18" t="n"/>
      <c r="U2301" s="18" t="n"/>
      <c r="V2301" s="18" t="n"/>
      <c r="W2301" s="18" t="n">
        <v>50245.14</v>
      </c>
      <c r="X2301" s="35" t="n">
        <v>14.193</v>
      </c>
      <c r="Y2301" s="35" t="n"/>
    </row>
    <row r="2302">
      <c r="A2302" s="25" t="n">
        <v>42215</v>
      </c>
      <c r="B2302" s="18" t="n">
        <v>49897.4</v>
      </c>
      <c r="C2302" s="31" t="n"/>
      <c r="D2302" s="32" t="n"/>
      <c r="E2302" s="33" t="n">
        <v>0.9419</v>
      </c>
      <c r="F2302" t="inlineStr">
        <is>
          <t>Down</t>
        </is>
      </c>
      <c r="G2302" t="inlineStr">
        <is>
          <t>Up</t>
        </is>
      </c>
      <c r="H2302" t="inlineStr">
        <is>
          <t>ED_JU</t>
        </is>
      </c>
      <c r="I2302" t="inlineStr">
        <is>
          <t>2015-07</t>
        </is>
      </c>
      <c r="J2302" t="n">
        <v>1</v>
      </c>
      <c r="K2302" t="n">
        <v>1</v>
      </c>
      <c r="L2302" s="34">
        <f>IF($J2302=1,LN(B2303/B2302),"")</f>
        <v/>
      </c>
      <c r="M2302" s="34">
        <f>IF($K2302=1,INDEX(Mensal!$D$2:$D$245,MATCH($I2302,Mensal!$A$2:$A$245,0)),"")</f>
        <v/>
      </c>
      <c r="N2302" s="34">
        <f>IF($K2302=1,L2302-M2302,"")</f>
        <v/>
      </c>
      <c r="O2302" s="34" t="n">
        <v>0.00052461</v>
      </c>
      <c r="P2302" s="34">
        <f>IF($J2302=1,LN(1+O2302),"")</f>
        <v/>
      </c>
      <c r="Q2302" s="34">
        <f>IF($J2302=1,LN(R2303/R2302),"")</f>
        <v/>
      </c>
      <c r="R2302" s="32" t="n">
        <v>3.3652</v>
      </c>
      <c r="S2302" s="35" t="n">
        <v>13.948</v>
      </c>
      <c r="T2302" s="18" t="n"/>
      <c r="U2302" s="18" t="n"/>
      <c r="V2302" s="18" t="n"/>
      <c r="W2302" s="18" t="n">
        <v>49897.4</v>
      </c>
      <c r="X2302" s="35" t="n">
        <v>13.948</v>
      </c>
      <c r="Y2302" s="35" t="n"/>
    </row>
    <row r="2303">
      <c r="A2303" s="25" t="n">
        <v>42216</v>
      </c>
      <c r="B2303" s="18" t="n">
        <v>50864.77</v>
      </c>
      <c r="C2303" s="31" t="n"/>
      <c r="D2303" s="32" t="n"/>
      <c r="E2303" s="33" t="n">
        <v>0.9173</v>
      </c>
      <c r="F2303" t="inlineStr">
        <is>
          <t>Down</t>
        </is>
      </c>
      <c r="G2303" t="inlineStr">
        <is>
          <t>Up</t>
        </is>
      </c>
      <c r="H2303" t="inlineStr">
        <is>
          <t>ED_JU</t>
        </is>
      </c>
      <c r="I2303" t="inlineStr">
        <is>
          <t>2015-07</t>
        </is>
      </c>
      <c r="J2303" t="n">
        <v>1</v>
      </c>
      <c r="K2303" t="n">
        <v>1</v>
      </c>
      <c r="L2303" s="34">
        <f>IF($J2303=1,LN(B2304/B2303),"")</f>
        <v/>
      </c>
      <c r="M2303" s="34">
        <f>IF($K2303=1,INDEX(Mensal!$D$2:$D$245,MATCH($I2303,Mensal!$A$2:$A$245,0)),"")</f>
        <v/>
      </c>
      <c r="N2303" s="34">
        <f>IF($K2303=1,L2303-M2303,"")</f>
        <v/>
      </c>
      <c r="O2303" s="34" t="n">
        <v>0.00052461</v>
      </c>
      <c r="P2303" s="34">
        <f>IF($J2303=1,LN(1+O2303),"")</f>
        <v/>
      </c>
      <c r="Q2303" s="34">
        <f>IF($J2303=1,LN(R2304/R2303),"")</f>
        <v/>
      </c>
      <c r="R2303" s="32" t="n">
        <v>3.394</v>
      </c>
      <c r="S2303" s="35" t="n">
        <v>13.909</v>
      </c>
      <c r="T2303" s="18" t="n"/>
      <c r="U2303" s="18" t="n"/>
      <c r="V2303" s="18" t="n"/>
      <c r="W2303" s="18" t="n">
        <v>50864.77</v>
      </c>
      <c r="X2303" s="35" t="n">
        <v>13.909</v>
      </c>
      <c r="Y2303" s="35" t="n"/>
    </row>
    <row r="2304">
      <c r="A2304" s="25" t="n">
        <v>42219</v>
      </c>
      <c r="B2304" s="18" t="n">
        <v>50138.04</v>
      </c>
      <c r="C2304" s="31" t="n"/>
      <c r="D2304" s="32" t="n"/>
      <c r="E2304" s="33" t="n">
        <v>0.9004</v>
      </c>
      <c r="F2304" t="inlineStr">
        <is>
          <t>Up</t>
        </is>
      </c>
      <c r="G2304" t="inlineStr">
        <is>
          <t>Up</t>
        </is>
      </c>
      <c r="H2304" t="inlineStr">
        <is>
          <t>EU_JU</t>
        </is>
      </c>
      <c r="I2304" t="inlineStr">
        <is>
          <t>2015-08</t>
        </is>
      </c>
      <c r="J2304" t="n">
        <v>1</v>
      </c>
      <c r="K2304" t="n">
        <v>1</v>
      </c>
      <c r="L2304" s="34">
        <f>IF($J2304=1,LN(B2305/B2304),"")</f>
        <v/>
      </c>
      <c r="M2304" s="34">
        <f>IF($K2304=1,INDEX(Mensal!$D$2:$D$245,MATCH($I2304,Mensal!$A$2:$A$245,0)),"")</f>
        <v/>
      </c>
      <c r="N2304" s="34">
        <f>IF($K2304=1,L2304-M2304,"")</f>
        <v/>
      </c>
      <c r="O2304" s="34" t="n">
        <v>0.00052461</v>
      </c>
      <c r="P2304" s="34">
        <f>IF($J2304=1,LN(1+O2304),"")</f>
        <v/>
      </c>
      <c r="Q2304" s="34">
        <f>IF($J2304=1,LN(R2305/R2304),"")</f>
        <v/>
      </c>
      <c r="R2304" s="32" t="n">
        <v>3.4425</v>
      </c>
      <c r="S2304" s="35" t="n">
        <v>14.011</v>
      </c>
      <c r="T2304" s="18" t="n"/>
      <c r="U2304" s="18" t="n">
        <v>50138.04</v>
      </c>
      <c r="V2304" s="18" t="n"/>
      <c r="W2304" s="18" t="n"/>
      <c r="X2304" s="35" t="n">
        <v>14.011</v>
      </c>
      <c r="Y2304" s="35" t="n"/>
    </row>
    <row r="2305">
      <c r="A2305" s="25" t="n">
        <v>42220</v>
      </c>
      <c r="B2305" s="18" t="n">
        <v>50058.48</v>
      </c>
      <c r="C2305" s="31" t="n"/>
      <c r="D2305" s="32" t="n"/>
      <c r="E2305" s="33" t="n">
        <v>0.8809</v>
      </c>
      <c r="F2305" t="inlineStr">
        <is>
          <t>Up</t>
        </is>
      </c>
      <c r="G2305" t="inlineStr">
        <is>
          <t>Up</t>
        </is>
      </c>
      <c r="H2305" t="inlineStr">
        <is>
          <t>EU_JU</t>
        </is>
      </c>
      <c r="I2305" t="inlineStr">
        <is>
          <t>2015-08</t>
        </is>
      </c>
      <c r="J2305" t="n">
        <v>1</v>
      </c>
      <c r="K2305" t="n">
        <v>1</v>
      </c>
      <c r="L2305" s="34">
        <f>IF($J2305=1,LN(B2306/B2305),"")</f>
        <v/>
      </c>
      <c r="M2305" s="34">
        <f>IF($K2305=1,INDEX(Mensal!$D$2:$D$245,MATCH($I2305,Mensal!$A$2:$A$245,0)),"")</f>
        <v/>
      </c>
      <c r="N2305" s="34">
        <f>IF($K2305=1,L2305-M2305,"")</f>
        <v/>
      </c>
      <c r="O2305" s="34" t="n">
        <v>0.00052461</v>
      </c>
      <c r="P2305" s="34">
        <f>IF($J2305=1,LN(1+O2305),"")</f>
        <v/>
      </c>
      <c r="Q2305" s="34">
        <f>IF($J2305=1,LN(R2306/R2305),"")</f>
        <v/>
      </c>
      <c r="R2305" s="32" t="n">
        <v>3.4675</v>
      </c>
      <c r="S2305" s="35" t="n">
        <v>14.014</v>
      </c>
      <c r="T2305" s="18" t="n"/>
      <c r="U2305" s="18" t="n">
        <v>50058.48</v>
      </c>
      <c r="V2305" s="18" t="n"/>
      <c r="W2305" s="18" t="n"/>
      <c r="X2305" s="35" t="n">
        <v>14.014</v>
      </c>
      <c r="Y2305" s="35" t="n"/>
    </row>
    <row r="2306">
      <c r="A2306" s="25" t="n">
        <v>42221</v>
      </c>
      <c r="B2306" s="18" t="n">
        <v>50287.27</v>
      </c>
      <c r="C2306" s="31" t="n"/>
      <c r="D2306" s="32" t="n"/>
      <c r="E2306" s="33" t="n">
        <v>0.8692</v>
      </c>
      <c r="F2306" t="inlineStr">
        <is>
          <t>Up</t>
        </is>
      </c>
      <c r="G2306" t="inlineStr">
        <is>
          <t>Up</t>
        </is>
      </c>
      <c r="H2306" t="inlineStr">
        <is>
          <t>EU_JU</t>
        </is>
      </c>
      <c r="I2306" t="inlineStr">
        <is>
          <t>2015-08</t>
        </is>
      </c>
      <c r="J2306" t="n">
        <v>1</v>
      </c>
      <c r="K2306" t="n">
        <v>1</v>
      </c>
      <c r="L2306" s="34">
        <f>IF($J2306=1,LN(B2307/B2306),"")</f>
        <v/>
      </c>
      <c r="M2306" s="34">
        <f>IF($K2306=1,INDEX(Mensal!$D$2:$D$245,MATCH($I2306,Mensal!$A$2:$A$245,0)),"")</f>
        <v/>
      </c>
      <c r="N2306" s="34">
        <f>IF($K2306=1,L2306-M2306,"")</f>
        <v/>
      </c>
      <c r="O2306" s="34" t="n">
        <v>0.00052461</v>
      </c>
      <c r="P2306" s="34">
        <f>IF($J2306=1,LN(1+O2306),"")</f>
        <v/>
      </c>
      <c r="Q2306" s="34">
        <f>IF($J2306=1,LN(R2307/R2306),"")</f>
        <v/>
      </c>
      <c r="R2306" s="32" t="n">
        <v>3.4851</v>
      </c>
      <c r="S2306" s="35" t="n">
        <v>14.123</v>
      </c>
      <c r="T2306" s="18" t="n"/>
      <c r="U2306" s="18" t="n">
        <v>50287.27</v>
      </c>
      <c r="V2306" s="18" t="n"/>
      <c r="W2306" s="18" t="n"/>
      <c r="X2306" s="35" t="n">
        <v>14.123</v>
      </c>
      <c r="Y2306" s="35" t="n"/>
    </row>
    <row r="2307">
      <c r="A2307" s="25" t="n">
        <v>42222</v>
      </c>
      <c r="B2307" s="18" t="n">
        <v>50011.32</v>
      </c>
      <c r="C2307" s="31" t="n"/>
      <c r="D2307" s="32" t="n"/>
      <c r="E2307" s="33" t="n">
        <v>0.8673999999999999</v>
      </c>
      <c r="F2307" t="inlineStr">
        <is>
          <t>Up</t>
        </is>
      </c>
      <c r="G2307" t="inlineStr">
        <is>
          <t>Up</t>
        </is>
      </c>
      <c r="H2307" t="inlineStr">
        <is>
          <t>EU_JU</t>
        </is>
      </c>
      <c r="I2307" t="inlineStr">
        <is>
          <t>2015-08</t>
        </is>
      </c>
      <c r="J2307" t="n">
        <v>1</v>
      </c>
      <c r="K2307" t="n">
        <v>1</v>
      </c>
      <c r="L2307" s="34">
        <f>IF($J2307=1,LN(B2308/B2307),"")</f>
        <v/>
      </c>
      <c r="M2307" s="34">
        <f>IF($K2307=1,INDEX(Mensal!$D$2:$D$245,MATCH($I2307,Mensal!$A$2:$A$245,0)),"")</f>
        <v/>
      </c>
      <c r="N2307" s="34">
        <f>IF($K2307=1,L2307-M2307,"")</f>
        <v/>
      </c>
      <c r="O2307" s="34" t="n">
        <v>0.00052461</v>
      </c>
      <c r="P2307" s="34">
        <f>IF($J2307=1,LN(1+O2307),"")</f>
        <v/>
      </c>
      <c r="Q2307" s="34">
        <f>IF($J2307=1,LN(R2308/R2307),"")</f>
        <v/>
      </c>
      <c r="R2307" s="32" t="n">
        <v>3.5347</v>
      </c>
      <c r="S2307" s="35" t="n">
        <v>14.43</v>
      </c>
      <c r="T2307" s="18" t="n"/>
      <c r="U2307" s="18" t="n">
        <v>50011.32</v>
      </c>
      <c r="V2307" s="18" t="n"/>
      <c r="W2307" s="18" t="n"/>
      <c r="X2307" s="35" t="n">
        <v>14.43</v>
      </c>
      <c r="Y2307" s="35" t="n"/>
    </row>
    <row r="2308">
      <c r="A2308" s="25" t="n">
        <v>42223</v>
      </c>
      <c r="B2308" s="18" t="n">
        <v>48577.32</v>
      </c>
      <c r="C2308" s="31" t="n"/>
      <c r="D2308" s="32" t="n"/>
      <c r="E2308" s="33" t="n">
        <v>0.8616</v>
      </c>
      <c r="F2308" t="inlineStr">
        <is>
          <t>Up</t>
        </is>
      </c>
      <c r="G2308" t="inlineStr">
        <is>
          <t>Up</t>
        </is>
      </c>
      <c r="H2308" t="inlineStr">
        <is>
          <t>EU_JU</t>
        </is>
      </c>
      <c r="I2308" t="inlineStr">
        <is>
          <t>2015-08</t>
        </is>
      </c>
      <c r="J2308" t="n">
        <v>1</v>
      </c>
      <c r="K2308" t="n">
        <v>1</v>
      </c>
      <c r="L2308" s="34">
        <f>IF($J2308=1,LN(B2309/B2308),"")</f>
        <v/>
      </c>
      <c r="M2308" s="34">
        <f>IF($K2308=1,INDEX(Mensal!$D$2:$D$245,MATCH($I2308,Mensal!$A$2:$A$245,0)),"")</f>
        <v/>
      </c>
      <c r="N2308" s="34">
        <f>IF($K2308=1,L2308-M2308,"")</f>
        <v/>
      </c>
      <c r="O2308" s="34" t="n">
        <v>0.00052461</v>
      </c>
      <c r="P2308" s="34">
        <f>IF($J2308=1,LN(1+O2308),"")</f>
        <v/>
      </c>
      <c r="Q2308" s="34">
        <f>IF($J2308=1,LN(R2309/R2308),"")</f>
        <v/>
      </c>
      <c r="R2308" s="32" t="n">
        <v>3.5181</v>
      </c>
      <c r="S2308" s="35" t="n">
        <v>14.51</v>
      </c>
      <c r="T2308" s="18" t="n"/>
      <c r="U2308" s="18" t="n">
        <v>48577.32</v>
      </c>
      <c r="V2308" s="18" t="n"/>
      <c r="W2308" s="18" t="n"/>
      <c r="X2308" s="35" t="n">
        <v>14.51</v>
      </c>
      <c r="Y2308" s="35" t="n"/>
    </row>
    <row r="2309">
      <c r="A2309" s="25" t="n">
        <v>42226</v>
      </c>
      <c r="B2309" s="18" t="n">
        <v>49353</v>
      </c>
      <c r="C2309" s="31" t="n"/>
      <c r="D2309" s="32" t="n"/>
      <c r="E2309" s="33" t="n">
        <v>0.851</v>
      </c>
      <c r="F2309" t="inlineStr">
        <is>
          <t>Up</t>
        </is>
      </c>
      <c r="G2309" t="inlineStr">
        <is>
          <t>Up</t>
        </is>
      </c>
      <c r="H2309" t="inlineStr">
        <is>
          <t>EU_JU</t>
        </is>
      </c>
      <c r="I2309" t="inlineStr">
        <is>
          <t>2015-08</t>
        </is>
      </c>
      <c r="J2309" t="n">
        <v>1</v>
      </c>
      <c r="K2309" t="n">
        <v>1</v>
      </c>
      <c r="L2309" s="34">
        <f>IF($J2309=1,LN(B2310/B2309),"")</f>
        <v/>
      </c>
      <c r="M2309" s="34">
        <f>IF($K2309=1,INDEX(Mensal!$D$2:$D$245,MATCH($I2309,Mensal!$A$2:$A$245,0)),"")</f>
        <v/>
      </c>
      <c r="N2309" s="34">
        <f>IF($K2309=1,L2309-M2309,"")</f>
        <v/>
      </c>
      <c r="O2309" s="34" t="n">
        <v>0.00052461</v>
      </c>
      <c r="P2309" s="34">
        <f>IF($J2309=1,LN(1+O2309),"")</f>
        <v/>
      </c>
      <c r="Q2309" s="34">
        <f>IF($J2309=1,LN(R2310/R2309),"")</f>
        <v/>
      </c>
      <c r="R2309" s="32" t="n">
        <v>3.4909</v>
      </c>
      <c r="S2309" s="35" t="n">
        <v>14.382</v>
      </c>
      <c r="T2309" s="18" t="n"/>
      <c r="U2309" s="18" t="n">
        <v>49353</v>
      </c>
      <c r="V2309" s="18" t="n"/>
      <c r="W2309" s="18" t="n"/>
      <c r="X2309" s="35" t="n">
        <v>14.382</v>
      </c>
      <c r="Y2309" s="35" t="n"/>
    </row>
    <row r="2310">
      <c r="A2310" s="25" t="n">
        <v>42227</v>
      </c>
      <c r="B2310" s="18" t="n">
        <v>49072.34</v>
      </c>
      <c r="C2310" s="31" t="n"/>
      <c r="D2310" s="32" t="n"/>
      <c r="E2310" s="33" t="n">
        <v>0.8378</v>
      </c>
      <c r="F2310" t="inlineStr">
        <is>
          <t>Up</t>
        </is>
      </c>
      <c r="G2310" t="inlineStr">
        <is>
          <t>Up</t>
        </is>
      </c>
      <c r="H2310" t="inlineStr">
        <is>
          <t>EU_JU</t>
        </is>
      </c>
      <c r="I2310" t="inlineStr">
        <is>
          <t>2015-08</t>
        </is>
      </c>
      <c r="J2310" t="n">
        <v>1</v>
      </c>
      <c r="K2310" t="n">
        <v>1</v>
      </c>
      <c r="L2310" s="34">
        <f>IF($J2310=1,LN(B2311/B2310),"")</f>
        <v/>
      </c>
      <c r="M2310" s="34">
        <f>IF($K2310=1,INDEX(Mensal!$D$2:$D$245,MATCH($I2310,Mensal!$A$2:$A$245,0)),"")</f>
        <v/>
      </c>
      <c r="N2310" s="34">
        <f>IF($K2310=1,L2310-M2310,"")</f>
        <v/>
      </c>
      <c r="O2310" s="34" t="n">
        <v>0.00052461</v>
      </c>
      <c r="P2310" s="34">
        <f>IF($J2310=1,LN(1+O2310),"")</f>
        <v/>
      </c>
      <c r="Q2310" s="34">
        <f>IF($J2310=1,LN(R2311/R2310),"")</f>
        <v/>
      </c>
      <c r="R2310" s="32" t="n">
        <v>3.4925</v>
      </c>
      <c r="S2310" s="35" t="n">
        <v>14.25</v>
      </c>
      <c r="T2310" s="18" t="n"/>
      <c r="U2310" s="18" t="n">
        <v>49072.34</v>
      </c>
      <c r="V2310" s="18" t="n"/>
      <c r="W2310" s="18" t="n"/>
      <c r="X2310" s="35" t="n">
        <v>14.25</v>
      </c>
      <c r="Y2310" s="35" t="n"/>
    </row>
    <row r="2311">
      <c r="A2311" s="25" t="n">
        <v>42228</v>
      </c>
      <c r="B2311" s="18" t="n">
        <v>48388.04</v>
      </c>
      <c r="C2311" s="31" t="n"/>
      <c r="D2311" s="32" t="n"/>
      <c r="E2311" s="33" t="n">
        <v>0.8285</v>
      </c>
      <c r="F2311" t="inlineStr">
        <is>
          <t>Up</t>
        </is>
      </c>
      <c r="G2311" t="inlineStr">
        <is>
          <t>Up</t>
        </is>
      </c>
      <c r="H2311" t="inlineStr">
        <is>
          <t>EU_JU</t>
        </is>
      </c>
      <c r="I2311" t="inlineStr">
        <is>
          <t>2015-08</t>
        </is>
      </c>
      <c r="J2311" t="n">
        <v>1</v>
      </c>
      <c r="K2311" t="n">
        <v>1</v>
      </c>
      <c r="L2311" s="34">
        <f>IF($J2311=1,LN(B2312/B2311),"")</f>
        <v/>
      </c>
      <c r="M2311" s="34">
        <f>IF($K2311=1,INDEX(Mensal!$D$2:$D$245,MATCH($I2311,Mensal!$A$2:$A$245,0)),"")</f>
        <v/>
      </c>
      <c r="N2311" s="34">
        <f>IF($K2311=1,L2311-M2311,"")</f>
        <v/>
      </c>
      <c r="O2311" s="34" t="n">
        <v>0.00052461</v>
      </c>
      <c r="P2311" s="34">
        <f>IF($J2311=1,LN(1+O2311),"")</f>
        <v/>
      </c>
      <c r="Q2311" s="34">
        <f>IF($J2311=1,LN(R2312/R2311),"")</f>
        <v/>
      </c>
      <c r="R2311" s="32" t="n">
        <v>3.4826</v>
      </c>
      <c r="S2311" s="35" t="n">
        <v>14.157</v>
      </c>
      <c r="T2311" s="18" t="n"/>
      <c r="U2311" s="18" t="n">
        <v>48388.04</v>
      </c>
      <c r="V2311" s="18" t="n"/>
      <c r="W2311" s="18" t="n"/>
      <c r="X2311" s="35" t="n">
        <v>14.157</v>
      </c>
      <c r="Y2311" s="35" t="n"/>
    </row>
    <row r="2312">
      <c r="A2312" s="25" t="n">
        <v>42229</v>
      </c>
      <c r="B2312" s="18" t="n">
        <v>48009.56</v>
      </c>
      <c r="C2312" s="31" t="n"/>
      <c r="D2312" s="32" t="n"/>
      <c r="E2312" s="33" t="n">
        <v>0.8107</v>
      </c>
      <c r="F2312" t="inlineStr">
        <is>
          <t>Up</t>
        </is>
      </c>
      <c r="G2312" t="inlineStr">
        <is>
          <t>Up</t>
        </is>
      </c>
      <c r="H2312" t="inlineStr">
        <is>
          <t>EU_JU</t>
        </is>
      </c>
      <c r="I2312" t="inlineStr">
        <is>
          <t>2015-08</t>
        </is>
      </c>
      <c r="J2312" t="n">
        <v>1</v>
      </c>
      <c r="K2312" t="n">
        <v>1</v>
      </c>
      <c r="L2312" s="34">
        <f>IF($J2312=1,LN(B2313/B2312),"")</f>
        <v/>
      </c>
      <c r="M2312" s="34">
        <f>IF($K2312=1,INDEX(Mensal!$D$2:$D$245,MATCH($I2312,Mensal!$A$2:$A$245,0)),"")</f>
        <v/>
      </c>
      <c r="N2312" s="34">
        <f>IF($K2312=1,L2312-M2312,"")</f>
        <v/>
      </c>
      <c r="O2312" s="34" t="n">
        <v>0.00052461</v>
      </c>
      <c r="P2312" s="34">
        <f>IF($J2312=1,LN(1+O2312),"")</f>
        <v/>
      </c>
      <c r="Q2312" s="34">
        <f>IF($J2312=1,LN(R2313/R2312),"")</f>
        <v/>
      </c>
      <c r="R2312" s="32" t="n">
        <v>3.5074</v>
      </c>
      <c r="S2312" s="35" t="n">
        <v>14.199</v>
      </c>
      <c r="T2312" s="18" t="n"/>
      <c r="U2312" s="18" t="n">
        <v>48009.56</v>
      </c>
      <c r="V2312" s="18" t="n"/>
      <c r="W2312" s="18" t="n"/>
      <c r="X2312" s="35" t="n">
        <v>14.199</v>
      </c>
      <c r="Y2312" s="35" t="n"/>
    </row>
    <row r="2313">
      <c r="A2313" s="25" t="n">
        <v>42230</v>
      </c>
      <c r="B2313" s="18" t="n">
        <v>47508.4</v>
      </c>
      <c r="C2313" s="31" t="n"/>
      <c r="D2313" s="32" t="n"/>
      <c r="E2313" s="33" t="n">
        <v>0.7861</v>
      </c>
      <c r="F2313" t="inlineStr">
        <is>
          <t>Up</t>
        </is>
      </c>
      <c r="G2313" t="inlineStr">
        <is>
          <t>Up</t>
        </is>
      </c>
      <c r="H2313" t="inlineStr">
        <is>
          <t>EU_JU</t>
        </is>
      </c>
      <c r="I2313" t="inlineStr">
        <is>
          <t>2015-08</t>
        </is>
      </c>
      <c r="J2313" t="n">
        <v>1</v>
      </c>
      <c r="K2313" t="n">
        <v>1</v>
      </c>
      <c r="L2313" s="34">
        <f>IF($J2313=1,LN(B2314/B2313),"")</f>
        <v/>
      </c>
      <c r="M2313" s="34">
        <f>IF($K2313=1,INDEX(Mensal!$D$2:$D$245,MATCH($I2313,Mensal!$A$2:$A$245,0)),"")</f>
        <v/>
      </c>
      <c r="N2313" s="34">
        <f>IF($K2313=1,L2313-M2313,"")</f>
        <v/>
      </c>
      <c r="O2313" s="34" t="n">
        <v>0.00052461</v>
      </c>
      <c r="P2313" s="34">
        <f>IF($J2313=1,LN(1+O2313),"")</f>
        <v/>
      </c>
      <c r="Q2313" s="34">
        <f>IF($J2313=1,LN(R2314/R2313),"")</f>
        <v/>
      </c>
      <c r="R2313" s="32" t="n">
        <v>3.4761</v>
      </c>
      <c r="S2313" s="35" t="n">
        <v>14.159</v>
      </c>
      <c r="T2313" s="18" t="n"/>
      <c r="U2313" s="18" t="n">
        <v>47508.4</v>
      </c>
      <c r="V2313" s="18" t="n"/>
      <c r="W2313" s="18" t="n"/>
      <c r="X2313" s="35" t="n">
        <v>14.159</v>
      </c>
      <c r="Y2313" s="35" t="n"/>
    </row>
    <row r="2314">
      <c r="A2314" s="25" t="n">
        <v>42233</v>
      </c>
      <c r="B2314" s="18" t="n">
        <v>47217.42</v>
      </c>
      <c r="C2314" s="31" t="n"/>
      <c r="D2314" s="32" t="n"/>
      <c r="E2314" s="33" t="n">
        <v>0.7825</v>
      </c>
      <c r="F2314" t="inlineStr">
        <is>
          <t>Up</t>
        </is>
      </c>
      <c r="G2314" t="inlineStr">
        <is>
          <t>Up</t>
        </is>
      </c>
      <c r="H2314" t="inlineStr">
        <is>
          <t>EU_JU</t>
        </is>
      </c>
      <c r="I2314" t="inlineStr">
        <is>
          <t>2015-08</t>
        </is>
      </c>
      <c r="J2314" t="n">
        <v>1</v>
      </c>
      <c r="K2314" t="n">
        <v>1</v>
      </c>
      <c r="L2314" s="34">
        <f>IF($J2314=1,LN(B2315/B2314),"")</f>
        <v/>
      </c>
      <c r="M2314" s="34">
        <f>IF($K2314=1,INDEX(Mensal!$D$2:$D$245,MATCH($I2314,Mensal!$A$2:$A$245,0)),"")</f>
        <v/>
      </c>
      <c r="N2314" s="34">
        <f>IF($K2314=1,L2314-M2314,"")</f>
        <v/>
      </c>
      <c r="O2314" s="34" t="n">
        <v>0.00052461</v>
      </c>
      <c r="P2314" s="34">
        <f>IF($J2314=1,LN(1+O2314),"")</f>
        <v/>
      </c>
      <c r="Q2314" s="34">
        <f>IF($J2314=1,LN(R2315/R2314),"")</f>
        <v/>
      </c>
      <c r="R2314" s="32" t="n">
        <v>3.4746</v>
      </c>
      <c r="S2314" s="35" t="n">
        <v>14.156</v>
      </c>
      <c r="T2314" s="18" t="n"/>
      <c r="U2314" s="18" t="n">
        <v>47217.42</v>
      </c>
      <c r="V2314" s="18" t="n"/>
      <c r="W2314" s="18" t="n"/>
      <c r="X2314" s="35" t="n">
        <v>14.156</v>
      </c>
      <c r="Y2314" s="35" t="n"/>
    </row>
    <row r="2315">
      <c r="A2315" s="25" t="n">
        <v>42234</v>
      </c>
      <c r="B2315" s="18" t="n">
        <v>47450.58</v>
      </c>
      <c r="C2315" s="31" t="n"/>
      <c r="D2315" s="32" t="n"/>
      <c r="E2315" s="33" t="n">
        <v>0.7753</v>
      </c>
      <c r="F2315" t="inlineStr">
        <is>
          <t>Up</t>
        </is>
      </c>
      <c r="G2315" t="inlineStr">
        <is>
          <t>Up</t>
        </is>
      </c>
      <c r="H2315" t="inlineStr">
        <is>
          <t>EU_JU</t>
        </is>
      </c>
      <c r="I2315" t="inlineStr">
        <is>
          <t>2015-08</t>
        </is>
      </c>
      <c r="J2315" t="n">
        <v>1</v>
      </c>
      <c r="K2315" t="n">
        <v>1</v>
      </c>
      <c r="L2315" s="34">
        <f>IF($J2315=1,LN(B2316/B2315),"")</f>
        <v/>
      </c>
      <c r="M2315" s="34">
        <f>IF($K2315=1,INDEX(Mensal!$D$2:$D$245,MATCH($I2315,Mensal!$A$2:$A$245,0)),"")</f>
        <v/>
      </c>
      <c r="N2315" s="34">
        <f>IF($K2315=1,L2315-M2315,"")</f>
        <v/>
      </c>
      <c r="O2315" s="34" t="n">
        <v>0.00052461</v>
      </c>
      <c r="P2315" s="34">
        <f>IF($J2315=1,LN(1+O2315),"")</f>
        <v/>
      </c>
      <c r="Q2315" s="34">
        <f>IF($J2315=1,LN(R2316/R2315),"")</f>
        <v/>
      </c>
      <c r="R2315" s="32" t="n">
        <v>3.4811</v>
      </c>
      <c r="S2315" s="35" t="n">
        <v>14.137</v>
      </c>
      <c r="T2315" s="18" t="n"/>
      <c r="U2315" s="18" t="n">
        <v>47450.58</v>
      </c>
      <c r="V2315" s="18" t="n"/>
      <c r="W2315" s="18" t="n"/>
      <c r="X2315" s="35" t="n">
        <v>14.137</v>
      </c>
      <c r="Y2315" s="35" t="n"/>
    </row>
    <row r="2316">
      <c r="A2316" s="25" t="n">
        <v>42235</v>
      </c>
      <c r="B2316" s="18" t="n">
        <v>46588.39</v>
      </c>
      <c r="C2316" s="31" t="n"/>
      <c r="D2316" s="32" t="n"/>
      <c r="E2316" s="33" t="n">
        <v>0.7635999999999999</v>
      </c>
      <c r="F2316" t="inlineStr">
        <is>
          <t>Up</t>
        </is>
      </c>
      <c r="G2316" t="inlineStr">
        <is>
          <t>Up</t>
        </is>
      </c>
      <c r="H2316" t="inlineStr">
        <is>
          <t>EU_JU</t>
        </is>
      </c>
      <c r="I2316" t="inlineStr">
        <is>
          <t>2015-08</t>
        </is>
      </c>
      <c r="J2316" t="n">
        <v>1</v>
      </c>
      <c r="K2316" t="n">
        <v>1</v>
      </c>
      <c r="L2316" s="34">
        <f>IF($J2316=1,LN(B2317/B2316),"")</f>
        <v/>
      </c>
      <c r="M2316" s="34">
        <f>IF($K2316=1,INDEX(Mensal!$D$2:$D$245,MATCH($I2316,Mensal!$A$2:$A$245,0)),"")</f>
        <v/>
      </c>
      <c r="N2316" s="34">
        <f>IF($K2316=1,L2316-M2316,"")</f>
        <v/>
      </c>
      <c r="O2316" s="34" t="n">
        <v>0.00052461</v>
      </c>
      <c r="P2316" s="34">
        <f>IF($J2316=1,LN(1+O2316),"")</f>
        <v/>
      </c>
      <c r="Q2316" s="34">
        <f>IF($J2316=1,LN(R2317/R2316),"")</f>
        <v/>
      </c>
      <c r="R2316" s="32" t="n">
        <v>3.4849</v>
      </c>
      <c r="S2316" s="35" t="n">
        <v>14.099</v>
      </c>
      <c r="T2316" s="18" t="n"/>
      <c r="U2316" s="18" t="n">
        <v>46588.39</v>
      </c>
      <c r="V2316" s="18" t="n"/>
      <c r="W2316" s="18" t="n"/>
      <c r="X2316" s="35" t="n">
        <v>14.099</v>
      </c>
      <c r="Y2316" s="35" t="n"/>
    </row>
    <row r="2317">
      <c r="A2317" s="25" t="n">
        <v>42236</v>
      </c>
      <c r="B2317" s="18" t="n">
        <v>46649.23</v>
      </c>
      <c r="C2317" s="31" t="n"/>
      <c r="D2317" s="32" t="n"/>
      <c r="E2317" s="33" t="n">
        <v>0.7502</v>
      </c>
      <c r="F2317" t="inlineStr">
        <is>
          <t>Up</t>
        </is>
      </c>
      <c r="G2317" t="inlineStr">
        <is>
          <t>Up</t>
        </is>
      </c>
      <c r="H2317" t="inlineStr">
        <is>
          <t>EU_JU</t>
        </is>
      </c>
      <c r="I2317" t="inlineStr">
        <is>
          <t>2015-08</t>
        </is>
      </c>
      <c r="J2317" t="n">
        <v>1</v>
      </c>
      <c r="K2317" t="n">
        <v>1</v>
      </c>
      <c r="L2317" s="34">
        <f>IF($J2317=1,LN(B2318/B2317),"")</f>
        <v/>
      </c>
      <c r="M2317" s="34">
        <f>IF($K2317=1,INDEX(Mensal!$D$2:$D$245,MATCH($I2317,Mensal!$A$2:$A$245,0)),"")</f>
        <v/>
      </c>
      <c r="N2317" s="34">
        <f>IF($K2317=1,L2317-M2317,"")</f>
        <v/>
      </c>
      <c r="O2317" s="34" t="n">
        <v>0.00052461</v>
      </c>
      <c r="P2317" s="34">
        <f>IF($J2317=1,LN(1+O2317),"")</f>
        <v/>
      </c>
      <c r="Q2317" s="34">
        <f>IF($J2317=1,LN(R2318/R2317),"")</f>
        <v/>
      </c>
      <c r="R2317" s="32" t="n">
        <v>3.4751</v>
      </c>
      <c r="S2317" s="35" t="n">
        <v>14.029</v>
      </c>
      <c r="T2317" s="18" t="n"/>
      <c r="U2317" s="18" t="n">
        <v>46649.23</v>
      </c>
      <c r="V2317" s="18" t="n"/>
      <c r="W2317" s="18" t="n"/>
      <c r="X2317" s="35" t="n">
        <v>14.029</v>
      </c>
      <c r="Y2317" s="35" t="n"/>
    </row>
    <row r="2318">
      <c r="A2318" s="25" t="n">
        <v>42237</v>
      </c>
      <c r="B2318" s="18" t="n">
        <v>45719.64</v>
      </c>
      <c r="C2318" s="31" t="n"/>
      <c r="D2318" s="32" t="n"/>
      <c r="E2318" s="33" t="n">
        <v>0.733</v>
      </c>
      <c r="F2318" t="inlineStr">
        <is>
          <t>Up</t>
        </is>
      </c>
      <c r="G2318" t="inlineStr">
        <is>
          <t>Up</t>
        </is>
      </c>
      <c r="H2318" t="inlineStr">
        <is>
          <t>EU_JU</t>
        </is>
      </c>
      <c r="I2318" t="inlineStr">
        <is>
          <t>2015-08</t>
        </is>
      </c>
      <c r="J2318" t="n">
        <v>1</v>
      </c>
      <c r="K2318" t="n">
        <v>1</v>
      </c>
      <c r="L2318" s="34">
        <f>IF($J2318=1,LN(B2319/B2318),"")</f>
        <v/>
      </c>
      <c r="M2318" s="34">
        <f>IF($K2318=1,INDEX(Mensal!$D$2:$D$245,MATCH($I2318,Mensal!$A$2:$A$245,0)),"")</f>
        <v/>
      </c>
      <c r="N2318" s="34">
        <f>IF($K2318=1,L2318-M2318,"")</f>
        <v/>
      </c>
      <c r="O2318" s="34" t="n">
        <v>0.00052461</v>
      </c>
      <c r="P2318" s="34">
        <f>IF($J2318=1,LN(1+O2318),"")</f>
        <v/>
      </c>
      <c r="Q2318" s="34">
        <f>IF($J2318=1,LN(R2319/R2318),"")</f>
        <v/>
      </c>
      <c r="R2318" s="32" t="n">
        <v>3.4896</v>
      </c>
      <c r="S2318" s="35" t="n">
        <v>14.067</v>
      </c>
      <c r="T2318" s="18" t="n"/>
      <c r="U2318" s="18" t="n">
        <v>45719.64</v>
      </c>
      <c r="V2318" s="18" t="n"/>
      <c r="W2318" s="18" t="n"/>
      <c r="X2318" s="35" t="n">
        <v>14.067</v>
      </c>
      <c r="Y2318" s="35" t="n"/>
    </row>
    <row r="2319">
      <c r="A2319" s="25" t="n">
        <v>42240</v>
      </c>
      <c r="B2319" s="18" t="n">
        <v>44336.47</v>
      </c>
      <c r="C2319" s="31" t="n"/>
      <c r="D2319" s="32" t="n"/>
      <c r="E2319" s="33" t="n">
        <v>0.7189</v>
      </c>
      <c r="F2319" t="inlineStr">
        <is>
          <t>Up</t>
        </is>
      </c>
      <c r="G2319" t="inlineStr">
        <is>
          <t>Up</t>
        </is>
      </c>
      <c r="H2319" t="inlineStr">
        <is>
          <t>EU_JU</t>
        </is>
      </c>
      <c r="I2319" t="inlineStr">
        <is>
          <t>2015-08</t>
        </is>
      </c>
      <c r="J2319" t="n">
        <v>1</v>
      </c>
      <c r="K2319" t="n">
        <v>1</v>
      </c>
      <c r="L2319" s="34">
        <f>IF($J2319=1,LN(B2320/B2319),"")</f>
        <v/>
      </c>
      <c r="M2319" s="34">
        <f>IF($K2319=1,INDEX(Mensal!$D$2:$D$245,MATCH($I2319,Mensal!$A$2:$A$245,0)),"")</f>
        <v/>
      </c>
      <c r="N2319" s="34">
        <f>IF($K2319=1,L2319-M2319,"")</f>
        <v/>
      </c>
      <c r="O2319" s="34" t="n">
        <v>0.00052461</v>
      </c>
      <c r="P2319" s="34">
        <f>IF($J2319=1,LN(1+O2319),"")</f>
        <v/>
      </c>
      <c r="Q2319" s="34">
        <f>IF($J2319=1,LN(R2320/R2319),"")</f>
        <v/>
      </c>
      <c r="R2319" s="32" t="n">
        <v>3.5494</v>
      </c>
      <c r="S2319" s="35" t="n">
        <v>14.259</v>
      </c>
      <c r="T2319" s="18" t="n"/>
      <c r="U2319" s="18" t="n">
        <v>44336.47</v>
      </c>
      <c r="V2319" s="18" t="n"/>
      <c r="W2319" s="18" t="n"/>
      <c r="X2319" s="35" t="n">
        <v>14.259</v>
      </c>
      <c r="Y2319" s="35" t="n"/>
    </row>
    <row r="2320">
      <c r="A2320" s="25" t="n">
        <v>42241</v>
      </c>
      <c r="B2320" s="18" t="n">
        <v>44544.85</v>
      </c>
      <c r="C2320" s="31" t="n"/>
      <c r="D2320" s="32" t="n"/>
      <c r="E2320" s="33" t="n">
        <v>0.7024</v>
      </c>
      <c r="F2320" t="inlineStr">
        <is>
          <t>Up</t>
        </is>
      </c>
      <c r="G2320" t="inlineStr">
        <is>
          <t>Up</t>
        </is>
      </c>
      <c r="H2320" t="inlineStr">
        <is>
          <t>EU_JU</t>
        </is>
      </c>
      <c r="I2320" t="inlineStr">
        <is>
          <t>2015-08</t>
        </is>
      </c>
      <c r="J2320" t="n">
        <v>1</v>
      </c>
      <c r="K2320" t="n">
        <v>1</v>
      </c>
      <c r="L2320" s="34">
        <f>IF($J2320=1,LN(B2321/B2320),"")</f>
        <v/>
      </c>
      <c r="M2320" s="34">
        <f>IF($K2320=1,INDEX(Mensal!$D$2:$D$245,MATCH($I2320,Mensal!$A$2:$A$245,0)),"")</f>
        <v/>
      </c>
      <c r="N2320" s="34">
        <f>IF($K2320=1,L2320-M2320,"")</f>
        <v/>
      </c>
      <c r="O2320" s="34" t="n">
        <v>0.00052461</v>
      </c>
      <c r="P2320" s="34">
        <f>IF($J2320=1,LN(1+O2320),"")</f>
        <v/>
      </c>
      <c r="Q2320" s="34">
        <f>IF($J2320=1,LN(R2321/R2320),"")</f>
        <v/>
      </c>
      <c r="R2320" s="32" t="n">
        <v>3.5345</v>
      </c>
      <c r="S2320" s="35" t="n">
        <v>14.286</v>
      </c>
      <c r="T2320" s="18" t="n"/>
      <c r="U2320" s="18" t="n">
        <v>44544.85</v>
      </c>
      <c r="V2320" s="18" t="n"/>
      <c r="W2320" s="18" t="n"/>
      <c r="X2320" s="35" t="n">
        <v>14.286</v>
      </c>
      <c r="Y2320" s="35" t="n"/>
    </row>
    <row r="2321">
      <c r="A2321" s="25" t="n">
        <v>42242</v>
      </c>
      <c r="B2321" s="18" t="n">
        <v>46038.07</v>
      </c>
      <c r="C2321" s="31" t="n"/>
      <c r="D2321" s="32" t="n"/>
      <c r="E2321" s="33" t="n">
        <v>0.6874</v>
      </c>
      <c r="F2321" t="inlineStr">
        <is>
          <t>Up</t>
        </is>
      </c>
      <c r="G2321" t="inlineStr">
        <is>
          <t>Up</t>
        </is>
      </c>
      <c r="H2321" t="inlineStr">
        <is>
          <t>EU_JU</t>
        </is>
      </c>
      <c r="I2321" t="inlineStr">
        <is>
          <t>2015-08</t>
        </is>
      </c>
      <c r="J2321" t="n">
        <v>1</v>
      </c>
      <c r="K2321" t="n">
        <v>1</v>
      </c>
      <c r="L2321" s="34">
        <f>IF($J2321=1,LN(B2322/B2321),"")</f>
        <v/>
      </c>
      <c r="M2321" s="34">
        <f>IF($K2321=1,INDEX(Mensal!$D$2:$D$245,MATCH($I2321,Mensal!$A$2:$A$245,0)),"")</f>
        <v/>
      </c>
      <c r="N2321" s="34">
        <f>IF($K2321=1,L2321-M2321,"")</f>
        <v/>
      </c>
      <c r="O2321" s="34" t="n">
        <v>0.00052461</v>
      </c>
      <c r="P2321" s="34">
        <f>IF($J2321=1,LN(1+O2321),"")</f>
        <v/>
      </c>
      <c r="Q2321" s="34">
        <f>IF($J2321=1,LN(R2322/R2321),"")</f>
        <v/>
      </c>
      <c r="R2321" s="32" t="n">
        <v>3.6326</v>
      </c>
      <c r="S2321" s="35" t="n">
        <v>14.202</v>
      </c>
      <c r="T2321" s="18" t="n"/>
      <c r="U2321" s="18" t="n">
        <v>46038.07</v>
      </c>
      <c r="V2321" s="18" t="n"/>
      <c r="W2321" s="18" t="n"/>
      <c r="X2321" s="35" t="n">
        <v>14.202</v>
      </c>
      <c r="Y2321" s="35" t="n"/>
    </row>
    <row r="2322">
      <c r="A2322" s="25" t="n">
        <v>42243</v>
      </c>
      <c r="B2322" s="18" t="n">
        <v>47715.27</v>
      </c>
      <c r="C2322" s="31" t="n"/>
      <c r="D2322" s="32" t="n"/>
      <c r="E2322" s="33" t="n">
        <v>0.6718</v>
      </c>
      <c r="F2322" t="inlineStr">
        <is>
          <t>Up</t>
        </is>
      </c>
      <c r="G2322" t="inlineStr">
        <is>
          <t>Up</t>
        </is>
      </c>
      <c r="H2322" t="inlineStr">
        <is>
          <t>EU_JU</t>
        </is>
      </c>
      <c r="I2322" t="inlineStr">
        <is>
          <t>2015-08</t>
        </is>
      </c>
      <c r="J2322" t="n">
        <v>1</v>
      </c>
      <c r="K2322" t="n">
        <v>1</v>
      </c>
      <c r="L2322" s="34">
        <f>IF($J2322=1,LN(B2323/B2322),"")</f>
        <v/>
      </c>
      <c r="M2322" s="34">
        <f>IF($K2322=1,INDEX(Mensal!$D$2:$D$245,MATCH($I2322,Mensal!$A$2:$A$245,0)),"")</f>
        <v/>
      </c>
      <c r="N2322" s="34">
        <f>IF($K2322=1,L2322-M2322,"")</f>
        <v/>
      </c>
      <c r="O2322" s="34" t="n">
        <v>0.00052461</v>
      </c>
      <c r="P2322" s="34">
        <f>IF($J2322=1,LN(1+O2322),"")</f>
        <v/>
      </c>
      <c r="Q2322" s="34">
        <f>IF($J2322=1,LN(R2323/R2322),"")</f>
        <v/>
      </c>
      <c r="R2322" s="32" t="n">
        <v>3.5555</v>
      </c>
      <c r="S2322" s="35" t="n">
        <v>14.114</v>
      </c>
      <c r="T2322" s="18" t="n"/>
      <c r="U2322" s="18" t="n">
        <v>47715.27</v>
      </c>
      <c r="V2322" s="18" t="n"/>
      <c r="W2322" s="18" t="n"/>
      <c r="X2322" s="35" t="n">
        <v>14.114</v>
      </c>
      <c r="Y2322" s="35" t="n"/>
    </row>
    <row r="2323">
      <c r="A2323" s="25" t="n">
        <v>42244</v>
      </c>
      <c r="B2323" s="18" t="n">
        <v>47153.86</v>
      </c>
      <c r="C2323" s="31" t="n"/>
      <c r="D2323" s="32" t="n"/>
      <c r="E2323" s="33" t="n">
        <v>0.6563</v>
      </c>
      <c r="F2323" t="inlineStr">
        <is>
          <t>Up</t>
        </is>
      </c>
      <c r="G2323" t="inlineStr">
        <is>
          <t>Up</t>
        </is>
      </c>
      <c r="H2323" t="inlineStr">
        <is>
          <t>EU_JU</t>
        </is>
      </c>
      <c r="I2323" t="inlineStr">
        <is>
          <t>2015-08</t>
        </is>
      </c>
      <c r="J2323" t="n">
        <v>1</v>
      </c>
      <c r="K2323" t="n">
        <v>1</v>
      </c>
      <c r="L2323" s="34">
        <f>IF($J2323=1,LN(B2324/B2323),"")</f>
        <v/>
      </c>
      <c r="M2323" s="34">
        <f>IF($K2323=1,INDEX(Mensal!$D$2:$D$245,MATCH($I2323,Mensal!$A$2:$A$245,0)),"")</f>
        <v/>
      </c>
      <c r="N2323" s="34">
        <f>IF($K2323=1,L2323-M2323,"")</f>
        <v/>
      </c>
      <c r="O2323" s="34" t="n">
        <v>0.00052461</v>
      </c>
      <c r="P2323" s="34">
        <f>IF($J2323=1,LN(1+O2323),"")</f>
        <v/>
      </c>
      <c r="Q2323" s="34">
        <f>IF($J2323=1,LN(R2324/R2323),"")</f>
        <v/>
      </c>
      <c r="R2323" s="32" t="n">
        <v>3.579</v>
      </c>
      <c r="S2323" s="35" t="n">
        <v>14.188</v>
      </c>
      <c r="T2323" s="18" t="n"/>
      <c r="U2323" s="18" t="n">
        <v>47153.86</v>
      </c>
      <c r="V2323" s="18" t="n"/>
      <c r="W2323" s="18" t="n"/>
      <c r="X2323" s="35" t="n">
        <v>14.188</v>
      </c>
      <c r="Y2323" s="35" t="n"/>
    </row>
    <row r="2324">
      <c r="A2324" s="25" t="n">
        <v>42247</v>
      </c>
      <c r="B2324" s="18" t="n">
        <v>46625.52</v>
      </c>
      <c r="C2324" s="31" t="n"/>
      <c r="D2324" s="32" t="n"/>
      <c r="E2324" s="33" t="n">
        <v>0.643</v>
      </c>
      <c r="F2324" t="inlineStr">
        <is>
          <t>Up</t>
        </is>
      </c>
      <c r="G2324" t="inlineStr">
        <is>
          <t>Up</t>
        </is>
      </c>
      <c r="H2324" t="inlineStr">
        <is>
          <t>EU_JU</t>
        </is>
      </c>
      <c r="I2324" t="inlineStr">
        <is>
          <t>2015-08</t>
        </is>
      </c>
      <c r="J2324" t="n">
        <v>1</v>
      </c>
      <c r="K2324" t="n">
        <v>1</v>
      </c>
      <c r="L2324" s="34">
        <f>IF($J2324=1,LN(B2325/B2324),"")</f>
        <v/>
      </c>
      <c r="M2324" s="34">
        <f>IF($K2324=1,INDEX(Mensal!$D$2:$D$245,MATCH($I2324,Mensal!$A$2:$A$245,0)),"")</f>
        <v/>
      </c>
      <c r="N2324" s="34">
        <f>IF($K2324=1,L2324-M2324,"")</f>
        <v/>
      </c>
      <c r="O2324" s="34" t="n">
        <v>0.00052461</v>
      </c>
      <c r="P2324" s="34">
        <f>IF($J2324=1,LN(1+O2324),"")</f>
        <v/>
      </c>
      <c r="Q2324" s="34">
        <f>IF($J2324=1,LN(R2325/R2324),"")</f>
        <v/>
      </c>
      <c r="R2324" s="32" t="n">
        <v>3.6467</v>
      </c>
      <c r="S2324" s="35" t="n">
        <v>14.382</v>
      </c>
      <c r="T2324" s="18" t="n"/>
      <c r="U2324" s="18" t="n">
        <v>46625.52</v>
      </c>
      <c r="V2324" s="18" t="n"/>
      <c r="W2324" s="18" t="n"/>
      <c r="X2324" s="35" t="n">
        <v>14.382</v>
      </c>
      <c r="Y2324" s="35" t="n"/>
    </row>
    <row r="2325">
      <c r="A2325" s="25" t="n">
        <v>42248</v>
      </c>
      <c r="B2325" s="18" t="n">
        <v>45477.06</v>
      </c>
      <c r="C2325" s="31" t="n"/>
      <c r="D2325" s="32" t="n"/>
      <c r="E2325" s="33" t="n">
        <v>0.6218</v>
      </c>
      <c r="F2325" t="inlineStr">
        <is>
          <t>Up</t>
        </is>
      </c>
      <c r="G2325" t="inlineStr">
        <is>
          <t>Up</t>
        </is>
      </c>
      <c r="H2325" t="inlineStr">
        <is>
          <t>EU_JU</t>
        </is>
      </c>
      <c r="I2325" t="inlineStr">
        <is>
          <t>2015-09</t>
        </is>
      </c>
      <c r="J2325" t="n">
        <v>1</v>
      </c>
      <c r="K2325" t="n">
        <v>1</v>
      </c>
      <c r="L2325" s="34">
        <f>IF($J2325=1,LN(B2326/B2325),"")</f>
        <v/>
      </c>
      <c r="M2325" s="34">
        <f>IF($K2325=1,INDEX(Mensal!$D$2:$D$245,MATCH($I2325,Mensal!$A$2:$A$245,0)),"")</f>
        <v/>
      </c>
      <c r="N2325" s="34">
        <f>IF($K2325=1,L2325-M2325,"")</f>
        <v/>
      </c>
      <c r="O2325" s="34" t="n">
        <v>0.00052461</v>
      </c>
      <c r="P2325" s="34">
        <f>IF($J2325=1,LN(1+O2325),"")</f>
        <v/>
      </c>
      <c r="Q2325" s="34">
        <f>IF($J2325=1,LN(R2326/R2325),"")</f>
        <v/>
      </c>
      <c r="R2325" s="32" t="n">
        <v>3.6725</v>
      </c>
      <c r="S2325" s="35" t="n">
        <v>14.543</v>
      </c>
      <c r="T2325" s="18" t="n"/>
      <c r="U2325" s="18" t="n">
        <v>45477.06</v>
      </c>
      <c r="V2325" s="18" t="n"/>
      <c r="W2325" s="18" t="n"/>
      <c r="X2325" s="35" t="n">
        <v>14.543</v>
      </c>
      <c r="Y2325" s="35" t="n"/>
    </row>
    <row r="2326">
      <c r="A2326" s="25" t="n">
        <v>42249</v>
      </c>
      <c r="B2326" s="18" t="n">
        <v>46463.96</v>
      </c>
      <c r="C2326" s="31" t="n"/>
      <c r="D2326" s="32" t="n"/>
      <c r="E2326" s="33" t="n">
        <v>0.6022999999999999</v>
      </c>
      <c r="F2326" t="inlineStr">
        <is>
          <t>Up</t>
        </is>
      </c>
      <c r="G2326" t="inlineStr">
        <is>
          <t>Up</t>
        </is>
      </c>
      <c r="H2326" t="inlineStr">
        <is>
          <t>EU_JU</t>
        </is>
      </c>
      <c r="I2326" t="inlineStr">
        <is>
          <t>2015-09</t>
        </is>
      </c>
      <c r="J2326" t="n">
        <v>1</v>
      </c>
      <c r="K2326" t="n">
        <v>1</v>
      </c>
      <c r="L2326" s="34">
        <f>IF($J2326=1,LN(B2327/B2326),"")</f>
        <v/>
      </c>
      <c r="M2326" s="34">
        <f>IF($K2326=1,INDEX(Mensal!$D$2:$D$245,MATCH($I2326,Mensal!$A$2:$A$245,0)),"")</f>
        <v/>
      </c>
      <c r="N2326" s="34">
        <f>IF($K2326=1,L2326-M2326,"")</f>
        <v/>
      </c>
      <c r="O2326" s="34" t="n">
        <v>0.00052461</v>
      </c>
      <c r="P2326" s="34">
        <f>IF($J2326=1,LN(1+O2326),"")</f>
        <v/>
      </c>
      <c r="Q2326" s="34">
        <f>IF($J2326=1,LN(R2327/R2326),"")</f>
        <v/>
      </c>
      <c r="R2326" s="32" t="n">
        <v>3.7314</v>
      </c>
      <c r="S2326" s="35" t="n">
        <v>14.871</v>
      </c>
      <c r="T2326" s="18" t="n"/>
      <c r="U2326" s="18" t="n">
        <v>46463.96</v>
      </c>
      <c r="V2326" s="18" t="n"/>
      <c r="W2326" s="18" t="n"/>
      <c r="X2326" s="35" t="n">
        <v>14.871</v>
      </c>
      <c r="Y2326" s="35" t="n"/>
    </row>
    <row r="2327">
      <c r="A2327" s="25" t="n">
        <v>42250</v>
      </c>
      <c r="B2327" s="18" t="n">
        <v>47365.87</v>
      </c>
      <c r="C2327" s="31" t="n"/>
      <c r="D2327" s="32" t="n"/>
      <c r="E2327" s="33" t="n">
        <v>0.5852000000000001</v>
      </c>
      <c r="F2327" t="inlineStr">
        <is>
          <t>Up</t>
        </is>
      </c>
      <c r="G2327" t="inlineStr">
        <is>
          <t>Up</t>
        </is>
      </c>
      <c r="H2327" t="inlineStr">
        <is>
          <t>EU_JU</t>
        </is>
      </c>
      <c r="I2327" t="inlineStr">
        <is>
          <t>2015-09</t>
        </is>
      </c>
      <c r="J2327" t="n">
        <v>1</v>
      </c>
      <c r="K2327" t="n">
        <v>1</v>
      </c>
      <c r="L2327" s="34">
        <f>IF($J2327=1,LN(B2328/B2327),"")</f>
        <v/>
      </c>
      <c r="M2327" s="34">
        <f>IF($K2327=1,INDEX(Mensal!$D$2:$D$245,MATCH($I2327,Mensal!$A$2:$A$245,0)),"")</f>
        <v/>
      </c>
      <c r="N2327" s="34">
        <f>IF($K2327=1,L2327-M2327,"")</f>
        <v/>
      </c>
      <c r="O2327" s="34" t="n">
        <v>0.00052461</v>
      </c>
      <c r="P2327" s="34">
        <f>IF($J2327=1,LN(1+O2327),"")</f>
        <v/>
      </c>
      <c r="Q2327" s="34">
        <f>IF($J2327=1,LN(R2328/R2327),"")</f>
        <v/>
      </c>
      <c r="R2327" s="32" t="n">
        <v>3.776</v>
      </c>
      <c r="S2327" s="35" t="n">
        <v>14.715</v>
      </c>
      <c r="T2327" s="18" t="n"/>
      <c r="U2327" s="18" t="n">
        <v>47365.87</v>
      </c>
      <c r="V2327" s="18" t="n"/>
      <c r="W2327" s="18" t="n"/>
      <c r="X2327" s="35" t="n">
        <v>14.715</v>
      </c>
      <c r="Y2327" s="35" t="n"/>
    </row>
    <row r="2328">
      <c r="A2328" s="25" t="n">
        <v>42251</v>
      </c>
      <c r="B2328" s="18" t="n">
        <v>46497.72</v>
      </c>
      <c r="C2328" s="31" t="n"/>
      <c r="D2328" s="32" t="n"/>
      <c r="E2328" s="33" t="n">
        <v>0.5668</v>
      </c>
      <c r="F2328" t="inlineStr">
        <is>
          <t>Up</t>
        </is>
      </c>
      <c r="G2328" t="inlineStr">
        <is>
          <t>Up</t>
        </is>
      </c>
      <c r="H2328" t="inlineStr">
        <is>
          <t>EU_JU</t>
        </is>
      </c>
      <c r="I2328" t="inlineStr">
        <is>
          <t>2015-09</t>
        </is>
      </c>
      <c r="J2328" t="n">
        <v>1</v>
      </c>
      <c r="K2328" t="n">
        <v>1</v>
      </c>
      <c r="L2328" s="34">
        <f>IF($J2328=1,LN(B2329/B2328),"")</f>
        <v/>
      </c>
      <c r="M2328" s="34">
        <f>IF($K2328=1,INDEX(Mensal!$D$2:$D$245,MATCH($I2328,Mensal!$A$2:$A$245,0)),"")</f>
        <v/>
      </c>
      <c r="N2328" s="34">
        <f>IF($K2328=1,L2328-M2328,"")</f>
        <v/>
      </c>
      <c r="O2328" s="34" t="n">
        <v>0.00052461</v>
      </c>
      <c r="P2328" s="34">
        <f>IF($J2328=1,LN(1+O2328),"")</f>
        <v/>
      </c>
      <c r="Q2328" s="34">
        <f>IF($J2328=1,LN(R2329/R2328),"")</f>
        <v/>
      </c>
      <c r="R2328" s="32" t="n">
        <v>3.7986</v>
      </c>
      <c r="S2328" s="35" t="n">
        <v>15.021</v>
      </c>
      <c r="T2328" s="18" t="n"/>
      <c r="U2328" s="18" t="n">
        <v>46497.72</v>
      </c>
      <c r="V2328" s="18" t="n"/>
      <c r="W2328" s="18" t="n"/>
      <c r="X2328" s="35" t="n">
        <v>15.021</v>
      </c>
      <c r="Y2328" s="35" t="n"/>
    </row>
    <row r="2329">
      <c r="A2329" s="25" t="n">
        <v>42255</v>
      </c>
      <c r="B2329" s="18" t="n">
        <v>46762.07</v>
      </c>
      <c r="C2329" s="31" t="n"/>
      <c r="D2329" s="32" t="n"/>
      <c r="E2329" s="33" t="n">
        <v>0.5584</v>
      </c>
      <c r="F2329" t="inlineStr">
        <is>
          <t>Up</t>
        </is>
      </c>
      <c r="G2329" t="inlineStr">
        <is>
          <t>Up</t>
        </is>
      </c>
      <c r="H2329" t="inlineStr">
        <is>
          <t>EU_JU</t>
        </is>
      </c>
      <c r="I2329" t="inlineStr">
        <is>
          <t>2015-09</t>
        </is>
      </c>
      <c r="J2329" t="n">
        <v>1</v>
      </c>
      <c r="K2329" t="n">
        <v>1</v>
      </c>
      <c r="L2329" s="34">
        <f>IF($J2329=1,LN(B2330/B2329),"")</f>
        <v/>
      </c>
      <c r="M2329" s="34">
        <f>IF($K2329=1,INDEX(Mensal!$D$2:$D$245,MATCH($I2329,Mensal!$A$2:$A$245,0)),"")</f>
        <v/>
      </c>
      <c r="N2329" s="34">
        <f>IF($K2329=1,L2329-M2329,"")</f>
        <v/>
      </c>
      <c r="O2329" s="34" t="n">
        <v>0.00052461</v>
      </c>
      <c r="P2329" s="34">
        <f>IF($J2329=1,LN(1+O2329),"")</f>
        <v/>
      </c>
      <c r="Q2329" s="34">
        <f>IF($J2329=1,LN(R2330/R2329),"")</f>
        <v/>
      </c>
      <c r="R2329" s="32" t="n">
        <v>3.8028</v>
      </c>
      <c r="S2329" s="35" t="n">
        <v>14.903</v>
      </c>
      <c r="T2329" s="18" t="n"/>
      <c r="U2329" s="18" t="n">
        <v>46762.07</v>
      </c>
      <c r="V2329" s="18" t="n"/>
      <c r="W2329" s="18" t="n"/>
      <c r="X2329" s="35" t="n">
        <v>14.903</v>
      </c>
      <c r="Y2329" s="35" t="n"/>
    </row>
    <row r="2330">
      <c r="A2330" s="25" t="n">
        <v>42256</v>
      </c>
      <c r="B2330" s="18" t="n">
        <v>46657.09</v>
      </c>
      <c r="C2330" s="31" t="n"/>
      <c r="D2330" s="32" t="n"/>
      <c r="E2330" s="33" t="n">
        <v>0.5478</v>
      </c>
      <c r="F2330" t="inlineStr">
        <is>
          <t>Up</t>
        </is>
      </c>
      <c r="G2330" t="inlineStr">
        <is>
          <t>Up</t>
        </is>
      </c>
      <c r="H2330" t="inlineStr">
        <is>
          <t>EU_JU</t>
        </is>
      </c>
      <c r="I2330" t="inlineStr">
        <is>
          <t>2015-09</t>
        </is>
      </c>
      <c r="J2330" t="n">
        <v>1</v>
      </c>
      <c r="K2330" t="n">
        <v>1</v>
      </c>
      <c r="L2330" s="34">
        <f>IF($J2330=1,LN(B2331/B2330),"")</f>
        <v/>
      </c>
      <c r="M2330" s="34">
        <f>IF($K2330=1,INDEX(Mensal!$D$2:$D$245,MATCH($I2330,Mensal!$A$2:$A$245,0)),"")</f>
        <v/>
      </c>
      <c r="N2330" s="34">
        <f>IF($K2330=1,L2330-M2330,"")</f>
        <v/>
      </c>
      <c r="O2330" s="34" t="n">
        <v>0.00052461</v>
      </c>
      <c r="P2330" s="34">
        <f>IF($J2330=1,LN(1+O2330),"")</f>
        <v/>
      </c>
      <c r="Q2330" s="34">
        <f>IF($J2330=1,LN(R2331/R2330),"")</f>
        <v/>
      </c>
      <c r="R2330" s="32" t="n">
        <v>3.787</v>
      </c>
      <c r="S2330" s="35" t="n">
        <v>14.912</v>
      </c>
      <c r="T2330" s="18" t="n"/>
      <c r="U2330" s="18" t="n">
        <v>46657.09</v>
      </c>
      <c r="V2330" s="18" t="n"/>
      <c r="W2330" s="18" t="n"/>
      <c r="X2330" s="35" t="n">
        <v>14.912</v>
      </c>
      <c r="Y2330" s="35" t="n"/>
    </row>
    <row r="2331">
      <c r="A2331" s="25" t="n">
        <v>42257</v>
      </c>
      <c r="B2331" s="18" t="n">
        <v>46503.99</v>
      </c>
      <c r="C2331" s="31" t="n"/>
      <c r="D2331" s="32" t="n"/>
      <c r="E2331" s="33" t="n">
        <v>0.5199</v>
      </c>
      <c r="F2331" t="inlineStr">
        <is>
          <t>Up</t>
        </is>
      </c>
      <c r="G2331" t="inlineStr">
        <is>
          <t>Up</t>
        </is>
      </c>
      <c r="H2331" t="inlineStr">
        <is>
          <t>EU_JU</t>
        </is>
      </c>
      <c r="I2331" t="inlineStr">
        <is>
          <t>2015-09</t>
        </is>
      </c>
      <c r="J2331" t="n">
        <v>1</v>
      </c>
      <c r="K2331" t="n">
        <v>1</v>
      </c>
      <c r="L2331" s="34">
        <f>IF($J2331=1,LN(B2332/B2331),"")</f>
        <v/>
      </c>
      <c r="M2331" s="34">
        <f>IF($K2331=1,INDEX(Mensal!$D$2:$D$245,MATCH($I2331,Mensal!$A$2:$A$245,0)),"")</f>
        <v/>
      </c>
      <c r="N2331" s="34">
        <f>IF($K2331=1,L2331-M2331,"")</f>
        <v/>
      </c>
      <c r="O2331" s="34" t="n">
        <v>0.00052461</v>
      </c>
      <c r="P2331" s="34">
        <f>IF($J2331=1,LN(1+O2331),"")</f>
        <v/>
      </c>
      <c r="Q2331" s="34">
        <f>IF($J2331=1,LN(R2332/R2331),"")</f>
        <v/>
      </c>
      <c r="R2331" s="32" t="n">
        <v>3.8698</v>
      </c>
      <c r="S2331" s="35" t="n">
        <v>15.231</v>
      </c>
      <c r="T2331" s="18" t="n"/>
      <c r="U2331" s="18" t="n">
        <v>46503.99</v>
      </c>
      <c r="V2331" s="18" t="n"/>
      <c r="W2331" s="18" t="n"/>
      <c r="X2331" s="35" t="n">
        <v>15.231</v>
      </c>
      <c r="Y2331" s="35" t="n"/>
    </row>
    <row r="2332">
      <c r="A2332" s="25" t="n">
        <v>42258</v>
      </c>
      <c r="B2332" s="18" t="n">
        <v>46400.5</v>
      </c>
      <c r="C2332" s="31" t="n"/>
      <c r="D2332" s="32" t="n"/>
      <c r="E2332" s="33" t="n">
        <v>0.4793</v>
      </c>
      <c r="F2332" t="inlineStr">
        <is>
          <t>Up</t>
        </is>
      </c>
      <c r="G2332" t="inlineStr">
        <is>
          <t>Up</t>
        </is>
      </c>
      <c r="H2332" t="inlineStr">
        <is>
          <t>EU_JU</t>
        </is>
      </c>
      <c r="I2332" t="inlineStr">
        <is>
          <t>2015-09</t>
        </is>
      </c>
      <c r="J2332" t="n">
        <v>1</v>
      </c>
      <c r="K2332" t="n">
        <v>1</v>
      </c>
      <c r="L2332" s="34">
        <f>IF($J2332=1,LN(B2333/B2332),"")</f>
        <v/>
      </c>
      <c r="M2332" s="34">
        <f>IF($K2332=1,INDEX(Mensal!$D$2:$D$245,MATCH($I2332,Mensal!$A$2:$A$245,0)),"")</f>
        <v/>
      </c>
      <c r="N2332" s="34">
        <f>IF($K2332=1,L2332-M2332,"")</f>
        <v/>
      </c>
      <c r="O2332" s="34" t="n">
        <v>0.00052461</v>
      </c>
      <c r="P2332" s="34">
        <f>IF($J2332=1,LN(1+O2332),"")</f>
        <v/>
      </c>
      <c r="Q2332" s="34">
        <f>IF($J2332=1,LN(R2333/R2332),"")</f>
        <v/>
      </c>
      <c r="R2332" s="32" t="n">
        <v>3.8698</v>
      </c>
      <c r="S2332" s="35" t="n">
        <v>15.138</v>
      </c>
      <c r="T2332" s="18" t="n"/>
      <c r="U2332" s="18" t="n">
        <v>46400.5</v>
      </c>
      <c r="V2332" s="18" t="n"/>
      <c r="W2332" s="18" t="n"/>
      <c r="X2332" s="35" t="n">
        <v>15.138</v>
      </c>
      <c r="Y2332" s="35" t="n"/>
    </row>
    <row r="2333">
      <c r="A2333" s="25" t="n">
        <v>42261</v>
      </c>
      <c r="B2333" s="18" t="n">
        <v>47281.51</v>
      </c>
      <c r="C2333" s="31" t="n"/>
      <c r="D2333" s="32" t="n"/>
      <c r="E2333" s="33" t="n">
        <v>0.4564</v>
      </c>
      <c r="F2333" t="inlineStr">
        <is>
          <t>Up</t>
        </is>
      </c>
      <c r="G2333" t="inlineStr">
        <is>
          <t>Up</t>
        </is>
      </c>
      <c r="H2333" t="inlineStr">
        <is>
          <t>EU_JU</t>
        </is>
      </c>
      <c r="I2333" t="inlineStr">
        <is>
          <t>2015-09</t>
        </is>
      </c>
      <c r="J2333" t="n">
        <v>1</v>
      </c>
      <c r="K2333" t="n">
        <v>1</v>
      </c>
      <c r="L2333" s="34">
        <f>IF($J2333=1,LN(B2334/B2333),"")</f>
        <v/>
      </c>
      <c r="M2333" s="34">
        <f>IF($K2333=1,INDEX(Mensal!$D$2:$D$245,MATCH($I2333,Mensal!$A$2:$A$245,0)),"")</f>
        <v/>
      </c>
      <c r="N2333" s="34">
        <f>IF($K2333=1,L2333-M2333,"")</f>
        <v/>
      </c>
      <c r="O2333" s="34" t="n">
        <v>0.00052461</v>
      </c>
      <c r="P2333" s="34">
        <f>IF($J2333=1,LN(1+O2333),"")</f>
        <v/>
      </c>
      <c r="Q2333" s="34">
        <f>IF($J2333=1,LN(R2334/R2333),"")</f>
        <v/>
      </c>
      <c r="R2333" s="32" t="n">
        <v>3.8653</v>
      </c>
      <c r="S2333" s="35" t="n">
        <v>14.947</v>
      </c>
      <c r="T2333" s="18" t="n"/>
      <c r="U2333" s="18" t="n">
        <v>47281.51</v>
      </c>
      <c r="V2333" s="18" t="n"/>
      <c r="W2333" s="18" t="n"/>
      <c r="X2333" s="35" t="n">
        <v>14.947</v>
      </c>
      <c r="Y2333" s="35" t="n"/>
    </row>
    <row r="2334">
      <c r="A2334" s="25" t="n">
        <v>42262</v>
      </c>
      <c r="B2334" s="18" t="n">
        <v>47364.06</v>
      </c>
      <c r="C2334" s="31" t="n"/>
      <c r="D2334" s="32" t="n"/>
      <c r="E2334" s="33" t="n">
        <v>0.4332</v>
      </c>
      <c r="F2334" t="inlineStr">
        <is>
          <t>Up</t>
        </is>
      </c>
      <c r="G2334" t="inlineStr">
        <is>
          <t>Up</t>
        </is>
      </c>
      <c r="H2334" t="inlineStr">
        <is>
          <t>EU_JU</t>
        </is>
      </c>
      <c r="I2334" t="inlineStr">
        <is>
          <t>2015-09</t>
        </is>
      </c>
      <c r="J2334" t="n">
        <v>1</v>
      </c>
      <c r="K2334" t="n">
        <v>1</v>
      </c>
      <c r="L2334" s="34">
        <f>IF($J2334=1,LN(B2335/B2334),"")</f>
        <v/>
      </c>
      <c r="M2334" s="34">
        <f>IF($K2334=1,INDEX(Mensal!$D$2:$D$245,MATCH($I2334,Mensal!$A$2:$A$245,0)),"")</f>
        <v/>
      </c>
      <c r="N2334" s="34">
        <f>IF($K2334=1,L2334-M2334,"")</f>
        <v/>
      </c>
      <c r="O2334" s="34" t="n">
        <v>0.00052461</v>
      </c>
      <c r="P2334" s="34">
        <f>IF($J2334=1,LN(1+O2334),"")</f>
        <v/>
      </c>
      <c r="Q2334" s="34">
        <f>IF($J2334=1,LN(R2335/R2334),"")</f>
        <v/>
      </c>
      <c r="R2334" s="32" t="n">
        <v>3.8599</v>
      </c>
      <c r="S2334" s="35" t="n">
        <v>14.994</v>
      </c>
      <c r="T2334" s="18" t="n"/>
      <c r="U2334" s="18" t="n">
        <v>47364.06</v>
      </c>
      <c r="V2334" s="18" t="n"/>
      <c r="W2334" s="18" t="n"/>
      <c r="X2334" s="35" t="n">
        <v>14.994</v>
      </c>
      <c r="Y2334" s="35" t="n"/>
    </row>
    <row r="2335">
      <c r="A2335" s="25" t="n">
        <v>42263</v>
      </c>
      <c r="B2335" s="18" t="n">
        <v>48553.09</v>
      </c>
      <c r="C2335" s="31" t="n"/>
      <c r="D2335" s="32" t="n"/>
      <c r="E2335" s="33" t="n">
        <v>0.4163</v>
      </c>
      <c r="F2335" t="inlineStr">
        <is>
          <t>Up</t>
        </is>
      </c>
      <c r="G2335" t="inlineStr">
        <is>
          <t>Up</t>
        </is>
      </c>
      <c r="H2335" t="inlineStr">
        <is>
          <t>EU_JU</t>
        </is>
      </c>
      <c r="I2335" t="inlineStr">
        <is>
          <t>2015-09</t>
        </is>
      </c>
      <c r="J2335" t="n">
        <v>1</v>
      </c>
      <c r="K2335" t="n">
        <v>1</v>
      </c>
      <c r="L2335" s="34">
        <f>IF($J2335=1,LN(B2336/B2335),"")</f>
        <v/>
      </c>
      <c r="M2335" s="34">
        <f>IF($K2335=1,INDEX(Mensal!$D$2:$D$245,MATCH($I2335,Mensal!$A$2:$A$245,0)),"")</f>
        <v/>
      </c>
      <c r="N2335" s="34">
        <f>IF($K2335=1,L2335-M2335,"")</f>
        <v/>
      </c>
      <c r="O2335" s="34" t="n">
        <v>0.00052461</v>
      </c>
      <c r="P2335" s="34">
        <f>IF($J2335=1,LN(1+O2335),"")</f>
        <v/>
      </c>
      <c r="Q2335" s="34">
        <f>IF($J2335=1,LN(R2336/R2335),"")</f>
        <v/>
      </c>
      <c r="R2335" s="32" t="n">
        <v>3.8368</v>
      </c>
      <c r="S2335" s="35" t="n">
        <v>15.03</v>
      </c>
      <c r="T2335" s="18" t="n"/>
      <c r="U2335" s="18" t="n">
        <v>48553.09</v>
      </c>
      <c r="V2335" s="18" t="n"/>
      <c r="W2335" s="18" t="n"/>
      <c r="X2335" s="35" t="n">
        <v>15.03</v>
      </c>
      <c r="Y2335" s="35" t="n"/>
    </row>
    <row r="2336">
      <c r="A2336" s="25" t="n">
        <v>42264</v>
      </c>
      <c r="B2336" s="18" t="n">
        <v>48551.07</v>
      </c>
      <c r="C2336" s="31" t="n"/>
      <c r="D2336" s="32" t="n"/>
      <c r="E2336" s="33" t="n">
        <v>0.4028</v>
      </c>
      <c r="F2336" t="inlineStr">
        <is>
          <t>Up</t>
        </is>
      </c>
      <c r="G2336" t="inlineStr">
        <is>
          <t>Up</t>
        </is>
      </c>
      <c r="H2336" t="inlineStr">
        <is>
          <t>EU_JU</t>
        </is>
      </c>
      <c r="I2336" t="inlineStr">
        <is>
          <t>2015-09</t>
        </is>
      </c>
      <c r="J2336" t="n">
        <v>1</v>
      </c>
      <c r="K2336" t="n">
        <v>1</v>
      </c>
      <c r="L2336" s="34">
        <f>IF($J2336=1,LN(B2337/B2336),"")</f>
        <v/>
      </c>
      <c r="M2336" s="34">
        <f>IF($K2336=1,INDEX(Mensal!$D$2:$D$245,MATCH($I2336,Mensal!$A$2:$A$245,0)),"")</f>
        <v/>
      </c>
      <c r="N2336" s="34">
        <f>IF($K2336=1,L2336-M2336,"")</f>
        <v/>
      </c>
      <c r="O2336" s="34" t="n">
        <v>0.00052461</v>
      </c>
      <c r="P2336" s="34">
        <f>IF($J2336=1,LN(1+O2336),"")</f>
        <v/>
      </c>
      <c r="Q2336" s="34">
        <f>IF($J2336=1,LN(R2337/R2336),"")</f>
        <v/>
      </c>
      <c r="R2336" s="32" t="n">
        <v>3.8921</v>
      </c>
      <c r="S2336" s="35" t="n">
        <v>15.096</v>
      </c>
      <c r="T2336" s="18" t="n"/>
      <c r="U2336" s="18" t="n">
        <v>48551.07</v>
      </c>
      <c r="V2336" s="18" t="n"/>
      <c r="W2336" s="18" t="n"/>
      <c r="X2336" s="35" t="n">
        <v>15.096</v>
      </c>
      <c r="Y2336" s="35" t="n"/>
    </row>
    <row r="2337">
      <c r="A2337" s="25" t="n">
        <v>42265</v>
      </c>
      <c r="B2337" s="18" t="n">
        <v>47264.08</v>
      </c>
      <c r="C2337" s="31" t="n"/>
      <c r="D2337" s="32" t="n"/>
      <c r="E2337" s="33" t="n">
        <v>0.388</v>
      </c>
      <c r="F2337" t="inlineStr">
        <is>
          <t>Up</t>
        </is>
      </c>
      <c r="G2337" t="inlineStr">
        <is>
          <t>Up</t>
        </is>
      </c>
      <c r="H2337" t="inlineStr">
        <is>
          <t>EU_JU</t>
        </is>
      </c>
      <c r="I2337" t="inlineStr">
        <is>
          <t>2015-09</t>
        </is>
      </c>
      <c r="J2337" t="n">
        <v>1</v>
      </c>
      <c r="K2337" t="n">
        <v>1</v>
      </c>
      <c r="L2337" s="34">
        <f>IF($J2337=1,LN(B2338/B2337),"")</f>
        <v/>
      </c>
      <c r="M2337" s="34">
        <f>IF($K2337=1,INDEX(Mensal!$D$2:$D$245,MATCH($I2337,Mensal!$A$2:$A$245,0)),"")</f>
        <v/>
      </c>
      <c r="N2337" s="34">
        <f>IF($K2337=1,L2337-M2337,"")</f>
        <v/>
      </c>
      <c r="O2337" s="34" t="n">
        <v>0.00052461</v>
      </c>
      <c r="P2337" s="34">
        <f>IF($J2337=1,LN(1+O2337),"")</f>
        <v/>
      </c>
      <c r="Q2337" s="34">
        <f>IF($J2337=1,LN(R2338/R2337),"")</f>
        <v/>
      </c>
      <c r="R2337" s="32" t="n">
        <v>3.9021</v>
      </c>
      <c r="S2337" s="35" t="n">
        <v>15.416</v>
      </c>
      <c r="T2337" s="18" t="n"/>
      <c r="U2337" s="18" t="n">
        <v>47264.08</v>
      </c>
      <c r="V2337" s="18" t="n"/>
      <c r="W2337" s="18" t="n"/>
      <c r="X2337" s="35" t="n">
        <v>15.416</v>
      </c>
      <c r="Y2337" s="35" t="n"/>
    </row>
    <row r="2338">
      <c r="A2338" s="25" t="n">
        <v>42268</v>
      </c>
      <c r="B2338" s="18" t="n">
        <v>46590.19</v>
      </c>
      <c r="C2338" s="31" t="n"/>
      <c r="D2338" s="32" t="n"/>
      <c r="E2338" s="33" t="n">
        <v>0.3836</v>
      </c>
      <c r="F2338" t="inlineStr">
        <is>
          <t>Up</t>
        </is>
      </c>
      <c r="G2338" t="inlineStr">
        <is>
          <t>Up</t>
        </is>
      </c>
      <c r="H2338" t="inlineStr">
        <is>
          <t>EU_JU</t>
        </is>
      </c>
      <c r="I2338" t="inlineStr">
        <is>
          <t>2015-09</t>
        </is>
      </c>
      <c r="J2338" t="n">
        <v>1</v>
      </c>
      <c r="K2338" t="n">
        <v>1</v>
      </c>
      <c r="L2338" s="34">
        <f>IF($J2338=1,LN(B2339/B2338),"")</f>
        <v/>
      </c>
      <c r="M2338" s="34">
        <f>IF($K2338=1,INDEX(Mensal!$D$2:$D$245,MATCH($I2338,Mensal!$A$2:$A$245,0)),"")</f>
        <v/>
      </c>
      <c r="N2338" s="34">
        <f>IF($K2338=1,L2338-M2338,"")</f>
        <v/>
      </c>
      <c r="O2338" s="34" t="n">
        <v>0.00052461</v>
      </c>
      <c r="P2338" s="34">
        <f>IF($J2338=1,LN(1+O2338),"")</f>
        <v/>
      </c>
      <c r="Q2338" s="34">
        <f>IF($J2338=1,LN(R2339/R2338),"")</f>
        <v/>
      </c>
      <c r="R2338" s="32" t="n">
        <v>3.9821</v>
      </c>
      <c r="S2338" s="35" t="n">
        <v>15.521</v>
      </c>
      <c r="T2338" s="18" t="n"/>
      <c r="U2338" s="18" t="n">
        <v>46590.19</v>
      </c>
      <c r="V2338" s="18" t="n"/>
      <c r="W2338" s="18" t="n"/>
      <c r="X2338" s="35" t="n">
        <v>15.521</v>
      </c>
      <c r="Y2338" s="35" t="n"/>
    </row>
    <row r="2339">
      <c r="A2339" s="25" t="n">
        <v>42269</v>
      </c>
      <c r="B2339" s="18" t="n">
        <v>46264.6</v>
      </c>
      <c r="C2339" s="31" t="n"/>
      <c r="D2339" s="32" t="n"/>
      <c r="E2339" s="33" t="n">
        <v>0.3756</v>
      </c>
      <c r="F2339" t="inlineStr">
        <is>
          <t>Up</t>
        </is>
      </c>
      <c r="G2339" t="inlineStr">
        <is>
          <t>Up</t>
        </is>
      </c>
      <c r="H2339" t="inlineStr">
        <is>
          <t>EU_JU</t>
        </is>
      </c>
      <c r="I2339" t="inlineStr">
        <is>
          <t>2015-09</t>
        </is>
      </c>
      <c r="J2339" t="n">
        <v>1</v>
      </c>
      <c r="K2339" t="n">
        <v>1</v>
      </c>
      <c r="L2339" s="34">
        <f>IF($J2339=1,LN(B2340/B2339),"")</f>
        <v/>
      </c>
      <c r="M2339" s="34">
        <f>IF($K2339=1,INDEX(Mensal!$D$2:$D$245,MATCH($I2339,Mensal!$A$2:$A$245,0)),"")</f>
        <v/>
      </c>
      <c r="N2339" s="34">
        <f>IF($K2339=1,L2339-M2339,"")</f>
        <v/>
      </c>
      <c r="O2339" s="34" t="n">
        <v>0.00052461</v>
      </c>
      <c r="P2339" s="34">
        <f>IF($J2339=1,LN(1+O2339),"")</f>
        <v/>
      </c>
      <c r="Q2339" s="34">
        <f>IF($J2339=1,LN(R2340/R2339),"")</f>
        <v/>
      </c>
      <c r="R2339" s="32" t="n">
        <v>4.0425</v>
      </c>
      <c r="S2339" s="35" t="n">
        <v>15.654</v>
      </c>
      <c r="T2339" s="18" t="n"/>
      <c r="U2339" s="18" t="n">
        <v>46264.6</v>
      </c>
      <c r="V2339" s="18" t="n"/>
      <c r="W2339" s="18" t="n"/>
      <c r="X2339" s="35" t="n">
        <v>15.654</v>
      </c>
      <c r="Y2339" s="35" t="n"/>
    </row>
    <row r="2340">
      <c r="A2340" s="25" t="n">
        <v>42270</v>
      </c>
      <c r="B2340" s="18" t="n">
        <v>45340.11</v>
      </c>
      <c r="C2340" s="31" t="n"/>
      <c r="D2340" s="32" t="n"/>
      <c r="E2340" s="33" t="n">
        <v>0.3689</v>
      </c>
      <c r="F2340" t="inlineStr">
        <is>
          <t>Up</t>
        </is>
      </c>
      <c r="G2340" t="inlineStr">
        <is>
          <t>Up</t>
        </is>
      </c>
      <c r="H2340" t="inlineStr">
        <is>
          <t>EU_JU</t>
        </is>
      </c>
      <c r="I2340" t="inlineStr">
        <is>
          <t>2015-09</t>
        </is>
      </c>
      <c r="J2340" t="n">
        <v>1</v>
      </c>
      <c r="K2340" t="n">
        <v>1</v>
      </c>
      <c r="L2340" s="34">
        <f>IF($J2340=1,LN(B2341/B2340),"")</f>
        <v/>
      </c>
      <c r="M2340" s="34">
        <f>IF($K2340=1,INDEX(Mensal!$D$2:$D$245,MATCH($I2340,Mensal!$A$2:$A$245,0)),"")</f>
        <v/>
      </c>
      <c r="N2340" s="34">
        <f>IF($K2340=1,L2340-M2340,"")</f>
        <v/>
      </c>
      <c r="O2340" s="34" t="n">
        <v>0.00052461</v>
      </c>
      <c r="P2340" s="34">
        <f>IF($J2340=1,LN(1+O2340),"")</f>
        <v/>
      </c>
      <c r="Q2340" s="34">
        <f>IF($J2340=1,LN(R2341/R2340),"")</f>
        <v/>
      </c>
      <c r="R2340" s="32" t="n">
        <v>4.1041</v>
      </c>
      <c r="S2340" s="35" t="n">
        <v>16.234</v>
      </c>
      <c r="T2340" s="18" t="n"/>
      <c r="U2340" s="18" t="n">
        <v>45340.11</v>
      </c>
      <c r="V2340" s="18" t="n"/>
      <c r="W2340" s="18" t="n"/>
      <c r="X2340" s="35" t="n">
        <v>16.234</v>
      </c>
      <c r="Y2340" s="35" t="n"/>
    </row>
    <row r="2341">
      <c r="A2341" s="25" t="n">
        <v>42271</v>
      </c>
      <c r="B2341" s="18" t="n">
        <v>45291.96</v>
      </c>
      <c r="C2341" s="31" t="n"/>
      <c r="D2341" s="32" t="n"/>
      <c r="E2341" s="33" t="n">
        <v>0.37</v>
      </c>
      <c r="F2341" t="inlineStr">
        <is>
          <t>Up</t>
        </is>
      </c>
      <c r="G2341" t="inlineStr">
        <is>
          <t>Up</t>
        </is>
      </c>
      <c r="H2341" t="inlineStr">
        <is>
          <t>EU_JU</t>
        </is>
      </c>
      <c r="I2341" t="inlineStr">
        <is>
          <t>2015-09</t>
        </is>
      </c>
      <c r="J2341" t="n">
        <v>1</v>
      </c>
      <c r="K2341" t="n">
        <v>1</v>
      </c>
      <c r="L2341" s="34">
        <f>IF($J2341=1,LN(B2342/B2341),"")</f>
        <v/>
      </c>
      <c r="M2341" s="34">
        <f>IF($K2341=1,INDEX(Mensal!$D$2:$D$245,MATCH($I2341,Mensal!$A$2:$A$245,0)),"")</f>
        <v/>
      </c>
      <c r="N2341" s="34">
        <f>IF($K2341=1,L2341-M2341,"")</f>
        <v/>
      </c>
      <c r="O2341" s="34" t="n">
        <v>0.00052461</v>
      </c>
      <c r="P2341" s="34">
        <f>IF($J2341=1,LN(1+O2341),"")</f>
        <v/>
      </c>
      <c r="Q2341" s="34">
        <f>IF($J2341=1,LN(R2342/R2341),"")</f>
        <v/>
      </c>
      <c r="R2341" s="32" t="n">
        <v>4.1949</v>
      </c>
      <c r="S2341" s="35" t="n">
        <v>15.482</v>
      </c>
      <c r="T2341" s="18" t="n"/>
      <c r="U2341" s="18" t="n">
        <v>45291.96</v>
      </c>
      <c r="V2341" s="18" t="n"/>
      <c r="W2341" s="18" t="n"/>
      <c r="X2341" s="35" t="n">
        <v>15.482</v>
      </c>
      <c r="Y2341" s="35" t="n"/>
    </row>
    <row r="2342">
      <c r="A2342" s="25" t="n">
        <v>42272</v>
      </c>
      <c r="B2342" s="18" t="n">
        <v>44831.46</v>
      </c>
      <c r="C2342" s="31" t="n"/>
      <c r="D2342" s="32" t="n"/>
      <c r="E2342" s="33" t="n">
        <v>0.3686</v>
      </c>
      <c r="F2342" t="inlineStr">
        <is>
          <t>Up</t>
        </is>
      </c>
      <c r="G2342" t="inlineStr">
        <is>
          <t>Up</t>
        </is>
      </c>
      <c r="H2342" t="inlineStr">
        <is>
          <t>EU_JU</t>
        </is>
      </c>
      <c r="I2342" t="inlineStr">
        <is>
          <t>2015-09</t>
        </is>
      </c>
      <c r="J2342" t="n">
        <v>1</v>
      </c>
      <c r="K2342" t="n">
        <v>1</v>
      </c>
      <c r="L2342" s="34">
        <f>IF($J2342=1,LN(B2343/B2342),"")</f>
        <v/>
      </c>
      <c r="M2342" s="34">
        <f>IF($K2342=1,INDEX(Mensal!$D$2:$D$245,MATCH($I2342,Mensal!$A$2:$A$245,0)),"")</f>
        <v/>
      </c>
      <c r="N2342" s="34">
        <f>IF($K2342=1,L2342-M2342,"")</f>
        <v/>
      </c>
      <c r="O2342" s="34" t="n">
        <v>0.00052461</v>
      </c>
      <c r="P2342" s="34">
        <f>IF($J2342=1,LN(1+O2342),"")</f>
        <v/>
      </c>
      <c r="Q2342" s="34">
        <f>IF($J2342=1,LN(R2343/R2342),"")</f>
        <v/>
      </c>
      <c r="R2342" s="32" t="n">
        <v>3.9479</v>
      </c>
      <c r="S2342" s="35" t="n">
        <v>15.511</v>
      </c>
      <c r="T2342" s="18" t="n"/>
      <c r="U2342" s="18" t="n">
        <v>44831.46</v>
      </c>
      <c r="V2342" s="18" t="n"/>
      <c r="W2342" s="18" t="n"/>
      <c r="X2342" s="35" t="n">
        <v>15.511</v>
      </c>
      <c r="Y2342" s="35" t="n"/>
    </row>
    <row r="2343">
      <c r="A2343" s="25" t="n">
        <v>42275</v>
      </c>
      <c r="B2343" s="18" t="n">
        <v>43956.62</v>
      </c>
      <c r="C2343" s="31" t="n"/>
      <c r="D2343" s="32" t="n"/>
      <c r="E2343" s="33" t="n">
        <v>0.361</v>
      </c>
      <c r="F2343" t="inlineStr">
        <is>
          <t>Up</t>
        </is>
      </c>
      <c r="G2343" t="inlineStr">
        <is>
          <t>Up</t>
        </is>
      </c>
      <c r="H2343" t="inlineStr">
        <is>
          <t>EU_JU</t>
        </is>
      </c>
      <c r="I2343" t="inlineStr">
        <is>
          <t>2015-09</t>
        </is>
      </c>
      <c r="J2343" t="n">
        <v>1</v>
      </c>
      <c r="K2343" t="n">
        <v>1</v>
      </c>
      <c r="L2343" s="34">
        <f>IF($J2343=1,LN(B2344/B2343),"")</f>
        <v/>
      </c>
      <c r="M2343" s="34">
        <f>IF($K2343=1,INDEX(Mensal!$D$2:$D$245,MATCH($I2343,Mensal!$A$2:$A$245,0)),"")</f>
        <v/>
      </c>
      <c r="N2343" s="34">
        <f>IF($K2343=1,L2343-M2343,"")</f>
        <v/>
      </c>
      <c r="O2343" s="34" t="n">
        <v>0.00052461</v>
      </c>
      <c r="P2343" s="34">
        <f>IF($J2343=1,LN(1+O2343),"")</f>
        <v/>
      </c>
      <c r="Q2343" s="34">
        <f>IF($J2343=1,LN(R2344/R2343),"")</f>
        <v/>
      </c>
      <c r="R2343" s="32" t="n">
        <v>4.0099</v>
      </c>
      <c r="S2343" s="35" t="n">
        <v>15.99</v>
      </c>
      <c r="T2343" s="18" t="n"/>
      <c r="U2343" s="18" t="n">
        <v>43956.62</v>
      </c>
      <c r="V2343" s="18" t="n"/>
      <c r="W2343" s="18" t="n"/>
      <c r="X2343" s="35" t="n">
        <v>15.99</v>
      </c>
      <c r="Y2343" s="35" t="n"/>
    </row>
    <row r="2344">
      <c r="A2344" s="25" t="n">
        <v>42276</v>
      </c>
      <c r="B2344" s="18" t="n">
        <v>44131.82</v>
      </c>
      <c r="C2344" s="31" t="n"/>
      <c r="D2344" s="32" t="n"/>
      <c r="E2344" s="33" t="n">
        <v>0.3558</v>
      </c>
      <c r="F2344" t="inlineStr">
        <is>
          <t>Up</t>
        </is>
      </c>
      <c r="G2344" t="inlineStr">
        <is>
          <t>Up</t>
        </is>
      </c>
      <c r="H2344" t="inlineStr">
        <is>
          <t>EU_JU</t>
        </is>
      </c>
      <c r="I2344" t="inlineStr">
        <is>
          <t>2015-09</t>
        </is>
      </c>
      <c r="J2344" t="n">
        <v>1</v>
      </c>
      <c r="K2344" t="n">
        <v>1</v>
      </c>
      <c r="L2344" s="34">
        <f>IF($J2344=1,LN(B2345/B2344),"")</f>
        <v/>
      </c>
      <c r="M2344" s="34">
        <f>IF($K2344=1,INDEX(Mensal!$D$2:$D$245,MATCH($I2344,Mensal!$A$2:$A$245,0)),"")</f>
        <v/>
      </c>
      <c r="N2344" s="34">
        <f>IF($K2344=1,L2344-M2344,"")</f>
        <v/>
      </c>
      <c r="O2344" s="34" t="n">
        <v>0.00052461</v>
      </c>
      <c r="P2344" s="34">
        <f>IF($J2344=1,LN(1+O2344),"")</f>
        <v/>
      </c>
      <c r="Q2344" s="34">
        <f>IF($J2344=1,LN(R2345/R2344),"")</f>
        <v/>
      </c>
      <c r="R2344" s="32" t="n">
        <v>4.1172</v>
      </c>
      <c r="S2344" s="35" t="n">
        <v>15.778</v>
      </c>
      <c r="T2344" s="18" t="n"/>
      <c r="U2344" s="18" t="n">
        <v>44131.82</v>
      </c>
      <c r="V2344" s="18" t="n"/>
      <c r="W2344" s="18" t="n"/>
      <c r="X2344" s="35" t="n">
        <v>15.778</v>
      </c>
      <c r="Y2344" s="35" t="n"/>
    </row>
    <row r="2345">
      <c r="A2345" s="25" t="n">
        <v>42277</v>
      </c>
      <c r="B2345" s="18" t="n">
        <v>45059.34</v>
      </c>
      <c r="C2345" s="31" t="n"/>
      <c r="D2345" s="32" t="n"/>
      <c r="E2345" s="33" t="n">
        <v>0.3221</v>
      </c>
      <c r="F2345" t="inlineStr">
        <is>
          <t>Up</t>
        </is>
      </c>
      <c r="G2345" t="inlineStr">
        <is>
          <t>Up</t>
        </is>
      </c>
      <c r="H2345" t="inlineStr">
        <is>
          <t>EU_JU</t>
        </is>
      </c>
      <c r="I2345" t="inlineStr">
        <is>
          <t>2015-09</t>
        </is>
      </c>
      <c r="J2345" t="n">
        <v>1</v>
      </c>
      <c r="K2345" t="n">
        <v>1</v>
      </c>
      <c r="L2345" s="34">
        <f>IF($J2345=1,LN(B2346/B2345),"")</f>
        <v/>
      </c>
      <c r="M2345" s="34">
        <f>IF($K2345=1,INDEX(Mensal!$D$2:$D$245,MATCH($I2345,Mensal!$A$2:$A$245,0)),"")</f>
        <v/>
      </c>
      <c r="N2345" s="34">
        <f>IF($K2345=1,L2345-M2345,"")</f>
        <v/>
      </c>
      <c r="O2345" s="34" t="n">
        <v>0.00052461</v>
      </c>
      <c r="P2345" s="34">
        <f>IF($J2345=1,LN(1+O2345),"")</f>
        <v/>
      </c>
      <c r="Q2345" s="34">
        <f>IF($J2345=1,LN(R2346/R2345),"")</f>
        <v/>
      </c>
      <c r="R2345" s="32" t="n">
        <v>3.9729</v>
      </c>
      <c r="S2345" s="35" t="n">
        <v>15.561</v>
      </c>
      <c r="T2345" s="18" t="n"/>
      <c r="U2345" s="18" t="n">
        <v>45059.34</v>
      </c>
      <c r="V2345" s="18" t="n"/>
      <c r="W2345" s="18" t="n"/>
      <c r="X2345" s="35" t="n">
        <v>15.561</v>
      </c>
      <c r="Y2345" s="35" t="n"/>
    </row>
    <row r="2346">
      <c r="A2346" s="25" t="n">
        <v>42278</v>
      </c>
      <c r="B2346" s="18" t="n">
        <v>45313.27</v>
      </c>
      <c r="C2346" s="31" t="n"/>
      <c r="D2346" s="32" t="n"/>
      <c r="E2346" s="33" t="n">
        <v>0.2907</v>
      </c>
      <c r="F2346" t="inlineStr">
        <is>
          <t>Up</t>
        </is>
      </c>
      <c r="G2346" t="inlineStr">
        <is>
          <t>Up</t>
        </is>
      </c>
      <c r="H2346" t="inlineStr">
        <is>
          <t>EU_JU</t>
        </is>
      </c>
      <c r="I2346" t="inlineStr">
        <is>
          <t>2015-10</t>
        </is>
      </c>
      <c r="J2346" t="n">
        <v>1</v>
      </c>
      <c r="K2346" t="n">
        <v>1</v>
      </c>
      <c r="L2346" s="34">
        <f>IF($J2346=1,LN(B2347/B2346),"")</f>
        <v/>
      </c>
      <c r="M2346" s="34">
        <f>IF($K2346=1,INDEX(Mensal!$D$2:$D$245,MATCH($I2346,Mensal!$A$2:$A$245,0)),"")</f>
        <v/>
      </c>
      <c r="N2346" s="34">
        <f>IF($K2346=1,L2346-M2346,"")</f>
        <v/>
      </c>
      <c r="O2346" s="34" t="n">
        <v>0.00052461</v>
      </c>
      <c r="P2346" s="34">
        <f>IF($J2346=1,LN(1+O2346),"")</f>
        <v/>
      </c>
      <c r="Q2346" s="34">
        <f>IF($J2346=1,LN(R2347/R2346),"")</f>
        <v/>
      </c>
      <c r="R2346" s="32" t="n">
        <v>3.9794</v>
      </c>
      <c r="S2346" s="35" t="n">
        <v>15.693</v>
      </c>
      <c r="T2346" s="18" t="n"/>
      <c r="U2346" s="18" t="n">
        <v>45313.27</v>
      </c>
      <c r="V2346" s="18" t="n"/>
      <c r="W2346" s="18" t="n"/>
      <c r="X2346" s="35" t="n">
        <v>15.693</v>
      </c>
      <c r="Y2346" s="35" t="n"/>
    </row>
    <row r="2347">
      <c r="A2347" s="25" t="n">
        <v>42279</v>
      </c>
      <c r="B2347" s="18" t="n">
        <v>47033.46</v>
      </c>
      <c r="C2347" s="31" t="n"/>
      <c r="D2347" s="32" t="n"/>
      <c r="E2347" s="33" t="n">
        <v>0.2606</v>
      </c>
      <c r="F2347" t="inlineStr">
        <is>
          <t>Up</t>
        </is>
      </c>
      <c r="G2347" t="inlineStr">
        <is>
          <t>Up</t>
        </is>
      </c>
      <c r="H2347" t="inlineStr">
        <is>
          <t>EU_JU</t>
        </is>
      </c>
      <c r="I2347" t="inlineStr">
        <is>
          <t>2015-10</t>
        </is>
      </c>
      <c r="J2347" t="n">
        <v>1</v>
      </c>
      <c r="K2347" t="n">
        <v>1</v>
      </c>
      <c r="L2347" s="34">
        <f>IF($J2347=1,LN(B2348/B2347),"")</f>
        <v/>
      </c>
      <c r="M2347" s="34">
        <f>IF($K2347=1,INDEX(Mensal!$D$2:$D$245,MATCH($I2347,Mensal!$A$2:$A$245,0)),"")</f>
        <v/>
      </c>
      <c r="N2347" s="34">
        <f>IF($K2347=1,L2347-M2347,"")</f>
        <v/>
      </c>
      <c r="O2347" s="34" t="n">
        <v>0.00052461</v>
      </c>
      <c r="P2347" s="34">
        <f>IF($J2347=1,LN(1+O2347),"")</f>
        <v/>
      </c>
      <c r="Q2347" s="34">
        <f>IF($J2347=1,LN(R2348/R2347),"")</f>
        <v/>
      </c>
      <c r="R2347" s="32" t="n">
        <v>4.001</v>
      </c>
      <c r="S2347" s="35" t="n">
        <v>15.382</v>
      </c>
      <c r="T2347" s="18" t="n"/>
      <c r="U2347" s="18" t="n">
        <v>47033.46</v>
      </c>
      <c r="V2347" s="18" t="n"/>
      <c r="W2347" s="18" t="n"/>
      <c r="X2347" s="35" t="n">
        <v>15.382</v>
      </c>
      <c r="Y2347" s="35" t="n"/>
    </row>
    <row r="2348">
      <c r="A2348" s="25" t="n">
        <v>42282</v>
      </c>
      <c r="B2348" s="18" t="n">
        <v>47598.06</v>
      </c>
      <c r="C2348" s="31" t="n"/>
      <c r="D2348" s="32" t="n"/>
      <c r="E2348" s="33" t="n">
        <v>0.2297</v>
      </c>
      <c r="F2348" t="inlineStr">
        <is>
          <t>Up</t>
        </is>
      </c>
      <c r="G2348" t="inlineStr">
        <is>
          <t>Up</t>
        </is>
      </c>
      <c r="H2348" t="inlineStr">
        <is>
          <t>EU_JU</t>
        </is>
      </c>
      <c r="I2348" t="inlineStr">
        <is>
          <t>2015-10</t>
        </is>
      </c>
      <c r="J2348" t="n">
        <v>1</v>
      </c>
      <c r="K2348" t="n">
        <v>1</v>
      </c>
      <c r="L2348" s="34">
        <f>IF($J2348=1,LN(B2349/B2348),"")</f>
        <v/>
      </c>
      <c r="M2348" s="34">
        <f>IF($K2348=1,INDEX(Mensal!$D$2:$D$245,MATCH($I2348,Mensal!$A$2:$A$245,0)),"")</f>
        <v/>
      </c>
      <c r="N2348" s="34">
        <f>IF($K2348=1,L2348-M2348,"")</f>
        <v/>
      </c>
      <c r="O2348" s="34" t="n">
        <v>0.00052461</v>
      </c>
      <c r="P2348" s="34">
        <f>IF($J2348=1,LN(1+O2348),"")</f>
        <v/>
      </c>
      <c r="Q2348" s="34">
        <f>IF($J2348=1,LN(R2349/R2348),"")</f>
        <v/>
      </c>
      <c r="R2348" s="32" t="n">
        <v>3.9141</v>
      </c>
      <c r="S2348" s="35" t="n">
        <v>15.347</v>
      </c>
      <c r="T2348" s="18" t="n"/>
      <c r="U2348" s="18" t="n">
        <v>47598.06</v>
      </c>
      <c r="V2348" s="18" t="n"/>
      <c r="W2348" s="18" t="n"/>
      <c r="X2348" s="35" t="n">
        <v>15.347</v>
      </c>
      <c r="Y2348" s="35" t="n"/>
    </row>
    <row r="2349">
      <c r="A2349" s="25" t="n">
        <v>42283</v>
      </c>
      <c r="B2349" s="18" t="n">
        <v>47735.11</v>
      </c>
      <c r="C2349" s="31" t="n"/>
      <c r="D2349" s="32" t="n"/>
      <c r="E2349" s="33" t="n">
        <v>0.1894</v>
      </c>
      <c r="F2349" t="inlineStr">
        <is>
          <t>Up</t>
        </is>
      </c>
      <c r="G2349" t="inlineStr">
        <is>
          <t>Up</t>
        </is>
      </c>
      <c r="H2349" t="inlineStr">
        <is>
          <t>EU_JU</t>
        </is>
      </c>
      <c r="I2349" t="inlineStr">
        <is>
          <t>2015-10</t>
        </is>
      </c>
      <c r="J2349" t="n">
        <v>1</v>
      </c>
      <c r="K2349" t="n">
        <v>1</v>
      </c>
      <c r="L2349" s="34">
        <f>IF($J2349=1,LN(B2350/B2349),"")</f>
        <v/>
      </c>
      <c r="M2349" s="34">
        <f>IF($K2349=1,INDEX(Mensal!$D$2:$D$245,MATCH($I2349,Mensal!$A$2:$A$245,0)),"")</f>
        <v/>
      </c>
      <c r="N2349" s="34">
        <f>IF($K2349=1,L2349-M2349,"")</f>
        <v/>
      </c>
      <c r="O2349" s="34" t="n">
        <v>0.00052461</v>
      </c>
      <c r="P2349" s="34">
        <f>IF($J2349=1,LN(1+O2349),"")</f>
        <v/>
      </c>
      <c r="Q2349" s="34">
        <f>IF($J2349=1,LN(R2350/R2349),"")</f>
        <v/>
      </c>
      <c r="R2349" s="32" t="n">
        <v>3.8567</v>
      </c>
      <c r="S2349" s="35" t="n">
        <v>15.204</v>
      </c>
      <c r="T2349" s="18" t="n"/>
      <c r="U2349" s="18" t="n">
        <v>47735.11</v>
      </c>
      <c r="V2349" s="18" t="n"/>
      <c r="W2349" s="18" t="n"/>
      <c r="X2349" s="35" t="n">
        <v>15.204</v>
      </c>
      <c r="Y2349" s="35" t="n"/>
    </row>
    <row r="2350">
      <c r="A2350" s="25" t="n">
        <v>42284</v>
      </c>
      <c r="B2350" s="18" t="n">
        <v>48914.32</v>
      </c>
      <c r="C2350" s="31" t="n"/>
      <c r="D2350" s="32" t="n"/>
      <c r="E2350" s="33" t="n">
        <v>0.1524</v>
      </c>
      <c r="F2350" t="inlineStr">
        <is>
          <t>Up</t>
        </is>
      </c>
      <c r="G2350" t="inlineStr">
        <is>
          <t>Up</t>
        </is>
      </c>
      <c r="H2350" t="inlineStr">
        <is>
          <t>EU_JU</t>
        </is>
      </c>
      <c r="I2350" t="inlineStr">
        <is>
          <t>2015-10</t>
        </is>
      </c>
      <c r="J2350" t="n">
        <v>1</v>
      </c>
      <c r="K2350" t="n">
        <v>1</v>
      </c>
      <c r="L2350" s="34">
        <f>IF($J2350=1,LN(B2351/B2350),"")</f>
        <v/>
      </c>
      <c r="M2350" s="34">
        <f>IF($K2350=1,INDEX(Mensal!$D$2:$D$245,MATCH($I2350,Mensal!$A$2:$A$245,0)),"")</f>
        <v/>
      </c>
      <c r="N2350" s="34">
        <f>IF($K2350=1,L2350-M2350,"")</f>
        <v/>
      </c>
      <c r="O2350" s="34" t="n">
        <v>0.00052461</v>
      </c>
      <c r="P2350" s="34">
        <f>IF($J2350=1,LN(1+O2350),"")</f>
        <v/>
      </c>
      <c r="Q2350" s="34">
        <f>IF($J2350=1,LN(R2351/R2350),"")</f>
        <v/>
      </c>
      <c r="R2350" s="32" t="n">
        <v>3.806</v>
      </c>
      <c r="S2350" s="35" t="n">
        <v>15.395</v>
      </c>
      <c r="T2350" s="18" t="n"/>
      <c r="U2350" s="18" t="n">
        <v>48914.32</v>
      </c>
      <c r="V2350" s="18" t="n"/>
      <c r="W2350" s="18" t="n"/>
      <c r="X2350" s="35" t="n">
        <v>15.395</v>
      </c>
      <c r="Y2350" s="35" t="n"/>
    </row>
    <row r="2351">
      <c r="A2351" s="25" t="n">
        <v>42285</v>
      </c>
      <c r="B2351" s="18" t="n">
        <v>49106.55</v>
      </c>
      <c r="C2351" s="31" t="n"/>
      <c r="D2351" s="32" t="n"/>
      <c r="E2351" s="33" t="n">
        <v>0.1176</v>
      </c>
      <c r="F2351" t="inlineStr">
        <is>
          <t>Up</t>
        </is>
      </c>
      <c r="G2351" t="inlineStr">
        <is>
          <t>Up</t>
        </is>
      </c>
      <c r="H2351" t="inlineStr">
        <is>
          <t>EU_JU</t>
        </is>
      </c>
      <c r="I2351" t="inlineStr">
        <is>
          <t>2015-10</t>
        </is>
      </c>
      <c r="J2351" t="n">
        <v>1</v>
      </c>
      <c r="K2351" t="n">
        <v>1</v>
      </c>
      <c r="L2351" s="34">
        <f>IF($J2351=1,LN(B2352/B2351),"")</f>
        <v/>
      </c>
      <c r="M2351" s="34">
        <f>IF($K2351=1,INDEX(Mensal!$D$2:$D$245,MATCH($I2351,Mensal!$A$2:$A$245,0)),"")</f>
        <v/>
      </c>
      <c r="N2351" s="34">
        <f>IF($K2351=1,L2351-M2351,"")</f>
        <v/>
      </c>
      <c r="O2351" s="34" t="n">
        <v>0.00052461</v>
      </c>
      <c r="P2351" s="34">
        <f>IF($J2351=1,LN(1+O2351),"")</f>
        <v/>
      </c>
      <c r="Q2351" s="34">
        <f>IF($J2351=1,LN(R2352/R2351),"")</f>
        <v/>
      </c>
      <c r="R2351" s="32" t="n">
        <v>3.8517</v>
      </c>
      <c r="S2351" s="35" t="n">
        <v>15.215</v>
      </c>
      <c r="T2351" s="18" t="n"/>
      <c r="U2351" s="18" t="n">
        <v>49106.55</v>
      </c>
      <c r="V2351" s="18" t="n"/>
      <c r="W2351" s="18" t="n"/>
      <c r="X2351" s="35" t="n">
        <v>15.215</v>
      </c>
      <c r="Y2351" s="35" t="n"/>
    </row>
    <row r="2352">
      <c r="A2352" s="25" t="n">
        <v>42286</v>
      </c>
      <c r="B2352" s="18" t="n">
        <v>49338.41</v>
      </c>
      <c r="C2352" s="31" t="n"/>
      <c r="D2352" s="32" t="n"/>
      <c r="E2352" s="33" t="n">
        <v>0.0857</v>
      </c>
      <c r="F2352" t="inlineStr">
        <is>
          <t>Up</t>
        </is>
      </c>
      <c r="G2352" t="inlineStr">
        <is>
          <t>Up</t>
        </is>
      </c>
      <c r="H2352" t="inlineStr">
        <is>
          <t>EU_JU</t>
        </is>
      </c>
      <c r="I2352" t="inlineStr">
        <is>
          <t>2015-10</t>
        </is>
      </c>
      <c r="J2352" t="n">
        <v>1</v>
      </c>
      <c r="K2352" t="n">
        <v>1</v>
      </c>
      <c r="L2352" s="34">
        <f>IF($J2352=1,LN(B2353/B2352),"")</f>
        <v/>
      </c>
      <c r="M2352" s="34">
        <f>IF($K2352=1,INDEX(Mensal!$D$2:$D$245,MATCH($I2352,Mensal!$A$2:$A$245,0)),"")</f>
        <v/>
      </c>
      <c r="N2352" s="34">
        <f>IF($K2352=1,L2352-M2352,"")</f>
        <v/>
      </c>
      <c r="O2352" s="34" t="n">
        <v>0.00052461</v>
      </c>
      <c r="P2352" s="34">
        <f>IF($J2352=1,LN(1+O2352),"")</f>
        <v/>
      </c>
      <c r="Q2352" s="34">
        <f>IF($J2352=1,LN(R2353/R2352),"")</f>
        <v/>
      </c>
      <c r="R2352" s="32" t="n">
        <v>3.7386</v>
      </c>
      <c r="S2352" s="35" t="n">
        <v>15.45</v>
      </c>
      <c r="T2352" s="18" t="n"/>
      <c r="U2352" s="18" t="n">
        <v>49338.41</v>
      </c>
      <c r="V2352" s="18" t="n"/>
      <c r="W2352" s="18" t="n"/>
      <c r="X2352" s="35" t="n">
        <v>15.45</v>
      </c>
      <c r="Y2352" s="35" t="n"/>
    </row>
    <row r="2353">
      <c r="A2353" s="25" t="n">
        <v>42290</v>
      </c>
      <c r="B2353" s="18" t="n">
        <v>47362.63</v>
      </c>
      <c r="C2353" s="31" t="n"/>
      <c r="D2353" s="32" t="n"/>
      <c r="E2353" s="33" t="n">
        <v>0.0559</v>
      </c>
      <c r="F2353" t="inlineStr">
        <is>
          <t>Up</t>
        </is>
      </c>
      <c r="G2353" t="inlineStr">
        <is>
          <t>Up</t>
        </is>
      </c>
      <c r="H2353" t="inlineStr">
        <is>
          <t>EU_JU</t>
        </is>
      </c>
      <c r="I2353" t="inlineStr">
        <is>
          <t>2015-10</t>
        </is>
      </c>
      <c r="J2353" t="n">
        <v>1</v>
      </c>
      <c r="K2353" t="n">
        <v>1</v>
      </c>
      <c r="L2353" s="34">
        <f>IF($J2353=1,LN(B2354/B2353),"")</f>
        <v/>
      </c>
      <c r="M2353" s="34">
        <f>IF($K2353=1,INDEX(Mensal!$D$2:$D$245,MATCH($I2353,Mensal!$A$2:$A$245,0)),"")</f>
        <v/>
      </c>
      <c r="N2353" s="34">
        <f>IF($K2353=1,L2353-M2353,"")</f>
        <v/>
      </c>
      <c r="O2353" s="34" t="n">
        <v>0.00052461</v>
      </c>
      <c r="P2353" s="34">
        <f>IF($J2353=1,LN(1+O2353),"")</f>
        <v/>
      </c>
      <c r="Q2353" s="34">
        <f>IF($J2353=1,LN(R2354/R2353),"")</f>
        <v/>
      </c>
      <c r="R2353" s="32" t="n">
        <v>3.825</v>
      </c>
      <c r="S2353" s="35" t="n">
        <v>15.653</v>
      </c>
      <c r="T2353" s="18" t="n"/>
      <c r="U2353" s="18" t="n">
        <v>47362.63</v>
      </c>
      <c r="V2353" s="18" t="n"/>
      <c r="W2353" s="18" t="n"/>
      <c r="X2353" s="35" t="n">
        <v>15.653</v>
      </c>
      <c r="Y2353" s="35" t="n"/>
    </row>
    <row r="2354">
      <c r="A2354" s="25" t="n">
        <v>42291</v>
      </c>
      <c r="B2354" s="18" t="n">
        <v>46710.43</v>
      </c>
      <c r="C2354" s="31" t="n"/>
      <c r="D2354" s="32" t="n"/>
      <c r="E2354" s="33" t="n">
        <v>0.0312</v>
      </c>
      <c r="F2354" t="inlineStr">
        <is>
          <t>Up</t>
        </is>
      </c>
      <c r="G2354" t="inlineStr">
        <is>
          <t>Up</t>
        </is>
      </c>
      <c r="H2354" t="inlineStr">
        <is>
          <t>EU_JU</t>
        </is>
      </c>
      <c r="I2354" t="inlineStr">
        <is>
          <t>2015-10</t>
        </is>
      </c>
      <c r="J2354" t="n">
        <v>1</v>
      </c>
      <c r="K2354" t="n">
        <v>1</v>
      </c>
      <c r="L2354" s="34">
        <f>IF($J2354=1,LN(B2355/B2354),"")</f>
        <v/>
      </c>
      <c r="M2354" s="34">
        <f>IF($K2354=1,INDEX(Mensal!$D$2:$D$245,MATCH($I2354,Mensal!$A$2:$A$245,0)),"")</f>
        <v/>
      </c>
      <c r="N2354" s="34">
        <f>IF($K2354=1,L2354-M2354,"")</f>
        <v/>
      </c>
      <c r="O2354" s="34" t="n">
        <v>0.00052461</v>
      </c>
      <c r="P2354" s="34">
        <f>IF($J2354=1,LN(1+O2354),"")</f>
        <v/>
      </c>
      <c r="Q2354" s="34">
        <f>IF($J2354=1,LN(R2355/R2354),"")</f>
        <v/>
      </c>
      <c r="R2354" s="32" t="n">
        <v>3.8507</v>
      </c>
      <c r="S2354" s="35" t="n">
        <v>15.531</v>
      </c>
      <c r="T2354" s="18" t="n"/>
      <c r="U2354" s="18" t="n">
        <v>46710.43</v>
      </c>
      <c r="V2354" s="18" t="n"/>
      <c r="W2354" s="18" t="n"/>
      <c r="X2354" s="35" t="n">
        <v>15.531</v>
      </c>
      <c r="Y2354" s="35" t="n"/>
    </row>
    <row r="2355">
      <c r="A2355" s="25" t="n">
        <v>42292</v>
      </c>
      <c r="B2355" s="18" t="n">
        <v>47161.15</v>
      </c>
      <c r="C2355" s="31" t="n"/>
      <c r="D2355" s="32" t="n"/>
      <c r="E2355" s="33" t="n">
        <v>0.0007</v>
      </c>
      <c r="F2355" t="inlineStr">
        <is>
          <t>Up</t>
        </is>
      </c>
      <c r="G2355" t="inlineStr">
        <is>
          <t>Up</t>
        </is>
      </c>
      <c r="H2355" t="inlineStr">
        <is>
          <t>EU_JU</t>
        </is>
      </c>
      <c r="I2355" t="inlineStr">
        <is>
          <t>2015-10</t>
        </is>
      </c>
      <c r="J2355" t="n">
        <v>1</v>
      </c>
      <c r="K2355" t="n">
        <v>1</v>
      </c>
      <c r="L2355" s="34">
        <f>IF($J2355=1,LN(B2356/B2355),"")</f>
        <v/>
      </c>
      <c r="M2355" s="34">
        <f>IF($K2355=1,INDEX(Mensal!$D$2:$D$245,MATCH($I2355,Mensal!$A$2:$A$245,0)),"")</f>
        <v/>
      </c>
      <c r="N2355" s="34">
        <f>IF($K2355=1,L2355-M2355,"")</f>
        <v/>
      </c>
      <c r="O2355" s="34" t="n">
        <v>0.00052461</v>
      </c>
      <c r="P2355" s="34">
        <f>IF($J2355=1,LN(1+O2355),"")</f>
        <v/>
      </c>
      <c r="Q2355" s="34">
        <f>IF($J2355=1,LN(R2356/R2355),"")</f>
        <v/>
      </c>
      <c r="R2355" s="32" t="n">
        <v>3.8344</v>
      </c>
      <c r="S2355" s="35" t="n">
        <v>15.298</v>
      </c>
      <c r="T2355" s="18" t="n"/>
      <c r="U2355" s="18" t="n">
        <v>47161.15</v>
      </c>
      <c r="V2355" s="18" t="n"/>
      <c r="W2355" s="18" t="n"/>
      <c r="X2355" s="35" t="n">
        <v>15.298</v>
      </c>
      <c r="Y2355" s="35" t="n"/>
    </row>
    <row r="2356">
      <c r="A2356" s="25" t="n">
        <v>42293</v>
      </c>
      <c r="B2356" s="18" t="n">
        <v>47236.1</v>
      </c>
      <c r="C2356" s="31" t="n"/>
      <c r="D2356" s="32" t="n"/>
      <c r="E2356" s="33" t="n">
        <v>-0.0158</v>
      </c>
      <c r="F2356" t="inlineStr">
        <is>
          <t>Up</t>
        </is>
      </c>
      <c r="G2356" t="inlineStr">
        <is>
          <t>Up</t>
        </is>
      </c>
      <c r="H2356" t="inlineStr">
        <is>
          <t>EU_JU</t>
        </is>
      </c>
      <c r="I2356" t="inlineStr">
        <is>
          <t>2015-10</t>
        </is>
      </c>
      <c r="J2356" t="n">
        <v>1</v>
      </c>
      <c r="K2356" t="n">
        <v>1</v>
      </c>
      <c r="L2356" s="34">
        <f>IF($J2356=1,LN(B2357/B2356),"")</f>
        <v/>
      </c>
      <c r="M2356" s="34">
        <f>IF($K2356=1,INDEX(Mensal!$D$2:$D$245,MATCH($I2356,Mensal!$A$2:$A$245,0)),"")</f>
        <v/>
      </c>
      <c r="N2356" s="34">
        <f>IF($K2356=1,L2356-M2356,"")</f>
        <v/>
      </c>
      <c r="O2356" s="34" t="n">
        <v>0.00052461</v>
      </c>
      <c r="P2356" s="34">
        <f>IF($J2356=1,LN(1+O2356),"")</f>
        <v/>
      </c>
      <c r="Q2356" s="34">
        <f>IF($J2356=1,LN(R2357/R2356),"")</f>
        <v/>
      </c>
      <c r="R2356" s="32" t="n">
        <v>3.8438</v>
      </c>
      <c r="S2356" s="35" t="n">
        <v>15.308</v>
      </c>
      <c r="T2356" s="18" t="n"/>
      <c r="U2356" s="18" t="n">
        <v>47236.1</v>
      </c>
      <c r="V2356" s="18" t="n"/>
      <c r="W2356" s="18" t="n"/>
      <c r="X2356" s="35" t="n">
        <v>15.308</v>
      </c>
      <c r="Y2356" s="35" t="n"/>
    </row>
    <row r="2357">
      <c r="A2357" s="25" t="n">
        <v>42296</v>
      </c>
      <c r="B2357" s="18" t="n">
        <v>47447.31</v>
      </c>
      <c r="C2357" s="31" t="n"/>
      <c r="D2357" s="32" t="n"/>
      <c r="E2357" s="33" t="n">
        <v>-0.0223</v>
      </c>
      <c r="F2357" t="inlineStr">
        <is>
          <t>Up</t>
        </is>
      </c>
      <c r="G2357" t="inlineStr">
        <is>
          <t>Up</t>
        </is>
      </c>
      <c r="H2357" t="inlineStr">
        <is>
          <t>EU_JU</t>
        </is>
      </c>
      <c r="I2357" t="inlineStr">
        <is>
          <t>2015-10</t>
        </is>
      </c>
      <c r="J2357" t="n">
        <v>1</v>
      </c>
      <c r="K2357" t="n">
        <v>1</v>
      </c>
      <c r="L2357" s="34">
        <f>IF($J2357=1,LN(B2358/B2357),"")</f>
        <v/>
      </c>
      <c r="M2357" s="34">
        <f>IF($K2357=1,INDEX(Mensal!$D$2:$D$245,MATCH($I2357,Mensal!$A$2:$A$245,0)),"")</f>
        <v/>
      </c>
      <c r="N2357" s="34">
        <f>IF($K2357=1,L2357-M2357,"")</f>
        <v/>
      </c>
      <c r="O2357" s="34" t="n">
        <v>0.00052461</v>
      </c>
      <c r="P2357" s="34">
        <f>IF($J2357=1,LN(1+O2357),"")</f>
        <v/>
      </c>
      <c r="Q2357" s="34">
        <f>IF($J2357=1,LN(R2358/R2357),"")</f>
        <v/>
      </c>
      <c r="R2357" s="32" t="n">
        <v>3.9015</v>
      </c>
      <c r="S2357" s="35" t="n">
        <v>15.343</v>
      </c>
      <c r="T2357" s="18" t="n"/>
      <c r="U2357" s="18" t="n">
        <v>47447.31</v>
      </c>
      <c r="V2357" s="18" t="n"/>
      <c r="W2357" s="18" t="n"/>
      <c r="X2357" s="35" t="n">
        <v>15.343</v>
      </c>
      <c r="Y2357" s="35" t="n"/>
    </row>
    <row r="2358">
      <c r="A2358" s="25" t="n">
        <v>42297</v>
      </c>
      <c r="B2358" s="18" t="n">
        <v>47076.55</v>
      </c>
      <c r="C2358" s="31" t="n"/>
      <c r="D2358" s="32" t="n"/>
      <c r="E2358" s="33" t="n">
        <v>-0.0319</v>
      </c>
      <c r="F2358" t="inlineStr">
        <is>
          <t>Up</t>
        </is>
      </c>
      <c r="G2358" t="inlineStr">
        <is>
          <t>Up</t>
        </is>
      </c>
      <c r="H2358" t="inlineStr">
        <is>
          <t>EU_JU</t>
        </is>
      </c>
      <c r="I2358" t="inlineStr">
        <is>
          <t>2015-10</t>
        </is>
      </c>
      <c r="J2358" t="n">
        <v>1</v>
      </c>
      <c r="K2358" t="n">
        <v>1</v>
      </c>
      <c r="L2358" s="34">
        <f>IF($J2358=1,LN(B2359/B2358),"")</f>
        <v/>
      </c>
      <c r="M2358" s="34">
        <f>IF($K2358=1,INDEX(Mensal!$D$2:$D$245,MATCH($I2358,Mensal!$A$2:$A$245,0)),"")</f>
        <v/>
      </c>
      <c r="N2358" s="34">
        <f>IF($K2358=1,L2358-M2358,"")</f>
        <v/>
      </c>
      <c r="O2358" s="34" t="n">
        <v>0.00052461</v>
      </c>
      <c r="P2358" s="34">
        <f>IF($J2358=1,LN(1+O2358),"")</f>
        <v/>
      </c>
      <c r="Q2358" s="34">
        <f>IF($J2358=1,LN(R2359/R2358),"")</f>
        <v/>
      </c>
      <c r="R2358" s="32" t="n">
        <v>3.8656</v>
      </c>
      <c r="S2358" s="35" t="n">
        <v>15.233</v>
      </c>
      <c r="T2358" s="18" t="n"/>
      <c r="U2358" s="18" t="n">
        <v>47076.55</v>
      </c>
      <c r="V2358" s="18" t="n"/>
      <c r="W2358" s="18" t="n"/>
      <c r="X2358" s="35" t="n">
        <v>15.233</v>
      </c>
      <c r="Y2358" s="35" t="n"/>
    </row>
    <row r="2359">
      <c r="A2359" s="25" t="n">
        <v>42298</v>
      </c>
      <c r="B2359" s="18" t="n">
        <v>47025.86</v>
      </c>
      <c r="C2359" s="31" t="n"/>
      <c r="D2359" s="32" t="n"/>
      <c r="E2359" s="33" t="n">
        <v>-0.0374</v>
      </c>
      <c r="F2359" t="inlineStr">
        <is>
          <t>Up</t>
        </is>
      </c>
      <c r="G2359" t="inlineStr">
        <is>
          <t>Up</t>
        </is>
      </c>
      <c r="H2359" t="inlineStr">
        <is>
          <t>EU_JU</t>
        </is>
      </c>
      <c r="I2359" t="inlineStr">
        <is>
          <t>2015-10</t>
        </is>
      </c>
      <c r="J2359" t="n">
        <v>1</v>
      </c>
      <c r="K2359" t="n">
        <v>1</v>
      </c>
      <c r="L2359" s="34">
        <f>IF($J2359=1,LN(B2360/B2359),"")</f>
        <v/>
      </c>
      <c r="M2359" s="34">
        <f>IF($K2359=1,INDEX(Mensal!$D$2:$D$245,MATCH($I2359,Mensal!$A$2:$A$245,0)),"")</f>
        <v/>
      </c>
      <c r="N2359" s="34">
        <f>IF($K2359=1,L2359-M2359,"")</f>
        <v/>
      </c>
      <c r="O2359" s="34" t="n">
        <v>0.00052461</v>
      </c>
      <c r="P2359" s="34">
        <f>IF($J2359=1,LN(1+O2359),"")</f>
        <v/>
      </c>
      <c r="Q2359" s="34">
        <f>IF($J2359=1,LN(R2360/R2359),"")</f>
        <v/>
      </c>
      <c r="R2359" s="32" t="n">
        <v>3.9386</v>
      </c>
      <c r="S2359" s="35" t="n">
        <v>15.357</v>
      </c>
      <c r="T2359" s="18" t="n"/>
      <c r="U2359" s="18" t="n">
        <v>47025.86</v>
      </c>
      <c r="V2359" s="18" t="n"/>
      <c r="W2359" s="18" t="n"/>
      <c r="X2359" s="35" t="n">
        <v>15.357</v>
      </c>
      <c r="Y2359" s="35" t="n"/>
    </row>
    <row r="2360">
      <c r="A2360" s="25" t="n">
        <v>42299</v>
      </c>
      <c r="B2360" s="18" t="n">
        <v>47772.14</v>
      </c>
      <c r="C2360" s="31" t="n"/>
      <c r="D2360" s="32" t="n"/>
      <c r="E2360" s="33" t="n">
        <v>-0.0504</v>
      </c>
      <c r="F2360" t="inlineStr">
        <is>
          <t>Up</t>
        </is>
      </c>
      <c r="G2360" t="inlineStr">
        <is>
          <t>Up</t>
        </is>
      </c>
      <c r="H2360" t="inlineStr">
        <is>
          <t>EU_JU</t>
        </is>
      </c>
      <c r="I2360" t="inlineStr">
        <is>
          <t>2015-10</t>
        </is>
      </c>
      <c r="J2360" t="n">
        <v>1</v>
      </c>
      <c r="K2360" t="n">
        <v>1</v>
      </c>
      <c r="L2360" s="34">
        <f>IF($J2360=1,LN(B2361/B2360),"")</f>
        <v/>
      </c>
      <c r="M2360" s="34">
        <f>IF($K2360=1,INDEX(Mensal!$D$2:$D$245,MATCH($I2360,Mensal!$A$2:$A$245,0)),"")</f>
        <v/>
      </c>
      <c r="N2360" s="34">
        <f>IF($K2360=1,L2360-M2360,"")</f>
        <v/>
      </c>
      <c r="O2360" s="34" t="n">
        <v>0.00052496</v>
      </c>
      <c r="P2360" s="34">
        <f>IF($J2360=1,LN(1+O2360),"")</f>
        <v/>
      </c>
      <c r="Q2360" s="34">
        <f>IF($J2360=1,LN(R2361/R2360),"")</f>
        <v/>
      </c>
      <c r="R2360" s="32" t="n">
        <v>3.936</v>
      </c>
      <c r="S2360" s="35" t="n">
        <v>15.179</v>
      </c>
      <c r="T2360" s="18" t="n"/>
      <c r="U2360" s="18" t="n">
        <v>47772.14</v>
      </c>
      <c r="V2360" s="18" t="n"/>
      <c r="W2360" s="18" t="n"/>
      <c r="X2360" s="35" t="n">
        <v>15.179</v>
      </c>
      <c r="Y2360" s="35" t="n"/>
    </row>
    <row r="2361">
      <c r="A2361" s="25" t="n">
        <v>42300</v>
      </c>
      <c r="B2361" s="18" t="n">
        <v>47596.58</v>
      </c>
      <c r="C2361" s="31" t="n"/>
      <c r="D2361" s="32" t="n"/>
      <c r="E2361" s="33" t="n">
        <v>-0.0736</v>
      </c>
      <c r="F2361" t="inlineStr">
        <is>
          <t>Up</t>
        </is>
      </c>
      <c r="G2361" t="inlineStr">
        <is>
          <t>Up</t>
        </is>
      </c>
      <c r="H2361" t="inlineStr">
        <is>
          <t>EU_JU</t>
        </is>
      </c>
      <c r="I2361" t="inlineStr">
        <is>
          <t>2015-10</t>
        </is>
      </c>
      <c r="J2361" t="n">
        <v>1</v>
      </c>
      <c r="K2361" t="n">
        <v>1</v>
      </c>
      <c r="L2361" s="34">
        <f>IF($J2361=1,LN(B2362/B2361),"")</f>
        <v/>
      </c>
      <c r="M2361" s="34">
        <f>IF($K2361=1,INDEX(Mensal!$D$2:$D$245,MATCH($I2361,Mensal!$A$2:$A$245,0)),"")</f>
        <v/>
      </c>
      <c r="N2361" s="34">
        <f>IF($K2361=1,L2361-M2361,"")</f>
        <v/>
      </c>
      <c r="O2361" s="34" t="n">
        <v>0.00052496</v>
      </c>
      <c r="P2361" s="34">
        <f>IF($J2361=1,LN(1+O2361),"")</f>
        <v/>
      </c>
      <c r="Q2361" s="34">
        <f>IF($J2361=1,LN(R2362/R2361),"")</f>
        <v/>
      </c>
      <c r="R2361" s="32" t="n">
        <v>3.8988</v>
      </c>
      <c r="S2361" s="35" t="n">
        <v>15.259</v>
      </c>
      <c r="T2361" s="18" t="n"/>
      <c r="U2361" s="18" t="n">
        <v>47596.58</v>
      </c>
      <c r="V2361" s="18" t="n"/>
      <c r="W2361" s="18" t="n"/>
      <c r="X2361" s="35" t="n">
        <v>15.259</v>
      </c>
      <c r="Y2361" s="35" t="n"/>
    </row>
    <row r="2362">
      <c r="A2362" s="25" t="n">
        <v>42303</v>
      </c>
      <c r="B2362" s="18" t="n">
        <v>47209.32</v>
      </c>
      <c r="C2362" s="31" t="n"/>
      <c r="D2362" s="32" t="n"/>
      <c r="E2362" s="33" t="n">
        <v>-0.0895</v>
      </c>
      <c r="F2362" t="inlineStr">
        <is>
          <t>Up</t>
        </is>
      </c>
      <c r="G2362" t="inlineStr">
        <is>
          <t>Up</t>
        </is>
      </c>
      <c r="H2362" t="inlineStr">
        <is>
          <t>EU_JU</t>
        </is>
      </c>
      <c r="I2362" t="inlineStr">
        <is>
          <t>2015-10</t>
        </is>
      </c>
      <c r="J2362" t="n">
        <v>1</v>
      </c>
      <c r="K2362" t="n">
        <v>1</v>
      </c>
      <c r="L2362" s="34">
        <f>IF($J2362=1,LN(B2363/B2362),"")</f>
        <v/>
      </c>
      <c r="M2362" s="34">
        <f>IF($K2362=1,INDEX(Mensal!$D$2:$D$245,MATCH($I2362,Mensal!$A$2:$A$245,0)),"")</f>
        <v/>
      </c>
      <c r="N2362" s="34">
        <f>IF($K2362=1,L2362-M2362,"")</f>
        <v/>
      </c>
      <c r="O2362" s="34" t="n">
        <v>0.00052496</v>
      </c>
      <c r="P2362" s="34">
        <f>IF($J2362=1,LN(1+O2362),"")</f>
        <v/>
      </c>
      <c r="Q2362" s="34">
        <f>IF($J2362=1,LN(R2363/R2362),"")</f>
        <v/>
      </c>
      <c r="R2362" s="32" t="n">
        <v>3.8582</v>
      </c>
      <c r="S2362" s="35" t="n">
        <v>15.244</v>
      </c>
      <c r="T2362" s="18" t="n"/>
      <c r="U2362" s="18" t="n">
        <v>47209.32</v>
      </c>
      <c r="V2362" s="18" t="n"/>
      <c r="W2362" s="18" t="n"/>
      <c r="X2362" s="35" t="n">
        <v>15.244</v>
      </c>
      <c r="Y2362" s="35" t="n"/>
    </row>
    <row r="2363">
      <c r="A2363" s="25" t="n">
        <v>42304</v>
      </c>
      <c r="B2363" s="18" t="n">
        <v>47042.94</v>
      </c>
      <c r="C2363" s="31" t="n"/>
      <c r="D2363" s="32" t="n"/>
      <c r="E2363" s="33" t="n">
        <v>-0.098</v>
      </c>
      <c r="F2363" t="inlineStr">
        <is>
          <t>Up</t>
        </is>
      </c>
      <c r="G2363" t="inlineStr">
        <is>
          <t>Up</t>
        </is>
      </c>
      <c r="H2363" t="inlineStr">
        <is>
          <t>EU_JU</t>
        </is>
      </c>
      <c r="I2363" t="inlineStr">
        <is>
          <t>2015-10</t>
        </is>
      </c>
      <c r="J2363" t="n">
        <v>1</v>
      </c>
      <c r="K2363" t="n">
        <v>1</v>
      </c>
      <c r="L2363" s="34">
        <f>IF($J2363=1,LN(B2364/B2363),"")</f>
        <v/>
      </c>
      <c r="M2363" s="34">
        <f>IF($K2363=1,INDEX(Mensal!$D$2:$D$245,MATCH($I2363,Mensal!$A$2:$A$245,0)),"")</f>
        <v/>
      </c>
      <c r="N2363" s="34">
        <f>IF($K2363=1,L2363-M2363,"")</f>
        <v/>
      </c>
      <c r="O2363" s="34" t="n">
        <v>0.00052496</v>
      </c>
      <c r="P2363" s="34">
        <f>IF($J2363=1,LN(1+O2363),"")</f>
        <v/>
      </c>
      <c r="Q2363" s="34">
        <f>IF($J2363=1,LN(R2364/R2363),"")</f>
        <v/>
      </c>
      <c r="R2363" s="32" t="n">
        <v>3.9114</v>
      </c>
      <c r="S2363" s="35" t="n">
        <v>15.113</v>
      </c>
      <c r="T2363" s="18" t="n"/>
      <c r="U2363" s="18" t="n">
        <v>47042.94</v>
      </c>
      <c r="V2363" s="18" t="n"/>
      <c r="W2363" s="18" t="n"/>
      <c r="X2363" s="35" t="n">
        <v>15.113</v>
      </c>
      <c r="Y2363" s="35" t="n"/>
    </row>
    <row r="2364">
      <c r="A2364" s="25" t="n">
        <v>42305</v>
      </c>
      <c r="B2364" s="18" t="n">
        <v>46740.84</v>
      </c>
      <c r="C2364" s="31" t="n"/>
      <c r="D2364" s="32" t="n"/>
      <c r="E2364" s="33" t="n">
        <v>-0.1032</v>
      </c>
      <c r="F2364" t="inlineStr">
        <is>
          <t>Up</t>
        </is>
      </c>
      <c r="G2364" t="inlineStr">
        <is>
          <t>Up</t>
        </is>
      </c>
      <c r="H2364" t="inlineStr">
        <is>
          <t>EU_JU</t>
        </is>
      </c>
      <c r="I2364" t="inlineStr">
        <is>
          <t>2015-10</t>
        </is>
      </c>
      <c r="J2364" t="n">
        <v>1</v>
      </c>
      <c r="K2364" t="n">
        <v>1</v>
      </c>
      <c r="L2364" s="34">
        <f>IF($J2364=1,LN(B2365/B2364),"")</f>
        <v/>
      </c>
      <c r="M2364" s="34">
        <f>IF($K2364=1,INDEX(Mensal!$D$2:$D$245,MATCH($I2364,Mensal!$A$2:$A$245,0)),"")</f>
        <v/>
      </c>
      <c r="N2364" s="34">
        <f>IF($K2364=1,L2364-M2364,"")</f>
        <v/>
      </c>
      <c r="O2364" s="34" t="n">
        <v>0.00052496</v>
      </c>
      <c r="P2364" s="34">
        <f>IF($J2364=1,LN(1+O2364),"")</f>
        <v/>
      </c>
      <c r="Q2364" s="34">
        <f>IF($J2364=1,LN(R2365/R2364),"")</f>
        <v/>
      </c>
      <c r="R2364" s="32" t="n">
        <v>3.8797</v>
      </c>
      <c r="S2364" s="35" t="n">
        <v>15.314</v>
      </c>
      <c r="T2364" s="18" t="n"/>
      <c r="U2364" s="18" t="n">
        <v>46740.84</v>
      </c>
      <c r="V2364" s="18" t="n"/>
      <c r="W2364" s="18" t="n"/>
      <c r="X2364" s="35" t="n">
        <v>15.314</v>
      </c>
      <c r="Y2364" s="35" t="n"/>
    </row>
    <row r="2365">
      <c r="A2365" s="25" t="n">
        <v>42306</v>
      </c>
      <c r="B2365" s="18" t="n">
        <v>45628.35</v>
      </c>
      <c r="C2365" s="31" t="n"/>
      <c r="D2365" s="32" t="n"/>
      <c r="E2365" s="33" t="n">
        <v>-0.0963</v>
      </c>
      <c r="F2365" t="inlineStr">
        <is>
          <t>Up</t>
        </is>
      </c>
      <c r="G2365" t="inlineStr">
        <is>
          <t>Up</t>
        </is>
      </c>
      <c r="H2365" t="inlineStr">
        <is>
          <t>EU_JU</t>
        </is>
      </c>
      <c r="I2365" t="inlineStr">
        <is>
          <t>2015-10</t>
        </is>
      </c>
      <c r="J2365" t="n">
        <v>1</v>
      </c>
      <c r="K2365" t="n">
        <v>1</v>
      </c>
      <c r="L2365" s="34">
        <f>IF($J2365=1,LN(B2366/B2365),"")</f>
        <v/>
      </c>
      <c r="M2365" s="34">
        <f>IF($K2365=1,INDEX(Mensal!$D$2:$D$245,MATCH($I2365,Mensal!$A$2:$A$245,0)),"")</f>
        <v/>
      </c>
      <c r="N2365" s="34">
        <f>IF($K2365=1,L2365-M2365,"")</f>
        <v/>
      </c>
      <c r="O2365" s="34" t="n">
        <v>0.00052496</v>
      </c>
      <c r="P2365" s="34">
        <f>IF($J2365=1,LN(1+O2365),"")</f>
        <v/>
      </c>
      <c r="Q2365" s="34">
        <f>IF($J2365=1,LN(R2366/R2365),"")</f>
        <v/>
      </c>
      <c r="R2365" s="32" t="n">
        <v>3.9328</v>
      </c>
      <c r="S2365" s="35" t="n">
        <v>15.292</v>
      </c>
      <c r="T2365" s="18" t="n"/>
      <c r="U2365" s="18" t="n">
        <v>45628.35</v>
      </c>
      <c r="V2365" s="18" t="n"/>
      <c r="W2365" s="18" t="n"/>
      <c r="X2365" s="35" t="n">
        <v>15.292</v>
      </c>
      <c r="Y2365" s="35" t="n"/>
    </row>
    <row r="2366">
      <c r="A2366" s="25" t="n">
        <v>42307</v>
      </c>
      <c r="B2366" s="18" t="n">
        <v>45868.81</v>
      </c>
      <c r="C2366" s="31" t="n"/>
      <c r="D2366" s="32" t="n"/>
      <c r="E2366" s="33" t="n">
        <v>-0.0886</v>
      </c>
      <c r="F2366" t="inlineStr">
        <is>
          <t>Up</t>
        </is>
      </c>
      <c r="G2366" t="inlineStr">
        <is>
          <t>Up</t>
        </is>
      </c>
      <c r="H2366" t="inlineStr">
        <is>
          <t>EU_JU</t>
        </is>
      </c>
      <c r="I2366" t="inlineStr">
        <is>
          <t>2015-10</t>
        </is>
      </c>
      <c r="J2366" t="n">
        <v>1</v>
      </c>
      <c r="K2366" t="n">
        <v>1</v>
      </c>
      <c r="L2366" s="34">
        <f>IF($J2366=1,LN(B2367/B2366),"")</f>
        <v/>
      </c>
      <c r="M2366" s="34">
        <f>IF($K2366=1,INDEX(Mensal!$D$2:$D$245,MATCH($I2366,Mensal!$A$2:$A$245,0)),"")</f>
        <v/>
      </c>
      <c r="N2366" s="34">
        <f>IF($K2366=1,L2366-M2366,"")</f>
        <v/>
      </c>
      <c r="O2366" s="34" t="n">
        <v>0.00052496</v>
      </c>
      <c r="P2366" s="34">
        <f>IF($J2366=1,LN(1+O2366),"")</f>
        <v/>
      </c>
      <c r="Q2366" s="34">
        <f>IF($J2366=1,LN(R2367/R2366),"")</f>
        <v/>
      </c>
      <c r="R2366" s="32" t="n">
        <v>3.8589</v>
      </c>
      <c r="S2366" s="35" t="n">
        <v>15.389</v>
      </c>
      <c r="T2366" s="18" t="n"/>
      <c r="U2366" s="18" t="n">
        <v>45868.81</v>
      </c>
      <c r="V2366" s="18" t="n"/>
      <c r="W2366" s="18" t="n"/>
      <c r="X2366" s="35" t="n">
        <v>15.389</v>
      </c>
      <c r="Y2366" s="35" t="n"/>
    </row>
    <row r="2367">
      <c r="A2367" s="25" t="n">
        <v>42311</v>
      </c>
      <c r="B2367" s="18" t="n">
        <v>48053.66</v>
      </c>
      <c r="C2367" s="31" t="n"/>
      <c r="D2367" s="32" t="n"/>
      <c r="E2367" s="33" t="n">
        <v>-0.078</v>
      </c>
      <c r="F2367" t="inlineStr">
        <is>
          <t>Up</t>
        </is>
      </c>
      <c r="G2367" t="inlineStr">
        <is>
          <t>Up</t>
        </is>
      </c>
      <c r="H2367" t="inlineStr">
        <is>
          <t>EU_JU</t>
        </is>
      </c>
      <c r="I2367" t="inlineStr">
        <is>
          <t>2015-11</t>
        </is>
      </c>
      <c r="J2367" t="n">
        <v>1</v>
      </c>
      <c r="K2367" t="n">
        <v>1</v>
      </c>
      <c r="L2367" s="34">
        <f>IF($J2367=1,LN(B2368/B2367),"")</f>
        <v/>
      </c>
      <c r="M2367" s="34">
        <f>IF($K2367=1,INDEX(Mensal!$D$2:$D$245,MATCH($I2367,Mensal!$A$2:$A$245,0)),"")</f>
        <v/>
      </c>
      <c r="N2367" s="34">
        <f>IF($K2367=1,L2367-M2367,"")</f>
        <v/>
      </c>
      <c r="O2367" s="34" t="n">
        <v>0.00052496</v>
      </c>
      <c r="P2367" s="34">
        <f>IF($J2367=1,LN(1+O2367),"")</f>
        <v/>
      </c>
      <c r="Q2367" s="34">
        <f>IF($J2367=1,LN(R2368/R2367),"")</f>
        <v/>
      </c>
      <c r="R2367" s="32" t="n">
        <v>3.8126</v>
      </c>
      <c r="S2367" s="35" t="n">
        <v>15.294</v>
      </c>
      <c r="T2367" s="18" t="n"/>
      <c r="U2367" s="18" t="n">
        <v>48053.66</v>
      </c>
      <c r="V2367" s="18" t="n"/>
      <c r="W2367" s="18" t="n"/>
      <c r="X2367" s="35" t="n">
        <v>15.294</v>
      </c>
      <c r="Y2367" s="35" t="n"/>
    </row>
    <row r="2368">
      <c r="A2368" s="25" t="n">
        <v>42312</v>
      </c>
      <c r="B2368" s="18" t="n">
        <v>47710.09</v>
      </c>
      <c r="C2368" s="31" t="n"/>
      <c r="D2368" s="32" t="n"/>
      <c r="E2368" s="33" t="n">
        <v>-0.0506</v>
      </c>
      <c r="F2368" t="inlineStr">
        <is>
          <t>Up</t>
        </is>
      </c>
      <c r="G2368" t="inlineStr">
        <is>
          <t>Up</t>
        </is>
      </c>
      <c r="H2368" t="inlineStr">
        <is>
          <t>EU_JU</t>
        </is>
      </c>
      <c r="I2368" t="inlineStr">
        <is>
          <t>2015-11</t>
        </is>
      </c>
      <c r="J2368" t="n">
        <v>1</v>
      </c>
      <c r="K2368" t="n">
        <v>1</v>
      </c>
      <c r="L2368" s="34">
        <f>IF($J2368=1,LN(B2369/B2368),"")</f>
        <v/>
      </c>
      <c r="M2368" s="34">
        <f>IF($K2368=1,INDEX(Mensal!$D$2:$D$245,MATCH($I2368,Mensal!$A$2:$A$245,0)),"")</f>
        <v/>
      </c>
      <c r="N2368" s="34">
        <f>IF($K2368=1,L2368-M2368,"")</f>
        <v/>
      </c>
      <c r="O2368" s="34" t="n">
        <v>0.00052496</v>
      </c>
      <c r="P2368" s="34">
        <f>IF($J2368=1,LN(1+O2368),"")</f>
        <v/>
      </c>
      <c r="Q2368" s="34">
        <f>IF($J2368=1,LN(R2369/R2368),"")</f>
        <v/>
      </c>
      <c r="R2368" s="32" t="n">
        <v>3.7687</v>
      </c>
      <c r="S2368" s="35" t="n">
        <v>15.279</v>
      </c>
      <c r="T2368" s="18" t="n"/>
      <c r="U2368" s="18" t="n">
        <v>47710.09</v>
      </c>
      <c r="V2368" s="18" t="n"/>
      <c r="W2368" s="18" t="n"/>
      <c r="X2368" s="35" t="n">
        <v>15.279</v>
      </c>
      <c r="Y2368" s="35" t="n"/>
    </row>
    <row r="2369">
      <c r="A2369" s="25" t="n">
        <v>42313</v>
      </c>
      <c r="B2369" s="18" t="n">
        <v>48046.75</v>
      </c>
      <c r="C2369" s="31" t="n"/>
      <c r="D2369" s="32" t="n"/>
      <c r="E2369" s="33" t="n">
        <v>-0.0218</v>
      </c>
      <c r="F2369" t="inlineStr">
        <is>
          <t>Up</t>
        </is>
      </c>
      <c r="G2369" t="inlineStr">
        <is>
          <t>Up</t>
        </is>
      </c>
      <c r="H2369" t="inlineStr">
        <is>
          <t>EU_JU</t>
        </is>
      </c>
      <c r="I2369" t="inlineStr">
        <is>
          <t>2015-11</t>
        </is>
      </c>
      <c r="J2369" t="n">
        <v>1</v>
      </c>
      <c r="K2369" t="n">
        <v>1</v>
      </c>
      <c r="L2369" s="34">
        <f>IF($J2369=1,LN(B2370/B2369),"")</f>
        <v/>
      </c>
      <c r="M2369" s="34">
        <f>IF($K2369=1,INDEX(Mensal!$D$2:$D$245,MATCH($I2369,Mensal!$A$2:$A$245,0)),"")</f>
        <v/>
      </c>
      <c r="N2369" s="34">
        <f>IF($K2369=1,L2369-M2369,"")</f>
        <v/>
      </c>
      <c r="O2369" s="34" t="n">
        <v>0.00052496</v>
      </c>
      <c r="P2369" s="34">
        <f>IF($J2369=1,LN(1+O2369),"")</f>
        <v/>
      </c>
      <c r="Q2369" s="34">
        <f>IF($J2369=1,LN(R2370/R2369),"")</f>
        <v/>
      </c>
      <c r="R2369" s="32" t="n">
        <v>3.7893</v>
      </c>
      <c r="S2369" s="35" t="n">
        <v>15.293</v>
      </c>
      <c r="T2369" s="18" t="n"/>
      <c r="U2369" s="18" t="n">
        <v>48046.75</v>
      </c>
      <c r="V2369" s="18" t="n"/>
      <c r="W2369" s="18" t="n"/>
      <c r="X2369" s="35" t="n">
        <v>15.293</v>
      </c>
      <c r="Y2369" s="35" t="n"/>
    </row>
    <row r="2370">
      <c r="A2370" s="25" t="n">
        <v>42314</v>
      </c>
      <c r="B2370" s="18" t="n">
        <v>46918.51</v>
      </c>
      <c r="C2370" s="31" t="n"/>
      <c r="D2370" s="32" t="n"/>
      <c r="E2370" s="33" t="n">
        <v>0.0086</v>
      </c>
      <c r="F2370" t="inlineStr">
        <is>
          <t>Up</t>
        </is>
      </c>
      <c r="G2370" t="inlineStr">
        <is>
          <t>Up</t>
        </is>
      </c>
      <c r="H2370" t="inlineStr">
        <is>
          <t>EU_JU</t>
        </is>
      </c>
      <c r="I2370" t="inlineStr">
        <is>
          <t>2015-11</t>
        </is>
      </c>
      <c r="J2370" t="n">
        <v>1</v>
      </c>
      <c r="K2370" t="n">
        <v>1</v>
      </c>
      <c r="L2370" s="34">
        <f>IF($J2370=1,LN(B2371/B2370),"")</f>
        <v/>
      </c>
      <c r="M2370" s="34">
        <f>IF($K2370=1,INDEX(Mensal!$D$2:$D$245,MATCH($I2370,Mensal!$A$2:$A$245,0)),"")</f>
        <v/>
      </c>
      <c r="N2370" s="34">
        <f>IF($K2370=1,L2370-M2370,"")</f>
        <v/>
      </c>
      <c r="O2370" s="34" t="n">
        <v>0.00052496</v>
      </c>
      <c r="P2370" s="34">
        <f>IF($J2370=1,LN(1+O2370),"")</f>
        <v/>
      </c>
      <c r="Q2370" s="34">
        <f>IF($J2370=1,LN(R2371/R2370),"")</f>
        <v/>
      </c>
      <c r="R2370" s="32" t="n">
        <v>3.8059</v>
      </c>
      <c r="S2370" s="35" t="n">
        <v>15.273</v>
      </c>
      <c r="T2370" s="18" t="n"/>
      <c r="U2370" s="18" t="n">
        <v>46918.51</v>
      </c>
      <c r="V2370" s="18" t="n"/>
      <c r="W2370" s="18" t="n"/>
      <c r="X2370" s="35" t="n">
        <v>15.273</v>
      </c>
      <c r="Y2370" s="35" t="n"/>
    </row>
    <row r="2371">
      <c r="A2371" s="25" t="n">
        <v>42317</v>
      </c>
      <c r="B2371" s="18" t="n">
        <v>46194.92</v>
      </c>
      <c r="C2371" s="31" t="n"/>
      <c r="D2371" s="32" t="n"/>
      <c r="E2371" s="33" t="n">
        <v>0.0342</v>
      </c>
      <c r="F2371" t="inlineStr">
        <is>
          <t>Up</t>
        </is>
      </c>
      <c r="G2371" t="inlineStr">
        <is>
          <t>Up</t>
        </is>
      </c>
      <c r="H2371" t="inlineStr">
        <is>
          <t>EU_JU</t>
        </is>
      </c>
      <c r="I2371" t="inlineStr">
        <is>
          <t>2015-11</t>
        </is>
      </c>
      <c r="J2371" t="n">
        <v>1</v>
      </c>
      <c r="K2371" t="n">
        <v>1</v>
      </c>
      <c r="L2371" s="34">
        <f>IF($J2371=1,LN(B2372/B2371),"")</f>
        <v/>
      </c>
      <c r="M2371" s="34">
        <f>IF($K2371=1,INDEX(Mensal!$D$2:$D$245,MATCH($I2371,Mensal!$A$2:$A$245,0)),"")</f>
        <v/>
      </c>
      <c r="N2371" s="34">
        <f>IF($K2371=1,L2371-M2371,"")</f>
        <v/>
      </c>
      <c r="O2371" s="34" t="n">
        <v>0.00052496</v>
      </c>
      <c r="P2371" s="34">
        <f>IF($J2371=1,LN(1+O2371),"")</f>
        <v/>
      </c>
      <c r="Q2371" s="34">
        <f>IF($J2371=1,LN(R2372/R2371),"")</f>
        <v/>
      </c>
      <c r="R2371" s="32" t="n">
        <v>3.7928</v>
      </c>
      <c r="S2371" s="35" t="n">
        <v>15.377</v>
      </c>
      <c r="T2371" s="18" t="n"/>
      <c r="U2371" s="18" t="n">
        <v>46194.92</v>
      </c>
      <c r="V2371" s="18" t="n"/>
      <c r="W2371" s="18" t="n"/>
      <c r="X2371" s="35" t="n">
        <v>15.377</v>
      </c>
      <c r="Y2371" s="35" t="n"/>
    </row>
    <row r="2372">
      <c r="A2372" s="25" t="n">
        <v>42318</v>
      </c>
      <c r="B2372" s="18" t="n">
        <v>46206.56</v>
      </c>
      <c r="C2372" s="31" t="n"/>
      <c r="D2372" s="32" t="n"/>
      <c r="E2372" s="33" t="n">
        <v>0.057</v>
      </c>
      <c r="F2372" t="inlineStr">
        <is>
          <t>Up</t>
        </is>
      </c>
      <c r="G2372" t="inlineStr">
        <is>
          <t>Up</t>
        </is>
      </c>
      <c r="H2372" t="inlineStr">
        <is>
          <t>EU_JU</t>
        </is>
      </c>
      <c r="I2372" t="inlineStr">
        <is>
          <t>2015-11</t>
        </is>
      </c>
      <c r="J2372" t="n">
        <v>1</v>
      </c>
      <c r="K2372" t="n">
        <v>1</v>
      </c>
      <c r="L2372" s="34">
        <f>IF($J2372=1,LN(B2373/B2372),"")</f>
        <v/>
      </c>
      <c r="M2372" s="34">
        <f>IF($K2372=1,INDEX(Mensal!$D$2:$D$245,MATCH($I2372,Mensal!$A$2:$A$245,0)),"")</f>
        <v/>
      </c>
      <c r="N2372" s="34">
        <f>IF($K2372=1,L2372-M2372,"")</f>
        <v/>
      </c>
      <c r="O2372" s="34" t="n">
        <v>0.00052496</v>
      </c>
      <c r="P2372" s="34">
        <f>IF($J2372=1,LN(1+O2372),"")</f>
        <v/>
      </c>
      <c r="Q2372" s="34">
        <f>IF($J2372=1,LN(R2373/R2372),"")</f>
        <v/>
      </c>
      <c r="R2372" s="32" t="n">
        <v>3.7981</v>
      </c>
      <c r="S2372" s="35" t="n">
        <v>15.426</v>
      </c>
      <c r="T2372" s="18" t="n"/>
      <c r="U2372" s="18" t="n">
        <v>46206.56</v>
      </c>
      <c r="V2372" s="18" t="n"/>
      <c r="W2372" s="18" t="n"/>
      <c r="X2372" s="35" t="n">
        <v>15.426</v>
      </c>
      <c r="Y2372" s="35" t="n"/>
    </row>
    <row r="2373">
      <c r="A2373" s="25" t="n">
        <v>42319</v>
      </c>
      <c r="B2373" s="18" t="n">
        <v>47065.01</v>
      </c>
      <c r="C2373" s="31" t="n"/>
      <c r="D2373" s="32" t="n"/>
      <c r="E2373" s="33" t="n">
        <v>0.0772</v>
      </c>
      <c r="F2373" t="inlineStr">
        <is>
          <t>Up</t>
        </is>
      </c>
      <c r="G2373" t="inlineStr">
        <is>
          <t>Up</t>
        </is>
      </c>
      <c r="H2373" t="inlineStr">
        <is>
          <t>EU_JU</t>
        </is>
      </c>
      <c r="I2373" t="inlineStr">
        <is>
          <t>2015-11</t>
        </is>
      </c>
      <c r="J2373" t="n">
        <v>1</v>
      </c>
      <c r="K2373" t="n">
        <v>1</v>
      </c>
      <c r="L2373" s="34">
        <f>IF($J2373=1,LN(B2374/B2373),"")</f>
        <v/>
      </c>
      <c r="M2373" s="34">
        <f>IF($K2373=1,INDEX(Mensal!$D$2:$D$245,MATCH($I2373,Mensal!$A$2:$A$245,0)),"")</f>
        <v/>
      </c>
      <c r="N2373" s="34">
        <f>IF($K2373=1,L2373-M2373,"")</f>
        <v/>
      </c>
      <c r="O2373" s="34" t="n">
        <v>0.00052496</v>
      </c>
      <c r="P2373" s="34">
        <f>IF($J2373=1,LN(1+O2373),"")</f>
        <v/>
      </c>
      <c r="Q2373" s="34">
        <f>IF($J2373=1,LN(R2374/R2373),"")</f>
        <v/>
      </c>
      <c r="R2373" s="32" t="n">
        <v>3.7327</v>
      </c>
      <c r="S2373" s="35" t="n">
        <v>15.404</v>
      </c>
      <c r="T2373" s="18" t="n"/>
      <c r="U2373" s="18" t="n">
        <v>47065.01</v>
      </c>
      <c r="V2373" s="18" t="n"/>
      <c r="W2373" s="18" t="n"/>
      <c r="X2373" s="35" t="n">
        <v>15.404</v>
      </c>
      <c r="Y2373" s="35" t="n"/>
    </row>
    <row r="2374">
      <c r="A2374" s="25" t="n">
        <v>42320</v>
      </c>
      <c r="B2374" s="18" t="n">
        <v>46883.57</v>
      </c>
      <c r="C2374" s="31" t="n"/>
      <c r="D2374" s="32" t="n"/>
      <c r="E2374" s="33" t="n">
        <v>0.09619999999999999</v>
      </c>
      <c r="F2374" t="inlineStr">
        <is>
          <t>Up</t>
        </is>
      </c>
      <c r="G2374" t="inlineStr">
        <is>
          <t>Up</t>
        </is>
      </c>
      <c r="H2374" t="inlineStr">
        <is>
          <t>EU_JU</t>
        </is>
      </c>
      <c r="I2374" t="inlineStr">
        <is>
          <t>2015-11</t>
        </is>
      </c>
      <c r="J2374" t="n">
        <v>1</v>
      </c>
      <c r="K2374" t="n">
        <v>1</v>
      </c>
      <c r="L2374" s="34">
        <f>IF($J2374=1,LN(B2375/B2374),"")</f>
        <v/>
      </c>
      <c r="M2374" s="34">
        <f>IF($K2374=1,INDEX(Mensal!$D$2:$D$245,MATCH($I2374,Mensal!$A$2:$A$245,0)),"")</f>
        <v/>
      </c>
      <c r="N2374" s="34">
        <f>IF($K2374=1,L2374-M2374,"")</f>
        <v/>
      </c>
      <c r="O2374" s="34" t="n">
        <v>0.00052496</v>
      </c>
      <c r="P2374" s="34">
        <f>IF($J2374=1,LN(1+O2374),"")</f>
        <v/>
      </c>
      <c r="Q2374" s="34">
        <f>IF($J2374=1,LN(R2375/R2374),"")</f>
        <v/>
      </c>
      <c r="R2374" s="32" t="n">
        <v>3.7996</v>
      </c>
      <c r="S2374" s="35" t="n">
        <v>15.46</v>
      </c>
      <c r="T2374" s="18" t="n"/>
      <c r="U2374" s="18" t="n">
        <v>46883.57</v>
      </c>
      <c r="V2374" s="18" t="n"/>
      <c r="W2374" s="18" t="n"/>
      <c r="X2374" s="35" t="n">
        <v>15.46</v>
      </c>
      <c r="Y2374" s="35" t="n"/>
    </row>
    <row r="2375">
      <c r="A2375" s="25" t="n">
        <v>42321</v>
      </c>
      <c r="B2375" s="18" t="n">
        <v>46517.03</v>
      </c>
      <c r="C2375" s="31" t="n"/>
      <c r="D2375" s="32" t="n"/>
      <c r="E2375" s="33" t="n">
        <v>0.106</v>
      </c>
      <c r="F2375" t="inlineStr">
        <is>
          <t>Up</t>
        </is>
      </c>
      <c r="G2375" t="inlineStr">
        <is>
          <t>Up</t>
        </is>
      </c>
      <c r="H2375" t="inlineStr">
        <is>
          <t>EU_JU</t>
        </is>
      </c>
      <c r="I2375" t="inlineStr">
        <is>
          <t>2015-11</t>
        </is>
      </c>
      <c r="J2375" t="n">
        <v>1</v>
      </c>
      <c r="K2375" t="n">
        <v>1</v>
      </c>
      <c r="L2375" s="34">
        <f>IF($J2375=1,LN(B2376/B2375),"")</f>
        <v/>
      </c>
      <c r="M2375" s="34">
        <f>IF($K2375=1,INDEX(Mensal!$D$2:$D$245,MATCH($I2375,Mensal!$A$2:$A$245,0)),"")</f>
        <v/>
      </c>
      <c r="N2375" s="34">
        <f>IF($K2375=1,L2375-M2375,"")</f>
        <v/>
      </c>
      <c r="O2375" s="34" t="n">
        <v>0.00052496</v>
      </c>
      <c r="P2375" s="34">
        <f>IF($J2375=1,LN(1+O2375),"")</f>
        <v/>
      </c>
      <c r="Q2375" s="34">
        <f>IF($J2375=1,LN(R2376/R2375),"")</f>
        <v/>
      </c>
      <c r="R2375" s="32" t="n">
        <v>3.8023</v>
      </c>
      <c r="S2375" s="35" t="n">
        <v>15.495</v>
      </c>
      <c r="T2375" s="18" t="n"/>
      <c r="U2375" s="18" t="n">
        <v>46517.03</v>
      </c>
      <c r="V2375" s="18" t="n"/>
      <c r="W2375" s="18" t="n"/>
      <c r="X2375" s="35" t="n">
        <v>15.495</v>
      </c>
      <c r="Y2375" s="35" t="n"/>
    </row>
    <row r="2376">
      <c r="A2376" s="25" t="n">
        <v>42324</v>
      </c>
      <c r="B2376" s="18" t="n">
        <v>46846.87</v>
      </c>
      <c r="C2376" s="31" t="n"/>
      <c r="D2376" s="32" t="n"/>
      <c r="E2376" s="33" t="n">
        <v>0.1063</v>
      </c>
      <c r="F2376" t="inlineStr">
        <is>
          <t>Up</t>
        </is>
      </c>
      <c r="G2376" t="inlineStr">
        <is>
          <t>Up</t>
        </is>
      </c>
      <c r="H2376" t="inlineStr">
        <is>
          <t>EU_JU</t>
        </is>
      </c>
      <c r="I2376" t="inlineStr">
        <is>
          <t>2015-11</t>
        </is>
      </c>
      <c r="J2376" t="n">
        <v>1</v>
      </c>
      <c r="K2376" t="n">
        <v>1</v>
      </c>
      <c r="L2376" s="34">
        <f>IF($J2376=1,LN(B2377/B2376),"")</f>
        <v/>
      </c>
      <c r="M2376" s="34">
        <f>IF($K2376=1,INDEX(Mensal!$D$2:$D$245,MATCH($I2376,Mensal!$A$2:$A$245,0)),"")</f>
        <v/>
      </c>
      <c r="N2376" s="34">
        <f>IF($K2376=1,L2376-M2376,"")</f>
        <v/>
      </c>
      <c r="O2376" s="34" t="n">
        <v>0.00052496</v>
      </c>
      <c r="P2376" s="34">
        <f>IF($J2376=1,LN(1+O2376),"")</f>
        <v/>
      </c>
      <c r="Q2376" s="34">
        <f>IF($J2376=1,LN(R2377/R2376),"")</f>
        <v/>
      </c>
      <c r="R2376" s="32" t="n">
        <v>3.8336</v>
      </c>
      <c r="S2376" s="35" t="n">
        <v>15.455</v>
      </c>
      <c r="T2376" s="18" t="n"/>
      <c r="U2376" s="18" t="n">
        <v>46846.87</v>
      </c>
      <c r="V2376" s="18" t="n"/>
      <c r="W2376" s="18" t="n"/>
      <c r="X2376" s="35" t="n">
        <v>15.455</v>
      </c>
      <c r="Y2376" s="35" t="n"/>
    </row>
    <row r="2377">
      <c r="A2377" s="25" t="n">
        <v>42325</v>
      </c>
      <c r="B2377" s="18" t="n">
        <v>47247.8</v>
      </c>
      <c r="C2377" s="31" t="n"/>
      <c r="D2377" s="32" t="n"/>
      <c r="E2377" s="33" t="n">
        <v>0.09719999999999999</v>
      </c>
      <c r="F2377" t="inlineStr">
        <is>
          <t>Up</t>
        </is>
      </c>
      <c r="G2377" t="inlineStr">
        <is>
          <t>Up</t>
        </is>
      </c>
      <c r="H2377" t="inlineStr">
        <is>
          <t>EU_JU</t>
        </is>
      </c>
      <c r="I2377" t="inlineStr">
        <is>
          <t>2015-11</t>
        </is>
      </c>
      <c r="J2377" t="n">
        <v>1</v>
      </c>
      <c r="K2377" t="n">
        <v>1</v>
      </c>
      <c r="L2377" s="34">
        <f>IF($J2377=1,LN(B2378/B2377),"")</f>
        <v/>
      </c>
      <c r="M2377" s="34">
        <f>IF($K2377=1,INDEX(Mensal!$D$2:$D$245,MATCH($I2377,Mensal!$A$2:$A$245,0)),"")</f>
        <v/>
      </c>
      <c r="N2377" s="34">
        <f>IF($K2377=1,L2377-M2377,"")</f>
        <v/>
      </c>
      <c r="O2377" s="34" t="n">
        <v>0.00052496</v>
      </c>
      <c r="P2377" s="34">
        <f>IF($J2377=1,LN(1+O2377),"")</f>
        <v/>
      </c>
      <c r="Q2377" s="34">
        <f>IF($J2377=1,LN(R2378/R2377),"")</f>
        <v/>
      </c>
      <c r="R2377" s="32" t="n">
        <v>3.8052</v>
      </c>
      <c r="S2377" s="35" t="n">
        <v>15.457</v>
      </c>
      <c r="T2377" s="18" t="n"/>
      <c r="U2377" s="18" t="n">
        <v>47247.8</v>
      </c>
      <c r="V2377" s="18" t="n"/>
      <c r="W2377" s="18" t="n"/>
      <c r="X2377" s="35" t="n">
        <v>15.457</v>
      </c>
      <c r="Y2377" s="35" t="n"/>
    </row>
    <row r="2378">
      <c r="A2378" s="25" t="n">
        <v>42326</v>
      </c>
      <c r="B2378" s="18" t="n">
        <v>47435.57</v>
      </c>
      <c r="C2378" s="31" t="n"/>
      <c r="D2378" s="32" t="n"/>
      <c r="E2378" s="33" t="n">
        <v>0.0849</v>
      </c>
      <c r="F2378" t="inlineStr">
        <is>
          <t>Up</t>
        </is>
      </c>
      <c r="G2378" t="inlineStr">
        <is>
          <t>Up</t>
        </is>
      </c>
      <c r="H2378" t="inlineStr">
        <is>
          <t>EU_JU</t>
        </is>
      </c>
      <c r="I2378" t="inlineStr">
        <is>
          <t>2015-11</t>
        </is>
      </c>
      <c r="J2378" t="n">
        <v>1</v>
      </c>
      <c r="K2378" t="n">
        <v>1</v>
      </c>
      <c r="L2378" s="34">
        <f>IF($J2378=1,LN(B2379/B2378),"")</f>
        <v/>
      </c>
      <c r="M2378" s="34">
        <f>IF($K2378=1,INDEX(Mensal!$D$2:$D$245,MATCH($I2378,Mensal!$A$2:$A$245,0)),"")</f>
        <v/>
      </c>
      <c r="N2378" s="34">
        <f>IF($K2378=1,L2378-M2378,"")</f>
        <v/>
      </c>
      <c r="O2378" s="34" t="n">
        <v>0.00052496</v>
      </c>
      <c r="P2378" s="34">
        <f>IF($J2378=1,LN(1+O2378),"")</f>
        <v/>
      </c>
      <c r="Q2378" s="34">
        <f>IF($J2378=1,LN(R2379/R2378),"")</f>
        <v/>
      </c>
      <c r="R2378" s="32" t="n">
        <v>3.7921</v>
      </c>
      <c r="S2378" s="35" t="n">
        <v>15.402</v>
      </c>
      <c r="T2378" s="18" t="n"/>
      <c r="U2378" s="18" t="n">
        <v>47435.57</v>
      </c>
      <c r="V2378" s="18" t="n"/>
      <c r="W2378" s="18" t="n"/>
      <c r="X2378" s="35" t="n">
        <v>15.402</v>
      </c>
      <c r="Y2378" s="35" t="n"/>
    </row>
    <row r="2379">
      <c r="A2379" s="25" t="n">
        <v>42327</v>
      </c>
      <c r="B2379" s="18" t="n">
        <v>48138.88</v>
      </c>
      <c r="C2379" s="31" t="n"/>
      <c r="D2379" s="32" t="n"/>
      <c r="E2379" s="33" t="n">
        <v>0.0704</v>
      </c>
      <c r="F2379" t="inlineStr">
        <is>
          <t>Up</t>
        </is>
      </c>
      <c r="G2379" t="inlineStr">
        <is>
          <t>Up</t>
        </is>
      </c>
      <c r="H2379" t="inlineStr">
        <is>
          <t>EU_JU</t>
        </is>
      </c>
      <c r="I2379" t="inlineStr">
        <is>
          <t>2015-11</t>
        </is>
      </c>
      <c r="J2379" t="n">
        <v>1</v>
      </c>
      <c r="K2379" t="n">
        <v>1</v>
      </c>
      <c r="L2379" s="34">
        <f>IF($J2379=1,LN(B2380/B2379),"")</f>
        <v/>
      </c>
      <c r="M2379" s="34">
        <f>IF($K2379=1,INDEX(Mensal!$D$2:$D$245,MATCH($I2379,Mensal!$A$2:$A$245,0)),"")</f>
        <v/>
      </c>
      <c r="N2379" s="34">
        <f>IF($K2379=1,L2379-M2379,"")</f>
        <v/>
      </c>
      <c r="O2379" s="34" t="n">
        <v>0.00052496</v>
      </c>
      <c r="P2379" s="34">
        <f>IF($J2379=1,LN(1+O2379),"")</f>
        <v/>
      </c>
      <c r="Q2379" s="34">
        <f>IF($J2379=1,LN(R2380/R2379),"")</f>
        <v/>
      </c>
      <c r="R2379" s="32" t="n">
        <v>3.7442</v>
      </c>
      <c r="S2379" s="35" t="n">
        <v>15.171</v>
      </c>
      <c r="T2379" s="18" t="n"/>
      <c r="U2379" s="18" t="n">
        <v>48138.88</v>
      </c>
      <c r="V2379" s="18" t="n"/>
      <c r="W2379" s="18" t="n"/>
      <c r="X2379" s="35" t="n">
        <v>15.171</v>
      </c>
      <c r="Y2379" s="35" t="n"/>
    </row>
    <row r="2380">
      <c r="A2380" s="25" t="n">
        <v>42331</v>
      </c>
      <c r="B2380" s="18" t="n">
        <v>48150.27</v>
      </c>
      <c r="C2380" s="31" t="n"/>
      <c r="D2380" s="32" t="n"/>
      <c r="E2380" s="33" t="n">
        <v>0.0538</v>
      </c>
      <c r="F2380" t="inlineStr">
        <is>
          <t>Up</t>
        </is>
      </c>
      <c r="G2380" t="inlineStr">
        <is>
          <t>Up</t>
        </is>
      </c>
      <c r="H2380" t="inlineStr">
        <is>
          <t>EU_JU</t>
        </is>
      </c>
      <c r="I2380" t="inlineStr">
        <is>
          <t>2015-11</t>
        </is>
      </c>
      <c r="J2380" t="n">
        <v>1</v>
      </c>
      <c r="K2380" t="n">
        <v>1</v>
      </c>
      <c r="L2380" s="34">
        <f>IF($J2380=1,LN(B2381/B2380),"")</f>
        <v/>
      </c>
      <c r="M2380" s="34">
        <f>IF($K2380=1,INDEX(Mensal!$D$2:$D$245,MATCH($I2380,Mensal!$A$2:$A$245,0)),"")</f>
        <v/>
      </c>
      <c r="N2380" s="34">
        <f>IF($K2380=1,L2380-M2380,"")</f>
        <v/>
      </c>
      <c r="O2380" s="34" t="n">
        <v>0.00052496</v>
      </c>
      <c r="P2380" s="34">
        <f>IF($J2380=1,LN(1+O2380),"")</f>
        <v/>
      </c>
      <c r="Q2380" s="34">
        <f>IF($J2380=1,LN(R2381/R2380),"")</f>
        <v/>
      </c>
      <c r="R2380" s="32" t="n">
        <v>3.7231</v>
      </c>
      <c r="S2380" s="35" t="n">
        <v>15.052</v>
      </c>
      <c r="T2380" s="18" t="n"/>
      <c r="U2380" s="18" t="n">
        <v>48150.27</v>
      </c>
      <c r="V2380" s="18" t="n"/>
      <c r="W2380" s="18" t="n"/>
      <c r="X2380" s="35" t="n">
        <v>15.052</v>
      </c>
      <c r="Y2380" s="35" t="n"/>
    </row>
    <row r="2381">
      <c r="A2381" s="25" t="n">
        <v>42332</v>
      </c>
      <c r="B2381" s="18" t="n">
        <v>48284.18</v>
      </c>
      <c r="C2381" s="31" t="n"/>
      <c r="D2381" s="32" t="n"/>
      <c r="E2381" s="33" t="n">
        <v>0.0357</v>
      </c>
      <c r="F2381" t="inlineStr">
        <is>
          <t>Up</t>
        </is>
      </c>
      <c r="G2381" t="inlineStr">
        <is>
          <t>Up</t>
        </is>
      </c>
      <c r="H2381" t="inlineStr">
        <is>
          <t>EU_JU</t>
        </is>
      </c>
      <c r="I2381" t="inlineStr">
        <is>
          <t>2015-11</t>
        </is>
      </c>
      <c r="J2381" t="n">
        <v>1</v>
      </c>
      <c r="K2381" t="n">
        <v>1</v>
      </c>
      <c r="L2381" s="34">
        <f>IF($J2381=1,LN(B2382/B2381),"")</f>
        <v/>
      </c>
      <c r="M2381" s="34">
        <f>IF($K2381=1,INDEX(Mensal!$D$2:$D$245,MATCH($I2381,Mensal!$A$2:$A$245,0)),"")</f>
        <v/>
      </c>
      <c r="N2381" s="34">
        <f>IF($K2381=1,L2381-M2381,"")</f>
        <v/>
      </c>
      <c r="O2381" s="34" t="n">
        <v>0.00052496</v>
      </c>
      <c r="P2381" s="34">
        <f>IF($J2381=1,LN(1+O2381),"")</f>
        <v/>
      </c>
      <c r="Q2381" s="34">
        <f>IF($J2381=1,LN(R2382/R2381),"")</f>
        <v/>
      </c>
      <c r="R2381" s="32" t="n">
        <v>3.7081</v>
      </c>
      <c r="S2381" s="35" t="n">
        <v>15.166</v>
      </c>
      <c r="T2381" s="18" t="n"/>
      <c r="U2381" s="18" t="n">
        <v>48284.18</v>
      </c>
      <c r="V2381" s="18" t="n"/>
      <c r="W2381" s="18" t="n"/>
      <c r="X2381" s="35" t="n">
        <v>15.166</v>
      </c>
      <c r="Y2381" s="35" t="n"/>
    </row>
    <row r="2382">
      <c r="A2382" s="25" t="n">
        <v>42333</v>
      </c>
      <c r="B2382" s="18" t="n">
        <v>46866.63</v>
      </c>
      <c r="C2382" s="31" t="n"/>
      <c r="D2382" s="32" t="n"/>
      <c r="E2382" s="33" t="n">
        <v>0.0217</v>
      </c>
      <c r="F2382" t="inlineStr">
        <is>
          <t>Up</t>
        </is>
      </c>
      <c r="G2382" t="inlineStr">
        <is>
          <t>Up</t>
        </is>
      </c>
      <c r="H2382" t="inlineStr">
        <is>
          <t>EU_JU</t>
        </is>
      </c>
      <c r="I2382" t="inlineStr">
        <is>
          <t>2015-11</t>
        </is>
      </c>
      <c r="J2382" t="n">
        <v>1</v>
      </c>
      <c r="K2382" t="n">
        <v>1</v>
      </c>
      <c r="L2382" s="34">
        <f>IF($J2382=1,LN(B2383/B2382),"")</f>
        <v/>
      </c>
      <c r="M2382" s="34">
        <f>IF($K2382=1,INDEX(Mensal!$D$2:$D$245,MATCH($I2382,Mensal!$A$2:$A$245,0)),"")</f>
        <v/>
      </c>
      <c r="N2382" s="34">
        <f>IF($K2382=1,L2382-M2382,"")</f>
        <v/>
      </c>
      <c r="O2382" s="34" t="n">
        <v>0.00052496</v>
      </c>
      <c r="P2382" s="34">
        <f>IF($J2382=1,LN(1+O2382),"")</f>
        <v/>
      </c>
      <c r="Q2382" s="34">
        <f>IF($J2382=1,LN(R2383/R2382),"")</f>
        <v/>
      </c>
      <c r="R2382" s="32" t="n">
        <v>3.7688</v>
      </c>
      <c r="S2382" s="35" t="n">
        <v>15.236</v>
      </c>
      <c r="T2382" s="18" t="n"/>
      <c r="U2382" s="18" t="n">
        <v>46866.63</v>
      </c>
      <c r="V2382" s="18" t="n"/>
      <c r="W2382" s="18" t="n"/>
      <c r="X2382" s="35" t="n">
        <v>15.236</v>
      </c>
      <c r="Y2382" s="35" t="n"/>
    </row>
    <row r="2383">
      <c r="A2383" s="25" t="n">
        <v>42334</v>
      </c>
      <c r="B2383" s="18" t="n">
        <v>47145.63</v>
      </c>
      <c r="C2383" s="31" t="n"/>
      <c r="D2383" s="32" t="n"/>
      <c r="E2383" s="33" t="n">
        <v>0.0107</v>
      </c>
      <c r="F2383" t="inlineStr">
        <is>
          <t>Up</t>
        </is>
      </c>
      <c r="G2383" t="inlineStr">
        <is>
          <t>Up</t>
        </is>
      </c>
      <c r="H2383" t="inlineStr">
        <is>
          <t>EU_JU</t>
        </is>
      </c>
      <c r="I2383" t="inlineStr">
        <is>
          <t>2015-11</t>
        </is>
      </c>
      <c r="J2383" t="n">
        <v>1</v>
      </c>
      <c r="K2383" t="n">
        <v>1</v>
      </c>
      <c r="L2383" s="34">
        <f>IF($J2383=1,LN(B2384/B2383),"")</f>
        <v/>
      </c>
      <c r="M2383" s="34">
        <f>IF($K2383=1,INDEX(Mensal!$D$2:$D$245,MATCH($I2383,Mensal!$A$2:$A$245,0)),"")</f>
        <v/>
      </c>
      <c r="N2383" s="34">
        <f>IF($K2383=1,L2383-M2383,"")</f>
        <v/>
      </c>
      <c r="O2383" s="34" t="n">
        <v>0.00052496</v>
      </c>
      <c r="P2383" s="34">
        <f>IF($J2383=1,LN(1+O2383),"")</f>
        <v/>
      </c>
      <c r="Q2383" s="34">
        <f>IF($J2383=1,LN(R2384/R2383),"")</f>
        <v/>
      </c>
      <c r="R2383" s="32" t="n">
        <v>3.7606</v>
      </c>
      <c r="S2383" s="35" t="n">
        <v>15.477</v>
      </c>
      <c r="T2383" s="18" t="n"/>
      <c r="U2383" s="18" t="n">
        <v>47145.63</v>
      </c>
      <c r="V2383" s="18" t="n"/>
      <c r="W2383" s="18" t="n"/>
      <c r="X2383" s="35" t="n">
        <v>15.477</v>
      </c>
      <c r="Y2383" s="35" t="n"/>
    </row>
    <row r="2384">
      <c r="A2384" s="25" t="n">
        <v>42335</v>
      </c>
      <c r="B2384" s="18" t="n">
        <v>45872.91</v>
      </c>
      <c r="C2384" s="31" t="n"/>
      <c r="D2384" s="32" t="n"/>
      <c r="E2384" s="33" t="n">
        <v>0.0026</v>
      </c>
      <c r="F2384" t="inlineStr">
        <is>
          <t>Up</t>
        </is>
      </c>
      <c r="G2384" t="inlineStr">
        <is>
          <t>Up</t>
        </is>
      </c>
      <c r="H2384" t="inlineStr">
        <is>
          <t>EU_JU</t>
        </is>
      </c>
      <c r="I2384" t="inlineStr">
        <is>
          <t>2015-11</t>
        </is>
      </c>
      <c r="J2384" t="n">
        <v>1</v>
      </c>
      <c r="K2384" t="n">
        <v>1</v>
      </c>
      <c r="L2384" s="34">
        <f>IF($J2384=1,LN(B2385/B2384),"")</f>
        <v/>
      </c>
      <c r="M2384" s="34">
        <f>IF($K2384=1,INDEX(Mensal!$D$2:$D$245,MATCH($I2384,Mensal!$A$2:$A$245,0)),"")</f>
        <v/>
      </c>
      <c r="N2384" s="34">
        <f>IF($K2384=1,L2384-M2384,"")</f>
        <v/>
      </c>
      <c r="O2384" s="34" t="n">
        <v>0.00052496</v>
      </c>
      <c r="P2384" s="34">
        <f>IF($J2384=1,LN(1+O2384),"")</f>
        <v/>
      </c>
      <c r="Q2384" s="34">
        <f>IF($J2384=1,LN(R2385/R2384),"")</f>
        <v/>
      </c>
      <c r="R2384" s="32" t="n">
        <v>3.7399</v>
      </c>
      <c r="S2384" s="35" t="n">
        <v>15.622</v>
      </c>
      <c r="T2384" s="18" t="n"/>
      <c r="U2384" s="18" t="n">
        <v>45872.91</v>
      </c>
      <c r="V2384" s="18" t="n"/>
      <c r="W2384" s="18" t="n"/>
      <c r="X2384" s="35" t="n">
        <v>15.622</v>
      </c>
      <c r="Y2384" s="35" t="n"/>
    </row>
    <row r="2385">
      <c r="A2385" s="25" t="n">
        <v>42338</v>
      </c>
      <c r="B2385" s="18" t="n">
        <v>45120.36</v>
      </c>
      <c r="C2385" s="31" t="n"/>
      <c r="D2385" s="32" t="n"/>
      <c r="E2385" s="33" t="n">
        <v>-0.0034</v>
      </c>
      <c r="F2385" t="inlineStr">
        <is>
          <t>Up</t>
        </is>
      </c>
      <c r="G2385" t="inlineStr">
        <is>
          <t>Up</t>
        </is>
      </c>
      <c r="H2385" t="inlineStr">
        <is>
          <t>EU_JU</t>
        </is>
      </c>
      <c r="I2385" t="inlineStr">
        <is>
          <t>2015-11</t>
        </is>
      </c>
      <c r="J2385" t="n">
        <v>1</v>
      </c>
      <c r="K2385" t="n">
        <v>1</v>
      </c>
      <c r="L2385" s="34">
        <f>IF($J2385=1,LN(B2386/B2385),"")</f>
        <v/>
      </c>
      <c r="M2385" s="34">
        <f>IF($K2385=1,INDEX(Mensal!$D$2:$D$245,MATCH($I2385,Mensal!$A$2:$A$245,0)),"")</f>
        <v/>
      </c>
      <c r="N2385" s="34">
        <f>IF($K2385=1,L2385-M2385,"")</f>
        <v/>
      </c>
      <c r="O2385" s="34" t="n">
        <v>0.00052496</v>
      </c>
      <c r="P2385" s="34">
        <f>IF($J2385=1,LN(1+O2385),"")</f>
        <v/>
      </c>
      <c r="Q2385" s="34">
        <f>IF($J2385=1,LN(R2386/R2385),"")</f>
        <v/>
      </c>
      <c r="R2385" s="32" t="n">
        <v>3.8506</v>
      </c>
      <c r="S2385" s="35" t="n">
        <v>15.71</v>
      </c>
      <c r="T2385" s="18" t="n"/>
      <c r="U2385" s="18" t="n">
        <v>45120.36</v>
      </c>
      <c r="V2385" s="18" t="n"/>
      <c r="W2385" s="18" t="n"/>
      <c r="X2385" s="35" t="n">
        <v>15.71</v>
      </c>
      <c r="Y2385" s="35" t="n"/>
    </row>
    <row r="2386">
      <c r="A2386" s="25" t="n">
        <v>42339</v>
      </c>
      <c r="B2386" s="18" t="n">
        <v>45046.75</v>
      </c>
      <c r="C2386" s="31" t="n"/>
      <c r="D2386" s="32" t="n"/>
      <c r="E2386" s="33" t="n">
        <v>-0.0109</v>
      </c>
      <c r="F2386" t="inlineStr">
        <is>
          <t>Down</t>
        </is>
      </c>
      <c r="G2386" t="inlineStr">
        <is>
          <t>Up</t>
        </is>
      </c>
      <c r="H2386" t="inlineStr">
        <is>
          <t>ED_JU</t>
        </is>
      </c>
      <c r="I2386" t="inlineStr">
        <is>
          <t>2015-12</t>
        </is>
      </c>
      <c r="J2386" t="n">
        <v>1</v>
      </c>
      <c r="K2386" t="n">
        <v>1</v>
      </c>
      <c r="L2386" s="34">
        <f>IF($J2386=1,LN(B2387/B2386),"")</f>
        <v/>
      </c>
      <c r="M2386" s="34">
        <f>IF($K2386=1,INDEX(Mensal!$D$2:$D$245,MATCH($I2386,Mensal!$A$2:$A$245,0)),"")</f>
        <v/>
      </c>
      <c r="N2386" s="34">
        <f>IF($K2386=1,L2386-M2386,"")</f>
        <v/>
      </c>
      <c r="O2386" s="34" t="n">
        <v>0.00052496</v>
      </c>
      <c r="P2386" s="34">
        <f>IF($J2386=1,LN(1+O2386),"")</f>
        <v/>
      </c>
      <c r="Q2386" s="34">
        <f>IF($J2386=1,LN(R2387/R2386),"")</f>
        <v/>
      </c>
      <c r="R2386" s="32" t="n">
        <v>3.8745</v>
      </c>
      <c r="S2386" s="35" t="n">
        <v>15.668</v>
      </c>
      <c r="T2386" s="18" t="n"/>
      <c r="U2386" s="18" t="n"/>
      <c r="V2386" s="18" t="n"/>
      <c r="W2386" s="18" t="n">
        <v>45046.75</v>
      </c>
      <c r="X2386" s="35" t="n">
        <v>15.668</v>
      </c>
      <c r="Y2386" s="35" t="n"/>
    </row>
    <row r="2387">
      <c r="A2387" s="25" t="n">
        <v>42340</v>
      </c>
      <c r="B2387" s="18" t="n">
        <v>44914.53</v>
      </c>
      <c r="C2387" s="31" t="n"/>
      <c r="D2387" s="32" t="n"/>
      <c r="E2387" s="33" t="n">
        <v>-0.016</v>
      </c>
      <c r="F2387" t="inlineStr">
        <is>
          <t>Down</t>
        </is>
      </c>
      <c r="G2387" t="inlineStr">
        <is>
          <t>Up</t>
        </is>
      </c>
      <c r="H2387" t="inlineStr">
        <is>
          <t>ED_JU</t>
        </is>
      </c>
      <c r="I2387" t="inlineStr">
        <is>
          <t>2015-12</t>
        </is>
      </c>
      <c r="J2387" t="n">
        <v>1</v>
      </c>
      <c r="K2387" t="n">
        <v>1</v>
      </c>
      <c r="L2387" s="34">
        <f>IF($J2387=1,LN(B2388/B2387),"")</f>
        <v/>
      </c>
      <c r="M2387" s="34">
        <f>IF($K2387=1,INDEX(Mensal!$D$2:$D$245,MATCH($I2387,Mensal!$A$2:$A$245,0)),"")</f>
        <v/>
      </c>
      <c r="N2387" s="34">
        <f>IF($K2387=1,L2387-M2387,"")</f>
        <v/>
      </c>
      <c r="O2387" s="34" t="n">
        <v>0.00052496</v>
      </c>
      <c r="P2387" s="34">
        <f>IF($J2387=1,LN(1+O2387),"")</f>
        <v/>
      </c>
      <c r="Q2387" s="34">
        <f>IF($J2387=1,LN(R2388/R2387),"")</f>
        <v/>
      </c>
      <c r="R2387" s="32" t="n">
        <v>3.8545</v>
      </c>
      <c r="S2387" s="35" t="n">
        <v>15.622</v>
      </c>
      <c r="T2387" s="18" t="n"/>
      <c r="U2387" s="18" t="n"/>
      <c r="V2387" s="18" t="n"/>
      <c r="W2387" s="18" t="n">
        <v>44914.53</v>
      </c>
      <c r="X2387" s="35" t="n">
        <v>15.622</v>
      </c>
      <c r="Y2387" s="35" t="n"/>
    </row>
    <row r="2388">
      <c r="A2388" s="25" t="n">
        <v>42341</v>
      </c>
      <c r="B2388" s="18" t="n">
        <v>46393.26</v>
      </c>
      <c r="C2388" s="31" t="n"/>
      <c r="D2388" s="32" t="n"/>
      <c r="E2388" s="33" t="n">
        <v>-0.0246</v>
      </c>
      <c r="F2388" t="inlineStr">
        <is>
          <t>Down</t>
        </is>
      </c>
      <c r="G2388" t="inlineStr">
        <is>
          <t>Up</t>
        </is>
      </c>
      <c r="H2388" t="inlineStr">
        <is>
          <t>ED_JU</t>
        </is>
      </c>
      <c r="I2388" t="inlineStr">
        <is>
          <t>2015-12</t>
        </is>
      </c>
      <c r="J2388" t="n">
        <v>1</v>
      </c>
      <c r="K2388" t="n">
        <v>1</v>
      </c>
      <c r="L2388" s="34">
        <f>IF($J2388=1,LN(B2389/B2388),"")</f>
        <v/>
      </c>
      <c r="M2388" s="34">
        <f>IF($K2388=1,INDEX(Mensal!$D$2:$D$245,MATCH($I2388,Mensal!$A$2:$A$245,0)),"")</f>
        <v/>
      </c>
      <c r="N2388" s="34">
        <f>IF($K2388=1,L2388-M2388,"")</f>
        <v/>
      </c>
      <c r="O2388" s="34" t="n">
        <v>0.00052496</v>
      </c>
      <c r="P2388" s="34">
        <f>IF($J2388=1,LN(1+O2388),"")</f>
        <v/>
      </c>
      <c r="Q2388" s="34">
        <f>IF($J2388=1,LN(R2389/R2388),"")</f>
        <v/>
      </c>
      <c r="R2388" s="32" t="n">
        <v>3.797</v>
      </c>
      <c r="S2388" s="35" t="n">
        <v>15.686</v>
      </c>
      <c r="T2388" s="18" t="n"/>
      <c r="U2388" s="18" t="n"/>
      <c r="V2388" s="18" t="n"/>
      <c r="W2388" s="18" t="n">
        <v>46393.26</v>
      </c>
      <c r="X2388" s="35" t="n">
        <v>15.686</v>
      </c>
      <c r="Y2388" s="35" t="n"/>
    </row>
    <row r="2389">
      <c r="A2389" s="25" t="n">
        <v>42342</v>
      </c>
      <c r="B2389" s="18" t="n">
        <v>45360.75</v>
      </c>
      <c r="C2389" s="31" t="n"/>
      <c r="D2389" s="32" t="n"/>
      <c r="E2389" s="33" t="n">
        <v>-0.0273</v>
      </c>
      <c r="F2389" t="inlineStr">
        <is>
          <t>Down</t>
        </is>
      </c>
      <c r="G2389" t="inlineStr">
        <is>
          <t>Up</t>
        </is>
      </c>
      <c r="H2389" t="inlineStr">
        <is>
          <t>ED_JU</t>
        </is>
      </c>
      <c r="I2389" t="inlineStr">
        <is>
          <t>2015-12</t>
        </is>
      </c>
      <c r="J2389" t="n">
        <v>1</v>
      </c>
      <c r="K2389" t="n">
        <v>1</v>
      </c>
      <c r="L2389" s="34">
        <f>IF($J2389=1,LN(B2390/B2389),"")</f>
        <v/>
      </c>
      <c r="M2389" s="34">
        <f>IF($K2389=1,INDEX(Mensal!$D$2:$D$245,MATCH($I2389,Mensal!$A$2:$A$245,0)),"")</f>
        <v/>
      </c>
      <c r="N2389" s="34">
        <f>IF($K2389=1,L2389-M2389,"")</f>
        <v/>
      </c>
      <c r="O2389" s="34" t="n">
        <v>0.00052496</v>
      </c>
      <c r="P2389" s="34">
        <f>IF($J2389=1,LN(1+O2389),"")</f>
        <v/>
      </c>
      <c r="Q2389" s="34">
        <f>IF($J2389=1,LN(R2390/R2389),"")</f>
        <v/>
      </c>
      <c r="R2389" s="32" t="n">
        <v>3.7575</v>
      </c>
      <c r="S2389" s="35" t="n">
        <v>15.7</v>
      </c>
      <c r="T2389" s="18" t="n"/>
      <c r="U2389" s="18" t="n"/>
      <c r="V2389" s="18" t="n"/>
      <c r="W2389" s="18" t="n">
        <v>45360.75</v>
      </c>
      <c r="X2389" s="35" t="n">
        <v>15.7</v>
      </c>
      <c r="Y2389" s="35" t="n"/>
    </row>
    <row r="2390">
      <c r="A2390" s="25" t="n">
        <v>42345</v>
      </c>
      <c r="B2390" s="18" t="n">
        <v>45222.69</v>
      </c>
      <c r="C2390" s="31" t="n"/>
      <c r="D2390" s="32" t="n"/>
      <c r="E2390" s="33" t="n">
        <v>-0.0239</v>
      </c>
      <c r="F2390" t="inlineStr">
        <is>
          <t>Down</t>
        </is>
      </c>
      <c r="G2390" t="inlineStr">
        <is>
          <t>Up</t>
        </is>
      </c>
      <c r="H2390" t="inlineStr">
        <is>
          <t>ED_JU</t>
        </is>
      </c>
      <c r="I2390" t="inlineStr">
        <is>
          <t>2015-12</t>
        </is>
      </c>
      <c r="J2390" t="n">
        <v>1</v>
      </c>
      <c r="K2390" t="n">
        <v>1</v>
      </c>
      <c r="L2390" s="34">
        <f>IF($J2390=1,LN(B2391/B2390),"")</f>
        <v/>
      </c>
      <c r="M2390" s="34">
        <f>IF($K2390=1,INDEX(Mensal!$D$2:$D$245,MATCH($I2390,Mensal!$A$2:$A$245,0)),"")</f>
        <v/>
      </c>
      <c r="N2390" s="34">
        <f>IF($K2390=1,L2390-M2390,"")</f>
        <v/>
      </c>
      <c r="O2390" s="34" t="n">
        <v>0.00052496</v>
      </c>
      <c r="P2390" s="34">
        <f>IF($J2390=1,LN(1+O2390),"")</f>
        <v/>
      </c>
      <c r="Q2390" s="34">
        <f>IF($J2390=1,LN(R2391/R2390),"")</f>
        <v/>
      </c>
      <c r="R2390" s="32" t="n">
        <v>3.7476</v>
      </c>
      <c r="S2390" s="35" t="n">
        <v>15.68</v>
      </c>
      <c r="T2390" s="18" t="n"/>
      <c r="U2390" s="18" t="n"/>
      <c r="V2390" s="18" t="n"/>
      <c r="W2390" s="18" t="n">
        <v>45222.69</v>
      </c>
      <c r="X2390" s="35" t="n">
        <v>15.68</v>
      </c>
      <c r="Y2390" s="35" t="n"/>
    </row>
    <row r="2391">
      <c r="A2391" s="25" t="n">
        <v>42346</v>
      </c>
      <c r="B2391" s="18" t="n">
        <v>44443.25</v>
      </c>
      <c r="C2391" s="31" t="n"/>
      <c r="D2391" s="32" t="n"/>
      <c r="E2391" s="33" t="n">
        <v>-0.0225</v>
      </c>
      <c r="F2391" t="inlineStr">
        <is>
          <t>Down</t>
        </is>
      </c>
      <c r="G2391" t="inlineStr">
        <is>
          <t>Up</t>
        </is>
      </c>
      <c r="H2391" t="inlineStr">
        <is>
          <t>ED_JU</t>
        </is>
      </c>
      <c r="I2391" t="inlineStr">
        <is>
          <t>2015-12</t>
        </is>
      </c>
      <c r="J2391" t="n">
        <v>1</v>
      </c>
      <c r="K2391" t="n">
        <v>1</v>
      </c>
      <c r="L2391" s="34">
        <f>IF($J2391=1,LN(B2392/B2391),"")</f>
        <v/>
      </c>
      <c r="M2391" s="34">
        <f>IF($K2391=1,INDEX(Mensal!$D$2:$D$245,MATCH($I2391,Mensal!$A$2:$A$245,0)),"")</f>
        <v/>
      </c>
      <c r="N2391" s="34">
        <f>IF($K2391=1,L2391-M2391,"")</f>
        <v/>
      </c>
      <c r="O2391" s="34" t="n">
        <v>0.00052496</v>
      </c>
      <c r="P2391" s="34">
        <f>IF($J2391=1,LN(1+O2391),"")</f>
        <v/>
      </c>
      <c r="Q2391" s="34">
        <f>IF($J2391=1,LN(R2392/R2391),"")</f>
        <v/>
      </c>
      <c r="R2391" s="32" t="n">
        <v>3.7921</v>
      </c>
      <c r="S2391" s="35" t="n">
        <v>15.718</v>
      </c>
      <c r="T2391" s="18" t="n"/>
      <c r="U2391" s="18" t="n"/>
      <c r="V2391" s="18" t="n"/>
      <c r="W2391" s="18" t="n">
        <v>44443.25</v>
      </c>
      <c r="X2391" s="35" t="n">
        <v>15.718</v>
      </c>
      <c r="Y2391" s="35" t="n"/>
    </row>
    <row r="2392">
      <c r="A2392" s="25" t="n">
        <v>42347</v>
      </c>
      <c r="B2392" s="18" t="n">
        <v>46108.02</v>
      </c>
      <c r="C2392" s="31" t="n"/>
      <c r="D2392" s="32" t="n"/>
      <c r="E2392" s="33" t="n">
        <v>-0.0161</v>
      </c>
      <c r="F2392" t="inlineStr">
        <is>
          <t>Down</t>
        </is>
      </c>
      <c r="G2392" t="inlineStr">
        <is>
          <t>Up</t>
        </is>
      </c>
      <c r="H2392" t="inlineStr">
        <is>
          <t>ED_JU</t>
        </is>
      </c>
      <c r="I2392" t="inlineStr">
        <is>
          <t>2015-12</t>
        </is>
      </c>
      <c r="J2392" t="n">
        <v>1</v>
      </c>
      <c r="K2392" t="n">
        <v>1</v>
      </c>
      <c r="L2392" s="34">
        <f>IF($J2392=1,LN(B2393/B2392),"")</f>
        <v/>
      </c>
      <c r="M2392" s="34">
        <f>IF($K2392=1,INDEX(Mensal!$D$2:$D$245,MATCH($I2392,Mensal!$A$2:$A$245,0)),"")</f>
        <v/>
      </c>
      <c r="N2392" s="34">
        <f>IF($K2392=1,L2392-M2392,"")</f>
        <v/>
      </c>
      <c r="O2392" s="34" t="n">
        <v>0.00052496</v>
      </c>
      <c r="P2392" s="34">
        <f>IF($J2392=1,LN(1+O2392),"")</f>
        <v/>
      </c>
      <c r="Q2392" s="34">
        <f>IF($J2392=1,LN(R2393/R2392),"")</f>
        <v/>
      </c>
      <c r="R2392" s="32" t="n">
        <v>3.758</v>
      </c>
      <c r="S2392" s="35" t="n">
        <v>15.654</v>
      </c>
      <c r="T2392" s="18" t="n"/>
      <c r="U2392" s="18" t="n"/>
      <c r="V2392" s="18" t="n"/>
      <c r="W2392" s="18" t="n">
        <v>46108.02</v>
      </c>
      <c r="X2392" s="35" t="n">
        <v>15.654</v>
      </c>
      <c r="Y2392" s="35" t="n"/>
    </row>
    <row r="2393">
      <c r="A2393" s="25" t="n">
        <v>42348</v>
      </c>
      <c r="B2393" s="18" t="n">
        <v>45630.7</v>
      </c>
      <c r="C2393" s="31" t="n"/>
      <c r="D2393" s="32" t="n"/>
      <c r="E2393" s="33" t="n">
        <v>-0.0076</v>
      </c>
      <c r="F2393" t="inlineStr">
        <is>
          <t>Down</t>
        </is>
      </c>
      <c r="G2393" t="inlineStr">
        <is>
          <t>Up</t>
        </is>
      </c>
      <c r="H2393" t="inlineStr">
        <is>
          <t>ED_JU</t>
        </is>
      </c>
      <c r="I2393" t="inlineStr">
        <is>
          <t>2015-12</t>
        </is>
      </c>
      <c r="J2393" t="n">
        <v>1</v>
      </c>
      <c r="K2393" t="n">
        <v>1</v>
      </c>
      <c r="L2393" s="34">
        <f>IF($J2393=1,LN(B2394/B2393),"")</f>
        <v/>
      </c>
      <c r="M2393" s="34">
        <f>IF($K2393=1,INDEX(Mensal!$D$2:$D$245,MATCH($I2393,Mensal!$A$2:$A$245,0)),"")</f>
        <v/>
      </c>
      <c r="N2393" s="34">
        <f>IF($K2393=1,L2393-M2393,"")</f>
        <v/>
      </c>
      <c r="O2393" s="34" t="n">
        <v>0.00052496</v>
      </c>
      <c r="P2393" s="34">
        <f>IF($J2393=1,LN(1+O2393),"")</f>
        <v/>
      </c>
      <c r="Q2393" s="34">
        <f>IF($J2393=1,LN(R2394/R2393),"")</f>
        <v/>
      </c>
      <c r="R2393" s="32" t="n">
        <v>3.7685</v>
      </c>
      <c r="S2393" s="35" t="n">
        <v>15.89</v>
      </c>
      <c r="T2393" s="18" t="n"/>
      <c r="U2393" s="18" t="n"/>
      <c r="V2393" s="18" t="n"/>
      <c r="W2393" s="18" t="n">
        <v>45630.7</v>
      </c>
      <c r="X2393" s="35" t="n">
        <v>15.89</v>
      </c>
      <c r="Y2393" s="35" t="n"/>
    </row>
    <row r="2394">
      <c r="A2394" s="25" t="n">
        <v>42349</v>
      </c>
      <c r="B2394" s="18" t="n">
        <v>45262.72</v>
      </c>
      <c r="C2394" s="31" t="n"/>
      <c r="D2394" s="32" t="n"/>
      <c r="E2394" s="33" t="n">
        <v>-0.0029</v>
      </c>
      <c r="F2394" t="inlineStr">
        <is>
          <t>Down</t>
        </is>
      </c>
      <c r="G2394" t="inlineStr">
        <is>
          <t>Up</t>
        </is>
      </c>
      <c r="H2394" t="inlineStr">
        <is>
          <t>ED_JU</t>
        </is>
      </c>
      <c r="I2394" t="inlineStr">
        <is>
          <t>2015-12</t>
        </is>
      </c>
      <c r="J2394" t="n">
        <v>1</v>
      </c>
      <c r="K2394" t="n">
        <v>1</v>
      </c>
      <c r="L2394" s="34">
        <f>IF($J2394=1,LN(B2395/B2394),"")</f>
        <v/>
      </c>
      <c r="M2394" s="34">
        <f>IF($K2394=1,INDEX(Mensal!$D$2:$D$245,MATCH($I2394,Mensal!$A$2:$A$245,0)),"")</f>
        <v/>
      </c>
      <c r="N2394" s="34">
        <f>IF($K2394=1,L2394-M2394,"")</f>
        <v/>
      </c>
      <c r="O2394" s="34" t="n">
        <v>0.00052496</v>
      </c>
      <c r="P2394" s="34">
        <f>IF($J2394=1,LN(1+O2394),"")</f>
        <v/>
      </c>
      <c r="Q2394" s="34">
        <f>IF($J2394=1,LN(R2395/R2394),"")</f>
        <v/>
      </c>
      <c r="R2394" s="32" t="n">
        <v>3.8548</v>
      </c>
      <c r="S2394" s="35" t="n">
        <v>15.921</v>
      </c>
      <c r="T2394" s="18" t="n"/>
      <c r="U2394" s="18" t="n"/>
      <c r="V2394" s="18" t="n"/>
      <c r="W2394" s="18" t="n">
        <v>45262.72</v>
      </c>
      <c r="X2394" s="35" t="n">
        <v>15.921</v>
      </c>
      <c r="Y2394" s="35" t="n"/>
    </row>
    <row r="2395">
      <c r="A2395" s="25" t="n">
        <v>42352</v>
      </c>
      <c r="B2395" s="18" t="n">
        <v>44747.31</v>
      </c>
      <c r="C2395" s="31" t="n"/>
      <c r="D2395" s="32" t="n"/>
      <c r="E2395" s="33" t="n">
        <v>0.0013</v>
      </c>
      <c r="F2395" t="inlineStr">
        <is>
          <t>Down</t>
        </is>
      </c>
      <c r="G2395" t="inlineStr">
        <is>
          <t>Up</t>
        </is>
      </c>
      <c r="H2395" t="inlineStr">
        <is>
          <t>ED_JU</t>
        </is>
      </c>
      <c r="I2395" t="inlineStr">
        <is>
          <t>2015-12</t>
        </is>
      </c>
      <c r="J2395" t="n">
        <v>1</v>
      </c>
      <c r="K2395" t="n">
        <v>1</v>
      </c>
      <c r="L2395" s="34">
        <f>IF($J2395=1,LN(B2396/B2395),"")</f>
        <v/>
      </c>
      <c r="M2395" s="34">
        <f>IF($K2395=1,INDEX(Mensal!$D$2:$D$245,MATCH($I2395,Mensal!$A$2:$A$245,0)),"")</f>
        <v/>
      </c>
      <c r="N2395" s="34">
        <f>IF($K2395=1,L2395-M2395,"")</f>
        <v/>
      </c>
      <c r="O2395" s="34" t="n">
        <v>0.00052496</v>
      </c>
      <c r="P2395" s="34">
        <f>IF($J2395=1,LN(1+O2395),"")</f>
        <v/>
      </c>
      <c r="Q2395" s="34">
        <f>IF($J2395=1,LN(R2396/R2395),"")</f>
        <v/>
      </c>
      <c r="R2395" s="32" t="n">
        <v>3.9023</v>
      </c>
      <c r="S2395" s="35" t="n">
        <v>16.008</v>
      </c>
      <c r="T2395" s="18" t="n"/>
      <c r="U2395" s="18" t="n"/>
      <c r="V2395" s="18" t="n"/>
      <c r="W2395" s="18" t="n">
        <v>44747.31</v>
      </c>
      <c r="X2395" s="35" t="n">
        <v>16.008</v>
      </c>
      <c r="Y2395" s="35" t="n"/>
    </row>
    <row r="2396">
      <c r="A2396" s="25" t="n">
        <v>42353</v>
      </c>
      <c r="B2396" s="18" t="n">
        <v>44872.46</v>
      </c>
      <c r="C2396" s="31" t="n"/>
      <c r="D2396" s="32" t="n"/>
      <c r="E2396" s="33" t="n">
        <v>-0.0121</v>
      </c>
      <c r="F2396" t="inlineStr">
        <is>
          <t>Down</t>
        </is>
      </c>
      <c r="G2396" t="inlineStr">
        <is>
          <t>Up</t>
        </is>
      </c>
      <c r="H2396" t="inlineStr">
        <is>
          <t>ED_JU</t>
        </is>
      </c>
      <c r="I2396" t="inlineStr">
        <is>
          <t>2015-12</t>
        </is>
      </c>
      <c r="J2396" t="n">
        <v>1</v>
      </c>
      <c r="K2396" t="n">
        <v>1</v>
      </c>
      <c r="L2396" s="34">
        <f>IF($J2396=1,LN(B2397/B2396),"")</f>
        <v/>
      </c>
      <c r="M2396" s="34">
        <f>IF($K2396=1,INDEX(Mensal!$D$2:$D$245,MATCH($I2396,Mensal!$A$2:$A$245,0)),"")</f>
        <v/>
      </c>
      <c r="N2396" s="34">
        <f>IF($K2396=1,L2396-M2396,"")</f>
        <v/>
      </c>
      <c r="O2396" s="34" t="n">
        <v>0.00052496</v>
      </c>
      <c r="P2396" s="34">
        <f>IF($J2396=1,LN(1+O2396),"")</f>
        <v/>
      </c>
      <c r="Q2396" s="34">
        <f>IF($J2396=1,LN(R2397/R2396),"")</f>
        <v/>
      </c>
      <c r="R2396" s="32" t="n">
        <v>3.8703</v>
      </c>
      <c r="S2396" s="35" t="n">
        <v>15.945</v>
      </c>
      <c r="T2396" s="18" t="n"/>
      <c r="U2396" s="18" t="n"/>
      <c r="V2396" s="18" t="n"/>
      <c r="W2396" s="18" t="n">
        <v>44872.46</v>
      </c>
      <c r="X2396" s="35" t="n">
        <v>15.945</v>
      </c>
      <c r="Y2396" s="35" t="n"/>
    </row>
    <row r="2397">
      <c r="A2397" s="25" t="n">
        <v>42354</v>
      </c>
      <c r="B2397" s="18" t="n">
        <v>45015.84</v>
      </c>
      <c r="C2397" s="31" t="n"/>
      <c r="D2397" s="32" t="n"/>
      <c r="E2397" s="33" t="n">
        <v>-0.0215</v>
      </c>
      <c r="F2397" t="inlineStr">
        <is>
          <t>Down</t>
        </is>
      </c>
      <c r="G2397" t="inlineStr">
        <is>
          <t>Up</t>
        </is>
      </c>
      <c r="H2397" t="inlineStr">
        <is>
          <t>ED_JU</t>
        </is>
      </c>
      <c r="I2397" t="inlineStr">
        <is>
          <t>2015-12</t>
        </is>
      </c>
      <c r="J2397" t="n">
        <v>1</v>
      </c>
      <c r="K2397" t="n">
        <v>1</v>
      </c>
      <c r="L2397" s="34">
        <f>IF($J2397=1,LN(B2398/B2397),"")</f>
        <v/>
      </c>
      <c r="M2397" s="34">
        <f>IF($K2397=1,INDEX(Mensal!$D$2:$D$245,MATCH($I2397,Mensal!$A$2:$A$245,0)),"")</f>
        <v/>
      </c>
      <c r="N2397" s="34">
        <f>IF($K2397=1,L2397-M2397,"")</f>
        <v/>
      </c>
      <c r="O2397" s="34" t="n">
        <v>0.00052496</v>
      </c>
      <c r="P2397" s="34">
        <f>IF($J2397=1,LN(1+O2397),"")</f>
        <v/>
      </c>
      <c r="Q2397" s="34">
        <f>IF($J2397=1,LN(R2398/R2397),"")</f>
        <v/>
      </c>
      <c r="R2397" s="32" t="n">
        <v>3.9357</v>
      </c>
      <c r="S2397" s="35" t="n">
        <v>15.988</v>
      </c>
      <c r="T2397" s="18" t="n"/>
      <c r="U2397" s="18" t="n"/>
      <c r="V2397" s="18" t="n"/>
      <c r="W2397" s="18" t="n">
        <v>45015.84</v>
      </c>
      <c r="X2397" s="35" t="n">
        <v>15.988</v>
      </c>
      <c r="Y2397" s="35" t="n"/>
    </row>
    <row r="2398">
      <c r="A2398" s="25" t="n">
        <v>42355</v>
      </c>
      <c r="B2398" s="18" t="n">
        <v>45261.47</v>
      </c>
      <c r="C2398" s="31" t="n"/>
      <c r="D2398" s="32" t="n"/>
      <c r="E2398" s="33" t="n">
        <v>-0.0197</v>
      </c>
      <c r="F2398" t="inlineStr">
        <is>
          <t>Down</t>
        </is>
      </c>
      <c r="G2398" t="inlineStr">
        <is>
          <t>Up</t>
        </is>
      </c>
      <c r="H2398" t="inlineStr">
        <is>
          <t>ED_JU</t>
        </is>
      </c>
      <c r="I2398" t="inlineStr">
        <is>
          <t>2015-12</t>
        </is>
      </c>
      <c r="J2398" t="n">
        <v>1</v>
      </c>
      <c r="K2398" t="n">
        <v>1</v>
      </c>
      <c r="L2398" s="34">
        <f>IF($J2398=1,LN(B2399/B2398),"")</f>
        <v/>
      </c>
      <c r="M2398" s="34">
        <f>IF($K2398=1,INDEX(Mensal!$D$2:$D$245,MATCH($I2398,Mensal!$A$2:$A$245,0)),"")</f>
        <v/>
      </c>
      <c r="N2398" s="34">
        <f>IF($K2398=1,L2398-M2398,"")</f>
        <v/>
      </c>
      <c r="O2398" s="34" t="n">
        <v>0.00052496</v>
      </c>
      <c r="P2398" s="34">
        <f>IF($J2398=1,LN(1+O2398),"")</f>
        <v/>
      </c>
      <c r="Q2398" s="34">
        <f>IF($J2398=1,LN(R2399/R2398),"")</f>
        <v/>
      </c>
      <c r="R2398" s="32" t="n">
        <v>3.8929</v>
      </c>
      <c r="S2398" s="35" t="n">
        <v>15.799</v>
      </c>
      <c r="T2398" s="18" t="n"/>
      <c r="U2398" s="18" t="n"/>
      <c r="V2398" s="18" t="n"/>
      <c r="W2398" s="18" t="n">
        <v>45261.47</v>
      </c>
      <c r="X2398" s="35" t="n">
        <v>15.799</v>
      </c>
      <c r="Y2398" s="35" t="n"/>
    </row>
    <row r="2399">
      <c r="A2399" s="25" t="n">
        <v>42356</v>
      </c>
      <c r="B2399" s="18" t="n">
        <v>43910.59</v>
      </c>
      <c r="C2399" s="31" t="n"/>
      <c r="D2399" s="32" t="n"/>
      <c r="E2399" s="33" t="n">
        <v>-0.012</v>
      </c>
      <c r="F2399" t="inlineStr">
        <is>
          <t>Down</t>
        </is>
      </c>
      <c r="G2399" t="inlineStr">
        <is>
          <t>Up</t>
        </is>
      </c>
      <c r="H2399" t="inlineStr">
        <is>
          <t>ED_JU</t>
        </is>
      </c>
      <c r="I2399" t="inlineStr">
        <is>
          <t>2015-12</t>
        </is>
      </c>
      <c r="J2399" t="n">
        <v>1</v>
      </c>
      <c r="K2399" t="n">
        <v>1</v>
      </c>
      <c r="L2399" s="34">
        <f>IF($J2399=1,LN(B2400/B2399),"")</f>
        <v/>
      </c>
      <c r="M2399" s="34">
        <f>IF($K2399=1,INDEX(Mensal!$D$2:$D$245,MATCH($I2399,Mensal!$A$2:$A$245,0)),"")</f>
        <v/>
      </c>
      <c r="N2399" s="34">
        <f>IF($K2399=1,L2399-M2399,"")</f>
        <v/>
      </c>
      <c r="O2399" s="34" t="n">
        <v>0.00052496</v>
      </c>
      <c r="P2399" s="34">
        <f>IF($J2399=1,LN(1+O2399),"")</f>
        <v/>
      </c>
      <c r="Q2399" s="34">
        <f>IF($J2399=1,LN(R2400/R2399),"")</f>
        <v/>
      </c>
      <c r="R2399" s="32" t="n">
        <v>3.9062</v>
      </c>
      <c r="S2399" s="35" t="n">
        <v>15.785</v>
      </c>
      <c r="T2399" s="18" t="n"/>
      <c r="U2399" s="18" t="n"/>
      <c r="V2399" s="18" t="n"/>
      <c r="W2399" s="18" t="n">
        <v>43910.59</v>
      </c>
      <c r="X2399" s="35" t="n">
        <v>15.785</v>
      </c>
      <c r="Y2399" s="35" t="n"/>
    </row>
    <row r="2400">
      <c r="A2400" s="25" t="n">
        <v>42359</v>
      </c>
      <c r="B2400" s="18" t="n">
        <v>43199.95</v>
      </c>
      <c r="C2400" s="31" t="n"/>
      <c r="D2400" s="32" t="n"/>
      <c r="E2400" s="33" t="n">
        <v>-0.0036</v>
      </c>
      <c r="F2400" t="inlineStr">
        <is>
          <t>Down</t>
        </is>
      </c>
      <c r="G2400" t="inlineStr">
        <is>
          <t>Up</t>
        </is>
      </c>
      <c r="H2400" t="inlineStr">
        <is>
          <t>ED_JU</t>
        </is>
      </c>
      <c r="I2400" t="inlineStr">
        <is>
          <t>2015-12</t>
        </is>
      </c>
      <c r="J2400" t="n">
        <v>1</v>
      </c>
      <c r="K2400" t="n">
        <v>1</v>
      </c>
      <c r="L2400" s="34">
        <f>IF($J2400=1,LN(B2401/B2400),"")</f>
        <v/>
      </c>
      <c r="M2400" s="34">
        <f>IF($K2400=1,INDEX(Mensal!$D$2:$D$245,MATCH($I2400,Mensal!$A$2:$A$245,0)),"")</f>
        <v/>
      </c>
      <c r="N2400" s="34">
        <f>IF($K2400=1,L2400-M2400,"")</f>
        <v/>
      </c>
      <c r="O2400" s="34" t="n">
        <v>0.00052496</v>
      </c>
      <c r="P2400" s="34">
        <f>IF($J2400=1,LN(1+O2400),"")</f>
        <v/>
      </c>
      <c r="Q2400" s="34">
        <f>IF($J2400=1,LN(R2401/R2400),"")</f>
        <v/>
      </c>
      <c r="R2400" s="32" t="n">
        <v>3.9831</v>
      </c>
      <c r="S2400" s="35" t="n">
        <v>15.969</v>
      </c>
      <c r="T2400" s="18" t="n"/>
      <c r="U2400" s="18" t="n"/>
      <c r="V2400" s="18" t="n"/>
      <c r="W2400" s="18" t="n">
        <v>43199.95</v>
      </c>
      <c r="X2400" s="35" t="n">
        <v>15.969</v>
      </c>
      <c r="Y2400" s="35" t="n"/>
    </row>
    <row r="2401">
      <c r="A2401" s="25" t="n">
        <v>42360</v>
      </c>
      <c r="B2401" s="18" t="n">
        <v>43469.51</v>
      </c>
      <c r="C2401" s="31" t="n"/>
      <c r="D2401" s="32" t="n"/>
      <c r="E2401" s="33" t="n">
        <v>0.0155</v>
      </c>
      <c r="F2401" t="inlineStr">
        <is>
          <t>Down</t>
        </is>
      </c>
      <c r="G2401" t="inlineStr">
        <is>
          <t>Up</t>
        </is>
      </c>
      <c r="H2401" t="inlineStr">
        <is>
          <t>ED_JU</t>
        </is>
      </c>
      <c r="I2401" t="inlineStr">
        <is>
          <t>2015-12</t>
        </is>
      </c>
      <c r="J2401" t="n">
        <v>1</v>
      </c>
      <c r="K2401" t="n">
        <v>1</v>
      </c>
      <c r="L2401" s="34">
        <f>IF($J2401=1,LN(B2402/B2401),"")</f>
        <v/>
      </c>
      <c r="M2401" s="34">
        <f>IF($K2401=1,INDEX(Mensal!$D$2:$D$245,MATCH($I2401,Mensal!$A$2:$A$245,0)),"")</f>
        <v/>
      </c>
      <c r="N2401" s="34">
        <f>IF($K2401=1,L2401-M2401,"")</f>
        <v/>
      </c>
      <c r="O2401" s="34" t="n">
        <v>0.00052496</v>
      </c>
      <c r="P2401" s="34">
        <f>IF($J2401=1,LN(1+O2401),"")</f>
        <v/>
      </c>
      <c r="Q2401" s="34">
        <f>IF($J2401=1,LN(R2402/R2401),"")</f>
        <v/>
      </c>
      <c r="R2401" s="32" t="n">
        <v>3.977</v>
      </c>
      <c r="S2401" s="35" t="n">
        <v>15.856</v>
      </c>
      <c r="T2401" s="18" t="n"/>
      <c r="U2401" s="18" t="n"/>
      <c r="V2401" s="18" t="n"/>
      <c r="W2401" s="18" t="n">
        <v>43469.51</v>
      </c>
      <c r="X2401" s="35" t="n">
        <v>15.856</v>
      </c>
      <c r="Y2401" s="35" t="n"/>
    </row>
    <row r="2402">
      <c r="A2402" s="25" t="n">
        <v>42361</v>
      </c>
      <c r="B2402" s="18" t="n">
        <v>44014.93</v>
      </c>
      <c r="C2402" s="31" t="n"/>
      <c r="D2402" s="32" t="n"/>
      <c r="E2402" s="33" t="n">
        <v>0.0343</v>
      </c>
      <c r="F2402" t="inlineStr">
        <is>
          <t>Down</t>
        </is>
      </c>
      <c r="G2402" t="inlineStr">
        <is>
          <t>Up</t>
        </is>
      </c>
      <c r="H2402" t="inlineStr">
        <is>
          <t>ED_JU</t>
        </is>
      </c>
      <c r="I2402" t="inlineStr">
        <is>
          <t>2015-12</t>
        </is>
      </c>
      <c r="J2402" t="n">
        <v>1</v>
      </c>
      <c r="K2402" t="n">
        <v>1</v>
      </c>
      <c r="L2402" s="34">
        <f>IF($J2402=1,LN(B2403/B2402),"")</f>
        <v/>
      </c>
      <c r="M2402" s="34">
        <f>IF($K2402=1,INDEX(Mensal!$D$2:$D$245,MATCH($I2402,Mensal!$A$2:$A$245,0)),"")</f>
        <v/>
      </c>
      <c r="N2402" s="34">
        <f>IF($K2402=1,L2402-M2402,"")</f>
        <v/>
      </c>
      <c r="O2402" s="34" t="n">
        <v>0.00052496</v>
      </c>
      <c r="P2402" s="34">
        <f>IF($J2402=1,LN(1+O2402),"")</f>
        <v/>
      </c>
      <c r="Q2402" s="34">
        <f>IF($J2402=1,LN(R2403/R2402),"")</f>
        <v/>
      </c>
      <c r="R2402" s="32" t="n">
        <v>3.9632</v>
      </c>
      <c r="S2402" s="35" t="n">
        <v>15.806</v>
      </c>
      <c r="T2402" s="18" t="n"/>
      <c r="U2402" s="18" t="n"/>
      <c r="V2402" s="18" t="n"/>
      <c r="W2402" s="18" t="n">
        <v>44014.93</v>
      </c>
      <c r="X2402" s="35" t="n">
        <v>15.806</v>
      </c>
      <c r="Y2402" s="35" t="n"/>
    </row>
    <row r="2403">
      <c r="A2403" s="25" t="n">
        <v>42366</v>
      </c>
      <c r="B2403" s="18" t="n">
        <v>43764.33</v>
      </c>
      <c r="C2403" s="31" t="n"/>
      <c r="D2403" s="32" t="n"/>
      <c r="E2403" s="33" t="n">
        <v>0.0601</v>
      </c>
      <c r="F2403" t="inlineStr">
        <is>
          <t>Down</t>
        </is>
      </c>
      <c r="G2403" t="inlineStr">
        <is>
          <t>Up</t>
        </is>
      </c>
      <c r="H2403" t="inlineStr">
        <is>
          <t>ED_JU</t>
        </is>
      </c>
      <c r="I2403" t="inlineStr">
        <is>
          <t>2015-12</t>
        </is>
      </c>
      <c r="J2403" t="n">
        <v>1</v>
      </c>
      <c r="K2403" t="n">
        <v>1</v>
      </c>
      <c r="L2403" s="34">
        <f>IF($J2403=1,LN(B2404/B2403),"")</f>
        <v/>
      </c>
      <c r="M2403" s="34">
        <f>IF($K2403=1,INDEX(Mensal!$D$2:$D$245,MATCH($I2403,Mensal!$A$2:$A$245,0)),"")</f>
        <v/>
      </c>
      <c r="N2403" s="34">
        <f>IF($K2403=1,L2403-M2403,"")</f>
        <v/>
      </c>
      <c r="O2403" s="34" t="n">
        <v>0.00052496</v>
      </c>
      <c r="P2403" s="34">
        <f>IF($J2403=1,LN(1+O2403),"")</f>
        <v/>
      </c>
      <c r="Q2403" s="34">
        <f>IF($J2403=1,LN(R2404/R2403),"")</f>
        <v/>
      </c>
      <c r="R2403" s="32" t="n">
        <v>3.9186</v>
      </c>
      <c r="S2403" s="35" t="n">
        <v>15.763</v>
      </c>
      <c r="T2403" s="18" t="n"/>
      <c r="U2403" s="18" t="n"/>
      <c r="V2403" s="18" t="n"/>
      <c r="W2403" s="18" t="n">
        <v>43764.33</v>
      </c>
      <c r="X2403" s="35" t="n">
        <v>15.763</v>
      </c>
      <c r="Y2403" s="35" t="n"/>
    </row>
    <row r="2404">
      <c r="A2404" s="25" t="n">
        <v>42367</v>
      </c>
      <c r="B2404" s="18" t="n">
        <v>43653.96</v>
      </c>
      <c r="C2404" s="31" t="n"/>
      <c r="D2404" s="32" t="n"/>
      <c r="E2404" s="33" t="n">
        <v>0.0944</v>
      </c>
      <c r="F2404" t="inlineStr">
        <is>
          <t>Down</t>
        </is>
      </c>
      <c r="G2404" t="inlineStr">
        <is>
          <t>Up</t>
        </is>
      </c>
      <c r="H2404" t="inlineStr">
        <is>
          <t>ED_JU</t>
        </is>
      </c>
      <c r="I2404" t="inlineStr">
        <is>
          <t>2015-12</t>
        </is>
      </c>
      <c r="J2404" t="n">
        <v>1</v>
      </c>
      <c r="K2404" t="n">
        <v>1</v>
      </c>
      <c r="L2404" s="34">
        <f>IF($J2404=1,LN(B2405/B2404),"")</f>
        <v/>
      </c>
      <c r="M2404" s="34">
        <f>IF($K2404=1,INDEX(Mensal!$D$2:$D$245,MATCH($I2404,Mensal!$A$2:$A$245,0)),"")</f>
        <v/>
      </c>
      <c r="N2404" s="34">
        <f>IF($K2404=1,L2404-M2404,"")</f>
        <v/>
      </c>
      <c r="O2404" s="34" t="n">
        <v>0.00052496</v>
      </c>
      <c r="P2404" s="34">
        <f>IF($J2404=1,LN(1+O2404),"")</f>
        <v/>
      </c>
      <c r="Q2404" s="34">
        <f>IF($J2404=1,LN(R2405/R2404),"")</f>
        <v/>
      </c>
      <c r="R2404" s="32" t="n">
        <v>3.8492</v>
      </c>
      <c r="S2404" s="35" t="n">
        <v>15.84</v>
      </c>
      <c r="T2404" s="18" t="n"/>
      <c r="U2404" s="18" t="n"/>
      <c r="V2404" s="18" t="n"/>
      <c r="W2404" s="18" t="n">
        <v>43653.96</v>
      </c>
      <c r="X2404" s="35" t="n">
        <v>15.84</v>
      </c>
      <c r="Y2404" s="35" t="n"/>
    </row>
    <row r="2405">
      <c r="A2405" s="25" t="n">
        <v>42368</v>
      </c>
      <c r="B2405" s="18" t="n">
        <v>43349.96</v>
      </c>
      <c r="C2405" s="31" t="n"/>
      <c r="D2405" s="32" t="n"/>
      <c r="E2405" s="33" t="n">
        <v>0.1306</v>
      </c>
      <c r="F2405" t="inlineStr">
        <is>
          <t>Down</t>
        </is>
      </c>
      <c r="G2405" t="inlineStr">
        <is>
          <t>Up</t>
        </is>
      </c>
      <c r="H2405" t="inlineStr">
        <is>
          <t>ED_JU</t>
        </is>
      </c>
      <c r="I2405" t="inlineStr">
        <is>
          <t>2015-12</t>
        </is>
      </c>
      <c r="J2405" t="n">
        <v>1</v>
      </c>
      <c r="K2405" t="n">
        <v>1</v>
      </c>
      <c r="L2405" s="34">
        <f>IF($J2405=1,LN(B2406/B2405),"")</f>
        <v/>
      </c>
      <c r="M2405" s="34">
        <f>IF($K2405=1,INDEX(Mensal!$D$2:$D$245,MATCH($I2405,Mensal!$A$2:$A$245,0)),"")</f>
        <v/>
      </c>
      <c r="N2405" s="34">
        <f>IF($K2405=1,L2405-M2405,"")</f>
        <v/>
      </c>
      <c r="O2405" s="34" t="n">
        <v>0.00052496</v>
      </c>
      <c r="P2405" s="34">
        <f>IF($J2405=1,LN(1+O2405),"")</f>
        <v/>
      </c>
      <c r="Q2405" s="34">
        <f>IF($J2405=1,LN(R2406/R2405),"")</f>
        <v/>
      </c>
      <c r="R2405" s="32" t="n">
        <v>3.9048</v>
      </c>
      <c r="S2405" s="35" t="n">
        <v>15.857</v>
      </c>
      <c r="T2405" s="18" t="n"/>
      <c r="U2405" s="18" t="n"/>
      <c r="V2405" s="18" t="n"/>
      <c r="W2405" s="18" t="n">
        <v>43349.96</v>
      </c>
      <c r="X2405" s="35" t="n">
        <v>15.857</v>
      </c>
      <c r="Y2405" s="35" t="n"/>
    </row>
    <row r="2406">
      <c r="A2406" s="25" t="n">
        <v>42373</v>
      </c>
      <c r="B2406" s="18" t="n">
        <v>42141.03</v>
      </c>
      <c r="C2406" s="31" t="n"/>
      <c r="D2406" s="32" t="n"/>
      <c r="E2406" s="33" t="n">
        <v>0.1434</v>
      </c>
      <c r="F2406" t="inlineStr">
        <is>
          <t>Down</t>
        </is>
      </c>
      <c r="G2406" t="inlineStr">
        <is>
          <t>Up</t>
        </is>
      </c>
      <c r="H2406" t="inlineStr">
        <is>
          <t>ED_JU</t>
        </is>
      </c>
      <c r="I2406" t="inlineStr">
        <is>
          <t>2016-01</t>
        </is>
      </c>
      <c r="J2406" t="n">
        <v>1</v>
      </c>
      <c r="K2406" t="n">
        <v>1</v>
      </c>
      <c r="L2406" s="34">
        <f>IF($J2406=1,LN(B2407/B2406),"")</f>
        <v/>
      </c>
      <c r="M2406" s="34">
        <f>IF($K2406=1,INDEX(Mensal!$D$2:$D$245,MATCH($I2406,Mensal!$A$2:$A$245,0)),"")</f>
        <v/>
      </c>
      <c r="N2406" s="34">
        <f>IF($K2406=1,L2406-M2406,"")</f>
        <v/>
      </c>
      <c r="O2406" s="34" t="n">
        <v>0.00052496</v>
      </c>
      <c r="P2406" s="34">
        <f>IF($J2406=1,LN(1+O2406),"")</f>
        <v/>
      </c>
      <c r="Q2406" s="34">
        <f>IF($J2406=1,LN(R2407/R2406),"")</f>
        <v/>
      </c>
      <c r="R2406" s="32" t="n">
        <v>4.0387</v>
      </c>
      <c r="S2406" s="35" t="n">
        <v>15.758</v>
      </c>
      <c r="T2406" s="18" t="n"/>
      <c r="U2406" s="18" t="n"/>
      <c r="V2406" s="18" t="n"/>
      <c r="W2406" s="18" t="n">
        <v>42141.03</v>
      </c>
      <c r="X2406" s="35" t="n">
        <v>15.758</v>
      </c>
      <c r="Y2406" s="35" t="n"/>
    </row>
    <row r="2407">
      <c r="A2407" s="25" t="n">
        <v>42374</v>
      </c>
      <c r="B2407" s="18" t="n">
        <v>42419.32</v>
      </c>
      <c r="C2407" s="31" t="n"/>
      <c r="D2407" s="32" t="n"/>
      <c r="E2407" s="33" t="n">
        <v>0.1565</v>
      </c>
      <c r="F2407" t="inlineStr">
        <is>
          <t>Down</t>
        </is>
      </c>
      <c r="G2407" t="inlineStr">
        <is>
          <t>Up</t>
        </is>
      </c>
      <c r="H2407" t="inlineStr">
        <is>
          <t>ED_JU</t>
        </is>
      </c>
      <c r="I2407" t="inlineStr">
        <is>
          <t>2016-01</t>
        </is>
      </c>
      <c r="J2407" t="n">
        <v>1</v>
      </c>
      <c r="K2407" t="n">
        <v>1</v>
      </c>
      <c r="L2407" s="34">
        <f>IF($J2407=1,LN(B2408/B2407),"")</f>
        <v/>
      </c>
      <c r="M2407" s="34">
        <f>IF($K2407=1,INDEX(Mensal!$D$2:$D$245,MATCH($I2407,Mensal!$A$2:$A$245,0)),"")</f>
        <v/>
      </c>
      <c r="N2407" s="34">
        <f>IF($K2407=1,L2407-M2407,"")</f>
        <v/>
      </c>
      <c r="O2407" s="34" t="n">
        <v>0.00052496</v>
      </c>
      <c r="P2407" s="34">
        <f>IF($J2407=1,LN(1+O2407),"")</f>
        <v/>
      </c>
      <c r="Q2407" s="34">
        <f>IF($J2407=1,LN(R2408/R2407),"")</f>
        <v/>
      </c>
      <c r="R2407" s="32" t="n">
        <v>4.0114</v>
      </c>
      <c r="S2407" s="35" t="n">
        <v>15.598</v>
      </c>
      <c r="T2407" s="18" t="n"/>
      <c r="U2407" s="18" t="n"/>
      <c r="V2407" s="18" t="n"/>
      <c r="W2407" s="18" t="n">
        <v>42419.32</v>
      </c>
      <c r="X2407" s="35" t="n">
        <v>15.598</v>
      </c>
      <c r="Y2407" s="35" t="n"/>
    </row>
    <row r="2408">
      <c r="A2408" s="25" t="n">
        <v>42375</v>
      </c>
      <c r="B2408" s="18" t="n">
        <v>41773.14</v>
      </c>
      <c r="C2408" s="31" t="n"/>
      <c r="D2408" s="32" t="n"/>
      <c r="E2408" s="33" t="n">
        <v>0.1435</v>
      </c>
      <c r="F2408" t="inlineStr">
        <is>
          <t>Down</t>
        </is>
      </c>
      <c r="G2408" t="inlineStr">
        <is>
          <t>Up</t>
        </is>
      </c>
      <c r="H2408" t="inlineStr">
        <is>
          <t>ED_JU</t>
        </is>
      </c>
      <c r="I2408" t="inlineStr">
        <is>
          <t>2016-01</t>
        </is>
      </c>
      <c r="J2408" t="n">
        <v>1</v>
      </c>
      <c r="K2408" t="n">
        <v>1</v>
      </c>
      <c r="L2408" s="34">
        <f>IF($J2408=1,LN(B2409/B2408),"")</f>
        <v/>
      </c>
      <c r="M2408" s="34">
        <f>IF($K2408=1,INDEX(Mensal!$D$2:$D$245,MATCH($I2408,Mensal!$A$2:$A$245,0)),"")</f>
        <v/>
      </c>
      <c r="N2408" s="34">
        <f>IF($K2408=1,L2408-M2408,"")</f>
        <v/>
      </c>
      <c r="O2408" s="34" t="n">
        <v>0.00052496</v>
      </c>
      <c r="P2408" s="34">
        <f>IF($J2408=1,LN(1+O2408),"")</f>
        <v/>
      </c>
      <c r="Q2408" s="34">
        <f>IF($J2408=1,LN(R2409/R2408),"")</f>
        <v/>
      </c>
      <c r="R2408" s="32" t="n">
        <v>4.0303</v>
      </c>
      <c r="S2408" s="35" t="n">
        <v>15.52</v>
      </c>
      <c r="T2408" s="18" t="n"/>
      <c r="U2408" s="18" t="n"/>
      <c r="V2408" s="18" t="n"/>
      <c r="W2408" s="18" t="n">
        <v>41773.14</v>
      </c>
      <c r="X2408" s="35" t="n">
        <v>15.52</v>
      </c>
      <c r="Y2408" s="35" t="n"/>
    </row>
    <row r="2409">
      <c r="A2409" s="25" t="n">
        <v>42376</v>
      </c>
      <c r="B2409" s="18" t="n">
        <v>40694.72</v>
      </c>
      <c r="C2409" s="31" t="n"/>
      <c r="D2409" s="32" t="n"/>
      <c r="E2409" s="33" t="n">
        <v>0.1155</v>
      </c>
      <c r="F2409" t="inlineStr">
        <is>
          <t>Down</t>
        </is>
      </c>
      <c r="G2409" t="inlineStr">
        <is>
          <t>Up</t>
        </is>
      </c>
      <c r="H2409" t="inlineStr">
        <is>
          <t>ED_JU</t>
        </is>
      </c>
      <c r="I2409" t="inlineStr">
        <is>
          <t>2016-01</t>
        </is>
      </c>
      <c r="J2409" t="n">
        <v>1</v>
      </c>
      <c r="K2409" t="n">
        <v>1</v>
      </c>
      <c r="L2409" s="34">
        <f>IF($J2409=1,LN(B2410/B2409),"")</f>
        <v/>
      </c>
      <c r="M2409" s="34">
        <f>IF($K2409=1,INDEX(Mensal!$D$2:$D$245,MATCH($I2409,Mensal!$A$2:$A$245,0)),"")</f>
        <v/>
      </c>
      <c r="N2409" s="34">
        <f>IF($K2409=1,L2409-M2409,"")</f>
        <v/>
      </c>
      <c r="O2409" s="34" t="n">
        <v>0.00052496</v>
      </c>
      <c r="P2409" s="34">
        <f>IF($J2409=1,LN(1+O2409),"")</f>
        <v/>
      </c>
      <c r="Q2409" s="34">
        <f>IF($J2409=1,LN(R2410/R2409),"")</f>
        <v/>
      </c>
      <c r="R2409" s="32" t="n">
        <v>4.0475</v>
      </c>
      <c r="S2409" s="35" t="n">
        <v>15.54</v>
      </c>
      <c r="T2409" s="18" t="n"/>
      <c r="U2409" s="18" t="n"/>
      <c r="V2409" s="18" t="n"/>
      <c r="W2409" s="18" t="n">
        <v>40694.72</v>
      </c>
      <c r="X2409" s="35" t="n">
        <v>15.54</v>
      </c>
      <c r="Y2409" s="35" t="n"/>
    </row>
    <row r="2410">
      <c r="A2410" s="25" t="n">
        <v>42377</v>
      </c>
      <c r="B2410" s="18" t="n">
        <v>40612.2</v>
      </c>
      <c r="C2410" s="31" t="n"/>
      <c r="D2410" s="32" t="n"/>
      <c r="E2410" s="33" t="n">
        <v>0.0852</v>
      </c>
      <c r="F2410" t="inlineStr">
        <is>
          <t>Down</t>
        </is>
      </c>
      <c r="G2410" t="inlineStr">
        <is>
          <t>Up</t>
        </is>
      </c>
      <c r="H2410" t="inlineStr">
        <is>
          <t>ED_JU</t>
        </is>
      </c>
      <c r="I2410" t="inlineStr">
        <is>
          <t>2016-01</t>
        </is>
      </c>
      <c r="J2410" t="n">
        <v>1</v>
      </c>
      <c r="K2410" t="n">
        <v>1</v>
      </c>
      <c r="L2410" s="34">
        <f>IF($J2410=1,LN(B2411/B2410),"")</f>
        <v/>
      </c>
      <c r="M2410" s="34">
        <f>IF($K2410=1,INDEX(Mensal!$D$2:$D$245,MATCH($I2410,Mensal!$A$2:$A$245,0)),"")</f>
        <v/>
      </c>
      <c r="N2410" s="34">
        <f>IF($K2410=1,L2410-M2410,"")</f>
        <v/>
      </c>
      <c r="O2410" s="34" t="n">
        <v>0.00052496</v>
      </c>
      <c r="P2410" s="34">
        <f>IF($J2410=1,LN(1+O2410),"")</f>
        <v/>
      </c>
      <c r="Q2410" s="34">
        <f>IF($J2410=1,LN(R2411/R2410),"")</f>
        <v/>
      </c>
      <c r="R2410" s="32" t="n">
        <v>4.025</v>
      </c>
      <c r="S2410" s="35" t="n">
        <v>15.53</v>
      </c>
      <c r="T2410" s="18" t="n"/>
      <c r="U2410" s="18" t="n"/>
      <c r="V2410" s="18" t="n"/>
      <c r="W2410" s="18" t="n">
        <v>40612.2</v>
      </c>
      <c r="X2410" s="35" t="n">
        <v>15.53</v>
      </c>
      <c r="Y2410" s="35" t="n"/>
    </row>
    <row r="2411">
      <c r="A2411" s="25" t="n">
        <v>42380</v>
      </c>
      <c r="B2411" s="18" t="n">
        <v>39950.49</v>
      </c>
      <c r="C2411" s="31" t="n"/>
      <c r="D2411" s="32" t="n"/>
      <c r="E2411" s="33" t="n">
        <v>0.0469</v>
      </c>
      <c r="F2411" t="inlineStr">
        <is>
          <t>Down</t>
        </is>
      </c>
      <c r="G2411" t="inlineStr">
        <is>
          <t>Up</t>
        </is>
      </c>
      <c r="H2411" t="inlineStr">
        <is>
          <t>ED_JU</t>
        </is>
      </c>
      <c r="I2411" t="inlineStr">
        <is>
          <t>2016-01</t>
        </is>
      </c>
      <c r="J2411" t="n">
        <v>1</v>
      </c>
      <c r="K2411" t="n">
        <v>1</v>
      </c>
      <c r="L2411" s="34">
        <f>IF($J2411=1,LN(B2412/B2411),"")</f>
        <v/>
      </c>
      <c r="M2411" s="34">
        <f>IF($K2411=1,INDEX(Mensal!$D$2:$D$245,MATCH($I2411,Mensal!$A$2:$A$245,0)),"")</f>
        <v/>
      </c>
      <c r="N2411" s="34">
        <f>IF($K2411=1,L2411-M2411,"")</f>
        <v/>
      </c>
      <c r="O2411" s="34" t="n">
        <v>0.00052496</v>
      </c>
      <c r="P2411" s="34">
        <f>IF($J2411=1,LN(1+O2411),"")</f>
        <v/>
      </c>
      <c r="Q2411" s="34">
        <f>IF($J2411=1,LN(R2412/R2411),"")</f>
        <v/>
      </c>
      <c r="R2411" s="32" t="n">
        <v>4.0153</v>
      </c>
      <c r="S2411" s="35" t="n">
        <v>15.614</v>
      </c>
      <c r="T2411" s="18" t="n"/>
      <c r="U2411" s="18" t="n"/>
      <c r="V2411" s="18" t="n"/>
      <c r="W2411" s="18" t="n">
        <v>39950.49</v>
      </c>
      <c r="X2411" s="35" t="n">
        <v>15.614</v>
      </c>
      <c r="Y2411" s="35" t="n"/>
    </row>
    <row r="2412">
      <c r="A2412" s="25" t="n">
        <v>42381</v>
      </c>
      <c r="B2412" s="18" t="n">
        <v>39513.82</v>
      </c>
      <c r="C2412" s="31" t="n"/>
      <c r="D2412" s="32" t="n"/>
      <c r="E2412" s="33" t="n">
        <v>0.008200000000000001</v>
      </c>
      <c r="F2412" t="inlineStr">
        <is>
          <t>Down</t>
        </is>
      </c>
      <c r="G2412" t="inlineStr">
        <is>
          <t>Up</t>
        </is>
      </c>
      <c r="H2412" t="inlineStr">
        <is>
          <t>ED_JU</t>
        </is>
      </c>
      <c r="I2412" t="inlineStr">
        <is>
          <t>2016-01</t>
        </is>
      </c>
      <c r="J2412" t="n">
        <v>1</v>
      </c>
      <c r="K2412" t="n">
        <v>1</v>
      </c>
      <c r="L2412" s="34">
        <f>IF($J2412=1,LN(B2413/B2412),"")</f>
        <v/>
      </c>
      <c r="M2412" s="34">
        <f>IF($K2412=1,INDEX(Mensal!$D$2:$D$245,MATCH($I2412,Mensal!$A$2:$A$245,0)),"")</f>
        <v/>
      </c>
      <c r="N2412" s="34">
        <f>IF($K2412=1,L2412-M2412,"")</f>
        <v/>
      </c>
      <c r="O2412" s="34" t="n">
        <v>0.00052496</v>
      </c>
      <c r="P2412" s="34">
        <f>IF($J2412=1,LN(1+O2412),"")</f>
        <v/>
      </c>
      <c r="Q2412" s="34">
        <f>IF($J2412=1,LN(R2413/R2412),"")</f>
        <v/>
      </c>
      <c r="R2412" s="32" t="n">
        <v>4.0299</v>
      </c>
      <c r="S2412" s="35" t="n">
        <v>15.54</v>
      </c>
      <c r="T2412" s="18" t="n"/>
      <c r="U2412" s="18" t="n"/>
      <c r="V2412" s="18" t="n"/>
      <c r="W2412" s="18" t="n">
        <v>39513.82</v>
      </c>
      <c r="X2412" s="35" t="n">
        <v>15.54</v>
      </c>
      <c r="Y2412" s="35" t="n"/>
    </row>
    <row r="2413">
      <c r="A2413" s="25" t="n">
        <v>42382</v>
      </c>
      <c r="B2413" s="18" t="n">
        <v>38944.44</v>
      </c>
      <c r="C2413" s="31" t="n"/>
      <c r="D2413" s="32" t="n"/>
      <c r="E2413" s="33" t="n">
        <v>-0.0658</v>
      </c>
      <c r="F2413" t="inlineStr">
        <is>
          <t>Down</t>
        </is>
      </c>
      <c r="G2413" t="inlineStr">
        <is>
          <t>Up</t>
        </is>
      </c>
      <c r="H2413" t="inlineStr">
        <is>
          <t>ED_JU</t>
        </is>
      </c>
      <c r="I2413" t="inlineStr">
        <is>
          <t>2016-01</t>
        </is>
      </c>
      <c r="J2413" t="n">
        <v>1</v>
      </c>
      <c r="K2413" t="n">
        <v>1</v>
      </c>
      <c r="L2413" s="34">
        <f>IF($J2413=1,LN(B2414/B2413),"")</f>
        <v/>
      </c>
      <c r="M2413" s="34">
        <f>IF($K2413=1,INDEX(Mensal!$D$2:$D$245,MATCH($I2413,Mensal!$A$2:$A$245,0)),"")</f>
        <v/>
      </c>
      <c r="N2413" s="34">
        <f>IF($K2413=1,L2413-M2413,"")</f>
        <v/>
      </c>
      <c r="O2413" s="34" t="n">
        <v>0.00052496</v>
      </c>
      <c r="P2413" s="34">
        <f>IF($J2413=1,LN(1+O2413),"")</f>
        <v/>
      </c>
      <c r="Q2413" s="34">
        <f>IF($J2413=1,LN(R2414/R2413),"")</f>
        <v/>
      </c>
      <c r="R2413" s="32" t="n">
        <v>3.9863</v>
      </c>
      <c r="S2413" s="35" t="n">
        <v>15.488</v>
      </c>
      <c r="T2413" s="18" t="n"/>
      <c r="U2413" s="18" t="n"/>
      <c r="V2413" s="18" t="n"/>
      <c r="W2413" s="18" t="n">
        <v>38944.44</v>
      </c>
      <c r="X2413" s="35" t="n">
        <v>15.488</v>
      </c>
      <c r="Y2413" s="35" t="n"/>
    </row>
    <row r="2414">
      <c r="A2414" s="25" t="n">
        <v>42383</v>
      </c>
      <c r="B2414" s="18" t="n">
        <v>39500.1</v>
      </c>
      <c r="C2414" s="31" t="n"/>
      <c r="D2414" s="32" t="n"/>
      <c r="E2414" s="33" t="n">
        <v>-0.1414</v>
      </c>
      <c r="F2414" t="inlineStr">
        <is>
          <t>Down</t>
        </is>
      </c>
      <c r="G2414" t="inlineStr">
        <is>
          <t>Up</t>
        </is>
      </c>
      <c r="H2414" t="inlineStr">
        <is>
          <t>ED_JU</t>
        </is>
      </c>
      <c r="I2414" t="inlineStr">
        <is>
          <t>2016-01</t>
        </is>
      </c>
      <c r="J2414" t="n">
        <v>1</v>
      </c>
      <c r="K2414" t="n">
        <v>1</v>
      </c>
      <c r="L2414" s="34">
        <f>IF($J2414=1,LN(B2415/B2414),"")</f>
        <v/>
      </c>
      <c r="M2414" s="34">
        <f>IF($K2414=1,INDEX(Mensal!$D$2:$D$245,MATCH($I2414,Mensal!$A$2:$A$245,0)),"")</f>
        <v/>
      </c>
      <c r="N2414" s="34">
        <f>IF($K2414=1,L2414-M2414,"")</f>
        <v/>
      </c>
      <c r="O2414" s="34" t="n">
        <v>0.00052496</v>
      </c>
      <c r="P2414" s="34">
        <f>IF($J2414=1,LN(1+O2414),"")</f>
        <v/>
      </c>
      <c r="Q2414" s="34">
        <f>IF($J2414=1,LN(R2415/R2414),"")</f>
        <v/>
      </c>
      <c r="R2414" s="32" t="n">
        <v>4.0223</v>
      </c>
      <c r="S2414" s="35" t="n">
        <v>15.506</v>
      </c>
      <c r="T2414" s="18" t="n"/>
      <c r="U2414" s="18" t="n"/>
      <c r="V2414" s="18" t="n"/>
      <c r="W2414" s="18" t="n">
        <v>39500.1</v>
      </c>
      <c r="X2414" s="35" t="n">
        <v>15.506</v>
      </c>
      <c r="Y2414" s="35" t="n"/>
    </row>
    <row r="2415">
      <c r="A2415" s="25" t="n">
        <v>42384</v>
      </c>
      <c r="B2415" s="18" t="n">
        <v>38569.12</v>
      </c>
      <c r="C2415" s="31" t="n"/>
      <c r="D2415" s="32" t="n"/>
      <c r="E2415" s="33" t="n">
        <v>-0.2151</v>
      </c>
      <c r="F2415" t="inlineStr">
        <is>
          <t>Down</t>
        </is>
      </c>
      <c r="G2415" t="inlineStr">
        <is>
          <t>Up</t>
        </is>
      </c>
      <c r="H2415" t="inlineStr">
        <is>
          <t>ED_JU</t>
        </is>
      </c>
      <c r="I2415" t="inlineStr">
        <is>
          <t>2016-01</t>
        </is>
      </c>
      <c r="J2415" t="n">
        <v>1</v>
      </c>
      <c r="K2415" t="n">
        <v>1</v>
      </c>
      <c r="L2415" s="34">
        <f>IF($J2415=1,LN(B2416/B2415),"")</f>
        <v/>
      </c>
      <c r="M2415" s="34">
        <f>IF($K2415=1,INDEX(Mensal!$D$2:$D$245,MATCH($I2415,Mensal!$A$2:$A$245,0)),"")</f>
        <v/>
      </c>
      <c r="N2415" s="34">
        <f>IF($K2415=1,L2415-M2415,"")</f>
        <v/>
      </c>
      <c r="O2415" s="34" t="n">
        <v>0.00052496</v>
      </c>
      <c r="P2415" s="34">
        <f>IF($J2415=1,LN(1+O2415),"")</f>
        <v/>
      </c>
      <c r="Q2415" s="34">
        <f>IF($J2415=1,LN(R2416/R2415),"")</f>
        <v/>
      </c>
      <c r="R2415" s="32" t="n">
        <v>4.0402</v>
      </c>
      <c r="S2415" s="35" t="n">
        <v>15.57</v>
      </c>
      <c r="T2415" s="18" t="n"/>
      <c r="U2415" s="18" t="n"/>
      <c r="V2415" s="18" t="n"/>
      <c r="W2415" s="18" t="n">
        <v>38569.12</v>
      </c>
      <c r="X2415" s="35" t="n">
        <v>15.57</v>
      </c>
      <c r="Y2415" s="35" t="n"/>
    </row>
    <row r="2416">
      <c r="A2416" s="25" t="n">
        <v>42387</v>
      </c>
      <c r="B2416" s="18" t="n">
        <v>37937.27</v>
      </c>
      <c r="C2416" s="31" t="n"/>
      <c r="D2416" s="32" t="n"/>
      <c r="E2416" s="33" t="n">
        <v>-0.2887</v>
      </c>
      <c r="F2416" t="inlineStr">
        <is>
          <t>Down</t>
        </is>
      </c>
      <c r="G2416" t="inlineStr">
        <is>
          <t>Up</t>
        </is>
      </c>
      <c r="H2416" t="inlineStr">
        <is>
          <t>ED_JU</t>
        </is>
      </c>
      <c r="I2416" t="inlineStr">
        <is>
          <t>2016-01</t>
        </is>
      </c>
      <c r="J2416" t="n">
        <v>1</v>
      </c>
      <c r="K2416" t="n">
        <v>1</v>
      </c>
      <c r="L2416" s="34">
        <f>IF($J2416=1,LN(B2417/B2416),"")</f>
        <v/>
      </c>
      <c r="M2416" s="34">
        <f>IF($K2416=1,INDEX(Mensal!$D$2:$D$245,MATCH($I2416,Mensal!$A$2:$A$245,0)),"")</f>
        <v/>
      </c>
      <c r="N2416" s="34">
        <f>IF($K2416=1,L2416-M2416,"")</f>
        <v/>
      </c>
      <c r="O2416" s="34" t="n">
        <v>0.00052496</v>
      </c>
      <c r="P2416" s="34">
        <f>IF($J2416=1,LN(1+O2416),"")</f>
        <v/>
      </c>
      <c r="Q2416" s="34">
        <f>IF($J2416=1,LN(R2417/R2416),"")</f>
        <v/>
      </c>
      <c r="R2416" s="32" t="n">
        <v>4.0364</v>
      </c>
      <c r="S2416" s="35" t="n">
        <v>15.631</v>
      </c>
      <c r="T2416" s="18" t="n"/>
      <c r="U2416" s="18" t="n"/>
      <c r="V2416" s="18" t="n"/>
      <c r="W2416" s="18" t="n">
        <v>37937.27</v>
      </c>
      <c r="X2416" s="35" t="n">
        <v>15.631</v>
      </c>
      <c r="Y2416" s="35" t="n"/>
    </row>
    <row r="2417">
      <c r="A2417" s="25" t="n">
        <v>42388</v>
      </c>
      <c r="B2417" s="18" t="n">
        <v>38057.01</v>
      </c>
      <c r="C2417" s="31" t="n"/>
      <c r="D2417" s="32" t="n"/>
      <c r="E2417" s="33" t="n">
        <v>-0.3628</v>
      </c>
      <c r="F2417" t="inlineStr">
        <is>
          <t>Down</t>
        </is>
      </c>
      <c r="G2417" t="inlineStr">
        <is>
          <t>Up</t>
        </is>
      </c>
      <c r="H2417" t="inlineStr">
        <is>
          <t>ED_JU</t>
        </is>
      </c>
      <c r="I2417" t="inlineStr">
        <is>
          <t>2016-01</t>
        </is>
      </c>
      <c r="J2417" t="n">
        <v>1</v>
      </c>
      <c r="K2417" t="n">
        <v>1</v>
      </c>
      <c r="L2417" s="34">
        <f>IF($J2417=1,LN(B2418/B2417),"")</f>
        <v/>
      </c>
      <c r="M2417" s="34">
        <f>IF($K2417=1,INDEX(Mensal!$D$2:$D$245,MATCH($I2417,Mensal!$A$2:$A$245,0)),"")</f>
        <v/>
      </c>
      <c r="N2417" s="34">
        <f>IF($K2417=1,L2417-M2417,"")</f>
        <v/>
      </c>
      <c r="O2417" s="34" t="n">
        <v>0.00052496</v>
      </c>
      <c r="P2417" s="34">
        <f>IF($J2417=1,LN(1+O2417),"")</f>
        <v/>
      </c>
      <c r="Q2417" s="34">
        <f>IF($J2417=1,LN(R2418/R2417),"")</f>
        <v/>
      </c>
      <c r="R2417" s="32" t="n">
        <v>4.0303</v>
      </c>
      <c r="S2417" s="35" t="n">
        <v>15.437</v>
      </c>
      <c r="T2417" s="18" t="n"/>
      <c r="U2417" s="18" t="n"/>
      <c r="V2417" s="18" t="n"/>
      <c r="W2417" s="18" t="n">
        <v>38057.01</v>
      </c>
      <c r="X2417" s="35" t="n">
        <v>15.437</v>
      </c>
      <c r="Y2417" s="35" t="n"/>
    </row>
    <row r="2418">
      <c r="A2418" s="25" t="n">
        <v>42389</v>
      </c>
      <c r="B2418" s="18" t="n">
        <v>37645.47</v>
      </c>
      <c r="C2418" s="31" t="n"/>
      <c r="D2418" s="32" t="n"/>
      <c r="E2418" s="33" t="n">
        <v>-0.4402</v>
      </c>
      <c r="F2418" t="inlineStr">
        <is>
          <t>Down</t>
        </is>
      </c>
      <c r="G2418" t="inlineStr">
        <is>
          <t>Up</t>
        </is>
      </c>
      <c r="H2418" t="inlineStr">
        <is>
          <t>ED_JU</t>
        </is>
      </c>
      <c r="I2418" t="inlineStr">
        <is>
          <t>2016-01</t>
        </is>
      </c>
      <c r="J2418" t="n">
        <v>1</v>
      </c>
      <c r="K2418" t="n">
        <v>1</v>
      </c>
      <c r="L2418" s="34">
        <f>IF($J2418=1,LN(B2419/B2418),"")</f>
        <v/>
      </c>
      <c r="M2418" s="34">
        <f>IF($K2418=1,INDEX(Mensal!$D$2:$D$245,MATCH($I2418,Mensal!$A$2:$A$245,0)),"")</f>
        <v/>
      </c>
      <c r="N2418" s="34">
        <f>IF($K2418=1,L2418-M2418,"")</f>
        <v/>
      </c>
      <c r="O2418" s="34" t="n">
        <v>0.00052496</v>
      </c>
      <c r="P2418" s="34">
        <f>IF($J2418=1,LN(1+O2418),"")</f>
        <v/>
      </c>
      <c r="Q2418" s="34">
        <f>IF($J2418=1,LN(R2419/R2418),"")</f>
        <v/>
      </c>
      <c r="R2418" s="32" t="n">
        <v>4.0861</v>
      </c>
      <c r="S2418" s="35" t="n">
        <v>15.204</v>
      </c>
      <c r="T2418" s="18" t="n"/>
      <c r="U2418" s="18" t="n"/>
      <c r="V2418" s="18" t="n"/>
      <c r="W2418" s="18" t="n">
        <v>37645.47</v>
      </c>
      <c r="X2418" s="35" t="n">
        <v>15.204</v>
      </c>
      <c r="Y2418" s="35" t="n"/>
    </row>
    <row r="2419">
      <c r="A2419" s="25" t="n">
        <v>42390</v>
      </c>
      <c r="B2419" s="18" t="n">
        <v>37717.1</v>
      </c>
      <c r="C2419" s="31" t="n"/>
      <c r="D2419" s="32" t="n"/>
      <c r="E2419" s="33" t="n">
        <v>-0.5218</v>
      </c>
      <c r="F2419" t="inlineStr">
        <is>
          <t>Down</t>
        </is>
      </c>
      <c r="G2419" t="inlineStr">
        <is>
          <t>Up</t>
        </is>
      </c>
      <c r="H2419" t="inlineStr">
        <is>
          <t>ED_JU</t>
        </is>
      </c>
      <c r="I2419" t="inlineStr">
        <is>
          <t>2016-01</t>
        </is>
      </c>
      <c r="J2419" t="n">
        <v>1</v>
      </c>
      <c r="K2419" t="n">
        <v>1</v>
      </c>
      <c r="L2419" s="34">
        <f>IF($J2419=1,LN(B2420/B2419),"")</f>
        <v/>
      </c>
      <c r="M2419" s="34">
        <f>IF($K2419=1,INDEX(Mensal!$D$2:$D$245,MATCH($I2419,Mensal!$A$2:$A$245,0)),"")</f>
        <v/>
      </c>
      <c r="N2419" s="34">
        <f>IF($K2419=1,L2419-M2419,"")</f>
        <v/>
      </c>
      <c r="O2419" s="34" t="n">
        <v>0.00052461</v>
      </c>
      <c r="P2419" s="34">
        <f>IF($J2419=1,LN(1+O2419),"")</f>
        <v/>
      </c>
      <c r="Q2419" s="34">
        <f>IF($J2419=1,LN(R2420/R2419),"")</f>
        <v/>
      </c>
      <c r="R2419" s="32" t="n">
        <v>4.1558</v>
      </c>
      <c r="S2419" s="35" t="n">
        <v>14.942</v>
      </c>
      <c r="T2419" s="18" t="n"/>
      <c r="U2419" s="18" t="n"/>
      <c r="V2419" s="18" t="n"/>
      <c r="W2419" s="18" t="n">
        <v>37717.1</v>
      </c>
      <c r="X2419" s="35" t="n">
        <v>14.942</v>
      </c>
      <c r="Y2419" s="35" t="n"/>
    </row>
    <row r="2420">
      <c r="A2420" s="25" t="n">
        <v>42391</v>
      </c>
      <c r="B2420" s="18" t="n">
        <v>38031.22</v>
      </c>
      <c r="C2420" s="31" t="n"/>
      <c r="D2420" s="32" t="n"/>
      <c r="E2420" s="33" t="n">
        <v>-0.5845</v>
      </c>
      <c r="F2420" t="inlineStr">
        <is>
          <t>Down</t>
        </is>
      </c>
      <c r="G2420" t="inlineStr">
        <is>
          <t>Up</t>
        </is>
      </c>
      <c r="H2420" t="inlineStr">
        <is>
          <t>ED_JU</t>
        </is>
      </c>
      <c r="I2420" t="inlineStr">
        <is>
          <t>2016-01</t>
        </is>
      </c>
      <c r="J2420" t="n">
        <v>1</v>
      </c>
      <c r="K2420" t="n">
        <v>1</v>
      </c>
      <c r="L2420" s="34">
        <f>IF($J2420=1,LN(B2421/B2420),"")</f>
        <v/>
      </c>
      <c r="M2420" s="34">
        <f>IF($K2420=1,INDEX(Mensal!$D$2:$D$245,MATCH($I2420,Mensal!$A$2:$A$245,0)),"")</f>
        <v/>
      </c>
      <c r="N2420" s="34">
        <f>IF($K2420=1,L2420-M2420,"")</f>
        <v/>
      </c>
      <c r="O2420" s="34" t="n">
        <v>0.00052461</v>
      </c>
      <c r="P2420" s="34">
        <f>IF($J2420=1,LN(1+O2420),"")</f>
        <v/>
      </c>
      <c r="Q2420" s="34">
        <f>IF($J2420=1,LN(R2421/R2420),"")</f>
        <v/>
      </c>
      <c r="R2420" s="32" t="n">
        <v>4.1232</v>
      </c>
      <c r="S2420" s="35" t="n">
        <v>14.902</v>
      </c>
      <c r="T2420" s="18" t="n"/>
      <c r="U2420" s="18" t="n"/>
      <c r="V2420" s="18" t="n"/>
      <c r="W2420" s="18" t="n">
        <v>38031.22</v>
      </c>
      <c r="X2420" s="35" t="n">
        <v>14.902</v>
      </c>
      <c r="Y2420" s="35" t="n"/>
    </row>
    <row r="2421">
      <c r="A2421" s="25" t="n">
        <v>42395</v>
      </c>
      <c r="B2421" s="18" t="n">
        <v>37497.47</v>
      </c>
      <c r="C2421" s="31" t="n"/>
      <c r="D2421" s="32" t="n"/>
      <c r="E2421" s="33" t="n">
        <v>-0.6634</v>
      </c>
      <c r="F2421" t="inlineStr">
        <is>
          <t>Down</t>
        </is>
      </c>
      <c r="G2421" t="inlineStr">
        <is>
          <t>Up</t>
        </is>
      </c>
      <c r="H2421" t="inlineStr">
        <is>
          <t>ED_JU</t>
        </is>
      </c>
      <c r="I2421" t="inlineStr">
        <is>
          <t>2016-01</t>
        </is>
      </c>
      <c r="J2421" t="n">
        <v>1</v>
      </c>
      <c r="K2421" t="n">
        <v>1</v>
      </c>
      <c r="L2421" s="34">
        <f>IF($J2421=1,LN(B2422/B2421),"")</f>
        <v/>
      </c>
      <c r="M2421" s="34">
        <f>IF($K2421=1,INDEX(Mensal!$D$2:$D$245,MATCH($I2421,Mensal!$A$2:$A$245,0)),"")</f>
        <v/>
      </c>
      <c r="N2421" s="34">
        <f>IF($K2421=1,L2421-M2421,"")</f>
        <v/>
      </c>
      <c r="O2421" s="34" t="n">
        <v>0.00052461</v>
      </c>
      <c r="P2421" s="34">
        <f>IF($J2421=1,LN(1+O2421),"")</f>
        <v/>
      </c>
      <c r="Q2421" s="34">
        <f>IF($J2421=1,LN(R2422/R2421),"")</f>
        <v/>
      </c>
      <c r="R2421" s="32" t="n">
        <v>4.0967</v>
      </c>
      <c r="S2421" s="35" t="n">
        <v>14.783</v>
      </c>
      <c r="T2421" s="18" t="n"/>
      <c r="U2421" s="18" t="n"/>
      <c r="V2421" s="18" t="n"/>
      <c r="W2421" s="18" t="n">
        <v>37497.47</v>
      </c>
      <c r="X2421" s="35" t="n">
        <v>14.783</v>
      </c>
      <c r="Y2421" s="35" t="n"/>
    </row>
    <row r="2422">
      <c r="A2422" s="25" t="n">
        <v>42396</v>
      </c>
      <c r="B2422" s="18" t="n">
        <v>38376.36</v>
      </c>
      <c r="C2422" s="31" t="n"/>
      <c r="D2422" s="32" t="n"/>
      <c r="E2422" s="33" t="n">
        <v>-0.7423999999999999</v>
      </c>
      <c r="F2422" t="inlineStr">
        <is>
          <t>Down</t>
        </is>
      </c>
      <c r="G2422" t="inlineStr">
        <is>
          <t>Up</t>
        </is>
      </c>
      <c r="H2422" t="inlineStr">
        <is>
          <t>ED_JU</t>
        </is>
      </c>
      <c r="I2422" t="inlineStr">
        <is>
          <t>2016-01</t>
        </is>
      </c>
      <c r="J2422" t="n">
        <v>1</v>
      </c>
      <c r="K2422" t="n">
        <v>1</v>
      </c>
      <c r="L2422" s="34">
        <f>IF($J2422=1,LN(B2423/B2422),"")</f>
        <v/>
      </c>
      <c r="M2422" s="34">
        <f>IF($K2422=1,INDEX(Mensal!$D$2:$D$245,MATCH($I2422,Mensal!$A$2:$A$245,0)),"")</f>
        <v/>
      </c>
      <c r="N2422" s="34">
        <f>IF($K2422=1,L2422-M2422,"")</f>
        <v/>
      </c>
      <c r="O2422" s="34" t="n">
        <v>0.00052461</v>
      </c>
      <c r="P2422" s="34">
        <f>IF($J2422=1,LN(1+O2422),"")</f>
        <v/>
      </c>
      <c r="Q2422" s="34">
        <f>IF($J2422=1,LN(R2423/R2422),"")</f>
        <v/>
      </c>
      <c r="R2422" s="32" t="n">
        <v>4.0448</v>
      </c>
      <c r="S2422" s="35" t="n">
        <v>14.771</v>
      </c>
      <c r="T2422" s="18" t="n"/>
      <c r="U2422" s="18" t="n"/>
      <c r="V2422" s="18" t="n"/>
      <c r="W2422" s="18" t="n">
        <v>38376.36</v>
      </c>
      <c r="X2422" s="35" t="n">
        <v>14.771</v>
      </c>
      <c r="Y2422" s="35" t="n"/>
    </row>
    <row r="2423">
      <c r="A2423" s="25" t="n">
        <v>42397</v>
      </c>
      <c r="B2423" s="18" t="n">
        <v>38630.19</v>
      </c>
      <c r="C2423" s="31" t="n"/>
      <c r="D2423" s="32" t="n"/>
      <c r="E2423" s="33" t="n">
        <v>-0.8322000000000001</v>
      </c>
      <c r="F2423" t="inlineStr">
        <is>
          <t>Down</t>
        </is>
      </c>
      <c r="G2423" t="inlineStr">
        <is>
          <t>Up</t>
        </is>
      </c>
      <c r="H2423" t="inlineStr">
        <is>
          <t>ED_JU</t>
        </is>
      </c>
      <c r="I2423" t="inlineStr">
        <is>
          <t>2016-01</t>
        </is>
      </c>
      <c r="J2423" t="n">
        <v>1</v>
      </c>
      <c r="K2423" t="n">
        <v>1</v>
      </c>
      <c r="L2423" s="34">
        <f>IF($J2423=1,LN(B2424/B2423),"")</f>
        <v/>
      </c>
      <c r="M2423" s="34">
        <f>IF($K2423=1,INDEX(Mensal!$D$2:$D$245,MATCH($I2423,Mensal!$A$2:$A$245,0)),"")</f>
        <v/>
      </c>
      <c r="N2423" s="34">
        <f>IF($K2423=1,L2423-M2423,"")</f>
        <v/>
      </c>
      <c r="O2423" s="34" t="n">
        <v>0.00052461</v>
      </c>
      <c r="P2423" s="34">
        <f>IF($J2423=1,LN(1+O2423),"")</f>
        <v/>
      </c>
      <c r="Q2423" s="34">
        <f>IF($J2423=1,LN(R2424/R2423),"")</f>
        <v/>
      </c>
      <c r="R2423" s="32" t="n">
        <v>4.0838</v>
      </c>
      <c r="S2423" s="35" t="n">
        <v>14.512</v>
      </c>
      <c r="T2423" s="18" t="n"/>
      <c r="U2423" s="18" t="n"/>
      <c r="V2423" s="18" t="n"/>
      <c r="W2423" s="18" t="n">
        <v>38630.19</v>
      </c>
      <c r="X2423" s="35" t="n">
        <v>14.512</v>
      </c>
      <c r="Y2423" s="35" t="n"/>
    </row>
    <row r="2424">
      <c r="A2424" s="25" t="n">
        <v>42398</v>
      </c>
      <c r="B2424" s="18" t="n">
        <v>40405.99</v>
      </c>
      <c r="C2424" s="31" t="n"/>
      <c r="D2424" s="32" t="n"/>
      <c r="E2424" s="33" t="n">
        <v>-0.9194</v>
      </c>
      <c r="F2424" t="inlineStr">
        <is>
          <t>Down</t>
        </is>
      </c>
      <c r="G2424" t="inlineStr">
        <is>
          <t>Up</t>
        </is>
      </c>
      <c r="H2424" t="inlineStr">
        <is>
          <t>ED_JU</t>
        </is>
      </c>
      <c r="I2424" t="inlineStr">
        <is>
          <t>2016-01</t>
        </is>
      </c>
      <c r="J2424" t="n">
        <v>1</v>
      </c>
      <c r="K2424" t="n">
        <v>1</v>
      </c>
      <c r="L2424" s="34">
        <f>IF($J2424=1,LN(B2425/B2424),"")</f>
        <v/>
      </c>
      <c r="M2424" s="34">
        <f>IF($K2424=1,INDEX(Mensal!$D$2:$D$245,MATCH($I2424,Mensal!$A$2:$A$245,0)),"")</f>
        <v/>
      </c>
      <c r="N2424" s="34">
        <f>IF($K2424=1,L2424-M2424,"")</f>
        <v/>
      </c>
      <c r="O2424" s="34" t="n">
        <v>0.00052461</v>
      </c>
      <c r="P2424" s="34">
        <f>IF($J2424=1,LN(1+O2424),"")</f>
        <v/>
      </c>
      <c r="Q2424" s="34">
        <f>IF($J2424=1,LN(R2425/R2424),"")</f>
        <v/>
      </c>
      <c r="R2424" s="32" t="n">
        <v>4.0428</v>
      </c>
      <c r="S2424" s="35" t="n">
        <v>14.574</v>
      </c>
      <c r="T2424" s="18" t="n"/>
      <c r="U2424" s="18" t="n"/>
      <c r="V2424" s="18" t="n"/>
      <c r="W2424" s="18" t="n">
        <v>40405.99</v>
      </c>
      <c r="X2424" s="35" t="n">
        <v>14.574</v>
      </c>
      <c r="Y2424" s="35" t="n"/>
    </row>
    <row r="2425">
      <c r="A2425" s="25" t="n">
        <v>42401</v>
      </c>
      <c r="B2425" s="18" t="n">
        <v>40570.03</v>
      </c>
      <c r="C2425" s="31" t="n"/>
      <c r="D2425" s="32" t="n"/>
      <c r="E2425" s="33" t="n">
        <v>-0.9994</v>
      </c>
      <c r="F2425" t="inlineStr">
        <is>
          <t>Down</t>
        </is>
      </c>
      <c r="G2425" t="inlineStr">
        <is>
          <t>Up</t>
        </is>
      </c>
      <c r="H2425" t="inlineStr">
        <is>
          <t>ED_JU</t>
        </is>
      </c>
      <c r="I2425" t="inlineStr">
        <is>
          <t>2016-02</t>
        </is>
      </c>
      <c r="J2425" t="n">
        <v>1</v>
      </c>
      <c r="K2425" t="n">
        <v>1</v>
      </c>
      <c r="L2425" s="34">
        <f>IF($J2425=1,LN(B2426/B2425),"")</f>
        <v/>
      </c>
      <c r="M2425" s="34">
        <f>IF($K2425=1,INDEX(Mensal!$D$2:$D$245,MATCH($I2425,Mensal!$A$2:$A$245,0)),"")</f>
        <v/>
      </c>
      <c r="N2425" s="34">
        <f>IF($K2425=1,L2425-M2425,"")</f>
        <v/>
      </c>
      <c r="O2425" s="34" t="n">
        <v>0.00052461</v>
      </c>
      <c r="P2425" s="34">
        <f>IF($J2425=1,LN(1+O2425),"")</f>
        <v/>
      </c>
      <c r="Q2425" s="34">
        <f>IF($J2425=1,LN(R2426/R2425),"")</f>
        <v/>
      </c>
      <c r="R2425" s="32" t="n">
        <v>3.9986</v>
      </c>
      <c r="S2425" s="35" t="n">
        <v>14.454</v>
      </c>
      <c r="T2425" s="18" t="n"/>
      <c r="U2425" s="18" t="n"/>
      <c r="V2425" s="18" t="n"/>
      <c r="W2425" s="18" t="n">
        <v>40570.03</v>
      </c>
      <c r="X2425" s="35" t="n">
        <v>14.454</v>
      </c>
      <c r="Y2425" s="35" t="n"/>
    </row>
    <row r="2426">
      <c r="A2426" s="25" t="n">
        <v>42402</v>
      </c>
      <c r="B2426" s="18" t="n">
        <v>38596.16</v>
      </c>
      <c r="C2426" s="31" t="n"/>
      <c r="D2426" s="32" t="n"/>
      <c r="E2426" s="33" t="n">
        <v>-1.0663</v>
      </c>
      <c r="F2426" t="inlineStr">
        <is>
          <t>Down</t>
        </is>
      </c>
      <c r="G2426" t="inlineStr">
        <is>
          <t>Up</t>
        </is>
      </c>
      <c r="H2426" t="inlineStr">
        <is>
          <t>ED_JU</t>
        </is>
      </c>
      <c r="I2426" t="inlineStr">
        <is>
          <t>2016-02</t>
        </is>
      </c>
      <c r="J2426" t="n">
        <v>1</v>
      </c>
      <c r="K2426" t="n">
        <v>1</v>
      </c>
      <c r="L2426" s="34">
        <f>IF($J2426=1,LN(B2427/B2426),"")</f>
        <v/>
      </c>
      <c r="M2426" s="34">
        <f>IF($K2426=1,INDEX(Mensal!$D$2:$D$245,MATCH($I2426,Mensal!$A$2:$A$245,0)),"")</f>
        <v/>
      </c>
      <c r="N2426" s="34">
        <f>IF($K2426=1,L2426-M2426,"")</f>
        <v/>
      </c>
      <c r="O2426" s="34" t="n">
        <v>0.00052461</v>
      </c>
      <c r="P2426" s="34">
        <f>IF($J2426=1,LN(1+O2426),"")</f>
        <v/>
      </c>
      <c r="Q2426" s="34">
        <f>IF($J2426=1,LN(R2427/R2426),"")</f>
        <v/>
      </c>
      <c r="R2426" s="32" t="n">
        <v>3.9919</v>
      </c>
      <c r="S2426" s="35" t="n">
        <v>14.51</v>
      </c>
      <c r="T2426" s="18" t="n"/>
      <c r="U2426" s="18" t="n"/>
      <c r="V2426" s="18" t="n"/>
      <c r="W2426" s="18" t="n">
        <v>38596.16</v>
      </c>
      <c r="X2426" s="35" t="n">
        <v>14.51</v>
      </c>
      <c r="Y2426" s="35" t="n"/>
    </row>
    <row r="2427">
      <c r="A2427" s="25" t="n">
        <v>42403</v>
      </c>
      <c r="B2427" s="18" t="n">
        <v>39588.81</v>
      </c>
      <c r="C2427" s="31" t="n"/>
      <c r="D2427" s="32" t="n"/>
      <c r="E2427" s="33" t="n">
        <v>-1.1298</v>
      </c>
      <c r="F2427" t="inlineStr">
        <is>
          <t>Down</t>
        </is>
      </c>
      <c r="G2427" t="inlineStr">
        <is>
          <t>Up</t>
        </is>
      </c>
      <c r="H2427" t="inlineStr">
        <is>
          <t>ED_JU</t>
        </is>
      </c>
      <c r="I2427" t="inlineStr">
        <is>
          <t>2016-02</t>
        </is>
      </c>
      <c r="J2427" t="n">
        <v>1</v>
      </c>
      <c r="K2427" t="n">
        <v>1</v>
      </c>
      <c r="L2427" s="34">
        <f>IF($J2427=1,LN(B2428/B2427),"")</f>
        <v/>
      </c>
      <c r="M2427" s="34">
        <f>IF($K2427=1,INDEX(Mensal!$D$2:$D$245,MATCH($I2427,Mensal!$A$2:$A$245,0)),"")</f>
        <v/>
      </c>
      <c r="N2427" s="34">
        <f>IF($K2427=1,L2427-M2427,"")</f>
        <v/>
      </c>
      <c r="O2427" s="34" t="n">
        <v>0.00052461</v>
      </c>
      <c r="P2427" s="34">
        <f>IF($J2427=1,LN(1+O2427),"")</f>
        <v/>
      </c>
      <c r="Q2427" s="34">
        <f>IF($J2427=1,LN(R2428/R2427),"")</f>
        <v/>
      </c>
      <c r="R2427" s="32" t="n">
        <v>3.9558</v>
      </c>
      <c r="S2427" s="35" t="n">
        <v>14.547</v>
      </c>
      <c r="T2427" s="18" t="n"/>
      <c r="U2427" s="18" t="n"/>
      <c r="V2427" s="18" t="n"/>
      <c r="W2427" s="18" t="n">
        <v>39588.81</v>
      </c>
      <c r="X2427" s="35" t="n">
        <v>14.547</v>
      </c>
      <c r="Y2427" s="35" t="n"/>
    </row>
    <row r="2428">
      <c r="A2428" s="25" t="n">
        <v>42404</v>
      </c>
      <c r="B2428" s="18" t="n">
        <v>40821.73</v>
      </c>
      <c r="C2428" s="31" t="n"/>
      <c r="D2428" s="32" t="n"/>
      <c r="E2428" s="33" t="n">
        <v>-1.1987</v>
      </c>
      <c r="F2428" t="inlineStr">
        <is>
          <t>Down</t>
        </is>
      </c>
      <c r="G2428" t="inlineStr">
        <is>
          <t>Up</t>
        </is>
      </c>
      <c r="H2428" t="inlineStr">
        <is>
          <t>ED_JU</t>
        </is>
      </c>
      <c r="I2428" t="inlineStr">
        <is>
          <t>2016-02</t>
        </is>
      </c>
      <c r="J2428" t="n">
        <v>1</v>
      </c>
      <c r="K2428" t="n">
        <v>1</v>
      </c>
      <c r="L2428" s="34">
        <f>IF($J2428=1,LN(B2429/B2428),"")</f>
        <v/>
      </c>
      <c r="M2428" s="34">
        <f>IF($K2428=1,INDEX(Mensal!$D$2:$D$245,MATCH($I2428,Mensal!$A$2:$A$245,0)),"")</f>
        <v/>
      </c>
      <c r="N2428" s="34">
        <f>IF($K2428=1,L2428-M2428,"")</f>
        <v/>
      </c>
      <c r="O2428" s="34" t="n">
        <v>0.00052461</v>
      </c>
      <c r="P2428" s="34">
        <f>IF($J2428=1,LN(1+O2428),"")</f>
        <v/>
      </c>
      <c r="Q2428" s="34">
        <f>IF($J2428=1,LN(R2429/R2428),"")</f>
        <v/>
      </c>
      <c r="R2428" s="32" t="n">
        <v>3.8653</v>
      </c>
      <c r="S2428" s="35" t="n">
        <v>14.601</v>
      </c>
      <c r="T2428" s="18" t="n"/>
      <c r="U2428" s="18" t="n"/>
      <c r="V2428" s="18" t="n"/>
      <c r="W2428" s="18" t="n">
        <v>40821.73</v>
      </c>
      <c r="X2428" s="35" t="n">
        <v>14.601</v>
      </c>
      <c r="Y2428" s="35" t="n"/>
    </row>
    <row r="2429">
      <c r="A2429" s="25" t="n">
        <v>42405</v>
      </c>
      <c r="B2429" s="18" t="n">
        <v>40592.09</v>
      </c>
      <c r="C2429" s="31" t="n"/>
      <c r="D2429" s="32" t="n"/>
      <c r="E2429" s="33" t="n">
        <v>-1.2606</v>
      </c>
      <c r="F2429" t="inlineStr">
        <is>
          <t>Down</t>
        </is>
      </c>
      <c r="G2429" t="inlineStr">
        <is>
          <t>Up</t>
        </is>
      </c>
      <c r="H2429" t="inlineStr">
        <is>
          <t>ED_JU</t>
        </is>
      </c>
      <c r="I2429" t="inlineStr">
        <is>
          <t>2016-02</t>
        </is>
      </c>
      <c r="J2429" t="n">
        <v>1</v>
      </c>
      <c r="K2429" t="n">
        <v>1</v>
      </c>
      <c r="L2429" s="34">
        <f>IF($J2429=1,LN(B2430/B2429),"")</f>
        <v/>
      </c>
      <c r="M2429" s="34">
        <f>IF($K2429=1,INDEX(Mensal!$D$2:$D$245,MATCH($I2429,Mensal!$A$2:$A$245,0)),"")</f>
        <v/>
      </c>
      <c r="N2429" s="34">
        <f>IF($K2429=1,L2429-M2429,"")</f>
        <v/>
      </c>
      <c r="O2429" s="34" t="n">
        <v>0.00052461</v>
      </c>
      <c r="P2429" s="34">
        <f>IF($J2429=1,LN(1+O2429),"")</f>
        <v/>
      </c>
      <c r="Q2429" s="34">
        <f>IF($J2429=1,LN(R2430/R2429),"")</f>
        <v/>
      </c>
      <c r="R2429" s="32" t="n">
        <v>3.8975</v>
      </c>
      <c r="S2429" s="35" t="n">
        <v>14.628</v>
      </c>
      <c r="T2429" s="18" t="n"/>
      <c r="U2429" s="18" t="n"/>
      <c r="V2429" s="18" t="n"/>
      <c r="W2429" s="18" t="n">
        <v>40592.09</v>
      </c>
      <c r="X2429" s="35" t="n">
        <v>14.628</v>
      </c>
      <c r="Y2429" s="35" t="n"/>
    </row>
    <row r="2430">
      <c r="A2430" s="25" t="n">
        <v>42410</v>
      </c>
      <c r="B2430" s="18" t="n">
        <v>40376.58</v>
      </c>
      <c r="C2430" s="31" t="n"/>
      <c r="D2430" s="32" t="n"/>
      <c r="E2430" s="33" t="n">
        <v>-1.3141</v>
      </c>
      <c r="F2430" t="inlineStr">
        <is>
          <t>Down</t>
        </is>
      </c>
      <c r="G2430" t="inlineStr">
        <is>
          <t>Down</t>
        </is>
      </c>
      <c r="H2430" t="inlineStr">
        <is>
          <t>ED_JD</t>
        </is>
      </c>
      <c r="I2430" t="inlineStr">
        <is>
          <t>2016-02</t>
        </is>
      </c>
      <c r="J2430" t="n">
        <v>1</v>
      </c>
      <c r="K2430" t="n">
        <v>1</v>
      </c>
      <c r="L2430" s="34">
        <f>IF($J2430=1,LN(B2431/B2430),"")</f>
        <v/>
      </c>
      <c r="M2430" s="34">
        <f>IF($K2430=1,INDEX(Mensal!$D$2:$D$245,MATCH($I2430,Mensal!$A$2:$A$245,0)),"")</f>
        <v/>
      </c>
      <c r="N2430" s="34">
        <f>IF($K2430=1,L2430-M2430,"")</f>
        <v/>
      </c>
      <c r="O2430" s="34" t="n">
        <v>0.00052461</v>
      </c>
      <c r="P2430" s="34">
        <f>IF($J2430=1,LN(1+O2430),"")</f>
        <v/>
      </c>
      <c r="Q2430" s="34">
        <f>IF($J2430=1,LN(R2431/R2430),"")</f>
        <v/>
      </c>
      <c r="R2430" s="32" t="n">
        <v>3.9412</v>
      </c>
      <c r="S2430" s="35" t="n">
        <v>14.495</v>
      </c>
      <c r="T2430" s="18" t="n"/>
      <c r="U2430" s="18" t="n"/>
      <c r="V2430" s="18" t="n">
        <v>40376.58</v>
      </c>
      <c r="W2430" s="18" t="n"/>
      <c r="X2430" s="35" t="n"/>
      <c r="Y2430" s="35" t="n">
        <v>14.495</v>
      </c>
    </row>
    <row r="2431">
      <c r="A2431" s="25" t="n">
        <v>42411</v>
      </c>
      <c r="B2431" s="18" t="n">
        <v>39318.3</v>
      </c>
      <c r="C2431" s="31" t="n"/>
      <c r="D2431" s="32" t="n"/>
      <c r="E2431" s="33" t="n">
        <v>-1.3434</v>
      </c>
      <c r="F2431" t="inlineStr">
        <is>
          <t>Down</t>
        </is>
      </c>
      <c r="G2431" t="inlineStr">
        <is>
          <t>Down</t>
        </is>
      </c>
      <c r="H2431" t="inlineStr">
        <is>
          <t>ED_JD</t>
        </is>
      </c>
      <c r="I2431" t="inlineStr">
        <is>
          <t>2016-02</t>
        </is>
      </c>
      <c r="J2431" t="n">
        <v>1</v>
      </c>
      <c r="K2431" t="n">
        <v>1</v>
      </c>
      <c r="L2431" s="34">
        <f>IF($J2431=1,LN(B2432/B2431),"")</f>
        <v/>
      </c>
      <c r="M2431" s="34">
        <f>IF($K2431=1,INDEX(Mensal!$D$2:$D$245,MATCH($I2431,Mensal!$A$2:$A$245,0)),"")</f>
        <v/>
      </c>
      <c r="N2431" s="34">
        <f>IF($K2431=1,L2431-M2431,"")</f>
        <v/>
      </c>
      <c r="O2431" s="34" t="n">
        <v>0.00052461</v>
      </c>
      <c r="P2431" s="34">
        <f>IF($J2431=1,LN(1+O2431),"")</f>
        <v/>
      </c>
      <c r="Q2431" s="34">
        <f>IF($J2431=1,LN(R2432/R2431),"")</f>
        <v/>
      </c>
      <c r="R2431" s="32" t="n">
        <v>3.9642</v>
      </c>
      <c r="S2431" s="35" t="n">
        <v>14.559</v>
      </c>
      <c r="T2431" s="18" t="n"/>
      <c r="U2431" s="18" t="n"/>
      <c r="V2431" s="18" t="n">
        <v>39318.3</v>
      </c>
      <c r="W2431" s="18" t="n"/>
      <c r="X2431" s="35" t="n"/>
      <c r="Y2431" s="35" t="n">
        <v>14.559</v>
      </c>
    </row>
    <row r="2432">
      <c r="A2432" s="25" t="n">
        <v>42412</v>
      </c>
      <c r="B2432" s="18" t="n">
        <v>39808.04</v>
      </c>
      <c r="C2432" s="31" t="n"/>
      <c r="D2432" s="32" t="n"/>
      <c r="E2432" s="33" t="n">
        <v>-1.382</v>
      </c>
      <c r="F2432" t="inlineStr">
        <is>
          <t>Down</t>
        </is>
      </c>
      <c r="G2432" t="inlineStr">
        <is>
          <t>Down</t>
        </is>
      </c>
      <c r="H2432" t="inlineStr">
        <is>
          <t>ED_JD</t>
        </is>
      </c>
      <c r="I2432" t="inlineStr">
        <is>
          <t>2016-02</t>
        </is>
      </c>
      <c r="J2432" t="n">
        <v>1</v>
      </c>
      <c r="K2432" t="n">
        <v>1</v>
      </c>
      <c r="L2432" s="34">
        <f>IF($J2432=1,LN(B2433/B2432),"")</f>
        <v/>
      </c>
      <c r="M2432" s="34">
        <f>IF($K2432=1,INDEX(Mensal!$D$2:$D$245,MATCH($I2432,Mensal!$A$2:$A$245,0)),"")</f>
        <v/>
      </c>
      <c r="N2432" s="34">
        <f>IF($K2432=1,L2432-M2432,"")</f>
        <v/>
      </c>
      <c r="O2432" s="34" t="n">
        <v>0.00052461</v>
      </c>
      <c r="P2432" s="34">
        <f>IF($J2432=1,LN(1+O2432),"")</f>
        <v/>
      </c>
      <c r="Q2432" s="34">
        <f>IF($J2432=1,LN(R2433/R2432),"")</f>
        <v/>
      </c>
      <c r="R2432" s="32" t="n">
        <v>3.9891</v>
      </c>
      <c r="S2432" s="35" t="n">
        <v>14.502</v>
      </c>
      <c r="T2432" s="18" t="n"/>
      <c r="U2432" s="18" t="n"/>
      <c r="V2432" s="18" t="n">
        <v>39808.04</v>
      </c>
      <c r="W2432" s="18" t="n"/>
      <c r="X2432" s="35" t="n"/>
      <c r="Y2432" s="35" t="n">
        <v>14.502</v>
      </c>
    </row>
    <row r="2433">
      <c r="A2433" s="25" t="n">
        <v>42415</v>
      </c>
      <c r="B2433" s="18" t="n">
        <v>40092.89</v>
      </c>
      <c r="C2433" s="31" t="n"/>
      <c r="D2433" s="32" t="n"/>
      <c r="E2433" s="33" t="n">
        <v>-1.4156</v>
      </c>
      <c r="F2433" t="inlineStr">
        <is>
          <t>Down</t>
        </is>
      </c>
      <c r="G2433" t="inlineStr">
        <is>
          <t>Down</t>
        </is>
      </c>
      <c r="H2433" t="inlineStr">
        <is>
          <t>ED_JD</t>
        </is>
      </c>
      <c r="I2433" t="inlineStr">
        <is>
          <t>2016-02</t>
        </is>
      </c>
      <c r="J2433" t="n">
        <v>1</v>
      </c>
      <c r="K2433" t="n">
        <v>1</v>
      </c>
      <c r="L2433" s="34">
        <f>IF($J2433=1,LN(B2434/B2433),"")</f>
        <v/>
      </c>
      <c r="M2433" s="34">
        <f>IF($K2433=1,INDEX(Mensal!$D$2:$D$245,MATCH($I2433,Mensal!$A$2:$A$245,0)),"")</f>
        <v/>
      </c>
      <c r="N2433" s="34">
        <f>IF($K2433=1,L2433-M2433,"")</f>
        <v/>
      </c>
      <c r="O2433" s="34" t="n">
        <v>0.00052461</v>
      </c>
      <c r="P2433" s="34">
        <f>IF($J2433=1,LN(1+O2433),"")</f>
        <v/>
      </c>
      <c r="Q2433" s="34">
        <f>IF($J2433=1,LN(R2434/R2433),"")</f>
        <v/>
      </c>
      <c r="R2433" s="32" t="n">
        <v>3.9885</v>
      </c>
      <c r="S2433" s="35" t="n">
        <v>14.486</v>
      </c>
      <c r="T2433" s="18" t="n"/>
      <c r="U2433" s="18" t="n"/>
      <c r="V2433" s="18" t="n">
        <v>40092.89</v>
      </c>
      <c r="W2433" s="18" t="n"/>
      <c r="X2433" s="35" t="n"/>
      <c r="Y2433" s="35" t="n">
        <v>14.486</v>
      </c>
    </row>
    <row r="2434">
      <c r="A2434" s="25" t="n">
        <v>42416</v>
      </c>
      <c r="B2434" s="18" t="n">
        <v>40947.69</v>
      </c>
      <c r="C2434" s="31" t="n"/>
      <c r="D2434" s="32" t="n"/>
      <c r="E2434" s="33" t="n">
        <v>-1.4442</v>
      </c>
      <c r="F2434" t="inlineStr">
        <is>
          <t>Down</t>
        </is>
      </c>
      <c r="G2434" t="inlineStr">
        <is>
          <t>Down</t>
        </is>
      </c>
      <c r="H2434" t="inlineStr">
        <is>
          <t>ED_JD</t>
        </is>
      </c>
      <c r="I2434" t="inlineStr">
        <is>
          <t>2016-02</t>
        </is>
      </c>
      <c r="J2434" t="n">
        <v>1</v>
      </c>
      <c r="K2434" t="n">
        <v>1</v>
      </c>
      <c r="L2434" s="34">
        <f>IF($J2434=1,LN(B2435/B2434),"")</f>
        <v/>
      </c>
      <c r="M2434" s="34">
        <f>IF($K2434=1,INDEX(Mensal!$D$2:$D$245,MATCH($I2434,Mensal!$A$2:$A$245,0)),"")</f>
        <v/>
      </c>
      <c r="N2434" s="34">
        <f>IF($K2434=1,L2434-M2434,"")</f>
        <v/>
      </c>
      <c r="O2434" s="34" t="n">
        <v>0.00052461</v>
      </c>
      <c r="P2434" s="34">
        <f>IF($J2434=1,LN(1+O2434),"")</f>
        <v/>
      </c>
      <c r="Q2434" s="34">
        <f>IF($J2434=1,LN(R2435/R2434),"")</f>
        <v/>
      </c>
      <c r="R2434" s="32" t="n">
        <v>4.0213</v>
      </c>
      <c r="S2434" s="35" t="n">
        <v>14.353</v>
      </c>
      <c r="T2434" s="18" t="n"/>
      <c r="U2434" s="18" t="n"/>
      <c r="V2434" s="18" t="n">
        <v>40947.69</v>
      </c>
      <c r="W2434" s="18" t="n"/>
      <c r="X2434" s="35" t="n"/>
      <c r="Y2434" s="35" t="n">
        <v>14.353</v>
      </c>
    </row>
    <row r="2435">
      <c r="A2435" s="25" t="n">
        <v>42417</v>
      </c>
      <c r="B2435" s="18" t="n">
        <v>41630.81</v>
      </c>
      <c r="C2435" s="31" t="n"/>
      <c r="D2435" s="32" t="n"/>
      <c r="E2435" s="33" t="n">
        <v>-1.4678</v>
      </c>
      <c r="F2435" t="inlineStr">
        <is>
          <t>Down</t>
        </is>
      </c>
      <c r="G2435" t="inlineStr">
        <is>
          <t>Down</t>
        </is>
      </c>
      <c r="H2435" t="inlineStr">
        <is>
          <t>ED_JD</t>
        </is>
      </c>
      <c r="I2435" t="inlineStr">
        <is>
          <t>2016-02</t>
        </is>
      </c>
      <c r="J2435" t="n">
        <v>1</v>
      </c>
      <c r="K2435" t="n">
        <v>1</v>
      </c>
      <c r="L2435" s="34">
        <f>IF($J2435=1,LN(B2436/B2435),"")</f>
        <v/>
      </c>
      <c r="M2435" s="34">
        <f>IF($K2435=1,INDEX(Mensal!$D$2:$D$245,MATCH($I2435,Mensal!$A$2:$A$245,0)),"")</f>
        <v/>
      </c>
      <c r="N2435" s="34">
        <f>IF($K2435=1,L2435-M2435,"")</f>
        <v/>
      </c>
      <c r="O2435" s="34" t="n">
        <v>0.00052461</v>
      </c>
      <c r="P2435" s="34">
        <f>IF($J2435=1,LN(1+O2435),"")</f>
        <v/>
      </c>
      <c r="Q2435" s="34">
        <f>IF($J2435=1,LN(R2436/R2435),"")</f>
        <v/>
      </c>
      <c r="R2435" s="32" t="n">
        <v>4.0318</v>
      </c>
      <c r="S2435" s="35" t="n">
        <v>14.305</v>
      </c>
      <c r="T2435" s="18" t="n"/>
      <c r="U2435" s="18" t="n"/>
      <c r="V2435" s="18" t="n">
        <v>41630.81</v>
      </c>
      <c r="W2435" s="18" t="n"/>
      <c r="X2435" s="35" t="n"/>
      <c r="Y2435" s="35" t="n">
        <v>14.305</v>
      </c>
    </row>
    <row r="2436">
      <c r="A2436" s="25" t="n">
        <v>42418</v>
      </c>
      <c r="B2436" s="18" t="n">
        <v>41477.63</v>
      </c>
      <c r="C2436" s="31" t="n"/>
      <c r="D2436" s="32" t="n"/>
      <c r="E2436" s="33" t="n">
        <v>-1.4849</v>
      </c>
      <c r="F2436" t="inlineStr">
        <is>
          <t>Down</t>
        </is>
      </c>
      <c r="G2436" t="inlineStr">
        <is>
          <t>Down</t>
        </is>
      </c>
      <c r="H2436" t="inlineStr">
        <is>
          <t>ED_JD</t>
        </is>
      </c>
      <c r="I2436" t="inlineStr">
        <is>
          <t>2016-02</t>
        </is>
      </c>
      <c r="J2436" t="n">
        <v>1</v>
      </c>
      <c r="K2436" t="n">
        <v>1</v>
      </c>
      <c r="L2436" s="34">
        <f>IF($J2436=1,LN(B2437/B2436),"")</f>
        <v/>
      </c>
      <c r="M2436" s="34">
        <f>IF($K2436=1,INDEX(Mensal!$D$2:$D$245,MATCH($I2436,Mensal!$A$2:$A$245,0)),"")</f>
        <v/>
      </c>
      <c r="N2436" s="34">
        <f>IF($K2436=1,L2436-M2436,"")</f>
        <v/>
      </c>
      <c r="O2436" s="34" t="n">
        <v>0.00052461</v>
      </c>
      <c r="P2436" s="34">
        <f>IF($J2436=1,LN(1+O2436),"")</f>
        <v/>
      </c>
      <c r="Q2436" s="34">
        <f>IF($J2436=1,LN(R2437/R2436),"")</f>
        <v/>
      </c>
      <c r="R2436" s="32" t="n">
        <v>4.0091</v>
      </c>
      <c r="S2436" s="35" t="n">
        <v>14.385</v>
      </c>
      <c r="T2436" s="18" t="n"/>
      <c r="U2436" s="18" t="n"/>
      <c r="V2436" s="18" t="n">
        <v>41477.63</v>
      </c>
      <c r="W2436" s="18" t="n"/>
      <c r="X2436" s="35" t="n"/>
      <c r="Y2436" s="35" t="n">
        <v>14.385</v>
      </c>
    </row>
    <row r="2437">
      <c r="A2437" s="25" t="n">
        <v>42419</v>
      </c>
      <c r="B2437" s="18" t="n">
        <v>41543.4</v>
      </c>
      <c r="C2437" s="31" t="n"/>
      <c r="D2437" s="32" t="n"/>
      <c r="E2437" s="33" t="n">
        <v>-1.4926</v>
      </c>
      <c r="F2437" t="inlineStr">
        <is>
          <t>Down</t>
        </is>
      </c>
      <c r="G2437" t="inlineStr">
        <is>
          <t>Down</t>
        </is>
      </c>
      <c r="H2437" t="inlineStr">
        <is>
          <t>ED_JD</t>
        </is>
      </c>
      <c r="I2437" t="inlineStr">
        <is>
          <t>2016-02</t>
        </is>
      </c>
      <c r="J2437" t="n">
        <v>1</v>
      </c>
      <c r="K2437" t="n">
        <v>1</v>
      </c>
      <c r="L2437" s="34">
        <f>IF($J2437=1,LN(B2438/B2437),"")</f>
        <v/>
      </c>
      <c r="M2437" s="34">
        <f>IF($K2437=1,INDEX(Mensal!$D$2:$D$245,MATCH($I2437,Mensal!$A$2:$A$245,0)),"")</f>
        <v/>
      </c>
      <c r="N2437" s="34">
        <f>IF($K2437=1,L2437-M2437,"")</f>
        <v/>
      </c>
      <c r="O2437" s="34" t="n">
        <v>0.00052461</v>
      </c>
      <c r="P2437" s="34">
        <f>IF($J2437=1,LN(1+O2437),"")</f>
        <v/>
      </c>
      <c r="Q2437" s="34">
        <f>IF($J2437=1,LN(R2438/R2437),"")</f>
        <v/>
      </c>
      <c r="R2437" s="32" t="n">
        <v>4.0492</v>
      </c>
      <c r="S2437" s="35" t="n">
        <v>14.304</v>
      </c>
      <c r="T2437" s="18" t="n"/>
      <c r="U2437" s="18" t="n"/>
      <c r="V2437" s="18" t="n">
        <v>41543.4</v>
      </c>
      <c r="W2437" s="18" t="n"/>
      <c r="X2437" s="35" t="n"/>
      <c r="Y2437" s="35" t="n">
        <v>14.304</v>
      </c>
    </row>
    <row r="2438">
      <c r="A2438" s="25" t="n">
        <v>42422</v>
      </c>
      <c r="B2438" s="18" t="n">
        <v>43234.85</v>
      </c>
      <c r="C2438" s="31" t="n"/>
      <c r="D2438" s="32" t="n"/>
      <c r="E2438" s="33" t="n">
        <v>-1.5131</v>
      </c>
      <c r="F2438" t="inlineStr">
        <is>
          <t>Down</t>
        </is>
      </c>
      <c r="G2438" t="inlineStr">
        <is>
          <t>Down</t>
        </is>
      </c>
      <c r="H2438" t="inlineStr">
        <is>
          <t>ED_JD</t>
        </is>
      </c>
      <c r="I2438" t="inlineStr">
        <is>
          <t>2016-02</t>
        </is>
      </c>
      <c r="J2438" t="n">
        <v>1</v>
      </c>
      <c r="K2438" t="n">
        <v>1</v>
      </c>
      <c r="L2438" s="34">
        <f>IF($J2438=1,LN(B2439/B2438),"")</f>
        <v/>
      </c>
      <c r="M2438" s="34">
        <f>IF($K2438=1,INDEX(Mensal!$D$2:$D$245,MATCH($I2438,Mensal!$A$2:$A$245,0)),"")</f>
        <v/>
      </c>
      <c r="N2438" s="34">
        <f>IF($K2438=1,L2438-M2438,"")</f>
        <v/>
      </c>
      <c r="O2438" s="34" t="n">
        <v>0.00052461</v>
      </c>
      <c r="P2438" s="34">
        <f>IF($J2438=1,LN(1+O2438),"")</f>
        <v/>
      </c>
      <c r="Q2438" s="34">
        <f>IF($J2438=1,LN(R2439/R2438),"")</f>
        <v/>
      </c>
      <c r="R2438" s="32" t="n">
        <v>3.9618</v>
      </c>
      <c r="S2438" s="35" t="n">
        <v>14.233</v>
      </c>
      <c r="T2438" s="18" t="n"/>
      <c r="U2438" s="18" t="n"/>
      <c r="V2438" s="18" t="n">
        <v>43234.85</v>
      </c>
      <c r="W2438" s="18" t="n"/>
      <c r="X2438" s="35" t="n"/>
      <c r="Y2438" s="35" t="n">
        <v>14.233</v>
      </c>
    </row>
    <row r="2439">
      <c r="A2439" s="25" t="n">
        <v>42423</v>
      </c>
      <c r="B2439" s="18" t="n">
        <v>42520.94</v>
      </c>
      <c r="C2439" s="31" t="n"/>
      <c r="D2439" s="32" t="n"/>
      <c r="E2439" s="33" t="n">
        <v>-1.5358</v>
      </c>
      <c r="F2439" t="inlineStr">
        <is>
          <t>Down</t>
        </is>
      </c>
      <c r="G2439" t="inlineStr">
        <is>
          <t>Down</t>
        </is>
      </c>
      <c r="H2439" t="inlineStr">
        <is>
          <t>ED_JD</t>
        </is>
      </c>
      <c r="I2439" t="inlineStr">
        <is>
          <t>2016-02</t>
        </is>
      </c>
      <c r="J2439" t="n">
        <v>1</v>
      </c>
      <c r="K2439" t="n">
        <v>1</v>
      </c>
      <c r="L2439" s="34">
        <f>IF($J2439=1,LN(B2440/B2439),"")</f>
        <v/>
      </c>
      <c r="M2439" s="34">
        <f>IF($K2439=1,INDEX(Mensal!$D$2:$D$245,MATCH($I2439,Mensal!$A$2:$A$245,0)),"")</f>
        <v/>
      </c>
      <c r="N2439" s="34">
        <f>IF($K2439=1,L2439-M2439,"")</f>
        <v/>
      </c>
      <c r="O2439" s="34" t="n">
        <v>0.00052461</v>
      </c>
      <c r="P2439" s="34">
        <f>IF($J2439=1,LN(1+O2439),"")</f>
        <v/>
      </c>
      <c r="Q2439" s="34">
        <f>IF($J2439=1,LN(R2440/R2439),"")</f>
        <v/>
      </c>
      <c r="R2439" s="32" t="n">
        <v>3.9684</v>
      </c>
      <c r="S2439" s="35" t="n">
        <v>14.26</v>
      </c>
      <c r="T2439" s="18" t="n"/>
      <c r="U2439" s="18" t="n"/>
      <c r="V2439" s="18" t="n">
        <v>42520.94</v>
      </c>
      <c r="W2439" s="18" t="n"/>
      <c r="X2439" s="35" t="n"/>
      <c r="Y2439" s="35" t="n">
        <v>14.26</v>
      </c>
    </row>
    <row r="2440">
      <c r="A2440" s="25" t="n">
        <v>42424</v>
      </c>
      <c r="B2440" s="18" t="n">
        <v>42084.55</v>
      </c>
      <c r="C2440" s="31" t="n"/>
      <c r="D2440" s="32" t="n"/>
      <c r="E2440" s="33" t="n">
        <v>-1.5874</v>
      </c>
      <c r="F2440" t="inlineStr">
        <is>
          <t>Down</t>
        </is>
      </c>
      <c r="G2440" t="inlineStr">
        <is>
          <t>Down</t>
        </is>
      </c>
      <c r="H2440" t="inlineStr">
        <is>
          <t>ED_JD</t>
        </is>
      </c>
      <c r="I2440" t="inlineStr">
        <is>
          <t>2016-02</t>
        </is>
      </c>
      <c r="J2440" t="n">
        <v>1</v>
      </c>
      <c r="K2440" t="n">
        <v>1</v>
      </c>
      <c r="L2440" s="34">
        <f>IF($J2440=1,LN(B2441/B2440),"")</f>
        <v/>
      </c>
      <c r="M2440" s="34">
        <f>IF($K2440=1,INDEX(Mensal!$D$2:$D$245,MATCH($I2440,Mensal!$A$2:$A$245,0)),"")</f>
        <v/>
      </c>
      <c r="N2440" s="34">
        <f>IF($K2440=1,L2440-M2440,"")</f>
        <v/>
      </c>
      <c r="O2440" s="34" t="n">
        <v>0.00052461</v>
      </c>
      <c r="P2440" s="34">
        <f>IF($J2440=1,LN(1+O2440),"")</f>
        <v/>
      </c>
      <c r="Q2440" s="34">
        <f>IF($J2440=1,LN(R2441/R2440),"")</f>
        <v/>
      </c>
      <c r="R2440" s="32" t="n">
        <v>3.99</v>
      </c>
      <c r="S2440" s="35" t="n">
        <v>14.232</v>
      </c>
      <c r="T2440" s="18" t="n"/>
      <c r="U2440" s="18" t="n"/>
      <c r="V2440" s="18" t="n">
        <v>42084.55</v>
      </c>
      <c r="W2440" s="18" t="n"/>
      <c r="X2440" s="35" t="n"/>
      <c r="Y2440" s="35" t="n">
        <v>14.232</v>
      </c>
    </row>
    <row r="2441">
      <c r="A2441" s="25" t="n">
        <v>42425</v>
      </c>
      <c r="B2441" s="18" t="n">
        <v>41887.9</v>
      </c>
      <c r="C2441" s="31" t="n"/>
      <c r="D2441" s="32" t="n"/>
      <c r="E2441" s="33" t="n">
        <v>-1.659</v>
      </c>
      <c r="F2441" t="inlineStr">
        <is>
          <t>Down</t>
        </is>
      </c>
      <c r="G2441" t="inlineStr">
        <is>
          <t>Down</t>
        </is>
      </c>
      <c r="H2441" t="inlineStr">
        <is>
          <t>ED_JD</t>
        </is>
      </c>
      <c r="I2441" t="inlineStr">
        <is>
          <t>2016-02</t>
        </is>
      </c>
      <c r="J2441" t="n">
        <v>1</v>
      </c>
      <c r="K2441" t="n">
        <v>1</v>
      </c>
      <c r="L2441" s="34">
        <f>IF($J2441=1,LN(B2442/B2441),"")</f>
        <v/>
      </c>
      <c r="M2441" s="34">
        <f>IF($K2441=1,INDEX(Mensal!$D$2:$D$245,MATCH($I2441,Mensal!$A$2:$A$245,0)),"")</f>
        <v/>
      </c>
      <c r="N2441" s="34">
        <f>IF($K2441=1,L2441-M2441,"")</f>
        <v/>
      </c>
      <c r="O2441" s="34" t="n">
        <v>0.00052461</v>
      </c>
      <c r="P2441" s="34">
        <f>IF($J2441=1,LN(1+O2441),"")</f>
        <v/>
      </c>
      <c r="Q2441" s="34">
        <f>IF($J2441=1,LN(R2442/R2441),"")</f>
        <v/>
      </c>
      <c r="R2441" s="32" t="n">
        <v>3.94</v>
      </c>
      <c r="S2441" s="35" t="n">
        <v>14.274</v>
      </c>
      <c r="T2441" s="18" t="n"/>
      <c r="U2441" s="18" t="n"/>
      <c r="V2441" s="18" t="n">
        <v>41887.9</v>
      </c>
      <c r="W2441" s="18" t="n"/>
      <c r="X2441" s="35" t="n"/>
      <c r="Y2441" s="35" t="n">
        <v>14.274</v>
      </c>
    </row>
    <row r="2442">
      <c r="A2442" s="25" t="n">
        <v>42426</v>
      </c>
      <c r="B2442" s="18" t="n">
        <v>41593.07</v>
      </c>
      <c r="C2442" s="31" t="n"/>
      <c r="D2442" s="32" t="n"/>
      <c r="E2442" s="33" t="n">
        <v>-1.7323</v>
      </c>
      <c r="F2442" t="inlineStr">
        <is>
          <t>Down</t>
        </is>
      </c>
      <c r="G2442" t="inlineStr">
        <is>
          <t>Down</t>
        </is>
      </c>
      <c r="H2442" t="inlineStr">
        <is>
          <t>ED_JD</t>
        </is>
      </c>
      <c r="I2442" t="inlineStr">
        <is>
          <t>2016-02</t>
        </is>
      </c>
      <c r="J2442" t="n">
        <v>1</v>
      </c>
      <c r="K2442" t="n">
        <v>1</v>
      </c>
      <c r="L2442" s="34">
        <f>IF($J2442=1,LN(B2443/B2442),"")</f>
        <v/>
      </c>
      <c r="M2442" s="34">
        <f>IF($K2442=1,INDEX(Mensal!$D$2:$D$245,MATCH($I2442,Mensal!$A$2:$A$245,0)),"")</f>
        <v/>
      </c>
      <c r="N2442" s="34">
        <f>IF($K2442=1,L2442-M2442,"")</f>
        <v/>
      </c>
      <c r="O2442" s="34" t="n">
        <v>0.00052461</v>
      </c>
      <c r="P2442" s="34">
        <f>IF($J2442=1,LN(1+O2442),"")</f>
        <v/>
      </c>
      <c r="Q2442" s="34">
        <f>IF($J2442=1,LN(R2443/R2442),"")</f>
        <v/>
      </c>
      <c r="R2442" s="32" t="n">
        <v>3.9578</v>
      </c>
      <c r="S2442" s="35" t="n">
        <v>14.284</v>
      </c>
      <c r="T2442" s="18" t="n"/>
      <c r="U2442" s="18" t="n"/>
      <c r="V2442" s="18" t="n">
        <v>41593.07</v>
      </c>
      <c r="W2442" s="18" t="n"/>
      <c r="X2442" s="35" t="n"/>
      <c r="Y2442" s="35" t="n">
        <v>14.284</v>
      </c>
    </row>
    <row r="2443">
      <c r="A2443" s="25" t="n">
        <v>42429</v>
      </c>
      <c r="B2443" s="18" t="n">
        <v>42793.86</v>
      </c>
      <c r="C2443" s="31" t="n"/>
      <c r="D2443" s="32" t="n"/>
      <c r="E2443" s="33" t="n">
        <v>-1.8016</v>
      </c>
      <c r="F2443" t="inlineStr">
        <is>
          <t>Down</t>
        </is>
      </c>
      <c r="G2443" t="inlineStr">
        <is>
          <t>Down</t>
        </is>
      </c>
      <c r="H2443" t="inlineStr">
        <is>
          <t>ED_JD</t>
        </is>
      </c>
      <c r="I2443" t="inlineStr">
        <is>
          <t>2016-02</t>
        </is>
      </c>
      <c r="J2443" t="n">
        <v>1</v>
      </c>
      <c r="K2443" t="n">
        <v>1</v>
      </c>
      <c r="L2443" s="34">
        <f>IF($J2443=1,LN(B2444/B2443),"")</f>
        <v/>
      </c>
      <c r="M2443" s="34">
        <f>IF($K2443=1,INDEX(Mensal!$D$2:$D$245,MATCH($I2443,Mensal!$A$2:$A$245,0)),"")</f>
        <v/>
      </c>
      <c r="N2443" s="34">
        <f>IF($K2443=1,L2443-M2443,"")</f>
        <v/>
      </c>
      <c r="O2443" s="34" t="n">
        <v>0.00052461</v>
      </c>
      <c r="P2443" s="34">
        <f>IF($J2443=1,LN(1+O2443),"")</f>
        <v/>
      </c>
      <c r="Q2443" s="34">
        <f>IF($J2443=1,LN(R2444/R2443),"")</f>
        <v/>
      </c>
      <c r="R2443" s="32" t="n">
        <v>3.9796</v>
      </c>
      <c r="S2443" s="35" t="n">
        <v>14.214</v>
      </c>
      <c r="T2443" s="18" t="n"/>
      <c r="U2443" s="18" t="n"/>
      <c r="V2443" s="18" t="n">
        <v>42793.86</v>
      </c>
      <c r="W2443" s="18" t="n"/>
      <c r="X2443" s="35" t="n"/>
      <c r="Y2443" s="35" t="n">
        <v>14.214</v>
      </c>
    </row>
    <row r="2444">
      <c r="A2444" s="25" t="n">
        <v>42430</v>
      </c>
      <c r="B2444" s="18" t="n">
        <v>44121.79</v>
      </c>
      <c r="C2444" s="31" t="n"/>
      <c r="D2444" s="32" t="n"/>
      <c r="E2444" s="33" t="n">
        <v>-1.8691</v>
      </c>
      <c r="F2444" t="inlineStr">
        <is>
          <t>Down</t>
        </is>
      </c>
      <c r="G2444" t="inlineStr">
        <is>
          <t>Down</t>
        </is>
      </c>
      <c r="H2444" t="inlineStr">
        <is>
          <t>ED_JD</t>
        </is>
      </c>
      <c r="I2444" t="inlineStr">
        <is>
          <t>2016-03</t>
        </is>
      </c>
      <c r="J2444" t="n">
        <v>1</v>
      </c>
      <c r="K2444" t="n">
        <v>1</v>
      </c>
      <c r="L2444" s="34">
        <f>IF($J2444=1,LN(B2445/B2444),"")</f>
        <v/>
      </c>
      <c r="M2444" s="34">
        <f>IF($K2444=1,INDEX(Mensal!$D$2:$D$245,MATCH($I2444,Mensal!$A$2:$A$245,0)),"")</f>
        <v/>
      </c>
      <c r="N2444" s="34">
        <f>IF($K2444=1,L2444-M2444,"")</f>
        <v/>
      </c>
      <c r="O2444" s="34" t="n">
        <v>0.00052461</v>
      </c>
      <c r="P2444" s="34">
        <f>IF($J2444=1,LN(1+O2444),"")</f>
        <v/>
      </c>
      <c r="Q2444" s="34">
        <f>IF($J2444=1,LN(R2445/R2444),"")</f>
        <v/>
      </c>
      <c r="R2444" s="32" t="n">
        <v>3.9913</v>
      </c>
      <c r="S2444" s="35" t="n">
        <v>14.04</v>
      </c>
      <c r="T2444" s="18" t="n"/>
      <c r="U2444" s="18" t="n"/>
      <c r="V2444" s="18" t="n">
        <v>44121.79</v>
      </c>
      <c r="W2444" s="18" t="n"/>
      <c r="X2444" s="35" t="n"/>
      <c r="Y2444" s="35" t="n">
        <v>14.04</v>
      </c>
    </row>
    <row r="2445">
      <c r="A2445" s="25" t="n">
        <v>42431</v>
      </c>
      <c r="B2445" s="18" t="n">
        <v>44893.48</v>
      </c>
      <c r="C2445" s="31" t="n"/>
      <c r="D2445" s="32" t="n"/>
      <c r="E2445" s="33" t="n">
        <v>-1.9328</v>
      </c>
      <c r="F2445" t="inlineStr">
        <is>
          <t>Down</t>
        </is>
      </c>
      <c r="G2445" t="inlineStr">
        <is>
          <t>Down</t>
        </is>
      </c>
      <c r="H2445" t="inlineStr">
        <is>
          <t>ED_JD</t>
        </is>
      </c>
      <c r="I2445" t="inlineStr">
        <is>
          <t>2016-03</t>
        </is>
      </c>
      <c r="J2445" t="n">
        <v>1</v>
      </c>
      <c r="K2445" t="n">
        <v>1</v>
      </c>
      <c r="L2445" s="34">
        <f>IF($J2445=1,LN(B2446/B2445),"")</f>
        <v/>
      </c>
      <c r="M2445" s="34">
        <f>IF($K2445=1,INDEX(Mensal!$D$2:$D$245,MATCH($I2445,Mensal!$A$2:$A$245,0)),"")</f>
        <v/>
      </c>
      <c r="N2445" s="34">
        <f>IF($K2445=1,L2445-M2445,"")</f>
        <v/>
      </c>
      <c r="O2445" s="34" t="n">
        <v>0.00052461</v>
      </c>
      <c r="P2445" s="34">
        <f>IF($J2445=1,LN(1+O2445),"")</f>
        <v/>
      </c>
      <c r="Q2445" s="34">
        <f>IF($J2445=1,LN(R2446/R2445),"")</f>
        <v/>
      </c>
      <c r="R2445" s="32" t="n">
        <v>3.9116</v>
      </c>
      <c r="S2445" s="35" t="n">
        <v>14.081</v>
      </c>
      <c r="T2445" s="18" t="n"/>
      <c r="U2445" s="18" t="n"/>
      <c r="V2445" s="18" t="n">
        <v>44893.48</v>
      </c>
      <c r="W2445" s="18" t="n"/>
      <c r="X2445" s="35" t="n"/>
      <c r="Y2445" s="35" t="n">
        <v>14.081</v>
      </c>
    </row>
    <row r="2446">
      <c r="A2446" s="25" t="n">
        <v>42432</v>
      </c>
      <c r="B2446" s="18" t="n">
        <v>47193.39</v>
      </c>
      <c r="C2446" s="31" t="n"/>
      <c r="D2446" s="32" t="n"/>
      <c r="E2446" s="33" t="n">
        <v>-1.9811</v>
      </c>
      <c r="F2446" t="inlineStr">
        <is>
          <t>Down</t>
        </is>
      </c>
      <c r="G2446" t="inlineStr">
        <is>
          <t>Down</t>
        </is>
      </c>
      <c r="H2446" t="inlineStr">
        <is>
          <t>ED_JD</t>
        </is>
      </c>
      <c r="I2446" t="inlineStr">
        <is>
          <t>2016-03</t>
        </is>
      </c>
      <c r="J2446" t="n">
        <v>1</v>
      </c>
      <c r="K2446" t="n">
        <v>1</v>
      </c>
      <c r="L2446" s="34">
        <f>IF($J2446=1,LN(B2447/B2446),"")</f>
        <v/>
      </c>
      <c r="M2446" s="34">
        <f>IF($K2446=1,INDEX(Mensal!$D$2:$D$245,MATCH($I2446,Mensal!$A$2:$A$245,0)),"")</f>
        <v/>
      </c>
      <c r="N2446" s="34">
        <f>IF($K2446=1,L2446-M2446,"")</f>
        <v/>
      </c>
      <c r="O2446" s="34" t="n">
        <v>0.00052461</v>
      </c>
      <c r="P2446" s="34">
        <f>IF($J2446=1,LN(1+O2446),"")</f>
        <v/>
      </c>
      <c r="Q2446" s="34">
        <f>IF($J2446=1,LN(R2447/R2446),"")</f>
        <v/>
      </c>
      <c r="R2446" s="32" t="n">
        <v>3.8504</v>
      </c>
      <c r="S2446" s="35" t="n">
        <v>14.061</v>
      </c>
      <c r="T2446" s="18" t="n"/>
      <c r="U2446" s="18" t="n"/>
      <c r="V2446" s="18" t="n">
        <v>47193.39</v>
      </c>
      <c r="W2446" s="18" t="n"/>
      <c r="X2446" s="35" t="n"/>
      <c r="Y2446" s="35" t="n">
        <v>14.061</v>
      </c>
    </row>
    <row r="2447">
      <c r="A2447" s="25" t="n">
        <v>42433</v>
      </c>
      <c r="B2447" s="18" t="n">
        <v>49084.86</v>
      </c>
      <c r="C2447" s="31" t="n"/>
      <c r="D2447" s="32" t="n"/>
      <c r="E2447" s="33" t="n">
        <v>-2.0256</v>
      </c>
      <c r="F2447" t="inlineStr">
        <is>
          <t>Down</t>
        </is>
      </c>
      <c r="G2447" t="inlineStr">
        <is>
          <t>Down</t>
        </is>
      </c>
      <c r="H2447" t="inlineStr">
        <is>
          <t>ED_JD</t>
        </is>
      </c>
      <c r="I2447" t="inlineStr">
        <is>
          <t>2016-03</t>
        </is>
      </c>
      <c r="J2447" t="n">
        <v>1</v>
      </c>
      <c r="K2447" t="n">
        <v>1</v>
      </c>
      <c r="L2447" s="34">
        <f>IF($J2447=1,LN(B2448/B2447),"")</f>
        <v/>
      </c>
      <c r="M2447" s="34">
        <f>IF($K2447=1,INDEX(Mensal!$D$2:$D$245,MATCH($I2447,Mensal!$A$2:$A$245,0)),"")</f>
        <v/>
      </c>
      <c r="N2447" s="34">
        <f>IF($K2447=1,L2447-M2447,"")</f>
        <v/>
      </c>
      <c r="O2447" s="34" t="n">
        <v>0.00052461</v>
      </c>
      <c r="P2447" s="34">
        <f>IF($J2447=1,LN(1+O2447),"")</f>
        <v/>
      </c>
      <c r="Q2447" s="34">
        <f>IF($J2447=1,LN(R2448/R2447),"")</f>
        <v/>
      </c>
      <c r="R2447" s="32" t="n">
        <v>3.7188</v>
      </c>
      <c r="S2447" s="35" t="n">
        <v>14.064</v>
      </c>
      <c r="T2447" s="18" t="n"/>
      <c r="U2447" s="18" t="n"/>
      <c r="V2447" s="18" t="n">
        <v>49084.86</v>
      </c>
      <c r="W2447" s="18" t="n"/>
      <c r="X2447" s="35" t="n"/>
      <c r="Y2447" s="35" t="n">
        <v>14.064</v>
      </c>
    </row>
    <row r="2448">
      <c r="A2448" s="25" t="n">
        <v>42437</v>
      </c>
      <c r="B2448" s="18" t="n">
        <v>49102.13</v>
      </c>
      <c r="C2448" s="31" t="n"/>
      <c r="D2448" s="32" t="n"/>
      <c r="E2448" s="33" t="n">
        <v>-2.0988</v>
      </c>
      <c r="F2448" t="inlineStr">
        <is>
          <t>Down</t>
        </is>
      </c>
      <c r="G2448" t="inlineStr">
        <is>
          <t>Down</t>
        </is>
      </c>
      <c r="H2448" t="inlineStr">
        <is>
          <t>ED_JD</t>
        </is>
      </c>
      <c r="I2448" t="inlineStr">
        <is>
          <t>2016-03</t>
        </is>
      </c>
      <c r="J2448" t="n">
        <v>1</v>
      </c>
      <c r="K2448" t="n">
        <v>1</v>
      </c>
      <c r="L2448" s="34">
        <f>IF($J2448=1,LN(B2449/B2448),"")</f>
        <v/>
      </c>
      <c r="M2448" s="34">
        <f>IF($K2448=1,INDEX(Mensal!$D$2:$D$245,MATCH($I2448,Mensal!$A$2:$A$245,0)),"")</f>
        <v/>
      </c>
      <c r="N2448" s="34">
        <f>IF($K2448=1,L2448-M2448,"")</f>
        <v/>
      </c>
      <c r="O2448" s="34" t="n">
        <v>0.00052461</v>
      </c>
      <c r="P2448" s="34">
        <f>IF($J2448=1,LN(1+O2448),"")</f>
        <v/>
      </c>
      <c r="Q2448" s="34">
        <f>IF($J2448=1,LN(R2449/R2448),"")</f>
        <v/>
      </c>
      <c r="R2448" s="32" t="n">
        <v>3.7813</v>
      </c>
      <c r="S2448" s="35" t="n">
        <v>14.07</v>
      </c>
      <c r="T2448" s="18" t="n"/>
      <c r="U2448" s="18" t="n"/>
      <c r="V2448" s="18" t="n">
        <v>49102.13</v>
      </c>
      <c r="W2448" s="18" t="n"/>
      <c r="X2448" s="35" t="n"/>
      <c r="Y2448" s="35" t="n">
        <v>14.07</v>
      </c>
    </row>
    <row r="2449">
      <c r="A2449" s="25" t="n">
        <v>42438</v>
      </c>
      <c r="B2449" s="18" t="n">
        <v>48665.09</v>
      </c>
      <c r="C2449" s="31" t="n"/>
      <c r="D2449" s="32" t="n"/>
      <c r="E2449" s="33" t="n">
        <v>-2.1297</v>
      </c>
      <c r="F2449" t="inlineStr">
        <is>
          <t>Down</t>
        </is>
      </c>
      <c r="G2449" t="inlineStr">
        <is>
          <t>Down</t>
        </is>
      </c>
      <c r="H2449" t="inlineStr">
        <is>
          <t>ED_JD</t>
        </is>
      </c>
      <c r="I2449" t="inlineStr">
        <is>
          <t>2016-03</t>
        </is>
      </c>
      <c r="J2449" t="n">
        <v>1</v>
      </c>
      <c r="K2449" t="n">
        <v>1</v>
      </c>
      <c r="L2449" s="34">
        <f>IF($J2449=1,LN(B2450/B2449),"")</f>
        <v/>
      </c>
      <c r="M2449" s="34">
        <f>IF($K2449=1,INDEX(Mensal!$D$2:$D$245,MATCH($I2449,Mensal!$A$2:$A$245,0)),"")</f>
        <v/>
      </c>
      <c r="N2449" s="34">
        <f>IF($K2449=1,L2449-M2449,"")</f>
        <v/>
      </c>
      <c r="O2449" s="34" t="n">
        <v>0.00052461</v>
      </c>
      <c r="P2449" s="34">
        <f>IF($J2449=1,LN(1+O2449),"")</f>
        <v/>
      </c>
      <c r="Q2449" s="34">
        <f>IF($J2449=1,LN(R2450/R2449),"")</f>
        <v/>
      </c>
      <c r="R2449" s="32" t="n">
        <v>3.7037</v>
      </c>
      <c r="S2449" s="35" t="n">
        <v>13.883</v>
      </c>
      <c r="T2449" s="18" t="n"/>
      <c r="U2449" s="18" t="n"/>
      <c r="V2449" s="18" t="n">
        <v>48665.09</v>
      </c>
      <c r="W2449" s="18" t="n"/>
      <c r="X2449" s="35" t="n"/>
      <c r="Y2449" s="35" t="n">
        <v>13.883</v>
      </c>
    </row>
    <row r="2450">
      <c r="A2450" s="25" t="n">
        <v>42439</v>
      </c>
      <c r="B2450" s="18" t="n">
        <v>49571.1</v>
      </c>
      <c r="C2450" s="31" t="n"/>
      <c r="D2450" s="32" t="n"/>
      <c r="E2450" s="33" t="n">
        <v>-2.1578</v>
      </c>
      <c r="F2450" t="inlineStr">
        <is>
          <t>Down</t>
        </is>
      </c>
      <c r="G2450" t="inlineStr">
        <is>
          <t>Down</t>
        </is>
      </c>
      <c r="H2450" t="inlineStr">
        <is>
          <t>ED_JD</t>
        </is>
      </c>
      <c r="I2450" t="inlineStr">
        <is>
          <t>2016-03</t>
        </is>
      </c>
      <c r="J2450" t="n">
        <v>1</v>
      </c>
      <c r="K2450" t="n">
        <v>1</v>
      </c>
      <c r="L2450" s="34">
        <f>IF($J2450=1,LN(B2451/B2450),"")</f>
        <v/>
      </c>
      <c r="M2450" s="34">
        <f>IF($K2450=1,INDEX(Mensal!$D$2:$D$245,MATCH($I2450,Mensal!$A$2:$A$245,0)),"")</f>
        <v/>
      </c>
      <c r="N2450" s="34">
        <f>IF($K2450=1,L2450-M2450,"")</f>
        <v/>
      </c>
      <c r="O2450" s="34" t="n">
        <v>0.00052461</v>
      </c>
      <c r="P2450" s="34">
        <f>IF($J2450=1,LN(1+O2450),"")</f>
        <v/>
      </c>
      <c r="Q2450" s="34">
        <f>IF($J2450=1,LN(R2451/R2450),"")</f>
        <v/>
      </c>
      <c r="R2450" s="32" t="n">
        <v>3.67</v>
      </c>
      <c r="S2450" s="35" t="n">
        <v>13.808</v>
      </c>
      <c r="T2450" s="18" t="n"/>
      <c r="U2450" s="18" t="n"/>
      <c r="V2450" s="18" t="n">
        <v>49571.1</v>
      </c>
      <c r="W2450" s="18" t="n"/>
      <c r="X2450" s="35" t="n"/>
      <c r="Y2450" s="35" t="n">
        <v>13.808</v>
      </c>
    </row>
    <row r="2451">
      <c r="A2451" s="25" t="n">
        <v>42440</v>
      </c>
      <c r="B2451" s="18" t="n">
        <v>49638.67</v>
      </c>
      <c r="C2451" s="31" t="n"/>
      <c r="D2451" s="32" t="n"/>
      <c r="E2451" s="33" t="n">
        <v>-2.1802</v>
      </c>
      <c r="F2451" t="inlineStr">
        <is>
          <t>Down</t>
        </is>
      </c>
      <c r="G2451" t="inlineStr">
        <is>
          <t>Down</t>
        </is>
      </c>
      <c r="H2451" t="inlineStr">
        <is>
          <t>ED_JD</t>
        </is>
      </c>
      <c r="I2451" t="inlineStr">
        <is>
          <t>2016-03</t>
        </is>
      </c>
      <c r="J2451" t="n">
        <v>1</v>
      </c>
      <c r="K2451" t="n">
        <v>1</v>
      </c>
      <c r="L2451" s="34">
        <f>IF($J2451=1,LN(B2452/B2451),"")</f>
        <v/>
      </c>
      <c r="M2451" s="34">
        <f>IF($K2451=1,INDEX(Mensal!$D$2:$D$245,MATCH($I2451,Mensal!$A$2:$A$245,0)),"")</f>
        <v/>
      </c>
      <c r="N2451" s="34">
        <f>IF($K2451=1,L2451-M2451,"")</f>
        <v/>
      </c>
      <c r="O2451" s="34" t="n">
        <v>0.00052461</v>
      </c>
      <c r="P2451" s="34">
        <f>IF($J2451=1,LN(1+O2451),"")</f>
        <v/>
      </c>
      <c r="Q2451" s="34">
        <f>IF($J2451=1,LN(R2452/R2451),"")</f>
        <v/>
      </c>
      <c r="R2451" s="32" t="n">
        <v>3.6271</v>
      </c>
      <c r="S2451" s="35" t="n">
        <v>13.685</v>
      </c>
      <c r="T2451" s="18" t="n"/>
      <c r="U2451" s="18" t="n"/>
      <c r="V2451" s="18" t="n">
        <v>49638.67</v>
      </c>
      <c r="W2451" s="18" t="n"/>
      <c r="X2451" s="35" t="n"/>
      <c r="Y2451" s="35" t="n">
        <v>13.685</v>
      </c>
    </row>
    <row r="2452">
      <c r="A2452" s="25" t="n">
        <v>42443</v>
      </c>
      <c r="B2452" s="18" t="n">
        <v>48867.33</v>
      </c>
      <c r="C2452" s="31" t="n"/>
      <c r="D2452" s="32" t="n"/>
      <c r="E2452" s="33" t="n">
        <v>-2.195</v>
      </c>
      <c r="F2452" t="inlineStr">
        <is>
          <t>Down</t>
        </is>
      </c>
      <c r="G2452" t="inlineStr">
        <is>
          <t>Down</t>
        </is>
      </c>
      <c r="H2452" t="inlineStr">
        <is>
          <t>ED_JD</t>
        </is>
      </c>
      <c r="I2452" t="inlineStr">
        <is>
          <t>2016-03</t>
        </is>
      </c>
      <c r="J2452" t="n">
        <v>1</v>
      </c>
      <c r="K2452" t="n">
        <v>1</v>
      </c>
      <c r="L2452" s="34">
        <f>IF($J2452=1,LN(B2453/B2452),"")</f>
        <v/>
      </c>
      <c r="M2452" s="34">
        <f>IF($K2452=1,INDEX(Mensal!$D$2:$D$245,MATCH($I2452,Mensal!$A$2:$A$245,0)),"")</f>
        <v/>
      </c>
      <c r="N2452" s="34">
        <f>IF($K2452=1,L2452-M2452,"")</f>
        <v/>
      </c>
      <c r="O2452" s="34" t="n">
        <v>0.00052461</v>
      </c>
      <c r="P2452" s="34">
        <f>IF($J2452=1,LN(1+O2452),"")</f>
        <v/>
      </c>
      <c r="Q2452" s="34">
        <f>IF($J2452=1,LN(R2453/R2452),"")</f>
        <v/>
      </c>
      <c r="R2452" s="32" t="n">
        <v>3.6239</v>
      </c>
      <c r="S2452" s="35" t="n">
        <v>13.697</v>
      </c>
      <c r="T2452" s="18" t="n"/>
      <c r="U2452" s="18" t="n"/>
      <c r="V2452" s="18" t="n">
        <v>48867.33</v>
      </c>
      <c r="W2452" s="18" t="n"/>
      <c r="X2452" s="35" t="n"/>
      <c r="Y2452" s="35" t="n">
        <v>13.697</v>
      </c>
    </row>
    <row r="2453">
      <c r="A2453" s="25" t="n">
        <v>42444</v>
      </c>
      <c r="B2453" s="18" t="n">
        <v>47130.02</v>
      </c>
      <c r="C2453" s="31" t="n"/>
      <c r="D2453" s="32" t="n"/>
      <c r="E2453" s="33" t="n">
        <v>-2.1996</v>
      </c>
      <c r="F2453" t="inlineStr">
        <is>
          <t>Down</t>
        </is>
      </c>
      <c r="G2453" t="inlineStr">
        <is>
          <t>Down</t>
        </is>
      </c>
      <c r="H2453" t="inlineStr">
        <is>
          <t>ED_JD</t>
        </is>
      </c>
      <c r="I2453" t="inlineStr">
        <is>
          <t>2016-03</t>
        </is>
      </c>
      <c r="J2453" t="n">
        <v>1</v>
      </c>
      <c r="K2453" t="n">
        <v>1</v>
      </c>
      <c r="L2453" s="34">
        <f>IF($J2453=1,LN(B2454/B2453),"")</f>
        <v/>
      </c>
      <c r="M2453" s="34">
        <f>IF($K2453=1,INDEX(Mensal!$D$2:$D$245,MATCH($I2453,Mensal!$A$2:$A$245,0)),"")</f>
        <v/>
      </c>
      <c r="N2453" s="34">
        <f>IF($K2453=1,L2453-M2453,"")</f>
        <v/>
      </c>
      <c r="O2453" s="34" t="n">
        <v>0.00052461</v>
      </c>
      <c r="P2453" s="34">
        <f>IF($J2453=1,LN(1+O2453),"")</f>
        <v/>
      </c>
      <c r="Q2453" s="34">
        <f>IF($J2453=1,LN(R2454/R2453),"")</f>
        <v/>
      </c>
      <c r="R2453" s="32" t="n">
        <v>3.7116</v>
      </c>
      <c r="S2453" s="35" t="n">
        <v>13.838</v>
      </c>
      <c r="T2453" s="18" t="n"/>
      <c r="U2453" s="18" t="n"/>
      <c r="V2453" s="18" t="n">
        <v>47130.02</v>
      </c>
      <c r="W2453" s="18" t="n"/>
      <c r="X2453" s="35" t="n"/>
      <c r="Y2453" s="35" t="n">
        <v>13.838</v>
      </c>
    </row>
    <row r="2454">
      <c r="A2454" s="25" t="n">
        <v>42445</v>
      </c>
      <c r="B2454" s="18" t="n">
        <v>47763.43</v>
      </c>
      <c r="C2454" s="31" t="n"/>
      <c r="D2454" s="32" t="n"/>
      <c r="E2454" s="33" t="n">
        <v>-2.2066</v>
      </c>
      <c r="F2454" t="inlineStr">
        <is>
          <t>Down</t>
        </is>
      </c>
      <c r="G2454" t="inlineStr">
        <is>
          <t>Down</t>
        </is>
      </c>
      <c r="H2454" t="inlineStr">
        <is>
          <t>ED_JD</t>
        </is>
      </c>
      <c r="I2454" t="inlineStr">
        <is>
          <t>2016-03</t>
        </is>
      </c>
      <c r="J2454" t="n">
        <v>1</v>
      </c>
      <c r="K2454" t="n">
        <v>1</v>
      </c>
      <c r="L2454" s="34">
        <f>IF($J2454=1,LN(B2455/B2454),"")</f>
        <v/>
      </c>
      <c r="M2454" s="34">
        <f>IF($K2454=1,INDEX(Mensal!$D$2:$D$245,MATCH($I2454,Mensal!$A$2:$A$245,0)),"")</f>
        <v/>
      </c>
      <c r="N2454" s="34">
        <f>IF($K2454=1,L2454-M2454,"")</f>
        <v/>
      </c>
      <c r="O2454" s="34" t="n">
        <v>0.00052461</v>
      </c>
      <c r="P2454" s="34">
        <f>IF($J2454=1,LN(1+O2454),"")</f>
        <v/>
      </c>
      <c r="Q2454" s="34">
        <f>IF($J2454=1,LN(R2455/R2454),"")</f>
        <v/>
      </c>
      <c r="R2454" s="32" t="n">
        <v>3.8079</v>
      </c>
      <c r="S2454" s="35" t="n">
        <v>13.7</v>
      </c>
      <c r="T2454" s="18" t="n"/>
      <c r="U2454" s="18" t="n"/>
      <c r="V2454" s="18" t="n">
        <v>47763.43</v>
      </c>
      <c r="W2454" s="18" t="n"/>
      <c r="X2454" s="35" t="n"/>
      <c r="Y2454" s="35" t="n">
        <v>13.7</v>
      </c>
    </row>
    <row r="2455">
      <c r="A2455" s="25" t="n">
        <v>42446</v>
      </c>
      <c r="B2455" s="18" t="n">
        <v>50913.78</v>
      </c>
      <c r="C2455" s="31" t="n"/>
      <c r="D2455" s="32" t="n"/>
      <c r="E2455" s="33" t="n">
        <v>-2.2181</v>
      </c>
      <c r="F2455" t="inlineStr">
        <is>
          <t>Down</t>
        </is>
      </c>
      <c r="G2455" t="inlineStr">
        <is>
          <t>Down</t>
        </is>
      </c>
      <c r="H2455" t="inlineStr">
        <is>
          <t>ED_JD</t>
        </is>
      </c>
      <c r="I2455" t="inlineStr">
        <is>
          <t>2016-03</t>
        </is>
      </c>
      <c r="J2455" t="n">
        <v>1</v>
      </c>
      <c r="K2455" t="n">
        <v>1</v>
      </c>
      <c r="L2455" s="34">
        <f>IF($J2455=1,LN(B2456/B2455),"")</f>
        <v/>
      </c>
      <c r="M2455" s="34">
        <f>IF($K2455=1,INDEX(Mensal!$D$2:$D$245,MATCH($I2455,Mensal!$A$2:$A$245,0)),"")</f>
        <v/>
      </c>
      <c r="N2455" s="34">
        <f>IF($K2455=1,L2455-M2455,"")</f>
        <v/>
      </c>
      <c r="O2455" s="34" t="n">
        <v>0.00052461</v>
      </c>
      <c r="P2455" s="34">
        <f>IF($J2455=1,LN(1+O2455),"")</f>
        <v/>
      </c>
      <c r="Q2455" s="34">
        <f>IF($J2455=1,LN(R2456/R2455),"")</f>
        <v/>
      </c>
      <c r="R2455" s="32" t="n">
        <v>3.6445</v>
      </c>
      <c r="S2455" s="35" t="n">
        <v>13.656</v>
      </c>
      <c r="T2455" s="18" t="n"/>
      <c r="U2455" s="18" t="n"/>
      <c r="V2455" s="18" t="n">
        <v>50913.78</v>
      </c>
      <c r="W2455" s="18" t="n"/>
      <c r="X2455" s="35" t="n"/>
      <c r="Y2455" s="35" t="n">
        <v>13.656</v>
      </c>
    </row>
    <row r="2456">
      <c r="A2456" s="25" t="n">
        <v>42447</v>
      </c>
      <c r="B2456" s="18" t="n">
        <v>50814.65</v>
      </c>
      <c r="C2456" s="31" t="n"/>
      <c r="D2456" s="32" t="n"/>
      <c r="E2456" s="33" t="n">
        <v>-2.2133</v>
      </c>
      <c r="F2456" t="inlineStr">
        <is>
          <t>Down</t>
        </is>
      </c>
      <c r="G2456" t="inlineStr">
        <is>
          <t>Down</t>
        </is>
      </c>
      <c r="H2456" t="inlineStr">
        <is>
          <t>ED_JD</t>
        </is>
      </c>
      <c r="I2456" t="inlineStr">
        <is>
          <t>2016-03</t>
        </is>
      </c>
      <c r="J2456" t="n">
        <v>1</v>
      </c>
      <c r="K2456" t="n">
        <v>1</v>
      </c>
      <c r="L2456" s="34">
        <f>IF($J2456=1,LN(B2457/B2456),"")</f>
        <v/>
      </c>
      <c r="M2456" s="34">
        <f>IF($K2456=1,INDEX(Mensal!$D$2:$D$245,MATCH($I2456,Mensal!$A$2:$A$245,0)),"")</f>
        <v/>
      </c>
      <c r="N2456" s="34">
        <f>IF($K2456=1,L2456-M2456,"")</f>
        <v/>
      </c>
      <c r="O2456" s="34" t="n">
        <v>0.00052461</v>
      </c>
      <c r="P2456" s="34">
        <f>IF($J2456=1,LN(1+O2456),"")</f>
        <v/>
      </c>
      <c r="Q2456" s="34">
        <f>IF($J2456=1,LN(R2457/R2456),"")</f>
        <v/>
      </c>
      <c r="R2456" s="32" t="n">
        <v>3.6146</v>
      </c>
      <c r="S2456" s="35" t="n">
        <v>13.687</v>
      </c>
      <c r="T2456" s="18" t="n"/>
      <c r="U2456" s="18" t="n"/>
      <c r="V2456" s="18" t="n">
        <v>50814.65</v>
      </c>
      <c r="W2456" s="18" t="n"/>
      <c r="X2456" s="35" t="n"/>
      <c r="Y2456" s="35" t="n">
        <v>13.687</v>
      </c>
    </row>
    <row r="2457">
      <c r="A2457" s="25" t="n">
        <v>42450</v>
      </c>
      <c r="B2457" s="18" t="n">
        <v>51171.54</v>
      </c>
      <c r="C2457" s="31" t="n"/>
      <c r="D2457" s="32" t="n"/>
      <c r="E2457" s="33" t="n">
        <v>-2.194</v>
      </c>
      <c r="F2457" t="inlineStr">
        <is>
          <t>Down</t>
        </is>
      </c>
      <c r="G2457" t="inlineStr">
        <is>
          <t>Down</t>
        </is>
      </c>
      <c r="H2457" t="inlineStr">
        <is>
          <t>ED_JD</t>
        </is>
      </c>
      <c r="I2457" t="inlineStr">
        <is>
          <t>2016-03</t>
        </is>
      </c>
      <c r="J2457" t="n">
        <v>1</v>
      </c>
      <c r="K2457" t="n">
        <v>1</v>
      </c>
      <c r="L2457" s="34">
        <f>IF($J2457=1,LN(B2458/B2457),"")</f>
        <v/>
      </c>
      <c r="M2457" s="34">
        <f>IF($K2457=1,INDEX(Mensal!$D$2:$D$245,MATCH($I2457,Mensal!$A$2:$A$245,0)),"")</f>
        <v/>
      </c>
      <c r="N2457" s="34">
        <f>IF($K2457=1,L2457-M2457,"")</f>
        <v/>
      </c>
      <c r="O2457" s="34" t="n">
        <v>0.00052461</v>
      </c>
      <c r="P2457" s="34">
        <f>IF($J2457=1,LN(1+O2457),"")</f>
        <v/>
      </c>
      <c r="Q2457" s="34">
        <f>IF($J2457=1,LN(R2458/R2457),"")</f>
        <v/>
      </c>
      <c r="R2457" s="32" t="n">
        <v>3.6229</v>
      </c>
      <c r="S2457" s="35" t="n">
        <v>13.695</v>
      </c>
      <c r="T2457" s="18" t="n"/>
      <c r="U2457" s="18" t="n"/>
      <c r="V2457" s="18" t="n">
        <v>51171.54</v>
      </c>
      <c r="W2457" s="18" t="n"/>
      <c r="X2457" s="35" t="n"/>
      <c r="Y2457" s="35" t="n">
        <v>13.695</v>
      </c>
    </row>
    <row r="2458">
      <c r="A2458" s="25" t="n">
        <v>42451</v>
      </c>
      <c r="B2458" s="18" t="n">
        <v>51010.19</v>
      </c>
      <c r="C2458" s="31" t="n"/>
      <c r="D2458" s="32" t="n"/>
      <c r="E2458" s="33" t="n">
        <v>-2.2035</v>
      </c>
      <c r="F2458" t="inlineStr">
        <is>
          <t>Down</t>
        </is>
      </c>
      <c r="G2458" t="inlineStr">
        <is>
          <t>Down</t>
        </is>
      </c>
      <c r="H2458" t="inlineStr">
        <is>
          <t>ED_JD</t>
        </is>
      </c>
      <c r="I2458" t="inlineStr">
        <is>
          <t>2016-03</t>
        </is>
      </c>
      <c r="J2458" t="n">
        <v>1</v>
      </c>
      <c r="K2458" t="n">
        <v>1</v>
      </c>
      <c r="L2458" s="34">
        <f>IF($J2458=1,LN(B2459/B2458),"")</f>
        <v/>
      </c>
      <c r="M2458" s="34">
        <f>IF($K2458=1,INDEX(Mensal!$D$2:$D$245,MATCH($I2458,Mensal!$A$2:$A$245,0)),"")</f>
        <v/>
      </c>
      <c r="N2458" s="34">
        <f>IF($K2458=1,L2458-M2458,"")</f>
        <v/>
      </c>
      <c r="O2458" s="34" t="n">
        <v>0.00052461</v>
      </c>
      <c r="P2458" s="34">
        <f>IF($J2458=1,LN(1+O2458),"")</f>
        <v/>
      </c>
      <c r="Q2458" s="34">
        <f>IF($J2458=1,LN(R2459/R2458),"")</f>
        <v/>
      </c>
      <c r="R2458" s="32" t="n">
        <v>3.6073</v>
      </c>
      <c r="S2458" s="35" t="n">
        <v>13.604</v>
      </c>
      <c r="T2458" s="18" t="n"/>
      <c r="U2458" s="18" t="n"/>
      <c r="V2458" s="18" t="n">
        <v>51010.19</v>
      </c>
      <c r="W2458" s="18" t="n"/>
      <c r="X2458" s="35" t="n"/>
      <c r="Y2458" s="35" t="n">
        <v>13.604</v>
      </c>
    </row>
    <row r="2459">
      <c r="A2459" s="25" t="n">
        <v>42452</v>
      </c>
      <c r="B2459" s="18" t="n">
        <v>49690.04</v>
      </c>
      <c r="C2459" s="31" t="n"/>
      <c r="D2459" s="32" t="n"/>
      <c r="E2459" s="33" t="n">
        <v>-2.2303</v>
      </c>
      <c r="F2459" t="inlineStr">
        <is>
          <t>Down</t>
        </is>
      </c>
      <c r="G2459" t="inlineStr">
        <is>
          <t>Down</t>
        </is>
      </c>
      <c r="H2459" t="inlineStr">
        <is>
          <t>ED_JD</t>
        </is>
      </c>
      <c r="I2459" t="inlineStr">
        <is>
          <t>2016-03</t>
        </is>
      </c>
      <c r="J2459" t="n">
        <v>1</v>
      </c>
      <c r="K2459" t="n">
        <v>1</v>
      </c>
      <c r="L2459" s="34">
        <f>IF($J2459=1,LN(B2460/B2459),"")</f>
        <v/>
      </c>
      <c r="M2459" s="34">
        <f>IF($K2459=1,INDEX(Mensal!$D$2:$D$245,MATCH($I2459,Mensal!$A$2:$A$245,0)),"")</f>
        <v/>
      </c>
      <c r="N2459" s="34">
        <f>IF($K2459=1,L2459-M2459,"")</f>
        <v/>
      </c>
      <c r="O2459" s="34" t="n">
        <v>0.00052461</v>
      </c>
      <c r="P2459" s="34">
        <f>IF($J2459=1,LN(1+O2459),"")</f>
        <v/>
      </c>
      <c r="Q2459" s="34">
        <f>IF($J2459=1,LN(R2460/R2459),"")</f>
        <v/>
      </c>
      <c r="R2459" s="32" t="n">
        <v>3.6531</v>
      </c>
      <c r="S2459" s="35" t="n">
        <v>13.589</v>
      </c>
      <c r="T2459" s="18" t="n"/>
      <c r="U2459" s="18" t="n"/>
      <c r="V2459" s="18" t="n">
        <v>49690.04</v>
      </c>
      <c r="W2459" s="18" t="n"/>
      <c r="X2459" s="35" t="n"/>
      <c r="Y2459" s="35" t="n">
        <v>13.589</v>
      </c>
    </row>
    <row r="2460">
      <c r="A2460" s="25" t="n">
        <v>42453</v>
      </c>
      <c r="B2460" s="18" t="n">
        <v>49657.39</v>
      </c>
      <c r="C2460" s="31" t="n"/>
      <c r="D2460" s="32" t="n"/>
      <c r="E2460" s="33" t="n">
        <v>-2.23</v>
      </c>
      <c r="F2460" t="inlineStr">
        <is>
          <t>Down</t>
        </is>
      </c>
      <c r="G2460" t="inlineStr">
        <is>
          <t>Down</t>
        </is>
      </c>
      <c r="H2460" t="inlineStr">
        <is>
          <t>ED_JD</t>
        </is>
      </c>
      <c r="I2460" t="inlineStr">
        <is>
          <t>2016-03</t>
        </is>
      </c>
      <c r="J2460" t="n">
        <v>1</v>
      </c>
      <c r="K2460" t="n">
        <v>1</v>
      </c>
      <c r="L2460" s="34">
        <f>IF($J2460=1,LN(B2461/B2460),"")</f>
        <v/>
      </c>
      <c r="M2460" s="34">
        <f>IF($K2460=1,INDEX(Mensal!$D$2:$D$245,MATCH($I2460,Mensal!$A$2:$A$245,0)),"")</f>
        <v/>
      </c>
      <c r="N2460" s="34">
        <f>IF($K2460=1,L2460-M2460,"")</f>
        <v/>
      </c>
      <c r="O2460" s="34" t="n">
        <v>0.00052461</v>
      </c>
      <c r="P2460" s="34">
        <f>IF($J2460=1,LN(1+O2460),"")</f>
        <v/>
      </c>
      <c r="Q2460" s="34">
        <f>IF($J2460=1,LN(R2461/R2460),"")</f>
        <v/>
      </c>
      <c r="R2460" s="32" t="n">
        <v>3.6948</v>
      </c>
      <c r="S2460" s="35" t="n">
        <v>13.69</v>
      </c>
      <c r="T2460" s="18" t="n"/>
      <c r="U2460" s="18" t="n"/>
      <c r="V2460" s="18" t="n">
        <v>49657.39</v>
      </c>
      <c r="W2460" s="18" t="n"/>
      <c r="X2460" s="35" t="n"/>
      <c r="Y2460" s="35" t="n">
        <v>13.69</v>
      </c>
    </row>
    <row r="2461">
      <c r="A2461" s="25" t="n">
        <v>42457</v>
      </c>
      <c r="B2461" s="18" t="n">
        <v>50838.22</v>
      </c>
      <c r="C2461" s="31" t="n"/>
      <c r="D2461" s="32" t="n"/>
      <c r="E2461" s="33" t="n">
        <v>-2.2179</v>
      </c>
      <c r="F2461" t="inlineStr">
        <is>
          <t>Down</t>
        </is>
      </c>
      <c r="G2461" t="inlineStr">
        <is>
          <t>Down</t>
        </is>
      </c>
      <c r="H2461" t="inlineStr">
        <is>
          <t>ED_JD</t>
        </is>
      </c>
      <c r="I2461" t="inlineStr">
        <is>
          <t>2016-03</t>
        </is>
      </c>
      <c r="J2461" t="n">
        <v>1</v>
      </c>
      <c r="K2461" t="n">
        <v>1</v>
      </c>
      <c r="L2461" s="34">
        <f>IF($J2461=1,LN(B2462/B2461),"")</f>
        <v/>
      </c>
      <c r="M2461" s="34">
        <f>IF($K2461=1,INDEX(Mensal!$D$2:$D$245,MATCH($I2461,Mensal!$A$2:$A$245,0)),"")</f>
        <v/>
      </c>
      <c r="N2461" s="34">
        <f>IF($K2461=1,L2461-M2461,"")</f>
        <v/>
      </c>
      <c r="O2461" s="34" t="n">
        <v>0.00052461</v>
      </c>
      <c r="P2461" s="34">
        <f>IF($J2461=1,LN(1+O2461),"")</f>
        <v/>
      </c>
      <c r="Q2461" s="34">
        <f>IF($J2461=1,LN(R2462/R2461),"")</f>
        <v/>
      </c>
      <c r="R2461" s="32" t="n">
        <v>3.6408</v>
      </c>
      <c r="S2461" s="35" t="n">
        <v>13.606</v>
      </c>
      <c r="T2461" s="18" t="n"/>
      <c r="U2461" s="18" t="n"/>
      <c r="V2461" s="18" t="n">
        <v>50838.22</v>
      </c>
      <c r="W2461" s="18" t="n"/>
      <c r="X2461" s="35" t="n"/>
      <c r="Y2461" s="35" t="n">
        <v>13.606</v>
      </c>
    </row>
    <row r="2462">
      <c r="A2462" s="25" t="n">
        <v>42458</v>
      </c>
      <c r="B2462" s="18" t="n">
        <v>51154.99</v>
      </c>
      <c r="C2462" s="31" t="n"/>
      <c r="D2462" s="32" t="n"/>
      <c r="E2462" s="33" t="n">
        <v>-2.1979</v>
      </c>
      <c r="F2462" t="inlineStr">
        <is>
          <t>Down</t>
        </is>
      </c>
      <c r="G2462" t="inlineStr">
        <is>
          <t>Down</t>
        </is>
      </c>
      <c r="H2462" t="inlineStr">
        <is>
          <t>ED_JD</t>
        </is>
      </c>
      <c r="I2462" t="inlineStr">
        <is>
          <t>2016-03</t>
        </is>
      </c>
      <c r="J2462" t="n">
        <v>1</v>
      </c>
      <c r="K2462" t="n">
        <v>1</v>
      </c>
      <c r="L2462" s="34">
        <f>IF($J2462=1,LN(B2463/B2462),"")</f>
        <v/>
      </c>
      <c r="M2462" s="34">
        <f>IF($K2462=1,INDEX(Mensal!$D$2:$D$245,MATCH($I2462,Mensal!$A$2:$A$245,0)),"")</f>
        <v/>
      </c>
      <c r="N2462" s="34">
        <f>IF($K2462=1,L2462-M2462,"")</f>
        <v/>
      </c>
      <c r="O2462" s="34" t="n">
        <v>0.00052461</v>
      </c>
      <c r="P2462" s="34">
        <f>IF($J2462=1,LN(1+O2462),"")</f>
        <v/>
      </c>
      <c r="Q2462" s="34">
        <f>IF($J2462=1,LN(R2463/R2462),"")</f>
        <v/>
      </c>
      <c r="R2462" s="32" t="n">
        <v>3.6687</v>
      </c>
      <c r="S2462" s="35" t="n">
        <v>13.572</v>
      </c>
      <c r="T2462" s="18" t="n"/>
      <c r="U2462" s="18" t="n"/>
      <c r="V2462" s="18" t="n">
        <v>51154.99</v>
      </c>
      <c r="W2462" s="18" t="n"/>
      <c r="X2462" s="35" t="n"/>
      <c r="Y2462" s="35" t="n">
        <v>13.572</v>
      </c>
    </row>
    <row r="2463">
      <c r="A2463" s="25" t="n">
        <v>42459</v>
      </c>
      <c r="B2463" s="18" t="n">
        <v>51248.92</v>
      </c>
      <c r="C2463" s="31" t="n"/>
      <c r="D2463" s="32" t="n"/>
      <c r="E2463" s="33" t="n">
        <v>-2.1717</v>
      </c>
      <c r="F2463" t="inlineStr">
        <is>
          <t>Down</t>
        </is>
      </c>
      <c r="G2463" t="inlineStr">
        <is>
          <t>Down</t>
        </is>
      </c>
      <c r="H2463" t="inlineStr">
        <is>
          <t>ED_JD</t>
        </is>
      </c>
      <c r="I2463" t="inlineStr">
        <is>
          <t>2016-03</t>
        </is>
      </c>
      <c r="J2463" t="n">
        <v>1</v>
      </c>
      <c r="K2463" t="n">
        <v>1</v>
      </c>
      <c r="L2463" s="34">
        <f>IF($J2463=1,LN(B2464/B2463),"")</f>
        <v/>
      </c>
      <c r="M2463" s="34">
        <f>IF($K2463=1,INDEX(Mensal!$D$2:$D$245,MATCH($I2463,Mensal!$A$2:$A$245,0)),"")</f>
        <v/>
      </c>
      <c r="N2463" s="34">
        <f>IF($K2463=1,L2463-M2463,"")</f>
        <v/>
      </c>
      <c r="O2463" s="34" t="n">
        <v>0.00052461</v>
      </c>
      <c r="P2463" s="34">
        <f>IF($J2463=1,LN(1+O2463),"")</f>
        <v/>
      </c>
      <c r="Q2463" s="34">
        <f>IF($J2463=1,LN(R2464/R2463),"")</f>
        <v/>
      </c>
      <c r="R2463" s="32" t="n">
        <v>3.6116</v>
      </c>
      <c r="S2463" s="35" t="n">
        <v>13.628</v>
      </c>
      <c r="T2463" s="18" t="n"/>
      <c r="U2463" s="18" t="n"/>
      <c r="V2463" s="18" t="n">
        <v>51248.92</v>
      </c>
      <c r="W2463" s="18" t="n"/>
      <c r="X2463" s="35" t="n"/>
      <c r="Y2463" s="35" t="n">
        <v>13.628</v>
      </c>
    </row>
    <row r="2464">
      <c r="A2464" s="25" t="n">
        <v>42460</v>
      </c>
      <c r="B2464" s="18" t="n">
        <v>50055.27</v>
      </c>
      <c r="C2464" s="31" t="n"/>
      <c r="D2464" s="32" t="n"/>
      <c r="E2464" s="33" t="n">
        <v>-2.1336</v>
      </c>
      <c r="F2464" t="inlineStr">
        <is>
          <t>Down</t>
        </is>
      </c>
      <c r="G2464" t="inlineStr">
        <is>
          <t>Down</t>
        </is>
      </c>
      <c r="H2464" t="inlineStr">
        <is>
          <t>ED_JD</t>
        </is>
      </c>
      <c r="I2464" t="inlineStr">
        <is>
          <t>2016-03</t>
        </is>
      </c>
      <c r="J2464" t="n">
        <v>1</v>
      </c>
      <c r="K2464" t="n">
        <v>1</v>
      </c>
      <c r="L2464" s="34">
        <f>IF($J2464=1,LN(B2465/B2464),"")</f>
        <v/>
      </c>
      <c r="M2464" s="34">
        <f>IF($K2464=1,INDEX(Mensal!$D$2:$D$245,MATCH($I2464,Mensal!$A$2:$A$245,0)),"")</f>
        <v/>
      </c>
      <c r="N2464" s="34">
        <f>IF($K2464=1,L2464-M2464,"")</f>
        <v/>
      </c>
      <c r="O2464" s="34" t="n">
        <v>0.00052461</v>
      </c>
      <c r="P2464" s="34">
        <f>IF($J2464=1,LN(1+O2464),"")</f>
        <v/>
      </c>
      <c r="Q2464" s="34">
        <f>IF($J2464=1,LN(R2465/R2464),"")</f>
        <v/>
      </c>
      <c r="R2464" s="32" t="n">
        <v>3.5589</v>
      </c>
      <c r="S2464" s="35" t="n">
        <v>13.805</v>
      </c>
      <c r="T2464" s="18" t="n"/>
      <c r="U2464" s="18" t="n"/>
      <c r="V2464" s="18" t="n">
        <v>50055.27</v>
      </c>
      <c r="W2464" s="18" t="n"/>
      <c r="X2464" s="35" t="n"/>
      <c r="Y2464" s="35" t="n">
        <v>13.805</v>
      </c>
    </row>
    <row r="2465">
      <c r="A2465" s="25" t="n">
        <v>42461</v>
      </c>
      <c r="B2465" s="18" t="n">
        <v>50561.52</v>
      </c>
      <c r="C2465" s="31" t="n"/>
      <c r="D2465" s="32" t="n"/>
      <c r="E2465" s="33" t="n">
        <v>-2.0844</v>
      </c>
      <c r="F2465" t="inlineStr">
        <is>
          <t>Down</t>
        </is>
      </c>
      <c r="G2465" t="inlineStr">
        <is>
          <t>Down</t>
        </is>
      </c>
      <c r="H2465" t="inlineStr">
        <is>
          <t>ED_JD</t>
        </is>
      </c>
      <c r="I2465" t="inlineStr">
        <is>
          <t>2016-04</t>
        </is>
      </c>
      <c r="J2465" t="n">
        <v>1</v>
      </c>
      <c r="K2465" t="n">
        <v>1</v>
      </c>
      <c r="L2465" s="34">
        <f>IF($J2465=1,LN(B2466/B2465),"")</f>
        <v/>
      </c>
      <c r="M2465" s="34">
        <f>IF($K2465=1,INDEX(Mensal!$D$2:$D$245,MATCH($I2465,Mensal!$A$2:$A$245,0)),"")</f>
        <v/>
      </c>
      <c r="N2465" s="34">
        <f>IF($K2465=1,L2465-M2465,"")</f>
        <v/>
      </c>
      <c r="O2465" s="34" t="n">
        <v>0.00052461</v>
      </c>
      <c r="P2465" s="34">
        <f>IF($J2465=1,LN(1+O2465),"")</f>
        <v/>
      </c>
      <c r="Q2465" s="34">
        <f>IF($J2465=1,LN(R2466/R2465),"")</f>
        <v/>
      </c>
      <c r="R2465" s="32" t="n">
        <v>3.5799</v>
      </c>
      <c r="S2465" s="35" t="n">
        <v>13.658</v>
      </c>
      <c r="T2465" s="18" t="n"/>
      <c r="U2465" s="18" t="n"/>
      <c r="V2465" s="18" t="n">
        <v>50561.52</v>
      </c>
      <c r="W2465" s="18" t="n"/>
      <c r="X2465" s="35" t="n"/>
      <c r="Y2465" s="35" t="n">
        <v>13.658</v>
      </c>
    </row>
    <row r="2466">
      <c r="A2466" s="25" t="n">
        <v>42464</v>
      </c>
      <c r="B2466" s="18" t="n">
        <v>48779.98</v>
      </c>
      <c r="C2466" s="31" t="n"/>
      <c r="D2466" s="32" t="n"/>
      <c r="E2466" s="33" t="n">
        <v>-2.0279</v>
      </c>
      <c r="F2466" t="inlineStr">
        <is>
          <t>Down</t>
        </is>
      </c>
      <c r="G2466" t="inlineStr">
        <is>
          <t>Down</t>
        </is>
      </c>
      <c r="H2466" t="inlineStr">
        <is>
          <t>ED_JD</t>
        </is>
      </c>
      <c r="I2466" t="inlineStr">
        <is>
          <t>2016-04</t>
        </is>
      </c>
      <c r="J2466" t="n">
        <v>1</v>
      </c>
      <c r="K2466" t="n">
        <v>1</v>
      </c>
      <c r="L2466" s="34">
        <f>IF($J2466=1,LN(B2467/B2466),"")</f>
        <v/>
      </c>
      <c r="M2466" s="34">
        <f>IF($K2466=1,INDEX(Mensal!$D$2:$D$245,MATCH($I2466,Mensal!$A$2:$A$245,0)),"")</f>
        <v/>
      </c>
      <c r="N2466" s="34">
        <f>IF($K2466=1,L2466-M2466,"")</f>
        <v/>
      </c>
      <c r="O2466" s="34" t="n">
        <v>0.00052461</v>
      </c>
      <c r="P2466" s="34">
        <f>IF($J2466=1,LN(1+O2466),"")</f>
        <v/>
      </c>
      <c r="Q2466" s="34">
        <f>IF($J2466=1,LN(R2467/R2466),"")</f>
        <v/>
      </c>
      <c r="R2466" s="32" t="n">
        <v>3.5871</v>
      </c>
      <c r="S2466" s="35" t="n">
        <v>13.714</v>
      </c>
      <c r="T2466" s="18" t="n"/>
      <c r="U2466" s="18" t="n"/>
      <c r="V2466" s="18" t="n">
        <v>48779.98</v>
      </c>
      <c r="W2466" s="18" t="n"/>
      <c r="X2466" s="35" t="n"/>
      <c r="Y2466" s="35" t="n">
        <v>13.714</v>
      </c>
    </row>
    <row r="2467">
      <c r="A2467" s="25" t="n">
        <v>42465</v>
      </c>
      <c r="B2467" s="18" t="n">
        <v>49053.61</v>
      </c>
      <c r="C2467" s="31" t="n"/>
      <c r="D2467" s="32" t="n"/>
      <c r="E2467" s="33" t="n">
        <v>-1.9643</v>
      </c>
      <c r="F2467" t="inlineStr">
        <is>
          <t>Down</t>
        </is>
      </c>
      <c r="G2467" t="inlineStr">
        <is>
          <t>Down</t>
        </is>
      </c>
      <c r="H2467" t="inlineStr">
        <is>
          <t>ED_JD</t>
        </is>
      </c>
      <c r="I2467" t="inlineStr">
        <is>
          <t>2016-04</t>
        </is>
      </c>
      <c r="J2467" t="n">
        <v>1</v>
      </c>
      <c r="K2467" t="n">
        <v>1</v>
      </c>
      <c r="L2467" s="34">
        <f>IF($J2467=1,LN(B2468/B2467),"")</f>
        <v/>
      </c>
      <c r="M2467" s="34">
        <f>IF($K2467=1,INDEX(Mensal!$D$2:$D$245,MATCH($I2467,Mensal!$A$2:$A$245,0)),"")</f>
        <v/>
      </c>
      <c r="N2467" s="34">
        <f>IF($K2467=1,L2467-M2467,"")</f>
        <v/>
      </c>
      <c r="O2467" s="34" t="n">
        <v>0.00052461</v>
      </c>
      <c r="P2467" s="34">
        <f>IF($J2467=1,LN(1+O2467),"")</f>
        <v/>
      </c>
      <c r="Q2467" s="34">
        <f>IF($J2467=1,LN(R2468/R2467),"")</f>
        <v/>
      </c>
      <c r="R2467" s="32" t="n">
        <v>3.6581</v>
      </c>
      <c r="S2467" s="35" t="n">
        <v>13.686</v>
      </c>
      <c r="T2467" s="18" t="n"/>
      <c r="U2467" s="18" t="n"/>
      <c r="V2467" s="18" t="n">
        <v>49053.61</v>
      </c>
      <c r="W2467" s="18" t="n"/>
      <c r="X2467" s="35" t="n"/>
      <c r="Y2467" s="35" t="n">
        <v>13.686</v>
      </c>
    </row>
    <row r="2468">
      <c r="A2468" s="25" t="n">
        <v>42466</v>
      </c>
      <c r="B2468" s="18" t="n">
        <v>48096.24</v>
      </c>
      <c r="C2468" s="31" t="n"/>
      <c r="D2468" s="32" t="n"/>
      <c r="E2468" s="33" t="n">
        <v>-1.9057</v>
      </c>
      <c r="F2468" t="inlineStr">
        <is>
          <t>Down</t>
        </is>
      </c>
      <c r="G2468" t="inlineStr">
        <is>
          <t>Down</t>
        </is>
      </c>
      <c r="H2468" t="inlineStr">
        <is>
          <t>ED_JD</t>
        </is>
      </c>
      <c r="I2468" t="inlineStr">
        <is>
          <t>2016-04</t>
        </is>
      </c>
      <c r="J2468" t="n">
        <v>1</v>
      </c>
      <c r="K2468" t="n">
        <v>1</v>
      </c>
      <c r="L2468" s="34">
        <f>IF($J2468=1,LN(B2469/B2468),"")</f>
        <v/>
      </c>
      <c r="M2468" s="34">
        <f>IF($K2468=1,INDEX(Mensal!$D$2:$D$245,MATCH($I2468,Mensal!$A$2:$A$245,0)),"")</f>
        <v/>
      </c>
      <c r="N2468" s="34">
        <f>IF($K2468=1,L2468-M2468,"")</f>
        <v/>
      </c>
      <c r="O2468" s="34" t="n">
        <v>0.00052461</v>
      </c>
      <c r="P2468" s="34">
        <f>IF($J2468=1,LN(1+O2468),"")</f>
        <v/>
      </c>
      <c r="Q2468" s="34">
        <f>IF($J2468=1,LN(R2469/R2468),"")</f>
        <v/>
      </c>
      <c r="R2468" s="32" t="n">
        <v>3.6749</v>
      </c>
      <c r="S2468" s="35" t="n">
        <v>13.73</v>
      </c>
      <c r="T2468" s="18" t="n"/>
      <c r="U2468" s="18" t="n"/>
      <c r="V2468" s="18" t="n">
        <v>48096.24</v>
      </c>
      <c r="W2468" s="18" t="n"/>
      <c r="X2468" s="35" t="n"/>
      <c r="Y2468" s="35" t="n">
        <v>13.73</v>
      </c>
    </row>
    <row r="2469">
      <c r="A2469" s="25" t="n">
        <v>42467</v>
      </c>
      <c r="B2469" s="18" t="n">
        <v>48513.1</v>
      </c>
      <c r="C2469" s="31" t="n"/>
      <c r="D2469" s="32" t="n"/>
      <c r="E2469" s="33" t="n">
        <v>-1.839</v>
      </c>
      <c r="F2469" t="inlineStr">
        <is>
          <t>Down</t>
        </is>
      </c>
      <c r="G2469" t="inlineStr">
        <is>
          <t>Down</t>
        </is>
      </c>
      <c r="H2469" t="inlineStr">
        <is>
          <t>ED_JD</t>
        </is>
      </c>
      <c r="I2469" t="inlineStr">
        <is>
          <t>2016-04</t>
        </is>
      </c>
      <c r="J2469" t="n">
        <v>1</v>
      </c>
      <c r="K2469" t="n">
        <v>1</v>
      </c>
      <c r="L2469" s="34">
        <f>IF($J2469=1,LN(B2470/B2469),"")</f>
        <v/>
      </c>
      <c r="M2469" s="34">
        <f>IF($K2469=1,INDEX(Mensal!$D$2:$D$245,MATCH($I2469,Mensal!$A$2:$A$245,0)),"")</f>
        <v/>
      </c>
      <c r="N2469" s="34">
        <f>IF($K2469=1,L2469-M2469,"")</f>
        <v/>
      </c>
      <c r="O2469" s="34" t="n">
        <v>0.00052461</v>
      </c>
      <c r="P2469" s="34">
        <f>IF($J2469=1,LN(1+O2469),"")</f>
        <v/>
      </c>
      <c r="Q2469" s="34">
        <f>IF($J2469=1,LN(R2470/R2469),"")</f>
        <v/>
      </c>
      <c r="R2469" s="32" t="n">
        <v>3.6921</v>
      </c>
      <c r="S2469" s="35" t="n">
        <v>13.78</v>
      </c>
      <c r="T2469" s="18" t="n"/>
      <c r="U2469" s="18" t="n"/>
      <c r="V2469" s="18" t="n">
        <v>48513.1</v>
      </c>
      <c r="W2469" s="18" t="n"/>
      <c r="X2469" s="35" t="n"/>
      <c r="Y2469" s="35" t="n">
        <v>13.78</v>
      </c>
    </row>
    <row r="2470">
      <c r="A2470" s="25" t="n">
        <v>42468</v>
      </c>
      <c r="B2470" s="18" t="n">
        <v>50292.92</v>
      </c>
      <c r="C2470" s="31" t="n"/>
      <c r="D2470" s="32" t="n"/>
      <c r="E2470" s="33" t="n">
        <v>-1.7623</v>
      </c>
      <c r="F2470" t="inlineStr">
        <is>
          <t>Down</t>
        </is>
      </c>
      <c r="G2470" t="inlineStr">
        <is>
          <t>Down</t>
        </is>
      </c>
      <c r="H2470" t="inlineStr">
        <is>
          <t>ED_JD</t>
        </is>
      </c>
      <c r="I2470" t="inlineStr">
        <is>
          <t>2016-04</t>
        </is>
      </c>
      <c r="J2470" t="n">
        <v>1</v>
      </c>
      <c r="K2470" t="n">
        <v>1</v>
      </c>
      <c r="L2470" s="34">
        <f>IF($J2470=1,LN(B2471/B2470),"")</f>
        <v/>
      </c>
      <c r="M2470" s="34">
        <f>IF($K2470=1,INDEX(Mensal!$D$2:$D$245,MATCH($I2470,Mensal!$A$2:$A$245,0)),"")</f>
        <v/>
      </c>
      <c r="N2470" s="34">
        <f>IF($K2470=1,L2470-M2470,"")</f>
        <v/>
      </c>
      <c r="O2470" s="34" t="n">
        <v>0.00052461</v>
      </c>
      <c r="P2470" s="34">
        <f>IF($J2470=1,LN(1+O2470),"")</f>
        <v/>
      </c>
      <c r="Q2470" s="34">
        <f>IF($J2470=1,LN(R2471/R2470),"")</f>
        <v/>
      </c>
      <c r="R2470" s="32" t="n">
        <v>3.6385</v>
      </c>
      <c r="S2470" s="35" t="n">
        <v>13.675</v>
      </c>
      <c r="T2470" s="18" t="n"/>
      <c r="U2470" s="18" t="n"/>
      <c r="V2470" s="18" t="n">
        <v>50292.92</v>
      </c>
      <c r="W2470" s="18" t="n"/>
      <c r="X2470" s="35" t="n"/>
      <c r="Y2470" s="35" t="n">
        <v>13.675</v>
      </c>
    </row>
    <row r="2471">
      <c r="A2471" s="25" t="n">
        <v>42471</v>
      </c>
      <c r="B2471" s="18" t="n">
        <v>50165.47</v>
      </c>
      <c r="C2471" s="31" t="n"/>
      <c r="D2471" s="32" t="n"/>
      <c r="E2471" s="33" t="n">
        <v>-1.6902</v>
      </c>
      <c r="F2471" t="inlineStr">
        <is>
          <t>Down</t>
        </is>
      </c>
      <c r="G2471" t="inlineStr">
        <is>
          <t>Down</t>
        </is>
      </c>
      <c r="H2471" t="inlineStr">
        <is>
          <t>ED_JD</t>
        </is>
      </c>
      <c r="I2471" t="inlineStr">
        <is>
          <t>2016-04</t>
        </is>
      </c>
      <c r="J2471" t="n">
        <v>1</v>
      </c>
      <c r="K2471" t="n">
        <v>1</v>
      </c>
      <c r="L2471" s="34">
        <f>IF($J2471=1,LN(B2472/B2471),"")</f>
        <v/>
      </c>
      <c r="M2471" s="34">
        <f>IF($K2471=1,INDEX(Mensal!$D$2:$D$245,MATCH($I2471,Mensal!$A$2:$A$245,0)),"")</f>
        <v/>
      </c>
      <c r="N2471" s="34">
        <f>IF($K2471=1,L2471-M2471,"")</f>
        <v/>
      </c>
      <c r="O2471" s="34" t="n">
        <v>0.00052461</v>
      </c>
      <c r="P2471" s="34">
        <f>IF($J2471=1,LN(1+O2471),"")</f>
        <v/>
      </c>
      <c r="Q2471" s="34">
        <f>IF($J2471=1,LN(R2472/R2471),"")</f>
        <v/>
      </c>
      <c r="R2471" s="32" t="n">
        <v>3.5284</v>
      </c>
      <c r="S2471" s="35" t="n">
        <v>13.604</v>
      </c>
      <c r="T2471" s="18" t="n"/>
      <c r="U2471" s="18" t="n"/>
      <c r="V2471" s="18" t="n">
        <v>50165.47</v>
      </c>
      <c r="W2471" s="18" t="n"/>
      <c r="X2471" s="35" t="n"/>
      <c r="Y2471" s="35" t="n">
        <v>13.604</v>
      </c>
    </row>
    <row r="2472">
      <c r="A2472" s="25" t="n">
        <v>42472</v>
      </c>
      <c r="B2472" s="18" t="n">
        <v>52001.86</v>
      </c>
      <c r="C2472" s="31" t="n"/>
      <c r="D2472" s="32" t="n"/>
      <c r="E2472" s="33" t="n">
        <v>-1.6139</v>
      </c>
      <c r="F2472" t="inlineStr">
        <is>
          <t>Down</t>
        </is>
      </c>
      <c r="G2472" t="inlineStr">
        <is>
          <t>Down</t>
        </is>
      </c>
      <c r="H2472" t="inlineStr">
        <is>
          <t>ED_JD</t>
        </is>
      </c>
      <c r="I2472" t="inlineStr">
        <is>
          <t>2016-04</t>
        </is>
      </c>
      <c r="J2472" t="n">
        <v>1</v>
      </c>
      <c r="K2472" t="n">
        <v>1</v>
      </c>
      <c r="L2472" s="34">
        <f>IF($J2472=1,LN(B2473/B2472),"")</f>
        <v/>
      </c>
      <c r="M2472" s="34">
        <f>IF($K2472=1,INDEX(Mensal!$D$2:$D$245,MATCH($I2472,Mensal!$A$2:$A$245,0)),"")</f>
        <v/>
      </c>
      <c r="N2472" s="34">
        <f>IF($K2472=1,L2472-M2472,"")</f>
        <v/>
      </c>
      <c r="O2472" s="34" t="n">
        <v>0.00052461</v>
      </c>
      <c r="P2472" s="34">
        <f>IF($J2472=1,LN(1+O2472),"")</f>
        <v/>
      </c>
      <c r="Q2472" s="34">
        <f>IF($J2472=1,LN(R2473/R2472),"")</f>
        <v/>
      </c>
      <c r="R2472" s="32" t="n">
        <v>3.5406</v>
      </c>
      <c r="S2472" s="35" t="n">
        <v>13.6</v>
      </c>
      <c r="T2472" s="18" t="n"/>
      <c r="U2472" s="18" t="n"/>
      <c r="V2472" s="18" t="n">
        <v>52001.86</v>
      </c>
      <c r="W2472" s="18" t="n"/>
      <c r="X2472" s="35" t="n"/>
      <c r="Y2472" s="35" t="n">
        <v>13.6</v>
      </c>
    </row>
    <row r="2473">
      <c r="A2473" s="25" t="n">
        <v>42473</v>
      </c>
      <c r="B2473" s="18" t="n">
        <v>53149.84</v>
      </c>
      <c r="C2473" s="31" t="n"/>
      <c r="D2473" s="32" t="n"/>
      <c r="E2473" s="33" t="n">
        <v>-1.5407</v>
      </c>
      <c r="F2473" t="inlineStr">
        <is>
          <t>Down</t>
        </is>
      </c>
      <c r="G2473" t="inlineStr">
        <is>
          <t>Down</t>
        </is>
      </c>
      <c r="H2473" t="inlineStr">
        <is>
          <t>ED_JD</t>
        </is>
      </c>
      <c r="I2473" t="inlineStr">
        <is>
          <t>2016-04</t>
        </is>
      </c>
      <c r="J2473" t="n">
        <v>1</v>
      </c>
      <c r="K2473" t="n">
        <v>1</v>
      </c>
      <c r="L2473" s="34">
        <f>IF($J2473=1,LN(B2474/B2473),"")</f>
        <v/>
      </c>
      <c r="M2473" s="34">
        <f>IF($K2473=1,INDEX(Mensal!$D$2:$D$245,MATCH($I2473,Mensal!$A$2:$A$245,0)),"")</f>
        <v/>
      </c>
      <c r="N2473" s="34">
        <f>IF($K2473=1,L2473-M2473,"")</f>
        <v/>
      </c>
      <c r="O2473" s="34" t="n">
        <v>0.00052461</v>
      </c>
      <c r="P2473" s="34">
        <f>IF($J2473=1,LN(1+O2473),"")</f>
        <v/>
      </c>
      <c r="Q2473" s="34">
        <f>IF($J2473=1,LN(R2474/R2473),"")</f>
        <v/>
      </c>
      <c r="R2473" s="32" t="n">
        <v>3.5429</v>
      </c>
      <c r="S2473" s="35" t="n">
        <v>13.447</v>
      </c>
      <c r="T2473" s="18" t="n"/>
      <c r="U2473" s="18" t="n"/>
      <c r="V2473" s="18" t="n">
        <v>53149.84</v>
      </c>
      <c r="W2473" s="18" t="n"/>
      <c r="X2473" s="35" t="n"/>
      <c r="Y2473" s="35" t="n">
        <v>13.447</v>
      </c>
    </row>
    <row r="2474">
      <c r="A2474" s="25" t="n">
        <v>42474</v>
      </c>
      <c r="B2474" s="18" t="n">
        <v>52411.01</v>
      </c>
      <c r="C2474" s="31" t="n"/>
      <c r="D2474" s="32" t="n"/>
      <c r="E2474" s="33" t="n">
        <v>-1.4597</v>
      </c>
      <c r="F2474" t="inlineStr">
        <is>
          <t>Down</t>
        </is>
      </c>
      <c r="G2474" t="inlineStr">
        <is>
          <t>Down</t>
        </is>
      </c>
      <c r="H2474" t="inlineStr">
        <is>
          <t>ED_JD</t>
        </is>
      </c>
      <c r="I2474" t="inlineStr">
        <is>
          <t>2016-04</t>
        </is>
      </c>
      <c r="J2474" t="n">
        <v>1</v>
      </c>
      <c r="K2474" t="n">
        <v>1</v>
      </c>
      <c r="L2474" s="34">
        <f>IF($J2474=1,LN(B2475/B2474),"")</f>
        <v/>
      </c>
      <c r="M2474" s="34">
        <f>IF($K2474=1,INDEX(Mensal!$D$2:$D$245,MATCH($I2474,Mensal!$A$2:$A$245,0)),"")</f>
        <v/>
      </c>
      <c r="N2474" s="34">
        <f>IF($K2474=1,L2474-M2474,"")</f>
        <v/>
      </c>
      <c r="O2474" s="34" t="n">
        <v>0.00052461</v>
      </c>
      <c r="P2474" s="34">
        <f>IF($J2474=1,LN(1+O2474),"")</f>
        <v/>
      </c>
      <c r="Q2474" s="34">
        <f>IF($J2474=1,LN(R2475/R2474),"")</f>
        <v/>
      </c>
      <c r="R2474" s="32" t="n">
        <v>3.5126</v>
      </c>
      <c r="S2474" s="35" t="n">
        <v>13.417</v>
      </c>
      <c r="T2474" s="18" t="n"/>
      <c r="U2474" s="18" t="n"/>
      <c r="V2474" s="18" t="n">
        <v>52411.01</v>
      </c>
      <c r="W2474" s="18" t="n"/>
      <c r="X2474" s="35" t="n"/>
      <c r="Y2474" s="35" t="n">
        <v>13.417</v>
      </c>
    </row>
    <row r="2475">
      <c r="A2475" s="25" t="n">
        <v>42475</v>
      </c>
      <c r="B2475" s="18" t="n">
        <v>53227.74</v>
      </c>
      <c r="C2475" s="31" t="n"/>
      <c r="D2475" s="32" t="n"/>
      <c r="E2475" s="33" t="n">
        <v>-1.4294</v>
      </c>
      <c r="F2475" t="inlineStr">
        <is>
          <t>Down</t>
        </is>
      </c>
      <c r="G2475" t="inlineStr">
        <is>
          <t>Down</t>
        </is>
      </c>
      <c r="H2475" t="inlineStr">
        <is>
          <t>ED_JD</t>
        </is>
      </c>
      <c r="I2475" t="inlineStr">
        <is>
          <t>2016-04</t>
        </is>
      </c>
      <c r="J2475" t="n">
        <v>1</v>
      </c>
      <c r="K2475" t="n">
        <v>1</v>
      </c>
      <c r="L2475" s="34">
        <f>IF($J2475=1,LN(B2476/B2475),"")</f>
        <v/>
      </c>
      <c r="M2475" s="34">
        <f>IF($K2475=1,INDEX(Mensal!$D$2:$D$245,MATCH($I2475,Mensal!$A$2:$A$245,0)),"")</f>
        <v/>
      </c>
      <c r="N2475" s="34">
        <f>IF($K2475=1,L2475-M2475,"")</f>
        <v/>
      </c>
      <c r="O2475" s="34" t="n">
        <v>0.00052461</v>
      </c>
      <c r="P2475" s="34">
        <f>IF($J2475=1,LN(1+O2475),"")</f>
        <v/>
      </c>
      <c r="Q2475" s="34">
        <f>IF($J2475=1,LN(R2476/R2475),"")</f>
        <v/>
      </c>
      <c r="R2475" s="32" t="n">
        <v>3.5276</v>
      </c>
      <c r="S2475" s="35" t="n">
        <v>13.375</v>
      </c>
      <c r="T2475" s="18" t="n"/>
      <c r="U2475" s="18" t="n"/>
      <c r="V2475" s="18" t="n">
        <v>53227.74</v>
      </c>
      <c r="W2475" s="18" t="n"/>
      <c r="X2475" s="35" t="n"/>
      <c r="Y2475" s="35" t="n">
        <v>13.375</v>
      </c>
    </row>
    <row r="2476">
      <c r="A2476" s="25" t="n">
        <v>42478</v>
      </c>
      <c r="B2476" s="18" t="n">
        <v>52894.07</v>
      </c>
      <c r="C2476" s="31" t="n"/>
      <c r="D2476" s="32" t="n"/>
      <c r="E2476" s="33" t="n">
        <v>-1.401</v>
      </c>
      <c r="F2476" t="inlineStr">
        <is>
          <t>Down</t>
        </is>
      </c>
      <c r="G2476" t="inlineStr">
        <is>
          <t>Down</t>
        </is>
      </c>
      <c r="H2476" t="inlineStr">
        <is>
          <t>ED_JD</t>
        </is>
      </c>
      <c r="I2476" t="inlineStr">
        <is>
          <t>2016-04</t>
        </is>
      </c>
      <c r="J2476" t="n">
        <v>1</v>
      </c>
      <c r="K2476" t="n">
        <v>1</v>
      </c>
      <c r="L2476" s="34">
        <f>IF($J2476=1,LN(B2477/B2476),"")</f>
        <v/>
      </c>
      <c r="M2476" s="34">
        <f>IF($K2476=1,INDEX(Mensal!$D$2:$D$245,MATCH($I2476,Mensal!$A$2:$A$245,0)),"")</f>
        <v/>
      </c>
      <c r="N2476" s="34">
        <f>IF($K2476=1,L2476-M2476,"")</f>
        <v/>
      </c>
      <c r="O2476" s="34" t="n">
        <v>0.00052461</v>
      </c>
      <c r="P2476" s="34">
        <f>IF($J2476=1,LN(1+O2476),"")</f>
        <v/>
      </c>
      <c r="Q2476" s="34">
        <f>IF($J2476=1,LN(R2477/R2476),"")</f>
        <v/>
      </c>
      <c r="R2476" s="32" t="n">
        <v>3.5904</v>
      </c>
      <c r="S2476" s="35" t="n">
        <v>13.197</v>
      </c>
      <c r="T2476" s="18" t="n"/>
      <c r="U2476" s="18" t="n"/>
      <c r="V2476" s="18" t="n">
        <v>52894.07</v>
      </c>
      <c r="W2476" s="18" t="n"/>
      <c r="X2476" s="35" t="n"/>
      <c r="Y2476" s="35" t="n">
        <v>13.197</v>
      </c>
    </row>
    <row r="2477">
      <c r="A2477" s="25" t="n">
        <v>42479</v>
      </c>
      <c r="B2477" s="18" t="n">
        <v>53710.04</v>
      </c>
      <c r="C2477" s="31" t="n"/>
      <c r="D2477" s="32" t="n"/>
      <c r="E2477" s="33" t="n">
        <v>-1.3594</v>
      </c>
      <c r="F2477" t="inlineStr">
        <is>
          <t>Down</t>
        </is>
      </c>
      <c r="G2477" t="inlineStr">
        <is>
          <t>Down</t>
        </is>
      </c>
      <c r="H2477" t="inlineStr">
        <is>
          <t>ED_JD</t>
        </is>
      </c>
      <c r="I2477" t="inlineStr">
        <is>
          <t>2016-04</t>
        </is>
      </c>
      <c r="J2477" t="n">
        <v>1</v>
      </c>
      <c r="K2477" t="n">
        <v>1</v>
      </c>
      <c r="L2477" s="34">
        <f>IF($J2477=1,LN(B2478/B2477),"")</f>
        <v/>
      </c>
      <c r="M2477" s="34">
        <f>IF($K2477=1,INDEX(Mensal!$D$2:$D$245,MATCH($I2477,Mensal!$A$2:$A$245,0)),"")</f>
        <v/>
      </c>
      <c r="N2477" s="34">
        <f>IF($K2477=1,L2477-M2477,"")</f>
        <v/>
      </c>
      <c r="O2477" s="34" t="n">
        <v>0.00052461</v>
      </c>
      <c r="P2477" s="34">
        <f>IF($J2477=1,LN(1+O2477),"")</f>
        <v/>
      </c>
      <c r="Q2477" s="34">
        <f>IF($J2477=1,LN(R2478/R2477),"")</f>
        <v/>
      </c>
      <c r="R2477" s="32" t="n">
        <v>3.5538</v>
      </c>
      <c r="S2477" s="35" t="n">
        <v>13.214</v>
      </c>
      <c r="T2477" s="18" t="n"/>
      <c r="U2477" s="18" t="n"/>
      <c r="V2477" s="18" t="n">
        <v>53710.04</v>
      </c>
      <c r="W2477" s="18" t="n"/>
      <c r="X2477" s="35" t="n"/>
      <c r="Y2477" s="35" t="n">
        <v>13.214</v>
      </c>
    </row>
    <row r="2478">
      <c r="A2478" s="25" t="n">
        <v>42480</v>
      </c>
      <c r="B2478" s="18" t="n">
        <v>53630.93</v>
      </c>
      <c r="C2478" s="31" t="n"/>
      <c r="D2478" s="32" t="n"/>
      <c r="E2478" s="33" t="n">
        <v>-1.3109</v>
      </c>
      <c r="F2478" t="inlineStr">
        <is>
          <t>Down</t>
        </is>
      </c>
      <c r="G2478" t="inlineStr">
        <is>
          <t>Down</t>
        </is>
      </c>
      <c r="H2478" t="inlineStr">
        <is>
          <t>ED_JD</t>
        </is>
      </c>
      <c r="I2478" t="inlineStr">
        <is>
          <t>2016-04</t>
        </is>
      </c>
      <c r="J2478" t="n">
        <v>1</v>
      </c>
      <c r="K2478" t="n">
        <v>1</v>
      </c>
      <c r="L2478" s="34">
        <f>IF($J2478=1,LN(B2479/B2478),"")</f>
        <v/>
      </c>
      <c r="M2478" s="34">
        <f>IF($K2478=1,INDEX(Mensal!$D$2:$D$245,MATCH($I2478,Mensal!$A$2:$A$245,0)),"")</f>
        <v/>
      </c>
      <c r="N2478" s="34">
        <f>IF($K2478=1,L2478-M2478,"")</f>
        <v/>
      </c>
      <c r="O2478" s="34" t="n">
        <v>0.00052461</v>
      </c>
      <c r="P2478" s="34">
        <f>IF($J2478=1,LN(1+O2478),"")</f>
        <v/>
      </c>
      <c r="Q2478" s="34">
        <f>IF($J2478=1,LN(R2479/R2478),"")</f>
        <v/>
      </c>
      <c r="R2478" s="32" t="n">
        <v>3.5503</v>
      </c>
      <c r="S2478" s="35" t="n">
        <v>13.174</v>
      </c>
      <c r="T2478" s="18" t="n"/>
      <c r="U2478" s="18" t="n"/>
      <c r="V2478" s="18" t="n">
        <v>53630.93</v>
      </c>
      <c r="W2478" s="18" t="n"/>
      <c r="X2478" s="35" t="n"/>
      <c r="Y2478" s="35" t="n">
        <v>13.174</v>
      </c>
    </row>
    <row r="2479">
      <c r="A2479" s="25" t="n">
        <v>42482</v>
      </c>
      <c r="B2479" s="18" t="n">
        <v>52907.87</v>
      </c>
      <c r="C2479" s="31" t="n"/>
      <c r="D2479" s="32" t="n"/>
      <c r="E2479" s="33" t="n">
        <v>-1.2846</v>
      </c>
      <c r="F2479" t="inlineStr">
        <is>
          <t>Down</t>
        </is>
      </c>
      <c r="G2479" t="inlineStr">
        <is>
          <t>Down</t>
        </is>
      </c>
      <c r="H2479" t="inlineStr">
        <is>
          <t>ED_JD</t>
        </is>
      </c>
      <c r="I2479" t="inlineStr">
        <is>
          <t>2016-04</t>
        </is>
      </c>
      <c r="J2479" t="n">
        <v>1</v>
      </c>
      <c r="K2479" t="n">
        <v>1</v>
      </c>
      <c r="L2479" s="34">
        <f>IF($J2479=1,LN(B2480/B2479),"")</f>
        <v/>
      </c>
      <c r="M2479" s="34">
        <f>IF($K2479=1,INDEX(Mensal!$D$2:$D$245,MATCH($I2479,Mensal!$A$2:$A$245,0)),"")</f>
        <v/>
      </c>
      <c r="N2479" s="34">
        <f>IF($K2479=1,L2479-M2479,"")</f>
        <v/>
      </c>
      <c r="O2479" s="34" t="n">
        <v>0.00052461</v>
      </c>
      <c r="P2479" s="34">
        <f>IF($J2479=1,LN(1+O2479),"")</f>
        <v/>
      </c>
      <c r="Q2479" s="34">
        <f>IF($J2479=1,LN(R2480/R2479),"")</f>
        <v/>
      </c>
      <c r="R2479" s="32" t="n">
        <v>3.5829</v>
      </c>
      <c r="S2479" s="35" t="n">
        <v>13.198</v>
      </c>
      <c r="T2479" s="18" t="n"/>
      <c r="U2479" s="18" t="n"/>
      <c r="V2479" s="18" t="n">
        <v>52907.87</v>
      </c>
      <c r="W2479" s="18" t="n"/>
      <c r="X2479" s="35" t="n"/>
      <c r="Y2479" s="35" t="n">
        <v>13.198</v>
      </c>
    </row>
    <row r="2480">
      <c r="A2480" s="25" t="n">
        <v>42485</v>
      </c>
      <c r="B2480" s="18" t="n">
        <v>51861.71</v>
      </c>
      <c r="C2480" s="31" t="n"/>
      <c r="D2480" s="32" t="n"/>
      <c r="E2480" s="33" t="n">
        <v>-1.2505</v>
      </c>
      <c r="F2480" t="inlineStr">
        <is>
          <t>Down</t>
        </is>
      </c>
      <c r="G2480" t="inlineStr">
        <is>
          <t>Down</t>
        </is>
      </c>
      <c r="H2480" t="inlineStr">
        <is>
          <t>ED_JD</t>
        </is>
      </c>
      <c r="I2480" t="inlineStr">
        <is>
          <t>2016-04</t>
        </is>
      </c>
      <c r="J2480" t="n">
        <v>1</v>
      </c>
      <c r="K2480" t="n">
        <v>1</v>
      </c>
      <c r="L2480" s="34">
        <f>IF($J2480=1,LN(B2481/B2480),"")</f>
        <v/>
      </c>
      <c r="M2480" s="34">
        <f>IF($K2480=1,INDEX(Mensal!$D$2:$D$245,MATCH($I2480,Mensal!$A$2:$A$245,0)),"")</f>
        <v/>
      </c>
      <c r="N2480" s="34">
        <f>IF($K2480=1,L2480-M2480,"")</f>
        <v/>
      </c>
      <c r="O2480" s="34" t="n">
        <v>0.00052461</v>
      </c>
      <c r="P2480" s="34">
        <f>IF($J2480=1,LN(1+O2480),"")</f>
        <v/>
      </c>
      <c r="Q2480" s="34">
        <f>IF($J2480=1,LN(R2481/R2480),"")</f>
        <v/>
      </c>
      <c r="R2480" s="32" t="n">
        <v>3.5472</v>
      </c>
      <c r="S2480" s="35" t="n">
        <v>13.141</v>
      </c>
      <c r="T2480" s="18" t="n"/>
      <c r="U2480" s="18" t="n"/>
      <c r="V2480" s="18" t="n">
        <v>51861.71</v>
      </c>
      <c r="W2480" s="18" t="n"/>
      <c r="X2480" s="35" t="n"/>
      <c r="Y2480" s="35" t="n">
        <v>13.141</v>
      </c>
    </row>
    <row r="2481">
      <c r="A2481" s="25" t="n">
        <v>42486</v>
      </c>
      <c r="B2481" s="18" t="n">
        <v>53082.5</v>
      </c>
      <c r="C2481" s="31" t="n"/>
      <c r="D2481" s="32" t="n"/>
      <c r="E2481" s="33" t="n">
        <v>-1.2332</v>
      </c>
      <c r="F2481" t="inlineStr">
        <is>
          <t>Down</t>
        </is>
      </c>
      <c r="G2481" t="inlineStr">
        <is>
          <t>Down</t>
        </is>
      </c>
      <c r="H2481" t="inlineStr">
        <is>
          <t>ED_JD</t>
        </is>
      </c>
      <c r="I2481" t="inlineStr">
        <is>
          <t>2016-04</t>
        </is>
      </c>
      <c r="J2481" t="n">
        <v>1</v>
      </c>
      <c r="K2481" t="n">
        <v>1</v>
      </c>
      <c r="L2481" s="34">
        <f>IF($J2481=1,LN(B2482/B2481),"")</f>
        <v/>
      </c>
      <c r="M2481" s="34">
        <f>IF($K2481=1,INDEX(Mensal!$D$2:$D$245,MATCH($I2481,Mensal!$A$2:$A$245,0)),"")</f>
        <v/>
      </c>
      <c r="N2481" s="34">
        <f>IF($K2481=1,L2481-M2481,"")</f>
        <v/>
      </c>
      <c r="O2481" s="34" t="n">
        <v>0.00052461</v>
      </c>
      <c r="P2481" s="34">
        <f>IF($J2481=1,LN(1+O2481),"")</f>
        <v/>
      </c>
      <c r="Q2481" s="34">
        <f>IF($J2481=1,LN(R2482/R2481),"")</f>
        <v/>
      </c>
      <c r="R2481" s="32" t="n">
        <v>3.5301</v>
      </c>
      <c r="S2481" s="35" t="n">
        <v>13.187</v>
      </c>
      <c r="T2481" s="18" t="n"/>
      <c r="U2481" s="18" t="n"/>
      <c r="V2481" s="18" t="n">
        <v>53082.5</v>
      </c>
      <c r="W2481" s="18" t="n"/>
      <c r="X2481" s="35" t="n"/>
      <c r="Y2481" s="35" t="n">
        <v>13.187</v>
      </c>
    </row>
    <row r="2482">
      <c r="A2482" s="25" t="n">
        <v>42487</v>
      </c>
      <c r="B2482" s="18" t="n">
        <v>54477.78</v>
      </c>
      <c r="C2482" s="31" t="n"/>
      <c r="D2482" s="32" t="n"/>
      <c r="E2482" s="33" t="n">
        <v>-1.2073</v>
      </c>
      <c r="F2482" t="inlineStr">
        <is>
          <t>Down</t>
        </is>
      </c>
      <c r="G2482" t="inlineStr">
        <is>
          <t>Down</t>
        </is>
      </c>
      <c r="H2482" t="inlineStr">
        <is>
          <t>ED_JD</t>
        </is>
      </c>
      <c r="I2482" t="inlineStr">
        <is>
          <t>2016-04</t>
        </is>
      </c>
      <c r="J2482" t="n">
        <v>1</v>
      </c>
      <c r="K2482" t="n">
        <v>1</v>
      </c>
      <c r="L2482" s="34">
        <f>IF($J2482=1,LN(B2483/B2482),"")</f>
        <v/>
      </c>
      <c r="M2482" s="34">
        <f>IF($K2482=1,INDEX(Mensal!$D$2:$D$245,MATCH($I2482,Mensal!$A$2:$A$245,0)),"")</f>
        <v/>
      </c>
      <c r="N2482" s="34">
        <f>IF($K2482=1,L2482-M2482,"")</f>
        <v/>
      </c>
      <c r="O2482" s="34" t="n">
        <v>0.00052461</v>
      </c>
      <c r="P2482" s="34">
        <f>IF($J2482=1,LN(1+O2482),"")</f>
        <v/>
      </c>
      <c r="Q2482" s="34">
        <f>IF($J2482=1,LN(R2483/R2482),"")</f>
        <v/>
      </c>
      <c r="R2482" s="32" t="n">
        <v>3.5295</v>
      </c>
      <c r="S2482" s="35" t="n">
        <v>13.186</v>
      </c>
      <c r="T2482" s="18" t="n"/>
      <c r="U2482" s="18" t="n"/>
      <c r="V2482" s="18" t="n">
        <v>54477.78</v>
      </c>
      <c r="W2482" s="18" t="n"/>
      <c r="X2482" s="35" t="n"/>
      <c r="Y2482" s="35" t="n">
        <v>13.186</v>
      </c>
    </row>
    <row r="2483">
      <c r="A2483" s="25" t="n">
        <v>42488</v>
      </c>
      <c r="B2483" s="18" t="n">
        <v>54311.96</v>
      </c>
      <c r="C2483" s="31" t="n"/>
      <c r="D2483" s="32" t="n"/>
      <c r="E2483" s="33" t="n">
        <v>-1.1814</v>
      </c>
      <c r="F2483" t="inlineStr">
        <is>
          <t>Down</t>
        </is>
      </c>
      <c r="G2483" t="inlineStr">
        <is>
          <t>Down</t>
        </is>
      </c>
      <c r="H2483" t="inlineStr">
        <is>
          <t>ED_JD</t>
        </is>
      </c>
      <c r="I2483" t="inlineStr">
        <is>
          <t>2016-04</t>
        </is>
      </c>
      <c r="J2483" t="n">
        <v>1</v>
      </c>
      <c r="K2483" t="n">
        <v>1</v>
      </c>
      <c r="L2483" s="34">
        <f>IF($J2483=1,LN(B2484/B2483),"")</f>
        <v/>
      </c>
      <c r="M2483" s="34">
        <f>IF($K2483=1,INDEX(Mensal!$D$2:$D$245,MATCH($I2483,Mensal!$A$2:$A$245,0)),"")</f>
        <v/>
      </c>
      <c r="N2483" s="34">
        <f>IF($K2483=1,L2483-M2483,"")</f>
        <v/>
      </c>
      <c r="O2483" s="34" t="n">
        <v>0.00052461</v>
      </c>
      <c r="P2483" s="34">
        <f>IF($J2483=1,LN(1+O2483),"")</f>
        <v/>
      </c>
      <c r="Q2483" s="34">
        <f>IF($J2483=1,LN(R2484/R2483),"")</f>
        <v/>
      </c>
      <c r="R2483" s="32" t="n">
        <v>3.4992</v>
      </c>
      <c r="S2483" s="35" t="n">
        <v>13.262</v>
      </c>
      <c r="T2483" s="18" t="n"/>
      <c r="U2483" s="18" t="n"/>
      <c r="V2483" s="18" t="n">
        <v>54311.96</v>
      </c>
      <c r="W2483" s="18" t="n"/>
      <c r="X2483" s="35" t="n"/>
      <c r="Y2483" s="35" t="n">
        <v>13.262</v>
      </c>
    </row>
    <row r="2484">
      <c r="A2484" s="25" t="n">
        <v>42489</v>
      </c>
      <c r="B2484" s="18" t="n">
        <v>53910.5</v>
      </c>
      <c r="C2484" s="31" t="n"/>
      <c r="D2484" s="32" t="n"/>
      <c r="E2484" s="33" t="n">
        <v>-1.1545</v>
      </c>
      <c r="F2484" t="inlineStr">
        <is>
          <t>Down</t>
        </is>
      </c>
      <c r="G2484" t="inlineStr">
        <is>
          <t>Down</t>
        </is>
      </c>
      <c r="H2484" t="inlineStr">
        <is>
          <t>ED_JD</t>
        </is>
      </c>
      <c r="I2484" t="inlineStr">
        <is>
          <t>2016-04</t>
        </is>
      </c>
      <c r="J2484" t="n">
        <v>1</v>
      </c>
      <c r="K2484" t="n">
        <v>1</v>
      </c>
      <c r="L2484" s="34">
        <f>IF($J2484=1,LN(B2485/B2484),"")</f>
        <v/>
      </c>
      <c r="M2484" s="34">
        <f>IF($K2484=1,INDEX(Mensal!$D$2:$D$245,MATCH($I2484,Mensal!$A$2:$A$245,0)),"")</f>
        <v/>
      </c>
      <c r="N2484" s="34">
        <f>IF($K2484=1,L2484-M2484,"")</f>
        <v/>
      </c>
      <c r="O2484" s="34" t="n">
        <v>0.00052461</v>
      </c>
      <c r="P2484" s="34">
        <f>IF($J2484=1,LN(1+O2484),"")</f>
        <v/>
      </c>
      <c r="Q2484" s="34">
        <f>IF($J2484=1,LN(R2485/R2484),"")</f>
        <v/>
      </c>
      <c r="R2484" s="32" t="n">
        <v>3.4508</v>
      </c>
      <c r="S2484" s="35" t="n">
        <v>13.221</v>
      </c>
      <c r="T2484" s="18" t="n"/>
      <c r="U2484" s="18" t="n"/>
      <c r="V2484" s="18" t="n">
        <v>53910.5</v>
      </c>
      <c r="W2484" s="18" t="n"/>
      <c r="X2484" s="35" t="n"/>
      <c r="Y2484" s="35" t="n">
        <v>13.221</v>
      </c>
    </row>
    <row r="2485">
      <c r="A2485" s="25" t="n">
        <v>42492</v>
      </c>
      <c r="B2485" s="18" t="n">
        <v>53561.53</v>
      </c>
      <c r="C2485" s="31" t="n"/>
      <c r="D2485" s="32" t="n"/>
      <c r="E2485" s="33" t="n">
        <v>-1.0694</v>
      </c>
      <c r="F2485" t="inlineStr">
        <is>
          <t>Down</t>
        </is>
      </c>
      <c r="G2485" t="inlineStr">
        <is>
          <t>Down</t>
        </is>
      </c>
      <c r="H2485" t="inlineStr">
        <is>
          <t>ED_JD</t>
        </is>
      </c>
      <c r="I2485" t="inlineStr">
        <is>
          <t>2016-05</t>
        </is>
      </c>
      <c r="J2485" t="n">
        <v>1</v>
      </c>
      <c r="K2485" t="n">
        <v>1</v>
      </c>
      <c r="L2485" s="34">
        <f>IF($J2485=1,LN(B2486/B2485),"")</f>
        <v/>
      </c>
      <c r="M2485" s="34">
        <f>IF($K2485=1,INDEX(Mensal!$D$2:$D$245,MATCH($I2485,Mensal!$A$2:$A$245,0)),"")</f>
        <v/>
      </c>
      <c r="N2485" s="34">
        <f>IF($K2485=1,L2485-M2485,"")</f>
        <v/>
      </c>
      <c r="O2485" s="34" t="n">
        <v>0.00052461</v>
      </c>
      <c r="P2485" s="34">
        <f>IF($J2485=1,LN(1+O2485),"")</f>
        <v/>
      </c>
      <c r="Q2485" s="34">
        <f>IF($J2485=1,LN(R2486/R2485),"")</f>
        <v/>
      </c>
      <c r="R2485" s="32" t="n">
        <v>3.4991</v>
      </c>
      <c r="S2485" s="35" t="n">
        <v>13.272</v>
      </c>
      <c r="T2485" s="18" t="n"/>
      <c r="U2485" s="18" t="n"/>
      <c r="V2485" s="18" t="n">
        <v>53561.53</v>
      </c>
      <c r="W2485" s="18" t="n"/>
      <c r="X2485" s="35" t="n"/>
      <c r="Y2485" s="35" t="n">
        <v>13.272</v>
      </c>
    </row>
    <row r="2486">
      <c r="A2486" s="25" t="n">
        <v>42493</v>
      </c>
      <c r="B2486" s="18" t="n">
        <v>52260.18</v>
      </c>
      <c r="C2486" s="31" t="n"/>
      <c r="D2486" s="32" t="n"/>
      <c r="E2486" s="33" t="n">
        <v>-0.9661999999999999</v>
      </c>
      <c r="F2486" t="inlineStr">
        <is>
          <t>Down</t>
        </is>
      </c>
      <c r="G2486" t="inlineStr">
        <is>
          <t>Down</t>
        </is>
      </c>
      <c r="H2486" t="inlineStr">
        <is>
          <t>ED_JD</t>
        </is>
      </c>
      <c r="I2486" t="inlineStr">
        <is>
          <t>2016-05</t>
        </is>
      </c>
      <c r="J2486" t="n">
        <v>1</v>
      </c>
      <c r="K2486" t="n">
        <v>1</v>
      </c>
      <c r="L2486" s="34">
        <f>IF($J2486=1,LN(B2487/B2486),"")</f>
        <v/>
      </c>
      <c r="M2486" s="34">
        <f>IF($K2486=1,INDEX(Mensal!$D$2:$D$245,MATCH($I2486,Mensal!$A$2:$A$245,0)),"")</f>
        <v/>
      </c>
      <c r="N2486" s="34">
        <f>IF($K2486=1,L2486-M2486,"")</f>
        <v/>
      </c>
      <c r="O2486" s="34" t="n">
        <v>0.00052461</v>
      </c>
      <c r="P2486" s="34">
        <f>IF($J2486=1,LN(1+O2486),"")</f>
        <v/>
      </c>
      <c r="Q2486" s="34">
        <f>IF($J2486=1,LN(R2487/R2486),"")</f>
        <v/>
      </c>
      <c r="R2486" s="32" t="n">
        <v>3.555</v>
      </c>
      <c r="S2486" s="35" t="n">
        <v>13.254</v>
      </c>
      <c r="T2486" s="18" t="n"/>
      <c r="U2486" s="18" t="n"/>
      <c r="V2486" s="18" t="n">
        <v>52260.18</v>
      </c>
      <c r="W2486" s="18" t="n"/>
      <c r="X2486" s="35" t="n"/>
      <c r="Y2486" s="35" t="n">
        <v>13.254</v>
      </c>
    </row>
    <row r="2487">
      <c r="A2487" s="25" t="n">
        <v>42494</v>
      </c>
      <c r="B2487" s="18" t="n">
        <v>52552.79</v>
      </c>
      <c r="C2487" s="31" t="n"/>
      <c r="D2487" s="32" t="n"/>
      <c r="E2487" s="33" t="n">
        <v>-0.8507</v>
      </c>
      <c r="F2487" t="inlineStr">
        <is>
          <t>Down</t>
        </is>
      </c>
      <c r="G2487" t="inlineStr">
        <is>
          <t>Down</t>
        </is>
      </c>
      <c r="H2487" t="inlineStr">
        <is>
          <t>ED_JD</t>
        </is>
      </c>
      <c r="I2487" t="inlineStr">
        <is>
          <t>2016-05</t>
        </is>
      </c>
      <c r="J2487" t="n">
        <v>1</v>
      </c>
      <c r="K2487" t="n">
        <v>1</v>
      </c>
      <c r="L2487" s="34">
        <f>IF($J2487=1,LN(B2488/B2487),"")</f>
        <v/>
      </c>
      <c r="M2487" s="34">
        <f>IF($K2487=1,INDEX(Mensal!$D$2:$D$245,MATCH($I2487,Mensal!$A$2:$A$245,0)),"")</f>
        <v/>
      </c>
      <c r="N2487" s="34">
        <f>IF($K2487=1,L2487-M2487,"")</f>
        <v/>
      </c>
      <c r="O2487" s="34" t="n">
        <v>0.00052461</v>
      </c>
      <c r="P2487" s="34">
        <f>IF($J2487=1,LN(1+O2487),"")</f>
        <v/>
      </c>
      <c r="Q2487" s="34">
        <f>IF($J2487=1,LN(R2488/R2487),"")</f>
        <v/>
      </c>
      <c r="R2487" s="32" t="n">
        <v>3.5397</v>
      </c>
      <c r="S2487" s="35" t="n">
        <v>13.28</v>
      </c>
      <c r="T2487" s="18" t="n"/>
      <c r="U2487" s="18" t="n"/>
      <c r="V2487" s="18" t="n">
        <v>52552.79</v>
      </c>
      <c r="W2487" s="18" t="n"/>
      <c r="X2487" s="35" t="n"/>
      <c r="Y2487" s="35" t="n">
        <v>13.28</v>
      </c>
    </row>
    <row r="2488">
      <c r="A2488" s="25" t="n">
        <v>42495</v>
      </c>
      <c r="B2488" s="18" t="n">
        <v>51671.04</v>
      </c>
      <c r="C2488" s="31" t="n"/>
      <c r="D2488" s="32" t="n"/>
      <c r="E2488" s="33" t="n">
        <v>-0.7322</v>
      </c>
      <c r="F2488" t="inlineStr">
        <is>
          <t>Down</t>
        </is>
      </c>
      <c r="G2488" t="inlineStr">
        <is>
          <t>Down</t>
        </is>
      </c>
      <c r="H2488" t="inlineStr">
        <is>
          <t>ED_JD</t>
        </is>
      </c>
      <c r="I2488" t="inlineStr">
        <is>
          <t>2016-05</t>
        </is>
      </c>
      <c r="J2488" t="n">
        <v>1</v>
      </c>
      <c r="K2488" t="n">
        <v>1</v>
      </c>
      <c r="L2488" s="34">
        <f>IF($J2488=1,LN(B2489/B2488),"")</f>
        <v/>
      </c>
      <c r="M2488" s="34">
        <f>IF($K2488=1,INDEX(Mensal!$D$2:$D$245,MATCH($I2488,Mensal!$A$2:$A$245,0)),"")</f>
        <v/>
      </c>
      <c r="N2488" s="34">
        <f>IF($K2488=1,L2488-M2488,"")</f>
        <v/>
      </c>
      <c r="O2488" s="34" t="n">
        <v>0.00052461</v>
      </c>
      <c r="P2488" s="34">
        <f>IF($J2488=1,LN(1+O2488),"")</f>
        <v/>
      </c>
      <c r="Q2488" s="34">
        <f>IF($J2488=1,LN(R2489/R2488),"")</f>
        <v/>
      </c>
      <c r="R2488" s="32" t="n">
        <v>3.5296</v>
      </c>
      <c r="S2488" s="35" t="n">
        <v>13.28</v>
      </c>
      <c r="T2488" s="18" t="n"/>
      <c r="U2488" s="18" t="n"/>
      <c r="V2488" s="18" t="n">
        <v>51671.04</v>
      </c>
      <c r="W2488" s="18" t="n"/>
      <c r="X2488" s="35" t="n"/>
      <c r="Y2488" s="35" t="n">
        <v>13.28</v>
      </c>
    </row>
    <row r="2489">
      <c r="A2489" s="25" t="n">
        <v>42496</v>
      </c>
      <c r="B2489" s="18" t="n">
        <v>51717.82</v>
      </c>
      <c r="C2489" s="31" t="n"/>
      <c r="D2489" s="32" t="n"/>
      <c r="E2489" s="33" t="n">
        <v>-0.6148</v>
      </c>
      <c r="F2489" t="inlineStr">
        <is>
          <t>Down</t>
        </is>
      </c>
      <c r="G2489" t="inlineStr">
        <is>
          <t>Down</t>
        </is>
      </c>
      <c r="H2489" t="inlineStr">
        <is>
          <t>ED_JD</t>
        </is>
      </c>
      <c r="I2489" t="inlineStr">
        <is>
          <t>2016-05</t>
        </is>
      </c>
      <c r="J2489" t="n">
        <v>1</v>
      </c>
      <c r="K2489" t="n">
        <v>1</v>
      </c>
      <c r="L2489" s="34">
        <f>IF($J2489=1,LN(B2490/B2489),"")</f>
        <v/>
      </c>
      <c r="M2489" s="34">
        <f>IF($K2489=1,INDEX(Mensal!$D$2:$D$245,MATCH($I2489,Mensal!$A$2:$A$245,0)),"")</f>
        <v/>
      </c>
      <c r="N2489" s="34">
        <f>IF($K2489=1,L2489-M2489,"")</f>
        <v/>
      </c>
      <c r="O2489" s="34" t="n">
        <v>0.00052461</v>
      </c>
      <c r="P2489" s="34">
        <f>IF($J2489=1,LN(1+O2489),"")</f>
        <v/>
      </c>
      <c r="Q2489" s="34">
        <f>IF($J2489=1,LN(R2490/R2489),"")</f>
        <v/>
      </c>
      <c r="R2489" s="32" t="n">
        <v>3.5362</v>
      </c>
      <c r="S2489" s="35" t="n">
        <v>13.285</v>
      </c>
      <c r="T2489" s="18" t="n"/>
      <c r="U2489" s="18" t="n"/>
      <c r="V2489" s="18" t="n">
        <v>51717.82</v>
      </c>
      <c r="W2489" s="18" t="n"/>
      <c r="X2489" s="35" t="n"/>
      <c r="Y2489" s="35" t="n">
        <v>13.285</v>
      </c>
    </row>
    <row r="2490">
      <c r="A2490" s="25" t="n">
        <v>42499</v>
      </c>
      <c r="B2490" s="18" t="n">
        <v>50990.06</v>
      </c>
      <c r="C2490" s="31" t="n"/>
      <c r="D2490" s="32" t="n"/>
      <c r="E2490" s="33" t="n">
        <v>-0.5044</v>
      </c>
      <c r="F2490" t="inlineStr">
        <is>
          <t>Down</t>
        </is>
      </c>
      <c r="G2490" t="inlineStr">
        <is>
          <t>Down</t>
        </is>
      </c>
      <c r="H2490" t="inlineStr">
        <is>
          <t>ED_JD</t>
        </is>
      </c>
      <c r="I2490" t="inlineStr">
        <is>
          <t>2016-05</t>
        </is>
      </c>
      <c r="J2490" t="n">
        <v>1</v>
      </c>
      <c r="K2490" t="n">
        <v>1</v>
      </c>
      <c r="L2490" s="34">
        <f>IF($J2490=1,LN(B2491/B2490),"")</f>
        <v/>
      </c>
      <c r="M2490" s="34">
        <f>IF($K2490=1,INDEX(Mensal!$D$2:$D$245,MATCH($I2490,Mensal!$A$2:$A$245,0)),"")</f>
        <v/>
      </c>
      <c r="N2490" s="34">
        <f>IF($K2490=1,L2490-M2490,"")</f>
        <v/>
      </c>
      <c r="O2490" s="34" t="n">
        <v>0.00052461</v>
      </c>
      <c r="P2490" s="34">
        <f>IF($J2490=1,LN(1+O2490),"")</f>
        <v/>
      </c>
      <c r="Q2490" s="34">
        <f>IF($J2490=1,LN(R2491/R2490),"")</f>
        <v/>
      </c>
      <c r="R2490" s="32" t="n">
        <v>3.5387</v>
      </c>
      <c r="S2490" s="35" t="n">
        <v>13.326</v>
      </c>
      <c r="T2490" s="18" t="n"/>
      <c r="U2490" s="18" t="n"/>
      <c r="V2490" s="18" t="n">
        <v>50990.06</v>
      </c>
      <c r="W2490" s="18" t="n"/>
      <c r="X2490" s="35" t="n"/>
      <c r="Y2490" s="35" t="n">
        <v>13.326</v>
      </c>
    </row>
    <row r="2491">
      <c r="A2491" s="25" t="n">
        <v>42500</v>
      </c>
      <c r="B2491" s="18" t="n">
        <v>53070.9</v>
      </c>
      <c r="C2491" s="31" t="n"/>
      <c r="D2491" s="32" t="n"/>
      <c r="E2491" s="33" t="n">
        <v>-0.3901</v>
      </c>
      <c r="F2491" t="inlineStr">
        <is>
          <t>Down</t>
        </is>
      </c>
      <c r="G2491" t="inlineStr">
        <is>
          <t>Down</t>
        </is>
      </c>
      <c r="H2491" t="inlineStr">
        <is>
          <t>ED_JD</t>
        </is>
      </c>
      <c r="I2491" t="inlineStr">
        <is>
          <t>2016-05</t>
        </is>
      </c>
      <c r="J2491" t="n">
        <v>1</v>
      </c>
      <c r="K2491" t="n">
        <v>1</v>
      </c>
      <c r="L2491" s="34">
        <f>IF($J2491=1,LN(B2492/B2491),"")</f>
        <v/>
      </c>
      <c r="M2491" s="34">
        <f>IF($K2491=1,INDEX(Mensal!$D$2:$D$245,MATCH($I2491,Mensal!$A$2:$A$245,0)),"")</f>
        <v/>
      </c>
      <c r="N2491" s="34">
        <f>IF($K2491=1,L2491-M2491,"")</f>
        <v/>
      </c>
      <c r="O2491" s="34" t="n">
        <v>0.00052461</v>
      </c>
      <c r="P2491" s="34">
        <f>IF($J2491=1,LN(1+O2491),"")</f>
        <v/>
      </c>
      <c r="Q2491" s="34">
        <f>IF($J2491=1,LN(R2492/R2491),"")</f>
        <v/>
      </c>
      <c r="R2491" s="32" t="n">
        <v>3.4772</v>
      </c>
      <c r="S2491" s="35" t="n">
        <v>13.245</v>
      </c>
      <c r="T2491" s="18" t="n"/>
      <c r="U2491" s="18" t="n"/>
      <c r="V2491" s="18" t="n">
        <v>53070.9</v>
      </c>
      <c r="W2491" s="18" t="n"/>
      <c r="X2491" s="35" t="n"/>
      <c r="Y2491" s="35" t="n">
        <v>13.245</v>
      </c>
    </row>
    <row r="2492">
      <c r="A2492" s="25" t="n">
        <v>42501</v>
      </c>
      <c r="B2492" s="18" t="n">
        <v>52764.46</v>
      </c>
      <c r="C2492" s="31" t="n"/>
      <c r="D2492" s="32" t="n"/>
      <c r="E2492" s="33" t="n">
        <v>-0.2664</v>
      </c>
      <c r="F2492" t="inlineStr">
        <is>
          <t>Down</t>
        </is>
      </c>
      <c r="G2492" t="inlineStr">
        <is>
          <t>Down</t>
        </is>
      </c>
      <c r="H2492" t="inlineStr">
        <is>
          <t>ED_JD</t>
        </is>
      </c>
      <c r="I2492" t="inlineStr">
        <is>
          <t>2016-05</t>
        </is>
      </c>
      <c r="J2492" t="n">
        <v>1</v>
      </c>
      <c r="K2492" t="n">
        <v>1</v>
      </c>
      <c r="L2492" s="34">
        <f>IF($J2492=1,LN(B2493/B2492),"")</f>
        <v/>
      </c>
      <c r="M2492" s="34">
        <f>IF($K2492=1,INDEX(Mensal!$D$2:$D$245,MATCH($I2492,Mensal!$A$2:$A$245,0)),"")</f>
        <v/>
      </c>
      <c r="N2492" s="34">
        <f>IF($K2492=1,L2492-M2492,"")</f>
        <v/>
      </c>
      <c r="O2492" s="34" t="n">
        <v>0.00052461</v>
      </c>
      <c r="P2492" s="34">
        <f>IF($J2492=1,LN(1+O2492),"")</f>
        <v/>
      </c>
      <c r="Q2492" s="34">
        <f>IF($J2492=1,LN(R2493/R2492),"")</f>
        <v/>
      </c>
      <c r="R2492" s="32" t="n">
        <v>3.4645</v>
      </c>
      <c r="S2492" s="35" t="n">
        <v>13.177</v>
      </c>
      <c r="T2492" s="18" t="n"/>
      <c r="U2492" s="18" t="n"/>
      <c r="V2492" s="18" t="n">
        <v>52764.46</v>
      </c>
      <c r="W2492" s="18" t="n"/>
      <c r="X2492" s="35" t="n"/>
      <c r="Y2492" s="35" t="n">
        <v>13.177</v>
      </c>
    </row>
    <row r="2493">
      <c r="A2493" s="25" t="n">
        <v>42502</v>
      </c>
      <c r="B2493" s="18" t="n">
        <v>53241.31</v>
      </c>
      <c r="C2493" s="31" t="n"/>
      <c r="D2493" s="32" t="n"/>
      <c r="E2493" s="33" t="n">
        <v>-0.1349</v>
      </c>
      <c r="F2493" t="inlineStr">
        <is>
          <t>Down</t>
        </is>
      </c>
      <c r="G2493" t="inlineStr">
        <is>
          <t>Down</t>
        </is>
      </c>
      <c r="H2493" t="inlineStr">
        <is>
          <t>ED_JD</t>
        </is>
      </c>
      <c r="I2493" t="inlineStr">
        <is>
          <t>2016-05</t>
        </is>
      </c>
      <c r="J2493" t="n">
        <v>1</v>
      </c>
      <c r="K2493" t="n">
        <v>1</v>
      </c>
      <c r="L2493" s="34">
        <f>IF($J2493=1,LN(B2494/B2493),"")</f>
        <v/>
      </c>
      <c r="M2493" s="34">
        <f>IF($K2493=1,INDEX(Mensal!$D$2:$D$245,MATCH($I2493,Mensal!$A$2:$A$245,0)),"")</f>
        <v/>
      </c>
      <c r="N2493" s="34">
        <f>IF($K2493=1,L2493-M2493,"")</f>
        <v/>
      </c>
      <c r="O2493" s="34" t="n">
        <v>0.00052461</v>
      </c>
      <c r="P2493" s="34">
        <f>IF($J2493=1,LN(1+O2493),"")</f>
        <v/>
      </c>
      <c r="Q2493" s="34">
        <f>IF($J2493=1,LN(R2494/R2493),"")</f>
        <v/>
      </c>
      <c r="R2493" s="32" t="n">
        <v>3.4877</v>
      </c>
      <c r="S2493" s="35" t="n">
        <v>13.147</v>
      </c>
      <c r="T2493" s="18" t="n"/>
      <c r="U2493" s="18" t="n"/>
      <c r="V2493" s="18" t="n">
        <v>53241.31</v>
      </c>
      <c r="W2493" s="18" t="n"/>
      <c r="X2493" s="35" t="n"/>
      <c r="Y2493" s="35" t="n">
        <v>13.147</v>
      </c>
    </row>
    <row r="2494">
      <c r="A2494" s="25" t="n">
        <v>42503</v>
      </c>
      <c r="B2494" s="18" t="n">
        <v>51804.3</v>
      </c>
      <c r="C2494" s="31" t="n"/>
      <c r="D2494" s="32" t="n"/>
      <c r="E2494" s="33" t="n">
        <v>-0.0444</v>
      </c>
      <c r="F2494" t="inlineStr">
        <is>
          <t>Down</t>
        </is>
      </c>
      <c r="G2494" t="inlineStr">
        <is>
          <t>Down</t>
        </is>
      </c>
      <c r="H2494" t="inlineStr">
        <is>
          <t>ED_JD</t>
        </is>
      </c>
      <c r="I2494" t="inlineStr">
        <is>
          <t>2016-05</t>
        </is>
      </c>
      <c r="J2494" t="n">
        <v>1</v>
      </c>
      <c r="K2494" t="n">
        <v>1</v>
      </c>
      <c r="L2494" s="34">
        <f>IF($J2494=1,LN(B2495/B2494),"")</f>
        <v/>
      </c>
      <c r="M2494" s="34">
        <f>IF($K2494=1,INDEX(Mensal!$D$2:$D$245,MATCH($I2494,Mensal!$A$2:$A$245,0)),"")</f>
        <v/>
      </c>
      <c r="N2494" s="34">
        <f>IF($K2494=1,L2494-M2494,"")</f>
        <v/>
      </c>
      <c r="O2494" s="34" t="n">
        <v>0.00052461</v>
      </c>
      <c r="P2494" s="34">
        <f>IF($J2494=1,LN(1+O2494),"")</f>
        <v/>
      </c>
      <c r="Q2494" s="34">
        <f>IF($J2494=1,LN(R2495/R2494),"")</f>
        <v/>
      </c>
      <c r="R2494" s="32" t="n">
        <v>3.5041</v>
      </c>
      <c r="S2494" s="35" t="n">
        <v>13.16</v>
      </c>
      <c r="T2494" s="18" t="n"/>
      <c r="U2494" s="18" t="n"/>
      <c r="V2494" s="18" t="n">
        <v>51804.3</v>
      </c>
      <c r="W2494" s="18" t="n"/>
      <c r="X2494" s="35" t="n"/>
      <c r="Y2494" s="35" t="n">
        <v>13.16</v>
      </c>
    </row>
    <row r="2495">
      <c r="A2495" s="25" t="n">
        <v>42506</v>
      </c>
      <c r="B2495" s="18" t="n">
        <v>51802.92</v>
      </c>
      <c r="C2495" s="31" t="n"/>
      <c r="D2495" s="32" t="n"/>
      <c r="E2495" s="33" t="n">
        <v>0.0358</v>
      </c>
      <c r="F2495" t="inlineStr">
        <is>
          <t>Down</t>
        </is>
      </c>
      <c r="G2495" t="inlineStr">
        <is>
          <t>Down</t>
        </is>
      </c>
      <c r="H2495" t="inlineStr">
        <is>
          <t>ED_JD</t>
        </is>
      </c>
      <c r="I2495" t="inlineStr">
        <is>
          <t>2016-05</t>
        </is>
      </c>
      <c r="J2495" t="n">
        <v>1</v>
      </c>
      <c r="K2495" t="n">
        <v>1</v>
      </c>
      <c r="L2495" s="34">
        <f>IF($J2495=1,LN(B2496/B2495),"")</f>
        <v/>
      </c>
      <c r="M2495" s="34">
        <f>IF($K2495=1,INDEX(Mensal!$D$2:$D$245,MATCH($I2495,Mensal!$A$2:$A$245,0)),"")</f>
        <v/>
      </c>
      <c r="N2495" s="34">
        <f>IF($K2495=1,L2495-M2495,"")</f>
        <v/>
      </c>
      <c r="O2495" s="34" t="n">
        <v>0.00052461</v>
      </c>
      <c r="P2495" s="34">
        <f>IF($J2495=1,LN(1+O2495),"")</f>
        <v/>
      </c>
      <c r="Q2495" s="34">
        <f>IF($J2495=1,LN(R2496/R2495),"")</f>
        <v/>
      </c>
      <c r="R2495" s="32" t="n">
        <v>3.5035</v>
      </c>
      <c r="S2495" s="35" t="n">
        <v>13.182</v>
      </c>
      <c r="T2495" s="18" t="n"/>
      <c r="U2495" s="18" t="n"/>
      <c r="V2495" s="18" t="n">
        <v>51802.92</v>
      </c>
      <c r="W2495" s="18" t="n"/>
      <c r="X2495" s="35" t="n"/>
      <c r="Y2495" s="35" t="n">
        <v>13.182</v>
      </c>
    </row>
    <row r="2496">
      <c r="A2496" s="25" t="n">
        <v>42507</v>
      </c>
      <c r="B2496" s="18" t="n">
        <v>50839.44</v>
      </c>
      <c r="C2496" s="31" t="n"/>
      <c r="D2496" s="32" t="n"/>
      <c r="E2496" s="33" t="n">
        <v>0.1319</v>
      </c>
      <c r="F2496" t="inlineStr">
        <is>
          <t>Down</t>
        </is>
      </c>
      <c r="G2496" t="inlineStr">
        <is>
          <t>Down</t>
        </is>
      </c>
      <c r="H2496" t="inlineStr">
        <is>
          <t>ED_JD</t>
        </is>
      </c>
      <c r="I2496" t="inlineStr">
        <is>
          <t>2016-05</t>
        </is>
      </c>
      <c r="J2496" t="n">
        <v>1</v>
      </c>
      <c r="K2496" t="n">
        <v>1</v>
      </c>
      <c r="L2496" s="34">
        <f>IF($J2496=1,LN(B2497/B2496),"")</f>
        <v/>
      </c>
      <c r="M2496" s="34">
        <f>IF($K2496=1,INDEX(Mensal!$D$2:$D$245,MATCH($I2496,Mensal!$A$2:$A$245,0)),"")</f>
        <v/>
      </c>
      <c r="N2496" s="34">
        <f>IF($K2496=1,L2496-M2496,"")</f>
        <v/>
      </c>
      <c r="O2496" s="34" t="n">
        <v>0.00052461</v>
      </c>
      <c r="P2496" s="34">
        <f>IF($J2496=1,LN(1+O2496),"")</f>
        <v/>
      </c>
      <c r="Q2496" s="34">
        <f>IF($J2496=1,LN(R2497/R2496),"")</f>
        <v/>
      </c>
      <c r="R2496" s="32" t="n">
        <v>3.5037</v>
      </c>
      <c r="S2496" s="35" t="n">
        <v>13.228</v>
      </c>
      <c r="T2496" s="18" t="n"/>
      <c r="U2496" s="18" t="n"/>
      <c r="V2496" s="18" t="n">
        <v>50839.44</v>
      </c>
      <c r="W2496" s="18" t="n"/>
      <c r="X2496" s="35" t="n"/>
      <c r="Y2496" s="35" t="n">
        <v>13.228</v>
      </c>
    </row>
    <row r="2497">
      <c r="A2497" s="25" t="n">
        <v>42508</v>
      </c>
      <c r="B2497" s="18" t="n">
        <v>50561.7</v>
      </c>
      <c r="C2497" s="31" t="n"/>
      <c r="D2497" s="32" t="n"/>
      <c r="E2497" s="33" t="n">
        <v>0.2178</v>
      </c>
      <c r="F2497" t="inlineStr">
        <is>
          <t>Down</t>
        </is>
      </c>
      <c r="G2497" t="inlineStr">
        <is>
          <t>Down</t>
        </is>
      </c>
      <c r="H2497" t="inlineStr">
        <is>
          <t>ED_JD</t>
        </is>
      </c>
      <c r="I2497" t="inlineStr">
        <is>
          <t>2016-05</t>
        </is>
      </c>
      <c r="J2497" t="n">
        <v>1</v>
      </c>
      <c r="K2497" t="n">
        <v>1</v>
      </c>
      <c r="L2497" s="34">
        <f>IF($J2497=1,LN(B2498/B2497),"")</f>
        <v/>
      </c>
      <c r="M2497" s="34">
        <f>IF($K2497=1,INDEX(Mensal!$D$2:$D$245,MATCH($I2497,Mensal!$A$2:$A$245,0)),"")</f>
        <v/>
      </c>
      <c r="N2497" s="34">
        <f>IF($K2497=1,L2497-M2497,"")</f>
        <v/>
      </c>
      <c r="O2497" s="34" t="n">
        <v>0.00052461</v>
      </c>
      <c r="P2497" s="34">
        <f>IF($J2497=1,LN(1+O2497),"")</f>
        <v/>
      </c>
      <c r="Q2497" s="34">
        <f>IF($J2497=1,LN(R2498/R2497),"")</f>
        <v/>
      </c>
      <c r="R2497" s="32" t="n">
        <v>3.5368</v>
      </c>
      <c r="S2497" s="35" t="n">
        <v>13.282</v>
      </c>
      <c r="T2497" s="18" t="n"/>
      <c r="U2497" s="18" t="n"/>
      <c r="V2497" s="18" t="n">
        <v>50561.7</v>
      </c>
      <c r="W2497" s="18" t="n"/>
      <c r="X2497" s="35" t="n"/>
      <c r="Y2497" s="35" t="n">
        <v>13.282</v>
      </c>
    </row>
    <row r="2498">
      <c r="A2498" s="25" t="n">
        <v>42509</v>
      </c>
      <c r="B2498" s="18" t="n">
        <v>50132.53</v>
      </c>
      <c r="C2498" s="31" t="n"/>
      <c r="D2498" s="32" t="n"/>
      <c r="E2498" s="33" t="n">
        <v>0.3004</v>
      </c>
      <c r="F2498" t="inlineStr">
        <is>
          <t>Down</t>
        </is>
      </c>
      <c r="G2498" t="inlineStr">
        <is>
          <t>Down</t>
        </is>
      </c>
      <c r="H2498" t="inlineStr">
        <is>
          <t>ED_JD</t>
        </is>
      </c>
      <c r="I2498" t="inlineStr">
        <is>
          <t>2016-05</t>
        </is>
      </c>
      <c r="J2498" t="n">
        <v>1</v>
      </c>
      <c r="K2498" t="n">
        <v>1</v>
      </c>
      <c r="L2498" s="34">
        <f>IF($J2498=1,LN(B2499/B2498),"")</f>
        <v/>
      </c>
      <c r="M2498" s="34">
        <f>IF($K2498=1,INDEX(Mensal!$D$2:$D$245,MATCH($I2498,Mensal!$A$2:$A$245,0)),"")</f>
        <v/>
      </c>
      <c r="N2498" s="34">
        <f>IF($K2498=1,L2498-M2498,"")</f>
        <v/>
      </c>
      <c r="O2498" s="34" t="n">
        <v>0.00052461</v>
      </c>
      <c r="P2498" s="34">
        <f>IF($J2498=1,LN(1+O2498),"")</f>
        <v/>
      </c>
      <c r="Q2498" s="34">
        <f>IF($J2498=1,LN(R2499/R2498),"")</f>
        <v/>
      </c>
      <c r="R2498" s="32" t="n">
        <v>3.6003</v>
      </c>
      <c r="S2498" s="35" t="n">
        <v>13.244</v>
      </c>
      <c r="T2498" s="18" t="n"/>
      <c r="U2498" s="18" t="n"/>
      <c r="V2498" s="18" t="n">
        <v>50132.53</v>
      </c>
      <c r="W2498" s="18" t="n"/>
      <c r="X2498" s="35" t="n"/>
      <c r="Y2498" s="35" t="n">
        <v>13.244</v>
      </c>
    </row>
    <row r="2499">
      <c r="A2499" s="25" t="n">
        <v>42510</v>
      </c>
      <c r="B2499" s="18" t="n">
        <v>49722.74</v>
      </c>
      <c r="C2499" s="31" t="n"/>
      <c r="D2499" s="32" t="n"/>
      <c r="E2499" s="33" t="n">
        <v>0.3916</v>
      </c>
      <c r="F2499" t="inlineStr">
        <is>
          <t>Down</t>
        </is>
      </c>
      <c r="G2499" t="inlineStr">
        <is>
          <t>Down</t>
        </is>
      </c>
      <c r="H2499" t="inlineStr">
        <is>
          <t>ED_JD</t>
        </is>
      </c>
      <c r="I2499" t="inlineStr">
        <is>
          <t>2016-05</t>
        </is>
      </c>
      <c r="J2499" t="n">
        <v>1</v>
      </c>
      <c r="K2499" t="n">
        <v>1</v>
      </c>
      <c r="L2499" s="34">
        <f>IF($J2499=1,LN(B2500/B2499),"")</f>
        <v/>
      </c>
      <c r="M2499" s="34">
        <f>IF($K2499=1,INDEX(Mensal!$D$2:$D$245,MATCH($I2499,Mensal!$A$2:$A$245,0)),"")</f>
        <v/>
      </c>
      <c r="N2499" s="34">
        <f>IF($K2499=1,L2499-M2499,"")</f>
        <v/>
      </c>
      <c r="O2499" s="34" t="n">
        <v>0.00052461</v>
      </c>
      <c r="P2499" s="34">
        <f>IF($J2499=1,LN(1+O2499),"")</f>
        <v/>
      </c>
      <c r="Q2499" s="34">
        <f>IF($J2499=1,LN(R2500/R2499),"")</f>
        <v/>
      </c>
      <c r="R2499" s="32" t="n">
        <v>3.5419</v>
      </c>
      <c r="S2499" s="35" t="n">
        <v>13.226</v>
      </c>
      <c r="T2499" s="18" t="n"/>
      <c r="U2499" s="18" t="n"/>
      <c r="V2499" s="18" t="n">
        <v>49722.74</v>
      </c>
      <c r="W2499" s="18" t="n"/>
      <c r="X2499" s="35" t="n"/>
      <c r="Y2499" s="35" t="n">
        <v>13.226</v>
      </c>
    </row>
    <row r="2500">
      <c r="A2500" s="25" t="n">
        <v>42513</v>
      </c>
      <c r="B2500" s="18" t="n">
        <v>49330.42</v>
      </c>
      <c r="C2500" s="31" t="n"/>
      <c r="D2500" s="32" t="n"/>
      <c r="E2500" s="33" t="n">
        <v>0.5089</v>
      </c>
      <c r="F2500" t="inlineStr">
        <is>
          <t>Down</t>
        </is>
      </c>
      <c r="G2500" t="inlineStr">
        <is>
          <t>Down</t>
        </is>
      </c>
      <c r="H2500" t="inlineStr">
        <is>
          <t>ED_JD</t>
        </is>
      </c>
      <c r="I2500" t="inlineStr">
        <is>
          <t>2016-05</t>
        </is>
      </c>
      <c r="J2500" t="n">
        <v>1</v>
      </c>
      <c r="K2500" t="n">
        <v>1</v>
      </c>
      <c r="L2500" s="34">
        <f>IF($J2500=1,LN(B2501/B2500),"")</f>
        <v/>
      </c>
      <c r="M2500" s="34">
        <f>IF($K2500=1,INDEX(Mensal!$D$2:$D$245,MATCH($I2500,Mensal!$A$2:$A$245,0)),"")</f>
        <v/>
      </c>
      <c r="N2500" s="34">
        <f>IF($K2500=1,L2500-M2500,"")</f>
        <v/>
      </c>
      <c r="O2500" s="34" t="n">
        <v>0.00052461</v>
      </c>
      <c r="P2500" s="34">
        <f>IF($J2500=1,LN(1+O2500),"")</f>
        <v/>
      </c>
      <c r="Q2500" s="34">
        <f>IF($J2500=1,LN(R2501/R2500),"")</f>
        <v/>
      </c>
      <c r="R2500" s="32" t="n">
        <v>3.566</v>
      </c>
      <c r="S2500" s="35" t="n">
        <v>13.267</v>
      </c>
      <c r="T2500" s="18" t="n"/>
      <c r="U2500" s="18" t="n"/>
      <c r="V2500" s="18" t="n">
        <v>49330.42</v>
      </c>
      <c r="W2500" s="18" t="n"/>
      <c r="X2500" s="35" t="n"/>
      <c r="Y2500" s="35" t="n">
        <v>13.267</v>
      </c>
    </row>
    <row r="2501">
      <c r="A2501" s="25" t="n">
        <v>42514</v>
      </c>
      <c r="B2501" s="18" t="n">
        <v>49345.18</v>
      </c>
      <c r="C2501" s="31" t="n"/>
      <c r="D2501" s="32" t="n"/>
      <c r="E2501" s="33" t="n">
        <v>0.631</v>
      </c>
      <c r="F2501" t="inlineStr">
        <is>
          <t>Down</t>
        </is>
      </c>
      <c r="G2501" t="inlineStr">
        <is>
          <t>Down</t>
        </is>
      </c>
      <c r="H2501" t="inlineStr">
        <is>
          <t>ED_JD</t>
        </is>
      </c>
      <c r="I2501" t="inlineStr">
        <is>
          <t>2016-05</t>
        </is>
      </c>
      <c r="J2501" t="n">
        <v>1</v>
      </c>
      <c r="K2501" t="n">
        <v>1</v>
      </c>
      <c r="L2501" s="34">
        <f>IF($J2501=1,LN(B2502/B2501),"")</f>
        <v/>
      </c>
      <c r="M2501" s="34">
        <f>IF($K2501=1,INDEX(Mensal!$D$2:$D$245,MATCH($I2501,Mensal!$A$2:$A$245,0)),"")</f>
        <v/>
      </c>
      <c r="N2501" s="34">
        <f>IF($K2501=1,L2501-M2501,"")</f>
        <v/>
      </c>
      <c r="O2501" s="34" t="n">
        <v>0.00052461</v>
      </c>
      <c r="P2501" s="34">
        <f>IF($J2501=1,LN(1+O2501),"")</f>
        <v/>
      </c>
      <c r="Q2501" s="34">
        <f>IF($J2501=1,LN(R2502/R2501),"")</f>
        <v/>
      </c>
      <c r="R2501" s="32" t="n">
        <v>3.5491</v>
      </c>
      <c r="S2501" s="35" t="n">
        <v>13.251</v>
      </c>
      <c r="T2501" s="18" t="n"/>
      <c r="U2501" s="18" t="n"/>
      <c r="V2501" s="18" t="n">
        <v>49345.18</v>
      </c>
      <c r="W2501" s="18" t="n"/>
      <c r="X2501" s="35" t="n"/>
      <c r="Y2501" s="35" t="n">
        <v>13.251</v>
      </c>
    </row>
    <row r="2502">
      <c r="A2502" s="25" t="n">
        <v>42515</v>
      </c>
      <c r="B2502" s="18" t="n">
        <v>49482.85</v>
      </c>
      <c r="C2502" s="31" t="n"/>
      <c r="D2502" s="32" t="n"/>
      <c r="E2502" s="33" t="n">
        <v>0.7347</v>
      </c>
      <c r="F2502" t="inlineStr">
        <is>
          <t>Down</t>
        </is>
      </c>
      <c r="G2502" t="inlineStr">
        <is>
          <t>Down</t>
        </is>
      </c>
      <c r="H2502" t="inlineStr">
        <is>
          <t>ED_JD</t>
        </is>
      </c>
      <c r="I2502" t="inlineStr">
        <is>
          <t>2016-05</t>
        </is>
      </c>
      <c r="J2502" t="n">
        <v>1</v>
      </c>
      <c r="K2502" t="n">
        <v>1</v>
      </c>
      <c r="L2502" s="34">
        <f>IF($J2502=1,LN(B2503/B2502),"")</f>
        <v/>
      </c>
      <c r="M2502" s="34">
        <f>IF($K2502=1,INDEX(Mensal!$D$2:$D$245,MATCH($I2502,Mensal!$A$2:$A$245,0)),"")</f>
        <v/>
      </c>
      <c r="N2502" s="34">
        <f>IF($K2502=1,L2502-M2502,"")</f>
        <v/>
      </c>
      <c r="O2502" s="34" t="n">
        <v>0.00052461</v>
      </c>
      <c r="P2502" s="34">
        <f>IF($J2502=1,LN(1+O2502),"")</f>
        <v/>
      </c>
      <c r="Q2502" s="34">
        <f>IF($J2502=1,LN(R2503/R2502),"")</f>
        <v/>
      </c>
      <c r="R2502" s="32" t="n">
        <v>3.5804</v>
      </c>
      <c r="S2502" s="35" t="n">
        <v>13.287</v>
      </c>
      <c r="T2502" s="18" t="n"/>
      <c r="U2502" s="18" t="n"/>
      <c r="V2502" s="18" t="n">
        <v>49482.85</v>
      </c>
      <c r="W2502" s="18" t="n"/>
      <c r="X2502" s="35" t="n"/>
      <c r="Y2502" s="35" t="n">
        <v>13.287</v>
      </c>
    </row>
    <row r="2503">
      <c r="A2503" s="25" t="n">
        <v>42517</v>
      </c>
      <c r="B2503" s="18" t="n">
        <v>49051.49</v>
      </c>
      <c r="C2503" s="31" t="n"/>
      <c r="D2503" s="32" t="n"/>
      <c r="E2503" s="33" t="n">
        <v>0.8206</v>
      </c>
      <c r="F2503" t="inlineStr">
        <is>
          <t>Down</t>
        </is>
      </c>
      <c r="G2503" t="inlineStr">
        <is>
          <t>Down</t>
        </is>
      </c>
      <c r="H2503" t="inlineStr">
        <is>
          <t>ED_JD</t>
        </is>
      </c>
      <c r="I2503" t="inlineStr">
        <is>
          <t>2016-05</t>
        </is>
      </c>
      <c r="J2503" t="n">
        <v>1</v>
      </c>
      <c r="K2503" t="n">
        <v>1</v>
      </c>
      <c r="L2503" s="34">
        <f>IF($J2503=1,LN(B2504/B2503),"")</f>
        <v/>
      </c>
      <c r="M2503" s="34">
        <f>IF($K2503=1,INDEX(Mensal!$D$2:$D$245,MATCH($I2503,Mensal!$A$2:$A$245,0)),"")</f>
        <v/>
      </c>
      <c r="N2503" s="34">
        <f>IF($K2503=1,L2503-M2503,"")</f>
        <v/>
      </c>
      <c r="O2503" s="34" t="n">
        <v>0.00052461</v>
      </c>
      <c r="P2503" s="34">
        <f>IF($J2503=1,LN(1+O2503),"")</f>
        <v/>
      </c>
      <c r="Q2503" s="34">
        <f>IF($J2503=1,LN(R2504/R2503),"")</f>
        <v/>
      </c>
      <c r="R2503" s="32" t="n">
        <v>3.6168</v>
      </c>
      <c r="S2503" s="35" t="n">
        <v>13.303</v>
      </c>
      <c r="T2503" s="18" t="n"/>
      <c r="U2503" s="18" t="n"/>
      <c r="V2503" s="18" t="n">
        <v>49051.49</v>
      </c>
      <c r="W2503" s="18" t="n"/>
      <c r="X2503" s="35" t="n"/>
      <c r="Y2503" s="35" t="n">
        <v>13.303</v>
      </c>
    </row>
    <row r="2504">
      <c r="A2504" s="25" t="n">
        <v>42520</v>
      </c>
      <c r="B2504" s="18" t="n">
        <v>48964.34</v>
      </c>
      <c r="C2504" s="31" t="n"/>
      <c r="D2504" s="32" t="n"/>
      <c r="E2504" s="33" t="n">
        <v>0.8993</v>
      </c>
      <c r="F2504" t="inlineStr">
        <is>
          <t>Down</t>
        </is>
      </c>
      <c r="G2504" t="inlineStr">
        <is>
          <t>Down</t>
        </is>
      </c>
      <c r="H2504" t="inlineStr">
        <is>
          <t>ED_JD</t>
        </is>
      </c>
      <c r="I2504" t="inlineStr">
        <is>
          <t>2016-05</t>
        </is>
      </c>
      <c r="J2504" t="n">
        <v>1</v>
      </c>
      <c r="K2504" t="n">
        <v>1</v>
      </c>
      <c r="L2504" s="34">
        <f>IF($J2504=1,LN(B2505/B2504),"")</f>
        <v/>
      </c>
      <c r="M2504" s="34">
        <f>IF($K2504=1,INDEX(Mensal!$D$2:$D$245,MATCH($I2504,Mensal!$A$2:$A$245,0)),"")</f>
        <v/>
      </c>
      <c r="N2504" s="34">
        <f>IF($K2504=1,L2504-M2504,"")</f>
        <v/>
      </c>
      <c r="O2504" s="34" t="n">
        <v>0.00052461</v>
      </c>
      <c r="P2504" s="34">
        <f>IF($J2504=1,LN(1+O2504),"")</f>
        <v/>
      </c>
      <c r="Q2504" s="34">
        <f>IF($J2504=1,LN(R2505/R2504),"")</f>
        <v/>
      </c>
      <c r="R2504" s="32" t="n">
        <v>3.5997</v>
      </c>
      <c r="S2504" s="35" t="n">
        <v>13.181</v>
      </c>
      <c r="T2504" s="18" t="n"/>
      <c r="U2504" s="18" t="n"/>
      <c r="V2504" s="18" t="n">
        <v>48964.34</v>
      </c>
      <c r="W2504" s="18" t="n"/>
      <c r="X2504" s="35" t="n"/>
      <c r="Y2504" s="35" t="n">
        <v>13.181</v>
      </c>
    </row>
    <row r="2505">
      <c r="A2505" s="25" t="n">
        <v>42521</v>
      </c>
      <c r="B2505" s="18" t="n">
        <v>48471.7</v>
      </c>
      <c r="C2505" s="31" t="n"/>
      <c r="D2505" s="32" t="n"/>
      <c r="E2505" s="33" t="n">
        <v>0.9727</v>
      </c>
      <c r="F2505" t="inlineStr">
        <is>
          <t>Down</t>
        </is>
      </c>
      <c r="G2505" t="inlineStr">
        <is>
          <t>Down</t>
        </is>
      </c>
      <c r="H2505" t="inlineStr">
        <is>
          <t>ED_JD</t>
        </is>
      </c>
      <c r="I2505" t="inlineStr">
        <is>
          <t>2016-05</t>
        </is>
      </c>
      <c r="J2505" t="n">
        <v>1</v>
      </c>
      <c r="K2505" t="n">
        <v>1</v>
      </c>
      <c r="L2505" s="34">
        <f>IF($J2505=1,LN(B2506/B2505),"")</f>
        <v/>
      </c>
      <c r="M2505" s="34">
        <f>IF($K2505=1,INDEX(Mensal!$D$2:$D$245,MATCH($I2505,Mensal!$A$2:$A$245,0)),"")</f>
        <v/>
      </c>
      <c r="N2505" s="34">
        <f>IF($K2505=1,L2505-M2505,"")</f>
        <v/>
      </c>
      <c r="O2505" s="34" t="n">
        <v>0.00052461</v>
      </c>
      <c r="P2505" s="34">
        <f>IF($J2505=1,LN(1+O2505),"")</f>
        <v/>
      </c>
      <c r="Q2505" s="34">
        <f>IF($J2505=1,LN(R2506/R2505),"")</f>
        <v/>
      </c>
      <c r="R2505" s="32" t="n">
        <v>3.5951</v>
      </c>
      <c r="S2505" s="35" t="n">
        <v>13.175</v>
      </c>
      <c r="T2505" s="18" t="n"/>
      <c r="U2505" s="18" t="n"/>
      <c r="V2505" s="18" t="n">
        <v>48471.7</v>
      </c>
      <c r="W2505" s="18" t="n"/>
      <c r="X2505" s="35" t="n"/>
      <c r="Y2505" s="35" t="n">
        <v>13.175</v>
      </c>
    </row>
    <row r="2506">
      <c r="A2506" s="25" t="n">
        <v>42522</v>
      </c>
      <c r="B2506" s="18" t="n">
        <v>49012.65</v>
      </c>
      <c r="C2506" s="31" t="n"/>
      <c r="D2506" s="32" t="n"/>
      <c r="E2506" s="33" t="n">
        <v>1.0397</v>
      </c>
      <c r="F2506" t="inlineStr">
        <is>
          <t>Down</t>
        </is>
      </c>
      <c r="G2506" t="inlineStr">
        <is>
          <t>Down</t>
        </is>
      </c>
      <c r="H2506" t="inlineStr">
        <is>
          <t>ED_JD</t>
        </is>
      </c>
      <c r="I2506" t="inlineStr">
        <is>
          <t>2016-06</t>
        </is>
      </c>
      <c r="J2506" t="n">
        <v>1</v>
      </c>
      <c r="K2506" t="n">
        <v>1</v>
      </c>
      <c r="L2506" s="34">
        <f>IF($J2506=1,LN(B2507/B2506),"")</f>
        <v/>
      </c>
      <c r="M2506" s="34">
        <f>IF($K2506=1,INDEX(Mensal!$D$2:$D$245,MATCH($I2506,Mensal!$A$2:$A$245,0)),"")</f>
        <v/>
      </c>
      <c r="N2506" s="34">
        <f>IF($K2506=1,L2506-M2506,"")</f>
        <v/>
      </c>
      <c r="O2506" s="34" t="n">
        <v>0.00052461</v>
      </c>
      <c r="P2506" s="34">
        <f>IF($J2506=1,LN(1+O2506),"")</f>
        <v/>
      </c>
      <c r="Q2506" s="34">
        <f>IF($J2506=1,LN(R2507/R2506),"")</f>
        <v/>
      </c>
      <c r="R2506" s="32" t="n">
        <v>3.6126</v>
      </c>
      <c r="S2506" s="35" t="n">
        <v>13.074</v>
      </c>
      <c r="T2506" s="18" t="n"/>
      <c r="U2506" s="18" t="n"/>
      <c r="V2506" s="18" t="n">
        <v>49012.65</v>
      </c>
      <c r="W2506" s="18" t="n"/>
      <c r="X2506" s="35" t="n"/>
      <c r="Y2506" s="35" t="n">
        <v>13.074</v>
      </c>
    </row>
    <row r="2507">
      <c r="A2507" s="25" t="n">
        <v>42523</v>
      </c>
      <c r="B2507" s="18" t="n">
        <v>49887.24</v>
      </c>
      <c r="C2507" s="31" t="n"/>
      <c r="D2507" s="32" t="n"/>
      <c r="E2507" s="33" t="n">
        <v>1.0999</v>
      </c>
      <c r="F2507" t="inlineStr">
        <is>
          <t>Down</t>
        </is>
      </c>
      <c r="G2507" t="inlineStr">
        <is>
          <t>Down</t>
        </is>
      </c>
      <c r="H2507" t="inlineStr">
        <is>
          <t>ED_JD</t>
        </is>
      </c>
      <c r="I2507" t="inlineStr">
        <is>
          <t>2016-06</t>
        </is>
      </c>
      <c r="J2507" t="n">
        <v>1</v>
      </c>
      <c r="K2507" t="n">
        <v>1</v>
      </c>
      <c r="L2507" s="34">
        <f>IF($J2507=1,LN(B2508/B2507),"")</f>
        <v/>
      </c>
      <c r="M2507" s="34">
        <f>IF($K2507=1,INDEX(Mensal!$D$2:$D$245,MATCH($I2507,Mensal!$A$2:$A$245,0)),"")</f>
        <v/>
      </c>
      <c r="N2507" s="34">
        <f>IF($K2507=1,L2507-M2507,"")</f>
        <v/>
      </c>
      <c r="O2507" s="34" t="n">
        <v>0.00052461</v>
      </c>
      <c r="P2507" s="34">
        <f>IF($J2507=1,LN(1+O2507),"")</f>
        <v/>
      </c>
      <c r="Q2507" s="34">
        <f>IF($J2507=1,LN(R2508/R2507),"")</f>
        <v/>
      </c>
      <c r="R2507" s="32" t="n">
        <v>3.5961</v>
      </c>
      <c r="S2507" s="35" t="n">
        <v>13.064</v>
      </c>
      <c r="T2507" s="18" t="n"/>
      <c r="U2507" s="18" t="n"/>
      <c r="V2507" s="18" t="n">
        <v>49887.24</v>
      </c>
      <c r="W2507" s="18" t="n"/>
      <c r="X2507" s="35" t="n"/>
      <c r="Y2507" s="35" t="n">
        <v>13.064</v>
      </c>
    </row>
    <row r="2508">
      <c r="A2508" s="25" t="n">
        <v>42524</v>
      </c>
      <c r="B2508" s="18" t="n">
        <v>50619.49</v>
      </c>
      <c r="C2508" s="31" t="n"/>
      <c r="D2508" s="32" t="n"/>
      <c r="E2508" s="33" t="n">
        <v>1.166</v>
      </c>
      <c r="F2508" t="inlineStr">
        <is>
          <t>Down</t>
        </is>
      </c>
      <c r="G2508" t="inlineStr">
        <is>
          <t>Down</t>
        </is>
      </c>
      <c r="H2508" t="inlineStr">
        <is>
          <t>ED_JD</t>
        </is>
      </c>
      <c r="I2508" t="inlineStr">
        <is>
          <t>2016-06</t>
        </is>
      </c>
      <c r="J2508" t="n">
        <v>1</v>
      </c>
      <c r="K2508" t="n">
        <v>1</v>
      </c>
      <c r="L2508" s="34">
        <f>IF($J2508=1,LN(B2509/B2508),"")</f>
        <v/>
      </c>
      <c r="M2508" s="34">
        <f>IF($K2508=1,INDEX(Mensal!$D$2:$D$245,MATCH($I2508,Mensal!$A$2:$A$245,0)),"")</f>
        <v/>
      </c>
      <c r="N2508" s="34">
        <f>IF($K2508=1,L2508-M2508,"")</f>
        <v/>
      </c>
      <c r="O2508" s="34" t="n">
        <v>0.00052461</v>
      </c>
      <c r="P2508" s="34">
        <f>IF($J2508=1,LN(1+O2508),"")</f>
        <v/>
      </c>
      <c r="Q2508" s="34">
        <f>IF($J2508=1,LN(R2509/R2508),"")</f>
        <v/>
      </c>
      <c r="R2508" s="32" t="n">
        <v>3.5409</v>
      </c>
      <c r="S2508" s="35" t="n">
        <v>12.98</v>
      </c>
      <c r="T2508" s="18" t="n"/>
      <c r="U2508" s="18" t="n"/>
      <c r="V2508" s="18" t="n">
        <v>50619.49</v>
      </c>
      <c r="W2508" s="18" t="n"/>
      <c r="X2508" s="35" t="n"/>
      <c r="Y2508" s="35" t="n">
        <v>12.98</v>
      </c>
    </row>
    <row r="2509">
      <c r="A2509" s="25" t="n">
        <v>42527</v>
      </c>
      <c r="B2509" s="18" t="n">
        <v>50431.8</v>
      </c>
      <c r="C2509" s="31" t="n"/>
      <c r="D2509" s="32" t="n"/>
      <c r="E2509" s="33" t="n">
        <v>1.233</v>
      </c>
      <c r="F2509" t="inlineStr">
        <is>
          <t>Down</t>
        </is>
      </c>
      <c r="G2509" t="inlineStr">
        <is>
          <t>Down</t>
        </is>
      </c>
      <c r="H2509" t="inlineStr">
        <is>
          <t>ED_JD</t>
        </is>
      </c>
      <c r="I2509" t="inlineStr">
        <is>
          <t>2016-06</t>
        </is>
      </c>
      <c r="J2509" t="n">
        <v>1</v>
      </c>
      <c r="K2509" t="n">
        <v>1</v>
      </c>
      <c r="L2509" s="34">
        <f>IF($J2509=1,LN(B2510/B2509),"")</f>
        <v/>
      </c>
      <c r="M2509" s="34">
        <f>IF($K2509=1,INDEX(Mensal!$D$2:$D$245,MATCH($I2509,Mensal!$A$2:$A$245,0)),"")</f>
        <v/>
      </c>
      <c r="N2509" s="34">
        <f>IF($K2509=1,L2509-M2509,"")</f>
        <v/>
      </c>
      <c r="O2509" s="34" t="n">
        <v>0.00052461</v>
      </c>
      <c r="P2509" s="34">
        <f>IF($J2509=1,LN(1+O2509),"")</f>
        <v/>
      </c>
      <c r="Q2509" s="34">
        <f>IF($J2509=1,LN(R2510/R2509),"")</f>
        <v/>
      </c>
      <c r="R2509" s="32" t="n">
        <v>3.5098</v>
      </c>
      <c r="S2509" s="35" t="n">
        <v>12.97</v>
      </c>
      <c r="T2509" s="18" t="n"/>
      <c r="U2509" s="18" t="n"/>
      <c r="V2509" s="18" t="n">
        <v>50431.8</v>
      </c>
      <c r="W2509" s="18" t="n"/>
      <c r="X2509" s="35" t="n"/>
      <c r="Y2509" s="35" t="n">
        <v>12.97</v>
      </c>
    </row>
    <row r="2510">
      <c r="A2510" s="25" t="n">
        <v>42528</v>
      </c>
      <c r="B2510" s="18" t="n">
        <v>50487.85</v>
      </c>
      <c r="C2510" s="31" t="n"/>
      <c r="D2510" s="32" t="n"/>
      <c r="E2510" s="33" t="n">
        <v>1.2956</v>
      </c>
      <c r="F2510" t="inlineStr">
        <is>
          <t>Down</t>
        </is>
      </c>
      <c r="G2510" t="inlineStr">
        <is>
          <t>Down</t>
        </is>
      </c>
      <c r="H2510" t="inlineStr">
        <is>
          <t>ED_JD</t>
        </is>
      </c>
      <c r="I2510" t="inlineStr">
        <is>
          <t>2016-06</t>
        </is>
      </c>
      <c r="J2510" t="n">
        <v>1</v>
      </c>
      <c r="K2510" t="n">
        <v>1</v>
      </c>
      <c r="L2510" s="34">
        <f>IF($J2510=1,LN(B2511/B2510),"")</f>
        <v/>
      </c>
      <c r="M2510" s="34">
        <f>IF($K2510=1,INDEX(Mensal!$D$2:$D$245,MATCH($I2510,Mensal!$A$2:$A$245,0)),"")</f>
        <v/>
      </c>
      <c r="N2510" s="34">
        <f>IF($K2510=1,L2510-M2510,"")</f>
        <v/>
      </c>
      <c r="O2510" s="34" t="n">
        <v>0.00052461</v>
      </c>
      <c r="P2510" s="34">
        <f>IF($J2510=1,LN(1+O2510),"")</f>
        <v/>
      </c>
      <c r="Q2510" s="34">
        <f>IF($J2510=1,LN(R2511/R2510),"")</f>
        <v/>
      </c>
      <c r="R2510" s="32" t="n">
        <v>3.4745</v>
      </c>
      <c r="S2510" s="35" t="n">
        <v>13.025</v>
      </c>
      <c r="T2510" s="18" t="n"/>
      <c r="U2510" s="18" t="n"/>
      <c r="V2510" s="18" t="n">
        <v>50487.85</v>
      </c>
      <c r="W2510" s="18" t="n"/>
      <c r="X2510" s="35" t="n"/>
      <c r="Y2510" s="35" t="n">
        <v>13.025</v>
      </c>
    </row>
    <row r="2511">
      <c r="A2511" s="25" t="n">
        <v>42529</v>
      </c>
      <c r="B2511" s="18" t="n">
        <v>51629.29</v>
      </c>
      <c r="C2511" s="31" t="n"/>
      <c r="D2511" s="32" t="n"/>
      <c r="E2511" s="33" t="n">
        <v>1.3531</v>
      </c>
      <c r="F2511" t="inlineStr">
        <is>
          <t>Down</t>
        </is>
      </c>
      <c r="G2511" t="inlineStr">
        <is>
          <t>Down</t>
        </is>
      </c>
      <c r="H2511" t="inlineStr">
        <is>
          <t>ED_JD</t>
        </is>
      </c>
      <c r="I2511" t="inlineStr">
        <is>
          <t>2016-06</t>
        </is>
      </c>
      <c r="J2511" t="n">
        <v>1</v>
      </c>
      <c r="K2511" t="n">
        <v>1</v>
      </c>
      <c r="L2511" s="34">
        <f>IF($J2511=1,LN(B2512/B2511),"")</f>
        <v/>
      </c>
      <c r="M2511" s="34">
        <f>IF($K2511=1,INDEX(Mensal!$D$2:$D$245,MATCH($I2511,Mensal!$A$2:$A$245,0)),"")</f>
        <v/>
      </c>
      <c r="N2511" s="34">
        <f>IF($K2511=1,L2511-M2511,"")</f>
        <v/>
      </c>
      <c r="O2511" s="34" t="n">
        <v>0.00052461</v>
      </c>
      <c r="P2511" s="34">
        <f>IF($J2511=1,LN(1+O2511),"")</f>
        <v/>
      </c>
      <c r="Q2511" s="34">
        <f>IF($J2511=1,LN(R2512/R2511),"")</f>
        <v/>
      </c>
      <c r="R2511" s="32" t="n">
        <v>3.3898</v>
      </c>
      <c r="S2511" s="35" t="n">
        <v>12.964</v>
      </c>
      <c r="T2511" s="18" t="n"/>
      <c r="U2511" s="18" t="n"/>
      <c r="V2511" s="18" t="n">
        <v>51629.29</v>
      </c>
      <c r="W2511" s="18" t="n"/>
      <c r="X2511" s="35" t="n"/>
      <c r="Y2511" s="35" t="n">
        <v>12.964</v>
      </c>
    </row>
    <row r="2512">
      <c r="A2512" s="25" t="n">
        <v>42530</v>
      </c>
      <c r="B2512" s="18" t="n">
        <v>51118.46</v>
      </c>
      <c r="C2512" s="31" t="n"/>
      <c r="D2512" s="32" t="n"/>
      <c r="E2512" s="33" t="n">
        <v>1.4117</v>
      </c>
      <c r="F2512" t="inlineStr">
        <is>
          <t>Down</t>
        </is>
      </c>
      <c r="G2512" t="inlineStr">
        <is>
          <t>Down</t>
        </is>
      </c>
      <c r="H2512" t="inlineStr">
        <is>
          <t>ED_JD</t>
        </is>
      </c>
      <c r="I2512" t="inlineStr">
        <is>
          <t>2016-06</t>
        </is>
      </c>
      <c r="J2512" t="n">
        <v>1</v>
      </c>
      <c r="K2512" t="n">
        <v>1</v>
      </c>
      <c r="L2512" s="34">
        <f>IF($J2512=1,LN(B2513/B2512),"")</f>
        <v/>
      </c>
      <c r="M2512" s="34">
        <f>IF($K2512=1,INDEX(Mensal!$D$2:$D$245,MATCH($I2512,Mensal!$A$2:$A$245,0)),"")</f>
        <v/>
      </c>
      <c r="N2512" s="34">
        <f>IF($K2512=1,L2512-M2512,"")</f>
        <v/>
      </c>
      <c r="O2512" s="34" t="n">
        <v>0.00052461</v>
      </c>
      <c r="P2512" s="34">
        <f>IF($J2512=1,LN(1+O2512),"")</f>
        <v/>
      </c>
      <c r="Q2512" s="34">
        <f>IF($J2512=1,LN(R2513/R2512),"")</f>
        <v/>
      </c>
      <c r="R2512" s="32" t="n">
        <v>3.3817</v>
      </c>
      <c r="S2512" s="35" t="n">
        <v>13.066</v>
      </c>
      <c r="T2512" s="18" t="n"/>
      <c r="U2512" s="18" t="n"/>
      <c r="V2512" s="18" t="n">
        <v>51118.46</v>
      </c>
      <c r="W2512" s="18" t="n"/>
      <c r="X2512" s="35" t="n"/>
      <c r="Y2512" s="35" t="n">
        <v>13.066</v>
      </c>
    </row>
    <row r="2513">
      <c r="A2513" s="25" t="n">
        <v>42531</v>
      </c>
      <c r="B2513" s="18" t="n">
        <v>49422.15</v>
      </c>
      <c r="C2513" s="31" t="n"/>
      <c r="D2513" s="32" t="n"/>
      <c r="E2513" s="33" t="n">
        <v>1.4682</v>
      </c>
      <c r="F2513" t="inlineStr">
        <is>
          <t>Down</t>
        </is>
      </c>
      <c r="G2513" t="inlineStr">
        <is>
          <t>Down</t>
        </is>
      </c>
      <c r="H2513" t="inlineStr">
        <is>
          <t>ED_JD</t>
        </is>
      </c>
      <c r="I2513" t="inlineStr">
        <is>
          <t>2016-06</t>
        </is>
      </c>
      <c r="J2513" t="n">
        <v>1</v>
      </c>
      <c r="K2513" t="n">
        <v>1</v>
      </c>
      <c r="L2513" s="34">
        <f>IF($J2513=1,LN(B2514/B2513),"")</f>
        <v/>
      </c>
      <c r="M2513" s="34">
        <f>IF($K2513=1,INDEX(Mensal!$D$2:$D$245,MATCH($I2513,Mensal!$A$2:$A$245,0)),"")</f>
        <v/>
      </c>
      <c r="N2513" s="34">
        <f>IF($K2513=1,L2513-M2513,"")</f>
        <v/>
      </c>
      <c r="O2513" s="34" t="n">
        <v>0.00052461</v>
      </c>
      <c r="P2513" s="34">
        <f>IF($J2513=1,LN(1+O2513),"")</f>
        <v/>
      </c>
      <c r="Q2513" s="34">
        <f>IF($J2513=1,LN(R2514/R2513),"")</f>
        <v/>
      </c>
      <c r="R2513" s="32" t="n">
        <v>3.4261</v>
      </c>
      <c r="S2513" s="35" t="n">
        <v>13.129</v>
      </c>
      <c r="T2513" s="18" t="n"/>
      <c r="U2513" s="18" t="n"/>
      <c r="V2513" s="18" t="n">
        <v>49422.15</v>
      </c>
      <c r="W2513" s="18" t="n"/>
      <c r="X2513" s="35" t="n"/>
      <c r="Y2513" s="35" t="n">
        <v>13.129</v>
      </c>
    </row>
    <row r="2514">
      <c r="A2514" s="25" t="n">
        <v>42534</v>
      </c>
      <c r="B2514" s="18" t="n">
        <v>49660.79</v>
      </c>
      <c r="C2514" s="31" t="n"/>
      <c r="D2514" s="32" t="n"/>
      <c r="E2514" s="33" t="n">
        <v>1.5219</v>
      </c>
      <c r="F2514" t="inlineStr">
        <is>
          <t>Down</t>
        </is>
      </c>
      <c r="G2514" t="inlineStr">
        <is>
          <t>Down</t>
        </is>
      </c>
      <c r="H2514" t="inlineStr">
        <is>
          <t>ED_JD</t>
        </is>
      </c>
      <c r="I2514" t="inlineStr">
        <is>
          <t>2016-06</t>
        </is>
      </c>
      <c r="J2514" t="n">
        <v>1</v>
      </c>
      <c r="K2514" t="n">
        <v>1</v>
      </c>
      <c r="L2514" s="34">
        <f>IF($J2514=1,LN(B2515/B2514),"")</f>
        <v/>
      </c>
      <c r="M2514" s="34">
        <f>IF($K2514=1,INDEX(Mensal!$D$2:$D$245,MATCH($I2514,Mensal!$A$2:$A$245,0)),"")</f>
        <v/>
      </c>
      <c r="N2514" s="34">
        <f>IF($K2514=1,L2514-M2514,"")</f>
        <v/>
      </c>
      <c r="O2514" s="34" t="n">
        <v>0.00052461</v>
      </c>
      <c r="P2514" s="34">
        <f>IF($J2514=1,LN(1+O2514),"")</f>
        <v/>
      </c>
      <c r="Q2514" s="34">
        <f>IF($J2514=1,LN(R2515/R2514),"")</f>
        <v/>
      </c>
      <c r="R2514" s="32" t="n">
        <v>3.4533</v>
      </c>
      <c r="S2514" s="35" t="n">
        <v>13.116</v>
      </c>
      <c r="T2514" s="18" t="n"/>
      <c r="U2514" s="18" t="n"/>
      <c r="V2514" s="18" t="n">
        <v>49660.79</v>
      </c>
      <c r="W2514" s="18" t="n"/>
      <c r="X2514" s="35" t="n"/>
      <c r="Y2514" s="35" t="n">
        <v>13.116</v>
      </c>
    </row>
    <row r="2515">
      <c r="A2515" s="25" t="n">
        <v>42535</v>
      </c>
      <c r="B2515" s="18" t="n">
        <v>48648.29</v>
      </c>
      <c r="C2515" s="31" t="n"/>
      <c r="D2515" s="32" t="n"/>
      <c r="E2515" s="33" t="n">
        <v>1.5696</v>
      </c>
      <c r="F2515" t="inlineStr">
        <is>
          <t>Down</t>
        </is>
      </c>
      <c r="G2515" t="inlineStr">
        <is>
          <t>Down</t>
        </is>
      </c>
      <c r="H2515" t="inlineStr">
        <is>
          <t>ED_JD</t>
        </is>
      </c>
      <c r="I2515" t="inlineStr">
        <is>
          <t>2016-06</t>
        </is>
      </c>
      <c r="J2515" t="n">
        <v>1</v>
      </c>
      <c r="K2515" t="n">
        <v>1</v>
      </c>
      <c r="L2515" s="34">
        <f>IF($J2515=1,LN(B2516/B2515),"")</f>
        <v/>
      </c>
      <c r="M2515" s="34">
        <f>IF($K2515=1,INDEX(Mensal!$D$2:$D$245,MATCH($I2515,Mensal!$A$2:$A$245,0)),"")</f>
        <v/>
      </c>
      <c r="N2515" s="34">
        <f>IF($K2515=1,L2515-M2515,"")</f>
        <v/>
      </c>
      <c r="O2515" s="34" t="n">
        <v>0.00052461</v>
      </c>
      <c r="P2515" s="34">
        <f>IF($J2515=1,LN(1+O2515),"")</f>
        <v/>
      </c>
      <c r="Q2515" s="34">
        <f>IF($J2515=1,LN(R2516/R2515),"")</f>
        <v/>
      </c>
      <c r="R2515" s="32" t="n">
        <v>3.4839</v>
      </c>
      <c r="S2515" s="35" t="n">
        <v>13.152</v>
      </c>
      <c r="T2515" s="18" t="n"/>
      <c r="U2515" s="18" t="n"/>
      <c r="V2515" s="18" t="n">
        <v>48648.29</v>
      </c>
      <c r="W2515" s="18" t="n"/>
      <c r="X2515" s="35" t="n"/>
      <c r="Y2515" s="35" t="n">
        <v>13.152</v>
      </c>
    </row>
    <row r="2516">
      <c r="A2516" s="25" t="n">
        <v>42536</v>
      </c>
      <c r="B2516" s="18" t="n">
        <v>48914.74</v>
      </c>
      <c r="C2516" s="31" t="n"/>
      <c r="D2516" s="32" t="n"/>
      <c r="E2516" s="33" t="n">
        <v>1.6202</v>
      </c>
      <c r="F2516" t="inlineStr">
        <is>
          <t>Down</t>
        </is>
      </c>
      <c r="G2516" t="inlineStr">
        <is>
          <t>Down</t>
        </is>
      </c>
      <c r="H2516" t="inlineStr">
        <is>
          <t>ED_JD</t>
        </is>
      </c>
      <c r="I2516" t="inlineStr">
        <is>
          <t>2016-06</t>
        </is>
      </c>
      <c r="J2516" t="n">
        <v>1</v>
      </c>
      <c r="K2516" t="n">
        <v>1</v>
      </c>
      <c r="L2516" s="34">
        <f>IF($J2516=1,LN(B2517/B2516),"")</f>
        <v/>
      </c>
      <c r="M2516" s="34">
        <f>IF($K2516=1,INDEX(Mensal!$D$2:$D$245,MATCH($I2516,Mensal!$A$2:$A$245,0)),"")</f>
        <v/>
      </c>
      <c r="N2516" s="34">
        <f>IF($K2516=1,L2516-M2516,"")</f>
        <v/>
      </c>
      <c r="O2516" s="34" t="n">
        <v>0.00052461</v>
      </c>
      <c r="P2516" s="34">
        <f>IF($J2516=1,LN(1+O2516),"")</f>
        <v/>
      </c>
      <c r="Q2516" s="34">
        <f>IF($J2516=1,LN(R2517/R2516),"")</f>
        <v/>
      </c>
      <c r="R2516" s="32" t="n">
        <v>3.4768</v>
      </c>
      <c r="S2516" s="35" t="n">
        <v>13.178</v>
      </c>
      <c r="T2516" s="18" t="n"/>
      <c r="U2516" s="18" t="n"/>
      <c r="V2516" s="18" t="n">
        <v>48914.74</v>
      </c>
      <c r="W2516" s="18" t="n"/>
      <c r="X2516" s="35" t="n"/>
      <c r="Y2516" s="35" t="n">
        <v>13.178</v>
      </c>
    </row>
    <row r="2517">
      <c r="A2517" s="25" t="n">
        <v>42537</v>
      </c>
      <c r="B2517" s="18" t="n">
        <v>49411.61</v>
      </c>
      <c r="C2517" s="31" t="n"/>
      <c r="D2517" s="32" t="n"/>
      <c r="E2517" s="33" t="n">
        <v>1.6647</v>
      </c>
      <c r="F2517" t="inlineStr">
        <is>
          <t>Down</t>
        </is>
      </c>
      <c r="G2517" t="inlineStr">
        <is>
          <t>Down</t>
        </is>
      </c>
      <c r="H2517" t="inlineStr">
        <is>
          <t>ED_JD</t>
        </is>
      </c>
      <c r="I2517" t="inlineStr">
        <is>
          <t>2016-06</t>
        </is>
      </c>
      <c r="J2517" t="n">
        <v>1</v>
      </c>
      <c r="K2517" t="n">
        <v>1</v>
      </c>
      <c r="L2517" s="34">
        <f>IF($J2517=1,LN(B2518/B2517),"")</f>
        <v/>
      </c>
      <c r="M2517" s="34">
        <f>IF($K2517=1,INDEX(Mensal!$D$2:$D$245,MATCH($I2517,Mensal!$A$2:$A$245,0)),"")</f>
        <v/>
      </c>
      <c r="N2517" s="34">
        <f>IF($K2517=1,L2517-M2517,"")</f>
        <v/>
      </c>
      <c r="O2517" s="34" t="n">
        <v>0.00052461</v>
      </c>
      <c r="P2517" s="34">
        <f>IF($J2517=1,LN(1+O2517),"")</f>
        <v/>
      </c>
      <c r="Q2517" s="34">
        <f>IF($J2517=1,LN(R2518/R2517),"")</f>
        <v/>
      </c>
      <c r="R2517" s="32" t="n">
        <v>3.4904</v>
      </c>
      <c r="S2517" s="35" t="n">
        <v>13.226</v>
      </c>
      <c r="T2517" s="18" t="n"/>
      <c r="U2517" s="18" t="n"/>
      <c r="V2517" s="18" t="n">
        <v>49411.61</v>
      </c>
      <c r="W2517" s="18" t="n"/>
      <c r="X2517" s="35" t="n"/>
      <c r="Y2517" s="35" t="n">
        <v>13.226</v>
      </c>
    </row>
    <row r="2518">
      <c r="A2518" s="25" t="n">
        <v>42538</v>
      </c>
      <c r="B2518" s="18" t="n">
        <v>49533.84</v>
      </c>
      <c r="C2518" s="31" t="n"/>
      <c r="D2518" s="32" t="n"/>
      <c r="E2518" s="33" t="n">
        <v>1.6947</v>
      </c>
      <c r="F2518" t="inlineStr">
        <is>
          <t>Down</t>
        </is>
      </c>
      <c r="G2518" t="inlineStr">
        <is>
          <t>Down</t>
        </is>
      </c>
      <c r="H2518" t="inlineStr">
        <is>
          <t>ED_JD</t>
        </is>
      </c>
      <c r="I2518" t="inlineStr">
        <is>
          <t>2016-06</t>
        </is>
      </c>
      <c r="J2518" t="n">
        <v>1</v>
      </c>
      <c r="K2518" t="n">
        <v>1</v>
      </c>
      <c r="L2518" s="34">
        <f>IF($J2518=1,LN(B2519/B2518),"")</f>
        <v/>
      </c>
      <c r="M2518" s="34">
        <f>IF($K2518=1,INDEX(Mensal!$D$2:$D$245,MATCH($I2518,Mensal!$A$2:$A$245,0)),"")</f>
        <v/>
      </c>
      <c r="N2518" s="34">
        <f>IF($K2518=1,L2518-M2518,"")</f>
        <v/>
      </c>
      <c r="O2518" s="34" t="n">
        <v>0.00052461</v>
      </c>
      <c r="P2518" s="34">
        <f>IF($J2518=1,LN(1+O2518),"")</f>
        <v/>
      </c>
      <c r="Q2518" s="34">
        <f>IF($J2518=1,LN(R2519/R2518),"")</f>
        <v/>
      </c>
      <c r="R2518" s="32" t="n">
        <v>3.4372</v>
      </c>
      <c r="S2518" s="35" t="n">
        <v>13.243</v>
      </c>
      <c r="T2518" s="18" t="n"/>
      <c r="U2518" s="18" t="n"/>
      <c r="V2518" s="18" t="n">
        <v>49533.84</v>
      </c>
      <c r="W2518" s="18" t="n"/>
      <c r="X2518" s="35" t="n"/>
      <c r="Y2518" s="35" t="n">
        <v>13.243</v>
      </c>
    </row>
    <row r="2519">
      <c r="A2519" s="25" t="n">
        <v>42541</v>
      </c>
      <c r="B2519" s="18" t="n">
        <v>50329.36</v>
      </c>
      <c r="C2519" s="31" t="n"/>
      <c r="D2519" s="32" t="n"/>
      <c r="E2519" s="33" t="n">
        <v>1.7294</v>
      </c>
      <c r="F2519" t="inlineStr">
        <is>
          <t>Down</t>
        </is>
      </c>
      <c r="G2519" t="inlineStr">
        <is>
          <t>Down</t>
        </is>
      </c>
      <c r="H2519" t="inlineStr">
        <is>
          <t>ED_JD</t>
        </is>
      </c>
      <c r="I2519" t="inlineStr">
        <is>
          <t>2016-06</t>
        </is>
      </c>
      <c r="J2519" t="n">
        <v>1</v>
      </c>
      <c r="K2519" t="n">
        <v>1</v>
      </c>
      <c r="L2519" s="34">
        <f>IF($J2519=1,LN(B2520/B2519),"")</f>
        <v/>
      </c>
      <c r="M2519" s="34">
        <f>IF($K2519=1,INDEX(Mensal!$D$2:$D$245,MATCH($I2519,Mensal!$A$2:$A$245,0)),"")</f>
        <v/>
      </c>
      <c r="N2519" s="34">
        <f>IF($K2519=1,L2519-M2519,"")</f>
        <v/>
      </c>
      <c r="O2519" s="34" t="n">
        <v>0.00052461</v>
      </c>
      <c r="P2519" s="34">
        <f>IF($J2519=1,LN(1+O2519),"")</f>
        <v/>
      </c>
      <c r="Q2519" s="34">
        <f>IF($J2519=1,LN(R2520/R2519),"")</f>
        <v/>
      </c>
      <c r="R2519" s="32" t="n">
        <v>3.3835</v>
      </c>
      <c r="S2519" s="35" t="n">
        <v>13.248</v>
      </c>
      <c r="T2519" s="18" t="n"/>
      <c r="U2519" s="18" t="n"/>
      <c r="V2519" s="18" t="n">
        <v>50329.36</v>
      </c>
      <c r="W2519" s="18" t="n"/>
      <c r="X2519" s="35" t="n"/>
      <c r="Y2519" s="35" t="n">
        <v>13.248</v>
      </c>
    </row>
    <row r="2520">
      <c r="A2520" s="25" t="n">
        <v>42542</v>
      </c>
      <c r="B2520" s="18" t="n">
        <v>50837.8</v>
      </c>
      <c r="C2520" s="31" t="n"/>
      <c r="D2520" s="32" t="n"/>
      <c r="E2520" s="33" t="n">
        <v>1.7562</v>
      </c>
      <c r="F2520" t="inlineStr">
        <is>
          <t>Down</t>
        </is>
      </c>
      <c r="G2520" t="inlineStr">
        <is>
          <t>Down</t>
        </is>
      </c>
      <c r="H2520" t="inlineStr">
        <is>
          <t>ED_JD</t>
        </is>
      </c>
      <c r="I2520" t="inlineStr">
        <is>
          <t>2016-06</t>
        </is>
      </c>
      <c r="J2520" t="n">
        <v>1</v>
      </c>
      <c r="K2520" t="n">
        <v>1</v>
      </c>
      <c r="L2520" s="34">
        <f>IF($J2520=1,LN(B2521/B2520),"")</f>
        <v/>
      </c>
      <c r="M2520" s="34">
        <f>IF($K2520=1,INDEX(Mensal!$D$2:$D$245,MATCH($I2520,Mensal!$A$2:$A$245,0)),"")</f>
        <v/>
      </c>
      <c r="N2520" s="34">
        <f>IF($K2520=1,L2520-M2520,"")</f>
        <v/>
      </c>
      <c r="O2520" s="34" t="n">
        <v>0.00052461</v>
      </c>
      <c r="P2520" s="34">
        <f>IF($J2520=1,LN(1+O2520),"")</f>
        <v/>
      </c>
      <c r="Q2520" s="34">
        <f>IF($J2520=1,LN(R2521/R2520),"")</f>
        <v/>
      </c>
      <c r="R2520" s="32" t="n">
        <v>3.3897</v>
      </c>
      <c r="S2520" s="35" t="n">
        <v>13.153</v>
      </c>
      <c r="T2520" s="18" t="n"/>
      <c r="U2520" s="18" t="n"/>
      <c r="V2520" s="18" t="n">
        <v>50837.8</v>
      </c>
      <c r="W2520" s="18" t="n"/>
      <c r="X2520" s="35" t="n"/>
      <c r="Y2520" s="35" t="n">
        <v>13.153</v>
      </c>
    </row>
    <row r="2521">
      <c r="A2521" s="25" t="n">
        <v>42543</v>
      </c>
      <c r="B2521" s="18" t="n">
        <v>50156.3</v>
      </c>
      <c r="C2521" s="31" t="n"/>
      <c r="D2521" s="32" t="n"/>
      <c r="E2521" s="33" t="n">
        <v>1.7748</v>
      </c>
      <c r="F2521" t="inlineStr">
        <is>
          <t>Down</t>
        </is>
      </c>
      <c r="G2521" t="inlineStr">
        <is>
          <t>Down</t>
        </is>
      </c>
      <c r="H2521" t="inlineStr">
        <is>
          <t>ED_JD</t>
        </is>
      </c>
      <c r="I2521" t="inlineStr">
        <is>
          <t>2016-06</t>
        </is>
      </c>
      <c r="J2521" t="n">
        <v>1</v>
      </c>
      <c r="K2521" t="n">
        <v>1</v>
      </c>
      <c r="L2521" s="34">
        <f>IF($J2521=1,LN(B2522/B2521),"")</f>
        <v/>
      </c>
      <c r="M2521" s="34">
        <f>IF($K2521=1,INDEX(Mensal!$D$2:$D$245,MATCH($I2521,Mensal!$A$2:$A$245,0)),"")</f>
        <v/>
      </c>
      <c r="N2521" s="34">
        <f>IF($K2521=1,L2521-M2521,"")</f>
        <v/>
      </c>
      <c r="O2521" s="34" t="n">
        <v>0.00052461</v>
      </c>
      <c r="P2521" s="34">
        <f>IF($J2521=1,LN(1+O2521),"")</f>
        <v/>
      </c>
      <c r="Q2521" s="34">
        <f>IF($J2521=1,LN(R2522/R2521),"")</f>
        <v/>
      </c>
      <c r="R2521" s="32" t="n">
        <v>3.3883</v>
      </c>
      <c r="S2521" s="35" t="n">
        <v>13.161</v>
      </c>
      <c r="T2521" s="18" t="n"/>
      <c r="U2521" s="18" t="n"/>
      <c r="V2521" s="18" t="n">
        <v>50156.3</v>
      </c>
      <c r="W2521" s="18" t="n"/>
      <c r="X2521" s="35" t="n"/>
      <c r="Y2521" s="35" t="n">
        <v>13.161</v>
      </c>
    </row>
    <row r="2522">
      <c r="A2522" s="25" t="n">
        <v>42544</v>
      </c>
      <c r="B2522" s="18" t="n">
        <v>51559.81</v>
      </c>
      <c r="C2522" s="31" t="n"/>
      <c r="D2522" s="32" t="n"/>
      <c r="E2522" s="33" t="n">
        <v>1.7613</v>
      </c>
      <c r="F2522" t="inlineStr">
        <is>
          <t>Down</t>
        </is>
      </c>
      <c r="G2522" t="inlineStr">
        <is>
          <t>Down</t>
        </is>
      </c>
      <c r="H2522" t="inlineStr">
        <is>
          <t>ED_JD</t>
        </is>
      </c>
      <c r="I2522" t="inlineStr">
        <is>
          <t>2016-06</t>
        </is>
      </c>
      <c r="J2522" t="n">
        <v>1</v>
      </c>
      <c r="K2522" t="n">
        <v>1</v>
      </c>
      <c r="L2522" s="34">
        <f>IF($J2522=1,LN(B2523/B2522),"")</f>
        <v/>
      </c>
      <c r="M2522" s="34">
        <f>IF($K2522=1,INDEX(Mensal!$D$2:$D$245,MATCH($I2522,Mensal!$A$2:$A$245,0)),"")</f>
        <v/>
      </c>
      <c r="N2522" s="34">
        <f>IF($K2522=1,L2522-M2522,"")</f>
        <v/>
      </c>
      <c r="O2522" s="34" t="n">
        <v>0.00052461</v>
      </c>
      <c r="P2522" s="34">
        <f>IF($J2522=1,LN(1+O2522),"")</f>
        <v/>
      </c>
      <c r="Q2522" s="34">
        <f>IF($J2522=1,LN(R2523/R2522),"")</f>
        <v/>
      </c>
      <c r="R2522" s="32" t="n">
        <v>3.3533</v>
      </c>
      <c r="S2522" s="35" t="n">
        <v>13.139</v>
      </c>
      <c r="T2522" s="18" t="n"/>
      <c r="U2522" s="18" t="n"/>
      <c r="V2522" s="18" t="n">
        <v>51559.81</v>
      </c>
      <c r="W2522" s="18" t="n"/>
      <c r="X2522" s="35" t="n"/>
      <c r="Y2522" s="35" t="n">
        <v>13.139</v>
      </c>
    </row>
    <row r="2523">
      <c r="A2523" s="25" t="n">
        <v>42545</v>
      </c>
      <c r="B2523" s="18" t="n">
        <v>50105.26</v>
      </c>
      <c r="C2523" s="31" t="n"/>
      <c r="D2523" s="32" t="n"/>
      <c r="E2523" s="33" t="n">
        <v>1.7609</v>
      </c>
      <c r="F2523" t="inlineStr">
        <is>
          <t>Down</t>
        </is>
      </c>
      <c r="G2523" t="inlineStr">
        <is>
          <t>Down</t>
        </is>
      </c>
      <c r="H2523" t="inlineStr">
        <is>
          <t>ED_JD</t>
        </is>
      </c>
      <c r="I2523" t="inlineStr">
        <is>
          <t>2016-06</t>
        </is>
      </c>
      <c r="J2523" t="n">
        <v>1</v>
      </c>
      <c r="K2523" t="n">
        <v>1</v>
      </c>
      <c r="L2523" s="34">
        <f>IF($J2523=1,LN(B2524/B2523),"")</f>
        <v/>
      </c>
      <c r="M2523" s="34">
        <f>IF($K2523=1,INDEX(Mensal!$D$2:$D$245,MATCH($I2523,Mensal!$A$2:$A$245,0)),"")</f>
        <v/>
      </c>
      <c r="N2523" s="34">
        <f>IF($K2523=1,L2523-M2523,"")</f>
        <v/>
      </c>
      <c r="O2523" s="34" t="n">
        <v>0.00052461</v>
      </c>
      <c r="P2523" s="34">
        <f>IF($J2523=1,LN(1+O2523),"")</f>
        <v/>
      </c>
      <c r="Q2523" s="34">
        <f>IF($J2523=1,LN(R2524/R2523),"")</f>
        <v/>
      </c>
      <c r="R2523" s="32" t="n">
        <v>3.3772</v>
      </c>
      <c r="S2523" s="35" t="n">
        <v>13.106</v>
      </c>
      <c r="T2523" s="18" t="n"/>
      <c r="U2523" s="18" t="n"/>
      <c r="V2523" s="18" t="n">
        <v>50105.26</v>
      </c>
      <c r="W2523" s="18" t="n"/>
      <c r="X2523" s="35" t="n"/>
      <c r="Y2523" s="35" t="n">
        <v>13.106</v>
      </c>
    </row>
    <row r="2524">
      <c r="A2524" s="25" t="n">
        <v>42548</v>
      </c>
      <c r="B2524" s="18" t="n">
        <v>49245.53</v>
      </c>
      <c r="C2524" s="31" t="n"/>
      <c r="D2524" s="32" t="n"/>
      <c r="E2524" s="33" t="n">
        <v>1.7623</v>
      </c>
      <c r="F2524" t="inlineStr">
        <is>
          <t>Down</t>
        </is>
      </c>
      <c r="G2524" t="inlineStr">
        <is>
          <t>Down</t>
        </is>
      </c>
      <c r="H2524" t="inlineStr">
        <is>
          <t>ED_JD</t>
        </is>
      </c>
      <c r="I2524" t="inlineStr">
        <is>
          <t>2016-06</t>
        </is>
      </c>
      <c r="J2524" t="n">
        <v>1</v>
      </c>
      <c r="K2524" t="n">
        <v>1</v>
      </c>
      <c r="L2524" s="34">
        <f>IF($J2524=1,LN(B2525/B2524),"")</f>
        <v/>
      </c>
      <c r="M2524" s="34">
        <f>IF($K2524=1,INDEX(Mensal!$D$2:$D$245,MATCH($I2524,Mensal!$A$2:$A$245,0)),"")</f>
        <v/>
      </c>
      <c r="N2524" s="34">
        <f>IF($K2524=1,L2524-M2524,"")</f>
        <v/>
      </c>
      <c r="O2524" s="34" t="n">
        <v>0.00052461</v>
      </c>
      <c r="P2524" s="34">
        <f>IF($J2524=1,LN(1+O2524),"")</f>
        <v/>
      </c>
      <c r="Q2524" s="34">
        <f>IF($J2524=1,LN(R2525/R2524),"")</f>
        <v/>
      </c>
      <c r="R2524" s="32" t="n">
        <v>3.3934</v>
      </c>
      <c r="S2524" s="35" t="n">
        <v>13.009</v>
      </c>
      <c r="T2524" s="18" t="n"/>
      <c r="U2524" s="18" t="n"/>
      <c r="V2524" s="18" t="n">
        <v>49245.53</v>
      </c>
      <c r="W2524" s="18" t="n"/>
      <c r="X2524" s="35" t="n"/>
      <c r="Y2524" s="35" t="n">
        <v>13.009</v>
      </c>
    </row>
    <row r="2525">
      <c r="A2525" s="25" t="n">
        <v>42549</v>
      </c>
      <c r="B2525" s="18" t="n">
        <v>50006.56</v>
      </c>
      <c r="C2525" s="31" t="n"/>
      <c r="D2525" s="32" t="n"/>
      <c r="E2525" s="33" t="n">
        <v>1.7588</v>
      </c>
      <c r="F2525" t="inlineStr">
        <is>
          <t>Down</t>
        </is>
      </c>
      <c r="G2525" t="inlineStr">
        <is>
          <t>Down</t>
        </is>
      </c>
      <c r="H2525" t="inlineStr">
        <is>
          <t>ED_JD</t>
        </is>
      </c>
      <c r="I2525" t="inlineStr">
        <is>
          <t>2016-06</t>
        </is>
      </c>
      <c r="J2525" t="n">
        <v>1</v>
      </c>
      <c r="K2525" t="n">
        <v>1</v>
      </c>
      <c r="L2525" s="34">
        <f>IF($J2525=1,LN(B2526/B2525),"")</f>
        <v/>
      </c>
      <c r="M2525" s="34">
        <f>IF($K2525=1,INDEX(Mensal!$D$2:$D$245,MATCH($I2525,Mensal!$A$2:$A$245,0)),"")</f>
        <v/>
      </c>
      <c r="N2525" s="34">
        <f>IF($K2525=1,L2525-M2525,"")</f>
        <v/>
      </c>
      <c r="O2525" s="34" t="n">
        <v>0.00052461</v>
      </c>
      <c r="P2525" s="34">
        <f>IF($J2525=1,LN(1+O2525),"")</f>
        <v/>
      </c>
      <c r="Q2525" s="34">
        <f>IF($J2525=1,LN(R2526/R2525),"")</f>
        <v/>
      </c>
      <c r="R2525" s="32" t="n">
        <v>3.3267</v>
      </c>
      <c r="S2525" s="35" t="n">
        <v>13.214</v>
      </c>
      <c r="T2525" s="18" t="n"/>
      <c r="U2525" s="18" t="n"/>
      <c r="V2525" s="18" t="n">
        <v>50006.56</v>
      </c>
      <c r="W2525" s="18" t="n"/>
      <c r="X2525" s="35" t="n"/>
      <c r="Y2525" s="35" t="n">
        <v>13.214</v>
      </c>
    </row>
    <row r="2526">
      <c r="A2526" s="25" t="n">
        <v>42550</v>
      </c>
      <c r="B2526" s="18" t="n">
        <v>51001.9</v>
      </c>
      <c r="C2526" s="31" t="n"/>
      <c r="D2526" s="32" t="n"/>
      <c r="E2526" s="33" t="n">
        <v>1.7497</v>
      </c>
      <c r="F2526" t="inlineStr">
        <is>
          <t>Down</t>
        </is>
      </c>
      <c r="G2526" t="inlineStr">
        <is>
          <t>Down</t>
        </is>
      </c>
      <c r="H2526" t="inlineStr">
        <is>
          <t>ED_JD</t>
        </is>
      </c>
      <c r="I2526" t="inlineStr">
        <is>
          <t>2016-06</t>
        </is>
      </c>
      <c r="J2526" t="n">
        <v>1</v>
      </c>
      <c r="K2526" t="n">
        <v>1</v>
      </c>
      <c r="L2526" s="34">
        <f>IF($J2526=1,LN(B2527/B2526),"")</f>
        <v/>
      </c>
      <c r="M2526" s="34">
        <f>IF($K2526=1,INDEX(Mensal!$D$2:$D$245,MATCH($I2526,Mensal!$A$2:$A$245,0)),"")</f>
        <v/>
      </c>
      <c r="N2526" s="34">
        <f>IF($K2526=1,L2526-M2526,"")</f>
        <v/>
      </c>
      <c r="O2526" s="34" t="n">
        <v>0.00052461</v>
      </c>
      <c r="P2526" s="34">
        <f>IF($J2526=1,LN(1+O2526),"")</f>
        <v/>
      </c>
      <c r="Q2526" s="34">
        <f>IF($J2526=1,LN(R2527/R2526),"")</f>
        <v/>
      </c>
      <c r="R2526" s="32" t="n">
        <v>3.2435</v>
      </c>
      <c r="S2526" s="35" t="n">
        <v>13.28</v>
      </c>
      <c r="T2526" s="18" t="n"/>
      <c r="U2526" s="18" t="n"/>
      <c r="V2526" s="18" t="n">
        <v>51001.9</v>
      </c>
      <c r="W2526" s="18" t="n"/>
      <c r="X2526" s="35" t="n"/>
      <c r="Y2526" s="35" t="n">
        <v>13.28</v>
      </c>
    </row>
    <row r="2527">
      <c r="A2527" s="25" t="n">
        <v>42551</v>
      </c>
      <c r="B2527" s="18" t="n">
        <v>51526.92</v>
      </c>
      <c r="C2527" s="31" t="n"/>
      <c r="D2527" s="32" t="n"/>
      <c r="E2527" s="33" t="n">
        <v>1.7364</v>
      </c>
      <c r="F2527" t="inlineStr">
        <is>
          <t>Down</t>
        </is>
      </c>
      <c r="G2527" t="inlineStr">
        <is>
          <t>Down</t>
        </is>
      </c>
      <c r="H2527" t="inlineStr">
        <is>
          <t>ED_JD</t>
        </is>
      </c>
      <c r="I2527" t="inlineStr">
        <is>
          <t>2016-06</t>
        </is>
      </c>
      <c r="J2527" t="n">
        <v>1</v>
      </c>
      <c r="K2527" t="n">
        <v>1</v>
      </c>
      <c r="L2527" s="34">
        <f>IF($J2527=1,LN(B2528/B2527),"")</f>
        <v/>
      </c>
      <c r="M2527" s="34">
        <f>IF($K2527=1,INDEX(Mensal!$D$2:$D$245,MATCH($I2527,Mensal!$A$2:$A$245,0)),"")</f>
        <v/>
      </c>
      <c r="N2527" s="34">
        <f>IF($K2527=1,L2527-M2527,"")</f>
        <v/>
      </c>
      <c r="O2527" s="34" t="n">
        <v>0.00052461</v>
      </c>
      <c r="P2527" s="34">
        <f>IF($J2527=1,LN(1+O2527),"")</f>
        <v/>
      </c>
      <c r="Q2527" s="34">
        <f>IF($J2527=1,LN(R2528/R2527),"")</f>
        <v/>
      </c>
      <c r="R2527" s="32" t="n">
        <v>3.2098</v>
      </c>
      <c r="S2527" s="35" t="n">
        <v>13.359</v>
      </c>
      <c r="T2527" s="18" t="n"/>
      <c r="U2527" s="18" t="n"/>
      <c r="V2527" s="18" t="n">
        <v>51526.92</v>
      </c>
      <c r="W2527" s="18" t="n"/>
      <c r="X2527" s="35" t="n"/>
      <c r="Y2527" s="35" t="n">
        <v>13.359</v>
      </c>
    </row>
    <row r="2528">
      <c r="A2528" s="25" t="n">
        <v>42552</v>
      </c>
      <c r="B2528" s="18" t="n">
        <v>52233.04</v>
      </c>
      <c r="C2528" s="31" t="n"/>
      <c r="D2528" s="32" t="n"/>
      <c r="E2528" s="33" t="n">
        <v>1.7219</v>
      </c>
      <c r="F2528" t="inlineStr">
        <is>
          <t>Up</t>
        </is>
      </c>
      <c r="G2528" t="inlineStr">
        <is>
          <t>Down</t>
        </is>
      </c>
      <c r="H2528" t="inlineStr">
        <is>
          <t>EU_JD</t>
        </is>
      </c>
      <c r="I2528" t="inlineStr">
        <is>
          <t>2016-07</t>
        </is>
      </c>
      <c r="J2528" t="n">
        <v>1</v>
      </c>
      <c r="K2528" t="n">
        <v>1</v>
      </c>
      <c r="L2528" s="34">
        <f>IF($J2528=1,LN(B2529/B2528),"")</f>
        <v/>
      </c>
      <c r="M2528" s="34">
        <f>IF($K2528=1,INDEX(Mensal!$D$2:$D$245,MATCH($I2528,Mensal!$A$2:$A$245,0)),"")</f>
        <v/>
      </c>
      <c r="N2528" s="34">
        <f>IF($K2528=1,L2528-M2528,"")</f>
        <v/>
      </c>
      <c r="O2528" s="34" t="n">
        <v>0.00052461</v>
      </c>
      <c r="P2528" s="34">
        <f>IF($J2528=1,LN(1+O2528),"")</f>
        <v/>
      </c>
      <c r="Q2528" s="34">
        <f>IF($J2528=1,LN(R2529/R2528),"")</f>
        <v/>
      </c>
      <c r="R2528" s="32" t="n">
        <v>3.2298</v>
      </c>
      <c r="S2528" s="35" t="n">
        <v>13.232</v>
      </c>
      <c r="T2528" s="18" t="n">
        <v>52233.04</v>
      </c>
      <c r="U2528" s="18" t="n"/>
      <c r="V2528" s="18" t="n"/>
      <c r="W2528" s="18" t="n"/>
      <c r="X2528" s="35" t="n"/>
      <c r="Y2528" s="35" t="n">
        <v>13.232</v>
      </c>
    </row>
    <row r="2529">
      <c r="A2529" s="25" t="n">
        <v>42555</v>
      </c>
      <c r="B2529" s="18" t="n">
        <v>52568.65</v>
      </c>
      <c r="C2529" s="31" t="n"/>
      <c r="D2529" s="32" t="n"/>
      <c r="E2529" s="33" t="n">
        <v>1.7039</v>
      </c>
      <c r="F2529" t="inlineStr">
        <is>
          <t>Up</t>
        </is>
      </c>
      <c r="G2529" t="inlineStr">
        <is>
          <t>Down</t>
        </is>
      </c>
      <c r="H2529" t="inlineStr">
        <is>
          <t>EU_JD</t>
        </is>
      </c>
      <c r="I2529" t="inlineStr">
        <is>
          <t>2016-07</t>
        </is>
      </c>
      <c r="J2529" t="n">
        <v>1</v>
      </c>
      <c r="K2529" t="n">
        <v>1</v>
      </c>
      <c r="L2529" s="34">
        <f>IF($J2529=1,LN(B2530/B2529),"")</f>
        <v/>
      </c>
      <c r="M2529" s="34">
        <f>IF($K2529=1,INDEX(Mensal!$D$2:$D$245,MATCH($I2529,Mensal!$A$2:$A$245,0)),"")</f>
        <v/>
      </c>
      <c r="N2529" s="34">
        <f>IF($K2529=1,L2529-M2529,"")</f>
        <v/>
      </c>
      <c r="O2529" s="34" t="n">
        <v>0.00052461</v>
      </c>
      <c r="P2529" s="34">
        <f>IF($J2529=1,LN(1+O2529),"")</f>
        <v/>
      </c>
      <c r="Q2529" s="34">
        <f>IF($J2529=1,LN(R2530/R2529),"")</f>
        <v/>
      </c>
      <c r="R2529" s="32" t="n">
        <v>3.248</v>
      </c>
      <c r="S2529" s="35" t="n">
        <v>13.209</v>
      </c>
      <c r="T2529" s="18" t="n">
        <v>52568.65</v>
      </c>
      <c r="U2529" s="18" t="n"/>
      <c r="V2529" s="18" t="n"/>
      <c r="W2529" s="18" t="n"/>
      <c r="X2529" s="35" t="n"/>
      <c r="Y2529" s="35" t="n">
        <v>13.209</v>
      </c>
    </row>
    <row r="2530">
      <c r="A2530" s="25" t="n">
        <v>42556</v>
      </c>
      <c r="B2530" s="18" t="n">
        <v>51842.27</v>
      </c>
      <c r="C2530" s="31" t="n"/>
      <c r="D2530" s="32" t="n"/>
      <c r="E2530" s="33" t="n">
        <v>1.673</v>
      </c>
      <c r="F2530" t="inlineStr">
        <is>
          <t>Up</t>
        </is>
      </c>
      <c r="G2530" t="inlineStr">
        <is>
          <t>Down</t>
        </is>
      </c>
      <c r="H2530" t="inlineStr">
        <is>
          <t>EU_JD</t>
        </is>
      </c>
      <c r="I2530" t="inlineStr">
        <is>
          <t>2016-07</t>
        </is>
      </c>
      <c r="J2530" t="n">
        <v>1</v>
      </c>
      <c r="K2530" t="n">
        <v>1</v>
      </c>
      <c r="L2530" s="34">
        <f>IF($J2530=1,LN(B2531/B2530),"")</f>
        <v/>
      </c>
      <c r="M2530" s="34">
        <f>IF($K2530=1,INDEX(Mensal!$D$2:$D$245,MATCH($I2530,Mensal!$A$2:$A$245,0)),"")</f>
        <v/>
      </c>
      <c r="N2530" s="34">
        <f>IF($K2530=1,L2530-M2530,"")</f>
        <v/>
      </c>
      <c r="O2530" s="34" t="n">
        <v>0.00052461</v>
      </c>
      <c r="P2530" s="34">
        <f>IF($J2530=1,LN(1+O2530),"")</f>
        <v/>
      </c>
      <c r="Q2530" s="34">
        <f>IF($J2530=1,LN(R2531/R2530),"")</f>
        <v/>
      </c>
      <c r="R2530" s="32" t="n">
        <v>3.2904</v>
      </c>
      <c r="S2530" s="35" t="n">
        <v>13.259</v>
      </c>
      <c r="T2530" s="18" t="n">
        <v>51842.27</v>
      </c>
      <c r="U2530" s="18" t="n"/>
      <c r="V2530" s="18" t="n"/>
      <c r="W2530" s="18" t="n"/>
      <c r="X2530" s="35" t="n"/>
      <c r="Y2530" s="35" t="n">
        <v>13.259</v>
      </c>
    </row>
    <row r="2531">
      <c r="A2531" s="25" t="n">
        <v>42557</v>
      </c>
      <c r="B2531" s="18" t="n">
        <v>51901.8</v>
      </c>
      <c r="C2531" s="31" t="n"/>
      <c r="D2531" s="32" t="n"/>
      <c r="E2531" s="33" t="n">
        <v>1.6415</v>
      </c>
      <c r="F2531" t="inlineStr">
        <is>
          <t>Up</t>
        </is>
      </c>
      <c r="G2531" t="inlineStr">
        <is>
          <t>Down</t>
        </is>
      </c>
      <c r="H2531" t="inlineStr">
        <is>
          <t>EU_JD</t>
        </is>
      </c>
      <c r="I2531" t="inlineStr">
        <is>
          <t>2016-07</t>
        </is>
      </c>
      <c r="J2531" t="n">
        <v>1</v>
      </c>
      <c r="K2531" t="n">
        <v>1</v>
      </c>
      <c r="L2531" s="34">
        <f>IF($J2531=1,LN(B2532/B2531),"")</f>
        <v/>
      </c>
      <c r="M2531" s="34">
        <f>IF($K2531=1,INDEX(Mensal!$D$2:$D$245,MATCH($I2531,Mensal!$A$2:$A$245,0)),"")</f>
        <v/>
      </c>
      <c r="N2531" s="34">
        <f>IF($K2531=1,L2531-M2531,"")</f>
        <v/>
      </c>
      <c r="O2531" s="34" t="n">
        <v>0.00052461</v>
      </c>
      <c r="P2531" s="34">
        <f>IF($J2531=1,LN(1+O2531),"")</f>
        <v/>
      </c>
      <c r="Q2531" s="34">
        <f>IF($J2531=1,LN(R2532/R2531),"")</f>
        <v/>
      </c>
      <c r="R2531" s="32" t="n">
        <v>3.3242</v>
      </c>
      <c r="S2531" s="35" t="n">
        <v>13.285</v>
      </c>
      <c r="T2531" s="18" t="n">
        <v>51901.8</v>
      </c>
      <c r="U2531" s="18" t="n"/>
      <c r="V2531" s="18" t="n"/>
      <c r="W2531" s="18" t="n"/>
      <c r="X2531" s="35" t="n"/>
      <c r="Y2531" s="35" t="n">
        <v>13.285</v>
      </c>
    </row>
    <row r="2532">
      <c r="A2532" s="25" t="n">
        <v>42558</v>
      </c>
      <c r="B2532" s="18" t="n">
        <v>52014.65</v>
      </c>
      <c r="C2532" s="31" t="n"/>
      <c r="D2532" s="32" t="n"/>
      <c r="E2532" s="33" t="n">
        <v>1.6018</v>
      </c>
      <c r="F2532" t="inlineStr">
        <is>
          <t>Up</t>
        </is>
      </c>
      <c r="G2532" t="inlineStr">
        <is>
          <t>Down</t>
        </is>
      </c>
      <c r="H2532" t="inlineStr">
        <is>
          <t>EU_JD</t>
        </is>
      </c>
      <c r="I2532" t="inlineStr">
        <is>
          <t>2016-07</t>
        </is>
      </c>
      <c r="J2532" t="n">
        <v>1</v>
      </c>
      <c r="K2532" t="n">
        <v>1</v>
      </c>
      <c r="L2532" s="34">
        <f>IF($J2532=1,LN(B2533/B2532),"")</f>
        <v/>
      </c>
      <c r="M2532" s="34">
        <f>IF($K2532=1,INDEX(Mensal!$D$2:$D$245,MATCH($I2532,Mensal!$A$2:$A$245,0)),"")</f>
        <v/>
      </c>
      <c r="N2532" s="34">
        <f>IF($K2532=1,L2532-M2532,"")</f>
        <v/>
      </c>
      <c r="O2532" s="34" t="n">
        <v>0.00052461</v>
      </c>
      <c r="P2532" s="34">
        <f>IF($J2532=1,LN(1+O2532),"")</f>
        <v/>
      </c>
      <c r="Q2532" s="34">
        <f>IF($J2532=1,LN(R2533/R2532),"")</f>
        <v/>
      </c>
      <c r="R2532" s="32" t="n">
        <v>3.3388</v>
      </c>
      <c r="S2532" s="35" t="n">
        <v>13.285</v>
      </c>
      <c r="T2532" s="18" t="n">
        <v>52014.65</v>
      </c>
      <c r="U2532" s="18" t="n"/>
      <c r="V2532" s="18" t="n"/>
      <c r="W2532" s="18" t="n"/>
      <c r="X2532" s="35" t="n"/>
      <c r="Y2532" s="35" t="n">
        <v>13.285</v>
      </c>
    </row>
    <row r="2533">
      <c r="A2533" s="25" t="n">
        <v>42559</v>
      </c>
      <c r="B2533" s="18" t="n">
        <v>53140.74</v>
      </c>
      <c r="C2533" s="31" t="n"/>
      <c r="D2533" s="32" t="n"/>
      <c r="E2533" s="33" t="n">
        <v>1.5592</v>
      </c>
      <c r="F2533" t="inlineStr">
        <is>
          <t>Up</t>
        </is>
      </c>
      <c r="G2533" t="inlineStr">
        <is>
          <t>Down</t>
        </is>
      </c>
      <c r="H2533" t="inlineStr">
        <is>
          <t>EU_JD</t>
        </is>
      </c>
      <c r="I2533" t="inlineStr">
        <is>
          <t>2016-07</t>
        </is>
      </c>
      <c r="J2533" t="n">
        <v>1</v>
      </c>
      <c r="K2533" t="n">
        <v>1</v>
      </c>
      <c r="L2533" s="34">
        <f>IF($J2533=1,LN(B2534/B2533),"")</f>
        <v/>
      </c>
      <c r="M2533" s="34">
        <f>IF($K2533=1,INDEX(Mensal!$D$2:$D$245,MATCH($I2533,Mensal!$A$2:$A$245,0)),"")</f>
        <v/>
      </c>
      <c r="N2533" s="34">
        <f>IF($K2533=1,L2533-M2533,"")</f>
        <v/>
      </c>
      <c r="O2533" s="34" t="n">
        <v>0.00052461</v>
      </c>
      <c r="P2533" s="34">
        <f>IF($J2533=1,LN(1+O2533),"")</f>
        <v/>
      </c>
      <c r="Q2533" s="34">
        <f>IF($J2533=1,LN(R2534/R2533),"")</f>
        <v/>
      </c>
      <c r="R2533" s="32" t="n">
        <v>3.2968</v>
      </c>
      <c r="S2533" s="35" t="n">
        <v>13.245</v>
      </c>
      <c r="T2533" s="18" t="n">
        <v>53140.74</v>
      </c>
      <c r="U2533" s="18" t="n"/>
      <c r="V2533" s="18" t="n"/>
      <c r="W2533" s="18" t="n"/>
      <c r="X2533" s="35" t="n"/>
      <c r="Y2533" s="35" t="n">
        <v>13.245</v>
      </c>
    </row>
    <row r="2534">
      <c r="A2534" s="25" t="n">
        <v>42562</v>
      </c>
      <c r="B2534" s="18" t="n">
        <v>53960.11</v>
      </c>
      <c r="C2534" s="31" t="n"/>
      <c r="D2534" s="32" t="n"/>
      <c r="E2534" s="33" t="n">
        <v>1.5136</v>
      </c>
      <c r="F2534" t="inlineStr">
        <is>
          <t>Up</t>
        </is>
      </c>
      <c r="G2534" t="inlineStr">
        <is>
          <t>Down</t>
        </is>
      </c>
      <c r="H2534" t="inlineStr">
        <is>
          <t>EU_JD</t>
        </is>
      </c>
      <c r="I2534" t="inlineStr">
        <is>
          <t>2016-07</t>
        </is>
      </c>
      <c r="J2534" t="n">
        <v>1</v>
      </c>
      <c r="K2534" t="n">
        <v>1</v>
      </c>
      <c r="L2534" s="34">
        <f>IF($J2534=1,LN(B2535/B2534),"")</f>
        <v/>
      </c>
      <c r="M2534" s="34">
        <f>IF($K2534=1,INDEX(Mensal!$D$2:$D$245,MATCH($I2534,Mensal!$A$2:$A$245,0)),"")</f>
        <v/>
      </c>
      <c r="N2534" s="34">
        <f>IF($K2534=1,L2534-M2534,"")</f>
        <v/>
      </c>
      <c r="O2534" s="34" t="n">
        <v>0.00052461</v>
      </c>
      <c r="P2534" s="34">
        <f>IF($J2534=1,LN(1+O2534),"")</f>
        <v/>
      </c>
      <c r="Q2534" s="34">
        <f>IF($J2534=1,LN(R2535/R2534),"")</f>
        <v/>
      </c>
      <c r="R2534" s="32" t="n">
        <v>3.3031</v>
      </c>
      <c r="S2534" s="35" t="n">
        <v>13.193</v>
      </c>
      <c r="T2534" s="18" t="n">
        <v>53960.11</v>
      </c>
      <c r="U2534" s="18" t="n"/>
      <c r="V2534" s="18" t="n"/>
      <c r="W2534" s="18" t="n"/>
      <c r="X2534" s="35" t="n"/>
      <c r="Y2534" s="35" t="n">
        <v>13.193</v>
      </c>
    </row>
    <row r="2535">
      <c r="A2535" s="25" t="n">
        <v>42563</v>
      </c>
      <c r="B2535" s="18" t="n">
        <v>54256.4</v>
      </c>
      <c r="C2535" s="31" t="n"/>
      <c r="D2535" s="32" t="n"/>
      <c r="E2535" s="33" t="n">
        <v>1.4665</v>
      </c>
      <c r="F2535" t="inlineStr">
        <is>
          <t>Up</t>
        </is>
      </c>
      <c r="G2535" t="inlineStr">
        <is>
          <t>Down</t>
        </is>
      </c>
      <c r="H2535" t="inlineStr">
        <is>
          <t>EU_JD</t>
        </is>
      </c>
      <c r="I2535" t="inlineStr">
        <is>
          <t>2016-07</t>
        </is>
      </c>
      <c r="J2535" t="n">
        <v>1</v>
      </c>
      <c r="K2535" t="n">
        <v>1</v>
      </c>
      <c r="L2535" s="34">
        <f>IF($J2535=1,LN(B2536/B2535),"")</f>
        <v/>
      </c>
      <c r="M2535" s="34">
        <f>IF($K2535=1,INDEX(Mensal!$D$2:$D$245,MATCH($I2535,Mensal!$A$2:$A$245,0)),"")</f>
        <v/>
      </c>
      <c r="N2535" s="34">
        <f>IF($K2535=1,L2535-M2535,"")</f>
        <v/>
      </c>
      <c r="O2535" s="34" t="n">
        <v>0.00052461</v>
      </c>
      <c r="P2535" s="34">
        <f>IF($J2535=1,LN(1+O2535),"")</f>
        <v/>
      </c>
      <c r="Q2535" s="34">
        <f>IF($J2535=1,LN(R2536/R2535),"")</f>
        <v/>
      </c>
      <c r="R2535" s="32" t="n">
        <v>3.275</v>
      </c>
      <c r="S2535" s="35" t="n">
        <v>13.212</v>
      </c>
      <c r="T2535" s="18" t="n">
        <v>54256.4</v>
      </c>
      <c r="U2535" s="18" t="n"/>
      <c r="V2535" s="18" t="n"/>
      <c r="W2535" s="18" t="n"/>
      <c r="X2535" s="35" t="n"/>
      <c r="Y2535" s="35" t="n">
        <v>13.212</v>
      </c>
    </row>
    <row r="2536">
      <c r="A2536" s="25" t="n">
        <v>42564</v>
      </c>
      <c r="B2536" s="18" t="n">
        <v>54598.28</v>
      </c>
      <c r="C2536" s="31" t="n"/>
      <c r="D2536" s="32" t="n"/>
      <c r="E2536" s="33" t="n">
        <v>1.4126</v>
      </c>
      <c r="F2536" t="inlineStr">
        <is>
          <t>Up</t>
        </is>
      </c>
      <c r="G2536" t="inlineStr">
        <is>
          <t>Down</t>
        </is>
      </c>
      <c r="H2536" t="inlineStr">
        <is>
          <t>EU_JD</t>
        </is>
      </c>
      <c r="I2536" t="inlineStr">
        <is>
          <t>2016-07</t>
        </is>
      </c>
      <c r="J2536" t="n">
        <v>1</v>
      </c>
      <c r="K2536" t="n">
        <v>1</v>
      </c>
      <c r="L2536" s="34">
        <f>IF($J2536=1,LN(B2537/B2536),"")</f>
        <v/>
      </c>
      <c r="M2536" s="34">
        <f>IF($K2536=1,INDEX(Mensal!$D$2:$D$245,MATCH($I2536,Mensal!$A$2:$A$245,0)),"")</f>
        <v/>
      </c>
      <c r="N2536" s="34">
        <f>IF($K2536=1,L2536-M2536,"")</f>
        <v/>
      </c>
      <c r="O2536" s="34" t="n">
        <v>0.00052461</v>
      </c>
      <c r="P2536" s="34">
        <f>IF($J2536=1,LN(1+O2536),"")</f>
        <v/>
      </c>
      <c r="Q2536" s="34">
        <f>IF($J2536=1,LN(R2537/R2536),"")</f>
        <v/>
      </c>
      <c r="R2536" s="32" t="n">
        <v>3.2896</v>
      </c>
      <c r="S2536" s="35" t="n">
        <v>13.157</v>
      </c>
      <c r="T2536" s="18" t="n">
        <v>54598.28</v>
      </c>
      <c r="U2536" s="18" t="n"/>
      <c r="V2536" s="18" t="n"/>
      <c r="W2536" s="18" t="n"/>
      <c r="X2536" s="35" t="n"/>
      <c r="Y2536" s="35" t="n">
        <v>13.157</v>
      </c>
    </row>
    <row r="2537">
      <c r="A2537" s="25" t="n">
        <v>42565</v>
      </c>
      <c r="B2537" s="18" t="n">
        <v>55480.86</v>
      </c>
      <c r="C2537" s="31" t="n"/>
      <c r="D2537" s="32" t="n"/>
      <c r="E2537" s="33" t="n">
        <v>1.358</v>
      </c>
      <c r="F2537" t="inlineStr">
        <is>
          <t>Up</t>
        </is>
      </c>
      <c r="G2537" t="inlineStr">
        <is>
          <t>Down</t>
        </is>
      </c>
      <c r="H2537" t="inlineStr">
        <is>
          <t>EU_JD</t>
        </is>
      </c>
      <c r="I2537" t="inlineStr">
        <is>
          <t>2016-07</t>
        </is>
      </c>
      <c r="J2537" t="n">
        <v>1</v>
      </c>
      <c r="K2537" t="n">
        <v>1</v>
      </c>
      <c r="L2537" s="34">
        <f>IF($J2537=1,LN(B2538/B2537),"")</f>
        <v/>
      </c>
      <c r="M2537" s="34">
        <f>IF($K2537=1,INDEX(Mensal!$D$2:$D$245,MATCH($I2537,Mensal!$A$2:$A$245,0)),"")</f>
        <v/>
      </c>
      <c r="N2537" s="34">
        <f>IF($K2537=1,L2537-M2537,"")</f>
        <v/>
      </c>
      <c r="O2537" s="34" t="n">
        <v>0.00052461</v>
      </c>
      <c r="P2537" s="34">
        <f>IF($J2537=1,LN(1+O2537),"")</f>
        <v/>
      </c>
      <c r="Q2537" s="34">
        <f>IF($J2537=1,LN(R2538/R2537),"")</f>
        <v/>
      </c>
      <c r="R2537" s="32" t="n">
        <v>3.2311</v>
      </c>
      <c r="S2537" s="35" t="n">
        <v>13.148</v>
      </c>
      <c r="T2537" s="18" t="n">
        <v>55480.86</v>
      </c>
      <c r="U2537" s="18" t="n"/>
      <c r="V2537" s="18" t="n"/>
      <c r="W2537" s="18" t="n"/>
      <c r="X2537" s="35" t="n"/>
      <c r="Y2537" s="35" t="n">
        <v>13.148</v>
      </c>
    </row>
    <row r="2538">
      <c r="A2538" s="25" t="n">
        <v>42566</v>
      </c>
      <c r="B2538" s="18" t="n">
        <v>55578.23</v>
      </c>
      <c r="C2538" s="31" t="n"/>
      <c r="D2538" s="32" t="n"/>
      <c r="E2538" s="33" t="n">
        <v>1.2862</v>
      </c>
      <c r="F2538" t="inlineStr">
        <is>
          <t>Up</t>
        </is>
      </c>
      <c r="G2538" t="inlineStr">
        <is>
          <t>Down</t>
        </is>
      </c>
      <c r="H2538" t="inlineStr">
        <is>
          <t>EU_JD</t>
        </is>
      </c>
      <c r="I2538" t="inlineStr">
        <is>
          <t>2016-07</t>
        </is>
      </c>
      <c r="J2538" t="n">
        <v>1</v>
      </c>
      <c r="K2538" t="n">
        <v>1</v>
      </c>
      <c r="L2538" s="34">
        <f>IF($J2538=1,LN(B2539/B2538),"")</f>
        <v/>
      </c>
      <c r="M2538" s="34">
        <f>IF($K2538=1,INDEX(Mensal!$D$2:$D$245,MATCH($I2538,Mensal!$A$2:$A$245,0)),"")</f>
        <v/>
      </c>
      <c r="N2538" s="34">
        <f>IF($K2538=1,L2538-M2538,"")</f>
        <v/>
      </c>
      <c r="O2538" s="34" t="n">
        <v>0.00052461</v>
      </c>
      <c r="P2538" s="34">
        <f>IF($J2538=1,LN(1+O2538),"")</f>
        <v/>
      </c>
      <c r="Q2538" s="34">
        <f>IF($J2538=1,LN(R2539/R2538),"")</f>
        <v/>
      </c>
      <c r="R2538" s="32" t="n">
        <v>3.2656</v>
      </c>
      <c r="S2538" s="35" t="n">
        <v>13.187</v>
      </c>
      <c r="T2538" s="18" t="n">
        <v>55578.23</v>
      </c>
      <c r="U2538" s="18" t="n"/>
      <c r="V2538" s="18" t="n"/>
      <c r="W2538" s="18" t="n"/>
      <c r="X2538" s="35" t="n"/>
      <c r="Y2538" s="35" t="n">
        <v>13.187</v>
      </c>
    </row>
    <row r="2539">
      <c r="A2539" s="25" t="n">
        <v>42569</v>
      </c>
      <c r="B2539" s="18" t="n">
        <v>56484.21</v>
      </c>
      <c r="C2539" s="31" t="n"/>
      <c r="D2539" s="32" t="n"/>
      <c r="E2539" s="33" t="n">
        <v>1.2259</v>
      </c>
      <c r="F2539" t="inlineStr">
        <is>
          <t>Up</t>
        </is>
      </c>
      <c r="G2539" t="inlineStr">
        <is>
          <t>Down</t>
        </is>
      </c>
      <c r="H2539" t="inlineStr">
        <is>
          <t>EU_JD</t>
        </is>
      </c>
      <c r="I2539" t="inlineStr">
        <is>
          <t>2016-07</t>
        </is>
      </c>
      <c r="J2539" t="n">
        <v>1</v>
      </c>
      <c r="K2539" t="n">
        <v>1</v>
      </c>
      <c r="L2539" s="34">
        <f>IF($J2539=1,LN(B2540/B2539),"")</f>
        <v/>
      </c>
      <c r="M2539" s="34">
        <f>IF($K2539=1,INDEX(Mensal!$D$2:$D$245,MATCH($I2539,Mensal!$A$2:$A$245,0)),"")</f>
        <v/>
      </c>
      <c r="N2539" s="34">
        <f>IF($K2539=1,L2539-M2539,"")</f>
        <v/>
      </c>
      <c r="O2539" s="34" t="n">
        <v>0.00052461</v>
      </c>
      <c r="P2539" s="34">
        <f>IF($J2539=1,LN(1+O2539),"")</f>
        <v/>
      </c>
      <c r="Q2539" s="34">
        <f>IF($J2539=1,LN(R2540/R2539),"")</f>
        <v/>
      </c>
      <c r="R2539" s="32" t="n">
        <v>3.2634</v>
      </c>
      <c r="S2539" s="35" t="n">
        <v>13.136</v>
      </c>
      <c r="T2539" s="18" t="n">
        <v>56484.21</v>
      </c>
      <c r="U2539" s="18" t="n"/>
      <c r="V2539" s="18" t="n"/>
      <c r="W2539" s="18" t="n"/>
      <c r="X2539" s="35" t="n"/>
      <c r="Y2539" s="35" t="n">
        <v>13.136</v>
      </c>
    </row>
    <row r="2540">
      <c r="A2540" s="25" t="n">
        <v>42570</v>
      </c>
      <c r="B2540" s="18" t="n">
        <v>56698.06</v>
      </c>
      <c r="C2540" s="31" t="n"/>
      <c r="D2540" s="32" t="n"/>
      <c r="E2540" s="33" t="n">
        <v>1.1729</v>
      </c>
      <c r="F2540" t="inlineStr">
        <is>
          <t>Up</t>
        </is>
      </c>
      <c r="G2540" t="inlineStr">
        <is>
          <t>Down</t>
        </is>
      </c>
      <c r="H2540" t="inlineStr">
        <is>
          <t>EU_JD</t>
        </is>
      </c>
      <c r="I2540" t="inlineStr">
        <is>
          <t>2016-07</t>
        </is>
      </c>
      <c r="J2540" t="n">
        <v>1</v>
      </c>
      <c r="K2540" t="n">
        <v>1</v>
      </c>
      <c r="L2540" s="34">
        <f>IF($J2540=1,LN(B2541/B2540),"")</f>
        <v/>
      </c>
      <c r="M2540" s="34">
        <f>IF($K2540=1,INDEX(Mensal!$D$2:$D$245,MATCH($I2540,Mensal!$A$2:$A$245,0)),"")</f>
        <v/>
      </c>
      <c r="N2540" s="34">
        <f>IF($K2540=1,L2540-M2540,"")</f>
        <v/>
      </c>
      <c r="O2540" s="34" t="n">
        <v>0.00052461</v>
      </c>
      <c r="P2540" s="34">
        <f>IF($J2540=1,LN(1+O2540),"")</f>
        <v/>
      </c>
      <c r="Q2540" s="34">
        <f>IF($J2540=1,LN(R2541/R2540),"")</f>
        <v/>
      </c>
      <c r="R2540" s="32" t="n">
        <v>3.2801</v>
      </c>
      <c r="S2540" s="35" t="n">
        <v>13.136</v>
      </c>
      <c r="T2540" s="18" t="n">
        <v>56698.06</v>
      </c>
      <c r="U2540" s="18" t="n"/>
      <c r="V2540" s="18" t="n"/>
      <c r="W2540" s="18" t="n"/>
      <c r="X2540" s="35" t="n"/>
      <c r="Y2540" s="35" t="n">
        <v>13.136</v>
      </c>
    </row>
    <row r="2541">
      <c r="A2541" s="25" t="n">
        <v>42571</v>
      </c>
      <c r="B2541" s="18" t="n">
        <v>56578.04</v>
      </c>
      <c r="C2541" s="31" t="n"/>
      <c r="D2541" s="32" t="n"/>
      <c r="E2541" s="33" t="n">
        <v>1.1221</v>
      </c>
      <c r="F2541" t="inlineStr">
        <is>
          <t>Up</t>
        </is>
      </c>
      <c r="G2541" t="inlineStr">
        <is>
          <t>Down</t>
        </is>
      </c>
      <c r="H2541" t="inlineStr">
        <is>
          <t>EU_JD</t>
        </is>
      </c>
      <c r="I2541" t="inlineStr">
        <is>
          <t>2016-07</t>
        </is>
      </c>
      <c r="J2541" t="n">
        <v>1</v>
      </c>
      <c r="K2541" t="n">
        <v>1</v>
      </c>
      <c r="L2541" s="34">
        <f>IF($J2541=1,LN(B2542/B2541),"")</f>
        <v/>
      </c>
      <c r="M2541" s="34">
        <f>IF($K2541=1,INDEX(Mensal!$D$2:$D$245,MATCH($I2541,Mensal!$A$2:$A$245,0)),"")</f>
        <v/>
      </c>
      <c r="N2541" s="34">
        <f>IF($K2541=1,L2541-M2541,"")</f>
        <v/>
      </c>
      <c r="O2541" s="34" t="n">
        <v>0.00052461</v>
      </c>
      <c r="P2541" s="34">
        <f>IF($J2541=1,LN(1+O2541),"")</f>
        <v/>
      </c>
      <c r="Q2541" s="34">
        <f>IF($J2541=1,LN(R2542/R2541),"")</f>
        <v/>
      </c>
      <c r="R2541" s="32" t="n">
        <v>3.2512</v>
      </c>
      <c r="S2541" s="35" t="n">
        <v>13.081</v>
      </c>
      <c r="T2541" s="18" t="n">
        <v>56578.04</v>
      </c>
      <c r="U2541" s="18" t="n"/>
      <c r="V2541" s="18" t="n"/>
      <c r="W2541" s="18" t="n"/>
      <c r="X2541" s="35" t="n"/>
      <c r="Y2541" s="35" t="n">
        <v>13.081</v>
      </c>
    </row>
    <row r="2542">
      <c r="A2542" s="25" t="n">
        <v>42572</v>
      </c>
      <c r="B2542" s="18" t="n">
        <v>56641.48</v>
      </c>
      <c r="C2542" s="31" t="n"/>
      <c r="D2542" s="32" t="n"/>
      <c r="E2542" s="33" t="n">
        <v>1.0517</v>
      </c>
      <c r="F2542" t="inlineStr">
        <is>
          <t>Up</t>
        </is>
      </c>
      <c r="G2542" t="inlineStr">
        <is>
          <t>Down</t>
        </is>
      </c>
      <c r="H2542" t="inlineStr">
        <is>
          <t>EU_JD</t>
        </is>
      </c>
      <c r="I2542" t="inlineStr">
        <is>
          <t>2016-07</t>
        </is>
      </c>
      <c r="J2542" t="n">
        <v>1</v>
      </c>
      <c r="K2542" t="n">
        <v>1</v>
      </c>
      <c r="L2542" s="34">
        <f>IF($J2542=1,LN(B2543/B2542),"")</f>
        <v/>
      </c>
      <c r="M2542" s="34">
        <f>IF($K2542=1,INDEX(Mensal!$D$2:$D$245,MATCH($I2542,Mensal!$A$2:$A$245,0)),"")</f>
        <v/>
      </c>
      <c r="N2542" s="34">
        <f>IF($K2542=1,L2542-M2542,"")</f>
        <v/>
      </c>
      <c r="O2542" s="34" t="n">
        <v>0.00052461</v>
      </c>
      <c r="P2542" s="34">
        <f>IF($J2542=1,LN(1+O2542),"")</f>
        <v/>
      </c>
      <c r="Q2542" s="34">
        <f>IF($J2542=1,LN(R2543/R2542),"")</f>
        <v/>
      </c>
      <c r="R2542" s="32" t="n">
        <v>3.2585</v>
      </c>
      <c r="S2542" s="35" t="n">
        <v>13.263</v>
      </c>
      <c r="T2542" s="18" t="n">
        <v>56641.48</v>
      </c>
      <c r="U2542" s="18" t="n"/>
      <c r="V2542" s="18" t="n"/>
      <c r="W2542" s="18" t="n"/>
      <c r="X2542" s="35" t="n"/>
      <c r="Y2542" s="35" t="n">
        <v>13.263</v>
      </c>
    </row>
    <row r="2543">
      <c r="A2543" s="25" t="n">
        <v>42573</v>
      </c>
      <c r="B2543" s="18" t="n">
        <v>57002.08</v>
      </c>
      <c r="C2543" s="31" t="n"/>
      <c r="D2543" s="32" t="n"/>
      <c r="E2543" s="33" t="n">
        <v>0.9834000000000001</v>
      </c>
      <c r="F2543" t="inlineStr">
        <is>
          <t>Up</t>
        </is>
      </c>
      <c r="G2543" t="inlineStr">
        <is>
          <t>Down</t>
        </is>
      </c>
      <c r="H2543" t="inlineStr">
        <is>
          <t>EU_JD</t>
        </is>
      </c>
      <c r="I2543" t="inlineStr">
        <is>
          <t>2016-07</t>
        </is>
      </c>
      <c r="J2543" t="n">
        <v>1</v>
      </c>
      <c r="K2543" t="n">
        <v>1</v>
      </c>
      <c r="L2543" s="34">
        <f>IF($J2543=1,LN(B2544/B2543),"")</f>
        <v/>
      </c>
      <c r="M2543" s="34">
        <f>IF($K2543=1,INDEX(Mensal!$D$2:$D$245,MATCH($I2543,Mensal!$A$2:$A$245,0)),"")</f>
        <v/>
      </c>
      <c r="N2543" s="34">
        <f>IF($K2543=1,L2543-M2543,"")</f>
        <v/>
      </c>
      <c r="O2543" s="34" t="n">
        <v>0.00052461</v>
      </c>
      <c r="P2543" s="34">
        <f>IF($J2543=1,LN(1+O2543),"")</f>
        <v/>
      </c>
      <c r="Q2543" s="34">
        <f>IF($J2543=1,LN(R2544/R2543),"")</f>
        <v/>
      </c>
      <c r="R2543" s="32" t="n">
        <v>3.2854</v>
      </c>
      <c r="S2543" s="35" t="n">
        <v>13.284</v>
      </c>
      <c r="T2543" s="18" t="n">
        <v>57002.08</v>
      </c>
      <c r="U2543" s="18" t="n"/>
      <c r="V2543" s="18" t="n"/>
      <c r="W2543" s="18" t="n"/>
      <c r="X2543" s="35" t="n"/>
      <c r="Y2543" s="35" t="n">
        <v>13.284</v>
      </c>
    </row>
    <row r="2544">
      <c r="A2544" s="25" t="n">
        <v>42576</v>
      </c>
      <c r="B2544" s="18" t="n">
        <v>56872.72</v>
      </c>
      <c r="C2544" s="31" t="n"/>
      <c r="D2544" s="32" t="n"/>
      <c r="E2544" s="33" t="n">
        <v>0.9146</v>
      </c>
      <c r="F2544" t="inlineStr">
        <is>
          <t>Up</t>
        </is>
      </c>
      <c r="G2544" t="inlineStr">
        <is>
          <t>Down</t>
        </is>
      </c>
      <c r="H2544" t="inlineStr">
        <is>
          <t>EU_JD</t>
        </is>
      </c>
      <c r="I2544" t="inlineStr">
        <is>
          <t>2016-07</t>
        </is>
      </c>
      <c r="J2544" t="n">
        <v>1</v>
      </c>
      <c r="K2544" t="n">
        <v>1</v>
      </c>
      <c r="L2544" s="34">
        <f>IF($J2544=1,LN(B2545/B2544),"")</f>
        <v/>
      </c>
      <c r="M2544" s="34">
        <f>IF($K2544=1,INDEX(Mensal!$D$2:$D$245,MATCH($I2544,Mensal!$A$2:$A$245,0)),"")</f>
        <v/>
      </c>
      <c r="N2544" s="34">
        <f>IF($K2544=1,L2544-M2544,"")</f>
        <v/>
      </c>
      <c r="O2544" s="34" t="n">
        <v>0.00052461</v>
      </c>
      <c r="P2544" s="34">
        <f>IF($J2544=1,LN(1+O2544),"")</f>
        <v/>
      </c>
      <c r="Q2544" s="34">
        <f>IF($J2544=1,LN(R2545/R2544),"")</f>
        <v/>
      </c>
      <c r="R2544" s="32" t="n">
        <v>3.2819</v>
      </c>
      <c r="S2544" s="35" t="n">
        <v>13.279</v>
      </c>
      <c r="T2544" s="18" t="n">
        <v>56872.72</v>
      </c>
      <c r="U2544" s="18" t="n"/>
      <c r="V2544" s="18" t="n"/>
      <c r="W2544" s="18" t="n"/>
      <c r="X2544" s="35" t="n"/>
      <c r="Y2544" s="35" t="n">
        <v>13.279</v>
      </c>
    </row>
    <row r="2545">
      <c r="A2545" s="25" t="n">
        <v>42577</v>
      </c>
      <c r="B2545" s="18" t="n">
        <v>56782.75</v>
      </c>
      <c r="C2545" s="31" t="n"/>
      <c r="D2545" s="32" t="n"/>
      <c r="E2545" s="33" t="n">
        <v>0.8367</v>
      </c>
      <c r="F2545" t="inlineStr">
        <is>
          <t>Up</t>
        </is>
      </c>
      <c r="G2545" t="inlineStr">
        <is>
          <t>Down</t>
        </is>
      </c>
      <c r="H2545" t="inlineStr">
        <is>
          <t>EU_JD</t>
        </is>
      </c>
      <c r="I2545" t="inlineStr">
        <is>
          <t>2016-07</t>
        </is>
      </c>
      <c r="J2545" t="n">
        <v>1</v>
      </c>
      <c r="K2545" t="n">
        <v>1</v>
      </c>
      <c r="L2545" s="34">
        <f>IF($J2545=1,LN(B2546/B2545),"")</f>
        <v/>
      </c>
      <c r="M2545" s="34">
        <f>IF($K2545=1,INDEX(Mensal!$D$2:$D$245,MATCH($I2545,Mensal!$A$2:$A$245,0)),"")</f>
        <v/>
      </c>
      <c r="N2545" s="34">
        <f>IF($K2545=1,L2545-M2545,"")</f>
        <v/>
      </c>
      <c r="O2545" s="34" t="n">
        <v>0.00052461</v>
      </c>
      <c r="P2545" s="34">
        <f>IF($J2545=1,LN(1+O2545),"")</f>
        <v/>
      </c>
      <c r="Q2545" s="34">
        <f>IF($J2545=1,LN(R2546/R2545),"")</f>
        <v/>
      </c>
      <c r="R2545" s="32" t="n">
        <v>3.279</v>
      </c>
      <c r="S2545" s="35" t="n">
        <v>13.304</v>
      </c>
      <c r="T2545" s="18" t="n">
        <v>56782.75</v>
      </c>
      <c r="U2545" s="18" t="n"/>
      <c r="V2545" s="18" t="n"/>
      <c r="W2545" s="18" t="n"/>
      <c r="X2545" s="35" t="n"/>
      <c r="Y2545" s="35" t="n">
        <v>13.304</v>
      </c>
    </row>
    <row r="2546">
      <c r="A2546" s="25" t="n">
        <v>42578</v>
      </c>
      <c r="B2546" s="18" t="n">
        <v>56852.84</v>
      </c>
      <c r="C2546" s="31" t="n"/>
      <c r="D2546" s="32" t="n"/>
      <c r="E2546" s="33" t="n">
        <v>0.7667</v>
      </c>
      <c r="F2546" t="inlineStr">
        <is>
          <t>Up</t>
        </is>
      </c>
      <c r="G2546" t="inlineStr">
        <is>
          <t>Down</t>
        </is>
      </c>
      <c r="H2546" t="inlineStr">
        <is>
          <t>EU_JD</t>
        </is>
      </c>
      <c r="I2546" t="inlineStr">
        <is>
          <t>2016-07</t>
        </is>
      </c>
      <c r="J2546" t="n">
        <v>1</v>
      </c>
      <c r="K2546" t="n">
        <v>1</v>
      </c>
      <c r="L2546" s="34">
        <f>IF($J2546=1,LN(B2547/B2546),"")</f>
        <v/>
      </c>
      <c r="M2546" s="34">
        <f>IF($K2546=1,INDEX(Mensal!$D$2:$D$245,MATCH($I2546,Mensal!$A$2:$A$245,0)),"")</f>
        <v/>
      </c>
      <c r="N2546" s="34">
        <f>IF($K2546=1,L2546-M2546,"")</f>
        <v/>
      </c>
      <c r="O2546" s="34" t="n">
        <v>0.00052461</v>
      </c>
      <c r="P2546" s="34">
        <f>IF($J2546=1,LN(1+O2546),"")</f>
        <v/>
      </c>
      <c r="Q2546" s="34">
        <f>IF($J2546=1,LN(R2547/R2546),"")</f>
        <v/>
      </c>
      <c r="R2546" s="32" t="n">
        <v>3.282</v>
      </c>
      <c r="S2546" s="35" t="n">
        <v>13.292</v>
      </c>
      <c r="T2546" s="18" t="n">
        <v>56852.84</v>
      </c>
      <c r="U2546" s="18" t="n"/>
      <c r="V2546" s="18" t="n"/>
      <c r="W2546" s="18" t="n"/>
      <c r="X2546" s="35" t="n"/>
      <c r="Y2546" s="35" t="n">
        <v>13.292</v>
      </c>
    </row>
    <row r="2547">
      <c r="A2547" s="25" t="n">
        <v>42579</v>
      </c>
      <c r="B2547" s="18" t="n">
        <v>56667.11</v>
      </c>
      <c r="C2547" s="31" t="n"/>
      <c r="D2547" s="32" t="n"/>
      <c r="E2547" s="33" t="n">
        <v>0.6848</v>
      </c>
      <c r="F2547" t="inlineStr">
        <is>
          <t>Up</t>
        </is>
      </c>
      <c r="G2547" t="inlineStr">
        <is>
          <t>Down</t>
        </is>
      </c>
      <c r="H2547" t="inlineStr">
        <is>
          <t>EU_JD</t>
        </is>
      </c>
      <c r="I2547" t="inlineStr">
        <is>
          <t>2016-07</t>
        </is>
      </c>
      <c r="J2547" t="n">
        <v>1</v>
      </c>
      <c r="K2547" t="n">
        <v>1</v>
      </c>
      <c r="L2547" s="34">
        <f>IF($J2547=1,LN(B2548/B2547),"")</f>
        <v/>
      </c>
      <c r="M2547" s="34">
        <f>IF($K2547=1,INDEX(Mensal!$D$2:$D$245,MATCH($I2547,Mensal!$A$2:$A$245,0)),"")</f>
        <v/>
      </c>
      <c r="N2547" s="34">
        <f>IF($K2547=1,L2547-M2547,"")</f>
        <v/>
      </c>
      <c r="O2547" s="34" t="n">
        <v>0.00052461</v>
      </c>
      <c r="P2547" s="34">
        <f>IF($J2547=1,LN(1+O2547),"")</f>
        <v/>
      </c>
      <c r="Q2547" s="34">
        <f>IF($J2547=1,LN(R2548/R2547),"")</f>
        <v/>
      </c>
      <c r="R2547" s="32" t="n">
        <v>3.274</v>
      </c>
      <c r="S2547" s="35" t="n">
        <v>13.335</v>
      </c>
      <c r="T2547" s="18" t="n">
        <v>56667.11</v>
      </c>
      <c r="U2547" s="18" t="n"/>
      <c r="V2547" s="18" t="n"/>
      <c r="W2547" s="18" t="n"/>
      <c r="X2547" s="35" t="n"/>
      <c r="Y2547" s="35" t="n">
        <v>13.335</v>
      </c>
    </row>
    <row r="2548">
      <c r="A2548" s="25" t="n">
        <v>42580</v>
      </c>
      <c r="B2548" s="18" t="n">
        <v>57308.2</v>
      </c>
      <c r="C2548" s="31" t="n"/>
      <c r="D2548" s="32" t="n"/>
      <c r="E2548" s="33" t="n">
        <v>0.654</v>
      </c>
      <c r="F2548" t="inlineStr">
        <is>
          <t>Up</t>
        </is>
      </c>
      <c r="G2548" t="inlineStr">
        <is>
          <t>Down</t>
        </is>
      </c>
      <c r="H2548" t="inlineStr">
        <is>
          <t>EU_JD</t>
        </is>
      </c>
      <c r="I2548" t="inlineStr">
        <is>
          <t>2016-07</t>
        </is>
      </c>
      <c r="J2548" t="n">
        <v>1</v>
      </c>
      <c r="K2548" t="n">
        <v>1</v>
      </c>
      <c r="L2548" s="34">
        <f>IF($J2548=1,LN(B2549/B2548),"")</f>
        <v/>
      </c>
      <c r="M2548" s="34">
        <f>IF($K2548=1,INDEX(Mensal!$D$2:$D$245,MATCH($I2548,Mensal!$A$2:$A$245,0)),"")</f>
        <v/>
      </c>
      <c r="N2548" s="34">
        <f>IF($K2548=1,L2548-M2548,"")</f>
        <v/>
      </c>
      <c r="O2548" s="34" t="n">
        <v>0.00052461</v>
      </c>
      <c r="P2548" s="34">
        <f>IF($J2548=1,LN(1+O2548),"")</f>
        <v/>
      </c>
      <c r="Q2548" s="34">
        <f>IF($J2548=1,LN(R2549/R2548),"")</f>
        <v/>
      </c>
      <c r="R2548" s="32" t="n">
        <v>3.239</v>
      </c>
      <c r="S2548" s="35" t="n">
        <v>13.29</v>
      </c>
      <c r="T2548" s="18" t="n">
        <v>57308.2</v>
      </c>
      <c r="U2548" s="18" t="n"/>
      <c r="V2548" s="18" t="n"/>
      <c r="W2548" s="18" t="n"/>
      <c r="X2548" s="35" t="n"/>
      <c r="Y2548" s="35" t="n">
        <v>13.29</v>
      </c>
    </row>
    <row r="2549">
      <c r="A2549" s="25" t="n">
        <v>42583</v>
      </c>
      <c r="B2549" s="18" t="n">
        <v>56755.76</v>
      </c>
      <c r="C2549" s="31" t="n"/>
      <c r="D2549" s="32" t="n"/>
      <c r="E2549" s="33" t="n">
        <v>0.6339</v>
      </c>
      <c r="F2549" t="inlineStr">
        <is>
          <t>Up</t>
        </is>
      </c>
      <c r="G2549" t="inlineStr">
        <is>
          <t>Down</t>
        </is>
      </c>
      <c r="H2549" t="inlineStr">
        <is>
          <t>EU_JD</t>
        </is>
      </c>
      <c r="I2549" t="inlineStr">
        <is>
          <t>2016-08</t>
        </is>
      </c>
      <c r="J2549" t="n">
        <v>1</v>
      </c>
      <c r="K2549" t="n">
        <v>1</v>
      </c>
      <c r="L2549" s="34">
        <f>IF($J2549=1,LN(B2550/B2549),"")</f>
        <v/>
      </c>
      <c r="M2549" s="34">
        <f>IF($K2549=1,INDEX(Mensal!$D$2:$D$245,MATCH($I2549,Mensal!$A$2:$A$245,0)),"")</f>
        <v/>
      </c>
      <c r="N2549" s="34">
        <f>IF($K2549=1,L2549-M2549,"")</f>
        <v/>
      </c>
      <c r="O2549" s="34" t="n">
        <v>0.00052461</v>
      </c>
      <c r="P2549" s="34">
        <f>IF($J2549=1,LN(1+O2549),"")</f>
        <v/>
      </c>
      <c r="Q2549" s="34">
        <f>IF($J2549=1,LN(R2550/R2549),"")</f>
        <v/>
      </c>
      <c r="R2549" s="32" t="n">
        <v>3.2662</v>
      </c>
      <c r="S2549" s="35" t="n">
        <v>13.26</v>
      </c>
      <c r="T2549" s="18" t="n">
        <v>56755.76</v>
      </c>
      <c r="U2549" s="18" t="n"/>
      <c r="V2549" s="18" t="n"/>
      <c r="W2549" s="18" t="n"/>
      <c r="X2549" s="35" t="n"/>
      <c r="Y2549" s="35" t="n">
        <v>13.26</v>
      </c>
    </row>
    <row r="2550">
      <c r="A2550" s="25" t="n">
        <v>42584</v>
      </c>
      <c r="B2550" s="18" t="n">
        <v>56162.38</v>
      </c>
      <c r="C2550" s="31" t="n"/>
      <c r="D2550" s="32" t="n"/>
      <c r="E2550" s="33" t="n">
        <v>0.6246</v>
      </c>
      <c r="F2550" t="inlineStr">
        <is>
          <t>Up</t>
        </is>
      </c>
      <c r="G2550" t="inlineStr">
        <is>
          <t>Down</t>
        </is>
      </c>
      <c r="H2550" t="inlineStr">
        <is>
          <t>EU_JD</t>
        </is>
      </c>
      <c r="I2550" t="inlineStr">
        <is>
          <t>2016-08</t>
        </is>
      </c>
      <c r="J2550" t="n">
        <v>1</v>
      </c>
      <c r="K2550" t="n">
        <v>1</v>
      </c>
      <c r="L2550" s="34">
        <f>IF($J2550=1,LN(B2551/B2550),"")</f>
        <v/>
      </c>
      <c r="M2550" s="34">
        <f>IF($K2550=1,INDEX(Mensal!$D$2:$D$245,MATCH($I2550,Mensal!$A$2:$A$245,0)),"")</f>
        <v/>
      </c>
      <c r="N2550" s="34">
        <f>IF($K2550=1,L2550-M2550,"")</f>
        <v/>
      </c>
      <c r="O2550" s="34" t="n">
        <v>0.00052461</v>
      </c>
      <c r="P2550" s="34">
        <f>IF($J2550=1,LN(1+O2550),"")</f>
        <v/>
      </c>
      <c r="Q2550" s="34">
        <f>IF($J2550=1,LN(R2551/R2550),"")</f>
        <v/>
      </c>
      <c r="R2550" s="32" t="n">
        <v>3.249</v>
      </c>
      <c r="S2550" s="35" t="n">
        <v>13.265</v>
      </c>
      <c r="T2550" s="18" t="n">
        <v>56162.38</v>
      </c>
      <c r="U2550" s="18" t="n"/>
      <c r="V2550" s="18" t="n"/>
      <c r="W2550" s="18" t="n"/>
      <c r="X2550" s="35" t="n"/>
      <c r="Y2550" s="35" t="n">
        <v>13.265</v>
      </c>
    </row>
    <row r="2551">
      <c r="A2551" s="25" t="n">
        <v>42585</v>
      </c>
      <c r="B2551" s="18" t="n">
        <v>57076.91</v>
      </c>
      <c r="C2551" s="31" t="n"/>
      <c r="D2551" s="32" t="n"/>
      <c r="E2551" s="33" t="n">
        <v>0.6183999999999999</v>
      </c>
      <c r="F2551" t="inlineStr">
        <is>
          <t>Up</t>
        </is>
      </c>
      <c r="G2551" t="inlineStr">
        <is>
          <t>Down</t>
        </is>
      </c>
      <c r="H2551" t="inlineStr">
        <is>
          <t>EU_JD</t>
        </is>
      </c>
      <c r="I2551" t="inlineStr">
        <is>
          <t>2016-08</t>
        </is>
      </c>
      <c r="J2551" t="n">
        <v>1</v>
      </c>
      <c r="K2551" t="n">
        <v>1</v>
      </c>
      <c r="L2551" s="34">
        <f>IF($J2551=1,LN(B2552/B2551),"")</f>
        <v/>
      </c>
      <c r="M2551" s="34">
        <f>IF($K2551=1,INDEX(Mensal!$D$2:$D$245,MATCH($I2551,Mensal!$A$2:$A$245,0)),"")</f>
        <v/>
      </c>
      <c r="N2551" s="34">
        <f>IF($K2551=1,L2551-M2551,"")</f>
        <v/>
      </c>
      <c r="O2551" s="34" t="n">
        <v>0.00052461</v>
      </c>
      <c r="P2551" s="34">
        <f>IF($J2551=1,LN(1+O2551),"")</f>
        <v/>
      </c>
      <c r="Q2551" s="34">
        <f>IF($J2551=1,LN(R2552/R2551),"")</f>
        <v/>
      </c>
      <c r="R2551" s="32" t="n">
        <v>3.2733</v>
      </c>
      <c r="S2551" s="35" t="n">
        <v>13.263</v>
      </c>
      <c r="T2551" s="18" t="n">
        <v>57076.91</v>
      </c>
      <c r="U2551" s="18" t="n"/>
      <c r="V2551" s="18" t="n"/>
      <c r="W2551" s="18" t="n"/>
      <c r="X2551" s="35" t="n"/>
      <c r="Y2551" s="35" t="n">
        <v>13.263</v>
      </c>
    </row>
    <row r="2552">
      <c r="A2552" s="25" t="n">
        <v>42586</v>
      </c>
      <c r="B2552" s="18" t="n">
        <v>57593.89</v>
      </c>
      <c r="C2552" s="31" t="n"/>
      <c r="D2552" s="32" t="n"/>
      <c r="E2552" s="33" t="n">
        <v>0.6065</v>
      </c>
      <c r="F2552" t="inlineStr">
        <is>
          <t>Up</t>
        </is>
      </c>
      <c r="G2552" t="inlineStr">
        <is>
          <t>Down</t>
        </is>
      </c>
      <c r="H2552" t="inlineStr">
        <is>
          <t>EU_JD</t>
        </is>
      </c>
      <c r="I2552" t="inlineStr">
        <is>
          <t>2016-08</t>
        </is>
      </c>
      <c r="J2552" t="n">
        <v>1</v>
      </c>
      <c r="K2552" t="n">
        <v>1</v>
      </c>
      <c r="L2552" s="34">
        <f>IF($J2552=1,LN(B2553/B2552),"")</f>
        <v/>
      </c>
      <c r="M2552" s="34">
        <f>IF($K2552=1,INDEX(Mensal!$D$2:$D$245,MATCH($I2552,Mensal!$A$2:$A$245,0)),"")</f>
        <v/>
      </c>
      <c r="N2552" s="34">
        <f>IF($K2552=1,L2552-M2552,"")</f>
        <v/>
      </c>
      <c r="O2552" s="34" t="n">
        <v>0.00052461</v>
      </c>
      <c r="P2552" s="34">
        <f>IF($J2552=1,LN(1+O2552),"")</f>
        <v/>
      </c>
      <c r="Q2552" s="34">
        <f>IF($J2552=1,LN(R2553/R2552),"")</f>
        <v/>
      </c>
      <c r="R2552" s="32" t="n">
        <v>3.2183</v>
      </c>
      <c r="S2552" s="35" t="n">
        <v>13.226</v>
      </c>
      <c r="T2552" s="18" t="n">
        <v>57593.89</v>
      </c>
      <c r="U2552" s="18" t="n"/>
      <c r="V2552" s="18" t="n"/>
      <c r="W2552" s="18" t="n"/>
      <c r="X2552" s="35" t="n"/>
      <c r="Y2552" s="35" t="n">
        <v>13.226</v>
      </c>
    </row>
    <row r="2553">
      <c r="A2553" s="25" t="n">
        <v>42587</v>
      </c>
      <c r="B2553" s="18" t="n">
        <v>57661.14</v>
      </c>
      <c r="C2553" s="31" t="n"/>
      <c r="D2553" s="32" t="n"/>
      <c r="E2553" s="33" t="n">
        <v>0.6062</v>
      </c>
      <c r="F2553" t="inlineStr">
        <is>
          <t>Up</t>
        </is>
      </c>
      <c r="G2553" t="inlineStr">
        <is>
          <t>Down</t>
        </is>
      </c>
      <c r="H2553" t="inlineStr">
        <is>
          <t>EU_JD</t>
        </is>
      </c>
      <c r="I2553" t="inlineStr">
        <is>
          <t>2016-08</t>
        </is>
      </c>
      <c r="J2553" t="n">
        <v>1</v>
      </c>
      <c r="K2553" t="n">
        <v>1</v>
      </c>
      <c r="L2553" s="34">
        <f>IF($J2553=1,LN(B2554/B2553),"")</f>
        <v/>
      </c>
      <c r="M2553" s="34">
        <f>IF($K2553=1,INDEX(Mensal!$D$2:$D$245,MATCH($I2553,Mensal!$A$2:$A$245,0)),"")</f>
        <v/>
      </c>
      <c r="N2553" s="34">
        <f>IF($K2553=1,L2553-M2553,"")</f>
        <v/>
      </c>
      <c r="O2553" s="34" t="n">
        <v>0.00052461</v>
      </c>
      <c r="P2553" s="34">
        <f>IF($J2553=1,LN(1+O2553),"")</f>
        <v/>
      </c>
      <c r="Q2553" s="34">
        <f>IF($J2553=1,LN(R2554/R2553),"")</f>
        <v/>
      </c>
      <c r="R2553" s="32" t="n">
        <v>3.1859</v>
      </c>
      <c r="S2553" s="35" t="n">
        <v>13.175</v>
      </c>
      <c r="T2553" s="18" t="n">
        <v>57661.14</v>
      </c>
      <c r="U2553" s="18" t="n"/>
      <c r="V2553" s="18" t="n"/>
      <c r="W2553" s="18" t="n"/>
      <c r="X2553" s="35" t="n"/>
      <c r="Y2553" s="35" t="n">
        <v>13.175</v>
      </c>
    </row>
    <row r="2554">
      <c r="A2554" s="25" t="n">
        <v>42590</v>
      </c>
      <c r="B2554" s="18" t="n">
        <v>57635.42</v>
      </c>
      <c r="C2554" s="31" t="n"/>
      <c r="D2554" s="32" t="n"/>
      <c r="E2554" s="33" t="n">
        <v>0.5961</v>
      </c>
      <c r="F2554" t="inlineStr">
        <is>
          <t>Up</t>
        </is>
      </c>
      <c r="G2554" t="inlineStr">
        <is>
          <t>Down</t>
        </is>
      </c>
      <c r="H2554" t="inlineStr">
        <is>
          <t>EU_JD</t>
        </is>
      </c>
      <c r="I2554" t="inlineStr">
        <is>
          <t>2016-08</t>
        </is>
      </c>
      <c r="J2554" t="n">
        <v>1</v>
      </c>
      <c r="K2554" t="n">
        <v>1</v>
      </c>
      <c r="L2554" s="34">
        <f>IF($J2554=1,LN(B2555/B2554),"")</f>
        <v/>
      </c>
      <c r="M2554" s="34">
        <f>IF($K2554=1,INDEX(Mensal!$D$2:$D$245,MATCH($I2554,Mensal!$A$2:$A$245,0)),"")</f>
        <v/>
      </c>
      <c r="N2554" s="34">
        <f>IF($K2554=1,L2554-M2554,"")</f>
        <v/>
      </c>
      <c r="O2554" s="34" t="n">
        <v>0.00052461</v>
      </c>
      <c r="P2554" s="34">
        <f>IF($J2554=1,LN(1+O2554),"")</f>
        <v/>
      </c>
      <c r="Q2554" s="34">
        <f>IF($J2554=1,LN(R2555/R2554),"")</f>
        <v/>
      </c>
      <c r="R2554" s="32" t="n">
        <v>3.1771</v>
      </c>
      <c r="S2554" s="35" t="n">
        <v>13.173</v>
      </c>
      <c r="T2554" s="18" t="n">
        <v>57635.42</v>
      </c>
      <c r="U2554" s="18" t="n"/>
      <c r="V2554" s="18" t="n"/>
      <c r="W2554" s="18" t="n"/>
      <c r="X2554" s="35" t="n"/>
      <c r="Y2554" s="35" t="n">
        <v>13.173</v>
      </c>
    </row>
    <row r="2555">
      <c r="A2555" s="25" t="n">
        <v>42591</v>
      </c>
      <c r="B2555" s="18" t="n">
        <v>57689.41</v>
      </c>
      <c r="C2555" s="31" t="n"/>
      <c r="D2555" s="32" t="n"/>
      <c r="E2555" s="33" t="n">
        <v>0.5873</v>
      </c>
      <c r="F2555" t="inlineStr">
        <is>
          <t>Up</t>
        </is>
      </c>
      <c r="G2555" t="inlineStr">
        <is>
          <t>Down</t>
        </is>
      </c>
      <c r="H2555" t="inlineStr">
        <is>
          <t>EU_JD</t>
        </is>
      </c>
      <c r="I2555" t="inlineStr">
        <is>
          <t>2016-08</t>
        </is>
      </c>
      <c r="J2555" t="n">
        <v>1</v>
      </c>
      <c r="K2555" t="n">
        <v>1</v>
      </c>
      <c r="L2555" s="34">
        <f>IF($J2555=1,LN(B2556/B2555),"")</f>
        <v/>
      </c>
      <c r="M2555" s="34">
        <f>IF($K2555=1,INDEX(Mensal!$D$2:$D$245,MATCH($I2555,Mensal!$A$2:$A$245,0)),"")</f>
        <v/>
      </c>
      <c r="N2555" s="34">
        <f>IF($K2555=1,L2555-M2555,"")</f>
        <v/>
      </c>
      <c r="O2555" s="34" t="n">
        <v>0.00052461</v>
      </c>
      <c r="P2555" s="34">
        <f>IF($J2555=1,LN(1+O2555),"")</f>
        <v/>
      </c>
      <c r="Q2555" s="34">
        <f>IF($J2555=1,LN(R2556/R2555),"")</f>
        <v/>
      </c>
      <c r="R2555" s="32" t="n">
        <v>3.1503</v>
      </c>
      <c r="S2555" s="35" t="n">
        <v>13.094</v>
      </c>
      <c r="T2555" s="18" t="n">
        <v>57689.41</v>
      </c>
      <c r="U2555" s="18" t="n"/>
      <c r="V2555" s="18" t="n"/>
      <c r="W2555" s="18" t="n"/>
      <c r="X2555" s="35" t="n"/>
      <c r="Y2555" s="35" t="n">
        <v>13.094</v>
      </c>
    </row>
    <row r="2556">
      <c r="A2556" s="25" t="n">
        <v>42592</v>
      </c>
      <c r="B2556" s="18" t="n">
        <v>56919.77</v>
      </c>
      <c r="C2556" s="31" t="n"/>
      <c r="D2556" s="32" t="n"/>
      <c r="E2556" s="33" t="n">
        <v>0.5863</v>
      </c>
      <c r="F2556" t="inlineStr">
        <is>
          <t>Up</t>
        </is>
      </c>
      <c r="G2556" t="inlineStr">
        <is>
          <t>Down</t>
        </is>
      </c>
      <c r="H2556" t="inlineStr">
        <is>
          <t>EU_JD</t>
        </is>
      </c>
      <c r="I2556" t="inlineStr">
        <is>
          <t>2016-08</t>
        </is>
      </c>
      <c r="J2556" t="n">
        <v>1</v>
      </c>
      <c r="K2556" t="n">
        <v>1</v>
      </c>
      <c r="L2556" s="34">
        <f>IF($J2556=1,LN(B2557/B2556),"")</f>
        <v/>
      </c>
      <c r="M2556" s="34">
        <f>IF($K2556=1,INDEX(Mensal!$D$2:$D$245,MATCH($I2556,Mensal!$A$2:$A$245,0)),"")</f>
        <v/>
      </c>
      <c r="N2556" s="34">
        <f>IF($K2556=1,L2556-M2556,"")</f>
        <v/>
      </c>
      <c r="O2556" s="34" t="n">
        <v>0.00052461</v>
      </c>
      <c r="P2556" s="34">
        <f>IF($J2556=1,LN(1+O2556),"")</f>
        <v/>
      </c>
      <c r="Q2556" s="34">
        <f>IF($J2556=1,LN(R2557/R2556),"")</f>
        <v/>
      </c>
      <c r="R2556" s="32" t="n">
        <v>3.1302</v>
      </c>
      <c r="S2556" s="35" t="n">
        <v>13.091</v>
      </c>
      <c r="T2556" s="18" t="n">
        <v>56919.77</v>
      </c>
      <c r="U2556" s="18" t="n"/>
      <c r="V2556" s="18" t="n"/>
      <c r="W2556" s="18" t="n"/>
      <c r="X2556" s="35" t="n"/>
      <c r="Y2556" s="35" t="n">
        <v>13.091</v>
      </c>
    </row>
    <row r="2557">
      <c r="A2557" s="25" t="n">
        <v>42593</v>
      </c>
      <c r="B2557" s="18" t="n">
        <v>58299.57</v>
      </c>
      <c r="C2557" s="31" t="n"/>
      <c r="D2557" s="32" t="n"/>
      <c r="E2557" s="33" t="n">
        <v>0.552</v>
      </c>
      <c r="F2557" t="inlineStr">
        <is>
          <t>Up</t>
        </is>
      </c>
      <c r="G2557" t="inlineStr">
        <is>
          <t>Down</t>
        </is>
      </c>
      <c r="H2557" t="inlineStr">
        <is>
          <t>EU_JD</t>
        </is>
      </c>
      <c r="I2557" t="inlineStr">
        <is>
          <t>2016-08</t>
        </is>
      </c>
      <c r="J2557" t="n">
        <v>1</v>
      </c>
      <c r="K2557" t="n">
        <v>1</v>
      </c>
      <c r="L2557" s="34">
        <f>IF($J2557=1,LN(B2558/B2557),"")</f>
        <v/>
      </c>
      <c r="M2557" s="34">
        <f>IF($K2557=1,INDEX(Mensal!$D$2:$D$245,MATCH($I2557,Mensal!$A$2:$A$245,0)),"")</f>
        <v/>
      </c>
      <c r="N2557" s="34">
        <f>IF($K2557=1,L2557-M2557,"")</f>
        <v/>
      </c>
      <c r="O2557" s="34" t="n">
        <v>0.00052461</v>
      </c>
      <c r="P2557" s="34">
        <f>IF($J2557=1,LN(1+O2557),"")</f>
        <v/>
      </c>
      <c r="Q2557" s="34">
        <f>IF($J2557=1,LN(R2558/R2557),"")</f>
        <v/>
      </c>
      <c r="R2557" s="32" t="n">
        <v>3.1364</v>
      </c>
      <c r="S2557" s="35" t="n">
        <v>13.102</v>
      </c>
      <c r="T2557" s="18" t="n">
        <v>58299.57</v>
      </c>
      <c r="U2557" s="18" t="n"/>
      <c r="V2557" s="18" t="n"/>
      <c r="W2557" s="18" t="n"/>
      <c r="X2557" s="35" t="n"/>
      <c r="Y2557" s="35" t="n">
        <v>13.102</v>
      </c>
    </row>
    <row r="2558">
      <c r="A2558" s="25" t="n">
        <v>42594</v>
      </c>
      <c r="B2558" s="18" t="n">
        <v>58298.4</v>
      </c>
      <c r="C2558" s="31" t="n"/>
      <c r="D2558" s="32" t="n"/>
      <c r="E2558" s="33" t="n">
        <v>0.5204</v>
      </c>
      <c r="F2558" t="inlineStr">
        <is>
          <t>Up</t>
        </is>
      </c>
      <c r="G2558" t="inlineStr">
        <is>
          <t>Down</t>
        </is>
      </c>
      <c r="H2558" t="inlineStr">
        <is>
          <t>EU_JD</t>
        </is>
      </c>
      <c r="I2558" t="inlineStr">
        <is>
          <t>2016-08</t>
        </is>
      </c>
      <c r="J2558" t="n">
        <v>1</v>
      </c>
      <c r="K2558" t="n">
        <v>1</v>
      </c>
      <c r="L2558" s="34">
        <f>IF($J2558=1,LN(B2559/B2558),"")</f>
        <v/>
      </c>
      <c r="M2558" s="34">
        <f>IF($K2558=1,INDEX(Mensal!$D$2:$D$245,MATCH($I2558,Mensal!$A$2:$A$245,0)),"")</f>
        <v/>
      </c>
      <c r="N2558" s="34">
        <f>IF($K2558=1,L2558-M2558,"")</f>
        <v/>
      </c>
      <c r="O2558" s="34" t="n">
        <v>0.00052461</v>
      </c>
      <c r="P2558" s="34">
        <f>IF($J2558=1,LN(1+O2558),"")</f>
        <v/>
      </c>
      <c r="Q2558" s="34">
        <f>IF($J2558=1,LN(R2559/R2558),"")</f>
        <v/>
      </c>
      <c r="R2558" s="32" t="n">
        <v>3.1602</v>
      </c>
      <c r="S2558" s="35" t="n">
        <v>13.093</v>
      </c>
      <c r="T2558" s="18" t="n">
        <v>58298.4</v>
      </c>
      <c r="U2558" s="18" t="n"/>
      <c r="V2558" s="18" t="n"/>
      <c r="W2558" s="18" t="n"/>
      <c r="X2558" s="35" t="n"/>
      <c r="Y2558" s="35" t="n">
        <v>13.093</v>
      </c>
    </row>
    <row r="2559">
      <c r="A2559" s="25" t="n">
        <v>42597</v>
      </c>
      <c r="B2559" s="18" t="n">
        <v>59145.97</v>
      </c>
      <c r="C2559" s="31" t="n"/>
      <c r="D2559" s="32" t="n"/>
      <c r="E2559" s="33" t="n">
        <v>0.5017</v>
      </c>
      <c r="F2559" t="inlineStr">
        <is>
          <t>Up</t>
        </is>
      </c>
      <c r="G2559" t="inlineStr">
        <is>
          <t>Down</t>
        </is>
      </c>
      <c r="H2559" t="inlineStr">
        <is>
          <t>EU_JD</t>
        </is>
      </c>
      <c r="I2559" t="inlineStr">
        <is>
          <t>2016-08</t>
        </is>
      </c>
      <c r="J2559" t="n">
        <v>1</v>
      </c>
      <c r="K2559" t="n">
        <v>1</v>
      </c>
      <c r="L2559" s="34">
        <f>IF($J2559=1,LN(B2560/B2559),"")</f>
        <v/>
      </c>
      <c r="M2559" s="34">
        <f>IF($K2559=1,INDEX(Mensal!$D$2:$D$245,MATCH($I2559,Mensal!$A$2:$A$245,0)),"")</f>
        <v/>
      </c>
      <c r="N2559" s="34">
        <f>IF($K2559=1,L2559-M2559,"")</f>
        <v/>
      </c>
      <c r="O2559" s="34" t="n">
        <v>0.00052461</v>
      </c>
      <c r="P2559" s="34">
        <f>IF($J2559=1,LN(1+O2559),"")</f>
        <v/>
      </c>
      <c r="Q2559" s="34">
        <f>IF($J2559=1,LN(R2560/R2559),"")</f>
        <v/>
      </c>
      <c r="R2559" s="32" t="n">
        <v>3.1672</v>
      </c>
      <c r="S2559" s="35" t="n">
        <v>13.087</v>
      </c>
      <c r="T2559" s="18" t="n">
        <v>59145.97</v>
      </c>
      <c r="U2559" s="18" t="n"/>
      <c r="V2559" s="18" t="n"/>
      <c r="W2559" s="18" t="n"/>
      <c r="X2559" s="35" t="n"/>
      <c r="Y2559" s="35" t="n">
        <v>13.087</v>
      </c>
    </row>
    <row r="2560">
      <c r="A2560" s="25" t="n">
        <v>42598</v>
      </c>
      <c r="B2560" s="18" t="n">
        <v>58855.43</v>
      </c>
      <c r="C2560" s="31" t="n"/>
      <c r="D2560" s="32" t="n"/>
      <c r="E2560" s="33" t="n">
        <v>0.472</v>
      </c>
      <c r="F2560" t="inlineStr">
        <is>
          <t>Up</t>
        </is>
      </c>
      <c r="G2560" t="inlineStr">
        <is>
          <t>Down</t>
        </is>
      </c>
      <c r="H2560" t="inlineStr">
        <is>
          <t>EU_JD</t>
        </is>
      </c>
      <c r="I2560" t="inlineStr">
        <is>
          <t>2016-08</t>
        </is>
      </c>
      <c r="J2560" t="n">
        <v>1</v>
      </c>
      <c r="K2560" t="n">
        <v>1</v>
      </c>
      <c r="L2560" s="34">
        <f>IF($J2560=1,LN(B2561/B2560),"")</f>
        <v/>
      </c>
      <c r="M2560" s="34">
        <f>IF($K2560=1,INDEX(Mensal!$D$2:$D$245,MATCH($I2560,Mensal!$A$2:$A$245,0)),"")</f>
        <v/>
      </c>
      <c r="N2560" s="34">
        <f>IF($K2560=1,L2560-M2560,"")</f>
        <v/>
      </c>
      <c r="O2560" s="34" t="n">
        <v>0.00052461</v>
      </c>
      <c r="P2560" s="34">
        <f>IF($J2560=1,LN(1+O2560),"")</f>
        <v/>
      </c>
      <c r="Q2560" s="34">
        <f>IF($J2560=1,LN(R2561/R2560),"")</f>
        <v/>
      </c>
      <c r="R2560" s="32" t="n">
        <v>3.1749</v>
      </c>
      <c r="S2560" s="35" t="n">
        <v>13.119</v>
      </c>
      <c r="T2560" s="18" t="n">
        <v>58855.43</v>
      </c>
      <c r="U2560" s="18" t="n"/>
      <c r="V2560" s="18" t="n"/>
      <c r="W2560" s="18" t="n"/>
      <c r="X2560" s="35" t="n"/>
      <c r="Y2560" s="35" t="n">
        <v>13.119</v>
      </c>
    </row>
    <row r="2561">
      <c r="A2561" s="25" t="n">
        <v>42599</v>
      </c>
      <c r="B2561" s="18" t="n">
        <v>59323.83</v>
      </c>
      <c r="C2561" s="31" t="n"/>
      <c r="D2561" s="32" t="n"/>
      <c r="E2561" s="33" t="n">
        <v>0.4342</v>
      </c>
      <c r="F2561" t="inlineStr">
        <is>
          <t>Up</t>
        </is>
      </c>
      <c r="G2561" t="inlineStr">
        <is>
          <t>Down</t>
        </is>
      </c>
      <c r="H2561" t="inlineStr">
        <is>
          <t>EU_JD</t>
        </is>
      </c>
      <c r="I2561" t="inlineStr">
        <is>
          <t>2016-08</t>
        </is>
      </c>
      <c r="J2561" t="n">
        <v>1</v>
      </c>
      <c r="K2561" t="n">
        <v>1</v>
      </c>
      <c r="L2561" s="34">
        <f>IF($J2561=1,LN(B2562/B2561),"")</f>
        <v/>
      </c>
      <c r="M2561" s="34">
        <f>IF($K2561=1,INDEX(Mensal!$D$2:$D$245,MATCH($I2561,Mensal!$A$2:$A$245,0)),"")</f>
        <v/>
      </c>
      <c r="N2561" s="34">
        <f>IF($K2561=1,L2561-M2561,"")</f>
        <v/>
      </c>
      <c r="O2561" s="34" t="n">
        <v>0.00052461</v>
      </c>
      <c r="P2561" s="34">
        <f>IF($J2561=1,LN(1+O2561),"")</f>
        <v/>
      </c>
      <c r="Q2561" s="34">
        <f>IF($J2561=1,LN(R2562/R2561),"")</f>
        <v/>
      </c>
      <c r="R2561" s="32" t="n">
        <v>3.2248</v>
      </c>
      <c r="S2561" s="35" t="n">
        <v>13.118</v>
      </c>
      <c r="T2561" s="18" t="n">
        <v>59323.83</v>
      </c>
      <c r="U2561" s="18" t="n"/>
      <c r="V2561" s="18" t="n"/>
      <c r="W2561" s="18" t="n"/>
      <c r="X2561" s="35" t="n"/>
      <c r="Y2561" s="35" t="n">
        <v>13.118</v>
      </c>
    </row>
    <row r="2562">
      <c r="A2562" s="25" t="n">
        <v>42600</v>
      </c>
      <c r="B2562" s="18" t="n">
        <v>59166.01</v>
      </c>
      <c r="C2562" s="31" t="n"/>
      <c r="D2562" s="32" t="n"/>
      <c r="E2562" s="33" t="n">
        <v>0.4035</v>
      </c>
      <c r="F2562" t="inlineStr">
        <is>
          <t>Up</t>
        </is>
      </c>
      <c r="G2562" t="inlineStr">
        <is>
          <t>Down</t>
        </is>
      </c>
      <c r="H2562" t="inlineStr">
        <is>
          <t>EU_JD</t>
        </is>
      </c>
      <c r="I2562" t="inlineStr">
        <is>
          <t>2016-08</t>
        </is>
      </c>
      <c r="J2562" t="n">
        <v>1</v>
      </c>
      <c r="K2562" t="n">
        <v>1</v>
      </c>
      <c r="L2562" s="34">
        <f>IF($J2562=1,LN(B2563/B2562),"")</f>
        <v/>
      </c>
      <c r="M2562" s="34">
        <f>IF($K2562=1,INDEX(Mensal!$D$2:$D$245,MATCH($I2562,Mensal!$A$2:$A$245,0)),"")</f>
        <v/>
      </c>
      <c r="N2562" s="34">
        <f>IF($K2562=1,L2562-M2562,"")</f>
        <v/>
      </c>
      <c r="O2562" s="34" t="n">
        <v>0.00052461</v>
      </c>
      <c r="P2562" s="34">
        <f>IF($J2562=1,LN(1+O2562),"")</f>
        <v/>
      </c>
      <c r="Q2562" s="34">
        <f>IF($J2562=1,LN(R2563/R2562),"")</f>
        <v/>
      </c>
      <c r="R2562" s="32" t="n">
        <v>3.2215</v>
      </c>
      <c r="S2562" s="35" t="n">
        <v>13.156</v>
      </c>
      <c r="T2562" s="18" t="n">
        <v>59166.01</v>
      </c>
      <c r="U2562" s="18" t="n"/>
      <c r="V2562" s="18" t="n"/>
      <c r="W2562" s="18" t="n"/>
      <c r="X2562" s="35" t="n"/>
      <c r="Y2562" s="35" t="n">
        <v>13.156</v>
      </c>
    </row>
    <row r="2563">
      <c r="A2563" s="25" t="n">
        <v>42601</v>
      </c>
      <c r="B2563" s="18" t="n">
        <v>59098.92</v>
      </c>
      <c r="C2563" s="31" t="n"/>
      <c r="D2563" s="32" t="n"/>
      <c r="E2563" s="33" t="n">
        <v>0.4024</v>
      </c>
      <c r="F2563" t="inlineStr">
        <is>
          <t>Up</t>
        </is>
      </c>
      <c r="G2563" t="inlineStr">
        <is>
          <t>Down</t>
        </is>
      </c>
      <c r="H2563" t="inlineStr">
        <is>
          <t>EU_JD</t>
        </is>
      </c>
      <c r="I2563" t="inlineStr">
        <is>
          <t>2016-08</t>
        </is>
      </c>
      <c r="J2563" t="n">
        <v>1</v>
      </c>
      <c r="K2563" t="n">
        <v>1</v>
      </c>
      <c r="L2563" s="34">
        <f>IF($J2563=1,LN(B2564/B2563),"")</f>
        <v/>
      </c>
      <c r="M2563" s="34">
        <f>IF($K2563=1,INDEX(Mensal!$D$2:$D$245,MATCH($I2563,Mensal!$A$2:$A$245,0)),"")</f>
        <v/>
      </c>
      <c r="N2563" s="34">
        <f>IF($K2563=1,L2563-M2563,"")</f>
        <v/>
      </c>
      <c r="O2563" s="34" t="n">
        <v>0.00052461</v>
      </c>
      <c r="P2563" s="34">
        <f>IF($J2563=1,LN(1+O2563),"")</f>
        <v/>
      </c>
      <c r="Q2563" s="34">
        <f>IF($J2563=1,LN(R2564/R2563),"")</f>
        <v/>
      </c>
      <c r="R2563" s="32" t="n">
        <v>3.2267</v>
      </c>
      <c r="S2563" s="35" t="n">
        <v>13.116</v>
      </c>
      <c r="T2563" s="18" t="n">
        <v>59098.92</v>
      </c>
      <c r="U2563" s="18" t="n"/>
      <c r="V2563" s="18" t="n"/>
      <c r="W2563" s="18" t="n"/>
      <c r="X2563" s="35" t="n"/>
      <c r="Y2563" s="35" t="n">
        <v>13.116</v>
      </c>
    </row>
    <row r="2564">
      <c r="A2564" s="25" t="n">
        <v>42604</v>
      </c>
      <c r="B2564" s="18" t="n">
        <v>57781.24</v>
      </c>
      <c r="C2564" s="31" t="n"/>
      <c r="D2564" s="32" t="n"/>
      <c r="E2564" s="33" t="n">
        <v>0.4062</v>
      </c>
      <c r="F2564" t="inlineStr">
        <is>
          <t>Up</t>
        </is>
      </c>
      <c r="G2564" t="inlineStr">
        <is>
          <t>Down</t>
        </is>
      </c>
      <c r="H2564" t="inlineStr">
        <is>
          <t>EU_JD</t>
        </is>
      </c>
      <c r="I2564" t="inlineStr">
        <is>
          <t>2016-08</t>
        </is>
      </c>
      <c r="J2564" t="n">
        <v>1</v>
      </c>
      <c r="K2564" t="n">
        <v>1</v>
      </c>
      <c r="L2564" s="34">
        <f>IF($J2564=1,LN(B2565/B2564),"")</f>
        <v/>
      </c>
      <c r="M2564" s="34">
        <f>IF($K2564=1,INDEX(Mensal!$D$2:$D$245,MATCH($I2564,Mensal!$A$2:$A$245,0)),"")</f>
        <v/>
      </c>
      <c r="N2564" s="34">
        <f>IF($K2564=1,L2564-M2564,"")</f>
        <v/>
      </c>
      <c r="O2564" s="34" t="n">
        <v>0.00052461</v>
      </c>
      <c r="P2564" s="34">
        <f>IF($J2564=1,LN(1+O2564),"")</f>
        <v/>
      </c>
      <c r="Q2564" s="34">
        <f>IF($J2564=1,LN(R2565/R2564),"")</f>
        <v/>
      </c>
      <c r="R2564" s="32" t="n">
        <v>3.2163</v>
      </c>
      <c r="S2564" s="35" t="n">
        <v>13.119</v>
      </c>
      <c r="T2564" s="18" t="n">
        <v>57781.24</v>
      </c>
      <c r="U2564" s="18" t="n"/>
      <c r="V2564" s="18" t="n"/>
      <c r="W2564" s="18" t="n"/>
      <c r="X2564" s="35" t="n"/>
      <c r="Y2564" s="35" t="n">
        <v>13.119</v>
      </c>
    </row>
    <row r="2565">
      <c r="A2565" s="25" t="n">
        <v>42605</v>
      </c>
      <c r="B2565" s="18" t="n">
        <v>58020.03</v>
      </c>
      <c r="C2565" s="31" t="n"/>
      <c r="D2565" s="32" t="n"/>
      <c r="E2565" s="33" t="n">
        <v>0.4128</v>
      </c>
      <c r="F2565" t="inlineStr">
        <is>
          <t>Up</t>
        </is>
      </c>
      <c r="G2565" t="inlineStr">
        <is>
          <t>Down</t>
        </is>
      </c>
      <c r="H2565" t="inlineStr">
        <is>
          <t>EU_JD</t>
        </is>
      </c>
      <c r="I2565" t="inlineStr">
        <is>
          <t>2016-08</t>
        </is>
      </c>
      <c r="J2565" t="n">
        <v>1</v>
      </c>
      <c r="K2565" t="n">
        <v>1</v>
      </c>
      <c r="L2565" s="34">
        <f>IF($J2565=1,LN(B2566/B2565),"")</f>
        <v/>
      </c>
      <c r="M2565" s="34">
        <f>IF($K2565=1,INDEX(Mensal!$D$2:$D$245,MATCH($I2565,Mensal!$A$2:$A$245,0)),"")</f>
        <v/>
      </c>
      <c r="N2565" s="34">
        <f>IF($K2565=1,L2565-M2565,"")</f>
        <v/>
      </c>
      <c r="O2565" s="34" t="n">
        <v>0.00052461</v>
      </c>
      <c r="P2565" s="34">
        <f>IF($J2565=1,LN(1+O2565),"")</f>
        <v/>
      </c>
      <c r="Q2565" s="34">
        <f>IF($J2565=1,LN(R2566/R2565),"")</f>
        <v/>
      </c>
      <c r="R2565" s="32" t="n">
        <v>3.2054</v>
      </c>
      <c r="S2565" s="35" t="n">
        <v>13.099</v>
      </c>
      <c r="T2565" s="18" t="n">
        <v>58020.03</v>
      </c>
      <c r="U2565" s="18" t="n"/>
      <c r="V2565" s="18" t="n"/>
      <c r="W2565" s="18" t="n"/>
      <c r="X2565" s="35" t="n"/>
      <c r="Y2565" s="35" t="n">
        <v>13.099</v>
      </c>
    </row>
    <row r="2566">
      <c r="A2566" s="25" t="n">
        <v>42606</v>
      </c>
      <c r="B2566" s="18" t="n">
        <v>57717.88</v>
      </c>
      <c r="C2566" s="31" t="n"/>
      <c r="D2566" s="32" t="n"/>
      <c r="E2566" s="33" t="n">
        <v>0.4342</v>
      </c>
      <c r="F2566" t="inlineStr">
        <is>
          <t>Up</t>
        </is>
      </c>
      <c r="G2566" t="inlineStr">
        <is>
          <t>Down</t>
        </is>
      </c>
      <c r="H2566" t="inlineStr">
        <is>
          <t>EU_JD</t>
        </is>
      </c>
      <c r="I2566" t="inlineStr">
        <is>
          <t>2016-08</t>
        </is>
      </c>
      <c r="J2566" t="n">
        <v>1</v>
      </c>
      <c r="K2566" t="n">
        <v>1</v>
      </c>
      <c r="L2566" s="34">
        <f>IF($J2566=1,LN(B2567/B2566),"")</f>
        <v/>
      </c>
      <c r="M2566" s="34">
        <f>IF($K2566=1,INDEX(Mensal!$D$2:$D$245,MATCH($I2566,Mensal!$A$2:$A$245,0)),"")</f>
        <v/>
      </c>
      <c r="N2566" s="34">
        <f>IF($K2566=1,L2566-M2566,"")</f>
        <v/>
      </c>
      <c r="O2566" s="34" t="n">
        <v>0.00052461</v>
      </c>
      <c r="P2566" s="34">
        <f>IF($J2566=1,LN(1+O2566),"")</f>
        <v/>
      </c>
      <c r="Q2566" s="34">
        <f>IF($J2566=1,LN(R2567/R2566),"")</f>
        <v/>
      </c>
      <c r="R2566" s="32" t="n">
        <v>3.2372</v>
      </c>
      <c r="S2566" s="35" t="n">
        <v>13.119</v>
      </c>
      <c r="T2566" s="18" t="n">
        <v>57717.88</v>
      </c>
      <c r="U2566" s="18" t="n"/>
      <c r="V2566" s="18" t="n"/>
      <c r="W2566" s="18" t="n"/>
      <c r="X2566" s="35" t="n"/>
      <c r="Y2566" s="35" t="n">
        <v>13.119</v>
      </c>
    </row>
    <row r="2567">
      <c r="A2567" s="25" t="n">
        <v>42607</v>
      </c>
      <c r="B2567" s="18" t="n">
        <v>57722.13</v>
      </c>
      <c r="C2567" s="31" t="n"/>
      <c r="D2567" s="32" t="n"/>
      <c r="E2567" s="33" t="n">
        <v>0.4567</v>
      </c>
      <c r="F2567" t="inlineStr">
        <is>
          <t>Up</t>
        </is>
      </c>
      <c r="G2567" t="inlineStr">
        <is>
          <t>Down</t>
        </is>
      </c>
      <c r="H2567" t="inlineStr">
        <is>
          <t>EU_JD</t>
        </is>
      </c>
      <c r="I2567" t="inlineStr">
        <is>
          <t>2016-08</t>
        </is>
      </c>
      <c r="J2567" t="n">
        <v>1</v>
      </c>
      <c r="K2567" t="n">
        <v>1</v>
      </c>
      <c r="L2567" s="34">
        <f>IF($J2567=1,LN(B2568/B2567),"")</f>
        <v/>
      </c>
      <c r="M2567" s="34">
        <f>IF($K2567=1,INDEX(Mensal!$D$2:$D$245,MATCH($I2567,Mensal!$A$2:$A$245,0)),"")</f>
        <v/>
      </c>
      <c r="N2567" s="34">
        <f>IF($K2567=1,L2567-M2567,"")</f>
        <v/>
      </c>
      <c r="O2567" s="34" t="n">
        <v>0.00052461</v>
      </c>
      <c r="P2567" s="34">
        <f>IF($J2567=1,LN(1+O2567),"")</f>
        <v/>
      </c>
      <c r="Q2567" s="34">
        <f>IF($J2567=1,LN(R2568/R2567),"")</f>
        <v/>
      </c>
      <c r="R2567" s="32" t="n">
        <v>3.2319</v>
      </c>
      <c r="S2567" s="35" t="n">
        <v>13.118</v>
      </c>
      <c r="T2567" s="18" t="n">
        <v>57722.13</v>
      </c>
      <c r="U2567" s="18" t="n"/>
      <c r="V2567" s="18" t="n"/>
      <c r="W2567" s="18" t="n"/>
      <c r="X2567" s="35" t="n"/>
      <c r="Y2567" s="35" t="n">
        <v>13.118</v>
      </c>
    </row>
    <row r="2568">
      <c r="A2568" s="25" t="n">
        <v>42608</v>
      </c>
      <c r="B2568" s="18" t="n">
        <v>57716.24</v>
      </c>
      <c r="C2568" s="31" t="n"/>
      <c r="D2568" s="32" t="n"/>
      <c r="E2568" s="33" t="n">
        <v>0.478</v>
      </c>
      <c r="F2568" t="inlineStr">
        <is>
          <t>Up</t>
        </is>
      </c>
      <c r="G2568" t="inlineStr">
        <is>
          <t>Down</t>
        </is>
      </c>
      <c r="H2568" t="inlineStr">
        <is>
          <t>EU_JD</t>
        </is>
      </c>
      <c r="I2568" t="inlineStr">
        <is>
          <t>2016-08</t>
        </is>
      </c>
      <c r="J2568" t="n">
        <v>1</v>
      </c>
      <c r="K2568" t="n">
        <v>1</v>
      </c>
      <c r="L2568" s="34">
        <f>IF($J2568=1,LN(B2569/B2568),"")</f>
        <v/>
      </c>
      <c r="M2568" s="34">
        <f>IF($K2568=1,INDEX(Mensal!$D$2:$D$245,MATCH($I2568,Mensal!$A$2:$A$245,0)),"")</f>
        <v/>
      </c>
      <c r="N2568" s="34">
        <f>IF($K2568=1,L2568-M2568,"")</f>
        <v/>
      </c>
      <c r="O2568" s="34" t="n">
        <v>0.00052461</v>
      </c>
      <c r="P2568" s="34">
        <f>IF($J2568=1,LN(1+O2568),"")</f>
        <v/>
      </c>
      <c r="Q2568" s="34">
        <f>IF($J2568=1,LN(R2569/R2568),"")</f>
        <v/>
      </c>
      <c r="R2568" s="32" t="n">
        <v>3.2153</v>
      </c>
      <c r="S2568" s="35" t="n">
        <v>13.158</v>
      </c>
      <c r="T2568" s="18" t="n">
        <v>57716.24</v>
      </c>
      <c r="U2568" s="18" t="n"/>
      <c r="V2568" s="18" t="n"/>
      <c r="W2568" s="18" t="n"/>
      <c r="X2568" s="35" t="n"/>
      <c r="Y2568" s="35" t="n">
        <v>13.158</v>
      </c>
    </row>
    <row r="2569">
      <c r="A2569" s="25" t="n">
        <v>42611</v>
      </c>
      <c r="B2569" s="18" t="n">
        <v>58610.39</v>
      </c>
      <c r="C2569" s="31" t="n"/>
      <c r="D2569" s="32" t="n"/>
      <c r="E2569" s="33" t="n">
        <v>0.497</v>
      </c>
      <c r="F2569" t="inlineStr">
        <is>
          <t>Up</t>
        </is>
      </c>
      <c r="G2569" t="inlineStr">
        <is>
          <t>Down</t>
        </is>
      </c>
      <c r="H2569" t="inlineStr">
        <is>
          <t>EU_JD</t>
        </is>
      </c>
      <c r="I2569" t="inlineStr">
        <is>
          <t>2016-08</t>
        </is>
      </c>
      <c r="J2569" t="n">
        <v>1</v>
      </c>
      <c r="K2569" t="n">
        <v>1</v>
      </c>
      <c r="L2569" s="34">
        <f>IF($J2569=1,LN(B2570/B2569),"")</f>
        <v/>
      </c>
      <c r="M2569" s="34">
        <f>IF($K2569=1,INDEX(Mensal!$D$2:$D$245,MATCH($I2569,Mensal!$A$2:$A$245,0)),"")</f>
        <v/>
      </c>
      <c r="N2569" s="34">
        <f>IF($K2569=1,L2569-M2569,"")</f>
        <v/>
      </c>
      <c r="O2569" s="34" t="n">
        <v>0.00052461</v>
      </c>
      <c r="P2569" s="34">
        <f>IF($J2569=1,LN(1+O2569),"")</f>
        <v/>
      </c>
      <c r="Q2569" s="34">
        <f>IF($J2569=1,LN(R2570/R2569),"")</f>
        <v/>
      </c>
      <c r="R2569" s="32" t="n">
        <v>3.2613</v>
      </c>
      <c r="S2569" s="35" t="n">
        <v>13.163</v>
      </c>
      <c r="T2569" s="18" t="n">
        <v>58610.39</v>
      </c>
      <c r="U2569" s="18" t="n"/>
      <c r="V2569" s="18" t="n"/>
      <c r="W2569" s="18" t="n"/>
      <c r="X2569" s="35" t="n"/>
      <c r="Y2569" s="35" t="n">
        <v>13.163</v>
      </c>
    </row>
    <row r="2570">
      <c r="A2570" s="25" t="n">
        <v>42612</v>
      </c>
      <c r="B2570" s="18" t="n">
        <v>58575.42</v>
      </c>
      <c r="C2570" s="31" t="n"/>
      <c r="D2570" s="32" t="n"/>
      <c r="E2570" s="33" t="n">
        <v>0.5141</v>
      </c>
      <c r="F2570" t="inlineStr">
        <is>
          <t>Up</t>
        </is>
      </c>
      <c r="G2570" t="inlineStr">
        <is>
          <t>Down</t>
        </is>
      </c>
      <c r="H2570" t="inlineStr">
        <is>
          <t>EU_JD</t>
        </is>
      </c>
      <c r="I2570" t="inlineStr">
        <is>
          <t>2016-08</t>
        </is>
      </c>
      <c r="J2570" t="n">
        <v>1</v>
      </c>
      <c r="K2570" t="n">
        <v>1</v>
      </c>
      <c r="L2570" s="34">
        <f>IF($J2570=1,LN(B2571/B2570),"")</f>
        <v/>
      </c>
      <c r="M2570" s="34">
        <f>IF($K2570=1,INDEX(Mensal!$D$2:$D$245,MATCH($I2570,Mensal!$A$2:$A$245,0)),"")</f>
        <v/>
      </c>
      <c r="N2570" s="34">
        <f>IF($K2570=1,L2570-M2570,"")</f>
        <v/>
      </c>
      <c r="O2570" s="34" t="n">
        <v>0.00052461</v>
      </c>
      <c r="P2570" s="34">
        <f>IF($J2570=1,LN(1+O2570),"")</f>
        <v/>
      </c>
      <c r="Q2570" s="34">
        <f>IF($J2570=1,LN(R2571/R2570),"")</f>
        <v/>
      </c>
      <c r="R2570" s="32" t="n">
        <v>3.2525</v>
      </c>
      <c r="S2570" s="35" t="n">
        <v>13.128</v>
      </c>
      <c r="T2570" s="18" t="n">
        <v>58575.42</v>
      </c>
      <c r="U2570" s="18" t="n"/>
      <c r="V2570" s="18" t="n"/>
      <c r="W2570" s="18" t="n"/>
      <c r="X2570" s="35" t="n"/>
      <c r="Y2570" s="35" t="n">
        <v>13.128</v>
      </c>
    </row>
    <row r="2571">
      <c r="A2571" s="25" t="n">
        <v>42613</v>
      </c>
      <c r="B2571" s="18" t="n">
        <v>57901.1</v>
      </c>
      <c r="C2571" s="31" t="n"/>
      <c r="D2571" s="32" t="n"/>
      <c r="E2571" s="33" t="n">
        <v>0.5284</v>
      </c>
      <c r="F2571" t="inlineStr">
        <is>
          <t>Up</t>
        </is>
      </c>
      <c r="G2571" t="inlineStr">
        <is>
          <t>Down</t>
        </is>
      </c>
      <c r="H2571" t="inlineStr">
        <is>
          <t>EU_JD</t>
        </is>
      </c>
      <c r="I2571" t="inlineStr">
        <is>
          <t>2016-08</t>
        </is>
      </c>
      <c r="J2571" t="n">
        <v>1</v>
      </c>
      <c r="K2571" t="n">
        <v>1</v>
      </c>
      <c r="L2571" s="34">
        <f>IF($J2571=1,LN(B2572/B2571),"")</f>
        <v/>
      </c>
      <c r="M2571" s="34">
        <f>IF($K2571=1,INDEX(Mensal!$D$2:$D$245,MATCH($I2571,Mensal!$A$2:$A$245,0)),"")</f>
        <v/>
      </c>
      <c r="N2571" s="34">
        <f>IF($K2571=1,L2571-M2571,"")</f>
        <v/>
      </c>
      <c r="O2571" s="34" t="n">
        <v>0.00052461</v>
      </c>
      <c r="P2571" s="34">
        <f>IF($J2571=1,LN(1+O2571),"")</f>
        <v/>
      </c>
      <c r="Q2571" s="34">
        <f>IF($J2571=1,LN(R2572/R2571),"")</f>
        <v/>
      </c>
      <c r="R2571" s="32" t="n">
        <v>3.2403</v>
      </c>
      <c r="S2571" s="35" t="n">
        <v>13.12</v>
      </c>
      <c r="T2571" s="18" t="n">
        <v>57901.1</v>
      </c>
      <c r="U2571" s="18" t="n"/>
      <c r="V2571" s="18" t="n"/>
      <c r="W2571" s="18" t="n"/>
      <c r="X2571" s="35" t="n"/>
      <c r="Y2571" s="35" t="n">
        <v>13.12</v>
      </c>
    </row>
    <row r="2572">
      <c r="A2572" s="25" t="n">
        <v>42614</v>
      </c>
      <c r="B2572" s="18" t="n">
        <v>58236.26</v>
      </c>
      <c r="C2572" s="31" t="n"/>
      <c r="D2572" s="32" t="n"/>
      <c r="E2572" s="33" t="n">
        <v>0.548</v>
      </c>
      <c r="F2572" t="inlineStr">
        <is>
          <t>Up</t>
        </is>
      </c>
      <c r="G2572" t="inlineStr">
        <is>
          <t>Down</t>
        </is>
      </c>
      <c r="H2572" t="inlineStr">
        <is>
          <t>EU_JD</t>
        </is>
      </c>
      <c r="I2572" t="inlineStr">
        <is>
          <t>2016-09</t>
        </is>
      </c>
      <c r="J2572" t="n">
        <v>1</v>
      </c>
      <c r="K2572" t="n">
        <v>1</v>
      </c>
      <c r="L2572" s="34">
        <f>IF($J2572=1,LN(B2573/B2572),"")</f>
        <v/>
      </c>
      <c r="M2572" s="34">
        <f>IF($K2572=1,INDEX(Mensal!$D$2:$D$245,MATCH($I2572,Mensal!$A$2:$A$245,0)),"")</f>
        <v/>
      </c>
      <c r="N2572" s="34">
        <f>IF($K2572=1,L2572-M2572,"")</f>
        <v/>
      </c>
      <c r="O2572" s="34" t="n">
        <v>0.00052461</v>
      </c>
      <c r="P2572" s="34">
        <f>IF($J2572=1,LN(1+O2572),"")</f>
        <v/>
      </c>
      <c r="Q2572" s="34">
        <f>IF($J2572=1,LN(R2573/R2572),"")</f>
        <v/>
      </c>
      <c r="R2572" s="32" t="n">
        <v>3.2472</v>
      </c>
      <c r="S2572" s="35" t="n">
        <v>12.971</v>
      </c>
      <c r="T2572" s="18" t="n">
        <v>58236.26</v>
      </c>
      <c r="U2572" s="18" t="n"/>
      <c r="V2572" s="18" t="n"/>
      <c r="W2572" s="18" t="n"/>
      <c r="X2572" s="35" t="n"/>
      <c r="Y2572" s="35" t="n">
        <v>12.971</v>
      </c>
    </row>
    <row r="2573">
      <c r="A2573" s="25" t="n">
        <v>42615</v>
      </c>
      <c r="B2573" s="18" t="n">
        <v>59616.39</v>
      </c>
      <c r="C2573" s="31" t="n"/>
      <c r="D2573" s="32" t="n"/>
      <c r="E2573" s="33" t="n">
        <v>0.5653</v>
      </c>
      <c r="F2573" t="inlineStr">
        <is>
          <t>Up</t>
        </is>
      </c>
      <c r="G2573" t="inlineStr">
        <is>
          <t>Down</t>
        </is>
      </c>
      <c r="H2573" t="inlineStr">
        <is>
          <t>EU_JD</t>
        </is>
      </c>
      <c r="I2573" t="inlineStr">
        <is>
          <t>2016-09</t>
        </is>
      </c>
      <c r="J2573" t="n">
        <v>1</v>
      </c>
      <c r="K2573" t="n">
        <v>1</v>
      </c>
      <c r="L2573" s="34">
        <f>IF($J2573=1,LN(B2574/B2573),"")</f>
        <v/>
      </c>
      <c r="M2573" s="34">
        <f>IF($K2573=1,INDEX(Mensal!$D$2:$D$245,MATCH($I2573,Mensal!$A$2:$A$245,0)),"")</f>
        <v/>
      </c>
      <c r="N2573" s="34">
        <f>IF($K2573=1,L2573-M2573,"")</f>
        <v/>
      </c>
      <c r="O2573" s="34" t="n">
        <v>0.00052461</v>
      </c>
      <c r="P2573" s="34">
        <f>IF($J2573=1,LN(1+O2573),"")</f>
        <v/>
      </c>
      <c r="Q2573" s="34">
        <f>IF($J2573=1,LN(R2574/R2573),"")</f>
        <v/>
      </c>
      <c r="R2573" s="32" t="n">
        <v>3.2431</v>
      </c>
      <c r="S2573" s="35" t="n">
        <v>12.933</v>
      </c>
      <c r="T2573" s="18" t="n">
        <v>59616.39</v>
      </c>
      <c r="U2573" s="18" t="n"/>
      <c r="V2573" s="18" t="n"/>
      <c r="W2573" s="18" t="n"/>
      <c r="X2573" s="35" t="n"/>
      <c r="Y2573" s="35" t="n">
        <v>12.933</v>
      </c>
    </row>
    <row r="2574">
      <c r="A2574" s="25" t="n">
        <v>42618</v>
      </c>
      <c r="B2574" s="18" t="n">
        <v>59566.34</v>
      </c>
      <c r="C2574" s="31" t="n"/>
      <c r="D2574" s="32" t="n"/>
      <c r="E2574" s="33" t="n">
        <v>0.5804</v>
      </c>
      <c r="F2574" t="inlineStr">
        <is>
          <t>Up</t>
        </is>
      </c>
      <c r="G2574" t="inlineStr">
        <is>
          <t>Down</t>
        </is>
      </c>
      <c r="H2574" t="inlineStr">
        <is>
          <t>EU_JD</t>
        </is>
      </c>
      <c r="I2574" t="inlineStr">
        <is>
          <t>2016-09</t>
        </is>
      </c>
      <c r="J2574" t="n">
        <v>1</v>
      </c>
      <c r="K2574" t="n">
        <v>1</v>
      </c>
      <c r="L2574" s="34">
        <f>IF($J2574=1,LN(B2575/B2574),"")</f>
        <v/>
      </c>
      <c r="M2574" s="34">
        <f>IF($K2574=1,INDEX(Mensal!$D$2:$D$245,MATCH($I2574,Mensal!$A$2:$A$245,0)),"")</f>
        <v/>
      </c>
      <c r="N2574" s="34">
        <f>IF($K2574=1,L2574-M2574,"")</f>
        <v/>
      </c>
      <c r="O2574" s="34" t="n">
        <v>0.00052461</v>
      </c>
      <c r="P2574" s="34">
        <f>IF($J2574=1,LN(1+O2574),"")</f>
        <v/>
      </c>
      <c r="Q2574" s="34">
        <f>IF($J2574=1,LN(R2575/R2574),"")</f>
        <v/>
      </c>
      <c r="R2574" s="32" t="n">
        <v>3.2721</v>
      </c>
      <c r="S2574" s="35" t="n">
        <v>12.918</v>
      </c>
      <c r="T2574" s="18" t="n">
        <v>59566.34</v>
      </c>
      <c r="U2574" s="18" t="n"/>
      <c r="V2574" s="18" t="n"/>
      <c r="W2574" s="18" t="n"/>
      <c r="X2574" s="35" t="n"/>
      <c r="Y2574" s="35" t="n">
        <v>12.918</v>
      </c>
    </row>
    <row r="2575">
      <c r="A2575" s="25" t="n">
        <v>42619</v>
      </c>
      <c r="B2575" s="18" t="n">
        <v>60129.43</v>
      </c>
      <c r="C2575" s="31" t="n"/>
      <c r="D2575" s="32" t="n"/>
      <c r="E2575" s="33" t="n">
        <v>0.6012999999999999</v>
      </c>
      <c r="F2575" t="inlineStr">
        <is>
          <t>Up</t>
        </is>
      </c>
      <c r="G2575" t="inlineStr">
        <is>
          <t>Down</t>
        </is>
      </c>
      <c r="H2575" t="inlineStr">
        <is>
          <t>EU_JD</t>
        </is>
      </c>
      <c r="I2575" t="inlineStr">
        <is>
          <t>2016-09</t>
        </is>
      </c>
      <c r="J2575" t="n">
        <v>1</v>
      </c>
      <c r="K2575" t="n">
        <v>1</v>
      </c>
      <c r="L2575" s="34">
        <f>IF($J2575=1,LN(B2576/B2575),"")</f>
        <v/>
      </c>
      <c r="M2575" s="34">
        <f>IF($K2575=1,INDEX(Mensal!$D$2:$D$245,MATCH($I2575,Mensal!$A$2:$A$245,0)),"")</f>
        <v/>
      </c>
      <c r="N2575" s="34">
        <f>IF($K2575=1,L2575-M2575,"")</f>
        <v/>
      </c>
      <c r="O2575" s="34" t="n">
        <v>0.00052461</v>
      </c>
      <c r="P2575" s="34">
        <f>IF($J2575=1,LN(1+O2575),"")</f>
        <v/>
      </c>
      <c r="Q2575" s="34">
        <f>IF($J2575=1,LN(R2576/R2575),"")</f>
        <v/>
      </c>
      <c r="R2575" s="32" t="n">
        <v>3.2452</v>
      </c>
      <c r="S2575" s="35" t="n">
        <v>12.88</v>
      </c>
      <c r="T2575" s="18" t="n">
        <v>60129.43</v>
      </c>
      <c r="U2575" s="18" t="n"/>
      <c r="V2575" s="18" t="n"/>
      <c r="W2575" s="18" t="n"/>
      <c r="X2575" s="35" t="n"/>
      <c r="Y2575" s="35" t="n">
        <v>12.88</v>
      </c>
    </row>
    <row r="2576">
      <c r="A2576" s="25" t="n">
        <v>42621</v>
      </c>
      <c r="B2576" s="18" t="n">
        <v>60231.65</v>
      </c>
      <c r="C2576" s="31" t="n"/>
      <c r="D2576" s="32" t="n"/>
      <c r="E2576" s="33" t="n">
        <v>0.6243</v>
      </c>
      <c r="F2576" t="inlineStr">
        <is>
          <t>Up</t>
        </is>
      </c>
      <c r="G2576" t="inlineStr">
        <is>
          <t>Down</t>
        </is>
      </c>
      <c r="H2576" t="inlineStr">
        <is>
          <t>EU_JD</t>
        </is>
      </c>
      <c r="I2576" t="inlineStr">
        <is>
          <t>2016-09</t>
        </is>
      </c>
      <c r="J2576" t="n">
        <v>1</v>
      </c>
      <c r="K2576" t="n">
        <v>1</v>
      </c>
      <c r="L2576" s="34">
        <f>IF($J2576=1,LN(B2577/B2576),"")</f>
        <v/>
      </c>
      <c r="M2576" s="34">
        <f>IF($K2576=1,INDEX(Mensal!$D$2:$D$245,MATCH($I2576,Mensal!$A$2:$A$245,0)),"")</f>
        <v/>
      </c>
      <c r="N2576" s="34">
        <f>IF($K2576=1,L2576-M2576,"")</f>
        <v/>
      </c>
      <c r="O2576" s="34" t="n">
        <v>0.00052461</v>
      </c>
      <c r="P2576" s="34">
        <f>IF($J2576=1,LN(1+O2576),"")</f>
        <v/>
      </c>
      <c r="Q2576" s="34">
        <f>IF($J2576=1,LN(R2577/R2576),"")</f>
        <v/>
      </c>
      <c r="R2576" s="32" t="n">
        <v>3.1934</v>
      </c>
      <c r="S2576" s="35" t="n">
        <v>12.851</v>
      </c>
      <c r="T2576" s="18" t="n">
        <v>60231.65</v>
      </c>
      <c r="U2576" s="18" t="n"/>
      <c r="V2576" s="18" t="n"/>
      <c r="W2576" s="18" t="n"/>
      <c r="X2576" s="35" t="n"/>
      <c r="Y2576" s="35" t="n">
        <v>12.851</v>
      </c>
    </row>
    <row r="2577">
      <c r="A2577" s="25" t="n">
        <v>42622</v>
      </c>
      <c r="B2577" s="18" t="n">
        <v>57999.72</v>
      </c>
      <c r="C2577" s="31" t="n"/>
      <c r="D2577" s="32" t="n"/>
      <c r="E2577" s="33" t="n">
        <v>0.646</v>
      </c>
      <c r="F2577" t="inlineStr">
        <is>
          <t>Up</t>
        </is>
      </c>
      <c r="G2577" t="inlineStr">
        <is>
          <t>Down</t>
        </is>
      </c>
      <c r="H2577" t="inlineStr">
        <is>
          <t>EU_JD</t>
        </is>
      </c>
      <c r="I2577" t="inlineStr">
        <is>
          <t>2016-09</t>
        </is>
      </c>
      <c r="J2577" t="n">
        <v>1</v>
      </c>
      <c r="K2577" t="n">
        <v>1</v>
      </c>
      <c r="L2577" s="34">
        <f>IF($J2577=1,LN(B2578/B2577),"")</f>
        <v/>
      </c>
      <c r="M2577" s="34">
        <f>IF($K2577=1,INDEX(Mensal!$D$2:$D$245,MATCH($I2577,Mensal!$A$2:$A$245,0)),"")</f>
        <v/>
      </c>
      <c r="N2577" s="34">
        <f>IF($K2577=1,L2577-M2577,"")</f>
        <v/>
      </c>
      <c r="O2577" s="34" t="n">
        <v>0.00052461</v>
      </c>
      <c r="P2577" s="34">
        <f>IF($J2577=1,LN(1+O2577),"")</f>
        <v/>
      </c>
      <c r="Q2577" s="34">
        <f>IF($J2577=1,LN(R2578/R2577),"")</f>
        <v/>
      </c>
      <c r="R2577" s="32" t="n">
        <v>3.2638</v>
      </c>
      <c r="S2577" s="35" t="n">
        <v>12.935</v>
      </c>
      <c r="T2577" s="18" t="n">
        <v>57999.72</v>
      </c>
      <c r="U2577" s="18" t="n"/>
      <c r="V2577" s="18" t="n"/>
      <c r="W2577" s="18" t="n"/>
      <c r="X2577" s="35" t="n"/>
      <c r="Y2577" s="35" t="n">
        <v>12.935</v>
      </c>
    </row>
    <row r="2578">
      <c r="A2578" s="25" t="n">
        <v>42625</v>
      </c>
      <c r="B2578" s="18" t="n">
        <v>58586.11</v>
      </c>
      <c r="C2578" s="31" t="n"/>
      <c r="D2578" s="32" t="n"/>
      <c r="E2578" s="33" t="n">
        <v>0.6683</v>
      </c>
      <c r="F2578" t="inlineStr">
        <is>
          <t>Up</t>
        </is>
      </c>
      <c r="G2578" t="inlineStr">
        <is>
          <t>Down</t>
        </is>
      </c>
      <c r="H2578" t="inlineStr">
        <is>
          <t>EU_JD</t>
        </is>
      </c>
      <c r="I2578" t="inlineStr">
        <is>
          <t>2016-09</t>
        </is>
      </c>
      <c r="J2578" t="n">
        <v>1</v>
      </c>
      <c r="K2578" t="n">
        <v>1</v>
      </c>
      <c r="L2578" s="34">
        <f>IF($J2578=1,LN(B2579/B2578),"")</f>
        <v/>
      </c>
      <c r="M2578" s="34">
        <f>IF($K2578=1,INDEX(Mensal!$D$2:$D$245,MATCH($I2578,Mensal!$A$2:$A$245,0)),"")</f>
        <v/>
      </c>
      <c r="N2578" s="34">
        <f>IF($K2578=1,L2578-M2578,"")</f>
        <v/>
      </c>
      <c r="O2578" s="34" t="n">
        <v>0.00052461</v>
      </c>
      <c r="P2578" s="34">
        <f>IF($J2578=1,LN(1+O2578),"")</f>
        <v/>
      </c>
      <c r="Q2578" s="34">
        <f>IF($J2578=1,LN(R2579/R2578),"")</f>
        <v/>
      </c>
      <c r="R2578" s="32" t="n">
        <v>3.2854</v>
      </c>
      <c r="S2578" s="35" t="n">
        <v>12.902</v>
      </c>
      <c r="T2578" s="18" t="n">
        <v>58586.11</v>
      </c>
      <c r="U2578" s="18" t="n"/>
      <c r="V2578" s="18" t="n"/>
      <c r="W2578" s="18" t="n"/>
      <c r="X2578" s="35" t="n"/>
      <c r="Y2578" s="35" t="n">
        <v>12.902</v>
      </c>
    </row>
    <row r="2579">
      <c r="A2579" s="25" t="n">
        <v>42626</v>
      </c>
      <c r="B2579" s="18" t="n">
        <v>56820.77</v>
      </c>
      <c r="C2579" s="31" t="n"/>
      <c r="D2579" s="32" t="n"/>
      <c r="E2579" s="33" t="n">
        <v>0.6881</v>
      </c>
      <c r="F2579" t="inlineStr">
        <is>
          <t>Up</t>
        </is>
      </c>
      <c r="G2579" t="inlineStr">
        <is>
          <t>Down</t>
        </is>
      </c>
      <c r="H2579" t="inlineStr">
        <is>
          <t>EU_JD</t>
        </is>
      </c>
      <c r="I2579" t="inlineStr">
        <is>
          <t>2016-09</t>
        </is>
      </c>
      <c r="J2579" t="n">
        <v>1</v>
      </c>
      <c r="K2579" t="n">
        <v>1</v>
      </c>
      <c r="L2579" s="34">
        <f>IF($J2579=1,LN(B2580/B2579),"")</f>
        <v/>
      </c>
      <c r="M2579" s="34">
        <f>IF($K2579=1,INDEX(Mensal!$D$2:$D$245,MATCH($I2579,Mensal!$A$2:$A$245,0)),"")</f>
        <v/>
      </c>
      <c r="N2579" s="34">
        <f>IF($K2579=1,L2579-M2579,"")</f>
        <v/>
      </c>
      <c r="O2579" s="34" t="n">
        <v>0.00052461</v>
      </c>
      <c r="P2579" s="34">
        <f>IF($J2579=1,LN(1+O2579),"")</f>
        <v/>
      </c>
      <c r="Q2579" s="34">
        <f>IF($J2579=1,LN(R2580/R2579),"")</f>
        <v/>
      </c>
      <c r="R2579" s="32" t="n">
        <v>3.2972</v>
      </c>
      <c r="S2579" s="35" t="n">
        <v>13.009</v>
      </c>
      <c r="T2579" s="18" t="n">
        <v>56820.77</v>
      </c>
      <c r="U2579" s="18" t="n"/>
      <c r="V2579" s="18" t="n"/>
      <c r="W2579" s="18" t="n"/>
      <c r="X2579" s="35" t="n"/>
      <c r="Y2579" s="35" t="n">
        <v>13.009</v>
      </c>
    </row>
    <row r="2580">
      <c r="A2580" s="25" t="n">
        <v>42627</v>
      </c>
      <c r="B2580" s="18" t="n">
        <v>57059.46</v>
      </c>
      <c r="C2580" s="31" t="n"/>
      <c r="D2580" s="32" t="n"/>
      <c r="E2580" s="33" t="n">
        <v>0.7064</v>
      </c>
      <c r="F2580" t="inlineStr">
        <is>
          <t>Up</t>
        </is>
      </c>
      <c r="G2580" t="inlineStr">
        <is>
          <t>Down</t>
        </is>
      </c>
      <c r="H2580" t="inlineStr">
        <is>
          <t>EU_JD</t>
        </is>
      </c>
      <c r="I2580" t="inlineStr">
        <is>
          <t>2016-09</t>
        </is>
      </c>
      <c r="J2580" t="n">
        <v>1</v>
      </c>
      <c r="K2580" t="n">
        <v>1</v>
      </c>
      <c r="L2580" s="34">
        <f>IF($J2580=1,LN(B2581/B2580),"")</f>
        <v/>
      </c>
      <c r="M2580" s="34">
        <f>IF($K2580=1,INDEX(Mensal!$D$2:$D$245,MATCH($I2580,Mensal!$A$2:$A$245,0)),"")</f>
        <v/>
      </c>
      <c r="N2580" s="34">
        <f>IF($K2580=1,L2580-M2580,"")</f>
        <v/>
      </c>
      <c r="O2580" s="34" t="n">
        <v>0.00052461</v>
      </c>
      <c r="P2580" s="34">
        <f>IF($J2580=1,LN(1+O2580),"")</f>
        <v/>
      </c>
      <c r="Q2580" s="34">
        <f>IF($J2580=1,LN(R2581/R2580),"")</f>
        <v/>
      </c>
      <c r="R2580" s="32" t="n">
        <v>3.3262</v>
      </c>
      <c r="S2580" s="35" t="n">
        <v>12.968</v>
      </c>
      <c r="T2580" s="18" t="n">
        <v>57059.46</v>
      </c>
      <c r="U2580" s="18" t="n"/>
      <c r="V2580" s="18" t="n"/>
      <c r="W2580" s="18" t="n"/>
      <c r="X2580" s="35" t="n"/>
      <c r="Y2580" s="35" t="n">
        <v>12.968</v>
      </c>
    </row>
    <row r="2581">
      <c r="A2581" s="25" t="n">
        <v>42628</v>
      </c>
      <c r="B2581" s="18" t="n">
        <v>57909.48</v>
      </c>
      <c r="C2581" s="31" t="n"/>
      <c r="D2581" s="32" t="n"/>
      <c r="E2581" s="33" t="n">
        <v>0.7226</v>
      </c>
      <c r="F2581" t="inlineStr">
        <is>
          <t>Up</t>
        </is>
      </c>
      <c r="G2581" t="inlineStr">
        <is>
          <t>Down</t>
        </is>
      </c>
      <c r="H2581" t="inlineStr">
        <is>
          <t>EU_JD</t>
        </is>
      </c>
      <c r="I2581" t="inlineStr">
        <is>
          <t>2016-09</t>
        </is>
      </c>
      <c r="J2581" t="n">
        <v>1</v>
      </c>
      <c r="K2581" t="n">
        <v>1</v>
      </c>
      <c r="L2581" s="34">
        <f>IF($J2581=1,LN(B2582/B2581),"")</f>
        <v/>
      </c>
      <c r="M2581" s="34">
        <f>IF($K2581=1,INDEX(Mensal!$D$2:$D$245,MATCH($I2581,Mensal!$A$2:$A$245,0)),"")</f>
        <v/>
      </c>
      <c r="N2581" s="34">
        <f>IF($K2581=1,L2581-M2581,"")</f>
        <v/>
      </c>
      <c r="O2581" s="34" t="n">
        <v>0.00052461</v>
      </c>
      <c r="P2581" s="34">
        <f>IF($J2581=1,LN(1+O2581),"")</f>
        <v/>
      </c>
      <c r="Q2581" s="34">
        <f>IF($J2581=1,LN(R2582/R2581),"")</f>
        <v/>
      </c>
      <c r="R2581" s="32" t="n">
        <v>3.3326</v>
      </c>
      <c r="S2581" s="35" t="n">
        <v>12.948</v>
      </c>
      <c r="T2581" s="18" t="n">
        <v>57909.48</v>
      </c>
      <c r="U2581" s="18" t="n"/>
      <c r="V2581" s="18" t="n"/>
      <c r="W2581" s="18" t="n"/>
      <c r="X2581" s="35" t="n"/>
      <c r="Y2581" s="35" t="n">
        <v>12.948</v>
      </c>
    </row>
    <row r="2582">
      <c r="A2582" s="25" t="n">
        <v>42629</v>
      </c>
      <c r="B2582" s="18" t="n">
        <v>57079.75</v>
      </c>
      <c r="C2582" s="31" t="n"/>
      <c r="D2582" s="32" t="n"/>
      <c r="E2582" s="33" t="n">
        <v>0.74</v>
      </c>
      <c r="F2582" t="inlineStr">
        <is>
          <t>Up</t>
        </is>
      </c>
      <c r="G2582" t="inlineStr">
        <is>
          <t>Down</t>
        </is>
      </c>
      <c r="H2582" t="inlineStr">
        <is>
          <t>EU_JD</t>
        </is>
      </c>
      <c r="I2582" t="inlineStr">
        <is>
          <t>2016-09</t>
        </is>
      </c>
      <c r="J2582" t="n">
        <v>1</v>
      </c>
      <c r="K2582" t="n">
        <v>1</v>
      </c>
      <c r="L2582" s="34">
        <f>IF($J2582=1,LN(B2583/B2582),"")</f>
        <v/>
      </c>
      <c r="M2582" s="34">
        <f>IF($K2582=1,INDEX(Mensal!$D$2:$D$245,MATCH($I2582,Mensal!$A$2:$A$245,0)),"")</f>
        <v/>
      </c>
      <c r="N2582" s="34">
        <f>IF($K2582=1,L2582-M2582,"")</f>
        <v/>
      </c>
      <c r="O2582" s="34" t="n">
        <v>0.00052461</v>
      </c>
      <c r="P2582" s="34">
        <f>IF($J2582=1,LN(1+O2582),"")</f>
        <v/>
      </c>
      <c r="Q2582" s="34">
        <f>IF($J2582=1,LN(R2583/R2582),"")</f>
        <v/>
      </c>
      <c r="R2582" s="32" t="n">
        <v>3.3004</v>
      </c>
      <c r="S2582" s="35" t="n">
        <v>12.898</v>
      </c>
      <c r="T2582" s="18" t="n">
        <v>57079.75</v>
      </c>
      <c r="U2582" s="18" t="n"/>
      <c r="V2582" s="18" t="n"/>
      <c r="W2582" s="18" t="n"/>
      <c r="X2582" s="35" t="n"/>
      <c r="Y2582" s="35" t="n">
        <v>12.898</v>
      </c>
    </row>
    <row r="2583">
      <c r="A2583" s="25" t="n">
        <v>42632</v>
      </c>
      <c r="B2583" s="18" t="n">
        <v>57350.37</v>
      </c>
      <c r="C2583" s="31" t="n"/>
      <c r="D2583" s="32" t="n"/>
      <c r="E2583" s="33" t="n">
        <v>0.7667</v>
      </c>
      <c r="F2583" t="inlineStr">
        <is>
          <t>Up</t>
        </is>
      </c>
      <c r="G2583" t="inlineStr">
        <is>
          <t>Down</t>
        </is>
      </c>
      <c r="H2583" t="inlineStr">
        <is>
          <t>EU_JD</t>
        </is>
      </c>
      <c r="I2583" t="inlineStr">
        <is>
          <t>2016-09</t>
        </is>
      </c>
      <c r="J2583" t="n">
        <v>1</v>
      </c>
      <c r="K2583" t="n">
        <v>1</v>
      </c>
      <c r="L2583" s="34">
        <f>IF($J2583=1,LN(B2584/B2583),"")</f>
        <v/>
      </c>
      <c r="M2583" s="34">
        <f>IF($K2583=1,INDEX(Mensal!$D$2:$D$245,MATCH($I2583,Mensal!$A$2:$A$245,0)),"")</f>
        <v/>
      </c>
      <c r="N2583" s="34">
        <f>IF($K2583=1,L2583-M2583,"")</f>
        <v/>
      </c>
      <c r="O2583" s="34" t="n">
        <v>0.00052461</v>
      </c>
      <c r="P2583" s="34">
        <f>IF($J2583=1,LN(1+O2583),"")</f>
        <v/>
      </c>
      <c r="Q2583" s="34">
        <f>IF($J2583=1,LN(R2584/R2583),"")</f>
        <v/>
      </c>
      <c r="R2583" s="32" t="n">
        <v>3.2636</v>
      </c>
      <c r="S2583" s="35" t="n">
        <v>12.874</v>
      </c>
      <c r="T2583" s="18" t="n">
        <v>57350.37</v>
      </c>
      <c r="U2583" s="18" t="n"/>
      <c r="V2583" s="18" t="n"/>
      <c r="W2583" s="18" t="n"/>
      <c r="X2583" s="35" t="n"/>
      <c r="Y2583" s="35" t="n">
        <v>12.874</v>
      </c>
    </row>
    <row r="2584">
      <c r="A2584" s="25" t="n">
        <v>42633</v>
      </c>
      <c r="B2584" s="18" t="n">
        <v>57736.45</v>
      </c>
      <c r="C2584" s="31" t="n"/>
      <c r="D2584" s="32" t="n"/>
      <c r="E2584" s="33" t="n">
        <v>0.7934</v>
      </c>
      <c r="F2584" t="inlineStr">
        <is>
          <t>Up</t>
        </is>
      </c>
      <c r="G2584" t="inlineStr">
        <is>
          <t>Down</t>
        </is>
      </c>
      <c r="H2584" t="inlineStr">
        <is>
          <t>EU_JD</t>
        </is>
      </c>
      <c r="I2584" t="inlineStr">
        <is>
          <t>2016-09</t>
        </is>
      </c>
      <c r="J2584" t="n">
        <v>1</v>
      </c>
      <c r="K2584" t="n">
        <v>1</v>
      </c>
      <c r="L2584" s="34">
        <f>IF($J2584=1,LN(B2585/B2584),"")</f>
        <v/>
      </c>
      <c r="M2584" s="34">
        <f>IF($K2584=1,INDEX(Mensal!$D$2:$D$245,MATCH($I2584,Mensal!$A$2:$A$245,0)),"")</f>
        <v/>
      </c>
      <c r="N2584" s="34">
        <f>IF($K2584=1,L2584-M2584,"")</f>
        <v/>
      </c>
      <c r="O2584" s="34" t="n">
        <v>0.00052461</v>
      </c>
      <c r="P2584" s="34">
        <f>IF($J2584=1,LN(1+O2584),"")</f>
        <v/>
      </c>
      <c r="Q2584" s="34">
        <f>IF($J2584=1,LN(R2585/R2584),"")</f>
        <v/>
      </c>
      <c r="R2584" s="32" t="n">
        <v>3.254</v>
      </c>
      <c r="S2584" s="35" t="n">
        <v>12.81</v>
      </c>
      <c r="T2584" s="18" t="n">
        <v>57736.45</v>
      </c>
      <c r="U2584" s="18" t="n"/>
      <c r="V2584" s="18" t="n"/>
      <c r="W2584" s="18" t="n"/>
      <c r="X2584" s="35" t="n"/>
      <c r="Y2584" s="35" t="n">
        <v>12.81</v>
      </c>
    </row>
    <row r="2585">
      <c r="A2585" s="25" t="n">
        <v>42634</v>
      </c>
      <c r="B2585" s="18" t="n">
        <v>58393.92</v>
      </c>
      <c r="C2585" s="31" t="n"/>
      <c r="D2585" s="32" t="n"/>
      <c r="E2585" s="33" t="n">
        <v>0.8151</v>
      </c>
      <c r="F2585" t="inlineStr">
        <is>
          <t>Up</t>
        </is>
      </c>
      <c r="G2585" t="inlineStr">
        <is>
          <t>Down</t>
        </is>
      </c>
      <c r="H2585" t="inlineStr">
        <is>
          <t>EU_JD</t>
        </is>
      </c>
      <c r="I2585" t="inlineStr">
        <is>
          <t>2016-09</t>
        </is>
      </c>
      <c r="J2585" t="n">
        <v>1</v>
      </c>
      <c r="K2585" t="n">
        <v>1</v>
      </c>
      <c r="L2585" s="34">
        <f>IF($J2585=1,LN(B2586/B2585),"")</f>
        <v/>
      </c>
      <c r="M2585" s="34">
        <f>IF($K2585=1,INDEX(Mensal!$D$2:$D$245,MATCH($I2585,Mensal!$A$2:$A$245,0)),"")</f>
        <v/>
      </c>
      <c r="N2585" s="34">
        <f>IF($K2585=1,L2585-M2585,"")</f>
        <v/>
      </c>
      <c r="O2585" s="34" t="n">
        <v>0.00052461</v>
      </c>
      <c r="P2585" s="34">
        <f>IF($J2585=1,LN(1+O2585),"")</f>
        <v/>
      </c>
      <c r="Q2585" s="34">
        <f>IF($J2585=1,LN(R2586/R2585),"")</f>
        <v/>
      </c>
      <c r="R2585" s="32" t="n">
        <v>3.2408</v>
      </c>
      <c r="S2585" s="35" t="n">
        <v>12.718</v>
      </c>
      <c r="T2585" s="18" t="n">
        <v>58393.92</v>
      </c>
      <c r="U2585" s="18" t="n"/>
      <c r="V2585" s="18" t="n"/>
      <c r="W2585" s="18" t="n"/>
      <c r="X2585" s="35" t="n"/>
      <c r="Y2585" s="35" t="n">
        <v>12.718</v>
      </c>
    </row>
    <row r="2586">
      <c r="A2586" s="25" t="n">
        <v>42635</v>
      </c>
      <c r="B2586" s="18" t="n">
        <v>58994.16</v>
      </c>
      <c r="C2586" s="31" t="n"/>
      <c r="D2586" s="32" t="n"/>
      <c r="E2586" s="33" t="n">
        <v>0.8296</v>
      </c>
      <c r="F2586" t="inlineStr">
        <is>
          <t>Up</t>
        </is>
      </c>
      <c r="G2586" t="inlineStr">
        <is>
          <t>Down</t>
        </is>
      </c>
      <c r="H2586" t="inlineStr">
        <is>
          <t>EU_JD</t>
        </is>
      </c>
      <c r="I2586" t="inlineStr">
        <is>
          <t>2016-09</t>
        </is>
      </c>
      <c r="J2586" t="n">
        <v>1</v>
      </c>
      <c r="K2586" t="n">
        <v>1</v>
      </c>
      <c r="L2586" s="34">
        <f>IF($J2586=1,LN(B2587/B2586),"")</f>
        <v/>
      </c>
      <c r="M2586" s="34">
        <f>IF($K2586=1,INDEX(Mensal!$D$2:$D$245,MATCH($I2586,Mensal!$A$2:$A$245,0)),"")</f>
        <v/>
      </c>
      <c r="N2586" s="34">
        <f>IF($K2586=1,L2586-M2586,"")</f>
        <v/>
      </c>
      <c r="O2586" s="34" t="n">
        <v>0.00052461</v>
      </c>
      <c r="P2586" s="34">
        <f>IF($J2586=1,LN(1+O2586),"")</f>
        <v/>
      </c>
      <c r="Q2586" s="34">
        <f>IF($J2586=1,LN(R2587/R2586),"")</f>
        <v/>
      </c>
      <c r="R2586" s="32" t="n">
        <v>3.2015</v>
      </c>
      <c r="S2586" s="35" t="n">
        <v>12.601</v>
      </c>
      <c r="T2586" s="18" t="n">
        <v>58994.16</v>
      </c>
      <c r="U2586" s="18" t="n"/>
      <c r="V2586" s="18" t="n"/>
      <c r="W2586" s="18" t="n"/>
      <c r="X2586" s="35" t="n"/>
      <c r="Y2586" s="35" t="n">
        <v>12.601</v>
      </c>
    </row>
    <row r="2587">
      <c r="A2587" s="25" t="n">
        <v>42636</v>
      </c>
      <c r="B2587" s="18" t="n">
        <v>58697</v>
      </c>
      <c r="C2587" s="31" t="n"/>
      <c r="D2587" s="32" t="n"/>
      <c r="E2587" s="33" t="n">
        <v>0.8482</v>
      </c>
      <c r="F2587" t="inlineStr">
        <is>
          <t>Up</t>
        </is>
      </c>
      <c r="G2587" t="inlineStr">
        <is>
          <t>Down</t>
        </is>
      </c>
      <c r="H2587" t="inlineStr">
        <is>
          <t>EU_JD</t>
        </is>
      </c>
      <c r="I2587" t="inlineStr">
        <is>
          <t>2016-09</t>
        </is>
      </c>
      <c r="J2587" t="n">
        <v>1</v>
      </c>
      <c r="K2587" t="n">
        <v>1</v>
      </c>
      <c r="L2587" s="34">
        <f>IF($J2587=1,LN(B2588/B2587),"")</f>
        <v/>
      </c>
      <c r="M2587" s="34">
        <f>IF($K2587=1,INDEX(Mensal!$D$2:$D$245,MATCH($I2587,Mensal!$A$2:$A$245,0)),"")</f>
        <v/>
      </c>
      <c r="N2587" s="34">
        <f>IF($K2587=1,L2587-M2587,"")</f>
        <v/>
      </c>
      <c r="O2587" s="34" t="n">
        <v>0.00052461</v>
      </c>
      <c r="P2587" s="34">
        <f>IF($J2587=1,LN(1+O2587),"")</f>
        <v/>
      </c>
      <c r="Q2587" s="34">
        <f>IF($J2587=1,LN(R2588/R2587),"")</f>
        <v/>
      </c>
      <c r="R2587" s="32" t="n">
        <v>3.2242</v>
      </c>
      <c r="S2587" s="35" t="n">
        <v>12.572</v>
      </c>
      <c r="T2587" s="18" t="n">
        <v>58697</v>
      </c>
      <c r="U2587" s="18" t="n"/>
      <c r="V2587" s="18" t="n"/>
      <c r="W2587" s="18" t="n"/>
      <c r="X2587" s="35" t="n"/>
      <c r="Y2587" s="35" t="n">
        <v>12.572</v>
      </c>
    </row>
    <row r="2588">
      <c r="A2588" s="25" t="n">
        <v>42639</v>
      </c>
      <c r="B2588" s="18" t="n">
        <v>58053.53</v>
      </c>
      <c r="C2588" s="31" t="n"/>
      <c r="D2588" s="32" t="n"/>
      <c r="E2588" s="33" t="n">
        <v>0.8782</v>
      </c>
      <c r="F2588" t="inlineStr">
        <is>
          <t>Up</t>
        </is>
      </c>
      <c r="G2588" t="inlineStr">
        <is>
          <t>Down</t>
        </is>
      </c>
      <c r="H2588" t="inlineStr">
        <is>
          <t>EU_JD</t>
        </is>
      </c>
      <c r="I2588" t="inlineStr">
        <is>
          <t>2016-09</t>
        </is>
      </c>
      <c r="J2588" t="n">
        <v>1</v>
      </c>
      <c r="K2588" t="n">
        <v>1</v>
      </c>
      <c r="L2588" s="34">
        <f>IF($J2588=1,LN(B2589/B2588),"")</f>
        <v/>
      </c>
      <c r="M2588" s="34">
        <f>IF($K2588=1,INDEX(Mensal!$D$2:$D$245,MATCH($I2588,Mensal!$A$2:$A$245,0)),"")</f>
        <v/>
      </c>
      <c r="N2588" s="34">
        <f>IF($K2588=1,L2588-M2588,"")</f>
        <v/>
      </c>
      <c r="O2588" s="34" t="n">
        <v>0.00052461</v>
      </c>
      <c r="P2588" s="34">
        <f>IF($J2588=1,LN(1+O2588),"")</f>
        <v/>
      </c>
      <c r="Q2588" s="34">
        <f>IF($J2588=1,LN(R2589/R2588),"")</f>
        <v/>
      </c>
      <c r="R2588" s="32" t="n">
        <v>3.24</v>
      </c>
      <c r="S2588" s="35" t="n">
        <v>12.555</v>
      </c>
      <c r="T2588" s="18" t="n">
        <v>58053.53</v>
      </c>
      <c r="U2588" s="18" t="n"/>
      <c r="V2588" s="18" t="n"/>
      <c r="W2588" s="18" t="n"/>
      <c r="X2588" s="35" t="n"/>
      <c r="Y2588" s="35" t="n">
        <v>12.555</v>
      </c>
    </row>
    <row r="2589">
      <c r="A2589" s="25" t="n">
        <v>42640</v>
      </c>
      <c r="B2589" s="18" t="n">
        <v>58382.48</v>
      </c>
      <c r="C2589" s="31" t="n"/>
      <c r="D2589" s="32" t="n"/>
      <c r="E2589" s="33" t="n">
        <v>0.9065</v>
      </c>
      <c r="F2589" t="inlineStr">
        <is>
          <t>Up</t>
        </is>
      </c>
      <c r="G2589" t="inlineStr">
        <is>
          <t>Down</t>
        </is>
      </c>
      <c r="H2589" t="inlineStr">
        <is>
          <t>EU_JD</t>
        </is>
      </c>
      <c r="I2589" t="inlineStr">
        <is>
          <t>2016-09</t>
        </is>
      </c>
      <c r="J2589" t="n">
        <v>1</v>
      </c>
      <c r="K2589" t="n">
        <v>1</v>
      </c>
      <c r="L2589" s="34">
        <f>IF($J2589=1,LN(B2590/B2589),"")</f>
        <v/>
      </c>
      <c r="M2589" s="34">
        <f>IF($K2589=1,INDEX(Mensal!$D$2:$D$245,MATCH($I2589,Mensal!$A$2:$A$245,0)),"")</f>
        <v/>
      </c>
      <c r="N2589" s="34">
        <f>IF($K2589=1,L2589-M2589,"")</f>
        <v/>
      </c>
      <c r="O2589" s="34" t="n">
        <v>0.00052461</v>
      </c>
      <c r="P2589" s="34">
        <f>IF($J2589=1,LN(1+O2589),"")</f>
        <v/>
      </c>
      <c r="Q2589" s="34">
        <f>IF($J2589=1,LN(R2590/R2589),"")</f>
        <v/>
      </c>
      <c r="R2589" s="32" t="n">
        <v>3.2358</v>
      </c>
      <c r="S2589" s="35" t="n">
        <v>12.489</v>
      </c>
      <c r="T2589" s="18" t="n">
        <v>58382.48</v>
      </c>
      <c r="U2589" s="18" t="n"/>
      <c r="V2589" s="18" t="n"/>
      <c r="W2589" s="18" t="n"/>
      <c r="X2589" s="35" t="n"/>
      <c r="Y2589" s="35" t="n">
        <v>12.489</v>
      </c>
    </row>
    <row r="2590">
      <c r="A2590" s="25" t="n">
        <v>42641</v>
      </c>
      <c r="B2590" s="18" t="n">
        <v>59355.76</v>
      </c>
      <c r="C2590" s="31" t="n"/>
      <c r="D2590" s="32" t="n"/>
      <c r="E2590" s="33" t="n">
        <v>0.9320000000000001</v>
      </c>
      <c r="F2590" t="inlineStr">
        <is>
          <t>Up</t>
        </is>
      </c>
      <c r="G2590" t="inlineStr">
        <is>
          <t>Down</t>
        </is>
      </c>
      <c r="H2590" t="inlineStr">
        <is>
          <t>EU_JD</t>
        </is>
      </c>
      <c r="I2590" t="inlineStr">
        <is>
          <t>2016-09</t>
        </is>
      </c>
      <c r="J2590" t="n">
        <v>1</v>
      </c>
      <c r="K2590" t="n">
        <v>1</v>
      </c>
      <c r="L2590" s="34">
        <f>IF($J2590=1,LN(B2591/B2590),"")</f>
        <v/>
      </c>
      <c r="M2590" s="34">
        <f>IF($K2590=1,INDEX(Mensal!$D$2:$D$245,MATCH($I2590,Mensal!$A$2:$A$245,0)),"")</f>
        <v/>
      </c>
      <c r="N2590" s="34">
        <f>IF($K2590=1,L2590-M2590,"")</f>
        <v/>
      </c>
      <c r="O2590" s="34" t="n">
        <v>0.00052461</v>
      </c>
      <c r="P2590" s="34">
        <f>IF($J2590=1,LN(1+O2590),"")</f>
        <v/>
      </c>
      <c r="Q2590" s="34">
        <f>IF($J2590=1,LN(R2591/R2590),"")</f>
        <v/>
      </c>
      <c r="R2590" s="32" t="n">
        <v>3.2476</v>
      </c>
      <c r="S2590" s="35" t="n">
        <v>12.484</v>
      </c>
      <c r="T2590" s="18" t="n">
        <v>59355.76</v>
      </c>
      <c r="U2590" s="18" t="n"/>
      <c r="V2590" s="18" t="n"/>
      <c r="W2590" s="18" t="n"/>
      <c r="X2590" s="35" t="n"/>
      <c r="Y2590" s="35" t="n">
        <v>12.484</v>
      </c>
    </row>
    <row r="2591">
      <c r="A2591" s="25" t="n">
        <v>42642</v>
      </c>
      <c r="B2591" s="18" t="n">
        <v>58350.56</v>
      </c>
      <c r="C2591" s="31" t="n"/>
      <c r="D2591" s="32" t="n"/>
      <c r="E2591" s="33" t="n">
        <v>0.9548</v>
      </c>
      <c r="F2591" t="inlineStr">
        <is>
          <t>Up</t>
        </is>
      </c>
      <c r="G2591" t="inlineStr">
        <is>
          <t>Down</t>
        </is>
      </c>
      <c r="H2591" t="inlineStr">
        <is>
          <t>EU_JD</t>
        </is>
      </c>
      <c r="I2591" t="inlineStr">
        <is>
          <t>2016-09</t>
        </is>
      </c>
      <c r="J2591" t="n">
        <v>1</v>
      </c>
      <c r="K2591" t="n">
        <v>1</v>
      </c>
      <c r="L2591" s="34">
        <f>IF($J2591=1,LN(B2592/B2591),"")</f>
        <v/>
      </c>
      <c r="M2591" s="34">
        <f>IF($K2591=1,INDEX(Mensal!$D$2:$D$245,MATCH($I2591,Mensal!$A$2:$A$245,0)),"")</f>
        <v/>
      </c>
      <c r="N2591" s="34">
        <f>IF($K2591=1,L2591-M2591,"")</f>
        <v/>
      </c>
      <c r="O2591" s="34" t="n">
        <v>0.00052461</v>
      </c>
      <c r="P2591" s="34">
        <f>IF($J2591=1,LN(1+O2591),"")</f>
        <v/>
      </c>
      <c r="Q2591" s="34">
        <f>IF($J2591=1,LN(R2592/R2591),"")</f>
        <v/>
      </c>
      <c r="R2591" s="32" t="n">
        <v>3.2235</v>
      </c>
      <c r="S2591" s="35" t="n">
        <v>12.512</v>
      </c>
      <c r="T2591" s="18" t="n">
        <v>58350.56</v>
      </c>
      <c r="U2591" s="18" t="n"/>
      <c r="V2591" s="18" t="n"/>
      <c r="W2591" s="18" t="n"/>
      <c r="X2591" s="35" t="n"/>
      <c r="Y2591" s="35" t="n">
        <v>12.512</v>
      </c>
    </row>
    <row r="2592">
      <c r="A2592" s="25" t="n">
        <v>42643</v>
      </c>
      <c r="B2592" s="18" t="n">
        <v>58367.04</v>
      </c>
      <c r="C2592" s="31" t="n"/>
      <c r="D2592" s="32" t="n"/>
      <c r="E2592" s="33" t="n">
        <v>0.9717</v>
      </c>
      <c r="F2592" t="inlineStr">
        <is>
          <t>Up</t>
        </is>
      </c>
      <c r="G2592" t="inlineStr">
        <is>
          <t>Down</t>
        </is>
      </c>
      <c r="H2592" t="inlineStr">
        <is>
          <t>EU_JD</t>
        </is>
      </c>
      <c r="I2592" t="inlineStr">
        <is>
          <t>2016-09</t>
        </is>
      </c>
      <c r="J2592" t="n">
        <v>1</v>
      </c>
      <c r="K2592" t="n">
        <v>1</v>
      </c>
      <c r="L2592" s="34">
        <f>IF($J2592=1,LN(B2593/B2592),"")</f>
        <v/>
      </c>
      <c r="M2592" s="34">
        <f>IF($K2592=1,INDEX(Mensal!$D$2:$D$245,MATCH($I2592,Mensal!$A$2:$A$245,0)),"")</f>
        <v/>
      </c>
      <c r="N2592" s="34">
        <f>IF($K2592=1,L2592-M2592,"")</f>
        <v/>
      </c>
      <c r="O2592" s="34" t="n">
        <v>0.00052461</v>
      </c>
      <c r="P2592" s="34">
        <f>IF($J2592=1,LN(1+O2592),"")</f>
        <v/>
      </c>
      <c r="Q2592" s="34">
        <f>IF($J2592=1,LN(R2593/R2592),"")</f>
        <v/>
      </c>
      <c r="R2592" s="32" t="n">
        <v>3.2462</v>
      </c>
      <c r="S2592" s="35" t="n">
        <v>12.504</v>
      </c>
      <c r="T2592" s="18" t="n">
        <v>58367.04</v>
      </c>
      <c r="U2592" s="18" t="n"/>
      <c r="V2592" s="18" t="n"/>
      <c r="W2592" s="18" t="n"/>
      <c r="X2592" s="35" t="n"/>
      <c r="Y2592" s="35" t="n">
        <v>12.504</v>
      </c>
    </row>
    <row r="2593">
      <c r="A2593" s="25" t="n">
        <v>42646</v>
      </c>
      <c r="B2593" s="18" t="n">
        <v>59461.22</v>
      </c>
      <c r="C2593" s="31" t="n"/>
      <c r="D2593" s="32" t="n"/>
      <c r="E2593" s="33" t="n">
        <v>0.9829</v>
      </c>
      <c r="F2593" t="inlineStr">
        <is>
          <t>Up</t>
        </is>
      </c>
      <c r="G2593" t="inlineStr">
        <is>
          <t>Down</t>
        </is>
      </c>
      <c r="H2593" t="inlineStr">
        <is>
          <t>EU_JD</t>
        </is>
      </c>
      <c r="I2593" t="inlineStr">
        <is>
          <t>2016-10</t>
        </is>
      </c>
      <c r="J2593" t="n">
        <v>1</v>
      </c>
      <c r="K2593" t="n">
        <v>1</v>
      </c>
      <c r="L2593" s="34">
        <f>IF($J2593=1,LN(B2594/B2593),"")</f>
        <v/>
      </c>
      <c r="M2593" s="34">
        <f>IF($K2593=1,INDEX(Mensal!$D$2:$D$245,MATCH($I2593,Mensal!$A$2:$A$245,0)),"")</f>
        <v/>
      </c>
      <c r="N2593" s="34">
        <f>IF($K2593=1,L2593-M2593,"")</f>
        <v/>
      </c>
      <c r="O2593" s="34" t="n">
        <v>0.00052461</v>
      </c>
      <c r="P2593" s="34">
        <f>IF($J2593=1,LN(1+O2593),"")</f>
        <v/>
      </c>
      <c r="Q2593" s="34">
        <f>IF($J2593=1,LN(R2594/R2593),"")</f>
        <v/>
      </c>
      <c r="R2593" s="32" t="n">
        <v>3.2338</v>
      </c>
      <c r="S2593" s="35" t="n">
        <v>12.36</v>
      </c>
      <c r="T2593" s="18" t="n">
        <v>59461.22</v>
      </c>
      <c r="U2593" s="18" t="n"/>
      <c r="V2593" s="18" t="n"/>
      <c r="W2593" s="18" t="n"/>
      <c r="X2593" s="35" t="n"/>
      <c r="Y2593" s="35" t="n">
        <v>12.36</v>
      </c>
    </row>
    <row r="2594">
      <c r="A2594" s="25" t="n">
        <v>42647</v>
      </c>
      <c r="B2594" s="18" t="n">
        <v>59339.22</v>
      </c>
      <c r="C2594" s="31" t="n"/>
      <c r="D2594" s="32" t="n"/>
      <c r="E2594" s="33" t="n">
        <v>0.9939</v>
      </c>
      <c r="F2594" t="inlineStr">
        <is>
          <t>Up</t>
        </is>
      </c>
      <c r="G2594" t="inlineStr">
        <is>
          <t>Down</t>
        </is>
      </c>
      <c r="H2594" t="inlineStr">
        <is>
          <t>EU_JD</t>
        </is>
      </c>
      <c r="I2594" t="inlineStr">
        <is>
          <t>2016-10</t>
        </is>
      </c>
      <c r="J2594" t="n">
        <v>1</v>
      </c>
      <c r="K2594" t="n">
        <v>1</v>
      </c>
      <c r="L2594" s="34">
        <f>IF($J2594=1,LN(B2595/B2594),"")</f>
        <v/>
      </c>
      <c r="M2594" s="34">
        <f>IF($K2594=1,INDEX(Mensal!$D$2:$D$245,MATCH($I2594,Mensal!$A$2:$A$245,0)),"")</f>
        <v/>
      </c>
      <c r="N2594" s="34">
        <f>IF($K2594=1,L2594-M2594,"")</f>
        <v/>
      </c>
      <c r="O2594" s="34" t="n">
        <v>0.00052461</v>
      </c>
      <c r="P2594" s="34">
        <f>IF($J2594=1,LN(1+O2594),"")</f>
        <v/>
      </c>
      <c r="Q2594" s="34">
        <f>IF($J2594=1,LN(R2595/R2594),"")</f>
        <v/>
      </c>
      <c r="R2594" s="32" t="n">
        <v>3.2203</v>
      </c>
      <c r="S2594" s="35" t="n">
        <v>12.465</v>
      </c>
      <c r="T2594" s="18" t="n">
        <v>59339.22</v>
      </c>
      <c r="U2594" s="18" t="n"/>
      <c r="V2594" s="18" t="n"/>
      <c r="W2594" s="18" t="n"/>
      <c r="X2594" s="35" t="n"/>
      <c r="Y2594" s="35" t="n">
        <v>12.465</v>
      </c>
    </row>
    <row r="2595">
      <c r="A2595" s="25" t="n">
        <v>42648</v>
      </c>
      <c r="B2595" s="18" t="n">
        <v>60254.34</v>
      </c>
      <c r="C2595" s="31" t="n"/>
      <c r="D2595" s="32" t="n"/>
      <c r="E2595" s="33" t="n">
        <v>1.0015</v>
      </c>
      <c r="F2595" t="inlineStr">
        <is>
          <t>Up</t>
        </is>
      </c>
      <c r="G2595" t="inlineStr">
        <is>
          <t>Down</t>
        </is>
      </c>
      <c r="H2595" t="inlineStr">
        <is>
          <t>EU_JD</t>
        </is>
      </c>
      <c r="I2595" t="inlineStr">
        <is>
          <t>2016-10</t>
        </is>
      </c>
      <c r="J2595" t="n">
        <v>1</v>
      </c>
      <c r="K2595" t="n">
        <v>1</v>
      </c>
      <c r="L2595" s="34">
        <f>IF($J2595=1,LN(B2596/B2595),"")</f>
        <v/>
      </c>
      <c r="M2595" s="34">
        <f>IF($K2595=1,INDEX(Mensal!$D$2:$D$245,MATCH($I2595,Mensal!$A$2:$A$245,0)),"")</f>
        <v/>
      </c>
      <c r="N2595" s="34">
        <f>IF($K2595=1,L2595-M2595,"")</f>
        <v/>
      </c>
      <c r="O2595" s="34" t="n">
        <v>0.00052461</v>
      </c>
      <c r="P2595" s="34">
        <f>IF($J2595=1,LN(1+O2595),"")</f>
        <v/>
      </c>
      <c r="Q2595" s="34">
        <f>IF($J2595=1,LN(R2596/R2595),"")</f>
        <v/>
      </c>
      <c r="R2595" s="32" t="n">
        <v>3.2359</v>
      </c>
      <c r="S2595" s="35" t="n">
        <v>12.39</v>
      </c>
      <c r="T2595" s="18" t="n">
        <v>60254.34</v>
      </c>
      <c r="U2595" s="18" t="n"/>
      <c r="V2595" s="18" t="n"/>
      <c r="W2595" s="18" t="n"/>
      <c r="X2595" s="35" t="n"/>
      <c r="Y2595" s="35" t="n">
        <v>12.39</v>
      </c>
    </row>
    <row r="2596">
      <c r="A2596" s="25" t="n">
        <v>42649</v>
      </c>
      <c r="B2596" s="18" t="n">
        <v>60644.24</v>
      </c>
      <c r="C2596" s="31" t="n"/>
      <c r="D2596" s="32" t="n"/>
      <c r="E2596" s="33" t="n">
        <v>1.0047</v>
      </c>
      <c r="F2596" t="inlineStr">
        <is>
          <t>Up</t>
        </is>
      </c>
      <c r="G2596" t="inlineStr">
        <is>
          <t>Down</t>
        </is>
      </c>
      <c r="H2596" t="inlineStr">
        <is>
          <t>EU_JD</t>
        </is>
      </c>
      <c r="I2596" t="inlineStr">
        <is>
          <t>2016-10</t>
        </is>
      </c>
      <c r="J2596" t="n">
        <v>1</v>
      </c>
      <c r="K2596" t="n">
        <v>1</v>
      </c>
      <c r="L2596" s="34">
        <f>IF($J2596=1,LN(B2597/B2596),"")</f>
        <v/>
      </c>
      <c r="M2596" s="34">
        <f>IF($K2596=1,INDEX(Mensal!$D$2:$D$245,MATCH($I2596,Mensal!$A$2:$A$245,0)),"")</f>
        <v/>
      </c>
      <c r="N2596" s="34">
        <f>IF($K2596=1,L2596-M2596,"")</f>
        <v/>
      </c>
      <c r="O2596" s="34" t="n">
        <v>0.00052461</v>
      </c>
      <c r="P2596" s="34">
        <f>IF($J2596=1,LN(1+O2596),"")</f>
        <v/>
      </c>
      <c r="Q2596" s="34">
        <f>IF($J2596=1,LN(R2597/R2596),"")</f>
        <v/>
      </c>
      <c r="R2596" s="32" t="n">
        <v>3.231</v>
      </c>
      <c r="S2596" s="35" t="n">
        <v>12.335</v>
      </c>
      <c r="T2596" s="18" t="n">
        <v>60644.24</v>
      </c>
      <c r="U2596" s="18" t="n"/>
      <c r="V2596" s="18" t="n"/>
      <c r="W2596" s="18" t="n"/>
      <c r="X2596" s="35" t="n"/>
      <c r="Y2596" s="35" t="n">
        <v>12.335</v>
      </c>
    </row>
    <row r="2597">
      <c r="A2597" s="25" t="n">
        <v>42650</v>
      </c>
      <c r="B2597" s="18" t="n">
        <v>61108.98</v>
      </c>
      <c r="C2597" s="31" t="n"/>
      <c r="D2597" s="32" t="n"/>
      <c r="E2597" s="33" t="n">
        <v>1.0002</v>
      </c>
      <c r="F2597" t="inlineStr">
        <is>
          <t>Up</t>
        </is>
      </c>
      <c r="G2597" t="inlineStr">
        <is>
          <t>Down</t>
        </is>
      </c>
      <c r="H2597" t="inlineStr">
        <is>
          <t>EU_JD</t>
        </is>
      </c>
      <c r="I2597" t="inlineStr">
        <is>
          <t>2016-10</t>
        </is>
      </c>
      <c r="J2597" t="n">
        <v>1</v>
      </c>
      <c r="K2597" t="n">
        <v>1</v>
      </c>
      <c r="L2597" s="34">
        <f>IF($J2597=1,LN(B2598/B2597),"")</f>
        <v/>
      </c>
      <c r="M2597" s="34">
        <f>IF($K2597=1,INDEX(Mensal!$D$2:$D$245,MATCH($I2597,Mensal!$A$2:$A$245,0)),"")</f>
        <v/>
      </c>
      <c r="N2597" s="34">
        <f>IF($K2597=1,L2597-M2597,"")</f>
        <v/>
      </c>
      <c r="O2597" s="34" t="n">
        <v>0.00052461</v>
      </c>
      <c r="P2597" s="34">
        <f>IF($J2597=1,LN(1+O2597),"")</f>
        <v/>
      </c>
      <c r="Q2597" s="34">
        <f>IF($J2597=1,LN(R2598/R2597),"")</f>
        <v/>
      </c>
      <c r="R2597" s="32" t="n">
        <v>3.2134</v>
      </c>
      <c r="S2597" s="35" t="n">
        <v>12.28</v>
      </c>
      <c r="T2597" s="18" t="n">
        <v>61108.98</v>
      </c>
      <c r="U2597" s="18" t="n"/>
      <c r="V2597" s="18" t="n"/>
      <c r="W2597" s="18" t="n"/>
      <c r="X2597" s="35" t="n"/>
      <c r="Y2597" s="35" t="n">
        <v>12.28</v>
      </c>
    </row>
    <row r="2598">
      <c r="A2598" s="25" t="n">
        <v>42653</v>
      </c>
      <c r="B2598" s="18" t="n">
        <v>61668.33</v>
      </c>
      <c r="C2598" s="31" t="n"/>
      <c r="D2598" s="32" t="n"/>
      <c r="E2598" s="33" t="n">
        <v>0.9926</v>
      </c>
      <c r="F2598" t="inlineStr">
        <is>
          <t>Up</t>
        </is>
      </c>
      <c r="G2598" t="inlineStr">
        <is>
          <t>Down</t>
        </is>
      </c>
      <c r="H2598" t="inlineStr">
        <is>
          <t>EU_JD</t>
        </is>
      </c>
      <c r="I2598" t="inlineStr">
        <is>
          <t>2016-10</t>
        </is>
      </c>
      <c r="J2598" t="n">
        <v>1</v>
      </c>
      <c r="K2598" t="n">
        <v>1</v>
      </c>
      <c r="L2598" s="34">
        <f>IF($J2598=1,LN(B2599/B2598),"")</f>
        <v/>
      </c>
      <c r="M2598" s="34">
        <f>IF($K2598=1,INDEX(Mensal!$D$2:$D$245,MATCH($I2598,Mensal!$A$2:$A$245,0)),"")</f>
        <v/>
      </c>
      <c r="N2598" s="34">
        <f>IF($K2598=1,L2598-M2598,"")</f>
        <v/>
      </c>
      <c r="O2598" s="34" t="n">
        <v>0.00052461</v>
      </c>
      <c r="P2598" s="34">
        <f>IF($J2598=1,LN(1+O2598),"")</f>
        <v/>
      </c>
      <c r="Q2598" s="34">
        <f>IF($J2598=1,LN(R2599/R2598),"")</f>
        <v/>
      </c>
      <c r="R2598" s="32" t="n">
        <v>3.2125</v>
      </c>
      <c r="S2598" s="35" t="n">
        <v>12.301</v>
      </c>
      <c r="T2598" s="18" t="n">
        <v>61668.33</v>
      </c>
      <c r="U2598" s="18" t="n"/>
      <c r="V2598" s="18" t="n"/>
      <c r="W2598" s="18" t="n"/>
      <c r="X2598" s="35" t="n"/>
      <c r="Y2598" s="35" t="n">
        <v>12.301</v>
      </c>
    </row>
    <row r="2599">
      <c r="A2599" s="25" t="n">
        <v>42654</v>
      </c>
      <c r="B2599" s="18" t="n">
        <v>61021.84</v>
      </c>
      <c r="C2599" s="31" t="n"/>
      <c r="D2599" s="32" t="n"/>
      <c r="E2599" s="33" t="n">
        <v>0.9796</v>
      </c>
      <c r="F2599" t="inlineStr">
        <is>
          <t>Up</t>
        </is>
      </c>
      <c r="G2599" t="inlineStr">
        <is>
          <t>Down</t>
        </is>
      </c>
      <c r="H2599" t="inlineStr">
        <is>
          <t>EU_JD</t>
        </is>
      </c>
      <c r="I2599" t="inlineStr">
        <is>
          <t>2016-10</t>
        </is>
      </c>
      <c r="J2599" t="n">
        <v>1</v>
      </c>
      <c r="K2599" t="n">
        <v>1</v>
      </c>
      <c r="L2599" s="34">
        <f>IF($J2599=1,LN(B2600/B2599),"")</f>
        <v/>
      </c>
      <c r="M2599" s="34">
        <f>IF($K2599=1,INDEX(Mensal!$D$2:$D$245,MATCH($I2599,Mensal!$A$2:$A$245,0)),"")</f>
        <v/>
      </c>
      <c r="N2599" s="34">
        <f>IF($K2599=1,L2599-M2599,"")</f>
        <v/>
      </c>
      <c r="O2599" s="34" t="n">
        <v>0.00052461</v>
      </c>
      <c r="P2599" s="34">
        <f>IF($J2599=1,LN(1+O2599),"")</f>
        <v/>
      </c>
      <c r="Q2599" s="34">
        <f>IF($J2599=1,LN(R2600/R2599),"")</f>
        <v/>
      </c>
      <c r="R2599" s="32" t="n">
        <v>3.2136</v>
      </c>
      <c r="S2599" s="35" t="n">
        <v>12.29</v>
      </c>
      <c r="T2599" s="18" t="n">
        <v>61021.84</v>
      </c>
      <c r="U2599" s="18" t="n"/>
      <c r="V2599" s="18" t="n"/>
      <c r="W2599" s="18" t="n"/>
      <c r="X2599" s="35" t="n"/>
      <c r="Y2599" s="35" t="n">
        <v>12.29</v>
      </c>
    </row>
    <row r="2600">
      <c r="A2600" s="25" t="n">
        <v>42656</v>
      </c>
      <c r="B2600" s="18" t="n">
        <v>61118.58</v>
      </c>
      <c r="C2600" s="31" t="n"/>
      <c r="D2600" s="32" t="n"/>
      <c r="E2600" s="33" t="n">
        <v>0.9716</v>
      </c>
      <c r="F2600" t="inlineStr">
        <is>
          <t>Up</t>
        </is>
      </c>
      <c r="G2600" t="inlineStr">
        <is>
          <t>Down</t>
        </is>
      </c>
      <c r="H2600" t="inlineStr">
        <is>
          <t>EU_JD</t>
        </is>
      </c>
      <c r="I2600" t="inlineStr">
        <is>
          <t>2016-10</t>
        </is>
      </c>
      <c r="J2600" t="n">
        <v>1</v>
      </c>
      <c r="K2600" t="n">
        <v>1</v>
      </c>
      <c r="L2600" s="34">
        <f>IF($J2600=1,LN(B2601/B2600),"")</f>
        <v/>
      </c>
      <c r="M2600" s="34">
        <f>IF($K2600=1,INDEX(Mensal!$D$2:$D$245,MATCH($I2600,Mensal!$A$2:$A$245,0)),"")</f>
        <v/>
      </c>
      <c r="N2600" s="34">
        <f>IF($K2600=1,L2600-M2600,"")</f>
        <v/>
      </c>
      <c r="O2600" s="34" t="n">
        <v>0.00052461</v>
      </c>
      <c r="P2600" s="34">
        <f>IF($J2600=1,LN(1+O2600),"")</f>
        <v/>
      </c>
      <c r="Q2600" s="34">
        <f>IF($J2600=1,LN(R2601/R2600),"")</f>
        <v/>
      </c>
      <c r="R2600" s="32" t="n">
        <v>3.2087</v>
      </c>
      <c r="S2600" s="35" t="n">
        <v>12.244</v>
      </c>
      <c r="T2600" s="18" t="n">
        <v>61118.58</v>
      </c>
      <c r="U2600" s="18" t="n"/>
      <c r="V2600" s="18" t="n"/>
      <c r="W2600" s="18" t="n"/>
      <c r="X2600" s="35" t="n"/>
      <c r="Y2600" s="35" t="n">
        <v>12.244</v>
      </c>
    </row>
    <row r="2601">
      <c r="A2601" s="25" t="n">
        <v>42657</v>
      </c>
      <c r="B2601" s="18" t="n">
        <v>61767.21</v>
      </c>
      <c r="C2601" s="31" t="n"/>
      <c r="D2601" s="32" t="n"/>
      <c r="E2601" s="33" t="n">
        <v>0.9615</v>
      </c>
      <c r="F2601" t="inlineStr">
        <is>
          <t>Up</t>
        </is>
      </c>
      <c r="G2601" t="inlineStr">
        <is>
          <t>Down</t>
        </is>
      </c>
      <c r="H2601" t="inlineStr">
        <is>
          <t>EU_JD</t>
        </is>
      </c>
      <c r="I2601" t="inlineStr">
        <is>
          <t>2016-10</t>
        </is>
      </c>
      <c r="J2601" t="n">
        <v>1</v>
      </c>
      <c r="K2601" t="n">
        <v>1</v>
      </c>
      <c r="L2601" s="34">
        <f>IF($J2601=1,LN(B2602/B2601),"")</f>
        <v/>
      </c>
      <c r="M2601" s="34">
        <f>IF($K2601=1,INDEX(Mensal!$D$2:$D$245,MATCH($I2601,Mensal!$A$2:$A$245,0)),"")</f>
        <v/>
      </c>
      <c r="N2601" s="34">
        <f>IF($K2601=1,L2601-M2601,"")</f>
        <v/>
      </c>
      <c r="O2601" s="34" t="n">
        <v>0.00052461</v>
      </c>
      <c r="P2601" s="34">
        <f>IF($J2601=1,LN(1+O2601),"")</f>
        <v/>
      </c>
      <c r="Q2601" s="34">
        <f>IF($J2601=1,LN(R2602/R2601),"")</f>
        <v/>
      </c>
      <c r="R2601" s="32" t="n">
        <v>3.1864</v>
      </c>
      <c r="S2601" s="35" t="n">
        <v>12.24</v>
      </c>
      <c r="T2601" s="18" t="n">
        <v>61767.21</v>
      </c>
      <c r="U2601" s="18" t="n"/>
      <c r="V2601" s="18" t="n"/>
      <c r="W2601" s="18" t="n"/>
      <c r="X2601" s="35" t="n"/>
      <c r="Y2601" s="35" t="n">
        <v>12.24</v>
      </c>
    </row>
    <row r="2602">
      <c r="A2602" s="25" t="n">
        <v>42660</v>
      </c>
      <c r="B2602" s="18" t="n">
        <v>62696.1</v>
      </c>
      <c r="C2602" s="31" t="n"/>
      <c r="D2602" s="32" t="n"/>
      <c r="E2602" s="33" t="n">
        <v>0.9705</v>
      </c>
      <c r="F2602" t="inlineStr">
        <is>
          <t>Up</t>
        </is>
      </c>
      <c r="G2602" t="inlineStr">
        <is>
          <t>Down</t>
        </is>
      </c>
      <c r="H2602" t="inlineStr">
        <is>
          <t>EU_JD</t>
        </is>
      </c>
      <c r="I2602" t="inlineStr">
        <is>
          <t>2016-10</t>
        </is>
      </c>
      <c r="J2602" t="n">
        <v>1</v>
      </c>
      <c r="K2602" t="n">
        <v>1</v>
      </c>
      <c r="L2602" s="34">
        <f>IF($J2602=1,LN(B2603/B2602),"")</f>
        <v/>
      </c>
      <c r="M2602" s="34">
        <f>IF($K2602=1,INDEX(Mensal!$D$2:$D$245,MATCH($I2602,Mensal!$A$2:$A$245,0)),"")</f>
        <v/>
      </c>
      <c r="N2602" s="34">
        <f>IF($K2602=1,L2602-M2602,"")</f>
        <v/>
      </c>
      <c r="O2602" s="34" t="n">
        <v>0.00052461</v>
      </c>
      <c r="P2602" s="34">
        <f>IF($J2602=1,LN(1+O2602),"")</f>
        <v/>
      </c>
      <c r="Q2602" s="34">
        <f>IF($J2602=1,LN(R2603/R2602),"")</f>
        <v/>
      </c>
      <c r="R2602" s="32" t="n">
        <v>3.1963</v>
      </c>
      <c r="S2602" s="35" t="n">
        <v>12.235</v>
      </c>
      <c r="T2602" s="18" t="n">
        <v>62696.1</v>
      </c>
      <c r="U2602" s="18" t="n"/>
      <c r="V2602" s="18" t="n"/>
      <c r="W2602" s="18" t="n"/>
      <c r="X2602" s="35" t="n"/>
      <c r="Y2602" s="35" t="n">
        <v>12.235</v>
      </c>
    </row>
    <row r="2603">
      <c r="A2603" s="25" t="n">
        <v>42661</v>
      </c>
      <c r="B2603" s="18" t="n">
        <v>63782.2</v>
      </c>
      <c r="C2603" s="31" t="n"/>
      <c r="D2603" s="32" t="n"/>
      <c r="E2603" s="33" t="n">
        <v>0.9823</v>
      </c>
      <c r="F2603" t="inlineStr">
        <is>
          <t>Up</t>
        </is>
      </c>
      <c r="G2603" t="inlineStr">
        <is>
          <t>Down</t>
        </is>
      </c>
      <c r="H2603" t="inlineStr">
        <is>
          <t>EU_JD</t>
        </is>
      </c>
      <c r="I2603" t="inlineStr">
        <is>
          <t>2016-10</t>
        </is>
      </c>
      <c r="J2603" t="n">
        <v>1</v>
      </c>
      <c r="K2603" t="n">
        <v>1</v>
      </c>
      <c r="L2603" s="34">
        <f>IF($J2603=1,LN(B2604/B2603),"")</f>
        <v/>
      </c>
      <c r="M2603" s="34">
        <f>IF($K2603=1,INDEX(Mensal!$D$2:$D$245,MATCH($I2603,Mensal!$A$2:$A$245,0)),"")</f>
        <v/>
      </c>
      <c r="N2603" s="34">
        <f>IF($K2603=1,L2603-M2603,"")</f>
        <v/>
      </c>
      <c r="O2603" s="34" t="n">
        <v>0.00052461</v>
      </c>
      <c r="P2603" s="34">
        <f>IF($J2603=1,LN(1+O2603),"")</f>
        <v/>
      </c>
      <c r="Q2603" s="34">
        <f>IF($J2603=1,LN(R2604/R2603),"")</f>
        <v/>
      </c>
      <c r="R2603" s="32" t="n">
        <v>3.1874</v>
      </c>
      <c r="S2603" s="35" t="n">
        <v>12.242</v>
      </c>
      <c r="T2603" s="18" t="n">
        <v>63782.2</v>
      </c>
      <c r="U2603" s="18" t="n"/>
      <c r="V2603" s="18" t="n"/>
      <c r="W2603" s="18" t="n"/>
      <c r="X2603" s="35" t="n"/>
      <c r="Y2603" s="35" t="n">
        <v>12.242</v>
      </c>
    </row>
    <row r="2604">
      <c r="A2604" s="25" t="n">
        <v>42662</v>
      </c>
      <c r="B2604" s="18" t="n">
        <v>63505.6</v>
      </c>
      <c r="C2604" s="31" t="n"/>
      <c r="D2604" s="32" t="n"/>
      <c r="E2604" s="33" t="n">
        <v>0.9869</v>
      </c>
      <c r="F2604" t="inlineStr">
        <is>
          <t>Up</t>
        </is>
      </c>
      <c r="G2604" t="inlineStr">
        <is>
          <t>Down</t>
        </is>
      </c>
      <c r="H2604" t="inlineStr">
        <is>
          <t>EU_JD</t>
        </is>
      </c>
      <c r="I2604" t="inlineStr">
        <is>
          <t>2016-10</t>
        </is>
      </c>
      <c r="J2604" t="n">
        <v>1</v>
      </c>
      <c r="K2604" t="n">
        <v>1</v>
      </c>
      <c r="L2604" s="34">
        <f>IF($J2604=1,LN(B2605/B2604),"")</f>
        <v/>
      </c>
      <c r="M2604" s="34">
        <f>IF($K2604=1,INDEX(Mensal!$D$2:$D$245,MATCH($I2604,Mensal!$A$2:$A$245,0)),"")</f>
        <v/>
      </c>
      <c r="N2604" s="34">
        <f>IF($K2604=1,L2604-M2604,"")</f>
        <v/>
      </c>
      <c r="O2604" s="34" t="n">
        <v>0.00052461</v>
      </c>
      <c r="P2604" s="34">
        <f>IF($J2604=1,LN(1+O2604),"")</f>
        <v/>
      </c>
      <c r="Q2604" s="34">
        <f>IF($J2604=1,LN(R2605/R2604),"")</f>
        <v/>
      </c>
      <c r="R2604" s="32" t="n">
        <v>3.18</v>
      </c>
      <c r="S2604" s="35" t="n">
        <v>12.183</v>
      </c>
      <c r="T2604" s="18" t="n">
        <v>63505.6</v>
      </c>
      <c r="U2604" s="18" t="n"/>
      <c r="V2604" s="18" t="n"/>
      <c r="W2604" s="18" t="n"/>
      <c r="X2604" s="35" t="n"/>
      <c r="Y2604" s="35" t="n">
        <v>12.183</v>
      </c>
    </row>
    <row r="2605">
      <c r="A2605" s="25" t="n">
        <v>42663</v>
      </c>
      <c r="B2605" s="18" t="n">
        <v>63837.85</v>
      </c>
      <c r="C2605" s="31" t="n"/>
      <c r="D2605" s="32" t="n"/>
      <c r="E2605" s="33" t="n">
        <v>0.9728</v>
      </c>
      <c r="F2605" t="inlineStr">
        <is>
          <t>Up</t>
        </is>
      </c>
      <c r="G2605" t="inlineStr">
        <is>
          <t>Down</t>
        </is>
      </c>
      <c r="H2605" t="inlineStr">
        <is>
          <t>EU_JD</t>
        </is>
      </c>
      <c r="I2605" t="inlineStr">
        <is>
          <t>2016-10</t>
        </is>
      </c>
      <c r="J2605" t="n">
        <v>1</v>
      </c>
      <c r="K2605" t="n">
        <v>1</v>
      </c>
      <c r="L2605" s="34">
        <f>IF($J2605=1,LN(B2606/B2605),"")</f>
        <v/>
      </c>
      <c r="M2605" s="34">
        <f>IF($K2605=1,INDEX(Mensal!$D$2:$D$245,MATCH($I2605,Mensal!$A$2:$A$245,0)),"")</f>
        <v/>
      </c>
      <c r="N2605" s="34">
        <f>IF($K2605=1,L2605-M2605,"")</f>
        <v/>
      </c>
      <c r="O2605" s="34" t="n">
        <v>0.00051591</v>
      </c>
      <c r="P2605" s="34">
        <f>IF($J2605=1,LN(1+O2605),"")</f>
        <v/>
      </c>
      <c r="Q2605" s="34">
        <f>IF($J2605=1,LN(R2606/R2605),"")</f>
        <v/>
      </c>
      <c r="R2605" s="32" t="n">
        <v>3.1605</v>
      </c>
      <c r="S2605" s="35" t="n">
        <v>12.367</v>
      </c>
      <c r="T2605" s="18" t="n">
        <v>63837.85</v>
      </c>
      <c r="U2605" s="18" t="n"/>
      <c r="V2605" s="18" t="n"/>
      <c r="W2605" s="18" t="n"/>
      <c r="X2605" s="35" t="n"/>
      <c r="Y2605" s="35" t="n">
        <v>12.367</v>
      </c>
    </row>
    <row r="2606">
      <c r="A2606" s="25" t="n">
        <v>42664</v>
      </c>
      <c r="B2606" s="18" t="n">
        <v>64108.08</v>
      </c>
      <c r="C2606" s="31" t="n"/>
      <c r="D2606" s="32" t="n"/>
      <c r="E2606" s="33" t="n">
        <v>0.9802999999999999</v>
      </c>
      <c r="F2606" t="inlineStr">
        <is>
          <t>Up</t>
        </is>
      </c>
      <c r="G2606" t="inlineStr">
        <is>
          <t>Down</t>
        </is>
      </c>
      <c r="H2606" t="inlineStr">
        <is>
          <t>EU_JD</t>
        </is>
      </c>
      <c r="I2606" t="inlineStr">
        <is>
          <t>2016-10</t>
        </is>
      </c>
      <c r="J2606" t="n">
        <v>1</v>
      </c>
      <c r="K2606" t="n">
        <v>1</v>
      </c>
      <c r="L2606" s="34">
        <f>IF($J2606=1,LN(B2607/B2606),"")</f>
        <v/>
      </c>
      <c r="M2606" s="34">
        <f>IF($K2606=1,INDEX(Mensal!$D$2:$D$245,MATCH($I2606,Mensal!$A$2:$A$245,0)),"")</f>
        <v/>
      </c>
      <c r="N2606" s="34">
        <f>IF($K2606=1,L2606-M2606,"")</f>
        <v/>
      </c>
      <c r="O2606" s="34" t="n">
        <v>0.00051591</v>
      </c>
      <c r="P2606" s="34">
        <f>IF($J2606=1,LN(1+O2606),"")</f>
        <v/>
      </c>
      <c r="Q2606" s="34">
        <f>IF($J2606=1,LN(R2607/R2606),"")</f>
        <v/>
      </c>
      <c r="R2606" s="32" t="n">
        <v>3.1593</v>
      </c>
      <c r="S2606" s="35" t="n">
        <v>12.453</v>
      </c>
      <c r="T2606" s="18" t="n">
        <v>64108.08</v>
      </c>
      <c r="U2606" s="18" t="n"/>
      <c r="V2606" s="18" t="n"/>
      <c r="W2606" s="18" t="n"/>
      <c r="X2606" s="35" t="n"/>
      <c r="Y2606" s="35" t="n">
        <v>12.453</v>
      </c>
    </row>
    <row r="2607">
      <c r="A2607" s="25" t="n">
        <v>42667</v>
      </c>
      <c r="B2607" s="18" t="n">
        <v>64059.89</v>
      </c>
      <c r="C2607" s="31" t="n"/>
      <c r="D2607" s="32" t="n"/>
      <c r="E2607" s="33" t="n">
        <v>0.9931</v>
      </c>
      <c r="F2607" t="inlineStr">
        <is>
          <t>Up</t>
        </is>
      </c>
      <c r="G2607" t="inlineStr">
        <is>
          <t>Down</t>
        </is>
      </c>
      <c r="H2607" t="inlineStr">
        <is>
          <t>EU_JD</t>
        </is>
      </c>
      <c r="I2607" t="inlineStr">
        <is>
          <t>2016-10</t>
        </is>
      </c>
      <c r="J2607" t="n">
        <v>1</v>
      </c>
      <c r="K2607" t="n">
        <v>1</v>
      </c>
      <c r="L2607" s="34">
        <f>IF($J2607=1,LN(B2608/B2607),"")</f>
        <v/>
      </c>
      <c r="M2607" s="34">
        <f>IF($K2607=1,INDEX(Mensal!$D$2:$D$245,MATCH($I2607,Mensal!$A$2:$A$245,0)),"")</f>
        <v/>
      </c>
      <c r="N2607" s="34">
        <f>IF($K2607=1,L2607-M2607,"")</f>
        <v/>
      </c>
      <c r="O2607" s="34" t="n">
        <v>0.00051591</v>
      </c>
      <c r="P2607" s="34">
        <f>IF($J2607=1,LN(1+O2607),"")</f>
        <v/>
      </c>
      <c r="Q2607" s="34">
        <f>IF($J2607=1,LN(R2608/R2607),"")</f>
        <v/>
      </c>
      <c r="R2607" s="32" t="n">
        <v>3.1311</v>
      </c>
      <c r="S2607" s="35" t="n">
        <v>12.408</v>
      </c>
      <c r="T2607" s="18" t="n">
        <v>64059.89</v>
      </c>
      <c r="U2607" s="18" t="n"/>
      <c r="V2607" s="18" t="n"/>
      <c r="W2607" s="18" t="n"/>
      <c r="X2607" s="35" t="n"/>
      <c r="Y2607" s="35" t="n">
        <v>12.408</v>
      </c>
    </row>
    <row r="2608">
      <c r="A2608" s="25" t="n">
        <v>42668</v>
      </c>
      <c r="B2608" s="18" t="n">
        <v>63866.2</v>
      </c>
      <c r="C2608" s="31" t="n"/>
      <c r="D2608" s="32" t="n"/>
      <c r="E2608" s="33" t="n">
        <v>0.9969</v>
      </c>
      <c r="F2608" t="inlineStr">
        <is>
          <t>Up</t>
        </is>
      </c>
      <c r="G2608" t="inlineStr">
        <is>
          <t>Down</t>
        </is>
      </c>
      <c r="H2608" t="inlineStr">
        <is>
          <t>EU_JD</t>
        </is>
      </c>
      <c r="I2608" t="inlineStr">
        <is>
          <t>2016-10</t>
        </is>
      </c>
      <c r="J2608" t="n">
        <v>1</v>
      </c>
      <c r="K2608" t="n">
        <v>1</v>
      </c>
      <c r="L2608" s="34">
        <f>IF($J2608=1,LN(B2609/B2608),"")</f>
        <v/>
      </c>
      <c r="M2608" s="34">
        <f>IF($K2608=1,INDEX(Mensal!$D$2:$D$245,MATCH($I2608,Mensal!$A$2:$A$245,0)),"")</f>
        <v/>
      </c>
      <c r="N2608" s="34">
        <f>IF($K2608=1,L2608-M2608,"")</f>
        <v/>
      </c>
      <c r="O2608" s="34" t="n">
        <v>0.00051591</v>
      </c>
      <c r="P2608" s="34">
        <f>IF($J2608=1,LN(1+O2608),"")</f>
        <v/>
      </c>
      <c r="Q2608" s="34">
        <f>IF($J2608=1,LN(R2609/R2608),"")</f>
        <v/>
      </c>
      <c r="R2608" s="32" t="n">
        <v>3.1193</v>
      </c>
      <c r="S2608" s="35" t="n">
        <v>12.486</v>
      </c>
      <c r="T2608" s="18" t="n">
        <v>63866.2</v>
      </c>
      <c r="U2608" s="18" t="n"/>
      <c r="V2608" s="18" t="n"/>
      <c r="W2608" s="18" t="n"/>
      <c r="X2608" s="35" t="n"/>
      <c r="Y2608" s="35" t="n">
        <v>12.486</v>
      </c>
    </row>
    <row r="2609">
      <c r="A2609" s="25" t="n">
        <v>42669</v>
      </c>
      <c r="B2609" s="18" t="n">
        <v>63825.68</v>
      </c>
      <c r="C2609" s="31" t="n"/>
      <c r="D2609" s="32" t="n"/>
      <c r="E2609" s="33" t="n">
        <v>1</v>
      </c>
      <c r="F2609" t="inlineStr">
        <is>
          <t>Up</t>
        </is>
      </c>
      <c r="G2609" t="inlineStr">
        <is>
          <t>Down</t>
        </is>
      </c>
      <c r="H2609" t="inlineStr">
        <is>
          <t>EU_JD</t>
        </is>
      </c>
      <c r="I2609" t="inlineStr">
        <is>
          <t>2016-10</t>
        </is>
      </c>
      <c r="J2609" t="n">
        <v>1</v>
      </c>
      <c r="K2609" t="n">
        <v>1</v>
      </c>
      <c r="L2609" s="34">
        <f>IF($J2609=1,LN(B2610/B2609),"")</f>
        <v/>
      </c>
      <c r="M2609" s="34">
        <f>IF($K2609=1,INDEX(Mensal!$D$2:$D$245,MATCH($I2609,Mensal!$A$2:$A$245,0)),"")</f>
        <v/>
      </c>
      <c r="N2609" s="34">
        <f>IF($K2609=1,L2609-M2609,"")</f>
        <v/>
      </c>
      <c r="O2609" s="34" t="n">
        <v>0.00051591</v>
      </c>
      <c r="P2609" s="34">
        <f>IF($J2609=1,LN(1+O2609),"")</f>
        <v/>
      </c>
      <c r="Q2609" s="34">
        <f>IF($J2609=1,LN(R2610/R2609),"")</f>
        <v/>
      </c>
      <c r="R2609" s="32" t="n">
        <v>3.1219</v>
      </c>
      <c r="S2609" s="35" t="n">
        <v>12.503</v>
      </c>
      <c r="T2609" s="18" t="n">
        <v>63825.68</v>
      </c>
      <c r="U2609" s="18" t="n"/>
      <c r="V2609" s="18" t="n"/>
      <c r="W2609" s="18" t="n"/>
      <c r="X2609" s="35" t="n"/>
      <c r="Y2609" s="35" t="n">
        <v>12.503</v>
      </c>
    </row>
    <row r="2610">
      <c r="A2610" s="25" t="n">
        <v>42670</v>
      </c>
      <c r="B2610" s="18" t="n">
        <v>64249.5</v>
      </c>
      <c r="C2610" s="31" t="n"/>
      <c r="D2610" s="32" t="n"/>
      <c r="E2610" s="33" t="n">
        <v>0.9923999999999999</v>
      </c>
      <c r="F2610" t="inlineStr">
        <is>
          <t>Up</t>
        </is>
      </c>
      <c r="G2610" t="inlineStr">
        <is>
          <t>Down</t>
        </is>
      </c>
      <c r="H2610" t="inlineStr">
        <is>
          <t>EU_JD</t>
        </is>
      </c>
      <c r="I2610" t="inlineStr">
        <is>
          <t>2016-10</t>
        </is>
      </c>
      <c r="J2610" t="n">
        <v>1</v>
      </c>
      <c r="K2610" t="n">
        <v>1</v>
      </c>
      <c r="L2610" s="34">
        <f>IF($J2610=1,LN(B2611/B2610),"")</f>
        <v/>
      </c>
      <c r="M2610" s="34">
        <f>IF($K2610=1,INDEX(Mensal!$D$2:$D$245,MATCH($I2610,Mensal!$A$2:$A$245,0)),"")</f>
        <v/>
      </c>
      <c r="N2610" s="34">
        <f>IF($K2610=1,L2610-M2610,"")</f>
        <v/>
      </c>
      <c r="O2610" s="34" t="n">
        <v>0.00051591</v>
      </c>
      <c r="P2610" s="34">
        <f>IF($J2610=1,LN(1+O2610),"")</f>
        <v/>
      </c>
      <c r="Q2610" s="34">
        <f>IF($J2610=1,LN(R2611/R2610),"")</f>
        <v/>
      </c>
      <c r="R2610" s="32" t="n">
        <v>3.1429</v>
      </c>
      <c r="S2610" s="35" t="n">
        <v>12.482</v>
      </c>
      <c r="T2610" s="18" t="n">
        <v>64249.5</v>
      </c>
      <c r="U2610" s="18" t="n"/>
      <c r="V2610" s="18" t="n"/>
      <c r="W2610" s="18" t="n"/>
      <c r="X2610" s="35" t="n"/>
      <c r="Y2610" s="35" t="n">
        <v>12.482</v>
      </c>
    </row>
    <row r="2611">
      <c r="A2611" s="25" t="n">
        <v>42671</v>
      </c>
      <c r="B2611" s="18" t="n">
        <v>64307.63</v>
      </c>
      <c r="C2611" s="31" t="n"/>
      <c r="D2611" s="32" t="n"/>
      <c r="E2611" s="33" t="n">
        <v>0.9746</v>
      </c>
      <c r="F2611" t="inlineStr">
        <is>
          <t>Up</t>
        </is>
      </c>
      <c r="G2611" t="inlineStr">
        <is>
          <t>Down</t>
        </is>
      </c>
      <c r="H2611" t="inlineStr">
        <is>
          <t>EU_JD</t>
        </is>
      </c>
      <c r="I2611" t="inlineStr">
        <is>
          <t>2016-10</t>
        </is>
      </c>
      <c r="J2611" t="n">
        <v>1</v>
      </c>
      <c r="K2611" t="n">
        <v>1</v>
      </c>
      <c r="L2611" s="34">
        <f>IF($J2611=1,LN(B2612/B2611),"")</f>
        <v/>
      </c>
      <c r="M2611" s="34">
        <f>IF($K2611=1,INDEX(Mensal!$D$2:$D$245,MATCH($I2611,Mensal!$A$2:$A$245,0)),"")</f>
        <v/>
      </c>
      <c r="N2611" s="34">
        <f>IF($K2611=1,L2611-M2611,"")</f>
        <v/>
      </c>
      <c r="O2611" s="34" t="n">
        <v>0.00051591</v>
      </c>
      <c r="P2611" s="34">
        <f>IF($J2611=1,LN(1+O2611),"")</f>
        <v/>
      </c>
      <c r="Q2611" s="34">
        <f>IF($J2611=1,LN(R2612/R2611),"")</f>
        <v/>
      </c>
      <c r="R2611" s="32" t="n">
        <v>3.1815</v>
      </c>
      <c r="S2611" s="35" t="n">
        <v>12.449</v>
      </c>
      <c r="T2611" s="18" t="n">
        <v>64307.63</v>
      </c>
      <c r="U2611" s="18" t="n"/>
      <c r="V2611" s="18" t="n"/>
      <c r="W2611" s="18" t="n"/>
      <c r="X2611" s="35" t="n"/>
      <c r="Y2611" s="35" t="n">
        <v>12.449</v>
      </c>
    </row>
    <row r="2612">
      <c r="A2612" s="25" t="n">
        <v>42674</v>
      </c>
      <c r="B2612" s="18" t="n">
        <v>64924.51</v>
      </c>
      <c r="C2612" s="31" t="n"/>
      <c r="D2612" s="32" t="n"/>
      <c r="E2612" s="33" t="n">
        <v>0.9589</v>
      </c>
      <c r="F2612" t="inlineStr">
        <is>
          <t>Up</t>
        </is>
      </c>
      <c r="G2612" t="inlineStr">
        <is>
          <t>Down</t>
        </is>
      </c>
      <c r="H2612" t="inlineStr">
        <is>
          <t>EU_JD</t>
        </is>
      </c>
      <c r="I2612" t="inlineStr">
        <is>
          <t>2016-10</t>
        </is>
      </c>
      <c r="J2612" t="n">
        <v>1</v>
      </c>
      <c r="K2612" t="n">
        <v>1</v>
      </c>
      <c r="L2612" s="34">
        <f>IF($J2612=1,LN(B2613/B2612),"")</f>
        <v/>
      </c>
      <c r="M2612" s="34">
        <f>IF($K2612=1,INDEX(Mensal!$D$2:$D$245,MATCH($I2612,Mensal!$A$2:$A$245,0)),"")</f>
        <v/>
      </c>
      <c r="N2612" s="34">
        <f>IF($K2612=1,L2612-M2612,"")</f>
        <v/>
      </c>
      <c r="O2612" s="34" t="n">
        <v>0.00051591</v>
      </c>
      <c r="P2612" s="34">
        <f>IF($J2612=1,LN(1+O2612),"")</f>
        <v/>
      </c>
      <c r="Q2612" s="34">
        <f>IF($J2612=1,LN(R2613/R2612),"")</f>
        <v/>
      </c>
      <c r="R2612" s="32" t="n">
        <v>3.1811</v>
      </c>
      <c r="S2612" s="35" t="n">
        <v>12.425</v>
      </c>
      <c r="T2612" s="18" t="n">
        <v>64924.51</v>
      </c>
      <c r="U2612" s="18" t="n"/>
      <c r="V2612" s="18" t="n"/>
      <c r="W2612" s="18" t="n"/>
      <c r="X2612" s="35" t="n"/>
      <c r="Y2612" s="35" t="n">
        <v>12.425</v>
      </c>
    </row>
    <row r="2613">
      <c r="A2613" s="25" t="n">
        <v>42675</v>
      </c>
      <c r="B2613" s="18" t="n">
        <v>63326.41</v>
      </c>
      <c r="C2613" s="31" t="n"/>
      <c r="D2613" s="32" t="n"/>
      <c r="E2613" s="33" t="n">
        <v>0.9449</v>
      </c>
      <c r="F2613" t="inlineStr">
        <is>
          <t>Up</t>
        </is>
      </c>
      <c r="G2613" t="inlineStr">
        <is>
          <t>Down</t>
        </is>
      </c>
      <c r="H2613" t="inlineStr">
        <is>
          <t>EU_JD</t>
        </is>
      </c>
      <c r="I2613" t="inlineStr">
        <is>
          <t>2016-11</t>
        </is>
      </c>
      <c r="J2613" t="n">
        <v>1</v>
      </c>
      <c r="K2613" t="n">
        <v>1</v>
      </c>
      <c r="L2613" s="34">
        <f>IF($J2613=1,LN(B2614/B2613),"")</f>
        <v/>
      </c>
      <c r="M2613" s="34">
        <f>IF($K2613=1,INDEX(Mensal!$D$2:$D$245,MATCH($I2613,Mensal!$A$2:$A$245,0)),"")</f>
        <v/>
      </c>
      <c r="N2613" s="34">
        <f>IF($K2613=1,L2613-M2613,"")</f>
        <v/>
      </c>
      <c r="O2613" s="34" t="n">
        <v>0.00051591</v>
      </c>
      <c r="P2613" s="34">
        <f>IF($J2613=1,LN(1+O2613),"")</f>
        <v/>
      </c>
      <c r="Q2613" s="34">
        <f>IF($J2613=1,LN(R2614/R2613),"")</f>
        <v/>
      </c>
      <c r="R2613" s="32" t="n">
        <v>3.2053</v>
      </c>
      <c r="S2613" s="35" t="n">
        <v>12.439</v>
      </c>
      <c r="T2613" s="18" t="n">
        <v>63326.41</v>
      </c>
      <c r="U2613" s="18" t="n"/>
      <c r="V2613" s="18" t="n"/>
      <c r="W2613" s="18" t="n"/>
      <c r="X2613" s="35" t="n"/>
      <c r="Y2613" s="35" t="n">
        <v>12.439</v>
      </c>
    </row>
    <row r="2614">
      <c r="A2614" s="25" t="n">
        <v>42677</v>
      </c>
      <c r="B2614" s="18" t="n">
        <v>61750.17</v>
      </c>
      <c r="C2614" s="31" t="n"/>
      <c r="D2614" s="32" t="n"/>
      <c r="E2614" s="33" t="n">
        <v>0.9532</v>
      </c>
      <c r="F2614" t="inlineStr">
        <is>
          <t>Up</t>
        </is>
      </c>
      <c r="G2614" t="inlineStr">
        <is>
          <t>Down</t>
        </is>
      </c>
      <c r="H2614" t="inlineStr">
        <is>
          <t>EU_JD</t>
        </is>
      </c>
      <c r="I2614" t="inlineStr">
        <is>
          <t>2016-11</t>
        </is>
      </c>
      <c r="J2614" t="n">
        <v>1</v>
      </c>
      <c r="K2614" t="n">
        <v>1</v>
      </c>
      <c r="L2614" s="34">
        <f>IF($J2614=1,LN(B2615/B2614),"")</f>
        <v/>
      </c>
      <c r="M2614" s="34">
        <f>IF($K2614=1,INDEX(Mensal!$D$2:$D$245,MATCH($I2614,Mensal!$A$2:$A$245,0)),"")</f>
        <v/>
      </c>
      <c r="N2614" s="34">
        <f>IF($K2614=1,L2614-M2614,"")</f>
        <v/>
      </c>
      <c r="O2614" s="34" t="n">
        <v>0.00051591</v>
      </c>
      <c r="P2614" s="34">
        <f>IF($J2614=1,LN(1+O2614),"")</f>
        <v/>
      </c>
      <c r="Q2614" s="34">
        <f>IF($J2614=1,LN(R2615/R2614),"")</f>
        <v/>
      </c>
      <c r="R2614" s="32" t="n">
        <v>3.231</v>
      </c>
      <c r="S2614" s="35" t="n">
        <v>12.41</v>
      </c>
      <c r="T2614" s="18" t="n">
        <v>61750.17</v>
      </c>
      <c r="U2614" s="18" t="n"/>
      <c r="V2614" s="18" t="n"/>
      <c r="W2614" s="18" t="n"/>
      <c r="X2614" s="35" t="n"/>
      <c r="Y2614" s="35" t="n">
        <v>12.41</v>
      </c>
    </row>
    <row r="2615">
      <c r="A2615" s="25" t="n">
        <v>42678</v>
      </c>
      <c r="B2615" s="18" t="n">
        <v>61598.39</v>
      </c>
      <c r="C2615" s="31" t="n"/>
      <c r="D2615" s="32" t="n"/>
      <c r="E2615" s="33" t="n">
        <v>0.9526</v>
      </c>
      <c r="F2615" t="inlineStr">
        <is>
          <t>Up</t>
        </is>
      </c>
      <c r="G2615" t="inlineStr">
        <is>
          <t>Down</t>
        </is>
      </c>
      <c r="H2615" t="inlineStr">
        <is>
          <t>EU_JD</t>
        </is>
      </c>
      <c r="I2615" t="inlineStr">
        <is>
          <t>2016-11</t>
        </is>
      </c>
      <c r="J2615" t="n">
        <v>1</v>
      </c>
      <c r="K2615" t="n">
        <v>1</v>
      </c>
      <c r="L2615" s="34">
        <f>IF($J2615=1,LN(B2616/B2615),"")</f>
        <v/>
      </c>
      <c r="M2615" s="34">
        <f>IF($K2615=1,INDEX(Mensal!$D$2:$D$245,MATCH($I2615,Mensal!$A$2:$A$245,0)),"")</f>
        <v/>
      </c>
      <c r="N2615" s="34">
        <f>IF($K2615=1,L2615-M2615,"")</f>
        <v/>
      </c>
      <c r="O2615" s="34" t="n">
        <v>0.00051591</v>
      </c>
      <c r="P2615" s="34">
        <f>IF($J2615=1,LN(1+O2615),"")</f>
        <v/>
      </c>
      <c r="Q2615" s="34">
        <f>IF($J2615=1,LN(R2616/R2615),"")</f>
        <v/>
      </c>
      <c r="R2615" s="32" t="n">
        <v>3.2449</v>
      </c>
      <c r="S2615" s="35" t="n">
        <v>12.394</v>
      </c>
      <c r="T2615" s="18" t="n">
        <v>61598.39</v>
      </c>
      <c r="U2615" s="18" t="n"/>
      <c r="V2615" s="18" t="n"/>
      <c r="W2615" s="18" t="n"/>
      <c r="X2615" s="35" t="n"/>
      <c r="Y2615" s="35" t="n">
        <v>12.394</v>
      </c>
    </row>
    <row r="2616">
      <c r="A2616" s="25" t="n">
        <v>42681</v>
      </c>
      <c r="B2616" s="18" t="n">
        <v>64051.65</v>
      </c>
      <c r="C2616" s="31" t="n"/>
      <c r="D2616" s="32" t="n"/>
      <c r="E2616" s="33" t="n">
        <v>0.9626</v>
      </c>
      <c r="F2616" t="inlineStr">
        <is>
          <t>Up</t>
        </is>
      </c>
      <c r="G2616" t="inlineStr">
        <is>
          <t>Down</t>
        </is>
      </c>
      <c r="H2616" t="inlineStr">
        <is>
          <t>EU_JD</t>
        </is>
      </c>
      <c r="I2616" t="inlineStr">
        <is>
          <t>2016-11</t>
        </is>
      </c>
      <c r="J2616" t="n">
        <v>1</v>
      </c>
      <c r="K2616" t="n">
        <v>1</v>
      </c>
      <c r="L2616" s="34">
        <f>IF($J2616=1,LN(B2617/B2616),"")</f>
        <v/>
      </c>
      <c r="M2616" s="34">
        <f>IF($K2616=1,INDEX(Mensal!$D$2:$D$245,MATCH($I2616,Mensal!$A$2:$A$245,0)),"")</f>
        <v/>
      </c>
      <c r="N2616" s="34">
        <f>IF($K2616=1,L2616-M2616,"")</f>
        <v/>
      </c>
      <c r="O2616" s="34" t="n">
        <v>0.00051591</v>
      </c>
      <c r="P2616" s="34">
        <f>IF($J2616=1,LN(1+O2616),"")</f>
        <v/>
      </c>
      <c r="Q2616" s="34">
        <f>IF($J2616=1,LN(R2617/R2616),"")</f>
        <v/>
      </c>
      <c r="R2616" s="32" t="n">
        <v>3.2024</v>
      </c>
      <c r="S2616" s="35" t="n">
        <v>12.338</v>
      </c>
      <c r="T2616" s="18" t="n">
        <v>64051.65</v>
      </c>
      <c r="U2616" s="18" t="n"/>
      <c r="V2616" s="18" t="n"/>
      <c r="W2616" s="18" t="n"/>
      <c r="X2616" s="35" t="n"/>
      <c r="Y2616" s="35" t="n">
        <v>12.338</v>
      </c>
    </row>
    <row r="2617">
      <c r="A2617" s="25" t="n">
        <v>42682</v>
      </c>
      <c r="B2617" s="18" t="n">
        <v>64157.67</v>
      </c>
      <c r="C2617" s="31" t="n"/>
      <c r="D2617" s="32" t="n"/>
      <c r="E2617" s="33" t="n">
        <v>0.9593</v>
      </c>
      <c r="F2617" t="inlineStr">
        <is>
          <t>Up</t>
        </is>
      </c>
      <c r="G2617" t="inlineStr">
        <is>
          <t>Down</t>
        </is>
      </c>
      <c r="H2617" t="inlineStr">
        <is>
          <t>EU_JD</t>
        </is>
      </c>
      <c r="I2617" t="inlineStr">
        <is>
          <t>2016-11</t>
        </is>
      </c>
      <c r="J2617" t="n">
        <v>1</v>
      </c>
      <c r="K2617" t="n">
        <v>1</v>
      </c>
      <c r="L2617" s="34">
        <f>IF($J2617=1,LN(B2618/B2617),"")</f>
        <v/>
      </c>
      <c r="M2617" s="34">
        <f>IF($K2617=1,INDEX(Mensal!$D$2:$D$245,MATCH($I2617,Mensal!$A$2:$A$245,0)),"")</f>
        <v/>
      </c>
      <c r="N2617" s="34">
        <f>IF($K2617=1,L2617-M2617,"")</f>
        <v/>
      </c>
      <c r="O2617" s="34" t="n">
        <v>0.00051591</v>
      </c>
      <c r="P2617" s="34">
        <f>IF($J2617=1,LN(1+O2617),"")</f>
        <v/>
      </c>
      <c r="Q2617" s="34">
        <f>IF($J2617=1,LN(R2618/R2617),"")</f>
        <v/>
      </c>
      <c r="R2617" s="32" t="n">
        <v>3.2024</v>
      </c>
      <c r="S2617" s="35" t="n">
        <v>12.289</v>
      </c>
      <c r="T2617" s="18" t="n">
        <v>64157.67</v>
      </c>
      <c r="U2617" s="18" t="n"/>
      <c r="V2617" s="18" t="n"/>
      <c r="W2617" s="18" t="n"/>
      <c r="X2617" s="35" t="n"/>
      <c r="Y2617" s="35" t="n">
        <v>12.289</v>
      </c>
    </row>
    <row r="2618">
      <c r="A2618" s="25" t="n">
        <v>42683</v>
      </c>
      <c r="B2618" s="18" t="n">
        <v>63258.26</v>
      </c>
      <c r="C2618" s="31" t="n"/>
      <c r="D2618" s="32" t="n"/>
      <c r="E2618" s="33" t="n">
        <v>0.9602000000000001</v>
      </c>
      <c r="F2618" t="inlineStr">
        <is>
          <t>Up</t>
        </is>
      </c>
      <c r="G2618" t="inlineStr">
        <is>
          <t>Down</t>
        </is>
      </c>
      <c r="H2618" t="inlineStr">
        <is>
          <t>EU_JD</t>
        </is>
      </c>
      <c r="I2618" t="inlineStr">
        <is>
          <t>2016-11</t>
        </is>
      </c>
      <c r="J2618" t="n">
        <v>1</v>
      </c>
      <c r="K2618" t="n">
        <v>1</v>
      </c>
      <c r="L2618" s="34">
        <f>IF($J2618=1,LN(B2619/B2618),"")</f>
        <v/>
      </c>
      <c r="M2618" s="34">
        <f>IF($K2618=1,INDEX(Mensal!$D$2:$D$245,MATCH($I2618,Mensal!$A$2:$A$245,0)),"")</f>
        <v/>
      </c>
      <c r="N2618" s="34">
        <f>IF($K2618=1,L2618-M2618,"")</f>
        <v/>
      </c>
      <c r="O2618" s="34" t="n">
        <v>0.00051591</v>
      </c>
      <c r="P2618" s="34">
        <f>IF($J2618=1,LN(1+O2618),"")</f>
        <v/>
      </c>
      <c r="Q2618" s="34">
        <f>IF($J2618=1,LN(R2619/R2618),"")</f>
        <v/>
      </c>
      <c r="R2618" s="32" t="n">
        <v>3.2258</v>
      </c>
      <c r="S2618" s="35" t="n">
        <v>12.328</v>
      </c>
      <c r="T2618" s="18" t="n">
        <v>63258.26</v>
      </c>
      <c r="U2618" s="18" t="n"/>
      <c r="V2618" s="18" t="n"/>
      <c r="W2618" s="18" t="n"/>
      <c r="X2618" s="35" t="n"/>
      <c r="Y2618" s="35" t="n">
        <v>12.328</v>
      </c>
    </row>
    <row r="2619">
      <c r="A2619" s="25" t="n">
        <v>42684</v>
      </c>
      <c r="B2619" s="18" t="n">
        <v>61200.95</v>
      </c>
      <c r="C2619" s="31" t="n"/>
      <c r="D2619" s="32" t="n"/>
      <c r="E2619" s="33" t="n">
        <v>0.9615</v>
      </c>
      <c r="F2619" t="inlineStr">
        <is>
          <t>Up</t>
        </is>
      </c>
      <c r="G2619" t="inlineStr">
        <is>
          <t>Down</t>
        </is>
      </c>
      <c r="H2619" t="inlineStr">
        <is>
          <t>EU_JD</t>
        </is>
      </c>
      <c r="I2619" t="inlineStr">
        <is>
          <t>2016-11</t>
        </is>
      </c>
      <c r="J2619" t="n">
        <v>1</v>
      </c>
      <c r="K2619" t="n">
        <v>1</v>
      </c>
      <c r="L2619" s="34">
        <f>IF($J2619=1,LN(B2620/B2619),"")</f>
        <v/>
      </c>
      <c r="M2619" s="34">
        <f>IF($K2619=1,INDEX(Mensal!$D$2:$D$245,MATCH($I2619,Mensal!$A$2:$A$245,0)),"")</f>
        <v/>
      </c>
      <c r="N2619" s="34">
        <f>IF($K2619=1,L2619-M2619,"")</f>
        <v/>
      </c>
      <c r="O2619" s="34" t="n">
        <v>0.00051591</v>
      </c>
      <c r="P2619" s="34">
        <f>IF($J2619=1,LN(1+O2619),"")</f>
        <v/>
      </c>
      <c r="Q2619" s="34">
        <f>IF($J2619=1,LN(R2620/R2619),"")</f>
        <v/>
      </c>
      <c r="R2619" s="32" t="n">
        <v>3.3104</v>
      </c>
      <c r="S2619" s="35" t="n">
        <v>12.421</v>
      </c>
      <c r="T2619" s="18" t="n">
        <v>61200.95</v>
      </c>
      <c r="U2619" s="18" t="n"/>
      <c r="V2619" s="18" t="n"/>
      <c r="W2619" s="18" t="n"/>
      <c r="X2619" s="35" t="n"/>
      <c r="Y2619" s="35" t="n">
        <v>12.421</v>
      </c>
    </row>
    <row r="2620">
      <c r="A2620" s="25" t="n">
        <v>42685</v>
      </c>
      <c r="B2620" s="18" t="n">
        <v>59183.5</v>
      </c>
      <c r="C2620" s="31" t="n"/>
      <c r="D2620" s="32" t="n"/>
      <c r="E2620" s="33" t="n">
        <v>0.954</v>
      </c>
      <c r="F2620" t="inlineStr">
        <is>
          <t>Up</t>
        </is>
      </c>
      <c r="G2620" t="inlineStr">
        <is>
          <t>Down</t>
        </is>
      </c>
      <c r="H2620" t="inlineStr">
        <is>
          <t>EU_JD</t>
        </is>
      </c>
      <c r="I2620" t="inlineStr">
        <is>
          <t>2016-11</t>
        </is>
      </c>
      <c r="J2620" t="n">
        <v>1</v>
      </c>
      <c r="K2620" t="n">
        <v>1</v>
      </c>
      <c r="L2620" s="34">
        <f>IF($J2620=1,LN(B2621/B2620),"")</f>
        <v/>
      </c>
      <c r="M2620" s="34">
        <f>IF($K2620=1,INDEX(Mensal!$D$2:$D$245,MATCH($I2620,Mensal!$A$2:$A$245,0)),"")</f>
        <v/>
      </c>
      <c r="N2620" s="34">
        <f>IF($K2620=1,L2620-M2620,"")</f>
        <v/>
      </c>
      <c r="O2620" s="34" t="n">
        <v>0.00051591</v>
      </c>
      <c r="P2620" s="34">
        <f>IF($J2620=1,LN(1+O2620),"")</f>
        <v/>
      </c>
      <c r="Q2620" s="34">
        <f>IF($J2620=1,LN(R2621/R2620),"")</f>
        <v/>
      </c>
      <c r="R2620" s="32" t="n">
        <v>3.4377</v>
      </c>
      <c r="S2620" s="35" t="n">
        <v>12.497</v>
      </c>
      <c r="T2620" s="18" t="n">
        <v>59183.5</v>
      </c>
      <c r="U2620" s="18" t="n"/>
      <c r="V2620" s="18" t="n"/>
      <c r="W2620" s="18" t="n"/>
      <c r="X2620" s="35" t="n"/>
      <c r="Y2620" s="35" t="n">
        <v>12.497</v>
      </c>
    </row>
    <row r="2621">
      <c r="A2621" s="25" t="n">
        <v>42688</v>
      </c>
      <c r="B2621" s="18" t="n">
        <v>59657.46</v>
      </c>
      <c r="C2621" s="31" t="n"/>
      <c r="D2621" s="32" t="n"/>
      <c r="E2621" s="33" t="n">
        <v>0.96</v>
      </c>
      <c r="F2621" t="inlineStr">
        <is>
          <t>Up</t>
        </is>
      </c>
      <c r="G2621" t="inlineStr">
        <is>
          <t>Down</t>
        </is>
      </c>
      <c r="H2621" t="inlineStr">
        <is>
          <t>EU_JD</t>
        </is>
      </c>
      <c r="I2621" t="inlineStr">
        <is>
          <t>2016-11</t>
        </is>
      </c>
      <c r="J2621" t="n">
        <v>1</v>
      </c>
      <c r="K2621" t="n">
        <v>1</v>
      </c>
      <c r="L2621" s="34">
        <f>IF($J2621=1,LN(B2622/B2621),"")</f>
        <v/>
      </c>
      <c r="M2621" s="34">
        <f>IF($K2621=1,INDEX(Mensal!$D$2:$D$245,MATCH($I2621,Mensal!$A$2:$A$245,0)),"")</f>
        <v/>
      </c>
      <c r="N2621" s="34">
        <f>IF($K2621=1,L2621-M2621,"")</f>
        <v/>
      </c>
      <c r="O2621" s="34" t="n">
        <v>0.00051591</v>
      </c>
      <c r="P2621" s="34">
        <f>IF($J2621=1,LN(1+O2621),"")</f>
        <v/>
      </c>
      <c r="Q2621" s="34">
        <f>IF($J2621=1,LN(R2622/R2621),"")</f>
        <v/>
      </c>
      <c r="R2621" s="32" t="n">
        <v>3.4446</v>
      </c>
      <c r="S2621" s="35" t="n">
        <v>12.661</v>
      </c>
      <c r="T2621" s="18" t="n">
        <v>59657.46</v>
      </c>
      <c r="U2621" s="18" t="n"/>
      <c r="V2621" s="18" t="n"/>
      <c r="W2621" s="18" t="n"/>
      <c r="X2621" s="35" t="n"/>
      <c r="Y2621" s="35" t="n">
        <v>12.661</v>
      </c>
    </row>
    <row r="2622">
      <c r="A2622" s="25" t="n">
        <v>42690</v>
      </c>
      <c r="B2622" s="18" t="n">
        <v>60759.31</v>
      </c>
      <c r="C2622" s="31" t="n"/>
      <c r="D2622" s="32" t="n"/>
      <c r="E2622" s="33" t="n">
        <v>0.9571</v>
      </c>
      <c r="F2622" t="inlineStr">
        <is>
          <t>Up</t>
        </is>
      </c>
      <c r="G2622" t="inlineStr">
        <is>
          <t>Down</t>
        </is>
      </c>
      <c r="H2622" t="inlineStr">
        <is>
          <t>EU_JD</t>
        </is>
      </c>
      <c r="I2622" t="inlineStr">
        <is>
          <t>2016-11</t>
        </is>
      </c>
      <c r="J2622" t="n">
        <v>1</v>
      </c>
      <c r="K2622" t="n">
        <v>1</v>
      </c>
      <c r="L2622" s="34">
        <f>IF($J2622=1,LN(B2623/B2622),"")</f>
        <v/>
      </c>
      <c r="M2622" s="34">
        <f>IF($K2622=1,INDEX(Mensal!$D$2:$D$245,MATCH($I2622,Mensal!$A$2:$A$245,0)),"")</f>
        <v/>
      </c>
      <c r="N2622" s="34">
        <f>IF($K2622=1,L2622-M2622,"")</f>
        <v/>
      </c>
      <c r="O2622" s="34" t="n">
        <v>0.00051591</v>
      </c>
      <c r="P2622" s="34">
        <f>IF($J2622=1,LN(1+O2622),"")</f>
        <v/>
      </c>
      <c r="Q2622" s="34">
        <f>IF($J2622=1,LN(R2623/R2622),"")</f>
        <v/>
      </c>
      <c r="R2622" s="32" t="n">
        <v>3.4183</v>
      </c>
      <c r="S2622" s="35" t="n">
        <v>12.549</v>
      </c>
      <c r="T2622" s="18" t="n">
        <v>60759.31</v>
      </c>
      <c r="U2622" s="18" t="n"/>
      <c r="V2622" s="18" t="n"/>
      <c r="W2622" s="18" t="n"/>
      <c r="X2622" s="35" t="n"/>
      <c r="Y2622" s="35" t="n">
        <v>12.549</v>
      </c>
    </row>
    <row r="2623">
      <c r="A2623" s="25" t="n">
        <v>42691</v>
      </c>
      <c r="B2623" s="18" t="n">
        <v>59770.47</v>
      </c>
      <c r="C2623" s="31" t="n"/>
      <c r="D2623" s="32" t="n"/>
      <c r="E2623" s="33" t="n">
        <v>0.9512</v>
      </c>
      <c r="F2623" t="inlineStr">
        <is>
          <t>Up</t>
        </is>
      </c>
      <c r="G2623" t="inlineStr">
        <is>
          <t>Down</t>
        </is>
      </c>
      <c r="H2623" t="inlineStr">
        <is>
          <t>EU_JD</t>
        </is>
      </c>
      <c r="I2623" t="inlineStr">
        <is>
          <t>2016-11</t>
        </is>
      </c>
      <c r="J2623" t="n">
        <v>1</v>
      </c>
      <c r="K2623" t="n">
        <v>1</v>
      </c>
      <c r="L2623" s="34">
        <f>IF($J2623=1,LN(B2624/B2623),"")</f>
        <v/>
      </c>
      <c r="M2623" s="34">
        <f>IF($K2623=1,INDEX(Mensal!$D$2:$D$245,MATCH($I2623,Mensal!$A$2:$A$245,0)),"")</f>
        <v/>
      </c>
      <c r="N2623" s="34">
        <f>IF($K2623=1,L2623-M2623,"")</f>
        <v/>
      </c>
      <c r="O2623" s="34" t="n">
        <v>0.00051591</v>
      </c>
      <c r="P2623" s="34">
        <f>IF($J2623=1,LN(1+O2623),"")</f>
        <v/>
      </c>
      <c r="Q2623" s="34">
        <f>IF($J2623=1,LN(R2624/R2623),"")</f>
        <v/>
      </c>
      <c r="R2623" s="32" t="n">
        <v>3.4052</v>
      </c>
      <c r="S2623" s="35" t="n">
        <v>12.55</v>
      </c>
      <c r="T2623" s="18" t="n">
        <v>59770.47</v>
      </c>
      <c r="U2623" s="18" t="n"/>
      <c r="V2623" s="18" t="n"/>
      <c r="W2623" s="18" t="n"/>
      <c r="X2623" s="35" t="n"/>
      <c r="Y2623" s="35" t="n">
        <v>12.55</v>
      </c>
    </row>
    <row r="2624">
      <c r="A2624" s="25" t="n">
        <v>42692</v>
      </c>
      <c r="B2624" s="18" t="n">
        <v>59961.76</v>
      </c>
      <c r="C2624" s="31" t="n"/>
      <c r="D2624" s="32" t="n"/>
      <c r="E2624" s="33" t="n">
        <v>0.9406</v>
      </c>
      <c r="F2624" t="inlineStr">
        <is>
          <t>Up</t>
        </is>
      </c>
      <c r="G2624" t="inlineStr">
        <is>
          <t>Down</t>
        </is>
      </c>
      <c r="H2624" t="inlineStr">
        <is>
          <t>EU_JD</t>
        </is>
      </c>
      <c r="I2624" t="inlineStr">
        <is>
          <t>2016-11</t>
        </is>
      </c>
      <c r="J2624" t="n">
        <v>1</v>
      </c>
      <c r="K2624" t="n">
        <v>1</v>
      </c>
      <c r="L2624" s="34">
        <f>IF($J2624=1,LN(B2625/B2624),"")</f>
        <v/>
      </c>
      <c r="M2624" s="34">
        <f>IF($K2624=1,INDEX(Mensal!$D$2:$D$245,MATCH($I2624,Mensal!$A$2:$A$245,0)),"")</f>
        <v/>
      </c>
      <c r="N2624" s="34">
        <f>IF($K2624=1,L2624-M2624,"")</f>
        <v/>
      </c>
      <c r="O2624" s="34" t="n">
        <v>0.00051591</v>
      </c>
      <c r="P2624" s="34">
        <f>IF($J2624=1,LN(1+O2624),"")</f>
        <v/>
      </c>
      <c r="Q2624" s="34">
        <f>IF($J2624=1,LN(R2625/R2624),"")</f>
        <v/>
      </c>
      <c r="R2624" s="32" t="n">
        <v>3.3917</v>
      </c>
      <c r="S2624" s="35" t="n">
        <v>12.516</v>
      </c>
      <c r="T2624" s="18" t="n">
        <v>59961.76</v>
      </c>
      <c r="U2624" s="18" t="n"/>
      <c r="V2624" s="18" t="n"/>
      <c r="W2624" s="18" t="n"/>
      <c r="X2624" s="35" t="n"/>
      <c r="Y2624" s="35" t="n">
        <v>12.516</v>
      </c>
    </row>
    <row r="2625">
      <c r="A2625" s="25" t="n">
        <v>42695</v>
      </c>
      <c r="B2625" s="18" t="n">
        <v>61070.27</v>
      </c>
      <c r="C2625" s="31" t="n"/>
      <c r="D2625" s="32" t="n"/>
      <c r="E2625" s="33" t="n">
        <v>0.9317</v>
      </c>
      <c r="F2625" t="inlineStr">
        <is>
          <t>Up</t>
        </is>
      </c>
      <c r="G2625" t="inlineStr">
        <is>
          <t>Down</t>
        </is>
      </c>
      <c r="H2625" t="inlineStr">
        <is>
          <t>EU_JD</t>
        </is>
      </c>
      <c r="I2625" t="inlineStr">
        <is>
          <t>2016-11</t>
        </is>
      </c>
      <c r="J2625" t="n">
        <v>1</v>
      </c>
      <c r="K2625" t="n">
        <v>1</v>
      </c>
      <c r="L2625" s="34">
        <f>IF($J2625=1,LN(B2626/B2625),"")</f>
        <v/>
      </c>
      <c r="M2625" s="34">
        <f>IF($K2625=1,INDEX(Mensal!$D$2:$D$245,MATCH($I2625,Mensal!$A$2:$A$245,0)),"")</f>
        <v/>
      </c>
      <c r="N2625" s="34">
        <f>IF($K2625=1,L2625-M2625,"")</f>
        <v/>
      </c>
      <c r="O2625" s="34" t="n">
        <v>0.00051591</v>
      </c>
      <c r="P2625" s="34">
        <f>IF($J2625=1,LN(1+O2625),"")</f>
        <v/>
      </c>
      <c r="Q2625" s="34">
        <f>IF($J2625=1,LN(R2626/R2625),"")</f>
        <v/>
      </c>
      <c r="R2625" s="32" t="n">
        <v>3.3517</v>
      </c>
      <c r="S2625" s="35" t="n">
        <v>12.338</v>
      </c>
      <c r="T2625" s="18" t="n">
        <v>61070.27</v>
      </c>
      <c r="U2625" s="18" t="n"/>
      <c r="V2625" s="18" t="n"/>
      <c r="W2625" s="18" t="n"/>
      <c r="X2625" s="35" t="n"/>
      <c r="Y2625" s="35" t="n">
        <v>12.338</v>
      </c>
    </row>
    <row r="2626">
      <c r="A2626" s="25" t="n">
        <v>42696</v>
      </c>
      <c r="B2626" s="18" t="n">
        <v>61954.47</v>
      </c>
      <c r="C2626" s="31" t="n"/>
      <c r="D2626" s="32" t="n"/>
      <c r="E2626" s="33" t="n">
        <v>0.9218</v>
      </c>
      <c r="F2626" t="inlineStr">
        <is>
          <t>Up</t>
        </is>
      </c>
      <c r="G2626" t="inlineStr">
        <is>
          <t>Down</t>
        </is>
      </c>
      <c r="H2626" t="inlineStr">
        <is>
          <t>EU_JD</t>
        </is>
      </c>
      <c r="I2626" t="inlineStr">
        <is>
          <t>2016-11</t>
        </is>
      </c>
      <c r="J2626" t="n">
        <v>1</v>
      </c>
      <c r="K2626" t="n">
        <v>1</v>
      </c>
      <c r="L2626" s="34">
        <f>IF($J2626=1,LN(B2627/B2626),"")</f>
        <v/>
      </c>
      <c r="M2626" s="34">
        <f>IF($K2626=1,INDEX(Mensal!$D$2:$D$245,MATCH($I2626,Mensal!$A$2:$A$245,0)),"")</f>
        <v/>
      </c>
      <c r="N2626" s="34">
        <f>IF($K2626=1,L2626-M2626,"")</f>
        <v/>
      </c>
      <c r="O2626" s="34" t="n">
        <v>0.00051591</v>
      </c>
      <c r="P2626" s="34">
        <f>IF($J2626=1,LN(1+O2626),"")</f>
        <v/>
      </c>
      <c r="Q2626" s="34">
        <f>IF($J2626=1,LN(R2627/R2626),"")</f>
        <v/>
      </c>
      <c r="R2626" s="32" t="n">
        <v>3.3476</v>
      </c>
      <c r="S2626" s="35" t="n">
        <v>12.275</v>
      </c>
      <c r="T2626" s="18" t="n">
        <v>61954.47</v>
      </c>
      <c r="U2626" s="18" t="n"/>
      <c r="V2626" s="18" t="n"/>
      <c r="W2626" s="18" t="n"/>
      <c r="X2626" s="35" t="n"/>
      <c r="Y2626" s="35" t="n">
        <v>12.275</v>
      </c>
    </row>
    <row r="2627">
      <c r="A2627" s="25" t="n">
        <v>42697</v>
      </c>
      <c r="B2627" s="18" t="n">
        <v>61985.9</v>
      </c>
      <c r="C2627" s="31" t="n"/>
      <c r="D2627" s="32" t="n"/>
      <c r="E2627" s="33" t="n">
        <v>0.9232</v>
      </c>
      <c r="F2627" t="inlineStr">
        <is>
          <t>Up</t>
        </is>
      </c>
      <c r="G2627" t="inlineStr">
        <is>
          <t>Down</t>
        </is>
      </c>
      <c r="H2627" t="inlineStr">
        <is>
          <t>EU_JD</t>
        </is>
      </c>
      <c r="I2627" t="inlineStr">
        <is>
          <t>2016-11</t>
        </is>
      </c>
      <c r="J2627" t="n">
        <v>1</v>
      </c>
      <c r="K2627" t="n">
        <v>1</v>
      </c>
      <c r="L2627" s="34">
        <f>IF($J2627=1,LN(B2628/B2627),"")</f>
        <v/>
      </c>
      <c r="M2627" s="34">
        <f>IF($K2627=1,INDEX(Mensal!$D$2:$D$245,MATCH($I2627,Mensal!$A$2:$A$245,0)),"")</f>
        <v/>
      </c>
      <c r="N2627" s="34">
        <f>IF($K2627=1,L2627-M2627,"")</f>
        <v/>
      </c>
      <c r="O2627" s="34" t="n">
        <v>0.00051591</v>
      </c>
      <c r="P2627" s="34">
        <f>IF($J2627=1,LN(1+O2627),"")</f>
        <v/>
      </c>
      <c r="Q2627" s="34">
        <f>IF($J2627=1,LN(R2628/R2627),"")</f>
        <v/>
      </c>
      <c r="R2627" s="32" t="n">
        <v>3.3927</v>
      </c>
      <c r="S2627" s="35" t="n">
        <v>12.264</v>
      </c>
      <c r="T2627" s="18" t="n">
        <v>61985.9</v>
      </c>
      <c r="U2627" s="18" t="n"/>
      <c r="V2627" s="18" t="n"/>
      <c r="W2627" s="18" t="n"/>
      <c r="X2627" s="35" t="n"/>
      <c r="Y2627" s="35" t="n">
        <v>12.264</v>
      </c>
    </row>
    <row r="2628">
      <c r="A2628" s="25" t="n">
        <v>42698</v>
      </c>
      <c r="B2628" s="18" t="n">
        <v>61395.53</v>
      </c>
      <c r="C2628" s="31" t="n"/>
      <c r="D2628" s="32" t="n"/>
      <c r="E2628" s="33" t="n">
        <v>0.9330000000000001</v>
      </c>
      <c r="F2628" t="inlineStr">
        <is>
          <t>Up</t>
        </is>
      </c>
      <c r="G2628" t="inlineStr">
        <is>
          <t>Down</t>
        </is>
      </c>
      <c r="H2628" t="inlineStr">
        <is>
          <t>EU_JD</t>
        </is>
      </c>
      <c r="I2628" t="inlineStr">
        <is>
          <t>2016-11</t>
        </is>
      </c>
      <c r="J2628" t="n">
        <v>1</v>
      </c>
      <c r="K2628" t="n">
        <v>1</v>
      </c>
      <c r="L2628" s="34">
        <f>IF($J2628=1,LN(B2629/B2628),"")</f>
        <v/>
      </c>
      <c r="M2628" s="34">
        <f>IF($K2628=1,INDEX(Mensal!$D$2:$D$245,MATCH($I2628,Mensal!$A$2:$A$245,0)),"")</f>
        <v/>
      </c>
      <c r="N2628" s="34">
        <f>IF($K2628=1,L2628-M2628,"")</f>
        <v/>
      </c>
      <c r="O2628" s="34" t="n">
        <v>0.00051591</v>
      </c>
      <c r="P2628" s="34">
        <f>IF($J2628=1,LN(1+O2628),"")</f>
        <v/>
      </c>
      <c r="Q2628" s="34">
        <f>IF($J2628=1,LN(R2629/R2628),"")</f>
        <v/>
      </c>
      <c r="R2628" s="32" t="n">
        <v>3.3987</v>
      </c>
      <c r="S2628" s="35" t="n">
        <v>12.258</v>
      </c>
      <c r="T2628" s="18" t="n">
        <v>61395.53</v>
      </c>
      <c r="U2628" s="18" t="n"/>
      <c r="V2628" s="18" t="n"/>
      <c r="W2628" s="18" t="n"/>
      <c r="X2628" s="35" t="n"/>
      <c r="Y2628" s="35" t="n">
        <v>12.258</v>
      </c>
    </row>
    <row r="2629">
      <c r="A2629" s="25" t="n">
        <v>42699</v>
      </c>
      <c r="B2629" s="18" t="n">
        <v>61559.07</v>
      </c>
      <c r="C2629" s="31" t="n"/>
      <c r="D2629" s="32" t="n"/>
      <c r="E2629" s="33" t="n">
        <v>0.9520999999999999</v>
      </c>
      <c r="F2629" t="inlineStr">
        <is>
          <t>Up</t>
        </is>
      </c>
      <c r="G2629" t="inlineStr">
        <is>
          <t>Down</t>
        </is>
      </c>
      <c r="H2629" t="inlineStr">
        <is>
          <t>EU_JD</t>
        </is>
      </c>
      <c r="I2629" t="inlineStr">
        <is>
          <t>2016-11</t>
        </is>
      </c>
      <c r="J2629" t="n">
        <v>1</v>
      </c>
      <c r="K2629" t="n">
        <v>1</v>
      </c>
      <c r="L2629" s="34">
        <f>IF($J2629=1,LN(B2630/B2629),"")</f>
        <v/>
      </c>
      <c r="M2629" s="34">
        <f>IF($K2629=1,INDEX(Mensal!$D$2:$D$245,MATCH($I2629,Mensal!$A$2:$A$245,0)),"")</f>
        <v/>
      </c>
      <c r="N2629" s="34">
        <f>IF($K2629=1,L2629-M2629,"")</f>
        <v/>
      </c>
      <c r="O2629" s="34" t="n">
        <v>0.00051591</v>
      </c>
      <c r="P2629" s="34">
        <f>IF($J2629=1,LN(1+O2629),"")</f>
        <v/>
      </c>
      <c r="Q2629" s="34">
        <f>IF($J2629=1,LN(R2630/R2629),"")</f>
        <v/>
      </c>
      <c r="R2629" s="32" t="n">
        <v>3.4279</v>
      </c>
      <c r="S2629" s="35" t="n">
        <v>12.271</v>
      </c>
      <c r="T2629" s="18" t="n">
        <v>61559.07</v>
      </c>
      <c r="U2629" s="18" t="n"/>
      <c r="V2629" s="18" t="n"/>
      <c r="W2629" s="18" t="n"/>
      <c r="X2629" s="35" t="n"/>
      <c r="Y2629" s="35" t="n">
        <v>12.271</v>
      </c>
    </row>
    <row r="2630">
      <c r="A2630" s="25" t="n">
        <v>42702</v>
      </c>
      <c r="B2630" s="18" t="n">
        <v>62855.49</v>
      </c>
      <c r="C2630" s="31" t="n"/>
      <c r="D2630" s="32" t="n"/>
      <c r="E2630" s="33" t="n">
        <v>0.9722</v>
      </c>
      <c r="F2630" t="inlineStr">
        <is>
          <t>Up</t>
        </is>
      </c>
      <c r="G2630" t="inlineStr">
        <is>
          <t>Down</t>
        </is>
      </c>
      <c r="H2630" t="inlineStr">
        <is>
          <t>EU_JD</t>
        </is>
      </c>
      <c r="I2630" t="inlineStr">
        <is>
          <t>2016-11</t>
        </is>
      </c>
      <c r="J2630" t="n">
        <v>1</v>
      </c>
      <c r="K2630" t="n">
        <v>1</v>
      </c>
      <c r="L2630" s="34">
        <f>IF($J2630=1,LN(B2631/B2630),"")</f>
        <v/>
      </c>
      <c r="M2630" s="34">
        <f>IF($K2630=1,INDEX(Mensal!$D$2:$D$245,MATCH($I2630,Mensal!$A$2:$A$245,0)),"")</f>
        <v/>
      </c>
      <c r="N2630" s="34">
        <f>IF($K2630=1,L2630-M2630,"")</f>
        <v/>
      </c>
      <c r="O2630" s="34" t="n">
        <v>0.00051591</v>
      </c>
      <c r="P2630" s="34">
        <f>IF($J2630=1,LN(1+O2630),"")</f>
        <v/>
      </c>
      <c r="Q2630" s="34">
        <f>IF($J2630=1,LN(R2631/R2630),"")</f>
        <v/>
      </c>
      <c r="R2630" s="32" t="n">
        <v>3.3996</v>
      </c>
      <c r="S2630" s="35" t="n">
        <v>12.228</v>
      </c>
      <c r="T2630" s="18" t="n">
        <v>62855.49</v>
      </c>
      <c r="U2630" s="18" t="n"/>
      <c r="V2630" s="18" t="n"/>
      <c r="W2630" s="18" t="n"/>
      <c r="X2630" s="35" t="n"/>
      <c r="Y2630" s="35" t="n">
        <v>12.228</v>
      </c>
    </row>
    <row r="2631">
      <c r="A2631" s="25" t="n">
        <v>42703</v>
      </c>
      <c r="B2631" s="18" t="n">
        <v>60986.51</v>
      </c>
      <c r="C2631" s="31" t="n"/>
      <c r="D2631" s="32" t="n"/>
      <c r="E2631" s="33" t="n">
        <v>0.9971</v>
      </c>
      <c r="F2631" t="inlineStr">
        <is>
          <t>Up</t>
        </is>
      </c>
      <c r="G2631" t="inlineStr">
        <is>
          <t>Down</t>
        </is>
      </c>
      <c r="H2631" t="inlineStr">
        <is>
          <t>EU_JD</t>
        </is>
      </c>
      <c r="I2631" t="inlineStr">
        <is>
          <t>2016-11</t>
        </is>
      </c>
      <c r="J2631" t="n">
        <v>1</v>
      </c>
      <c r="K2631" t="n">
        <v>1</v>
      </c>
      <c r="L2631" s="34">
        <f>IF($J2631=1,LN(B2632/B2631),"")</f>
        <v/>
      </c>
      <c r="M2631" s="34">
        <f>IF($K2631=1,INDEX(Mensal!$D$2:$D$245,MATCH($I2631,Mensal!$A$2:$A$245,0)),"")</f>
        <v/>
      </c>
      <c r="N2631" s="34">
        <f>IF($K2631=1,L2631-M2631,"")</f>
        <v/>
      </c>
      <c r="O2631" s="34" t="n">
        <v>0.00051591</v>
      </c>
      <c r="P2631" s="34">
        <f>IF($J2631=1,LN(1+O2631),"")</f>
        <v/>
      </c>
      <c r="Q2631" s="34">
        <f>IF($J2631=1,LN(R2632/R2631),"")</f>
        <v/>
      </c>
      <c r="R2631" s="32" t="n">
        <v>3.406</v>
      </c>
      <c r="S2631" s="35" t="n">
        <v>12.189</v>
      </c>
      <c r="T2631" s="18" t="n">
        <v>60986.51</v>
      </c>
      <c r="U2631" s="18" t="n"/>
      <c r="V2631" s="18" t="n"/>
      <c r="W2631" s="18" t="n"/>
      <c r="X2631" s="35" t="n"/>
      <c r="Y2631" s="35" t="n">
        <v>12.189</v>
      </c>
    </row>
    <row r="2632">
      <c r="A2632" s="25" t="n">
        <v>42704</v>
      </c>
      <c r="B2632" s="18" t="n">
        <v>61906.35</v>
      </c>
      <c r="C2632" s="31" t="n"/>
      <c r="D2632" s="32" t="n"/>
      <c r="E2632" s="33" t="n">
        <v>1.0178</v>
      </c>
      <c r="F2632" t="inlineStr">
        <is>
          <t>Up</t>
        </is>
      </c>
      <c r="G2632" t="inlineStr">
        <is>
          <t>Down</t>
        </is>
      </c>
      <c r="H2632" t="inlineStr">
        <is>
          <t>EU_JD</t>
        </is>
      </c>
      <c r="I2632" t="inlineStr">
        <is>
          <t>2016-11</t>
        </is>
      </c>
      <c r="J2632" t="n">
        <v>1</v>
      </c>
      <c r="K2632" t="n">
        <v>1</v>
      </c>
      <c r="L2632" s="34">
        <f>IF($J2632=1,LN(B2633/B2632),"")</f>
        <v/>
      </c>
      <c r="M2632" s="34">
        <f>IF($K2632=1,INDEX(Mensal!$D$2:$D$245,MATCH($I2632,Mensal!$A$2:$A$245,0)),"")</f>
        <v/>
      </c>
      <c r="N2632" s="34">
        <f>IF($K2632=1,L2632-M2632,"")</f>
        <v/>
      </c>
      <c r="O2632" s="34" t="n">
        <v>0.00051591</v>
      </c>
      <c r="P2632" s="34">
        <f>IF($J2632=1,LN(1+O2632),"")</f>
        <v/>
      </c>
      <c r="Q2632" s="34">
        <f>IF($J2632=1,LN(R2633/R2632),"")</f>
        <v/>
      </c>
      <c r="R2632" s="32" t="n">
        <v>3.3967</v>
      </c>
      <c r="S2632" s="35" t="n">
        <v>12.169</v>
      </c>
      <c r="T2632" s="18" t="n">
        <v>61906.35</v>
      </c>
      <c r="U2632" s="18" t="n"/>
      <c r="V2632" s="18" t="n"/>
      <c r="W2632" s="18" t="n"/>
      <c r="X2632" s="35" t="n"/>
      <c r="Y2632" s="35" t="n">
        <v>12.169</v>
      </c>
    </row>
    <row r="2633">
      <c r="A2633" s="25" t="n">
        <v>42705</v>
      </c>
      <c r="B2633" s="18" t="n">
        <v>59506.54</v>
      </c>
      <c r="C2633" s="31" t="n"/>
      <c r="D2633" s="32" t="n"/>
      <c r="E2633" s="33" t="n">
        <v>1.0546</v>
      </c>
      <c r="F2633" t="inlineStr">
        <is>
          <t>Up</t>
        </is>
      </c>
      <c r="G2633" t="inlineStr">
        <is>
          <t>Down</t>
        </is>
      </c>
      <c r="H2633" t="inlineStr">
        <is>
          <t>EU_JD</t>
        </is>
      </c>
      <c r="I2633" t="inlineStr">
        <is>
          <t>2016-12</t>
        </is>
      </c>
      <c r="J2633" t="n">
        <v>1</v>
      </c>
      <c r="K2633" t="n">
        <v>1</v>
      </c>
      <c r="L2633" s="34">
        <f>IF($J2633=1,LN(B2634/B2633),"")</f>
        <v/>
      </c>
      <c r="M2633" s="34">
        <f>IF($K2633=1,INDEX(Mensal!$D$2:$D$245,MATCH($I2633,Mensal!$A$2:$A$245,0)),"")</f>
        <v/>
      </c>
      <c r="N2633" s="34">
        <f>IF($K2633=1,L2633-M2633,"")</f>
        <v/>
      </c>
      <c r="O2633" s="34" t="n">
        <v>0.00050718</v>
      </c>
      <c r="P2633" s="34">
        <f>IF($J2633=1,LN(1+O2633),"")</f>
        <v/>
      </c>
      <c r="Q2633" s="34">
        <f>IF($J2633=1,LN(R2634/R2633),"")</f>
        <v/>
      </c>
      <c r="R2633" s="32" t="n">
        <v>3.4362</v>
      </c>
      <c r="S2633" s="35" t="n">
        <v>12.349</v>
      </c>
      <c r="T2633" s="18" t="n">
        <v>59506.54</v>
      </c>
      <c r="U2633" s="18" t="n"/>
      <c r="V2633" s="18" t="n"/>
      <c r="W2633" s="18" t="n"/>
      <c r="X2633" s="35" t="n"/>
      <c r="Y2633" s="35" t="n">
        <v>12.349</v>
      </c>
    </row>
    <row r="2634">
      <c r="A2634" s="25" t="n">
        <v>42706</v>
      </c>
      <c r="B2634" s="18" t="n">
        <v>60316.12</v>
      </c>
      <c r="C2634" s="31" t="n"/>
      <c r="D2634" s="32" t="n"/>
      <c r="E2634" s="33" t="n">
        <v>1.088</v>
      </c>
      <c r="F2634" t="inlineStr">
        <is>
          <t>Up</t>
        </is>
      </c>
      <c r="G2634" t="inlineStr">
        <is>
          <t>Down</t>
        </is>
      </c>
      <c r="H2634" t="inlineStr">
        <is>
          <t>EU_JD</t>
        </is>
      </c>
      <c r="I2634" t="inlineStr">
        <is>
          <t>2016-12</t>
        </is>
      </c>
      <c r="J2634" t="n">
        <v>1</v>
      </c>
      <c r="K2634" t="n">
        <v>1</v>
      </c>
      <c r="L2634" s="34">
        <f>IF($J2634=1,LN(B2635/B2634),"")</f>
        <v/>
      </c>
      <c r="M2634" s="34">
        <f>IF($K2634=1,INDEX(Mensal!$D$2:$D$245,MATCH($I2634,Mensal!$A$2:$A$245,0)),"")</f>
        <v/>
      </c>
      <c r="N2634" s="34">
        <f>IF($K2634=1,L2634-M2634,"")</f>
        <v/>
      </c>
      <c r="O2634" s="34" t="n">
        <v>0.00050718</v>
      </c>
      <c r="P2634" s="34">
        <f>IF($J2634=1,LN(1+O2634),"")</f>
        <v/>
      </c>
      <c r="Q2634" s="34">
        <f>IF($J2634=1,LN(R2635/R2634),"")</f>
        <v/>
      </c>
      <c r="R2634" s="32" t="n">
        <v>3.465</v>
      </c>
      <c r="S2634" s="35" t="n">
        <v>12.33</v>
      </c>
      <c r="T2634" s="18" t="n">
        <v>60316.12</v>
      </c>
      <c r="U2634" s="18" t="n"/>
      <c r="V2634" s="18" t="n"/>
      <c r="W2634" s="18" t="n"/>
      <c r="X2634" s="35" t="n"/>
      <c r="Y2634" s="35" t="n">
        <v>12.33</v>
      </c>
    </row>
    <row r="2635">
      <c r="A2635" s="25" t="n">
        <v>42709</v>
      </c>
      <c r="B2635" s="18" t="n">
        <v>59831.72</v>
      </c>
      <c r="C2635" s="31" t="n"/>
      <c r="D2635" s="32" t="n"/>
      <c r="E2635" s="33" t="n">
        <v>1.1291</v>
      </c>
      <c r="F2635" t="inlineStr">
        <is>
          <t>Up</t>
        </is>
      </c>
      <c r="G2635" t="inlineStr">
        <is>
          <t>Down</t>
        </is>
      </c>
      <c r="H2635" t="inlineStr">
        <is>
          <t>EU_JD</t>
        </is>
      </c>
      <c r="I2635" t="inlineStr">
        <is>
          <t>2016-12</t>
        </is>
      </c>
      <c r="J2635" t="n">
        <v>1</v>
      </c>
      <c r="K2635" t="n">
        <v>1</v>
      </c>
      <c r="L2635" s="34">
        <f>IF($J2635=1,LN(B2636/B2635),"")</f>
        <v/>
      </c>
      <c r="M2635" s="34">
        <f>IF($K2635=1,INDEX(Mensal!$D$2:$D$245,MATCH($I2635,Mensal!$A$2:$A$245,0)),"")</f>
        <v/>
      </c>
      <c r="N2635" s="34">
        <f>IF($K2635=1,L2635-M2635,"")</f>
        <v/>
      </c>
      <c r="O2635" s="34" t="n">
        <v>0.00050718</v>
      </c>
      <c r="P2635" s="34">
        <f>IF($J2635=1,LN(1+O2635),"")</f>
        <v/>
      </c>
      <c r="Q2635" s="34">
        <f>IF($J2635=1,LN(R2636/R2635),"")</f>
        <v/>
      </c>
      <c r="R2635" s="32" t="n">
        <v>3.4598</v>
      </c>
      <c r="S2635" s="35" t="n">
        <v>12.121</v>
      </c>
      <c r="T2635" s="18" t="n">
        <v>59831.72</v>
      </c>
      <c r="U2635" s="18" t="n"/>
      <c r="V2635" s="18" t="n"/>
      <c r="W2635" s="18" t="n"/>
      <c r="X2635" s="35" t="n"/>
      <c r="Y2635" s="35" t="n">
        <v>12.121</v>
      </c>
    </row>
    <row r="2636">
      <c r="A2636" s="25" t="n">
        <v>42710</v>
      </c>
      <c r="B2636" s="18" t="n">
        <v>61088.24</v>
      </c>
      <c r="C2636" s="31" t="n"/>
      <c r="D2636" s="32" t="n"/>
      <c r="E2636" s="33" t="n">
        <v>1.1699</v>
      </c>
      <c r="F2636" t="inlineStr">
        <is>
          <t>Up</t>
        </is>
      </c>
      <c r="G2636" t="inlineStr">
        <is>
          <t>Down</t>
        </is>
      </c>
      <c r="H2636" t="inlineStr">
        <is>
          <t>EU_JD</t>
        </is>
      </c>
      <c r="I2636" t="inlineStr">
        <is>
          <t>2016-12</t>
        </is>
      </c>
      <c r="J2636" t="n">
        <v>1</v>
      </c>
      <c r="K2636" t="n">
        <v>1</v>
      </c>
      <c r="L2636" s="34">
        <f>IF($J2636=1,LN(B2637/B2636),"")</f>
        <v/>
      </c>
      <c r="M2636" s="34">
        <f>IF($K2636=1,INDEX(Mensal!$D$2:$D$245,MATCH($I2636,Mensal!$A$2:$A$245,0)),"")</f>
        <v/>
      </c>
      <c r="N2636" s="34">
        <f>IF($K2636=1,L2636-M2636,"")</f>
        <v/>
      </c>
      <c r="O2636" s="34" t="n">
        <v>0.00050718</v>
      </c>
      <c r="P2636" s="34">
        <f>IF($J2636=1,LN(1+O2636),"")</f>
        <v/>
      </c>
      <c r="Q2636" s="34">
        <f>IF($J2636=1,LN(R2637/R2636),"")</f>
        <v/>
      </c>
      <c r="R2636" s="32" t="n">
        <v>3.4354</v>
      </c>
      <c r="S2636" s="35" t="n">
        <v>12.046</v>
      </c>
      <c r="T2636" s="18" t="n">
        <v>61088.24</v>
      </c>
      <c r="U2636" s="18" t="n"/>
      <c r="V2636" s="18" t="n"/>
      <c r="W2636" s="18" t="n"/>
      <c r="X2636" s="35" t="n"/>
      <c r="Y2636" s="35" t="n">
        <v>12.046</v>
      </c>
    </row>
    <row r="2637">
      <c r="A2637" s="25" t="n">
        <v>42711</v>
      </c>
      <c r="B2637" s="18" t="n">
        <v>61414.4</v>
      </c>
      <c r="C2637" s="31" t="n"/>
      <c r="D2637" s="32" t="n"/>
      <c r="E2637" s="33" t="n">
        <v>1.211</v>
      </c>
      <c r="F2637" t="inlineStr">
        <is>
          <t>Up</t>
        </is>
      </c>
      <c r="G2637" t="inlineStr">
        <is>
          <t>Down</t>
        </is>
      </c>
      <c r="H2637" t="inlineStr">
        <is>
          <t>EU_JD</t>
        </is>
      </c>
      <c r="I2637" t="inlineStr">
        <is>
          <t>2016-12</t>
        </is>
      </c>
      <c r="J2637" t="n">
        <v>1</v>
      </c>
      <c r="K2637" t="n">
        <v>1</v>
      </c>
      <c r="L2637" s="34">
        <f>IF($J2637=1,LN(B2638/B2637),"")</f>
        <v/>
      </c>
      <c r="M2637" s="34">
        <f>IF($K2637=1,INDEX(Mensal!$D$2:$D$245,MATCH($I2637,Mensal!$A$2:$A$245,0)),"")</f>
        <v/>
      </c>
      <c r="N2637" s="34">
        <f>IF($K2637=1,L2637-M2637,"")</f>
        <v/>
      </c>
      <c r="O2637" s="34" t="n">
        <v>0.00050718</v>
      </c>
      <c r="P2637" s="34">
        <f>IF($J2637=1,LN(1+O2637),"")</f>
        <v/>
      </c>
      <c r="Q2637" s="34">
        <f>IF($J2637=1,LN(R2638/R2637),"")</f>
        <v/>
      </c>
      <c r="R2637" s="32" t="n">
        <v>3.3895</v>
      </c>
      <c r="S2637" s="35" t="n">
        <v>12.004</v>
      </c>
      <c r="T2637" s="18" t="n">
        <v>61414.4</v>
      </c>
      <c r="U2637" s="18" t="n"/>
      <c r="V2637" s="18" t="n"/>
      <c r="W2637" s="18" t="n"/>
      <c r="X2637" s="35" t="n"/>
      <c r="Y2637" s="35" t="n">
        <v>12.004</v>
      </c>
    </row>
    <row r="2638">
      <c r="A2638" s="25" t="n">
        <v>42712</v>
      </c>
      <c r="B2638" s="18" t="n">
        <v>60676.56</v>
      </c>
      <c r="C2638" s="31" t="n"/>
      <c r="D2638" s="32" t="n"/>
      <c r="E2638" s="33" t="n">
        <v>1.2526</v>
      </c>
      <c r="F2638" t="inlineStr">
        <is>
          <t>Up</t>
        </is>
      </c>
      <c r="G2638" t="inlineStr">
        <is>
          <t>Down</t>
        </is>
      </c>
      <c r="H2638" t="inlineStr">
        <is>
          <t>EU_JD</t>
        </is>
      </c>
      <c r="I2638" t="inlineStr">
        <is>
          <t>2016-12</t>
        </is>
      </c>
      <c r="J2638" t="n">
        <v>1</v>
      </c>
      <c r="K2638" t="n">
        <v>1</v>
      </c>
      <c r="L2638" s="34">
        <f>IF($J2638=1,LN(B2639/B2638),"")</f>
        <v/>
      </c>
      <c r="M2638" s="34">
        <f>IF($K2638=1,INDEX(Mensal!$D$2:$D$245,MATCH($I2638,Mensal!$A$2:$A$245,0)),"")</f>
        <v/>
      </c>
      <c r="N2638" s="34">
        <f>IF($K2638=1,L2638-M2638,"")</f>
        <v/>
      </c>
      <c r="O2638" s="34" t="n">
        <v>0.00050718</v>
      </c>
      <c r="P2638" s="34">
        <f>IF($J2638=1,LN(1+O2638),"")</f>
        <v/>
      </c>
      <c r="Q2638" s="34">
        <f>IF($J2638=1,LN(R2639/R2638),"")</f>
        <v/>
      </c>
      <c r="R2638" s="32" t="n">
        <v>3.4008</v>
      </c>
      <c r="S2638" s="35" t="n">
        <v>11.986</v>
      </c>
      <c r="T2638" s="18" t="n">
        <v>60676.56</v>
      </c>
      <c r="U2638" s="18" t="n"/>
      <c r="V2638" s="18" t="n"/>
      <c r="W2638" s="18" t="n"/>
      <c r="X2638" s="35" t="n"/>
      <c r="Y2638" s="35" t="n">
        <v>11.986</v>
      </c>
    </row>
    <row r="2639">
      <c r="A2639" s="25" t="n">
        <v>42713</v>
      </c>
      <c r="B2639" s="18" t="n">
        <v>60500.61</v>
      </c>
      <c r="C2639" s="31" t="n"/>
      <c r="D2639" s="32" t="n"/>
      <c r="E2639" s="33" t="n">
        <v>1.2935</v>
      </c>
      <c r="F2639" t="inlineStr">
        <is>
          <t>Up</t>
        </is>
      </c>
      <c r="G2639" t="inlineStr">
        <is>
          <t>Down</t>
        </is>
      </c>
      <c r="H2639" t="inlineStr">
        <is>
          <t>EU_JD</t>
        </is>
      </c>
      <c r="I2639" t="inlineStr">
        <is>
          <t>2016-12</t>
        </is>
      </c>
      <c r="J2639" t="n">
        <v>1</v>
      </c>
      <c r="K2639" t="n">
        <v>1</v>
      </c>
      <c r="L2639" s="34">
        <f>IF($J2639=1,LN(B2640/B2639),"")</f>
        <v/>
      </c>
      <c r="M2639" s="34">
        <f>IF($K2639=1,INDEX(Mensal!$D$2:$D$245,MATCH($I2639,Mensal!$A$2:$A$245,0)),"")</f>
        <v/>
      </c>
      <c r="N2639" s="34">
        <f>IF($K2639=1,L2639-M2639,"")</f>
        <v/>
      </c>
      <c r="O2639" s="34" t="n">
        <v>0.00050718</v>
      </c>
      <c r="P2639" s="34">
        <f>IF($J2639=1,LN(1+O2639),"")</f>
        <v/>
      </c>
      <c r="Q2639" s="34">
        <f>IF($J2639=1,LN(R2640/R2639),"")</f>
        <v/>
      </c>
      <c r="R2639" s="32" t="n">
        <v>3.3858</v>
      </c>
      <c r="S2639" s="35" t="n">
        <v>11.952</v>
      </c>
      <c r="T2639" s="18" t="n">
        <v>60500.61</v>
      </c>
      <c r="U2639" s="18" t="n"/>
      <c r="V2639" s="18" t="n"/>
      <c r="W2639" s="18" t="n"/>
      <c r="X2639" s="35" t="n"/>
      <c r="Y2639" s="35" t="n">
        <v>11.952</v>
      </c>
    </row>
    <row r="2640">
      <c r="A2640" s="25" t="n">
        <v>42716</v>
      </c>
      <c r="B2640" s="18" t="n">
        <v>59178.61</v>
      </c>
      <c r="C2640" s="31" t="n"/>
      <c r="D2640" s="32" t="n"/>
      <c r="E2640" s="33" t="n">
        <v>1.3578</v>
      </c>
      <c r="F2640" t="inlineStr">
        <is>
          <t>Up</t>
        </is>
      </c>
      <c r="G2640" t="inlineStr">
        <is>
          <t>Down</t>
        </is>
      </c>
      <c r="H2640" t="inlineStr">
        <is>
          <t>EU_JD</t>
        </is>
      </c>
      <c r="I2640" t="inlineStr">
        <is>
          <t>2016-12</t>
        </is>
      </c>
      <c r="J2640" t="n">
        <v>1</v>
      </c>
      <c r="K2640" t="n">
        <v>1</v>
      </c>
      <c r="L2640" s="34">
        <f>IF($J2640=1,LN(B2641/B2640),"")</f>
        <v/>
      </c>
      <c r="M2640" s="34">
        <f>IF($K2640=1,INDEX(Mensal!$D$2:$D$245,MATCH($I2640,Mensal!$A$2:$A$245,0)),"")</f>
        <v/>
      </c>
      <c r="N2640" s="34">
        <f>IF($K2640=1,L2640-M2640,"")</f>
        <v/>
      </c>
      <c r="O2640" s="34" t="n">
        <v>0.00050718</v>
      </c>
      <c r="P2640" s="34">
        <f>IF($J2640=1,LN(1+O2640),"")</f>
        <v/>
      </c>
      <c r="Q2640" s="34">
        <f>IF($J2640=1,LN(R2641/R2640),"")</f>
        <v/>
      </c>
      <c r="R2640" s="32" t="n">
        <v>3.3697</v>
      </c>
      <c r="S2640" s="35" t="n">
        <v>11.895</v>
      </c>
      <c r="T2640" s="18" t="n">
        <v>59178.61</v>
      </c>
      <c r="U2640" s="18" t="n"/>
      <c r="V2640" s="18" t="n"/>
      <c r="W2640" s="18" t="n"/>
      <c r="X2640" s="35" t="n"/>
      <c r="Y2640" s="35" t="n">
        <v>11.895</v>
      </c>
    </row>
    <row r="2641">
      <c r="A2641" s="25" t="n">
        <v>42717</v>
      </c>
      <c r="B2641" s="18" t="n">
        <v>59280.57</v>
      </c>
      <c r="C2641" s="31" t="n"/>
      <c r="D2641" s="32" t="n"/>
      <c r="E2641" s="33" t="n">
        <v>1.4173</v>
      </c>
      <c r="F2641" t="inlineStr">
        <is>
          <t>Up</t>
        </is>
      </c>
      <c r="G2641" t="inlineStr">
        <is>
          <t>Down</t>
        </is>
      </c>
      <c r="H2641" t="inlineStr">
        <is>
          <t>EU_JD</t>
        </is>
      </c>
      <c r="I2641" t="inlineStr">
        <is>
          <t>2016-12</t>
        </is>
      </c>
      <c r="J2641" t="n">
        <v>1</v>
      </c>
      <c r="K2641" t="n">
        <v>1</v>
      </c>
      <c r="L2641" s="34">
        <f>IF($J2641=1,LN(B2642/B2641),"")</f>
        <v/>
      </c>
      <c r="M2641" s="34">
        <f>IF($K2641=1,INDEX(Mensal!$D$2:$D$245,MATCH($I2641,Mensal!$A$2:$A$245,0)),"")</f>
        <v/>
      </c>
      <c r="N2641" s="34">
        <f>IF($K2641=1,L2641-M2641,"")</f>
        <v/>
      </c>
      <c r="O2641" s="34" t="n">
        <v>0.00050718</v>
      </c>
      <c r="P2641" s="34">
        <f>IF($J2641=1,LN(1+O2641),"")</f>
        <v/>
      </c>
      <c r="Q2641" s="34">
        <f>IF($J2641=1,LN(R2642/R2641),"")</f>
        <v/>
      </c>
      <c r="R2641" s="32" t="n">
        <v>3.334</v>
      </c>
      <c r="S2641" s="35" t="n">
        <v>11.893</v>
      </c>
      <c r="T2641" s="18" t="n">
        <v>59280.57</v>
      </c>
      <c r="U2641" s="18" t="n"/>
      <c r="V2641" s="18" t="n"/>
      <c r="W2641" s="18" t="n"/>
      <c r="X2641" s="35" t="n"/>
      <c r="Y2641" s="35" t="n">
        <v>11.893</v>
      </c>
    </row>
    <row r="2642">
      <c r="A2642" s="25" t="n">
        <v>42718</v>
      </c>
      <c r="B2642" s="18" t="n">
        <v>58212.11</v>
      </c>
      <c r="C2642" s="31" t="n"/>
      <c r="D2642" s="32" t="n"/>
      <c r="E2642" s="33" t="n">
        <v>1.4761</v>
      </c>
      <c r="F2642" t="inlineStr">
        <is>
          <t>Up</t>
        </is>
      </c>
      <c r="G2642" t="inlineStr">
        <is>
          <t>Down</t>
        </is>
      </c>
      <c r="H2642" t="inlineStr">
        <is>
          <t>EU_JD</t>
        </is>
      </c>
      <c r="I2642" t="inlineStr">
        <is>
          <t>2016-12</t>
        </is>
      </c>
      <c r="J2642" t="n">
        <v>1</v>
      </c>
      <c r="K2642" t="n">
        <v>1</v>
      </c>
      <c r="L2642" s="34">
        <f>IF($J2642=1,LN(B2643/B2642),"")</f>
        <v/>
      </c>
      <c r="M2642" s="34">
        <f>IF($K2642=1,INDEX(Mensal!$D$2:$D$245,MATCH($I2642,Mensal!$A$2:$A$245,0)),"")</f>
        <v/>
      </c>
      <c r="N2642" s="34">
        <f>IF($K2642=1,L2642-M2642,"")</f>
        <v/>
      </c>
      <c r="O2642" s="34" t="n">
        <v>0.00050718</v>
      </c>
      <c r="P2642" s="34">
        <f>IF($J2642=1,LN(1+O2642),"")</f>
        <v/>
      </c>
      <c r="Q2642" s="34">
        <f>IF($J2642=1,LN(R2643/R2642),"")</f>
        <v/>
      </c>
      <c r="R2642" s="32" t="n">
        <v>3.3103</v>
      </c>
      <c r="S2642" s="35" t="n">
        <v>11.841</v>
      </c>
      <c r="T2642" s="18" t="n">
        <v>58212.11</v>
      </c>
      <c r="U2642" s="18" t="n"/>
      <c r="V2642" s="18" t="n"/>
      <c r="W2642" s="18" t="n"/>
      <c r="X2642" s="35" t="n"/>
      <c r="Y2642" s="35" t="n">
        <v>11.841</v>
      </c>
    </row>
    <row r="2643">
      <c r="A2643" s="25" t="n">
        <v>42719</v>
      </c>
      <c r="B2643" s="18" t="n">
        <v>58396.16</v>
      </c>
      <c r="C2643" s="31" t="n"/>
      <c r="D2643" s="32" t="n"/>
      <c r="E2643" s="33" t="n">
        <v>1.5308</v>
      </c>
      <c r="F2643" t="inlineStr">
        <is>
          <t>Up</t>
        </is>
      </c>
      <c r="G2643" t="inlineStr">
        <is>
          <t>Down</t>
        </is>
      </c>
      <c r="H2643" t="inlineStr">
        <is>
          <t>EU_JD</t>
        </is>
      </c>
      <c r="I2643" t="inlineStr">
        <is>
          <t>2016-12</t>
        </is>
      </c>
      <c r="J2643" t="n">
        <v>1</v>
      </c>
      <c r="K2643" t="n">
        <v>1</v>
      </c>
      <c r="L2643" s="34">
        <f>IF($J2643=1,LN(B2644/B2643),"")</f>
        <v/>
      </c>
      <c r="M2643" s="34">
        <f>IF($K2643=1,INDEX(Mensal!$D$2:$D$245,MATCH($I2643,Mensal!$A$2:$A$245,0)),"")</f>
        <v/>
      </c>
      <c r="N2643" s="34">
        <f>IF($K2643=1,L2643-M2643,"")</f>
        <v/>
      </c>
      <c r="O2643" s="34" t="n">
        <v>0.00050718</v>
      </c>
      <c r="P2643" s="34">
        <f>IF($J2643=1,LN(1+O2643),"")</f>
        <v/>
      </c>
      <c r="Q2643" s="34">
        <f>IF($J2643=1,LN(R2644/R2643),"")</f>
        <v/>
      </c>
      <c r="R2643" s="32" t="n">
        <v>3.383</v>
      </c>
      <c r="S2643" s="35" t="n">
        <v>11.811</v>
      </c>
      <c r="T2643" s="18" t="n">
        <v>58396.16</v>
      </c>
      <c r="U2643" s="18" t="n"/>
      <c r="V2643" s="18" t="n"/>
      <c r="W2643" s="18" t="n"/>
      <c r="X2643" s="35" t="n"/>
      <c r="Y2643" s="35" t="n">
        <v>11.811</v>
      </c>
    </row>
    <row r="2644">
      <c r="A2644" s="25" t="n">
        <v>42720</v>
      </c>
      <c r="B2644" s="18" t="n">
        <v>58389.04</v>
      </c>
      <c r="C2644" s="31" t="n"/>
      <c r="D2644" s="32" t="n"/>
      <c r="E2644" s="33" t="n">
        <v>1.5821</v>
      </c>
      <c r="F2644" t="inlineStr">
        <is>
          <t>Up</t>
        </is>
      </c>
      <c r="G2644" t="inlineStr">
        <is>
          <t>Down</t>
        </is>
      </c>
      <c r="H2644" t="inlineStr">
        <is>
          <t>EU_JD</t>
        </is>
      </c>
      <c r="I2644" t="inlineStr">
        <is>
          <t>2016-12</t>
        </is>
      </c>
      <c r="J2644" t="n">
        <v>1</v>
      </c>
      <c r="K2644" t="n">
        <v>1</v>
      </c>
      <c r="L2644" s="34">
        <f>IF($J2644=1,LN(B2645/B2644),"")</f>
        <v/>
      </c>
      <c r="M2644" s="34">
        <f>IF($K2644=1,INDEX(Mensal!$D$2:$D$245,MATCH($I2644,Mensal!$A$2:$A$245,0)),"")</f>
        <v/>
      </c>
      <c r="N2644" s="34">
        <f>IF($K2644=1,L2644-M2644,"")</f>
        <v/>
      </c>
      <c r="O2644" s="34" t="n">
        <v>0.00050718</v>
      </c>
      <c r="P2644" s="34">
        <f>IF($J2644=1,LN(1+O2644),"")</f>
        <v/>
      </c>
      <c r="Q2644" s="34">
        <f>IF($J2644=1,LN(R2645/R2644),"")</f>
        <v/>
      </c>
      <c r="R2644" s="32" t="n">
        <v>3.3712</v>
      </c>
      <c r="S2644" s="35" t="n">
        <v>11.782</v>
      </c>
      <c r="T2644" s="18" t="n">
        <v>58389.04</v>
      </c>
      <c r="U2644" s="18" t="n"/>
      <c r="V2644" s="18" t="n"/>
      <c r="W2644" s="18" t="n"/>
      <c r="X2644" s="35" t="n"/>
      <c r="Y2644" s="35" t="n">
        <v>11.782</v>
      </c>
    </row>
    <row r="2645">
      <c r="A2645" s="25" t="n">
        <v>42723</v>
      </c>
      <c r="B2645" s="18" t="n">
        <v>57110.99</v>
      </c>
      <c r="C2645" s="31" t="n"/>
      <c r="D2645" s="32" t="n"/>
      <c r="E2645" s="33" t="n">
        <v>1.6336</v>
      </c>
      <c r="F2645" t="inlineStr">
        <is>
          <t>Up</t>
        </is>
      </c>
      <c r="G2645" t="inlineStr">
        <is>
          <t>Down</t>
        </is>
      </c>
      <c r="H2645" t="inlineStr">
        <is>
          <t>EU_JD</t>
        </is>
      </c>
      <c r="I2645" t="inlineStr">
        <is>
          <t>2016-12</t>
        </is>
      </c>
      <c r="J2645" t="n">
        <v>1</v>
      </c>
      <c r="K2645" t="n">
        <v>1</v>
      </c>
      <c r="L2645" s="34">
        <f>IF($J2645=1,LN(B2646/B2645),"")</f>
        <v/>
      </c>
      <c r="M2645" s="34">
        <f>IF($K2645=1,INDEX(Mensal!$D$2:$D$245,MATCH($I2645,Mensal!$A$2:$A$245,0)),"")</f>
        <v/>
      </c>
      <c r="N2645" s="34">
        <f>IF($K2645=1,L2645-M2645,"")</f>
        <v/>
      </c>
      <c r="O2645" s="34" t="n">
        <v>0.00050718</v>
      </c>
      <c r="P2645" s="34">
        <f>IF($J2645=1,LN(1+O2645),"")</f>
        <v/>
      </c>
      <c r="Q2645" s="34">
        <f>IF($J2645=1,LN(R2646/R2645),"")</f>
        <v/>
      </c>
      <c r="R2645" s="32" t="n">
        <v>3.3778</v>
      </c>
      <c r="S2645" s="35" t="n">
        <v>11.708</v>
      </c>
      <c r="T2645" s="18" t="n">
        <v>57110.99</v>
      </c>
      <c r="U2645" s="18" t="n"/>
      <c r="V2645" s="18" t="n"/>
      <c r="W2645" s="18" t="n"/>
      <c r="X2645" s="35" t="n"/>
      <c r="Y2645" s="35" t="n">
        <v>11.708</v>
      </c>
    </row>
    <row r="2646">
      <c r="A2646" s="25" t="n">
        <v>42724</v>
      </c>
      <c r="B2646" s="18" t="n">
        <v>57582.89</v>
      </c>
      <c r="C2646" s="31" t="n"/>
      <c r="D2646" s="32" t="n"/>
      <c r="E2646" s="33" t="n">
        <v>1.7</v>
      </c>
      <c r="F2646" t="inlineStr">
        <is>
          <t>Up</t>
        </is>
      </c>
      <c r="G2646" t="inlineStr">
        <is>
          <t>Down</t>
        </is>
      </c>
      <c r="H2646" t="inlineStr">
        <is>
          <t>EU_JD</t>
        </is>
      </c>
      <c r="I2646" t="inlineStr">
        <is>
          <t>2016-12</t>
        </is>
      </c>
      <c r="J2646" t="n">
        <v>1</v>
      </c>
      <c r="K2646" t="n">
        <v>1</v>
      </c>
      <c r="L2646" s="34">
        <f>IF($J2646=1,LN(B2647/B2646),"")</f>
        <v/>
      </c>
      <c r="M2646" s="34">
        <f>IF($K2646=1,INDEX(Mensal!$D$2:$D$245,MATCH($I2646,Mensal!$A$2:$A$245,0)),"")</f>
        <v/>
      </c>
      <c r="N2646" s="34">
        <f>IF($K2646=1,L2646-M2646,"")</f>
        <v/>
      </c>
      <c r="O2646" s="34" t="n">
        <v>0.00050718</v>
      </c>
      <c r="P2646" s="34">
        <f>IF($J2646=1,LN(1+O2646),"")</f>
        <v/>
      </c>
      <c r="Q2646" s="34">
        <f>IF($J2646=1,LN(R2647/R2646),"")</f>
        <v/>
      </c>
      <c r="R2646" s="32" t="n">
        <v>3.3586</v>
      </c>
      <c r="S2646" s="35" t="n">
        <v>11.722</v>
      </c>
      <c r="T2646" s="18" t="n">
        <v>57582.89</v>
      </c>
      <c r="U2646" s="18" t="n"/>
      <c r="V2646" s="18" t="n"/>
      <c r="W2646" s="18" t="n"/>
      <c r="X2646" s="35" t="n"/>
      <c r="Y2646" s="35" t="n">
        <v>11.722</v>
      </c>
    </row>
    <row r="2647">
      <c r="A2647" s="25" t="n">
        <v>42725</v>
      </c>
      <c r="B2647" s="18" t="n">
        <v>57646.52</v>
      </c>
      <c r="C2647" s="31" t="n"/>
      <c r="D2647" s="32" t="n"/>
      <c r="E2647" s="33" t="n">
        <v>1.7639</v>
      </c>
      <c r="F2647" t="inlineStr">
        <is>
          <t>Up</t>
        </is>
      </c>
      <c r="G2647" t="inlineStr">
        <is>
          <t>Down</t>
        </is>
      </c>
      <c r="H2647" t="inlineStr">
        <is>
          <t>EU_JD</t>
        </is>
      </c>
      <c r="I2647" t="inlineStr">
        <is>
          <t>2016-12</t>
        </is>
      </c>
      <c r="J2647" t="n">
        <v>1</v>
      </c>
      <c r="K2647" t="n">
        <v>1</v>
      </c>
      <c r="L2647" s="34">
        <f>IF($J2647=1,LN(B2648/B2647),"")</f>
        <v/>
      </c>
      <c r="M2647" s="34">
        <f>IF($K2647=1,INDEX(Mensal!$D$2:$D$245,MATCH($I2647,Mensal!$A$2:$A$245,0)),"")</f>
        <v/>
      </c>
      <c r="N2647" s="34">
        <f>IF($K2647=1,L2647-M2647,"")</f>
        <v/>
      </c>
      <c r="O2647" s="34" t="n">
        <v>0.00050718</v>
      </c>
      <c r="P2647" s="34">
        <f>IF($J2647=1,LN(1+O2647),"")</f>
        <v/>
      </c>
      <c r="Q2647" s="34">
        <f>IF($J2647=1,LN(R2648/R2647),"")</f>
        <v/>
      </c>
      <c r="R2647" s="32" t="n">
        <v>3.3297</v>
      </c>
      <c r="S2647" s="35" t="n">
        <v>11.638</v>
      </c>
      <c r="T2647" s="18" t="n">
        <v>57646.52</v>
      </c>
      <c r="U2647" s="18" t="n"/>
      <c r="V2647" s="18" t="n"/>
      <c r="W2647" s="18" t="n"/>
      <c r="X2647" s="35" t="n"/>
      <c r="Y2647" s="35" t="n">
        <v>11.638</v>
      </c>
    </row>
    <row r="2648">
      <c r="A2648" s="25" t="n">
        <v>42726</v>
      </c>
      <c r="B2648" s="18" t="n">
        <v>57255.22</v>
      </c>
      <c r="C2648" s="31" t="n"/>
      <c r="D2648" s="32" t="n"/>
      <c r="E2648" s="33" t="n">
        <v>1.8261</v>
      </c>
      <c r="F2648" t="inlineStr">
        <is>
          <t>Up</t>
        </is>
      </c>
      <c r="G2648" t="inlineStr">
        <is>
          <t>Down</t>
        </is>
      </c>
      <c r="H2648" t="inlineStr">
        <is>
          <t>EU_JD</t>
        </is>
      </c>
      <c r="I2648" t="inlineStr">
        <is>
          <t>2016-12</t>
        </is>
      </c>
      <c r="J2648" t="n">
        <v>1</v>
      </c>
      <c r="K2648" t="n">
        <v>1</v>
      </c>
      <c r="L2648" s="34">
        <f>IF($J2648=1,LN(B2649/B2648),"")</f>
        <v/>
      </c>
      <c r="M2648" s="34">
        <f>IF($K2648=1,INDEX(Mensal!$D$2:$D$245,MATCH($I2648,Mensal!$A$2:$A$245,0)),"")</f>
        <v/>
      </c>
      <c r="N2648" s="34">
        <f>IF($K2648=1,L2648-M2648,"")</f>
        <v/>
      </c>
      <c r="O2648" s="34" t="n">
        <v>0.00050718</v>
      </c>
      <c r="P2648" s="34">
        <f>IF($J2648=1,LN(1+O2648),"")</f>
        <v/>
      </c>
      <c r="Q2648" s="34">
        <f>IF($J2648=1,LN(R2649/R2648),"")</f>
        <v/>
      </c>
      <c r="R2648" s="32" t="n">
        <v>3.3302</v>
      </c>
      <c r="S2648" s="35" t="n">
        <v>11.63</v>
      </c>
      <c r="T2648" s="18" t="n">
        <v>57255.22</v>
      </c>
      <c r="U2648" s="18" t="n"/>
      <c r="V2648" s="18" t="n"/>
      <c r="W2648" s="18" t="n"/>
      <c r="X2648" s="35" t="n"/>
      <c r="Y2648" s="35" t="n">
        <v>11.63</v>
      </c>
    </row>
    <row r="2649">
      <c r="A2649" s="25" t="n">
        <v>42727</v>
      </c>
      <c r="B2649" s="18" t="n">
        <v>57937.1</v>
      </c>
      <c r="C2649" s="31" t="n"/>
      <c r="D2649" s="32" t="n"/>
      <c r="E2649" s="33" t="n">
        <v>1.8815</v>
      </c>
      <c r="F2649" t="inlineStr">
        <is>
          <t>Up</t>
        </is>
      </c>
      <c r="G2649" t="inlineStr">
        <is>
          <t>Down</t>
        </is>
      </c>
      <c r="H2649" t="inlineStr">
        <is>
          <t>EU_JD</t>
        </is>
      </c>
      <c r="I2649" t="inlineStr">
        <is>
          <t>2016-12</t>
        </is>
      </c>
      <c r="J2649" t="n">
        <v>1</v>
      </c>
      <c r="K2649" t="n">
        <v>1</v>
      </c>
      <c r="L2649" s="34">
        <f>IF($J2649=1,LN(B2650/B2649),"")</f>
        <v/>
      </c>
      <c r="M2649" s="34">
        <f>IF($K2649=1,INDEX(Mensal!$D$2:$D$245,MATCH($I2649,Mensal!$A$2:$A$245,0)),"")</f>
        <v/>
      </c>
      <c r="N2649" s="34">
        <f>IF($K2649=1,L2649-M2649,"")</f>
        <v/>
      </c>
      <c r="O2649" s="34" t="n">
        <v>0.00050718</v>
      </c>
      <c r="P2649" s="34">
        <f>IF($J2649=1,LN(1+O2649),"")</f>
        <v/>
      </c>
      <c r="Q2649" s="34">
        <f>IF($J2649=1,LN(R2650/R2649),"")</f>
        <v/>
      </c>
      <c r="R2649" s="32" t="n">
        <v>3.2696</v>
      </c>
      <c r="S2649" s="35" t="n">
        <v>11.641</v>
      </c>
      <c r="T2649" s="18" t="n">
        <v>57937.1</v>
      </c>
      <c r="U2649" s="18" t="n"/>
      <c r="V2649" s="18" t="n"/>
      <c r="W2649" s="18" t="n"/>
      <c r="X2649" s="35" t="n"/>
      <c r="Y2649" s="35" t="n">
        <v>11.641</v>
      </c>
    </row>
    <row r="2650">
      <c r="A2650" s="25" t="n">
        <v>42730</v>
      </c>
      <c r="B2650" s="18" t="n">
        <v>58620.26</v>
      </c>
      <c r="C2650" s="31" t="n"/>
      <c r="D2650" s="32" t="n"/>
      <c r="E2650" s="33" t="n">
        <v>1.9354</v>
      </c>
      <c r="F2650" t="inlineStr">
        <is>
          <t>Up</t>
        </is>
      </c>
      <c r="G2650" t="inlineStr">
        <is>
          <t>Down</t>
        </is>
      </c>
      <c r="H2650" t="inlineStr">
        <is>
          <t>EU_JD</t>
        </is>
      </c>
      <c r="I2650" t="inlineStr">
        <is>
          <t>2016-12</t>
        </is>
      </c>
      <c r="J2650" t="n">
        <v>1</v>
      </c>
      <c r="K2650" t="n">
        <v>1</v>
      </c>
      <c r="L2650" s="34">
        <f>IF($J2650=1,LN(B2651/B2650),"")</f>
        <v/>
      </c>
      <c r="M2650" s="34">
        <f>IF($K2650=1,INDEX(Mensal!$D$2:$D$245,MATCH($I2650,Mensal!$A$2:$A$245,0)),"")</f>
        <v/>
      </c>
      <c r="N2650" s="34">
        <f>IF($K2650=1,L2650-M2650,"")</f>
        <v/>
      </c>
      <c r="O2650" s="34" t="n">
        <v>0.00050718</v>
      </c>
      <c r="P2650" s="34">
        <f>IF($J2650=1,LN(1+O2650),"")</f>
        <v/>
      </c>
      <c r="Q2650" s="34">
        <f>IF($J2650=1,LN(R2651/R2650),"")</f>
        <v/>
      </c>
      <c r="R2650" s="32" t="n">
        <v>3.2701</v>
      </c>
      <c r="S2650" s="35" t="n">
        <v>11.595</v>
      </c>
      <c r="T2650" s="18" t="n">
        <v>58620.26</v>
      </c>
      <c r="U2650" s="18" t="n"/>
      <c r="V2650" s="18" t="n"/>
      <c r="W2650" s="18" t="n"/>
      <c r="X2650" s="35" t="n"/>
      <c r="Y2650" s="35" t="n">
        <v>11.595</v>
      </c>
    </row>
    <row r="2651">
      <c r="A2651" s="25" t="n">
        <v>42731</v>
      </c>
      <c r="B2651" s="18" t="n">
        <v>58696.69</v>
      </c>
      <c r="C2651" s="31" t="n"/>
      <c r="D2651" s="32" t="n"/>
      <c r="E2651" s="33" t="n">
        <v>1.9982</v>
      </c>
      <c r="F2651" t="inlineStr">
        <is>
          <t>Up</t>
        </is>
      </c>
      <c r="G2651" t="inlineStr">
        <is>
          <t>Down</t>
        </is>
      </c>
      <c r="H2651" t="inlineStr">
        <is>
          <t>EU_JD</t>
        </is>
      </c>
      <c r="I2651" t="inlineStr">
        <is>
          <t>2016-12</t>
        </is>
      </c>
      <c r="J2651" t="n">
        <v>1</v>
      </c>
      <c r="K2651" t="n">
        <v>1</v>
      </c>
      <c r="L2651" s="34">
        <f>IF($J2651=1,LN(B2652/B2651),"")</f>
        <v/>
      </c>
      <c r="M2651" s="34">
        <f>IF($K2651=1,INDEX(Mensal!$D$2:$D$245,MATCH($I2651,Mensal!$A$2:$A$245,0)),"")</f>
        <v/>
      </c>
      <c r="N2651" s="34">
        <f>IF($K2651=1,L2651-M2651,"")</f>
        <v/>
      </c>
      <c r="O2651" s="34" t="n">
        <v>0.00050718</v>
      </c>
      <c r="P2651" s="34">
        <f>IF($J2651=1,LN(1+O2651),"")</f>
        <v/>
      </c>
      <c r="Q2651" s="34">
        <f>IF($J2651=1,LN(R2652/R2651),"")</f>
        <v/>
      </c>
      <c r="R2651" s="32" t="n">
        <v>3.2776</v>
      </c>
      <c r="S2651" s="35" t="n">
        <v>11.582</v>
      </c>
      <c r="T2651" s="18" t="n">
        <v>58696.69</v>
      </c>
      <c r="U2651" s="18" t="n"/>
      <c r="V2651" s="18" t="n"/>
      <c r="W2651" s="18" t="n"/>
      <c r="X2651" s="35" t="n"/>
      <c r="Y2651" s="35" t="n">
        <v>11.582</v>
      </c>
    </row>
    <row r="2652">
      <c r="A2652" s="25" t="n">
        <v>42732</v>
      </c>
      <c r="B2652" s="18" t="n">
        <v>59781.63</v>
      </c>
      <c r="C2652" s="31" t="n"/>
      <c r="D2652" s="32" t="n"/>
      <c r="E2652" s="33" t="n">
        <v>2.0587</v>
      </c>
      <c r="F2652" t="inlineStr">
        <is>
          <t>Up</t>
        </is>
      </c>
      <c r="G2652" t="inlineStr">
        <is>
          <t>Down</t>
        </is>
      </c>
      <c r="H2652" t="inlineStr">
        <is>
          <t>EU_JD</t>
        </is>
      </c>
      <c r="I2652" t="inlineStr">
        <is>
          <t>2016-12</t>
        </is>
      </c>
      <c r="J2652" t="n">
        <v>1</v>
      </c>
      <c r="K2652" t="n">
        <v>1</v>
      </c>
      <c r="L2652" s="34">
        <f>IF($J2652=1,LN(B2653/B2652),"")</f>
        <v/>
      </c>
      <c r="M2652" s="34">
        <f>IF($K2652=1,INDEX(Mensal!$D$2:$D$245,MATCH($I2652,Mensal!$A$2:$A$245,0)),"")</f>
        <v/>
      </c>
      <c r="N2652" s="34">
        <f>IF($K2652=1,L2652-M2652,"")</f>
        <v/>
      </c>
      <c r="O2652" s="34" t="n">
        <v>0.00050718</v>
      </c>
      <c r="P2652" s="34">
        <f>IF($J2652=1,LN(1+O2652),"")</f>
        <v/>
      </c>
      <c r="Q2652" s="34">
        <f>IF($J2652=1,LN(R2653/R2652),"")</f>
        <v/>
      </c>
      <c r="R2652" s="32" t="n">
        <v>3.2774</v>
      </c>
      <c r="S2652" s="35" t="n">
        <v>11.557</v>
      </c>
      <c r="T2652" s="18" t="n">
        <v>59781.63</v>
      </c>
      <c r="U2652" s="18" t="n"/>
      <c r="V2652" s="18" t="n"/>
      <c r="W2652" s="18" t="n"/>
      <c r="X2652" s="35" t="n"/>
      <c r="Y2652" s="35" t="n">
        <v>11.557</v>
      </c>
    </row>
    <row r="2653">
      <c r="A2653" s="25" t="n">
        <v>42733</v>
      </c>
      <c r="B2653" s="18" t="n">
        <v>60227.28</v>
      </c>
      <c r="C2653" s="31" t="n"/>
      <c r="D2653" s="32" t="n"/>
      <c r="E2653" s="33" t="n">
        <v>2.1173</v>
      </c>
      <c r="F2653" t="inlineStr">
        <is>
          <t>Up</t>
        </is>
      </c>
      <c r="G2653" t="inlineStr">
        <is>
          <t>Down</t>
        </is>
      </c>
      <c r="H2653" t="inlineStr">
        <is>
          <t>EU_JD</t>
        </is>
      </c>
      <c r="I2653" t="inlineStr">
        <is>
          <t>2016-12</t>
        </is>
      </c>
      <c r="J2653" t="n">
        <v>1</v>
      </c>
      <c r="K2653" t="n">
        <v>1</v>
      </c>
      <c r="L2653" s="34">
        <f>IF($J2653=1,LN(B2654/B2653),"")</f>
        <v/>
      </c>
      <c r="M2653" s="34">
        <f>IF($K2653=1,INDEX(Mensal!$D$2:$D$245,MATCH($I2653,Mensal!$A$2:$A$245,0)),"")</f>
        <v/>
      </c>
      <c r="N2653" s="34">
        <f>IF($K2653=1,L2653-M2653,"")</f>
        <v/>
      </c>
      <c r="O2653" s="34" t="n">
        <v>0.00050718</v>
      </c>
      <c r="P2653" s="34">
        <f>IF($J2653=1,LN(1+O2653),"")</f>
        <v/>
      </c>
      <c r="Q2653" s="34">
        <f>IF($J2653=1,LN(R2654/R2653),"")</f>
        <v/>
      </c>
      <c r="R2653" s="32" t="n">
        <v>3.2591</v>
      </c>
      <c r="S2653" s="35" t="n">
        <v>11.561</v>
      </c>
      <c r="T2653" s="18" t="n">
        <v>60227.28</v>
      </c>
      <c r="U2653" s="18" t="n"/>
      <c r="V2653" s="18" t="n"/>
      <c r="W2653" s="18" t="n"/>
      <c r="X2653" s="35" t="n"/>
      <c r="Y2653" s="35" t="n">
        <v>11.561</v>
      </c>
    </row>
    <row r="2654">
      <c r="A2654" s="25" t="n">
        <v>42737</v>
      </c>
      <c r="B2654" s="18" t="n">
        <v>59588.7</v>
      </c>
      <c r="C2654" s="31" t="n"/>
      <c r="D2654" s="32" t="n"/>
      <c r="E2654" s="33" t="n">
        <v>2.1634</v>
      </c>
      <c r="F2654" t="inlineStr">
        <is>
          <t>Up</t>
        </is>
      </c>
      <c r="G2654" t="inlineStr">
        <is>
          <t>Down</t>
        </is>
      </c>
      <c r="H2654" t="inlineStr">
        <is>
          <t>EU_JD</t>
        </is>
      </c>
      <c r="I2654" t="inlineStr">
        <is>
          <t>2017-01</t>
        </is>
      </c>
      <c r="J2654" t="n">
        <v>1</v>
      </c>
      <c r="K2654" t="n">
        <v>1</v>
      </c>
      <c r="L2654" s="34">
        <f>IF($J2654=1,LN(B2655/B2654),"")</f>
        <v/>
      </c>
      <c r="M2654" s="34">
        <f>IF($K2654=1,INDEX(Mensal!$D$2:$D$245,MATCH($I2654,Mensal!$A$2:$A$245,0)),"")</f>
        <v/>
      </c>
      <c r="N2654" s="34">
        <f>IF($K2654=1,L2654-M2654,"")</f>
        <v/>
      </c>
      <c r="O2654" s="34" t="n">
        <v>0.00050718</v>
      </c>
      <c r="P2654" s="34">
        <f>IF($J2654=1,LN(1+O2654),"")</f>
        <v/>
      </c>
      <c r="Q2654" s="34">
        <f>IF($J2654=1,LN(R2655/R2654),"")</f>
        <v/>
      </c>
      <c r="R2654" s="32" t="n">
        <v>3.2729</v>
      </c>
      <c r="S2654" s="35" t="n">
        <v>11.459</v>
      </c>
      <c r="T2654" s="18" t="n">
        <v>59588.7</v>
      </c>
      <c r="U2654" s="18" t="n"/>
      <c r="V2654" s="18" t="n"/>
      <c r="W2654" s="18" t="n"/>
      <c r="X2654" s="35" t="n"/>
      <c r="Y2654" s="35" t="n">
        <v>11.459</v>
      </c>
    </row>
    <row r="2655">
      <c r="A2655" s="25" t="n">
        <v>42738</v>
      </c>
      <c r="B2655" s="18" t="n">
        <v>61813.83</v>
      </c>
      <c r="C2655" s="31" t="n"/>
      <c r="D2655" s="32" t="n"/>
      <c r="E2655" s="33" t="n">
        <v>2.1924</v>
      </c>
      <c r="F2655" t="inlineStr">
        <is>
          <t>Up</t>
        </is>
      </c>
      <c r="G2655" t="inlineStr">
        <is>
          <t>Down</t>
        </is>
      </c>
      <c r="H2655" t="inlineStr">
        <is>
          <t>EU_JD</t>
        </is>
      </c>
      <c r="I2655" t="inlineStr">
        <is>
          <t>2017-01</t>
        </is>
      </c>
      <c r="J2655" t="n">
        <v>1</v>
      </c>
      <c r="K2655" t="n">
        <v>1</v>
      </c>
      <c r="L2655" s="34">
        <f>IF($J2655=1,LN(B2656/B2655),"")</f>
        <v/>
      </c>
      <c r="M2655" s="34">
        <f>IF($K2655=1,INDEX(Mensal!$D$2:$D$245,MATCH($I2655,Mensal!$A$2:$A$245,0)),"")</f>
        <v/>
      </c>
      <c r="N2655" s="34">
        <f>IF($K2655=1,L2655-M2655,"")</f>
        <v/>
      </c>
      <c r="O2655" s="34" t="n">
        <v>0.00050718</v>
      </c>
      <c r="P2655" s="34">
        <f>IF($J2655=1,LN(1+O2655),"")</f>
        <v/>
      </c>
      <c r="Q2655" s="34">
        <f>IF($J2655=1,LN(R2656/R2655),"")</f>
        <v/>
      </c>
      <c r="R2655" s="32" t="n">
        <v>3.2632</v>
      </c>
      <c r="S2655" s="35" t="n">
        <v>11.46</v>
      </c>
      <c r="T2655" s="18" t="n">
        <v>61813.83</v>
      </c>
      <c r="U2655" s="18" t="n"/>
      <c r="V2655" s="18" t="n"/>
      <c r="W2655" s="18" t="n"/>
      <c r="X2655" s="35" t="n"/>
      <c r="Y2655" s="35" t="n">
        <v>11.46</v>
      </c>
    </row>
    <row r="2656">
      <c r="A2656" s="25" t="n">
        <v>42739</v>
      </c>
      <c r="B2656" s="18" t="n">
        <v>61589.05</v>
      </c>
      <c r="C2656" s="31" t="n"/>
      <c r="D2656" s="32" t="n"/>
      <c r="E2656" s="33" t="n">
        <v>2.2165</v>
      </c>
      <c r="F2656" t="inlineStr">
        <is>
          <t>Up</t>
        </is>
      </c>
      <c r="G2656" t="inlineStr">
        <is>
          <t>Down</t>
        </is>
      </c>
      <c r="H2656" t="inlineStr">
        <is>
          <t>EU_JD</t>
        </is>
      </c>
      <c r="I2656" t="inlineStr">
        <is>
          <t>2017-01</t>
        </is>
      </c>
      <c r="J2656" t="n">
        <v>1</v>
      </c>
      <c r="K2656" t="n">
        <v>1</v>
      </c>
      <c r="L2656" s="34">
        <f>IF($J2656=1,LN(B2657/B2656),"")</f>
        <v/>
      </c>
      <c r="M2656" s="34">
        <f>IF($K2656=1,INDEX(Mensal!$D$2:$D$245,MATCH($I2656,Mensal!$A$2:$A$245,0)),"")</f>
        <v/>
      </c>
      <c r="N2656" s="34">
        <f>IF($K2656=1,L2656-M2656,"")</f>
        <v/>
      </c>
      <c r="O2656" s="34" t="n">
        <v>0.00050718</v>
      </c>
      <c r="P2656" s="34">
        <f>IF($J2656=1,LN(1+O2656),"")</f>
        <v/>
      </c>
      <c r="Q2656" s="34">
        <f>IF($J2656=1,LN(R2657/R2656),"")</f>
        <v/>
      </c>
      <c r="R2656" s="32" t="n">
        <v>3.2333</v>
      </c>
      <c r="S2656" s="35" t="n">
        <v>11.485</v>
      </c>
      <c r="T2656" s="18" t="n">
        <v>61589.05</v>
      </c>
      <c r="U2656" s="18" t="n"/>
      <c r="V2656" s="18" t="n"/>
      <c r="W2656" s="18" t="n"/>
      <c r="X2656" s="35" t="n"/>
      <c r="Y2656" s="35" t="n">
        <v>11.485</v>
      </c>
    </row>
    <row r="2657">
      <c r="A2657" s="25" t="n">
        <v>42740</v>
      </c>
      <c r="B2657" s="18" t="n">
        <v>62070.98</v>
      </c>
      <c r="C2657" s="31" t="n"/>
      <c r="D2657" s="32" t="n"/>
      <c r="E2657" s="33" t="n">
        <v>2.2365</v>
      </c>
      <c r="F2657" t="inlineStr">
        <is>
          <t>Up</t>
        </is>
      </c>
      <c r="G2657" t="inlineStr">
        <is>
          <t>Down</t>
        </is>
      </c>
      <c r="H2657" t="inlineStr">
        <is>
          <t>EU_JD</t>
        </is>
      </c>
      <c r="I2657" t="inlineStr">
        <is>
          <t>2017-01</t>
        </is>
      </c>
      <c r="J2657" t="n">
        <v>1</v>
      </c>
      <c r="K2657" t="n">
        <v>1</v>
      </c>
      <c r="L2657" s="34">
        <f>IF($J2657=1,LN(B2658/B2657),"")</f>
        <v/>
      </c>
      <c r="M2657" s="34">
        <f>IF($K2657=1,INDEX(Mensal!$D$2:$D$245,MATCH($I2657,Mensal!$A$2:$A$245,0)),"")</f>
        <v/>
      </c>
      <c r="N2657" s="34">
        <f>IF($K2657=1,L2657-M2657,"")</f>
        <v/>
      </c>
      <c r="O2657" s="34" t="n">
        <v>0.00050718</v>
      </c>
      <c r="P2657" s="34">
        <f>IF($J2657=1,LN(1+O2657),"")</f>
        <v/>
      </c>
      <c r="Q2657" s="34">
        <f>IF($J2657=1,LN(R2658/R2657),"")</f>
        <v/>
      </c>
      <c r="R2657" s="32" t="n">
        <v>3.2129</v>
      </c>
      <c r="S2657" s="35" t="n">
        <v>11.365</v>
      </c>
      <c r="T2657" s="18" t="n">
        <v>62070.98</v>
      </c>
      <c r="U2657" s="18" t="n"/>
      <c r="V2657" s="18" t="n"/>
      <c r="W2657" s="18" t="n"/>
      <c r="X2657" s="35" t="n"/>
      <c r="Y2657" s="35" t="n">
        <v>11.365</v>
      </c>
    </row>
    <row r="2658">
      <c r="A2658" s="25" t="n">
        <v>42741</v>
      </c>
      <c r="B2658" s="18" t="n">
        <v>61665.36</v>
      </c>
      <c r="C2658" s="31" t="n"/>
      <c r="D2658" s="32" t="n"/>
      <c r="E2658" s="33" t="n">
        <v>2.2576</v>
      </c>
      <c r="F2658" t="inlineStr">
        <is>
          <t>Up</t>
        </is>
      </c>
      <c r="G2658" t="inlineStr">
        <is>
          <t>Down</t>
        </is>
      </c>
      <c r="H2658" t="inlineStr">
        <is>
          <t>EU_JD</t>
        </is>
      </c>
      <c r="I2658" t="inlineStr">
        <is>
          <t>2017-01</t>
        </is>
      </c>
      <c r="J2658" t="n">
        <v>1</v>
      </c>
      <c r="K2658" t="n">
        <v>1</v>
      </c>
      <c r="L2658" s="34">
        <f>IF($J2658=1,LN(B2659/B2658),"")</f>
        <v/>
      </c>
      <c r="M2658" s="34">
        <f>IF($K2658=1,INDEX(Mensal!$D$2:$D$245,MATCH($I2658,Mensal!$A$2:$A$245,0)),"")</f>
        <v/>
      </c>
      <c r="N2658" s="34">
        <f>IF($K2658=1,L2658-M2658,"")</f>
        <v/>
      </c>
      <c r="O2658" s="34" t="n">
        <v>0.00050718</v>
      </c>
      <c r="P2658" s="34">
        <f>IF($J2658=1,LN(1+O2658),"")</f>
        <v/>
      </c>
      <c r="Q2658" s="34">
        <f>IF($J2658=1,LN(R2659/R2658),"")</f>
        <v/>
      </c>
      <c r="R2658" s="32" t="n">
        <v>3.2057</v>
      </c>
      <c r="S2658" s="35" t="n">
        <v>11.385</v>
      </c>
      <c r="T2658" s="18" t="n">
        <v>61665.36</v>
      </c>
      <c r="U2658" s="18" t="n"/>
      <c r="V2658" s="18" t="n"/>
      <c r="W2658" s="18" t="n"/>
      <c r="X2658" s="35" t="n"/>
      <c r="Y2658" s="35" t="n">
        <v>11.385</v>
      </c>
    </row>
    <row r="2659">
      <c r="A2659" s="25" t="n">
        <v>42744</v>
      </c>
      <c r="B2659" s="18" t="n">
        <v>61700.29</v>
      </c>
      <c r="C2659" s="31" t="n"/>
      <c r="D2659" s="32" t="n"/>
      <c r="E2659" s="33" t="n">
        <v>2.2808</v>
      </c>
      <c r="F2659" t="inlineStr">
        <is>
          <t>Up</t>
        </is>
      </c>
      <c r="G2659" t="inlineStr">
        <is>
          <t>Down</t>
        </is>
      </c>
      <c r="H2659" t="inlineStr">
        <is>
          <t>EU_JD</t>
        </is>
      </c>
      <c r="I2659" t="inlineStr">
        <is>
          <t>2017-01</t>
        </is>
      </c>
      <c r="J2659" t="n">
        <v>1</v>
      </c>
      <c r="K2659" t="n">
        <v>1</v>
      </c>
      <c r="L2659" s="34">
        <f>IF($J2659=1,LN(B2660/B2659),"")</f>
        <v/>
      </c>
      <c r="M2659" s="34">
        <f>IF($K2659=1,INDEX(Mensal!$D$2:$D$245,MATCH($I2659,Mensal!$A$2:$A$245,0)),"")</f>
        <v/>
      </c>
      <c r="N2659" s="34">
        <f>IF($K2659=1,L2659-M2659,"")</f>
        <v/>
      </c>
      <c r="O2659" s="34" t="n">
        <v>0.00050718</v>
      </c>
      <c r="P2659" s="34">
        <f>IF($J2659=1,LN(1+O2659),"")</f>
        <v/>
      </c>
      <c r="Q2659" s="34">
        <f>IF($J2659=1,LN(R2660/R2659),"")</f>
        <v/>
      </c>
      <c r="R2659" s="32" t="n">
        <v>3.2097</v>
      </c>
      <c r="S2659" s="35" t="n">
        <v>11.356</v>
      </c>
      <c r="T2659" s="18" t="n">
        <v>61700.29</v>
      </c>
      <c r="U2659" s="18" t="n"/>
      <c r="V2659" s="18" t="n"/>
      <c r="W2659" s="18" t="n"/>
      <c r="X2659" s="35" t="n"/>
      <c r="Y2659" s="35" t="n">
        <v>11.356</v>
      </c>
    </row>
    <row r="2660">
      <c r="A2660" s="25" t="n">
        <v>42745</v>
      </c>
      <c r="B2660" s="18" t="n">
        <v>62131.8</v>
      </c>
      <c r="C2660" s="31" t="n"/>
      <c r="D2660" s="32" t="n"/>
      <c r="E2660" s="33" t="n">
        <v>2.3014</v>
      </c>
      <c r="F2660" t="inlineStr">
        <is>
          <t>Up</t>
        </is>
      </c>
      <c r="G2660" t="inlineStr">
        <is>
          <t>Down</t>
        </is>
      </c>
      <c r="H2660" t="inlineStr">
        <is>
          <t>EU_JD</t>
        </is>
      </c>
      <c r="I2660" t="inlineStr">
        <is>
          <t>2017-01</t>
        </is>
      </c>
      <c r="J2660" t="n">
        <v>1</v>
      </c>
      <c r="K2660" t="n">
        <v>1</v>
      </c>
      <c r="L2660" s="34">
        <f>IF($J2660=1,LN(B2661/B2660),"")</f>
        <v/>
      </c>
      <c r="M2660" s="34">
        <f>IF($K2660=1,INDEX(Mensal!$D$2:$D$245,MATCH($I2660,Mensal!$A$2:$A$245,0)),"")</f>
        <v/>
      </c>
      <c r="N2660" s="34">
        <f>IF($K2660=1,L2660-M2660,"")</f>
        <v/>
      </c>
      <c r="O2660" s="34" t="n">
        <v>0.00050718</v>
      </c>
      <c r="P2660" s="34">
        <f>IF($J2660=1,LN(1+O2660),"")</f>
        <v/>
      </c>
      <c r="Q2660" s="34">
        <f>IF($J2660=1,LN(R2661/R2660),"")</f>
        <v/>
      </c>
      <c r="R2660" s="32" t="n">
        <v>3.1918</v>
      </c>
      <c r="S2660" s="35" t="n">
        <v>11.317</v>
      </c>
      <c r="T2660" s="18" t="n">
        <v>62131.8</v>
      </c>
      <c r="U2660" s="18" t="n"/>
      <c r="V2660" s="18" t="n"/>
      <c r="W2660" s="18" t="n"/>
      <c r="X2660" s="35" t="n"/>
      <c r="Y2660" s="35" t="n">
        <v>11.317</v>
      </c>
    </row>
    <row r="2661">
      <c r="A2661" s="25" t="n">
        <v>42746</v>
      </c>
      <c r="B2661" s="18" t="n">
        <v>62446.26</v>
      </c>
      <c r="C2661" s="31" t="n"/>
      <c r="D2661" s="32" t="n"/>
      <c r="E2661" s="33" t="n">
        <v>2.3207</v>
      </c>
      <c r="F2661" t="inlineStr">
        <is>
          <t>Up</t>
        </is>
      </c>
      <c r="G2661" t="inlineStr">
        <is>
          <t>Down</t>
        </is>
      </c>
      <c r="H2661" t="inlineStr">
        <is>
          <t>EU_JD</t>
        </is>
      </c>
      <c r="I2661" t="inlineStr">
        <is>
          <t>2017-01</t>
        </is>
      </c>
      <c r="J2661" t="n">
        <v>1</v>
      </c>
      <c r="K2661" t="n">
        <v>1</v>
      </c>
      <c r="L2661" s="34">
        <f>IF($J2661=1,LN(B2662/B2661),"")</f>
        <v/>
      </c>
      <c r="M2661" s="34">
        <f>IF($K2661=1,INDEX(Mensal!$D$2:$D$245,MATCH($I2661,Mensal!$A$2:$A$245,0)),"")</f>
        <v/>
      </c>
      <c r="N2661" s="34">
        <f>IF($K2661=1,L2661-M2661,"")</f>
        <v/>
      </c>
      <c r="O2661" s="34" t="n">
        <v>0.00050718</v>
      </c>
      <c r="P2661" s="34">
        <f>IF($J2661=1,LN(1+O2661),"")</f>
        <v/>
      </c>
      <c r="Q2661" s="34">
        <f>IF($J2661=1,LN(R2662/R2661),"")</f>
        <v/>
      </c>
      <c r="R2661" s="32" t="n">
        <v>3.2154</v>
      </c>
      <c r="S2661" s="35" t="n">
        <v>11.317</v>
      </c>
      <c r="T2661" s="18" t="n">
        <v>62446.26</v>
      </c>
      <c r="U2661" s="18" t="n"/>
      <c r="V2661" s="18" t="n"/>
      <c r="W2661" s="18" t="n"/>
      <c r="X2661" s="35" t="n"/>
      <c r="Y2661" s="35" t="n">
        <v>11.317</v>
      </c>
    </row>
    <row r="2662">
      <c r="A2662" s="25" t="n">
        <v>42747</v>
      </c>
      <c r="B2662" s="18" t="n">
        <v>63953.93</v>
      </c>
      <c r="C2662" s="31" t="n"/>
      <c r="D2662" s="32" t="n"/>
      <c r="E2662" s="33" t="n">
        <v>2.3347</v>
      </c>
      <c r="F2662" t="inlineStr">
        <is>
          <t>Up</t>
        </is>
      </c>
      <c r="G2662" t="inlineStr">
        <is>
          <t>Down</t>
        </is>
      </c>
      <c r="H2662" t="inlineStr">
        <is>
          <t>EU_JD</t>
        </is>
      </c>
      <c r="I2662" t="inlineStr">
        <is>
          <t>2017-01</t>
        </is>
      </c>
      <c r="J2662" t="n">
        <v>1</v>
      </c>
      <c r="K2662" t="n">
        <v>1</v>
      </c>
      <c r="L2662" s="34">
        <f>IF($J2662=1,LN(B2663/B2662),"")</f>
        <v/>
      </c>
      <c r="M2662" s="34">
        <f>IF($K2662=1,INDEX(Mensal!$D$2:$D$245,MATCH($I2662,Mensal!$A$2:$A$245,0)),"")</f>
        <v/>
      </c>
      <c r="N2662" s="34">
        <f>IF($K2662=1,L2662-M2662,"")</f>
        <v/>
      </c>
      <c r="O2662" s="34" t="n">
        <v>0.00048089</v>
      </c>
      <c r="P2662" s="34">
        <f>IF($J2662=1,LN(1+O2662),"")</f>
        <v/>
      </c>
      <c r="Q2662" s="34">
        <f>IF($J2662=1,LN(R2663/R2662),"")</f>
        <v/>
      </c>
      <c r="R2662" s="32" t="n">
        <v>3.1661</v>
      </c>
      <c r="S2662" s="35" t="n">
        <v>10.981</v>
      </c>
      <c r="T2662" s="18" t="n">
        <v>63953.93</v>
      </c>
      <c r="U2662" s="18" t="n"/>
      <c r="V2662" s="18" t="n"/>
      <c r="W2662" s="18" t="n"/>
      <c r="X2662" s="35" t="n"/>
      <c r="Y2662" s="35" t="n">
        <v>10.981</v>
      </c>
    </row>
    <row r="2663">
      <c r="A2663" s="25" t="n">
        <v>42748</v>
      </c>
      <c r="B2663" s="18" t="n">
        <v>63651.51</v>
      </c>
      <c r="C2663" s="31" t="n"/>
      <c r="D2663" s="32" t="n"/>
      <c r="E2663" s="33" t="n">
        <v>2.3493</v>
      </c>
      <c r="F2663" t="inlineStr">
        <is>
          <t>Up</t>
        </is>
      </c>
      <c r="G2663" t="inlineStr">
        <is>
          <t>Down</t>
        </is>
      </c>
      <c r="H2663" t="inlineStr">
        <is>
          <t>EU_JD</t>
        </is>
      </c>
      <c r="I2663" t="inlineStr">
        <is>
          <t>2017-01</t>
        </is>
      </c>
      <c r="J2663" t="n">
        <v>1</v>
      </c>
      <c r="K2663" t="n">
        <v>1</v>
      </c>
      <c r="L2663" s="34">
        <f>IF($J2663=1,LN(B2664/B2663),"")</f>
        <v/>
      </c>
      <c r="M2663" s="34">
        <f>IF($K2663=1,INDEX(Mensal!$D$2:$D$245,MATCH($I2663,Mensal!$A$2:$A$245,0)),"")</f>
        <v/>
      </c>
      <c r="N2663" s="34">
        <f>IF($K2663=1,L2663-M2663,"")</f>
        <v/>
      </c>
      <c r="O2663" s="34" t="n">
        <v>0.00048089</v>
      </c>
      <c r="P2663" s="34">
        <f>IF($J2663=1,LN(1+O2663),"")</f>
        <v/>
      </c>
      <c r="Q2663" s="34">
        <f>IF($J2663=1,LN(R2664/R2663),"")</f>
        <v/>
      </c>
      <c r="R2663" s="32" t="n">
        <v>3.2034</v>
      </c>
      <c r="S2663" s="35" t="n">
        <v>11.041</v>
      </c>
      <c r="T2663" s="18" t="n">
        <v>63651.51</v>
      </c>
      <c r="U2663" s="18" t="n"/>
      <c r="V2663" s="18" t="n"/>
      <c r="W2663" s="18" t="n"/>
      <c r="X2663" s="35" t="n"/>
      <c r="Y2663" s="35" t="n">
        <v>11.041</v>
      </c>
    </row>
    <row r="2664">
      <c r="A2664" s="25" t="n">
        <v>42751</v>
      </c>
      <c r="B2664" s="18" t="n">
        <v>63831.27</v>
      </c>
      <c r="C2664" s="31" t="n"/>
      <c r="D2664" s="32" t="n"/>
      <c r="E2664" s="33" t="n">
        <v>2.352</v>
      </c>
      <c r="F2664" t="inlineStr">
        <is>
          <t>Up</t>
        </is>
      </c>
      <c r="G2664" t="inlineStr">
        <is>
          <t>Down</t>
        </is>
      </c>
      <c r="H2664" t="inlineStr">
        <is>
          <t>EU_JD</t>
        </is>
      </c>
      <c r="I2664" t="inlineStr">
        <is>
          <t>2017-01</t>
        </is>
      </c>
      <c r="J2664" t="n">
        <v>1</v>
      </c>
      <c r="K2664" t="n">
        <v>1</v>
      </c>
      <c r="L2664" s="34">
        <f>IF($J2664=1,LN(B2665/B2664),"")</f>
        <v/>
      </c>
      <c r="M2664" s="34">
        <f>IF($K2664=1,INDEX(Mensal!$D$2:$D$245,MATCH($I2664,Mensal!$A$2:$A$245,0)),"")</f>
        <v/>
      </c>
      <c r="N2664" s="34">
        <f>IF($K2664=1,L2664-M2664,"")</f>
        <v/>
      </c>
      <c r="O2664" s="34" t="n">
        <v>0.00048089</v>
      </c>
      <c r="P2664" s="34">
        <f>IF($J2664=1,LN(1+O2664),"")</f>
        <v/>
      </c>
      <c r="Q2664" s="34">
        <f>IF($J2664=1,LN(R2665/R2664),"")</f>
        <v/>
      </c>
      <c r="R2664" s="32" t="n">
        <v>3.2234</v>
      </c>
      <c r="S2664" s="35" t="n">
        <v>10.992</v>
      </c>
      <c r="T2664" s="18" t="n">
        <v>63831.27</v>
      </c>
      <c r="U2664" s="18" t="n"/>
      <c r="V2664" s="18" t="n"/>
      <c r="W2664" s="18" t="n"/>
      <c r="X2664" s="35" t="n"/>
      <c r="Y2664" s="35" t="n">
        <v>10.992</v>
      </c>
    </row>
    <row r="2665">
      <c r="A2665" s="25" t="n">
        <v>42752</v>
      </c>
      <c r="B2665" s="18" t="n">
        <v>64354.33</v>
      </c>
      <c r="C2665" s="31" t="n"/>
      <c r="D2665" s="32" t="n"/>
      <c r="E2665" s="33" t="n">
        <v>2.3524</v>
      </c>
      <c r="F2665" t="inlineStr">
        <is>
          <t>Up</t>
        </is>
      </c>
      <c r="G2665" t="inlineStr">
        <is>
          <t>Down</t>
        </is>
      </c>
      <c r="H2665" t="inlineStr">
        <is>
          <t>EU_JD</t>
        </is>
      </c>
      <c r="I2665" t="inlineStr">
        <is>
          <t>2017-01</t>
        </is>
      </c>
      <c r="J2665" t="n">
        <v>1</v>
      </c>
      <c r="K2665" t="n">
        <v>1</v>
      </c>
      <c r="L2665" s="34">
        <f>IF($J2665=1,LN(B2666/B2665),"")</f>
        <v/>
      </c>
      <c r="M2665" s="34">
        <f>IF($K2665=1,INDEX(Mensal!$D$2:$D$245,MATCH($I2665,Mensal!$A$2:$A$245,0)),"")</f>
        <v/>
      </c>
      <c r="N2665" s="34">
        <f>IF($K2665=1,L2665-M2665,"")</f>
        <v/>
      </c>
      <c r="O2665" s="34" t="n">
        <v>0.00048089</v>
      </c>
      <c r="P2665" s="34">
        <f>IF($J2665=1,LN(1+O2665),"")</f>
        <v/>
      </c>
      <c r="Q2665" s="34">
        <f>IF($J2665=1,LN(R2666/R2665),"")</f>
        <v/>
      </c>
      <c r="R2665" s="32" t="n">
        <v>3.21</v>
      </c>
      <c r="S2665" s="35" t="n">
        <v>10.998</v>
      </c>
      <c r="T2665" s="18" t="n">
        <v>64354.33</v>
      </c>
      <c r="U2665" s="18" t="n"/>
      <c r="V2665" s="18" t="n"/>
      <c r="W2665" s="18" t="n"/>
      <c r="X2665" s="35" t="n"/>
      <c r="Y2665" s="35" t="n">
        <v>10.998</v>
      </c>
    </row>
    <row r="2666">
      <c r="A2666" s="25" t="n">
        <v>42753</v>
      </c>
      <c r="B2666" s="18" t="n">
        <v>64149.57</v>
      </c>
      <c r="C2666" s="31" t="n"/>
      <c r="D2666" s="32" t="n"/>
      <c r="E2666" s="33" t="n">
        <v>2.3789</v>
      </c>
      <c r="F2666" t="inlineStr">
        <is>
          <t>Up</t>
        </is>
      </c>
      <c r="G2666" t="inlineStr">
        <is>
          <t>Down</t>
        </is>
      </c>
      <c r="H2666" t="inlineStr">
        <is>
          <t>EU_JD</t>
        </is>
      </c>
      <c r="I2666" t="inlineStr">
        <is>
          <t>2017-01</t>
        </is>
      </c>
      <c r="J2666" t="n">
        <v>1</v>
      </c>
      <c r="K2666" t="n">
        <v>1</v>
      </c>
      <c r="L2666" s="34">
        <f>IF($J2666=1,LN(B2667/B2666),"")</f>
        <v/>
      </c>
      <c r="M2666" s="34">
        <f>IF($K2666=1,INDEX(Mensal!$D$2:$D$245,MATCH($I2666,Mensal!$A$2:$A$245,0)),"")</f>
        <v/>
      </c>
      <c r="N2666" s="34">
        <f>IF($K2666=1,L2666-M2666,"")</f>
        <v/>
      </c>
      <c r="O2666" s="34" t="n">
        <v>0.00048089</v>
      </c>
      <c r="P2666" s="34">
        <f>IF($J2666=1,LN(1+O2666),"")</f>
        <v/>
      </c>
      <c r="Q2666" s="34">
        <f>IF($J2666=1,LN(R2667/R2666),"")</f>
        <v/>
      </c>
      <c r="R2666" s="32" t="n">
        <v>3.2211</v>
      </c>
      <c r="S2666" s="35" t="n">
        <v>10.995</v>
      </c>
      <c r="T2666" s="18" t="n">
        <v>64149.57</v>
      </c>
      <c r="U2666" s="18" t="n"/>
      <c r="V2666" s="18" t="n"/>
      <c r="W2666" s="18" t="n"/>
      <c r="X2666" s="35" t="n"/>
      <c r="Y2666" s="35" t="n">
        <v>10.995</v>
      </c>
    </row>
    <row r="2667">
      <c r="A2667" s="25" t="n">
        <v>42754</v>
      </c>
      <c r="B2667" s="18" t="n">
        <v>63950.86</v>
      </c>
      <c r="C2667" s="31" t="n"/>
      <c r="D2667" s="32" t="n"/>
      <c r="E2667" s="33" t="n">
        <v>2.392</v>
      </c>
      <c r="F2667" t="inlineStr">
        <is>
          <t>Up</t>
        </is>
      </c>
      <c r="G2667" t="inlineStr">
        <is>
          <t>Down</t>
        </is>
      </c>
      <c r="H2667" t="inlineStr">
        <is>
          <t>EU_JD</t>
        </is>
      </c>
      <c r="I2667" t="inlineStr">
        <is>
          <t>2017-01</t>
        </is>
      </c>
      <c r="J2667" t="n">
        <v>1</v>
      </c>
      <c r="K2667" t="n">
        <v>1</v>
      </c>
      <c r="L2667" s="34">
        <f>IF($J2667=1,LN(B2668/B2667),"")</f>
        <v/>
      </c>
      <c r="M2667" s="34">
        <f>IF($K2667=1,INDEX(Mensal!$D$2:$D$245,MATCH($I2667,Mensal!$A$2:$A$245,0)),"")</f>
        <v/>
      </c>
      <c r="N2667" s="34">
        <f>IF($K2667=1,L2667-M2667,"")</f>
        <v/>
      </c>
      <c r="O2667" s="34" t="n">
        <v>0.00048089</v>
      </c>
      <c r="P2667" s="34">
        <f>IF($J2667=1,LN(1+O2667),"")</f>
        <v/>
      </c>
      <c r="Q2667" s="34">
        <f>IF($J2667=1,LN(R2668/R2667),"")</f>
        <v/>
      </c>
      <c r="R2667" s="32" t="n">
        <v>3.2113</v>
      </c>
      <c r="S2667" s="35" t="n">
        <v>10.935</v>
      </c>
      <c r="T2667" s="18" t="n">
        <v>63950.86</v>
      </c>
      <c r="U2667" s="18" t="n"/>
      <c r="V2667" s="18" t="n"/>
      <c r="W2667" s="18" t="n"/>
      <c r="X2667" s="35" t="n"/>
      <c r="Y2667" s="35" t="n">
        <v>10.935</v>
      </c>
    </row>
    <row r="2668">
      <c r="A2668" s="25" t="n">
        <v>42755</v>
      </c>
      <c r="B2668" s="18" t="n">
        <v>64521.18</v>
      </c>
      <c r="C2668" s="31" t="n"/>
      <c r="D2668" s="32" t="n"/>
      <c r="E2668" s="33" t="n">
        <v>2.3785</v>
      </c>
      <c r="F2668" t="inlineStr">
        <is>
          <t>Up</t>
        </is>
      </c>
      <c r="G2668" t="inlineStr">
        <is>
          <t>Down</t>
        </is>
      </c>
      <c r="H2668" t="inlineStr">
        <is>
          <t>EU_JD</t>
        </is>
      </c>
      <c r="I2668" t="inlineStr">
        <is>
          <t>2017-01</t>
        </is>
      </c>
      <c r="J2668" t="n">
        <v>1</v>
      </c>
      <c r="K2668" t="n">
        <v>1</v>
      </c>
      <c r="L2668" s="34">
        <f>IF($J2668=1,LN(B2669/B2668),"")</f>
        <v/>
      </c>
      <c r="M2668" s="34">
        <f>IF($K2668=1,INDEX(Mensal!$D$2:$D$245,MATCH($I2668,Mensal!$A$2:$A$245,0)),"")</f>
        <v/>
      </c>
      <c r="N2668" s="34">
        <f>IF($K2668=1,L2668-M2668,"")</f>
        <v/>
      </c>
      <c r="O2668" s="34" t="n">
        <v>0.00048089</v>
      </c>
      <c r="P2668" s="34">
        <f>IF($J2668=1,LN(1+O2668),"")</f>
        <v/>
      </c>
      <c r="Q2668" s="34">
        <f>IF($J2668=1,LN(R2669/R2668),"")</f>
        <v/>
      </c>
      <c r="R2668" s="32" t="n">
        <v>3.1918</v>
      </c>
      <c r="S2668" s="35" t="n">
        <v>10.885</v>
      </c>
      <c r="T2668" s="18" t="n">
        <v>64521.18</v>
      </c>
      <c r="U2668" s="18" t="n"/>
      <c r="V2668" s="18" t="n"/>
      <c r="W2668" s="18" t="n"/>
      <c r="X2668" s="35" t="n"/>
      <c r="Y2668" s="35" t="n">
        <v>10.885</v>
      </c>
    </row>
    <row r="2669">
      <c r="A2669" s="25" t="n">
        <v>42758</v>
      </c>
      <c r="B2669" s="18" t="n">
        <v>65748.62</v>
      </c>
      <c r="C2669" s="31" t="n"/>
      <c r="D2669" s="32" t="n"/>
      <c r="E2669" s="33" t="n">
        <v>2.3757</v>
      </c>
      <c r="F2669" t="inlineStr">
        <is>
          <t>Up</t>
        </is>
      </c>
      <c r="G2669" t="inlineStr">
        <is>
          <t>Down</t>
        </is>
      </c>
      <c r="H2669" t="inlineStr">
        <is>
          <t>EU_JD</t>
        </is>
      </c>
      <c r="I2669" t="inlineStr">
        <is>
          <t>2017-01</t>
        </is>
      </c>
      <c r="J2669" t="n">
        <v>1</v>
      </c>
      <c r="K2669" t="n">
        <v>1</v>
      </c>
      <c r="L2669" s="34">
        <f>IF($J2669=1,LN(B2670/B2669),"")</f>
        <v/>
      </c>
      <c r="M2669" s="34">
        <f>IF($K2669=1,INDEX(Mensal!$D$2:$D$245,MATCH($I2669,Mensal!$A$2:$A$245,0)),"")</f>
        <v/>
      </c>
      <c r="N2669" s="34">
        <f>IF($K2669=1,L2669-M2669,"")</f>
        <v/>
      </c>
      <c r="O2669" s="34" t="n">
        <v>0.00048089</v>
      </c>
      <c r="P2669" s="34">
        <f>IF($J2669=1,LN(1+O2669),"")</f>
        <v/>
      </c>
      <c r="Q2669" s="34">
        <f>IF($J2669=1,LN(R2670/R2669),"")</f>
        <v/>
      </c>
      <c r="R2669" s="32" t="n">
        <v>3.1609</v>
      </c>
      <c r="S2669" s="35" t="n">
        <v>10.886</v>
      </c>
      <c r="T2669" s="18" t="n">
        <v>65748.62</v>
      </c>
      <c r="U2669" s="18" t="n"/>
      <c r="V2669" s="18" t="n"/>
      <c r="W2669" s="18" t="n"/>
      <c r="X2669" s="35" t="n"/>
      <c r="Y2669" s="35" t="n">
        <v>10.886</v>
      </c>
    </row>
    <row r="2670">
      <c r="A2670" s="25" t="n">
        <v>42759</v>
      </c>
      <c r="B2670" s="18" t="n">
        <v>65840.09</v>
      </c>
      <c r="C2670" s="31" t="n"/>
      <c r="D2670" s="32" t="n"/>
      <c r="E2670" s="33" t="n">
        <v>2.375</v>
      </c>
      <c r="F2670" t="inlineStr">
        <is>
          <t>Up</t>
        </is>
      </c>
      <c r="G2670" t="inlineStr">
        <is>
          <t>Down</t>
        </is>
      </c>
      <c r="H2670" t="inlineStr">
        <is>
          <t>EU_JD</t>
        </is>
      </c>
      <c r="I2670" t="inlineStr">
        <is>
          <t>2017-01</t>
        </is>
      </c>
      <c r="J2670" t="n">
        <v>1</v>
      </c>
      <c r="K2670" t="n">
        <v>1</v>
      </c>
      <c r="L2670" s="34">
        <f>IF($J2670=1,LN(B2671/B2670),"")</f>
        <v/>
      </c>
      <c r="M2670" s="34">
        <f>IF($K2670=1,INDEX(Mensal!$D$2:$D$245,MATCH($I2670,Mensal!$A$2:$A$245,0)),"")</f>
        <v/>
      </c>
      <c r="N2670" s="34">
        <f>IF($K2670=1,L2670-M2670,"")</f>
        <v/>
      </c>
      <c r="O2670" s="34" t="n">
        <v>0.00048089</v>
      </c>
      <c r="P2670" s="34">
        <f>IF($J2670=1,LN(1+O2670),"")</f>
        <v/>
      </c>
      <c r="Q2670" s="34">
        <f>IF($J2670=1,LN(R2671/R2670),"")</f>
        <v/>
      </c>
      <c r="R2670" s="32" t="n">
        <v>3.1649</v>
      </c>
      <c r="S2670" s="35" t="n">
        <v>10.879</v>
      </c>
      <c r="T2670" s="18" t="n">
        <v>65840.09</v>
      </c>
      <c r="U2670" s="18" t="n"/>
      <c r="V2670" s="18" t="n"/>
      <c r="W2670" s="18" t="n"/>
      <c r="X2670" s="35" t="n"/>
      <c r="Y2670" s="35" t="n">
        <v>10.879</v>
      </c>
    </row>
    <row r="2671">
      <c r="A2671" s="25" t="n">
        <v>42761</v>
      </c>
      <c r="B2671" s="18" t="n">
        <v>66190.62</v>
      </c>
      <c r="C2671" s="31" t="n"/>
      <c r="D2671" s="32" t="n"/>
      <c r="E2671" s="33" t="n">
        <v>2.3951</v>
      </c>
      <c r="F2671" t="inlineStr">
        <is>
          <t>Up</t>
        </is>
      </c>
      <c r="G2671" t="inlineStr">
        <is>
          <t>Down</t>
        </is>
      </c>
      <c r="H2671" t="inlineStr">
        <is>
          <t>EU_JD</t>
        </is>
      </c>
      <c r="I2671" t="inlineStr">
        <is>
          <t>2017-01</t>
        </is>
      </c>
      <c r="J2671" t="n">
        <v>1</v>
      </c>
      <c r="K2671" t="n">
        <v>1</v>
      </c>
      <c r="L2671" s="34">
        <f>IF($J2671=1,LN(B2672/B2671),"")</f>
        <v/>
      </c>
      <c r="M2671" s="34">
        <f>IF($K2671=1,INDEX(Mensal!$D$2:$D$245,MATCH($I2671,Mensal!$A$2:$A$245,0)),"")</f>
        <v/>
      </c>
      <c r="N2671" s="34">
        <f>IF($K2671=1,L2671-M2671,"")</f>
        <v/>
      </c>
      <c r="O2671" s="34" t="n">
        <v>0.00048089</v>
      </c>
      <c r="P2671" s="34">
        <f>IF($J2671=1,LN(1+O2671),"")</f>
        <v/>
      </c>
      <c r="Q2671" s="34">
        <f>IF($J2671=1,LN(R2672/R2671),"")</f>
        <v/>
      </c>
      <c r="R2671" s="32" t="n">
        <v>3.1804</v>
      </c>
      <c r="S2671" s="35" t="n">
        <v>10.9</v>
      </c>
      <c r="T2671" s="18" t="n">
        <v>66190.62</v>
      </c>
      <c r="U2671" s="18" t="n"/>
      <c r="V2671" s="18" t="n"/>
      <c r="W2671" s="18" t="n"/>
      <c r="X2671" s="35" t="n"/>
      <c r="Y2671" s="35" t="n">
        <v>10.9</v>
      </c>
    </row>
    <row r="2672">
      <c r="A2672" s="25" t="n">
        <v>42762</v>
      </c>
      <c r="B2672" s="18" t="n">
        <v>66033.98</v>
      </c>
      <c r="C2672" s="31" t="n"/>
      <c r="D2672" s="32" t="n"/>
      <c r="E2672" s="33" t="n">
        <v>2.4082</v>
      </c>
      <c r="F2672" t="inlineStr">
        <is>
          <t>Up</t>
        </is>
      </c>
      <c r="G2672" t="inlineStr">
        <is>
          <t>Down</t>
        </is>
      </c>
      <c r="H2672" t="inlineStr">
        <is>
          <t>EU_JD</t>
        </is>
      </c>
      <c r="I2672" t="inlineStr">
        <is>
          <t>2017-01</t>
        </is>
      </c>
      <c r="J2672" t="n">
        <v>1</v>
      </c>
      <c r="K2672" t="n">
        <v>1</v>
      </c>
      <c r="L2672" s="34">
        <f>IF($J2672=1,LN(B2673/B2672),"")</f>
        <v/>
      </c>
      <c r="M2672" s="34">
        <f>IF($K2672=1,INDEX(Mensal!$D$2:$D$245,MATCH($I2672,Mensal!$A$2:$A$245,0)),"")</f>
        <v/>
      </c>
      <c r="N2672" s="34">
        <f>IF($K2672=1,L2672-M2672,"")</f>
        <v/>
      </c>
      <c r="O2672" s="34" t="n">
        <v>0.00048089</v>
      </c>
      <c r="P2672" s="34">
        <f>IF($J2672=1,LN(1+O2672),"")</f>
        <v/>
      </c>
      <c r="Q2672" s="34">
        <f>IF($J2672=1,LN(R2673/R2672),"")</f>
        <v/>
      </c>
      <c r="R2672" s="32" t="n">
        <v>3.1596</v>
      </c>
      <c r="S2672" s="35" t="n">
        <v>10.873</v>
      </c>
      <c r="T2672" s="18" t="n">
        <v>66033.98</v>
      </c>
      <c r="U2672" s="18" t="n"/>
      <c r="V2672" s="18" t="n"/>
      <c r="W2672" s="18" t="n"/>
      <c r="X2672" s="35" t="n"/>
      <c r="Y2672" s="35" t="n">
        <v>10.873</v>
      </c>
    </row>
    <row r="2673">
      <c r="A2673" s="25" t="n">
        <v>42765</v>
      </c>
      <c r="B2673" s="18" t="n">
        <v>64301.73</v>
      </c>
      <c r="C2673" s="31" t="n"/>
      <c r="D2673" s="32" t="n"/>
      <c r="E2673" s="33" t="n">
        <v>2.4093</v>
      </c>
      <c r="F2673" t="inlineStr">
        <is>
          <t>Up</t>
        </is>
      </c>
      <c r="G2673" t="inlineStr">
        <is>
          <t>Down</t>
        </is>
      </c>
      <c r="H2673" t="inlineStr">
        <is>
          <t>EU_JD</t>
        </is>
      </c>
      <c r="I2673" t="inlineStr">
        <is>
          <t>2017-01</t>
        </is>
      </c>
      <c r="J2673" t="n">
        <v>1</v>
      </c>
      <c r="K2673" t="n">
        <v>1</v>
      </c>
      <c r="L2673" s="34">
        <f>IF($J2673=1,LN(B2674/B2673),"")</f>
        <v/>
      </c>
      <c r="M2673" s="34">
        <f>IF($K2673=1,INDEX(Mensal!$D$2:$D$245,MATCH($I2673,Mensal!$A$2:$A$245,0)),"")</f>
        <v/>
      </c>
      <c r="N2673" s="34">
        <f>IF($K2673=1,L2673-M2673,"")</f>
        <v/>
      </c>
      <c r="O2673" s="34" t="n">
        <v>0.00048089</v>
      </c>
      <c r="P2673" s="34">
        <f>IF($J2673=1,LN(1+O2673),"")</f>
        <v/>
      </c>
      <c r="Q2673" s="34">
        <f>IF($J2673=1,LN(R2674/R2673),"")</f>
        <v/>
      </c>
      <c r="R2673" s="32" t="n">
        <v>3.1316</v>
      </c>
      <c r="S2673" s="35" t="n">
        <v>10.868</v>
      </c>
      <c r="T2673" s="18" t="n">
        <v>64301.73</v>
      </c>
      <c r="U2673" s="18" t="n"/>
      <c r="V2673" s="18" t="n"/>
      <c r="W2673" s="18" t="n"/>
      <c r="X2673" s="35" t="n"/>
      <c r="Y2673" s="35" t="n">
        <v>10.868</v>
      </c>
    </row>
    <row r="2674">
      <c r="A2674" s="25" t="n">
        <v>42766</v>
      </c>
      <c r="B2674" s="18" t="n">
        <v>64670.78</v>
      </c>
      <c r="C2674" s="31" t="n"/>
      <c r="D2674" s="32" t="n"/>
      <c r="E2674" s="33" t="n">
        <v>2.404</v>
      </c>
      <c r="F2674" t="inlineStr">
        <is>
          <t>Up</t>
        </is>
      </c>
      <c r="G2674" t="inlineStr">
        <is>
          <t>Down</t>
        </is>
      </c>
      <c r="H2674" t="inlineStr">
        <is>
          <t>EU_JD</t>
        </is>
      </c>
      <c r="I2674" t="inlineStr">
        <is>
          <t>2017-01</t>
        </is>
      </c>
      <c r="J2674" t="n">
        <v>1</v>
      </c>
      <c r="K2674" t="n">
        <v>1</v>
      </c>
      <c r="L2674" s="34">
        <f>IF($J2674=1,LN(B2675/B2674),"")</f>
        <v/>
      </c>
      <c r="M2674" s="34">
        <f>IF($K2674=1,INDEX(Mensal!$D$2:$D$245,MATCH($I2674,Mensal!$A$2:$A$245,0)),"")</f>
        <v/>
      </c>
      <c r="N2674" s="34">
        <f>IF($K2674=1,L2674-M2674,"")</f>
        <v/>
      </c>
      <c r="O2674" s="34" t="n">
        <v>0.00048089</v>
      </c>
      <c r="P2674" s="34">
        <f>IF($J2674=1,LN(1+O2674),"")</f>
        <v/>
      </c>
      <c r="Q2674" s="34">
        <f>IF($J2674=1,LN(R2675/R2674),"")</f>
        <v/>
      </c>
      <c r="R2674" s="32" t="n">
        <v>3.127</v>
      </c>
      <c r="S2674" s="35" t="n">
        <v>10.83</v>
      </c>
      <c r="T2674" s="18" t="n">
        <v>64670.78</v>
      </c>
      <c r="U2674" s="18" t="n"/>
      <c r="V2674" s="18" t="n"/>
      <c r="W2674" s="18" t="n"/>
      <c r="X2674" s="35" t="n"/>
      <c r="Y2674" s="35" t="n">
        <v>10.83</v>
      </c>
    </row>
    <row r="2675">
      <c r="A2675" s="25" t="n">
        <v>42767</v>
      </c>
      <c r="B2675" s="18" t="n">
        <v>64836.12</v>
      </c>
      <c r="C2675" s="31" t="n"/>
      <c r="D2675" s="32" t="n"/>
      <c r="E2675" s="33" t="n">
        <v>2.3986</v>
      </c>
      <c r="F2675" t="inlineStr">
        <is>
          <t>Up</t>
        </is>
      </c>
      <c r="G2675" t="inlineStr">
        <is>
          <t>Down</t>
        </is>
      </c>
      <c r="H2675" t="inlineStr">
        <is>
          <t>EU_JD</t>
        </is>
      </c>
      <c r="I2675" t="inlineStr">
        <is>
          <t>2017-02</t>
        </is>
      </c>
      <c r="J2675" t="n">
        <v>1</v>
      </c>
      <c r="K2675" t="n">
        <v>1</v>
      </c>
      <c r="L2675" s="34">
        <f>IF($J2675=1,LN(B2676/B2675),"")</f>
        <v/>
      </c>
      <c r="M2675" s="34">
        <f>IF($K2675=1,INDEX(Mensal!$D$2:$D$245,MATCH($I2675,Mensal!$A$2:$A$245,0)),"")</f>
        <v/>
      </c>
      <c r="N2675" s="34">
        <f>IF($K2675=1,L2675-M2675,"")</f>
        <v/>
      </c>
      <c r="O2675" s="34" t="n">
        <v>0.00048089</v>
      </c>
      <c r="P2675" s="34">
        <f>IF($J2675=1,LN(1+O2675),"")</f>
        <v/>
      </c>
      <c r="Q2675" s="34">
        <f>IF($J2675=1,LN(R2676/R2675),"")</f>
        <v/>
      </c>
      <c r="R2675" s="32" t="n">
        <v>3.1479</v>
      </c>
      <c r="S2675" s="35" t="n">
        <v>10.809</v>
      </c>
      <c r="T2675" s="18" t="n">
        <v>64836.12</v>
      </c>
      <c r="U2675" s="18" t="n"/>
      <c r="V2675" s="18" t="n"/>
      <c r="W2675" s="18" t="n"/>
      <c r="X2675" s="35" t="n"/>
      <c r="Y2675" s="35" t="n">
        <v>10.809</v>
      </c>
    </row>
    <row r="2676">
      <c r="A2676" s="25" t="n">
        <v>42768</v>
      </c>
      <c r="B2676" s="18" t="n">
        <v>64578.21</v>
      </c>
      <c r="C2676" s="31" t="n"/>
      <c r="D2676" s="32" t="n"/>
      <c r="E2676" s="33" t="n">
        <v>2.3868</v>
      </c>
      <c r="F2676" t="inlineStr">
        <is>
          <t>Up</t>
        </is>
      </c>
      <c r="G2676" t="inlineStr">
        <is>
          <t>Down</t>
        </is>
      </c>
      <c r="H2676" t="inlineStr">
        <is>
          <t>EU_JD</t>
        </is>
      </c>
      <c r="I2676" t="inlineStr">
        <is>
          <t>2017-02</t>
        </is>
      </c>
      <c r="J2676" t="n">
        <v>1</v>
      </c>
      <c r="K2676" t="n">
        <v>1</v>
      </c>
      <c r="L2676" s="34">
        <f>IF($J2676=1,LN(B2677/B2676),"")</f>
        <v/>
      </c>
      <c r="M2676" s="34">
        <f>IF($K2676=1,INDEX(Mensal!$D$2:$D$245,MATCH($I2676,Mensal!$A$2:$A$245,0)),"")</f>
        <v/>
      </c>
      <c r="N2676" s="34">
        <f>IF($K2676=1,L2676-M2676,"")</f>
        <v/>
      </c>
      <c r="O2676" s="34" t="n">
        <v>0.00048089</v>
      </c>
      <c r="P2676" s="34">
        <f>IF($J2676=1,LN(1+O2676),"")</f>
        <v/>
      </c>
      <c r="Q2676" s="34">
        <f>IF($J2676=1,LN(R2677/R2676),"")</f>
        <v/>
      </c>
      <c r="R2676" s="32" t="n">
        <v>3.1196</v>
      </c>
      <c r="S2676" s="35" t="n">
        <v>10.791</v>
      </c>
      <c r="T2676" s="18" t="n">
        <v>64578.21</v>
      </c>
      <c r="U2676" s="18" t="n"/>
      <c r="V2676" s="18" t="n"/>
      <c r="W2676" s="18" t="n"/>
      <c r="X2676" s="35" t="n"/>
      <c r="Y2676" s="35" t="n">
        <v>10.791</v>
      </c>
    </row>
    <row r="2677">
      <c r="A2677" s="25" t="n">
        <v>42769</v>
      </c>
      <c r="B2677" s="18" t="n">
        <v>64953.93</v>
      </c>
      <c r="C2677" s="31" t="n"/>
      <c r="D2677" s="32" t="n"/>
      <c r="E2677" s="33" t="n">
        <v>2.3913</v>
      </c>
      <c r="F2677" t="inlineStr">
        <is>
          <t>Up</t>
        </is>
      </c>
      <c r="G2677" t="inlineStr">
        <is>
          <t>Down</t>
        </is>
      </c>
      <c r="H2677" t="inlineStr">
        <is>
          <t>EU_JD</t>
        </is>
      </c>
      <c r="I2677" t="inlineStr">
        <is>
          <t>2017-02</t>
        </is>
      </c>
      <c r="J2677" t="n">
        <v>1</v>
      </c>
      <c r="K2677" t="n">
        <v>1</v>
      </c>
      <c r="L2677" s="34">
        <f>IF($J2677=1,LN(B2678/B2677),"")</f>
        <v/>
      </c>
      <c r="M2677" s="34">
        <f>IF($K2677=1,INDEX(Mensal!$D$2:$D$245,MATCH($I2677,Mensal!$A$2:$A$245,0)),"")</f>
        <v/>
      </c>
      <c r="N2677" s="34">
        <f>IF($K2677=1,L2677-M2677,"")</f>
        <v/>
      </c>
      <c r="O2677" s="34" t="n">
        <v>0.00048089</v>
      </c>
      <c r="P2677" s="34">
        <f>IF($J2677=1,LN(1+O2677),"")</f>
        <v/>
      </c>
      <c r="Q2677" s="34">
        <f>IF($J2677=1,LN(R2678/R2677),"")</f>
        <v/>
      </c>
      <c r="R2677" s="32" t="n">
        <v>3.1241</v>
      </c>
      <c r="S2677" s="35" t="n">
        <v>10.741</v>
      </c>
      <c r="T2677" s="18" t="n">
        <v>64953.93</v>
      </c>
      <c r="U2677" s="18" t="n"/>
      <c r="V2677" s="18" t="n"/>
      <c r="W2677" s="18" t="n"/>
      <c r="X2677" s="35" t="n"/>
      <c r="Y2677" s="35" t="n">
        <v>10.741</v>
      </c>
    </row>
    <row r="2678">
      <c r="A2678" s="25" t="n">
        <v>42772</v>
      </c>
      <c r="B2678" s="18" t="n">
        <v>63992.93</v>
      </c>
      <c r="C2678" s="31" t="n"/>
      <c r="D2678" s="32" t="n"/>
      <c r="E2678" s="33" t="n">
        <v>2.3892</v>
      </c>
      <c r="F2678" t="inlineStr">
        <is>
          <t>Up</t>
        </is>
      </c>
      <c r="G2678" t="inlineStr">
        <is>
          <t>Down</t>
        </is>
      </c>
      <c r="H2678" t="inlineStr">
        <is>
          <t>EU_JD</t>
        </is>
      </c>
      <c r="I2678" t="inlineStr">
        <is>
          <t>2017-02</t>
        </is>
      </c>
      <c r="J2678" t="n">
        <v>1</v>
      </c>
      <c r="K2678" t="n">
        <v>1</v>
      </c>
      <c r="L2678" s="34">
        <f>IF($J2678=1,LN(B2679/B2678),"")</f>
        <v/>
      </c>
      <c r="M2678" s="34">
        <f>IF($K2678=1,INDEX(Mensal!$D$2:$D$245,MATCH($I2678,Mensal!$A$2:$A$245,0)),"")</f>
        <v/>
      </c>
      <c r="N2678" s="34">
        <f>IF($K2678=1,L2678-M2678,"")</f>
        <v/>
      </c>
      <c r="O2678" s="34" t="n">
        <v>0.00048089</v>
      </c>
      <c r="P2678" s="34">
        <f>IF($J2678=1,LN(1+O2678),"")</f>
        <v/>
      </c>
      <c r="Q2678" s="34">
        <f>IF($J2678=1,LN(R2679/R2678),"")</f>
        <v/>
      </c>
      <c r="R2678" s="32" t="n">
        <v>3.1179</v>
      </c>
      <c r="S2678" s="35" t="n">
        <v>10.72</v>
      </c>
      <c r="T2678" s="18" t="n">
        <v>63992.93</v>
      </c>
      <c r="U2678" s="18" t="n"/>
      <c r="V2678" s="18" t="n"/>
      <c r="W2678" s="18" t="n"/>
      <c r="X2678" s="35" t="n"/>
      <c r="Y2678" s="35" t="n">
        <v>10.72</v>
      </c>
    </row>
    <row r="2679">
      <c r="A2679" s="25" t="n">
        <v>42773</v>
      </c>
      <c r="B2679" s="18" t="n">
        <v>64198.89</v>
      </c>
      <c r="C2679" s="31" t="n"/>
      <c r="D2679" s="32" t="n"/>
      <c r="E2679" s="33" t="n">
        <v>2.3815</v>
      </c>
      <c r="F2679" t="inlineStr">
        <is>
          <t>Up</t>
        </is>
      </c>
      <c r="G2679" t="inlineStr">
        <is>
          <t>Down</t>
        </is>
      </c>
      <c r="H2679" t="inlineStr">
        <is>
          <t>EU_JD</t>
        </is>
      </c>
      <c r="I2679" t="inlineStr">
        <is>
          <t>2017-02</t>
        </is>
      </c>
      <c r="J2679" t="n">
        <v>1</v>
      </c>
      <c r="K2679" t="n">
        <v>1</v>
      </c>
      <c r="L2679" s="34">
        <f>IF($J2679=1,LN(B2680/B2679),"")</f>
        <v/>
      </c>
      <c r="M2679" s="34">
        <f>IF($K2679=1,INDEX(Mensal!$D$2:$D$245,MATCH($I2679,Mensal!$A$2:$A$245,0)),"")</f>
        <v/>
      </c>
      <c r="N2679" s="34">
        <f>IF($K2679=1,L2679-M2679,"")</f>
        <v/>
      </c>
      <c r="O2679" s="34" t="n">
        <v>0.00048089</v>
      </c>
      <c r="P2679" s="34">
        <f>IF($J2679=1,LN(1+O2679),"")</f>
        <v/>
      </c>
      <c r="Q2679" s="34">
        <f>IF($J2679=1,LN(R2680/R2679),"")</f>
        <v/>
      </c>
      <c r="R2679" s="32" t="n">
        <v>3.1304</v>
      </c>
      <c r="S2679" s="35" t="n">
        <v>10.679</v>
      </c>
      <c r="T2679" s="18" t="n">
        <v>64198.89</v>
      </c>
      <c r="U2679" s="18" t="n"/>
      <c r="V2679" s="18" t="n"/>
      <c r="W2679" s="18" t="n"/>
      <c r="X2679" s="35" t="n"/>
      <c r="Y2679" s="35" t="n">
        <v>10.679</v>
      </c>
    </row>
    <row r="2680">
      <c r="A2680" s="25" t="n">
        <v>42774</v>
      </c>
      <c r="B2680" s="18" t="n">
        <v>64835.4</v>
      </c>
      <c r="C2680" s="31" t="n"/>
      <c r="D2680" s="32" t="n"/>
      <c r="E2680" s="33" t="n">
        <v>2.3802</v>
      </c>
      <c r="F2680" t="inlineStr">
        <is>
          <t>Up</t>
        </is>
      </c>
      <c r="G2680" t="inlineStr">
        <is>
          <t>Down</t>
        </is>
      </c>
      <c r="H2680" t="inlineStr">
        <is>
          <t>EU_JD</t>
        </is>
      </c>
      <c r="I2680" t="inlineStr">
        <is>
          <t>2017-02</t>
        </is>
      </c>
      <c r="J2680" t="n">
        <v>1</v>
      </c>
      <c r="K2680" t="n">
        <v>1</v>
      </c>
      <c r="L2680" s="34">
        <f>IF($J2680=1,LN(B2681/B2680),"")</f>
        <v/>
      </c>
      <c r="M2680" s="34">
        <f>IF($K2680=1,INDEX(Mensal!$D$2:$D$245,MATCH($I2680,Mensal!$A$2:$A$245,0)),"")</f>
        <v/>
      </c>
      <c r="N2680" s="34">
        <f>IF($K2680=1,L2680-M2680,"")</f>
        <v/>
      </c>
      <c r="O2680" s="34" t="n">
        <v>0.00048089</v>
      </c>
      <c r="P2680" s="34">
        <f>IF($J2680=1,LN(1+O2680),"")</f>
        <v/>
      </c>
      <c r="Q2680" s="34">
        <f>IF($J2680=1,LN(R2681/R2680),"")</f>
        <v/>
      </c>
      <c r="R2680" s="32" t="n">
        <v>3.1255</v>
      </c>
      <c r="S2680" s="35" t="n">
        <v>10.622</v>
      </c>
      <c r="T2680" s="18" t="n">
        <v>64835.4</v>
      </c>
      <c r="U2680" s="18" t="n"/>
      <c r="V2680" s="18" t="n"/>
      <c r="W2680" s="18" t="n"/>
      <c r="X2680" s="35" t="n"/>
      <c r="Y2680" s="35" t="n">
        <v>10.622</v>
      </c>
    </row>
    <row r="2681">
      <c r="A2681" s="25" t="n">
        <v>42775</v>
      </c>
      <c r="B2681" s="18" t="n">
        <v>64964.88</v>
      </c>
      <c r="C2681" s="31" t="n"/>
      <c r="D2681" s="32" t="n"/>
      <c r="E2681" s="33" t="n">
        <v>2.3802</v>
      </c>
      <c r="F2681" t="inlineStr">
        <is>
          <t>Up</t>
        </is>
      </c>
      <c r="G2681" t="inlineStr">
        <is>
          <t>Down</t>
        </is>
      </c>
      <c r="H2681" t="inlineStr">
        <is>
          <t>EU_JD</t>
        </is>
      </c>
      <c r="I2681" t="inlineStr">
        <is>
          <t>2017-02</t>
        </is>
      </c>
      <c r="J2681" t="n">
        <v>1</v>
      </c>
      <c r="K2681" t="n">
        <v>1</v>
      </c>
      <c r="L2681" s="34">
        <f>IF($J2681=1,LN(B2682/B2681),"")</f>
        <v/>
      </c>
      <c r="M2681" s="34">
        <f>IF($K2681=1,INDEX(Mensal!$D$2:$D$245,MATCH($I2681,Mensal!$A$2:$A$245,0)),"")</f>
        <v/>
      </c>
      <c r="N2681" s="34">
        <f>IF($K2681=1,L2681-M2681,"")</f>
        <v/>
      </c>
      <c r="O2681" s="34" t="n">
        <v>0.00048089</v>
      </c>
      <c r="P2681" s="34">
        <f>IF($J2681=1,LN(1+O2681),"")</f>
        <v/>
      </c>
      <c r="Q2681" s="34">
        <f>IF($J2681=1,LN(R2682/R2681),"")</f>
        <v/>
      </c>
      <c r="R2681" s="32" t="n">
        <v>3.1185</v>
      </c>
      <c r="S2681" s="35" t="n">
        <v>10.619</v>
      </c>
      <c r="T2681" s="18" t="n">
        <v>64964.88</v>
      </c>
      <c r="U2681" s="18" t="n"/>
      <c r="V2681" s="18" t="n"/>
      <c r="W2681" s="18" t="n"/>
      <c r="X2681" s="35" t="n"/>
      <c r="Y2681" s="35" t="n">
        <v>10.619</v>
      </c>
    </row>
    <row r="2682">
      <c r="A2682" s="25" t="n">
        <v>42776</v>
      </c>
      <c r="B2682" s="18" t="n">
        <v>66124.52</v>
      </c>
      <c r="C2682" s="31" t="n"/>
      <c r="D2682" s="32" t="n"/>
      <c r="E2682" s="33" t="n">
        <v>2.3778</v>
      </c>
      <c r="F2682" t="inlineStr">
        <is>
          <t>Up</t>
        </is>
      </c>
      <c r="G2682" t="inlineStr">
        <is>
          <t>Down</t>
        </is>
      </c>
      <c r="H2682" t="inlineStr">
        <is>
          <t>EU_JD</t>
        </is>
      </c>
      <c r="I2682" t="inlineStr">
        <is>
          <t>2017-02</t>
        </is>
      </c>
      <c r="J2682" t="n">
        <v>1</v>
      </c>
      <c r="K2682" t="n">
        <v>1</v>
      </c>
      <c r="L2682" s="34">
        <f>IF($J2682=1,LN(B2683/B2682),"")</f>
        <v/>
      </c>
      <c r="M2682" s="34">
        <f>IF($K2682=1,INDEX(Mensal!$D$2:$D$245,MATCH($I2682,Mensal!$A$2:$A$245,0)),"")</f>
        <v/>
      </c>
      <c r="N2682" s="34">
        <f>IF($K2682=1,L2682-M2682,"")</f>
        <v/>
      </c>
      <c r="O2682" s="34" t="n">
        <v>0.00048089</v>
      </c>
      <c r="P2682" s="34">
        <f>IF($J2682=1,LN(1+O2682),"")</f>
        <v/>
      </c>
      <c r="Q2682" s="34">
        <f>IF($J2682=1,LN(R2683/R2682),"")</f>
        <v/>
      </c>
      <c r="R2682" s="32" t="n">
        <v>3.1155</v>
      </c>
      <c r="S2682" s="35" t="n">
        <v>10.559</v>
      </c>
      <c r="T2682" s="18" t="n">
        <v>66124.52</v>
      </c>
      <c r="U2682" s="18" t="n"/>
      <c r="V2682" s="18" t="n"/>
      <c r="W2682" s="18" t="n"/>
      <c r="X2682" s="35" t="n"/>
      <c r="Y2682" s="35" t="n">
        <v>10.559</v>
      </c>
    </row>
    <row r="2683">
      <c r="A2683" s="25" t="n">
        <v>42779</v>
      </c>
      <c r="B2683" s="18" t="n">
        <v>66967.64</v>
      </c>
      <c r="C2683" s="31" t="n"/>
      <c r="D2683" s="32" t="n"/>
      <c r="E2683" s="33" t="n">
        <v>2.3697</v>
      </c>
      <c r="F2683" t="inlineStr">
        <is>
          <t>Up</t>
        </is>
      </c>
      <c r="G2683" t="inlineStr">
        <is>
          <t>Down</t>
        </is>
      </c>
      <c r="H2683" t="inlineStr">
        <is>
          <t>EU_JD</t>
        </is>
      </c>
      <c r="I2683" t="inlineStr">
        <is>
          <t>2017-02</t>
        </is>
      </c>
      <c r="J2683" t="n">
        <v>1</v>
      </c>
      <c r="K2683" t="n">
        <v>1</v>
      </c>
      <c r="L2683" s="34">
        <f>IF($J2683=1,LN(B2684/B2683),"")</f>
        <v/>
      </c>
      <c r="M2683" s="34">
        <f>IF($K2683=1,INDEX(Mensal!$D$2:$D$245,MATCH($I2683,Mensal!$A$2:$A$245,0)),"")</f>
        <v/>
      </c>
      <c r="N2683" s="34">
        <f>IF($K2683=1,L2683-M2683,"")</f>
        <v/>
      </c>
      <c r="O2683" s="34" t="n">
        <v>0.00048089</v>
      </c>
      <c r="P2683" s="34">
        <f>IF($J2683=1,LN(1+O2683),"")</f>
        <v/>
      </c>
      <c r="Q2683" s="34">
        <f>IF($J2683=1,LN(R2684/R2683),"")</f>
        <v/>
      </c>
      <c r="R2683" s="32" t="n">
        <v>3.1175</v>
      </c>
      <c r="S2683" s="35" t="n">
        <v>10.536</v>
      </c>
      <c r="T2683" s="18" t="n">
        <v>66967.64</v>
      </c>
      <c r="U2683" s="18" t="n"/>
      <c r="V2683" s="18" t="n"/>
      <c r="W2683" s="18" t="n"/>
      <c r="X2683" s="35" t="n"/>
      <c r="Y2683" s="35" t="n">
        <v>10.536</v>
      </c>
    </row>
    <row r="2684">
      <c r="A2684" s="25" t="n">
        <v>42780</v>
      </c>
      <c r="B2684" s="18" t="n">
        <v>66712.88</v>
      </c>
      <c r="C2684" s="31" t="n"/>
      <c r="D2684" s="32" t="n"/>
      <c r="E2684" s="33" t="n">
        <v>2.3553</v>
      </c>
      <c r="F2684" t="inlineStr">
        <is>
          <t>Up</t>
        </is>
      </c>
      <c r="G2684" t="inlineStr">
        <is>
          <t>Down</t>
        </is>
      </c>
      <c r="H2684" t="inlineStr">
        <is>
          <t>EU_JD</t>
        </is>
      </c>
      <c r="I2684" t="inlineStr">
        <is>
          <t>2017-02</t>
        </is>
      </c>
      <c r="J2684" t="n">
        <v>1</v>
      </c>
      <c r="K2684" t="n">
        <v>1</v>
      </c>
      <c r="L2684" s="34">
        <f>IF($J2684=1,LN(B2685/B2684),"")</f>
        <v/>
      </c>
      <c r="M2684" s="34">
        <f>IF($K2684=1,INDEX(Mensal!$D$2:$D$245,MATCH($I2684,Mensal!$A$2:$A$245,0)),"")</f>
        <v/>
      </c>
      <c r="N2684" s="34">
        <f>IF($K2684=1,L2684-M2684,"")</f>
        <v/>
      </c>
      <c r="O2684" s="34" t="n">
        <v>0.00048089</v>
      </c>
      <c r="P2684" s="34">
        <f>IF($J2684=1,LN(1+O2684),"")</f>
        <v/>
      </c>
      <c r="Q2684" s="34">
        <f>IF($J2684=1,LN(R2685/R2684),"")</f>
        <v/>
      </c>
      <c r="R2684" s="32" t="n">
        <v>3.1004</v>
      </c>
      <c r="S2684" s="35" t="n">
        <v>10.519</v>
      </c>
      <c r="T2684" s="18" t="n">
        <v>66712.88</v>
      </c>
      <c r="U2684" s="18" t="n"/>
      <c r="V2684" s="18" t="n"/>
      <c r="W2684" s="18" t="n"/>
      <c r="X2684" s="35" t="n"/>
      <c r="Y2684" s="35" t="n">
        <v>10.519</v>
      </c>
    </row>
    <row r="2685">
      <c r="A2685" s="25" t="n">
        <v>42781</v>
      </c>
      <c r="B2685" s="18" t="n">
        <v>67975.58</v>
      </c>
      <c r="C2685" s="31" t="n"/>
      <c r="D2685" s="32" t="n"/>
      <c r="E2685" s="33" t="n">
        <v>2.3317</v>
      </c>
      <c r="F2685" t="inlineStr">
        <is>
          <t>Up</t>
        </is>
      </c>
      <c r="G2685" t="inlineStr">
        <is>
          <t>Down</t>
        </is>
      </c>
      <c r="H2685" t="inlineStr">
        <is>
          <t>EU_JD</t>
        </is>
      </c>
      <c r="I2685" t="inlineStr">
        <is>
          <t>2017-02</t>
        </is>
      </c>
      <c r="J2685" t="n">
        <v>1</v>
      </c>
      <c r="K2685" t="n">
        <v>1</v>
      </c>
      <c r="L2685" s="34">
        <f>IF($J2685=1,LN(B2686/B2685),"")</f>
        <v/>
      </c>
      <c r="M2685" s="34">
        <f>IF($K2685=1,INDEX(Mensal!$D$2:$D$245,MATCH($I2685,Mensal!$A$2:$A$245,0)),"")</f>
        <v/>
      </c>
      <c r="N2685" s="34">
        <f>IF($K2685=1,L2685-M2685,"")</f>
        <v/>
      </c>
      <c r="O2685" s="34" t="n">
        <v>0.00048089</v>
      </c>
      <c r="P2685" s="34">
        <f>IF($J2685=1,LN(1+O2685),"")</f>
        <v/>
      </c>
      <c r="Q2685" s="34">
        <f>IF($J2685=1,LN(R2686/R2685),"")</f>
        <v/>
      </c>
      <c r="R2685" s="32" t="n">
        <v>3.0779</v>
      </c>
      <c r="S2685" s="35" t="n">
        <v>10.496</v>
      </c>
      <c r="T2685" s="18" t="n">
        <v>67975.58</v>
      </c>
      <c r="U2685" s="18" t="n"/>
      <c r="V2685" s="18" t="n"/>
      <c r="W2685" s="18" t="n"/>
      <c r="X2685" s="35" t="n"/>
      <c r="Y2685" s="35" t="n">
        <v>10.496</v>
      </c>
    </row>
    <row r="2686">
      <c r="A2686" s="25" t="n">
        <v>42782</v>
      </c>
      <c r="B2686" s="18" t="n">
        <v>67814.24000000001</v>
      </c>
      <c r="C2686" s="31" t="n"/>
      <c r="D2686" s="32" t="n"/>
      <c r="E2686" s="33" t="n">
        <v>2.3034</v>
      </c>
      <c r="F2686" t="inlineStr">
        <is>
          <t>Up</t>
        </is>
      </c>
      <c r="G2686" t="inlineStr">
        <is>
          <t>Down</t>
        </is>
      </c>
      <c r="H2686" t="inlineStr">
        <is>
          <t>EU_JD</t>
        </is>
      </c>
      <c r="I2686" t="inlineStr">
        <is>
          <t>2017-02</t>
        </is>
      </c>
      <c r="J2686" t="n">
        <v>1</v>
      </c>
      <c r="K2686" t="n">
        <v>1</v>
      </c>
      <c r="L2686" s="34">
        <f>IF($J2686=1,LN(B2687/B2686),"")</f>
        <v/>
      </c>
      <c r="M2686" s="34">
        <f>IF($K2686=1,INDEX(Mensal!$D$2:$D$245,MATCH($I2686,Mensal!$A$2:$A$245,0)),"")</f>
        <v/>
      </c>
      <c r="N2686" s="34">
        <f>IF($K2686=1,L2686-M2686,"")</f>
        <v/>
      </c>
      <c r="O2686" s="34" t="n">
        <v>0.00048089</v>
      </c>
      <c r="P2686" s="34">
        <f>IF($J2686=1,LN(1+O2686),"")</f>
        <v/>
      </c>
      <c r="Q2686" s="34">
        <f>IF($J2686=1,LN(R2687/R2686),"")</f>
        <v/>
      </c>
      <c r="R2686" s="32" t="n">
        <v>3.051</v>
      </c>
      <c r="S2686" s="35" t="n">
        <v>10.52</v>
      </c>
      <c r="T2686" s="18" t="n">
        <v>67814.24000000001</v>
      </c>
      <c r="U2686" s="18" t="n"/>
      <c r="V2686" s="18" t="n"/>
      <c r="W2686" s="18" t="n"/>
      <c r="X2686" s="35" t="n"/>
      <c r="Y2686" s="35" t="n">
        <v>10.52</v>
      </c>
    </row>
    <row r="2687">
      <c r="A2687" s="25" t="n">
        <v>42783</v>
      </c>
      <c r="B2687" s="18" t="n">
        <v>67748.41</v>
      </c>
      <c r="C2687" s="31" t="n"/>
      <c r="D2687" s="32" t="n"/>
      <c r="E2687" s="33" t="n">
        <v>2.2611</v>
      </c>
      <c r="F2687" t="inlineStr">
        <is>
          <t>Up</t>
        </is>
      </c>
      <c r="G2687" t="inlineStr">
        <is>
          <t>Down</t>
        </is>
      </c>
      <c r="H2687" t="inlineStr">
        <is>
          <t>EU_JD</t>
        </is>
      </c>
      <c r="I2687" t="inlineStr">
        <is>
          <t>2017-02</t>
        </is>
      </c>
      <c r="J2687" t="n">
        <v>1</v>
      </c>
      <c r="K2687" t="n">
        <v>1</v>
      </c>
      <c r="L2687" s="34">
        <f>IF($J2687=1,LN(B2688/B2687),"")</f>
        <v/>
      </c>
      <c r="M2687" s="34">
        <f>IF($K2687=1,INDEX(Mensal!$D$2:$D$245,MATCH($I2687,Mensal!$A$2:$A$245,0)),"")</f>
        <v/>
      </c>
      <c r="N2687" s="34">
        <f>IF($K2687=1,L2687-M2687,"")</f>
        <v/>
      </c>
      <c r="O2687" s="34" t="n">
        <v>0.00048089</v>
      </c>
      <c r="P2687" s="34">
        <f>IF($J2687=1,LN(1+O2687),"")</f>
        <v/>
      </c>
      <c r="Q2687" s="34">
        <f>IF($J2687=1,LN(R2688/R2687),"")</f>
        <v/>
      </c>
      <c r="R2687" s="32" t="n">
        <v>3.095</v>
      </c>
      <c r="S2687" s="35" t="n">
        <v>10.452</v>
      </c>
      <c r="T2687" s="18" t="n">
        <v>67748.41</v>
      </c>
      <c r="U2687" s="18" t="n"/>
      <c r="V2687" s="18" t="n"/>
      <c r="W2687" s="18" t="n"/>
      <c r="X2687" s="35" t="n"/>
      <c r="Y2687" s="35" t="n">
        <v>10.452</v>
      </c>
    </row>
    <row r="2688">
      <c r="A2688" s="25" t="n">
        <v>42786</v>
      </c>
      <c r="B2688" s="18" t="n">
        <v>68532.85000000001</v>
      </c>
      <c r="C2688" s="31" t="n"/>
      <c r="D2688" s="32" t="n"/>
      <c r="E2688" s="33" t="n">
        <v>2.2254</v>
      </c>
      <c r="F2688" t="inlineStr">
        <is>
          <t>Up</t>
        </is>
      </c>
      <c r="G2688" t="inlineStr">
        <is>
          <t>Down</t>
        </is>
      </c>
      <c r="H2688" t="inlineStr">
        <is>
          <t>EU_JD</t>
        </is>
      </c>
      <c r="I2688" t="inlineStr">
        <is>
          <t>2017-02</t>
        </is>
      </c>
      <c r="J2688" t="n">
        <v>1</v>
      </c>
      <c r="K2688" t="n">
        <v>1</v>
      </c>
      <c r="L2688" s="34">
        <f>IF($J2688=1,LN(B2689/B2688),"")</f>
        <v/>
      </c>
      <c r="M2688" s="34">
        <f>IF($K2688=1,INDEX(Mensal!$D$2:$D$245,MATCH($I2688,Mensal!$A$2:$A$245,0)),"")</f>
        <v/>
      </c>
      <c r="N2688" s="34">
        <f>IF($K2688=1,L2688-M2688,"")</f>
        <v/>
      </c>
      <c r="O2688" s="34" t="n">
        <v>0.00048089</v>
      </c>
      <c r="P2688" s="34">
        <f>IF($J2688=1,LN(1+O2688),"")</f>
        <v/>
      </c>
      <c r="Q2688" s="34">
        <f>IF($J2688=1,LN(R2689/R2688),"")</f>
        <v/>
      </c>
      <c r="R2688" s="32" t="n">
        <v>3.0918</v>
      </c>
      <c r="S2688" s="35" t="n">
        <v>10.41</v>
      </c>
      <c r="T2688" s="18" t="n">
        <v>68532.85000000001</v>
      </c>
      <c r="U2688" s="18" t="n"/>
      <c r="V2688" s="18" t="n"/>
      <c r="W2688" s="18" t="n"/>
      <c r="X2688" s="35" t="n"/>
      <c r="Y2688" s="35" t="n">
        <v>10.41</v>
      </c>
    </row>
    <row r="2689">
      <c r="A2689" s="25" t="n">
        <v>42787</v>
      </c>
      <c r="B2689" s="18" t="n">
        <v>69052.02</v>
      </c>
      <c r="C2689" s="31" t="n"/>
      <c r="D2689" s="32" t="n"/>
      <c r="E2689" s="33" t="n">
        <v>2.1852</v>
      </c>
      <c r="F2689" t="inlineStr">
        <is>
          <t>Up</t>
        </is>
      </c>
      <c r="G2689" t="inlineStr">
        <is>
          <t>Down</t>
        </is>
      </c>
      <c r="H2689" t="inlineStr">
        <is>
          <t>EU_JD</t>
        </is>
      </c>
      <c r="I2689" t="inlineStr">
        <is>
          <t>2017-02</t>
        </is>
      </c>
      <c r="J2689" t="n">
        <v>1</v>
      </c>
      <c r="K2689" t="n">
        <v>1</v>
      </c>
      <c r="L2689" s="34">
        <f>IF($J2689=1,LN(B2690/B2689),"")</f>
        <v/>
      </c>
      <c r="M2689" s="34">
        <f>IF($K2689=1,INDEX(Mensal!$D$2:$D$245,MATCH($I2689,Mensal!$A$2:$A$245,0)),"")</f>
        <v/>
      </c>
      <c r="N2689" s="34">
        <f>IF($K2689=1,L2689-M2689,"")</f>
        <v/>
      </c>
      <c r="O2689" s="34" t="n">
        <v>0.00048089</v>
      </c>
      <c r="P2689" s="34">
        <f>IF($J2689=1,LN(1+O2689),"")</f>
        <v/>
      </c>
      <c r="Q2689" s="34">
        <f>IF($J2689=1,LN(R2690/R2689),"")</f>
        <v/>
      </c>
      <c r="R2689" s="32" t="n">
        <v>3.097</v>
      </c>
      <c r="S2689" s="35" t="n">
        <v>10.335</v>
      </c>
      <c r="T2689" s="18" t="n">
        <v>69052.02</v>
      </c>
      <c r="U2689" s="18" t="n"/>
      <c r="V2689" s="18" t="n"/>
      <c r="W2689" s="18" t="n"/>
      <c r="X2689" s="35" t="n"/>
      <c r="Y2689" s="35" t="n">
        <v>10.335</v>
      </c>
    </row>
    <row r="2690">
      <c r="A2690" s="25" t="n">
        <v>42788</v>
      </c>
      <c r="B2690" s="18" t="n">
        <v>68589.53999999999</v>
      </c>
      <c r="C2690" s="31" t="n"/>
      <c r="D2690" s="32" t="n"/>
      <c r="E2690" s="33" t="n">
        <v>2.1551</v>
      </c>
      <c r="F2690" t="inlineStr">
        <is>
          <t>Up</t>
        </is>
      </c>
      <c r="G2690" t="inlineStr">
        <is>
          <t>Down</t>
        </is>
      </c>
      <c r="H2690" t="inlineStr">
        <is>
          <t>EU_JD</t>
        </is>
      </c>
      <c r="I2690" t="inlineStr">
        <is>
          <t>2017-02</t>
        </is>
      </c>
      <c r="J2690" t="n">
        <v>1</v>
      </c>
      <c r="K2690" t="n">
        <v>1</v>
      </c>
      <c r="L2690" s="34">
        <f>IF($J2690=1,LN(B2691/B2690),"")</f>
        <v/>
      </c>
      <c r="M2690" s="34">
        <f>IF($K2690=1,INDEX(Mensal!$D$2:$D$245,MATCH($I2690,Mensal!$A$2:$A$245,0)),"")</f>
        <v/>
      </c>
      <c r="N2690" s="34">
        <f>IF($K2690=1,L2690-M2690,"")</f>
        <v/>
      </c>
      <c r="O2690" s="34" t="n">
        <v>0.00048089</v>
      </c>
      <c r="P2690" s="34">
        <f>IF($J2690=1,LN(1+O2690),"")</f>
        <v/>
      </c>
      <c r="Q2690" s="34">
        <f>IF($J2690=1,LN(R2691/R2690),"")</f>
        <v/>
      </c>
      <c r="R2690" s="32" t="n">
        <v>3.0824</v>
      </c>
      <c r="S2690" s="35" t="n">
        <v>10.316</v>
      </c>
      <c r="T2690" s="18" t="n">
        <v>68589.53999999999</v>
      </c>
      <c r="U2690" s="18" t="n"/>
      <c r="V2690" s="18" t="n"/>
      <c r="W2690" s="18" t="n"/>
      <c r="X2690" s="35" t="n"/>
      <c r="Y2690" s="35" t="n">
        <v>10.316</v>
      </c>
    </row>
    <row r="2691">
      <c r="A2691" s="25" t="n">
        <v>42789</v>
      </c>
      <c r="B2691" s="18" t="n">
        <v>67461.39</v>
      </c>
      <c r="C2691" s="31" t="n"/>
      <c r="D2691" s="32" t="n"/>
      <c r="E2691" s="33" t="n">
        <v>2.1284</v>
      </c>
      <c r="F2691" t="inlineStr">
        <is>
          <t>Up</t>
        </is>
      </c>
      <c r="G2691" t="inlineStr">
        <is>
          <t>Down</t>
        </is>
      </c>
      <c r="H2691" t="inlineStr">
        <is>
          <t>EU_JD</t>
        </is>
      </c>
      <c r="I2691" t="inlineStr">
        <is>
          <t>2017-02</t>
        </is>
      </c>
      <c r="J2691" t="n">
        <v>1</v>
      </c>
      <c r="K2691" t="n">
        <v>1</v>
      </c>
      <c r="L2691" s="34">
        <f>IF($J2691=1,LN(B2692/B2691),"")</f>
        <v/>
      </c>
      <c r="M2691" s="34">
        <f>IF($K2691=1,INDEX(Mensal!$D$2:$D$245,MATCH($I2691,Mensal!$A$2:$A$245,0)),"")</f>
        <v/>
      </c>
      <c r="N2691" s="34">
        <f>IF($K2691=1,L2691-M2691,"")</f>
        <v/>
      </c>
      <c r="O2691" s="34" t="n">
        <v>0.00045442</v>
      </c>
      <c r="P2691" s="34">
        <f>IF($J2691=1,LN(1+O2691),"")</f>
        <v/>
      </c>
      <c r="Q2691" s="34">
        <f>IF($J2691=1,LN(R2692/R2691),"")</f>
        <v/>
      </c>
      <c r="R2691" s="32" t="n">
        <v>3.0638</v>
      </c>
      <c r="S2691" s="35" t="n">
        <v>10.191</v>
      </c>
      <c r="T2691" s="18" t="n">
        <v>67461.39</v>
      </c>
      <c r="U2691" s="18" t="n"/>
      <c r="V2691" s="18" t="n"/>
      <c r="W2691" s="18" t="n"/>
      <c r="X2691" s="35" t="n"/>
      <c r="Y2691" s="35" t="n">
        <v>10.191</v>
      </c>
    </row>
    <row r="2692">
      <c r="A2692" s="25" t="n">
        <v>42790</v>
      </c>
      <c r="B2692" s="18" t="n">
        <v>66662.10000000001</v>
      </c>
      <c r="C2692" s="31" t="n"/>
      <c r="D2692" s="32" t="n"/>
      <c r="E2692" s="33" t="n">
        <v>2.1075</v>
      </c>
      <c r="F2692" t="inlineStr">
        <is>
          <t>Up</t>
        </is>
      </c>
      <c r="G2692" t="inlineStr">
        <is>
          <t>Down</t>
        </is>
      </c>
      <c r="H2692" t="inlineStr">
        <is>
          <t>EU_JD</t>
        </is>
      </c>
      <c r="I2692" t="inlineStr">
        <is>
          <t>2017-02</t>
        </is>
      </c>
      <c r="J2692" t="n">
        <v>1</v>
      </c>
      <c r="K2692" t="n">
        <v>1</v>
      </c>
      <c r="L2692" s="34">
        <f>IF($J2692=1,LN(B2693/B2692),"")</f>
        <v/>
      </c>
      <c r="M2692" s="34">
        <f>IF($K2692=1,INDEX(Mensal!$D$2:$D$245,MATCH($I2692,Mensal!$A$2:$A$245,0)),"")</f>
        <v/>
      </c>
      <c r="N2692" s="34">
        <f>IF($K2692=1,L2692-M2692,"")</f>
        <v/>
      </c>
      <c r="O2692" s="34" t="n">
        <v>0.00045442</v>
      </c>
      <c r="P2692" s="34">
        <f>IF($J2692=1,LN(1+O2692),"")</f>
        <v/>
      </c>
      <c r="Q2692" s="34">
        <f>IF($J2692=1,LN(R2693/R2692),"")</f>
        <v/>
      </c>
      <c r="R2692" s="32" t="n">
        <v>3.0993</v>
      </c>
      <c r="S2692" s="35" t="n">
        <v>10.203</v>
      </c>
      <c r="T2692" s="18" t="n">
        <v>66662.10000000001</v>
      </c>
      <c r="U2692" s="18" t="n"/>
      <c r="V2692" s="18" t="n"/>
      <c r="W2692" s="18" t="n"/>
      <c r="X2692" s="35" t="n"/>
      <c r="Y2692" s="35" t="n">
        <v>10.203</v>
      </c>
    </row>
    <row r="2693">
      <c r="A2693" s="25" t="n">
        <v>42795</v>
      </c>
      <c r="B2693" s="18" t="n">
        <v>66988.87</v>
      </c>
      <c r="C2693" s="31" t="n"/>
      <c r="D2693" s="32" t="n"/>
      <c r="E2693" s="33" t="n">
        <v>2.0936</v>
      </c>
      <c r="F2693" t="inlineStr">
        <is>
          <t>Up</t>
        </is>
      </c>
      <c r="G2693" t="inlineStr">
        <is>
          <t>Down</t>
        </is>
      </c>
      <c r="H2693" t="inlineStr">
        <is>
          <t>EU_JD</t>
        </is>
      </c>
      <c r="I2693" t="inlineStr">
        <is>
          <t>2017-03</t>
        </is>
      </c>
      <c r="J2693" t="n">
        <v>1</v>
      </c>
      <c r="K2693" t="n">
        <v>1</v>
      </c>
      <c r="L2693" s="34">
        <f>IF($J2693=1,LN(B2694/B2693),"")</f>
        <v/>
      </c>
      <c r="M2693" s="34">
        <f>IF($K2693=1,INDEX(Mensal!$D$2:$D$245,MATCH($I2693,Mensal!$A$2:$A$245,0)),"")</f>
        <v/>
      </c>
      <c r="N2693" s="34">
        <f>IF($K2693=1,L2693-M2693,"")</f>
        <v/>
      </c>
      <c r="O2693" s="34" t="n">
        <v>0.00045442</v>
      </c>
      <c r="P2693" s="34">
        <f>IF($J2693=1,LN(1+O2693),"")</f>
        <v/>
      </c>
      <c r="Q2693" s="34">
        <f>IF($J2693=1,LN(R2694/R2693),"")</f>
        <v/>
      </c>
      <c r="R2693" s="32" t="n">
        <v>3.0976</v>
      </c>
      <c r="S2693" s="35" t="n">
        <v>10.139</v>
      </c>
      <c r="T2693" s="18" t="n">
        <v>66988.87</v>
      </c>
      <c r="U2693" s="18" t="n"/>
      <c r="V2693" s="18" t="n"/>
      <c r="W2693" s="18" t="n"/>
      <c r="X2693" s="35" t="n"/>
      <c r="Y2693" s="35" t="n">
        <v>10.139</v>
      </c>
    </row>
    <row r="2694">
      <c r="A2694" s="25" t="n">
        <v>42796</v>
      </c>
      <c r="B2694" s="18" t="n">
        <v>65854.92999999999</v>
      </c>
      <c r="C2694" s="31" t="n"/>
      <c r="D2694" s="32" t="n"/>
      <c r="E2694" s="33" t="n">
        <v>2.088</v>
      </c>
      <c r="F2694" t="inlineStr">
        <is>
          <t>Up</t>
        </is>
      </c>
      <c r="G2694" t="inlineStr">
        <is>
          <t>Down</t>
        </is>
      </c>
      <c r="H2694" t="inlineStr">
        <is>
          <t>EU_JD</t>
        </is>
      </c>
      <c r="I2694" t="inlineStr">
        <is>
          <t>2017-03</t>
        </is>
      </c>
      <c r="J2694" t="n">
        <v>1</v>
      </c>
      <c r="K2694" t="n">
        <v>1</v>
      </c>
      <c r="L2694" s="34">
        <f>IF($J2694=1,LN(B2695/B2694),"")</f>
        <v/>
      </c>
      <c r="M2694" s="34">
        <f>IF($K2694=1,INDEX(Mensal!$D$2:$D$245,MATCH($I2694,Mensal!$A$2:$A$245,0)),"")</f>
        <v/>
      </c>
      <c r="N2694" s="34">
        <f>IF($K2694=1,L2694-M2694,"")</f>
        <v/>
      </c>
      <c r="O2694" s="34" t="n">
        <v>0.00045442</v>
      </c>
      <c r="P2694" s="34">
        <f>IF($J2694=1,LN(1+O2694),"")</f>
        <v/>
      </c>
      <c r="Q2694" s="34">
        <f>IF($J2694=1,LN(R2695/R2694),"")</f>
        <v/>
      </c>
      <c r="R2694" s="32" t="n">
        <v>3.1138</v>
      </c>
      <c r="S2694" s="35" t="n">
        <v>10.152</v>
      </c>
      <c r="T2694" s="18" t="n">
        <v>65854.92999999999</v>
      </c>
      <c r="U2694" s="18" t="n"/>
      <c r="V2694" s="18" t="n"/>
      <c r="W2694" s="18" t="n"/>
      <c r="X2694" s="35" t="n"/>
      <c r="Y2694" s="35" t="n">
        <v>10.152</v>
      </c>
    </row>
    <row r="2695">
      <c r="A2695" s="25" t="n">
        <v>42797</v>
      </c>
      <c r="B2695" s="18" t="n">
        <v>66785.53</v>
      </c>
      <c r="C2695" s="31" t="n"/>
      <c r="D2695" s="32" t="n"/>
      <c r="E2695" s="33" t="n">
        <v>2.0815</v>
      </c>
      <c r="F2695" t="inlineStr">
        <is>
          <t>Up</t>
        </is>
      </c>
      <c r="G2695" t="inlineStr">
        <is>
          <t>Down</t>
        </is>
      </c>
      <c r="H2695" t="inlineStr">
        <is>
          <t>EU_JD</t>
        </is>
      </c>
      <c r="I2695" t="inlineStr">
        <is>
          <t>2017-03</t>
        </is>
      </c>
      <c r="J2695" t="n">
        <v>1</v>
      </c>
      <c r="K2695" t="n">
        <v>1</v>
      </c>
      <c r="L2695" s="34">
        <f>IF($J2695=1,LN(B2696/B2695),"")</f>
        <v/>
      </c>
      <c r="M2695" s="34">
        <f>IF($K2695=1,INDEX(Mensal!$D$2:$D$245,MATCH($I2695,Mensal!$A$2:$A$245,0)),"")</f>
        <v/>
      </c>
      <c r="N2695" s="34">
        <f>IF($K2695=1,L2695-M2695,"")</f>
        <v/>
      </c>
      <c r="O2695" s="34" t="n">
        <v>0.00045442</v>
      </c>
      <c r="P2695" s="34">
        <f>IF($J2695=1,LN(1+O2695),"")</f>
        <v/>
      </c>
      <c r="Q2695" s="34">
        <f>IF($J2695=1,LN(R2696/R2695),"")</f>
        <v/>
      </c>
      <c r="R2695" s="32" t="n">
        <v>3.1364</v>
      </c>
      <c r="S2695" s="35" t="n">
        <v>10.073</v>
      </c>
      <c r="T2695" s="18" t="n">
        <v>66785.53</v>
      </c>
      <c r="U2695" s="18" t="n"/>
      <c r="V2695" s="18" t="n"/>
      <c r="W2695" s="18" t="n"/>
      <c r="X2695" s="35" t="n"/>
      <c r="Y2695" s="35" t="n">
        <v>10.073</v>
      </c>
    </row>
    <row r="2696">
      <c r="A2696" s="25" t="n">
        <v>42800</v>
      </c>
      <c r="B2696" s="18" t="n">
        <v>66341.36</v>
      </c>
      <c r="C2696" s="31" t="n"/>
      <c r="D2696" s="32" t="n"/>
      <c r="E2696" s="33" t="n">
        <v>2.086</v>
      </c>
      <c r="F2696" t="inlineStr">
        <is>
          <t>Up</t>
        </is>
      </c>
      <c r="G2696" t="inlineStr">
        <is>
          <t>Down</t>
        </is>
      </c>
      <c r="H2696" t="inlineStr">
        <is>
          <t>EU_JD</t>
        </is>
      </c>
      <c r="I2696" t="inlineStr">
        <is>
          <t>2017-03</t>
        </is>
      </c>
      <c r="J2696" t="n">
        <v>1</v>
      </c>
      <c r="K2696" t="n">
        <v>1</v>
      </c>
      <c r="L2696" s="34">
        <f>IF($J2696=1,LN(B2697/B2696),"")</f>
        <v/>
      </c>
      <c r="M2696" s="34">
        <f>IF($K2696=1,INDEX(Mensal!$D$2:$D$245,MATCH($I2696,Mensal!$A$2:$A$245,0)),"")</f>
        <v/>
      </c>
      <c r="N2696" s="34">
        <f>IF($K2696=1,L2696-M2696,"")</f>
        <v/>
      </c>
      <c r="O2696" s="34" t="n">
        <v>0.00045442</v>
      </c>
      <c r="P2696" s="34">
        <f>IF($J2696=1,LN(1+O2696),"")</f>
        <v/>
      </c>
      <c r="Q2696" s="34">
        <f>IF($J2696=1,LN(R2697/R2696),"")</f>
        <v/>
      </c>
      <c r="R2696" s="32" t="n">
        <v>3.1111</v>
      </c>
      <c r="S2696" s="35" t="n">
        <v>10.032</v>
      </c>
      <c r="T2696" s="18" t="n">
        <v>66341.36</v>
      </c>
      <c r="U2696" s="18" t="n"/>
      <c r="V2696" s="18" t="n"/>
      <c r="W2696" s="18" t="n"/>
      <c r="X2696" s="35" t="n"/>
      <c r="Y2696" s="35" t="n">
        <v>10.032</v>
      </c>
    </row>
    <row r="2697">
      <c r="A2697" s="25" t="n">
        <v>42801</v>
      </c>
      <c r="B2697" s="18" t="n">
        <v>65742.32000000001</v>
      </c>
      <c r="C2697" s="31" t="n"/>
      <c r="D2697" s="32" t="n"/>
      <c r="E2697" s="33" t="n">
        <v>2.0817</v>
      </c>
      <c r="F2697" t="inlineStr">
        <is>
          <t>Up</t>
        </is>
      </c>
      <c r="G2697" t="inlineStr">
        <is>
          <t>Down</t>
        </is>
      </c>
      <c r="H2697" t="inlineStr">
        <is>
          <t>EU_JD</t>
        </is>
      </c>
      <c r="I2697" t="inlineStr">
        <is>
          <t>2017-03</t>
        </is>
      </c>
      <c r="J2697" t="n">
        <v>1</v>
      </c>
      <c r="K2697" t="n">
        <v>1</v>
      </c>
      <c r="L2697" s="34">
        <f>IF($J2697=1,LN(B2698/B2697),"")</f>
        <v/>
      </c>
      <c r="M2697" s="34">
        <f>IF($K2697=1,INDEX(Mensal!$D$2:$D$245,MATCH($I2697,Mensal!$A$2:$A$245,0)),"")</f>
        <v/>
      </c>
      <c r="N2697" s="34">
        <f>IF($K2697=1,L2697-M2697,"")</f>
        <v/>
      </c>
      <c r="O2697" s="34" t="n">
        <v>0.00045442</v>
      </c>
      <c r="P2697" s="34">
        <f>IF($J2697=1,LN(1+O2697),"")</f>
        <v/>
      </c>
      <c r="Q2697" s="34">
        <f>IF($J2697=1,LN(R2698/R2697),"")</f>
        <v/>
      </c>
      <c r="R2697" s="32" t="n">
        <v>3.1185</v>
      </c>
      <c r="S2697" s="35" t="n">
        <v>10.039</v>
      </c>
      <c r="T2697" s="18" t="n">
        <v>65742.32000000001</v>
      </c>
      <c r="U2697" s="18" t="n"/>
      <c r="V2697" s="18" t="n"/>
      <c r="W2697" s="18" t="n"/>
      <c r="X2697" s="35" t="n"/>
      <c r="Y2697" s="35" t="n">
        <v>10.039</v>
      </c>
    </row>
    <row r="2698">
      <c r="A2698" s="25" t="n">
        <v>42802</v>
      </c>
      <c r="B2698" s="18" t="n">
        <v>64718.01</v>
      </c>
      <c r="C2698" s="31" t="n"/>
      <c r="D2698" s="32" t="n"/>
      <c r="E2698" s="33" t="n">
        <v>2.0858</v>
      </c>
      <c r="F2698" t="inlineStr">
        <is>
          <t>Up</t>
        </is>
      </c>
      <c r="G2698" t="inlineStr">
        <is>
          <t>Down</t>
        </is>
      </c>
      <c r="H2698" t="inlineStr">
        <is>
          <t>EU_JD</t>
        </is>
      </c>
      <c r="I2698" t="inlineStr">
        <is>
          <t>2017-03</t>
        </is>
      </c>
      <c r="J2698" t="n">
        <v>1</v>
      </c>
      <c r="K2698" t="n">
        <v>1</v>
      </c>
      <c r="L2698" s="34">
        <f>IF($J2698=1,LN(B2699/B2698),"")</f>
        <v/>
      </c>
      <c r="M2698" s="34">
        <f>IF($K2698=1,INDEX(Mensal!$D$2:$D$245,MATCH($I2698,Mensal!$A$2:$A$245,0)),"")</f>
        <v/>
      </c>
      <c r="N2698" s="34">
        <f>IF($K2698=1,L2698-M2698,"")</f>
        <v/>
      </c>
      <c r="O2698" s="34" t="n">
        <v>0.00045442</v>
      </c>
      <c r="P2698" s="34">
        <f>IF($J2698=1,LN(1+O2698),"")</f>
        <v/>
      </c>
      <c r="Q2698" s="34">
        <f>IF($J2698=1,LN(R2699/R2698),"")</f>
        <v/>
      </c>
      <c r="R2698" s="32" t="n">
        <v>3.1477</v>
      </c>
      <c r="S2698" s="35" t="n">
        <v>10.056</v>
      </c>
      <c r="T2698" s="18" t="n">
        <v>64718.01</v>
      </c>
      <c r="U2698" s="18" t="n"/>
      <c r="V2698" s="18" t="n"/>
      <c r="W2698" s="18" t="n"/>
      <c r="X2698" s="35" t="n"/>
      <c r="Y2698" s="35" t="n">
        <v>10.056</v>
      </c>
    </row>
    <row r="2699">
      <c r="A2699" s="25" t="n">
        <v>42803</v>
      </c>
      <c r="B2699" s="18" t="n">
        <v>64585.23</v>
      </c>
      <c r="C2699" s="31" t="n"/>
      <c r="D2699" s="32" t="n"/>
      <c r="E2699" s="33" t="n">
        <v>2.1094</v>
      </c>
      <c r="F2699" t="inlineStr">
        <is>
          <t>Up</t>
        </is>
      </c>
      <c r="G2699" t="inlineStr">
        <is>
          <t>Down</t>
        </is>
      </c>
      <c r="H2699" t="inlineStr">
        <is>
          <t>EU_JD</t>
        </is>
      </c>
      <c r="I2699" t="inlineStr">
        <is>
          <t>2017-03</t>
        </is>
      </c>
      <c r="J2699" t="n">
        <v>1</v>
      </c>
      <c r="K2699" t="n">
        <v>1</v>
      </c>
      <c r="L2699" s="34">
        <f>IF($J2699=1,LN(B2700/B2699),"")</f>
        <v/>
      </c>
      <c r="M2699" s="34">
        <f>IF($K2699=1,INDEX(Mensal!$D$2:$D$245,MATCH($I2699,Mensal!$A$2:$A$245,0)),"")</f>
        <v/>
      </c>
      <c r="N2699" s="34">
        <f>IF($K2699=1,L2699-M2699,"")</f>
        <v/>
      </c>
      <c r="O2699" s="34" t="n">
        <v>0.00045442</v>
      </c>
      <c r="P2699" s="34">
        <f>IF($J2699=1,LN(1+O2699),"")</f>
        <v/>
      </c>
      <c r="Q2699" s="34">
        <f>IF($J2699=1,LN(R2700/R2699),"")</f>
        <v/>
      </c>
      <c r="R2699" s="32" t="n">
        <v>3.1735</v>
      </c>
      <c r="S2699" s="35" t="n">
        <v>10.06</v>
      </c>
      <c r="T2699" s="18" t="n">
        <v>64585.23</v>
      </c>
      <c r="U2699" s="18" t="n"/>
      <c r="V2699" s="18" t="n"/>
      <c r="W2699" s="18" t="n"/>
      <c r="X2699" s="35" t="n"/>
      <c r="Y2699" s="35" t="n">
        <v>10.06</v>
      </c>
    </row>
    <row r="2700">
      <c r="A2700" s="25" t="n">
        <v>42804</v>
      </c>
      <c r="B2700" s="18" t="n">
        <v>64675.46</v>
      </c>
      <c r="C2700" s="31" t="n"/>
      <c r="D2700" s="32" t="n"/>
      <c r="E2700" s="33" t="n">
        <v>2.1278</v>
      </c>
      <c r="F2700" t="inlineStr">
        <is>
          <t>Up</t>
        </is>
      </c>
      <c r="G2700" t="inlineStr">
        <is>
          <t>Down</t>
        </is>
      </c>
      <c r="H2700" t="inlineStr">
        <is>
          <t>EU_JD</t>
        </is>
      </c>
      <c r="I2700" t="inlineStr">
        <is>
          <t>2017-03</t>
        </is>
      </c>
      <c r="J2700" t="n">
        <v>1</v>
      </c>
      <c r="K2700" t="n">
        <v>1</v>
      </c>
      <c r="L2700" s="34">
        <f>IF($J2700=1,LN(B2701/B2700),"")</f>
        <v/>
      </c>
      <c r="M2700" s="34">
        <f>IF($K2700=1,INDEX(Mensal!$D$2:$D$245,MATCH($I2700,Mensal!$A$2:$A$245,0)),"")</f>
        <v/>
      </c>
      <c r="N2700" s="34">
        <f>IF($K2700=1,L2700-M2700,"")</f>
        <v/>
      </c>
      <c r="O2700" s="34" t="n">
        <v>0.00045442</v>
      </c>
      <c r="P2700" s="34">
        <f>IF($J2700=1,LN(1+O2700),"")</f>
        <v/>
      </c>
      <c r="Q2700" s="34">
        <f>IF($J2700=1,LN(R2701/R2700),"")</f>
        <v/>
      </c>
      <c r="R2700" s="32" t="n">
        <v>3.1623</v>
      </c>
      <c r="S2700" s="35" t="n">
        <v>9.874000000000001</v>
      </c>
      <c r="T2700" s="18" t="n">
        <v>64675.46</v>
      </c>
      <c r="U2700" s="18" t="n"/>
      <c r="V2700" s="18" t="n"/>
      <c r="W2700" s="18" t="n"/>
      <c r="X2700" s="35" t="n"/>
      <c r="Y2700" s="35" t="n">
        <v>9.874000000000001</v>
      </c>
    </row>
    <row r="2701">
      <c r="A2701" s="25" t="n">
        <v>42807</v>
      </c>
      <c r="B2701" s="18" t="n">
        <v>65534.3</v>
      </c>
      <c r="C2701" s="31" t="n"/>
      <c r="D2701" s="32" t="n"/>
      <c r="E2701" s="33" t="n">
        <v>2.1354</v>
      </c>
      <c r="F2701" t="inlineStr">
        <is>
          <t>Up</t>
        </is>
      </c>
      <c r="G2701" t="inlineStr">
        <is>
          <t>Down</t>
        </is>
      </c>
      <c r="H2701" t="inlineStr">
        <is>
          <t>EU_JD</t>
        </is>
      </c>
      <c r="I2701" t="inlineStr">
        <is>
          <t>2017-03</t>
        </is>
      </c>
      <c r="J2701" t="n">
        <v>1</v>
      </c>
      <c r="K2701" t="n">
        <v>1</v>
      </c>
      <c r="L2701" s="34">
        <f>IF($J2701=1,LN(B2702/B2701),"")</f>
        <v/>
      </c>
      <c r="M2701" s="34">
        <f>IF($K2701=1,INDEX(Mensal!$D$2:$D$245,MATCH($I2701,Mensal!$A$2:$A$245,0)),"")</f>
        <v/>
      </c>
      <c r="N2701" s="34">
        <f>IF($K2701=1,L2701-M2701,"")</f>
        <v/>
      </c>
      <c r="O2701" s="34" t="n">
        <v>0.00045442</v>
      </c>
      <c r="P2701" s="34">
        <f>IF($J2701=1,LN(1+O2701),"")</f>
        <v/>
      </c>
      <c r="Q2701" s="34">
        <f>IF($J2701=1,LN(R2702/R2701),"")</f>
        <v/>
      </c>
      <c r="R2701" s="32" t="n">
        <v>3.1541</v>
      </c>
      <c r="S2701" s="35" t="n">
        <v>9.833</v>
      </c>
      <c r="T2701" s="18" t="n">
        <v>65534.3</v>
      </c>
      <c r="U2701" s="18" t="n"/>
      <c r="V2701" s="18" t="n"/>
      <c r="W2701" s="18" t="n"/>
      <c r="X2701" s="35" t="n"/>
      <c r="Y2701" s="35" t="n">
        <v>9.833</v>
      </c>
    </row>
    <row r="2702">
      <c r="A2702" s="25" t="n">
        <v>42808</v>
      </c>
      <c r="B2702" s="18" t="n">
        <v>64699.46</v>
      </c>
      <c r="C2702" s="31" t="n"/>
      <c r="D2702" s="32" t="n"/>
      <c r="E2702" s="33" t="n">
        <v>2.1496</v>
      </c>
      <c r="F2702" t="inlineStr">
        <is>
          <t>Up</t>
        </is>
      </c>
      <c r="G2702" t="inlineStr">
        <is>
          <t>Down</t>
        </is>
      </c>
      <c r="H2702" t="inlineStr">
        <is>
          <t>EU_JD</t>
        </is>
      </c>
      <c r="I2702" t="inlineStr">
        <is>
          <t>2017-03</t>
        </is>
      </c>
      <c r="J2702" t="n">
        <v>1</v>
      </c>
      <c r="K2702" t="n">
        <v>1</v>
      </c>
      <c r="L2702" s="34">
        <f>IF($J2702=1,LN(B2703/B2702),"")</f>
        <v/>
      </c>
      <c r="M2702" s="34">
        <f>IF($K2702=1,INDEX(Mensal!$D$2:$D$245,MATCH($I2702,Mensal!$A$2:$A$245,0)),"")</f>
        <v/>
      </c>
      <c r="N2702" s="34">
        <f>IF($K2702=1,L2702-M2702,"")</f>
        <v/>
      </c>
      <c r="O2702" s="34" t="n">
        <v>0.00045442</v>
      </c>
      <c r="P2702" s="34">
        <f>IF($J2702=1,LN(1+O2702),"")</f>
        <v/>
      </c>
      <c r="Q2702" s="34">
        <f>IF($J2702=1,LN(R2703/R2702),"")</f>
        <v/>
      </c>
      <c r="R2702" s="32" t="n">
        <v>3.1639</v>
      </c>
      <c r="S2702" s="35" t="n">
        <v>9.869</v>
      </c>
      <c r="T2702" s="18" t="n">
        <v>64699.46</v>
      </c>
      <c r="U2702" s="18" t="n"/>
      <c r="V2702" s="18" t="n"/>
      <c r="W2702" s="18" t="n"/>
      <c r="X2702" s="35" t="n"/>
      <c r="Y2702" s="35" t="n">
        <v>9.869</v>
      </c>
    </row>
    <row r="2703">
      <c r="A2703" s="25" t="n">
        <v>42809</v>
      </c>
      <c r="B2703" s="18" t="n">
        <v>66234.87</v>
      </c>
      <c r="C2703" s="31" t="n"/>
      <c r="D2703" s="32" t="n"/>
      <c r="E2703" s="33" t="n">
        <v>2.1848</v>
      </c>
      <c r="F2703" t="inlineStr">
        <is>
          <t>Up</t>
        </is>
      </c>
      <c r="G2703" t="inlineStr">
        <is>
          <t>Down</t>
        </is>
      </c>
      <c r="H2703" t="inlineStr">
        <is>
          <t>EU_JD</t>
        </is>
      </c>
      <c r="I2703" t="inlineStr">
        <is>
          <t>2017-03</t>
        </is>
      </c>
      <c r="J2703" t="n">
        <v>1</v>
      </c>
      <c r="K2703" t="n">
        <v>1</v>
      </c>
      <c r="L2703" s="34">
        <f>IF($J2703=1,LN(B2704/B2703),"")</f>
        <v/>
      </c>
      <c r="M2703" s="34">
        <f>IF($K2703=1,INDEX(Mensal!$D$2:$D$245,MATCH($I2703,Mensal!$A$2:$A$245,0)),"")</f>
        <v/>
      </c>
      <c r="N2703" s="34">
        <f>IF($K2703=1,L2703-M2703,"")</f>
        <v/>
      </c>
      <c r="O2703" s="34" t="n">
        <v>0.00045442</v>
      </c>
      <c r="P2703" s="34">
        <f>IF($J2703=1,LN(1+O2703),"")</f>
        <v/>
      </c>
      <c r="Q2703" s="34">
        <f>IF($J2703=1,LN(R2704/R2703),"")</f>
        <v/>
      </c>
      <c r="R2703" s="32" t="n">
        <v>3.1629</v>
      </c>
      <c r="S2703" s="35" t="n">
        <v>9.795</v>
      </c>
      <c r="T2703" s="18" t="n">
        <v>66234.87</v>
      </c>
      <c r="U2703" s="18" t="n"/>
      <c r="V2703" s="18" t="n"/>
      <c r="W2703" s="18" t="n"/>
      <c r="X2703" s="35" t="n"/>
      <c r="Y2703" s="35" t="n">
        <v>9.795</v>
      </c>
    </row>
    <row r="2704">
      <c r="A2704" s="25" t="n">
        <v>42810</v>
      </c>
      <c r="B2704" s="18" t="n">
        <v>65782.85000000001</v>
      </c>
      <c r="C2704" s="31" t="n"/>
      <c r="D2704" s="32" t="n"/>
      <c r="E2704" s="33" t="n">
        <v>2.2127</v>
      </c>
      <c r="F2704" t="inlineStr">
        <is>
          <t>Up</t>
        </is>
      </c>
      <c r="G2704" t="inlineStr">
        <is>
          <t>Down</t>
        </is>
      </c>
      <c r="H2704" t="inlineStr">
        <is>
          <t>EU_JD</t>
        </is>
      </c>
      <c r="I2704" t="inlineStr">
        <is>
          <t>2017-03</t>
        </is>
      </c>
      <c r="J2704" t="n">
        <v>1</v>
      </c>
      <c r="K2704" t="n">
        <v>1</v>
      </c>
      <c r="L2704" s="34">
        <f>IF($J2704=1,LN(B2705/B2704),"")</f>
        <v/>
      </c>
      <c r="M2704" s="34">
        <f>IF($K2704=1,INDEX(Mensal!$D$2:$D$245,MATCH($I2704,Mensal!$A$2:$A$245,0)),"")</f>
        <v/>
      </c>
      <c r="N2704" s="34">
        <f>IF($K2704=1,L2704-M2704,"")</f>
        <v/>
      </c>
      <c r="O2704" s="34" t="n">
        <v>0.00045442</v>
      </c>
      <c r="P2704" s="34">
        <f>IF($J2704=1,LN(1+O2704),"")</f>
        <v/>
      </c>
      <c r="Q2704" s="34">
        <f>IF($J2704=1,LN(R2705/R2704),"")</f>
        <v/>
      </c>
      <c r="R2704" s="32" t="n">
        <v>3.108</v>
      </c>
      <c r="S2704" s="35" t="n">
        <v>9.821999999999999</v>
      </c>
      <c r="T2704" s="18" t="n">
        <v>65782.85000000001</v>
      </c>
      <c r="U2704" s="18" t="n"/>
      <c r="V2704" s="18" t="n"/>
      <c r="W2704" s="18" t="n"/>
      <c r="X2704" s="35" t="n"/>
      <c r="Y2704" s="35" t="n">
        <v>9.821999999999999</v>
      </c>
    </row>
    <row r="2705">
      <c r="A2705" s="25" t="n">
        <v>42811</v>
      </c>
      <c r="B2705" s="18" t="n">
        <v>64209.93</v>
      </c>
      <c r="C2705" s="31" t="n"/>
      <c r="D2705" s="32" t="n"/>
      <c r="E2705" s="33" t="n">
        <v>2.2372</v>
      </c>
      <c r="F2705" t="inlineStr">
        <is>
          <t>Up</t>
        </is>
      </c>
      <c r="G2705" t="inlineStr">
        <is>
          <t>Down</t>
        </is>
      </c>
      <c r="H2705" t="inlineStr">
        <is>
          <t>EU_JD</t>
        </is>
      </c>
      <c r="I2705" t="inlineStr">
        <is>
          <t>2017-03</t>
        </is>
      </c>
      <c r="J2705" t="n">
        <v>1</v>
      </c>
      <c r="K2705" t="n">
        <v>1</v>
      </c>
      <c r="L2705" s="34">
        <f>IF($J2705=1,LN(B2706/B2705),"")</f>
        <v/>
      </c>
      <c r="M2705" s="34">
        <f>IF($K2705=1,INDEX(Mensal!$D$2:$D$245,MATCH($I2705,Mensal!$A$2:$A$245,0)),"")</f>
        <v/>
      </c>
      <c r="N2705" s="34">
        <f>IF($K2705=1,L2705-M2705,"")</f>
        <v/>
      </c>
      <c r="O2705" s="34" t="n">
        <v>0.00045442</v>
      </c>
      <c r="P2705" s="34">
        <f>IF($J2705=1,LN(1+O2705),"")</f>
        <v/>
      </c>
      <c r="Q2705" s="34">
        <f>IF($J2705=1,LN(R2706/R2705),"")</f>
        <v/>
      </c>
      <c r="R2705" s="32" t="n">
        <v>3.1075</v>
      </c>
      <c r="S2705" s="35" t="n">
        <v>9.821999999999999</v>
      </c>
      <c r="T2705" s="18" t="n">
        <v>64209.93</v>
      </c>
      <c r="U2705" s="18" t="n"/>
      <c r="V2705" s="18" t="n"/>
      <c r="W2705" s="18" t="n"/>
      <c r="X2705" s="35" t="n"/>
      <c r="Y2705" s="35" t="n">
        <v>9.821999999999999</v>
      </c>
    </row>
    <row r="2706">
      <c r="A2706" s="25" t="n">
        <v>42814</v>
      </c>
      <c r="B2706" s="18" t="n">
        <v>64884.26</v>
      </c>
      <c r="C2706" s="31" t="n"/>
      <c r="D2706" s="32" t="n"/>
      <c r="E2706" s="33" t="n">
        <v>2.2569</v>
      </c>
      <c r="F2706" t="inlineStr">
        <is>
          <t>Up</t>
        </is>
      </c>
      <c r="G2706" t="inlineStr">
        <is>
          <t>Down</t>
        </is>
      </c>
      <c r="H2706" t="inlineStr">
        <is>
          <t>EU_JD</t>
        </is>
      </c>
      <c r="I2706" t="inlineStr">
        <is>
          <t>2017-03</t>
        </is>
      </c>
      <c r="J2706" t="n">
        <v>1</v>
      </c>
      <c r="K2706" t="n">
        <v>1</v>
      </c>
      <c r="L2706" s="34">
        <f>IF($J2706=1,LN(B2707/B2706),"")</f>
        <v/>
      </c>
      <c r="M2706" s="34">
        <f>IF($K2706=1,INDEX(Mensal!$D$2:$D$245,MATCH($I2706,Mensal!$A$2:$A$245,0)),"")</f>
        <v/>
      </c>
      <c r="N2706" s="34">
        <f>IF($K2706=1,L2706-M2706,"")</f>
        <v/>
      </c>
      <c r="O2706" s="34" t="n">
        <v>0.00045442</v>
      </c>
      <c r="P2706" s="34">
        <f>IF($J2706=1,LN(1+O2706),"")</f>
        <v/>
      </c>
      <c r="Q2706" s="34">
        <f>IF($J2706=1,LN(R2707/R2706),"")</f>
        <v/>
      </c>
      <c r="R2706" s="32" t="n">
        <v>3.0898</v>
      </c>
      <c r="S2706" s="35" t="n">
        <v>9.798999999999999</v>
      </c>
      <c r="T2706" s="18" t="n">
        <v>64884.26</v>
      </c>
      <c r="U2706" s="18" t="n"/>
      <c r="V2706" s="18" t="n"/>
      <c r="W2706" s="18" t="n"/>
      <c r="X2706" s="35" t="n"/>
      <c r="Y2706" s="35" t="n">
        <v>9.798999999999999</v>
      </c>
    </row>
    <row r="2707">
      <c r="A2707" s="25" t="n">
        <v>42815</v>
      </c>
      <c r="B2707" s="18" t="n">
        <v>62980.37</v>
      </c>
      <c r="C2707" s="31" t="n"/>
      <c r="D2707" s="32" t="n"/>
      <c r="E2707" s="33" t="n">
        <v>2.2745</v>
      </c>
      <c r="F2707" t="inlineStr">
        <is>
          <t>Up</t>
        </is>
      </c>
      <c r="G2707" t="inlineStr">
        <is>
          <t>Down</t>
        </is>
      </c>
      <c r="H2707" t="inlineStr">
        <is>
          <t>EU_JD</t>
        </is>
      </c>
      <c r="I2707" t="inlineStr">
        <is>
          <t>2017-03</t>
        </is>
      </c>
      <c r="J2707" t="n">
        <v>1</v>
      </c>
      <c r="K2707" t="n">
        <v>1</v>
      </c>
      <c r="L2707" s="34">
        <f>IF($J2707=1,LN(B2708/B2707),"")</f>
        <v/>
      </c>
      <c r="M2707" s="34">
        <f>IF($K2707=1,INDEX(Mensal!$D$2:$D$245,MATCH($I2707,Mensal!$A$2:$A$245,0)),"")</f>
        <v/>
      </c>
      <c r="N2707" s="34">
        <f>IF($K2707=1,L2707-M2707,"")</f>
        <v/>
      </c>
      <c r="O2707" s="34" t="n">
        <v>0.00045442</v>
      </c>
      <c r="P2707" s="34">
        <f>IF($J2707=1,LN(1+O2707),"")</f>
        <v/>
      </c>
      <c r="Q2707" s="34">
        <f>IF($J2707=1,LN(R2708/R2707),"")</f>
        <v/>
      </c>
      <c r="R2707" s="32" t="n">
        <v>3.0765</v>
      </c>
      <c r="S2707" s="35" t="n">
        <v>9.752000000000001</v>
      </c>
      <c r="T2707" s="18" t="n">
        <v>62980.37</v>
      </c>
      <c r="U2707" s="18" t="n"/>
      <c r="V2707" s="18" t="n"/>
      <c r="W2707" s="18" t="n"/>
      <c r="X2707" s="35" t="n"/>
      <c r="Y2707" s="35" t="n">
        <v>9.752000000000001</v>
      </c>
    </row>
    <row r="2708">
      <c r="A2708" s="25" t="n">
        <v>42816</v>
      </c>
      <c r="B2708" s="18" t="n">
        <v>63521.33</v>
      </c>
      <c r="C2708" s="31" t="n"/>
      <c r="D2708" s="32" t="n"/>
      <c r="E2708" s="33" t="n">
        <v>2.2866</v>
      </c>
      <c r="F2708" t="inlineStr">
        <is>
          <t>Up</t>
        </is>
      </c>
      <c r="G2708" t="inlineStr">
        <is>
          <t>Down</t>
        </is>
      </c>
      <c r="H2708" t="inlineStr">
        <is>
          <t>EU_JD</t>
        </is>
      </c>
      <c r="I2708" t="inlineStr">
        <is>
          <t>2017-03</t>
        </is>
      </c>
      <c r="J2708" t="n">
        <v>1</v>
      </c>
      <c r="K2708" t="n">
        <v>1</v>
      </c>
      <c r="L2708" s="34">
        <f>IF($J2708=1,LN(B2709/B2708),"")</f>
        <v/>
      </c>
      <c r="M2708" s="34">
        <f>IF($K2708=1,INDEX(Mensal!$D$2:$D$245,MATCH($I2708,Mensal!$A$2:$A$245,0)),"")</f>
        <v/>
      </c>
      <c r="N2708" s="34">
        <f>IF($K2708=1,L2708-M2708,"")</f>
        <v/>
      </c>
      <c r="O2708" s="34" t="n">
        <v>0.00045442</v>
      </c>
      <c r="P2708" s="34">
        <f>IF($J2708=1,LN(1+O2708),"")</f>
        <v/>
      </c>
      <c r="Q2708" s="34">
        <f>IF($J2708=1,LN(R2709/R2708),"")</f>
        <v/>
      </c>
      <c r="R2708" s="32" t="n">
        <v>3.0939</v>
      </c>
      <c r="S2708" s="35" t="n">
        <v>9.759</v>
      </c>
      <c r="T2708" s="18" t="n">
        <v>63521.33</v>
      </c>
      <c r="U2708" s="18" t="n"/>
      <c r="V2708" s="18" t="n"/>
      <c r="W2708" s="18" t="n"/>
      <c r="X2708" s="35" t="n"/>
      <c r="Y2708" s="35" t="n">
        <v>9.759</v>
      </c>
    </row>
    <row r="2709">
      <c r="A2709" s="25" t="n">
        <v>42817</v>
      </c>
      <c r="B2709" s="18" t="n">
        <v>63530.78</v>
      </c>
      <c r="C2709" s="31" t="n"/>
      <c r="D2709" s="32" t="n"/>
      <c r="E2709" s="33" t="n">
        <v>2.3036</v>
      </c>
      <c r="F2709" t="inlineStr">
        <is>
          <t>Up</t>
        </is>
      </c>
      <c r="G2709" t="inlineStr">
        <is>
          <t>Down</t>
        </is>
      </c>
      <c r="H2709" t="inlineStr">
        <is>
          <t>EU_JD</t>
        </is>
      </c>
      <c r="I2709" t="inlineStr">
        <is>
          <t>2017-03</t>
        </is>
      </c>
      <c r="J2709" t="n">
        <v>1</v>
      </c>
      <c r="K2709" t="n">
        <v>1</v>
      </c>
      <c r="L2709" s="34">
        <f>IF($J2709=1,LN(B2710/B2709),"")</f>
        <v/>
      </c>
      <c r="M2709" s="34">
        <f>IF($K2709=1,INDEX(Mensal!$D$2:$D$245,MATCH($I2709,Mensal!$A$2:$A$245,0)),"")</f>
        <v/>
      </c>
      <c r="N2709" s="34">
        <f>IF($K2709=1,L2709-M2709,"")</f>
        <v/>
      </c>
      <c r="O2709" s="34" t="n">
        <v>0.00045442</v>
      </c>
      <c r="P2709" s="34">
        <f>IF($J2709=1,LN(1+O2709),"")</f>
        <v/>
      </c>
      <c r="Q2709" s="34">
        <f>IF($J2709=1,LN(R2710/R2709),"")</f>
        <v/>
      </c>
      <c r="R2709" s="32" t="n">
        <v>3.1248</v>
      </c>
      <c r="S2709" s="35" t="n">
        <v>9.776999999999999</v>
      </c>
      <c r="T2709" s="18" t="n">
        <v>63530.78</v>
      </c>
      <c r="U2709" s="18" t="n"/>
      <c r="V2709" s="18" t="n"/>
      <c r="W2709" s="18" t="n"/>
      <c r="X2709" s="35" t="n"/>
      <c r="Y2709" s="35" t="n">
        <v>9.776999999999999</v>
      </c>
    </row>
    <row r="2710">
      <c r="A2710" s="25" t="n">
        <v>42818</v>
      </c>
      <c r="B2710" s="18" t="n">
        <v>63853.77</v>
      </c>
      <c r="C2710" s="31" t="n"/>
      <c r="D2710" s="32" t="n"/>
      <c r="E2710" s="33" t="n">
        <v>2.3147</v>
      </c>
      <c r="F2710" t="inlineStr">
        <is>
          <t>Up</t>
        </is>
      </c>
      <c r="G2710" t="inlineStr">
        <is>
          <t>Down</t>
        </is>
      </c>
      <c r="H2710" t="inlineStr">
        <is>
          <t>EU_JD</t>
        </is>
      </c>
      <c r="I2710" t="inlineStr">
        <is>
          <t>2017-03</t>
        </is>
      </c>
      <c r="J2710" t="n">
        <v>1</v>
      </c>
      <c r="K2710" t="n">
        <v>1</v>
      </c>
      <c r="L2710" s="34">
        <f>IF($J2710=1,LN(B2711/B2710),"")</f>
        <v/>
      </c>
      <c r="M2710" s="34">
        <f>IF($K2710=1,INDEX(Mensal!$D$2:$D$245,MATCH($I2710,Mensal!$A$2:$A$245,0)),"")</f>
        <v/>
      </c>
      <c r="N2710" s="34">
        <f>IF($K2710=1,L2710-M2710,"")</f>
        <v/>
      </c>
      <c r="O2710" s="34" t="n">
        <v>0.00045442</v>
      </c>
      <c r="P2710" s="34">
        <f>IF($J2710=1,LN(1+O2710),"")</f>
        <v/>
      </c>
      <c r="Q2710" s="34">
        <f>IF($J2710=1,LN(R2711/R2710),"")</f>
        <v/>
      </c>
      <c r="R2710" s="32" t="n">
        <v>3.1282</v>
      </c>
      <c r="S2710" s="35" t="n">
        <v>9.69</v>
      </c>
      <c r="T2710" s="18" t="n">
        <v>63853.77</v>
      </c>
      <c r="U2710" s="18" t="n"/>
      <c r="V2710" s="18" t="n"/>
      <c r="W2710" s="18" t="n"/>
      <c r="X2710" s="35" t="n"/>
      <c r="Y2710" s="35" t="n">
        <v>9.69</v>
      </c>
    </row>
    <row r="2711">
      <c r="A2711" s="25" t="n">
        <v>42821</v>
      </c>
      <c r="B2711" s="18" t="n">
        <v>64308.38</v>
      </c>
      <c r="C2711" s="31" t="n"/>
      <c r="D2711" s="32" t="n"/>
      <c r="E2711" s="33" t="n">
        <v>2.3234</v>
      </c>
      <c r="F2711" t="inlineStr">
        <is>
          <t>Up</t>
        </is>
      </c>
      <c r="G2711" t="inlineStr">
        <is>
          <t>Down</t>
        </is>
      </c>
      <c r="H2711" t="inlineStr">
        <is>
          <t>EU_JD</t>
        </is>
      </c>
      <c r="I2711" t="inlineStr">
        <is>
          <t>2017-03</t>
        </is>
      </c>
      <c r="J2711" t="n">
        <v>1</v>
      </c>
      <c r="K2711" t="n">
        <v>1</v>
      </c>
      <c r="L2711" s="34">
        <f>IF($J2711=1,LN(B2712/B2711),"")</f>
        <v/>
      </c>
      <c r="M2711" s="34">
        <f>IF($K2711=1,INDEX(Mensal!$D$2:$D$245,MATCH($I2711,Mensal!$A$2:$A$245,0)),"")</f>
        <v/>
      </c>
      <c r="N2711" s="34">
        <f>IF($K2711=1,L2711-M2711,"")</f>
        <v/>
      </c>
      <c r="O2711" s="34" t="n">
        <v>0.00045442</v>
      </c>
      <c r="P2711" s="34">
        <f>IF($J2711=1,LN(1+O2711),"")</f>
        <v/>
      </c>
      <c r="Q2711" s="34">
        <f>IF($J2711=1,LN(R2712/R2711),"")</f>
        <v/>
      </c>
      <c r="R2711" s="32" t="n">
        <v>3.1256</v>
      </c>
      <c r="S2711" s="35" t="n">
        <v>9.629</v>
      </c>
      <c r="T2711" s="18" t="n">
        <v>64308.38</v>
      </c>
      <c r="U2711" s="18" t="n"/>
      <c r="V2711" s="18" t="n"/>
      <c r="W2711" s="18" t="n"/>
      <c r="X2711" s="35" t="n"/>
      <c r="Y2711" s="35" t="n">
        <v>9.629</v>
      </c>
    </row>
    <row r="2712">
      <c r="A2712" s="25" t="n">
        <v>42822</v>
      </c>
      <c r="B2712" s="18" t="n">
        <v>64640.45</v>
      </c>
      <c r="C2712" s="31" t="n"/>
      <c r="D2712" s="32" t="n"/>
      <c r="E2712" s="33" t="n">
        <v>2.3297</v>
      </c>
      <c r="F2712" t="inlineStr">
        <is>
          <t>Up</t>
        </is>
      </c>
      <c r="G2712" t="inlineStr">
        <is>
          <t>Down</t>
        </is>
      </c>
      <c r="H2712" t="inlineStr">
        <is>
          <t>EU_JD</t>
        </is>
      </c>
      <c r="I2712" t="inlineStr">
        <is>
          <t>2017-03</t>
        </is>
      </c>
      <c r="J2712" t="n">
        <v>1</v>
      </c>
      <c r="K2712" t="n">
        <v>1</v>
      </c>
      <c r="L2712" s="34">
        <f>IF($J2712=1,LN(B2713/B2712),"")</f>
        <v/>
      </c>
      <c r="M2712" s="34">
        <f>IF($K2712=1,INDEX(Mensal!$D$2:$D$245,MATCH($I2712,Mensal!$A$2:$A$245,0)),"")</f>
        <v/>
      </c>
      <c r="N2712" s="34">
        <f>IF($K2712=1,L2712-M2712,"")</f>
        <v/>
      </c>
      <c r="O2712" s="34" t="n">
        <v>0.00045442</v>
      </c>
      <c r="P2712" s="34">
        <f>IF($J2712=1,LN(1+O2712),"")</f>
        <v/>
      </c>
      <c r="Q2712" s="34">
        <f>IF($J2712=1,LN(R2713/R2712),"")</f>
        <v/>
      </c>
      <c r="R2712" s="32" t="n">
        <v>3.1303</v>
      </c>
      <c r="S2712" s="35" t="n">
        <v>9.645</v>
      </c>
      <c r="T2712" s="18" t="n">
        <v>64640.45</v>
      </c>
      <c r="U2712" s="18" t="n"/>
      <c r="V2712" s="18" t="n"/>
      <c r="W2712" s="18" t="n"/>
      <c r="X2712" s="35" t="n"/>
      <c r="Y2712" s="35" t="n">
        <v>9.645</v>
      </c>
    </row>
    <row r="2713">
      <c r="A2713" s="25" t="n">
        <v>42823</v>
      </c>
      <c r="B2713" s="18" t="n">
        <v>65528.28</v>
      </c>
      <c r="C2713" s="31" t="n"/>
      <c r="D2713" s="32" t="n"/>
      <c r="E2713" s="33" t="n">
        <v>2.334</v>
      </c>
      <c r="F2713" t="inlineStr">
        <is>
          <t>Up</t>
        </is>
      </c>
      <c r="G2713" t="inlineStr">
        <is>
          <t>Down</t>
        </is>
      </c>
      <c r="H2713" t="inlineStr">
        <is>
          <t>EU_JD</t>
        </is>
      </c>
      <c r="I2713" t="inlineStr">
        <is>
          <t>2017-03</t>
        </is>
      </c>
      <c r="J2713" t="n">
        <v>1</v>
      </c>
      <c r="K2713" t="n">
        <v>1</v>
      </c>
      <c r="L2713" s="34">
        <f>IF($J2713=1,LN(B2714/B2713),"")</f>
        <v/>
      </c>
      <c r="M2713" s="34">
        <f>IF($K2713=1,INDEX(Mensal!$D$2:$D$245,MATCH($I2713,Mensal!$A$2:$A$245,0)),"")</f>
        <v/>
      </c>
      <c r="N2713" s="34">
        <f>IF($K2713=1,L2713-M2713,"")</f>
        <v/>
      </c>
      <c r="O2713" s="34" t="n">
        <v>0.00045442</v>
      </c>
      <c r="P2713" s="34">
        <f>IF($J2713=1,LN(1+O2713),"")</f>
        <v/>
      </c>
      <c r="Q2713" s="34">
        <f>IF($J2713=1,LN(R2714/R2713),"")</f>
        <v/>
      </c>
      <c r="R2713" s="32" t="n">
        <v>3.1229</v>
      </c>
      <c r="S2713" s="35" t="n">
        <v>9.612</v>
      </c>
      <c r="T2713" s="18" t="n">
        <v>65528.28</v>
      </c>
      <c r="U2713" s="18" t="n"/>
      <c r="V2713" s="18" t="n"/>
      <c r="W2713" s="18" t="n"/>
      <c r="X2713" s="35" t="n"/>
      <c r="Y2713" s="35" t="n">
        <v>9.612</v>
      </c>
    </row>
    <row r="2714">
      <c r="A2714" s="25" t="n">
        <v>42824</v>
      </c>
      <c r="B2714" s="18" t="n">
        <v>65265.98</v>
      </c>
      <c r="C2714" s="31" t="n"/>
      <c r="D2714" s="32" t="n"/>
      <c r="E2714" s="33" t="n">
        <v>2.3236</v>
      </c>
      <c r="F2714" t="inlineStr">
        <is>
          <t>Up</t>
        </is>
      </c>
      <c r="G2714" t="inlineStr">
        <is>
          <t>Down</t>
        </is>
      </c>
      <c r="H2714" t="inlineStr">
        <is>
          <t>EU_JD</t>
        </is>
      </c>
      <c r="I2714" t="inlineStr">
        <is>
          <t>2017-03</t>
        </is>
      </c>
      <c r="J2714" t="n">
        <v>1</v>
      </c>
      <c r="K2714" t="n">
        <v>1</v>
      </c>
      <c r="L2714" s="34">
        <f>IF($J2714=1,LN(B2715/B2714),"")</f>
        <v/>
      </c>
      <c r="M2714" s="34">
        <f>IF($K2714=1,INDEX(Mensal!$D$2:$D$245,MATCH($I2714,Mensal!$A$2:$A$245,0)),"")</f>
        <v/>
      </c>
      <c r="N2714" s="34">
        <f>IF($K2714=1,L2714-M2714,"")</f>
        <v/>
      </c>
      <c r="O2714" s="34" t="n">
        <v>0.00045442</v>
      </c>
      <c r="P2714" s="34">
        <f>IF($J2714=1,LN(1+O2714),"")</f>
        <v/>
      </c>
      <c r="Q2714" s="34">
        <f>IF($J2714=1,LN(R2715/R2714),"")</f>
        <v/>
      </c>
      <c r="R2714" s="32" t="n">
        <v>3.1247</v>
      </c>
      <c r="S2714" s="35" t="n">
        <v>9.680999999999999</v>
      </c>
      <c r="T2714" s="18" t="n">
        <v>65265.98</v>
      </c>
      <c r="U2714" s="18" t="n"/>
      <c r="V2714" s="18" t="n"/>
      <c r="W2714" s="18" t="n"/>
      <c r="X2714" s="35" t="n"/>
      <c r="Y2714" s="35" t="n">
        <v>9.680999999999999</v>
      </c>
    </row>
    <row r="2715">
      <c r="A2715" s="25" t="n">
        <v>42825</v>
      </c>
      <c r="B2715" s="18" t="n">
        <v>64984.06</v>
      </c>
      <c r="C2715" s="31" t="n"/>
      <c r="D2715" s="32" t="n"/>
      <c r="E2715" s="33" t="n">
        <v>2.3232</v>
      </c>
      <c r="F2715" t="inlineStr">
        <is>
          <t>Up</t>
        </is>
      </c>
      <c r="G2715" t="inlineStr">
        <is>
          <t>Down</t>
        </is>
      </c>
      <c r="H2715" t="inlineStr">
        <is>
          <t>EU_JD</t>
        </is>
      </c>
      <c r="I2715" t="inlineStr">
        <is>
          <t>2017-03</t>
        </is>
      </c>
      <c r="J2715" t="n">
        <v>1</v>
      </c>
      <c r="K2715" t="n">
        <v>1</v>
      </c>
      <c r="L2715" s="34">
        <f>IF($J2715=1,LN(B2716/B2715),"")</f>
        <v/>
      </c>
      <c r="M2715" s="34">
        <f>IF($K2715=1,INDEX(Mensal!$D$2:$D$245,MATCH($I2715,Mensal!$A$2:$A$245,0)),"")</f>
        <v/>
      </c>
      <c r="N2715" s="34">
        <f>IF($K2715=1,L2715-M2715,"")</f>
        <v/>
      </c>
      <c r="O2715" s="34" t="n">
        <v>0.00045442</v>
      </c>
      <c r="P2715" s="34">
        <f>IF($J2715=1,LN(1+O2715),"")</f>
        <v/>
      </c>
      <c r="Q2715" s="34">
        <f>IF($J2715=1,LN(R2716/R2715),"")</f>
        <v/>
      </c>
      <c r="R2715" s="32" t="n">
        <v>3.1684</v>
      </c>
      <c r="S2715" s="35" t="n">
        <v>9.670999999999999</v>
      </c>
      <c r="T2715" s="18" t="n">
        <v>64984.06</v>
      </c>
      <c r="U2715" s="18" t="n"/>
      <c r="V2715" s="18" t="n"/>
      <c r="W2715" s="18" t="n"/>
      <c r="X2715" s="35" t="n"/>
      <c r="Y2715" s="35" t="n">
        <v>9.670999999999999</v>
      </c>
    </row>
    <row r="2716">
      <c r="A2716" s="25" t="n">
        <v>42828</v>
      </c>
      <c r="B2716" s="18" t="n">
        <v>65211.47</v>
      </c>
      <c r="C2716" s="31" t="n"/>
      <c r="D2716" s="32" t="n"/>
      <c r="E2716" s="33" t="n">
        <v>2.3062</v>
      </c>
      <c r="F2716" t="inlineStr">
        <is>
          <t>Up</t>
        </is>
      </c>
      <c r="G2716" t="inlineStr">
        <is>
          <t>Down</t>
        </is>
      </c>
      <c r="H2716" t="inlineStr">
        <is>
          <t>EU_JD</t>
        </is>
      </c>
      <c r="I2716" t="inlineStr">
        <is>
          <t>2017-04</t>
        </is>
      </c>
      <c r="J2716" t="n">
        <v>1</v>
      </c>
      <c r="K2716" t="n">
        <v>1</v>
      </c>
      <c r="L2716" s="34">
        <f>IF($J2716=1,LN(B2717/B2716),"")</f>
        <v/>
      </c>
      <c r="M2716" s="34">
        <f>IF($K2716=1,INDEX(Mensal!$D$2:$D$245,MATCH($I2716,Mensal!$A$2:$A$245,0)),"")</f>
        <v/>
      </c>
      <c r="N2716" s="34">
        <f>IF($K2716=1,L2716-M2716,"")</f>
        <v/>
      </c>
      <c r="O2716" s="34" t="n">
        <v>0.00045442</v>
      </c>
      <c r="P2716" s="34">
        <f>IF($J2716=1,LN(1+O2716),"")</f>
        <v/>
      </c>
      <c r="Q2716" s="34">
        <f>IF($J2716=1,LN(R2717/R2716),"")</f>
        <v/>
      </c>
      <c r="R2716" s="32" t="n">
        <v>3.1167</v>
      </c>
      <c r="S2716" s="35" t="n">
        <v>9.622999999999999</v>
      </c>
      <c r="T2716" s="18" t="n">
        <v>65211.47</v>
      </c>
      <c r="U2716" s="18" t="n"/>
      <c r="V2716" s="18" t="n"/>
      <c r="W2716" s="18" t="n"/>
      <c r="X2716" s="35" t="n"/>
      <c r="Y2716" s="35" t="n">
        <v>9.622999999999999</v>
      </c>
    </row>
    <row r="2717">
      <c r="A2717" s="25" t="n">
        <v>42829</v>
      </c>
      <c r="B2717" s="18" t="n">
        <v>65768.91</v>
      </c>
      <c r="C2717" s="31" t="n"/>
      <c r="D2717" s="32" t="n"/>
      <c r="E2717" s="33" t="n">
        <v>2.2745</v>
      </c>
      <c r="F2717" t="inlineStr">
        <is>
          <t>Up</t>
        </is>
      </c>
      <c r="G2717" t="inlineStr">
        <is>
          <t>Down</t>
        </is>
      </c>
      <c r="H2717" t="inlineStr">
        <is>
          <t>EU_JD</t>
        </is>
      </c>
      <c r="I2717" t="inlineStr">
        <is>
          <t>2017-04</t>
        </is>
      </c>
      <c r="J2717" t="n">
        <v>1</v>
      </c>
      <c r="K2717" t="n">
        <v>1</v>
      </c>
      <c r="L2717" s="34">
        <f>IF($J2717=1,LN(B2718/B2717),"")</f>
        <v/>
      </c>
      <c r="M2717" s="34">
        <f>IF($K2717=1,INDEX(Mensal!$D$2:$D$245,MATCH($I2717,Mensal!$A$2:$A$245,0)),"")</f>
        <v/>
      </c>
      <c r="N2717" s="34">
        <f>IF($K2717=1,L2717-M2717,"")</f>
        <v/>
      </c>
      <c r="O2717" s="34" t="n">
        <v>0.00045442</v>
      </c>
      <c r="P2717" s="34">
        <f>IF($J2717=1,LN(1+O2717),"")</f>
        <v/>
      </c>
      <c r="Q2717" s="34">
        <f>IF($J2717=1,LN(R2718/R2717),"")</f>
        <v/>
      </c>
      <c r="R2717" s="32" t="n">
        <v>3.1231</v>
      </c>
      <c r="S2717" s="35" t="n">
        <v>9.595000000000001</v>
      </c>
      <c r="T2717" s="18" t="n">
        <v>65768.91</v>
      </c>
      <c r="U2717" s="18" t="n"/>
      <c r="V2717" s="18" t="n"/>
      <c r="W2717" s="18" t="n"/>
      <c r="X2717" s="35" t="n"/>
      <c r="Y2717" s="35" t="n">
        <v>9.595000000000001</v>
      </c>
    </row>
    <row r="2718">
      <c r="A2718" s="25" t="n">
        <v>42830</v>
      </c>
      <c r="B2718" s="18" t="n">
        <v>64774.76</v>
      </c>
      <c r="C2718" s="31" t="n"/>
      <c r="D2718" s="32" t="n"/>
      <c r="E2718" s="33" t="n">
        <v>2.2293</v>
      </c>
      <c r="F2718" t="inlineStr">
        <is>
          <t>Up</t>
        </is>
      </c>
      <c r="G2718" t="inlineStr">
        <is>
          <t>Down</t>
        </is>
      </c>
      <c r="H2718" t="inlineStr">
        <is>
          <t>EU_JD</t>
        </is>
      </c>
      <c r="I2718" t="inlineStr">
        <is>
          <t>2017-04</t>
        </is>
      </c>
      <c r="J2718" t="n">
        <v>1</v>
      </c>
      <c r="K2718" t="n">
        <v>1</v>
      </c>
      <c r="L2718" s="34">
        <f>IF($J2718=1,LN(B2719/B2718),"")</f>
        <v/>
      </c>
      <c r="M2718" s="34">
        <f>IF($K2718=1,INDEX(Mensal!$D$2:$D$245,MATCH($I2718,Mensal!$A$2:$A$245,0)),"")</f>
        <v/>
      </c>
      <c r="N2718" s="34">
        <f>IF($K2718=1,L2718-M2718,"")</f>
        <v/>
      </c>
      <c r="O2718" s="34" t="n">
        <v>0.00045442</v>
      </c>
      <c r="P2718" s="34">
        <f>IF($J2718=1,LN(1+O2718),"")</f>
        <v/>
      </c>
      <c r="Q2718" s="34">
        <f>IF($J2718=1,LN(R2719/R2718),"")</f>
        <v/>
      </c>
      <c r="R2718" s="32" t="n">
        <v>3.0923</v>
      </c>
      <c r="S2718" s="35" t="n">
        <v>9.56</v>
      </c>
      <c r="T2718" s="18" t="n">
        <v>64774.76</v>
      </c>
      <c r="U2718" s="18" t="n"/>
      <c r="V2718" s="18" t="n"/>
      <c r="W2718" s="18" t="n"/>
      <c r="X2718" s="35" t="n"/>
      <c r="Y2718" s="35" t="n">
        <v>9.56</v>
      </c>
    </row>
    <row r="2719">
      <c r="A2719" s="25" t="n">
        <v>42831</v>
      </c>
      <c r="B2719" s="18" t="n">
        <v>64222.72</v>
      </c>
      <c r="C2719" s="31" t="n"/>
      <c r="D2719" s="32" t="n"/>
      <c r="E2719" s="33" t="n">
        <v>2.1723</v>
      </c>
      <c r="F2719" t="inlineStr">
        <is>
          <t>Up</t>
        </is>
      </c>
      <c r="G2719" t="inlineStr">
        <is>
          <t>Down</t>
        </is>
      </c>
      <c r="H2719" t="inlineStr">
        <is>
          <t>EU_JD</t>
        </is>
      </c>
      <c r="I2719" t="inlineStr">
        <is>
          <t>2017-04</t>
        </is>
      </c>
      <c r="J2719" t="n">
        <v>1</v>
      </c>
      <c r="K2719" t="n">
        <v>1</v>
      </c>
      <c r="L2719" s="34">
        <f>IF($J2719=1,LN(B2720/B2719),"")</f>
        <v/>
      </c>
      <c r="M2719" s="34">
        <f>IF($K2719=1,INDEX(Mensal!$D$2:$D$245,MATCH($I2719,Mensal!$A$2:$A$245,0)),"")</f>
        <v/>
      </c>
      <c r="N2719" s="34">
        <f>IF($K2719=1,L2719-M2719,"")</f>
        <v/>
      </c>
      <c r="O2719" s="34" t="n">
        <v>0.00045442</v>
      </c>
      <c r="P2719" s="34">
        <f>IF($J2719=1,LN(1+O2719),"")</f>
        <v/>
      </c>
      <c r="Q2719" s="34">
        <f>IF($J2719=1,LN(R2720/R2719),"")</f>
        <v/>
      </c>
      <c r="R2719" s="32" t="n">
        <v>3.116</v>
      </c>
      <c r="S2719" s="35" t="n">
        <v>9.615</v>
      </c>
      <c r="T2719" s="18" t="n">
        <v>64222.72</v>
      </c>
      <c r="U2719" s="18" t="n"/>
      <c r="V2719" s="18" t="n"/>
      <c r="W2719" s="18" t="n"/>
      <c r="X2719" s="35" t="n"/>
      <c r="Y2719" s="35" t="n">
        <v>9.615</v>
      </c>
    </row>
    <row r="2720">
      <c r="A2720" s="25" t="n">
        <v>42832</v>
      </c>
      <c r="B2720" s="18" t="n">
        <v>64593.1</v>
      </c>
      <c r="C2720" s="31" t="n"/>
      <c r="D2720" s="32" t="n"/>
      <c r="E2720" s="33" t="n">
        <v>2.109</v>
      </c>
      <c r="F2720" t="inlineStr">
        <is>
          <t>Up</t>
        </is>
      </c>
      <c r="G2720" t="inlineStr">
        <is>
          <t>Down</t>
        </is>
      </c>
      <c r="H2720" t="inlineStr">
        <is>
          <t>EU_JD</t>
        </is>
      </c>
      <c r="I2720" t="inlineStr">
        <is>
          <t>2017-04</t>
        </is>
      </c>
      <c r="J2720" t="n">
        <v>1</v>
      </c>
      <c r="K2720" t="n">
        <v>1</v>
      </c>
      <c r="L2720" s="34">
        <f>IF($J2720=1,LN(B2721/B2720),"")</f>
        <v/>
      </c>
      <c r="M2720" s="34">
        <f>IF($K2720=1,INDEX(Mensal!$D$2:$D$245,MATCH($I2720,Mensal!$A$2:$A$245,0)),"")</f>
        <v/>
      </c>
      <c r="N2720" s="34">
        <f>IF($K2720=1,L2720-M2720,"")</f>
        <v/>
      </c>
      <c r="O2720" s="34" t="n">
        <v>0.00045442</v>
      </c>
      <c r="P2720" s="34">
        <f>IF($J2720=1,LN(1+O2720),"")</f>
        <v/>
      </c>
      <c r="Q2720" s="34">
        <f>IF($J2720=1,LN(R2721/R2720),"")</f>
        <v/>
      </c>
      <c r="R2720" s="32" t="n">
        <v>3.1302</v>
      </c>
      <c r="S2720" s="35" t="n">
        <v>9.58</v>
      </c>
      <c r="T2720" s="18" t="n">
        <v>64593.1</v>
      </c>
      <c r="U2720" s="18" t="n"/>
      <c r="V2720" s="18" t="n"/>
      <c r="W2720" s="18" t="n"/>
      <c r="X2720" s="35" t="n"/>
      <c r="Y2720" s="35" t="n">
        <v>9.58</v>
      </c>
    </row>
    <row r="2721">
      <c r="A2721" s="25" t="n">
        <v>42835</v>
      </c>
      <c r="B2721" s="18" t="n">
        <v>64649.81</v>
      </c>
      <c r="C2721" s="31" t="n"/>
      <c r="D2721" s="32" t="n"/>
      <c r="E2721" s="33" t="n">
        <v>2.0426</v>
      </c>
      <c r="F2721" t="inlineStr">
        <is>
          <t>Up</t>
        </is>
      </c>
      <c r="G2721" t="inlineStr">
        <is>
          <t>Down</t>
        </is>
      </c>
      <c r="H2721" t="inlineStr">
        <is>
          <t>EU_JD</t>
        </is>
      </c>
      <c r="I2721" t="inlineStr">
        <is>
          <t>2017-04</t>
        </is>
      </c>
      <c r="J2721" t="n">
        <v>1</v>
      </c>
      <c r="K2721" t="n">
        <v>1</v>
      </c>
      <c r="L2721" s="34">
        <f>IF($J2721=1,LN(B2722/B2721),"")</f>
        <v/>
      </c>
      <c r="M2721" s="34">
        <f>IF($K2721=1,INDEX(Mensal!$D$2:$D$245,MATCH($I2721,Mensal!$A$2:$A$245,0)),"")</f>
        <v/>
      </c>
      <c r="N2721" s="34">
        <f>IF($K2721=1,L2721-M2721,"")</f>
        <v/>
      </c>
      <c r="O2721" s="34" t="n">
        <v>0.00045442</v>
      </c>
      <c r="P2721" s="34">
        <f>IF($J2721=1,LN(1+O2721),"")</f>
        <v/>
      </c>
      <c r="Q2721" s="34">
        <f>IF($J2721=1,LN(R2722/R2721),"")</f>
        <v/>
      </c>
      <c r="R2721" s="32" t="n">
        <v>3.1409</v>
      </c>
      <c r="S2721" s="35" t="n">
        <v>9.465</v>
      </c>
      <c r="T2721" s="18" t="n">
        <v>64649.81</v>
      </c>
      <c r="U2721" s="18" t="n"/>
      <c r="V2721" s="18" t="n"/>
      <c r="W2721" s="18" t="n"/>
      <c r="X2721" s="35" t="n"/>
      <c r="Y2721" s="35" t="n">
        <v>9.465</v>
      </c>
    </row>
    <row r="2722">
      <c r="A2722" s="25" t="n">
        <v>42836</v>
      </c>
      <c r="B2722" s="18" t="n">
        <v>64359.79</v>
      </c>
      <c r="C2722" s="31" t="n"/>
      <c r="D2722" s="32" t="n"/>
      <c r="E2722" s="33" t="n">
        <v>1.976</v>
      </c>
      <c r="F2722" t="inlineStr">
        <is>
          <t>Up</t>
        </is>
      </c>
      <c r="G2722" t="inlineStr">
        <is>
          <t>Down</t>
        </is>
      </c>
      <c r="H2722" t="inlineStr">
        <is>
          <t>EU_JD</t>
        </is>
      </c>
      <c r="I2722" t="inlineStr">
        <is>
          <t>2017-04</t>
        </is>
      </c>
      <c r="J2722" t="n">
        <v>1</v>
      </c>
      <c r="K2722" t="n">
        <v>1</v>
      </c>
      <c r="L2722" s="34">
        <f>IF($J2722=1,LN(B2723/B2722),"")</f>
        <v/>
      </c>
      <c r="M2722" s="34">
        <f>IF($K2722=1,INDEX(Mensal!$D$2:$D$245,MATCH($I2722,Mensal!$A$2:$A$245,0)),"")</f>
        <v/>
      </c>
      <c r="N2722" s="34">
        <f>IF($K2722=1,L2722-M2722,"")</f>
        <v/>
      </c>
      <c r="O2722" s="34" t="n">
        <v>0.00045442</v>
      </c>
      <c r="P2722" s="34">
        <f>IF($J2722=1,LN(1+O2722),"")</f>
        <v/>
      </c>
      <c r="Q2722" s="34">
        <f>IF($J2722=1,LN(R2723/R2722),"")</f>
        <v/>
      </c>
      <c r="R2722" s="32" t="n">
        <v>3.1424</v>
      </c>
      <c r="S2722" s="35" t="n">
        <v>9.422000000000001</v>
      </c>
      <c r="T2722" s="18" t="n">
        <v>64359.79</v>
      </c>
      <c r="U2722" s="18" t="n"/>
      <c r="V2722" s="18" t="n"/>
      <c r="W2722" s="18" t="n"/>
      <c r="X2722" s="35" t="n"/>
      <c r="Y2722" s="35" t="n">
        <v>9.422000000000001</v>
      </c>
    </row>
    <row r="2723">
      <c r="A2723" s="25" t="n">
        <v>42837</v>
      </c>
      <c r="B2723" s="18" t="n">
        <v>63891.67</v>
      </c>
      <c r="C2723" s="31" t="n"/>
      <c r="D2723" s="32" t="n"/>
      <c r="E2723" s="33" t="n">
        <v>1.9037</v>
      </c>
      <c r="F2723" t="inlineStr">
        <is>
          <t>Up</t>
        </is>
      </c>
      <c r="G2723" t="inlineStr">
        <is>
          <t>Down</t>
        </is>
      </c>
      <c r="H2723" t="inlineStr">
        <is>
          <t>EU_JD</t>
        </is>
      </c>
      <c r="I2723" t="inlineStr">
        <is>
          <t>2017-04</t>
        </is>
      </c>
      <c r="J2723" t="n">
        <v>1</v>
      </c>
      <c r="K2723" t="n">
        <v>1</v>
      </c>
      <c r="L2723" s="34">
        <f>IF($J2723=1,LN(B2724/B2723),"")</f>
        <v/>
      </c>
      <c r="M2723" s="34">
        <f>IF($K2723=1,INDEX(Mensal!$D$2:$D$245,MATCH($I2723,Mensal!$A$2:$A$245,0)),"")</f>
        <v/>
      </c>
      <c r="N2723" s="34">
        <f>IF($K2723=1,L2723-M2723,"")</f>
        <v/>
      </c>
      <c r="O2723" s="34" t="n">
        <v>0.00045442</v>
      </c>
      <c r="P2723" s="34">
        <f>IF($J2723=1,LN(1+O2723),"")</f>
        <v/>
      </c>
      <c r="Q2723" s="34">
        <f>IF($J2723=1,LN(R2724/R2723),"")</f>
        <v/>
      </c>
      <c r="R2723" s="32" t="n">
        <v>3.1463</v>
      </c>
      <c r="S2723" s="35" t="n">
        <v>9.460000000000001</v>
      </c>
      <c r="T2723" s="18" t="n">
        <v>63891.67</v>
      </c>
      <c r="U2723" s="18" t="n"/>
      <c r="V2723" s="18" t="n"/>
      <c r="W2723" s="18" t="n"/>
      <c r="X2723" s="35" t="n"/>
      <c r="Y2723" s="35" t="n">
        <v>9.460000000000001</v>
      </c>
    </row>
    <row r="2724">
      <c r="A2724" s="25" t="n">
        <v>42838</v>
      </c>
      <c r="B2724" s="18" t="n">
        <v>62826.28</v>
      </c>
      <c r="C2724" s="31" t="n"/>
      <c r="D2724" s="32" t="n"/>
      <c r="E2724" s="33" t="n">
        <v>1.836</v>
      </c>
      <c r="F2724" t="inlineStr">
        <is>
          <t>Up</t>
        </is>
      </c>
      <c r="G2724" t="inlineStr">
        <is>
          <t>Down</t>
        </is>
      </c>
      <c r="H2724" t="inlineStr">
        <is>
          <t>EU_JD</t>
        </is>
      </c>
      <c r="I2724" t="inlineStr">
        <is>
          <t>2017-04</t>
        </is>
      </c>
      <c r="J2724" t="n">
        <v>1</v>
      </c>
      <c r="K2724" t="n">
        <v>1</v>
      </c>
      <c r="L2724" s="34">
        <f>IF($J2724=1,LN(B2725/B2724),"")</f>
        <v/>
      </c>
      <c r="M2724" s="34">
        <f>IF($K2724=1,INDEX(Mensal!$D$2:$D$245,MATCH($I2724,Mensal!$A$2:$A$245,0)),"")</f>
        <v/>
      </c>
      <c r="N2724" s="34">
        <f>IF($K2724=1,L2724-M2724,"")</f>
        <v/>
      </c>
      <c r="O2724" s="34" t="n">
        <v>0.00041886</v>
      </c>
      <c r="P2724" s="34">
        <f>IF($J2724=1,LN(1+O2724),"")</f>
        <v/>
      </c>
      <c r="Q2724" s="34">
        <f>IF($J2724=1,LN(R2725/R2724),"")</f>
        <v/>
      </c>
      <c r="R2724" s="32" t="n">
        <v>3.1269</v>
      </c>
      <c r="S2724" s="35" t="n">
        <v>9.476000000000001</v>
      </c>
      <c r="T2724" s="18" t="n">
        <v>62826.28</v>
      </c>
      <c r="U2724" s="18" t="n"/>
      <c r="V2724" s="18" t="n"/>
      <c r="W2724" s="18" t="n"/>
      <c r="X2724" s="35" t="n"/>
      <c r="Y2724" s="35" t="n">
        <v>9.476000000000001</v>
      </c>
    </row>
    <row r="2725">
      <c r="A2725" s="25" t="n">
        <v>42842</v>
      </c>
      <c r="B2725" s="18" t="n">
        <v>64334.92</v>
      </c>
      <c r="C2725" s="31" t="n"/>
      <c r="D2725" s="32" t="n"/>
      <c r="E2725" s="33" t="n">
        <v>1.7639</v>
      </c>
      <c r="F2725" t="inlineStr">
        <is>
          <t>Up</t>
        </is>
      </c>
      <c r="G2725" t="inlineStr">
        <is>
          <t>Down</t>
        </is>
      </c>
      <c r="H2725" t="inlineStr">
        <is>
          <t>EU_JD</t>
        </is>
      </c>
      <c r="I2725" t="inlineStr">
        <is>
          <t>2017-04</t>
        </is>
      </c>
      <c r="J2725" t="n">
        <v>1</v>
      </c>
      <c r="K2725" t="n">
        <v>1</v>
      </c>
      <c r="L2725" s="34">
        <f>IF($J2725=1,LN(B2726/B2725),"")</f>
        <v/>
      </c>
      <c r="M2725" s="34">
        <f>IF($K2725=1,INDEX(Mensal!$D$2:$D$245,MATCH($I2725,Mensal!$A$2:$A$245,0)),"")</f>
        <v/>
      </c>
      <c r="N2725" s="34">
        <f>IF($K2725=1,L2725-M2725,"")</f>
        <v/>
      </c>
      <c r="O2725" s="34" t="n">
        <v>0.00041886</v>
      </c>
      <c r="P2725" s="34">
        <f>IF($J2725=1,LN(1+O2725),"")</f>
        <v/>
      </c>
      <c r="Q2725" s="34">
        <f>IF($J2725=1,LN(R2726/R2725),"")</f>
        <v/>
      </c>
      <c r="R2725" s="32" t="n">
        <v>3.1036</v>
      </c>
      <c r="S2725" s="35" t="n">
        <v>9.455</v>
      </c>
      <c r="T2725" s="18" t="n">
        <v>64334.92</v>
      </c>
      <c r="U2725" s="18" t="n"/>
      <c r="V2725" s="18" t="n"/>
      <c r="W2725" s="18" t="n"/>
      <c r="X2725" s="35" t="n"/>
      <c r="Y2725" s="35" t="n">
        <v>9.455</v>
      </c>
    </row>
    <row r="2726">
      <c r="A2726" s="25" t="n">
        <v>42843</v>
      </c>
      <c r="B2726" s="18" t="n">
        <v>64158.84</v>
      </c>
      <c r="C2726" s="31" t="n"/>
      <c r="D2726" s="32" t="n"/>
      <c r="E2726" s="33" t="n">
        <v>1.6877</v>
      </c>
      <c r="F2726" t="inlineStr">
        <is>
          <t>Up</t>
        </is>
      </c>
      <c r="G2726" t="inlineStr">
        <is>
          <t>Down</t>
        </is>
      </c>
      <c r="H2726" t="inlineStr">
        <is>
          <t>EU_JD</t>
        </is>
      </c>
      <c r="I2726" t="inlineStr">
        <is>
          <t>2017-04</t>
        </is>
      </c>
      <c r="J2726" t="n">
        <v>1</v>
      </c>
      <c r="K2726" t="n">
        <v>1</v>
      </c>
      <c r="L2726" s="34">
        <f>IF($J2726=1,LN(B2727/B2726),"")</f>
        <v/>
      </c>
      <c r="M2726" s="34">
        <f>IF($K2726=1,INDEX(Mensal!$D$2:$D$245,MATCH($I2726,Mensal!$A$2:$A$245,0)),"")</f>
        <v/>
      </c>
      <c r="N2726" s="34">
        <f>IF($K2726=1,L2726-M2726,"")</f>
        <v/>
      </c>
      <c r="O2726" s="34" t="n">
        <v>0.00041886</v>
      </c>
      <c r="P2726" s="34">
        <f>IF($J2726=1,LN(1+O2726),"")</f>
        <v/>
      </c>
      <c r="Q2726" s="34">
        <f>IF($J2726=1,LN(R2727/R2726),"")</f>
        <v/>
      </c>
      <c r="R2726" s="32" t="n">
        <v>3.0958</v>
      </c>
      <c r="S2726" s="35" t="n">
        <v>9.359999999999999</v>
      </c>
      <c r="T2726" s="18" t="n">
        <v>64158.84</v>
      </c>
      <c r="U2726" s="18" t="n"/>
      <c r="V2726" s="18" t="n"/>
      <c r="W2726" s="18" t="n"/>
      <c r="X2726" s="35" t="n"/>
      <c r="Y2726" s="35" t="n">
        <v>9.359999999999999</v>
      </c>
    </row>
    <row r="2727">
      <c r="A2727" s="25" t="n">
        <v>42844</v>
      </c>
      <c r="B2727" s="18" t="n">
        <v>63406.97</v>
      </c>
      <c r="C2727" s="31" t="n"/>
      <c r="D2727" s="32" t="n"/>
      <c r="E2727" s="33" t="n">
        <v>1.6072</v>
      </c>
      <c r="F2727" t="inlineStr">
        <is>
          <t>Up</t>
        </is>
      </c>
      <c r="G2727" t="inlineStr">
        <is>
          <t>Down</t>
        </is>
      </c>
      <c r="H2727" t="inlineStr">
        <is>
          <t>EU_JD</t>
        </is>
      </c>
      <c r="I2727" t="inlineStr">
        <is>
          <t>2017-04</t>
        </is>
      </c>
      <c r="J2727" t="n">
        <v>1</v>
      </c>
      <c r="K2727" t="n">
        <v>1</v>
      </c>
      <c r="L2727" s="34">
        <f>IF($J2727=1,LN(B2728/B2727),"")</f>
        <v/>
      </c>
      <c r="M2727" s="34">
        <f>IF($K2727=1,INDEX(Mensal!$D$2:$D$245,MATCH($I2727,Mensal!$A$2:$A$245,0)),"")</f>
        <v/>
      </c>
      <c r="N2727" s="34">
        <f>IF($K2727=1,L2727-M2727,"")</f>
        <v/>
      </c>
      <c r="O2727" s="34" t="n">
        <v>0.00041886</v>
      </c>
      <c r="P2727" s="34">
        <f>IF($J2727=1,LN(1+O2727),"")</f>
        <v/>
      </c>
      <c r="Q2727" s="34">
        <f>IF($J2727=1,LN(R2728/R2727),"")</f>
        <v/>
      </c>
      <c r="R2727" s="32" t="n">
        <v>3.1294</v>
      </c>
      <c r="S2727" s="35" t="n">
        <v>9.369</v>
      </c>
      <c r="T2727" s="18" t="n">
        <v>63406.97</v>
      </c>
      <c r="U2727" s="18" t="n"/>
      <c r="V2727" s="18" t="n"/>
      <c r="W2727" s="18" t="n"/>
      <c r="X2727" s="35" t="n"/>
      <c r="Y2727" s="35" t="n">
        <v>9.369</v>
      </c>
    </row>
    <row r="2728">
      <c r="A2728" s="25" t="n">
        <v>42845</v>
      </c>
      <c r="B2728" s="18" t="n">
        <v>63760.62</v>
      </c>
      <c r="C2728" s="31" t="n"/>
      <c r="D2728" s="32" t="n"/>
      <c r="E2728" s="33" t="n">
        <v>1.5294</v>
      </c>
      <c r="F2728" t="inlineStr">
        <is>
          <t>Up</t>
        </is>
      </c>
      <c r="G2728" t="inlineStr">
        <is>
          <t>Down</t>
        </is>
      </c>
      <c r="H2728" t="inlineStr">
        <is>
          <t>EU_JD</t>
        </is>
      </c>
      <c r="I2728" t="inlineStr">
        <is>
          <t>2017-04</t>
        </is>
      </c>
      <c r="J2728" t="n">
        <v>1</v>
      </c>
      <c r="K2728" t="n">
        <v>1</v>
      </c>
      <c r="L2728" s="34">
        <f>IF($J2728=1,LN(B2729/B2728),"")</f>
        <v/>
      </c>
      <c r="M2728" s="34">
        <f>IF($K2728=1,INDEX(Mensal!$D$2:$D$245,MATCH($I2728,Mensal!$A$2:$A$245,0)),"")</f>
        <v/>
      </c>
      <c r="N2728" s="34">
        <f>IF($K2728=1,L2728-M2728,"")</f>
        <v/>
      </c>
      <c r="O2728" s="34" t="n">
        <v>0.00041886</v>
      </c>
      <c r="P2728" s="34">
        <f>IF($J2728=1,LN(1+O2728),"")</f>
        <v/>
      </c>
      <c r="Q2728" s="34">
        <f>IF($J2728=1,LN(R2729/R2728),"")</f>
        <v/>
      </c>
      <c r="R2728" s="32" t="n">
        <v>3.1453</v>
      </c>
      <c r="S2728" s="35" t="n">
        <v>9.369999999999999</v>
      </c>
      <c r="T2728" s="18" t="n">
        <v>63760.62</v>
      </c>
      <c r="U2728" s="18" t="n"/>
      <c r="V2728" s="18" t="n"/>
      <c r="W2728" s="18" t="n"/>
      <c r="X2728" s="35" t="n"/>
      <c r="Y2728" s="35" t="n">
        <v>9.369999999999999</v>
      </c>
    </row>
    <row r="2729">
      <c r="A2729" s="25" t="n">
        <v>42849</v>
      </c>
      <c r="B2729" s="18" t="n">
        <v>64389.01</v>
      </c>
      <c r="C2729" s="31" t="n"/>
      <c r="D2729" s="32" t="n"/>
      <c r="E2729" s="33" t="n">
        <v>1.4744</v>
      </c>
      <c r="F2729" t="inlineStr">
        <is>
          <t>Up</t>
        </is>
      </c>
      <c r="G2729" t="inlineStr">
        <is>
          <t>Down</t>
        </is>
      </c>
      <c r="H2729" t="inlineStr">
        <is>
          <t>EU_JD</t>
        </is>
      </c>
      <c r="I2729" t="inlineStr">
        <is>
          <t>2017-04</t>
        </is>
      </c>
      <c r="J2729" t="n">
        <v>1</v>
      </c>
      <c r="K2729" t="n">
        <v>1</v>
      </c>
      <c r="L2729" s="34">
        <f>IF($J2729=1,LN(B2730/B2729),"")</f>
        <v/>
      </c>
      <c r="M2729" s="34">
        <f>IF($K2729=1,INDEX(Mensal!$D$2:$D$245,MATCH($I2729,Mensal!$A$2:$A$245,0)),"")</f>
        <v/>
      </c>
      <c r="N2729" s="34">
        <f>IF($K2729=1,L2729-M2729,"")</f>
        <v/>
      </c>
      <c r="O2729" s="34" t="n">
        <v>0.00041886</v>
      </c>
      <c r="P2729" s="34">
        <f>IF($J2729=1,LN(1+O2729),"")</f>
        <v/>
      </c>
      <c r="Q2729" s="34">
        <f>IF($J2729=1,LN(R2730/R2729),"")</f>
        <v/>
      </c>
      <c r="R2729" s="32" t="n">
        <v>3.1251</v>
      </c>
      <c r="S2729" s="35" t="n">
        <v>9.324999999999999</v>
      </c>
      <c r="T2729" s="18" t="n">
        <v>64389.01</v>
      </c>
      <c r="U2729" s="18" t="n"/>
      <c r="V2729" s="18" t="n"/>
      <c r="W2729" s="18" t="n"/>
      <c r="X2729" s="35" t="n"/>
      <c r="Y2729" s="35" t="n">
        <v>9.324999999999999</v>
      </c>
    </row>
    <row r="2730">
      <c r="A2730" s="25" t="n">
        <v>42850</v>
      </c>
      <c r="B2730" s="18" t="n">
        <v>65148.34</v>
      </c>
      <c r="C2730" s="31" t="n"/>
      <c r="D2730" s="32" t="n"/>
      <c r="E2730" s="33" t="n">
        <v>1.4176</v>
      </c>
      <c r="F2730" t="inlineStr">
        <is>
          <t>Up</t>
        </is>
      </c>
      <c r="G2730" t="inlineStr">
        <is>
          <t>Down</t>
        </is>
      </c>
      <c r="H2730" t="inlineStr">
        <is>
          <t>EU_JD</t>
        </is>
      </c>
      <c r="I2730" t="inlineStr">
        <is>
          <t>2017-04</t>
        </is>
      </c>
      <c r="J2730" t="n">
        <v>1</v>
      </c>
      <c r="K2730" t="n">
        <v>1</v>
      </c>
      <c r="L2730" s="34">
        <f>IF($J2730=1,LN(B2731/B2730),"")</f>
        <v/>
      </c>
      <c r="M2730" s="34">
        <f>IF($K2730=1,INDEX(Mensal!$D$2:$D$245,MATCH($I2730,Mensal!$A$2:$A$245,0)),"")</f>
        <v/>
      </c>
      <c r="N2730" s="34">
        <f>IF($K2730=1,L2730-M2730,"")</f>
        <v/>
      </c>
      <c r="O2730" s="34" t="n">
        <v>0.00041886</v>
      </c>
      <c r="P2730" s="34">
        <f>IF($J2730=1,LN(1+O2730),"")</f>
        <v/>
      </c>
      <c r="Q2730" s="34">
        <f>IF($J2730=1,LN(R2731/R2730),"")</f>
        <v/>
      </c>
      <c r="R2730" s="32" t="n">
        <v>3.1577</v>
      </c>
      <c r="S2730" s="35" t="n">
        <v>9.375999999999999</v>
      </c>
      <c r="T2730" s="18" t="n">
        <v>65148.34</v>
      </c>
      <c r="U2730" s="18" t="n"/>
      <c r="V2730" s="18" t="n"/>
      <c r="W2730" s="18" t="n"/>
      <c r="X2730" s="35" t="n"/>
      <c r="Y2730" s="35" t="n">
        <v>9.375999999999999</v>
      </c>
    </row>
    <row r="2731">
      <c r="A2731" s="25" t="n">
        <v>42851</v>
      </c>
      <c r="B2731" s="18" t="n">
        <v>64861.92</v>
      </c>
      <c r="C2731" s="31" t="n"/>
      <c r="D2731" s="32" t="n"/>
      <c r="E2731" s="33" t="n">
        <v>1.3594</v>
      </c>
      <c r="F2731" t="inlineStr">
        <is>
          <t>Up</t>
        </is>
      </c>
      <c r="G2731" t="inlineStr">
        <is>
          <t>Down</t>
        </is>
      </c>
      <c r="H2731" t="inlineStr">
        <is>
          <t>EU_JD</t>
        </is>
      </c>
      <c r="I2731" t="inlineStr">
        <is>
          <t>2017-04</t>
        </is>
      </c>
      <c r="J2731" t="n">
        <v>1</v>
      </c>
      <c r="K2731" t="n">
        <v>1</v>
      </c>
      <c r="L2731" s="34">
        <f>IF($J2731=1,LN(B2732/B2731),"")</f>
        <v/>
      </c>
      <c r="M2731" s="34">
        <f>IF($K2731=1,INDEX(Mensal!$D$2:$D$245,MATCH($I2731,Mensal!$A$2:$A$245,0)),"")</f>
        <v/>
      </c>
      <c r="N2731" s="34">
        <f>IF($K2731=1,L2731-M2731,"")</f>
        <v/>
      </c>
      <c r="O2731" s="34" t="n">
        <v>0.00041886</v>
      </c>
      <c r="P2731" s="34">
        <f>IF($J2731=1,LN(1+O2731),"")</f>
        <v/>
      </c>
      <c r="Q2731" s="34">
        <f>IF($J2731=1,LN(R2732/R2731),"")</f>
        <v/>
      </c>
      <c r="R2731" s="32" t="n">
        <v>3.1847</v>
      </c>
      <c r="S2731" s="35" t="n">
        <v>9.355</v>
      </c>
      <c r="T2731" s="18" t="n">
        <v>64861.92</v>
      </c>
      <c r="U2731" s="18" t="n"/>
      <c r="V2731" s="18" t="n"/>
      <c r="W2731" s="18" t="n"/>
      <c r="X2731" s="35" t="n"/>
      <c r="Y2731" s="35" t="n">
        <v>9.355</v>
      </c>
    </row>
    <row r="2732">
      <c r="A2732" s="25" t="n">
        <v>42852</v>
      </c>
      <c r="B2732" s="18" t="n">
        <v>64676.55</v>
      </c>
      <c r="C2732" s="31" t="n"/>
      <c r="D2732" s="32" t="n"/>
      <c r="E2732" s="33" t="n">
        <v>1.288</v>
      </c>
      <c r="F2732" t="inlineStr">
        <is>
          <t>Up</t>
        </is>
      </c>
      <c r="G2732" t="inlineStr">
        <is>
          <t>Down</t>
        </is>
      </c>
      <c r="H2732" t="inlineStr">
        <is>
          <t>EU_JD</t>
        </is>
      </c>
      <c r="I2732" t="inlineStr">
        <is>
          <t>2017-04</t>
        </is>
      </c>
      <c r="J2732" t="n">
        <v>1</v>
      </c>
      <c r="K2732" t="n">
        <v>1</v>
      </c>
      <c r="L2732" s="34">
        <f>IF($J2732=1,LN(B2733/B2732),"")</f>
        <v/>
      </c>
      <c r="M2732" s="34">
        <f>IF($K2732=1,INDEX(Mensal!$D$2:$D$245,MATCH($I2732,Mensal!$A$2:$A$245,0)),"")</f>
        <v/>
      </c>
      <c r="N2732" s="34">
        <f>IF($K2732=1,L2732-M2732,"")</f>
        <v/>
      </c>
      <c r="O2732" s="34" t="n">
        <v>0.00041886</v>
      </c>
      <c r="P2732" s="34">
        <f>IF($J2732=1,LN(1+O2732),"")</f>
        <v/>
      </c>
      <c r="Q2732" s="34">
        <f>IF($J2732=1,LN(R2733/R2732),"")</f>
        <v/>
      </c>
      <c r="R2732" s="32" t="n">
        <v>3.1763</v>
      </c>
      <c r="S2732" s="35" t="n">
        <v>9.337999999999999</v>
      </c>
      <c r="T2732" s="18" t="n">
        <v>64676.55</v>
      </c>
      <c r="U2732" s="18" t="n"/>
      <c r="V2732" s="18" t="n"/>
      <c r="W2732" s="18" t="n"/>
      <c r="X2732" s="35" t="n"/>
      <c r="Y2732" s="35" t="n">
        <v>9.337999999999999</v>
      </c>
    </row>
    <row r="2733">
      <c r="A2733" s="25" t="n">
        <v>42853</v>
      </c>
      <c r="B2733" s="18" t="n">
        <v>65403.24</v>
      </c>
      <c r="C2733" s="31" t="n"/>
      <c r="D2733" s="32" t="n"/>
      <c r="E2733" s="33" t="n">
        <v>1.2132</v>
      </c>
      <c r="F2733" t="inlineStr">
        <is>
          <t>Up</t>
        </is>
      </c>
      <c r="G2733" t="inlineStr">
        <is>
          <t>Down</t>
        </is>
      </c>
      <c r="H2733" t="inlineStr">
        <is>
          <t>EU_JD</t>
        </is>
      </c>
      <c r="I2733" t="inlineStr">
        <is>
          <t>2017-04</t>
        </is>
      </c>
      <c r="J2733" t="n">
        <v>1</v>
      </c>
      <c r="K2733" t="n">
        <v>1</v>
      </c>
      <c r="L2733" s="34">
        <f>IF($J2733=1,LN(B2734/B2733),"")</f>
        <v/>
      </c>
      <c r="M2733" s="34">
        <f>IF($K2733=1,INDEX(Mensal!$D$2:$D$245,MATCH($I2733,Mensal!$A$2:$A$245,0)),"")</f>
        <v/>
      </c>
      <c r="N2733" s="34">
        <f>IF($K2733=1,L2733-M2733,"")</f>
        <v/>
      </c>
      <c r="O2733" s="34" t="n">
        <v>0.00041886</v>
      </c>
      <c r="P2733" s="34">
        <f>IF($J2733=1,LN(1+O2733),"")</f>
        <v/>
      </c>
      <c r="Q2733" s="34">
        <f>IF($J2733=1,LN(R2734/R2733),"")</f>
        <v/>
      </c>
      <c r="R2733" s="32" t="n">
        <v>3.1984</v>
      </c>
      <c r="S2733" s="35" t="n">
        <v>9.301</v>
      </c>
      <c r="T2733" s="18" t="n">
        <v>65403.24</v>
      </c>
      <c r="U2733" s="18" t="n"/>
      <c r="V2733" s="18" t="n"/>
      <c r="W2733" s="18" t="n"/>
      <c r="X2733" s="35" t="n"/>
      <c r="Y2733" s="35" t="n">
        <v>9.301</v>
      </c>
    </row>
    <row r="2734">
      <c r="A2734" s="25" t="n">
        <v>42857</v>
      </c>
      <c r="B2734" s="18" t="n">
        <v>66721.74000000001</v>
      </c>
      <c r="C2734" s="31" t="n"/>
      <c r="D2734" s="32" t="n"/>
      <c r="E2734" s="33" t="n">
        <v>1.1969</v>
      </c>
      <c r="F2734" t="inlineStr">
        <is>
          <t>Up</t>
        </is>
      </c>
      <c r="G2734" t="inlineStr">
        <is>
          <t>Down</t>
        </is>
      </c>
      <c r="H2734" t="inlineStr">
        <is>
          <t>EU_JD</t>
        </is>
      </c>
      <c r="I2734" t="inlineStr">
        <is>
          <t>2017-05</t>
        </is>
      </c>
      <c r="J2734" t="n">
        <v>1</v>
      </c>
      <c r="K2734" t="n">
        <v>1</v>
      </c>
      <c r="L2734" s="34">
        <f>IF($J2734=1,LN(B2735/B2734),"")</f>
        <v/>
      </c>
      <c r="M2734" s="34">
        <f>IF($K2734=1,INDEX(Mensal!$D$2:$D$245,MATCH($I2734,Mensal!$A$2:$A$245,0)),"")</f>
        <v/>
      </c>
      <c r="N2734" s="34">
        <f>IF($K2734=1,L2734-M2734,"")</f>
        <v/>
      </c>
      <c r="O2734" s="34" t="n">
        <v>0.00041886</v>
      </c>
      <c r="P2734" s="34">
        <f>IF($J2734=1,LN(1+O2734),"")</f>
        <v/>
      </c>
      <c r="Q2734" s="34">
        <f>IF($J2734=1,LN(R2735/R2734),"")</f>
        <v/>
      </c>
      <c r="R2734" s="32" t="n">
        <v>3.1724</v>
      </c>
      <c r="S2734" s="35" t="n">
        <v>9.256</v>
      </c>
      <c r="T2734" s="18" t="n">
        <v>66721.74000000001</v>
      </c>
      <c r="U2734" s="18" t="n"/>
      <c r="V2734" s="18" t="n"/>
      <c r="W2734" s="18" t="n"/>
      <c r="X2734" s="35" t="n"/>
      <c r="Y2734" s="35" t="n">
        <v>9.256</v>
      </c>
    </row>
    <row r="2735">
      <c r="A2735" s="25" t="n">
        <v>42858</v>
      </c>
      <c r="B2735" s="18" t="n">
        <v>66093.78</v>
      </c>
      <c r="C2735" s="31" t="n"/>
      <c r="D2735" s="32" t="n"/>
      <c r="E2735" s="33" t="n">
        <v>1.1584</v>
      </c>
      <c r="F2735" t="inlineStr">
        <is>
          <t>Up</t>
        </is>
      </c>
      <c r="G2735" t="inlineStr">
        <is>
          <t>Down</t>
        </is>
      </c>
      <c r="H2735" t="inlineStr">
        <is>
          <t>EU_JD</t>
        </is>
      </c>
      <c r="I2735" t="inlineStr">
        <is>
          <t>2017-05</t>
        </is>
      </c>
      <c r="J2735" t="n">
        <v>1</v>
      </c>
      <c r="K2735" t="n">
        <v>1</v>
      </c>
      <c r="L2735" s="34">
        <f>IF($J2735=1,LN(B2736/B2735),"")</f>
        <v/>
      </c>
      <c r="M2735" s="34">
        <f>IF($K2735=1,INDEX(Mensal!$D$2:$D$245,MATCH($I2735,Mensal!$A$2:$A$245,0)),"")</f>
        <v/>
      </c>
      <c r="N2735" s="34">
        <f>IF($K2735=1,L2735-M2735,"")</f>
        <v/>
      </c>
      <c r="O2735" s="34" t="n">
        <v>0.00041886</v>
      </c>
      <c r="P2735" s="34">
        <f>IF($J2735=1,LN(1+O2735),"")</f>
        <v/>
      </c>
      <c r="Q2735" s="34">
        <f>IF($J2735=1,LN(R2736/R2735),"")</f>
        <v/>
      </c>
      <c r="R2735" s="32" t="n">
        <v>3.1489</v>
      </c>
      <c r="S2735" s="35" t="n">
        <v>9.224</v>
      </c>
      <c r="T2735" s="18" t="n">
        <v>66093.78</v>
      </c>
      <c r="U2735" s="18" t="n"/>
      <c r="V2735" s="18" t="n"/>
      <c r="W2735" s="18" t="n"/>
      <c r="X2735" s="35" t="n"/>
      <c r="Y2735" s="35" t="n">
        <v>9.224</v>
      </c>
    </row>
    <row r="2736">
      <c r="A2736" s="25" t="n">
        <v>42859</v>
      </c>
      <c r="B2736" s="18" t="n">
        <v>64862.6</v>
      </c>
      <c r="C2736" s="31" t="n"/>
      <c r="D2736" s="32" t="n"/>
      <c r="E2736" s="33" t="n">
        <v>1.1108</v>
      </c>
      <c r="F2736" t="inlineStr">
        <is>
          <t>Up</t>
        </is>
      </c>
      <c r="G2736" t="inlineStr">
        <is>
          <t>Down</t>
        </is>
      </c>
      <c r="H2736" t="inlineStr">
        <is>
          <t>EU_JD</t>
        </is>
      </c>
      <c r="I2736" t="inlineStr">
        <is>
          <t>2017-05</t>
        </is>
      </c>
      <c r="J2736" t="n">
        <v>1</v>
      </c>
      <c r="K2736" t="n">
        <v>1</v>
      </c>
      <c r="L2736" s="34">
        <f>IF($J2736=1,LN(B2737/B2736),"")</f>
        <v/>
      </c>
      <c r="M2736" s="34">
        <f>IF($K2736=1,INDEX(Mensal!$D$2:$D$245,MATCH($I2736,Mensal!$A$2:$A$245,0)),"")</f>
        <v/>
      </c>
      <c r="N2736" s="34">
        <f>IF($K2736=1,L2736-M2736,"")</f>
        <v/>
      </c>
      <c r="O2736" s="34" t="n">
        <v>0.00041886</v>
      </c>
      <c r="P2736" s="34">
        <f>IF($J2736=1,LN(1+O2736),"")</f>
        <v/>
      </c>
      <c r="Q2736" s="34">
        <f>IF($J2736=1,LN(R2737/R2736),"")</f>
        <v/>
      </c>
      <c r="R2736" s="32" t="n">
        <v>3.178</v>
      </c>
      <c r="S2736" s="35" t="n">
        <v>9.271000000000001</v>
      </c>
      <c r="T2736" s="18" t="n">
        <v>64862.6</v>
      </c>
      <c r="U2736" s="18" t="n"/>
      <c r="V2736" s="18" t="n"/>
      <c r="W2736" s="18" t="n"/>
      <c r="X2736" s="35" t="n"/>
      <c r="Y2736" s="35" t="n">
        <v>9.271000000000001</v>
      </c>
    </row>
    <row r="2737">
      <c r="A2737" s="25" t="n">
        <v>42860</v>
      </c>
      <c r="B2737" s="18" t="n">
        <v>65709.73</v>
      </c>
      <c r="C2737" s="31" t="n"/>
      <c r="D2737" s="32" t="n"/>
      <c r="E2737" s="33" t="n">
        <v>1.0628</v>
      </c>
      <c r="F2737" t="inlineStr">
        <is>
          <t>Up</t>
        </is>
      </c>
      <c r="G2737" t="inlineStr">
        <is>
          <t>Down</t>
        </is>
      </c>
      <c r="H2737" t="inlineStr">
        <is>
          <t>EU_JD</t>
        </is>
      </c>
      <c r="I2737" t="inlineStr">
        <is>
          <t>2017-05</t>
        </is>
      </c>
      <c r="J2737" t="n">
        <v>1</v>
      </c>
      <c r="K2737" t="n">
        <v>1</v>
      </c>
      <c r="L2737" s="34">
        <f>IF($J2737=1,LN(B2738/B2737),"")</f>
        <v/>
      </c>
      <c r="M2737" s="34">
        <f>IF($K2737=1,INDEX(Mensal!$D$2:$D$245,MATCH($I2737,Mensal!$A$2:$A$245,0)),"")</f>
        <v/>
      </c>
      <c r="N2737" s="34">
        <f>IF($K2737=1,L2737-M2737,"")</f>
        <v/>
      </c>
      <c r="O2737" s="34" t="n">
        <v>0.00041886</v>
      </c>
      <c r="P2737" s="34">
        <f>IF($J2737=1,LN(1+O2737),"")</f>
        <v/>
      </c>
      <c r="Q2737" s="34">
        <f>IF($J2737=1,LN(R2738/R2737),"")</f>
        <v/>
      </c>
      <c r="R2737" s="32" t="n">
        <v>3.1764</v>
      </c>
      <c r="S2737" s="35" t="n">
        <v>9.218</v>
      </c>
      <c r="T2737" s="18" t="n">
        <v>65709.73</v>
      </c>
      <c r="U2737" s="18" t="n"/>
      <c r="V2737" s="18" t="n"/>
      <c r="W2737" s="18" t="n"/>
      <c r="X2737" s="35" t="n"/>
      <c r="Y2737" s="35" t="n">
        <v>9.218</v>
      </c>
    </row>
    <row r="2738">
      <c r="A2738" s="25" t="n">
        <v>42863</v>
      </c>
      <c r="B2738" s="18" t="n">
        <v>65526.04</v>
      </c>
      <c r="C2738" s="31" t="n"/>
      <c r="D2738" s="32" t="n"/>
      <c r="E2738" s="33" t="n">
        <v>1.0083</v>
      </c>
      <c r="F2738" t="inlineStr">
        <is>
          <t>Up</t>
        </is>
      </c>
      <c r="G2738" t="inlineStr">
        <is>
          <t>Down</t>
        </is>
      </c>
      <c r="H2738" t="inlineStr">
        <is>
          <t>EU_JD</t>
        </is>
      </c>
      <c r="I2738" t="inlineStr">
        <is>
          <t>2017-05</t>
        </is>
      </c>
      <c r="J2738" t="n">
        <v>1</v>
      </c>
      <c r="K2738" t="n">
        <v>1</v>
      </c>
      <c r="L2738" s="34">
        <f>IF($J2738=1,LN(B2739/B2738),"")</f>
        <v/>
      </c>
      <c r="M2738" s="34">
        <f>IF($K2738=1,INDEX(Mensal!$D$2:$D$245,MATCH($I2738,Mensal!$A$2:$A$245,0)),"")</f>
        <v/>
      </c>
      <c r="N2738" s="34">
        <f>IF($K2738=1,L2738-M2738,"")</f>
        <v/>
      </c>
      <c r="O2738" s="34" t="n">
        <v>0.00041886</v>
      </c>
      <c r="P2738" s="34">
        <f>IF($J2738=1,LN(1+O2738),"")</f>
        <v/>
      </c>
      <c r="Q2738" s="34">
        <f>IF($J2738=1,LN(R2739/R2738),"")</f>
        <v/>
      </c>
      <c r="R2738" s="32" t="n">
        <v>3.1938</v>
      </c>
      <c r="S2738" s="35" t="n">
        <v>9.205</v>
      </c>
      <c r="T2738" s="18" t="n">
        <v>65526.04</v>
      </c>
      <c r="U2738" s="18" t="n"/>
      <c r="V2738" s="18" t="n"/>
      <c r="W2738" s="18" t="n"/>
      <c r="X2738" s="35" t="n"/>
      <c r="Y2738" s="35" t="n">
        <v>9.205</v>
      </c>
    </row>
    <row r="2739">
      <c r="A2739" s="25" t="n">
        <v>42864</v>
      </c>
      <c r="B2739" s="18" t="n">
        <v>66277.67</v>
      </c>
      <c r="C2739" s="31" t="n"/>
      <c r="D2739" s="32" t="n"/>
      <c r="E2739" s="33" t="n">
        <v>0.9448</v>
      </c>
      <c r="F2739" t="inlineStr">
        <is>
          <t>Up</t>
        </is>
      </c>
      <c r="G2739" t="inlineStr">
        <is>
          <t>Down</t>
        </is>
      </c>
      <c r="H2739" t="inlineStr">
        <is>
          <t>EU_JD</t>
        </is>
      </c>
      <c r="I2739" t="inlineStr">
        <is>
          <t>2017-05</t>
        </is>
      </c>
      <c r="J2739" t="n">
        <v>1</v>
      </c>
      <c r="K2739" t="n">
        <v>1</v>
      </c>
      <c r="L2739" s="34">
        <f>IF($J2739=1,LN(B2740/B2739),"")</f>
        <v/>
      </c>
      <c r="M2739" s="34">
        <f>IF($K2739=1,INDEX(Mensal!$D$2:$D$245,MATCH($I2739,Mensal!$A$2:$A$245,0)),"")</f>
        <v/>
      </c>
      <c r="N2739" s="34">
        <f>IF($K2739=1,L2739-M2739,"")</f>
        <v/>
      </c>
      <c r="O2739" s="34" t="n">
        <v>0.00041886</v>
      </c>
      <c r="P2739" s="34">
        <f>IF($J2739=1,LN(1+O2739),"")</f>
        <v/>
      </c>
      <c r="Q2739" s="34">
        <f>IF($J2739=1,LN(R2740/R2739),"")</f>
        <v/>
      </c>
      <c r="R2739" s="32" t="n">
        <v>3.1857</v>
      </c>
      <c r="S2739" s="35" t="n">
        <v>9.151</v>
      </c>
      <c r="T2739" s="18" t="n">
        <v>66277.67</v>
      </c>
      <c r="U2739" s="18" t="n"/>
      <c r="V2739" s="18" t="n"/>
      <c r="W2739" s="18" t="n"/>
      <c r="X2739" s="35" t="n"/>
      <c r="Y2739" s="35" t="n">
        <v>9.151</v>
      </c>
    </row>
    <row r="2740">
      <c r="A2740" s="25" t="n">
        <v>42865</v>
      </c>
      <c r="B2740" s="18" t="n">
        <v>67349.72</v>
      </c>
      <c r="C2740" s="31" t="n"/>
      <c r="D2740" s="32" t="n"/>
      <c r="E2740" s="33" t="n">
        <v>0.8784</v>
      </c>
      <c r="F2740" t="inlineStr">
        <is>
          <t>Up</t>
        </is>
      </c>
      <c r="G2740" t="inlineStr">
        <is>
          <t>Down</t>
        </is>
      </c>
      <c r="H2740" t="inlineStr">
        <is>
          <t>EU_JD</t>
        </is>
      </c>
      <c r="I2740" t="inlineStr">
        <is>
          <t>2017-05</t>
        </is>
      </c>
      <c r="J2740" t="n">
        <v>1</v>
      </c>
      <c r="K2740" t="n">
        <v>1</v>
      </c>
      <c r="L2740" s="34">
        <f>IF($J2740=1,LN(B2741/B2740),"")</f>
        <v/>
      </c>
      <c r="M2740" s="34">
        <f>IF($K2740=1,INDEX(Mensal!$D$2:$D$245,MATCH($I2740,Mensal!$A$2:$A$245,0)),"")</f>
        <v/>
      </c>
      <c r="N2740" s="34">
        <f>IF($K2740=1,L2740-M2740,"")</f>
        <v/>
      </c>
      <c r="O2740" s="34" t="n">
        <v>0.00041886</v>
      </c>
      <c r="P2740" s="34">
        <f>IF($J2740=1,LN(1+O2740),"")</f>
        <v/>
      </c>
      <c r="Q2740" s="34">
        <f>IF($J2740=1,LN(R2741/R2740),"")</f>
        <v/>
      </c>
      <c r="R2740" s="32" t="n">
        <v>3.1606</v>
      </c>
      <c r="S2740" s="35" t="n">
        <v>9.074</v>
      </c>
      <c r="T2740" s="18" t="n">
        <v>67349.72</v>
      </c>
      <c r="U2740" s="18" t="n"/>
      <c r="V2740" s="18" t="n"/>
      <c r="W2740" s="18" t="n"/>
      <c r="X2740" s="35" t="n"/>
      <c r="Y2740" s="35" t="n">
        <v>9.074</v>
      </c>
    </row>
    <row r="2741">
      <c r="A2741" s="25" t="n">
        <v>42866</v>
      </c>
      <c r="B2741" s="18" t="n">
        <v>67537.61</v>
      </c>
      <c r="C2741" s="31" t="n"/>
      <c r="D2741" s="32" t="n"/>
      <c r="E2741" s="33" t="n">
        <v>0.8066</v>
      </c>
      <c r="F2741" t="inlineStr">
        <is>
          <t>Up</t>
        </is>
      </c>
      <c r="G2741" t="inlineStr">
        <is>
          <t>Down</t>
        </is>
      </c>
      <c r="H2741" t="inlineStr">
        <is>
          <t>EU_JD</t>
        </is>
      </c>
      <c r="I2741" t="inlineStr">
        <is>
          <t>2017-05</t>
        </is>
      </c>
      <c r="J2741" t="n">
        <v>1</v>
      </c>
      <c r="K2741" t="n">
        <v>1</v>
      </c>
      <c r="L2741" s="34">
        <f>IF($J2741=1,LN(B2742/B2741),"")</f>
        <v/>
      </c>
      <c r="M2741" s="34">
        <f>IF($K2741=1,INDEX(Mensal!$D$2:$D$245,MATCH($I2741,Mensal!$A$2:$A$245,0)),"")</f>
        <v/>
      </c>
      <c r="N2741" s="34">
        <f>IF($K2741=1,L2741-M2741,"")</f>
        <v/>
      </c>
      <c r="O2741" s="34" t="n">
        <v>0.00041886</v>
      </c>
      <c r="P2741" s="34">
        <f>IF($J2741=1,LN(1+O2741),"")</f>
        <v/>
      </c>
      <c r="Q2741" s="34">
        <f>IF($J2741=1,LN(R2742/R2741),"")</f>
        <v/>
      </c>
      <c r="R2741" s="32" t="n">
        <v>3.1559</v>
      </c>
      <c r="S2741" s="35" t="n">
        <v>8.967000000000001</v>
      </c>
      <c r="T2741" s="18" t="n">
        <v>67537.61</v>
      </c>
      <c r="U2741" s="18" t="n"/>
      <c r="V2741" s="18" t="n"/>
      <c r="W2741" s="18" t="n"/>
      <c r="X2741" s="35" t="n"/>
      <c r="Y2741" s="35" t="n">
        <v>8.967000000000001</v>
      </c>
    </row>
    <row r="2742">
      <c r="A2742" s="25" t="n">
        <v>42867</v>
      </c>
      <c r="B2742" s="18" t="n">
        <v>68221.94</v>
      </c>
      <c r="C2742" s="31" t="n"/>
      <c r="D2742" s="32" t="n"/>
      <c r="E2742" s="33" t="n">
        <v>0.7321</v>
      </c>
      <c r="F2742" t="inlineStr">
        <is>
          <t>Up</t>
        </is>
      </c>
      <c r="G2742" t="inlineStr">
        <is>
          <t>Down</t>
        </is>
      </c>
      <c r="H2742" t="inlineStr">
        <is>
          <t>EU_JD</t>
        </is>
      </c>
      <c r="I2742" t="inlineStr">
        <is>
          <t>2017-05</t>
        </is>
      </c>
      <c r="J2742" t="n">
        <v>1</v>
      </c>
      <c r="K2742" t="n">
        <v>1</v>
      </c>
      <c r="L2742" s="34">
        <f>IF($J2742=1,LN(B2743/B2742),"")</f>
        <v/>
      </c>
      <c r="M2742" s="34">
        <f>IF($K2742=1,INDEX(Mensal!$D$2:$D$245,MATCH($I2742,Mensal!$A$2:$A$245,0)),"")</f>
        <v/>
      </c>
      <c r="N2742" s="34">
        <f>IF($K2742=1,L2742-M2742,"")</f>
        <v/>
      </c>
      <c r="O2742" s="34" t="n">
        <v>0.00041886</v>
      </c>
      <c r="P2742" s="34">
        <f>IF($J2742=1,LN(1+O2742),"")</f>
        <v/>
      </c>
      <c r="Q2742" s="34">
        <f>IF($J2742=1,LN(R2743/R2742),"")</f>
        <v/>
      </c>
      <c r="R2742" s="32" t="n">
        <v>3.129</v>
      </c>
      <c r="S2742" s="35" t="n">
        <v>8.923999999999999</v>
      </c>
      <c r="T2742" s="18" t="n">
        <v>68221.94</v>
      </c>
      <c r="U2742" s="18" t="n"/>
      <c r="V2742" s="18" t="n"/>
      <c r="W2742" s="18" t="n"/>
      <c r="X2742" s="35" t="n"/>
      <c r="Y2742" s="35" t="n">
        <v>8.923999999999999</v>
      </c>
    </row>
    <row r="2743">
      <c r="A2743" s="25" t="n">
        <v>42870</v>
      </c>
      <c r="B2743" s="18" t="n">
        <v>68474.17999999999</v>
      </c>
      <c r="C2743" s="31" t="n"/>
      <c r="D2743" s="32" t="n"/>
      <c r="E2743" s="33" t="n">
        <v>0.663</v>
      </c>
      <c r="F2743" t="inlineStr">
        <is>
          <t>Up</t>
        </is>
      </c>
      <c r="G2743" t="inlineStr">
        <is>
          <t>Down</t>
        </is>
      </c>
      <c r="H2743" t="inlineStr">
        <is>
          <t>EU_JD</t>
        </is>
      </c>
      <c r="I2743" t="inlineStr">
        <is>
          <t>2017-05</t>
        </is>
      </c>
      <c r="J2743" t="n">
        <v>1</v>
      </c>
      <c r="K2743" t="n">
        <v>1</v>
      </c>
      <c r="L2743" s="34">
        <f>IF($J2743=1,LN(B2744/B2743),"")</f>
        <v/>
      </c>
      <c r="M2743" s="34">
        <f>IF($K2743=1,INDEX(Mensal!$D$2:$D$245,MATCH($I2743,Mensal!$A$2:$A$245,0)),"")</f>
        <v/>
      </c>
      <c r="N2743" s="34">
        <f>IF($K2743=1,L2743-M2743,"")</f>
        <v/>
      </c>
      <c r="O2743" s="34" t="n">
        <v>0.00041886</v>
      </c>
      <c r="P2743" s="34">
        <f>IF($J2743=1,LN(1+O2743),"")</f>
        <v/>
      </c>
      <c r="Q2743" s="34">
        <f>IF($J2743=1,LN(R2744/R2743),"")</f>
        <v/>
      </c>
      <c r="R2743" s="32" t="n">
        <v>3.1011</v>
      </c>
      <c r="S2743" s="35" t="n">
        <v>8.808999999999999</v>
      </c>
      <c r="T2743" s="18" t="n">
        <v>68474.17999999999</v>
      </c>
      <c r="U2743" s="18" t="n"/>
      <c r="V2743" s="18" t="n"/>
      <c r="W2743" s="18" t="n"/>
      <c r="X2743" s="35" t="n"/>
      <c r="Y2743" s="35" t="n">
        <v>8.808999999999999</v>
      </c>
    </row>
    <row r="2744">
      <c r="A2744" s="25" t="n">
        <v>42871</v>
      </c>
      <c r="B2744" s="18" t="n">
        <v>68684.49000000001</v>
      </c>
      <c r="C2744" s="31" t="n"/>
      <c r="D2744" s="32" t="n"/>
      <c r="E2744" s="33" t="n">
        <v>0.583</v>
      </c>
      <c r="F2744" t="inlineStr">
        <is>
          <t>Up</t>
        </is>
      </c>
      <c r="G2744" t="inlineStr">
        <is>
          <t>Down</t>
        </is>
      </c>
      <c r="H2744" t="inlineStr">
        <is>
          <t>EU_JD</t>
        </is>
      </c>
      <c r="I2744" t="inlineStr">
        <is>
          <t>2017-05</t>
        </is>
      </c>
      <c r="J2744" t="n">
        <v>1</v>
      </c>
      <c r="K2744" t="n">
        <v>1</v>
      </c>
      <c r="L2744" s="34">
        <f>IF($J2744=1,LN(B2745/B2744),"")</f>
        <v/>
      </c>
      <c r="M2744" s="34">
        <f>IF($K2744=1,INDEX(Mensal!$D$2:$D$245,MATCH($I2744,Mensal!$A$2:$A$245,0)),"")</f>
        <v/>
      </c>
      <c r="N2744" s="34">
        <f>IF($K2744=1,L2744-M2744,"")</f>
        <v/>
      </c>
      <c r="O2744" s="34" t="n">
        <v>0.00041886</v>
      </c>
      <c r="P2744" s="34">
        <f>IF($J2744=1,LN(1+O2744),"")</f>
        <v/>
      </c>
      <c r="Q2744" s="34">
        <f>IF($J2744=1,LN(R2745/R2744),"")</f>
        <v/>
      </c>
      <c r="R2744" s="32" t="n">
        <v>3.0924</v>
      </c>
      <c r="S2744" s="35" t="n">
        <v>8.762</v>
      </c>
      <c r="T2744" s="18" t="n">
        <v>68684.49000000001</v>
      </c>
      <c r="U2744" s="18" t="n"/>
      <c r="V2744" s="18" t="n"/>
      <c r="W2744" s="18" t="n"/>
      <c r="X2744" s="35" t="n"/>
      <c r="Y2744" s="35" t="n">
        <v>8.762</v>
      </c>
    </row>
    <row r="2745">
      <c r="A2745" s="25" t="n">
        <v>42872</v>
      </c>
      <c r="B2745" s="18" t="n">
        <v>67540.25</v>
      </c>
      <c r="C2745" s="31" t="n"/>
      <c r="D2745" s="32" t="n"/>
      <c r="E2745" s="33" t="n">
        <v>0.5105</v>
      </c>
      <c r="F2745" t="inlineStr">
        <is>
          <t>Up</t>
        </is>
      </c>
      <c r="G2745" t="inlineStr">
        <is>
          <t>Down</t>
        </is>
      </c>
      <c r="H2745" t="inlineStr">
        <is>
          <t>EU_JD</t>
        </is>
      </c>
      <c r="I2745" t="inlineStr">
        <is>
          <t>2017-05</t>
        </is>
      </c>
      <c r="J2745" t="n">
        <v>1</v>
      </c>
      <c r="K2745" t="n">
        <v>1</v>
      </c>
      <c r="L2745" s="34">
        <f>IF($J2745=1,LN(B2746/B2745),"")</f>
        <v/>
      </c>
      <c r="M2745" s="34">
        <f>IF($K2745=1,INDEX(Mensal!$D$2:$D$245,MATCH($I2745,Mensal!$A$2:$A$245,0)),"")</f>
        <v/>
      </c>
      <c r="N2745" s="34">
        <f>IF($K2745=1,L2745-M2745,"")</f>
        <v/>
      </c>
      <c r="O2745" s="34" t="n">
        <v>0.00041886</v>
      </c>
      <c r="P2745" s="34">
        <f>IF($J2745=1,LN(1+O2745),"")</f>
        <v/>
      </c>
      <c r="Q2745" s="34">
        <f>IF($J2745=1,LN(R2746/R2745),"")</f>
        <v/>
      </c>
      <c r="R2745" s="32" t="n">
        <v>3.1076</v>
      </c>
      <c r="S2745" s="35" t="n">
        <v>8.769</v>
      </c>
      <c r="T2745" s="18" t="n">
        <v>67540.25</v>
      </c>
      <c r="U2745" s="18" t="n"/>
      <c r="V2745" s="18" t="n"/>
      <c r="W2745" s="18" t="n"/>
      <c r="X2745" s="35" t="n"/>
      <c r="Y2745" s="35" t="n">
        <v>8.769</v>
      </c>
    </row>
    <row r="2746">
      <c r="A2746" s="25" t="n">
        <v>42873</v>
      </c>
      <c r="B2746" s="18" t="n">
        <v>61597.05</v>
      </c>
      <c r="C2746" s="31" t="n"/>
      <c r="D2746" s="32" t="n"/>
      <c r="E2746" s="33" t="n">
        <v>0.4378</v>
      </c>
      <c r="F2746" t="inlineStr">
        <is>
          <t>Up</t>
        </is>
      </c>
      <c r="G2746" t="inlineStr">
        <is>
          <t>Down</t>
        </is>
      </c>
      <c r="H2746" t="inlineStr">
        <is>
          <t>EU_JD</t>
        </is>
      </c>
      <c r="I2746" t="inlineStr">
        <is>
          <t>2017-05</t>
        </is>
      </c>
      <c r="J2746" t="n">
        <v>1</v>
      </c>
      <c r="K2746" t="n">
        <v>1</v>
      </c>
      <c r="L2746" s="34">
        <f>IF($J2746=1,LN(B2747/B2746),"")</f>
        <v/>
      </c>
      <c r="M2746" s="34">
        <f>IF($K2746=1,INDEX(Mensal!$D$2:$D$245,MATCH($I2746,Mensal!$A$2:$A$245,0)),"")</f>
        <v/>
      </c>
      <c r="N2746" s="34">
        <f>IF($K2746=1,L2746-M2746,"")</f>
        <v/>
      </c>
      <c r="O2746" s="34" t="n">
        <v>0.00041886</v>
      </c>
      <c r="P2746" s="34">
        <f>IF($J2746=1,LN(1+O2746),"")</f>
        <v/>
      </c>
      <c r="Q2746" s="34">
        <f>IF($J2746=1,LN(R2747/R2746),"")</f>
        <v/>
      </c>
      <c r="R2746" s="32" t="n">
        <v>3.3807</v>
      </c>
      <c r="S2746" s="35" t="n">
        <v>10.093</v>
      </c>
      <c r="T2746" s="18" t="n">
        <v>61597.05</v>
      </c>
      <c r="U2746" s="18" t="n"/>
      <c r="V2746" s="18" t="n"/>
      <c r="W2746" s="18" t="n"/>
      <c r="X2746" s="35" t="n"/>
      <c r="Y2746" s="35" t="n">
        <v>10.093</v>
      </c>
    </row>
    <row r="2747">
      <c r="A2747" s="25" t="n">
        <v>42874</v>
      </c>
      <c r="B2747" s="18" t="n">
        <v>62639.3</v>
      </c>
      <c r="C2747" s="31" t="n"/>
      <c r="D2747" s="32" t="n"/>
      <c r="E2747" s="33" t="n">
        <v>0.3648</v>
      </c>
      <c r="F2747" t="inlineStr">
        <is>
          <t>Up</t>
        </is>
      </c>
      <c r="G2747" t="inlineStr">
        <is>
          <t>Down</t>
        </is>
      </c>
      <c r="H2747" t="inlineStr">
        <is>
          <t>EU_JD</t>
        </is>
      </c>
      <c r="I2747" t="inlineStr">
        <is>
          <t>2017-05</t>
        </is>
      </c>
      <c r="J2747" t="n">
        <v>1</v>
      </c>
      <c r="K2747" t="n">
        <v>1</v>
      </c>
      <c r="L2747" s="34">
        <f>IF($J2747=1,LN(B2748/B2747),"")</f>
        <v/>
      </c>
      <c r="M2747" s="34">
        <f>IF($K2747=1,INDEX(Mensal!$D$2:$D$245,MATCH($I2747,Mensal!$A$2:$A$245,0)),"")</f>
        <v/>
      </c>
      <c r="N2747" s="34">
        <f>IF($K2747=1,L2747-M2747,"")</f>
        <v/>
      </c>
      <c r="O2747" s="34" t="n">
        <v>0.00041886</v>
      </c>
      <c r="P2747" s="34">
        <f>IF($J2747=1,LN(1+O2747),"")</f>
        <v/>
      </c>
      <c r="Q2747" s="34">
        <f>IF($J2747=1,LN(R2748/R2747),"")</f>
        <v/>
      </c>
      <c r="R2747" s="32" t="n">
        <v>3.2878</v>
      </c>
      <c r="S2747" s="35" t="n">
        <v>9.630000000000001</v>
      </c>
      <c r="T2747" s="18" t="n">
        <v>62639.3</v>
      </c>
      <c r="U2747" s="18" t="n"/>
      <c r="V2747" s="18" t="n"/>
      <c r="W2747" s="18" t="n"/>
      <c r="X2747" s="35" t="n"/>
      <c r="Y2747" s="35" t="n">
        <v>9.630000000000001</v>
      </c>
    </row>
    <row r="2748">
      <c r="A2748" s="25" t="n">
        <v>42877</v>
      </c>
      <c r="B2748" s="18" t="n">
        <v>61673.49</v>
      </c>
      <c r="C2748" s="31" t="n"/>
      <c r="D2748" s="32" t="n"/>
      <c r="E2748" s="33" t="n">
        <v>0.2991</v>
      </c>
      <c r="F2748" t="inlineStr">
        <is>
          <t>Up</t>
        </is>
      </c>
      <c r="G2748" t="inlineStr">
        <is>
          <t>Down</t>
        </is>
      </c>
      <c r="H2748" t="inlineStr">
        <is>
          <t>EU_JD</t>
        </is>
      </c>
      <c r="I2748" t="inlineStr">
        <is>
          <t>2017-05</t>
        </is>
      </c>
      <c r="J2748" t="n">
        <v>1</v>
      </c>
      <c r="K2748" t="n">
        <v>1</v>
      </c>
      <c r="L2748" s="34">
        <f>IF($J2748=1,LN(B2749/B2748),"")</f>
        <v/>
      </c>
      <c r="M2748" s="34">
        <f>IF($K2748=1,INDEX(Mensal!$D$2:$D$245,MATCH($I2748,Mensal!$A$2:$A$245,0)),"")</f>
        <v/>
      </c>
      <c r="N2748" s="34">
        <f>IF($K2748=1,L2748-M2748,"")</f>
        <v/>
      </c>
      <c r="O2748" s="34" t="n">
        <v>0.00041886</v>
      </c>
      <c r="P2748" s="34">
        <f>IF($J2748=1,LN(1+O2748),"")</f>
        <v/>
      </c>
      <c r="Q2748" s="34">
        <f>IF($J2748=1,LN(R2749/R2748),"")</f>
        <v/>
      </c>
      <c r="R2748" s="32" t="n">
        <v>3.2863</v>
      </c>
      <c r="S2748" s="35" t="n">
        <v>9.762</v>
      </c>
      <c r="T2748" s="18" t="n">
        <v>61673.49</v>
      </c>
      <c r="U2748" s="18" t="n"/>
      <c r="V2748" s="18" t="n"/>
      <c r="W2748" s="18" t="n"/>
      <c r="X2748" s="35" t="n"/>
      <c r="Y2748" s="35" t="n">
        <v>9.762</v>
      </c>
    </row>
    <row r="2749">
      <c r="A2749" s="25" t="n">
        <v>42878</v>
      </c>
      <c r="B2749" s="18" t="n">
        <v>62662.48</v>
      </c>
      <c r="C2749" s="31" t="n"/>
      <c r="D2749" s="32" t="n"/>
      <c r="E2749" s="33" t="n">
        <v>0.233</v>
      </c>
      <c r="F2749" t="inlineStr">
        <is>
          <t>Up</t>
        </is>
      </c>
      <c r="G2749" t="inlineStr">
        <is>
          <t>Down</t>
        </is>
      </c>
      <c r="H2749" t="inlineStr">
        <is>
          <t>EU_JD</t>
        </is>
      </c>
      <c r="I2749" t="inlineStr">
        <is>
          <t>2017-05</t>
        </is>
      </c>
      <c r="J2749" t="n">
        <v>1</v>
      </c>
      <c r="K2749" t="n">
        <v>1</v>
      </c>
      <c r="L2749" s="34">
        <f>IF($J2749=1,LN(B2750/B2749),"")</f>
        <v/>
      </c>
      <c r="M2749" s="34">
        <f>IF($K2749=1,INDEX(Mensal!$D$2:$D$245,MATCH($I2749,Mensal!$A$2:$A$245,0)),"")</f>
        <v/>
      </c>
      <c r="N2749" s="34">
        <f>IF($K2749=1,L2749-M2749,"")</f>
        <v/>
      </c>
      <c r="O2749" s="34" t="n">
        <v>0.00041886</v>
      </c>
      <c r="P2749" s="34">
        <f>IF($J2749=1,LN(1+O2749),"")</f>
        <v/>
      </c>
      <c r="Q2749" s="34">
        <f>IF($J2749=1,LN(R2750/R2749),"")</f>
        <v/>
      </c>
      <c r="R2749" s="32" t="n">
        <v>3.2654</v>
      </c>
      <c r="S2749" s="35" t="n">
        <v>9.542999999999999</v>
      </c>
      <c r="T2749" s="18" t="n">
        <v>62662.48</v>
      </c>
      <c r="U2749" s="18" t="n"/>
      <c r="V2749" s="18" t="n"/>
      <c r="W2749" s="18" t="n"/>
      <c r="X2749" s="35" t="n"/>
      <c r="Y2749" s="35" t="n">
        <v>9.542999999999999</v>
      </c>
    </row>
    <row r="2750">
      <c r="A2750" s="25" t="n">
        <v>42879</v>
      </c>
      <c r="B2750" s="18" t="n">
        <v>63257.35</v>
      </c>
      <c r="C2750" s="31" t="n"/>
      <c r="D2750" s="32" t="n"/>
      <c r="E2750" s="33" t="n">
        <v>0.1614</v>
      </c>
      <c r="F2750" t="inlineStr">
        <is>
          <t>Up</t>
        </is>
      </c>
      <c r="G2750" t="inlineStr">
        <is>
          <t>Down</t>
        </is>
      </c>
      <c r="H2750" t="inlineStr">
        <is>
          <t>EU_JD</t>
        </is>
      </c>
      <c r="I2750" t="inlineStr">
        <is>
          <t>2017-05</t>
        </is>
      </c>
      <c r="J2750" t="n">
        <v>1</v>
      </c>
      <c r="K2750" t="n">
        <v>1</v>
      </c>
      <c r="L2750" s="34">
        <f>IF($J2750=1,LN(B2751/B2750),"")</f>
        <v/>
      </c>
      <c r="M2750" s="34">
        <f>IF($K2750=1,INDEX(Mensal!$D$2:$D$245,MATCH($I2750,Mensal!$A$2:$A$245,0)),"")</f>
        <v/>
      </c>
      <c r="N2750" s="34">
        <f>IF($K2750=1,L2750-M2750,"")</f>
        <v/>
      </c>
      <c r="O2750" s="34" t="n">
        <v>0.00041886</v>
      </c>
      <c r="P2750" s="34">
        <f>IF($J2750=1,LN(1+O2750),"")</f>
        <v/>
      </c>
      <c r="Q2750" s="34">
        <f>IF($J2750=1,LN(R2751/R2750),"")</f>
        <v/>
      </c>
      <c r="R2750" s="32" t="n">
        <v>3.2629</v>
      </c>
      <c r="S2750" s="35" t="n">
        <v>9.446999999999999</v>
      </c>
      <c r="T2750" s="18" t="n">
        <v>63257.35</v>
      </c>
      <c r="U2750" s="18" t="n"/>
      <c r="V2750" s="18" t="n"/>
      <c r="W2750" s="18" t="n"/>
      <c r="X2750" s="35" t="n"/>
      <c r="Y2750" s="35" t="n">
        <v>9.446999999999999</v>
      </c>
    </row>
    <row r="2751">
      <c r="A2751" s="25" t="n">
        <v>42880</v>
      </c>
      <c r="B2751" s="18" t="n">
        <v>63226.78</v>
      </c>
      <c r="C2751" s="31" t="n"/>
      <c r="D2751" s="32" t="n"/>
      <c r="E2751" s="33" t="n">
        <v>0.1013</v>
      </c>
      <c r="F2751" t="inlineStr">
        <is>
          <t>Up</t>
        </is>
      </c>
      <c r="G2751" t="inlineStr">
        <is>
          <t>Down</t>
        </is>
      </c>
      <c r="H2751" t="inlineStr">
        <is>
          <t>EU_JD</t>
        </is>
      </c>
      <c r="I2751" t="inlineStr">
        <is>
          <t>2017-05</t>
        </is>
      </c>
      <c r="J2751" t="n">
        <v>1</v>
      </c>
      <c r="K2751" t="n">
        <v>1</v>
      </c>
      <c r="L2751" s="34">
        <f>IF($J2751=1,LN(B2752/B2751),"")</f>
        <v/>
      </c>
      <c r="M2751" s="34">
        <f>IF($K2751=1,INDEX(Mensal!$D$2:$D$245,MATCH($I2751,Mensal!$A$2:$A$245,0)),"")</f>
        <v/>
      </c>
      <c r="N2751" s="34">
        <f>IF($K2751=1,L2751-M2751,"")</f>
        <v/>
      </c>
      <c r="O2751" s="34" t="n">
        <v>0.00041886</v>
      </c>
      <c r="P2751" s="34">
        <f>IF($J2751=1,LN(1+O2751),"")</f>
        <v/>
      </c>
      <c r="Q2751" s="34">
        <f>IF($J2751=1,LN(R2752/R2751),"")</f>
        <v/>
      </c>
      <c r="R2751" s="32" t="n">
        <v>3.2824</v>
      </c>
      <c r="S2751" s="35" t="n">
        <v>9.429</v>
      </c>
      <c r="T2751" s="18" t="n">
        <v>63226.78</v>
      </c>
      <c r="U2751" s="18" t="n"/>
      <c r="V2751" s="18" t="n"/>
      <c r="W2751" s="18" t="n"/>
      <c r="X2751" s="35" t="n"/>
      <c r="Y2751" s="35" t="n">
        <v>9.429</v>
      </c>
    </row>
    <row r="2752">
      <c r="A2752" s="25" t="n">
        <v>42881</v>
      </c>
      <c r="B2752" s="18" t="n">
        <v>64085.41</v>
      </c>
      <c r="C2752" s="31" t="n"/>
      <c r="D2752" s="32" t="n"/>
      <c r="E2752" s="33" t="n">
        <v>0.0437</v>
      </c>
      <c r="F2752" t="inlineStr">
        <is>
          <t>Up</t>
        </is>
      </c>
      <c r="G2752" t="inlineStr">
        <is>
          <t>Down</t>
        </is>
      </c>
      <c r="H2752" t="inlineStr">
        <is>
          <t>EU_JD</t>
        </is>
      </c>
      <c r="I2752" t="inlineStr">
        <is>
          <t>2017-05</t>
        </is>
      </c>
      <c r="J2752" t="n">
        <v>1</v>
      </c>
      <c r="K2752" t="n">
        <v>1</v>
      </c>
      <c r="L2752" s="34">
        <f>IF($J2752=1,LN(B2753/B2752),"")</f>
        <v/>
      </c>
      <c r="M2752" s="34">
        <f>IF($K2752=1,INDEX(Mensal!$D$2:$D$245,MATCH($I2752,Mensal!$A$2:$A$245,0)),"")</f>
        <v/>
      </c>
      <c r="N2752" s="34">
        <f>IF($K2752=1,L2752-M2752,"")</f>
        <v/>
      </c>
      <c r="O2752" s="34" t="n">
        <v>0.00041886</v>
      </c>
      <c r="P2752" s="34">
        <f>IF($J2752=1,LN(1+O2752),"")</f>
        <v/>
      </c>
      <c r="Q2752" s="34">
        <f>IF($J2752=1,LN(R2753/R2752),"")</f>
        <v/>
      </c>
      <c r="R2752" s="32" t="n">
        <v>3.2614</v>
      </c>
      <c r="S2752" s="35" t="n">
        <v>9.217000000000001</v>
      </c>
      <c r="T2752" s="18" t="n">
        <v>64085.41</v>
      </c>
      <c r="U2752" s="18" t="n"/>
      <c r="V2752" s="18" t="n"/>
      <c r="W2752" s="18" t="n"/>
      <c r="X2752" s="35" t="n"/>
      <c r="Y2752" s="35" t="n">
        <v>9.217000000000001</v>
      </c>
    </row>
    <row r="2753">
      <c r="A2753" s="25" t="n">
        <v>42884</v>
      </c>
      <c r="B2753" s="18" t="n">
        <v>63760.94</v>
      </c>
      <c r="C2753" s="31" t="n"/>
      <c r="D2753" s="32" t="n"/>
      <c r="E2753" s="33" t="n">
        <v>-0.012</v>
      </c>
      <c r="F2753" t="inlineStr">
        <is>
          <t>Up</t>
        </is>
      </c>
      <c r="G2753" t="inlineStr">
        <is>
          <t>Down</t>
        </is>
      </c>
      <c r="H2753" t="inlineStr">
        <is>
          <t>EU_JD</t>
        </is>
      </c>
      <c r="I2753" t="inlineStr">
        <is>
          <t>2017-05</t>
        </is>
      </c>
      <c r="J2753" t="n">
        <v>1</v>
      </c>
      <c r="K2753" t="n">
        <v>1</v>
      </c>
      <c r="L2753" s="34">
        <f>IF($J2753=1,LN(B2754/B2753),"")</f>
        <v/>
      </c>
      <c r="M2753" s="34">
        <f>IF($K2753=1,INDEX(Mensal!$D$2:$D$245,MATCH($I2753,Mensal!$A$2:$A$245,0)),"")</f>
        <v/>
      </c>
      <c r="N2753" s="34">
        <f>IF($K2753=1,L2753-M2753,"")</f>
        <v/>
      </c>
      <c r="O2753" s="34" t="n">
        <v>0.00041886</v>
      </c>
      <c r="P2753" s="34">
        <f>IF($J2753=1,LN(1+O2753),"")</f>
        <v/>
      </c>
      <c r="Q2753" s="34">
        <f>IF($J2753=1,LN(R2754/R2753),"")</f>
        <v/>
      </c>
      <c r="R2753" s="32" t="n">
        <v>3.2709</v>
      </c>
      <c r="S2753" s="35" t="n">
        <v>9.116</v>
      </c>
      <c r="T2753" s="18" t="n">
        <v>63760.94</v>
      </c>
      <c r="U2753" s="18" t="n"/>
      <c r="V2753" s="18" t="n"/>
      <c r="W2753" s="18" t="n"/>
      <c r="X2753" s="35" t="n"/>
      <c r="Y2753" s="35" t="n">
        <v>9.116</v>
      </c>
    </row>
    <row r="2754">
      <c r="A2754" s="25" t="n">
        <v>42885</v>
      </c>
      <c r="B2754" s="18" t="n">
        <v>63962.26</v>
      </c>
      <c r="C2754" s="31" t="n"/>
      <c r="D2754" s="32" t="n"/>
      <c r="E2754" s="33" t="n">
        <v>-0.07149999999999999</v>
      </c>
      <c r="F2754" t="inlineStr">
        <is>
          <t>Up</t>
        </is>
      </c>
      <c r="G2754" t="inlineStr">
        <is>
          <t>Down</t>
        </is>
      </c>
      <c r="H2754" t="inlineStr">
        <is>
          <t>EU_JD</t>
        </is>
      </c>
      <c r="I2754" t="inlineStr">
        <is>
          <t>2017-05</t>
        </is>
      </c>
      <c r="J2754" t="n">
        <v>1</v>
      </c>
      <c r="K2754" t="n">
        <v>1</v>
      </c>
      <c r="L2754" s="34">
        <f>IF($J2754=1,LN(B2755/B2754),"")</f>
        <v/>
      </c>
      <c r="M2754" s="34">
        <f>IF($K2754=1,INDEX(Mensal!$D$2:$D$245,MATCH($I2754,Mensal!$A$2:$A$245,0)),"")</f>
        <v/>
      </c>
      <c r="N2754" s="34">
        <f>IF($K2754=1,L2754-M2754,"")</f>
        <v/>
      </c>
      <c r="O2754" s="34" t="n">
        <v>0.00041886</v>
      </c>
      <c r="P2754" s="34">
        <f>IF($J2754=1,LN(1+O2754),"")</f>
        <v/>
      </c>
      <c r="Q2754" s="34">
        <f>IF($J2754=1,LN(R2755/R2754),"")</f>
        <v/>
      </c>
      <c r="R2754" s="32" t="n">
        <v>3.2659</v>
      </c>
      <c r="S2754" s="35" t="n">
        <v>9.208</v>
      </c>
      <c r="T2754" s="18" t="n">
        <v>63962.26</v>
      </c>
      <c r="U2754" s="18" t="n"/>
      <c r="V2754" s="18" t="n"/>
      <c r="W2754" s="18" t="n"/>
      <c r="X2754" s="35" t="n"/>
      <c r="Y2754" s="35" t="n">
        <v>9.208</v>
      </c>
    </row>
    <row r="2755">
      <c r="A2755" s="25" t="n">
        <v>42886</v>
      </c>
      <c r="B2755" s="18" t="n">
        <v>62711.47</v>
      </c>
      <c r="C2755" s="31" t="n"/>
      <c r="D2755" s="32" t="n"/>
      <c r="E2755" s="33" t="n">
        <v>-0.1075</v>
      </c>
      <c r="F2755" t="inlineStr">
        <is>
          <t>Up</t>
        </is>
      </c>
      <c r="G2755" t="inlineStr">
        <is>
          <t>Down</t>
        </is>
      </c>
      <c r="H2755" t="inlineStr">
        <is>
          <t>EU_JD</t>
        </is>
      </c>
      <c r="I2755" t="inlineStr">
        <is>
          <t>2017-05</t>
        </is>
      </c>
      <c r="J2755" t="n">
        <v>1</v>
      </c>
      <c r="K2755" t="n">
        <v>1</v>
      </c>
      <c r="L2755" s="34">
        <f>IF($J2755=1,LN(B2756/B2755),"")</f>
        <v/>
      </c>
      <c r="M2755" s="34">
        <f>IF($K2755=1,INDEX(Mensal!$D$2:$D$245,MATCH($I2755,Mensal!$A$2:$A$245,0)),"")</f>
        <v/>
      </c>
      <c r="N2755" s="34">
        <f>IF($K2755=1,L2755-M2755,"")</f>
        <v/>
      </c>
      <c r="O2755" s="34" t="n">
        <v>0.00041886</v>
      </c>
      <c r="P2755" s="34">
        <f>IF($J2755=1,LN(1+O2755),"")</f>
        <v/>
      </c>
      <c r="Q2755" s="34">
        <f>IF($J2755=1,LN(R2756/R2755),"")</f>
        <v/>
      </c>
      <c r="R2755" s="32" t="n">
        <v>3.2437</v>
      </c>
      <c r="S2755" s="35" t="n">
        <v>9.147</v>
      </c>
      <c r="T2755" s="18" t="n">
        <v>62711.47</v>
      </c>
      <c r="U2755" s="18" t="n"/>
      <c r="V2755" s="18" t="n"/>
      <c r="W2755" s="18" t="n"/>
      <c r="X2755" s="35" t="n"/>
      <c r="Y2755" s="35" t="n">
        <v>9.147</v>
      </c>
    </row>
    <row r="2756">
      <c r="A2756" s="25" t="n">
        <v>42887</v>
      </c>
      <c r="B2756" s="18" t="n">
        <v>62288.52</v>
      </c>
      <c r="C2756" s="31" t="n"/>
      <c r="D2756" s="32" t="n"/>
      <c r="E2756" s="33" t="n">
        <v>-0.134</v>
      </c>
      <c r="F2756" t="inlineStr">
        <is>
          <t>Up</t>
        </is>
      </c>
      <c r="G2756" t="inlineStr">
        <is>
          <t>Down</t>
        </is>
      </c>
      <c r="H2756" t="inlineStr">
        <is>
          <t>EU_JD</t>
        </is>
      </c>
      <c r="I2756" t="inlineStr">
        <is>
          <t>2017-06</t>
        </is>
      </c>
      <c r="J2756" t="n">
        <v>1</v>
      </c>
      <c r="K2756" t="n">
        <v>1</v>
      </c>
      <c r="L2756" s="34">
        <f>IF($J2756=1,LN(B2757/B2756),"")</f>
        <v/>
      </c>
      <c r="M2756" s="34">
        <f>IF($K2756=1,INDEX(Mensal!$D$2:$D$245,MATCH($I2756,Mensal!$A$2:$A$245,0)),"")</f>
        <v/>
      </c>
      <c r="N2756" s="34">
        <f>IF($K2756=1,L2756-M2756,"")</f>
        <v/>
      </c>
      <c r="O2756" s="34" t="n">
        <v>0.00038334</v>
      </c>
      <c r="P2756" s="34">
        <f>IF($J2756=1,LN(1+O2756),"")</f>
        <v/>
      </c>
      <c r="Q2756" s="34">
        <f>IF($J2756=1,LN(R2757/R2756),"")</f>
        <v/>
      </c>
      <c r="R2756" s="32" t="n">
        <v>3.2307</v>
      </c>
      <c r="S2756" s="35" t="n">
        <v>9.308999999999999</v>
      </c>
      <c r="T2756" s="18" t="n">
        <v>62288.52</v>
      </c>
      <c r="U2756" s="18" t="n"/>
      <c r="V2756" s="18" t="n"/>
      <c r="W2756" s="18" t="n"/>
      <c r="X2756" s="35" t="n"/>
      <c r="Y2756" s="35" t="n">
        <v>9.308999999999999</v>
      </c>
    </row>
    <row r="2757">
      <c r="A2757" s="25" t="n">
        <v>42888</v>
      </c>
      <c r="B2757" s="18" t="n">
        <v>62510.69</v>
      </c>
      <c r="C2757" s="31" t="n"/>
      <c r="D2757" s="32" t="n"/>
      <c r="E2757" s="33" t="n">
        <v>-0.1485</v>
      </c>
      <c r="F2757" t="inlineStr">
        <is>
          <t>Up</t>
        </is>
      </c>
      <c r="G2757" t="inlineStr">
        <is>
          <t>Down</t>
        </is>
      </c>
      <c r="H2757" t="inlineStr">
        <is>
          <t>EU_JD</t>
        </is>
      </c>
      <c r="I2757" t="inlineStr">
        <is>
          <t>2017-06</t>
        </is>
      </c>
      <c r="J2757" t="n">
        <v>1</v>
      </c>
      <c r="K2757" t="n">
        <v>1</v>
      </c>
      <c r="L2757" s="34">
        <f>IF($J2757=1,LN(B2758/B2757),"")</f>
        <v/>
      </c>
      <c r="M2757" s="34">
        <f>IF($K2757=1,INDEX(Mensal!$D$2:$D$245,MATCH($I2757,Mensal!$A$2:$A$245,0)),"")</f>
        <v/>
      </c>
      <c r="N2757" s="34">
        <f>IF($K2757=1,L2757-M2757,"")</f>
        <v/>
      </c>
      <c r="O2757" s="34" t="n">
        <v>0.00038334</v>
      </c>
      <c r="P2757" s="34">
        <f>IF($J2757=1,LN(1+O2757),"")</f>
        <v/>
      </c>
      <c r="Q2757" s="34">
        <f>IF($J2757=1,LN(R2758/R2757),"")</f>
        <v/>
      </c>
      <c r="R2757" s="32" t="n">
        <v>3.2401</v>
      </c>
      <c r="S2757" s="35" t="n">
        <v>9.332000000000001</v>
      </c>
      <c r="T2757" s="18" t="n">
        <v>62510.69</v>
      </c>
      <c r="U2757" s="18" t="n"/>
      <c r="V2757" s="18" t="n"/>
      <c r="W2757" s="18" t="n"/>
      <c r="X2757" s="35" t="n"/>
      <c r="Y2757" s="35" t="n">
        <v>9.332000000000001</v>
      </c>
    </row>
    <row r="2758">
      <c r="A2758" s="25" t="n">
        <v>42891</v>
      </c>
      <c r="B2758" s="18" t="n">
        <v>62450.45</v>
      </c>
      <c r="C2758" s="31" t="n"/>
      <c r="D2758" s="32" t="n"/>
      <c r="E2758" s="33" t="n">
        <v>-0.1541</v>
      </c>
      <c r="F2758" t="inlineStr">
        <is>
          <t>Up</t>
        </is>
      </c>
      <c r="G2758" t="inlineStr">
        <is>
          <t>Down</t>
        </is>
      </c>
      <c r="H2758" t="inlineStr">
        <is>
          <t>EU_JD</t>
        </is>
      </c>
      <c r="I2758" t="inlineStr">
        <is>
          <t>2017-06</t>
        </is>
      </c>
      <c r="J2758" t="n">
        <v>1</v>
      </c>
      <c r="K2758" t="n">
        <v>1</v>
      </c>
      <c r="L2758" s="34">
        <f>IF($J2758=1,LN(B2759/B2758),"")</f>
        <v/>
      </c>
      <c r="M2758" s="34">
        <f>IF($K2758=1,INDEX(Mensal!$D$2:$D$245,MATCH($I2758,Mensal!$A$2:$A$245,0)),"")</f>
        <v/>
      </c>
      <c r="N2758" s="34">
        <f>IF($K2758=1,L2758-M2758,"")</f>
        <v/>
      </c>
      <c r="O2758" s="34" t="n">
        <v>0.00038334</v>
      </c>
      <c r="P2758" s="34">
        <f>IF($J2758=1,LN(1+O2758),"")</f>
        <v/>
      </c>
      <c r="Q2758" s="34">
        <f>IF($J2758=1,LN(R2759/R2758),"")</f>
        <v/>
      </c>
      <c r="R2758" s="32" t="n">
        <v>3.282</v>
      </c>
      <c r="S2758" s="35" t="n">
        <v>9.355</v>
      </c>
      <c r="T2758" s="18" t="n">
        <v>62450.45</v>
      </c>
      <c r="U2758" s="18" t="n"/>
      <c r="V2758" s="18" t="n"/>
      <c r="W2758" s="18" t="n"/>
      <c r="X2758" s="35" t="n"/>
      <c r="Y2758" s="35" t="n">
        <v>9.355</v>
      </c>
    </row>
    <row r="2759">
      <c r="A2759" s="25" t="n">
        <v>42892</v>
      </c>
      <c r="B2759" s="18" t="n">
        <v>62954.69</v>
      </c>
      <c r="C2759" s="31" t="n"/>
      <c r="D2759" s="32" t="n"/>
      <c r="E2759" s="33" t="n">
        <v>-0.1601</v>
      </c>
      <c r="F2759" t="inlineStr">
        <is>
          <t>Up</t>
        </is>
      </c>
      <c r="G2759" t="inlineStr">
        <is>
          <t>Down</t>
        </is>
      </c>
      <c r="H2759" t="inlineStr">
        <is>
          <t>EU_JD</t>
        </is>
      </c>
      <c r="I2759" t="inlineStr">
        <is>
          <t>2017-06</t>
        </is>
      </c>
      <c r="J2759" t="n">
        <v>1</v>
      </c>
      <c r="K2759" t="n">
        <v>1</v>
      </c>
      <c r="L2759" s="34">
        <f>IF($J2759=1,LN(B2760/B2759),"")</f>
        <v/>
      </c>
      <c r="M2759" s="34">
        <f>IF($K2759=1,INDEX(Mensal!$D$2:$D$245,MATCH($I2759,Mensal!$A$2:$A$245,0)),"")</f>
        <v/>
      </c>
      <c r="N2759" s="34">
        <f>IF($K2759=1,L2759-M2759,"")</f>
        <v/>
      </c>
      <c r="O2759" s="34" t="n">
        <v>0.00038334</v>
      </c>
      <c r="P2759" s="34">
        <f>IF($J2759=1,LN(1+O2759),"")</f>
        <v/>
      </c>
      <c r="Q2759" s="34">
        <f>IF($J2759=1,LN(R2760/R2759),"")</f>
        <v/>
      </c>
      <c r="R2759" s="32" t="n">
        <v>3.2817</v>
      </c>
      <c r="S2759" s="35" t="n">
        <v>9.222</v>
      </c>
      <c r="T2759" s="18" t="n">
        <v>62954.69</v>
      </c>
      <c r="U2759" s="18" t="n"/>
      <c r="V2759" s="18" t="n"/>
      <c r="W2759" s="18" t="n"/>
      <c r="X2759" s="35" t="n"/>
      <c r="Y2759" s="35" t="n">
        <v>9.222</v>
      </c>
    </row>
    <row r="2760">
      <c r="A2760" s="25" t="n">
        <v>42893</v>
      </c>
      <c r="B2760" s="18" t="n">
        <v>63170.73</v>
      </c>
      <c r="C2760" s="31" t="n"/>
      <c r="D2760" s="32" t="n"/>
      <c r="E2760" s="33" t="n">
        <v>-0.1682</v>
      </c>
      <c r="F2760" t="inlineStr">
        <is>
          <t>Up</t>
        </is>
      </c>
      <c r="G2760" t="inlineStr">
        <is>
          <t>Down</t>
        </is>
      </c>
      <c r="H2760" t="inlineStr">
        <is>
          <t>EU_JD</t>
        </is>
      </c>
      <c r="I2760" t="inlineStr">
        <is>
          <t>2017-06</t>
        </is>
      </c>
      <c r="J2760" t="n">
        <v>1</v>
      </c>
      <c r="K2760" t="n">
        <v>1</v>
      </c>
      <c r="L2760" s="34">
        <f>IF($J2760=1,LN(B2761/B2760),"")</f>
        <v/>
      </c>
      <c r="M2760" s="34">
        <f>IF($K2760=1,INDEX(Mensal!$D$2:$D$245,MATCH($I2760,Mensal!$A$2:$A$245,0)),"")</f>
        <v/>
      </c>
      <c r="N2760" s="34">
        <f>IF($K2760=1,L2760-M2760,"")</f>
        <v/>
      </c>
      <c r="O2760" s="34" t="n">
        <v>0.00038334</v>
      </c>
      <c r="P2760" s="34">
        <f>IF($J2760=1,LN(1+O2760),"")</f>
        <v/>
      </c>
      <c r="Q2760" s="34">
        <f>IF($J2760=1,LN(R2761/R2760),"")</f>
        <v/>
      </c>
      <c r="R2760" s="32" t="n">
        <v>3.2747</v>
      </c>
      <c r="S2760" s="35" t="n">
        <v>9.206</v>
      </c>
      <c r="T2760" s="18" t="n">
        <v>63170.73</v>
      </c>
      <c r="U2760" s="18" t="n"/>
      <c r="V2760" s="18" t="n"/>
      <c r="W2760" s="18" t="n"/>
      <c r="X2760" s="35" t="n"/>
      <c r="Y2760" s="35" t="n">
        <v>9.206</v>
      </c>
    </row>
    <row r="2761">
      <c r="A2761" s="25" t="n">
        <v>42894</v>
      </c>
      <c r="B2761" s="18" t="n">
        <v>62755.57</v>
      </c>
      <c r="C2761" s="31" t="n"/>
      <c r="D2761" s="32" t="n"/>
      <c r="E2761" s="33" t="n">
        <v>-0.1721</v>
      </c>
      <c r="F2761" t="inlineStr">
        <is>
          <t>Up</t>
        </is>
      </c>
      <c r="G2761" t="inlineStr">
        <is>
          <t>Down</t>
        </is>
      </c>
      <c r="H2761" t="inlineStr">
        <is>
          <t>EU_JD</t>
        </is>
      </c>
      <c r="I2761" t="inlineStr">
        <is>
          <t>2017-06</t>
        </is>
      </c>
      <c r="J2761" t="n">
        <v>1</v>
      </c>
      <c r="K2761" t="n">
        <v>1</v>
      </c>
      <c r="L2761" s="34">
        <f>IF($J2761=1,LN(B2762/B2761),"")</f>
        <v/>
      </c>
      <c r="M2761" s="34">
        <f>IF($K2761=1,INDEX(Mensal!$D$2:$D$245,MATCH($I2761,Mensal!$A$2:$A$245,0)),"")</f>
        <v/>
      </c>
      <c r="N2761" s="34">
        <f>IF($K2761=1,L2761-M2761,"")</f>
        <v/>
      </c>
      <c r="O2761" s="34" t="n">
        <v>0.00038334</v>
      </c>
      <c r="P2761" s="34">
        <f>IF($J2761=1,LN(1+O2761),"")</f>
        <v/>
      </c>
      <c r="Q2761" s="34">
        <f>IF($J2761=1,LN(R2762/R2761),"")</f>
        <v/>
      </c>
      <c r="R2761" s="32" t="n">
        <v>3.2838</v>
      </c>
      <c r="S2761" s="35" t="n">
        <v>9.206</v>
      </c>
      <c r="T2761" s="18" t="n">
        <v>62755.57</v>
      </c>
      <c r="U2761" s="18" t="n"/>
      <c r="V2761" s="18" t="n"/>
      <c r="W2761" s="18" t="n"/>
      <c r="X2761" s="35" t="n"/>
      <c r="Y2761" s="35" t="n">
        <v>9.206</v>
      </c>
    </row>
    <row r="2762">
      <c r="A2762" s="25" t="n">
        <v>42895</v>
      </c>
      <c r="B2762" s="18" t="n">
        <v>62210.55</v>
      </c>
      <c r="C2762" s="31" t="n"/>
      <c r="D2762" s="32" t="n"/>
      <c r="E2762" s="33" t="n">
        <v>-0.1529</v>
      </c>
      <c r="F2762" t="inlineStr">
        <is>
          <t>Up</t>
        </is>
      </c>
      <c r="G2762" t="inlineStr">
        <is>
          <t>Down</t>
        </is>
      </c>
      <c r="H2762" t="inlineStr">
        <is>
          <t>EU_JD</t>
        </is>
      </c>
      <c r="I2762" t="inlineStr">
        <is>
          <t>2017-06</t>
        </is>
      </c>
      <c r="J2762" t="n">
        <v>1</v>
      </c>
      <c r="K2762" t="n">
        <v>1</v>
      </c>
      <c r="L2762" s="34">
        <f>IF($J2762=1,LN(B2763/B2762),"")</f>
        <v/>
      </c>
      <c r="M2762" s="34">
        <f>IF($K2762=1,INDEX(Mensal!$D$2:$D$245,MATCH($I2762,Mensal!$A$2:$A$245,0)),"")</f>
        <v/>
      </c>
      <c r="N2762" s="34">
        <f>IF($K2762=1,L2762-M2762,"")</f>
        <v/>
      </c>
      <c r="O2762" s="34" t="n">
        <v>0.00038334</v>
      </c>
      <c r="P2762" s="34">
        <f>IF($J2762=1,LN(1+O2762),"")</f>
        <v/>
      </c>
      <c r="Q2762" s="34">
        <f>IF($J2762=1,LN(R2763/R2762),"")</f>
        <v/>
      </c>
      <c r="R2762" s="32" t="n">
        <v>3.274</v>
      </c>
      <c r="S2762" s="35" t="n">
        <v>9.034000000000001</v>
      </c>
      <c r="T2762" s="18" t="n">
        <v>62210.55</v>
      </c>
      <c r="U2762" s="18" t="n"/>
      <c r="V2762" s="18" t="n"/>
      <c r="W2762" s="18" t="n"/>
      <c r="X2762" s="35" t="n"/>
      <c r="Y2762" s="35" t="n">
        <v>9.034000000000001</v>
      </c>
    </row>
    <row r="2763">
      <c r="A2763" s="25" t="n">
        <v>42898</v>
      </c>
      <c r="B2763" s="18" t="n">
        <v>61700.23</v>
      </c>
      <c r="C2763" s="31" t="n"/>
      <c r="D2763" s="32" t="n"/>
      <c r="E2763" s="33" t="n">
        <v>-0.1302</v>
      </c>
      <c r="F2763" t="inlineStr">
        <is>
          <t>Up</t>
        </is>
      </c>
      <c r="G2763" t="inlineStr">
        <is>
          <t>Down</t>
        </is>
      </c>
      <c r="H2763" t="inlineStr">
        <is>
          <t>EU_JD</t>
        </is>
      </c>
      <c r="I2763" t="inlineStr">
        <is>
          <t>2017-06</t>
        </is>
      </c>
      <c r="J2763" t="n">
        <v>1</v>
      </c>
      <c r="K2763" t="n">
        <v>1</v>
      </c>
      <c r="L2763" s="34">
        <f>IF($J2763=1,LN(B2764/B2763),"")</f>
        <v/>
      </c>
      <c r="M2763" s="34">
        <f>IF($K2763=1,INDEX(Mensal!$D$2:$D$245,MATCH($I2763,Mensal!$A$2:$A$245,0)),"")</f>
        <v/>
      </c>
      <c r="N2763" s="34">
        <f>IF($K2763=1,L2763-M2763,"")</f>
        <v/>
      </c>
      <c r="O2763" s="34" t="n">
        <v>0.00038334</v>
      </c>
      <c r="P2763" s="34">
        <f>IF($J2763=1,LN(1+O2763),"")</f>
        <v/>
      </c>
      <c r="Q2763" s="34">
        <f>IF($J2763=1,LN(R2764/R2763),"")</f>
        <v/>
      </c>
      <c r="R2763" s="32" t="n">
        <v>3.2986</v>
      </c>
      <c r="S2763" s="35" t="n">
        <v>9.02</v>
      </c>
      <c r="T2763" s="18" t="n">
        <v>61700.23</v>
      </c>
      <c r="U2763" s="18" t="n"/>
      <c r="V2763" s="18" t="n"/>
      <c r="W2763" s="18" t="n"/>
      <c r="X2763" s="35" t="n"/>
      <c r="Y2763" s="35" t="n">
        <v>9.02</v>
      </c>
    </row>
    <row r="2764">
      <c r="A2764" s="25" t="n">
        <v>42899</v>
      </c>
      <c r="B2764" s="18" t="n">
        <v>61828.99</v>
      </c>
      <c r="C2764" s="31" t="n"/>
      <c r="D2764" s="32" t="n"/>
      <c r="E2764" s="33" t="n">
        <v>-0.1108</v>
      </c>
      <c r="F2764" t="inlineStr">
        <is>
          <t>Up</t>
        </is>
      </c>
      <c r="G2764" t="inlineStr">
        <is>
          <t>Down</t>
        </is>
      </c>
      <c r="H2764" t="inlineStr">
        <is>
          <t>EU_JD</t>
        </is>
      </c>
      <c r="I2764" t="inlineStr">
        <is>
          <t>2017-06</t>
        </is>
      </c>
      <c r="J2764" t="n">
        <v>1</v>
      </c>
      <c r="K2764" t="n">
        <v>1</v>
      </c>
      <c r="L2764" s="34">
        <f>IF($J2764=1,LN(B2765/B2764),"")</f>
        <v/>
      </c>
      <c r="M2764" s="34">
        <f>IF($K2764=1,INDEX(Mensal!$D$2:$D$245,MATCH($I2764,Mensal!$A$2:$A$245,0)),"")</f>
        <v/>
      </c>
      <c r="N2764" s="34">
        <f>IF($K2764=1,L2764-M2764,"")</f>
        <v/>
      </c>
      <c r="O2764" s="34" t="n">
        <v>0.00038334</v>
      </c>
      <c r="P2764" s="34">
        <f>IF($J2764=1,LN(1+O2764),"")</f>
        <v/>
      </c>
      <c r="Q2764" s="34">
        <f>IF($J2764=1,LN(R2765/R2764),"")</f>
        <v/>
      </c>
      <c r="R2764" s="32" t="n">
        <v>3.3208</v>
      </c>
      <c r="S2764" s="35" t="n">
        <v>9.058999999999999</v>
      </c>
      <c r="T2764" s="18" t="n">
        <v>61828.99</v>
      </c>
      <c r="U2764" s="18" t="n"/>
      <c r="V2764" s="18" t="n"/>
      <c r="W2764" s="18" t="n"/>
      <c r="X2764" s="35" t="n"/>
      <c r="Y2764" s="35" t="n">
        <v>9.058999999999999</v>
      </c>
    </row>
    <row r="2765">
      <c r="A2765" s="25" t="n">
        <v>42900</v>
      </c>
      <c r="B2765" s="18" t="n">
        <v>61922.92</v>
      </c>
      <c r="C2765" s="31" t="n"/>
      <c r="D2765" s="32" t="n"/>
      <c r="E2765" s="33" t="n">
        <v>-0.083</v>
      </c>
      <c r="F2765" t="inlineStr">
        <is>
          <t>Up</t>
        </is>
      </c>
      <c r="G2765" t="inlineStr">
        <is>
          <t>Down</t>
        </is>
      </c>
      <c r="H2765" t="inlineStr">
        <is>
          <t>EU_JD</t>
        </is>
      </c>
      <c r="I2765" t="inlineStr">
        <is>
          <t>2017-06</t>
        </is>
      </c>
      <c r="J2765" t="n">
        <v>1</v>
      </c>
      <c r="K2765" t="n">
        <v>1</v>
      </c>
      <c r="L2765" s="34">
        <f>IF($J2765=1,LN(B2766/B2765),"")</f>
        <v/>
      </c>
      <c r="M2765" s="34">
        <f>IF($K2765=1,INDEX(Mensal!$D$2:$D$245,MATCH($I2765,Mensal!$A$2:$A$245,0)),"")</f>
        <v/>
      </c>
      <c r="N2765" s="34">
        <f>IF($K2765=1,L2765-M2765,"")</f>
        <v/>
      </c>
      <c r="O2765" s="34" t="n">
        <v>0.00038334</v>
      </c>
      <c r="P2765" s="34">
        <f>IF($J2765=1,LN(1+O2765),"")</f>
        <v/>
      </c>
      <c r="Q2765" s="34">
        <f>IF($J2765=1,LN(R2766/R2765),"")</f>
        <v/>
      </c>
      <c r="R2765" s="32" t="n">
        <v>3.2836</v>
      </c>
      <c r="S2765" s="35" t="n">
        <v>9.039999999999999</v>
      </c>
      <c r="T2765" s="18" t="n">
        <v>61922.92</v>
      </c>
      <c r="U2765" s="18" t="n"/>
      <c r="V2765" s="18" t="n"/>
      <c r="W2765" s="18" t="n"/>
      <c r="X2765" s="35" t="n"/>
      <c r="Y2765" s="35" t="n">
        <v>9.039999999999999</v>
      </c>
    </row>
    <row r="2766">
      <c r="A2766" s="25" t="n">
        <v>42902</v>
      </c>
      <c r="B2766" s="18" t="n">
        <v>61626.41</v>
      </c>
      <c r="C2766" s="31" t="n"/>
      <c r="D2766" s="32" t="n"/>
      <c r="E2766" s="33" t="n">
        <v>-0.0553</v>
      </c>
      <c r="F2766" t="inlineStr">
        <is>
          <t>Up</t>
        </is>
      </c>
      <c r="G2766" t="inlineStr">
        <is>
          <t>Down</t>
        </is>
      </c>
      <c r="H2766" t="inlineStr">
        <is>
          <t>EU_JD</t>
        </is>
      </c>
      <c r="I2766" t="inlineStr">
        <is>
          <t>2017-06</t>
        </is>
      </c>
      <c r="J2766" t="n">
        <v>1</v>
      </c>
      <c r="K2766" t="n">
        <v>1</v>
      </c>
      <c r="L2766" s="34">
        <f>IF($J2766=1,LN(B2767/B2766),"")</f>
        <v/>
      </c>
      <c r="M2766" s="34">
        <f>IF($K2766=1,INDEX(Mensal!$D$2:$D$245,MATCH($I2766,Mensal!$A$2:$A$245,0)),"")</f>
        <v/>
      </c>
      <c r="N2766" s="34">
        <f>IF($K2766=1,L2766-M2766,"")</f>
        <v/>
      </c>
      <c r="O2766" s="34" t="n">
        <v>0.00038334</v>
      </c>
      <c r="P2766" s="34">
        <f>IF($J2766=1,LN(1+O2766),"")</f>
        <v/>
      </c>
      <c r="Q2766" s="34">
        <f>IF($J2766=1,LN(R2767/R2766),"")</f>
        <v/>
      </c>
      <c r="R2766" s="32" t="n">
        <v>3.2892</v>
      </c>
      <c r="S2766" s="35" t="n">
        <v>8.962</v>
      </c>
      <c r="T2766" s="18" t="n">
        <v>61626.41</v>
      </c>
      <c r="U2766" s="18" t="n"/>
      <c r="V2766" s="18" t="n"/>
      <c r="W2766" s="18" t="n"/>
      <c r="X2766" s="35" t="n"/>
      <c r="Y2766" s="35" t="n">
        <v>8.962</v>
      </c>
    </row>
    <row r="2767">
      <c r="A2767" s="25" t="n">
        <v>42905</v>
      </c>
      <c r="B2767" s="18" t="n">
        <v>62014.03</v>
      </c>
      <c r="C2767" s="31" t="n"/>
      <c r="D2767" s="32" t="n"/>
      <c r="E2767" s="33" t="n">
        <v>-0.0126</v>
      </c>
      <c r="F2767" t="inlineStr">
        <is>
          <t>Up</t>
        </is>
      </c>
      <c r="G2767" t="inlineStr">
        <is>
          <t>Down</t>
        </is>
      </c>
      <c r="H2767" t="inlineStr">
        <is>
          <t>EU_JD</t>
        </is>
      </c>
      <c r="I2767" t="inlineStr">
        <is>
          <t>2017-06</t>
        </is>
      </c>
      <c r="J2767" t="n">
        <v>1</v>
      </c>
      <c r="K2767" t="n">
        <v>1</v>
      </c>
      <c r="L2767" s="34">
        <f>IF($J2767=1,LN(B2768/B2767),"")</f>
        <v/>
      </c>
      <c r="M2767" s="34">
        <f>IF($K2767=1,INDEX(Mensal!$D$2:$D$245,MATCH($I2767,Mensal!$A$2:$A$245,0)),"")</f>
        <v/>
      </c>
      <c r="N2767" s="34">
        <f>IF($K2767=1,L2767-M2767,"")</f>
        <v/>
      </c>
      <c r="O2767" s="34" t="n">
        <v>0.00038334</v>
      </c>
      <c r="P2767" s="34">
        <f>IF($J2767=1,LN(1+O2767),"")</f>
        <v/>
      </c>
      <c r="Q2767" s="34">
        <f>IF($J2767=1,LN(R2768/R2767),"")</f>
        <v/>
      </c>
      <c r="R2767" s="32" t="n">
        <v>3.2975</v>
      </c>
      <c r="S2767" s="35" t="n">
        <v>8.872999999999999</v>
      </c>
      <c r="T2767" s="18" t="n">
        <v>62014.03</v>
      </c>
      <c r="U2767" s="18" t="n"/>
      <c r="V2767" s="18" t="n"/>
      <c r="W2767" s="18" t="n"/>
      <c r="X2767" s="35" t="n"/>
      <c r="Y2767" s="35" t="n">
        <v>8.872999999999999</v>
      </c>
    </row>
    <row r="2768">
      <c r="A2768" s="25" t="n">
        <v>42906</v>
      </c>
      <c r="B2768" s="18" t="n">
        <v>60766.15</v>
      </c>
      <c r="C2768" s="31" t="n"/>
      <c r="D2768" s="32" t="n"/>
      <c r="E2768" s="33" t="n">
        <v>0.0303</v>
      </c>
      <c r="F2768" t="inlineStr">
        <is>
          <t>Up</t>
        </is>
      </c>
      <c r="G2768" t="inlineStr">
        <is>
          <t>Down</t>
        </is>
      </c>
      <c r="H2768" t="inlineStr">
        <is>
          <t>EU_JD</t>
        </is>
      </c>
      <c r="I2768" t="inlineStr">
        <is>
          <t>2017-06</t>
        </is>
      </c>
      <c r="J2768" t="n">
        <v>1</v>
      </c>
      <c r="K2768" t="n">
        <v>1</v>
      </c>
      <c r="L2768" s="34">
        <f>IF($J2768=1,LN(B2769/B2768),"")</f>
        <v/>
      </c>
      <c r="M2768" s="34">
        <f>IF($K2768=1,INDEX(Mensal!$D$2:$D$245,MATCH($I2768,Mensal!$A$2:$A$245,0)),"")</f>
        <v/>
      </c>
      <c r="N2768" s="34">
        <f>IF($K2768=1,L2768-M2768,"")</f>
        <v/>
      </c>
      <c r="O2768" s="34" t="n">
        <v>0.00038334</v>
      </c>
      <c r="P2768" s="34">
        <f>IF($J2768=1,LN(1+O2768),"")</f>
        <v/>
      </c>
      <c r="Q2768" s="34">
        <f>IF($J2768=1,LN(R2769/R2768),"")</f>
        <v/>
      </c>
      <c r="R2768" s="32" t="n">
        <v>3.3145</v>
      </c>
      <c r="S2768" s="35" t="n">
        <v>8.930999999999999</v>
      </c>
      <c r="T2768" s="18" t="n">
        <v>60766.15</v>
      </c>
      <c r="U2768" s="18" t="n"/>
      <c r="V2768" s="18" t="n"/>
      <c r="W2768" s="18" t="n"/>
      <c r="X2768" s="35" t="n"/>
      <c r="Y2768" s="35" t="n">
        <v>8.930999999999999</v>
      </c>
    </row>
    <row r="2769">
      <c r="A2769" s="25" t="n">
        <v>42907</v>
      </c>
      <c r="B2769" s="18" t="n">
        <v>60761.74</v>
      </c>
      <c r="C2769" s="31" t="n"/>
      <c r="D2769" s="32" t="n"/>
      <c r="E2769" s="33" t="n">
        <v>0.062</v>
      </c>
      <c r="F2769" t="inlineStr">
        <is>
          <t>Up</t>
        </is>
      </c>
      <c r="G2769" t="inlineStr">
        <is>
          <t>Down</t>
        </is>
      </c>
      <c r="H2769" t="inlineStr">
        <is>
          <t>EU_JD</t>
        </is>
      </c>
      <c r="I2769" t="inlineStr">
        <is>
          <t>2017-06</t>
        </is>
      </c>
      <c r="J2769" t="n">
        <v>1</v>
      </c>
      <c r="K2769" t="n">
        <v>1</v>
      </c>
      <c r="L2769" s="34">
        <f>IF($J2769=1,LN(B2770/B2769),"")</f>
        <v/>
      </c>
      <c r="M2769" s="34">
        <f>IF($K2769=1,INDEX(Mensal!$D$2:$D$245,MATCH($I2769,Mensal!$A$2:$A$245,0)),"")</f>
        <v/>
      </c>
      <c r="N2769" s="34">
        <f>IF($K2769=1,L2769-M2769,"")</f>
        <v/>
      </c>
      <c r="O2769" s="34" t="n">
        <v>0.00038334</v>
      </c>
      <c r="P2769" s="34">
        <f>IF($J2769=1,LN(1+O2769),"")</f>
        <v/>
      </c>
      <c r="Q2769" s="34">
        <f>IF($J2769=1,LN(R2770/R2769),"")</f>
        <v/>
      </c>
      <c r="R2769" s="32" t="n">
        <v>3.3247</v>
      </c>
      <c r="S2769" s="35" t="n">
        <v>8.865</v>
      </c>
      <c r="T2769" s="18" t="n">
        <v>60761.74</v>
      </c>
      <c r="U2769" s="18" t="n"/>
      <c r="V2769" s="18" t="n"/>
      <c r="W2769" s="18" t="n"/>
      <c r="X2769" s="35" t="n"/>
      <c r="Y2769" s="35" t="n">
        <v>8.865</v>
      </c>
    </row>
    <row r="2770">
      <c r="A2770" s="25" t="n">
        <v>42908</v>
      </c>
      <c r="B2770" s="18" t="n">
        <v>61272.21</v>
      </c>
      <c r="C2770" s="31" t="n"/>
      <c r="D2770" s="32" t="n"/>
      <c r="E2770" s="33" t="n">
        <v>0.0939</v>
      </c>
      <c r="F2770" t="inlineStr">
        <is>
          <t>Up</t>
        </is>
      </c>
      <c r="G2770" t="inlineStr">
        <is>
          <t>Down</t>
        </is>
      </c>
      <c r="H2770" t="inlineStr">
        <is>
          <t>EU_JD</t>
        </is>
      </c>
      <c r="I2770" t="inlineStr">
        <is>
          <t>2017-06</t>
        </is>
      </c>
      <c r="J2770" t="n">
        <v>1</v>
      </c>
      <c r="K2770" t="n">
        <v>1</v>
      </c>
      <c r="L2770" s="34">
        <f>IF($J2770=1,LN(B2771/B2770),"")</f>
        <v/>
      </c>
      <c r="M2770" s="34">
        <f>IF($K2770=1,INDEX(Mensal!$D$2:$D$245,MATCH($I2770,Mensal!$A$2:$A$245,0)),"")</f>
        <v/>
      </c>
      <c r="N2770" s="34">
        <f>IF($K2770=1,L2770-M2770,"")</f>
        <v/>
      </c>
      <c r="O2770" s="34" t="n">
        <v>0.00038334</v>
      </c>
      <c r="P2770" s="34">
        <f>IF($J2770=1,LN(1+O2770),"")</f>
        <v/>
      </c>
      <c r="Q2770" s="34">
        <f>IF($J2770=1,LN(R2771/R2770),"")</f>
        <v/>
      </c>
      <c r="R2770" s="32" t="n">
        <v>3.3362</v>
      </c>
      <c r="S2770" s="35" t="n">
        <v>8.843</v>
      </c>
      <c r="T2770" s="18" t="n">
        <v>61272.21</v>
      </c>
      <c r="U2770" s="18" t="n"/>
      <c r="V2770" s="18" t="n"/>
      <c r="W2770" s="18" t="n"/>
      <c r="X2770" s="35" t="n"/>
      <c r="Y2770" s="35" t="n">
        <v>8.843</v>
      </c>
    </row>
    <row r="2771">
      <c r="A2771" s="25" t="n">
        <v>42909</v>
      </c>
      <c r="B2771" s="18" t="n">
        <v>61087.13</v>
      </c>
      <c r="C2771" s="31" t="n"/>
      <c r="D2771" s="32" t="n"/>
      <c r="E2771" s="33" t="n">
        <v>0.1205</v>
      </c>
      <c r="F2771" t="inlineStr">
        <is>
          <t>Up</t>
        </is>
      </c>
      <c r="G2771" t="inlineStr">
        <is>
          <t>Down</t>
        </is>
      </c>
      <c r="H2771" t="inlineStr">
        <is>
          <t>EU_JD</t>
        </is>
      </c>
      <c r="I2771" t="inlineStr">
        <is>
          <t>2017-06</t>
        </is>
      </c>
      <c r="J2771" t="n">
        <v>1</v>
      </c>
      <c r="K2771" t="n">
        <v>1</v>
      </c>
      <c r="L2771" s="34">
        <f>IF($J2771=1,LN(B2772/B2771),"")</f>
        <v/>
      </c>
      <c r="M2771" s="34">
        <f>IF($K2771=1,INDEX(Mensal!$D$2:$D$245,MATCH($I2771,Mensal!$A$2:$A$245,0)),"")</f>
        <v/>
      </c>
      <c r="N2771" s="34">
        <f>IF($K2771=1,L2771-M2771,"")</f>
        <v/>
      </c>
      <c r="O2771" s="34" t="n">
        <v>0.00038334</v>
      </c>
      <c r="P2771" s="34">
        <f>IF($J2771=1,LN(1+O2771),"")</f>
        <v/>
      </c>
      <c r="Q2771" s="34">
        <f>IF($J2771=1,LN(R2772/R2771),"")</f>
        <v/>
      </c>
      <c r="R2771" s="32" t="n">
        <v>3.3342</v>
      </c>
      <c r="S2771" s="35" t="n">
        <v>8.853</v>
      </c>
      <c r="T2771" s="18" t="n">
        <v>61087.13</v>
      </c>
      <c r="U2771" s="18" t="n"/>
      <c r="V2771" s="18" t="n"/>
      <c r="W2771" s="18" t="n"/>
      <c r="X2771" s="35" t="n"/>
      <c r="Y2771" s="35" t="n">
        <v>8.853</v>
      </c>
    </row>
    <row r="2772">
      <c r="A2772" s="25" t="n">
        <v>42912</v>
      </c>
      <c r="B2772" s="18" t="n">
        <v>62188.08</v>
      </c>
      <c r="C2772" s="31" t="n"/>
      <c r="D2772" s="32" t="n"/>
      <c r="E2772" s="33" t="n">
        <v>0.1517</v>
      </c>
      <c r="F2772" t="inlineStr">
        <is>
          <t>Up</t>
        </is>
      </c>
      <c r="G2772" t="inlineStr">
        <is>
          <t>Down</t>
        </is>
      </c>
      <c r="H2772" t="inlineStr">
        <is>
          <t>EU_JD</t>
        </is>
      </c>
      <c r="I2772" t="inlineStr">
        <is>
          <t>2017-06</t>
        </is>
      </c>
      <c r="J2772" t="n">
        <v>1</v>
      </c>
      <c r="K2772" t="n">
        <v>1</v>
      </c>
      <c r="L2772" s="34">
        <f>IF($J2772=1,LN(B2773/B2772),"")</f>
        <v/>
      </c>
      <c r="M2772" s="34">
        <f>IF($K2772=1,INDEX(Mensal!$D$2:$D$245,MATCH($I2772,Mensal!$A$2:$A$245,0)),"")</f>
        <v/>
      </c>
      <c r="N2772" s="34">
        <f>IF($K2772=1,L2772-M2772,"")</f>
        <v/>
      </c>
      <c r="O2772" s="34" t="n">
        <v>0.00038334</v>
      </c>
      <c r="P2772" s="34">
        <f>IF($J2772=1,LN(1+O2772),"")</f>
        <v/>
      </c>
      <c r="Q2772" s="34">
        <f>IF($J2772=1,LN(R2773/R2772),"")</f>
        <v/>
      </c>
      <c r="R2772" s="32" t="n">
        <v>3.3128</v>
      </c>
      <c r="S2772" s="35" t="n">
        <v>8.819000000000001</v>
      </c>
      <c r="T2772" s="18" t="n">
        <v>62188.08</v>
      </c>
      <c r="U2772" s="18" t="n"/>
      <c r="V2772" s="18" t="n"/>
      <c r="W2772" s="18" t="n"/>
      <c r="X2772" s="35" t="n"/>
      <c r="Y2772" s="35" t="n">
        <v>8.819000000000001</v>
      </c>
    </row>
    <row r="2773">
      <c r="A2773" s="25" t="n">
        <v>42913</v>
      </c>
      <c r="B2773" s="18" t="n">
        <v>61675.46</v>
      </c>
      <c r="C2773" s="31" t="n"/>
      <c r="D2773" s="32" t="n"/>
      <c r="E2773" s="33" t="n">
        <v>0.1774</v>
      </c>
      <c r="F2773" t="inlineStr">
        <is>
          <t>Up</t>
        </is>
      </c>
      <c r="G2773" t="inlineStr">
        <is>
          <t>Down</t>
        </is>
      </c>
      <c r="H2773" t="inlineStr">
        <is>
          <t>EU_JD</t>
        </is>
      </c>
      <c r="I2773" t="inlineStr">
        <is>
          <t>2017-06</t>
        </is>
      </c>
      <c r="J2773" t="n">
        <v>1</v>
      </c>
      <c r="K2773" t="n">
        <v>1</v>
      </c>
      <c r="L2773" s="34">
        <f>IF($J2773=1,LN(B2774/B2773),"")</f>
        <v/>
      </c>
      <c r="M2773" s="34">
        <f>IF($K2773=1,INDEX(Mensal!$D$2:$D$245,MATCH($I2773,Mensal!$A$2:$A$245,0)),"")</f>
        <v/>
      </c>
      <c r="N2773" s="34">
        <f>IF($K2773=1,L2773-M2773,"")</f>
        <v/>
      </c>
      <c r="O2773" s="34" t="n">
        <v>0.00038334</v>
      </c>
      <c r="P2773" s="34">
        <f>IF($J2773=1,LN(1+O2773),"")</f>
        <v/>
      </c>
      <c r="Q2773" s="34">
        <f>IF($J2773=1,LN(R2774/R2773),"")</f>
        <v/>
      </c>
      <c r="R2773" s="32" t="n">
        <v>3.3172</v>
      </c>
      <c r="S2773" s="35" t="n">
        <v>8.849</v>
      </c>
      <c r="T2773" s="18" t="n">
        <v>61675.46</v>
      </c>
      <c r="U2773" s="18" t="n"/>
      <c r="V2773" s="18" t="n"/>
      <c r="W2773" s="18" t="n"/>
      <c r="X2773" s="35" t="n"/>
      <c r="Y2773" s="35" t="n">
        <v>8.849</v>
      </c>
    </row>
    <row r="2774">
      <c r="A2774" s="25" t="n">
        <v>42914</v>
      </c>
      <c r="B2774" s="18" t="n">
        <v>62017.97</v>
      </c>
      <c r="C2774" s="31" t="n"/>
      <c r="D2774" s="32" t="n"/>
      <c r="E2774" s="33" t="n">
        <v>0.2035</v>
      </c>
      <c r="F2774" t="inlineStr">
        <is>
          <t>Up</t>
        </is>
      </c>
      <c r="G2774" t="inlineStr">
        <is>
          <t>Down</t>
        </is>
      </c>
      <c r="H2774" t="inlineStr">
        <is>
          <t>EU_JD</t>
        </is>
      </c>
      <c r="I2774" t="inlineStr">
        <is>
          <t>2017-06</t>
        </is>
      </c>
      <c r="J2774" t="n">
        <v>1</v>
      </c>
      <c r="K2774" t="n">
        <v>1</v>
      </c>
      <c r="L2774" s="34">
        <f>IF($J2774=1,LN(B2775/B2774),"")</f>
        <v/>
      </c>
      <c r="M2774" s="34">
        <f>IF($K2774=1,INDEX(Mensal!$D$2:$D$245,MATCH($I2774,Mensal!$A$2:$A$245,0)),"")</f>
        <v/>
      </c>
      <c r="N2774" s="34">
        <f>IF($K2774=1,L2774-M2774,"")</f>
        <v/>
      </c>
      <c r="O2774" s="34" t="n">
        <v>0.00038334</v>
      </c>
      <c r="P2774" s="34">
        <f>IF($J2774=1,LN(1+O2774),"")</f>
        <v/>
      </c>
      <c r="Q2774" s="34">
        <f>IF($J2774=1,LN(R2775/R2774),"")</f>
        <v/>
      </c>
      <c r="R2774" s="32" t="n">
        <v>3.303</v>
      </c>
      <c r="S2774" s="35" t="n">
        <v>8.81</v>
      </c>
      <c r="T2774" s="18" t="n">
        <v>62017.97</v>
      </c>
      <c r="U2774" s="18" t="n"/>
      <c r="V2774" s="18" t="n"/>
      <c r="W2774" s="18" t="n"/>
      <c r="X2774" s="35" t="n"/>
      <c r="Y2774" s="35" t="n">
        <v>8.81</v>
      </c>
    </row>
    <row r="2775">
      <c r="A2775" s="25" t="n">
        <v>42915</v>
      </c>
      <c r="B2775" s="18" t="n">
        <v>62238.95</v>
      </c>
      <c r="C2775" s="31" t="n"/>
      <c r="D2775" s="32" t="n"/>
      <c r="E2775" s="33" t="n">
        <v>0.2203</v>
      </c>
      <c r="F2775" t="inlineStr">
        <is>
          <t>Up</t>
        </is>
      </c>
      <c r="G2775" t="inlineStr">
        <is>
          <t>Down</t>
        </is>
      </c>
      <c r="H2775" t="inlineStr">
        <is>
          <t>EU_JD</t>
        </is>
      </c>
      <c r="I2775" t="inlineStr">
        <is>
          <t>2017-06</t>
        </is>
      </c>
      <c r="J2775" t="n">
        <v>1</v>
      </c>
      <c r="K2775" t="n">
        <v>1</v>
      </c>
      <c r="L2775" s="34">
        <f>IF($J2775=1,LN(B2776/B2775),"")</f>
        <v/>
      </c>
      <c r="M2775" s="34">
        <f>IF($K2775=1,INDEX(Mensal!$D$2:$D$245,MATCH($I2775,Mensal!$A$2:$A$245,0)),"")</f>
        <v/>
      </c>
      <c r="N2775" s="34">
        <f>IF($K2775=1,L2775-M2775,"")</f>
        <v/>
      </c>
      <c r="O2775" s="34" t="n">
        <v>0.00038334</v>
      </c>
      <c r="P2775" s="34">
        <f>IF($J2775=1,LN(1+O2775),"")</f>
        <v/>
      </c>
      <c r="Q2775" s="34">
        <f>IF($J2775=1,LN(R2776/R2775),"")</f>
        <v/>
      </c>
      <c r="R2775" s="32" t="n">
        <v>3.2952</v>
      </c>
      <c r="S2775" s="35" t="n">
        <v>8.834</v>
      </c>
      <c r="T2775" s="18" t="n">
        <v>62238.95</v>
      </c>
      <c r="U2775" s="18" t="n"/>
      <c r="V2775" s="18" t="n"/>
      <c r="W2775" s="18" t="n"/>
      <c r="X2775" s="35" t="n"/>
      <c r="Y2775" s="35" t="n">
        <v>8.834</v>
      </c>
    </row>
    <row r="2776">
      <c r="A2776" s="25" t="n">
        <v>42916</v>
      </c>
      <c r="B2776" s="18" t="n">
        <v>62899.97</v>
      </c>
      <c r="C2776" s="31" t="n"/>
      <c r="D2776" s="32" t="n"/>
      <c r="E2776" s="33" t="n">
        <v>0.2365</v>
      </c>
      <c r="F2776" t="inlineStr">
        <is>
          <t>Up</t>
        </is>
      </c>
      <c r="G2776" t="inlineStr">
        <is>
          <t>Down</t>
        </is>
      </c>
      <c r="H2776" t="inlineStr">
        <is>
          <t>EU_JD</t>
        </is>
      </c>
      <c r="I2776" t="inlineStr">
        <is>
          <t>2017-06</t>
        </is>
      </c>
      <c r="J2776" t="n">
        <v>1</v>
      </c>
      <c r="K2776" t="n">
        <v>1</v>
      </c>
      <c r="L2776" s="34">
        <f>IF($J2776=1,LN(B2777/B2776),"")</f>
        <v/>
      </c>
      <c r="M2776" s="34">
        <f>IF($K2776=1,INDEX(Mensal!$D$2:$D$245,MATCH($I2776,Mensal!$A$2:$A$245,0)),"")</f>
        <v/>
      </c>
      <c r="N2776" s="34">
        <f>IF($K2776=1,L2776-M2776,"")</f>
        <v/>
      </c>
      <c r="O2776" s="34" t="n">
        <v>0.00038334</v>
      </c>
      <c r="P2776" s="34">
        <f>IF($J2776=1,LN(1+O2776),"")</f>
        <v/>
      </c>
      <c r="Q2776" s="34">
        <f>IF($J2776=1,LN(R2777/R2776),"")</f>
        <v/>
      </c>
      <c r="R2776" s="32" t="n">
        <v>3.3082</v>
      </c>
      <c r="S2776" s="35" t="n">
        <v>8.766</v>
      </c>
      <c r="T2776" s="18" t="n">
        <v>62899.97</v>
      </c>
      <c r="U2776" s="18" t="n"/>
      <c r="V2776" s="18" t="n"/>
      <c r="W2776" s="18" t="n"/>
      <c r="X2776" s="35" t="n"/>
      <c r="Y2776" s="35" t="n">
        <v>8.766</v>
      </c>
    </row>
    <row r="2777">
      <c r="A2777" s="25" t="n">
        <v>42919</v>
      </c>
      <c r="B2777" s="18" t="n">
        <v>63279.58</v>
      </c>
      <c r="C2777" s="31" t="n"/>
      <c r="D2777" s="32" t="n"/>
      <c r="E2777" s="33" t="n">
        <v>0.2429</v>
      </c>
      <c r="F2777" t="inlineStr">
        <is>
          <t>Up</t>
        </is>
      </c>
      <c r="G2777" t="inlineStr">
        <is>
          <t>Down</t>
        </is>
      </c>
      <c r="H2777" t="inlineStr">
        <is>
          <t>EU_JD</t>
        </is>
      </c>
      <c r="I2777" t="inlineStr">
        <is>
          <t>2017-07</t>
        </is>
      </c>
      <c r="J2777" t="n">
        <v>1</v>
      </c>
      <c r="K2777" t="n">
        <v>1</v>
      </c>
      <c r="L2777" s="34">
        <f>IF($J2777=1,LN(B2778/B2777),"")</f>
        <v/>
      </c>
      <c r="M2777" s="34">
        <f>IF($K2777=1,INDEX(Mensal!$D$2:$D$245,MATCH($I2777,Mensal!$A$2:$A$245,0)),"")</f>
        <v/>
      </c>
      <c r="N2777" s="34">
        <f>IF($K2777=1,L2777-M2777,"")</f>
        <v/>
      </c>
      <c r="O2777" s="34" t="n">
        <v>0.00038334</v>
      </c>
      <c r="P2777" s="34">
        <f>IF($J2777=1,LN(1+O2777),"")</f>
        <v/>
      </c>
      <c r="Q2777" s="34">
        <f>IF($J2777=1,LN(R2778/R2777),"")</f>
        <v/>
      </c>
      <c r="R2777" s="32" t="n">
        <v>3.3015</v>
      </c>
      <c r="S2777" s="35" t="n">
        <v>8.644</v>
      </c>
      <c r="T2777" s="18" t="n">
        <v>63279.58</v>
      </c>
      <c r="U2777" s="18" t="n"/>
      <c r="V2777" s="18" t="n"/>
      <c r="W2777" s="18" t="n"/>
      <c r="X2777" s="35" t="n"/>
      <c r="Y2777" s="35" t="n">
        <v>8.644</v>
      </c>
    </row>
    <row r="2778">
      <c r="A2778" s="25" t="n">
        <v>42920</v>
      </c>
      <c r="B2778" s="18" t="n">
        <v>63231.59</v>
      </c>
      <c r="C2778" s="31" t="n"/>
      <c r="D2778" s="32" t="n"/>
      <c r="E2778" s="33" t="n">
        <v>0.262</v>
      </c>
      <c r="F2778" t="inlineStr">
        <is>
          <t>Up</t>
        </is>
      </c>
      <c r="G2778" t="inlineStr">
        <is>
          <t>Down</t>
        </is>
      </c>
      <c r="H2778" t="inlineStr">
        <is>
          <t>EU_JD</t>
        </is>
      </c>
      <c r="I2778" t="inlineStr">
        <is>
          <t>2017-07</t>
        </is>
      </c>
      <c r="J2778" t="n">
        <v>1</v>
      </c>
      <c r="K2778" t="n">
        <v>1</v>
      </c>
      <c r="L2778" s="34">
        <f>IF($J2778=1,LN(B2779/B2778),"")</f>
        <v/>
      </c>
      <c r="M2778" s="34">
        <f>IF($K2778=1,INDEX(Mensal!$D$2:$D$245,MATCH($I2778,Mensal!$A$2:$A$245,0)),"")</f>
        <v/>
      </c>
      <c r="N2778" s="34">
        <f>IF($K2778=1,L2778-M2778,"")</f>
        <v/>
      </c>
      <c r="O2778" s="34" t="n">
        <v>0.00038334</v>
      </c>
      <c r="P2778" s="34">
        <f>IF($J2778=1,LN(1+O2778),"")</f>
        <v/>
      </c>
      <c r="Q2778" s="34">
        <f>IF($J2778=1,LN(R2779/R2778),"")</f>
        <v/>
      </c>
      <c r="R2778" s="32" t="n">
        <v>3.305</v>
      </c>
      <c r="S2778" s="35" t="n">
        <v>8.629</v>
      </c>
      <c r="T2778" s="18" t="n">
        <v>63231.59</v>
      </c>
      <c r="U2778" s="18" t="n"/>
      <c r="V2778" s="18" t="n"/>
      <c r="W2778" s="18" t="n"/>
      <c r="X2778" s="35" t="n"/>
      <c r="Y2778" s="35" t="n">
        <v>8.629</v>
      </c>
    </row>
    <row r="2779">
      <c r="A2779" s="25" t="n">
        <v>42921</v>
      </c>
      <c r="B2779" s="18" t="n">
        <v>63154.17</v>
      </c>
      <c r="C2779" s="31" t="n"/>
      <c r="D2779" s="32" t="n"/>
      <c r="E2779" s="33" t="n">
        <v>0.2627</v>
      </c>
      <c r="F2779" t="inlineStr">
        <is>
          <t>Up</t>
        </is>
      </c>
      <c r="G2779" t="inlineStr">
        <is>
          <t>Down</t>
        </is>
      </c>
      <c r="H2779" t="inlineStr">
        <is>
          <t>EU_JD</t>
        </is>
      </c>
      <c r="I2779" t="inlineStr">
        <is>
          <t>2017-07</t>
        </is>
      </c>
      <c r="J2779" t="n">
        <v>1</v>
      </c>
      <c r="K2779" t="n">
        <v>1</v>
      </c>
      <c r="L2779" s="34">
        <f>IF($J2779=1,LN(B2780/B2779),"")</f>
        <v/>
      </c>
      <c r="M2779" s="34">
        <f>IF($K2779=1,INDEX(Mensal!$D$2:$D$245,MATCH($I2779,Mensal!$A$2:$A$245,0)),"")</f>
        <v/>
      </c>
      <c r="N2779" s="34">
        <f>IF($K2779=1,L2779-M2779,"")</f>
        <v/>
      </c>
      <c r="O2779" s="34" t="n">
        <v>0.00038334</v>
      </c>
      <c r="P2779" s="34">
        <f>IF($J2779=1,LN(1+O2779),"")</f>
        <v/>
      </c>
      <c r="Q2779" s="34">
        <f>IF($J2779=1,LN(R2780/R2779),"")</f>
        <v/>
      </c>
      <c r="R2779" s="32" t="n">
        <v>3.3193</v>
      </c>
      <c r="S2779" s="35" t="n">
        <v>8.58</v>
      </c>
      <c r="T2779" s="18" t="n">
        <v>63154.17</v>
      </c>
      <c r="U2779" s="18" t="n"/>
      <c r="V2779" s="18" t="n"/>
      <c r="W2779" s="18" t="n"/>
      <c r="X2779" s="35" t="n"/>
      <c r="Y2779" s="35" t="n">
        <v>8.58</v>
      </c>
    </row>
    <row r="2780">
      <c r="A2780" s="25" t="n">
        <v>42922</v>
      </c>
      <c r="B2780" s="18" t="n">
        <v>62470.33</v>
      </c>
      <c r="C2780" s="31" t="n"/>
      <c r="D2780" s="32" t="n"/>
      <c r="E2780" s="33" t="n">
        <v>0.2583</v>
      </c>
      <c r="F2780" t="inlineStr">
        <is>
          <t>Up</t>
        </is>
      </c>
      <c r="G2780" t="inlineStr">
        <is>
          <t>Down</t>
        </is>
      </c>
      <c r="H2780" t="inlineStr">
        <is>
          <t>EU_JD</t>
        </is>
      </c>
      <c r="I2780" t="inlineStr">
        <is>
          <t>2017-07</t>
        </is>
      </c>
      <c r="J2780" t="n">
        <v>1</v>
      </c>
      <c r="K2780" t="n">
        <v>1</v>
      </c>
      <c r="L2780" s="34">
        <f>IF($J2780=1,LN(B2781/B2780),"")</f>
        <v/>
      </c>
      <c r="M2780" s="34">
        <f>IF($K2780=1,INDEX(Mensal!$D$2:$D$245,MATCH($I2780,Mensal!$A$2:$A$245,0)),"")</f>
        <v/>
      </c>
      <c r="N2780" s="34">
        <f>IF($K2780=1,L2780-M2780,"")</f>
        <v/>
      </c>
      <c r="O2780" s="34" t="n">
        <v>0.00038334</v>
      </c>
      <c r="P2780" s="34">
        <f>IF($J2780=1,LN(1+O2780),"")</f>
        <v/>
      </c>
      <c r="Q2780" s="34">
        <f>IF($J2780=1,LN(R2781/R2780),"")</f>
        <v/>
      </c>
      <c r="R2780" s="32" t="n">
        <v>3.3064</v>
      </c>
      <c r="S2780" s="35" t="n">
        <v>8.58</v>
      </c>
      <c r="T2780" s="18" t="n">
        <v>62470.33</v>
      </c>
      <c r="U2780" s="18" t="n"/>
      <c r="V2780" s="18" t="n"/>
      <c r="W2780" s="18" t="n"/>
      <c r="X2780" s="35" t="n"/>
      <c r="Y2780" s="35" t="n">
        <v>8.58</v>
      </c>
    </row>
    <row r="2781">
      <c r="A2781" s="25" t="n">
        <v>42923</v>
      </c>
      <c r="B2781" s="18" t="n">
        <v>62322.4</v>
      </c>
      <c r="C2781" s="31" t="n"/>
      <c r="D2781" s="32" t="n"/>
      <c r="E2781" s="33" t="n">
        <v>0.2639</v>
      </c>
      <c r="F2781" t="inlineStr">
        <is>
          <t>Up</t>
        </is>
      </c>
      <c r="G2781" t="inlineStr">
        <is>
          <t>Down</t>
        </is>
      </c>
      <c r="H2781" t="inlineStr">
        <is>
          <t>EU_JD</t>
        </is>
      </c>
      <c r="I2781" t="inlineStr">
        <is>
          <t>2017-07</t>
        </is>
      </c>
      <c r="J2781" t="n">
        <v>1</v>
      </c>
      <c r="K2781" t="n">
        <v>1</v>
      </c>
      <c r="L2781" s="34">
        <f>IF($J2781=1,LN(B2782/B2781),"")</f>
        <v/>
      </c>
      <c r="M2781" s="34">
        <f>IF($K2781=1,INDEX(Mensal!$D$2:$D$245,MATCH($I2781,Mensal!$A$2:$A$245,0)),"")</f>
        <v/>
      </c>
      <c r="N2781" s="34">
        <f>IF($K2781=1,L2781-M2781,"")</f>
        <v/>
      </c>
      <c r="O2781" s="34" t="n">
        <v>0.00038334</v>
      </c>
      <c r="P2781" s="34">
        <f>IF($J2781=1,LN(1+O2781),"")</f>
        <v/>
      </c>
      <c r="Q2781" s="34">
        <f>IF($J2781=1,LN(R2782/R2781),"")</f>
        <v/>
      </c>
      <c r="R2781" s="32" t="n">
        <v>3.2895</v>
      </c>
      <c r="S2781" s="35" t="n">
        <v>8.59</v>
      </c>
      <c r="T2781" s="18" t="n">
        <v>62322.4</v>
      </c>
      <c r="U2781" s="18" t="n"/>
      <c r="V2781" s="18" t="n"/>
      <c r="W2781" s="18" t="n"/>
      <c r="X2781" s="35" t="n"/>
      <c r="Y2781" s="35" t="n">
        <v>8.59</v>
      </c>
    </row>
    <row r="2782">
      <c r="A2782" s="25" t="n">
        <v>42926</v>
      </c>
      <c r="B2782" s="18" t="n">
        <v>63025.46</v>
      </c>
      <c r="C2782" s="31" t="n"/>
      <c r="D2782" s="32" t="n"/>
      <c r="E2782" s="33" t="n">
        <v>0.2653</v>
      </c>
      <c r="F2782" t="inlineStr">
        <is>
          <t>Up</t>
        </is>
      </c>
      <c r="G2782" t="inlineStr">
        <is>
          <t>Down</t>
        </is>
      </c>
      <c r="H2782" t="inlineStr">
        <is>
          <t>EU_JD</t>
        </is>
      </c>
      <c r="I2782" t="inlineStr">
        <is>
          <t>2017-07</t>
        </is>
      </c>
      <c r="J2782" t="n">
        <v>1</v>
      </c>
      <c r="K2782" t="n">
        <v>1</v>
      </c>
      <c r="L2782" s="34">
        <f>IF($J2782=1,LN(B2783/B2782),"")</f>
        <v/>
      </c>
      <c r="M2782" s="34">
        <f>IF($K2782=1,INDEX(Mensal!$D$2:$D$245,MATCH($I2782,Mensal!$A$2:$A$245,0)),"")</f>
        <v/>
      </c>
      <c r="N2782" s="34">
        <f>IF($K2782=1,L2782-M2782,"")</f>
        <v/>
      </c>
      <c r="O2782" s="34" t="n">
        <v>0.00038334</v>
      </c>
      <c r="P2782" s="34">
        <f>IF($J2782=1,LN(1+O2782),"")</f>
        <v/>
      </c>
      <c r="Q2782" s="34">
        <f>IF($J2782=1,LN(R2783/R2782),"")</f>
        <v/>
      </c>
      <c r="R2782" s="32" t="n">
        <v>3.265</v>
      </c>
      <c r="S2782" s="35" t="n">
        <v>8.574</v>
      </c>
      <c r="T2782" s="18" t="n">
        <v>63025.46</v>
      </c>
      <c r="U2782" s="18" t="n"/>
      <c r="V2782" s="18" t="n"/>
      <c r="W2782" s="18" t="n"/>
      <c r="X2782" s="35" t="n"/>
      <c r="Y2782" s="35" t="n">
        <v>8.574</v>
      </c>
    </row>
    <row r="2783">
      <c r="A2783" s="25" t="n">
        <v>42927</v>
      </c>
      <c r="B2783" s="18" t="n">
        <v>63832.15</v>
      </c>
      <c r="C2783" s="31" t="n"/>
      <c r="D2783" s="32" t="n"/>
      <c r="E2783" s="33" t="n">
        <v>0.267</v>
      </c>
      <c r="F2783" t="inlineStr">
        <is>
          <t>Up</t>
        </is>
      </c>
      <c r="G2783" t="inlineStr">
        <is>
          <t>Down</t>
        </is>
      </c>
      <c r="H2783" t="inlineStr">
        <is>
          <t>EU_JD</t>
        </is>
      </c>
      <c r="I2783" t="inlineStr">
        <is>
          <t>2017-07</t>
        </is>
      </c>
      <c r="J2783" t="n">
        <v>1</v>
      </c>
      <c r="K2783" t="n">
        <v>1</v>
      </c>
      <c r="L2783" s="34">
        <f>IF($J2783=1,LN(B2784/B2783),"")</f>
        <v/>
      </c>
      <c r="M2783" s="34">
        <f>IF($K2783=1,INDEX(Mensal!$D$2:$D$245,MATCH($I2783,Mensal!$A$2:$A$245,0)),"")</f>
        <v/>
      </c>
      <c r="N2783" s="34">
        <f>IF($K2783=1,L2783-M2783,"")</f>
        <v/>
      </c>
      <c r="O2783" s="34" t="n">
        <v>0.00038334</v>
      </c>
      <c r="P2783" s="34">
        <f>IF($J2783=1,LN(1+O2783),"")</f>
        <v/>
      </c>
      <c r="Q2783" s="34">
        <f>IF($J2783=1,LN(R2784/R2783),"")</f>
        <v/>
      </c>
      <c r="R2783" s="32" t="n">
        <v>3.2522</v>
      </c>
      <c r="S2783" s="35" t="n">
        <v>8.541</v>
      </c>
      <c r="T2783" s="18" t="n">
        <v>63832.15</v>
      </c>
      <c r="U2783" s="18" t="n"/>
      <c r="V2783" s="18" t="n"/>
      <c r="W2783" s="18" t="n"/>
      <c r="X2783" s="35" t="n"/>
      <c r="Y2783" s="35" t="n">
        <v>8.541</v>
      </c>
    </row>
    <row r="2784">
      <c r="A2784" s="25" t="n">
        <v>42928</v>
      </c>
      <c r="B2784" s="18" t="n">
        <v>64835.55</v>
      </c>
      <c r="C2784" s="31" t="n"/>
      <c r="D2784" s="32" t="n"/>
      <c r="E2784" s="33" t="n">
        <v>0.27</v>
      </c>
      <c r="F2784" t="inlineStr">
        <is>
          <t>Up</t>
        </is>
      </c>
      <c r="G2784" t="inlineStr">
        <is>
          <t>Down</t>
        </is>
      </c>
      <c r="H2784" t="inlineStr">
        <is>
          <t>EU_JD</t>
        </is>
      </c>
      <c r="I2784" t="inlineStr">
        <is>
          <t>2017-07</t>
        </is>
      </c>
      <c r="J2784" t="n">
        <v>1</v>
      </c>
      <c r="K2784" t="n">
        <v>1</v>
      </c>
      <c r="L2784" s="34">
        <f>IF($J2784=1,LN(B2785/B2784),"")</f>
        <v/>
      </c>
      <c r="M2784" s="34">
        <f>IF($K2784=1,INDEX(Mensal!$D$2:$D$245,MATCH($I2784,Mensal!$A$2:$A$245,0)),"")</f>
        <v/>
      </c>
      <c r="N2784" s="34">
        <f>IF($K2784=1,L2784-M2784,"")</f>
        <v/>
      </c>
      <c r="O2784" s="34" t="n">
        <v>0.00038334</v>
      </c>
      <c r="P2784" s="34">
        <f>IF($J2784=1,LN(1+O2784),"")</f>
        <v/>
      </c>
      <c r="Q2784" s="34">
        <f>IF($J2784=1,LN(R2785/R2784),"")</f>
        <v/>
      </c>
      <c r="R2784" s="32" t="n">
        <v>3.2264</v>
      </c>
      <c r="S2784" s="35" t="n">
        <v>8.486000000000001</v>
      </c>
      <c r="T2784" s="18" t="n">
        <v>64835.55</v>
      </c>
      <c r="U2784" s="18" t="n"/>
      <c r="V2784" s="18" t="n"/>
      <c r="W2784" s="18" t="n"/>
      <c r="X2784" s="35" t="n"/>
      <c r="Y2784" s="35" t="n">
        <v>8.486000000000001</v>
      </c>
    </row>
    <row r="2785">
      <c r="A2785" s="25" t="n">
        <v>42929</v>
      </c>
      <c r="B2785" s="18" t="n">
        <v>65178.34</v>
      </c>
      <c r="C2785" s="31" t="n"/>
      <c r="D2785" s="32" t="n"/>
      <c r="E2785" s="33" t="n">
        <v>0.2709</v>
      </c>
      <c r="F2785" t="inlineStr">
        <is>
          <t>Up</t>
        </is>
      </c>
      <c r="G2785" t="inlineStr">
        <is>
          <t>Down</t>
        </is>
      </c>
      <c r="H2785" t="inlineStr">
        <is>
          <t>EU_JD</t>
        </is>
      </c>
      <c r="I2785" t="inlineStr">
        <is>
          <t>2017-07</t>
        </is>
      </c>
      <c r="J2785" t="n">
        <v>1</v>
      </c>
      <c r="K2785" t="n">
        <v>1</v>
      </c>
      <c r="L2785" s="34">
        <f>IF($J2785=1,LN(B2786/B2785),"")</f>
        <v/>
      </c>
      <c r="M2785" s="34">
        <f>IF($K2785=1,INDEX(Mensal!$D$2:$D$245,MATCH($I2785,Mensal!$A$2:$A$245,0)),"")</f>
        <v/>
      </c>
      <c r="N2785" s="34">
        <f>IF($K2785=1,L2785-M2785,"")</f>
        <v/>
      </c>
      <c r="O2785" s="34" t="n">
        <v>0.00038334</v>
      </c>
      <c r="P2785" s="34">
        <f>IF($J2785=1,LN(1+O2785),"")</f>
        <v/>
      </c>
      <c r="Q2785" s="34">
        <f>IF($J2785=1,LN(R2786/R2785),"")</f>
        <v/>
      </c>
      <c r="R2785" s="32" t="n">
        <v>3.2108</v>
      </c>
      <c r="S2785" s="35" t="n">
        <v>8.481</v>
      </c>
      <c r="T2785" s="18" t="n">
        <v>65178.34</v>
      </c>
      <c r="U2785" s="18" t="n"/>
      <c r="V2785" s="18" t="n"/>
      <c r="W2785" s="18" t="n"/>
      <c r="X2785" s="35" t="n"/>
      <c r="Y2785" s="35" t="n">
        <v>8.481</v>
      </c>
    </row>
    <row r="2786">
      <c r="A2786" s="25" t="n">
        <v>42930</v>
      </c>
      <c r="B2786" s="18" t="n">
        <v>65436.17</v>
      </c>
      <c r="C2786" s="31" t="n"/>
      <c r="D2786" s="32" t="n"/>
      <c r="E2786" s="33" t="n">
        <v>0.2655</v>
      </c>
      <c r="F2786" t="inlineStr">
        <is>
          <t>Up</t>
        </is>
      </c>
      <c r="G2786" t="inlineStr">
        <is>
          <t>Down</t>
        </is>
      </c>
      <c r="H2786" t="inlineStr">
        <is>
          <t>EU_JD</t>
        </is>
      </c>
      <c r="I2786" t="inlineStr">
        <is>
          <t>2017-07</t>
        </is>
      </c>
      <c r="J2786" t="n">
        <v>1</v>
      </c>
      <c r="K2786" t="n">
        <v>1</v>
      </c>
      <c r="L2786" s="34">
        <f>IF($J2786=1,LN(B2787/B2786),"")</f>
        <v/>
      </c>
      <c r="M2786" s="34">
        <f>IF($K2786=1,INDEX(Mensal!$D$2:$D$245,MATCH($I2786,Mensal!$A$2:$A$245,0)),"")</f>
        <v/>
      </c>
      <c r="N2786" s="34">
        <f>IF($K2786=1,L2786-M2786,"")</f>
        <v/>
      </c>
      <c r="O2786" s="34" t="n">
        <v>0.00038334</v>
      </c>
      <c r="P2786" s="34">
        <f>IF($J2786=1,LN(1+O2786),"")</f>
        <v/>
      </c>
      <c r="Q2786" s="34">
        <f>IF($J2786=1,LN(R2787/R2786),"")</f>
        <v/>
      </c>
      <c r="R2786" s="32" t="n">
        <v>3.1899</v>
      </c>
      <c r="S2786" s="35" t="n">
        <v>8.43</v>
      </c>
      <c r="T2786" s="18" t="n">
        <v>65436.17</v>
      </c>
      <c r="U2786" s="18" t="n"/>
      <c r="V2786" s="18" t="n"/>
      <c r="W2786" s="18" t="n"/>
      <c r="X2786" s="35" t="n"/>
      <c r="Y2786" s="35" t="n">
        <v>8.43</v>
      </c>
    </row>
    <row r="2787">
      <c r="A2787" s="25" t="n">
        <v>42933</v>
      </c>
      <c r="B2787" s="18" t="n">
        <v>65212.31</v>
      </c>
      <c r="C2787" s="31" t="n"/>
      <c r="D2787" s="32" t="n"/>
      <c r="E2787" s="33" t="n">
        <v>0.265</v>
      </c>
      <c r="F2787" t="inlineStr">
        <is>
          <t>Up</t>
        </is>
      </c>
      <c r="G2787" t="inlineStr">
        <is>
          <t>Down</t>
        </is>
      </c>
      <c r="H2787" t="inlineStr">
        <is>
          <t>EU_JD</t>
        </is>
      </c>
      <c r="I2787" t="inlineStr">
        <is>
          <t>2017-07</t>
        </is>
      </c>
      <c r="J2787" t="n">
        <v>1</v>
      </c>
      <c r="K2787" t="n">
        <v>1</v>
      </c>
      <c r="L2787" s="34">
        <f>IF($J2787=1,LN(B2788/B2787),"")</f>
        <v/>
      </c>
      <c r="M2787" s="34">
        <f>IF($K2787=1,INDEX(Mensal!$D$2:$D$245,MATCH($I2787,Mensal!$A$2:$A$245,0)),"")</f>
        <v/>
      </c>
      <c r="N2787" s="34">
        <f>IF($K2787=1,L2787-M2787,"")</f>
        <v/>
      </c>
      <c r="O2787" s="34" t="n">
        <v>0.00038334</v>
      </c>
      <c r="P2787" s="34">
        <f>IF($J2787=1,LN(1+O2787),"")</f>
        <v/>
      </c>
      <c r="Q2787" s="34">
        <f>IF($J2787=1,LN(R2788/R2787),"")</f>
        <v/>
      </c>
      <c r="R2787" s="32" t="n">
        <v>3.1821</v>
      </c>
      <c r="S2787" s="35" t="n">
        <v>8.428000000000001</v>
      </c>
      <c r="T2787" s="18" t="n">
        <v>65212.31</v>
      </c>
      <c r="U2787" s="18" t="n"/>
      <c r="V2787" s="18" t="n"/>
      <c r="W2787" s="18" t="n"/>
      <c r="X2787" s="35" t="n"/>
      <c r="Y2787" s="35" t="n">
        <v>8.428000000000001</v>
      </c>
    </row>
    <row r="2788">
      <c r="A2788" s="25" t="n">
        <v>42934</v>
      </c>
      <c r="B2788" s="18" t="n">
        <v>65337.66</v>
      </c>
      <c r="C2788" s="31" t="n"/>
      <c r="D2788" s="32" t="n"/>
      <c r="E2788" s="33" t="n">
        <v>0.2645</v>
      </c>
      <c r="F2788" t="inlineStr">
        <is>
          <t>Up</t>
        </is>
      </c>
      <c r="G2788" t="inlineStr">
        <is>
          <t>Down</t>
        </is>
      </c>
      <c r="H2788" t="inlineStr">
        <is>
          <t>EU_JD</t>
        </is>
      </c>
      <c r="I2788" t="inlineStr">
        <is>
          <t>2017-07</t>
        </is>
      </c>
      <c r="J2788" t="n">
        <v>1</v>
      </c>
      <c r="K2788" t="n">
        <v>1</v>
      </c>
      <c r="L2788" s="34">
        <f>IF($J2788=1,LN(B2789/B2788),"")</f>
        <v/>
      </c>
      <c r="M2788" s="34">
        <f>IF($K2788=1,INDEX(Mensal!$D$2:$D$245,MATCH($I2788,Mensal!$A$2:$A$245,0)),"")</f>
        <v/>
      </c>
      <c r="N2788" s="34">
        <f>IF($K2788=1,L2788-M2788,"")</f>
        <v/>
      </c>
      <c r="O2788" s="34" t="n">
        <v>0.00038334</v>
      </c>
      <c r="P2788" s="34">
        <f>IF($J2788=1,LN(1+O2788),"")</f>
        <v/>
      </c>
      <c r="Q2788" s="34">
        <f>IF($J2788=1,LN(R2789/R2788),"")</f>
        <v/>
      </c>
      <c r="R2788" s="32" t="n">
        <v>3.1668</v>
      </c>
      <c r="S2788" s="35" t="n">
        <v>8.393000000000001</v>
      </c>
      <c r="T2788" s="18" t="n">
        <v>65337.66</v>
      </c>
      <c r="U2788" s="18" t="n"/>
      <c r="V2788" s="18" t="n"/>
      <c r="W2788" s="18" t="n"/>
      <c r="X2788" s="35" t="n"/>
      <c r="Y2788" s="35" t="n">
        <v>8.393000000000001</v>
      </c>
    </row>
    <row r="2789">
      <c r="A2789" s="25" t="n">
        <v>42935</v>
      </c>
      <c r="B2789" s="18" t="n">
        <v>65179.92</v>
      </c>
      <c r="C2789" s="31" t="n"/>
      <c r="D2789" s="32" t="n"/>
      <c r="E2789" s="33" t="n">
        <v>0.2614</v>
      </c>
      <c r="F2789" t="inlineStr">
        <is>
          <t>Up</t>
        </is>
      </c>
      <c r="G2789" t="inlineStr">
        <is>
          <t>Down</t>
        </is>
      </c>
      <c r="H2789" t="inlineStr">
        <is>
          <t>EU_JD</t>
        </is>
      </c>
      <c r="I2789" t="inlineStr">
        <is>
          <t>2017-07</t>
        </is>
      </c>
      <c r="J2789" t="n">
        <v>1</v>
      </c>
      <c r="K2789" t="n">
        <v>1</v>
      </c>
      <c r="L2789" s="34">
        <f>IF($J2789=1,LN(B2790/B2789),"")</f>
        <v/>
      </c>
      <c r="M2789" s="34">
        <f>IF($K2789=1,INDEX(Mensal!$D$2:$D$245,MATCH($I2789,Mensal!$A$2:$A$245,0)),"")</f>
        <v/>
      </c>
      <c r="N2789" s="34">
        <f>IF($K2789=1,L2789-M2789,"")</f>
        <v/>
      </c>
      <c r="O2789" s="34" t="n">
        <v>0.00038334</v>
      </c>
      <c r="P2789" s="34">
        <f>IF($J2789=1,LN(1+O2789),"")</f>
        <v/>
      </c>
      <c r="Q2789" s="34">
        <f>IF($J2789=1,LN(R2790/R2789),"")</f>
        <v/>
      </c>
      <c r="R2789" s="32" t="n">
        <v>3.1533</v>
      </c>
      <c r="S2789" s="35" t="n">
        <v>8.327999999999999</v>
      </c>
      <c r="T2789" s="18" t="n">
        <v>65179.92</v>
      </c>
      <c r="U2789" s="18" t="n"/>
      <c r="V2789" s="18" t="n"/>
      <c r="W2789" s="18" t="n"/>
      <c r="X2789" s="35" t="n"/>
      <c r="Y2789" s="35" t="n">
        <v>8.327999999999999</v>
      </c>
    </row>
    <row r="2790">
      <c r="A2790" s="25" t="n">
        <v>42936</v>
      </c>
      <c r="B2790" s="18" t="n">
        <v>64938.01</v>
      </c>
      <c r="C2790" s="31" t="n"/>
      <c r="D2790" s="32" t="n"/>
      <c r="E2790" s="33" t="n">
        <v>0.2582</v>
      </c>
      <c r="F2790" t="inlineStr">
        <is>
          <t>Up</t>
        </is>
      </c>
      <c r="G2790" t="inlineStr">
        <is>
          <t>Down</t>
        </is>
      </c>
      <c r="H2790" t="inlineStr">
        <is>
          <t>EU_JD</t>
        </is>
      </c>
      <c r="I2790" t="inlineStr">
        <is>
          <t>2017-07</t>
        </is>
      </c>
      <c r="J2790" t="n">
        <v>1</v>
      </c>
      <c r="K2790" t="n">
        <v>1</v>
      </c>
      <c r="L2790" s="34">
        <f>IF($J2790=1,LN(B2791/B2790),"")</f>
        <v/>
      </c>
      <c r="M2790" s="34">
        <f>IF($K2790=1,INDEX(Mensal!$D$2:$D$245,MATCH($I2790,Mensal!$A$2:$A$245,0)),"")</f>
        <v/>
      </c>
      <c r="N2790" s="34">
        <f>IF($K2790=1,L2790-M2790,"")</f>
        <v/>
      </c>
      <c r="O2790" s="34" t="n">
        <v>0.00038334</v>
      </c>
      <c r="P2790" s="34">
        <f>IF($J2790=1,LN(1+O2790),"")</f>
        <v/>
      </c>
      <c r="Q2790" s="34">
        <f>IF($J2790=1,LN(R2791/R2790),"")</f>
        <v/>
      </c>
      <c r="R2790" s="32" t="n">
        <v>3.1402</v>
      </c>
      <c r="S2790" s="35" t="n">
        <v>8.256</v>
      </c>
      <c r="T2790" s="18" t="n">
        <v>64938.01</v>
      </c>
      <c r="U2790" s="18" t="n"/>
      <c r="V2790" s="18" t="n"/>
      <c r="W2790" s="18" t="n"/>
      <c r="X2790" s="35" t="n"/>
      <c r="Y2790" s="35" t="n">
        <v>8.256</v>
      </c>
    </row>
    <row r="2791">
      <c r="A2791" s="25" t="n">
        <v>42937</v>
      </c>
      <c r="B2791" s="18" t="n">
        <v>64684.18</v>
      </c>
      <c r="C2791" s="31" t="n"/>
      <c r="D2791" s="32" t="n"/>
      <c r="E2791" s="33" t="n">
        <v>0.2558</v>
      </c>
      <c r="F2791" t="inlineStr">
        <is>
          <t>Up</t>
        </is>
      </c>
      <c r="G2791" t="inlineStr">
        <is>
          <t>Down</t>
        </is>
      </c>
      <c r="H2791" t="inlineStr">
        <is>
          <t>EU_JD</t>
        </is>
      </c>
      <c r="I2791" t="inlineStr">
        <is>
          <t>2017-07</t>
        </is>
      </c>
      <c r="J2791" t="n">
        <v>1</v>
      </c>
      <c r="K2791" t="n">
        <v>1</v>
      </c>
      <c r="L2791" s="34">
        <f>IF($J2791=1,LN(B2792/B2791),"")</f>
        <v/>
      </c>
      <c r="M2791" s="34">
        <f>IF($K2791=1,INDEX(Mensal!$D$2:$D$245,MATCH($I2791,Mensal!$A$2:$A$245,0)),"")</f>
        <v/>
      </c>
      <c r="N2791" s="34">
        <f>IF($K2791=1,L2791-M2791,"")</f>
        <v/>
      </c>
      <c r="O2791" s="34" t="n">
        <v>0.00038334</v>
      </c>
      <c r="P2791" s="34">
        <f>IF($J2791=1,LN(1+O2791),"")</f>
        <v/>
      </c>
      <c r="Q2791" s="34">
        <f>IF($J2791=1,LN(R2792/R2791),"")</f>
        <v/>
      </c>
      <c r="R2791" s="32" t="n">
        <v>3.1256</v>
      </c>
      <c r="S2791" s="35" t="n">
        <v>8.294</v>
      </c>
      <c r="T2791" s="18" t="n">
        <v>64684.18</v>
      </c>
      <c r="U2791" s="18" t="n"/>
      <c r="V2791" s="18" t="n"/>
      <c r="W2791" s="18" t="n"/>
      <c r="X2791" s="35" t="n"/>
      <c r="Y2791" s="35" t="n">
        <v>8.294</v>
      </c>
    </row>
    <row r="2792">
      <c r="A2792" s="25" t="n">
        <v>42940</v>
      </c>
      <c r="B2792" s="18" t="n">
        <v>65099.55</v>
      </c>
      <c r="C2792" s="31" t="n"/>
      <c r="D2792" s="32" t="n"/>
      <c r="E2792" s="33" t="n">
        <v>0.2421</v>
      </c>
      <c r="F2792" t="inlineStr">
        <is>
          <t>Up</t>
        </is>
      </c>
      <c r="G2792" t="inlineStr">
        <is>
          <t>Down</t>
        </is>
      </c>
      <c r="H2792" t="inlineStr">
        <is>
          <t>EU_JD</t>
        </is>
      </c>
      <c r="I2792" t="inlineStr">
        <is>
          <t>2017-07</t>
        </is>
      </c>
      <c r="J2792" t="n">
        <v>1</v>
      </c>
      <c r="K2792" t="n">
        <v>1</v>
      </c>
      <c r="L2792" s="34">
        <f>IF($J2792=1,LN(B2793/B2792),"")</f>
        <v/>
      </c>
      <c r="M2792" s="34">
        <f>IF($K2792=1,INDEX(Mensal!$D$2:$D$245,MATCH($I2792,Mensal!$A$2:$A$245,0)),"")</f>
        <v/>
      </c>
      <c r="N2792" s="34">
        <f>IF($K2792=1,L2792-M2792,"")</f>
        <v/>
      </c>
      <c r="O2792" s="34" t="n">
        <v>0.00038334</v>
      </c>
      <c r="P2792" s="34">
        <f>IF($J2792=1,LN(1+O2792),"")</f>
        <v/>
      </c>
      <c r="Q2792" s="34">
        <f>IF($J2792=1,LN(R2793/R2792),"")</f>
        <v/>
      </c>
      <c r="R2792" s="32" t="n">
        <v>3.1459</v>
      </c>
      <c r="S2792" s="35" t="n">
        <v>8.285</v>
      </c>
      <c r="T2792" s="18" t="n">
        <v>65099.55</v>
      </c>
      <c r="U2792" s="18" t="n"/>
      <c r="V2792" s="18" t="n"/>
      <c r="W2792" s="18" t="n"/>
      <c r="X2792" s="35" t="n"/>
      <c r="Y2792" s="35" t="n">
        <v>8.285</v>
      </c>
    </row>
    <row r="2793">
      <c r="A2793" s="25" t="n">
        <v>42941</v>
      </c>
      <c r="B2793" s="18" t="n">
        <v>65667.62</v>
      </c>
      <c r="C2793" s="31" t="n"/>
      <c r="D2793" s="32" t="n"/>
      <c r="E2793" s="33" t="n">
        <v>0.2294</v>
      </c>
      <c r="F2793" t="inlineStr">
        <is>
          <t>Up</t>
        </is>
      </c>
      <c r="G2793" t="inlineStr">
        <is>
          <t>Down</t>
        </is>
      </c>
      <c r="H2793" t="inlineStr">
        <is>
          <t>EU_JD</t>
        </is>
      </c>
      <c r="I2793" t="inlineStr">
        <is>
          <t>2017-07</t>
        </is>
      </c>
      <c r="J2793" t="n">
        <v>1</v>
      </c>
      <c r="K2793" t="n">
        <v>1</v>
      </c>
      <c r="L2793" s="34">
        <f>IF($J2793=1,LN(B2794/B2793),"")</f>
        <v/>
      </c>
      <c r="M2793" s="34">
        <f>IF($K2793=1,INDEX(Mensal!$D$2:$D$245,MATCH($I2793,Mensal!$A$2:$A$245,0)),"")</f>
        <v/>
      </c>
      <c r="N2793" s="34">
        <f>IF($K2793=1,L2793-M2793,"")</f>
        <v/>
      </c>
      <c r="O2793" s="34" t="n">
        <v>0.00038334</v>
      </c>
      <c r="P2793" s="34">
        <f>IF($J2793=1,LN(1+O2793),"")</f>
        <v/>
      </c>
      <c r="Q2793" s="34">
        <f>IF($J2793=1,LN(R2794/R2793),"")</f>
        <v/>
      </c>
      <c r="R2793" s="32" t="n">
        <v>3.1556</v>
      </c>
      <c r="S2793" s="35" t="n">
        <v>8.286</v>
      </c>
      <c r="T2793" s="18" t="n">
        <v>65667.62</v>
      </c>
      <c r="U2793" s="18" t="n"/>
      <c r="V2793" s="18" t="n"/>
      <c r="W2793" s="18" t="n"/>
      <c r="X2793" s="35" t="n"/>
      <c r="Y2793" s="35" t="n">
        <v>8.286</v>
      </c>
    </row>
    <row r="2794">
      <c r="A2794" s="25" t="n">
        <v>42942</v>
      </c>
      <c r="B2794" s="18" t="n">
        <v>65010.57</v>
      </c>
      <c r="C2794" s="31" t="n"/>
      <c r="D2794" s="32" t="n"/>
      <c r="E2794" s="33" t="n">
        <v>0.2179</v>
      </c>
      <c r="F2794" t="inlineStr">
        <is>
          <t>Up</t>
        </is>
      </c>
      <c r="G2794" t="inlineStr">
        <is>
          <t>Down</t>
        </is>
      </c>
      <c r="H2794" t="inlineStr">
        <is>
          <t>EU_JD</t>
        </is>
      </c>
      <c r="I2794" t="inlineStr">
        <is>
          <t>2017-07</t>
        </is>
      </c>
      <c r="J2794" t="n">
        <v>1</v>
      </c>
      <c r="K2794" t="n">
        <v>1</v>
      </c>
      <c r="L2794" s="34">
        <f>IF($J2794=1,LN(B2795/B2794),"")</f>
        <v/>
      </c>
      <c r="M2794" s="34">
        <f>IF($K2794=1,INDEX(Mensal!$D$2:$D$245,MATCH($I2794,Mensal!$A$2:$A$245,0)),"")</f>
        <v/>
      </c>
      <c r="N2794" s="34">
        <f>IF($K2794=1,L2794-M2794,"")</f>
        <v/>
      </c>
      <c r="O2794" s="34" t="n">
        <v>0.00038334</v>
      </c>
      <c r="P2794" s="34">
        <f>IF($J2794=1,LN(1+O2794),"")</f>
        <v/>
      </c>
      <c r="Q2794" s="34">
        <f>IF($J2794=1,LN(R2795/R2794),"")</f>
        <v/>
      </c>
      <c r="R2794" s="32" t="n">
        <v>3.1657</v>
      </c>
      <c r="S2794" s="35" t="n">
        <v>8.278</v>
      </c>
      <c r="T2794" s="18" t="n">
        <v>65010.57</v>
      </c>
      <c r="U2794" s="18" t="n"/>
      <c r="V2794" s="18" t="n"/>
      <c r="W2794" s="18" t="n"/>
      <c r="X2794" s="35" t="n"/>
      <c r="Y2794" s="35" t="n">
        <v>8.278</v>
      </c>
    </row>
    <row r="2795">
      <c r="A2795" s="25" t="n">
        <v>42943</v>
      </c>
      <c r="B2795" s="18" t="n">
        <v>65277.38</v>
      </c>
      <c r="C2795" s="31" t="n"/>
      <c r="D2795" s="32" t="n"/>
      <c r="E2795" s="33" t="n">
        <v>0.1988</v>
      </c>
      <c r="F2795" t="inlineStr">
        <is>
          <t>Up</t>
        </is>
      </c>
      <c r="G2795" t="inlineStr">
        <is>
          <t>Down</t>
        </is>
      </c>
      <c r="H2795" t="inlineStr">
        <is>
          <t>EU_JD</t>
        </is>
      </c>
      <c r="I2795" t="inlineStr">
        <is>
          <t>2017-07</t>
        </is>
      </c>
      <c r="J2795" t="n">
        <v>1</v>
      </c>
      <c r="K2795" t="n">
        <v>1</v>
      </c>
      <c r="L2795" s="34">
        <f>IF($J2795=1,LN(B2796/B2795),"")</f>
        <v/>
      </c>
      <c r="M2795" s="34">
        <f>IF($K2795=1,INDEX(Mensal!$D$2:$D$245,MATCH($I2795,Mensal!$A$2:$A$245,0)),"")</f>
        <v/>
      </c>
      <c r="N2795" s="34">
        <f>IF($K2795=1,L2795-M2795,"")</f>
        <v/>
      </c>
      <c r="O2795" s="34" t="n">
        <v>0.00034713</v>
      </c>
      <c r="P2795" s="34">
        <f>IF($J2795=1,LN(1+O2795),"")</f>
        <v/>
      </c>
      <c r="Q2795" s="34">
        <f>IF($J2795=1,LN(R2796/R2795),"")</f>
        <v/>
      </c>
      <c r="R2795" s="32" t="n">
        <v>3.1513</v>
      </c>
      <c r="S2795" s="35" t="n">
        <v>8.010999999999999</v>
      </c>
      <c r="T2795" s="18" t="n">
        <v>65277.38</v>
      </c>
      <c r="U2795" s="18" t="n"/>
      <c r="V2795" s="18" t="n"/>
      <c r="W2795" s="18" t="n"/>
      <c r="X2795" s="35" t="n"/>
      <c r="Y2795" s="35" t="n">
        <v>8.010999999999999</v>
      </c>
    </row>
    <row r="2796">
      <c r="A2796" s="25" t="n">
        <v>42944</v>
      </c>
      <c r="B2796" s="18" t="n">
        <v>65497.12</v>
      </c>
      <c r="C2796" s="31" t="n"/>
      <c r="D2796" s="32" t="n"/>
      <c r="E2796" s="33" t="n">
        <v>0.1759</v>
      </c>
      <c r="F2796" t="inlineStr">
        <is>
          <t>Up</t>
        </is>
      </c>
      <c r="G2796" t="inlineStr">
        <is>
          <t>Down</t>
        </is>
      </c>
      <c r="H2796" t="inlineStr">
        <is>
          <t>EU_JD</t>
        </is>
      </c>
      <c r="I2796" t="inlineStr">
        <is>
          <t>2017-07</t>
        </is>
      </c>
      <c r="J2796" t="n">
        <v>1</v>
      </c>
      <c r="K2796" t="n">
        <v>1</v>
      </c>
      <c r="L2796" s="34">
        <f>IF($J2796=1,LN(B2797/B2796),"")</f>
        <v/>
      </c>
      <c r="M2796" s="34">
        <f>IF($K2796=1,INDEX(Mensal!$D$2:$D$245,MATCH($I2796,Mensal!$A$2:$A$245,0)),"")</f>
        <v/>
      </c>
      <c r="N2796" s="34">
        <f>IF($K2796=1,L2796-M2796,"")</f>
        <v/>
      </c>
      <c r="O2796" s="34" t="n">
        <v>0.00034713</v>
      </c>
      <c r="P2796" s="34">
        <f>IF($J2796=1,LN(1+O2796),"")</f>
        <v/>
      </c>
      <c r="Q2796" s="34">
        <f>IF($J2796=1,LN(R2797/R2796),"")</f>
        <v/>
      </c>
      <c r="R2796" s="32" t="n">
        <v>3.1457</v>
      </c>
      <c r="S2796" s="35" t="n">
        <v>7.964</v>
      </c>
      <c r="T2796" s="18" t="n">
        <v>65497.12</v>
      </c>
      <c r="U2796" s="18" t="n"/>
      <c r="V2796" s="18" t="n"/>
      <c r="W2796" s="18" t="n"/>
      <c r="X2796" s="35" t="n"/>
      <c r="Y2796" s="35" t="n">
        <v>7.964</v>
      </c>
    </row>
    <row r="2797">
      <c r="A2797" s="25" t="n">
        <v>42947</v>
      </c>
      <c r="B2797" s="18" t="n">
        <v>65920.36</v>
      </c>
      <c r="C2797" s="31" t="n"/>
      <c r="D2797" s="32" t="n"/>
      <c r="E2797" s="33" t="n">
        <v>0.1837</v>
      </c>
      <c r="F2797" t="inlineStr">
        <is>
          <t>Up</t>
        </is>
      </c>
      <c r="G2797" t="inlineStr">
        <is>
          <t>Down</t>
        </is>
      </c>
      <c r="H2797" t="inlineStr">
        <is>
          <t>EU_JD</t>
        </is>
      </c>
      <c r="I2797" t="inlineStr">
        <is>
          <t>2017-07</t>
        </is>
      </c>
      <c r="J2797" t="n">
        <v>1</v>
      </c>
      <c r="K2797" t="n">
        <v>1</v>
      </c>
      <c r="L2797" s="34">
        <f>IF($J2797=1,LN(B2798/B2797),"")</f>
        <v/>
      </c>
      <c r="M2797" s="34">
        <f>IF($K2797=1,INDEX(Mensal!$D$2:$D$245,MATCH($I2797,Mensal!$A$2:$A$245,0)),"")</f>
        <v/>
      </c>
      <c r="N2797" s="34">
        <f>IF($K2797=1,L2797-M2797,"")</f>
        <v/>
      </c>
      <c r="O2797" s="34" t="n">
        <v>0.00034713</v>
      </c>
      <c r="P2797" s="34">
        <f>IF($J2797=1,LN(1+O2797),"")</f>
        <v/>
      </c>
      <c r="Q2797" s="34">
        <f>IF($J2797=1,LN(R2798/R2797),"")</f>
        <v/>
      </c>
      <c r="R2797" s="32" t="n">
        <v>3.1307</v>
      </c>
      <c r="S2797" s="35" t="n">
        <v>7.977</v>
      </c>
      <c r="T2797" s="18" t="n">
        <v>65920.36</v>
      </c>
      <c r="U2797" s="18" t="n"/>
      <c r="V2797" s="18" t="n"/>
      <c r="W2797" s="18" t="n"/>
      <c r="X2797" s="35" t="n"/>
      <c r="Y2797" s="35" t="n">
        <v>7.977</v>
      </c>
    </row>
    <row r="2798">
      <c r="A2798" s="25" t="n">
        <v>42948</v>
      </c>
      <c r="B2798" s="18" t="n">
        <v>66516.23</v>
      </c>
      <c r="C2798" s="31" t="n"/>
      <c r="D2798" s="32" t="n"/>
      <c r="E2798" s="33" t="n">
        <v>0.1747</v>
      </c>
      <c r="F2798" t="inlineStr">
        <is>
          <t>Up</t>
        </is>
      </c>
      <c r="G2798" t="inlineStr">
        <is>
          <t>Down</t>
        </is>
      </c>
      <c r="H2798" t="inlineStr">
        <is>
          <t>EU_JD</t>
        </is>
      </c>
      <c r="I2798" t="inlineStr">
        <is>
          <t>2017-08</t>
        </is>
      </c>
      <c r="J2798" t="n">
        <v>1</v>
      </c>
      <c r="K2798" t="n">
        <v>1</v>
      </c>
      <c r="L2798" s="34">
        <f>IF($J2798=1,LN(B2799/B2798),"")</f>
        <v/>
      </c>
      <c r="M2798" s="34">
        <f>IF($K2798=1,INDEX(Mensal!$D$2:$D$245,MATCH($I2798,Mensal!$A$2:$A$245,0)),"")</f>
        <v/>
      </c>
      <c r="N2798" s="34">
        <f>IF($K2798=1,L2798-M2798,"")</f>
        <v/>
      </c>
      <c r="O2798" s="34" t="n">
        <v>0.00034713</v>
      </c>
      <c r="P2798" s="34">
        <f>IF($J2798=1,LN(1+O2798),"")</f>
        <v/>
      </c>
      <c r="Q2798" s="34">
        <f>IF($J2798=1,LN(R2799/R2798),"")</f>
        <v/>
      </c>
      <c r="R2798" s="32" t="n">
        <v>3.1161</v>
      </c>
      <c r="S2798" s="35" t="n">
        <v>7.934</v>
      </c>
      <c r="T2798" s="18" t="n">
        <v>66516.23</v>
      </c>
      <c r="U2798" s="18" t="n"/>
      <c r="V2798" s="18" t="n"/>
      <c r="W2798" s="18" t="n"/>
      <c r="X2798" s="35" t="n"/>
      <c r="Y2798" s="35" t="n">
        <v>7.934</v>
      </c>
    </row>
    <row r="2799">
      <c r="A2799" s="25" t="n">
        <v>42949</v>
      </c>
      <c r="B2799" s="18" t="n">
        <v>67135.99000000001</v>
      </c>
      <c r="C2799" s="31" t="n"/>
      <c r="D2799" s="32" t="n"/>
      <c r="E2799" s="33" t="n">
        <v>0.1579</v>
      </c>
      <c r="F2799" t="inlineStr">
        <is>
          <t>Up</t>
        </is>
      </c>
      <c r="G2799" t="inlineStr">
        <is>
          <t>Down</t>
        </is>
      </c>
      <c r="H2799" t="inlineStr">
        <is>
          <t>EU_JD</t>
        </is>
      </c>
      <c r="I2799" t="inlineStr">
        <is>
          <t>2017-08</t>
        </is>
      </c>
      <c r="J2799" t="n">
        <v>1</v>
      </c>
      <c r="K2799" t="n">
        <v>1</v>
      </c>
      <c r="L2799" s="34">
        <f>IF($J2799=1,LN(B2800/B2799),"")</f>
        <v/>
      </c>
      <c r="M2799" s="34">
        <f>IF($K2799=1,INDEX(Mensal!$D$2:$D$245,MATCH($I2799,Mensal!$A$2:$A$245,0)),"")</f>
        <v/>
      </c>
      <c r="N2799" s="34">
        <f>IF($K2799=1,L2799-M2799,"")</f>
        <v/>
      </c>
      <c r="O2799" s="34" t="n">
        <v>0.00034713</v>
      </c>
      <c r="P2799" s="34">
        <f>IF($J2799=1,LN(1+O2799),"")</f>
        <v/>
      </c>
      <c r="Q2799" s="34">
        <f>IF($J2799=1,LN(R2800/R2799),"")</f>
        <v/>
      </c>
      <c r="R2799" s="32" t="n">
        <v>3.1268</v>
      </c>
      <c r="S2799" s="35" t="n">
        <v>7.912</v>
      </c>
      <c r="T2799" s="18" t="n">
        <v>67135.99000000001</v>
      </c>
      <c r="U2799" s="18" t="n"/>
      <c r="V2799" s="18" t="n"/>
      <c r="W2799" s="18" t="n"/>
      <c r="X2799" s="35" t="n"/>
      <c r="Y2799" s="35" t="n">
        <v>7.912</v>
      </c>
    </row>
    <row r="2800">
      <c r="A2800" s="25" t="n">
        <v>42950</v>
      </c>
      <c r="B2800" s="18" t="n">
        <v>66777.13</v>
      </c>
      <c r="C2800" s="31" t="n"/>
      <c r="D2800" s="32" t="n"/>
      <c r="E2800" s="33" t="n">
        <v>0.1342</v>
      </c>
      <c r="F2800" t="inlineStr">
        <is>
          <t>Up</t>
        </is>
      </c>
      <c r="G2800" t="inlineStr">
        <is>
          <t>Down</t>
        </is>
      </c>
      <c r="H2800" t="inlineStr">
        <is>
          <t>EU_JD</t>
        </is>
      </c>
      <c r="I2800" t="inlineStr">
        <is>
          <t>2017-08</t>
        </is>
      </c>
      <c r="J2800" t="n">
        <v>1</v>
      </c>
      <c r="K2800" t="n">
        <v>1</v>
      </c>
      <c r="L2800" s="34">
        <f>IF($J2800=1,LN(B2801/B2800),"")</f>
        <v/>
      </c>
      <c r="M2800" s="34">
        <f>IF($K2800=1,INDEX(Mensal!$D$2:$D$245,MATCH($I2800,Mensal!$A$2:$A$245,0)),"")</f>
        <v/>
      </c>
      <c r="N2800" s="34">
        <f>IF($K2800=1,L2800-M2800,"")</f>
        <v/>
      </c>
      <c r="O2800" s="34" t="n">
        <v>0.00034713</v>
      </c>
      <c r="P2800" s="34">
        <f>IF($J2800=1,LN(1+O2800),"")</f>
        <v/>
      </c>
      <c r="Q2800" s="34">
        <f>IF($J2800=1,LN(R2801/R2800),"")</f>
        <v/>
      </c>
      <c r="R2800" s="32" t="n">
        <v>3.1194</v>
      </c>
      <c r="S2800" s="35" t="n">
        <v>7.879</v>
      </c>
      <c r="T2800" s="18" t="n">
        <v>66777.13</v>
      </c>
      <c r="U2800" s="18" t="n"/>
      <c r="V2800" s="18" t="n"/>
      <c r="W2800" s="18" t="n"/>
      <c r="X2800" s="35" t="n"/>
      <c r="Y2800" s="35" t="n">
        <v>7.879</v>
      </c>
    </row>
    <row r="2801">
      <c r="A2801" s="25" t="n">
        <v>42951</v>
      </c>
      <c r="B2801" s="18" t="n">
        <v>66897.98</v>
      </c>
      <c r="C2801" s="31" t="n"/>
      <c r="D2801" s="32" t="n"/>
      <c r="E2801" s="33" t="n">
        <v>0.1077</v>
      </c>
      <c r="F2801" t="inlineStr">
        <is>
          <t>Up</t>
        </is>
      </c>
      <c r="G2801" t="inlineStr">
        <is>
          <t>Down</t>
        </is>
      </c>
      <c r="H2801" t="inlineStr">
        <is>
          <t>EU_JD</t>
        </is>
      </c>
      <c r="I2801" t="inlineStr">
        <is>
          <t>2017-08</t>
        </is>
      </c>
      <c r="J2801" t="n">
        <v>1</v>
      </c>
      <c r="K2801" t="n">
        <v>1</v>
      </c>
      <c r="L2801" s="34">
        <f>IF($J2801=1,LN(B2802/B2801),"")</f>
        <v/>
      </c>
      <c r="M2801" s="34">
        <f>IF($K2801=1,INDEX(Mensal!$D$2:$D$245,MATCH($I2801,Mensal!$A$2:$A$245,0)),"")</f>
        <v/>
      </c>
      <c r="N2801" s="34">
        <f>IF($K2801=1,L2801-M2801,"")</f>
        <v/>
      </c>
      <c r="O2801" s="34" t="n">
        <v>0.00034713</v>
      </c>
      <c r="P2801" s="34">
        <f>IF($J2801=1,LN(1+O2801),"")</f>
        <v/>
      </c>
      <c r="Q2801" s="34">
        <f>IF($J2801=1,LN(R2802/R2801),"")</f>
        <v/>
      </c>
      <c r="R2801" s="32" t="n">
        <v>3.1224</v>
      </c>
      <c r="S2801" s="35" t="n">
        <v>7.881</v>
      </c>
      <c r="T2801" s="18" t="n">
        <v>66897.98</v>
      </c>
      <c r="U2801" s="18" t="n"/>
      <c r="V2801" s="18" t="n"/>
      <c r="W2801" s="18" t="n"/>
      <c r="X2801" s="35" t="n"/>
      <c r="Y2801" s="35" t="n">
        <v>7.881</v>
      </c>
    </row>
    <row r="2802">
      <c r="A2802" s="25" t="n">
        <v>42954</v>
      </c>
      <c r="B2802" s="18" t="n">
        <v>67939.64999999999</v>
      </c>
      <c r="C2802" s="31" t="n"/>
      <c r="D2802" s="32" t="n"/>
      <c r="E2802" s="33" t="n">
        <v>0.0785</v>
      </c>
      <c r="F2802" t="inlineStr">
        <is>
          <t>Up</t>
        </is>
      </c>
      <c r="G2802" t="inlineStr">
        <is>
          <t>Down</t>
        </is>
      </c>
      <c r="H2802" t="inlineStr">
        <is>
          <t>EU_JD</t>
        </is>
      </c>
      <c r="I2802" t="inlineStr">
        <is>
          <t>2017-08</t>
        </is>
      </c>
      <c r="J2802" t="n">
        <v>1</v>
      </c>
      <c r="K2802" t="n">
        <v>1</v>
      </c>
      <c r="L2802" s="34">
        <f>IF($J2802=1,LN(B2803/B2802),"")</f>
        <v/>
      </c>
      <c r="M2802" s="34">
        <f>IF($K2802=1,INDEX(Mensal!$D$2:$D$245,MATCH($I2802,Mensal!$A$2:$A$245,0)),"")</f>
        <v/>
      </c>
      <c r="N2802" s="34">
        <f>IF($K2802=1,L2802-M2802,"")</f>
        <v/>
      </c>
      <c r="O2802" s="34" t="n">
        <v>0.00034713</v>
      </c>
      <c r="P2802" s="34">
        <f>IF($J2802=1,LN(1+O2802),"")</f>
        <v/>
      </c>
      <c r="Q2802" s="34">
        <f>IF($J2802=1,LN(R2803/R2802),"")</f>
        <v/>
      </c>
      <c r="R2802" s="32" t="n">
        <v>3.1267</v>
      </c>
      <c r="S2802" s="35" t="n">
        <v>7.904</v>
      </c>
      <c r="T2802" s="18" t="n">
        <v>67939.64999999999</v>
      </c>
      <c r="U2802" s="18" t="n"/>
      <c r="V2802" s="18" t="n"/>
      <c r="W2802" s="18" t="n"/>
      <c r="X2802" s="35" t="n"/>
      <c r="Y2802" s="35" t="n">
        <v>7.904</v>
      </c>
    </row>
    <row r="2803">
      <c r="A2803" s="25" t="n">
        <v>42955</v>
      </c>
      <c r="B2803" s="18" t="n">
        <v>67898.92999999999</v>
      </c>
      <c r="C2803" s="31" t="n"/>
      <c r="D2803" s="32" t="n"/>
      <c r="E2803" s="33" t="n">
        <v>0.0536</v>
      </c>
      <c r="F2803" t="inlineStr">
        <is>
          <t>Up</t>
        </is>
      </c>
      <c r="G2803" t="inlineStr">
        <is>
          <t>Down</t>
        </is>
      </c>
      <c r="H2803" t="inlineStr">
        <is>
          <t>EU_JD</t>
        </is>
      </c>
      <c r="I2803" t="inlineStr">
        <is>
          <t>2017-08</t>
        </is>
      </c>
      <c r="J2803" t="n">
        <v>1</v>
      </c>
      <c r="K2803" t="n">
        <v>1</v>
      </c>
      <c r="L2803" s="34">
        <f>IF($J2803=1,LN(B2804/B2803),"")</f>
        <v/>
      </c>
      <c r="M2803" s="34">
        <f>IF($K2803=1,INDEX(Mensal!$D$2:$D$245,MATCH($I2803,Mensal!$A$2:$A$245,0)),"")</f>
        <v/>
      </c>
      <c r="N2803" s="34">
        <f>IF($K2803=1,L2803-M2803,"")</f>
        <v/>
      </c>
      <c r="O2803" s="34" t="n">
        <v>0.00034713</v>
      </c>
      <c r="P2803" s="34">
        <f>IF($J2803=1,LN(1+O2803),"")</f>
        <v/>
      </c>
      <c r="Q2803" s="34">
        <f>IF($J2803=1,LN(R2804/R2803),"")</f>
        <v/>
      </c>
      <c r="R2803" s="32" t="n">
        <v>3.132</v>
      </c>
      <c r="S2803" s="35" t="n">
        <v>7.888</v>
      </c>
      <c r="T2803" s="18" t="n">
        <v>67898.92999999999</v>
      </c>
      <c r="U2803" s="18" t="n"/>
      <c r="V2803" s="18" t="n"/>
      <c r="W2803" s="18" t="n"/>
      <c r="X2803" s="35" t="n"/>
      <c r="Y2803" s="35" t="n">
        <v>7.888</v>
      </c>
    </row>
    <row r="2804">
      <c r="A2804" s="25" t="n">
        <v>42956</v>
      </c>
      <c r="B2804" s="18" t="n">
        <v>67671.06</v>
      </c>
      <c r="C2804" s="31" t="n"/>
      <c r="D2804" s="32" t="n"/>
      <c r="E2804" s="33" t="n">
        <v>0.0312</v>
      </c>
      <c r="F2804" t="inlineStr">
        <is>
          <t>Up</t>
        </is>
      </c>
      <c r="G2804" t="inlineStr">
        <is>
          <t>Down</t>
        </is>
      </c>
      <c r="H2804" t="inlineStr">
        <is>
          <t>EU_JD</t>
        </is>
      </c>
      <c r="I2804" t="inlineStr">
        <is>
          <t>2017-08</t>
        </is>
      </c>
      <c r="J2804" t="n">
        <v>1</v>
      </c>
      <c r="K2804" t="n">
        <v>1</v>
      </c>
      <c r="L2804" s="34">
        <f>IF($J2804=1,LN(B2805/B2804),"")</f>
        <v/>
      </c>
      <c r="M2804" s="34">
        <f>IF($K2804=1,INDEX(Mensal!$D$2:$D$245,MATCH($I2804,Mensal!$A$2:$A$245,0)),"")</f>
        <v/>
      </c>
      <c r="N2804" s="34">
        <f>IF($K2804=1,L2804-M2804,"")</f>
        <v/>
      </c>
      <c r="O2804" s="34" t="n">
        <v>0.00034713</v>
      </c>
      <c r="P2804" s="34">
        <f>IF($J2804=1,LN(1+O2804),"")</f>
        <v/>
      </c>
      <c r="Q2804" s="34">
        <f>IF($J2804=1,LN(R2805/R2804),"")</f>
        <v/>
      </c>
      <c r="R2804" s="32" t="n">
        <v>3.1464</v>
      </c>
      <c r="S2804" s="35" t="n">
        <v>7.91</v>
      </c>
      <c r="T2804" s="18" t="n">
        <v>67671.06</v>
      </c>
      <c r="U2804" s="18" t="n"/>
      <c r="V2804" s="18" t="n"/>
      <c r="W2804" s="18" t="n"/>
      <c r="X2804" s="35" t="n"/>
      <c r="Y2804" s="35" t="n">
        <v>7.91</v>
      </c>
    </row>
    <row r="2805">
      <c r="A2805" s="25" t="n">
        <v>42957</v>
      </c>
      <c r="B2805" s="18" t="n">
        <v>66992.08</v>
      </c>
      <c r="C2805" s="31" t="n"/>
      <c r="D2805" s="32" t="n"/>
      <c r="E2805" s="33" t="n">
        <v>0.008699999999999999</v>
      </c>
      <c r="F2805" t="inlineStr">
        <is>
          <t>Up</t>
        </is>
      </c>
      <c r="G2805" t="inlineStr">
        <is>
          <t>Down</t>
        </is>
      </c>
      <c r="H2805" t="inlineStr">
        <is>
          <t>EU_JD</t>
        </is>
      </c>
      <c r="I2805" t="inlineStr">
        <is>
          <t>2017-08</t>
        </is>
      </c>
      <c r="J2805" t="n">
        <v>1</v>
      </c>
      <c r="K2805" t="n">
        <v>1</v>
      </c>
      <c r="L2805" s="34">
        <f>IF($J2805=1,LN(B2806/B2805),"")</f>
        <v/>
      </c>
      <c r="M2805" s="34">
        <f>IF($K2805=1,INDEX(Mensal!$D$2:$D$245,MATCH($I2805,Mensal!$A$2:$A$245,0)),"")</f>
        <v/>
      </c>
      <c r="N2805" s="34">
        <f>IF($K2805=1,L2805-M2805,"")</f>
        <v/>
      </c>
      <c r="O2805" s="34" t="n">
        <v>0.00034713</v>
      </c>
      <c r="P2805" s="34">
        <f>IF($J2805=1,LN(1+O2805),"")</f>
        <v/>
      </c>
      <c r="Q2805" s="34">
        <f>IF($J2805=1,LN(R2806/R2805),"")</f>
        <v/>
      </c>
      <c r="R2805" s="32" t="n">
        <v>3.1543</v>
      </c>
      <c r="S2805" s="35" t="n">
        <v>7.9</v>
      </c>
      <c r="T2805" s="18" t="n">
        <v>66992.08</v>
      </c>
      <c r="U2805" s="18" t="n"/>
      <c r="V2805" s="18" t="n"/>
      <c r="W2805" s="18" t="n"/>
      <c r="X2805" s="35" t="n"/>
      <c r="Y2805" s="35" t="n">
        <v>7.9</v>
      </c>
    </row>
    <row r="2806">
      <c r="A2806" s="25" t="n">
        <v>42958</v>
      </c>
      <c r="B2806" s="18" t="n">
        <v>67358.58</v>
      </c>
      <c r="C2806" s="31" t="n"/>
      <c r="D2806" s="32" t="n"/>
      <c r="E2806" s="33" t="n">
        <v>-0.0219</v>
      </c>
      <c r="F2806" t="inlineStr">
        <is>
          <t>Up</t>
        </is>
      </c>
      <c r="G2806" t="inlineStr">
        <is>
          <t>Down</t>
        </is>
      </c>
      <c r="H2806" t="inlineStr">
        <is>
          <t>EU_JD</t>
        </is>
      </c>
      <c r="I2806" t="inlineStr">
        <is>
          <t>2017-08</t>
        </is>
      </c>
      <c r="J2806" t="n">
        <v>1</v>
      </c>
      <c r="K2806" t="n">
        <v>1</v>
      </c>
      <c r="L2806" s="34">
        <f>IF($J2806=1,LN(B2807/B2806),"")</f>
        <v/>
      </c>
      <c r="M2806" s="34">
        <f>IF($K2806=1,INDEX(Mensal!$D$2:$D$245,MATCH($I2806,Mensal!$A$2:$A$245,0)),"")</f>
        <v/>
      </c>
      <c r="N2806" s="34">
        <f>IF($K2806=1,L2806-M2806,"")</f>
        <v/>
      </c>
      <c r="O2806" s="34" t="n">
        <v>0.00034713</v>
      </c>
      <c r="P2806" s="34">
        <f>IF($J2806=1,LN(1+O2806),"")</f>
        <v/>
      </c>
      <c r="Q2806" s="34">
        <f>IF($J2806=1,LN(R2807/R2806),"")</f>
        <v/>
      </c>
      <c r="R2806" s="32" t="n">
        <v>3.1695</v>
      </c>
      <c r="S2806" s="35" t="n">
        <v>7.876</v>
      </c>
      <c r="T2806" s="18" t="n">
        <v>67358.58</v>
      </c>
      <c r="U2806" s="18" t="n"/>
      <c r="V2806" s="18" t="n"/>
      <c r="W2806" s="18" t="n"/>
      <c r="X2806" s="35" t="n"/>
      <c r="Y2806" s="35" t="n">
        <v>7.876</v>
      </c>
    </row>
    <row r="2807">
      <c r="A2807" s="25" t="n">
        <v>42961</v>
      </c>
      <c r="B2807" s="18" t="n">
        <v>68284.66</v>
      </c>
      <c r="C2807" s="31" t="n"/>
      <c r="D2807" s="32" t="n"/>
      <c r="E2807" s="33" t="n">
        <v>-0.0675</v>
      </c>
      <c r="F2807" t="inlineStr">
        <is>
          <t>Up</t>
        </is>
      </c>
      <c r="G2807" t="inlineStr">
        <is>
          <t>Down</t>
        </is>
      </c>
      <c r="H2807" t="inlineStr">
        <is>
          <t>EU_JD</t>
        </is>
      </c>
      <c r="I2807" t="inlineStr">
        <is>
          <t>2017-08</t>
        </is>
      </c>
      <c r="J2807" t="n">
        <v>1</v>
      </c>
      <c r="K2807" t="n">
        <v>1</v>
      </c>
      <c r="L2807" s="34">
        <f>IF($J2807=1,LN(B2808/B2807),"")</f>
        <v/>
      </c>
      <c r="M2807" s="34">
        <f>IF($K2807=1,INDEX(Mensal!$D$2:$D$245,MATCH($I2807,Mensal!$A$2:$A$245,0)),"")</f>
        <v/>
      </c>
      <c r="N2807" s="34">
        <f>IF($K2807=1,L2807-M2807,"")</f>
        <v/>
      </c>
      <c r="O2807" s="34" t="n">
        <v>0.00034713</v>
      </c>
      <c r="P2807" s="34">
        <f>IF($J2807=1,LN(1+O2807),"")</f>
        <v/>
      </c>
      <c r="Q2807" s="34">
        <f>IF($J2807=1,LN(R2808/R2807),"")</f>
        <v/>
      </c>
      <c r="R2807" s="32" t="n">
        <v>3.1888</v>
      </c>
      <c r="S2807" s="35" t="n">
        <v>7.88</v>
      </c>
      <c r="T2807" s="18" t="n">
        <v>68284.66</v>
      </c>
      <c r="U2807" s="18" t="n"/>
      <c r="V2807" s="18" t="n"/>
      <c r="W2807" s="18" t="n"/>
      <c r="X2807" s="35" t="n"/>
      <c r="Y2807" s="35" t="n">
        <v>7.88</v>
      </c>
    </row>
    <row r="2808">
      <c r="A2808" s="25" t="n">
        <v>42962</v>
      </c>
      <c r="B2808" s="18" t="n">
        <v>68355.12</v>
      </c>
      <c r="C2808" s="31" t="n"/>
      <c r="D2808" s="32" t="n"/>
      <c r="E2808" s="33" t="n">
        <v>-0.1045</v>
      </c>
      <c r="F2808" t="inlineStr">
        <is>
          <t>Up</t>
        </is>
      </c>
      <c r="G2808" t="inlineStr">
        <is>
          <t>Down</t>
        </is>
      </c>
      <c r="H2808" t="inlineStr">
        <is>
          <t>EU_JD</t>
        </is>
      </c>
      <c r="I2808" t="inlineStr">
        <is>
          <t>2017-08</t>
        </is>
      </c>
      <c r="J2808" t="n">
        <v>1</v>
      </c>
      <c r="K2808" t="n">
        <v>1</v>
      </c>
      <c r="L2808" s="34">
        <f>IF($J2808=1,LN(B2809/B2808),"")</f>
        <v/>
      </c>
      <c r="M2808" s="34">
        <f>IF($K2808=1,INDEX(Mensal!$D$2:$D$245,MATCH($I2808,Mensal!$A$2:$A$245,0)),"")</f>
        <v/>
      </c>
      <c r="N2808" s="34">
        <f>IF($K2808=1,L2808-M2808,"")</f>
        <v/>
      </c>
      <c r="O2808" s="34" t="n">
        <v>0.00034713</v>
      </c>
      <c r="P2808" s="34">
        <f>IF($J2808=1,LN(1+O2808),"")</f>
        <v/>
      </c>
      <c r="Q2808" s="34">
        <f>IF($J2808=1,LN(R2809/R2808),"")</f>
        <v/>
      </c>
      <c r="R2808" s="32" t="n">
        <v>3.1976</v>
      </c>
      <c r="S2808" s="35" t="n">
        <v>7.886</v>
      </c>
      <c r="T2808" s="18" t="n">
        <v>68355.12</v>
      </c>
      <c r="U2808" s="18" t="n"/>
      <c r="V2808" s="18" t="n"/>
      <c r="W2808" s="18" t="n"/>
      <c r="X2808" s="35" t="n"/>
      <c r="Y2808" s="35" t="n">
        <v>7.886</v>
      </c>
    </row>
    <row r="2809">
      <c r="A2809" s="25" t="n">
        <v>42963</v>
      </c>
      <c r="B2809" s="18" t="n">
        <v>68594.28999999999</v>
      </c>
      <c r="C2809" s="31" t="n"/>
      <c r="D2809" s="32" t="n"/>
      <c r="E2809" s="33" t="n">
        <v>-0.1363</v>
      </c>
      <c r="F2809" t="inlineStr">
        <is>
          <t>Up</t>
        </is>
      </c>
      <c r="G2809" t="inlineStr">
        <is>
          <t>Down</t>
        </is>
      </c>
      <c r="H2809" t="inlineStr">
        <is>
          <t>EU_JD</t>
        </is>
      </c>
      <c r="I2809" t="inlineStr">
        <is>
          <t>2017-08</t>
        </is>
      </c>
      <c r="J2809" t="n">
        <v>1</v>
      </c>
      <c r="K2809" t="n">
        <v>1</v>
      </c>
      <c r="L2809" s="34">
        <f>IF($J2809=1,LN(B2810/B2809),"")</f>
        <v/>
      </c>
      <c r="M2809" s="34">
        <f>IF($K2809=1,INDEX(Mensal!$D$2:$D$245,MATCH($I2809,Mensal!$A$2:$A$245,0)),"")</f>
        <v/>
      </c>
      <c r="N2809" s="34">
        <f>IF($K2809=1,L2809-M2809,"")</f>
        <v/>
      </c>
      <c r="O2809" s="34" t="n">
        <v>0.00034713</v>
      </c>
      <c r="P2809" s="34">
        <f>IF($J2809=1,LN(1+O2809),"")</f>
        <v/>
      </c>
      <c r="Q2809" s="34">
        <f>IF($J2809=1,LN(R2810/R2809),"")</f>
        <v/>
      </c>
      <c r="R2809" s="32" t="n">
        <v>3.167</v>
      </c>
      <c r="S2809" s="35" t="n">
        <v>7.863</v>
      </c>
      <c r="T2809" s="18" t="n">
        <v>68594.28999999999</v>
      </c>
      <c r="U2809" s="18" t="n"/>
      <c r="V2809" s="18" t="n"/>
      <c r="W2809" s="18" t="n"/>
      <c r="X2809" s="35" t="n"/>
      <c r="Y2809" s="35" t="n">
        <v>7.863</v>
      </c>
    </row>
    <row r="2810">
      <c r="A2810" s="25" t="n">
        <v>42964</v>
      </c>
      <c r="B2810" s="18" t="n">
        <v>67976.78999999999</v>
      </c>
      <c r="C2810" s="31" t="n"/>
      <c r="D2810" s="32" t="n"/>
      <c r="E2810" s="33" t="n">
        <v>-0.1647</v>
      </c>
      <c r="F2810" t="inlineStr">
        <is>
          <t>Up</t>
        </is>
      </c>
      <c r="G2810" t="inlineStr">
        <is>
          <t>Down</t>
        </is>
      </c>
      <c r="H2810" t="inlineStr">
        <is>
          <t>EU_JD</t>
        </is>
      </c>
      <c r="I2810" t="inlineStr">
        <is>
          <t>2017-08</t>
        </is>
      </c>
      <c r="J2810" t="n">
        <v>1</v>
      </c>
      <c r="K2810" t="n">
        <v>1</v>
      </c>
      <c r="L2810" s="34">
        <f>IF($J2810=1,LN(B2811/B2810),"")</f>
        <v/>
      </c>
      <c r="M2810" s="34">
        <f>IF($K2810=1,INDEX(Mensal!$D$2:$D$245,MATCH($I2810,Mensal!$A$2:$A$245,0)),"")</f>
        <v/>
      </c>
      <c r="N2810" s="34">
        <f>IF($K2810=1,L2810-M2810,"")</f>
        <v/>
      </c>
      <c r="O2810" s="34" t="n">
        <v>0.00034713</v>
      </c>
      <c r="P2810" s="34">
        <f>IF($J2810=1,LN(1+O2810),"")</f>
        <v/>
      </c>
      <c r="Q2810" s="34">
        <f>IF($J2810=1,LN(R2811/R2810),"")</f>
        <v/>
      </c>
      <c r="R2810" s="32" t="n">
        <v>3.1603</v>
      </c>
      <c r="S2810" s="35" t="n">
        <v>7.908</v>
      </c>
      <c r="T2810" s="18" t="n">
        <v>67976.78999999999</v>
      </c>
      <c r="U2810" s="18" t="n"/>
      <c r="V2810" s="18" t="n"/>
      <c r="W2810" s="18" t="n"/>
      <c r="X2810" s="35" t="n"/>
      <c r="Y2810" s="35" t="n">
        <v>7.908</v>
      </c>
    </row>
    <row r="2811">
      <c r="A2811" s="25" t="n">
        <v>42965</v>
      </c>
      <c r="B2811" s="18" t="n">
        <v>68714.64999999999</v>
      </c>
      <c r="C2811" s="31" t="n"/>
      <c r="D2811" s="32" t="n"/>
      <c r="E2811" s="33" t="n">
        <v>-0.1902</v>
      </c>
      <c r="F2811" t="inlineStr">
        <is>
          <t>Up</t>
        </is>
      </c>
      <c r="G2811" t="inlineStr">
        <is>
          <t>Down</t>
        </is>
      </c>
      <c r="H2811" t="inlineStr">
        <is>
          <t>EU_JD</t>
        </is>
      </c>
      <c r="I2811" t="inlineStr">
        <is>
          <t>2017-08</t>
        </is>
      </c>
      <c r="J2811" t="n">
        <v>1</v>
      </c>
      <c r="K2811" t="n">
        <v>1</v>
      </c>
      <c r="L2811" s="34">
        <f>IF($J2811=1,LN(B2812/B2811),"")</f>
        <v/>
      </c>
      <c r="M2811" s="34">
        <f>IF($K2811=1,INDEX(Mensal!$D$2:$D$245,MATCH($I2811,Mensal!$A$2:$A$245,0)),"")</f>
        <v/>
      </c>
      <c r="N2811" s="34">
        <f>IF($K2811=1,L2811-M2811,"")</f>
        <v/>
      </c>
      <c r="O2811" s="34" t="n">
        <v>0.00034713</v>
      </c>
      <c r="P2811" s="34">
        <f>IF($J2811=1,LN(1+O2811),"")</f>
        <v/>
      </c>
      <c r="Q2811" s="34">
        <f>IF($J2811=1,LN(R2812/R2811),"")</f>
        <v/>
      </c>
      <c r="R2811" s="32" t="n">
        <v>3.1654</v>
      </c>
      <c r="S2811" s="35" t="n">
        <v>7.835</v>
      </c>
      <c r="T2811" s="18" t="n">
        <v>68714.64999999999</v>
      </c>
      <c r="U2811" s="18" t="n"/>
      <c r="V2811" s="18" t="n"/>
      <c r="W2811" s="18" t="n"/>
      <c r="X2811" s="35" t="n"/>
      <c r="Y2811" s="35" t="n">
        <v>7.835</v>
      </c>
    </row>
    <row r="2812">
      <c r="A2812" s="25" t="n">
        <v>42968</v>
      </c>
      <c r="B2812" s="18" t="n">
        <v>68634.64</v>
      </c>
      <c r="C2812" s="31" t="n"/>
      <c r="D2812" s="32" t="n"/>
      <c r="E2812" s="33" t="n">
        <v>-0.2136</v>
      </c>
      <c r="F2812" t="inlineStr">
        <is>
          <t>Up</t>
        </is>
      </c>
      <c r="G2812" t="inlineStr">
        <is>
          <t>Down</t>
        </is>
      </c>
      <c r="H2812" t="inlineStr">
        <is>
          <t>EU_JD</t>
        </is>
      </c>
      <c r="I2812" t="inlineStr">
        <is>
          <t>2017-08</t>
        </is>
      </c>
      <c r="J2812" t="n">
        <v>1</v>
      </c>
      <c r="K2812" t="n">
        <v>1</v>
      </c>
      <c r="L2812" s="34">
        <f>IF($J2812=1,LN(B2813/B2812),"")</f>
        <v/>
      </c>
      <c r="M2812" s="34">
        <f>IF($K2812=1,INDEX(Mensal!$D$2:$D$245,MATCH($I2812,Mensal!$A$2:$A$245,0)),"")</f>
        <v/>
      </c>
      <c r="N2812" s="34">
        <f>IF($K2812=1,L2812-M2812,"")</f>
        <v/>
      </c>
      <c r="O2812" s="34" t="n">
        <v>0.00034713</v>
      </c>
      <c r="P2812" s="34">
        <f>IF($J2812=1,LN(1+O2812),"")</f>
        <v/>
      </c>
      <c r="Q2812" s="34">
        <f>IF($J2812=1,LN(R2813/R2812),"")</f>
        <v/>
      </c>
      <c r="R2812" s="32" t="n">
        <v>3.1443</v>
      </c>
      <c r="S2812" s="35" t="n">
        <v>7.841</v>
      </c>
      <c r="T2812" s="18" t="n">
        <v>68634.64</v>
      </c>
      <c r="U2812" s="18" t="n"/>
      <c r="V2812" s="18" t="n"/>
      <c r="W2812" s="18" t="n"/>
      <c r="X2812" s="35" t="n"/>
      <c r="Y2812" s="35" t="n">
        <v>7.841</v>
      </c>
    </row>
    <row r="2813">
      <c r="A2813" s="25" t="n">
        <v>42969</v>
      </c>
      <c r="B2813" s="18" t="n">
        <v>70011.25</v>
      </c>
      <c r="C2813" s="31" t="n"/>
      <c r="D2813" s="32" t="n"/>
      <c r="E2813" s="33" t="n">
        <v>-0.2351</v>
      </c>
      <c r="F2813" t="inlineStr">
        <is>
          <t>Up</t>
        </is>
      </c>
      <c r="G2813" t="inlineStr">
        <is>
          <t>Down</t>
        </is>
      </c>
      <c r="H2813" t="inlineStr">
        <is>
          <t>EU_JD</t>
        </is>
      </c>
      <c r="I2813" t="inlineStr">
        <is>
          <t>2017-08</t>
        </is>
      </c>
      <c r="J2813" t="n">
        <v>1</v>
      </c>
      <c r="K2813" t="n">
        <v>1</v>
      </c>
      <c r="L2813" s="34">
        <f>IF($J2813=1,LN(B2814/B2813),"")</f>
        <v/>
      </c>
      <c r="M2813" s="34">
        <f>IF($K2813=1,INDEX(Mensal!$D$2:$D$245,MATCH($I2813,Mensal!$A$2:$A$245,0)),"")</f>
        <v/>
      </c>
      <c r="N2813" s="34">
        <f>IF($K2813=1,L2813-M2813,"")</f>
        <v/>
      </c>
      <c r="O2813" s="34" t="n">
        <v>0.00034713</v>
      </c>
      <c r="P2813" s="34">
        <f>IF($J2813=1,LN(1+O2813),"")</f>
        <v/>
      </c>
      <c r="Q2813" s="34">
        <f>IF($J2813=1,LN(R2814/R2813),"")</f>
        <v/>
      </c>
      <c r="R2813" s="32" t="n">
        <v>3.1539</v>
      </c>
      <c r="S2813" s="35" t="n">
        <v>7.836</v>
      </c>
      <c r="T2813" s="18" t="n">
        <v>70011.25</v>
      </c>
      <c r="U2813" s="18" t="n"/>
      <c r="V2813" s="18" t="n"/>
      <c r="W2813" s="18" t="n"/>
      <c r="X2813" s="35" t="n"/>
      <c r="Y2813" s="35" t="n">
        <v>7.836</v>
      </c>
    </row>
    <row r="2814">
      <c r="A2814" s="25" t="n">
        <v>42970</v>
      </c>
      <c r="B2814" s="18" t="n">
        <v>70477.63</v>
      </c>
      <c r="C2814" s="31" t="n"/>
      <c r="D2814" s="32" t="n"/>
      <c r="E2814" s="33" t="n">
        <v>-0.2577</v>
      </c>
      <c r="F2814" t="inlineStr">
        <is>
          <t>Up</t>
        </is>
      </c>
      <c r="G2814" t="inlineStr">
        <is>
          <t>Down</t>
        </is>
      </c>
      <c r="H2814" t="inlineStr">
        <is>
          <t>EU_JD</t>
        </is>
      </c>
      <c r="I2814" t="inlineStr">
        <is>
          <t>2017-08</t>
        </is>
      </c>
      <c r="J2814" t="n">
        <v>1</v>
      </c>
      <c r="K2814" t="n">
        <v>1</v>
      </c>
      <c r="L2814" s="34">
        <f>IF($J2814=1,LN(B2815/B2814),"")</f>
        <v/>
      </c>
      <c r="M2814" s="34">
        <f>IF($K2814=1,INDEX(Mensal!$D$2:$D$245,MATCH($I2814,Mensal!$A$2:$A$245,0)),"")</f>
        <v/>
      </c>
      <c r="N2814" s="34">
        <f>IF($K2814=1,L2814-M2814,"")</f>
        <v/>
      </c>
      <c r="O2814" s="34" t="n">
        <v>0.00034713</v>
      </c>
      <c r="P2814" s="34">
        <f>IF($J2814=1,LN(1+O2814),"")</f>
        <v/>
      </c>
      <c r="Q2814" s="34">
        <f>IF($J2814=1,LN(R2815/R2814),"")</f>
        <v/>
      </c>
      <c r="R2814" s="32" t="n">
        <v>3.1569</v>
      </c>
      <c r="S2814" s="35" t="n">
        <v>7.736</v>
      </c>
      <c r="T2814" s="18" t="n">
        <v>70477.63</v>
      </c>
      <c r="U2814" s="18" t="n"/>
      <c r="V2814" s="18" t="n"/>
      <c r="W2814" s="18" t="n"/>
      <c r="X2814" s="35" t="n"/>
      <c r="Y2814" s="35" t="n">
        <v>7.736</v>
      </c>
    </row>
    <row r="2815">
      <c r="A2815" s="25" t="n">
        <v>42971</v>
      </c>
      <c r="B2815" s="18" t="n">
        <v>71132.78999999999</v>
      </c>
      <c r="C2815" s="31" t="n"/>
      <c r="D2815" s="32" t="n"/>
      <c r="E2815" s="33" t="n">
        <v>-0.2785</v>
      </c>
      <c r="F2815" t="inlineStr">
        <is>
          <t>Up</t>
        </is>
      </c>
      <c r="G2815" t="inlineStr">
        <is>
          <t>Down</t>
        </is>
      </c>
      <c r="H2815" t="inlineStr">
        <is>
          <t>EU_JD</t>
        </is>
      </c>
      <c r="I2815" t="inlineStr">
        <is>
          <t>2017-08</t>
        </is>
      </c>
      <c r="J2815" t="n">
        <v>1</v>
      </c>
      <c r="K2815" t="n">
        <v>1</v>
      </c>
      <c r="L2815" s="34">
        <f>IF($J2815=1,LN(B2816/B2815),"")</f>
        <v/>
      </c>
      <c r="M2815" s="34">
        <f>IF($K2815=1,INDEX(Mensal!$D$2:$D$245,MATCH($I2815,Mensal!$A$2:$A$245,0)),"")</f>
        <v/>
      </c>
      <c r="N2815" s="34">
        <f>IF($K2815=1,L2815-M2815,"")</f>
        <v/>
      </c>
      <c r="O2815" s="34" t="n">
        <v>0.00034713</v>
      </c>
      <c r="P2815" s="34">
        <f>IF($J2815=1,LN(1+O2815),"")</f>
        <v/>
      </c>
      <c r="Q2815" s="34">
        <f>IF($J2815=1,LN(R2816/R2815),"")</f>
        <v/>
      </c>
      <c r="R2815" s="32" t="n">
        <v>3.1404</v>
      </c>
      <c r="S2815" s="35" t="n">
        <v>7.674</v>
      </c>
      <c r="T2815" s="18" t="n">
        <v>71132.78999999999</v>
      </c>
      <c r="U2815" s="18" t="n"/>
      <c r="V2815" s="18" t="n"/>
      <c r="W2815" s="18" t="n"/>
      <c r="X2815" s="35" t="n"/>
      <c r="Y2815" s="35" t="n">
        <v>7.674</v>
      </c>
    </row>
    <row r="2816">
      <c r="A2816" s="25" t="n">
        <v>42972</v>
      </c>
      <c r="B2816" s="18" t="n">
        <v>71073.64999999999</v>
      </c>
      <c r="C2816" s="31" t="n"/>
      <c r="D2816" s="32" t="n"/>
      <c r="E2816" s="33" t="n">
        <v>-0.2984</v>
      </c>
      <c r="F2816" t="inlineStr">
        <is>
          <t>Up</t>
        </is>
      </c>
      <c r="G2816" t="inlineStr">
        <is>
          <t>Down</t>
        </is>
      </c>
      <c r="H2816" t="inlineStr">
        <is>
          <t>EU_JD</t>
        </is>
      </c>
      <c r="I2816" t="inlineStr">
        <is>
          <t>2017-08</t>
        </is>
      </c>
      <c r="J2816" t="n">
        <v>1</v>
      </c>
      <c r="K2816" t="n">
        <v>1</v>
      </c>
      <c r="L2816" s="34">
        <f>IF($J2816=1,LN(B2817/B2816),"")</f>
        <v/>
      </c>
      <c r="M2816" s="34">
        <f>IF($K2816=1,INDEX(Mensal!$D$2:$D$245,MATCH($I2816,Mensal!$A$2:$A$245,0)),"")</f>
        <v/>
      </c>
      <c r="N2816" s="34">
        <f>IF($K2816=1,L2816-M2816,"")</f>
        <v/>
      </c>
      <c r="O2816" s="34" t="n">
        <v>0.00034713</v>
      </c>
      <c r="P2816" s="34">
        <f>IF($J2816=1,LN(1+O2816),"")</f>
        <v/>
      </c>
      <c r="Q2816" s="34">
        <f>IF($J2816=1,LN(R2817/R2816),"")</f>
        <v/>
      </c>
      <c r="R2816" s="32" t="n">
        <v>3.1462</v>
      </c>
      <c r="S2816" s="35" t="n">
        <v>7.636</v>
      </c>
      <c r="T2816" s="18" t="n">
        <v>71073.64999999999</v>
      </c>
      <c r="U2816" s="18" t="n"/>
      <c r="V2816" s="18" t="n"/>
      <c r="W2816" s="18" t="n"/>
      <c r="X2816" s="35" t="n"/>
      <c r="Y2816" s="35" t="n">
        <v>7.636</v>
      </c>
    </row>
    <row r="2817">
      <c r="A2817" s="25" t="n">
        <v>42975</v>
      </c>
      <c r="B2817" s="18" t="n">
        <v>71016.59</v>
      </c>
      <c r="C2817" s="31" t="n"/>
      <c r="D2817" s="32" t="n"/>
      <c r="E2817" s="33" t="n">
        <v>-0.3197</v>
      </c>
      <c r="F2817" t="inlineStr">
        <is>
          <t>Up</t>
        </is>
      </c>
      <c r="G2817" t="inlineStr">
        <is>
          <t>Down</t>
        </is>
      </c>
      <c r="H2817" t="inlineStr">
        <is>
          <t>EU_JD</t>
        </is>
      </c>
      <c r="I2817" t="inlineStr">
        <is>
          <t>2017-08</t>
        </is>
      </c>
      <c r="J2817" t="n">
        <v>1</v>
      </c>
      <c r="K2817" t="n">
        <v>1</v>
      </c>
      <c r="L2817" s="34">
        <f>IF($J2817=1,LN(B2818/B2817),"")</f>
        <v/>
      </c>
      <c r="M2817" s="34">
        <f>IF($K2817=1,INDEX(Mensal!$D$2:$D$245,MATCH($I2817,Mensal!$A$2:$A$245,0)),"")</f>
        <v/>
      </c>
      <c r="N2817" s="34">
        <f>IF($K2817=1,L2817-M2817,"")</f>
        <v/>
      </c>
      <c r="O2817" s="34" t="n">
        <v>0.00034713</v>
      </c>
      <c r="P2817" s="34">
        <f>IF($J2817=1,LN(1+O2817),"")</f>
        <v/>
      </c>
      <c r="Q2817" s="34">
        <f>IF($J2817=1,LN(R2818/R2817),"")</f>
        <v/>
      </c>
      <c r="R2817" s="32" t="n">
        <v>3.1563</v>
      </c>
      <c r="S2817" s="35" t="n">
        <v>7.634</v>
      </c>
      <c r="T2817" s="18" t="n">
        <v>71016.59</v>
      </c>
      <c r="U2817" s="18" t="n"/>
      <c r="V2817" s="18" t="n"/>
      <c r="W2817" s="18" t="n"/>
      <c r="X2817" s="35" t="n"/>
      <c r="Y2817" s="35" t="n">
        <v>7.634</v>
      </c>
    </row>
    <row r="2818">
      <c r="A2818" s="25" t="n">
        <v>42976</v>
      </c>
      <c r="B2818" s="18" t="n">
        <v>71329.85000000001</v>
      </c>
      <c r="C2818" s="31" t="n"/>
      <c r="D2818" s="32" t="n"/>
      <c r="E2818" s="33" t="n">
        <v>-0.3267</v>
      </c>
      <c r="F2818" t="inlineStr">
        <is>
          <t>Up</t>
        </is>
      </c>
      <c r="G2818" t="inlineStr">
        <is>
          <t>Down</t>
        </is>
      </c>
      <c r="H2818" t="inlineStr">
        <is>
          <t>EU_JD</t>
        </is>
      </c>
      <c r="I2818" t="inlineStr">
        <is>
          <t>2017-08</t>
        </is>
      </c>
      <c r="J2818" t="n">
        <v>1</v>
      </c>
      <c r="K2818" t="n">
        <v>1</v>
      </c>
      <c r="L2818" s="34">
        <f>IF($J2818=1,LN(B2819/B2818),"")</f>
        <v/>
      </c>
      <c r="M2818" s="34">
        <f>IF($K2818=1,INDEX(Mensal!$D$2:$D$245,MATCH($I2818,Mensal!$A$2:$A$245,0)),"")</f>
        <v/>
      </c>
      <c r="N2818" s="34">
        <f>IF($K2818=1,L2818-M2818,"")</f>
        <v/>
      </c>
      <c r="O2818" s="34" t="n">
        <v>0.00034713</v>
      </c>
      <c r="P2818" s="34">
        <f>IF($J2818=1,LN(1+O2818),"")</f>
        <v/>
      </c>
      <c r="Q2818" s="34">
        <f>IF($J2818=1,LN(R2819/R2818),"")</f>
        <v/>
      </c>
      <c r="R2818" s="32" t="n">
        <v>3.1695</v>
      </c>
      <c r="S2818" s="35" t="n">
        <v>7.586</v>
      </c>
      <c r="T2818" s="18" t="n">
        <v>71329.85000000001</v>
      </c>
      <c r="U2818" s="18" t="n"/>
      <c r="V2818" s="18" t="n"/>
      <c r="W2818" s="18" t="n"/>
      <c r="X2818" s="35" t="n"/>
      <c r="Y2818" s="35" t="n">
        <v>7.586</v>
      </c>
    </row>
    <row r="2819">
      <c r="A2819" s="25" t="n">
        <v>42977</v>
      </c>
      <c r="B2819" s="18" t="n">
        <v>70886.25</v>
      </c>
      <c r="C2819" s="31" t="n"/>
      <c r="D2819" s="32" t="n"/>
      <c r="E2819" s="33" t="n">
        <v>-0.3327</v>
      </c>
      <c r="F2819" t="inlineStr">
        <is>
          <t>Up</t>
        </is>
      </c>
      <c r="G2819" t="inlineStr">
        <is>
          <t>Down</t>
        </is>
      </c>
      <c r="H2819" t="inlineStr">
        <is>
          <t>EU_JD</t>
        </is>
      </c>
      <c r="I2819" t="inlineStr">
        <is>
          <t>2017-08</t>
        </is>
      </c>
      <c r="J2819" t="n">
        <v>1</v>
      </c>
      <c r="K2819" t="n">
        <v>1</v>
      </c>
      <c r="L2819" s="34">
        <f>IF($J2819=1,LN(B2820/B2819),"")</f>
        <v/>
      </c>
      <c r="M2819" s="34">
        <f>IF($K2819=1,INDEX(Mensal!$D$2:$D$245,MATCH($I2819,Mensal!$A$2:$A$245,0)),"")</f>
        <v/>
      </c>
      <c r="N2819" s="34">
        <f>IF($K2819=1,L2819-M2819,"")</f>
        <v/>
      </c>
      <c r="O2819" s="34" t="n">
        <v>0.00034713</v>
      </c>
      <c r="P2819" s="34">
        <f>IF($J2819=1,LN(1+O2819),"")</f>
        <v/>
      </c>
      <c r="Q2819" s="34">
        <f>IF($J2819=1,LN(R2820/R2819),"")</f>
        <v/>
      </c>
      <c r="R2819" s="32" t="n">
        <v>3.1638</v>
      </c>
      <c r="S2819" s="35" t="n">
        <v>7.569</v>
      </c>
      <c r="T2819" s="18" t="n">
        <v>70886.25</v>
      </c>
      <c r="U2819" s="18" t="n"/>
      <c r="V2819" s="18" t="n"/>
      <c r="W2819" s="18" t="n"/>
      <c r="X2819" s="35" t="n"/>
      <c r="Y2819" s="35" t="n">
        <v>7.569</v>
      </c>
    </row>
    <row r="2820">
      <c r="A2820" s="25" t="n">
        <v>42978</v>
      </c>
      <c r="B2820" s="18" t="n">
        <v>70835.05</v>
      </c>
      <c r="C2820" s="31" t="n"/>
      <c r="D2820" s="32" t="n"/>
      <c r="E2820" s="33" t="n">
        <v>-0.3315</v>
      </c>
      <c r="F2820" t="inlineStr">
        <is>
          <t>Up</t>
        </is>
      </c>
      <c r="G2820" t="inlineStr">
        <is>
          <t>Down</t>
        </is>
      </c>
      <c r="H2820" t="inlineStr">
        <is>
          <t>EU_JD</t>
        </is>
      </c>
      <c r="I2820" t="inlineStr">
        <is>
          <t>2017-08</t>
        </is>
      </c>
      <c r="J2820" t="n">
        <v>1</v>
      </c>
      <c r="K2820" t="n">
        <v>1</v>
      </c>
      <c r="L2820" s="34">
        <f>IF($J2820=1,LN(B2821/B2820),"")</f>
        <v/>
      </c>
      <c r="M2820" s="34">
        <f>IF($K2820=1,INDEX(Mensal!$D$2:$D$245,MATCH($I2820,Mensal!$A$2:$A$245,0)),"")</f>
        <v/>
      </c>
      <c r="N2820" s="34">
        <f>IF($K2820=1,L2820-M2820,"")</f>
        <v/>
      </c>
      <c r="O2820" s="34" t="n">
        <v>0.00034713</v>
      </c>
      <c r="P2820" s="34">
        <f>IF($J2820=1,LN(1+O2820),"")</f>
        <v/>
      </c>
      <c r="Q2820" s="34">
        <f>IF($J2820=1,LN(R2821/R2820),"")</f>
        <v/>
      </c>
      <c r="R2820" s="32" t="n">
        <v>3.1471</v>
      </c>
      <c r="S2820" s="35" t="n">
        <v>7.573</v>
      </c>
      <c r="T2820" s="18" t="n">
        <v>70835.05</v>
      </c>
      <c r="U2820" s="18" t="n"/>
      <c r="V2820" s="18" t="n"/>
      <c r="W2820" s="18" t="n"/>
      <c r="X2820" s="35" t="n"/>
      <c r="Y2820" s="35" t="n">
        <v>7.573</v>
      </c>
    </row>
    <row r="2821">
      <c r="A2821" s="25" t="n">
        <v>42979</v>
      </c>
      <c r="B2821" s="18" t="n">
        <v>71923.11</v>
      </c>
      <c r="C2821" s="31" t="n"/>
      <c r="D2821" s="32" t="n"/>
      <c r="E2821" s="33" t="n">
        <v>-0.3275</v>
      </c>
      <c r="F2821" t="inlineStr">
        <is>
          <t>Up</t>
        </is>
      </c>
      <c r="G2821" t="inlineStr">
        <is>
          <t>Down</t>
        </is>
      </c>
      <c r="H2821" t="inlineStr">
        <is>
          <t>EU_JD</t>
        </is>
      </c>
      <c r="I2821" t="inlineStr">
        <is>
          <t>2017-09</t>
        </is>
      </c>
      <c r="J2821" t="n">
        <v>1</v>
      </c>
      <c r="K2821" t="n">
        <v>1</v>
      </c>
      <c r="L2821" s="34">
        <f>IF($J2821=1,LN(B2822/B2821),"")</f>
        <v/>
      </c>
      <c r="M2821" s="34">
        <f>IF($K2821=1,INDEX(Mensal!$D$2:$D$245,MATCH($I2821,Mensal!$A$2:$A$245,0)),"")</f>
        <v/>
      </c>
      <c r="N2821" s="34">
        <f>IF($K2821=1,L2821-M2821,"")</f>
        <v/>
      </c>
      <c r="O2821" s="34" t="n">
        <v>0.00034713</v>
      </c>
      <c r="P2821" s="34">
        <f>IF($J2821=1,LN(1+O2821),"")</f>
        <v/>
      </c>
      <c r="Q2821" s="34">
        <f>IF($J2821=1,LN(R2822/R2821),"")</f>
        <v/>
      </c>
      <c r="R2821" s="32" t="n">
        <v>3.1333</v>
      </c>
      <c r="S2821" s="35" t="n">
        <v>7.615</v>
      </c>
      <c r="T2821" s="18" t="n">
        <v>71923.11</v>
      </c>
      <c r="U2821" s="18" t="n"/>
      <c r="V2821" s="18" t="n"/>
      <c r="W2821" s="18" t="n"/>
      <c r="X2821" s="35" t="n"/>
      <c r="Y2821" s="35" t="n">
        <v>7.615</v>
      </c>
    </row>
    <row r="2822">
      <c r="A2822" s="25" t="n">
        <v>42982</v>
      </c>
      <c r="B2822" s="18" t="n">
        <v>72128.83</v>
      </c>
      <c r="C2822" s="31" t="n"/>
      <c r="D2822" s="32" t="n"/>
      <c r="E2822" s="33" t="n">
        <v>-0.3312</v>
      </c>
      <c r="F2822" t="inlineStr">
        <is>
          <t>Up</t>
        </is>
      </c>
      <c r="G2822" t="inlineStr">
        <is>
          <t>Down</t>
        </is>
      </c>
      <c r="H2822" t="inlineStr">
        <is>
          <t>EU_JD</t>
        </is>
      </c>
      <c r="I2822" t="inlineStr">
        <is>
          <t>2017-09</t>
        </is>
      </c>
      <c r="J2822" t="n">
        <v>1</v>
      </c>
      <c r="K2822" t="n">
        <v>1</v>
      </c>
      <c r="L2822" s="34">
        <f>IF($J2822=1,LN(B2823/B2822),"")</f>
        <v/>
      </c>
      <c r="M2822" s="34">
        <f>IF($K2822=1,INDEX(Mensal!$D$2:$D$245,MATCH($I2822,Mensal!$A$2:$A$245,0)),"")</f>
        <v/>
      </c>
      <c r="N2822" s="34">
        <f>IF($K2822=1,L2822-M2822,"")</f>
        <v/>
      </c>
      <c r="O2822" s="34" t="n">
        <v>0.00034713</v>
      </c>
      <c r="P2822" s="34">
        <f>IF($J2822=1,LN(1+O2822),"")</f>
        <v/>
      </c>
      <c r="Q2822" s="34">
        <f>IF($J2822=1,LN(R2823/R2822),"")</f>
        <v/>
      </c>
      <c r="R2822" s="32" t="n">
        <v>3.1389</v>
      </c>
      <c r="S2822" s="35" t="n">
        <v>7.636</v>
      </c>
      <c r="T2822" s="18" t="n">
        <v>72128.83</v>
      </c>
      <c r="U2822" s="18" t="n"/>
      <c r="V2822" s="18" t="n"/>
      <c r="W2822" s="18" t="n"/>
      <c r="X2822" s="35" t="n"/>
      <c r="Y2822" s="35" t="n">
        <v>7.636</v>
      </c>
    </row>
    <row r="2823">
      <c r="A2823" s="25" t="n">
        <v>42983</v>
      </c>
      <c r="B2823" s="18" t="n">
        <v>72150.87</v>
      </c>
      <c r="C2823" s="31" t="n"/>
      <c r="D2823" s="32" t="n"/>
      <c r="E2823" s="33" t="n">
        <v>-0.3384</v>
      </c>
      <c r="F2823" t="inlineStr">
        <is>
          <t>Up</t>
        </is>
      </c>
      <c r="G2823" t="inlineStr">
        <is>
          <t>Down</t>
        </is>
      </c>
      <c r="H2823" t="inlineStr">
        <is>
          <t>EU_JD</t>
        </is>
      </c>
      <c r="I2823" t="inlineStr">
        <is>
          <t>2017-09</t>
        </is>
      </c>
      <c r="J2823" t="n">
        <v>1</v>
      </c>
      <c r="K2823" t="n">
        <v>1</v>
      </c>
      <c r="L2823" s="34">
        <f>IF($J2823=1,LN(B2824/B2823),"")</f>
        <v/>
      </c>
      <c r="M2823" s="34">
        <f>IF($K2823=1,INDEX(Mensal!$D$2:$D$245,MATCH($I2823,Mensal!$A$2:$A$245,0)),"")</f>
        <v/>
      </c>
      <c r="N2823" s="34">
        <f>IF($K2823=1,L2823-M2823,"")</f>
        <v/>
      </c>
      <c r="O2823" s="34" t="n">
        <v>0.00034713</v>
      </c>
      <c r="P2823" s="34">
        <f>IF($J2823=1,LN(1+O2823),"")</f>
        <v/>
      </c>
      <c r="Q2823" s="34">
        <f>IF($J2823=1,LN(R2824/R2823),"")</f>
        <v/>
      </c>
      <c r="R2823" s="32" t="n">
        <v>3.1203</v>
      </c>
      <c r="S2823" s="35" t="n">
        <v>7.622</v>
      </c>
      <c r="T2823" s="18" t="n">
        <v>72150.87</v>
      </c>
      <c r="U2823" s="18" t="n"/>
      <c r="V2823" s="18" t="n"/>
      <c r="W2823" s="18" t="n"/>
      <c r="X2823" s="35" t="n"/>
      <c r="Y2823" s="35" t="n">
        <v>7.622</v>
      </c>
    </row>
    <row r="2824">
      <c r="A2824" s="25" t="n">
        <v>42984</v>
      </c>
      <c r="B2824" s="18" t="n">
        <v>73412.41</v>
      </c>
      <c r="C2824" s="31" t="n"/>
      <c r="D2824" s="32" t="n"/>
      <c r="E2824" s="33" t="n">
        <v>-0.3505</v>
      </c>
      <c r="F2824" t="inlineStr">
        <is>
          <t>Up</t>
        </is>
      </c>
      <c r="G2824" t="inlineStr">
        <is>
          <t>Down</t>
        </is>
      </c>
      <c r="H2824" t="inlineStr">
        <is>
          <t>EU_JD</t>
        </is>
      </c>
      <c r="I2824" t="inlineStr">
        <is>
          <t>2017-09</t>
        </is>
      </c>
      <c r="J2824" t="n">
        <v>1</v>
      </c>
      <c r="K2824" t="n">
        <v>1</v>
      </c>
      <c r="L2824" s="34">
        <f>IF($J2824=1,LN(B2825/B2824),"")</f>
        <v/>
      </c>
      <c r="M2824" s="34">
        <f>IF($K2824=1,INDEX(Mensal!$D$2:$D$245,MATCH($I2824,Mensal!$A$2:$A$245,0)),"")</f>
        <v/>
      </c>
      <c r="N2824" s="34">
        <f>IF($K2824=1,L2824-M2824,"")</f>
        <v/>
      </c>
      <c r="O2824" s="34" t="n">
        <v>0.00034713</v>
      </c>
      <c r="P2824" s="34">
        <f>IF($J2824=1,LN(1+O2824),"")</f>
        <v/>
      </c>
      <c r="Q2824" s="34">
        <f>IF($J2824=1,LN(R2825/R2824),"")</f>
        <v/>
      </c>
      <c r="R2824" s="32" t="n">
        <v>3.1133</v>
      </c>
      <c r="S2824" s="35" t="n">
        <v>7.483</v>
      </c>
      <c r="T2824" s="18" t="n">
        <v>73412.41</v>
      </c>
      <c r="U2824" s="18" t="n"/>
      <c r="V2824" s="18" t="n"/>
      <c r="W2824" s="18" t="n"/>
      <c r="X2824" s="35" t="n"/>
      <c r="Y2824" s="35" t="n">
        <v>7.483</v>
      </c>
    </row>
    <row r="2825">
      <c r="A2825" s="25" t="n">
        <v>42986</v>
      </c>
      <c r="B2825" s="18" t="n">
        <v>73078.85000000001</v>
      </c>
      <c r="C2825" s="31" t="n"/>
      <c r="D2825" s="32" t="n"/>
      <c r="E2825" s="33" t="n">
        <v>-0.367</v>
      </c>
      <c r="F2825" t="inlineStr">
        <is>
          <t>Up</t>
        </is>
      </c>
      <c r="G2825" t="inlineStr">
        <is>
          <t>Down</t>
        </is>
      </c>
      <c r="H2825" t="inlineStr">
        <is>
          <t>EU_JD</t>
        </is>
      </c>
      <c r="I2825" t="inlineStr">
        <is>
          <t>2017-09</t>
        </is>
      </c>
      <c r="J2825" t="n">
        <v>1</v>
      </c>
      <c r="K2825" t="n">
        <v>1</v>
      </c>
      <c r="L2825" s="34">
        <f>IF($J2825=1,LN(B2826/B2825),"")</f>
        <v/>
      </c>
      <c r="M2825" s="34">
        <f>IF($K2825=1,INDEX(Mensal!$D$2:$D$245,MATCH($I2825,Mensal!$A$2:$A$245,0)),"")</f>
        <v/>
      </c>
      <c r="N2825" s="34">
        <f>IF($K2825=1,L2825-M2825,"")</f>
        <v/>
      </c>
      <c r="O2825" s="34" t="n">
        <v>0.00031059</v>
      </c>
      <c r="P2825" s="34">
        <f>IF($J2825=1,LN(1+O2825),"")</f>
        <v/>
      </c>
      <c r="Q2825" s="34">
        <f>IF($J2825=1,LN(R2826/R2825),"")</f>
        <v/>
      </c>
      <c r="R2825" s="32" t="n">
        <v>3.0908</v>
      </c>
      <c r="S2825" s="35" t="n">
        <v>7.442</v>
      </c>
      <c r="T2825" s="18" t="n">
        <v>73078.85000000001</v>
      </c>
      <c r="U2825" s="18" t="n"/>
      <c r="V2825" s="18" t="n"/>
      <c r="W2825" s="18" t="n"/>
      <c r="X2825" s="35" t="n"/>
      <c r="Y2825" s="35" t="n">
        <v>7.442</v>
      </c>
    </row>
    <row r="2826">
      <c r="A2826" s="25" t="n">
        <v>42989</v>
      </c>
      <c r="B2826" s="18" t="n">
        <v>74319.21000000001</v>
      </c>
      <c r="C2826" s="31" t="n"/>
      <c r="D2826" s="32" t="n"/>
      <c r="E2826" s="33" t="n">
        <v>-0.3687</v>
      </c>
      <c r="F2826" t="inlineStr">
        <is>
          <t>Up</t>
        </is>
      </c>
      <c r="G2826" t="inlineStr">
        <is>
          <t>Down</t>
        </is>
      </c>
      <c r="H2826" t="inlineStr">
        <is>
          <t>EU_JD</t>
        </is>
      </c>
      <c r="I2826" t="inlineStr">
        <is>
          <t>2017-09</t>
        </is>
      </c>
      <c r="J2826" t="n">
        <v>1</v>
      </c>
      <c r="K2826" t="n">
        <v>1</v>
      </c>
      <c r="L2826" s="34">
        <f>IF($J2826=1,LN(B2827/B2826),"")</f>
        <v/>
      </c>
      <c r="M2826" s="34">
        <f>IF($K2826=1,INDEX(Mensal!$D$2:$D$245,MATCH($I2826,Mensal!$A$2:$A$245,0)),"")</f>
        <v/>
      </c>
      <c r="N2826" s="34">
        <f>IF($K2826=1,L2826-M2826,"")</f>
        <v/>
      </c>
      <c r="O2826" s="34" t="n">
        <v>0.00031059</v>
      </c>
      <c r="P2826" s="34">
        <f>IF($J2826=1,LN(1+O2826),"")</f>
        <v/>
      </c>
      <c r="Q2826" s="34">
        <f>IF($J2826=1,LN(R2827/R2826),"")</f>
        <v/>
      </c>
      <c r="R2826" s="32" t="n">
        <v>3.0852</v>
      </c>
      <c r="S2826" s="35" t="n">
        <v>7.488</v>
      </c>
      <c r="T2826" s="18" t="n">
        <v>74319.21000000001</v>
      </c>
      <c r="U2826" s="18" t="n"/>
      <c r="V2826" s="18" t="n"/>
      <c r="W2826" s="18" t="n"/>
      <c r="X2826" s="35" t="n"/>
      <c r="Y2826" s="35" t="n">
        <v>7.488</v>
      </c>
    </row>
    <row r="2827">
      <c r="A2827" s="25" t="n">
        <v>42990</v>
      </c>
      <c r="B2827" s="18" t="n">
        <v>74538.55</v>
      </c>
      <c r="C2827" s="31" t="n"/>
      <c r="D2827" s="32" t="n"/>
      <c r="E2827" s="33" t="n">
        <v>-0.3712</v>
      </c>
      <c r="F2827" t="inlineStr">
        <is>
          <t>Up</t>
        </is>
      </c>
      <c r="G2827" t="inlineStr">
        <is>
          <t>Down</t>
        </is>
      </c>
      <c r="H2827" t="inlineStr">
        <is>
          <t>EU_JD</t>
        </is>
      </c>
      <c r="I2827" t="inlineStr">
        <is>
          <t>2017-09</t>
        </is>
      </c>
      <c r="J2827" t="n">
        <v>1</v>
      </c>
      <c r="K2827" t="n">
        <v>1</v>
      </c>
      <c r="L2827" s="34">
        <f>IF($J2827=1,LN(B2828/B2827),"")</f>
        <v/>
      </c>
      <c r="M2827" s="34">
        <f>IF($K2827=1,INDEX(Mensal!$D$2:$D$245,MATCH($I2827,Mensal!$A$2:$A$245,0)),"")</f>
        <v/>
      </c>
      <c r="N2827" s="34">
        <f>IF($K2827=1,L2827-M2827,"")</f>
        <v/>
      </c>
      <c r="O2827" s="34" t="n">
        <v>0.00031059</v>
      </c>
      <c r="P2827" s="34">
        <f>IF($J2827=1,LN(1+O2827),"")</f>
        <v/>
      </c>
      <c r="Q2827" s="34">
        <f>IF($J2827=1,LN(R2828/R2827),"")</f>
        <v/>
      </c>
      <c r="R2827" s="32" t="n">
        <v>3.1144</v>
      </c>
      <c r="S2827" s="35" t="n">
        <v>7.45</v>
      </c>
      <c r="T2827" s="18" t="n">
        <v>74538.55</v>
      </c>
      <c r="U2827" s="18" t="n"/>
      <c r="V2827" s="18" t="n"/>
      <c r="W2827" s="18" t="n"/>
      <c r="X2827" s="35" t="n"/>
      <c r="Y2827" s="35" t="n">
        <v>7.45</v>
      </c>
    </row>
    <row r="2828">
      <c r="A2828" s="25" t="n">
        <v>42991</v>
      </c>
      <c r="B2828" s="18" t="n">
        <v>74787.56</v>
      </c>
      <c r="C2828" s="31" t="n"/>
      <c r="D2828" s="32" t="n"/>
      <c r="E2828" s="33" t="n">
        <v>-0.3703</v>
      </c>
      <c r="F2828" t="inlineStr">
        <is>
          <t>Up</t>
        </is>
      </c>
      <c r="G2828" t="inlineStr">
        <is>
          <t>Down</t>
        </is>
      </c>
      <c r="H2828" t="inlineStr">
        <is>
          <t>EU_JD</t>
        </is>
      </c>
      <c r="I2828" t="inlineStr">
        <is>
          <t>2017-09</t>
        </is>
      </c>
      <c r="J2828" t="n">
        <v>1</v>
      </c>
      <c r="K2828" t="n">
        <v>1</v>
      </c>
      <c r="L2828" s="34">
        <f>IF($J2828=1,LN(B2829/B2828),"")</f>
        <v/>
      </c>
      <c r="M2828" s="34">
        <f>IF($K2828=1,INDEX(Mensal!$D$2:$D$245,MATCH($I2828,Mensal!$A$2:$A$245,0)),"")</f>
        <v/>
      </c>
      <c r="N2828" s="34">
        <f>IF($K2828=1,L2828-M2828,"")</f>
        <v/>
      </c>
      <c r="O2828" s="34" t="n">
        <v>0.00031059</v>
      </c>
      <c r="P2828" s="34">
        <f>IF($J2828=1,LN(1+O2828),"")</f>
        <v/>
      </c>
      <c r="Q2828" s="34">
        <f>IF($J2828=1,LN(R2829/R2828),"")</f>
        <v/>
      </c>
      <c r="R2828" s="32" t="n">
        <v>3.1343</v>
      </c>
      <c r="S2828" s="35" t="n">
        <v>7.422</v>
      </c>
      <c r="T2828" s="18" t="n">
        <v>74787.56</v>
      </c>
      <c r="U2828" s="18" t="n"/>
      <c r="V2828" s="18" t="n"/>
      <c r="W2828" s="18" t="n"/>
      <c r="X2828" s="35" t="n"/>
      <c r="Y2828" s="35" t="n">
        <v>7.422</v>
      </c>
    </row>
    <row r="2829">
      <c r="A2829" s="25" t="n">
        <v>42992</v>
      </c>
      <c r="B2829" s="18" t="n">
        <v>74656.67999999999</v>
      </c>
      <c r="C2829" s="31" t="n"/>
      <c r="D2829" s="32" t="n"/>
      <c r="E2829" s="33" t="n">
        <v>-0.368</v>
      </c>
      <c r="F2829" t="inlineStr">
        <is>
          <t>Up</t>
        </is>
      </c>
      <c r="G2829" t="inlineStr">
        <is>
          <t>Down</t>
        </is>
      </c>
      <c r="H2829" t="inlineStr">
        <is>
          <t>EU_JD</t>
        </is>
      </c>
      <c r="I2829" t="inlineStr">
        <is>
          <t>2017-09</t>
        </is>
      </c>
      <c r="J2829" t="n">
        <v>1</v>
      </c>
      <c r="K2829" t="n">
        <v>1</v>
      </c>
      <c r="L2829" s="34">
        <f>IF($J2829=1,LN(B2830/B2829),"")</f>
        <v/>
      </c>
      <c r="M2829" s="34">
        <f>IF($K2829=1,INDEX(Mensal!$D$2:$D$245,MATCH($I2829,Mensal!$A$2:$A$245,0)),"")</f>
        <v/>
      </c>
      <c r="N2829" s="34">
        <f>IF($K2829=1,L2829-M2829,"")</f>
        <v/>
      </c>
      <c r="O2829" s="34" t="n">
        <v>0.00031059</v>
      </c>
      <c r="P2829" s="34">
        <f>IF($J2829=1,LN(1+O2829),"")</f>
        <v/>
      </c>
      <c r="Q2829" s="34">
        <f>IF($J2829=1,LN(R2830/R2829),"")</f>
        <v/>
      </c>
      <c r="R2829" s="32" t="n">
        <v>3.1354</v>
      </c>
      <c r="S2829" s="35" t="n">
        <v>7.373</v>
      </c>
      <c r="T2829" s="18" t="n">
        <v>74656.67999999999</v>
      </c>
      <c r="U2829" s="18" t="n"/>
      <c r="V2829" s="18" t="n"/>
      <c r="W2829" s="18" t="n"/>
      <c r="X2829" s="35" t="n"/>
      <c r="Y2829" s="35" t="n">
        <v>7.373</v>
      </c>
    </row>
    <row r="2830">
      <c r="A2830" s="25" t="n">
        <v>42993</v>
      </c>
      <c r="B2830" s="18" t="n">
        <v>75756.50999999999</v>
      </c>
      <c r="C2830" s="31" t="n"/>
      <c r="D2830" s="32" t="n"/>
      <c r="E2830" s="33" t="n">
        <v>-0.3483</v>
      </c>
      <c r="F2830" t="inlineStr">
        <is>
          <t>Up</t>
        </is>
      </c>
      <c r="G2830" t="inlineStr">
        <is>
          <t>Down</t>
        </is>
      </c>
      <c r="H2830" t="inlineStr">
        <is>
          <t>EU_JD</t>
        </is>
      </c>
      <c r="I2830" t="inlineStr">
        <is>
          <t>2017-09</t>
        </is>
      </c>
      <c r="J2830" t="n">
        <v>1</v>
      </c>
      <c r="K2830" t="n">
        <v>1</v>
      </c>
      <c r="L2830" s="34">
        <f>IF($J2830=1,LN(B2831/B2830),"")</f>
        <v/>
      </c>
      <c r="M2830" s="34">
        <f>IF($K2830=1,INDEX(Mensal!$D$2:$D$245,MATCH($I2830,Mensal!$A$2:$A$245,0)),"")</f>
        <v/>
      </c>
      <c r="N2830" s="34">
        <f>IF($K2830=1,L2830-M2830,"")</f>
        <v/>
      </c>
      <c r="O2830" s="34" t="n">
        <v>0.00031059</v>
      </c>
      <c r="P2830" s="34">
        <f>IF($J2830=1,LN(1+O2830),"")</f>
        <v/>
      </c>
      <c r="Q2830" s="34">
        <f>IF($J2830=1,LN(R2831/R2830),"")</f>
        <v/>
      </c>
      <c r="R2830" s="32" t="n">
        <v>3.1255</v>
      </c>
      <c r="S2830" s="35" t="n">
        <v>7.359</v>
      </c>
      <c r="T2830" s="18" t="n">
        <v>75756.50999999999</v>
      </c>
      <c r="U2830" s="18" t="n"/>
      <c r="V2830" s="18" t="n"/>
      <c r="W2830" s="18" t="n"/>
      <c r="X2830" s="35" t="n"/>
      <c r="Y2830" s="35" t="n">
        <v>7.359</v>
      </c>
    </row>
    <row r="2831">
      <c r="A2831" s="25" t="n">
        <v>42996</v>
      </c>
      <c r="B2831" s="18" t="n">
        <v>75990.39999999999</v>
      </c>
      <c r="C2831" s="31" t="n"/>
      <c r="D2831" s="32" t="n"/>
      <c r="E2831" s="33" t="n">
        <v>-0.3246</v>
      </c>
      <c r="F2831" t="inlineStr">
        <is>
          <t>Up</t>
        </is>
      </c>
      <c r="G2831" t="inlineStr">
        <is>
          <t>Down</t>
        </is>
      </c>
      <c r="H2831" t="inlineStr">
        <is>
          <t>EU_JD</t>
        </is>
      </c>
      <c r="I2831" t="inlineStr">
        <is>
          <t>2017-09</t>
        </is>
      </c>
      <c r="J2831" t="n">
        <v>1</v>
      </c>
      <c r="K2831" t="n">
        <v>1</v>
      </c>
      <c r="L2831" s="34">
        <f>IF($J2831=1,LN(B2832/B2831),"")</f>
        <v/>
      </c>
      <c r="M2831" s="34">
        <f>IF($K2831=1,INDEX(Mensal!$D$2:$D$245,MATCH($I2831,Mensal!$A$2:$A$245,0)),"")</f>
        <v/>
      </c>
      <c r="N2831" s="34">
        <f>IF($K2831=1,L2831-M2831,"")</f>
        <v/>
      </c>
      <c r="O2831" s="34" t="n">
        <v>0.00031059</v>
      </c>
      <c r="P2831" s="34">
        <f>IF($J2831=1,LN(1+O2831),"")</f>
        <v/>
      </c>
      <c r="Q2831" s="34">
        <f>IF($J2831=1,LN(R2832/R2831),"")</f>
        <v/>
      </c>
      <c r="R2831" s="32" t="n">
        <v>3.1239</v>
      </c>
      <c r="S2831" s="35" t="n">
        <v>7.305</v>
      </c>
      <c r="T2831" s="18" t="n">
        <v>75990.39999999999</v>
      </c>
      <c r="U2831" s="18" t="n"/>
      <c r="V2831" s="18" t="n"/>
      <c r="W2831" s="18" t="n"/>
      <c r="X2831" s="35" t="n"/>
      <c r="Y2831" s="35" t="n">
        <v>7.305</v>
      </c>
    </row>
    <row r="2832">
      <c r="A2832" s="25" t="n">
        <v>42997</v>
      </c>
      <c r="B2832" s="18" t="n">
        <v>75974.17999999999</v>
      </c>
      <c r="C2832" s="31" t="n"/>
      <c r="D2832" s="32" t="n"/>
      <c r="E2832" s="33" t="n">
        <v>-0.3093</v>
      </c>
      <c r="F2832" t="inlineStr">
        <is>
          <t>Up</t>
        </is>
      </c>
      <c r="G2832" t="inlineStr">
        <is>
          <t>Down</t>
        </is>
      </c>
      <c r="H2832" t="inlineStr">
        <is>
          <t>EU_JD</t>
        </is>
      </c>
      <c r="I2832" t="inlineStr">
        <is>
          <t>2017-09</t>
        </is>
      </c>
      <c r="J2832" t="n">
        <v>1</v>
      </c>
      <c r="K2832" t="n">
        <v>1</v>
      </c>
      <c r="L2832" s="34">
        <f>IF($J2832=1,LN(B2833/B2832),"")</f>
        <v/>
      </c>
      <c r="M2832" s="34">
        <f>IF($K2832=1,INDEX(Mensal!$D$2:$D$245,MATCH($I2832,Mensal!$A$2:$A$245,0)),"")</f>
        <v/>
      </c>
      <c r="N2832" s="34">
        <f>IF($K2832=1,L2832-M2832,"")</f>
        <v/>
      </c>
      <c r="O2832" s="34" t="n">
        <v>0.00031059</v>
      </c>
      <c r="P2832" s="34">
        <f>IF($J2832=1,LN(1+O2832),"")</f>
        <v/>
      </c>
      <c r="Q2832" s="34">
        <f>IF($J2832=1,LN(R2833/R2832),"")</f>
        <v/>
      </c>
      <c r="R2832" s="32" t="n">
        <v>3.1323</v>
      </c>
      <c r="S2832" s="35" t="n">
        <v>7.251</v>
      </c>
      <c r="T2832" s="18" t="n">
        <v>75974.17999999999</v>
      </c>
      <c r="U2832" s="18" t="n"/>
      <c r="V2832" s="18" t="n"/>
      <c r="W2832" s="18" t="n"/>
      <c r="X2832" s="35" t="n"/>
      <c r="Y2832" s="35" t="n">
        <v>7.251</v>
      </c>
    </row>
    <row r="2833">
      <c r="A2833" s="25" t="n">
        <v>42998</v>
      </c>
      <c r="B2833" s="18" t="n">
        <v>76004.14999999999</v>
      </c>
      <c r="C2833" s="31" t="n"/>
      <c r="D2833" s="32" t="n"/>
      <c r="E2833" s="33" t="n">
        <v>-0.2991</v>
      </c>
      <c r="F2833" t="inlineStr">
        <is>
          <t>Up</t>
        </is>
      </c>
      <c r="G2833" t="inlineStr">
        <is>
          <t>Down</t>
        </is>
      </c>
      <c r="H2833" t="inlineStr">
        <is>
          <t>EU_JD</t>
        </is>
      </c>
      <c r="I2833" t="inlineStr">
        <is>
          <t>2017-09</t>
        </is>
      </c>
      <c r="J2833" t="n">
        <v>1</v>
      </c>
      <c r="K2833" t="n">
        <v>1</v>
      </c>
      <c r="L2833" s="34">
        <f>IF($J2833=1,LN(B2834/B2833),"")</f>
        <v/>
      </c>
      <c r="M2833" s="34">
        <f>IF($K2833=1,INDEX(Mensal!$D$2:$D$245,MATCH($I2833,Mensal!$A$2:$A$245,0)),"")</f>
        <v/>
      </c>
      <c r="N2833" s="34">
        <f>IF($K2833=1,L2833-M2833,"")</f>
        <v/>
      </c>
      <c r="O2833" s="34" t="n">
        <v>0.00031059</v>
      </c>
      <c r="P2833" s="34">
        <f>IF($J2833=1,LN(1+O2833),"")</f>
        <v/>
      </c>
      <c r="Q2833" s="34">
        <f>IF($J2833=1,LN(R2834/R2833),"")</f>
        <v/>
      </c>
      <c r="R2833" s="32" t="n">
        <v>3.1281</v>
      </c>
      <c r="S2833" s="35" t="n">
        <v>7.24</v>
      </c>
      <c r="T2833" s="18" t="n">
        <v>76004.14999999999</v>
      </c>
      <c r="U2833" s="18" t="n"/>
      <c r="V2833" s="18" t="n"/>
      <c r="W2833" s="18" t="n"/>
      <c r="X2833" s="35" t="n"/>
      <c r="Y2833" s="35" t="n">
        <v>7.24</v>
      </c>
    </row>
    <row r="2834">
      <c r="A2834" s="25" t="n">
        <v>42999</v>
      </c>
      <c r="B2834" s="18" t="n">
        <v>75604.34</v>
      </c>
      <c r="C2834" s="31" t="n"/>
      <c r="D2834" s="32" t="n"/>
      <c r="E2834" s="33" t="n">
        <v>-0.2894</v>
      </c>
      <c r="F2834" t="inlineStr">
        <is>
          <t>Up</t>
        </is>
      </c>
      <c r="G2834" t="inlineStr">
        <is>
          <t>Down</t>
        </is>
      </c>
      <c r="H2834" t="inlineStr">
        <is>
          <t>EU_JD</t>
        </is>
      </c>
      <c r="I2834" t="inlineStr">
        <is>
          <t>2017-09</t>
        </is>
      </c>
      <c r="J2834" t="n">
        <v>1</v>
      </c>
      <c r="K2834" t="n">
        <v>1</v>
      </c>
      <c r="L2834" s="34">
        <f>IF($J2834=1,LN(B2835/B2834),"")</f>
        <v/>
      </c>
      <c r="M2834" s="34">
        <f>IF($K2834=1,INDEX(Mensal!$D$2:$D$245,MATCH($I2834,Mensal!$A$2:$A$245,0)),"")</f>
        <v/>
      </c>
      <c r="N2834" s="34">
        <f>IF($K2834=1,L2834-M2834,"")</f>
        <v/>
      </c>
      <c r="O2834" s="34" t="n">
        <v>0.00031059</v>
      </c>
      <c r="P2834" s="34">
        <f>IF($J2834=1,LN(1+O2834),"")</f>
        <v/>
      </c>
      <c r="Q2834" s="34">
        <f>IF($J2834=1,LN(R2835/R2834),"")</f>
        <v/>
      </c>
      <c r="R2834" s="32" t="n">
        <v>3.1347</v>
      </c>
      <c r="S2834" s="35" t="n">
        <v>7.174</v>
      </c>
      <c r="T2834" s="18" t="n">
        <v>75604.34</v>
      </c>
      <c r="U2834" s="18" t="n"/>
      <c r="V2834" s="18" t="n"/>
      <c r="W2834" s="18" t="n"/>
      <c r="X2834" s="35" t="n"/>
      <c r="Y2834" s="35" t="n">
        <v>7.174</v>
      </c>
    </row>
    <row r="2835">
      <c r="A2835" s="25" t="n">
        <v>43000</v>
      </c>
      <c r="B2835" s="18" t="n">
        <v>75389.75</v>
      </c>
      <c r="C2835" s="31" t="n"/>
      <c r="D2835" s="32" t="n"/>
      <c r="E2835" s="33" t="n">
        <v>-0.275</v>
      </c>
      <c r="F2835" t="inlineStr">
        <is>
          <t>Up</t>
        </is>
      </c>
      <c r="G2835" t="inlineStr">
        <is>
          <t>Down</t>
        </is>
      </c>
      <c r="H2835" t="inlineStr">
        <is>
          <t>EU_JD</t>
        </is>
      </c>
      <c r="I2835" t="inlineStr">
        <is>
          <t>2017-09</t>
        </is>
      </c>
      <c r="J2835" t="n">
        <v>1</v>
      </c>
      <c r="K2835" t="n">
        <v>1</v>
      </c>
      <c r="L2835" s="34">
        <f>IF($J2835=1,LN(B2836/B2835),"")</f>
        <v/>
      </c>
      <c r="M2835" s="34">
        <f>IF($K2835=1,INDEX(Mensal!$D$2:$D$245,MATCH($I2835,Mensal!$A$2:$A$245,0)),"")</f>
        <v/>
      </c>
      <c r="N2835" s="34">
        <f>IF($K2835=1,L2835-M2835,"")</f>
        <v/>
      </c>
      <c r="O2835" s="34" t="n">
        <v>0.00031059</v>
      </c>
      <c r="P2835" s="34">
        <f>IF($J2835=1,LN(1+O2835),"")</f>
        <v/>
      </c>
      <c r="Q2835" s="34">
        <f>IF($J2835=1,LN(R2836/R2835),"")</f>
        <v/>
      </c>
      <c r="R2835" s="32" t="n">
        <v>3.1285</v>
      </c>
      <c r="S2835" s="35" t="n">
        <v>7.164</v>
      </c>
      <c r="T2835" s="18" t="n">
        <v>75389.75</v>
      </c>
      <c r="U2835" s="18" t="n"/>
      <c r="V2835" s="18" t="n"/>
      <c r="W2835" s="18" t="n"/>
      <c r="X2835" s="35" t="n"/>
      <c r="Y2835" s="35" t="n">
        <v>7.164</v>
      </c>
    </row>
    <row r="2836">
      <c r="A2836" s="25" t="n">
        <v>43003</v>
      </c>
      <c r="B2836" s="18" t="n">
        <v>74443.47</v>
      </c>
      <c r="C2836" s="31" t="n"/>
      <c r="D2836" s="32" t="n"/>
      <c r="E2836" s="33" t="n">
        <v>-0.2662</v>
      </c>
      <c r="F2836" t="inlineStr">
        <is>
          <t>Up</t>
        </is>
      </c>
      <c r="G2836" t="inlineStr">
        <is>
          <t>Down</t>
        </is>
      </c>
      <c r="H2836" t="inlineStr">
        <is>
          <t>EU_JD</t>
        </is>
      </c>
      <c r="I2836" t="inlineStr">
        <is>
          <t>2017-09</t>
        </is>
      </c>
      <c r="J2836" t="n">
        <v>1</v>
      </c>
      <c r="K2836" t="n">
        <v>1</v>
      </c>
      <c r="L2836" s="34">
        <f>IF($J2836=1,LN(B2837/B2836),"")</f>
        <v/>
      </c>
      <c r="M2836" s="34">
        <f>IF($K2836=1,INDEX(Mensal!$D$2:$D$245,MATCH($I2836,Mensal!$A$2:$A$245,0)),"")</f>
        <v/>
      </c>
      <c r="N2836" s="34">
        <f>IF($K2836=1,L2836-M2836,"")</f>
        <v/>
      </c>
      <c r="O2836" s="34" t="n">
        <v>0.00031059</v>
      </c>
      <c r="P2836" s="34">
        <f>IF($J2836=1,LN(1+O2836),"")</f>
        <v/>
      </c>
      <c r="Q2836" s="34">
        <f>IF($J2836=1,LN(R2837/R2836),"")</f>
        <v/>
      </c>
      <c r="R2836" s="32" t="n">
        <v>3.1412</v>
      </c>
      <c r="S2836" s="35" t="n">
        <v>7.172</v>
      </c>
      <c r="T2836" s="18" t="n">
        <v>74443.47</v>
      </c>
      <c r="U2836" s="18" t="n"/>
      <c r="V2836" s="18" t="n"/>
      <c r="W2836" s="18" t="n"/>
      <c r="X2836" s="35" t="n"/>
      <c r="Y2836" s="35" t="n">
        <v>7.172</v>
      </c>
    </row>
    <row r="2837">
      <c r="A2837" s="25" t="n">
        <v>43004</v>
      </c>
      <c r="B2837" s="18" t="n">
        <v>74318.72</v>
      </c>
      <c r="C2837" s="31" t="n"/>
      <c r="D2837" s="32" t="n"/>
      <c r="E2837" s="33" t="n">
        <v>-0.2568</v>
      </c>
      <c r="F2837" t="inlineStr">
        <is>
          <t>Up</t>
        </is>
      </c>
      <c r="G2837" t="inlineStr">
        <is>
          <t>Down</t>
        </is>
      </c>
      <c r="H2837" t="inlineStr">
        <is>
          <t>EU_JD</t>
        </is>
      </c>
      <c r="I2837" t="inlineStr">
        <is>
          <t>2017-09</t>
        </is>
      </c>
      <c r="J2837" t="n">
        <v>1</v>
      </c>
      <c r="K2837" t="n">
        <v>1</v>
      </c>
      <c r="L2837" s="34">
        <f>IF($J2837=1,LN(B2838/B2837),"")</f>
        <v/>
      </c>
      <c r="M2837" s="34">
        <f>IF($K2837=1,INDEX(Mensal!$D$2:$D$245,MATCH($I2837,Mensal!$A$2:$A$245,0)),"")</f>
        <v/>
      </c>
      <c r="N2837" s="34">
        <f>IF($K2837=1,L2837-M2837,"")</f>
        <v/>
      </c>
      <c r="O2837" s="34" t="n">
        <v>0.00031059</v>
      </c>
      <c r="P2837" s="34">
        <f>IF($J2837=1,LN(1+O2837),"")</f>
        <v/>
      </c>
      <c r="Q2837" s="34">
        <f>IF($J2837=1,LN(R2838/R2837),"")</f>
        <v/>
      </c>
      <c r="R2837" s="32" t="n">
        <v>3.1674</v>
      </c>
      <c r="S2837" s="35" t="n">
        <v>7.132</v>
      </c>
      <c r="T2837" s="18" t="n">
        <v>74318.72</v>
      </c>
      <c r="U2837" s="18" t="n"/>
      <c r="V2837" s="18" t="n"/>
      <c r="W2837" s="18" t="n"/>
      <c r="X2837" s="35" t="n"/>
      <c r="Y2837" s="35" t="n">
        <v>7.132</v>
      </c>
    </row>
    <row r="2838">
      <c r="A2838" s="25" t="n">
        <v>43005</v>
      </c>
      <c r="B2838" s="18" t="n">
        <v>73796.71000000001</v>
      </c>
      <c r="C2838" s="31" t="n"/>
      <c r="D2838" s="32" t="n"/>
      <c r="E2838" s="33" t="n">
        <v>-0.2474</v>
      </c>
      <c r="F2838" t="inlineStr">
        <is>
          <t>Up</t>
        </is>
      </c>
      <c r="G2838" t="inlineStr">
        <is>
          <t>Down</t>
        </is>
      </c>
      <c r="H2838" t="inlineStr">
        <is>
          <t>EU_JD</t>
        </is>
      </c>
      <c r="I2838" t="inlineStr">
        <is>
          <t>2017-09</t>
        </is>
      </c>
      <c r="J2838" t="n">
        <v>1</v>
      </c>
      <c r="K2838" t="n">
        <v>1</v>
      </c>
      <c r="L2838" s="34">
        <f>IF($J2838=1,LN(B2839/B2838),"")</f>
        <v/>
      </c>
      <c r="M2838" s="34">
        <f>IF($K2838=1,INDEX(Mensal!$D$2:$D$245,MATCH($I2838,Mensal!$A$2:$A$245,0)),"")</f>
        <v/>
      </c>
      <c r="N2838" s="34">
        <f>IF($K2838=1,L2838-M2838,"")</f>
        <v/>
      </c>
      <c r="O2838" s="34" t="n">
        <v>0.00031059</v>
      </c>
      <c r="P2838" s="34">
        <f>IF($J2838=1,LN(1+O2838),"")</f>
        <v/>
      </c>
      <c r="Q2838" s="34">
        <f>IF($J2838=1,LN(R2839/R2838),"")</f>
        <v/>
      </c>
      <c r="R2838" s="32" t="n">
        <v>3.1932</v>
      </c>
      <c r="S2838" s="35" t="n">
        <v>7.168</v>
      </c>
      <c r="T2838" s="18" t="n">
        <v>73796.71000000001</v>
      </c>
      <c r="U2838" s="18" t="n"/>
      <c r="V2838" s="18" t="n"/>
      <c r="W2838" s="18" t="n"/>
      <c r="X2838" s="35" t="n"/>
      <c r="Y2838" s="35" t="n">
        <v>7.168</v>
      </c>
    </row>
    <row r="2839">
      <c r="A2839" s="25" t="n">
        <v>43006</v>
      </c>
      <c r="B2839" s="18" t="n">
        <v>73567.24000000001</v>
      </c>
      <c r="C2839" s="31" t="n"/>
      <c r="D2839" s="32" t="n"/>
      <c r="E2839" s="33" t="n">
        <v>-0.2382</v>
      </c>
      <c r="F2839" t="inlineStr">
        <is>
          <t>Up</t>
        </is>
      </c>
      <c r="G2839" t="inlineStr">
        <is>
          <t>Down</t>
        </is>
      </c>
      <c r="H2839" t="inlineStr">
        <is>
          <t>EU_JD</t>
        </is>
      </c>
      <c r="I2839" t="inlineStr">
        <is>
          <t>2017-09</t>
        </is>
      </c>
      <c r="J2839" t="n">
        <v>1</v>
      </c>
      <c r="K2839" t="n">
        <v>1</v>
      </c>
      <c r="L2839" s="34">
        <f>IF($J2839=1,LN(B2840/B2839),"")</f>
        <v/>
      </c>
      <c r="M2839" s="34">
        <f>IF($K2839=1,INDEX(Mensal!$D$2:$D$245,MATCH($I2839,Mensal!$A$2:$A$245,0)),"")</f>
        <v/>
      </c>
      <c r="N2839" s="34">
        <f>IF($K2839=1,L2839-M2839,"")</f>
        <v/>
      </c>
      <c r="O2839" s="34" t="n">
        <v>0.00031059</v>
      </c>
      <c r="P2839" s="34">
        <f>IF($J2839=1,LN(1+O2839),"")</f>
        <v/>
      </c>
      <c r="Q2839" s="34">
        <f>IF($J2839=1,LN(R2840/R2839),"")</f>
        <v/>
      </c>
      <c r="R2839" s="32" t="n">
        <v>3.1871</v>
      </c>
      <c r="S2839" s="35" t="n">
        <v>7.154</v>
      </c>
      <c r="T2839" s="18" t="n">
        <v>73567.24000000001</v>
      </c>
      <c r="U2839" s="18" t="n"/>
      <c r="V2839" s="18" t="n"/>
      <c r="W2839" s="18" t="n"/>
      <c r="X2839" s="35" t="n"/>
      <c r="Y2839" s="35" t="n">
        <v>7.154</v>
      </c>
    </row>
    <row r="2840">
      <c r="A2840" s="25" t="n">
        <v>43007</v>
      </c>
      <c r="B2840" s="18" t="n">
        <v>74293.5</v>
      </c>
      <c r="C2840" s="31" t="n"/>
      <c r="D2840" s="32" t="n"/>
      <c r="E2840" s="33" t="n">
        <v>-0.2277</v>
      </c>
      <c r="F2840" t="inlineStr">
        <is>
          <t>Up</t>
        </is>
      </c>
      <c r="G2840" t="inlineStr">
        <is>
          <t>Down</t>
        </is>
      </c>
      <c r="H2840" t="inlineStr">
        <is>
          <t>EU_JD</t>
        </is>
      </c>
      <c r="I2840" t="inlineStr">
        <is>
          <t>2017-09</t>
        </is>
      </c>
      <c r="J2840" t="n">
        <v>1</v>
      </c>
      <c r="K2840" t="n">
        <v>1</v>
      </c>
      <c r="L2840" s="34">
        <f>IF($J2840=1,LN(B2841/B2840),"")</f>
        <v/>
      </c>
      <c r="M2840" s="34">
        <f>IF($K2840=1,INDEX(Mensal!$D$2:$D$245,MATCH($I2840,Mensal!$A$2:$A$245,0)),"")</f>
        <v/>
      </c>
      <c r="N2840" s="34">
        <f>IF($K2840=1,L2840-M2840,"")</f>
        <v/>
      </c>
      <c r="O2840" s="34" t="n">
        <v>0.00031059</v>
      </c>
      <c r="P2840" s="34">
        <f>IF($J2840=1,LN(1+O2840),"")</f>
        <v/>
      </c>
      <c r="Q2840" s="34">
        <f>IF($J2840=1,LN(R2841/R2840),"")</f>
        <v/>
      </c>
      <c r="R2840" s="32" t="n">
        <v>3.168</v>
      </c>
      <c r="S2840" s="35" t="n">
        <v>7.125</v>
      </c>
      <c r="T2840" s="18" t="n">
        <v>74293.5</v>
      </c>
      <c r="U2840" s="18" t="n"/>
      <c r="V2840" s="18" t="n"/>
      <c r="W2840" s="18" t="n"/>
      <c r="X2840" s="35" t="n"/>
      <c r="Y2840" s="35" t="n">
        <v>7.125</v>
      </c>
    </row>
    <row r="2841">
      <c r="A2841" s="25" t="n">
        <v>43010</v>
      </c>
      <c r="B2841" s="18" t="n">
        <v>74359.82000000001</v>
      </c>
      <c r="C2841" s="31" t="n"/>
      <c r="D2841" s="32" t="n"/>
      <c r="E2841" s="33" t="n">
        <v>-0.2152</v>
      </c>
      <c r="F2841" t="inlineStr">
        <is>
          <t>Down</t>
        </is>
      </c>
      <c r="G2841" t="inlineStr">
        <is>
          <t>Down</t>
        </is>
      </c>
      <c r="H2841" t="inlineStr">
        <is>
          <t>ED_JD</t>
        </is>
      </c>
      <c r="I2841" t="inlineStr">
        <is>
          <t>2017-10</t>
        </is>
      </c>
      <c r="J2841" t="n">
        <v>1</v>
      </c>
      <c r="K2841" t="n">
        <v>1</v>
      </c>
      <c r="L2841" s="34">
        <f>IF($J2841=1,LN(B2842/B2841),"")</f>
        <v/>
      </c>
      <c r="M2841" s="34">
        <f>IF($K2841=1,INDEX(Mensal!$D$2:$D$245,MATCH($I2841,Mensal!$A$2:$A$245,0)),"")</f>
        <v/>
      </c>
      <c r="N2841" s="34">
        <f>IF($K2841=1,L2841-M2841,"")</f>
        <v/>
      </c>
      <c r="O2841" s="34" t="n">
        <v>0.00031059</v>
      </c>
      <c r="P2841" s="34">
        <f>IF($J2841=1,LN(1+O2841),"")</f>
        <v/>
      </c>
      <c r="Q2841" s="34">
        <f>IF($J2841=1,LN(R2842/R2841),"")</f>
        <v/>
      </c>
      <c r="R2841" s="32" t="n">
        <v>3.1642</v>
      </c>
      <c r="S2841" s="35" t="n">
        <v>7.103</v>
      </c>
      <c r="T2841" s="18" t="n"/>
      <c r="U2841" s="18" t="n"/>
      <c r="V2841" s="18" t="n">
        <v>74359.82000000001</v>
      </c>
      <c r="W2841" s="18" t="n"/>
      <c r="X2841" s="35" t="n"/>
      <c r="Y2841" s="35" t="n">
        <v>7.103</v>
      </c>
    </row>
    <row r="2842">
      <c r="A2842" s="25" t="n">
        <v>43011</v>
      </c>
      <c r="B2842" s="18" t="n">
        <v>76762.91</v>
      </c>
      <c r="C2842" s="31" t="n"/>
      <c r="D2842" s="32" t="n"/>
      <c r="E2842" s="33" t="n">
        <v>-0.2088</v>
      </c>
      <c r="F2842" t="inlineStr">
        <is>
          <t>Down</t>
        </is>
      </c>
      <c r="G2842" t="inlineStr">
        <is>
          <t>Down</t>
        </is>
      </c>
      <c r="H2842" t="inlineStr">
        <is>
          <t>ED_JD</t>
        </is>
      </c>
      <c r="I2842" t="inlineStr">
        <is>
          <t>2017-10</t>
        </is>
      </c>
      <c r="J2842" t="n">
        <v>1</v>
      </c>
      <c r="K2842" t="n">
        <v>1</v>
      </c>
      <c r="L2842" s="34">
        <f>IF($J2842=1,LN(B2843/B2842),"")</f>
        <v/>
      </c>
      <c r="M2842" s="34">
        <f>IF($K2842=1,INDEX(Mensal!$D$2:$D$245,MATCH($I2842,Mensal!$A$2:$A$245,0)),"")</f>
        <v/>
      </c>
      <c r="N2842" s="34">
        <f>IF($K2842=1,L2842-M2842,"")</f>
        <v/>
      </c>
      <c r="O2842" s="34" t="n">
        <v>0.00031059</v>
      </c>
      <c r="P2842" s="34">
        <f>IF($J2842=1,LN(1+O2842),"")</f>
        <v/>
      </c>
      <c r="Q2842" s="34">
        <f>IF($J2842=1,LN(R2843/R2842),"")</f>
        <v/>
      </c>
      <c r="R2842" s="32" t="n">
        <v>3.1502</v>
      </c>
      <c r="S2842" s="35" t="n">
        <v>7.149</v>
      </c>
      <c r="T2842" s="18" t="n"/>
      <c r="U2842" s="18" t="n"/>
      <c r="V2842" s="18" t="n">
        <v>76762.91</v>
      </c>
      <c r="W2842" s="18" t="n"/>
      <c r="X2842" s="35" t="n"/>
      <c r="Y2842" s="35" t="n">
        <v>7.149</v>
      </c>
    </row>
    <row r="2843">
      <c r="A2843" s="25" t="n">
        <v>43012</v>
      </c>
      <c r="B2843" s="18" t="n">
        <v>76591.44</v>
      </c>
      <c r="C2843" s="31" t="n"/>
      <c r="D2843" s="32" t="n"/>
      <c r="E2843" s="33" t="n">
        <v>-0.1993</v>
      </c>
      <c r="F2843" t="inlineStr">
        <is>
          <t>Down</t>
        </is>
      </c>
      <c r="G2843" t="inlineStr">
        <is>
          <t>Down</t>
        </is>
      </c>
      <c r="H2843" t="inlineStr">
        <is>
          <t>ED_JD</t>
        </is>
      </c>
      <c r="I2843" t="inlineStr">
        <is>
          <t>2017-10</t>
        </is>
      </c>
      <c r="J2843" t="n">
        <v>1</v>
      </c>
      <c r="K2843" t="n">
        <v>1</v>
      </c>
      <c r="L2843" s="34">
        <f>IF($J2843=1,LN(B2844/B2843),"")</f>
        <v/>
      </c>
      <c r="M2843" s="34">
        <f>IF($K2843=1,INDEX(Mensal!$D$2:$D$245,MATCH($I2843,Mensal!$A$2:$A$245,0)),"")</f>
        <v/>
      </c>
      <c r="N2843" s="34">
        <f>IF($K2843=1,L2843-M2843,"")</f>
        <v/>
      </c>
      <c r="O2843" s="34" t="n">
        <v>0.00031059</v>
      </c>
      <c r="P2843" s="34">
        <f>IF($J2843=1,LN(1+O2843),"")</f>
        <v/>
      </c>
      <c r="Q2843" s="34">
        <f>IF($J2843=1,LN(R2844/R2843),"")</f>
        <v/>
      </c>
      <c r="R2843" s="32" t="n">
        <v>3.1315</v>
      </c>
      <c r="S2843" s="35" t="n">
        <v>7.155</v>
      </c>
      <c r="T2843" s="18" t="n"/>
      <c r="U2843" s="18" t="n"/>
      <c r="V2843" s="18" t="n">
        <v>76591.44</v>
      </c>
      <c r="W2843" s="18" t="n"/>
      <c r="X2843" s="35" t="n"/>
      <c r="Y2843" s="35" t="n">
        <v>7.155</v>
      </c>
    </row>
    <row r="2844">
      <c r="A2844" s="25" t="n">
        <v>43013</v>
      </c>
      <c r="B2844" s="18" t="n">
        <v>76617.52</v>
      </c>
      <c r="C2844" s="31" t="n"/>
      <c r="D2844" s="32" t="n"/>
      <c r="E2844" s="33" t="n">
        <v>-0.1701</v>
      </c>
      <c r="F2844" t="inlineStr">
        <is>
          <t>Down</t>
        </is>
      </c>
      <c r="G2844" t="inlineStr">
        <is>
          <t>Down</t>
        </is>
      </c>
      <c r="H2844" t="inlineStr">
        <is>
          <t>ED_JD</t>
        </is>
      </c>
      <c r="I2844" t="inlineStr">
        <is>
          <t>2017-10</t>
        </is>
      </c>
      <c r="J2844" t="n">
        <v>1</v>
      </c>
      <c r="K2844" t="n">
        <v>1</v>
      </c>
      <c r="L2844" s="34">
        <f>IF($J2844=1,LN(B2845/B2844),"")</f>
        <v/>
      </c>
      <c r="M2844" s="34">
        <f>IF($K2844=1,INDEX(Mensal!$D$2:$D$245,MATCH($I2844,Mensal!$A$2:$A$245,0)),"")</f>
        <v/>
      </c>
      <c r="N2844" s="34">
        <f>IF($K2844=1,L2844-M2844,"")</f>
        <v/>
      </c>
      <c r="O2844" s="34" t="n">
        <v>0.00031059</v>
      </c>
      <c r="P2844" s="34">
        <f>IF($J2844=1,LN(1+O2844),"")</f>
        <v/>
      </c>
      <c r="Q2844" s="34">
        <f>IF($J2844=1,LN(R2845/R2844),"")</f>
        <v/>
      </c>
      <c r="R2844" s="32" t="n">
        <v>3.1347</v>
      </c>
      <c r="S2844" s="35" t="n">
        <v>7.175</v>
      </c>
      <c r="T2844" s="18" t="n"/>
      <c r="U2844" s="18" t="n"/>
      <c r="V2844" s="18" t="n">
        <v>76617.52</v>
      </c>
      <c r="W2844" s="18" t="n"/>
      <c r="X2844" s="35" t="n"/>
      <c r="Y2844" s="35" t="n">
        <v>7.175</v>
      </c>
    </row>
    <row r="2845">
      <c r="A2845" s="25" t="n">
        <v>43014</v>
      </c>
      <c r="B2845" s="18" t="n">
        <v>76054.71000000001</v>
      </c>
      <c r="C2845" s="31" t="n"/>
      <c r="D2845" s="32" t="n"/>
      <c r="E2845" s="33" t="n">
        <v>-0.139</v>
      </c>
      <c r="F2845" t="inlineStr">
        <is>
          <t>Down</t>
        </is>
      </c>
      <c r="G2845" t="inlineStr">
        <is>
          <t>Down</t>
        </is>
      </c>
      <c r="H2845" t="inlineStr">
        <is>
          <t>ED_JD</t>
        </is>
      </c>
      <c r="I2845" t="inlineStr">
        <is>
          <t>2017-10</t>
        </is>
      </c>
      <c r="J2845" t="n">
        <v>1</v>
      </c>
      <c r="K2845" t="n">
        <v>1</v>
      </c>
      <c r="L2845" s="34">
        <f>IF($J2845=1,LN(B2846/B2845),"")</f>
        <v/>
      </c>
      <c r="M2845" s="34">
        <f>IF($K2845=1,INDEX(Mensal!$D$2:$D$245,MATCH($I2845,Mensal!$A$2:$A$245,0)),"")</f>
        <v/>
      </c>
      <c r="N2845" s="34">
        <f>IF($K2845=1,L2845-M2845,"")</f>
        <v/>
      </c>
      <c r="O2845" s="34" t="n">
        <v>0.00031059</v>
      </c>
      <c r="P2845" s="34">
        <f>IF($J2845=1,LN(1+O2845),"")</f>
        <v/>
      </c>
      <c r="Q2845" s="34">
        <f>IF($J2845=1,LN(R2846/R2845),"")</f>
        <v/>
      </c>
      <c r="R2845" s="32" t="n">
        <v>3.1648</v>
      </c>
      <c r="S2845" s="35" t="n">
        <v>7.17</v>
      </c>
      <c r="T2845" s="18" t="n"/>
      <c r="U2845" s="18" t="n"/>
      <c r="V2845" s="18" t="n">
        <v>76054.71000000001</v>
      </c>
      <c r="W2845" s="18" t="n"/>
      <c r="X2845" s="35" t="n"/>
      <c r="Y2845" s="35" t="n">
        <v>7.17</v>
      </c>
    </row>
    <row r="2846">
      <c r="A2846" s="25" t="n">
        <v>43017</v>
      </c>
      <c r="B2846" s="18" t="n">
        <v>75726.8</v>
      </c>
      <c r="C2846" s="31" t="n"/>
      <c r="D2846" s="32" t="n"/>
      <c r="E2846" s="33" t="n">
        <v>-0.1025</v>
      </c>
      <c r="F2846" t="inlineStr">
        <is>
          <t>Down</t>
        </is>
      </c>
      <c r="G2846" t="inlineStr">
        <is>
          <t>Down</t>
        </is>
      </c>
      <c r="H2846" t="inlineStr">
        <is>
          <t>ED_JD</t>
        </is>
      </c>
      <c r="I2846" t="inlineStr">
        <is>
          <t>2017-10</t>
        </is>
      </c>
      <c r="J2846" t="n">
        <v>1</v>
      </c>
      <c r="K2846" t="n">
        <v>1</v>
      </c>
      <c r="L2846" s="34">
        <f>IF($J2846=1,LN(B2847/B2846),"")</f>
        <v/>
      </c>
      <c r="M2846" s="34">
        <f>IF($K2846=1,INDEX(Mensal!$D$2:$D$245,MATCH($I2846,Mensal!$A$2:$A$245,0)),"")</f>
        <v/>
      </c>
      <c r="N2846" s="34">
        <f>IF($K2846=1,L2846-M2846,"")</f>
        <v/>
      </c>
      <c r="O2846" s="34" t="n">
        <v>0.00031059</v>
      </c>
      <c r="P2846" s="34">
        <f>IF($J2846=1,LN(1+O2846),"")</f>
        <v/>
      </c>
      <c r="Q2846" s="34">
        <f>IF($J2846=1,LN(R2847/R2846),"")</f>
        <v/>
      </c>
      <c r="R2846" s="32" t="n">
        <v>3.177</v>
      </c>
      <c r="S2846" s="35" t="n">
        <v>7.185</v>
      </c>
      <c r="T2846" s="18" t="n"/>
      <c r="U2846" s="18" t="n"/>
      <c r="V2846" s="18" t="n">
        <v>75726.8</v>
      </c>
      <c r="W2846" s="18" t="n"/>
      <c r="X2846" s="35" t="n"/>
      <c r="Y2846" s="35" t="n">
        <v>7.185</v>
      </c>
    </row>
    <row r="2847">
      <c r="A2847" s="25" t="n">
        <v>43018</v>
      </c>
      <c r="B2847" s="18" t="n">
        <v>76897.2</v>
      </c>
      <c r="C2847" s="31" t="n"/>
      <c r="D2847" s="32" t="n"/>
      <c r="E2847" s="33" t="n">
        <v>-0.0645</v>
      </c>
      <c r="F2847" t="inlineStr">
        <is>
          <t>Down</t>
        </is>
      </c>
      <c r="G2847" t="inlineStr">
        <is>
          <t>Down</t>
        </is>
      </c>
      <c r="H2847" t="inlineStr">
        <is>
          <t>ED_JD</t>
        </is>
      </c>
      <c r="I2847" t="inlineStr">
        <is>
          <t>2017-10</t>
        </is>
      </c>
      <c r="J2847" t="n">
        <v>1</v>
      </c>
      <c r="K2847" t="n">
        <v>1</v>
      </c>
      <c r="L2847" s="34">
        <f>IF($J2847=1,LN(B2848/B2847),"")</f>
        <v/>
      </c>
      <c r="M2847" s="34">
        <f>IF($K2847=1,INDEX(Mensal!$D$2:$D$245,MATCH($I2847,Mensal!$A$2:$A$245,0)),"")</f>
        <v/>
      </c>
      <c r="N2847" s="34">
        <f>IF($K2847=1,L2847-M2847,"")</f>
        <v/>
      </c>
      <c r="O2847" s="34" t="n">
        <v>0.00031059</v>
      </c>
      <c r="P2847" s="34">
        <f>IF($J2847=1,LN(1+O2847),"")</f>
        <v/>
      </c>
      <c r="Q2847" s="34">
        <f>IF($J2847=1,LN(R2848/R2847),"")</f>
        <v/>
      </c>
      <c r="R2847" s="32" t="n">
        <v>3.1688</v>
      </c>
      <c r="S2847" s="35" t="n">
        <v>7.149</v>
      </c>
      <c r="T2847" s="18" t="n"/>
      <c r="U2847" s="18" t="n"/>
      <c r="V2847" s="18" t="n">
        <v>76897.2</v>
      </c>
      <c r="W2847" s="18" t="n"/>
      <c r="X2847" s="35" t="n"/>
      <c r="Y2847" s="35" t="n">
        <v>7.149</v>
      </c>
    </row>
    <row r="2848">
      <c r="A2848" s="25" t="n">
        <v>43019</v>
      </c>
      <c r="B2848" s="18" t="n">
        <v>76659.8</v>
      </c>
      <c r="C2848" s="31" t="n"/>
      <c r="D2848" s="32" t="n"/>
      <c r="E2848" s="33" t="n">
        <v>-0.0306</v>
      </c>
      <c r="F2848" t="inlineStr">
        <is>
          <t>Down</t>
        </is>
      </c>
      <c r="G2848" t="inlineStr">
        <is>
          <t>Down</t>
        </is>
      </c>
      <c r="H2848" t="inlineStr">
        <is>
          <t>ED_JD</t>
        </is>
      </c>
      <c r="I2848" t="inlineStr">
        <is>
          <t>2017-10</t>
        </is>
      </c>
      <c r="J2848" t="n">
        <v>1</v>
      </c>
      <c r="K2848" t="n">
        <v>1</v>
      </c>
      <c r="L2848" s="34">
        <f>IF($J2848=1,LN(B2849/B2848),"")</f>
        <v/>
      </c>
      <c r="M2848" s="34">
        <f>IF($K2848=1,INDEX(Mensal!$D$2:$D$245,MATCH($I2848,Mensal!$A$2:$A$245,0)),"")</f>
        <v/>
      </c>
      <c r="N2848" s="34">
        <f>IF($K2848=1,L2848-M2848,"")</f>
        <v/>
      </c>
      <c r="O2848" s="34" t="n">
        <v>0.00031059</v>
      </c>
      <c r="P2848" s="34">
        <f>IF($J2848=1,LN(1+O2848),"")</f>
        <v/>
      </c>
      <c r="Q2848" s="34">
        <f>IF($J2848=1,LN(R2849/R2848),"")</f>
        <v/>
      </c>
      <c r="R2848" s="32" t="n">
        <v>3.1639</v>
      </c>
      <c r="S2848" s="35" t="n">
        <v>7.132</v>
      </c>
      <c r="T2848" s="18" t="n"/>
      <c r="U2848" s="18" t="n"/>
      <c r="V2848" s="18" t="n">
        <v>76659.8</v>
      </c>
      <c r="W2848" s="18" t="n"/>
      <c r="X2848" s="35" t="n"/>
      <c r="Y2848" s="35" t="n">
        <v>7.132</v>
      </c>
    </row>
    <row r="2849">
      <c r="A2849" s="25" t="n">
        <v>43021</v>
      </c>
      <c r="B2849" s="18" t="n">
        <v>76989.78</v>
      </c>
      <c r="C2849" s="31" t="n"/>
      <c r="D2849" s="32" t="n"/>
      <c r="E2849" s="33" t="n">
        <v>-0.0092</v>
      </c>
      <c r="F2849" t="inlineStr">
        <is>
          <t>Down</t>
        </is>
      </c>
      <c r="G2849" t="inlineStr">
        <is>
          <t>Down</t>
        </is>
      </c>
      <c r="H2849" t="inlineStr">
        <is>
          <t>ED_JD</t>
        </is>
      </c>
      <c r="I2849" t="inlineStr">
        <is>
          <t>2017-10</t>
        </is>
      </c>
      <c r="J2849" t="n">
        <v>1</v>
      </c>
      <c r="K2849" t="n">
        <v>1</v>
      </c>
      <c r="L2849" s="34">
        <f>IF($J2849=1,LN(B2850/B2849),"")</f>
        <v/>
      </c>
      <c r="M2849" s="34">
        <f>IF($K2849=1,INDEX(Mensal!$D$2:$D$245,MATCH($I2849,Mensal!$A$2:$A$245,0)),"")</f>
        <v/>
      </c>
      <c r="N2849" s="34">
        <f>IF($K2849=1,L2849-M2849,"")</f>
        <v/>
      </c>
      <c r="O2849" s="34" t="n">
        <v>0.00031059</v>
      </c>
      <c r="P2849" s="34">
        <f>IF($J2849=1,LN(1+O2849),"")</f>
        <v/>
      </c>
      <c r="Q2849" s="34">
        <f>IF($J2849=1,LN(R2850/R2849),"")</f>
        <v/>
      </c>
      <c r="R2849" s="32" t="n">
        <v>3.1572</v>
      </c>
      <c r="S2849" s="35" t="n">
        <v>7.108</v>
      </c>
      <c r="T2849" s="18" t="n"/>
      <c r="U2849" s="18" t="n"/>
      <c r="V2849" s="18" t="n">
        <v>76989.78</v>
      </c>
      <c r="W2849" s="18" t="n"/>
      <c r="X2849" s="35" t="n"/>
      <c r="Y2849" s="35" t="n">
        <v>7.108</v>
      </c>
    </row>
    <row r="2850">
      <c r="A2850" s="25" t="n">
        <v>43024</v>
      </c>
      <c r="B2850" s="18" t="n">
        <v>76891.83</v>
      </c>
      <c r="C2850" s="31" t="n"/>
      <c r="D2850" s="32" t="n"/>
      <c r="E2850" s="33" t="n">
        <v>0.0177</v>
      </c>
      <c r="F2850" t="inlineStr">
        <is>
          <t>Down</t>
        </is>
      </c>
      <c r="G2850" t="inlineStr">
        <is>
          <t>Down</t>
        </is>
      </c>
      <c r="H2850" t="inlineStr">
        <is>
          <t>ED_JD</t>
        </is>
      </c>
      <c r="I2850" t="inlineStr">
        <is>
          <t>2017-10</t>
        </is>
      </c>
      <c r="J2850" t="n">
        <v>1</v>
      </c>
      <c r="K2850" t="n">
        <v>1</v>
      </c>
      <c r="L2850" s="34">
        <f>IF($J2850=1,LN(B2851/B2850),"")</f>
        <v/>
      </c>
      <c r="M2850" s="34">
        <f>IF($K2850=1,INDEX(Mensal!$D$2:$D$245,MATCH($I2850,Mensal!$A$2:$A$245,0)),"")</f>
        <v/>
      </c>
      <c r="N2850" s="34">
        <f>IF($K2850=1,L2850-M2850,"")</f>
        <v/>
      </c>
      <c r="O2850" s="34" t="n">
        <v>0.00031059</v>
      </c>
      <c r="P2850" s="34">
        <f>IF($J2850=1,LN(1+O2850),"")</f>
        <v/>
      </c>
      <c r="Q2850" s="34">
        <f>IF($J2850=1,LN(R2851/R2850),"")</f>
        <v/>
      </c>
      <c r="R2850" s="32" t="n">
        <v>3.1607</v>
      </c>
      <c r="S2850" s="35" t="n">
        <v>7.137</v>
      </c>
      <c r="T2850" s="18" t="n"/>
      <c r="U2850" s="18" t="n"/>
      <c r="V2850" s="18" t="n">
        <v>76891.83</v>
      </c>
      <c r="W2850" s="18" t="n"/>
      <c r="X2850" s="35" t="n"/>
      <c r="Y2850" s="35" t="n">
        <v>7.137</v>
      </c>
    </row>
    <row r="2851">
      <c r="A2851" s="25" t="n">
        <v>43025</v>
      </c>
      <c r="B2851" s="18" t="n">
        <v>76201.25</v>
      </c>
      <c r="C2851" s="31" t="n"/>
      <c r="D2851" s="32" t="n"/>
      <c r="E2851" s="33" t="n">
        <v>0.0464</v>
      </c>
      <c r="F2851" t="inlineStr">
        <is>
          <t>Down</t>
        </is>
      </c>
      <c r="G2851" t="inlineStr">
        <is>
          <t>Down</t>
        </is>
      </c>
      <c r="H2851" t="inlineStr">
        <is>
          <t>ED_JD</t>
        </is>
      </c>
      <c r="I2851" t="inlineStr">
        <is>
          <t>2017-10</t>
        </is>
      </c>
      <c r="J2851" t="n">
        <v>1</v>
      </c>
      <c r="K2851" t="n">
        <v>1</v>
      </c>
      <c r="L2851" s="34">
        <f>IF($J2851=1,LN(B2852/B2851),"")</f>
        <v/>
      </c>
      <c r="M2851" s="34">
        <f>IF($K2851=1,INDEX(Mensal!$D$2:$D$245,MATCH($I2851,Mensal!$A$2:$A$245,0)),"")</f>
        <v/>
      </c>
      <c r="N2851" s="34">
        <f>IF($K2851=1,L2851-M2851,"")</f>
        <v/>
      </c>
      <c r="O2851" s="34" t="n">
        <v>0.00031059</v>
      </c>
      <c r="P2851" s="34">
        <f>IF($J2851=1,LN(1+O2851),"")</f>
        <v/>
      </c>
      <c r="Q2851" s="34">
        <f>IF($J2851=1,LN(R2852/R2851),"")</f>
        <v/>
      </c>
      <c r="R2851" s="32" t="n">
        <v>3.1769</v>
      </c>
      <c r="S2851" s="35" t="n">
        <v>7.12</v>
      </c>
      <c r="T2851" s="18" t="n"/>
      <c r="U2851" s="18" t="n"/>
      <c r="V2851" s="18" t="n">
        <v>76201.25</v>
      </c>
      <c r="W2851" s="18" t="n"/>
      <c r="X2851" s="35" t="n"/>
      <c r="Y2851" s="35" t="n">
        <v>7.12</v>
      </c>
    </row>
    <row r="2852">
      <c r="A2852" s="25" t="n">
        <v>43026</v>
      </c>
      <c r="B2852" s="18" t="n">
        <v>76591.09</v>
      </c>
      <c r="C2852" s="31" t="n"/>
      <c r="D2852" s="32" t="n"/>
      <c r="E2852" s="33" t="n">
        <v>0.0735</v>
      </c>
      <c r="F2852" t="inlineStr">
        <is>
          <t>Down</t>
        </is>
      </c>
      <c r="G2852" t="inlineStr">
        <is>
          <t>Down</t>
        </is>
      </c>
      <c r="H2852" t="inlineStr">
        <is>
          <t>ED_JD</t>
        </is>
      </c>
      <c r="I2852" t="inlineStr">
        <is>
          <t>2017-10</t>
        </is>
      </c>
      <c r="J2852" t="n">
        <v>1</v>
      </c>
      <c r="K2852" t="n">
        <v>1</v>
      </c>
      <c r="L2852" s="34">
        <f>IF($J2852=1,LN(B2853/B2852),"")</f>
        <v/>
      </c>
      <c r="M2852" s="34">
        <f>IF($K2852=1,INDEX(Mensal!$D$2:$D$245,MATCH($I2852,Mensal!$A$2:$A$245,0)),"")</f>
        <v/>
      </c>
      <c r="N2852" s="34">
        <f>IF($K2852=1,L2852-M2852,"")</f>
        <v/>
      </c>
      <c r="O2852" s="34" t="n">
        <v>0.00031059</v>
      </c>
      <c r="P2852" s="34">
        <f>IF($J2852=1,LN(1+O2852),"")</f>
        <v/>
      </c>
      <c r="Q2852" s="34">
        <f>IF($J2852=1,LN(R2853/R2852),"")</f>
        <v/>
      </c>
      <c r="R2852" s="32" t="n">
        <v>3.1673</v>
      </c>
      <c r="S2852" s="35" t="n">
        <v>7.112</v>
      </c>
      <c r="T2852" s="18" t="n"/>
      <c r="U2852" s="18" t="n"/>
      <c r="V2852" s="18" t="n">
        <v>76591.09</v>
      </c>
      <c r="W2852" s="18" t="n"/>
      <c r="X2852" s="35" t="n"/>
      <c r="Y2852" s="35" t="n">
        <v>7.112</v>
      </c>
    </row>
    <row r="2853">
      <c r="A2853" s="25" t="n">
        <v>43027</v>
      </c>
      <c r="B2853" s="18" t="n">
        <v>76283.16</v>
      </c>
      <c r="C2853" s="31" t="n"/>
      <c r="D2853" s="32" t="n"/>
      <c r="E2853" s="33" t="n">
        <v>0.1028</v>
      </c>
      <c r="F2853" t="inlineStr">
        <is>
          <t>Down</t>
        </is>
      </c>
      <c r="G2853" t="inlineStr">
        <is>
          <t>Down</t>
        </is>
      </c>
      <c r="H2853" t="inlineStr">
        <is>
          <t>ED_JD</t>
        </is>
      </c>
      <c r="I2853" t="inlineStr">
        <is>
          <t>2017-10</t>
        </is>
      </c>
      <c r="J2853" t="n">
        <v>1</v>
      </c>
      <c r="K2853" t="n">
        <v>1</v>
      </c>
      <c r="L2853" s="34">
        <f>IF($J2853=1,LN(B2854/B2853),"")</f>
        <v/>
      </c>
      <c r="M2853" s="34">
        <f>IF($K2853=1,INDEX(Mensal!$D$2:$D$245,MATCH($I2853,Mensal!$A$2:$A$245,0)),"")</f>
        <v/>
      </c>
      <c r="N2853" s="34">
        <f>IF($K2853=1,L2853-M2853,"")</f>
        <v/>
      </c>
      <c r="O2853" s="34" t="n">
        <v>0.00031059</v>
      </c>
      <c r="P2853" s="34">
        <f>IF($J2853=1,LN(1+O2853),"")</f>
        <v/>
      </c>
      <c r="Q2853" s="34">
        <f>IF($J2853=1,LN(R2854/R2853),"")</f>
        <v/>
      </c>
      <c r="R2853" s="32" t="n">
        <v>3.1732</v>
      </c>
      <c r="S2853" s="35" t="n">
        <v>7.082</v>
      </c>
      <c r="T2853" s="18" t="n"/>
      <c r="U2853" s="18" t="n"/>
      <c r="V2853" s="18" t="n">
        <v>76283.16</v>
      </c>
      <c r="W2853" s="18" t="n"/>
      <c r="X2853" s="35" t="n"/>
      <c r="Y2853" s="35" t="n">
        <v>7.082</v>
      </c>
    </row>
    <row r="2854">
      <c r="A2854" s="25" t="n">
        <v>43028</v>
      </c>
      <c r="B2854" s="18" t="n">
        <v>76390.50999999999</v>
      </c>
      <c r="C2854" s="31" t="n"/>
      <c r="D2854" s="32" t="n"/>
      <c r="E2854" s="33" t="n">
        <v>0.1288</v>
      </c>
      <c r="F2854" t="inlineStr">
        <is>
          <t>Down</t>
        </is>
      </c>
      <c r="G2854" t="inlineStr">
        <is>
          <t>Down</t>
        </is>
      </c>
      <c r="H2854" t="inlineStr">
        <is>
          <t>ED_JD</t>
        </is>
      </c>
      <c r="I2854" t="inlineStr">
        <is>
          <t>2017-10</t>
        </is>
      </c>
      <c r="J2854" t="n">
        <v>1</v>
      </c>
      <c r="K2854" t="n">
        <v>1</v>
      </c>
      <c r="L2854" s="34">
        <f>IF($J2854=1,LN(B2855/B2854),"")</f>
        <v/>
      </c>
      <c r="M2854" s="34">
        <f>IF($K2854=1,INDEX(Mensal!$D$2:$D$245,MATCH($I2854,Mensal!$A$2:$A$245,0)),"")</f>
        <v/>
      </c>
      <c r="N2854" s="34">
        <f>IF($K2854=1,L2854-M2854,"")</f>
        <v/>
      </c>
      <c r="O2854" s="34" t="n">
        <v>0.00031059</v>
      </c>
      <c r="P2854" s="34">
        <f>IF($J2854=1,LN(1+O2854),"")</f>
        <v/>
      </c>
      <c r="Q2854" s="34">
        <f>IF($J2854=1,LN(R2855/R2854),"")</f>
        <v/>
      </c>
      <c r="R2854" s="32" t="n">
        <v>3.1833</v>
      </c>
      <c r="S2854" s="35" t="n">
        <v>7.096</v>
      </c>
      <c r="T2854" s="18" t="n"/>
      <c r="U2854" s="18" t="n"/>
      <c r="V2854" s="18" t="n">
        <v>76390.50999999999</v>
      </c>
      <c r="W2854" s="18" t="n"/>
      <c r="X2854" s="35" t="n"/>
      <c r="Y2854" s="35" t="n">
        <v>7.096</v>
      </c>
    </row>
    <row r="2855">
      <c r="A2855" s="25" t="n">
        <v>43031</v>
      </c>
      <c r="B2855" s="18" t="n">
        <v>75413.13</v>
      </c>
      <c r="C2855" s="31" t="n"/>
      <c r="D2855" s="32" t="n"/>
      <c r="E2855" s="33" t="n">
        <v>0.1577</v>
      </c>
      <c r="F2855" t="inlineStr">
        <is>
          <t>Down</t>
        </is>
      </c>
      <c r="G2855" t="inlineStr">
        <is>
          <t>Down</t>
        </is>
      </c>
      <c r="H2855" t="inlineStr">
        <is>
          <t>ED_JD</t>
        </is>
      </c>
      <c r="I2855" t="inlineStr">
        <is>
          <t>2017-10</t>
        </is>
      </c>
      <c r="J2855" t="n">
        <v>1</v>
      </c>
      <c r="K2855" t="n">
        <v>1</v>
      </c>
      <c r="L2855" s="34">
        <f>IF($J2855=1,LN(B2856/B2855),"")</f>
        <v/>
      </c>
      <c r="M2855" s="34">
        <f>IF($K2855=1,INDEX(Mensal!$D$2:$D$245,MATCH($I2855,Mensal!$A$2:$A$245,0)),"")</f>
        <v/>
      </c>
      <c r="N2855" s="34">
        <f>IF($K2855=1,L2855-M2855,"")</f>
        <v/>
      </c>
      <c r="O2855" s="34" t="n">
        <v>0.00031059</v>
      </c>
      <c r="P2855" s="34">
        <f>IF($J2855=1,LN(1+O2855),"")</f>
        <v/>
      </c>
      <c r="Q2855" s="34">
        <f>IF($J2855=1,LN(R2856/R2855),"")</f>
        <v/>
      </c>
      <c r="R2855" s="32" t="n">
        <v>3.2003</v>
      </c>
      <c r="S2855" s="35" t="n">
        <v>7.11</v>
      </c>
      <c r="T2855" s="18" t="n"/>
      <c r="U2855" s="18" t="n"/>
      <c r="V2855" s="18" t="n">
        <v>75413.13</v>
      </c>
      <c r="W2855" s="18" t="n"/>
      <c r="X2855" s="35" t="n"/>
      <c r="Y2855" s="35" t="n">
        <v>7.11</v>
      </c>
    </row>
    <row r="2856">
      <c r="A2856" s="25" t="n">
        <v>43032</v>
      </c>
      <c r="B2856" s="18" t="n">
        <v>76350.19</v>
      </c>
      <c r="C2856" s="31" t="n"/>
      <c r="D2856" s="32" t="n"/>
      <c r="E2856" s="33" t="n">
        <v>0.1911</v>
      </c>
      <c r="F2856" t="inlineStr">
        <is>
          <t>Down</t>
        </is>
      </c>
      <c r="G2856" t="inlineStr">
        <is>
          <t>Down</t>
        </is>
      </c>
      <c r="H2856" t="inlineStr">
        <is>
          <t>ED_JD</t>
        </is>
      </c>
      <c r="I2856" t="inlineStr">
        <is>
          <t>2017-10</t>
        </is>
      </c>
      <c r="J2856" t="n">
        <v>1</v>
      </c>
      <c r="K2856" t="n">
        <v>1</v>
      </c>
      <c r="L2856" s="34">
        <f>IF($J2856=1,LN(B2857/B2856),"")</f>
        <v/>
      </c>
      <c r="M2856" s="34">
        <f>IF($K2856=1,INDEX(Mensal!$D$2:$D$245,MATCH($I2856,Mensal!$A$2:$A$245,0)),"")</f>
        <v/>
      </c>
      <c r="N2856" s="34">
        <f>IF($K2856=1,L2856-M2856,"")</f>
        <v/>
      </c>
      <c r="O2856" s="34" t="n">
        <v>0.00031059</v>
      </c>
      <c r="P2856" s="34">
        <f>IF($J2856=1,LN(1+O2856),"")</f>
        <v/>
      </c>
      <c r="Q2856" s="34">
        <f>IF($J2856=1,LN(R2857/R2856),"")</f>
        <v/>
      </c>
      <c r="R2856" s="32" t="n">
        <v>3.247</v>
      </c>
      <c r="S2856" s="35" t="n">
        <v>7.131</v>
      </c>
      <c r="T2856" s="18" t="n"/>
      <c r="U2856" s="18" t="n"/>
      <c r="V2856" s="18" t="n">
        <v>76350.19</v>
      </c>
      <c r="W2856" s="18" t="n"/>
      <c r="X2856" s="35" t="n"/>
      <c r="Y2856" s="35" t="n">
        <v>7.131</v>
      </c>
    </row>
    <row r="2857">
      <c r="A2857" s="25" t="n">
        <v>43033</v>
      </c>
      <c r="B2857" s="18" t="n">
        <v>76671.13</v>
      </c>
      <c r="C2857" s="31" t="n"/>
      <c r="D2857" s="32" t="n"/>
      <c r="E2857" s="33" t="n">
        <v>0.2108</v>
      </c>
      <c r="F2857" t="inlineStr">
        <is>
          <t>Down</t>
        </is>
      </c>
      <c r="G2857" t="inlineStr">
        <is>
          <t>Down</t>
        </is>
      </c>
      <c r="H2857" t="inlineStr">
        <is>
          <t>ED_JD</t>
        </is>
      </c>
      <c r="I2857" t="inlineStr">
        <is>
          <t>2017-10</t>
        </is>
      </c>
      <c r="J2857" t="n">
        <v>1</v>
      </c>
      <c r="K2857" t="n">
        <v>1</v>
      </c>
      <c r="L2857" s="34">
        <f>IF($J2857=1,LN(B2858/B2857),"")</f>
        <v/>
      </c>
      <c r="M2857" s="34">
        <f>IF($K2857=1,INDEX(Mensal!$D$2:$D$245,MATCH($I2857,Mensal!$A$2:$A$245,0)),"")</f>
        <v/>
      </c>
      <c r="N2857" s="34">
        <f>IF($K2857=1,L2857-M2857,"")</f>
        <v/>
      </c>
      <c r="O2857" s="34" t="n">
        <v>0.00031059</v>
      </c>
      <c r="P2857" s="34">
        <f>IF($J2857=1,LN(1+O2857),"")</f>
        <v/>
      </c>
      <c r="Q2857" s="34">
        <f>IF($J2857=1,LN(R2858/R2857),"")</f>
        <v/>
      </c>
      <c r="R2857" s="32" t="n">
        <v>3.2387</v>
      </c>
      <c r="S2857" s="35" t="n">
        <v>7.101</v>
      </c>
      <c r="T2857" s="18" t="n"/>
      <c r="U2857" s="18" t="n"/>
      <c r="V2857" s="18" t="n">
        <v>76671.13</v>
      </c>
      <c r="W2857" s="18" t="n"/>
      <c r="X2857" s="35" t="n"/>
      <c r="Y2857" s="35" t="n">
        <v>7.101</v>
      </c>
    </row>
    <row r="2858">
      <c r="A2858" s="25" t="n">
        <v>43034</v>
      </c>
      <c r="B2858" s="18" t="n">
        <v>75896.35000000001</v>
      </c>
      <c r="C2858" s="31" t="n"/>
      <c r="D2858" s="32" t="n"/>
      <c r="E2858" s="33" t="n">
        <v>0.2292</v>
      </c>
      <c r="F2858" t="inlineStr">
        <is>
          <t>Down</t>
        </is>
      </c>
      <c r="G2858" t="inlineStr">
        <is>
          <t>Down</t>
        </is>
      </c>
      <c r="H2858" t="inlineStr">
        <is>
          <t>ED_JD</t>
        </is>
      </c>
      <c r="I2858" t="inlineStr">
        <is>
          <t>2017-10</t>
        </is>
      </c>
      <c r="J2858" t="n">
        <v>1</v>
      </c>
      <c r="K2858" t="n">
        <v>1</v>
      </c>
      <c r="L2858" s="34">
        <f>IF($J2858=1,LN(B2859/B2858),"")</f>
        <v/>
      </c>
      <c r="M2858" s="34">
        <f>IF($K2858=1,INDEX(Mensal!$D$2:$D$245,MATCH($I2858,Mensal!$A$2:$A$245,0)),"")</f>
        <v/>
      </c>
      <c r="N2858" s="34">
        <f>IF($K2858=1,L2858-M2858,"")</f>
        <v/>
      </c>
      <c r="O2858" s="34" t="n">
        <v>0.00028296</v>
      </c>
      <c r="P2858" s="34">
        <f>IF($J2858=1,LN(1+O2858),"")</f>
        <v/>
      </c>
      <c r="Q2858" s="34">
        <f>IF($J2858=1,LN(R2859/R2858),"")</f>
        <v/>
      </c>
      <c r="R2858" s="32" t="n">
        <v>3.2444</v>
      </c>
      <c r="S2858" s="35" t="n">
        <v>7.207</v>
      </c>
      <c r="T2858" s="18" t="n"/>
      <c r="U2858" s="18" t="n"/>
      <c r="V2858" s="18" t="n">
        <v>75896.35000000001</v>
      </c>
      <c r="W2858" s="18" t="n"/>
      <c r="X2858" s="35" t="n"/>
      <c r="Y2858" s="35" t="n">
        <v>7.207</v>
      </c>
    </row>
    <row r="2859">
      <c r="A2859" s="25" t="n">
        <v>43035</v>
      </c>
      <c r="B2859" s="18" t="n">
        <v>75975.71000000001</v>
      </c>
      <c r="C2859" s="31" t="n"/>
      <c r="D2859" s="32" t="n"/>
      <c r="E2859" s="33" t="n">
        <v>0.2513</v>
      </c>
      <c r="F2859" t="inlineStr">
        <is>
          <t>Down</t>
        </is>
      </c>
      <c r="G2859" t="inlineStr">
        <is>
          <t>Down</t>
        </is>
      </c>
      <c r="H2859" t="inlineStr">
        <is>
          <t>ED_JD</t>
        </is>
      </c>
      <c r="I2859" t="inlineStr">
        <is>
          <t>2017-10</t>
        </is>
      </c>
      <c r="J2859" t="n">
        <v>1</v>
      </c>
      <c r="K2859" t="n">
        <v>1</v>
      </c>
      <c r="L2859" s="34">
        <f>IF($J2859=1,LN(B2860/B2859),"")</f>
        <v/>
      </c>
      <c r="M2859" s="34">
        <f>IF($K2859=1,INDEX(Mensal!$D$2:$D$245,MATCH($I2859,Mensal!$A$2:$A$245,0)),"")</f>
        <v/>
      </c>
      <c r="N2859" s="34">
        <f>IF($K2859=1,L2859-M2859,"")</f>
        <v/>
      </c>
      <c r="O2859" s="34" t="n">
        <v>0.00028296</v>
      </c>
      <c r="P2859" s="34">
        <f>IF($J2859=1,LN(1+O2859),"")</f>
        <v/>
      </c>
      <c r="Q2859" s="34">
        <f>IF($J2859=1,LN(R2860/R2859),"")</f>
        <v/>
      </c>
      <c r="R2859" s="32" t="n">
        <v>3.2801</v>
      </c>
      <c r="S2859" s="35" t="n">
        <v>7.154</v>
      </c>
      <c r="T2859" s="18" t="n"/>
      <c r="U2859" s="18" t="n"/>
      <c r="V2859" s="18" t="n">
        <v>75975.71000000001</v>
      </c>
      <c r="W2859" s="18" t="n"/>
      <c r="X2859" s="35" t="n"/>
      <c r="Y2859" s="35" t="n">
        <v>7.154</v>
      </c>
    </row>
    <row r="2860">
      <c r="A2860" s="25" t="n">
        <v>43038</v>
      </c>
      <c r="B2860" s="18" t="n">
        <v>74800.33</v>
      </c>
      <c r="C2860" s="31" t="n"/>
      <c r="D2860" s="32" t="n"/>
      <c r="E2860" s="33" t="n">
        <v>0.27</v>
      </c>
      <c r="F2860" t="inlineStr">
        <is>
          <t>Down</t>
        </is>
      </c>
      <c r="G2860" t="inlineStr">
        <is>
          <t>Down</t>
        </is>
      </c>
      <c r="H2860" t="inlineStr">
        <is>
          <t>ED_JD</t>
        </is>
      </c>
      <c r="I2860" t="inlineStr">
        <is>
          <t>2017-10</t>
        </is>
      </c>
      <c r="J2860" t="n">
        <v>1</v>
      </c>
      <c r="K2860" t="n">
        <v>1</v>
      </c>
      <c r="L2860" s="34">
        <f>IF($J2860=1,LN(B2861/B2860),"")</f>
        <v/>
      </c>
      <c r="M2860" s="34">
        <f>IF($K2860=1,INDEX(Mensal!$D$2:$D$245,MATCH($I2860,Mensal!$A$2:$A$245,0)),"")</f>
        <v/>
      </c>
      <c r="N2860" s="34">
        <f>IF($K2860=1,L2860-M2860,"")</f>
        <v/>
      </c>
      <c r="O2860" s="34" t="n">
        <v>0.00028296</v>
      </c>
      <c r="P2860" s="34">
        <f>IF($J2860=1,LN(1+O2860),"")</f>
        <v/>
      </c>
      <c r="Q2860" s="34">
        <f>IF($J2860=1,LN(R2861/R2860),"")</f>
        <v/>
      </c>
      <c r="R2860" s="32" t="n">
        <v>3.2547</v>
      </c>
      <c r="S2860" s="35" t="n">
        <v>7.185</v>
      </c>
      <c r="T2860" s="18" t="n"/>
      <c r="U2860" s="18" t="n"/>
      <c r="V2860" s="18" t="n">
        <v>74800.33</v>
      </c>
      <c r="W2860" s="18" t="n"/>
      <c r="X2860" s="35" t="n"/>
      <c r="Y2860" s="35" t="n">
        <v>7.185</v>
      </c>
    </row>
    <row r="2861">
      <c r="A2861" s="25" t="n">
        <v>43039</v>
      </c>
      <c r="B2861" s="18" t="n">
        <v>74308.49000000001</v>
      </c>
      <c r="C2861" s="31" t="n"/>
      <c r="D2861" s="32" t="n"/>
      <c r="E2861" s="33" t="n">
        <v>0.2919</v>
      </c>
      <c r="F2861" t="inlineStr">
        <is>
          <t>Down</t>
        </is>
      </c>
      <c r="G2861" t="inlineStr">
        <is>
          <t>Down</t>
        </is>
      </c>
      <c r="H2861" t="inlineStr">
        <is>
          <t>ED_JD</t>
        </is>
      </c>
      <c r="I2861" t="inlineStr">
        <is>
          <t>2017-10</t>
        </is>
      </c>
      <c r="J2861" t="n">
        <v>1</v>
      </c>
      <c r="K2861" t="n">
        <v>1</v>
      </c>
      <c r="L2861" s="34">
        <f>IF($J2861=1,LN(B2862/B2861),"")</f>
        <v/>
      </c>
      <c r="M2861" s="34">
        <f>IF($K2861=1,INDEX(Mensal!$D$2:$D$245,MATCH($I2861,Mensal!$A$2:$A$245,0)),"")</f>
        <v/>
      </c>
      <c r="N2861" s="34">
        <f>IF($K2861=1,L2861-M2861,"")</f>
        <v/>
      </c>
      <c r="O2861" s="34" t="n">
        <v>0.00028296</v>
      </c>
      <c r="P2861" s="34">
        <f>IF($J2861=1,LN(1+O2861),"")</f>
        <v/>
      </c>
      <c r="Q2861" s="34">
        <f>IF($J2861=1,LN(R2862/R2861),"")</f>
        <v/>
      </c>
      <c r="R2861" s="32" t="n">
        <v>3.2769</v>
      </c>
      <c r="S2861" s="35" t="n">
        <v>7.142</v>
      </c>
      <c r="T2861" s="18" t="n"/>
      <c r="U2861" s="18" t="n"/>
      <c r="V2861" s="18" t="n">
        <v>74308.49000000001</v>
      </c>
      <c r="W2861" s="18" t="n"/>
      <c r="X2861" s="35" t="n"/>
      <c r="Y2861" s="35" t="n">
        <v>7.142</v>
      </c>
    </row>
    <row r="2862">
      <c r="A2862" s="25" t="n">
        <v>43040</v>
      </c>
      <c r="B2862" s="18" t="n">
        <v>73823.74000000001</v>
      </c>
      <c r="C2862" s="31" t="n"/>
      <c r="D2862" s="32" t="n"/>
      <c r="E2862" s="33" t="n">
        <v>0.3092</v>
      </c>
      <c r="F2862" t="inlineStr">
        <is>
          <t>Down</t>
        </is>
      </c>
      <c r="G2862" t="inlineStr">
        <is>
          <t>Down</t>
        </is>
      </c>
      <c r="H2862" t="inlineStr">
        <is>
          <t>ED_JD</t>
        </is>
      </c>
      <c r="I2862" t="inlineStr">
        <is>
          <t>2017-11</t>
        </is>
      </c>
      <c r="J2862" t="n">
        <v>1</v>
      </c>
      <c r="K2862" t="n">
        <v>1</v>
      </c>
      <c r="L2862" s="34">
        <f>IF($J2862=1,LN(B2863/B2862),"")</f>
        <v/>
      </c>
      <c r="M2862" s="34">
        <f>IF($K2862=1,INDEX(Mensal!$D$2:$D$245,MATCH($I2862,Mensal!$A$2:$A$245,0)),"")</f>
        <v/>
      </c>
      <c r="N2862" s="34">
        <f>IF($K2862=1,L2862-M2862,"")</f>
        <v/>
      </c>
      <c r="O2862" s="34" t="n">
        <v>0.00028296</v>
      </c>
      <c r="P2862" s="34">
        <f>IF($J2862=1,LN(1+O2862),"")</f>
        <v/>
      </c>
      <c r="Q2862" s="34">
        <f>IF($J2862=1,LN(R2863/R2862),"")</f>
        <v/>
      </c>
      <c r="R2862" s="32" t="n">
        <v>3.2736</v>
      </c>
      <c r="S2862" s="35" t="n">
        <v>7.145</v>
      </c>
      <c r="T2862" s="18" t="n"/>
      <c r="U2862" s="18" t="n"/>
      <c r="V2862" s="18" t="n">
        <v>73823.74000000001</v>
      </c>
      <c r="W2862" s="18" t="n"/>
      <c r="X2862" s="35" t="n"/>
      <c r="Y2862" s="35" t="n">
        <v>7.145</v>
      </c>
    </row>
    <row r="2863">
      <c r="A2863" s="25" t="n">
        <v>43042</v>
      </c>
      <c r="B2863" s="18" t="n">
        <v>73915.42</v>
      </c>
      <c r="C2863" s="31" t="n"/>
      <c r="D2863" s="32" t="n"/>
      <c r="E2863" s="33" t="n">
        <v>0.3157</v>
      </c>
      <c r="F2863" t="inlineStr">
        <is>
          <t>Down</t>
        </is>
      </c>
      <c r="G2863" t="inlineStr">
        <is>
          <t>Down</t>
        </is>
      </c>
      <c r="H2863" t="inlineStr">
        <is>
          <t>ED_JD</t>
        </is>
      </c>
      <c r="I2863" t="inlineStr">
        <is>
          <t>2017-11</t>
        </is>
      </c>
      <c r="J2863" t="n">
        <v>1</v>
      </c>
      <c r="K2863" t="n">
        <v>1</v>
      </c>
      <c r="L2863" s="34">
        <f>IF($J2863=1,LN(B2864/B2863),"")</f>
        <v/>
      </c>
      <c r="M2863" s="34">
        <f>IF($K2863=1,INDEX(Mensal!$D$2:$D$245,MATCH($I2863,Mensal!$A$2:$A$245,0)),"")</f>
        <v/>
      </c>
      <c r="N2863" s="34">
        <f>IF($K2863=1,L2863-M2863,"")</f>
        <v/>
      </c>
      <c r="O2863" s="34" t="n">
        <v>0.00028296</v>
      </c>
      <c r="P2863" s="34">
        <f>IF($J2863=1,LN(1+O2863),"")</f>
        <v/>
      </c>
      <c r="Q2863" s="34">
        <f>IF($J2863=1,LN(R2864/R2863),"")</f>
        <v/>
      </c>
      <c r="R2863" s="32" t="n">
        <v>3.292</v>
      </c>
      <c r="S2863" s="35" t="n">
        <v>7.164</v>
      </c>
      <c r="T2863" s="18" t="n"/>
      <c r="U2863" s="18" t="n"/>
      <c r="V2863" s="18" t="n">
        <v>73915.42</v>
      </c>
      <c r="W2863" s="18" t="n"/>
      <c r="X2863" s="35" t="n"/>
      <c r="Y2863" s="35" t="n">
        <v>7.164</v>
      </c>
    </row>
    <row r="2864">
      <c r="A2864" s="25" t="n">
        <v>43045</v>
      </c>
      <c r="B2864" s="18" t="n">
        <v>74310.78999999999</v>
      </c>
      <c r="C2864" s="31" t="n"/>
      <c r="D2864" s="32" t="n"/>
      <c r="E2864" s="33" t="n">
        <v>0.3257</v>
      </c>
      <c r="F2864" t="inlineStr">
        <is>
          <t>Down</t>
        </is>
      </c>
      <c r="G2864" t="inlineStr">
        <is>
          <t>Down</t>
        </is>
      </c>
      <c r="H2864" t="inlineStr">
        <is>
          <t>ED_JD</t>
        </is>
      </c>
      <c r="I2864" t="inlineStr">
        <is>
          <t>2017-11</t>
        </is>
      </c>
      <c r="J2864" t="n">
        <v>1</v>
      </c>
      <c r="K2864" t="n">
        <v>1</v>
      </c>
      <c r="L2864" s="34">
        <f>IF($J2864=1,LN(B2865/B2864),"")</f>
        <v/>
      </c>
      <c r="M2864" s="34">
        <f>IF($K2864=1,INDEX(Mensal!$D$2:$D$245,MATCH($I2864,Mensal!$A$2:$A$245,0)),"")</f>
        <v/>
      </c>
      <c r="N2864" s="34">
        <f>IF($K2864=1,L2864-M2864,"")</f>
        <v/>
      </c>
      <c r="O2864" s="34" t="n">
        <v>0.00028296</v>
      </c>
      <c r="P2864" s="34">
        <f>IF($J2864=1,LN(1+O2864),"")</f>
        <v/>
      </c>
      <c r="Q2864" s="34">
        <f>IF($J2864=1,LN(R2865/R2864),"")</f>
        <v/>
      </c>
      <c r="R2864" s="32" t="n">
        <v>3.2851</v>
      </c>
      <c r="S2864" s="35" t="n">
        <v>7.168</v>
      </c>
      <c r="T2864" s="18" t="n"/>
      <c r="U2864" s="18" t="n"/>
      <c r="V2864" s="18" t="n">
        <v>74310.78999999999</v>
      </c>
      <c r="W2864" s="18" t="n"/>
      <c r="X2864" s="35" t="n"/>
      <c r="Y2864" s="35" t="n">
        <v>7.168</v>
      </c>
    </row>
    <row r="2865">
      <c r="A2865" s="25" t="n">
        <v>43046</v>
      </c>
      <c r="B2865" s="18" t="n">
        <v>72414.87</v>
      </c>
      <c r="C2865" s="31" t="n"/>
      <c r="D2865" s="32" t="n"/>
      <c r="E2865" s="33" t="n">
        <v>0.3356</v>
      </c>
      <c r="F2865" t="inlineStr">
        <is>
          <t>Down</t>
        </is>
      </c>
      <c r="G2865" t="inlineStr">
        <is>
          <t>Down</t>
        </is>
      </c>
      <c r="H2865" t="inlineStr">
        <is>
          <t>ED_JD</t>
        </is>
      </c>
      <c r="I2865" t="inlineStr">
        <is>
          <t>2017-11</t>
        </is>
      </c>
      <c r="J2865" t="n">
        <v>1</v>
      </c>
      <c r="K2865" t="n">
        <v>1</v>
      </c>
      <c r="L2865" s="34">
        <f>IF($J2865=1,LN(B2866/B2865),"")</f>
        <v/>
      </c>
      <c r="M2865" s="34">
        <f>IF($K2865=1,INDEX(Mensal!$D$2:$D$245,MATCH($I2865,Mensal!$A$2:$A$245,0)),"")</f>
        <v/>
      </c>
      <c r="N2865" s="34">
        <f>IF($K2865=1,L2865-M2865,"")</f>
        <v/>
      </c>
      <c r="O2865" s="34" t="n">
        <v>0.00028296</v>
      </c>
      <c r="P2865" s="34">
        <f>IF($J2865=1,LN(1+O2865),"")</f>
        <v/>
      </c>
      <c r="Q2865" s="34">
        <f>IF($J2865=1,LN(R2866/R2865),"")</f>
        <v/>
      </c>
      <c r="R2865" s="32" t="n">
        <v>3.2733</v>
      </c>
      <c r="S2865" s="35" t="n">
        <v>7.172</v>
      </c>
      <c r="T2865" s="18" t="n"/>
      <c r="U2865" s="18" t="n"/>
      <c r="V2865" s="18" t="n">
        <v>72414.87</v>
      </c>
      <c r="W2865" s="18" t="n"/>
      <c r="X2865" s="35" t="n"/>
      <c r="Y2865" s="35" t="n">
        <v>7.172</v>
      </c>
    </row>
    <row r="2866">
      <c r="A2866" s="25" t="n">
        <v>43047</v>
      </c>
      <c r="B2866" s="18" t="n">
        <v>74363.13</v>
      </c>
      <c r="C2866" s="31" t="n"/>
      <c r="D2866" s="32" t="n"/>
      <c r="E2866" s="33" t="n">
        <v>0.3517</v>
      </c>
      <c r="F2866" t="inlineStr">
        <is>
          <t>Down</t>
        </is>
      </c>
      <c r="G2866" t="inlineStr">
        <is>
          <t>Down</t>
        </is>
      </c>
      <c r="H2866" t="inlineStr">
        <is>
          <t>ED_JD</t>
        </is>
      </c>
      <c r="I2866" t="inlineStr">
        <is>
          <t>2017-11</t>
        </is>
      </c>
      <c r="J2866" t="n">
        <v>1</v>
      </c>
      <c r="K2866" t="n">
        <v>1</v>
      </c>
      <c r="L2866" s="34">
        <f>IF($J2866=1,LN(B2867/B2866),"")</f>
        <v/>
      </c>
      <c r="M2866" s="34">
        <f>IF($K2866=1,INDEX(Mensal!$D$2:$D$245,MATCH($I2866,Mensal!$A$2:$A$245,0)),"")</f>
        <v/>
      </c>
      <c r="N2866" s="34">
        <f>IF($K2866=1,L2866-M2866,"")</f>
        <v/>
      </c>
      <c r="O2866" s="34" t="n">
        <v>0.00028296</v>
      </c>
      <c r="P2866" s="34">
        <f>IF($J2866=1,LN(1+O2866),"")</f>
        <v/>
      </c>
      <c r="Q2866" s="34">
        <f>IF($J2866=1,LN(R2867/R2866),"")</f>
        <v/>
      </c>
      <c r="R2866" s="32" t="n">
        <v>3.2509</v>
      </c>
      <c r="S2866" s="35" t="n">
        <v>7.104</v>
      </c>
      <c r="T2866" s="18" t="n"/>
      <c r="U2866" s="18" t="n"/>
      <c r="V2866" s="18" t="n">
        <v>74363.13</v>
      </c>
      <c r="W2866" s="18" t="n"/>
      <c r="X2866" s="35" t="n"/>
      <c r="Y2866" s="35" t="n">
        <v>7.104</v>
      </c>
    </row>
    <row r="2867">
      <c r="A2867" s="25" t="n">
        <v>43048</v>
      </c>
      <c r="B2867" s="18" t="n">
        <v>72930.69</v>
      </c>
      <c r="C2867" s="31" t="n"/>
      <c r="D2867" s="32" t="n"/>
      <c r="E2867" s="33" t="n">
        <v>0.3774</v>
      </c>
      <c r="F2867" t="inlineStr">
        <is>
          <t>Down</t>
        </is>
      </c>
      <c r="G2867" t="inlineStr">
        <is>
          <t>Down</t>
        </is>
      </c>
      <c r="H2867" t="inlineStr">
        <is>
          <t>ED_JD</t>
        </is>
      </c>
      <c r="I2867" t="inlineStr">
        <is>
          <t>2017-11</t>
        </is>
      </c>
      <c r="J2867" t="n">
        <v>1</v>
      </c>
      <c r="K2867" t="n">
        <v>1</v>
      </c>
      <c r="L2867" s="34">
        <f>IF($J2867=1,LN(B2868/B2867),"")</f>
        <v/>
      </c>
      <c r="M2867" s="34">
        <f>IF($K2867=1,INDEX(Mensal!$D$2:$D$245,MATCH($I2867,Mensal!$A$2:$A$245,0)),"")</f>
        <v/>
      </c>
      <c r="N2867" s="34">
        <f>IF($K2867=1,L2867-M2867,"")</f>
        <v/>
      </c>
      <c r="O2867" s="34" t="n">
        <v>0.00028296</v>
      </c>
      <c r="P2867" s="34">
        <f>IF($J2867=1,LN(1+O2867),"")</f>
        <v/>
      </c>
      <c r="Q2867" s="34">
        <f>IF($J2867=1,LN(R2868/R2867),"")</f>
        <v/>
      </c>
      <c r="R2867" s="32" t="n">
        <v>3.2515</v>
      </c>
      <c r="S2867" s="35" t="n">
        <v>7.122</v>
      </c>
      <c r="T2867" s="18" t="n"/>
      <c r="U2867" s="18" t="n"/>
      <c r="V2867" s="18" t="n">
        <v>72930.69</v>
      </c>
      <c r="W2867" s="18" t="n"/>
      <c r="X2867" s="35" t="n"/>
      <c r="Y2867" s="35" t="n">
        <v>7.122</v>
      </c>
    </row>
    <row r="2868">
      <c r="A2868" s="25" t="n">
        <v>43049</v>
      </c>
      <c r="B2868" s="18" t="n">
        <v>72165.63</v>
      </c>
      <c r="C2868" s="31" t="n"/>
      <c r="D2868" s="32" t="n"/>
      <c r="E2868" s="33" t="n">
        <v>0.388</v>
      </c>
      <c r="F2868" t="inlineStr">
        <is>
          <t>Down</t>
        </is>
      </c>
      <c r="G2868" t="inlineStr">
        <is>
          <t>Down</t>
        </is>
      </c>
      <c r="H2868" t="inlineStr">
        <is>
          <t>ED_JD</t>
        </is>
      </c>
      <c r="I2868" t="inlineStr">
        <is>
          <t>2017-11</t>
        </is>
      </c>
      <c r="J2868" t="n">
        <v>1</v>
      </c>
      <c r="K2868" t="n">
        <v>1</v>
      </c>
      <c r="L2868" s="34">
        <f>IF($J2868=1,LN(B2869/B2868),"")</f>
        <v/>
      </c>
      <c r="M2868" s="34">
        <f>IF($K2868=1,INDEX(Mensal!$D$2:$D$245,MATCH($I2868,Mensal!$A$2:$A$245,0)),"")</f>
        <v/>
      </c>
      <c r="N2868" s="34">
        <f>IF($K2868=1,L2868-M2868,"")</f>
        <v/>
      </c>
      <c r="O2868" s="34" t="n">
        <v>0.00028296</v>
      </c>
      <c r="P2868" s="34">
        <f>IF($J2868=1,LN(1+O2868),"")</f>
        <v/>
      </c>
      <c r="Q2868" s="34">
        <f>IF($J2868=1,LN(R2869/R2868),"")</f>
        <v/>
      </c>
      <c r="R2868" s="32" t="n">
        <v>3.2661</v>
      </c>
      <c r="S2868" s="35" t="n">
        <v>7.125</v>
      </c>
      <c r="T2868" s="18" t="n"/>
      <c r="U2868" s="18" t="n"/>
      <c r="V2868" s="18" t="n">
        <v>72165.63</v>
      </c>
      <c r="W2868" s="18" t="n"/>
      <c r="X2868" s="35" t="n"/>
      <c r="Y2868" s="35" t="n">
        <v>7.125</v>
      </c>
    </row>
    <row r="2869">
      <c r="A2869" s="25" t="n">
        <v>43052</v>
      </c>
      <c r="B2869" s="18" t="n">
        <v>72475.17</v>
      </c>
      <c r="C2869" s="31" t="n"/>
      <c r="D2869" s="32" t="n"/>
      <c r="E2869" s="33" t="n">
        <v>0.4058</v>
      </c>
      <c r="F2869" t="inlineStr">
        <is>
          <t>Down</t>
        </is>
      </c>
      <c r="G2869" t="inlineStr">
        <is>
          <t>Down</t>
        </is>
      </c>
      <c r="H2869" t="inlineStr">
        <is>
          <t>ED_JD</t>
        </is>
      </c>
      <c r="I2869" t="inlineStr">
        <is>
          <t>2017-11</t>
        </is>
      </c>
      <c r="J2869" t="n">
        <v>1</v>
      </c>
      <c r="K2869" t="n">
        <v>1</v>
      </c>
      <c r="L2869" s="34">
        <f>IF($J2869=1,LN(B2870/B2869),"")</f>
        <v/>
      </c>
      <c r="M2869" s="34">
        <f>IF($K2869=1,INDEX(Mensal!$D$2:$D$245,MATCH($I2869,Mensal!$A$2:$A$245,0)),"")</f>
        <v/>
      </c>
      <c r="N2869" s="34">
        <f>IF($K2869=1,L2869-M2869,"")</f>
        <v/>
      </c>
      <c r="O2869" s="34" t="n">
        <v>0.00028296</v>
      </c>
      <c r="P2869" s="34">
        <f>IF($J2869=1,LN(1+O2869),"")</f>
        <v/>
      </c>
      <c r="Q2869" s="34">
        <f>IF($J2869=1,LN(R2870/R2869),"")</f>
        <v/>
      </c>
      <c r="R2869" s="32" t="n">
        <v>3.2873</v>
      </c>
      <c r="S2869" s="35" t="n">
        <v>7.128</v>
      </c>
      <c r="T2869" s="18" t="n"/>
      <c r="U2869" s="18" t="n"/>
      <c r="V2869" s="18" t="n">
        <v>72475.17</v>
      </c>
      <c r="W2869" s="18" t="n"/>
      <c r="X2869" s="35" t="n"/>
      <c r="Y2869" s="35" t="n">
        <v>7.128</v>
      </c>
    </row>
    <row r="2870">
      <c r="A2870" s="25" t="n">
        <v>43053</v>
      </c>
      <c r="B2870" s="18" t="n">
        <v>70826.59</v>
      </c>
      <c r="C2870" s="31" t="n"/>
      <c r="D2870" s="32" t="n"/>
      <c r="E2870" s="33" t="n">
        <v>0.4167</v>
      </c>
      <c r="F2870" t="inlineStr">
        <is>
          <t>Down</t>
        </is>
      </c>
      <c r="G2870" t="inlineStr">
        <is>
          <t>Down</t>
        </is>
      </c>
      <c r="H2870" t="inlineStr">
        <is>
          <t>ED_JD</t>
        </is>
      </c>
      <c r="I2870" t="inlineStr">
        <is>
          <t>2017-11</t>
        </is>
      </c>
      <c r="J2870" t="n">
        <v>1</v>
      </c>
      <c r="K2870" t="n">
        <v>1</v>
      </c>
      <c r="L2870" s="34">
        <f>IF($J2870=1,LN(B2871/B2870),"")</f>
        <v/>
      </c>
      <c r="M2870" s="34">
        <f>IF($K2870=1,INDEX(Mensal!$D$2:$D$245,MATCH($I2870,Mensal!$A$2:$A$245,0)),"")</f>
        <v/>
      </c>
      <c r="N2870" s="34">
        <f>IF($K2870=1,L2870-M2870,"")</f>
        <v/>
      </c>
      <c r="O2870" s="34" t="n">
        <v>0.00028296</v>
      </c>
      <c r="P2870" s="34">
        <f>IF($J2870=1,LN(1+O2870),"")</f>
        <v/>
      </c>
      <c r="Q2870" s="34">
        <f>IF($J2870=1,LN(R2871/R2870),"")</f>
        <v/>
      </c>
      <c r="R2870" s="32" t="n">
        <v>3.2834</v>
      </c>
      <c r="S2870" s="35" t="n">
        <v>7.141</v>
      </c>
      <c r="T2870" s="18" t="n"/>
      <c r="U2870" s="18" t="n"/>
      <c r="V2870" s="18" t="n">
        <v>70826.59</v>
      </c>
      <c r="W2870" s="18" t="n"/>
      <c r="X2870" s="35" t="n"/>
      <c r="Y2870" s="35" t="n">
        <v>7.141</v>
      </c>
    </row>
    <row r="2871">
      <c r="A2871" s="25" t="n">
        <v>43055</v>
      </c>
      <c r="B2871" s="18" t="n">
        <v>72511.78999999999</v>
      </c>
      <c r="C2871" s="31" t="n"/>
      <c r="D2871" s="32" t="n"/>
      <c r="E2871" s="33" t="n">
        <v>0.43</v>
      </c>
      <c r="F2871" t="inlineStr">
        <is>
          <t>Down</t>
        </is>
      </c>
      <c r="G2871" t="inlineStr">
        <is>
          <t>Down</t>
        </is>
      </c>
      <c r="H2871" t="inlineStr">
        <is>
          <t>ED_JD</t>
        </is>
      </c>
      <c r="I2871" t="inlineStr">
        <is>
          <t>2017-11</t>
        </is>
      </c>
      <c r="J2871" t="n">
        <v>1</v>
      </c>
      <c r="K2871" t="n">
        <v>1</v>
      </c>
      <c r="L2871" s="34">
        <f>IF($J2871=1,LN(B2872/B2871),"")</f>
        <v/>
      </c>
      <c r="M2871" s="34">
        <f>IF($K2871=1,INDEX(Mensal!$D$2:$D$245,MATCH($I2871,Mensal!$A$2:$A$245,0)),"")</f>
        <v/>
      </c>
      <c r="N2871" s="34">
        <f>IF($K2871=1,L2871-M2871,"")</f>
        <v/>
      </c>
      <c r="O2871" s="34" t="n">
        <v>0.00028296</v>
      </c>
      <c r="P2871" s="34">
        <f>IF($J2871=1,LN(1+O2871),"")</f>
        <v/>
      </c>
      <c r="Q2871" s="34">
        <f>IF($J2871=1,LN(R2872/R2871),"")</f>
        <v/>
      </c>
      <c r="R2871" s="32" t="n">
        <v>3.2808</v>
      </c>
      <c r="S2871" s="35" t="n">
        <v>7.136</v>
      </c>
      <c r="T2871" s="18" t="n"/>
      <c r="U2871" s="18" t="n"/>
      <c r="V2871" s="18" t="n">
        <v>72511.78999999999</v>
      </c>
      <c r="W2871" s="18" t="n"/>
      <c r="X2871" s="35" t="n"/>
      <c r="Y2871" s="35" t="n">
        <v>7.136</v>
      </c>
    </row>
    <row r="2872">
      <c r="A2872" s="25" t="n">
        <v>43056</v>
      </c>
      <c r="B2872" s="18" t="n">
        <v>73437.28</v>
      </c>
      <c r="C2872" s="31" t="n"/>
      <c r="D2872" s="32" t="n"/>
      <c r="E2872" s="33" t="n">
        <v>0.4462</v>
      </c>
      <c r="F2872" t="inlineStr">
        <is>
          <t>Down</t>
        </is>
      </c>
      <c r="G2872" t="inlineStr">
        <is>
          <t>Down</t>
        </is>
      </c>
      <c r="H2872" t="inlineStr">
        <is>
          <t>ED_JD</t>
        </is>
      </c>
      <c r="I2872" t="inlineStr">
        <is>
          <t>2017-11</t>
        </is>
      </c>
      <c r="J2872" t="n">
        <v>1</v>
      </c>
      <c r="K2872" t="n">
        <v>1</v>
      </c>
      <c r="L2872" s="34">
        <f>IF($J2872=1,LN(B2873/B2872),"")</f>
        <v/>
      </c>
      <c r="M2872" s="34">
        <f>IF($K2872=1,INDEX(Mensal!$D$2:$D$245,MATCH($I2872,Mensal!$A$2:$A$245,0)),"")</f>
        <v/>
      </c>
      <c r="N2872" s="34">
        <f>IF($K2872=1,L2872-M2872,"")</f>
        <v/>
      </c>
      <c r="O2872" s="34" t="n">
        <v>0.00028296</v>
      </c>
      <c r="P2872" s="34">
        <f>IF($J2872=1,LN(1+O2872),"")</f>
        <v/>
      </c>
      <c r="Q2872" s="34">
        <f>IF($J2872=1,LN(R2873/R2872),"")</f>
        <v/>
      </c>
      <c r="R2872" s="32" t="n">
        <v>3.2788</v>
      </c>
      <c r="S2872" s="35" t="n">
        <v>7.094</v>
      </c>
      <c r="T2872" s="18" t="n"/>
      <c r="U2872" s="18" t="n"/>
      <c r="V2872" s="18" t="n">
        <v>73437.28</v>
      </c>
      <c r="W2872" s="18" t="n"/>
      <c r="X2872" s="35" t="n"/>
      <c r="Y2872" s="35" t="n">
        <v>7.094</v>
      </c>
    </row>
    <row r="2873">
      <c r="A2873" s="25" t="n">
        <v>43060</v>
      </c>
      <c r="B2873" s="18" t="n">
        <v>74594.61</v>
      </c>
      <c r="C2873" s="31" t="n"/>
      <c r="D2873" s="32" t="n"/>
      <c r="E2873" s="33" t="n">
        <v>0.4754</v>
      </c>
      <c r="F2873" t="inlineStr">
        <is>
          <t>Down</t>
        </is>
      </c>
      <c r="G2873" t="inlineStr">
        <is>
          <t>Down</t>
        </is>
      </c>
      <c r="H2873" t="inlineStr">
        <is>
          <t>ED_JD</t>
        </is>
      </c>
      <c r="I2873" t="inlineStr">
        <is>
          <t>2017-11</t>
        </is>
      </c>
      <c r="J2873" t="n">
        <v>1</v>
      </c>
      <c r="K2873" t="n">
        <v>1</v>
      </c>
      <c r="L2873" s="34">
        <f>IF($J2873=1,LN(B2874/B2873),"")</f>
        <v/>
      </c>
      <c r="M2873" s="34">
        <f>IF($K2873=1,INDEX(Mensal!$D$2:$D$245,MATCH($I2873,Mensal!$A$2:$A$245,0)),"")</f>
        <v/>
      </c>
      <c r="N2873" s="34">
        <f>IF($K2873=1,L2873-M2873,"")</f>
        <v/>
      </c>
      <c r="O2873" s="34" t="n">
        <v>0.00028296</v>
      </c>
      <c r="P2873" s="34">
        <f>IF($J2873=1,LN(1+O2873),"")</f>
        <v/>
      </c>
      <c r="Q2873" s="34">
        <f>IF($J2873=1,LN(R2874/R2873),"")</f>
        <v/>
      </c>
      <c r="R2873" s="32" t="n">
        <v>3.2591</v>
      </c>
      <c r="S2873" s="35" t="n">
        <v>7.082</v>
      </c>
      <c r="T2873" s="18" t="n"/>
      <c r="U2873" s="18" t="n"/>
      <c r="V2873" s="18" t="n">
        <v>74594.61</v>
      </c>
      <c r="W2873" s="18" t="n"/>
      <c r="X2873" s="35" t="n"/>
      <c r="Y2873" s="35" t="n">
        <v>7.082</v>
      </c>
    </row>
    <row r="2874">
      <c r="A2874" s="25" t="n">
        <v>43061</v>
      </c>
      <c r="B2874" s="18" t="n">
        <v>74518.78999999999</v>
      </c>
      <c r="C2874" s="31" t="n"/>
      <c r="D2874" s="32" t="n"/>
      <c r="E2874" s="33" t="n">
        <v>0.5096000000000001</v>
      </c>
      <c r="F2874" t="inlineStr">
        <is>
          <t>Down</t>
        </is>
      </c>
      <c r="G2874" t="inlineStr">
        <is>
          <t>Down</t>
        </is>
      </c>
      <c r="H2874" t="inlineStr">
        <is>
          <t>ED_JD</t>
        </is>
      </c>
      <c r="I2874" t="inlineStr">
        <is>
          <t>2017-11</t>
        </is>
      </c>
      <c r="J2874" t="n">
        <v>1</v>
      </c>
      <c r="K2874" t="n">
        <v>1</v>
      </c>
      <c r="L2874" s="34">
        <f>IF($J2874=1,LN(B2875/B2874),"")</f>
        <v/>
      </c>
      <c r="M2874" s="34">
        <f>IF($K2874=1,INDEX(Mensal!$D$2:$D$245,MATCH($I2874,Mensal!$A$2:$A$245,0)),"")</f>
        <v/>
      </c>
      <c r="N2874" s="34">
        <f>IF($K2874=1,L2874-M2874,"")</f>
        <v/>
      </c>
      <c r="O2874" s="34" t="n">
        <v>0.00028296</v>
      </c>
      <c r="P2874" s="34">
        <f>IF($J2874=1,LN(1+O2874),"")</f>
        <v/>
      </c>
      <c r="Q2874" s="34">
        <f>IF($J2874=1,LN(R2875/R2874),"")</f>
        <v/>
      </c>
      <c r="R2874" s="32" t="n">
        <v>3.2561</v>
      </c>
      <c r="S2874" s="35" t="n">
        <v>7.082</v>
      </c>
      <c r="T2874" s="18" t="n"/>
      <c r="U2874" s="18" t="n"/>
      <c r="V2874" s="18" t="n">
        <v>74518.78999999999</v>
      </c>
      <c r="W2874" s="18" t="n"/>
      <c r="X2874" s="35" t="n"/>
      <c r="Y2874" s="35" t="n">
        <v>7.082</v>
      </c>
    </row>
    <row r="2875">
      <c r="A2875" s="25" t="n">
        <v>43062</v>
      </c>
      <c r="B2875" s="18" t="n">
        <v>74486.58</v>
      </c>
      <c r="C2875" s="31" t="n"/>
      <c r="D2875" s="32" t="n"/>
      <c r="E2875" s="33" t="n">
        <v>0.5436</v>
      </c>
      <c r="F2875" t="inlineStr">
        <is>
          <t>Down</t>
        </is>
      </c>
      <c r="G2875" t="inlineStr">
        <is>
          <t>Down</t>
        </is>
      </c>
      <c r="H2875" t="inlineStr">
        <is>
          <t>ED_JD</t>
        </is>
      </c>
      <c r="I2875" t="inlineStr">
        <is>
          <t>2017-11</t>
        </is>
      </c>
      <c r="J2875" t="n">
        <v>1</v>
      </c>
      <c r="K2875" t="n">
        <v>1</v>
      </c>
      <c r="L2875" s="34">
        <f>IF($J2875=1,LN(B2876/B2875),"")</f>
        <v/>
      </c>
      <c r="M2875" s="34">
        <f>IF($K2875=1,INDEX(Mensal!$D$2:$D$245,MATCH($I2875,Mensal!$A$2:$A$245,0)),"")</f>
        <v/>
      </c>
      <c r="N2875" s="34">
        <f>IF($K2875=1,L2875-M2875,"")</f>
        <v/>
      </c>
      <c r="O2875" s="34" t="n">
        <v>0.00028296</v>
      </c>
      <c r="P2875" s="34">
        <f>IF($J2875=1,LN(1+O2875),"")</f>
        <v/>
      </c>
      <c r="Q2875" s="34">
        <f>IF($J2875=1,LN(R2876/R2875),"")</f>
        <v/>
      </c>
      <c r="R2875" s="32" t="n">
        <v>3.2371</v>
      </c>
      <c r="S2875" s="35" t="n">
        <v>7.021</v>
      </c>
      <c r="T2875" s="18" t="n"/>
      <c r="U2875" s="18" t="n"/>
      <c r="V2875" s="18" t="n">
        <v>74486.58</v>
      </c>
      <c r="W2875" s="18" t="n"/>
      <c r="X2875" s="35" t="n"/>
      <c r="Y2875" s="35" t="n">
        <v>7.021</v>
      </c>
    </row>
    <row r="2876">
      <c r="A2876" s="25" t="n">
        <v>43063</v>
      </c>
      <c r="B2876" s="18" t="n">
        <v>74157.37</v>
      </c>
      <c r="C2876" s="31" t="n"/>
      <c r="D2876" s="32" t="n"/>
      <c r="E2876" s="33" t="n">
        <v>0.5770999999999999</v>
      </c>
      <c r="F2876" t="inlineStr">
        <is>
          <t>Down</t>
        </is>
      </c>
      <c r="G2876" t="inlineStr">
        <is>
          <t>Down</t>
        </is>
      </c>
      <c r="H2876" t="inlineStr">
        <is>
          <t>ED_JD</t>
        </is>
      </c>
      <c r="I2876" t="inlineStr">
        <is>
          <t>2017-11</t>
        </is>
      </c>
      <c r="J2876" t="n">
        <v>1</v>
      </c>
      <c r="K2876" t="n">
        <v>1</v>
      </c>
      <c r="L2876" s="34">
        <f>IF($J2876=1,LN(B2877/B2876),"")</f>
        <v/>
      </c>
      <c r="M2876" s="34">
        <f>IF($K2876=1,INDEX(Mensal!$D$2:$D$245,MATCH($I2876,Mensal!$A$2:$A$245,0)),"")</f>
        <v/>
      </c>
      <c r="N2876" s="34">
        <f>IF($K2876=1,L2876-M2876,"")</f>
        <v/>
      </c>
      <c r="O2876" s="34" t="n">
        <v>0.00028296</v>
      </c>
      <c r="P2876" s="34">
        <f>IF($J2876=1,LN(1+O2876),"")</f>
        <v/>
      </c>
      <c r="Q2876" s="34">
        <f>IF($J2876=1,LN(R2877/R2876),"")</f>
        <v/>
      </c>
      <c r="R2876" s="32" t="n">
        <v>3.23</v>
      </c>
      <c r="S2876" s="35" t="n">
        <v>7.019</v>
      </c>
      <c r="T2876" s="18" t="n"/>
      <c r="U2876" s="18" t="n"/>
      <c r="V2876" s="18" t="n">
        <v>74157.37</v>
      </c>
      <c r="W2876" s="18" t="n"/>
      <c r="X2876" s="35" t="n"/>
      <c r="Y2876" s="35" t="n">
        <v>7.019</v>
      </c>
    </row>
    <row r="2877">
      <c r="A2877" s="25" t="n">
        <v>43066</v>
      </c>
      <c r="B2877" s="18" t="n">
        <v>74058.92</v>
      </c>
      <c r="C2877" s="31" t="n"/>
      <c r="D2877" s="32" t="n"/>
      <c r="E2877" s="33" t="n">
        <v>0.606</v>
      </c>
      <c r="F2877" t="inlineStr">
        <is>
          <t>Down</t>
        </is>
      </c>
      <c r="G2877" t="inlineStr">
        <is>
          <t>Down</t>
        </is>
      </c>
      <c r="H2877" t="inlineStr">
        <is>
          <t>ED_JD</t>
        </is>
      </c>
      <c r="I2877" t="inlineStr">
        <is>
          <t>2017-11</t>
        </is>
      </c>
      <c r="J2877" t="n">
        <v>1</v>
      </c>
      <c r="K2877" t="n">
        <v>1</v>
      </c>
      <c r="L2877" s="34">
        <f>IF($J2877=1,LN(B2878/B2877),"")</f>
        <v/>
      </c>
      <c r="M2877" s="34">
        <f>IF($K2877=1,INDEX(Mensal!$D$2:$D$245,MATCH($I2877,Mensal!$A$2:$A$245,0)),"")</f>
        <v/>
      </c>
      <c r="N2877" s="34">
        <f>IF($K2877=1,L2877-M2877,"")</f>
        <v/>
      </c>
      <c r="O2877" s="34" t="n">
        <v>0.00028296</v>
      </c>
      <c r="P2877" s="34">
        <f>IF($J2877=1,LN(1+O2877),"")</f>
        <v/>
      </c>
      <c r="Q2877" s="34">
        <f>IF($J2877=1,LN(R2878/R2877),"")</f>
        <v/>
      </c>
      <c r="R2877" s="32" t="n">
        <v>3.2218</v>
      </c>
      <c r="S2877" s="35" t="n">
        <v>7.005</v>
      </c>
      <c r="T2877" s="18" t="n"/>
      <c r="U2877" s="18" t="n"/>
      <c r="V2877" s="18" t="n">
        <v>74058.92</v>
      </c>
      <c r="W2877" s="18" t="n"/>
      <c r="X2877" s="35" t="n"/>
      <c r="Y2877" s="35" t="n">
        <v>7.005</v>
      </c>
    </row>
    <row r="2878">
      <c r="A2878" s="25" t="n">
        <v>43067</v>
      </c>
      <c r="B2878" s="18" t="n">
        <v>74139.72</v>
      </c>
      <c r="C2878" s="31" t="n"/>
      <c r="D2878" s="32" t="n"/>
      <c r="E2878" s="33" t="n">
        <v>0.6335</v>
      </c>
      <c r="F2878" t="inlineStr">
        <is>
          <t>Down</t>
        </is>
      </c>
      <c r="G2878" t="inlineStr">
        <is>
          <t>Down</t>
        </is>
      </c>
      <c r="H2878" t="inlineStr">
        <is>
          <t>ED_JD</t>
        </is>
      </c>
      <c r="I2878" t="inlineStr">
        <is>
          <t>2017-11</t>
        </is>
      </c>
      <c r="J2878" t="n">
        <v>1</v>
      </c>
      <c r="K2878" t="n">
        <v>1</v>
      </c>
      <c r="L2878" s="34">
        <f>IF($J2878=1,LN(B2879/B2878),"")</f>
        <v/>
      </c>
      <c r="M2878" s="34">
        <f>IF($K2878=1,INDEX(Mensal!$D$2:$D$245,MATCH($I2878,Mensal!$A$2:$A$245,0)),"")</f>
        <v/>
      </c>
      <c r="N2878" s="34">
        <f>IF($K2878=1,L2878-M2878,"")</f>
        <v/>
      </c>
      <c r="O2878" s="34" t="n">
        <v>0.00028296</v>
      </c>
      <c r="P2878" s="34">
        <f>IF($J2878=1,LN(1+O2878),"")</f>
        <v/>
      </c>
      <c r="Q2878" s="34">
        <f>IF($J2878=1,LN(R2879/R2878),"")</f>
        <v/>
      </c>
      <c r="R2878" s="32" t="n">
        <v>3.2232</v>
      </c>
      <c r="S2878" s="35" t="n">
        <v>6.993</v>
      </c>
      <c r="T2878" s="18" t="n"/>
      <c r="U2878" s="18" t="n"/>
      <c r="V2878" s="18" t="n">
        <v>74139.72</v>
      </c>
      <c r="W2878" s="18" t="n"/>
      <c r="X2878" s="35" t="n"/>
      <c r="Y2878" s="35" t="n">
        <v>6.993</v>
      </c>
    </row>
    <row r="2879">
      <c r="A2879" s="25" t="n">
        <v>43068</v>
      </c>
      <c r="B2879" s="18" t="n">
        <v>72700.45</v>
      </c>
      <c r="C2879" s="31" t="n"/>
      <c r="D2879" s="32" t="n"/>
      <c r="E2879" s="33" t="n">
        <v>0.6614</v>
      </c>
      <c r="F2879" t="inlineStr">
        <is>
          <t>Down</t>
        </is>
      </c>
      <c r="G2879" t="inlineStr">
        <is>
          <t>Down</t>
        </is>
      </c>
      <c r="H2879" t="inlineStr">
        <is>
          <t>ED_JD</t>
        </is>
      </c>
      <c r="I2879" t="inlineStr">
        <is>
          <t>2017-11</t>
        </is>
      </c>
      <c r="J2879" t="n">
        <v>1</v>
      </c>
      <c r="K2879" t="n">
        <v>1</v>
      </c>
      <c r="L2879" s="34">
        <f>IF($J2879=1,LN(B2880/B2879),"")</f>
        <v/>
      </c>
      <c r="M2879" s="34">
        <f>IF($K2879=1,INDEX(Mensal!$D$2:$D$245,MATCH($I2879,Mensal!$A$2:$A$245,0)),"")</f>
        <v/>
      </c>
      <c r="N2879" s="34">
        <f>IF($K2879=1,L2879-M2879,"")</f>
        <v/>
      </c>
      <c r="O2879" s="34" t="n">
        <v>0.00028296</v>
      </c>
      <c r="P2879" s="34">
        <f>IF($J2879=1,LN(1+O2879),"")</f>
        <v/>
      </c>
      <c r="Q2879" s="34">
        <f>IF($J2879=1,LN(R2880/R2879),"")</f>
        <v/>
      </c>
      <c r="R2879" s="32" t="n">
        <v>3.2136</v>
      </c>
      <c r="S2879" s="35" t="n">
        <v>7.041</v>
      </c>
      <c r="T2879" s="18" t="n"/>
      <c r="U2879" s="18" t="n"/>
      <c r="V2879" s="18" t="n">
        <v>72700.45</v>
      </c>
      <c r="W2879" s="18" t="n"/>
      <c r="X2879" s="35" t="n"/>
      <c r="Y2879" s="35" t="n">
        <v>7.041</v>
      </c>
    </row>
    <row r="2880">
      <c r="A2880" s="25" t="n">
        <v>43069</v>
      </c>
      <c r="B2880" s="18" t="n">
        <v>71970.99000000001</v>
      </c>
      <c r="C2880" s="31" t="n"/>
      <c r="D2880" s="32" t="n"/>
      <c r="E2880" s="33" t="n">
        <v>0.6868</v>
      </c>
      <c r="F2880" t="inlineStr">
        <is>
          <t>Down</t>
        </is>
      </c>
      <c r="G2880" t="inlineStr">
        <is>
          <t>Down</t>
        </is>
      </c>
      <c r="H2880" t="inlineStr">
        <is>
          <t>ED_JD</t>
        </is>
      </c>
      <c r="I2880" t="inlineStr">
        <is>
          <t>2017-11</t>
        </is>
      </c>
      <c r="J2880" t="n">
        <v>1</v>
      </c>
      <c r="K2880" t="n">
        <v>1</v>
      </c>
      <c r="L2880" s="34">
        <f>IF($J2880=1,LN(B2881/B2880),"")</f>
        <v/>
      </c>
      <c r="M2880" s="34">
        <f>IF($K2880=1,INDEX(Mensal!$D$2:$D$245,MATCH($I2880,Mensal!$A$2:$A$245,0)),"")</f>
        <v/>
      </c>
      <c r="N2880" s="34">
        <f>IF($K2880=1,L2880-M2880,"")</f>
        <v/>
      </c>
      <c r="O2880" s="34" t="n">
        <v>0.00028296</v>
      </c>
      <c r="P2880" s="34">
        <f>IF($J2880=1,LN(1+O2880),"")</f>
        <v/>
      </c>
      <c r="Q2880" s="34">
        <f>IF($J2880=1,LN(R2881/R2880),"")</f>
        <v/>
      </c>
      <c r="R2880" s="32" t="n">
        <v>3.2616</v>
      </c>
      <c r="S2880" s="35" t="n">
        <v>7.021</v>
      </c>
      <c r="T2880" s="18" t="n"/>
      <c r="U2880" s="18" t="n"/>
      <c r="V2880" s="18" t="n">
        <v>71970.99000000001</v>
      </c>
      <c r="W2880" s="18" t="n"/>
      <c r="X2880" s="35" t="n"/>
      <c r="Y2880" s="35" t="n">
        <v>7.021</v>
      </c>
    </row>
    <row r="2881">
      <c r="A2881" s="25" t="n">
        <v>43070</v>
      </c>
      <c r="B2881" s="18" t="n">
        <v>72264.45</v>
      </c>
      <c r="C2881" s="31" t="n"/>
      <c r="D2881" s="32" t="n"/>
      <c r="E2881" s="33" t="n">
        <v>0.7171999999999999</v>
      </c>
      <c r="F2881" t="inlineStr">
        <is>
          <t>Up</t>
        </is>
      </c>
      <c r="G2881" t="inlineStr">
        <is>
          <t>Down</t>
        </is>
      </c>
      <c r="H2881" t="inlineStr">
        <is>
          <t>EU_JD</t>
        </is>
      </c>
      <c r="I2881" t="inlineStr">
        <is>
          <t>2017-12</t>
        </is>
      </c>
      <c r="J2881" t="n">
        <v>1</v>
      </c>
      <c r="K2881" t="n">
        <v>1</v>
      </c>
      <c r="L2881" s="34">
        <f>IF($J2881=1,LN(B2882/B2881),"")</f>
        <v/>
      </c>
      <c r="M2881" s="34">
        <f>IF($K2881=1,INDEX(Mensal!$D$2:$D$245,MATCH($I2881,Mensal!$A$2:$A$245,0)),"")</f>
        <v/>
      </c>
      <c r="N2881" s="34">
        <f>IF($K2881=1,L2881-M2881,"")</f>
        <v/>
      </c>
      <c r="O2881" s="34" t="n">
        <v>0.00028296</v>
      </c>
      <c r="P2881" s="34">
        <f>IF($J2881=1,LN(1+O2881),"")</f>
        <v/>
      </c>
      <c r="Q2881" s="34">
        <f>IF($J2881=1,LN(R2882/R2881),"")</f>
        <v/>
      </c>
      <c r="R2881" s="32" t="n">
        <v>3.2636</v>
      </c>
      <c r="S2881" s="35" t="n">
        <v>7.005</v>
      </c>
      <c r="T2881" s="18" t="n">
        <v>72264.45</v>
      </c>
      <c r="U2881" s="18" t="n"/>
      <c r="V2881" s="18" t="n"/>
      <c r="W2881" s="18" t="n"/>
      <c r="X2881" s="35" t="n"/>
      <c r="Y2881" s="35" t="n">
        <v>7.005</v>
      </c>
    </row>
    <row r="2882">
      <c r="A2882" s="25" t="n">
        <v>43073</v>
      </c>
      <c r="B2882" s="18" t="n">
        <v>73090.17</v>
      </c>
      <c r="C2882" s="31" t="n"/>
      <c r="D2882" s="32" t="n"/>
      <c r="E2882" s="33" t="n">
        <v>0.7684</v>
      </c>
      <c r="F2882" t="inlineStr">
        <is>
          <t>Up</t>
        </is>
      </c>
      <c r="G2882" t="inlineStr">
        <is>
          <t>Down</t>
        </is>
      </c>
      <c r="H2882" t="inlineStr">
        <is>
          <t>EU_JD</t>
        </is>
      </c>
      <c r="I2882" t="inlineStr">
        <is>
          <t>2017-12</t>
        </is>
      </c>
      <c r="J2882" t="n">
        <v>1</v>
      </c>
      <c r="K2882" t="n">
        <v>1</v>
      </c>
      <c r="L2882" s="34">
        <f>IF($J2882=1,LN(B2883/B2882),"")</f>
        <v/>
      </c>
      <c r="M2882" s="34">
        <f>IF($K2882=1,INDEX(Mensal!$D$2:$D$245,MATCH($I2882,Mensal!$A$2:$A$245,0)),"")</f>
        <v/>
      </c>
      <c r="N2882" s="34">
        <f>IF($K2882=1,L2882-M2882,"")</f>
        <v/>
      </c>
      <c r="O2882" s="34" t="n">
        <v>0.00028296</v>
      </c>
      <c r="P2882" s="34">
        <f>IF($J2882=1,LN(1+O2882),"")</f>
        <v/>
      </c>
      <c r="Q2882" s="34">
        <f>IF($J2882=1,LN(R2883/R2882),"")</f>
        <v/>
      </c>
      <c r="R2882" s="32" t="n">
        <v>3.2506</v>
      </c>
      <c r="S2882" s="35" t="n">
        <v>6.986</v>
      </c>
      <c r="T2882" s="18" t="n">
        <v>73090.17</v>
      </c>
      <c r="U2882" s="18" t="n"/>
      <c r="V2882" s="18" t="n"/>
      <c r="W2882" s="18" t="n"/>
      <c r="X2882" s="35" t="n"/>
      <c r="Y2882" s="35" t="n">
        <v>6.986</v>
      </c>
    </row>
    <row r="2883">
      <c r="A2883" s="25" t="n">
        <v>43074</v>
      </c>
      <c r="B2883" s="18" t="n">
        <v>72546.17</v>
      </c>
      <c r="C2883" s="31" t="n"/>
      <c r="D2883" s="32" t="n"/>
      <c r="E2883" s="33" t="n">
        <v>0.8263</v>
      </c>
      <c r="F2883" t="inlineStr">
        <is>
          <t>Up</t>
        </is>
      </c>
      <c r="G2883" t="inlineStr">
        <is>
          <t>Down</t>
        </is>
      </c>
      <c r="H2883" t="inlineStr">
        <is>
          <t>EU_JD</t>
        </is>
      </c>
      <c r="I2883" t="inlineStr">
        <is>
          <t>2017-12</t>
        </is>
      </c>
      <c r="J2883" t="n">
        <v>1</v>
      </c>
      <c r="K2883" t="n">
        <v>1</v>
      </c>
      <c r="L2883" s="34">
        <f>IF($J2883=1,LN(B2884/B2883),"")</f>
        <v/>
      </c>
      <c r="M2883" s="34">
        <f>IF($K2883=1,INDEX(Mensal!$D$2:$D$245,MATCH($I2883,Mensal!$A$2:$A$245,0)),"")</f>
        <v/>
      </c>
      <c r="N2883" s="34">
        <f>IF($K2883=1,L2883-M2883,"")</f>
        <v/>
      </c>
      <c r="O2883" s="34" t="n">
        <v>0.00028296</v>
      </c>
      <c r="P2883" s="34">
        <f>IF($J2883=1,LN(1+O2883),"")</f>
        <v/>
      </c>
      <c r="Q2883" s="34">
        <f>IF($J2883=1,LN(R2884/R2883),"")</f>
        <v/>
      </c>
      <c r="R2883" s="32" t="n">
        <v>3.2322</v>
      </c>
      <c r="S2883" s="35" t="n">
        <v>6.96</v>
      </c>
      <c r="T2883" s="18" t="n">
        <v>72546.17</v>
      </c>
      <c r="U2883" s="18" t="n"/>
      <c r="V2883" s="18" t="n"/>
      <c r="W2883" s="18" t="n"/>
      <c r="X2883" s="35" t="n"/>
      <c r="Y2883" s="35" t="n">
        <v>6.96</v>
      </c>
    </row>
    <row r="2884">
      <c r="A2884" s="25" t="n">
        <v>43075</v>
      </c>
      <c r="B2884" s="18" t="n">
        <v>73268.35000000001</v>
      </c>
      <c r="C2884" s="31" t="n"/>
      <c r="D2884" s="32" t="n"/>
      <c r="E2884" s="33" t="n">
        <v>0.8803</v>
      </c>
      <c r="F2884" t="inlineStr">
        <is>
          <t>Up</t>
        </is>
      </c>
      <c r="G2884" t="inlineStr">
        <is>
          <t>Down</t>
        </is>
      </c>
      <c r="H2884" t="inlineStr">
        <is>
          <t>EU_JD</t>
        </is>
      </c>
      <c r="I2884" t="inlineStr">
        <is>
          <t>2017-12</t>
        </is>
      </c>
      <c r="J2884" t="n">
        <v>1</v>
      </c>
      <c r="K2884" t="n">
        <v>1</v>
      </c>
      <c r="L2884" s="34">
        <f>IF($J2884=1,LN(B2885/B2884),"")</f>
        <v/>
      </c>
      <c r="M2884" s="34">
        <f>IF($K2884=1,INDEX(Mensal!$D$2:$D$245,MATCH($I2884,Mensal!$A$2:$A$245,0)),"")</f>
        <v/>
      </c>
      <c r="N2884" s="34">
        <f>IF($K2884=1,L2884-M2884,"")</f>
        <v/>
      </c>
      <c r="O2884" s="34" t="n">
        <v>0.00028296</v>
      </c>
      <c r="P2884" s="34">
        <f>IF($J2884=1,LN(1+O2884),"")</f>
        <v/>
      </c>
      <c r="Q2884" s="34">
        <f>IF($J2884=1,LN(R2885/R2884),"")</f>
        <v/>
      </c>
      <c r="R2884" s="32" t="n">
        <v>3.2354</v>
      </c>
      <c r="S2884" s="35" t="n">
        <v>6.963</v>
      </c>
      <c r="T2884" s="18" t="n">
        <v>73268.35000000001</v>
      </c>
      <c r="U2884" s="18" t="n"/>
      <c r="V2884" s="18" t="n"/>
      <c r="W2884" s="18" t="n"/>
      <c r="X2884" s="35" t="n"/>
      <c r="Y2884" s="35" t="n">
        <v>6.963</v>
      </c>
    </row>
    <row r="2885">
      <c r="A2885" s="25" t="n">
        <v>43076</v>
      </c>
      <c r="B2885" s="18" t="n">
        <v>72487.46000000001</v>
      </c>
      <c r="C2885" s="31" t="n"/>
      <c r="D2885" s="32" t="n"/>
      <c r="E2885" s="33" t="n">
        <v>0.9255</v>
      </c>
      <c r="F2885" t="inlineStr">
        <is>
          <t>Up</t>
        </is>
      </c>
      <c r="G2885" t="inlineStr">
        <is>
          <t>Down</t>
        </is>
      </c>
      <c r="H2885" t="inlineStr">
        <is>
          <t>EU_JD</t>
        </is>
      </c>
      <c r="I2885" t="inlineStr">
        <is>
          <t>2017-12</t>
        </is>
      </c>
      <c r="J2885" t="n">
        <v>1</v>
      </c>
      <c r="K2885" t="n">
        <v>1</v>
      </c>
      <c r="L2885" s="34">
        <f>IF($J2885=1,LN(B2886/B2885),"")</f>
        <v/>
      </c>
      <c r="M2885" s="34">
        <f>IF($K2885=1,INDEX(Mensal!$D$2:$D$245,MATCH($I2885,Mensal!$A$2:$A$245,0)),"")</f>
        <v/>
      </c>
      <c r="N2885" s="34">
        <f>IF($K2885=1,L2885-M2885,"")</f>
        <v/>
      </c>
      <c r="O2885" s="34" t="n">
        <v>0.00026444</v>
      </c>
      <c r="P2885" s="34">
        <f>IF($J2885=1,LN(1+O2885),"")</f>
        <v/>
      </c>
      <c r="Q2885" s="34">
        <f>IF($J2885=1,LN(R2886/R2885),"")</f>
        <v/>
      </c>
      <c r="R2885" s="32" t="n">
        <v>3.2892</v>
      </c>
      <c r="S2885" s="35" t="n">
        <v>6.983</v>
      </c>
      <c r="T2885" s="18" t="n">
        <v>72487.46000000001</v>
      </c>
      <c r="U2885" s="18" t="n"/>
      <c r="V2885" s="18" t="n"/>
      <c r="W2885" s="18" t="n"/>
      <c r="X2885" s="35" t="n"/>
      <c r="Y2885" s="35" t="n">
        <v>6.983</v>
      </c>
    </row>
    <row r="2886">
      <c r="A2886" s="25" t="n">
        <v>43077</v>
      </c>
      <c r="B2886" s="18" t="n">
        <v>72731.84</v>
      </c>
      <c r="C2886" s="31" t="n"/>
      <c r="D2886" s="32" t="n"/>
      <c r="E2886" s="33" t="n">
        <v>0.9622000000000001</v>
      </c>
      <c r="F2886" t="inlineStr">
        <is>
          <t>Up</t>
        </is>
      </c>
      <c r="G2886" t="inlineStr">
        <is>
          <t>Down</t>
        </is>
      </c>
      <c r="H2886" t="inlineStr">
        <is>
          <t>EU_JD</t>
        </is>
      </c>
      <c r="I2886" t="inlineStr">
        <is>
          <t>2017-12</t>
        </is>
      </c>
      <c r="J2886" t="n">
        <v>1</v>
      </c>
      <c r="K2886" t="n">
        <v>1</v>
      </c>
      <c r="L2886" s="34">
        <f>IF($J2886=1,LN(B2887/B2886),"")</f>
        <v/>
      </c>
      <c r="M2886" s="34">
        <f>IF($K2886=1,INDEX(Mensal!$D$2:$D$245,MATCH($I2886,Mensal!$A$2:$A$245,0)),"")</f>
        <v/>
      </c>
      <c r="N2886" s="34">
        <f>IF($K2886=1,L2886-M2886,"")</f>
        <v/>
      </c>
      <c r="O2886" s="34" t="n">
        <v>0.00026444</v>
      </c>
      <c r="P2886" s="34">
        <f>IF($J2886=1,LN(1+O2886),"")</f>
        <v/>
      </c>
      <c r="Q2886" s="34">
        <f>IF($J2886=1,LN(R2887/R2886),"")</f>
        <v/>
      </c>
      <c r="R2886" s="32" t="n">
        <v>3.2811</v>
      </c>
      <c r="S2886" s="35" t="n">
        <v>6.939</v>
      </c>
      <c r="T2886" s="18" t="n">
        <v>72731.84</v>
      </c>
      <c r="U2886" s="18" t="n"/>
      <c r="V2886" s="18" t="n"/>
      <c r="W2886" s="18" t="n"/>
      <c r="X2886" s="35" t="n"/>
      <c r="Y2886" s="35" t="n">
        <v>6.939</v>
      </c>
    </row>
    <row r="2887">
      <c r="A2887" s="25" t="n">
        <v>43080</v>
      </c>
      <c r="B2887" s="18" t="n">
        <v>72800.03999999999</v>
      </c>
      <c r="C2887" s="31" t="n"/>
      <c r="D2887" s="32" t="n"/>
      <c r="E2887" s="33" t="n">
        <v>0.9875</v>
      </c>
      <c r="F2887" t="inlineStr">
        <is>
          <t>Up</t>
        </is>
      </c>
      <c r="G2887" t="inlineStr">
        <is>
          <t>Down</t>
        </is>
      </c>
      <c r="H2887" t="inlineStr">
        <is>
          <t>EU_JD</t>
        </is>
      </c>
      <c r="I2887" t="inlineStr">
        <is>
          <t>2017-12</t>
        </is>
      </c>
      <c r="J2887" t="n">
        <v>1</v>
      </c>
      <c r="K2887" t="n">
        <v>1</v>
      </c>
      <c r="L2887" s="34">
        <f>IF($J2887=1,LN(B2888/B2887),"")</f>
        <v/>
      </c>
      <c r="M2887" s="34">
        <f>IF($K2887=1,INDEX(Mensal!$D$2:$D$245,MATCH($I2887,Mensal!$A$2:$A$245,0)),"")</f>
        <v/>
      </c>
      <c r="N2887" s="34">
        <f>IF($K2887=1,L2887-M2887,"")</f>
        <v/>
      </c>
      <c r="O2887" s="34" t="n">
        <v>0.00026444</v>
      </c>
      <c r="P2887" s="34">
        <f>IF($J2887=1,LN(1+O2887),"")</f>
        <v/>
      </c>
      <c r="Q2887" s="34">
        <f>IF($J2887=1,LN(R2888/R2887),"")</f>
        <v/>
      </c>
      <c r="R2887" s="32" t="n">
        <v>3.2845</v>
      </c>
      <c r="S2887" s="35" t="n">
        <v>6.928</v>
      </c>
      <c r="T2887" s="18" t="n">
        <v>72800.03999999999</v>
      </c>
      <c r="U2887" s="18" t="n"/>
      <c r="V2887" s="18" t="n"/>
      <c r="W2887" s="18" t="n"/>
      <c r="X2887" s="35" t="n"/>
      <c r="Y2887" s="35" t="n">
        <v>6.928</v>
      </c>
    </row>
    <row r="2888">
      <c r="A2888" s="25" t="n">
        <v>43081</v>
      </c>
      <c r="B2888" s="18" t="n">
        <v>73813.53</v>
      </c>
      <c r="C2888" s="31" t="n"/>
      <c r="D2888" s="32" t="n"/>
      <c r="E2888" s="33" t="n">
        <v>1.0058</v>
      </c>
      <c r="F2888" t="inlineStr">
        <is>
          <t>Up</t>
        </is>
      </c>
      <c r="G2888" t="inlineStr">
        <is>
          <t>Down</t>
        </is>
      </c>
      <c r="H2888" t="inlineStr">
        <is>
          <t>EU_JD</t>
        </is>
      </c>
      <c r="I2888" t="inlineStr">
        <is>
          <t>2017-12</t>
        </is>
      </c>
      <c r="J2888" t="n">
        <v>1</v>
      </c>
      <c r="K2888" t="n">
        <v>1</v>
      </c>
      <c r="L2888" s="34">
        <f>IF($J2888=1,LN(B2889/B2888),"")</f>
        <v/>
      </c>
      <c r="M2888" s="34">
        <f>IF($K2888=1,INDEX(Mensal!$D$2:$D$245,MATCH($I2888,Mensal!$A$2:$A$245,0)),"")</f>
        <v/>
      </c>
      <c r="N2888" s="34">
        <f>IF($K2888=1,L2888-M2888,"")</f>
        <v/>
      </c>
      <c r="O2888" s="34" t="n">
        <v>0.00026444</v>
      </c>
      <c r="P2888" s="34">
        <f>IF($J2888=1,LN(1+O2888),"")</f>
        <v/>
      </c>
      <c r="Q2888" s="34">
        <f>IF($J2888=1,LN(R2889/R2888),"")</f>
        <v/>
      </c>
      <c r="R2888" s="32" t="n">
        <v>3.3149</v>
      </c>
      <c r="S2888" s="35" t="n">
        <v>6.923</v>
      </c>
      <c r="T2888" s="18" t="n">
        <v>73813.53</v>
      </c>
      <c r="U2888" s="18" t="n"/>
      <c r="V2888" s="18" t="n"/>
      <c r="W2888" s="18" t="n"/>
      <c r="X2888" s="35" t="n"/>
      <c r="Y2888" s="35" t="n">
        <v>6.923</v>
      </c>
    </row>
    <row r="2889">
      <c r="A2889" s="25" t="n">
        <v>43082</v>
      </c>
      <c r="B2889" s="18" t="n">
        <v>72914.33</v>
      </c>
      <c r="C2889" s="31" t="n"/>
      <c r="D2889" s="32" t="n"/>
      <c r="E2889" s="33" t="n">
        <v>1.0482</v>
      </c>
      <c r="F2889" t="inlineStr">
        <is>
          <t>Up</t>
        </is>
      </c>
      <c r="G2889" t="inlineStr">
        <is>
          <t>Down</t>
        </is>
      </c>
      <c r="H2889" t="inlineStr">
        <is>
          <t>EU_JD</t>
        </is>
      </c>
      <c r="I2889" t="inlineStr">
        <is>
          <t>2017-12</t>
        </is>
      </c>
      <c r="J2889" t="n">
        <v>1</v>
      </c>
      <c r="K2889" t="n">
        <v>1</v>
      </c>
      <c r="L2889" s="34">
        <f>IF($J2889=1,LN(B2890/B2889),"")</f>
        <v/>
      </c>
      <c r="M2889" s="34">
        <f>IF($K2889=1,INDEX(Mensal!$D$2:$D$245,MATCH($I2889,Mensal!$A$2:$A$245,0)),"")</f>
        <v/>
      </c>
      <c r="N2889" s="34">
        <f>IF($K2889=1,L2889-M2889,"")</f>
        <v/>
      </c>
      <c r="O2889" s="34" t="n">
        <v>0.00026444</v>
      </c>
      <c r="P2889" s="34">
        <f>IF($J2889=1,LN(1+O2889),"")</f>
        <v/>
      </c>
      <c r="Q2889" s="34">
        <f>IF($J2889=1,LN(R2890/R2889),"")</f>
        <v/>
      </c>
      <c r="R2889" s="32" t="n">
        <v>3.3036</v>
      </c>
      <c r="S2889" s="35" t="n">
        <v>6.889</v>
      </c>
      <c r="T2889" s="18" t="n">
        <v>72914.33</v>
      </c>
      <c r="U2889" s="18" t="n"/>
      <c r="V2889" s="18" t="n"/>
      <c r="W2889" s="18" t="n"/>
      <c r="X2889" s="35" t="n"/>
      <c r="Y2889" s="35" t="n">
        <v>6.889</v>
      </c>
    </row>
    <row r="2890">
      <c r="A2890" s="25" t="n">
        <v>43083</v>
      </c>
      <c r="B2890" s="18" t="n">
        <v>72428.92999999999</v>
      </c>
      <c r="C2890" s="31" t="n"/>
      <c r="D2890" s="32" t="n"/>
      <c r="E2890" s="33" t="n">
        <v>1.0832</v>
      </c>
      <c r="F2890" t="inlineStr">
        <is>
          <t>Up</t>
        </is>
      </c>
      <c r="G2890" t="inlineStr">
        <is>
          <t>Down</t>
        </is>
      </c>
      <c r="H2890" t="inlineStr">
        <is>
          <t>EU_JD</t>
        </is>
      </c>
      <c r="I2890" t="inlineStr">
        <is>
          <t>2017-12</t>
        </is>
      </c>
      <c r="J2890" t="n">
        <v>1</v>
      </c>
      <c r="K2890" t="n">
        <v>1</v>
      </c>
      <c r="L2890" s="34">
        <f>IF($J2890=1,LN(B2891/B2890),"")</f>
        <v/>
      </c>
      <c r="M2890" s="34">
        <f>IF($K2890=1,INDEX(Mensal!$D$2:$D$245,MATCH($I2890,Mensal!$A$2:$A$245,0)),"")</f>
        <v/>
      </c>
      <c r="N2890" s="34">
        <f>IF($K2890=1,L2890-M2890,"")</f>
        <v/>
      </c>
      <c r="O2890" s="34" t="n">
        <v>0.00026444</v>
      </c>
      <c r="P2890" s="34">
        <f>IF($J2890=1,LN(1+O2890),"")</f>
        <v/>
      </c>
      <c r="Q2890" s="34">
        <f>IF($J2890=1,LN(R2891/R2890),"")</f>
        <v/>
      </c>
      <c r="R2890" s="32" t="n">
        <v>3.3332</v>
      </c>
      <c r="S2890" s="35" t="n">
        <v>6.885</v>
      </c>
      <c r="T2890" s="18" t="n">
        <v>72428.92999999999</v>
      </c>
      <c r="U2890" s="18" t="n"/>
      <c r="V2890" s="18" t="n"/>
      <c r="W2890" s="18" t="n"/>
      <c r="X2890" s="35" t="n"/>
      <c r="Y2890" s="35" t="n">
        <v>6.885</v>
      </c>
    </row>
    <row r="2891">
      <c r="A2891" s="25" t="n">
        <v>43084</v>
      </c>
      <c r="B2891" s="18" t="n">
        <v>72607.7</v>
      </c>
      <c r="C2891" s="31" t="n"/>
      <c r="D2891" s="32" t="n"/>
      <c r="E2891" s="33" t="n">
        <v>1.119</v>
      </c>
      <c r="F2891" t="inlineStr">
        <is>
          <t>Up</t>
        </is>
      </c>
      <c r="G2891" t="inlineStr">
        <is>
          <t>Down</t>
        </is>
      </c>
      <c r="H2891" t="inlineStr">
        <is>
          <t>EU_JD</t>
        </is>
      </c>
      <c r="I2891" t="inlineStr">
        <is>
          <t>2017-12</t>
        </is>
      </c>
      <c r="J2891" t="n">
        <v>1</v>
      </c>
      <c r="K2891" t="n">
        <v>1</v>
      </c>
      <c r="L2891" s="34">
        <f>IF($J2891=1,LN(B2892/B2891),"")</f>
        <v/>
      </c>
      <c r="M2891" s="34">
        <f>IF($K2891=1,INDEX(Mensal!$D$2:$D$245,MATCH($I2891,Mensal!$A$2:$A$245,0)),"")</f>
        <v/>
      </c>
      <c r="N2891" s="34">
        <f>IF($K2891=1,L2891-M2891,"")</f>
        <v/>
      </c>
      <c r="O2891" s="34" t="n">
        <v>0.00026444</v>
      </c>
      <c r="P2891" s="34">
        <f>IF($J2891=1,LN(1+O2891),"")</f>
        <v/>
      </c>
      <c r="Q2891" s="34">
        <f>IF($J2891=1,LN(R2892/R2891),"")</f>
        <v/>
      </c>
      <c r="R2891" s="32" t="n">
        <v>3.3182</v>
      </c>
      <c r="S2891" s="35" t="n">
        <v>6.884</v>
      </c>
      <c r="T2891" s="18" t="n">
        <v>72607.7</v>
      </c>
      <c r="U2891" s="18" t="n"/>
      <c r="V2891" s="18" t="n"/>
      <c r="W2891" s="18" t="n"/>
      <c r="X2891" s="35" t="n"/>
      <c r="Y2891" s="35" t="n">
        <v>6.884</v>
      </c>
    </row>
    <row r="2892">
      <c r="A2892" s="25" t="n">
        <v>43087</v>
      </c>
      <c r="B2892" s="18" t="n">
        <v>73115.45</v>
      </c>
      <c r="C2892" s="31" t="n"/>
      <c r="D2892" s="32" t="n"/>
      <c r="E2892" s="33" t="n">
        <v>1.1529</v>
      </c>
      <c r="F2892" t="inlineStr">
        <is>
          <t>Up</t>
        </is>
      </c>
      <c r="G2892" t="inlineStr">
        <is>
          <t>Down</t>
        </is>
      </c>
      <c r="H2892" t="inlineStr">
        <is>
          <t>EU_JD</t>
        </is>
      </c>
      <c r="I2892" t="inlineStr">
        <is>
          <t>2017-12</t>
        </is>
      </c>
      <c r="J2892" t="n">
        <v>1</v>
      </c>
      <c r="K2892" t="n">
        <v>1</v>
      </c>
      <c r="L2892" s="34">
        <f>IF($J2892=1,LN(B2893/B2892),"")</f>
        <v/>
      </c>
      <c r="M2892" s="34">
        <f>IF($K2892=1,INDEX(Mensal!$D$2:$D$245,MATCH($I2892,Mensal!$A$2:$A$245,0)),"")</f>
        <v/>
      </c>
      <c r="N2892" s="34">
        <f>IF($K2892=1,L2892-M2892,"")</f>
        <v/>
      </c>
      <c r="O2892" s="34" t="n">
        <v>0.00026444</v>
      </c>
      <c r="P2892" s="34">
        <f>IF($J2892=1,LN(1+O2892),"")</f>
        <v/>
      </c>
      <c r="Q2892" s="34">
        <f>IF($J2892=1,LN(R2893/R2892),"")</f>
        <v/>
      </c>
      <c r="R2892" s="32" t="n">
        <v>3.2881</v>
      </c>
      <c r="S2892" s="35" t="n">
        <v>6.876</v>
      </c>
      <c r="T2892" s="18" t="n">
        <v>73115.45</v>
      </c>
      <c r="U2892" s="18" t="n"/>
      <c r="V2892" s="18" t="n"/>
      <c r="W2892" s="18" t="n"/>
      <c r="X2892" s="35" t="n"/>
      <c r="Y2892" s="35" t="n">
        <v>6.876</v>
      </c>
    </row>
    <row r="2893">
      <c r="A2893" s="25" t="n">
        <v>43088</v>
      </c>
      <c r="B2893" s="18" t="n">
        <v>72680.37</v>
      </c>
      <c r="C2893" s="31" t="n"/>
      <c r="D2893" s="32" t="n"/>
      <c r="E2893" s="33" t="n">
        <v>1.1857</v>
      </c>
      <c r="F2893" t="inlineStr">
        <is>
          <t>Up</t>
        </is>
      </c>
      <c r="G2893" t="inlineStr">
        <is>
          <t>Down</t>
        </is>
      </c>
      <c r="H2893" t="inlineStr">
        <is>
          <t>EU_JD</t>
        </is>
      </c>
      <c r="I2893" t="inlineStr">
        <is>
          <t>2017-12</t>
        </is>
      </c>
      <c r="J2893" t="n">
        <v>1</v>
      </c>
      <c r="K2893" t="n">
        <v>1</v>
      </c>
      <c r="L2893" s="34">
        <f>IF($J2893=1,LN(B2894/B2893),"")</f>
        <v/>
      </c>
      <c r="M2893" s="34">
        <f>IF($K2893=1,INDEX(Mensal!$D$2:$D$245,MATCH($I2893,Mensal!$A$2:$A$245,0)),"")</f>
        <v/>
      </c>
      <c r="N2893" s="34">
        <f>IF($K2893=1,L2893-M2893,"")</f>
        <v/>
      </c>
      <c r="O2893" s="34" t="n">
        <v>0.00026444</v>
      </c>
      <c r="P2893" s="34">
        <f>IF($J2893=1,LN(1+O2893),"")</f>
        <v/>
      </c>
      <c r="Q2893" s="34">
        <f>IF($J2893=1,LN(R2894/R2893),"")</f>
        <v/>
      </c>
      <c r="R2893" s="32" t="n">
        <v>3.2883</v>
      </c>
      <c r="S2893" s="35" t="n">
        <v>6.881</v>
      </c>
      <c r="T2893" s="18" t="n">
        <v>72680.37</v>
      </c>
      <c r="U2893" s="18" t="n"/>
      <c r="V2893" s="18" t="n"/>
      <c r="W2893" s="18" t="n"/>
      <c r="X2893" s="35" t="n"/>
      <c r="Y2893" s="35" t="n">
        <v>6.881</v>
      </c>
    </row>
    <row r="2894">
      <c r="A2894" s="25" t="n">
        <v>43089</v>
      </c>
      <c r="B2894" s="18" t="n">
        <v>73367.03</v>
      </c>
      <c r="C2894" s="31" t="n"/>
      <c r="D2894" s="32" t="n"/>
      <c r="E2894" s="33" t="n">
        <v>1.2214</v>
      </c>
      <c r="F2894" t="inlineStr">
        <is>
          <t>Up</t>
        </is>
      </c>
      <c r="G2894" t="inlineStr">
        <is>
          <t>Down</t>
        </is>
      </c>
      <c r="H2894" t="inlineStr">
        <is>
          <t>EU_JD</t>
        </is>
      </c>
      <c r="I2894" t="inlineStr">
        <is>
          <t>2017-12</t>
        </is>
      </c>
      <c r="J2894" t="n">
        <v>1</v>
      </c>
      <c r="K2894" t="n">
        <v>1</v>
      </c>
      <c r="L2894" s="34">
        <f>IF($J2894=1,LN(B2895/B2894),"")</f>
        <v/>
      </c>
      <c r="M2894" s="34">
        <f>IF($K2894=1,INDEX(Mensal!$D$2:$D$245,MATCH($I2894,Mensal!$A$2:$A$245,0)),"")</f>
        <v/>
      </c>
      <c r="N2894" s="34">
        <f>IF($K2894=1,L2894-M2894,"")</f>
        <v/>
      </c>
      <c r="O2894" s="34" t="n">
        <v>0.00026444</v>
      </c>
      <c r="P2894" s="34">
        <f>IF($J2894=1,LN(1+O2894),"")</f>
        <v/>
      </c>
      <c r="Q2894" s="34">
        <f>IF($J2894=1,LN(R2895/R2894),"")</f>
        <v/>
      </c>
      <c r="R2894" s="32" t="n">
        <v>3.2909</v>
      </c>
      <c r="S2894" s="35" t="n">
        <v>6.856</v>
      </c>
      <c r="T2894" s="18" t="n">
        <v>73367.03</v>
      </c>
      <c r="U2894" s="18" t="n"/>
      <c r="V2894" s="18" t="n"/>
      <c r="W2894" s="18" t="n"/>
      <c r="X2894" s="35" t="n"/>
      <c r="Y2894" s="35" t="n">
        <v>6.856</v>
      </c>
    </row>
    <row r="2895">
      <c r="A2895" s="25" t="n">
        <v>43090</v>
      </c>
      <c r="B2895" s="18" t="n">
        <v>75133.42999999999</v>
      </c>
      <c r="C2895" s="31" t="n"/>
      <c r="D2895" s="32" t="n"/>
      <c r="E2895" s="33" t="n">
        <v>1.2561</v>
      </c>
      <c r="F2895" t="inlineStr">
        <is>
          <t>Up</t>
        </is>
      </c>
      <c r="G2895" t="inlineStr">
        <is>
          <t>Down</t>
        </is>
      </c>
      <c r="H2895" t="inlineStr">
        <is>
          <t>EU_JD</t>
        </is>
      </c>
      <c r="I2895" t="inlineStr">
        <is>
          <t>2017-12</t>
        </is>
      </c>
      <c r="J2895" t="n">
        <v>1</v>
      </c>
      <c r="K2895" t="n">
        <v>1</v>
      </c>
      <c r="L2895" s="34">
        <f>IF($J2895=1,LN(B2896/B2895),"")</f>
        <v/>
      </c>
      <c r="M2895" s="34">
        <f>IF($K2895=1,INDEX(Mensal!$D$2:$D$245,MATCH($I2895,Mensal!$A$2:$A$245,0)),"")</f>
        <v/>
      </c>
      <c r="N2895" s="34">
        <f>IF($K2895=1,L2895-M2895,"")</f>
        <v/>
      </c>
      <c r="O2895" s="34" t="n">
        <v>0.00026444</v>
      </c>
      <c r="P2895" s="34">
        <f>IF($J2895=1,LN(1+O2895),"")</f>
        <v/>
      </c>
      <c r="Q2895" s="34">
        <f>IF($J2895=1,LN(R2896/R2895),"")</f>
        <v/>
      </c>
      <c r="R2895" s="32" t="n">
        <v>3.3045</v>
      </c>
      <c r="S2895" s="35" t="n">
        <v>6.884</v>
      </c>
      <c r="T2895" s="18" t="n">
        <v>75133.42999999999</v>
      </c>
      <c r="U2895" s="18" t="n"/>
      <c r="V2895" s="18" t="n"/>
      <c r="W2895" s="18" t="n"/>
      <c r="X2895" s="35" t="n"/>
      <c r="Y2895" s="35" t="n">
        <v>6.884</v>
      </c>
    </row>
    <row r="2896">
      <c r="A2896" s="25" t="n">
        <v>43091</v>
      </c>
      <c r="B2896" s="18" t="n">
        <v>75186.53</v>
      </c>
      <c r="C2896" s="31" t="n"/>
      <c r="D2896" s="32" t="n"/>
      <c r="E2896" s="33" t="n">
        <v>1.2832</v>
      </c>
      <c r="F2896" t="inlineStr">
        <is>
          <t>Up</t>
        </is>
      </c>
      <c r="G2896" t="inlineStr">
        <is>
          <t>Down</t>
        </is>
      </c>
      <c r="H2896" t="inlineStr">
        <is>
          <t>EU_JD</t>
        </is>
      </c>
      <c r="I2896" t="inlineStr">
        <is>
          <t>2017-12</t>
        </is>
      </c>
      <c r="J2896" t="n">
        <v>1</v>
      </c>
      <c r="K2896" t="n">
        <v>1</v>
      </c>
      <c r="L2896" s="34">
        <f>IF($J2896=1,LN(B2897/B2896),"")</f>
        <v/>
      </c>
      <c r="M2896" s="34">
        <f>IF($K2896=1,INDEX(Mensal!$D$2:$D$245,MATCH($I2896,Mensal!$A$2:$A$245,0)),"")</f>
        <v/>
      </c>
      <c r="N2896" s="34">
        <f>IF($K2896=1,L2896-M2896,"")</f>
        <v/>
      </c>
      <c r="O2896" s="34" t="n">
        <v>0.00026444</v>
      </c>
      <c r="P2896" s="34">
        <f>IF($J2896=1,LN(1+O2896),"")</f>
        <v/>
      </c>
      <c r="Q2896" s="34">
        <f>IF($J2896=1,LN(R2897/R2896),"")</f>
        <v/>
      </c>
      <c r="R2896" s="32" t="n">
        <v>3.3209</v>
      </c>
      <c r="S2896" s="35" t="n">
        <v>6.873</v>
      </c>
      <c r="T2896" s="18" t="n">
        <v>75186.53</v>
      </c>
      <c r="U2896" s="18" t="n"/>
      <c r="V2896" s="18" t="n"/>
      <c r="W2896" s="18" t="n"/>
      <c r="X2896" s="35" t="n"/>
      <c r="Y2896" s="35" t="n">
        <v>6.873</v>
      </c>
    </row>
    <row r="2897">
      <c r="A2897" s="25" t="n">
        <v>43095</v>
      </c>
      <c r="B2897" s="18" t="n">
        <v>75707.73</v>
      </c>
      <c r="C2897" s="31" t="n"/>
      <c r="D2897" s="32" t="n"/>
      <c r="E2897" s="33" t="n">
        <v>1.3126</v>
      </c>
      <c r="F2897" t="inlineStr">
        <is>
          <t>Up</t>
        </is>
      </c>
      <c r="G2897" t="inlineStr">
        <is>
          <t>Down</t>
        </is>
      </c>
      <c r="H2897" t="inlineStr">
        <is>
          <t>EU_JD</t>
        </is>
      </c>
      <c r="I2897" t="inlineStr">
        <is>
          <t>2017-12</t>
        </is>
      </c>
      <c r="J2897" t="n">
        <v>1</v>
      </c>
      <c r="K2897" t="n">
        <v>1</v>
      </c>
      <c r="L2897" s="34">
        <f>IF($J2897=1,LN(B2898/B2897),"")</f>
        <v/>
      </c>
      <c r="M2897" s="34">
        <f>IF($K2897=1,INDEX(Mensal!$D$2:$D$245,MATCH($I2897,Mensal!$A$2:$A$245,0)),"")</f>
        <v/>
      </c>
      <c r="N2897" s="34">
        <f>IF($K2897=1,L2897-M2897,"")</f>
        <v/>
      </c>
      <c r="O2897" s="34" t="n">
        <v>0.00026444</v>
      </c>
      <c r="P2897" s="34">
        <f>IF($J2897=1,LN(1+O2897),"")</f>
        <v/>
      </c>
      <c r="Q2897" s="34">
        <f>IF($J2897=1,LN(R2898/R2897),"")</f>
        <v/>
      </c>
      <c r="R2897" s="32" t="n">
        <v>3.32</v>
      </c>
      <c r="S2897" s="35" t="n">
        <v>6.85</v>
      </c>
      <c r="T2897" s="18" t="n">
        <v>75707.73</v>
      </c>
      <c r="U2897" s="18" t="n"/>
      <c r="V2897" s="18" t="n"/>
      <c r="W2897" s="18" t="n"/>
      <c r="X2897" s="35" t="n"/>
      <c r="Y2897" s="35" t="n">
        <v>6.85</v>
      </c>
    </row>
    <row r="2898">
      <c r="A2898" s="25" t="n">
        <v>43096</v>
      </c>
      <c r="B2898" s="18" t="n">
        <v>76072.53999999999</v>
      </c>
      <c r="C2898" s="31" t="n"/>
      <c r="D2898" s="32" t="n"/>
      <c r="E2898" s="33" t="n">
        <v>1.34</v>
      </c>
      <c r="F2898" t="inlineStr">
        <is>
          <t>Up</t>
        </is>
      </c>
      <c r="G2898" t="inlineStr">
        <is>
          <t>Down</t>
        </is>
      </c>
      <c r="H2898" t="inlineStr">
        <is>
          <t>EU_JD</t>
        </is>
      </c>
      <c r="I2898" t="inlineStr">
        <is>
          <t>2017-12</t>
        </is>
      </c>
      <c r="J2898" t="n">
        <v>1</v>
      </c>
      <c r="K2898" t="n">
        <v>1</v>
      </c>
      <c r="L2898" s="34">
        <f>IF($J2898=1,LN(B2899/B2898),"")</f>
        <v/>
      </c>
      <c r="M2898" s="34">
        <f>IF($K2898=1,INDEX(Mensal!$D$2:$D$245,MATCH($I2898,Mensal!$A$2:$A$245,0)),"")</f>
        <v/>
      </c>
      <c r="N2898" s="34">
        <f>IF($K2898=1,L2898-M2898,"")</f>
        <v/>
      </c>
      <c r="O2898" s="34" t="n">
        <v>0.00026444</v>
      </c>
      <c r="P2898" s="34">
        <f>IF($J2898=1,LN(1+O2898),"")</f>
        <v/>
      </c>
      <c r="Q2898" s="34">
        <f>IF($J2898=1,LN(R2899/R2898),"")</f>
        <v/>
      </c>
      <c r="R2898" s="32" t="n">
        <v>3.3031</v>
      </c>
      <c r="S2898" s="35" t="n">
        <v>6.866</v>
      </c>
      <c r="T2898" s="18" t="n">
        <v>76072.53999999999</v>
      </c>
      <c r="U2898" s="18" t="n"/>
      <c r="V2898" s="18" t="n"/>
      <c r="W2898" s="18" t="n"/>
      <c r="X2898" s="35" t="n"/>
      <c r="Y2898" s="35" t="n">
        <v>6.866</v>
      </c>
    </row>
    <row r="2899">
      <c r="A2899" s="25" t="n">
        <v>43097</v>
      </c>
      <c r="B2899" s="18" t="n">
        <v>76402.08</v>
      </c>
      <c r="C2899" s="31" t="n"/>
      <c r="D2899" s="32" t="n"/>
      <c r="E2899" s="33" t="n">
        <v>1.3625</v>
      </c>
      <c r="F2899" t="inlineStr">
        <is>
          <t>Up</t>
        </is>
      </c>
      <c r="G2899" t="inlineStr">
        <is>
          <t>Down</t>
        </is>
      </c>
      <c r="H2899" t="inlineStr">
        <is>
          <t>EU_JD</t>
        </is>
      </c>
      <c r="I2899" t="inlineStr">
        <is>
          <t>2017-12</t>
        </is>
      </c>
      <c r="J2899" t="n">
        <v>1</v>
      </c>
      <c r="K2899" t="n">
        <v>1</v>
      </c>
      <c r="L2899" s="34">
        <f>IF($J2899=1,LN(B2900/B2899),"")</f>
        <v/>
      </c>
      <c r="M2899" s="34">
        <f>IF($K2899=1,INDEX(Mensal!$D$2:$D$245,MATCH($I2899,Mensal!$A$2:$A$245,0)),"")</f>
        <v/>
      </c>
      <c r="N2899" s="34">
        <f>IF($K2899=1,L2899-M2899,"")</f>
        <v/>
      </c>
      <c r="O2899" s="34" t="n">
        <v>0.00026444</v>
      </c>
      <c r="P2899" s="34">
        <f>IF($J2899=1,LN(1+O2899),"")</f>
        <v/>
      </c>
      <c r="Q2899" s="34">
        <f>IF($J2899=1,LN(R2900/R2899),"")</f>
        <v/>
      </c>
      <c r="R2899" s="32" t="n">
        <v>3.308</v>
      </c>
      <c r="S2899" s="35" t="n">
        <v>6.855</v>
      </c>
      <c r="T2899" s="18" t="n">
        <v>76402.08</v>
      </c>
      <c r="U2899" s="18" t="n"/>
      <c r="V2899" s="18" t="n"/>
      <c r="W2899" s="18" t="n"/>
      <c r="X2899" s="35" t="n"/>
      <c r="Y2899" s="35" t="n">
        <v>6.855</v>
      </c>
    </row>
    <row r="2900">
      <c r="A2900" s="25" t="n">
        <v>43102</v>
      </c>
      <c r="B2900" s="18" t="n">
        <v>77891.03999999999</v>
      </c>
      <c r="C2900" s="31" t="n"/>
      <c r="D2900" s="32" t="n"/>
      <c r="E2900" s="33" t="n">
        <v>1.3787</v>
      </c>
      <c r="F2900" t="inlineStr">
        <is>
          <t>Up</t>
        </is>
      </c>
      <c r="G2900" t="inlineStr">
        <is>
          <t>Down</t>
        </is>
      </c>
      <c r="H2900" t="inlineStr">
        <is>
          <t>EU_JD</t>
        </is>
      </c>
      <c r="I2900" t="inlineStr">
        <is>
          <t>2018-01</t>
        </is>
      </c>
      <c r="J2900" t="n">
        <v>1</v>
      </c>
      <c r="K2900" t="n">
        <v>1</v>
      </c>
      <c r="L2900" s="34">
        <f>IF($J2900=1,LN(B2901/B2900),"")</f>
        <v/>
      </c>
      <c r="M2900" s="34">
        <f>IF($K2900=1,INDEX(Mensal!$D$2:$D$245,MATCH($I2900,Mensal!$A$2:$A$245,0)),"")</f>
        <v/>
      </c>
      <c r="N2900" s="34">
        <f>IF($K2900=1,L2900-M2900,"")</f>
        <v/>
      </c>
      <c r="O2900" s="34" t="n">
        <v>0.00026444</v>
      </c>
      <c r="P2900" s="34">
        <f>IF($J2900=1,LN(1+O2900),"")</f>
        <v/>
      </c>
      <c r="Q2900" s="34">
        <f>IF($J2900=1,LN(R2901/R2900),"")</f>
        <v/>
      </c>
      <c r="R2900" s="32" t="n">
        <v>3.2697</v>
      </c>
      <c r="S2900" s="35" t="n">
        <v>6.8</v>
      </c>
      <c r="T2900" s="18" t="n">
        <v>77891.03999999999</v>
      </c>
      <c r="U2900" s="18" t="n"/>
      <c r="V2900" s="18" t="n"/>
      <c r="W2900" s="18" t="n"/>
      <c r="X2900" s="35" t="n"/>
      <c r="Y2900" s="35" t="n">
        <v>6.8</v>
      </c>
    </row>
    <row r="2901">
      <c r="A2901" s="25" t="n">
        <v>43103</v>
      </c>
      <c r="B2901" s="18" t="n">
        <v>77995.16</v>
      </c>
      <c r="C2901" s="31" t="n"/>
      <c r="D2901" s="32" t="n"/>
      <c r="E2901" s="33" t="n">
        <v>1.399</v>
      </c>
      <c r="F2901" t="inlineStr">
        <is>
          <t>Up</t>
        </is>
      </c>
      <c r="G2901" t="inlineStr">
        <is>
          <t>Down</t>
        </is>
      </c>
      <c r="H2901" t="inlineStr">
        <is>
          <t>EU_JD</t>
        </is>
      </c>
      <c r="I2901" t="inlineStr">
        <is>
          <t>2018-01</t>
        </is>
      </c>
      <c r="J2901" t="n">
        <v>1</v>
      </c>
      <c r="K2901" t="n">
        <v>1</v>
      </c>
      <c r="L2901" s="34">
        <f>IF($J2901=1,LN(B2902/B2901),"")</f>
        <v/>
      </c>
      <c r="M2901" s="34">
        <f>IF($K2901=1,INDEX(Mensal!$D$2:$D$245,MATCH($I2901,Mensal!$A$2:$A$245,0)),"")</f>
        <v/>
      </c>
      <c r="N2901" s="34">
        <f>IF($K2901=1,L2901-M2901,"")</f>
        <v/>
      </c>
      <c r="O2901" s="34" t="n">
        <v>0.00026444</v>
      </c>
      <c r="P2901" s="34">
        <f>IF($J2901=1,LN(1+O2901),"")</f>
        <v/>
      </c>
      <c r="Q2901" s="34">
        <f>IF($J2901=1,LN(R2902/R2901),"")</f>
        <v/>
      </c>
      <c r="R2901" s="32" t="n">
        <v>3.2535</v>
      </c>
      <c r="S2901" s="35" t="n">
        <v>6.772</v>
      </c>
      <c r="T2901" s="18" t="n">
        <v>77995.16</v>
      </c>
      <c r="U2901" s="18" t="n"/>
      <c r="V2901" s="18" t="n"/>
      <c r="W2901" s="18" t="n"/>
      <c r="X2901" s="35" t="n"/>
      <c r="Y2901" s="35" t="n">
        <v>6.772</v>
      </c>
    </row>
    <row r="2902">
      <c r="A2902" s="25" t="n">
        <v>43104</v>
      </c>
      <c r="B2902" s="18" t="n">
        <v>78647.42</v>
      </c>
      <c r="C2902" s="31" t="n"/>
      <c r="D2902" s="32" t="n"/>
      <c r="E2902" s="33" t="n">
        <v>1.4185</v>
      </c>
      <c r="F2902" t="inlineStr">
        <is>
          <t>Up</t>
        </is>
      </c>
      <c r="G2902" t="inlineStr">
        <is>
          <t>Down</t>
        </is>
      </c>
      <c r="H2902" t="inlineStr">
        <is>
          <t>EU_JD</t>
        </is>
      </c>
      <c r="I2902" t="inlineStr">
        <is>
          <t>2018-01</t>
        </is>
      </c>
      <c r="J2902" t="n">
        <v>1</v>
      </c>
      <c r="K2902" t="n">
        <v>1</v>
      </c>
      <c r="L2902" s="34">
        <f>IF($J2902=1,LN(B2903/B2902),"")</f>
        <v/>
      </c>
      <c r="M2902" s="34">
        <f>IF($K2902=1,INDEX(Mensal!$D$2:$D$245,MATCH($I2902,Mensal!$A$2:$A$245,0)),"")</f>
        <v/>
      </c>
      <c r="N2902" s="34">
        <f>IF($K2902=1,L2902-M2902,"")</f>
        <v/>
      </c>
      <c r="O2902" s="34" t="n">
        <v>0.00026444</v>
      </c>
      <c r="P2902" s="34">
        <f>IF($J2902=1,LN(1+O2902),"")</f>
        <v/>
      </c>
      <c r="Q2902" s="34">
        <f>IF($J2902=1,LN(R2903/R2902),"")</f>
        <v/>
      </c>
      <c r="R2902" s="32" t="n">
        <v>3.2318</v>
      </c>
      <c r="S2902" s="35" t="n">
        <v>6.767</v>
      </c>
      <c r="T2902" s="18" t="n">
        <v>78647.42</v>
      </c>
      <c r="U2902" s="18" t="n"/>
      <c r="V2902" s="18" t="n"/>
      <c r="W2902" s="18" t="n"/>
      <c r="X2902" s="35" t="n"/>
      <c r="Y2902" s="35" t="n">
        <v>6.767</v>
      </c>
    </row>
    <row r="2903">
      <c r="A2903" s="25" t="n">
        <v>43105</v>
      </c>
      <c r="B2903" s="18" t="n">
        <v>79071.47</v>
      </c>
      <c r="C2903" s="31" t="n"/>
      <c r="D2903" s="32" t="n"/>
      <c r="E2903" s="33" t="n">
        <v>1.4383</v>
      </c>
      <c r="F2903" t="inlineStr">
        <is>
          <t>Up</t>
        </is>
      </c>
      <c r="G2903" t="inlineStr">
        <is>
          <t>Down</t>
        </is>
      </c>
      <c r="H2903" t="inlineStr">
        <is>
          <t>EU_JD</t>
        </is>
      </c>
      <c r="I2903" t="inlineStr">
        <is>
          <t>2018-01</t>
        </is>
      </c>
      <c r="J2903" t="n">
        <v>1</v>
      </c>
      <c r="K2903" t="n">
        <v>1</v>
      </c>
      <c r="L2903" s="34">
        <f>IF($J2903=1,LN(B2904/B2903),"")</f>
        <v/>
      </c>
      <c r="M2903" s="34">
        <f>IF($K2903=1,INDEX(Mensal!$D$2:$D$245,MATCH($I2903,Mensal!$A$2:$A$245,0)),"")</f>
        <v/>
      </c>
      <c r="N2903" s="34">
        <f>IF($K2903=1,L2903-M2903,"")</f>
        <v/>
      </c>
      <c r="O2903" s="34" t="n">
        <v>0.00026444</v>
      </c>
      <c r="P2903" s="34">
        <f>IF($J2903=1,LN(1+O2903),"")</f>
        <v/>
      </c>
      <c r="Q2903" s="34">
        <f>IF($J2903=1,LN(R2904/R2903),"")</f>
        <v/>
      </c>
      <c r="R2903" s="32" t="n">
        <v>3.2409</v>
      </c>
      <c r="S2903" s="35" t="n">
        <v>6.793</v>
      </c>
      <c r="T2903" s="18" t="n">
        <v>79071.47</v>
      </c>
      <c r="U2903" s="18" t="n"/>
      <c r="V2903" s="18" t="n"/>
      <c r="W2903" s="18" t="n"/>
      <c r="X2903" s="35" t="n"/>
      <c r="Y2903" s="35" t="n">
        <v>6.793</v>
      </c>
    </row>
    <row r="2904">
      <c r="A2904" s="25" t="n">
        <v>43108</v>
      </c>
      <c r="B2904" s="18" t="n">
        <v>79378.53999999999</v>
      </c>
      <c r="C2904" s="31" t="n"/>
      <c r="D2904" s="32" t="n"/>
      <c r="E2904" s="33" t="n">
        <v>1.4585</v>
      </c>
      <c r="F2904" t="inlineStr">
        <is>
          <t>Up</t>
        </is>
      </c>
      <c r="G2904" t="inlineStr">
        <is>
          <t>Down</t>
        </is>
      </c>
      <c r="H2904" t="inlineStr">
        <is>
          <t>EU_JD</t>
        </is>
      </c>
      <c r="I2904" t="inlineStr">
        <is>
          <t>2018-01</t>
        </is>
      </c>
      <c r="J2904" t="n">
        <v>1</v>
      </c>
      <c r="K2904" t="n">
        <v>1</v>
      </c>
      <c r="L2904" s="34">
        <f>IF($J2904=1,LN(B2905/B2904),"")</f>
        <v/>
      </c>
      <c r="M2904" s="34">
        <f>IF($K2904=1,INDEX(Mensal!$D$2:$D$245,MATCH($I2904,Mensal!$A$2:$A$245,0)),"")</f>
        <v/>
      </c>
      <c r="N2904" s="34">
        <f>IF($K2904=1,L2904-M2904,"")</f>
        <v/>
      </c>
      <c r="O2904" s="34" t="n">
        <v>0.00026444</v>
      </c>
      <c r="P2904" s="34">
        <f>IF($J2904=1,LN(1+O2904),"")</f>
        <v/>
      </c>
      <c r="Q2904" s="34">
        <f>IF($J2904=1,LN(R2905/R2904),"")</f>
        <v/>
      </c>
      <c r="R2904" s="32" t="n">
        <v>3.2357</v>
      </c>
      <c r="S2904" s="35" t="n">
        <v>6.814</v>
      </c>
      <c r="T2904" s="18" t="n">
        <v>79378.53999999999</v>
      </c>
      <c r="U2904" s="18" t="n"/>
      <c r="V2904" s="18" t="n"/>
      <c r="W2904" s="18" t="n"/>
      <c r="X2904" s="35" t="n"/>
      <c r="Y2904" s="35" t="n">
        <v>6.814</v>
      </c>
    </row>
    <row r="2905">
      <c r="A2905" s="25" t="n">
        <v>43109</v>
      </c>
      <c r="B2905" s="18" t="n">
        <v>78863.53999999999</v>
      </c>
      <c r="C2905" s="31" t="n"/>
      <c r="D2905" s="32" t="n"/>
      <c r="E2905" s="33" t="n">
        <v>1.4759</v>
      </c>
      <c r="F2905" t="inlineStr">
        <is>
          <t>Up</t>
        </is>
      </c>
      <c r="G2905" t="inlineStr">
        <is>
          <t>Down</t>
        </is>
      </c>
      <c r="H2905" t="inlineStr">
        <is>
          <t>EU_JD</t>
        </is>
      </c>
      <c r="I2905" t="inlineStr">
        <is>
          <t>2018-01</t>
        </is>
      </c>
      <c r="J2905" t="n">
        <v>1</v>
      </c>
      <c r="K2905" t="n">
        <v>1</v>
      </c>
      <c r="L2905" s="34">
        <f>IF($J2905=1,LN(B2906/B2905),"")</f>
        <v/>
      </c>
      <c r="M2905" s="34">
        <f>IF($K2905=1,INDEX(Mensal!$D$2:$D$245,MATCH($I2905,Mensal!$A$2:$A$245,0)),"")</f>
        <v/>
      </c>
      <c r="N2905" s="34">
        <f>IF($K2905=1,L2905-M2905,"")</f>
        <v/>
      </c>
      <c r="O2905" s="34" t="n">
        <v>0.00026444</v>
      </c>
      <c r="P2905" s="34">
        <f>IF($J2905=1,LN(1+O2905),"")</f>
        <v/>
      </c>
      <c r="Q2905" s="34">
        <f>IF($J2905=1,LN(R2906/R2905),"")</f>
        <v/>
      </c>
      <c r="R2905" s="32" t="n">
        <v>3.2397</v>
      </c>
      <c r="S2905" s="35" t="n">
        <v>6.819</v>
      </c>
      <c r="T2905" s="18" t="n">
        <v>78863.53999999999</v>
      </c>
      <c r="U2905" s="18" t="n"/>
      <c r="V2905" s="18" t="n"/>
      <c r="W2905" s="18" t="n"/>
      <c r="X2905" s="35" t="n"/>
      <c r="Y2905" s="35" t="n">
        <v>6.819</v>
      </c>
    </row>
    <row r="2906">
      <c r="A2906" s="25" t="n">
        <v>43110</v>
      </c>
      <c r="B2906" s="18" t="n">
        <v>78200.57000000001</v>
      </c>
      <c r="C2906" s="31" t="n"/>
      <c r="D2906" s="32" t="n"/>
      <c r="E2906" s="33" t="n">
        <v>1.4927</v>
      </c>
      <c r="F2906" t="inlineStr">
        <is>
          <t>Up</t>
        </is>
      </c>
      <c r="G2906" t="inlineStr">
        <is>
          <t>Down</t>
        </is>
      </c>
      <c r="H2906" t="inlineStr">
        <is>
          <t>EU_JD</t>
        </is>
      </c>
      <c r="I2906" t="inlineStr">
        <is>
          <t>2018-01</t>
        </is>
      </c>
      <c r="J2906" t="n">
        <v>1</v>
      </c>
      <c r="K2906" t="n">
        <v>1</v>
      </c>
      <c r="L2906" s="34">
        <f>IF($J2906=1,LN(B2907/B2906),"")</f>
        <v/>
      </c>
      <c r="M2906" s="34">
        <f>IF($K2906=1,INDEX(Mensal!$D$2:$D$245,MATCH($I2906,Mensal!$A$2:$A$245,0)),"")</f>
        <v/>
      </c>
      <c r="N2906" s="34">
        <f>IF($K2906=1,L2906-M2906,"")</f>
        <v/>
      </c>
      <c r="O2906" s="34" t="n">
        <v>0.00026444</v>
      </c>
      <c r="P2906" s="34">
        <f>IF($J2906=1,LN(1+O2906),"")</f>
        <v/>
      </c>
      <c r="Q2906" s="34">
        <f>IF($J2906=1,LN(R2907/R2906),"")</f>
        <v/>
      </c>
      <c r="R2906" s="32" t="n">
        <v>3.2467</v>
      </c>
      <c r="S2906" s="35" t="n">
        <v>6.879</v>
      </c>
      <c r="T2906" s="18" t="n">
        <v>78200.57000000001</v>
      </c>
      <c r="U2906" s="18" t="n"/>
      <c r="V2906" s="18" t="n"/>
      <c r="W2906" s="18" t="n"/>
      <c r="X2906" s="35" t="n"/>
      <c r="Y2906" s="35" t="n">
        <v>6.879</v>
      </c>
    </row>
    <row r="2907">
      <c r="A2907" s="25" t="n">
        <v>43111</v>
      </c>
      <c r="B2907" s="18" t="n">
        <v>79365.44</v>
      </c>
      <c r="C2907" s="31" t="n"/>
      <c r="D2907" s="32" t="n"/>
      <c r="E2907" s="33" t="n">
        <v>1.5139</v>
      </c>
      <c r="F2907" t="inlineStr">
        <is>
          <t>Up</t>
        </is>
      </c>
      <c r="G2907" t="inlineStr">
        <is>
          <t>Down</t>
        </is>
      </c>
      <c r="H2907" t="inlineStr">
        <is>
          <t>EU_JD</t>
        </is>
      </c>
      <c r="I2907" t="inlineStr">
        <is>
          <t>2018-01</t>
        </is>
      </c>
      <c r="J2907" t="n">
        <v>1</v>
      </c>
      <c r="K2907" t="n">
        <v>1</v>
      </c>
      <c r="L2907" s="34">
        <f>IF($J2907=1,LN(B2908/B2907),"")</f>
        <v/>
      </c>
      <c r="M2907" s="34">
        <f>IF($K2907=1,INDEX(Mensal!$D$2:$D$245,MATCH($I2907,Mensal!$A$2:$A$245,0)),"")</f>
        <v/>
      </c>
      <c r="N2907" s="34">
        <f>IF($K2907=1,L2907-M2907,"")</f>
        <v/>
      </c>
      <c r="O2907" s="34" t="n">
        <v>0.00026444</v>
      </c>
      <c r="P2907" s="34">
        <f>IF($J2907=1,LN(1+O2907),"")</f>
        <v/>
      </c>
      <c r="Q2907" s="34">
        <f>IF($J2907=1,LN(R2908/R2907),"")</f>
        <v/>
      </c>
      <c r="R2907" s="32" t="n">
        <v>3.2301</v>
      </c>
      <c r="S2907" s="35" t="n">
        <v>6.903</v>
      </c>
      <c r="T2907" s="18" t="n">
        <v>79365.44</v>
      </c>
      <c r="U2907" s="18" t="n"/>
      <c r="V2907" s="18" t="n"/>
      <c r="W2907" s="18" t="n"/>
      <c r="X2907" s="35" t="n"/>
      <c r="Y2907" s="35" t="n">
        <v>6.903</v>
      </c>
    </row>
    <row r="2908">
      <c r="A2908" s="25" t="n">
        <v>43112</v>
      </c>
      <c r="B2908" s="18" t="n">
        <v>79349.12</v>
      </c>
      <c r="C2908" s="31" t="n"/>
      <c r="D2908" s="32" t="n"/>
      <c r="E2908" s="33" t="n">
        <v>1.5339</v>
      </c>
      <c r="F2908" t="inlineStr">
        <is>
          <t>Up</t>
        </is>
      </c>
      <c r="G2908" t="inlineStr">
        <is>
          <t>Down</t>
        </is>
      </c>
      <c r="H2908" t="inlineStr">
        <is>
          <t>EU_JD</t>
        </is>
      </c>
      <c r="I2908" t="inlineStr">
        <is>
          <t>2018-01</t>
        </is>
      </c>
      <c r="J2908" t="n">
        <v>1</v>
      </c>
      <c r="K2908" t="n">
        <v>1</v>
      </c>
      <c r="L2908" s="34">
        <f>IF($J2908=1,LN(B2909/B2908),"")</f>
        <v/>
      </c>
      <c r="M2908" s="34">
        <f>IF($K2908=1,INDEX(Mensal!$D$2:$D$245,MATCH($I2908,Mensal!$A$2:$A$245,0)),"")</f>
        <v/>
      </c>
      <c r="N2908" s="34">
        <f>IF($K2908=1,L2908-M2908,"")</f>
        <v/>
      </c>
      <c r="O2908" s="34" t="n">
        <v>0.00026444</v>
      </c>
      <c r="P2908" s="34">
        <f>IF($J2908=1,LN(1+O2908),"")</f>
        <v/>
      </c>
      <c r="Q2908" s="34">
        <f>IF($J2908=1,LN(R2909/R2908),"")</f>
        <v/>
      </c>
      <c r="R2908" s="32" t="n">
        <v>3.2197</v>
      </c>
      <c r="S2908" s="35" t="n">
        <v>6.938</v>
      </c>
      <c r="T2908" s="18" t="n">
        <v>79349.12</v>
      </c>
      <c r="U2908" s="18" t="n"/>
      <c r="V2908" s="18" t="n"/>
      <c r="W2908" s="18" t="n"/>
      <c r="X2908" s="35" t="n"/>
      <c r="Y2908" s="35" t="n">
        <v>6.938</v>
      </c>
    </row>
    <row r="2909">
      <c r="A2909" s="25" t="n">
        <v>43115</v>
      </c>
      <c r="B2909" s="18" t="n">
        <v>79752.37</v>
      </c>
      <c r="C2909" s="31" t="n"/>
      <c r="D2909" s="32" t="n"/>
      <c r="E2909" s="33" t="n">
        <v>1.5583</v>
      </c>
      <c r="F2909" t="inlineStr">
        <is>
          <t>Up</t>
        </is>
      </c>
      <c r="G2909" t="inlineStr">
        <is>
          <t>Down</t>
        </is>
      </c>
      <c r="H2909" t="inlineStr">
        <is>
          <t>EU_JD</t>
        </is>
      </c>
      <c r="I2909" t="inlineStr">
        <is>
          <t>2018-01</t>
        </is>
      </c>
      <c r="J2909" t="n">
        <v>1</v>
      </c>
      <c r="K2909" t="n">
        <v>1</v>
      </c>
      <c r="L2909" s="34">
        <f>IF($J2909=1,LN(B2910/B2909),"")</f>
        <v/>
      </c>
      <c r="M2909" s="34">
        <f>IF($K2909=1,INDEX(Mensal!$D$2:$D$245,MATCH($I2909,Mensal!$A$2:$A$245,0)),"")</f>
        <v/>
      </c>
      <c r="N2909" s="34">
        <f>IF($K2909=1,L2909-M2909,"")</f>
        <v/>
      </c>
      <c r="O2909" s="34" t="n">
        <v>0.00026444</v>
      </c>
      <c r="P2909" s="34">
        <f>IF($J2909=1,LN(1+O2909),"")</f>
        <v/>
      </c>
      <c r="Q2909" s="34">
        <f>IF($J2909=1,LN(R2910/R2909),"")</f>
        <v/>
      </c>
      <c r="R2909" s="32" t="n">
        <v>3.1963</v>
      </c>
      <c r="S2909" s="35" t="n">
        <v>6.921</v>
      </c>
      <c r="T2909" s="18" t="n">
        <v>79752.37</v>
      </c>
      <c r="U2909" s="18" t="n"/>
      <c r="V2909" s="18" t="n"/>
      <c r="W2909" s="18" t="n"/>
      <c r="X2909" s="35" t="n"/>
      <c r="Y2909" s="35" t="n">
        <v>6.921</v>
      </c>
    </row>
    <row r="2910">
      <c r="A2910" s="25" t="n">
        <v>43116</v>
      </c>
      <c r="B2910" s="18" t="n">
        <v>79831.75999999999</v>
      </c>
      <c r="C2910" s="31" t="n"/>
      <c r="D2910" s="32" t="n"/>
      <c r="E2910" s="33" t="n">
        <v>1.5897</v>
      </c>
      <c r="F2910" t="inlineStr">
        <is>
          <t>Up</t>
        </is>
      </c>
      <c r="G2910" t="inlineStr">
        <is>
          <t>Down</t>
        </is>
      </c>
      <c r="H2910" t="inlineStr">
        <is>
          <t>EU_JD</t>
        </is>
      </c>
      <c r="I2910" t="inlineStr">
        <is>
          <t>2018-01</t>
        </is>
      </c>
      <c r="J2910" t="n">
        <v>1</v>
      </c>
      <c r="K2910" t="n">
        <v>1</v>
      </c>
      <c r="L2910" s="34">
        <f>IF($J2910=1,LN(B2911/B2910),"")</f>
        <v/>
      </c>
      <c r="M2910" s="34">
        <f>IF($K2910=1,INDEX(Mensal!$D$2:$D$245,MATCH($I2910,Mensal!$A$2:$A$245,0)),"")</f>
        <v/>
      </c>
      <c r="N2910" s="34">
        <f>IF($K2910=1,L2910-M2910,"")</f>
        <v/>
      </c>
      <c r="O2910" s="34" t="n">
        <v>0.00026444</v>
      </c>
      <c r="P2910" s="34">
        <f>IF($J2910=1,LN(1+O2910),"")</f>
        <v/>
      </c>
      <c r="Q2910" s="34">
        <f>IF($J2910=1,LN(R2911/R2910),"")</f>
        <v/>
      </c>
      <c r="R2910" s="32" t="n">
        <v>3.2219</v>
      </c>
      <c r="S2910" s="35" t="n">
        <v>6.929</v>
      </c>
      <c r="T2910" s="18" t="n">
        <v>79831.75999999999</v>
      </c>
      <c r="U2910" s="18" t="n"/>
      <c r="V2910" s="18" t="n"/>
      <c r="W2910" s="18" t="n"/>
      <c r="X2910" s="35" t="n"/>
      <c r="Y2910" s="35" t="n">
        <v>6.929</v>
      </c>
    </row>
    <row r="2911">
      <c r="A2911" s="25" t="n">
        <v>43117</v>
      </c>
      <c r="B2911" s="18" t="n">
        <v>81189.16</v>
      </c>
      <c r="C2911" s="31" t="n"/>
      <c r="D2911" s="32" t="n"/>
      <c r="E2911" s="33" t="n">
        <v>1.6147</v>
      </c>
      <c r="F2911" t="inlineStr">
        <is>
          <t>Up</t>
        </is>
      </c>
      <c r="G2911" t="inlineStr">
        <is>
          <t>Down</t>
        </is>
      </c>
      <c r="H2911" t="inlineStr">
        <is>
          <t>EU_JD</t>
        </is>
      </c>
      <c r="I2911" t="inlineStr">
        <is>
          <t>2018-01</t>
        </is>
      </c>
      <c r="J2911" t="n">
        <v>1</v>
      </c>
      <c r="K2911" t="n">
        <v>1</v>
      </c>
      <c r="L2911" s="34">
        <f>IF($J2911=1,LN(B2912/B2911),"")</f>
        <v/>
      </c>
      <c r="M2911" s="34">
        <f>IF($K2911=1,INDEX(Mensal!$D$2:$D$245,MATCH($I2911,Mensal!$A$2:$A$245,0)),"")</f>
        <v/>
      </c>
      <c r="N2911" s="34">
        <f>IF($K2911=1,L2911-M2911,"")</f>
        <v/>
      </c>
      <c r="O2911" s="34" t="n">
        <v>0.00026444</v>
      </c>
      <c r="P2911" s="34">
        <f>IF($J2911=1,LN(1+O2911),"")</f>
        <v/>
      </c>
      <c r="Q2911" s="34">
        <f>IF($J2911=1,LN(R2912/R2911),"")</f>
        <v/>
      </c>
      <c r="R2911" s="32" t="n">
        <v>3.2324</v>
      </c>
      <c r="S2911" s="35" t="n">
        <v>6.939</v>
      </c>
      <c r="T2911" s="18" t="n">
        <v>81189.16</v>
      </c>
      <c r="U2911" s="18" t="n"/>
      <c r="V2911" s="18" t="n"/>
      <c r="W2911" s="18" t="n"/>
      <c r="X2911" s="35" t="n"/>
      <c r="Y2911" s="35" t="n">
        <v>6.939</v>
      </c>
    </row>
    <row r="2912">
      <c r="A2912" s="25" t="n">
        <v>43118</v>
      </c>
      <c r="B2912" s="18" t="n">
        <v>80962.64999999999</v>
      </c>
      <c r="C2912" s="31" t="n"/>
      <c r="D2912" s="32" t="n"/>
      <c r="E2912" s="33" t="n">
        <v>1.626</v>
      </c>
      <c r="F2912" t="inlineStr">
        <is>
          <t>Up</t>
        </is>
      </c>
      <c r="G2912" t="inlineStr">
        <is>
          <t>Down</t>
        </is>
      </c>
      <c r="H2912" t="inlineStr">
        <is>
          <t>EU_JD</t>
        </is>
      </c>
      <c r="I2912" t="inlineStr">
        <is>
          <t>2018-01</t>
        </is>
      </c>
      <c r="J2912" t="n">
        <v>1</v>
      </c>
      <c r="K2912" t="n">
        <v>1</v>
      </c>
      <c r="L2912" s="34">
        <f>IF($J2912=1,LN(B2913/B2912),"")</f>
        <v/>
      </c>
      <c r="M2912" s="34">
        <f>IF($K2912=1,INDEX(Mensal!$D$2:$D$245,MATCH($I2912,Mensal!$A$2:$A$245,0)),"")</f>
        <v/>
      </c>
      <c r="N2912" s="34">
        <f>IF($K2912=1,L2912-M2912,"")</f>
        <v/>
      </c>
      <c r="O2912" s="34" t="n">
        <v>0.00026444</v>
      </c>
      <c r="P2912" s="34">
        <f>IF($J2912=1,LN(1+O2912),"")</f>
        <v/>
      </c>
      <c r="Q2912" s="34">
        <f>IF($J2912=1,LN(R2913/R2912),"")</f>
        <v/>
      </c>
      <c r="R2912" s="32" t="n">
        <v>3.2129</v>
      </c>
      <c r="S2912" s="35" t="n">
        <v>6.951</v>
      </c>
      <c r="T2912" s="18" t="n">
        <v>80962.64999999999</v>
      </c>
      <c r="U2912" s="18" t="n"/>
      <c r="V2912" s="18" t="n"/>
      <c r="W2912" s="18" t="n"/>
      <c r="X2912" s="35" t="n"/>
      <c r="Y2912" s="35" t="n">
        <v>6.951</v>
      </c>
    </row>
    <row r="2913">
      <c r="A2913" s="25" t="n">
        <v>43119</v>
      </c>
      <c r="B2913" s="18" t="n">
        <v>81219.5</v>
      </c>
      <c r="C2913" s="31" t="n"/>
      <c r="D2913" s="32" t="n"/>
      <c r="E2913" s="33" t="n">
        <v>1.6372</v>
      </c>
      <c r="F2913" t="inlineStr">
        <is>
          <t>Up</t>
        </is>
      </c>
      <c r="G2913" t="inlineStr">
        <is>
          <t>Down</t>
        </is>
      </c>
      <c r="H2913" t="inlineStr">
        <is>
          <t>EU_JD</t>
        </is>
      </c>
      <c r="I2913" t="inlineStr">
        <is>
          <t>2018-01</t>
        </is>
      </c>
      <c r="J2913" t="n">
        <v>1</v>
      </c>
      <c r="K2913" t="n">
        <v>1</v>
      </c>
      <c r="L2913" s="34">
        <f>IF($J2913=1,LN(B2914/B2913),"")</f>
        <v/>
      </c>
      <c r="M2913" s="34">
        <f>IF($K2913=1,INDEX(Mensal!$D$2:$D$245,MATCH($I2913,Mensal!$A$2:$A$245,0)),"")</f>
        <v/>
      </c>
      <c r="N2913" s="34">
        <f>IF($K2913=1,L2913-M2913,"")</f>
        <v/>
      </c>
      <c r="O2913" s="34" t="n">
        <v>0.00026444</v>
      </c>
      <c r="P2913" s="34">
        <f>IF($J2913=1,LN(1+O2913),"")</f>
        <v/>
      </c>
      <c r="Q2913" s="34">
        <f>IF($J2913=1,LN(R2914/R2913),"")</f>
        <v/>
      </c>
      <c r="R2913" s="32" t="n">
        <v>3.2087</v>
      </c>
      <c r="S2913" s="35" t="n">
        <v>6.949</v>
      </c>
      <c r="T2913" s="18" t="n">
        <v>81219.5</v>
      </c>
      <c r="U2913" s="18" t="n"/>
      <c r="V2913" s="18" t="n"/>
      <c r="W2913" s="18" t="n"/>
      <c r="X2913" s="35" t="n"/>
      <c r="Y2913" s="35" t="n">
        <v>6.949</v>
      </c>
    </row>
    <row r="2914">
      <c r="A2914" s="25" t="n">
        <v>43122</v>
      </c>
      <c r="B2914" s="18" t="n">
        <v>81675.42</v>
      </c>
      <c r="C2914" s="31" t="n"/>
      <c r="D2914" s="32" t="n"/>
      <c r="E2914" s="33" t="n">
        <v>1.6499</v>
      </c>
      <c r="F2914" t="inlineStr">
        <is>
          <t>Up</t>
        </is>
      </c>
      <c r="G2914" t="inlineStr">
        <is>
          <t>Down</t>
        </is>
      </c>
      <c r="H2914" t="inlineStr">
        <is>
          <t>EU_JD</t>
        </is>
      </c>
      <c r="I2914" t="inlineStr">
        <is>
          <t>2018-01</t>
        </is>
      </c>
      <c r="J2914" t="n">
        <v>1</v>
      </c>
      <c r="K2914" t="n">
        <v>1</v>
      </c>
      <c r="L2914" s="34">
        <f>IF($J2914=1,LN(B2915/B2914),"")</f>
        <v/>
      </c>
      <c r="M2914" s="34">
        <f>IF($K2914=1,INDEX(Mensal!$D$2:$D$245,MATCH($I2914,Mensal!$A$2:$A$245,0)),"")</f>
        <v/>
      </c>
      <c r="N2914" s="34">
        <f>IF($K2914=1,L2914-M2914,"")</f>
        <v/>
      </c>
      <c r="O2914" s="34" t="n">
        <v>0.00026444</v>
      </c>
      <c r="P2914" s="34">
        <f>IF($J2914=1,LN(1+O2914),"")</f>
        <v/>
      </c>
      <c r="Q2914" s="34">
        <f>IF($J2914=1,LN(R2915/R2914),"")</f>
        <v/>
      </c>
      <c r="R2914" s="32" t="n">
        <v>3.1934</v>
      </c>
      <c r="S2914" s="35" t="n">
        <v>6.968</v>
      </c>
      <c r="T2914" s="18" t="n">
        <v>81675.42</v>
      </c>
      <c r="U2914" s="18" t="n"/>
      <c r="V2914" s="18" t="n"/>
      <c r="W2914" s="18" t="n"/>
      <c r="X2914" s="35" t="n"/>
      <c r="Y2914" s="35" t="n">
        <v>6.968</v>
      </c>
    </row>
    <row r="2915">
      <c r="A2915" s="25" t="n">
        <v>43123</v>
      </c>
      <c r="B2915" s="18" t="n">
        <v>80678.35000000001</v>
      </c>
      <c r="C2915" s="31" t="n"/>
      <c r="D2915" s="32" t="n"/>
      <c r="E2915" s="33" t="n">
        <v>1.664</v>
      </c>
      <c r="F2915" t="inlineStr">
        <is>
          <t>Up</t>
        </is>
      </c>
      <c r="G2915" t="inlineStr">
        <is>
          <t>Down</t>
        </is>
      </c>
      <c r="H2915" t="inlineStr">
        <is>
          <t>EU_JD</t>
        </is>
      </c>
      <c r="I2915" t="inlineStr">
        <is>
          <t>2018-01</t>
        </is>
      </c>
      <c r="J2915" t="n">
        <v>1</v>
      </c>
      <c r="K2915" t="n">
        <v>1</v>
      </c>
      <c r="L2915" s="34">
        <f>IF($J2915=1,LN(B2916/B2915),"")</f>
        <v/>
      </c>
      <c r="M2915" s="34">
        <f>IF($K2915=1,INDEX(Mensal!$D$2:$D$245,MATCH($I2915,Mensal!$A$2:$A$245,0)),"")</f>
        <v/>
      </c>
      <c r="N2915" s="34">
        <f>IF($K2915=1,L2915-M2915,"")</f>
        <v/>
      </c>
      <c r="O2915" s="34" t="n">
        <v>0.00026444</v>
      </c>
      <c r="P2915" s="34">
        <f>IF($J2915=1,LN(1+O2915),"")</f>
        <v/>
      </c>
      <c r="Q2915" s="34">
        <f>IF($J2915=1,LN(R2916/R2915),"")</f>
        <v/>
      </c>
      <c r="R2915" s="32" t="n">
        <v>3.2249</v>
      </c>
      <c r="S2915" s="35" t="n">
        <v>6.954</v>
      </c>
      <c r="T2915" s="18" t="n">
        <v>80678.35000000001</v>
      </c>
      <c r="U2915" s="18" t="n"/>
      <c r="V2915" s="18" t="n"/>
      <c r="W2915" s="18" t="n"/>
      <c r="X2915" s="35" t="n"/>
      <c r="Y2915" s="35" t="n">
        <v>6.954</v>
      </c>
    </row>
    <row r="2916">
      <c r="A2916" s="25" t="n">
        <v>43124</v>
      </c>
      <c r="B2916" s="18" t="n">
        <v>83680</v>
      </c>
      <c r="C2916" s="31" t="n"/>
      <c r="D2916" s="32" t="n"/>
      <c r="E2916" s="33" t="n">
        <v>1.6861</v>
      </c>
      <c r="F2916" t="inlineStr">
        <is>
          <t>Up</t>
        </is>
      </c>
      <c r="G2916" t="inlineStr">
        <is>
          <t>Down</t>
        </is>
      </c>
      <c r="H2916" t="inlineStr">
        <is>
          <t>EU_JD</t>
        </is>
      </c>
      <c r="I2916" t="inlineStr">
        <is>
          <t>2018-01</t>
        </is>
      </c>
      <c r="J2916" t="n">
        <v>1</v>
      </c>
      <c r="K2916" t="n">
        <v>1</v>
      </c>
      <c r="L2916" s="34">
        <f>IF($J2916=1,LN(B2917/B2916),"")</f>
        <v/>
      </c>
      <c r="M2916" s="34">
        <f>IF($K2916=1,INDEX(Mensal!$D$2:$D$245,MATCH($I2916,Mensal!$A$2:$A$245,0)),"")</f>
        <v/>
      </c>
      <c r="N2916" s="34">
        <f>IF($K2916=1,L2916-M2916,"")</f>
        <v/>
      </c>
      <c r="O2916" s="34" t="n">
        <v>0.00026444</v>
      </c>
      <c r="P2916" s="34">
        <f>IF($J2916=1,LN(1+O2916),"")</f>
        <v/>
      </c>
      <c r="Q2916" s="34">
        <f>IF($J2916=1,LN(R2917/R2916),"")</f>
        <v/>
      </c>
      <c r="R2916" s="32" t="n">
        <v>3.197</v>
      </c>
      <c r="S2916" s="35" t="n">
        <v>6.883</v>
      </c>
      <c r="T2916" s="18" t="n">
        <v>83680</v>
      </c>
      <c r="U2916" s="18" t="n"/>
      <c r="V2916" s="18" t="n"/>
      <c r="W2916" s="18" t="n"/>
      <c r="X2916" s="35" t="n"/>
      <c r="Y2916" s="35" t="n">
        <v>6.883</v>
      </c>
    </row>
    <row r="2917">
      <c r="A2917" s="25" t="n">
        <v>43126</v>
      </c>
      <c r="B2917" s="18" t="n">
        <v>85530.84</v>
      </c>
      <c r="C2917" s="31" t="n"/>
      <c r="D2917" s="32" t="n"/>
      <c r="E2917" s="33" t="n">
        <v>1.706</v>
      </c>
      <c r="F2917" t="inlineStr">
        <is>
          <t>Up</t>
        </is>
      </c>
      <c r="G2917" t="inlineStr">
        <is>
          <t>Down</t>
        </is>
      </c>
      <c r="H2917" t="inlineStr">
        <is>
          <t>EU_JD</t>
        </is>
      </c>
      <c r="I2917" t="inlineStr">
        <is>
          <t>2018-01</t>
        </is>
      </c>
      <c r="J2917" t="n">
        <v>1</v>
      </c>
      <c r="K2917" t="n">
        <v>1</v>
      </c>
      <c r="L2917" s="34">
        <f>IF($J2917=1,LN(B2918/B2917),"")</f>
        <v/>
      </c>
      <c r="M2917" s="34">
        <f>IF($K2917=1,INDEX(Mensal!$D$2:$D$245,MATCH($I2917,Mensal!$A$2:$A$245,0)),"")</f>
        <v/>
      </c>
      <c r="N2917" s="34">
        <f>IF($K2917=1,L2917-M2917,"")</f>
        <v/>
      </c>
      <c r="O2917" s="34" t="n">
        <v>0.00026444</v>
      </c>
      <c r="P2917" s="34">
        <f>IF($J2917=1,LN(1+O2917),"")</f>
        <v/>
      </c>
      <c r="Q2917" s="34">
        <f>IF($J2917=1,LN(R2918/R2917),"")</f>
        <v/>
      </c>
      <c r="R2917" s="32" t="n">
        <v>3.145</v>
      </c>
      <c r="S2917" s="35" t="n">
        <v>6.836</v>
      </c>
      <c r="T2917" s="18" t="n">
        <v>85530.84</v>
      </c>
      <c r="U2917" s="18" t="n"/>
      <c r="V2917" s="18" t="n"/>
      <c r="W2917" s="18" t="n"/>
      <c r="X2917" s="35" t="n"/>
      <c r="Y2917" s="35" t="n">
        <v>6.836</v>
      </c>
    </row>
    <row r="2918">
      <c r="A2918" s="25" t="n">
        <v>43129</v>
      </c>
      <c r="B2918" s="18" t="n">
        <v>84698.00999999999</v>
      </c>
      <c r="C2918" s="31" t="n"/>
      <c r="D2918" s="32" t="n"/>
      <c r="E2918" s="33" t="n">
        <v>1.7301</v>
      </c>
      <c r="F2918" t="inlineStr">
        <is>
          <t>Up</t>
        </is>
      </c>
      <c r="G2918" t="inlineStr">
        <is>
          <t>Down</t>
        </is>
      </c>
      <c r="H2918" t="inlineStr">
        <is>
          <t>EU_JD</t>
        </is>
      </c>
      <c r="I2918" t="inlineStr">
        <is>
          <t>2018-01</t>
        </is>
      </c>
      <c r="J2918" t="n">
        <v>1</v>
      </c>
      <c r="K2918" t="n">
        <v>1</v>
      </c>
      <c r="L2918" s="34">
        <f>IF($J2918=1,LN(B2919/B2918),"")</f>
        <v/>
      </c>
      <c r="M2918" s="34">
        <f>IF($K2918=1,INDEX(Mensal!$D$2:$D$245,MATCH($I2918,Mensal!$A$2:$A$245,0)),"")</f>
        <v/>
      </c>
      <c r="N2918" s="34">
        <f>IF($K2918=1,L2918-M2918,"")</f>
        <v/>
      </c>
      <c r="O2918" s="34" t="n">
        <v>0.00026444</v>
      </c>
      <c r="P2918" s="34">
        <f>IF($J2918=1,LN(1+O2918),"")</f>
        <v/>
      </c>
      <c r="Q2918" s="34">
        <f>IF($J2918=1,LN(R2919/R2918),"")</f>
        <v/>
      </c>
      <c r="R2918" s="32" t="n">
        <v>3.1655</v>
      </c>
      <c r="S2918" s="35" t="n">
        <v>6.858</v>
      </c>
      <c r="T2918" s="18" t="n">
        <v>84698.00999999999</v>
      </c>
      <c r="U2918" s="18" t="n"/>
      <c r="V2918" s="18" t="n"/>
      <c r="W2918" s="18" t="n"/>
      <c r="X2918" s="35" t="n"/>
      <c r="Y2918" s="35" t="n">
        <v>6.858</v>
      </c>
    </row>
    <row r="2919">
      <c r="A2919" s="25" t="n">
        <v>43130</v>
      </c>
      <c r="B2919" s="18" t="n">
        <v>84482.46000000001</v>
      </c>
      <c r="C2919" s="31" t="n"/>
      <c r="D2919" s="32" t="n"/>
      <c r="E2919" s="33" t="n">
        <v>1.7587</v>
      </c>
      <c r="F2919" t="inlineStr">
        <is>
          <t>Up</t>
        </is>
      </c>
      <c r="G2919" t="inlineStr">
        <is>
          <t>Down</t>
        </is>
      </c>
      <c r="H2919" t="inlineStr">
        <is>
          <t>EU_JD</t>
        </is>
      </c>
      <c r="I2919" t="inlineStr">
        <is>
          <t>2018-01</t>
        </is>
      </c>
      <c r="J2919" t="n">
        <v>1</v>
      </c>
      <c r="K2919" t="n">
        <v>1</v>
      </c>
      <c r="L2919" s="34">
        <f>IF($J2919=1,LN(B2920/B2919),"")</f>
        <v/>
      </c>
      <c r="M2919" s="34">
        <f>IF($K2919=1,INDEX(Mensal!$D$2:$D$245,MATCH($I2919,Mensal!$A$2:$A$245,0)),"")</f>
        <v/>
      </c>
      <c r="N2919" s="34">
        <f>IF($K2919=1,L2919-M2919,"")</f>
        <v/>
      </c>
      <c r="O2919" s="34" t="n">
        <v>0.00026444</v>
      </c>
      <c r="P2919" s="34">
        <f>IF($J2919=1,LN(1+O2919),"")</f>
        <v/>
      </c>
      <c r="Q2919" s="34">
        <f>IF($J2919=1,LN(R2920/R2919),"")</f>
        <v/>
      </c>
      <c r="R2919" s="32" t="n">
        <v>3.1661</v>
      </c>
      <c r="S2919" s="35" t="n">
        <v>6.889</v>
      </c>
      <c r="T2919" s="18" t="n">
        <v>84482.46000000001</v>
      </c>
      <c r="U2919" s="18" t="n"/>
      <c r="V2919" s="18" t="n"/>
      <c r="W2919" s="18" t="n"/>
      <c r="X2919" s="35" t="n"/>
      <c r="Y2919" s="35" t="n">
        <v>6.889</v>
      </c>
    </row>
    <row r="2920">
      <c r="A2920" s="25" t="n">
        <v>43131</v>
      </c>
      <c r="B2920" s="18" t="n">
        <v>84912.7</v>
      </c>
      <c r="C2920" s="31" t="n"/>
      <c r="D2920" s="32" t="n"/>
      <c r="E2920" s="33" t="n">
        <v>1.7708</v>
      </c>
      <c r="F2920" t="inlineStr">
        <is>
          <t>Up</t>
        </is>
      </c>
      <c r="G2920" t="inlineStr">
        <is>
          <t>Down</t>
        </is>
      </c>
      <c r="H2920" t="inlineStr">
        <is>
          <t>EU_JD</t>
        </is>
      </c>
      <c r="I2920" t="inlineStr">
        <is>
          <t>2018-01</t>
        </is>
      </c>
      <c r="J2920" t="n">
        <v>1</v>
      </c>
      <c r="K2920" t="n">
        <v>1</v>
      </c>
      <c r="L2920" s="34">
        <f>IF($J2920=1,LN(B2921/B2920),"")</f>
        <v/>
      </c>
      <c r="M2920" s="34">
        <f>IF($K2920=1,INDEX(Mensal!$D$2:$D$245,MATCH($I2920,Mensal!$A$2:$A$245,0)),"")</f>
        <v/>
      </c>
      <c r="N2920" s="34">
        <f>IF($K2920=1,L2920-M2920,"")</f>
        <v/>
      </c>
      <c r="O2920" s="34" t="n">
        <v>0.00026444</v>
      </c>
      <c r="P2920" s="34">
        <f>IF($J2920=1,LN(1+O2920),"")</f>
        <v/>
      </c>
      <c r="Q2920" s="34">
        <f>IF($J2920=1,LN(R2921/R2920),"")</f>
        <v/>
      </c>
      <c r="R2920" s="32" t="n">
        <v>3.1624</v>
      </c>
      <c r="S2920" s="35" t="n">
        <v>6.89</v>
      </c>
      <c r="T2920" s="18" t="n">
        <v>84912.7</v>
      </c>
      <c r="U2920" s="18" t="n"/>
      <c r="V2920" s="18" t="n"/>
      <c r="W2920" s="18" t="n"/>
      <c r="X2920" s="35" t="n"/>
      <c r="Y2920" s="35" t="n">
        <v>6.89</v>
      </c>
    </row>
    <row r="2921">
      <c r="A2921" s="25" t="n">
        <v>43132</v>
      </c>
      <c r="B2921" s="18" t="n">
        <v>85495.24000000001</v>
      </c>
      <c r="C2921" s="31" t="n"/>
      <c r="D2921" s="32" t="n"/>
      <c r="E2921" s="33" t="n">
        <v>1.7858</v>
      </c>
      <c r="F2921" t="inlineStr">
        <is>
          <t>Up</t>
        </is>
      </c>
      <c r="G2921" t="inlineStr">
        <is>
          <t>Down</t>
        </is>
      </c>
      <c r="H2921" t="inlineStr">
        <is>
          <t>EU_JD</t>
        </is>
      </c>
      <c r="I2921" t="inlineStr">
        <is>
          <t>2018-02</t>
        </is>
      </c>
      <c r="J2921" t="n">
        <v>1</v>
      </c>
      <c r="K2921" t="n">
        <v>1</v>
      </c>
      <c r="L2921" s="34">
        <f>IF($J2921=1,LN(B2922/B2921),"")</f>
        <v/>
      </c>
      <c r="M2921" s="34">
        <f>IF($K2921=1,INDEX(Mensal!$D$2:$D$245,MATCH($I2921,Mensal!$A$2:$A$245,0)),"")</f>
        <v/>
      </c>
      <c r="N2921" s="34">
        <f>IF($K2921=1,L2921-M2921,"")</f>
        <v/>
      </c>
      <c r="O2921" s="34" t="n">
        <v>0.00026444</v>
      </c>
      <c r="P2921" s="34">
        <f>IF($J2921=1,LN(1+O2921),"")</f>
        <v/>
      </c>
      <c r="Q2921" s="34">
        <f>IF($J2921=1,LN(R2922/R2921),"")</f>
        <v/>
      </c>
      <c r="R2921" s="32" t="n">
        <v>3.173</v>
      </c>
      <c r="S2921" s="35" t="n">
        <v>6.893</v>
      </c>
      <c r="T2921" s="18" t="n">
        <v>85495.24000000001</v>
      </c>
      <c r="U2921" s="18" t="n"/>
      <c r="V2921" s="18" t="n"/>
      <c r="W2921" s="18" t="n"/>
      <c r="X2921" s="35" t="n"/>
      <c r="Y2921" s="35" t="n">
        <v>6.893</v>
      </c>
    </row>
    <row r="2922">
      <c r="A2922" s="25" t="n">
        <v>43133</v>
      </c>
      <c r="B2922" s="18" t="n">
        <v>84041.34</v>
      </c>
      <c r="C2922" s="31" t="n"/>
      <c r="D2922" s="32" t="n"/>
      <c r="E2922" s="33" t="n">
        <v>1.8011</v>
      </c>
      <c r="F2922" t="inlineStr">
        <is>
          <t>Up</t>
        </is>
      </c>
      <c r="G2922" t="inlineStr">
        <is>
          <t>Down</t>
        </is>
      </c>
      <c r="H2922" t="inlineStr">
        <is>
          <t>EU_JD</t>
        </is>
      </c>
      <c r="I2922" t="inlineStr">
        <is>
          <t>2018-02</t>
        </is>
      </c>
      <c r="J2922" t="n">
        <v>1</v>
      </c>
      <c r="K2922" t="n">
        <v>1</v>
      </c>
      <c r="L2922" s="34">
        <f>IF($J2922=1,LN(B2923/B2922),"")</f>
        <v/>
      </c>
      <c r="M2922" s="34">
        <f>IF($K2922=1,INDEX(Mensal!$D$2:$D$245,MATCH($I2922,Mensal!$A$2:$A$245,0)),"")</f>
        <v/>
      </c>
      <c r="N2922" s="34">
        <f>IF($K2922=1,L2922-M2922,"")</f>
        <v/>
      </c>
      <c r="O2922" s="34" t="n">
        <v>0.00026444</v>
      </c>
      <c r="P2922" s="34">
        <f>IF($J2922=1,LN(1+O2922),"")</f>
        <v/>
      </c>
      <c r="Q2922" s="34">
        <f>IF($J2922=1,LN(R2923/R2922),"")</f>
        <v/>
      </c>
      <c r="R2922" s="32" t="n">
        <v>3.206</v>
      </c>
      <c r="S2922" s="35" t="n">
        <v>6.92</v>
      </c>
      <c r="T2922" s="18" t="n">
        <v>84041.34</v>
      </c>
      <c r="U2922" s="18" t="n"/>
      <c r="V2922" s="18" t="n"/>
      <c r="W2922" s="18" t="n"/>
      <c r="X2922" s="35" t="n"/>
      <c r="Y2922" s="35" t="n">
        <v>6.92</v>
      </c>
    </row>
    <row r="2923">
      <c r="A2923" s="25" t="n">
        <v>43136</v>
      </c>
      <c r="B2923" s="18" t="n">
        <v>81861.09</v>
      </c>
      <c r="C2923" s="31" t="n"/>
      <c r="D2923" s="32" t="n"/>
      <c r="E2923" s="33" t="n">
        <v>1.8126</v>
      </c>
      <c r="F2923" t="inlineStr">
        <is>
          <t>Up</t>
        </is>
      </c>
      <c r="G2923" t="inlineStr">
        <is>
          <t>Down</t>
        </is>
      </c>
      <c r="H2923" t="inlineStr">
        <is>
          <t>EU_JD</t>
        </is>
      </c>
      <c r="I2923" t="inlineStr">
        <is>
          <t>2018-02</t>
        </is>
      </c>
      <c r="J2923" t="n">
        <v>1</v>
      </c>
      <c r="K2923" t="n">
        <v>1</v>
      </c>
      <c r="L2923" s="34">
        <f>IF($J2923=1,LN(B2924/B2923),"")</f>
        <v/>
      </c>
      <c r="M2923" s="34">
        <f>IF($K2923=1,INDEX(Mensal!$D$2:$D$245,MATCH($I2923,Mensal!$A$2:$A$245,0)),"")</f>
        <v/>
      </c>
      <c r="N2923" s="34">
        <f>IF($K2923=1,L2923-M2923,"")</f>
        <v/>
      </c>
      <c r="O2923" s="34" t="n">
        <v>0.00026444</v>
      </c>
      <c r="P2923" s="34">
        <f>IF($J2923=1,LN(1+O2923),"")</f>
        <v/>
      </c>
      <c r="Q2923" s="34">
        <f>IF($J2923=1,LN(R2924/R2923),"")</f>
        <v/>
      </c>
      <c r="R2923" s="32" t="n">
        <v>3.2355</v>
      </c>
      <c r="S2923" s="35" t="n">
        <v>6.925</v>
      </c>
      <c r="T2923" s="18" t="n">
        <v>81861.09</v>
      </c>
      <c r="U2923" s="18" t="n"/>
      <c r="V2923" s="18" t="n"/>
      <c r="W2923" s="18" t="n"/>
      <c r="X2923" s="35" t="n"/>
      <c r="Y2923" s="35" t="n">
        <v>6.925</v>
      </c>
    </row>
    <row r="2924">
      <c r="A2924" s="25" t="n">
        <v>43137</v>
      </c>
      <c r="B2924" s="18" t="n">
        <v>83894.03999999999</v>
      </c>
      <c r="C2924" s="31" t="n"/>
      <c r="D2924" s="32" t="n"/>
      <c r="E2924" s="33" t="n">
        <v>1.8241</v>
      </c>
      <c r="F2924" t="inlineStr">
        <is>
          <t>Up</t>
        </is>
      </c>
      <c r="G2924" t="inlineStr">
        <is>
          <t>Down</t>
        </is>
      </c>
      <c r="H2924" t="inlineStr">
        <is>
          <t>EU_JD</t>
        </is>
      </c>
      <c r="I2924" t="inlineStr">
        <is>
          <t>2018-02</t>
        </is>
      </c>
      <c r="J2924" t="n">
        <v>1</v>
      </c>
      <c r="K2924" t="n">
        <v>1</v>
      </c>
      <c r="L2924" s="34">
        <f>IF($J2924=1,LN(B2925/B2924),"")</f>
        <v/>
      </c>
      <c r="M2924" s="34">
        <f>IF($K2924=1,INDEX(Mensal!$D$2:$D$245,MATCH($I2924,Mensal!$A$2:$A$245,0)),"")</f>
        <v/>
      </c>
      <c r="N2924" s="34">
        <f>IF($K2924=1,L2924-M2924,"")</f>
        <v/>
      </c>
      <c r="O2924" s="34" t="n">
        <v>0.00026444</v>
      </c>
      <c r="P2924" s="34">
        <f>IF($J2924=1,LN(1+O2924),"")</f>
        <v/>
      </c>
      <c r="Q2924" s="34">
        <f>IF($J2924=1,LN(R2925/R2924),"")</f>
        <v/>
      </c>
      <c r="R2924" s="32" t="n">
        <v>3.2613</v>
      </c>
      <c r="S2924" s="35" t="n">
        <v>6.937</v>
      </c>
      <c r="T2924" s="18" t="n">
        <v>83894.03999999999</v>
      </c>
      <c r="U2924" s="18" t="n"/>
      <c r="V2924" s="18" t="n"/>
      <c r="W2924" s="18" t="n"/>
      <c r="X2924" s="35" t="n"/>
      <c r="Y2924" s="35" t="n">
        <v>6.937</v>
      </c>
    </row>
    <row r="2925">
      <c r="A2925" s="25" t="n">
        <v>43138</v>
      </c>
      <c r="B2925" s="18" t="n">
        <v>82766.73</v>
      </c>
      <c r="C2925" s="31" t="n"/>
      <c r="D2925" s="32" t="n"/>
      <c r="E2925" s="33" t="n">
        <v>1.8341</v>
      </c>
      <c r="F2925" t="inlineStr">
        <is>
          <t>Up</t>
        </is>
      </c>
      <c r="G2925" t="inlineStr">
        <is>
          <t>Down</t>
        </is>
      </c>
      <c r="H2925" t="inlineStr">
        <is>
          <t>EU_JD</t>
        </is>
      </c>
      <c r="I2925" t="inlineStr">
        <is>
          <t>2018-02</t>
        </is>
      </c>
      <c r="J2925" t="n">
        <v>1</v>
      </c>
      <c r="K2925" t="n">
        <v>1</v>
      </c>
      <c r="L2925" s="34">
        <f>IF($J2925=1,LN(B2926/B2925),"")</f>
        <v/>
      </c>
      <c r="M2925" s="34">
        <f>IF($K2925=1,INDEX(Mensal!$D$2:$D$245,MATCH($I2925,Mensal!$A$2:$A$245,0)),"")</f>
        <v/>
      </c>
      <c r="N2925" s="34">
        <f>IF($K2925=1,L2925-M2925,"")</f>
        <v/>
      </c>
      <c r="O2925" s="34" t="n">
        <v>0.00026444</v>
      </c>
      <c r="P2925" s="34">
        <f>IF($J2925=1,LN(1+O2925),"")</f>
        <v/>
      </c>
      <c r="Q2925" s="34">
        <f>IF($J2925=1,LN(R2926/R2925),"")</f>
        <v/>
      </c>
      <c r="R2925" s="32" t="n">
        <v>3.2467</v>
      </c>
      <c r="S2925" s="35" t="n">
        <v>6.919</v>
      </c>
      <c r="T2925" s="18" t="n">
        <v>82766.73</v>
      </c>
      <c r="U2925" s="18" t="n"/>
      <c r="V2925" s="18" t="n"/>
      <c r="W2925" s="18" t="n"/>
      <c r="X2925" s="35" t="n"/>
      <c r="Y2925" s="35" t="n">
        <v>6.919</v>
      </c>
    </row>
    <row r="2926">
      <c r="A2926" s="25" t="n">
        <v>43139</v>
      </c>
      <c r="B2926" s="18" t="n">
        <v>81532.53</v>
      </c>
      <c r="C2926" s="31" t="n"/>
      <c r="D2926" s="32" t="n"/>
      <c r="E2926" s="33" t="n">
        <v>1.8397</v>
      </c>
      <c r="F2926" t="inlineStr">
        <is>
          <t>Up</t>
        </is>
      </c>
      <c r="G2926" t="inlineStr">
        <is>
          <t>Down</t>
        </is>
      </c>
      <c r="H2926" t="inlineStr">
        <is>
          <t>EU_JD</t>
        </is>
      </c>
      <c r="I2926" t="inlineStr">
        <is>
          <t>2018-02</t>
        </is>
      </c>
      <c r="J2926" t="n">
        <v>1</v>
      </c>
      <c r="K2926" t="n">
        <v>1</v>
      </c>
      <c r="L2926" s="34">
        <f>IF($J2926=1,LN(B2927/B2926),"")</f>
        <v/>
      </c>
      <c r="M2926" s="34">
        <f>IF($K2926=1,INDEX(Mensal!$D$2:$D$245,MATCH($I2926,Mensal!$A$2:$A$245,0)),"")</f>
        <v/>
      </c>
      <c r="N2926" s="34">
        <f>IF($K2926=1,L2926-M2926,"")</f>
        <v/>
      </c>
      <c r="O2926" s="34" t="n">
        <v>0.00025515</v>
      </c>
      <c r="P2926" s="34">
        <f>IF($J2926=1,LN(1+O2926),"")</f>
        <v/>
      </c>
      <c r="Q2926" s="34">
        <f>IF($J2926=1,LN(R2927/R2926),"")</f>
        <v/>
      </c>
      <c r="R2926" s="32" t="n">
        <v>3.2692</v>
      </c>
      <c r="S2926" s="35" t="n">
        <v>6.848</v>
      </c>
      <c r="T2926" s="18" t="n">
        <v>81532.53</v>
      </c>
      <c r="U2926" s="18" t="n"/>
      <c r="V2926" s="18" t="n"/>
      <c r="W2926" s="18" t="n"/>
      <c r="X2926" s="35" t="n"/>
      <c r="Y2926" s="35" t="n">
        <v>6.848</v>
      </c>
    </row>
    <row r="2927">
      <c r="A2927" s="25" t="n">
        <v>43140</v>
      </c>
      <c r="B2927" s="18" t="n">
        <v>80898.7</v>
      </c>
      <c r="C2927" s="31" t="n"/>
      <c r="D2927" s="32" t="n"/>
      <c r="E2927" s="33" t="n">
        <v>1.8444</v>
      </c>
      <c r="F2927" t="inlineStr">
        <is>
          <t>Up</t>
        </is>
      </c>
      <c r="G2927" t="inlineStr">
        <is>
          <t>Down</t>
        </is>
      </c>
      <c r="H2927" t="inlineStr">
        <is>
          <t>EU_JD</t>
        </is>
      </c>
      <c r="I2927" t="inlineStr">
        <is>
          <t>2018-02</t>
        </is>
      </c>
      <c r="J2927" t="n">
        <v>1</v>
      </c>
      <c r="K2927" t="n">
        <v>1</v>
      </c>
      <c r="L2927" s="34">
        <f>IF($J2927=1,LN(B2928/B2927),"")</f>
        <v/>
      </c>
      <c r="M2927" s="34">
        <f>IF($K2927=1,INDEX(Mensal!$D$2:$D$245,MATCH($I2927,Mensal!$A$2:$A$245,0)),"")</f>
        <v/>
      </c>
      <c r="N2927" s="34">
        <f>IF($K2927=1,L2927-M2927,"")</f>
        <v/>
      </c>
      <c r="O2927" s="34" t="n">
        <v>0.00025515</v>
      </c>
      <c r="P2927" s="34">
        <f>IF($J2927=1,LN(1+O2927),"")</f>
        <v/>
      </c>
      <c r="Q2927" s="34">
        <f>IF($J2927=1,LN(R2928/R2927),"")</f>
        <v/>
      </c>
      <c r="R2927" s="32" t="n">
        <v>3.2821</v>
      </c>
      <c r="S2927" s="35" t="n">
        <v>6.831</v>
      </c>
      <c r="T2927" s="18" t="n">
        <v>80898.7</v>
      </c>
      <c r="U2927" s="18" t="n"/>
      <c r="V2927" s="18" t="n"/>
      <c r="W2927" s="18" t="n"/>
      <c r="X2927" s="35" t="n"/>
      <c r="Y2927" s="35" t="n">
        <v>6.831</v>
      </c>
    </row>
    <row r="2928">
      <c r="A2928" s="25" t="n">
        <v>43145</v>
      </c>
      <c r="B2928" s="18" t="n">
        <v>83542.84</v>
      </c>
      <c r="C2928" s="31" t="n"/>
      <c r="D2928" s="32" t="n"/>
      <c r="E2928" s="33" t="n">
        <v>1.8442</v>
      </c>
      <c r="F2928" t="inlineStr">
        <is>
          <t>Up</t>
        </is>
      </c>
      <c r="G2928" t="inlineStr">
        <is>
          <t>Down</t>
        </is>
      </c>
      <c r="H2928" t="inlineStr">
        <is>
          <t>EU_JD</t>
        </is>
      </c>
      <c r="I2928" t="inlineStr">
        <is>
          <t>2018-02</t>
        </is>
      </c>
      <c r="J2928" t="n">
        <v>1</v>
      </c>
      <c r="K2928" t="n">
        <v>1</v>
      </c>
      <c r="L2928" s="34">
        <f>IF($J2928=1,LN(B2929/B2928),"")</f>
        <v/>
      </c>
      <c r="M2928" s="34">
        <f>IF($K2928=1,INDEX(Mensal!$D$2:$D$245,MATCH($I2928,Mensal!$A$2:$A$245,0)),"")</f>
        <v/>
      </c>
      <c r="N2928" s="34">
        <f>IF($K2928=1,L2928-M2928,"")</f>
        <v/>
      </c>
      <c r="O2928" s="34" t="n">
        <v>0.00025515</v>
      </c>
      <c r="P2928" s="34">
        <f>IF($J2928=1,LN(1+O2928),"")</f>
        <v/>
      </c>
      <c r="Q2928" s="34">
        <f>IF($J2928=1,LN(R2929/R2928),"")</f>
        <v/>
      </c>
      <c r="R2928" s="32" t="n">
        <v>3.2536</v>
      </c>
      <c r="S2928" s="35" t="n">
        <v>6.81</v>
      </c>
      <c r="T2928" s="18" t="n">
        <v>83542.84</v>
      </c>
      <c r="U2928" s="18" t="n"/>
      <c r="V2928" s="18" t="n"/>
      <c r="W2928" s="18" t="n"/>
      <c r="X2928" s="35" t="n"/>
      <c r="Y2928" s="35" t="n">
        <v>6.81</v>
      </c>
    </row>
    <row r="2929">
      <c r="A2929" s="25" t="n">
        <v>43146</v>
      </c>
      <c r="B2929" s="18" t="n">
        <v>84290.57000000001</v>
      </c>
      <c r="C2929" s="31" t="n"/>
      <c r="D2929" s="32" t="n"/>
      <c r="E2929" s="33" t="n">
        <v>1.8422</v>
      </c>
      <c r="F2929" t="inlineStr">
        <is>
          <t>Up</t>
        </is>
      </c>
      <c r="G2929" t="inlineStr">
        <is>
          <t>Down</t>
        </is>
      </c>
      <c r="H2929" t="inlineStr">
        <is>
          <t>EU_JD</t>
        </is>
      </c>
      <c r="I2929" t="inlineStr">
        <is>
          <t>2018-02</t>
        </is>
      </c>
      <c r="J2929" t="n">
        <v>1</v>
      </c>
      <c r="K2929" t="n">
        <v>1</v>
      </c>
      <c r="L2929" s="34">
        <f>IF($J2929=1,LN(B2930/B2929),"")</f>
        <v/>
      </c>
      <c r="M2929" s="34">
        <f>IF($K2929=1,INDEX(Mensal!$D$2:$D$245,MATCH($I2929,Mensal!$A$2:$A$245,0)),"")</f>
        <v/>
      </c>
      <c r="N2929" s="34">
        <f>IF($K2929=1,L2929-M2929,"")</f>
        <v/>
      </c>
      <c r="O2929" s="34" t="n">
        <v>0.00025515</v>
      </c>
      <c r="P2929" s="34">
        <f>IF($J2929=1,LN(1+O2929),"")</f>
        <v/>
      </c>
      <c r="Q2929" s="34">
        <f>IF($J2929=1,LN(R2930/R2929),"")</f>
        <v/>
      </c>
      <c r="R2929" s="32" t="n">
        <v>3.2208</v>
      </c>
      <c r="S2929" s="35" t="n">
        <v>6.773</v>
      </c>
      <c r="T2929" s="18" t="n">
        <v>84290.57000000001</v>
      </c>
      <c r="U2929" s="18" t="n"/>
      <c r="V2929" s="18" t="n"/>
      <c r="W2929" s="18" t="n"/>
      <c r="X2929" s="35" t="n"/>
      <c r="Y2929" s="35" t="n">
        <v>6.773</v>
      </c>
    </row>
    <row r="2930">
      <c r="A2930" s="25" t="n">
        <v>43147</v>
      </c>
      <c r="B2930" s="18" t="n">
        <v>84524.58</v>
      </c>
      <c r="C2930" s="31" t="n"/>
      <c r="D2930" s="32" t="n"/>
      <c r="E2930" s="33" t="n">
        <v>1.8484</v>
      </c>
      <c r="F2930" t="inlineStr">
        <is>
          <t>Up</t>
        </is>
      </c>
      <c r="G2930" t="inlineStr">
        <is>
          <t>Down</t>
        </is>
      </c>
      <c r="H2930" t="inlineStr">
        <is>
          <t>EU_JD</t>
        </is>
      </c>
      <c r="I2930" t="inlineStr">
        <is>
          <t>2018-02</t>
        </is>
      </c>
      <c r="J2930" t="n">
        <v>1</v>
      </c>
      <c r="K2930" t="n">
        <v>1</v>
      </c>
      <c r="L2930" s="34">
        <f>IF($J2930=1,LN(B2931/B2930),"")</f>
        <v/>
      </c>
      <c r="M2930" s="34">
        <f>IF($K2930=1,INDEX(Mensal!$D$2:$D$245,MATCH($I2930,Mensal!$A$2:$A$245,0)),"")</f>
        <v/>
      </c>
      <c r="N2930" s="34">
        <f>IF($K2930=1,L2930-M2930,"")</f>
        <v/>
      </c>
      <c r="O2930" s="34" t="n">
        <v>0.00025515</v>
      </c>
      <c r="P2930" s="34">
        <f>IF($J2930=1,LN(1+O2930),"")</f>
        <v/>
      </c>
      <c r="Q2930" s="34">
        <f>IF($J2930=1,LN(R2931/R2930),"")</f>
        <v/>
      </c>
      <c r="R2930" s="32" t="n">
        <v>3.2381</v>
      </c>
      <c r="S2930" s="35" t="n">
        <v>6.719</v>
      </c>
      <c r="T2930" s="18" t="n">
        <v>84524.58</v>
      </c>
      <c r="U2930" s="18" t="n"/>
      <c r="V2930" s="18" t="n"/>
      <c r="W2930" s="18" t="n"/>
      <c r="X2930" s="35" t="n"/>
      <c r="Y2930" s="35" t="n">
        <v>6.719</v>
      </c>
    </row>
    <row r="2931">
      <c r="A2931" s="25" t="n">
        <v>43150</v>
      </c>
      <c r="B2931" s="18" t="n">
        <v>84792.71000000001</v>
      </c>
      <c r="C2931" s="31" t="n"/>
      <c r="D2931" s="32" t="n"/>
      <c r="E2931" s="33" t="n">
        <v>1.8351</v>
      </c>
      <c r="F2931" t="inlineStr">
        <is>
          <t>Up</t>
        </is>
      </c>
      <c r="G2931" t="inlineStr">
        <is>
          <t>Down</t>
        </is>
      </c>
      <c r="H2931" t="inlineStr">
        <is>
          <t>EU_JD</t>
        </is>
      </c>
      <c r="I2931" t="inlineStr">
        <is>
          <t>2018-02</t>
        </is>
      </c>
      <c r="J2931" t="n">
        <v>1</v>
      </c>
      <c r="K2931" t="n">
        <v>1</v>
      </c>
      <c r="L2931" s="34">
        <f>IF($J2931=1,LN(B2932/B2931),"")</f>
        <v/>
      </c>
      <c r="M2931" s="34">
        <f>IF($K2931=1,INDEX(Mensal!$D$2:$D$245,MATCH($I2931,Mensal!$A$2:$A$245,0)),"")</f>
        <v/>
      </c>
      <c r="N2931" s="34">
        <f>IF($K2931=1,L2931-M2931,"")</f>
        <v/>
      </c>
      <c r="O2931" s="34" t="n">
        <v>0.00025515</v>
      </c>
      <c r="P2931" s="34">
        <f>IF($J2931=1,LN(1+O2931),"")</f>
        <v/>
      </c>
      <c r="Q2931" s="34">
        <f>IF($J2931=1,LN(R2932/R2931),"")</f>
        <v/>
      </c>
      <c r="R2931" s="32" t="n">
        <v>3.2347</v>
      </c>
      <c r="S2931" s="35" t="n">
        <v>6.694</v>
      </c>
      <c r="T2931" s="18" t="n">
        <v>84792.71000000001</v>
      </c>
      <c r="U2931" s="18" t="n"/>
      <c r="V2931" s="18" t="n"/>
      <c r="W2931" s="18" t="n"/>
      <c r="X2931" s="35" t="n"/>
      <c r="Y2931" s="35" t="n">
        <v>6.694</v>
      </c>
    </row>
    <row r="2932">
      <c r="A2932" s="25" t="n">
        <v>43151</v>
      </c>
      <c r="B2932" s="18" t="n">
        <v>85803.96000000001</v>
      </c>
      <c r="C2932" s="31" t="n"/>
      <c r="D2932" s="32" t="n"/>
      <c r="E2932" s="33" t="n">
        <v>1.8276</v>
      </c>
      <c r="F2932" t="inlineStr">
        <is>
          <t>Up</t>
        </is>
      </c>
      <c r="G2932" t="inlineStr">
        <is>
          <t>Down</t>
        </is>
      </c>
      <c r="H2932" t="inlineStr">
        <is>
          <t>EU_JD</t>
        </is>
      </c>
      <c r="I2932" t="inlineStr">
        <is>
          <t>2018-02</t>
        </is>
      </c>
      <c r="J2932" t="n">
        <v>1</v>
      </c>
      <c r="K2932" t="n">
        <v>1</v>
      </c>
      <c r="L2932" s="34">
        <f>IF($J2932=1,LN(B2933/B2932),"")</f>
        <v/>
      </c>
      <c r="M2932" s="34">
        <f>IF($K2932=1,INDEX(Mensal!$D$2:$D$245,MATCH($I2932,Mensal!$A$2:$A$245,0)),"")</f>
        <v/>
      </c>
      <c r="N2932" s="34">
        <f>IF($K2932=1,L2932-M2932,"")</f>
        <v/>
      </c>
      <c r="O2932" s="34" t="n">
        <v>0.00025515</v>
      </c>
      <c r="P2932" s="34">
        <f>IF($J2932=1,LN(1+O2932),"")</f>
        <v/>
      </c>
      <c r="Q2932" s="34">
        <f>IF($J2932=1,LN(R2933/R2932),"")</f>
        <v/>
      </c>
      <c r="R2932" s="32" t="n">
        <v>3.2507</v>
      </c>
      <c r="S2932" s="35" t="n">
        <v>6.679</v>
      </c>
      <c r="T2932" s="18" t="n">
        <v>85803.96000000001</v>
      </c>
      <c r="U2932" s="18" t="n"/>
      <c r="V2932" s="18" t="n"/>
      <c r="W2932" s="18" t="n"/>
      <c r="X2932" s="35" t="n"/>
      <c r="Y2932" s="35" t="n">
        <v>6.679</v>
      </c>
    </row>
    <row r="2933">
      <c r="A2933" s="25" t="n">
        <v>43152</v>
      </c>
      <c r="B2933" s="18" t="n">
        <v>86051.82000000001</v>
      </c>
      <c r="C2933" s="31" t="n"/>
      <c r="D2933" s="32" t="n"/>
      <c r="E2933" s="33" t="n">
        <v>1.8206</v>
      </c>
      <c r="F2933" t="inlineStr">
        <is>
          <t>Up</t>
        </is>
      </c>
      <c r="G2933" t="inlineStr">
        <is>
          <t>Down</t>
        </is>
      </c>
      <c r="H2933" t="inlineStr">
        <is>
          <t>EU_JD</t>
        </is>
      </c>
      <c r="I2933" t="inlineStr">
        <is>
          <t>2018-02</t>
        </is>
      </c>
      <c r="J2933" t="n">
        <v>1</v>
      </c>
      <c r="K2933" t="n">
        <v>1</v>
      </c>
      <c r="L2933" s="34">
        <f>IF($J2933=1,LN(B2934/B2933),"")</f>
        <v/>
      </c>
      <c r="M2933" s="34">
        <f>IF($K2933=1,INDEX(Mensal!$D$2:$D$245,MATCH($I2933,Mensal!$A$2:$A$245,0)),"")</f>
        <v/>
      </c>
      <c r="N2933" s="34">
        <f>IF($K2933=1,L2933-M2933,"")</f>
        <v/>
      </c>
      <c r="O2933" s="34" t="n">
        <v>0.00025515</v>
      </c>
      <c r="P2933" s="34">
        <f>IF($J2933=1,LN(1+O2933),"")</f>
        <v/>
      </c>
      <c r="Q2933" s="34">
        <f>IF($J2933=1,LN(R2934/R2933),"")</f>
        <v/>
      </c>
      <c r="R2933" s="32" t="n">
        <v>3.2555</v>
      </c>
      <c r="S2933" s="35" t="n">
        <v>6.655</v>
      </c>
      <c r="T2933" s="18" t="n">
        <v>86051.82000000001</v>
      </c>
      <c r="U2933" s="18" t="n"/>
      <c r="V2933" s="18" t="n"/>
      <c r="W2933" s="18" t="n"/>
      <c r="X2933" s="35" t="n"/>
      <c r="Y2933" s="35" t="n">
        <v>6.655</v>
      </c>
    </row>
    <row r="2934">
      <c r="A2934" s="25" t="n">
        <v>43153</v>
      </c>
      <c r="B2934" s="18" t="n">
        <v>86686.45</v>
      </c>
      <c r="C2934" s="31" t="n"/>
      <c r="D2934" s="32" t="n"/>
      <c r="E2934" s="33" t="n">
        <v>1.8104</v>
      </c>
      <c r="F2934" t="inlineStr">
        <is>
          <t>Up</t>
        </is>
      </c>
      <c r="G2934" t="inlineStr">
        <is>
          <t>Down</t>
        </is>
      </c>
      <c r="H2934" t="inlineStr">
        <is>
          <t>EU_JD</t>
        </is>
      </c>
      <c r="I2934" t="inlineStr">
        <is>
          <t>2018-02</t>
        </is>
      </c>
      <c r="J2934" t="n">
        <v>1</v>
      </c>
      <c r="K2934" t="n">
        <v>1</v>
      </c>
      <c r="L2934" s="34">
        <f>IF($J2934=1,LN(B2935/B2934),"")</f>
        <v/>
      </c>
      <c r="M2934" s="34">
        <f>IF($K2934=1,INDEX(Mensal!$D$2:$D$245,MATCH($I2934,Mensal!$A$2:$A$245,0)),"")</f>
        <v/>
      </c>
      <c r="N2934" s="34">
        <f>IF($K2934=1,L2934-M2934,"")</f>
        <v/>
      </c>
      <c r="O2934" s="34" t="n">
        <v>0.00025515</v>
      </c>
      <c r="P2934" s="34">
        <f>IF($J2934=1,LN(1+O2934),"")</f>
        <v/>
      </c>
      <c r="Q2934" s="34">
        <f>IF($J2934=1,LN(R2935/R2934),"")</f>
        <v/>
      </c>
      <c r="R2934" s="32" t="n">
        <v>3.2598</v>
      </c>
      <c r="S2934" s="35" t="n">
        <v>6.694</v>
      </c>
      <c r="T2934" s="18" t="n">
        <v>86686.45</v>
      </c>
      <c r="U2934" s="18" t="n"/>
      <c r="V2934" s="18" t="n"/>
      <c r="W2934" s="18" t="n"/>
      <c r="X2934" s="35" t="n"/>
      <c r="Y2934" s="35" t="n">
        <v>6.694</v>
      </c>
    </row>
    <row r="2935">
      <c r="A2935" s="25" t="n">
        <v>43154</v>
      </c>
      <c r="B2935" s="18" t="n">
        <v>87293.24000000001</v>
      </c>
      <c r="C2935" s="31" t="n"/>
      <c r="D2935" s="32" t="n"/>
      <c r="E2935" s="33" t="n">
        <v>1.806</v>
      </c>
      <c r="F2935" t="inlineStr">
        <is>
          <t>Up</t>
        </is>
      </c>
      <c r="G2935" t="inlineStr">
        <is>
          <t>Down</t>
        </is>
      </c>
      <c r="H2935" t="inlineStr">
        <is>
          <t>EU_JD</t>
        </is>
      </c>
      <c r="I2935" t="inlineStr">
        <is>
          <t>2018-02</t>
        </is>
      </c>
      <c r="J2935" t="n">
        <v>1</v>
      </c>
      <c r="K2935" t="n">
        <v>1</v>
      </c>
      <c r="L2935" s="34">
        <f>IF($J2935=1,LN(B2936/B2935),"")</f>
        <v/>
      </c>
      <c r="M2935" s="34">
        <f>IF($K2935=1,INDEX(Mensal!$D$2:$D$245,MATCH($I2935,Mensal!$A$2:$A$245,0)),"")</f>
        <v/>
      </c>
      <c r="N2935" s="34">
        <f>IF($K2935=1,L2935-M2935,"")</f>
        <v/>
      </c>
      <c r="O2935" s="34" t="n">
        <v>0.00025515</v>
      </c>
      <c r="P2935" s="34">
        <f>IF($J2935=1,LN(1+O2935),"")</f>
        <v/>
      </c>
      <c r="Q2935" s="34">
        <f>IF($J2935=1,LN(R2936/R2935),"")</f>
        <v/>
      </c>
      <c r="R2935" s="32" t="n">
        <v>3.2417</v>
      </c>
      <c r="S2935" s="35" t="n">
        <v>6.669</v>
      </c>
      <c r="T2935" s="18" t="n">
        <v>87293.24000000001</v>
      </c>
      <c r="U2935" s="18" t="n"/>
      <c r="V2935" s="18" t="n"/>
      <c r="W2935" s="18" t="n"/>
      <c r="X2935" s="35" t="n"/>
      <c r="Y2935" s="35" t="n">
        <v>6.669</v>
      </c>
    </row>
    <row r="2936">
      <c r="A2936" s="25" t="n">
        <v>43157</v>
      </c>
      <c r="B2936" s="18" t="n">
        <v>87652.64</v>
      </c>
      <c r="C2936" s="31" t="n"/>
      <c r="D2936" s="32" t="n"/>
      <c r="E2936" s="33" t="n">
        <v>1.8155</v>
      </c>
      <c r="F2936" t="inlineStr">
        <is>
          <t>Up</t>
        </is>
      </c>
      <c r="G2936" t="inlineStr">
        <is>
          <t>Down</t>
        </is>
      </c>
      <c r="H2936" t="inlineStr">
        <is>
          <t>EU_JD</t>
        </is>
      </c>
      <c r="I2936" t="inlineStr">
        <is>
          <t>2018-02</t>
        </is>
      </c>
      <c r="J2936" t="n">
        <v>1</v>
      </c>
      <c r="K2936" t="n">
        <v>1</v>
      </c>
      <c r="L2936" s="34">
        <f>IF($J2936=1,LN(B2937/B2936),"")</f>
        <v/>
      </c>
      <c r="M2936" s="34">
        <f>IF($K2936=1,INDEX(Mensal!$D$2:$D$245,MATCH($I2936,Mensal!$A$2:$A$245,0)),"")</f>
        <v/>
      </c>
      <c r="N2936" s="34">
        <f>IF($K2936=1,L2936-M2936,"")</f>
        <v/>
      </c>
      <c r="O2936" s="34" t="n">
        <v>0.00025515</v>
      </c>
      <c r="P2936" s="34">
        <f>IF($J2936=1,LN(1+O2936),"")</f>
        <v/>
      </c>
      <c r="Q2936" s="34">
        <f>IF($J2936=1,LN(R2937/R2936),"")</f>
        <v/>
      </c>
      <c r="R2936" s="32" t="n">
        <v>3.2351</v>
      </c>
      <c r="S2936" s="35" t="n">
        <v>6.693</v>
      </c>
      <c r="T2936" s="18" t="n">
        <v>87652.64</v>
      </c>
      <c r="U2936" s="18" t="n"/>
      <c r="V2936" s="18" t="n"/>
      <c r="W2936" s="18" t="n"/>
      <c r="X2936" s="35" t="n"/>
      <c r="Y2936" s="35" t="n">
        <v>6.693</v>
      </c>
    </row>
    <row r="2937">
      <c r="A2937" s="25" t="n">
        <v>43158</v>
      </c>
      <c r="B2937" s="18" t="n">
        <v>86935.44</v>
      </c>
      <c r="C2937" s="31" t="n"/>
      <c r="D2937" s="32" t="n"/>
      <c r="E2937" s="33" t="n">
        <v>1.8268</v>
      </c>
      <c r="F2937" t="inlineStr">
        <is>
          <t>Up</t>
        </is>
      </c>
      <c r="G2937" t="inlineStr">
        <is>
          <t>Down</t>
        </is>
      </c>
      <c r="H2937" t="inlineStr">
        <is>
          <t>EU_JD</t>
        </is>
      </c>
      <c r="I2937" t="inlineStr">
        <is>
          <t>2018-02</t>
        </is>
      </c>
      <c r="J2937" t="n">
        <v>1</v>
      </c>
      <c r="K2937" t="n">
        <v>1</v>
      </c>
      <c r="L2937" s="34">
        <f>IF($J2937=1,LN(B2938/B2937),"")</f>
        <v/>
      </c>
      <c r="M2937" s="34">
        <f>IF($K2937=1,INDEX(Mensal!$D$2:$D$245,MATCH($I2937,Mensal!$A$2:$A$245,0)),"")</f>
        <v/>
      </c>
      <c r="N2937" s="34">
        <f>IF($K2937=1,L2937-M2937,"")</f>
        <v/>
      </c>
      <c r="O2937" s="34" t="n">
        <v>0.00025515</v>
      </c>
      <c r="P2937" s="34">
        <f>IF($J2937=1,LN(1+O2937),"")</f>
        <v/>
      </c>
      <c r="Q2937" s="34">
        <f>IF($J2937=1,LN(R2938/R2937),"")</f>
        <v/>
      </c>
      <c r="R2937" s="32" t="n">
        <v>3.2383</v>
      </c>
      <c r="S2937" s="35" t="n">
        <v>6.699</v>
      </c>
      <c r="T2937" s="18" t="n">
        <v>86935.44</v>
      </c>
      <c r="U2937" s="18" t="n"/>
      <c r="V2937" s="18" t="n"/>
      <c r="W2937" s="18" t="n"/>
      <c r="X2937" s="35" t="n"/>
      <c r="Y2937" s="35" t="n">
        <v>6.699</v>
      </c>
    </row>
    <row r="2938">
      <c r="A2938" s="25" t="n">
        <v>43159</v>
      </c>
      <c r="B2938" s="18" t="n">
        <v>85353.60000000001</v>
      </c>
      <c r="C2938" s="31" t="n"/>
      <c r="D2938" s="32" t="n"/>
      <c r="E2938" s="33" t="n">
        <v>1.8457</v>
      </c>
      <c r="F2938" t="inlineStr">
        <is>
          <t>Up</t>
        </is>
      </c>
      <c r="G2938" t="inlineStr">
        <is>
          <t>Down</t>
        </is>
      </c>
      <c r="H2938" t="inlineStr">
        <is>
          <t>EU_JD</t>
        </is>
      </c>
      <c r="I2938" t="inlineStr">
        <is>
          <t>2018-02</t>
        </is>
      </c>
      <c r="J2938" t="n">
        <v>1</v>
      </c>
      <c r="K2938" t="n">
        <v>1</v>
      </c>
      <c r="L2938" s="34">
        <f>IF($J2938=1,LN(B2939/B2938),"")</f>
        <v/>
      </c>
      <c r="M2938" s="34">
        <f>IF($K2938=1,INDEX(Mensal!$D$2:$D$245,MATCH($I2938,Mensal!$A$2:$A$245,0)),"")</f>
        <v/>
      </c>
      <c r="N2938" s="34">
        <f>IF($K2938=1,L2938-M2938,"")</f>
        <v/>
      </c>
      <c r="O2938" s="34" t="n">
        <v>0.00025515</v>
      </c>
      <c r="P2938" s="34">
        <f>IF($J2938=1,LN(1+O2938),"")</f>
        <v/>
      </c>
      <c r="Q2938" s="34">
        <f>IF($J2938=1,LN(R2939/R2938),"")</f>
        <v/>
      </c>
      <c r="R2938" s="32" t="n">
        <v>3.2449</v>
      </c>
      <c r="S2938" s="35" t="n">
        <v>6.669</v>
      </c>
      <c r="T2938" s="18" t="n">
        <v>85353.60000000001</v>
      </c>
      <c r="U2938" s="18" t="n"/>
      <c r="V2938" s="18" t="n"/>
      <c r="W2938" s="18" t="n"/>
      <c r="X2938" s="35" t="n"/>
      <c r="Y2938" s="35" t="n">
        <v>6.669</v>
      </c>
    </row>
    <row r="2939">
      <c r="A2939" s="25" t="n">
        <v>43160</v>
      </c>
      <c r="B2939" s="18" t="n">
        <v>85377.78999999999</v>
      </c>
      <c r="C2939" s="31" t="n"/>
      <c r="D2939" s="32" t="n"/>
      <c r="E2939" s="33" t="n">
        <v>1.862</v>
      </c>
      <c r="F2939" t="inlineStr">
        <is>
          <t>Up</t>
        </is>
      </c>
      <c r="G2939" t="inlineStr">
        <is>
          <t>Down</t>
        </is>
      </c>
      <c r="H2939" t="inlineStr">
        <is>
          <t>EU_JD</t>
        </is>
      </c>
      <c r="I2939" t="inlineStr">
        <is>
          <t>2018-03</t>
        </is>
      </c>
      <c r="J2939" t="n">
        <v>1</v>
      </c>
      <c r="K2939" t="n">
        <v>1</v>
      </c>
      <c r="L2939" s="34">
        <f>IF($J2939=1,LN(B2940/B2939),"")</f>
        <v/>
      </c>
      <c r="M2939" s="34">
        <f>IF($K2939=1,INDEX(Mensal!$D$2:$D$245,MATCH($I2939,Mensal!$A$2:$A$245,0)),"")</f>
        <v/>
      </c>
      <c r="N2939" s="34">
        <f>IF($K2939=1,L2939-M2939,"")</f>
        <v/>
      </c>
      <c r="O2939" s="34" t="n">
        <v>0.00025515</v>
      </c>
      <c r="P2939" s="34">
        <f>IF($J2939=1,LN(1+O2939),"")</f>
        <v/>
      </c>
      <c r="Q2939" s="34">
        <f>IF($J2939=1,LN(R2940/R2939),"")</f>
        <v/>
      </c>
      <c r="R2939" s="32" t="n">
        <v>3.262</v>
      </c>
      <c r="S2939" s="35" t="n">
        <v>6.667</v>
      </c>
      <c r="T2939" s="18" t="n">
        <v>85377.78999999999</v>
      </c>
      <c r="U2939" s="18" t="n"/>
      <c r="V2939" s="18" t="n"/>
      <c r="W2939" s="18" t="n"/>
      <c r="X2939" s="35" t="n"/>
      <c r="Y2939" s="35" t="n">
        <v>6.667</v>
      </c>
    </row>
    <row r="2940">
      <c r="A2940" s="25" t="n">
        <v>43161</v>
      </c>
      <c r="B2940" s="18" t="n">
        <v>85761.34</v>
      </c>
      <c r="C2940" s="31" t="n"/>
      <c r="D2940" s="32" t="n"/>
      <c r="E2940" s="33" t="n">
        <v>1.8695</v>
      </c>
      <c r="F2940" t="inlineStr">
        <is>
          <t>Up</t>
        </is>
      </c>
      <c r="G2940" t="inlineStr">
        <is>
          <t>Down</t>
        </is>
      </c>
      <c r="H2940" t="inlineStr">
        <is>
          <t>EU_JD</t>
        </is>
      </c>
      <c r="I2940" t="inlineStr">
        <is>
          <t>2018-03</t>
        </is>
      </c>
      <c r="J2940" t="n">
        <v>1</v>
      </c>
      <c r="K2940" t="n">
        <v>1</v>
      </c>
      <c r="L2940" s="34">
        <f>IF($J2940=1,LN(B2941/B2940),"")</f>
        <v/>
      </c>
      <c r="M2940" s="34">
        <f>IF($K2940=1,INDEX(Mensal!$D$2:$D$245,MATCH($I2940,Mensal!$A$2:$A$245,0)),"")</f>
        <v/>
      </c>
      <c r="N2940" s="34">
        <f>IF($K2940=1,L2940-M2940,"")</f>
        <v/>
      </c>
      <c r="O2940" s="34" t="n">
        <v>0.00025515</v>
      </c>
      <c r="P2940" s="34">
        <f>IF($J2940=1,LN(1+O2940),"")</f>
        <v/>
      </c>
      <c r="Q2940" s="34">
        <f>IF($J2940=1,LN(R2941/R2940),"")</f>
        <v/>
      </c>
      <c r="R2940" s="32" t="n">
        <v>3.2614</v>
      </c>
      <c r="S2940" s="35" t="n">
        <v>6.605</v>
      </c>
      <c r="T2940" s="18" t="n">
        <v>85761.34</v>
      </c>
      <c r="U2940" s="18" t="n"/>
      <c r="V2940" s="18" t="n"/>
      <c r="W2940" s="18" t="n"/>
      <c r="X2940" s="35" t="n"/>
      <c r="Y2940" s="35" t="n">
        <v>6.605</v>
      </c>
    </row>
    <row r="2941">
      <c r="A2941" s="25" t="n">
        <v>43164</v>
      </c>
      <c r="B2941" s="18" t="n">
        <v>86022.83</v>
      </c>
      <c r="C2941" s="31" t="n"/>
      <c r="D2941" s="32" t="n"/>
      <c r="E2941" s="33" t="n">
        <v>1.8795</v>
      </c>
      <c r="F2941" t="inlineStr">
        <is>
          <t>Up</t>
        </is>
      </c>
      <c r="G2941" t="inlineStr">
        <is>
          <t>Down</t>
        </is>
      </c>
      <c r="H2941" t="inlineStr">
        <is>
          <t>EU_JD</t>
        </is>
      </c>
      <c r="I2941" t="inlineStr">
        <is>
          <t>2018-03</t>
        </is>
      </c>
      <c r="J2941" t="n">
        <v>1</v>
      </c>
      <c r="K2941" t="n">
        <v>1</v>
      </c>
      <c r="L2941" s="34">
        <f>IF($J2941=1,LN(B2942/B2941),"")</f>
        <v/>
      </c>
      <c r="M2941" s="34">
        <f>IF($K2941=1,INDEX(Mensal!$D$2:$D$245,MATCH($I2941,Mensal!$A$2:$A$245,0)),"")</f>
        <v/>
      </c>
      <c r="N2941" s="34">
        <f>IF($K2941=1,L2941-M2941,"")</f>
        <v/>
      </c>
      <c r="O2941" s="34" t="n">
        <v>0.00025515</v>
      </c>
      <c r="P2941" s="34">
        <f>IF($J2941=1,LN(1+O2941),"")</f>
        <v/>
      </c>
      <c r="Q2941" s="34">
        <f>IF($J2941=1,LN(R2942/R2941),"")</f>
        <v/>
      </c>
      <c r="R2941" s="32" t="n">
        <v>3.2582</v>
      </c>
      <c r="S2941" s="35" t="n">
        <v>6.558</v>
      </c>
      <c r="T2941" s="18" t="n">
        <v>86022.83</v>
      </c>
      <c r="U2941" s="18" t="n"/>
      <c r="V2941" s="18" t="n"/>
      <c r="W2941" s="18" t="n"/>
      <c r="X2941" s="35" t="n"/>
      <c r="Y2941" s="35" t="n">
        <v>6.558</v>
      </c>
    </row>
    <row r="2942">
      <c r="A2942" s="25" t="n">
        <v>43165</v>
      </c>
      <c r="B2942" s="18" t="n">
        <v>85653.02</v>
      </c>
      <c r="C2942" s="31" t="n"/>
      <c r="D2942" s="32" t="n"/>
      <c r="E2942" s="33" t="n">
        <v>1.8849</v>
      </c>
      <c r="F2942" t="inlineStr">
        <is>
          <t>Up</t>
        </is>
      </c>
      <c r="G2942" t="inlineStr">
        <is>
          <t>Down</t>
        </is>
      </c>
      <c r="H2942" t="inlineStr">
        <is>
          <t>EU_JD</t>
        </is>
      </c>
      <c r="I2942" t="inlineStr">
        <is>
          <t>2018-03</t>
        </is>
      </c>
      <c r="J2942" t="n">
        <v>1</v>
      </c>
      <c r="K2942" t="n">
        <v>1</v>
      </c>
      <c r="L2942" s="34">
        <f>IF($J2942=1,LN(B2943/B2942),"")</f>
        <v/>
      </c>
      <c r="M2942" s="34">
        <f>IF($K2942=1,INDEX(Mensal!$D$2:$D$245,MATCH($I2942,Mensal!$A$2:$A$245,0)),"")</f>
        <v/>
      </c>
      <c r="N2942" s="34">
        <f>IF($K2942=1,L2942-M2942,"")</f>
        <v/>
      </c>
      <c r="O2942" s="34" t="n">
        <v>0.00025515</v>
      </c>
      <c r="P2942" s="34">
        <f>IF($J2942=1,LN(1+O2942),"")</f>
        <v/>
      </c>
      <c r="Q2942" s="34">
        <f>IF($J2942=1,LN(R2943/R2942),"")</f>
        <v/>
      </c>
      <c r="R2942" s="32" t="n">
        <v>3.2246</v>
      </c>
      <c r="S2942" s="35" t="n">
        <v>6.559</v>
      </c>
      <c r="T2942" s="18" t="n">
        <v>85653.02</v>
      </c>
      <c r="U2942" s="18" t="n"/>
      <c r="V2942" s="18" t="n"/>
      <c r="W2942" s="18" t="n"/>
      <c r="X2942" s="35" t="n"/>
      <c r="Y2942" s="35" t="n">
        <v>6.559</v>
      </c>
    </row>
    <row r="2943">
      <c r="A2943" s="25" t="n">
        <v>43166</v>
      </c>
      <c r="B2943" s="18" t="n">
        <v>85483.55</v>
      </c>
      <c r="C2943" s="31" t="n"/>
      <c r="D2943" s="32" t="n"/>
      <c r="E2943" s="33" t="n">
        <v>1.8849</v>
      </c>
      <c r="F2943" t="inlineStr">
        <is>
          <t>Up</t>
        </is>
      </c>
      <c r="G2943" t="inlineStr">
        <is>
          <t>Down</t>
        </is>
      </c>
      <c r="H2943" t="inlineStr">
        <is>
          <t>EU_JD</t>
        </is>
      </c>
      <c r="I2943" t="inlineStr">
        <is>
          <t>2018-03</t>
        </is>
      </c>
      <c r="J2943" t="n">
        <v>1</v>
      </c>
      <c r="K2943" t="n">
        <v>1</v>
      </c>
      <c r="L2943" s="34">
        <f>IF($J2943=1,LN(B2944/B2943),"")</f>
        <v/>
      </c>
      <c r="M2943" s="34">
        <f>IF($K2943=1,INDEX(Mensal!$D$2:$D$245,MATCH($I2943,Mensal!$A$2:$A$245,0)),"")</f>
        <v/>
      </c>
      <c r="N2943" s="34">
        <f>IF($K2943=1,L2943-M2943,"")</f>
        <v/>
      </c>
      <c r="O2943" s="34" t="n">
        <v>0.00025515</v>
      </c>
      <c r="P2943" s="34">
        <f>IF($J2943=1,LN(1+O2943),"")</f>
        <v/>
      </c>
      <c r="Q2943" s="34">
        <f>IF($J2943=1,LN(R2944/R2943),"")</f>
        <v/>
      </c>
      <c r="R2943" s="32" t="n">
        <v>3.2318</v>
      </c>
      <c r="S2943" s="35" t="n">
        <v>6.545</v>
      </c>
      <c r="T2943" s="18" t="n">
        <v>85483.55</v>
      </c>
      <c r="U2943" s="18" t="n"/>
      <c r="V2943" s="18" t="n"/>
      <c r="W2943" s="18" t="n"/>
      <c r="X2943" s="35" t="n"/>
      <c r="Y2943" s="35" t="n">
        <v>6.545</v>
      </c>
    </row>
    <row r="2944">
      <c r="A2944" s="25" t="n">
        <v>43167</v>
      </c>
      <c r="B2944" s="18" t="n">
        <v>84984.61</v>
      </c>
      <c r="C2944" s="31" t="n"/>
      <c r="D2944" s="32" t="n"/>
      <c r="E2944" s="33" t="n">
        <v>1.8907</v>
      </c>
      <c r="F2944" t="inlineStr">
        <is>
          <t>Up</t>
        </is>
      </c>
      <c r="G2944" t="inlineStr">
        <is>
          <t>Down</t>
        </is>
      </c>
      <c r="H2944" t="inlineStr">
        <is>
          <t>EU_JD</t>
        </is>
      </c>
      <c r="I2944" t="inlineStr">
        <is>
          <t>2018-03</t>
        </is>
      </c>
      <c r="J2944" t="n">
        <v>1</v>
      </c>
      <c r="K2944" t="n">
        <v>1</v>
      </c>
      <c r="L2944" s="34">
        <f>IF($J2944=1,LN(B2945/B2944),"")</f>
        <v/>
      </c>
      <c r="M2944" s="34">
        <f>IF($K2944=1,INDEX(Mensal!$D$2:$D$245,MATCH($I2944,Mensal!$A$2:$A$245,0)),"")</f>
        <v/>
      </c>
      <c r="N2944" s="34">
        <f>IF($K2944=1,L2944-M2944,"")</f>
        <v/>
      </c>
      <c r="O2944" s="34" t="n">
        <v>0.00025515</v>
      </c>
      <c r="P2944" s="34">
        <f>IF($J2944=1,LN(1+O2944),"")</f>
        <v/>
      </c>
      <c r="Q2944" s="34">
        <f>IF($J2944=1,LN(R2945/R2944),"")</f>
        <v/>
      </c>
      <c r="R2944" s="32" t="n">
        <v>3.2518</v>
      </c>
      <c r="S2944" s="35" t="n">
        <v>6.542</v>
      </c>
      <c r="T2944" s="18" t="n">
        <v>84984.61</v>
      </c>
      <c r="U2944" s="18" t="n"/>
      <c r="V2944" s="18" t="n"/>
      <c r="W2944" s="18" t="n"/>
      <c r="X2944" s="35" t="n"/>
      <c r="Y2944" s="35" t="n">
        <v>6.542</v>
      </c>
    </row>
    <row r="2945">
      <c r="A2945" s="25" t="n">
        <v>43168</v>
      </c>
      <c r="B2945" s="18" t="n">
        <v>86371.41</v>
      </c>
      <c r="C2945" s="31" t="n"/>
      <c r="D2945" s="32" t="n"/>
      <c r="E2945" s="33" t="n">
        <v>1.9153</v>
      </c>
      <c r="F2945" t="inlineStr">
        <is>
          <t>Up</t>
        </is>
      </c>
      <c r="G2945" t="inlineStr">
        <is>
          <t>Down</t>
        </is>
      </c>
      <c r="H2945" t="inlineStr">
        <is>
          <t>EU_JD</t>
        </is>
      </c>
      <c r="I2945" t="inlineStr">
        <is>
          <t>2018-03</t>
        </is>
      </c>
      <c r="J2945" t="n">
        <v>1</v>
      </c>
      <c r="K2945" t="n">
        <v>1</v>
      </c>
      <c r="L2945" s="34">
        <f>IF($J2945=1,LN(B2946/B2945),"")</f>
        <v/>
      </c>
      <c r="M2945" s="34">
        <f>IF($K2945=1,INDEX(Mensal!$D$2:$D$245,MATCH($I2945,Mensal!$A$2:$A$245,0)),"")</f>
        <v/>
      </c>
      <c r="N2945" s="34">
        <f>IF($K2945=1,L2945-M2945,"")</f>
        <v/>
      </c>
      <c r="O2945" s="34" t="n">
        <v>0.00025515</v>
      </c>
      <c r="P2945" s="34">
        <f>IF($J2945=1,LN(1+O2945),"")</f>
        <v/>
      </c>
      <c r="Q2945" s="34">
        <f>IF($J2945=1,LN(R2946/R2945),"")</f>
        <v/>
      </c>
      <c r="R2945" s="32" t="n">
        <v>3.2496</v>
      </c>
      <c r="S2945" s="35" t="n">
        <v>6.54</v>
      </c>
      <c r="T2945" s="18" t="n">
        <v>86371.41</v>
      </c>
      <c r="U2945" s="18" t="n"/>
      <c r="V2945" s="18" t="n"/>
      <c r="W2945" s="18" t="n"/>
      <c r="X2945" s="35" t="n"/>
      <c r="Y2945" s="35" t="n">
        <v>6.54</v>
      </c>
    </row>
    <row r="2946">
      <c r="A2946" s="25" t="n">
        <v>43171</v>
      </c>
      <c r="B2946" s="18" t="n">
        <v>86900.42999999999</v>
      </c>
      <c r="C2946" s="31" t="n"/>
      <c r="D2946" s="32" t="n"/>
      <c r="E2946" s="33" t="n">
        <v>1.9488</v>
      </c>
      <c r="F2946" t="inlineStr">
        <is>
          <t>Up</t>
        </is>
      </c>
      <c r="G2946" t="inlineStr">
        <is>
          <t>Down</t>
        </is>
      </c>
      <c r="H2946" t="inlineStr">
        <is>
          <t>EU_JD</t>
        </is>
      </c>
      <c r="I2946" t="inlineStr">
        <is>
          <t>2018-03</t>
        </is>
      </c>
      <c r="J2946" t="n">
        <v>1</v>
      </c>
      <c r="K2946" t="n">
        <v>1</v>
      </c>
      <c r="L2946" s="34">
        <f>IF($J2946=1,LN(B2947/B2946),"")</f>
        <v/>
      </c>
      <c r="M2946" s="34">
        <f>IF($K2946=1,INDEX(Mensal!$D$2:$D$245,MATCH($I2946,Mensal!$A$2:$A$245,0)),"")</f>
        <v/>
      </c>
      <c r="N2946" s="34">
        <f>IF($K2946=1,L2946-M2946,"")</f>
        <v/>
      </c>
      <c r="O2946" s="34" t="n">
        <v>0.00025515</v>
      </c>
      <c r="P2946" s="34">
        <f>IF($J2946=1,LN(1+O2946),"")</f>
        <v/>
      </c>
      <c r="Q2946" s="34">
        <f>IF($J2946=1,LN(R2947/R2946),"")</f>
        <v/>
      </c>
      <c r="R2946" s="32" t="n">
        <v>3.2606</v>
      </c>
      <c r="S2946" s="35" t="n">
        <v>6.538</v>
      </c>
      <c r="T2946" s="18" t="n">
        <v>86900.42999999999</v>
      </c>
      <c r="U2946" s="18" t="n"/>
      <c r="V2946" s="18" t="n"/>
      <c r="W2946" s="18" t="n"/>
      <c r="X2946" s="35" t="n"/>
      <c r="Y2946" s="35" t="n">
        <v>6.538</v>
      </c>
    </row>
    <row r="2947">
      <c r="A2947" s="25" t="n">
        <v>43172</v>
      </c>
      <c r="B2947" s="18" t="n">
        <v>86383.85000000001</v>
      </c>
      <c r="C2947" s="31" t="n"/>
      <c r="D2947" s="32" t="n"/>
      <c r="E2947" s="33" t="n">
        <v>1.9755</v>
      </c>
      <c r="F2947" t="inlineStr">
        <is>
          <t>Up</t>
        </is>
      </c>
      <c r="G2947" t="inlineStr">
        <is>
          <t>Down</t>
        </is>
      </c>
      <c r="H2947" t="inlineStr">
        <is>
          <t>EU_JD</t>
        </is>
      </c>
      <c r="I2947" t="inlineStr">
        <is>
          <t>2018-03</t>
        </is>
      </c>
      <c r="J2947" t="n">
        <v>1</v>
      </c>
      <c r="K2947" t="n">
        <v>1</v>
      </c>
      <c r="L2947" s="34">
        <f>IF($J2947=1,LN(B2948/B2947),"")</f>
        <v/>
      </c>
      <c r="M2947" s="34">
        <f>IF($K2947=1,INDEX(Mensal!$D$2:$D$245,MATCH($I2947,Mensal!$A$2:$A$245,0)),"")</f>
        <v/>
      </c>
      <c r="N2947" s="34">
        <f>IF($K2947=1,L2947-M2947,"")</f>
        <v/>
      </c>
      <c r="O2947" s="34" t="n">
        <v>0.00025515</v>
      </c>
      <c r="P2947" s="34">
        <f>IF($J2947=1,LN(1+O2947),"")</f>
        <v/>
      </c>
      <c r="Q2947" s="34">
        <f>IF($J2947=1,LN(R2948/R2947),"")</f>
        <v/>
      </c>
      <c r="R2947" s="32" t="n">
        <v>3.2492</v>
      </c>
      <c r="S2947" s="35" t="n">
        <v>6.555</v>
      </c>
      <c r="T2947" s="18" t="n">
        <v>86383.85000000001</v>
      </c>
      <c r="U2947" s="18" t="n"/>
      <c r="V2947" s="18" t="n"/>
      <c r="W2947" s="18" t="n"/>
      <c r="X2947" s="35" t="n"/>
      <c r="Y2947" s="35" t="n">
        <v>6.555</v>
      </c>
    </row>
    <row r="2948">
      <c r="A2948" s="25" t="n">
        <v>43173</v>
      </c>
      <c r="B2948" s="18" t="n">
        <v>86050.96000000001</v>
      </c>
      <c r="C2948" s="31" t="n"/>
      <c r="D2948" s="32" t="n"/>
      <c r="E2948" s="33" t="n">
        <v>2</v>
      </c>
      <c r="F2948" t="inlineStr">
        <is>
          <t>Up</t>
        </is>
      </c>
      <c r="G2948" t="inlineStr">
        <is>
          <t>Down</t>
        </is>
      </c>
      <c r="H2948" t="inlineStr">
        <is>
          <t>EU_JD</t>
        </is>
      </c>
      <c r="I2948" t="inlineStr">
        <is>
          <t>2018-03</t>
        </is>
      </c>
      <c r="J2948" t="n">
        <v>1</v>
      </c>
      <c r="K2948" t="n">
        <v>1</v>
      </c>
      <c r="L2948" s="34">
        <f>IF($J2948=1,LN(B2949/B2948),"")</f>
        <v/>
      </c>
      <c r="M2948" s="34">
        <f>IF($K2948=1,INDEX(Mensal!$D$2:$D$245,MATCH($I2948,Mensal!$A$2:$A$245,0)),"")</f>
        <v/>
      </c>
      <c r="N2948" s="34">
        <f>IF($K2948=1,L2948-M2948,"")</f>
        <v/>
      </c>
      <c r="O2948" s="34" t="n">
        <v>0.00025515</v>
      </c>
      <c r="P2948" s="34">
        <f>IF($J2948=1,LN(1+O2948),"")</f>
        <v/>
      </c>
      <c r="Q2948" s="34">
        <f>IF($J2948=1,LN(R2949/R2948),"")</f>
        <v/>
      </c>
      <c r="R2948" s="32" t="n">
        <v>3.2584</v>
      </c>
      <c r="S2948" s="35" t="n">
        <v>6.589</v>
      </c>
      <c r="T2948" s="18" t="n">
        <v>86050.96000000001</v>
      </c>
      <c r="U2948" s="18" t="n"/>
      <c r="V2948" s="18" t="n"/>
      <c r="W2948" s="18" t="n"/>
      <c r="X2948" s="35" t="n"/>
      <c r="Y2948" s="35" t="n">
        <v>6.589</v>
      </c>
    </row>
    <row r="2949">
      <c r="A2949" s="25" t="n">
        <v>43174</v>
      </c>
      <c r="B2949" s="18" t="n">
        <v>84928.2</v>
      </c>
      <c r="C2949" s="31" t="n"/>
      <c r="D2949" s="32" t="n"/>
      <c r="E2949" s="33" t="n">
        <v>2.019</v>
      </c>
      <c r="F2949" t="inlineStr">
        <is>
          <t>Up</t>
        </is>
      </c>
      <c r="G2949" t="inlineStr">
        <is>
          <t>Down</t>
        </is>
      </c>
      <c r="H2949" t="inlineStr">
        <is>
          <t>EU_JD</t>
        </is>
      </c>
      <c r="I2949" t="inlineStr">
        <is>
          <t>2018-03</t>
        </is>
      </c>
      <c r="J2949" t="n">
        <v>1</v>
      </c>
      <c r="K2949" t="n">
        <v>1</v>
      </c>
      <c r="L2949" s="34">
        <f>IF($J2949=1,LN(B2950/B2949),"")</f>
        <v/>
      </c>
      <c r="M2949" s="34">
        <f>IF($K2949=1,INDEX(Mensal!$D$2:$D$245,MATCH($I2949,Mensal!$A$2:$A$245,0)),"")</f>
        <v/>
      </c>
      <c r="N2949" s="34">
        <f>IF($K2949=1,L2949-M2949,"")</f>
        <v/>
      </c>
      <c r="O2949" s="34" t="n">
        <v>0.00025515</v>
      </c>
      <c r="P2949" s="34">
        <f>IF($J2949=1,LN(1+O2949),"")</f>
        <v/>
      </c>
      <c r="Q2949" s="34">
        <f>IF($J2949=1,LN(R2950/R2949),"")</f>
        <v/>
      </c>
      <c r="R2949" s="32" t="n">
        <v>3.2859</v>
      </c>
      <c r="S2949" s="35" t="n">
        <v>6.606</v>
      </c>
      <c r="T2949" s="18" t="n">
        <v>84928.2</v>
      </c>
      <c r="U2949" s="18" t="n"/>
      <c r="V2949" s="18" t="n"/>
      <c r="W2949" s="18" t="n"/>
      <c r="X2949" s="35" t="n"/>
      <c r="Y2949" s="35" t="n">
        <v>6.606</v>
      </c>
    </row>
    <row r="2950">
      <c r="A2950" s="25" t="n">
        <v>43175</v>
      </c>
      <c r="B2950" s="18" t="n">
        <v>84886.49000000001</v>
      </c>
      <c r="C2950" s="31" t="n"/>
      <c r="D2950" s="32" t="n"/>
      <c r="E2950" s="33" t="n">
        <v>2.0295</v>
      </c>
      <c r="F2950" t="inlineStr">
        <is>
          <t>Up</t>
        </is>
      </c>
      <c r="G2950" t="inlineStr">
        <is>
          <t>Down</t>
        </is>
      </c>
      <c r="H2950" t="inlineStr">
        <is>
          <t>EU_JD</t>
        </is>
      </c>
      <c r="I2950" t="inlineStr">
        <is>
          <t>2018-03</t>
        </is>
      </c>
      <c r="J2950" t="n">
        <v>1</v>
      </c>
      <c r="K2950" t="n">
        <v>1</v>
      </c>
      <c r="L2950" s="34">
        <f>IF($J2950=1,LN(B2951/B2950),"")</f>
        <v/>
      </c>
      <c r="M2950" s="34">
        <f>IF($K2950=1,INDEX(Mensal!$D$2:$D$245,MATCH($I2950,Mensal!$A$2:$A$245,0)),"")</f>
        <v/>
      </c>
      <c r="N2950" s="34">
        <f>IF($K2950=1,L2950-M2950,"")</f>
        <v/>
      </c>
      <c r="O2950" s="34" t="n">
        <v>0.00025515</v>
      </c>
      <c r="P2950" s="34">
        <f>IF($J2950=1,LN(1+O2950),"")</f>
        <v/>
      </c>
      <c r="Q2950" s="34">
        <f>IF($J2950=1,LN(R2951/R2950),"")</f>
        <v/>
      </c>
      <c r="R2950" s="32" t="n">
        <v>3.2905</v>
      </c>
      <c r="S2950" s="35" t="n">
        <v>6.575</v>
      </c>
      <c r="T2950" s="18" t="n">
        <v>84886.49000000001</v>
      </c>
      <c r="U2950" s="18" t="n"/>
      <c r="V2950" s="18" t="n"/>
      <c r="W2950" s="18" t="n"/>
      <c r="X2950" s="35" t="n"/>
      <c r="Y2950" s="35" t="n">
        <v>6.575</v>
      </c>
    </row>
    <row r="2951">
      <c r="A2951" s="25" t="n">
        <v>43178</v>
      </c>
      <c r="B2951" s="18" t="n">
        <v>83913.06</v>
      </c>
      <c r="C2951" s="31" t="n"/>
      <c r="D2951" s="32" t="n"/>
      <c r="E2951" s="33" t="n">
        <v>2.0463</v>
      </c>
      <c r="F2951" t="inlineStr">
        <is>
          <t>Up</t>
        </is>
      </c>
      <c r="G2951" t="inlineStr">
        <is>
          <t>Down</t>
        </is>
      </c>
      <c r="H2951" t="inlineStr">
        <is>
          <t>EU_JD</t>
        </is>
      </c>
      <c r="I2951" t="inlineStr">
        <is>
          <t>2018-03</t>
        </is>
      </c>
      <c r="J2951" t="n">
        <v>1</v>
      </c>
      <c r="K2951" t="n">
        <v>1</v>
      </c>
      <c r="L2951" s="34">
        <f>IF($J2951=1,LN(B2952/B2951),"")</f>
        <v/>
      </c>
      <c r="M2951" s="34">
        <f>IF($K2951=1,INDEX(Mensal!$D$2:$D$245,MATCH($I2951,Mensal!$A$2:$A$245,0)),"")</f>
        <v/>
      </c>
      <c r="N2951" s="34">
        <f>IF($K2951=1,L2951-M2951,"")</f>
        <v/>
      </c>
      <c r="O2951" s="34" t="n">
        <v>0.00025515</v>
      </c>
      <c r="P2951" s="34">
        <f>IF($J2951=1,LN(1+O2951),"")</f>
        <v/>
      </c>
      <c r="Q2951" s="34">
        <f>IF($J2951=1,LN(R2952/R2951),"")</f>
        <v/>
      </c>
      <c r="R2951" s="32" t="n">
        <v>3.2911</v>
      </c>
      <c r="S2951" s="35" t="n">
        <v>6.564</v>
      </c>
      <c r="T2951" s="18" t="n">
        <v>83913.06</v>
      </c>
      <c r="U2951" s="18" t="n"/>
      <c r="V2951" s="18" t="n"/>
      <c r="W2951" s="18" t="n"/>
      <c r="X2951" s="35" t="n"/>
      <c r="Y2951" s="35" t="n">
        <v>6.564</v>
      </c>
    </row>
    <row r="2952">
      <c r="A2952" s="25" t="n">
        <v>43179</v>
      </c>
      <c r="B2952" s="18" t="n">
        <v>84163.8</v>
      </c>
      <c r="C2952" s="31" t="n"/>
      <c r="D2952" s="32" t="n"/>
      <c r="E2952" s="33" t="n">
        <v>2.0739</v>
      </c>
      <c r="F2952" t="inlineStr">
        <is>
          <t>Up</t>
        </is>
      </c>
      <c r="G2952" t="inlineStr">
        <is>
          <t>Down</t>
        </is>
      </c>
      <c r="H2952" t="inlineStr">
        <is>
          <t>EU_JD</t>
        </is>
      </c>
      <c r="I2952" t="inlineStr">
        <is>
          <t>2018-03</t>
        </is>
      </c>
      <c r="J2952" t="n">
        <v>1</v>
      </c>
      <c r="K2952" t="n">
        <v>1</v>
      </c>
      <c r="L2952" s="34">
        <f>IF($J2952=1,LN(B2953/B2952),"")</f>
        <v/>
      </c>
      <c r="M2952" s="34">
        <f>IF($K2952=1,INDEX(Mensal!$D$2:$D$245,MATCH($I2952,Mensal!$A$2:$A$245,0)),"")</f>
        <v/>
      </c>
      <c r="N2952" s="34">
        <f>IF($K2952=1,L2952-M2952,"")</f>
        <v/>
      </c>
      <c r="O2952" s="34" t="n">
        <v>0.00025515</v>
      </c>
      <c r="P2952" s="34">
        <f>IF($J2952=1,LN(1+O2952),"")</f>
        <v/>
      </c>
      <c r="Q2952" s="34">
        <f>IF($J2952=1,LN(R2953/R2952),"")</f>
        <v/>
      </c>
      <c r="R2952" s="32" t="n">
        <v>3.2981</v>
      </c>
      <c r="S2952" s="35" t="n">
        <v>6.574</v>
      </c>
      <c r="T2952" s="18" t="n">
        <v>84163.8</v>
      </c>
      <c r="U2952" s="18" t="n"/>
      <c r="V2952" s="18" t="n"/>
      <c r="W2952" s="18" t="n"/>
      <c r="X2952" s="35" t="n"/>
      <c r="Y2952" s="35" t="n">
        <v>6.574</v>
      </c>
    </row>
    <row r="2953">
      <c r="A2953" s="25" t="n">
        <v>43180</v>
      </c>
      <c r="B2953" s="18" t="n">
        <v>84976.59</v>
      </c>
      <c r="C2953" s="31" t="n"/>
      <c r="D2953" s="32" t="n"/>
      <c r="E2953" s="33" t="n">
        <v>2.0948</v>
      </c>
      <c r="F2953" t="inlineStr">
        <is>
          <t>Up</t>
        </is>
      </c>
      <c r="G2953" t="inlineStr">
        <is>
          <t>Down</t>
        </is>
      </c>
      <c r="H2953" t="inlineStr">
        <is>
          <t>EU_JD</t>
        </is>
      </c>
      <c r="I2953" t="inlineStr">
        <is>
          <t>2018-03</t>
        </is>
      </c>
      <c r="J2953" t="n">
        <v>1</v>
      </c>
      <c r="K2953" t="n">
        <v>1</v>
      </c>
      <c r="L2953" s="34">
        <f>IF($J2953=1,LN(B2954/B2953),"")</f>
        <v/>
      </c>
      <c r="M2953" s="34">
        <f>IF($K2953=1,INDEX(Mensal!$D$2:$D$245,MATCH($I2953,Mensal!$A$2:$A$245,0)),"")</f>
        <v/>
      </c>
      <c r="N2953" s="34">
        <f>IF($K2953=1,L2953-M2953,"")</f>
        <v/>
      </c>
      <c r="O2953" s="34" t="n">
        <v>0.00025515</v>
      </c>
      <c r="P2953" s="34">
        <f>IF($J2953=1,LN(1+O2953),"")</f>
        <v/>
      </c>
      <c r="Q2953" s="34">
        <f>IF($J2953=1,LN(R2954/R2953),"")</f>
        <v/>
      </c>
      <c r="R2953" s="32" t="n">
        <v>3.2921</v>
      </c>
      <c r="S2953" s="35" t="n">
        <v>6.575</v>
      </c>
      <c r="T2953" s="18" t="n">
        <v>84976.59</v>
      </c>
      <c r="U2953" s="18" t="n"/>
      <c r="V2953" s="18" t="n"/>
      <c r="W2953" s="18" t="n"/>
      <c r="X2953" s="35" t="n"/>
      <c r="Y2953" s="35" t="n">
        <v>6.575</v>
      </c>
    </row>
    <row r="2954">
      <c r="A2954" s="25" t="n">
        <v>43181</v>
      </c>
      <c r="B2954" s="18" t="n">
        <v>84767.88</v>
      </c>
      <c r="C2954" s="31" t="n"/>
      <c r="D2954" s="32" t="n"/>
      <c r="E2954" s="33" t="n">
        <v>2.1011</v>
      </c>
      <c r="F2954" t="inlineStr">
        <is>
          <t>Up</t>
        </is>
      </c>
      <c r="G2954" t="inlineStr">
        <is>
          <t>Down</t>
        </is>
      </c>
      <c r="H2954" t="inlineStr">
        <is>
          <t>EU_JD</t>
        </is>
      </c>
      <c r="I2954" t="inlineStr">
        <is>
          <t>2018-03</t>
        </is>
      </c>
      <c r="J2954" t="n">
        <v>1</v>
      </c>
      <c r="K2954" t="n">
        <v>1</v>
      </c>
      <c r="L2954" s="34">
        <f>IF($J2954=1,LN(B2955/B2954),"")</f>
        <v/>
      </c>
      <c r="M2954" s="34">
        <f>IF($K2954=1,INDEX(Mensal!$D$2:$D$245,MATCH($I2954,Mensal!$A$2:$A$245,0)),"")</f>
        <v/>
      </c>
      <c r="N2954" s="34">
        <f>IF($K2954=1,L2954-M2954,"")</f>
        <v/>
      </c>
      <c r="O2954" s="34" t="n">
        <v>0.00024583</v>
      </c>
      <c r="P2954" s="34">
        <f>IF($J2954=1,LN(1+O2954),"")</f>
        <v/>
      </c>
      <c r="Q2954" s="34">
        <f>IF($J2954=1,LN(R2955/R2954),"")</f>
        <v/>
      </c>
      <c r="R2954" s="32" t="n">
        <v>3.3033</v>
      </c>
      <c r="S2954" s="35" t="n">
        <v>6.345</v>
      </c>
      <c r="T2954" s="18" t="n">
        <v>84767.88</v>
      </c>
      <c r="U2954" s="18" t="n"/>
      <c r="V2954" s="18" t="n"/>
      <c r="W2954" s="18" t="n"/>
      <c r="X2954" s="35" t="n"/>
      <c r="Y2954" s="35" t="n">
        <v>6.345</v>
      </c>
    </row>
    <row r="2955">
      <c r="A2955" s="25" t="n">
        <v>43182</v>
      </c>
      <c r="B2955" s="18" t="n">
        <v>84377.19</v>
      </c>
      <c r="C2955" s="31" t="n"/>
      <c r="D2955" s="32" t="n"/>
      <c r="E2955" s="33" t="n">
        <v>2.1038</v>
      </c>
      <c r="F2955" t="inlineStr">
        <is>
          <t>Up</t>
        </is>
      </c>
      <c r="G2955" t="inlineStr">
        <is>
          <t>Down</t>
        </is>
      </c>
      <c r="H2955" t="inlineStr">
        <is>
          <t>EU_JD</t>
        </is>
      </c>
      <c r="I2955" t="inlineStr">
        <is>
          <t>2018-03</t>
        </is>
      </c>
      <c r="J2955" t="n">
        <v>1</v>
      </c>
      <c r="K2955" t="n">
        <v>1</v>
      </c>
      <c r="L2955" s="34">
        <f>IF($J2955=1,LN(B2956/B2955),"")</f>
        <v/>
      </c>
      <c r="M2955" s="34">
        <f>IF($K2955=1,INDEX(Mensal!$D$2:$D$245,MATCH($I2955,Mensal!$A$2:$A$245,0)),"")</f>
        <v/>
      </c>
      <c r="N2955" s="34">
        <f>IF($K2955=1,L2955-M2955,"")</f>
        <v/>
      </c>
      <c r="O2955" s="34" t="n">
        <v>0.00024583</v>
      </c>
      <c r="P2955" s="34">
        <f>IF($J2955=1,LN(1+O2955),"")</f>
        <v/>
      </c>
      <c r="Q2955" s="34">
        <f>IF($J2955=1,LN(R2956/R2955),"")</f>
        <v/>
      </c>
      <c r="R2955" s="32" t="n">
        <v>3.3041</v>
      </c>
      <c r="S2955" s="35" t="n">
        <v>6.337</v>
      </c>
      <c r="T2955" s="18" t="n">
        <v>84377.19</v>
      </c>
      <c r="U2955" s="18" t="n"/>
      <c r="V2955" s="18" t="n"/>
      <c r="W2955" s="18" t="n"/>
      <c r="X2955" s="35" t="n"/>
      <c r="Y2955" s="35" t="n">
        <v>6.337</v>
      </c>
    </row>
    <row r="2956">
      <c r="A2956" s="25" t="n">
        <v>43185</v>
      </c>
      <c r="B2956" s="18" t="n">
        <v>85087.86</v>
      </c>
      <c r="C2956" s="31" t="n"/>
      <c r="D2956" s="32" t="n"/>
      <c r="E2956" s="33" t="n">
        <v>2.1</v>
      </c>
      <c r="F2956" t="inlineStr">
        <is>
          <t>Up</t>
        </is>
      </c>
      <c r="G2956" t="inlineStr">
        <is>
          <t>Down</t>
        </is>
      </c>
      <c r="H2956" t="inlineStr">
        <is>
          <t>EU_JD</t>
        </is>
      </c>
      <c r="I2956" t="inlineStr">
        <is>
          <t>2018-03</t>
        </is>
      </c>
      <c r="J2956" t="n">
        <v>1</v>
      </c>
      <c r="K2956" t="n">
        <v>1</v>
      </c>
      <c r="L2956" s="34">
        <f>IF($J2956=1,LN(B2957/B2956),"")</f>
        <v/>
      </c>
      <c r="M2956" s="34">
        <f>IF($K2956=1,INDEX(Mensal!$D$2:$D$245,MATCH($I2956,Mensal!$A$2:$A$245,0)),"")</f>
        <v/>
      </c>
      <c r="N2956" s="34">
        <f>IF($K2956=1,L2956-M2956,"")</f>
        <v/>
      </c>
      <c r="O2956" s="34" t="n">
        <v>0.00024583</v>
      </c>
      <c r="P2956" s="34">
        <f>IF($J2956=1,LN(1+O2956),"")</f>
        <v/>
      </c>
      <c r="Q2956" s="34">
        <f>IF($J2956=1,LN(R2957/R2956),"")</f>
        <v/>
      </c>
      <c r="R2956" s="32" t="n">
        <v>3.3034</v>
      </c>
      <c r="S2956" s="35" t="n">
        <v>6.297</v>
      </c>
      <c r="T2956" s="18" t="n">
        <v>85087.86</v>
      </c>
      <c r="U2956" s="18" t="n"/>
      <c r="V2956" s="18" t="n"/>
      <c r="W2956" s="18" t="n"/>
      <c r="X2956" s="35" t="n"/>
      <c r="Y2956" s="35" t="n">
        <v>6.297</v>
      </c>
    </row>
    <row r="2957">
      <c r="A2957" s="25" t="n">
        <v>43186</v>
      </c>
      <c r="B2957" s="18" t="n">
        <v>83808.06</v>
      </c>
      <c r="C2957" s="31" t="n"/>
      <c r="D2957" s="32" t="n"/>
      <c r="E2957" s="33" t="n">
        <v>2.1062</v>
      </c>
      <c r="F2957" t="inlineStr">
        <is>
          <t>Up</t>
        </is>
      </c>
      <c r="G2957" t="inlineStr">
        <is>
          <t>Down</t>
        </is>
      </c>
      <c r="H2957" t="inlineStr">
        <is>
          <t>EU_JD</t>
        </is>
      </c>
      <c r="I2957" t="inlineStr">
        <is>
          <t>2018-03</t>
        </is>
      </c>
      <c r="J2957" t="n">
        <v>1</v>
      </c>
      <c r="K2957" t="n">
        <v>1</v>
      </c>
      <c r="L2957" s="34">
        <f>IF($J2957=1,LN(B2958/B2957),"")</f>
        <v/>
      </c>
      <c r="M2957" s="34">
        <f>IF($K2957=1,INDEX(Mensal!$D$2:$D$245,MATCH($I2957,Mensal!$A$2:$A$245,0)),"")</f>
        <v/>
      </c>
      <c r="N2957" s="34">
        <f>IF($K2957=1,L2957-M2957,"")</f>
        <v/>
      </c>
      <c r="O2957" s="34" t="n">
        <v>0.00024583</v>
      </c>
      <c r="P2957" s="34">
        <f>IF($J2957=1,LN(1+O2957),"")</f>
        <v/>
      </c>
      <c r="Q2957" s="34">
        <f>IF($J2957=1,LN(R2958/R2957),"")</f>
        <v/>
      </c>
      <c r="R2957" s="32" t="n">
        <v>3.3256</v>
      </c>
      <c r="S2957" s="35" t="n">
        <v>6.321</v>
      </c>
      <c r="T2957" s="18" t="n">
        <v>83808.06</v>
      </c>
      <c r="U2957" s="18" t="n"/>
      <c r="V2957" s="18" t="n"/>
      <c r="W2957" s="18" t="n"/>
      <c r="X2957" s="35" t="n"/>
      <c r="Y2957" s="35" t="n">
        <v>6.321</v>
      </c>
    </row>
    <row r="2958">
      <c r="A2958" s="25" t="n">
        <v>43187</v>
      </c>
      <c r="B2958" s="18" t="n">
        <v>83874.14</v>
      </c>
      <c r="C2958" s="31" t="n"/>
      <c r="D2958" s="32" t="n"/>
      <c r="E2958" s="33" t="n">
        <v>2.1103</v>
      </c>
      <c r="F2958" t="inlineStr">
        <is>
          <t>Up</t>
        </is>
      </c>
      <c r="G2958" t="inlineStr">
        <is>
          <t>Down</t>
        </is>
      </c>
      <c r="H2958" t="inlineStr">
        <is>
          <t>EU_JD</t>
        </is>
      </c>
      <c r="I2958" t="inlineStr">
        <is>
          <t>2018-03</t>
        </is>
      </c>
      <c r="J2958" t="n">
        <v>1</v>
      </c>
      <c r="K2958" t="n">
        <v>1</v>
      </c>
      <c r="L2958" s="34">
        <f>IF($J2958=1,LN(B2959/B2958),"")</f>
        <v/>
      </c>
      <c r="M2958" s="34">
        <f>IF($K2958=1,INDEX(Mensal!$D$2:$D$245,MATCH($I2958,Mensal!$A$2:$A$245,0)),"")</f>
        <v/>
      </c>
      <c r="N2958" s="34">
        <f>IF($K2958=1,L2958-M2958,"")</f>
        <v/>
      </c>
      <c r="O2958" s="34" t="n">
        <v>0.00024583</v>
      </c>
      <c r="P2958" s="34">
        <f>IF($J2958=1,LN(1+O2958),"")</f>
        <v/>
      </c>
      <c r="Q2958" s="34">
        <f>IF($J2958=1,LN(R2959/R2958),"")</f>
        <v/>
      </c>
      <c r="R2958" s="32" t="n">
        <v>3.338</v>
      </c>
      <c r="S2958" s="35" t="n">
        <v>6.323</v>
      </c>
      <c r="T2958" s="18" t="n">
        <v>83874.14</v>
      </c>
      <c r="U2958" s="18" t="n"/>
      <c r="V2958" s="18" t="n"/>
      <c r="W2958" s="18" t="n"/>
      <c r="X2958" s="35" t="n"/>
      <c r="Y2958" s="35" t="n">
        <v>6.323</v>
      </c>
    </row>
    <row r="2959">
      <c r="A2959" s="25" t="n">
        <v>43188</v>
      </c>
      <c r="B2959" s="18" t="n">
        <v>85365.56</v>
      </c>
      <c r="C2959" s="31" t="n"/>
      <c r="D2959" s="32" t="n"/>
      <c r="E2959" s="33" t="n">
        <v>2.1082</v>
      </c>
      <c r="F2959" t="inlineStr">
        <is>
          <t>Up</t>
        </is>
      </c>
      <c r="G2959" t="inlineStr">
        <is>
          <t>Down</t>
        </is>
      </c>
      <c r="H2959" t="inlineStr">
        <is>
          <t>EU_JD</t>
        </is>
      </c>
      <c r="I2959" t="inlineStr">
        <is>
          <t>2018-03</t>
        </is>
      </c>
      <c r="J2959" t="n">
        <v>1</v>
      </c>
      <c r="K2959" t="n">
        <v>1</v>
      </c>
      <c r="L2959" s="34">
        <f>IF($J2959=1,LN(B2960/B2959),"")</f>
        <v/>
      </c>
      <c r="M2959" s="34">
        <f>IF($K2959=1,INDEX(Mensal!$D$2:$D$245,MATCH($I2959,Mensal!$A$2:$A$245,0)),"")</f>
        <v/>
      </c>
      <c r="N2959" s="34">
        <f>IF($K2959=1,L2959-M2959,"")</f>
        <v/>
      </c>
      <c r="O2959" s="34" t="n">
        <v>0.00024583</v>
      </c>
      <c r="P2959" s="34">
        <f>IF($J2959=1,LN(1+O2959),"")</f>
        <v/>
      </c>
      <c r="Q2959" s="34">
        <f>IF($J2959=1,LN(R2960/R2959),"")</f>
        <v/>
      </c>
      <c r="R2959" s="32" t="n">
        <v>3.3238</v>
      </c>
      <c r="S2959" s="35" t="n">
        <v>6.292</v>
      </c>
      <c r="T2959" s="18" t="n">
        <v>85365.56</v>
      </c>
      <c r="U2959" s="18" t="n"/>
      <c r="V2959" s="18" t="n"/>
      <c r="W2959" s="18" t="n"/>
      <c r="X2959" s="35" t="n"/>
      <c r="Y2959" s="35" t="n">
        <v>6.292</v>
      </c>
    </row>
    <row r="2960">
      <c r="A2960" s="25" t="n">
        <v>43192</v>
      </c>
      <c r="B2960" s="18" t="n">
        <v>84666.44</v>
      </c>
      <c r="C2960" s="31" t="n"/>
      <c r="D2960" s="32" t="n"/>
      <c r="E2960" s="33" t="n">
        <v>2.1228</v>
      </c>
      <c r="F2960" t="inlineStr">
        <is>
          <t>Up</t>
        </is>
      </c>
      <c r="G2960" t="inlineStr">
        <is>
          <t>Down</t>
        </is>
      </c>
      <c r="H2960" t="inlineStr">
        <is>
          <t>EU_JD</t>
        </is>
      </c>
      <c r="I2960" t="inlineStr">
        <is>
          <t>2018-04</t>
        </is>
      </c>
      <c r="J2960" t="n">
        <v>1</v>
      </c>
      <c r="K2960" t="n">
        <v>1</v>
      </c>
      <c r="L2960" s="34">
        <f>IF($J2960=1,LN(B2961/B2960),"")</f>
        <v/>
      </c>
      <c r="M2960" s="34">
        <f>IF($K2960=1,INDEX(Mensal!$D$2:$D$245,MATCH($I2960,Mensal!$A$2:$A$245,0)),"")</f>
        <v/>
      </c>
      <c r="N2960" s="34">
        <f>IF($K2960=1,L2960-M2960,"")</f>
        <v/>
      </c>
      <c r="O2960" s="34" t="n">
        <v>0.00024583</v>
      </c>
      <c r="P2960" s="34">
        <f>IF($J2960=1,LN(1+O2960),"")</f>
        <v/>
      </c>
      <c r="Q2960" s="34">
        <f>IF($J2960=1,LN(R2961/R2960),"")</f>
        <v/>
      </c>
      <c r="R2960" s="32" t="n">
        <v>3.3104</v>
      </c>
      <c r="S2960" s="35" t="n">
        <v>6.303</v>
      </c>
      <c r="T2960" s="18" t="n">
        <v>84666.44</v>
      </c>
      <c r="U2960" s="18" t="n"/>
      <c r="V2960" s="18" t="n"/>
      <c r="W2960" s="18" t="n"/>
      <c r="X2960" s="35" t="n"/>
      <c r="Y2960" s="35" t="n">
        <v>6.303</v>
      </c>
    </row>
    <row r="2961">
      <c r="A2961" s="25" t="n">
        <v>43193</v>
      </c>
      <c r="B2961" s="18" t="n">
        <v>84623.46000000001</v>
      </c>
      <c r="C2961" s="31" t="n"/>
      <c r="D2961" s="32" t="n"/>
      <c r="E2961" s="33" t="n">
        <v>2.1164</v>
      </c>
      <c r="F2961" t="inlineStr">
        <is>
          <t>Up</t>
        </is>
      </c>
      <c r="G2961" t="inlineStr">
        <is>
          <t>Down</t>
        </is>
      </c>
      <c r="H2961" t="inlineStr">
        <is>
          <t>EU_JD</t>
        </is>
      </c>
      <c r="I2961" t="inlineStr">
        <is>
          <t>2018-04</t>
        </is>
      </c>
      <c r="J2961" t="n">
        <v>1</v>
      </c>
      <c r="K2961" t="n">
        <v>1</v>
      </c>
      <c r="L2961" s="34">
        <f>IF($J2961=1,LN(B2962/B2961),"")</f>
        <v/>
      </c>
      <c r="M2961" s="34">
        <f>IF($K2961=1,INDEX(Mensal!$D$2:$D$245,MATCH($I2961,Mensal!$A$2:$A$245,0)),"")</f>
        <v/>
      </c>
      <c r="N2961" s="34">
        <f>IF($K2961=1,L2961-M2961,"")</f>
        <v/>
      </c>
      <c r="O2961" s="34" t="n">
        <v>0.00024583</v>
      </c>
      <c r="P2961" s="34">
        <f>IF($J2961=1,LN(1+O2961),"")</f>
        <v/>
      </c>
      <c r="Q2961" s="34">
        <f>IF($J2961=1,LN(R2962/R2961),"")</f>
        <v/>
      </c>
      <c r="R2961" s="32" t="n">
        <v>3.3139</v>
      </c>
      <c r="S2961" s="35" t="n">
        <v>6.324</v>
      </c>
      <c r="T2961" s="18" t="n">
        <v>84623.46000000001</v>
      </c>
      <c r="U2961" s="18" t="n"/>
      <c r="V2961" s="18" t="n"/>
      <c r="W2961" s="18" t="n"/>
      <c r="X2961" s="35" t="n"/>
      <c r="Y2961" s="35" t="n">
        <v>6.324</v>
      </c>
    </row>
    <row r="2962">
      <c r="A2962" s="25" t="n">
        <v>43194</v>
      </c>
      <c r="B2962" s="18" t="n">
        <v>84359.69</v>
      </c>
      <c r="C2962" s="31" t="n"/>
      <c r="D2962" s="32" t="n"/>
      <c r="E2962" s="33" t="n">
        <v>2.1052</v>
      </c>
      <c r="F2962" t="inlineStr">
        <is>
          <t>Up</t>
        </is>
      </c>
      <c r="G2962" t="inlineStr">
        <is>
          <t>Down</t>
        </is>
      </c>
      <c r="H2962" t="inlineStr">
        <is>
          <t>EU_JD</t>
        </is>
      </c>
      <c r="I2962" t="inlineStr">
        <is>
          <t>2018-04</t>
        </is>
      </c>
      <c r="J2962" t="n">
        <v>1</v>
      </c>
      <c r="K2962" t="n">
        <v>1</v>
      </c>
      <c r="L2962" s="34">
        <f>IF($J2962=1,LN(B2963/B2962),"")</f>
        <v/>
      </c>
      <c r="M2962" s="34">
        <f>IF($K2962=1,INDEX(Mensal!$D$2:$D$245,MATCH($I2962,Mensal!$A$2:$A$245,0)),"")</f>
        <v/>
      </c>
      <c r="N2962" s="34">
        <f>IF($K2962=1,L2962-M2962,"")</f>
        <v/>
      </c>
      <c r="O2962" s="34" t="n">
        <v>0.00024583</v>
      </c>
      <c r="P2962" s="34">
        <f>IF($J2962=1,LN(1+O2962),"")</f>
        <v/>
      </c>
      <c r="Q2962" s="34">
        <f>IF($J2962=1,LN(R2963/R2962),"")</f>
        <v/>
      </c>
      <c r="R2962" s="32" t="n">
        <v>3.3538</v>
      </c>
      <c r="S2962" s="35" t="n">
        <v>6.34</v>
      </c>
      <c r="T2962" s="18" t="n">
        <v>84359.69</v>
      </c>
      <c r="U2962" s="18" t="n"/>
      <c r="V2962" s="18" t="n"/>
      <c r="W2962" s="18" t="n"/>
      <c r="X2962" s="35" t="n"/>
      <c r="Y2962" s="35" t="n">
        <v>6.34</v>
      </c>
    </row>
    <row r="2963">
      <c r="A2963" s="25" t="n">
        <v>43195</v>
      </c>
      <c r="B2963" s="18" t="n">
        <v>85209.66</v>
      </c>
      <c r="C2963" s="31" t="n"/>
      <c r="D2963" s="32" t="n"/>
      <c r="E2963" s="33" t="n">
        <v>2.0903</v>
      </c>
      <c r="F2963" t="inlineStr">
        <is>
          <t>Up</t>
        </is>
      </c>
      <c r="G2963" t="inlineStr">
        <is>
          <t>Down</t>
        </is>
      </c>
      <c r="H2963" t="inlineStr">
        <is>
          <t>EU_JD</t>
        </is>
      </c>
      <c r="I2963" t="inlineStr">
        <is>
          <t>2018-04</t>
        </is>
      </c>
      <c r="J2963" t="n">
        <v>1</v>
      </c>
      <c r="K2963" t="n">
        <v>1</v>
      </c>
      <c r="L2963" s="34">
        <f>IF($J2963=1,LN(B2964/B2963),"")</f>
        <v/>
      </c>
      <c r="M2963" s="34">
        <f>IF($K2963=1,INDEX(Mensal!$D$2:$D$245,MATCH($I2963,Mensal!$A$2:$A$245,0)),"")</f>
        <v/>
      </c>
      <c r="N2963" s="34">
        <f>IF($K2963=1,L2963-M2963,"")</f>
        <v/>
      </c>
      <c r="O2963" s="34" t="n">
        <v>0.00024583</v>
      </c>
      <c r="P2963" s="34">
        <f>IF($J2963=1,LN(1+O2963),"")</f>
        <v/>
      </c>
      <c r="Q2963" s="34">
        <f>IF($J2963=1,LN(R2964/R2963),"")</f>
        <v/>
      </c>
      <c r="R2963" s="32" t="n">
        <v>3.3196</v>
      </c>
      <c r="S2963" s="35" t="n">
        <v>6.33</v>
      </c>
      <c r="T2963" s="18" t="n">
        <v>85209.66</v>
      </c>
      <c r="U2963" s="18" t="n"/>
      <c r="V2963" s="18" t="n"/>
      <c r="W2963" s="18" t="n"/>
      <c r="X2963" s="35" t="n"/>
      <c r="Y2963" s="35" t="n">
        <v>6.33</v>
      </c>
    </row>
    <row r="2964">
      <c r="A2964" s="25" t="n">
        <v>43196</v>
      </c>
      <c r="B2964" s="18" t="n">
        <v>84820.42</v>
      </c>
      <c r="C2964" s="31" t="n"/>
      <c r="D2964" s="32" t="n"/>
      <c r="E2964" s="33" t="n">
        <v>2.07</v>
      </c>
      <c r="F2964" t="inlineStr">
        <is>
          <t>Up</t>
        </is>
      </c>
      <c r="G2964" t="inlineStr">
        <is>
          <t>Down</t>
        </is>
      </c>
      <c r="H2964" t="inlineStr">
        <is>
          <t>EU_JD</t>
        </is>
      </c>
      <c r="I2964" t="inlineStr">
        <is>
          <t>2018-04</t>
        </is>
      </c>
      <c r="J2964" t="n">
        <v>1</v>
      </c>
      <c r="K2964" t="n">
        <v>1</v>
      </c>
      <c r="L2964" s="34">
        <f>IF($J2964=1,LN(B2965/B2964),"")</f>
        <v/>
      </c>
      <c r="M2964" s="34">
        <f>IF($K2964=1,INDEX(Mensal!$D$2:$D$245,MATCH($I2964,Mensal!$A$2:$A$245,0)),"")</f>
        <v/>
      </c>
      <c r="N2964" s="34">
        <f>IF($K2964=1,L2964-M2964,"")</f>
        <v/>
      </c>
      <c r="O2964" s="34" t="n">
        <v>0.00024583</v>
      </c>
      <c r="P2964" s="34">
        <f>IF($J2964=1,LN(1+O2964),"")</f>
        <v/>
      </c>
      <c r="Q2964" s="34">
        <f>IF($J2964=1,LN(R2965/R2964),"")</f>
        <v/>
      </c>
      <c r="R2964" s="32" t="n">
        <v>3.3666</v>
      </c>
      <c r="S2964" s="35" t="n">
        <v>6.345</v>
      </c>
      <c r="T2964" s="18" t="n">
        <v>84820.42</v>
      </c>
      <c r="U2964" s="18" t="n"/>
      <c r="V2964" s="18" t="n"/>
      <c r="W2964" s="18" t="n"/>
      <c r="X2964" s="35" t="n"/>
      <c r="Y2964" s="35" t="n">
        <v>6.345</v>
      </c>
    </row>
    <row r="2965">
      <c r="A2965" s="25" t="n">
        <v>43199</v>
      </c>
      <c r="B2965" s="18" t="n">
        <v>83307.23</v>
      </c>
      <c r="C2965" s="31" t="n"/>
      <c r="D2965" s="32" t="n"/>
      <c r="E2965" s="33" t="n">
        <v>2.0473</v>
      </c>
      <c r="F2965" t="inlineStr">
        <is>
          <t>Up</t>
        </is>
      </c>
      <c r="G2965" t="inlineStr">
        <is>
          <t>Down</t>
        </is>
      </c>
      <c r="H2965" t="inlineStr">
        <is>
          <t>EU_JD</t>
        </is>
      </c>
      <c r="I2965" t="inlineStr">
        <is>
          <t>2018-04</t>
        </is>
      </c>
      <c r="J2965" t="n">
        <v>1</v>
      </c>
      <c r="K2965" t="n">
        <v>1</v>
      </c>
      <c r="L2965" s="34">
        <f>IF($J2965=1,LN(B2966/B2965),"")</f>
        <v/>
      </c>
      <c r="M2965" s="34">
        <f>IF($K2965=1,INDEX(Mensal!$D$2:$D$245,MATCH($I2965,Mensal!$A$2:$A$245,0)),"")</f>
        <v/>
      </c>
      <c r="N2965" s="34">
        <f>IF($K2965=1,L2965-M2965,"")</f>
        <v/>
      </c>
      <c r="O2965" s="34" t="n">
        <v>0.00024583</v>
      </c>
      <c r="P2965" s="34">
        <f>IF($J2965=1,LN(1+O2965),"")</f>
        <v/>
      </c>
      <c r="Q2965" s="34">
        <f>IF($J2965=1,LN(R2966/R2965),"")</f>
        <v/>
      </c>
      <c r="R2965" s="32" t="n">
        <v>3.3903</v>
      </c>
      <c r="S2965" s="35" t="n">
        <v>6.381</v>
      </c>
      <c r="T2965" s="18" t="n">
        <v>83307.23</v>
      </c>
      <c r="U2965" s="18" t="n"/>
      <c r="V2965" s="18" t="n"/>
      <c r="W2965" s="18" t="n"/>
      <c r="X2965" s="35" t="n"/>
      <c r="Y2965" s="35" t="n">
        <v>6.381</v>
      </c>
    </row>
    <row r="2966">
      <c r="A2966" s="25" t="n">
        <v>43200</v>
      </c>
      <c r="B2966" s="18" t="n">
        <v>84510.36</v>
      </c>
      <c r="C2966" s="31" t="n"/>
      <c r="D2966" s="32" t="n"/>
      <c r="E2966" s="33" t="n">
        <v>2.0235</v>
      </c>
      <c r="F2966" t="inlineStr">
        <is>
          <t>Up</t>
        </is>
      </c>
      <c r="G2966" t="inlineStr">
        <is>
          <t>Down</t>
        </is>
      </c>
      <c r="H2966" t="inlineStr">
        <is>
          <t>EU_JD</t>
        </is>
      </c>
      <c r="I2966" t="inlineStr">
        <is>
          <t>2018-04</t>
        </is>
      </c>
      <c r="J2966" t="n">
        <v>1</v>
      </c>
      <c r="K2966" t="n">
        <v>1</v>
      </c>
      <c r="L2966" s="34">
        <f>IF($J2966=1,LN(B2967/B2966),"")</f>
        <v/>
      </c>
      <c r="M2966" s="34">
        <f>IF($K2966=1,INDEX(Mensal!$D$2:$D$245,MATCH($I2966,Mensal!$A$2:$A$245,0)),"")</f>
        <v/>
      </c>
      <c r="N2966" s="34">
        <f>IF($K2966=1,L2966-M2966,"")</f>
        <v/>
      </c>
      <c r="O2966" s="34" t="n">
        <v>0.00024583</v>
      </c>
      <c r="P2966" s="34">
        <f>IF($J2966=1,LN(1+O2966),"")</f>
        <v/>
      </c>
      <c r="Q2966" s="34">
        <f>IF($J2966=1,LN(R2967/R2966),"")</f>
        <v/>
      </c>
      <c r="R2966" s="32" t="n">
        <v>3.4195</v>
      </c>
      <c r="S2966" s="35" t="n">
        <v>6.379</v>
      </c>
      <c r="T2966" s="18" t="n">
        <v>84510.36</v>
      </c>
      <c r="U2966" s="18" t="n"/>
      <c r="V2966" s="18" t="n"/>
      <c r="W2966" s="18" t="n"/>
      <c r="X2966" s="35" t="n"/>
      <c r="Y2966" s="35" t="n">
        <v>6.379</v>
      </c>
    </row>
    <row r="2967">
      <c r="A2967" s="25" t="n">
        <v>43201</v>
      </c>
      <c r="B2967" s="18" t="n">
        <v>85245.59</v>
      </c>
      <c r="C2967" s="31" t="n"/>
      <c r="D2967" s="32" t="n"/>
      <c r="E2967" s="33" t="n">
        <v>2.0011</v>
      </c>
      <c r="F2967" t="inlineStr">
        <is>
          <t>Up</t>
        </is>
      </c>
      <c r="G2967" t="inlineStr">
        <is>
          <t>Down</t>
        </is>
      </c>
      <c r="H2967" t="inlineStr">
        <is>
          <t>EU_JD</t>
        </is>
      </c>
      <c r="I2967" t="inlineStr">
        <is>
          <t>2018-04</t>
        </is>
      </c>
      <c r="J2967" t="n">
        <v>1</v>
      </c>
      <c r="K2967" t="n">
        <v>1</v>
      </c>
      <c r="L2967" s="34">
        <f>IF($J2967=1,LN(B2968/B2967),"")</f>
        <v/>
      </c>
      <c r="M2967" s="34">
        <f>IF($K2967=1,INDEX(Mensal!$D$2:$D$245,MATCH($I2967,Mensal!$A$2:$A$245,0)),"")</f>
        <v/>
      </c>
      <c r="N2967" s="34">
        <f>IF($K2967=1,L2967-M2967,"")</f>
        <v/>
      </c>
      <c r="O2967" s="34" t="n">
        <v>0.00024583</v>
      </c>
      <c r="P2967" s="34">
        <f>IF($J2967=1,LN(1+O2967),"")</f>
        <v/>
      </c>
      <c r="Q2967" s="34">
        <f>IF($J2967=1,LN(R2968/R2967),"")</f>
        <v/>
      </c>
      <c r="R2967" s="32" t="n">
        <v>3.4052</v>
      </c>
      <c r="S2967" s="35" t="n">
        <v>6.371</v>
      </c>
      <c r="T2967" s="18" t="n">
        <v>85245.59</v>
      </c>
      <c r="U2967" s="18" t="n"/>
      <c r="V2967" s="18" t="n"/>
      <c r="W2967" s="18" t="n"/>
      <c r="X2967" s="35" t="n"/>
      <c r="Y2967" s="35" t="n">
        <v>6.371</v>
      </c>
    </row>
    <row r="2968">
      <c r="A2968" s="25" t="n">
        <v>43202</v>
      </c>
      <c r="B2968" s="18" t="n">
        <v>85443.53</v>
      </c>
      <c r="C2968" s="31" t="n"/>
      <c r="D2968" s="32" t="n"/>
      <c r="E2968" s="33" t="n">
        <v>1.9773</v>
      </c>
      <c r="F2968" t="inlineStr">
        <is>
          <t>Up</t>
        </is>
      </c>
      <c r="G2968" t="inlineStr">
        <is>
          <t>Down</t>
        </is>
      </c>
      <c r="H2968" t="inlineStr">
        <is>
          <t>EU_JD</t>
        </is>
      </c>
      <c r="I2968" t="inlineStr">
        <is>
          <t>2018-04</t>
        </is>
      </c>
      <c r="J2968" t="n">
        <v>1</v>
      </c>
      <c r="K2968" t="n">
        <v>1</v>
      </c>
      <c r="L2968" s="34">
        <f>IF($J2968=1,LN(B2969/B2968),"")</f>
        <v/>
      </c>
      <c r="M2968" s="34">
        <f>IF($K2968=1,INDEX(Mensal!$D$2:$D$245,MATCH($I2968,Mensal!$A$2:$A$245,0)),"")</f>
        <v/>
      </c>
      <c r="N2968" s="34">
        <f>IF($K2968=1,L2968-M2968,"")</f>
        <v/>
      </c>
      <c r="O2968" s="34" t="n">
        <v>0.00024583</v>
      </c>
      <c r="P2968" s="34">
        <f>IF($J2968=1,LN(1+O2968),"")</f>
        <v/>
      </c>
      <c r="Q2968" s="34">
        <f>IF($J2968=1,LN(R2969/R2968),"")</f>
        <v/>
      </c>
      <c r="R2968" s="32" t="n">
        <v>3.3858</v>
      </c>
      <c r="S2968" s="35" t="n">
        <v>6.327</v>
      </c>
      <c r="T2968" s="18" t="n">
        <v>85443.53</v>
      </c>
      <c r="U2968" s="18" t="n"/>
      <c r="V2968" s="18" t="n"/>
      <c r="W2968" s="18" t="n"/>
      <c r="X2968" s="35" t="n"/>
      <c r="Y2968" s="35" t="n">
        <v>6.327</v>
      </c>
    </row>
    <row r="2969">
      <c r="A2969" s="25" t="n">
        <v>43203</v>
      </c>
      <c r="B2969" s="18" t="n">
        <v>84334.41</v>
      </c>
      <c r="C2969" s="31" t="n"/>
      <c r="D2969" s="32" t="n"/>
      <c r="E2969" s="33" t="n">
        <v>1.9527</v>
      </c>
      <c r="F2969" t="inlineStr">
        <is>
          <t>Up</t>
        </is>
      </c>
      <c r="G2969" t="inlineStr">
        <is>
          <t>Down</t>
        </is>
      </c>
      <c r="H2969" t="inlineStr">
        <is>
          <t>EU_JD</t>
        </is>
      </c>
      <c r="I2969" t="inlineStr">
        <is>
          <t>2018-04</t>
        </is>
      </c>
      <c r="J2969" t="n">
        <v>1</v>
      </c>
      <c r="K2969" t="n">
        <v>1</v>
      </c>
      <c r="L2969" s="34">
        <f>IF($J2969=1,LN(B2970/B2969),"")</f>
        <v/>
      </c>
      <c r="M2969" s="34">
        <f>IF($K2969=1,INDEX(Mensal!$D$2:$D$245,MATCH($I2969,Mensal!$A$2:$A$245,0)),"")</f>
        <v/>
      </c>
      <c r="N2969" s="34">
        <f>IF($K2969=1,L2969-M2969,"")</f>
        <v/>
      </c>
      <c r="O2969" s="34" t="n">
        <v>0.00024583</v>
      </c>
      <c r="P2969" s="34">
        <f>IF($J2969=1,LN(1+O2969),"")</f>
        <v/>
      </c>
      <c r="Q2969" s="34">
        <f>IF($J2969=1,LN(R2970/R2969),"")</f>
        <v/>
      </c>
      <c r="R2969" s="32" t="n">
        <v>3.4105</v>
      </c>
      <c r="S2969" s="35" t="n">
        <v>6.315</v>
      </c>
      <c r="T2969" s="18" t="n">
        <v>84334.41</v>
      </c>
      <c r="U2969" s="18" t="n"/>
      <c r="V2969" s="18" t="n"/>
      <c r="W2969" s="18" t="n"/>
      <c r="X2969" s="35" t="n"/>
      <c r="Y2969" s="35" t="n">
        <v>6.315</v>
      </c>
    </row>
    <row r="2970">
      <c r="A2970" s="25" t="n">
        <v>43206</v>
      </c>
      <c r="B2970" s="18" t="n">
        <v>82861.58</v>
      </c>
      <c r="C2970" s="31" t="n"/>
      <c r="D2970" s="32" t="n"/>
      <c r="E2970" s="33" t="n">
        <v>1.9235</v>
      </c>
      <c r="F2970" t="inlineStr">
        <is>
          <t>Up</t>
        </is>
      </c>
      <c r="G2970" t="inlineStr">
        <is>
          <t>Down</t>
        </is>
      </c>
      <c r="H2970" t="inlineStr">
        <is>
          <t>EU_JD</t>
        </is>
      </c>
      <c r="I2970" t="inlineStr">
        <is>
          <t>2018-04</t>
        </is>
      </c>
      <c r="J2970" t="n">
        <v>1</v>
      </c>
      <c r="K2970" t="n">
        <v>1</v>
      </c>
      <c r="L2970" s="34">
        <f>IF($J2970=1,LN(B2971/B2970),"")</f>
        <v/>
      </c>
      <c r="M2970" s="34">
        <f>IF($K2970=1,INDEX(Mensal!$D$2:$D$245,MATCH($I2970,Mensal!$A$2:$A$245,0)),"")</f>
        <v/>
      </c>
      <c r="N2970" s="34">
        <f>IF($K2970=1,L2970-M2970,"")</f>
        <v/>
      </c>
      <c r="O2970" s="34" t="n">
        <v>0.00024583</v>
      </c>
      <c r="P2970" s="34">
        <f>IF($J2970=1,LN(1+O2970),"")</f>
        <v/>
      </c>
      <c r="Q2970" s="34">
        <f>IF($J2970=1,LN(R2971/R2970),"")</f>
        <v/>
      </c>
      <c r="R2970" s="32" t="n">
        <v>3.4263</v>
      </c>
      <c r="S2970" s="35" t="n">
        <v>6.326</v>
      </c>
      <c r="T2970" s="18" t="n">
        <v>82861.58</v>
      </c>
      <c r="U2970" s="18" t="n"/>
      <c r="V2970" s="18" t="n"/>
      <c r="W2970" s="18" t="n"/>
      <c r="X2970" s="35" t="n"/>
      <c r="Y2970" s="35" t="n">
        <v>6.326</v>
      </c>
    </row>
    <row r="2971">
      <c r="A2971" s="25" t="n">
        <v>43207</v>
      </c>
      <c r="B2971" s="18" t="n">
        <v>84086.13</v>
      </c>
      <c r="C2971" s="31" t="n"/>
      <c r="D2971" s="32" t="n"/>
      <c r="E2971" s="33" t="n">
        <v>1.8902</v>
      </c>
      <c r="F2971" t="inlineStr">
        <is>
          <t>Up</t>
        </is>
      </c>
      <c r="G2971" t="inlineStr">
        <is>
          <t>Down</t>
        </is>
      </c>
      <c r="H2971" t="inlineStr">
        <is>
          <t>EU_JD</t>
        </is>
      </c>
      <c r="I2971" t="inlineStr">
        <is>
          <t>2018-04</t>
        </is>
      </c>
      <c r="J2971" t="n">
        <v>1</v>
      </c>
      <c r="K2971" t="n">
        <v>1</v>
      </c>
      <c r="L2971" s="34">
        <f>IF($J2971=1,LN(B2972/B2971),"")</f>
        <v/>
      </c>
      <c r="M2971" s="34">
        <f>IF($K2971=1,INDEX(Mensal!$D$2:$D$245,MATCH($I2971,Mensal!$A$2:$A$245,0)),"")</f>
        <v/>
      </c>
      <c r="N2971" s="34">
        <f>IF($K2971=1,L2971-M2971,"")</f>
        <v/>
      </c>
      <c r="O2971" s="34" t="n">
        <v>0.00024583</v>
      </c>
      <c r="P2971" s="34">
        <f>IF($J2971=1,LN(1+O2971),"")</f>
        <v/>
      </c>
      <c r="Q2971" s="34">
        <f>IF($J2971=1,LN(R2972/R2971),"")</f>
        <v/>
      </c>
      <c r="R2971" s="32" t="n">
        <v>3.4041</v>
      </c>
      <c r="S2971" s="35" t="n">
        <v>6.335</v>
      </c>
      <c r="T2971" s="18" t="n">
        <v>84086.13</v>
      </c>
      <c r="U2971" s="18" t="n"/>
      <c r="V2971" s="18" t="n"/>
      <c r="W2971" s="18" t="n"/>
      <c r="X2971" s="35" t="n"/>
      <c r="Y2971" s="35" t="n">
        <v>6.335</v>
      </c>
    </row>
    <row r="2972">
      <c r="A2972" s="25" t="n">
        <v>43208</v>
      </c>
      <c r="B2972" s="18" t="n">
        <v>85776.46000000001</v>
      </c>
      <c r="C2972" s="31" t="n"/>
      <c r="D2972" s="32" t="n"/>
      <c r="E2972" s="33" t="n">
        <v>1.8555</v>
      </c>
      <c r="F2972" t="inlineStr">
        <is>
          <t>Up</t>
        </is>
      </c>
      <c r="G2972" t="inlineStr">
        <is>
          <t>Down</t>
        </is>
      </c>
      <c r="H2972" t="inlineStr">
        <is>
          <t>EU_JD</t>
        </is>
      </c>
      <c r="I2972" t="inlineStr">
        <is>
          <t>2018-04</t>
        </is>
      </c>
      <c r="J2972" t="n">
        <v>1</v>
      </c>
      <c r="K2972" t="n">
        <v>1</v>
      </c>
      <c r="L2972" s="34">
        <f>IF($J2972=1,LN(B2973/B2972),"")</f>
        <v/>
      </c>
      <c r="M2972" s="34">
        <f>IF($K2972=1,INDEX(Mensal!$D$2:$D$245,MATCH($I2972,Mensal!$A$2:$A$245,0)),"")</f>
        <v/>
      </c>
      <c r="N2972" s="34">
        <f>IF($K2972=1,L2972-M2972,"")</f>
        <v/>
      </c>
      <c r="O2972" s="34" t="n">
        <v>0.00024583</v>
      </c>
      <c r="P2972" s="34">
        <f>IF($J2972=1,LN(1+O2972),"")</f>
        <v/>
      </c>
      <c r="Q2972" s="34">
        <f>IF($J2972=1,LN(R2973/R2972),"")</f>
        <v/>
      </c>
      <c r="R2972" s="32" t="n">
        <v>3.3844</v>
      </c>
      <c r="S2972" s="35" t="n">
        <v>6.327</v>
      </c>
      <c r="T2972" s="18" t="n">
        <v>85776.46000000001</v>
      </c>
      <c r="U2972" s="18" t="n"/>
      <c r="V2972" s="18" t="n"/>
      <c r="W2972" s="18" t="n"/>
      <c r="X2972" s="35" t="n"/>
      <c r="Y2972" s="35" t="n">
        <v>6.327</v>
      </c>
    </row>
    <row r="2973">
      <c r="A2973" s="25" t="n">
        <v>43209</v>
      </c>
      <c r="B2973" s="18" t="n">
        <v>85824.25999999999</v>
      </c>
      <c r="C2973" s="31" t="n"/>
      <c r="D2973" s="32" t="n"/>
      <c r="E2973" s="33" t="n">
        <v>1.8251</v>
      </c>
      <c r="F2973" t="inlineStr">
        <is>
          <t>Up</t>
        </is>
      </c>
      <c r="G2973" t="inlineStr">
        <is>
          <t>Down</t>
        </is>
      </c>
      <c r="H2973" t="inlineStr">
        <is>
          <t>EU_JD</t>
        </is>
      </c>
      <c r="I2973" t="inlineStr">
        <is>
          <t>2018-04</t>
        </is>
      </c>
      <c r="J2973" t="n">
        <v>1</v>
      </c>
      <c r="K2973" t="n">
        <v>1</v>
      </c>
      <c r="L2973" s="34">
        <f>IF($J2973=1,LN(B2974/B2973),"")</f>
        <v/>
      </c>
      <c r="M2973" s="34">
        <f>IF($K2973=1,INDEX(Mensal!$D$2:$D$245,MATCH($I2973,Mensal!$A$2:$A$245,0)),"")</f>
        <v/>
      </c>
      <c r="N2973" s="34">
        <f>IF($K2973=1,L2973-M2973,"")</f>
        <v/>
      </c>
      <c r="O2973" s="34" t="n">
        <v>0.00024583</v>
      </c>
      <c r="P2973" s="34">
        <f>IF($J2973=1,LN(1+O2973),"")</f>
        <v/>
      </c>
      <c r="Q2973" s="34">
        <f>IF($J2973=1,LN(R2974/R2973),"")</f>
        <v/>
      </c>
      <c r="R2973" s="32" t="n">
        <v>3.3977</v>
      </c>
      <c r="S2973" s="35" t="n">
        <v>6.357</v>
      </c>
      <c r="T2973" s="18" t="n">
        <v>85824.25999999999</v>
      </c>
      <c r="U2973" s="18" t="n"/>
      <c r="V2973" s="18" t="n"/>
      <c r="W2973" s="18" t="n"/>
      <c r="X2973" s="35" t="n"/>
      <c r="Y2973" s="35" t="n">
        <v>6.357</v>
      </c>
    </row>
    <row r="2974">
      <c r="A2974" s="25" t="n">
        <v>43210</v>
      </c>
      <c r="B2974" s="18" t="n">
        <v>85550.09</v>
      </c>
      <c r="C2974" s="31" t="n"/>
      <c r="D2974" s="32" t="n"/>
      <c r="E2974" s="33" t="n">
        <v>1.7962</v>
      </c>
      <c r="F2974" t="inlineStr">
        <is>
          <t>Up</t>
        </is>
      </c>
      <c r="G2974" t="inlineStr">
        <is>
          <t>Down</t>
        </is>
      </c>
      <c r="H2974" t="inlineStr">
        <is>
          <t>EU_JD</t>
        </is>
      </c>
      <c r="I2974" t="inlineStr">
        <is>
          <t>2018-04</t>
        </is>
      </c>
      <c r="J2974" t="n">
        <v>1</v>
      </c>
      <c r="K2974" t="n">
        <v>1</v>
      </c>
      <c r="L2974" s="34">
        <f>IF($J2974=1,LN(B2975/B2974),"")</f>
        <v/>
      </c>
      <c r="M2974" s="34">
        <f>IF($K2974=1,INDEX(Mensal!$D$2:$D$245,MATCH($I2974,Mensal!$A$2:$A$245,0)),"")</f>
        <v/>
      </c>
      <c r="N2974" s="34">
        <f>IF($K2974=1,L2974-M2974,"")</f>
        <v/>
      </c>
      <c r="O2974" s="34" t="n">
        <v>0.00024583</v>
      </c>
      <c r="P2974" s="34">
        <f>IF($J2974=1,LN(1+O2974),"")</f>
        <v/>
      </c>
      <c r="Q2974" s="34">
        <f>IF($J2974=1,LN(R2975/R2974),"")</f>
        <v/>
      </c>
      <c r="R2974" s="32" t="n">
        <v>3.4101</v>
      </c>
      <c r="S2974" s="35" t="n">
        <v>6.335</v>
      </c>
      <c r="T2974" s="18" t="n">
        <v>85550.09</v>
      </c>
      <c r="U2974" s="18" t="n"/>
      <c r="V2974" s="18" t="n"/>
      <c r="W2974" s="18" t="n"/>
      <c r="X2974" s="35" t="n"/>
      <c r="Y2974" s="35" t="n">
        <v>6.335</v>
      </c>
    </row>
    <row r="2975">
      <c r="A2975" s="25" t="n">
        <v>43213</v>
      </c>
      <c r="B2975" s="18" t="n">
        <v>85602.5</v>
      </c>
      <c r="C2975" s="31" t="n"/>
      <c r="D2975" s="32" t="n"/>
      <c r="E2975" s="33" t="n">
        <v>1.7645</v>
      </c>
      <c r="F2975" t="inlineStr">
        <is>
          <t>Up</t>
        </is>
      </c>
      <c r="G2975" t="inlineStr">
        <is>
          <t>Down</t>
        </is>
      </c>
      <c r="H2975" t="inlineStr">
        <is>
          <t>EU_JD</t>
        </is>
      </c>
      <c r="I2975" t="inlineStr">
        <is>
          <t>2018-04</t>
        </is>
      </c>
      <c r="J2975" t="n">
        <v>1</v>
      </c>
      <c r="K2975" t="n">
        <v>1</v>
      </c>
      <c r="L2975" s="34">
        <f>IF($J2975=1,LN(B2976/B2975),"")</f>
        <v/>
      </c>
      <c r="M2975" s="34">
        <f>IF($K2975=1,INDEX(Mensal!$D$2:$D$245,MATCH($I2975,Mensal!$A$2:$A$245,0)),"")</f>
        <v/>
      </c>
      <c r="N2975" s="34">
        <f>IF($K2975=1,L2975-M2975,"")</f>
        <v/>
      </c>
      <c r="O2975" s="34" t="n">
        <v>0.00024583</v>
      </c>
      <c r="P2975" s="34">
        <f>IF($J2975=1,LN(1+O2975),"")</f>
        <v/>
      </c>
      <c r="Q2975" s="34">
        <f>IF($J2975=1,LN(R2976/R2975),"")</f>
        <v/>
      </c>
      <c r="R2975" s="32" t="n">
        <v>3.4421</v>
      </c>
      <c r="S2975" s="35" t="n">
        <v>6.355</v>
      </c>
      <c r="T2975" s="18" t="n">
        <v>85602.5</v>
      </c>
      <c r="U2975" s="18" t="n"/>
      <c r="V2975" s="18" t="n"/>
      <c r="W2975" s="18" t="n"/>
      <c r="X2975" s="35" t="n"/>
      <c r="Y2975" s="35" t="n">
        <v>6.355</v>
      </c>
    </row>
    <row r="2976">
      <c r="A2976" s="25" t="n">
        <v>43214</v>
      </c>
      <c r="B2976" s="18" t="n">
        <v>85469.08</v>
      </c>
      <c r="C2976" s="31" t="n"/>
      <c r="D2976" s="32" t="n"/>
      <c r="E2976" s="33" t="n">
        <v>1.7302</v>
      </c>
      <c r="F2976" t="inlineStr">
        <is>
          <t>Up</t>
        </is>
      </c>
      <c r="G2976" t="inlineStr">
        <is>
          <t>Down</t>
        </is>
      </c>
      <c r="H2976" t="inlineStr">
        <is>
          <t>EU_JD</t>
        </is>
      </c>
      <c r="I2976" t="inlineStr">
        <is>
          <t>2018-04</t>
        </is>
      </c>
      <c r="J2976" t="n">
        <v>1</v>
      </c>
      <c r="K2976" t="n">
        <v>1</v>
      </c>
      <c r="L2976" s="34">
        <f>IF($J2976=1,LN(B2977/B2976),"")</f>
        <v/>
      </c>
      <c r="M2976" s="34">
        <f>IF($K2976=1,INDEX(Mensal!$D$2:$D$245,MATCH($I2976,Mensal!$A$2:$A$245,0)),"")</f>
        <v/>
      </c>
      <c r="N2976" s="34">
        <f>IF($K2976=1,L2976-M2976,"")</f>
        <v/>
      </c>
      <c r="O2976" s="34" t="n">
        <v>0.00024583</v>
      </c>
      <c r="P2976" s="34">
        <f>IF($J2976=1,LN(1+O2976),"")</f>
        <v/>
      </c>
      <c r="Q2976" s="34">
        <f>IF($J2976=1,LN(R2977/R2976),"")</f>
        <v/>
      </c>
      <c r="R2976" s="32" t="n">
        <v>3.4667</v>
      </c>
      <c r="S2976" s="35" t="n">
        <v>6.364</v>
      </c>
      <c r="T2976" s="18" t="n">
        <v>85469.08</v>
      </c>
      <c r="U2976" s="18" t="n"/>
      <c r="V2976" s="18" t="n"/>
      <c r="W2976" s="18" t="n"/>
      <c r="X2976" s="35" t="n"/>
      <c r="Y2976" s="35" t="n">
        <v>6.364</v>
      </c>
    </row>
    <row r="2977">
      <c r="A2977" s="25" t="n">
        <v>43215</v>
      </c>
      <c r="B2977" s="18" t="n">
        <v>85044.39</v>
      </c>
      <c r="C2977" s="31" t="n"/>
      <c r="D2977" s="32" t="n"/>
      <c r="E2977" s="33" t="n">
        <v>1.6985</v>
      </c>
      <c r="F2977" t="inlineStr">
        <is>
          <t>Up</t>
        </is>
      </c>
      <c r="G2977" t="inlineStr">
        <is>
          <t>Down</t>
        </is>
      </c>
      <c r="H2977" t="inlineStr">
        <is>
          <t>EU_JD</t>
        </is>
      </c>
      <c r="I2977" t="inlineStr">
        <is>
          <t>2018-04</t>
        </is>
      </c>
      <c r="J2977" t="n">
        <v>1</v>
      </c>
      <c r="K2977" t="n">
        <v>1</v>
      </c>
      <c r="L2977" s="34">
        <f>IF($J2977=1,LN(B2978/B2977),"")</f>
        <v/>
      </c>
      <c r="M2977" s="34">
        <f>IF($K2977=1,INDEX(Mensal!$D$2:$D$245,MATCH($I2977,Mensal!$A$2:$A$245,0)),"")</f>
        <v/>
      </c>
      <c r="N2977" s="34">
        <f>IF($K2977=1,L2977-M2977,"")</f>
        <v/>
      </c>
      <c r="O2977" s="34" t="n">
        <v>0.00024583</v>
      </c>
      <c r="P2977" s="34">
        <f>IF($J2977=1,LN(1+O2977),"")</f>
        <v/>
      </c>
      <c r="Q2977" s="34">
        <f>IF($J2977=1,LN(R2978/R2977),"")</f>
        <v/>
      </c>
      <c r="R2977" s="32" t="n">
        <v>3.504</v>
      </c>
      <c r="S2977" s="35" t="n">
        <v>6.387</v>
      </c>
      <c r="T2977" s="18" t="n">
        <v>85044.39</v>
      </c>
      <c r="U2977" s="18" t="n"/>
      <c r="V2977" s="18" t="n"/>
      <c r="W2977" s="18" t="n"/>
      <c r="X2977" s="35" t="n"/>
      <c r="Y2977" s="35" t="n">
        <v>6.387</v>
      </c>
    </row>
    <row r="2978">
      <c r="A2978" s="25" t="n">
        <v>43216</v>
      </c>
      <c r="B2978" s="18" t="n">
        <v>86383.2</v>
      </c>
      <c r="C2978" s="31" t="n"/>
      <c r="D2978" s="32" t="n"/>
      <c r="E2978" s="33" t="n">
        <v>1.6707</v>
      </c>
      <c r="F2978" t="inlineStr">
        <is>
          <t>Up</t>
        </is>
      </c>
      <c r="G2978" t="inlineStr">
        <is>
          <t>Down</t>
        </is>
      </c>
      <c r="H2978" t="inlineStr">
        <is>
          <t>EU_JD</t>
        </is>
      </c>
      <c r="I2978" t="inlineStr">
        <is>
          <t>2018-04</t>
        </is>
      </c>
      <c r="J2978" t="n">
        <v>1</v>
      </c>
      <c r="K2978" t="n">
        <v>1</v>
      </c>
      <c r="L2978" s="34">
        <f>IF($J2978=1,LN(B2979/B2978),"")</f>
        <v/>
      </c>
      <c r="M2978" s="34">
        <f>IF($K2978=1,INDEX(Mensal!$D$2:$D$245,MATCH($I2978,Mensal!$A$2:$A$245,0)),"")</f>
        <v/>
      </c>
      <c r="N2978" s="34">
        <f>IF($K2978=1,L2978-M2978,"")</f>
        <v/>
      </c>
      <c r="O2978" s="34" t="n">
        <v>0.00024583</v>
      </c>
      <c r="P2978" s="34">
        <f>IF($J2978=1,LN(1+O2978),"")</f>
        <v/>
      </c>
      <c r="Q2978" s="34">
        <f>IF($J2978=1,LN(R2979/R2978),"")</f>
        <v/>
      </c>
      <c r="R2978" s="32" t="n">
        <v>3.4977</v>
      </c>
      <c r="S2978" s="35" t="n">
        <v>6.38</v>
      </c>
      <c r="T2978" s="18" t="n">
        <v>86383.2</v>
      </c>
      <c r="U2978" s="18" t="n"/>
      <c r="V2978" s="18" t="n"/>
      <c r="W2978" s="18" t="n"/>
      <c r="X2978" s="35" t="n"/>
      <c r="Y2978" s="35" t="n">
        <v>6.38</v>
      </c>
    </row>
    <row r="2979">
      <c r="A2979" s="25" t="n">
        <v>43217</v>
      </c>
      <c r="B2979" s="18" t="n">
        <v>86444.66</v>
      </c>
      <c r="C2979" s="31" t="n"/>
      <c r="D2979" s="32" t="n"/>
      <c r="E2979" s="33" t="n">
        <v>1.6522</v>
      </c>
      <c r="F2979" t="inlineStr">
        <is>
          <t>Up</t>
        </is>
      </c>
      <c r="G2979" t="inlineStr">
        <is>
          <t>Down</t>
        </is>
      </c>
      <c r="H2979" t="inlineStr">
        <is>
          <t>EU_JD</t>
        </is>
      </c>
      <c r="I2979" t="inlineStr">
        <is>
          <t>2018-04</t>
        </is>
      </c>
      <c r="J2979" t="n">
        <v>1</v>
      </c>
      <c r="K2979" t="n">
        <v>1</v>
      </c>
      <c r="L2979" s="34">
        <f>IF($J2979=1,LN(B2980/B2979),"")</f>
        <v/>
      </c>
      <c r="M2979" s="34">
        <f>IF($K2979=1,INDEX(Mensal!$D$2:$D$245,MATCH($I2979,Mensal!$A$2:$A$245,0)),"")</f>
        <v/>
      </c>
      <c r="N2979" s="34">
        <f>IF($K2979=1,L2979-M2979,"")</f>
        <v/>
      </c>
      <c r="O2979" s="34" t="n">
        <v>0.00024583</v>
      </c>
      <c r="P2979" s="34">
        <f>IF($J2979=1,LN(1+O2979),"")</f>
        <v/>
      </c>
      <c r="Q2979" s="34">
        <f>IF($J2979=1,LN(R2980/R2979),"")</f>
        <v/>
      </c>
      <c r="R2979" s="32" t="n">
        <v>3.4676</v>
      </c>
      <c r="S2979" s="35" t="n">
        <v>6.344</v>
      </c>
      <c r="T2979" s="18" t="n">
        <v>86444.66</v>
      </c>
      <c r="U2979" s="18" t="n"/>
      <c r="V2979" s="18" t="n"/>
      <c r="W2979" s="18" t="n"/>
      <c r="X2979" s="35" t="n"/>
      <c r="Y2979" s="35" t="n">
        <v>6.344</v>
      </c>
    </row>
    <row r="2980">
      <c r="A2980" s="25" t="n">
        <v>43220</v>
      </c>
      <c r="B2980" s="18" t="n">
        <v>86115.5</v>
      </c>
      <c r="C2980" s="31" t="n"/>
      <c r="D2980" s="32" t="n"/>
      <c r="E2980" s="33" t="n">
        <v>1.6354</v>
      </c>
      <c r="F2980" t="inlineStr">
        <is>
          <t>Up</t>
        </is>
      </c>
      <c r="G2980" t="inlineStr">
        <is>
          <t>Down</t>
        </is>
      </c>
      <c r="H2980" t="inlineStr">
        <is>
          <t>EU_JD</t>
        </is>
      </c>
      <c r="I2980" t="inlineStr">
        <is>
          <t>2018-04</t>
        </is>
      </c>
      <c r="J2980" t="n">
        <v>1</v>
      </c>
      <c r="K2980" t="n">
        <v>1</v>
      </c>
      <c r="L2980" s="34">
        <f>IF($J2980=1,LN(B2981/B2980),"")</f>
        <v/>
      </c>
      <c r="M2980" s="34">
        <f>IF($K2980=1,INDEX(Mensal!$D$2:$D$245,MATCH($I2980,Mensal!$A$2:$A$245,0)),"")</f>
        <v/>
      </c>
      <c r="N2980" s="34">
        <f>IF($K2980=1,L2980-M2980,"")</f>
        <v/>
      </c>
      <c r="O2980" s="34" t="n">
        <v>0.00024583</v>
      </c>
      <c r="P2980" s="34">
        <f>IF($J2980=1,LN(1+O2980),"")</f>
        <v/>
      </c>
      <c r="Q2980" s="34">
        <f>IF($J2980=1,LN(R2981/R2980),"")</f>
        <v/>
      </c>
      <c r="R2980" s="32" t="n">
        <v>3.4811</v>
      </c>
      <c r="S2980" s="35" t="n">
        <v>6.378</v>
      </c>
      <c r="T2980" s="18" t="n">
        <v>86115.5</v>
      </c>
      <c r="U2980" s="18" t="n"/>
      <c r="V2980" s="18" t="n"/>
      <c r="W2980" s="18" t="n"/>
      <c r="X2980" s="35" t="n"/>
      <c r="Y2980" s="35" t="n">
        <v>6.378</v>
      </c>
    </row>
    <row r="2981">
      <c r="A2981" s="25" t="n">
        <v>43222</v>
      </c>
      <c r="B2981" s="18" t="n">
        <v>84547.09</v>
      </c>
      <c r="C2981" s="31" t="n"/>
      <c r="D2981" s="32" t="n"/>
      <c r="E2981" s="33" t="n">
        <v>1.6194</v>
      </c>
      <c r="F2981" t="inlineStr">
        <is>
          <t>Up</t>
        </is>
      </c>
      <c r="G2981" t="inlineStr">
        <is>
          <t>Down</t>
        </is>
      </c>
      <c r="H2981" t="inlineStr">
        <is>
          <t>EU_JD</t>
        </is>
      </c>
      <c r="I2981" t="inlineStr">
        <is>
          <t>2018-05</t>
        </is>
      </c>
      <c r="J2981" t="n">
        <v>1</v>
      </c>
      <c r="K2981" t="n">
        <v>1</v>
      </c>
      <c r="L2981" s="34">
        <f>IF($J2981=1,LN(B2982/B2981),"")</f>
        <v/>
      </c>
      <c r="M2981" s="34">
        <f>IF($K2981=1,INDEX(Mensal!$D$2:$D$245,MATCH($I2981,Mensal!$A$2:$A$245,0)),"")</f>
        <v/>
      </c>
      <c r="N2981" s="34">
        <f>IF($K2981=1,L2981-M2981,"")</f>
        <v/>
      </c>
      <c r="O2981" s="34" t="n">
        <v>0.00024583</v>
      </c>
      <c r="P2981" s="34">
        <f>IF($J2981=1,LN(1+O2981),"")</f>
        <v/>
      </c>
      <c r="Q2981" s="34">
        <f>IF($J2981=1,LN(R2982/R2981),"")</f>
        <v/>
      </c>
      <c r="R2981" s="32" t="n">
        <v>3.5424</v>
      </c>
      <c r="S2981" s="35" t="n">
        <v>6.408</v>
      </c>
      <c r="T2981" s="18" t="n">
        <v>84547.09</v>
      </c>
      <c r="U2981" s="18" t="n"/>
      <c r="V2981" s="18" t="n"/>
      <c r="W2981" s="18" t="n"/>
      <c r="X2981" s="35" t="n"/>
      <c r="Y2981" s="35" t="n">
        <v>6.408</v>
      </c>
    </row>
    <row r="2982">
      <c r="A2982" s="25" t="n">
        <v>43223</v>
      </c>
      <c r="B2982" s="18" t="n">
        <v>83288.14</v>
      </c>
      <c r="C2982" s="31" t="n"/>
      <c r="D2982" s="32" t="n"/>
      <c r="E2982" s="33" t="n">
        <v>1.6014</v>
      </c>
      <c r="F2982" t="inlineStr">
        <is>
          <t>Up</t>
        </is>
      </c>
      <c r="G2982" t="inlineStr">
        <is>
          <t>Down</t>
        </is>
      </c>
      <c r="H2982" t="inlineStr">
        <is>
          <t>EU_JD</t>
        </is>
      </c>
      <c r="I2982" t="inlineStr">
        <is>
          <t>2018-05</t>
        </is>
      </c>
      <c r="J2982" t="n">
        <v>1</v>
      </c>
      <c r="K2982" t="n">
        <v>1</v>
      </c>
      <c r="L2982" s="34">
        <f>IF($J2982=1,LN(B2983/B2982),"")</f>
        <v/>
      </c>
      <c r="M2982" s="34">
        <f>IF($K2982=1,INDEX(Mensal!$D$2:$D$245,MATCH($I2982,Mensal!$A$2:$A$245,0)),"")</f>
        <v/>
      </c>
      <c r="N2982" s="34">
        <f>IF($K2982=1,L2982-M2982,"")</f>
        <v/>
      </c>
      <c r="O2982" s="34" t="n">
        <v>0.00024583</v>
      </c>
      <c r="P2982" s="34">
        <f>IF($J2982=1,LN(1+O2982),"")</f>
        <v/>
      </c>
      <c r="Q2982" s="34">
        <f>IF($J2982=1,LN(R2983/R2982),"")</f>
        <v/>
      </c>
      <c r="R2982" s="32" t="n">
        <v>3.5484</v>
      </c>
      <c r="S2982" s="35" t="n">
        <v>6.448</v>
      </c>
      <c r="T2982" s="18" t="n">
        <v>83288.14</v>
      </c>
      <c r="U2982" s="18" t="n"/>
      <c r="V2982" s="18" t="n"/>
      <c r="W2982" s="18" t="n"/>
      <c r="X2982" s="35" t="n"/>
      <c r="Y2982" s="35" t="n">
        <v>6.448</v>
      </c>
    </row>
    <row r="2983">
      <c r="A2983" s="25" t="n">
        <v>43224</v>
      </c>
      <c r="B2983" s="18" t="n">
        <v>83118.03</v>
      </c>
      <c r="C2983" s="31" t="n"/>
      <c r="D2983" s="32" t="n"/>
      <c r="E2983" s="33" t="n">
        <v>1.5814</v>
      </c>
      <c r="F2983" t="inlineStr">
        <is>
          <t>Up</t>
        </is>
      </c>
      <c r="G2983" t="inlineStr">
        <is>
          <t>Down</t>
        </is>
      </c>
      <c r="H2983" t="inlineStr">
        <is>
          <t>EU_JD</t>
        </is>
      </c>
      <c r="I2983" t="inlineStr">
        <is>
          <t>2018-05</t>
        </is>
      </c>
      <c r="J2983" t="n">
        <v>1</v>
      </c>
      <c r="K2983" t="n">
        <v>1</v>
      </c>
      <c r="L2983" s="34">
        <f>IF($J2983=1,LN(B2984/B2983),"")</f>
        <v/>
      </c>
      <c r="M2983" s="34">
        <f>IF($K2983=1,INDEX(Mensal!$D$2:$D$245,MATCH($I2983,Mensal!$A$2:$A$245,0)),"")</f>
        <v/>
      </c>
      <c r="N2983" s="34">
        <f>IF($K2983=1,L2983-M2983,"")</f>
        <v/>
      </c>
      <c r="O2983" s="34" t="n">
        <v>0.00024583</v>
      </c>
      <c r="P2983" s="34">
        <f>IF($J2983=1,LN(1+O2983),"")</f>
        <v/>
      </c>
      <c r="Q2983" s="34">
        <f>IF($J2983=1,LN(R2984/R2983),"")</f>
        <v/>
      </c>
      <c r="R2983" s="32" t="n">
        <v>3.5308</v>
      </c>
      <c r="S2983" s="35" t="n">
        <v>6.461</v>
      </c>
      <c r="T2983" s="18" t="n">
        <v>83118.03</v>
      </c>
      <c r="U2983" s="18" t="n"/>
      <c r="V2983" s="18" t="n"/>
      <c r="W2983" s="18" t="n"/>
      <c r="X2983" s="35" t="n"/>
      <c r="Y2983" s="35" t="n">
        <v>6.461</v>
      </c>
    </row>
    <row r="2984">
      <c r="A2984" s="25" t="n">
        <v>43227</v>
      </c>
      <c r="B2984" s="18" t="n">
        <v>82714.42999999999</v>
      </c>
      <c r="C2984" s="31" t="n"/>
      <c r="D2984" s="32" t="n"/>
      <c r="E2984" s="33" t="n">
        <v>1.5313</v>
      </c>
      <c r="F2984" t="inlineStr">
        <is>
          <t>Up</t>
        </is>
      </c>
      <c r="G2984" t="inlineStr">
        <is>
          <t>Down</t>
        </is>
      </c>
      <c r="H2984" t="inlineStr">
        <is>
          <t>EU_JD</t>
        </is>
      </c>
      <c r="I2984" t="inlineStr">
        <is>
          <t>2018-05</t>
        </is>
      </c>
      <c r="J2984" t="n">
        <v>1</v>
      </c>
      <c r="K2984" t="n">
        <v>1</v>
      </c>
      <c r="L2984" s="34">
        <f>IF($J2984=1,LN(B2985/B2984),"")</f>
        <v/>
      </c>
      <c r="M2984" s="34">
        <f>IF($K2984=1,INDEX(Mensal!$D$2:$D$245,MATCH($I2984,Mensal!$A$2:$A$245,0)),"")</f>
        <v/>
      </c>
      <c r="N2984" s="34">
        <f>IF($K2984=1,L2984-M2984,"")</f>
        <v/>
      </c>
      <c r="O2984" s="34" t="n">
        <v>0.00024583</v>
      </c>
      <c r="P2984" s="34">
        <f>IF($J2984=1,LN(1+O2984),"")</f>
        <v/>
      </c>
      <c r="Q2984" s="34">
        <f>IF($J2984=1,LN(R2985/R2984),"")</f>
        <v/>
      </c>
      <c r="R2984" s="32" t="n">
        <v>3.5458</v>
      </c>
      <c r="S2984" s="35" t="n">
        <v>6.49</v>
      </c>
      <c r="T2984" s="18" t="n">
        <v>82714.42999999999</v>
      </c>
      <c r="U2984" s="18" t="n"/>
      <c r="V2984" s="18" t="n"/>
      <c r="W2984" s="18" t="n"/>
      <c r="X2984" s="35" t="n"/>
      <c r="Y2984" s="35" t="n">
        <v>6.49</v>
      </c>
    </row>
    <row r="2985">
      <c r="A2985" s="25" t="n">
        <v>43228</v>
      </c>
      <c r="B2985" s="18" t="n">
        <v>82956.05</v>
      </c>
      <c r="C2985" s="31" t="n"/>
      <c r="D2985" s="32" t="n"/>
      <c r="E2985" s="33" t="n">
        <v>1.4764</v>
      </c>
      <c r="F2985" t="inlineStr">
        <is>
          <t>Up</t>
        </is>
      </c>
      <c r="G2985" t="inlineStr">
        <is>
          <t>Down</t>
        </is>
      </c>
      <c r="H2985" t="inlineStr">
        <is>
          <t>EU_JD</t>
        </is>
      </c>
      <c r="I2985" t="inlineStr">
        <is>
          <t>2018-05</t>
        </is>
      </c>
      <c r="J2985" t="n">
        <v>1</v>
      </c>
      <c r="K2985" t="n">
        <v>1</v>
      </c>
      <c r="L2985" s="34">
        <f>IF($J2985=1,LN(B2986/B2985),"")</f>
        <v/>
      </c>
      <c r="M2985" s="34">
        <f>IF($K2985=1,INDEX(Mensal!$D$2:$D$245,MATCH($I2985,Mensal!$A$2:$A$245,0)),"")</f>
        <v/>
      </c>
      <c r="N2985" s="34">
        <f>IF($K2985=1,L2985-M2985,"")</f>
        <v/>
      </c>
      <c r="O2985" s="34" t="n">
        <v>0.00024583</v>
      </c>
      <c r="P2985" s="34">
        <f>IF($J2985=1,LN(1+O2985),"")</f>
        <v/>
      </c>
      <c r="Q2985" s="34">
        <f>IF($J2985=1,LN(R2986/R2985),"")</f>
        <v/>
      </c>
      <c r="R2985" s="32" t="n">
        <v>3.5788</v>
      </c>
      <c r="S2985" s="35" t="n">
        <v>6.575</v>
      </c>
      <c r="T2985" s="18" t="n">
        <v>82956.05</v>
      </c>
      <c r="U2985" s="18" t="n"/>
      <c r="V2985" s="18" t="n"/>
      <c r="W2985" s="18" t="n"/>
      <c r="X2985" s="35" t="n"/>
      <c r="Y2985" s="35" t="n">
        <v>6.575</v>
      </c>
    </row>
    <row r="2986">
      <c r="A2986" s="25" t="n">
        <v>43229</v>
      </c>
      <c r="B2986" s="18" t="n">
        <v>84265.49000000001</v>
      </c>
      <c r="C2986" s="31" t="n"/>
      <c r="D2986" s="32" t="n"/>
      <c r="E2986" s="33" t="n">
        <v>1.4267</v>
      </c>
      <c r="F2986" t="inlineStr">
        <is>
          <t>Up</t>
        </is>
      </c>
      <c r="G2986" t="inlineStr">
        <is>
          <t>Down</t>
        </is>
      </c>
      <c r="H2986" t="inlineStr">
        <is>
          <t>EU_JD</t>
        </is>
      </c>
      <c r="I2986" t="inlineStr">
        <is>
          <t>2018-05</t>
        </is>
      </c>
      <c r="J2986" t="n">
        <v>1</v>
      </c>
      <c r="K2986" t="n">
        <v>1</v>
      </c>
      <c r="L2986" s="34">
        <f>IF($J2986=1,LN(B2987/B2986),"")</f>
        <v/>
      </c>
      <c r="M2986" s="34">
        <f>IF($K2986=1,INDEX(Mensal!$D$2:$D$245,MATCH($I2986,Mensal!$A$2:$A$245,0)),"")</f>
        <v/>
      </c>
      <c r="N2986" s="34">
        <f>IF($K2986=1,L2986-M2986,"")</f>
        <v/>
      </c>
      <c r="O2986" s="34" t="n">
        <v>0.00024583</v>
      </c>
      <c r="P2986" s="34">
        <f>IF($J2986=1,LN(1+O2986),"")</f>
        <v/>
      </c>
      <c r="Q2986" s="34">
        <f>IF($J2986=1,LN(R2987/R2986),"")</f>
        <v/>
      </c>
      <c r="R2986" s="32" t="n">
        <v>3.5943</v>
      </c>
      <c r="S2986" s="35" t="n">
        <v>6.567</v>
      </c>
      <c r="T2986" s="18" t="n">
        <v>84265.49000000001</v>
      </c>
      <c r="U2986" s="18" t="n"/>
      <c r="V2986" s="18" t="n"/>
      <c r="W2986" s="18" t="n"/>
      <c r="X2986" s="35" t="n"/>
      <c r="Y2986" s="35" t="n">
        <v>6.567</v>
      </c>
    </row>
    <row r="2987">
      <c r="A2987" s="25" t="n">
        <v>43230</v>
      </c>
      <c r="B2987" s="18" t="n">
        <v>85861.2</v>
      </c>
      <c r="C2987" s="31" t="n"/>
      <c r="D2987" s="32" t="n"/>
      <c r="E2987" s="33" t="n">
        <v>1.3785</v>
      </c>
      <c r="F2987" t="inlineStr">
        <is>
          <t>Up</t>
        </is>
      </c>
      <c r="G2987" t="inlineStr">
        <is>
          <t>Down</t>
        </is>
      </c>
      <c r="H2987" t="inlineStr">
        <is>
          <t>EU_JD</t>
        </is>
      </c>
      <c r="I2987" t="inlineStr">
        <is>
          <t>2018-05</t>
        </is>
      </c>
      <c r="J2987" t="n">
        <v>1</v>
      </c>
      <c r="K2987" t="n">
        <v>1</v>
      </c>
      <c r="L2987" s="34">
        <f>IF($J2987=1,LN(B2988/B2987),"")</f>
        <v/>
      </c>
      <c r="M2987" s="34">
        <f>IF($K2987=1,INDEX(Mensal!$D$2:$D$245,MATCH($I2987,Mensal!$A$2:$A$245,0)),"")</f>
        <v/>
      </c>
      <c r="N2987" s="34">
        <f>IF($K2987=1,L2987-M2987,"")</f>
        <v/>
      </c>
      <c r="O2987" s="34" t="n">
        <v>0.00024583</v>
      </c>
      <c r="P2987" s="34">
        <f>IF($J2987=1,LN(1+O2987),"")</f>
        <v/>
      </c>
      <c r="Q2987" s="34">
        <f>IF($J2987=1,LN(R2988/R2987),"")</f>
        <v/>
      </c>
      <c r="R2987" s="32" t="n">
        <v>3.5566</v>
      </c>
      <c r="S2987" s="35" t="n">
        <v>6.524</v>
      </c>
      <c r="T2987" s="18" t="n">
        <v>85861.2</v>
      </c>
      <c r="U2987" s="18" t="n"/>
      <c r="V2987" s="18" t="n"/>
      <c r="W2987" s="18" t="n"/>
      <c r="X2987" s="35" t="n"/>
      <c r="Y2987" s="35" t="n">
        <v>6.524</v>
      </c>
    </row>
    <row r="2988">
      <c r="A2988" s="25" t="n">
        <v>43231</v>
      </c>
      <c r="B2988" s="18" t="n">
        <v>85220.24000000001</v>
      </c>
      <c r="C2988" s="31" t="n"/>
      <c r="D2988" s="32" t="n"/>
      <c r="E2988" s="33" t="n">
        <v>1.3327</v>
      </c>
      <c r="F2988" t="inlineStr">
        <is>
          <t>Up</t>
        </is>
      </c>
      <c r="G2988" t="inlineStr">
        <is>
          <t>Down</t>
        </is>
      </c>
      <c r="H2988" t="inlineStr">
        <is>
          <t>EU_JD</t>
        </is>
      </c>
      <c r="I2988" t="inlineStr">
        <is>
          <t>2018-05</t>
        </is>
      </c>
      <c r="J2988" t="n">
        <v>1</v>
      </c>
      <c r="K2988" t="n">
        <v>1</v>
      </c>
      <c r="L2988" s="34">
        <f>IF($J2988=1,LN(B2989/B2988),"")</f>
        <v/>
      </c>
      <c r="M2988" s="34">
        <f>IF($K2988=1,INDEX(Mensal!$D$2:$D$245,MATCH($I2988,Mensal!$A$2:$A$245,0)),"")</f>
        <v/>
      </c>
      <c r="N2988" s="34">
        <f>IF($K2988=1,L2988-M2988,"")</f>
        <v/>
      </c>
      <c r="O2988" s="34" t="n">
        <v>0.00024583</v>
      </c>
      <c r="P2988" s="34">
        <f>IF($J2988=1,LN(1+O2988),"")</f>
        <v/>
      </c>
      <c r="Q2988" s="34">
        <f>IF($J2988=1,LN(R2989/R2988),"")</f>
        <v/>
      </c>
      <c r="R2988" s="32" t="n">
        <v>3.5716</v>
      </c>
      <c r="S2988" s="35" t="n">
        <v>6.564</v>
      </c>
      <c r="T2988" s="18" t="n">
        <v>85220.24000000001</v>
      </c>
      <c r="U2988" s="18" t="n"/>
      <c r="V2988" s="18" t="n"/>
      <c r="W2988" s="18" t="n"/>
      <c r="X2988" s="35" t="n"/>
      <c r="Y2988" s="35" t="n">
        <v>6.564</v>
      </c>
    </row>
    <row r="2989">
      <c r="A2989" s="25" t="n">
        <v>43234</v>
      </c>
      <c r="B2989" s="18" t="n">
        <v>85232.17999999999</v>
      </c>
      <c r="C2989" s="31" t="n"/>
      <c r="D2989" s="32" t="n"/>
      <c r="E2989" s="33" t="n">
        <v>1.2888</v>
      </c>
      <c r="F2989" t="inlineStr">
        <is>
          <t>Up</t>
        </is>
      </c>
      <c r="G2989" t="inlineStr">
        <is>
          <t>Down</t>
        </is>
      </c>
      <c r="H2989" t="inlineStr">
        <is>
          <t>EU_JD</t>
        </is>
      </c>
      <c r="I2989" t="inlineStr">
        <is>
          <t>2018-05</t>
        </is>
      </c>
      <c r="J2989" t="n">
        <v>1</v>
      </c>
      <c r="K2989" t="n">
        <v>1</v>
      </c>
      <c r="L2989" s="34">
        <f>IF($J2989=1,LN(B2990/B2989),"")</f>
        <v/>
      </c>
      <c r="M2989" s="34">
        <f>IF($K2989=1,INDEX(Mensal!$D$2:$D$245,MATCH($I2989,Mensal!$A$2:$A$245,0)),"")</f>
        <v/>
      </c>
      <c r="N2989" s="34">
        <f>IF($K2989=1,L2989-M2989,"")</f>
        <v/>
      </c>
      <c r="O2989" s="34" t="n">
        <v>0.00024583</v>
      </c>
      <c r="P2989" s="34">
        <f>IF($J2989=1,LN(1+O2989),"")</f>
        <v/>
      </c>
      <c r="Q2989" s="34">
        <f>IF($J2989=1,LN(R2990/R2989),"")</f>
        <v/>
      </c>
      <c r="R2989" s="32" t="n">
        <v>3.6097</v>
      </c>
      <c r="S2989" s="35" t="n">
        <v>6.659</v>
      </c>
      <c r="T2989" s="18" t="n">
        <v>85232.17999999999</v>
      </c>
      <c r="U2989" s="18" t="n"/>
      <c r="V2989" s="18" t="n"/>
      <c r="W2989" s="18" t="n"/>
      <c r="X2989" s="35" t="n"/>
      <c r="Y2989" s="35" t="n">
        <v>6.659</v>
      </c>
    </row>
    <row r="2990">
      <c r="A2990" s="25" t="n">
        <v>43235</v>
      </c>
      <c r="B2990" s="18" t="n">
        <v>85130.42</v>
      </c>
      <c r="C2990" s="31" t="n"/>
      <c r="D2990" s="32" t="n"/>
      <c r="E2990" s="33" t="n">
        <v>1.2528</v>
      </c>
      <c r="F2990" t="inlineStr">
        <is>
          <t>Up</t>
        </is>
      </c>
      <c r="G2990" t="inlineStr">
        <is>
          <t>Down</t>
        </is>
      </c>
      <c r="H2990" t="inlineStr">
        <is>
          <t>EU_JD</t>
        </is>
      </c>
      <c r="I2990" t="inlineStr">
        <is>
          <t>2018-05</t>
        </is>
      </c>
      <c r="J2990" t="n">
        <v>1</v>
      </c>
      <c r="K2990" t="n">
        <v>1</v>
      </c>
      <c r="L2990" s="34">
        <f>IF($J2990=1,LN(B2991/B2990),"")</f>
        <v/>
      </c>
      <c r="M2990" s="34">
        <f>IF($K2990=1,INDEX(Mensal!$D$2:$D$245,MATCH($I2990,Mensal!$A$2:$A$245,0)),"")</f>
        <v/>
      </c>
      <c r="N2990" s="34">
        <f>IF($K2990=1,L2990-M2990,"")</f>
        <v/>
      </c>
      <c r="O2990" s="34" t="n">
        <v>0.00024583</v>
      </c>
      <c r="P2990" s="34">
        <f>IF($J2990=1,LN(1+O2990),"")</f>
        <v/>
      </c>
      <c r="Q2990" s="34">
        <f>IF($J2990=1,LN(R2991/R2990),"")</f>
        <v/>
      </c>
      <c r="R2990" s="32" t="n">
        <v>3.6753</v>
      </c>
      <c r="S2990" s="35" t="n">
        <v>6.635</v>
      </c>
      <c r="T2990" s="18" t="n">
        <v>85130.42</v>
      </c>
      <c r="U2990" s="18" t="n"/>
      <c r="V2990" s="18" t="n"/>
      <c r="W2990" s="18" t="n"/>
      <c r="X2990" s="35" t="n"/>
      <c r="Y2990" s="35" t="n">
        <v>6.635</v>
      </c>
    </row>
    <row r="2991">
      <c r="A2991" s="25" t="n">
        <v>43236</v>
      </c>
      <c r="B2991" s="18" t="n">
        <v>86536.97</v>
      </c>
      <c r="C2991" s="31" t="n"/>
      <c r="D2991" s="32" t="n"/>
      <c r="E2991" s="33" t="n">
        <v>1.213</v>
      </c>
      <c r="F2991" t="inlineStr">
        <is>
          <t>Up</t>
        </is>
      </c>
      <c r="G2991" t="inlineStr">
        <is>
          <t>Down</t>
        </is>
      </c>
      <c r="H2991" t="inlineStr">
        <is>
          <t>EU_JD</t>
        </is>
      </c>
      <c r="I2991" t="inlineStr">
        <is>
          <t>2018-05</t>
        </is>
      </c>
      <c r="J2991" t="n">
        <v>1</v>
      </c>
      <c r="K2991" t="n">
        <v>1</v>
      </c>
      <c r="L2991" s="34">
        <f>IF($J2991=1,LN(B2992/B2991),"")</f>
        <v/>
      </c>
      <c r="M2991" s="34">
        <f>IF($K2991=1,INDEX(Mensal!$D$2:$D$245,MATCH($I2991,Mensal!$A$2:$A$245,0)),"")</f>
        <v/>
      </c>
      <c r="N2991" s="34">
        <f>IF($K2991=1,L2991-M2991,"")</f>
        <v/>
      </c>
      <c r="O2991" s="34" t="n">
        <v>0.00024583</v>
      </c>
      <c r="P2991" s="34">
        <f>IF($J2991=1,LN(1+O2991),"")</f>
        <v/>
      </c>
      <c r="Q2991" s="34">
        <f>IF($J2991=1,LN(R2992/R2991),"")</f>
        <v/>
      </c>
      <c r="R2991" s="32" t="n">
        <v>3.6803</v>
      </c>
      <c r="S2991" s="35" t="n">
        <v>6.614</v>
      </c>
      <c r="T2991" s="18" t="n">
        <v>86536.97</v>
      </c>
      <c r="U2991" s="18" t="n"/>
      <c r="V2991" s="18" t="n"/>
      <c r="W2991" s="18" t="n"/>
      <c r="X2991" s="35" t="n"/>
      <c r="Y2991" s="35" t="n">
        <v>6.614</v>
      </c>
    </row>
    <row r="2992">
      <c r="A2992" s="25" t="n">
        <v>43237</v>
      </c>
      <c r="B2992" s="18" t="n">
        <v>83621.95</v>
      </c>
      <c r="C2992" s="31" t="n"/>
      <c r="D2992" s="32" t="n"/>
      <c r="E2992" s="33" t="n">
        <v>1.1702</v>
      </c>
      <c r="F2992" t="inlineStr">
        <is>
          <t>Up</t>
        </is>
      </c>
      <c r="G2992" t="inlineStr">
        <is>
          <t>Down</t>
        </is>
      </c>
      <c r="H2992" t="inlineStr">
        <is>
          <t>EU_JD</t>
        </is>
      </c>
      <c r="I2992" t="inlineStr">
        <is>
          <t>2018-05</t>
        </is>
      </c>
      <c r="J2992" t="n">
        <v>1</v>
      </c>
      <c r="K2992" t="n">
        <v>1</v>
      </c>
      <c r="L2992" s="34">
        <f>IF($J2992=1,LN(B2993/B2992),"")</f>
        <v/>
      </c>
      <c r="M2992" s="34">
        <f>IF($K2992=1,INDEX(Mensal!$D$2:$D$245,MATCH($I2992,Mensal!$A$2:$A$245,0)),"")</f>
        <v/>
      </c>
      <c r="N2992" s="34">
        <f>IF($K2992=1,L2992-M2992,"")</f>
        <v/>
      </c>
      <c r="O2992" s="34" t="n">
        <v>0.00024583</v>
      </c>
      <c r="P2992" s="34">
        <f>IF($J2992=1,LN(1+O2992),"")</f>
        <v/>
      </c>
      <c r="Q2992" s="34">
        <f>IF($J2992=1,LN(R2993/R2992),"")</f>
        <v/>
      </c>
      <c r="R2992" s="32" t="n">
        <v>3.6874</v>
      </c>
      <c r="S2992" s="35" t="n">
        <v>6.951</v>
      </c>
      <c r="T2992" s="18" t="n">
        <v>83621.95</v>
      </c>
      <c r="U2992" s="18" t="n"/>
      <c r="V2992" s="18" t="n"/>
      <c r="W2992" s="18" t="n"/>
      <c r="X2992" s="35" t="n"/>
      <c r="Y2992" s="35" t="n">
        <v>6.951</v>
      </c>
    </row>
    <row r="2993">
      <c r="A2993" s="25" t="n">
        <v>43238</v>
      </c>
      <c r="B2993" s="18" t="n">
        <v>83081.88</v>
      </c>
      <c r="C2993" s="31" t="n"/>
      <c r="D2993" s="32" t="n"/>
      <c r="E2993" s="33" t="n">
        <v>1.1316</v>
      </c>
      <c r="F2993" t="inlineStr">
        <is>
          <t>Up</t>
        </is>
      </c>
      <c r="G2993" t="inlineStr">
        <is>
          <t>Down</t>
        </is>
      </c>
      <c r="H2993" t="inlineStr">
        <is>
          <t>EU_JD</t>
        </is>
      </c>
      <c r="I2993" t="inlineStr">
        <is>
          <t>2018-05</t>
        </is>
      </c>
      <c r="J2993" t="n">
        <v>1</v>
      </c>
      <c r="K2993" t="n">
        <v>1</v>
      </c>
      <c r="L2993" s="34">
        <f>IF($J2993=1,LN(B2994/B2993),"")</f>
        <v/>
      </c>
      <c r="M2993" s="34">
        <f>IF($K2993=1,INDEX(Mensal!$D$2:$D$245,MATCH($I2993,Mensal!$A$2:$A$245,0)),"")</f>
        <v/>
      </c>
      <c r="N2993" s="34">
        <f>IF($K2993=1,L2993-M2993,"")</f>
        <v/>
      </c>
      <c r="O2993" s="34" t="n">
        <v>0.00024583</v>
      </c>
      <c r="P2993" s="34">
        <f>IF($J2993=1,LN(1+O2993),"")</f>
        <v/>
      </c>
      <c r="Q2993" s="34">
        <f>IF($J2993=1,LN(R2994/R2993),"")</f>
        <v/>
      </c>
      <c r="R2993" s="32" t="n">
        <v>3.7503</v>
      </c>
      <c r="S2993" s="35" t="n">
        <v>7.033</v>
      </c>
      <c r="T2993" s="18" t="n">
        <v>83081.88</v>
      </c>
      <c r="U2993" s="18" t="n"/>
      <c r="V2993" s="18" t="n"/>
      <c r="W2993" s="18" t="n"/>
      <c r="X2993" s="35" t="n"/>
      <c r="Y2993" s="35" t="n">
        <v>7.033</v>
      </c>
    </row>
    <row r="2994">
      <c r="A2994" s="25" t="n">
        <v>43241</v>
      </c>
      <c r="B2994" s="18" t="n">
        <v>81815.32000000001</v>
      </c>
      <c r="C2994" s="31" t="n"/>
      <c r="D2994" s="32" t="n"/>
      <c r="E2994" s="33" t="n">
        <v>1.0918</v>
      </c>
      <c r="F2994" t="inlineStr">
        <is>
          <t>Up</t>
        </is>
      </c>
      <c r="G2994" t="inlineStr">
        <is>
          <t>Down</t>
        </is>
      </c>
      <c r="H2994" t="inlineStr">
        <is>
          <t>EU_JD</t>
        </is>
      </c>
      <c r="I2994" t="inlineStr">
        <is>
          <t>2018-05</t>
        </is>
      </c>
      <c r="J2994" t="n">
        <v>1</v>
      </c>
      <c r="K2994" t="n">
        <v>1</v>
      </c>
      <c r="L2994" s="34">
        <f>IF($J2994=1,LN(B2995/B2994),"")</f>
        <v/>
      </c>
      <c r="M2994" s="34">
        <f>IF($K2994=1,INDEX(Mensal!$D$2:$D$245,MATCH($I2994,Mensal!$A$2:$A$245,0)),"")</f>
        <v/>
      </c>
      <c r="N2994" s="34">
        <f>IF($K2994=1,L2994-M2994,"")</f>
        <v/>
      </c>
      <c r="O2994" s="34" t="n">
        <v>0.00024583</v>
      </c>
      <c r="P2994" s="34">
        <f>IF($J2994=1,LN(1+O2994),"")</f>
        <v/>
      </c>
      <c r="Q2994" s="34">
        <f>IF($J2994=1,LN(R2995/R2994),"")</f>
        <v/>
      </c>
      <c r="R2994" s="32" t="n">
        <v>3.7072</v>
      </c>
      <c r="S2994" s="35" t="n">
        <v>7.039</v>
      </c>
      <c r="T2994" s="18" t="n">
        <v>81815.32000000001</v>
      </c>
      <c r="U2994" s="18" t="n"/>
      <c r="V2994" s="18" t="n"/>
      <c r="W2994" s="18" t="n"/>
      <c r="X2994" s="35" t="n"/>
      <c r="Y2994" s="35" t="n">
        <v>7.039</v>
      </c>
    </row>
    <row r="2995">
      <c r="A2995" s="25" t="n">
        <v>43242</v>
      </c>
      <c r="B2995" s="18" t="n">
        <v>82738.88</v>
      </c>
      <c r="C2995" s="31" t="n"/>
      <c r="D2995" s="32" t="n"/>
      <c r="E2995" s="33" t="n">
        <v>1.0522</v>
      </c>
      <c r="F2995" t="inlineStr">
        <is>
          <t>Up</t>
        </is>
      </c>
      <c r="G2995" t="inlineStr">
        <is>
          <t>Down</t>
        </is>
      </c>
      <c r="H2995" t="inlineStr">
        <is>
          <t>EU_JD</t>
        </is>
      </c>
      <c r="I2995" t="inlineStr">
        <is>
          <t>2018-05</t>
        </is>
      </c>
      <c r="J2995" t="n">
        <v>1</v>
      </c>
      <c r="K2995" t="n">
        <v>1</v>
      </c>
      <c r="L2995" s="34">
        <f>IF($J2995=1,LN(B2996/B2995),"")</f>
        <v/>
      </c>
      <c r="M2995" s="34">
        <f>IF($K2995=1,INDEX(Mensal!$D$2:$D$245,MATCH($I2995,Mensal!$A$2:$A$245,0)),"")</f>
        <v/>
      </c>
      <c r="N2995" s="34">
        <f>IF($K2995=1,L2995-M2995,"")</f>
        <v/>
      </c>
      <c r="O2995" s="34" t="n">
        <v>0.00024583</v>
      </c>
      <c r="P2995" s="34">
        <f>IF($J2995=1,LN(1+O2995),"")</f>
        <v/>
      </c>
      <c r="Q2995" s="34">
        <f>IF($J2995=1,LN(R2996/R2995),"")</f>
        <v/>
      </c>
      <c r="R2995" s="32" t="n">
        <v>3.6502</v>
      </c>
      <c r="S2995" s="35" t="n">
        <v>6.956</v>
      </c>
      <c r="T2995" s="18" t="n">
        <v>82738.88</v>
      </c>
      <c r="U2995" s="18" t="n"/>
      <c r="V2995" s="18" t="n"/>
      <c r="W2995" s="18" t="n"/>
      <c r="X2995" s="35" t="n"/>
      <c r="Y2995" s="35" t="n">
        <v>6.956</v>
      </c>
    </row>
    <row r="2996">
      <c r="A2996" s="25" t="n">
        <v>43243</v>
      </c>
      <c r="B2996" s="18" t="n">
        <v>80867.28999999999</v>
      </c>
      <c r="C2996" s="31" t="n"/>
      <c r="D2996" s="32" t="n"/>
      <c r="E2996" s="33" t="n">
        <v>1.012</v>
      </c>
      <c r="F2996" t="inlineStr">
        <is>
          <t>Up</t>
        </is>
      </c>
      <c r="G2996" t="inlineStr">
        <is>
          <t>Down</t>
        </is>
      </c>
      <c r="H2996" t="inlineStr">
        <is>
          <t>EU_JD</t>
        </is>
      </c>
      <c r="I2996" t="inlineStr">
        <is>
          <t>2018-05</t>
        </is>
      </c>
      <c r="J2996" t="n">
        <v>1</v>
      </c>
      <c r="K2996" t="n">
        <v>1</v>
      </c>
      <c r="L2996" s="34">
        <f>IF($J2996=1,LN(B2997/B2996),"")</f>
        <v/>
      </c>
      <c r="M2996" s="34">
        <f>IF($K2996=1,INDEX(Mensal!$D$2:$D$245,MATCH($I2996,Mensal!$A$2:$A$245,0)),"")</f>
        <v/>
      </c>
      <c r="N2996" s="34">
        <f>IF($K2996=1,L2996-M2996,"")</f>
        <v/>
      </c>
      <c r="O2996" s="34" t="n">
        <v>0.00024583</v>
      </c>
      <c r="P2996" s="34">
        <f>IF($J2996=1,LN(1+O2996),"")</f>
        <v/>
      </c>
      <c r="Q2996" s="34">
        <f>IF($J2996=1,LN(R2997/R2996),"")</f>
        <v/>
      </c>
      <c r="R2996" s="32" t="n">
        <v>3.6507</v>
      </c>
      <c r="S2996" s="35" t="n">
        <v>6.852</v>
      </c>
      <c r="T2996" s="18" t="n">
        <v>80867.28999999999</v>
      </c>
      <c r="U2996" s="18" t="n"/>
      <c r="V2996" s="18" t="n"/>
      <c r="W2996" s="18" t="n"/>
      <c r="X2996" s="35" t="n"/>
      <c r="Y2996" s="35" t="n">
        <v>6.852</v>
      </c>
    </row>
    <row r="2997">
      <c r="A2997" s="25" t="n">
        <v>43244</v>
      </c>
      <c r="B2997" s="18" t="n">
        <v>80122.31</v>
      </c>
      <c r="C2997" s="31" t="n"/>
      <c r="D2997" s="32" t="n"/>
      <c r="E2997" s="33" t="n">
        <v>0.9722</v>
      </c>
      <c r="F2997" t="inlineStr">
        <is>
          <t>Up</t>
        </is>
      </c>
      <c r="G2997" t="inlineStr">
        <is>
          <t>Down</t>
        </is>
      </c>
      <c r="H2997" t="inlineStr">
        <is>
          <t>EU_JD</t>
        </is>
      </c>
      <c r="I2997" t="inlineStr">
        <is>
          <t>2018-05</t>
        </is>
      </c>
      <c r="J2997" t="n">
        <v>1</v>
      </c>
      <c r="K2997" t="n">
        <v>1</v>
      </c>
      <c r="L2997" s="34">
        <f>IF($J2997=1,LN(B2998/B2997),"")</f>
        <v/>
      </c>
      <c r="M2997" s="34">
        <f>IF($K2997=1,INDEX(Mensal!$D$2:$D$245,MATCH($I2997,Mensal!$A$2:$A$245,0)),"")</f>
        <v/>
      </c>
      <c r="N2997" s="34">
        <f>IF($K2997=1,L2997-M2997,"")</f>
        <v/>
      </c>
      <c r="O2997" s="34" t="n">
        <v>0.00024583</v>
      </c>
      <c r="P2997" s="34">
        <f>IF($J2997=1,LN(1+O2997),"")</f>
        <v/>
      </c>
      <c r="Q2997" s="34">
        <f>IF($J2997=1,LN(R2998/R2997),"")</f>
        <v/>
      </c>
      <c r="R2997" s="32" t="n">
        <v>3.6436</v>
      </c>
      <c r="S2997" s="35" t="n">
        <v>6.948</v>
      </c>
      <c r="T2997" s="18" t="n">
        <v>80122.31</v>
      </c>
      <c r="U2997" s="18" t="n"/>
      <c r="V2997" s="18" t="n"/>
      <c r="W2997" s="18" t="n"/>
      <c r="X2997" s="35" t="n"/>
      <c r="Y2997" s="35" t="n">
        <v>6.948</v>
      </c>
    </row>
    <row r="2998">
      <c r="A2998" s="25" t="n">
        <v>43245</v>
      </c>
      <c r="B2998" s="18" t="n">
        <v>78897.66</v>
      </c>
      <c r="C2998" s="31" t="n"/>
      <c r="D2998" s="32" t="n"/>
      <c r="E2998" s="33" t="n">
        <v>0.9413</v>
      </c>
      <c r="F2998" t="inlineStr">
        <is>
          <t>Up</t>
        </is>
      </c>
      <c r="G2998" t="inlineStr">
        <is>
          <t>Down</t>
        </is>
      </c>
      <c r="H2998" t="inlineStr">
        <is>
          <t>EU_JD</t>
        </is>
      </c>
      <c r="I2998" t="inlineStr">
        <is>
          <t>2018-05</t>
        </is>
      </c>
      <c r="J2998" t="n">
        <v>1</v>
      </c>
      <c r="K2998" t="n">
        <v>1</v>
      </c>
      <c r="L2998" s="34">
        <f>IF($J2998=1,LN(B2999/B2998),"")</f>
        <v/>
      </c>
      <c r="M2998" s="34">
        <f>IF($K2998=1,INDEX(Mensal!$D$2:$D$245,MATCH($I2998,Mensal!$A$2:$A$245,0)),"")</f>
        <v/>
      </c>
      <c r="N2998" s="34">
        <f>IF($K2998=1,L2998-M2998,"")</f>
        <v/>
      </c>
      <c r="O2998" s="34" t="n">
        <v>0.00024583</v>
      </c>
      <c r="P2998" s="34">
        <f>IF($J2998=1,LN(1+O2998),"")</f>
        <v/>
      </c>
      <c r="Q2998" s="34">
        <f>IF($J2998=1,LN(R2999/R2998),"")</f>
        <v/>
      </c>
      <c r="R2998" s="32" t="n">
        <v>3.6587</v>
      </c>
      <c r="S2998" s="35" t="n">
        <v>7.009</v>
      </c>
      <c r="T2998" s="18" t="n">
        <v>78897.66</v>
      </c>
      <c r="U2998" s="18" t="n"/>
      <c r="V2998" s="18" t="n"/>
      <c r="W2998" s="18" t="n"/>
      <c r="X2998" s="35" t="n"/>
      <c r="Y2998" s="35" t="n">
        <v>7.009</v>
      </c>
    </row>
    <row r="2999">
      <c r="A2999" s="25" t="n">
        <v>43248</v>
      </c>
      <c r="B2999" s="18" t="n">
        <v>75355.84</v>
      </c>
      <c r="C2999" s="31" t="n"/>
      <c r="D2999" s="32" t="n"/>
      <c r="E2999" s="33" t="n">
        <v>0.9268</v>
      </c>
      <c r="F2999" t="inlineStr">
        <is>
          <t>Up</t>
        </is>
      </c>
      <c r="G2999" t="inlineStr">
        <is>
          <t>Down</t>
        </is>
      </c>
      <c r="H2999" t="inlineStr">
        <is>
          <t>EU_JD</t>
        </is>
      </c>
      <c r="I2999" t="inlineStr">
        <is>
          <t>2018-05</t>
        </is>
      </c>
      <c r="J2999" t="n">
        <v>1</v>
      </c>
      <c r="K2999" t="n">
        <v>1</v>
      </c>
      <c r="L2999" s="34">
        <f>IF($J2999=1,LN(B3000/B2999),"")</f>
        <v/>
      </c>
      <c r="M2999" s="34">
        <f>IF($K2999=1,INDEX(Mensal!$D$2:$D$245,MATCH($I2999,Mensal!$A$2:$A$245,0)),"")</f>
        <v/>
      </c>
      <c r="N2999" s="34">
        <f>IF($K2999=1,L2999-M2999,"")</f>
        <v/>
      </c>
      <c r="O2999" s="34" t="n">
        <v>0.00024583</v>
      </c>
      <c r="P2999" s="34">
        <f>IF($J2999=1,LN(1+O2999),"")</f>
        <v/>
      </c>
      <c r="Q2999" s="34">
        <f>IF($J2999=1,LN(R3000/R2999),"")</f>
        <v/>
      </c>
      <c r="R2999" s="32" t="n">
        <v>3.7092</v>
      </c>
      <c r="S2999" s="35" t="n">
        <v>7.137</v>
      </c>
      <c r="T2999" s="18" t="n">
        <v>75355.84</v>
      </c>
      <c r="U2999" s="18" t="n"/>
      <c r="V2999" s="18" t="n"/>
      <c r="W2999" s="18" t="n"/>
      <c r="X2999" s="35" t="n"/>
      <c r="Y2999" s="35" t="n">
        <v>7.137</v>
      </c>
    </row>
    <row r="3000">
      <c r="A3000" s="25" t="n">
        <v>43249</v>
      </c>
      <c r="B3000" s="18" t="n">
        <v>76071.97</v>
      </c>
      <c r="C3000" s="31" t="n"/>
      <c r="D3000" s="32" t="n"/>
      <c r="E3000" s="33" t="n">
        <v>0.9142</v>
      </c>
      <c r="F3000" t="inlineStr">
        <is>
          <t>Up</t>
        </is>
      </c>
      <c r="G3000" t="inlineStr">
        <is>
          <t>Down</t>
        </is>
      </c>
      <c r="H3000" t="inlineStr">
        <is>
          <t>EU_JD</t>
        </is>
      </c>
      <c r="I3000" t="inlineStr">
        <is>
          <t>2018-05</t>
        </is>
      </c>
      <c r="J3000" t="n">
        <v>1</v>
      </c>
      <c r="K3000" t="n">
        <v>1</v>
      </c>
      <c r="L3000" s="34">
        <f>IF($J3000=1,LN(B3001/B3000),"")</f>
        <v/>
      </c>
      <c r="M3000" s="34">
        <f>IF($K3000=1,INDEX(Mensal!$D$2:$D$245,MATCH($I3000,Mensal!$A$2:$A$245,0)),"")</f>
        <v/>
      </c>
      <c r="N3000" s="34">
        <f>IF($K3000=1,L3000-M3000,"")</f>
        <v/>
      </c>
      <c r="O3000" s="34" t="n">
        <v>0.00024583</v>
      </c>
      <c r="P3000" s="34">
        <f>IF($J3000=1,LN(1+O3000),"")</f>
        <v/>
      </c>
      <c r="Q3000" s="34">
        <f>IF($J3000=1,LN(R3001/R3000),"")</f>
        <v/>
      </c>
      <c r="R3000" s="32" t="n">
        <v>3.7289</v>
      </c>
      <c r="S3000" s="35" t="n">
        <v>7.189</v>
      </c>
      <c r="T3000" s="18" t="n">
        <v>76071.97</v>
      </c>
      <c r="U3000" s="18" t="n"/>
      <c r="V3000" s="18" t="n"/>
      <c r="W3000" s="18" t="n"/>
      <c r="X3000" s="35" t="n"/>
      <c r="Y3000" s="35" t="n">
        <v>7.189</v>
      </c>
    </row>
    <row r="3001">
      <c r="A3001" s="25" t="n">
        <v>43250</v>
      </c>
      <c r="B3001" s="18" t="n">
        <v>76753.61</v>
      </c>
      <c r="C3001" s="31" t="n"/>
      <c r="D3001" s="32" t="n"/>
      <c r="E3001" s="33" t="n">
        <v>0.908</v>
      </c>
      <c r="F3001" t="inlineStr">
        <is>
          <t>Up</t>
        </is>
      </c>
      <c r="G3001" t="inlineStr">
        <is>
          <t>Down</t>
        </is>
      </c>
      <c r="H3001" t="inlineStr">
        <is>
          <t>EU_JD</t>
        </is>
      </c>
      <c r="I3001" t="inlineStr">
        <is>
          <t>2018-05</t>
        </is>
      </c>
      <c r="J3001" t="n">
        <v>1</v>
      </c>
      <c r="K3001" t="n">
        <v>1</v>
      </c>
      <c r="L3001" s="34">
        <f>IF($J3001=1,LN(B3002/B3001),"")</f>
        <v/>
      </c>
      <c r="M3001" s="34">
        <f>IF($K3001=1,INDEX(Mensal!$D$2:$D$245,MATCH($I3001,Mensal!$A$2:$A$245,0)),"")</f>
        <v/>
      </c>
      <c r="N3001" s="34">
        <f>IF($K3001=1,L3001-M3001,"")</f>
        <v/>
      </c>
      <c r="O3001" s="34" t="n">
        <v>0.00024583</v>
      </c>
      <c r="P3001" s="34">
        <f>IF($J3001=1,LN(1+O3001),"")</f>
        <v/>
      </c>
      <c r="Q3001" s="34">
        <f>IF($J3001=1,LN(R3002/R3001),"")</f>
        <v/>
      </c>
      <c r="R3001" s="32" t="n">
        <v>3.737</v>
      </c>
      <c r="S3001" s="35" t="n">
        <v>7.22</v>
      </c>
      <c r="T3001" s="18" t="n">
        <v>76753.61</v>
      </c>
      <c r="U3001" s="18" t="n"/>
      <c r="V3001" s="18" t="n"/>
      <c r="W3001" s="18" t="n"/>
      <c r="X3001" s="35" t="n"/>
      <c r="Y3001" s="35" t="n">
        <v>7.22</v>
      </c>
    </row>
    <row r="3002">
      <c r="A3002" s="25" t="n">
        <v>43252</v>
      </c>
      <c r="B3002" s="18" t="n">
        <v>77239.75</v>
      </c>
      <c r="C3002" s="31" t="n"/>
      <c r="D3002" s="32" t="n"/>
      <c r="E3002" s="33" t="n">
        <v>0.9114</v>
      </c>
      <c r="F3002" t="inlineStr">
        <is>
          <t>Up</t>
        </is>
      </c>
      <c r="G3002" t="inlineStr">
        <is>
          <t>Down</t>
        </is>
      </c>
      <c r="H3002" t="inlineStr">
        <is>
          <t>EU_JD</t>
        </is>
      </c>
      <c r="I3002" t="inlineStr">
        <is>
          <t>2018-06</t>
        </is>
      </c>
      <c r="J3002" t="n">
        <v>1</v>
      </c>
      <c r="K3002" t="n">
        <v>1</v>
      </c>
      <c r="L3002" s="34">
        <f>IF($J3002=1,LN(B3003/B3002),"")</f>
        <v/>
      </c>
      <c r="M3002" s="34">
        <f>IF($K3002=1,INDEX(Mensal!$D$2:$D$245,MATCH($I3002,Mensal!$A$2:$A$245,0)),"")</f>
        <v/>
      </c>
      <c r="N3002" s="34">
        <f>IF($K3002=1,L3002-M3002,"")</f>
        <v/>
      </c>
      <c r="O3002" s="34" t="n">
        <v>0.00024583</v>
      </c>
      <c r="P3002" s="34">
        <f>IF($J3002=1,LN(1+O3002),"")</f>
        <v/>
      </c>
      <c r="Q3002" s="34">
        <f>IF($J3002=1,LN(R3003/R3002),"")</f>
        <v/>
      </c>
      <c r="R3002" s="32" t="n">
        <v>3.7413</v>
      </c>
      <c r="S3002" s="35" t="n">
        <v>7.142</v>
      </c>
      <c r="T3002" s="18" t="n">
        <v>77239.75</v>
      </c>
      <c r="U3002" s="18" t="n"/>
      <c r="V3002" s="18" t="n"/>
      <c r="W3002" s="18" t="n"/>
      <c r="X3002" s="35" t="n"/>
      <c r="Y3002" s="35" t="n">
        <v>7.142</v>
      </c>
    </row>
    <row r="3003">
      <c r="A3003" s="25" t="n">
        <v>43255</v>
      </c>
      <c r="B3003" s="18" t="n">
        <v>78596.06</v>
      </c>
      <c r="C3003" s="31" t="n"/>
      <c r="D3003" s="32" t="n"/>
      <c r="E3003" s="33" t="n">
        <v>0.899</v>
      </c>
      <c r="F3003" t="inlineStr">
        <is>
          <t>Up</t>
        </is>
      </c>
      <c r="G3003" t="inlineStr">
        <is>
          <t>Down</t>
        </is>
      </c>
      <c r="H3003" t="inlineStr">
        <is>
          <t>EU_JD</t>
        </is>
      </c>
      <c r="I3003" t="inlineStr">
        <is>
          <t>2018-06</t>
        </is>
      </c>
      <c r="J3003" t="n">
        <v>1</v>
      </c>
      <c r="K3003" t="n">
        <v>1</v>
      </c>
      <c r="L3003" s="34">
        <f>IF($J3003=1,LN(B3004/B3003),"")</f>
        <v/>
      </c>
      <c r="M3003" s="34">
        <f>IF($K3003=1,INDEX(Mensal!$D$2:$D$245,MATCH($I3003,Mensal!$A$2:$A$245,0)),"")</f>
        <v/>
      </c>
      <c r="N3003" s="34">
        <f>IF($K3003=1,L3003-M3003,"")</f>
        <v/>
      </c>
      <c r="O3003" s="34" t="n">
        <v>0.00024583</v>
      </c>
      <c r="P3003" s="34">
        <f>IF($J3003=1,LN(1+O3003),"")</f>
        <v/>
      </c>
      <c r="Q3003" s="34">
        <f>IF($J3003=1,LN(R3004/R3003),"")</f>
        <v/>
      </c>
      <c r="R3003" s="32" t="n">
        <v>3.7424</v>
      </c>
      <c r="S3003" s="35" t="n">
        <v>7.078</v>
      </c>
      <c r="T3003" s="18" t="n">
        <v>78596.06</v>
      </c>
      <c r="U3003" s="18" t="n"/>
      <c r="V3003" s="18" t="n"/>
      <c r="W3003" s="18" t="n"/>
      <c r="X3003" s="35" t="n"/>
      <c r="Y3003" s="35" t="n">
        <v>7.078</v>
      </c>
    </row>
    <row r="3004">
      <c r="A3004" s="25" t="n">
        <v>43256</v>
      </c>
      <c r="B3004" s="18" t="n">
        <v>76641.72</v>
      </c>
      <c r="C3004" s="31" t="n"/>
      <c r="D3004" s="32" t="n"/>
      <c r="E3004" s="33" t="n">
        <v>0.8919</v>
      </c>
      <c r="F3004" t="inlineStr">
        <is>
          <t>Up</t>
        </is>
      </c>
      <c r="G3004" t="inlineStr">
        <is>
          <t>Down</t>
        </is>
      </c>
      <c r="H3004" t="inlineStr">
        <is>
          <t>EU_JD</t>
        </is>
      </c>
      <c r="I3004" t="inlineStr">
        <is>
          <t>2018-06</t>
        </is>
      </c>
      <c r="J3004" t="n">
        <v>1</v>
      </c>
      <c r="K3004" t="n">
        <v>1</v>
      </c>
      <c r="L3004" s="34">
        <f>IF($J3004=1,LN(B3005/B3004),"")</f>
        <v/>
      </c>
      <c r="M3004" s="34">
        <f>IF($K3004=1,INDEX(Mensal!$D$2:$D$245,MATCH($I3004,Mensal!$A$2:$A$245,0)),"")</f>
        <v/>
      </c>
      <c r="N3004" s="34">
        <f>IF($K3004=1,L3004-M3004,"")</f>
        <v/>
      </c>
      <c r="O3004" s="34" t="n">
        <v>0.00024583</v>
      </c>
      <c r="P3004" s="34">
        <f>IF($J3004=1,LN(1+O3004),"")</f>
        <v/>
      </c>
      <c r="Q3004" s="34">
        <f>IF($J3004=1,LN(R3005/R3004),"")</f>
        <v/>
      </c>
      <c r="R3004" s="32" t="n">
        <v>3.7752</v>
      </c>
      <c r="S3004" s="35" t="n">
        <v>7.344</v>
      </c>
      <c r="T3004" s="18" t="n">
        <v>76641.72</v>
      </c>
      <c r="U3004" s="18" t="n"/>
      <c r="V3004" s="18" t="n"/>
      <c r="W3004" s="18" t="n"/>
      <c r="X3004" s="35" t="n"/>
      <c r="Y3004" s="35" t="n">
        <v>7.344</v>
      </c>
    </row>
    <row r="3005">
      <c r="A3005" s="25" t="n">
        <v>43257</v>
      </c>
      <c r="B3005" s="18" t="n">
        <v>76117.22</v>
      </c>
      <c r="C3005" s="31" t="n"/>
      <c r="D3005" s="32" t="n"/>
      <c r="E3005" s="33" t="n">
        <v>0.8824</v>
      </c>
      <c r="F3005" t="inlineStr">
        <is>
          <t>Up</t>
        </is>
      </c>
      <c r="G3005" t="inlineStr">
        <is>
          <t>Down</t>
        </is>
      </c>
      <c r="H3005" t="inlineStr">
        <is>
          <t>EU_JD</t>
        </is>
      </c>
      <c r="I3005" t="inlineStr">
        <is>
          <t>2018-06</t>
        </is>
      </c>
      <c r="J3005" t="n">
        <v>1</v>
      </c>
      <c r="K3005" t="n">
        <v>1</v>
      </c>
      <c r="L3005" s="34">
        <f>IF($J3005=1,LN(B3006/B3005),"")</f>
        <v/>
      </c>
      <c r="M3005" s="34">
        <f>IF($K3005=1,INDEX(Mensal!$D$2:$D$245,MATCH($I3005,Mensal!$A$2:$A$245,0)),"")</f>
        <v/>
      </c>
      <c r="N3005" s="34">
        <f>IF($K3005=1,L3005-M3005,"")</f>
        <v/>
      </c>
      <c r="O3005" s="34" t="n">
        <v>0.00024583</v>
      </c>
      <c r="P3005" s="34">
        <f>IF($J3005=1,LN(1+O3005),"")</f>
        <v/>
      </c>
      <c r="Q3005" s="34">
        <f>IF($J3005=1,LN(R3006/R3005),"")</f>
        <v/>
      </c>
      <c r="R3005" s="32" t="n">
        <v>3.8193</v>
      </c>
      <c r="S3005" s="35" t="n">
        <v>7.46</v>
      </c>
      <c r="T3005" s="18" t="n">
        <v>76117.22</v>
      </c>
      <c r="U3005" s="18" t="n"/>
      <c r="V3005" s="18" t="n"/>
      <c r="W3005" s="18" t="n"/>
      <c r="X3005" s="35" t="n"/>
      <c r="Y3005" s="35" t="n">
        <v>7.46</v>
      </c>
    </row>
    <row r="3006">
      <c r="A3006" s="25" t="n">
        <v>43258</v>
      </c>
      <c r="B3006" s="18" t="n">
        <v>73851.46000000001</v>
      </c>
      <c r="C3006" s="31" t="n"/>
      <c r="D3006" s="32" t="n"/>
      <c r="E3006" s="33" t="n">
        <v>0.873</v>
      </c>
      <c r="F3006" t="inlineStr">
        <is>
          <t>Up</t>
        </is>
      </c>
      <c r="G3006" t="inlineStr">
        <is>
          <t>Down</t>
        </is>
      </c>
      <c r="H3006" t="inlineStr">
        <is>
          <t>EU_JD</t>
        </is>
      </c>
      <c r="I3006" t="inlineStr">
        <is>
          <t>2018-06</t>
        </is>
      </c>
      <c r="J3006" t="n">
        <v>1</v>
      </c>
      <c r="K3006" t="n">
        <v>1</v>
      </c>
      <c r="L3006" s="34">
        <f>IF($J3006=1,LN(B3007/B3006),"")</f>
        <v/>
      </c>
      <c r="M3006" s="34">
        <f>IF($K3006=1,INDEX(Mensal!$D$2:$D$245,MATCH($I3006,Mensal!$A$2:$A$245,0)),"")</f>
        <v/>
      </c>
      <c r="N3006" s="34">
        <f>IF($K3006=1,L3006-M3006,"")</f>
        <v/>
      </c>
      <c r="O3006" s="34" t="n">
        <v>0.00024583</v>
      </c>
      <c r="P3006" s="34">
        <f>IF($J3006=1,LN(1+O3006),"")</f>
        <v/>
      </c>
      <c r="Q3006" s="34">
        <f>IF($J3006=1,LN(R3007/R3006),"")</f>
        <v/>
      </c>
      <c r="R3006" s="32" t="n">
        <v>3.9</v>
      </c>
      <c r="S3006" s="35" t="n">
        <v>8.266999999999999</v>
      </c>
      <c r="T3006" s="18" t="n">
        <v>73851.46000000001</v>
      </c>
      <c r="U3006" s="18" t="n"/>
      <c r="V3006" s="18" t="n"/>
      <c r="W3006" s="18" t="n"/>
      <c r="X3006" s="35" t="n"/>
      <c r="Y3006" s="35" t="n">
        <v>8.266999999999999</v>
      </c>
    </row>
    <row r="3007">
      <c r="A3007" s="25" t="n">
        <v>43259</v>
      </c>
      <c r="B3007" s="18" t="n">
        <v>72942.07000000001</v>
      </c>
      <c r="C3007" s="31" t="n"/>
      <c r="D3007" s="32" t="n"/>
      <c r="E3007" s="33" t="n">
        <v>0.8673</v>
      </c>
      <c r="F3007" t="inlineStr">
        <is>
          <t>Up</t>
        </is>
      </c>
      <c r="G3007" t="inlineStr">
        <is>
          <t>Up</t>
        </is>
      </c>
      <c r="H3007" t="inlineStr">
        <is>
          <t>EU_JU</t>
        </is>
      </c>
      <c r="I3007" t="inlineStr">
        <is>
          <t>2018-06</t>
        </is>
      </c>
      <c r="J3007" t="n">
        <v>1</v>
      </c>
      <c r="K3007" t="n">
        <v>1</v>
      </c>
      <c r="L3007" s="34">
        <f>IF($J3007=1,LN(B3008/B3007),"")</f>
        <v/>
      </c>
      <c r="M3007" s="34">
        <f>IF($K3007=1,INDEX(Mensal!$D$2:$D$245,MATCH($I3007,Mensal!$A$2:$A$245,0)),"")</f>
        <v/>
      </c>
      <c r="N3007" s="34">
        <f>IF($K3007=1,L3007-M3007,"")</f>
        <v/>
      </c>
      <c r="O3007" s="34" t="n">
        <v>0.00024583</v>
      </c>
      <c r="P3007" s="34">
        <f>IF($J3007=1,LN(1+O3007),"")</f>
        <v/>
      </c>
      <c r="Q3007" s="34">
        <f>IF($J3007=1,LN(R3008/R3007),"")</f>
        <v/>
      </c>
      <c r="R3007" s="32" t="n">
        <v>3.7859</v>
      </c>
      <c r="S3007" s="35" t="n">
        <v>8.026</v>
      </c>
      <c r="T3007" s="18" t="n"/>
      <c r="U3007" s="18" t="n">
        <v>72942.07000000001</v>
      </c>
      <c r="V3007" s="18" t="n"/>
      <c r="W3007" s="18" t="n"/>
      <c r="X3007" s="35" t="n">
        <v>8.026</v>
      </c>
      <c r="Y3007" s="35" t="n"/>
    </row>
    <row r="3008">
      <c r="A3008" s="25" t="n">
        <v>43262</v>
      </c>
      <c r="B3008" s="18" t="n">
        <v>72307.77</v>
      </c>
      <c r="C3008" s="31" t="n"/>
      <c r="D3008" s="32" t="n"/>
      <c r="E3008" s="33" t="n">
        <v>0.866</v>
      </c>
      <c r="F3008" t="inlineStr">
        <is>
          <t>Up</t>
        </is>
      </c>
      <c r="G3008" t="inlineStr">
        <is>
          <t>Up</t>
        </is>
      </c>
      <c r="H3008" t="inlineStr">
        <is>
          <t>EU_JU</t>
        </is>
      </c>
      <c r="I3008" t="inlineStr">
        <is>
          <t>2018-06</t>
        </is>
      </c>
      <c r="J3008" t="n">
        <v>1</v>
      </c>
      <c r="K3008" t="n">
        <v>1</v>
      </c>
      <c r="L3008" s="34">
        <f>IF($J3008=1,LN(B3009/B3008),"")</f>
        <v/>
      </c>
      <c r="M3008" s="34">
        <f>IF($K3008=1,INDEX(Mensal!$D$2:$D$245,MATCH($I3008,Mensal!$A$2:$A$245,0)),"")</f>
        <v/>
      </c>
      <c r="N3008" s="34">
        <f>IF($K3008=1,L3008-M3008,"")</f>
        <v/>
      </c>
      <c r="O3008" s="34" t="n">
        <v>0.00024583</v>
      </c>
      <c r="P3008" s="34">
        <f>IF($J3008=1,LN(1+O3008),"")</f>
        <v/>
      </c>
      <c r="Q3008" s="34">
        <f>IF($J3008=1,LN(R3009/R3008),"")</f>
        <v/>
      </c>
      <c r="R3008" s="32" t="n">
        <v>3.6913</v>
      </c>
      <c r="S3008" s="35" t="n">
        <v>7.934</v>
      </c>
      <c r="T3008" s="18" t="n"/>
      <c r="U3008" s="18" t="n">
        <v>72307.77</v>
      </c>
      <c r="V3008" s="18" t="n"/>
      <c r="W3008" s="18" t="n"/>
      <c r="X3008" s="35" t="n">
        <v>7.934</v>
      </c>
      <c r="Y3008" s="35" t="n"/>
    </row>
    <row r="3009">
      <c r="A3009" s="25" t="n">
        <v>43263</v>
      </c>
      <c r="B3009" s="18" t="n">
        <v>72754.13</v>
      </c>
      <c r="C3009" s="31" t="n"/>
      <c r="D3009" s="32" t="n"/>
      <c r="E3009" s="33" t="n">
        <v>0.8721</v>
      </c>
      <c r="F3009" t="inlineStr">
        <is>
          <t>Up</t>
        </is>
      </c>
      <c r="G3009" t="inlineStr">
        <is>
          <t>Up</t>
        </is>
      </c>
      <c r="H3009" t="inlineStr">
        <is>
          <t>EU_JU</t>
        </is>
      </c>
      <c r="I3009" t="inlineStr">
        <is>
          <t>2018-06</t>
        </is>
      </c>
      <c r="J3009" t="n">
        <v>1</v>
      </c>
      <c r="K3009" t="n">
        <v>1</v>
      </c>
      <c r="L3009" s="34">
        <f>IF($J3009=1,LN(B3010/B3009),"")</f>
        <v/>
      </c>
      <c r="M3009" s="34">
        <f>IF($K3009=1,INDEX(Mensal!$D$2:$D$245,MATCH($I3009,Mensal!$A$2:$A$245,0)),"")</f>
        <v/>
      </c>
      <c r="N3009" s="34">
        <f>IF($K3009=1,L3009-M3009,"")</f>
        <v/>
      </c>
      <c r="O3009" s="34" t="n">
        <v>0.00024583</v>
      </c>
      <c r="P3009" s="34">
        <f>IF($J3009=1,LN(1+O3009),"")</f>
        <v/>
      </c>
      <c r="Q3009" s="34">
        <f>IF($J3009=1,LN(R3010/R3009),"")</f>
        <v/>
      </c>
      <c r="R3009" s="32" t="n">
        <v>3.7044</v>
      </c>
      <c r="S3009" s="35" t="n">
        <v>7.932</v>
      </c>
      <c r="T3009" s="18" t="n"/>
      <c r="U3009" s="18" t="n">
        <v>72754.13</v>
      </c>
      <c r="V3009" s="18" t="n"/>
      <c r="W3009" s="18" t="n"/>
      <c r="X3009" s="35" t="n">
        <v>7.932</v>
      </c>
      <c r="Y3009" s="35" t="n"/>
    </row>
    <row r="3010">
      <c r="A3010" s="25" t="n">
        <v>43264</v>
      </c>
      <c r="B3010" s="18" t="n">
        <v>72122.14</v>
      </c>
      <c r="C3010" s="31" t="n"/>
      <c r="D3010" s="32" t="n"/>
      <c r="E3010" s="33" t="n">
        <v>0.8773</v>
      </c>
      <c r="F3010" t="inlineStr">
        <is>
          <t>Up</t>
        </is>
      </c>
      <c r="G3010" t="inlineStr">
        <is>
          <t>Up</t>
        </is>
      </c>
      <c r="H3010" t="inlineStr">
        <is>
          <t>EU_JU</t>
        </is>
      </c>
      <c r="I3010" t="inlineStr">
        <is>
          <t>2018-06</t>
        </is>
      </c>
      <c r="J3010" t="n">
        <v>1</v>
      </c>
      <c r="K3010" t="n">
        <v>1</v>
      </c>
      <c r="L3010" s="34">
        <f>IF($J3010=1,LN(B3011/B3010),"")</f>
        <v/>
      </c>
      <c r="M3010" s="34">
        <f>IF($K3010=1,INDEX(Mensal!$D$2:$D$245,MATCH($I3010,Mensal!$A$2:$A$245,0)),"")</f>
        <v/>
      </c>
      <c r="N3010" s="34">
        <f>IF($K3010=1,L3010-M3010,"")</f>
        <v/>
      </c>
      <c r="O3010" s="34" t="n">
        <v>0.00024583</v>
      </c>
      <c r="P3010" s="34">
        <f>IF($J3010=1,LN(1+O3010),"")</f>
        <v/>
      </c>
      <c r="Q3010" s="34">
        <f>IF($J3010=1,LN(R3011/R3010),"")</f>
        <v/>
      </c>
      <c r="R3010" s="32" t="n">
        <v>3.7054</v>
      </c>
      <c r="S3010" s="35" t="n">
        <v>8.089</v>
      </c>
      <c r="T3010" s="18" t="n"/>
      <c r="U3010" s="18" t="n">
        <v>72122.14</v>
      </c>
      <c r="V3010" s="18" t="n"/>
      <c r="W3010" s="18" t="n"/>
      <c r="X3010" s="35" t="n">
        <v>8.089</v>
      </c>
      <c r="Y3010" s="35" t="n"/>
    </row>
    <row r="3011">
      <c r="A3011" s="25" t="n">
        <v>43265</v>
      </c>
      <c r="B3011" s="18" t="n">
        <v>71421.19</v>
      </c>
      <c r="C3011" s="31" t="n"/>
      <c r="D3011" s="32" t="n"/>
      <c r="E3011" s="33" t="n">
        <v>0.882</v>
      </c>
      <c r="F3011" t="inlineStr">
        <is>
          <t>Up</t>
        </is>
      </c>
      <c r="G3011" t="inlineStr">
        <is>
          <t>Up</t>
        </is>
      </c>
      <c r="H3011" t="inlineStr">
        <is>
          <t>EU_JU</t>
        </is>
      </c>
      <c r="I3011" t="inlineStr">
        <is>
          <t>2018-06</t>
        </is>
      </c>
      <c r="J3011" t="n">
        <v>1</v>
      </c>
      <c r="K3011" t="n">
        <v>1</v>
      </c>
      <c r="L3011" s="34">
        <f>IF($J3011=1,LN(B3012/B3011),"")</f>
        <v/>
      </c>
      <c r="M3011" s="34">
        <f>IF($K3011=1,INDEX(Mensal!$D$2:$D$245,MATCH($I3011,Mensal!$A$2:$A$245,0)),"")</f>
        <v/>
      </c>
      <c r="N3011" s="34">
        <f>IF($K3011=1,L3011-M3011,"")</f>
        <v/>
      </c>
      <c r="O3011" s="34" t="n">
        <v>0.00024583</v>
      </c>
      <c r="P3011" s="34">
        <f>IF($J3011=1,LN(1+O3011),"")</f>
        <v/>
      </c>
      <c r="Q3011" s="34">
        <f>IF($J3011=1,LN(R3012/R3011),"")</f>
        <v/>
      </c>
      <c r="R3011" s="32" t="n">
        <v>3.7057</v>
      </c>
      <c r="S3011" s="35" t="n">
        <v>8.513999999999999</v>
      </c>
      <c r="T3011" s="18" t="n"/>
      <c r="U3011" s="18" t="n">
        <v>71421.19</v>
      </c>
      <c r="V3011" s="18" t="n"/>
      <c r="W3011" s="18" t="n"/>
      <c r="X3011" s="35" t="n">
        <v>8.513999999999999</v>
      </c>
      <c r="Y3011" s="35" t="n"/>
    </row>
    <row r="3012">
      <c r="A3012" s="25" t="n">
        <v>43266</v>
      </c>
      <c r="B3012" s="18" t="n">
        <v>70757.73</v>
      </c>
      <c r="C3012" s="31" t="n"/>
      <c r="D3012" s="32" t="n"/>
      <c r="E3012" s="33" t="n">
        <v>0.8827</v>
      </c>
      <c r="F3012" t="inlineStr">
        <is>
          <t>Up</t>
        </is>
      </c>
      <c r="G3012" t="inlineStr">
        <is>
          <t>Up</t>
        </is>
      </c>
      <c r="H3012" t="inlineStr">
        <is>
          <t>EU_JU</t>
        </is>
      </c>
      <c r="I3012" t="inlineStr">
        <is>
          <t>2018-06</t>
        </is>
      </c>
      <c r="J3012" t="n">
        <v>1</v>
      </c>
      <c r="K3012" t="n">
        <v>1</v>
      </c>
      <c r="L3012" s="34">
        <f>IF($J3012=1,LN(B3013/B3012),"")</f>
        <v/>
      </c>
      <c r="M3012" s="34">
        <f>IF($K3012=1,INDEX(Mensal!$D$2:$D$245,MATCH($I3012,Mensal!$A$2:$A$245,0)),"")</f>
        <v/>
      </c>
      <c r="N3012" s="34">
        <f>IF($K3012=1,L3012-M3012,"")</f>
        <v/>
      </c>
      <c r="O3012" s="34" t="n">
        <v>0.00024583</v>
      </c>
      <c r="P3012" s="34">
        <f>IF($J3012=1,LN(1+O3012),"")</f>
        <v/>
      </c>
      <c r="Q3012" s="34">
        <f>IF($J3012=1,LN(R3013/R3012),"")</f>
        <v/>
      </c>
      <c r="R3012" s="32" t="n">
        <v>3.7738</v>
      </c>
      <c r="S3012" s="35" t="n">
        <v>8.173</v>
      </c>
      <c r="T3012" s="18" t="n"/>
      <c r="U3012" s="18" t="n">
        <v>70757.73</v>
      </c>
      <c r="V3012" s="18" t="n"/>
      <c r="W3012" s="18" t="n"/>
      <c r="X3012" s="35" t="n">
        <v>8.173</v>
      </c>
      <c r="Y3012" s="35" t="n"/>
    </row>
    <row r="3013">
      <c r="A3013" s="25" t="n">
        <v>43269</v>
      </c>
      <c r="B3013" s="18" t="n">
        <v>69814.74000000001</v>
      </c>
      <c r="C3013" s="31" t="n"/>
      <c r="D3013" s="32" t="n"/>
      <c r="E3013" s="33" t="n">
        <v>0.8814</v>
      </c>
      <c r="F3013" t="inlineStr">
        <is>
          <t>Up</t>
        </is>
      </c>
      <c r="G3013" t="inlineStr">
        <is>
          <t>Up</t>
        </is>
      </c>
      <c r="H3013" t="inlineStr">
        <is>
          <t>EU_JU</t>
        </is>
      </c>
      <c r="I3013" t="inlineStr">
        <is>
          <t>2018-06</t>
        </is>
      </c>
      <c r="J3013" t="n">
        <v>1</v>
      </c>
      <c r="K3013" t="n">
        <v>1</v>
      </c>
      <c r="L3013" s="34">
        <f>IF($J3013=1,LN(B3014/B3013),"")</f>
        <v/>
      </c>
      <c r="M3013" s="34">
        <f>IF($K3013=1,INDEX(Mensal!$D$2:$D$245,MATCH($I3013,Mensal!$A$2:$A$245,0)),"")</f>
        <v/>
      </c>
      <c r="N3013" s="34">
        <f>IF($K3013=1,L3013-M3013,"")</f>
        <v/>
      </c>
      <c r="O3013" s="34" t="n">
        <v>0.00024583</v>
      </c>
      <c r="P3013" s="34">
        <f>IF($J3013=1,LN(1+O3013),"")</f>
        <v/>
      </c>
      <c r="Q3013" s="34">
        <f>IF($J3013=1,LN(R3014/R3013),"")</f>
        <v/>
      </c>
      <c r="R3013" s="32" t="n">
        <v>3.7543</v>
      </c>
      <c r="S3013" s="35" t="n">
        <v>8.067</v>
      </c>
      <c r="T3013" s="18" t="n"/>
      <c r="U3013" s="18" t="n">
        <v>69814.74000000001</v>
      </c>
      <c r="V3013" s="18" t="n"/>
      <c r="W3013" s="18" t="n"/>
      <c r="X3013" s="35" t="n">
        <v>8.067</v>
      </c>
      <c r="Y3013" s="35" t="n"/>
    </row>
    <row r="3014">
      <c r="A3014" s="25" t="n">
        <v>43270</v>
      </c>
      <c r="B3014" s="18" t="n">
        <v>71394.34</v>
      </c>
      <c r="C3014" s="31" t="n"/>
      <c r="D3014" s="32" t="n"/>
      <c r="E3014" s="33" t="n">
        <v>0.8879</v>
      </c>
      <c r="F3014" t="inlineStr">
        <is>
          <t>Up</t>
        </is>
      </c>
      <c r="G3014" t="inlineStr">
        <is>
          <t>Up</t>
        </is>
      </c>
      <c r="H3014" t="inlineStr">
        <is>
          <t>EU_JU</t>
        </is>
      </c>
      <c r="I3014" t="inlineStr">
        <is>
          <t>2018-06</t>
        </is>
      </c>
      <c r="J3014" t="n">
        <v>1</v>
      </c>
      <c r="K3014" t="n">
        <v>1</v>
      </c>
      <c r="L3014" s="34">
        <f>IF($J3014=1,LN(B3015/B3014),"")</f>
        <v/>
      </c>
      <c r="M3014" s="34">
        <f>IF($K3014=1,INDEX(Mensal!$D$2:$D$245,MATCH($I3014,Mensal!$A$2:$A$245,0)),"")</f>
        <v/>
      </c>
      <c r="N3014" s="34">
        <f>IF($K3014=1,L3014-M3014,"")</f>
        <v/>
      </c>
      <c r="O3014" s="34" t="n">
        <v>0.00024583</v>
      </c>
      <c r="P3014" s="34">
        <f>IF($J3014=1,LN(1+O3014),"")</f>
        <v/>
      </c>
      <c r="Q3014" s="34">
        <f>IF($J3014=1,LN(R3015/R3014),"")</f>
        <v/>
      </c>
      <c r="R3014" s="32" t="n">
        <v>3.7566</v>
      </c>
      <c r="S3014" s="35" t="n">
        <v>7.841</v>
      </c>
      <c r="T3014" s="18" t="n"/>
      <c r="U3014" s="18" t="n">
        <v>71394.34</v>
      </c>
      <c r="V3014" s="18" t="n"/>
      <c r="W3014" s="18" t="n"/>
      <c r="X3014" s="35" t="n">
        <v>7.841</v>
      </c>
      <c r="Y3014" s="35" t="n"/>
    </row>
    <row r="3015">
      <c r="A3015" s="25" t="n">
        <v>43271</v>
      </c>
      <c r="B3015" s="18" t="n">
        <v>72123.41</v>
      </c>
      <c r="C3015" s="31" t="n"/>
      <c r="D3015" s="32" t="n"/>
      <c r="E3015" s="33" t="n">
        <v>0.8991</v>
      </c>
      <c r="F3015" t="inlineStr">
        <is>
          <t>Up</t>
        </is>
      </c>
      <c r="G3015" t="inlineStr">
        <is>
          <t>Up</t>
        </is>
      </c>
      <c r="H3015" t="inlineStr">
        <is>
          <t>EU_JU</t>
        </is>
      </c>
      <c r="I3015" t="inlineStr">
        <is>
          <t>2018-06</t>
        </is>
      </c>
      <c r="J3015" t="n">
        <v>1</v>
      </c>
      <c r="K3015" t="n">
        <v>1</v>
      </c>
      <c r="L3015" s="34">
        <f>IF($J3015=1,LN(B3016/B3015),"")</f>
        <v/>
      </c>
      <c r="M3015" s="34">
        <f>IF($K3015=1,INDEX(Mensal!$D$2:$D$245,MATCH($I3015,Mensal!$A$2:$A$245,0)),"")</f>
        <v/>
      </c>
      <c r="N3015" s="34">
        <f>IF($K3015=1,L3015-M3015,"")</f>
        <v/>
      </c>
      <c r="O3015" s="34" t="n">
        <v>0.00024583</v>
      </c>
      <c r="P3015" s="34">
        <f>IF($J3015=1,LN(1+O3015),"")</f>
        <v/>
      </c>
      <c r="Q3015" s="34">
        <f>IF($J3015=1,LN(R3016/R3015),"")</f>
        <v/>
      </c>
      <c r="R3015" s="32" t="n">
        <v>3.7335</v>
      </c>
      <c r="S3015" s="35" t="n">
        <v>7.905</v>
      </c>
      <c r="T3015" s="18" t="n"/>
      <c r="U3015" s="18" t="n">
        <v>72123.41</v>
      </c>
      <c r="V3015" s="18" t="n"/>
      <c r="W3015" s="18" t="n"/>
      <c r="X3015" s="35" t="n">
        <v>7.905</v>
      </c>
      <c r="Y3015" s="35" t="n"/>
    </row>
    <row r="3016">
      <c r="A3016" s="25" t="n">
        <v>43272</v>
      </c>
      <c r="B3016" s="18" t="n">
        <v>70074.89999999999</v>
      </c>
      <c r="C3016" s="31" t="n"/>
      <c r="D3016" s="32" t="n"/>
      <c r="E3016" s="33" t="n">
        <v>0.9102</v>
      </c>
      <c r="F3016" t="inlineStr">
        <is>
          <t>Up</t>
        </is>
      </c>
      <c r="G3016" t="inlineStr">
        <is>
          <t>Up</t>
        </is>
      </c>
      <c r="H3016" t="inlineStr">
        <is>
          <t>EU_JU</t>
        </is>
      </c>
      <c r="I3016" t="inlineStr">
        <is>
          <t>2018-06</t>
        </is>
      </c>
      <c r="J3016" t="n">
        <v>1</v>
      </c>
      <c r="K3016" t="n">
        <v>1</v>
      </c>
      <c r="L3016" s="34">
        <f>IF($J3016=1,LN(B3017/B3016),"")</f>
        <v/>
      </c>
      <c r="M3016" s="34">
        <f>IF($K3016=1,INDEX(Mensal!$D$2:$D$245,MATCH($I3016,Mensal!$A$2:$A$245,0)),"")</f>
        <v/>
      </c>
      <c r="N3016" s="34">
        <f>IF($K3016=1,L3016-M3016,"")</f>
        <v/>
      </c>
      <c r="O3016" s="34" t="n">
        <v>0.00024583</v>
      </c>
      <c r="P3016" s="34">
        <f>IF($J3016=1,LN(1+O3016),"")</f>
        <v/>
      </c>
      <c r="Q3016" s="34">
        <f>IF($J3016=1,LN(R3017/R3016),"")</f>
        <v/>
      </c>
      <c r="R3016" s="32" t="n">
        <v>3.7894</v>
      </c>
      <c r="S3016" s="35" t="n">
        <v>7.908</v>
      </c>
      <c r="T3016" s="18" t="n"/>
      <c r="U3016" s="18" t="n">
        <v>70074.89999999999</v>
      </c>
      <c r="V3016" s="18" t="n"/>
      <c r="W3016" s="18" t="n"/>
      <c r="X3016" s="35" t="n">
        <v>7.908</v>
      </c>
      <c r="Y3016" s="35" t="n"/>
    </row>
    <row r="3017">
      <c r="A3017" s="25" t="n">
        <v>43273</v>
      </c>
      <c r="B3017" s="18" t="n">
        <v>70640.64999999999</v>
      </c>
      <c r="C3017" s="31" t="n"/>
      <c r="D3017" s="32" t="n"/>
      <c r="E3017" s="33" t="n">
        <v>0.9086</v>
      </c>
      <c r="F3017" t="inlineStr">
        <is>
          <t>Up</t>
        </is>
      </c>
      <c r="G3017" t="inlineStr">
        <is>
          <t>Up</t>
        </is>
      </c>
      <c r="H3017" t="inlineStr">
        <is>
          <t>EU_JU</t>
        </is>
      </c>
      <c r="I3017" t="inlineStr">
        <is>
          <t>2018-06</t>
        </is>
      </c>
      <c r="J3017" t="n">
        <v>1</v>
      </c>
      <c r="K3017" t="n">
        <v>1</v>
      </c>
      <c r="L3017" s="34">
        <f>IF($J3017=1,LN(B3018/B3017),"")</f>
        <v/>
      </c>
      <c r="M3017" s="34">
        <f>IF($K3017=1,INDEX(Mensal!$D$2:$D$245,MATCH($I3017,Mensal!$A$2:$A$245,0)),"")</f>
        <v/>
      </c>
      <c r="N3017" s="34">
        <f>IF($K3017=1,L3017-M3017,"")</f>
        <v/>
      </c>
      <c r="O3017" s="34" t="n">
        <v>0.00024583</v>
      </c>
      <c r="P3017" s="34">
        <f>IF($J3017=1,LN(1+O3017),"")</f>
        <v/>
      </c>
      <c r="Q3017" s="34">
        <f>IF($J3017=1,LN(R3018/R3017),"")</f>
        <v/>
      </c>
      <c r="R3017" s="32" t="n">
        <v>3.7663</v>
      </c>
      <c r="S3017" s="35" t="n">
        <v>7.916</v>
      </c>
      <c r="T3017" s="18" t="n"/>
      <c r="U3017" s="18" t="n">
        <v>70640.64999999999</v>
      </c>
      <c r="V3017" s="18" t="n"/>
      <c r="W3017" s="18" t="n"/>
      <c r="X3017" s="35" t="n">
        <v>7.916</v>
      </c>
      <c r="Y3017" s="35" t="n"/>
    </row>
    <row r="3018">
      <c r="A3018" s="25" t="n">
        <v>43276</v>
      </c>
      <c r="B3018" s="18" t="n">
        <v>70952.97</v>
      </c>
      <c r="C3018" s="31" t="n"/>
      <c r="D3018" s="32" t="n"/>
      <c r="E3018" s="33" t="n">
        <v>0.9046999999999999</v>
      </c>
      <c r="F3018" t="inlineStr">
        <is>
          <t>Up</t>
        </is>
      </c>
      <c r="G3018" t="inlineStr">
        <is>
          <t>Up</t>
        </is>
      </c>
      <c r="H3018" t="inlineStr">
        <is>
          <t>EU_JU</t>
        </is>
      </c>
      <c r="I3018" t="inlineStr">
        <is>
          <t>2018-06</t>
        </is>
      </c>
      <c r="J3018" t="n">
        <v>1</v>
      </c>
      <c r="K3018" t="n">
        <v>1</v>
      </c>
      <c r="L3018" s="34">
        <f>IF($J3018=1,LN(B3019/B3018),"")</f>
        <v/>
      </c>
      <c r="M3018" s="34">
        <f>IF($K3018=1,INDEX(Mensal!$D$2:$D$245,MATCH($I3018,Mensal!$A$2:$A$245,0)),"")</f>
        <v/>
      </c>
      <c r="N3018" s="34">
        <f>IF($K3018=1,L3018-M3018,"")</f>
        <v/>
      </c>
      <c r="O3018" s="34" t="n">
        <v>0.00024583</v>
      </c>
      <c r="P3018" s="34">
        <f>IF($J3018=1,LN(1+O3018),"")</f>
        <v/>
      </c>
      <c r="Q3018" s="34">
        <f>IF($J3018=1,LN(R3019/R3018),"")</f>
        <v/>
      </c>
      <c r="R3018" s="32" t="n">
        <v>3.776</v>
      </c>
      <c r="S3018" s="35" t="n">
        <v>7.829</v>
      </c>
      <c r="T3018" s="18" t="n"/>
      <c r="U3018" s="18" t="n">
        <v>70952.97</v>
      </c>
      <c r="V3018" s="18" t="n"/>
      <c r="W3018" s="18" t="n"/>
      <c r="X3018" s="35" t="n">
        <v>7.829</v>
      </c>
      <c r="Y3018" s="35" t="n"/>
    </row>
    <row r="3019">
      <c r="A3019" s="25" t="n">
        <v>43277</v>
      </c>
      <c r="B3019" s="18" t="n">
        <v>71404.59</v>
      </c>
      <c r="C3019" s="31" t="n"/>
      <c r="D3019" s="32" t="n"/>
      <c r="E3019" s="33" t="n">
        <v>0.8977000000000001</v>
      </c>
      <c r="F3019" t="inlineStr">
        <is>
          <t>Up</t>
        </is>
      </c>
      <c r="G3019" t="inlineStr">
        <is>
          <t>Up</t>
        </is>
      </c>
      <c r="H3019" t="inlineStr">
        <is>
          <t>EU_JU</t>
        </is>
      </c>
      <c r="I3019" t="inlineStr">
        <is>
          <t>2018-06</t>
        </is>
      </c>
      <c r="J3019" t="n">
        <v>1</v>
      </c>
      <c r="K3019" t="n">
        <v>1</v>
      </c>
      <c r="L3019" s="34">
        <f>IF($J3019=1,LN(B3020/B3019),"")</f>
        <v/>
      </c>
      <c r="M3019" s="34">
        <f>IF($K3019=1,INDEX(Mensal!$D$2:$D$245,MATCH($I3019,Mensal!$A$2:$A$245,0)),"")</f>
        <v/>
      </c>
      <c r="N3019" s="34">
        <f>IF($K3019=1,L3019-M3019,"")</f>
        <v/>
      </c>
      <c r="O3019" s="34" t="n">
        <v>0.00024583</v>
      </c>
      <c r="P3019" s="34">
        <f>IF($J3019=1,LN(1+O3019),"")</f>
        <v/>
      </c>
      <c r="Q3019" s="34">
        <f>IF($J3019=1,LN(R3020/R3019),"")</f>
        <v/>
      </c>
      <c r="R3019" s="32" t="n">
        <v>3.7721</v>
      </c>
      <c r="S3019" s="35" t="n">
        <v>7.724</v>
      </c>
      <c r="T3019" s="18" t="n"/>
      <c r="U3019" s="18" t="n">
        <v>71404.59</v>
      </c>
      <c r="V3019" s="18" t="n"/>
      <c r="W3019" s="18" t="n"/>
      <c r="X3019" s="35" t="n">
        <v>7.724</v>
      </c>
      <c r="Y3019" s="35" t="n"/>
    </row>
    <row r="3020">
      <c r="A3020" s="25" t="n">
        <v>43278</v>
      </c>
      <c r="B3020" s="18" t="n">
        <v>70609.00999999999</v>
      </c>
      <c r="C3020" s="31" t="n"/>
      <c r="D3020" s="32" t="n"/>
      <c r="E3020" s="33" t="n">
        <v>0.8982</v>
      </c>
      <c r="F3020" t="inlineStr">
        <is>
          <t>Up</t>
        </is>
      </c>
      <c r="G3020" t="inlineStr">
        <is>
          <t>Up</t>
        </is>
      </c>
      <c r="H3020" t="inlineStr">
        <is>
          <t>EU_JU</t>
        </is>
      </c>
      <c r="I3020" t="inlineStr">
        <is>
          <t>2018-06</t>
        </is>
      </c>
      <c r="J3020" t="n">
        <v>1</v>
      </c>
      <c r="K3020" t="n">
        <v>1</v>
      </c>
      <c r="L3020" s="34">
        <f>IF($J3020=1,LN(B3021/B3020),"")</f>
        <v/>
      </c>
      <c r="M3020" s="34">
        <f>IF($K3020=1,INDEX(Mensal!$D$2:$D$245,MATCH($I3020,Mensal!$A$2:$A$245,0)),"")</f>
        <v/>
      </c>
      <c r="N3020" s="34">
        <f>IF($K3020=1,L3020-M3020,"")</f>
        <v/>
      </c>
      <c r="O3020" s="34" t="n">
        <v>0.00024583</v>
      </c>
      <c r="P3020" s="34">
        <f>IF($J3020=1,LN(1+O3020),"")</f>
        <v/>
      </c>
      <c r="Q3020" s="34">
        <f>IF($J3020=1,LN(R3021/R3020),"")</f>
        <v/>
      </c>
      <c r="R3020" s="32" t="n">
        <v>3.8358</v>
      </c>
      <c r="S3020" s="35" t="n">
        <v>7.812</v>
      </c>
      <c r="T3020" s="18" t="n"/>
      <c r="U3020" s="18" t="n">
        <v>70609.00999999999</v>
      </c>
      <c r="V3020" s="18" t="n"/>
      <c r="W3020" s="18" t="n"/>
      <c r="X3020" s="35" t="n">
        <v>7.812</v>
      </c>
      <c r="Y3020" s="35" t="n"/>
    </row>
    <row r="3021">
      <c r="A3021" s="25" t="n">
        <v>43279</v>
      </c>
      <c r="B3021" s="18" t="n">
        <v>71766.53</v>
      </c>
      <c r="C3021" s="31" t="n"/>
      <c r="D3021" s="32" t="n"/>
      <c r="E3021" s="33" t="n">
        <v>0.8948</v>
      </c>
      <c r="F3021" t="inlineStr">
        <is>
          <t>Up</t>
        </is>
      </c>
      <c r="G3021" t="inlineStr">
        <is>
          <t>Up</t>
        </is>
      </c>
      <c r="H3021" t="inlineStr">
        <is>
          <t>EU_JU</t>
        </is>
      </c>
      <c r="I3021" t="inlineStr">
        <is>
          <t>2018-06</t>
        </is>
      </c>
      <c r="J3021" t="n">
        <v>1</v>
      </c>
      <c r="K3021" t="n">
        <v>1</v>
      </c>
      <c r="L3021" s="34">
        <f>IF($J3021=1,LN(B3022/B3021),"")</f>
        <v/>
      </c>
      <c r="M3021" s="34">
        <f>IF($K3021=1,INDEX(Mensal!$D$2:$D$245,MATCH($I3021,Mensal!$A$2:$A$245,0)),"")</f>
        <v/>
      </c>
      <c r="N3021" s="34">
        <f>IF($K3021=1,L3021-M3021,"")</f>
        <v/>
      </c>
      <c r="O3021" s="34" t="n">
        <v>0.00024583</v>
      </c>
      <c r="P3021" s="34">
        <f>IF($J3021=1,LN(1+O3021),"")</f>
        <v/>
      </c>
      <c r="Q3021" s="34">
        <f>IF($J3021=1,LN(R3022/R3021),"")</f>
        <v/>
      </c>
      <c r="R3021" s="32" t="n">
        <v>3.8521</v>
      </c>
      <c r="S3021" s="35" t="n">
        <v>7.613</v>
      </c>
      <c r="T3021" s="18" t="n"/>
      <c r="U3021" s="18" t="n">
        <v>71766.53</v>
      </c>
      <c r="V3021" s="18" t="n"/>
      <c r="W3021" s="18" t="n"/>
      <c r="X3021" s="35" t="n">
        <v>7.613</v>
      </c>
      <c r="Y3021" s="35" t="n"/>
    </row>
    <row r="3022">
      <c r="A3022" s="25" t="n">
        <v>43280</v>
      </c>
      <c r="B3022" s="18" t="n">
        <v>72762.52</v>
      </c>
      <c r="C3022" s="31" t="n"/>
      <c r="D3022" s="32" t="n"/>
      <c r="E3022" s="33" t="n">
        <v>0.8975</v>
      </c>
      <c r="F3022" t="inlineStr">
        <is>
          <t>Up</t>
        </is>
      </c>
      <c r="G3022" t="inlineStr">
        <is>
          <t>Up</t>
        </is>
      </c>
      <c r="H3022" t="inlineStr">
        <is>
          <t>EU_JU</t>
        </is>
      </c>
      <c r="I3022" t="inlineStr">
        <is>
          <t>2018-06</t>
        </is>
      </c>
      <c r="J3022" t="n">
        <v>1</v>
      </c>
      <c r="K3022" t="n">
        <v>1</v>
      </c>
      <c r="L3022" s="34">
        <f>IF($J3022=1,LN(B3023/B3022),"")</f>
        <v/>
      </c>
      <c r="M3022" s="34">
        <f>IF($K3022=1,INDEX(Mensal!$D$2:$D$245,MATCH($I3022,Mensal!$A$2:$A$245,0)),"")</f>
        <v/>
      </c>
      <c r="N3022" s="34">
        <f>IF($K3022=1,L3022-M3022,"")</f>
        <v/>
      </c>
      <c r="O3022" s="34" t="n">
        <v>0.00024583</v>
      </c>
      <c r="P3022" s="34">
        <f>IF($J3022=1,LN(1+O3022),"")</f>
        <v/>
      </c>
      <c r="Q3022" s="34">
        <f>IF($J3022=1,LN(R3023/R3022),"")</f>
        <v/>
      </c>
      <c r="R3022" s="32" t="n">
        <v>3.8558</v>
      </c>
      <c r="S3022" s="35" t="n">
        <v>7.575</v>
      </c>
      <c r="T3022" s="18" t="n"/>
      <c r="U3022" s="18" t="n">
        <v>72762.52</v>
      </c>
      <c r="V3022" s="18" t="n"/>
      <c r="W3022" s="18" t="n"/>
      <c r="X3022" s="35" t="n">
        <v>7.575</v>
      </c>
      <c r="Y3022" s="35" t="n"/>
    </row>
    <row r="3023">
      <c r="A3023" s="25" t="n">
        <v>43283</v>
      </c>
      <c r="B3023" s="18" t="n">
        <v>72839.74000000001</v>
      </c>
      <c r="C3023" s="31" t="n"/>
      <c r="D3023" s="32" t="n"/>
      <c r="E3023" s="33" t="n">
        <v>0.9141</v>
      </c>
      <c r="F3023" t="inlineStr">
        <is>
          <t>Up</t>
        </is>
      </c>
      <c r="G3023" t="inlineStr">
        <is>
          <t>Up</t>
        </is>
      </c>
      <c r="H3023" t="inlineStr">
        <is>
          <t>EU_JU</t>
        </is>
      </c>
      <c r="I3023" t="inlineStr">
        <is>
          <t>2018-07</t>
        </is>
      </c>
      <c r="J3023" t="n">
        <v>1</v>
      </c>
      <c r="K3023" t="n">
        <v>1</v>
      </c>
      <c r="L3023" s="34">
        <f>IF($J3023=1,LN(B3024/B3023),"")</f>
        <v/>
      </c>
      <c r="M3023" s="34">
        <f>IF($K3023=1,INDEX(Mensal!$D$2:$D$245,MATCH($I3023,Mensal!$A$2:$A$245,0)),"")</f>
        <v/>
      </c>
      <c r="N3023" s="34">
        <f>IF($K3023=1,L3023-M3023,"")</f>
        <v/>
      </c>
      <c r="O3023" s="34" t="n">
        <v>0.00024583</v>
      </c>
      <c r="P3023" s="34">
        <f>IF($J3023=1,LN(1+O3023),"")</f>
        <v/>
      </c>
      <c r="Q3023" s="34">
        <f>IF($J3023=1,LN(R3024/R3023),"")</f>
        <v/>
      </c>
      <c r="R3023" s="32" t="n">
        <v>3.9055</v>
      </c>
      <c r="S3023" s="35" t="n">
        <v>7.56</v>
      </c>
      <c r="T3023" s="18" t="n"/>
      <c r="U3023" s="18" t="n">
        <v>72839.74000000001</v>
      </c>
      <c r="V3023" s="18" t="n"/>
      <c r="W3023" s="18" t="n"/>
      <c r="X3023" s="35" t="n">
        <v>7.56</v>
      </c>
      <c r="Y3023" s="35" t="n"/>
    </row>
    <row r="3024">
      <c r="A3024" s="25" t="n">
        <v>43284</v>
      </c>
      <c r="B3024" s="18" t="n">
        <v>73667.75999999999</v>
      </c>
      <c r="C3024" s="31" t="n"/>
      <c r="D3024" s="32" t="n"/>
      <c r="E3024" s="33" t="n">
        <v>0.9163</v>
      </c>
      <c r="F3024" t="inlineStr">
        <is>
          <t>Up</t>
        </is>
      </c>
      <c r="G3024" t="inlineStr">
        <is>
          <t>Up</t>
        </is>
      </c>
      <c r="H3024" t="inlineStr">
        <is>
          <t>EU_JU</t>
        </is>
      </c>
      <c r="I3024" t="inlineStr">
        <is>
          <t>2018-07</t>
        </is>
      </c>
      <c r="J3024" t="n">
        <v>1</v>
      </c>
      <c r="K3024" t="n">
        <v>1</v>
      </c>
      <c r="L3024" s="34">
        <f>IF($J3024=1,LN(B3025/B3024),"")</f>
        <v/>
      </c>
      <c r="M3024" s="34">
        <f>IF($K3024=1,INDEX(Mensal!$D$2:$D$245,MATCH($I3024,Mensal!$A$2:$A$245,0)),"")</f>
        <v/>
      </c>
      <c r="N3024" s="34">
        <f>IF($K3024=1,L3024-M3024,"")</f>
        <v/>
      </c>
      <c r="O3024" s="34" t="n">
        <v>0.00024583</v>
      </c>
      <c r="P3024" s="34">
        <f>IF($J3024=1,LN(1+O3024),"")</f>
        <v/>
      </c>
      <c r="Q3024" s="34">
        <f>IF($J3024=1,LN(R3025/R3024),"")</f>
        <v/>
      </c>
      <c r="R3024" s="32" t="n">
        <v>3.892</v>
      </c>
      <c r="S3024" s="35" t="n">
        <v>7.664</v>
      </c>
      <c r="T3024" s="18" t="n"/>
      <c r="U3024" s="18" t="n">
        <v>73667.75999999999</v>
      </c>
      <c r="V3024" s="18" t="n"/>
      <c r="W3024" s="18" t="n"/>
      <c r="X3024" s="35" t="n">
        <v>7.664</v>
      </c>
      <c r="Y3024" s="35" t="n"/>
    </row>
    <row r="3025">
      <c r="A3025" s="25" t="n">
        <v>43285</v>
      </c>
      <c r="B3025" s="18" t="n">
        <v>74743.12</v>
      </c>
      <c r="C3025" s="31" t="n"/>
      <c r="D3025" s="32" t="n"/>
      <c r="E3025" s="33" t="n">
        <v>0.9172</v>
      </c>
      <c r="F3025" t="inlineStr">
        <is>
          <t>Up</t>
        </is>
      </c>
      <c r="G3025" t="inlineStr">
        <is>
          <t>Up</t>
        </is>
      </c>
      <c r="H3025" t="inlineStr">
        <is>
          <t>EU_JU</t>
        </is>
      </c>
      <c r="I3025" t="inlineStr">
        <is>
          <t>2018-07</t>
        </is>
      </c>
      <c r="J3025" t="n">
        <v>1</v>
      </c>
      <c r="K3025" t="n">
        <v>1</v>
      </c>
      <c r="L3025" s="34">
        <f>IF($J3025=1,LN(B3026/B3025),"")</f>
        <v/>
      </c>
      <c r="M3025" s="34">
        <f>IF($K3025=1,INDEX(Mensal!$D$2:$D$245,MATCH($I3025,Mensal!$A$2:$A$245,0)),"")</f>
        <v/>
      </c>
      <c r="N3025" s="34">
        <f>IF($K3025=1,L3025-M3025,"")</f>
        <v/>
      </c>
      <c r="O3025" s="34" t="n">
        <v>0.00024583</v>
      </c>
      <c r="P3025" s="34">
        <f>IF($J3025=1,LN(1+O3025),"")</f>
        <v/>
      </c>
      <c r="Q3025" s="34">
        <f>IF($J3025=1,LN(R3026/R3025),"")</f>
        <v/>
      </c>
      <c r="R3025" s="32" t="n">
        <v>3.9058</v>
      </c>
      <c r="S3025" s="35" t="n">
        <v>7.685</v>
      </c>
      <c r="T3025" s="18" t="n"/>
      <c r="U3025" s="18" t="n">
        <v>74743.12</v>
      </c>
      <c r="V3025" s="18" t="n"/>
      <c r="W3025" s="18" t="n"/>
      <c r="X3025" s="35" t="n">
        <v>7.685</v>
      </c>
      <c r="Y3025" s="35" t="n"/>
    </row>
    <row r="3026">
      <c r="A3026" s="25" t="n">
        <v>43286</v>
      </c>
      <c r="B3026" s="18" t="n">
        <v>74553.06</v>
      </c>
      <c r="C3026" s="31" t="n"/>
      <c r="D3026" s="32" t="n"/>
      <c r="E3026" s="33" t="n">
        <v>0.9192</v>
      </c>
      <c r="F3026" t="inlineStr">
        <is>
          <t>Up</t>
        </is>
      </c>
      <c r="G3026" t="inlineStr">
        <is>
          <t>Up</t>
        </is>
      </c>
      <c r="H3026" t="inlineStr">
        <is>
          <t>EU_JU</t>
        </is>
      </c>
      <c r="I3026" t="inlineStr">
        <is>
          <t>2018-07</t>
        </is>
      </c>
      <c r="J3026" t="n">
        <v>1</v>
      </c>
      <c r="K3026" t="n">
        <v>1</v>
      </c>
      <c r="L3026" s="34">
        <f>IF($J3026=1,LN(B3027/B3026),"")</f>
        <v/>
      </c>
      <c r="M3026" s="34">
        <f>IF($K3026=1,INDEX(Mensal!$D$2:$D$245,MATCH($I3026,Mensal!$A$2:$A$245,0)),"")</f>
        <v/>
      </c>
      <c r="N3026" s="34">
        <f>IF($K3026=1,L3026-M3026,"")</f>
        <v/>
      </c>
      <c r="O3026" s="34" t="n">
        <v>0.00024583</v>
      </c>
      <c r="P3026" s="34">
        <f>IF($J3026=1,LN(1+O3026),"")</f>
        <v/>
      </c>
      <c r="Q3026" s="34">
        <f>IF($J3026=1,LN(R3027/R3026),"")</f>
        <v/>
      </c>
      <c r="R3026" s="32" t="n">
        <v>3.9192</v>
      </c>
      <c r="S3026" s="35" t="n">
        <v>7.775</v>
      </c>
      <c r="T3026" s="18" t="n"/>
      <c r="U3026" s="18" t="n">
        <v>74553.06</v>
      </c>
      <c r="V3026" s="18" t="n"/>
      <c r="W3026" s="18" t="n"/>
      <c r="X3026" s="35" t="n">
        <v>7.775</v>
      </c>
      <c r="Y3026" s="35" t="n"/>
    </row>
    <row r="3027">
      <c r="A3027" s="25" t="n">
        <v>43287</v>
      </c>
      <c r="B3027" s="18" t="n">
        <v>75010.39</v>
      </c>
      <c r="C3027" s="31" t="n"/>
      <c r="D3027" s="32" t="n"/>
      <c r="E3027" s="33" t="n">
        <v>0.9195</v>
      </c>
      <c r="F3027" t="inlineStr">
        <is>
          <t>Up</t>
        </is>
      </c>
      <c r="G3027" t="inlineStr">
        <is>
          <t>Up</t>
        </is>
      </c>
      <c r="H3027" t="inlineStr">
        <is>
          <t>EU_JU</t>
        </is>
      </c>
      <c r="I3027" t="inlineStr">
        <is>
          <t>2018-07</t>
        </is>
      </c>
      <c r="J3027" t="n">
        <v>1</v>
      </c>
      <c r="K3027" t="n">
        <v>1</v>
      </c>
      <c r="L3027" s="34">
        <f>IF($J3027=1,LN(B3028/B3027),"")</f>
        <v/>
      </c>
      <c r="M3027" s="34">
        <f>IF($K3027=1,INDEX(Mensal!$D$2:$D$245,MATCH($I3027,Mensal!$A$2:$A$245,0)),"")</f>
        <v/>
      </c>
      <c r="N3027" s="34">
        <f>IF($K3027=1,L3027-M3027,"")</f>
        <v/>
      </c>
      <c r="O3027" s="34" t="n">
        <v>0.00024583</v>
      </c>
      <c r="P3027" s="34">
        <f>IF($J3027=1,LN(1+O3027),"")</f>
        <v/>
      </c>
      <c r="Q3027" s="34">
        <f>IF($J3027=1,LN(R3028/R3027),"")</f>
        <v/>
      </c>
      <c r="R3027" s="32" t="n">
        <v>3.9264</v>
      </c>
      <c r="S3027" s="35" t="n">
        <v>7.59</v>
      </c>
      <c r="T3027" s="18" t="n"/>
      <c r="U3027" s="18" t="n">
        <v>75010.39</v>
      </c>
      <c r="V3027" s="18" t="n"/>
      <c r="W3027" s="18" t="n"/>
      <c r="X3027" s="35" t="n">
        <v>7.59</v>
      </c>
      <c r="Y3027" s="35" t="n"/>
    </row>
    <row r="3028">
      <c r="A3028" s="25" t="n">
        <v>43291</v>
      </c>
      <c r="B3028" s="18" t="n">
        <v>74862.38</v>
      </c>
      <c r="C3028" s="31" t="n"/>
      <c r="D3028" s="32" t="n"/>
      <c r="E3028" s="33" t="n">
        <v>0.9255</v>
      </c>
      <c r="F3028" t="inlineStr">
        <is>
          <t>Up</t>
        </is>
      </c>
      <c r="G3028" t="inlineStr">
        <is>
          <t>Up</t>
        </is>
      </c>
      <c r="H3028" t="inlineStr">
        <is>
          <t>EU_JU</t>
        </is>
      </c>
      <c r="I3028" t="inlineStr">
        <is>
          <t>2018-07</t>
        </is>
      </c>
      <c r="J3028" t="n">
        <v>1</v>
      </c>
      <c r="K3028" t="n">
        <v>1</v>
      </c>
      <c r="L3028" s="34">
        <f>IF($J3028=1,LN(B3029/B3028),"")</f>
        <v/>
      </c>
      <c r="M3028" s="34">
        <f>IF($K3028=1,INDEX(Mensal!$D$2:$D$245,MATCH($I3028,Mensal!$A$2:$A$245,0)),"")</f>
        <v/>
      </c>
      <c r="N3028" s="34">
        <f>IF($K3028=1,L3028-M3028,"")</f>
        <v/>
      </c>
      <c r="O3028" s="34" t="n">
        <v>0.00024583</v>
      </c>
      <c r="P3028" s="34">
        <f>IF($J3028=1,LN(1+O3028),"")</f>
        <v/>
      </c>
      <c r="Q3028" s="34">
        <f>IF($J3028=1,LN(R3029/R3028),"")</f>
        <v/>
      </c>
      <c r="R3028" s="32" t="n">
        <v>3.8452</v>
      </c>
      <c r="S3028" s="35" t="n">
        <v>7.536</v>
      </c>
      <c r="T3028" s="18" t="n"/>
      <c r="U3028" s="18" t="n">
        <v>74862.38</v>
      </c>
      <c r="V3028" s="18" t="n"/>
      <c r="W3028" s="18" t="n"/>
      <c r="X3028" s="35" t="n">
        <v>7.536</v>
      </c>
      <c r="Y3028" s="35" t="n"/>
    </row>
    <row r="3029">
      <c r="A3029" s="25" t="n">
        <v>43292</v>
      </c>
      <c r="B3029" s="18" t="n">
        <v>74398.55</v>
      </c>
      <c r="C3029" s="31" t="n"/>
      <c r="D3029" s="32" t="n"/>
      <c r="E3029" s="33" t="n">
        <v>0.9326</v>
      </c>
      <c r="F3029" t="inlineStr">
        <is>
          <t>Up</t>
        </is>
      </c>
      <c r="G3029" t="inlineStr">
        <is>
          <t>Up</t>
        </is>
      </c>
      <c r="H3029" t="inlineStr">
        <is>
          <t>EU_JU</t>
        </is>
      </c>
      <c r="I3029" t="inlineStr">
        <is>
          <t>2018-07</t>
        </is>
      </c>
      <c r="J3029" t="n">
        <v>1</v>
      </c>
      <c r="K3029" t="n">
        <v>1</v>
      </c>
      <c r="L3029" s="34">
        <f>IF($J3029=1,LN(B3030/B3029),"")</f>
        <v/>
      </c>
      <c r="M3029" s="34">
        <f>IF($K3029=1,INDEX(Mensal!$D$2:$D$245,MATCH($I3029,Mensal!$A$2:$A$245,0)),"")</f>
        <v/>
      </c>
      <c r="N3029" s="34">
        <f>IF($K3029=1,L3029-M3029,"")</f>
        <v/>
      </c>
      <c r="O3029" s="34" t="n">
        <v>0.00024583</v>
      </c>
      <c r="P3029" s="34">
        <f>IF($J3029=1,LN(1+O3029),"")</f>
        <v/>
      </c>
      <c r="Q3029" s="34">
        <f>IF($J3029=1,LN(R3030/R3029),"")</f>
        <v/>
      </c>
      <c r="R3029" s="32" t="n">
        <v>3.8417</v>
      </c>
      <c r="S3029" s="35" t="n">
        <v>7.613</v>
      </c>
      <c r="T3029" s="18" t="n"/>
      <c r="U3029" s="18" t="n">
        <v>74398.55</v>
      </c>
      <c r="V3029" s="18" t="n"/>
      <c r="W3029" s="18" t="n"/>
      <c r="X3029" s="35" t="n">
        <v>7.613</v>
      </c>
      <c r="Y3029" s="35" t="n"/>
    </row>
    <row r="3030">
      <c r="A3030" s="25" t="n">
        <v>43293</v>
      </c>
      <c r="B3030" s="18" t="n">
        <v>75856.23</v>
      </c>
      <c r="C3030" s="31" t="n"/>
      <c r="D3030" s="32" t="n"/>
      <c r="E3030" s="33" t="n">
        <v>0.9421</v>
      </c>
      <c r="F3030" t="inlineStr">
        <is>
          <t>Up</t>
        </is>
      </c>
      <c r="G3030" t="inlineStr">
        <is>
          <t>Up</t>
        </is>
      </c>
      <c r="H3030" t="inlineStr">
        <is>
          <t>EU_JU</t>
        </is>
      </c>
      <c r="I3030" t="inlineStr">
        <is>
          <t>2018-07</t>
        </is>
      </c>
      <c r="J3030" t="n">
        <v>1</v>
      </c>
      <c r="K3030" t="n">
        <v>1</v>
      </c>
      <c r="L3030" s="34">
        <f>IF($J3030=1,LN(B3031/B3030),"")</f>
        <v/>
      </c>
      <c r="M3030" s="34">
        <f>IF($K3030=1,INDEX(Mensal!$D$2:$D$245,MATCH($I3030,Mensal!$A$2:$A$245,0)),"")</f>
        <v/>
      </c>
      <c r="N3030" s="34">
        <f>IF($K3030=1,L3030-M3030,"")</f>
        <v/>
      </c>
      <c r="O3030" s="34" t="n">
        <v>0.00024583</v>
      </c>
      <c r="P3030" s="34">
        <f>IF($J3030=1,LN(1+O3030),"")</f>
        <v/>
      </c>
      <c r="Q3030" s="34">
        <f>IF($J3030=1,LN(R3031/R3030),"")</f>
        <v/>
      </c>
      <c r="R3030" s="32" t="n">
        <v>3.8564</v>
      </c>
      <c r="S3030" s="35" t="n">
        <v>7.714</v>
      </c>
      <c r="T3030" s="18" t="n"/>
      <c r="U3030" s="18" t="n">
        <v>75856.23</v>
      </c>
      <c r="V3030" s="18" t="n"/>
      <c r="W3030" s="18" t="n"/>
      <c r="X3030" s="35" t="n">
        <v>7.714</v>
      </c>
      <c r="Y3030" s="35" t="n"/>
    </row>
    <row r="3031">
      <c r="A3031" s="25" t="n">
        <v>43294</v>
      </c>
      <c r="B3031" s="18" t="n">
        <v>76594.36</v>
      </c>
      <c r="C3031" s="31" t="n"/>
      <c r="D3031" s="32" t="n"/>
      <c r="E3031" s="33" t="n">
        <v>0.9512</v>
      </c>
      <c r="F3031" t="inlineStr">
        <is>
          <t>Up</t>
        </is>
      </c>
      <c r="G3031" t="inlineStr">
        <is>
          <t>Up</t>
        </is>
      </c>
      <c r="H3031" t="inlineStr">
        <is>
          <t>EU_JU</t>
        </is>
      </c>
      <c r="I3031" t="inlineStr">
        <is>
          <t>2018-07</t>
        </is>
      </c>
      <c r="J3031" t="n">
        <v>1</v>
      </c>
      <c r="K3031" t="n">
        <v>1</v>
      </c>
      <c r="L3031" s="34">
        <f>IF($J3031=1,LN(B3032/B3031),"")</f>
        <v/>
      </c>
      <c r="M3031" s="34">
        <f>IF($K3031=1,INDEX(Mensal!$D$2:$D$245,MATCH($I3031,Mensal!$A$2:$A$245,0)),"")</f>
        <v/>
      </c>
      <c r="N3031" s="34">
        <f>IF($K3031=1,L3031-M3031,"")</f>
        <v/>
      </c>
      <c r="O3031" s="34" t="n">
        <v>0.00024583</v>
      </c>
      <c r="P3031" s="34">
        <f>IF($J3031=1,LN(1+O3031),"")</f>
        <v/>
      </c>
      <c r="Q3031" s="34">
        <f>IF($J3031=1,LN(R3032/R3031),"")</f>
        <v/>
      </c>
      <c r="R3031" s="32" t="n">
        <v>3.8745</v>
      </c>
      <c r="S3031" s="35" t="n">
        <v>7.619</v>
      </c>
      <c r="T3031" s="18" t="n"/>
      <c r="U3031" s="18" t="n">
        <v>76594.36</v>
      </c>
      <c r="V3031" s="18" t="n"/>
      <c r="W3031" s="18" t="n"/>
      <c r="X3031" s="35" t="n">
        <v>7.619</v>
      </c>
      <c r="Y3031" s="35" t="n"/>
    </row>
    <row r="3032">
      <c r="A3032" s="25" t="n">
        <v>43297</v>
      </c>
      <c r="B3032" s="18" t="n">
        <v>76652.59</v>
      </c>
      <c r="C3032" s="31" t="n"/>
      <c r="D3032" s="32" t="n"/>
      <c r="E3032" s="33" t="n">
        <v>0.9649</v>
      </c>
      <c r="F3032" t="inlineStr">
        <is>
          <t>Up</t>
        </is>
      </c>
      <c r="G3032" t="inlineStr">
        <is>
          <t>Up</t>
        </is>
      </c>
      <c r="H3032" t="inlineStr">
        <is>
          <t>EU_JU</t>
        </is>
      </c>
      <c r="I3032" t="inlineStr">
        <is>
          <t>2018-07</t>
        </is>
      </c>
      <c r="J3032" t="n">
        <v>1</v>
      </c>
      <c r="K3032" t="n">
        <v>1</v>
      </c>
      <c r="L3032" s="34">
        <f>IF($J3032=1,LN(B3033/B3032),"")</f>
        <v/>
      </c>
      <c r="M3032" s="34">
        <f>IF($K3032=1,INDEX(Mensal!$D$2:$D$245,MATCH($I3032,Mensal!$A$2:$A$245,0)),"")</f>
        <v/>
      </c>
      <c r="N3032" s="34">
        <f>IF($K3032=1,L3032-M3032,"")</f>
        <v/>
      </c>
      <c r="O3032" s="34" t="n">
        <v>0.00024583</v>
      </c>
      <c r="P3032" s="34">
        <f>IF($J3032=1,LN(1+O3032),"")</f>
        <v/>
      </c>
      <c r="Q3032" s="34">
        <f>IF($J3032=1,LN(R3033/R3032),"")</f>
        <v/>
      </c>
      <c r="R3032" s="32" t="n">
        <v>3.8579</v>
      </c>
      <c r="S3032" s="35" t="n">
        <v>7.59</v>
      </c>
      <c r="T3032" s="18" t="n"/>
      <c r="U3032" s="18" t="n">
        <v>76652.59</v>
      </c>
      <c r="V3032" s="18" t="n"/>
      <c r="W3032" s="18" t="n"/>
      <c r="X3032" s="35" t="n">
        <v>7.59</v>
      </c>
      <c r="Y3032" s="35" t="n"/>
    </row>
    <row r="3033">
      <c r="A3033" s="25" t="n">
        <v>43298</v>
      </c>
      <c r="B3033" s="18" t="n">
        <v>78130.3</v>
      </c>
      <c r="C3033" s="31" t="n"/>
      <c r="D3033" s="32" t="n"/>
      <c r="E3033" s="33" t="n">
        <v>0.9768</v>
      </c>
      <c r="F3033" t="inlineStr">
        <is>
          <t>Up</t>
        </is>
      </c>
      <c r="G3033" t="inlineStr">
        <is>
          <t>Up</t>
        </is>
      </c>
      <c r="H3033" t="inlineStr">
        <is>
          <t>EU_JU</t>
        </is>
      </c>
      <c r="I3033" t="inlineStr">
        <is>
          <t>2018-07</t>
        </is>
      </c>
      <c r="J3033" t="n">
        <v>1</v>
      </c>
      <c r="K3033" t="n">
        <v>1</v>
      </c>
      <c r="L3033" s="34">
        <f>IF($J3033=1,LN(B3034/B3033),"")</f>
        <v/>
      </c>
      <c r="M3033" s="34">
        <f>IF($K3033=1,INDEX(Mensal!$D$2:$D$245,MATCH($I3033,Mensal!$A$2:$A$245,0)),"")</f>
        <v/>
      </c>
      <c r="N3033" s="34">
        <f>IF($K3033=1,L3033-M3033,"")</f>
        <v/>
      </c>
      <c r="O3033" s="34" t="n">
        <v>0.00024583</v>
      </c>
      <c r="P3033" s="34">
        <f>IF($J3033=1,LN(1+O3033),"")</f>
        <v/>
      </c>
      <c r="Q3033" s="34">
        <f>IF($J3033=1,LN(R3034/R3033),"")</f>
        <v/>
      </c>
      <c r="R3033" s="32" t="n">
        <v>3.8671</v>
      </c>
      <c r="S3033" s="35" t="n">
        <v>7.503</v>
      </c>
      <c r="T3033" s="18" t="n"/>
      <c r="U3033" s="18" t="n">
        <v>78130.3</v>
      </c>
      <c r="V3033" s="18" t="n"/>
      <c r="W3033" s="18" t="n"/>
      <c r="X3033" s="35" t="n">
        <v>7.503</v>
      </c>
      <c r="Y3033" s="35" t="n"/>
    </row>
    <row r="3034">
      <c r="A3034" s="25" t="n">
        <v>43299</v>
      </c>
      <c r="B3034" s="18" t="n">
        <v>77362.64</v>
      </c>
      <c r="C3034" s="31" t="n"/>
      <c r="D3034" s="32" t="n"/>
      <c r="E3034" s="33" t="n">
        <v>0.9876</v>
      </c>
      <c r="F3034" t="inlineStr">
        <is>
          <t>Up</t>
        </is>
      </c>
      <c r="G3034" t="inlineStr">
        <is>
          <t>Up</t>
        </is>
      </c>
      <c r="H3034" t="inlineStr">
        <is>
          <t>EU_JU</t>
        </is>
      </c>
      <c r="I3034" t="inlineStr">
        <is>
          <t>2018-07</t>
        </is>
      </c>
      <c r="J3034" t="n">
        <v>1</v>
      </c>
      <c r="K3034" t="n">
        <v>1</v>
      </c>
      <c r="L3034" s="34">
        <f>IF($J3034=1,LN(B3035/B3034),"")</f>
        <v/>
      </c>
      <c r="M3034" s="34">
        <f>IF($K3034=1,INDEX(Mensal!$D$2:$D$245,MATCH($I3034,Mensal!$A$2:$A$245,0)),"")</f>
        <v/>
      </c>
      <c r="N3034" s="34">
        <f>IF($K3034=1,L3034-M3034,"")</f>
        <v/>
      </c>
      <c r="O3034" s="34" t="n">
        <v>0.00024583</v>
      </c>
      <c r="P3034" s="34">
        <f>IF($J3034=1,LN(1+O3034),"")</f>
        <v/>
      </c>
      <c r="Q3034" s="34">
        <f>IF($J3034=1,LN(R3035/R3034),"")</f>
        <v/>
      </c>
      <c r="R3034" s="32" t="n">
        <v>3.8474</v>
      </c>
      <c r="S3034" s="35" t="n">
        <v>7.565</v>
      </c>
      <c r="T3034" s="18" t="n"/>
      <c r="U3034" s="18" t="n">
        <v>77362.64</v>
      </c>
      <c r="V3034" s="18" t="n"/>
      <c r="W3034" s="18" t="n"/>
      <c r="X3034" s="35" t="n">
        <v>7.565</v>
      </c>
      <c r="Y3034" s="35" t="n"/>
    </row>
    <row r="3035">
      <c r="A3035" s="25" t="n">
        <v>43300</v>
      </c>
      <c r="B3035" s="18" t="n">
        <v>77486.84</v>
      </c>
      <c r="C3035" s="31" t="n"/>
      <c r="D3035" s="32" t="n"/>
      <c r="E3035" s="33" t="n">
        <v>1.0018</v>
      </c>
      <c r="F3035" t="inlineStr">
        <is>
          <t>Up</t>
        </is>
      </c>
      <c r="G3035" t="inlineStr">
        <is>
          <t>Up</t>
        </is>
      </c>
      <c r="H3035" t="inlineStr">
        <is>
          <t>EU_JU</t>
        </is>
      </c>
      <c r="I3035" t="inlineStr">
        <is>
          <t>2018-07</t>
        </is>
      </c>
      <c r="J3035" t="n">
        <v>1</v>
      </c>
      <c r="K3035" t="n">
        <v>1</v>
      </c>
      <c r="L3035" s="34">
        <f>IF($J3035=1,LN(B3036/B3035),"")</f>
        <v/>
      </c>
      <c r="M3035" s="34">
        <f>IF($K3035=1,INDEX(Mensal!$D$2:$D$245,MATCH($I3035,Mensal!$A$2:$A$245,0)),"")</f>
        <v/>
      </c>
      <c r="N3035" s="34">
        <f>IF($K3035=1,L3035-M3035,"")</f>
        <v/>
      </c>
      <c r="O3035" s="34" t="n">
        <v>0.00024583</v>
      </c>
      <c r="P3035" s="34">
        <f>IF($J3035=1,LN(1+O3035),"")</f>
        <v/>
      </c>
      <c r="Q3035" s="34">
        <f>IF($J3035=1,LN(R3036/R3035),"")</f>
        <v/>
      </c>
      <c r="R3035" s="32" t="n">
        <v>3.8847</v>
      </c>
      <c r="S3035" s="35" t="n">
        <v>7.557</v>
      </c>
      <c r="T3035" s="18" t="n"/>
      <c r="U3035" s="18" t="n">
        <v>77486.84</v>
      </c>
      <c r="V3035" s="18" t="n"/>
      <c r="W3035" s="18" t="n"/>
      <c r="X3035" s="35" t="n">
        <v>7.557</v>
      </c>
      <c r="Y3035" s="35" t="n"/>
    </row>
    <row r="3036">
      <c r="A3036" s="25" t="n">
        <v>43301</v>
      </c>
      <c r="B3036" s="18" t="n">
        <v>78571.28999999999</v>
      </c>
      <c r="C3036" s="31" t="n"/>
      <c r="D3036" s="32" t="n"/>
      <c r="E3036" s="33" t="n">
        <v>1.0134</v>
      </c>
      <c r="F3036" t="inlineStr">
        <is>
          <t>Up</t>
        </is>
      </c>
      <c r="G3036" t="inlineStr">
        <is>
          <t>Up</t>
        </is>
      </c>
      <c r="H3036" t="inlineStr">
        <is>
          <t>EU_JU</t>
        </is>
      </c>
      <c r="I3036" t="inlineStr">
        <is>
          <t>2018-07</t>
        </is>
      </c>
      <c r="J3036" t="n">
        <v>1</v>
      </c>
      <c r="K3036" t="n">
        <v>1</v>
      </c>
      <c r="L3036" s="34">
        <f>IF($J3036=1,LN(B3037/B3036),"")</f>
        <v/>
      </c>
      <c r="M3036" s="34">
        <f>IF($K3036=1,INDEX(Mensal!$D$2:$D$245,MATCH($I3036,Mensal!$A$2:$A$245,0)),"")</f>
        <v/>
      </c>
      <c r="N3036" s="34">
        <f>IF($K3036=1,L3036-M3036,"")</f>
        <v/>
      </c>
      <c r="O3036" s="34" t="n">
        <v>0.00024583</v>
      </c>
      <c r="P3036" s="34">
        <f>IF($J3036=1,LN(1+O3036),"")</f>
        <v/>
      </c>
      <c r="Q3036" s="34">
        <f>IF($J3036=1,LN(R3037/R3036),"")</f>
        <v/>
      </c>
      <c r="R3036" s="32" t="n">
        <v>3.7793</v>
      </c>
      <c r="S3036" s="35" t="n">
        <v>7.511</v>
      </c>
      <c r="T3036" s="18" t="n"/>
      <c r="U3036" s="18" t="n">
        <v>78571.28999999999</v>
      </c>
      <c r="V3036" s="18" t="n"/>
      <c r="W3036" s="18" t="n"/>
      <c r="X3036" s="35" t="n">
        <v>7.511</v>
      </c>
      <c r="Y3036" s="35" t="n"/>
    </row>
    <row r="3037">
      <c r="A3037" s="25" t="n">
        <v>43304</v>
      </c>
      <c r="B3037" s="18" t="n">
        <v>77996.12</v>
      </c>
      <c r="C3037" s="31" t="n"/>
      <c r="D3037" s="32" t="n"/>
      <c r="E3037" s="33" t="n">
        <v>1.0326</v>
      </c>
      <c r="F3037" t="inlineStr">
        <is>
          <t>Up</t>
        </is>
      </c>
      <c r="G3037" t="inlineStr">
        <is>
          <t>Up</t>
        </is>
      </c>
      <c r="H3037" t="inlineStr">
        <is>
          <t>EU_JU</t>
        </is>
      </c>
      <c r="I3037" t="inlineStr">
        <is>
          <t>2018-07</t>
        </is>
      </c>
      <c r="J3037" t="n">
        <v>1</v>
      </c>
      <c r="K3037" t="n">
        <v>1</v>
      </c>
      <c r="L3037" s="34">
        <f>IF($J3037=1,LN(B3038/B3037),"")</f>
        <v/>
      </c>
      <c r="M3037" s="34">
        <f>IF($K3037=1,INDEX(Mensal!$D$2:$D$245,MATCH($I3037,Mensal!$A$2:$A$245,0)),"")</f>
        <v/>
      </c>
      <c r="N3037" s="34">
        <f>IF($K3037=1,L3037-M3037,"")</f>
        <v/>
      </c>
      <c r="O3037" s="34" t="n">
        <v>0.00024583</v>
      </c>
      <c r="P3037" s="34">
        <f>IF($J3037=1,LN(1+O3037),"")</f>
        <v/>
      </c>
      <c r="Q3037" s="34">
        <f>IF($J3037=1,LN(R3038/R3037),"")</f>
        <v/>
      </c>
      <c r="R3037" s="32" t="n">
        <v>3.7915</v>
      </c>
      <c r="S3037" s="35" t="n">
        <v>7.566</v>
      </c>
      <c r="T3037" s="18" t="n"/>
      <c r="U3037" s="18" t="n">
        <v>77996.12</v>
      </c>
      <c r="V3037" s="18" t="n"/>
      <c r="W3037" s="18" t="n"/>
      <c r="X3037" s="35" t="n">
        <v>7.566</v>
      </c>
      <c r="Y3037" s="35" t="n"/>
    </row>
    <row r="3038">
      <c r="A3038" s="25" t="n">
        <v>43305</v>
      </c>
      <c r="B3038" s="18" t="n">
        <v>79154.99000000001</v>
      </c>
      <c r="C3038" s="31" t="n"/>
      <c r="D3038" s="32" t="n"/>
      <c r="E3038" s="33" t="n">
        <v>1.0496</v>
      </c>
      <c r="F3038" t="inlineStr">
        <is>
          <t>Up</t>
        </is>
      </c>
      <c r="G3038" t="inlineStr">
        <is>
          <t>Up</t>
        </is>
      </c>
      <c r="H3038" t="inlineStr">
        <is>
          <t>EU_JU</t>
        </is>
      </c>
      <c r="I3038" t="inlineStr">
        <is>
          <t>2018-07</t>
        </is>
      </c>
      <c r="J3038" t="n">
        <v>1</v>
      </c>
      <c r="K3038" t="n">
        <v>1</v>
      </c>
      <c r="L3038" s="34">
        <f>IF($J3038=1,LN(B3039/B3038),"")</f>
        <v/>
      </c>
      <c r="M3038" s="34">
        <f>IF($K3038=1,INDEX(Mensal!$D$2:$D$245,MATCH($I3038,Mensal!$A$2:$A$245,0)),"")</f>
        <v/>
      </c>
      <c r="N3038" s="34">
        <f>IF($K3038=1,L3038-M3038,"")</f>
        <v/>
      </c>
      <c r="O3038" s="34" t="n">
        <v>0.00024583</v>
      </c>
      <c r="P3038" s="34">
        <f>IF($J3038=1,LN(1+O3038),"")</f>
        <v/>
      </c>
      <c r="Q3038" s="34">
        <f>IF($J3038=1,LN(R3039/R3038),"")</f>
        <v/>
      </c>
      <c r="R3038" s="32" t="n">
        <v>3.7459</v>
      </c>
      <c r="S3038" s="35" t="n">
        <v>7.527</v>
      </c>
      <c r="T3038" s="18" t="n"/>
      <c r="U3038" s="18" t="n">
        <v>79154.99000000001</v>
      </c>
      <c r="V3038" s="18" t="n"/>
      <c r="W3038" s="18" t="n"/>
      <c r="X3038" s="35" t="n">
        <v>7.527</v>
      </c>
      <c r="Y3038" s="35" t="n"/>
    </row>
    <row r="3039">
      <c r="A3039" s="25" t="n">
        <v>43306</v>
      </c>
      <c r="B3039" s="18" t="n">
        <v>80218.05</v>
      </c>
      <c r="C3039" s="31" t="n"/>
      <c r="D3039" s="32" t="n"/>
      <c r="E3039" s="33" t="n">
        <v>1.0641</v>
      </c>
      <c r="F3039" t="inlineStr">
        <is>
          <t>Up</t>
        </is>
      </c>
      <c r="G3039" t="inlineStr">
        <is>
          <t>Up</t>
        </is>
      </c>
      <c r="H3039" t="inlineStr">
        <is>
          <t>EU_JU</t>
        </is>
      </c>
      <c r="I3039" t="inlineStr">
        <is>
          <t>2018-07</t>
        </is>
      </c>
      <c r="J3039" t="n">
        <v>1</v>
      </c>
      <c r="K3039" t="n">
        <v>1</v>
      </c>
      <c r="L3039" s="34">
        <f>IF($J3039=1,LN(B3040/B3039),"")</f>
        <v/>
      </c>
      <c r="M3039" s="34">
        <f>IF($K3039=1,INDEX(Mensal!$D$2:$D$245,MATCH($I3039,Mensal!$A$2:$A$245,0)),"")</f>
        <v/>
      </c>
      <c r="N3039" s="34">
        <f>IF($K3039=1,L3039-M3039,"")</f>
        <v/>
      </c>
      <c r="O3039" s="34" t="n">
        <v>0.00024583</v>
      </c>
      <c r="P3039" s="34">
        <f>IF($J3039=1,LN(1+O3039),"")</f>
        <v/>
      </c>
      <c r="Q3039" s="34">
        <f>IF($J3039=1,LN(R3040/R3039),"")</f>
        <v/>
      </c>
      <c r="R3039" s="32" t="n">
        <v>3.712</v>
      </c>
      <c r="S3039" s="35" t="n">
        <v>7.407</v>
      </c>
      <c r="T3039" s="18" t="n"/>
      <c r="U3039" s="18" t="n">
        <v>80218.05</v>
      </c>
      <c r="V3039" s="18" t="n"/>
      <c r="W3039" s="18" t="n"/>
      <c r="X3039" s="35" t="n">
        <v>7.407</v>
      </c>
      <c r="Y3039" s="35" t="n"/>
    </row>
    <row r="3040">
      <c r="A3040" s="25" t="n">
        <v>43307</v>
      </c>
      <c r="B3040" s="18" t="n">
        <v>79405.34</v>
      </c>
      <c r="C3040" s="31" t="n"/>
      <c r="D3040" s="32" t="n"/>
      <c r="E3040" s="33" t="n">
        <v>1.0717</v>
      </c>
      <c r="F3040" t="inlineStr">
        <is>
          <t>Up</t>
        </is>
      </c>
      <c r="G3040" t="inlineStr">
        <is>
          <t>Up</t>
        </is>
      </c>
      <c r="H3040" t="inlineStr">
        <is>
          <t>EU_JU</t>
        </is>
      </c>
      <c r="I3040" t="inlineStr">
        <is>
          <t>2018-07</t>
        </is>
      </c>
      <c r="J3040" t="n">
        <v>1</v>
      </c>
      <c r="K3040" t="n">
        <v>1</v>
      </c>
      <c r="L3040" s="34">
        <f>IF($J3040=1,LN(B3041/B3040),"")</f>
        <v/>
      </c>
      <c r="M3040" s="34">
        <f>IF($K3040=1,INDEX(Mensal!$D$2:$D$245,MATCH($I3040,Mensal!$A$2:$A$245,0)),"")</f>
        <v/>
      </c>
      <c r="N3040" s="34">
        <f>IF($K3040=1,L3040-M3040,"")</f>
        <v/>
      </c>
      <c r="O3040" s="34" t="n">
        <v>0.00024583</v>
      </c>
      <c r="P3040" s="34">
        <f>IF($J3040=1,LN(1+O3040),"")</f>
        <v/>
      </c>
      <c r="Q3040" s="34">
        <f>IF($J3040=1,LN(R3041/R3040),"")</f>
        <v/>
      </c>
      <c r="R3040" s="32" t="n">
        <v>3.7243</v>
      </c>
      <c r="S3040" s="35" t="n">
        <v>7.396</v>
      </c>
      <c r="T3040" s="18" t="n"/>
      <c r="U3040" s="18" t="n">
        <v>79405.34</v>
      </c>
      <c r="V3040" s="18" t="n"/>
      <c r="W3040" s="18" t="n"/>
      <c r="X3040" s="35" t="n">
        <v>7.396</v>
      </c>
      <c r="Y3040" s="35" t="n"/>
    </row>
    <row r="3041">
      <c r="A3041" s="25" t="n">
        <v>43308</v>
      </c>
      <c r="B3041" s="18" t="n">
        <v>79866.11</v>
      </c>
      <c r="C3041" s="31" t="n"/>
      <c r="D3041" s="32" t="n"/>
      <c r="E3041" s="33" t="n">
        <v>1.0777</v>
      </c>
      <c r="F3041" t="inlineStr">
        <is>
          <t>Up</t>
        </is>
      </c>
      <c r="G3041" t="inlineStr">
        <is>
          <t>Up</t>
        </is>
      </c>
      <c r="H3041" t="inlineStr">
        <is>
          <t>EU_JU</t>
        </is>
      </c>
      <c r="I3041" t="inlineStr">
        <is>
          <t>2018-07</t>
        </is>
      </c>
      <c r="J3041" t="n">
        <v>1</v>
      </c>
      <c r="K3041" t="n">
        <v>1</v>
      </c>
      <c r="L3041" s="34">
        <f>IF($J3041=1,LN(B3042/B3041),"")</f>
        <v/>
      </c>
      <c r="M3041" s="34">
        <f>IF($K3041=1,INDEX(Mensal!$D$2:$D$245,MATCH($I3041,Mensal!$A$2:$A$245,0)),"")</f>
        <v/>
      </c>
      <c r="N3041" s="34">
        <f>IF($K3041=1,L3041-M3041,"")</f>
        <v/>
      </c>
      <c r="O3041" s="34" t="n">
        <v>0.00024583</v>
      </c>
      <c r="P3041" s="34">
        <f>IF($J3041=1,LN(1+O3041),"")</f>
        <v/>
      </c>
      <c r="Q3041" s="34">
        <f>IF($J3041=1,LN(R3042/R3041),"")</f>
        <v/>
      </c>
      <c r="R3041" s="32" t="n">
        <v>3.7164</v>
      </c>
      <c r="S3041" s="35" t="n">
        <v>7.391</v>
      </c>
      <c r="T3041" s="18" t="n"/>
      <c r="U3041" s="18" t="n">
        <v>79866.11</v>
      </c>
      <c r="V3041" s="18" t="n"/>
      <c r="W3041" s="18" t="n"/>
      <c r="X3041" s="35" t="n">
        <v>7.391</v>
      </c>
      <c r="Y3041" s="35" t="n"/>
    </row>
    <row r="3042">
      <c r="A3042" s="25" t="n">
        <v>43311</v>
      </c>
      <c r="B3042" s="18" t="n">
        <v>80275.60000000001</v>
      </c>
      <c r="C3042" s="31" t="n"/>
      <c r="D3042" s="32" t="n"/>
      <c r="E3042" s="33" t="n">
        <v>1.0858</v>
      </c>
      <c r="F3042" t="inlineStr">
        <is>
          <t>Up</t>
        </is>
      </c>
      <c r="G3042" t="inlineStr">
        <is>
          <t>Up</t>
        </is>
      </c>
      <c r="H3042" t="inlineStr">
        <is>
          <t>EU_JU</t>
        </is>
      </c>
      <c r="I3042" t="inlineStr">
        <is>
          <t>2018-07</t>
        </is>
      </c>
      <c r="J3042" t="n">
        <v>1</v>
      </c>
      <c r="K3042" t="n">
        <v>1</v>
      </c>
      <c r="L3042" s="34">
        <f>IF($J3042=1,LN(B3043/B3042),"")</f>
        <v/>
      </c>
      <c r="M3042" s="34">
        <f>IF($K3042=1,INDEX(Mensal!$D$2:$D$245,MATCH($I3042,Mensal!$A$2:$A$245,0)),"")</f>
        <v/>
      </c>
      <c r="N3042" s="34">
        <f>IF($K3042=1,L3042-M3042,"")</f>
        <v/>
      </c>
      <c r="O3042" s="34" t="n">
        <v>0.00024583</v>
      </c>
      <c r="P3042" s="34">
        <f>IF($J3042=1,LN(1+O3042),"")</f>
        <v/>
      </c>
      <c r="Q3042" s="34">
        <f>IF($J3042=1,LN(R3043/R3042),"")</f>
        <v/>
      </c>
      <c r="R3042" s="32" t="n">
        <v>3.7155</v>
      </c>
      <c r="S3042" s="35" t="n">
        <v>7.411</v>
      </c>
      <c r="T3042" s="18" t="n"/>
      <c r="U3042" s="18" t="n">
        <v>80275.60000000001</v>
      </c>
      <c r="V3042" s="18" t="n"/>
      <c r="W3042" s="18" t="n"/>
      <c r="X3042" s="35" t="n">
        <v>7.411</v>
      </c>
      <c r="Y3042" s="35" t="n"/>
    </row>
    <row r="3043">
      <c r="A3043" s="25" t="n">
        <v>43312</v>
      </c>
      <c r="B3043" s="18" t="n">
        <v>79220.44</v>
      </c>
      <c r="C3043" s="31" t="n"/>
      <c r="D3043" s="32" t="n"/>
      <c r="E3043" s="33" t="n">
        <v>1.0996</v>
      </c>
      <c r="F3043" t="inlineStr">
        <is>
          <t>Up</t>
        </is>
      </c>
      <c r="G3043" t="inlineStr">
        <is>
          <t>Up</t>
        </is>
      </c>
      <c r="H3043" t="inlineStr">
        <is>
          <t>EU_JU</t>
        </is>
      </c>
      <c r="I3043" t="inlineStr">
        <is>
          <t>2018-07</t>
        </is>
      </c>
      <c r="J3043" t="n">
        <v>1</v>
      </c>
      <c r="K3043" t="n">
        <v>1</v>
      </c>
      <c r="L3043" s="34">
        <f>IF($J3043=1,LN(B3044/B3043),"")</f>
        <v/>
      </c>
      <c r="M3043" s="34">
        <f>IF($K3043=1,INDEX(Mensal!$D$2:$D$245,MATCH($I3043,Mensal!$A$2:$A$245,0)),"")</f>
        <v/>
      </c>
      <c r="N3043" s="34">
        <f>IF($K3043=1,L3043-M3043,"")</f>
        <v/>
      </c>
      <c r="O3043" s="34" t="n">
        <v>0.00024583</v>
      </c>
      <c r="P3043" s="34">
        <f>IF($J3043=1,LN(1+O3043),"")</f>
        <v/>
      </c>
      <c r="Q3043" s="34">
        <f>IF($J3043=1,LN(R3044/R3043),"")</f>
        <v/>
      </c>
      <c r="R3043" s="32" t="n">
        <v>3.7549</v>
      </c>
      <c r="S3043" s="35" t="n">
        <v>7.396</v>
      </c>
      <c r="T3043" s="18" t="n"/>
      <c r="U3043" s="18" t="n">
        <v>79220.44</v>
      </c>
      <c r="V3043" s="18" t="n"/>
      <c r="W3043" s="18" t="n"/>
      <c r="X3043" s="35" t="n">
        <v>7.396</v>
      </c>
      <c r="Y3043" s="35" t="n"/>
    </row>
    <row r="3044">
      <c r="A3044" s="25" t="n">
        <v>43313</v>
      </c>
      <c r="B3044" s="18" t="n">
        <v>79301.64999999999</v>
      </c>
      <c r="C3044" s="31" t="n"/>
      <c r="D3044" s="32" t="n"/>
      <c r="E3044" s="33" t="n">
        <v>1.1209</v>
      </c>
      <c r="F3044" t="inlineStr">
        <is>
          <t>Up</t>
        </is>
      </c>
      <c r="G3044" t="inlineStr">
        <is>
          <t>Up</t>
        </is>
      </c>
      <c r="H3044" t="inlineStr">
        <is>
          <t>EU_JU</t>
        </is>
      </c>
      <c r="I3044" t="inlineStr">
        <is>
          <t>2018-08</t>
        </is>
      </c>
      <c r="J3044" t="n">
        <v>1</v>
      </c>
      <c r="K3044" t="n">
        <v>1</v>
      </c>
      <c r="L3044" s="34">
        <f>IF($J3044=1,LN(B3045/B3044),"")</f>
        <v/>
      </c>
      <c r="M3044" s="34">
        <f>IF($K3044=1,INDEX(Mensal!$D$2:$D$245,MATCH($I3044,Mensal!$A$2:$A$245,0)),"")</f>
        <v/>
      </c>
      <c r="N3044" s="34">
        <f>IF($K3044=1,L3044-M3044,"")</f>
        <v/>
      </c>
      <c r="O3044" s="34" t="n">
        <v>0.00024583</v>
      </c>
      <c r="P3044" s="34">
        <f>IF($J3044=1,LN(1+O3044),"")</f>
        <v/>
      </c>
      <c r="Q3044" s="34">
        <f>IF($J3044=1,LN(R3045/R3044),"")</f>
        <v/>
      </c>
      <c r="R3044" s="32" t="n">
        <v>3.7491</v>
      </c>
      <c r="S3044" s="35" t="n">
        <v>7.369</v>
      </c>
      <c r="T3044" s="18" t="n"/>
      <c r="U3044" s="18" t="n">
        <v>79301.64999999999</v>
      </c>
      <c r="V3044" s="18" t="n"/>
      <c r="W3044" s="18" t="n"/>
      <c r="X3044" s="35" t="n">
        <v>7.369</v>
      </c>
      <c r="Y3044" s="35" t="n"/>
    </row>
    <row r="3045">
      <c r="A3045" s="25" t="n">
        <v>43314</v>
      </c>
      <c r="B3045" s="18" t="n">
        <v>79636.69</v>
      </c>
      <c r="C3045" s="31" t="n"/>
      <c r="D3045" s="32" t="n"/>
      <c r="E3045" s="33" t="n">
        <v>1.1399</v>
      </c>
      <c r="F3045" t="inlineStr">
        <is>
          <t>Up</t>
        </is>
      </c>
      <c r="G3045" t="inlineStr">
        <is>
          <t>Up</t>
        </is>
      </c>
      <c r="H3045" t="inlineStr">
        <is>
          <t>EU_JU</t>
        </is>
      </c>
      <c r="I3045" t="inlineStr">
        <is>
          <t>2018-08</t>
        </is>
      </c>
      <c r="J3045" t="n">
        <v>1</v>
      </c>
      <c r="K3045" t="n">
        <v>1</v>
      </c>
      <c r="L3045" s="34">
        <f>IF($J3045=1,LN(B3046/B3045),"")</f>
        <v/>
      </c>
      <c r="M3045" s="34">
        <f>IF($K3045=1,INDEX(Mensal!$D$2:$D$245,MATCH($I3045,Mensal!$A$2:$A$245,0)),"")</f>
        <v/>
      </c>
      <c r="N3045" s="34">
        <f>IF($K3045=1,L3045-M3045,"")</f>
        <v/>
      </c>
      <c r="O3045" s="34" t="n">
        <v>0.00024583</v>
      </c>
      <c r="P3045" s="34">
        <f>IF($J3045=1,LN(1+O3045),"")</f>
        <v/>
      </c>
      <c r="Q3045" s="34">
        <f>IF($J3045=1,LN(R3046/R3045),"")</f>
        <v/>
      </c>
      <c r="R3045" s="32" t="n">
        <v>3.7645</v>
      </c>
      <c r="S3045" s="35" t="n">
        <v>7.399</v>
      </c>
      <c r="T3045" s="18" t="n"/>
      <c r="U3045" s="18" t="n">
        <v>79636.69</v>
      </c>
      <c r="V3045" s="18" t="n"/>
      <c r="W3045" s="18" t="n"/>
      <c r="X3045" s="35" t="n">
        <v>7.399</v>
      </c>
      <c r="Y3045" s="35" t="n"/>
    </row>
    <row r="3046">
      <c r="A3046" s="25" t="n">
        <v>43315</v>
      </c>
      <c r="B3046" s="18" t="n">
        <v>81434.98</v>
      </c>
      <c r="C3046" s="31" t="n"/>
      <c r="D3046" s="32" t="n"/>
      <c r="E3046" s="33" t="n">
        <v>1.1628</v>
      </c>
      <c r="F3046" t="inlineStr">
        <is>
          <t>Up</t>
        </is>
      </c>
      <c r="G3046" t="inlineStr">
        <is>
          <t>Up</t>
        </is>
      </c>
      <c r="H3046" t="inlineStr">
        <is>
          <t>EU_JU</t>
        </is>
      </c>
      <c r="I3046" t="inlineStr">
        <is>
          <t>2018-08</t>
        </is>
      </c>
      <c r="J3046" t="n">
        <v>1</v>
      </c>
      <c r="K3046" t="n">
        <v>1</v>
      </c>
      <c r="L3046" s="34">
        <f>IF($J3046=1,LN(B3047/B3046),"")</f>
        <v/>
      </c>
      <c r="M3046" s="34">
        <f>IF($K3046=1,INDEX(Mensal!$D$2:$D$245,MATCH($I3046,Mensal!$A$2:$A$245,0)),"")</f>
        <v/>
      </c>
      <c r="N3046" s="34">
        <f>IF($K3046=1,L3046-M3046,"")</f>
        <v/>
      </c>
      <c r="O3046" s="34" t="n">
        <v>0.00024583</v>
      </c>
      <c r="P3046" s="34">
        <f>IF($J3046=1,LN(1+O3046),"")</f>
        <v/>
      </c>
      <c r="Q3046" s="34">
        <f>IF($J3046=1,LN(R3047/R3046),"")</f>
        <v/>
      </c>
      <c r="R3046" s="32" t="n">
        <v>3.7201</v>
      </c>
      <c r="S3046" s="35" t="n">
        <v>7.379</v>
      </c>
      <c r="T3046" s="18" t="n"/>
      <c r="U3046" s="18" t="n">
        <v>81434.98</v>
      </c>
      <c r="V3046" s="18" t="n"/>
      <c r="W3046" s="18" t="n"/>
      <c r="X3046" s="35" t="n">
        <v>7.379</v>
      </c>
      <c r="Y3046" s="35" t="n"/>
    </row>
    <row r="3047">
      <c r="A3047" s="25" t="n">
        <v>43318</v>
      </c>
      <c r="B3047" s="18" t="n">
        <v>81050.75999999999</v>
      </c>
      <c r="C3047" s="31" t="n"/>
      <c r="D3047" s="32" t="n"/>
      <c r="E3047" s="33" t="n">
        <v>1.1488</v>
      </c>
      <c r="F3047" t="inlineStr">
        <is>
          <t>Up</t>
        </is>
      </c>
      <c r="G3047" t="inlineStr">
        <is>
          <t>Up</t>
        </is>
      </c>
      <c r="H3047" t="inlineStr">
        <is>
          <t>EU_JU</t>
        </is>
      </c>
      <c r="I3047" t="inlineStr">
        <is>
          <t>2018-08</t>
        </is>
      </c>
      <c r="J3047" t="n">
        <v>1</v>
      </c>
      <c r="K3047" t="n">
        <v>1</v>
      </c>
      <c r="L3047" s="34">
        <f>IF($J3047=1,LN(B3048/B3047),"")</f>
        <v/>
      </c>
      <c r="M3047" s="34">
        <f>IF($K3047=1,INDEX(Mensal!$D$2:$D$245,MATCH($I3047,Mensal!$A$2:$A$245,0)),"")</f>
        <v/>
      </c>
      <c r="N3047" s="34">
        <f>IF($K3047=1,L3047-M3047,"")</f>
        <v/>
      </c>
      <c r="O3047" s="34" t="n">
        <v>0.00024583</v>
      </c>
      <c r="P3047" s="34">
        <f>IF($J3047=1,LN(1+O3047),"")</f>
        <v/>
      </c>
      <c r="Q3047" s="34">
        <f>IF($J3047=1,LN(R3048/R3047),"")</f>
        <v/>
      </c>
      <c r="R3047" s="32" t="n">
        <v>3.7214</v>
      </c>
      <c r="S3047" s="35" t="n">
        <v>7.392</v>
      </c>
      <c r="T3047" s="18" t="n"/>
      <c r="U3047" s="18" t="n">
        <v>81050.75999999999</v>
      </c>
      <c r="V3047" s="18" t="n"/>
      <c r="W3047" s="18" t="n"/>
      <c r="X3047" s="35" t="n">
        <v>7.392</v>
      </c>
      <c r="Y3047" s="35" t="n"/>
    </row>
    <row r="3048">
      <c r="A3048" s="25" t="n">
        <v>43319</v>
      </c>
      <c r="B3048" s="18" t="n">
        <v>80346.53</v>
      </c>
      <c r="C3048" s="31" t="n"/>
      <c r="D3048" s="32" t="n"/>
      <c r="E3048" s="33" t="n">
        <v>1.128</v>
      </c>
      <c r="F3048" t="inlineStr">
        <is>
          <t>Up</t>
        </is>
      </c>
      <c r="G3048" t="inlineStr">
        <is>
          <t>Up</t>
        </is>
      </c>
      <c r="H3048" t="inlineStr">
        <is>
          <t>EU_JU</t>
        </is>
      </c>
      <c r="I3048" t="inlineStr">
        <is>
          <t>2018-08</t>
        </is>
      </c>
      <c r="J3048" t="n">
        <v>1</v>
      </c>
      <c r="K3048" t="n">
        <v>1</v>
      </c>
      <c r="L3048" s="34">
        <f>IF($J3048=1,LN(B3049/B3048),"")</f>
        <v/>
      </c>
      <c r="M3048" s="34">
        <f>IF($K3048=1,INDEX(Mensal!$D$2:$D$245,MATCH($I3048,Mensal!$A$2:$A$245,0)),"")</f>
        <v/>
      </c>
      <c r="N3048" s="34">
        <f>IF($K3048=1,L3048-M3048,"")</f>
        <v/>
      </c>
      <c r="O3048" s="34" t="n">
        <v>0.00024583</v>
      </c>
      <c r="P3048" s="34">
        <f>IF($J3048=1,LN(1+O3048),"")</f>
        <v/>
      </c>
      <c r="Q3048" s="34">
        <f>IF($J3048=1,LN(R3049/R3048),"")</f>
        <v/>
      </c>
      <c r="R3048" s="32" t="n">
        <v>3.7118</v>
      </c>
      <c r="S3048" s="35" t="n">
        <v>7.457</v>
      </c>
      <c r="T3048" s="18" t="n"/>
      <c r="U3048" s="18" t="n">
        <v>80346.53</v>
      </c>
      <c r="V3048" s="18" t="n"/>
      <c r="W3048" s="18" t="n"/>
      <c r="X3048" s="35" t="n">
        <v>7.457</v>
      </c>
      <c r="Y3048" s="35" t="n"/>
    </row>
    <row r="3049">
      <c r="A3049" s="25" t="n">
        <v>43320</v>
      </c>
      <c r="B3049" s="18" t="n">
        <v>79151.7</v>
      </c>
      <c r="C3049" s="31" t="n"/>
      <c r="D3049" s="32" t="n"/>
      <c r="E3049" s="33" t="n">
        <v>1.1112</v>
      </c>
      <c r="F3049" t="inlineStr">
        <is>
          <t>Up</t>
        </is>
      </c>
      <c r="G3049" t="inlineStr">
        <is>
          <t>Up</t>
        </is>
      </c>
      <c r="H3049" t="inlineStr">
        <is>
          <t>EU_JU</t>
        </is>
      </c>
      <c r="I3049" t="inlineStr">
        <is>
          <t>2018-08</t>
        </is>
      </c>
      <c r="J3049" t="n">
        <v>1</v>
      </c>
      <c r="K3049" t="n">
        <v>1</v>
      </c>
      <c r="L3049" s="34">
        <f>IF($J3049=1,LN(B3050/B3049),"")</f>
        <v/>
      </c>
      <c r="M3049" s="34">
        <f>IF($K3049=1,INDEX(Mensal!$D$2:$D$245,MATCH($I3049,Mensal!$A$2:$A$245,0)),"")</f>
        <v/>
      </c>
      <c r="N3049" s="34">
        <f>IF($K3049=1,L3049-M3049,"")</f>
        <v/>
      </c>
      <c r="O3049" s="34" t="n">
        <v>0.00024583</v>
      </c>
      <c r="P3049" s="34">
        <f>IF($J3049=1,LN(1+O3049),"")</f>
        <v/>
      </c>
      <c r="Q3049" s="34">
        <f>IF($J3049=1,LN(R3050/R3049),"")</f>
        <v/>
      </c>
      <c r="R3049" s="32" t="n">
        <v>3.7519</v>
      </c>
      <c r="S3049" s="35" t="n">
        <v>7.464</v>
      </c>
      <c r="T3049" s="18" t="n"/>
      <c r="U3049" s="18" t="n">
        <v>79151.7</v>
      </c>
      <c r="V3049" s="18" t="n"/>
      <c r="W3049" s="18" t="n"/>
      <c r="X3049" s="35" t="n">
        <v>7.464</v>
      </c>
      <c r="Y3049" s="35" t="n"/>
    </row>
    <row r="3050">
      <c r="A3050" s="25" t="n">
        <v>43321</v>
      </c>
      <c r="B3050" s="18" t="n">
        <v>78767.99000000001</v>
      </c>
      <c r="C3050" s="31" t="n"/>
      <c r="D3050" s="32" t="n"/>
      <c r="E3050" s="33" t="n">
        <v>1.0939</v>
      </c>
      <c r="F3050" t="inlineStr">
        <is>
          <t>Up</t>
        </is>
      </c>
      <c r="G3050" t="inlineStr">
        <is>
          <t>Up</t>
        </is>
      </c>
      <c r="H3050" t="inlineStr">
        <is>
          <t>EU_JU</t>
        </is>
      </c>
      <c r="I3050" t="inlineStr">
        <is>
          <t>2018-08</t>
        </is>
      </c>
      <c r="J3050" t="n">
        <v>1</v>
      </c>
      <c r="K3050" t="n">
        <v>1</v>
      </c>
      <c r="L3050" s="34">
        <f>IF($J3050=1,LN(B3051/B3050),"")</f>
        <v/>
      </c>
      <c r="M3050" s="34">
        <f>IF($K3050=1,INDEX(Mensal!$D$2:$D$245,MATCH($I3050,Mensal!$A$2:$A$245,0)),"")</f>
        <v/>
      </c>
      <c r="N3050" s="34">
        <f>IF($K3050=1,L3050-M3050,"")</f>
        <v/>
      </c>
      <c r="O3050" s="34" t="n">
        <v>0.00024583</v>
      </c>
      <c r="P3050" s="34">
        <f>IF($J3050=1,LN(1+O3050),"")</f>
        <v/>
      </c>
      <c r="Q3050" s="34">
        <f>IF($J3050=1,LN(R3051/R3050),"")</f>
        <v/>
      </c>
      <c r="R3050" s="32" t="n">
        <v>3.803</v>
      </c>
      <c r="S3050" s="35" t="n">
        <v>7.568</v>
      </c>
      <c r="T3050" s="18" t="n"/>
      <c r="U3050" s="18" t="n">
        <v>78767.99000000001</v>
      </c>
      <c r="V3050" s="18" t="n"/>
      <c r="W3050" s="18" t="n"/>
      <c r="X3050" s="35" t="n">
        <v>7.568</v>
      </c>
      <c r="Y3050" s="35" t="n"/>
    </row>
    <row r="3051">
      <c r="A3051" s="25" t="n">
        <v>43322</v>
      </c>
      <c r="B3051" s="18" t="n">
        <v>76514.36</v>
      </c>
      <c r="C3051" s="31" t="n"/>
      <c r="D3051" s="32" t="n"/>
      <c r="E3051" s="33" t="n">
        <v>1.085</v>
      </c>
      <c r="F3051" t="inlineStr">
        <is>
          <t>Up</t>
        </is>
      </c>
      <c r="G3051" t="inlineStr">
        <is>
          <t>Up</t>
        </is>
      </c>
      <c r="H3051" t="inlineStr">
        <is>
          <t>EU_JU</t>
        </is>
      </c>
      <c r="I3051" t="inlineStr">
        <is>
          <t>2018-08</t>
        </is>
      </c>
      <c r="J3051" t="n">
        <v>1</v>
      </c>
      <c r="K3051" t="n">
        <v>1</v>
      </c>
      <c r="L3051" s="34">
        <f>IF($J3051=1,LN(B3052/B3051),"")</f>
        <v/>
      </c>
      <c r="M3051" s="34">
        <f>IF($K3051=1,INDEX(Mensal!$D$2:$D$245,MATCH($I3051,Mensal!$A$2:$A$245,0)),"")</f>
        <v/>
      </c>
      <c r="N3051" s="34">
        <f>IF($K3051=1,L3051-M3051,"")</f>
        <v/>
      </c>
      <c r="O3051" s="34" t="n">
        <v>0.00024583</v>
      </c>
      <c r="P3051" s="34">
        <f>IF($J3051=1,LN(1+O3051),"")</f>
        <v/>
      </c>
      <c r="Q3051" s="34">
        <f>IF($J3051=1,LN(R3052/R3051),"")</f>
        <v/>
      </c>
      <c r="R3051" s="32" t="n">
        <v>3.8472</v>
      </c>
      <c r="S3051" s="35" t="n">
        <v>7.864</v>
      </c>
      <c r="T3051" s="18" t="n"/>
      <c r="U3051" s="18" t="n">
        <v>76514.36</v>
      </c>
      <c r="V3051" s="18" t="n"/>
      <c r="W3051" s="18" t="n"/>
      <c r="X3051" s="35" t="n">
        <v>7.864</v>
      </c>
      <c r="Y3051" s="35" t="n"/>
    </row>
    <row r="3052">
      <c r="A3052" s="25" t="n">
        <v>43325</v>
      </c>
      <c r="B3052" s="18" t="n">
        <v>77496.46000000001</v>
      </c>
      <c r="C3052" s="31" t="n"/>
      <c r="D3052" s="32" t="n"/>
      <c r="E3052" s="33" t="n">
        <v>1.0778</v>
      </c>
      <c r="F3052" t="inlineStr">
        <is>
          <t>Up</t>
        </is>
      </c>
      <c r="G3052" t="inlineStr">
        <is>
          <t>Up</t>
        </is>
      </c>
      <c r="H3052" t="inlineStr">
        <is>
          <t>EU_JU</t>
        </is>
      </c>
      <c r="I3052" t="inlineStr">
        <is>
          <t>2018-08</t>
        </is>
      </c>
      <c r="J3052" t="n">
        <v>1</v>
      </c>
      <c r="K3052" t="n">
        <v>1</v>
      </c>
      <c r="L3052" s="34">
        <f>IF($J3052=1,LN(B3053/B3052),"")</f>
        <v/>
      </c>
      <c r="M3052" s="34">
        <f>IF($K3052=1,INDEX(Mensal!$D$2:$D$245,MATCH($I3052,Mensal!$A$2:$A$245,0)),"")</f>
        <v/>
      </c>
      <c r="N3052" s="34">
        <f>IF($K3052=1,L3052-M3052,"")</f>
        <v/>
      </c>
      <c r="O3052" s="34" t="n">
        <v>0.00024583</v>
      </c>
      <c r="P3052" s="34">
        <f>IF($J3052=1,LN(1+O3052),"")</f>
        <v/>
      </c>
      <c r="Q3052" s="34">
        <f>IF($J3052=1,LN(R3053/R3052),"")</f>
        <v/>
      </c>
      <c r="R3052" s="32" t="n">
        <v>3.8988</v>
      </c>
      <c r="S3052" s="35" t="n">
        <v>7.901</v>
      </c>
      <c r="T3052" s="18" t="n"/>
      <c r="U3052" s="18" t="n">
        <v>77496.46000000001</v>
      </c>
      <c r="V3052" s="18" t="n"/>
      <c r="W3052" s="18" t="n"/>
      <c r="X3052" s="35" t="n">
        <v>7.901</v>
      </c>
      <c r="Y3052" s="35" t="n"/>
    </row>
    <row r="3053">
      <c r="A3053" s="25" t="n">
        <v>43326</v>
      </c>
      <c r="B3053" s="18" t="n">
        <v>78602.12</v>
      </c>
      <c r="C3053" s="31" t="n"/>
      <c r="D3053" s="32" t="n"/>
      <c r="E3053" s="33" t="n">
        <v>1.0766</v>
      </c>
      <c r="F3053" t="inlineStr">
        <is>
          <t>Up</t>
        </is>
      </c>
      <c r="G3053" t="inlineStr">
        <is>
          <t>Up</t>
        </is>
      </c>
      <c r="H3053" t="inlineStr">
        <is>
          <t>EU_JU</t>
        </is>
      </c>
      <c r="I3053" t="inlineStr">
        <is>
          <t>2018-08</t>
        </is>
      </c>
      <c r="J3053" t="n">
        <v>1</v>
      </c>
      <c r="K3053" t="n">
        <v>1</v>
      </c>
      <c r="L3053" s="34">
        <f>IF($J3053=1,LN(B3054/B3053),"")</f>
        <v/>
      </c>
      <c r="M3053" s="34">
        <f>IF($K3053=1,INDEX(Mensal!$D$2:$D$245,MATCH($I3053,Mensal!$A$2:$A$245,0)),"")</f>
        <v/>
      </c>
      <c r="N3053" s="34">
        <f>IF($K3053=1,L3053-M3053,"")</f>
        <v/>
      </c>
      <c r="O3053" s="34" t="n">
        <v>0.00024583</v>
      </c>
      <c r="P3053" s="34">
        <f>IF($J3053=1,LN(1+O3053),"")</f>
        <v/>
      </c>
      <c r="Q3053" s="34">
        <f>IF($J3053=1,LN(R3054/R3053),"")</f>
        <v/>
      </c>
      <c r="R3053" s="32" t="n">
        <v>3.8812</v>
      </c>
      <c r="S3053" s="35" t="n">
        <v>7.674</v>
      </c>
      <c r="T3053" s="18" t="n"/>
      <c r="U3053" s="18" t="n">
        <v>78602.12</v>
      </c>
      <c r="V3053" s="18" t="n"/>
      <c r="W3053" s="18" t="n"/>
      <c r="X3053" s="35" t="n">
        <v>7.674</v>
      </c>
      <c r="Y3053" s="35" t="n"/>
    </row>
    <row r="3054">
      <c r="A3054" s="25" t="n">
        <v>43327</v>
      </c>
      <c r="B3054" s="18" t="n">
        <v>77077.5</v>
      </c>
      <c r="C3054" s="31" t="n"/>
      <c r="D3054" s="32" t="n"/>
      <c r="E3054" s="33" t="n">
        <v>1.0721</v>
      </c>
      <c r="F3054" t="inlineStr">
        <is>
          <t>Up</t>
        </is>
      </c>
      <c r="G3054" t="inlineStr">
        <is>
          <t>Up</t>
        </is>
      </c>
      <c r="H3054" t="inlineStr">
        <is>
          <t>EU_JU</t>
        </is>
      </c>
      <c r="I3054" t="inlineStr">
        <is>
          <t>2018-08</t>
        </is>
      </c>
      <c r="J3054" t="n">
        <v>1</v>
      </c>
      <c r="K3054" t="n">
        <v>1</v>
      </c>
      <c r="L3054" s="34">
        <f>IF($J3054=1,LN(B3055/B3054),"")</f>
        <v/>
      </c>
      <c r="M3054" s="34">
        <f>IF($K3054=1,INDEX(Mensal!$D$2:$D$245,MATCH($I3054,Mensal!$A$2:$A$245,0)),"")</f>
        <v/>
      </c>
      <c r="N3054" s="34">
        <f>IF($K3054=1,L3054-M3054,"")</f>
        <v/>
      </c>
      <c r="O3054" s="34" t="n">
        <v>0.00024583</v>
      </c>
      <c r="P3054" s="34">
        <f>IF($J3054=1,LN(1+O3054),"")</f>
        <v/>
      </c>
      <c r="Q3054" s="34">
        <f>IF($J3054=1,LN(R3055/R3054),"")</f>
        <v/>
      </c>
      <c r="R3054" s="32" t="n">
        <v>3.9134</v>
      </c>
      <c r="S3054" s="35" t="n">
        <v>7.691</v>
      </c>
      <c r="T3054" s="18" t="n"/>
      <c r="U3054" s="18" t="n">
        <v>77077.5</v>
      </c>
      <c r="V3054" s="18" t="n"/>
      <c r="W3054" s="18" t="n"/>
      <c r="X3054" s="35" t="n">
        <v>7.691</v>
      </c>
      <c r="Y3054" s="35" t="n"/>
    </row>
    <row r="3055">
      <c r="A3055" s="25" t="n">
        <v>43328</v>
      </c>
      <c r="B3055" s="18" t="n">
        <v>76818.72</v>
      </c>
      <c r="C3055" s="31" t="n"/>
      <c r="D3055" s="32" t="n"/>
      <c r="E3055" s="33" t="n">
        <v>1.0643</v>
      </c>
      <c r="F3055" t="inlineStr">
        <is>
          <t>Up</t>
        </is>
      </c>
      <c r="G3055" t="inlineStr">
        <is>
          <t>Up</t>
        </is>
      </c>
      <c r="H3055" t="inlineStr">
        <is>
          <t>EU_JU</t>
        </is>
      </c>
      <c r="I3055" t="inlineStr">
        <is>
          <t>2018-08</t>
        </is>
      </c>
      <c r="J3055" t="n">
        <v>1</v>
      </c>
      <c r="K3055" t="n">
        <v>1</v>
      </c>
      <c r="L3055" s="34">
        <f>IF($J3055=1,LN(B3056/B3055),"")</f>
        <v/>
      </c>
      <c r="M3055" s="34">
        <f>IF($K3055=1,INDEX(Mensal!$D$2:$D$245,MATCH($I3055,Mensal!$A$2:$A$245,0)),"")</f>
        <v/>
      </c>
      <c r="N3055" s="34">
        <f>IF($K3055=1,L3055-M3055,"")</f>
        <v/>
      </c>
      <c r="O3055" s="34" t="n">
        <v>0.00024583</v>
      </c>
      <c r="P3055" s="34">
        <f>IF($J3055=1,LN(1+O3055),"")</f>
        <v/>
      </c>
      <c r="Q3055" s="34">
        <f>IF($J3055=1,LN(R3056/R3055),"")</f>
        <v/>
      </c>
      <c r="R3055" s="32" t="n">
        <v>3.881</v>
      </c>
      <c r="S3055" s="35" t="n">
        <v>7.695</v>
      </c>
      <c r="T3055" s="18" t="n"/>
      <c r="U3055" s="18" t="n">
        <v>76818.72</v>
      </c>
      <c r="V3055" s="18" t="n"/>
      <c r="W3055" s="18" t="n"/>
      <c r="X3055" s="35" t="n">
        <v>7.695</v>
      </c>
      <c r="Y3055" s="35" t="n"/>
    </row>
    <row r="3056">
      <c r="A3056" s="25" t="n">
        <v>43329</v>
      </c>
      <c r="B3056" s="18" t="n">
        <v>76028.50999999999</v>
      </c>
      <c r="C3056" s="31" t="n"/>
      <c r="D3056" s="32" t="n"/>
      <c r="E3056" s="33" t="n">
        <v>1.0521</v>
      </c>
      <c r="F3056" t="inlineStr">
        <is>
          <t>Up</t>
        </is>
      </c>
      <c r="G3056" t="inlineStr">
        <is>
          <t>Up</t>
        </is>
      </c>
      <c r="H3056" t="inlineStr">
        <is>
          <t>EU_JU</t>
        </is>
      </c>
      <c r="I3056" t="inlineStr">
        <is>
          <t>2018-08</t>
        </is>
      </c>
      <c r="J3056" t="n">
        <v>1</v>
      </c>
      <c r="K3056" t="n">
        <v>1</v>
      </c>
      <c r="L3056" s="34">
        <f>IF($J3056=1,LN(B3057/B3056),"")</f>
        <v/>
      </c>
      <c r="M3056" s="34">
        <f>IF($K3056=1,INDEX(Mensal!$D$2:$D$245,MATCH($I3056,Mensal!$A$2:$A$245,0)),"")</f>
        <v/>
      </c>
      <c r="N3056" s="34">
        <f>IF($K3056=1,L3056-M3056,"")</f>
        <v/>
      </c>
      <c r="O3056" s="34" t="n">
        <v>0.00024583</v>
      </c>
      <c r="P3056" s="34">
        <f>IF($J3056=1,LN(1+O3056),"")</f>
        <v/>
      </c>
      <c r="Q3056" s="34">
        <f>IF($J3056=1,LN(R3057/R3056),"")</f>
        <v/>
      </c>
      <c r="R3056" s="32" t="n">
        <v>3.9389</v>
      </c>
      <c r="S3056" s="35" t="n">
        <v>7.677</v>
      </c>
      <c r="T3056" s="18" t="n"/>
      <c r="U3056" s="18" t="n">
        <v>76028.50999999999</v>
      </c>
      <c r="V3056" s="18" t="n"/>
      <c r="W3056" s="18" t="n"/>
      <c r="X3056" s="35" t="n">
        <v>7.677</v>
      </c>
      <c r="Y3056" s="35" t="n"/>
    </row>
    <row r="3057">
      <c r="A3057" s="25" t="n">
        <v>43332</v>
      </c>
      <c r="B3057" s="18" t="n">
        <v>76327.89</v>
      </c>
      <c r="C3057" s="31" t="n"/>
      <c r="D3057" s="32" t="n"/>
      <c r="E3057" s="33" t="n">
        <v>1.0459</v>
      </c>
      <c r="F3057" t="inlineStr">
        <is>
          <t>Up</t>
        </is>
      </c>
      <c r="G3057" t="inlineStr">
        <is>
          <t>Up</t>
        </is>
      </c>
      <c r="H3057" t="inlineStr">
        <is>
          <t>EU_JU</t>
        </is>
      </c>
      <c r="I3057" t="inlineStr">
        <is>
          <t>2018-08</t>
        </is>
      </c>
      <c r="J3057" t="n">
        <v>1</v>
      </c>
      <c r="K3057" t="n">
        <v>1</v>
      </c>
      <c r="L3057" s="34">
        <f>IF($J3057=1,LN(B3058/B3057),"")</f>
        <v/>
      </c>
      <c r="M3057" s="34">
        <f>IF($K3057=1,INDEX(Mensal!$D$2:$D$245,MATCH($I3057,Mensal!$A$2:$A$245,0)),"")</f>
        <v/>
      </c>
      <c r="N3057" s="34">
        <f>IF($K3057=1,L3057-M3057,"")</f>
        <v/>
      </c>
      <c r="O3057" s="34" t="n">
        <v>0.00024583</v>
      </c>
      <c r="P3057" s="34">
        <f>IF($J3057=1,LN(1+O3057),"")</f>
        <v/>
      </c>
      <c r="Q3057" s="34">
        <f>IF($J3057=1,LN(R3058/R3057),"")</f>
        <v/>
      </c>
      <c r="R3057" s="32" t="n">
        <v>3.943</v>
      </c>
      <c r="S3057" s="35" t="n">
        <v>7.766</v>
      </c>
      <c r="T3057" s="18" t="n"/>
      <c r="U3057" s="18" t="n">
        <v>76327.89</v>
      </c>
      <c r="V3057" s="18" t="n"/>
      <c r="W3057" s="18" t="n"/>
      <c r="X3057" s="35" t="n">
        <v>7.766</v>
      </c>
      <c r="Y3057" s="35" t="n"/>
    </row>
    <row r="3058">
      <c r="A3058" s="25" t="n">
        <v>43333</v>
      </c>
      <c r="B3058" s="18" t="n">
        <v>75180.39999999999</v>
      </c>
      <c r="C3058" s="31" t="n"/>
      <c r="D3058" s="32" t="n"/>
      <c r="E3058" s="33" t="n">
        <v>1.0441</v>
      </c>
      <c r="F3058" t="inlineStr">
        <is>
          <t>Up</t>
        </is>
      </c>
      <c r="G3058" t="inlineStr">
        <is>
          <t>Up</t>
        </is>
      </c>
      <c r="H3058" t="inlineStr">
        <is>
          <t>EU_JU</t>
        </is>
      </c>
      <c r="I3058" t="inlineStr">
        <is>
          <t>2018-08</t>
        </is>
      </c>
      <c r="J3058" t="n">
        <v>1</v>
      </c>
      <c r="K3058" t="n">
        <v>1</v>
      </c>
      <c r="L3058" s="34">
        <f>IF($J3058=1,LN(B3059/B3058),"")</f>
        <v/>
      </c>
      <c r="M3058" s="34">
        <f>IF($K3058=1,INDEX(Mensal!$D$2:$D$245,MATCH($I3058,Mensal!$A$2:$A$245,0)),"")</f>
        <v/>
      </c>
      <c r="N3058" s="34">
        <f>IF($K3058=1,L3058-M3058,"")</f>
        <v/>
      </c>
      <c r="O3058" s="34" t="n">
        <v>0.00024583</v>
      </c>
      <c r="P3058" s="34">
        <f>IF($J3058=1,LN(1+O3058),"")</f>
        <v/>
      </c>
      <c r="Q3058" s="34">
        <f>IF($J3058=1,LN(R3059/R3058),"")</f>
        <v/>
      </c>
      <c r="R3058" s="32" t="n">
        <v>3.9873</v>
      </c>
      <c r="S3058" s="35" t="n">
        <v>7.983</v>
      </c>
      <c r="T3058" s="18" t="n"/>
      <c r="U3058" s="18" t="n">
        <v>75180.39999999999</v>
      </c>
      <c r="V3058" s="18" t="n"/>
      <c r="W3058" s="18" t="n"/>
      <c r="X3058" s="35" t="n">
        <v>7.983</v>
      </c>
      <c r="Y3058" s="35" t="n"/>
    </row>
    <row r="3059">
      <c r="A3059" s="25" t="n">
        <v>43334</v>
      </c>
      <c r="B3059" s="18" t="n">
        <v>76902.31</v>
      </c>
      <c r="C3059" s="31" t="n"/>
      <c r="D3059" s="32" t="n"/>
      <c r="E3059" s="33" t="n">
        <v>1.0375</v>
      </c>
      <c r="F3059" t="inlineStr">
        <is>
          <t>Up</t>
        </is>
      </c>
      <c r="G3059" t="inlineStr">
        <is>
          <t>Up</t>
        </is>
      </c>
      <c r="H3059" t="inlineStr">
        <is>
          <t>EU_JU</t>
        </is>
      </c>
      <c r="I3059" t="inlineStr">
        <is>
          <t>2018-08</t>
        </is>
      </c>
      <c r="J3059" t="n">
        <v>1</v>
      </c>
      <c r="K3059" t="n">
        <v>1</v>
      </c>
      <c r="L3059" s="34">
        <f>IF($J3059=1,LN(B3060/B3059),"")</f>
        <v/>
      </c>
      <c r="M3059" s="34">
        <f>IF($K3059=1,INDEX(Mensal!$D$2:$D$245,MATCH($I3059,Mensal!$A$2:$A$245,0)),"")</f>
        <v/>
      </c>
      <c r="N3059" s="34">
        <f>IF($K3059=1,L3059-M3059,"")</f>
        <v/>
      </c>
      <c r="O3059" s="34" t="n">
        <v>0.00024583</v>
      </c>
      <c r="P3059" s="34">
        <f>IF($J3059=1,LN(1+O3059),"")</f>
        <v/>
      </c>
      <c r="Q3059" s="34">
        <f>IF($J3059=1,LN(R3060/R3059),"")</f>
        <v/>
      </c>
      <c r="R3059" s="32" t="n">
        <v>4.074</v>
      </c>
      <c r="S3059" s="35" t="n">
        <v>7.914</v>
      </c>
      <c r="T3059" s="18" t="n"/>
      <c r="U3059" s="18" t="n">
        <v>76902.31</v>
      </c>
      <c r="V3059" s="18" t="n"/>
      <c r="W3059" s="18" t="n"/>
      <c r="X3059" s="35" t="n">
        <v>7.914</v>
      </c>
      <c r="Y3059" s="35" t="n"/>
    </row>
    <row r="3060">
      <c r="A3060" s="25" t="n">
        <v>43335</v>
      </c>
      <c r="B3060" s="18" t="n">
        <v>75633.77</v>
      </c>
      <c r="C3060" s="31" t="n"/>
      <c r="D3060" s="32" t="n"/>
      <c r="E3060" s="33" t="n">
        <v>1.0355</v>
      </c>
      <c r="F3060" t="inlineStr">
        <is>
          <t>Up</t>
        </is>
      </c>
      <c r="G3060" t="inlineStr">
        <is>
          <t>Up</t>
        </is>
      </c>
      <c r="H3060" t="inlineStr">
        <is>
          <t>EU_JU</t>
        </is>
      </c>
      <c r="I3060" t="inlineStr">
        <is>
          <t>2018-08</t>
        </is>
      </c>
      <c r="J3060" t="n">
        <v>1</v>
      </c>
      <c r="K3060" t="n">
        <v>1</v>
      </c>
      <c r="L3060" s="34">
        <f>IF($J3060=1,LN(B3061/B3060),"")</f>
        <v/>
      </c>
      <c r="M3060" s="34">
        <f>IF($K3060=1,INDEX(Mensal!$D$2:$D$245,MATCH($I3060,Mensal!$A$2:$A$245,0)),"")</f>
        <v/>
      </c>
      <c r="N3060" s="34">
        <f>IF($K3060=1,L3060-M3060,"")</f>
        <v/>
      </c>
      <c r="O3060" s="34" t="n">
        <v>0.00024583</v>
      </c>
      <c r="P3060" s="34">
        <f>IF($J3060=1,LN(1+O3060),"")</f>
        <v/>
      </c>
      <c r="Q3060" s="34">
        <f>IF($J3060=1,LN(R3061/R3060),"")</f>
        <v/>
      </c>
      <c r="R3060" s="32" t="n">
        <v>4.0727</v>
      </c>
      <c r="S3060" s="35" t="n">
        <v>8.050000000000001</v>
      </c>
      <c r="T3060" s="18" t="n"/>
      <c r="U3060" s="18" t="n">
        <v>75633.77</v>
      </c>
      <c r="V3060" s="18" t="n"/>
      <c r="W3060" s="18" t="n"/>
      <c r="X3060" s="35" t="n">
        <v>8.050000000000001</v>
      </c>
      <c r="Y3060" s="35" t="n"/>
    </row>
    <row r="3061">
      <c r="A3061" s="25" t="n">
        <v>43336</v>
      </c>
      <c r="B3061" s="18" t="n">
        <v>76262.24000000001</v>
      </c>
      <c r="C3061" s="31" t="n"/>
      <c r="D3061" s="32" t="n"/>
      <c r="E3061" s="33" t="n">
        <v>1.0321</v>
      </c>
      <c r="F3061" t="inlineStr">
        <is>
          <t>Up</t>
        </is>
      </c>
      <c r="G3061" t="inlineStr">
        <is>
          <t>Up</t>
        </is>
      </c>
      <c r="H3061" t="inlineStr">
        <is>
          <t>EU_JU</t>
        </is>
      </c>
      <c r="I3061" t="inlineStr">
        <is>
          <t>2018-08</t>
        </is>
      </c>
      <c r="J3061" t="n">
        <v>1</v>
      </c>
      <c r="K3061" t="n">
        <v>1</v>
      </c>
      <c r="L3061" s="34">
        <f>IF($J3061=1,LN(B3062/B3061),"")</f>
        <v/>
      </c>
      <c r="M3061" s="34">
        <f>IF($K3061=1,INDEX(Mensal!$D$2:$D$245,MATCH($I3061,Mensal!$A$2:$A$245,0)),"")</f>
        <v/>
      </c>
      <c r="N3061" s="34">
        <f>IF($K3061=1,L3061-M3061,"")</f>
        <v/>
      </c>
      <c r="O3061" s="34" t="n">
        <v>0.00024583</v>
      </c>
      <c r="P3061" s="34">
        <f>IF($J3061=1,LN(1+O3061),"")</f>
        <v/>
      </c>
      <c r="Q3061" s="34">
        <f>IF($J3061=1,LN(R3062/R3061),"")</f>
        <v/>
      </c>
      <c r="R3061" s="32" t="n">
        <v>4.0854</v>
      </c>
      <c r="S3061" s="35" t="n">
        <v>7.996</v>
      </c>
      <c r="T3061" s="18" t="n"/>
      <c r="U3061" s="18" t="n">
        <v>76262.24000000001</v>
      </c>
      <c r="V3061" s="18" t="n"/>
      <c r="W3061" s="18" t="n"/>
      <c r="X3061" s="35" t="n">
        <v>7.996</v>
      </c>
      <c r="Y3061" s="35" t="n"/>
    </row>
    <row r="3062">
      <c r="A3062" s="25" t="n">
        <v>43339</v>
      </c>
      <c r="B3062" s="18" t="n">
        <v>77929.69</v>
      </c>
      <c r="C3062" s="31" t="n"/>
      <c r="D3062" s="32" t="n"/>
      <c r="E3062" s="33" t="n">
        <v>1.0445</v>
      </c>
      <c r="F3062" t="inlineStr">
        <is>
          <t>Up</t>
        </is>
      </c>
      <c r="G3062" t="inlineStr">
        <is>
          <t>Up</t>
        </is>
      </c>
      <c r="H3062" t="inlineStr">
        <is>
          <t>EU_JU</t>
        </is>
      </c>
      <c r="I3062" t="inlineStr">
        <is>
          <t>2018-08</t>
        </is>
      </c>
      <c r="J3062" t="n">
        <v>1</v>
      </c>
      <c r="K3062" t="n">
        <v>1</v>
      </c>
      <c r="L3062" s="34">
        <f>IF($J3062=1,LN(B3063/B3062),"")</f>
        <v/>
      </c>
      <c r="M3062" s="34">
        <f>IF($K3062=1,INDEX(Mensal!$D$2:$D$245,MATCH($I3062,Mensal!$A$2:$A$245,0)),"")</f>
        <v/>
      </c>
      <c r="N3062" s="34">
        <f>IF($K3062=1,L3062-M3062,"")</f>
        <v/>
      </c>
      <c r="O3062" s="34" t="n">
        <v>0.00024583</v>
      </c>
      <c r="P3062" s="34">
        <f>IF($J3062=1,LN(1+O3062),"")</f>
        <v/>
      </c>
      <c r="Q3062" s="34">
        <f>IF($J3062=1,LN(R3063/R3062),"")</f>
        <v/>
      </c>
      <c r="R3062" s="32" t="n">
        <v>4.0687</v>
      </c>
      <c r="S3062" s="35" t="n">
        <v>7.977</v>
      </c>
      <c r="T3062" s="18" t="n"/>
      <c r="U3062" s="18" t="n">
        <v>77929.69</v>
      </c>
      <c r="V3062" s="18" t="n"/>
      <c r="W3062" s="18" t="n"/>
      <c r="X3062" s="35" t="n">
        <v>7.977</v>
      </c>
      <c r="Y3062" s="35" t="n"/>
    </row>
    <row r="3063">
      <c r="A3063" s="25" t="n">
        <v>43340</v>
      </c>
      <c r="B3063" s="18" t="n">
        <v>77473.17999999999</v>
      </c>
      <c r="C3063" s="31" t="n"/>
      <c r="D3063" s="32" t="n"/>
      <c r="E3063" s="33" t="n">
        <v>1.0653</v>
      </c>
      <c r="F3063" t="inlineStr">
        <is>
          <t>Up</t>
        </is>
      </c>
      <c r="G3063" t="inlineStr">
        <is>
          <t>Up</t>
        </is>
      </c>
      <c r="H3063" t="inlineStr">
        <is>
          <t>EU_JU</t>
        </is>
      </c>
      <c r="I3063" t="inlineStr">
        <is>
          <t>2018-08</t>
        </is>
      </c>
      <c r="J3063" t="n">
        <v>1</v>
      </c>
      <c r="K3063" t="n">
        <v>1</v>
      </c>
      <c r="L3063" s="34">
        <f>IF($J3063=1,LN(B3064/B3063),"")</f>
        <v/>
      </c>
      <c r="M3063" s="34">
        <f>IF($K3063=1,INDEX(Mensal!$D$2:$D$245,MATCH($I3063,Mensal!$A$2:$A$245,0)),"")</f>
        <v/>
      </c>
      <c r="N3063" s="34">
        <f>IF($K3063=1,L3063-M3063,"")</f>
        <v/>
      </c>
      <c r="O3063" s="34" t="n">
        <v>0.00024583</v>
      </c>
      <c r="P3063" s="34">
        <f>IF($J3063=1,LN(1+O3063),"")</f>
        <v/>
      </c>
      <c r="Q3063" s="34">
        <f>IF($J3063=1,LN(R3064/R3063),"")</f>
        <v/>
      </c>
      <c r="R3063" s="32" t="n">
        <v>4.1192</v>
      </c>
      <c r="S3063" s="35" t="n">
        <v>8.037000000000001</v>
      </c>
      <c r="T3063" s="18" t="n"/>
      <c r="U3063" s="18" t="n">
        <v>77473.17999999999</v>
      </c>
      <c r="V3063" s="18" t="n"/>
      <c r="W3063" s="18" t="n"/>
      <c r="X3063" s="35" t="n">
        <v>8.037000000000001</v>
      </c>
      <c r="Y3063" s="35" t="n"/>
    </row>
    <row r="3064">
      <c r="A3064" s="25" t="n">
        <v>43341</v>
      </c>
      <c r="B3064" s="18" t="n">
        <v>78388.84</v>
      </c>
      <c r="C3064" s="31" t="n"/>
      <c r="D3064" s="32" t="n"/>
      <c r="E3064" s="33" t="n">
        <v>1.0801</v>
      </c>
      <c r="F3064" t="inlineStr">
        <is>
          <t>Up</t>
        </is>
      </c>
      <c r="G3064" t="inlineStr">
        <is>
          <t>Up</t>
        </is>
      </c>
      <c r="H3064" t="inlineStr">
        <is>
          <t>EU_JU</t>
        </is>
      </c>
      <c r="I3064" t="inlineStr">
        <is>
          <t>2018-08</t>
        </is>
      </c>
      <c r="J3064" t="n">
        <v>1</v>
      </c>
      <c r="K3064" t="n">
        <v>1</v>
      </c>
      <c r="L3064" s="34">
        <f>IF($J3064=1,LN(B3065/B3064),"")</f>
        <v/>
      </c>
      <c r="M3064" s="34">
        <f>IF($K3064=1,INDEX(Mensal!$D$2:$D$245,MATCH($I3064,Mensal!$A$2:$A$245,0)),"")</f>
        <v/>
      </c>
      <c r="N3064" s="34">
        <f>IF($K3064=1,L3064-M3064,"")</f>
        <v/>
      </c>
      <c r="O3064" s="34" t="n">
        <v>0.00024583</v>
      </c>
      <c r="P3064" s="34">
        <f>IF($J3064=1,LN(1+O3064),"")</f>
        <v/>
      </c>
      <c r="Q3064" s="34">
        <f>IF($J3064=1,LN(R3065/R3064),"")</f>
        <v/>
      </c>
      <c r="R3064" s="32" t="n">
        <v>4.1353</v>
      </c>
      <c r="S3064" s="35" t="n">
        <v>7.993</v>
      </c>
      <c r="T3064" s="18" t="n"/>
      <c r="U3064" s="18" t="n">
        <v>78388.84</v>
      </c>
      <c r="V3064" s="18" t="n"/>
      <c r="W3064" s="18" t="n"/>
      <c r="X3064" s="35" t="n">
        <v>7.993</v>
      </c>
      <c r="Y3064" s="35" t="n"/>
    </row>
    <row r="3065">
      <c r="A3065" s="25" t="n">
        <v>43342</v>
      </c>
      <c r="B3065" s="18" t="n">
        <v>76404.10000000001</v>
      </c>
      <c r="C3065" s="31" t="n"/>
      <c r="D3065" s="32" t="n"/>
      <c r="E3065" s="33" t="n">
        <v>1.1037</v>
      </c>
      <c r="F3065" t="inlineStr">
        <is>
          <t>Up</t>
        </is>
      </c>
      <c r="G3065" t="inlineStr">
        <is>
          <t>Up</t>
        </is>
      </c>
      <c r="H3065" t="inlineStr">
        <is>
          <t>EU_JU</t>
        </is>
      </c>
      <c r="I3065" t="inlineStr">
        <is>
          <t>2018-08</t>
        </is>
      </c>
      <c r="J3065" t="n">
        <v>1</v>
      </c>
      <c r="K3065" t="n">
        <v>1</v>
      </c>
      <c r="L3065" s="34">
        <f>IF($J3065=1,LN(B3066/B3065),"")</f>
        <v/>
      </c>
      <c r="M3065" s="34">
        <f>IF($K3065=1,INDEX(Mensal!$D$2:$D$245,MATCH($I3065,Mensal!$A$2:$A$245,0)),"")</f>
        <v/>
      </c>
      <c r="N3065" s="34">
        <f>IF($K3065=1,L3065-M3065,"")</f>
        <v/>
      </c>
      <c r="O3065" s="34" t="n">
        <v>0.00024583</v>
      </c>
      <c r="P3065" s="34">
        <f>IF($J3065=1,LN(1+O3065),"")</f>
        <v/>
      </c>
      <c r="Q3065" s="34">
        <f>IF($J3065=1,LN(R3066/R3065),"")</f>
        <v/>
      </c>
      <c r="R3065" s="32" t="n">
        <v>4.1812</v>
      </c>
      <c r="S3065" s="35" t="n">
        <v>8.308</v>
      </c>
      <c r="T3065" s="18" t="n"/>
      <c r="U3065" s="18" t="n">
        <v>76404.10000000001</v>
      </c>
      <c r="V3065" s="18" t="n"/>
      <c r="W3065" s="18" t="n"/>
      <c r="X3065" s="35" t="n">
        <v>8.308</v>
      </c>
      <c r="Y3065" s="35" t="n"/>
    </row>
    <row r="3066">
      <c r="A3066" s="25" t="n">
        <v>43343</v>
      </c>
      <c r="B3066" s="18" t="n">
        <v>76677.53</v>
      </c>
      <c r="C3066" s="31" t="n"/>
      <c r="D3066" s="32" t="n"/>
      <c r="E3066" s="33" t="n">
        <v>1.1146</v>
      </c>
      <c r="F3066" t="inlineStr">
        <is>
          <t>Up</t>
        </is>
      </c>
      <c r="G3066" t="inlineStr">
        <is>
          <t>Up</t>
        </is>
      </c>
      <c r="H3066" t="inlineStr">
        <is>
          <t>EU_JU</t>
        </is>
      </c>
      <c r="I3066" t="inlineStr">
        <is>
          <t>2018-08</t>
        </is>
      </c>
      <c r="J3066" t="n">
        <v>1</v>
      </c>
      <c r="K3066" t="n">
        <v>1</v>
      </c>
      <c r="L3066" s="34">
        <f>IF($J3066=1,LN(B3067/B3066),"")</f>
        <v/>
      </c>
      <c r="M3066" s="34">
        <f>IF($K3066=1,INDEX(Mensal!$D$2:$D$245,MATCH($I3066,Mensal!$A$2:$A$245,0)),"")</f>
        <v/>
      </c>
      <c r="N3066" s="34">
        <f>IF($K3066=1,L3066-M3066,"")</f>
        <v/>
      </c>
      <c r="O3066" s="34" t="n">
        <v>0.00024583</v>
      </c>
      <c r="P3066" s="34">
        <f>IF($J3066=1,LN(1+O3066),"")</f>
        <v/>
      </c>
      <c r="Q3066" s="34">
        <f>IF($J3066=1,LN(R3067/R3066),"")</f>
        <v/>
      </c>
      <c r="R3066" s="32" t="n">
        <v>4.1353</v>
      </c>
      <c r="S3066" s="35" t="n">
        <v>8.188000000000001</v>
      </c>
      <c r="T3066" s="18" t="n"/>
      <c r="U3066" s="18" t="n">
        <v>76677.53</v>
      </c>
      <c r="V3066" s="18" t="n"/>
      <c r="W3066" s="18" t="n"/>
      <c r="X3066" s="35" t="n">
        <v>8.188000000000001</v>
      </c>
      <c r="Y3066" s="35" t="n"/>
    </row>
    <row r="3067">
      <c r="A3067" s="25" t="n">
        <v>43346</v>
      </c>
      <c r="B3067" s="18" t="n">
        <v>76192.74000000001</v>
      </c>
      <c r="C3067" s="31" t="n"/>
      <c r="D3067" s="32" t="n"/>
      <c r="E3067" s="33" t="n">
        <v>1.1245</v>
      </c>
      <c r="F3067" t="inlineStr">
        <is>
          <t>Up</t>
        </is>
      </c>
      <c r="G3067" t="inlineStr">
        <is>
          <t>Up</t>
        </is>
      </c>
      <c r="H3067" t="inlineStr">
        <is>
          <t>EU_JU</t>
        </is>
      </c>
      <c r="I3067" t="inlineStr">
        <is>
          <t>2018-09</t>
        </is>
      </c>
      <c r="J3067" t="n">
        <v>1</v>
      </c>
      <c r="K3067" t="n">
        <v>1</v>
      </c>
      <c r="L3067" s="34">
        <f>IF($J3067=1,LN(B3068/B3067),"")</f>
        <v/>
      </c>
      <c r="M3067" s="34">
        <f>IF($K3067=1,INDEX(Mensal!$D$2:$D$245,MATCH($I3067,Mensal!$A$2:$A$245,0)),"")</f>
        <v/>
      </c>
      <c r="N3067" s="34">
        <f>IF($K3067=1,L3067-M3067,"")</f>
        <v/>
      </c>
      <c r="O3067" s="34" t="n">
        <v>0.00024583</v>
      </c>
      <c r="P3067" s="34">
        <f>IF($J3067=1,LN(1+O3067),"")</f>
        <v/>
      </c>
      <c r="Q3067" s="34">
        <f>IF($J3067=1,LN(R3068/R3067),"")</f>
        <v/>
      </c>
      <c r="R3067" s="32" t="n">
        <v>4.1279</v>
      </c>
      <c r="S3067" s="35" t="n">
        <v>8.284000000000001</v>
      </c>
      <c r="T3067" s="18" t="n"/>
      <c r="U3067" s="18" t="n">
        <v>76192.74000000001</v>
      </c>
      <c r="V3067" s="18" t="n"/>
      <c r="W3067" s="18" t="n"/>
      <c r="X3067" s="35" t="n">
        <v>8.284000000000001</v>
      </c>
      <c r="Y3067" s="35" t="n"/>
    </row>
    <row r="3068">
      <c r="A3068" s="25" t="n">
        <v>43347</v>
      </c>
      <c r="B3068" s="18" t="n">
        <v>74711.8</v>
      </c>
      <c r="C3068" s="31" t="n"/>
      <c r="D3068" s="32" t="n"/>
      <c r="E3068" s="33" t="n">
        <v>1.1435</v>
      </c>
      <c r="F3068" t="inlineStr">
        <is>
          <t>Up</t>
        </is>
      </c>
      <c r="G3068" t="inlineStr">
        <is>
          <t>Up</t>
        </is>
      </c>
      <c r="H3068" t="inlineStr">
        <is>
          <t>EU_JU</t>
        </is>
      </c>
      <c r="I3068" t="inlineStr">
        <is>
          <t>2018-09</t>
        </is>
      </c>
      <c r="J3068" t="n">
        <v>1</v>
      </c>
      <c r="K3068" t="n">
        <v>1</v>
      </c>
      <c r="L3068" s="34">
        <f>IF($J3068=1,LN(B3069/B3068),"")</f>
        <v/>
      </c>
      <c r="M3068" s="34">
        <f>IF($K3068=1,INDEX(Mensal!$D$2:$D$245,MATCH($I3068,Mensal!$A$2:$A$245,0)),"")</f>
        <v/>
      </c>
      <c r="N3068" s="34">
        <f>IF($K3068=1,L3068-M3068,"")</f>
        <v/>
      </c>
      <c r="O3068" s="34" t="n">
        <v>0.00024583</v>
      </c>
      <c r="P3068" s="34">
        <f>IF($J3068=1,LN(1+O3068),"")</f>
        <v/>
      </c>
      <c r="Q3068" s="34">
        <f>IF($J3068=1,LN(R3069/R3068),"")</f>
        <v/>
      </c>
      <c r="R3068" s="32" t="n">
        <v>4.1652</v>
      </c>
      <c r="S3068" s="35" t="n">
        <v>8.332000000000001</v>
      </c>
      <c r="T3068" s="18" t="n"/>
      <c r="U3068" s="18" t="n">
        <v>74711.8</v>
      </c>
      <c r="V3068" s="18" t="n"/>
      <c r="W3068" s="18" t="n"/>
      <c r="X3068" s="35" t="n">
        <v>8.332000000000001</v>
      </c>
      <c r="Y3068" s="35" t="n"/>
    </row>
    <row r="3069">
      <c r="A3069" s="25" t="n">
        <v>43348</v>
      </c>
      <c r="B3069" s="18" t="n">
        <v>75092.27</v>
      </c>
      <c r="C3069" s="31" t="n"/>
      <c r="D3069" s="32" t="n"/>
      <c r="E3069" s="33" t="n">
        <v>1.159</v>
      </c>
      <c r="F3069" t="inlineStr">
        <is>
          <t>Up</t>
        </is>
      </c>
      <c r="G3069" t="inlineStr">
        <is>
          <t>Up</t>
        </is>
      </c>
      <c r="H3069" t="inlineStr">
        <is>
          <t>EU_JU</t>
        </is>
      </c>
      <c r="I3069" t="inlineStr">
        <is>
          <t>2018-09</t>
        </is>
      </c>
      <c r="J3069" t="n">
        <v>1</v>
      </c>
      <c r="K3069" t="n">
        <v>1</v>
      </c>
      <c r="L3069" s="34">
        <f>IF($J3069=1,LN(B3070/B3069),"")</f>
        <v/>
      </c>
      <c r="M3069" s="34">
        <f>IF($K3069=1,INDEX(Mensal!$D$2:$D$245,MATCH($I3069,Mensal!$A$2:$A$245,0)),"")</f>
        <v/>
      </c>
      <c r="N3069" s="34">
        <f>IF($K3069=1,L3069-M3069,"")</f>
        <v/>
      </c>
      <c r="O3069" s="34" t="n">
        <v>0.00024583</v>
      </c>
      <c r="P3069" s="34">
        <f>IF($J3069=1,LN(1+O3069),"")</f>
        <v/>
      </c>
      <c r="Q3069" s="34">
        <f>IF($J3069=1,LN(R3070/R3069),"")</f>
        <v/>
      </c>
      <c r="R3069" s="32" t="n">
        <v>4.1609</v>
      </c>
      <c r="S3069" s="35" t="n">
        <v>8.303000000000001</v>
      </c>
      <c r="T3069" s="18" t="n"/>
      <c r="U3069" s="18" t="n">
        <v>75092.27</v>
      </c>
      <c r="V3069" s="18" t="n"/>
      <c r="W3069" s="18" t="n"/>
      <c r="X3069" s="35" t="n">
        <v>8.303000000000001</v>
      </c>
      <c r="Y3069" s="35" t="n"/>
    </row>
    <row r="3070">
      <c r="A3070" s="25" t="n">
        <v>43349</v>
      </c>
      <c r="B3070" s="18" t="n">
        <v>76416.02</v>
      </c>
      <c r="C3070" s="31" t="n"/>
      <c r="D3070" s="32" t="n"/>
      <c r="E3070" s="33" t="n">
        <v>1.1722</v>
      </c>
      <c r="F3070" t="inlineStr">
        <is>
          <t>Up</t>
        </is>
      </c>
      <c r="G3070" t="inlineStr">
        <is>
          <t>Up</t>
        </is>
      </c>
      <c r="H3070" t="inlineStr">
        <is>
          <t>EU_JU</t>
        </is>
      </c>
      <c r="I3070" t="inlineStr">
        <is>
          <t>2018-09</t>
        </is>
      </c>
      <c r="J3070" t="n">
        <v>1</v>
      </c>
      <c r="K3070" t="n">
        <v>1</v>
      </c>
      <c r="L3070" s="34">
        <f>IF($J3070=1,LN(B3071/B3070),"")</f>
        <v/>
      </c>
      <c r="M3070" s="34">
        <f>IF($K3070=1,INDEX(Mensal!$D$2:$D$245,MATCH($I3070,Mensal!$A$2:$A$245,0)),"")</f>
        <v/>
      </c>
      <c r="N3070" s="34">
        <f>IF($K3070=1,L3070-M3070,"")</f>
        <v/>
      </c>
      <c r="O3070" s="34" t="n">
        <v>0.00024583</v>
      </c>
      <c r="P3070" s="34">
        <f>IF($J3070=1,LN(1+O3070),"")</f>
        <v/>
      </c>
      <c r="Q3070" s="34">
        <f>IF($J3070=1,LN(R3071/R3070),"")</f>
        <v/>
      </c>
      <c r="R3070" s="32" t="n">
        <v>4.146</v>
      </c>
      <c r="S3070" s="35" t="n">
        <v>8.193</v>
      </c>
      <c r="T3070" s="18" t="n"/>
      <c r="U3070" s="18" t="n">
        <v>76416.02</v>
      </c>
      <c r="V3070" s="18" t="n"/>
      <c r="W3070" s="18" t="n"/>
      <c r="X3070" s="35" t="n">
        <v>8.193</v>
      </c>
      <c r="Y3070" s="35" t="n"/>
    </row>
    <row r="3071">
      <c r="A3071" s="25" t="n">
        <v>43353</v>
      </c>
      <c r="B3071" s="18" t="n">
        <v>76436.36</v>
      </c>
      <c r="C3071" s="31" t="n"/>
      <c r="D3071" s="32" t="n"/>
      <c r="E3071" s="33" t="n">
        <v>1.1899</v>
      </c>
      <c r="F3071" t="inlineStr">
        <is>
          <t>Up</t>
        </is>
      </c>
      <c r="G3071" t="inlineStr">
        <is>
          <t>Up</t>
        </is>
      </c>
      <c r="H3071" t="inlineStr">
        <is>
          <t>EU_JU</t>
        </is>
      </c>
      <c r="I3071" t="inlineStr">
        <is>
          <t>2018-09</t>
        </is>
      </c>
      <c r="J3071" t="n">
        <v>1</v>
      </c>
      <c r="K3071" t="n">
        <v>1</v>
      </c>
      <c r="L3071" s="34">
        <f>IF($J3071=1,LN(B3072/B3071),"")</f>
        <v/>
      </c>
      <c r="M3071" s="34">
        <f>IF($K3071=1,INDEX(Mensal!$D$2:$D$245,MATCH($I3071,Mensal!$A$2:$A$245,0)),"")</f>
        <v/>
      </c>
      <c r="N3071" s="34">
        <f>IF($K3071=1,L3071-M3071,"")</f>
        <v/>
      </c>
      <c r="O3071" s="34" t="n">
        <v>0.00024583</v>
      </c>
      <c r="P3071" s="34">
        <f>IF($J3071=1,LN(1+O3071),"")</f>
        <v/>
      </c>
      <c r="Q3071" s="34">
        <f>IF($J3071=1,LN(R3072/R3071),"")</f>
        <v/>
      </c>
      <c r="R3071" s="32" t="n">
        <v>4.1007</v>
      </c>
      <c r="S3071" s="35" t="n">
        <v>8.167999999999999</v>
      </c>
      <c r="T3071" s="18" t="n"/>
      <c r="U3071" s="18" t="n">
        <v>76436.36</v>
      </c>
      <c r="V3071" s="18" t="n"/>
      <c r="W3071" s="18" t="n"/>
      <c r="X3071" s="35" t="n">
        <v>8.167999999999999</v>
      </c>
      <c r="Y3071" s="35" t="n"/>
    </row>
    <row r="3072">
      <c r="A3072" s="25" t="n">
        <v>43354</v>
      </c>
      <c r="B3072" s="18" t="n">
        <v>74656.50999999999</v>
      </c>
      <c r="C3072" s="31" t="n"/>
      <c r="D3072" s="32" t="n"/>
      <c r="E3072" s="33" t="n">
        <v>1.2088</v>
      </c>
      <c r="F3072" t="inlineStr">
        <is>
          <t>Up</t>
        </is>
      </c>
      <c r="G3072" t="inlineStr">
        <is>
          <t>Up</t>
        </is>
      </c>
      <c r="H3072" t="inlineStr">
        <is>
          <t>EU_JU</t>
        </is>
      </c>
      <c r="I3072" t="inlineStr">
        <is>
          <t>2018-09</t>
        </is>
      </c>
      <c r="J3072" t="n">
        <v>1</v>
      </c>
      <c r="K3072" t="n">
        <v>1</v>
      </c>
      <c r="L3072" s="34">
        <f>IF($J3072=1,LN(B3073/B3072),"")</f>
        <v/>
      </c>
      <c r="M3072" s="34">
        <f>IF($K3072=1,INDEX(Mensal!$D$2:$D$245,MATCH($I3072,Mensal!$A$2:$A$245,0)),"")</f>
        <v/>
      </c>
      <c r="N3072" s="34">
        <f>IF($K3072=1,L3072-M3072,"")</f>
        <v/>
      </c>
      <c r="O3072" s="34" t="n">
        <v>0.00024583</v>
      </c>
      <c r="P3072" s="34">
        <f>IF($J3072=1,LN(1+O3072),"")</f>
        <v/>
      </c>
      <c r="Q3072" s="34">
        <f>IF($J3072=1,LN(R3073/R3072),"")</f>
        <v/>
      </c>
      <c r="R3072" s="32" t="n">
        <v>4.1641</v>
      </c>
      <c r="S3072" s="35" t="n">
        <v>8.093999999999999</v>
      </c>
      <c r="T3072" s="18" t="n"/>
      <c r="U3072" s="18" t="n">
        <v>74656.50999999999</v>
      </c>
      <c r="V3072" s="18" t="n"/>
      <c r="W3072" s="18" t="n"/>
      <c r="X3072" s="35" t="n">
        <v>8.093999999999999</v>
      </c>
      <c r="Y3072" s="35" t="n"/>
    </row>
    <row r="3073">
      <c r="A3073" s="25" t="n">
        <v>43355</v>
      </c>
      <c r="B3073" s="18" t="n">
        <v>75124.81</v>
      </c>
      <c r="C3073" s="31" t="n"/>
      <c r="D3073" s="32" t="n"/>
      <c r="E3073" s="33" t="n">
        <v>1.2298</v>
      </c>
      <c r="F3073" t="inlineStr">
        <is>
          <t>Up</t>
        </is>
      </c>
      <c r="G3073" t="inlineStr">
        <is>
          <t>Up</t>
        </is>
      </c>
      <c r="H3073" t="inlineStr">
        <is>
          <t>EU_JU</t>
        </is>
      </c>
      <c r="I3073" t="inlineStr">
        <is>
          <t>2018-09</t>
        </is>
      </c>
      <c r="J3073" t="n">
        <v>1</v>
      </c>
      <c r="K3073" t="n">
        <v>1</v>
      </c>
      <c r="L3073" s="34">
        <f>IF($J3073=1,LN(B3074/B3073),"")</f>
        <v/>
      </c>
      <c r="M3073" s="34">
        <f>IF($K3073=1,INDEX(Mensal!$D$2:$D$245,MATCH($I3073,Mensal!$A$2:$A$245,0)),"")</f>
        <v/>
      </c>
      <c r="N3073" s="34">
        <f>IF($K3073=1,L3073-M3073,"")</f>
        <v/>
      </c>
      <c r="O3073" s="34" t="n">
        <v>0.00024583</v>
      </c>
      <c r="P3073" s="34">
        <f>IF($J3073=1,LN(1+O3073),"")</f>
        <v/>
      </c>
      <c r="Q3073" s="34">
        <f>IF($J3073=1,LN(R3074/R3073),"")</f>
        <v/>
      </c>
      <c r="R3073" s="32" t="n">
        <v>4.1259</v>
      </c>
      <c r="S3073" s="35" t="n">
        <v>8.003</v>
      </c>
      <c r="T3073" s="18" t="n"/>
      <c r="U3073" s="18" t="n">
        <v>75124.81</v>
      </c>
      <c r="V3073" s="18" t="n"/>
      <c r="W3073" s="18" t="n"/>
      <c r="X3073" s="35" t="n">
        <v>8.003</v>
      </c>
      <c r="Y3073" s="35" t="n"/>
    </row>
    <row r="3074">
      <c r="A3074" s="25" t="n">
        <v>43356</v>
      </c>
      <c r="B3074" s="18" t="n">
        <v>74686.67999999999</v>
      </c>
      <c r="C3074" s="31" t="n"/>
      <c r="D3074" s="32" t="n"/>
      <c r="E3074" s="33" t="n">
        <v>1.2484</v>
      </c>
      <c r="F3074" t="inlineStr">
        <is>
          <t>Up</t>
        </is>
      </c>
      <c r="G3074" t="inlineStr">
        <is>
          <t>Up</t>
        </is>
      </c>
      <c r="H3074" t="inlineStr">
        <is>
          <t>EU_JU</t>
        </is>
      </c>
      <c r="I3074" t="inlineStr">
        <is>
          <t>2018-09</t>
        </is>
      </c>
      <c r="J3074" t="n">
        <v>1</v>
      </c>
      <c r="K3074" t="n">
        <v>1</v>
      </c>
      <c r="L3074" s="34">
        <f>IF($J3074=1,LN(B3075/B3074),"")</f>
        <v/>
      </c>
      <c r="M3074" s="34">
        <f>IF($K3074=1,INDEX(Mensal!$D$2:$D$245,MATCH($I3074,Mensal!$A$2:$A$245,0)),"")</f>
        <v/>
      </c>
      <c r="N3074" s="34">
        <f>IF($K3074=1,L3074-M3074,"")</f>
        <v/>
      </c>
      <c r="O3074" s="34" t="n">
        <v>0.00024583</v>
      </c>
      <c r="P3074" s="34">
        <f>IF($J3074=1,LN(1+O3074),"")</f>
        <v/>
      </c>
      <c r="Q3074" s="34">
        <f>IF($J3074=1,LN(R3075/R3074),"")</f>
        <v/>
      </c>
      <c r="R3074" s="32" t="n">
        <v>4.1637</v>
      </c>
      <c r="S3074" s="35" t="n">
        <v>8.178000000000001</v>
      </c>
      <c r="T3074" s="18" t="n"/>
      <c r="U3074" s="18" t="n">
        <v>74686.67999999999</v>
      </c>
      <c r="V3074" s="18" t="n"/>
      <c r="W3074" s="18" t="n"/>
      <c r="X3074" s="35" t="n">
        <v>8.178000000000001</v>
      </c>
      <c r="Y3074" s="35" t="n"/>
    </row>
    <row r="3075">
      <c r="A3075" s="25" t="n">
        <v>43357</v>
      </c>
      <c r="B3075" s="18" t="n">
        <v>75429.10000000001</v>
      </c>
      <c r="C3075" s="31" t="n"/>
      <c r="D3075" s="32" t="n"/>
      <c r="E3075" s="33" t="n">
        <v>1.2638</v>
      </c>
      <c r="F3075" t="inlineStr">
        <is>
          <t>Up</t>
        </is>
      </c>
      <c r="G3075" t="inlineStr">
        <is>
          <t>Up</t>
        </is>
      </c>
      <c r="H3075" t="inlineStr">
        <is>
          <t>EU_JU</t>
        </is>
      </c>
      <c r="I3075" t="inlineStr">
        <is>
          <t>2018-09</t>
        </is>
      </c>
      <c r="J3075" t="n">
        <v>1</v>
      </c>
      <c r="K3075" t="n">
        <v>1</v>
      </c>
      <c r="L3075" s="34">
        <f>IF($J3075=1,LN(B3076/B3075),"")</f>
        <v/>
      </c>
      <c r="M3075" s="34">
        <f>IF($K3075=1,INDEX(Mensal!$D$2:$D$245,MATCH($I3075,Mensal!$A$2:$A$245,0)),"")</f>
        <v/>
      </c>
      <c r="N3075" s="34">
        <f>IF($K3075=1,L3075-M3075,"")</f>
        <v/>
      </c>
      <c r="O3075" s="34" t="n">
        <v>0.00024583</v>
      </c>
      <c r="P3075" s="34">
        <f>IF($J3075=1,LN(1+O3075),"")</f>
        <v/>
      </c>
      <c r="Q3075" s="34">
        <f>IF($J3075=1,LN(R3076/R3075),"")</f>
        <v/>
      </c>
      <c r="R3075" s="32" t="n">
        <v>4.1879</v>
      </c>
      <c r="S3075" s="35" t="n">
        <v>8.164</v>
      </c>
      <c r="T3075" s="18" t="n"/>
      <c r="U3075" s="18" t="n">
        <v>75429.10000000001</v>
      </c>
      <c r="V3075" s="18" t="n"/>
      <c r="W3075" s="18" t="n"/>
      <c r="X3075" s="35" t="n">
        <v>8.164</v>
      </c>
      <c r="Y3075" s="35" t="n"/>
    </row>
    <row r="3076">
      <c r="A3076" s="25" t="n">
        <v>43360</v>
      </c>
      <c r="B3076" s="18" t="n">
        <v>76788.86</v>
      </c>
      <c r="C3076" s="31" t="n"/>
      <c r="D3076" s="32" t="n"/>
      <c r="E3076" s="33" t="n">
        <v>1.2784</v>
      </c>
      <c r="F3076" t="inlineStr">
        <is>
          <t>Up</t>
        </is>
      </c>
      <c r="G3076" t="inlineStr">
        <is>
          <t>Up</t>
        </is>
      </c>
      <c r="H3076" t="inlineStr">
        <is>
          <t>EU_JU</t>
        </is>
      </c>
      <c r="I3076" t="inlineStr">
        <is>
          <t>2018-09</t>
        </is>
      </c>
      <c r="J3076" t="n">
        <v>1</v>
      </c>
      <c r="K3076" t="n">
        <v>1</v>
      </c>
      <c r="L3076" s="34">
        <f>IF($J3076=1,LN(B3077/B3076),"")</f>
        <v/>
      </c>
      <c r="M3076" s="34">
        <f>IF($K3076=1,INDEX(Mensal!$D$2:$D$245,MATCH($I3076,Mensal!$A$2:$A$245,0)),"")</f>
        <v/>
      </c>
      <c r="N3076" s="34">
        <f>IF($K3076=1,L3076-M3076,"")</f>
        <v/>
      </c>
      <c r="O3076" s="34" t="n">
        <v>0.00024583</v>
      </c>
      <c r="P3076" s="34">
        <f>IF($J3076=1,LN(1+O3076),"")</f>
        <v/>
      </c>
      <c r="Q3076" s="34">
        <f>IF($J3076=1,LN(R3077/R3076),"")</f>
        <v/>
      </c>
      <c r="R3076" s="32" t="n">
        <v>4.1695</v>
      </c>
      <c r="S3076" s="35" t="n">
        <v>8.052</v>
      </c>
      <c r="T3076" s="18" t="n"/>
      <c r="U3076" s="18" t="n">
        <v>76788.86</v>
      </c>
      <c r="V3076" s="18" t="n"/>
      <c r="W3076" s="18" t="n"/>
      <c r="X3076" s="35" t="n">
        <v>8.052</v>
      </c>
      <c r="Y3076" s="35" t="n"/>
    </row>
    <row r="3077">
      <c r="A3077" s="25" t="n">
        <v>43361</v>
      </c>
      <c r="B3077" s="18" t="n">
        <v>78313.97</v>
      </c>
      <c r="C3077" s="31" t="n"/>
      <c r="D3077" s="32" t="n"/>
      <c r="E3077" s="33" t="n">
        <v>1.2909</v>
      </c>
      <c r="F3077" t="inlineStr">
        <is>
          <t>Up</t>
        </is>
      </c>
      <c r="G3077" t="inlineStr">
        <is>
          <t>Up</t>
        </is>
      </c>
      <c r="H3077" t="inlineStr">
        <is>
          <t>EU_JU</t>
        </is>
      </c>
      <c r="I3077" t="inlineStr">
        <is>
          <t>2018-09</t>
        </is>
      </c>
      <c r="J3077" t="n">
        <v>1</v>
      </c>
      <c r="K3077" t="n">
        <v>1</v>
      </c>
      <c r="L3077" s="34">
        <f>IF($J3077=1,LN(B3078/B3077),"")</f>
        <v/>
      </c>
      <c r="M3077" s="34">
        <f>IF($K3077=1,INDEX(Mensal!$D$2:$D$245,MATCH($I3077,Mensal!$A$2:$A$245,0)),"")</f>
        <v/>
      </c>
      <c r="N3077" s="34">
        <f>IF($K3077=1,L3077-M3077,"")</f>
        <v/>
      </c>
      <c r="O3077" s="34" t="n">
        <v>0.00024583</v>
      </c>
      <c r="P3077" s="34">
        <f>IF($J3077=1,LN(1+O3077),"")</f>
        <v/>
      </c>
      <c r="Q3077" s="34">
        <f>IF($J3077=1,LN(R3078/R3077),"")</f>
        <v/>
      </c>
      <c r="R3077" s="32" t="n">
        <v>4.1369</v>
      </c>
      <c r="S3077" s="35" t="n">
        <v>8.050000000000001</v>
      </c>
      <c r="T3077" s="18" t="n"/>
      <c r="U3077" s="18" t="n">
        <v>78313.97</v>
      </c>
      <c r="V3077" s="18" t="n"/>
      <c r="W3077" s="18" t="n"/>
      <c r="X3077" s="35" t="n">
        <v>8.050000000000001</v>
      </c>
      <c r="Y3077" s="35" t="n"/>
    </row>
    <row r="3078">
      <c r="A3078" s="25" t="n">
        <v>43362</v>
      </c>
      <c r="B3078" s="18" t="n">
        <v>78168.66</v>
      </c>
      <c r="C3078" s="31" t="n"/>
      <c r="D3078" s="32" t="n"/>
      <c r="E3078" s="33" t="n">
        <v>1.3046</v>
      </c>
      <c r="F3078" t="inlineStr">
        <is>
          <t>Up</t>
        </is>
      </c>
      <c r="G3078" t="inlineStr">
        <is>
          <t>Up</t>
        </is>
      </c>
      <c r="H3078" t="inlineStr">
        <is>
          <t>EU_JU</t>
        </is>
      </c>
      <c r="I3078" t="inlineStr">
        <is>
          <t>2018-09</t>
        </is>
      </c>
      <c r="J3078" t="n">
        <v>1</v>
      </c>
      <c r="K3078" t="n">
        <v>1</v>
      </c>
      <c r="L3078" s="34">
        <f>IF($J3078=1,LN(B3079/B3078),"")</f>
        <v/>
      </c>
      <c r="M3078" s="34">
        <f>IF($K3078=1,INDEX(Mensal!$D$2:$D$245,MATCH($I3078,Mensal!$A$2:$A$245,0)),"")</f>
        <v/>
      </c>
      <c r="N3078" s="34">
        <f>IF($K3078=1,L3078-M3078,"")</f>
        <v/>
      </c>
      <c r="O3078" s="34" t="n">
        <v>0.00024583</v>
      </c>
      <c r="P3078" s="34">
        <f>IF($J3078=1,LN(1+O3078),"")</f>
        <v/>
      </c>
      <c r="Q3078" s="34">
        <f>IF($J3078=1,LN(R3079/R3078),"")</f>
        <v/>
      </c>
      <c r="R3078" s="32" t="n">
        <v>4.1351</v>
      </c>
      <c r="S3078" s="35" t="n">
        <v>8.1</v>
      </c>
      <c r="T3078" s="18" t="n"/>
      <c r="U3078" s="18" t="n">
        <v>78168.66</v>
      </c>
      <c r="V3078" s="18" t="n"/>
      <c r="W3078" s="18" t="n"/>
      <c r="X3078" s="35" t="n">
        <v>8.1</v>
      </c>
      <c r="Y3078" s="35" t="n"/>
    </row>
    <row r="3079">
      <c r="A3079" s="25" t="n">
        <v>43363</v>
      </c>
      <c r="B3079" s="18" t="n">
        <v>78116.02</v>
      </c>
      <c r="C3079" s="31" t="n"/>
      <c r="D3079" s="32" t="n"/>
      <c r="E3079" s="33" t="n">
        <v>1.3261</v>
      </c>
      <c r="F3079" t="inlineStr">
        <is>
          <t>Up</t>
        </is>
      </c>
      <c r="G3079" t="inlineStr">
        <is>
          <t>Up</t>
        </is>
      </c>
      <c r="H3079" t="inlineStr">
        <is>
          <t>EU_JU</t>
        </is>
      </c>
      <c r="I3079" t="inlineStr">
        <is>
          <t>2018-09</t>
        </is>
      </c>
      <c r="J3079" t="n">
        <v>1</v>
      </c>
      <c r="K3079" t="n">
        <v>1</v>
      </c>
      <c r="L3079" s="34">
        <f>IF($J3079=1,LN(B3080/B3079),"")</f>
        <v/>
      </c>
      <c r="M3079" s="34">
        <f>IF($K3079=1,INDEX(Mensal!$D$2:$D$245,MATCH($I3079,Mensal!$A$2:$A$245,0)),"")</f>
        <v/>
      </c>
      <c r="N3079" s="34">
        <f>IF($K3079=1,L3079-M3079,"")</f>
        <v/>
      </c>
      <c r="O3079" s="34" t="n">
        <v>0.00024583</v>
      </c>
      <c r="P3079" s="34">
        <f>IF($J3079=1,LN(1+O3079),"")</f>
        <v/>
      </c>
      <c r="Q3079" s="34">
        <f>IF($J3079=1,LN(R3080/R3079),"")</f>
        <v/>
      </c>
      <c r="R3079" s="32" t="n">
        <v>4.0997</v>
      </c>
      <c r="S3079" s="35" t="n">
        <v>8.068</v>
      </c>
      <c r="T3079" s="18" t="n"/>
      <c r="U3079" s="18" t="n">
        <v>78116.02</v>
      </c>
      <c r="V3079" s="18" t="n"/>
      <c r="W3079" s="18" t="n"/>
      <c r="X3079" s="35" t="n">
        <v>8.068</v>
      </c>
      <c r="Y3079" s="35" t="n"/>
    </row>
    <row r="3080">
      <c r="A3080" s="25" t="n">
        <v>43364</v>
      </c>
      <c r="B3080" s="18" t="n">
        <v>79444.28999999999</v>
      </c>
      <c r="C3080" s="31" t="n"/>
      <c r="D3080" s="32" t="n"/>
      <c r="E3080" s="33" t="n">
        <v>1.3437</v>
      </c>
      <c r="F3080" t="inlineStr">
        <is>
          <t>Up</t>
        </is>
      </c>
      <c r="G3080" t="inlineStr">
        <is>
          <t>Up</t>
        </is>
      </c>
      <c r="H3080" t="inlineStr">
        <is>
          <t>EU_JU</t>
        </is>
      </c>
      <c r="I3080" t="inlineStr">
        <is>
          <t>2018-09</t>
        </is>
      </c>
      <c r="J3080" t="n">
        <v>1</v>
      </c>
      <c r="K3080" t="n">
        <v>1</v>
      </c>
      <c r="L3080" s="34">
        <f>IF($J3080=1,LN(B3081/B3080),"")</f>
        <v/>
      </c>
      <c r="M3080" s="34">
        <f>IF($K3080=1,INDEX(Mensal!$D$2:$D$245,MATCH($I3080,Mensal!$A$2:$A$245,0)),"")</f>
        <v/>
      </c>
      <c r="N3080" s="34">
        <f>IF($K3080=1,L3080-M3080,"")</f>
        <v/>
      </c>
      <c r="O3080" s="34" t="n">
        <v>0.00024583</v>
      </c>
      <c r="P3080" s="34">
        <f>IF($J3080=1,LN(1+O3080),"")</f>
        <v/>
      </c>
      <c r="Q3080" s="34">
        <f>IF($J3080=1,LN(R3081/R3080),"")</f>
        <v/>
      </c>
      <c r="R3080" s="32" t="n">
        <v>4.0728</v>
      </c>
      <c r="S3080" s="35" t="n">
        <v>7.992</v>
      </c>
      <c r="T3080" s="18" t="n"/>
      <c r="U3080" s="18" t="n">
        <v>79444.28999999999</v>
      </c>
      <c r="V3080" s="18" t="n"/>
      <c r="W3080" s="18" t="n"/>
      <c r="X3080" s="35" t="n">
        <v>7.992</v>
      </c>
      <c r="Y3080" s="35" t="n"/>
    </row>
    <row r="3081">
      <c r="A3081" s="25" t="n">
        <v>43367</v>
      </c>
      <c r="B3081" s="18" t="n">
        <v>77984.19</v>
      </c>
      <c r="C3081" s="31" t="n"/>
      <c r="D3081" s="32" t="n"/>
      <c r="E3081" s="33" t="n">
        <v>1.3676</v>
      </c>
      <c r="F3081" t="inlineStr">
        <is>
          <t>Up</t>
        </is>
      </c>
      <c r="G3081" t="inlineStr">
        <is>
          <t>Up</t>
        </is>
      </c>
      <c r="H3081" t="inlineStr">
        <is>
          <t>EU_JU</t>
        </is>
      </c>
      <c r="I3081" t="inlineStr">
        <is>
          <t>2018-09</t>
        </is>
      </c>
      <c r="J3081" t="n">
        <v>1</v>
      </c>
      <c r="K3081" t="n">
        <v>1</v>
      </c>
      <c r="L3081" s="34">
        <f>IF($J3081=1,LN(B3082/B3081),"")</f>
        <v/>
      </c>
      <c r="M3081" s="34">
        <f>IF($K3081=1,INDEX(Mensal!$D$2:$D$245,MATCH($I3081,Mensal!$A$2:$A$245,0)),"")</f>
        <v/>
      </c>
      <c r="N3081" s="34">
        <f>IF($K3081=1,L3081-M3081,"")</f>
        <v/>
      </c>
      <c r="O3081" s="34" t="n">
        <v>0.00024583</v>
      </c>
      <c r="P3081" s="34">
        <f>IF($J3081=1,LN(1+O3081),"")</f>
        <v/>
      </c>
      <c r="Q3081" s="34">
        <f>IF($J3081=1,LN(R3082/R3081),"")</f>
        <v/>
      </c>
      <c r="R3081" s="32" t="n">
        <v>4.0594</v>
      </c>
      <c r="S3081" s="35" t="n">
        <v>8.042999999999999</v>
      </c>
      <c r="T3081" s="18" t="n"/>
      <c r="U3081" s="18" t="n">
        <v>77984.19</v>
      </c>
      <c r="V3081" s="18" t="n"/>
      <c r="W3081" s="18" t="n"/>
      <c r="X3081" s="35" t="n">
        <v>8.042999999999999</v>
      </c>
      <c r="Y3081" s="35" t="n"/>
    </row>
    <row r="3082">
      <c r="A3082" s="25" t="n">
        <v>43368</v>
      </c>
      <c r="B3082" s="18" t="n">
        <v>78630.14999999999</v>
      </c>
      <c r="C3082" s="31" t="n"/>
      <c r="D3082" s="32" t="n"/>
      <c r="E3082" s="33" t="n">
        <v>1.3882</v>
      </c>
      <c r="F3082" t="inlineStr">
        <is>
          <t>Up</t>
        </is>
      </c>
      <c r="G3082" t="inlineStr">
        <is>
          <t>Up</t>
        </is>
      </c>
      <c r="H3082" t="inlineStr">
        <is>
          <t>EU_JU</t>
        </is>
      </c>
      <c r="I3082" t="inlineStr">
        <is>
          <t>2018-09</t>
        </is>
      </c>
      <c r="J3082" t="n">
        <v>1</v>
      </c>
      <c r="K3082" t="n">
        <v>1</v>
      </c>
      <c r="L3082" s="34">
        <f>IF($J3082=1,LN(B3083/B3082),"")</f>
        <v/>
      </c>
      <c r="M3082" s="34">
        <f>IF($K3082=1,INDEX(Mensal!$D$2:$D$245,MATCH($I3082,Mensal!$A$2:$A$245,0)),"")</f>
        <v/>
      </c>
      <c r="N3082" s="34">
        <f>IF($K3082=1,L3082-M3082,"")</f>
        <v/>
      </c>
      <c r="O3082" s="34" t="n">
        <v>0.00024583</v>
      </c>
      <c r="P3082" s="34">
        <f>IF($J3082=1,LN(1+O3082),"")</f>
        <v/>
      </c>
      <c r="Q3082" s="34">
        <f>IF($J3082=1,LN(R3083/R3082),"")</f>
        <v/>
      </c>
      <c r="R3082" s="32" t="n">
        <v>4.1286</v>
      </c>
      <c r="S3082" s="35" t="n">
        <v>8.054</v>
      </c>
      <c r="T3082" s="18" t="n"/>
      <c r="U3082" s="18" t="n">
        <v>78630.14999999999</v>
      </c>
      <c r="V3082" s="18" t="n"/>
      <c r="W3082" s="18" t="n"/>
      <c r="X3082" s="35" t="n">
        <v>8.054</v>
      </c>
      <c r="Y3082" s="35" t="n"/>
    </row>
    <row r="3083">
      <c r="A3083" s="25" t="n">
        <v>43369</v>
      </c>
      <c r="B3083" s="18" t="n">
        <v>78656.16</v>
      </c>
      <c r="C3083" s="31" t="n"/>
      <c r="D3083" s="32" t="n"/>
      <c r="E3083" s="33" t="n">
        <v>1.4041</v>
      </c>
      <c r="F3083" t="inlineStr">
        <is>
          <t>Up</t>
        </is>
      </c>
      <c r="G3083" t="inlineStr">
        <is>
          <t>Up</t>
        </is>
      </c>
      <c r="H3083" t="inlineStr">
        <is>
          <t>EU_JU</t>
        </is>
      </c>
      <c r="I3083" t="inlineStr">
        <is>
          <t>2018-09</t>
        </is>
      </c>
      <c r="J3083" t="n">
        <v>1</v>
      </c>
      <c r="K3083" t="n">
        <v>1</v>
      </c>
      <c r="L3083" s="34">
        <f>IF($J3083=1,LN(B3084/B3083),"")</f>
        <v/>
      </c>
      <c r="M3083" s="34">
        <f>IF($K3083=1,INDEX(Mensal!$D$2:$D$245,MATCH($I3083,Mensal!$A$2:$A$245,0)),"")</f>
        <v/>
      </c>
      <c r="N3083" s="34">
        <f>IF($K3083=1,L3083-M3083,"")</f>
        <v/>
      </c>
      <c r="O3083" s="34" t="n">
        <v>0.00024583</v>
      </c>
      <c r="P3083" s="34">
        <f>IF($J3083=1,LN(1+O3083),"")</f>
        <v/>
      </c>
      <c r="Q3083" s="34">
        <f>IF($J3083=1,LN(R3084/R3083),"")</f>
        <v/>
      </c>
      <c r="R3083" s="32" t="n">
        <v>4.057</v>
      </c>
      <c r="S3083" s="35" t="n">
        <v>8</v>
      </c>
      <c r="T3083" s="18" t="n"/>
      <c r="U3083" s="18" t="n">
        <v>78656.16</v>
      </c>
      <c r="V3083" s="18" t="n"/>
      <c r="W3083" s="18" t="n"/>
      <c r="X3083" s="35" t="n">
        <v>8</v>
      </c>
      <c r="Y3083" s="35" t="n"/>
    </row>
    <row r="3084">
      <c r="A3084" s="25" t="n">
        <v>43370</v>
      </c>
      <c r="B3084" s="18" t="n">
        <v>80000.09</v>
      </c>
      <c r="C3084" s="31" t="n"/>
      <c r="D3084" s="32" t="n"/>
      <c r="E3084" s="33" t="n">
        <v>1.4098</v>
      </c>
      <c r="F3084" t="inlineStr">
        <is>
          <t>Up</t>
        </is>
      </c>
      <c r="G3084" t="inlineStr">
        <is>
          <t>Up</t>
        </is>
      </c>
      <c r="H3084" t="inlineStr">
        <is>
          <t>EU_JU</t>
        </is>
      </c>
      <c r="I3084" t="inlineStr">
        <is>
          <t>2018-09</t>
        </is>
      </c>
      <c r="J3084" t="n">
        <v>1</v>
      </c>
      <c r="K3084" t="n">
        <v>1</v>
      </c>
      <c r="L3084" s="34">
        <f>IF($J3084=1,LN(B3085/B3084),"")</f>
        <v/>
      </c>
      <c r="M3084" s="34">
        <f>IF($K3084=1,INDEX(Mensal!$D$2:$D$245,MATCH($I3084,Mensal!$A$2:$A$245,0)),"")</f>
        <v/>
      </c>
      <c r="N3084" s="34">
        <f>IF($K3084=1,L3084-M3084,"")</f>
        <v/>
      </c>
      <c r="O3084" s="34" t="n">
        <v>0.00024583</v>
      </c>
      <c r="P3084" s="34">
        <f>IF($J3084=1,LN(1+O3084),"")</f>
        <v/>
      </c>
      <c r="Q3084" s="34">
        <f>IF($J3084=1,LN(R3085/R3084),"")</f>
        <v/>
      </c>
      <c r="R3084" s="32" t="n">
        <v>4.0092</v>
      </c>
      <c r="S3084" s="35" t="n">
        <v>7.901</v>
      </c>
      <c r="T3084" s="18" t="n"/>
      <c r="U3084" s="18" t="n">
        <v>80000.09</v>
      </c>
      <c r="V3084" s="18" t="n"/>
      <c r="W3084" s="18" t="n"/>
      <c r="X3084" s="35" t="n">
        <v>7.901</v>
      </c>
      <c r="Y3084" s="35" t="n"/>
    </row>
    <row r="3085">
      <c r="A3085" s="25" t="n">
        <v>43371</v>
      </c>
      <c r="B3085" s="18" t="n">
        <v>79342.42999999999</v>
      </c>
      <c r="C3085" s="31" t="n"/>
      <c r="D3085" s="32" t="n"/>
      <c r="E3085" s="33" t="n">
        <v>1.4229</v>
      </c>
      <c r="F3085" t="inlineStr">
        <is>
          <t>Up</t>
        </is>
      </c>
      <c r="G3085" t="inlineStr">
        <is>
          <t>Up</t>
        </is>
      </c>
      <c r="H3085" t="inlineStr">
        <is>
          <t>EU_JU</t>
        </is>
      </c>
      <c r="I3085" t="inlineStr">
        <is>
          <t>2018-09</t>
        </is>
      </c>
      <c r="J3085" t="n">
        <v>1</v>
      </c>
      <c r="K3085" t="n">
        <v>1</v>
      </c>
      <c r="L3085" s="34">
        <f>IF($J3085=1,LN(B3086/B3085),"")</f>
        <v/>
      </c>
      <c r="M3085" s="34">
        <f>IF($K3085=1,INDEX(Mensal!$D$2:$D$245,MATCH($I3085,Mensal!$A$2:$A$245,0)),"")</f>
        <v/>
      </c>
      <c r="N3085" s="34">
        <f>IF($K3085=1,L3085-M3085,"")</f>
        <v/>
      </c>
      <c r="O3085" s="34" t="n">
        <v>0.00024583</v>
      </c>
      <c r="P3085" s="34">
        <f>IF($J3085=1,LN(1+O3085),"")</f>
        <v/>
      </c>
      <c r="Q3085" s="34">
        <f>IF($J3085=1,LN(R3086/R3085),"")</f>
        <v/>
      </c>
      <c r="R3085" s="32" t="n">
        <v>4.0039</v>
      </c>
      <c r="S3085" s="35" t="n">
        <v>7.951</v>
      </c>
      <c r="T3085" s="18" t="n"/>
      <c r="U3085" s="18" t="n">
        <v>79342.42999999999</v>
      </c>
      <c r="V3085" s="18" t="n"/>
      <c r="W3085" s="18" t="n"/>
      <c r="X3085" s="35" t="n">
        <v>7.951</v>
      </c>
      <c r="Y3085" s="35" t="n"/>
    </row>
    <row r="3086">
      <c r="A3086" s="25" t="n">
        <v>43374</v>
      </c>
      <c r="B3086" s="18" t="n">
        <v>78623.66</v>
      </c>
      <c r="C3086" s="31" t="n"/>
      <c r="D3086" s="32" t="n"/>
      <c r="E3086" s="33" t="n">
        <v>1.4323</v>
      </c>
      <c r="F3086" t="inlineStr">
        <is>
          <t>Up</t>
        </is>
      </c>
      <c r="G3086" t="inlineStr">
        <is>
          <t>Up</t>
        </is>
      </c>
      <c r="H3086" t="inlineStr">
        <is>
          <t>EU_JU</t>
        </is>
      </c>
      <c r="I3086" t="inlineStr">
        <is>
          <t>2018-10</t>
        </is>
      </c>
      <c r="J3086" t="n">
        <v>1</v>
      </c>
      <c r="K3086" t="n">
        <v>1</v>
      </c>
      <c r="L3086" s="34">
        <f>IF($J3086=1,LN(B3087/B3086),"")</f>
        <v/>
      </c>
      <c r="M3086" s="34">
        <f>IF($K3086=1,INDEX(Mensal!$D$2:$D$245,MATCH($I3086,Mensal!$A$2:$A$245,0)),"")</f>
        <v/>
      </c>
      <c r="N3086" s="34">
        <f>IF($K3086=1,L3086-M3086,"")</f>
        <v/>
      </c>
      <c r="O3086" s="34" t="n">
        <v>0.0002462</v>
      </c>
      <c r="P3086" s="34">
        <f>IF($J3086=1,LN(1+O3086),"")</f>
        <v/>
      </c>
      <c r="Q3086" s="34">
        <f>IF($J3086=1,LN(R3087/R3086),"")</f>
        <v/>
      </c>
      <c r="R3086" s="32" t="n">
        <v>4.0273</v>
      </c>
      <c r="S3086" s="35" t="n">
        <v>7.866</v>
      </c>
      <c r="T3086" s="18" t="n"/>
      <c r="U3086" s="18" t="n">
        <v>78623.66</v>
      </c>
      <c r="V3086" s="18" t="n"/>
      <c r="W3086" s="18" t="n"/>
      <c r="X3086" s="35" t="n">
        <v>7.866</v>
      </c>
      <c r="Y3086" s="35" t="n"/>
    </row>
    <row r="3087">
      <c r="A3087" s="25" t="n">
        <v>43375</v>
      </c>
      <c r="B3087" s="18" t="n">
        <v>81612.28</v>
      </c>
      <c r="C3087" s="31" t="n"/>
      <c r="D3087" s="32" t="n"/>
      <c r="E3087" s="33" t="n">
        <v>1.4383</v>
      </c>
      <c r="F3087" t="inlineStr">
        <is>
          <t>Up</t>
        </is>
      </c>
      <c r="G3087" t="inlineStr">
        <is>
          <t>Up</t>
        </is>
      </c>
      <c r="H3087" t="inlineStr">
        <is>
          <t>EU_JU</t>
        </is>
      </c>
      <c r="I3087" t="inlineStr">
        <is>
          <t>2018-10</t>
        </is>
      </c>
      <c r="J3087" t="n">
        <v>1</v>
      </c>
      <c r="K3087" t="n">
        <v>1</v>
      </c>
      <c r="L3087" s="34">
        <f>IF($J3087=1,LN(B3088/B3087),"")</f>
        <v/>
      </c>
      <c r="M3087" s="34">
        <f>IF($K3087=1,INDEX(Mensal!$D$2:$D$245,MATCH($I3087,Mensal!$A$2:$A$245,0)),"")</f>
        <v/>
      </c>
      <c r="N3087" s="34">
        <f>IF($K3087=1,L3087-M3087,"")</f>
        <v/>
      </c>
      <c r="O3087" s="34" t="n">
        <v>0.0002462</v>
      </c>
      <c r="P3087" s="34">
        <f>IF($J3087=1,LN(1+O3087),"")</f>
        <v/>
      </c>
      <c r="Q3087" s="34">
        <f>IF($J3087=1,LN(R3088/R3087),"")</f>
        <v/>
      </c>
      <c r="R3087" s="32" t="n">
        <v>3.9505</v>
      </c>
      <c r="S3087" s="35" t="n">
        <v>7.831</v>
      </c>
      <c r="T3087" s="18" t="n"/>
      <c r="U3087" s="18" t="n">
        <v>81612.28</v>
      </c>
      <c r="V3087" s="18" t="n"/>
      <c r="W3087" s="18" t="n"/>
      <c r="X3087" s="35" t="n">
        <v>7.831</v>
      </c>
      <c r="Y3087" s="35" t="n"/>
    </row>
    <row r="3088">
      <c r="A3088" s="25" t="n">
        <v>43376</v>
      </c>
      <c r="B3088" s="18" t="n">
        <v>83273.39999999999</v>
      </c>
      <c r="C3088" s="31" t="n"/>
      <c r="D3088" s="32" t="n"/>
      <c r="E3088" s="33" t="n">
        <v>1.442</v>
      </c>
      <c r="F3088" t="inlineStr">
        <is>
          <t>Up</t>
        </is>
      </c>
      <c r="G3088" t="inlineStr">
        <is>
          <t>Up</t>
        </is>
      </c>
      <c r="H3088" t="inlineStr">
        <is>
          <t>EU_JU</t>
        </is>
      </c>
      <c r="I3088" t="inlineStr">
        <is>
          <t>2018-10</t>
        </is>
      </c>
      <c r="J3088" t="n">
        <v>1</v>
      </c>
      <c r="K3088" t="n">
        <v>1</v>
      </c>
      <c r="L3088" s="34">
        <f>IF($J3088=1,LN(B3089/B3088),"")</f>
        <v/>
      </c>
      <c r="M3088" s="34">
        <f>IF($K3088=1,INDEX(Mensal!$D$2:$D$245,MATCH($I3088,Mensal!$A$2:$A$245,0)),"")</f>
        <v/>
      </c>
      <c r="N3088" s="34">
        <f>IF($K3088=1,L3088-M3088,"")</f>
        <v/>
      </c>
      <c r="O3088" s="34" t="n">
        <v>0.0002462</v>
      </c>
      <c r="P3088" s="34">
        <f>IF($J3088=1,LN(1+O3088),"")</f>
        <v/>
      </c>
      <c r="Q3088" s="34">
        <f>IF($J3088=1,LN(R3089/R3088),"")</f>
        <v/>
      </c>
      <c r="R3088" s="32" t="n">
        <v>3.8542</v>
      </c>
      <c r="S3088" s="35" t="n">
        <v>7.84</v>
      </c>
      <c r="T3088" s="18" t="n"/>
      <c r="U3088" s="18" t="n">
        <v>83273.39999999999</v>
      </c>
      <c r="V3088" s="18" t="n"/>
      <c r="W3088" s="18" t="n"/>
      <c r="X3088" s="35" t="n">
        <v>7.84</v>
      </c>
      <c r="Y3088" s="35" t="n"/>
    </row>
    <row r="3089">
      <c r="A3089" s="25" t="n">
        <v>43377</v>
      </c>
      <c r="B3089" s="18" t="n">
        <v>82952.81</v>
      </c>
      <c r="C3089" s="31" t="n"/>
      <c r="D3089" s="32" t="n"/>
      <c r="E3089" s="33" t="n">
        <v>1.4406</v>
      </c>
      <c r="F3089" t="inlineStr">
        <is>
          <t>Up</t>
        </is>
      </c>
      <c r="G3089" t="inlineStr">
        <is>
          <t>Up</t>
        </is>
      </c>
      <c r="H3089" t="inlineStr">
        <is>
          <t>EU_JU</t>
        </is>
      </c>
      <c r="I3089" t="inlineStr">
        <is>
          <t>2018-10</t>
        </is>
      </c>
      <c r="J3089" t="n">
        <v>1</v>
      </c>
      <c r="K3089" t="n">
        <v>1</v>
      </c>
      <c r="L3089" s="34">
        <f>IF($J3089=1,LN(B3090/B3089),"")</f>
        <v/>
      </c>
      <c r="M3089" s="34">
        <f>IF($K3089=1,INDEX(Mensal!$D$2:$D$245,MATCH($I3089,Mensal!$A$2:$A$245,0)),"")</f>
        <v/>
      </c>
      <c r="N3089" s="34">
        <f>IF($K3089=1,L3089-M3089,"")</f>
        <v/>
      </c>
      <c r="O3089" s="34" t="n">
        <v>0.0002462</v>
      </c>
      <c r="P3089" s="34">
        <f>IF($J3089=1,LN(1+O3089),"")</f>
        <v/>
      </c>
      <c r="Q3089" s="34">
        <f>IF($J3089=1,LN(R3090/R3089),"")</f>
        <v/>
      </c>
      <c r="R3089" s="32" t="n">
        <v>3.9047</v>
      </c>
      <c r="S3089" s="35" t="n">
        <v>7.83</v>
      </c>
      <c r="T3089" s="18" t="n"/>
      <c r="U3089" s="18" t="n">
        <v>82952.81</v>
      </c>
      <c r="V3089" s="18" t="n"/>
      <c r="W3089" s="18" t="n"/>
      <c r="X3089" s="35" t="n">
        <v>7.83</v>
      </c>
      <c r="Y3089" s="35" t="n"/>
    </row>
    <row r="3090">
      <c r="A3090" s="25" t="n">
        <v>43378</v>
      </c>
      <c r="B3090" s="18" t="n">
        <v>82321.52</v>
      </c>
      <c r="C3090" s="31" t="n"/>
      <c r="D3090" s="32" t="n"/>
      <c r="E3090" s="33" t="n">
        <v>1.4366</v>
      </c>
      <c r="F3090" t="inlineStr">
        <is>
          <t>Up</t>
        </is>
      </c>
      <c r="G3090" t="inlineStr">
        <is>
          <t>Up</t>
        </is>
      </c>
      <c r="H3090" t="inlineStr">
        <is>
          <t>EU_JU</t>
        </is>
      </c>
      <c r="I3090" t="inlineStr">
        <is>
          <t>2018-10</t>
        </is>
      </c>
      <c r="J3090" t="n">
        <v>1</v>
      </c>
      <c r="K3090" t="n">
        <v>1</v>
      </c>
      <c r="L3090" s="34">
        <f>IF($J3090=1,LN(B3091/B3090),"")</f>
        <v/>
      </c>
      <c r="M3090" s="34">
        <f>IF($K3090=1,INDEX(Mensal!$D$2:$D$245,MATCH($I3090,Mensal!$A$2:$A$245,0)),"")</f>
        <v/>
      </c>
      <c r="N3090" s="34">
        <f>IF($K3090=1,L3090-M3090,"")</f>
        <v/>
      </c>
      <c r="O3090" s="34" t="n">
        <v>0.0002462</v>
      </c>
      <c r="P3090" s="34">
        <f>IF($J3090=1,LN(1+O3090),"")</f>
        <v/>
      </c>
      <c r="Q3090" s="34">
        <f>IF($J3090=1,LN(R3091/R3090),"")</f>
        <v/>
      </c>
      <c r="R3090" s="32" t="n">
        <v>3.8699</v>
      </c>
      <c r="S3090" s="35" t="n">
        <v>7.91</v>
      </c>
      <c r="T3090" s="18" t="n"/>
      <c r="U3090" s="18" t="n">
        <v>82321.52</v>
      </c>
      <c r="V3090" s="18" t="n"/>
      <c r="W3090" s="18" t="n"/>
      <c r="X3090" s="35" t="n">
        <v>7.91</v>
      </c>
      <c r="Y3090" s="35" t="n"/>
    </row>
    <row r="3091">
      <c r="A3091" s="25" t="n">
        <v>43381</v>
      </c>
      <c r="B3091" s="18" t="n">
        <v>86083.92</v>
      </c>
      <c r="C3091" s="31" t="n"/>
      <c r="D3091" s="32" t="n"/>
      <c r="E3091" s="33" t="n">
        <v>1.4628</v>
      </c>
      <c r="F3091" t="inlineStr">
        <is>
          <t>Up</t>
        </is>
      </c>
      <c r="G3091" t="inlineStr">
        <is>
          <t>Up</t>
        </is>
      </c>
      <c r="H3091" t="inlineStr">
        <is>
          <t>EU_JU</t>
        </is>
      </c>
      <c r="I3091" t="inlineStr">
        <is>
          <t>2018-10</t>
        </is>
      </c>
      <c r="J3091" t="n">
        <v>1</v>
      </c>
      <c r="K3091" t="n">
        <v>1</v>
      </c>
      <c r="L3091" s="34">
        <f>IF($J3091=1,LN(B3092/B3091),"")</f>
        <v/>
      </c>
      <c r="M3091" s="34">
        <f>IF($K3091=1,INDEX(Mensal!$D$2:$D$245,MATCH($I3091,Mensal!$A$2:$A$245,0)),"")</f>
        <v/>
      </c>
      <c r="N3091" s="34">
        <f>IF($K3091=1,L3091-M3091,"")</f>
        <v/>
      </c>
      <c r="O3091" s="34" t="n">
        <v>0.0002462</v>
      </c>
      <c r="P3091" s="34">
        <f>IF($J3091=1,LN(1+O3091),"")</f>
        <v/>
      </c>
      <c r="Q3091" s="34">
        <f>IF($J3091=1,LN(R3092/R3091),"")</f>
        <v/>
      </c>
      <c r="R3091" s="32" t="n">
        <v>3.7588</v>
      </c>
      <c r="S3091" s="35" t="n">
        <v>7.562</v>
      </c>
      <c r="T3091" s="18" t="n"/>
      <c r="U3091" s="18" t="n">
        <v>86083.92</v>
      </c>
      <c r="V3091" s="18" t="n"/>
      <c r="W3091" s="18" t="n"/>
      <c r="X3091" s="35" t="n">
        <v>7.562</v>
      </c>
      <c r="Y3091" s="35" t="n"/>
    </row>
    <row r="3092">
      <c r="A3092" s="25" t="n">
        <v>43382</v>
      </c>
      <c r="B3092" s="18" t="n">
        <v>86087.55</v>
      </c>
      <c r="C3092" s="31" t="n"/>
      <c r="D3092" s="32" t="n"/>
      <c r="E3092" s="33" t="n">
        <v>1.4913</v>
      </c>
      <c r="F3092" t="inlineStr">
        <is>
          <t>Up</t>
        </is>
      </c>
      <c r="G3092" t="inlineStr">
        <is>
          <t>Up</t>
        </is>
      </c>
      <c r="H3092" t="inlineStr">
        <is>
          <t>EU_JU</t>
        </is>
      </c>
      <c r="I3092" t="inlineStr">
        <is>
          <t>2018-10</t>
        </is>
      </c>
      <c r="J3092" t="n">
        <v>1</v>
      </c>
      <c r="K3092" t="n">
        <v>1</v>
      </c>
      <c r="L3092" s="34">
        <f>IF($J3092=1,LN(B3093/B3092),"")</f>
        <v/>
      </c>
      <c r="M3092" s="34">
        <f>IF($K3092=1,INDEX(Mensal!$D$2:$D$245,MATCH($I3092,Mensal!$A$2:$A$245,0)),"")</f>
        <v/>
      </c>
      <c r="N3092" s="34">
        <f>IF($K3092=1,L3092-M3092,"")</f>
        <v/>
      </c>
      <c r="O3092" s="34" t="n">
        <v>0.0002462</v>
      </c>
      <c r="P3092" s="34">
        <f>IF($J3092=1,LN(1+O3092),"")</f>
        <v/>
      </c>
      <c r="Q3092" s="34">
        <f>IF($J3092=1,LN(R3093/R3092),"")</f>
        <v/>
      </c>
      <c r="R3092" s="32" t="n">
        <v>3.7391</v>
      </c>
      <c r="S3092" s="35" t="n">
        <v>7.346</v>
      </c>
      <c r="T3092" s="18" t="n"/>
      <c r="U3092" s="18" t="n">
        <v>86087.55</v>
      </c>
      <c r="V3092" s="18" t="n"/>
      <c r="W3092" s="18" t="n"/>
      <c r="X3092" s="35" t="n">
        <v>7.346</v>
      </c>
      <c r="Y3092" s="35" t="n"/>
    </row>
    <row r="3093">
      <c r="A3093" s="25" t="n">
        <v>43383</v>
      </c>
      <c r="B3093" s="18" t="n">
        <v>83679.12</v>
      </c>
      <c r="C3093" s="31" t="n"/>
      <c r="D3093" s="32" t="n"/>
      <c r="E3093" s="33" t="n">
        <v>1.5179</v>
      </c>
      <c r="F3093" t="inlineStr">
        <is>
          <t>Up</t>
        </is>
      </c>
      <c r="G3093" t="inlineStr">
        <is>
          <t>Up</t>
        </is>
      </c>
      <c r="H3093" t="inlineStr">
        <is>
          <t>EU_JU</t>
        </is>
      </c>
      <c r="I3093" t="inlineStr">
        <is>
          <t>2018-10</t>
        </is>
      </c>
      <c r="J3093" t="n">
        <v>1</v>
      </c>
      <c r="K3093" t="n">
        <v>1</v>
      </c>
      <c r="L3093" s="34">
        <f>IF($J3093=1,LN(B3094/B3093),"")</f>
        <v/>
      </c>
      <c r="M3093" s="34">
        <f>IF($K3093=1,INDEX(Mensal!$D$2:$D$245,MATCH($I3093,Mensal!$A$2:$A$245,0)),"")</f>
        <v/>
      </c>
      <c r="N3093" s="34">
        <f>IF($K3093=1,L3093-M3093,"")</f>
        <v/>
      </c>
      <c r="O3093" s="34" t="n">
        <v>0.0002462</v>
      </c>
      <c r="P3093" s="34">
        <f>IF($J3093=1,LN(1+O3093),"")</f>
        <v/>
      </c>
      <c r="Q3093" s="34">
        <f>IF($J3093=1,LN(R3094/R3093),"")</f>
        <v/>
      </c>
      <c r="R3093" s="32" t="n">
        <v>3.751</v>
      </c>
      <c r="S3093" s="35" t="n">
        <v>7.424</v>
      </c>
      <c r="T3093" s="18" t="n"/>
      <c r="U3093" s="18" t="n">
        <v>83679.12</v>
      </c>
      <c r="V3093" s="18" t="n"/>
      <c r="W3093" s="18" t="n"/>
      <c r="X3093" s="35" t="n">
        <v>7.424</v>
      </c>
      <c r="Y3093" s="35" t="n"/>
    </row>
    <row r="3094">
      <c r="A3094" s="25" t="n">
        <v>43384</v>
      </c>
      <c r="B3094" s="18" t="n">
        <v>82921.08</v>
      </c>
      <c r="C3094" s="31" t="n"/>
      <c r="D3094" s="32" t="n"/>
      <c r="E3094" s="33" t="n">
        <v>1.5328</v>
      </c>
      <c r="F3094" t="inlineStr">
        <is>
          <t>Up</t>
        </is>
      </c>
      <c r="G3094" t="inlineStr">
        <is>
          <t>Up</t>
        </is>
      </c>
      <c r="H3094" t="inlineStr">
        <is>
          <t>EU_JU</t>
        </is>
      </c>
      <c r="I3094" t="inlineStr">
        <is>
          <t>2018-10</t>
        </is>
      </c>
      <c r="J3094" t="n">
        <v>1</v>
      </c>
      <c r="K3094" t="n">
        <v>1</v>
      </c>
      <c r="L3094" s="34">
        <f>IF($J3094=1,LN(B3095/B3094),"")</f>
        <v/>
      </c>
      <c r="M3094" s="34">
        <f>IF($K3094=1,INDEX(Mensal!$D$2:$D$245,MATCH($I3094,Mensal!$A$2:$A$245,0)),"")</f>
        <v/>
      </c>
      <c r="N3094" s="34">
        <f>IF($K3094=1,L3094-M3094,"")</f>
        <v/>
      </c>
      <c r="O3094" s="34" t="n">
        <v>0.0002462</v>
      </c>
      <c r="P3094" s="34">
        <f>IF($J3094=1,LN(1+O3094),"")</f>
        <v/>
      </c>
      <c r="Q3094" s="34">
        <f>IF($J3094=1,LN(R3095/R3094),"")</f>
        <v/>
      </c>
      <c r="R3094" s="32" t="n">
        <v>3.746</v>
      </c>
      <c r="S3094" s="35" t="n">
        <v>7.374</v>
      </c>
      <c r="T3094" s="18" t="n"/>
      <c r="U3094" s="18" t="n">
        <v>82921.08</v>
      </c>
      <c r="V3094" s="18" t="n"/>
      <c r="W3094" s="18" t="n"/>
      <c r="X3094" s="35" t="n">
        <v>7.374</v>
      </c>
      <c r="Y3094" s="35" t="n"/>
    </row>
    <row r="3095">
      <c r="A3095" s="25" t="n">
        <v>43388</v>
      </c>
      <c r="B3095" s="18" t="n">
        <v>83359.77</v>
      </c>
      <c r="C3095" s="31" t="n"/>
      <c r="D3095" s="32" t="n"/>
      <c r="E3095" s="33" t="n">
        <v>1.5482</v>
      </c>
      <c r="F3095" t="inlineStr">
        <is>
          <t>Up</t>
        </is>
      </c>
      <c r="G3095" t="inlineStr">
        <is>
          <t>Up</t>
        </is>
      </c>
      <c r="H3095" t="inlineStr">
        <is>
          <t>EU_JU</t>
        </is>
      </c>
      <c r="I3095" t="inlineStr">
        <is>
          <t>2018-10</t>
        </is>
      </c>
      <c r="J3095" t="n">
        <v>1</v>
      </c>
      <c r="K3095" t="n">
        <v>1</v>
      </c>
      <c r="L3095" s="34">
        <f>IF($J3095=1,LN(B3096/B3095),"")</f>
        <v/>
      </c>
      <c r="M3095" s="34">
        <f>IF($K3095=1,INDEX(Mensal!$D$2:$D$245,MATCH($I3095,Mensal!$A$2:$A$245,0)),"")</f>
        <v/>
      </c>
      <c r="N3095" s="34">
        <f>IF($K3095=1,L3095-M3095,"")</f>
        <v/>
      </c>
      <c r="O3095" s="34" t="n">
        <v>0.0002462</v>
      </c>
      <c r="P3095" s="34">
        <f>IF($J3095=1,LN(1+O3095),"")</f>
        <v/>
      </c>
      <c r="Q3095" s="34">
        <f>IF($J3095=1,LN(R3096/R3095),"")</f>
        <v/>
      </c>
      <c r="R3095" s="32" t="n">
        <v>3.7332</v>
      </c>
      <c r="S3095" s="35" t="n">
        <v>7.313</v>
      </c>
      <c r="T3095" s="18" t="n"/>
      <c r="U3095" s="18" t="n">
        <v>83359.77</v>
      </c>
      <c r="V3095" s="18" t="n"/>
      <c r="W3095" s="18" t="n"/>
      <c r="X3095" s="35" t="n">
        <v>7.313</v>
      </c>
      <c r="Y3095" s="35" t="n"/>
    </row>
    <row r="3096">
      <c r="A3096" s="25" t="n">
        <v>43389</v>
      </c>
      <c r="B3096" s="18" t="n">
        <v>85717.57000000001</v>
      </c>
      <c r="C3096" s="31" t="n"/>
      <c r="D3096" s="32" t="n"/>
      <c r="E3096" s="33" t="n">
        <v>1.5578</v>
      </c>
      <c r="F3096" t="inlineStr">
        <is>
          <t>Up</t>
        </is>
      </c>
      <c r="G3096" t="inlineStr">
        <is>
          <t>Up</t>
        </is>
      </c>
      <c r="H3096" t="inlineStr">
        <is>
          <t>EU_JU</t>
        </is>
      </c>
      <c r="I3096" t="inlineStr">
        <is>
          <t>2018-10</t>
        </is>
      </c>
      <c r="J3096" t="n">
        <v>1</v>
      </c>
      <c r="K3096" t="n">
        <v>1</v>
      </c>
      <c r="L3096" s="34">
        <f>IF($J3096=1,LN(B3097/B3096),"")</f>
        <v/>
      </c>
      <c r="M3096" s="34">
        <f>IF($K3096=1,INDEX(Mensal!$D$2:$D$245,MATCH($I3096,Mensal!$A$2:$A$245,0)),"")</f>
        <v/>
      </c>
      <c r="N3096" s="34">
        <f>IF($K3096=1,L3096-M3096,"")</f>
        <v/>
      </c>
      <c r="O3096" s="34" t="n">
        <v>0.0002462</v>
      </c>
      <c r="P3096" s="34">
        <f>IF($J3096=1,LN(1+O3096),"")</f>
        <v/>
      </c>
      <c r="Q3096" s="34">
        <f>IF($J3096=1,LN(R3097/R3096),"")</f>
        <v/>
      </c>
      <c r="R3096" s="32" t="n">
        <v>3.7079</v>
      </c>
      <c r="S3096" s="35" t="n">
        <v>7.25</v>
      </c>
      <c r="T3096" s="18" t="n"/>
      <c r="U3096" s="18" t="n">
        <v>85717.57000000001</v>
      </c>
      <c r="V3096" s="18" t="n"/>
      <c r="W3096" s="18" t="n"/>
      <c r="X3096" s="35" t="n">
        <v>7.25</v>
      </c>
      <c r="Y3096" s="35" t="n"/>
    </row>
    <row r="3097">
      <c r="A3097" s="25" t="n">
        <v>43390</v>
      </c>
      <c r="B3097" s="18" t="n">
        <v>85763.96000000001</v>
      </c>
      <c r="C3097" s="31" t="n"/>
      <c r="D3097" s="32" t="n"/>
      <c r="E3097" s="33" t="n">
        <v>1.5675</v>
      </c>
      <c r="F3097" t="inlineStr">
        <is>
          <t>Up</t>
        </is>
      </c>
      <c r="G3097" t="inlineStr">
        <is>
          <t>Up</t>
        </is>
      </c>
      <c r="H3097" t="inlineStr">
        <is>
          <t>EU_JU</t>
        </is>
      </c>
      <c r="I3097" t="inlineStr">
        <is>
          <t>2018-10</t>
        </is>
      </c>
      <c r="J3097" t="n">
        <v>1</v>
      </c>
      <c r="K3097" t="n">
        <v>1</v>
      </c>
      <c r="L3097" s="34">
        <f>IF($J3097=1,LN(B3098/B3097),"")</f>
        <v/>
      </c>
      <c r="M3097" s="34">
        <f>IF($K3097=1,INDEX(Mensal!$D$2:$D$245,MATCH($I3097,Mensal!$A$2:$A$245,0)),"")</f>
        <v/>
      </c>
      <c r="N3097" s="34">
        <f>IF($K3097=1,L3097-M3097,"")</f>
        <v/>
      </c>
      <c r="O3097" s="34" t="n">
        <v>0.0002462</v>
      </c>
      <c r="P3097" s="34">
        <f>IF($J3097=1,LN(1+O3097),"")</f>
        <v/>
      </c>
      <c r="Q3097" s="34">
        <f>IF($J3097=1,LN(R3098/R3097),"")</f>
        <v/>
      </c>
      <c r="R3097" s="32" t="n">
        <v>3.7008</v>
      </c>
      <c r="S3097" s="35" t="n">
        <v>7.271</v>
      </c>
      <c r="T3097" s="18" t="n"/>
      <c r="U3097" s="18" t="n">
        <v>85763.96000000001</v>
      </c>
      <c r="V3097" s="18" t="n"/>
      <c r="W3097" s="18" t="n"/>
      <c r="X3097" s="35" t="n">
        <v>7.271</v>
      </c>
      <c r="Y3097" s="35" t="n"/>
    </row>
    <row r="3098">
      <c r="A3098" s="25" t="n">
        <v>43391</v>
      </c>
      <c r="B3098" s="18" t="n">
        <v>83847.12</v>
      </c>
      <c r="C3098" s="31" t="n"/>
      <c r="D3098" s="32" t="n"/>
      <c r="E3098" s="33" t="n">
        <v>1.5794</v>
      </c>
      <c r="F3098" t="inlineStr">
        <is>
          <t>Up</t>
        </is>
      </c>
      <c r="G3098" t="inlineStr">
        <is>
          <t>Up</t>
        </is>
      </c>
      <c r="H3098" t="inlineStr">
        <is>
          <t>EU_JU</t>
        </is>
      </c>
      <c r="I3098" t="inlineStr">
        <is>
          <t>2018-10</t>
        </is>
      </c>
      <c r="J3098" t="n">
        <v>1</v>
      </c>
      <c r="K3098" t="n">
        <v>1</v>
      </c>
      <c r="L3098" s="34">
        <f>IF($J3098=1,LN(B3099/B3098),"")</f>
        <v/>
      </c>
      <c r="M3098" s="34">
        <f>IF($K3098=1,INDEX(Mensal!$D$2:$D$245,MATCH($I3098,Mensal!$A$2:$A$245,0)),"")</f>
        <v/>
      </c>
      <c r="N3098" s="34">
        <f>IF($K3098=1,L3098-M3098,"")</f>
        <v/>
      </c>
      <c r="O3098" s="34" t="n">
        <v>0.0002462</v>
      </c>
      <c r="P3098" s="34">
        <f>IF($J3098=1,LN(1+O3098),"")</f>
        <v/>
      </c>
      <c r="Q3098" s="34">
        <f>IF($J3098=1,LN(R3099/R3098),"")</f>
        <v/>
      </c>
      <c r="R3098" s="32" t="n">
        <v>3.6963</v>
      </c>
      <c r="S3098" s="35" t="n">
        <v>7.308</v>
      </c>
      <c r="T3098" s="18" t="n"/>
      <c r="U3098" s="18" t="n">
        <v>83847.12</v>
      </c>
      <c r="V3098" s="18" t="n"/>
      <c r="W3098" s="18" t="n"/>
      <c r="X3098" s="35" t="n">
        <v>7.308</v>
      </c>
      <c r="Y3098" s="35" t="n"/>
    </row>
    <row r="3099">
      <c r="A3099" s="25" t="n">
        <v>43392</v>
      </c>
      <c r="B3099" s="18" t="n">
        <v>84219.75</v>
      </c>
      <c r="C3099" s="31" t="n"/>
      <c r="D3099" s="32" t="n"/>
      <c r="E3099" s="33" t="n">
        <v>1.591</v>
      </c>
      <c r="F3099" t="inlineStr">
        <is>
          <t>Up</t>
        </is>
      </c>
      <c r="G3099" t="inlineStr">
        <is>
          <t>Up</t>
        </is>
      </c>
      <c r="H3099" t="inlineStr">
        <is>
          <t>EU_JU</t>
        </is>
      </c>
      <c r="I3099" t="inlineStr">
        <is>
          <t>2018-10</t>
        </is>
      </c>
      <c r="J3099" t="n">
        <v>1</v>
      </c>
      <c r="K3099" t="n">
        <v>1</v>
      </c>
      <c r="L3099" s="34">
        <f>IF($J3099=1,LN(B3100/B3099),"")</f>
        <v/>
      </c>
      <c r="M3099" s="34">
        <f>IF($K3099=1,INDEX(Mensal!$D$2:$D$245,MATCH($I3099,Mensal!$A$2:$A$245,0)),"")</f>
        <v/>
      </c>
      <c r="N3099" s="34">
        <f>IF($K3099=1,L3099-M3099,"")</f>
        <v/>
      </c>
      <c r="O3099" s="34" t="n">
        <v>0.0002462</v>
      </c>
      <c r="P3099" s="34">
        <f>IF($J3099=1,LN(1+O3099),"")</f>
        <v/>
      </c>
      <c r="Q3099" s="34">
        <f>IF($J3099=1,LN(R3100/R3099),"")</f>
        <v/>
      </c>
      <c r="R3099" s="32" t="n">
        <v>3.7079</v>
      </c>
      <c r="S3099" s="35" t="n">
        <v>7.31</v>
      </c>
      <c r="T3099" s="18" t="n"/>
      <c r="U3099" s="18" t="n">
        <v>84219.75</v>
      </c>
      <c r="V3099" s="18" t="n"/>
      <c r="W3099" s="18" t="n"/>
      <c r="X3099" s="35" t="n">
        <v>7.31</v>
      </c>
      <c r="Y3099" s="35" t="n"/>
    </row>
    <row r="3100">
      <c r="A3100" s="25" t="n">
        <v>43395</v>
      </c>
      <c r="B3100" s="18" t="n">
        <v>85596.7</v>
      </c>
      <c r="C3100" s="31" t="n"/>
      <c r="D3100" s="32" t="n"/>
      <c r="E3100" s="33" t="n">
        <v>1.6062</v>
      </c>
      <c r="F3100" t="inlineStr">
        <is>
          <t>Up</t>
        </is>
      </c>
      <c r="G3100" t="inlineStr">
        <is>
          <t>Up</t>
        </is>
      </c>
      <c r="H3100" t="inlineStr">
        <is>
          <t>EU_JU</t>
        </is>
      </c>
      <c r="I3100" t="inlineStr">
        <is>
          <t>2018-10</t>
        </is>
      </c>
      <c r="J3100" t="n">
        <v>1</v>
      </c>
      <c r="K3100" t="n">
        <v>1</v>
      </c>
      <c r="L3100" s="34">
        <f>IF($J3100=1,LN(B3101/B3100),"")</f>
        <v/>
      </c>
      <c r="M3100" s="34">
        <f>IF($K3100=1,INDEX(Mensal!$D$2:$D$245,MATCH($I3100,Mensal!$A$2:$A$245,0)),"")</f>
        <v/>
      </c>
      <c r="N3100" s="34">
        <f>IF($K3100=1,L3100-M3100,"")</f>
        <v/>
      </c>
      <c r="O3100" s="34" t="n">
        <v>0.0002462</v>
      </c>
      <c r="P3100" s="34">
        <f>IF($J3100=1,LN(1+O3100),"")</f>
        <v/>
      </c>
      <c r="Q3100" s="34">
        <f>IF($J3100=1,LN(R3101/R3100),"")</f>
        <v/>
      </c>
      <c r="R3100" s="32" t="n">
        <v>3.6903</v>
      </c>
      <c r="S3100" s="35" t="n">
        <v>7.223</v>
      </c>
      <c r="T3100" s="18" t="n"/>
      <c r="U3100" s="18" t="n">
        <v>85596.7</v>
      </c>
      <c r="V3100" s="18" t="n"/>
      <c r="W3100" s="18" t="n"/>
      <c r="X3100" s="35" t="n">
        <v>7.223</v>
      </c>
      <c r="Y3100" s="35" t="n"/>
    </row>
    <row r="3101">
      <c r="A3101" s="25" t="n">
        <v>43396</v>
      </c>
      <c r="B3101" s="18" t="n">
        <v>85300.03999999999</v>
      </c>
      <c r="C3101" s="31" t="n"/>
      <c r="D3101" s="32" t="n"/>
      <c r="E3101" s="33" t="n">
        <v>1.6181</v>
      </c>
      <c r="F3101" t="inlineStr">
        <is>
          <t>Up</t>
        </is>
      </c>
      <c r="G3101" t="inlineStr">
        <is>
          <t>Up</t>
        </is>
      </c>
      <c r="H3101" t="inlineStr">
        <is>
          <t>EU_JU</t>
        </is>
      </c>
      <c r="I3101" t="inlineStr">
        <is>
          <t>2018-10</t>
        </is>
      </c>
      <c r="J3101" t="n">
        <v>1</v>
      </c>
      <c r="K3101" t="n">
        <v>1</v>
      </c>
      <c r="L3101" s="34">
        <f>IF($J3101=1,LN(B3102/B3101),"")</f>
        <v/>
      </c>
      <c r="M3101" s="34">
        <f>IF($K3101=1,INDEX(Mensal!$D$2:$D$245,MATCH($I3101,Mensal!$A$2:$A$245,0)),"")</f>
        <v/>
      </c>
      <c r="N3101" s="34">
        <f>IF($K3101=1,L3101-M3101,"")</f>
        <v/>
      </c>
      <c r="O3101" s="34" t="n">
        <v>0.0002462</v>
      </c>
      <c r="P3101" s="34">
        <f>IF($J3101=1,LN(1+O3101),"")</f>
        <v/>
      </c>
      <c r="Q3101" s="34">
        <f>IF($J3101=1,LN(R3102/R3101),"")</f>
        <v/>
      </c>
      <c r="R3101" s="32" t="n">
        <v>3.708</v>
      </c>
      <c r="S3101" s="35" t="n">
        <v>7.182</v>
      </c>
      <c r="T3101" s="18" t="n"/>
      <c r="U3101" s="18" t="n">
        <v>85300.03999999999</v>
      </c>
      <c r="V3101" s="18" t="n"/>
      <c r="W3101" s="18" t="n"/>
      <c r="X3101" s="35" t="n">
        <v>7.182</v>
      </c>
      <c r="Y3101" s="35" t="n"/>
    </row>
    <row r="3102">
      <c r="A3102" s="25" t="n">
        <v>43397</v>
      </c>
      <c r="B3102" s="18" t="n">
        <v>83063.56</v>
      </c>
      <c r="C3102" s="31" t="n"/>
      <c r="D3102" s="32" t="n"/>
      <c r="E3102" s="33" t="n">
        <v>1.6234</v>
      </c>
      <c r="F3102" t="inlineStr">
        <is>
          <t>Up</t>
        </is>
      </c>
      <c r="G3102" t="inlineStr">
        <is>
          <t>Up</t>
        </is>
      </c>
      <c r="H3102" t="inlineStr">
        <is>
          <t>EU_JU</t>
        </is>
      </c>
      <c r="I3102" t="inlineStr">
        <is>
          <t>2018-10</t>
        </is>
      </c>
      <c r="J3102" t="n">
        <v>1</v>
      </c>
      <c r="K3102" t="n">
        <v>1</v>
      </c>
      <c r="L3102" s="34">
        <f>IF($J3102=1,LN(B3103/B3102),"")</f>
        <v/>
      </c>
      <c r="M3102" s="34">
        <f>IF($K3102=1,INDEX(Mensal!$D$2:$D$245,MATCH($I3102,Mensal!$A$2:$A$245,0)),"")</f>
        <v/>
      </c>
      <c r="N3102" s="34">
        <f>IF($K3102=1,L3102-M3102,"")</f>
        <v/>
      </c>
      <c r="O3102" s="34" t="n">
        <v>0.0002462</v>
      </c>
      <c r="P3102" s="34">
        <f>IF($J3102=1,LN(1+O3102),"")</f>
        <v/>
      </c>
      <c r="Q3102" s="34">
        <f>IF($J3102=1,LN(R3103/R3102),"")</f>
        <v/>
      </c>
      <c r="R3102" s="32" t="n">
        <v>3.706</v>
      </c>
      <c r="S3102" s="35" t="n">
        <v>7.193</v>
      </c>
      <c r="T3102" s="18" t="n"/>
      <c r="U3102" s="18" t="n">
        <v>83063.56</v>
      </c>
      <c r="V3102" s="18" t="n"/>
      <c r="W3102" s="18" t="n"/>
      <c r="X3102" s="35" t="n">
        <v>7.193</v>
      </c>
      <c r="Y3102" s="35" t="n"/>
    </row>
    <row r="3103">
      <c r="A3103" s="25" t="n">
        <v>43398</v>
      </c>
      <c r="B3103" s="18" t="n">
        <v>84083.50999999999</v>
      </c>
      <c r="C3103" s="31" t="n"/>
      <c r="D3103" s="32" t="n"/>
      <c r="E3103" s="33" t="n">
        <v>1.6201</v>
      </c>
      <c r="F3103" t="inlineStr">
        <is>
          <t>Up</t>
        </is>
      </c>
      <c r="G3103" t="inlineStr">
        <is>
          <t>Up</t>
        </is>
      </c>
      <c r="H3103" t="inlineStr">
        <is>
          <t>EU_JU</t>
        </is>
      </c>
      <c r="I3103" t="inlineStr">
        <is>
          <t>2018-10</t>
        </is>
      </c>
      <c r="J3103" t="n">
        <v>1</v>
      </c>
      <c r="K3103" t="n">
        <v>1</v>
      </c>
      <c r="L3103" s="34">
        <f>IF($J3103=1,LN(B3104/B3103),"")</f>
        <v/>
      </c>
      <c r="M3103" s="34">
        <f>IF($K3103=1,INDEX(Mensal!$D$2:$D$245,MATCH($I3103,Mensal!$A$2:$A$245,0)),"")</f>
        <v/>
      </c>
      <c r="N3103" s="34">
        <f>IF($K3103=1,L3103-M3103,"")</f>
        <v/>
      </c>
      <c r="O3103" s="34" t="n">
        <v>0.0002462</v>
      </c>
      <c r="P3103" s="34">
        <f>IF($J3103=1,LN(1+O3103),"")</f>
        <v/>
      </c>
      <c r="Q3103" s="34">
        <f>IF($J3103=1,LN(R3104/R3103),"")</f>
        <v/>
      </c>
      <c r="R3103" s="32" t="n">
        <v>3.7014</v>
      </c>
      <c r="S3103" s="35" t="n">
        <v>7.252</v>
      </c>
      <c r="T3103" s="18" t="n"/>
      <c r="U3103" s="18" t="n">
        <v>84083.50999999999</v>
      </c>
      <c r="V3103" s="18" t="n"/>
      <c r="W3103" s="18" t="n"/>
      <c r="X3103" s="35" t="n">
        <v>7.252</v>
      </c>
      <c r="Y3103" s="35" t="n"/>
    </row>
    <row r="3104">
      <c r="A3104" s="25" t="n">
        <v>43399</v>
      </c>
      <c r="B3104" s="18" t="n">
        <v>85719.88</v>
      </c>
      <c r="C3104" s="31" t="n"/>
      <c r="D3104" s="32" t="n"/>
      <c r="E3104" s="33" t="n">
        <v>1.6121</v>
      </c>
      <c r="F3104" t="inlineStr">
        <is>
          <t>Up</t>
        </is>
      </c>
      <c r="G3104" t="inlineStr">
        <is>
          <t>Down</t>
        </is>
      </c>
      <c r="H3104" t="inlineStr">
        <is>
          <t>EU_JD</t>
        </is>
      </c>
      <c r="I3104" t="inlineStr">
        <is>
          <t>2018-10</t>
        </is>
      </c>
      <c r="J3104" t="n">
        <v>1</v>
      </c>
      <c r="K3104" t="n">
        <v>1</v>
      </c>
      <c r="L3104" s="34">
        <f>IF($J3104=1,LN(B3105/B3104),"")</f>
        <v/>
      </c>
      <c r="M3104" s="34">
        <f>IF($K3104=1,INDEX(Mensal!$D$2:$D$245,MATCH($I3104,Mensal!$A$2:$A$245,0)),"")</f>
        <v/>
      </c>
      <c r="N3104" s="34">
        <f>IF($K3104=1,L3104-M3104,"")</f>
        <v/>
      </c>
      <c r="O3104" s="34" t="n">
        <v>0.0002462</v>
      </c>
      <c r="P3104" s="34">
        <f>IF($J3104=1,LN(1+O3104),"")</f>
        <v/>
      </c>
      <c r="Q3104" s="34">
        <f>IF($J3104=1,LN(R3105/R3104),"")</f>
        <v/>
      </c>
      <c r="R3104" s="32" t="n">
        <v>3.6753</v>
      </c>
      <c r="S3104" s="35" t="n">
        <v>7.171</v>
      </c>
      <c r="T3104" s="18" t="n">
        <v>85719.88</v>
      </c>
      <c r="U3104" s="18" t="n"/>
      <c r="V3104" s="18" t="n"/>
      <c r="W3104" s="18" t="n"/>
      <c r="X3104" s="35" t="n"/>
      <c r="Y3104" s="35" t="n">
        <v>7.171</v>
      </c>
    </row>
    <row r="3105">
      <c r="A3105" s="25" t="n">
        <v>43402</v>
      </c>
      <c r="B3105" s="18" t="n">
        <v>83796.71000000001</v>
      </c>
      <c r="C3105" s="31" t="n"/>
      <c r="D3105" s="32" t="n"/>
      <c r="E3105" s="33" t="n">
        <v>1.6032</v>
      </c>
      <c r="F3105" t="inlineStr">
        <is>
          <t>Up</t>
        </is>
      </c>
      <c r="G3105" t="inlineStr">
        <is>
          <t>Down</t>
        </is>
      </c>
      <c r="H3105" t="inlineStr">
        <is>
          <t>EU_JD</t>
        </is>
      </c>
      <c r="I3105" t="inlineStr">
        <is>
          <t>2018-10</t>
        </is>
      </c>
      <c r="J3105" t="n">
        <v>1</v>
      </c>
      <c r="K3105" t="n">
        <v>1</v>
      </c>
      <c r="L3105" s="34">
        <f>IF($J3105=1,LN(B3106/B3105),"")</f>
        <v/>
      </c>
      <c r="M3105" s="34">
        <f>IF($K3105=1,INDEX(Mensal!$D$2:$D$245,MATCH($I3105,Mensal!$A$2:$A$245,0)),"")</f>
        <v/>
      </c>
      <c r="N3105" s="34">
        <f>IF($K3105=1,L3105-M3105,"")</f>
        <v/>
      </c>
      <c r="O3105" s="34" t="n">
        <v>0.0002462</v>
      </c>
      <c r="P3105" s="34">
        <f>IF($J3105=1,LN(1+O3105),"")</f>
        <v/>
      </c>
      <c r="Q3105" s="34">
        <f>IF($J3105=1,LN(R3106/R3105),"")</f>
        <v/>
      </c>
      <c r="R3105" s="32" t="n">
        <v>3.6368</v>
      </c>
      <c r="S3105" s="35" t="n">
        <v>7.102</v>
      </c>
      <c r="T3105" s="18" t="n">
        <v>83796.71000000001</v>
      </c>
      <c r="U3105" s="18" t="n"/>
      <c r="V3105" s="18" t="n"/>
      <c r="W3105" s="18" t="n"/>
      <c r="X3105" s="35" t="n"/>
      <c r="Y3105" s="35" t="n">
        <v>7.102</v>
      </c>
    </row>
    <row r="3106">
      <c r="A3106" s="25" t="n">
        <v>43403</v>
      </c>
      <c r="B3106" s="18" t="n">
        <v>86885.71000000001</v>
      </c>
      <c r="C3106" s="31" t="n"/>
      <c r="D3106" s="32" t="n"/>
      <c r="E3106" s="33" t="n">
        <v>1.5939</v>
      </c>
      <c r="F3106" t="inlineStr">
        <is>
          <t>Up</t>
        </is>
      </c>
      <c r="G3106" t="inlineStr">
        <is>
          <t>Down</t>
        </is>
      </c>
      <c r="H3106" t="inlineStr">
        <is>
          <t>EU_JD</t>
        </is>
      </c>
      <c r="I3106" t="inlineStr">
        <is>
          <t>2018-10</t>
        </is>
      </c>
      <c r="J3106" t="n">
        <v>1</v>
      </c>
      <c r="K3106" t="n">
        <v>1</v>
      </c>
      <c r="L3106" s="34">
        <f>IF($J3106=1,LN(B3107/B3106),"")</f>
        <v/>
      </c>
      <c r="M3106" s="34">
        <f>IF($K3106=1,INDEX(Mensal!$D$2:$D$245,MATCH($I3106,Mensal!$A$2:$A$245,0)),"")</f>
        <v/>
      </c>
      <c r="N3106" s="34">
        <f>IF($K3106=1,L3106-M3106,"")</f>
        <v/>
      </c>
      <c r="O3106" s="34" t="n">
        <v>0.0002462</v>
      </c>
      <c r="P3106" s="34">
        <f>IF($J3106=1,LN(1+O3106),"")</f>
        <v/>
      </c>
      <c r="Q3106" s="34">
        <f>IF($J3106=1,LN(R3107/R3106),"")</f>
        <v/>
      </c>
      <c r="R3106" s="32" t="n">
        <v>3.7019</v>
      </c>
      <c r="S3106" s="35" t="n">
        <v>7.02</v>
      </c>
      <c r="T3106" s="18" t="n">
        <v>86885.71000000001</v>
      </c>
      <c r="U3106" s="18" t="n"/>
      <c r="V3106" s="18" t="n"/>
      <c r="W3106" s="18" t="n"/>
      <c r="X3106" s="35" t="n"/>
      <c r="Y3106" s="35" t="n">
        <v>7.02</v>
      </c>
    </row>
    <row r="3107">
      <c r="A3107" s="25" t="n">
        <v>43404</v>
      </c>
      <c r="B3107" s="18" t="n">
        <v>87423.55</v>
      </c>
      <c r="C3107" s="31" t="n"/>
      <c r="D3107" s="32" t="n"/>
      <c r="E3107" s="33" t="n">
        <v>1.5822</v>
      </c>
      <c r="F3107" t="inlineStr">
        <is>
          <t>Up</t>
        </is>
      </c>
      <c r="G3107" t="inlineStr">
        <is>
          <t>Down</t>
        </is>
      </c>
      <c r="H3107" t="inlineStr">
        <is>
          <t>EU_JD</t>
        </is>
      </c>
      <c r="I3107" t="inlineStr">
        <is>
          <t>2018-10</t>
        </is>
      </c>
      <c r="J3107" t="n">
        <v>1</v>
      </c>
      <c r="K3107" t="n">
        <v>1</v>
      </c>
      <c r="L3107" s="34">
        <f>IF($J3107=1,LN(B3108/B3107),"")</f>
        <v/>
      </c>
      <c r="M3107" s="34">
        <f>IF($K3107=1,INDEX(Mensal!$D$2:$D$245,MATCH($I3107,Mensal!$A$2:$A$245,0)),"")</f>
        <v/>
      </c>
      <c r="N3107" s="34">
        <f>IF($K3107=1,L3107-M3107,"")</f>
        <v/>
      </c>
      <c r="O3107" s="34" t="n">
        <v>0.0002462</v>
      </c>
      <c r="P3107" s="34">
        <f>IF($J3107=1,LN(1+O3107),"")</f>
        <v/>
      </c>
      <c r="Q3107" s="34">
        <f>IF($J3107=1,LN(R3108/R3107),"")</f>
        <v/>
      </c>
      <c r="R3107" s="32" t="n">
        <v>3.7177</v>
      </c>
      <c r="S3107" s="35" t="n">
        <v>7.001</v>
      </c>
      <c r="T3107" s="18" t="n">
        <v>87423.55</v>
      </c>
      <c r="U3107" s="18" t="n"/>
      <c r="V3107" s="18" t="n"/>
      <c r="W3107" s="18" t="n"/>
      <c r="X3107" s="35" t="n"/>
      <c r="Y3107" s="35" t="n">
        <v>7.001</v>
      </c>
    </row>
    <row r="3108">
      <c r="A3108" s="25" t="n">
        <v>43405</v>
      </c>
      <c r="B3108" s="18" t="n">
        <v>88419.05</v>
      </c>
      <c r="C3108" s="31" t="n"/>
      <c r="D3108" s="32" t="n"/>
      <c r="E3108" s="33" t="n">
        <v>1.5659</v>
      </c>
      <c r="F3108" t="inlineStr">
        <is>
          <t>Up</t>
        </is>
      </c>
      <c r="G3108" t="inlineStr">
        <is>
          <t>Down</t>
        </is>
      </c>
      <c r="H3108" t="inlineStr">
        <is>
          <t>EU_JD</t>
        </is>
      </c>
      <c r="I3108" t="inlineStr">
        <is>
          <t>2018-11</t>
        </is>
      </c>
      <c r="J3108" t="n">
        <v>1</v>
      </c>
      <c r="K3108" t="n">
        <v>1</v>
      </c>
      <c r="L3108" s="34">
        <f>IF($J3108=1,LN(B3109/B3108),"")</f>
        <v/>
      </c>
      <c r="M3108" s="34">
        <f>IF($K3108=1,INDEX(Mensal!$D$2:$D$245,MATCH($I3108,Mensal!$A$2:$A$245,0)),"")</f>
        <v/>
      </c>
      <c r="N3108" s="34">
        <f>IF($K3108=1,L3108-M3108,"")</f>
        <v/>
      </c>
      <c r="O3108" s="34" t="n">
        <v>0.0002462</v>
      </c>
      <c r="P3108" s="34">
        <f>IF($J3108=1,LN(1+O3108),"")</f>
        <v/>
      </c>
      <c r="Q3108" s="34">
        <f>IF($J3108=1,LN(R3109/R3108),"")</f>
        <v/>
      </c>
      <c r="R3108" s="32" t="n">
        <v>3.6973</v>
      </c>
      <c r="S3108" s="35" t="n">
        <v>7.005</v>
      </c>
      <c r="T3108" s="18" t="n">
        <v>88419.05</v>
      </c>
      <c r="U3108" s="18" t="n"/>
      <c r="V3108" s="18" t="n"/>
      <c r="W3108" s="18" t="n"/>
      <c r="X3108" s="35" t="n"/>
      <c r="Y3108" s="35" t="n">
        <v>7.005</v>
      </c>
    </row>
    <row r="3109">
      <c r="A3109" s="25" t="n">
        <v>43410</v>
      </c>
      <c r="B3109" s="18" t="n">
        <v>88668.92</v>
      </c>
      <c r="C3109" s="31" t="n"/>
      <c r="D3109" s="32" t="n"/>
      <c r="E3109" s="33" t="n">
        <v>1.5308</v>
      </c>
      <c r="F3109" t="inlineStr">
        <is>
          <t>Up</t>
        </is>
      </c>
      <c r="G3109" t="inlineStr">
        <is>
          <t>Down</t>
        </is>
      </c>
      <c r="H3109" t="inlineStr">
        <is>
          <t>EU_JD</t>
        </is>
      </c>
      <c r="I3109" t="inlineStr">
        <is>
          <t>2018-11</t>
        </is>
      </c>
      <c r="J3109" t="n">
        <v>1</v>
      </c>
      <c r="K3109" t="n">
        <v>1</v>
      </c>
      <c r="L3109" s="34">
        <f>IF($J3109=1,LN(B3110/B3109),"")</f>
        <v/>
      </c>
      <c r="M3109" s="34">
        <f>IF($K3109=1,INDEX(Mensal!$D$2:$D$245,MATCH($I3109,Mensal!$A$2:$A$245,0)),"")</f>
        <v/>
      </c>
      <c r="N3109" s="34">
        <f>IF($K3109=1,L3109-M3109,"")</f>
        <v/>
      </c>
      <c r="O3109" s="34" t="n">
        <v>0.0002462</v>
      </c>
      <c r="P3109" s="34">
        <f>IF($J3109=1,LN(1+O3109),"")</f>
        <v/>
      </c>
      <c r="Q3109" s="34">
        <f>IF($J3109=1,LN(R3110/R3109),"")</f>
        <v/>
      </c>
      <c r="R3109" s="32" t="n">
        <v>3.7492</v>
      </c>
      <c r="S3109" s="35" t="n">
        <v>7.003</v>
      </c>
      <c r="T3109" s="18" t="n">
        <v>88668.92</v>
      </c>
      <c r="U3109" s="18" t="n"/>
      <c r="V3109" s="18" t="n"/>
      <c r="W3109" s="18" t="n"/>
      <c r="X3109" s="35" t="n"/>
      <c r="Y3109" s="35" t="n">
        <v>7.003</v>
      </c>
    </row>
    <row r="3110">
      <c r="A3110" s="25" t="n">
        <v>43411</v>
      </c>
      <c r="B3110" s="18" t="n">
        <v>87714.35000000001</v>
      </c>
      <c r="C3110" s="31" t="n"/>
      <c r="D3110" s="32" t="n"/>
      <c r="E3110" s="33" t="n">
        <v>1.5034</v>
      </c>
      <c r="F3110" t="inlineStr">
        <is>
          <t>Up</t>
        </is>
      </c>
      <c r="G3110" t="inlineStr">
        <is>
          <t>Down</t>
        </is>
      </c>
      <c r="H3110" t="inlineStr">
        <is>
          <t>EU_JD</t>
        </is>
      </c>
      <c r="I3110" t="inlineStr">
        <is>
          <t>2018-11</t>
        </is>
      </c>
      <c r="J3110" t="n">
        <v>1</v>
      </c>
      <c r="K3110" t="n">
        <v>1</v>
      </c>
      <c r="L3110" s="34">
        <f>IF($J3110=1,LN(B3111/B3110),"")</f>
        <v/>
      </c>
      <c r="M3110" s="34">
        <f>IF($K3110=1,INDEX(Mensal!$D$2:$D$245,MATCH($I3110,Mensal!$A$2:$A$245,0)),"")</f>
        <v/>
      </c>
      <c r="N3110" s="34">
        <f>IF($K3110=1,L3110-M3110,"")</f>
        <v/>
      </c>
      <c r="O3110" s="34" t="n">
        <v>0.0002462</v>
      </c>
      <c r="P3110" s="34">
        <f>IF($J3110=1,LN(1+O3110),"")</f>
        <v/>
      </c>
      <c r="Q3110" s="34">
        <f>IF($J3110=1,LN(R3111/R3110),"")</f>
        <v/>
      </c>
      <c r="R3110" s="32" t="n">
        <v>3.7592</v>
      </c>
      <c r="S3110" s="35" t="n">
        <v>7.004</v>
      </c>
      <c r="T3110" s="18" t="n">
        <v>87714.35000000001</v>
      </c>
      <c r="U3110" s="18" t="n"/>
      <c r="V3110" s="18" t="n"/>
      <c r="W3110" s="18" t="n"/>
      <c r="X3110" s="35" t="n"/>
      <c r="Y3110" s="35" t="n">
        <v>7.004</v>
      </c>
    </row>
    <row r="3111">
      <c r="A3111" s="25" t="n">
        <v>43412</v>
      </c>
      <c r="B3111" s="18" t="n">
        <v>85620.14</v>
      </c>
      <c r="C3111" s="31" t="n"/>
      <c r="D3111" s="32" t="n"/>
      <c r="E3111" s="33" t="n">
        <v>1.4745</v>
      </c>
      <c r="F3111" t="inlineStr">
        <is>
          <t>Up</t>
        </is>
      </c>
      <c r="G3111" t="inlineStr">
        <is>
          <t>Down</t>
        </is>
      </c>
      <c r="H3111" t="inlineStr">
        <is>
          <t>EU_JD</t>
        </is>
      </c>
      <c r="I3111" t="inlineStr">
        <is>
          <t>2018-11</t>
        </is>
      </c>
      <c r="J3111" t="n">
        <v>1</v>
      </c>
      <c r="K3111" t="n">
        <v>1</v>
      </c>
      <c r="L3111" s="34">
        <f>IF($J3111=1,LN(B3112/B3111),"")</f>
        <v/>
      </c>
      <c r="M3111" s="34">
        <f>IF($K3111=1,INDEX(Mensal!$D$2:$D$245,MATCH($I3111,Mensal!$A$2:$A$245,0)),"")</f>
        <v/>
      </c>
      <c r="N3111" s="34">
        <f>IF($K3111=1,L3111-M3111,"")</f>
        <v/>
      </c>
      <c r="O3111" s="34" t="n">
        <v>0.0002462</v>
      </c>
      <c r="P3111" s="34">
        <f>IF($J3111=1,LN(1+O3111),"")</f>
        <v/>
      </c>
      <c r="Q3111" s="34">
        <f>IF($J3111=1,LN(R3112/R3111),"")</f>
        <v/>
      </c>
      <c r="R3111" s="32" t="n">
        <v>3.7391</v>
      </c>
      <c r="S3111" s="35" t="n">
        <v>7.034</v>
      </c>
      <c r="T3111" s="18" t="n">
        <v>85620.14</v>
      </c>
      <c r="U3111" s="18" t="n"/>
      <c r="V3111" s="18" t="n"/>
      <c r="W3111" s="18" t="n"/>
      <c r="X3111" s="35" t="n"/>
      <c r="Y3111" s="35" t="n">
        <v>7.034</v>
      </c>
    </row>
    <row r="3112">
      <c r="A3112" s="25" t="n">
        <v>43413</v>
      </c>
      <c r="B3112" s="18" t="n">
        <v>85641.22</v>
      </c>
      <c r="C3112" s="31" t="n"/>
      <c r="D3112" s="32" t="n"/>
      <c r="E3112" s="33" t="n">
        <v>1.4452</v>
      </c>
      <c r="F3112" t="inlineStr">
        <is>
          <t>Up</t>
        </is>
      </c>
      <c r="G3112" t="inlineStr">
        <is>
          <t>Down</t>
        </is>
      </c>
      <c r="H3112" t="inlineStr">
        <is>
          <t>EU_JD</t>
        </is>
      </c>
      <c r="I3112" t="inlineStr">
        <is>
          <t>2018-11</t>
        </is>
      </c>
      <c r="J3112" t="n">
        <v>1</v>
      </c>
      <c r="K3112" t="n">
        <v>1</v>
      </c>
      <c r="L3112" s="34">
        <f>IF($J3112=1,LN(B3113/B3112),"")</f>
        <v/>
      </c>
      <c r="M3112" s="34">
        <f>IF($K3112=1,INDEX(Mensal!$D$2:$D$245,MATCH($I3112,Mensal!$A$2:$A$245,0)),"")</f>
        <v/>
      </c>
      <c r="N3112" s="34">
        <f>IF($K3112=1,L3112-M3112,"")</f>
        <v/>
      </c>
      <c r="O3112" s="34" t="n">
        <v>0.0002462</v>
      </c>
      <c r="P3112" s="34">
        <f>IF($J3112=1,LN(1+O3112),"")</f>
        <v/>
      </c>
      <c r="Q3112" s="34">
        <f>IF($J3112=1,LN(R3113/R3112),"")</f>
        <v/>
      </c>
      <c r="R3112" s="32" t="n">
        <v>3.7506</v>
      </c>
      <c r="S3112" s="35" t="n">
        <v>6.994</v>
      </c>
      <c r="T3112" s="18" t="n">
        <v>85641.22</v>
      </c>
      <c r="U3112" s="18" t="n"/>
      <c r="V3112" s="18" t="n"/>
      <c r="W3112" s="18" t="n"/>
      <c r="X3112" s="35" t="n"/>
      <c r="Y3112" s="35" t="n">
        <v>6.994</v>
      </c>
    </row>
    <row r="3113">
      <c r="A3113" s="25" t="n">
        <v>43416</v>
      </c>
      <c r="B3113" s="18" t="n">
        <v>85524.7</v>
      </c>
      <c r="C3113" s="31" t="n"/>
      <c r="D3113" s="32" t="n"/>
      <c r="E3113" s="33" t="n">
        <v>1.424</v>
      </c>
      <c r="F3113" t="inlineStr">
        <is>
          <t>Up</t>
        </is>
      </c>
      <c r="G3113" t="inlineStr">
        <is>
          <t>Down</t>
        </is>
      </c>
      <c r="H3113" t="inlineStr">
        <is>
          <t>EU_JD</t>
        </is>
      </c>
      <c r="I3113" t="inlineStr">
        <is>
          <t>2018-11</t>
        </is>
      </c>
      <c r="J3113" t="n">
        <v>1</v>
      </c>
      <c r="K3113" t="n">
        <v>1</v>
      </c>
      <c r="L3113" s="34">
        <f>IF($J3113=1,LN(B3114/B3113),"")</f>
        <v/>
      </c>
      <c r="M3113" s="34">
        <f>IF($K3113=1,INDEX(Mensal!$D$2:$D$245,MATCH($I3113,Mensal!$A$2:$A$245,0)),"")</f>
        <v/>
      </c>
      <c r="N3113" s="34">
        <f>IF($K3113=1,L3113-M3113,"")</f>
        <v/>
      </c>
      <c r="O3113" s="34" t="n">
        <v>0.0002462</v>
      </c>
      <c r="P3113" s="34">
        <f>IF($J3113=1,LN(1+O3113),"")</f>
        <v/>
      </c>
      <c r="Q3113" s="34">
        <f>IF($J3113=1,LN(R3114/R3113),"")</f>
        <v/>
      </c>
      <c r="R3113" s="32" t="n">
        <v>3.7478</v>
      </c>
      <c r="S3113" s="35" t="n">
        <v>6.956</v>
      </c>
      <c r="T3113" s="18" t="n">
        <v>85524.7</v>
      </c>
      <c r="U3113" s="18" t="n"/>
      <c r="V3113" s="18" t="n"/>
      <c r="W3113" s="18" t="n"/>
      <c r="X3113" s="35" t="n"/>
      <c r="Y3113" s="35" t="n">
        <v>6.956</v>
      </c>
    </row>
    <row r="3114">
      <c r="A3114" s="25" t="n">
        <v>43417</v>
      </c>
      <c r="B3114" s="18" t="n">
        <v>84914.11</v>
      </c>
      <c r="C3114" s="31" t="n"/>
      <c r="D3114" s="32" t="n"/>
      <c r="E3114" s="33" t="n">
        <v>1.4019</v>
      </c>
      <c r="F3114" t="inlineStr">
        <is>
          <t>Up</t>
        </is>
      </c>
      <c r="G3114" t="inlineStr">
        <is>
          <t>Down</t>
        </is>
      </c>
      <c r="H3114" t="inlineStr">
        <is>
          <t>EU_JD</t>
        </is>
      </c>
      <c r="I3114" t="inlineStr">
        <is>
          <t>2018-11</t>
        </is>
      </c>
      <c r="J3114" t="n">
        <v>1</v>
      </c>
      <c r="K3114" t="n">
        <v>1</v>
      </c>
      <c r="L3114" s="34">
        <f>IF($J3114=1,LN(B3115/B3114),"")</f>
        <v/>
      </c>
      <c r="M3114" s="34">
        <f>IF($K3114=1,INDEX(Mensal!$D$2:$D$245,MATCH($I3114,Mensal!$A$2:$A$245,0)),"")</f>
        <v/>
      </c>
      <c r="N3114" s="34">
        <f>IF($K3114=1,L3114-M3114,"")</f>
        <v/>
      </c>
      <c r="O3114" s="34" t="n">
        <v>0.0002462</v>
      </c>
      <c r="P3114" s="34">
        <f>IF($J3114=1,LN(1+O3114),"")</f>
        <v/>
      </c>
      <c r="Q3114" s="34">
        <f>IF($J3114=1,LN(R3115/R3114),"")</f>
        <v/>
      </c>
      <c r="R3114" s="32" t="n">
        <v>3.7792</v>
      </c>
      <c r="S3114" s="35" t="n">
        <v>6.941</v>
      </c>
      <c r="T3114" s="18" t="n">
        <v>84914.11</v>
      </c>
      <c r="U3114" s="18" t="n"/>
      <c r="V3114" s="18" t="n"/>
      <c r="W3114" s="18" t="n"/>
      <c r="X3114" s="35" t="n"/>
      <c r="Y3114" s="35" t="n">
        <v>6.941</v>
      </c>
    </row>
    <row r="3115">
      <c r="A3115" s="25" t="n">
        <v>43418</v>
      </c>
      <c r="B3115" s="18" t="n">
        <v>85973.06</v>
      </c>
      <c r="C3115" s="31" t="n"/>
      <c r="D3115" s="32" t="n"/>
      <c r="E3115" s="33" t="n">
        <v>1.3728</v>
      </c>
      <c r="F3115" t="inlineStr">
        <is>
          <t>Up</t>
        </is>
      </c>
      <c r="G3115" t="inlineStr">
        <is>
          <t>Down</t>
        </is>
      </c>
      <c r="H3115" t="inlineStr">
        <is>
          <t>EU_JD</t>
        </is>
      </c>
      <c r="I3115" t="inlineStr">
        <is>
          <t>2018-11</t>
        </is>
      </c>
      <c r="J3115" t="n">
        <v>1</v>
      </c>
      <c r="K3115" t="n">
        <v>1</v>
      </c>
      <c r="L3115" s="34">
        <f>IF($J3115=1,LN(B3116/B3115),"")</f>
        <v/>
      </c>
      <c r="M3115" s="34">
        <f>IF($K3115=1,INDEX(Mensal!$D$2:$D$245,MATCH($I3115,Mensal!$A$2:$A$245,0)),"")</f>
        <v/>
      </c>
      <c r="N3115" s="34">
        <f>IF($K3115=1,L3115-M3115,"")</f>
        <v/>
      </c>
      <c r="O3115" s="34" t="n">
        <v>0.0002462</v>
      </c>
      <c r="P3115" s="34">
        <f>IF($J3115=1,LN(1+O3115),"")</f>
        <v/>
      </c>
      <c r="Q3115" s="34">
        <f>IF($J3115=1,LN(R3116/R3115),"")</f>
        <v/>
      </c>
      <c r="R3115" s="32" t="n">
        <v>3.7924</v>
      </c>
      <c r="S3115" s="35" t="n">
        <v>6.883</v>
      </c>
      <c r="T3115" s="18" t="n">
        <v>85973.06</v>
      </c>
      <c r="U3115" s="18" t="n"/>
      <c r="V3115" s="18" t="n"/>
      <c r="W3115" s="18" t="n"/>
      <c r="X3115" s="35" t="n"/>
      <c r="Y3115" s="35" t="n">
        <v>6.883</v>
      </c>
    </row>
    <row r="3116">
      <c r="A3116" s="25" t="n">
        <v>43420</v>
      </c>
      <c r="B3116" s="18" t="n">
        <v>88515.27</v>
      </c>
      <c r="C3116" s="31" t="n"/>
      <c r="D3116" s="32" t="n"/>
      <c r="E3116" s="33" t="n">
        <v>1.3422</v>
      </c>
      <c r="F3116" t="inlineStr">
        <is>
          <t>Up</t>
        </is>
      </c>
      <c r="G3116" t="inlineStr">
        <is>
          <t>Down</t>
        </is>
      </c>
      <c r="H3116" t="inlineStr">
        <is>
          <t>EU_JD</t>
        </is>
      </c>
      <c r="I3116" t="inlineStr">
        <is>
          <t>2018-11</t>
        </is>
      </c>
      <c r="J3116" t="n">
        <v>1</v>
      </c>
      <c r="K3116" t="n">
        <v>1</v>
      </c>
      <c r="L3116" s="34">
        <f>IF($J3116=1,LN(B3117/B3116),"")</f>
        <v/>
      </c>
      <c r="M3116" s="34">
        <f>IF($K3116=1,INDEX(Mensal!$D$2:$D$245,MATCH($I3116,Mensal!$A$2:$A$245,0)),"")</f>
        <v/>
      </c>
      <c r="N3116" s="34">
        <f>IF($K3116=1,L3116-M3116,"")</f>
        <v/>
      </c>
      <c r="O3116" s="34" t="n">
        <v>0.0002462</v>
      </c>
      <c r="P3116" s="34">
        <f>IF($J3116=1,LN(1+O3116),"")</f>
        <v/>
      </c>
      <c r="Q3116" s="34">
        <f>IF($J3116=1,LN(R3117/R3116),"")</f>
        <v/>
      </c>
      <c r="R3116" s="32" t="n">
        <v>3.7525</v>
      </c>
      <c r="S3116" s="35" t="n">
        <v>6.777</v>
      </c>
      <c r="T3116" s="18" t="n">
        <v>88515.27</v>
      </c>
      <c r="U3116" s="18" t="n"/>
      <c r="V3116" s="18" t="n"/>
      <c r="W3116" s="18" t="n"/>
      <c r="X3116" s="35" t="n"/>
      <c r="Y3116" s="35" t="n">
        <v>6.777</v>
      </c>
    </row>
    <row r="3117">
      <c r="A3117" s="25" t="n">
        <v>43423</v>
      </c>
      <c r="B3117" s="18" t="n">
        <v>87900.84</v>
      </c>
      <c r="C3117" s="31" t="n"/>
      <c r="D3117" s="32" t="n"/>
      <c r="E3117" s="33" t="n">
        <v>1.3079</v>
      </c>
      <c r="F3117" t="inlineStr">
        <is>
          <t>Up</t>
        </is>
      </c>
      <c r="G3117" t="inlineStr">
        <is>
          <t>Down</t>
        </is>
      </c>
      <c r="H3117" t="inlineStr">
        <is>
          <t>EU_JD</t>
        </is>
      </c>
      <c r="I3117" t="inlineStr">
        <is>
          <t>2018-11</t>
        </is>
      </c>
      <c r="J3117" t="n">
        <v>1</v>
      </c>
      <c r="K3117" t="n">
        <v>1</v>
      </c>
      <c r="L3117" s="34">
        <f>IF($J3117=1,LN(B3118/B3117),"")</f>
        <v/>
      </c>
      <c r="M3117" s="34">
        <f>IF($K3117=1,INDEX(Mensal!$D$2:$D$245,MATCH($I3117,Mensal!$A$2:$A$245,0)),"")</f>
        <v/>
      </c>
      <c r="N3117" s="34">
        <f>IF($K3117=1,L3117-M3117,"")</f>
        <v/>
      </c>
      <c r="O3117" s="34" t="n">
        <v>0.0002462</v>
      </c>
      <c r="P3117" s="34">
        <f>IF($J3117=1,LN(1+O3117),"")</f>
        <v/>
      </c>
      <c r="Q3117" s="34">
        <f>IF($J3117=1,LN(R3118/R3117),"")</f>
        <v/>
      </c>
      <c r="R3117" s="32" t="n">
        <v>3.7553</v>
      </c>
      <c r="S3117" s="35" t="n">
        <v>6.852</v>
      </c>
      <c r="T3117" s="18" t="n">
        <v>87900.84</v>
      </c>
      <c r="U3117" s="18" t="n"/>
      <c r="V3117" s="18" t="n"/>
      <c r="W3117" s="18" t="n"/>
      <c r="X3117" s="35" t="n"/>
      <c r="Y3117" s="35" t="n">
        <v>6.852</v>
      </c>
    </row>
    <row r="3118">
      <c r="A3118" s="25" t="n">
        <v>43425</v>
      </c>
      <c r="B3118" s="18" t="n">
        <v>87268.8</v>
      </c>
      <c r="C3118" s="31" t="n"/>
      <c r="D3118" s="32" t="n"/>
      <c r="E3118" s="33" t="n">
        <v>1.3496</v>
      </c>
      <c r="F3118" t="inlineStr">
        <is>
          <t>Up</t>
        </is>
      </c>
      <c r="G3118" t="inlineStr">
        <is>
          <t>Down</t>
        </is>
      </c>
      <c r="H3118" t="inlineStr">
        <is>
          <t>EU_JD</t>
        </is>
      </c>
      <c r="I3118" t="inlineStr">
        <is>
          <t>2018-11</t>
        </is>
      </c>
      <c r="J3118" t="n">
        <v>1</v>
      </c>
      <c r="K3118" t="n">
        <v>1</v>
      </c>
      <c r="L3118" s="34">
        <f>IF($J3118=1,LN(B3119/B3118),"")</f>
        <v/>
      </c>
      <c r="M3118" s="34">
        <f>IF($K3118=1,INDEX(Mensal!$D$2:$D$245,MATCH($I3118,Mensal!$A$2:$A$245,0)),"")</f>
        <v/>
      </c>
      <c r="N3118" s="34">
        <f>IF($K3118=1,L3118-M3118,"")</f>
        <v/>
      </c>
      <c r="O3118" s="34" t="n">
        <v>0.0002462</v>
      </c>
      <c r="P3118" s="34">
        <f>IF($J3118=1,LN(1+O3118),"")</f>
        <v/>
      </c>
      <c r="Q3118" s="34">
        <f>IF($J3118=1,LN(R3119/R3118),"")</f>
        <v/>
      </c>
      <c r="R3118" s="32" t="n">
        <v>3.7872</v>
      </c>
      <c r="S3118" s="35" t="n">
        <v>6.824</v>
      </c>
      <c r="T3118" s="18" t="n">
        <v>87268.8</v>
      </c>
      <c r="U3118" s="18" t="n"/>
      <c r="V3118" s="18" t="n"/>
      <c r="W3118" s="18" t="n"/>
      <c r="X3118" s="35" t="n"/>
      <c r="Y3118" s="35" t="n">
        <v>6.824</v>
      </c>
    </row>
    <row r="3119">
      <c r="A3119" s="25" t="n">
        <v>43426</v>
      </c>
      <c r="B3119" s="18" t="n">
        <v>87477.44</v>
      </c>
      <c r="C3119" s="31" t="n"/>
      <c r="D3119" s="32" t="n"/>
      <c r="E3119" s="33" t="n">
        <v>1.3936</v>
      </c>
      <c r="F3119" t="inlineStr">
        <is>
          <t>Up</t>
        </is>
      </c>
      <c r="G3119" t="inlineStr">
        <is>
          <t>Down</t>
        </is>
      </c>
      <c r="H3119" t="inlineStr">
        <is>
          <t>EU_JD</t>
        </is>
      </c>
      <c r="I3119" t="inlineStr">
        <is>
          <t>2018-11</t>
        </is>
      </c>
      <c r="J3119" t="n">
        <v>1</v>
      </c>
      <c r="K3119" t="n">
        <v>1</v>
      </c>
      <c r="L3119" s="34">
        <f>IF($J3119=1,LN(B3120/B3119),"")</f>
        <v/>
      </c>
      <c r="M3119" s="34">
        <f>IF($K3119=1,INDEX(Mensal!$D$2:$D$245,MATCH($I3119,Mensal!$A$2:$A$245,0)),"")</f>
        <v/>
      </c>
      <c r="N3119" s="34">
        <f>IF($K3119=1,L3119-M3119,"")</f>
        <v/>
      </c>
      <c r="O3119" s="34" t="n">
        <v>0.0002462</v>
      </c>
      <c r="P3119" s="34">
        <f>IF($J3119=1,LN(1+O3119),"")</f>
        <v/>
      </c>
      <c r="Q3119" s="34">
        <f>IF($J3119=1,LN(R3120/R3119),"")</f>
        <v/>
      </c>
      <c r="R3119" s="32" t="n">
        <v>3.8103</v>
      </c>
      <c r="S3119" s="35" t="n">
        <v>6.881</v>
      </c>
      <c r="T3119" s="18" t="n">
        <v>87477.44</v>
      </c>
      <c r="U3119" s="18" t="n"/>
      <c r="V3119" s="18" t="n"/>
      <c r="W3119" s="18" t="n"/>
      <c r="X3119" s="35" t="n"/>
      <c r="Y3119" s="35" t="n">
        <v>6.881</v>
      </c>
    </row>
    <row r="3120">
      <c r="A3120" s="25" t="n">
        <v>43427</v>
      </c>
      <c r="B3120" s="18" t="n">
        <v>86230.23</v>
      </c>
      <c r="C3120" s="31" t="n"/>
      <c r="D3120" s="32" t="n"/>
      <c r="E3120" s="33" t="n">
        <v>1.427</v>
      </c>
      <c r="F3120" t="inlineStr">
        <is>
          <t>Up</t>
        </is>
      </c>
      <c r="G3120" t="inlineStr">
        <is>
          <t>Down</t>
        </is>
      </c>
      <c r="H3120" t="inlineStr">
        <is>
          <t>EU_JD</t>
        </is>
      </c>
      <c r="I3120" t="inlineStr">
        <is>
          <t>2018-11</t>
        </is>
      </c>
      <c r="J3120" t="n">
        <v>1</v>
      </c>
      <c r="K3120" t="n">
        <v>1</v>
      </c>
      <c r="L3120" s="34">
        <f>IF($J3120=1,LN(B3121/B3120),"")</f>
        <v/>
      </c>
      <c r="M3120" s="34">
        <f>IF($K3120=1,INDEX(Mensal!$D$2:$D$245,MATCH($I3120,Mensal!$A$2:$A$245,0)),"")</f>
        <v/>
      </c>
      <c r="N3120" s="34">
        <f>IF($K3120=1,L3120-M3120,"")</f>
        <v/>
      </c>
      <c r="O3120" s="34" t="n">
        <v>0.0002462</v>
      </c>
      <c r="P3120" s="34">
        <f>IF($J3120=1,LN(1+O3120),"")</f>
        <v/>
      </c>
      <c r="Q3120" s="34">
        <f>IF($J3120=1,LN(R3121/R3120),"")</f>
        <v/>
      </c>
      <c r="R3120" s="32" t="n">
        <v>3.8081</v>
      </c>
      <c r="S3120" s="35" t="n">
        <v>6.829</v>
      </c>
      <c r="T3120" s="18" t="n">
        <v>86230.23</v>
      </c>
      <c r="U3120" s="18" t="n"/>
      <c r="V3120" s="18" t="n"/>
      <c r="W3120" s="18" t="n"/>
      <c r="X3120" s="35" t="n"/>
      <c r="Y3120" s="35" t="n">
        <v>6.829</v>
      </c>
    </row>
    <row r="3121">
      <c r="A3121" s="25" t="n">
        <v>43430</v>
      </c>
      <c r="B3121" s="18" t="n">
        <v>85546.50999999999</v>
      </c>
      <c r="C3121" s="31" t="n"/>
      <c r="D3121" s="32" t="n"/>
      <c r="E3121" s="33" t="n">
        <v>1.4599</v>
      </c>
      <c r="F3121" t="inlineStr">
        <is>
          <t>Up</t>
        </is>
      </c>
      <c r="G3121" t="inlineStr">
        <is>
          <t>Down</t>
        </is>
      </c>
      <c r="H3121" t="inlineStr">
        <is>
          <t>EU_JD</t>
        </is>
      </c>
      <c r="I3121" t="inlineStr">
        <is>
          <t>2018-11</t>
        </is>
      </c>
      <c r="J3121" t="n">
        <v>1</v>
      </c>
      <c r="K3121" t="n">
        <v>1</v>
      </c>
      <c r="L3121" s="34">
        <f>IF($J3121=1,LN(B3122/B3121),"")</f>
        <v/>
      </c>
      <c r="M3121" s="34">
        <f>IF($K3121=1,INDEX(Mensal!$D$2:$D$245,MATCH($I3121,Mensal!$A$2:$A$245,0)),"")</f>
        <v/>
      </c>
      <c r="N3121" s="34">
        <f>IF($K3121=1,L3121-M3121,"")</f>
        <v/>
      </c>
      <c r="O3121" s="34" t="n">
        <v>0.0002462</v>
      </c>
      <c r="P3121" s="34">
        <f>IF($J3121=1,LN(1+O3121),"")</f>
        <v/>
      </c>
      <c r="Q3121" s="34">
        <f>IF($J3121=1,LN(R3122/R3121),"")</f>
        <v/>
      </c>
      <c r="R3121" s="32" t="n">
        <v>3.8655</v>
      </c>
      <c r="S3121" s="35" t="n">
        <v>6.886</v>
      </c>
      <c r="T3121" s="18" t="n">
        <v>85546.50999999999</v>
      </c>
      <c r="U3121" s="18" t="n"/>
      <c r="V3121" s="18" t="n"/>
      <c r="W3121" s="18" t="n"/>
      <c r="X3121" s="35" t="n"/>
      <c r="Y3121" s="35" t="n">
        <v>6.886</v>
      </c>
    </row>
    <row r="3122">
      <c r="A3122" s="25" t="n">
        <v>43431</v>
      </c>
      <c r="B3122" s="18" t="n">
        <v>87891.17999999999</v>
      </c>
      <c r="C3122" s="31" t="n"/>
      <c r="D3122" s="32" t="n"/>
      <c r="E3122" s="33" t="n">
        <v>1.4853</v>
      </c>
      <c r="F3122" t="inlineStr">
        <is>
          <t>Up</t>
        </is>
      </c>
      <c r="G3122" t="inlineStr">
        <is>
          <t>Down</t>
        </is>
      </c>
      <c r="H3122" t="inlineStr">
        <is>
          <t>EU_JD</t>
        </is>
      </c>
      <c r="I3122" t="inlineStr">
        <is>
          <t>2018-11</t>
        </is>
      </c>
      <c r="J3122" t="n">
        <v>1</v>
      </c>
      <c r="K3122" t="n">
        <v>1</v>
      </c>
      <c r="L3122" s="34">
        <f>IF($J3122=1,LN(B3123/B3122),"")</f>
        <v/>
      </c>
      <c r="M3122" s="34">
        <f>IF($K3122=1,INDEX(Mensal!$D$2:$D$245,MATCH($I3122,Mensal!$A$2:$A$245,0)),"")</f>
        <v/>
      </c>
      <c r="N3122" s="34">
        <f>IF($K3122=1,L3122-M3122,"")</f>
        <v/>
      </c>
      <c r="O3122" s="34" t="n">
        <v>0.0002462</v>
      </c>
      <c r="P3122" s="34">
        <f>IF($J3122=1,LN(1+O3122),"")</f>
        <v/>
      </c>
      <c r="Q3122" s="34">
        <f>IF($J3122=1,LN(R3123/R3122),"")</f>
        <v/>
      </c>
      <c r="R3122" s="32" t="n">
        <v>3.8925</v>
      </c>
      <c r="S3122" s="35" t="n">
        <v>6.936</v>
      </c>
      <c r="T3122" s="18" t="n">
        <v>87891.17999999999</v>
      </c>
      <c r="U3122" s="18" t="n"/>
      <c r="V3122" s="18" t="n"/>
      <c r="W3122" s="18" t="n"/>
      <c r="X3122" s="35" t="n"/>
      <c r="Y3122" s="35" t="n">
        <v>6.936</v>
      </c>
    </row>
    <row r="3123">
      <c r="A3123" s="25" t="n">
        <v>43432</v>
      </c>
      <c r="B3123" s="18" t="n">
        <v>89250.83</v>
      </c>
      <c r="C3123" s="31" t="n"/>
      <c r="D3123" s="32" t="n"/>
      <c r="E3123" s="33" t="n">
        <v>1.5107</v>
      </c>
      <c r="F3123" t="inlineStr">
        <is>
          <t>Up</t>
        </is>
      </c>
      <c r="G3123" t="inlineStr">
        <is>
          <t>Down</t>
        </is>
      </c>
      <c r="H3123" t="inlineStr">
        <is>
          <t>EU_JD</t>
        </is>
      </c>
      <c r="I3123" t="inlineStr">
        <is>
          <t>2018-11</t>
        </is>
      </c>
      <c r="J3123" t="n">
        <v>1</v>
      </c>
      <c r="K3123" t="n">
        <v>1</v>
      </c>
      <c r="L3123" s="34">
        <f>IF($J3123=1,LN(B3124/B3123),"")</f>
        <v/>
      </c>
      <c r="M3123" s="34">
        <f>IF($K3123=1,INDEX(Mensal!$D$2:$D$245,MATCH($I3123,Mensal!$A$2:$A$245,0)),"")</f>
        <v/>
      </c>
      <c r="N3123" s="34">
        <f>IF($K3123=1,L3123-M3123,"")</f>
        <v/>
      </c>
      <c r="O3123" s="34" t="n">
        <v>0.0002462</v>
      </c>
      <c r="P3123" s="34">
        <f>IF($J3123=1,LN(1+O3123),"")</f>
        <v/>
      </c>
      <c r="Q3123" s="34">
        <f>IF($J3123=1,LN(R3124/R3123),"")</f>
        <v/>
      </c>
      <c r="R3123" s="32" t="n">
        <v>3.8631</v>
      </c>
      <c r="S3123" s="35" t="n">
        <v>6.865</v>
      </c>
      <c r="T3123" s="18" t="n">
        <v>89250.83</v>
      </c>
      <c r="U3123" s="18" t="n"/>
      <c r="V3123" s="18" t="n"/>
      <c r="W3123" s="18" t="n"/>
      <c r="X3123" s="35" t="n"/>
      <c r="Y3123" s="35" t="n">
        <v>6.865</v>
      </c>
    </row>
    <row r="3124">
      <c r="A3124" s="25" t="n">
        <v>43433</v>
      </c>
      <c r="B3124" s="18" t="n">
        <v>89709.57000000001</v>
      </c>
      <c r="C3124" s="31" t="n"/>
      <c r="D3124" s="32" t="n"/>
      <c r="E3124" s="33" t="n">
        <v>1.5323</v>
      </c>
      <c r="F3124" t="inlineStr">
        <is>
          <t>Up</t>
        </is>
      </c>
      <c r="G3124" t="inlineStr">
        <is>
          <t>Down</t>
        </is>
      </c>
      <c r="H3124" t="inlineStr">
        <is>
          <t>EU_JD</t>
        </is>
      </c>
      <c r="I3124" t="inlineStr">
        <is>
          <t>2018-11</t>
        </is>
      </c>
      <c r="J3124" t="n">
        <v>1</v>
      </c>
      <c r="K3124" t="n">
        <v>1</v>
      </c>
      <c r="L3124" s="34">
        <f>IF($J3124=1,LN(B3125/B3124),"")</f>
        <v/>
      </c>
      <c r="M3124" s="34">
        <f>IF($K3124=1,INDEX(Mensal!$D$2:$D$245,MATCH($I3124,Mensal!$A$2:$A$245,0)),"")</f>
        <v/>
      </c>
      <c r="N3124" s="34">
        <f>IF($K3124=1,L3124-M3124,"")</f>
        <v/>
      </c>
      <c r="O3124" s="34" t="n">
        <v>0.0002462</v>
      </c>
      <c r="P3124" s="34">
        <f>IF($J3124=1,LN(1+O3124),"")</f>
        <v/>
      </c>
      <c r="Q3124" s="34">
        <f>IF($J3124=1,LN(R3125/R3124),"")</f>
        <v/>
      </c>
      <c r="R3124" s="32" t="n">
        <v>3.8568</v>
      </c>
      <c r="S3124" s="35" t="n">
        <v>6.899</v>
      </c>
      <c r="T3124" s="18" t="n">
        <v>89709.57000000001</v>
      </c>
      <c r="U3124" s="18" t="n"/>
      <c r="V3124" s="18" t="n"/>
      <c r="W3124" s="18" t="n"/>
      <c r="X3124" s="35" t="n"/>
      <c r="Y3124" s="35" t="n">
        <v>6.899</v>
      </c>
    </row>
    <row r="3125">
      <c r="A3125" s="25" t="n">
        <v>43434</v>
      </c>
      <c r="B3125" s="18" t="n">
        <v>89504.03</v>
      </c>
      <c r="C3125" s="31" t="n"/>
      <c r="D3125" s="32" t="n"/>
      <c r="E3125" s="33" t="n">
        <v>1.5539</v>
      </c>
      <c r="F3125" t="inlineStr">
        <is>
          <t>Up</t>
        </is>
      </c>
      <c r="G3125" t="inlineStr">
        <is>
          <t>Down</t>
        </is>
      </c>
      <c r="H3125" t="inlineStr">
        <is>
          <t>EU_JD</t>
        </is>
      </c>
      <c r="I3125" t="inlineStr">
        <is>
          <t>2018-11</t>
        </is>
      </c>
      <c r="J3125" t="n">
        <v>1</v>
      </c>
      <c r="K3125" t="n">
        <v>1</v>
      </c>
      <c r="L3125" s="34">
        <f>IF($J3125=1,LN(B3126/B3125),"")</f>
        <v/>
      </c>
      <c r="M3125" s="34">
        <f>IF($K3125=1,INDEX(Mensal!$D$2:$D$245,MATCH($I3125,Mensal!$A$2:$A$245,0)),"")</f>
        <v/>
      </c>
      <c r="N3125" s="34">
        <f>IF($K3125=1,L3125-M3125,"")</f>
        <v/>
      </c>
      <c r="O3125" s="34" t="n">
        <v>0.0002462</v>
      </c>
      <c r="P3125" s="34">
        <f>IF($J3125=1,LN(1+O3125),"")</f>
        <v/>
      </c>
      <c r="Q3125" s="34">
        <f>IF($J3125=1,LN(R3126/R3125),"")</f>
        <v/>
      </c>
      <c r="R3125" s="32" t="n">
        <v>3.8633</v>
      </c>
      <c r="S3125" s="35" t="n">
        <v>6.909</v>
      </c>
      <c r="T3125" s="18" t="n">
        <v>89504.03</v>
      </c>
      <c r="U3125" s="18" t="n"/>
      <c r="V3125" s="18" t="n"/>
      <c r="W3125" s="18" t="n"/>
      <c r="X3125" s="35" t="n"/>
      <c r="Y3125" s="35" t="n">
        <v>6.909</v>
      </c>
    </row>
    <row r="3126">
      <c r="A3126" s="25" t="n">
        <v>43437</v>
      </c>
      <c r="B3126" s="18" t="n">
        <v>89820.09</v>
      </c>
      <c r="C3126" s="31" t="n"/>
      <c r="D3126" s="32" t="n"/>
      <c r="E3126" s="33" t="n">
        <v>1.5758</v>
      </c>
      <c r="F3126" t="inlineStr">
        <is>
          <t>Up</t>
        </is>
      </c>
      <c r="G3126" t="inlineStr">
        <is>
          <t>Down</t>
        </is>
      </c>
      <c r="H3126" t="inlineStr">
        <is>
          <t>EU_JD</t>
        </is>
      </c>
      <c r="I3126" t="inlineStr">
        <is>
          <t>2018-12</t>
        </is>
      </c>
      <c r="J3126" t="n">
        <v>1</v>
      </c>
      <c r="K3126" t="n">
        <v>1</v>
      </c>
      <c r="L3126" s="34">
        <f>IF($J3126=1,LN(B3127/B3126),"")</f>
        <v/>
      </c>
      <c r="M3126" s="34">
        <f>IF($K3126=1,INDEX(Mensal!$D$2:$D$245,MATCH($I3126,Mensal!$A$2:$A$245,0)),"")</f>
        <v/>
      </c>
      <c r="N3126" s="34">
        <f>IF($K3126=1,L3126-M3126,"")</f>
        <v/>
      </c>
      <c r="O3126" s="34" t="n">
        <v>0.0002462</v>
      </c>
      <c r="P3126" s="34">
        <f>IF($J3126=1,LN(1+O3126),"")</f>
        <v/>
      </c>
      <c r="Q3126" s="34">
        <f>IF($J3126=1,LN(R3127/R3126),"")</f>
        <v/>
      </c>
      <c r="R3126" s="32" t="n">
        <v>3.8285</v>
      </c>
      <c r="S3126" s="35" t="n">
        <v>6.879</v>
      </c>
      <c r="T3126" s="18" t="n">
        <v>89820.09</v>
      </c>
      <c r="U3126" s="18" t="n"/>
      <c r="V3126" s="18" t="n"/>
      <c r="W3126" s="18" t="n"/>
      <c r="X3126" s="35" t="n"/>
      <c r="Y3126" s="35" t="n">
        <v>6.879</v>
      </c>
    </row>
    <row r="3127">
      <c r="A3127" s="25" t="n">
        <v>43438</v>
      </c>
      <c r="B3127" s="18" t="n">
        <v>88624.45</v>
      </c>
      <c r="C3127" s="31" t="n"/>
      <c r="D3127" s="32" t="n"/>
      <c r="E3127" s="33" t="n">
        <v>1.5942</v>
      </c>
      <c r="F3127" t="inlineStr">
        <is>
          <t>Up</t>
        </is>
      </c>
      <c r="G3127" t="inlineStr">
        <is>
          <t>Down</t>
        </is>
      </c>
      <c r="H3127" t="inlineStr">
        <is>
          <t>EU_JD</t>
        </is>
      </c>
      <c r="I3127" t="inlineStr">
        <is>
          <t>2018-12</t>
        </is>
      </c>
      <c r="J3127" t="n">
        <v>1</v>
      </c>
      <c r="K3127" t="n">
        <v>1</v>
      </c>
      <c r="L3127" s="34">
        <f>IF($J3127=1,LN(B3128/B3127),"")</f>
        <v/>
      </c>
      <c r="M3127" s="34">
        <f>IF($K3127=1,INDEX(Mensal!$D$2:$D$245,MATCH($I3127,Mensal!$A$2:$A$245,0)),"")</f>
        <v/>
      </c>
      <c r="N3127" s="34">
        <f>IF($K3127=1,L3127-M3127,"")</f>
        <v/>
      </c>
      <c r="O3127" s="34" t="n">
        <v>0.0002462</v>
      </c>
      <c r="P3127" s="34">
        <f>IF($J3127=1,LN(1+O3127),"")</f>
        <v/>
      </c>
      <c r="Q3127" s="34">
        <f>IF($J3127=1,LN(R3128/R3127),"")</f>
        <v/>
      </c>
      <c r="R3127" s="32" t="n">
        <v>3.8313</v>
      </c>
      <c r="S3127" s="35" t="n">
        <v>6.923</v>
      </c>
      <c r="T3127" s="18" t="n">
        <v>88624.45</v>
      </c>
      <c r="U3127" s="18" t="n"/>
      <c r="V3127" s="18" t="n"/>
      <c r="W3127" s="18" t="n"/>
      <c r="X3127" s="35" t="n"/>
      <c r="Y3127" s="35" t="n">
        <v>6.923</v>
      </c>
    </row>
    <row r="3128">
      <c r="A3128" s="25" t="n">
        <v>43439</v>
      </c>
      <c r="B3128" s="18" t="n">
        <v>89039.8</v>
      </c>
      <c r="C3128" s="31" t="n"/>
      <c r="D3128" s="32" t="n"/>
      <c r="E3128" s="33" t="n">
        <v>1.6025</v>
      </c>
      <c r="F3128" t="inlineStr">
        <is>
          <t>Up</t>
        </is>
      </c>
      <c r="G3128" t="inlineStr">
        <is>
          <t>Down</t>
        </is>
      </c>
      <c r="H3128" t="inlineStr">
        <is>
          <t>EU_JD</t>
        </is>
      </c>
      <c r="I3128" t="inlineStr">
        <is>
          <t>2018-12</t>
        </is>
      </c>
      <c r="J3128" t="n">
        <v>1</v>
      </c>
      <c r="K3128" t="n">
        <v>1</v>
      </c>
      <c r="L3128" s="34">
        <f>IF($J3128=1,LN(B3129/B3128),"")</f>
        <v/>
      </c>
      <c r="M3128" s="34">
        <f>IF($K3128=1,INDEX(Mensal!$D$2:$D$245,MATCH($I3128,Mensal!$A$2:$A$245,0)),"")</f>
        <v/>
      </c>
      <c r="N3128" s="34">
        <f>IF($K3128=1,L3128-M3128,"")</f>
        <v/>
      </c>
      <c r="O3128" s="34" t="n">
        <v>0.0002462</v>
      </c>
      <c r="P3128" s="34">
        <f>IF($J3128=1,LN(1+O3128),"")</f>
        <v/>
      </c>
      <c r="Q3128" s="34">
        <f>IF($J3128=1,LN(R3129/R3128),"")</f>
        <v/>
      </c>
      <c r="R3128" s="32" t="n">
        <v>3.8561</v>
      </c>
      <c r="S3128" s="35" t="n">
        <v>6.885</v>
      </c>
      <c r="T3128" s="18" t="n">
        <v>89039.8</v>
      </c>
      <c r="U3128" s="18" t="n"/>
      <c r="V3128" s="18" t="n"/>
      <c r="W3128" s="18" t="n"/>
      <c r="X3128" s="35" t="n"/>
      <c r="Y3128" s="35" t="n">
        <v>6.885</v>
      </c>
    </row>
    <row r="3129">
      <c r="A3129" s="25" t="n">
        <v>43440</v>
      </c>
      <c r="B3129" s="18" t="n">
        <v>88846.49000000001</v>
      </c>
      <c r="C3129" s="31" t="n"/>
      <c r="D3129" s="32" t="n"/>
      <c r="E3129" s="33" t="n">
        <v>1.6089</v>
      </c>
      <c r="F3129" t="inlineStr">
        <is>
          <t>Up</t>
        </is>
      </c>
      <c r="G3129" t="inlineStr">
        <is>
          <t>Down</t>
        </is>
      </c>
      <c r="H3129" t="inlineStr">
        <is>
          <t>EU_JD</t>
        </is>
      </c>
      <c r="I3129" t="inlineStr">
        <is>
          <t>2018-12</t>
        </is>
      </c>
      <c r="J3129" t="n">
        <v>1</v>
      </c>
      <c r="K3129" t="n">
        <v>1</v>
      </c>
      <c r="L3129" s="34">
        <f>IF($J3129=1,LN(B3130/B3129),"")</f>
        <v/>
      </c>
      <c r="M3129" s="34">
        <f>IF($K3129=1,INDEX(Mensal!$D$2:$D$245,MATCH($I3129,Mensal!$A$2:$A$245,0)),"")</f>
        <v/>
      </c>
      <c r="N3129" s="34">
        <f>IF($K3129=1,L3129-M3129,"")</f>
        <v/>
      </c>
      <c r="O3129" s="34" t="n">
        <v>0.0002462</v>
      </c>
      <c r="P3129" s="34">
        <f>IF($J3129=1,LN(1+O3129),"")</f>
        <v/>
      </c>
      <c r="Q3129" s="34">
        <f>IF($J3129=1,LN(R3130/R3129),"")</f>
        <v/>
      </c>
      <c r="R3129" s="32" t="n">
        <v>3.9178</v>
      </c>
      <c r="S3129" s="35" t="n">
        <v>6.811</v>
      </c>
      <c r="T3129" s="18" t="n">
        <v>88846.49000000001</v>
      </c>
      <c r="U3129" s="18" t="n"/>
      <c r="V3129" s="18" t="n"/>
      <c r="W3129" s="18" t="n"/>
      <c r="X3129" s="35" t="n"/>
      <c r="Y3129" s="35" t="n">
        <v>6.811</v>
      </c>
    </row>
    <row r="3130">
      <c r="A3130" s="25" t="n">
        <v>43441</v>
      </c>
      <c r="B3130" s="18" t="n">
        <v>88115.08</v>
      </c>
      <c r="C3130" s="31" t="n"/>
      <c r="D3130" s="32" t="n"/>
      <c r="E3130" s="33" t="n">
        <v>1.631</v>
      </c>
      <c r="F3130" t="inlineStr">
        <is>
          <t>Up</t>
        </is>
      </c>
      <c r="G3130" t="inlineStr">
        <is>
          <t>Down</t>
        </is>
      </c>
      <c r="H3130" t="inlineStr">
        <is>
          <t>EU_JD</t>
        </is>
      </c>
      <c r="I3130" t="inlineStr">
        <is>
          <t>2018-12</t>
        </is>
      </c>
      <c r="J3130" t="n">
        <v>1</v>
      </c>
      <c r="K3130" t="n">
        <v>1</v>
      </c>
      <c r="L3130" s="34">
        <f>IF($J3130=1,LN(B3131/B3130),"")</f>
        <v/>
      </c>
      <c r="M3130" s="34">
        <f>IF($K3130=1,INDEX(Mensal!$D$2:$D$245,MATCH($I3130,Mensal!$A$2:$A$245,0)),"")</f>
        <v/>
      </c>
      <c r="N3130" s="34">
        <f>IF($K3130=1,L3130-M3130,"")</f>
        <v/>
      </c>
      <c r="O3130" s="34" t="n">
        <v>0.0002462</v>
      </c>
      <c r="P3130" s="34">
        <f>IF($J3130=1,LN(1+O3130),"")</f>
        <v/>
      </c>
      <c r="Q3130" s="34">
        <f>IF($J3130=1,LN(R3131/R3130),"")</f>
        <v/>
      </c>
      <c r="R3130" s="32" t="n">
        <v>3.8964</v>
      </c>
      <c r="S3130" s="35" t="n">
        <v>6.738</v>
      </c>
      <c r="T3130" s="18" t="n">
        <v>88115.08</v>
      </c>
      <c r="U3130" s="18" t="n"/>
      <c r="V3130" s="18" t="n"/>
      <c r="W3130" s="18" t="n"/>
      <c r="X3130" s="35" t="n"/>
      <c r="Y3130" s="35" t="n">
        <v>6.738</v>
      </c>
    </row>
    <row r="3131">
      <c r="A3131" s="25" t="n">
        <v>43444</v>
      </c>
      <c r="B3131" s="18" t="n">
        <v>85914.71000000001</v>
      </c>
      <c r="C3131" s="31" t="n"/>
      <c r="D3131" s="32" t="n"/>
      <c r="E3131" s="33" t="n">
        <v>1.6578</v>
      </c>
      <c r="F3131" t="inlineStr">
        <is>
          <t>Up</t>
        </is>
      </c>
      <c r="G3131" t="inlineStr">
        <is>
          <t>Down</t>
        </is>
      </c>
      <c r="H3131" t="inlineStr">
        <is>
          <t>EU_JD</t>
        </is>
      </c>
      <c r="I3131" t="inlineStr">
        <is>
          <t>2018-12</t>
        </is>
      </c>
      <c r="J3131" t="n">
        <v>1</v>
      </c>
      <c r="K3131" t="n">
        <v>1</v>
      </c>
      <c r="L3131" s="34">
        <f>IF($J3131=1,LN(B3132/B3131),"")</f>
        <v/>
      </c>
      <c r="M3131" s="34">
        <f>IF($K3131=1,INDEX(Mensal!$D$2:$D$245,MATCH($I3131,Mensal!$A$2:$A$245,0)),"")</f>
        <v/>
      </c>
      <c r="N3131" s="34">
        <f>IF($K3131=1,L3131-M3131,"")</f>
        <v/>
      </c>
      <c r="O3131" s="34" t="n">
        <v>0.0002462</v>
      </c>
      <c r="P3131" s="34">
        <f>IF($J3131=1,LN(1+O3131),"")</f>
        <v/>
      </c>
      <c r="Q3131" s="34">
        <f>IF($J3131=1,LN(R3132/R3131),"")</f>
        <v/>
      </c>
      <c r="R3131" s="32" t="n">
        <v>3.911</v>
      </c>
      <c r="S3131" s="35" t="n">
        <v>6.719</v>
      </c>
      <c r="T3131" s="18" t="n">
        <v>85914.71000000001</v>
      </c>
      <c r="U3131" s="18" t="n"/>
      <c r="V3131" s="18" t="n"/>
      <c r="W3131" s="18" t="n"/>
      <c r="X3131" s="35" t="n"/>
      <c r="Y3131" s="35" t="n">
        <v>6.719</v>
      </c>
    </row>
    <row r="3132">
      <c r="A3132" s="25" t="n">
        <v>43445</v>
      </c>
      <c r="B3132" s="18" t="n">
        <v>86419.58</v>
      </c>
      <c r="C3132" s="31" t="n"/>
      <c r="D3132" s="32" t="n"/>
      <c r="E3132" s="33" t="n">
        <v>1.6838</v>
      </c>
      <c r="F3132" t="inlineStr">
        <is>
          <t>Up</t>
        </is>
      </c>
      <c r="G3132" t="inlineStr">
        <is>
          <t>Down</t>
        </is>
      </c>
      <c r="H3132" t="inlineStr">
        <is>
          <t>EU_JD</t>
        </is>
      </c>
      <c r="I3132" t="inlineStr">
        <is>
          <t>2018-12</t>
        </is>
      </c>
      <c r="J3132" t="n">
        <v>1</v>
      </c>
      <c r="K3132" t="n">
        <v>1</v>
      </c>
      <c r="L3132" s="34">
        <f>IF($J3132=1,LN(B3133/B3132),"")</f>
        <v/>
      </c>
      <c r="M3132" s="34">
        <f>IF($K3132=1,INDEX(Mensal!$D$2:$D$245,MATCH($I3132,Mensal!$A$2:$A$245,0)),"")</f>
        <v/>
      </c>
      <c r="N3132" s="34">
        <f>IF($K3132=1,L3132-M3132,"")</f>
        <v/>
      </c>
      <c r="O3132" s="34" t="n">
        <v>0.0002462</v>
      </c>
      <c r="P3132" s="34">
        <f>IF($J3132=1,LN(1+O3132),"")</f>
        <v/>
      </c>
      <c r="Q3132" s="34">
        <f>IF($J3132=1,LN(R3133/R3132),"")</f>
        <v/>
      </c>
      <c r="R3132" s="32" t="n">
        <v>3.9013</v>
      </c>
      <c r="S3132" s="35" t="n">
        <v>6.704</v>
      </c>
      <c r="T3132" s="18" t="n">
        <v>86419.58</v>
      </c>
      <c r="U3132" s="18" t="n"/>
      <c r="V3132" s="18" t="n"/>
      <c r="W3132" s="18" t="n"/>
      <c r="X3132" s="35" t="n"/>
      <c r="Y3132" s="35" t="n">
        <v>6.704</v>
      </c>
    </row>
    <row r="3133">
      <c r="A3133" s="25" t="n">
        <v>43446</v>
      </c>
      <c r="B3133" s="18" t="n">
        <v>86977.46000000001</v>
      </c>
      <c r="C3133" s="31" t="n"/>
      <c r="D3133" s="32" t="n"/>
      <c r="E3133" s="33" t="n">
        <v>1.7071</v>
      </c>
      <c r="F3133" t="inlineStr">
        <is>
          <t>Up</t>
        </is>
      </c>
      <c r="G3133" t="inlineStr">
        <is>
          <t>Down</t>
        </is>
      </c>
      <c r="H3133" t="inlineStr">
        <is>
          <t>EU_JD</t>
        </is>
      </c>
      <c r="I3133" t="inlineStr">
        <is>
          <t>2018-12</t>
        </is>
      </c>
      <c r="J3133" t="n">
        <v>1</v>
      </c>
      <c r="K3133" t="n">
        <v>1</v>
      </c>
      <c r="L3133" s="34">
        <f>IF($J3133=1,LN(B3134/B3133),"")</f>
        <v/>
      </c>
      <c r="M3133" s="34">
        <f>IF($K3133=1,INDEX(Mensal!$D$2:$D$245,MATCH($I3133,Mensal!$A$2:$A$245,0)),"")</f>
        <v/>
      </c>
      <c r="N3133" s="34">
        <f>IF($K3133=1,L3133-M3133,"")</f>
        <v/>
      </c>
      <c r="O3133" s="34" t="n">
        <v>0.0002462</v>
      </c>
      <c r="P3133" s="34">
        <f>IF($J3133=1,LN(1+O3133),"")</f>
        <v/>
      </c>
      <c r="Q3133" s="34">
        <f>IF($J3133=1,LN(R3134/R3133),"")</f>
        <v/>
      </c>
      <c r="R3133" s="32" t="n">
        <v>3.8629</v>
      </c>
      <c r="S3133" s="35" t="n">
        <v>6.689</v>
      </c>
      <c r="T3133" s="18" t="n">
        <v>86977.46000000001</v>
      </c>
      <c r="U3133" s="18" t="n"/>
      <c r="V3133" s="18" t="n"/>
      <c r="W3133" s="18" t="n"/>
      <c r="X3133" s="35" t="n"/>
      <c r="Y3133" s="35" t="n">
        <v>6.689</v>
      </c>
    </row>
    <row r="3134">
      <c r="A3134" s="25" t="n">
        <v>43447</v>
      </c>
      <c r="B3134" s="18" t="n">
        <v>87837.59</v>
      </c>
      <c r="C3134" s="31" t="n"/>
      <c r="D3134" s="32" t="n"/>
      <c r="E3134" s="33" t="n">
        <v>1.732</v>
      </c>
      <c r="F3134" t="inlineStr">
        <is>
          <t>Up</t>
        </is>
      </c>
      <c r="G3134" t="inlineStr">
        <is>
          <t>Down</t>
        </is>
      </c>
      <c r="H3134" t="inlineStr">
        <is>
          <t>EU_JD</t>
        </is>
      </c>
      <c r="I3134" t="inlineStr">
        <is>
          <t>2018-12</t>
        </is>
      </c>
      <c r="J3134" t="n">
        <v>1</v>
      </c>
      <c r="K3134" t="n">
        <v>1</v>
      </c>
      <c r="L3134" s="34">
        <f>IF($J3134=1,LN(B3135/B3134),"")</f>
        <v/>
      </c>
      <c r="M3134" s="34">
        <f>IF($K3134=1,INDEX(Mensal!$D$2:$D$245,MATCH($I3134,Mensal!$A$2:$A$245,0)),"")</f>
        <v/>
      </c>
      <c r="N3134" s="34">
        <f>IF($K3134=1,L3134-M3134,"")</f>
        <v/>
      </c>
      <c r="O3134" s="34" t="n">
        <v>0.0002462</v>
      </c>
      <c r="P3134" s="34">
        <f>IF($J3134=1,LN(1+O3134),"")</f>
        <v/>
      </c>
      <c r="Q3134" s="34">
        <f>IF($J3134=1,LN(R3135/R3134),"")</f>
        <v/>
      </c>
      <c r="R3134" s="32" t="n">
        <v>3.879</v>
      </c>
      <c r="S3134" s="35" t="n">
        <v>6.592</v>
      </c>
      <c r="T3134" s="18" t="n">
        <v>87837.59</v>
      </c>
      <c r="U3134" s="18" t="n"/>
      <c r="V3134" s="18" t="n"/>
      <c r="W3134" s="18" t="n"/>
      <c r="X3134" s="35" t="n"/>
      <c r="Y3134" s="35" t="n">
        <v>6.592</v>
      </c>
    </row>
    <row r="3135">
      <c r="A3135" s="25" t="n">
        <v>43448</v>
      </c>
      <c r="B3135" s="18" t="n">
        <v>87449.50999999999</v>
      </c>
      <c r="C3135" s="31" t="n"/>
      <c r="D3135" s="32" t="n"/>
      <c r="E3135" s="33" t="n">
        <v>1.758</v>
      </c>
      <c r="F3135" t="inlineStr">
        <is>
          <t>Up</t>
        </is>
      </c>
      <c r="G3135" t="inlineStr">
        <is>
          <t>Down</t>
        </is>
      </c>
      <c r="H3135" t="inlineStr">
        <is>
          <t>EU_JD</t>
        </is>
      </c>
      <c r="I3135" t="inlineStr">
        <is>
          <t>2018-12</t>
        </is>
      </c>
      <c r="J3135" t="n">
        <v>1</v>
      </c>
      <c r="K3135" t="n">
        <v>1</v>
      </c>
      <c r="L3135" s="34">
        <f>IF($J3135=1,LN(B3136/B3135),"")</f>
        <v/>
      </c>
      <c r="M3135" s="34">
        <f>IF($K3135=1,INDEX(Mensal!$D$2:$D$245,MATCH($I3135,Mensal!$A$2:$A$245,0)),"")</f>
        <v/>
      </c>
      <c r="N3135" s="34">
        <f>IF($K3135=1,L3135-M3135,"")</f>
        <v/>
      </c>
      <c r="O3135" s="34" t="n">
        <v>0.0002462</v>
      </c>
      <c r="P3135" s="34">
        <f>IF($J3135=1,LN(1+O3135),"")</f>
        <v/>
      </c>
      <c r="Q3135" s="34">
        <f>IF($J3135=1,LN(R3136/R3135),"")</f>
        <v/>
      </c>
      <c r="R3135" s="32" t="n">
        <v>3.909</v>
      </c>
      <c r="S3135" s="35" t="n">
        <v>6.573</v>
      </c>
      <c r="T3135" s="18" t="n">
        <v>87449.50999999999</v>
      </c>
      <c r="U3135" s="18" t="n"/>
      <c r="V3135" s="18" t="n"/>
      <c r="W3135" s="18" t="n"/>
      <c r="X3135" s="35" t="n"/>
      <c r="Y3135" s="35" t="n">
        <v>6.573</v>
      </c>
    </row>
    <row r="3136">
      <c r="A3136" s="25" t="n">
        <v>43451</v>
      </c>
      <c r="B3136" s="18" t="n">
        <v>86399.67999999999</v>
      </c>
      <c r="C3136" s="31" t="n"/>
      <c r="D3136" s="32" t="n"/>
      <c r="E3136" s="33" t="n">
        <v>1.7834</v>
      </c>
      <c r="F3136" t="inlineStr">
        <is>
          <t>Up</t>
        </is>
      </c>
      <c r="G3136" t="inlineStr">
        <is>
          <t>Down</t>
        </is>
      </c>
      <c r="H3136" t="inlineStr">
        <is>
          <t>EU_JD</t>
        </is>
      </c>
      <c r="I3136" t="inlineStr">
        <is>
          <t>2018-12</t>
        </is>
      </c>
      <c r="J3136" t="n">
        <v>1</v>
      </c>
      <c r="K3136" t="n">
        <v>1</v>
      </c>
      <c r="L3136" s="34">
        <f>IF($J3136=1,LN(B3137/B3136),"")</f>
        <v/>
      </c>
      <c r="M3136" s="34">
        <f>IF($K3136=1,INDEX(Mensal!$D$2:$D$245,MATCH($I3136,Mensal!$A$2:$A$245,0)),"")</f>
        <v/>
      </c>
      <c r="N3136" s="34">
        <f>IF($K3136=1,L3136-M3136,"")</f>
        <v/>
      </c>
      <c r="O3136" s="34" t="n">
        <v>0.0002462</v>
      </c>
      <c r="P3136" s="34">
        <f>IF($J3136=1,LN(1+O3136),"")</f>
        <v/>
      </c>
      <c r="Q3136" s="34">
        <f>IF($J3136=1,LN(R3137/R3136),"")</f>
        <v/>
      </c>
      <c r="R3136" s="32" t="n">
        <v>3.9121</v>
      </c>
      <c r="S3136" s="35" t="n">
        <v>6.582</v>
      </c>
      <c r="T3136" s="18" t="n">
        <v>86399.67999999999</v>
      </c>
      <c r="U3136" s="18" t="n"/>
      <c r="V3136" s="18" t="n"/>
      <c r="W3136" s="18" t="n"/>
      <c r="X3136" s="35" t="n"/>
      <c r="Y3136" s="35" t="n">
        <v>6.582</v>
      </c>
    </row>
    <row r="3137">
      <c r="A3137" s="25" t="n">
        <v>43452</v>
      </c>
      <c r="B3137" s="18" t="n">
        <v>86610.5</v>
      </c>
      <c r="C3137" s="31" t="n"/>
      <c r="D3137" s="32" t="n"/>
      <c r="E3137" s="33" t="n">
        <v>1.7962</v>
      </c>
      <c r="F3137" t="inlineStr">
        <is>
          <t>Up</t>
        </is>
      </c>
      <c r="G3137" t="inlineStr">
        <is>
          <t>Down</t>
        </is>
      </c>
      <c r="H3137" t="inlineStr">
        <is>
          <t>EU_JD</t>
        </is>
      </c>
      <c r="I3137" t="inlineStr">
        <is>
          <t>2018-12</t>
        </is>
      </c>
      <c r="J3137" t="n">
        <v>1</v>
      </c>
      <c r="K3137" t="n">
        <v>1</v>
      </c>
      <c r="L3137" s="34">
        <f>IF($J3137=1,LN(B3138/B3137),"")</f>
        <v/>
      </c>
      <c r="M3137" s="34">
        <f>IF($K3137=1,INDEX(Mensal!$D$2:$D$245,MATCH($I3137,Mensal!$A$2:$A$245,0)),"")</f>
        <v/>
      </c>
      <c r="N3137" s="34">
        <f>IF($K3137=1,L3137-M3137,"")</f>
        <v/>
      </c>
      <c r="O3137" s="34" t="n">
        <v>0.0002462</v>
      </c>
      <c r="P3137" s="34">
        <f>IF($J3137=1,LN(1+O3137),"")</f>
        <v/>
      </c>
      <c r="Q3137" s="34">
        <f>IF($J3137=1,LN(R3138/R3137),"")</f>
        <v/>
      </c>
      <c r="R3137" s="32" t="n">
        <v>3.8997</v>
      </c>
      <c r="S3137" s="35" t="n">
        <v>6.631</v>
      </c>
      <c r="T3137" s="18" t="n">
        <v>86610.5</v>
      </c>
      <c r="U3137" s="18" t="n"/>
      <c r="V3137" s="18" t="n"/>
      <c r="W3137" s="18" t="n"/>
      <c r="X3137" s="35" t="n"/>
      <c r="Y3137" s="35" t="n">
        <v>6.631</v>
      </c>
    </row>
    <row r="3138">
      <c r="A3138" s="25" t="n">
        <v>43453</v>
      </c>
      <c r="B3138" s="18" t="n">
        <v>85673.53</v>
      </c>
      <c r="C3138" s="31" t="n"/>
      <c r="D3138" s="32" t="n"/>
      <c r="E3138" s="33" t="n">
        <v>1.808</v>
      </c>
      <c r="F3138" t="inlineStr">
        <is>
          <t>Up</t>
        </is>
      </c>
      <c r="G3138" t="inlineStr">
        <is>
          <t>Down</t>
        </is>
      </c>
      <c r="H3138" t="inlineStr">
        <is>
          <t>EU_JD</t>
        </is>
      </c>
      <c r="I3138" t="inlineStr">
        <is>
          <t>2018-12</t>
        </is>
      </c>
      <c r="J3138" t="n">
        <v>1</v>
      </c>
      <c r="K3138" t="n">
        <v>1</v>
      </c>
      <c r="L3138" s="34">
        <f>IF($J3138=1,LN(B3139/B3138),"")</f>
        <v/>
      </c>
      <c r="M3138" s="34">
        <f>IF($K3138=1,INDEX(Mensal!$D$2:$D$245,MATCH($I3138,Mensal!$A$2:$A$245,0)),"")</f>
        <v/>
      </c>
      <c r="N3138" s="34">
        <f>IF($K3138=1,L3138-M3138,"")</f>
        <v/>
      </c>
      <c r="O3138" s="34" t="n">
        <v>0.0002462</v>
      </c>
      <c r="P3138" s="34">
        <f>IF($J3138=1,LN(1+O3138),"")</f>
        <v/>
      </c>
      <c r="Q3138" s="34">
        <f>IF($J3138=1,LN(R3139/R3138),"")</f>
        <v/>
      </c>
      <c r="R3138" s="32" t="n">
        <v>3.8907</v>
      </c>
      <c r="S3138" s="35" t="n">
        <v>6.588</v>
      </c>
      <c r="T3138" s="18" t="n">
        <v>85673.53</v>
      </c>
      <c r="U3138" s="18" t="n"/>
      <c r="V3138" s="18" t="n"/>
      <c r="W3138" s="18" t="n"/>
      <c r="X3138" s="35" t="n"/>
      <c r="Y3138" s="35" t="n">
        <v>6.588</v>
      </c>
    </row>
    <row r="3139">
      <c r="A3139" s="25" t="n">
        <v>43454</v>
      </c>
      <c r="B3139" s="18" t="n">
        <v>85269.3</v>
      </c>
      <c r="C3139" s="31" t="n"/>
      <c r="D3139" s="32" t="n"/>
      <c r="E3139" s="33" t="n">
        <v>1.8162</v>
      </c>
      <c r="F3139" t="inlineStr">
        <is>
          <t>Up</t>
        </is>
      </c>
      <c r="G3139" t="inlineStr">
        <is>
          <t>Down</t>
        </is>
      </c>
      <c r="H3139" t="inlineStr">
        <is>
          <t>EU_JD</t>
        </is>
      </c>
      <c r="I3139" t="inlineStr">
        <is>
          <t>2018-12</t>
        </is>
      </c>
      <c r="J3139" t="n">
        <v>1</v>
      </c>
      <c r="K3139" t="n">
        <v>1</v>
      </c>
      <c r="L3139" s="34">
        <f>IF($J3139=1,LN(B3140/B3139),"")</f>
        <v/>
      </c>
      <c r="M3139" s="34">
        <f>IF($K3139=1,INDEX(Mensal!$D$2:$D$245,MATCH($I3139,Mensal!$A$2:$A$245,0)),"")</f>
        <v/>
      </c>
      <c r="N3139" s="34">
        <f>IF($K3139=1,L3139-M3139,"")</f>
        <v/>
      </c>
      <c r="O3139" s="34" t="n">
        <v>0.0002462</v>
      </c>
      <c r="P3139" s="34">
        <f>IF($J3139=1,LN(1+O3139),"")</f>
        <v/>
      </c>
      <c r="Q3139" s="34">
        <f>IF($J3139=1,LN(R3140/R3139),"")</f>
        <v/>
      </c>
      <c r="R3139" s="32" t="n">
        <v>3.8443</v>
      </c>
      <c r="S3139" s="35" t="n">
        <v>6.57</v>
      </c>
      <c r="T3139" s="18" t="n">
        <v>85269.3</v>
      </c>
      <c r="U3139" s="18" t="n"/>
      <c r="V3139" s="18" t="n"/>
      <c r="W3139" s="18" t="n"/>
      <c r="X3139" s="35" t="n"/>
      <c r="Y3139" s="35" t="n">
        <v>6.57</v>
      </c>
    </row>
    <row r="3140">
      <c r="A3140" s="25" t="n">
        <v>43455</v>
      </c>
      <c r="B3140" s="18" t="n">
        <v>85697.16</v>
      </c>
      <c r="C3140" s="31" t="n"/>
      <c r="D3140" s="32" t="n"/>
      <c r="E3140" s="33" t="n">
        <v>1.8257</v>
      </c>
      <c r="F3140" t="inlineStr">
        <is>
          <t>Up</t>
        </is>
      </c>
      <c r="G3140" t="inlineStr">
        <is>
          <t>Down</t>
        </is>
      </c>
      <c r="H3140" t="inlineStr">
        <is>
          <t>EU_JD</t>
        </is>
      </c>
      <c r="I3140" t="inlineStr">
        <is>
          <t>2018-12</t>
        </is>
      </c>
      <c r="J3140" t="n">
        <v>1</v>
      </c>
      <c r="K3140" t="n">
        <v>1</v>
      </c>
      <c r="L3140" s="34">
        <f>IF($J3140=1,LN(B3141/B3140),"")</f>
        <v/>
      </c>
      <c r="M3140" s="34">
        <f>IF($K3140=1,INDEX(Mensal!$D$2:$D$245,MATCH($I3140,Mensal!$A$2:$A$245,0)),"")</f>
        <v/>
      </c>
      <c r="N3140" s="34">
        <f>IF($K3140=1,L3140-M3140,"")</f>
        <v/>
      </c>
      <c r="O3140" s="34" t="n">
        <v>0.0002462</v>
      </c>
      <c r="P3140" s="34">
        <f>IF($J3140=1,LN(1+O3140),"")</f>
        <v/>
      </c>
      <c r="Q3140" s="34">
        <f>IF($J3140=1,LN(R3141/R3140),"")</f>
        <v/>
      </c>
      <c r="R3140" s="32" t="n">
        <v>3.8671</v>
      </c>
      <c r="S3140" s="35" t="n">
        <v>6.579</v>
      </c>
      <c r="T3140" s="18" t="n">
        <v>85697.16</v>
      </c>
      <c r="U3140" s="18" t="n"/>
      <c r="V3140" s="18" t="n"/>
      <c r="W3140" s="18" t="n"/>
      <c r="X3140" s="35" t="n"/>
      <c r="Y3140" s="35" t="n">
        <v>6.579</v>
      </c>
    </row>
    <row r="3141">
      <c r="A3141" s="25" t="n">
        <v>43460</v>
      </c>
      <c r="B3141" s="18" t="n">
        <v>85136.11</v>
      </c>
      <c r="C3141" s="31" t="n"/>
      <c r="D3141" s="32" t="n"/>
      <c r="E3141" s="33" t="n">
        <v>1.8322</v>
      </c>
      <c r="F3141" t="inlineStr">
        <is>
          <t>Up</t>
        </is>
      </c>
      <c r="G3141" t="inlineStr">
        <is>
          <t>Down</t>
        </is>
      </c>
      <c r="H3141" t="inlineStr">
        <is>
          <t>EU_JD</t>
        </is>
      </c>
      <c r="I3141" t="inlineStr">
        <is>
          <t>2018-12</t>
        </is>
      </c>
      <c r="J3141" t="n">
        <v>1</v>
      </c>
      <c r="K3141" t="n">
        <v>1</v>
      </c>
      <c r="L3141" s="34">
        <f>IF($J3141=1,LN(B3142/B3141),"")</f>
        <v/>
      </c>
      <c r="M3141" s="34">
        <f>IF($K3141=1,INDEX(Mensal!$D$2:$D$245,MATCH($I3141,Mensal!$A$2:$A$245,0)),"")</f>
        <v/>
      </c>
      <c r="N3141" s="34">
        <f>IF($K3141=1,L3141-M3141,"")</f>
        <v/>
      </c>
      <c r="O3141" s="34" t="n">
        <v>0.0002462</v>
      </c>
      <c r="P3141" s="34">
        <f>IF($J3141=1,LN(1+O3141),"")</f>
        <v/>
      </c>
      <c r="Q3141" s="34">
        <f>IF($J3141=1,LN(R3142/R3141),"")</f>
        <v/>
      </c>
      <c r="R3141" s="32" t="n">
        <v>3.9258</v>
      </c>
      <c r="S3141" s="35" t="n">
        <v>6.595</v>
      </c>
      <c r="T3141" s="18" t="n">
        <v>85136.11</v>
      </c>
      <c r="U3141" s="18" t="n"/>
      <c r="V3141" s="18" t="n"/>
      <c r="W3141" s="18" t="n"/>
      <c r="X3141" s="35" t="n"/>
      <c r="Y3141" s="35" t="n">
        <v>6.595</v>
      </c>
    </row>
    <row r="3142">
      <c r="A3142" s="25" t="n">
        <v>43461</v>
      </c>
      <c r="B3142" s="18" t="n">
        <v>85460.21000000001</v>
      </c>
      <c r="C3142" s="31" t="n"/>
      <c r="D3142" s="32" t="n"/>
      <c r="E3142" s="33" t="n">
        <v>1.8351</v>
      </c>
      <c r="F3142" t="inlineStr">
        <is>
          <t>Up</t>
        </is>
      </c>
      <c r="G3142" t="inlineStr">
        <is>
          <t>Down</t>
        </is>
      </c>
      <c r="H3142" t="inlineStr">
        <is>
          <t>EU_JD</t>
        </is>
      </c>
      <c r="I3142" t="inlineStr">
        <is>
          <t>2018-12</t>
        </is>
      </c>
      <c r="J3142" t="n">
        <v>1</v>
      </c>
      <c r="K3142" t="n">
        <v>1</v>
      </c>
      <c r="L3142" s="34">
        <f>IF($J3142=1,LN(B3143/B3142),"")</f>
        <v/>
      </c>
      <c r="M3142" s="34">
        <f>IF($K3142=1,INDEX(Mensal!$D$2:$D$245,MATCH($I3142,Mensal!$A$2:$A$245,0)),"")</f>
        <v/>
      </c>
      <c r="N3142" s="34">
        <f>IF($K3142=1,L3142-M3142,"")</f>
        <v/>
      </c>
      <c r="O3142" s="34" t="n">
        <v>0.0002462</v>
      </c>
      <c r="P3142" s="34">
        <f>IF($J3142=1,LN(1+O3142),"")</f>
        <v/>
      </c>
      <c r="Q3142" s="34">
        <f>IF($J3142=1,LN(R3143/R3142),"")</f>
        <v/>
      </c>
      <c r="R3142" s="32" t="n">
        <v>3.933</v>
      </c>
      <c r="S3142" s="35" t="n">
        <v>6.565</v>
      </c>
      <c r="T3142" s="18" t="n">
        <v>85460.21000000001</v>
      </c>
      <c r="U3142" s="18" t="n"/>
      <c r="V3142" s="18" t="n"/>
      <c r="W3142" s="18" t="n"/>
      <c r="X3142" s="35" t="n"/>
      <c r="Y3142" s="35" t="n">
        <v>6.565</v>
      </c>
    </row>
    <row r="3143">
      <c r="A3143" s="25" t="n">
        <v>43462</v>
      </c>
      <c r="B3143" s="18" t="n">
        <v>87887.27</v>
      </c>
      <c r="C3143" s="31" t="n"/>
      <c r="D3143" s="32" t="n"/>
      <c r="E3143" s="33" t="n">
        <v>1.8442</v>
      </c>
      <c r="F3143" t="inlineStr">
        <is>
          <t>Up</t>
        </is>
      </c>
      <c r="G3143" t="inlineStr">
        <is>
          <t>Down</t>
        </is>
      </c>
      <c r="H3143" t="inlineStr">
        <is>
          <t>EU_JD</t>
        </is>
      </c>
      <c r="I3143" t="inlineStr">
        <is>
          <t>2018-12</t>
        </is>
      </c>
      <c r="J3143" t="n">
        <v>1</v>
      </c>
      <c r="K3143" t="n">
        <v>1</v>
      </c>
      <c r="L3143" s="34">
        <f>IF($J3143=1,LN(B3144/B3143),"")</f>
        <v/>
      </c>
      <c r="M3143" s="34">
        <f>IF($K3143=1,INDEX(Mensal!$D$2:$D$245,MATCH($I3143,Mensal!$A$2:$A$245,0)),"")</f>
        <v/>
      </c>
      <c r="N3143" s="34">
        <f>IF($K3143=1,L3143-M3143,"")</f>
        <v/>
      </c>
      <c r="O3143" s="34" t="n">
        <v>0.0002462</v>
      </c>
      <c r="P3143" s="34">
        <f>IF($J3143=1,LN(1+O3143),"")</f>
        <v/>
      </c>
      <c r="Q3143" s="34">
        <f>IF($J3143=1,LN(R3144/R3143),"")</f>
        <v/>
      </c>
      <c r="R3143" s="32" t="n">
        <v>3.8748</v>
      </c>
      <c r="S3143" s="35" t="n">
        <v>6.545</v>
      </c>
      <c r="T3143" s="18" t="n">
        <v>87887.27</v>
      </c>
      <c r="U3143" s="18" t="n"/>
      <c r="V3143" s="18" t="n"/>
      <c r="W3143" s="18" t="n"/>
      <c r="X3143" s="35" t="n"/>
      <c r="Y3143" s="35" t="n">
        <v>6.545</v>
      </c>
    </row>
    <row r="3144">
      <c r="A3144" s="25" t="n">
        <v>43467</v>
      </c>
      <c r="B3144" s="18" t="n">
        <v>91012.32000000001</v>
      </c>
      <c r="C3144" s="31" t="n"/>
      <c r="D3144" s="32" t="n"/>
      <c r="E3144" s="33" t="n">
        <v>1.869</v>
      </c>
      <c r="F3144" t="inlineStr">
        <is>
          <t>Up</t>
        </is>
      </c>
      <c r="G3144" t="inlineStr">
        <is>
          <t>Down</t>
        </is>
      </c>
      <c r="H3144" t="inlineStr">
        <is>
          <t>EU_JD</t>
        </is>
      </c>
      <c r="I3144" t="inlineStr">
        <is>
          <t>2019-01</t>
        </is>
      </c>
      <c r="J3144" t="n">
        <v>1</v>
      </c>
      <c r="K3144" t="n">
        <v>1</v>
      </c>
      <c r="L3144" s="34">
        <f>IF($J3144=1,LN(B3145/B3144),"")</f>
        <v/>
      </c>
      <c r="M3144" s="34">
        <f>IF($K3144=1,INDEX(Mensal!$D$2:$D$245,MATCH($I3144,Mensal!$A$2:$A$245,0)),"")</f>
        <v/>
      </c>
      <c r="N3144" s="34">
        <f>IF($K3144=1,L3144-M3144,"")</f>
        <v/>
      </c>
      <c r="O3144" s="34" t="n">
        <v>0.0002462</v>
      </c>
      <c r="P3144" s="34">
        <f>IF($J3144=1,LN(1+O3144),"")</f>
        <v/>
      </c>
      <c r="Q3144" s="34">
        <f>IF($J3144=1,LN(R3145/R3144),"")</f>
        <v/>
      </c>
      <c r="R3144" s="32" t="n">
        <v>3.8595</v>
      </c>
      <c r="S3144" s="35" t="n">
        <v>6.449</v>
      </c>
      <c r="T3144" s="18" t="n">
        <v>91012.32000000001</v>
      </c>
      <c r="U3144" s="18" t="n"/>
      <c r="V3144" s="18" t="n"/>
      <c r="W3144" s="18" t="n"/>
      <c r="X3144" s="35" t="n"/>
      <c r="Y3144" s="35" t="n">
        <v>6.449</v>
      </c>
    </row>
    <row r="3145">
      <c r="A3145" s="25" t="n">
        <v>43468</v>
      </c>
      <c r="B3145" s="18" t="n">
        <v>91564.25999999999</v>
      </c>
      <c r="C3145" s="31" t="n"/>
      <c r="D3145" s="32" t="n"/>
      <c r="E3145" s="33" t="n">
        <v>1.8911</v>
      </c>
      <c r="F3145" t="inlineStr">
        <is>
          <t>Up</t>
        </is>
      </c>
      <c r="G3145" t="inlineStr">
        <is>
          <t>Down</t>
        </is>
      </c>
      <c r="H3145" t="inlineStr">
        <is>
          <t>EU_JD</t>
        </is>
      </c>
      <c r="I3145" t="inlineStr">
        <is>
          <t>2019-01</t>
        </is>
      </c>
      <c r="J3145" t="n">
        <v>1</v>
      </c>
      <c r="K3145" t="n">
        <v>1</v>
      </c>
      <c r="L3145" s="34">
        <f>IF($J3145=1,LN(B3146/B3145),"")</f>
        <v/>
      </c>
      <c r="M3145" s="34">
        <f>IF($K3145=1,INDEX(Mensal!$D$2:$D$245,MATCH($I3145,Mensal!$A$2:$A$245,0)),"")</f>
        <v/>
      </c>
      <c r="N3145" s="34">
        <f>IF($K3145=1,L3145-M3145,"")</f>
        <v/>
      </c>
      <c r="O3145" s="34" t="n">
        <v>0.0002462</v>
      </c>
      <c r="P3145" s="34">
        <f>IF($J3145=1,LN(1+O3145),"")</f>
        <v/>
      </c>
      <c r="Q3145" s="34">
        <f>IF($J3145=1,LN(R3146/R3145),"")</f>
        <v/>
      </c>
      <c r="R3145" s="32" t="n">
        <v>3.7683</v>
      </c>
      <c r="S3145" s="35" t="n">
        <v>6.494</v>
      </c>
      <c r="T3145" s="18" t="n">
        <v>91564.25999999999</v>
      </c>
      <c r="U3145" s="18" t="n"/>
      <c r="V3145" s="18" t="n"/>
      <c r="W3145" s="18" t="n"/>
      <c r="X3145" s="35" t="n"/>
      <c r="Y3145" s="35" t="n">
        <v>6.494</v>
      </c>
    </row>
    <row r="3146">
      <c r="A3146" s="25" t="n">
        <v>43469</v>
      </c>
      <c r="B3146" s="18" t="n">
        <v>91840.8</v>
      </c>
      <c r="C3146" s="31" t="n"/>
      <c r="D3146" s="32" t="n"/>
      <c r="E3146" s="33" t="n">
        <v>1.8154</v>
      </c>
      <c r="F3146" t="inlineStr">
        <is>
          <t>Up</t>
        </is>
      </c>
      <c r="G3146" t="inlineStr">
        <is>
          <t>Down</t>
        </is>
      </c>
      <c r="H3146" t="inlineStr">
        <is>
          <t>EU_JD</t>
        </is>
      </c>
      <c r="I3146" t="inlineStr">
        <is>
          <t>2019-01</t>
        </is>
      </c>
      <c r="J3146" t="n">
        <v>1</v>
      </c>
      <c r="K3146" t="n">
        <v>1</v>
      </c>
      <c r="L3146" s="34">
        <f>IF($J3146=1,LN(B3147/B3146),"")</f>
        <v/>
      </c>
      <c r="M3146" s="34">
        <f>IF($K3146=1,INDEX(Mensal!$D$2:$D$245,MATCH($I3146,Mensal!$A$2:$A$245,0)),"")</f>
        <v/>
      </c>
      <c r="N3146" s="34">
        <f>IF($K3146=1,L3146-M3146,"")</f>
        <v/>
      </c>
      <c r="O3146" s="34" t="n">
        <v>0.0002462</v>
      </c>
      <c r="P3146" s="34">
        <f>IF($J3146=1,LN(1+O3146),"")</f>
        <v/>
      </c>
      <c r="Q3146" s="34">
        <f>IF($J3146=1,LN(R3147/R3146),"")</f>
        <v/>
      </c>
      <c r="R3146" s="32" t="n">
        <v>3.7627</v>
      </c>
      <c r="S3146" s="35" t="n">
        <v>6.523</v>
      </c>
      <c r="T3146" s="18" t="n">
        <v>91840.8</v>
      </c>
      <c r="U3146" s="18" t="n"/>
      <c r="V3146" s="18" t="n"/>
      <c r="W3146" s="18" t="n"/>
      <c r="X3146" s="35" t="n"/>
      <c r="Y3146" s="35" t="n">
        <v>6.523</v>
      </c>
    </row>
    <row r="3147">
      <c r="A3147" s="25" t="n">
        <v>43472</v>
      </c>
      <c r="B3147" s="18" t="n">
        <v>91699.05</v>
      </c>
      <c r="C3147" s="31" t="n"/>
      <c r="D3147" s="32" t="n"/>
      <c r="E3147" s="33" t="n">
        <v>1.7267</v>
      </c>
      <c r="F3147" t="inlineStr">
        <is>
          <t>Up</t>
        </is>
      </c>
      <c r="G3147" t="inlineStr">
        <is>
          <t>Down</t>
        </is>
      </c>
      <c r="H3147" t="inlineStr">
        <is>
          <t>EU_JD</t>
        </is>
      </c>
      <c r="I3147" t="inlineStr">
        <is>
          <t>2019-01</t>
        </is>
      </c>
      <c r="J3147" t="n">
        <v>1</v>
      </c>
      <c r="K3147" t="n">
        <v>1</v>
      </c>
      <c r="L3147" s="34">
        <f>IF($J3147=1,LN(B3148/B3147),"")</f>
        <v/>
      </c>
      <c r="M3147" s="34">
        <f>IF($K3147=1,INDEX(Mensal!$D$2:$D$245,MATCH($I3147,Mensal!$A$2:$A$245,0)),"")</f>
        <v/>
      </c>
      <c r="N3147" s="34">
        <f>IF($K3147=1,L3147-M3147,"")</f>
        <v/>
      </c>
      <c r="O3147" s="34" t="n">
        <v>0.0002462</v>
      </c>
      <c r="P3147" s="34">
        <f>IF($J3147=1,LN(1+O3147),"")</f>
        <v/>
      </c>
      <c r="Q3147" s="34">
        <f>IF($J3147=1,LN(R3148/R3147),"")</f>
        <v/>
      </c>
      <c r="R3147" s="32" t="n">
        <v>3.7062</v>
      </c>
      <c r="S3147" s="35" t="n">
        <v>6.585</v>
      </c>
      <c r="T3147" s="18" t="n">
        <v>91699.05</v>
      </c>
      <c r="U3147" s="18" t="n"/>
      <c r="V3147" s="18" t="n"/>
      <c r="W3147" s="18" t="n"/>
      <c r="X3147" s="35" t="n"/>
      <c r="Y3147" s="35" t="n">
        <v>6.585</v>
      </c>
    </row>
    <row r="3148">
      <c r="A3148" s="25" t="n">
        <v>43473</v>
      </c>
      <c r="B3148" s="18" t="n">
        <v>92031.86</v>
      </c>
      <c r="C3148" s="31" t="n"/>
      <c r="D3148" s="32" t="n"/>
      <c r="E3148" s="33" t="n">
        <v>1.6335</v>
      </c>
      <c r="F3148" t="inlineStr">
        <is>
          <t>Up</t>
        </is>
      </c>
      <c r="G3148" t="inlineStr">
        <is>
          <t>Down</t>
        </is>
      </c>
      <c r="H3148" t="inlineStr">
        <is>
          <t>EU_JD</t>
        </is>
      </c>
      <c r="I3148" t="inlineStr">
        <is>
          <t>2019-01</t>
        </is>
      </c>
      <c r="J3148" t="n">
        <v>1</v>
      </c>
      <c r="K3148" t="n">
        <v>1</v>
      </c>
      <c r="L3148" s="34">
        <f>IF($J3148=1,LN(B3149/B3148),"")</f>
        <v/>
      </c>
      <c r="M3148" s="34">
        <f>IF($K3148=1,INDEX(Mensal!$D$2:$D$245,MATCH($I3148,Mensal!$A$2:$A$245,0)),"")</f>
        <v/>
      </c>
      <c r="N3148" s="34">
        <f>IF($K3148=1,L3148-M3148,"")</f>
        <v/>
      </c>
      <c r="O3148" s="34" t="n">
        <v>0.0002462</v>
      </c>
      <c r="P3148" s="34">
        <f>IF($J3148=1,LN(1+O3148),"")</f>
        <v/>
      </c>
      <c r="Q3148" s="34">
        <f>IF($J3148=1,LN(R3149/R3148),"")</f>
        <v/>
      </c>
      <c r="R3148" s="32" t="n">
        <v>3.7208</v>
      </c>
      <c r="S3148" s="35" t="n">
        <v>6.583</v>
      </c>
      <c r="T3148" s="18" t="n">
        <v>92031.86</v>
      </c>
      <c r="U3148" s="18" t="n"/>
      <c r="V3148" s="18" t="n"/>
      <c r="W3148" s="18" t="n"/>
      <c r="X3148" s="35" t="n"/>
      <c r="Y3148" s="35" t="n">
        <v>6.583</v>
      </c>
    </row>
    <row r="3149">
      <c r="A3149" s="25" t="n">
        <v>43474</v>
      </c>
      <c r="B3149" s="18" t="n">
        <v>93613.05</v>
      </c>
      <c r="C3149" s="31" t="n"/>
      <c r="D3149" s="32" t="n"/>
      <c r="E3149" s="33" t="n">
        <v>1.5354</v>
      </c>
      <c r="F3149" t="inlineStr">
        <is>
          <t>Up</t>
        </is>
      </c>
      <c r="G3149" t="inlineStr">
        <is>
          <t>Down</t>
        </is>
      </c>
      <c r="H3149" t="inlineStr">
        <is>
          <t>EU_JD</t>
        </is>
      </c>
      <c r="I3149" t="inlineStr">
        <is>
          <t>2019-01</t>
        </is>
      </c>
      <c r="J3149" t="n">
        <v>1</v>
      </c>
      <c r="K3149" t="n">
        <v>1</v>
      </c>
      <c r="L3149" s="34">
        <f>IF($J3149=1,LN(B3150/B3149),"")</f>
        <v/>
      </c>
      <c r="M3149" s="34">
        <f>IF($K3149=1,INDEX(Mensal!$D$2:$D$245,MATCH($I3149,Mensal!$A$2:$A$245,0)),"")</f>
        <v/>
      </c>
      <c r="N3149" s="34">
        <f>IF($K3149=1,L3149-M3149,"")</f>
        <v/>
      </c>
      <c r="O3149" s="34" t="n">
        <v>0.0002462</v>
      </c>
      <c r="P3149" s="34">
        <f>IF($J3149=1,LN(1+O3149),"")</f>
        <v/>
      </c>
      <c r="Q3149" s="34">
        <f>IF($J3149=1,LN(R3150/R3149),"")</f>
        <v/>
      </c>
      <c r="R3149" s="32" t="n">
        <v>3.6931</v>
      </c>
      <c r="S3149" s="35" t="n">
        <v>6.59</v>
      </c>
      <c r="T3149" s="18" t="n">
        <v>93613.05</v>
      </c>
      <c r="U3149" s="18" t="n"/>
      <c r="V3149" s="18" t="n"/>
      <c r="W3149" s="18" t="n"/>
      <c r="X3149" s="35" t="n"/>
      <c r="Y3149" s="35" t="n">
        <v>6.59</v>
      </c>
    </row>
    <row r="3150">
      <c r="A3150" s="25" t="n">
        <v>43475</v>
      </c>
      <c r="B3150" s="18" t="n">
        <v>93805.94</v>
      </c>
      <c r="C3150" s="31" t="n"/>
      <c r="D3150" s="32" t="n"/>
      <c r="E3150" s="33" t="n">
        <v>1.437</v>
      </c>
      <c r="F3150" t="inlineStr">
        <is>
          <t>Up</t>
        </is>
      </c>
      <c r="G3150" t="inlineStr">
        <is>
          <t>Down</t>
        </is>
      </c>
      <c r="H3150" t="inlineStr">
        <is>
          <t>EU_JD</t>
        </is>
      </c>
      <c r="I3150" t="inlineStr">
        <is>
          <t>2019-01</t>
        </is>
      </c>
      <c r="J3150" t="n">
        <v>1</v>
      </c>
      <c r="K3150" t="n">
        <v>1</v>
      </c>
      <c r="L3150" s="34">
        <f>IF($J3150=1,LN(B3151/B3150),"")</f>
        <v/>
      </c>
      <c r="M3150" s="34">
        <f>IF($K3150=1,INDEX(Mensal!$D$2:$D$245,MATCH($I3150,Mensal!$A$2:$A$245,0)),"")</f>
        <v/>
      </c>
      <c r="N3150" s="34">
        <f>IF($K3150=1,L3150-M3150,"")</f>
        <v/>
      </c>
      <c r="O3150" s="34" t="n">
        <v>0.0002462</v>
      </c>
      <c r="P3150" s="34">
        <f>IF($J3150=1,LN(1+O3150),"")</f>
        <v/>
      </c>
      <c r="Q3150" s="34">
        <f>IF($J3150=1,LN(R3151/R3150),"")</f>
        <v/>
      </c>
      <c r="R3150" s="32" t="n">
        <v>3.6869</v>
      </c>
      <c r="S3150" s="35" t="n">
        <v>6.656</v>
      </c>
      <c r="T3150" s="18" t="n">
        <v>93805.94</v>
      </c>
      <c r="U3150" s="18" t="n"/>
      <c r="V3150" s="18" t="n"/>
      <c r="W3150" s="18" t="n"/>
      <c r="X3150" s="35" t="n"/>
      <c r="Y3150" s="35" t="n">
        <v>6.656</v>
      </c>
    </row>
    <row r="3151">
      <c r="A3151" s="25" t="n">
        <v>43476</v>
      </c>
      <c r="B3151" s="18" t="n">
        <v>93658.31</v>
      </c>
      <c r="C3151" s="31" t="n"/>
      <c r="D3151" s="32" t="n"/>
      <c r="E3151" s="33" t="n">
        <v>1.3337</v>
      </c>
      <c r="F3151" t="inlineStr">
        <is>
          <t>Up</t>
        </is>
      </c>
      <c r="G3151" t="inlineStr">
        <is>
          <t>Down</t>
        </is>
      </c>
      <c r="H3151" t="inlineStr">
        <is>
          <t>EU_JD</t>
        </is>
      </c>
      <c r="I3151" t="inlineStr">
        <is>
          <t>2019-01</t>
        </is>
      </c>
      <c r="J3151" t="n">
        <v>1</v>
      </c>
      <c r="K3151" t="n">
        <v>1</v>
      </c>
      <c r="L3151" s="34">
        <f>IF($J3151=1,LN(B3152/B3151),"")</f>
        <v/>
      </c>
      <c r="M3151" s="34">
        <f>IF($K3151=1,INDEX(Mensal!$D$2:$D$245,MATCH($I3151,Mensal!$A$2:$A$245,0)),"")</f>
        <v/>
      </c>
      <c r="N3151" s="34">
        <f>IF($K3151=1,L3151-M3151,"")</f>
        <v/>
      </c>
      <c r="O3151" s="34" t="n">
        <v>0.0002462</v>
      </c>
      <c r="P3151" s="34">
        <f>IF($J3151=1,LN(1+O3151),"")</f>
        <v/>
      </c>
      <c r="Q3151" s="34">
        <f>IF($J3151=1,LN(R3152/R3151),"")</f>
        <v/>
      </c>
      <c r="R3151" s="32" t="n">
        <v>3.7141</v>
      </c>
      <c r="S3151" s="35" t="n">
        <v>6.636</v>
      </c>
      <c r="T3151" s="18" t="n">
        <v>93658.31</v>
      </c>
      <c r="U3151" s="18" t="n"/>
      <c r="V3151" s="18" t="n"/>
      <c r="W3151" s="18" t="n"/>
      <c r="X3151" s="35" t="n"/>
      <c r="Y3151" s="35" t="n">
        <v>6.636</v>
      </c>
    </row>
    <row r="3152">
      <c r="A3152" s="25" t="n">
        <v>43479</v>
      </c>
      <c r="B3152" s="18" t="n">
        <v>94474.13</v>
      </c>
      <c r="C3152" s="31" t="n"/>
      <c r="D3152" s="32" t="n"/>
      <c r="E3152" s="33" t="n">
        <v>1.2205</v>
      </c>
      <c r="F3152" t="inlineStr">
        <is>
          <t>Up</t>
        </is>
      </c>
      <c r="G3152" t="inlineStr">
        <is>
          <t>Down</t>
        </is>
      </c>
      <c r="H3152" t="inlineStr">
        <is>
          <t>EU_JD</t>
        </is>
      </c>
      <c r="I3152" t="inlineStr">
        <is>
          <t>2019-01</t>
        </is>
      </c>
      <c r="J3152" t="n">
        <v>1</v>
      </c>
      <c r="K3152" t="n">
        <v>1</v>
      </c>
      <c r="L3152" s="34">
        <f>IF($J3152=1,LN(B3153/B3152),"")</f>
        <v/>
      </c>
      <c r="M3152" s="34">
        <f>IF($K3152=1,INDEX(Mensal!$D$2:$D$245,MATCH($I3152,Mensal!$A$2:$A$245,0)),"")</f>
        <v/>
      </c>
      <c r="N3152" s="34">
        <f>IF($K3152=1,L3152-M3152,"")</f>
        <v/>
      </c>
      <c r="O3152" s="34" t="n">
        <v>0.0002462</v>
      </c>
      <c r="P3152" s="34">
        <f>IF($J3152=1,LN(1+O3152),"")</f>
        <v/>
      </c>
      <c r="Q3152" s="34">
        <f>IF($J3152=1,LN(R3153/R3152),"")</f>
        <v/>
      </c>
      <c r="R3152" s="32" t="n">
        <v>3.726</v>
      </c>
      <c r="S3152" s="35" t="n">
        <v>6.59</v>
      </c>
      <c r="T3152" s="18" t="n">
        <v>94474.13</v>
      </c>
      <c r="U3152" s="18" t="n"/>
      <c r="V3152" s="18" t="n"/>
      <c r="W3152" s="18" t="n"/>
      <c r="X3152" s="35" t="n"/>
      <c r="Y3152" s="35" t="n">
        <v>6.59</v>
      </c>
    </row>
    <row r="3153">
      <c r="A3153" s="25" t="n">
        <v>43480</v>
      </c>
      <c r="B3153" s="18" t="n">
        <v>94055.72</v>
      </c>
      <c r="C3153" s="31" t="n"/>
      <c r="D3153" s="32" t="n"/>
      <c r="E3153" s="33" t="n">
        <v>1.1372</v>
      </c>
      <c r="F3153" t="inlineStr">
        <is>
          <t>Up</t>
        </is>
      </c>
      <c r="G3153" t="inlineStr">
        <is>
          <t>Down</t>
        </is>
      </c>
      <c r="H3153" t="inlineStr">
        <is>
          <t>EU_JD</t>
        </is>
      </c>
      <c r="I3153" t="inlineStr">
        <is>
          <t>2019-01</t>
        </is>
      </c>
      <c r="J3153" t="n">
        <v>1</v>
      </c>
      <c r="K3153" t="n">
        <v>1</v>
      </c>
      <c r="L3153" s="34">
        <f>IF($J3153=1,LN(B3154/B3153),"")</f>
        <v/>
      </c>
      <c r="M3153" s="34">
        <f>IF($K3153=1,INDEX(Mensal!$D$2:$D$245,MATCH($I3153,Mensal!$A$2:$A$245,0)),"")</f>
        <v/>
      </c>
      <c r="N3153" s="34">
        <f>IF($K3153=1,L3153-M3153,"")</f>
        <v/>
      </c>
      <c r="O3153" s="34" t="n">
        <v>0.0002462</v>
      </c>
      <c r="P3153" s="34">
        <f>IF($J3153=1,LN(1+O3153),"")</f>
        <v/>
      </c>
      <c r="Q3153" s="34">
        <f>IF($J3153=1,LN(R3154/R3153),"")</f>
        <v/>
      </c>
      <c r="R3153" s="32" t="n">
        <v>3.7049</v>
      </c>
      <c r="S3153" s="35" t="n">
        <v>6.619</v>
      </c>
      <c r="T3153" s="18" t="n">
        <v>94055.72</v>
      </c>
      <c r="U3153" s="18" t="n"/>
      <c r="V3153" s="18" t="n"/>
      <c r="W3153" s="18" t="n"/>
      <c r="X3153" s="35" t="n"/>
      <c r="Y3153" s="35" t="n">
        <v>6.619</v>
      </c>
    </row>
    <row r="3154">
      <c r="A3154" s="25" t="n">
        <v>43481</v>
      </c>
      <c r="B3154" s="18" t="n">
        <v>94393.08</v>
      </c>
      <c r="C3154" s="31" t="n"/>
      <c r="D3154" s="32" t="n"/>
      <c r="E3154" s="33" t="n">
        <v>1.0533</v>
      </c>
      <c r="F3154" t="inlineStr">
        <is>
          <t>Up</t>
        </is>
      </c>
      <c r="G3154" t="inlineStr">
        <is>
          <t>Down</t>
        </is>
      </c>
      <c r="H3154" t="inlineStr">
        <is>
          <t>EU_JD</t>
        </is>
      </c>
      <c r="I3154" t="inlineStr">
        <is>
          <t>2019-01</t>
        </is>
      </c>
      <c r="J3154" t="n">
        <v>1</v>
      </c>
      <c r="K3154" t="n">
        <v>1</v>
      </c>
      <c r="L3154" s="34">
        <f>IF($J3154=1,LN(B3155/B3154),"")</f>
        <v/>
      </c>
      <c r="M3154" s="34">
        <f>IF($K3154=1,INDEX(Mensal!$D$2:$D$245,MATCH($I3154,Mensal!$A$2:$A$245,0)),"")</f>
        <v/>
      </c>
      <c r="N3154" s="34">
        <f>IF($K3154=1,L3154-M3154,"")</f>
        <v/>
      </c>
      <c r="O3154" s="34" t="n">
        <v>0.0002462</v>
      </c>
      <c r="P3154" s="34">
        <f>IF($J3154=1,LN(1+O3154),"")</f>
        <v/>
      </c>
      <c r="Q3154" s="34">
        <f>IF($J3154=1,LN(R3155/R3154),"")</f>
        <v/>
      </c>
      <c r="R3154" s="32" t="n">
        <v>3.7197</v>
      </c>
      <c r="S3154" s="35" t="n">
        <v>6.618</v>
      </c>
      <c r="T3154" s="18" t="n">
        <v>94393.08</v>
      </c>
      <c r="U3154" s="18" t="n"/>
      <c r="V3154" s="18" t="n"/>
      <c r="W3154" s="18" t="n"/>
      <c r="X3154" s="35" t="n"/>
      <c r="Y3154" s="35" t="n">
        <v>6.618</v>
      </c>
    </row>
    <row r="3155">
      <c r="A3155" s="25" t="n">
        <v>43482</v>
      </c>
      <c r="B3155" s="18" t="n">
        <v>95351.09</v>
      </c>
      <c r="C3155" s="31" t="n"/>
      <c r="D3155" s="32" t="n"/>
      <c r="E3155" s="33" t="n">
        <v>0.9681999999999999</v>
      </c>
      <c r="F3155" t="inlineStr">
        <is>
          <t>Up</t>
        </is>
      </c>
      <c r="G3155" t="inlineStr">
        <is>
          <t>Down</t>
        </is>
      </c>
      <c r="H3155" t="inlineStr">
        <is>
          <t>EU_JD</t>
        </is>
      </c>
      <c r="I3155" t="inlineStr">
        <is>
          <t>2019-01</t>
        </is>
      </c>
      <c r="J3155" t="n">
        <v>1</v>
      </c>
      <c r="K3155" t="n">
        <v>1</v>
      </c>
      <c r="L3155" s="34">
        <f>IF($J3155=1,LN(B3156/B3155),"")</f>
        <v/>
      </c>
      <c r="M3155" s="34">
        <f>IF($K3155=1,INDEX(Mensal!$D$2:$D$245,MATCH($I3155,Mensal!$A$2:$A$245,0)),"")</f>
        <v/>
      </c>
      <c r="N3155" s="34">
        <f>IF($K3155=1,L3155-M3155,"")</f>
        <v/>
      </c>
      <c r="O3155" s="34" t="n">
        <v>0.0002462</v>
      </c>
      <c r="P3155" s="34">
        <f>IF($J3155=1,LN(1+O3155),"")</f>
        <v/>
      </c>
      <c r="Q3155" s="34">
        <f>IF($J3155=1,LN(R3156/R3155),"")</f>
        <v/>
      </c>
      <c r="R3155" s="32" t="n">
        <v>3.7591</v>
      </c>
      <c r="S3155" s="35" t="n">
        <v>6.573</v>
      </c>
      <c r="T3155" s="18" t="n">
        <v>95351.09</v>
      </c>
      <c r="U3155" s="18" t="n"/>
      <c r="V3155" s="18" t="n"/>
      <c r="W3155" s="18" t="n"/>
      <c r="X3155" s="35" t="n"/>
      <c r="Y3155" s="35" t="n">
        <v>6.573</v>
      </c>
    </row>
    <row r="3156">
      <c r="A3156" s="25" t="n">
        <v>43483</v>
      </c>
      <c r="B3156" s="18" t="n">
        <v>96096.75</v>
      </c>
      <c r="C3156" s="31" t="n"/>
      <c r="D3156" s="32" t="n"/>
      <c r="E3156" s="33" t="n">
        <v>0.8732</v>
      </c>
      <c r="F3156" t="inlineStr">
        <is>
          <t>Up</t>
        </is>
      </c>
      <c r="G3156" t="inlineStr">
        <is>
          <t>Down</t>
        </is>
      </c>
      <c r="H3156" t="inlineStr">
        <is>
          <t>EU_JD</t>
        </is>
      </c>
      <c r="I3156" t="inlineStr">
        <is>
          <t>2019-01</t>
        </is>
      </c>
      <c r="J3156" t="n">
        <v>1</v>
      </c>
      <c r="K3156" t="n">
        <v>1</v>
      </c>
      <c r="L3156" s="34">
        <f>IF($J3156=1,LN(B3157/B3156),"")</f>
        <v/>
      </c>
      <c r="M3156" s="34">
        <f>IF($K3156=1,INDEX(Mensal!$D$2:$D$245,MATCH($I3156,Mensal!$A$2:$A$245,0)),"")</f>
        <v/>
      </c>
      <c r="N3156" s="34">
        <f>IF($K3156=1,L3156-M3156,"")</f>
        <v/>
      </c>
      <c r="O3156" s="34" t="n">
        <v>0.0002462</v>
      </c>
      <c r="P3156" s="34">
        <f>IF($J3156=1,LN(1+O3156),"")</f>
        <v/>
      </c>
      <c r="Q3156" s="34">
        <f>IF($J3156=1,LN(R3157/R3156),"")</f>
        <v/>
      </c>
      <c r="R3156" s="32" t="n">
        <v>3.7486</v>
      </c>
      <c r="S3156" s="35" t="n">
        <v>6.561</v>
      </c>
      <c r="T3156" s="18" t="n">
        <v>96096.75</v>
      </c>
      <c r="U3156" s="18" t="n"/>
      <c r="V3156" s="18" t="n"/>
      <c r="W3156" s="18" t="n"/>
      <c r="X3156" s="35" t="n"/>
      <c r="Y3156" s="35" t="n">
        <v>6.561</v>
      </c>
    </row>
    <row r="3157">
      <c r="A3157" s="25" t="n">
        <v>43486</v>
      </c>
      <c r="B3157" s="18" t="n">
        <v>96009.78</v>
      </c>
      <c r="C3157" s="31" t="n"/>
      <c r="D3157" s="32" t="n"/>
      <c r="E3157" s="33" t="n">
        <v>0.7834</v>
      </c>
      <c r="F3157" t="inlineStr">
        <is>
          <t>Up</t>
        </is>
      </c>
      <c r="G3157" t="inlineStr">
        <is>
          <t>Down</t>
        </is>
      </c>
      <c r="H3157" t="inlineStr">
        <is>
          <t>EU_JD</t>
        </is>
      </c>
      <c r="I3157" t="inlineStr">
        <is>
          <t>2019-01</t>
        </is>
      </c>
      <c r="J3157" t="n">
        <v>1</v>
      </c>
      <c r="K3157" t="n">
        <v>1</v>
      </c>
      <c r="L3157" s="34">
        <f>IF($J3157=1,LN(B3158/B3157),"")</f>
        <v/>
      </c>
      <c r="M3157" s="34">
        <f>IF($K3157=1,INDEX(Mensal!$D$2:$D$245,MATCH($I3157,Mensal!$A$2:$A$245,0)),"")</f>
        <v/>
      </c>
      <c r="N3157" s="34">
        <f>IF($K3157=1,L3157-M3157,"")</f>
        <v/>
      </c>
      <c r="O3157" s="34" t="n">
        <v>0.0002462</v>
      </c>
      <c r="P3157" s="34">
        <f>IF($J3157=1,LN(1+O3157),"")</f>
        <v/>
      </c>
      <c r="Q3157" s="34">
        <f>IF($J3157=1,LN(R3158/R3157),"")</f>
        <v/>
      </c>
      <c r="R3157" s="32" t="n">
        <v>3.7705</v>
      </c>
      <c r="S3157" s="35" t="n">
        <v>6.571</v>
      </c>
      <c r="T3157" s="18" t="n">
        <v>96009.78</v>
      </c>
      <c r="U3157" s="18" t="n"/>
      <c r="V3157" s="18" t="n"/>
      <c r="W3157" s="18" t="n"/>
      <c r="X3157" s="35" t="n"/>
      <c r="Y3157" s="35" t="n">
        <v>6.571</v>
      </c>
    </row>
    <row r="3158">
      <c r="A3158" s="25" t="n">
        <v>43487</v>
      </c>
      <c r="B3158" s="18" t="n">
        <v>95103.38</v>
      </c>
      <c r="C3158" s="31" t="n"/>
      <c r="D3158" s="32" t="n"/>
      <c r="E3158" s="33" t="n">
        <v>0.6908</v>
      </c>
      <c r="F3158" t="inlineStr">
        <is>
          <t>Up</t>
        </is>
      </c>
      <c r="G3158" t="inlineStr">
        <is>
          <t>Down</t>
        </is>
      </c>
      <c r="H3158" t="inlineStr">
        <is>
          <t>EU_JD</t>
        </is>
      </c>
      <c r="I3158" t="inlineStr">
        <is>
          <t>2019-01</t>
        </is>
      </c>
      <c r="J3158" t="n">
        <v>1</v>
      </c>
      <c r="K3158" t="n">
        <v>1</v>
      </c>
      <c r="L3158" s="34">
        <f>IF($J3158=1,LN(B3159/B3158),"")</f>
        <v/>
      </c>
      <c r="M3158" s="34">
        <f>IF($K3158=1,INDEX(Mensal!$D$2:$D$245,MATCH($I3158,Mensal!$A$2:$A$245,0)),"")</f>
        <v/>
      </c>
      <c r="N3158" s="34">
        <f>IF($K3158=1,L3158-M3158,"")</f>
        <v/>
      </c>
      <c r="O3158" s="34" t="n">
        <v>0.0002462</v>
      </c>
      <c r="P3158" s="34">
        <f>IF($J3158=1,LN(1+O3158),"")</f>
        <v/>
      </c>
      <c r="Q3158" s="34">
        <f>IF($J3158=1,LN(R3159/R3158),"")</f>
        <v/>
      </c>
      <c r="R3158" s="32" t="n">
        <v>3.7615</v>
      </c>
      <c r="S3158" s="35" t="n">
        <v>6.5</v>
      </c>
      <c r="T3158" s="18" t="n">
        <v>95103.38</v>
      </c>
      <c r="U3158" s="18" t="n"/>
      <c r="V3158" s="18" t="n"/>
      <c r="W3158" s="18" t="n"/>
      <c r="X3158" s="35" t="n"/>
      <c r="Y3158" s="35" t="n">
        <v>6.5</v>
      </c>
    </row>
    <row r="3159">
      <c r="A3159" s="25" t="n">
        <v>43488</v>
      </c>
      <c r="B3159" s="18" t="n">
        <v>96558.42999999999</v>
      </c>
      <c r="C3159" s="31" t="n"/>
      <c r="D3159" s="32" t="n"/>
      <c r="E3159" s="33" t="n">
        <v>0.6005</v>
      </c>
      <c r="F3159" t="inlineStr">
        <is>
          <t>Up</t>
        </is>
      </c>
      <c r="G3159" t="inlineStr">
        <is>
          <t>Down</t>
        </is>
      </c>
      <c r="H3159" t="inlineStr">
        <is>
          <t>EU_JD</t>
        </is>
      </c>
      <c r="I3159" t="inlineStr">
        <is>
          <t>2019-01</t>
        </is>
      </c>
      <c r="J3159" t="n">
        <v>1</v>
      </c>
      <c r="K3159" t="n">
        <v>1</v>
      </c>
      <c r="L3159" s="34">
        <f>IF($J3159=1,LN(B3160/B3159),"")</f>
        <v/>
      </c>
      <c r="M3159" s="34">
        <f>IF($K3159=1,INDEX(Mensal!$D$2:$D$245,MATCH($I3159,Mensal!$A$2:$A$245,0)),"")</f>
        <v/>
      </c>
      <c r="N3159" s="34">
        <f>IF($K3159=1,L3159-M3159,"")</f>
        <v/>
      </c>
      <c r="O3159" s="34" t="n">
        <v>0.0002462</v>
      </c>
      <c r="P3159" s="34">
        <f>IF($J3159=1,LN(1+O3159),"")</f>
        <v/>
      </c>
      <c r="Q3159" s="34">
        <f>IF($J3159=1,LN(R3160/R3159),"")</f>
        <v/>
      </c>
      <c r="R3159" s="32" t="n">
        <v>3.7994</v>
      </c>
      <c r="S3159" s="35" t="n">
        <v>6.476</v>
      </c>
      <c r="T3159" s="18" t="n">
        <v>96558.42999999999</v>
      </c>
      <c r="U3159" s="18" t="n"/>
      <c r="V3159" s="18" t="n"/>
      <c r="W3159" s="18" t="n"/>
      <c r="X3159" s="35" t="n"/>
      <c r="Y3159" s="35" t="n">
        <v>6.476</v>
      </c>
    </row>
    <row r="3160">
      <c r="A3160" s="25" t="n">
        <v>43489</v>
      </c>
      <c r="B3160" s="18" t="n">
        <v>97677.2</v>
      </c>
      <c r="C3160" s="31" t="n"/>
      <c r="D3160" s="32" t="n"/>
      <c r="E3160" s="33" t="n">
        <v>0.5107</v>
      </c>
      <c r="F3160" t="inlineStr">
        <is>
          <t>Up</t>
        </is>
      </c>
      <c r="G3160" t="inlineStr">
        <is>
          <t>Down</t>
        </is>
      </c>
      <c r="H3160" t="inlineStr">
        <is>
          <t>EU_JD</t>
        </is>
      </c>
      <c r="I3160" t="inlineStr">
        <is>
          <t>2019-01</t>
        </is>
      </c>
      <c r="J3160" t="n">
        <v>1</v>
      </c>
      <c r="K3160" t="n">
        <v>1</v>
      </c>
      <c r="L3160" s="34">
        <f>IF($J3160=1,LN(B3161/B3160),"")</f>
        <v/>
      </c>
      <c r="M3160" s="34">
        <f>IF($K3160=1,INDEX(Mensal!$D$2:$D$245,MATCH($I3160,Mensal!$A$2:$A$245,0)),"")</f>
        <v/>
      </c>
      <c r="N3160" s="34">
        <f>IF($K3160=1,L3160-M3160,"")</f>
        <v/>
      </c>
      <c r="O3160" s="34" t="n">
        <v>0.0002462</v>
      </c>
      <c r="P3160" s="34">
        <f>IF($J3160=1,LN(1+O3160),"")</f>
        <v/>
      </c>
      <c r="Q3160" s="34">
        <f>IF($J3160=1,LN(R3161/R3160),"")</f>
        <v/>
      </c>
      <c r="R3160" s="32" t="n">
        <v>3.7815</v>
      </c>
      <c r="S3160" s="35" t="n">
        <v>6.496</v>
      </c>
      <c r="T3160" s="18" t="n">
        <v>97677.2</v>
      </c>
      <c r="U3160" s="18" t="n"/>
      <c r="V3160" s="18" t="n"/>
      <c r="W3160" s="18" t="n"/>
      <c r="X3160" s="35" t="n"/>
      <c r="Y3160" s="35" t="n">
        <v>6.496</v>
      </c>
    </row>
    <row r="3161">
      <c r="A3161" s="25" t="n">
        <v>43493</v>
      </c>
      <c r="B3161" s="18" t="n">
        <v>95443.88</v>
      </c>
      <c r="C3161" s="31" t="n"/>
      <c r="D3161" s="32" t="n"/>
      <c r="E3161" s="33" t="n">
        <v>0.4174</v>
      </c>
      <c r="F3161" t="inlineStr">
        <is>
          <t>Up</t>
        </is>
      </c>
      <c r="G3161" t="inlineStr">
        <is>
          <t>Down</t>
        </is>
      </c>
      <c r="H3161" t="inlineStr">
        <is>
          <t>EU_JD</t>
        </is>
      </c>
      <c r="I3161" t="inlineStr">
        <is>
          <t>2019-01</t>
        </is>
      </c>
      <c r="J3161" t="n">
        <v>1</v>
      </c>
      <c r="K3161" t="n">
        <v>1</v>
      </c>
      <c r="L3161" s="34">
        <f>IF($J3161=1,LN(B3162/B3161),"")</f>
        <v/>
      </c>
      <c r="M3161" s="34">
        <f>IF($K3161=1,INDEX(Mensal!$D$2:$D$245,MATCH($I3161,Mensal!$A$2:$A$245,0)),"")</f>
        <v/>
      </c>
      <c r="N3161" s="34">
        <f>IF($K3161=1,L3161-M3161,"")</f>
        <v/>
      </c>
      <c r="O3161" s="34" t="n">
        <v>0.0002462</v>
      </c>
      <c r="P3161" s="34">
        <f>IF($J3161=1,LN(1+O3161),"")</f>
        <v/>
      </c>
      <c r="Q3161" s="34">
        <f>IF($J3161=1,LN(R3162/R3161),"")</f>
        <v/>
      </c>
      <c r="R3161" s="32" t="n">
        <v>3.7676</v>
      </c>
      <c r="S3161" s="35" t="n">
        <v>6.514</v>
      </c>
      <c r="T3161" s="18" t="n">
        <v>95443.88</v>
      </c>
      <c r="U3161" s="18" t="n"/>
      <c r="V3161" s="18" t="n"/>
      <c r="W3161" s="18" t="n"/>
      <c r="X3161" s="35" t="n"/>
      <c r="Y3161" s="35" t="n">
        <v>6.514</v>
      </c>
    </row>
    <row r="3162">
      <c r="A3162" s="25" t="n">
        <v>43494</v>
      </c>
      <c r="B3162" s="18" t="n">
        <v>95639.33</v>
      </c>
      <c r="C3162" s="31" t="n"/>
      <c r="D3162" s="32" t="n"/>
      <c r="E3162" s="33" t="n">
        <v>0.3248</v>
      </c>
      <c r="F3162" t="inlineStr">
        <is>
          <t>Up</t>
        </is>
      </c>
      <c r="G3162" t="inlineStr">
        <is>
          <t>Down</t>
        </is>
      </c>
      <c r="H3162" t="inlineStr">
        <is>
          <t>EU_JD</t>
        </is>
      </c>
      <c r="I3162" t="inlineStr">
        <is>
          <t>2019-01</t>
        </is>
      </c>
      <c r="J3162" t="n">
        <v>1</v>
      </c>
      <c r="K3162" t="n">
        <v>1</v>
      </c>
      <c r="L3162" s="34">
        <f>IF($J3162=1,LN(B3163/B3162),"")</f>
        <v/>
      </c>
      <c r="M3162" s="34">
        <f>IF($K3162=1,INDEX(Mensal!$D$2:$D$245,MATCH($I3162,Mensal!$A$2:$A$245,0)),"")</f>
        <v/>
      </c>
      <c r="N3162" s="34">
        <f>IF($K3162=1,L3162-M3162,"")</f>
        <v/>
      </c>
      <c r="O3162" s="34" t="n">
        <v>0.0002462</v>
      </c>
      <c r="P3162" s="34">
        <f>IF($J3162=1,LN(1+O3162),"")</f>
        <v/>
      </c>
      <c r="Q3162" s="34">
        <f>IF($J3162=1,LN(R3163/R3162),"")</f>
        <v/>
      </c>
      <c r="R3162" s="32" t="n">
        <v>3.737</v>
      </c>
      <c r="S3162" s="35" t="n">
        <v>6.487</v>
      </c>
      <c r="T3162" s="18" t="n">
        <v>95639.33</v>
      </c>
      <c r="U3162" s="18" t="n"/>
      <c r="V3162" s="18" t="n"/>
      <c r="W3162" s="18" t="n"/>
      <c r="X3162" s="35" t="n"/>
      <c r="Y3162" s="35" t="n">
        <v>6.487</v>
      </c>
    </row>
    <row r="3163">
      <c r="A3163" s="25" t="n">
        <v>43495</v>
      </c>
      <c r="B3163" s="18" t="n">
        <v>96996.21000000001</v>
      </c>
      <c r="C3163" s="31" t="n"/>
      <c r="D3163" s="32" t="n"/>
      <c r="E3163" s="33" t="n">
        <v>0.2357</v>
      </c>
      <c r="F3163" t="inlineStr">
        <is>
          <t>Up</t>
        </is>
      </c>
      <c r="G3163" t="inlineStr">
        <is>
          <t>Down</t>
        </is>
      </c>
      <c r="H3163" t="inlineStr">
        <is>
          <t>EU_JD</t>
        </is>
      </c>
      <c r="I3163" t="inlineStr">
        <is>
          <t>2019-01</t>
        </is>
      </c>
      <c r="J3163" t="n">
        <v>1</v>
      </c>
      <c r="K3163" t="n">
        <v>1</v>
      </c>
      <c r="L3163" s="34">
        <f>IF($J3163=1,LN(B3164/B3163),"")</f>
        <v/>
      </c>
      <c r="M3163" s="34">
        <f>IF($K3163=1,INDEX(Mensal!$D$2:$D$245,MATCH($I3163,Mensal!$A$2:$A$245,0)),"")</f>
        <v/>
      </c>
      <c r="N3163" s="34">
        <f>IF($K3163=1,L3163-M3163,"")</f>
        <v/>
      </c>
      <c r="O3163" s="34" t="n">
        <v>0.0002462</v>
      </c>
      <c r="P3163" s="34">
        <f>IF($J3163=1,LN(1+O3163),"")</f>
        <v/>
      </c>
      <c r="Q3163" s="34">
        <f>IF($J3163=1,LN(R3164/R3163),"")</f>
        <v/>
      </c>
      <c r="R3163" s="32" t="n">
        <v>3.7151</v>
      </c>
      <c r="S3163" s="35" t="n">
        <v>6.496</v>
      </c>
      <c r="T3163" s="18" t="n">
        <v>96996.21000000001</v>
      </c>
      <c r="U3163" s="18" t="n"/>
      <c r="V3163" s="18" t="n"/>
      <c r="W3163" s="18" t="n"/>
      <c r="X3163" s="35" t="n"/>
      <c r="Y3163" s="35" t="n">
        <v>6.496</v>
      </c>
    </row>
    <row r="3164">
      <c r="A3164" s="25" t="n">
        <v>43496</v>
      </c>
      <c r="B3164" s="18" t="n">
        <v>97393.75</v>
      </c>
      <c r="C3164" s="31" t="n"/>
      <c r="D3164" s="32" t="n"/>
      <c r="E3164" s="33" t="n">
        <v>0.1368</v>
      </c>
      <c r="F3164" t="inlineStr">
        <is>
          <t>Up</t>
        </is>
      </c>
      <c r="G3164" t="inlineStr">
        <is>
          <t>Down</t>
        </is>
      </c>
      <c r="H3164" t="inlineStr">
        <is>
          <t>EU_JD</t>
        </is>
      </c>
      <c r="I3164" t="inlineStr">
        <is>
          <t>2019-01</t>
        </is>
      </c>
      <c r="J3164" t="n">
        <v>1</v>
      </c>
      <c r="K3164" t="n">
        <v>1</v>
      </c>
      <c r="L3164" s="34">
        <f>IF($J3164=1,LN(B3165/B3164),"")</f>
        <v/>
      </c>
      <c r="M3164" s="34">
        <f>IF($K3164=1,INDEX(Mensal!$D$2:$D$245,MATCH($I3164,Mensal!$A$2:$A$245,0)),"")</f>
        <v/>
      </c>
      <c r="N3164" s="34">
        <f>IF($K3164=1,L3164-M3164,"")</f>
        <v/>
      </c>
      <c r="O3164" s="34" t="n">
        <v>0.0002462</v>
      </c>
      <c r="P3164" s="34">
        <f>IF($J3164=1,LN(1+O3164),"")</f>
        <v/>
      </c>
      <c r="Q3164" s="34">
        <f>IF($J3164=1,LN(R3165/R3164),"")</f>
        <v/>
      </c>
      <c r="R3164" s="32" t="n">
        <v>3.6519</v>
      </c>
      <c r="S3164" s="35" t="n">
        <v>6.416</v>
      </c>
      <c r="T3164" s="18" t="n">
        <v>97393.75</v>
      </c>
      <c r="U3164" s="18" t="n"/>
      <c r="V3164" s="18" t="n"/>
      <c r="W3164" s="18" t="n"/>
      <c r="X3164" s="35" t="n"/>
      <c r="Y3164" s="35" t="n">
        <v>6.416</v>
      </c>
    </row>
    <row r="3165">
      <c r="A3165" s="25" t="n">
        <v>43497</v>
      </c>
      <c r="B3165" s="18" t="n">
        <v>97861.28</v>
      </c>
      <c r="C3165" s="31" t="n"/>
      <c r="D3165" s="32" t="n"/>
      <c r="E3165" s="33" t="n">
        <v>0.0383</v>
      </c>
      <c r="F3165" t="inlineStr">
        <is>
          <t>Up</t>
        </is>
      </c>
      <c r="G3165" t="inlineStr">
        <is>
          <t>Down</t>
        </is>
      </c>
      <c r="H3165" t="inlineStr">
        <is>
          <t>EU_JD</t>
        </is>
      </c>
      <c r="I3165" t="inlineStr">
        <is>
          <t>2019-02</t>
        </is>
      </c>
      <c r="J3165" t="n">
        <v>1</v>
      </c>
      <c r="K3165" t="n">
        <v>1</v>
      </c>
      <c r="L3165" s="34">
        <f>IF($J3165=1,LN(B3166/B3165),"")</f>
        <v/>
      </c>
      <c r="M3165" s="34">
        <f>IF($K3165=1,INDEX(Mensal!$D$2:$D$245,MATCH($I3165,Mensal!$A$2:$A$245,0)),"")</f>
        <v/>
      </c>
      <c r="N3165" s="34">
        <f>IF($K3165=1,L3165-M3165,"")</f>
        <v/>
      </c>
      <c r="O3165" s="34" t="n">
        <v>0.0002462</v>
      </c>
      <c r="P3165" s="34">
        <f>IF($J3165=1,LN(1+O3165),"")</f>
        <v/>
      </c>
      <c r="Q3165" s="34">
        <f>IF($J3165=1,LN(R3166/R3165),"")</f>
        <v/>
      </c>
      <c r="R3165" s="32" t="n">
        <v>3.6694</v>
      </c>
      <c r="S3165" s="35" t="n">
        <v>6.393</v>
      </c>
      <c r="T3165" s="18" t="n">
        <v>97861.28</v>
      </c>
      <c r="U3165" s="18" t="n"/>
      <c r="V3165" s="18" t="n"/>
      <c r="W3165" s="18" t="n"/>
      <c r="X3165" s="35" t="n"/>
      <c r="Y3165" s="35" t="n">
        <v>6.393</v>
      </c>
    </row>
    <row r="3166">
      <c r="A3166" s="25" t="n">
        <v>43500</v>
      </c>
      <c r="B3166" s="18" t="n">
        <v>98588.64</v>
      </c>
      <c r="C3166" s="31" t="n"/>
      <c r="D3166" s="32" t="n"/>
      <c r="E3166" s="33" t="n">
        <v>-0.0599</v>
      </c>
      <c r="F3166" t="inlineStr">
        <is>
          <t>Up</t>
        </is>
      </c>
      <c r="G3166" t="inlineStr">
        <is>
          <t>Down</t>
        </is>
      </c>
      <c r="H3166" t="inlineStr">
        <is>
          <t>EU_JD</t>
        </is>
      </c>
      <c r="I3166" t="inlineStr">
        <is>
          <t>2019-02</t>
        </is>
      </c>
      <c r="J3166" t="n">
        <v>1</v>
      </c>
      <c r="K3166" t="n">
        <v>1</v>
      </c>
      <c r="L3166" s="34">
        <f>IF($J3166=1,LN(B3167/B3166),"")</f>
        <v/>
      </c>
      <c r="M3166" s="34">
        <f>IF($K3166=1,INDEX(Mensal!$D$2:$D$245,MATCH($I3166,Mensal!$A$2:$A$245,0)),"")</f>
        <v/>
      </c>
      <c r="N3166" s="34">
        <f>IF($K3166=1,L3166-M3166,"")</f>
        <v/>
      </c>
      <c r="O3166" s="34" t="n">
        <v>0.0002462</v>
      </c>
      <c r="P3166" s="34">
        <f>IF($J3166=1,LN(1+O3166),"")</f>
        <v/>
      </c>
      <c r="Q3166" s="34">
        <f>IF($J3166=1,LN(R3167/R3166),"")</f>
        <v/>
      </c>
      <c r="R3166" s="32" t="n">
        <v>3.6756</v>
      </c>
      <c r="S3166" s="35" t="n">
        <v>6.407</v>
      </c>
      <c r="T3166" s="18" t="n">
        <v>98588.64</v>
      </c>
      <c r="U3166" s="18" t="n"/>
      <c r="V3166" s="18" t="n"/>
      <c r="W3166" s="18" t="n"/>
      <c r="X3166" s="35" t="n"/>
      <c r="Y3166" s="35" t="n">
        <v>6.407</v>
      </c>
    </row>
    <row r="3167">
      <c r="A3167" s="25" t="n">
        <v>43501</v>
      </c>
      <c r="B3167" s="18" t="n">
        <v>98311.21000000001</v>
      </c>
      <c r="C3167" s="31" t="n"/>
      <c r="D3167" s="32" t="n"/>
      <c r="E3167" s="33" t="n">
        <v>-0.1644</v>
      </c>
      <c r="F3167" t="inlineStr">
        <is>
          <t>Up</t>
        </is>
      </c>
      <c r="G3167" t="inlineStr">
        <is>
          <t>Down</t>
        </is>
      </c>
      <c r="H3167" t="inlineStr">
        <is>
          <t>EU_JD</t>
        </is>
      </c>
      <c r="I3167" t="inlineStr">
        <is>
          <t>2019-02</t>
        </is>
      </c>
      <c r="J3167" t="n">
        <v>1</v>
      </c>
      <c r="K3167" t="n">
        <v>1</v>
      </c>
      <c r="L3167" s="34">
        <f>IF($J3167=1,LN(B3168/B3167),"")</f>
        <v/>
      </c>
      <c r="M3167" s="34">
        <f>IF($K3167=1,INDEX(Mensal!$D$2:$D$245,MATCH($I3167,Mensal!$A$2:$A$245,0)),"")</f>
        <v/>
      </c>
      <c r="N3167" s="34">
        <f>IF($K3167=1,L3167-M3167,"")</f>
        <v/>
      </c>
      <c r="O3167" s="34" t="n">
        <v>0.0002462</v>
      </c>
      <c r="P3167" s="34">
        <f>IF($J3167=1,LN(1+O3167),"")</f>
        <v/>
      </c>
      <c r="Q3167" s="34">
        <f>IF($J3167=1,LN(R3168/R3167),"")</f>
        <v/>
      </c>
      <c r="R3167" s="32" t="n">
        <v>3.6741</v>
      </c>
      <c r="S3167" s="35" t="n">
        <v>6.408</v>
      </c>
      <c r="T3167" s="18" t="n">
        <v>98311.21000000001</v>
      </c>
      <c r="U3167" s="18" t="n"/>
      <c r="V3167" s="18" t="n"/>
      <c r="W3167" s="18" t="n"/>
      <c r="X3167" s="35" t="n"/>
      <c r="Y3167" s="35" t="n">
        <v>6.408</v>
      </c>
    </row>
    <row r="3168">
      <c r="A3168" s="25" t="n">
        <v>43502</v>
      </c>
      <c r="B3168" s="18" t="n">
        <v>94635.57000000001</v>
      </c>
      <c r="C3168" s="31" t="n"/>
      <c r="D3168" s="32" t="n"/>
      <c r="E3168" s="33" t="n">
        <v>-0.2735</v>
      </c>
      <c r="F3168" t="inlineStr">
        <is>
          <t>Up</t>
        </is>
      </c>
      <c r="G3168" t="inlineStr">
        <is>
          <t>Down</t>
        </is>
      </c>
      <c r="H3168" t="inlineStr">
        <is>
          <t>EU_JD</t>
        </is>
      </c>
      <c r="I3168" t="inlineStr">
        <is>
          <t>2019-02</t>
        </is>
      </c>
      <c r="J3168" t="n">
        <v>1</v>
      </c>
      <c r="K3168" t="n">
        <v>1</v>
      </c>
      <c r="L3168" s="34">
        <f>IF($J3168=1,LN(B3169/B3168),"")</f>
        <v/>
      </c>
      <c r="M3168" s="34">
        <f>IF($K3168=1,INDEX(Mensal!$D$2:$D$245,MATCH($I3168,Mensal!$A$2:$A$245,0)),"")</f>
        <v/>
      </c>
      <c r="N3168" s="34">
        <f>IF($K3168=1,L3168-M3168,"")</f>
        <v/>
      </c>
      <c r="O3168" s="34" t="n">
        <v>0.0002462</v>
      </c>
      <c r="P3168" s="34">
        <f>IF($J3168=1,LN(1+O3168),"")</f>
        <v/>
      </c>
      <c r="Q3168" s="34">
        <f>IF($J3168=1,LN(R3169/R3168),"")</f>
        <v/>
      </c>
      <c r="R3168" s="32" t="n">
        <v>3.7019</v>
      </c>
      <c r="S3168" s="35" t="n">
        <v>6.403</v>
      </c>
      <c r="T3168" s="18" t="n">
        <v>94635.57000000001</v>
      </c>
      <c r="U3168" s="18" t="n"/>
      <c r="V3168" s="18" t="n"/>
      <c r="W3168" s="18" t="n"/>
      <c r="X3168" s="35" t="n"/>
      <c r="Y3168" s="35" t="n">
        <v>6.403</v>
      </c>
    </row>
    <row r="3169">
      <c r="A3169" s="25" t="n">
        <v>43503</v>
      </c>
      <c r="B3169" s="18" t="n">
        <v>94405.60000000001</v>
      </c>
      <c r="C3169" s="31" t="n"/>
      <c r="D3169" s="32" t="n"/>
      <c r="E3169" s="33" t="n">
        <v>-0.3833</v>
      </c>
      <c r="F3169" t="inlineStr">
        <is>
          <t>Up</t>
        </is>
      </c>
      <c r="G3169" t="inlineStr">
        <is>
          <t>Down</t>
        </is>
      </c>
      <c r="H3169" t="inlineStr">
        <is>
          <t>EU_JD</t>
        </is>
      </c>
      <c r="I3169" t="inlineStr">
        <is>
          <t>2019-02</t>
        </is>
      </c>
      <c r="J3169" t="n">
        <v>1</v>
      </c>
      <c r="K3169" t="n">
        <v>1</v>
      </c>
      <c r="L3169" s="34">
        <f>IF($J3169=1,LN(B3170/B3169),"")</f>
        <v/>
      </c>
      <c r="M3169" s="34">
        <f>IF($K3169=1,INDEX(Mensal!$D$2:$D$245,MATCH($I3169,Mensal!$A$2:$A$245,0)),"")</f>
        <v/>
      </c>
      <c r="N3169" s="34">
        <f>IF($K3169=1,L3169-M3169,"")</f>
        <v/>
      </c>
      <c r="O3169" s="34" t="n">
        <v>0.0002462</v>
      </c>
      <c r="P3169" s="34">
        <f>IF($J3169=1,LN(1+O3169),"")</f>
        <v/>
      </c>
      <c r="Q3169" s="34">
        <f>IF($J3169=1,LN(R3170/R3169),"")</f>
        <v/>
      </c>
      <c r="R3169" s="32" t="n">
        <v>3.7193</v>
      </c>
      <c r="S3169" s="35" t="n">
        <v>6.507</v>
      </c>
      <c r="T3169" s="18" t="n">
        <v>94405.60000000001</v>
      </c>
      <c r="U3169" s="18" t="n"/>
      <c r="V3169" s="18" t="n"/>
      <c r="W3169" s="18" t="n"/>
      <c r="X3169" s="35" t="n"/>
      <c r="Y3169" s="35" t="n">
        <v>6.507</v>
      </c>
    </row>
    <row r="3170">
      <c r="A3170" s="25" t="n">
        <v>43504</v>
      </c>
      <c r="B3170" s="18" t="n">
        <v>95343.11</v>
      </c>
      <c r="C3170" s="31" t="n"/>
      <c r="D3170" s="32" t="n"/>
      <c r="E3170" s="33" t="n">
        <v>-0.4919</v>
      </c>
      <c r="F3170" t="inlineStr">
        <is>
          <t>Up</t>
        </is>
      </c>
      <c r="G3170" t="inlineStr">
        <is>
          <t>Down</t>
        </is>
      </c>
      <c r="H3170" t="inlineStr">
        <is>
          <t>EU_JD</t>
        </is>
      </c>
      <c r="I3170" t="inlineStr">
        <is>
          <t>2019-02</t>
        </is>
      </c>
      <c r="J3170" t="n">
        <v>1</v>
      </c>
      <c r="K3170" t="n">
        <v>1</v>
      </c>
      <c r="L3170" s="34">
        <f>IF($J3170=1,LN(B3171/B3170),"")</f>
        <v/>
      </c>
      <c r="M3170" s="34">
        <f>IF($K3170=1,INDEX(Mensal!$D$2:$D$245,MATCH($I3170,Mensal!$A$2:$A$245,0)),"")</f>
        <v/>
      </c>
      <c r="N3170" s="34">
        <f>IF($K3170=1,L3170-M3170,"")</f>
        <v/>
      </c>
      <c r="O3170" s="34" t="n">
        <v>0.0002462</v>
      </c>
      <c r="P3170" s="34">
        <f>IF($J3170=1,LN(1+O3170),"")</f>
        <v/>
      </c>
      <c r="Q3170" s="34">
        <f>IF($J3170=1,LN(R3171/R3170),"")</f>
        <v/>
      </c>
      <c r="R3170" s="32" t="n">
        <v>3.7184</v>
      </c>
      <c r="S3170" s="35" t="n">
        <v>6.571</v>
      </c>
      <c r="T3170" s="18" t="n">
        <v>95343.11</v>
      </c>
      <c r="U3170" s="18" t="n"/>
      <c r="V3170" s="18" t="n"/>
      <c r="W3170" s="18" t="n"/>
      <c r="X3170" s="35" t="n"/>
      <c r="Y3170" s="35" t="n">
        <v>6.571</v>
      </c>
    </row>
    <row r="3171">
      <c r="A3171" s="25" t="n">
        <v>43507</v>
      </c>
      <c r="B3171" s="18" t="n">
        <v>94412.92</v>
      </c>
      <c r="C3171" s="31" t="n"/>
      <c r="D3171" s="32" t="n"/>
      <c r="E3171" s="33" t="n">
        <v>-0.5878</v>
      </c>
      <c r="F3171" t="inlineStr">
        <is>
          <t>Up</t>
        </is>
      </c>
      <c r="G3171" t="inlineStr">
        <is>
          <t>Down</t>
        </is>
      </c>
      <c r="H3171" t="inlineStr">
        <is>
          <t>EU_JD</t>
        </is>
      </c>
      <c r="I3171" t="inlineStr">
        <is>
          <t>2019-02</t>
        </is>
      </c>
      <c r="J3171" t="n">
        <v>1</v>
      </c>
      <c r="K3171" t="n">
        <v>1</v>
      </c>
      <c r="L3171" s="34">
        <f>IF($J3171=1,LN(B3172/B3171),"")</f>
        <v/>
      </c>
      <c r="M3171" s="34">
        <f>IF($K3171=1,INDEX(Mensal!$D$2:$D$245,MATCH($I3171,Mensal!$A$2:$A$245,0)),"")</f>
        <v/>
      </c>
      <c r="N3171" s="34">
        <f>IF($K3171=1,L3171-M3171,"")</f>
        <v/>
      </c>
      <c r="O3171" s="34" t="n">
        <v>0.0002462</v>
      </c>
      <c r="P3171" s="34">
        <f>IF($J3171=1,LN(1+O3171),"")</f>
        <v/>
      </c>
      <c r="Q3171" s="34">
        <f>IF($J3171=1,LN(R3172/R3171),"")</f>
        <v/>
      </c>
      <c r="R3171" s="32" t="n">
        <v>3.7391</v>
      </c>
      <c r="S3171" s="35" t="n">
        <v>6.565</v>
      </c>
      <c r="T3171" s="18" t="n">
        <v>94412.92</v>
      </c>
      <c r="U3171" s="18" t="n"/>
      <c r="V3171" s="18" t="n"/>
      <c r="W3171" s="18" t="n"/>
      <c r="X3171" s="35" t="n"/>
      <c r="Y3171" s="35" t="n">
        <v>6.565</v>
      </c>
    </row>
    <row r="3172">
      <c r="A3172" s="25" t="n">
        <v>43508</v>
      </c>
      <c r="B3172" s="18" t="n">
        <v>96168.39999999999</v>
      </c>
      <c r="C3172" s="31" t="n"/>
      <c r="D3172" s="32" t="n"/>
      <c r="E3172" s="33" t="n">
        <v>-0.6922</v>
      </c>
      <c r="F3172" t="inlineStr">
        <is>
          <t>Up</t>
        </is>
      </c>
      <c r="G3172" t="inlineStr">
        <is>
          <t>Down</t>
        </is>
      </c>
      <c r="H3172" t="inlineStr">
        <is>
          <t>EU_JD</t>
        </is>
      </c>
      <c r="I3172" t="inlineStr">
        <is>
          <t>2019-02</t>
        </is>
      </c>
      <c r="J3172" t="n">
        <v>1</v>
      </c>
      <c r="K3172" t="n">
        <v>1</v>
      </c>
      <c r="L3172" s="34">
        <f>IF($J3172=1,LN(B3173/B3172),"")</f>
        <v/>
      </c>
      <c r="M3172" s="34">
        <f>IF($K3172=1,INDEX(Mensal!$D$2:$D$245,MATCH($I3172,Mensal!$A$2:$A$245,0)),"")</f>
        <v/>
      </c>
      <c r="N3172" s="34">
        <f>IF($K3172=1,L3172-M3172,"")</f>
        <v/>
      </c>
      <c r="O3172" s="34" t="n">
        <v>0.0002462</v>
      </c>
      <c r="P3172" s="34">
        <f>IF($J3172=1,LN(1+O3172),"")</f>
        <v/>
      </c>
      <c r="Q3172" s="34">
        <f>IF($J3172=1,LN(R3173/R3172),"")</f>
        <v/>
      </c>
      <c r="R3172" s="32" t="n">
        <v>3.7296</v>
      </c>
      <c r="S3172" s="35" t="n">
        <v>6.536</v>
      </c>
      <c r="T3172" s="18" t="n">
        <v>96168.39999999999</v>
      </c>
      <c r="U3172" s="18" t="n"/>
      <c r="V3172" s="18" t="n"/>
      <c r="W3172" s="18" t="n"/>
      <c r="X3172" s="35" t="n"/>
      <c r="Y3172" s="35" t="n">
        <v>6.536</v>
      </c>
    </row>
    <row r="3173">
      <c r="A3173" s="25" t="n">
        <v>43509</v>
      </c>
      <c r="B3173" s="18" t="n">
        <v>95842.41</v>
      </c>
      <c r="C3173" s="31" t="n"/>
      <c r="D3173" s="32" t="n"/>
      <c r="E3173" s="33" t="n">
        <v>-0.7917</v>
      </c>
      <c r="F3173" t="inlineStr">
        <is>
          <t>Up</t>
        </is>
      </c>
      <c r="G3173" t="inlineStr">
        <is>
          <t>Down</t>
        </is>
      </c>
      <c r="H3173" t="inlineStr">
        <is>
          <t>EU_JD</t>
        </is>
      </c>
      <c r="I3173" t="inlineStr">
        <is>
          <t>2019-02</t>
        </is>
      </c>
      <c r="J3173" t="n">
        <v>1</v>
      </c>
      <c r="K3173" t="n">
        <v>1</v>
      </c>
      <c r="L3173" s="34">
        <f>IF($J3173=1,LN(B3174/B3173),"")</f>
        <v/>
      </c>
      <c r="M3173" s="34">
        <f>IF($K3173=1,INDEX(Mensal!$D$2:$D$245,MATCH($I3173,Mensal!$A$2:$A$245,0)),"")</f>
        <v/>
      </c>
      <c r="N3173" s="34">
        <f>IF($K3173=1,L3173-M3173,"")</f>
        <v/>
      </c>
      <c r="O3173" s="34" t="n">
        <v>0.0002462</v>
      </c>
      <c r="P3173" s="34">
        <f>IF($J3173=1,LN(1+O3173),"")</f>
        <v/>
      </c>
      <c r="Q3173" s="34">
        <f>IF($J3173=1,LN(R3174/R3173),"")</f>
        <v/>
      </c>
      <c r="R3173" s="32" t="n">
        <v>3.7277</v>
      </c>
      <c r="S3173" s="35" t="n">
        <v>6.464</v>
      </c>
      <c r="T3173" s="18" t="n">
        <v>95842.41</v>
      </c>
      <c r="U3173" s="18" t="n"/>
      <c r="V3173" s="18" t="n"/>
      <c r="W3173" s="18" t="n"/>
      <c r="X3173" s="35" t="n"/>
      <c r="Y3173" s="35" t="n">
        <v>6.464</v>
      </c>
    </row>
    <row r="3174">
      <c r="A3174" s="25" t="n">
        <v>43510</v>
      </c>
      <c r="B3174" s="18" t="n">
        <v>98015.10000000001</v>
      </c>
      <c r="C3174" s="31" t="n"/>
      <c r="D3174" s="32" t="n"/>
      <c r="E3174" s="33" t="n">
        <v>-0.8794</v>
      </c>
      <c r="F3174" t="inlineStr">
        <is>
          <t>Up</t>
        </is>
      </c>
      <c r="G3174" t="inlineStr">
        <is>
          <t>Down</t>
        </is>
      </c>
      <c r="H3174" t="inlineStr">
        <is>
          <t>EU_JD</t>
        </is>
      </c>
      <c r="I3174" t="inlineStr">
        <is>
          <t>2019-02</t>
        </is>
      </c>
      <c r="J3174" t="n">
        <v>1</v>
      </c>
      <c r="K3174" t="n">
        <v>1</v>
      </c>
      <c r="L3174" s="34">
        <f>IF($J3174=1,LN(B3175/B3174),"")</f>
        <v/>
      </c>
      <c r="M3174" s="34">
        <f>IF($K3174=1,INDEX(Mensal!$D$2:$D$245,MATCH($I3174,Mensal!$A$2:$A$245,0)),"")</f>
        <v/>
      </c>
      <c r="N3174" s="34">
        <f>IF($K3174=1,L3174-M3174,"")</f>
        <v/>
      </c>
      <c r="O3174" s="34" t="n">
        <v>0.0002462</v>
      </c>
      <c r="P3174" s="34">
        <f>IF($J3174=1,LN(1+O3174),"")</f>
        <v/>
      </c>
      <c r="Q3174" s="34">
        <f>IF($J3174=1,LN(R3175/R3174),"")</f>
        <v/>
      </c>
      <c r="R3174" s="32" t="n">
        <v>3.7756</v>
      </c>
      <c r="S3174" s="35" t="n">
        <v>6.449</v>
      </c>
      <c r="T3174" s="18" t="n">
        <v>98015.10000000001</v>
      </c>
      <c r="U3174" s="18" t="n"/>
      <c r="V3174" s="18" t="n"/>
      <c r="W3174" s="18" t="n"/>
      <c r="X3174" s="35" t="n"/>
      <c r="Y3174" s="35" t="n">
        <v>6.449</v>
      </c>
    </row>
    <row r="3175">
      <c r="A3175" s="25" t="n">
        <v>43511</v>
      </c>
      <c r="B3175" s="18" t="n">
        <v>97525.91</v>
      </c>
      <c r="C3175" s="31" t="n"/>
      <c r="D3175" s="32" t="n"/>
      <c r="E3175" s="33" t="n">
        <v>-0.9626</v>
      </c>
      <c r="F3175" t="inlineStr">
        <is>
          <t>Up</t>
        </is>
      </c>
      <c r="G3175" t="inlineStr">
        <is>
          <t>Down</t>
        </is>
      </c>
      <c r="H3175" t="inlineStr">
        <is>
          <t>EU_JD</t>
        </is>
      </c>
      <c r="I3175" t="inlineStr">
        <is>
          <t>2019-02</t>
        </is>
      </c>
      <c r="J3175" t="n">
        <v>1</v>
      </c>
      <c r="K3175" t="n">
        <v>1</v>
      </c>
      <c r="L3175" s="34">
        <f>IF($J3175=1,LN(B3176/B3175),"")</f>
        <v/>
      </c>
      <c r="M3175" s="34">
        <f>IF($K3175=1,INDEX(Mensal!$D$2:$D$245,MATCH($I3175,Mensal!$A$2:$A$245,0)),"")</f>
        <v/>
      </c>
      <c r="N3175" s="34">
        <f>IF($K3175=1,L3175-M3175,"")</f>
        <v/>
      </c>
      <c r="O3175" s="34" t="n">
        <v>0.0002462</v>
      </c>
      <c r="P3175" s="34">
        <f>IF($J3175=1,LN(1+O3175),"")</f>
        <v/>
      </c>
      <c r="Q3175" s="34">
        <f>IF($J3175=1,LN(R3176/R3175),"")</f>
        <v/>
      </c>
      <c r="R3175" s="32" t="n">
        <v>3.7155</v>
      </c>
      <c r="S3175" s="35" t="n">
        <v>6.39</v>
      </c>
      <c r="T3175" s="18" t="n">
        <v>97525.91</v>
      </c>
      <c r="U3175" s="18" t="n"/>
      <c r="V3175" s="18" t="n"/>
      <c r="W3175" s="18" t="n"/>
      <c r="X3175" s="35" t="n"/>
      <c r="Y3175" s="35" t="n">
        <v>6.39</v>
      </c>
    </row>
    <row r="3176">
      <c r="A3176" s="25" t="n">
        <v>43514</v>
      </c>
      <c r="B3176" s="18" t="n">
        <v>96509.89</v>
      </c>
      <c r="C3176" s="31" t="n"/>
      <c r="D3176" s="32" t="n"/>
      <c r="E3176" s="33" t="n">
        <v>-1.0428</v>
      </c>
      <c r="F3176" t="inlineStr">
        <is>
          <t>Up</t>
        </is>
      </c>
      <c r="G3176" t="inlineStr">
        <is>
          <t>Down</t>
        </is>
      </c>
      <c r="H3176" t="inlineStr">
        <is>
          <t>EU_JD</t>
        </is>
      </c>
      <c r="I3176" t="inlineStr">
        <is>
          <t>2019-02</t>
        </is>
      </c>
      <c r="J3176" t="n">
        <v>1</v>
      </c>
      <c r="K3176" t="n">
        <v>1</v>
      </c>
      <c r="L3176" s="34">
        <f>IF($J3176=1,LN(B3177/B3176),"")</f>
        <v/>
      </c>
      <c r="M3176" s="34">
        <f>IF($K3176=1,INDEX(Mensal!$D$2:$D$245,MATCH($I3176,Mensal!$A$2:$A$245,0)),"")</f>
        <v/>
      </c>
      <c r="N3176" s="34">
        <f>IF($K3176=1,L3176-M3176,"")</f>
        <v/>
      </c>
      <c r="O3176" s="34" t="n">
        <v>0.0002462</v>
      </c>
      <c r="P3176" s="34">
        <f>IF($J3176=1,LN(1+O3176),"")</f>
        <v/>
      </c>
      <c r="Q3176" s="34">
        <f>IF($J3176=1,LN(R3177/R3176),"")</f>
        <v/>
      </c>
      <c r="R3176" s="32" t="n">
        <v>3.7316</v>
      </c>
      <c r="S3176" s="35" t="n">
        <v>6.418</v>
      </c>
      <c r="T3176" s="18" t="n">
        <v>96509.89</v>
      </c>
      <c r="U3176" s="18" t="n"/>
      <c r="V3176" s="18" t="n"/>
      <c r="W3176" s="18" t="n"/>
      <c r="X3176" s="35" t="n"/>
      <c r="Y3176" s="35" t="n">
        <v>6.418</v>
      </c>
    </row>
    <row r="3177">
      <c r="A3177" s="25" t="n">
        <v>43515</v>
      </c>
      <c r="B3177" s="18" t="n">
        <v>97659.16</v>
      </c>
      <c r="C3177" s="31" t="n"/>
      <c r="D3177" s="32" t="n"/>
      <c r="E3177" s="33" t="n">
        <v>-1.1189</v>
      </c>
      <c r="F3177" t="inlineStr">
        <is>
          <t>Up</t>
        </is>
      </c>
      <c r="G3177" t="inlineStr">
        <is>
          <t>Down</t>
        </is>
      </c>
      <c r="H3177" t="inlineStr">
        <is>
          <t>EU_JD</t>
        </is>
      </c>
      <c r="I3177" t="inlineStr">
        <is>
          <t>2019-02</t>
        </is>
      </c>
      <c r="J3177" t="n">
        <v>1</v>
      </c>
      <c r="K3177" t="n">
        <v>1</v>
      </c>
      <c r="L3177" s="34">
        <f>IF($J3177=1,LN(B3178/B3177),"")</f>
        <v/>
      </c>
      <c r="M3177" s="34">
        <f>IF($K3177=1,INDEX(Mensal!$D$2:$D$245,MATCH($I3177,Mensal!$A$2:$A$245,0)),"")</f>
        <v/>
      </c>
      <c r="N3177" s="34">
        <f>IF($K3177=1,L3177-M3177,"")</f>
        <v/>
      </c>
      <c r="O3177" s="34" t="n">
        <v>0.0002462</v>
      </c>
      <c r="P3177" s="34">
        <f>IF($J3177=1,LN(1+O3177),"")</f>
        <v/>
      </c>
      <c r="Q3177" s="34">
        <f>IF($J3177=1,LN(R3178/R3177),"")</f>
        <v/>
      </c>
      <c r="R3177" s="32" t="n">
        <v>3.7206</v>
      </c>
      <c r="S3177" s="35" t="n">
        <v>6.414</v>
      </c>
      <c r="T3177" s="18" t="n">
        <v>97659.16</v>
      </c>
      <c r="U3177" s="18" t="n"/>
      <c r="V3177" s="18" t="n"/>
      <c r="W3177" s="18" t="n"/>
      <c r="X3177" s="35" t="n"/>
      <c r="Y3177" s="35" t="n">
        <v>6.414</v>
      </c>
    </row>
    <row r="3178">
      <c r="A3178" s="25" t="n">
        <v>43516</v>
      </c>
      <c r="B3178" s="18" t="n">
        <v>96544.82000000001</v>
      </c>
      <c r="C3178" s="31" t="n"/>
      <c r="D3178" s="32" t="n"/>
      <c r="E3178" s="33" t="n">
        <v>-1.195</v>
      </c>
      <c r="F3178" t="inlineStr">
        <is>
          <t>Up</t>
        </is>
      </c>
      <c r="G3178" t="inlineStr">
        <is>
          <t>Down</t>
        </is>
      </c>
      <c r="H3178" t="inlineStr">
        <is>
          <t>EU_JD</t>
        </is>
      </c>
      <c r="I3178" t="inlineStr">
        <is>
          <t>2019-02</t>
        </is>
      </c>
      <c r="J3178" t="n">
        <v>1</v>
      </c>
      <c r="K3178" t="n">
        <v>1</v>
      </c>
      <c r="L3178" s="34">
        <f>IF($J3178=1,LN(B3179/B3178),"")</f>
        <v/>
      </c>
      <c r="M3178" s="34">
        <f>IF($K3178=1,INDEX(Mensal!$D$2:$D$245,MATCH($I3178,Mensal!$A$2:$A$245,0)),"")</f>
        <v/>
      </c>
      <c r="N3178" s="34">
        <f>IF($K3178=1,L3178-M3178,"")</f>
        <v/>
      </c>
      <c r="O3178" s="34" t="n">
        <v>0.0002462</v>
      </c>
      <c r="P3178" s="34">
        <f>IF($J3178=1,LN(1+O3178),"")</f>
        <v/>
      </c>
      <c r="Q3178" s="34">
        <f>IF($J3178=1,LN(R3179/R3178),"")</f>
        <v/>
      </c>
      <c r="R3178" s="32" t="n">
        <v>3.71</v>
      </c>
      <c r="S3178" s="35" t="n">
        <v>6.454</v>
      </c>
      <c r="T3178" s="18" t="n">
        <v>96544.82000000001</v>
      </c>
      <c r="U3178" s="18" t="n"/>
      <c r="V3178" s="18" t="n"/>
      <c r="W3178" s="18" t="n"/>
      <c r="X3178" s="35" t="n"/>
      <c r="Y3178" s="35" t="n">
        <v>6.454</v>
      </c>
    </row>
    <row r="3179">
      <c r="A3179" s="25" t="n">
        <v>43517</v>
      </c>
      <c r="B3179" s="18" t="n">
        <v>96932.28</v>
      </c>
      <c r="C3179" s="31" t="n"/>
      <c r="D3179" s="32" t="n"/>
      <c r="E3179" s="33" t="n">
        <v>-1.268</v>
      </c>
      <c r="F3179" t="inlineStr">
        <is>
          <t>Up</t>
        </is>
      </c>
      <c r="G3179" t="inlineStr">
        <is>
          <t>Down</t>
        </is>
      </c>
      <c r="H3179" t="inlineStr">
        <is>
          <t>EU_JD</t>
        </is>
      </c>
      <c r="I3179" t="inlineStr">
        <is>
          <t>2019-02</t>
        </is>
      </c>
      <c r="J3179" t="n">
        <v>1</v>
      </c>
      <c r="K3179" t="n">
        <v>1</v>
      </c>
      <c r="L3179" s="34">
        <f>IF($J3179=1,LN(B3180/B3179),"")</f>
        <v/>
      </c>
      <c r="M3179" s="34">
        <f>IF($K3179=1,INDEX(Mensal!$D$2:$D$245,MATCH($I3179,Mensal!$A$2:$A$245,0)),"")</f>
        <v/>
      </c>
      <c r="N3179" s="34">
        <f>IF($K3179=1,L3179-M3179,"")</f>
        <v/>
      </c>
      <c r="O3179" s="34" t="n">
        <v>0.0002462</v>
      </c>
      <c r="P3179" s="34">
        <f>IF($J3179=1,LN(1+O3179),"")</f>
        <v/>
      </c>
      <c r="Q3179" s="34">
        <f>IF($J3179=1,LN(R3180/R3179),"")</f>
        <v/>
      </c>
      <c r="R3179" s="32" t="n">
        <v>3.7595</v>
      </c>
      <c r="S3179" s="35" t="n">
        <v>6.472</v>
      </c>
      <c r="T3179" s="18" t="n">
        <v>96932.28</v>
      </c>
      <c r="U3179" s="18" t="n"/>
      <c r="V3179" s="18" t="n"/>
      <c r="W3179" s="18" t="n"/>
      <c r="X3179" s="35" t="n"/>
      <c r="Y3179" s="35" t="n">
        <v>6.472</v>
      </c>
    </row>
    <row r="3180">
      <c r="A3180" s="25" t="n">
        <v>43518</v>
      </c>
      <c r="B3180" s="18" t="n">
        <v>97885.60000000001</v>
      </c>
      <c r="C3180" s="31" t="n"/>
      <c r="D3180" s="32" t="n"/>
      <c r="E3180" s="33" t="n">
        <v>-1.33</v>
      </c>
      <c r="F3180" t="inlineStr">
        <is>
          <t>Up</t>
        </is>
      </c>
      <c r="G3180" t="inlineStr">
        <is>
          <t>Down</t>
        </is>
      </c>
      <c r="H3180" t="inlineStr">
        <is>
          <t>EU_JD</t>
        </is>
      </c>
      <c r="I3180" t="inlineStr">
        <is>
          <t>2019-02</t>
        </is>
      </c>
      <c r="J3180" t="n">
        <v>1</v>
      </c>
      <c r="K3180" t="n">
        <v>1</v>
      </c>
      <c r="L3180" s="34">
        <f>IF($J3180=1,LN(B3181/B3180),"")</f>
        <v/>
      </c>
      <c r="M3180" s="34">
        <f>IF($K3180=1,INDEX(Mensal!$D$2:$D$245,MATCH($I3180,Mensal!$A$2:$A$245,0)),"")</f>
        <v/>
      </c>
      <c r="N3180" s="34">
        <f>IF($K3180=1,L3180-M3180,"")</f>
        <v/>
      </c>
      <c r="O3180" s="34" t="n">
        <v>0.0002462</v>
      </c>
      <c r="P3180" s="34">
        <f>IF($J3180=1,LN(1+O3180),"")</f>
        <v/>
      </c>
      <c r="Q3180" s="34">
        <f>IF($J3180=1,LN(R3181/R3180),"")</f>
        <v/>
      </c>
      <c r="R3180" s="32" t="n">
        <v>3.743</v>
      </c>
      <c r="S3180" s="35" t="n">
        <v>6.476</v>
      </c>
      <c r="T3180" s="18" t="n">
        <v>97885.60000000001</v>
      </c>
      <c r="U3180" s="18" t="n"/>
      <c r="V3180" s="18" t="n"/>
      <c r="W3180" s="18" t="n"/>
      <c r="X3180" s="35" t="n"/>
      <c r="Y3180" s="35" t="n">
        <v>6.476</v>
      </c>
    </row>
    <row r="3181">
      <c r="A3181" s="25" t="n">
        <v>43521</v>
      </c>
      <c r="B3181" s="18" t="n">
        <v>97239.89999999999</v>
      </c>
      <c r="C3181" s="31" t="n"/>
      <c r="D3181" s="32" t="n"/>
      <c r="E3181" s="33" t="n">
        <v>-1.3124</v>
      </c>
      <c r="F3181" t="inlineStr">
        <is>
          <t>Up</t>
        </is>
      </c>
      <c r="G3181" t="inlineStr">
        <is>
          <t>Down</t>
        </is>
      </c>
      <c r="H3181" t="inlineStr">
        <is>
          <t>EU_JD</t>
        </is>
      </c>
      <c r="I3181" t="inlineStr">
        <is>
          <t>2019-02</t>
        </is>
      </c>
      <c r="J3181" t="n">
        <v>1</v>
      </c>
      <c r="K3181" t="n">
        <v>1</v>
      </c>
      <c r="L3181" s="34">
        <f>IF($J3181=1,LN(B3182/B3181),"")</f>
        <v/>
      </c>
      <c r="M3181" s="34">
        <f>IF($K3181=1,INDEX(Mensal!$D$2:$D$245,MATCH($I3181,Mensal!$A$2:$A$245,0)),"")</f>
        <v/>
      </c>
      <c r="N3181" s="34">
        <f>IF($K3181=1,L3181-M3181,"")</f>
        <v/>
      </c>
      <c r="O3181" s="34" t="n">
        <v>0.0002462</v>
      </c>
      <c r="P3181" s="34">
        <f>IF($J3181=1,LN(1+O3181),"")</f>
        <v/>
      </c>
      <c r="Q3181" s="34">
        <f>IF($J3181=1,LN(R3182/R3181),"")</f>
        <v/>
      </c>
      <c r="R3181" s="32" t="n">
        <v>3.7285</v>
      </c>
      <c r="S3181" s="35" t="n">
        <v>6.508</v>
      </c>
      <c r="T3181" s="18" t="n">
        <v>97239.89999999999</v>
      </c>
      <c r="U3181" s="18" t="n"/>
      <c r="V3181" s="18" t="n"/>
      <c r="W3181" s="18" t="n"/>
      <c r="X3181" s="35" t="n"/>
      <c r="Y3181" s="35" t="n">
        <v>6.508</v>
      </c>
    </row>
    <row r="3182">
      <c r="A3182" s="25" t="n">
        <v>43522</v>
      </c>
      <c r="B3182" s="18" t="n">
        <v>97602.5</v>
      </c>
      <c r="C3182" s="31" t="n"/>
      <c r="D3182" s="32" t="n"/>
      <c r="E3182" s="33" t="n">
        <v>-1.2911</v>
      </c>
      <c r="F3182" t="inlineStr">
        <is>
          <t>Up</t>
        </is>
      </c>
      <c r="G3182" t="inlineStr">
        <is>
          <t>Down</t>
        </is>
      </c>
      <c r="H3182" t="inlineStr">
        <is>
          <t>EU_JD</t>
        </is>
      </c>
      <c r="I3182" t="inlineStr">
        <is>
          <t>2019-02</t>
        </is>
      </c>
      <c r="J3182" t="n">
        <v>1</v>
      </c>
      <c r="K3182" t="n">
        <v>1</v>
      </c>
      <c r="L3182" s="34">
        <f>IF($J3182=1,LN(B3183/B3182),"")</f>
        <v/>
      </c>
      <c r="M3182" s="34">
        <f>IF($K3182=1,INDEX(Mensal!$D$2:$D$245,MATCH($I3182,Mensal!$A$2:$A$245,0)),"")</f>
        <v/>
      </c>
      <c r="N3182" s="34">
        <f>IF($K3182=1,L3182-M3182,"")</f>
        <v/>
      </c>
      <c r="O3182" s="34" t="n">
        <v>0.0002462</v>
      </c>
      <c r="P3182" s="34">
        <f>IF($J3182=1,LN(1+O3182),"")</f>
        <v/>
      </c>
      <c r="Q3182" s="34">
        <f>IF($J3182=1,LN(R3183/R3182),"")</f>
        <v/>
      </c>
      <c r="R3182" s="32" t="n">
        <v>3.7595</v>
      </c>
      <c r="S3182" s="35" t="n">
        <v>6.53</v>
      </c>
      <c r="T3182" s="18" t="n">
        <v>97602.5</v>
      </c>
      <c r="U3182" s="18" t="n"/>
      <c r="V3182" s="18" t="n"/>
      <c r="W3182" s="18" t="n"/>
      <c r="X3182" s="35" t="n"/>
      <c r="Y3182" s="35" t="n">
        <v>6.53</v>
      </c>
    </row>
    <row r="3183">
      <c r="A3183" s="25" t="n">
        <v>43523</v>
      </c>
      <c r="B3183" s="18" t="n">
        <v>97307.32000000001</v>
      </c>
      <c r="C3183" s="31" t="n"/>
      <c r="D3183" s="32" t="n"/>
      <c r="E3183" s="33" t="n">
        <v>-1.2745</v>
      </c>
      <c r="F3183" t="inlineStr">
        <is>
          <t>Up</t>
        </is>
      </c>
      <c r="G3183" t="inlineStr">
        <is>
          <t>Down</t>
        </is>
      </c>
      <c r="H3183" t="inlineStr">
        <is>
          <t>EU_JD</t>
        </is>
      </c>
      <c r="I3183" t="inlineStr">
        <is>
          <t>2019-02</t>
        </is>
      </c>
      <c r="J3183" t="n">
        <v>1</v>
      </c>
      <c r="K3183" t="n">
        <v>1</v>
      </c>
      <c r="L3183" s="34">
        <f>IF($J3183=1,LN(B3184/B3183),"")</f>
        <v/>
      </c>
      <c r="M3183" s="34">
        <f>IF($K3183=1,INDEX(Mensal!$D$2:$D$245,MATCH($I3183,Mensal!$A$2:$A$245,0)),"")</f>
        <v/>
      </c>
      <c r="N3183" s="34">
        <f>IF($K3183=1,L3183-M3183,"")</f>
        <v/>
      </c>
      <c r="O3183" s="34" t="n">
        <v>0.0002462</v>
      </c>
      <c r="P3183" s="34">
        <f>IF($J3183=1,LN(1+O3183),"")</f>
        <v/>
      </c>
      <c r="Q3183" s="34">
        <f>IF($J3183=1,LN(R3184/R3183),"")</f>
        <v/>
      </c>
      <c r="R3183" s="32" t="n">
        <v>3.7351</v>
      </c>
      <c r="S3183" s="35" t="n">
        <v>6.502</v>
      </c>
      <c r="T3183" s="18" t="n">
        <v>97307.32000000001</v>
      </c>
      <c r="U3183" s="18" t="n"/>
      <c r="V3183" s="18" t="n"/>
      <c r="W3183" s="18" t="n"/>
      <c r="X3183" s="35" t="n"/>
      <c r="Y3183" s="35" t="n">
        <v>6.502</v>
      </c>
    </row>
    <row r="3184">
      <c r="A3184" s="25" t="n">
        <v>43524</v>
      </c>
      <c r="B3184" s="18" t="n">
        <v>95584.35000000001</v>
      </c>
      <c r="C3184" s="31" t="n"/>
      <c r="D3184" s="32" t="n"/>
      <c r="E3184" s="33" t="n">
        <v>-1.2532</v>
      </c>
      <c r="F3184" t="inlineStr">
        <is>
          <t>Up</t>
        </is>
      </c>
      <c r="G3184" t="inlineStr">
        <is>
          <t>Down</t>
        </is>
      </c>
      <c r="H3184" t="inlineStr">
        <is>
          <t>EU_JD</t>
        </is>
      </c>
      <c r="I3184" t="inlineStr">
        <is>
          <t>2019-02</t>
        </is>
      </c>
      <c r="J3184" t="n">
        <v>1</v>
      </c>
      <c r="K3184" t="n">
        <v>1</v>
      </c>
      <c r="L3184" s="34">
        <f>IF($J3184=1,LN(B3185/B3184),"")</f>
        <v/>
      </c>
      <c r="M3184" s="34">
        <f>IF($K3184=1,INDEX(Mensal!$D$2:$D$245,MATCH($I3184,Mensal!$A$2:$A$245,0)),"")</f>
        <v/>
      </c>
      <c r="N3184" s="34">
        <f>IF($K3184=1,L3184-M3184,"")</f>
        <v/>
      </c>
      <c r="O3184" s="34" t="n">
        <v>0.0002462</v>
      </c>
      <c r="P3184" s="34">
        <f>IF($J3184=1,LN(1+O3184),"")</f>
        <v/>
      </c>
      <c r="Q3184" s="34">
        <f>IF($J3184=1,LN(R3185/R3184),"")</f>
        <v/>
      </c>
      <c r="R3184" s="32" t="n">
        <v>3.7385</v>
      </c>
      <c r="S3184" s="35" t="n">
        <v>6.541</v>
      </c>
      <c r="T3184" s="18" t="n">
        <v>95584.35000000001</v>
      </c>
      <c r="U3184" s="18" t="n"/>
      <c r="V3184" s="18" t="n"/>
      <c r="W3184" s="18" t="n"/>
      <c r="X3184" s="35" t="n"/>
      <c r="Y3184" s="35" t="n">
        <v>6.541</v>
      </c>
    </row>
    <row r="3185">
      <c r="A3185" s="25" t="n">
        <v>43525</v>
      </c>
      <c r="B3185" s="18" t="n">
        <v>94603.75999999999</v>
      </c>
      <c r="C3185" s="31" t="n"/>
      <c r="D3185" s="32" t="n"/>
      <c r="E3185" s="33" t="n">
        <v>-1.2352</v>
      </c>
      <c r="F3185" t="inlineStr">
        <is>
          <t>Up</t>
        </is>
      </c>
      <c r="G3185" t="inlineStr">
        <is>
          <t>Down</t>
        </is>
      </c>
      <c r="H3185" t="inlineStr">
        <is>
          <t>EU_JD</t>
        </is>
      </c>
      <c r="I3185" t="inlineStr">
        <is>
          <t>2019-03</t>
        </is>
      </c>
      <c r="J3185" t="n">
        <v>1</v>
      </c>
      <c r="K3185" t="n">
        <v>1</v>
      </c>
      <c r="L3185" s="34">
        <f>IF($J3185=1,LN(B3186/B3185),"")</f>
        <v/>
      </c>
      <c r="M3185" s="34">
        <f>IF($K3185=1,INDEX(Mensal!$D$2:$D$245,MATCH($I3185,Mensal!$A$2:$A$245,0)),"")</f>
        <v/>
      </c>
      <c r="N3185" s="34">
        <f>IF($K3185=1,L3185-M3185,"")</f>
        <v/>
      </c>
      <c r="O3185" s="34" t="n">
        <v>0.0002462</v>
      </c>
      <c r="P3185" s="34">
        <f>IF($J3185=1,LN(1+O3185),"")</f>
        <v/>
      </c>
      <c r="Q3185" s="34">
        <f>IF($J3185=1,LN(R3186/R3185),"")</f>
        <v/>
      </c>
      <c r="R3185" s="32" t="n">
        <v>3.7832</v>
      </c>
      <c r="S3185" s="35" t="n">
        <v>6.54</v>
      </c>
      <c r="T3185" s="18" t="n">
        <v>94603.75999999999</v>
      </c>
      <c r="U3185" s="18" t="n"/>
      <c r="V3185" s="18" t="n"/>
      <c r="W3185" s="18" t="n"/>
      <c r="X3185" s="35" t="n"/>
      <c r="Y3185" s="35" t="n">
        <v>6.54</v>
      </c>
    </row>
    <row r="3186">
      <c r="A3186" s="25" t="n">
        <v>43530</v>
      </c>
      <c r="B3186" s="18" t="n">
        <v>94216.88</v>
      </c>
      <c r="C3186" s="31" t="n"/>
      <c r="D3186" s="32" t="n"/>
      <c r="E3186" s="33" t="n">
        <v>-1.1906</v>
      </c>
      <c r="F3186" t="inlineStr">
        <is>
          <t>Up</t>
        </is>
      </c>
      <c r="G3186" t="inlineStr">
        <is>
          <t>Down</t>
        </is>
      </c>
      <c r="H3186" t="inlineStr">
        <is>
          <t>EU_JD</t>
        </is>
      </c>
      <c r="I3186" t="inlineStr">
        <is>
          <t>2019-03</t>
        </is>
      </c>
      <c r="J3186" t="n">
        <v>1</v>
      </c>
      <c r="K3186" t="n">
        <v>1</v>
      </c>
      <c r="L3186" s="34">
        <f>IF($J3186=1,LN(B3187/B3186),"")</f>
        <v/>
      </c>
      <c r="M3186" s="34">
        <f>IF($K3186=1,INDEX(Mensal!$D$2:$D$245,MATCH($I3186,Mensal!$A$2:$A$245,0)),"")</f>
        <v/>
      </c>
      <c r="N3186" s="34">
        <f>IF($K3186=1,L3186-M3186,"")</f>
        <v/>
      </c>
      <c r="O3186" s="34" t="n">
        <v>0.0002462</v>
      </c>
      <c r="P3186" s="34">
        <f>IF($J3186=1,LN(1+O3186),"")</f>
        <v/>
      </c>
      <c r="Q3186" s="34">
        <f>IF($J3186=1,LN(R3187/R3186),"")</f>
        <v/>
      </c>
      <c r="R3186" s="32" t="n">
        <v>3.8303</v>
      </c>
      <c r="S3186" s="35" t="n">
        <v>6.565</v>
      </c>
      <c r="T3186" s="18" t="n">
        <v>94216.88</v>
      </c>
      <c r="U3186" s="18" t="n"/>
      <c r="V3186" s="18" t="n"/>
      <c r="W3186" s="18" t="n"/>
      <c r="X3186" s="35" t="n"/>
      <c r="Y3186" s="35" t="n">
        <v>6.565</v>
      </c>
    </row>
    <row r="3187">
      <c r="A3187" s="25" t="n">
        <v>43531</v>
      </c>
      <c r="B3187" s="18" t="n">
        <v>94340.17999999999</v>
      </c>
      <c r="C3187" s="31" t="n"/>
      <c r="D3187" s="32" t="n"/>
      <c r="E3187" s="33" t="n">
        <v>-1.1421</v>
      </c>
      <c r="F3187" t="inlineStr">
        <is>
          <t>Up</t>
        </is>
      </c>
      <c r="G3187" t="inlineStr">
        <is>
          <t>Down</t>
        </is>
      </c>
      <c r="H3187" t="inlineStr">
        <is>
          <t>EU_JD</t>
        </is>
      </c>
      <c r="I3187" t="inlineStr">
        <is>
          <t>2019-03</t>
        </is>
      </c>
      <c r="J3187" t="n">
        <v>1</v>
      </c>
      <c r="K3187" t="n">
        <v>1</v>
      </c>
      <c r="L3187" s="34">
        <f>IF($J3187=1,LN(B3188/B3187),"")</f>
        <v/>
      </c>
      <c r="M3187" s="34">
        <f>IF($K3187=1,INDEX(Mensal!$D$2:$D$245,MATCH($I3187,Mensal!$A$2:$A$245,0)),"")</f>
        <v/>
      </c>
      <c r="N3187" s="34">
        <f>IF($K3187=1,L3187-M3187,"")</f>
        <v/>
      </c>
      <c r="O3187" s="34" t="n">
        <v>0.0002462</v>
      </c>
      <c r="P3187" s="34">
        <f>IF($J3187=1,LN(1+O3187),"")</f>
        <v/>
      </c>
      <c r="Q3187" s="34">
        <f>IF($J3187=1,LN(R3188/R3187),"")</f>
        <v/>
      </c>
      <c r="R3187" s="32" t="n">
        <v>3.8487</v>
      </c>
      <c r="S3187" s="35" t="n">
        <v>6.557</v>
      </c>
      <c r="T3187" s="18" t="n">
        <v>94340.17999999999</v>
      </c>
      <c r="U3187" s="18" t="n"/>
      <c r="V3187" s="18" t="n"/>
      <c r="W3187" s="18" t="n"/>
      <c r="X3187" s="35" t="n"/>
      <c r="Y3187" s="35" t="n">
        <v>6.557</v>
      </c>
    </row>
    <row r="3188">
      <c r="A3188" s="25" t="n">
        <v>43532</v>
      </c>
      <c r="B3188" s="18" t="n">
        <v>95364.86</v>
      </c>
      <c r="C3188" s="31" t="n"/>
      <c r="D3188" s="32" t="n"/>
      <c r="E3188" s="33" t="n">
        <v>-1.0985</v>
      </c>
      <c r="F3188" t="inlineStr">
        <is>
          <t>Up</t>
        </is>
      </c>
      <c r="G3188" t="inlineStr">
        <is>
          <t>Down</t>
        </is>
      </c>
      <c r="H3188" t="inlineStr">
        <is>
          <t>EU_JD</t>
        </is>
      </c>
      <c r="I3188" t="inlineStr">
        <is>
          <t>2019-03</t>
        </is>
      </c>
      <c r="J3188" t="n">
        <v>1</v>
      </c>
      <c r="K3188" t="n">
        <v>1</v>
      </c>
      <c r="L3188" s="34">
        <f>IF($J3188=1,LN(B3189/B3188),"")</f>
        <v/>
      </c>
      <c r="M3188" s="34">
        <f>IF($K3188=1,INDEX(Mensal!$D$2:$D$245,MATCH($I3188,Mensal!$A$2:$A$245,0)),"")</f>
        <v/>
      </c>
      <c r="N3188" s="34">
        <f>IF($K3188=1,L3188-M3188,"")</f>
        <v/>
      </c>
      <c r="O3188" s="34" t="n">
        <v>0.0002462</v>
      </c>
      <c r="P3188" s="34">
        <f>IF($J3188=1,LN(1+O3188),"")</f>
        <v/>
      </c>
      <c r="Q3188" s="34">
        <f>IF($J3188=1,LN(R3189/R3188),"")</f>
        <v/>
      </c>
      <c r="R3188" s="32" t="n">
        <v>3.8678</v>
      </c>
      <c r="S3188" s="35" t="n">
        <v>6.52</v>
      </c>
      <c r="T3188" s="18" t="n">
        <v>95364.86</v>
      </c>
      <c r="U3188" s="18" t="n"/>
      <c r="V3188" s="18" t="n"/>
      <c r="W3188" s="18" t="n"/>
      <c r="X3188" s="35" t="n"/>
      <c r="Y3188" s="35" t="n">
        <v>6.52</v>
      </c>
    </row>
    <row r="3189">
      <c r="A3189" s="25" t="n">
        <v>43535</v>
      </c>
      <c r="B3189" s="18" t="n">
        <v>98026.62</v>
      </c>
      <c r="C3189" s="31" t="n"/>
      <c r="D3189" s="32" t="n"/>
      <c r="E3189" s="33" t="n">
        <v>-1.0448</v>
      </c>
      <c r="F3189" t="inlineStr">
        <is>
          <t>Up</t>
        </is>
      </c>
      <c r="G3189" t="inlineStr">
        <is>
          <t>Down</t>
        </is>
      </c>
      <c r="H3189" t="inlineStr">
        <is>
          <t>EU_JD</t>
        </is>
      </c>
      <c r="I3189" t="inlineStr">
        <is>
          <t>2019-03</t>
        </is>
      </c>
      <c r="J3189" t="n">
        <v>1</v>
      </c>
      <c r="K3189" t="n">
        <v>1</v>
      </c>
      <c r="L3189" s="34">
        <f>IF($J3189=1,LN(B3190/B3189),"")</f>
        <v/>
      </c>
      <c r="M3189" s="34">
        <f>IF($K3189=1,INDEX(Mensal!$D$2:$D$245,MATCH($I3189,Mensal!$A$2:$A$245,0)),"")</f>
        <v/>
      </c>
      <c r="N3189" s="34">
        <f>IF($K3189=1,L3189-M3189,"")</f>
        <v/>
      </c>
      <c r="O3189" s="34" t="n">
        <v>0.0002462</v>
      </c>
      <c r="P3189" s="34">
        <f>IF($J3189=1,LN(1+O3189),"")</f>
        <v/>
      </c>
      <c r="Q3189" s="34">
        <f>IF($J3189=1,LN(R3190/R3189),"")</f>
        <v/>
      </c>
      <c r="R3189" s="32" t="n">
        <v>3.8461</v>
      </c>
      <c r="S3189" s="35" t="n">
        <v>6.5</v>
      </c>
      <c r="T3189" s="18" t="n">
        <v>98026.62</v>
      </c>
      <c r="U3189" s="18" t="n"/>
      <c r="V3189" s="18" t="n"/>
      <c r="W3189" s="18" t="n"/>
      <c r="X3189" s="35" t="n"/>
      <c r="Y3189" s="35" t="n">
        <v>6.5</v>
      </c>
    </row>
    <row r="3190">
      <c r="A3190" s="25" t="n">
        <v>43536</v>
      </c>
      <c r="B3190" s="18" t="n">
        <v>97828.03999999999</v>
      </c>
      <c r="C3190" s="31" t="n"/>
      <c r="D3190" s="32" t="n"/>
      <c r="E3190" s="33" t="n">
        <v>-0.9882</v>
      </c>
      <c r="F3190" t="inlineStr">
        <is>
          <t>Up</t>
        </is>
      </c>
      <c r="G3190" t="inlineStr">
        <is>
          <t>Down</t>
        </is>
      </c>
      <c r="H3190" t="inlineStr">
        <is>
          <t>EU_JD</t>
        </is>
      </c>
      <c r="I3190" t="inlineStr">
        <is>
          <t>2019-03</t>
        </is>
      </c>
      <c r="J3190" t="n">
        <v>1</v>
      </c>
      <c r="K3190" t="n">
        <v>1</v>
      </c>
      <c r="L3190" s="34">
        <f>IF($J3190=1,LN(B3191/B3190),"")</f>
        <v/>
      </c>
      <c r="M3190" s="34">
        <f>IF($K3190=1,INDEX(Mensal!$D$2:$D$245,MATCH($I3190,Mensal!$A$2:$A$245,0)),"")</f>
        <v/>
      </c>
      <c r="N3190" s="34">
        <f>IF($K3190=1,L3190-M3190,"")</f>
        <v/>
      </c>
      <c r="O3190" s="34" t="n">
        <v>0.0002462</v>
      </c>
      <c r="P3190" s="34">
        <f>IF($J3190=1,LN(1+O3190),"")</f>
        <v/>
      </c>
      <c r="Q3190" s="34">
        <f>IF($J3190=1,LN(R3191/R3190),"")</f>
        <v/>
      </c>
      <c r="R3190" s="32" t="n">
        <v>3.8129</v>
      </c>
      <c r="S3190" s="35" t="n">
        <v>6.472</v>
      </c>
      <c r="T3190" s="18" t="n">
        <v>97828.03999999999</v>
      </c>
      <c r="U3190" s="18" t="n"/>
      <c r="V3190" s="18" t="n"/>
      <c r="W3190" s="18" t="n"/>
      <c r="X3190" s="35" t="n"/>
      <c r="Y3190" s="35" t="n">
        <v>6.472</v>
      </c>
    </row>
    <row r="3191">
      <c r="A3191" s="25" t="n">
        <v>43537</v>
      </c>
      <c r="B3191" s="18" t="n">
        <v>98903.89</v>
      </c>
      <c r="C3191" s="31" t="n"/>
      <c r="D3191" s="32" t="n"/>
      <c r="E3191" s="33" t="n">
        <v>-0.9361</v>
      </c>
      <c r="F3191" t="inlineStr">
        <is>
          <t>Up</t>
        </is>
      </c>
      <c r="G3191" t="inlineStr">
        <is>
          <t>Down</t>
        </is>
      </c>
      <c r="H3191" t="inlineStr">
        <is>
          <t>EU_JD</t>
        </is>
      </c>
      <c r="I3191" t="inlineStr">
        <is>
          <t>2019-03</t>
        </is>
      </c>
      <c r="J3191" t="n">
        <v>1</v>
      </c>
      <c r="K3191" t="n">
        <v>1</v>
      </c>
      <c r="L3191" s="34">
        <f>IF($J3191=1,LN(B3192/B3191),"")</f>
        <v/>
      </c>
      <c r="M3191" s="34">
        <f>IF($K3191=1,INDEX(Mensal!$D$2:$D$245,MATCH($I3191,Mensal!$A$2:$A$245,0)),"")</f>
        <v/>
      </c>
      <c r="N3191" s="34">
        <f>IF($K3191=1,L3191-M3191,"")</f>
        <v/>
      </c>
      <c r="O3191" s="34" t="n">
        <v>0.0002462</v>
      </c>
      <c r="P3191" s="34">
        <f>IF($J3191=1,LN(1+O3191),"")</f>
        <v/>
      </c>
      <c r="Q3191" s="34">
        <f>IF($J3191=1,LN(R3192/R3191),"")</f>
        <v/>
      </c>
      <c r="R3191" s="32" t="n">
        <v>3.8265</v>
      </c>
      <c r="S3191" s="35" t="n">
        <v>6.392</v>
      </c>
      <c r="T3191" s="18" t="n">
        <v>98903.89</v>
      </c>
      <c r="U3191" s="18" t="n"/>
      <c r="V3191" s="18" t="n"/>
      <c r="W3191" s="18" t="n"/>
      <c r="X3191" s="35" t="n"/>
      <c r="Y3191" s="35" t="n">
        <v>6.392</v>
      </c>
    </row>
    <row r="3192">
      <c r="A3192" s="25" t="n">
        <v>43538</v>
      </c>
      <c r="B3192" s="18" t="n">
        <v>98604.67</v>
      </c>
      <c r="C3192" s="31" t="n"/>
      <c r="D3192" s="32" t="n"/>
      <c r="E3192" s="33" t="n">
        <v>-0.8816000000000001</v>
      </c>
      <c r="F3192" t="inlineStr">
        <is>
          <t>Up</t>
        </is>
      </c>
      <c r="G3192" t="inlineStr">
        <is>
          <t>Down</t>
        </is>
      </c>
      <c r="H3192" t="inlineStr">
        <is>
          <t>EU_JD</t>
        </is>
      </c>
      <c r="I3192" t="inlineStr">
        <is>
          <t>2019-03</t>
        </is>
      </c>
      <c r="J3192" t="n">
        <v>1</v>
      </c>
      <c r="K3192" t="n">
        <v>1</v>
      </c>
      <c r="L3192" s="34">
        <f>IF($J3192=1,LN(B3193/B3192),"")</f>
        <v/>
      </c>
      <c r="M3192" s="34">
        <f>IF($K3192=1,INDEX(Mensal!$D$2:$D$245,MATCH($I3192,Mensal!$A$2:$A$245,0)),"")</f>
        <v/>
      </c>
      <c r="N3192" s="34">
        <f>IF($K3192=1,L3192-M3192,"")</f>
        <v/>
      </c>
      <c r="O3192" s="34" t="n">
        <v>0.0002462</v>
      </c>
      <c r="P3192" s="34">
        <f>IF($J3192=1,LN(1+O3192),"")</f>
        <v/>
      </c>
      <c r="Q3192" s="34">
        <f>IF($J3192=1,LN(R3193/R3192),"")</f>
        <v/>
      </c>
      <c r="R3192" s="32" t="n">
        <v>3.8327</v>
      </c>
      <c r="S3192" s="35" t="n">
        <v>6.437</v>
      </c>
      <c r="T3192" s="18" t="n">
        <v>98604.67</v>
      </c>
      <c r="U3192" s="18" t="n"/>
      <c r="V3192" s="18" t="n"/>
      <c r="W3192" s="18" t="n"/>
      <c r="X3192" s="35" t="n"/>
      <c r="Y3192" s="35" t="n">
        <v>6.437</v>
      </c>
    </row>
    <row r="3193">
      <c r="A3193" s="25" t="n">
        <v>43539</v>
      </c>
      <c r="B3193" s="18" t="n">
        <v>99136.74000000001</v>
      </c>
      <c r="C3193" s="31" t="n"/>
      <c r="D3193" s="32" t="n"/>
      <c r="E3193" s="33" t="n">
        <v>-0.8165</v>
      </c>
      <c r="F3193" t="inlineStr">
        <is>
          <t>Up</t>
        </is>
      </c>
      <c r="G3193" t="inlineStr">
        <is>
          <t>Down</t>
        </is>
      </c>
      <c r="H3193" t="inlineStr">
        <is>
          <t>EU_JD</t>
        </is>
      </c>
      <c r="I3193" t="inlineStr">
        <is>
          <t>2019-03</t>
        </is>
      </c>
      <c r="J3193" t="n">
        <v>1</v>
      </c>
      <c r="K3193" t="n">
        <v>1</v>
      </c>
      <c r="L3193" s="34">
        <f>IF($J3193=1,LN(B3194/B3193),"")</f>
        <v/>
      </c>
      <c r="M3193" s="34">
        <f>IF($K3193=1,INDEX(Mensal!$D$2:$D$245,MATCH($I3193,Mensal!$A$2:$A$245,0)),"")</f>
        <v/>
      </c>
      <c r="N3193" s="34">
        <f>IF($K3193=1,L3193-M3193,"")</f>
        <v/>
      </c>
      <c r="O3193" s="34" t="n">
        <v>0.0002462</v>
      </c>
      <c r="P3193" s="34">
        <f>IF($J3193=1,LN(1+O3193),"")</f>
        <v/>
      </c>
      <c r="Q3193" s="34">
        <f>IF($J3193=1,LN(R3194/R3193),"")</f>
        <v/>
      </c>
      <c r="R3193" s="32" t="n">
        <v>3.8344</v>
      </c>
      <c r="S3193" s="35" t="n">
        <v>6.427</v>
      </c>
      <c r="T3193" s="18" t="n">
        <v>99136.74000000001</v>
      </c>
      <c r="U3193" s="18" t="n"/>
      <c r="V3193" s="18" t="n"/>
      <c r="W3193" s="18" t="n"/>
      <c r="X3193" s="35" t="n"/>
      <c r="Y3193" s="35" t="n">
        <v>6.427</v>
      </c>
    </row>
    <row r="3194">
      <c r="A3194" s="25" t="n">
        <v>43542</v>
      </c>
      <c r="B3194" s="18" t="n">
        <v>99993.92999999999</v>
      </c>
      <c r="C3194" s="31" t="n"/>
      <c r="D3194" s="32" t="n"/>
      <c r="E3194" s="33" t="n">
        <v>-0.7393</v>
      </c>
      <c r="F3194" t="inlineStr">
        <is>
          <t>Up</t>
        </is>
      </c>
      <c r="G3194" t="inlineStr">
        <is>
          <t>Down</t>
        </is>
      </c>
      <c r="H3194" t="inlineStr">
        <is>
          <t>EU_JD</t>
        </is>
      </c>
      <c r="I3194" t="inlineStr">
        <is>
          <t>2019-03</t>
        </is>
      </c>
      <c r="J3194" t="n">
        <v>1</v>
      </c>
      <c r="K3194" t="n">
        <v>1</v>
      </c>
      <c r="L3194" s="34">
        <f>IF($J3194=1,LN(B3195/B3194),"")</f>
        <v/>
      </c>
      <c r="M3194" s="34">
        <f>IF($K3194=1,INDEX(Mensal!$D$2:$D$245,MATCH($I3194,Mensal!$A$2:$A$245,0)),"")</f>
        <v/>
      </c>
      <c r="N3194" s="34">
        <f>IF($K3194=1,L3194-M3194,"")</f>
        <v/>
      </c>
      <c r="O3194" s="34" t="n">
        <v>0.0002462</v>
      </c>
      <c r="P3194" s="34">
        <f>IF($J3194=1,LN(1+O3194),"")</f>
        <v/>
      </c>
      <c r="Q3194" s="34">
        <f>IF($J3194=1,LN(R3195/R3194),"")</f>
        <v/>
      </c>
      <c r="R3194" s="32" t="n">
        <v>3.8111</v>
      </c>
      <c r="S3194" s="35" t="n">
        <v>6.403</v>
      </c>
      <c r="T3194" s="18" t="n">
        <v>99993.92999999999</v>
      </c>
      <c r="U3194" s="18" t="n"/>
      <c r="V3194" s="18" t="n"/>
      <c r="W3194" s="18" t="n"/>
      <c r="X3194" s="35" t="n"/>
      <c r="Y3194" s="35" t="n">
        <v>6.403</v>
      </c>
    </row>
    <row r="3195">
      <c r="A3195" s="25" t="n">
        <v>43543</v>
      </c>
      <c r="B3195" s="18" t="n">
        <v>99588.38</v>
      </c>
      <c r="C3195" s="31" t="n"/>
      <c r="D3195" s="32" t="n"/>
      <c r="E3195" s="33" t="n">
        <v>-0.6566</v>
      </c>
      <c r="F3195" t="inlineStr">
        <is>
          <t>Up</t>
        </is>
      </c>
      <c r="G3195" t="inlineStr">
        <is>
          <t>Down</t>
        </is>
      </c>
      <c r="H3195" t="inlineStr">
        <is>
          <t>EU_JD</t>
        </is>
      </c>
      <c r="I3195" t="inlineStr">
        <is>
          <t>2019-03</t>
        </is>
      </c>
      <c r="J3195" t="n">
        <v>1</v>
      </c>
      <c r="K3195" t="n">
        <v>1</v>
      </c>
      <c r="L3195" s="34">
        <f>IF($J3195=1,LN(B3196/B3195),"")</f>
        <v/>
      </c>
      <c r="M3195" s="34">
        <f>IF($K3195=1,INDEX(Mensal!$D$2:$D$245,MATCH($I3195,Mensal!$A$2:$A$245,0)),"")</f>
        <v/>
      </c>
      <c r="N3195" s="34">
        <f>IF($K3195=1,L3195-M3195,"")</f>
        <v/>
      </c>
      <c r="O3195" s="34" t="n">
        <v>0.0002462</v>
      </c>
      <c r="P3195" s="34">
        <f>IF($J3195=1,LN(1+O3195),"")</f>
        <v/>
      </c>
      <c r="Q3195" s="34">
        <f>IF($J3195=1,LN(R3196/R3195),"")</f>
        <v/>
      </c>
      <c r="R3195" s="32" t="n">
        <v>3.7762</v>
      </c>
      <c r="S3195" s="35" t="n">
        <v>6.405</v>
      </c>
      <c r="T3195" s="18" t="n">
        <v>99588.38</v>
      </c>
      <c r="U3195" s="18" t="n"/>
      <c r="V3195" s="18" t="n"/>
      <c r="W3195" s="18" t="n"/>
      <c r="X3195" s="35" t="n"/>
      <c r="Y3195" s="35" t="n">
        <v>6.405</v>
      </c>
    </row>
    <row r="3196">
      <c r="A3196" s="25" t="n">
        <v>43544</v>
      </c>
      <c r="B3196" s="18" t="n">
        <v>98041.38</v>
      </c>
      <c r="C3196" s="31" t="n"/>
      <c r="D3196" s="32" t="n"/>
      <c r="E3196" s="33" t="n">
        <v>-0.5703</v>
      </c>
      <c r="F3196" t="inlineStr">
        <is>
          <t>Up</t>
        </is>
      </c>
      <c r="G3196" t="inlineStr">
        <is>
          <t>Down</t>
        </is>
      </c>
      <c r="H3196" t="inlineStr">
        <is>
          <t>EU_JD</t>
        </is>
      </c>
      <c r="I3196" t="inlineStr">
        <is>
          <t>2019-03</t>
        </is>
      </c>
      <c r="J3196" t="n">
        <v>1</v>
      </c>
      <c r="K3196" t="n">
        <v>1</v>
      </c>
      <c r="L3196" s="34">
        <f>IF($J3196=1,LN(B3197/B3196),"")</f>
        <v/>
      </c>
      <c r="M3196" s="34">
        <f>IF($K3196=1,INDEX(Mensal!$D$2:$D$245,MATCH($I3196,Mensal!$A$2:$A$245,0)),"")</f>
        <v/>
      </c>
      <c r="N3196" s="34">
        <f>IF($K3196=1,L3196-M3196,"")</f>
        <v/>
      </c>
      <c r="O3196" s="34" t="n">
        <v>0.0002462</v>
      </c>
      <c r="P3196" s="34">
        <f>IF($J3196=1,LN(1+O3196),"")</f>
        <v/>
      </c>
      <c r="Q3196" s="34">
        <f>IF($J3196=1,LN(R3197/R3196),"")</f>
        <v/>
      </c>
      <c r="R3196" s="32" t="n">
        <v>3.7897</v>
      </c>
      <c r="S3196" s="35" t="n">
        <v>6.367</v>
      </c>
      <c r="T3196" s="18" t="n">
        <v>98041.38</v>
      </c>
      <c r="U3196" s="18" t="n"/>
      <c r="V3196" s="18" t="n"/>
      <c r="W3196" s="18" t="n"/>
      <c r="X3196" s="35" t="n"/>
      <c r="Y3196" s="35" t="n">
        <v>6.367</v>
      </c>
    </row>
    <row r="3197">
      <c r="A3197" s="25" t="n">
        <v>43545</v>
      </c>
      <c r="B3197" s="18" t="n">
        <v>96729.08</v>
      </c>
      <c r="C3197" s="31" t="n"/>
      <c r="D3197" s="32" t="n"/>
      <c r="E3197" s="33" t="n">
        <v>-0.4854</v>
      </c>
      <c r="F3197" t="inlineStr">
        <is>
          <t>Up</t>
        </is>
      </c>
      <c r="G3197" t="inlineStr">
        <is>
          <t>Down</t>
        </is>
      </c>
      <c r="H3197" t="inlineStr">
        <is>
          <t>EU_JD</t>
        </is>
      </c>
      <c r="I3197" t="inlineStr">
        <is>
          <t>2019-03</t>
        </is>
      </c>
      <c r="J3197" t="n">
        <v>1</v>
      </c>
      <c r="K3197" t="n">
        <v>1</v>
      </c>
      <c r="L3197" s="34">
        <f>IF($J3197=1,LN(B3198/B3197),"")</f>
        <v/>
      </c>
      <c r="M3197" s="34">
        <f>IF($K3197=1,INDEX(Mensal!$D$2:$D$245,MATCH($I3197,Mensal!$A$2:$A$245,0)),"")</f>
        <v/>
      </c>
      <c r="N3197" s="34">
        <f>IF($K3197=1,L3197-M3197,"")</f>
        <v/>
      </c>
      <c r="O3197" s="34" t="n">
        <v>0.0002462</v>
      </c>
      <c r="P3197" s="34">
        <f>IF($J3197=1,LN(1+O3197),"")</f>
        <v/>
      </c>
      <c r="Q3197" s="34">
        <f>IF($J3197=1,LN(R3198/R3197),"")</f>
        <v/>
      </c>
      <c r="R3197" s="32" t="n">
        <v>3.7967</v>
      </c>
      <c r="S3197" s="35" t="n">
        <v>6.4</v>
      </c>
      <c r="T3197" s="18" t="n">
        <v>96729.08</v>
      </c>
      <c r="U3197" s="18" t="n"/>
      <c r="V3197" s="18" t="n"/>
      <c r="W3197" s="18" t="n"/>
      <c r="X3197" s="35" t="n"/>
      <c r="Y3197" s="35" t="n">
        <v>6.4</v>
      </c>
    </row>
    <row r="3198">
      <c r="A3198" s="25" t="n">
        <v>43546</v>
      </c>
      <c r="B3198" s="18" t="n">
        <v>93735.16</v>
      </c>
      <c r="C3198" s="31" t="n"/>
      <c r="D3198" s="32" t="n"/>
      <c r="E3198" s="33" t="n">
        <v>-0.398</v>
      </c>
      <c r="F3198" t="inlineStr">
        <is>
          <t>Up</t>
        </is>
      </c>
      <c r="G3198" t="inlineStr">
        <is>
          <t>Down</t>
        </is>
      </c>
      <c r="H3198" t="inlineStr">
        <is>
          <t>EU_JD</t>
        </is>
      </c>
      <c r="I3198" t="inlineStr">
        <is>
          <t>2019-03</t>
        </is>
      </c>
      <c r="J3198" t="n">
        <v>1</v>
      </c>
      <c r="K3198" t="n">
        <v>1</v>
      </c>
      <c r="L3198" s="34">
        <f>IF($J3198=1,LN(B3199/B3198),"")</f>
        <v/>
      </c>
      <c r="M3198" s="34">
        <f>IF($K3198=1,INDEX(Mensal!$D$2:$D$245,MATCH($I3198,Mensal!$A$2:$A$245,0)),"")</f>
        <v/>
      </c>
      <c r="N3198" s="34">
        <f>IF($K3198=1,L3198-M3198,"")</f>
        <v/>
      </c>
      <c r="O3198" s="34" t="n">
        <v>0.0002462</v>
      </c>
      <c r="P3198" s="34">
        <f>IF($J3198=1,LN(1+O3198),"")</f>
        <v/>
      </c>
      <c r="Q3198" s="34">
        <f>IF($J3198=1,LN(R3199/R3198),"")</f>
        <v/>
      </c>
      <c r="R3198" s="32" t="n">
        <v>3.8815</v>
      </c>
      <c r="S3198" s="35" t="n">
        <v>6.537</v>
      </c>
      <c r="T3198" s="18" t="n">
        <v>93735.16</v>
      </c>
      <c r="U3198" s="18" t="n"/>
      <c r="V3198" s="18" t="n"/>
      <c r="W3198" s="18" t="n"/>
      <c r="X3198" s="35" t="n"/>
      <c r="Y3198" s="35" t="n">
        <v>6.537</v>
      </c>
    </row>
    <row r="3199">
      <c r="A3199" s="25" t="n">
        <v>43549</v>
      </c>
      <c r="B3199" s="18" t="n">
        <v>93662.00999999999</v>
      </c>
      <c r="C3199" s="31" t="n"/>
      <c r="D3199" s="32" t="n"/>
      <c r="E3199" s="33" t="n">
        <v>-0.3033</v>
      </c>
      <c r="F3199" t="inlineStr">
        <is>
          <t>Up</t>
        </is>
      </c>
      <c r="G3199" t="inlineStr">
        <is>
          <t>Down</t>
        </is>
      </c>
      <c r="H3199" t="inlineStr">
        <is>
          <t>EU_JD</t>
        </is>
      </c>
      <c r="I3199" t="inlineStr">
        <is>
          <t>2019-03</t>
        </is>
      </c>
      <c r="J3199" t="n">
        <v>1</v>
      </c>
      <c r="K3199" t="n">
        <v>1</v>
      </c>
      <c r="L3199" s="34">
        <f>IF($J3199=1,LN(B3200/B3199),"")</f>
        <v/>
      </c>
      <c r="M3199" s="34">
        <f>IF($K3199=1,INDEX(Mensal!$D$2:$D$245,MATCH($I3199,Mensal!$A$2:$A$245,0)),"")</f>
        <v/>
      </c>
      <c r="N3199" s="34">
        <f>IF($K3199=1,L3199-M3199,"")</f>
        <v/>
      </c>
      <c r="O3199" s="34" t="n">
        <v>0.0002462</v>
      </c>
      <c r="P3199" s="34">
        <f>IF($J3199=1,LN(1+O3199),"")</f>
        <v/>
      </c>
      <c r="Q3199" s="34">
        <f>IF($J3199=1,LN(R3200/R3199),"")</f>
        <v/>
      </c>
      <c r="R3199" s="32" t="n">
        <v>3.877</v>
      </c>
      <c r="S3199" s="35" t="n">
        <v>6.517</v>
      </c>
      <c r="T3199" s="18" t="n">
        <v>93662.00999999999</v>
      </c>
      <c r="U3199" s="18" t="n"/>
      <c r="V3199" s="18" t="n"/>
      <c r="W3199" s="18" t="n"/>
      <c r="X3199" s="35" t="n"/>
      <c r="Y3199" s="35" t="n">
        <v>6.517</v>
      </c>
    </row>
    <row r="3200">
      <c r="A3200" s="25" t="n">
        <v>43550</v>
      </c>
      <c r="B3200" s="18" t="n">
        <v>95306.82000000001</v>
      </c>
      <c r="C3200" s="31" t="n"/>
      <c r="D3200" s="32" t="n"/>
      <c r="E3200" s="33" t="n">
        <v>-0.2048</v>
      </c>
      <c r="F3200" t="inlineStr">
        <is>
          <t>Up</t>
        </is>
      </c>
      <c r="G3200" t="inlineStr">
        <is>
          <t>Down</t>
        </is>
      </c>
      <c r="H3200" t="inlineStr">
        <is>
          <t>EU_JD</t>
        </is>
      </c>
      <c r="I3200" t="inlineStr">
        <is>
          <t>2019-03</t>
        </is>
      </c>
      <c r="J3200" t="n">
        <v>1</v>
      </c>
      <c r="K3200" t="n">
        <v>1</v>
      </c>
      <c r="L3200" s="34">
        <f>IF($J3200=1,LN(B3201/B3200),"")</f>
        <v/>
      </c>
      <c r="M3200" s="34">
        <f>IF($K3200=1,INDEX(Mensal!$D$2:$D$245,MATCH($I3200,Mensal!$A$2:$A$245,0)),"")</f>
        <v/>
      </c>
      <c r="N3200" s="34">
        <f>IF($K3200=1,L3200-M3200,"")</f>
        <v/>
      </c>
      <c r="O3200" s="34" t="n">
        <v>0.0002462</v>
      </c>
      <c r="P3200" s="34">
        <f>IF($J3200=1,LN(1+O3200),"")</f>
        <v/>
      </c>
      <c r="Q3200" s="34">
        <f>IF($J3200=1,LN(R3201/R3200),"")</f>
        <v/>
      </c>
      <c r="R3200" s="32" t="n">
        <v>3.8646</v>
      </c>
      <c r="S3200" s="35" t="n">
        <v>6.528</v>
      </c>
      <c r="T3200" s="18" t="n">
        <v>95306.82000000001</v>
      </c>
      <c r="U3200" s="18" t="n"/>
      <c r="V3200" s="18" t="n"/>
      <c r="W3200" s="18" t="n"/>
      <c r="X3200" s="35" t="n"/>
      <c r="Y3200" s="35" t="n">
        <v>6.528</v>
      </c>
    </row>
    <row r="3201">
      <c r="A3201" s="25" t="n">
        <v>43551</v>
      </c>
      <c r="B3201" s="18" t="n">
        <v>91903.41</v>
      </c>
      <c r="C3201" s="31" t="n"/>
      <c r="D3201" s="32" t="n"/>
      <c r="E3201" s="33" t="n">
        <v>-0.1022</v>
      </c>
      <c r="F3201" t="inlineStr">
        <is>
          <t>Up</t>
        </is>
      </c>
      <c r="G3201" t="inlineStr">
        <is>
          <t>Down</t>
        </is>
      </c>
      <c r="H3201" t="inlineStr">
        <is>
          <t>EU_JD</t>
        </is>
      </c>
      <c r="I3201" t="inlineStr">
        <is>
          <t>2019-03</t>
        </is>
      </c>
      <c r="J3201" t="n">
        <v>1</v>
      </c>
      <c r="K3201" t="n">
        <v>1</v>
      </c>
      <c r="L3201" s="34">
        <f>IF($J3201=1,LN(B3202/B3201),"")</f>
        <v/>
      </c>
      <c r="M3201" s="34">
        <f>IF($K3201=1,INDEX(Mensal!$D$2:$D$245,MATCH($I3201,Mensal!$A$2:$A$245,0)),"")</f>
        <v/>
      </c>
      <c r="N3201" s="34">
        <f>IF($K3201=1,L3201-M3201,"")</f>
        <v/>
      </c>
      <c r="O3201" s="34" t="n">
        <v>0.0002462</v>
      </c>
      <c r="P3201" s="34">
        <f>IF($J3201=1,LN(1+O3201),"")</f>
        <v/>
      </c>
      <c r="Q3201" s="34">
        <f>IF($J3201=1,LN(R3202/R3201),"")</f>
        <v/>
      </c>
      <c r="R3201" s="32" t="n">
        <v>3.9389</v>
      </c>
      <c r="S3201" s="35" t="n">
        <v>6.646</v>
      </c>
      <c r="T3201" s="18" t="n">
        <v>91903.41</v>
      </c>
      <c r="U3201" s="18" t="n"/>
      <c r="V3201" s="18" t="n"/>
      <c r="W3201" s="18" t="n"/>
      <c r="X3201" s="35" t="n"/>
      <c r="Y3201" s="35" t="n">
        <v>6.646</v>
      </c>
    </row>
    <row r="3202">
      <c r="A3202" s="25" t="n">
        <v>43552</v>
      </c>
      <c r="B3202" s="18" t="n">
        <v>94388.94</v>
      </c>
      <c r="C3202" s="31" t="n"/>
      <c r="D3202" s="32" t="n"/>
      <c r="E3202" s="33" t="n">
        <v>-0.0041</v>
      </c>
      <c r="F3202" t="inlineStr">
        <is>
          <t>Up</t>
        </is>
      </c>
      <c r="G3202" t="inlineStr">
        <is>
          <t>Down</t>
        </is>
      </c>
      <c r="H3202" t="inlineStr">
        <is>
          <t>EU_JD</t>
        </is>
      </c>
      <c r="I3202" t="inlineStr">
        <is>
          <t>2019-03</t>
        </is>
      </c>
      <c r="J3202" t="n">
        <v>1</v>
      </c>
      <c r="K3202" t="n">
        <v>1</v>
      </c>
      <c r="L3202" s="34">
        <f>IF($J3202=1,LN(B3203/B3202),"")</f>
        <v/>
      </c>
      <c r="M3202" s="34">
        <f>IF($K3202=1,INDEX(Mensal!$D$2:$D$245,MATCH($I3202,Mensal!$A$2:$A$245,0)),"")</f>
        <v/>
      </c>
      <c r="N3202" s="34">
        <f>IF($K3202=1,L3202-M3202,"")</f>
        <v/>
      </c>
      <c r="O3202" s="34" t="n">
        <v>0.0002462</v>
      </c>
      <c r="P3202" s="34">
        <f>IF($J3202=1,LN(1+O3202),"")</f>
        <v/>
      </c>
      <c r="Q3202" s="34">
        <f>IF($J3202=1,LN(R3203/R3202),"")</f>
        <v/>
      </c>
      <c r="R3202" s="32" t="n">
        <v>3.9682</v>
      </c>
      <c r="S3202" s="35" t="n">
        <v>6.558</v>
      </c>
      <c r="T3202" s="18" t="n">
        <v>94388.94</v>
      </c>
      <c r="U3202" s="18" t="n"/>
      <c r="V3202" s="18" t="n"/>
      <c r="W3202" s="18" t="n"/>
      <c r="X3202" s="35" t="n"/>
      <c r="Y3202" s="35" t="n">
        <v>6.558</v>
      </c>
    </row>
    <row r="3203">
      <c r="A3203" s="25" t="n">
        <v>43553</v>
      </c>
      <c r="B3203" s="18" t="n">
        <v>95414.56</v>
      </c>
      <c r="C3203" s="31" t="n"/>
      <c r="D3203" s="32" t="n"/>
      <c r="E3203" s="33" t="n">
        <v>0.1053</v>
      </c>
      <c r="F3203" t="inlineStr">
        <is>
          <t>Up</t>
        </is>
      </c>
      <c r="G3203" t="inlineStr">
        <is>
          <t>Down</t>
        </is>
      </c>
      <c r="H3203" t="inlineStr">
        <is>
          <t>EU_JD</t>
        </is>
      </c>
      <c r="I3203" t="inlineStr">
        <is>
          <t>2019-03</t>
        </is>
      </c>
      <c r="J3203" t="n">
        <v>1</v>
      </c>
      <c r="K3203" t="n">
        <v>1</v>
      </c>
      <c r="L3203" s="34">
        <f>IF($J3203=1,LN(B3204/B3203),"")</f>
        <v/>
      </c>
      <c r="M3203" s="34">
        <f>IF($K3203=1,INDEX(Mensal!$D$2:$D$245,MATCH($I3203,Mensal!$A$2:$A$245,0)),"")</f>
        <v/>
      </c>
      <c r="N3203" s="34">
        <f>IF($K3203=1,L3203-M3203,"")</f>
        <v/>
      </c>
      <c r="O3203" s="34" t="n">
        <v>0.0002462</v>
      </c>
      <c r="P3203" s="34">
        <f>IF($J3203=1,LN(1+O3203),"")</f>
        <v/>
      </c>
      <c r="Q3203" s="34">
        <f>IF($J3203=1,LN(R3204/R3203),"")</f>
        <v/>
      </c>
      <c r="R3203" s="32" t="n">
        <v>3.8967</v>
      </c>
      <c r="S3203" s="35" t="n">
        <v>6.579</v>
      </c>
      <c r="T3203" s="18" t="n">
        <v>95414.56</v>
      </c>
      <c r="U3203" s="18" t="n"/>
      <c r="V3203" s="18" t="n"/>
      <c r="W3203" s="18" t="n"/>
      <c r="X3203" s="35" t="n"/>
      <c r="Y3203" s="35" t="n">
        <v>6.579</v>
      </c>
    </row>
    <row r="3204">
      <c r="A3204" s="25" t="n">
        <v>43556</v>
      </c>
      <c r="B3204" s="18" t="n">
        <v>96054.46000000001</v>
      </c>
      <c r="C3204" s="31" t="n"/>
      <c r="D3204" s="32" t="n"/>
      <c r="E3204" s="33" t="n">
        <v>0.2254</v>
      </c>
      <c r="F3204" t="inlineStr">
        <is>
          <t>Up</t>
        </is>
      </c>
      <c r="G3204" t="inlineStr">
        <is>
          <t>Down</t>
        </is>
      </c>
      <c r="H3204" t="inlineStr">
        <is>
          <t>EU_JD</t>
        </is>
      </c>
      <c r="I3204" t="inlineStr">
        <is>
          <t>2019-04</t>
        </is>
      </c>
      <c r="J3204" t="n">
        <v>1</v>
      </c>
      <c r="K3204" t="n">
        <v>1</v>
      </c>
      <c r="L3204" s="34">
        <f>IF($J3204=1,LN(B3205/B3204),"")</f>
        <v/>
      </c>
      <c r="M3204" s="34">
        <f>IF($K3204=1,INDEX(Mensal!$D$2:$D$245,MATCH($I3204,Mensal!$A$2:$A$245,0)),"")</f>
        <v/>
      </c>
      <c r="N3204" s="34">
        <f>IF($K3204=1,L3204-M3204,"")</f>
        <v/>
      </c>
      <c r="O3204" s="34" t="n">
        <v>0.0002462</v>
      </c>
      <c r="P3204" s="34">
        <f>IF($J3204=1,LN(1+O3204),"")</f>
        <v/>
      </c>
      <c r="Q3204" s="34">
        <f>IF($J3204=1,LN(R3205/R3204),"")</f>
        <v/>
      </c>
      <c r="R3204" s="32" t="n">
        <v>3.8682</v>
      </c>
      <c r="S3204" s="35" t="n">
        <v>6.533</v>
      </c>
      <c r="T3204" s="18" t="n">
        <v>96054.46000000001</v>
      </c>
      <c r="U3204" s="18" t="n"/>
      <c r="V3204" s="18" t="n"/>
      <c r="W3204" s="18" t="n"/>
      <c r="X3204" s="35" t="n"/>
      <c r="Y3204" s="35" t="n">
        <v>6.533</v>
      </c>
    </row>
    <row r="3205">
      <c r="A3205" s="25" t="n">
        <v>43557</v>
      </c>
      <c r="B3205" s="18" t="n">
        <v>95386.75999999999</v>
      </c>
      <c r="C3205" s="31" t="n"/>
      <c r="D3205" s="32" t="n"/>
      <c r="E3205" s="33" t="n">
        <v>0.3476</v>
      </c>
      <c r="F3205" t="inlineStr">
        <is>
          <t>Up</t>
        </is>
      </c>
      <c r="G3205" t="inlineStr">
        <is>
          <t>Down</t>
        </is>
      </c>
      <c r="H3205" t="inlineStr">
        <is>
          <t>EU_JD</t>
        </is>
      </c>
      <c r="I3205" t="inlineStr">
        <is>
          <t>2019-04</t>
        </is>
      </c>
      <c r="J3205" t="n">
        <v>1</v>
      </c>
      <c r="K3205" t="n">
        <v>1</v>
      </c>
      <c r="L3205" s="34">
        <f>IF($J3205=1,LN(B3206/B3205),"")</f>
        <v/>
      </c>
      <c r="M3205" s="34">
        <f>IF($K3205=1,INDEX(Mensal!$D$2:$D$245,MATCH($I3205,Mensal!$A$2:$A$245,0)),"")</f>
        <v/>
      </c>
      <c r="N3205" s="34">
        <f>IF($K3205=1,L3205-M3205,"")</f>
        <v/>
      </c>
      <c r="O3205" s="34" t="n">
        <v>0.0002462</v>
      </c>
      <c r="P3205" s="34">
        <f>IF($J3205=1,LN(1+O3205),"")</f>
        <v/>
      </c>
      <c r="Q3205" s="34">
        <f>IF($J3205=1,LN(R3206/R3205),"")</f>
        <v/>
      </c>
      <c r="R3205" s="32" t="n">
        <v>3.8661</v>
      </c>
      <c r="S3205" s="35" t="n">
        <v>6.528</v>
      </c>
      <c r="T3205" s="18" t="n">
        <v>95386.75999999999</v>
      </c>
      <c r="U3205" s="18" t="n"/>
      <c r="V3205" s="18" t="n"/>
      <c r="W3205" s="18" t="n"/>
      <c r="X3205" s="35" t="n"/>
      <c r="Y3205" s="35" t="n">
        <v>6.528</v>
      </c>
    </row>
    <row r="3206">
      <c r="A3206" s="25" t="n">
        <v>43558</v>
      </c>
      <c r="B3206" s="18" t="n">
        <v>94491.48</v>
      </c>
      <c r="C3206" s="31" t="n"/>
      <c r="D3206" s="32" t="n"/>
      <c r="E3206" s="33" t="n">
        <v>0.4698</v>
      </c>
      <c r="F3206" t="inlineStr">
        <is>
          <t>Up</t>
        </is>
      </c>
      <c r="G3206" t="inlineStr">
        <is>
          <t>Down</t>
        </is>
      </c>
      <c r="H3206" t="inlineStr">
        <is>
          <t>EU_JD</t>
        </is>
      </c>
      <c r="I3206" t="inlineStr">
        <is>
          <t>2019-04</t>
        </is>
      </c>
      <c r="J3206" t="n">
        <v>1</v>
      </c>
      <c r="K3206" t="n">
        <v>1</v>
      </c>
      <c r="L3206" s="34">
        <f>IF($J3206=1,LN(B3207/B3206),"")</f>
        <v/>
      </c>
      <c r="M3206" s="34">
        <f>IF($K3206=1,INDEX(Mensal!$D$2:$D$245,MATCH($I3206,Mensal!$A$2:$A$245,0)),"")</f>
        <v/>
      </c>
      <c r="N3206" s="34">
        <f>IF($K3206=1,L3206-M3206,"")</f>
        <v/>
      </c>
      <c r="O3206" s="34" t="n">
        <v>0.0002462</v>
      </c>
      <c r="P3206" s="34">
        <f>IF($J3206=1,LN(1+O3206),"")</f>
        <v/>
      </c>
      <c r="Q3206" s="34">
        <f>IF($J3206=1,LN(R3207/R3206),"")</f>
        <v/>
      </c>
      <c r="R3206" s="32" t="n">
        <v>3.8436</v>
      </c>
      <c r="S3206" s="35" t="n">
        <v>6.569</v>
      </c>
      <c r="T3206" s="18" t="n">
        <v>94491.48</v>
      </c>
      <c r="U3206" s="18" t="n"/>
      <c r="V3206" s="18" t="n"/>
      <c r="W3206" s="18" t="n"/>
      <c r="X3206" s="35" t="n"/>
      <c r="Y3206" s="35" t="n">
        <v>6.569</v>
      </c>
    </row>
    <row r="3207">
      <c r="A3207" s="25" t="n">
        <v>43559</v>
      </c>
      <c r="B3207" s="18" t="n">
        <v>96313.07000000001</v>
      </c>
      <c r="C3207" s="31" t="n"/>
      <c r="D3207" s="32" t="n"/>
      <c r="E3207" s="33" t="n">
        <v>0.6141</v>
      </c>
      <c r="F3207" t="inlineStr">
        <is>
          <t>Up</t>
        </is>
      </c>
      <c r="G3207" t="inlineStr">
        <is>
          <t>Down</t>
        </is>
      </c>
      <c r="H3207" t="inlineStr">
        <is>
          <t>EU_JD</t>
        </is>
      </c>
      <c r="I3207" t="inlineStr">
        <is>
          <t>2019-04</t>
        </is>
      </c>
      <c r="J3207" t="n">
        <v>1</v>
      </c>
      <c r="K3207" t="n">
        <v>1</v>
      </c>
      <c r="L3207" s="34">
        <f>IF($J3207=1,LN(B3208/B3207),"")</f>
        <v/>
      </c>
      <c r="M3207" s="34">
        <f>IF($K3207=1,INDEX(Mensal!$D$2:$D$245,MATCH($I3207,Mensal!$A$2:$A$245,0)),"")</f>
        <v/>
      </c>
      <c r="N3207" s="34">
        <f>IF($K3207=1,L3207-M3207,"")</f>
        <v/>
      </c>
      <c r="O3207" s="34" t="n">
        <v>0.0002462</v>
      </c>
      <c r="P3207" s="34">
        <f>IF($J3207=1,LN(1+O3207),"")</f>
        <v/>
      </c>
      <c r="Q3207" s="34">
        <f>IF($J3207=1,LN(R3208/R3207),"")</f>
        <v/>
      </c>
      <c r="R3207" s="32" t="n">
        <v>3.8713</v>
      </c>
      <c r="S3207" s="35" t="n">
        <v>6.559</v>
      </c>
      <c r="T3207" s="18" t="n">
        <v>96313.07000000001</v>
      </c>
      <c r="U3207" s="18" t="n"/>
      <c r="V3207" s="18" t="n"/>
      <c r="W3207" s="18" t="n"/>
      <c r="X3207" s="35" t="n"/>
      <c r="Y3207" s="35" t="n">
        <v>6.559</v>
      </c>
    </row>
    <row r="3208">
      <c r="A3208" s="25" t="n">
        <v>43560</v>
      </c>
      <c r="B3208" s="18" t="n">
        <v>97108.17</v>
      </c>
      <c r="C3208" s="31" t="n"/>
      <c r="D3208" s="32" t="n"/>
      <c r="E3208" s="33" t="n">
        <v>0.7614</v>
      </c>
      <c r="F3208" t="inlineStr">
        <is>
          <t>Up</t>
        </is>
      </c>
      <c r="G3208" t="inlineStr">
        <is>
          <t>Down</t>
        </is>
      </c>
      <c r="H3208" t="inlineStr">
        <is>
          <t>EU_JD</t>
        </is>
      </c>
      <c r="I3208" t="inlineStr">
        <is>
          <t>2019-04</t>
        </is>
      </c>
      <c r="J3208" t="n">
        <v>1</v>
      </c>
      <c r="K3208" t="n">
        <v>1</v>
      </c>
      <c r="L3208" s="34">
        <f>IF($J3208=1,LN(B3209/B3208),"")</f>
        <v/>
      </c>
      <c r="M3208" s="34">
        <f>IF($K3208=1,INDEX(Mensal!$D$2:$D$245,MATCH($I3208,Mensal!$A$2:$A$245,0)),"")</f>
        <v/>
      </c>
      <c r="N3208" s="34">
        <f>IF($K3208=1,L3208-M3208,"")</f>
        <v/>
      </c>
      <c r="O3208" s="34" t="n">
        <v>0.0002462</v>
      </c>
      <c r="P3208" s="34">
        <f>IF($J3208=1,LN(1+O3208),"")</f>
        <v/>
      </c>
      <c r="Q3208" s="34">
        <f>IF($J3208=1,LN(R3209/R3208),"")</f>
        <v/>
      </c>
      <c r="R3208" s="32" t="n">
        <v>3.8622</v>
      </c>
      <c r="S3208" s="35" t="n">
        <v>6.529</v>
      </c>
      <c r="T3208" s="18" t="n">
        <v>97108.17</v>
      </c>
      <c r="U3208" s="18" t="n"/>
      <c r="V3208" s="18" t="n"/>
      <c r="W3208" s="18" t="n"/>
      <c r="X3208" s="35" t="n"/>
      <c r="Y3208" s="35" t="n">
        <v>6.529</v>
      </c>
    </row>
    <row r="3209">
      <c r="A3209" s="25" t="n">
        <v>43563</v>
      </c>
      <c r="B3209" s="18" t="n">
        <v>97369.28999999999</v>
      </c>
      <c r="C3209" s="31" t="n"/>
      <c r="D3209" s="32" t="n"/>
      <c r="E3209" s="33" t="n">
        <v>0.8174</v>
      </c>
      <c r="F3209" t="inlineStr">
        <is>
          <t>Up</t>
        </is>
      </c>
      <c r="G3209" t="inlineStr">
        <is>
          <t>Down</t>
        </is>
      </c>
      <c r="H3209" t="inlineStr">
        <is>
          <t>EU_JD</t>
        </is>
      </c>
      <c r="I3209" t="inlineStr">
        <is>
          <t>2019-04</t>
        </is>
      </c>
      <c r="J3209" t="n">
        <v>1</v>
      </c>
      <c r="K3209" t="n">
        <v>1</v>
      </c>
      <c r="L3209" s="34">
        <f>IF($J3209=1,LN(B3210/B3209),"")</f>
        <v/>
      </c>
      <c r="M3209" s="34">
        <f>IF($K3209=1,INDEX(Mensal!$D$2:$D$245,MATCH($I3209,Mensal!$A$2:$A$245,0)),"")</f>
        <v/>
      </c>
      <c r="N3209" s="34">
        <f>IF($K3209=1,L3209-M3209,"")</f>
        <v/>
      </c>
      <c r="O3209" s="34" t="n">
        <v>0.0002462</v>
      </c>
      <c r="P3209" s="34">
        <f>IF($J3209=1,LN(1+O3209),"")</f>
        <v/>
      </c>
      <c r="Q3209" s="34">
        <f>IF($J3209=1,LN(R3210/R3209),"")</f>
        <v/>
      </c>
      <c r="R3209" s="32" t="n">
        <v>3.8658</v>
      </c>
      <c r="S3209" s="35" t="n">
        <v>6.533</v>
      </c>
      <c r="T3209" s="18" t="n">
        <v>97369.28999999999</v>
      </c>
      <c r="U3209" s="18" t="n"/>
      <c r="V3209" s="18" t="n"/>
      <c r="W3209" s="18" t="n"/>
      <c r="X3209" s="35" t="n"/>
      <c r="Y3209" s="35" t="n">
        <v>6.533</v>
      </c>
    </row>
    <row r="3210">
      <c r="A3210" s="25" t="n">
        <v>43564</v>
      </c>
      <c r="B3210" s="18" t="n">
        <v>96291.78999999999</v>
      </c>
      <c r="C3210" s="31" t="n"/>
      <c r="D3210" s="32" t="n"/>
      <c r="E3210" s="33" t="n">
        <v>0.8555</v>
      </c>
      <c r="F3210" t="inlineStr">
        <is>
          <t>Up</t>
        </is>
      </c>
      <c r="G3210" t="inlineStr">
        <is>
          <t>Down</t>
        </is>
      </c>
      <c r="H3210" t="inlineStr">
        <is>
          <t>EU_JD</t>
        </is>
      </c>
      <c r="I3210" t="inlineStr">
        <is>
          <t>2019-04</t>
        </is>
      </c>
      <c r="J3210" t="n">
        <v>1</v>
      </c>
      <c r="K3210" t="n">
        <v>1</v>
      </c>
      <c r="L3210" s="34">
        <f>IF($J3210=1,LN(B3211/B3210),"")</f>
        <v/>
      </c>
      <c r="M3210" s="34">
        <f>IF($K3210=1,INDEX(Mensal!$D$2:$D$245,MATCH($I3210,Mensal!$A$2:$A$245,0)),"")</f>
        <v/>
      </c>
      <c r="N3210" s="34">
        <f>IF($K3210=1,L3210-M3210,"")</f>
        <v/>
      </c>
      <c r="O3210" s="34" t="n">
        <v>0.0002462</v>
      </c>
      <c r="P3210" s="34">
        <f>IF($J3210=1,LN(1+O3210),"")</f>
        <v/>
      </c>
      <c r="Q3210" s="34">
        <f>IF($J3210=1,LN(R3211/R3210),"")</f>
        <v/>
      </c>
      <c r="R3210" s="32" t="n">
        <v>3.8563</v>
      </c>
      <c r="S3210" s="35" t="n">
        <v>6.561</v>
      </c>
      <c r="T3210" s="18" t="n">
        <v>96291.78999999999</v>
      </c>
      <c r="U3210" s="18" t="n"/>
      <c r="V3210" s="18" t="n"/>
      <c r="W3210" s="18" t="n"/>
      <c r="X3210" s="35" t="n"/>
      <c r="Y3210" s="35" t="n">
        <v>6.561</v>
      </c>
    </row>
    <row r="3211">
      <c r="A3211" s="25" t="n">
        <v>43565</v>
      </c>
      <c r="B3211" s="18" t="n">
        <v>95953.45</v>
      </c>
      <c r="C3211" s="31" t="n"/>
      <c r="D3211" s="32" t="n"/>
      <c r="E3211" s="33" t="n">
        <v>0.8865</v>
      </c>
      <c r="F3211" t="inlineStr">
        <is>
          <t>Up</t>
        </is>
      </c>
      <c r="G3211" t="inlineStr">
        <is>
          <t>Down</t>
        </is>
      </c>
      <c r="H3211" t="inlineStr">
        <is>
          <t>EU_JD</t>
        </is>
      </c>
      <c r="I3211" t="inlineStr">
        <is>
          <t>2019-04</t>
        </is>
      </c>
      <c r="J3211" t="n">
        <v>1</v>
      </c>
      <c r="K3211" t="n">
        <v>1</v>
      </c>
      <c r="L3211" s="34">
        <f>IF($J3211=1,LN(B3212/B3211),"")</f>
        <v/>
      </c>
      <c r="M3211" s="34">
        <f>IF($K3211=1,INDEX(Mensal!$D$2:$D$245,MATCH($I3211,Mensal!$A$2:$A$245,0)),"")</f>
        <v/>
      </c>
      <c r="N3211" s="34">
        <f>IF($K3211=1,L3211-M3211,"")</f>
        <v/>
      </c>
      <c r="O3211" s="34" t="n">
        <v>0.0002462</v>
      </c>
      <c r="P3211" s="34">
        <f>IF($J3211=1,LN(1+O3211),"")</f>
        <v/>
      </c>
      <c r="Q3211" s="34">
        <f>IF($J3211=1,LN(R3212/R3211),"")</f>
        <v/>
      </c>
      <c r="R3211" s="32" t="n">
        <v>3.8345</v>
      </c>
      <c r="S3211" s="35" t="n">
        <v>6.529</v>
      </c>
      <c r="T3211" s="18" t="n">
        <v>95953.45</v>
      </c>
      <c r="U3211" s="18" t="n"/>
      <c r="V3211" s="18" t="n"/>
      <c r="W3211" s="18" t="n"/>
      <c r="X3211" s="35" t="n"/>
      <c r="Y3211" s="35" t="n">
        <v>6.529</v>
      </c>
    </row>
    <row r="3212">
      <c r="A3212" s="25" t="n">
        <v>43566</v>
      </c>
      <c r="B3212" s="18" t="n">
        <v>94754.7</v>
      </c>
      <c r="C3212" s="31" t="n"/>
      <c r="D3212" s="32" t="n"/>
      <c r="E3212" s="33" t="n">
        <v>0.9202</v>
      </c>
      <c r="F3212" t="inlineStr">
        <is>
          <t>Up</t>
        </is>
      </c>
      <c r="G3212" t="inlineStr">
        <is>
          <t>Down</t>
        </is>
      </c>
      <c r="H3212" t="inlineStr">
        <is>
          <t>EU_JD</t>
        </is>
      </c>
      <c r="I3212" t="inlineStr">
        <is>
          <t>2019-04</t>
        </is>
      </c>
      <c r="J3212" t="n">
        <v>1</v>
      </c>
      <c r="K3212" t="n">
        <v>1</v>
      </c>
      <c r="L3212" s="34">
        <f>IF($J3212=1,LN(B3213/B3212),"")</f>
        <v/>
      </c>
      <c r="M3212" s="34">
        <f>IF($K3212=1,INDEX(Mensal!$D$2:$D$245,MATCH($I3212,Mensal!$A$2:$A$245,0)),"")</f>
        <v/>
      </c>
      <c r="N3212" s="34">
        <f>IF($K3212=1,L3212-M3212,"")</f>
        <v/>
      </c>
      <c r="O3212" s="34" t="n">
        <v>0.0002462</v>
      </c>
      <c r="P3212" s="34">
        <f>IF($J3212=1,LN(1+O3212),"")</f>
        <v/>
      </c>
      <c r="Q3212" s="34">
        <f>IF($J3212=1,LN(R3213/R3212),"")</f>
        <v/>
      </c>
      <c r="R3212" s="32" t="n">
        <v>3.8399</v>
      </c>
      <c r="S3212" s="35" t="n">
        <v>6.556</v>
      </c>
      <c r="T3212" s="18" t="n">
        <v>94754.7</v>
      </c>
      <c r="U3212" s="18" t="n"/>
      <c r="V3212" s="18" t="n"/>
      <c r="W3212" s="18" t="n"/>
      <c r="X3212" s="35" t="n"/>
      <c r="Y3212" s="35" t="n">
        <v>6.556</v>
      </c>
    </row>
    <row r="3213">
      <c r="A3213" s="25" t="n">
        <v>43567</v>
      </c>
      <c r="B3213" s="18" t="n">
        <v>92875</v>
      </c>
      <c r="C3213" s="31" t="n"/>
      <c r="D3213" s="32" t="n"/>
      <c r="E3213" s="33" t="n">
        <v>0.9555</v>
      </c>
      <c r="F3213" t="inlineStr">
        <is>
          <t>Up</t>
        </is>
      </c>
      <c r="G3213" t="inlineStr">
        <is>
          <t>Down</t>
        </is>
      </c>
      <c r="H3213" t="inlineStr">
        <is>
          <t>EU_JD</t>
        </is>
      </c>
      <c r="I3213" t="inlineStr">
        <is>
          <t>2019-04</t>
        </is>
      </c>
      <c r="J3213" t="n">
        <v>1</v>
      </c>
      <c r="K3213" t="n">
        <v>1</v>
      </c>
      <c r="L3213" s="34">
        <f>IF($J3213=1,LN(B3214/B3213),"")</f>
        <v/>
      </c>
      <c r="M3213" s="34">
        <f>IF($K3213=1,INDEX(Mensal!$D$2:$D$245,MATCH($I3213,Mensal!$A$2:$A$245,0)),"")</f>
        <v/>
      </c>
      <c r="N3213" s="34">
        <f>IF($K3213=1,L3213-M3213,"")</f>
        <v/>
      </c>
      <c r="O3213" s="34" t="n">
        <v>0.0002462</v>
      </c>
      <c r="P3213" s="34">
        <f>IF($J3213=1,LN(1+O3213),"")</f>
        <v/>
      </c>
      <c r="Q3213" s="34">
        <f>IF($J3213=1,LN(R3214/R3213),"")</f>
        <v/>
      </c>
      <c r="R3213" s="32" t="n">
        <v>3.8685</v>
      </c>
      <c r="S3213" s="35" t="n">
        <v>6.542</v>
      </c>
      <c r="T3213" s="18" t="n">
        <v>92875</v>
      </c>
      <c r="U3213" s="18" t="n"/>
      <c r="V3213" s="18" t="n"/>
      <c r="W3213" s="18" t="n"/>
      <c r="X3213" s="35" t="n"/>
      <c r="Y3213" s="35" t="n">
        <v>6.542</v>
      </c>
    </row>
    <row r="3214">
      <c r="A3214" s="25" t="n">
        <v>43570</v>
      </c>
      <c r="B3214" s="18" t="n">
        <v>93082.97</v>
      </c>
      <c r="C3214" s="31" t="n"/>
      <c r="D3214" s="32" t="n"/>
      <c r="E3214" s="33" t="n">
        <v>0.9859</v>
      </c>
      <c r="F3214" t="inlineStr">
        <is>
          <t>Up</t>
        </is>
      </c>
      <c r="G3214" t="inlineStr">
        <is>
          <t>Down</t>
        </is>
      </c>
      <c r="H3214" t="inlineStr">
        <is>
          <t>EU_JD</t>
        </is>
      </c>
      <c r="I3214" t="inlineStr">
        <is>
          <t>2019-04</t>
        </is>
      </c>
      <c r="J3214" t="n">
        <v>1</v>
      </c>
      <c r="K3214" t="n">
        <v>1</v>
      </c>
      <c r="L3214" s="34">
        <f>IF($J3214=1,LN(B3215/B3214),"")</f>
        <v/>
      </c>
      <c r="M3214" s="34">
        <f>IF($K3214=1,INDEX(Mensal!$D$2:$D$245,MATCH($I3214,Mensal!$A$2:$A$245,0)),"")</f>
        <v/>
      </c>
      <c r="N3214" s="34">
        <f>IF($K3214=1,L3214-M3214,"")</f>
        <v/>
      </c>
      <c r="O3214" s="34" t="n">
        <v>0.0002462</v>
      </c>
      <c r="P3214" s="34">
        <f>IF($J3214=1,LN(1+O3214),"")</f>
        <v/>
      </c>
      <c r="Q3214" s="34">
        <f>IF($J3214=1,LN(R3215/R3214),"")</f>
        <v/>
      </c>
      <c r="R3214" s="32" t="n">
        <v>3.873</v>
      </c>
      <c r="S3214" s="35" t="n">
        <v>6.527</v>
      </c>
      <c r="T3214" s="18" t="n">
        <v>93082.97</v>
      </c>
      <c r="U3214" s="18" t="n"/>
      <c r="V3214" s="18" t="n"/>
      <c r="W3214" s="18" t="n"/>
      <c r="X3214" s="35" t="n"/>
      <c r="Y3214" s="35" t="n">
        <v>6.527</v>
      </c>
    </row>
    <row r="3215">
      <c r="A3215" s="25" t="n">
        <v>43571</v>
      </c>
      <c r="B3215" s="18" t="n">
        <v>94333.31</v>
      </c>
      <c r="C3215" s="31" t="n"/>
      <c r="D3215" s="32" t="n"/>
      <c r="E3215" s="33" t="n">
        <v>1.0044</v>
      </c>
      <c r="F3215" t="inlineStr">
        <is>
          <t>Up</t>
        </is>
      </c>
      <c r="G3215" t="inlineStr">
        <is>
          <t>Down</t>
        </is>
      </c>
      <c r="H3215" t="inlineStr">
        <is>
          <t>EU_JD</t>
        </is>
      </c>
      <c r="I3215" t="inlineStr">
        <is>
          <t>2019-04</t>
        </is>
      </c>
      <c r="J3215" t="n">
        <v>1</v>
      </c>
      <c r="K3215" t="n">
        <v>1</v>
      </c>
      <c r="L3215" s="34">
        <f>IF($J3215=1,LN(B3216/B3215),"")</f>
        <v/>
      </c>
      <c r="M3215" s="34">
        <f>IF($K3215=1,INDEX(Mensal!$D$2:$D$245,MATCH($I3215,Mensal!$A$2:$A$245,0)),"")</f>
        <v/>
      </c>
      <c r="N3215" s="34">
        <f>IF($K3215=1,L3215-M3215,"")</f>
        <v/>
      </c>
      <c r="O3215" s="34" t="n">
        <v>0.0002462</v>
      </c>
      <c r="P3215" s="34">
        <f>IF($J3215=1,LN(1+O3215),"")</f>
        <v/>
      </c>
      <c r="Q3215" s="34">
        <f>IF($J3215=1,LN(R3216/R3215),"")</f>
        <v/>
      </c>
      <c r="R3215" s="32" t="n">
        <v>3.8913</v>
      </c>
      <c r="S3215" s="35" t="n">
        <v>6.531</v>
      </c>
      <c r="T3215" s="18" t="n">
        <v>94333.31</v>
      </c>
      <c r="U3215" s="18" t="n"/>
      <c r="V3215" s="18" t="n"/>
      <c r="W3215" s="18" t="n"/>
      <c r="X3215" s="35" t="n"/>
      <c r="Y3215" s="35" t="n">
        <v>6.531</v>
      </c>
    </row>
    <row r="3216">
      <c r="A3216" s="25" t="n">
        <v>43572</v>
      </c>
      <c r="B3216" s="18" t="n">
        <v>93284.75</v>
      </c>
      <c r="C3216" s="31" t="n"/>
      <c r="D3216" s="32" t="n"/>
      <c r="E3216" s="33" t="n">
        <v>1.0322</v>
      </c>
      <c r="F3216" t="inlineStr">
        <is>
          <t>Up</t>
        </is>
      </c>
      <c r="G3216" t="inlineStr">
        <is>
          <t>Down</t>
        </is>
      </c>
      <c r="H3216" t="inlineStr">
        <is>
          <t>EU_JD</t>
        </is>
      </c>
      <c r="I3216" t="inlineStr">
        <is>
          <t>2019-04</t>
        </is>
      </c>
      <c r="J3216" t="n">
        <v>1</v>
      </c>
      <c r="K3216" t="n">
        <v>1</v>
      </c>
      <c r="L3216" s="34">
        <f>IF($J3216=1,LN(B3217/B3216),"")</f>
        <v/>
      </c>
      <c r="M3216" s="34">
        <f>IF($K3216=1,INDEX(Mensal!$D$2:$D$245,MATCH($I3216,Mensal!$A$2:$A$245,0)),"")</f>
        <v/>
      </c>
      <c r="N3216" s="34">
        <f>IF($K3216=1,L3216-M3216,"")</f>
        <v/>
      </c>
      <c r="O3216" s="34" t="n">
        <v>0.0002462</v>
      </c>
      <c r="P3216" s="34">
        <f>IF($J3216=1,LN(1+O3216),"")</f>
        <v/>
      </c>
      <c r="Q3216" s="34">
        <f>IF($J3216=1,LN(R3217/R3216),"")</f>
        <v/>
      </c>
      <c r="R3216" s="32" t="n">
        <v>3.9225</v>
      </c>
      <c r="S3216" s="35" t="n">
        <v>6.537</v>
      </c>
      <c r="T3216" s="18" t="n">
        <v>93284.75</v>
      </c>
      <c r="U3216" s="18" t="n"/>
      <c r="V3216" s="18" t="n"/>
      <c r="W3216" s="18" t="n"/>
      <c r="X3216" s="35" t="n"/>
      <c r="Y3216" s="35" t="n">
        <v>6.537</v>
      </c>
    </row>
    <row r="3217">
      <c r="A3217" s="25" t="n">
        <v>43573</v>
      </c>
      <c r="B3217" s="18" t="n">
        <v>94578.25999999999</v>
      </c>
      <c r="C3217" s="31" t="n"/>
      <c r="D3217" s="32" t="n"/>
      <c r="E3217" s="33" t="n">
        <v>1.0532</v>
      </c>
      <c r="F3217" t="inlineStr">
        <is>
          <t>Up</t>
        </is>
      </c>
      <c r="G3217" t="inlineStr">
        <is>
          <t>Down</t>
        </is>
      </c>
      <c r="H3217" t="inlineStr">
        <is>
          <t>EU_JD</t>
        </is>
      </c>
      <c r="I3217" t="inlineStr">
        <is>
          <t>2019-04</t>
        </is>
      </c>
      <c r="J3217" t="n">
        <v>1</v>
      </c>
      <c r="K3217" t="n">
        <v>1</v>
      </c>
      <c r="L3217" s="34">
        <f>IF($J3217=1,LN(B3218/B3217),"")</f>
        <v/>
      </c>
      <c r="M3217" s="34">
        <f>IF($K3217=1,INDEX(Mensal!$D$2:$D$245,MATCH($I3217,Mensal!$A$2:$A$245,0)),"")</f>
        <v/>
      </c>
      <c r="N3217" s="34">
        <f>IF($K3217=1,L3217-M3217,"")</f>
        <v/>
      </c>
      <c r="O3217" s="34" t="n">
        <v>0.0002462</v>
      </c>
      <c r="P3217" s="34">
        <f>IF($J3217=1,LN(1+O3217),"")</f>
        <v/>
      </c>
      <c r="Q3217" s="34">
        <f>IF($J3217=1,LN(R3218/R3217),"")</f>
        <v/>
      </c>
      <c r="R3217" s="32" t="n">
        <v>3.937</v>
      </c>
      <c r="S3217" s="35" t="n">
        <v>6.489</v>
      </c>
      <c r="T3217" s="18" t="n">
        <v>94578.25999999999</v>
      </c>
      <c r="U3217" s="18" t="n"/>
      <c r="V3217" s="18" t="n"/>
      <c r="W3217" s="18" t="n"/>
      <c r="X3217" s="35" t="n"/>
      <c r="Y3217" s="35" t="n">
        <v>6.489</v>
      </c>
    </row>
    <row r="3218">
      <c r="A3218" s="25" t="n">
        <v>43577</v>
      </c>
      <c r="B3218" s="18" t="n">
        <v>94588.06</v>
      </c>
      <c r="C3218" s="31" t="n"/>
      <c r="D3218" s="32" t="n"/>
      <c r="E3218" s="33" t="n">
        <v>1.0695</v>
      </c>
      <c r="F3218" t="inlineStr">
        <is>
          <t>Up</t>
        </is>
      </c>
      <c r="G3218" t="inlineStr">
        <is>
          <t>Down</t>
        </is>
      </c>
      <c r="H3218" t="inlineStr">
        <is>
          <t>EU_JD</t>
        </is>
      </c>
      <c r="I3218" t="inlineStr">
        <is>
          <t>2019-04</t>
        </is>
      </c>
      <c r="J3218" t="n">
        <v>1</v>
      </c>
      <c r="K3218" t="n">
        <v>1</v>
      </c>
      <c r="L3218" s="34">
        <f>IF($J3218=1,LN(B3219/B3218),"")</f>
        <v/>
      </c>
      <c r="M3218" s="34">
        <f>IF($K3218=1,INDEX(Mensal!$D$2:$D$245,MATCH($I3218,Mensal!$A$2:$A$245,0)),"")</f>
        <v/>
      </c>
      <c r="N3218" s="34">
        <f>IF($K3218=1,L3218-M3218,"")</f>
        <v/>
      </c>
      <c r="O3218" s="34" t="n">
        <v>0.0002462</v>
      </c>
      <c r="P3218" s="34">
        <f>IF($J3218=1,LN(1+O3218),"")</f>
        <v/>
      </c>
      <c r="Q3218" s="34">
        <f>IF($J3218=1,LN(R3219/R3218),"")</f>
        <v/>
      </c>
      <c r="R3218" s="32" t="n">
        <v>3.923</v>
      </c>
      <c r="S3218" s="35" t="n">
        <v>6.479</v>
      </c>
      <c r="T3218" s="18" t="n">
        <v>94588.06</v>
      </c>
      <c r="U3218" s="18" t="n"/>
      <c r="V3218" s="18" t="n"/>
      <c r="W3218" s="18" t="n"/>
      <c r="X3218" s="35" t="n"/>
      <c r="Y3218" s="35" t="n">
        <v>6.479</v>
      </c>
    </row>
    <row r="3219">
      <c r="A3219" s="25" t="n">
        <v>43578</v>
      </c>
      <c r="B3219" s="18" t="n">
        <v>95923.24000000001</v>
      </c>
      <c r="C3219" s="31" t="n"/>
      <c r="D3219" s="32" t="n"/>
      <c r="E3219" s="33" t="n">
        <v>1.0831</v>
      </c>
      <c r="F3219" t="inlineStr">
        <is>
          <t>Up</t>
        </is>
      </c>
      <c r="G3219" t="inlineStr">
        <is>
          <t>Down</t>
        </is>
      </c>
      <c r="H3219" t="inlineStr">
        <is>
          <t>EU_JD</t>
        </is>
      </c>
      <c r="I3219" t="inlineStr">
        <is>
          <t>2019-04</t>
        </is>
      </c>
      <c r="J3219" t="n">
        <v>1</v>
      </c>
      <c r="K3219" t="n">
        <v>1</v>
      </c>
      <c r="L3219" s="34">
        <f>IF($J3219=1,LN(B3220/B3219),"")</f>
        <v/>
      </c>
      <c r="M3219" s="34">
        <f>IF($K3219=1,INDEX(Mensal!$D$2:$D$245,MATCH($I3219,Mensal!$A$2:$A$245,0)),"")</f>
        <v/>
      </c>
      <c r="N3219" s="34">
        <f>IF($K3219=1,L3219-M3219,"")</f>
        <v/>
      </c>
      <c r="O3219" s="34" t="n">
        <v>0.0002462</v>
      </c>
      <c r="P3219" s="34">
        <f>IF($J3219=1,LN(1+O3219),"")</f>
        <v/>
      </c>
      <c r="Q3219" s="34">
        <f>IF($J3219=1,LN(R3220/R3219),"")</f>
        <v/>
      </c>
      <c r="R3219" s="32" t="n">
        <v>3.9436</v>
      </c>
      <c r="S3219" s="35" t="n">
        <v>6.452</v>
      </c>
      <c r="T3219" s="18" t="n">
        <v>95923.24000000001</v>
      </c>
      <c r="U3219" s="18" t="n"/>
      <c r="V3219" s="18" t="n"/>
      <c r="W3219" s="18" t="n"/>
      <c r="X3219" s="35" t="n"/>
      <c r="Y3219" s="35" t="n">
        <v>6.452</v>
      </c>
    </row>
    <row r="3220">
      <c r="A3220" s="25" t="n">
        <v>43579</v>
      </c>
      <c r="B3220" s="18" t="n">
        <v>95045.42999999999</v>
      </c>
      <c r="C3220" s="31" t="n"/>
      <c r="D3220" s="32" t="n"/>
      <c r="E3220" s="33" t="n">
        <v>1.0978</v>
      </c>
      <c r="F3220" t="inlineStr">
        <is>
          <t>Up</t>
        </is>
      </c>
      <c r="G3220" t="inlineStr">
        <is>
          <t>Down</t>
        </is>
      </c>
      <c r="H3220" t="inlineStr">
        <is>
          <t>EU_JD</t>
        </is>
      </c>
      <c r="I3220" t="inlineStr">
        <is>
          <t>2019-04</t>
        </is>
      </c>
      <c r="J3220" t="n">
        <v>1</v>
      </c>
      <c r="K3220" t="n">
        <v>1</v>
      </c>
      <c r="L3220" s="34">
        <f>IF($J3220=1,LN(B3221/B3220),"")</f>
        <v/>
      </c>
      <c r="M3220" s="34">
        <f>IF($K3220=1,INDEX(Mensal!$D$2:$D$245,MATCH($I3220,Mensal!$A$2:$A$245,0)),"")</f>
        <v/>
      </c>
      <c r="N3220" s="34">
        <f>IF($K3220=1,L3220-M3220,"")</f>
        <v/>
      </c>
      <c r="O3220" s="34" t="n">
        <v>0.0002462</v>
      </c>
      <c r="P3220" s="34">
        <f>IF($J3220=1,LN(1+O3220),"")</f>
        <v/>
      </c>
      <c r="Q3220" s="34">
        <f>IF($J3220=1,LN(R3221/R3220),"")</f>
        <v/>
      </c>
      <c r="R3220" s="32" t="n">
        <v>3.963</v>
      </c>
      <c r="S3220" s="35" t="n">
        <v>6.503</v>
      </c>
      <c r="T3220" s="18" t="n">
        <v>95045.42999999999</v>
      </c>
      <c r="U3220" s="18" t="n"/>
      <c r="V3220" s="18" t="n"/>
      <c r="W3220" s="18" t="n"/>
      <c r="X3220" s="35" t="n"/>
      <c r="Y3220" s="35" t="n">
        <v>6.503</v>
      </c>
    </row>
    <row r="3221">
      <c r="A3221" s="25" t="n">
        <v>43580</v>
      </c>
      <c r="B3221" s="18" t="n">
        <v>96552.03</v>
      </c>
      <c r="C3221" s="31" t="n"/>
      <c r="D3221" s="32" t="n"/>
      <c r="E3221" s="33" t="n">
        <v>1.1088</v>
      </c>
      <c r="F3221" t="inlineStr">
        <is>
          <t>Up</t>
        </is>
      </c>
      <c r="G3221" t="inlineStr">
        <is>
          <t>Down</t>
        </is>
      </c>
      <c r="H3221" t="inlineStr">
        <is>
          <t>EU_JD</t>
        </is>
      </c>
      <c r="I3221" t="inlineStr">
        <is>
          <t>2019-04</t>
        </is>
      </c>
      <c r="J3221" t="n">
        <v>1</v>
      </c>
      <c r="K3221" t="n">
        <v>1</v>
      </c>
      <c r="L3221" s="34">
        <f>IF($J3221=1,LN(B3222/B3221),"")</f>
        <v/>
      </c>
      <c r="M3221" s="34">
        <f>IF($K3221=1,INDEX(Mensal!$D$2:$D$245,MATCH($I3221,Mensal!$A$2:$A$245,0)),"")</f>
        <v/>
      </c>
      <c r="N3221" s="34">
        <f>IF($K3221=1,L3221-M3221,"")</f>
        <v/>
      </c>
      <c r="O3221" s="34" t="n">
        <v>0.0002462</v>
      </c>
      <c r="P3221" s="34">
        <f>IF($J3221=1,LN(1+O3221),"")</f>
        <v/>
      </c>
      <c r="Q3221" s="34">
        <f>IF($J3221=1,LN(R3222/R3221),"")</f>
        <v/>
      </c>
      <c r="R3221" s="32" t="n">
        <v>3.9725</v>
      </c>
      <c r="S3221" s="35" t="n">
        <v>6.521</v>
      </c>
      <c r="T3221" s="18" t="n">
        <v>96552.03</v>
      </c>
      <c r="U3221" s="18" t="n"/>
      <c r="V3221" s="18" t="n"/>
      <c r="W3221" s="18" t="n"/>
      <c r="X3221" s="35" t="n"/>
      <c r="Y3221" s="35" t="n">
        <v>6.521</v>
      </c>
    </row>
    <row r="3222">
      <c r="A3222" s="25" t="n">
        <v>43581</v>
      </c>
      <c r="B3222" s="18" t="n">
        <v>96236.03999999999</v>
      </c>
      <c r="C3222" s="31" t="n"/>
      <c r="D3222" s="32" t="n"/>
      <c r="E3222" s="33" t="n">
        <v>1.1179</v>
      </c>
      <c r="F3222" t="inlineStr">
        <is>
          <t>Up</t>
        </is>
      </c>
      <c r="G3222" t="inlineStr">
        <is>
          <t>Down</t>
        </is>
      </c>
      <c r="H3222" t="inlineStr">
        <is>
          <t>EU_JD</t>
        </is>
      </c>
      <c r="I3222" t="inlineStr">
        <is>
          <t>2019-04</t>
        </is>
      </c>
      <c r="J3222" t="n">
        <v>1</v>
      </c>
      <c r="K3222" t="n">
        <v>1</v>
      </c>
      <c r="L3222" s="34">
        <f>IF($J3222=1,LN(B3223/B3222),"")</f>
        <v/>
      </c>
      <c r="M3222" s="34">
        <f>IF($K3222=1,INDEX(Mensal!$D$2:$D$245,MATCH($I3222,Mensal!$A$2:$A$245,0)),"")</f>
        <v/>
      </c>
      <c r="N3222" s="34">
        <f>IF($K3222=1,L3222-M3222,"")</f>
        <v/>
      </c>
      <c r="O3222" s="34" t="n">
        <v>0.0002462</v>
      </c>
      <c r="P3222" s="34">
        <f>IF($J3222=1,LN(1+O3222),"")</f>
        <v/>
      </c>
      <c r="Q3222" s="34">
        <f>IF($J3222=1,LN(R3223/R3222),"")</f>
        <v/>
      </c>
      <c r="R3222" s="32" t="n">
        <v>3.9353</v>
      </c>
      <c r="S3222" s="35" t="n">
        <v>6.548</v>
      </c>
      <c r="T3222" s="18" t="n">
        <v>96236.03999999999</v>
      </c>
      <c r="U3222" s="18" t="n"/>
      <c r="V3222" s="18" t="n"/>
      <c r="W3222" s="18" t="n"/>
      <c r="X3222" s="35" t="n"/>
      <c r="Y3222" s="35" t="n">
        <v>6.548</v>
      </c>
    </row>
    <row r="3223">
      <c r="A3223" s="25" t="n">
        <v>43584</v>
      </c>
      <c r="B3223" s="18" t="n">
        <v>96187.75</v>
      </c>
      <c r="C3223" s="31" t="n"/>
      <c r="D3223" s="32" t="n"/>
      <c r="E3223" s="33" t="n">
        <v>1.1126</v>
      </c>
      <c r="F3223" t="inlineStr">
        <is>
          <t>Up</t>
        </is>
      </c>
      <c r="G3223" t="inlineStr">
        <is>
          <t>Down</t>
        </is>
      </c>
      <c r="H3223" t="inlineStr">
        <is>
          <t>EU_JD</t>
        </is>
      </c>
      <c r="I3223" t="inlineStr">
        <is>
          <t>2019-04</t>
        </is>
      </c>
      <c r="J3223" t="n">
        <v>1</v>
      </c>
      <c r="K3223" t="n">
        <v>1</v>
      </c>
      <c r="L3223" s="34">
        <f>IF($J3223=1,LN(B3224/B3223),"")</f>
        <v/>
      </c>
      <c r="M3223" s="34">
        <f>IF($K3223=1,INDEX(Mensal!$D$2:$D$245,MATCH($I3223,Mensal!$A$2:$A$245,0)),"")</f>
        <v/>
      </c>
      <c r="N3223" s="34">
        <f>IF($K3223=1,L3223-M3223,"")</f>
        <v/>
      </c>
      <c r="O3223" s="34" t="n">
        <v>0.0002462</v>
      </c>
      <c r="P3223" s="34">
        <f>IF($J3223=1,LN(1+O3223),"")</f>
        <v/>
      </c>
      <c r="Q3223" s="34">
        <f>IF($J3223=1,LN(R3224/R3223),"")</f>
        <v/>
      </c>
      <c r="R3223" s="32" t="n">
        <v>3.9364</v>
      </c>
      <c r="S3223" s="35" t="n">
        <v>6.58</v>
      </c>
      <c r="T3223" s="18" t="n">
        <v>96187.75</v>
      </c>
      <c r="U3223" s="18" t="n"/>
      <c r="V3223" s="18" t="n"/>
      <c r="W3223" s="18" t="n"/>
      <c r="X3223" s="35" t="n"/>
      <c r="Y3223" s="35" t="n">
        <v>6.58</v>
      </c>
    </row>
    <row r="3224">
      <c r="A3224" s="25" t="n">
        <v>43585</v>
      </c>
      <c r="B3224" s="18" t="n">
        <v>96353.33</v>
      </c>
      <c r="C3224" s="31" t="n"/>
      <c r="D3224" s="32" t="n"/>
      <c r="E3224" s="33" t="n">
        <v>1.0998</v>
      </c>
      <c r="F3224" t="inlineStr">
        <is>
          <t>Up</t>
        </is>
      </c>
      <c r="G3224" t="inlineStr">
        <is>
          <t>Down</t>
        </is>
      </c>
      <c r="H3224" t="inlineStr">
        <is>
          <t>EU_JD</t>
        </is>
      </c>
      <c r="I3224" t="inlineStr">
        <is>
          <t>2019-04</t>
        </is>
      </c>
      <c r="J3224" t="n">
        <v>1</v>
      </c>
      <c r="K3224" t="n">
        <v>1</v>
      </c>
      <c r="L3224" s="34">
        <f>IF($J3224=1,LN(B3225/B3224),"")</f>
        <v/>
      </c>
      <c r="M3224" s="34">
        <f>IF($K3224=1,INDEX(Mensal!$D$2:$D$245,MATCH($I3224,Mensal!$A$2:$A$245,0)),"")</f>
        <v/>
      </c>
      <c r="N3224" s="34">
        <f>IF($K3224=1,L3224-M3224,"")</f>
        <v/>
      </c>
      <c r="O3224" s="34" t="n">
        <v>0.0002462</v>
      </c>
      <c r="P3224" s="34">
        <f>IF($J3224=1,LN(1+O3224),"")</f>
        <v/>
      </c>
      <c r="Q3224" s="34">
        <f>IF($J3224=1,LN(R3225/R3224),"")</f>
        <v/>
      </c>
      <c r="R3224" s="32" t="n">
        <v>3.9453</v>
      </c>
      <c r="S3224" s="35" t="n">
        <v>6.566</v>
      </c>
      <c r="T3224" s="18" t="n">
        <v>96353.33</v>
      </c>
      <c r="U3224" s="18" t="n"/>
      <c r="V3224" s="18" t="n"/>
      <c r="W3224" s="18" t="n"/>
      <c r="X3224" s="35" t="n"/>
      <c r="Y3224" s="35" t="n">
        <v>6.566</v>
      </c>
    </row>
    <row r="3225">
      <c r="A3225" s="25" t="n">
        <v>43587</v>
      </c>
      <c r="B3225" s="18" t="n">
        <v>95527.62</v>
      </c>
      <c r="C3225" s="31" t="n"/>
      <c r="D3225" s="32" t="n"/>
      <c r="E3225" s="33" t="n">
        <v>1.0828</v>
      </c>
      <c r="F3225" t="inlineStr">
        <is>
          <t>Up</t>
        </is>
      </c>
      <c r="G3225" t="inlineStr">
        <is>
          <t>Down</t>
        </is>
      </c>
      <c r="H3225" t="inlineStr">
        <is>
          <t>EU_JD</t>
        </is>
      </c>
      <c r="I3225" t="inlineStr">
        <is>
          <t>2019-05</t>
        </is>
      </c>
      <c r="J3225" t="n">
        <v>1</v>
      </c>
      <c r="K3225" t="n">
        <v>1</v>
      </c>
      <c r="L3225" s="34">
        <f>IF($J3225=1,LN(B3226/B3225),"")</f>
        <v/>
      </c>
      <c r="M3225" s="34">
        <f>IF($K3225=1,INDEX(Mensal!$D$2:$D$245,MATCH($I3225,Mensal!$A$2:$A$245,0)),"")</f>
        <v/>
      </c>
      <c r="N3225" s="34">
        <f>IF($K3225=1,L3225-M3225,"")</f>
        <v/>
      </c>
      <c r="O3225" s="34" t="n">
        <v>0.0002462</v>
      </c>
      <c r="P3225" s="34">
        <f>IF($J3225=1,LN(1+O3225),"")</f>
        <v/>
      </c>
      <c r="Q3225" s="34">
        <f>IF($J3225=1,LN(R3226/R3225),"")</f>
        <v/>
      </c>
      <c r="R3225" s="32" t="n">
        <v>3.965</v>
      </c>
      <c r="S3225" s="35" t="n">
        <v>6.584</v>
      </c>
      <c r="T3225" s="18" t="n">
        <v>95527.62</v>
      </c>
      <c r="U3225" s="18" t="n"/>
      <c r="V3225" s="18" t="n"/>
      <c r="W3225" s="18" t="n"/>
      <c r="X3225" s="35" t="n"/>
      <c r="Y3225" s="35" t="n">
        <v>6.584</v>
      </c>
    </row>
    <row r="3226">
      <c r="A3226" s="25" t="n">
        <v>43588</v>
      </c>
      <c r="B3226" s="18" t="n">
        <v>96007.89</v>
      </c>
      <c r="C3226" s="31" t="n"/>
      <c r="D3226" s="32" t="n"/>
      <c r="E3226" s="33" t="n">
        <v>1.0751</v>
      </c>
      <c r="F3226" t="inlineStr">
        <is>
          <t>Up</t>
        </is>
      </c>
      <c r="G3226" t="inlineStr">
        <is>
          <t>Down</t>
        </is>
      </c>
      <c r="H3226" t="inlineStr">
        <is>
          <t>EU_JD</t>
        </is>
      </c>
      <c r="I3226" t="inlineStr">
        <is>
          <t>2019-05</t>
        </is>
      </c>
      <c r="J3226" t="n">
        <v>1</v>
      </c>
      <c r="K3226" t="n">
        <v>1</v>
      </c>
      <c r="L3226" s="34">
        <f>IF($J3226=1,LN(B3227/B3226),"")</f>
        <v/>
      </c>
      <c r="M3226" s="34">
        <f>IF($K3226=1,INDEX(Mensal!$D$2:$D$245,MATCH($I3226,Mensal!$A$2:$A$245,0)),"")</f>
        <v/>
      </c>
      <c r="N3226" s="34">
        <f>IF($K3226=1,L3226-M3226,"")</f>
        <v/>
      </c>
      <c r="O3226" s="34" t="n">
        <v>0.0002462</v>
      </c>
      <c r="P3226" s="34">
        <f>IF($J3226=1,LN(1+O3226),"")</f>
        <v/>
      </c>
      <c r="Q3226" s="34">
        <f>IF($J3226=1,LN(R3227/R3226),"")</f>
        <v/>
      </c>
      <c r="R3226" s="32" t="n">
        <v>3.9388</v>
      </c>
      <c r="S3226" s="35" t="n">
        <v>6.525</v>
      </c>
      <c r="T3226" s="18" t="n">
        <v>96007.89</v>
      </c>
      <c r="U3226" s="18" t="n"/>
      <c r="V3226" s="18" t="n"/>
      <c r="W3226" s="18" t="n"/>
      <c r="X3226" s="35" t="n"/>
      <c r="Y3226" s="35" t="n">
        <v>6.525</v>
      </c>
    </row>
    <row r="3227">
      <c r="A3227" s="25" t="n">
        <v>43591</v>
      </c>
      <c r="B3227" s="18" t="n">
        <v>95008.66</v>
      </c>
      <c r="C3227" s="31" t="n"/>
      <c r="D3227" s="32" t="n"/>
      <c r="E3227" s="33" t="n">
        <v>1.052</v>
      </c>
      <c r="F3227" t="inlineStr">
        <is>
          <t>Up</t>
        </is>
      </c>
      <c r="G3227" t="inlineStr">
        <is>
          <t>Down</t>
        </is>
      </c>
      <c r="H3227" t="inlineStr">
        <is>
          <t>EU_JD</t>
        </is>
      </c>
      <c r="I3227" t="inlineStr">
        <is>
          <t>2019-05</t>
        </is>
      </c>
      <c r="J3227" t="n">
        <v>1</v>
      </c>
      <c r="K3227" t="n">
        <v>1</v>
      </c>
      <c r="L3227" s="34">
        <f>IF($J3227=1,LN(B3228/B3227),"")</f>
        <v/>
      </c>
      <c r="M3227" s="34">
        <f>IF($K3227=1,INDEX(Mensal!$D$2:$D$245,MATCH($I3227,Mensal!$A$2:$A$245,0)),"")</f>
        <v/>
      </c>
      <c r="N3227" s="34">
        <f>IF($K3227=1,L3227-M3227,"")</f>
        <v/>
      </c>
      <c r="O3227" s="34" t="n">
        <v>0.0002462</v>
      </c>
      <c r="P3227" s="34">
        <f>IF($J3227=1,LN(1+O3227),"")</f>
        <v/>
      </c>
      <c r="Q3227" s="34">
        <f>IF($J3227=1,LN(R3228/R3227),"")</f>
        <v/>
      </c>
      <c r="R3227" s="32" t="n">
        <v>3.9624</v>
      </c>
      <c r="S3227" s="35" t="n">
        <v>6.501</v>
      </c>
      <c r="T3227" s="18" t="n">
        <v>95008.66</v>
      </c>
      <c r="U3227" s="18" t="n"/>
      <c r="V3227" s="18" t="n"/>
      <c r="W3227" s="18" t="n"/>
      <c r="X3227" s="35" t="n"/>
      <c r="Y3227" s="35" t="n">
        <v>6.501</v>
      </c>
    </row>
    <row r="3228">
      <c r="A3228" s="25" t="n">
        <v>43592</v>
      </c>
      <c r="B3228" s="18" t="n">
        <v>94388.73</v>
      </c>
      <c r="C3228" s="31" t="n"/>
      <c r="D3228" s="32" t="n"/>
      <c r="E3228" s="33" t="n">
        <v>1.0275</v>
      </c>
      <c r="F3228" t="inlineStr">
        <is>
          <t>Up</t>
        </is>
      </c>
      <c r="G3228" t="inlineStr">
        <is>
          <t>Down</t>
        </is>
      </c>
      <c r="H3228" t="inlineStr">
        <is>
          <t>EU_JD</t>
        </is>
      </c>
      <c r="I3228" t="inlineStr">
        <is>
          <t>2019-05</t>
        </is>
      </c>
      <c r="J3228" t="n">
        <v>1</v>
      </c>
      <c r="K3228" t="n">
        <v>1</v>
      </c>
      <c r="L3228" s="34">
        <f>IF($J3228=1,LN(B3229/B3228),"")</f>
        <v/>
      </c>
      <c r="M3228" s="34">
        <f>IF($K3228=1,INDEX(Mensal!$D$2:$D$245,MATCH($I3228,Mensal!$A$2:$A$245,0)),"")</f>
        <v/>
      </c>
      <c r="N3228" s="34">
        <f>IF($K3228=1,L3228-M3228,"")</f>
        <v/>
      </c>
      <c r="O3228" s="34" t="n">
        <v>0.0002462</v>
      </c>
      <c r="P3228" s="34">
        <f>IF($J3228=1,LN(1+O3228),"")</f>
        <v/>
      </c>
      <c r="Q3228" s="34">
        <f>IF($J3228=1,LN(R3229/R3228),"")</f>
        <v/>
      </c>
      <c r="R3228" s="32" t="n">
        <v>3.988</v>
      </c>
      <c r="S3228" s="35" t="n">
        <v>6.507</v>
      </c>
      <c r="T3228" s="18" t="n">
        <v>94388.73</v>
      </c>
      <c r="U3228" s="18" t="n"/>
      <c r="V3228" s="18" t="n"/>
      <c r="W3228" s="18" t="n"/>
      <c r="X3228" s="35" t="n"/>
      <c r="Y3228" s="35" t="n">
        <v>6.507</v>
      </c>
    </row>
    <row r="3229">
      <c r="A3229" s="25" t="n">
        <v>43593</v>
      </c>
      <c r="B3229" s="18" t="n">
        <v>95596.61</v>
      </c>
      <c r="C3229" s="31" t="n"/>
      <c r="D3229" s="32" t="n"/>
      <c r="E3229" s="33" t="n">
        <v>0.9933999999999999</v>
      </c>
      <c r="F3229" t="inlineStr">
        <is>
          <t>Up</t>
        </is>
      </c>
      <c r="G3229" t="inlineStr">
        <is>
          <t>Down</t>
        </is>
      </c>
      <c r="H3229" t="inlineStr">
        <is>
          <t>EU_JD</t>
        </is>
      </c>
      <c r="I3229" t="inlineStr">
        <is>
          <t>2019-05</t>
        </is>
      </c>
      <c r="J3229" t="n">
        <v>1</v>
      </c>
      <c r="K3229" t="n">
        <v>1</v>
      </c>
      <c r="L3229" s="34">
        <f>IF($J3229=1,LN(B3230/B3229),"")</f>
        <v/>
      </c>
      <c r="M3229" s="34">
        <f>IF($K3229=1,INDEX(Mensal!$D$2:$D$245,MATCH($I3229,Mensal!$A$2:$A$245,0)),"")</f>
        <v/>
      </c>
      <c r="N3229" s="34">
        <f>IF($K3229=1,L3229-M3229,"")</f>
        <v/>
      </c>
      <c r="O3229" s="34" t="n">
        <v>0.0002462</v>
      </c>
      <c r="P3229" s="34">
        <f>IF($J3229=1,LN(1+O3229),"")</f>
        <v/>
      </c>
      <c r="Q3229" s="34">
        <f>IF($J3229=1,LN(R3230/R3229),"")</f>
        <v/>
      </c>
      <c r="R3229" s="32" t="n">
        <v>3.9344</v>
      </c>
      <c r="S3229" s="35" t="n">
        <v>6.49</v>
      </c>
      <c r="T3229" s="18" t="n">
        <v>95596.61</v>
      </c>
      <c r="U3229" s="18" t="n"/>
      <c r="V3229" s="18" t="n"/>
      <c r="W3229" s="18" t="n"/>
      <c r="X3229" s="35" t="n"/>
      <c r="Y3229" s="35" t="n">
        <v>6.49</v>
      </c>
    </row>
    <row r="3230">
      <c r="A3230" s="25" t="n">
        <v>43594</v>
      </c>
      <c r="B3230" s="18" t="n">
        <v>94807.85000000001</v>
      </c>
      <c r="C3230" s="31" t="n"/>
      <c r="D3230" s="32" t="n"/>
      <c r="E3230" s="33" t="n">
        <v>0.95</v>
      </c>
      <c r="F3230" t="inlineStr">
        <is>
          <t>Up</t>
        </is>
      </c>
      <c r="G3230" t="inlineStr">
        <is>
          <t>Down</t>
        </is>
      </c>
      <c r="H3230" t="inlineStr">
        <is>
          <t>EU_JD</t>
        </is>
      </c>
      <c r="I3230" t="inlineStr">
        <is>
          <t>2019-05</t>
        </is>
      </c>
      <c r="J3230" t="n">
        <v>1</v>
      </c>
      <c r="K3230" t="n">
        <v>1</v>
      </c>
      <c r="L3230" s="34">
        <f>IF($J3230=1,LN(B3231/B3230),"")</f>
        <v/>
      </c>
      <c r="M3230" s="34">
        <f>IF($K3230=1,INDEX(Mensal!$D$2:$D$245,MATCH($I3230,Mensal!$A$2:$A$245,0)),"")</f>
        <v/>
      </c>
      <c r="N3230" s="34">
        <f>IF($K3230=1,L3230-M3230,"")</f>
        <v/>
      </c>
      <c r="O3230" s="34" t="n">
        <v>0.0002462</v>
      </c>
      <c r="P3230" s="34">
        <f>IF($J3230=1,LN(1+O3230),"")</f>
        <v/>
      </c>
      <c r="Q3230" s="34">
        <f>IF($J3230=1,LN(R3231/R3230),"")</f>
        <v/>
      </c>
      <c r="R3230" s="32" t="n">
        <v>3.9673</v>
      </c>
      <c r="S3230" s="35" t="n">
        <v>6.5</v>
      </c>
      <c r="T3230" s="18" t="n">
        <v>94807.85000000001</v>
      </c>
      <c r="U3230" s="18" t="n"/>
      <c r="V3230" s="18" t="n"/>
      <c r="W3230" s="18" t="n"/>
      <c r="X3230" s="35" t="n"/>
      <c r="Y3230" s="35" t="n">
        <v>6.5</v>
      </c>
    </row>
    <row r="3231">
      <c r="A3231" s="25" t="n">
        <v>43595</v>
      </c>
      <c r="B3231" s="18" t="n">
        <v>94257.56</v>
      </c>
      <c r="C3231" s="31" t="n"/>
      <c r="D3231" s="32" t="n"/>
      <c r="E3231" s="33" t="n">
        <v>0.8905999999999999</v>
      </c>
      <c r="F3231" t="inlineStr">
        <is>
          <t>Up</t>
        </is>
      </c>
      <c r="G3231" t="inlineStr">
        <is>
          <t>Down</t>
        </is>
      </c>
      <c r="H3231" t="inlineStr">
        <is>
          <t>EU_JD</t>
        </is>
      </c>
      <c r="I3231" t="inlineStr">
        <is>
          <t>2019-05</t>
        </is>
      </c>
      <c r="J3231" t="n">
        <v>1</v>
      </c>
      <c r="K3231" t="n">
        <v>1</v>
      </c>
      <c r="L3231" s="34">
        <f>IF($J3231=1,LN(B3232/B3231),"")</f>
        <v/>
      </c>
      <c r="M3231" s="34">
        <f>IF($K3231=1,INDEX(Mensal!$D$2:$D$245,MATCH($I3231,Mensal!$A$2:$A$245,0)),"")</f>
        <v/>
      </c>
      <c r="N3231" s="34">
        <f>IF($K3231=1,L3231-M3231,"")</f>
        <v/>
      </c>
      <c r="O3231" s="34" t="n">
        <v>0.0002462</v>
      </c>
      <c r="P3231" s="34">
        <f>IF($J3231=1,LN(1+O3231),"")</f>
        <v/>
      </c>
      <c r="Q3231" s="34">
        <f>IF($J3231=1,LN(R3232/R3231),"")</f>
        <v/>
      </c>
      <c r="R3231" s="32" t="n">
        <v>3.9578</v>
      </c>
      <c r="S3231" s="35" t="n">
        <v>6.47</v>
      </c>
      <c r="T3231" s="18" t="n">
        <v>94257.56</v>
      </c>
      <c r="U3231" s="18" t="n"/>
      <c r="V3231" s="18" t="n"/>
      <c r="W3231" s="18" t="n"/>
      <c r="X3231" s="35" t="n"/>
      <c r="Y3231" s="35" t="n">
        <v>6.47</v>
      </c>
    </row>
    <row r="3232">
      <c r="A3232" s="25" t="n">
        <v>43598</v>
      </c>
      <c r="B3232" s="18" t="n">
        <v>91726.53999999999</v>
      </c>
      <c r="C3232" s="31" t="n"/>
      <c r="D3232" s="32" t="n"/>
      <c r="E3232" s="33" t="n">
        <v>0.8258</v>
      </c>
      <c r="F3232" t="inlineStr">
        <is>
          <t>Up</t>
        </is>
      </c>
      <c r="G3232" t="inlineStr">
        <is>
          <t>Down</t>
        </is>
      </c>
      <c r="H3232" t="inlineStr">
        <is>
          <t>EU_JD</t>
        </is>
      </c>
      <c r="I3232" t="inlineStr">
        <is>
          <t>2019-05</t>
        </is>
      </c>
      <c r="J3232" t="n">
        <v>1</v>
      </c>
      <c r="K3232" t="n">
        <v>1</v>
      </c>
      <c r="L3232" s="34">
        <f>IF($J3232=1,LN(B3233/B3232),"")</f>
        <v/>
      </c>
      <c r="M3232" s="34">
        <f>IF($K3232=1,INDEX(Mensal!$D$2:$D$245,MATCH($I3232,Mensal!$A$2:$A$245,0)),"")</f>
        <v/>
      </c>
      <c r="N3232" s="34">
        <f>IF($K3232=1,L3232-M3232,"")</f>
        <v/>
      </c>
      <c r="O3232" s="34" t="n">
        <v>0.0002462</v>
      </c>
      <c r="P3232" s="34">
        <f>IF($J3232=1,LN(1+O3232),"")</f>
        <v/>
      </c>
      <c r="Q3232" s="34">
        <f>IF($J3232=1,LN(R3233/R3232),"")</f>
        <v/>
      </c>
      <c r="R3232" s="32" t="n">
        <v>3.989</v>
      </c>
      <c r="S3232" s="35" t="n">
        <v>6.501</v>
      </c>
      <c r="T3232" s="18" t="n">
        <v>91726.53999999999</v>
      </c>
      <c r="U3232" s="18" t="n"/>
      <c r="V3232" s="18" t="n"/>
      <c r="W3232" s="18" t="n"/>
      <c r="X3232" s="35" t="n"/>
      <c r="Y3232" s="35" t="n">
        <v>6.501</v>
      </c>
    </row>
    <row r="3233">
      <c r="A3233" s="25" t="n">
        <v>43599</v>
      </c>
      <c r="B3233" s="18" t="n">
        <v>92092.44</v>
      </c>
      <c r="C3233" s="31" t="n"/>
      <c r="D3233" s="32" t="n"/>
      <c r="E3233" s="33" t="n">
        <v>0.7606000000000001</v>
      </c>
      <c r="F3233" t="inlineStr">
        <is>
          <t>Up</t>
        </is>
      </c>
      <c r="G3233" t="inlineStr">
        <is>
          <t>Down</t>
        </is>
      </c>
      <c r="H3233" t="inlineStr">
        <is>
          <t>EU_JD</t>
        </is>
      </c>
      <c r="I3233" t="inlineStr">
        <is>
          <t>2019-05</t>
        </is>
      </c>
      <c r="J3233" t="n">
        <v>1</v>
      </c>
      <c r="K3233" t="n">
        <v>1</v>
      </c>
      <c r="L3233" s="34">
        <f>IF($J3233=1,LN(B3234/B3233),"")</f>
        <v/>
      </c>
      <c r="M3233" s="34">
        <f>IF($K3233=1,INDEX(Mensal!$D$2:$D$245,MATCH($I3233,Mensal!$A$2:$A$245,0)),"")</f>
        <v/>
      </c>
      <c r="N3233" s="34">
        <f>IF($K3233=1,L3233-M3233,"")</f>
        <v/>
      </c>
      <c r="O3233" s="34" t="n">
        <v>0.0002462</v>
      </c>
      <c r="P3233" s="34">
        <f>IF($J3233=1,LN(1+O3233),"")</f>
        <v/>
      </c>
      <c r="Q3233" s="34">
        <f>IF($J3233=1,LN(R3234/R3233),"")</f>
        <v/>
      </c>
      <c r="R3233" s="32" t="n">
        <v>3.9788</v>
      </c>
      <c r="S3233" s="35" t="n">
        <v>6.464</v>
      </c>
      <c r="T3233" s="18" t="n">
        <v>92092.44</v>
      </c>
      <c r="U3233" s="18" t="n"/>
      <c r="V3233" s="18" t="n"/>
      <c r="W3233" s="18" t="n"/>
      <c r="X3233" s="35" t="n"/>
      <c r="Y3233" s="35" t="n">
        <v>6.464</v>
      </c>
    </row>
    <row r="3234">
      <c r="A3234" s="25" t="n">
        <v>43600</v>
      </c>
      <c r="B3234" s="18" t="n">
        <v>91623.44</v>
      </c>
      <c r="C3234" s="31" t="n"/>
      <c r="D3234" s="32" t="n"/>
      <c r="E3234" s="33" t="n">
        <v>0.6997</v>
      </c>
      <c r="F3234" t="inlineStr">
        <is>
          <t>Up</t>
        </is>
      </c>
      <c r="G3234" t="inlineStr">
        <is>
          <t>Down</t>
        </is>
      </c>
      <c r="H3234" t="inlineStr">
        <is>
          <t>EU_JD</t>
        </is>
      </c>
      <c r="I3234" t="inlineStr">
        <is>
          <t>2019-05</t>
        </is>
      </c>
      <c r="J3234" t="n">
        <v>1</v>
      </c>
      <c r="K3234" t="n">
        <v>1</v>
      </c>
      <c r="L3234" s="34">
        <f>IF($J3234=1,LN(B3235/B3234),"")</f>
        <v/>
      </c>
      <c r="M3234" s="34">
        <f>IF($K3234=1,INDEX(Mensal!$D$2:$D$245,MATCH($I3234,Mensal!$A$2:$A$245,0)),"")</f>
        <v/>
      </c>
      <c r="N3234" s="34">
        <f>IF($K3234=1,L3234-M3234,"")</f>
        <v/>
      </c>
      <c r="O3234" s="34" t="n">
        <v>0.0002462</v>
      </c>
      <c r="P3234" s="34">
        <f>IF($J3234=1,LN(1+O3234),"")</f>
        <v/>
      </c>
      <c r="Q3234" s="34">
        <f>IF($J3234=1,LN(R3235/R3234),"")</f>
        <v/>
      </c>
      <c r="R3234" s="32" t="n">
        <v>4.0031</v>
      </c>
      <c r="S3234" s="35" t="n">
        <v>6.463</v>
      </c>
      <c r="T3234" s="18" t="n">
        <v>91623.44</v>
      </c>
      <c r="U3234" s="18" t="n"/>
      <c r="V3234" s="18" t="n"/>
      <c r="W3234" s="18" t="n"/>
      <c r="X3234" s="35" t="n"/>
      <c r="Y3234" s="35" t="n">
        <v>6.463</v>
      </c>
    </row>
    <row r="3235">
      <c r="A3235" s="25" t="n">
        <v>43601</v>
      </c>
      <c r="B3235" s="18" t="n">
        <v>90024.47</v>
      </c>
      <c r="C3235" s="31" t="n"/>
      <c r="D3235" s="32" t="n"/>
      <c r="E3235" s="33" t="n">
        <v>0.6334</v>
      </c>
      <c r="F3235" t="inlineStr">
        <is>
          <t>Up</t>
        </is>
      </c>
      <c r="G3235" t="inlineStr">
        <is>
          <t>Down</t>
        </is>
      </c>
      <c r="H3235" t="inlineStr">
        <is>
          <t>EU_JD</t>
        </is>
      </c>
      <c r="I3235" t="inlineStr">
        <is>
          <t>2019-05</t>
        </is>
      </c>
      <c r="J3235" t="n">
        <v>1</v>
      </c>
      <c r="K3235" t="n">
        <v>1</v>
      </c>
      <c r="L3235" s="34">
        <f>IF($J3235=1,LN(B3236/B3235),"")</f>
        <v/>
      </c>
      <c r="M3235" s="34">
        <f>IF($K3235=1,INDEX(Mensal!$D$2:$D$245,MATCH($I3235,Mensal!$A$2:$A$245,0)),"")</f>
        <v/>
      </c>
      <c r="N3235" s="34">
        <f>IF($K3235=1,L3235-M3235,"")</f>
        <v/>
      </c>
      <c r="O3235" s="34" t="n">
        <v>0.0002462</v>
      </c>
      <c r="P3235" s="34">
        <f>IF($J3235=1,LN(1+O3235),"")</f>
        <v/>
      </c>
      <c r="Q3235" s="34">
        <f>IF($J3235=1,LN(R3236/R3235),"")</f>
        <v/>
      </c>
      <c r="R3235" s="32" t="n">
        <v>4.0138</v>
      </c>
      <c r="S3235" s="35" t="n">
        <v>6.493</v>
      </c>
      <c r="T3235" s="18" t="n">
        <v>90024.47</v>
      </c>
      <c r="U3235" s="18" t="n"/>
      <c r="V3235" s="18" t="n"/>
      <c r="W3235" s="18" t="n"/>
      <c r="X3235" s="35" t="n"/>
      <c r="Y3235" s="35" t="n">
        <v>6.493</v>
      </c>
    </row>
    <row r="3236">
      <c r="A3236" s="25" t="n">
        <v>43602</v>
      </c>
      <c r="B3236" s="18" t="n">
        <v>89992.73</v>
      </c>
      <c r="C3236" s="31" t="n"/>
      <c r="D3236" s="32" t="n"/>
      <c r="E3236" s="33" t="n">
        <v>0.5747</v>
      </c>
      <c r="F3236" t="inlineStr">
        <is>
          <t>Up</t>
        </is>
      </c>
      <c r="G3236" t="inlineStr">
        <is>
          <t>Down</t>
        </is>
      </c>
      <c r="H3236" t="inlineStr">
        <is>
          <t>EU_JD</t>
        </is>
      </c>
      <c r="I3236" t="inlineStr">
        <is>
          <t>2019-05</t>
        </is>
      </c>
      <c r="J3236" t="n">
        <v>1</v>
      </c>
      <c r="K3236" t="n">
        <v>1</v>
      </c>
      <c r="L3236" s="34">
        <f>IF($J3236=1,LN(B3237/B3236),"")</f>
        <v/>
      </c>
      <c r="M3236" s="34">
        <f>IF($K3236=1,INDEX(Mensal!$D$2:$D$245,MATCH($I3236,Mensal!$A$2:$A$245,0)),"")</f>
        <v/>
      </c>
      <c r="N3236" s="34">
        <f>IF($K3236=1,L3236-M3236,"")</f>
        <v/>
      </c>
      <c r="O3236" s="34" t="n">
        <v>0.0002462</v>
      </c>
      <c r="P3236" s="34">
        <f>IF($J3236=1,LN(1+O3236),"")</f>
        <v/>
      </c>
      <c r="Q3236" s="34">
        <f>IF($J3236=1,LN(R3237/R3236),"")</f>
        <v/>
      </c>
      <c r="R3236" s="32" t="n">
        <v>4.0844</v>
      </c>
      <c r="S3236" s="35" t="n">
        <v>6.576</v>
      </c>
      <c r="T3236" s="18" t="n">
        <v>89992.73</v>
      </c>
      <c r="U3236" s="18" t="n"/>
      <c r="V3236" s="18" t="n"/>
      <c r="W3236" s="18" t="n"/>
      <c r="X3236" s="35" t="n"/>
      <c r="Y3236" s="35" t="n">
        <v>6.576</v>
      </c>
    </row>
    <row r="3237">
      <c r="A3237" s="25" t="n">
        <v>43605</v>
      </c>
      <c r="B3237" s="18" t="n">
        <v>91946.19</v>
      </c>
      <c r="C3237" s="31" t="n"/>
      <c r="D3237" s="32" t="n"/>
      <c r="E3237" s="33" t="n">
        <v>0.5242</v>
      </c>
      <c r="F3237" t="inlineStr">
        <is>
          <t>Up</t>
        </is>
      </c>
      <c r="G3237" t="inlineStr">
        <is>
          <t>Down</t>
        </is>
      </c>
      <c r="H3237" t="inlineStr">
        <is>
          <t>EU_JD</t>
        </is>
      </c>
      <c r="I3237" t="inlineStr">
        <is>
          <t>2019-05</t>
        </is>
      </c>
      <c r="J3237" t="n">
        <v>1</v>
      </c>
      <c r="K3237" t="n">
        <v>1</v>
      </c>
      <c r="L3237" s="34">
        <f>IF($J3237=1,LN(B3238/B3237),"")</f>
        <v/>
      </c>
      <c r="M3237" s="34">
        <f>IF($K3237=1,INDEX(Mensal!$D$2:$D$245,MATCH($I3237,Mensal!$A$2:$A$245,0)),"")</f>
        <v/>
      </c>
      <c r="N3237" s="34">
        <f>IF($K3237=1,L3237-M3237,"")</f>
        <v/>
      </c>
      <c r="O3237" s="34" t="n">
        <v>0.0002462</v>
      </c>
      <c r="P3237" s="34">
        <f>IF($J3237=1,LN(1+O3237),"")</f>
        <v/>
      </c>
      <c r="Q3237" s="34">
        <f>IF($J3237=1,LN(R3238/R3237),"")</f>
        <v/>
      </c>
      <c r="R3237" s="32" t="n">
        <v>4.1056</v>
      </c>
      <c r="S3237" s="35" t="n">
        <v>6.525</v>
      </c>
      <c r="T3237" s="18" t="n">
        <v>91946.19</v>
      </c>
      <c r="U3237" s="18" t="n"/>
      <c r="V3237" s="18" t="n"/>
      <c r="W3237" s="18" t="n"/>
      <c r="X3237" s="35" t="n"/>
      <c r="Y3237" s="35" t="n">
        <v>6.525</v>
      </c>
    </row>
    <row r="3238">
      <c r="A3238" s="25" t="n">
        <v>43606</v>
      </c>
      <c r="B3238" s="18" t="n">
        <v>94484.63</v>
      </c>
      <c r="C3238" s="31" t="n"/>
      <c r="D3238" s="32" t="n"/>
      <c r="E3238" s="33" t="n">
        <v>0.4761</v>
      </c>
      <c r="F3238" t="inlineStr">
        <is>
          <t>Up</t>
        </is>
      </c>
      <c r="G3238" t="inlineStr">
        <is>
          <t>Down</t>
        </is>
      </c>
      <c r="H3238" t="inlineStr">
        <is>
          <t>EU_JD</t>
        </is>
      </c>
      <c r="I3238" t="inlineStr">
        <is>
          <t>2019-05</t>
        </is>
      </c>
      <c r="J3238" t="n">
        <v>1</v>
      </c>
      <c r="K3238" t="n">
        <v>1</v>
      </c>
      <c r="L3238" s="34">
        <f>IF($J3238=1,LN(B3239/B3238),"")</f>
        <v/>
      </c>
      <c r="M3238" s="34">
        <f>IF($K3238=1,INDEX(Mensal!$D$2:$D$245,MATCH($I3238,Mensal!$A$2:$A$245,0)),"")</f>
        <v/>
      </c>
      <c r="N3238" s="34">
        <f>IF($K3238=1,L3238-M3238,"")</f>
        <v/>
      </c>
      <c r="O3238" s="34" t="n">
        <v>0.0002462</v>
      </c>
      <c r="P3238" s="34">
        <f>IF($J3238=1,LN(1+O3238),"")</f>
        <v/>
      </c>
      <c r="Q3238" s="34">
        <f>IF($J3238=1,LN(R3239/R3238),"")</f>
        <v/>
      </c>
      <c r="R3238" s="32" t="n">
        <v>4.081</v>
      </c>
      <c r="S3238" s="35" t="n">
        <v>6.476</v>
      </c>
      <c r="T3238" s="18" t="n">
        <v>94484.63</v>
      </c>
      <c r="U3238" s="18" t="n"/>
      <c r="V3238" s="18" t="n"/>
      <c r="W3238" s="18" t="n"/>
      <c r="X3238" s="35" t="n"/>
      <c r="Y3238" s="35" t="n">
        <v>6.476</v>
      </c>
    </row>
    <row r="3239">
      <c r="A3239" s="25" t="n">
        <v>43607</v>
      </c>
      <c r="B3239" s="18" t="n">
        <v>94360.66</v>
      </c>
      <c r="C3239" s="31" t="n"/>
      <c r="D3239" s="32" t="n"/>
      <c r="E3239" s="33" t="n">
        <v>0.4315</v>
      </c>
      <c r="F3239" t="inlineStr">
        <is>
          <t>Up</t>
        </is>
      </c>
      <c r="G3239" t="inlineStr">
        <is>
          <t>Down</t>
        </is>
      </c>
      <c r="H3239" t="inlineStr">
        <is>
          <t>EU_JD</t>
        </is>
      </c>
      <c r="I3239" t="inlineStr">
        <is>
          <t>2019-05</t>
        </is>
      </c>
      <c r="J3239" t="n">
        <v>1</v>
      </c>
      <c r="K3239" t="n">
        <v>1</v>
      </c>
      <c r="L3239" s="34">
        <f>IF($J3239=1,LN(B3240/B3239),"")</f>
        <v/>
      </c>
      <c r="M3239" s="34">
        <f>IF($K3239=1,INDEX(Mensal!$D$2:$D$245,MATCH($I3239,Mensal!$A$2:$A$245,0)),"")</f>
        <v/>
      </c>
      <c r="N3239" s="34">
        <f>IF($K3239=1,L3239-M3239,"")</f>
        <v/>
      </c>
      <c r="O3239" s="34" t="n">
        <v>0.0002462</v>
      </c>
      <c r="P3239" s="34">
        <f>IF($J3239=1,LN(1+O3239),"")</f>
        <v/>
      </c>
      <c r="Q3239" s="34">
        <f>IF($J3239=1,LN(R3240/R3239),"")</f>
        <v/>
      </c>
      <c r="R3239" s="32" t="n">
        <v>4.0228</v>
      </c>
      <c r="S3239" s="35" t="n">
        <v>6.462</v>
      </c>
      <c r="T3239" s="18" t="n">
        <v>94360.66</v>
      </c>
      <c r="U3239" s="18" t="n"/>
      <c r="V3239" s="18" t="n"/>
      <c r="W3239" s="18" t="n"/>
      <c r="X3239" s="35" t="n"/>
      <c r="Y3239" s="35" t="n">
        <v>6.462</v>
      </c>
    </row>
    <row r="3240">
      <c r="A3240" s="25" t="n">
        <v>43608</v>
      </c>
      <c r="B3240" s="18" t="n">
        <v>93910.03</v>
      </c>
      <c r="C3240" s="31" t="n"/>
      <c r="D3240" s="32" t="n"/>
      <c r="E3240" s="33" t="n">
        <v>0.3903</v>
      </c>
      <c r="F3240" t="inlineStr">
        <is>
          <t>Up</t>
        </is>
      </c>
      <c r="G3240" t="inlineStr">
        <is>
          <t>Down</t>
        </is>
      </c>
      <c r="H3240" t="inlineStr">
        <is>
          <t>EU_JD</t>
        </is>
      </c>
      <c r="I3240" t="inlineStr">
        <is>
          <t>2019-05</t>
        </is>
      </c>
      <c r="J3240" t="n">
        <v>1</v>
      </c>
      <c r="K3240" t="n">
        <v>1</v>
      </c>
      <c r="L3240" s="34">
        <f>IF($J3240=1,LN(B3241/B3240),"")</f>
        <v/>
      </c>
      <c r="M3240" s="34">
        <f>IF($K3240=1,INDEX(Mensal!$D$2:$D$245,MATCH($I3240,Mensal!$A$2:$A$245,0)),"")</f>
        <v/>
      </c>
      <c r="N3240" s="34">
        <f>IF($K3240=1,L3240-M3240,"")</f>
        <v/>
      </c>
      <c r="O3240" s="34" t="n">
        <v>0.0002462</v>
      </c>
      <c r="P3240" s="34">
        <f>IF($J3240=1,LN(1+O3240),"")</f>
        <v/>
      </c>
      <c r="Q3240" s="34">
        <f>IF($J3240=1,LN(R3241/R3240),"")</f>
        <v/>
      </c>
      <c r="R3240" s="32" t="n">
        <v>4.0513</v>
      </c>
      <c r="S3240" s="35" t="n">
        <v>6.431</v>
      </c>
      <c r="T3240" s="18" t="n">
        <v>93910.03</v>
      </c>
      <c r="U3240" s="18" t="n"/>
      <c r="V3240" s="18" t="n"/>
      <c r="W3240" s="18" t="n"/>
      <c r="X3240" s="35" t="n"/>
      <c r="Y3240" s="35" t="n">
        <v>6.431</v>
      </c>
    </row>
    <row r="3241">
      <c r="A3241" s="25" t="n">
        <v>43609</v>
      </c>
      <c r="B3241" s="18" t="n">
        <v>93627.8</v>
      </c>
      <c r="C3241" s="31" t="n"/>
      <c r="D3241" s="32" t="n"/>
      <c r="E3241" s="33" t="n">
        <v>0.3514</v>
      </c>
      <c r="F3241" t="inlineStr">
        <is>
          <t>Up</t>
        </is>
      </c>
      <c r="G3241" t="inlineStr">
        <is>
          <t>Down</t>
        </is>
      </c>
      <c r="H3241" t="inlineStr">
        <is>
          <t>EU_JD</t>
        </is>
      </c>
      <c r="I3241" t="inlineStr">
        <is>
          <t>2019-05</t>
        </is>
      </c>
      <c r="J3241" t="n">
        <v>1</v>
      </c>
      <c r="K3241" t="n">
        <v>1</v>
      </c>
      <c r="L3241" s="34">
        <f>IF($J3241=1,LN(B3242/B3241),"")</f>
        <v/>
      </c>
      <c r="M3241" s="34">
        <f>IF($K3241=1,INDEX(Mensal!$D$2:$D$245,MATCH($I3241,Mensal!$A$2:$A$245,0)),"")</f>
        <v/>
      </c>
      <c r="N3241" s="34">
        <f>IF($K3241=1,L3241-M3241,"")</f>
        <v/>
      </c>
      <c r="O3241" s="34" t="n">
        <v>0.0002462</v>
      </c>
      <c r="P3241" s="34">
        <f>IF($J3241=1,LN(1+O3241),"")</f>
        <v/>
      </c>
      <c r="Q3241" s="34">
        <f>IF($J3241=1,LN(R3242/R3241),"")</f>
        <v/>
      </c>
      <c r="R3241" s="32" t="n">
        <v>4.0322</v>
      </c>
      <c r="S3241" s="35" t="n">
        <v>6.411</v>
      </c>
      <c r="T3241" s="18" t="n">
        <v>93627.8</v>
      </c>
      <c r="U3241" s="18" t="n"/>
      <c r="V3241" s="18" t="n"/>
      <c r="W3241" s="18" t="n"/>
      <c r="X3241" s="35" t="n"/>
      <c r="Y3241" s="35" t="n">
        <v>6.411</v>
      </c>
    </row>
    <row r="3242">
      <c r="A3242" s="25" t="n">
        <v>43612</v>
      </c>
      <c r="B3242" s="18" t="n">
        <v>94864.25</v>
      </c>
      <c r="C3242" s="31" t="n"/>
      <c r="D3242" s="32" t="n"/>
      <c r="E3242" s="33" t="n">
        <v>0.3143</v>
      </c>
      <c r="F3242" t="inlineStr">
        <is>
          <t>Up</t>
        </is>
      </c>
      <c r="G3242" t="inlineStr">
        <is>
          <t>Down</t>
        </is>
      </c>
      <c r="H3242" t="inlineStr">
        <is>
          <t>EU_JD</t>
        </is>
      </c>
      <c r="I3242" t="inlineStr">
        <is>
          <t>2019-05</t>
        </is>
      </c>
      <c r="J3242" t="n">
        <v>1</v>
      </c>
      <c r="K3242" t="n">
        <v>1</v>
      </c>
      <c r="L3242" s="34">
        <f>IF($J3242=1,LN(B3243/B3242),"")</f>
        <v/>
      </c>
      <c r="M3242" s="34">
        <f>IF($K3242=1,INDEX(Mensal!$D$2:$D$245,MATCH($I3242,Mensal!$A$2:$A$245,0)),"")</f>
        <v/>
      </c>
      <c r="N3242" s="34">
        <f>IF($K3242=1,L3242-M3242,"")</f>
        <v/>
      </c>
      <c r="O3242" s="34" t="n">
        <v>0.0002462</v>
      </c>
      <c r="P3242" s="34">
        <f>IF($J3242=1,LN(1+O3242),"")</f>
        <v/>
      </c>
      <c r="Q3242" s="34">
        <f>IF($J3242=1,LN(R3243/R3242),"")</f>
        <v/>
      </c>
      <c r="R3242" s="32" t="n">
        <v>4.021</v>
      </c>
      <c r="S3242" s="35" t="n">
        <v>6.397</v>
      </c>
      <c r="T3242" s="18" t="n">
        <v>94864.25</v>
      </c>
      <c r="U3242" s="18" t="n"/>
      <c r="V3242" s="18" t="n"/>
      <c r="W3242" s="18" t="n"/>
      <c r="X3242" s="35" t="n"/>
      <c r="Y3242" s="35" t="n">
        <v>6.397</v>
      </c>
    </row>
    <row r="3243">
      <c r="A3243" s="25" t="n">
        <v>43613</v>
      </c>
      <c r="B3243" s="18" t="n">
        <v>96392.75999999999</v>
      </c>
      <c r="C3243" s="31" t="n"/>
      <c r="D3243" s="32" t="n"/>
      <c r="E3243" s="33" t="n">
        <v>0.2831</v>
      </c>
      <c r="F3243" t="inlineStr">
        <is>
          <t>Up</t>
        </is>
      </c>
      <c r="G3243" t="inlineStr">
        <is>
          <t>Down</t>
        </is>
      </c>
      <c r="H3243" t="inlineStr">
        <is>
          <t>EU_JD</t>
        </is>
      </c>
      <c r="I3243" t="inlineStr">
        <is>
          <t>2019-05</t>
        </is>
      </c>
      <c r="J3243" t="n">
        <v>1</v>
      </c>
      <c r="K3243" t="n">
        <v>1</v>
      </c>
      <c r="L3243" s="34">
        <f>IF($J3243=1,LN(B3244/B3243),"")</f>
        <v/>
      </c>
      <c r="M3243" s="34">
        <f>IF($K3243=1,INDEX(Mensal!$D$2:$D$245,MATCH($I3243,Mensal!$A$2:$A$245,0)),"")</f>
        <v/>
      </c>
      <c r="N3243" s="34">
        <f>IF($K3243=1,L3243-M3243,"")</f>
        <v/>
      </c>
      <c r="O3243" s="34" t="n">
        <v>0.0002462</v>
      </c>
      <c r="P3243" s="34">
        <f>IF($J3243=1,LN(1+O3243),"")</f>
        <v/>
      </c>
      <c r="Q3243" s="34">
        <f>IF($J3243=1,LN(R3244/R3243),"")</f>
        <v/>
      </c>
      <c r="R3243" s="32" t="n">
        <v>4.0275</v>
      </c>
      <c r="S3243" s="35" t="n">
        <v>6.317</v>
      </c>
      <c r="T3243" s="18" t="n">
        <v>96392.75999999999</v>
      </c>
      <c r="U3243" s="18" t="n"/>
      <c r="V3243" s="18" t="n"/>
      <c r="W3243" s="18" t="n"/>
      <c r="X3243" s="35" t="n"/>
      <c r="Y3243" s="35" t="n">
        <v>6.317</v>
      </c>
    </row>
    <row r="3244">
      <c r="A3244" s="25" t="n">
        <v>43614</v>
      </c>
      <c r="B3244" s="18" t="n">
        <v>96566.55</v>
      </c>
      <c r="C3244" s="31" t="n"/>
      <c r="D3244" s="32" t="n"/>
      <c r="E3244" s="33" t="n">
        <v>0.2445</v>
      </c>
      <c r="F3244" t="inlineStr">
        <is>
          <t>Up</t>
        </is>
      </c>
      <c r="G3244" t="inlineStr">
        <is>
          <t>Down</t>
        </is>
      </c>
      <c r="H3244" t="inlineStr">
        <is>
          <t>EU_JD</t>
        </is>
      </c>
      <c r="I3244" t="inlineStr">
        <is>
          <t>2019-05</t>
        </is>
      </c>
      <c r="J3244" t="n">
        <v>1</v>
      </c>
      <c r="K3244" t="n">
        <v>1</v>
      </c>
      <c r="L3244" s="34">
        <f>IF($J3244=1,LN(B3245/B3244),"")</f>
        <v/>
      </c>
      <c r="M3244" s="34">
        <f>IF($K3244=1,INDEX(Mensal!$D$2:$D$245,MATCH($I3244,Mensal!$A$2:$A$245,0)),"")</f>
        <v/>
      </c>
      <c r="N3244" s="34">
        <f>IF($K3244=1,L3244-M3244,"")</f>
        <v/>
      </c>
      <c r="O3244" s="34" t="n">
        <v>0.0002462</v>
      </c>
      <c r="P3244" s="34">
        <f>IF($J3244=1,LN(1+O3244),"")</f>
        <v/>
      </c>
      <c r="Q3244" s="34">
        <f>IF($J3244=1,LN(R3245/R3244),"")</f>
        <v/>
      </c>
      <c r="R3244" s="32" t="n">
        <v>3.9965</v>
      </c>
      <c r="S3244" s="35" t="n">
        <v>6.305</v>
      </c>
      <c r="T3244" s="18" t="n">
        <v>96566.55</v>
      </c>
      <c r="U3244" s="18" t="n"/>
      <c r="V3244" s="18" t="n"/>
      <c r="W3244" s="18" t="n"/>
      <c r="X3244" s="35" t="n"/>
      <c r="Y3244" s="35" t="n">
        <v>6.305</v>
      </c>
    </row>
    <row r="3245">
      <c r="A3245" s="25" t="n">
        <v>43615</v>
      </c>
      <c r="B3245" s="18" t="n">
        <v>97457.36</v>
      </c>
      <c r="C3245" s="31" t="n"/>
      <c r="D3245" s="32" t="n"/>
      <c r="E3245" s="33" t="n">
        <v>0.2015</v>
      </c>
      <c r="F3245" t="inlineStr">
        <is>
          <t>Up</t>
        </is>
      </c>
      <c r="G3245" t="inlineStr">
        <is>
          <t>Down</t>
        </is>
      </c>
      <c r="H3245" t="inlineStr">
        <is>
          <t>EU_JD</t>
        </is>
      </c>
      <c r="I3245" t="inlineStr">
        <is>
          <t>2019-05</t>
        </is>
      </c>
      <c r="J3245" t="n">
        <v>1</v>
      </c>
      <c r="K3245" t="n">
        <v>1</v>
      </c>
      <c r="L3245" s="34">
        <f>IF($J3245=1,LN(B3246/B3245),"")</f>
        <v/>
      </c>
      <c r="M3245" s="34">
        <f>IF($K3245=1,INDEX(Mensal!$D$2:$D$245,MATCH($I3245,Mensal!$A$2:$A$245,0)),"")</f>
        <v/>
      </c>
      <c r="N3245" s="34">
        <f>IF($K3245=1,L3245-M3245,"")</f>
        <v/>
      </c>
      <c r="O3245" s="34" t="n">
        <v>0.0002462</v>
      </c>
      <c r="P3245" s="34">
        <f>IF($J3245=1,LN(1+O3245),"")</f>
        <v/>
      </c>
      <c r="Q3245" s="34">
        <f>IF($J3245=1,LN(R3246/R3245),"")</f>
        <v/>
      </c>
      <c r="R3245" s="32" t="n">
        <v>3.972</v>
      </c>
      <c r="S3245" s="35" t="n">
        <v>6.297</v>
      </c>
      <c r="T3245" s="18" t="n">
        <v>97457.36</v>
      </c>
      <c r="U3245" s="18" t="n"/>
      <c r="V3245" s="18" t="n"/>
      <c r="W3245" s="18" t="n"/>
      <c r="X3245" s="35" t="n"/>
      <c r="Y3245" s="35" t="n">
        <v>6.297</v>
      </c>
    </row>
    <row r="3246">
      <c r="A3246" s="25" t="n">
        <v>43616</v>
      </c>
      <c r="B3246" s="18" t="n">
        <v>97030.32000000001</v>
      </c>
      <c r="C3246" s="31" t="n"/>
      <c r="D3246" s="32" t="n"/>
      <c r="E3246" s="33" t="n">
        <v>0.159</v>
      </c>
      <c r="F3246" t="inlineStr">
        <is>
          <t>Up</t>
        </is>
      </c>
      <c r="G3246" t="inlineStr">
        <is>
          <t>Down</t>
        </is>
      </c>
      <c r="H3246" t="inlineStr">
        <is>
          <t>EU_JD</t>
        </is>
      </c>
      <c r="I3246" t="inlineStr">
        <is>
          <t>2019-05</t>
        </is>
      </c>
      <c r="J3246" t="n">
        <v>1</v>
      </c>
      <c r="K3246" t="n">
        <v>1</v>
      </c>
      <c r="L3246" s="34">
        <f>IF($J3246=1,LN(B3247/B3246),"")</f>
        <v/>
      </c>
      <c r="M3246" s="34">
        <f>IF($K3246=1,INDEX(Mensal!$D$2:$D$245,MATCH($I3246,Mensal!$A$2:$A$245,0)),"")</f>
        <v/>
      </c>
      <c r="N3246" s="34">
        <f>IF($K3246=1,L3246-M3246,"")</f>
        <v/>
      </c>
      <c r="O3246" s="34" t="n">
        <v>0.0002462</v>
      </c>
      <c r="P3246" s="34">
        <f>IF($J3246=1,LN(1+O3246),"")</f>
        <v/>
      </c>
      <c r="Q3246" s="34">
        <f>IF($J3246=1,LN(R3247/R3246),"")</f>
        <v/>
      </c>
      <c r="R3246" s="32" t="n">
        <v>3.9407</v>
      </c>
      <c r="S3246" s="35" t="n">
        <v>6.275</v>
      </c>
      <c r="T3246" s="18" t="n">
        <v>97030.32000000001</v>
      </c>
      <c r="U3246" s="18" t="n"/>
      <c r="V3246" s="18" t="n"/>
      <c r="W3246" s="18" t="n"/>
      <c r="X3246" s="35" t="n"/>
      <c r="Y3246" s="35" t="n">
        <v>6.275</v>
      </c>
    </row>
    <row r="3247">
      <c r="A3247" s="25" t="n">
        <v>43619</v>
      </c>
      <c r="B3247" s="18" t="n">
        <v>97020.48</v>
      </c>
      <c r="C3247" s="31" t="n"/>
      <c r="D3247" s="32" t="n"/>
      <c r="E3247" s="33" t="n">
        <v>0.106</v>
      </c>
      <c r="F3247" t="inlineStr">
        <is>
          <t>Up</t>
        </is>
      </c>
      <c r="G3247" t="inlineStr">
        <is>
          <t>Down</t>
        </is>
      </c>
      <c r="H3247" t="inlineStr">
        <is>
          <t>EU_JD</t>
        </is>
      </c>
      <c r="I3247" t="inlineStr">
        <is>
          <t>2019-06</t>
        </is>
      </c>
      <c r="J3247" t="n">
        <v>1</v>
      </c>
      <c r="K3247" t="n">
        <v>1</v>
      </c>
      <c r="L3247" s="34">
        <f>IF($J3247=1,LN(B3248/B3247),"")</f>
        <v/>
      </c>
      <c r="M3247" s="34">
        <f>IF($K3247=1,INDEX(Mensal!$D$2:$D$245,MATCH($I3247,Mensal!$A$2:$A$245,0)),"")</f>
        <v/>
      </c>
      <c r="N3247" s="34">
        <f>IF($K3247=1,L3247-M3247,"")</f>
        <v/>
      </c>
      <c r="O3247" s="34" t="n">
        <v>0.0002462</v>
      </c>
      <c r="P3247" s="34">
        <f>IF($J3247=1,LN(1+O3247),"")</f>
        <v/>
      </c>
      <c r="Q3247" s="34">
        <f>IF($J3247=1,LN(R3248/R3247),"")</f>
        <v/>
      </c>
      <c r="R3247" s="32" t="n">
        <v>3.9003</v>
      </c>
      <c r="S3247" s="35" t="n">
        <v>6.245</v>
      </c>
      <c r="T3247" s="18" t="n">
        <v>97020.48</v>
      </c>
      <c r="U3247" s="18" t="n"/>
      <c r="V3247" s="18" t="n"/>
      <c r="W3247" s="18" t="n"/>
      <c r="X3247" s="35" t="n"/>
      <c r="Y3247" s="35" t="n">
        <v>6.245</v>
      </c>
    </row>
    <row r="3248">
      <c r="A3248" s="25" t="n">
        <v>43620</v>
      </c>
      <c r="B3248" s="18" t="n">
        <v>97380.28</v>
      </c>
      <c r="C3248" s="31" t="n"/>
      <c r="D3248" s="32" t="n"/>
      <c r="E3248" s="33" t="n">
        <v>0.0479</v>
      </c>
      <c r="F3248" t="inlineStr">
        <is>
          <t>Up</t>
        </is>
      </c>
      <c r="G3248" t="inlineStr">
        <is>
          <t>Down</t>
        </is>
      </c>
      <c r="H3248" t="inlineStr">
        <is>
          <t>EU_JD</t>
        </is>
      </c>
      <c r="I3248" t="inlineStr">
        <is>
          <t>2019-06</t>
        </is>
      </c>
      <c r="J3248" t="n">
        <v>1</v>
      </c>
      <c r="K3248" t="n">
        <v>1</v>
      </c>
      <c r="L3248" s="34">
        <f>IF($J3248=1,LN(B3249/B3248),"")</f>
        <v/>
      </c>
      <c r="M3248" s="34">
        <f>IF($K3248=1,INDEX(Mensal!$D$2:$D$245,MATCH($I3248,Mensal!$A$2:$A$245,0)),"")</f>
        <v/>
      </c>
      <c r="N3248" s="34">
        <f>IF($K3248=1,L3248-M3248,"")</f>
        <v/>
      </c>
      <c r="O3248" s="34" t="n">
        <v>0.0002462</v>
      </c>
      <c r="P3248" s="34">
        <f>IF($J3248=1,LN(1+O3248),"")</f>
        <v/>
      </c>
      <c r="Q3248" s="34">
        <f>IF($J3248=1,LN(R3249/R3248),"")</f>
        <v/>
      </c>
      <c r="R3248" s="32" t="n">
        <v>3.871</v>
      </c>
      <c r="S3248" s="35" t="n">
        <v>6.198</v>
      </c>
      <c r="T3248" s="18" t="n">
        <v>97380.28</v>
      </c>
      <c r="U3248" s="18" t="n"/>
      <c r="V3248" s="18" t="n"/>
      <c r="W3248" s="18" t="n"/>
      <c r="X3248" s="35" t="n"/>
      <c r="Y3248" s="35" t="n">
        <v>6.198</v>
      </c>
    </row>
    <row r="3249">
      <c r="A3249" s="25" t="n">
        <v>43621</v>
      </c>
      <c r="B3249" s="18" t="n">
        <v>95998.75</v>
      </c>
      <c r="C3249" s="31" t="n"/>
      <c r="D3249" s="32" t="n"/>
      <c r="E3249" s="33" t="n">
        <v>0.008999999999999999</v>
      </c>
      <c r="F3249" t="inlineStr">
        <is>
          <t>Up</t>
        </is>
      </c>
      <c r="G3249" t="inlineStr">
        <is>
          <t>Down</t>
        </is>
      </c>
      <c r="H3249" t="inlineStr">
        <is>
          <t>EU_JD</t>
        </is>
      </c>
      <c r="I3249" t="inlineStr">
        <is>
          <t>2019-06</t>
        </is>
      </c>
      <c r="J3249" t="n">
        <v>1</v>
      </c>
      <c r="K3249" t="n">
        <v>1</v>
      </c>
      <c r="L3249" s="34">
        <f>IF($J3249=1,LN(B3250/B3249),"")</f>
        <v/>
      </c>
      <c r="M3249" s="34">
        <f>IF($K3249=1,INDEX(Mensal!$D$2:$D$245,MATCH($I3249,Mensal!$A$2:$A$245,0)),"")</f>
        <v/>
      </c>
      <c r="N3249" s="34">
        <f>IF($K3249=1,L3249-M3249,"")</f>
        <v/>
      </c>
      <c r="O3249" s="34" t="n">
        <v>0.0002462</v>
      </c>
      <c r="P3249" s="34">
        <f>IF($J3249=1,LN(1+O3249),"")</f>
        <v/>
      </c>
      <c r="Q3249" s="34">
        <f>IF($J3249=1,LN(R3250/R3249),"")</f>
        <v/>
      </c>
      <c r="R3249" s="32" t="n">
        <v>3.8611</v>
      </c>
      <c r="S3249" s="35" t="n">
        <v>6.275</v>
      </c>
      <c r="T3249" s="18" t="n">
        <v>95998.75</v>
      </c>
      <c r="U3249" s="18" t="n"/>
      <c r="V3249" s="18" t="n"/>
      <c r="W3249" s="18" t="n"/>
      <c r="X3249" s="35" t="n"/>
      <c r="Y3249" s="35" t="n">
        <v>6.275</v>
      </c>
    </row>
    <row r="3250">
      <c r="A3250" s="25" t="n">
        <v>43622</v>
      </c>
      <c r="B3250" s="18" t="n">
        <v>97204.85000000001</v>
      </c>
      <c r="C3250" s="31" t="n"/>
      <c r="D3250" s="32" t="n"/>
      <c r="E3250" s="33" t="n">
        <v>-0.0284</v>
      </c>
      <c r="F3250" t="inlineStr">
        <is>
          <t>Up</t>
        </is>
      </c>
      <c r="G3250" t="inlineStr">
        <is>
          <t>Down</t>
        </is>
      </c>
      <c r="H3250" t="inlineStr">
        <is>
          <t>EU_JD</t>
        </is>
      </c>
      <c r="I3250" t="inlineStr">
        <is>
          <t>2019-06</t>
        </is>
      </c>
      <c r="J3250" t="n">
        <v>1</v>
      </c>
      <c r="K3250" t="n">
        <v>1</v>
      </c>
      <c r="L3250" s="34">
        <f>IF($J3250=1,LN(B3251/B3250),"")</f>
        <v/>
      </c>
      <c r="M3250" s="34">
        <f>IF($K3250=1,INDEX(Mensal!$D$2:$D$245,MATCH($I3250,Mensal!$A$2:$A$245,0)),"")</f>
        <v/>
      </c>
      <c r="N3250" s="34">
        <f>IF($K3250=1,L3250-M3250,"")</f>
        <v/>
      </c>
      <c r="O3250" s="34" t="n">
        <v>0.0002462</v>
      </c>
      <c r="P3250" s="34">
        <f>IF($J3250=1,LN(1+O3250),"")</f>
        <v/>
      </c>
      <c r="Q3250" s="34">
        <f>IF($J3250=1,LN(R3251/R3250),"")</f>
        <v/>
      </c>
      <c r="R3250" s="32" t="n">
        <v>3.8726</v>
      </c>
      <c r="S3250" s="35" t="n">
        <v>6.238</v>
      </c>
      <c r="T3250" s="18" t="n">
        <v>97204.85000000001</v>
      </c>
      <c r="U3250" s="18" t="n"/>
      <c r="V3250" s="18" t="n"/>
      <c r="W3250" s="18" t="n"/>
      <c r="X3250" s="35" t="n"/>
      <c r="Y3250" s="35" t="n">
        <v>6.238</v>
      </c>
    </row>
    <row r="3251">
      <c r="A3251" s="25" t="n">
        <v>43623</v>
      </c>
      <c r="B3251" s="18" t="n">
        <v>97821.25999999999</v>
      </c>
      <c r="C3251" s="31" t="n"/>
      <c r="D3251" s="32" t="n"/>
      <c r="E3251" s="33" t="n">
        <v>-0.0717</v>
      </c>
      <c r="F3251" t="inlineStr">
        <is>
          <t>Up</t>
        </is>
      </c>
      <c r="G3251" t="inlineStr">
        <is>
          <t>Down</t>
        </is>
      </c>
      <c r="H3251" t="inlineStr">
        <is>
          <t>EU_JD</t>
        </is>
      </c>
      <c r="I3251" t="inlineStr">
        <is>
          <t>2019-06</t>
        </is>
      </c>
      <c r="J3251" t="n">
        <v>1</v>
      </c>
      <c r="K3251" t="n">
        <v>1</v>
      </c>
      <c r="L3251" s="34">
        <f>IF($J3251=1,LN(B3252/B3251),"")</f>
        <v/>
      </c>
      <c r="M3251" s="34">
        <f>IF($K3251=1,INDEX(Mensal!$D$2:$D$245,MATCH($I3251,Mensal!$A$2:$A$245,0)),"")</f>
        <v/>
      </c>
      <c r="N3251" s="34">
        <f>IF($K3251=1,L3251-M3251,"")</f>
        <v/>
      </c>
      <c r="O3251" s="34" t="n">
        <v>0.0002462</v>
      </c>
      <c r="P3251" s="34">
        <f>IF($J3251=1,LN(1+O3251),"")</f>
        <v/>
      </c>
      <c r="Q3251" s="34">
        <f>IF($J3251=1,LN(R3252/R3251),"")</f>
        <v/>
      </c>
      <c r="R3251" s="32" t="n">
        <v>3.8571</v>
      </c>
      <c r="S3251" s="35" t="n">
        <v>6.148</v>
      </c>
      <c r="T3251" s="18" t="n">
        <v>97821.25999999999</v>
      </c>
      <c r="U3251" s="18" t="n"/>
      <c r="V3251" s="18" t="n"/>
      <c r="W3251" s="18" t="n"/>
      <c r="X3251" s="35" t="n"/>
      <c r="Y3251" s="35" t="n">
        <v>6.148</v>
      </c>
    </row>
    <row r="3252">
      <c r="A3252" s="25" t="n">
        <v>43626</v>
      </c>
      <c r="B3252" s="18" t="n">
        <v>97466.69</v>
      </c>
      <c r="C3252" s="31" t="n"/>
      <c r="D3252" s="32" t="n"/>
      <c r="E3252" s="33" t="n">
        <v>-0.1192</v>
      </c>
      <c r="F3252" t="inlineStr">
        <is>
          <t>Up</t>
        </is>
      </c>
      <c r="G3252" t="inlineStr">
        <is>
          <t>Down</t>
        </is>
      </c>
      <c r="H3252" t="inlineStr">
        <is>
          <t>EU_JD</t>
        </is>
      </c>
      <c r="I3252" t="inlineStr">
        <is>
          <t>2019-06</t>
        </is>
      </c>
      <c r="J3252" t="n">
        <v>1</v>
      </c>
      <c r="K3252" t="n">
        <v>1</v>
      </c>
      <c r="L3252" s="34">
        <f>IF($J3252=1,LN(B3253/B3252),"")</f>
        <v/>
      </c>
      <c r="M3252" s="34">
        <f>IF($K3252=1,INDEX(Mensal!$D$2:$D$245,MATCH($I3252,Mensal!$A$2:$A$245,0)),"")</f>
        <v/>
      </c>
      <c r="N3252" s="34">
        <f>IF($K3252=1,L3252-M3252,"")</f>
        <v/>
      </c>
      <c r="O3252" s="34" t="n">
        <v>0.0002462</v>
      </c>
      <c r="P3252" s="34">
        <f>IF($J3252=1,LN(1+O3252),"")</f>
        <v/>
      </c>
      <c r="Q3252" s="34">
        <f>IF($J3252=1,LN(R3253/R3252),"")</f>
        <v/>
      </c>
      <c r="R3252" s="32" t="n">
        <v>3.879</v>
      </c>
      <c r="S3252" s="35" t="n">
        <v>6.09</v>
      </c>
      <c r="T3252" s="18" t="n">
        <v>97466.69</v>
      </c>
      <c r="U3252" s="18" t="n"/>
      <c r="V3252" s="18" t="n"/>
      <c r="W3252" s="18" t="n"/>
      <c r="X3252" s="35" t="n"/>
      <c r="Y3252" s="35" t="n">
        <v>6.09</v>
      </c>
    </row>
    <row r="3253">
      <c r="A3253" s="25" t="n">
        <v>43627</v>
      </c>
      <c r="B3253" s="18" t="n">
        <v>98960</v>
      </c>
      <c r="C3253" s="31" t="n"/>
      <c r="D3253" s="32" t="n"/>
      <c r="E3253" s="33" t="n">
        <v>-0.1668</v>
      </c>
      <c r="F3253" t="inlineStr">
        <is>
          <t>Up</t>
        </is>
      </c>
      <c r="G3253" t="inlineStr">
        <is>
          <t>Down</t>
        </is>
      </c>
      <c r="H3253" t="inlineStr">
        <is>
          <t>EU_JD</t>
        </is>
      </c>
      <c r="I3253" t="inlineStr">
        <is>
          <t>2019-06</t>
        </is>
      </c>
      <c r="J3253" t="n">
        <v>1</v>
      </c>
      <c r="K3253" t="n">
        <v>1</v>
      </c>
      <c r="L3253" s="34">
        <f>IF($J3253=1,LN(B3254/B3253),"")</f>
        <v/>
      </c>
      <c r="M3253" s="34">
        <f>IF($K3253=1,INDEX(Mensal!$D$2:$D$245,MATCH($I3253,Mensal!$A$2:$A$245,0)),"")</f>
        <v/>
      </c>
      <c r="N3253" s="34">
        <f>IF($K3253=1,L3253-M3253,"")</f>
        <v/>
      </c>
      <c r="O3253" s="34" t="n">
        <v>0.0002462</v>
      </c>
      <c r="P3253" s="34">
        <f>IF($J3253=1,LN(1+O3253),"")</f>
        <v/>
      </c>
      <c r="Q3253" s="34">
        <f>IF($J3253=1,LN(R3254/R3253),"")</f>
        <v/>
      </c>
      <c r="R3253" s="32" t="n">
        <v>3.8664</v>
      </c>
      <c r="S3253" s="35" t="n">
        <v>6.073</v>
      </c>
      <c r="T3253" s="18" t="n">
        <v>98960</v>
      </c>
      <c r="U3253" s="18" t="n"/>
      <c r="V3253" s="18" t="n"/>
      <c r="W3253" s="18" t="n"/>
      <c r="X3253" s="35" t="n"/>
      <c r="Y3253" s="35" t="n">
        <v>6.073</v>
      </c>
    </row>
    <row r="3254">
      <c r="A3254" s="25" t="n">
        <v>43628</v>
      </c>
      <c r="B3254" s="18" t="n">
        <v>98320.88</v>
      </c>
      <c r="C3254" s="31" t="n"/>
      <c r="D3254" s="32" t="n"/>
      <c r="E3254" s="33" t="n">
        <v>-0.2109</v>
      </c>
      <c r="F3254" t="inlineStr">
        <is>
          <t>Up</t>
        </is>
      </c>
      <c r="G3254" t="inlineStr">
        <is>
          <t>Down</t>
        </is>
      </c>
      <c r="H3254" t="inlineStr">
        <is>
          <t>EU_JD</t>
        </is>
      </c>
      <c r="I3254" t="inlineStr">
        <is>
          <t>2019-06</t>
        </is>
      </c>
      <c r="J3254" t="n">
        <v>1</v>
      </c>
      <c r="K3254" t="n">
        <v>1</v>
      </c>
      <c r="L3254" s="34">
        <f>IF($J3254=1,LN(B3255/B3254),"")</f>
        <v/>
      </c>
      <c r="M3254" s="34">
        <f>IF($K3254=1,INDEX(Mensal!$D$2:$D$245,MATCH($I3254,Mensal!$A$2:$A$245,0)),"")</f>
        <v/>
      </c>
      <c r="N3254" s="34">
        <f>IF($K3254=1,L3254-M3254,"")</f>
        <v/>
      </c>
      <c r="O3254" s="34" t="n">
        <v>0.0002462</v>
      </c>
      <c r="P3254" s="34">
        <f>IF($J3254=1,LN(1+O3254),"")</f>
        <v/>
      </c>
      <c r="Q3254" s="34">
        <f>IF($J3254=1,LN(R3255/R3254),"")</f>
        <v/>
      </c>
      <c r="R3254" s="32" t="n">
        <v>3.8437</v>
      </c>
      <c r="S3254" s="35" t="n">
        <v>6.065</v>
      </c>
      <c r="T3254" s="18" t="n">
        <v>98320.88</v>
      </c>
      <c r="U3254" s="18" t="n"/>
      <c r="V3254" s="18" t="n"/>
      <c r="W3254" s="18" t="n"/>
      <c r="X3254" s="35" t="n"/>
      <c r="Y3254" s="35" t="n">
        <v>6.065</v>
      </c>
    </row>
    <row r="3255">
      <c r="A3255" s="25" t="n">
        <v>43629</v>
      </c>
      <c r="B3255" s="18" t="n">
        <v>98773.7</v>
      </c>
      <c r="C3255" s="31" t="n"/>
      <c r="D3255" s="32" t="n"/>
      <c r="E3255" s="33" t="n">
        <v>-0.255</v>
      </c>
      <c r="F3255" t="inlineStr">
        <is>
          <t>Up</t>
        </is>
      </c>
      <c r="G3255" t="inlineStr">
        <is>
          <t>Down</t>
        </is>
      </c>
      <c r="H3255" t="inlineStr">
        <is>
          <t>EU_JD</t>
        </is>
      </c>
      <c r="I3255" t="inlineStr">
        <is>
          <t>2019-06</t>
        </is>
      </c>
      <c r="J3255" t="n">
        <v>1</v>
      </c>
      <c r="K3255" t="n">
        <v>1</v>
      </c>
      <c r="L3255" s="34">
        <f>IF($J3255=1,LN(B3256/B3255),"")</f>
        <v/>
      </c>
      <c r="M3255" s="34">
        <f>IF($K3255=1,INDEX(Mensal!$D$2:$D$245,MATCH($I3255,Mensal!$A$2:$A$245,0)),"")</f>
        <v/>
      </c>
      <c r="N3255" s="34">
        <f>IF($K3255=1,L3255-M3255,"")</f>
        <v/>
      </c>
      <c r="O3255" s="34" t="n">
        <v>0.0002462</v>
      </c>
      <c r="P3255" s="34">
        <f>IF($J3255=1,LN(1+O3255),"")</f>
        <v/>
      </c>
      <c r="Q3255" s="34">
        <f>IF($J3255=1,LN(R3256/R3255),"")</f>
        <v/>
      </c>
      <c r="R3255" s="32" t="n">
        <v>3.8429</v>
      </c>
      <c r="S3255" s="35" t="n">
        <v>5.975</v>
      </c>
      <c r="T3255" s="18" t="n">
        <v>98773.7</v>
      </c>
      <c r="U3255" s="18" t="n"/>
      <c r="V3255" s="18" t="n"/>
      <c r="W3255" s="18" t="n"/>
      <c r="X3255" s="35" t="n"/>
      <c r="Y3255" s="35" t="n">
        <v>5.975</v>
      </c>
    </row>
    <row r="3256">
      <c r="A3256" s="25" t="n">
        <v>43630</v>
      </c>
      <c r="B3256" s="18" t="n">
        <v>98040.06</v>
      </c>
      <c r="C3256" s="31" t="n"/>
      <c r="D3256" s="32" t="n"/>
      <c r="E3256" s="33" t="n">
        <v>-0.298</v>
      </c>
      <c r="F3256" t="inlineStr">
        <is>
          <t>Up</t>
        </is>
      </c>
      <c r="G3256" t="inlineStr">
        <is>
          <t>Down</t>
        </is>
      </c>
      <c r="H3256" t="inlineStr">
        <is>
          <t>EU_JD</t>
        </is>
      </c>
      <c r="I3256" t="inlineStr">
        <is>
          <t>2019-06</t>
        </is>
      </c>
      <c r="J3256" t="n">
        <v>1</v>
      </c>
      <c r="K3256" t="n">
        <v>1</v>
      </c>
      <c r="L3256" s="34">
        <f>IF($J3256=1,LN(B3257/B3256),"")</f>
        <v/>
      </c>
      <c r="M3256" s="34">
        <f>IF($K3256=1,INDEX(Mensal!$D$2:$D$245,MATCH($I3256,Mensal!$A$2:$A$245,0)),"")</f>
        <v/>
      </c>
      <c r="N3256" s="34">
        <f>IF($K3256=1,L3256-M3256,"")</f>
        <v/>
      </c>
      <c r="O3256" s="34" t="n">
        <v>0.0002462</v>
      </c>
      <c r="P3256" s="34">
        <f>IF($J3256=1,LN(1+O3256),"")</f>
        <v/>
      </c>
      <c r="Q3256" s="34">
        <f>IF($J3256=1,LN(R3257/R3256),"")</f>
        <v/>
      </c>
      <c r="R3256" s="32" t="n">
        <v>3.8813</v>
      </c>
      <c r="S3256" s="35" t="n">
        <v>5.915</v>
      </c>
      <c r="T3256" s="18" t="n">
        <v>98040.06</v>
      </c>
      <c r="U3256" s="18" t="n"/>
      <c r="V3256" s="18" t="n"/>
      <c r="W3256" s="18" t="n"/>
      <c r="X3256" s="35" t="n"/>
      <c r="Y3256" s="35" t="n">
        <v>5.915</v>
      </c>
    </row>
    <row r="3257">
      <c r="A3257" s="25" t="n">
        <v>43633</v>
      </c>
      <c r="B3257" s="18" t="n">
        <v>97623.25</v>
      </c>
      <c r="C3257" s="31" t="n"/>
      <c r="D3257" s="32" t="n"/>
      <c r="E3257" s="33" t="n">
        <v>-0.3433</v>
      </c>
      <c r="F3257" t="inlineStr">
        <is>
          <t>Up</t>
        </is>
      </c>
      <c r="G3257" t="inlineStr">
        <is>
          <t>Down</t>
        </is>
      </c>
      <c r="H3257" t="inlineStr">
        <is>
          <t>EU_JD</t>
        </is>
      </c>
      <c r="I3257" t="inlineStr">
        <is>
          <t>2019-06</t>
        </is>
      </c>
      <c r="J3257" t="n">
        <v>1</v>
      </c>
      <c r="K3257" t="n">
        <v>1</v>
      </c>
      <c r="L3257" s="34">
        <f>IF($J3257=1,LN(B3258/B3257),"")</f>
        <v/>
      </c>
      <c r="M3257" s="34">
        <f>IF($K3257=1,INDEX(Mensal!$D$2:$D$245,MATCH($I3257,Mensal!$A$2:$A$245,0)),"")</f>
        <v/>
      </c>
      <c r="N3257" s="34">
        <f>IF($K3257=1,L3257-M3257,"")</f>
        <v/>
      </c>
      <c r="O3257" s="34" t="n">
        <v>0.0002462</v>
      </c>
      <c r="P3257" s="34">
        <f>IF($J3257=1,LN(1+O3257),"")</f>
        <v/>
      </c>
      <c r="Q3257" s="34">
        <f>IF($J3257=1,LN(R3258/R3257),"")</f>
        <v/>
      </c>
      <c r="R3257" s="32" t="n">
        <v>3.8895</v>
      </c>
      <c r="S3257" s="35" t="n">
        <v>5.932</v>
      </c>
      <c r="T3257" s="18" t="n">
        <v>97623.25</v>
      </c>
      <c r="U3257" s="18" t="n"/>
      <c r="V3257" s="18" t="n"/>
      <c r="W3257" s="18" t="n"/>
      <c r="X3257" s="35" t="n"/>
      <c r="Y3257" s="35" t="n">
        <v>5.932</v>
      </c>
    </row>
    <row r="3258">
      <c r="A3258" s="25" t="n">
        <v>43634</v>
      </c>
      <c r="B3258" s="18" t="n">
        <v>99404.39</v>
      </c>
      <c r="C3258" s="31" t="n"/>
      <c r="D3258" s="32" t="n"/>
      <c r="E3258" s="33" t="n">
        <v>-0.386</v>
      </c>
      <c r="F3258" t="inlineStr">
        <is>
          <t>Up</t>
        </is>
      </c>
      <c r="G3258" t="inlineStr">
        <is>
          <t>Down</t>
        </is>
      </c>
      <c r="H3258" t="inlineStr">
        <is>
          <t>EU_JD</t>
        </is>
      </c>
      <c r="I3258" t="inlineStr">
        <is>
          <t>2019-06</t>
        </is>
      </c>
      <c r="J3258" t="n">
        <v>1</v>
      </c>
      <c r="K3258" t="n">
        <v>1</v>
      </c>
      <c r="L3258" s="34">
        <f>IF($J3258=1,LN(B3259/B3258),"")</f>
        <v/>
      </c>
      <c r="M3258" s="34">
        <f>IF($K3258=1,INDEX(Mensal!$D$2:$D$245,MATCH($I3258,Mensal!$A$2:$A$245,0)),"")</f>
        <v/>
      </c>
      <c r="N3258" s="34">
        <f>IF($K3258=1,L3258-M3258,"")</f>
        <v/>
      </c>
      <c r="O3258" s="34" t="n">
        <v>0.0002462</v>
      </c>
      <c r="P3258" s="34">
        <f>IF($J3258=1,LN(1+O3258),"")</f>
        <v/>
      </c>
      <c r="Q3258" s="34">
        <f>IF($J3258=1,LN(R3259/R3258),"")</f>
        <v/>
      </c>
      <c r="R3258" s="32" t="n">
        <v>3.8608</v>
      </c>
      <c r="S3258" s="35" t="n">
        <v>5.923</v>
      </c>
      <c r="T3258" s="18" t="n">
        <v>99404.39</v>
      </c>
      <c r="U3258" s="18" t="n"/>
      <c r="V3258" s="18" t="n"/>
      <c r="W3258" s="18" t="n"/>
      <c r="X3258" s="35" t="n"/>
      <c r="Y3258" s="35" t="n">
        <v>5.923</v>
      </c>
    </row>
    <row r="3259">
      <c r="A3259" s="25" t="n">
        <v>43635</v>
      </c>
      <c r="B3259" s="18" t="n">
        <v>100303.41</v>
      </c>
      <c r="C3259" s="31" t="n"/>
      <c r="D3259" s="32" t="n"/>
      <c r="E3259" s="33" t="n">
        <v>-0.4253</v>
      </c>
      <c r="F3259" t="inlineStr">
        <is>
          <t>Up</t>
        </is>
      </c>
      <c r="G3259" t="inlineStr">
        <is>
          <t>Down</t>
        </is>
      </c>
      <c r="H3259" t="inlineStr">
        <is>
          <t>EU_JD</t>
        </is>
      </c>
      <c r="I3259" t="inlineStr">
        <is>
          <t>2019-06</t>
        </is>
      </c>
      <c r="J3259" t="n">
        <v>1</v>
      </c>
      <c r="K3259" t="n">
        <v>1</v>
      </c>
      <c r="L3259" s="34">
        <f>IF($J3259=1,LN(B3260/B3259),"")</f>
        <v/>
      </c>
      <c r="M3259" s="34">
        <f>IF($K3259=1,INDEX(Mensal!$D$2:$D$245,MATCH($I3259,Mensal!$A$2:$A$245,0)),"")</f>
        <v/>
      </c>
      <c r="N3259" s="34">
        <f>IF($K3259=1,L3259-M3259,"")</f>
        <v/>
      </c>
      <c r="O3259" s="34" t="n">
        <v>0.0002462</v>
      </c>
      <c r="P3259" s="34">
        <f>IF($J3259=1,LN(1+O3259),"")</f>
        <v/>
      </c>
      <c r="Q3259" s="34">
        <f>IF($J3259=1,LN(R3260/R3259),"")</f>
        <v/>
      </c>
      <c r="R3259" s="32" t="n">
        <v>3.8723</v>
      </c>
      <c r="S3259" s="35" t="n">
        <v>5.935</v>
      </c>
      <c r="T3259" s="18" t="n">
        <v>100303.41</v>
      </c>
      <c r="U3259" s="18" t="n"/>
      <c r="V3259" s="18" t="n"/>
      <c r="W3259" s="18" t="n"/>
      <c r="X3259" s="35" t="n"/>
      <c r="Y3259" s="35" t="n">
        <v>5.935</v>
      </c>
    </row>
    <row r="3260">
      <c r="A3260" s="25" t="n">
        <v>43637</v>
      </c>
      <c r="B3260" s="18" t="n">
        <v>102012.64</v>
      </c>
      <c r="C3260" s="31" t="n"/>
      <c r="D3260" s="32" t="n"/>
      <c r="E3260" s="33" t="n">
        <v>-0.4584</v>
      </c>
      <c r="F3260" t="inlineStr">
        <is>
          <t>Up</t>
        </is>
      </c>
      <c r="G3260" t="inlineStr">
        <is>
          <t>Down</t>
        </is>
      </c>
      <c r="H3260" t="inlineStr">
        <is>
          <t>EU_JD</t>
        </is>
      </c>
      <c r="I3260" t="inlineStr">
        <is>
          <t>2019-06</t>
        </is>
      </c>
      <c r="J3260" t="n">
        <v>1</v>
      </c>
      <c r="K3260" t="n">
        <v>1</v>
      </c>
      <c r="L3260" s="34">
        <f>IF($J3260=1,LN(B3261/B3260),"")</f>
        <v/>
      </c>
      <c r="M3260" s="34">
        <f>IF($K3260=1,INDEX(Mensal!$D$2:$D$245,MATCH($I3260,Mensal!$A$2:$A$245,0)),"")</f>
        <v/>
      </c>
      <c r="N3260" s="34">
        <f>IF($K3260=1,L3260-M3260,"")</f>
        <v/>
      </c>
      <c r="O3260" s="34" t="n">
        <v>0.0002462</v>
      </c>
      <c r="P3260" s="34">
        <f>IF($J3260=1,LN(1+O3260),"")</f>
        <v/>
      </c>
      <c r="Q3260" s="34">
        <f>IF($J3260=1,LN(R3261/R3260),"")</f>
        <v/>
      </c>
      <c r="R3260" s="32" t="n">
        <v>3.8255</v>
      </c>
      <c r="S3260" s="35" t="n">
        <v>5.783</v>
      </c>
      <c r="T3260" s="18" t="n">
        <v>102012.64</v>
      </c>
      <c r="U3260" s="18" t="n"/>
      <c r="V3260" s="18" t="n"/>
      <c r="W3260" s="18" t="n"/>
      <c r="X3260" s="35" t="n"/>
      <c r="Y3260" s="35" t="n">
        <v>5.783</v>
      </c>
    </row>
    <row r="3261">
      <c r="A3261" s="25" t="n">
        <v>43640</v>
      </c>
      <c r="B3261" s="18" t="n">
        <v>102062.33</v>
      </c>
      <c r="C3261" s="31" t="n"/>
      <c r="D3261" s="32" t="n"/>
      <c r="E3261" s="33" t="n">
        <v>-0.4917</v>
      </c>
      <c r="F3261" t="inlineStr">
        <is>
          <t>Up</t>
        </is>
      </c>
      <c r="G3261" t="inlineStr">
        <is>
          <t>Down</t>
        </is>
      </c>
      <c r="H3261" t="inlineStr">
        <is>
          <t>EU_JD</t>
        </is>
      </c>
      <c r="I3261" t="inlineStr">
        <is>
          <t>2019-06</t>
        </is>
      </c>
      <c r="J3261" t="n">
        <v>1</v>
      </c>
      <c r="K3261" t="n">
        <v>1</v>
      </c>
      <c r="L3261" s="34">
        <f>IF($J3261=1,LN(B3262/B3261),"")</f>
        <v/>
      </c>
      <c r="M3261" s="34">
        <f>IF($K3261=1,INDEX(Mensal!$D$2:$D$245,MATCH($I3261,Mensal!$A$2:$A$245,0)),"")</f>
        <v/>
      </c>
      <c r="N3261" s="34">
        <f>IF($K3261=1,L3261-M3261,"")</f>
        <v/>
      </c>
      <c r="O3261" s="34" t="n">
        <v>0.0002462</v>
      </c>
      <c r="P3261" s="34">
        <f>IF($J3261=1,LN(1+O3261),"")</f>
        <v/>
      </c>
      <c r="Q3261" s="34">
        <f>IF($J3261=1,LN(R3262/R3261),"")</f>
        <v/>
      </c>
      <c r="R3261" s="32" t="n">
        <v>3.8234</v>
      </c>
      <c r="S3261" s="35" t="n">
        <v>5.778</v>
      </c>
      <c r="T3261" s="18" t="n">
        <v>102062.33</v>
      </c>
      <c r="U3261" s="18" t="n"/>
      <c r="V3261" s="18" t="n"/>
      <c r="W3261" s="18" t="n"/>
      <c r="X3261" s="35" t="n"/>
      <c r="Y3261" s="35" t="n">
        <v>5.778</v>
      </c>
    </row>
    <row r="3262">
      <c r="A3262" s="25" t="n">
        <v>43641</v>
      </c>
      <c r="B3262" s="18" t="n">
        <v>100092.95</v>
      </c>
      <c r="C3262" s="31" t="n"/>
      <c r="D3262" s="32" t="n"/>
      <c r="E3262" s="33" t="n">
        <v>-0.5254</v>
      </c>
      <c r="F3262" t="inlineStr">
        <is>
          <t>Up</t>
        </is>
      </c>
      <c r="G3262" t="inlineStr">
        <is>
          <t>Down</t>
        </is>
      </c>
      <c r="H3262" t="inlineStr">
        <is>
          <t>EU_JD</t>
        </is>
      </c>
      <c r="I3262" t="inlineStr">
        <is>
          <t>2019-06</t>
        </is>
      </c>
      <c r="J3262" t="n">
        <v>1</v>
      </c>
      <c r="K3262" t="n">
        <v>1</v>
      </c>
      <c r="L3262" s="34">
        <f>IF($J3262=1,LN(B3263/B3262),"")</f>
        <v/>
      </c>
      <c r="M3262" s="34">
        <f>IF($K3262=1,INDEX(Mensal!$D$2:$D$245,MATCH($I3262,Mensal!$A$2:$A$245,0)),"")</f>
        <v/>
      </c>
      <c r="N3262" s="34">
        <f>IF($K3262=1,L3262-M3262,"")</f>
        <v/>
      </c>
      <c r="O3262" s="34" t="n">
        <v>0.0002462</v>
      </c>
      <c r="P3262" s="34">
        <f>IF($J3262=1,LN(1+O3262),"")</f>
        <v/>
      </c>
      <c r="Q3262" s="34">
        <f>IF($J3262=1,LN(R3263/R3262),"")</f>
        <v/>
      </c>
      <c r="R3262" s="32" t="n">
        <v>3.8303</v>
      </c>
      <c r="S3262" s="35" t="n">
        <v>5.875</v>
      </c>
      <c r="T3262" s="18" t="n">
        <v>100092.95</v>
      </c>
      <c r="U3262" s="18" t="n"/>
      <c r="V3262" s="18" t="n"/>
      <c r="W3262" s="18" t="n"/>
      <c r="X3262" s="35" t="n"/>
      <c r="Y3262" s="35" t="n">
        <v>5.875</v>
      </c>
    </row>
    <row r="3263">
      <c r="A3263" s="25" t="n">
        <v>43642</v>
      </c>
      <c r="B3263" s="18" t="n">
        <v>100688.63</v>
      </c>
      <c r="C3263" s="31" t="n"/>
      <c r="D3263" s="32" t="n"/>
      <c r="E3263" s="33" t="n">
        <v>-0.5461</v>
      </c>
      <c r="F3263" t="inlineStr">
        <is>
          <t>Up</t>
        </is>
      </c>
      <c r="G3263" t="inlineStr">
        <is>
          <t>Down</t>
        </is>
      </c>
      <c r="H3263" t="inlineStr">
        <is>
          <t>EU_JD</t>
        </is>
      </c>
      <c r="I3263" t="inlineStr">
        <is>
          <t>2019-06</t>
        </is>
      </c>
      <c r="J3263" t="n">
        <v>1</v>
      </c>
      <c r="K3263" t="n">
        <v>1</v>
      </c>
      <c r="L3263" s="34">
        <f>IF($J3263=1,LN(B3264/B3263),"")</f>
        <v/>
      </c>
      <c r="M3263" s="34">
        <f>IF($K3263=1,INDEX(Mensal!$D$2:$D$245,MATCH($I3263,Mensal!$A$2:$A$245,0)),"")</f>
        <v/>
      </c>
      <c r="N3263" s="34">
        <f>IF($K3263=1,L3263-M3263,"")</f>
        <v/>
      </c>
      <c r="O3263" s="34" t="n">
        <v>0.0002462</v>
      </c>
      <c r="P3263" s="34">
        <f>IF($J3263=1,LN(1+O3263),"")</f>
        <v/>
      </c>
      <c r="Q3263" s="34">
        <f>IF($J3263=1,LN(R3264/R3263),"")</f>
        <v/>
      </c>
      <c r="R3263" s="32" t="n">
        <v>3.8441</v>
      </c>
      <c r="S3263" s="35" t="n">
        <v>5.884</v>
      </c>
      <c r="T3263" s="18" t="n">
        <v>100688.63</v>
      </c>
      <c r="U3263" s="18" t="n"/>
      <c r="V3263" s="18" t="n"/>
      <c r="W3263" s="18" t="n"/>
      <c r="X3263" s="35" t="n"/>
      <c r="Y3263" s="35" t="n">
        <v>5.884</v>
      </c>
    </row>
    <row r="3264">
      <c r="A3264" s="25" t="n">
        <v>43643</v>
      </c>
      <c r="B3264" s="18" t="n">
        <v>100723.97</v>
      </c>
      <c r="C3264" s="31" t="n"/>
      <c r="D3264" s="32" t="n"/>
      <c r="E3264" s="33" t="n">
        <v>-0.5637</v>
      </c>
      <c r="F3264" t="inlineStr">
        <is>
          <t>Up</t>
        </is>
      </c>
      <c r="G3264" t="inlineStr">
        <is>
          <t>Down</t>
        </is>
      </c>
      <c r="H3264" t="inlineStr">
        <is>
          <t>EU_JD</t>
        </is>
      </c>
      <c r="I3264" t="inlineStr">
        <is>
          <t>2019-06</t>
        </is>
      </c>
      <c r="J3264" t="n">
        <v>1</v>
      </c>
      <c r="K3264" t="n">
        <v>1</v>
      </c>
      <c r="L3264" s="34">
        <f>IF($J3264=1,LN(B3265/B3264),"")</f>
        <v/>
      </c>
      <c r="M3264" s="34">
        <f>IF($K3264=1,INDEX(Mensal!$D$2:$D$245,MATCH($I3264,Mensal!$A$2:$A$245,0)),"")</f>
        <v/>
      </c>
      <c r="N3264" s="34">
        <f>IF($K3264=1,L3264-M3264,"")</f>
        <v/>
      </c>
      <c r="O3264" s="34" t="n">
        <v>0.0002462</v>
      </c>
      <c r="P3264" s="34">
        <f>IF($J3264=1,LN(1+O3264),"")</f>
        <v/>
      </c>
      <c r="Q3264" s="34">
        <f>IF($J3264=1,LN(R3265/R3264),"")</f>
        <v/>
      </c>
      <c r="R3264" s="32" t="n">
        <v>3.8642</v>
      </c>
      <c r="S3264" s="35" t="n">
        <v>5.866</v>
      </c>
      <c r="T3264" s="18" t="n">
        <v>100723.97</v>
      </c>
      <c r="U3264" s="18" t="n"/>
      <c r="V3264" s="18" t="n"/>
      <c r="W3264" s="18" t="n"/>
      <c r="X3264" s="35" t="n"/>
      <c r="Y3264" s="35" t="n">
        <v>5.866</v>
      </c>
    </row>
    <row r="3265">
      <c r="A3265" s="25" t="n">
        <v>43644</v>
      </c>
      <c r="B3265" s="18" t="n">
        <v>100967.2</v>
      </c>
      <c r="C3265" s="31" t="n"/>
      <c r="D3265" s="32" t="n"/>
      <c r="E3265" s="33" t="n">
        <v>-0.5824</v>
      </c>
      <c r="F3265" t="inlineStr">
        <is>
          <t>Up</t>
        </is>
      </c>
      <c r="G3265" t="inlineStr">
        <is>
          <t>Down</t>
        </is>
      </c>
      <c r="H3265" t="inlineStr">
        <is>
          <t>EU_JD</t>
        </is>
      </c>
      <c r="I3265" t="inlineStr">
        <is>
          <t>2019-06</t>
        </is>
      </c>
      <c r="J3265" t="n">
        <v>1</v>
      </c>
      <c r="K3265" t="n">
        <v>1</v>
      </c>
      <c r="L3265" s="34">
        <f>IF($J3265=1,LN(B3266/B3265),"")</f>
        <v/>
      </c>
      <c r="M3265" s="34">
        <f>IF($K3265=1,INDEX(Mensal!$D$2:$D$245,MATCH($I3265,Mensal!$A$2:$A$245,0)),"")</f>
        <v/>
      </c>
      <c r="N3265" s="34">
        <f>IF($K3265=1,L3265-M3265,"")</f>
        <v/>
      </c>
      <c r="O3265" s="34" t="n">
        <v>0.0002462</v>
      </c>
      <c r="P3265" s="34">
        <f>IF($J3265=1,LN(1+O3265),"")</f>
        <v/>
      </c>
      <c r="Q3265" s="34">
        <f>IF($J3265=1,LN(R3266/R3265),"")</f>
        <v/>
      </c>
      <c r="R3265" s="32" t="n">
        <v>3.8322</v>
      </c>
      <c r="S3265" s="35" t="n">
        <v>5.803</v>
      </c>
      <c r="T3265" s="18" t="n">
        <v>100967.2</v>
      </c>
      <c r="U3265" s="18" t="n"/>
      <c r="V3265" s="18" t="n"/>
      <c r="W3265" s="18" t="n"/>
      <c r="X3265" s="35" t="n"/>
      <c r="Y3265" s="35" t="n">
        <v>5.803</v>
      </c>
    </row>
    <row r="3266">
      <c r="A3266" s="25" t="n">
        <v>43647</v>
      </c>
      <c r="B3266" s="18" t="n">
        <v>101339.68</v>
      </c>
      <c r="C3266" s="31" t="n"/>
      <c r="D3266" s="32" t="n"/>
      <c r="E3266" s="33" t="n">
        <v>-0.601</v>
      </c>
      <c r="F3266" t="inlineStr">
        <is>
          <t>Up</t>
        </is>
      </c>
      <c r="G3266" t="inlineStr">
        <is>
          <t>Down</t>
        </is>
      </c>
      <c r="H3266" t="inlineStr">
        <is>
          <t>EU_JD</t>
        </is>
      </c>
      <c r="I3266" t="inlineStr">
        <is>
          <t>2019-07</t>
        </is>
      </c>
      <c r="J3266" t="n">
        <v>1</v>
      </c>
      <c r="K3266" t="n">
        <v>1</v>
      </c>
      <c r="L3266" s="34">
        <f>IF($J3266=1,LN(B3267/B3266),"")</f>
        <v/>
      </c>
      <c r="M3266" s="34">
        <f>IF($K3266=1,INDEX(Mensal!$D$2:$D$245,MATCH($I3266,Mensal!$A$2:$A$245,0)),"")</f>
        <v/>
      </c>
      <c r="N3266" s="34">
        <f>IF($K3266=1,L3266-M3266,"")</f>
        <v/>
      </c>
      <c r="O3266" s="34" t="n">
        <v>0.0002462</v>
      </c>
      <c r="P3266" s="34">
        <f>IF($J3266=1,LN(1+O3266),"")</f>
        <v/>
      </c>
      <c r="Q3266" s="34">
        <f>IF($J3266=1,LN(R3267/R3266),"")</f>
        <v/>
      </c>
      <c r="R3266" s="32" t="n">
        <v>3.8193</v>
      </c>
      <c r="S3266" s="35" t="n">
        <v>5.768</v>
      </c>
      <c r="T3266" s="18" t="n">
        <v>101339.68</v>
      </c>
      <c r="U3266" s="18" t="n"/>
      <c r="V3266" s="18" t="n"/>
      <c r="W3266" s="18" t="n"/>
      <c r="X3266" s="35" t="n"/>
      <c r="Y3266" s="35" t="n">
        <v>5.768</v>
      </c>
    </row>
    <row r="3267">
      <c r="A3267" s="25" t="n">
        <v>43648</v>
      </c>
      <c r="B3267" s="18" t="n">
        <v>100605.17</v>
      </c>
      <c r="C3267" s="31" t="n"/>
      <c r="D3267" s="32" t="n"/>
      <c r="E3267" s="33" t="n">
        <v>-0.6085</v>
      </c>
      <c r="F3267" t="inlineStr">
        <is>
          <t>Up</t>
        </is>
      </c>
      <c r="G3267" t="inlineStr">
        <is>
          <t>Down</t>
        </is>
      </c>
      <c r="H3267" t="inlineStr">
        <is>
          <t>EU_JD</t>
        </is>
      </c>
      <c r="I3267" t="inlineStr">
        <is>
          <t>2019-07</t>
        </is>
      </c>
      <c r="J3267" t="n">
        <v>1</v>
      </c>
      <c r="K3267" t="n">
        <v>1</v>
      </c>
      <c r="L3267" s="34">
        <f>IF($J3267=1,LN(B3268/B3267),"")</f>
        <v/>
      </c>
      <c r="M3267" s="34">
        <f>IF($K3267=1,INDEX(Mensal!$D$2:$D$245,MATCH($I3267,Mensal!$A$2:$A$245,0)),"")</f>
        <v/>
      </c>
      <c r="N3267" s="34">
        <f>IF($K3267=1,L3267-M3267,"")</f>
        <v/>
      </c>
      <c r="O3267" s="34" t="n">
        <v>0.0002462</v>
      </c>
      <c r="P3267" s="34">
        <f>IF($J3267=1,LN(1+O3267),"")</f>
        <v/>
      </c>
      <c r="Q3267" s="34">
        <f>IF($J3267=1,LN(R3268/R3267),"")</f>
        <v/>
      </c>
      <c r="R3267" s="32" t="n">
        <v>3.8564</v>
      </c>
      <c r="S3267" s="35" t="n">
        <v>5.797</v>
      </c>
      <c r="T3267" s="18" t="n">
        <v>100605.17</v>
      </c>
      <c r="U3267" s="18" t="n"/>
      <c r="V3267" s="18" t="n"/>
      <c r="W3267" s="18" t="n"/>
      <c r="X3267" s="35" t="n"/>
      <c r="Y3267" s="35" t="n">
        <v>5.797</v>
      </c>
    </row>
    <row r="3268">
      <c r="A3268" s="25" t="n">
        <v>43649</v>
      </c>
      <c r="B3268" s="18" t="n">
        <v>102043.11</v>
      </c>
      <c r="C3268" s="31" t="n"/>
      <c r="D3268" s="32" t="n"/>
      <c r="E3268" s="33" t="n">
        <v>-0.6141</v>
      </c>
      <c r="F3268" t="inlineStr">
        <is>
          <t>Up</t>
        </is>
      </c>
      <c r="G3268" t="inlineStr">
        <is>
          <t>Down</t>
        </is>
      </c>
      <c r="H3268" t="inlineStr">
        <is>
          <t>EU_JD</t>
        </is>
      </c>
      <c r="I3268" t="inlineStr">
        <is>
          <t>2019-07</t>
        </is>
      </c>
      <c r="J3268" t="n">
        <v>1</v>
      </c>
      <c r="K3268" t="n">
        <v>1</v>
      </c>
      <c r="L3268" s="34">
        <f>IF($J3268=1,LN(B3269/B3268),"")</f>
        <v/>
      </c>
      <c r="M3268" s="34">
        <f>IF($K3268=1,INDEX(Mensal!$D$2:$D$245,MATCH($I3268,Mensal!$A$2:$A$245,0)),"")</f>
        <v/>
      </c>
      <c r="N3268" s="34">
        <f>IF($K3268=1,L3268-M3268,"")</f>
        <v/>
      </c>
      <c r="O3268" s="34" t="n">
        <v>0.0002462</v>
      </c>
      <c r="P3268" s="34">
        <f>IF($J3268=1,LN(1+O3268),"")</f>
        <v/>
      </c>
      <c r="Q3268" s="34">
        <f>IF($J3268=1,LN(R3269/R3268),"")</f>
        <v/>
      </c>
      <c r="R3268" s="32" t="n">
        <v>3.8475</v>
      </c>
      <c r="S3268" s="35" t="n">
        <v>5.771</v>
      </c>
      <c r="T3268" s="18" t="n">
        <v>102043.11</v>
      </c>
      <c r="U3268" s="18" t="n"/>
      <c r="V3268" s="18" t="n"/>
      <c r="W3268" s="18" t="n"/>
      <c r="X3268" s="35" t="n"/>
      <c r="Y3268" s="35" t="n">
        <v>5.771</v>
      </c>
    </row>
    <row r="3269">
      <c r="A3269" s="25" t="n">
        <v>43650</v>
      </c>
      <c r="B3269" s="18" t="n">
        <v>103636.17</v>
      </c>
      <c r="C3269" s="31" t="n"/>
      <c r="D3269" s="32" t="n"/>
      <c r="E3269" s="33" t="n">
        <v>-0.6198</v>
      </c>
      <c r="F3269" t="inlineStr">
        <is>
          <t>Up</t>
        </is>
      </c>
      <c r="G3269" t="inlineStr">
        <is>
          <t>Down</t>
        </is>
      </c>
      <c r="H3269" t="inlineStr">
        <is>
          <t>EU_JD</t>
        </is>
      </c>
      <c r="I3269" t="inlineStr">
        <is>
          <t>2019-07</t>
        </is>
      </c>
      <c r="J3269" t="n">
        <v>1</v>
      </c>
      <c r="K3269" t="n">
        <v>1</v>
      </c>
      <c r="L3269" s="34">
        <f>IF($J3269=1,LN(B3270/B3269),"")</f>
        <v/>
      </c>
      <c r="M3269" s="34">
        <f>IF($K3269=1,INDEX(Mensal!$D$2:$D$245,MATCH($I3269,Mensal!$A$2:$A$245,0)),"")</f>
        <v/>
      </c>
      <c r="N3269" s="34">
        <f>IF($K3269=1,L3269-M3269,"")</f>
        <v/>
      </c>
      <c r="O3269" s="34" t="n">
        <v>0.0002462</v>
      </c>
      <c r="P3269" s="34">
        <f>IF($J3269=1,LN(1+O3269),"")</f>
        <v/>
      </c>
      <c r="Q3269" s="34">
        <f>IF($J3269=1,LN(R3270/R3269),"")</f>
        <v/>
      </c>
      <c r="R3269" s="32" t="n">
        <v>3.794</v>
      </c>
      <c r="S3269" s="35" t="n">
        <v>5.716</v>
      </c>
      <c r="T3269" s="18" t="n">
        <v>103636.17</v>
      </c>
      <c r="U3269" s="18" t="n"/>
      <c r="V3269" s="18" t="n"/>
      <c r="W3269" s="18" t="n"/>
      <c r="X3269" s="35" t="n"/>
      <c r="Y3269" s="35" t="n">
        <v>5.716</v>
      </c>
    </row>
    <row r="3270">
      <c r="A3270" s="25" t="n">
        <v>43651</v>
      </c>
      <c r="B3270" s="18" t="n">
        <v>104089.47</v>
      </c>
      <c r="C3270" s="31" t="n"/>
      <c r="D3270" s="32" t="n"/>
      <c r="E3270" s="33" t="n">
        <v>-0.627</v>
      </c>
      <c r="F3270" t="inlineStr">
        <is>
          <t>Up</t>
        </is>
      </c>
      <c r="G3270" t="inlineStr">
        <is>
          <t>Down</t>
        </is>
      </c>
      <c r="H3270" t="inlineStr">
        <is>
          <t>EU_JD</t>
        </is>
      </c>
      <c r="I3270" t="inlineStr">
        <is>
          <t>2019-07</t>
        </is>
      </c>
      <c r="J3270" t="n">
        <v>1</v>
      </c>
      <c r="K3270" t="n">
        <v>1</v>
      </c>
      <c r="L3270" s="34">
        <f>IF($J3270=1,LN(B3271/B3270),"")</f>
        <v/>
      </c>
      <c r="M3270" s="34">
        <f>IF($K3270=1,INDEX(Mensal!$D$2:$D$245,MATCH($I3270,Mensal!$A$2:$A$245,0)),"")</f>
        <v/>
      </c>
      <c r="N3270" s="34">
        <f>IF($K3270=1,L3270-M3270,"")</f>
        <v/>
      </c>
      <c r="O3270" s="34" t="n">
        <v>0.0002462</v>
      </c>
      <c r="P3270" s="34">
        <f>IF($J3270=1,LN(1+O3270),"")</f>
        <v/>
      </c>
      <c r="Q3270" s="34">
        <f>IF($J3270=1,LN(R3271/R3270),"")</f>
        <v/>
      </c>
      <c r="R3270" s="32" t="n">
        <v>3.8204</v>
      </c>
      <c r="S3270" s="35" t="n">
        <v>5.661</v>
      </c>
      <c r="T3270" s="18" t="n">
        <v>104089.47</v>
      </c>
      <c r="U3270" s="18" t="n"/>
      <c r="V3270" s="18" t="n"/>
      <c r="W3270" s="18" t="n"/>
      <c r="X3270" s="35" t="n"/>
      <c r="Y3270" s="35" t="n">
        <v>5.661</v>
      </c>
    </row>
    <row r="3271">
      <c r="A3271" s="25" t="n">
        <v>43654</v>
      </c>
      <c r="B3271" s="18" t="n">
        <v>104530.22</v>
      </c>
      <c r="C3271" s="31" t="n"/>
      <c r="D3271" s="32" t="n"/>
      <c r="E3271" s="33" t="n">
        <v>-0.6126</v>
      </c>
      <c r="F3271" t="inlineStr">
        <is>
          <t>Up</t>
        </is>
      </c>
      <c r="G3271" t="inlineStr">
        <is>
          <t>Down</t>
        </is>
      </c>
      <c r="H3271" t="inlineStr">
        <is>
          <t>EU_JD</t>
        </is>
      </c>
      <c r="I3271" t="inlineStr">
        <is>
          <t>2019-07</t>
        </is>
      </c>
      <c r="J3271" t="n">
        <v>1</v>
      </c>
      <c r="K3271" t="n">
        <v>1</v>
      </c>
      <c r="L3271" s="34">
        <f>IF($J3271=1,LN(B3272/B3271),"")</f>
        <v/>
      </c>
      <c r="M3271" s="34">
        <f>IF($K3271=1,INDEX(Mensal!$D$2:$D$245,MATCH($I3271,Mensal!$A$2:$A$245,0)),"")</f>
        <v/>
      </c>
      <c r="N3271" s="34">
        <f>IF($K3271=1,L3271-M3271,"")</f>
        <v/>
      </c>
      <c r="O3271" s="34" t="n">
        <v>0.0002462</v>
      </c>
      <c r="P3271" s="34">
        <f>IF($J3271=1,LN(1+O3271),"")</f>
        <v/>
      </c>
      <c r="Q3271" s="34">
        <f>IF($J3271=1,LN(R3272/R3271),"")</f>
        <v/>
      </c>
      <c r="R3271" s="32" t="n">
        <v>3.8065</v>
      </c>
      <c r="S3271" s="35" t="n">
        <v>5.63</v>
      </c>
      <c r="T3271" s="18" t="n">
        <v>104530.22</v>
      </c>
      <c r="U3271" s="18" t="n"/>
      <c r="V3271" s="18" t="n"/>
      <c r="W3271" s="18" t="n"/>
      <c r="X3271" s="35" t="n"/>
      <c r="Y3271" s="35" t="n">
        <v>5.63</v>
      </c>
    </row>
    <row r="3272">
      <c r="A3272" s="25" t="n">
        <v>43656</v>
      </c>
      <c r="B3272" s="18" t="n">
        <v>105817.06</v>
      </c>
      <c r="C3272" s="31" t="n"/>
      <c r="D3272" s="32" t="n"/>
      <c r="E3272" s="33" t="n">
        <v>-0.5856</v>
      </c>
      <c r="F3272" t="inlineStr">
        <is>
          <t>Up</t>
        </is>
      </c>
      <c r="G3272" t="inlineStr">
        <is>
          <t>Down</t>
        </is>
      </c>
      <c r="H3272" t="inlineStr">
        <is>
          <t>EU_JD</t>
        </is>
      </c>
      <c r="I3272" t="inlineStr">
        <is>
          <t>2019-07</t>
        </is>
      </c>
      <c r="J3272" t="n">
        <v>1</v>
      </c>
      <c r="K3272" t="n">
        <v>1</v>
      </c>
      <c r="L3272" s="34">
        <f>IF($J3272=1,LN(B3273/B3272),"")</f>
        <v/>
      </c>
      <c r="M3272" s="34">
        <f>IF($K3272=1,INDEX(Mensal!$D$2:$D$245,MATCH($I3272,Mensal!$A$2:$A$245,0)),"")</f>
        <v/>
      </c>
      <c r="N3272" s="34">
        <f>IF($K3272=1,L3272-M3272,"")</f>
        <v/>
      </c>
      <c r="O3272" s="34" t="n">
        <v>0.0002462</v>
      </c>
      <c r="P3272" s="34">
        <f>IF($J3272=1,LN(1+O3272),"")</f>
        <v/>
      </c>
      <c r="Q3272" s="34">
        <f>IF($J3272=1,LN(R3273/R3272),"")</f>
        <v/>
      </c>
      <c r="R3272" s="32" t="n">
        <v>3.7697</v>
      </c>
      <c r="S3272" s="35" t="n">
        <v>5.579</v>
      </c>
      <c r="T3272" s="18" t="n">
        <v>105817.06</v>
      </c>
      <c r="U3272" s="18" t="n"/>
      <c r="V3272" s="18" t="n"/>
      <c r="W3272" s="18" t="n"/>
      <c r="X3272" s="35" t="n"/>
      <c r="Y3272" s="35" t="n">
        <v>5.579</v>
      </c>
    </row>
    <row r="3273">
      <c r="A3273" s="25" t="n">
        <v>43657</v>
      </c>
      <c r="B3273" s="18" t="n">
        <v>105146.44</v>
      </c>
      <c r="C3273" s="31" t="n"/>
      <c r="D3273" s="32" t="n"/>
      <c r="E3273" s="33" t="n">
        <v>-0.5645</v>
      </c>
      <c r="F3273" t="inlineStr">
        <is>
          <t>Up</t>
        </is>
      </c>
      <c r="G3273" t="inlineStr">
        <is>
          <t>Down</t>
        </is>
      </c>
      <c r="H3273" t="inlineStr">
        <is>
          <t>EU_JD</t>
        </is>
      </c>
      <c r="I3273" t="inlineStr">
        <is>
          <t>2019-07</t>
        </is>
      </c>
      <c r="J3273" t="n">
        <v>1</v>
      </c>
      <c r="K3273" t="n">
        <v>1</v>
      </c>
      <c r="L3273" s="34">
        <f>IF($J3273=1,LN(B3274/B3273),"")</f>
        <v/>
      </c>
      <c r="M3273" s="34">
        <f>IF($K3273=1,INDEX(Mensal!$D$2:$D$245,MATCH($I3273,Mensal!$A$2:$A$245,0)),"")</f>
        <v/>
      </c>
      <c r="N3273" s="34">
        <f>IF($K3273=1,L3273-M3273,"")</f>
        <v/>
      </c>
      <c r="O3273" s="34" t="n">
        <v>0.0002462</v>
      </c>
      <c r="P3273" s="34">
        <f>IF($J3273=1,LN(1+O3273),"")</f>
        <v/>
      </c>
      <c r="Q3273" s="34">
        <f>IF($J3273=1,LN(R3274/R3273),"")</f>
        <v/>
      </c>
      <c r="R3273" s="32" t="n">
        <v>3.7533</v>
      </c>
      <c r="S3273" s="35" t="n">
        <v>5.575</v>
      </c>
      <c r="T3273" s="18" t="n">
        <v>105146.44</v>
      </c>
      <c r="U3273" s="18" t="n"/>
      <c r="V3273" s="18" t="n"/>
      <c r="W3273" s="18" t="n"/>
      <c r="X3273" s="35" t="n"/>
      <c r="Y3273" s="35" t="n">
        <v>5.575</v>
      </c>
    </row>
    <row r="3274">
      <c r="A3274" s="25" t="n">
        <v>43658</v>
      </c>
      <c r="B3274" s="18" t="n">
        <v>103905.99</v>
      </c>
      <c r="C3274" s="31" t="n"/>
      <c r="D3274" s="32" t="n"/>
      <c r="E3274" s="33" t="n">
        <v>-0.5425</v>
      </c>
      <c r="F3274" t="inlineStr">
        <is>
          <t>Up</t>
        </is>
      </c>
      <c r="G3274" t="inlineStr">
        <is>
          <t>Down</t>
        </is>
      </c>
      <c r="H3274" t="inlineStr">
        <is>
          <t>EU_JD</t>
        </is>
      </c>
      <c r="I3274" t="inlineStr">
        <is>
          <t>2019-07</t>
        </is>
      </c>
      <c r="J3274" t="n">
        <v>1</v>
      </c>
      <c r="K3274" t="n">
        <v>1</v>
      </c>
      <c r="L3274" s="34">
        <f>IF($J3274=1,LN(B3275/B3274),"")</f>
        <v/>
      </c>
      <c r="M3274" s="34">
        <f>IF($K3274=1,INDEX(Mensal!$D$2:$D$245,MATCH($I3274,Mensal!$A$2:$A$245,0)),"")</f>
        <v/>
      </c>
      <c r="N3274" s="34">
        <f>IF($K3274=1,L3274-M3274,"")</f>
        <v/>
      </c>
      <c r="O3274" s="34" t="n">
        <v>0.0002462</v>
      </c>
      <c r="P3274" s="34">
        <f>IF($J3274=1,LN(1+O3274),"")</f>
        <v/>
      </c>
      <c r="Q3274" s="34">
        <f>IF($J3274=1,LN(R3275/R3274),"")</f>
        <v/>
      </c>
      <c r="R3274" s="32" t="n">
        <v>3.7452</v>
      </c>
      <c r="S3274" s="35" t="n">
        <v>5.565</v>
      </c>
      <c r="T3274" s="18" t="n">
        <v>103905.99</v>
      </c>
      <c r="U3274" s="18" t="n"/>
      <c r="V3274" s="18" t="n"/>
      <c r="W3274" s="18" t="n"/>
      <c r="X3274" s="35" t="n"/>
      <c r="Y3274" s="35" t="n">
        <v>5.565</v>
      </c>
    </row>
    <row r="3275">
      <c r="A3275" s="25" t="n">
        <v>43661</v>
      </c>
      <c r="B3275" s="18" t="n">
        <v>103802.69</v>
      </c>
      <c r="C3275" s="31" t="n"/>
      <c r="D3275" s="32" t="n"/>
      <c r="E3275" s="33" t="n">
        <v>-0.5155999999999999</v>
      </c>
      <c r="F3275" t="inlineStr">
        <is>
          <t>Up</t>
        </is>
      </c>
      <c r="G3275" t="inlineStr">
        <is>
          <t>Down</t>
        </is>
      </c>
      <c r="H3275" t="inlineStr">
        <is>
          <t>EU_JD</t>
        </is>
      </c>
      <c r="I3275" t="inlineStr">
        <is>
          <t>2019-07</t>
        </is>
      </c>
      <c r="J3275" t="n">
        <v>1</v>
      </c>
      <c r="K3275" t="n">
        <v>1</v>
      </c>
      <c r="L3275" s="34">
        <f>IF($J3275=1,LN(B3276/B3275),"")</f>
        <v/>
      </c>
      <c r="M3275" s="34">
        <f>IF($K3275=1,INDEX(Mensal!$D$2:$D$245,MATCH($I3275,Mensal!$A$2:$A$245,0)),"")</f>
        <v/>
      </c>
      <c r="N3275" s="34">
        <f>IF($K3275=1,L3275-M3275,"")</f>
        <v/>
      </c>
      <c r="O3275" s="34" t="n">
        <v>0.0002462</v>
      </c>
      <c r="P3275" s="34">
        <f>IF($J3275=1,LN(1+O3275),"")</f>
        <v/>
      </c>
      <c r="Q3275" s="34">
        <f>IF($J3275=1,LN(R3276/R3275),"")</f>
        <v/>
      </c>
      <c r="R3275" s="32" t="n">
        <v>3.7463</v>
      </c>
      <c r="S3275" s="35" t="n">
        <v>5.544</v>
      </c>
      <c r="T3275" s="18" t="n">
        <v>103802.69</v>
      </c>
      <c r="U3275" s="18" t="n"/>
      <c r="V3275" s="18" t="n"/>
      <c r="W3275" s="18" t="n"/>
      <c r="X3275" s="35" t="n"/>
      <c r="Y3275" s="35" t="n">
        <v>5.544</v>
      </c>
    </row>
    <row r="3276">
      <c r="A3276" s="25" t="n">
        <v>43662</v>
      </c>
      <c r="B3276" s="18" t="n">
        <v>103775.41</v>
      </c>
      <c r="C3276" s="31" t="n"/>
      <c r="D3276" s="32" t="n"/>
      <c r="E3276" s="33" t="n">
        <v>-0.4844</v>
      </c>
      <c r="F3276" t="inlineStr">
        <is>
          <t>Up</t>
        </is>
      </c>
      <c r="G3276" t="inlineStr">
        <is>
          <t>Down</t>
        </is>
      </c>
      <c r="H3276" t="inlineStr">
        <is>
          <t>EU_JD</t>
        </is>
      </c>
      <c r="I3276" t="inlineStr">
        <is>
          <t>2019-07</t>
        </is>
      </c>
      <c r="J3276" t="n">
        <v>1</v>
      </c>
      <c r="K3276" t="n">
        <v>1</v>
      </c>
      <c r="L3276" s="34">
        <f>IF($J3276=1,LN(B3277/B3276),"")</f>
        <v/>
      </c>
      <c r="M3276" s="34">
        <f>IF($K3276=1,INDEX(Mensal!$D$2:$D$245,MATCH($I3276,Mensal!$A$2:$A$245,0)),"")</f>
        <v/>
      </c>
      <c r="N3276" s="34">
        <f>IF($K3276=1,L3276-M3276,"")</f>
        <v/>
      </c>
      <c r="O3276" s="34" t="n">
        <v>0.0002462</v>
      </c>
      <c r="P3276" s="34">
        <f>IF($J3276=1,LN(1+O3276),"")</f>
        <v/>
      </c>
      <c r="Q3276" s="34">
        <f>IF($J3276=1,LN(R3277/R3276),"")</f>
        <v/>
      </c>
      <c r="R3276" s="32" t="n">
        <v>3.7624</v>
      </c>
      <c r="S3276" s="35" t="n">
        <v>5.559</v>
      </c>
      <c r="T3276" s="18" t="n">
        <v>103775.41</v>
      </c>
      <c r="U3276" s="18" t="n"/>
      <c r="V3276" s="18" t="n"/>
      <c r="W3276" s="18" t="n"/>
      <c r="X3276" s="35" t="n"/>
      <c r="Y3276" s="35" t="n">
        <v>5.559</v>
      </c>
    </row>
    <row r="3277">
      <c r="A3277" s="25" t="n">
        <v>43663</v>
      </c>
      <c r="B3277" s="18" t="n">
        <v>103855.53</v>
      </c>
      <c r="C3277" s="31" t="n"/>
      <c r="D3277" s="32" t="n"/>
      <c r="E3277" s="33" t="n">
        <v>-0.4578</v>
      </c>
      <c r="F3277" t="inlineStr">
        <is>
          <t>Up</t>
        </is>
      </c>
      <c r="G3277" t="inlineStr">
        <is>
          <t>Down</t>
        </is>
      </c>
      <c r="H3277" t="inlineStr">
        <is>
          <t>EU_JD</t>
        </is>
      </c>
      <c r="I3277" t="inlineStr">
        <is>
          <t>2019-07</t>
        </is>
      </c>
      <c r="J3277" t="n">
        <v>1</v>
      </c>
      <c r="K3277" t="n">
        <v>1</v>
      </c>
      <c r="L3277" s="34">
        <f>IF($J3277=1,LN(B3278/B3277),"")</f>
        <v/>
      </c>
      <c r="M3277" s="34">
        <f>IF($K3277=1,INDEX(Mensal!$D$2:$D$245,MATCH($I3277,Mensal!$A$2:$A$245,0)),"")</f>
        <v/>
      </c>
      <c r="N3277" s="34">
        <f>IF($K3277=1,L3277-M3277,"")</f>
        <v/>
      </c>
      <c r="O3277" s="34" t="n">
        <v>0.0002462</v>
      </c>
      <c r="P3277" s="34">
        <f>IF($J3277=1,LN(1+O3277),"")</f>
        <v/>
      </c>
      <c r="Q3277" s="34">
        <f>IF($J3277=1,LN(R3278/R3277),"")</f>
        <v/>
      </c>
      <c r="R3277" s="32" t="n">
        <v>3.7618</v>
      </c>
      <c r="S3277" s="35" t="n">
        <v>5.558</v>
      </c>
      <c r="T3277" s="18" t="n">
        <v>103855.53</v>
      </c>
      <c r="U3277" s="18" t="n"/>
      <c r="V3277" s="18" t="n"/>
      <c r="W3277" s="18" t="n"/>
      <c r="X3277" s="35" t="n"/>
      <c r="Y3277" s="35" t="n">
        <v>5.558</v>
      </c>
    </row>
    <row r="3278">
      <c r="A3278" s="25" t="n">
        <v>43664</v>
      </c>
      <c r="B3278" s="18" t="n">
        <v>104716.59</v>
      </c>
      <c r="C3278" s="31" t="n"/>
      <c r="D3278" s="32" t="n"/>
      <c r="E3278" s="33" t="n">
        <v>-0.434</v>
      </c>
      <c r="F3278" t="inlineStr">
        <is>
          <t>Up</t>
        </is>
      </c>
      <c r="G3278" t="inlineStr">
        <is>
          <t>Down</t>
        </is>
      </c>
      <c r="H3278" t="inlineStr">
        <is>
          <t>EU_JD</t>
        </is>
      </c>
      <c r="I3278" t="inlineStr">
        <is>
          <t>2019-07</t>
        </is>
      </c>
      <c r="J3278" t="n">
        <v>1</v>
      </c>
      <c r="K3278" t="n">
        <v>1</v>
      </c>
      <c r="L3278" s="34">
        <f>IF($J3278=1,LN(B3279/B3278),"")</f>
        <v/>
      </c>
      <c r="M3278" s="34">
        <f>IF($K3278=1,INDEX(Mensal!$D$2:$D$245,MATCH($I3278,Mensal!$A$2:$A$245,0)),"")</f>
        <v/>
      </c>
      <c r="N3278" s="34">
        <f>IF($K3278=1,L3278-M3278,"")</f>
        <v/>
      </c>
      <c r="O3278" s="34" t="n">
        <v>0.0002462</v>
      </c>
      <c r="P3278" s="34">
        <f>IF($J3278=1,LN(1+O3278),"")</f>
        <v/>
      </c>
      <c r="Q3278" s="34">
        <f>IF($J3278=1,LN(R3279/R3278),"")</f>
        <v/>
      </c>
      <c r="R3278" s="32" t="n">
        <v>3.7489</v>
      </c>
      <c r="S3278" s="35" t="n">
        <v>5.514</v>
      </c>
      <c r="T3278" s="18" t="n">
        <v>104716.59</v>
      </c>
      <c r="U3278" s="18" t="n"/>
      <c r="V3278" s="18" t="n"/>
      <c r="W3278" s="18" t="n"/>
      <c r="X3278" s="35" t="n"/>
      <c r="Y3278" s="35" t="n">
        <v>5.514</v>
      </c>
    </row>
    <row r="3279">
      <c r="A3279" s="25" t="n">
        <v>43665</v>
      </c>
      <c r="B3279" s="18" t="n">
        <v>103451.93</v>
      </c>
      <c r="C3279" s="31" t="n"/>
      <c r="D3279" s="32" t="n"/>
      <c r="E3279" s="33" t="n">
        <v>-0.3983</v>
      </c>
      <c r="F3279" t="inlineStr">
        <is>
          <t>Up</t>
        </is>
      </c>
      <c r="G3279" t="inlineStr">
        <is>
          <t>Down</t>
        </is>
      </c>
      <c r="H3279" t="inlineStr">
        <is>
          <t>EU_JD</t>
        </is>
      </c>
      <c r="I3279" t="inlineStr">
        <is>
          <t>2019-07</t>
        </is>
      </c>
      <c r="J3279" t="n">
        <v>1</v>
      </c>
      <c r="K3279" t="n">
        <v>1</v>
      </c>
      <c r="L3279" s="34">
        <f>IF($J3279=1,LN(B3280/B3279),"")</f>
        <v/>
      </c>
      <c r="M3279" s="34">
        <f>IF($K3279=1,INDEX(Mensal!$D$2:$D$245,MATCH($I3279,Mensal!$A$2:$A$245,0)),"")</f>
        <v/>
      </c>
      <c r="N3279" s="34">
        <f>IF($K3279=1,L3279-M3279,"")</f>
        <v/>
      </c>
      <c r="O3279" s="34" t="n">
        <v>0.0002462</v>
      </c>
      <c r="P3279" s="34">
        <f>IF($J3279=1,LN(1+O3279),"")</f>
        <v/>
      </c>
      <c r="Q3279" s="34">
        <f>IF($J3279=1,LN(R3280/R3279),"")</f>
        <v/>
      </c>
      <c r="R3279" s="32" t="n">
        <v>3.7408</v>
      </c>
      <c r="S3279" s="35" t="n">
        <v>5.5</v>
      </c>
      <c r="T3279" s="18" t="n">
        <v>103451.93</v>
      </c>
      <c r="U3279" s="18" t="n"/>
      <c r="V3279" s="18" t="n"/>
      <c r="W3279" s="18" t="n"/>
      <c r="X3279" s="35" t="n"/>
      <c r="Y3279" s="35" t="n">
        <v>5.5</v>
      </c>
    </row>
    <row r="3280">
      <c r="A3280" s="25" t="n">
        <v>43668</v>
      </c>
      <c r="B3280" s="18" t="n">
        <v>103949.46</v>
      </c>
      <c r="C3280" s="31" t="n"/>
      <c r="D3280" s="32" t="n"/>
      <c r="E3280" s="33" t="n">
        <v>-0.3674</v>
      </c>
      <c r="F3280" t="inlineStr">
        <is>
          <t>Up</t>
        </is>
      </c>
      <c r="G3280" t="inlineStr">
        <is>
          <t>Down</t>
        </is>
      </c>
      <c r="H3280" t="inlineStr">
        <is>
          <t>EU_JD</t>
        </is>
      </c>
      <c r="I3280" t="inlineStr">
        <is>
          <t>2019-07</t>
        </is>
      </c>
      <c r="J3280" t="n">
        <v>1</v>
      </c>
      <c r="K3280" t="n">
        <v>1</v>
      </c>
      <c r="L3280" s="34">
        <f>IF($J3280=1,LN(B3281/B3280),"")</f>
        <v/>
      </c>
      <c r="M3280" s="34">
        <f>IF($K3280=1,INDEX(Mensal!$D$2:$D$245,MATCH($I3280,Mensal!$A$2:$A$245,0)),"")</f>
        <v/>
      </c>
      <c r="N3280" s="34">
        <f>IF($K3280=1,L3280-M3280,"")</f>
        <v/>
      </c>
      <c r="O3280" s="34" t="n">
        <v>0.0002462</v>
      </c>
      <c r="P3280" s="34">
        <f>IF($J3280=1,LN(1+O3280),"")</f>
        <v/>
      </c>
      <c r="Q3280" s="34">
        <f>IF($J3280=1,LN(R3281/R3280),"")</f>
        <v/>
      </c>
      <c r="R3280" s="32" t="n">
        <v>3.74</v>
      </c>
      <c r="S3280" s="35" t="n">
        <v>5.46</v>
      </c>
      <c r="T3280" s="18" t="n">
        <v>103949.46</v>
      </c>
      <c r="U3280" s="18" t="n"/>
      <c r="V3280" s="18" t="n"/>
      <c r="W3280" s="18" t="n"/>
      <c r="X3280" s="35" t="n"/>
      <c r="Y3280" s="35" t="n">
        <v>5.46</v>
      </c>
    </row>
    <row r="3281">
      <c r="A3281" s="25" t="n">
        <v>43669</v>
      </c>
      <c r="B3281" s="18" t="n">
        <v>103704.28</v>
      </c>
      <c r="C3281" s="31" t="n"/>
      <c r="D3281" s="32" t="n"/>
      <c r="E3281" s="33" t="n">
        <v>-0.3381</v>
      </c>
      <c r="F3281" t="inlineStr">
        <is>
          <t>Up</t>
        </is>
      </c>
      <c r="G3281" t="inlineStr">
        <is>
          <t>Down</t>
        </is>
      </c>
      <c r="H3281" t="inlineStr">
        <is>
          <t>EU_JD</t>
        </is>
      </c>
      <c r="I3281" t="inlineStr">
        <is>
          <t>2019-07</t>
        </is>
      </c>
      <c r="J3281" t="n">
        <v>1</v>
      </c>
      <c r="K3281" t="n">
        <v>1</v>
      </c>
      <c r="L3281" s="34">
        <f>IF($J3281=1,LN(B3282/B3281),"")</f>
        <v/>
      </c>
      <c r="M3281" s="34">
        <f>IF($K3281=1,INDEX(Mensal!$D$2:$D$245,MATCH($I3281,Mensal!$A$2:$A$245,0)),"")</f>
        <v/>
      </c>
      <c r="N3281" s="34">
        <f>IF($K3281=1,L3281-M3281,"")</f>
        <v/>
      </c>
      <c r="O3281" s="34" t="n">
        <v>0.0002462</v>
      </c>
      <c r="P3281" s="34">
        <f>IF($J3281=1,LN(1+O3281),"")</f>
        <v/>
      </c>
      <c r="Q3281" s="34">
        <f>IF($J3281=1,LN(R3282/R3281),"")</f>
        <v/>
      </c>
      <c r="R3281" s="32" t="n">
        <v>3.7621</v>
      </c>
      <c r="S3281" s="35" t="n">
        <v>5.408</v>
      </c>
      <c r="T3281" s="18" t="n">
        <v>103704.28</v>
      </c>
      <c r="U3281" s="18" t="n"/>
      <c r="V3281" s="18" t="n"/>
      <c r="W3281" s="18" t="n"/>
      <c r="X3281" s="35" t="n"/>
      <c r="Y3281" s="35" t="n">
        <v>5.408</v>
      </c>
    </row>
    <row r="3282">
      <c r="A3282" s="25" t="n">
        <v>43670</v>
      </c>
      <c r="B3282" s="18" t="n">
        <v>104119.54</v>
      </c>
      <c r="C3282" s="31" t="n"/>
      <c r="D3282" s="32" t="n"/>
      <c r="E3282" s="33" t="n">
        <v>-0.3203</v>
      </c>
      <c r="F3282" t="inlineStr">
        <is>
          <t>Up</t>
        </is>
      </c>
      <c r="G3282" t="inlineStr">
        <is>
          <t>Down</t>
        </is>
      </c>
      <c r="H3282" t="inlineStr">
        <is>
          <t>EU_JD</t>
        </is>
      </c>
      <c r="I3282" t="inlineStr">
        <is>
          <t>2019-07</t>
        </is>
      </c>
      <c r="J3282" t="n">
        <v>1</v>
      </c>
      <c r="K3282" t="n">
        <v>1</v>
      </c>
      <c r="L3282" s="34">
        <f>IF($J3282=1,LN(B3283/B3282),"")</f>
        <v/>
      </c>
      <c r="M3282" s="34">
        <f>IF($K3282=1,INDEX(Mensal!$D$2:$D$245,MATCH($I3282,Mensal!$A$2:$A$245,0)),"")</f>
        <v/>
      </c>
      <c r="N3282" s="34">
        <f>IF($K3282=1,L3282-M3282,"")</f>
        <v/>
      </c>
      <c r="O3282" s="34" t="n">
        <v>0.0002462</v>
      </c>
      <c r="P3282" s="34">
        <f>IF($J3282=1,LN(1+O3282),"")</f>
        <v/>
      </c>
      <c r="Q3282" s="34">
        <f>IF($J3282=1,LN(R3283/R3282),"")</f>
        <v/>
      </c>
      <c r="R3282" s="32" t="n">
        <v>3.7596</v>
      </c>
      <c r="S3282" s="35" t="n">
        <v>5.384</v>
      </c>
      <c r="T3282" s="18" t="n">
        <v>104119.54</v>
      </c>
      <c r="U3282" s="18" t="n"/>
      <c r="V3282" s="18" t="n"/>
      <c r="W3282" s="18" t="n"/>
      <c r="X3282" s="35" t="n"/>
      <c r="Y3282" s="35" t="n">
        <v>5.384</v>
      </c>
    </row>
    <row r="3283">
      <c r="A3283" s="25" t="n">
        <v>43671</v>
      </c>
      <c r="B3283" s="18" t="n">
        <v>102654.58</v>
      </c>
      <c r="C3283" s="31" t="n"/>
      <c r="D3283" s="32" t="n"/>
      <c r="E3283" s="33" t="n">
        <v>-0.3024</v>
      </c>
      <c r="F3283" t="inlineStr">
        <is>
          <t>Up</t>
        </is>
      </c>
      <c r="G3283" t="inlineStr">
        <is>
          <t>Down</t>
        </is>
      </c>
      <c r="H3283" t="inlineStr">
        <is>
          <t>EU_JD</t>
        </is>
      </c>
      <c r="I3283" t="inlineStr">
        <is>
          <t>2019-07</t>
        </is>
      </c>
      <c r="J3283" t="n">
        <v>1</v>
      </c>
      <c r="K3283" t="n">
        <v>1</v>
      </c>
      <c r="L3283" s="34">
        <f>IF($J3283=1,LN(B3284/B3283),"")</f>
        <v/>
      </c>
      <c r="M3283" s="34">
        <f>IF($K3283=1,INDEX(Mensal!$D$2:$D$245,MATCH($I3283,Mensal!$A$2:$A$245,0)),"")</f>
        <v/>
      </c>
      <c r="N3283" s="34">
        <f>IF($K3283=1,L3283-M3283,"")</f>
        <v/>
      </c>
      <c r="O3283" s="34" t="n">
        <v>0.0002462</v>
      </c>
      <c r="P3283" s="34">
        <f>IF($J3283=1,LN(1+O3283),"")</f>
        <v/>
      </c>
      <c r="Q3283" s="34">
        <f>IF($J3283=1,LN(R3284/R3283),"")</f>
        <v/>
      </c>
      <c r="R3283" s="32" t="n">
        <v>3.7849</v>
      </c>
      <c r="S3283" s="35" t="n">
        <v>5.416</v>
      </c>
      <c r="T3283" s="18" t="n">
        <v>102654.58</v>
      </c>
      <c r="U3283" s="18" t="n"/>
      <c r="V3283" s="18" t="n"/>
      <c r="W3283" s="18" t="n"/>
      <c r="X3283" s="35" t="n"/>
      <c r="Y3283" s="35" t="n">
        <v>5.416</v>
      </c>
    </row>
    <row r="3284">
      <c r="A3284" s="25" t="n">
        <v>43672</v>
      </c>
      <c r="B3284" s="18" t="n">
        <v>102818.93</v>
      </c>
      <c r="C3284" s="31" t="n"/>
      <c r="D3284" s="32" t="n"/>
      <c r="E3284" s="33" t="n">
        <v>-0.2803</v>
      </c>
      <c r="F3284" t="inlineStr">
        <is>
          <t>Up</t>
        </is>
      </c>
      <c r="G3284" t="inlineStr">
        <is>
          <t>Down</t>
        </is>
      </c>
      <c r="H3284" t="inlineStr">
        <is>
          <t>EU_JD</t>
        </is>
      </c>
      <c r="I3284" t="inlineStr">
        <is>
          <t>2019-07</t>
        </is>
      </c>
      <c r="J3284" t="n">
        <v>1</v>
      </c>
      <c r="K3284" t="n">
        <v>1</v>
      </c>
      <c r="L3284" s="34">
        <f>IF($J3284=1,LN(B3285/B3284),"")</f>
        <v/>
      </c>
      <c r="M3284" s="34">
        <f>IF($K3284=1,INDEX(Mensal!$D$2:$D$245,MATCH($I3284,Mensal!$A$2:$A$245,0)),"")</f>
        <v/>
      </c>
      <c r="N3284" s="34">
        <f>IF($K3284=1,L3284-M3284,"")</f>
        <v/>
      </c>
      <c r="O3284" s="34" t="n">
        <v>0.0002462</v>
      </c>
      <c r="P3284" s="34">
        <f>IF($J3284=1,LN(1+O3284),"")</f>
        <v/>
      </c>
      <c r="Q3284" s="34">
        <f>IF($J3284=1,LN(R3285/R3284),"")</f>
        <v/>
      </c>
      <c r="R3284" s="32" t="n">
        <v>3.7741</v>
      </c>
      <c r="S3284" s="35" t="n">
        <v>5.416</v>
      </c>
      <c r="T3284" s="18" t="n">
        <v>102818.93</v>
      </c>
      <c r="U3284" s="18" t="n"/>
      <c r="V3284" s="18" t="n"/>
      <c r="W3284" s="18" t="n"/>
      <c r="X3284" s="35" t="n"/>
      <c r="Y3284" s="35" t="n">
        <v>5.416</v>
      </c>
    </row>
    <row r="3285">
      <c r="A3285" s="25" t="n">
        <v>43675</v>
      </c>
      <c r="B3285" s="18" t="n">
        <v>103482.63</v>
      </c>
      <c r="C3285" s="31" t="n"/>
      <c r="D3285" s="32" t="n"/>
      <c r="E3285" s="33" t="n">
        <v>-0.2609</v>
      </c>
      <c r="F3285" t="inlineStr">
        <is>
          <t>Up</t>
        </is>
      </c>
      <c r="G3285" t="inlineStr">
        <is>
          <t>Down</t>
        </is>
      </c>
      <c r="H3285" t="inlineStr">
        <is>
          <t>EU_JD</t>
        </is>
      </c>
      <c r="I3285" t="inlineStr">
        <is>
          <t>2019-07</t>
        </is>
      </c>
      <c r="J3285" t="n">
        <v>1</v>
      </c>
      <c r="K3285" t="n">
        <v>1</v>
      </c>
      <c r="L3285" s="34">
        <f>IF($J3285=1,LN(B3286/B3285),"")</f>
        <v/>
      </c>
      <c r="M3285" s="34">
        <f>IF($K3285=1,INDEX(Mensal!$D$2:$D$245,MATCH($I3285,Mensal!$A$2:$A$245,0)),"")</f>
        <v/>
      </c>
      <c r="N3285" s="34">
        <f>IF($K3285=1,L3285-M3285,"")</f>
        <v/>
      </c>
      <c r="O3285" s="34" t="n">
        <v>0.0002462</v>
      </c>
      <c r="P3285" s="34">
        <f>IF($J3285=1,LN(1+O3285),"")</f>
        <v/>
      </c>
      <c r="Q3285" s="34">
        <f>IF($J3285=1,LN(R3286/R3285),"")</f>
        <v/>
      </c>
      <c r="R3285" s="32" t="n">
        <v>3.7909</v>
      </c>
      <c r="S3285" s="35" t="n">
        <v>5.406</v>
      </c>
      <c r="T3285" s="18" t="n">
        <v>103482.63</v>
      </c>
      <c r="U3285" s="18" t="n"/>
      <c r="V3285" s="18" t="n"/>
      <c r="W3285" s="18" t="n"/>
      <c r="X3285" s="35" t="n"/>
      <c r="Y3285" s="35" t="n">
        <v>5.406</v>
      </c>
    </row>
    <row r="3286">
      <c r="A3286" s="25" t="n">
        <v>43676</v>
      </c>
      <c r="B3286" s="18" t="n">
        <v>102932.76</v>
      </c>
      <c r="C3286" s="31" t="n"/>
      <c r="D3286" s="32" t="n"/>
      <c r="E3286" s="33" t="n">
        <v>-0.2551</v>
      </c>
      <c r="F3286" t="inlineStr">
        <is>
          <t>Up</t>
        </is>
      </c>
      <c r="G3286" t="inlineStr">
        <is>
          <t>Down</t>
        </is>
      </c>
      <c r="H3286" t="inlineStr">
        <is>
          <t>EU_JD</t>
        </is>
      </c>
      <c r="I3286" t="inlineStr">
        <is>
          <t>2019-07</t>
        </is>
      </c>
      <c r="J3286" t="n">
        <v>1</v>
      </c>
      <c r="K3286" t="n">
        <v>1</v>
      </c>
      <c r="L3286" s="34">
        <f>IF($J3286=1,LN(B3287/B3286),"")</f>
        <v/>
      </c>
      <c r="M3286" s="34">
        <f>IF($K3286=1,INDEX(Mensal!$D$2:$D$245,MATCH($I3286,Mensal!$A$2:$A$245,0)),"")</f>
        <v/>
      </c>
      <c r="N3286" s="34">
        <f>IF($K3286=1,L3286-M3286,"")</f>
        <v/>
      </c>
      <c r="O3286" s="34" t="n">
        <v>0.0002462</v>
      </c>
      <c r="P3286" s="34">
        <f>IF($J3286=1,LN(1+O3286),"")</f>
        <v/>
      </c>
      <c r="Q3286" s="34">
        <f>IF($J3286=1,LN(R3287/R3286),"")</f>
        <v/>
      </c>
      <c r="R3286" s="32" t="n">
        <v>3.79</v>
      </c>
      <c r="S3286" s="35" t="n">
        <v>5.393</v>
      </c>
      <c r="T3286" s="18" t="n">
        <v>102932.76</v>
      </c>
      <c r="U3286" s="18" t="n"/>
      <c r="V3286" s="18" t="n"/>
      <c r="W3286" s="18" t="n"/>
      <c r="X3286" s="35" t="n"/>
      <c r="Y3286" s="35" t="n">
        <v>5.393</v>
      </c>
    </row>
    <row r="3287">
      <c r="A3287" s="25" t="n">
        <v>43677</v>
      </c>
      <c r="B3287" s="18" t="n">
        <v>101812.13</v>
      </c>
      <c r="C3287" s="31" t="n"/>
      <c r="D3287" s="32" t="n"/>
      <c r="E3287" s="33" t="n">
        <v>-0.2462</v>
      </c>
      <c r="F3287" t="inlineStr">
        <is>
          <t>Up</t>
        </is>
      </c>
      <c r="G3287" t="inlineStr">
        <is>
          <t>Down</t>
        </is>
      </c>
      <c r="H3287" t="inlineStr">
        <is>
          <t>EU_JD</t>
        </is>
      </c>
      <c r="I3287" t="inlineStr">
        <is>
          <t>2019-07</t>
        </is>
      </c>
      <c r="J3287" t="n">
        <v>1</v>
      </c>
      <c r="K3287" t="n">
        <v>1</v>
      </c>
      <c r="L3287" s="34">
        <f>IF($J3287=1,LN(B3288/B3287),"")</f>
        <v/>
      </c>
      <c r="M3287" s="34">
        <f>IF($K3287=1,INDEX(Mensal!$D$2:$D$245,MATCH($I3287,Mensal!$A$2:$A$245,0)),"")</f>
        <v/>
      </c>
      <c r="N3287" s="34">
        <f>IF($K3287=1,L3287-M3287,"")</f>
        <v/>
      </c>
      <c r="O3287" s="34" t="n">
        <v>0.0002462</v>
      </c>
      <c r="P3287" s="34">
        <f>IF($J3287=1,LN(1+O3287),"")</f>
        <v/>
      </c>
      <c r="Q3287" s="34">
        <f>IF($J3287=1,LN(R3288/R3287),"")</f>
        <v/>
      </c>
      <c r="R3287" s="32" t="n">
        <v>3.7649</v>
      </c>
      <c r="S3287" s="35" t="n">
        <v>5.453</v>
      </c>
      <c r="T3287" s="18" t="n">
        <v>101812.13</v>
      </c>
      <c r="U3287" s="18" t="n"/>
      <c r="V3287" s="18" t="n"/>
      <c r="W3287" s="18" t="n"/>
      <c r="X3287" s="35" t="n"/>
      <c r="Y3287" s="35" t="n">
        <v>5.453</v>
      </c>
    </row>
    <row r="3288">
      <c r="A3288" s="25" t="n">
        <v>43678</v>
      </c>
      <c r="B3288" s="18" t="n">
        <v>102125.94</v>
      </c>
      <c r="C3288" s="31" t="n"/>
      <c r="D3288" s="32" t="n"/>
      <c r="E3288" s="33" t="n">
        <v>-0.2396</v>
      </c>
      <c r="F3288" t="inlineStr">
        <is>
          <t>Down</t>
        </is>
      </c>
      <c r="G3288" t="inlineStr">
        <is>
          <t>Down</t>
        </is>
      </c>
      <c r="H3288" t="inlineStr">
        <is>
          <t>ED_JD</t>
        </is>
      </c>
      <c r="I3288" t="inlineStr">
        <is>
          <t>2019-08</t>
        </is>
      </c>
      <c r="J3288" t="n">
        <v>1</v>
      </c>
      <c r="K3288" t="n">
        <v>1</v>
      </c>
      <c r="L3288" s="34">
        <f>IF($J3288=1,LN(B3289/B3288),"")</f>
        <v/>
      </c>
      <c r="M3288" s="34">
        <f>IF($K3288=1,INDEX(Mensal!$D$2:$D$245,MATCH($I3288,Mensal!$A$2:$A$245,0)),"")</f>
        <v/>
      </c>
      <c r="N3288" s="34">
        <f>IF($K3288=1,L3288-M3288,"")</f>
        <v/>
      </c>
      <c r="O3288" s="34" t="n">
        <v>0.00022751</v>
      </c>
      <c r="P3288" s="34">
        <f>IF($J3288=1,LN(1+O3288),"")</f>
        <v/>
      </c>
      <c r="Q3288" s="34">
        <f>IF($J3288=1,LN(R3289/R3288),"")</f>
        <v/>
      </c>
      <c r="R3288" s="32" t="n">
        <v>3.8296</v>
      </c>
      <c r="S3288" s="35" t="n">
        <v>5.367</v>
      </c>
      <c r="T3288" s="18" t="n"/>
      <c r="U3288" s="18" t="n"/>
      <c r="V3288" s="18" t="n">
        <v>102125.94</v>
      </c>
      <c r="W3288" s="18" t="n"/>
      <c r="X3288" s="35" t="n"/>
      <c r="Y3288" s="35" t="n">
        <v>5.367</v>
      </c>
    </row>
    <row r="3289">
      <c r="A3289" s="25" t="n">
        <v>43679</v>
      </c>
      <c r="B3289" s="18" t="n">
        <v>102673.68</v>
      </c>
      <c r="C3289" s="31" t="n"/>
      <c r="D3289" s="32" t="n"/>
      <c r="E3289" s="33" t="n">
        <v>-0.2377</v>
      </c>
      <c r="F3289" t="inlineStr">
        <is>
          <t>Down</t>
        </is>
      </c>
      <c r="G3289" t="inlineStr">
        <is>
          <t>Down</t>
        </is>
      </c>
      <c r="H3289" t="inlineStr">
        <is>
          <t>ED_JD</t>
        </is>
      </c>
      <c r="I3289" t="inlineStr">
        <is>
          <t>2019-08</t>
        </is>
      </c>
      <c r="J3289" t="n">
        <v>1</v>
      </c>
      <c r="K3289" t="n">
        <v>1</v>
      </c>
      <c r="L3289" s="34">
        <f>IF($J3289=1,LN(B3290/B3289),"")</f>
        <v/>
      </c>
      <c r="M3289" s="34">
        <f>IF($K3289=1,INDEX(Mensal!$D$2:$D$245,MATCH($I3289,Mensal!$A$2:$A$245,0)),"")</f>
        <v/>
      </c>
      <c r="N3289" s="34">
        <f>IF($K3289=1,L3289-M3289,"")</f>
        <v/>
      </c>
      <c r="O3289" s="34" t="n">
        <v>0.00022751</v>
      </c>
      <c r="P3289" s="34">
        <f>IF($J3289=1,LN(1+O3289),"")</f>
        <v/>
      </c>
      <c r="Q3289" s="34">
        <f>IF($J3289=1,LN(R3290/R3289),"")</f>
        <v/>
      </c>
      <c r="R3289" s="32" t="n">
        <v>3.8739</v>
      </c>
      <c r="S3289" s="35" t="n">
        <v>5.377</v>
      </c>
      <c r="T3289" s="18" t="n"/>
      <c r="U3289" s="18" t="n"/>
      <c r="V3289" s="18" t="n">
        <v>102673.68</v>
      </c>
      <c r="W3289" s="18" t="n"/>
      <c r="X3289" s="35" t="n"/>
      <c r="Y3289" s="35" t="n">
        <v>5.377</v>
      </c>
    </row>
    <row r="3290">
      <c r="A3290" s="25" t="n">
        <v>43682</v>
      </c>
      <c r="B3290" s="18" t="n">
        <v>100097.75</v>
      </c>
      <c r="C3290" s="31" t="n"/>
      <c r="D3290" s="32" t="n"/>
      <c r="E3290" s="33" t="n">
        <v>-0.2383</v>
      </c>
      <c r="F3290" t="inlineStr">
        <is>
          <t>Down</t>
        </is>
      </c>
      <c r="G3290" t="inlineStr">
        <is>
          <t>Down</t>
        </is>
      </c>
      <c r="H3290" t="inlineStr">
        <is>
          <t>ED_JD</t>
        </is>
      </c>
      <c r="I3290" t="inlineStr">
        <is>
          <t>2019-08</t>
        </is>
      </c>
      <c r="J3290" t="n">
        <v>1</v>
      </c>
      <c r="K3290" t="n">
        <v>1</v>
      </c>
      <c r="L3290" s="34">
        <f>IF($J3290=1,LN(B3291/B3290),"")</f>
        <v/>
      </c>
      <c r="M3290" s="34">
        <f>IF($K3290=1,INDEX(Mensal!$D$2:$D$245,MATCH($I3290,Mensal!$A$2:$A$245,0)),"")</f>
        <v/>
      </c>
      <c r="N3290" s="34">
        <f>IF($K3290=1,L3290-M3290,"")</f>
        <v/>
      </c>
      <c r="O3290" s="34" t="n">
        <v>0.00022751</v>
      </c>
      <c r="P3290" s="34">
        <f>IF($J3290=1,LN(1+O3290),"")</f>
        <v/>
      </c>
      <c r="Q3290" s="34">
        <f>IF($J3290=1,LN(R3291/R3290),"")</f>
        <v/>
      </c>
      <c r="R3290" s="32" t="n">
        <v>3.9404</v>
      </c>
      <c r="S3290" s="35" t="n">
        <v>5.487</v>
      </c>
      <c r="T3290" s="18" t="n"/>
      <c r="U3290" s="18" t="n"/>
      <c r="V3290" s="18" t="n">
        <v>100097.75</v>
      </c>
      <c r="W3290" s="18" t="n"/>
      <c r="X3290" s="35" t="n"/>
      <c r="Y3290" s="35" t="n">
        <v>5.487</v>
      </c>
    </row>
    <row r="3291">
      <c r="A3291" s="25" t="n">
        <v>43683</v>
      </c>
      <c r="B3291" s="18" t="n">
        <v>102163.69</v>
      </c>
      <c r="C3291" s="31" t="n"/>
      <c r="D3291" s="32" t="n"/>
      <c r="E3291" s="33" t="n">
        <v>-0.2379</v>
      </c>
      <c r="F3291" t="inlineStr">
        <is>
          <t>Down</t>
        </is>
      </c>
      <c r="G3291" t="inlineStr">
        <is>
          <t>Down</t>
        </is>
      </c>
      <c r="H3291" t="inlineStr">
        <is>
          <t>ED_JD</t>
        </is>
      </c>
      <c r="I3291" t="inlineStr">
        <is>
          <t>2019-08</t>
        </is>
      </c>
      <c r="J3291" t="n">
        <v>1</v>
      </c>
      <c r="K3291" t="n">
        <v>1</v>
      </c>
      <c r="L3291" s="34">
        <f>IF($J3291=1,LN(B3292/B3291),"")</f>
        <v/>
      </c>
      <c r="M3291" s="34">
        <f>IF($K3291=1,INDEX(Mensal!$D$2:$D$245,MATCH($I3291,Mensal!$A$2:$A$245,0)),"")</f>
        <v/>
      </c>
      <c r="N3291" s="34">
        <f>IF($K3291=1,L3291-M3291,"")</f>
        <v/>
      </c>
      <c r="O3291" s="34" t="n">
        <v>0.00022751</v>
      </c>
      <c r="P3291" s="34">
        <f>IF($J3291=1,LN(1+O3291),"")</f>
        <v/>
      </c>
      <c r="Q3291" s="34">
        <f>IF($J3291=1,LN(R3292/R3291),"")</f>
        <v/>
      </c>
      <c r="R3291" s="32" t="n">
        <v>3.9643</v>
      </c>
      <c r="S3291" s="35" t="n">
        <v>5.414</v>
      </c>
      <c r="T3291" s="18" t="n"/>
      <c r="U3291" s="18" t="n"/>
      <c r="V3291" s="18" t="n">
        <v>102163.69</v>
      </c>
      <c r="W3291" s="18" t="n"/>
      <c r="X3291" s="35" t="n"/>
      <c r="Y3291" s="35" t="n">
        <v>5.414</v>
      </c>
    </row>
    <row r="3292">
      <c r="A3292" s="25" t="n">
        <v>43684</v>
      </c>
      <c r="B3292" s="18" t="n">
        <v>102782.37</v>
      </c>
      <c r="C3292" s="31" t="n"/>
      <c r="D3292" s="32" t="n"/>
      <c r="E3292" s="33" t="n">
        <v>-0.2405</v>
      </c>
      <c r="F3292" t="inlineStr">
        <is>
          <t>Down</t>
        </is>
      </c>
      <c r="G3292" t="inlineStr">
        <is>
          <t>Down</t>
        </is>
      </c>
      <c r="H3292" t="inlineStr">
        <is>
          <t>ED_JD</t>
        </is>
      </c>
      <c r="I3292" t="inlineStr">
        <is>
          <t>2019-08</t>
        </is>
      </c>
      <c r="J3292" t="n">
        <v>1</v>
      </c>
      <c r="K3292" t="n">
        <v>1</v>
      </c>
      <c r="L3292" s="34">
        <f>IF($J3292=1,LN(B3293/B3292),"")</f>
        <v/>
      </c>
      <c r="M3292" s="34">
        <f>IF($K3292=1,INDEX(Mensal!$D$2:$D$245,MATCH($I3292,Mensal!$A$2:$A$245,0)),"")</f>
        <v/>
      </c>
      <c r="N3292" s="34">
        <f>IF($K3292=1,L3292-M3292,"")</f>
        <v/>
      </c>
      <c r="O3292" s="34" t="n">
        <v>0.00022751</v>
      </c>
      <c r="P3292" s="34">
        <f>IF($J3292=1,LN(1+O3292),"")</f>
        <v/>
      </c>
      <c r="Q3292" s="34">
        <f>IF($J3292=1,LN(R3293/R3292),"")</f>
        <v/>
      </c>
      <c r="R3292" s="32" t="n">
        <v>3.985</v>
      </c>
      <c r="S3292" s="35" t="n">
        <v>5.37</v>
      </c>
      <c r="T3292" s="18" t="n"/>
      <c r="U3292" s="18" t="n"/>
      <c r="V3292" s="18" t="n">
        <v>102782.37</v>
      </c>
      <c r="W3292" s="18" t="n"/>
      <c r="X3292" s="35" t="n"/>
      <c r="Y3292" s="35" t="n">
        <v>5.37</v>
      </c>
    </row>
    <row r="3293">
      <c r="A3293" s="25" t="n">
        <v>43685</v>
      </c>
      <c r="B3293" s="18" t="n">
        <v>104115.23</v>
      </c>
      <c r="C3293" s="31" t="n"/>
      <c r="D3293" s="32" t="n"/>
      <c r="E3293" s="33" t="n">
        <v>-0.2385</v>
      </c>
      <c r="F3293" t="inlineStr">
        <is>
          <t>Down</t>
        </is>
      </c>
      <c r="G3293" t="inlineStr">
        <is>
          <t>Down</t>
        </is>
      </c>
      <c r="H3293" t="inlineStr">
        <is>
          <t>ED_JD</t>
        </is>
      </c>
      <c r="I3293" t="inlineStr">
        <is>
          <t>2019-08</t>
        </is>
      </c>
      <c r="J3293" t="n">
        <v>1</v>
      </c>
      <c r="K3293" t="n">
        <v>1</v>
      </c>
      <c r="L3293" s="34">
        <f>IF($J3293=1,LN(B3294/B3293),"")</f>
        <v/>
      </c>
      <c r="M3293" s="34">
        <f>IF($K3293=1,INDEX(Mensal!$D$2:$D$245,MATCH($I3293,Mensal!$A$2:$A$245,0)),"")</f>
        <v/>
      </c>
      <c r="N3293" s="34">
        <f>IF($K3293=1,L3293-M3293,"")</f>
        <v/>
      </c>
      <c r="O3293" s="34" t="n">
        <v>0.00022751</v>
      </c>
      <c r="P3293" s="34">
        <f>IF($J3293=1,LN(1+O3293),"")</f>
        <v/>
      </c>
      <c r="Q3293" s="34">
        <f>IF($J3293=1,LN(R3294/R3293),"")</f>
        <v/>
      </c>
      <c r="R3293" s="32" t="n">
        <v>3.9409</v>
      </c>
      <c r="S3293" s="35" t="n">
        <v>5.34</v>
      </c>
      <c r="T3293" s="18" t="n"/>
      <c r="U3293" s="18" t="n"/>
      <c r="V3293" s="18" t="n">
        <v>104115.23</v>
      </c>
      <c r="W3293" s="18" t="n"/>
      <c r="X3293" s="35" t="n"/>
      <c r="Y3293" s="35" t="n">
        <v>5.34</v>
      </c>
    </row>
    <row r="3294">
      <c r="A3294" s="25" t="n">
        <v>43686</v>
      </c>
      <c r="B3294" s="18" t="n">
        <v>103996.16</v>
      </c>
      <c r="C3294" s="31" t="n"/>
      <c r="D3294" s="32" t="n"/>
      <c r="E3294" s="33" t="n">
        <v>-0.2446</v>
      </c>
      <c r="F3294" t="inlineStr">
        <is>
          <t>Down</t>
        </is>
      </c>
      <c r="G3294" t="inlineStr">
        <is>
          <t>Down</t>
        </is>
      </c>
      <c r="H3294" t="inlineStr">
        <is>
          <t>ED_JD</t>
        </is>
      </c>
      <c r="I3294" t="inlineStr">
        <is>
          <t>2019-08</t>
        </is>
      </c>
      <c r="J3294" t="n">
        <v>1</v>
      </c>
      <c r="K3294" t="n">
        <v>1</v>
      </c>
      <c r="L3294" s="34">
        <f>IF($J3294=1,LN(B3295/B3294),"")</f>
        <v/>
      </c>
      <c r="M3294" s="34">
        <f>IF($K3294=1,INDEX(Mensal!$D$2:$D$245,MATCH($I3294,Mensal!$A$2:$A$245,0)),"")</f>
        <v/>
      </c>
      <c r="N3294" s="34">
        <f>IF($K3294=1,L3294-M3294,"")</f>
        <v/>
      </c>
      <c r="O3294" s="34" t="n">
        <v>0.00022751</v>
      </c>
      <c r="P3294" s="34">
        <f>IF($J3294=1,LN(1+O3294),"")</f>
        <v/>
      </c>
      <c r="Q3294" s="34">
        <f>IF($J3294=1,LN(R3295/R3294),"")</f>
        <v/>
      </c>
      <c r="R3294" s="32" t="n">
        <v>3.9362</v>
      </c>
      <c r="S3294" s="35" t="n">
        <v>5.3</v>
      </c>
      <c r="T3294" s="18" t="n"/>
      <c r="U3294" s="18" t="n"/>
      <c r="V3294" s="18" t="n">
        <v>103996.16</v>
      </c>
      <c r="W3294" s="18" t="n"/>
      <c r="X3294" s="35" t="n"/>
      <c r="Y3294" s="35" t="n">
        <v>5.3</v>
      </c>
    </row>
    <row r="3295">
      <c r="A3295" s="25" t="n">
        <v>43689</v>
      </c>
      <c r="B3295" s="18" t="n">
        <v>101915.22</v>
      </c>
      <c r="C3295" s="31" t="n"/>
      <c r="D3295" s="32" t="n"/>
      <c r="E3295" s="33" t="n">
        <v>-0.2564</v>
      </c>
      <c r="F3295" t="inlineStr">
        <is>
          <t>Down</t>
        </is>
      </c>
      <c r="G3295" t="inlineStr">
        <is>
          <t>Down</t>
        </is>
      </c>
      <c r="H3295" t="inlineStr">
        <is>
          <t>ED_JD</t>
        </is>
      </c>
      <c r="I3295" t="inlineStr">
        <is>
          <t>2019-08</t>
        </is>
      </c>
      <c r="J3295" t="n">
        <v>1</v>
      </c>
      <c r="K3295" t="n">
        <v>1</v>
      </c>
      <c r="L3295" s="34">
        <f>IF($J3295=1,LN(B3296/B3295),"")</f>
        <v/>
      </c>
      <c r="M3295" s="34">
        <f>IF($K3295=1,INDEX(Mensal!$D$2:$D$245,MATCH($I3295,Mensal!$A$2:$A$245,0)),"")</f>
        <v/>
      </c>
      <c r="N3295" s="34">
        <f>IF($K3295=1,L3295-M3295,"")</f>
        <v/>
      </c>
      <c r="O3295" s="34" t="n">
        <v>0.00022751</v>
      </c>
      <c r="P3295" s="34">
        <f>IF($J3295=1,LN(1+O3295),"")</f>
        <v/>
      </c>
      <c r="Q3295" s="34">
        <f>IF($J3295=1,LN(R3296/R3295),"")</f>
        <v/>
      </c>
      <c r="R3295" s="32" t="n">
        <v>3.9966</v>
      </c>
      <c r="S3295" s="35" t="n">
        <v>5.316</v>
      </c>
      <c r="T3295" s="18" t="n"/>
      <c r="U3295" s="18" t="n"/>
      <c r="V3295" s="18" t="n">
        <v>101915.22</v>
      </c>
      <c r="W3295" s="18" t="n"/>
      <c r="X3295" s="35" t="n"/>
      <c r="Y3295" s="35" t="n">
        <v>5.316</v>
      </c>
    </row>
    <row r="3296">
      <c r="A3296" s="25" t="n">
        <v>43690</v>
      </c>
      <c r="B3296" s="18" t="n">
        <v>103299.47</v>
      </c>
      <c r="C3296" s="31" t="n"/>
      <c r="D3296" s="32" t="n"/>
      <c r="E3296" s="33" t="n">
        <v>-0.2775</v>
      </c>
      <c r="F3296" t="inlineStr">
        <is>
          <t>Down</t>
        </is>
      </c>
      <c r="G3296" t="inlineStr">
        <is>
          <t>Down</t>
        </is>
      </c>
      <c r="H3296" t="inlineStr">
        <is>
          <t>ED_JD</t>
        </is>
      </c>
      <c r="I3296" t="inlineStr">
        <is>
          <t>2019-08</t>
        </is>
      </c>
      <c r="J3296" t="n">
        <v>1</v>
      </c>
      <c r="K3296" t="n">
        <v>1</v>
      </c>
      <c r="L3296" s="34">
        <f>IF($J3296=1,LN(B3297/B3296),"")</f>
        <v/>
      </c>
      <c r="M3296" s="34">
        <f>IF($K3296=1,INDEX(Mensal!$D$2:$D$245,MATCH($I3296,Mensal!$A$2:$A$245,0)),"")</f>
        <v/>
      </c>
      <c r="N3296" s="34">
        <f>IF($K3296=1,L3296-M3296,"")</f>
        <v/>
      </c>
      <c r="O3296" s="34" t="n">
        <v>0.00022751</v>
      </c>
      <c r="P3296" s="34">
        <f>IF($J3296=1,LN(1+O3296),"")</f>
        <v/>
      </c>
      <c r="Q3296" s="34">
        <f>IF($J3296=1,LN(R3297/R3296),"")</f>
        <v/>
      </c>
      <c r="R3296" s="32" t="n">
        <v>3.9736</v>
      </c>
      <c r="S3296" s="35" t="n">
        <v>5.306</v>
      </c>
      <c r="T3296" s="18" t="n"/>
      <c r="U3296" s="18" t="n"/>
      <c r="V3296" s="18" t="n">
        <v>103299.47</v>
      </c>
      <c r="W3296" s="18" t="n"/>
      <c r="X3296" s="35" t="n"/>
      <c r="Y3296" s="35" t="n">
        <v>5.306</v>
      </c>
    </row>
    <row r="3297">
      <c r="A3297" s="25" t="n">
        <v>43691</v>
      </c>
      <c r="B3297" s="18" t="n">
        <v>100258.01</v>
      </c>
      <c r="C3297" s="31" t="n"/>
      <c r="D3297" s="32" t="n"/>
      <c r="E3297" s="33" t="n">
        <v>-0.2971</v>
      </c>
      <c r="F3297" t="inlineStr">
        <is>
          <t>Down</t>
        </is>
      </c>
      <c r="G3297" t="inlineStr">
        <is>
          <t>Down</t>
        </is>
      </c>
      <c r="H3297" t="inlineStr">
        <is>
          <t>ED_JD</t>
        </is>
      </c>
      <c r="I3297" t="inlineStr">
        <is>
          <t>2019-08</t>
        </is>
      </c>
      <c r="J3297" t="n">
        <v>1</v>
      </c>
      <c r="K3297" t="n">
        <v>1</v>
      </c>
      <c r="L3297" s="34">
        <f>IF($J3297=1,LN(B3298/B3297),"")</f>
        <v/>
      </c>
      <c r="M3297" s="34">
        <f>IF($K3297=1,INDEX(Mensal!$D$2:$D$245,MATCH($I3297,Mensal!$A$2:$A$245,0)),"")</f>
        <v/>
      </c>
      <c r="N3297" s="34">
        <f>IF($K3297=1,L3297-M3297,"")</f>
        <v/>
      </c>
      <c r="O3297" s="34" t="n">
        <v>0.00022751</v>
      </c>
      <c r="P3297" s="34">
        <f>IF($J3297=1,LN(1+O3297),"")</f>
        <v/>
      </c>
      <c r="Q3297" s="34">
        <f>IF($J3297=1,LN(R3298/R3297),"")</f>
        <v/>
      </c>
      <c r="R3297" s="32" t="n">
        <v>4.0074</v>
      </c>
      <c r="S3297" s="35" t="n">
        <v>5.368</v>
      </c>
      <c r="T3297" s="18" t="n"/>
      <c r="U3297" s="18" t="n"/>
      <c r="V3297" s="18" t="n">
        <v>100258.01</v>
      </c>
      <c r="W3297" s="18" t="n"/>
      <c r="X3297" s="35" t="n"/>
      <c r="Y3297" s="35" t="n">
        <v>5.368</v>
      </c>
    </row>
    <row r="3298">
      <c r="A3298" s="25" t="n">
        <v>43692</v>
      </c>
      <c r="B3298" s="18" t="n">
        <v>99056.91</v>
      </c>
      <c r="C3298" s="31" t="n"/>
      <c r="D3298" s="32" t="n"/>
      <c r="E3298" s="33" t="n">
        <v>-0.3157</v>
      </c>
      <c r="F3298" t="inlineStr">
        <is>
          <t>Down</t>
        </is>
      </c>
      <c r="G3298" t="inlineStr">
        <is>
          <t>Down</t>
        </is>
      </c>
      <c r="H3298" t="inlineStr">
        <is>
          <t>ED_JD</t>
        </is>
      </c>
      <c r="I3298" t="inlineStr">
        <is>
          <t>2019-08</t>
        </is>
      </c>
      <c r="J3298" t="n">
        <v>1</v>
      </c>
      <c r="K3298" t="n">
        <v>1</v>
      </c>
      <c r="L3298" s="34">
        <f>IF($J3298=1,LN(B3299/B3298),"")</f>
        <v/>
      </c>
      <c r="M3298" s="34">
        <f>IF($K3298=1,INDEX(Mensal!$D$2:$D$245,MATCH($I3298,Mensal!$A$2:$A$245,0)),"")</f>
        <v/>
      </c>
      <c r="N3298" s="34">
        <f>IF($K3298=1,L3298-M3298,"")</f>
        <v/>
      </c>
      <c r="O3298" s="34" t="n">
        <v>0.00022751</v>
      </c>
      <c r="P3298" s="34">
        <f>IF($J3298=1,LN(1+O3298),"")</f>
        <v/>
      </c>
      <c r="Q3298" s="34">
        <f>IF($J3298=1,LN(R3299/R3298),"")</f>
        <v/>
      </c>
      <c r="R3298" s="32" t="n">
        <v>4.0188</v>
      </c>
      <c r="S3298" s="35" t="n">
        <v>5.36</v>
      </c>
      <c r="T3298" s="18" t="n"/>
      <c r="U3298" s="18" t="n"/>
      <c r="V3298" s="18" t="n">
        <v>99056.91</v>
      </c>
      <c r="W3298" s="18" t="n"/>
      <c r="X3298" s="35" t="n"/>
      <c r="Y3298" s="35" t="n">
        <v>5.36</v>
      </c>
    </row>
    <row r="3299">
      <c r="A3299" s="25" t="n">
        <v>43693</v>
      </c>
      <c r="B3299" s="18" t="n">
        <v>99805.78</v>
      </c>
      <c r="C3299" s="31" t="n"/>
      <c r="D3299" s="32" t="n"/>
      <c r="E3299" s="33" t="n">
        <v>-0.3241</v>
      </c>
      <c r="F3299" t="inlineStr">
        <is>
          <t>Down</t>
        </is>
      </c>
      <c r="G3299" t="inlineStr">
        <is>
          <t>Down</t>
        </is>
      </c>
      <c r="H3299" t="inlineStr">
        <is>
          <t>ED_JD</t>
        </is>
      </c>
      <c r="I3299" t="inlineStr">
        <is>
          <t>2019-08</t>
        </is>
      </c>
      <c r="J3299" t="n">
        <v>1</v>
      </c>
      <c r="K3299" t="n">
        <v>1</v>
      </c>
      <c r="L3299" s="34">
        <f>IF($J3299=1,LN(B3300/B3299),"")</f>
        <v/>
      </c>
      <c r="M3299" s="34">
        <f>IF($K3299=1,INDEX(Mensal!$D$2:$D$245,MATCH($I3299,Mensal!$A$2:$A$245,0)),"")</f>
        <v/>
      </c>
      <c r="N3299" s="34">
        <f>IF($K3299=1,L3299-M3299,"")</f>
        <v/>
      </c>
      <c r="O3299" s="34" t="n">
        <v>0.00022751</v>
      </c>
      <c r="P3299" s="34">
        <f>IF($J3299=1,LN(1+O3299),"")</f>
        <v/>
      </c>
      <c r="Q3299" s="34">
        <f>IF($J3299=1,LN(R3300/R3299),"")</f>
        <v/>
      </c>
      <c r="R3299" s="32" t="n">
        <v>3.9933</v>
      </c>
      <c r="S3299" s="35" t="n">
        <v>5.3</v>
      </c>
      <c r="T3299" s="18" t="n"/>
      <c r="U3299" s="18" t="n"/>
      <c r="V3299" s="18" t="n">
        <v>99805.78</v>
      </c>
      <c r="W3299" s="18" t="n"/>
      <c r="X3299" s="35" t="n"/>
      <c r="Y3299" s="35" t="n">
        <v>5.3</v>
      </c>
    </row>
    <row r="3300">
      <c r="A3300" s="25" t="n">
        <v>43696</v>
      </c>
      <c r="B3300" s="18" t="n">
        <v>99468.67</v>
      </c>
      <c r="C3300" s="31" t="n"/>
      <c r="D3300" s="32" t="n"/>
      <c r="E3300" s="33" t="n">
        <v>-0.3349</v>
      </c>
      <c r="F3300" t="inlineStr">
        <is>
          <t>Down</t>
        </is>
      </c>
      <c r="G3300" t="inlineStr">
        <is>
          <t>Down</t>
        </is>
      </c>
      <c r="H3300" t="inlineStr">
        <is>
          <t>ED_JD</t>
        </is>
      </c>
      <c r="I3300" t="inlineStr">
        <is>
          <t>2019-08</t>
        </is>
      </c>
      <c r="J3300" t="n">
        <v>1</v>
      </c>
      <c r="K3300" t="n">
        <v>1</v>
      </c>
      <c r="L3300" s="34">
        <f>IF($J3300=1,LN(B3301/B3300),"")</f>
        <v/>
      </c>
      <c r="M3300" s="34">
        <f>IF($K3300=1,INDEX(Mensal!$D$2:$D$245,MATCH($I3300,Mensal!$A$2:$A$245,0)),"")</f>
        <v/>
      </c>
      <c r="N3300" s="34">
        <f>IF($K3300=1,L3300-M3300,"")</f>
        <v/>
      </c>
      <c r="O3300" s="34" t="n">
        <v>0.00022751</v>
      </c>
      <c r="P3300" s="34">
        <f>IF($J3300=1,LN(1+O3300),"")</f>
        <v/>
      </c>
      <c r="Q3300" s="34">
        <f>IF($J3300=1,LN(R3301/R3300),"")</f>
        <v/>
      </c>
      <c r="R3300" s="32" t="n">
        <v>4.0274</v>
      </c>
      <c r="S3300" s="35" t="n">
        <v>5.344</v>
      </c>
      <c r="T3300" s="18" t="n"/>
      <c r="U3300" s="18" t="n"/>
      <c r="V3300" s="18" t="n">
        <v>99468.67</v>
      </c>
      <c r="W3300" s="18" t="n"/>
      <c r="X3300" s="35" t="n"/>
      <c r="Y3300" s="35" t="n">
        <v>5.344</v>
      </c>
    </row>
    <row r="3301">
      <c r="A3301" s="25" t="n">
        <v>43697</v>
      </c>
      <c r="B3301" s="18" t="n">
        <v>99222.25</v>
      </c>
      <c r="C3301" s="31" t="n"/>
      <c r="D3301" s="32" t="n"/>
      <c r="E3301" s="33" t="n">
        <v>-0.3413</v>
      </c>
      <c r="F3301" t="inlineStr">
        <is>
          <t>Down</t>
        </is>
      </c>
      <c r="G3301" t="inlineStr">
        <is>
          <t>Down</t>
        </is>
      </c>
      <c r="H3301" t="inlineStr">
        <is>
          <t>ED_JD</t>
        </is>
      </c>
      <c r="I3301" t="inlineStr">
        <is>
          <t>2019-08</t>
        </is>
      </c>
      <c r="J3301" t="n">
        <v>1</v>
      </c>
      <c r="K3301" t="n">
        <v>1</v>
      </c>
      <c r="L3301" s="34">
        <f>IF($J3301=1,LN(B3302/B3301),"")</f>
        <v/>
      </c>
      <c r="M3301" s="34">
        <f>IF($K3301=1,INDEX(Mensal!$D$2:$D$245,MATCH($I3301,Mensal!$A$2:$A$245,0)),"")</f>
        <v/>
      </c>
      <c r="N3301" s="34">
        <f>IF($K3301=1,L3301-M3301,"")</f>
        <v/>
      </c>
      <c r="O3301" s="34" t="n">
        <v>0.00022751</v>
      </c>
      <c r="P3301" s="34">
        <f>IF($J3301=1,LN(1+O3301),"")</f>
        <v/>
      </c>
      <c r="Q3301" s="34">
        <f>IF($J3301=1,LN(R3302/R3301),"")</f>
        <v/>
      </c>
      <c r="R3301" s="32" t="n">
        <v>4.0425</v>
      </c>
      <c r="S3301" s="35" t="n">
        <v>5.33</v>
      </c>
      <c r="T3301" s="18" t="n"/>
      <c r="U3301" s="18" t="n"/>
      <c r="V3301" s="18" t="n">
        <v>99222.25</v>
      </c>
      <c r="W3301" s="18" t="n"/>
      <c r="X3301" s="35" t="n"/>
      <c r="Y3301" s="35" t="n">
        <v>5.33</v>
      </c>
    </row>
    <row r="3302">
      <c r="A3302" s="25" t="n">
        <v>43698</v>
      </c>
      <c r="B3302" s="18" t="n">
        <v>101201.9</v>
      </c>
      <c r="C3302" s="31" t="n"/>
      <c r="D3302" s="32" t="n"/>
      <c r="E3302" s="33" t="n">
        <v>-0.346</v>
      </c>
      <c r="F3302" t="inlineStr">
        <is>
          <t>Down</t>
        </is>
      </c>
      <c r="G3302" t="inlineStr">
        <is>
          <t>Down</t>
        </is>
      </c>
      <c r="H3302" t="inlineStr">
        <is>
          <t>ED_JD</t>
        </is>
      </c>
      <c r="I3302" t="inlineStr">
        <is>
          <t>2019-08</t>
        </is>
      </c>
      <c r="J3302" t="n">
        <v>1</v>
      </c>
      <c r="K3302" t="n">
        <v>1</v>
      </c>
      <c r="L3302" s="34">
        <f>IF($J3302=1,LN(B3303/B3302),"")</f>
        <v/>
      </c>
      <c r="M3302" s="34">
        <f>IF($K3302=1,INDEX(Mensal!$D$2:$D$245,MATCH($I3302,Mensal!$A$2:$A$245,0)),"")</f>
        <v/>
      </c>
      <c r="N3302" s="34">
        <f>IF($K3302=1,L3302-M3302,"")</f>
        <v/>
      </c>
      <c r="O3302" s="34" t="n">
        <v>0.00022751</v>
      </c>
      <c r="P3302" s="34">
        <f>IF($J3302=1,LN(1+O3302),"")</f>
        <v/>
      </c>
      <c r="Q3302" s="34">
        <f>IF($J3302=1,LN(R3303/R3302),"")</f>
        <v/>
      </c>
      <c r="R3302" s="32" t="n">
        <v>4.0254</v>
      </c>
      <c r="S3302" s="35" t="n">
        <v>5.259</v>
      </c>
      <c r="T3302" s="18" t="n"/>
      <c r="U3302" s="18" t="n"/>
      <c r="V3302" s="18" t="n">
        <v>101201.9</v>
      </c>
      <c r="W3302" s="18" t="n"/>
      <c r="X3302" s="35" t="n"/>
      <c r="Y3302" s="35" t="n">
        <v>5.259</v>
      </c>
    </row>
    <row r="3303">
      <c r="A3303" s="25" t="n">
        <v>43699</v>
      </c>
      <c r="B3303" s="18" t="n">
        <v>100011.28</v>
      </c>
      <c r="C3303" s="31" t="n"/>
      <c r="D3303" s="32" t="n"/>
      <c r="E3303" s="33" t="n">
        <v>-0.3554</v>
      </c>
      <c r="F3303" t="inlineStr">
        <is>
          <t>Down</t>
        </is>
      </c>
      <c r="G3303" t="inlineStr">
        <is>
          <t>Down</t>
        </is>
      </c>
      <c r="H3303" t="inlineStr">
        <is>
          <t>ED_JD</t>
        </is>
      </c>
      <c r="I3303" t="inlineStr">
        <is>
          <t>2019-08</t>
        </is>
      </c>
      <c r="J3303" t="n">
        <v>1</v>
      </c>
      <c r="K3303" t="n">
        <v>1</v>
      </c>
      <c r="L3303" s="34">
        <f>IF($J3303=1,LN(B3304/B3303),"")</f>
        <v/>
      </c>
      <c r="M3303" s="34">
        <f>IF($K3303=1,INDEX(Mensal!$D$2:$D$245,MATCH($I3303,Mensal!$A$2:$A$245,0)),"")</f>
        <v/>
      </c>
      <c r="N3303" s="34">
        <f>IF($K3303=1,L3303-M3303,"")</f>
        <v/>
      </c>
      <c r="O3303" s="34" t="n">
        <v>0.00022751</v>
      </c>
      <c r="P3303" s="34">
        <f>IF($J3303=1,LN(1+O3303),"")</f>
        <v/>
      </c>
      <c r="Q3303" s="34">
        <f>IF($J3303=1,LN(R3304/R3303),"")</f>
        <v/>
      </c>
      <c r="R3303" s="32" t="n">
        <v>4.0444</v>
      </c>
      <c r="S3303" s="35" t="n">
        <v>5.264</v>
      </c>
      <c r="T3303" s="18" t="n"/>
      <c r="U3303" s="18" t="n"/>
      <c r="V3303" s="18" t="n">
        <v>100011.28</v>
      </c>
      <c r="W3303" s="18" t="n"/>
      <c r="X3303" s="35" t="n"/>
      <c r="Y3303" s="35" t="n">
        <v>5.264</v>
      </c>
    </row>
    <row r="3304">
      <c r="A3304" s="25" t="n">
        <v>43700</v>
      </c>
      <c r="B3304" s="18" t="n">
        <v>97667.49000000001</v>
      </c>
      <c r="C3304" s="31" t="n"/>
      <c r="D3304" s="32" t="n"/>
      <c r="E3304" s="33" t="n">
        <v>-0.3571</v>
      </c>
      <c r="F3304" t="inlineStr">
        <is>
          <t>Down</t>
        </is>
      </c>
      <c r="G3304" t="inlineStr">
        <is>
          <t>Down</t>
        </is>
      </c>
      <c r="H3304" t="inlineStr">
        <is>
          <t>ED_JD</t>
        </is>
      </c>
      <c r="I3304" t="inlineStr">
        <is>
          <t>2019-08</t>
        </is>
      </c>
      <c r="J3304" t="n">
        <v>1</v>
      </c>
      <c r="K3304" t="n">
        <v>1</v>
      </c>
      <c r="L3304" s="34">
        <f>IF($J3304=1,LN(B3305/B3304),"")</f>
        <v/>
      </c>
      <c r="M3304" s="34">
        <f>IF($K3304=1,INDEX(Mensal!$D$2:$D$245,MATCH($I3304,Mensal!$A$2:$A$245,0)),"")</f>
        <v/>
      </c>
      <c r="N3304" s="34">
        <f>IF($K3304=1,L3304-M3304,"")</f>
        <v/>
      </c>
      <c r="O3304" s="34" t="n">
        <v>0.00022751</v>
      </c>
      <c r="P3304" s="34">
        <f>IF($J3304=1,LN(1+O3304),"")</f>
        <v/>
      </c>
      <c r="Q3304" s="34">
        <f>IF($J3304=1,LN(R3305/R3304),"")</f>
        <v/>
      </c>
      <c r="R3304" s="32" t="n">
        <v>4.0851</v>
      </c>
      <c r="S3304" s="35" t="n">
        <v>5.307</v>
      </c>
      <c r="T3304" s="18" t="n"/>
      <c r="U3304" s="18" t="n"/>
      <c r="V3304" s="18" t="n">
        <v>97667.49000000001</v>
      </c>
      <c r="W3304" s="18" t="n"/>
      <c r="X3304" s="35" t="n"/>
      <c r="Y3304" s="35" t="n">
        <v>5.307</v>
      </c>
    </row>
    <row r="3305">
      <c r="A3305" s="25" t="n">
        <v>43703</v>
      </c>
      <c r="B3305" s="18" t="n">
        <v>96429.60000000001</v>
      </c>
      <c r="C3305" s="31" t="n"/>
      <c r="D3305" s="32" t="n"/>
      <c r="E3305" s="33" t="n">
        <v>-0.355</v>
      </c>
      <c r="F3305" t="inlineStr">
        <is>
          <t>Down</t>
        </is>
      </c>
      <c r="G3305" t="inlineStr">
        <is>
          <t>Down</t>
        </is>
      </c>
      <c r="H3305" t="inlineStr">
        <is>
          <t>ED_JD</t>
        </is>
      </c>
      <c r="I3305" t="inlineStr">
        <is>
          <t>2019-08</t>
        </is>
      </c>
      <c r="J3305" t="n">
        <v>1</v>
      </c>
      <c r="K3305" t="n">
        <v>1</v>
      </c>
      <c r="L3305" s="34">
        <f>IF($J3305=1,LN(B3306/B3305),"")</f>
        <v/>
      </c>
      <c r="M3305" s="34">
        <f>IF($K3305=1,INDEX(Mensal!$D$2:$D$245,MATCH($I3305,Mensal!$A$2:$A$245,0)),"")</f>
        <v/>
      </c>
      <c r="N3305" s="34">
        <f>IF($K3305=1,L3305-M3305,"")</f>
        <v/>
      </c>
      <c r="O3305" s="34" t="n">
        <v>0.00022751</v>
      </c>
      <c r="P3305" s="34">
        <f>IF($J3305=1,LN(1+O3305),"")</f>
        <v/>
      </c>
      <c r="Q3305" s="34">
        <f>IF($J3305=1,LN(R3306/R3305),"")</f>
        <v/>
      </c>
      <c r="R3305" s="32" t="n">
        <v>4.1367</v>
      </c>
      <c r="S3305" s="35" t="n">
        <v>5.373</v>
      </c>
      <c r="T3305" s="18" t="n"/>
      <c r="U3305" s="18" t="n"/>
      <c r="V3305" s="18" t="n">
        <v>96429.60000000001</v>
      </c>
      <c r="W3305" s="18" t="n"/>
      <c r="X3305" s="35" t="n"/>
      <c r="Y3305" s="35" t="n">
        <v>5.373</v>
      </c>
    </row>
    <row r="3306">
      <c r="A3306" s="25" t="n">
        <v>43704</v>
      </c>
      <c r="B3306" s="18" t="n">
        <v>97276.19</v>
      </c>
      <c r="C3306" s="31" t="n"/>
      <c r="D3306" s="32" t="n"/>
      <c r="E3306" s="33" t="n">
        <v>-0.3562</v>
      </c>
      <c r="F3306" t="inlineStr">
        <is>
          <t>Down</t>
        </is>
      </c>
      <c r="G3306" t="inlineStr">
        <is>
          <t>Down</t>
        </is>
      </c>
      <c r="H3306" t="inlineStr">
        <is>
          <t>ED_JD</t>
        </is>
      </c>
      <c r="I3306" t="inlineStr">
        <is>
          <t>2019-08</t>
        </is>
      </c>
      <c r="J3306" t="n">
        <v>1</v>
      </c>
      <c r="K3306" t="n">
        <v>1</v>
      </c>
      <c r="L3306" s="34">
        <f>IF($J3306=1,LN(B3307/B3306),"")</f>
        <v/>
      </c>
      <c r="M3306" s="34">
        <f>IF($K3306=1,INDEX(Mensal!$D$2:$D$245,MATCH($I3306,Mensal!$A$2:$A$245,0)),"")</f>
        <v/>
      </c>
      <c r="N3306" s="34">
        <f>IF($K3306=1,L3306-M3306,"")</f>
        <v/>
      </c>
      <c r="O3306" s="34" t="n">
        <v>0.00022751</v>
      </c>
      <c r="P3306" s="34">
        <f>IF($J3306=1,LN(1+O3306),"")</f>
        <v/>
      </c>
      <c r="Q3306" s="34">
        <f>IF($J3306=1,LN(R3307/R3306),"")</f>
        <v/>
      </c>
      <c r="R3306" s="32" t="n">
        <v>4.1557</v>
      </c>
      <c r="S3306" s="35" t="n">
        <v>5.44</v>
      </c>
      <c r="T3306" s="18" t="n"/>
      <c r="U3306" s="18" t="n"/>
      <c r="V3306" s="18" t="n">
        <v>97276.19</v>
      </c>
      <c r="W3306" s="18" t="n"/>
      <c r="X3306" s="35" t="n"/>
      <c r="Y3306" s="35" t="n">
        <v>5.44</v>
      </c>
    </row>
    <row r="3307">
      <c r="A3307" s="25" t="n">
        <v>43705</v>
      </c>
      <c r="B3307" s="18" t="n">
        <v>98193.53</v>
      </c>
      <c r="C3307" s="31" t="n"/>
      <c r="D3307" s="32" t="n"/>
      <c r="E3307" s="33" t="n">
        <v>-0.3587</v>
      </c>
      <c r="F3307" t="inlineStr">
        <is>
          <t>Down</t>
        </is>
      </c>
      <c r="G3307" t="inlineStr">
        <is>
          <t>Down</t>
        </is>
      </c>
      <c r="H3307" t="inlineStr">
        <is>
          <t>ED_JD</t>
        </is>
      </c>
      <c r="I3307" t="inlineStr">
        <is>
          <t>2019-08</t>
        </is>
      </c>
      <c r="J3307" t="n">
        <v>1</v>
      </c>
      <c r="K3307" t="n">
        <v>1</v>
      </c>
      <c r="L3307" s="34">
        <f>IF($J3307=1,LN(B3308/B3307),"")</f>
        <v/>
      </c>
      <c r="M3307" s="34">
        <f>IF($K3307=1,INDEX(Mensal!$D$2:$D$245,MATCH($I3307,Mensal!$A$2:$A$245,0)),"")</f>
        <v/>
      </c>
      <c r="N3307" s="34">
        <f>IF($K3307=1,L3307-M3307,"")</f>
        <v/>
      </c>
      <c r="O3307" s="34" t="n">
        <v>0.00022751</v>
      </c>
      <c r="P3307" s="34">
        <f>IF($J3307=1,LN(1+O3307),"")</f>
        <v/>
      </c>
      <c r="Q3307" s="34">
        <f>IF($J3307=1,LN(R3308/R3307),"")</f>
        <v/>
      </c>
      <c r="R3307" s="32" t="n">
        <v>4.1559</v>
      </c>
      <c r="S3307" s="35" t="n">
        <v>5.483</v>
      </c>
      <c r="T3307" s="18" t="n"/>
      <c r="U3307" s="18" t="n"/>
      <c r="V3307" s="18" t="n">
        <v>98193.53</v>
      </c>
      <c r="W3307" s="18" t="n"/>
      <c r="X3307" s="35" t="n"/>
      <c r="Y3307" s="35" t="n">
        <v>5.483</v>
      </c>
    </row>
    <row r="3308">
      <c r="A3308" s="25" t="n">
        <v>43706</v>
      </c>
      <c r="B3308" s="18" t="n">
        <v>100524.43</v>
      </c>
      <c r="C3308" s="31" t="n"/>
      <c r="D3308" s="32" t="n"/>
      <c r="E3308" s="33" t="n">
        <v>-0.3575</v>
      </c>
      <c r="F3308" t="inlineStr">
        <is>
          <t>Down</t>
        </is>
      </c>
      <c r="G3308" t="inlineStr">
        <is>
          <t>Down</t>
        </is>
      </c>
      <c r="H3308" t="inlineStr">
        <is>
          <t>ED_JD</t>
        </is>
      </c>
      <c r="I3308" t="inlineStr">
        <is>
          <t>2019-08</t>
        </is>
      </c>
      <c r="J3308" t="n">
        <v>1</v>
      </c>
      <c r="K3308" t="n">
        <v>1</v>
      </c>
      <c r="L3308" s="34">
        <f>IF($J3308=1,LN(B3309/B3308),"")</f>
        <v/>
      </c>
      <c r="M3308" s="34">
        <f>IF($K3308=1,INDEX(Mensal!$D$2:$D$245,MATCH($I3308,Mensal!$A$2:$A$245,0)),"")</f>
        <v/>
      </c>
      <c r="N3308" s="34">
        <f>IF($K3308=1,L3308-M3308,"")</f>
        <v/>
      </c>
      <c r="O3308" s="34" t="n">
        <v>0.00022751</v>
      </c>
      <c r="P3308" s="34">
        <f>IF($J3308=1,LN(1+O3308),"")</f>
        <v/>
      </c>
      <c r="Q3308" s="34">
        <f>IF($J3308=1,LN(R3309/R3308),"")</f>
        <v/>
      </c>
      <c r="R3308" s="32" t="n">
        <v>4.168</v>
      </c>
      <c r="S3308" s="35" t="n">
        <v>5.457</v>
      </c>
      <c r="T3308" s="18" t="n"/>
      <c r="U3308" s="18" t="n"/>
      <c r="V3308" s="18" t="n">
        <v>100524.43</v>
      </c>
      <c r="W3308" s="18" t="n"/>
      <c r="X3308" s="35" t="n"/>
      <c r="Y3308" s="35" t="n">
        <v>5.457</v>
      </c>
    </row>
    <row r="3309">
      <c r="A3309" s="25" t="n">
        <v>43707</v>
      </c>
      <c r="B3309" s="18" t="n">
        <v>101134.61</v>
      </c>
      <c r="C3309" s="31" t="n"/>
      <c r="D3309" s="32" t="n"/>
      <c r="E3309" s="33" t="n">
        <v>-0.3548</v>
      </c>
      <c r="F3309" t="inlineStr">
        <is>
          <t>Down</t>
        </is>
      </c>
      <c r="G3309" t="inlineStr">
        <is>
          <t>Down</t>
        </is>
      </c>
      <c r="H3309" t="inlineStr">
        <is>
          <t>ED_JD</t>
        </is>
      </c>
      <c r="I3309" t="inlineStr">
        <is>
          <t>2019-08</t>
        </is>
      </c>
      <c r="J3309" t="n">
        <v>1</v>
      </c>
      <c r="K3309" t="n">
        <v>1</v>
      </c>
      <c r="L3309" s="34">
        <f>IF($J3309=1,LN(B3310/B3309),"")</f>
        <v/>
      </c>
      <c r="M3309" s="34">
        <f>IF($K3309=1,INDEX(Mensal!$D$2:$D$245,MATCH($I3309,Mensal!$A$2:$A$245,0)),"")</f>
        <v/>
      </c>
      <c r="N3309" s="34">
        <f>IF($K3309=1,L3309-M3309,"")</f>
        <v/>
      </c>
      <c r="O3309" s="34" t="n">
        <v>0.00022751</v>
      </c>
      <c r="P3309" s="34">
        <f>IF($J3309=1,LN(1+O3309),"")</f>
        <v/>
      </c>
      <c r="Q3309" s="34">
        <f>IF($J3309=1,LN(R3310/R3309),"")</f>
        <v/>
      </c>
      <c r="R3309" s="32" t="n">
        <v>4.1385</v>
      </c>
      <c r="S3309" s="35" t="n">
        <v>5.384</v>
      </c>
      <c r="T3309" s="18" t="n"/>
      <c r="U3309" s="18" t="n"/>
      <c r="V3309" s="18" t="n">
        <v>101134.61</v>
      </c>
      <c r="W3309" s="18" t="n"/>
      <c r="X3309" s="35" t="n"/>
      <c r="Y3309" s="35" t="n">
        <v>5.384</v>
      </c>
    </row>
    <row r="3310">
      <c r="A3310" s="25" t="n">
        <v>43710</v>
      </c>
      <c r="B3310" s="18" t="n">
        <v>100625.74</v>
      </c>
      <c r="C3310" s="31" t="n"/>
      <c r="D3310" s="32" t="n"/>
      <c r="E3310" s="33" t="n">
        <v>-0.3786</v>
      </c>
      <c r="F3310" t="inlineStr">
        <is>
          <t>Down</t>
        </is>
      </c>
      <c r="G3310" t="inlineStr">
        <is>
          <t>Down</t>
        </is>
      </c>
      <c r="H3310" t="inlineStr">
        <is>
          <t>ED_JD</t>
        </is>
      </c>
      <c r="I3310" t="inlineStr">
        <is>
          <t>2019-09</t>
        </is>
      </c>
      <c r="J3310" t="n">
        <v>1</v>
      </c>
      <c r="K3310" t="n">
        <v>1</v>
      </c>
      <c r="L3310" s="34">
        <f>IF($J3310=1,LN(B3311/B3310),"")</f>
        <v/>
      </c>
      <c r="M3310" s="34">
        <f>IF($K3310=1,INDEX(Mensal!$D$2:$D$245,MATCH($I3310,Mensal!$A$2:$A$245,0)),"")</f>
        <v/>
      </c>
      <c r="N3310" s="34">
        <f>IF($K3310=1,L3310-M3310,"")</f>
        <v/>
      </c>
      <c r="O3310" s="34" t="n">
        <v>0.00022751</v>
      </c>
      <c r="P3310" s="34">
        <f>IF($J3310=1,LN(1+O3310),"")</f>
        <v/>
      </c>
      <c r="Q3310" s="34">
        <f>IF($J3310=1,LN(R3311/R3310),"")</f>
        <v/>
      </c>
      <c r="R3310" s="32" t="n">
        <v>4.1581</v>
      </c>
      <c r="S3310" s="35" t="n">
        <v>5.411</v>
      </c>
      <c r="T3310" s="18" t="n"/>
      <c r="U3310" s="18" t="n"/>
      <c r="V3310" s="18" t="n">
        <v>100625.74</v>
      </c>
      <c r="W3310" s="18" t="n"/>
      <c r="X3310" s="35" t="n"/>
      <c r="Y3310" s="35" t="n">
        <v>5.411</v>
      </c>
    </row>
    <row r="3311">
      <c r="A3311" s="25" t="n">
        <v>43711</v>
      </c>
      <c r="B3311" s="18" t="n">
        <v>99680.83</v>
      </c>
      <c r="C3311" s="31" t="n"/>
      <c r="D3311" s="32" t="n"/>
      <c r="E3311" s="33" t="n">
        <v>-0.4131</v>
      </c>
      <c r="F3311" t="inlineStr">
        <is>
          <t>Down</t>
        </is>
      </c>
      <c r="G3311" t="inlineStr">
        <is>
          <t>Down</t>
        </is>
      </c>
      <c r="H3311" t="inlineStr">
        <is>
          <t>ED_JD</t>
        </is>
      </c>
      <c r="I3311" t="inlineStr">
        <is>
          <t>2019-09</t>
        </is>
      </c>
      <c r="J3311" t="n">
        <v>1</v>
      </c>
      <c r="K3311" t="n">
        <v>1</v>
      </c>
      <c r="L3311" s="34">
        <f>IF($J3311=1,LN(B3312/B3311),"")</f>
        <v/>
      </c>
      <c r="M3311" s="34">
        <f>IF($K3311=1,INDEX(Mensal!$D$2:$D$245,MATCH($I3311,Mensal!$A$2:$A$245,0)),"")</f>
        <v/>
      </c>
      <c r="N3311" s="34">
        <f>IF($K3311=1,L3311-M3311,"")</f>
        <v/>
      </c>
      <c r="O3311" s="34" t="n">
        <v>0.00022751</v>
      </c>
      <c r="P3311" s="34">
        <f>IF($J3311=1,LN(1+O3311),"")</f>
        <v/>
      </c>
      <c r="Q3311" s="34">
        <f>IF($J3311=1,LN(R3312/R3311),"")</f>
        <v/>
      </c>
      <c r="R3311" s="32" t="n">
        <v>4.1657</v>
      </c>
      <c r="S3311" s="35" t="n">
        <v>5.364</v>
      </c>
      <c r="T3311" s="18" t="n"/>
      <c r="U3311" s="18" t="n"/>
      <c r="V3311" s="18" t="n">
        <v>99680.83</v>
      </c>
      <c r="W3311" s="18" t="n"/>
      <c r="X3311" s="35" t="n"/>
      <c r="Y3311" s="35" t="n">
        <v>5.364</v>
      </c>
    </row>
    <row r="3312">
      <c r="A3312" s="25" t="n">
        <v>43712</v>
      </c>
      <c r="B3312" s="18" t="n">
        <v>101200.89</v>
      </c>
      <c r="C3312" s="31" t="n"/>
      <c r="D3312" s="32" t="n"/>
      <c r="E3312" s="33" t="n">
        <v>-0.4446</v>
      </c>
      <c r="F3312" t="inlineStr">
        <is>
          <t>Down</t>
        </is>
      </c>
      <c r="G3312" t="inlineStr">
        <is>
          <t>Down</t>
        </is>
      </c>
      <c r="H3312" t="inlineStr">
        <is>
          <t>ED_JD</t>
        </is>
      </c>
      <c r="I3312" t="inlineStr">
        <is>
          <t>2019-09</t>
        </is>
      </c>
      <c r="J3312" t="n">
        <v>1</v>
      </c>
      <c r="K3312" t="n">
        <v>1</v>
      </c>
      <c r="L3312" s="34">
        <f>IF($J3312=1,LN(B3313/B3312),"")</f>
        <v/>
      </c>
      <c r="M3312" s="34">
        <f>IF($K3312=1,INDEX(Mensal!$D$2:$D$245,MATCH($I3312,Mensal!$A$2:$A$245,0)),"")</f>
        <v/>
      </c>
      <c r="N3312" s="34">
        <f>IF($K3312=1,L3312-M3312,"")</f>
        <v/>
      </c>
      <c r="O3312" s="34" t="n">
        <v>0.00022751</v>
      </c>
      <c r="P3312" s="34">
        <f>IF($J3312=1,LN(1+O3312),"")</f>
        <v/>
      </c>
      <c r="Q3312" s="34">
        <f>IF($J3312=1,LN(R3313/R3312),"")</f>
        <v/>
      </c>
      <c r="R3312" s="32" t="n">
        <v>4.1249</v>
      </c>
      <c r="S3312" s="35" t="n">
        <v>5.305</v>
      </c>
      <c r="T3312" s="18" t="n"/>
      <c r="U3312" s="18" t="n"/>
      <c r="V3312" s="18" t="n">
        <v>101200.89</v>
      </c>
      <c r="W3312" s="18" t="n"/>
      <c r="X3312" s="35" t="n"/>
      <c r="Y3312" s="35" t="n">
        <v>5.305</v>
      </c>
    </row>
    <row r="3313">
      <c r="A3313" s="25" t="n">
        <v>43713</v>
      </c>
      <c r="B3313" s="18" t="n">
        <v>102243</v>
      </c>
      <c r="C3313" s="31" t="n"/>
      <c r="D3313" s="32" t="n"/>
      <c r="E3313" s="33" t="n">
        <v>-0.4778</v>
      </c>
      <c r="F3313" t="inlineStr">
        <is>
          <t>Down</t>
        </is>
      </c>
      <c r="G3313" t="inlineStr">
        <is>
          <t>Down</t>
        </is>
      </c>
      <c r="H3313" t="inlineStr">
        <is>
          <t>ED_JD</t>
        </is>
      </c>
      <c r="I3313" t="inlineStr">
        <is>
          <t>2019-09</t>
        </is>
      </c>
      <c r="J3313" t="n">
        <v>1</v>
      </c>
      <c r="K3313" t="n">
        <v>1</v>
      </c>
      <c r="L3313" s="34">
        <f>IF($J3313=1,LN(B3314/B3313),"")</f>
        <v/>
      </c>
      <c r="M3313" s="34">
        <f>IF($K3313=1,INDEX(Mensal!$D$2:$D$245,MATCH($I3313,Mensal!$A$2:$A$245,0)),"")</f>
        <v/>
      </c>
      <c r="N3313" s="34">
        <f>IF($K3313=1,L3313-M3313,"")</f>
        <v/>
      </c>
      <c r="O3313" s="34" t="n">
        <v>0.00022751</v>
      </c>
      <c r="P3313" s="34">
        <f>IF($J3313=1,LN(1+O3313),"")</f>
        <v/>
      </c>
      <c r="Q3313" s="34">
        <f>IF($J3313=1,LN(R3314/R3313),"")</f>
        <v/>
      </c>
      <c r="R3313" s="32" t="n">
        <v>4.0859</v>
      </c>
      <c r="S3313" s="35" t="n">
        <v>5.278</v>
      </c>
      <c r="T3313" s="18" t="n"/>
      <c r="U3313" s="18" t="n"/>
      <c r="V3313" s="18" t="n">
        <v>102243</v>
      </c>
      <c r="W3313" s="18" t="n"/>
      <c r="X3313" s="35" t="n"/>
      <c r="Y3313" s="35" t="n">
        <v>5.278</v>
      </c>
    </row>
    <row r="3314">
      <c r="A3314" s="25" t="n">
        <v>43714</v>
      </c>
      <c r="B3314" s="18" t="n">
        <v>102935.43</v>
      </c>
      <c r="C3314" s="31" t="n"/>
      <c r="D3314" s="32" t="n"/>
      <c r="E3314" s="33" t="n">
        <v>-0.5144</v>
      </c>
      <c r="F3314" t="inlineStr">
        <is>
          <t>Down</t>
        </is>
      </c>
      <c r="G3314" t="inlineStr">
        <is>
          <t>Down</t>
        </is>
      </c>
      <c r="H3314" t="inlineStr">
        <is>
          <t>ED_JD</t>
        </is>
      </c>
      <c r="I3314" t="inlineStr">
        <is>
          <t>2019-09</t>
        </is>
      </c>
      <c r="J3314" t="n">
        <v>1</v>
      </c>
      <c r="K3314" t="n">
        <v>1</v>
      </c>
      <c r="L3314" s="34">
        <f>IF($J3314=1,LN(B3315/B3314),"")</f>
        <v/>
      </c>
      <c r="M3314" s="34">
        <f>IF($K3314=1,INDEX(Mensal!$D$2:$D$245,MATCH($I3314,Mensal!$A$2:$A$245,0)),"")</f>
        <v/>
      </c>
      <c r="N3314" s="34">
        <f>IF($K3314=1,L3314-M3314,"")</f>
        <v/>
      </c>
      <c r="O3314" s="34" t="n">
        <v>0.00022751</v>
      </c>
      <c r="P3314" s="34">
        <f>IF($J3314=1,LN(1+O3314),"")</f>
        <v/>
      </c>
      <c r="Q3314" s="34">
        <f>IF($J3314=1,LN(R3315/R3314),"")</f>
        <v/>
      </c>
      <c r="R3314" s="32" t="n">
        <v>4.065</v>
      </c>
      <c r="S3314" s="35" t="n">
        <v>5.258</v>
      </c>
      <c r="T3314" s="18" t="n"/>
      <c r="U3314" s="18" t="n"/>
      <c r="V3314" s="18" t="n">
        <v>102935.43</v>
      </c>
      <c r="W3314" s="18" t="n"/>
      <c r="X3314" s="35" t="n"/>
      <c r="Y3314" s="35" t="n">
        <v>5.258</v>
      </c>
    </row>
    <row r="3315">
      <c r="A3315" s="25" t="n">
        <v>43717</v>
      </c>
      <c r="B3315" s="18" t="n">
        <v>103180.59</v>
      </c>
      <c r="C3315" s="31" t="n"/>
      <c r="D3315" s="32" t="n"/>
      <c r="E3315" s="33" t="n">
        <v>-0.5514</v>
      </c>
      <c r="F3315" t="inlineStr">
        <is>
          <t>Down</t>
        </is>
      </c>
      <c r="G3315" t="inlineStr">
        <is>
          <t>Down</t>
        </is>
      </c>
      <c r="H3315" t="inlineStr">
        <is>
          <t>ED_JD</t>
        </is>
      </c>
      <c r="I3315" t="inlineStr">
        <is>
          <t>2019-09</t>
        </is>
      </c>
      <c r="J3315" t="n">
        <v>1</v>
      </c>
      <c r="K3315" t="n">
        <v>1</v>
      </c>
      <c r="L3315" s="34">
        <f>IF($J3315=1,LN(B3316/B3315),"")</f>
        <v/>
      </c>
      <c r="M3315" s="34">
        <f>IF($K3315=1,INDEX(Mensal!$D$2:$D$245,MATCH($I3315,Mensal!$A$2:$A$245,0)),"")</f>
        <v/>
      </c>
      <c r="N3315" s="34">
        <f>IF($K3315=1,L3315-M3315,"")</f>
        <v/>
      </c>
      <c r="O3315" s="34" t="n">
        <v>0.00022751</v>
      </c>
      <c r="P3315" s="34">
        <f>IF($J3315=1,LN(1+O3315),"")</f>
        <v/>
      </c>
      <c r="Q3315" s="34">
        <f>IF($J3315=1,LN(R3316/R3315),"")</f>
        <v/>
      </c>
      <c r="R3315" s="32" t="n">
        <v>4.0766</v>
      </c>
      <c r="S3315" s="35" t="n">
        <v>5.229</v>
      </c>
      <c r="T3315" s="18" t="n"/>
      <c r="U3315" s="18" t="n"/>
      <c r="V3315" s="18" t="n">
        <v>103180.59</v>
      </c>
      <c r="W3315" s="18" t="n"/>
      <c r="X3315" s="35" t="n"/>
      <c r="Y3315" s="35" t="n">
        <v>5.229</v>
      </c>
    </row>
    <row r="3316">
      <c r="A3316" s="25" t="n">
        <v>43718</v>
      </c>
      <c r="B3316" s="18" t="n">
        <v>103031.5</v>
      </c>
      <c r="C3316" s="31" t="n"/>
      <c r="D3316" s="32" t="n"/>
      <c r="E3316" s="33" t="n">
        <v>-0.5891</v>
      </c>
      <c r="F3316" t="inlineStr">
        <is>
          <t>Down</t>
        </is>
      </c>
      <c r="G3316" t="inlineStr">
        <is>
          <t>Down</t>
        </is>
      </c>
      <c r="H3316" t="inlineStr">
        <is>
          <t>ED_JD</t>
        </is>
      </c>
      <c r="I3316" t="inlineStr">
        <is>
          <t>2019-09</t>
        </is>
      </c>
      <c r="J3316" t="n">
        <v>1</v>
      </c>
      <c r="K3316" t="n">
        <v>1</v>
      </c>
      <c r="L3316" s="34">
        <f>IF($J3316=1,LN(B3317/B3316),"")</f>
        <v/>
      </c>
      <c r="M3316" s="34">
        <f>IF($K3316=1,INDEX(Mensal!$D$2:$D$245,MATCH($I3316,Mensal!$A$2:$A$245,0)),"")</f>
        <v/>
      </c>
      <c r="N3316" s="34">
        <f>IF($K3316=1,L3316-M3316,"")</f>
        <v/>
      </c>
      <c r="O3316" s="34" t="n">
        <v>0.00022751</v>
      </c>
      <c r="P3316" s="34">
        <f>IF($J3316=1,LN(1+O3316),"")</f>
        <v/>
      </c>
      <c r="Q3316" s="34">
        <f>IF($J3316=1,LN(R3317/R3316),"")</f>
        <v/>
      </c>
      <c r="R3316" s="32" t="n">
        <v>4.1108</v>
      </c>
      <c r="S3316" s="35" t="n">
        <v>5.238</v>
      </c>
      <c r="T3316" s="18" t="n"/>
      <c r="U3316" s="18" t="n"/>
      <c r="V3316" s="18" t="n">
        <v>103031.5</v>
      </c>
      <c r="W3316" s="18" t="n"/>
      <c r="X3316" s="35" t="n"/>
      <c r="Y3316" s="35" t="n">
        <v>5.238</v>
      </c>
    </row>
    <row r="3317">
      <c r="A3317" s="25" t="n">
        <v>43719</v>
      </c>
      <c r="B3317" s="18" t="n">
        <v>103445.6</v>
      </c>
      <c r="C3317" s="31" t="n"/>
      <c r="D3317" s="32" t="n"/>
      <c r="E3317" s="33" t="n">
        <v>-0.6245000000000001</v>
      </c>
      <c r="F3317" t="inlineStr">
        <is>
          <t>Down</t>
        </is>
      </c>
      <c r="G3317" t="inlineStr">
        <is>
          <t>Down</t>
        </is>
      </c>
      <c r="H3317" t="inlineStr">
        <is>
          <t>ED_JD</t>
        </is>
      </c>
      <c r="I3317" t="inlineStr">
        <is>
          <t>2019-09</t>
        </is>
      </c>
      <c r="J3317" t="n">
        <v>1</v>
      </c>
      <c r="K3317" t="n">
        <v>1</v>
      </c>
      <c r="L3317" s="34">
        <f>IF($J3317=1,LN(B3318/B3317),"")</f>
        <v/>
      </c>
      <c r="M3317" s="34">
        <f>IF($K3317=1,INDEX(Mensal!$D$2:$D$245,MATCH($I3317,Mensal!$A$2:$A$245,0)),"")</f>
        <v/>
      </c>
      <c r="N3317" s="34">
        <f>IF($K3317=1,L3317-M3317,"")</f>
        <v/>
      </c>
      <c r="O3317" s="34" t="n">
        <v>0.00022751</v>
      </c>
      <c r="P3317" s="34">
        <f>IF($J3317=1,LN(1+O3317),"")</f>
        <v/>
      </c>
      <c r="Q3317" s="34">
        <f>IF($J3317=1,LN(R3318/R3317),"")</f>
        <v/>
      </c>
      <c r="R3317" s="32" t="n">
        <v>4.0631</v>
      </c>
      <c r="S3317" s="35" t="n">
        <v>5.257</v>
      </c>
      <c r="T3317" s="18" t="n"/>
      <c r="U3317" s="18" t="n"/>
      <c r="V3317" s="18" t="n">
        <v>103445.6</v>
      </c>
      <c r="W3317" s="18" t="n"/>
      <c r="X3317" s="35" t="n"/>
      <c r="Y3317" s="35" t="n">
        <v>5.257</v>
      </c>
    </row>
    <row r="3318">
      <c r="A3318" s="25" t="n">
        <v>43720</v>
      </c>
      <c r="B3318" s="18" t="n">
        <v>104370.91</v>
      </c>
      <c r="C3318" s="31" t="n"/>
      <c r="D3318" s="32" t="n"/>
      <c r="E3318" s="33" t="n">
        <v>-0.6534</v>
      </c>
      <c r="F3318" t="inlineStr">
        <is>
          <t>Down</t>
        </is>
      </c>
      <c r="G3318" t="inlineStr">
        <is>
          <t>Down</t>
        </is>
      </c>
      <c r="H3318" t="inlineStr">
        <is>
          <t>ED_JD</t>
        </is>
      </c>
      <c r="I3318" t="inlineStr">
        <is>
          <t>2019-09</t>
        </is>
      </c>
      <c r="J3318" t="n">
        <v>1</v>
      </c>
      <c r="K3318" t="n">
        <v>1</v>
      </c>
      <c r="L3318" s="34">
        <f>IF($J3318=1,LN(B3319/B3318),"")</f>
        <v/>
      </c>
      <c r="M3318" s="34">
        <f>IF($K3318=1,INDEX(Mensal!$D$2:$D$245,MATCH($I3318,Mensal!$A$2:$A$245,0)),"")</f>
        <v/>
      </c>
      <c r="N3318" s="34">
        <f>IF($K3318=1,L3318-M3318,"")</f>
        <v/>
      </c>
      <c r="O3318" s="34" t="n">
        <v>0.00022751</v>
      </c>
      <c r="P3318" s="34">
        <f>IF($J3318=1,LN(1+O3318),"")</f>
        <v/>
      </c>
      <c r="Q3318" s="34">
        <f>IF($J3318=1,LN(R3319/R3318),"")</f>
        <v/>
      </c>
      <c r="R3318" s="32" t="n">
        <v>4.0494</v>
      </c>
      <c r="S3318" s="35" t="n">
        <v>5.217</v>
      </c>
      <c r="T3318" s="18" t="n"/>
      <c r="U3318" s="18" t="n"/>
      <c r="V3318" s="18" t="n">
        <v>104370.91</v>
      </c>
      <c r="W3318" s="18" t="n"/>
      <c r="X3318" s="35" t="n"/>
      <c r="Y3318" s="35" t="n">
        <v>5.217</v>
      </c>
    </row>
    <row r="3319">
      <c r="A3319" s="25" t="n">
        <v>43721</v>
      </c>
      <c r="B3319" s="18" t="n">
        <v>103501.18</v>
      </c>
      <c r="C3319" s="31" t="n"/>
      <c r="D3319" s="32" t="n"/>
      <c r="E3319" s="33" t="n">
        <v>-0.6788</v>
      </c>
      <c r="F3319" t="inlineStr">
        <is>
          <t>Down</t>
        </is>
      </c>
      <c r="G3319" t="inlineStr">
        <is>
          <t>Down</t>
        </is>
      </c>
      <c r="H3319" t="inlineStr">
        <is>
          <t>ED_JD</t>
        </is>
      </c>
      <c r="I3319" t="inlineStr">
        <is>
          <t>2019-09</t>
        </is>
      </c>
      <c r="J3319" t="n">
        <v>1</v>
      </c>
      <c r="K3319" t="n">
        <v>1</v>
      </c>
      <c r="L3319" s="34">
        <f>IF($J3319=1,LN(B3320/B3319),"")</f>
        <v/>
      </c>
      <c r="M3319" s="34">
        <f>IF($K3319=1,INDEX(Mensal!$D$2:$D$245,MATCH($I3319,Mensal!$A$2:$A$245,0)),"")</f>
        <v/>
      </c>
      <c r="N3319" s="34">
        <f>IF($K3319=1,L3319-M3319,"")</f>
        <v/>
      </c>
      <c r="O3319" s="34" t="n">
        <v>0.00022751</v>
      </c>
      <c r="P3319" s="34">
        <f>IF($J3319=1,LN(1+O3319),"")</f>
        <v/>
      </c>
      <c r="Q3319" s="34">
        <f>IF($J3319=1,LN(R3320/R3319),"")</f>
        <v/>
      </c>
      <c r="R3319" s="32" t="n">
        <v>4.0616</v>
      </c>
      <c r="S3319" s="35" t="n">
        <v>5.233</v>
      </c>
      <c r="T3319" s="18" t="n"/>
      <c r="U3319" s="18" t="n"/>
      <c r="V3319" s="18" t="n">
        <v>103501.18</v>
      </c>
      <c r="W3319" s="18" t="n"/>
      <c r="X3319" s="35" t="n"/>
      <c r="Y3319" s="35" t="n">
        <v>5.233</v>
      </c>
    </row>
    <row r="3320">
      <c r="A3320" s="25" t="n">
        <v>43724</v>
      </c>
      <c r="B3320" s="18" t="n">
        <v>103680.41</v>
      </c>
      <c r="C3320" s="31" t="n"/>
      <c r="D3320" s="32" t="n"/>
      <c r="E3320" s="33" t="n">
        <v>-0.713</v>
      </c>
      <c r="F3320" t="inlineStr">
        <is>
          <t>Down</t>
        </is>
      </c>
      <c r="G3320" t="inlineStr">
        <is>
          <t>Down</t>
        </is>
      </c>
      <c r="H3320" t="inlineStr">
        <is>
          <t>ED_JD</t>
        </is>
      </c>
      <c r="I3320" t="inlineStr">
        <is>
          <t>2019-09</t>
        </is>
      </c>
      <c r="J3320" t="n">
        <v>1</v>
      </c>
      <c r="K3320" t="n">
        <v>1</v>
      </c>
      <c r="L3320" s="34">
        <f>IF($J3320=1,LN(B3321/B3320),"")</f>
        <v/>
      </c>
      <c r="M3320" s="34">
        <f>IF($K3320=1,INDEX(Mensal!$D$2:$D$245,MATCH($I3320,Mensal!$A$2:$A$245,0)),"")</f>
        <v/>
      </c>
      <c r="N3320" s="34">
        <f>IF($K3320=1,L3320-M3320,"")</f>
        <v/>
      </c>
      <c r="O3320" s="34" t="n">
        <v>0.00022751</v>
      </c>
      <c r="P3320" s="34">
        <f>IF($J3320=1,LN(1+O3320),"")</f>
        <v/>
      </c>
      <c r="Q3320" s="34">
        <f>IF($J3320=1,LN(R3321/R3320),"")</f>
        <v/>
      </c>
      <c r="R3320" s="32" t="n">
        <v>4.0872</v>
      </c>
      <c r="S3320" s="35" t="n">
        <v>5.141</v>
      </c>
      <c r="T3320" s="18" t="n"/>
      <c r="U3320" s="18" t="n"/>
      <c r="V3320" s="18" t="n">
        <v>103680.41</v>
      </c>
      <c r="W3320" s="18" t="n"/>
      <c r="X3320" s="35" t="n"/>
      <c r="Y3320" s="35" t="n">
        <v>5.141</v>
      </c>
    </row>
    <row r="3321">
      <c r="A3321" s="25" t="n">
        <v>43725</v>
      </c>
      <c r="B3321" s="18" t="n">
        <v>104616.86</v>
      </c>
      <c r="C3321" s="31" t="n"/>
      <c r="D3321" s="32" t="n"/>
      <c r="E3321" s="33" t="n">
        <v>-0.7423</v>
      </c>
      <c r="F3321" t="inlineStr">
        <is>
          <t>Down</t>
        </is>
      </c>
      <c r="G3321" t="inlineStr">
        <is>
          <t>Down</t>
        </is>
      </c>
      <c r="H3321" t="inlineStr">
        <is>
          <t>ED_JD</t>
        </is>
      </c>
      <c r="I3321" t="inlineStr">
        <is>
          <t>2019-09</t>
        </is>
      </c>
      <c r="J3321" t="n">
        <v>1</v>
      </c>
      <c r="K3321" t="n">
        <v>1</v>
      </c>
      <c r="L3321" s="34">
        <f>IF($J3321=1,LN(B3322/B3321),"")</f>
        <v/>
      </c>
      <c r="M3321" s="34">
        <f>IF($K3321=1,INDEX(Mensal!$D$2:$D$245,MATCH($I3321,Mensal!$A$2:$A$245,0)),"")</f>
        <v/>
      </c>
      <c r="N3321" s="34">
        <f>IF($K3321=1,L3321-M3321,"")</f>
        <v/>
      </c>
      <c r="O3321" s="34" t="n">
        <v>0.00022751</v>
      </c>
      <c r="P3321" s="34">
        <f>IF($J3321=1,LN(1+O3321),"")</f>
        <v/>
      </c>
      <c r="Q3321" s="34">
        <f>IF($J3321=1,LN(R3322/R3321),"")</f>
        <v/>
      </c>
      <c r="R3321" s="32" t="n">
        <v>4.0998</v>
      </c>
      <c r="S3321" s="35" t="n">
        <v>5.091</v>
      </c>
      <c r="T3321" s="18" t="n"/>
      <c r="U3321" s="18" t="n"/>
      <c r="V3321" s="18" t="n">
        <v>104616.86</v>
      </c>
      <c r="W3321" s="18" t="n"/>
      <c r="X3321" s="35" t="n"/>
      <c r="Y3321" s="35" t="n">
        <v>5.091</v>
      </c>
    </row>
    <row r="3322">
      <c r="A3322" s="25" t="n">
        <v>43726</v>
      </c>
      <c r="B3322" s="18" t="n">
        <v>104531.93</v>
      </c>
      <c r="C3322" s="31" t="n"/>
      <c r="D3322" s="32" t="n"/>
      <c r="E3322" s="33" t="n">
        <v>-0.7688</v>
      </c>
      <c r="F3322" t="inlineStr">
        <is>
          <t>Down</t>
        </is>
      </c>
      <c r="G3322" t="inlineStr">
        <is>
          <t>Down</t>
        </is>
      </c>
      <c r="H3322" t="inlineStr">
        <is>
          <t>ED_JD</t>
        </is>
      </c>
      <c r="I3322" t="inlineStr">
        <is>
          <t>2019-09</t>
        </is>
      </c>
      <c r="J3322" t="n">
        <v>1</v>
      </c>
      <c r="K3322" t="n">
        <v>1</v>
      </c>
      <c r="L3322" s="34">
        <f>IF($J3322=1,LN(B3323/B3322),"")</f>
        <v/>
      </c>
      <c r="M3322" s="34">
        <f>IF($K3322=1,INDEX(Mensal!$D$2:$D$245,MATCH($I3322,Mensal!$A$2:$A$245,0)),"")</f>
        <v/>
      </c>
      <c r="N3322" s="34">
        <f>IF($K3322=1,L3322-M3322,"")</f>
        <v/>
      </c>
      <c r="O3322" s="34" t="n">
        <v>0.00022751</v>
      </c>
      <c r="P3322" s="34">
        <f>IF($J3322=1,LN(1+O3322),"")</f>
        <v/>
      </c>
      <c r="Q3322" s="34">
        <f>IF($J3322=1,LN(R3323/R3322),"")</f>
        <v/>
      </c>
      <c r="R3322" s="32" t="n">
        <v>4.0972</v>
      </c>
      <c r="S3322" s="35" t="n">
        <v>5.105</v>
      </c>
      <c r="T3322" s="18" t="n"/>
      <c r="U3322" s="18" t="n"/>
      <c r="V3322" s="18" t="n">
        <v>104531.93</v>
      </c>
      <c r="W3322" s="18" t="n"/>
      <c r="X3322" s="35" t="n"/>
      <c r="Y3322" s="35" t="n">
        <v>5.105</v>
      </c>
    </row>
    <row r="3323">
      <c r="A3323" s="25" t="n">
        <v>43727</v>
      </c>
      <c r="B3323" s="18" t="n">
        <v>104339.16</v>
      </c>
      <c r="C3323" s="31" t="n"/>
      <c r="D3323" s="32" t="n"/>
      <c r="E3323" s="33" t="n">
        <v>-0.7819</v>
      </c>
      <c r="F3323" t="inlineStr">
        <is>
          <t>Down</t>
        </is>
      </c>
      <c r="G3323" t="inlineStr">
        <is>
          <t>Down</t>
        </is>
      </c>
      <c r="H3323" t="inlineStr">
        <is>
          <t>ED_JD</t>
        </is>
      </c>
      <c r="I3323" t="inlineStr">
        <is>
          <t>2019-09</t>
        </is>
      </c>
      <c r="J3323" t="n">
        <v>1</v>
      </c>
      <c r="K3323" t="n">
        <v>1</v>
      </c>
      <c r="L3323" s="34">
        <f>IF($J3323=1,LN(B3324/B3323),"")</f>
        <v/>
      </c>
      <c r="M3323" s="34">
        <f>IF($K3323=1,INDEX(Mensal!$D$2:$D$245,MATCH($I3323,Mensal!$A$2:$A$245,0)),"")</f>
        <v/>
      </c>
      <c r="N3323" s="34">
        <f>IF($K3323=1,L3323-M3323,"")</f>
        <v/>
      </c>
      <c r="O3323" s="34" t="n">
        <v>0.00020872</v>
      </c>
      <c r="P3323" s="34">
        <f>IF($J3323=1,LN(1+O3323),"")</f>
        <v/>
      </c>
      <c r="Q3323" s="34">
        <f>IF($J3323=1,LN(R3324/R3323),"")</f>
        <v/>
      </c>
      <c r="R3323" s="32" t="n">
        <v>4.1393</v>
      </c>
      <c r="S3323" s="35" t="n">
        <v>4.92</v>
      </c>
      <c r="T3323" s="18" t="n"/>
      <c r="U3323" s="18" t="n"/>
      <c r="V3323" s="18" t="n">
        <v>104339.16</v>
      </c>
      <c r="W3323" s="18" t="n"/>
      <c r="X3323" s="35" t="n"/>
      <c r="Y3323" s="35" t="n">
        <v>4.92</v>
      </c>
    </row>
    <row r="3324">
      <c r="A3324" s="25" t="n">
        <v>43728</v>
      </c>
      <c r="B3324" s="18" t="n">
        <v>104817.4</v>
      </c>
      <c r="C3324" s="31" t="n"/>
      <c r="D3324" s="32" t="n"/>
      <c r="E3324" s="33" t="n">
        <v>-0.797</v>
      </c>
      <c r="F3324" t="inlineStr">
        <is>
          <t>Down</t>
        </is>
      </c>
      <c r="G3324" t="inlineStr">
        <is>
          <t>Down</t>
        </is>
      </c>
      <c r="H3324" t="inlineStr">
        <is>
          <t>ED_JD</t>
        </is>
      </c>
      <c r="I3324" t="inlineStr">
        <is>
          <t>2019-09</t>
        </is>
      </c>
      <c r="J3324" t="n">
        <v>1</v>
      </c>
      <c r="K3324" t="n">
        <v>1</v>
      </c>
      <c r="L3324" s="34">
        <f>IF($J3324=1,LN(B3325/B3324),"")</f>
        <v/>
      </c>
      <c r="M3324" s="34">
        <f>IF($K3324=1,INDEX(Mensal!$D$2:$D$245,MATCH($I3324,Mensal!$A$2:$A$245,0)),"")</f>
        <v/>
      </c>
      <c r="N3324" s="34">
        <f>IF($K3324=1,L3324-M3324,"")</f>
        <v/>
      </c>
      <c r="O3324" s="34" t="n">
        <v>0.00020872</v>
      </c>
      <c r="P3324" s="34">
        <f>IF($J3324=1,LN(1+O3324),"")</f>
        <v/>
      </c>
      <c r="Q3324" s="34">
        <f>IF($J3324=1,LN(R3325/R3324),"")</f>
        <v/>
      </c>
      <c r="R3324" s="32" t="n">
        <v>4.1687</v>
      </c>
      <c r="S3324" s="35" t="n">
        <v>4.871</v>
      </c>
      <c r="T3324" s="18" t="n"/>
      <c r="U3324" s="18" t="n"/>
      <c r="V3324" s="18" t="n">
        <v>104817.4</v>
      </c>
      <c r="W3324" s="18" t="n"/>
      <c r="X3324" s="35" t="n"/>
      <c r="Y3324" s="35" t="n">
        <v>4.871</v>
      </c>
    </row>
    <row r="3325">
      <c r="A3325" s="25" t="n">
        <v>43731</v>
      </c>
      <c r="B3325" s="18" t="n">
        <v>104637.82</v>
      </c>
      <c r="C3325" s="31" t="n"/>
      <c r="D3325" s="32" t="n"/>
      <c r="E3325" s="33" t="n">
        <v>-0.8125</v>
      </c>
      <c r="F3325" t="inlineStr">
        <is>
          <t>Down</t>
        </is>
      </c>
      <c r="G3325" t="inlineStr">
        <is>
          <t>Down</t>
        </is>
      </c>
      <c r="H3325" t="inlineStr">
        <is>
          <t>ED_JD</t>
        </is>
      </c>
      <c r="I3325" t="inlineStr">
        <is>
          <t>2019-09</t>
        </is>
      </c>
      <c r="J3325" t="n">
        <v>1</v>
      </c>
      <c r="K3325" t="n">
        <v>1</v>
      </c>
      <c r="L3325" s="34">
        <f>IF($J3325=1,LN(B3326/B3325),"")</f>
        <v/>
      </c>
      <c r="M3325" s="34">
        <f>IF($K3325=1,INDEX(Mensal!$D$2:$D$245,MATCH($I3325,Mensal!$A$2:$A$245,0)),"")</f>
        <v/>
      </c>
      <c r="N3325" s="34">
        <f>IF($K3325=1,L3325-M3325,"")</f>
        <v/>
      </c>
      <c r="O3325" s="34" t="n">
        <v>0.00020872</v>
      </c>
      <c r="P3325" s="34">
        <f>IF($J3325=1,LN(1+O3325),"")</f>
        <v/>
      </c>
      <c r="Q3325" s="34">
        <f>IF($J3325=1,LN(R3326/R3325),"")</f>
        <v/>
      </c>
      <c r="R3325" s="32" t="n">
        <v>4.1734</v>
      </c>
      <c r="S3325" s="35" t="n">
        <v>4.906</v>
      </c>
      <c r="T3325" s="18" t="n"/>
      <c r="U3325" s="18" t="n"/>
      <c r="V3325" s="18" t="n">
        <v>104637.82</v>
      </c>
      <c r="W3325" s="18" t="n"/>
      <c r="X3325" s="35" t="n"/>
      <c r="Y3325" s="35" t="n">
        <v>4.906</v>
      </c>
    </row>
    <row r="3326">
      <c r="A3326" s="25" t="n">
        <v>43732</v>
      </c>
      <c r="B3326" s="18" t="n">
        <v>103875.66</v>
      </c>
      <c r="C3326" s="31" t="n"/>
      <c r="D3326" s="32" t="n"/>
      <c r="E3326" s="33" t="n">
        <v>-0.8276</v>
      </c>
      <c r="F3326" t="inlineStr">
        <is>
          <t>Down</t>
        </is>
      </c>
      <c r="G3326" t="inlineStr">
        <is>
          <t>Down</t>
        </is>
      </c>
      <c r="H3326" t="inlineStr">
        <is>
          <t>ED_JD</t>
        </is>
      </c>
      <c r="I3326" t="inlineStr">
        <is>
          <t>2019-09</t>
        </is>
      </c>
      <c r="J3326" t="n">
        <v>1</v>
      </c>
      <c r="K3326" t="n">
        <v>1</v>
      </c>
      <c r="L3326" s="34">
        <f>IF($J3326=1,LN(B3327/B3326),"")</f>
        <v/>
      </c>
      <c r="M3326" s="34">
        <f>IF($K3326=1,INDEX(Mensal!$D$2:$D$245,MATCH($I3326,Mensal!$A$2:$A$245,0)),"")</f>
        <v/>
      </c>
      <c r="N3326" s="34">
        <f>IF($K3326=1,L3326-M3326,"")</f>
        <v/>
      </c>
      <c r="O3326" s="34" t="n">
        <v>0.00020872</v>
      </c>
      <c r="P3326" s="34">
        <f>IF($J3326=1,LN(1+O3326),"")</f>
        <v/>
      </c>
      <c r="Q3326" s="34">
        <f>IF($J3326=1,LN(R3327/R3326),"")</f>
        <v/>
      </c>
      <c r="R3326" s="32" t="n">
        <v>4.1721</v>
      </c>
      <c r="S3326" s="35" t="n">
        <v>4.918</v>
      </c>
      <c r="T3326" s="18" t="n"/>
      <c r="U3326" s="18" t="n"/>
      <c r="V3326" s="18" t="n">
        <v>103875.66</v>
      </c>
      <c r="W3326" s="18" t="n"/>
      <c r="X3326" s="35" t="n"/>
      <c r="Y3326" s="35" t="n">
        <v>4.918</v>
      </c>
    </row>
    <row r="3327">
      <c r="A3327" s="25" t="n">
        <v>43733</v>
      </c>
      <c r="B3327" s="18" t="n">
        <v>104480.98</v>
      </c>
      <c r="C3327" s="31" t="n"/>
      <c r="D3327" s="32" t="n"/>
      <c r="E3327" s="33" t="n">
        <v>-0.838</v>
      </c>
      <c r="F3327" t="inlineStr">
        <is>
          <t>Down</t>
        </is>
      </c>
      <c r="G3327" t="inlineStr">
        <is>
          <t>Down</t>
        </is>
      </c>
      <c r="H3327" t="inlineStr">
        <is>
          <t>ED_JD</t>
        </is>
      </c>
      <c r="I3327" t="inlineStr">
        <is>
          <t>2019-09</t>
        </is>
      </c>
      <c r="J3327" t="n">
        <v>1</v>
      </c>
      <c r="K3327" t="n">
        <v>1</v>
      </c>
      <c r="L3327" s="34">
        <f>IF($J3327=1,LN(B3328/B3327),"")</f>
        <v/>
      </c>
      <c r="M3327" s="34">
        <f>IF($K3327=1,INDEX(Mensal!$D$2:$D$245,MATCH($I3327,Mensal!$A$2:$A$245,0)),"")</f>
        <v/>
      </c>
      <c r="N3327" s="34">
        <f>IF($K3327=1,L3327-M3327,"")</f>
        <v/>
      </c>
      <c r="O3327" s="34" t="n">
        <v>0.00020872</v>
      </c>
      <c r="P3327" s="34">
        <f>IF($J3327=1,LN(1+O3327),"")</f>
        <v/>
      </c>
      <c r="Q3327" s="34">
        <f>IF($J3327=1,LN(R3328/R3327),"")</f>
        <v/>
      </c>
      <c r="R3327" s="32" t="n">
        <v>4.1827</v>
      </c>
      <c r="S3327" s="35" t="n">
        <v>4.912</v>
      </c>
      <c r="T3327" s="18" t="n"/>
      <c r="U3327" s="18" t="n"/>
      <c r="V3327" s="18" t="n">
        <v>104480.98</v>
      </c>
      <c r="W3327" s="18" t="n"/>
      <c r="X3327" s="35" t="n"/>
      <c r="Y3327" s="35" t="n">
        <v>4.912</v>
      </c>
    </row>
    <row r="3328">
      <c r="A3328" s="25" t="n">
        <v>43734</v>
      </c>
      <c r="B3328" s="18" t="n">
        <v>105319.4</v>
      </c>
      <c r="C3328" s="31" t="n"/>
      <c r="D3328" s="32" t="n"/>
      <c r="E3328" s="33" t="n">
        <v>-0.8396</v>
      </c>
      <c r="F3328" t="inlineStr">
        <is>
          <t>Down</t>
        </is>
      </c>
      <c r="G3328" t="inlineStr">
        <is>
          <t>Down</t>
        </is>
      </c>
      <c r="H3328" t="inlineStr">
        <is>
          <t>ED_JD</t>
        </is>
      </c>
      <c r="I3328" t="inlineStr">
        <is>
          <t>2019-09</t>
        </is>
      </c>
      <c r="J3328" t="n">
        <v>1</v>
      </c>
      <c r="K3328" t="n">
        <v>1</v>
      </c>
      <c r="L3328" s="34">
        <f>IF($J3328=1,LN(B3329/B3328),"")</f>
        <v/>
      </c>
      <c r="M3328" s="34">
        <f>IF($K3328=1,INDEX(Mensal!$D$2:$D$245,MATCH($I3328,Mensal!$A$2:$A$245,0)),"")</f>
        <v/>
      </c>
      <c r="N3328" s="34">
        <f>IF($K3328=1,L3328-M3328,"")</f>
        <v/>
      </c>
      <c r="O3328" s="34" t="n">
        <v>0.00020872</v>
      </c>
      <c r="P3328" s="34">
        <f>IF($J3328=1,LN(1+O3328),"")</f>
        <v/>
      </c>
      <c r="Q3328" s="34">
        <f>IF($J3328=1,LN(R3329/R3328),"")</f>
        <v/>
      </c>
      <c r="R3328" s="32" t="n">
        <v>4.1469</v>
      </c>
      <c r="S3328" s="35" t="n">
        <v>4.868</v>
      </c>
      <c r="T3328" s="18" t="n"/>
      <c r="U3328" s="18" t="n"/>
      <c r="V3328" s="18" t="n">
        <v>105319.4</v>
      </c>
      <c r="W3328" s="18" t="n"/>
      <c r="X3328" s="35" t="n"/>
      <c r="Y3328" s="35" t="n">
        <v>4.868</v>
      </c>
    </row>
    <row r="3329">
      <c r="A3329" s="25" t="n">
        <v>43735</v>
      </c>
      <c r="B3329" s="18" t="n">
        <v>105077.63</v>
      </c>
      <c r="C3329" s="31" t="n"/>
      <c r="D3329" s="32" t="n"/>
      <c r="E3329" s="33" t="n">
        <v>-0.8431</v>
      </c>
      <c r="F3329" t="inlineStr">
        <is>
          <t>Down</t>
        </is>
      </c>
      <c r="G3329" t="inlineStr">
        <is>
          <t>Down</t>
        </is>
      </c>
      <c r="H3329" t="inlineStr">
        <is>
          <t>ED_JD</t>
        </is>
      </c>
      <c r="I3329" t="inlineStr">
        <is>
          <t>2019-09</t>
        </is>
      </c>
      <c r="J3329" t="n">
        <v>1</v>
      </c>
      <c r="K3329" t="n">
        <v>1</v>
      </c>
      <c r="L3329" s="34">
        <f>IF($J3329=1,LN(B3330/B3329),"")</f>
        <v/>
      </c>
      <c r="M3329" s="34">
        <f>IF($K3329=1,INDEX(Mensal!$D$2:$D$245,MATCH($I3329,Mensal!$A$2:$A$245,0)),"")</f>
        <v/>
      </c>
      <c r="N3329" s="34">
        <f>IF($K3329=1,L3329-M3329,"")</f>
        <v/>
      </c>
      <c r="O3329" s="34" t="n">
        <v>0.00020872</v>
      </c>
      <c r="P3329" s="34">
        <f>IF($J3329=1,LN(1+O3329),"")</f>
        <v/>
      </c>
      <c r="Q3329" s="34">
        <f>IF($J3329=1,LN(R3330/R3329),"")</f>
        <v/>
      </c>
      <c r="R3329" s="32" t="n">
        <v>4.1587</v>
      </c>
      <c r="S3329" s="35" t="n">
        <v>4.855</v>
      </c>
      <c r="T3329" s="18" t="n"/>
      <c r="U3329" s="18" t="n"/>
      <c r="V3329" s="18" t="n">
        <v>105077.63</v>
      </c>
      <c r="W3329" s="18" t="n"/>
      <c r="X3329" s="35" t="n"/>
      <c r="Y3329" s="35" t="n">
        <v>4.855</v>
      </c>
    </row>
    <row r="3330">
      <c r="A3330" s="25" t="n">
        <v>43738</v>
      </c>
      <c r="B3330" s="18" t="n">
        <v>104745.32</v>
      </c>
      <c r="C3330" s="31" t="n"/>
      <c r="D3330" s="32" t="n"/>
      <c r="E3330" s="33" t="n">
        <v>-0.8501</v>
      </c>
      <c r="F3330" t="inlineStr">
        <is>
          <t>Down</t>
        </is>
      </c>
      <c r="G3330" t="inlineStr">
        <is>
          <t>Down</t>
        </is>
      </c>
      <c r="H3330" t="inlineStr">
        <is>
          <t>ED_JD</t>
        </is>
      </c>
      <c r="I3330" t="inlineStr">
        <is>
          <t>2019-09</t>
        </is>
      </c>
      <c r="J3330" t="n">
        <v>1</v>
      </c>
      <c r="K3330" t="n">
        <v>1</v>
      </c>
      <c r="L3330" s="34">
        <f>IF($J3330=1,LN(B3331/B3330),"")</f>
        <v/>
      </c>
      <c r="M3330" s="34">
        <f>IF($K3330=1,INDEX(Mensal!$D$2:$D$245,MATCH($I3330,Mensal!$A$2:$A$245,0)),"")</f>
        <v/>
      </c>
      <c r="N3330" s="34">
        <f>IF($K3330=1,L3330-M3330,"")</f>
        <v/>
      </c>
      <c r="O3330" s="34" t="n">
        <v>0.00020872</v>
      </c>
      <c r="P3330" s="34">
        <f>IF($J3330=1,LN(1+O3330),"")</f>
        <v/>
      </c>
      <c r="Q3330" s="34">
        <f>IF($J3330=1,LN(R3331/R3330),"")</f>
        <v/>
      </c>
      <c r="R3330" s="32" t="n">
        <v>4.1644</v>
      </c>
      <c r="S3330" s="35" t="n">
        <v>4.846</v>
      </c>
      <c r="T3330" s="18" t="n"/>
      <c r="U3330" s="18" t="n"/>
      <c r="V3330" s="18" t="n">
        <v>104745.32</v>
      </c>
      <c r="W3330" s="18" t="n"/>
      <c r="X3330" s="35" t="n"/>
      <c r="Y3330" s="35" t="n">
        <v>4.846</v>
      </c>
    </row>
    <row r="3331">
      <c r="A3331" s="25" t="n">
        <v>43739</v>
      </c>
      <c r="B3331" s="18" t="n">
        <v>104053.4</v>
      </c>
      <c r="C3331" s="31" t="n"/>
      <c r="D3331" s="32" t="n"/>
      <c r="E3331" s="33" t="n">
        <v>-0.855</v>
      </c>
      <c r="F3331" t="inlineStr">
        <is>
          <t>Down</t>
        </is>
      </c>
      <c r="G3331" t="inlineStr">
        <is>
          <t>Down</t>
        </is>
      </c>
      <c r="H3331" t="inlineStr">
        <is>
          <t>ED_JD</t>
        </is>
      </c>
      <c r="I3331" t="inlineStr">
        <is>
          <t>2019-10</t>
        </is>
      </c>
      <c r="J3331" t="n">
        <v>1</v>
      </c>
      <c r="K3331" t="n">
        <v>1</v>
      </c>
      <c r="L3331" s="34">
        <f>IF($J3331=1,LN(B3332/B3331),"")</f>
        <v/>
      </c>
      <c r="M3331" s="34">
        <f>IF($K3331=1,INDEX(Mensal!$D$2:$D$245,MATCH($I3331,Mensal!$A$2:$A$245,0)),"")</f>
        <v/>
      </c>
      <c r="N3331" s="34">
        <f>IF($K3331=1,L3331-M3331,"")</f>
        <v/>
      </c>
      <c r="O3331" s="34" t="n">
        <v>0.00020872</v>
      </c>
      <c r="P3331" s="34">
        <f>IF($J3331=1,LN(1+O3331),"")</f>
        <v/>
      </c>
      <c r="Q3331" s="34">
        <f>IF($J3331=1,LN(R3332/R3331),"")</f>
        <v/>
      </c>
      <c r="R3331" s="32" t="n">
        <v>4.174</v>
      </c>
      <c r="S3331" s="35" t="n">
        <v>4.833</v>
      </c>
      <c r="T3331" s="18" t="n"/>
      <c r="U3331" s="18" t="n"/>
      <c r="V3331" s="18" t="n">
        <v>104053.4</v>
      </c>
      <c r="W3331" s="18" t="n"/>
      <c r="X3331" s="35" t="n"/>
      <c r="Y3331" s="35" t="n">
        <v>4.833</v>
      </c>
    </row>
    <row r="3332">
      <c r="A3332" s="25" t="n">
        <v>43740</v>
      </c>
      <c r="B3332" s="18" t="n">
        <v>101031.44</v>
      </c>
      <c r="C3332" s="31" t="n"/>
      <c r="D3332" s="32" t="n"/>
      <c r="E3332" s="33" t="n">
        <v>-0.8608</v>
      </c>
      <c r="F3332" t="inlineStr">
        <is>
          <t>Down</t>
        </is>
      </c>
      <c r="G3332" t="inlineStr">
        <is>
          <t>Down</t>
        </is>
      </c>
      <c r="H3332" t="inlineStr">
        <is>
          <t>ED_JD</t>
        </is>
      </c>
      <c r="I3332" t="inlineStr">
        <is>
          <t>2019-10</t>
        </is>
      </c>
      <c r="J3332" t="n">
        <v>1</v>
      </c>
      <c r="K3332" t="n">
        <v>1</v>
      </c>
      <c r="L3332" s="34">
        <f>IF($J3332=1,LN(B3333/B3332),"")</f>
        <v/>
      </c>
      <c r="M3332" s="34">
        <f>IF($K3332=1,INDEX(Mensal!$D$2:$D$245,MATCH($I3332,Mensal!$A$2:$A$245,0)),"")</f>
        <v/>
      </c>
      <c r="N3332" s="34">
        <f>IF($K3332=1,L3332-M3332,"")</f>
        <v/>
      </c>
      <c r="O3332" s="34" t="n">
        <v>0.00020872</v>
      </c>
      <c r="P3332" s="34">
        <f>IF($J3332=1,LN(1+O3332),"")</f>
        <v/>
      </c>
      <c r="Q3332" s="34">
        <f>IF($J3332=1,LN(R3333/R3332),"")</f>
        <v/>
      </c>
      <c r="R3332" s="32" t="n">
        <v>4.1546</v>
      </c>
      <c r="S3332" s="35" t="n">
        <v>4.84</v>
      </c>
      <c r="T3332" s="18" t="n"/>
      <c r="U3332" s="18" t="n"/>
      <c r="V3332" s="18" t="n">
        <v>101031.44</v>
      </c>
      <c r="W3332" s="18" t="n"/>
      <c r="X3332" s="35" t="n"/>
      <c r="Y3332" s="35" t="n">
        <v>4.84</v>
      </c>
    </row>
    <row r="3333">
      <c r="A3333" s="25" t="n">
        <v>43741</v>
      </c>
      <c r="B3333" s="18" t="n">
        <v>101516.04</v>
      </c>
      <c r="C3333" s="31" t="n"/>
      <c r="D3333" s="32" t="n"/>
      <c r="E3333" s="33" t="n">
        <v>-0.8683</v>
      </c>
      <c r="F3333" t="inlineStr">
        <is>
          <t>Down</t>
        </is>
      </c>
      <c r="G3333" t="inlineStr">
        <is>
          <t>Down</t>
        </is>
      </c>
      <c r="H3333" t="inlineStr">
        <is>
          <t>ED_JD</t>
        </is>
      </c>
      <c r="I3333" t="inlineStr">
        <is>
          <t>2019-10</t>
        </is>
      </c>
      <c r="J3333" t="n">
        <v>1</v>
      </c>
      <c r="K3333" t="n">
        <v>1</v>
      </c>
      <c r="L3333" s="34">
        <f>IF($J3333=1,LN(B3334/B3333),"")</f>
        <v/>
      </c>
      <c r="M3333" s="34">
        <f>IF($K3333=1,INDEX(Mensal!$D$2:$D$245,MATCH($I3333,Mensal!$A$2:$A$245,0)),"")</f>
        <v/>
      </c>
      <c r="N3333" s="34">
        <f>IF($K3333=1,L3333-M3333,"")</f>
        <v/>
      </c>
      <c r="O3333" s="34" t="n">
        <v>0.00020872</v>
      </c>
      <c r="P3333" s="34">
        <f>IF($J3333=1,LN(1+O3333),"")</f>
        <v/>
      </c>
      <c r="Q3333" s="34">
        <f>IF($J3333=1,LN(R3334/R3333),"")</f>
        <v/>
      </c>
      <c r="R3333" s="32" t="n">
        <v>4.1012</v>
      </c>
      <c r="S3333" s="35" t="n">
        <v>4.766</v>
      </c>
      <c r="T3333" s="18" t="n"/>
      <c r="U3333" s="18" t="n"/>
      <c r="V3333" s="18" t="n">
        <v>101516.04</v>
      </c>
      <c r="W3333" s="18" t="n"/>
      <c r="X3333" s="35" t="n"/>
      <c r="Y3333" s="35" t="n">
        <v>4.766</v>
      </c>
    </row>
    <row r="3334">
      <c r="A3334" s="25" t="n">
        <v>43742</v>
      </c>
      <c r="B3334" s="18" t="n">
        <v>102551.32</v>
      </c>
      <c r="C3334" s="31" t="n"/>
      <c r="D3334" s="32" t="n"/>
      <c r="E3334" s="33" t="n">
        <v>-0.8525</v>
      </c>
      <c r="F3334" t="inlineStr">
        <is>
          <t>Down</t>
        </is>
      </c>
      <c r="G3334" t="inlineStr">
        <is>
          <t>Down</t>
        </is>
      </c>
      <c r="H3334" t="inlineStr">
        <is>
          <t>ED_JD</t>
        </is>
      </c>
      <c r="I3334" t="inlineStr">
        <is>
          <t>2019-10</t>
        </is>
      </c>
      <c r="J3334" t="n">
        <v>1</v>
      </c>
      <c r="K3334" t="n">
        <v>1</v>
      </c>
      <c r="L3334" s="34">
        <f>IF($J3334=1,LN(B3335/B3334),"")</f>
        <v/>
      </c>
      <c r="M3334" s="34">
        <f>IF($K3334=1,INDEX(Mensal!$D$2:$D$245,MATCH($I3334,Mensal!$A$2:$A$245,0)),"")</f>
        <v/>
      </c>
      <c r="N3334" s="34">
        <f>IF($K3334=1,L3334-M3334,"")</f>
        <v/>
      </c>
      <c r="O3334" s="34" t="n">
        <v>0.00020872</v>
      </c>
      <c r="P3334" s="34">
        <f>IF($J3334=1,LN(1+O3334),"")</f>
        <v/>
      </c>
      <c r="Q3334" s="34">
        <f>IF($J3334=1,LN(R3335/R3334),"")</f>
        <v/>
      </c>
      <c r="R3334" s="32" t="n">
        <v>4.061</v>
      </c>
      <c r="S3334" s="35" t="n">
        <v>4.751</v>
      </c>
      <c r="T3334" s="18" t="n"/>
      <c r="U3334" s="18" t="n"/>
      <c r="V3334" s="18" t="n">
        <v>102551.32</v>
      </c>
      <c r="W3334" s="18" t="n"/>
      <c r="X3334" s="35" t="n"/>
      <c r="Y3334" s="35" t="n">
        <v>4.751</v>
      </c>
    </row>
    <row r="3335">
      <c r="A3335" s="25" t="n">
        <v>43745</v>
      </c>
      <c r="B3335" s="18" t="n">
        <v>100572.77</v>
      </c>
      <c r="C3335" s="31" t="n"/>
      <c r="D3335" s="32" t="n"/>
      <c r="E3335" s="33" t="n">
        <v>-0.8268</v>
      </c>
      <c r="F3335" t="inlineStr">
        <is>
          <t>Down</t>
        </is>
      </c>
      <c r="G3335" t="inlineStr">
        <is>
          <t>Down</t>
        </is>
      </c>
      <c r="H3335" t="inlineStr">
        <is>
          <t>ED_JD</t>
        </is>
      </c>
      <c r="I3335" t="inlineStr">
        <is>
          <t>2019-10</t>
        </is>
      </c>
      <c r="J3335" t="n">
        <v>1</v>
      </c>
      <c r="K3335" t="n">
        <v>1</v>
      </c>
      <c r="L3335" s="34">
        <f>IF($J3335=1,LN(B3336/B3335),"")</f>
        <v/>
      </c>
      <c r="M3335" s="34">
        <f>IF($K3335=1,INDEX(Mensal!$D$2:$D$245,MATCH($I3335,Mensal!$A$2:$A$245,0)),"")</f>
        <v/>
      </c>
      <c r="N3335" s="34">
        <f>IF($K3335=1,L3335-M3335,"")</f>
        <v/>
      </c>
      <c r="O3335" s="34" t="n">
        <v>0.00020872</v>
      </c>
      <c r="P3335" s="34">
        <f>IF($J3335=1,LN(1+O3335),"")</f>
        <v/>
      </c>
      <c r="Q3335" s="34">
        <f>IF($J3335=1,LN(R3336/R3335),"")</f>
        <v/>
      </c>
      <c r="R3335" s="32" t="n">
        <v>4.0688</v>
      </c>
      <c r="S3335" s="35" t="n">
        <v>4.77</v>
      </c>
      <c r="T3335" s="18" t="n"/>
      <c r="U3335" s="18" t="n"/>
      <c r="V3335" s="18" t="n">
        <v>100572.77</v>
      </c>
      <c r="W3335" s="18" t="n"/>
      <c r="X3335" s="35" t="n"/>
      <c r="Y3335" s="35" t="n">
        <v>4.77</v>
      </c>
    </row>
    <row r="3336">
      <c r="A3336" s="25" t="n">
        <v>43746</v>
      </c>
      <c r="B3336" s="18" t="n">
        <v>99981.39999999999</v>
      </c>
      <c r="C3336" s="31" t="n"/>
      <c r="D3336" s="32" t="n"/>
      <c r="E3336" s="33" t="n">
        <v>-0.8013</v>
      </c>
      <c r="F3336" t="inlineStr">
        <is>
          <t>Down</t>
        </is>
      </c>
      <c r="G3336" t="inlineStr">
        <is>
          <t>Down</t>
        </is>
      </c>
      <c r="H3336" t="inlineStr">
        <is>
          <t>ED_JD</t>
        </is>
      </c>
      <c r="I3336" t="inlineStr">
        <is>
          <t>2019-10</t>
        </is>
      </c>
      <c r="J3336" t="n">
        <v>1</v>
      </c>
      <c r="K3336" t="n">
        <v>1</v>
      </c>
      <c r="L3336" s="34">
        <f>IF($J3336=1,LN(B3337/B3336),"")</f>
        <v/>
      </c>
      <c r="M3336" s="34">
        <f>IF($K3336=1,INDEX(Mensal!$D$2:$D$245,MATCH($I3336,Mensal!$A$2:$A$245,0)),"")</f>
        <v/>
      </c>
      <c r="N3336" s="34">
        <f>IF($K3336=1,L3336-M3336,"")</f>
        <v/>
      </c>
      <c r="O3336" s="34" t="n">
        <v>0.00020872</v>
      </c>
      <c r="P3336" s="34">
        <f>IF($J3336=1,LN(1+O3336),"")</f>
        <v/>
      </c>
      <c r="Q3336" s="34">
        <f>IF($J3336=1,LN(R3337/R3336),"")</f>
        <v/>
      </c>
      <c r="R3336" s="32" t="n">
        <v>4.0868</v>
      </c>
      <c r="S3336" s="35" t="n">
        <v>4.722</v>
      </c>
      <c r="T3336" s="18" t="n"/>
      <c r="U3336" s="18" t="n"/>
      <c r="V3336" s="18" t="n">
        <v>99981.39999999999</v>
      </c>
      <c r="W3336" s="18" t="n"/>
      <c r="X3336" s="35" t="n"/>
      <c r="Y3336" s="35" t="n">
        <v>4.722</v>
      </c>
    </row>
    <row r="3337">
      <c r="A3337" s="25" t="n">
        <v>43747</v>
      </c>
      <c r="B3337" s="18" t="n">
        <v>101248.78</v>
      </c>
      <c r="C3337" s="31" t="n"/>
      <c r="D3337" s="32" t="n"/>
      <c r="E3337" s="33" t="n">
        <v>-0.7765</v>
      </c>
      <c r="F3337" t="inlineStr">
        <is>
          <t>Down</t>
        </is>
      </c>
      <c r="G3337" t="inlineStr">
        <is>
          <t>Down</t>
        </is>
      </c>
      <c r="H3337" t="inlineStr">
        <is>
          <t>ED_JD</t>
        </is>
      </c>
      <c r="I3337" t="inlineStr">
        <is>
          <t>2019-10</t>
        </is>
      </c>
      <c r="J3337" t="n">
        <v>1</v>
      </c>
      <c r="K3337" t="n">
        <v>1</v>
      </c>
      <c r="L3337" s="34">
        <f>IF($J3337=1,LN(B3338/B3337),"")</f>
        <v/>
      </c>
      <c r="M3337" s="34">
        <f>IF($K3337=1,INDEX(Mensal!$D$2:$D$245,MATCH($I3337,Mensal!$A$2:$A$245,0)),"")</f>
        <v/>
      </c>
      <c r="N3337" s="34">
        <f>IF($K3337=1,L3337-M3337,"")</f>
        <v/>
      </c>
      <c r="O3337" s="34" t="n">
        <v>0.00020872</v>
      </c>
      <c r="P3337" s="34">
        <f>IF($J3337=1,LN(1+O3337),"")</f>
        <v/>
      </c>
      <c r="Q3337" s="34">
        <f>IF($J3337=1,LN(R3338/R3337),"")</f>
        <v/>
      </c>
      <c r="R3337" s="32" t="n">
        <v>4.0954</v>
      </c>
      <c r="S3337" s="35" t="n">
        <v>4.628</v>
      </c>
      <c r="T3337" s="18" t="n"/>
      <c r="U3337" s="18" t="n"/>
      <c r="V3337" s="18" t="n">
        <v>101248.78</v>
      </c>
      <c r="W3337" s="18" t="n"/>
      <c r="X3337" s="35" t="n"/>
      <c r="Y3337" s="35" t="n">
        <v>4.628</v>
      </c>
    </row>
    <row r="3338">
      <c r="A3338" s="25" t="n">
        <v>43748</v>
      </c>
      <c r="B3338" s="18" t="n">
        <v>101817.13</v>
      </c>
      <c r="C3338" s="31" t="n"/>
      <c r="D3338" s="32" t="n"/>
      <c r="E3338" s="33" t="n">
        <v>-0.7448</v>
      </c>
      <c r="F3338" t="inlineStr">
        <is>
          <t>Down</t>
        </is>
      </c>
      <c r="G3338" t="inlineStr">
        <is>
          <t>Down</t>
        </is>
      </c>
      <c r="H3338" t="inlineStr">
        <is>
          <t>ED_JD</t>
        </is>
      </c>
      <c r="I3338" t="inlineStr">
        <is>
          <t>2019-10</t>
        </is>
      </c>
      <c r="J3338" t="n">
        <v>1</v>
      </c>
      <c r="K3338" t="n">
        <v>1</v>
      </c>
      <c r="L3338" s="34">
        <f>IF($J3338=1,LN(B3339/B3338),"")</f>
        <v/>
      </c>
      <c r="M3338" s="34">
        <f>IF($K3338=1,INDEX(Mensal!$D$2:$D$245,MATCH($I3338,Mensal!$A$2:$A$245,0)),"")</f>
        <v/>
      </c>
      <c r="N3338" s="34">
        <f>IF($K3338=1,L3338-M3338,"")</f>
        <v/>
      </c>
      <c r="O3338" s="34" t="n">
        <v>0.00020872</v>
      </c>
      <c r="P3338" s="34">
        <f>IF($J3338=1,LN(1+O3338),"")</f>
        <v/>
      </c>
      <c r="Q3338" s="34">
        <f>IF($J3338=1,LN(R3339/R3338),"")</f>
        <v/>
      </c>
      <c r="R3338" s="32" t="n">
        <v>4.1145</v>
      </c>
      <c r="S3338" s="35" t="n">
        <v>4.578</v>
      </c>
      <c r="T3338" s="18" t="n"/>
      <c r="U3338" s="18" t="n"/>
      <c r="V3338" s="18" t="n">
        <v>101817.13</v>
      </c>
      <c r="W3338" s="18" t="n"/>
      <c r="X3338" s="35" t="n"/>
      <c r="Y3338" s="35" t="n">
        <v>4.578</v>
      </c>
    </row>
    <row r="3339">
      <c r="A3339" s="25" t="n">
        <v>43749</v>
      </c>
      <c r="B3339" s="18" t="n">
        <v>103831.92</v>
      </c>
      <c r="C3339" s="31" t="n"/>
      <c r="D3339" s="32" t="n"/>
      <c r="E3339" s="33" t="n">
        <v>-0.7067</v>
      </c>
      <c r="F3339" t="inlineStr">
        <is>
          <t>Down</t>
        </is>
      </c>
      <c r="G3339" t="inlineStr">
        <is>
          <t>Down</t>
        </is>
      </c>
      <c r="H3339" t="inlineStr">
        <is>
          <t>ED_JD</t>
        </is>
      </c>
      <c r="I3339" t="inlineStr">
        <is>
          <t>2019-10</t>
        </is>
      </c>
      <c r="J3339" t="n">
        <v>1</v>
      </c>
      <c r="K3339" t="n">
        <v>1</v>
      </c>
      <c r="L3339" s="34">
        <f>IF($J3339=1,LN(B3340/B3339),"")</f>
        <v/>
      </c>
      <c r="M3339" s="34">
        <f>IF($K3339=1,INDEX(Mensal!$D$2:$D$245,MATCH($I3339,Mensal!$A$2:$A$245,0)),"")</f>
        <v/>
      </c>
      <c r="N3339" s="34">
        <f>IF($K3339=1,L3339-M3339,"")</f>
        <v/>
      </c>
      <c r="O3339" s="34" t="n">
        <v>0.00020872</v>
      </c>
      <c r="P3339" s="34">
        <f>IF($J3339=1,LN(1+O3339),"")</f>
        <v/>
      </c>
      <c r="Q3339" s="34">
        <f>IF($J3339=1,LN(R3340/R3339),"")</f>
        <v/>
      </c>
      <c r="R3339" s="32" t="n">
        <v>4.106</v>
      </c>
      <c r="S3339" s="35" t="n">
        <v>4.547</v>
      </c>
      <c r="T3339" s="18" t="n"/>
      <c r="U3339" s="18" t="n"/>
      <c r="V3339" s="18" t="n">
        <v>103831.92</v>
      </c>
      <c r="W3339" s="18" t="n"/>
      <c r="X3339" s="35" t="n"/>
      <c r="Y3339" s="35" t="n">
        <v>4.547</v>
      </c>
    </row>
    <row r="3340">
      <c r="A3340" s="25" t="n">
        <v>43752</v>
      </c>
      <c r="B3340" s="18" t="n">
        <v>104301.58</v>
      </c>
      <c r="C3340" s="31" t="n"/>
      <c r="D3340" s="32" t="n"/>
      <c r="E3340" s="33" t="n">
        <v>-0.6707</v>
      </c>
      <c r="F3340" t="inlineStr">
        <is>
          <t>Down</t>
        </is>
      </c>
      <c r="G3340" t="inlineStr">
        <is>
          <t>Down</t>
        </is>
      </c>
      <c r="H3340" t="inlineStr">
        <is>
          <t>ED_JD</t>
        </is>
      </c>
      <c r="I3340" t="inlineStr">
        <is>
          <t>2019-10</t>
        </is>
      </c>
      <c r="J3340" t="n">
        <v>1</v>
      </c>
      <c r="K3340" t="n">
        <v>1</v>
      </c>
      <c r="L3340" s="34">
        <f>IF($J3340=1,LN(B3341/B3340),"")</f>
        <v/>
      </c>
      <c r="M3340" s="34">
        <f>IF($K3340=1,INDEX(Mensal!$D$2:$D$245,MATCH($I3340,Mensal!$A$2:$A$245,0)),"")</f>
        <v/>
      </c>
      <c r="N3340" s="34">
        <f>IF($K3340=1,L3340-M3340,"")</f>
        <v/>
      </c>
      <c r="O3340" s="34" t="n">
        <v>0.00020872</v>
      </c>
      <c r="P3340" s="34">
        <f>IF($J3340=1,LN(1+O3340),"")</f>
        <v/>
      </c>
      <c r="Q3340" s="34">
        <f>IF($J3340=1,LN(R3341/R3340),"")</f>
        <v/>
      </c>
      <c r="R3340" s="32" t="n">
        <v>4.1263</v>
      </c>
      <c r="S3340" s="35" t="n">
        <v>4.516</v>
      </c>
      <c r="T3340" s="18" t="n"/>
      <c r="U3340" s="18" t="n"/>
      <c r="V3340" s="18" t="n">
        <v>104301.58</v>
      </c>
      <c r="W3340" s="18" t="n"/>
      <c r="X3340" s="35" t="n"/>
      <c r="Y3340" s="35" t="n">
        <v>4.516</v>
      </c>
    </row>
    <row r="3341">
      <c r="A3341" s="25" t="n">
        <v>43753</v>
      </c>
      <c r="B3341" s="18" t="n">
        <v>104489.56</v>
      </c>
      <c r="C3341" s="31" t="n"/>
      <c r="D3341" s="32" t="n"/>
      <c r="E3341" s="33" t="n">
        <v>-0.6365</v>
      </c>
      <c r="F3341" t="inlineStr">
        <is>
          <t>Down</t>
        </is>
      </c>
      <c r="G3341" t="inlineStr">
        <is>
          <t>Down</t>
        </is>
      </c>
      <c r="H3341" t="inlineStr">
        <is>
          <t>ED_JD</t>
        </is>
      </c>
      <c r="I3341" t="inlineStr">
        <is>
          <t>2019-10</t>
        </is>
      </c>
      <c r="J3341" t="n">
        <v>1</v>
      </c>
      <c r="K3341" t="n">
        <v>1</v>
      </c>
      <c r="L3341" s="34">
        <f>IF($J3341=1,LN(B3342/B3341),"")</f>
        <v/>
      </c>
      <c r="M3341" s="34">
        <f>IF($K3341=1,INDEX(Mensal!$D$2:$D$245,MATCH($I3341,Mensal!$A$2:$A$245,0)),"")</f>
        <v/>
      </c>
      <c r="N3341" s="34">
        <f>IF($K3341=1,L3341-M3341,"")</f>
        <v/>
      </c>
      <c r="O3341" s="34" t="n">
        <v>0.00020872</v>
      </c>
      <c r="P3341" s="34">
        <f>IF($J3341=1,LN(1+O3341),"")</f>
        <v/>
      </c>
      <c r="Q3341" s="34">
        <f>IF($J3341=1,LN(R3342/R3341),"")</f>
        <v/>
      </c>
      <c r="R3341" s="32" t="n">
        <v>4.1488</v>
      </c>
      <c r="S3341" s="35" t="n">
        <v>4.557</v>
      </c>
      <c r="T3341" s="18" t="n"/>
      <c r="U3341" s="18" t="n"/>
      <c r="V3341" s="18" t="n">
        <v>104489.56</v>
      </c>
      <c r="W3341" s="18" t="n"/>
      <c r="X3341" s="35" t="n"/>
      <c r="Y3341" s="35" t="n">
        <v>4.557</v>
      </c>
    </row>
    <row r="3342">
      <c r="A3342" s="25" t="n">
        <v>43754</v>
      </c>
      <c r="B3342" s="18" t="n">
        <v>105422.8</v>
      </c>
      <c r="C3342" s="31" t="n"/>
      <c r="D3342" s="32" t="n"/>
      <c r="E3342" s="33" t="n">
        <v>-0.5996</v>
      </c>
      <c r="F3342" t="inlineStr">
        <is>
          <t>Down</t>
        </is>
      </c>
      <c r="G3342" t="inlineStr">
        <is>
          <t>Down</t>
        </is>
      </c>
      <c r="H3342" t="inlineStr">
        <is>
          <t>ED_JD</t>
        </is>
      </c>
      <c r="I3342" t="inlineStr">
        <is>
          <t>2019-10</t>
        </is>
      </c>
      <c r="J3342" t="n">
        <v>1</v>
      </c>
      <c r="K3342" t="n">
        <v>1</v>
      </c>
      <c r="L3342" s="34">
        <f>IF($J3342=1,LN(B3343/B3342),"")</f>
        <v/>
      </c>
      <c r="M3342" s="34">
        <f>IF($K3342=1,INDEX(Mensal!$D$2:$D$245,MATCH($I3342,Mensal!$A$2:$A$245,0)),"")</f>
        <v/>
      </c>
      <c r="N3342" s="34">
        <f>IF($K3342=1,L3342-M3342,"")</f>
        <v/>
      </c>
      <c r="O3342" s="34" t="n">
        <v>0.00020872</v>
      </c>
      <c r="P3342" s="34">
        <f>IF($J3342=1,LN(1+O3342),"")</f>
        <v/>
      </c>
      <c r="Q3342" s="34">
        <f>IF($J3342=1,LN(R3343/R3342),"")</f>
        <v/>
      </c>
      <c r="R3342" s="32" t="n">
        <v>4.1714</v>
      </c>
      <c r="S3342" s="35" t="n">
        <v>4.49</v>
      </c>
      <c r="T3342" s="18" t="n"/>
      <c r="U3342" s="18" t="n"/>
      <c r="V3342" s="18" t="n">
        <v>105422.8</v>
      </c>
      <c r="W3342" s="18" t="n"/>
      <c r="X3342" s="35" t="n"/>
      <c r="Y3342" s="35" t="n">
        <v>4.49</v>
      </c>
    </row>
    <row r="3343">
      <c r="A3343" s="25" t="n">
        <v>43755</v>
      </c>
      <c r="B3343" s="18" t="n">
        <v>105015.77</v>
      </c>
      <c r="C3343" s="31" t="n"/>
      <c r="D3343" s="32" t="n"/>
      <c r="E3343" s="33" t="n">
        <v>-0.5733</v>
      </c>
      <c r="F3343" t="inlineStr">
        <is>
          <t>Down</t>
        </is>
      </c>
      <c r="G3343" t="inlineStr">
        <is>
          <t>Down</t>
        </is>
      </c>
      <c r="H3343" t="inlineStr">
        <is>
          <t>ED_JD</t>
        </is>
      </c>
      <c r="I3343" t="inlineStr">
        <is>
          <t>2019-10</t>
        </is>
      </c>
      <c r="J3343" t="n">
        <v>1</v>
      </c>
      <c r="K3343" t="n">
        <v>1</v>
      </c>
      <c r="L3343" s="34">
        <f>IF($J3343=1,LN(B3344/B3343),"")</f>
        <v/>
      </c>
      <c r="M3343" s="34">
        <f>IF($K3343=1,INDEX(Mensal!$D$2:$D$245,MATCH($I3343,Mensal!$A$2:$A$245,0)),"")</f>
        <v/>
      </c>
      <c r="N3343" s="34">
        <f>IF($K3343=1,L3343-M3343,"")</f>
        <v/>
      </c>
      <c r="O3343" s="34" t="n">
        <v>0.00020872</v>
      </c>
      <c r="P3343" s="34">
        <f>IF($J3343=1,LN(1+O3343),"")</f>
        <v/>
      </c>
      <c r="Q3343" s="34">
        <f>IF($J3343=1,LN(R3344/R3343),"")</f>
        <v/>
      </c>
      <c r="R3343" s="32" t="n">
        <v>4.1457</v>
      </c>
      <c r="S3343" s="35" t="n">
        <v>4.422</v>
      </c>
      <c r="T3343" s="18" t="n"/>
      <c r="U3343" s="18" t="n"/>
      <c r="V3343" s="18" t="n">
        <v>105015.77</v>
      </c>
      <c r="W3343" s="18" t="n"/>
      <c r="X3343" s="35" t="n"/>
      <c r="Y3343" s="35" t="n">
        <v>4.422</v>
      </c>
    </row>
    <row r="3344">
      <c r="A3344" s="25" t="n">
        <v>43756</v>
      </c>
      <c r="B3344" s="18" t="n">
        <v>104728.89</v>
      </c>
      <c r="C3344" s="31" t="n"/>
      <c r="D3344" s="32" t="n"/>
      <c r="E3344" s="33" t="n">
        <v>-0.54</v>
      </c>
      <c r="F3344" t="inlineStr">
        <is>
          <t>Down</t>
        </is>
      </c>
      <c r="G3344" t="inlineStr">
        <is>
          <t>Down</t>
        </is>
      </c>
      <c r="H3344" t="inlineStr">
        <is>
          <t>ED_JD</t>
        </is>
      </c>
      <c r="I3344" t="inlineStr">
        <is>
          <t>2019-10</t>
        </is>
      </c>
      <c r="J3344" t="n">
        <v>1</v>
      </c>
      <c r="K3344" t="n">
        <v>1</v>
      </c>
      <c r="L3344" s="34">
        <f>IF($J3344=1,LN(B3345/B3344),"")</f>
        <v/>
      </c>
      <c r="M3344" s="34">
        <f>IF($K3344=1,INDEX(Mensal!$D$2:$D$245,MATCH($I3344,Mensal!$A$2:$A$245,0)),"")</f>
        <v/>
      </c>
      <c r="N3344" s="34">
        <f>IF($K3344=1,L3344-M3344,"")</f>
        <v/>
      </c>
      <c r="O3344" s="34" t="n">
        <v>0.00020872</v>
      </c>
      <c r="P3344" s="34">
        <f>IF($J3344=1,LN(1+O3344),"")</f>
        <v/>
      </c>
      <c r="Q3344" s="34">
        <f>IF($J3344=1,LN(R3345/R3344),"")</f>
        <v/>
      </c>
      <c r="R3344" s="32" t="n">
        <v>4.1376</v>
      </c>
      <c r="S3344" s="35" t="n">
        <v>4.411</v>
      </c>
      <c r="T3344" s="18" t="n"/>
      <c r="U3344" s="18" t="n"/>
      <c r="V3344" s="18" t="n">
        <v>104728.89</v>
      </c>
      <c r="W3344" s="18" t="n"/>
      <c r="X3344" s="35" t="n"/>
      <c r="Y3344" s="35" t="n">
        <v>4.411</v>
      </c>
    </row>
    <row r="3345">
      <c r="A3345" s="25" t="n">
        <v>43759</v>
      </c>
      <c r="B3345" s="18" t="n">
        <v>106022.28</v>
      </c>
      <c r="C3345" s="31" t="n"/>
      <c r="D3345" s="32" t="n"/>
      <c r="E3345" s="33" t="n">
        <v>-0.53</v>
      </c>
      <c r="F3345" t="inlineStr">
        <is>
          <t>Down</t>
        </is>
      </c>
      <c r="G3345" t="inlineStr">
        <is>
          <t>Down</t>
        </is>
      </c>
      <c r="H3345" t="inlineStr">
        <is>
          <t>ED_JD</t>
        </is>
      </c>
      <c r="I3345" t="inlineStr">
        <is>
          <t>2019-10</t>
        </is>
      </c>
      <c r="J3345" t="n">
        <v>1</v>
      </c>
      <c r="K3345" t="n">
        <v>1</v>
      </c>
      <c r="L3345" s="34">
        <f>IF($J3345=1,LN(B3346/B3345),"")</f>
        <v/>
      </c>
      <c r="M3345" s="34">
        <f>IF($K3345=1,INDEX(Mensal!$D$2:$D$245,MATCH($I3345,Mensal!$A$2:$A$245,0)),"")</f>
        <v/>
      </c>
      <c r="N3345" s="34">
        <f>IF($K3345=1,L3345-M3345,"")</f>
        <v/>
      </c>
      <c r="O3345" s="34" t="n">
        <v>0.00020872</v>
      </c>
      <c r="P3345" s="34">
        <f>IF($J3345=1,LN(1+O3345),"")</f>
        <v/>
      </c>
      <c r="Q3345" s="34">
        <f>IF($J3345=1,LN(R3346/R3345),"")</f>
        <v/>
      </c>
      <c r="R3345" s="32" t="n">
        <v>4.1319</v>
      </c>
      <c r="S3345" s="35" t="n">
        <v>4.415</v>
      </c>
      <c r="T3345" s="18" t="n"/>
      <c r="U3345" s="18" t="n"/>
      <c r="V3345" s="18" t="n">
        <v>106022.28</v>
      </c>
      <c r="W3345" s="18" t="n"/>
      <c r="X3345" s="35" t="n"/>
      <c r="Y3345" s="35" t="n">
        <v>4.415</v>
      </c>
    </row>
    <row r="3346">
      <c r="A3346" s="25" t="n">
        <v>43760</v>
      </c>
      <c r="B3346" s="18" t="n">
        <v>107381.11</v>
      </c>
      <c r="C3346" s="31" t="n"/>
      <c r="D3346" s="32" t="n"/>
      <c r="E3346" s="33" t="n">
        <v>-0.5168</v>
      </c>
      <c r="F3346" t="inlineStr">
        <is>
          <t>Down</t>
        </is>
      </c>
      <c r="G3346" t="inlineStr">
        <is>
          <t>Down</t>
        </is>
      </c>
      <c r="H3346" t="inlineStr">
        <is>
          <t>ED_JD</t>
        </is>
      </c>
      <c r="I3346" t="inlineStr">
        <is>
          <t>2019-10</t>
        </is>
      </c>
      <c r="J3346" t="n">
        <v>1</v>
      </c>
      <c r="K3346" t="n">
        <v>1</v>
      </c>
      <c r="L3346" s="34">
        <f>IF($J3346=1,LN(B3347/B3346),"")</f>
        <v/>
      </c>
      <c r="M3346" s="34">
        <f>IF($K3346=1,INDEX(Mensal!$D$2:$D$245,MATCH($I3346,Mensal!$A$2:$A$245,0)),"")</f>
        <v/>
      </c>
      <c r="N3346" s="34">
        <f>IF($K3346=1,L3346-M3346,"")</f>
        <v/>
      </c>
      <c r="O3346" s="34" t="n">
        <v>0.00020872</v>
      </c>
      <c r="P3346" s="34">
        <f>IF($J3346=1,LN(1+O3346),"")</f>
        <v/>
      </c>
      <c r="Q3346" s="34">
        <f>IF($J3346=1,LN(R3347/R3346),"")</f>
        <v/>
      </c>
      <c r="R3346" s="32" t="n">
        <v>4.0858</v>
      </c>
      <c r="S3346" s="35" t="n">
        <v>4.488</v>
      </c>
      <c r="T3346" s="18" t="n"/>
      <c r="U3346" s="18" t="n"/>
      <c r="V3346" s="18" t="n">
        <v>107381.11</v>
      </c>
      <c r="W3346" s="18" t="n"/>
      <c r="X3346" s="35" t="n"/>
      <c r="Y3346" s="35" t="n">
        <v>4.488</v>
      </c>
    </row>
    <row r="3347">
      <c r="A3347" s="25" t="n">
        <v>43761</v>
      </c>
      <c r="B3347" s="18" t="n">
        <v>107543.59</v>
      </c>
      <c r="C3347" s="31" t="n"/>
      <c r="D3347" s="32" t="n"/>
      <c r="E3347" s="33" t="n">
        <v>-0.4984</v>
      </c>
      <c r="F3347" t="inlineStr">
        <is>
          <t>Down</t>
        </is>
      </c>
      <c r="G3347" t="inlineStr">
        <is>
          <t>Down</t>
        </is>
      </c>
      <c r="H3347" t="inlineStr">
        <is>
          <t>ED_JD</t>
        </is>
      </c>
      <c r="I3347" t="inlineStr">
        <is>
          <t>2019-10</t>
        </is>
      </c>
      <c r="J3347" t="n">
        <v>1</v>
      </c>
      <c r="K3347" t="n">
        <v>1</v>
      </c>
      <c r="L3347" s="34">
        <f>IF($J3347=1,LN(B3348/B3347),"")</f>
        <v/>
      </c>
      <c r="M3347" s="34">
        <f>IF($K3347=1,INDEX(Mensal!$D$2:$D$245,MATCH($I3347,Mensal!$A$2:$A$245,0)),"")</f>
        <v/>
      </c>
      <c r="N3347" s="34">
        <f>IF($K3347=1,L3347-M3347,"")</f>
        <v/>
      </c>
      <c r="O3347" s="34" t="n">
        <v>0.00020872</v>
      </c>
      <c r="P3347" s="34">
        <f>IF($J3347=1,LN(1+O3347),"")</f>
        <v/>
      </c>
      <c r="Q3347" s="34">
        <f>IF($J3347=1,LN(R3348/R3347),"")</f>
        <v/>
      </c>
      <c r="R3347" s="32" t="n">
        <v>4.0721</v>
      </c>
      <c r="S3347" s="35" t="n">
        <v>4.468</v>
      </c>
      <c r="T3347" s="18" t="n"/>
      <c r="U3347" s="18" t="n"/>
      <c r="V3347" s="18" t="n">
        <v>107543.59</v>
      </c>
      <c r="W3347" s="18" t="n"/>
      <c r="X3347" s="35" t="n"/>
      <c r="Y3347" s="35" t="n">
        <v>4.468</v>
      </c>
    </row>
    <row r="3348">
      <c r="A3348" s="25" t="n">
        <v>43762</v>
      </c>
      <c r="B3348" s="18" t="n">
        <v>106986.15</v>
      </c>
      <c r="C3348" s="31" t="n"/>
      <c r="D3348" s="32" t="n"/>
      <c r="E3348" s="33" t="n">
        <v>-0.4819</v>
      </c>
      <c r="F3348" t="inlineStr">
        <is>
          <t>Down</t>
        </is>
      </c>
      <c r="G3348" t="inlineStr">
        <is>
          <t>Down</t>
        </is>
      </c>
      <c r="H3348" t="inlineStr">
        <is>
          <t>ED_JD</t>
        </is>
      </c>
      <c r="I3348" t="inlineStr">
        <is>
          <t>2019-10</t>
        </is>
      </c>
      <c r="J3348" t="n">
        <v>1</v>
      </c>
      <c r="K3348" t="n">
        <v>1</v>
      </c>
      <c r="L3348" s="34">
        <f>IF($J3348=1,LN(B3349/B3348),"")</f>
        <v/>
      </c>
      <c r="M3348" s="34">
        <f>IF($K3348=1,INDEX(Mensal!$D$2:$D$245,MATCH($I3348,Mensal!$A$2:$A$245,0)),"")</f>
        <v/>
      </c>
      <c r="N3348" s="34">
        <f>IF($K3348=1,L3348-M3348,"")</f>
        <v/>
      </c>
      <c r="O3348" s="34" t="n">
        <v>0.00020872</v>
      </c>
      <c r="P3348" s="34">
        <f>IF($J3348=1,LN(1+O3348),"")</f>
        <v/>
      </c>
      <c r="Q3348" s="34">
        <f>IF($J3348=1,LN(R3349/R3348),"")</f>
        <v/>
      </c>
      <c r="R3348" s="32" t="n">
        <v>4.0089</v>
      </c>
      <c r="S3348" s="35" t="n">
        <v>4.436</v>
      </c>
      <c r="T3348" s="18" t="n"/>
      <c r="U3348" s="18" t="n"/>
      <c r="V3348" s="18" t="n">
        <v>106986.15</v>
      </c>
      <c r="W3348" s="18" t="n"/>
      <c r="X3348" s="35" t="n"/>
      <c r="Y3348" s="35" t="n">
        <v>4.436</v>
      </c>
    </row>
    <row r="3349">
      <c r="A3349" s="25" t="n">
        <v>43763</v>
      </c>
      <c r="B3349" s="18" t="n">
        <v>107363.77</v>
      </c>
      <c r="C3349" s="31" t="n"/>
      <c r="D3349" s="32" t="n"/>
      <c r="E3349" s="33" t="n">
        <v>-0.4611</v>
      </c>
      <c r="F3349" t="inlineStr">
        <is>
          <t>Down</t>
        </is>
      </c>
      <c r="G3349" t="inlineStr">
        <is>
          <t>Down</t>
        </is>
      </c>
      <c r="H3349" t="inlineStr">
        <is>
          <t>ED_JD</t>
        </is>
      </c>
      <c r="I3349" t="inlineStr">
        <is>
          <t>2019-10</t>
        </is>
      </c>
      <c r="J3349" t="n">
        <v>1</v>
      </c>
      <c r="K3349" t="n">
        <v>1</v>
      </c>
      <c r="L3349" s="34">
        <f>IF($J3349=1,LN(B3350/B3349),"")</f>
        <v/>
      </c>
      <c r="M3349" s="34">
        <f>IF($K3349=1,INDEX(Mensal!$D$2:$D$245,MATCH($I3349,Mensal!$A$2:$A$245,0)),"")</f>
        <v/>
      </c>
      <c r="N3349" s="34">
        <f>IF($K3349=1,L3349-M3349,"")</f>
        <v/>
      </c>
      <c r="O3349" s="34" t="n">
        <v>0.00020872</v>
      </c>
      <c r="P3349" s="34">
        <f>IF($J3349=1,LN(1+O3349),"")</f>
        <v/>
      </c>
      <c r="Q3349" s="34">
        <f>IF($J3349=1,LN(R3350/R3349),"")</f>
        <v/>
      </c>
      <c r="R3349" s="32" t="n">
        <v>4.0133</v>
      </c>
      <c r="S3349" s="35" t="n">
        <v>4.38</v>
      </c>
      <c r="T3349" s="18" t="n"/>
      <c r="U3349" s="18" t="n"/>
      <c r="V3349" s="18" t="n">
        <v>107363.77</v>
      </c>
      <c r="W3349" s="18" t="n"/>
      <c r="X3349" s="35" t="n"/>
      <c r="Y3349" s="35" t="n">
        <v>4.38</v>
      </c>
    </row>
    <row r="3350">
      <c r="A3350" s="25" t="n">
        <v>43766</v>
      </c>
      <c r="B3350" s="18" t="n">
        <v>108187.06</v>
      </c>
      <c r="C3350" s="31" t="n"/>
      <c r="D3350" s="32" t="n"/>
      <c r="E3350" s="33" t="n">
        <v>-0.4379</v>
      </c>
      <c r="F3350" t="inlineStr">
        <is>
          <t>Down</t>
        </is>
      </c>
      <c r="G3350" t="inlineStr">
        <is>
          <t>Down</t>
        </is>
      </c>
      <c r="H3350" t="inlineStr">
        <is>
          <t>ED_JD</t>
        </is>
      </c>
      <c r="I3350" t="inlineStr">
        <is>
          <t>2019-10</t>
        </is>
      </c>
      <c r="J3350" t="n">
        <v>1</v>
      </c>
      <c r="K3350" t="n">
        <v>1</v>
      </c>
      <c r="L3350" s="34">
        <f>IF($J3350=1,LN(B3351/B3350),"")</f>
        <v/>
      </c>
      <c r="M3350" s="34">
        <f>IF($K3350=1,INDEX(Mensal!$D$2:$D$245,MATCH($I3350,Mensal!$A$2:$A$245,0)),"")</f>
        <v/>
      </c>
      <c r="N3350" s="34">
        <f>IF($K3350=1,L3350-M3350,"")</f>
        <v/>
      </c>
      <c r="O3350" s="34" t="n">
        <v>0.00020872</v>
      </c>
      <c r="P3350" s="34">
        <f>IF($J3350=1,LN(1+O3350),"")</f>
        <v/>
      </c>
      <c r="Q3350" s="34">
        <f>IF($J3350=1,LN(R3351/R3350),"")</f>
        <v/>
      </c>
      <c r="R3350" s="32" t="n">
        <v>3.9793</v>
      </c>
      <c r="S3350" s="35" t="n">
        <v>4.368</v>
      </c>
      <c r="T3350" s="18" t="n"/>
      <c r="U3350" s="18" t="n"/>
      <c r="V3350" s="18" t="n">
        <v>108187.06</v>
      </c>
      <c r="W3350" s="18" t="n"/>
      <c r="X3350" s="35" t="n"/>
      <c r="Y3350" s="35" t="n">
        <v>4.368</v>
      </c>
    </row>
    <row r="3351">
      <c r="A3351" s="25" t="n">
        <v>43767</v>
      </c>
      <c r="B3351" s="18" t="n">
        <v>107556.26</v>
      </c>
      <c r="C3351" s="31" t="n"/>
      <c r="D3351" s="32" t="n"/>
      <c r="E3351" s="33" t="n">
        <v>-0.4142</v>
      </c>
      <c r="F3351" t="inlineStr">
        <is>
          <t>Down</t>
        </is>
      </c>
      <c r="G3351" t="inlineStr">
        <is>
          <t>Down</t>
        </is>
      </c>
      <c r="H3351" t="inlineStr">
        <is>
          <t>ED_JD</t>
        </is>
      </c>
      <c r="I3351" t="inlineStr">
        <is>
          <t>2019-10</t>
        </is>
      </c>
      <c r="J3351" t="n">
        <v>1</v>
      </c>
      <c r="K3351" t="n">
        <v>1</v>
      </c>
      <c r="L3351" s="34">
        <f>IF($J3351=1,LN(B3352/B3351),"")</f>
        <v/>
      </c>
      <c r="M3351" s="34">
        <f>IF($K3351=1,INDEX(Mensal!$D$2:$D$245,MATCH($I3351,Mensal!$A$2:$A$245,0)),"")</f>
        <v/>
      </c>
      <c r="N3351" s="34">
        <f>IF($K3351=1,L3351-M3351,"")</f>
        <v/>
      </c>
      <c r="O3351" s="34" t="n">
        <v>0.00020872</v>
      </c>
      <c r="P3351" s="34">
        <f>IF($J3351=1,LN(1+O3351),"")</f>
        <v/>
      </c>
      <c r="Q3351" s="34">
        <f>IF($J3351=1,LN(R3352/R3351),"")</f>
        <v/>
      </c>
      <c r="R3351" s="32" t="n">
        <v>3.9946</v>
      </c>
      <c r="S3351" s="35" t="n">
        <v>4.349</v>
      </c>
      <c r="T3351" s="18" t="n"/>
      <c r="U3351" s="18" t="n"/>
      <c r="V3351" s="18" t="n">
        <v>107556.26</v>
      </c>
      <c r="W3351" s="18" t="n"/>
      <c r="X3351" s="35" t="n"/>
      <c r="Y3351" s="35" t="n">
        <v>4.349</v>
      </c>
    </row>
    <row r="3352">
      <c r="A3352" s="25" t="n">
        <v>43768</v>
      </c>
      <c r="B3352" s="18" t="n">
        <v>108407.54</v>
      </c>
      <c r="C3352" s="31" t="n"/>
      <c r="D3352" s="32" t="n"/>
      <c r="E3352" s="33" t="n">
        <v>-0.4056</v>
      </c>
      <c r="F3352" t="inlineStr">
        <is>
          <t>Down</t>
        </is>
      </c>
      <c r="G3352" t="inlineStr">
        <is>
          <t>Down</t>
        </is>
      </c>
      <c r="H3352" t="inlineStr">
        <is>
          <t>ED_JD</t>
        </is>
      </c>
      <c r="I3352" t="inlineStr">
        <is>
          <t>2019-10</t>
        </is>
      </c>
      <c r="J3352" t="n">
        <v>1</v>
      </c>
      <c r="K3352" t="n">
        <v>1</v>
      </c>
      <c r="L3352" s="34">
        <f>IF($J3352=1,LN(B3353/B3352),"")</f>
        <v/>
      </c>
      <c r="M3352" s="34">
        <f>IF($K3352=1,INDEX(Mensal!$D$2:$D$245,MATCH($I3352,Mensal!$A$2:$A$245,0)),"")</f>
        <v/>
      </c>
      <c r="N3352" s="34">
        <f>IF($K3352=1,L3352-M3352,"")</f>
        <v/>
      </c>
      <c r="O3352" s="34" t="n">
        <v>0.00020872</v>
      </c>
      <c r="P3352" s="34">
        <f>IF($J3352=1,LN(1+O3352),"")</f>
        <v/>
      </c>
      <c r="Q3352" s="34">
        <f>IF($J3352=1,LN(R3353/R3352),"")</f>
        <v/>
      </c>
      <c r="R3352" s="32" t="n">
        <v>4.0186</v>
      </c>
      <c r="S3352" s="35" t="n">
        <v>4.322</v>
      </c>
      <c r="T3352" s="18" t="n"/>
      <c r="U3352" s="18" t="n"/>
      <c r="V3352" s="18" t="n">
        <v>108407.54</v>
      </c>
      <c r="W3352" s="18" t="n"/>
      <c r="X3352" s="35" t="n"/>
      <c r="Y3352" s="35" t="n">
        <v>4.322</v>
      </c>
    </row>
    <row r="3353">
      <c r="A3353" s="25" t="n">
        <v>43769</v>
      </c>
      <c r="B3353" s="18" t="n">
        <v>107219.83</v>
      </c>
      <c r="C3353" s="31" t="n"/>
      <c r="D3353" s="32" t="n"/>
      <c r="E3353" s="33" t="n">
        <v>-0.3975</v>
      </c>
      <c r="F3353" t="inlineStr">
        <is>
          <t>Down</t>
        </is>
      </c>
      <c r="G3353" t="inlineStr">
        <is>
          <t>Down</t>
        </is>
      </c>
      <c r="H3353" t="inlineStr">
        <is>
          <t>ED_JD</t>
        </is>
      </c>
      <c r="I3353" t="inlineStr">
        <is>
          <t>2019-10</t>
        </is>
      </c>
      <c r="J3353" t="n">
        <v>1</v>
      </c>
      <c r="K3353" t="n">
        <v>1</v>
      </c>
      <c r="L3353" s="34">
        <f>IF($J3353=1,LN(B3354/B3353),"")</f>
        <v/>
      </c>
      <c r="M3353" s="34">
        <f>IF($K3353=1,INDEX(Mensal!$D$2:$D$245,MATCH($I3353,Mensal!$A$2:$A$245,0)),"")</f>
        <v/>
      </c>
      <c r="N3353" s="34">
        <f>IF($K3353=1,L3353-M3353,"")</f>
        <v/>
      </c>
      <c r="O3353" s="34" t="n">
        <v>0.00018985</v>
      </c>
      <c r="P3353" s="34">
        <f>IF($J3353=1,LN(1+O3353),"")</f>
        <v/>
      </c>
      <c r="Q3353" s="34">
        <f>IF($J3353=1,LN(R3354/R3353),"")</f>
        <v/>
      </c>
      <c r="R3353" s="32" t="n">
        <v>4.0041</v>
      </c>
      <c r="S3353" s="35" t="n">
        <v>4.455</v>
      </c>
      <c r="T3353" s="18" t="n"/>
      <c r="U3353" s="18" t="n"/>
      <c r="V3353" s="18" t="n">
        <v>107219.83</v>
      </c>
      <c r="W3353" s="18" t="n"/>
      <c r="X3353" s="35" t="n"/>
      <c r="Y3353" s="35" t="n">
        <v>4.455</v>
      </c>
    </row>
    <row r="3354">
      <c r="A3354" s="25" t="n">
        <v>43770</v>
      </c>
      <c r="B3354" s="18" t="n">
        <v>108195.63</v>
      </c>
      <c r="C3354" s="31" t="n"/>
      <c r="D3354" s="32" t="n"/>
      <c r="E3354" s="33" t="n">
        <v>-0.3846</v>
      </c>
      <c r="F3354" t="inlineStr">
        <is>
          <t>Down</t>
        </is>
      </c>
      <c r="G3354" t="inlineStr">
        <is>
          <t>Down</t>
        </is>
      </c>
      <c r="H3354" t="inlineStr">
        <is>
          <t>ED_JD</t>
        </is>
      </c>
      <c r="I3354" t="inlineStr">
        <is>
          <t>2019-11</t>
        </is>
      </c>
      <c r="J3354" t="n">
        <v>1</v>
      </c>
      <c r="K3354" t="n">
        <v>1</v>
      </c>
      <c r="L3354" s="34">
        <f>IF($J3354=1,LN(B3355/B3354),"")</f>
        <v/>
      </c>
      <c r="M3354" s="34">
        <f>IF($K3354=1,INDEX(Mensal!$D$2:$D$245,MATCH($I3354,Mensal!$A$2:$A$245,0)),"")</f>
        <v/>
      </c>
      <c r="N3354" s="34">
        <f>IF($K3354=1,L3354-M3354,"")</f>
        <v/>
      </c>
      <c r="O3354" s="34" t="n">
        <v>0.00018985</v>
      </c>
      <c r="P3354" s="34">
        <f>IF($J3354=1,LN(1+O3354),"")</f>
        <v/>
      </c>
      <c r="Q3354" s="34">
        <f>IF($J3354=1,LN(R3355/R3354),"")</f>
        <v/>
      </c>
      <c r="R3354" s="32" t="n">
        <v>3.9786</v>
      </c>
      <c r="S3354" s="35" t="n">
        <v>4.428</v>
      </c>
      <c r="T3354" s="18" t="n"/>
      <c r="U3354" s="18" t="n"/>
      <c r="V3354" s="18" t="n">
        <v>108195.63</v>
      </c>
      <c r="W3354" s="18" t="n"/>
      <c r="X3354" s="35" t="n"/>
      <c r="Y3354" s="35" t="n">
        <v>4.428</v>
      </c>
    </row>
    <row r="3355">
      <c r="A3355" s="25" t="n">
        <v>43773</v>
      </c>
      <c r="B3355" s="18" t="n">
        <v>108779.33</v>
      </c>
      <c r="C3355" s="31" t="n"/>
      <c r="D3355" s="32" t="n"/>
      <c r="E3355" s="33" t="n">
        <v>-0.3591</v>
      </c>
      <c r="F3355" t="inlineStr">
        <is>
          <t>Down</t>
        </is>
      </c>
      <c r="G3355" t="inlineStr">
        <is>
          <t>Down</t>
        </is>
      </c>
      <c r="H3355" t="inlineStr">
        <is>
          <t>ED_JD</t>
        </is>
      </c>
      <c r="I3355" t="inlineStr">
        <is>
          <t>2019-11</t>
        </is>
      </c>
      <c r="J3355" t="n">
        <v>1</v>
      </c>
      <c r="K3355" t="n">
        <v>1</v>
      </c>
      <c r="L3355" s="34">
        <f>IF($J3355=1,LN(B3356/B3355),"")</f>
        <v/>
      </c>
      <c r="M3355" s="34">
        <f>IF($K3355=1,INDEX(Mensal!$D$2:$D$245,MATCH($I3355,Mensal!$A$2:$A$245,0)),"")</f>
        <v/>
      </c>
      <c r="N3355" s="34">
        <f>IF($K3355=1,L3355-M3355,"")</f>
        <v/>
      </c>
      <c r="O3355" s="34" t="n">
        <v>0.00018985</v>
      </c>
      <c r="P3355" s="34">
        <f>IF($J3355=1,LN(1+O3355),"")</f>
        <v/>
      </c>
      <c r="Q3355" s="34">
        <f>IF($J3355=1,LN(R3356/R3355),"")</f>
        <v/>
      </c>
      <c r="R3355" s="32" t="n">
        <v>3.9922</v>
      </c>
      <c r="S3355" s="35" t="n">
        <v>4.446</v>
      </c>
      <c r="T3355" s="18" t="n"/>
      <c r="U3355" s="18" t="n"/>
      <c r="V3355" s="18" t="n">
        <v>108779.33</v>
      </c>
      <c r="W3355" s="18" t="n"/>
      <c r="X3355" s="35" t="n"/>
      <c r="Y3355" s="35" t="n">
        <v>4.446</v>
      </c>
    </row>
    <row r="3356">
      <c r="A3356" s="25" t="n">
        <v>43774</v>
      </c>
      <c r="B3356" s="18" t="n">
        <v>108719.02</v>
      </c>
      <c r="C3356" s="31" t="n"/>
      <c r="D3356" s="32" t="n"/>
      <c r="E3356" s="33" t="n">
        <v>-0.3361</v>
      </c>
      <c r="F3356" t="inlineStr">
        <is>
          <t>Down</t>
        </is>
      </c>
      <c r="G3356" t="inlineStr">
        <is>
          <t>Down</t>
        </is>
      </c>
      <c r="H3356" t="inlineStr">
        <is>
          <t>ED_JD</t>
        </is>
      </c>
      <c r="I3356" t="inlineStr">
        <is>
          <t>2019-11</t>
        </is>
      </c>
      <c r="J3356" t="n">
        <v>1</v>
      </c>
      <c r="K3356" t="n">
        <v>1</v>
      </c>
      <c r="L3356" s="34">
        <f>IF($J3356=1,LN(B3357/B3356),"")</f>
        <v/>
      </c>
      <c r="M3356" s="34">
        <f>IF($K3356=1,INDEX(Mensal!$D$2:$D$245,MATCH($I3356,Mensal!$A$2:$A$245,0)),"")</f>
        <v/>
      </c>
      <c r="N3356" s="34">
        <f>IF($K3356=1,L3356-M3356,"")</f>
        <v/>
      </c>
      <c r="O3356" s="34" t="n">
        <v>0.00018985</v>
      </c>
      <c r="P3356" s="34">
        <f>IF($J3356=1,LN(1+O3356),"")</f>
        <v/>
      </c>
      <c r="Q3356" s="34">
        <f>IF($J3356=1,LN(R3357/R3356),"")</f>
        <v/>
      </c>
      <c r="R3356" s="32" t="n">
        <v>4.0043</v>
      </c>
      <c r="S3356" s="35" t="n">
        <v>4.446</v>
      </c>
      <c r="T3356" s="18" t="n"/>
      <c r="U3356" s="18" t="n"/>
      <c r="V3356" s="18" t="n">
        <v>108719.02</v>
      </c>
      <c r="W3356" s="18" t="n"/>
      <c r="X3356" s="35" t="n"/>
      <c r="Y3356" s="35" t="n">
        <v>4.446</v>
      </c>
    </row>
    <row r="3357">
      <c r="A3357" s="25" t="n">
        <v>43775</v>
      </c>
      <c r="B3357" s="18" t="n">
        <v>108360.22</v>
      </c>
      <c r="C3357" s="31" t="n"/>
      <c r="D3357" s="32" t="n"/>
      <c r="E3357" s="33" t="n">
        <v>-0.3131</v>
      </c>
      <c r="F3357" t="inlineStr">
        <is>
          <t>Down</t>
        </is>
      </c>
      <c r="G3357" t="inlineStr">
        <is>
          <t>Down</t>
        </is>
      </c>
      <c r="H3357" t="inlineStr">
        <is>
          <t>ED_JD</t>
        </is>
      </c>
      <c r="I3357" t="inlineStr">
        <is>
          <t>2019-11</t>
        </is>
      </c>
      <c r="J3357" t="n">
        <v>1</v>
      </c>
      <c r="K3357" t="n">
        <v>1</v>
      </c>
      <c r="L3357" s="34">
        <f>IF($J3357=1,LN(B3358/B3357),"")</f>
        <v/>
      </c>
      <c r="M3357" s="34">
        <f>IF($K3357=1,INDEX(Mensal!$D$2:$D$245,MATCH($I3357,Mensal!$A$2:$A$245,0)),"")</f>
        <v/>
      </c>
      <c r="N3357" s="34">
        <f>IF($K3357=1,L3357-M3357,"")</f>
        <v/>
      </c>
      <c r="O3357" s="34" t="n">
        <v>0.00018985</v>
      </c>
      <c r="P3357" s="34">
        <f>IF($J3357=1,LN(1+O3357),"")</f>
        <v/>
      </c>
      <c r="Q3357" s="34">
        <f>IF($J3357=1,LN(R3358/R3357),"")</f>
        <v/>
      </c>
      <c r="R3357" s="32" t="n">
        <v>4.0351</v>
      </c>
      <c r="S3357" s="35" t="n">
        <v>4.46</v>
      </c>
      <c r="T3357" s="18" t="n"/>
      <c r="U3357" s="18" t="n"/>
      <c r="V3357" s="18" t="n">
        <v>108360.22</v>
      </c>
      <c r="W3357" s="18" t="n"/>
      <c r="X3357" s="35" t="n"/>
      <c r="Y3357" s="35" t="n">
        <v>4.46</v>
      </c>
    </row>
    <row r="3358">
      <c r="A3358" s="25" t="n">
        <v>43776</v>
      </c>
      <c r="B3358" s="18" t="n">
        <v>109580.57</v>
      </c>
      <c r="C3358" s="31" t="n"/>
      <c r="D3358" s="32" t="n"/>
      <c r="E3358" s="33" t="n">
        <v>-0.2917</v>
      </c>
      <c r="F3358" t="inlineStr">
        <is>
          <t>Down</t>
        </is>
      </c>
      <c r="G3358" t="inlineStr">
        <is>
          <t>Down</t>
        </is>
      </c>
      <c r="H3358" t="inlineStr">
        <is>
          <t>ED_JD</t>
        </is>
      </c>
      <c r="I3358" t="inlineStr">
        <is>
          <t>2019-11</t>
        </is>
      </c>
      <c r="J3358" t="n">
        <v>1</v>
      </c>
      <c r="K3358" t="n">
        <v>1</v>
      </c>
      <c r="L3358" s="34">
        <f>IF($J3358=1,LN(B3359/B3358),"")</f>
        <v/>
      </c>
      <c r="M3358" s="34">
        <f>IF($K3358=1,INDEX(Mensal!$D$2:$D$245,MATCH($I3358,Mensal!$A$2:$A$245,0)),"")</f>
        <v/>
      </c>
      <c r="N3358" s="34">
        <f>IF($K3358=1,L3358-M3358,"")</f>
        <v/>
      </c>
      <c r="O3358" s="34" t="n">
        <v>0.00018985</v>
      </c>
      <c r="P3358" s="34">
        <f>IF($J3358=1,LN(1+O3358),"")</f>
        <v/>
      </c>
      <c r="Q3358" s="34">
        <f>IF($J3358=1,LN(R3359/R3358),"")</f>
        <v/>
      </c>
      <c r="R3358" s="32" t="n">
        <v>4.0927</v>
      </c>
      <c r="S3358" s="35" t="n">
        <v>4.494</v>
      </c>
      <c r="T3358" s="18" t="n"/>
      <c r="U3358" s="18" t="n"/>
      <c r="V3358" s="18" t="n">
        <v>109580.57</v>
      </c>
      <c r="W3358" s="18" t="n"/>
      <c r="X3358" s="35" t="n"/>
      <c r="Y3358" s="35" t="n">
        <v>4.494</v>
      </c>
    </row>
    <row r="3359">
      <c r="A3359" s="25" t="n">
        <v>43777</v>
      </c>
      <c r="B3359" s="18" t="n">
        <v>107628.98</v>
      </c>
      <c r="C3359" s="31" t="n"/>
      <c r="D3359" s="32" t="n"/>
      <c r="E3359" s="33" t="n">
        <v>-0.2827</v>
      </c>
      <c r="F3359" t="inlineStr">
        <is>
          <t>Down</t>
        </is>
      </c>
      <c r="G3359" t="inlineStr">
        <is>
          <t>Down</t>
        </is>
      </c>
      <c r="H3359" t="inlineStr">
        <is>
          <t>ED_JD</t>
        </is>
      </c>
      <c r="I3359" t="inlineStr">
        <is>
          <t>2019-11</t>
        </is>
      </c>
      <c r="J3359" t="n">
        <v>1</v>
      </c>
      <c r="K3359" t="n">
        <v>1</v>
      </c>
      <c r="L3359" s="34">
        <f>IF($J3359=1,LN(B3360/B3359),"")</f>
        <v/>
      </c>
      <c r="M3359" s="34">
        <f>IF($K3359=1,INDEX(Mensal!$D$2:$D$245,MATCH($I3359,Mensal!$A$2:$A$245,0)),"")</f>
        <v/>
      </c>
      <c r="N3359" s="34">
        <f>IF($K3359=1,L3359-M3359,"")</f>
        <v/>
      </c>
      <c r="O3359" s="34" t="n">
        <v>0.00018985</v>
      </c>
      <c r="P3359" s="34">
        <f>IF($J3359=1,LN(1+O3359),"")</f>
        <v/>
      </c>
      <c r="Q3359" s="34">
        <f>IF($J3359=1,LN(R3360/R3359),"")</f>
        <v/>
      </c>
      <c r="R3359" s="32" t="n">
        <v>4.1365</v>
      </c>
      <c r="S3359" s="35" t="n">
        <v>4.504</v>
      </c>
      <c r="T3359" s="18" t="n"/>
      <c r="U3359" s="18" t="n"/>
      <c r="V3359" s="18" t="n">
        <v>107628.98</v>
      </c>
      <c r="W3359" s="18" t="n"/>
      <c r="X3359" s="35" t="n"/>
      <c r="Y3359" s="35" t="n">
        <v>4.504</v>
      </c>
    </row>
    <row r="3360">
      <c r="A3360" s="25" t="n">
        <v>43780</v>
      </c>
      <c r="B3360" s="18" t="n">
        <v>108367.44</v>
      </c>
      <c r="C3360" s="31" t="n"/>
      <c r="D3360" s="32" t="n"/>
      <c r="E3360" s="33" t="n">
        <v>-0.2743</v>
      </c>
      <c r="F3360" t="inlineStr">
        <is>
          <t>Down</t>
        </is>
      </c>
      <c r="G3360" t="inlineStr">
        <is>
          <t>Down</t>
        </is>
      </c>
      <c r="H3360" t="inlineStr">
        <is>
          <t>ED_JD</t>
        </is>
      </c>
      <c r="I3360" t="inlineStr">
        <is>
          <t>2019-11</t>
        </is>
      </c>
      <c r="J3360" t="n">
        <v>1</v>
      </c>
      <c r="K3360" t="n">
        <v>1</v>
      </c>
      <c r="L3360" s="34">
        <f>IF($J3360=1,LN(B3361/B3360),"")</f>
        <v/>
      </c>
      <c r="M3360" s="34">
        <f>IF($K3360=1,INDEX(Mensal!$D$2:$D$245,MATCH($I3360,Mensal!$A$2:$A$245,0)),"")</f>
        <v/>
      </c>
      <c r="N3360" s="34">
        <f>IF($K3360=1,L3360-M3360,"")</f>
        <v/>
      </c>
      <c r="O3360" s="34" t="n">
        <v>0.00018985</v>
      </c>
      <c r="P3360" s="34">
        <f>IF($J3360=1,LN(1+O3360),"")</f>
        <v/>
      </c>
      <c r="Q3360" s="34">
        <f>IF($J3360=1,LN(R3361/R3360),"")</f>
        <v/>
      </c>
      <c r="R3360" s="32" t="n">
        <v>4.1559</v>
      </c>
      <c r="S3360" s="35" t="n">
        <v>4.479</v>
      </c>
      <c r="T3360" s="18" t="n"/>
      <c r="U3360" s="18" t="n"/>
      <c r="V3360" s="18" t="n">
        <v>108367.44</v>
      </c>
      <c r="W3360" s="18" t="n"/>
      <c r="X3360" s="35" t="n"/>
      <c r="Y3360" s="35" t="n">
        <v>4.479</v>
      </c>
    </row>
    <row r="3361">
      <c r="A3361" s="25" t="n">
        <v>43781</v>
      </c>
      <c r="B3361" s="18" t="n">
        <v>106751.11</v>
      </c>
      <c r="C3361" s="31" t="n"/>
      <c r="D3361" s="32" t="n"/>
      <c r="E3361" s="33" t="n">
        <v>-0.2612</v>
      </c>
      <c r="F3361" t="inlineStr">
        <is>
          <t>Down</t>
        </is>
      </c>
      <c r="G3361" t="inlineStr">
        <is>
          <t>Down</t>
        </is>
      </c>
      <c r="H3361" t="inlineStr">
        <is>
          <t>ED_JD</t>
        </is>
      </c>
      <c r="I3361" t="inlineStr">
        <is>
          <t>2019-11</t>
        </is>
      </c>
      <c r="J3361" t="n">
        <v>1</v>
      </c>
      <c r="K3361" t="n">
        <v>1</v>
      </c>
      <c r="L3361" s="34">
        <f>IF($J3361=1,LN(B3362/B3361),"")</f>
        <v/>
      </c>
      <c r="M3361" s="34">
        <f>IF($K3361=1,INDEX(Mensal!$D$2:$D$245,MATCH($I3361,Mensal!$A$2:$A$245,0)),"")</f>
        <v/>
      </c>
      <c r="N3361" s="34">
        <f>IF($K3361=1,L3361-M3361,"")</f>
        <v/>
      </c>
      <c r="O3361" s="34" t="n">
        <v>0.00018985</v>
      </c>
      <c r="P3361" s="34">
        <f>IF($J3361=1,LN(1+O3361),"")</f>
        <v/>
      </c>
      <c r="Q3361" s="34">
        <f>IF($J3361=1,LN(R3362/R3361),"")</f>
        <v/>
      </c>
      <c r="R3361" s="32" t="n">
        <v>4.1756</v>
      </c>
      <c r="S3361" s="35" t="n">
        <v>4.519</v>
      </c>
      <c r="T3361" s="18" t="n"/>
      <c r="U3361" s="18" t="n"/>
      <c r="V3361" s="18" t="n">
        <v>106751.11</v>
      </c>
      <c r="W3361" s="18" t="n"/>
      <c r="X3361" s="35" t="n"/>
      <c r="Y3361" s="35" t="n">
        <v>4.519</v>
      </c>
    </row>
    <row r="3362">
      <c r="A3362" s="25" t="n">
        <v>43782</v>
      </c>
      <c r="B3362" s="18" t="n">
        <v>106059.95</v>
      </c>
      <c r="C3362" s="31" t="n"/>
      <c r="D3362" s="32" t="n"/>
      <c r="E3362" s="33" t="n">
        <v>-0.2443</v>
      </c>
      <c r="F3362" t="inlineStr">
        <is>
          <t>Down</t>
        </is>
      </c>
      <c r="G3362" t="inlineStr">
        <is>
          <t>Down</t>
        </is>
      </c>
      <c r="H3362" t="inlineStr">
        <is>
          <t>ED_JD</t>
        </is>
      </c>
      <c r="I3362" t="inlineStr">
        <is>
          <t>2019-11</t>
        </is>
      </c>
      <c r="J3362" t="n">
        <v>1</v>
      </c>
      <c r="K3362" t="n">
        <v>1</v>
      </c>
      <c r="L3362" s="34">
        <f>IF($J3362=1,LN(B3363/B3362),"")</f>
        <v/>
      </c>
      <c r="M3362" s="34">
        <f>IF($K3362=1,INDEX(Mensal!$D$2:$D$245,MATCH($I3362,Mensal!$A$2:$A$245,0)),"")</f>
        <v/>
      </c>
      <c r="N3362" s="34">
        <f>IF($K3362=1,L3362-M3362,"")</f>
        <v/>
      </c>
      <c r="O3362" s="34" t="n">
        <v>0.00018985</v>
      </c>
      <c r="P3362" s="34">
        <f>IF($J3362=1,LN(1+O3362),"")</f>
        <v/>
      </c>
      <c r="Q3362" s="34">
        <f>IF($J3362=1,LN(R3363/R3362),"")</f>
        <v/>
      </c>
      <c r="R3362" s="32" t="n">
        <v>4.1767</v>
      </c>
      <c r="S3362" s="35" t="n">
        <v>4.561</v>
      </c>
      <c r="T3362" s="18" t="n"/>
      <c r="U3362" s="18" t="n"/>
      <c r="V3362" s="18" t="n">
        <v>106059.95</v>
      </c>
      <c r="W3362" s="18" t="n"/>
      <c r="X3362" s="35" t="n"/>
      <c r="Y3362" s="35" t="n">
        <v>4.561</v>
      </c>
    </row>
    <row r="3363">
      <c r="A3363" s="25" t="n">
        <v>43783</v>
      </c>
      <c r="B3363" s="18" t="n">
        <v>106556.88</v>
      </c>
      <c r="C3363" s="31" t="n"/>
      <c r="D3363" s="32" t="n"/>
      <c r="E3363" s="33" t="n">
        <v>-0.2301</v>
      </c>
      <c r="F3363" t="inlineStr">
        <is>
          <t>Down</t>
        </is>
      </c>
      <c r="G3363" t="inlineStr">
        <is>
          <t>Down</t>
        </is>
      </c>
      <c r="H3363" t="inlineStr">
        <is>
          <t>ED_JD</t>
        </is>
      </c>
      <c r="I3363" t="inlineStr">
        <is>
          <t>2019-11</t>
        </is>
      </c>
      <c r="J3363" t="n">
        <v>1</v>
      </c>
      <c r="K3363" t="n">
        <v>1</v>
      </c>
      <c r="L3363" s="34">
        <f>IF($J3363=1,LN(B3364/B3363),"")</f>
        <v/>
      </c>
      <c r="M3363" s="34">
        <f>IF($K3363=1,INDEX(Mensal!$D$2:$D$245,MATCH($I3363,Mensal!$A$2:$A$245,0)),"")</f>
        <v/>
      </c>
      <c r="N3363" s="34">
        <f>IF($K3363=1,L3363-M3363,"")</f>
        <v/>
      </c>
      <c r="O3363" s="34" t="n">
        <v>0.00018985</v>
      </c>
      <c r="P3363" s="34">
        <f>IF($J3363=1,LN(1+O3363),"")</f>
        <v/>
      </c>
      <c r="Q3363" s="34">
        <f>IF($J3363=1,LN(R3364/R3363),"")</f>
        <v/>
      </c>
      <c r="R3363" s="32" t="n">
        <v>4.1831</v>
      </c>
      <c r="S3363" s="35" t="n">
        <v>4.57</v>
      </c>
      <c r="T3363" s="18" t="n"/>
      <c r="U3363" s="18" t="n"/>
      <c r="V3363" s="18" t="n">
        <v>106556.88</v>
      </c>
      <c r="W3363" s="18" t="n"/>
      <c r="X3363" s="35" t="n"/>
      <c r="Y3363" s="35" t="n">
        <v>4.57</v>
      </c>
    </row>
    <row r="3364">
      <c r="A3364" s="25" t="n">
        <v>43787</v>
      </c>
      <c r="B3364" s="18" t="n">
        <v>106269.25</v>
      </c>
      <c r="C3364" s="31" t="n"/>
      <c r="D3364" s="32" t="n"/>
      <c r="E3364" s="33" t="n">
        <v>-0.2061</v>
      </c>
      <c r="F3364" t="inlineStr">
        <is>
          <t>Down</t>
        </is>
      </c>
      <c r="G3364" t="inlineStr">
        <is>
          <t>Down</t>
        </is>
      </c>
      <c r="H3364" t="inlineStr">
        <is>
          <t>ED_JD</t>
        </is>
      </c>
      <c r="I3364" t="inlineStr">
        <is>
          <t>2019-11</t>
        </is>
      </c>
      <c r="J3364" t="n">
        <v>1</v>
      </c>
      <c r="K3364" t="n">
        <v>1</v>
      </c>
      <c r="L3364" s="34">
        <f>IF($J3364=1,LN(B3365/B3364),"")</f>
        <v/>
      </c>
      <c r="M3364" s="34">
        <f>IF($K3364=1,INDEX(Mensal!$D$2:$D$245,MATCH($I3364,Mensal!$A$2:$A$245,0)),"")</f>
        <v/>
      </c>
      <c r="N3364" s="34">
        <f>IF($K3364=1,L3364-M3364,"")</f>
        <v/>
      </c>
      <c r="O3364" s="34" t="n">
        <v>0.00018985</v>
      </c>
      <c r="P3364" s="34">
        <f>IF($J3364=1,LN(1+O3364),"")</f>
        <v/>
      </c>
      <c r="Q3364" s="34">
        <f>IF($J3364=1,LN(R3365/R3364),"")</f>
        <v/>
      </c>
      <c r="R3364" s="32" t="n">
        <v>4.1827</v>
      </c>
      <c r="S3364" s="35" t="n">
        <v>4.603</v>
      </c>
      <c r="T3364" s="18" t="n"/>
      <c r="U3364" s="18" t="n"/>
      <c r="V3364" s="18" t="n">
        <v>106269.25</v>
      </c>
      <c r="W3364" s="18" t="n"/>
      <c r="X3364" s="35" t="n"/>
      <c r="Y3364" s="35" t="n">
        <v>4.603</v>
      </c>
    </row>
    <row r="3365">
      <c r="A3365" s="25" t="n">
        <v>43788</v>
      </c>
      <c r="B3365" s="18" t="n">
        <v>105864.18</v>
      </c>
      <c r="C3365" s="31" t="n"/>
      <c r="D3365" s="32" t="n"/>
      <c r="E3365" s="33" t="n">
        <v>-0.1813</v>
      </c>
      <c r="F3365" t="inlineStr">
        <is>
          <t>Down</t>
        </is>
      </c>
      <c r="G3365" t="inlineStr">
        <is>
          <t>Down</t>
        </is>
      </c>
      <c r="H3365" t="inlineStr">
        <is>
          <t>ED_JD</t>
        </is>
      </c>
      <c r="I3365" t="inlineStr">
        <is>
          <t>2019-11</t>
        </is>
      </c>
      <c r="J3365" t="n">
        <v>1</v>
      </c>
      <c r="K3365" t="n">
        <v>1</v>
      </c>
      <c r="L3365" s="34">
        <f>IF($J3365=1,LN(B3366/B3365),"")</f>
        <v/>
      </c>
      <c r="M3365" s="34">
        <f>IF($K3365=1,INDEX(Mensal!$D$2:$D$245,MATCH($I3365,Mensal!$A$2:$A$245,0)),"")</f>
        <v/>
      </c>
      <c r="N3365" s="34">
        <f>IF($K3365=1,L3365-M3365,"")</f>
        <v/>
      </c>
      <c r="O3365" s="34" t="n">
        <v>0.00018985</v>
      </c>
      <c r="P3365" s="34">
        <f>IF($J3365=1,LN(1+O3365),"")</f>
        <v/>
      </c>
      <c r="Q3365" s="34">
        <f>IF($J3365=1,LN(R3366/R3365),"")</f>
        <v/>
      </c>
      <c r="R3365" s="32" t="n">
        <v>4.2084</v>
      </c>
      <c r="S3365" s="35" t="n">
        <v>4.596</v>
      </c>
      <c r="T3365" s="18" t="n"/>
      <c r="U3365" s="18" t="n"/>
      <c r="V3365" s="18" t="n">
        <v>105864.18</v>
      </c>
      <c r="W3365" s="18" t="n"/>
      <c r="X3365" s="35" t="n"/>
      <c r="Y3365" s="35" t="n">
        <v>4.596</v>
      </c>
    </row>
    <row r="3366">
      <c r="A3366" s="25" t="n">
        <v>43790</v>
      </c>
      <c r="B3366" s="18" t="n">
        <v>107496.73</v>
      </c>
      <c r="C3366" s="31" t="n"/>
      <c r="D3366" s="32" t="n"/>
      <c r="E3366" s="33" t="n">
        <v>-0.167</v>
      </c>
      <c r="F3366" t="inlineStr">
        <is>
          <t>Down</t>
        </is>
      </c>
      <c r="G3366" t="inlineStr">
        <is>
          <t>Down</t>
        </is>
      </c>
      <c r="H3366" t="inlineStr">
        <is>
          <t>ED_JD</t>
        </is>
      </c>
      <c r="I3366" t="inlineStr">
        <is>
          <t>2019-11</t>
        </is>
      </c>
      <c r="J3366" t="n">
        <v>1</v>
      </c>
      <c r="K3366" t="n">
        <v>1</v>
      </c>
      <c r="L3366" s="34">
        <f>IF($J3366=1,LN(B3367/B3366),"")</f>
        <v/>
      </c>
      <c r="M3366" s="34">
        <f>IF($K3366=1,INDEX(Mensal!$D$2:$D$245,MATCH($I3366,Mensal!$A$2:$A$245,0)),"")</f>
        <v/>
      </c>
      <c r="N3366" s="34">
        <f>IF($K3366=1,L3366-M3366,"")</f>
        <v/>
      </c>
      <c r="O3366" s="34" t="n">
        <v>0.00018985</v>
      </c>
      <c r="P3366" s="34">
        <f>IF($J3366=1,LN(1+O3366),"")</f>
        <v/>
      </c>
      <c r="Q3366" s="34">
        <f>IF($J3366=1,LN(R3367/R3366),"")</f>
        <v/>
      </c>
      <c r="R3366" s="32" t="n">
        <v>4.2012</v>
      </c>
      <c r="S3366" s="35" t="n">
        <v>4.66</v>
      </c>
      <c r="T3366" s="18" t="n"/>
      <c r="U3366" s="18" t="n"/>
      <c r="V3366" s="18" t="n">
        <v>107496.73</v>
      </c>
      <c r="W3366" s="18" t="n"/>
      <c r="X3366" s="35" t="n"/>
      <c r="Y3366" s="35" t="n">
        <v>4.66</v>
      </c>
    </row>
    <row r="3367">
      <c r="A3367" s="25" t="n">
        <v>43791</v>
      </c>
      <c r="B3367" s="18" t="n">
        <v>108692.28</v>
      </c>
      <c r="C3367" s="31" t="n"/>
      <c r="D3367" s="32" t="n"/>
      <c r="E3367" s="33" t="n">
        <v>-0.1453</v>
      </c>
      <c r="F3367" t="inlineStr">
        <is>
          <t>Down</t>
        </is>
      </c>
      <c r="G3367" t="inlineStr">
        <is>
          <t>Down</t>
        </is>
      </c>
      <c r="H3367" t="inlineStr">
        <is>
          <t>ED_JD</t>
        </is>
      </c>
      <c r="I3367" t="inlineStr">
        <is>
          <t>2019-11</t>
        </is>
      </c>
      <c r="J3367" t="n">
        <v>1</v>
      </c>
      <c r="K3367" t="n">
        <v>1</v>
      </c>
      <c r="L3367" s="34">
        <f>IF($J3367=1,LN(B3368/B3367),"")</f>
        <v/>
      </c>
      <c r="M3367" s="34">
        <f>IF($K3367=1,INDEX(Mensal!$D$2:$D$245,MATCH($I3367,Mensal!$A$2:$A$245,0)),"")</f>
        <v/>
      </c>
      <c r="N3367" s="34">
        <f>IF($K3367=1,L3367-M3367,"")</f>
        <v/>
      </c>
      <c r="O3367" s="34" t="n">
        <v>0.00018985</v>
      </c>
      <c r="P3367" s="34">
        <f>IF($J3367=1,LN(1+O3367),"")</f>
        <v/>
      </c>
      <c r="Q3367" s="34">
        <f>IF($J3367=1,LN(R3368/R3367),"")</f>
        <v/>
      </c>
      <c r="R3367" s="32" t="n">
        <v>4.1832</v>
      </c>
      <c r="S3367" s="35" t="n">
        <v>4.588</v>
      </c>
      <c r="T3367" s="18" t="n"/>
      <c r="U3367" s="18" t="n"/>
      <c r="V3367" s="18" t="n">
        <v>108692.28</v>
      </c>
      <c r="W3367" s="18" t="n"/>
      <c r="X3367" s="35" t="n"/>
      <c r="Y3367" s="35" t="n">
        <v>4.588</v>
      </c>
    </row>
    <row r="3368">
      <c r="A3368" s="25" t="n">
        <v>43794</v>
      </c>
      <c r="B3368" s="18" t="n">
        <v>108423.93</v>
      </c>
      <c r="C3368" s="31" t="n"/>
      <c r="D3368" s="32" t="n"/>
      <c r="E3368" s="33" t="n">
        <v>-0.122</v>
      </c>
      <c r="F3368" t="inlineStr">
        <is>
          <t>Down</t>
        </is>
      </c>
      <c r="G3368" t="inlineStr">
        <is>
          <t>Down</t>
        </is>
      </c>
      <c r="H3368" t="inlineStr">
        <is>
          <t>ED_JD</t>
        </is>
      </c>
      <c r="I3368" t="inlineStr">
        <is>
          <t>2019-11</t>
        </is>
      </c>
      <c r="J3368" t="n">
        <v>1</v>
      </c>
      <c r="K3368" t="n">
        <v>1</v>
      </c>
      <c r="L3368" s="34">
        <f>IF($J3368=1,LN(B3369/B3368),"")</f>
        <v/>
      </c>
      <c r="M3368" s="34">
        <f>IF($K3368=1,INDEX(Mensal!$D$2:$D$245,MATCH($I3368,Mensal!$A$2:$A$245,0)),"")</f>
        <v/>
      </c>
      <c r="N3368" s="34">
        <f>IF($K3368=1,L3368-M3368,"")</f>
        <v/>
      </c>
      <c r="O3368" s="34" t="n">
        <v>0.00018985</v>
      </c>
      <c r="P3368" s="34">
        <f>IF($J3368=1,LN(1+O3368),"")</f>
        <v/>
      </c>
      <c r="Q3368" s="34">
        <f>IF($J3368=1,LN(R3369/R3368),"")</f>
        <v/>
      </c>
      <c r="R3368" s="32" t="n">
        <v>4.2089</v>
      </c>
      <c r="S3368" s="35" t="n">
        <v>4.596</v>
      </c>
      <c r="T3368" s="18" t="n"/>
      <c r="U3368" s="18" t="n"/>
      <c r="V3368" s="18" t="n">
        <v>108423.93</v>
      </c>
      <c r="W3368" s="18" t="n"/>
      <c r="X3368" s="35" t="n"/>
      <c r="Y3368" s="35" t="n">
        <v>4.596</v>
      </c>
    </row>
    <row r="3369">
      <c r="A3369" s="25" t="n">
        <v>43795</v>
      </c>
      <c r="B3369" s="18" t="n">
        <v>107059.4</v>
      </c>
      <c r="C3369" s="31" t="n"/>
      <c r="D3369" s="32" t="n"/>
      <c r="E3369" s="33" t="n">
        <v>-0.0955</v>
      </c>
      <c r="F3369" t="inlineStr">
        <is>
          <t>Down</t>
        </is>
      </c>
      <c r="G3369" t="inlineStr">
        <is>
          <t>Down</t>
        </is>
      </c>
      <c r="H3369" t="inlineStr">
        <is>
          <t>ED_JD</t>
        </is>
      </c>
      <c r="I3369" t="inlineStr">
        <is>
          <t>2019-11</t>
        </is>
      </c>
      <c r="J3369" t="n">
        <v>1</v>
      </c>
      <c r="K3369" t="n">
        <v>1</v>
      </c>
      <c r="L3369" s="34">
        <f>IF($J3369=1,LN(B3370/B3369),"")</f>
        <v/>
      </c>
      <c r="M3369" s="34">
        <f>IF($K3369=1,INDEX(Mensal!$D$2:$D$245,MATCH($I3369,Mensal!$A$2:$A$245,0)),"")</f>
        <v/>
      </c>
      <c r="N3369" s="34">
        <f>IF($K3369=1,L3369-M3369,"")</f>
        <v/>
      </c>
      <c r="O3369" s="34" t="n">
        <v>0.00018985</v>
      </c>
      <c r="P3369" s="34">
        <f>IF($J3369=1,LN(1+O3369),"")</f>
        <v/>
      </c>
      <c r="Q3369" s="34">
        <f>IF($J3369=1,LN(R3370/R3369),"")</f>
        <v/>
      </c>
      <c r="R3369" s="32" t="n">
        <v>4.2559</v>
      </c>
      <c r="S3369" s="35" t="n">
        <v>4.672</v>
      </c>
      <c r="T3369" s="18" t="n"/>
      <c r="U3369" s="18" t="n"/>
      <c r="V3369" s="18" t="n">
        <v>107059.4</v>
      </c>
      <c r="W3369" s="18" t="n"/>
      <c r="X3369" s="35" t="n"/>
      <c r="Y3369" s="35" t="n">
        <v>4.672</v>
      </c>
    </row>
    <row r="3370">
      <c r="A3370" s="25" t="n">
        <v>43796</v>
      </c>
      <c r="B3370" s="18" t="n">
        <v>107707.75</v>
      </c>
      <c r="C3370" s="31" t="n"/>
      <c r="D3370" s="32" t="n"/>
      <c r="E3370" s="33" t="n">
        <v>-0.0706</v>
      </c>
      <c r="F3370" t="inlineStr">
        <is>
          <t>Down</t>
        </is>
      </c>
      <c r="G3370" t="inlineStr">
        <is>
          <t>Down</t>
        </is>
      </c>
      <c r="H3370" t="inlineStr">
        <is>
          <t>ED_JD</t>
        </is>
      </c>
      <c r="I3370" t="inlineStr">
        <is>
          <t>2019-11</t>
        </is>
      </c>
      <c r="J3370" t="n">
        <v>1</v>
      </c>
      <c r="K3370" t="n">
        <v>1</v>
      </c>
      <c r="L3370" s="34">
        <f>IF($J3370=1,LN(B3371/B3370),"")</f>
        <v/>
      </c>
      <c r="M3370" s="34">
        <f>IF($K3370=1,INDEX(Mensal!$D$2:$D$245,MATCH($I3370,Mensal!$A$2:$A$245,0)),"")</f>
        <v/>
      </c>
      <c r="N3370" s="34">
        <f>IF($K3370=1,L3370-M3370,"")</f>
        <v/>
      </c>
      <c r="O3370" s="34" t="n">
        <v>0.00018985</v>
      </c>
      <c r="P3370" s="34">
        <f>IF($J3370=1,LN(1+O3370),"")</f>
        <v/>
      </c>
      <c r="Q3370" s="34">
        <f>IF($J3370=1,LN(R3371/R3370),"")</f>
        <v/>
      </c>
      <c r="R3370" s="32" t="n">
        <v>4.2602</v>
      </c>
      <c r="S3370" s="35" t="n">
        <v>4.694</v>
      </c>
      <c r="T3370" s="18" t="n"/>
      <c r="U3370" s="18" t="n"/>
      <c r="V3370" s="18" t="n">
        <v>107707.75</v>
      </c>
      <c r="W3370" s="18" t="n"/>
      <c r="X3370" s="35" t="n"/>
      <c r="Y3370" s="35" t="n">
        <v>4.694</v>
      </c>
    </row>
    <row r="3371">
      <c r="A3371" s="25" t="n">
        <v>43797</v>
      </c>
      <c r="B3371" s="18" t="n">
        <v>108290.09</v>
      </c>
      <c r="C3371" s="31" t="n"/>
      <c r="D3371" s="32" t="n"/>
      <c r="E3371" s="33" t="n">
        <v>-0.0402</v>
      </c>
      <c r="F3371" t="inlineStr">
        <is>
          <t>Down</t>
        </is>
      </c>
      <c r="G3371" t="inlineStr">
        <is>
          <t>Down</t>
        </is>
      </c>
      <c r="H3371" t="inlineStr">
        <is>
          <t>ED_JD</t>
        </is>
      </c>
      <c r="I3371" t="inlineStr">
        <is>
          <t>2019-11</t>
        </is>
      </c>
      <c r="J3371" t="n">
        <v>1</v>
      </c>
      <c r="K3371" t="n">
        <v>1</v>
      </c>
      <c r="L3371" s="34">
        <f>IF($J3371=1,LN(B3372/B3371),"")</f>
        <v/>
      </c>
      <c r="M3371" s="34">
        <f>IF($K3371=1,INDEX(Mensal!$D$2:$D$245,MATCH($I3371,Mensal!$A$2:$A$245,0)),"")</f>
        <v/>
      </c>
      <c r="N3371" s="34">
        <f>IF($K3371=1,L3371-M3371,"")</f>
        <v/>
      </c>
      <c r="O3371" s="34" t="n">
        <v>0.00018985</v>
      </c>
      <c r="P3371" s="34">
        <f>IF($J3371=1,LN(1+O3371),"")</f>
        <v/>
      </c>
      <c r="Q3371" s="34">
        <f>IF($J3371=1,LN(R3372/R3371),"")</f>
        <v/>
      </c>
      <c r="R3371" s="32" t="n">
        <v>4.248</v>
      </c>
      <c r="S3371" s="35" t="n">
        <v>4.638</v>
      </c>
      <c r="T3371" s="18" t="n"/>
      <c r="U3371" s="18" t="n"/>
      <c r="V3371" s="18" t="n">
        <v>108290.09</v>
      </c>
      <c r="W3371" s="18" t="n"/>
      <c r="X3371" s="35" t="n"/>
      <c r="Y3371" s="35" t="n">
        <v>4.638</v>
      </c>
    </row>
    <row r="3372">
      <c r="A3372" s="25" t="n">
        <v>43798</v>
      </c>
      <c r="B3372" s="18" t="n">
        <v>108233.28</v>
      </c>
      <c r="C3372" s="31" t="n"/>
      <c r="D3372" s="32" t="n"/>
      <c r="E3372" s="33" t="n">
        <v>-0.009599999999999999</v>
      </c>
      <c r="F3372" t="inlineStr">
        <is>
          <t>Down</t>
        </is>
      </c>
      <c r="G3372" t="inlineStr">
        <is>
          <t>Down</t>
        </is>
      </c>
      <c r="H3372" t="inlineStr">
        <is>
          <t>ED_JD</t>
        </is>
      </c>
      <c r="I3372" t="inlineStr">
        <is>
          <t>2019-11</t>
        </is>
      </c>
      <c r="J3372" t="n">
        <v>1</v>
      </c>
      <c r="K3372" t="n">
        <v>1</v>
      </c>
      <c r="L3372" s="34">
        <f>IF($J3372=1,LN(B3373/B3372),"")</f>
        <v/>
      </c>
      <c r="M3372" s="34">
        <f>IF($K3372=1,INDEX(Mensal!$D$2:$D$245,MATCH($I3372,Mensal!$A$2:$A$245,0)),"")</f>
        <v/>
      </c>
      <c r="N3372" s="34">
        <f>IF($K3372=1,L3372-M3372,"")</f>
        <v/>
      </c>
      <c r="O3372" s="34" t="n">
        <v>0.00018985</v>
      </c>
      <c r="P3372" s="34">
        <f>IF($J3372=1,LN(1+O3372),"")</f>
        <v/>
      </c>
      <c r="Q3372" s="34">
        <f>IF($J3372=1,LN(R3373/R3372),"")</f>
        <v/>
      </c>
      <c r="R3372" s="32" t="n">
        <v>4.224</v>
      </c>
      <c r="S3372" s="35" t="n">
        <v>4.65</v>
      </c>
      <c r="T3372" s="18" t="n"/>
      <c r="U3372" s="18" t="n"/>
      <c r="V3372" s="18" t="n">
        <v>108233.28</v>
      </c>
      <c r="W3372" s="18" t="n"/>
      <c r="X3372" s="35" t="n"/>
      <c r="Y3372" s="35" t="n">
        <v>4.65</v>
      </c>
    </row>
    <row r="3373">
      <c r="A3373" s="25" t="n">
        <v>43801</v>
      </c>
      <c r="B3373" s="18" t="n">
        <v>108927.83</v>
      </c>
      <c r="C3373" s="31" t="n"/>
      <c r="D3373" s="32" t="n"/>
      <c r="E3373" s="33" t="n">
        <v>0.0044</v>
      </c>
      <c r="F3373" t="inlineStr">
        <is>
          <t>Down</t>
        </is>
      </c>
      <c r="G3373" t="inlineStr">
        <is>
          <t>Down</t>
        </is>
      </c>
      <c r="H3373" t="inlineStr">
        <is>
          <t>ED_JD</t>
        </is>
      </c>
      <c r="I3373" t="inlineStr">
        <is>
          <t>2019-12</t>
        </is>
      </c>
      <c r="J3373" t="n">
        <v>1</v>
      </c>
      <c r="K3373" t="n">
        <v>1</v>
      </c>
      <c r="L3373" s="34">
        <f>IF($J3373=1,LN(B3374/B3373),"")</f>
        <v/>
      </c>
      <c r="M3373" s="34">
        <f>IF($K3373=1,INDEX(Mensal!$D$2:$D$245,MATCH($I3373,Mensal!$A$2:$A$245,0)),"")</f>
        <v/>
      </c>
      <c r="N3373" s="34">
        <f>IF($K3373=1,L3373-M3373,"")</f>
        <v/>
      </c>
      <c r="O3373" s="34" t="n">
        <v>0.00018985</v>
      </c>
      <c r="P3373" s="34">
        <f>IF($J3373=1,LN(1+O3373),"")</f>
        <v/>
      </c>
      <c r="Q3373" s="34">
        <f>IF($J3373=1,LN(R3374/R3373),"")</f>
        <v/>
      </c>
      <c r="R3373" s="32" t="n">
        <v>4.2261</v>
      </c>
      <c r="S3373" s="35" t="n">
        <v>4.695</v>
      </c>
      <c r="T3373" s="18" t="n"/>
      <c r="U3373" s="18" t="n"/>
      <c r="V3373" s="18" t="n">
        <v>108927.83</v>
      </c>
      <c r="W3373" s="18" t="n"/>
      <c r="X3373" s="35" t="n"/>
      <c r="Y3373" s="35" t="n">
        <v>4.695</v>
      </c>
    </row>
    <row r="3374">
      <c r="A3374" s="25" t="n">
        <v>43802</v>
      </c>
      <c r="B3374" s="18" t="n">
        <v>108956.02</v>
      </c>
      <c r="C3374" s="31" t="n"/>
      <c r="D3374" s="32" t="n"/>
      <c r="E3374" s="33" t="n">
        <v>0.0071</v>
      </c>
      <c r="F3374" t="inlineStr">
        <is>
          <t>Down</t>
        </is>
      </c>
      <c r="G3374" t="inlineStr">
        <is>
          <t>Down</t>
        </is>
      </c>
      <c r="H3374" t="inlineStr">
        <is>
          <t>ED_JD</t>
        </is>
      </c>
      <c r="I3374" t="inlineStr">
        <is>
          <t>2019-12</t>
        </is>
      </c>
      <c r="J3374" t="n">
        <v>1</v>
      </c>
      <c r="K3374" t="n">
        <v>1</v>
      </c>
      <c r="L3374" s="34">
        <f>IF($J3374=1,LN(B3375/B3374),"")</f>
        <v/>
      </c>
      <c r="M3374" s="34">
        <f>IF($K3374=1,INDEX(Mensal!$D$2:$D$245,MATCH($I3374,Mensal!$A$2:$A$245,0)),"")</f>
        <v/>
      </c>
      <c r="N3374" s="34">
        <f>IF($K3374=1,L3374-M3374,"")</f>
        <v/>
      </c>
      <c r="O3374" s="34" t="n">
        <v>0.00018985</v>
      </c>
      <c r="P3374" s="34">
        <f>IF($J3374=1,LN(1+O3374),"")</f>
        <v/>
      </c>
      <c r="Q3374" s="34">
        <f>IF($J3374=1,LN(R3375/R3374),"")</f>
        <v/>
      </c>
      <c r="R3374" s="32" t="n">
        <v>4.2008</v>
      </c>
      <c r="S3374" s="35" t="n">
        <v>4.662</v>
      </c>
      <c r="T3374" s="18" t="n"/>
      <c r="U3374" s="18" t="n"/>
      <c r="V3374" s="18" t="n">
        <v>108956.02</v>
      </c>
      <c r="W3374" s="18" t="n"/>
      <c r="X3374" s="35" t="n"/>
      <c r="Y3374" s="35" t="n">
        <v>4.662</v>
      </c>
    </row>
    <row r="3375">
      <c r="A3375" s="25" t="n">
        <v>43803</v>
      </c>
      <c r="B3375" s="18" t="n">
        <v>110300.93</v>
      </c>
      <c r="C3375" s="31" t="n"/>
      <c r="D3375" s="32" t="n"/>
      <c r="E3375" s="33" t="n">
        <v>0.0054</v>
      </c>
      <c r="F3375" t="inlineStr">
        <is>
          <t>Down</t>
        </is>
      </c>
      <c r="G3375" t="inlineStr">
        <is>
          <t>Down</t>
        </is>
      </c>
      <c r="H3375" t="inlineStr">
        <is>
          <t>ED_JD</t>
        </is>
      </c>
      <c r="I3375" t="inlineStr">
        <is>
          <t>2019-12</t>
        </is>
      </c>
      <c r="J3375" t="n">
        <v>1</v>
      </c>
      <c r="K3375" t="n">
        <v>1</v>
      </c>
      <c r="L3375" s="34">
        <f>IF($J3375=1,LN(B3376/B3375),"")</f>
        <v/>
      </c>
      <c r="M3375" s="34">
        <f>IF($K3375=1,INDEX(Mensal!$D$2:$D$245,MATCH($I3375,Mensal!$A$2:$A$245,0)),"")</f>
        <v/>
      </c>
      <c r="N3375" s="34">
        <f>IF($K3375=1,L3375-M3375,"")</f>
        <v/>
      </c>
      <c r="O3375" s="34" t="n">
        <v>0.00018985</v>
      </c>
      <c r="P3375" s="34">
        <f>IF($J3375=1,LN(1+O3375),"")</f>
        <v/>
      </c>
      <c r="Q3375" s="34">
        <f>IF($J3375=1,LN(R3376/R3375),"")</f>
        <v/>
      </c>
      <c r="R3375" s="32" t="n">
        <v>4.1926</v>
      </c>
      <c r="S3375" s="35" t="n">
        <v>4.633</v>
      </c>
      <c r="T3375" s="18" t="n"/>
      <c r="U3375" s="18" t="n"/>
      <c r="V3375" s="18" t="n">
        <v>110300.93</v>
      </c>
      <c r="W3375" s="18" t="n"/>
      <c r="X3375" s="35" t="n"/>
      <c r="Y3375" s="35" t="n">
        <v>4.633</v>
      </c>
    </row>
    <row r="3376">
      <c r="A3376" s="25" t="n">
        <v>43804</v>
      </c>
      <c r="B3376" s="18" t="n">
        <v>110622.27</v>
      </c>
      <c r="C3376" s="31" t="n"/>
      <c r="D3376" s="32" t="n"/>
      <c r="E3376" s="33" t="n">
        <v>0.0046</v>
      </c>
      <c r="F3376" t="inlineStr">
        <is>
          <t>Down</t>
        </is>
      </c>
      <c r="G3376" t="inlineStr">
        <is>
          <t>Down</t>
        </is>
      </c>
      <c r="H3376" t="inlineStr">
        <is>
          <t>ED_JD</t>
        </is>
      </c>
      <c r="I3376" t="inlineStr">
        <is>
          <t>2019-12</t>
        </is>
      </c>
      <c r="J3376" t="n">
        <v>1</v>
      </c>
      <c r="K3376" t="n">
        <v>1</v>
      </c>
      <c r="L3376" s="34">
        <f>IF($J3376=1,LN(B3377/B3376),"")</f>
        <v/>
      </c>
      <c r="M3376" s="34">
        <f>IF($K3376=1,INDEX(Mensal!$D$2:$D$245,MATCH($I3376,Mensal!$A$2:$A$245,0)),"")</f>
        <v/>
      </c>
      <c r="N3376" s="34">
        <f>IF($K3376=1,L3376-M3376,"")</f>
        <v/>
      </c>
      <c r="O3376" s="34" t="n">
        <v>0.00018985</v>
      </c>
      <c r="P3376" s="34">
        <f>IF($J3376=1,LN(1+O3376),"")</f>
        <v/>
      </c>
      <c r="Q3376" s="34">
        <f>IF($J3376=1,LN(R3377/R3376),"")</f>
        <v/>
      </c>
      <c r="R3376" s="32" t="n">
        <v>4.2136</v>
      </c>
      <c r="S3376" s="35" t="n">
        <v>4.655</v>
      </c>
      <c r="T3376" s="18" t="n"/>
      <c r="U3376" s="18" t="n"/>
      <c r="V3376" s="18" t="n">
        <v>110622.27</v>
      </c>
      <c r="W3376" s="18" t="n"/>
      <c r="X3376" s="35" t="n"/>
      <c r="Y3376" s="35" t="n">
        <v>4.655</v>
      </c>
    </row>
    <row r="3377">
      <c r="A3377" s="25" t="n">
        <v>43805</v>
      </c>
      <c r="B3377" s="18" t="n">
        <v>111125.75</v>
      </c>
      <c r="C3377" s="31" t="n"/>
      <c r="D3377" s="32" t="n"/>
      <c r="E3377" s="33" t="n">
        <v>0.0056</v>
      </c>
      <c r="F3377" t="inlineStr">
        <is>
          <t>Down</t>
        </is>
      </c>
      <c r="G3377" t="inlineStr">
        <is>
          <t>Down</t>
        </is>
      </c>
      <c r="H3377" t="inlineStr">
        <is>
          <t>ED_JD</t>
        </is>
      </c>
      <c r="I3377" t="inlineStr">
        <is>
          <t>2019-12</t>
        </is>
      </c>
      <c r="J3377" t="n">
        <v>1</v>
      </c>
      <c r="K3377" t="n">
        <v>1</v>
      </c>
      <c r="L3377" s="34">
        <f>IF($J3377=1,LN(B3378/B3377),"")</f>
        <v/>
      </c>
      <c r="M3377" s="34">
        <f>IF($K3377=1,INDEX(Mensal!$D$2:$D$245,MATCH($I3377,Mensal!$A$2:$A$245,0)),"")</f>
        <v/>
      </c>
      <c r="N3377" s="34">
        <f>IF($K3377=1,L3377-M3377,"")</f>
        <v/>
      </c>
      <c r="O3377" s="34" t="n">
        <v>0.00018985</v>
      </c>
      <c r="P3377" s="34">
        <f>IF($J3377=1,LN(1+O3377),"")</f>
        <v/>
      </c>
      <c r="Q3377" s="34">
        <f>IF($J3377=1,LN(R3378/R3377),"")</f>
        <v/>
      </c>
      <c r="R3377" s="32" t="n">
        <v>4.1783</v>
      </c>
      <c r="S3377" s="35" t="n">
        <v>4.563</v>
      </c>
      <c r="T3377" s="18" t="n"/>
      <c r="U3377" s="18" t="n"/>
      <c r="V3377" s="18" t="n">
        <v>111125.75</v>
      </c>
      <c r="W3377" s="18" t="n"/>
      <c r="X3377" s="35" t="n"/>
      <c r="Y3377" s="35" t="n">
        <v>4.563</v>
      </c>
    </row>
    <row r="3378">
      <c r="A3378" s="25" t="n">
        <v>43808</v>
      </c>
      <c r="B3378" s="18" t="n">
        <v>110977.23</v>
      </c>
      <c r="C3378" s="31" t="n"/>
      <c r="D3378" s="32" t="n"/>
      <c r="E3378" s="33" t="n">
        <v>0.008800000000000001</v>
      </c>
      <c r="F3378" t="inlineStr">
        <is>
          <t>Down</t>
        </is>
      </c>
      <c r="G3378" t="inlineStr">
        <is>
          <t>Down</t>
        </is>
      </c>
      <c r="H3378" t="inlineStr">
        <is>
          <t>ED_JD</t>
        </is>
      </c>
      <c r="I3378" t="inlineStr">
        <is>
          <t>2019-12</t>
        </is>
      </c>
      <c r="J3378" t="n">
        <v>1</v>
      </c>
      <c r="K3378" t="n">
        <v>1</v>
      </c>
      <c r="L3378" s="34">
        <f>IF($J3378=1,LN(B3379/B3378),"")</f>
        <v/>
      </c>
      <c r="M3378" s="34">
        <f>IF($K3378=1,INDEX(Mensal!$D$2:$D$245,MATCH($I3378,Mensal!$A$2:$A$245,0)),"")</f>
        <v/>
      </c>
      <c r="N3378" s="34">
        <f>IF($K3378=1,L3378-M3378,"")</f>
        <v/>
      </c>
      <c r="O3378" s="34" t="n">
        <v>0.00018985</v>
      </c>
      <c r="P3378" s="34">
        <f>IF($J3378=1,LN(1+O3378),"")</f>
        <v/>
      </c>
      <c r="Q3378" s="34">
        <f>IF($J3378=1,LN(R3379/R3378),"")</f>
        <v/>
      </c>
      <c r="R3378" s="32" t="n">
        <v>4.1503</v>
      </c>
      <c r="S3378" s="35" t="n">
        <v>4.584</v>
      </c>
      <c r="T3378" s="18" t="n"/>
      <c r="U3378" s="18" t="n"/>
      <c r="V3378" s="18" t="n">
        <v>110977.23</v>
      </c>
      <c r="W3378" s="18" t="n"/>
      <c r="X3378" s="35" t="n"/>
      <c r="Y3378" s="35" t="n">
        <v>4.584</v>
      </c>
    </row>
    <row r="3379">
      <c r="A3379" s="25" t="n">
        <v>43809</v>
      </c>
      <c r="B3379" s="18" t="n">
        <v>110672.01</v>
      </c>
      <c r="C3379" s="31" t="n"/>
      <c r="D3379" s="32" t="n"/>
      <c r="E3379" s="33" t="n">
        <v>0.0148</v>
      </c>
      <c r="F3379" t="inlineStr">
        <is>
          <t>Down</t>
        </is>
      </c>
      <c r="G3379" t="inlineStr">
        <is>
          <t>Down</t>
        </is>
      </c>
      <c r="H3379" t="inlineStr">
        <is>
          <t>ED_JD</t>
        </is>
      </c>
      <c r="I3379" t="inlineStr">
        <is>
          <t>2019-12</t>
        </is>
      </c>
      <c r="J3379" t="n">
        <v>1</v>
      </c>
      <c r="K3379" t="n">
        <v>1</v>
      </c>
      <c r="L3379" s="34">
        <f>IF($J3379=1,LN(B3380/B3379),"")</f>
        <v/>
      </c>
      <c r="M3379" s="34">
        <f>IF($K3379=1,INDEX(Mensal!$D$2:$D$245,MATCH($I3379,Mensal!$A$2:$A$245,0)),"")</f>
        <v/>
      </c>
      <c r="N3379" s="34">
        <f>IF($K3379=1,L3379-M3379,"")</f>
        <v/>
      </c>
      <c r="O3379" s="34" t="n">
        <v>0.00018985</v>
      </c>
      <c r="P3379" s="34">
        <f>IF($J3379=1,LN(1+O3379),"")</f>
        <v/>
      </c>
      <c r="Q3379" s="34">
        <f>IF($J3379=1,LN(R3380/R3379),"")</f>
        <v/>
      </c>
      <c r="R3379" s="32" t="n">
        <v>4.1427</v>
      </c>
      <c r="S3379" s="35" t="n">
        <v>4.584</v>
      </c>
      <c r="T3379" s="18" t="n"/>
      <c r="U3379" s="18" t="n"/>
      <c r="V3379" s="18" t="n">
        <v>110672.01</v>
      </c>
      <c r="W3379" s="18" t="n"/>
      <c r="X3379" s="35" t="n"/>
      <c r="Y3379" s="35" t="n">
        <v>4.584</v>
      </c>
    </row>
    <row r="3380">
      <c r="A3380" s="25" t="n">
        <v>43810</v>
      </c>
      <c r="B3380" s="18" t="n">
        <v>110963.87</v>
      </c>
      <c r="C3380" s="31" t="n"/>
      <c r="D3380" s="32" t="n"/>
      <c r="E3380" s="33" t="n">
        <v>0.0231</v>
      </c>
      <c r="F3380" t="inlineStr">
        <is>
          <t>Down</t>
        </is>
      </c>
      <c r="G3380" t="inlineStr">
        <is>
          <t>Down</t>
        </is>
      </c>
      <c r="H3380" t="inlineStr">
        <is>
          <t>ED_JD</t>
        </is>
      </c>
      <c r="I3380" t="inlineStr">
        <is>
          <t>2019-12</t>
        </is>
      </c>
      <c r="J3380" t="n">
        <v>1</v>
      </c>
      <c r="K3380" t="n">
        <v>1</v>
      </c>
      <c r="L3380" s="34">
        <f>IF($J3380=1,LN(B3381/B3380),"")</f>
        <v/>
      </c>
      <c r="M3380" s="34">
        <f>IF($K3380=1,INDEX(Mensal!$D$2:$D$245,MATCH($I3380,Mensal!$A$2:$A$245,0)),"")</f>
        <v/>
      </c>
      <c r="N3380" s="34">
        <f>IF($K3380=1,L3380-M3380,"")</f>
        <v/>
      </c>
      <c r="O3380" s="34" t="n">
        <v>0.00018985</v>
      </c>
      <c r="P3380" s="34">
        <f>IF($J3380=1,LN(1+O3380),"")</f>
        <v/>
      </c>
      <c r="Q3380" s="34">
        <f>IF($J3380=1,LN(R3381/R3380),"")</f>
        <v/>
      </c>
      <c r="R3380" s="32" t="n">
        <v>4.1153</v>
      </c>
      <c r="S3380" s="35" t="n">
        <v>4.585</v>
      </c>
      <c r="T3380" s="18" t="n"/>
      <c r="U3380" s="18" t="n"/>
      <c r="V3380" s="18" t="n">
        <v>110963.87</v>
      </c>
      <c r="W3380" s="18" t="n"/>
      <c r="X3380" s="35" t="n"/>
      <c r="Y3380" s="35" t="n">
        <v>4.585</v>
      </c>
    </row>
    <row r="3381">
      <c r="A3381" s="25" t="n">
        <v>43811</v>
      </c>
      <c r="B3381" s="18" t="n">
        <v>112199.74</v>
      </c>
      <c r="C3381" s="31" t="n"/>
      <c r="D3381" s="32" t="n"/>
      <c r="E3381" s="33" t="n">
        <v>0.0385</v>
      </c>
      <c r="F3381" t="inlineStr">
        <is>
          <t>Down</t>
        </is>
      </c>
      <c r="G3381" t="inlineStr">
        <is>
          <t>Down</t>
        </is>
      </c>
      <c r="H3381" t="inlineStr">
        <is>
          <t>ED_JD</t>
        </is>
      </c>
      <c r="I3381" t="inlineStr">
        <is>
          <t>2019-12</t>
        </is>
      </c>
      <c r="J3381" t="n">
        <v>1</v>
      </c>
      <c r="K3381" t="n">
        <v>1</v>
      </c>
      <c r="L3381" s="34">
        <f>IF($J3381=1,LN(B3382/B3381),"")</f>
        <v/>
      </c>
      <c r="M3381" s="34">
        <f>IF($K3381=1,INDEX(Mensal!$D$2:$D$245,MATCH($I3381,Mensal!$A$2:$A$245,0)),"")</f>
        <v/>
      </c>
      <c r="N3381" s="34">
        <f>IF($K3381=1,L3381-M3381,"")</f>
        <v/>
      </c>
      <c r="O3381" s="34" t="n">
        <v>0.00017089</v>
      </c>
      <c r="P3381" s="34">
        <f>IF($J3381=1,LN(1+O3381),"")</f>
        <v/>
      </c>
      <c r="Q3381" s="34">
        <f>IF($J3381=1,LN(R3382/R3381),"")</f>
        <v/>
      </c>
      <c r="R3381" s="32" t="n">
        <v>4.1092</v>
      </c>
      <c r="S3381" s="35" t="n">
        <v>4.509</v>
      </c>
      <c r="T3381" s="18" t="n"/>
      <c r="U3381" s="18" t="n"/>
      <c r="V3381" s="18" t="n">
        <v>112199.74</v>
      </c>
      <c r="W3381" s="18" t="n"/>
      <c r="X3381" s="35" t="n"/>
      <c r="Y3381" s="35" t="n">
        <v>4.509</v>
      </c>
    </row>
    <row r="3382">
      <c r="A3382" s="25" t="n">
        <v>43812</v>
      </c>
      <c r="B3382" s="18" t="n">
        <v>112564.86</v>
      </c>
      <c r="C3382" s="31" t="n"/>
      <c r="D3382" s="32" t="n"/>
      <c r="E3382" s="33" t="n">
        <v>0.0596</v>
      </c>
      <c r="F3382" t="inlineStr">
        <is>
          <t>Down</t>
        </is>
      </c>
      <c r="G3382" t="inlineStr">
        <is>
          <t>Down</t>
        </is>
      </c>
      <c r="H3382" t="inlineStr">
        <is>
          <t>ED_JD</t>
        </is>
      </c>
      <c r="I3382" t="inlineStr">
        <is>
          <t>2019-12</t>
        </is>
      </c>
      <c r="J3382" t="n">
        <v>1</v>
      </c>
      <c r="K3382" t="n">
        <v>1</v>
      </c>
      <c r="L3382" s="34">
        <f>IF($J3382=1,LN(B3383/B3382),"")</f>
        <v/>
      </c>
      <c r="M3382" s="34">
        <f>IF($K3382=1,INDEX(Mensal!$D$2:$D$245,MATCH($I3382,Mensal!$A$2:$A$245,0)),"")</f>
        <v/>
      </c>
      <c r="N3382" s="34">
        <f>IF($K3382=1,L3382-M3382,"")</f>
        <v/>
      </c>
      <c r="O3382" s="34" t="n">
        <v>0.00017089</v>
      </c>
      <c r="P3382" s="34">
        <f>IF($J3382=1,LN(1+O3382),"")</f>
        <v/>
      </c>
      <c r="Q3382" s="34">
        <f>IF($J3382=1,LN(R3383/R3382),"")</f>
        <v/>
      </c>
      <c r="R3382" s="32" t="n">
        <v>4.0949</v>
      </c>
      <c r="S3382" s="35" t="n">
        <v>4.471</v>
      </c>
      <c r="T3382" s="18" t="n"/>
      <c r="U3382" s="18" t="n"/>
      <c r="V3382" s="18" t="n">
        <v>112564.86</v>
      </c>
      <c r="W3382" s="18" t="n"/>
      <c r="X3382" s="35" t="n"/>
      <c r="Y3382" s="35" t="n">
        <v>4.471</v>
      </c>
    </row>
    <row r="3383">
      <c r="A3383" s="25" t="n">
        <v>43815</v>
      </c>
      <c r="B3383" s="18" t="n">
        <v>111896.04</v>
      </c>
      <c r="C3383" s="31" t="n"/>
      <c r="D3383" s="32" t="n"/>
      <c r="E3383" s="33" t="n">
        <v>0.0752</v>
      </c>
      <c r="F3383" t="inlineStr">
        <is>
          <t>Down</t>
        </is>
      </c>
      <c r="G3383" t="inlineStr">
        <is>
          <t>Down</t>
        </is>
      </c>
      <c r="H3383" t="inlineStr">
        <is>
          <t>ED_JD</t>
        </is>
      </c>
      <c r="I3383" t="inlineStr">
        <is>
          <t>2019-12</t>
        </is>
      </c>
      <c r="J3383" t="n">
        <v>1</v>
      </c>
      <c r="K3383" t="n">
        <v>1</v>
      </c>
      <c r="L3383" s="34">
        <f>IF($J3383=1,LN(B3384/B3383),"")</f>
        <v/>
      </c>
      <c r="M3383" s="34">
        <f>IF($K3383=1,INDEX(Mensal!$D$2:$D$245,MATCH($I3383,Mensal!$A$2:$A$245,0)),"")</f>
        <v/>
      </c>
      <c r="N3383" s="34">
        <f>IF($K3383=1,L3383-M3383,"")</f>
        <v/>
      </c>
      <c r="O3383" s="34" t="n">
        <v>0.00017089</v>
      </c>
      <c r="P3383" s="34">
        <f>IF($J3383=1,LN(1+O3383),"")</f>
        <v/>
      </c>
      <c r="Q3383" s="34">
        <f>IF($J3383=1,LN(R3384/R3383),"")</f>
        <v/>
      </c>
      <c r="R3383" s="32" t="n">
        <v>4.0801</v>
      </c>
      <c r="S3383" s="35" t="n">
        <v>4.518</v>
      </c>
      <c r="T3383" s="18" t="n"/>
      <c r="U3383" s="18" t="n"/>
      <c r="V3383" s="18" t="n">
        <v>111896.04</v>
      </c>
      <c r="W3383" s="18" t="n"/>
      <c r="X3383" s="35" t="n"/>
      <c r="Y3383" s="35" t="n">
        <v>4.518</v>
      </c>
    </row>
    <row r="3384">
      <c r="A3384" s="25" t="n">
        <v>43816</v>
      </c>
      <c r="B3384" s="18" t="n">
        <v>112615.66</v>
      </c>
      <c r="C3384" s="31" t="n"/>
      <c r="D3384" s="32" t="n"/>
      <c r="E3384" s="33" t="n">
        <v>0.08169999999999999</v>
      </c>
      <c r="F3384" t="inlineStr">
        <is>
          <t>Down</t>
        </is>
      </c>
      <c r="G3384" t="inlineStr">
        <is>
          <t>Down</t>
        </is>
      </c>
      <c r="H3384" t="inlineStr">
        <is>
          <t>ED_JD</t>
        </is>
      </c>
      <c r="I3384" t="inlineStr">
        <is>
          <t>2019-12</t>
        </is>
      </c>
      <c r="J3384" t="n">
        <v>1</v>
      </c>
      <c r="K3384" t="n">
        <v>1</v>
      </c>
      <c r="L3384" s="34">
        <f>IF($J3384=1,LN(B3385/B3384),"")</f>
        <v/>
      </c>
      <c r="M3384" s="34">
        <f>IF($K3384=1,INDEX(Mensal!$D$2:$D$245,MATCH($I3384,Mensal!$A$2:$A$245,0)),"")</f>
        <v/>
      </c>
      <c r="N3384" s="34">
        <f>IF($K3384=1,L3384-M3384,"")</f>
        <v/>
      </c>
      <c r="O3384" s="34" t="n">
        <v>0.00017089</v>
      </c>
      <c r="P3384" s="34">
        <f>IF($J3384=1,LN(1+O3384),"")</f>
        <v/>
      </c>
      <c r="Q3384" s="34">
        <f>IF($J3384=1,LN(R3385/R3384),"")</f>
        <v/>
      </c>
      <c r="R3384" s="32" t="n">
        <v>4.0687</v>
      </c>
      <c r="S3384" s="35" t="n">
        <v>4.61</v>
      </c>
      <c r="T3384" s="18" t="n"/>
      <c r="U3384" s="18" t="n"/>
      <c r="V3384" s="18" t="n">
        <v>112615.66</v>
      </c>
      <c r="W3384" s="18" t="n"/>
      <c r="X3384" s="35" t="n"/>
      <c r="Y3384" s="35" t="n">
        <v>4.61</v>
      </c>
    </row>
    <row r="3385">
      <c r="A3385" s="25" t="n">
        <v>43817</v>
      </c>
      <c r="B3385" s="18" t="n">
        <v>114314.65</v>
      </c>
      <c r="C3385" s="31" t="n"/>
      <c r="D3385" s="32" t="n"/>
      <c r="E3385" s="33" t="n">
        <v>0.08740000000000001</v>
      </c>
      <c r="F3385" t="inlineStr">
        <is>
          <t>Down</t>
        </is>
      </c>
      <c r="G3385" t="inlineStr">
        <is>
          <t>Down</t>
        </is>
      </c>
      <c r="H3385" t="inlineStr">
        <is>
          <t>ED_JD</t>
        </is>
      </c>
      <c r="I3385" t="inlineStr">
        <is>
          <t>2019-12</t>
        </is>
      </c>
      <c r="J3385" t="n">
        <v>1</v>
      </c>
      <c r="K3385" t="n">
        <v>1</v>
      </c>
      <c r="L3385" s="34">
        <f>IF($J3385=1,LN(B3386/B3385),"")</f>
        <v/>
      </c>
      <c r="M3385" s="34">
        <f>IF($K3385=1,INDEX(Mensal!$D$2:$D$245,MATCH($I3385,Mensal!$A$2:$A$245,0)),"")</f>
        <v/>
      </c>
      <c r="N3385" s="34">
        <f>IF($K3385=1,L3385-M3385,"")</f>
        <v/>
      </c>
      <c r="O3385" s="34" t="n">
        <v>0.00017089</v>
      </c>
      <c r="P3385" s="34">
        <f>IF($J3385=1,LN(1+O3385),"")</f>
        <v/>
      </c>
      <c r="Q3385" s="34">
        <f>IF($J3385=1,LN(R3386/R3385),"")</f>
        <v/>
      </c>
      <c r="R3385" s="32" t="n">
        <v>4.0548</v>
      </c>
      <c r="S3385" s="35" t="n">
        <v>4.568</v>
      </c>
      <c r="T3385" s="18" t="n"/>
      <c r="U3385" s="18" t="n"/>
      <c r="V3385" s="18" t="n">
        <v>114314.65</v>
      </c>
      <c r="W3385" s="18" t="n"/>
      <c r="X3385" s="35" t="n"/>
      <c r="Y3385" s="35" t="n">
        <v>4.568</v>
      </c>
    </row>
    <row r="3386">
      <c r="A3386" s="25" t="n">
        <v>43818</v>
      </c>
      <c r="B3386" s="18" t="n">
        <v>115131.25</v>
      </c>
      <c r="C3386" s="31" t="n"/>
      <c r="D3386" s="32" t="n"/>
      <c r="E3386" s="33" t="n">
        <v>0.0907</v>
      </c>
      <c r="F3386" t="inlineStr">
        <is>
          <t>Down</t>
        </is>
      </c>
      <c r="G3386" t="inlineStr">
        <is>
          <t>Down</t>
        </is>
      </c>
      <c r="H3386" t="inlineStr">
        <is>
          <t>ED_JD</t>
        </is>
      </c>
      <c r="I3386" t="inlineStr">
        <is>
          <t>2019-12</t>
        </is>
      </c>
      <c r="J3386" t="n">
        <v>1</v>
      </c>
      <c r="K3386" t="n">
        <v>1</v>
      </c>
      <c r="L3386" s="34">
        <f>IF($J3386=1,LN(B3387/B3386),"")</f>
        <v/>
      </c>
      <c r="M3386" s="34">
        <f>IF($K3386=1,INDEX(Mensal!$D$2:$D$245,MATCH($I3386,Mensal!$A$2:$A$245,0)),"")</f>
        <v/>
      </c>
      <c r="N3386" s="34">
        <f>IF($K3386=1,L3386-M3386,"")</f>
        <v/>
      </c>
      <c r="O3386" s="34" t="n">
        <v>0.00017089</v>
      </c>
      <c r="P3386" s="34">
        <f>IF($J3386=1,LN(1+O3386),"")</f>
        <v/>
      </c>
      <c r="Q3386" s="34">
        <f>IF($J3386=1,LN(R3387/R3386),"")</f>
        <v/>
      </c>
      <c r="R3386" s="32" t="n">
        <v>4.0633</v>
      </c>
      <c r="S3386" s="35" t="n">
        <v>4.625</v>
      </c>
      <c r="T3386" s="18" t="n"/>
      <c r="U3386" s="18" t="n"/>
      <c r="V3386" s="18" t="n">
        <v>115131.25</v>
      </c>
      <c r="W3386" s="18" t="n"/>
      <c r="X3386" s="35" t="n"/>
      <c r="Y3386" s="35" t="n">
        <v>4.625</v>
      </c>
    </row>
    <row r="3387">
      <c r="A3387" s="25" t="n">
        <v>43819</v>
      </c>
      <c r="B3387" s="18" t="n">
        <v>115121.08</v>
      </c>
      <c r="C3387" s="31" t="n"/>
      <c r="D3387" s="32" t="n"/>
      <c r="E3387" s="33" t="n">
        <v>0.0958</v>
      </c>
      <c r="F3387" t="inlineStr">
        <is>
          <t>Down</t>
        </is>
      </c>
      <c r="G3387" t="inlineStr">
        <is>
          <t>Down</t>
        </is>
      </c>
      <c r="H3387" t="inlineStr">
        <is>
          <t>ED_JD</t>
        </is>
      </c>
      <c r="I3387" t="inlineStr">
        <is>
          <t>2019-12</t>
        </is>
      </c>
      <c r="J3387" t="n">
        <v>1</v>
      </c>
      <c r="K3387" t="n">
        <v>1</v>
      </c>
      <c r="L3387" s="34">
        <f>IF($J3387=1,LN(B3388/B3387),"")</f>
        <v/>
      </c>
      <c r="M3387" s="34">
        <f>IF($K3387=1,INDEX(Mensal!$D$2:$D$245,MATCH($I3387,Mensal!$A$2:$A$245,0)),"")</f>
        <v/>
      </c>
      <c r="N3387" s="34">
        <f>IF($K3387=1,L3387-M3387,"")</f>
        <v/>
      </c>
      <c r="O3387" s="34" t="n">
        <v>0.00017089</v>
      </c>
      <c r="P3387" s="34">
        <f>IF($J3387=1,LN(1+O3387),"")</f>
        <v/>
      </c>
      <c r="Q3387" s="34">
        <f>IF($J3387=1,LN(R3388/R3387),"")</f>
        <v/>
      </c>
      <c r="R3387" s="32" t="n">
        <v>4.0777</v>
      </c>
      <c r="S3387" s="35" t="n">
        <v>4.593</v>
      </c>
      <c r="T3387" s="18" t="n"/>
      <c r="U3387" s="18" t="n"/>
      <c r="V3387" s="18" t="n">
        <v>115121.08</v>
      </c>
      <c r="W3387" s="18" t="n"/>
      <c r="X3387" s="35" t="n"/>
      <c r="Y3387" s="35" t="n">
        <v>4.593</v>
      </c>
    </row>
    <row r="3388">
      <c r="A3388" s="25" t="n">
        <v>43822</v>
      </c>
      <c r="B3388" s="18" t="n">
        <v>115863.29</v>
      </c>
      <c r="C3388" s="31" t="n"/>
      <c r="D3388" s="32" t="n"/>
      <c r="E3388" s="33" t="n">
        <v>0.09859999999999999</v>
      </c>
      <c r="F3388" t="inlineStr">
        <is>
          <t>Down</t>
        </is>
      </c>
      <c r="G3388" t="inlineStr">
        <is>
          <t>Down</t>
        </is>
      </c>
      <c r="H3388" t="inlineStr">
        <is>
          <t>ED_JD</t>
        </is>
      </c>
      <c r="I3388" t="inlineStr">
        <is>
          <t>2019-12</t>
        </is>
      </c>
      <c r="J3388" t="n">
        <v>1</v>
      </c>
      <c r="K3388" t="n">
        <v>1</v>
      </c>
      <c r="L3388" s="34">
        <f>IF($J3388=1,LN(B3389/B3388),"")</f>
        <v/>
      </c>
      <c r="M3388" s="34">
        <f>IF($K3388=1,INDEX(Mensal!$D$2:$D$245,MATCH($I3388,Mensal!$A$2:$A$245,0)),"")</f>
        <v/>
      </c>
      <c r="N3388" s="34">
        <f>IF($K3388=1,L3388-M3388,"")</f>
        <v/>
      </c>
      <c r="O3388" s="34" t="n">
        <v>0.00017089</v>
      </c>
      <c r="P3388" s="34">
        <f>IF($J3388=1,LN(1+O3388),"")</f>
        <v/>
      </c>
      <c r="Q3388" s="34">
        <f>IF($J3388=1,LN(R3389/R3388),"")</f>
        <v/>
      </c>
      <c r="R3388" s="32" t="n">
        <v>4.0757</v>
      </c>
      <c r="S3388" s="35" t="n">
        <v>4.592</v>
      </c>
      <c r="T3388" s="18" t="n"/>
      <c r="U3388" s="18" t="n"/>
      <c r="V3388" s="18" t="n">
        <v>115863.29</v>
      </c>
      <c r="W3388" s="18" t="n"/>
      <c r="X3388" s="35" t="n"/>
      <c r="Y3388" s="35" t="n">
        <v>4.592</v>
      </c>
    </row>
    <row r="3389">
      <c r="A3389" s="25" t="n">
        <v>43825</v>
      </c>
      <c r="B3389" s="18" t="n">
        <v>117203.2</v>
      </c>
      <c r="C3389" s="31" t="n"/>
      <c r="D3389" s="32" t="n"/>
      <c r="E3389" s="33" t="n">
        <v>0.09959999999999999</v>
      </c>
      <c r="F3389" t="inlineStr">
        <is>
          <t>Down</t>
        </is>
      </c>
      <c r="G3389" t="inlineStr">
        <is>
          <t>Down</t>
        </is>
      </c>
      <c r="H3389" t="inlineStr">
        <is>
          <t>ED_JD</t>
        </is>
      </c>
      <c r="I3389" t="inlineStr">
        <is>
          <t>2019-12</t>
        </is>
      </c>
      <c r="J3389" t="n">
        <v>1</v>
      </c>
      <c r="K3389" t="n">
        <v>1</v>
      </c>
      <c r="L3389" s="34">
        <f>IF($J3389=1,LN(B3390/B3389),"")</f>
        <v/>
      </c>
      <c r="M3389" s="34">
        <f>IF($K3389=1,INDEX(Mensal!$D$2:$D$245,MATCH($I3389,Mensal!$A$2:$A$245,0)),"")</f>
        <v/>
      </c>
      <c r="N3389" s="34">
        <f>IF($K3389=1,L3389-M3389,"")</f>
        <v/>
      </c>
      <c r="O3389" s="34" t="n">
        <v>0.00017089</v>
      </c>
      <c r="P3389" s="34">
        <f>IF($J3389=1,LN(1+O3389),"")</f>
        <v/>
      </c>
      <c r="Q3389" s="34">
        <f>IF($J3389=1,LN(R3390/R3389),"")</f>
        <v/>
      </c>
      <c r="R3389" s="32" t="n">
        <v>4.0601</v>
      </c>
      <c r="S3389" s="35" t="n">
        <v>4.567</v>
      </c>
      <c r="T3389" s="18" t="n"/>
      <c r="U3389" s="18" t="n"/>
      <c r="V3389" s="18" t="n">
        <v>117203.2</v>
      </c>
      <c r="W3389" s="18" t="n"/>
      <c r="X3389" s="35" t="n"/>
      <c r="Y3389" s="35" t="n">
        <v>4.567</v>
      </c>
    </row>
    <row r="3390">
      <c r="A3390" s="25" t="n">
        <v>43826</v>
      </c>
      <c r="B3390" s="18" t="n">
        <v>116533.98</v>
      </c>
      <c r="C3390" s="31" t="n"/>
      <c r="D3390" s="32" t="n"/>
      <c r="E3390" s="33" t="n">
        <v>0.1059</v>
      </c>
      <c r="F3390" t="inlineStr">
        <is>
          <t>Down</t>
        </is>
      </c>
      <c r="G3390" t="inlineStr">
        <is>
          <t>Down</t>
        </is>
      </c>
      <c r="H3390" t="inlineStr">
        <is>
          <t>ED_JD</t>
        </is>
      </c>
      <c r="I3390" t="inlineStr">
        <is>
          <t>2019-12</t>
        </is>
      </c>
      <c r="J3390" t="n">
        <v>1</v>
      </c>
      <c r="K3390" t="n">
        <v>1</v>
      </c>
      <c r="L3390" s="34">
        <f>IF($J3390=1,LN(B3391/B3390),"")</f>
        <v/>
      </c>
      <c r="M3390" s="34">
        <f>IF($K3390=1,INDEX(Mensal!$D$2:$D$245,MATCH($I3390,Mensal!$A$2:$A$245,0)),"")</f>
        <v/>
      </c>
      <c r="N3390" s="34">
        <f>IF($K3390=1,L3390-M3390,"")</f>
        <v/>
      </c>
      <c r="O3390" s="34" t="n">
        <v>0.00017089</v>
      </c>
      <c r="P3390" s="34">
        <f>IF($J3390=1,LN(1+O3390),"")</f>
        <v/>
      </c>
      <c r="Q3390" s="34">
        <f>IF($J3390=1,LN(R3391/R3390),"")</f>
        <v/>
      </c>
      <c r="R3390" s="32" t="n">
        <v>4.0545</v>
      </c>
      <c r="S3390" s="35" t="n">
        <v>4.559</v>
      </c>
      <c r="T3390" s="18" t="n"/>
      <c r="U3390" s="18" t="n"/>
      <c r="V3390" s="18" t="n">
        <v>116533.98</v>
      </c>
      <c r="W3390" s="18" t="n"/>
      <c r="X3390" s="35" t="n"/>
      <c r="Y3390" s="35" t="n">
        <v>4.559</v>
      </c>
    </row>
    <row r="3391">
      <c r="A3391" s="25" t="n">
        <v>43829</v>
      </c>
      <c r="B3391" s="18" t="n">
        <v>115645.34</v>
      </c>
      <c r="C3391" s="31" t="n"/>
      <c r="D3391" s="32" t="n"/>
      <c r="E3391" s="33" t="n">
        <v>0.1197</v>
      </c>
      <c r="F3391" t="inlineStr">
        <is>
          <t>Down</t>
        </is>
      </c>
      <c r="G3391" t="inlineStr">
        <is>
          <t>Down</t>
        </is>
      </c>
      <c r="H3391" t="inlineStr">
        <is>
          <t>ED_JD</t>
        </is>
      </c>
      <c r="I3391" t="inlineStr">
        <is>
          <t>2019-12</t>
        </is>
      </c>
      <c r="J3391" t="n">
        <v>1</v>
      </c>
      <c r="K3391" t="n">
        <v>1</v>
      </c>
      <c r="L3391" s="34">
        <f>IF($J3391=1,LN(B3392/B3391),"")</f>
        <v/>
      </c>
      <c r="M3391" s="34">
        <f>IF($K3391=1,INDEX(Mensal!$D$2:$D$245,MATCH($I3391,Mensal!$A$2:$A$245,0)),"")</f>
        <v/>
      </c>
      <c r="N3391" s="34">
        <f>IF($K3391=1,L3391-M3391,"")</f>
        <v/>
      </c>
      <c r="O3391" s="34" t="n">
        <v>0.00017089</v>
      </c>
      <c r="P3391" s="34">
        <f>IF($J3391=1,LN(1+O3391),"")</f>
        <v/>
      </c>
      <c r="Q3391" s="34">
        <f>IF($J3391=1,LN(R3392/R3391),"")</f>
        <v/>
      </c>
      <c r="R3391" s="32" t="n">
        <v>4.0307</v>
      </c>
      <c r="S3391" s="35" t="n">
        <v>4.548</v>
      </c>
      <c r="T3391" s="18" t="n"/>
      <c r="U3391" s="18" t="n"/>
      <c r="V3391" s="18" t="n">
        <v>115645.34</v>
      </c>
      <c r="W3391" s="18" t="n"/>
      <c r="X3391" s="35" t="n"/>
      <c r="Y3391" s="35" t="n">
        <v>4.548</v>
      </c>
    </row>
    <row r="3392">
      <c r="A3392" s="25" t="n">
        <v>43832</v>
      </c>
      <c r="B3392" s="18" t="n">
        <v>118573.1</v>
      </c>
      <c r="C3392" s="31" t="n"/>
      <c r="D3392" s="32" t="n"/>
      <c r="E3392" s="33" t="n">
        <v>0.133</v>
      </c>
      <c r="F3392" t="inlineStr">
        <is>
          <t>Down</t>
        </is>
      </c>
      <c r="G3392" t="inlineStr">
        <is>
          <t>Down</t>
        </is>
      </c>
      <c r="H3392" t="inlineStr">
        <is>
          <t>ED_JD</t>
        </is>
      </c>
      <c r="I3392" t="inlineStr">
        <is>
          <t>2020-01</t>
        </is>
      </c>
      <c r="J3392" t="n">
        <v>1</v>
      </c>
      <c r="K3392" t="n">
        <v>1</v>
      </c>
      <c r="L3392" s="34">
        <f>IF($J3392=1,LN(B3393/B3392),"")</f>
        <v/>
      </c>
      <c r="M3392" s="34">
        <f>IF($K3392=1,INDEX(Mensal!$D$2:$D$245,MATCH($I3392,Mensal!$A$2:$A$245,0)),"")</f>
        <v/>
      </c>
      <c r="N3392" s="34">
        <f>IF($K3392=1,L3392-M3392,"")</f>
        <v/>
      </c>
      <c r="O3392" s="34" t="n">
        <v>0.00017089</v>
      </c>
      <c r="P3392" s="34">
        <f>IF($J3392=1,LN(1+O3392),"")</f>
        <v/>
      </c>
      <c r="Q3392" s="34">
        <f>IF($J3392=1,LN(R3393/R3392),"")</f>
        <v/>
      </c>
      <c r="R3392" s="32" t="n">
        <v>4.0213</v>
      </c>
      <c r="S3392" s="35" t="n">
        <v>4.516</v>
      </c>
      <c r="T3392" s="18" t="n"/>
      <c r="U3392" s="18" t="n"/>
      <c r="V3392" s="18" t="n">
        <v>118573.1</v>
      </c>
      <c r="W3392" s="18" t="n"/>
      <c r="X3392" s="35" t="n"/>
      <c r="Y3392" s="35" t="n">
        <v>4.516</v>
      </c>
    </row>
    <row r="3393">
      <c r="A3393" s="25" t="n">
        <v>43833</v>
      </c>
      <c r="B3393" s="18" t="n">
        <v>117706.66</v>
      </c>
      <c r="C3393" s="31" t="n"/>
      <c r="D3393" s="32" t="n"/>
      <c r="E3393" s="33" t="n">
        <v>0.1499</v>
      </c>
      <c r="F3393" t="inlineStr">
        <is>
          <t>Down</t>
        </is>
      </c>
      <c r="G3393" t="inlineStr">
        <is>
          <t>Down</t>
        </is>
      </c>
      <c r="H3393" t="inlineStr">
        <is>
          <t>ED_JD</t>
        </is>
      </c>
      <c r="I3393" t="inlineStr">
        <is>
          <t>2020-01</t>
        </is>
      </c>
      <c r="J3393" t="n">
        <v>1</v>
      </c>
      <c r="K3393" t="n">
        <v>1</v>
      </c>
      <c r="L3393" s="34">
        <f>IF($J3393=1,LN(B3394/B3393),"")</f>
        <v/>
      </c>
      <c r="M3393" s="34">
        <f>IF($K3393=1,INDEX(Mensal!$D$2:$D$245,MATCH($I3393,Mensal!$A$2:$A$245,0)),"")</f>
        <v/>
      </c>
      <c r="N3393" s="34">
        <f>IF($K3393=1,L3393-M3393,"")</f>
        <v/>
      </c>
      <c r="O3393" s="34" t="n">
        <v>0.00017089</v>
      </c>
      <c r="P3393" s="34">
        <f>IF($J3393=1,LN(1+O3393),"")</f>
        <v/>
      </c>
      <c r="Q3393" s="34">
        <f>IF($J3393=1,LN(R3394/R3393),"")</f>
        <v/>
      </c>
      <c r="R3393" s="32" t="n">
        <v>4.0522</v>
      </c>
      <c r="S3393" s="35" t="n">
        <v>4.506</v>
      </c>
      <c r="T3393" s="18" t="n"/>
      <c r="U3393" s="18" t="n"/>
      <c r="V3393" s="18" t="n">
        <v>117706.66</v>
      </c>
      <c r="W3393" s="18" t="n"/>
      <c r="X3393" s="35" t="n"/>
      <c r="Y3393" s="35" t="n">
        <v>4.506</v>
      </c>
    </row>
    <row r="3394">
      <c r="A3394" s="25" t="n">
        <v>43836</v>
      </c>
      <c r="B3394" s="18" t="n">
        <v>116877.92</v>
      </c>
      <c r="C3394" s="31" t="n"/>
      <c r="D3394" s="32" t="n"/>
      <c r="E3394" s="33" t="n">
        <v>0.1415</v>
      </c>
      <c r="F3394" t="inlineStr">
        <is>
          <t>Down</t>
        </is>
      </c>
      <c r="G3394" t="inlineStr">
        <is>
          <t>Down</t>
        </is>
      </c>
      <c r="H3394" t="inlineStr">
        <is>
          <t>ED_JD</t>
        </is>
      </c>
      <c r="I3394" t="inlineStr">
        <is>
          <t>2020-01</t>
        </is>
      </c>
      <c r="J3394" t="n">
        <v>1</v>
      </c>
      <c r="K3394" t="n">
        <v>1</v>
      </c>
      <c r="L3394" s="34">
        <f>IF($J3394=1,LN(B3395/B3394),"")</f>
        <v/>
      </c>
      <c r="M3394" s="34">
        <f>IF($K3394=1,INDEX(Mensal!$D$2:$D$245,MATCH($I3394,Mensal!$A$2:$A$245,0)),"")</f>
        <v/>
      </c>
      <c r="N3394" s="34">
        <f>IF($K3394=1,L3394-M3394,"")</f>
        <v/>
      </c>
      <c r="O3394" s="34" t="n">
        <v>0.00017089</v>
      </c>
      <c r="P3394" s="34">
        <f>IF($J3394=1,LN(1+O3394),"")</f>
        <v/>
      </c>
      <c r="Q3394" s="34">
        <f>IF($J3394=1,LN(R3395/R3394),"")</f>
        <v/>
      </c>
      <c r="R3394" s="32" t="n">
        <v>4.0554</v>
      </c>
      <c r="S3394" s="35" t="n">
        <v>4.523</v>
      </c>
      <c r="T3394" s="18" t="n"/>
      <c r="U3394" s="18" t="n"/>
      <c r="V3394" s="18" t="n">
        <v>116877.92</v>
      </c>
      <c r="W3394" s="18" t="n"/>
      <c r="X3394" s="35" t="n"/>
      <c r="Y3394" s="35" t="n">
        <v>4.523</v>
      </c>
    </row>
    <row r="3395">
      <c r="A3395" s="25" t="n">
        <v>43837</v>
      </c>
      <c r="B3395" s="18" t="n">
        <v>116661.94</v>
      </c>
      <c r="C3395" s="31" t="n"/>
      <c r="D3395" s="32" t="n"/>
      <c r="E3395" s="33" t="n">
        <v>0.1332</v>
      </c>
      <c r="F3395" t="inlineStr">
        <is>
          <t>Down</t>
        </is>
      </c>
      <c r="G3395" t="inlineStr">
        <is>
          <t>Down</t>
        </is>
      </c>
      <c r="H3395" t="inlineStr">
        <is>
          <t>ED_JD</t>
        </is>
      </c>
      <c r="I3395" t="inlineStr">
        <is>
          <t>2020-01</t>
        </is>
      </c>
      <c r="J3395" t="n">
        <v>1</v>
      </c>
      <c r="K3395" t="n">
        <v>1</v>
      </c>
      <c r="L3395" s="34">
        <f>IF($J3395=1,LN(B3396/B3395),"")</f>
        <v/>
      </c>
      <c r="M3395" s="34">
        <f>IF($K3395=1,INDEX(Mensal!$D$2:$D$245,MATCH($I3395,Mensal!$A$2:$A$245,0)),"")</f>
        <v/>
      </c>
      <c r="N3395" s="34">
        <f>IF($K3395=1,L3395-M3395,"")</f>
        <v/>
      </c>
      <c r="O3395" s="34" t="n">
        <v>0.00017089</v>
      </c>
      <c r="P3395" s="34">
        <f>IF($J3395=1,LN(1+O3395),"")</f>
        <v/>
      </c>
      <c r="Q3395" s="34">
        <f>IF($J3395=1,LN(R3396/R3395),"")</f>
        <v/>
      </c>
      <c r="R3395" s="32" t="n">
        <v>4.0841</v>
      </c>
      <c r="S3395" s="35" t="n">
        <v>4.485</v>
      </c>
      <c r="T3395" s="18" t="n"/>
      <c r="U3395" s="18" t="n"/>
      <c r="V3395" s="18" t="n">
        <v>116661.94</v>
      </c>
      <c r="W3395" s="18" t="n"/>
      <c r="X3395" s="35" t="n"/>
      <c r="Y3395" s="35" t="n">
        <v>4.485</v>
      </c>
    </row>
    <row r="3396">
      <c r="A3396" s="25" t="n">
        <v>43838</v>
      </c>
      <c r="B3396" s="18" t="n">
        <v>116247.03</v>
      </c>
      <c r="C3396" s="31" t="n"/>
      <c r="D3396" s="32" t="n"/>
      <c r="E3396" s="33" t="n">
        <v>0.1272</v>
      </c>
      <c r="F3396" t="inlineStr">
        <is>
          <t>Down</t>
        </is>
      </c>
      <c r="G3396" t="inlineStr">
        <is>
          <t>Down</t>
        </is>
      </c>
      <c r="H3396" t="inlineStr">
        <is>
          <t>ED_JD</t>
        </is>
      </c>
      <c r="I3396" t="inlineStr">
        <is>
          <t>2020-01</t>
        </is>
      </c>
      <c r="J3396" t="n">
        <v>1</v>
      </c>
      <c r="K3396" t="n">
        <v>1</v>
      </c>
      <c r="L3396" s="34">
        <f>IF($J3396=1,LN(B3397/B3396),"")</f>
        <v/>
      </c>
      <c r="M3396" s="34">
        <f>IF($K3396=1,INDEX(Mensal!$D$2:$D$245,MATCH($I3396,Mensal!$A$2:$A$245,0)),"")</f>
        <v/>
      </c>
      <c r="N3396" s="34">
        <f>IF($K3396=1,L3396-M3396,"")</f>
        <v/>
      </c>
      <c r="O3396" s="34" t="n">
        <v>0.00017089</v>
      </c>
      <c r="P3396" s="34">
        <f>IF($J3396=1,LN(1+O3396),"")</f>
        <v/>
      </c>
      <c r="Q3396" s="34">
        <f>IF($J3396=1,LN(R3397/R3396),"")</f>
        <v/>
      </c>
      <c r="R3396" s="32" t="n">
        <v>4.0672</v>
      </c>
      <c r="S3396" s="35" t="n">
        <v>4.455</v>
      </c>
      <c r="T3396" s="18" t="n"/>
      <c r="U3396" s="18" t="n"/>
      <c r="V3396" s="18" t="n">
        <v>116247.03</v>
      </c>
      <c r="W3396" s="18" t="n"/>
      <c r="X3396" s="35" t="n"/>
      <c r="Y3396" s="35" t="n">
        <v>4.455</v>
      </c>
    </row>
    <row r="3397">
      <c r="A3397" s="25" t="n">
        <v>43839</v>
      </c>
      <c r="B3397" s="18" t="n">
        <v>115947.11</v>
      </c>
      <c r="C3397" s="31" t="n"/>
      <c r="D3397" s="32" t="n"/>
      <c r="E3397" s="33" t="n">
        <v>0.1165</v>
      </c>
      <c r="F3397" t="inlineStr">
        <is>
          <t>Down</t>
        </is>
      </c>
      <c r="G3397" t="inlineStr">
        <is>
          <t>Down</t>
        </is>
      </c>
      <c r="H3397" t="inlineStr">
        <is>
          <t>ED_JD</t>
        </is>
      </c>
      <c r="I3397" t="inlineStr">
        <is>
          <t>2020-01</t>
        </is>
      </c>
      <c r="J3397" t="n">
        <v>1</v>
      </c>
      <c r="K3397" t="n">
        <v>1</v>
      </c>
      <c r="L3397" s="34">
        <f>IF($J3397=1,LN(B3398/B3397),"")</f>
        <v/>
      </c>
      <c r="M3397" s="34">
        <f>IF($K3397=1,INDEX(Mensal!$D$2:$D$245,MATCH($I3397,Mensal!$A$2:$A$245,0)),"")</f>
        <v/>
      </c>
      <c r="N3397" s="34">
        <f>IF($K3397=1,L3397-M3397,"")</f>
        <v/>
      </c>
      <c r="O3397" s="34" t="n">
        <v>0.00017089</v>
      </c>
      <c r="P3397" s="34">
        <f>IF($J3397=1,LN(1+O3397),"")</f>
        <v/>
      </c>
      <c r="Q3397" s="34">
        <f>IF($J3397=1,LN(R3398/R3397),"")</f>
        <v/>
      </c>
      <c r="R3397" s="32" t="n">
        <v>4.0744</v>
      </c>
      <c r="S3397" s="35" t="n">
        <v>4.455</v>
      </c>
      <c r="T3397" s="18" t="n"/>
      <c r="U3397" s="18" t="n"/>
      <c r="V3397" s="18" t="n">
        <v>115947.11</v>
      </c>
      <c r="W3397" s="18" t="n"/>
      <c r="X3397" s="35" t="n"/>
      <c r="Y3397" s="35" t="n">
        <v>4.455</v>
      </c>
    </row>
    <row r="3398">
      <c r="A3398" s="25" t="n">
        <v>43840</v>
      </c>
      <c r="B3398" s="18" t="n">
        <v>115503.42</v>
      </c>
      <c r="C3398" s="31" t="n"/>
      <c r="D3398" s="32" t="n"/>
      <c r="E3398" s="33" t="n">
        <v>0.1066</v>
      </c>
      <c r="F3398" t="inlineStr">
        <is>
          <t>Down</t>
        </is>
      </c>
      <c r="G3398" t="inlineStr">
        <is>
          <t>Down</t>
        </is>
      </c>
      <c r="H3398" t="inlineStr">
        <is>
          <t>ED_JD</t>
        </is>
      </c>
      <c r="I3398" t="inlineStr">
        <is>
          <t>2020-01</t>
        </is>
      </c>
      <c r="J3398" t="n">
        <v>1</v>
      </c>
      <c r="K3398" t="n">
        <v>1</v>
      </c>
      <c r="L3398" s="34">
        <f>IF($J3398=1,LN(B3399/B3398),"")</f>
        <v/>
      </c>
      <c r="M3398" s="34">
        <f>IF($K3398=1,INDEX(Mensal!$D$2:$D$245,MATCH($I3398,Mensal!$A$2:$A$245,0)),"")</f>
        <v/>
      </c>
      <c r="N3398" s="34">
        <f>IF($K3398=1,L3398-M3398,"")</f>
        <v/>
      </c>
      <c r="O3398" s="34" t="n">
        <v>0.00017089</v>
      </c>
      <c r="P3398" s="34">
        <f>IF($J3398=1,LN(1+O3398),"")</f>
        <v/>
      </c>
      <c r="Q3398" s="34">
        <f>IF($J3398=1,LN(R3399/R3398),"")</f>
        <v/>
      </c>
      <c r="R3398" s="32" t="n">
        <v>4.0745</v>
      </c>
      <c r="S3398" s="35" t="n">
        <v>4.47</v>
      </c>
      <c r="T3398" s="18" t="n"/>
      <c r="U3398" s="18" t="n"/>
      <c r="V3398" s="18" t="n">
        <v>115503.42</v>
      </c>
      <c r="W3398" s="18" t="n"/>
      <c r="X3398" s="35" t="n"/>
      <c r="Y3398" s="35" t="n">
        <v>4.47</v>
      </c>
    </row>
    <row r="3399">
      <c r="A3399" s="25" t="n">
        <v>43843</v>
      </c>
      <c r="B3399" s="18" t="n">
        <v>117325.28</v>
      </c>
      <c r="C3399" s="31" t="n"/>
      <c r="D3399" s="32" t="n"/>
      <c r="E3399" s="33" t="n">
        <v>0.1002</v>
      </c>
      <c r="F3399" t="inlineStr">
        <is>
          <t>Down</t>
        </is>
      </c>
      <c r="G3399" t="inlineStr">
        <is>
          <t>Down</t>
        </is>
      </c>
      <c r="H3399" t="inlineStr">
        <is>
          <t>ED_JD</t>
        </is>
      </c>
      <c r="I3399" t="inlineStr">
        <is>
          <t>2020-01</t>
        </is>
      </c>
      <c r="J3399" t="n">
        <v>1</v>
      </c>
      <c r="K3399" t="n">
        <v>1</v>
      </c>
      <c r="L3399" s="34">
        <f>IF($J3399=1,LN(B3400/B3399),"")</f>
        <v/>
      </c>
      <c r="M3399" s="34">
        <f>IF($K3399=1,INDEX(Mensal!$D$2:$D$245,MATCH($I3399,Mensal!$A$2:$A$245,0)),"")</f>
        <v/>
      </c>
      <c r="N3399" s="34">
        <f>IF($K3399=1,L3399-M3399,"")</f>
        <v/>
      </c>
      <c r="O3399" s="34" t="n">
        <v>0.00017089</v>
      </c>
      <c r="P3399" s="34">
        <f>IF($J3399=1,LN(1+O3399),"")</f>
        <v/>
      </c>
      <c r="Q3399" s="34">
        <f>IF($J3399=1,LN(R3400/R3399),"")</f>
        <v/>
      </c>
      <c r="R3399" s="32" t="n">
        <v>4.1309</v>
      </c>
      <c r="S3399" s="35" t="n">
        <v>4.5</v>
      </c>
      <c r="T3399" s="18" t="n"/>
      <c r="U3399" s="18" t="n"/>
      <c r="V3399" s="18" t="n">
        <v>117325.28</v>
      </c>
      <c r="W3399" s="18" t="n"/>
      <c r="X3399" s="35" t="n"/>
      <c r="Y3399" s="35" t="n">
        <v>4.5</v>
      </c>
    </row>
    <row r="3400">
      <c r="A3400" s="25" t="n">
        <v>43844</v>
      </c>
      <c r="B3400" s="18" t="n">
        <v>117632.4</v>
      </c>
      <c r="C3400" s="31" t="n"/>
      <c r="D3400" s="32" t="n"/>
      <c r="E3400" s="33" t="n">
        <v>0.08939999999999999</v>
      </c>
      <c r="F3400" t="inlineStr">
        <is>
          <t>Down</t>
        </is>
      </c>
      <c r="G3400" t="inlineStr">
        <is>
          <t>Down</t>
        </is>
      </c>
      <c r="H3400" t="inlineStr">
        <is>
          <t>ED_JD</t>
        </is>
      </c>
      <c r="I3400" t="inlineStr">
        <is>
          <t>2020-01</t>
        </is>
      </c>
      <c r="J3400" t="n">
        <v>1</v>
      </c>
      <c r="K3400" t="n">
        <v>1</v>
      </c>
      <c r="L3400" s="34">
        <f>IF($J3400=1,LN(B3401/B3400),"")</f>
        <v/>
      </c>
      <c r="M3400" s="34">
        <f>IF($K3400=1,INDEX(Mensal!$D$2:$D$245,MATCH($I3400,Mensal!$A$2:$A$245,0)),"")</f>
        <v/>
      </c>
      <c r="N3400" s="34">
        <f>IF($K3400=1,L3400-M3400,"")</f>
        <v/>
      </c>
      <c r="O3400" s="34" t="n">
        <v>0.00017089</v>
      </c>
      <c r="P3400" s="34">
        <f>IF($J3400=1,LN(1+O3400),"")</f>
        <v/>
      </c>
      <c r="Q3400" s="34">
        <f>IF($J3400=1,LN(R3401/R3400),"")</f>
        <v/>
      </c>
      <c r="R3400" s="32" t="n">
        <v>4.1443</v>
      </c>
      <c r="S3400" s="35" t="n">
        <v>4.458</v>
      </c>
      <c r="T3400" s="18" t="n"/>
      <c r="U3400" s="18" t="n"/>
      <c r="V3400" s="18" t="n">
        <v>117632.4</v>
      </c>
      <c r="W3400" s="18" t="n"/>
      <c r="X3400" s="35" t="n"/>
      <c r="Y3400" s="35" t="n">
        <v>4.458</v>
      </c>
    </row>
    <row r="3401">
      <c r="A3401" s="25" t="n">
        <v>43845</v>
      </c>
      <c r="B3401" s="18" t="n">
        <v>116414.35</v>
      </c>
      <c r="C3401" s="31" t="n"/>
      <c r="D3401" s="32" t="n"/>
      <c r="E3401" s="33" t="n">
        <v>0.0852</v>
      </c>
      <c r="F3401" t="inlineStr">
        <is>
          <t>Down</t>
        </is>
      </c>
      <c r="G3401" t="inlineStr">
        <is>
          <t>Down</t>
        </is>
      </c>
      <c r="H3401" t="inlineStr">
        <is>
          <t>ED_JD</t>
        </is>
      </c>
      <c r="I3401" t="inlineStr">
        <is>
          <t>2020-01</t>
        </is>
      </c>
      <c r="J3401" t="n">
        <v>1</v>
      </c>
      <c r="K3401" t="n">
        <v>1</v>
      </c>
      <c r="L3401" s="34">
        <f>IF($J3401=1,LN(B3402/B3401),"")</f>
        <v/>
      </c>
      <c r="M3401" s="34">
        <f>IF($K3401=1,INDEX(Mensal!$D$2:$D$245,MATCH($I3401,Mensal!$A$2:$A$245,0)),"")</f>
        <v/>
      </c>
      <c r="N3401" s="34">
        <f>IF($K3401=1,L3401-M3401,"")</f>
        <v/>
      </c>
      <c r="O3401" s="34" t="n">
        <v>0.00017089</v>
      </c>
      <c r="P3401" s="34">
        <f>IF($J3401=1,LN(1+O3401),"")</f>
        <v/>
      </c>
      <c r="Q3401" s="34">
        <f>IF($J3401=1,LN(R3402/R3401),"")</f>
        <v/>
      </c>
      <c r="R3401" s="32" t="n">
        <v>4.1622</v>
      </c>
      <c r="S3401" s="35" t="n">
        <v>4.404</v>
      </c>
      <c r="T3401" s="18" t="n"/>
      <c r="U3401" s="18" t="n"/>
      <c r="V3401" s="18" t="n">
        <v>116414.35</v>
      </c>
      <c r="W3401" s="18" t="n"/>
      <c r="X3401" s="35" t="n"/>
      <c r="Y3401" s="35" t="n">
        <v>4.404</v>
      </c>
    </row>
    <row r="3402">
      <c r="A3402" s="25" t="n">
        <v>43846</v>
      </c>
      <c r="B3402" s="18" t="n">
        <v>116704.21</v>
      </c>
      <c r="C3402" s="31" t="n"/>
      <c r="D3402" s="32" t="n"/>
      <c r="E3402" s="33" t="n">
        <v>0.0813</v>
      </c>
      <c r="F3402" t="inlineStr">
        <is>
          <t>Down</t>
        </is>
      </c>
      <c r="G3402" t="inlineStr">
        <is>
          <t>Down</t>
        </is>
      </c>
      <c r="H3402" t="inlineStr">
        <is>
          <t>ED_JD</t>
        </is>
      </c>
      <c r="I3402" t="inlineStr">
        <is>
          <t>2020-01</t>
        </is>
      </c>
      <c r="J3402" t="n">
        <v>1</v>
      </c>
      <c r="K3402" t="n">
        <v>1</v>
      </c>
      <c r="L3402" s="34">
        <f>IF($J3402=1,LN(B3403/B3402),"")</f>
        <v/>
      </c>
      <c r="M3402" s="34">
        <f>IF($K3402=1,INDEX(Mensal!$D$2:$D$245,MATCH($I3402,Mensal!$A$2:$A$245,0)),"")</f>
        <v/>
      </c>
      <c r="N3402" s="34">
        <f>IF($K3402=1,L3402-M3402,"")</f>
        <v/>
      </c>
      <c r="O3402" s="34" t="n">
        <v>0.00017089</v>
      </c>
      <c r="P3402" s="34">
        <f>IF($J3402=1,LN(1+O3402),"")</f>
        <v/>
      </c>
      <c r="Q3402" s="34">
        <f>IF($J3402=1,LN(R3403/R3402),"")</f>
        <v/>
      </c>
      <c r="R3402" s="32" t="n">
        <v>4.1726</v>
      </c>
      <c r="S3402" s="35" t="n">
        <v>4.464</v>
      </c>
      <c r="T3402" s="18" t="n"/>
      <c r="U3402" s="18" t="n"/>
      <c r="V3402" s="18" t="n">
        <v>116704.21</v>
      </c>
      <c r="W3402" s="18" t="n"/>
      <c r="X3402" s="35" t="n"/>
      <c r="Y3402" s="35" t="n">
        <v>4.464</v>
      </c>
    </row>
    <row r="3403">
      <c r="A3403" s="25" t="n">
        <v>43847</v>
      </c>
      <c r="B3403" s="18" t="n">
        <v>118478.3</v>
      </c>
      <c r="C3403" s="31" t="n"/>
      <c r="D3403" s="32" t="n"/>
      <c r="E3403" s="33" t="n">
        <v>0.0808</v>
      </c>
      <c r="F3403" t="inlineStr">
        <is>
          <t>Down</t>
        </is>
      </c>
      <c r="G3403" t="inlineStr">
        <is>
          <t>Down</t>
        </is>
      </c>
      <c r="H3403" t="inlineStr">
        <is>
          <t>ED_JD</t>
        </is>
      </c>
      <c r="I3403" t="inlineStr">
        <is>
          <t>2020-01</t>
        </is>
      </c>
      <c r="J3403" t="n">
        <v>1</v>
      </c>
      <c r="K3403" t="n">
        <v>1</v>
      </c>
      <c r="L3403" s="34">
        <f>IF($J3403=1,LN(B3404/B3403),"")</f>
        <v/>
      </c>
      <c r="M3403" s="34">
        <f>IF($K3403=1,INDEX(Mensal!$D$2:$D$245,MATCH($I3403,Mensal!$A$2:$A$245,0)),"")</f>
        <v/>
      </c>
      <c r="N3403" s="34">
        <f>IF($K3403=1,L3403-M3403,"")</f>
        <v/>
      </c>
      <c r="O3403" s="34" t="n">
        <v>0.00017089</v>
      </c>
      <c r="P3403" s="34">
        <f>IF($J3403=1,LN(1+O3403),"")</f>
        <v/>
      </c>
      <c r="Q3403" s="34">
        <f>IF($J3403=1,LN(R3404/R3403),"")</f>
        <v/>
      </c>
      <c r="R3403" s="32" t="n">
        <v>4.1837</v>
      </c>
      <c r="S3403" s="35" t="n">
        <v>4.433</v>
      </c>
      <c r="T3403" s="18" t="n"/>
      <c r="U3403" s="18" t="n"/>
      <c r="V3403" s="18" t="n">
        <v>118478.3</v>
      </c>
      <c r="W3403" s="18" t="n"/>
      <c r="X3403" s="35" t="n"/>
      <c r="Y3403" s="35" t="n">
        <v>4.433</v>
      </c>
    </row>
    <row r="3404">
      <c r="A3404" s="25" t="n">
        <v>43850</v>
      </c>
      <c r="B3404" s="18" t="n">
        <v>118861.63</v>
      </c>
      <c r="C3404" s="31" t="n"/>
      <c r="D3404" s="32" t="n"/>
      <c r="E3404" s="33" t="n">
        <v>0.0776</v>
      </c>
      <c r="F3404" t="inlineStr">
        <is>
          <t>Down</t>
        </is>
      </c>
      <c r="G3404" t="inlineStr">
        <is>
          <t>Down</t>
        </is>
      </c>
      <c r="H3404" t="inlineStr">
        <is>
          <t>ED_JD</t>
        </is>
      </c>
      <c r="I3404" t="inlineStr">
        <is>
          <t>2020-01</t>
        </is>
      </c>
      <c r="J3404" t="n">
        <v>1</v>
      </c>
      <c r="K3404" t="n">
        <v>1</v>
      </c>
      <c r="L3404" s="34">
        <f>IF($J3404=1,LN(B3405/B3404),"")</f>
        <v/>
      </c>
      <c r="M3404" s="34">
        <f>IF($K3404=1,INDEX(Mensal!$D$2:$D$245,MATCH($I3404,Mensal!$A$2:$A$245,0)),"")</f>
        <v/>
      </c>
      <c r="N3404" s="34">
        <f>IF($K3404=1,L3404-M3404,"")</f>
        <v/>
      </c>
      <c r="O3404" s="34" t="n">
        <v>0.00017089</v>
      </c>
      <c r="P3404" s="34">
        <f>IF($J3404=1,LN(1+O3404),"")</f>
        <v/>
      </c>
      <c r="Q3404" s="34">
        <f>IF($J3404=1,LN(R3405/R3404),"")</f>
        <v/>
      </c>
      <c r="R3404" s="32" t="n">
        <v>4.1829</v>
      </c>
      <c r="S3404" s="35" t="n">
        <v>4.444</v>
      </c>
      <c r="T3404" s="18" t="n"/>
      <c r="U3404" s="18" t="n"/>
      <c r="V3404" s="18" t="n">
        <v>118861.63</v>
      </c>
      <c r="W3404" s="18" t="n"/>
      <c r="X3404" s="35" t="n"/>
      <c r="Y3404" s="35" t="n">
        <v>4.444</v>
      </c>
    </row>
    <row r="3405">
      <c r="A3405" s="25" t="n">
        <v>43851</v>
      </c>
      <c r="B3405" s="18" t="n">
        <v>117026.04</v>
      </c>
      <c r="C3405" s="31" t="n"/>
      <c r="D3405" s="32" t="n"/>
      <c r="E3405" s="33" t="n">
        <v>0.07679999999999999</v>
      </c>
      <c r="F3405" t="inlineStr">
        <is>
          <t>Down</t>
        </is>
      </c>
      <c r="G3405" t="inlineStr">
        <is>
          <t>Down</t>
        </is>
      </c>
      <c r="H3405" t="inlineStr">
        <is>
          <t>ED_JD</t>
        </is>
      </c>
      <c r="I3405" t="inlineStr">
        <is>
          <t>2020-01</t>
        </is>
      </c>
      <c r="J3405" t="n">
        <v>1</v>
      </c>
      <c r="K3405" t="n">
        <v>1</v>
      </c>
      <c r="L3405" s="34">
        <f>IF($J3405=1,LN(B3406/B3405),"")</f>
        <v/>
      </c>
      <c r="M3405" s="34">
        <f>IF($K3405=1,INDEX(Mensal!$D$2:$D$245,MATCH($I3405,Mensal!$A$2:$A$245,0)),"")</f>
        <v/>
      </c>
      <c r="N3405" s="34">
        <f>IF($K3405=1,L3405-M3405,"")</f>
        <v/>
      </c>
      <c r="O3405" s="34" t="n">
        <v>0.00017089</v>
      </c>
      <c r="P3405" s="34">
        <f>IF($J3405=1,LN(1+O3405),"")</f>
        <v/>
      </c>
      <c r="Q3405" s="34">
        <f>IF($J3405=1,LN(R3406/R3405),"")</f>
        <v/>
      </c>
      <c r="R3405" s="32" t="n">
        <v>4.2014</v>
      </c>
      <c r="S3405" s="35" t="n">
        <v>4.415</v>
      </c>
      <c r="T3405" s="18" t="n"/>
      <c r="U3405" s="18" t="n"/>
      <c r="V3405" s="18" t="n">
        <v>117026.04</v>
      </c>
      <c r="W3405" s="18" t="n"/>
      <c r="X3405" s="35" t="n"/>
      <c r="Y3405" s="35" t="n">
        <v>4.415</v>
      </c>
    </row>
    <row r="3406">
      <c r="A3406" s="25" t="n">
        <v>43852</v>
      </c>
      <c r="B3406" s="18" t="n">
        <v>118391.36</v>
      </c>
      <c r="C3406" s="31" t="n"/>
      <c r="D3406" s="32" t="n"/>
      <c r="E3406" s="33" t="n">
        <v>0.06710000000000001</v>
      </c>
      <c r="F3406" t="inlineStr">
        <is>
          <t>Down</t>
        </is>
      </c>
      <c r="G3406" t="inlineStr">
        <is>
          <t>Down</t>
        </is>
      </c>
      <c r="H3406" t="inlineStr">
        <is>
          <t>ED_JD</t>
        </is>
      </c>
      <c r="I3406" t="inlineStr">
        <is>
          <t>2020-01</t>
        </is>
      </c>
      <c r="J3406" t="n">
        <v>1</v>
      </c>
      <c r="K3406" t="n">
        <v>1</v>
      </c>
      <c r="L3406" s="34">
        <f>IF($J3406=1,LN(B3407/B3406),"")</f>
        <v/>
      </c>
      <c r="M3406" s="34">
        <f>IF($K3406=1,INDEX(Mensal!$D$2:$D$245,MATCH($I3406,Mensal!$A$2:$A$245,0)),"")</f>
        <v/>
      </c>
      <c r="N3406" s="34">
        <f>IF($K3406=1,L3406-M3406,"")</f>
        <v/>
      </c>
      <c r="O3406" s="34" t="n">
        <v>0.00017089</v>
      </c>
      <c r="P3406" s="34">
        <f>IF($J3406=1,LN(1+O3406),"")</f>
        <v/>
      </c>
      <c r="Q3406" s="34">
        <f>IF($J3406=1,LN(R3407/R3406),"")</f>
        <v/>
      </c>
      <c r="R3406" s="32" t="n">
        <v>4.1889</v>
      </c>
      <c r="S3406" s="35" t="n">
        <v>4.366</v>
      </c>
      <c r="T3406" s="18" t="n"/>
      <c r="U3406" s="18" t="n"/>
      <c r="V3406" s="18" t="n">
        <v>118391.36</v>
      </c>
      <c r="W3406" s="18" t="n"/>
      <c r="X3406" s="35" t="n"/>
      <c r="Y3406" s="35" t="n">
        <v>4.366</v>
      </c>
    </row>
    <row r="3407">
      <c r="A3407" s="25" t="n">
        <v>43853</v>
      </c>
      <c r="B3407" s="18" t="n">
        <v>119527.63</v>
      </c>
      <c r="C3407" s="31" t="n"/>
      <c r="D3407" s="32" t="n"/>
      <c r="E3407" s="33" t="n">
        <v>0.0615</v>
      </c>
      <c r="F3407" t="inlineStr">
        <is>
          <t>Down</t>
        </is>
      </c>
      <c r="G3407" t="inlineStr">
        <is>
          <t>Down</t>
        </is>
      </c>
      <c r="H3407" t="inlineStr">
        <is>
          <t>ED_JD</t>
        </is>
      </c>
      <c r="I3407" t="inlineStr">
        <is>
          <t>2020-01</t>
        </is>
      </c>
      <c r="J3407" t="n">
        <v>1</v>
      </c>
      <c r="K3407" t="n">
        <v>1</v>
      </c>
      <c r="L3407" s="34">
        <f>IF($J3407=1,LN(B3408/B3407),"")</f>
        <v/>
      </c>
      <c r="M3407" s="34">
        <f>IF($K3407=1,INDEX(Mensal!$D$2:$D$245,MATCH($I3407,Mensal!$A$2:$A$245,0)),"")</f>
        <v/>
      </c>
      <c r="N3407" s="34">
        <f>IF($K3407=1,L3407-M3407,"")</f>
        <v/>
      </c>
      <c r="O3407" s="34" t="n">
        <v>0.00017089</v>
      </c>
      <c r="P3407" s="34">
        <f>IF($J3407=1,LN(1+O3407),"")</f>
        <v/>
      </c>
      <c r="Q3407" s="34">
        <f>IF($J3407=1,LN(R3408/R3407),"")</f>
        <v/>
      </c>
      <c r="R3407" s="32" t="n">
        <v>4.1662</v>
      </c>
      <c r="S3407" s="35" t="n">
        <v>4.392</v>
      </c>
      <c r="T3407" s="18" t="n"/>
      <c r="U3407" s="18" t="n"/>
      <c r="V3407" s="18" t="n">
        <v>119527.63</v>
      </c>
      <c r="W3407" s="18" t="n"/>
      <c r="X3407" s="35" t="n"/>
      <c r="Y3407" s="35" t="n">
        <v>4.392</v>
      </c>
    </row>
    <row r="3408">
      <c r="A3408" s="25" t="n">
        <v>43854</v>
      </c>
      <c r="B3408" s="18" t="n">
        <v>118376.36</v>
      </c>
      <c r="C3408" s="31" t="n"/>
      <c r="D3408" s="32" t="n"/>
      <c r="E3408" s="33" t="n">
        <v>0.0451</v>
      </c>
      <c r="F3408" t="inlineStr">
        <is>
          <t>Down</t>
        </is>
      </c>
      <c r="G3408" t="inlineStr">
        <is>
          <t>Down</t>
        </is>
      </c>
      <c r="H3408" t="inlineStr">
        <is>
          <t>ED_JD</t>
        </is>
      </c>
      <c r="I3408" t="inlineStr">
        <is>
          <t>2020-01</t>
        </is>
      </c>
      <c r="J3408" t="n">
        <v>1</v>
      </c>
      <c r="K3408" t="n">
        <v>1</v>
      </c>
      <c r="L3408" s="34">
        <f>IF($J3408=1,LN(B3409/B3408),"")</f>
        <v/>
      </c>
      <c r="M3408" s="34">
        <f>IF($K3408=1,INDEX(Mensal!$D$2:$D$245,MATCH($I3408,Mensal!$A$2:$A$245,0)),"")</f>
        <v/>
      </c>
      <c r="N3408" s="34">
        <f>IF($K3408=1,L3408-M3408,"")</f>
        <v/>
      </c>
      <c r="O3408" s="34" t="n">
        <v>0.00017089</v>
      </c>
      <c r="P3408" s="34">
        <f>IF($J3408=1,LN(1+O3408),"")</f>
        <v/>
      </c>
      <c r="Q3408" s="34">
        <f>IF($J3408=1,LN(R3409/R3408),"")</f>
        <v/>
      </c>
      <c r="R3408" s="32" t="n">
        <v>4.1769</v>
      </c>
      <c r="S3408" s="35" t="n">
        <v>4.378</v>
      </c>
      <c r="T3408" s="18" t="n"/>
      <c r="U3408" s="18" t="n"/>
      <c r="V3408" s="18" t="n">
        <v>118376.36</v>
      </c>
      <c r="W3408" s="18" t="n"/>
      <c r="X3408" s="35" t="n"/>
      <c r="Y3408" s="35" t="n">
        <v>4.378</v>
      </c>
    </row>
    <row r="3409">
      <c r="A3409" s="25" t="n">
        <v>43857</v>
      </c>
      <c r="B3409" s="18" t="n">
        <v>114481.84</v>
      </c>
      <c r="C3409" s="31" t="n"/>
      <c r="D3409" s="32" t="n"/>
      <c r="E3409" s="33" t="n">
        <v>0.0183</v>
      </c>
      <c r="F3409" t="inlineStr">
        <is>
          <t>Down</t>
        </is>
      </c>
      <c r="G3409" t="inlineStr">
        <is>
          <t>Down</t>
        </is>
      </c>
      <c r="H3409" t="inlineStr">
        <is>
          <t>ED_JD</t>
        </is>
      </c>
      <c r="I3409" t="inlineStr">
        <is>
          <t>2020-01</t>
        </is>
      </c>
      <c r="J3409" t="n">
        <v>1</v>
      </c>
      <c r="K3409" t="n">
        <v>1</v>
      </c>
      <c r="L3409" s="34">
        <f>IF($J3409=1,LN(B3410/B3409),"")</f>
        <v/>
      </c>
      <c r="M3409" s="34">
        <f>IF($K3409=1,INDEX(Mensal!$D$2:$D$245,MATCH($I3409,Mensal!$A$2:$A$245,0)),"")</f>
        <v/>
      </c>
      <c r="N3409" s="34">
        <f>IF($K3409=1,L3409-M3409,"")</f>
        <v/>
      </c>
      <c r="O3409" s="34" t="n">
        <v>0.00017089</v>
      </c>
      <c r="P3409" s="34">
        <f>IF($J3409=1,LN(1+O3409),"")</f>
        <v/>
      </c>
      <c r="Q3409" s="34">
        <f>IF($J3409=1,LN(R3410/R3409),"")</f>
        <v/>
      </c>
      <c r="R3409" s="32" t="n">
        <v>4.2196</v>
      </c>
      <c r="S3409" s="35" t="n">
        <v>4.351</v>
      </c>
      <c r="T3409" s="18" t="n"/>
      <c r="U3409" s="18" t="n"/>
      <c r="V3409" s="18" t="n">
        <v>114481.84</v>
      </c>
      <c r="W3409" s="18" t="n"/>
      <c r="X3409" s="35" t="n"/>
      <c r="Y3409" s="35" t="n">
        <v>4.351</v>
      </c>
    </row>
    <row r="3410">
      <c r="A3410" s="25" t="n">
        <v>43858</v>
      </c>
      <c r="B3410" s="18" t="n">
        <v>116478.98</v>
      </c>
      <c r="C3410" s="31" t="n"/>
      <c r="D3410" s="32" t="n"/>
      <c r="E3410" s="33" t="n">
        <v>-0.0077</v>
      </c>
      <c r="F3410" t="inlineStr">
        <is>
          <t>Down</t>
        </is>
      </c>
      <c r="G3410" t="inlineStr">
        <is>
          <t>Down</t>
        </is>
      </c>
      <c r="H3410" t="inlineStr">
        <is>
          <t>ED_JD</t>
        </is>
      </c>
      <c r="I3410" t="inlineStr">
        <is>
          <t>2020-01</t>
        </is>
      </c>
      <c r="J3410" t="n">
        <v>1</v>
      </c>
      <c r="K3410" t="n">
        <v>1</v>
      </c>
      <c r="L3410" s="34">
        <f>IF($J3410=1,LN(B3411/B3410),"")</f>
        <v/>
      </c>
      <c r="M3410" s="34">
        <f>IF($K3410=1,INDEX(Mensal!$D$2:$D$245,MATCH($I3410,Mensal!$A$2:$A$245,0)),"")</f>
        <v/>
      </c>
      <c r="N3410" s="34">
        <f>IF($K3410=1,L3410-M3410,"")</f>
        <v/>
      </c>
      <c r="O3410" s="34" t="n">
        <v>0.00017089</v>
      </c>
      <c r="P3410" s="34">
        <f>IF($J3410=1,LN(1+O3410),"")</f>
        <v/>
      </c>
      <c r="Q3410" s="34">
        <f>IF($J3410=1,LN(R3411/R3410),"")</f>
        <v/>
      </c>
      <c r="R3410" s="32" t="n">
        <v>4.2064</v>
      </c>
      <c r="S3410" s="35" t="n">
        <v>4.369</v>
      </c>
      <c r="T3410" s="18" t="n"/>
      <c r="U3410" s="18" t="n"/>
      <c r="V3410" s="18" t="n">
        <v>116478.98</v>
      </c>
      <c r="W3410" s="18" t="n"/>
      <c r="X3410" s="35" t="n"/>
      <c r="Y3410" s="35" t="n">
        <v>4.369</v>
      </c>
    </row>
    <row r="3411">
      <c r="A3411" s="25" t="n">
        <v>43859</v>
      </c>
      <c r="B3411" s="18" t="n">
        <v>115384.84</v>
      </c>
      <c r="C3411" s="31" t="n"/>
      <c r="D3411" s="32" t="n"/>
      <c r="E3411" s="33" t="n">
        <v>-0.038</v>
      </c>
      <c r="F3411" t="inlineStr">
        <is>
          <t>Down</t>
        </is>
      </c>
      <c r="G3411" t="inlineStr">
        <is>
          <t>Down</t>
        </is>
      </c>
      <c r="H3411" t="inlineStr">
        <is>
          <t>ED_JD</t>
        </is>
      </c>
      <c r="I3411" t="inlineStr">
        <is>
          <t>2020-01</t>
        </is>
      </c>
      <c r="J3411" t="n">
        <v>1</v>
      </c>
      <c r="K3411" t="n">
        <v>1</v>
      </c>
      <c r="L3411" s="34">
        <f>IF($J3411=1,LN(B3412/B3411),"")</f>
        <v/>
      </c>
      <c r="M3411" s="34">
        <f>IF($K3411=1,INDEX(Mensal!$D$2:$D$245,MATCH($I3411,Mensal!$A$2:$A$245,0)),"")</f>
        <v/>
      </c>
      <c r="N3411" s="34">
        <f>IF($K3411=1,L3411-M3411,"")</f>
        <v/>
      </c>
      <c r="O3411" s="34" t="n">
        <v>0.00017089</v>
      </c>
      <c r="P3411" s="34">
        <f>IF($J3411=1,LN(1+O3411),"")</f>
        <v/>
      </c>
      <c r="Q3411" s="34">
        <f>IF($J3411=1,LN(R3412/R3411),"")</f>
        <v/>
      </c>
      <c r="R3411" s="32" t="n">
        <v>4.2013</v>
      </c>
      <c r="S3411" s="35" t="n">
        <v>4.378</v>
      </c>
      <c r="T3411" s="18" t="n"/>
      <c r="U3411" s="18" t="n"/>
      <c r="V3411" s="18" t="n">
        <v>115384.84</v>
      </c>
      <c r="W3411" s="18" t="n"/>
      <c r="X3411" s="35" t="n"/>
      <c r="Y3411" s="35" t="n">
        <v>4.378</v>
      </c>
    </row>
    <row r="3412">
      <c r="A3412" s="25" t="n">
        <v>43860</v>
      </c>
      <c r="B3412" s="18" t="n">
        <v>115528.04</v>
      </c>
      <c r="C3412" s="31" t="n"/>
      <c r="D3412" s="32" t="n"/>
      <c r="E3412" s="33" t="n">
        <v>-0.0556</v>
      </c>
      <c r="F3412" t="inlineStr">
        <is>
          <t>Down</t>
        </is>
      </c>
      <c r="G3412" t="inlineStr">
        <is>
          <t>Down</t>
        </is>
      </c>
      <c r="H3412" t="inlineStr">
        <is>
          <t>ED_JD</t>
        </is>
      </c>
      <c r="I3412" t="inlineStr">
        <is>
          <t>2020-01</t>
        </is>
      </c>
      <c r="J3412" t="n">
        <v>1</v>
      </c>
      <c r="K3412" t="n">
        <v>1</v>
      </c>
      <c r="L3412" s="34">
        <f>IF($J3412=1,LN(B3413/B3412),"")</f>
        <v/>
      </c>
      <c r="M3412" s="34">
        <f>IF($K3412=1,INDEX(Mensal!$D$2:$D$245,MATCH($I3412,Mensal!$A$2:$A$245,0)),"")</f>
        <v/>
      </c>
      <c r="N3412" s="34">
        <f>IF($K3412=1,L3412-M3412,"")</f>
        <v/>
      </c>
      <c r="O3412" s="34" t="n">
        <v>0.00017089</v>
      </c>
      <c r="P3412" s="34">
        <f>IF($J3412=1,LN(1+O3412),"")</f>
        <v/>
      </c>
      <c r="Q3412" s="34">
        <f>IF($J3412=1,LN(R3413/R3412),"")</f>
        <v/>
      </c>
      <c r="R3412" s="32" t="n">
        <v>4.2523</v>
      </c>
      <c r="S3412" s="35" t="n">
        <v>4.395</v>
      </c>
      <c r="T3412" s="18" t="n"/>
      <c r="U3412" s="18" t="n"/>
      <c r="V3412" s="18" t="n">
        <v>115528.04</v>
      </c>
      <c r="W3412" s="18" t="n"/>
      <c r="X3412" s="35" t="n"/>
      <c r="Y3412" s="35" t="n">
        <v>4.395</v>
      </c>
    </row>
    <row r="3413">
      <c r="A3413" s="25" t="n">
        <v>43861</v>
      </c>
      <c r="B3413" s="18" t="n">
        <v>113760.57</v>
      </c>
      <c r="C3413" s="31" t="n"/>
      <c r="D3413" s="32" t="n"/>
      <c r="E3413" s="33" t="n">
        <v>-0.0743</v>
      </c>
      <c r="F3413" t="inlineStr">
        <is>
          <t>Down</t>
        </is>
      </c>
      <c r="G3413" t="inlineStr">
        <is>
          <t>Down</t>
        </is>
      </c>
      <c r="H3413" t="inlineStr">
        <is>
          <t>ED_JD</t>
        </is>
      </c>
      <c r="I3413" t="inlineStr">
        <is>
          <t>2020-01</t>
        </is>
      </c>
      <c r="J3413" t="n">
        <v>1</v>
      </c>
      <c r="K3413" t="n">
        <v>1</v>
      </c>
      <c r="L3413" s="34">
        <f>IF($J3413=1,LN(B3414/B3413),"")</f>
        <v/>
      </c>
      <c r="M3413" s="34">
        <f>IF($K3413=1,INDEX(Mensal!$D$2:$D$245,MATCH($I3413,Mensal!$A$2:$A$245,0)),"")</f>
        <v/>
      </c>
      <c r="N3413" s="34">
        <f>IF($K3413=1,L3413-M3413,"")</f>
        <v/>
      </c>
      <c r="O3413" s="34" t="n">
        <v>0.00017089</v>
      </c>
      <c r="P3413" s="34">
        <f>IF($J3413=1,LN(1+O3413),"")</f>
        <v/>
      </c>
      <c r="Q3413" s="34">
        <f>IF($J3413=1,LN(R3414/R3413),"")</f>
        <v/>
      </c>
      <c r="R3413" s="32" t="n">
        <v>4.2695</v>
      </c>
      <c r="S3413" s="35" t="n">
        <v>4.411</v>
      </c>
      <c r="T3413" s="18" t="n"/>
      <c r="U3413" s="18" t="n"/>
      <c r="V3413" s="18" t="n">
        <v>113760.57</v>
      </c>
      <c r="W3413" s="18" t="n"/>
      <c r="X3413" s="35" t="n"/>
      <c r="Y3413" s="35" t="n">
        <v>4.411</v>
      </c>
    </row>
    <row r="3414">
      <c r="A3414" s="25" t="n">
        <v>43864</v>
      </c>
      <c r="B3414" s="18" t="n">
        <v>114629.21</v>
      </c>
      <c r="C3414" s="31" t="n"/>
      <c r="D3414" s="32" t="n"/>
      <c r="E3414" s="33" t="n">
        <v>-0.093</v>
      </c>
      <c r="F3414" t="inlineStr">
        <is>
          <t>Down</t>
        </is>
      </c>
      <c r="G3414" t="inlineStr">
        <is>
          <t>Down</t>
        </is>
      </c>
      <c r="H3414" t="inlineStr">
        <is>
          <t>ED_JD</t>
        </is>
      </c>
      <c r="I3414" t="inlineStr">
        <is>
          <t>2020-02</t>
        </is>
      </c>
      <c r="J3414" t="n">
        <v>1</v>
      </c>
      <c r="K3414" t="n">
        <v>1</v>
      </c>
      <c r="L3414" s="34">
        <f>IF($J3414=1,LN(B3415/B3414),"")</f>
        <v/>
      </c>
      <c r="M3414" s="34">
        <f>IF($K3414=1,INDEX(Mensal!$D$2:$D$245,MATCH($I3414,Mensal!$A$2:$A$245,0)),"")</f>
        <v/>
      </c>
      <c r="N3414" s="34">
        <f>IF($K3414=1,L3414-M3414,"")</f>
        <v/>
      </c>
      <c r="O3414" s="34" t="n">
        <v>0.00017089</v>
      </c>
      <c r="P3414" s="34">
        <f>IF($J3414=1,LN(1+O3414),"")</f>
        <v/>
      </c>
      <c r="Q3414" s="34">
        <f>IF($J3414=1,LN(R3415/R3414),"")</f>
        <v/>
      </c>
      <c r="R3414" s="32" t="n">
        <v>4.2475</v>
      </c>
      <c r="S3414" s="35" t="n">
        <v>4.369</v>
      </c>
      <c r="T3414" s="18" t="n"/>
      <c r="U3414" s="18" t="n"/>
      <c r="V3414" s="18" t="n">
        <v>114629.21</v>
      </c>
      <c r="W3414" s="18" t="n"/>
      <c r="X3414" s="35" t="n"/>
      <c r="Y3414" s="35" t="n">
        <v>4.369</v>
      </c>
    </row>
    <row r="3415">
      <c r="A3415" s="25" t="n">
        <v>43865</v>
      </c>
      <c r="B3415" s="18" t="n">
        <v>115556.71</v>
      </c>
      <c r="C3415" s="31" t="n"/>
      <c r="D3415" s="32" t="n"/>
      <c r="E3415" s="33" t="n">
        <v>-0.115</v>
      </c>
      <c r="F3415" t="inlineStr">
        <is>
          <t>Down</t>
        </is>
      </c>
      <c r="G3415" t="inlineStr">
        <is>
          <t>Down</t>
        </is>
      </c>
      <c r="H3415" t="inlineStr">
        <is>
          <t>ED_JD</t>
        </is>
      </c>
      <c r="I3415" t="inlineStr">
        <is>
          <t>2020-02</t>
        </is>
      </c>
      <c r="J3415" t="n">
        <v>1</v>
      </c>
      <c r="K3415" t="n">
        <v>1</v>
      </c>
      <c r="L3415" s="34">
        <f>IF($J3415=1,LN(B3416/B3415),"")</f>
        <v/>
      </c>
      <c r="M3415" s="34">
        <f>IF($K3415=1,INDEX(Mensal!$D$2:$D$245,MATCH($I3415,Mensal!$A$2:$A$245,0)),"")</f>
        <v/>
      </c>
      <c r="N3415" s="34">
        <f>IF($K3415=1,L3415-M3415,"")</f>
        <v/>
      </c>
      <c r="O3415" s="34" t="n">
        <v>0.00017089</v>
      </c>
      <c r="P3415" s="34">
        <f>IF($J3415=1,LN(1+O3415),"")</f>
        <v/>
      </c>
      <c r="Q3415" s="34">
        <f>IF($J3415=1,LN(R3416/R3415),"")</f>
        <v/>
      </c>
      <c r="R3415" s="32" t="n">
        <v>4.2381</v>
      </c>
      <c r="S3415" s="35" t="n">
        <v>4.341</v>
      </c>
      <c r="T3415" s="18" t="n"/>
      <c r="U3415" s="18" t="n"/>
      <c r="V3415" s="18" t="n">
        <v>115556.71</v>
      </c>
      <c r="W3415" s="18" t="n"/>
      <c r="X3415" s="35" t="n"/>
      <c r="Y3415" s="35" t="n">
        <v>4.341</v>
      </c>
    </row>
    <row r="3416">
      <c r="A3416" s="25" t="n">
        <v>43866</v>
      </c>
      <c r="B3416" s="18" t="n">
        <v>116028.27</v>
      </c>
      <c r="C3416" s="31" t="n"/>
      <c r="D3416" s="32" t="n"/>
      <c r="E3416" s="33" t="n">
        <v>-0.1386</v>
      </c>
      <c r="F3416" t="inlineStr">
        <is>
          <t>Down</t>
        </is>
      </c>
      <c r="G3416" t="inlineStr">
        <is>
          <t>Down</t>
        </is>
      </c>
      <c r="H3416" t="inlineStr">
        <is>
          <t>ED_JD</t>
        </is>
      </c>
      <c r="I3416" t="inlineStr">
        <is>
          <t>2020-02</t>
        </is>
      </c>
      <c r="J3416" t="n">
        <v>1</v>
      </c>
      <c r="K3416" t="n">
        <v>1</v>
      </c>
      <c r="L3416" s="34">
        <f>IF($J3416=1,LN(B3417/B3416),"")</f>
        <v/>
      </c>
      <c r="M3416" s="34">
        <f>IF($K3416=1,INDEX(Mensal!$D$2:$D$245,MATCH($I3416,Mensal!$A$2:$A$245,0)),"")</f>
        <v/>
      </c>
      <c r="N3416" s="34">
        <f>IF($K3416=1,L3416-M3416,"")</f>
        <v/>
      </c>
      <c r="O3416" s="34" t="n">
        <v>0.00017089</v>
      </c>
      <c r="P3416" s="34">
        <f>IF($J3416=1,LN(1+O3416),"")</f>
        <v/>
      </c>
      <c r="Q3416" s="34">
        <f>IF($J3416=1,LN(R3417/R3416),"")</f>
        <v/>
      </c>
      <c r="R3416" s="32" t="n">
        <v>4.2449</v>
      </c>
      <c r="S3416" s="35" t="n">
        <v>4.34</v>
      </c>
      <c r="T3416" s="18" t="n"/>
      <c r="U3416" s="18" t="n"/>
      <c r="V3416" s="18" t="n">
        <v>116028.27</v>
      </c>
      <c r="W3416" s="18" t="n"/>
      <c r="X3416" s="35" t="n"/>
      <c r="Y3416" s="35" t="n">
        <v>4.34</v>
      </c>
    </row>
    <row r="3417">
      <c r="A3417" s="25" t="n">
        <v>43867</v>
      </c>
      <c r="B3417" s="18" t="n">
        <v>115189.97</v>
      </c>
      <c r="C3417" s="31" t="n"/>
      <c r="D3417" s="32" t="n"/>
      <c r="E3417" s="33" t="n">
        <v>-0.157</v>
      </c>
      <c r="F3417" t="inlineStr">
        <is>
          <t>Down</t>
        </is>
      </c>
      <c r="G3417" t="inlineStr">
        <is>
          <t>Down</t>
        </is>
      </c>
      <c r="H3417" t="inlineStr">
        <is>
          <t>ED_JD</t>
        </is>
      </c>
      <c r="I3417" t="inlineStr">
        <is>
          <t>2020-02</t>
        </is>
      </c>
      <c r="J3417" t="n">
        <v>1</v>
      </c>
      <c r="K3417" t="n">
        <v>1</v>
      </c>
      <c r="L3417" s="34">
        <f>IF($J3417=1,LN(B3418/B3417),"")</f>
        <v/>
      </c>
      <c r="M3417" s="34">
        <f>IF($K3417=1,INDEX(Mensal!$D$2:$D$245,MATCH($I3417,Mensal!$A$2:$A$245,0)),"")</f>
        <v/>
      </c>
      <c r="N3417" s="34">
        <f>IF($K3417=1,L3417-M3417,"")</f>
        <v/>
      </c>
      <c r="O3417" s="34" t="n">
        <v>0.00016137</v>
      </c>
      <c r="P3417" s="34">
        <f>IF($J3417=1,LN(1+O3417),"")</f>
        <v/>
      </c>
      <c r="Q3417" s="34">
        <f>IF($J3417=1,LN(R3418/R3417),"")</f>
        <v/>
      </c>
      <c r="R3417" s="32" t="n">
        <v>4.2477</v>
      </c>
      <c r="S3417" s="35" t="n">
        <v>4.386</v>
      </c>
      <c r="T3417" s="18" t="n"/>
      <c r="U3417" s="18" t="n"/>
      <c r="V3417" s="18" t="n">
        <v>115189.97</v>
      </c>
      <c r="W3417" s="18" t="n"/>
      <c r="X3417" s="35" t="n"/>
      <c r="Y3417" s="35" t="n">
        <v>4.386</v>
      </c>
    </row>
    <row r="3418">
      <c r="A3418" s="25" t="n">
        <v>43868</v>
      </c>
      <c r="B3418" s="18" t="n">
        <v>113770.29</v>
      </c>
      <c r="C3418" s="31" t="n"/>
      <c r="D3418" s="32" t="n"/>
      <c r="E3418" s="33" t="n">
        <v>-0.1689</v>
      </c>
      <c r="F3418" t="inlineStr">
        <is>
          <t>Down</t>
        </is>
      </c>
      <c r="G3418" t="inlineStr">
        <is>
          <t>Down</t>
        </is>
      </c>
      <c r="H3418" t="inlineStr">
        <is>
          <t>ED_JD</t>
        </is>
      </c>
      <c r="I3418" t="inlineStr">
        <is>
          <t>2020-02</t>
        </is>
      </c>
      <c r="J3418" t="n">
        <v>1</v>
      </c>
      <c r="K3418" t="n">
        <v>1</v>
      </c>
      <c r="L3418" s="34">
        <f>IF($J3418=1,LN(B3419/B3418),"")</f>
        <v/>
      </c>
      <c r="M3418" s="34">
        <f>IF($K3418=1,INDEX(Mensal!$D$2:$D$245,MATCH($I3418,Mensal!$A$2:$A$245,0)),"")</f>
        <v/>
      </c>
      <c r="N3418" s="34">
        <f>IF($K3418=1,L3418-M3418,"")</f>
        <v/>
      </c>
      <c r="O3418" s="34" t="n">
        <v>0.00016137</v>
      </c>
      <c r="P3418" s="34">
        <f>IF($J3418=1,LN(1+O3418),"")</f>
        <v/>
      </c>
      <c r="Q3418" s="34">
        <f>IF($J3418=1,LN(R3419/R3418),"")</f>
        <v/>
      </c>
      <c r="R3418" s="32" t="n">
        <v>4.3076</v>
      </c>
      <c r="S3418" s="35" t="n">
        <v>4.326</v>
      </c>
      <c r="T3418" s="18" t="n"/>
      <c r="U3418" s="18" t="n"/>
      <c r="V3418" s="18" t="n">
        <v>113770.29</v>
      </c>
      <c r="W3418" s="18" t="n"/>
      <c r="X3418" s="35" t="n"/>
      <c r="Y3418" s="35" t="n">
        <v>4.326</v>
      </c>
    </row>
    <row r="3419">
      <c r="A3419" s="25" t="n">
        <v>43871</v>
      </c>
      <c r="B3419" s="18" t="n">
        <v>112570.3</v>
      </c>
      <c r="C3419" s="31" t="n"/>
      <c r="D3419" s="32" t="n"/>
      <c r="E3419" s="33" t="n">
        <v>-0.1859</v>
      </c>
      <c r="F3419" t="inlineStr">
        <is>
          <t>Down</t>
        </is>
      </c>
      <c r="G3419" t="inlineStr">
        <is>
          <t>Down</t>
        </is>
      </c>
      <c r="H3419" t="inlineStr">
        <is>
          <t>ED_JD</t>
        </is>
      </c>
      <c r="I3419" t="inlineStr">
        <is>
          <t>2020-02</t>
        </is>
      </c>
      <c r="J3419" t="n">
        <v>1</v>
      </c>
      <c r="K3419" t="n">
        <v>1</v>
      </c>
      <c r="L3419" s="34">
        <f>IF($J3419=1,LN(B3420/B3419),"")</f>
        <v/>
      </c>
      <c r="M3419" s="34">
        <f>IF($K3419=1,INDEX(Mensal!$D$2:$D$245,MATCH($I3419,Mensal!$A$2:$A$245,0)),"")</f>
        <v/>
      </c>
      <c r="N3419" s="34">
        <f>IF($K3419=1,L3419-M3419,"")</f>
        <v/>
      </c>
      <c r="O3419" s="34" t="n">
        <v>0.00016137</v>
      </c>
      <c r="P3419" s="34">
        <f>IF($J3419=1,LN(1+O3419),"")</f>
        <v/>
      </c>
      <c r="Q3419" s="34">
        <f>IF($J3419=1,LN(R3420/R3419),"")</f>
        <v/>
      </c>
      <c r="R3419" s="32" t="n">
        <v>4.3195</v>
      </c>
      <c r="S3419" s="35" t="n">
        <v>4.313</v>
      </c>
      <c r="T3419" s="18" t="n"/>
      <c r="U3419" s="18" t="n"/>
      <c r="V3419" s="18" t="n">
        <v>112570.3</v>
      </c>
      <c r="W3419" s="18" t="n"/>
      <c r="X3419" s="35" t="n"/>
      <c r="Y3419" s="35" t="n">
        <v>4.313</v>
      </c>
    </row>
    <row r="3420">
      <c r="A3420" s="25" t="n">
        <v>43872</v>
      </c>
      <c r="B3420" s="18" t="n">
        <v>115370.61</v>
      </c>
      <c r="C3420" s="31" t="n"/>
      <c r="D3420" s="32" t="n"/>
      <c r="E3420" s="33" t="n">
        <v>-0.1986</v>
      </c>
      <c r="F3420" t="inlineStr">
        <is>
          <t>Down</t>
        </is>
      </c>
      <c r="G3420" t="inlineStr">
        <is>
          <t>Down</t>
        </is>
      </c>
      <c r="H3420" t="inlineStr">
        <is>
          <t>ED_JD</t>
        </is>
      </c>
      <c r="I3420" t="inlineStr">
        <is>
          <t>2020-02</t>
        </is>
      </c>
      <c r="J3420" t="n">
        <v>1</v>
      </c>
      <c r="K3420" t="n">
        <v>1</v>
      </c>
      <c r="L3420" s="34">
        <f>IF($J3420=1,LN(B3421/B3420),"")</f>
        <v/>
      </c>
      <c r="M3420" s="34">
        <f>IF($K3420=1,INDEX(Mensal!$D$2:$D$245,MATCH($I3420,Mensal!$A$2:$A$245,0)),"")</f>
        <v/>
      </c>
      <c r="N3420" s="34">
        <f>IF($K3420=1,L3420-M3420,"")</f>
        <v/>
      </c>
      <c r="O3420" s="34" t="n">
        <v>0.00016137</v>
      </c>
      <c r="P3420" s="34">
        <f>IF($J3420=1,LN(1+O3420),"")</f>
        <v/>
      </c>
      <c r="Q3420" s="34">
        <f>IF($J3420=1,LN(R3421/R3420),"")</f>
        <v/>
      </c>
      <c r="R3420" s="32" t="n">
        <v>4.3148</v>
      </c>
      <c r="S3420" s="35" t="n">
        <v>4.278</v>
      </c>
      <c r="T3420" s="18" t="n"/>
      <c r="U3420" s="18" t="n"/>
      <c r="V3420" s="18" t="n">
        <v>115370.61</v>
      </c>
      <c r="W3420" s="18" t="n"/>
      <c r="X3420" s="35" t="n"/>
      <c r="Y3420" s="35" t="n">
        <v>4.278</v>
      </c>
    </row>
    <row r="3421">
      <c r="A3421" s="25" t="n">
        <v>43873</v>
      </c>
      <c r="B3421" s="18" t="n">
        <v>116674.13</v>
      </c>
      <c r="C3421" s="31" t="n"/>
      <c r="D3421" s="32" t="n"/>
      <c r="E3421" s="33" t="n">
        <v>-0.2067</v>
      </c>
      <c r="F3421" t="inlineStr">
        <is>
          <t>Down</t>
        </is>
      </c>
      <c r="G3421" t="inlineStr">
        <is>
          <t>Down</t>
        </is>
      </c>
      <c r="H3421" t="inlineStr">
        <is>
          <t>ED_JD</t>
        </is>
      </c>
      <c r="I3421" t="inlineStr">
        <is>
          <t>2020-02</t>
        </is>
      </c>
      <c r="J3421" t="n">
        <v>1</v>
      </c>
      <c r="K3421" t="n">
        <v>1</v>
      </c>
      <c r="L3421" s="34">
        <f>IF($J3421=1,LN(B3422/B3421),"")</f>
        <v/>
      </c>
      <c r="M3421" s="34">
        <f>IF($K3421=1,INDEX(Mensal!$D$2:$D$245,MATCH($I3421,Mensal!$A$2:$A$245,0)),"")</f>
        <v/>
      </c>
      <c r="N3421" s="34">
        <f>IF($K3421=1,L3421-M3421,"")</f>
        <v/>
      </c>
      <c r="O3421" s="34" t="n">
        <v>0.00016137</v>
      </c>
      <c r="P3421" s="34">
        <f>IF($J3421=1,LN(1+O3421),"")</f>
        <v/>
      </c>
      <c r="Q3421" s="34">
        <f>IF($J3421=1,LN(R3422/R3421),"")</f>
        <v/>
      </c>
      <c r="R3421" s="32" t="n">
        <v>4.3366</v>
      </c>
      <c r="S3421" s="35" t="n">
        <v>4.264</v>
      </c>
      <c r="T3421" s="18" t="n"/>
      <c r="U3421" s="18" t="n"/>
      <c r="V3421" s="18" t="n">
        <v>116674.13</v>
      </c>
      <c r="W3421" s="18" t="n"/>
      <c r="X3421" s="35" t="n"/>
      <c r="Y3421" s="35" t="n">
        <v>4.264</v>
      </c>
    </row>
    <row r="3422">
      <c r="A3422" s="25" t="n">
        <v>43874</v>
      </c>
      <c r="B3422" s="18" t="n">
        <v>115662.4</v>
      </c>
      <c r="C3422" s="31" t="n"/>
      <c r="D3422" s="32" t="n"/>
      <c r="E3422" s="33" t="n">
        <v>-0.214</v>
      </c>
      <c r="F3422" t="inlineStr">
        <is>
          <t>Down</t>
        </is>
      </c>
      <c r="G3422" t="inlineStr">
        <is>
          <t>Down</t>
        </is>
      </c>
      <c r="H3422" t="inlineStr">
        <is>
          <t>ED_JD</t>
        </is>
      </c>
      <c r="I3422" t="inlineStr">
        <is>
          <t>2020-02</t>
        </is>
      </c>
      <c r="J3422" t="n">
        <v>1</v>
      </c>
      <c r="K3422" t="n">
        <v>1</v>
      </c>
      <c r="L3422" s="34">
        <f>IF($J3422=1,LN(B3423/B3422),"")</f>
        <v/>
      </c>
      <c r="M3422" s="34">
        <f>IF($K3422=1,INDEX(Mensal!$D$2:$D$245,MATCH($I3422,Mensal!$A$2:$A$245,0)),"")</f>
        <v/>
      </c>
      <c r="N3422" s="34">
        <f>IF($K3422=1,L3422-M3422,"")</f>
        <v/>
      </c>
      <c r="O3422" s="34" t="n">
        <v>0.00016137</v>
      </c>
      <c r="P3422" s="34">
        <f>IF($J3422=1,LN(1+O3422),"")</f>
        <v/>
      </c>
      <c r="Q3422" s="34">
        <f>IF($J3422=1,LN(R3423/R3422),"")</f>
        <v/>
      </c>
      <c r="R3422" s="32" t="n">
        <v>4.3389</v>
      </c>
      <c r="S3422" s="35" t="n">
        <v>4.301</v>
      </c>
      <c r="T3422" s="18" t="n"/>
      <c r="U3422" s="18" t="n"/>
      <c r="V3422" s="18" t="n">
        <v>115662.4</v>
      </c>
      <c r="W3422" s="18" t="n"/>
      <c r="X3422" s="35" t="n"/>
      <c r="Y3422" s="35" t="n">
        <v>4.301</v>
      </c>
    </row>
    <row r="3423">
      <c r="A3423" s="25" t="n">
        <v>43875</v>
      </c>
      <c r="B3423" s="18" t="n">
        <v>114380.71</v>
      </c>
      <c r="C3423" s="31" t="n"/>
      <c r="D3423" s="32" t="n"/>
      <c r="E3423" s="33" t="n">
        <v>-0.2209</v>
      </c>
      <c r="F3423" t="inlineStr">
        <is>
          <t>Down</t>
        </is>
      </c>
      <c r="G3423" t="inlineStr">
        <is>
          <t>Down</t>
        </is>
      </c>
      <c r="H3423" t="inlineStr">
        <is>
          <t>ED_JD</t>
        </is>
      </c>
      <c r="I3423" t="inlineStr">
        <is>
          <t>2020-02</t>
        </is>
      </c>
      <c r="J3423" t="n">
        <v>1</v>
      </c>
      <c r="K3423" t="n">
        <v>1</v>
      </c>
      <c r="L3423" s="34">
        <f>IF($J3423=1,LN(B3424/B3423),"")</f>
        <v/>
      </c>
      <c r="M3423" s="34">
        <f>IF($K3423=1,INDEX(Mensal!$D$2:$D$245,MATCH($I3423,Mensal!$A$2:$A$245,0)),"")</f>
        <v/>
      </c>
      <c r="N3423" s="34">
        <f>IF($K3423=1,L3423-M3423,"")</f>
        <v/>
      </c>
      <c r="O3423" s="34" t="n">
        <v>0.00016137</v>
      </c>
      <c r="P3423" s="34">
        <f>IF($J3423=1,LN(1+O3423),"")</f>
        <v/>
      </c>
      <c r="Q3423" s="34">
        <f>IF($J3423=1,LN(R3424/R3423),"")</f>
        <v/>
      </c>
      <c r="R3423" s="32" t="n">
        <v>4.3163</v>
      </c>
      <c r="S3423" s="35" t="n">
        <v>4.267</v>
      </c>
      <c r="T3423" s="18" t="n"/>
      <c r="U3423" s="18" t="n"/>
      <c r="V3423" s="18" t="n">
        <v>114380.71</v>
      </c>
      <c r="W3423" s="18" t="n"/>
      <c r="X3423" s="35" t="n"/>
      <c r="Y3423" s="35" t="n">
        <v>4.267</v>
      </c>
    </row>
    <row r="3424">
      <c r="A3424" s="25" t="n">
        <v>43878</v>
      </c>
      <c r="B3424" s="18" t="n">
        <v>115309.08</v>
      </c>
      <c r="C3424" s="31" t="n"/>
      <c r="D3424" s="32" t="n"/>
      <c r="E3424" s="33" t="n">
        <v>-0.2232</v>
      </c>
      <c r="F3424" t="inlineStr">
        <is>
          <t>Down</t>
        </is>
      </c>
      <c r="G3424" t="inlineStr">
        <is>
          <t>Down</t>
        </is>
      </c>
      <c r="H3424" t="inlineStr">
        <is>
          <t>ED_JD</t>
        </is>
      </c>
      <c r="I3424" t="inlineStr">
        <is>
          <t>2020-02</t>
        </is>
      </c>
      <c r="J3424" t="n">
        <v>1</v>
      </c>
      <c r="K3424" t="n">
        <v>1</v>
      </c>
      <c r="L3424" s="34">
        <f>IF($J3424=1,LN(B3425/B3424),"")</f>
        <v/>
      </c>
      <c r="M3424" s="34">
        <f>IF($K3424=1,INDEX(Mensal!$D$2:$D$245,MATCH($I3424,Mensal!$A$2:$A$245,0)),"")</f>
        <v/>
      </c>
      <c r="N3424" s="34">
        <f>IF($K3424=1,L3424-M3424,"")</f>
        <v/>
      </c>
      <c r="O3424" s="34" t="n">
        <v>0.00016137</v>
      </c>
      <c r="P3424" s="34">
        <f>IF($J3424=1,LN(1+O3424),"")</f>
        <v/>
      </c>
      <c r="Q3424" s="34">
        <f>IF($J3424=1,LN(R3425/R3424),"")</f>
        <v/>
      </c>
      <c r="R3424" s="32" t="n">
        <v>4.3157</v>
      </c>
      <c r="S3424" s="35" t="n">
        <v>4.273</v>
      </c>
      <c r="T3424" s="18" t="n"/>
      <c r="U3424" s="18" t="n"/>
      <c r="V3424" s="18" t="n">
        <v>115309.08</v>
      </c>
      <c r="W3424" s="18" t="n"/>
      <c r="X3424" s="35" t="n"/>
      <c r="Y3424" s="35" t="n">
        <v>4.273</v>
      </c>
    </row>
    <row r="3425">
      <c r="A3425" s="25" t="n">
        <v>43879</v>
      </c>
      <c r="B3425" s="18" t="n">
        <v>114977.29</v>
      </c>
      <c r="C3425" s="31" t="n"/>
      <c r="D3425" s="32" t="n"/>
      <c r="E3425" s="33" t="n">
        <v>-0.2251</v>
      </c>
      <c r="F3425" t="inlineStr">
        <is>
          <t>Down</t>
        </is>
      </c>
      <c r="G3425" t="inlineStr">
        <is>
          <t>Down</t>
        </is>
      </c>
      <c r="H3425" t="inlineStr">
        <is>
          <t>ED_JD</t>
        </is>
      </c>
      <c r="I3425" t="inlineStr">
        <is>
          <t>2020-02</t>
        </is>
      </c>
      <c r="J3425" t="n">
        <v>1</v>
      </c>
      <c r="K3425" t="n">
        <v>1</v>
      </c>
      <c r="L3425" s="34">
        <f>IF($J3425=1,LN(B3426/B3425),"")</f>
        <v/>
      </c>
      <c r="M3425" s="34">
        <f>IF($K3425=1,INDEX(Mensal!$D$2:$D$245,MATCH($I3425,Mensal!$A$2:$A$245,0)),"")</f>
        <v/>
      </c>
      <c r="N3425" s="34">
        <f>IF($K3425=1,L3425-M3425,"")</f>
        <v/>
      </c>
      <c r="O3425" s="34" t="n">
        <v>0.00016137</v>
      </c>
      <c r="P3425" s="34">
        <f>IF($J3425=1,LN(1+O3425),"")</f>
        <v/>
      </c>
      <c r="Q3425" s="34">
        <f>IF($J3425=1,LN(R3426/R3425),"")</f>
        <v/>
      </c>
      <c r="R3425" s="32" t="n">
        <v>4.3471</v>
      </c>
      <c r="S3425" s="35" t="n">
        <v>4.267</v>
      </c>
      <c r="T3425" s="18" t="n"/>
      <c r="U3425" s="18" t="n"/>
      <c r="V3425" s="18" t="n">
        <v>114977.29</v>
      </c>
      <c r="W3425" s="18" t="n"/>
      <c r="X3425" s="35" t="n"/>
      <c r="Y3425" s="35" t="n">
        <v>4.267</v>
      </c>
    </row>
    <row r="3426">
      <c r="A3426" s="25" t="n">
        <v>43880</v>
      </c>
      <c r="B3426" s="18" t="n">
        <v>116517.59</v>
      </c>
      <c r="C3426" s="31" t="n"/>
      <c r="D3426" s="32" t="n"/>
      <c r="E3426" s="33" t="n">
        <v>-0.2312</v>
      </c>
      <c r="F3426" t="inlineStr">
        <is>
          <t>Down</t>
        </is>
      </c>
      <c r="G3426" t="inlineStr">
        <is>
          <t>Down</t>
        </is>
      </c>
      <c r="H3426" t="inlineStr">
        <is>
          <t>ED_JD</t>
        </is>
      </c>
      <c r="I3426" t="inlineStr">
        <is>
          <t>2020-02</t>
        </is>
      </c>
      <c r="J3426" t="n">
        <v>1</v>
      </c>
      <c r="K3426" t="n">
        <v>1</v>
      </c>
      <c r="L3426" s="34">
        <f>IF($J3426=1,LN(B3427/B3426),"")</f>
        <v/>
      </c>
      <c r="M3426" s="34">
        <f>IF($K3426=1,INDEX(Mensal!$D$2:$D$245,MATCH($I3426,Mensal!$A$2:$A$245,0)),"")</f>
        <v/>
      </c>
      <c r="N3426" s="34">
        <f>IF($K3426=1,L3426-M3426,"")</f>
        <v/>
      </c>
      <c r="O3426" s="34" t="n">
        <v>0.00016137</v>
      </c>
      <c r="P3426" s="34">
        <f>IF($J3426=1,LN(1+O3426),"")</f>
        <v/>
      </c>
      <c r="Q3426" s="34">
        <f>IF($J3426=1,LN(R3427/R3426),"")</f>
        <v/>
      </c>
      <c r="R3426" s="32" t="n">
        <v>4.3728</v>
      </c>
      <c r="S3426" s="35" t="n">
        <v>4.233</v>
      </c>
      <c r="T3426" s="18" t="n"/>
      <c r="U3426" s="18" t="n"/>
      <c r="V3426" s="18" t="n">
        <v>116517.59</v>
      </c>
      <c r="W3426" s="18" t="n"/>
      <c r="X3426" s="35" t="n"/>
      <c r="Y3426" s="35" t="n">
        <v>4.233</v>
      </c>
    </row>
    <row r="3427">
      <c r="A3427" s="25" t="n">
        <v>43881</v>
      </c>
      <c r="B3427" s="18" t="n">
        <v>114586.24</v>
      </c>
      <c r="C3427" s="31" t="n"/>
      <c r="D3427" s="32" t="n"/>
      <c r="E3427" s="33" t="n">
        <v>-0.2308</v>
      </c>
      <c r="F3427" t="inlineStr">
        <is>
          <t>Down</t>
        </is>
      </c>
      <c r="G3427" t="inlineStr">
        <is>
          <t>Down</t>
        </is>
      </c>
      <c r="H3427" t="inlineStr">
        <is>
          <t>ED_JD</t>
        </is>
      </c>
      <c r="I3427" t="inlineStr">
        <is>
          <t>2020-02</t>
        </is>
      </c>
      <c r="J3427" t="n">
        <v>1</v>
      </c>
      <c r="K3427" t="n">
        <v>1</v>
      </c>
      <c r="L3427" s="34">
        <f>IF($J3427=1,LN(B3428/B3427),"")</f>
        <v/>
      </c>
      <c r="M3427" s="34">
        <f>IF($K3427=1,INDEX(Mensal!$D$2:$D$245,MATCH($I3427,Mensal!$A$2:$A$245,0)),"")</f>
        <v/>
      </c>
      <c r="N3427" s="34">
        <f>IF($K3427=1,L3427-M3427,"")</f>
        <v/>
      </c>
      <c r="O3427" s="34" t="n">
        <v>0.00016137</v>
      </c>
      <c r="P3427" s="34">
        <f>IF($J3427=1,LN(1+O3427),"")</f>
        <v/>
      </c>
      <c r="Q3427" s="34">
        <f>IF($J3427=1,LN(R3428/R3427),"")</f>
        <v/>
      </c>
      <c r="R3427" s="32" t="n">
        <v>4.3873</v>
      </c>
      <c r="S3427" s="35" t="n">
        <v>4.243</v>
      </c>
      <c r="T3427" s="18" t="n"/>
      <c r="U3427" s="18" t="n"/>
      <c r="V3427" s="18" t="n">
        <v>114586.24</v>
      </c>
      <c r="W3427" s="18" t="n"/>
      <c r="X3427" s="35" t="n"/>
      <c r="Y3427" s="35" t="n">
        <v>4.243</v>
      </c>
    </row>
    <row r="3428">
      <c r="A3428" s="25" t="n">
        <v>43882</v>
      </c>
      <c r="B3428" s="18" t="n">
        <v>113681.42</v>
      </c>
      <c r="C3428" s="31" t="n"/>
      <c r="D3428" s="32" t="n"/>
      <c r="E3428" s="33" t="n">
        <v>-0.2267</v>
      </c>
      <c r="F3428" t="inlineStr">
        <is>
          <t>Down</t>
        </is>
      </c>
      <c r="G3428" t="inlineStr">
        <is>
          <t>Down</t>
        </is>
      </c>
      <c r="H3428" t="inlineStr">
        <is>
          <t>ED_JD</t>
        </is>
      </c>
      <c r="I3428" t="inlineStr">
        <is>
          <t>2020-02</t>
        </is>
      </c>
      <c r="J3428" t="n">
        <v>1</v>
      </c>
      <c r="K3428" t="n">
        <v>1</v>
      </c>
      <c r="L3428" s="34">
        <f>IF($J3428=1,LN(B3429/B3428),"")</f>
        <v/>
      </c>
      <c r="M3428" s="34">
        <f>IF($K3428=1,INDEX(Mensal!$D$2:$D$245,MATCH($I3428,Mensal!$A$2:$A$245,0)),"")</f>
        <v/>
      </c>
      <c r="N3428" s="34">
        <f>IF($K3428=1,L3428-M3428,"")</f>
        <v/>
      </c>
      <c r="O3428" s="34" t="n">
        <v>0.00016137</v>
      </c>
      <c r="P3428" s="34">
        <f>IF($J3428=1,LN(1+O3428),"")</f>
        <v/>
      </c>
      <c r="Q3428" s="34">
        <f>IF($J3428=1,LN(R3429/R3428),"")</f>
        <v/>
      </c>
      <c r="R3428" s="32" t="n">
        <v>4.3924</v>
      </c>
      <c r="S3428" s="35" t="n">
        <v>4.238</v>
      </c>
      <c r="T3428" s="18" t="n"/>
      <c r="U3428" s="18" t="n"/>
      <c r="V3428" s="18" t="n">
        <v>113681.42</v>
      </c>
      <c r="W3428" s="18" t="n"/>
      <c r="X3428" s="35" t="n"/>
      <c r="Y3428" s="35" t="n">
        <v>4.238</v>
      </c>
    </row>
    <row r="3429">
      <c r="A3429" s="25" t="n">
        <v>43887</v>
      </c>
      <c r="B3429" s="18" t="n">
        <v>105718.29</v>
      </c>
      <c r="C3429" s="31" t="n"/>
      <c r="D3429" s="32" t="n"/>
      <c r="E3429" s="33" t="n">
        <v>-0.2243</v>
      </c>
      <c r="F3429" t="inlineStr">
        <is>
          <t>Down</t>
        </is>
      </c>
      <c r="G3429" t="inlineStr">
        <is>
          <t>Down</t>
        </is>
      </c>
      <c r="H3429" t="inlineStr">
        <is>
          <t>ED_JD</t>
        </is>
      </c>
      <c r="I3429" t="inlineStr">
        <is>
          <t>2020-02</t>
        </is>
      </c>
      <c r="J3429" t="n">
        <v>1</v>
      </c>
      <c r="K3429" t="n">
        <v>1</v>
      </c>
      <c r="L3429" s="34">
        <f>IF($J3429=1,LN(B3430/B3429),"")</f>
        <v/>
      </c>
      <c r="M3429" s="34">
        <f>IF($K3429=1,INDEX(Mensal!$D$2:$D$245,MATCH($I3429,Mensal!$A$2:$A$245,0)),"")</f>
        <v/>
      </c>
      <c r="N3429" s="34">
        <f>IF($K3429=1,L3429-M3429,"")</f>
        <v/>
      </c>
      <c r="O3429" s="34" t="n">
        <v>0.00016137</v>
      </c>
      <c r="P3429" s="34">
        <f>IF($J3429=1,LN(1+O3429),"")</f>
        <v/>
      </c>
      <c r="Q3429" s="34">
        <f>IF($J3429=1,LN(R3430/R3429),"")</f>
        <v/>
      </c>
      <c r="R3429" s="32" t="n">
        <v>4.4359</v>
      </c>
      <c r="S3429" s="35" t="n">
        <v>4.262</v>
      </c>
      <c r="T3429" s="18" t="n"/>
      <c r="U3429" s="18" t="n"/>
      <c r="V3429" s="18" t="n">
        <v>105718.29</v>
      </c>
      <c r="W3429" s="18" t="n"/>
      <c r="X3429" s="35" t="n"/>
      <c r="Y3429" s="35" t="n">
        <v>4.262</v>
      </c>
    </row>
    <row r="3430">
      <c r="A3430" s="25" t="n">
        <v>43888</v>
      </c>
      <c r="B3430" s="18" t="n">
        <v>102983.54</v>
      </c>
      <c r="C3430" s="31" t="n"/>
      <c r="D3430" s="32" t="n"/>
      <c r="E3430" s="33" t="n">
        <v>-0.2188</v>
      </c>
      <c r="F3430" t="inlineStr">
        <is>
          <t>Down</t>
        </is>
      </c>
      <c r="G3430" t="inlineStr">
        <is>
          <t>Down</t>
        </is>
      </c>
      <c r="H3430" t="inlineStr">
        <is>
          <t>ED_JD</t>
        </is>
      </c>
      <c r="I3430" t="inlineStr">
        <is>
          <t>2020-02</t>
        </is>
      </c>
      <c r="J3430" t="n">
        <v>1</v>
      </c>
      <c r="K3430" t="n">
        <v>1</v>
      </c>
      <c r="L3430" s="34">
        <f>IF($J3430=1,LN(B3431/B3430),"")</f>
        <v/>
      </c>
      <c r="M3430" s="34">
        <f>IF($K3430=1,INDEX(Mensal!$D$2:$D$245,MATCH($I3430,Mensal!$A$2:$A$245,0)),"")</f>
        <v/>
      </c>
      <c r="N3430" s="34">
        <f>IF($K3430=1,L3430-M3430,"")</f>
        <v/>
      </c>
      <c r="O3430" s="34" t="n">
        <v>0.00016137</v>
      </c>
      <c r="P3430" s="34">
        <f>IF($J3430=1,LN(1+O3430),"")</f>
        <v/>
      </c>
      <c r="Q3430" s="34">
        <f>IF($J3430=1,LN(R3431/R3430),"")</f>
        <v/>
      </c>
      <c r="R3430" s="32" t="n">
        <v>4.4764</v>
      </c>
      <c r="S3430" s="35" t="n">
        <v>4.208</v>
      </c>
      <c r="T3430" s="18" t="n"/>
      <c r="U3430" s="18" t="n"/>
      <c r="V3430" s="18" t="n">
        <v>102983.54</v>
      </c>
      <c r="W3430" s="18" t="n"/>
      <c r="X3430" s="35" t="n"/>
      <c r="Y3430" s="35" t="n">
        <v>4.208</v>
      </c>
    </row>
    <row r="3431">
      <c r="A3431" s="25" t="n">
        <v>43889</v>
      </c>
      <c r="B3431" s="18" t="n">
        <v>104171.57</v>
      </c>
      <c r="C3431" s="31" t="n"/>
      <c r="D3431" s="32" t="n"/>
      <c r="E3431" s="33" t="n">
        <v>-0.2151</v>
      </c>
      <c r="F3431" t="inlineStr">
        <is>
          <t>Down</t>
        </is>
      </c>
      <c r="G3431" t="inlineStr">
        <is>
          <t>Down</t>
        </is>
      </c>
      <c r="H3431" t="inlineStr">
        <is>
          <t>ED_JD</t>
        </is>
      </c>
      <c r="I3431" t="inlineStr">
        <is>
          <t>2020-02</t>
        </is>
      </c>
      <c r="J3431" t="n">
        <v>1</v>
      </c>
      <c r="K3431" t="n">
        <v>1</v>
      </c>
      <c r="L3431" s="34">
        <f>IF($J3431=1,LN(B3432/B3431),"")</f>
        <v/>
      </c>
      <c r="M3431" s="34">
        <f>IF($K3431=1,INDEX(Mensal!$D$2:$D$245,MATCH($I3431,Mensal!$A$2:$A$245,0)),"")</f>
        <v/>
      </c>
      <c r="N3431" s="34">
        <f>IF($K3431=1,L3431-M3431,"")</f>
        <v/>
      </c>
      <c r="O3431" s="34" t="n">
        <v>0.00016137</v>
      </c>
      <c r="P3431" s="34">
        <f>IF($J3431=1,LN(1+O3431),"")</f>
        <v/>
      </c>
      <c r="Q3431" s="34">
        <f>IF($J3431=1,LN(R3432/R3431),"")</f>
        <v/>
      </c>
      <c r="R3431" s="32" t="n">
        <v>4.4987</v>
      </c>
      <c r="S3431" s="35" t="n">
        <v>4.139</v>
      </c>
      <c r="T3431" s="18" t="n"/>
      <c r="U3431" s="18" t="n"/>
      <c r="V3431" s="18" t="n">
        <v>104171.57</v>
      </c>
      <c r="W3431" s="18" t="n"/>
      <c r="X3431" s="35" t="n"/>
      <c r="Y3431" s="35" t="n">
        <v>4.139</v>
      </c>
    </row>
    <row r="3432">
      <c r="A3432" s="25" t="n">
        <v>43892</v>
      </c>
      <c r="B3432" s="18" t="n">
        <v>106625.41</v>
      </c>
      <c r="C3432" s="31" t="n"/>
      <c r="D3432" s="32" t="n"/>
      <c r="E3432" s="33" t="n">
        <v>-0.2058</v>
      </c>
      <c r="F3432" t="inlineStr">
        <is>
          <t>Down</t>
        </is>
      </c>
      <c r="G3432" t="inlineStr">
        <is>
          <t>Down</t>
        </is>
      </c>
      <c r="H3432" t="inlineStr">
        <is>
          <t>ED_JD</t>
        </is>
      </c>
      <c r="I3432" t="inlineStr">
        <is>
          <t>2020-03</t>
        </is>
      </c>
      <c r="J3432" t="n">
        <v>1</v>
      </c>
      <c r="K3432" t="n">
        <v>1</v>
      </c>
      <c r="L3432" s="34">
        <f>IF($J3432=1,LN(B3433/B3432),"")</f>
        <v/>
      </c>
      <c r="M3432" s="34">
        <f>IF($K3432=1,INDEX(Mensal!$D$2:$D$245,MATCH($I3432,Mensal!$A$2:$A$245,0)),"")</f>
        <v/>
      </c>
      <c r="N3432" s="34">
        <f>IF($K3432=1,L3432-M3432,"")</f>
        <v/>
      </c>
      <c r="O3432" s="34" t="n">
        <v>0.00016137</v>
      </c>
      <c r="P3432" s="34">
        <f>IF($J3432=1,LN(1+O3432),"")</f>
        <v/>
      </c>
      <c r="Q3432" s="34">
        <f>IF($J3432=1,LN(R3433/R3432),"")</f>
        <v/>
      </c>
      <c r="R3432" s="32" t="n">
        <v>4.4946</v>
      </c>
      <c r="S3432" s="35" t="n">
        <v>3.998</v>
      </c>
      <c r="T3432" s="18" t="n"/>
      <c r="U3432" s="18" t="n"/>
      <c r="V3432" s="18" t="n">
        <v>106625.41</v>
      </c>
      <c r="W3432" s="18" t="n"/>
      <c r="X3432" s="35" t="n"/>
      <c r="Y3432" s="35" t="n">
        <v>3.998</v>
      </c>
    </row>
    <row r="3433">
      <c r="A3433" s="25" t="n">
        <v>43893</v>
      </c>
      <c r="B3433" s="18" t="n">
        <v>105537.14</v>
      </c>
      <c r="C3433" s="31" t="n"/>
      <c r="D3433" s="32" t="n"/>
      <c r="E3433" s="33" t="n">
        <v>-0.2023</v>
      </c>
      <c r="F3433" t="inlineStr">
        <is>
          <t>Down</t>
        </is>
      </c>
      <c r="G3433" t="inlineStr">
        <is>
          <t>Down</t>
        </is>
      </c>
      <c r="H3433" t="inlineStr">
        <is>
          <t>ED_JD</t>
        </is>
      </c>
      <c r="I3433" t="inlineStr">
        <is>
          <t>2020-03</t>
        </is>
      </c>
      <c r="J3433" t="n">
        <v>1</v>
      </c>
      <c r="K3433" t="n">
        <v>1</v>
      </c>
      <c r="L3433" s="34">
        <f>IF($J3433=1,LN(B3434/B3433),"")</f>
        <v/>
      </c>
      <c r="M3433" s="34">
        <f>IF($K3433=1,INDEX(Mensal!$D$2:$D$245,MATCH($I3433,Mensal!$A$2:$A$245,0)),"")</f>
        <v/>
      </c>
      <c r="N3433" s="34">
        <f>IF($K3433=1,L3433-M3433,"")</f>
        <v/>
      </c>
      <c r="O3433" s="34" t="n">
        <v>0.00016137</v>
      </c>
      <c r="P3433" s="34">
        <f>IF($J3433=1,LN(1+O3433),"")</f>
        <v/>
      </c>
      <c r="Q3433" s="34">
        <f>IF($J3433=1,LN(R3434/R3433),"")</f>
        <v/>
      </c>
      <c r="R3433" s="32" t="n">
        <v>4.4883</v>
      </c>
      <c r="S3433" s="35" t="n">
        <v>3.882</v>
      </c>
      <c r="T3433" s="18" t="n"/>
      <c r="U3433" s="18" t="n"/>
      <c r="V3433" s="18" t="n">
        <v>105537.14</v>
      </c>
      <c r="W3433" s="18" t="n"/>
      <c r="X3433" s="35" t="n"/>
      <c r="Y3433" s="35" t="n">
        <v>3.882</v>
      </c>
    </row>
    <row r="3434">
      <c r="A3434" s="25" t="n">
        <v>43894</v>
      </c>
      <c r="B3434" s="18" t="n">
        <v>107224.22</v>
      </c>
      <c r="C3434" s="31" t="n"/>
      <c r="D3434" s="32" t="n"/>
      <c r="E3434" s="33" t="n">
        <v>-0.2002</v>
      </c>
      <c r="F3434" t="inlineStr">
        <is>
          <t>Down</t>
        </is>
      </c>
      <c r="G3434" t="inlineStr">
        <is>
          <t>Down</t>
        </is>
      </c>
      <c r="H3434" t="inlineStr">
        <is>
          <t>ED_JD</t>
        </is>
      </c>
      <c r="I3434" t="inlineStr">
        <is>
          <t>2020-03</t>
        </is>
      </c>
      <c r="J3434" t="n">
        <v>1</v>
      </c>
      <c r="K3434" t="n">
        <v>1</v>
      </c>
      <c r="L3434" s="34">
        <f>IF($J3434=1,LN(B3435/B3434),"")</f>
        <v/>
      </c>
      <c r="M3434" s="34">
        <f>IF($K3434=1,INDEX(Mensal!$D$2:$D$245,MATCH($I3434,Mensal!$A$2:$A$245,0)),"")</f>
        <v/>
      </c>
      <c r="N3434" s="34">
        <f>IF($K3434=1,L3434-M3434,"")</f>
        <v/>
      </c>
      <c r="O3434" s="34" t="n">
        <v>0.00016137</v>
      </c>
      <c r="P3434" s="34">
        <f>IF($J3434=1,LN(1+O3434),"")</f>
        <v/>
      </c>
      <c r="Q3434" s="34">
        <f>IF($J3434=1,LN(R3435/R3434),"")</f>
        <v/>
      </c>
      <c r="R3434" s="32" t="n">
        <v>4.5258</v>
      </c>
      <c r="S3434" s="35" t="n">
        <v>3.821</v>
      </c>
      <c r="T3434" s="18" t="n"/>
      <c r="U3434" s="18" t="n"/>
      <c r="V3434" s="18" t="n">
        <v>107224.22</v>
      </c>
      <c r="W3434" s="18" t="n"/>
      <c r="X3434" s="35" t="n"/>
      <c r="Y3434" s="35" t="n">
        <v>3.821</v>
      </c>
    </row>
    <row r="3435">
      <c r="A3435" s="25" t="n">
        <v>43895</v>
      </c>
      <c r="B3435" s="18" t="n">
        <v>102233.24</v>
      </c>
      <c r="C3435" s="31" t="n"/>
      <c r="D3435" s="32" t="n"/>
      <c r="E3435" s="33" t="n">
        <v>-0.1998</v>
      </c>
      <c r="F3435" t="inlineStr">
        <is>
          <t>Down</t>
        </is>
      </c>
      <c r="G3435" t="inlineStr">
        <is>
          <t>Down</t>
        </is>
      </c>
      <c r="H3435" t="inlineStr">
        <is>
          <t>ED_JD</t>
        </is>
      </c>
      <c r="I3435" t="inlineStr">
        <is>
          <t>2020-03</t>
        </is>
      </c>
      <c r="J3435" t="n">
        <v>1</v>
      </c>
      <c r="K3435" t="n">
        <v>1</v>
      </c>
      <c r="L3435" s="34">
        <f>IF($J3435=1,LN(B3436/B3435),"")</f>
        <v/>
      </c>
      <c r="M3435" s="34">
        <f>IF($K3435=1,INDEX(Mensal!$D$2:$D$245,MATCH($I3435,Mensal!$A$2:$A$245,0)),"")</f>
        <v/>
      </c>
      <c r="N3435" s="34">
        <f>IF($K3435=1,L3435-M3435,"")</f>
        <v/>
      </c>
      <c r="O3435" s="34" t="n">
        <v>0.00016137</v>
      </c>
      <c r="P3435" s="34">
        <f>IF($J3435=1,LN(1+O3435),"")</f>
        <v/>
      </c>
      <c r="Q3435" s="34">
        <f>IF($J3435=1,LN(R3436/R3435),"")</f>
        <v/>
      </c>
      <c r="R3435" s="32" t="n">
        <v>4.6207</v>
      </c>
      <c r="S3435" s="35" t="n">
        <v>3.946</v>
      </c>
      <c r="T3435" s="18" t="n"/>
      <c r="U3435" s="18" t="n"/>
      <c r="V3435" s="18" t="n">
        <v>102233.24</v>
      </c>
      <c r="W3435" s="18" t="n"/>
      <c r="X3435" s="35" t="n"/>
      <c r="Y3435" s="35" t="n">
        <v>3.946</v>
      </c>
    </row>
    <row r="3436">
      <c r="A3436" s="25" t="n">
        <v>43896</v>
      </c>
      <c r="B3436" s="18" t="n">
        <v>97996.77</v>
      </c>
      <c r="C3436" s="31" t="n"/>
      <c r="D3436" s="32" t="n"/>
      <c r="E3436" s="33" t="n">
        <v>-0.1942</v>
      </c>
      <c r="F3436" t="inlineStr">
        <is>
          <t>Down</t>
        </is>
      </c>
      <c r="G3436" t="inlineStr">
        <is>
          <t>Down</t>
        </is>
      </c>
      <c r="H3436" t="inlineStr">
        <is>
          <t>ED_JD</t>
        </is>
      </c>
      <c r="I3436" t="inlineStr">
        <is>
          <t>2020-03</t>
        </is>
      </c>
      <c r="J3436" t="n">
        <v>1</v>
      </c>
      <c r="K3436" t="n">
        <v>1</v>
      </c>
      <c r="L3436" s="34">
        <f>IF($J3436=1,LN(B3437/B3436),"")</f>
        <v/>
      </c>
      <c r="M3436" s="34">
        <f>IF($K3436=1,INDEX(Mensal!$D$2:$D$245,MATCH($I3436,Mensal!$A$2:$A$245,0)),"")</f>
        <v/>
      </c>
      <c r="N3436" s="34">
        <f>IF($K3436=1,L3436-M3436,"")</f>
        <v/>
      </c>
      <c r="O3436" s="34" t="n">
        <v>0.00016137</v>
      </c>
      <c r="P3436" s="34">
        <f>IF($J3436=1,LN(1+O3436),"")</f>
        <v/>
      </c>
      <c r="Q3436" s="34">
        <f>IF($J3436=1,LN(R3437/R3436),"")</f>
        <v/>
      </c>
      <c r="R3436" s="32" t="n">
        <v>4.6459</v>
      </c>
      <c r="S3436" s="35" t="n">
        <v>3.895</v>
      </c>
      <c r="T3436" s="18" t="n"/>
      <c r="U3436" s="18" t="n"/>
      <c r="V3436" s="18" t="n">
        <v>97996.77</v>
      </c>
      <c r="W3436" s="18" t="n"/>
      <c r="X3436" s="35" t="n"/>
      <c r="Y3436" s="35" t="n">
        <v>3.895</v>
      </c>
    </row>
    <row r="3437">
      <c r="A3437" s="25" t="n">
        <v>43899</v>
      </c>
      <c r="B3437" s="18" t="n">
        <v>86067.2</v>
      </c>
      <c r="C3437" s="31" t="n"/>
      <c r="D3437" s="32" t="n"/>
      <c r="E3437" s="33" t="n">
        <v>-0.2285</v>
      </c>
      <c r="F3437" t="inlineStr">
        <is>
          <t>Down</t>
        </is>
      </c>
      <c r="G3437" t="inlineStr">
        <is>
          <t>Down</t>
        </is>
      </c>
      <c r="H3437" t="inlineStr">
        <is>
          <t>ED_JD</t>
        </is>
      </c>
      <c r="I3437" t="inlineStr">
        <is>
          <t>2020-03</t>
        </is>
      </c>
      <c r="J3437" t="n">
        <v>1</v>
      </c>
      <c r="K3437" t="n">
        <v>1</v>
      </c>
      <c r="L3437" s="34">
        <f>IF($J3437=1,LN(B3438/B3437),"")</f>
        <v/>
      </c>
      <c r="M3437" s="34">
        <f>IF($K3437=1,INDEX(Mensal!$D$2:$D$245,MATCH($I3437,Mensal!$A$2:$A$245,0)),"")</f>
        <v/>
      </c>
      <c r="N3437" s="34">
        <f>IF($K3437=1,L3437-M3437,"")</f>
        <v/>
      </c>
      <c r="O3437" s="34" t="n">
        <v>0.00016137</v>
      </c>
      <c r="P3437" s="34">
        <f>IF($J3437=1,LN(1+O3437),"")</f>
        <v/>
      </c>
      <c r="Q3437" s="34">
        <f>IF($J3437=1,LN(R3438/R3437),"")</f>
        <v/>
      </c>
      <c r="R3437" s="32" t="n">
        <v>4.7379</v>
      </c>
      <c r="S3437" s="35" t="n">
        <v>4.059</v>
      </c>
      <c r="T3437" s="18" t="n"/>
      <c r="U3437" s="18" t="n"/>
      <c r="V3437" s="18" t="n">
        <v>86067.2</v>
      </c>
      <c r="W3437" s="18" t="n"/>
      <c r="X3437" s="35" t="n"/>
      <c r="Y3437" s="35" t="n">
        <v>4.059</v>
      </c>
    </row>
    <row r="3438">
      <c r="A3438" s="25" t="n">
        <v>43900</v>
      </c>
      <c r="B3438" s="18" t="n">
        <v>92214.47</v>
      </c>
      <c r="C3438" s="31" t="n"/>
      <c r="D3438" s="32" t="n"/>
      <c r="E3438" s="33" t="n">
        <v>-0.2794</v>
      </c>
      <c r="F3438" t="inlineStr">
        <is>
          <t>Down</t>
        </is>
      </c>
      <c r="G3438" t="inlineStr">
        <is>
          <t>Down</t>
        </is>
      </c>
      <c r="H3438" t="inlineStr">
        <is>
          <t>ED_JD</t>
        </is>
      </c>
      <c r="I3438" t="inlineStr">
        <is>
          <t>2020-03</t>
        </is>
      </c>
      <c r="J3438" t="n">
        <v>1</v>
      </c>
      <c r="K3438" t="n">
        <v>1</v>
      </c>
      <c r="L3438" s="34">
        <f>IF($J3438=1,LN(B3439/B3438),"")</f>
        <v/>
      </c>
      <c r="M3438" s="34">
        <f>IF($K3438=1,INDEX(Mensal!$D$2:$D$245,MATCH($I3438,Mensal!$A$2:$A$245,0)),"")</f>
        <v/>
      </c>
      <c r="N3438" s="34">
        <f>IF($K3438=1,L3438-M3438,"")</f>
        <v/>
      </c>
      <c r="O3438" s="34" t="n">
        <v>0.00016137</v>
      </c>
      <c r="P3438" s="34">
        <f>IF($J3438=1,LN(1+O3438),"")</f>
        <v/>
      </c>
      <c r="Q3438" s="34">
        <f>IF($J3438=1,LN(R3439/R3438),"")</f>
        <v/>
      </c>
      <c r="R3438" s="32" t="n">
        <v>4.6693</v>
      </c>
      <c r="S3438" s="35" t="n">
        <v>3.965</v>
      </c>
      <c r="T3438" s="18" t="n"/>
      <c r="U3438" s="18" t="n"/>
      <c r="V3438" s="18" t="n">
        <v>92214.47</v>
      </c>
      <c r="W3438" s="18" t="n"/>
      <c r="X3438" s="35" t="n"/>
      <c r="Y3438" s="35" t="n">
        <v>3.965</v>
      </c>
    </row>
    <row r="3439">
      <c r="A3439" s="25" t="n">
        <v>43901</v>
      </c>
      <c r="B3439" s="18" t="n">
        <v>85171.13</v>
      </c>
      <c r="C3439" s="31" t="n"/>
      <c r="D3439" s="32" t="n"/>
      <c r="E3439" s="33" t="n">
        <v>-0.3355</v>
      </c>
      <c r="F3439" t="inlineStr">
        <is>
          <t>Down</t>
        </is>
      </c>
      <c r="G3439" t="inlineStr">
        <is>
          <t>Down</t>
        </is>
      </c>
      <c r="H3439" t="inlineStr">
        <is>
          <t>ED_JD</t>
        </is>
      </c>
      <c r="I3439" t="inlineStr">
        <is>
          <t>2020-03</t>
        </is>
      </c>
      <c r="J3439" t="n">
        <v>1</v>
      </c>
      <c r="K3439" t="n">
        <v>1</v>
      </c>
      <c r="L3439" s="34">
        <f>IF($J3439=1,LN(B3440/B3439),"")</f>
        <v/>
      </c>
      <c r="M3439" s="34">
        <f>IF($K3439=1,INDEX(Mensal!$D$2:$D$245,MATCH($I3439,Mensal!$A$2:$A$245,0)),"")</f>
        <v/>
      </c>
      <c r="N3439" s="34">
        <f>IF($K3439=1,L3439-M3439,"")</f>
        <v/>
      </c>
      <c r="O3439" s="34" t="n">
        <v>0.00016137</v>
      </c>
      <c r="P3439" s="34">
        <f>IF($J3439=1,LN(1+O3439),"")</f>
        <v/>
      </c>
      <c r="Q3439" s="34">
        <f>IF($J3439=1,LN(R3440/R3439),"")</f>
        <v/>
      </c>
      <c r="R3439" s="32" t="n">
        <v>4.6738</v>
      </c>
      <c r="S3439" s="35" t="n">
        <v>4.322</v>
      </c>
      <c r="T3439" s="18" t="n"/>
      <c r="U3439" s="18" t="n"/>
      <c r="V3439" s="18" t="n">
        <v>85171.13</v>
      </c>
      <c r="W3439" s="18" t="n"/>
      <c r="X3439" s="35" t="n"/>
      <c r="Y3439" s="35" t="n">
        <v>4.322</v>
      </c>
    </row>
    <row r="3440">
      <c r="A3440" s="25" t="n">
        <v>43902</v>
      </c>
      <c r="B3440" s="18" t="n">
        <v>72582.53</v>
      </c>
      <c r="C3440" s="31" t="n"/>
      <c r="D3440" s="32" t="n"/>
      <c r="E3440" s="33" t="n">
        <v>-0.3811</v>
      </c>
      <c r="F3440" t="inlineStr">
        <is>
          <t>Down</t>
        </is>
      </c>
      <c r="G3440" t="inlineStr">
        <is>
          <t>Down</t>
        </is>
      </c>
      <c r="H3440" t="inlineStr">
        <is>
          <t>ED_JD</t>
        </is>
      </c>
      <c r="I3440" t="inlineStr">
        <is>
          <t>2020-03</t>
        </is>
      </c>
      <c r="J3440" t="n">
        <v>1</v>
      </c>
      <c r="K3440" t="n">
        <v>1</v>
      </c>
      <c r="L3440" s="34">
        <f>IF($J3440=1,LN(B3441/B3440),"")</f>
        <v/>
      </c>
      <c r="M3440" s="34">
        <f>IF($K3440=1,INDEX(Mensal!$D$2:$D$245,MATCH($I3440,Mensal!$A$2:$A$245,0)),"")</f>
        <v/>
      </c>
      <c r="N3440" s="34">
        <f>IF($K3440=1,L3440-M3440,"")</f>
        <v/>
      </c>
      <c r="O3440" s="34" t="n">
        <v>0.00016137</v>
      </c>
      <c r="P3440" s="34">
        <f>IF($J3440=1,LN(1+O3440),"")</f>
        <v/>
      </c>
      <c r="Q3440" s="34">
        <f>IF($J3440=1,LN(R3441/R3440),"")</f>
        <v/>
      </c>
      <c r="R3440" s="32" t="n">
        <v>4.8833</v>
      </c>
      <c r="S3440" s="35" t="n">
        <v>5.17</v>
      </c>
      <c r="T3440" s="18" t="n"/>
      <c r="U3440" s="18" t="n"/>
      <c r="V3440" s="18" t="n">
        <v>72582.53</v>
      </c>
      <c r="W3440" s="18" t="n"/>
      <c r="X3440" s="35" t="n"/>
      <c r="Y3440" s="35" t="n">
        <v>5.17</v>
      </c>
    </row>
    <row r="3441">
      <c r="A3441" s="25" t="n">
        <v>43903</v>
      </c>
      <c r="B3441" s="18" t="n">
        <v>82677.91</v>
      </c>
      <c r="C3441" s="31" t="n"/>
      <c r="D3441" s="32" t="n"/>
      <c r="E3441" s="33" t="n">
        <v>-0.4347</v>
      </c>
      <c r="F3441" t="inlineStr">
        <is>
          <t>Down</t>
        </is>
      </c>
      <c r="G3441" t="inlineStr">
        <is>
          <t>Down</t>
        </is>
      </c>
      <c r="H3441" t="inlineStr">
        <is>
          <t>ED_JD</t>
        </is>
      </c>
      <c r="I3441" t="inlineStr">
        <is>
          <t>2020-03</t>
        </is>
      </c>
      <c r="J3441" t="n">
        <v>1</v>
      </c>
      <c r="K3441" t="n">
        <v>1</v>
      </c>
      <c r="L3441" s="34">
        <f>IF($J3441=1,LN(B3442/B3441),"")</f>
        <v/>
      </c>
      <c r="M3441" s="34">
        <f>IF($K3441=1,INDEX(Mensal!$D$2:$D$245,MATCH($I3441,Mensal!$A$2:$A$245,0)),"")</f>
        <v/>
      </c>
      <c r="N3441" s="34">
        <f>IF($K3441=1,L3441-M3441,"")</f>
        <v/>
      </c>
      <c r="O3441" s="34" t="n">
        <v>0.00016137</v>
      </c>
      <c r="P3441" s="34">
        <f>IF($J3441=1,LN(1+O3441),"")</f>
        <v/>
      </c>
      <c r="Q3441" s="34">
        <f>IF($J3441=1,LN(R3442/R3441),"")</f>
        <v/>
      </c>
      <c r="R3441" s="32" t="n">
        <v>4.7362</v>
      </c>
      <c r="S3441" s="35" t="n">
        <v>4.439</v>
      </c>
      <c r="T3441" s="18" t="n"/>
      <c r="U3441" s="18" t="n"/>
      <c r="V3441" s="18" t="n">
        <v>82677.91</v>
      </c>
      <c r="W3441" s="18" t="n"/>
      <c r="X3441" s="35" t="n"/>
      <c r="Y3441" s="35" t="n">
        <v>4.439</v>
      </c>
    </row>
    <row r="3442">
      <c r="A3442" s="25" t="n">
        <v>43906</v>
      </c>
      <c r="B3442" s="18" t="n">
        <v>71168.05</v>
      </c>
      <c r="C3442" s="31" t="n"/>
      <c r="D3442" s="32" t="n"/>
      <c r="E3442" s="33" t="n">
        <v>-0.5105</v>
      </c>
      <c r="F3442" t="inlineStr">
        <is>
          <t>Down</t>
        </is>
      </c>
      <c r="G3442" t="inlineStr">
        <is>
          <t>Down</t>
        </is>
      </c>
      <c r="H3442" t="inlineStr">
        <is>
          <t>ED_JD</t>
        </is>
      </c>
      <c r="I3442" t="inlineStr">
        <is>
          <t>2020-03</t>
        </is>
      </c>
      <c r="J3442" t="n">
        <v>1</v>
      </c>
      <c r="K3442" t="n">
        <v>1</v>
      </c>
      <c r="L3442" s="34">
        <f>IF($J3442=1,LN(B3443/B3442),"")</f>
        <v/>
      </c>
      <c r="M3442" s="34">
        <f>IF($K3442=1,INDEX(Mensal!$D$2:$D$245,MATCH($I3442,Mensal!$A$2:$A$245,0)),"")</f>
        <v/>
      </c>
      <c r="N3442" s="34">
        <f>IF($K3442=1,L3442-M3442,"")</f>
        <v/>
      </c>
      <c r="O3442" s="34" t="n">
        <v>0.00016137</v>
      </c>
      <c r="P3442" s="34">
        <f>IF($J3442=1,LN(1+O3442),"")</f>
        <v/>
      </c>
      <c r="Q3442" s="34">
        <f>IF($J3442=1,LN(R3443/R3442),"")</f>
        <v/>
      </c>
      <c r="R3442" s="32" t="n">
        <v>4.9471</v>
      </c>
      <c r="S3442" s="35" t="n">
        <v>4.028</v>
      </c>
      <c r="T3442" s="18" t="n"/>
      <c r="U3442" s="18" t="n"/>
      <c r="V3442" s="18" t="n">
        <v>71168.05</v>
      </c>
      <c r="W3442" s="18" t="n"/>
      <c r="X3442" s="35" t="n"/>
      <c r="Y3442" s="35" t="n">
        <v>4.028</v>
      </c>
    </row>
    <row r="3443">
      <c r="A3443" s="25" t="n">
        <v>43907</v>
      </c>
      <c r="B3443" s="18" t="n">
        <v>74617.24000000001</v>
      </c>
      <c r="C3443" s="31" t="n"/>
      <c r="D3443" s="32" t="n"/>
      <c r="E3443" s="33" t="n">
        <v>-0.5780999999999999</v>
      </c>
      <c r="F3443" t="inlineStr">
        <is>
          <t>Down</t>
        </is>
      </c>
      <c r="G3443" t="inlineStr">
        <is>
          <t>Down</t>
        </is>
      </c>
      <c r="H3443" t="inlineStr">
        <is>
          <t>ED_JD</t>
        </is>
      </c>
      <c r="I3443" t="inlineStr">
        <is>
          <t>2020-03</t>
        </is>
      </c>
      <c r="J3443" t="n">
        <v>1</v>
      </c>
      <c r="K3443" t="n">
        <v>1</v>
      </c>
      <c r="L3443" s="34">
        <f>IF($J3443=1,LN(B3444/B3443),"")</f>
        <v/>
      </c>
      <c r="M3443" s="34">
        <f>IF($K3443=1,INDEX(Mensal!$D$2:$D$245,MATCH($I3443,Mensal!$A$2:$A$245,0)),"")</f>
        <v/>
      </c>
      <c r="N3443" s="34">
        <f>IF($K3443=1,L3443-M3443,"")</f>
        <v/>
      </c>
      <c r="O3443" s="34" t="n">
        <v>0.00016137</v>
      </c>
      <c r="P3443" s="34">
        <f>IF($J3443=1,LN(1+O3443),"")</f>
        <v/>
      </c>
      <c r="Q3443" s="34">
        <f>IF($J3443=1,LN(R3444/R3443),"")</f>
        <v/>
      </c>
      <c r="R3443" s="32" t="n">
        <v>5.0496</v>
      </c>
      <c r="S3443" s="35" t="n">
        <v>3.759</v>
      </c>
      <c r="T3443" s="18" t="n"/>
      <c r="U3443" s="18" t="n"/>
      <c r="V3443" s="18" t="n">
        <v>74617.24000000001</v>
      </c>
      <c r="W3443" s="18" t="n"/>
      <c r="X3443" s="35" t="n"/>
      <c r="Y3443" s="35" t="n">
        <v>3.759</v>
      </c>
    </row>
    <row r="3444">
      <c r="A3444" s="25" t="n">
        <v>43908</v>
      </c>
      <c r="B3444" s="18" t="n">
        <v>66894.95</v>
      </c>
      <c r="C3444" s="31" t="n"/>
      <c r="D3444" s="32" t="n"/>
      <c r="E3444" s="33" t="n">
        <v>-0.6695</v>
      </c>
      <c r="F3444" t="inlineStr">
        <is>
          <t>Down</t>
        </is>
      </c>
      <c r="G3444" t="inlineStr">
        <is>
          <t>Down</t>
        </is>
      </c>
      <c r="H3444" t="inlineStr">
        <is>
          <t>ED_JD</t>
        </is>
      </c>
      <c r="I3444" t="inlineStr">
        <is>
          <t>2020-03</t>
        </is>
      </c>
      <c r="J3444" t="n">
        <v>1</v>
      </c>
      <c r="K3444" t="n">
        <v>1</v>
      </c>
      <c r="L3444" s="34">
        <f>IF($J3444=1,LN(B3445/B3444),"")</f>
        <v/>
      </c>
      <c r="M3444" s="34">
        <f>IF($K3444=1,INDEX(Mensal!$D$2:$D$245,MATCH($I3444,Mensal!$A$2:$A$245,0)),"")</f>
        <v/>
      </c>
      <c r="N3444" s="34">
        <f>IF($K3444=1,L3444-M3444,"")</f>
        <v/>
      </c>
      <c r="O3444" s="34" t="n">
        <v>0.00016137</v>
      </c>
      <c r="P3444" s="34">
        <f>IF($J3444=1,LN(1+O3444),"")</f>
        <v/>
      </c>
      <c r="Q3444" s="34">
        <f>IF($J3444=1,LN(R3445/R3444),"")</f>
        <v/>
      </c>
      <c r="R3444" s="32" t="n">
        <v>5.1107</v>
      </c>
      <c r="S3444" s="35" t="n">
        <v>4.292</v>
      </c>
      <c r="T3444" s="18" t="n"/>
      <c r="U3444" s="18" t="n"/>
      <c r="V3444" s="18" t="n">
        <v>66894.95</v>
      </c>
      <c r="W3444" s="18" t="n"/>
      <c r="X3444" s="35" t="n"/>
      <c r="Y3444" s="35" t="n">
        <v>4.292</v>
      </c>
    </row>
    <row r="3445">
      <c r="A3445" s="25" t="n">
        <v>43909</v>
      </c>
      <c r="B3445" s="18" t="n">
        <v>68331.8</v>
      </c>
      <c r="C3445" s="31" t="n"/>
      <c r="D3445" s="32" t="n"/>
      <c r="E3445" s="33" t="n">
        <v>-0.7592</v>
      </c>
      <c r="F3445" t="inlineStr">
        <is>
          <t>Down</t>
        </is>
      </c>
      <c r="G3445" t="inlineStr">
        <is>
          <t>Down</t>
        </is>
      </c>
      <c r="H3445" t="inlineStr">
        <is>
          <t>ED_JD</t>
        </is>
      </c>
      <c r="I3445" t="inlineStr">
        <is>
          <t>2020-03</t>
        </is>
      </c>
      <c r="J3445" t="n">
        <v>1</v>
      </c>
      <c r="K3445" t="n">
        <v>1</v>
      </c>
      <c r="L3445" s="34">
        <f>IF($J3445=1,LN(B3446/B3445),"")</f>
        <v/>
      </c>
      <c r="M3445" s="34">
        <f>IF($K3445=1,INDEX(Mensal!$D$2:$D$245,MATCH($I3445,Mensal!$A$2:$A$245,0)),"")</f>
        <v/>
      </c>
      <c r="N3445" s="34">
        <f>IF($K3445=1,L3445-M3445,"")</f>
        <v/>
      </c>
      <c r="O3445" s="34" t="n">
        <v>0.00014227</v>
      </c>
      <c r="P3445" s="34">
        <f>IF($J3445=1,LN(1+O3445),"")</f>
        <v/>
      </c>
      <c r="Q3445" s="34">
        <f>IF($J3445=1,LN(R3446/R3445),"")</f>
        <v/>
      </c>
      <c r="R3445" s="32" t="n">
        <v>5.1444</v>
      </c>
      <c r="S3445" s="35" t="n">
        <v>4.239</v>
      </c>
      <c r="T3445" s="18" t="n"/>
      <c r="U3445" s="18" t="n"/>
      <c r="V3445" s="18" t="n">
        <v>68331.8</v>
      </c>
      <c r="W3445" s="18" t="n"/>
      <c r="X3445" s="35" t="n"/>
      <c r="Y3445" s="35" t="n">
        <v>4.239</v>
      </c>
    </row>
    <row r="3446">
      <c r="A3446" s="25" t="n">
        <v>43910</v>
      </c>
      <c r="B3446" s="18" t="n">
        <v>67069.36</v>
      </c>
      <c r="C3446" s="31" t="n"/>
      <c r="D3446" s="32" t="n"/>
      <c r="E3446" s="33" t="n">
        <v>-0.8443000000000001</v>
      </c>
      <c r="F3446" t="inlineStr">
        <is>
          <t>Down</t>
        </is>
      </c>
      <c r="G3446" t="inlineStr">
        <is>
          <t>Down</t>
        </is>
      </c>
      <c r="H3446" t="inlineStr">
        <is>
          <t>ED_JD</t>
        </is>
      </c>
      <c r="I3446" t="inlineStr">
        <is>
          <t>2020-03</t>
        </is>
      </c>
      <c r="J3446" t="n">
        <v>1</v>
      </c>
      <c r="K3446" t="n">
        <v>1</v>
      </c>
      <c r="L3446" s="34">
        <f>IF($J3446=1,LN(B3447/B3446),"")</f>
        <v/>
      </c>
      <c r="M3446" s="34">
        <f>IF($K3446=1,INDEX(Mensal!$D$2:$D$245,MATCH($I3446,Mensal!$A$2:$A$245,0)),"")</f>
        <v/>
      </c>
      <c r="N3446" s="34">
        <f>IF($K3446=1,L3446-M3446,"")</f>
        <v/>
      </c>
      <c r="O3446" s="34" t="n">
        <v>0.00014227</v>
      </c>
      <c r="P3446" s="34">
        <f>IF($J3446=1,LN(1+O3446),"")</f>
        <v/>
      </c>
      <c r="Q3446" s="34">
        <f>IF($J3446=1,LN(R3447/R3446),"")</f>
        <v/>
      </c>
      <c r="R3446" s="32" t="n">
        <v>5.0248</v>
      </c>
      <c r="S3446" s="35" t="n">
        <v>4.204</v>
      </c>
      <c r="T3446" s="18" t="n"/>
      <c r="U3446" s="18" t="n"/>
      <c r="V3446" s="18" t="n">
        <v>67069.36</v>
      </c>
      <c r="W3446" s="18" t="n"/>
      <c r="X3446" s="35" t="n"/>
      <c r="Y3446" s="35" t="n">
        <v>4.204</v>
      </c>
    </row>
    <row r="3447">
      <c r="A3447" s="25" t="n">
        <v>43913</v>
      </c>
      <c r="B3447" s="18" t="n">
        <v>63569.62</v>
      </c>
      <c r="C3447" s="31" t="n"/>
      <c r="D3447" s="32" t="n"/>
      <c r="E3447" s="33" t="n">
        <v>-0.9473</v>
      </c>
      <c r="F3447" t="inlineStr">
        <is>
          <t>Down</t>
        </is>
      </c>
      <c r="G3447" t="inlineStr">
        <is>
          <t>Down</t>
        </is>
      </c>
      <c r="H3447" t="inlineStr">
        <is>
          <t>ED_JD</t>
        </is>
      </c>
      <c r="I3447" t="inlineStr">
        <is>
          <t>2020-03</t>
        </is>
      </c>
      <c r="J3447" t="n">
        <v>1</v>
      </c>
      <c r="K3447" t="n">
        <v>1</v>
      </c>
      <c r="L3447" s="34">
        <f>IF($J3447=1,LN(B3448/B3447),"")</f>
        <v/>
      </c>
      <c r="M3447" s="34">
        <f>IF($K3447=1,INDEX(Mensal!$D$2:$D$245,MATCH($I3447,Mensal!$A$2:$A$245,0)),"")</f>
        <v/>
      </c>
      <c r="N3447" s="34">
        <f>IF($K3447=1,L3447-M3447,"")</f>
        <v/>
      </c>
      <c r="O3447" s="34" t="n">
        <v>0.00014227</v>
      </c>
      <c r="P3447" s="34">
        <f>IF($J3447=1,LN(1+O3447),"")</f>
        <v/>
      </c>
      <c r="Q3447" s="34">
        <f>IF($J3447=1,LN(R3448/R3447),"")</f>
        <v/>
      </c>
      <c r="R3447" s="32" t="n">
        <v>5.0805</v>
      </c>
      <c r="S3447" s="35" t="n">
        <v>4.038</v>
      </c>
      <c r="T3447" s="18" t="n"/>
      <c r="U3447" s="18" t="n"/>
      <c r="V3447" s="18" t="n">
        <v>63569.62</v>
      </c>
      <c r="W3447" s="18" t="n"/>
      <c r="X3447" s="35" t="n"/>
      <c r="Y3447" s="35" t="n">
        <v>4.038</v>
      </c>
    </row>
    <row r="3448">
      <c r="A3448" s="25" t="n">
        <v>43914</v>
      </c>
      <c r="B3448" s="18" t="n">
        <v>69729.3</v>
      </c>
      <c r="C3448" s="31" t="n"/>
      <c r="D3448" s="32" t="n"/>
      <c r="E3448" s="33" t="n">
        <v>-1.0793</v>
      </c>
      <c r="F3448" t="inlineStr">
        <is>
          <t>Down</t>
        </is>
      </c>
      <c r="G3448" t="inlineStr">
        <is>
          <t>Down</t>
        </is>
      </c>
      <c r="H3448" t="inlineStr">
        <is>
          <t>ED_JD</t>
        </is>
      </c>
      <c r="I3448" t="inlineStr">
        <is>
          <t>2020-03</t>
        </is>
      </c>
      <c r="J3448" t="n">
        <v>1</v>
      </c>
      <c r="K3448" t="n">
        <v>1</v>
      </c>
      <c r="L3448" s="34">
        <f>IF($J3448=1,LN(B3449/B3448),"")</f>
        <v/>
      </c>
      <c r="M3448" s="34">
        <f>IF($K3448=1,INDEX(Mensal!$D$2:$D$245,MATCH($I3448,Mensal!$A$2:$A$245,0)),"")</f>
        <v/>
      </c>
      <c r="N3448" s="34">
        <f>IF($K3448=1,L3448-M3448,"")</f>
        <v/>
      </c>
      <c r="O3448" s="34" t="n">
        <v>0.00014227</v>
      </c>
      <c r="P3448" s="34">
        <f>IF($J3448=1,LN(1+O3448),"")</f>
        <v/>
      </c>
      <c r="Q3448" s="34">
        <f>IF($J3448=1,LN(R3449/R3448),"")</f>
        <v/>
      </c>
      <c r="R3448" s="32" t="n">
        <v>5.0713</v>
      </c>
      <c r="S3448" s="35" t="n">
        <v>3.884</v>
      </c>
      <c r="T3448" s="18" t="n"/>
      <c r="U3448" s="18" t="n"/>
      <c r="V3448" s="18" t="n">
        <v>69729.3</v>
      </c>
      <c r="W3448" s="18" t="n"/>
      <c r="X3448" s="35" t="n"/>
      <c r="Y3448" s="35" t="n">
        <v>3.884</v>
      </c>
    </row>
    <row r="3449">
      <c r="A3449" s="25" t="n">
        <v>43915</v>
      </c>
      <c r="B3449" s="18" t="n">
        <v>74955.57000000001</v>
      </c>
      <c r="C3449" s="31" t="n"/>
      <c r="D3449" s="32" t="n"/>
      <c r="E3449" s="33" t="n">
        <v>-1.2139</v>
      </c>
      <c r="F3449" t="inlineStr">
        <is>
          <t>Down</t>
        </is>
      </c>
      <c r="G3449" t="inlineStr">
        <is>
          <t>Down</t>
        </is>
      </c>
      <c r="H3449" t="inlineStr">
        <is>
          <t>ED_JD</t>
        </is>
      </c>
      <c r="I3449" t="inlineStr">
        <is>
          <t>2020-03</t>
        </is>
      </c>
      <c r="J3449" t="n">
        <v>1</v>
      </c>
      <c r="K3449" t="n">
        <v>1</v>
      </c>
      <c r="L3449" s="34">
        <f>IF($J3449=1,LN(B3450/B3449),"")</f>
        <v/>
      </c>
      <c r="M3449" s="34">
        <f>IF($K3449=1,INDEX(Mensal!$D$2:$D$245,MATCH($I3449,Mensal!$A$2:$A$245,0)),"")</f>
        <v/>
      </c>
      <c r="N3449" s="34">
        <f>IF($K3449=1,L3449-M3449,"")</f>
        <v/>
      </c>
      <c r="O3449" s="34" t="n">
        <v>0.00014227</v>
      </c>
      <c r="P3449" s="34">
        <f>IF($J3449=1,LN(1+O3449),"")</f>
        <v/>
      </c>
      <c r="Q3449" s="34">
        <f>IF($J3449=1,LN(R3450/R3449),"")</f>
        <v/>
      </c>
      <c r="R3449" s="32" t="n">
        <v>5.0706</v>
      </c>
      <c r="S3449" s="35" t="n">
        <v>3.565</v>
      </c>
      <c r="T3449" s="18" t="n"/>
      <c r="U3449" s="18" t="n"/>
      <c r="V3449" s="18" t="n">
        <v>74955.57000000001</v>
      </c>
      <c r="W3449" s="18" t="n"/>
      <c r="X3449" s="35" t="n"/>
      <c r="Y3449" s="35" t="n">
        <v>3.565</v>
      </c>
    </row>
    <row r="3450">
      <c r="A3450" s="25" t="n">
        <v>43916</v>
      </c>
      <c r="B3450" s="18" t="n">
        <v>77709.66</v>
      </c>
      <c r="C3450" s="31" t="n"/>
      <c r="D3450" s="32" t="n"/>
      <c r="E3450" s="33" t="n">
        <v>-1.3377</v>
      </c>
      <c r="F3450" t="inlineStr">
        <is>
          <t>Down</t>
        </is>
      </c>
      <c r="G3450" t="inlineStr">
        <is>
          <t>Down</t>
        </is>
      </c>
      <c r="H3450" t="inlineStr">
        <is>
          <t>ED_JD</t>
        </is>
      </c>
      <c r="I3450" t="inlineStr">
        <is>
          <t>2020-03</t>
        </is>
      </c>
      <c r="J3450" t="n">
        <v>1</v>
      </c>
      <c r="K3450" t="n">
        <v>1</v>
      </c>
      <c r="L3450" s="34">
        <f>IF($J3450=1,LN(B3451/B3450),"")</f>
        <v/>
      </c>
      <c r="M3450" s="34">
        <f>IF($K3450=1,INDEX(Mensal!$D$2:$D$245,MATCH($I3450,Mensal!$A$2:$A$245,0)),"")</f>
        <v/>
      </c>
      <c r="N3450" s="34">
        <f>IF($K3450=1,L3450-M3450,"")</f>
        <v/>
      </c>
      <c r="O3450" s="34" t="n">
        <v>0.00014227</v>
      </c>
      <c r="P3450" s="34">
        <f>IF($J3450=1,LN(1+O3450),"")</f>
        <v/>
      </c>
      <c r="Q3450" s="34">
        <f>IF($J3450=1,LN(R3451/R3450),"")</f>
        <v/>
      </c>
      <c r="R3450" s="32" t="n">
        <v>5.001</v>
      </c>
      <c r="S3450" s="35" t="n">
        <v>3.645</v>
      </c>
      <c r="T3450" s="18" t="n"/>
      <c r="U3450" s="18" t="n"/>
      <c r="V3450" s="18" t="n">
        <v>77709.66</v>
      </c>
      <c r="W3450" s="18" t="n"/>
      <c r="X3450" s="35" t="n"/>
      <c r="Y3450" s="35" t="n">
        <v>3.645</v>
      </c>
    </row>
    <row r="3451">
      <c r="A3451" s="25" t="n">
        <v>43917</v>
      </c>
      <c r="B3451" s="18" t="n">
        <v>73428.78</v>
      </c>
      <c r="C3451" s="31" t="n"/>
      <c r="D3451" s="32" t="n"/>
      <c r="E3451" s="33" t="n">
        <v>-1.4748</v>
      </c>
      <c r="F3451" t="inlineStr">
        <is>
          <t>Down</t>
        </is>
      </c>
      <c r="G3451" t="inlineStr">
        <is>
          <t>Down</t>
        </is>
      </c>
      <c r="H3451" t="inlineStr">
        <is>
          <t>ED_JD</t>
        </is>
      </c>
      <c r="I3451" t="inlineStr">
        <is>
          <t>2020-03</t>
        </is>
      </c>
      <c r="J3451" t="n">
        <v>1</v>
      </c>
      <c r="K3451" t="n">
        <v>1</v>
      </c>
      <c r="L3451" s="34">
        <f>IF($J3451=1,LN(B3452/B3451),"")</f>
        <v/>
      </c>
      <c r="M3451" s="34">
        <f>IF($K3451=1,INDEX(Mensal!$D$2:$D$245,MATCH($I3451,Mensal!$A$2:$A$245,0)),"")</f>
        <v/>
      </c>
      <c r="N3451" s="34">
        <f>IF($K3451=1,L3451-M3451,"")</f>
        <v/>
      </c>
      <c r="O3451" s="34" t="n">
        <v>0.00014227</v>
      </c>
      <c r="P3451" s="34">
        <f>IF($J3451=1,LN(1+O3451),"")</f>
        <v/>
      </c>
      <c r="Q3451" s="34">
        <f>IF($J3451=1,LN(R3452/R3451),"")</f>
        <v/>
      </c>
      <c r="R3451" s="32" t="n">
        <v>5.1109</v>
      </c>
      <c r="S3451" s="35" t="n">
        <v>3.661</v>
      </c>
      <c r="T3451" s="18" t="n"/>
      <c r="U3451" s="18" t="n"/>
      <c r="V3451" s="18" t="n">
        <v>73428.78</v>
      </c>
      <c r="W3451" s="18" t="n"/>
      <c r="X3451" s="35" t="n"/>
      <c r="Y3451" s="35" t="n">
        <v>3.661</v>
      </c>
    </row>
    <row r="3452">
      <c r="A3452" s="25" t="n">
        <v>43920</v>
      </c>
      <c r="B3452" s="18" t="n">
        <v>74639.48</v>
      </c>
      <c r="C3452" s="31" t="n"/>
      <c r="D3452" s="32" t="n"/>
      <c r="E3452" s="33" t="n">
        <v>-1.6195</v>
      </c>
      <c r="F3452" t="inlineStr">
        <is>
          <t>Down</t>
        </is>
      </c>
      <c r="G3452" t="inlineStr">
        <is>
          <t>Down</t>
        </is>
      </c>
      <c r="H3452" t="inlineStr">
        <is>
          <t>ED_JD</t>
        </is>
      </c>
      <c r="I3452" t="inlineStr">
        <is>
          <t>2020-03</t>
        </is>
      </c>
      <c r="J3452" t="n">
        <v>1</v>
      </c>
      <c r="K3452" t="n">
        <v>1</v>
      </c>
      <c r="L3452" s="34">
        <f>IF($J3452=1,LN(B3453/B3452),"")</f>
        <v/>
      </c>
      <c r="M3452" s="34">
        <f>IF($K3452=1,INDEX(Mensal!$D$2:$D$245,MATCH($I3452,Mensal!$A$2:$A$245,0)),"")</f>
        <v/>
      </c>
      <c r="N3452" s="34">
        <f>IF($K3452=1,L3452-M3452,"")</f>
        <v/>
      </c>
      <c r="O3452" s="34" t="n">
        <v>0.00014227</v>
      </c>
      <c r="P3452" s="34">
        <f>IF($J3452=1,LN(1+O3452),"")</f>
        <v/>
      </c>
      <c r="Q3452" s="34">
        <f>IF($J3452=1,LN(R3453/R3452),"")</f>
        <v/>
      </c>
      <c r="R3452" s="32" t="n">
        <v>5.1594</v>
      </c>
      <c r="S3452" s="35" t="n">
        <v>3.534</v>
      </c>
      <c r="T3452" s="18" t="n"/>
      <c r="U3452" s="18" t="n"/>
      <c r="V3452" s="18" t="n">
        <v>74639.48</v>
      </c>
      <c r="W3452" s="18" t="n"/>
      <c r="X3452" s="35" t="n"/>
      <c r="Y3452" s="35" t="n">
        <v>3.534</v>
      </c>
    </row>
    <row r="3453">
      <c r="A3453" s="25" t="n">
        <v>43921</v>
      </c>
      <c r="B3453" s="18" t="n">
        <v>73019.75999999999</v>
      </c>
      <c r="C3453" s="31" t="n"/>
      <c r="D3453" s="32" t="n"/>
      <c r="E3453" s="33" t="n">
        <v>-1.758</v>
      </c>
      <c r="F3453" t="inlineStr">
        <is>
          <t>Down</t>
        </is>
      </c>
      <c r="G3453" t="inlineStr">
        <is>
          <t>Down</t>
        </is>
      </c>
      <c r="H3453" t="inlineStr">
        <is>
          <t>ED_JD</t>
        </is>
      </c>
      <c r="I3453" t="inlineStr">
        <is>
          <t>2020-03</t>
        </is>
      </c>
      <c r="J3453" t="n">
        <v>1</v>
      </c>
      <c r="K3453" t="n">
        <v>1</v>
      </c>
      <c r="L3453" s="34">
        <f>IF($J3453=1,LN(B3454/B3453),"")</f>
        <v/>
      </c>
      <c r="M3453" s="34">
        <f>IF($K3453=1,INDEX(Mensal!$D$2:$D$245,MATCH($I3453,Mensal!$A$2:$A$245,0)),"")</f>
        <v/>
      </c>
      <c r="N3453" s="34">
        <f>IF($K3453=1,L3453-M3453,"")</f>
        <v/>
      </c>
      <c r="O3453" s="34" t="n">
        <v>0.00014227</v>
      </c>
      <c r="P3453" s="34">
        <f>IF($J3453=1,LN(1+O3453),"")</f>
        <v/>
      </c>
      <c r="Q3453" s="34">
        <f>IF($J3453=1,LN(R3454/R3453),"")</f>
        <v/>
      </c>
      <c r="R3453" s="32" t="n">
        <v>5.1987</v>
      </c>
      <c r="S3453" s="35" t="n">
        <v>3.33</v>
      </c>
      <c r="T3453" s="18" t="n"/>
      <c r="U3453" s="18" t="n"/>
      <c r="V3453" s="18" t="n">
        <v>73019.75999999999</v>
      </c>
      <c r="W3453" s="18" t="n"/>
      <c r="X3453" s="35" t="n"/>
      <c r="Y3453" s="35" t="n">
        <v>3.33</v>
      </c>
    </row>
    <row r="3454">
      <c r="A3454" s="25" t="n">
        <v>43922</v>
      </c>
      <c r="B3454" s="18" t="n">
        <v>70966.7</v>
      </c>
      <c r="C3454" s="31" t="n"/>
      <c r="D3454" s="32" t="n"/>
      <c r="E3454" s="33" t="n">
        <v>-1.9015</v>
      </c>
      <c r="F3454" t="inlineStr">
        <is>
          <t>Down</t>
        </is>
      </c>
      <c r="G3454" t="inlineStr">
        <is>
          <t>Down</t>
        </is>
      </c>
      <c r="H3454" t="inlineStr">
        <is>
          <t>ED_JD</t>
        </is>
      </c>
      <c r="I3454" t="inlineStr">
        <is>
          <t>2020-04</t>
        </is>
      </c>
      <c r="J3454" t="n">
        <v>1</v>
      </c>
      <c r="K3454" t="n">
        <v>1</v>
      </c>
      <c r="L3454" s="34">
        <f>IF($J3454=1,LN(B3455/B3454),"")</f>
        <v/>
      </c>
      <c r="M3454" s="34">
        <f>IF($K3454=1,INDEX(Mensal!$D$2:$D$245,MATCH($I3454,Mensal!$A$2:$A$245,0)),"")</f>
        <v/>
      </c>
      <c r="N3454" s="34">
        <f>IF($K3454=1,L3454-M3454,"")</f>
        <v/>
      </c>
      <c r="O3454" s="34" t="n">
        <v>0.00014227</v>
      </c>
      <c r="P3454" s="34">
        <f>IF($J3454=1,LN(1+O3454),"")</f>
        <v/>
      </c>
      <c r="Q3454" s="34">
        <f>IF($J3454=1,LN(R3455/R3454),"")</f>
        <v/>
      </c>
      <c r="R3454" s="32" t="n">
        <v>5.2404</v>
      </c>
      <c r="S3454" s="35" t="n">
        <v>3.367</v>
      </c>
      <c r="T3454" s="18" t="n"/>
      <c r="U3454" s="18" t="n"/>
      <c r="V3454" s="18" t="n">
        <v>70966.7</v>
      </c>
      <c r="W3454" s="18" t="n"/>
      <c r="X3454" s="35" t="n"/>
      <c r="Y3454" s="35" t="n">
        <v>3.367</v>
      </c>
    </row>
    <row r="3455">
      <c r="A3455" s="25" t="n">
        <v>43923</v>
      </c>
      <c r="B3455" s="18" t="n">
        <v>72253.46000000001</v>
      </c>
      <c r="C3455" s="31" t="n"/>
      <c r="D3455" s="32" t="n"/>
      <c r="E3455" s="33" t="n">
        <v>-2.0496</v>
      </c>
      <c r="F3455" t="inlineStr">
        <is>
          <t>Down</t>
        </is>
      </c>
      <c r="G3455" t="inlineStr">
        <is>
          <t>Down</t>
        </is>
      </c>
      <c r="H3455" t="inlineStr">
        <is>
          <t>ED_JD</t>
        </is>
      </c>
      <c r="I3455" t="inlineStr">
        <is>
          <t>2020-04</t>
        </is>
      </c>
      <c r="J3455" t="n">
        <v>1</v>
      </c>
      <c r="K3455" t="n">
        <v>1</v>
      </c>
      <c r="L3455" s="34">
        <f>IF($J3455=1,LN(B3456/B3455),"")</f>
        <v/>
      </c>
      <c r="M3455" s="34">
        <f>IF($K3455=1,INDEX(Mensal!$D$2:$D$245,MATCH($I3455,Mensal!$A$2:$A$245,0)),"")</f>
        <v/>
      </c>
      <c r="N3455" s="34">
        <f>IF($K3455=1,L3455-M3455,"")</f>
        <v/>
      </c>
      <c r="O3455" s="34" t="n">
        <v>0.00014227</v>
      </c>
      <c r="P3455" s="34">
        <f>IF($J3455=1,LN(1+O3455),"")</f>
        <v/>
      </c>
      <c r="Q3455" s="34">
        <f>IF($J3455=1,LN(R3456/R3455),"")</f>
        <v/>
      </c>
      <c r="R3455" s="32" t="n">
        <v>5.2651</v>
      </c>
      <c r="S3455" s="35" t="n">
        <v>3.303</v>
      </c>
      <c r="T3455" s="18" t="n"/>
      <c r="U3455" s="18" t="n"/>
      <c r="V3455" s="18" t="n">
        <v>72253.46000000001</v>
      </c>
      <c r="W3455" s="18" t="n"/>
      <c r="X3455" s="35" t="n"/>
      <c r="Y3455" s="35" t="n">
        <v>3.303</v>
      </c>
    </row>
    <row r="3456">
      <c r="A3456" s="25" t="n">
        <v>43924</v>
      </c>
      <c r="B3456" s="18" t="n">
        <v>69537.56</v>
      </c>
      <c r="C3456" s="31" t="n"/>
      <c r="D3456" s="32" t="n"/>
      <c r="E3456" s="33" t="n">
        <v>-2.1996</v>
      </c>
      <c r="F3456" t="inlineStr">
        <is>
          <t>Down</t>
        </is>
      </c>
      <c r="G3456" t="inlineStr">
        <is>
          <t>Down</t>
        </is>
      </c>
      <c r="H3456" t="inlineStr">
        <is>
          <t>ED_JD</t>
        </is>
      </c>
      <c r="I3456" t="inlineStr">
        <is>
          <t>2020-04</t>
        </is>
      </c>
      <c r="J3456" t="n">
        <v>1</v>
      </c>
      <c r="K3456" t="n">
        <v>1</v>
      </c>
      <c r="L3456" s="34">
        <f>IF($J3456=1,LN(B3457/B3456),"")</f>
        <v/>
      </c>
      <c r="M3456" s="34">
        <f>IF($K3456=1,INDEX(Mensal!$D$2:$D$245,MATCH($I3456,Mensal!$A$2:$A$245,0)),"")</f>
        <v/>
      </c>
      <c r="N3456" s="34">
        <f>IF($K3456=1,L3456-M3456,"")</f>
        <v/>
      </c>
      <c r="O3456" s="34" t="n">
        <v>0.00014227</v>
      </c>
      <c r="P3456" s="34">
        <f>IF($J3456=1,LN(1+O3456),"")</f>
        <v/>
      </c>
      <c r="Q3456" s="34">
        <f>IF($J3456=1,LN(R3457/R3456),"")</f>
        <v/>
      </c>
      <c r="R3456" s="32" t="n">
        <v>5.2997</v>
      </c>
      <c r="S3456" s="35" t="n">
        <v>3.263</v>
      </c>
      <c r="T3456" s="18" t="n"/>
      <c r="U3456" s="18" t="n"/>
      <c r="V3456" s="18" t="n">
        <v>69537.56</v>
      </c>
      <c r="W3456" s="18" t="n"/>
      <c r="X3456" s="35" t="n"/>
      <c r="Y3456" s="35" t="n">
        <v>3.263</v>
      </c>
    </row>
    <row r="3457">
      <c r="A3457" s="25" t="n">
        <v>43927</v>
      </c>
      <c r="B3457" s="18" t="n">
        <v>74072.98</v>
      </c>
      <c r="C3457" s="31" t="n"/>
      <c r="D3457" s="32" t="n"/>
      <c r="E3457" s="33" t="n">
        <v>-2.3773</v>
      </c>
      <c r="F3457" t="inlineStr">
        <is>
          <t>Down</t>
        </is>
      </c>
      <c r="G3457" t="inlineStr">
        <is>
          <t>Down</t>
        </is>
      </c>
      <c r="H3457" t="inlineStr">
        <is>
          <t>ED_JD</t>
        </is>
      </c>
      <c r="I3457" t="inlineStr">
        <is>
          <t>2020-04</t>
        </is>
      </c>
      <c r="J3457" t="n">
        <v>1</v>
      </c>
      <c r="K3457" t="n">
        <v>1</v>
      </c>
      <c r="L3457" s="34">
        <f>IF($J3457=1,LN(B3458/B3457),"")</f>
        <v/>
      </c>
      <c r="M3457" s="34">
        <f>IF($K3457=1,INDEX(Mensal!$D$2:$D$245,MATCH($I3457,Mensal!$A$2:$A$245,0)),"")</f>
        <v/>
      </c>
      <c r="N3457" s="34">
        <f>IF($K3457=1,L3457-M3457,"")</f>
        <v/>
      </c>
      <c r="O3457" s="34" t="n">
        <v>0.00014227</v>
      </c>
      <c r="P3457" s="34">
        <f>IF($J3457=1,LN(1+O3457),"")</f>
        <v/>
      </c>
      <c r="Q3457" s="34">
        <f>IF($J3457=1,LN(R3458/R3457),"")</f>
        <v/>
      </c>
      <c r="R3457" s="32" t="n">
        <v>5.2471</v>
      </c>
      <c r="S3457" s="35" t="n">
        <v>3.38</v>
      </c>
      <c r="T3457" s="18" t="n"/>
      <c r="U3457" s="18" t="n"/>
      <c r="V3457" s="18" t="n">
        <v>74072.98</v>
      </c>
      <c r="W3457" s="18" t="n"/>
      <c r="X3457" s="35" t="n"/>
      <c r="Y3457" s="35" t="n">
        <v>3.38</v>
      </c>
    </row>
    <row r="3458">
      <c r="A3458" s="25" t="n">
        <v>43928</v>
      </c>
      <c r="B3458" s="18" t="n">
        <v>76358.09</v>
      </c>
      <c r="C3458" s="31" t="n"/>
      <c r="D3458" s="32" t="n"/>
      <c r="E3458" s="33" t="n">
        <v>-2.5536</v>
      </c>
      <c r="F3458" t="inlineStr">
        <is>
          <t>Down</t>
        </is>
      </c>
      <c r="G3458" t="inlineStr">
        <is>
          <t>Down</t>
        </is>
      </c>
      <c r="H3458" t="inlineStr">
        <is>
          <t>ED_JD</t>
        </is>
      </c>
      <c r="I3458" t="inlineStr">
        <is>
          <t>2020-04</t>
        </is>
      </c>
      <c r="J3458" t="n">
        <v>1</v>
      </c>
      <c r="K3458" t="n">
        <v>1</v>
      </c>
      <c r="L3458" s="34">
        <f>IF($J3458=1,LN(B3459/B3458),"")</f>
        <v/>
      </c>
      <c r="M3458" s="34">
        <f>IF($K3458=1,INDEX(Mensal!$D$2:$D$245,MATCH($I3458,Mensal!$A$2:$A$245,0)),"")</f>
        <v/>
      </c>
      <c r="N3458" s="34">
        <f>IF($K3458=1,L3458-M3458,"")</f>
        <v/>
      </c>
      <c r="O3458" s="34" t="n">
        <v>0.00014227</v>
      </c>
      <c r="P3458" s="34">
        <f>IF($J3458=1,LN(1+O3458),"")</f>
        <v/>
      </c>
      <c r="Q3458" s="34">
        <f>IF($J3458=1,LN(R3459/R3458),"")</f>
        <v/>
      </c>
      <c r="R3458" s="32" t="n">
        <v>5.2217</v>
      </c>
      <c r="S3458" s="35" t="n">
        <v>3.319</v>
      </c>
      <c r="T3458" s="18" t="n"/>
      <c r="U3458" s="18" t="n"/>
      <c r="V3458" s="18" t="n">
        <v>76358.09</v>
      </c>
      <c r="W3458" s="18" t="n"/>
      <c r="X3458" s="35" t="n"/>
      <c r="Y3458" s="35" t="n">
        <v>3.319</v>
      </c>
    </row>
    <row r="3459">
      <c r="A3459" s="25" t="n">
        <v>43929</v>
      </c>
      <c r="B3459" s="18" t="n">
        <v>78624.62</v>
      </c>
      <c r="C3459" s="31" t="n"/>
      <c r="D3459" s="32" t="n"/>
      <c r="E3459" s="33" t="n">
        <v>-2.7369</v>
      </c>
      <c r="F3459" t="inlineStr">
        <is>
          <t>Down</t>
        </is>
      </c>
      <c r="G3459" t="inlineStr">
        <is>
          <t>Down</t>
        </is>
      </c>
      <c r="H3459" t="inlineStr">
        <is>
          <t>ED_JD</t>
        </is>
      </c>
      <c r="I3459" t="inlineStr">
        <is>
          <t>2020-04</t>
        </is>
      </c>
      <c r="J3459" t="n">
        <v>1</v>
      </c>
      <c r="K3459" t="n">
        <v>1</v>
      </c>
      <c r="L3459" s="34">
        <f>IF($J3459=1,LN(B3460/B3459),"")</f>
        <v/>
      </c>
      <c r="M3459" s="34">
        <f>IF($K3459=1,INDEX(Mensal!$D$2:$D$245,MATCH($I3459,Mensal!$A$2:$A$245,0)),"")</f>
        <v/>
      </c>
      <c r="N3459" s="34">
        <f>IF($K3459=1,L3459-M3459,"")</f>
        <v/>
      </c>
      <c r="O3459" s="34" t="n">
        <v>0.00014227</v>
      </c>
      <c r="P3459" s="34">
        <f>IF($J3459=1,LN(1+O3459),"")</f>
        <v/>
      </c>
      <c r="Q3459" s="34">
        <f>IF($J3459=1,LN(R3460/R3459),"")</f>
        <v/>
      </c>
      <c r="R3459" s="32" t="n">
        <v>5.2123</v>
      </c>
      <c r="S3459" s="35" t="n">
        <v>3.284</v>
      </c>
      <c r="T3459" s="18" t="n"/>
      <c r="U3459" s="18" t="n"/>
      <c r="V3459" s="18" t="n">
        <v>78624.62</v>
      </c>
      <c r="W3459" s="18" t="n"/>
      <c r="X3459" s="35" t="n"/>
      <c r="Y3459" s="35" t="n">
        <v>3.284</v>
      </c>
    </row>
    <row r="3460">
      <c r="A3460" s="25" t="n">
        <v>43930</v>
      </c>
      <c r="B3460" s="18" t="n">
        <v>77681.94</v>
      </c>
      <c r="C3460" s="31" t="n"/>
      <c r="D3460" s="32" t="n"/>
      <c r="E3460" s="33" t="n">
        <v>-2.932</v>
      </c>
      <c r="F3460" t="inlineStr">
        <is>
          <t>Down</t>
        </is>
      </c>
      <c r="G3460" t="inlineStr">
        <is>
          <t>Down</t>
        </is>
      </c>
      <c r="H3460" t="inlineStr">
        <is>
          <t>ED_JD</t>
        </is>
      </c>
      <c r="I3460" t="inlineStr">
        <is>
          <t>2020-04</t>
        </is>
      </c>
      <c r="J3460" t="n">
        <v>1</v>
      </c>
      <c r="K3460" t="n">
        <v>1</v>
      </c>
      <c r="L3460" s="34">
        <f>IF($J3460=1,LN(B3461/B3460),"")</f>
        <v/>
      </c>
      <c r="M3460" s="34">
        <f>IF($K3460=1,INDEX(Mensal!$D$2:$D$245,MATCH($I3460,Mensal!$A$2:$A$245,0)),"")</f>
        <v/>
      </c>
      <c r="N3460" s="34">
        <f>IF($K3460=1,L3460-M3460,"")</f>
        <v/>
      </c>
      <c r="O3460" s="34" t="n">
        <v>0.00014227</v>
      </c>
      <c r="P3460" s="34">
        <f>IF($J3460=1,LN(1+O3460),"")</f>
        <v/>
      </c>
      <c r="Q3460" s="34">
        <f>IF($J3460=1,LN(R3461/R3460),"")</f>
        <v/>
      </c>
      <c r="R3460" s="32" t="n">
        <v>5.0779</v>
      </c>
      <c r="S3460" s="35" t="n">
        <v>3.223</v>
      </c>
      <c r="T3460" s="18" t="n"/>
      <c r="U3460" s="18" t="n"/>
      <c r="V3460" s="18" t="n">
        <v>77681.94</v>
      </c>
      <c r="W3460" s="18" t="n"/>
      <c r="X3460" s="35" t="n"/>
      <c r="Y3460" s="35" t="n">
        <v>3.223</v>
      </c>
    </row>
    <row r="3461">
      <c r="A3461" s="25" t="n">
        <v>43934</v>
      </c>
      <c r="B3461" s="18" t="n">
        <v>78835.82000000001</v>
      </c>
      <c r="C3461" s="31" t="n"/>
      <c r="D3461" s="32" t="n"/>
      <c r="E3461" s="33" t="n">
        <v>-3.116</v>
      </c>
      <c r="F3461" t="inlineStr">
        <is>
          <t>Down</t>
        </is>
      </c>
      <c r="G3461" t="inlineStr">
        <is>
          <t>Down</t>
        </is>
      </c>
      <c r="H3461" t="inlineStr">
        <is>
          <t>ED_JD</t>
        </is>
      </c>
      <c r="I3461" t="inlineStr">
        <is>
          <t>2020-04</t>
        </is>
      </c>
      <c r="J3461" t="n">
        <v>1</v>
      </c>
      <c r="K3461" t="n">
        <v>1</v>
      </c>
      <c r="L3461" s="34">
        <f>IF($J3461=1,LN(B3462/B3461),"")</f>
        <v/>
      </c>
      <c r="M3461" s="34">
        <f>IF($K3461=1,INDEX(Mensal!$D$2:$D$245,MATCH($I3461,Mensal!$A$2:$A$245,0)),"")</f>
        <v/>
      </c>
      <c r="N3461" s="34">
        <f>IF($K3461=1,L3461-M3461,"")</f>
        <v/>
      </c>
      <c r="O3461" s="34" t="n">
        <v>0.00014227</v>
      </c>
      <c r="P3461" s="34">
        <f>IF($J3461=1,LN(1+O3461),"")</f>
        <v/>
      </c>
      <c r="Q3461" s="34">
        <f>IF($J3461=1,LN(R3462/R3461),"")</f>
        <v/>
      </c>
      <c r="R3461" s="32" t="n">
        <v>5.1824</v>
      </c>
      <c r="S3461" s="35" t="n">
        <v>3.172</v>
      </c>
      <c r="T3461" s="18" t="n"/>
      <c r="U3461" s="18" t="n"/>
      <c r="V3461" s="18" t="n">
        <v>78835.82000000001</v>
      </c>
      <c r="W3461" s="18" t="n"/>
      <c r="X3461" s="35" t="n"/>
      <c r="Y3461" s="35" t="n">
        <v>3.172</v>
      </c>
    </row>
    <row r="3462">
      <c r="A3462" s="25" t="n">
        <v>43935</v>
      </c>
      <c r="B3462" s="18" t="n">
        <v>79918.36</v>
      </c>
      <c r="C3462" s="31" t="n"/>
      <c r="D3462" s="32" t="n"/>
      <c r="E3462" s="33" t="n">
        <v>-3.2939</v>
      </c>
      <c r="F3462" t="inlineStr">
        <is>
          <t>Down</t>
        </is>
      </c>
      <c r="G3462" t="inlineStr">
        <is>
          <t>Down</t>
        </is>
      </c>
      <c r="H3462" t="inlineStr">
        <is>
          <t>ED_JD</t>
        </is>
      </c>
      <c r="I3462" t="inlineStr">
        <is>
          <t>2020-04</t>
        </is>
      </c>
      <c r="J3462" t="n">
        <v>1</v>
      </c>
      <c r="K3462" t="n">
        <v>1</v>
      </c>
      <c r="L3462" s="34">
        <f>IF($J3462=1,LN(B3463/B3462),"")</f>
        <v/>
      </c>
      <c r="M3462" s="34">
        <f>IF($K3462=1,INDEX(Mensal!$D$2:$D$245,MATCH($I3462,Mensal!$A$2:$A$245,0)),"")</f>
        <v/>
      </c>
      <c r="N3462" s="34">
        <f>IF($K3462=1,L3462-M3462,"")</f>
        <v/>
      </c>
      <c r="O3462" s="34" t="n">
        <v>0.00014227</v>
      </c>
      <c r="P3462" s="34">
        <f>IF($J3462=1,LN(1+O3462),"")</f>
        <v/>
      </c>
      <c r="Q3462" s="34">
        <f>IF($J3462=1,LN(R3463/R3462),"")</f>
        <v/>
      </c>
      <c r="R3462" s="32" t="n">
        <v>5.1858</v>
      </c>
      <c r="S3462" s="35" t="n">
        <v>3.118</v>
      </c>
      <c r="T3462" s="18" t="n"/>
      <c r="U3462" s="18" t="n"/>
      <c r="V3462" s="18" t="n">
        <v>79918.36</v>
      </c>
      <c r="W3462" s="18" t="n"/>
      <c r="X3462" s="35" t="n"/>
      <c r="Y3462" s="35" t="n">
        <v>3.118</v>
      </c>
    </row>
    <row r="3463">
      <c r="A3463" s="25" t="n">
        <v>43936</v>
      </c>
      <c r="B3463" s="18" t="n">
        <v>78831.46000000001</v>
      </c>
      <c r="C3463" s="31" t="n"/>
      <c r="D3463" s="32" t="n"/>
      <c r="E3463" s="33" t="n">
        <v>-3.4651</v>
      </c>
      <c r="F3463" t="inlineStr">
        <is>
          <t>Down</t>
        </is>
      </c>
      <c r="G3463" t="inlineStr">
        <is>
          <t>Down</t>
        </is>
      </c>
      <c r="H3463" t="inlineStr">
        <is>
          <t>ED_JD</t>
        </is>
      </c>
      <c r="I3463" t="inlineStr">
        <is>
          <t>2020-04</t>
        </is>
      </c>
      <c r="J3463" t="n">
        <v>1</v>
      </c>
      <c r="K3463" t="n">
        <v>1</v>
      </c>
      <c r="L3463" s="34">
        <f>IF($J3463=1,LN(B3464/B3463),"")</f>
        <v/>
      </c>
      <c r="M3463" s="34">
        <f>IF($K3463=1,INDEX(Mensal!$D$2:$D$245,MATCH($I3463,Mensal!$A$2:$A$245,0)),"")</f>
        <v/>
      </c>
      <c r="N3463" s="34">
        <f>IF($K3463=1,L3463-M3463,"")</f>
        <v/>
      </c>
      <c r="O3463" s="34" t="n">
        <v>0.00014227</v>
      </c>
      <c r="P3463" s="34">
        <f>IF($J3463=1,LN(1+O3463),"")</f>
        <v/>
      </c>
      <c r="Q3463" s="34">
        <f>IF($J3463=1,LN(R3464/R3463),"")</f>
        <v/>
      </c>
      <c r="R3463" s="32" t="n">
        <v>5.2579</v>
      </c>
      <c r="S3463" s="35" t="n">
        <v>3.119</v>
      </c>
      <c r="T3463" s="18" t="n"/>
      <c r="U3463" s="18" t="n"/>
      <c r="V3463" s="18" t="n">
        <v>78831.46000000001</v>
      </c>
      <c r="W3463" s="18" t="n"/>
      <c r="X3463" s="35" t="n"/>
      <c r="Y3463" s="35" t="n">
        <v>3.119</v>
      </c>
    </row>
    <row r="3464">
      <c r="A3464" s="25" t="n">
        <v>43937</v>
      </c>
      <c r="B3464" s="18" t="n">
        <v>77811.85000000001</v>
      </c>
      <c r="C3464" s="31" t="n"/>
      <c r="D3464" s="32" t="n"/>
      <c r="E3464" s="33" t="n">
        <v>-3.6221</v>
      </c>
      <c r="F3464" t="inlineStr">
        <is>
          <t>Down</t>
        </is>
      </c>
      <c r="G3464" t="inlineStr">
        <is>
          <t>Down</t>
        </is>
      </c>
      <c r="H3464" t="inlineStr">
        <is>
          <t>ED_JD</t>
        </is>
      </c>
      <c r="I3464" t="inlineStr">
        <is>
          <t>2020-04</t>
        </is>
      </c>
      <c r="J3464" t="n">
        <v>1</v>
      </c>
      <c r="K3464" t="n">
        <v>1</v>
      </c>
      <c r="L3464" s="34">
        <f>IF($J3464=1,LN(B3465/B3464),"")</f>
        <v/>
      </c>
      <c r="M3464" s="34">
        <f>IF($K3464=1,INDEX(Mensal!$D$2:$D$245,MATCH($I3464,Mensal!$A$2:$A$245,0)),"")</f>
        <v/>
      </c>
      <c r="N3464" s="34">
        <f>IF($K3464=1,L3464-M3464,"")</f>
        <v/>
      </c>
      <c r="O3464" s="34" t="n">
        <v>0.00014227</v>
      </c>
      <c r="P3464" s="34">
        <f>IF($J3464=1,LN(1+O3464),"")</f>
        <v/>
      </c>
      <c r="Q3464" s="34">
        <f>IF($J3464=1,LN(R3465/R3464),"")</f>
        <v/>
      </c>
      <c r="R3464" s="32" t="n">
        <v>5.2377</v>
      </c>
      <c r="S3464" s="35" t="n">
        <v>3.133</v>
      </c>
      <c r="T3464" s="18" t="n"/>
      <c r="U3464" s="18" t="n"/>
      <c r="V3464" s="18" t="n">
        <v>77811.85000000001</v>
      </c>
      <c r="W3464" s="18" t="n"/>
      <c r="X3464" s="35" t="n"/>
      <c r="Y3464" s="35" t="n">
        <v>3.133</v>
      </c>
    </row>
    <row r="3465">
      <c r="A3465" s="25" t="n">
        <v>43938</v>
      </c>
      <c r="B3465" s="18" t="n">
        <v>78990.28999999999</v>
      </c>
      <c r="C3465" s="31" t="n"/>
      <c r="D3465" s="32" t="n"/>
      <c r="E3465" s="33" t="n">
        <v>-3.7888</v>
      </c>
      <c r="F3465" t="inlineStr">
        <is>
          <t>Down</t>
        </is>
      </c>
      <c r="G3465" t="inlineStr">
        <is>
          <t>Down</t>
        </is>
      </c>
      <c r="H3465" t="inlineStr">
        <is>
          <t>ED_JD</t>
        </is>
      </c>
      <c r="I3465" t="inlineStr">
        <is>
          <t>2020-04</t>
        </is>
      </c>
      <c r="J3465" t="n">
        <v>1</v>
      </c>
      <c r="K3465" t="n">
        <v>1</v>
      </c>
      <c r="L3465" s="34">
        <f>IF($J3465=1,LN(B3466/B3465),"")</f>
        <v/>
      </c>
      <c r="M3465" s="34">
        <f>IF($K3465=1,INDEX(Mensal!$D$2:$D$245,MATCH($I3465,Mensal!$A$2:$A$245,0)),"")</f>
        <v/>
      </c>
      <c r="N3465" s="34">
        <f>IF($K3465=1,L3465-M3465,"")</f>
        <v/>
      </c>
      <c r="O3465" s="34" t="n">
        <v>0.00014227</v>
      </c>
      <c r="P3465" s="34">
        <f>IF($J3465=1,LN(1+O3465),"")</f>
        <v/>
      </c>
      <c r="Q3465" s="34">
        <f>IF($J3465=1,LN(R3466/R3465),"")</f>
        <v/>
      </c>
      <c r="R3465" s="32" t="n">
        <v>5.2573</v>
      </c>
      <c r="S3465" s="35" t="n">
        <v>3.102</v>
      </c>
      <c r="T3465" s="18" t="n"/>
      <c r="U3465" s="18" t="n"/>
      <c r="V3465" s="18" t="n">
        <v>78990.28999999999</v>
      </c>
      <c r="W3465" s="18" t="n"/>
      <c r="X3465" s="35" t="n"/>
      <c r="Y3465" s="35" t="n">
        <v>3.102</v>
      </c>
    </row>
    <row r="3466">
      <c r="A3466" s="25" t="n">
        <v>43941</v>
      </c>
      <c r="B3466" s="18" t="n">
        <v>78972.75999999999</v>
      </c>
      <c r="C3466" s="31" t="n"/>
      <c r="D3466" s="32" t="n"/>
      <c r="E3466" s="33" t="n">
        <v>-3.9791</v>
      </c>
      <c r="F3466" t="inlineStr">
        <is>
          <t>Down</t>
        </is>
      </c>
      <c r="G3466" t="inlineStr">
        <is>
          <t>Down</t>
        </is>
      </c>
      <c r="H3466" t="inlineStr">
        <is>
          <t>ED_JD</t>
        </is>
      </c>
      <c r="I3466" t="inlineStr">
        <is>
          <t>2020-04</t>
        </is>
      </c>
      <c r="J3466" t="n">
        <v>1</v>
      </c>
      <c r="K3466" t="n">
        <v>1</v>
      </c>
      <c r="L3466" s="34">
        <f>IF($J3466=1,LN(B3467/B3466),"")</f>
        <v/>
      </c>
      <c r="M3466" s="34">
        <f>IF($K3466=1,INDEX(Mensal!$D$2:$D$245,MATCH($I3466,Mensal!$A$2:$A$245,0)),"")</f>
        <v/>
      </c>
      <c r="N3466" s="34">
        <f>IF($K3466=1,L3466-M3466,"")</f>
        <v/>
      </c>
      <c r="O3466" s="34" t="n">
        <v>0.00014227</v>
      </c>
      <c r="P3466" s="34">
        <f>IF($J3466=1,LN(1+O3466),"")</f>
        <v/>
      </c>
      <c r="Q3466" s="34">
        <f>IF($J3466=1,LN(R3467/R3466),"")</f>
        <v/>
      </c>
      <c r="R3466" s="32" t="n">
        <v>5.2837</v>
      </c>
      <c r="S3466" s="35" t="n">
        <v>2.874</v>
      </c>
      <c r="T3466" s="18" t="n"/>
      <c r="U3466" s="18" t="n"/>
      <c r="V3466" s="18" t="n">
        <v>78972.75999999999</v>
      </c>
      <c r="W3466" s="18" t="n"/>
      <c r="X3466" s="35" t="n"/>
      <c r="Y3466" s="35" t="n">
        <v>2.874</v>
      </c>
    </row>
    <row r="3467">
      <c r="A3467" s="25" t="n">
        <v>43943</v>
      </c>
      <c r="B3467" s="18" t="n">
        <v>80687.14999999999</v>
      </c>
      <c r="C3467" s="31" t="n"/>
      <c r="D3467" s="32" t="n"/>
      <c r="E3467" s="33" t="n">
        <v>-4.1763</v>
      </c>
      <c r="F3467" t="inlineStr">
        <is>
          <t>Down</t>
        </is>
      </c>
      <c r="G3467" t="inlineStr">
        <is>
          <t>Down</t>
        </is>
      </c>
      <c r="H3467" t="inlineStr">
        <is>
          <t>ED_JD</t>
        </is>
      </c>
      <c r="I3467" t="inlineStr">
        <is>
          <t>2020-04</t>
        </is>
      </c>
      <c r="J3467" t="n">
        <v>1</v>
      </c>
      <c r="K3467" t="n">
        <v>1</v>
      </c>
      <c r="L3467" s="34">
        <f>IF($J3467=1,LN(B3468/B3467),"")</f>
        <v/>
      </c>
      <c r="M3467" s="34">
        <f>IF($K3467=1,INDEX(Mensal!$D$2:$D$245,MATCH($I3467,Mensal!$A$2:$A$245,0)),"")</f>
        <v/>
      </c>
      <c r="N3467" s="34">
        <f>IF($K3467=1,L3467-M3467,"")</f>
        <v/>
      </c>
      <c r="O3467" s="34" t="n">
        <v>0.00014227</v>
      </c>
      <c r="P3467" s="34">
        <f>IF($J3467=1,LN(1+O3467),"")</f>
        <v/>
      </c>
      <c r="Q3467" s="34">
        <f>IF($J3467=1,LN(R3468/R3467),"")</f>
        <v/>
      </c>
      <c r="R3467" s="32" t="n">
        <v>5.3847</v>
      </c>
      <c r="S3467" s="35" t="n">
        <v>2.705</v>
      </c>
      <c r="T3467" s="18" t="n"/>
      <c r="U3467" s="18" t="n"/>
      <c r="V3467" s="18" t="n">
        <v>80687.14999999999</v>
      </c>
      <c r="W3467" s="18" t="n"/>
      <c r="X3467" s="35" t="n"/>
      <c r="Y3467" s="35" t="n">
        <v>2.705</v>
      </c>
    </row>
    <row r="3468">
      <c r="A3468" s="25" t="n">
        <v>43944</v>
      </c>
      <c r="B3468" s="18" t="n">
        <v>79673.3</v>
      </c>
      <c r="C3468" s="31" t="n"/>
      <c r="D3468" s="32" t="n"/>
      <c r="E3468" s="33" t="n">
        <v>-4.3526</v>
      </c>
      <c r="F3468" t="inlineStr">
        <is>
          <t>Down</t>
        </is>
      </c>
      <c r="G3468" t="inlineStr">
        <is>
          <t>Down</t>
        </is>
      </c>
      <c r="H3468" t="inlineStr">
        <is>
          <t>ED_JD</t>
        </is>
      </c>
      <c r="I3468" t="inlineStr">
        <is>
          <t>2020-04</t>
        </is>
      </c>
      <c r="J3468" t="n">
        <v>1</v>
      </c>
      <c r="K3468" t="n">
        <v>1</v>
      </c>
      <c r="L3468" s="34">
        <f>IF($J3468=1,LN(B3469/B3468),"")</f>
        <v/>
      </c>
      <c r="M3468" s="34">
        <f>IF($K3468=1,INDEX(Mensal!$D$2:$D$245,MATCH($I3468,Mensal!$A$2:$A$245,0)),"")</f>
        <v/>
      </c>
      <c r="N3468" s="34">
        <f>IF($K3468=1,L3468-M3468,"")</f>
        <v/>
      </c>
      <c r="O3468" s="34" t="n">
        <v>0.00014227</v>
      </c>
      <c r="P3468" s="34">
        <f>IF($J3468=1,LN(1+O3468),"")</f>
        <v/>
      </c>
      <c r="Q3468" s="34">
        <f>IF($J3468=1,LN(R3469/R3468),"")</f>
        <v/>
      </c>
      <c r="R3468" s="32" t="n">
        <v>5.4467</v>
      </c>
      <c r="S3468" s="35" t="n">
        <v>2.83</v>
      </c>
      <c r="T3468" s="18" t="n"/>
      <c r="U3468" s="18" t="n"/>
      <c r="V3468" s="18" t="n">
        <v>79673.3</v>
      </c>
      <c r="W3468" s="18" t="n"/>
      <c r="X3468" s="35" t="n"/>
      <c r="Y3468" s="35" t="n">
        <v>2.83</v>
      </c>
    </row>
    <row r="3469">
      <c r="A3469" s="25" t="n">
        <v>43945</v>
      </c>
      <c r="B3469" s="18" t="n">
        <v>75330.61</v>
      </c>
      <c r="C3469" s="31" t="n"/>
      <c r="D3469" s="32" t="n"/>
      <c r="E3469" s="33" t="n">
        <v>-4.5224</v>
      </c>
      <c r="F3469" t="inlineStr">
        <is>
          <t>Down</t>
        </is>
      </c>
      <c r="G3469" t="inlineStr">
        <is>
          <t>Down</t>
        </is>
      </c>
      <c r="H3469" t="inlineStr">
        <is>
          <t>ED_JD</t>
        </is>
      </c>
      <c r="I3469" t="inlineStr">
        <is>
          <t>2020-04</t>
        </is>
      </c>
      <c r="J3469" t="n">
        <v>1</v>
      </c>
      <c r="K3469" t="n">
        <v>1</v>
      </c>
      <c r="L3469" s="34">
        <f>IF($J3469=1,LN(B3470/B3469),"")</f>
        <v/>
      </c>
      <c r="M3469" s="34">
        <f>IF($K3469=1,INDEX(Mensal!$D$2:$D$245,MATCH($I3469,Mensal!$A$2:$A$245,0)),"")</f>
        <v/>
      </c>
      <c r="N3469" s="34">
        <f>IF($K3469=1,L3469-M3469,"")</f>
        <v/>
      </c>
      <c r="O3469" s="34" t="n">
        <v>0.00014227</v>
      </c>
      <c r="P3469" s="34">
        <f>IF($J3469=1,LN(1+O3469),"")</f>
        <v/>
      </c>
      <c r="Q3469" s="34">
        <f>IF($J3469=1,LN(R3470/R3469),"")</f>
        <v/>
      </c>
      <c r="R3469" s="32" t="n">
        <v>5.651</v>
      </c>
      <c r="S3469" s="35" t="n">
        <v>3.351</v>
      </c>
      <c r="T3469" s="18" t="n"/>
      <c r="U3469" s="18" t="n"/>
      <c r="V3469" s="18" t="n">
        <v>75330.61</v>
      </c>
      <c r="W3469" s="18" t="n"/>
      <c r="X3469" s="35" t="n"/>
      <c r="Y3469" s="35" t="n">
        <v>3.351</v>
      </c>
    </row>
    <row r="3470">
      <c r="A3470" s="25" t="n">
        <v>43948</v>
      </c>
      <c r="B3470" s="18" t="n">
        <v>78238.60000000001</v>
      </c>
      <c r="C3470" s="31" t="n"/>
      <c r="D3470" s="32" t="n"/>
      <c r="E3470" s="33" t="n">
        <v>-4.7012</v>
      </c>
      <c r="F3470" t="inlineStr">
        <is>
          <t>Down</t>
        </is>
      </c>
      <c r="G3470" t="inlineStr">
        <is>
          <t>Down</t>
        </is>
      </c>
      <c r="H3470" t="inlineStr">
        <is>
          <t>ED_JD</t>
        </is>
      </c>
      <c r="I3470" t="inlineStr">
        <is>
          <t>2020-04</t>
        </is>
      </c>
      <c r="J3470" t="n">
        <v>1</v>
      </c>
      <c r="K3470" t="n">
        <v>1</v>
      </c>
      <c r="L3470" s="34">
        <f>IF($J3470=1,LN(B3471/B3470),"")</f>
        <v/>
      </c>
      <c r="M3470" s="34">
        <f>IF($K3470=1,INDEX(Mensal!$D$2:$D$245,MATCH($I3470,Mensal!$A$2:$A$245,0)),"")</f>
        <v/>
      </c>
      <c r="N3470" s="34">
        <f>IF($K3470=1,L3470-M3470,"")</f>
        <v/>
      </c>
      <c r="O3470" s="34" t="n">
        <v>0.00014227</v>
      </c>
      <c r="P3470" s="34">
        <f>IF($J3470=1,LN(1+O3470),"")</f>
        <v/>
      </c>
      <c r="Q3470" s="34">
        <f>IF($J3470=1,LN(R3471/R3470),"")</f>
        <v/>
      </c>
      <c r="R3470" s="32" t="n">
        <v>5.6358</v>
      </c>
      <c r="S3470" s="35" t="n">
        <v>3.513</v>
      </c>
      <c r="T3470" s="18" t="n"/>
      <c r="U3470" s="18" t="n"/>
      <c r="V3470" s="18" t="n">
        <v>78238.60000000001</v>
      </c>
      <c r="W3470" s="18" t="n"/>
      <c r="X3470" s="35" t="n"/>
      <c r="Y3470" s="35" t="n">
        <v>3.513</v>
      </c>
    </row>
    <row r="3471">
      <c r="A3471" s="25" t="n">
        <v>43949</v>
      </c>
      <c r="B3471" s="18" t="n">
        <v>81312.23</v>
      </c>
      <c r="C3471" s="31" t="n"/>
      <c r="D3471" s="32" t="n"/>
      <c r="E3471" s="33" t="n">
        <v>-4.8743</v>
      </c>
      <c r="F3471" t="inlineStr">
        <is>
          <t>Down</t>
        </is>
      </c>
      <c r="G3471" t="inlineStr">
        <is>
          <t>Down</t>
        </is>
      </c>
      <c r="H3471" t="inlineStr">
        <is>
          <t>ED_JD</t>
        </is>
      </c>
      <c r="I3471" t="inlineStr">
        <is>
          <t>2020-04</t>
        </is>
      </c>
      <c r="J3471" t="n">
        <v>1</v>
      </c>
      <c r="K3471" t="n">
        <v>1</v>
      </c>
      <c r="L3471" s="34">
        <f>IF($J3471=1,LN(B3472/B3471),"")</f>
        <v/>
      </c>
      <c r="M3471" s="34">
        <f>IF($K3471=1,INDEX(Mensal!$D$2:$D$245,MATCH($I3471,Mensal!$A$2:$A$245,0)),"")</f>
        <v/>
      </c>
      <c r="N3471" s="34">
        <f>IF($K3471=1,L3471-M3471,"")</f>
        <v/>
      </c>
      <c r="O3471" s="34" t="n">
        <v>0.00014227</v>
      </c>
      <c r="P3471" s="34">
        <f>IF($J3471=1,LN(1+O3471),"")</f>
        <v/>
      </c>
      <c r="Q3471" s="34">
        <f>IF($J3471=1,LN(R3472/R3471),"")</f>
        <v/>
      </c>
      <c r="R3471" s="32" t="n">
        <v>5.5683</v>
      </c>
      <c r="S3471" s="35" t="n">
        <v>3.012</v>
      </c>
      <c r="T3471" s="18" t="n"/>
      <c r="U3471" s="18" t="n"/>
      <c r="V3471" s="18" t="n">
        <v>81312.23</v>
      </c>
      <c r="W3471" s="18" t="n"/>
      <c r="X3471" s="35" t="n"/>
      <c r="Y3471" s="35" t="n">
        <v>3.012</v>
      </c>
    </row>
    <row r="3472">
      <c r="A3472" s="25" t="n">
        <v>43950</v>
      </c>
      <c r="B3472" s="18" t="n">
        <v>83170.8</v>
      </c>
      <c r="C3472" s="31" t="n"/>
      <c r="D3472" s="32" t="n"/>
      <c r="E3472" s="33" t="n">
        <v>-5.0591</v>
      </c>
      <c r="F3472" t="inlineStr">
        <is>
          <t>Down</t>
        </is>
      </c>
      <c r="G3472" t="inlineStr">
        <is>
          <t>Down</t>
        </is>
      </c>
      <c r="H3472" t="inlineStr">
        <is>
          <t>ED_JD</t>
        </is>
      </c>
      <c r="I3472" t="inlineStr">
        <is>
          <t>2020-04</t>
        </is>
      </c>
      <c r="J3472" t="n">
        <v>1</v>
      </c>
      <c r="K3472" t="n">
        <v>1</v>
      </c>
      <c r="L3472" s="34">
        <f>IF($J3472=1,LN(B3473/B3472),"")</f>
        <v/>
      </c>
      <c r="M3472" s="34">
        <f>IF($K3472=1,INDEX(Mensal!$D$2:$D$245,MATCH($I3472,Mensal!$A$2:$A$245,0)),"")</f>
        <v/>
      </c>
      <c r="N3472" s="34">
        <f>IF($K3472=1,L3472-M3472,"")</f>
        <v/>
      </c>
      <c r="O3472" s="34" t="n">
        <v>0.00014227</v>
      </c>
      <c r="P3472" s="34">
        <f>IF($J3472=1,LN(1+O3472),"")</f>
        <v/>
      </c>
      <c r="Q3472" s="34">
        <f>IF($J3472=1,LN(R3473/R3472),"")</f>
        <v/>
      </c>
      <c r="R3472" s="32" t="n">
        <v>5.4291</v>
      </c>
      <c r="S3472" s="35" t="n">
        <v>3.023</v>
      </c>
      <c r="T3472" s="18" t="n"/>
      <c r="U3472" s="18" t="n"/>
      <c r="V3472" s="18" t="n">
        <v>83170.8</v>
      </c>
      <c r="W3472" s="18" t="n"/>
      <c r="X3472" s="35" t="n"/>
      <c r="Y3472" s="35" t="n">
        <v>3.023</v>
      </c>
    </row>
    <row r="3473">
      <c r="A3473" s="25" t="n">
        <v>43951</v>
      </c>
      <c r="B3473" s="18" t="n">
        <v>80505.89</v>
      </c>
      <c r="C3473" s="31" t="n"/>
      <c r="D3473" s="32" t="n"/>
      <c r="E3473" s="33" t="n">
        <v>-5.2183</v>
      </c>
      <c r="F3473" t="inlineStr">
        <is>
          <t>Down</t>
        </is>
      </c>
      <c r="G3473" t="inlineStr">
        <is>
          <t>Down</t>
        </is>
      </c>
      <c r="H3473" t="inlineStr">
        <is>
          <t>ED_JD</t>
        </is>
      </c>
      <c r="I3473" t="inlineStr">
        <is>
          <t>2020-04</t>
        </is>
      </c>
      <c r="J3473" t="n">
        <v>1</v>
      </c>
      <c r="K3473" t="n">
        <v>1</v>
      </c>
      <c r="L3473" s="34">
        <f>IF($J3473=1,LN(B3474/B3473),"")</f>
        <v/>
      </c>
      <c r="M3473" s="34">
        <f>IF($K3473=1,INDEX(Mensal!$D$2:$D$245,MATCH($I3473,Mensal!$A$2:$A$245,0)),"")</f>
        <v/>
      </c>
      <c r="N3473" s="34">
        <f>IF($K3473=1,L3473-M3473,"")</f>
        <v/>
      </c>
      <c r="O3473" s="34" t="n">
        <v>0.00014227</v>
      </c>
      <c r="P3473" s="34">
        <f>IF($J3473=1,LN(1+O3473),"")</f>
        <v/>
      </c>
      <c r="Q3473" s="34">
        <f>IF($J3473=1,LN(R3474/R3473),"")</f>
        <v/>
      </c>
      <c r="R3473" s="32" t="n">
        <v>5.427</v>
      </c>
      <c r="S3473" s="35" t="n">
        <v>2.938</v>
      </c>
      <c r="T3473" s="18" t="n"/>
      <c r="U3473" s="18" t="n"/>
      <c r="V3473" s="18" t="n">
        <v>80505.89</v>
      </c>
      <c r="W3473" s="18" t="n"/>
      <c r="X3473" s="35" t="n"/>
      <c r="Y3473" s="35" t="n">
        <v>2.938</v>
      </c>
    </row>
    <row r="3474">
      <c r="A3474" s="25" t="n">
        <v>43955</v>
      </c>
      <c r="B3474" s="18" t="n">
        <v>78876.22</v>
      </c>
      <c r="C3474" s="31" t="n"/>
      <c r="D3474" s="32" t="n"/>
      <c r="E3474" s="33" t="n">
        <v>-5.3812</v>
      </c>
      <c r="F3474" t="inlineStr">
        <is>
          <t>Down</t>
        </is>
      </c>
      <c r="G3474" t="inlineStr">
        <is>
          <t>Down</t>
        </is>
      </c>
      <c r="H3474" t="inlineStr">
        <is>
          <t>ED_JD</t>
        </is>
      </c>
      <c r="I3474" t="inlineStr">
        <is>
          <t>2020-05</t>
        </is>
      </c>
      <c r="J3474" t="n">
        <v>1</v>
      </c>
      <c r="K3474" t="n">
        <v>1</v>
      </c>
      <c r="L3474" s="34">
        <f>IF($J3474=1,LN(B3475/B3474),"")</f>
        <v/>
      </c>
      <c r="M3474" s="34">
        <f>IF($K3474=1,INDEX(Mensal!$D$2:$D$245,MATCH($I3474,Mensal!$A$2:$A$245,0)),"")</f>
        <v/>
      </c>
      <c r="N3474" s="34">
        <f>IF($K3474=1,L3474-M3474,"")</f>
        <v/>
      </c>
      <c r="O3474" s="34" t="n">
        <v>0.00014227</v>
      </c>
      <c r="P3474" s="34">
        <f>IF($J3474=1,LN(1+O3474),"")</f>
        <v/>
      </c>
      <c r="Q3474" s="34">
        <f>IF($J3474=1,LN(R3475/R3474),"")</f>
        <v/>
      </c>
      <c r="R3474" s="32" t="n">
        <v>5.5816</v>
      </c>
      <c r="S3474" s="35" t="n">
        <v>2.952</v>
      </c>
      <c r="T3474" s="18" t="n"/>
      <c r="U3474" s="18" t="n"/>
      <c r="V3474" s="18" t="n">
        <v>78876.22</v>
      </c>
      <c r="W3474" s="18" t="n"/>
      <c r="X3474" s="35" t="n"/>
      <c r="Y3474" s="35" t="n">
        <v>2.952</v>
      </c>
    </row>
    <row r="3475">
      <c r="A3475" s="25" t="n">
        <v>43956</v>
      </c>
      <c r="B3475" s="18" t="n">
        <v>79470.78</v>
      </c>
      <c r="C3475" s="31" t="n"/>
      <c r="D3475" s="32" t="n"/>
      <c r="E3475" s="33" t="n">
        <v>-5.533</v>
      </c>
      <c r="F3475" t="inlineStr">
        <is>
          <t>Down</t>
        </is>
      </c>
      <c r="G3475" t="inlineStr">
        <is>
          <t>Down</t>
        </is>
      </c>
      <c r="H3475" t="inlineStr">
        <is>
          <t>ED_JD</t>
        </is>
      </c>
      <c r="I3475" t="inlineStr">
        <is>
          <t>2020-05</t>
        </is>
      </c>
      <c r="J3475" t="n">
        <v>1</v>
      </c>
      <c r="K3475" t="n">
        <v>1</v>
      </c>
      <c r="L3475" s="34">
        <f>IF($J3475=1,LN(B3476/B3475),"")</f>
        <v/>
      </c>
      <c r="M3475" s="34">
        <f>IF($K3475=1,INDEX(Mensal!$D$2:$D$245,MATCH($I3475,Mensal!$A$2:$A$245,0)),"")</f>
        <v/>
      </c>
      <c r="N3475" s="34">
        <f>IF($K3475=1,L3475-M3475,"")</f>
        <v/>
      </c>
      <c r="O3475" s="34" t="n">
        <v>0.00014227</v>
      </c>
      <c r="P3475" s="34">
        <f>IF($J3475=1,LN(1+O3475),"")</f>
        <v/>
      </c>
      <c r="Q3475" s="34">
        <f>IF($J3475=1,LN(R3476/R3475),"")</f>
        <v/>
      </c>
      <c r="R3475" s="32" t="n">
        <v>5.5354</v>
      </c>
      <c r="S3475" s="35" t="n">
        <v>2.865</v>
      </c>
      <c r="T3475" s="18" t="n"/>
      <c r="U3475" s="18" t="n"/>
      <c r="V3475" s="18" t="n">
        <v>79470.78</v>
      </c>
      <c r="W3475" s="18" t="n"/>
      <c r="X3475" s="35" t="n"/>
      <c r="Y3475" s="35" t="n">
        <v>2.865</v>
      </c>
    </row>
    <row r="3476">
      <c r="A3476" s="25" t="n">
        <v>43957</v>
      </c>
      <c r="B3476" s="18" t="n">
        <v>79063.67999999999</v>
      </c>
      <c r="C3476" s="31" t="n"/>
      <c r="D3476" s="32" t="n"/>
      <c r="E3476" s="33" t="n">
        <v>-5.6797</v>
      </c>
      <c r="F3476" t="inlineStr">
        <is>
          <t>Down</t>
        </is>
      </c>
      <c r="G3476" t="inlineStr">
        <is>
          <t>Down</t>
        </is>
      </c>
      <c r="H3476" t="inlineStr">
        <is>
          <t>ED_JD</t>
        </is>
      </c>
      <c r="I3476" t="inlineStr">
        <is>
          <t>2020-05</t>
        </is>
      </c>
      <c r="J3476" t="n">
        <v>1</v>
      </c>
      <c r="K3476" t="n">
        <v>1</v>
      </c>
      <c r="L3476" s="34">
        <f>IF($J3476=1,LN(B3477/B3476),"")</f>
        <v/>
      </c>
      <c r="M3476" s="34">
        <f>IF($K3476=1,INDEX(Mensal!$D$2:$D$245,MATCH($I3476,Mensal!$A$2:$A$245,0)),"")</f>
        <v/>
      </c>
      <c r="N3476" s="34">
        <f>IF($K3476=1,L3476-M3476,"")</f>
        <v/>
      </c>
      <c r="O3476" s="34" t="n">
        <v>0.00014227</v>
      </c>
      <c r="P3476" s="34">
        <f>IF($J3476=1,LN(1+O3476),"")</f>
        <v/>
      </c>
      <c r="Q3476" s="34">
        <f>IF($J3476=1,LN(R3477/R3476),"")</f>
        <v/>
      </c>
      <c r="R3476" s="32" t="n">
        <v>5.6676</v>
      </c>
      <c r="S3476" s="35" t="n">
        <v>2.85</v>
      </c>
      <c r="T3476" s="18" t="n"/>
      <c r="U3476" s="18" t="n"/>
      <c r="V3476" s="18" t="n">
        <v>79063.67999999999</v>
      </c>
      <c r="W3476" s="18" t="n"/>
      <c r="X3476" s="35" t="n"/>
      <c r="Y3476" s="35" t="n">
        <v>2.85</v>
      </c>
    </row>
    <row r="3477">
      <c r="A3477" s="25" t="n">
        <v>43958</v>
      </c>
      <c r="B3477" s="18" t="n">
        <v>78118.57000000001</v>
      </c>
      <c r="C3477" s="31" t="n"/>
      <c r="D3477" s="32" t="n"/>
      <c r="E3477" s="33" t="n">
        <v>-5.823</v>
      </c>
      <c r="F3477" t="inlineStr">
        <is>
          <t>Down</t>
        </is>
      </c>
      <c r="G3477" t="inlineStr">
        <is>
          <t>Down</t>
        </is>
      </c>
      <c r="H3477" t="inlineStr">
        <is>
          <t>ED_JD</t>
        </is>
      </c>
      <c r="I3477" t="inlineStr">
        <is>
          <t>2020-05</t>
        </is>
      </c>
      <c r="J3477" t="n">
        <v>1</v>
      </c>
      <c r="K3477" t="n">
        <v>1</v>
      </c>
      <c r="L3477" s="34">
        <f>IF($J3477=1,LN(B3478/B3477),"")</f>
        <v/>
      </c>
      <c r="M3477" s="34">
        <f>IF($K3477=1,INDEX(Mensal!$D$2:$D$245,MATCH($I3477,Mensal!$A$2:$A$245,0)),"")</f>
        <v/>
      </c>
      <c r="N3477" s="34">
        <f>IF($K3477=1,L3477-M3477,"")</f>
        <v/>
      </c>
      <c r="O3477" s="34" t="n">
        <v>0.00011345</v>
      </c>
      <c r="P3477" s="34">
        <f>IF($J3477=1,LN(1+O3477),"")</f>
        <v/>
      </c>
      <c r="Q3477" s="34">
        <f>IF($J3477=1,LN(R3478/R3477),"")</f>
        <v/>
      </c>
      <c r="R3477" s="32" t="n">
        <v>5.8365</v>
      </c>
      <c r="S3477" s="35" t="n">
        <v>2.67</v>
      </c>
      <c r="T3477" s="18" t="n"/>
      <c r="U3477" s="18" t="n"/>
      <c r="V3477" s="18" t="n">
        <v>78118.57000000001</v>
      </c>
      <c r="W3477" s="18" t="n"/>
      <c r="X3477" s="35" t="n"/>
      <c r="Y3477" s="35" t="n">
        <v>2.67</v>
      </c>
    </row>
    <row r="3478">
      <c r="A3478" s="25" t="n">
        <v>43959</v>
      </c>
      <c r="B3478" s="18" t="n">
        <v>80263.35000000001</v>
      </c>
      <c r="C3478" s="31" t="n"/>
      <c r="D3478" s="32" t="n"/>
      <c r="E3478" s="33" t="n">
        <v>-5.9498</v>
      </c>
      <c r="F3478" t="inlineStr">
        <is>
          <t>Down</t>
        </is>
      </c>
      <c r="G3478" t="inlineStr">
        <is>
          <t>Down</t>
        </is>
      </c>
      <c r="H3478" t="inlineStr">
        <is>
          <t>ED_JD</t>
        </is>
      </c>
      <c r="I3478" t="inlineStr">
        <is>
          <t>2020-05</t>
        </is>
      </c>
      <c r="J3478" t="n">
        <v>1</v>
      </c>
      <c r="K3478" t="n">
        <v>1</v>
      </c>
      <c r="L3478" s="34">
        <f>IF($J3478=1,LN(B3479/B3478),"")</f>
        <v/>
      </c>
      <c r="M3478" s="34">
        <f>IF($K3478=1,INDEX(Mensal!$D$2:$D$245,MATCH($I3478,Mensal!$A$2:$A$245,0)),"")</f>
        <v/>
      </c>
      <c r="N3478" s="34">
        <f>IF($K3478=1,L3478-M3478,"")</f>
        <v/>
      </c>
      <c r="O3478" s="34" t="n">
        <v>0.00011345</v>
      </c>
      <c r="P3478" s="34">
        <f>IF($J3478=1,LN(1+O3478),"")</f>
        <v/>
      </c>
      <c r="Q3478" s="34">
        <f>IF($J3478=1,LN(R3479/R3478),"")</f>
        <v/>
      </c>
      <c r="R3478" s="32" t="n">
        <v>5.7653</v>
      </c>
      <c r="S3478" s="35" t="n">
        <v>2.61</v>
      </c>
      <c r="T3478" s="18" t="n"/>
      <c r="U3478" s="18" t="n"/>
      <c r="V3478" s="18" t="n">
        <v>80263.35000000001</v>
      </c>
      <c r="W3478" s="18" t="n"/>
      <c r="X3478" s="35" t="n"/>
      <c r="Y3478" s="35" t="n">
        <v>2.61</v>
      </c>
    </row>
    <row r="3479">
      <c r="A3479" s="25" t="n">
        <v>43962</v>
      </c>
      <c r="B3479" s="18" t="n">
        <v>79064.60000000001</v>
      </c>
      <c r="C3479" s="31" t="n"/>
      <c r="D3479" s="32" t="n"/>
      <c r="E3479" s="33" t="n">
        <v>-6.0698</v>
      </c>
      <c r="F3479" t="inlineStr">
        <is>
          <t>Down</t>
        </is>
      </c>
      <c r="G3479" t="inlineStr">
        <is>
          <t>Down</t>
        </is>
      </c>
      <c r="H3479" t="inlineStr">
        <is>
          <t>ED_JD</t>
        </is>
      </c>
      <c r="I3479" t="inlineStr">
        <is>
          <t>2020-05</t>
        </is>
      </c>
      <c r="J3479" t="n">
        <v>1</v>
      </c>
      <c r="K3479" t="n">
        <v>1</v>
      </c>
      <c r="L3479" s="34">
        <f>IF($J3479=1,LN(B3480/B3479),"")</f>
        <v/>
      </c>
      <c r="M3479" s="34">
        <f>IF($K3479=1,INDEX(Mensal!$D$2:$D$245,MATCH($I3479,Mensal!$A$2:$A$245,0)),"")</f>
        <v/>
      </c>
      <c r="N3479" s="34">
        <f>IF($K3479=1,L3479-M3479,"")</f>
        <v/>
      </c>
      <c r="O3479" s="34" t="n">
        <v>0.00011345</v>
      </c>
      <c r="P3479" s="34">
        <f>IF($J3479=1,LN(1+O3479),"")</f>
        <v/>
      </c>
      <c r="Q3479" s="34">
        <f>IF($J3479=1,LN(R3480/R3479),"")</f>
        <v/>
      </c>
      <c r="R3479" s="32" t="n">
        <v>5.7954</v>
      </c>
      <c r="S3479" s="35" t="n">
        <v>2.635</v>
      </c>
      <c r="T3479" s="18" t="n"/>
      <c r="U3479" s="18" t="n"/>
      <c r="V3479" s="18" t="n">
        <v>79064.60000000001</v>
      </c>
      <c r="W3479" s="18" t="n"/>
      <c r="X3479" s="35" t="n"/>
      <c r="Y3479" s="35" t="n">
        <v>2.635</v>
      </c>
    </row>
    <row r="3480">
      <c r="A3480" s="25" t="n">
        <v>43963</v>
      </c>
      <c r="B3480" s="18" t="n">
        <v>77871.95</v>
      </c>
      <c r="C3480" s="31" t="n"/>
      <c r="D3480" s="32" t="n"/>
      <c r="E3480" s="33" t="n">
        <v>-6.1729</v>
      </c>
      <c r="F3480" t="inlineStr">
        <is>
          <t>Down</t>
        </is>
      </c>
      <c r="G3480" t="inlineStr">
        <is>
          <t>Down</t>
        </is>
      </c>
      <c r="H3480" t="inlineStr">
        <is>
          <t>ED_JD</t>
        </is>
      </c>
      <c r="I3480" t="inlineStr">
        <is>
          <t>2020-05</t>
        </is>
      </c>
      <c r="J3480" t="n">
        <v>1</v>
      </c>
      <c r="K3480" t="n">
        <v>1</v>
      </c>
      <c r="L3480" s="34">
        <f>IF($J3480=1,LN(B3481/B3480),"")</f>
        <v/>
      </c>
      <c r="M3480" s="34">
        <f>IF($K3480=1,INDEX(Mensal!$D$2:$D$245,MATCH($I3480,Mensal!$A$2:$A$245,0)),"")</f>
        <v/>
      </c>
      <c r="N3480" s="34">
        <f>IF($K3480=1,L3480-M3480,"")</f>
        <v/>
      </c>
      <c r="O3480" s="34" t="n">
        <v>0.00011345</v>
      </c>
      <c r="P3480" s="34">
        <f>IF($J3480=1,LN(1+O3480),"")</f>
        <v/>
      </c>
      <c r="Q3480" s="34">
        <f>IF($J3480=1,LN(R3481/R3480),"")</f>
        <v/>
      </c>
      <c r="R3480" s="32" t="n">
        <v>5.7723</v>
      </c>
      <c r="S3480" s="35" t="n">
        <v>2.816</v>
      </c>
      <c r="T3480" s="18" t="n"/>
      <c r="U3480" s="18" t="n"/>
      <c r="V3480" s="18" t="n">
        <v>77871.95</v>
      </c>
      <c r="W3480" s="18" t="n"/>
      <c r="X3480" s="35" t="n"/>
      <c r="Y3480" s="35" t="n">
        <v>2.816</v>
      </c>
    </row>
    <row r="3481">
      <c r="A3481" s="25" t="n">
        <v>43964</v>
      </c>
      <c r="B3481" s="18" t="n">
        <v>77772.2</v>
      </c>
      <c r="C3481" s="31" t="n"/>
      <c r="D3481" s="32" t="n"/>
      <c r="E3481" s="33" t="n">
        <v>-6.2642</v>
      </c>
      <c r="F3481" t="inlineStr">
        <is>
          <t>Down</t>
        </is>
      </c>
      <c r="G3481" t="inlineStr">
        <is>
          <t>Down</t>
        </is>
      </c>
      <c r="H3481" t="inlineStr">
        <is>
          <t>ED_JD</t>
        </is>
      </c>
      <c r="I3481" t="inlineStr">
        <is>
          <t>2020-05</t>
        </is>
      </c>
      <c r="J3481" t="n">
        <v>1</v>
      </c>
      <c r="K3481" t="n">
        <v>1</v>
      </c>
      <c r="L3481" s="34">
        <f>IF($J3481=1,LN(B3482/B3481),"")</f>
        <v/>
      </c>
      <c r="M3481" s="34">
        <f>IF($K3481=1,INDEX(Mensal!$D$2:$D$245,MATCH($I3481,Mensal!$A$2:$A$245,0)),"")</f>
        <v/>
      </c>
      <c r="N3481" s="34">
        <f>IF($K3481=1,L3481-M3481,"")</f>
        <v/>
      </c>
      <c r="O3481" s="34" t="n">
        <v>0.00011345</v>
      </c>
      <c r="P3481" s="34">
        <f>IF($J3481=1,LN(1+O3481),"")</f>
        <v/>
      </c>
      <c r="Q3481" s="34">
        <f>IF($J3481=1,LN(R3482/R3481),"")</f>
        <v/>
      </c>
      <c r="R3481" s="32" t="n">
        <v>5.9022</v>
      </c>
      <c r="S3481" s="35" t="n">
        <v>2.886</v>
      </c>
      <c r="T3481" s="18" t="n"/>
      <c r="U3481" s="18" t="n"/>
      <c r="V3481" s="18" t="n">
        <v>77772.2</v>
      </c>
      <c r="W3481" s="18" t="n"/>
      <c r="X3481" s="35" t="n"/>
      <c r="Y3481" s="35" t="n">
        <v>2.886</v>
      </c>
    </row>
    <row r="3482">
      <c r="A3482" s="25" t="n">
        <v>43965</v>
      </c>
      <c r="B3482" s="18" t="n">
        <v>79010.81</v>
      </c>
      <c r="C3482" s="31" t="n"/>
      <c r="D3482" s="32" t="n"/>
      <c r="E3482" s="33" t="n">
        <v>-6.3427</v>
      </c>
      <c r="F3482" t="inlineStr">
        <is>
          <t>Down</t>
        </is>
      </c>
      <c r="G3482" t="inlineStr">
        <is>
          <t>Down</t>
        </is>
      </c>
      <c r="H3482" t="inlineStr">
        <is>
          <t>ED_JD</t>
        </is>
      </c>
      <c r="I3482" t="inlineStr">
        <is>
          <t>2020-05</t>
        </is>
      </c>
      <c r="J3482" t="n">
        <v>1</v>
      </c>
      <c r="K3482" t="n">
        <v>1</v>
      </c>
      <c r="L3482" s="34">
        <f>IF($J3482=1,LN(B3483/B3482),"")</f>
        <v/>
      </c>
      <c r="M3482" s="34">
        <f>IF($K3482=1,INDEX(Mensal!$D$2:$D$245,MATCH($I3482,Mensal!$A$2:$A$245,0)),"")</f>
        <v/>
      </c>
      <c r="N3482" s="34">
        <f>IF($K3482=1,L3482-M3482,"")</f>
        <v/>
      </c>
      <c r="O3482" s="34" t="n">
        <v>0.00011345</v>
      </c>
      <c r="P3482" s="34">
        <f>IF($J3482=1,LN(1+O3482),"")</f>
        <v/>
      </c>
      <c r="Q3482" s="34">
        <f>IF($J3482=1,LN(R3483/R3482),"")</f>
        <v/>
      </c>
      <c r="R3482" s="32" t="n">
        <v>5.9372</v>
      </c>
      <c r="S3482" s="35" t="n">
        <v>2.888</v>
      </c>
      <c r="T3482" s="18" t="n"/>
      <c r="U3482" s="18" t="n"/>
      <c r="V3482" s="18" t="n">
        <v>79010.81</v>
      </c>
      <c r="W3482" s="18" t="n"/>
      <c r="X3482" s="35" t="n"/>
      <c r="Y3482" s="35" t="n">
        <v>2.888</v>
      </c>
    </row>
    <row r="3483">
      <c r="A3483" s="25" t="n">
        <v>43966</v>
      </c>
      <c r="B3483" s="18" t="n">
        <v>77556.62</v>
      </c>
      <c r="C3483" s="31" t="n"/>
      <c r="D3483" s="32" t="n"/>
      <c r="E3483" s="33" t="n">
        <v>-6.4396</v>
      </c>
      <c r="F3483" t="inlineStr">
        <is>
          <t>Down</t>
        </is>
      </c>
      <c r="G3483" t="inlineStr">
        <is>
          <t>Down</t>
        </is>
      </c>
      <c r="H3483" t="inlineStr">
        <is>
          <t>ED_JD</t>
        </is>
      </c>
      <c r="I3483" t="inlineStr">
        <is>
          <t>2020-05</t>
        </is>
      </c>
      <c r="J3483" t="n">
        <v>1</v>
      </c>
      <c r="K3483" t="n">
        <v>1</v>
      </c>
      <c r="L3483" s="34">
        <f>IF($J3483=1,LN(B3484/B3483),"")</f>
        <v/>
      </c>
      <c r="M3483" s="34">
        <f>IF($K3483=1,INDEX(Mensal!$D$2:$D$245,MATCH($I3483,Mensal!$A$2:$A$245,0)),"")</f>
        <v/>
      </c>
      <c r="N3483" s="34">
        <f>IF($K3483=1,L3483-M3483,"")</f>
        <v/>
      </c>
      <c r="O3483" s="34" t="n">
        <v>0.00011345</v>
      </c>
      <c r="P3483" s="34">
        <f>IF($J3483=1,LN(1+O3483),"")</f>
        <v/>
      </c>
      <c r="Q3483" s="34">
        <f>IF($J3483=1,LN(R3484/R3483),"")</f>
        <v/>
      </c>
      <c r="R3483" s="32" t="n">
        <v>5.8229</v>
      </c>
      <c r="S3483" s="35" t="n">
        <v>2.771</v>
      </c>
      <c r="T3483" s="18" t="n"/>
      <c r="U3483" s="18" t="n"/>
      <c r="V3483" s="18" t="n">
        <v>77556.62</v>
      </c>
      <c r="W3483" s="18" t="n"/>
      <c r="X3483" s="35" t="n"/>
      <c r="Y3483" s="35" t="n">
        <v>2.771</v>
      </c>
    </row>
    <row r="3484">
      <c r="A3484" s="25" t="n">
        <v>43969</v>
      </c>
      <c r="B3484" s="18" t="n">
        <v>81194.28999999999</v>
      </c>
      <c r="C3484" s="31" t="n"/>
      <c r="D3484" s="32" t="n"/>
      <c r="E3484" s="33" t="n">
        <v>-6.5192</v>
      </c>
      <c r="F3484" t="inlineStr">
        <is>
          <t>Down</t>
        </is>
      </c>
      <c r="G3484" t="inlineStr">
        <is>
          <t>Down</t>
        </is>
      </c>
      <c r="H3484" t="inlineStr">
        <is>
          <t>ED_JD</t>
        </is>
      </c>
      <c r="I3484" t="inlineStr">
        <is>
          <t>2020-05</t>
        </is>
      </c>
      <c r="J3484" t="n">
        <v>1</v>
      </c>
      <c r="K3484" t="n">
        <v>1</v>
      </c>
      <c r="L3484" s="34">
        <f>IF($J3484=1,LN(B3485/B3484),"")</f>
        <v/>
      </c>
      <c r="M3484" s="34">
        <f>IF($K3484=1,INDEX(Mensal!$D$2:$D$245,MATCH($I3484,Mensal!$A$2:$A$245,0)),"")</f>
        <v/>
      </c>
      <c r="N3484" s="34">
        <f>IF($K3484=1,L3484-M3484,"")</f>
        <v/>
      </c>
      <c r="O3484" s="34" t="n">
        <v>0.00011345</v>
      </c>
      <c r="P3484" s="34">
        <f>IF($J3484=1,LN(1+O3484),"")</f>
        <v/>
      </c>
      <c r="Q3484" s="34">
        <f>IF($J3484=1,LN(R3485/R3484),"")</f>
        <v/>
      </c>
      <c r="R3484" s="32" t="n">
        <v>5.7375</v>
      </c>
      <c r="S3484" s="35" t="n">
        <v>2.743</v>
      </c>
      <c r="T3484" s="18" t="n"/>
      <c r="U3484" s="18" t="n"/>
      <c r="V3484" s="18" t="n">
        <v>81194.28999999999</v>
      </c>
      <c r="W3484" s="18" t="n"/>
      <c r="X3484" s="35" t="n"/>
      <c r="Y3484" s="35" t="n">
        <v>2.743</v>
      </c>
    </row>
    <row r="3485">
      <c r="A3485" s="25" t="n">
        <v>43970</v>
      </c>
      <c r="B3485" s="18" t="n">
        <v>80742.35000000001</v>
      </c>
      <c r="C3485" s="31" t="n"/>
      <c r="D3485" s="32" t="n"/>
      <c r="E3485" s="33" t="n">
        <v>-6.5771</v>
      </c>
      <c r="F3485" t="inlineStr">
        <is>
          <t>Down</t>
        </is>
      </c>
      <c r="G3485" t="inlineStr">
        <is>
          <t>Down</t>
        </is>
      </c>
      <c r="H3485" t="inlineStr">
        <is>
          <t>ED_JD</t>
        </is>
      </c>
      <c r="I3485" t="inlineStr">
        <is>
          <t>2020-05</t>
        </is>
      </c>
      <c r="J3485" t="n">
        <v>1</v>
      </c>
      <c r="K3485" t="n">
        <v>1</v>
      </c>
      <c r="L3485" s="34">
        <f>IF($J3485=1,LN(B3486/B3485),"")</f>
        <v/>
      </c>
      <c r="M3485" s="34">
        <f>IF($K3485=1,INDEX(Mensal!$D$2:$D$245,MATCH($I3485,Mensal!$A$2:$A$245,0)),"")</f>
        <v/>
      </c>
      <c r="N3485" s="34">
        <f>IF($K3485=1,L3485-M3485,"")</f>
        <v/>
      </c>
      <c r="O3485" s="34" t="n">
        <v>0.00011345</v>
      </c>
      <c r="P3485" s="34">
        <f>IF($J3485=1,LN(1+O3485),"")</f>
        <v/>
      </c>
      <c r="Q3485" s="34">
        <f>IF($J3485=1,LN(R3486/R3485),"")</f>
        <v/>
      </c>
      <c r="R3485" s="32" t="n">
        <v>5.7216</v>
      </c>
      <c r="S3485" s="35" t="n">
        <v>2.719</v>
      </c>
      <c r="T3485" s="18" t="n"/>
      <c r="U3485" s="18" t="n"/>
      <c r="V3485" s="18" t="n">
        <v>80742.35000000001</v>
      </c>
      <c r="W3485" s="18" t="n"/>
      <c r="X3485" s="35" t="n"/>
      <c r="Y3485" s="35" t="n">
        <v>2.719</v>
      </c>
    </row>
    <row r="3486">
      <c r="A3486" s="25" t="n">
        <v>43971</v>
      </c>
      <c r="B3486" s="18" t="n">
        <v>81319.45</v>
      </c>
      <c r="C3486" s="31" t="n"/>
      <c r="D3486" s="32" t="n"/>
      <c r="E3486" s="33" t="n">
        <v>-6.6222</v>
      </c>
      <c r="F3486" t="inlineStr">
        <is>
          <t>Down</t>
        </is>
      </c>
      <c r="G3486" t="inlineStr">
        <is>
          <t>Down</t>
        </is>
      </c>
      <c r="H3486" t="inlineStr">
        <is>
          <t>ED_JD</t>
        </is>
      </c>
      <c r="I3486" t="inlineStr">
        <is>
          <t>2020-05</t>
        </is>
      </c>
      <c r="J3486" t="n">
        <v>1</v>
      </c>
      <c r="K3486" t="n">
        <v>1</v>
      </c>
      <c r="L3486" s="34">
        <f>IF($J3486=1,LN(B3487/B3486),"")</f>
        <v/>
      </c>
      <c r="M3486" s="34">
        <f>IF($K3486=1,INDEX(Mensal!$D$2:$D$245,MATCH($I3486,Mensal!$A$2:$A$245,0)),"")</f>
        <v/>
      </c>
      <c r="N3486" s="34">
        <f>IF($K3486=1,L3486-M3486,"")</f>
        <v/>
      </c>
      <c r="O3486" s="34" t="n">
        <v>0.00011345</v>
      </c>
      <c r="P3486" s="34">
        <f>IF($J3486=1,LN(1+O3486),"")</f>
        <v/>
      </c>
      <c r="Q3486" s="34">
        <f>IF($J3486=1,LN(R3487/R3486),"")</f>
        <v/>
      </c>
      <c r="R3486" s="32" t="n">
        <v>5.6968</v>
      </c>
      <c r="S3486" s="35" t="n">
        <v>2.735</v>
      </c>
      <c r="T3486" s="18" t="n"/>
      <c r="U3486" s="18" t="n"/>
      <c r="V3486" s="18" t="n">
        <v>81319.45</v>
      </c>
      <c r="W3486" s="18" t="n"/>
      <c r="X3486" s="35" t="n"/>
      <c r="Y3486" s="35" t="n">
        <v>2.735</v>
      </c>
    </row>
    <row r="3487">
      <c r="A3487" s="25" t="n">
        <v>43972</v>
      </c>
      <c r="B3487" s="18" t="n">
        <v>83027.09</v>
      </c>
      <c r="C3487" s="31" t="n"/>
      <c r="D3487" s="32" t="n"/>
      <c r="E3487" s="33" t="n">
        <v>-6.6842</v>
      </c>
      <c r="F3487" t="inlineStr">
        <is>
          <t>Down</t>
        </is>
      </c>
      <c r="G3487" t="inlineStr">
        <is>
          <t>Down</t>
        </is>
      </c>
      <c r="H3487" t="inlineStr">
        <is>
          <t>ED_JD</t>
        </is>
      </c>
      <c r="I3487" t="inlineStr">
        <is>
          <t>2020-05</t>
        </is>
      </c>
      <c r="J3487" t="n">
        <v>1</v>
      </c>
      <c r="K3487" t="n">
        <v>1</v>
      </c>
      <c r="L3487" s="34">
        <f>IF($J3487=1,LN(B3488/B3487),"")</f>
        <v/>
      </c>
      <c r="M3487" s="34">
        <f>IF($K3487=1,INDEX(Mensal!$D$2:$D$245,MATCH($I3487,Mensal!$A$2:$A$245,0)),"")</f>
        <v/>
      </c>
      <c r="N3487" s="34">
        <f>IF($K3487=1,L3487-M3487,"")</f>
        <v/>
      </c>
      <c r="O3487" s="34" t="n">
        <v>0.00011345</v>
      </c>
      <c r="P3487" s="34">
        <f>IF($J3487=1,LN(1+O3487),"")</f>
        <v/>
      </c>
      <c r="Q3487" s="34">
        <f>IF($J3487=1,LN(R3488/R3487),"")</f>
        <v/>
      </c>
      <c r="R3487" s="32" t="n">
        <v>5.6019</v>
      </c>
      <c r="S3487" s="35" t="n">
        <v>2.677</v>
      </c>
      <c r="T3487" s="18" t="n"/>
      <c r="U3487" s="18" t="n"/>
      <c r="V3487" s="18" t="n">
        <v>83027.09</v>
      </c>
      <c r="W3487" s="18" t="n"/>
      <c r="X3487" s="35" t="n"/>
      <c r="Y3487" s="35" t="n">
        <v>2.677</v>
      </c>
    </row>
    <row r="3488">
      <c r="A3488" s="25" t="n">
        <v>43973</v>
      </c>
      <c r="B3488" s="18" t="n">
        <v>82173.21000000001</v>
      </c>
      <c r="C3488" s="31" t="n"/>
      <c r="D3488" s="32" t="n"/>
      <c r="E3488" s="33" t="n">
        <v>-6.7281</v>
      </c>
      <c r="F3488" t="inlineStr">
        <is>
          <t>Down</t>
        </is>
      </c>
      <c r="G3488" t="inlineStr">
        <is>
          <t>Down</t>
        </is>
      </c>
      <c r="H3488" t="inlineStr">
        <is>
          <t>ED_JD</t>
        </is>
      </c>
      <c r="I3488" t="inlineStr">
        <is>
          <t>2020-05</t>
        </is>
      </c>
      <c r="J3488" t="n">
        <v>1</v>
      </c>
      <c r="K3488" t="n">
        <v>1</v>
      </c>
      <c r="L3488" s="34">
        <f>IF($J3488=1,LN(B3489/B3488),"")</f>
        <v/>
      </c>
      <c r="M3488" s="34">
        <f>IF($K3488=1,INDEX(Mensal!$D$2:$D$245,MATCH($I3488,Mensal!$A$2:$A$245,0)),"")</f>
        <v/>
      </c>
      <c r="N3488" s="34">
        <f>IF($K3488=1,L3488-M3488,"")</f>
        <v/>
      </c>
      <c r="O3488" s="34" t="n">
        <v>0.00011345</v>
      </c>
      <c r="P3488" s="34">
        <f>IF($J3488=1,LN(1+O3488),"")</f>
        <v/>
      </c>
      <c r="Q3488" s="34">
        <f>IF($J3488=1,LN(R3489/R3488),"")</f>
        <v/>
      </c>
      <c r="R3488" s="32" t="n">
        <v>5.5808</v>
      </c>
      <c r="S3488" s="35" t="n">
        <v>2.724</v>
      </c>
      <c r="T3488" s="18" t="n"/>
      <c r="U3488" s="18" t="n"/>
      <c r="V3488" s="18" t="n">
        <v>82173.21000000001</v>
      </c>
      <c r="W3488" s="18" t="n"/>
      <c r="X3488" s="35" t="n"/>
      <c r="Y3488" s="35" t="n">
        <v>2.724</v>
      </c>
    </row>
    <row r="3489">
      <c r="A3489" s="25" t="n">
        <v>43976</v>
      </c>
      <c r="B3489" s="18" t="n">
        <v>85663.48</v>
      </c>
      <c r="C3489" s="31" t="n"/>
      <c r="D3489" s="32" t="n"/>
      <c r="E3489" s="33" t="n">
        <v>-6.7491</v>
      </c>
      <c r="F3489" t="inlineStr">
        <is>
          <t>Down</t>
        </is>
      </c>
      <c r="G3489" t="inlineStr">
        <is>
          <t>Down</t>
        </is>
      </c>
      <c r="H3489" t="inlineStr">
        <is>
          <t>ED_JD</t>
        </is>
      </c>
      <c r="I3489" t="inlineStr">
        <is>
          <t>2020-05</t>
        </is>
      </c>
      <c r="J3489" t="n">
        <v>1</v>
      </c>
      <c r="K3489" t="n">
        <v>1</v>
      </c>
      <c r="L3489" s="34">
        <f>IF($J3489=1,LN(B3490/B3489),"")</f>
        <v/>
      </c>
      <c r="M3489" s="34">
        <f>IF($K3489=1,INDEX(Mensal!$D$2:$D$245,MATCH($I3489,Mensal!$A$2:$A$245,0)),"")</f>
        <v/>
      </c>
      <c r="N3489" s="34">
        <f>IF($K3489=1,L3489-M3489,"")</f>
        <v/>
      </c>
      <c r="O3489" s="34" t="n">
        <v>0.00011345</v>
      </c>
      <c r="P3489" s="34">
        <f>IF($J3489=1,LN(1+O3489),"")</f>
        <v/>
      </c>
      <c r="Q3489" s="34">
        <f>IF($J3489=1,LN(R3490/R3489),"")</f>
        <v/>
      </c>
      <c r="R3489" s="32" t="n">
        <v>5.4772</v>
      </c>
      <c r="S3489" s="35" t="n">
        <v>2.579</v>
      </c>
      <c r="T3489" s="18" t="n"/>
      <c r="U3489" s="18" t="n"/>
      <c r="V3489" s="18" t="n">
        <v>85663.48</v>
      </c>
      <c r="W3489" s="18" t="n"/>
      <c r="X3489" s="35" t="n"/>
      <c r="Y3489" s="35" t="n">
        <v>2.579</v>
      </c>
    </row>
    <row r="3490">
      <c r="A3490" s="25" t="n">
        <v>43977</v>
      </c>
      <c r="B3490" s="18" t="n">
        <v>85468.91</v>
      </c>
      <c r="C3490" s="31" t="n"/>
      <c r="D3490" s="32" t="n"/>
      <c r="E3490" s="33" t="n">
        <v>-6.7547</v>
      </c>
      <c r="F3490" t="inlineStr">
        <is>
          <t>Down</t>
        </is>
      </c>
      <c r="G3490" t="inlineStr">
        <is>
          <t>Down</t>
        </is>
      </c>
      <c r="H3490" t="inlineStr">
        <is>
          <t>ED_JD</t>
        </is>
      </c>
      <c r="I3490" t="inlineStr">
        <is>
          <t>2020-05</t>
        </is>
      </c>
      <c r="J3490" t="n">
        <v>1</v>
      </c>
      <c r="K3490" t="n">
        <v>1</v>
      </c>
      <c r="L3490" s="34">
        <f>IF($J3490=1,LN(B3491/B3490),"")</f>
        <v/>
      </c>
      <c r="M3490" s="34">
        <f>IF($K3490=1,INDEX(Mensal!$D$2:$D$245,MATCH($I3490,Mensal!$A$2:$A$245,0)),"")</f>
        <v/>
      </c>
      <c r="N3490" s="34">
        <f>IF($K3490=1,L3490-M3490,"")</f>
        <v/>
      </c>
      <c r="O3490" s="34" t="n">
        <v>0.00011345</v>
      </c>
      <c r="P3490" s="34">
        <f>IF($J3490=1,LN(1+O3490),"")</f>
        <v/>
      </c>
      <c r="Q3490" s="34">
        <f>IF($J3490=1,LN(R3491/R3490),"")</f>
        <v/>
      </c>
      <c r="R3490" s="32" t="n">
        <v>5.3707</v>
      </c>
      <c r="S3490" s="35" t="n">
        <v>2.6</v>
      </c>
      <c r="T3490" s="18" t="n"/>
      <c r="U3490" s="18" t="n"/>
      <c r="V3490" s="18" t="n">
        <v>85468.91</v>
      </c>
      <c r="W3490" s="18" t="n"/>
      <c r="X3490" s="35" t="n"/>
      <c r="Y3490" s="35" t="n">
        <v>2.6</v>
      </c>
    </row>
    <row r="3491">
      <c r="A3491" s="25" t="n">
        <v>43978</v>
      </c>
      <c r="B3491" s="18" t="n">
        <v>87946.25</v>
      </c>
      <c r="C3491" s="31" t="n"/>
      <c r="D3491" s="32" t="n"/>
      <c r="E3491" s="33" t="n">
        <v>-6.741</v>
      </c>
      <c r="F3491" t="inlineStr">
        <is>
          <t>Down</t>
        </is>
      </c>
      <c r="G3491" t="inlineStr">
        <is>
          <t>Down</t>
        </is>
      </c>
      <c r="H3491" t="inlineStr">
        <is>
          <t>ED_JD</t>
        </is>
      </c>
      <c r="I3491" t="inlineStr">
        <is>
          <t>2020-05</t>
        </is>
      </c>
      <c r="J3491" t="n">
        <v>1</v>
      </c>
      <c r="K3491" t="n">
        <v>1</v>
      </c>
      <c r="L3491" s="34">
        <f>IF($J3491=1,LN(B3492/B3491),"")</f>
        <v/>
      </c>
      <c r="M3491" s="34">
        <f>IF($K3491=1,INDEX(Mensal!$D$2:$D$245,MATCH($I3491,Mensal!$A$2:$A$245,0)),"")</f>
        <v/>
      </c>
      <c r="N3491" s="34">
        <f>IF($K3491=1,L3491-M3491,"")</f>
        <v/>
      </c>
      <c r="O3491" s="34" t="n">
        <v>0.00011345</v>
      </c>
      <c r="P3491" s="34">
        <f>IF($J3491=1,LN(1+O3491),"")</f>
        <v/>
      </c>
      <c r="Q3491" s="34">
        <f>IF($J3491=1,LN(R3492/R3491),"")</f>
        <v/>
      </c>
      <c r="R3491" s="32" t="n">
        <v>5.2992</v>
      </c>
      <c r="S3491" s="35" t="n">
        <v>2.634</v>
      </c>
      <c r="T3491" s="18" t="n"/>
      <c r="U3491" s="18" t="n"/>
      <c r="V3491" s="18" t="n">
        <v>87946.25</v>
      </c>
      <c r="W3491" s="18" t="n"/>
      <c r="X3491" s="35" t="n"/>
      <c r="Y3491" s="35" t="n">
        <v>2.634</v>
      </c>
    </row>
    <row r="3492">
      <c r="A3492" s="25" t="n">
        <v>43979</v>
      </c>
      <c r="B3492" s="18" t="n">
        <v>86949.09</v>
      </c>
      <c r="C3492" s="31" t="n"/>
      <c r="D3492" s="32" t="n"/>
      <c r="E3492" s="33" t="n">
        <v>-6.7054</v>
      </c>
      <c r="F3492" t="inlineStr">
        <is>
          <t>Down</t>
        </is>
      </c>
      <c r="G3492" t="inlineStr">
        <is>
          <t>Down</t>
        </is>
      </c>
      <c r="H3492" t="inlineStr">
        <is>
          <t>ED_JD</t>
        </is>
      </c>
      <c r="I3492" t="inlineStr">
        <is>
          <t>2020-05</t>
        </is>
      </c>
      <c r="J3492" t="n">
        <v>1</v>
      </c>
      <c r="K3492" t="n">
        <v>1</v>
      </c>
      <c r="L3492" s="34">
        <f>IF($J3492=1,LN(B3493/B3492),"")</f>
        <v/>
      </c>
      <c r="M3492" s="34">
        <f>IF($K3492=1,INDEX(Mensal!$D$2:$D$245,MATCH($I3492,Mensal!$A$2:$A$245,0)),"")</f>
        <v/>
      </c>
      <c r="N3492" s="34">
        <f>IF($K3492=1,L3492-M3492,"")</f>
        <v/>
      </c>
      <c r="O3492" s="34" t="n">
        <v>0.00011345</v>
      </c>
      <c r="P3492" s="34">
        <f>IF($J3492=1,LN(1+O3492),"")</f>
        <v/>
      </c>
      <c r="Q3492" s="34">
        <f>IF($J3492=1,LN(R3493/R3492),"")</f>
        <v/>
      </c>
      <c r="R3492" s="32" t="n">
        <v>5.3405</v>
      </c>
      <c r="S3492" s="35" t="n">
        <v>2.563</v>
      </c>
      <c r="T3492" s="18" t="n"/>
      <c r="U3492" s="18" t="n"/>
      <c r="V3492" s="18" t="n">
        <v>86949.09</v>
      </c>
      <c r="W3492" s="18" t="n"/>
      <c r="X3492" s="35" t="n"/>
      <c r="Y3492" s="35" t="n">
        <v>2.563</v>
      </c>
    </row>
    <row r="3493">
      <c r="A3493" s="25" t="n">
        <v>43980</v>
      </c>
      <c r="B3493" s="18" t="n">
        <v>87402.59</v>
      </c>
      <c r="C3493" s="31" t="n"/>
      <c r="D3493" s="32" t="n"/>
      <c r="E3493" s="33" t="n">
        <v>-6.6485</v>
      </c>
      <c r="F3493" t="inlineStr">
        <is>
          <t>Down</t>
        </is>
      </c>
      <c r="G3493" t="inlineStr">
        <is>
          <t>Down</t>
        </is>
      </c>
      <c r="H3493" t="inlineStr">
        <is>
          <t>ED_JD</t>
        </is>
      </c>
      <c r="I3493" t="inlineStr">
        <is>
          <t>2020-05</t>
        </is>
      </c>
      <c r="J3493" t="n">
        <v>1</v>
      </c>
      <c r="K3493" t="n">
        <v>1</v>
      </c>
      <c r="L3493" s="34">
        <f>IF($J3493=1,LN(B3494/B3493),"")</f>
        <v/>
      </c>
      <c r="M3493" s="34">
        <f>IF($K3493=1,INDEX(Mensal!$D$2:$D$245,MATCH($I3493,Mensal!$A$2:$A$245,0)),"")</f>
        <v/>
      </c>
      <c r="N3493" s="34">
        <f>IF($K3493=1,L3493-M3493,"")</f>
        <v/>
      </c>
      <c r="O3493" s="34" t="n">
        <v>0.00011345</v>
      </c>
      <c r="P3493" s="34">
        <f>IF($J3493=1,LN(1+O3493),"")</f>
        <v/>
      </c>
      <c r="Q3493" s="34">
        <f>IF($J3493=1,LN(R3494/R3493),"")</f>
        <v/>
      </c>
      <c r="R3493" s="32" t="n">
        <v>5.4263</v>
      </c>
      <c r="S3493" s="35" t="n">
        <v>2.532</v>
      </c>
      <c r="T3493" s="18" t="n"/>
      <c r="U3493" s="18" t="n"/>
      <c r="V3493" s="18" t="n">
        <v>87402.59</v>
      </c>
      <c r="W3493" s="18" t="n"/>
      <c r="X3493" s="35" t="n"/>
      <c r="Y3493" s="35" t="n">
        <v>2.532</v>
      </c>
    </row>
    <row r="3494">
      <c r="A3494" s="25" t="n">
        <v>43983</v>
      </c>
      <c r="B3494" s="18" t="n">
        <v>88620.10000000001</v>
      </c>
      <c r="C3494" s="31" t="n"/>
      <c r="D3494" s="32" t="n"/>
      <c r="E3494" s="33" t="n">
        <v>-6.6047</v>
      </c>
      <c r="F3494" t="inlineStr">
        <is>
          <t>Down</t>
        </is>
      </c>
      <c r="G3494" t="inlineStr">
        <is>
          <t>Down</t>
        </is>
      </c>
      <c r="H3494" t="inlineStr">
        <is>
          <t>ED_JD</t>
        </is>
      </c>
      <c r="I3494" t="inlineStr">
        <is>
          <t>2020-06</t>
        </is>
      </c>
      <c r="J3494" t="n">
        <v>1</v>
      </c>
      <c r="K3494" t="n">
        <v>1</v>
      </c>
      <c r="L3494" s="34">
        <f>IF($J3494=1,LN(B3495/B3494),"")</f>
        <v/>
      </c>
      <c r="M3494" s="34">
        <f>IF($K3494=1,INDEX(Mensal!$D$2:$D$245,MATCH($I3494,Mensal!$A$2:$A$245,0)),"")</f>
        <v/>
      </c>
      <c r="N3494" s="34">
        <f>IF($K3494=1,L3494-M3494,"")</f>
        <v/>
      </c>
      <c r="O3494" s="34" t="n">
        <v>0.00011345</v>
      </c>
      <c r="P3494" s="34">
        <f>IF($J3494=1,LN(1+O3494),"")</f>
        <v/>
      </c>
      <c r="Q3494" s="34">
        <f>IF($J3494=1,LN(R3495/R3494),"")</f>
        <v/>
      </c>
      <c r="R3494" s="32" t="n">
        <v>5.3639</v>
      </c>
      <c r="S3494" s="35" t="n">
        <v>2.491</v>
      </c>
      <c r="T3494" s="18" t="n"/>
      <c r="U3494" s="18" t="n"/>
      <c r="V3494" s="18" t="n">
        <v>88620.10000000001</v>
      </c>
      <c r="W3494" s="18" t="n"/>
      <c r="X3494" s="35" t="n"/>
      <c r="Y3494" s="35" t="n">
        <v>2.491</v>
      </c>
    </row>
    <row r="3495">
      <c r="A3495" s="25" t="n">
        <v>43984</v>
      </c>
      <c r="B3495" s="18" t="n">
        <v>91046.38</v>
      </c>
      <c r="C3495" s="31" t="n"/>
      <c r="D3495" s="32" t="n"/>
      <c r="E3495" s="33" t="n">
        <v>-6.539</v>
      </c>
      <c r="F3495" t="inlineStr">
        <is>
          <t>Down</t>
        </is>
      </c>
      <c r="G3495" t="inlineStr">
        <is>
          <t>Down</t>
        </is>
      </c>
      <c r="H3495" t="inlineStr">
        <is>
          <t>ED_JD</t>
        </is>
      </c>
      <c r="I3495" t="inlineStr">
        <is>
          <t>2020-06</t>
        </is>
      </c>
      <c r="J3495" t="n">
        <v>1</v>
      </c>
      <c r="K3495" t="n">
        <v>1</v>
      </c>
      <c r="L3495" s="34">
        <f>IF($J3495=1,LN(B3496/B3495),"")</f>
        <v/>
      </c>
      <c r="M3495" s="34">
        <f>IF($K3495=1,INDEX(Mensal!$D$2:$D$245,MATCH($I3495,Mensal!$A$2:$A$245,0)),"")</f>
        <v/>
      </c>
      <c r="N3495" s="34">
        <f>IF($K3495=1,L3495-M3495,"")</f>
        <v/>
      </c>
      <c r="O3495" s="34" t="n">
        <v>0.00011345</v>
      </c>
      <c r="P3495" s="34">
        <f>IF($J3495=1,LN(1+O3495),"")</f>
        <v/>
      </c>
      <c r="Q3495" s="34">
        <f>IF($J3495=1,LN(R3496/R3495),"")</f>
        <v/>
      </c>
      <c r="R3495" s="32" t="n">
        <v>5.2601</v>
      </c>
      <c r="S3495" s="35" t="n">
        <v>2.455</v>
      </c>
      <c r="T3495" s="18" t="n"/>
      <c r="U3495" s="18" t="n"/>
      <c r="V3495" s="18" t="n">
        <v>91046.38</v>
      </c>
      <c r="W3495" s="18" t="n"/>
      <c r="X3495" s="35" t="n"/>
      <c r="Y3495" s="35" t="n">
        <v>2.455</v>
      </c>
    </row>
    <row r="3496">
      <c r="A3496" s="25" t="n">
        <v>43985</v>
      </c>
      <c r="B3496" s="18" t="n">
        <v>93002.14</v>
      </c>
      <c r="C3496" s="31" t="n"/>
      <c r="D3496" s="32" t="n"/>
      <c r="E3496" s="33" t="n">
        <v>-6.4647</v>
      </c>
      <c r="F3496" t="inlineStr">
        <is>
          <t>Down</t>
        </is>
      </c>
      <c r="G3496" t="inlineStr">
        <is>
          <t>Down</t>
        </is>
      </c>
      <c r="H3496" t="inlineStr">
        <is>
          <t>ED_JD</t>
        </is>
      </c>
      <c r="I3496" t="inlineStr">
        <is>
          <t>2020-06</t>
        </is>
      </c>
      <c r="J3496" t="n">
        <v>1</v>
      </c>
      <c r="K3496" t="n">
        <v>1</v>
      </c>
      <c r="L3496" s="34">
        <f>IF($J3496=1,LN(B3497/B3496),"")</f>
        <v/>
      </c>
      <c r="M3496" s="34">
        <f>IF($K3496=1,INDEX(Mensal!$D$2:$D$245,MATCH($I3496,Mensal!$A$2:$A$245,0)),"")</f>
        <v/>
      </c>
      <c r="N3496" s="34">
        <f>IF($K3496=1,L3496-M3496,"")</f>
        <v/>
      </c>
      <c r="O3496" s="34" t="n">
        <v>0.00011345</v>
      </c>
      <c r="P3496" s="34">
        <f>IF($J3496=1,LN(1+O3496),"")</f>
        <v/>
      </c>
      <c r="Q3496" s="34">
        <f>IF($J3496=1,LN(R3497/R3496),"")</f>
        <v/>
      </c>
      <c r="R3496" s="32" t="n">
        <v>5.0516</v>
      </c>
      <c r="S3496" s="35" t="n">
        <v>2.391</v>
      </c>
      <c r="T3496" s="18" t="n"/>
      <c r="U3496" s="18" t="n"/>
      <c r="V3496" s="18" t="n">
        <v>93002.14</v>
      </c>
      <c r="W3496" s="18" t="n"/>
      <c r="X3496" s="35" t="n"/>
      <c r="Y3496" s="35" t="n">
        <v>2.391</v>
      </c>
    </row>
    <row r="3497">
      <c r="A3497" s="25" t="n">
        <v>43986</v>
      </c>
      <c r="B3497" s="18" t="n">
        <v>93828.61</v>
      </c>
      <c r="C3497" s="31" t="n"/>
      <c r="D3497" s="32" t="n"/>
      <c r="E3497" s="33" t="n">
        <v>-6.371</v>
      </c>
      <c r="F3497" t="inlineStr">
        <is>
          <t>Down</t>
        </is>
      </c>
      <c r="G3497" t="inlineStr">
        <is>
          <t>Down</t>
        </is>
      </c>
      <c r="H3497" t="inlineStr">
        <is>
          <t>ED_JD</t>
        </is>
      </c>
      <c r="I3497" t="inlineStr">
        <is>
          <t>2020-06</t>
        </is>
      </c>
      <c r="J3497" t="n">
        <v>1</v>
      </c>
      <c r="K3497" t="n">
        <v>1</v>
      </c>
      <c r="L3497" s="34">
        <f>IF($J3497=1,LN(B3498/B3497),"")</f>
        <v/>
      </c>
      <c r="M3497" s="34">
        <f>IF($K3497=1,INDEX(Mensal!$D$2:$D$245,MATCH($I3497,Mensal!$A$2:$A$245,0)),"")</f>
        <v/>
      </c>
      <c r="N3497" s="34">
        <f>IF($K3497=1,L3497-M3497,"")</f>
        <v/>
      </c>
      <c r="O3497" s="34" t="n">
        <v>0.00011345</v>
      </c>
      <c r="P3497" s="34">
        <f>IF($J3497=1,LN(1+O3497),"")</f>
        <v/>
      </c>
      <c r="Q3497" s="34">
        <f>IF($J3497=1,LN(R3498/R3497),"")</f>
        <v/>
      </c>
      <c r="R3497" s="32" t="n">
        <v>5.1041</v>
      </c>
      <c r="S3497" s="35" t="n">
        <v>2.393</v>
      </c>
      <c r="T3497" s="18" t="n"/>
      <c r="U3497" s="18" t="n"/>
      <c r="V3497" s="18" t="n">
        <v>93828.61</v>
      </c>
      <c r="W3497" s="18" t="n"/>
      <c r="X3497" s="35" t="n"/>
      <c r="Y3497" s="35" t="n">
        <v>2.393</v>
      </c>
    </row>
    <row r="3498">
      <c r="A3498" s="25" t="n">
        <v>43987</v>
      </c>
      <c r="B3498" s="18" t="n">
        <v>94637.06</v>
      </c>
      <c r="C3498" s="31" t="n"/>
      <c r="D3498" s="32" t="n"/>
      <c r="E3498" s="33" t="n">
        <v>-6.2564</v>
      </c>
      <c r="F3498" t="inlineStr">
        <is>
          <t>Down</t>
        </is>
      </c>
      <c r="G3498" t="inlineStr">
        <is>
          <t>Down</t>
        </is>
      </c>
      <c r="H3498" t="inlineStr">
        <is>
          <t>ED_JD</t>
        </is>
      </c>
      <c r="I3498" t="inlineStr">
        <is>
          <t>2020-06</t>
        </is>
      </c>
      <c r="J3498" t="n">
        <v>1</v>
      </c>
      <c r="K3498" t="n">
        <v>1</v>
      </c>
      <c r="L3498" s="34">
        <f>IF($J3498=1,LN(B3499/B3498),"")</f>
        <v/>
      </c>
      <c r="M3498" s="34">
        <f>IF($K3498=1,INDEX(Mensal!$D$2:$D$245,MATCH($I3498,Mensal!$A$2:$A$245,0)),"")</f>
        <v/>
      </c>
      <c r="N3498" s="34">
        <f>IF($K3498=1,L3498-M3498,"")</f>
        <v/>
      </c>
      <c r="O3498" s="34" t="n">
        <v>0.00011345</v>
      </c>
      <c r="P3498" s="34">
        <f>IF($J3498=1,LN(1+O3498),"")</f>
        <v/>
      </c>
      <c r="Q3498" s="34">
        <f>IF($J3498=1,LN(R3499/R3498),"")</f>
        <v/>
      </c>
      <c r="R3498" s="32" t="n">
        <v>4.9775</v>
      </c>
      <c r="S3498" s="35" t="n">
        <v>2.421</v>
      </c>
      <c r="T3498" s="18" t="n"/>
      <c r="U3498" s="18" t="n"/>
      <c r="V3498" s="18" t="n">
        <v>94637.06</v>
      </c>
      <c r="W3498" s="18" t="n"/>
      <c r="X3498" s="35" t="n"/>
      <c r="Y3498" s="35" t="n">
        <v>2.421</v>
      </c>
    </row>
    <row r="3499">
      <c r="A3499" s="25" t="n">
        <v>43990</v>
      </c>
      <c r="B3499" s="18" t="n">
        <v>97644.67</v>
      </c>
      <c r="C3499" s="31" t="n"/>
      <c r="D3499" s="32" t="n"/>
      <c r="E3499" s="33" t="n">
        <v>-6.1465</v>
      </c>
      <c r="F3499" t="inlineStr">
        <is>
          <t>Down</t>
        </is>
      </c>
      <c r="G3499" t="inlineStr">
        <is>
          <t>Down</t>
        </is>
      </c>
      <c r="H3499" t="inlineStr">
        <is>
          <t>ED_JD</t>
        </is>
      </c>
      <c r="I3499" t="inlineStr">
        <is>
          <t>2020-06</t>
        </is>
      </c>
      <c r="J3499" t="n">
        <v>1</v>
      </c>
      <c r="K3499" t="n">
        <v>1</v>
      </c>
      <c r="L3499" s="34">
        <f>IF($J3499=1,LN(B3500/B3499),"")</f>
        <v/>
      </c>
      <c r="M3499" s="34">
        <f>IF($K3499=1,INDEX(Mensal!$D$2:$D$245,MATCH($I3499,Mensal!$A$2:$A$245,0)),"")</f>
        <v/>
      </c>
      <c r="N3499" s="34">
        <f>IF($K3499=1,L3499-M3499,"")</f>
        <v/>
      </c>
      <c r="O3499" s="34" t="n">
        <v>0.00011345</v>
      </c>
      <c r="P3499" s="34">
        <f>IF($J3499=1,LN(1+O3499),"")</f>
        <v/>
      </c>
      <c r="Q3499" s="34">
        <f>IF($J3499=1,LN(R3500/R3499),"")</f>
        <v/>
      </c>
      <c r="R3499" s="32" t="n">
        <v>4.9331</v>
      </c>
      <c r="S3499" s="35" t="n">
        <v>2.469</v>
      </c>
      <c r="T3499" s="18" t="n"/>
      <c r="U3499" s="18" t="n"/>
      <c r="V3499" s="18" t="n">
        <v>97644.67</v>
      </c>
      <c r="W3499" s="18" t="n"/>
      <c r="X3499" s="35" t="n"/>
      <c r="Y3499" s="35" t="n">
        <v>2.469</v>
      </c>
    </row>
    <row r="3500">
      <c r="A3500" s="25" t="n">
        <v>43991</v>
      </c>
      <c r="B3500" s="18" t="n">
        <v>96746.55</v>
      </c>
      <c r="C3500" s="31" t="n"/>
      <c r="D3500" s="32" t="n"/>
      <c r="E3500" s="33" t="n">
        <v>-6.0816</v>
      </c>
      <c r="F3500" t="inlineStr">
        <is>
          <t>Down</t>
        </is>
      </c>
      <c r="G3500" t="inlineStr">
        <is>
          <t>Down</t>
        </is>
      </c>
      <c r="H3500" t="inlineStr">
        <is>
          <t>ED_JD</t>
        </is>
      </c>
      <c r="I3500" t="inlineStr">
        <is>
          <t>2020-06</t>
        </is>
      </c>
      <c r="J3500" t="n">
        <v>1</v>
      </c>
      <c r="K3500" t="n">
        <v>1</v>
      </c>
      <c r="L3500" s="34">
        <f>IF($J3500=1,LN(B3501/B3500),"")</f>
        <v/>
      </c>
      <c r="M3500" s="34">
        <f>IF($K3500=1,INDEX(Mensal!$D$2:$D$245,MATCH($I3500,Mensal!$A$2:$A$245,0)),"")</f>
        <v/>
      </c>
      <c r="N3500" s="34">
        <f>IF($K3500=1,L3500-M3500,"")</f>
        <v/>
      </c>
      <c r="O3500" s="34" t="n">
        <v>0.00011345</v>
      </c>
      <c r="P3500" s="34">
        <f>IF($J3500=1,LN(1+O3500),"")</f>
        <v/>
      </c>
      <c r="Q3500" s="34">
        <f>IF($J3500=1,LN(R3501/R3500),"")</f>
        <v/>
      </c>
      <c r="R3500" s="32" t="n">
        <v>4.9057</v>
      </c>
      <c r="S3500" s="35" t="n">
        <v>2.483</v>
      </c>
      <c r="T3500" s="18" t="n"/>
      <c r="U3500" s="18" t="n"/>
      <c r="V3500" s="18" t="n">
        <v>96746.55</v>
      </c>
      <c r="W3500" s="18" t="n"/>
      <c r="X3500" s="35" t="n"/>
      <c r="Y3500" s="35" t="n">
        <v>2.483</v>
      </c>
    </row>
    <row r="3501">
      <c r="A3501" s="25" t="n">
        <v>43992</v>
      </c>
      <c r="B3501" s="18" t="n">
        <v>94685.98</v>
      </c>
      <c r="C3501" s="31" t="n"/>
      <c r="D3501" s="32" t="n"/>
      <c r="E3501" s="33" t="n">
        <v>-6.0202</v>
      </c>
      <c r="F3501" t="inlineStr">
        <is>
          <t>Down</t>
        </is>
      </c>
      <c r="G3501" t="inlineStr">
        <is>
          <t>Down</t>
        </is>
      </c>
      <c r="H3501" t="inlineStr">
        <is>
          <t>ED_JD</t>
        </is>
      </c>
      <c r="I3501" t="inlineStr">
        <is>
          <t>2020-06</t>
        </is>
      </c>
      <c r="J3501" t="n">
        <v>1</v>
      </c>
      <c r="K3501" t="n">
        <v>1</v>
      </c>
      <c r="L3501" s="34">
        <f>IF($J3501=1,LN(B3502/B3501),"")</f>
        <v/>
      </c>
      <c r="M3501" s="34">
        <f>IF($K3501=1,INDEX(Mensal!$D$2:$D$245,MATCH($I3501,Mensal!$A$2:$A$245,0)),"")</f>
        <v/>
      </c>
      <c r="N3501" s="34">
        <f>IF($K3501=1,L3501-M3501,"")</f>
        <v/>
      </c>
      <c r="O3501" s="34" t="n">
        <v>0.00011345</v>
      </c>
      <c r="P3501" s="34">
        <f>IF($J3501=1,LN(1+O3501),"")</f>
        <v/>
      </c>
      <c r="Q3501" s="34">
        <f>IF($J3501=1,LN(R3502/R3501),"")</f>
        <v/>
      </c>
      <c r="R3501" s="32" t="n">
        <v>4.8894</v>
      </c>
      <c r="S3501" s="35" t="n">
        <v>2.481</v>
      </c>
      <c r="T3501" s="18" t="n"/>
      <c r="U3501" s="18" t="n"/>
      <c r="V3501" s="18" t="n">
        <v>94685.98</v>
      </c>
      <c r="W3501" s="18" t="n"/>
      <c r="X3501" s="35" t="n"/>
      <c r="Y3501" s="35" t="n">
        <v>2.481</v>
      </c>
    </row>
    <row r="3502">
      <c r="A3502" s="25" t="n">
        <v>43994</v>
      </c>
      <c r="B3502" s="18" t="n">
        <v>92795.27</v>
      </c>
      <c r="C3502" s="31" t="n"/>
      <c r="D3502" s="32" t="n"/>
      <c r="E3502" s="33" t="n">
        <v>-5.9328</v>
      </c>
      <c r="F3502" t="inlineStr">
        <is>
          <t>Down</t>
        </is>
      </c>
      <c r="G3502" t="inlineStr">
        <is>
          <t>Down</t>
        </is>
      </c>
      <c r="H3502" t="inlineStr">
        <is>
          <t>ED_JD</t>
        </is>
      </c>
      <c r="I3502" t="inlineStr">
        <is>
          <t>2020-06</t>
        </is>
      </c>
      <c r="J3502" t="n">
        <v>1</v>
      </c>
      <c r="K3502" t="n">
        <v>1</v>
      </c>
      <c r="L3502" s="34">
        <f>IF($J3502=1,LN(B3503/B3502),"")</f>
        <v/>
      </c>
      <c r="M3502" s="34">
        <f>IF($K3502=1,INDEX(Mensal!$D$2:$D$245,MATCH($I3502,Mensal!$A$2:$A$245,0)),"")</f>
        <v/>
      </c>
      <c r="N3502" s="34">
        <f>IF($K3502=1,L3502-M3502,"")</f>
        <v/>
      </c>
      <c r="O3502" s="34" t="n">
        <v>0.00011345</v>
      </c>
      <c r="P3502" s="34">
        <f>IF($J3502=1,LN(1+O3502),"")</f>
        <v/>
      </c>
      <c r="Q3502" s="34">
        <f>IF($J3502=1,LN(R3503/R3502),"")</f>
        <v/>
      </c>
      <c r="R3502" s="32" t="n">
        <v>5.0373</v>
      </c>
      <c r="S3502" s="35" t="n">
        <v>2.486</v>
      </c>
      <c r="T3502" s="18" t="n"/>
      <c r="U3502" s="18" t="n"/>
      <c r="V3502" s="18" t="n">
        <v>92795.27</v>
      </c>
      <c r="W3502" s="18" t="n"/>
      <c r="X3502" s="35" t="n"/>
      <c r="Y3502" s="35" t="n">
        <v>2.486</v>
      </c>
    </row>
    <row r="3503">
      <c r="A3503" s="25" t="n">
        <v>43997</v>
      </c>
      <c r="B3503" s="18" t="n">
        <v>92375.52</v>
      </c>
      <c r="C3503" s="31" t="n"/>
      <c r="D3503" s="32" t="n"/>
      <c r="E3503" s="33" t="n">
        <v>-5.8206</v>
      </c>
      <c r="F3503" t="inlineStr">
        <is>
          <t>Down</t>
        </is>
      </c>
      <c r="G3503" t="inlineStr">
        <is>
          <t>Down</t>
        </is>
      </c>
      <c r="H3503" t="inlineStr">
        <is>
          <t>ED_JD</t>
        </is>
      </c>
      <c r="I3503" t="inlineStr">
        <is>
          <t>2020-06</t>
        </is>
      </c>
      <c r="J3503" t="n">
        <v>1</v>
      </c>
      <c r="K3503" t="n">
        <v>1</v>
      </c>
      <c r="L3503" s="34">
        <f>IF($J3503=1,LN(B3504/B3503),"")</f>
        <v/>
      </c>
      <c r="M3503" s="34">
        <f>IF($K3503=1,INDEX(Mensal!$D$2:$D$245,MATCH($I3503,Mensal!$A$2:$A$245,0)),"")</f>
        <v/>
      </c>
      <c r="N3503" s="34">
        <f>IF($K3503=1,L3503-M3503,"")</f>
        <v/>
      </c>
      <c r="O3503" s="34" t="n">
        <v>0.00011345</v>
      </c>
      <c r="P3503" s="34">
        <f>IF($J3503=1,LN(1+O3503),"")</f>
        <v/>
      </c>
      <c r="Q3503" s="34">
        <f>IF($J3503=1,LN(R3504/R3503),"")</f>
        <v/>
      </c>
      <c r="R3503" s="32" t="n">
        <v>5.1883</v>
      </c>
      <c r="S3503" s="35" t="n">
        <v>2.461</v>
      </c>
      <c r="T3503" s="18" t="n"/>
      <c r="U3503" s="18" t="n"/>
      <c r="V3503" s="18" t="n">
        <v>92375.52</v>
      </c>
      <c r="W3503" s="18" t="n"/>
      <c r="X3503" s="35" t="n"/>
      <c r="Y3503" s="35" t="n">
        <v>2.461</v>
      </c>
    </row>
    <row r="3504">
      <c r="A3504" s="25" t="n">
        <v>43998</v>
      </c>
      <c r="B3504" s="18" t="n">
        <v>93531.17</v>
      </c>
      <c r="C3504" s="31" t="n"/>
      <c r="D3504" s="32" t="n"/>
      <c r="E3504" s="33" t="n">
        <v>-5.6872</v>
      </c>
      <c r="F3504" t="inlineStr">
        <is>
          <t>Down</t>
        </is>
      </c>
      <c r="G3504" t="inlineStr">
        <is>
          <t>Down</t>
        </is>
      </c>
      <c r="H3504" t="inlineStr">
        <is>
          <t>ED_JD</t>
        </is>
      </c>
      <c r="I3504" t="inlineStr">
        <is>
          <t>2020-06</t>
        </is>
      </c>
      <c r="J3504" t="n">
        <v>1</v>
      </c>
      <c r="K3504" t="n">
        <v>1</v>
      </c>
      <c r="L3504" s="34">
        <f>IF($J3504=1,LN(B3505/B3504),"")</f>
        <v/>
      </c>
      <c r="M3504" s="34">
        <f>IF($K3504=1,INDEX(Mensal!$D$2:$D$245,MATCH($I3504,Mensal!$A$2:$A$245,0)),"")</f>
        <v/>
      </c>
      <c r="N3504" s="34">
        <f>IF($K3504=1,L3504-M3504,"")</f>
        <v/>
      </c>
      <c r="O3504" s="34" t="n">
        <v>0.00011345</v>
      </c>
      <c r="P3504" s="34">
        <f>IF($J3504=1,LN(1+O3504),"")</f>
        <v/>
      </c>
      <c r="Q3504" s="34">
        <f>IF($J3504=1,LN(R3505/R3504),"")</f>
        <v/>
      </c>
      <c r="R3504" s="32" t="n">
        <v>5.1285</v>
      </c>
      <c r="S3504" s="35" t="n">
        <v>2.429</v>
      </c>
      <c r="T3504" s="18" t="n"/>
      <c r="U3504" s="18" t="n"/>
      <c r="V3504" s="18" t="n">
        <v>93531.17</v>
      </c>
      <c r="W3504" s="18" t="n"/>
      <c r="X3504" s="35" t="n"/>
      <c r="Y3504" s="35" t="n">
        <v>2.429</v>
      </c>
    </row>
    <row r="3505">
      <c r="A3505" s="25" t="n">
        <v>43999</v>
      </c>
      <c r="B3505" s="18" t="n">
        <v>95547.28999999999</v>
      </c>
      <c r="C3505" s="31" t="n"/>
      <c r="D3505" s="32" t="n"/>
      <c r="E3505" s="33" t="n">
        <v>-5.5642</v>
      </c>
      <c r="F3505" t="inlineStr">
        <is>
          <t>Down</t>
        </is>
      </c>
      <c r="G3505" t="inlineStr">
        <is>
          <t>Down</t>
        </is>
      </c>
      <c r="H3505" t="inlineStr">
        <is>
          <t>ED_JD</t>
        </is>
      </c>
      <c r="I3505" t="inlineStr">
        <is>
          <t>2020-06</t>
        </is>
      </c>
      <c r="J3505" t="n">
        <v>1</v>
      </c>
      <c r="K3505" t="n">
        <v>1</v>
      </c>
      <c r="L3505" s="34">
        <f>IF($J3505=1,LN(B3506/B3505),"")</f>
        <v/>
      </c>
      <c r="M3505" s="34">
        <f>IF($K3505=1,INDEX(Mensal!$D$2:$D$245,MATCH($I3505,Mensal!$A$2:$A$245,0)),"")</f>
        <v/>
      </c>
      <c r="N3505" s="34">
        <f>IF($K3505=1,L3505-M3505,"")</f>
        <v/>
      </c>
      <c r="O3505" s="34" t="n">
        <v>0.00011345</v>
      </c>
      <c r="P3505" s="34">
        <f>IF($J3505=1,LN(1+O3505),"")</f>
        <v/>
      </c>
      <c r="Q3505" s="34">
        <f>IF($J3505=1,LN(R3506/R3505),"")</f>
        <v/>
      </c>
      <c r="R3505" s="32" t="n">
        <v>5.2499</v>
      </c>
      <c r="S3505" s="35" t="n">
        <v>2.414</v>
      </c>
      <c r="T3505" s="18" t="n"/>
      <c r="U3505" s="18" t="n"/>
      <c r="V3505" s="18" t="n">
        <v>95547.28999999999</v>
      </c>
      <c r="W3505" s="18" t="n"/>
      <c r="X3505" s="35" t="n"/>
      <c r="Y3505" s="35" t="n">
        <v>2.414</v>
      </c>
    </row>
    <row r="3506">
      <c r="A3506" s="25" t="n">
        <v>44000</v>
      </c>
      <c r="B3506" s="18" t="n">
        <v>96125.24000000001</v>
      </c>
      <c r="C3506" s="31" t="n"/>
      <c r="D3506" s="32" t="n"/>
      <c r="E3506" s="33" t="n">
        <v>-5.4236</v>
      </c>
      <c r="F3506" t="inlineStr">
        <is>
          <t>Down</t>
        </is>
      </c>
      <c r="G3506" t="inlineStr">
        <is>
          <t>Down</t>
        </is>
      </c>
      <c r="H3506" t="inlineStr">
        <is>
          <t>ED_JD</t>
        </is>
      </c>
      <c r="I3506" t="inlineStr">
        <is>
          <t>2020-06</t>
        </is>
      </c>
      <c r="J3506" t="n">
        <v>1</v>
      </c>
      <c r="K3506" t="n">
        <v>1</v>
      </c>
      <c r="L3506" s="34">
        <f>IF($J3506=1,LN(B3507/B3506),"")</f>
        <v/>
      </c>
      <c r="M3506" s="34">
        <f>IF($K3506=1,INDEX(Mensal!$D$2:$D$245,MATCH($I3506,Mensal!$A$2:$A$245,0)),"")</f>
        <v/>
      </c>
      <c r="N3506" s="34">
        <f>IF($K3506=1,L3506-M3506,"")</f>
        <v/>
      </c>
      <c r="O3506" s="34" t="n">
        <v>8.441999999999999e-05</v>
      </c>
      <c r="P3506" s="34">
        <f>IF($J3506=1,LN(1+O3506),"")</f>
        <v/>
      </c>
      <c r="Q3506" s="34">
        <f>IF($J3506=1,LN(R3507/R3506),"")</f>
        <v/>
      </c>
      <c r="R3506" s="32" t="n">
        <v>5.3468</v>
      </c>
      <c r="S3506" s="35" t="n">
        <v>2.41</v>
      </c>
      <c r="T3506" s="18" t="n"/>
      <c r="U3506" s="18" t="n"/>
      <c r="V3506" s="18" t="n">
        <v>96125.24000000001</v>
      </c>
      <c r="W3506" s="18" t="n"/>
      <c r="X3506" s="35" t="n"/>
      <c r="Y3506" s="35" t="n">
        <v>2.41</v>
      </c>
    </row>
    <row r="3507">
      <c r="A3507" s="25" t="n">
        <v>44001</v>
      </c>
      <c r="B3507" s="18" t="n">
        <v>96572.10000000001</v>
      </c>
      <c r="C3507" s="31" t="n"/>
      <c r="D3507" s="32" t="n"/>
      <c r="E3507" s="33" t="n">
        <v>-5.302</v>
      </c>
      <c r="F3507" t="inlineStr">
        <is>
          <t>Down</t>
        </is>
      </c>
      <c r="G3507" t="inlineStr">
        <is>
          <t>Down</t>
        </is>
      </c>
      <c r="H3507" t="inlineStr">
        <is>
          <t>ED_JD</t>
        </is>
      </c>
      <c r="I3507" t="inlineStr">
        <is>
          <t>2020-06</t>
        </is>
      </c>
      <c r="J3507" t="n">
        <v>1</v>
      </c>
      <c r="K3507" t="n">
        <v>1</v>
      </c>
      <c r="L3507" s="34">
        <f>IF($J3507=1,LN(B3508/B3507),"")</f>
        <v/>
      </c>
      <c r="M3507" s="34">
        <f>IF($K3507=1,INDEX(Mensal!$D$2:$D$245,MATCH($I3507,Mensal!$A$2:$A$245,0)),"")</f>
        <v/>
      </c>
      <c r="N3507" s="34">
        <f>IF($K3507=1,L3507-M3507,"")</f>
        <v/>
      </c>
      <c r="O3507" s="34" t="n">
        <v>8.441999999999999e-05</v>
      </c>
      <c r="P3507" s="34">
        <f>IF($J3507=1,LN(1+O3507),"")</f>
        <v/>
      </c>
      <c r="Q3507" s="34">
        <f>IF($J3507=1,LN(R3508/R3507),"")</f>
        <v/>
      </c>
      <c r="R3507" s="32" t="n">
        <v>5.3466</v>
      </c>
      <c r="S3507" s="35" t="n">
        <v>2.342</v>
      </c>
      <c r="T3507" s="18" t="n"/>
      <c r="U3507" s="18" t="n"/>
      <c r="V3507" s="18" t="n">
        <v>96572.10000000001</v>
      </c>
      <c r="W3507" s="18" t="n"/>
      <c r="X3507" s="35" t="n"/>
      <c r="Y3507" s="35" t="n">
        <v>2.342</v>
      </c>
    </row>
    <row r="3508">
      <c r="A3508" s="25" t="n">
        <v>44004</v>
      </c>
      <c r="B3508" s="18" t="n">
        <v>95335.96000000001</v>
      </c>
      <c r="C3508" s="31" t="n"/>
      <c r="D3508" s="32" t="n"/>
      <c r="E3508" s="33" t="n">
        <v>-5.1926</v>
      </c>
      <c r="F3508" t="inlineStr">
        <is>
          <t>Down</t>
        </is>
      </c>
      <c r="G3508" t="inlineStr">
        <is>
          <t>Down</t>
        </is>
      </c>
      <c r="H3508" t="inlineStr">
        <is>
          <t>ED_JD</t>
        </is>
      </c>
      <c r="I3508" t="inlineStr">
        <is>
          <t>2020-06</t>
        </is>
      </c>
      <c r="J3508" t="n">
        <v>1</v>
      </c>
      <c r="K3508" t="n">
        <v>1</v>
      </c>
      <c r="L3508" s="34">
        <f>IF($J3508=1,LN(B3509/B3508),"")</f>
        <v/>
      </c>
      <c r="M3508" s="34">
        <f>IF($K3508=1,INDEX(Mensal!$D$2:$D$245,MATCH($I3508,Mensal!$A$2:$A$245,0)),"")</f>
        <v/>
      </c>
      <c r="N3508" s="34">
        <f>IF($K3508=1,L3508-M3508,"")</f>
        <v/>
      </c>
      <c r="O3508" s="34" t="n">
        <v>8.441999999999999e-05</v>
      </c>
      <c r="P3508" s="34">
        <f>IF($J3508=1,LN(1+O3508),"")</f>
        <v/>
      </c>
      <c r="Q3508" s="34">
        <f>IF($J3508=1,LN(R3509/R3508),"")</f>
        <v/>
      </c>
      <c r="R3508" s="32" t="n">
        <v>5.2226</v>
      </c>
      <c r="S3508" s="35" t="n">
        <v>2.379</v>
      </c>
      <c r="T3508" s="18" t="n"/>
      <c r="U3508" s="18" t="n"/>
      <c r="V3508" s="18" t="n">
        <v>95335.96000000001</v>
      </c>
      <c r="W3508" s="18" t="n"/>
      <c r="X3508" s="35" t="n"/>
      <c r="Y3508" s="35" t="n">
        <v>2.379</v>
      </c>
    </row>
    <row r="3509">
      <c r="A3509" s="25" t="n">
        <v>44005</v>
      </c>
      <c r="B3509" s="18" t="n">
        <v>95975.16</v>
      </c>
      <c r="C3509" s="31" t="n"/>
      <c r="D3509" s="32" t="n"/>
      <c r="E3509" s="33" t="n">
        <v>-5.0848</v>
      </c>
      <c r="F3509" t="inlineStr">
        <is>
          <t>Down</t>
        </is>
      </c>
      <c r="G3509" t="inlineStr">
        <is>
          <t>Down</t>
        </is>
      </c>
      <c r="H3509" t="inlineStr">
        <is>
          <t>ED_JD</t>
        </is>
      </c>
      <c r="I3509" t="inlineStr">
        <is>
          <t>2020-06</t>
        </is>
      </c>
      <c r="J3509" t="n">
        <v>1</v>
      </c>
      <c r="K3509" t="n">
        <v>1</v>
      </c>
      <c r="L3509" s="34">
        <f>IF($J3509=1,LN(B3510/B3509),"")</f>
        <v/>
      </c>
      <c r="M3509" s="34">
        <f>IF($K3509=1,INDEX(Mensal!$D$2:$D$245,MATCH($I3509,Mensal!$A$2:$A$245,0)),"")</f>
        <v/>
      </c>
      <c r="N3509" s="34">
        <f>IF($K3509=1,L3509-M3509,"")</f>
        <v/>
      </c>
      <c r="O3509" s="34" t="n">
        <v>8.441999999999999e-05</v>
      </c>
      <c r="P3509" s="34">
        <f>IF($J3509=1,LN(1+O3509),"")</f>
        <v/>
      </c>
      <c r="Q3509" s="34">
        <f>IF($J3509=1,LN(R3510/R3509),"")</f>
        <v/>
      </c>
      <c r="R3509" s="32" t="n">
        <v>5.1705</v>
      </c>
      <c r="S3509" s="35" t="n">
        <v>2.379</v>
      </c>
      <c r="T3509" s="18" t="n"/>
      <c r="U3509" s="18" t="n"/>
      <c r="V3509" s="18" t="n">
        <v>95975.16</v>
      </c>
      <c r="W3509" s="18" t="n"/>
      <c r="X3509" s="35" t="n"/>
      <c r="Y3509" s="35" t="n">
        <v>2.379</v>
      </c>
    </row>
    <row r="3510">
      <c r="A3510" s="25" t="n">
        <v>44006</v>
      </c>
      <c r="B3510" s="18" t="n">
        <v>94377.36</v>
      </c>
      <c r="C3510" s="31" t="n"/>
      <c r="D3510" s="32" t="n"/>
      <c r="E3510" s="33" t="n">
        <v>-4.9893</v>
      </c>
      <c r="F3510" t="inlineStr">
        <is>
          <t>Down</t>
        </is>
      </c>
      <c r="G3510" t="inlineStr">
        <is>
          <t>Down</t>
        </is>
      </c>
      <c r="H3510" t="inlineStr">
        <is>
          <t>ED_JD</t>
        </is>
      </c>
      <c r="I3510" t="inlineStr">
        <is>
          <t>2020-06</t>
        </is>
      </c>
      <c r="J3510" t="n">
        <v>1</v>
      </c>
      <c r="K3510" t="n">
        <v>1</v>
      </c>
      <c r="L3510" s="34">
        <f>IF($J3510=1,LN(B3511/B3510),"")</f>
        <v/>
      </c>
      <c r="M3510" s="34">
        <f>IF($K3510=1,INDEX(Mensal!$D$2:$D$245,MATCH($I3510,Mensal!$A$2:$A$245,0)),"")</f>
        <v/>
      </c>
      <c r="N3510" s="34">
        <f>IF($K3510=1,L3510-M3510,"")</f>
        <v/>
      </c>
      <c r="O3510" s="34" t="n">
        <v>8.441999999999999e-05</v>
      </c>
      <c r="P3510" s="34">
        <f>IF($J3510=1,LN(1+O3510),"")</f>
        <v/>
      </c>
      <c r="Q3510" s="34">
        <f>IF($J3510=1,LN(R3511/R3510),"")</f>
        <v/>
      </c>
      <c r="R3510" s="32" t="n">
        <v>5.2435</v>
      </c>
      <c r="S3510" s="35" t="n">
        <v>2.413</v>
      </c>
      <c r="T3510" s="18" t="n"/>
      <c r="U3510" s="18" t="n"/>
      <c r="V3510" s="18" t="n">
        <v>94377.36</v>
      </c>
      <c r="W3510" s="18" t="n"/>
      <c r="X3510" s="35" t="n"/>
      <c r="Y3510" s="35" t="n">
        <v>2.413</v>
      </c>
    </row>
    <row r="3511">
      <c r="A3511" s="25" t="n">
        <v>44007</v>
      </c>
      <c r="B3511" s="18" t="n">
        <v>95983.09</v>
      </c>
      <c r="C3511" s="31" t="n"/>
      <c r="D3511" s="32" t="n"/>
      <c r="E3511" s="33" t="n">
        <v>-4.9091</v>
      </c>
      <c r="F3511" t="inlineStr">
        <is>
          <t>Down</t>
        </is>
      </c>
      <c r="G3511" t="inlineStr">
        <is>
          <t>Down</t>
        </is>
      </c>
      <c r="H3511" t="inlineStr">
        <is>
          <t>ED_JD</t>
        </is>
      </c>
      <c r="I3511" t="inlineStr">
        <is>
          <t>2020-06</t>
        </is>
      </c>
      <c r="J3511" t="n">
        <v>1</v>
      </c>
      <c r="K3511" t="n">
        <v>1</v>
      </c>
      <c r="L3511" s="34">
        <f>IF($J3511=1,LN(B3512/B3511),"")</f>
        <v/>
      </c>
      <c r="M3511" s="34">
        <f>IF($K3511=1,INDEX(Mensal!$D$2:$D$245,MATCH($I3511,Mensal!$A$2:$A$245,0)),"")</f>
        <v/>
      </c>
      <c r="N3511" s="34">
        <f>IF($K3511=1,L3511-M3511,"")</f>
        <v/>
      </c>
      <c r="O3511" s="34" t="n">
        <v>8.441999999999999e-05</v>
      </c>
      <c r="P3511" s="34">
        <f>IF($J3511=1,LN(1+O3511),"")</f>
        <v/>
      </c>
      <c r="Q3511" s="34">
        <f>IF($J3511=1,LN(R3512/R3511),"")</f>
        <v/>
      </c>
      <c r="R3511" s="32" t="n">
        <v>5.3287</v>
      </c>
      <c r="S3511" s="35" t="n">
        <v>2.378</v>
      </c>
      <c r="T3511" s="18" t="n"/>
      <c r="U3511" s="18" t="n"/>
      <c r="V3511" s="18" t="n">
        <v>95983.09</v>
      </c>
      <c r="W3511" s="18" t="n"/>
      <c r="X3511" s="35" t="n"/>
      <c r="Y3511" s="35" t="n">
        <v>2.378</v>
      </c>
    </row>
    <row r="3512">
      <c r="A3512" s="25" t="n">
        <v>44008</v>
      </c>
      <c r="B3512" s="18" t="n">
        <v>93834.49000000001</v>
      </c>
      <c r="C3512" s="31" t="n"/>
      <c r="D3512" s="32" t="n"/>
      <c r="E3512" s="33" t="n">
        <v>-4.8142</v>
      </c>
      <c r="F3512" t="inlineStr">
        <is>
          <t>Down</t>
        </is>
      </c>
      <c r="G3512" t="inlineStr">
        <is>
          <t>Down</t>
        </is>
      </c>
      <c r="H3512" t="inlineStr">
        <is>
          <t>ED_JD</t>
        </is>
      </c>
      <c r="I3512" t="inlineStr">
        <is>
          <t>2020-06</t>
        </is>
      </c>
      <c r="J3512" t="n">
        <v>1</v>
      </c>
      <c r="K3512" t="n">
        <v>1</v>
      </c>
      <c r="L3512" s="34">
        <f>IF($J3512=1,LN(B3513/B3512),"")</f>
        <v/>
      </c>
      <c r="M3512" s="34">
        <f>IF($K3512=1,INDEX(Mensal!$D$2:$D$245,MATCH($I3512,Mensal!$A$2:$A$245,0)),"")</f>
        <v/>
      </c>
      <c r="N3512" s="34">
        <f>IF($K3512=1,L3512-M3512,"")</f>
        <v/>
      </c>
      <c r="O3512" s="34" t="n">
        <v>8.441999999999999e-05</v>
      </c>
      <c r="P3512" s="34">
        <f>IF($J3512=1,LN(1+O3512),"")</f>
        <v/>
      </c>
      <c r="Q3512" s="34">
        <f>IF($J3512=1,LN(R3513/R3512),"")</f>
        <v/>
      </c>
      <c r="R3512" s="32" t="n">
        <v>5.4629</v>
      </c>
      <c r="S3512" s="35" t="n">
        <v>2.38</v>
      </c>
      <c r="T3512" s="18" t="n"/>
      <c r="U3512" s="18" t="n"/>
      <c r="V3512" s="18" t="n">
        <v>93834.49000000001</v>
      </c>
      <c r="W3512" s="18" t="n"/>
      <c r="X3512" s="35" t="n"/>
      <c r="Y3512" s="35" t="n">
        <v>2.38</v>
      </c>
    </row>
    <row r="3513">
      <c r="A3513" s="25" t="n">
        <v>44011</v>
      </c>
      <c r="B3513" s="18" t="n">
        <v>95735.35000000001</v>
      </c>
      <c r="C3513" s="31" t="n"/>
      <c r="D3513" s="32" t="n"/>
      <c r="E3513" s="33" t="n">
        <v>-4.6973</v>
      </c>
      <c r="F3513" t="inlineStr">
        <is>
          <t>Down</t>
        </is>
      </c>
      <c r="G3513" t="inlineStr">
        <is>
          <t>Down</t>
        </is>
      </c>
      <c r="H3513" t="inlineStr">
        <is>
          <t>ED_JD</t>
        </is>
      </c>
      <c r="I3513" t="inlineStr">
        <is>
          <t>2020-06</t>
        </is>
      </c>
      <c r="J3513" t="n">
        <v>1</v>
      </c>
      <c r="K3513" t="n">
        <v>1</v>
      </c>
      <c r="L3513" s="34">
        <f>IF($J3513=1,LN(B3514/B3513),"")</f>
        <v/>
      </c>
      <c r="M3513" s="34">
        <f>IF($K3513=1,INDEX(Mensal!$D$2:$D$245,MATCH($I3513,Mensal!$A$2:$A$245,0)),"")</f>
        <v/>
      </c>
      <c r="N3513" s="34">
        <f>IF($K3513=1,L3513-M3513,"")</f>
        <v/>
      </c>
      <c r="O3513" s="34" t="n">
        <v>8.441999999999999e-05</v>
      </c>
      <c r="P3513" s="34">
        <f>IF($J3513=1,LN(1+O3513),"")</f>
        <v/>
      </c>
      <c r="Q3513" s="34">
        <f>IF($J3513=1,LN(R3514/R3513),"")</f>
        <v/>
      </c>
      <c r="R3513" s="32" t="n">
        <v>5.4416</v>
      </c>
      <c r="S3513" s="35" t="n">
        <v>2.37</v>
      </c>
      <c r="T3513" s="18" t="n"/>
      <c r="U3513" s="18" t="n"/>
      <c r="V3513" s="18" t="n">
        <v>95735.35000000001</v>
      </c>
      <c r="W3513" s="18" t="n"/>
      <c r="X3513" s="35" t="n"/>
      <c r="Y3513" s="35" t="n">
        <v>2.37</v>
      </c>
    </row>
    <row r="3514">
      <c r="A3514" s="25" t="n">
        <v>44012</v>
      </c>
      <c r="B3514" s="18" t="n">
        <v>95055.82000000001</v>
      </c>
      <c r="C3514" s="31" t="n"/>
      <c r="D3514" s="32" t="n"/>
      <c r="E3514" s="33" t="n">
        <v>-4.5855</v>
      </c>
      <c r="F3514" t="inlineStr">
        <is>
          <t>Down</t>
        </is>
      </c>
      <c r="G3514" t="inlineStr">
        <is>
          <t>Down</t>
        </is>
      </c>
      <c r="H3514" t="inlineStr">
        <is>
          <t>ED_JD</t>
        </is>
      </c>
      <c r="I3514" t="inlineStr">
        <is>
          <t>2020-06</t>
        </is>
      </c>
      <c r="J3514" t="n">
        <v>1</v>
      </c>
      <c r="K3514" t="n">
        <v>1</v>
      </c>
      <c r="L3514" s="34">
        <f>IF($J3514=1,LN(B3515/B3514),"")</f>
        <v/>
      </c>
      <c r="M3514" s="34">
        <f>IF($K3514=1,INDEX(Mensal!$D$2:$D$245,MATCH($I3514,Mensal!$A$2:$A$245,0)),"")</f>
        <v/>
      </c>
      <c r="N3514" s="34">
        <f>IF($K3514=1,L3514-M3514,"")</f>
        <v/>
      </c>
      <c r="O3514" s="34" t="n">
        <v>8.441999999999999e-05</v>
      </c>
      <c r="P3514" s="34">
        <f>IF($J3514=1,LN(1+O3514),"")</f>
        <v/>
      </c>
      <c r="Q3514" s="34">
        <f>IF($J3514=1,LN(R3515/R3514),"")</f>
        <v/>
      </c>
      <c r="R3514" s="32" t="n">
        <v>5.476</v>
      </c>
      <c r="S3514" s="35" t="n">
        <v>2.36</v>
      </c>
      <c r="T3514" s="18" t="n"/>
      <c r="U3514" s="18" t="n"/>
      <c r="V3514" s="18" t="n">
        <v>95055.82000000001</v>
      </c>
      <c r="W3514" s="18" t="n"/>
      <c r="X3514" s="35" t="n"/>
      <c r="Y3514" s="35" t="n">
        <v>2.36</v>
      </c>
    </row>
    <row r="3515">
      <c r="A3515" s="25" t="n">
        <v>44013</v>
      </c>
      <c r="B3515" s="18" t="n">
        <v>96203.2</v>
      </c>
      <c r="C3515" s="31" t="n"/>
      <c r="D3515" s="32" t="n"/>
      <c r="E3515" s="33" t="n">
        <v>-4.4626</v>
      </c>
      <c r="F3515" t="inlineStr">
        <is>
          <t>Down</t>
        </is>
      </c>
      <c r="G3515" t="inlineStr">
        <is>
          <t>Down</t>
        </is>
      </c>
      <c r="H3515" t="inlineStr">
        <is>
          <t>ED_JD</t>
        </is>
      </c>
      <c r="I3515" t="inlineStr">
        <is>
          <t>2020-07</t>
        </is>
      </c>
      <c r="J3515" t="n">
        <v>1</v>
      </c>
      <c r="K3515" t="n">
        <v>1</v>
      </c>
      <c r="L3515" s="34">
        <f>IF($J3515=1,LN(B3516/B3515),"")</f>
        <v/>
      </c>
      <c r="M3515" s="34">
        <f>IF($K3515=1,INDEX(Mensal!$D$2:$D$245,MATCH($I3515,Mensal!$A$2:$A$245,0)),"")</f>
        <v/>
      </c>
      <c r="N3515" s="34">
        <f>IF($K3515=1,L3515-M3515,"")</f>
        <v/>
      </c>
      <c r="O3515" s="34" t="n">
        <v>8.441999999999999e-05</v>
      </c>
      <c r="P3515" s="34">
        <f>IF($J3515=1,LN(1+O3515),"")</f>
        <v/>
      </c>
      <c r="Q3515" s="34">
        <f>IF($J3515=1,LN(R3516/R3515),"")</f>
        <v/>
      </c>
      <c r="R3515" s="32" t="n">
        <v>5.3651</v>
      </c>
      <c r="S3515" s="35" t="n">
        <v>2.33</v>
      </c>
      <c r="T3515" s="18" t="n"/>
      <c r="U3515" s="18" t="n"/>
      <c r="V3515" s="18" t="n">
        <v>96203.2</v>
      </c>
      <c r="W3515" s="18" t="n"/>
      <c r="X3515" s="35" t="n"/>
      <c r="Y3515" s="35" t="n">
        <v>2.33</v>
      </c>
    </row>
    <row r="3516">
      <c r="A3516" s="25" t="n">
        <v>44014</v>
      </c>
      <c r="B3516" s="18" t="n">
        <v>96234.96000000001</v>
      </c>
      <c r="C3516" s="31" t="n"/>
      <c r="D3516" s="32" t="n"/>
      <c r="E3516" s="33" t="n">
        <v>-4.3269</v>
      </c>
      <c r="F3516" t="inlineStr">
        <is>
          <t>Down</t>
        </is>
      </c>
      <c r="G3516" t="inlineStr">
        <is>
          <t>Down</t>
        </is>
      </c>
      <c r="H3516" t="inlineStr">
        <is>
          <t>ED_JD</t>
        </is>
      </c>
      <c r="I3516" t="inlineStr">
        <is>
          <t>2020-07</t>
        </is>
      </c>
      <c r="J3516" t="n">
        <v>1</v>
      </c>
      <c r="K3516" t="n">
        <v>1</v>
      </c>
      <c r="L3516" s="34">
        <f>IF($J3516=1,LN(B3517/B3516),"")</f>
        <v/>
      </c>
      <c r="M3516" s="34">
        <f>IF($K3516=1,INDEX(Mensal!$D$2:$D$245,MATCH($I3516,Mensal!$A$2:$A$245,0)),"")</f>
        <v/>
      </c>
      <c r="N3516" s="34">
        <f>IF($K3516=1,L3516-M3516,"")</f>
        <v/>
      </c>
      <c r="O3516" s="34" t="n">
        <v>8.441999999999999e-05</v>
      </c>
      <c r="P3516" s="34">
        <f>IF($J3516=1,LN(1+O3516),"")</f>
        <v/>
      </c>
      <c r="Q3516" s="34">
        <f>IF($J3516=1,LN(R3517/R3516),"")</f>
        <v/>
      </c>
      <c r="R3516" s="32" t="n">
        <v>5.3028</v>
      </c>
      <c r="S3516" s="35" t="n">
        <v>2.36</v>
      </c>
      <c r="T3516" s="18" t="n"/>
      <c r="U3516" s="18" t="n"/>
      <c r="V3516" s="18" t="n">
        <v>96234.96000000001</v>
      </c>
      <c r="W3516" s="18" t="n"/>
      <c r="X3516" s="35" t="n"/>
      <c r="Y3516" s="35" t="n">
        <v>2.36</v>
      </c>
    </row>
    <row r="3517">
      <c r="A3517" s="25" t="n">
        <v>44015</v>
      </c>
      <c r="B3517" s="18" t="n">
        <v>96764.85000000001</v>
      </c>
      <c r="C3517" s="31" t="n"/>
      <c r="D3517" s="32" t="n"/>
      <c r="E3517" s="33" t="n">
        <v>-4.1875</v>
      </c>
      <c r="F3517" t="inlineStr">
        <is>
          <t>Down</t>
        </is>
      </c>
      <c r="G3517" t="inlineStr">
        <is>
          <t>Down</t>
        </is>
      </c>
      <c r="H3517" t="inlineStr">
        <is>
          <t>ED_JD</t>
        </is>
      </c>
      <c r="I3517" t="inlineStr">
        <is>
          <t>2020-07</t>
        </is>
      </c>
      <c r="J3517" t="n">
        <v>1</v>
      </c>
      <c r="K3517" t="n">
        <v>1</v>
      </c>
      <c r="L3517" s="34">
        <f>IF($J3517=1,LN(B3518/B3517),"")</f>
        <v/>
      </c>
      <c r="M3517" s="34">
        <f>IF($K3517=1,INDEX(Mensal!$D$2:$D$245,MATCH($I3517,Mensal!$A$2:$A$245,0)),"")</f>
        <v/>
      </c>
      <c r="N3517" s="34">
        <f>IF($K3517=1,L3517-M3517,"")</f>
        <v/>
      </c>
      <c r="O3517" s="34" t="n">
        <v>8.441999999999999e-05</v>
      </c>
      <c r="P3517" s="34">
        <f>IF($J3517=1,LN(1+O3517),"")</f>
        <v/>
      </c>
      <c r="Q3517" s="34">
        <f>IF($J3517=1,LN(R3518/R3517),"")</f>
        <v/>
      </c>
      <c r="R3517" s="32" t="n">
        <v>5.3374</v>
      </c>
      <c r="S3517" s="35" t="n">
        <v>2.32</v>
      </c>
      <c r="T3517" s="18" t="n"/>
      <c r="U3517" s="18" t="n"/>
      <c r="V3517" s="18" t="n">
        <v>96764.85000000001</v>
      </c>
      <c r="W3517" s="18" t="n"/>
      <c r="X3517" s="35" t="n"/>
      <c r="Y3517" s="35" t="n">
        <v>2.32</v>
      </c>
    </row>
    <row r="3518">
      <c r="A3518" s="25" t="n">
        <v>44018</v>
      </c>
      <c r="B3518" s="18" t="n">
        <v>98937.16</v>
      </c>
      <c r="C3518" s="31" t="n"/>
      <c r="D3518" s="32" t="n"/>
      <c r="E3518" s="33" t="n">
        <v>-4.0372</v>
      </c>
      <c r="F3518" t="inlineStr">
        <is>
          <t>Down</t>
        </is>
      </c>
      <c r="G3518" t="inlineStr">
        <is>
          <t>Down</t>
        </is>
      </c>
      <c r="H3518" t="inlineStr">
        <is>
          <t>ED_JD</t>
        </is>
      </c>
      <c r="I3518" t="inlineStr">
        <is>
          <t>2020-07</t>
        </is>
      </c>
      <c r="J3518" t="n">
        <v>1</v>
      </c>
      <c r="K3518" t="n">
        <v>1</v>
      </c>
      <c r="L3518" s="34">
        <f>IF($J3518=1,LN(B3519/B3518),"")</f>
        <v/>
      </c>
      <c r="M3518" s="34">
        <f>IF($K3518=1,INDEX(Mensal!$D$2:$D$245,MATCH($I3518,Mensal!$A$2:$A$245,0)),"")</f>
        <v/>
      </c>
      <c r="N3518" s="34">
        <f>IF($K3518=1,L3518-M3518,"")</f>
        <v/>
      </c>
      <c r="O3518" s="34" t="n">
        <v>8.441999999999999e-05</v>
      </c>
      <c r="P3518" s="34">
        <f>IF($J3518=1,LN(1+O3518),"")</f>
        <v/>
      </c>
      <c r="Q3518" s="34">
        <f>IF($J3518=1,LN(R3519/R3518),"")</f>
        <v/>
      </c>
      <c r="R3518" s="32" t="n">
        <v>5.3085</v>
      </c>
      <c r="S3518" s="35" t="n">
        <v>2.38</v>
      </c>
      <c r="T3518" s="18" t="n"/>
      <c r="U3518" s="18" t="n"/>
      <c r="V3518" s="18" t="n">
        <v>98937.16</v>
      </c>
      <c r="W3518" s="18" t="n"/>
      <c r="X3518" s="35" t="n"/>
      <c r="Y3518" s="35" t="n">
        <v>2.38</v>
      </c>
    </row>
    <row r="3519">
      <c r="A3519" s="25" t="n">
        <v>44019</v>
      </c>
      <c r="B3519" s="18" t="n">
        <v>97761.03999999999</v>
      </c>
      <c r="C3519" s="31" t="n"/>
      <c r="D3519" s="32" t="n"/>
      <c r="E3519" s="33" t="n">
        <v>-3.8878</v>
      </c>
      <c r="F3519" t="inlineStr">
        <is>
          <t>Down</t>
        </is>
      </c>
      <c r="G3519" t="inlineStr">
        <is>
          <t>Down</t>
        </is>
      </c>
      <c r="H3519" t="inlineStr">
        <is>
          <t>ED_JD</t>
        </is>
      </c>
      <c r="I3519" t="inlineStr">
        <is>
          <t>2020-07</t>
        </is>
      </c>
      <c r="J3519" t="n">
        <v>1</v>
      </c>
      <c r="K3519" t="n">
        <v>1</v>
      </c>
      <c r="L3519" s="34">
        <f>IF($J3519=1,LN(B3520/B3519),"")</f>
        <v/>
      </c>
      <c r="M3519" s="34">
        <f>IF($K3519=1,INDEX(Mensal!$D$2:$D$245,MATCH($I3519,Mensal!$A$2:$A$245,0)),"")</f>
        <v/>
      </c>
      <c r="N3519" s="34">
        <f>IF($K3519=1,L3519-M3519,"")</f>
        <v/>
      </c>
      <c r="O3519" s="34" t="n">
        <v>8.441999999999999e-05</v>
      </c>
      <c r="P3519" s="34">
        <f>IF($J3519=1,LN(1+O3519),"")</f>
        <v/>
      </c>
      <c r="Q3519" s="34">
        <f>IF($J3519=1,LN(R3520/R3519),"")</f>
        <v/>
      </c>
      <c r="R3519" s="32" t="n">
        <v>5.3318</v>
      </c>
      <c r="S3519" s="35" t="n">
        <v>2.41</v>
      </c>
      <c r="T3519" s="18" t="n"/>
      <c r="U3519" s="18" t="n"/>
      <c r="V3519" s="18" t="n">
        <v>97761.03999999999</v>
      </c>
      <c r="W3519" s="18" t="n"/>
      <c r="X3519" s="35" t="n"/>
      <c r="Y3519" s="35" t="n">
        <v>2.41</v>
      </c>
    </row>
    <row r="3520">
      <c r="A3520" s="25" t="n">
        <v>44020</v>
      </c>
      <c r="B3520" s="18" t="n">
        <v>99769.88</v>
      </c>
      <c r="C3520" s="31" t="n"/>
      <c r="D3520" s="32" t="n"/>
      <c r="E3520" s="33" t="n">
        <v>-3.7292</v>
      </c>
      <c r="F3520" t="inlineStr">
        <is>
          <t>Down</t>
        </is>
      </c>
      <c r="G3520" t="inlineStr">
        <is>
          <t>Down</t>
        </is>
      </c>
      <c r="H3520" t="inlineStr">
        <is>
          <t>ED_JD</t>
        </is>
      </c>
      <c r="I3520" t="inlineStr">
        <is>
          <t>2020-07</t>
        </is>
      </c>
      <c r="J3520" t="n">
        <v>1</v>
      </c>
      <c r="K3520" t="n">
        <v>1</v>
      </c>
      <c r="L3520" s="34">
        <f>IF($J3520=1,LN(B3521/B3520),"")</f>
        <v/>
      </c>
      <c r="M3520" s="34">
        <f>IF($K3520=1,INDEX(Mensal!$D$2:$D$245,MATCH($I3520,Mensal!$A$2:$A$245,0)),"")</f>
        <v/>
      </c>
      <c r="N3520" s="34">
        <f>IF($K3520=1,L3520-M3520,"")</f>
        <v/>
      </c>
      <c r="O3520" s="34" t="n">
        <v>8.441999999999999e-05</v>
      </c>
      <c r="P3520" s="34">
        <f>IF($J3520=1,LN(1+O3520),"")</f>
        <v/>
      </c>
      <c r="Q3520" s="34">
        <f>IF($J3520=1,LN(R3521/R3520),"")</f>
        <v/>
      </c>
      <c r="R3520" s="32" t="n">
        <v>5.3482</v>
      </c>
      <c r="S3520" s="35" t="n">
        <v>2.49</v>
      </c>
      <c r="T3520" s="18" t="n"/>
      <c r="U3520" s="18" t="n"/>
      <c r="V3520" s="18" t="n">
        <v>99769.88</v>
      </c>
      <c r="W3520" s="18" t="n"/>
      <c r="X3520" s="35" t="n"/>
      <c r="Y3520" s="35" t="n">
        <v>2.49</v>
      </c>
    </row>
    <row r="3521">
      <c r="A3521" s="25" t="n">
        <v>44021</v>
      </c>
      <c r="B3521" s="18" t="n">
        <v>99160.33</v>
      </c>
      <c r="C3521" s="31" t="n"/>
      <c r="D3521" s="32" t="n"/>
      <c r="E3521" s="33" t="n">
        <v>-3.5673</v>
      </c>
      <c r="F3521" t="inlineStr">
        <is>
          <t>Down</t>
        </is>
      </c>
      <c r="G3521" t="inlineStr">
        <is>
          <t>Down</t>
        </is>
      </c>
      <c r="H3521" t="inlineStr">
        <is>
          <t>ED_JD</t>
        </is>
      </c>
      <c r="I3521" t="inlineStr">
        <is>
          <t>2020-07</t>
        </is>
      </c>
      <c r="J3521" t="n">
        <v>1</v>
      </c>
      <c r="K3521" t="n">
        <v>1</v>
      </c>
      <c r="L3521" s="34">
        <f>IF($J3521=1,LN(B3522/B3521),"")</f>
        <v/>
      </c>
      <c r="M3521" s="34">
        <f>IF($K3521=1,INDEX(Mensal!$D$2:$D$245,MATCH($I3521,Mensal!$A$2:$A$245,0)),"")</f>
        <v/>
      </c>
      <c r="N3521" s="34">
        <f>IF($K3521=1,L3521-M3521,"")</f>
        <v/>
      </c>
      <c r="O3521" s="34" t="n">
        <v>8.441999999999999e-05</v>
      </c>
      <c r="P3521" s="34">
        <f>IF($J3521=1,LN(1+O3521),"")</f>
        <v/>
      </c>
      <c r="Q3521" s="34">
        <f>IF($J3521=1,LN(R3522/R3521),"")</f>
        <v/>
      </c>
      <c r="R3521" s="32" t="n">
        <v>5.2978</v>
      </c>
      <c r="S3521" s="35" t="n">
        <v>2.53</v>
      </c>
      <c r="T3521" s="18" t="n"/>
      <c r="U3521" s="18" t="n"/>
      <c r="V3521" s="18" t="n">
        <v>99160.33</v>
      </c>
      <c r="W3521" s="18" t="n"/>
      <c r="X3521" s="35" t="n"/>
      <c r="Y3521" s="35" t="n">
        <v>2.53</v>
      </c>
    </row>
    <row r="3522">
      <c r="A3522" s="25" t="n">
        <v>44022</v>
      </c>
      <c r="B3522" s="18" t="n">
        <v>100031.83</v>
      </c>
      <c r="C3522" s="31" t="n"/>
      <c r="D3522" s="32" t="n"/>
      <c r="E3522" s="33" t="n">
        <v>-3.4257</v>
      </c>
      <c r="F3522" t="inlineStr">
        <is>
          <t>Down</t>
        </is>
      </c>
      <c r="G3522" t="inlineStr">
        <is>
          <t>Down</t>
        </is>
      </c>
      <c r="H3522" t="inlineStr">
        <is>
          <t>ED_JD</t>
        </is>
      </c>
      <c r="I3522" t="inlineStr">
        <is>
          <t>2020-07</t>
        </is>
      </c>
      <c r="J3522" t="n">
        <v>1</v>
      </c>
      <c r="K3522" t="n">
        <v>1</v>
      </c>
      <c r="L3522" s="34">
        <f>IF($J3522=1,LN(B3523/B3522),"")</f>
        <v/>
      </c>
      <c r="M3522" s="34">
        <f>IF($K3522=1,INDEX(Mensal!$D$2:$D$245,MATCH($I3522,Mensal!$A$2:$A$245,0)),"")</f>
        <v/>
      </c>
      <c r="N3522" s="34">
        <f>IF($K3522=1,L3522-M3522,"")</f>
        <v/>
      </c>
      <c r="O3522" s="34" t="n">
        <v>8.441999999999999e-05</v>
      </c>
      <c r="P3522" s="34">
        <f>IF($J3522=1,LN(1+O3522),"")</f>
        <v/>
      </c>
      <c r="Q3522" s="34">
        <f>IF($J3522=1,LN(R3523/R3522),"")</f>
        <v/>
      </c>
      <c r="R3522" s="32" t="n">
        <v>5.344</v>
      </c>
      <c r="S3522" s="35" t="n">
        <v>2.44</v>
      </c>
      <c r="T3522" s="18" t="n"/>
      <c r="U3522" s="18" t="n"/>
      <c r="V3522" s="18" t="n">
        <v>100031.83</v>
      </c>
      <c r="W3522" s="18" t="n"/>
      <c r="X3522" s="35" t="n"/>
      <c r="Y3522" s="35" t="n">
        <v>2.44</v>
      </c>
    </row>
    <row r="3523">
      <c r="A3523" s="25" t="n">
        <v>44025</v>
      </c>
      <c r="B3523" s="18" t="n">
        <v>98697.06</v>
      </c>
      <c r="C3523" s="31" t="n"/>
      <c r="D3523" s="32" t="n"/>
      <c r="E3523" s="33" t="n">
        <v>-3.3138</v>
      </c>
      <c r="F3523" t="inlineStr">
        <is>
          <t>Down</t>
        </is>
      </c>
      <c r="G3523" t="inlineStr">
        <is>
          <t>Down</t>
        </is>
      </c>
      <c r="H3523" t="inlineStr">
        <is>
          <t>ED_JD</t>
        </is>
      </c>
      <c r="I3523" t="inlineStr">
        <is>
          <t>2020-07</t>
        </is>
      </c>
      <c r="J3523" t="n">
        <v>1</v>
      </c>
      <c r="K3523" t="n">
        <v>1</v>
      </c>
      <c r="L3523" s="34">
        <f>IF($J3523=1,LN(B3524/B3523),"")</f>
        <v/>
      </c>
      <c r="M3523" s="34">
        <f>IF($K3523=1,INDEX(Mensal!$D$2:$D$245,MATCH($I3523,Mensal!$A$2:$A$245,0)),"")</f>
        <v/>
      </c>
      <c r="N3523" s="34">
        <f>IF($K3523=1,L3523-M3523,"")</f>
        <v/>
      </c>
      <c r="O3523" s="34" t="n">
        <v>8.441999999999999e-05</v>
      </c>
      <c r="P3523" s="34">
        <f>IF($J3523=1,LN(1+O3523),"")</f>
        <v/>
      </c>
      <c r="Q3523" s="34">
        <f>IF($J3523=1,LN(R3524/R3523),"")</f>
        <v/>
      </c>
      <c r="R3523" s="32" t="n">
        <v>5.3486</v>
      </c>
      <c r="S3523" s="35" t="n">
        <v>2.48</v>
      </c>
      <c r="T3523" s="18" t="n"/>
      <c r="U3523" s="18" t="n"/>
      <c r="V3523" s="18" t="n">
        <v>98697.06</v>
      </c>
      <c r="W3523" s="18" t="n"/>
      <c r="X3523" s="35" t="n"/>
      <c r="Y3523" s="35" t="n">
        <v>2.48</v>
      </c>
    </row>
    <row r="3524">
      <c r="A3524" s="25" t="n">
        <v>44026</v>
      </c>
      <c r="B3524" s="18" t="n">
        <v>100440.23</v>
      </c>
      <c r="C3524" s="31" t="n"/>
      <c r="D3524" s="32" t="n"/>
      <c r="E3524" s="33" t="n">
        <v>-3.1669</v>
      </c>
      <c r="F3524" t="inlineStr">
        <is>
          <t>Down</t>
        </is>
      </c>
      <c r="G3524" t="inlineStr">
        <is>
          <t>Down</t>
        </is>
      </c>
      <c r="H3524" t="inlineStr">
        <is>
          <t>ED_JD</t>
        </is>
      </c>
      <c r="I3524" t="inlineStr">
        <is>
          <t>2020-07</t>
        </is>
      </c>
      <c r="J3524" t="n">
        <v>1</v>
      </c>
      <c r="K3524" t="n">
        <v>1</v>
      </c>
      <c r="L3524" s="34">
        <f>IF($J3524=1,LN(B3525/B3524),"")</f>
        <v/>
      </c>
      <c r="M3524" s="34">
        <f>IF($K3524=1,INDEX(Mensal!$D$2:$D$245,MATCH($I3524,Mensal!$A$2:$A$245,0)),"")</f>
        <v/>
      </c>
      <c r="N3524" s="34">
        <f>IF($K3524=1,L3524-M3524,"")</f>
        <v/>
      </c>
      <c r="O3524" s="34" t="n">
        <v>8.441999999999999e-05</v>
      </c>
      <c r="P3524" s="34">
        <f>IF($J3524=1,LN(1+O3524),"")</f>
        <v/>
      </c>
      <c r="Q3524" s="34">
        <f>IF($J3524=1,LN(R3525/R3524),"")</f>
        <v/>
      </c>
      <c r="R3524" s="32" t="n">
        <v>5.4288</v>
      </c>
      <c r="S3524" s="35" t="n">
        <v>2.46</v>
      </c>
      <c r="T3524" s="18" t="n"/>
      <c r="U3524" s="18" t="n"/>
      <c r="V3524" s="18" t="n">
        <v>100440.23</v>
      </c>
      <c r="W3524" s="18" t="n"/>
      <c r="X3524" s="35" t="n"/>
      <c r="Y3524" s="35" t="n">
        <v>2.46</v>
      </c>
    </row>
    <row r="3525">
      <c r="A3525" s="25" t="n">
        <v>44027</v>
      </c>
      <c r="B3525" s="18" t="n">
        <v>101790.54</v>
      </c>
      <c r="C3525" s="31" t="n"/>
      <c r="D3525" s="32" t="n"/>
      <c r="E3525" s="33" t="n">
        <v>-3.0107</v>
      </c>
      <c r="F3525" t="inlineStr">
        <is>
          <t>Down</t>
        </is>
      </c>
      <c r="G3525" t="inlineStr">
        <is>
          <t>Down</t>
        </is>
      </c>
      <c r="H3525" t="inlineStr">
        <is>
          <t>ED_JD</t>
        </is>
      </c>
      <c r="I3525" t="inlineStr">
        <is>
          <t>2020-07</t>
        </is>
      </c>
      <c r="J3525" t="n">
        <v>1</v>
      </c>
      <c r="K3525" t="n">
        <v>1</v>
      </c>
      <c r="L3525" s="34">
        <f>IF($J3525=1,LN(B3526/B3525),"")</f>
        <v/>
      </c>
      <c r="M3525" s="34">
        <f>IF($K3525=1,INDEX(Mensal!$D$2:$D$245,MATCH($I3525,Mensal!$A$2:$A$245,0)),"")</f>
        <v/>
      </c>
      <c r="N3525" s="34">
        <f>IF($K3525=1,L3525-M3525,"")</f>
        <v/>
      </c>
      <c r="O3525" s="34" t="n">
        <v>8.441999999999999e-05</v>
      </c>
      <c r="P3525" s="34">
        <f>IF($J3525=1,LN(1+O3525),"")</f>
        <v/>
      </c>
      <c r="Q3525" s="34">
        <f>IF($J3525=1,LN(R3526/R3525),"")</f>
        <v/>
      </c>
      <c r="R3525" s="32" t="n">
        <v>5.3491</v>
      </c>
      <c r="S3525" s="35" t="n">
        <v>2.49</v>
      </c>
      <c r="T3525" s="18" t="n"/>
      <c r="U3525" s="18" t="n"/>
      <c r="V3525" s="18" t="n">
        <v>101790.54</v>
      </c>
      <c r="W3525" s="18" t="n"/>
      <c r="X3525" s="35" t="n"/>
      <c r="Y3525" s="35" t="n">
        <v>2.49</v>
      </c>
    </row>
    <row r="3526">
      <c r="A3526" s="25" t="n">
        <v>44028</v>
      </c>
      <c r="B3526" s="18" t="n">
        <v>100553.27</v>
      </c>
      <c r="C3526" s="31" t="n"/>
      <c r="D3526" s="32" t="n"/>
      <c r="E3526" s="33" t="n">
        <v>-2.8491</v>
      </c>
      <c r="F3526" t="inlineStr">
        <is>
          <t>Down</t>
        </is>
      </c>
      <c r="G3526" t="inlineStr">
        <is>
          <t>Down</t>
        </is>
      </c>
      <c r="H3526" t="inlineStr">
        <is>
          <t>ED_JD</t>
        </is>
      </c>
      <c r="I3526" t="inlineStr">
        <is>
          <t>2020-07</t>
        </is>
      </c>
      <c r="J3526" t="n">
        <v>1</v>
      </c>
      <c r="K3526" t="n">
        <v>1</v>
      </c>
      <c r="L3526" s="34">
        <f>IF($J3526=1,LN(B3527/B3526),"")</f>
        <v/>
      </c>
      <c r="M3526" s="34">
        <f>IF($K3526=1,INDEX(Mensal!$D$2:$D$245,MATCH($I3526,Mensal!$A$2:$A$245,0)),"")</f>
        <v/>
      </c>
      <c r="N3526" s="34">
        <f>IF($K3526=1,L3526-M3526,"")</f>
        <v/>
      </c>
      <c r="O3526" s="34" t="n">
        <v>8.441999999999999e-05</v>
      </c>
      <c r="P3526" s="34">
        <f>IF($J3526=1,LN(1+O3526),"")</f>
        <v/>
      </c>
      <c r="Q3526" s="34">
        <f>IF($J3526=1,LN(R3527/R3526),"")</f>
        <v/>
      </c>
      <c r="R3526" s="32" t="n">
        <v>5.356</v>
      </c>
      <c r="S3526" s="35" t="n">
        <v>2.47</v>
      </c>
      <c r="T3526" s="18" t="n"/>
      <c r="U3526" s="18" t="n"/>
      <c r="V3526" s="18" t="n">
        <v>100553.27</v>
      </c>
      <c r="W3526" s="18" t="n"/>
      <c r="X3526" s="35" t="n"/>
      <c r="Y3526" s="35" t="n">
        <v>2.47</v>
      </c>
    </row>
    <row r="3527">
      <c r="A3527" s="25" t="n">
        <v>44029</v>
      </c>
      <c r="B3527" s="18" t="n">
        <v>102888.25</v>
      </c>
      <c r="C3527" s="31" t="n"/>
      <c r="D3527" s="32" t="n"/>
      <c r="E3527" s="33" t="n">
        <v>-2.6731</v>
      </c>
      <c r="F3527" t="inlineStr">
        <is>
          <t>Down</t>
        </is>
      </c>
      <c r="G3527" t="inlineStr">
        <is>
          <t>Down</t>
        </is>
      </c>
      <c r="H3527" t="inlineStr">
        <is>
          <t>ED_JD</t>
        </is>
      </c>
      <c r="I3527" t="inlineStr">
        <is>
          <t>2020-07</t>
        </is>
      </c>
      <c r="J3527" t="n">
        <v>1</v>
      </c>
      <c r="K3527" t="n">
        <v>1</v>
      </c>
      <c r="L3527" s="34">
        <f>IF($J3527=1,LN(B3528/B3527),"")</f>
        <v/>
      </c>
      <c r="M3527" s="34">
        <f>IF($K3527=1,INDEX(Mensal!$D$2:$D$245,MATCH($I3527,Mensal!$A$2:$A$245,0)),"")</f>
        <v/>
      </c>
      <c r="N3527" s="34">
        <f>IF($K3527=1,L3527-M3527,"")</f>
        <v/>
      </c>
      <c r="O3527" s="34" t="n">
        <v>8.441999999999999e-05</v>
      </c>
      <c r="P3527" s="34">
        <f>IF($J3527=1,LN(1+O3527),"")</f>
        <v/>
      </c>
      <c r="Q3527" s="34">
        <f>IF($J3527=1,LN(R3528/R3527),"")</f>
        <v/>
      </c>
      <c r="R3527" s="32" t="n">
        <v>5.351</v>
      </c>
      <c r="S3527" s="35" t="n">
        <v>2.42</v>
      </c>
      <c r="T3527" s="18" t="n"/>
      <c r="U3527" s="18" t="n"/>
      <c r="V3527" s="18" t="n">
        <v>102888.25</v>
      </c>
      <c r="W3527" s="18" t="n"/>
      <c r="X3527" s="35" t="n"/>
      <c r="Y3527" s="35" t="n">
        <v>2.42</v>
      </c>
    </row>
    <row r="3528">
      <c r="A3528" s="25" t="n">
        <v>44032</v>
      </c>
      <c r="B3528" s="18" t="n">
        <v>104426.37</v>
      </c>
      <c r="C3528" s="31" t="n"/>
      <c r="D3528" s="32" t="n"/>
      <c r="E3528" s="33" t="n">
        <v>-2.4788</v>
      </c>
      <c r="F3528" t="inlineStr">
        <is>
          <t>Down</t>
        </is>
      </c>
      <c r="G3528" t="inlineStr">
        <is>
          <t>Down</t>
        </is>
      </c>
      <c r="H3528" t="inlineStr">
        <is>
          <t>ED_JD</t>
        </is>
      </c>
      <c r="I3528" t="inlineStr">
        <is>
          <t>2020-07</t>
        </is>
      </c>
      <c r="J3528" t="n">
        <v>1</v>
      </c>
      <c r="K3528" t="n">
        <v>1</v>
      </c>
      <c r="L3528" s="34">
        <f>IF($J3528=1,LN(B3529/B3528),"")</f>
        <v/>
      </c>
      <c r="M3528" s="34">
        <f>IF($K3528=1,INDEX(Mensal!$D$2:$D$245,MATCH($I3528,Mensal!$A$2:$A$245,0)),"")</f>
        <v/>
      </c>
      <c r="N3528" s="34">
        <f>IF($K3528=1,L3528-M3528,"")</f>
        <v/>
      </c>
      <c r="O3528" s="34" t="n">
        <v>8.441999999999999e-05</v>
      </c>
      <c r="P3528" s="34">
        <f>IF($J3528=1,LN(1+O3528),"")</f>
        <v/>
      </c>
      <c r="Q3528" s="34">
        <f>IF($J3528=1,LN(R3529/R3528),"")</f>
        <v/>
      </c>
      <c r="R3528" s="32" t="n">
        <v>5.3635</v>
      </c>
      <c r="S3528" s="35" t="n">
        <v>2.43</v>
      </c>
      <c r="T3528" s="18" t="n"/>
      <c r="U3528" s="18" t="n"/>
      <c r="V3528" s="18" t="n">
        <v>104426.37</v>
      </c>
      <c r="W3528" s="18" t="n"/>
      <c r="X3528" s="35" t="n"/>
      <c r="Y3528" s="35" t="n">
        <v>2.43</v>
      </c>
    </row>
    <row r="3529">
      <c r="A3529" s="25" t="n">
        <v>44033</v>
      </c>
      <c r="B3529" s="18" t="n">
        <v>104309.74</v>
      </c>
      <c r="C3529" s="31" t="n"/>
      <c r="D3529" s="32" t="n"/>
      <c r="E3529" s="33" t="n">
        <v>-2.3123</v>
      </c>
      <c r="F3529" t="inlineStr">
        <is>
          <t>Down</t>
        </is>
      </c>
      <c r="G3529" t="inlineStr">
        <is>
          <t>Down</t>
        </is>
      </c>
      <c r="H3529" t="inlineStr">
        <is>
          <t>ED_JD</t>
        </is>
      </c>
      <c r="I3529" t="inlineStr">
        <is>
          <t>2020-07</t>
        </is>
      </c>
      <c r="J3529" t="n">
        <v>1</v>
      </c>
      <c r="K3529" t="n">
        <v>1</v>
      </c>
      <c r="L3529" s="34">
        <f>IF($J3529=1,LN(B3530/B3529),"")</f>
        <v/>
      </c>
      <c r="M3529" s="34">
        <f>IF($K3529=1,INDEX(Mensal!$D$2:$D$245,MATCH($I3529,Mensal!$A$2:$A$245,0)),"")</f>
        <v/>
      </c>
      <c r="N3529" s="34">
        <f>IF($K3529=1,L3529-M3529,"")</f>
        <v/>
      </c>
      <c r="O3529" s="34" t="n">
        <v>8.441999999999999e-05</v>
      </c>
      <c r="P3529" s="34">
        <f>IF($J3529=1,LN(1+O3529),"")</f>
        <v/>
      </c>
      <c r="Q3529" s="34">
        <f>IF($J3529=1,LN(R3530/R3529),"")</f>
        <v/>
      </c>
      <c r="R3529" s="32" t="n">
        <v>5.2283</v>
      </c>
      <c r="S3529" s="35" t="n">
        <v>2.5</v>
      </c>
      <c r="T3529" s="18" t="n"/>
      <c r="U3529" s="18" t="n"/>
      <c r="V3529" s="18" t="n">
        <v>104309.74</v>
      </c>
      <c r="W3529" s="18" t="n"/>
      <c r="X3529" s="35" t="n"/>
      <c r="Y3529" s="35" t="n">
        <v>2.5</v>
      </c>
    </row>
    <row r="3530">
      <c r="A3530" s="25" t="n">
        <v>44034</v>
      </c>
      <c r="B3530" s="18" t="n">
        <v>104289.57</v>
      </c>
      <c r="C3530" s="31" t="n"/>
      <c r="D3530" s="32" t="n"/>
      <c r="E3530" s="33" t="n">
        <v>-2.1846</v>
      </c>
      <c r="F3530" t="inlineStr">
        <is>
          <t>Down</t>
        </is>
      </c>
      <c r="G3530" t="inlineStr">
        <is>
          <t>Down</t>
        </is>
      </c>
      <c r="H3530" t="inlineStr">
        <is>
          <t>ED_JD</t>
        </is>
      </c>
      <c r="I3530" t="inlineStr">
        <is>
          <t>2020-07</t>
        </is>
      </c>
      <c r="J3530" t="n">
        <v>1</v>
      </c>
      <c r="K3530" t="n">
        <v>1</v>
      </c>
      <c r="L3530" s="34">
        <f>IF($J3530=1,LN(B3531/B3530),"")</f>
        <v/>
      </c>
      <c r="M3530" s="34">
        <f>IF($K3530=1,INDEX(Mensal!$D$2:$D$245,MATCH($I3530,Mensal!$A$2:$A$245,0)),"")</f>
        <v/>
      </c>
      <c r="N3530" s="34">
        <f>IF($K3530=1,L3530-M3530,"")</f>
        <v/>
      </c>
      <c r="O3530" s="34" t="n">
        <v>8.441999999999999e-05</v>
      </c>
      <c r="P3530" s="34">
        <f>IF($J3530=1,LN(1+O3530),"")</f>
        <v/>
      </c>
      <c r="Q3530" s="34">
        <f>IF($J3530=1,LN(R3531/R3530),"")</f>
        <v/>
      </c>
      <c r="R3530" s="32" t="n">
        <v>5.1111</v>
      </c>
      <c r="S3530" s="35" t="n">
        <v>2.46</v>
      </c>
      <c r="T3530" s="18" t="n"/>
      <c r="U3530" s="18" t="n"/>
      <c r="V3530" s="18" t="n">
        <v>104289.57</v>
      </c>
      <c r="W3530" s="18" t="n"/>
      <c r="X3530" s="35" t="n"/>
      <c r="Y3530" s="35" t="n">
        <v>2.46</v>
      </c>
    </row>
    <row r="3531">
      <c r="A3531" s="25" t="n">
        <v>44035</v>
      </c>
      <c r="B3531" s="18" t="n">
        <v>102293.31</v>
      </c>
      <c r="C3531" s="31" t="n"/>
      <c r="D3531" s="32" t="n"/>
      <c r="E3531" s="33" t="n">
        <v>-2.042</v>
      </c>
      <c r="F3531" t="inlineStr">
        <is>
          <t>Down</t>
        </is>
      </c>
      <c r="G3531" t="inlineStr">
        <is>
          <t>Down</t>
        </is>
      </c>
      <c r="H3531" t="inlineStr">
        <is>
          <t>ED_JD</t>
        </is>
      </c>
      <c r="I3531" t="inlineStr">
        <is>
          <t>2020-07</t>
        </is>
      </c>
      <c r="J3531" t="n">
        <v>1</v>
      </c>
      <c r="K3531" t="n">
        <v>1</v>
      </c>
      <c r="L3531" s="34">
        <f>IF($J3531=1,LN(B3532/B3531),"")</f>
        <v/>
      </c>
      <c r="M3531" s="34">
        <f>IF($K3531=1,INDEX(Mensal!$D$2:$D$245,MATCH($I3531,Mensal!$A$2:$A$245,0)),"")</f>
        <v/>
      </c>
      <c r="N3531" s="34">
        <f>IF($K3531=1,L3531-M3531,"")</f>
        <v/>
      </c>
      <c r="O3531" s="34" t="n">
        <v>8.441999999999999e-05</v>
      </c>
      <c r="P3531" s="34">
        <f>IF($J3531=1,LN(1+O3531),"")</f>
        <v/>
      </c>
      <c r="Q3531" s="34">
        <f>IF($J3531=1,LN(R3532/R3531),"")</f>
        <v/>
      </c>
      <c r="R3531" s="32" t="n">
        <v>5.1647</v>
      </c>
      <c r="S3531" s="35" t="n">
        <v>2.47</v>
      </c>
      <c r="T3531" s="18" t="n"/>
      <c r="U3531" s="18" t="n"/>
      <c r="V3531" s="18" t="n">
        <v>102293.31</v>
      </c>
      <c r="W3531" s="18" t="n"/>
      <c r="X3531" s="35" t="n"/>
      <c r="Y3531" s="35" t="n">
        <v>2.47</v>
      </c>
    </row>
    <row r="3532">
      <c r="A3532" s="25" t="n">
        <v>44036</v>
      </c>
      <c r="B3532" s="18" t="n">
        <v>102381.58</v>
      </c>
      <c r="C3532" s="31" t="n"/>
      <c r="D3532" s="32" t="n"/>
      <c r="E3532" s="33" t="n">
        <v>-1.9016</v>
      </c>
      <c r="F3532" t="inlineStr">
        <is>
          <t>Down</t>
        </is>
      </c>
      <c r="G3532" t="inlineStr">
        <is>
          <t>Down</t>
        </is>
      </c>
      <c r="H3532" t="inlineStr">
        <is>
          <t>ED_JD</t>
        </is>
      </c>
      <c r="I3532" t="inlineStr">
        <is>
          <t>2020-07</t>
        </is>
      </c>
      <c r="J3532" t="n">
        <v>1</v>
      </c>
      <c r="K3532" t="n">
        <v>1</v>
      </c>
      <c r="L3532" s="34">
        <f>IF($J3532=1,LN(B3533/B3532),"")</f>
        <v/>
      </c>
      <c r="M3532" s="34">
        <f>IF($K3532=1,INDEX(Mensal!$D$2:$D$245,MATCH($I3532,Mensal!$A$2:$A$245,0)),"")</f>
        <v/>
      </c>
      <c r="N3532" s="34">
        <f>IF($K3532=1,L3532-M3532,"")</f>
        <v/>
      </c>
      <c r="O3532" s="34" t="n">
        <v>8.441999999999999e-05</v>
      </c>
      <c r="P3532" s="34">
        <f>IF($J3532=1,LN(1+O3532),"")</f>
        <v/>
      </c>
      <c r="Q3532" s="34">
        <f>IF($J3532=1,LN(R3533/R3532),"")</f>
        <v/>
      </c>
      <c r="R3532" s="32" t="n">
        <v>5.2146</v>
      </c>
      <c r="S3532" s="35" t="n">
        <v>2.36</v>
      </c>
      <c r="T3532" s="18" t="n"/>
      <c r="U3532" s="18" t="n"/>
      <c r="V3532" s="18" t="n">
        <v>102381.58</v>
      </c>
      <c r="W3532" s="18" t="n"/>
      <c r="X3532" s="35" t="n"/>
      <c r="Y3532" s="35" t="n">
        <v>2.36</v>
      </c>
    </row>
    <row r="3533">
      <c r="A3533" s="25" t="n">
        <v>44039</v>
      </c>
      <c r="B3533" s="18" t="n">
        <v>104477.08</v>
      </c>
      <c r="C3533" s="31" t="n"/>
      <c r="D3533" s="32" t="n"/>
      <c r="E3533" s="33" t="n">
        <v>-1.7763</v>
      </c>
      <c r="F3533" t="inlineStr">
        <is>
          <t>Down</t>
        </is>
      </c>
      <c r="G3533" t="inlineStr">
        <is>
          <t>Down</t>
        </is>
      </c>
      <c r="H3533" t="inlineStr">
        <is>
          <t>ED_JD</t>
        </is>
      </c>
      <c r="I3533" t="inlineStr">
        <is>
          <t>2020-07</t>
        </is>
      </c>
      <c r="J3533" t="n">
        <v>1</v>
      </c>
      <c r="K3533" t="n">
        <v>1</v>
      </c>
      <c r="L3533" s="34">
        <f>IF($J3533=1,LN(B3534/B3533),"")</f>
        <v/>
      </c>
      <c r="M3533" s="34">
        <f>IF($K3533=1,INDEX(Mensal!$D$2:$D$245,MATCH($I3533,Mensal!$A$2:$A$245,0)),"")</f>
        <v/>
      </c>
      <c r="N3533" s="34">
        <f>IF($K3533=1,L3533-M3533,"")</f>
        <v/>
      </c>
      <c r="O3533" s="34" t="n">
        <v>8.441999999999999e-05</v>
      </c>
      <c r="P3533" s="34">
        <f>IF($J3533=1,LN(1+O3533),"")</f>
        <v/>
      </c>
      <c r="Q3533" s="34">
        <f>IF($J3533=1,LN(R3534/R3533),"")</f>
        <v/>
      </c>
      <c r="R3533" s="32" t="n">
        <v>5.1889</v>
      </c>
      <c r="S3533" s="35" t="n">
        <v>2.32</v>
      </c>
      <c r="T3533" s="18" t="n"/>
      <c r="U3533" s="18" t="n"/>
      <c r="V3533" s="18" t="n">
        <v>104477.08</v>
      </c>
      <c r="W3533" s="18" t="n"/>
      <c r="X3533" s="35" t="n"/>
      <c r="Y3533" s="35" t="n">
        <v>2.32</v>
      </c>
    </row>
    <row r="3534">
      <c r="A3534" s="25" t="n">
        <v>44040</v>
      </c>
      <c r="B3534" s="18" t="n">
        <v>104109.07</v>
      </c>
      <c r="C3534" s="31" t="n"/>
      <c r="D3534" s="32" t="n"/>
      <c r="E3534" s="33" t="n">
        <v>-1.6527</v>
      </c>
      <c r="F3534" t="inlineStr">
        <is>
          <t>Down</t>
        </is>
      </c>
      <c r="G3534" t="inlineStr">
        <is>
          <t>Down</t>
        </is>
      </c>
      <c r="H3534" t="inlineStr">
        <is>
          <t>ED_JD</t>
        </is>
      </c>
      <c r="I3534" t="inlineStr">
        <is>
          <t>2020-07</t>
        </is>
      </c>
      <c r="J3534" t="n">
        <v>1</v>
      </c>
      <c r="K3534" t="n">
        <v>1</v>
      </c>
      <c r="L3534" s="34">
        <f>IF($J3534=1,LN(B3535/B3534),"")</f>
        <v/>
      </c>
      <c r="M3534" s="34">
        <f>IF($K3534=1,INDEX(Mensal!$D$2:$D$245,MATCH($I3534,Mensal!$A$2:$A$245,0)),"")</f>
        <v/>
      </c>
      <c r="N3534" s="34">
        <f>IF($K3534=1,L3534-M3534,"")</f>
        <v/>
      </c>
      <c r="O3534" s="34" t="n">
        <v>8.441999999999999e-05</v>
      </c>
      <c r="P3534" s="34">
        <f>IF($J3534=1,LN(1+O3534),"")</f>
        <v/>
      </c>
      <c r="Q3534" s="34">
        <f>IF($J3534=1,LN(R3535/R3534),"")</f>
        <v/>
      </c>
      <c r="R3534" s="32" t="n">
        <v>5.1777</v>
      </c>
      <c r="S3534" s="35" t="n">
        <v>2.33</v>
      </c>
      <c r="T3534" s="18" t="n"/>
      <c r="U3534" s="18" t="n"/>
      <c r="V3534" s="18" t="n">
        <v>104109.07</v>
      </c>
      <c r="W3534" s="18" t="n"/>
      <c r="X3534" s="35" t="n"/>
      <c r="Y3534" s="35" t="n">
        <v>2.33</v>
      </c>
    </row>
    <row r="3535">
      <c r="A3535" s="25" t="n">
        <v>44041</v>
      </c>
      <c r="B3535" s="18" t="n">
        <v>105605.17</v>
      </c>
      <c r="C3535" s="31" t="n"/>
      <c r="D3535" s="32" t="n"/>
      <c r="E3535" s="33" t="n">
        <v>-1.5346</v>
      </c>
      <c r="F3535" t="inlineStr">
        <is>
          <t>Down</t>
        </is>
      </c>
      <c r="G3535" t="inlineStr">
        <is>
          <t>Down</t>
        </is>
      </c>
      <c r="H3535" t="inlineStr">
        <is>
          <t>ED_JD</t>
        </is>
      </c>
      <c r="I3535" t="inlineStr">
        <is>
          <t>2020-07</t>
        </is>
      </c>
      <c r="J3535" t="n">
        <v>1</v>
      </c>
      <c r="K3535" t="n">
        <v>1</v>
      </c>
      <c r="L3535" s="34">
        <f>IF($J3535=1,LN(B3536/B3535),"")</f>
        <v/>
      </c>
      <c r="M3535" s="34">
        <f>IF($K3535=1,INDEX(Mensal!$D$2:$D$245,MATCH($I3535,Mensal!$A$2:$A$245,0)),"")</f>
        <v/>
      </c>
      <c r="N3535" s="34">
        <f>IF($K3535=1,L3535-M3535,"")</f>
        <v/>
      </c>
      <c r="O3535" s="34" t="n">
        <v>8.441999999999999e-05</v>
      </c>
      <c r="P3535" s="34">
        <f>IF($J3535=1,LN(1+O3535),"")</f>
        <v/>
      </c>
      <c r="Q3535" s="34">
        <f>IF($J3535=1,LN(R3536/R3535),"")</f>
        <v/>
      </c>
      <c r="R3535" s="32" t="n">
        <v>5.1395</v>
      </c>
      <c r="S3535" s="35" t="n">
        <v>2.31</v>
      </c>
      <c r="T3535" s="18" t="n"/>
      <c r="U3535" s="18" t="n"/>
      <c r="V3535" s="18" t="n">
        <v>105605.17</v>
      </c>
      <c r="W3535" s="18" t="n"/>
      <c r="X3535" s="35" t="n"/>
      <c r="Y3535" s="35" t="n">
        <v>2.31</v>
      </c>
    </row>
    <row r="3536">
      <c r="A3536" s="25" t="n">
        <v>44042</v>
      </c>
      <c r="B3536" s="18" t="n">
        <v>105008.7</v>
      </c>
      <c r="C3536" s="31" t="n"/>
      <c r="D3536" s="32" t="n"/>
      <c r="E3536" s="33" t="n">
        <v>-1.3835</v>
      </c>
      <c r="F3536" t="inlineStr">
        <is>
          <t>Down</t>
        </is>
      </c>
      <c r="G3536" t="inlineStr">
        <is>
          <t>Down</t>
        </is>
      </c>
      <c r="H3536" t="inlineStr">
        <is>
          <t>ED_JD</t>
        </is>
      </c>
      <c r="I3536" t="inlineStr">
        <is>
          <t>2020-07</t>
        </is>
      </c>
      <c r="J3536" t="n">
        <v>1</v>
      </c>
      <c r="K3536" t="n">
        <v>1</v>
      </c>
      <c r="L3536" s="34">
        <f>IF($J3536=1,LN(B3537/B3536),"")</f>
        <v/>
      </c>
      <c r="M3536" s="34">
        <f>IF($K3536=1,INDEX(Mensal!$D$2:$D$245,MATCH($I3536,Mensal!$A$2:$A$245,0)),"")</f>
        <v/>
      </c>
      <c r="N3536" s="34">
        <f>IF($K3536=1,L3536-M3536,"")</f>
        <v/>
      </c>
      <c r="O3536" s="34" t="n">
        <v>8.441999999999999e-05</v>
      </c>
      <c r="P3536" s="34">
        <f>IF($J3536=1,LN(1+O3536),"")</f>
        <v/>
      </c>
      <c r="Q3536" s="34">
        <f>IF($J3536=1,LN(R3537/R3536),"")</f>
        <v/>
      </c>
      <c r="R3536" s="32" t="n">
        <v>5.1837</v>
      </c>
      <c r="S3536" s="35" t="n">
        <v>2.25</v>
      </c>
      <c r="T3536" s="18" t="n"/>
      <c r="U3536" s="18" t="n"/>
      <c r="V3536" s="18" t="n">
        <v>105008.7</v>
      </c>
      <c r="W3536" s="18" t="n"/>
      <c r="X3536" s="35" t="n"/>
      <c r="Y3536" s="35" t="n">
        <v>2.25</v>
      </c>
    </row>
    <row r="3537">
      <c r="A3537" s="25" t="n">
        <v>44043</v>
      </c>
      <c r="B3537" s="18" t="n">
        <v>102912.24</v>
      </c>
      <c r="C3537" s="31" t="n"/>
      <c r="D3537" s="32" t="n"/>
      <c r="E3537" s="33" t="n">
        <v>-1.2189</v>
      </c>
      <c r="F3537" t="inlineStr">
        <is>
          <t>Down</t>
        </is>
      </c>
      <c r="G3537" t="inlineStr">
        <is>
          <t>Down</t>
        </is>
      </c>
      <c r="H3537" t="inlineStr">
        <is>
          <t>ED_JD</t>
        </is>
      </c>
      <c r="I3537" t="inlineStr">
        <is>
          <t>2020-07</t>
        </is>
      </c>
      <c r="J3537" t="n">
        <v>1</v>
      </c>
      <c r="K3537" t="n">
        <v>1</v>
      </c>
      <c r="L3537" s="34">
        <f>IF($J3537=1,LN(B3538/B3537),"")</f>
        <v/>
      </c>
      <c r="M3537" s="34">
        <f>IF($K3537=1,INDEX(Mensal!$D$2:$D$245,MATCH($I3537,Mensal!$A$2:$A$245,0)),"")</f>
        <v/>
      </c>
      <c r="N3537" s="34">
        <f>IF($K3537=1,L3537-M3537,"")</f>
        <v/>
      </c>
      <c r="O3537" s="34" t="n">
        <v>8.441999999999999e-05</v>
      </c>
      <c r="P3537" s="34">
        <f>IF($J3537=1,LN(1+O3537),"")</f>
        <v/>
      </c>
      <c r="Q3537" s="34">
        <f>IF($J3537=1,LN(R3538/R3537),"")</f>
        <v/>
      </c>
      <c r="R3537" s="32" t="n">
        <v>5.2033</v>
      </c>
      <c r="S3537" s="35" t="n">
        <v>2.26</v>
      </c>
      <c r="T3537" s="18" t="n"/>
      <c r="U3537" s="18" t="n"/>
      <c r="V3537" s="18" t="n">
        <v>102912.24</v>
      </c>
      <c r="W3537" s="18" t="n"/>
      <c r="X3537" s="35" t="n"/>
      <c r="Y3537" s="35" t="n">
        <v>2.26</v>
      </c>
    </row>
    <row r="3538">
      <c r="A3538" s="25" t="n">
        <v>44046</v>
      </c>
      <c r="B3538" s="18" t="n">
        <v>102829.96</v>
      </c>
      <c r="C3538" s="31" t="n"/>
      <c r="D3538" s="32" t="n"/>
      <c r="E3538" s="33" t="n">
        <v>-1.0508</v>
      </c>
      <c r="F3538" t="inlineStr">
        <is>
          <t>Down</t>
        </is>
      </c>
      <c r="G3538" t="inlineStr">
        <is>
          <t>Down</t>
        </is>
      </c>
      <c r="H3538" t="inlineStr">
        <is>
          <t>ED_JD</t>
        </is>
      </c>
      <c r="I3538" t="inlineStr">
        <is>
          <t>2020-08</t>
        </is>
      </c>
      <c r="J3538" t="n">
        <v>1</v>
      </c>
      <c r="K3538" t="n">
        <v>1</v>
      </c>
      <c r="L3538" s="34">
        <f>IF($J3538=1,LN(B3539/B3538),"")</f>
        <v/>
      </c>
      <c r="M3538" s="34">
        <f>IF($K3538=1,INDEX(Mensal!$D$2:$D$245,MATCH($I3538,Mensal!$A$2:$A$245,0)),"")</f>
        <v/>
      </c>
      <c r="N3538" s="34">
        <f>IF($K3538=1,L3538-M3538,"")</f>
        <v/>
      </c>
      <c r="O3538" s="34" t="n">
        <v>8.441999999999999e-05</v>
      </c>
      <c r="P3538" s="34">
        <f>IF($J3538=1,LN(1+O3538),"")</f>
        <v/>
      </c>
      <c r="Q3538" s="34">
        <f>IF($J3538=1,LN(R3539/R3538),"")</f>
        <v/>
      </c>
      <c r="R3538" s="32" t="n">
        <v>5.3075</v>
      </c>
      <c r="S3538" s="35" t="n">
        <v>2.27</v>
      </c>
      <c r="T3538" s="18" t="n"/>
      <c r="U3538" s="18" t="n"/>
      <c r="V3538" s="18" t="n">
        <v>102829.96</v>
      </c>
      <c r="W3538" s="18" t="n"/>
      <c r="X3538" s="35" t="n"/>
      <c r="Y3538" s="35" t="n">
        <v>2.27</v>
      </c>
    </row>
    <row r="3539">
      <c r="A3539" s="25" t="n">
        <v>44047</v>
      </c>
      <c r="B3539" s="18" t="n">
        <v>101215.87</v>
      </c>
      <c r="C3539" s="31" t="n"/>
      <c r="D3539" s="32" t="n"/>
      <c r="E3539" s="33" t="n">
        <v>-0.8763</v>
      </c>
      <c r="F3539" t="inlineStr">
        <is>
          <t>Down</t>
        </is>
      </c>
      <c r="G3539" t="inlineStr">
        <is>
          <t>Down</t>
        </is>
      </c>
      <c r="H3539" t="inlineStr">
        <is>
          <t>ED_JD</t>
        </is>
      </c>
      <c r="I3539" t="inlineStr">
        <is>
          <t>2020-08</t>
        </is>
      </c>
      <c r="J3539" t="n">
        <v>1</v>
      </c>
      <c r="K3539" t="n">
        <v>1</v>
      </c>
      <c r="L3539" s="34">
        <f>IF($J3539=1,LN(B3540/B3539),"")</f>
        <v/>
      </c>
      <c r="M3539" s="34">
        <f>IF($K3539=1,INDEX(Mensal!$D$2:$D$245,MATCH($I3539,Mensal!$A$2:$A$245,0)),"")</f>
        <v/>
      </c>
      <c r="N3539" s="34">
        <f>IF($K3539=1,L3539-M3539,"")</f>
        <v/>
      </c>
      <c r="O3539" s="34" t="n">
        <v>8.441999999999999e-05</v>
      </c>
      <c r="P3539" s="34">
        <f>IF($J3539=1,LN(1+O3539),"")</f>
        <v/>
      </c>
      <c r="Q3539" s="34">
        <f>IF($J3539=1,LN(R3540/R3539),"")</f>
        <v/>
      </c>
      <c r="R3539" s="32" t="n">
        <v>5.3329</v>
      </c>
      <c r="S3539" s="35" t="n">
        <v>2.41</v>
      </c>
      <c r="T3539" s="18" t="n"/>
      <c r="U3539" s="18" t="n"/>
      <c r="V3539" s="18" t="n">
        <v>101215.87</v>
      </c>
      <c r="W3539" s="18" t="n"/>
      <c r="X3539" s="35" t="n"/>
      <c r="Y3539" s="35" t="n">
        <v>2.41</v>
      </c>
    </row>
    <row r="3540">
      <c r="A3540" s="25" t="n">
        <v>44048</v>
      </c>
      <c r="B3540" s="18" t="n">
        <v>102801.76</v>
      </c>
      <c r="C3540" s="31" t="n"/>
      <c r="D3540" s="32" t="n"/>
      <c r="E3540" s="33" t="n">
        <v>-0.712</v>
      </c>
      <c r="F3540" t="inlineStr">
        <is>
          <t>Down</t>
        </is>
      </c>
      <c r="G3540" t="inlineStr">
        <is>
          <t>Down</t>
        </is>
      </c>
      <c r="H3540" t="inlineStr">
        <is>
          <t>ED_JD</t>
        </is>
      </c>
      <c r="I3540" t="inlineStr">
        <is>
          <t>2020-08</t>
        </is>
      </c>
      <c r="J3540" t="n">
        <v>1</v>
      </c>
      <c r="K3540" t="n">
        <v>1</v>
      </c>
      <c r="L3540" s="34">
        <f>IF($J3540=1,LN(B3541/B3540),"")</f>
        <v/>
      </c>
      <c r="M3540" s="34">
        <f>IF($K3540=1,INDEX(Mensal!$D$2:$D$245,MATCH($I3540,Mensal!$A$2:$A$245,0)),"")</f>
        <v/>
      </c>
      <c r="N3540" s="34">
        <f>IF($K3540=1,L3540-M3540,"")</f>
        <v/>
      </c>
      <c r="O3540" s="34" t="n">
        <v>8.441999999999999e-05</v>
      </c>
      <c r="P3540" s="34">
        <f>IF($J3540=1,LN(1+O3540),"")</f>
        <v/>
      </c>
      <c r="Q3540" s="34">
        <f>IF($J3540=1,LN(R3541/R3540),"")</f>
        <v/>
      </c>
      <c r="R3540" s="32" t="n">
        <v>5.276</v>
      </c>
      <c r="S3540" s="35" t="n">
        <v>2.34</v>
      </c>
      <c r="T3540" s="18" t="n"/>
      <c r="U3540" s="18" t="n"/>
      <c r="V3540" s="18" t="n">
        <v>102801.76</v>
      </c>
      <c r="W3540" s="18" t="n"/>
      <c r="X3540" s="35" t="n"/>
      <c r="Y3540" s="35" t="n">
        <v>2.34</v>
      </c>
    </row>
    <row r="3541">
      <c r="A3541" s="25" t="n">
        <v>44049</v>
      </c>
      <c r="B3541" s="18" t="n">
        <v>104125.64</v>
      </c>
      <c r="C3541" s="31" t="n"/>
      <c r="D3541" s="32" t="n"/>
      <c r="E3541" s="33" t="n">
        <v>-0.5435</v>
      </c>
      <c r="F3541" t="inlineStr">
        <is>
          <t>Down</t>
        </is>
      </c>
      <c r="G3541" t="inlineStr">
        <is>
          <t>Down</t>
        </is>
      </c>
      <c r="H3541" t="inlineStr">
        <is>
          <t>ED_JD</t>
        </is>
      </c>
      <c r="I3541" t="inlineStr">
        <is>
          <t>2020-08</t>
        </is>
      </c>
      <c r="J3541" t="n">
        <v>1</v>
      </c>
      <c r="K3541" t="n">
        <v>1</v>
      </c>
      <c r="L3541" s="34">
        <f>IF($J3541=1,LN(B3542/B3541),"")</f>
        <v/>
      </c>
      <c r="M3541" s="34">
        <f>IF($K3541=1,INDEX(Mensal!$D$2:$D$245,MATCH($I3541,Mensal!$A$2:$A$245,0)),"")</f>
        <v/>
      </c>
      <c r="N3541" s="34">
        <f>IF($K3541=1,L3541-M3541,"")</f>
        <v/>
      </c>
      <c r="O3541" s="34" t="n">
        <v>7.469e-05</v>
      </c>
      <c r="P3541" s="34">
        <f>IF($J3541=1,LN(1+O3541),"")</f>
        <v/>
      </c>
      <c r="Q3541" s="34">
        <f>IF($J3541=1,LN(R3542/R3541),"")</f>
        <v/>
      </c>
      <c r="R3541" s="32" t="n">
        <v>5.3431</v>
      </c>
      <c r="S3541" s="35" t="n">
        <v>2.18</v>
      </c>
      <c r="T3541" s="18" t="n"/>
      <c r="U3541" s="18" t="n"/>
      <c r="V3541" s="18" t="n">
        <v>104125.64</v>
      </c>
      <c r="W3541" s="18" t="n"/>
      <c r="X3541" s="35" t="n"/>
      <c r="Y3541" s="35" t="n">
        <v>2.18</v>
      </c>
    </row>
    <row r="3542">
      <c r="A3542" s="25" t="n">
        <v>44050</v>
      </c>
      <c r="B3542" s="18" t="n">
        <v>102775.55</v>
      </c>
      <c r="C3542" s="31" t="n"/>
      <c r="D3542" s="32" t="n"/>
      <c r="E3542" s="33" t="n">
        <v>-0.3763</v>
      </c>
      <c r="F3542" t="inlineStr">
        <is>
          <t>Down</t>
        </is>
      </c>
      <c r="G3542" t="inlineStr">
        <is>
          <t>Down</t>
        </is>
      </c>
      <c r="H3542" t="inlineStr">
        <is>
          <t>ED_JD</t>
        </is>
      </c>
      <c r="I3542" t="inlineStr">
        <is>
          <t>2020-08</t>
        </is>
      </c>
      <c r="J3542" t="n">
        <v>1</v>
      </c>
      <c r="K3542" t="n">
        <v>1</v>
      </c>
      <c r="L3542" s="34">
        <f>IF($J3542=1,LN(B3543/B3542),"")</f>
        <v/>
      </c>
      <c r="M3542" s="34">
        <f>IF($K3542=1,INDEX(Mensal!$D$2:$D$245,MATCH($I3542,Mensal!$A$2:$A$245,0)),"")</f>
        <v/>
      </c>
      <c r="N3542" s="34">
        <f>IF($K3542=1,L3542-M3542,"")</f>
        <v/>
      </c>
      <c r="O3542" s="34" t="n">
        <v>7.469e-05</v>
      </c>
      <c r="P3542" s="34">
        <f>IF($J3542=1,LN(1+O3542),"")</f>
        <v/>
      </c>
      <c r="Q3542" s="34">
        <f>IF($J3542=1,LN(R3543/R3542),"")</f>
        <v/>
      </c>
      <c r="R3542" s="32" t="n">
        <v>5.4227</v>
      </c>
      <c r="S3542" s="35" t="n">
        <v>2.23</v>
      </c>
      <c r="T3542" s="18" t="n"/>
      <c r="U3542" s="18" t="n"/>
      <c r="V3542" s="18" t="n">
        <v>102775.55</v>
      </c>
      <c r="W3542" s="18" t="n"/>
      <c r="X3542" s="35" t="n"/>
      <c r="Y3542" s="35" t="n">
        <v>2.23</v>
      </c>
    </row>
    <row r="3543">
      <c r="A3543" s="25" t="n">
        <v>44053</v>
      </c>
      <c r="B3543" s="18" t="n">
        <v>103444.48</v>
      </c>
      <c r="C3543" s="31" t="n"/>
      <c r="D3543" s="32" t="n"/>
      <c r="E3543" s="33" t="n">
        <v>-0.1914</v>
      </c>
      <c r="F3543" t="inlineStr">
        <is>
          <t>Down</t>
        </is>
      </c>
      <c r="G3543" t="inlineStr">
        <is>
          <t>Down</t>
        </is>
      </c>
      <c r="H3543" t="inlineStr">
        <is>
          <t>ED_JD</t>
        </is>
      </c>
      <c r="I3543" t="inlineStr">
        <is>
          <t>2020-08</t>
        </is>
      </c>
      <c r="J3543" t="n">
        <v>1</v>
      </c>
      <c r="K3543" t="n">
        <v>1</v>
      </c>
      <c r="L3543" s="34">
        <f>IF($J3543=1,LN(B3544/B3543),"")</f>
        <v/>
      </c>
      <c r="M3543" s="34">
        <f>IF($K3543=1,INDEX(Mensal!$D$2:$D$245,MATCH($I3543,Mensal!$A$2:$A$245,0)),"")</f>
        <v/>
      </c>
      <c r="N3543" s="34">
        <f>IF($K3543=1,L3543-M3543,"")</f>
        <v/>
      </c>
      <c r="O3543" s="34" t="n">
        <v>7.469e-05</v>
      </c>
      <c r="P3543" s="34">
        <f>IF($J3543=1,LN(1+O3543),"")</f>
        <v/>
      </c>
      <c r="Q3543" s="34">
        <f>IF($J3543=1,LN(R3544/R3543),"")</f>
        <v/>
      </c>
      <c r="R3543" s="32" t="n">
        <v>5.3933</v>
      </c>
      <c r="S3543" s="35" t="n">
        <v>2.33</v>
      </c>
      <c r="T3543" s="18" t="n"/>
      <c r="U3543" s="18" t="n"/>
      <c r="V3543" s="18" t="n">
        <v>103444.48</v>
      </c>
      <c r="W3543" s="18" t="n"/>
      <c r="X3543" s="35" t="n"/>
      <c r="Y3543" s="35" t="n">
        <v>2.33</v>
      </c>
    </row>
    <row r="3544">
      <c r="A3544" s="25" t="n">
        <v>44054</v>
      </c>
      <c r="B3544" s="18" t="n">
        <v>102174.4</v>
      </c>
      <c r="C3544" s="31" t="n"/>
      <c r="D3544" s="32" t="n"/>
      <c r="E3544" s="33" t="n">
        <v>-0.0071</v>
      </c>
      <c r="F3544" t="inlineStr">
        <is>
          <t>Down</t>
        </is>
      </c>
      <c r="G3544" t="inlineStr">
        <is>
          <t>Down</t>
        </is>
      </c>
      <c r="H3544" t="inlineStr">
        <is>
          <t>ED_JD</t>
        </is>
      </c>
      <c r="I3544" t="inlineStr">
        <is>
          <t>2020-08</t>
        </is>
      </c>
      <c r="J3544" t="n">
        <v>1</v>
      </c>
      <c r="K3544" t="n">
        <v>1</v>
      </c>
      <c r="L3544" s="34">
        <f>IF($J3544=1,LN(B3545/B3544),"")</f>
        <v/>
      </c>
      <c r="M3544" s="34">
        <f>IF($K3544=1,INDEX(Mensal!$D$2:$D$245,MATCH($I3544,Mensal!$A$2:$A$245,0)),"")</f>
        <v/>
      </c>
      <c r="N3544" s="34">
        <f>IF($K3544=1,L3544-M3544,"")</f>
        <v/>
      </c>
      <c r="O3544" s="34" t="n">
        <v>7.469e-05</v>
      </c>
      <c r="P3544" s="34">
        <f>IF($J3544=1,LN(1+O3544),"")</f>
        <v/>
      </c>
      <c r="Q3544" s="34">
        <f>IF($J3544=1,LN(R3545/R3544),"")</f>
        <v/>
      </c>
      <c r="R3544" s="32" t="n">
        <v>5.4285</v>
      </c>
      <c r="S3544" s="35" t="n">
        <v>2.3</v>
      </c>
      <c r="T3544" s="18" t="n"/>
      <c r="U3544" s="18" t="n"/>
      <c r="V3544" s="18" t="n">
        <v>102174.4</v>
      </c>
      <c r="W3544" s="18" t="n"/>
      <c r="X3544" s="35" t="n"/>
      <c r="Y3544" s="35" t="n">
        <v>2.3</v>
      </c>
    </row>
    <row r="3545">
      <c r="A3545" s="25" t="n">
        <v>44055</v>
      </c>
      <c r="B3545" s="18" t="n">
        <v>102117.79</v>
      </c>
      <c r="C3545" s="31" t="n"/>
      <c r="D3545" s="32" t="n"/>
      <c r="E3545" s="33" t="n">
        <v>0.1798</v>
      </c>
      <c r="F3545" t="inlineStr">
        <is>
          <t>Down</t>
        </is>
      </c>
      <c r="G3545" t="inlineStr">
        <is>
          <t>Down</t>
        </is>
      </c>
      <c r="H3545" t="inlineStr">
        <is>
          <t>ED_JD</t>
        </is>
      </c>
      <c r="I3545" t="inlineStr">
        <is>
          <t>2020-08</t>
        </is>
      </c>
      <c r="J3545" t="n">
        <v>1</v>
      </c>
      <c r="K3545" t="n">
        <v>1</v>
      </c>
      <c r="L3545" s="34">
        <f>IF($J3545=1,LN(B3546/B3545),"")</f>
        <v/>
      </c>
      <c r="M3545" s="34">
        <f>IF($K3545=1,INDEX(Mensal!$D$2:$D$245,MATCH($I3545,Mensal!$A$2:$A$245,0)),"")</f>
        <v/>
      </c>
      <c r="N3545" s="34">
        <f>IF($K3545=1,L3545-M3545,"")</f>
        <v/>
      </c>
      <c r="O3545" s="34" t="n">
        <v>7.469e-05</v>
      </c>
      <c r="P3545" s="34">
        <f>IF($J3545=1,LN(1+O3545),"")</f>
        <v/>
      </c>
      <c r="Q3545" s="34">
        <f>IF($J3545=1,LN(R3546/R3545),"")</f>
        <v/>
      </c>
      <c r="R3545" s="32" t="n">
        <v>5.4551</v>
      </c>
      <c r="S3545" s="35" t="n">
        <v>2.36</v>
      </c>
      <c r="T3545" s="18" t="n"/>
      <c r="U3545" s="18" t="n"/>
      <c r="V3545" s="18" t="n">
        <v>102117.79</v>
      </c>
      <c r="W3545" s="18" t="n"/>
      <c r="X3545" s="35" t="n"/>
      <c r="Y3545" s="35" t="n">
        <v>2.36</v>
      </c>
    </row>
    <row r="3546">
      <c r="A3546" s="25" t="n">
        <v>44056</v>
      </c>
      <c r="B3546" s="18" t="n">
        <v>100460.6</v>
      </c>
      <c r="C3546" s="31" t="n"/>
      <c r="D3546" s="32" t="n"/>
      <c r="E3546" s="33" t="n">
        <v>0.33</v>
      </c>
      <c r="F3546" t="inlineStr">
        <is>
          <t>Down</t>
        </is>
      </c>
      <c r="G3546" t="inlineStr">
        <is>
          <t>Down</t>
        </is>
      </c>
      <c r="H3546" t="inlineStr">
        <is>
          <t>ED_JD</t>
        </is>
      </c>
      <c r="I3546" t="inlineStr">
        <is>
          <t>2020-08</t>
        </is>
      </c>
      <c r="J3546" t="n">
        <v>1</v>
      </c>
      <c r="K3546" t="n">
        <v>1</v>
      </c>
      <c r="L3546" s="34">
        <f>IF($J3546=1,LN(B3547/B3546),"")</f>
        <v/>
      </c>
      <c r="M3546" s="34">
        <f>IF($K3546=1,INDEX(Mensal!$D$2:$D$245,MATCH($I3546,Mensal!$A$2:$A$245,0)),"")</f>
        <v/>
      </c>
      <c r="N3546" s="34">
        <f>IF($K3546=1,L3546-M3546,"")</f>
        <v/>
      </c>
      <c r="O3546" s="34" t="n">
        <v>7.469e-05</v>
      </c>
      <c r="P3546" s="34">
        <f>IF($J3546=1,LN(1+O3546),"")</f>
        <v/>
      </c>
      <c r="Q3546" s="34">
        <f>IF($J3546=1,LN(R3547/R3546),"")</f>
        <v/>
      </c>
      <c r="R3546" s="32" t="n">
        <v>5.3801</v>
      </c>
      <c r="S3546" s="35" t="n">
        <v>2.41</v>
      </c>
      <c r="T3546" s="18" t="n"/>
      <c r="U3546" s="18" t="n"/>
      <c r="V3546" s="18" t="n">
        <v>100460.6</v>
      </c>
      <c r="W3546" s="18" t="n"/>
      <c r="X3546" s="35" t="n"/>
      <c r="Y3546" s="35" t="n">
        <v>2.41</v>
      </c>
    </row>
    <row r="3547">
      <c r="A3547" s="25" t="n">
        <v>44057</v>
      </c>
      <c r="B3547" s="18" t="n">
        <v>101353.45</v>
      </c>
      <c r="C3547" s="31" t="n"/>
      <c r="D3547" s="32" t="n"/>
      <c r="E3547" s="33" t="n">
        <v>0.4936</v>
      </c>
      <c r="F3547" t="inlineStr">
        <is>
          <t>Down</t>
        </is>
      </c>
      <c r="G3547" t="inlineStr">
        <is>
          <t>Down</t>
        </is>
      </c>
      <c r="H3547" t="inlineStr">
        <is>
          <t>ED_JD</t>
        </is>
      </c>
      <c r="I3547" t="inlineStr">
        <is>
          <t>2020-08</t>
        </is>
      </c>
      <c r="J3547" t="n">
        <v>1</v>
      </c>
      <c r="K3547" t="n">
        <v>1</v>
      </c>
      <c r="L3547" s="34">
        <f>IF($J3547=1,LN(B3548/B3547),"")</f>
        <v/>
      </c>
      <c r="M3547" s="34">
        <f>IF($K3547=1,INDEX(Mensal!$D$2:$D$245,MATCH($I3547,Mensal!$A$2:$A$245,0)),"")</f>
        <v/>
      </c>
      <c r="N3547" s="34">
        <f>IF($K3547=1,L3547-M3547,"")</f>
        <v/>
      </c>
      <c r="O3547" s="34" t="n">
        <v>7.469e-05</v>
      </c>
      <c r="P3547" s="34">
        <f>IF($J3547=1,LN(1+O3547),"")</f>
        <v/>
      </c>
      <c r="Q3547" s="34">
        <f>IF($J3547=1,LN(R3548/R3547),"")</f>
        <v/>
      </c>
      <c r="R3547" s="32" t="n">
        <v>5.3852</v>
      </c>
      <c r="S3547" s="35" t="n">
        <v>2.42</v>
      </c>
      <c r="T3547" s="18" t="n"/>
      <c r="U3547" s="18" t="n"/>
      <c r="V3547" s="18" t="n">
        <v>101353.45</v>
      </c>
      <c r="W3547" s="18" t="n"/>
      <c r="X3547" s="35" t="n"/>
      <c r="Y3547" s="35" t="n">
        <v>2.42</v>
      </c>
    </row>
    <row r="3548">
      <c r="A3548" s="25" t="n">
        <v>44060</v>
      </c>
      <c r="B3548" s="18" t="n">
        <v>99595.41</v>
      </c>
      <c r="C3548" s="31" t="n"/>
      <c r="D3548" s="32" t="n"/>
      <c r="E3548" s="33" t="n">
        <v>0.6753</v>
      </c>
      <c r="F3548" t="inlineStr">
        <is>
          <t>Down</t>
        </is>
      </c>
      <c r="G3548" t="inlineStr">
        <is>
          <t>Down</t>
        </is>
      </c>
      <c r="H3548" t="inlineStr">
        <is>
          <t>ED_JD</t>
        </is>
      </c>
      <c r="I3548" t="inlineStr">
        <is>
          <t>2020-08</t>
        </is>
      </c>
      <c r="J3548" t="n">
        <v>1</v>
      </c>
      <c r="K3548" t="n">
        <v>1</v>
      </c>
      <c r="L3548" s="34">
        <f>IF($J3548=1,LN(B3549/B3548),"")</f>
        <v/>
      </c>
      <c r="M3548" s="34">
        <f>IF($K3548=1,INDEX(Mensal!$D$2:$D$245,MATCH($I3548,Mensal!$A$2:$A$245,0)),"")</f>
        <v/>
      </c>
      <c r="N3548" s="34">
        <f>IF($K3548=1,L3548-M3548,"")</f>
        <v/>
      </c>
      <c r="O3548" s="34" t="n">
        <v>7.469e-05</v>
      </c>
      <c r="P3548" s="34">
        <f>IF($J3548=1,LN(1+O3548),"")</f>
        <v/>
      </c>
      <c r="Q3548" s="34">
        <f>IF($J3548=1,LN(R3549/R3548),"")</f>
        <v/>
      </c>
      <c r="R3548" s="32" t="n">
        <v>5.4497</v>
      </c>
      <c r="S3548" s="35" t="n">
        <v>2.44</v>
      </c>
      <c r="T3548" s="18" t="n"/>
      <c r="U3548" s="18" t="n"/>
      <c r="V3548" s="18" t="n">
        <v>99595.41</v>
      </c>
      <c r="W3548" s="18" t="n"/>
      <c r="X3548" s="35" t="n"/>
      <c r="Y3548" s="35" t="n">
        <v>2.44</v>
      </c>
    </row>
    <row r="3549">
      <c r="A3549" s="25" t="n">
        <v>44061</v>
      </c>
      <c r="B3549" s="18" t="n">
        <v>102065.35</v>
      </c>
      <c r="C3549" s="31" t="n"/>
      <c r="D3549" s="32" t="n"/>
      <c r="E3549" s="33" t="n">
        <v>0.8482</v>
      </c>
      <c r="F3549" t="inlineStr">
        <is>
          <t>Down</t>
        </is>
      </c>
      <c r="G3549" t="inlineStr">
        <is>
          <t>Down</t>
        </is>
      </c>
      <c r="H3549" t="inlineStr">
        <is>
          <t>ED_JD</t>
        </is>
      </c>
      <c r="I3549" t="inlineStr">
        <is>
          <t>2020-08</t>
        </is>
      </c>
      <c r="J3549" t="n">
        <v>1</v>
      </c>
      <c r="K3549" t="n">
        <v>1</v>
      </c>
      <c r="L3549" s="34">
        <f>IF($J3549=1,LN(B3550/B3549),"")</f>
        <v/>
      </c>
      <c r="M3549" s="34">
        <f>IF($K3549=1,INDEX(Mensal!$D$2:$D$245,MATCH($I3549,Mensal!$A$2:$A$245,0)),"")</f>
        <v/>
      </c>
      <c r="N3549" s="34">
        <f>IF($K3549=1,L3549-M3549,"")</f>
        <v/>
      </c>
      <c r="O3549" s="34" t="n">
        <v>7.469e-05</v>
      </c>
      <c r="P3549" s="34">
        <f>IF($J3549=1,LN(1+O3549),"")</f>
        <v/>
      </c>
      <c r="Q3549" s="34">
        <f>IF($J3549=1,LN(R3550/R3549),"")</f>
        <v/>
      </c>
      <c r="R3549" s="32" t="n">
        <v>5.4659</v>
      </c>
      <c r="S3549" s="35" t="n">
        <v>2.35</v>
      </c>
      <c r="T3549" s="18" t="n"/>
      <c r="U3549" s="18" t="n"/>
      <c r="V3549" s="18" t="n">
        <v>102065.35</v>
      </c>
      <c r="W3549" s="18" t="n"/>
      <c r="X3549" s="35" t="n"/>
      <c r="Y3549" s="35" t="n">
        <v>2.35</v>
      </c>
    </row>
    <row r="3550">
      <c r="A3550" s="25" t="n">
        <v>44062</v>
      </c>
      <c r="B3550" s="18" t="n">
        <v>100853.72</v>
      </c>
      <c r="C3550" s="31" t="n"/>
      <c r="D3550" s="32" t="n"/>
      <c r="E3550" s="33" t="n">
        <v>0.9892</v>
      </c>
      <c r="F3550" t="inlineStr">
        <is>
          <t>Down</t>
        </is>
      </c>
      <c r="G3550" t="inlineStr">
        <is>
          <t>Down</t>
        </is>
      </c>
      <c r="H3550" t="inlineStr">
        <is>
          <t>ED_JD</t>
        </is>
      </c>
      <c r="I3550" t="inlineStr">
        <is>
          <t>2020-08</t>
        </is>
      </c>
      <c r="J3550" t="n">
        <v>1</v>
      </c>
      <c r="K3550" t="n">
        <v>1</v>
      </c>
      <c r="L3550" s="34">
        <f>IF($J3550=1,LN(B3551/B3550),"")</f>
        <v/>
      </c>
      <c r="M3550" s="34">
        <f>IF($K3550=1,INDEX(Mensal!$D$2:$D$245,MATCH($I3550,Mensal!$A$2:$A$245,0)),"")</f>
        <v/>
      </c>
      <c r="N3550" s="34">
        <f>IF($K3550=1,L3550-M3550,"")</f>
        <v/>
      </c>
      <c r="O3550" s="34" t="n">
        <v>7.469e-05</v>
      </c>
      <c r="P3550" s="34">
        <f>IF($J3550=1,LN(1+O3550),"")</f>
        <v/>
      </c>
      <c r="Q3550" s="34">
        <f>IF($J3550=1,LN(R3551/R3550),"")</f>
        <v/>
      </c>
      <c r="R3550" s="32" t="n">
        <v>5.4906</v>
      </c>
      <c r="S3550" s="35" t="n">
        <v>2.36</v>
      </c>
      <c r="T3550" s="18" t="n"/>
      <c r="U3550" s="18" t="n"/>
      <c r="V3550" s="18" t="n">
        <v>100853.72</v>
      </c>
      <c r="W3550" s="18" t="n"/>
      <c r="X3550" s="35" t="n"/>
      <c r="Y3550" s="35" t="n">
        <v>2.36</v>
      </c>
    </row>
    <row r="3551">
      <c r="A3551" s="25" t="n">
        <v>44063</v>
      </c>
      <c r="B3551" s="18" t="n">
        <v>101467.87</v>
      </c>
      <c r="C3551" s="31" t="n"/>
      <c r="D3551" s="32" t="n"/>
      <c r="E3551" s="33" t="n">
        <v>1.1342</v>
      </c>
      <c r="F3551" t="inlineStr">
        <is>
          <t>Down</t>
        </is>
      </c>
      <c r="G3551" t="inlineStr">
        <is>
          <t>Down</t>
        </is>
      </c>
      <c r="H3551" t="inlineStr">
        <is>
          <t>ED_JD</t>
        </is>
      </c>
      <c r="I3551" t="inlineStr">
        <is>
          <t>2020-08</t>
        </is>
      </c>
      <c r="J3551" t="n">
        <v>1</v>
      </c>
      <c r="K3551" t="n">
        <v>1</v>
      </c>
      <c r="L3551" s="34">
        <f>IF($J3551=1,LN(B3552/B3551),"")</f>
        <v/>
      </c>
      <c r="M3551" s="34">
        <f>IF($K3551=1,INDEX(Mensal!$D$2:$D$245,MATCH($I3551,Mensal!$A$2:$A$245,0)),"")</f>
        <v/>
      </c>
      <c r="N3551" s="34">
        <f>IF($K3551=1,L3551-M3551,"")</f>
        <v/>
      </c>
      <c r="O3551" s="34" t="n">
        <v>7.469e-05</v>
      </c>
      <c r="P3551" s="34">
        <f>IF($J3551=1,LN(1+O3551),"")</f>
        <v/>
      </c>
      <c r="Q3551" s="34">
        <f>IF($J3551=1,LN(R3552/R3551),"")</f>
        <v/>
      </c>
      <c r="R3551" s="32" t="n">
        <v>5.651</v>
      </c>
      <c r="S3551" s="35" t="n">
        <v>2.41</v>
      </c>
      <c r="T3551" s="18" t="n"/>
      <c r="U3551" s="18" t="n"/>
      <c r="V3551" s="18" t="n">
        <v>101467.87</v>
      </c>
      <c r="W3551" s="18" t="n"/>
      <c r="X3551" s="35" t="n"/>
      <c r="Y3551" s="35" t="n">
        <v>2.41</v>
      </c>
    </row>
    <row r="3552">
      <c r="A3552" s="25" t="n">
        <v>44064</v>
      </c>
      <c r="B3552" s="18" t="n">
        <v>101521.29</v>
      </c>
      <c r="C3552" s="31" t="n"/>
      <c r="D3552" s="32" t="n"/>
      <c r="E3552" s="33" t="n">
        <v>1.2902</v>
      </c>
      <c r="F3552" t="inlineStr">
        <is>
          <t>Down</t>
        </is>
      </c>
      <c r="G3552" t="inlineStr">
        <is>
          <t>Down</t>
        </is>
      </c>
      <c r="H3552" t="inlineStr">
        <is>
          <t>ED_JD</t>
        </is>
      </c>
      <c r="I3552" t="inlineStr">
        <is>
          <t>2020-08</t>
        </is>
      </c>
      <c r="J3552" t="n">
        <v>1</v>
      </c>
      <c r="K3552" t="n">
        <v>1</v>
      </c>
      <c r="L3552" s="34">
        <f>IF($J3552=1,LN(B3553/B3552),"")</f>
        <v/>
      </c>
      <c r="M3552" s="34">
        <f>IF($K3552=1,INDEX(Mensal!$D$2:$D$245,MATCH($I3552,Mensal!$A$2:$A$245,0)),"")</f>
        <v/>
      </c>
      <c r="N3552" s="34">
        <f>IF($K3552=1,L3552-M3552,"")</f>
        <v/>
      </c>
      <c r="O3552" s="34" t="n">
        <v>7.469e-05</v>
      </c>
      <c r="P3552" s="34">
        <f>IF($J3552=1,LN(1+O3552),"")</f>
        <v/>
      </c>
      <c r="Q3552" s="34">
        <f>IF($J3552=1,LN(R3553/R3552),"")</f>
        <v/>
      </c>
      <c r="R3552" s="32" t="n">
        <v>5.6064</v>
      </c>
      <c r="S3552" s="35" t="n">
        <v>2.42</v>
      </c>
      <c r="T3552" s="18" t="n"/>
      <c r="U3552" s="18" t="n"/>
      <c r="V3552" s="18" t="n">
        <v>101521.29</v>
      </c>
      <c r="W3552" s="18" t="n"/>
      <c r="X3552" s="35" t="n"/>
      <c r="Y3552" s="35" t="n">
        <v>2.42</v>
      </c>
    </row>
    <row r="3553">
      <c r="A3553" s="25" t="n">
        <v>44067</v>
      </c>
      <c r="B3553" s="18" t="n">
        <v>102297.95</v>
      </c>
      <c r="C3553" s="31" t="n"/>
      <c r="D3553" s="32" t="n"/>
      <c r="E3553" s="33" t="n">
        <v>1.4586</v>
      </c>
      <c r="F3553" t="inlineStr">
        <is>
          <t>Down</t>
        </is>
      </c>
      <c r="G3553" t="inlineStr">
        <is>
          <t>Down</t>
        </is>
      </c>
      <c r="H3553" t="inlineStr">
        <is>
          <t>ED_JD</t>
        </is>
      </c>
      <c r="I3553" t="inlineStr">
        <is>
          <t>2020-08</t>
        </is>
      </c>
      <c r="J3553" t="n">
        <v>1</v>
      </c>
      <c r="K3553" t="n">
        <v>1</v>
      </c>
      <c r="L3553" s="34">
        <f>IF($J3553=1,LN(B3554/B3553),"")</f>
        <v/>
      </c>
      <c r="M3553" s="34">
        <f>IF($K3553=1,INDEX(Mensal!$D$2:$D$245,MATCH($I3553,Mensal!$A$2:$A$245,0)),"")</f>
        <v/>
      </c>
      <c r="N3553" s="34">
        <f>IF($K3553=1,L3553-M3553,"")</f>
        <v/>
      </c>
      <c r="O3553" s="34" t="n">
        <v>7.469e-05</v>
      </c>
      <c r="P3553" s="34">
        <f>IF($J3553=1,LN(1+O3553),"")</f>
        <v/>
      </c>
      <c r="Q3553" s="34">
        <f>IF($J3553=1,LN(R3554/R3553),"")</f>
        <v/>
      </c>
      <c r="R3553" s="32" t="n">
        <v>5.5954</v>
      </c>
      <c r="S3553" s="35" t="n">
        <v>2.39</v>
      </c>
      <c r="T3553" s="18" t="n"/>
      <c r="U3553" s="18" t="n"/>
      <c r="V3553" s="18" t="n">
        <v>102297.95</v>
      </c>
      <c r="W3553" s="18" t="n"/>
      <c r="X3553" s="35" t="n"/>
      <c r="Y3553" s="35" t="n">
        <v>2.39</v>
      </c>
    </row>
    <row r="3554">
      <c r="A3554" s="25" t="n">
        <v>44068</v>
      </c>
      <c r="B3554" s="18" t="n">
        <v>102117.64</v>
      </c>
      <c r="C3554" s="31" t="n"/>
      <c r="D3554" s="32" t="n"/>
      <c r="E3554" s="33" t="n">
        <v>1.6267</v>
      </c>
      <c r="F3554" t="inlineStr">
        <is>
          <t>Down</t>
        </is>
      </c>
      <c r="G3554" t="inlineStr">
        <is>
          <t>Down</t>
        </is>
      </c>
      <c r="H3554" t="inlineStr">
        <is>
          <t>ED_JD</t>
        </is>
      </c>
      <c r="I3554" t="inlineStr">
        <is>
          <t>2020-08</t>
        </is>
      </c>
      <c r="J3554" t="n">
        <v>1</v>
      </c>
      <c r="K3554" t="n">
        <v>1</v>
      </c>
      <c r="L3554" s="34">
        <f>IF($J3554=1,LN(B3555/B3554),"")</f>
        <v/>
      </c>
      <c r="M3554" s="34">
        <f>IF($K3554=1,INDEX(Mensal!$D$2:$D$245,MATCH($I3554,Mensal!$A$2:$A$245,0)),"")</f>
        <v/>
      </c>
      <c r="N3554" s="34">
        <f>IF($K3554=1,L3554-M3554,"")</f>
        <v/>
      </c>
      <c r="O3554" s="34" t="n">
        <v>7.469e-05</v>
      </c>
      <c r="P3554" s="34">
        <f>IF($J3554=1,LN(1+O3554),"")</f>
        <v/>
      </c>
      <c r="Q3554" s="34">
        <f>IF($J3554=1,LN(R3555/R3554),"")</f>
        <v/>
      </c>
      <c r="R3554" s="32" t="n">
        <v>5.5997</v>
      </c>
      <c r="S3554" s="35" t="n">
        <v>2.38</v>
      </c>
      <c r="T3554" s="18" t="n"/>
      <c r="U3554" s="18" t="n"/>
      <c r="V3554" s="18" t="n">
        <v>102117.64</v>
      </c>
      <c r="W3554" s="18" t="n"/>
      <c r="X3554" s="35" t="n"/>
      <c r="Y3554" s="35" t="n">
        <v>2.38</v>
      </c>
    </row>
    <row r="3555">
      <c r="A3555" s="25" t="n">
        <v>44069</v>
      </c>
      <c r="B3555" s="18" t="n">
        <v>100627.33</v>
      </c>
      <c r="C3555" s="31" t="n"/>
      <c r="D3555" s="32" t="n"/>
      <c r="E3555" s="33" t="n">
        <v>1.8002</v>
      </c>
      <c r="F3555" t="inlineStr">
        <is>
          <t>Down</t>
        </is>
      </c>
      <c r="G3555" t="inlineStr">
        <is>
          <t>Down</t>
        </is>
      </c>
      <c r="H3555" t="inlineStr">
        <is>
          <t>ED_JD</t>
        </is>
      </c>
      <c r="I3555" t="inlineStr">
        <is>
          <t>2020-08</t>
        </is>
      </c>
      <c r="J3555" t="n">
        <v>1</v>
      </c>
      <c r="K3555" t="n">
        <v>1</v>
      </c>
      <c r="L3555" s="34">
        <f>IF($J3555=1,LN(B3556/B3555),"")</f>
        <v/>
      </c>
      <c r="M3555" s="34">
        <f>IF($K3555=1,INDEX(Mensal!$D$2:$D$245,MATCH($I3555,Mensal!$A$2:$A$245,0)),"")</f>
        <v/>
      </c>
      <c r="N3555" s="34">
        <f>IF($K3555=1,L3555-M3555,"")</f>
        <v/>
      </c>
      <c r="O3555" s="34" t="n">
        <v>7.469e-05</v>
      </c>
      <c r="P3555" s="34">
        <f>IF($J3555=1,LN(1+O3555),"")</f>
        <v/>
      </c>
      <c r="Q3555" s="34">
        <f>IF($J3555=1,LN(R3556/R3555),"")</f>
        <v/>
      </c>
      <c r="R3555" s="32" t="n">
        <v>5.568</v>
      </c>
      <c r="S3555" s="35" t="n">
        <v>2.45</v>
      </c>
      <c r="T3555" s="18" t="n"/>
      <c r="U3555" s="18" t="n"/>
      <c r="V3555" s="18" t="n">
        <v>100627.33</v>
      </c>
      <c r="W3555" s="18" t="n"/>
      <c r="X3555" s="35" t="n"/>
      <c r="Y3555" s="35" t="n">
        <v>2.45</v>
      </c>
    </row>
    <row r="3556">
      <c r="A3556" s="25" t="n">
        <v>44070</v>
      </c>
      <c r="B3556" s="18" t="n">
        <v>100623.64</v>
      </c>
      <c r="C3556" s="31" t="n"/>
      <c r="D3556" s="32" t="n"/>
      <c r="E3556" s="33" t="n">
        <v>1.9817</v>
      </c>
      <c r="F3556" t="inlineStr">
        <is>
          <t>Down</t>
        </is>
      </c>
      <c r="G3556" t="inlineStr">
        <is>
          <t>Down</t>
        </is>
      </c>
      <c r="H3556" t="inlineStr">
        <is>
          <t>ED_JD</t>
        </is>
      </c>
      <c r="I3556" t="inlineStr">
        <is>
          <t>2020-08</t>
        </is>
      </c>
      <c r="J3556" t="n">
        <v>1</v>
      </c>
      <c r="K3556" t="n">
        <v>1</v>
      </c>
      <c r="L3556" s="34">
        <f>IF($J3556=1,LN(B3557/B3556),"")</f>
        <v/>
      </c>
      <c r="M3556" s="34">
        <f>IF($K3556=1,INDEX(Mensal!$D$2:$D$245,MATCH($I3556,Mensal!$A$2:$A$245,0)),"")</f>
        <v/>
      </c>
      <c r="N3556" s="34">
        <f>IF($K3556=1,L3556-M3556,"")</f>
        <v/>
      </c>
      <c r="O3556" s="34" t="n">
        <v>7.469e-05</v>
      </c>
      <c r="P3556" s="34">
        <f>IF($J3556=1,LN(1+O3556),"")</f>
        <v/>
      </c>
      <c r="Q3556" s="34">
        <f>IF($J3556=1,LN(R3557/R3556),"")</f>
        <v/>
      </c>
      <c r="R3556" s="32" t="n">
        <v>5.5956</v>
      </c>
      <c r="S3556" s="35" t="n">
        <v>2.5</v>
      </c>
      <c r="T3556" s="18" t="n"/>
      <c r="U3556" s="18" t="n"/>
      <c r="V3556" s="18" t="n">
        <v>100623.64</v>
      </c>
      <c r="W3556" s="18" t="n"/>
      <c r="X3556" s="35" t="n"/>
      <c r="Y3556" s="35" t="n">
        <v>2.5</v>
      </c>
    </row>
    <row r="3557">
      <c r="A3557" s="25" t="n">
        <v>44071</v>
      </c>
      <c r="B3557" s="18" t="n">
        <v>102142.93</v>
      </c>
      <c r="C3557" s="31" t="n"/>
      <c r="D3557" s="32" t="n"/>
      <c r="E3557" s="33" t="n">
        <v>2.1337</v>
      </c>
      <c r="F3557" t="inlineStr">
        <is>
          <t>Down</t>
        </is>
      </c>
      <c r="G3557" t="inlineStr">
        <is>
          <t>Down</t>
        </is>
      </c>
      <c r="H3557" t="inlineStr">
        <is>
          <t>ED_JD</t>
        </is>
      </c>
      <c r="I3557" t="inlineStr">
        <is>
          <t>2020-08</t>
        </is>
      </c>
      <c r="J3557" t="n">
        <v>1</v>
      </c>
      <c r="K3557" t="n">
        <v>1</v>
      </c>
      <c r="L3557" s="34">
        <f>IF($J3557=1,LN(B3558/B3557),"")</f>
        <v/>
      </c>
      <c r="M3557" s="34">
        <f>IF($K3557=1,INDEX(Mensal!$D$2:$D$245,MATCH($I3557,Mensal!$A$2:$A$245,0)),"")</f>
        <v/>
      </c>
      <c r="N3557" s="34">
        <f>IF($K3557=1,L3557-M3557,"")</f>
        <v/>
      </c>
      <c r="O3557" s="34" t="n">
        <v>7.469e-05</v>
      </c>
      <c r="P3557" s="34">
        <f>IF($J3557=1,LN(1+O3557),"")</f>
        <v/>
      </c>
      <c r="Q3557" s="34">
        <f>IF($J3557=1,LN(R3558/R3557),"")</f>
        <v/>
      </c>
      <c r="R3557" s="32" t="n">
        <v>5.4679</v>
      </c>
      <c r="S3557" s="35" t="n">
        <v>2.46</v>
      </c>
      <c r="T3557" s="18" t="n"/>
      <c r="U3557" s="18" t="n"/>
      <c r="V3557" s="18" t="n">
        <v>102142.93</v>
      </c>
      <c r="W3557" s="18" t="n"/>
      <c r="X3557" s="35" t="n"/>
      <c r="Y3557" s="35" t="n">
        <v>2.46</v>
      </c>
    </row>
    <row r="3558">
      <c r="A3558" s="25" t="n">
        <v>44074</v>
      </c>
      <c r="B3558" s="18" t="n">
        <v>99369.14999999999</v>
      </c>
      <c r="C3558" s="31" t="n"/>
      <c r="D3558" s="32" t="n"/>
      <c r="E3558" s="33" t="n">
        <v>2.2974</v>
      </c>
      <c r="F3558" t="inlineStr">
        <is>
          <t>Down</t>
        </is>
      </c>
      <c r="G3558" t="inlineStr">
        <is>
          <t>Down</t>
        </is>
      </c>
      <c r="H3558" t="inlineStr">
        <is>
          <t>ED_JD</t>
        </is>
      </c>
      <c r="I3558" t="inlineStr">
        <is>
          <t>2020-08</t>
        </is>
      </c>
      <c r="J3558" t="n">
        <v>1</v>
      </c>
      <c r="K3558" t="n">
        <v>1</v>
      </c>
      <c r="L3558" s="34">
        <f>IF($J3558=1,LN(B3559/B3558),"")</f>
        <v/>
      </c>
      <c r="M3558" s="34">
        <f>IF($K3558=1,INDEX(Mensal!$D$2:$D$245,MATCH($I3558,Mensal!$A$2:$A$245,0)),"")</f>
        <v/>
      </c>
      <c r="N3558" s="34">
        <f>IF($K3558=1,L3558-M3558,"")</f>
        <v/>
      </c>
      <c r="O3558" s="34" t="n">
        <v>7.469e-05</v>
      </c>
      <c r="P3558" s="34">
        <f>IF($J3558=1,LN(1+O3558),"")</f>
        <v/>
      </c>
      <c r="Q3558" s="34">
        <f>IF($J3558=1,LN(R3559/R3558),"")</f>
        <v/>
      </c>
      <c r="R3558" s="32" t="n">
        <v>5.4713</v>
      </c>
      <c r="S3558" s="35" t="n">
        <v>2.59</v>
      </c>
      <c r="T3558" s="18" t="n"/>
      <c r="U3558" s="18" t="n"/>
      <c r="V3558" s="18" t="n">
        <v>99369.14999999999</v>
      </c>
      <c r="W3558" s="18" t="n"/>
      <c r="X3558" s="35" t="n"/>
      <c r="Y3558" s="35" t="n">
        <v>2.59</v>
      </c>
    </row>
    <row r="3559">
      <c r="A3559" s="25" t="n">
        <v>44075</v>
      </c>
      <c r="B3559" s="18" t="n">
        <v>102167.65</v>
      </c>
      <c r="C3559" s="31" t="n"/>
      <c r="D3559" s="32" t="n"/>
      <c r="E3559" s="33" t="n">
        <v>2.4504</v>
      </c>
      <c r="F3559" t="inlineStr">
        <is>
          <t>Down</t>
        </is>
      </c>
      <c r="G3559" t="inlineStr">
        <is>
          <t>Down</t>
        </is>
      </c>
      <c r="H3559" t="inlineStr">
        <is>
          <t>ED_JD</t>
        </is>
      </c>
      <c r="I3559" t="inlineStr">
        <is>
          <t>2020-09</t>
        </is>
      </c>
      <c r="J3559" t="n">
        <v>1</v>
      </c>
      <c r="K3559" t="n">
        <v>1</v>
      </c>
      <c r="L3559" s="34">
        <f>IF($J3559=1,LN(B3560/B3559),"")</f>
        <v/>
      </c>
      <c r="M3559" s="34">
        <f>IF($K3559=1,INDEX(Mensal!$D$2:$D$245,MATCH($I3559,Mensal!$A$2:$A$245,0)),"")</f>
        <v/>
      </c>
      <c r="N3559" s="34">
        <f>IF($K3559=1,L3559-M3559,"")</f>
        <v/>
      </c>
      <c r="O3559" s="34" t="n">
        <v>7.469e-05</v>
      </c>
      <c r="P3559" s="34">
        <f>IF($J3559=1,LN(1+O3559),"")</f>
        <v/>
      </c>
      <c r="Q3559" s="34">
        <f>IF($J3559=1,LN(R3560/R3559),"")</f>
        <v/>
      </c>
      <c r="R3559" s="32" t="n">
        <v>5.3732</v>
      </c>
      <c r="S3559" s="35" t="n">
        <v>2.46</v>
      </c>
      <c r="T3559" s="18" t="n"/>
      <c r="U3559" s="18" t="n"/>
      <c r="V3559" s="18" t="n">
        <v>102167.65</v>
      </c>
      <c r="W3559" s="18" t="n"/>
      <c r="X3559" s="35" t="n"/>
      <c r="Y3559" s="35" t="n">
        <v>2.46</v>
      </c>
    </row>
    <row r="3560">
      <c r="A3560" s="25" t="n">
        <v>44076</v>
      </c>
      <c r="B3560" s="18" t="n">
        <v>101911.13</v>
      </c>
      <c r="C3560" s="31" t="n"/>
      <c r="D3560" s="32" t="n"/>
      <c r="E3560" s="33" t="n">
        <v>2.613</v>
      </c>
      <c r="F3560" t="inlineStr">
        <is>
          <t>Down</t>
        </is>
      </c>
      <c r="G3560" t="inlineStr">
        <is>
          <t>Down</t>
        </is>
      </c>
      <c r="H3560" t="inlineStr">
        <is>
          <t>ED_JD</t>
        </is>
      </c>
      <c r="I3560" t="inlineStr">
        <is>
          <t>2020-09</t>
        </is>
      </c>
      <c r="J3560" t="n">
        <v>1</v>
      </c>
      <c r="K3560" t="n">
        <v>1</v>
      </c>
      <c r="L3560" s="34">
        <f>IF($J3560=1,LN(B3561/B3560),"")</f>
        <v/>
      </c>
      <c r="M3560" s="34">
        <f>IF($K3560=1,INDEX(Mensal!$D$2:$D$245,MATCH($I3560,Mensal!$A$2:$A$245,0)),"")</f>
        <v/>
      </c>
      <c r="N3560" s="34">
        <f>IF($K3560=1,L3560-M3560,"")</f>
        <v/>
      </c>
      <c r="O3560" s="34" t="n">
        <v>7.469e-05</v>
      </c>
      <c r="P3560" s="34">
        <f>IF($J3560=1,LN(1+O3560),"")</f>
        <v/>
      </c>
      <c r="Q3560" s="34">
        <f>IF($J3560=1,LN(R3561/R3560),"")</f>
        <v/>
      </c>
      <c r="R3560" s="32" t="n">
        <v>5.3741</v>
      </c>
      <c r="S3560" s="35" t="n">
        <v>2.49</v>
      </c>
      <c r="T3560" s="18" t="n"/>
      <c r="U3560" s="18" t="n"/>
      <c r="V3560" s="18" t="n">
        <v>101911.13</v>
      </c>
      <c r="W3560" s="18" t="n"/>
      <c r="X3560" s="35" t="n"/>
      <c r="Y3560" s="35" t="n">
        <v>2.49</v>
      </c>
    </row>
    <row r="3561">
      <c r="A3561" s="25" t="n">
        <v>44077</v>
      </c>
      <c r="B3561" s="18" t="n">
        <v>100721.36</v>
      </c>
      <c r="C3561" s="31" t="n"/>
      <c r="D3561" s="32" t="n"/>
      <c r="E3561" s="33" t="n">
        <v>2.7765</v>
      </c>
      <c r="F3561" t="inlineStr">
        <is>
          <t>Down</t>
        </is>
      </c>
      <c r="G3561" t="inlineStr">
        <is>
          <t>Down</t>
        </is>
      </c>
      <c r="H3561" t="inlineStr">
        <is>
          <t>ED_JD</t>
        </is>
      </c>
      <c r="I3561" t="inlineStr">
        <is>
          <t>2020-09</t>
        </is>
      </c>
      <c r="J3561" t="n">
        <v>1</v>
      </c>
      <c r="K3561" t="n">
        <v>1</v>
      </c>
      <c r="L3561" s="34">
        <f>IF($J3561=1,LN(B3562/B3561),"")</f>
        <v/>
      </c>
      <c r="M3561" s="34">
        <f>IF($K3561=1,INDEX(Mensal!$D$2:$D$245,MATCH($I3561,Mensal!$A$2:$A$245,0)),"")</f>
        <v/>
      </c>
      <c r="N3561" s="34">
        <f>IF($K3561=1,L3561-M3561,"")</f>
        <v/>
      </c>
      <c r="O3561" s="34" t="n">
        <v>7.469e-05</v>
      </c>
      <c r="P3561" s="34">
        <f>IF($J3561=1,LN(1+O3561),"")</f>
        <v/>
      </c>
      <c r="Q3561" s="34">
        <f>IF($J3561=1,LN(R3562/R3561),"")</f>
        <v/>
      </c>
      <c r="R3561" s="32" t="n">
        <v>5.3079</v>
      </c>
      <c r="S3561" s="35" t="n">
        <v>2.49</v>
      </c>
      <c r="T3561" s="18" t="n"/>
      <c r="U3561" s="18" t="n"/>
      <c r="V3561" s="18" t="n">
        <v>100721.36</v>
      </c>
      <c r="W3561" s="18" t="n"/>
      <c r="X3561" s="35" t="n"/>
      <c r="Y3561" s="35" t="n">
        <v>2.49</v>
      </c>
    </row>
    <row r="3562">
      <c r="A3562" s="25" t="n">
        <v>44078</v>
      </c>
      <c r="B3562" s="18" t="n">
        <v>101241.73</v>
      </c>
      <c r="C3562" s="31" t="n"/>
      <c r="D3562" s="32" t="n"/>
      <c r="E3562" s="33" t="n">
        <v>2.9123</v>
      </c>
      <c r="F3562" t="inlineStr">
        <is>
          <t>Down</t>
        </is>
      </c>
      <c r="G3562" t="inlineStr">
        <is>
          <t>Down</t>
        </is>
      </c>
      <c r="H3562" t="inlineStr">
        <is>
          <t>ED_JD</t>
        </is>
      </c>
      <c r="I3562" t="inlineStr">
        <is>
          <t>2020-09</t>
        </is>
      </c>
      <c r="J3562" t="n">
        <v>1</v>
      </c>
      <c r="K3562" t="n">
        <v>1</v>
      </c>
      <c r="L3562" s="34">
        <f>IF($J3562=1,LN(B3563/B3562),"")</f>
        <v/>
      </c>
      <c r="M3562" s="34">
        <f>IF($K3562=1,INDEX(Mensal!$D$2:$D$245,MATCH($I3562,Mensal!$A$2:$A$245,0)),"")</f>
        <v/>
      </c>
      <c r="N3562" s="34">
        <f>IF($K3562=1,L3562-M3562,"")</f>
        <v/>
      </c>
      <c r="O3562" s="34" t="n">
        <v>7.469e-05</v>
      </c>
      <c r="P3562" s="34">
        <f>IF($J3562=1,LN(1+O3562),"")</f>
        <v/>
      </c>
      <c r="Q3562" s="34">
        <f>IF($J3562=1,LN(R3563/R3562),"")</f>
        <v/>
      </c>
      <c r="R3562" s="32" t="n">
        <v>5.2848</v>
      </c>
      <c r="S3562" s="35" t="n">
        <v>2.45</v>
      </c>
      <c r="T3562" s="18" t="n"/>
      <c r="U3562" s="18" t="n"/>
      <c r="V3562" s="18" t="n">
        <v>101241.73</v>
      </c>
      <c r="W3562" s="18" t="n"/>
      <c r="X3562" s="35" t="n"/>
      <c r="Y3562" s="35" t="n">
        <v>2.45</v>
      </c>
    </row>
    <row r="3563">
      <c r="A3563" s="25" t="n">
        <v>44082</v>
      </c>
      <c r="B3563" s="18" t="n">
        <v>100050.43</v>
      </c>
      <c r="C3563" s="31" t="n"/>
      <c r="D3563" s="32" t="n"/>
      <c r="E3563" s="33" t="n">
        <v>2.9971</v>
      </c>
      <c r="F3563" t="inlineStr">
        <is>
          <t>Down</t>
        </is>
      </c>
      <c r="G3563" t="inlineStr">
        <is>
          <t>Down</t>
        </is>
      </c>
      <c r="H3563" t="inlineStr">
        <is>
          <t>ED_JD</t>
        </is>
      </c>
      <c r="I3563" t="inlineStr">
        <is>
          <t>2020-09</t>
        </is>
      </c>
      <c r="J3563" t="n">
        <v>1</v>
      </c>
      <c r="K3563" t="n">
        <v>1</v>
      </c>
      <c r="L3563" s="34">
        <f>IF($J3563=1,LN(B3564/B3563),"")</f>
        <v/>
      </c>
      <c r="M3563" s="34">
        <f>IF($K3563=1,INDEX(Mensal!$D$2:$D$245,MATCH($I3563,Mensal!$A$2:$A$245,0)),"")</f>
        <v/>
      </c>
      <c r="N3563" s="34">
        <f>IF($K3563=1,L3563-M3563,"")</f>
        <v/>
      </c>
      <c r="O3563" s="34" t="n">
        <v>7.469e-05</v>
      </c>
      <c r="P3563" s="34">
        <f>IF($J3563=1,LN(1+O3563),"")</f>
        <v/>
      </c>
      <c r="Q3563" s="34">
        <f>IF($J3563=1,LN(R3564/R3563),"")</f>
        <v/>
      </c>
      <c r="R3563" s="32" t="n">
        <v>5.3698</v>
      </c>
      <c r="S3563" s="35" t="n">
        <v>2.53</v>
      </c>
      <c r="T3563" s="18" t="n"/>
      <c r="U3563" s="18" t="n"/>
      <c r="V3563" s="18" t="n">
        <v>100050.43</v>
      </c>
      <c r="W3563" s="18" t="n"/>
      <c r="X3563" s="35" t="n"/>
      <c r="Y3563" s="35" t="n">
        <v>2.53</v>
      </c>
    </row>
    <row r="3564">
      <c r="A3564" s="25" t="n">
        <v>44083</v>
      </c>
      <c r="B3564" s="18" t="n">
        <v>101292.05</v>
      </c>
      <c r="C3564" s="31" t="n"/>
      <c r="D3564" s="32" t="n"/>
      <c r="E3564" s="33" t="n">
        <v>3.0706</v>
      </c>
      <c r="F3564" t="inlineStr">
        <is>
          <t>Down</t>
        </is>
      </c>
      <c r="G3564" t="inlineStr">
        <is>
          <t>Down</t>
        </is>
      </c>
      <c r="H3564" t="inlineStr">
        <is>
          <t>ED_JD</t>
        </is>
      </c>
      <c r="I3564" t="inlineStr">
        <is>
          <t>2020-09</t>
        </is>
      </c>
      <c r="J3564" t="n">
        <v>1</v>
      </c>
      <c r="K3564" t="n">
        <v>1</v>
      </c>
      <c r="L3564" s="34">
        <f>IF($J3564=1,LN(B3565/B3564),"")</f>
        <v/>
      </c>
      <c r="M3564" s="34">
        <f>IF($K3564=1,INDEX(Mensal!$D$2:$D$245,MATCH($I3564,Mensal!$A$2:$A$245,0)),"")</f>
        <v/>
      </c>
      <c r="N3564" s="34">
        <f>IF($K3564=1,L3564-M3564,"")</f>
        <v/>
      </c>
      <c r="O3564" s="34" t="n">
        <v>7.469e-05</v>
      </c>
      <c r="P3564" s="34">
        <f>IF($J3564=1,LN(1+O3564),"")</f>
        <v/>
      </c>
      <c r="Q3564" s="34">
        <f>IF($J3564=1,LN(R3565/R3564),"")</f>
        <v/>
      </c>
      <c r="R3564" s="32" t="n">
        <v>5.3024</v>
      </c>
      <c r="S3564" s="35" t="n">
        <v>2.49</v>
      </c>
      <c r="T3564" s="18" t="n"/>
      <c r="U3564" s="18" t="n"/>
      <c r="V3564" s="18" t="n">
        <v>101292.05</v>
      </c>
      <c r="W3564" s="18" t="n"/>
      <c r="X3564" s="35" t="n"/>
      <c r="Y3564" s="35" t="n">
        <v>2.49</v>
      </c>
    </row>
    <row r="3565">
      <c r="A3565" s="25" t="n">
        <v>44084</v>
      </c>
      <c r="B3565" s="18" t="n">
        <v>98834.59</v>
      </c>
      <c r="C3565" s="31" t="n"/>
      <c r="D3565" s="32" t="n"/>
      <c r="E3565" s="33" t="n">
        <v>3.1575</v>
      </c>
      <c r="F3565" t="inlineStr">
        <is>
          <t>Down</t>
        </is>
      </c>
      <c r="G3565" t="inlineStr">
        <is>
          <t>Down</t>
        </is>
      </c>
      <c r="H3565" t="inlineStr">
        <is>
          <t>ED_JD</t>
        </is>
      </c>
      <c r="I3565" t="inlineStr">
        <is>
          <t>2020-09</t>
        </is>
      </c>
      <c r="J3565" t="n">
        <v>1</v>
      </c>
      <c r="K3565" t="n">
        <v>1</v>
      </c>
      <c r="L3565" s="34">
        <f>IF($J3565=1,LN(B3566/B3565),"")</f>
        <v/>
      </c>
      <c r="M3565" s="34">
        <f>IF($K3565=1,INDEX(Mensal!$D$2:$D$245,MATCH($I3565,Mensal!$A$2:$A$245,0)),"")</f>
        <v/>
      </c>
      <c r="N3565" s="34">
        <f>IF($K3565=1,L3565-M3565,"")</f>
        <v/>
      </c>
      <c r="O3565" s="34" t="n">
        <v>7.469e-05</v>
      </c>
      <c r="P3565" s="34">
        <f>IF($J3565=1,LN(1+O3565),"")</f>
        <v/>
      </c>
      <c r="Q3565" s="34">
        <f>IF($J3565=1,LN(R3566/R3565),"")</f>
        <v/>
      </c>
      <c r="R3565" s="32" t="n">
        <v>5.2936</v>
      </c>
      <c r="S3565" s="35" t="n">
        <v>2.54</v>
      </c>
      <c r="T3565" s="18" t="n"/>
      <c r="U3565" s="18" t="n"/>
      <c r="V3565" s="18" t="n">
        <v>98834.59</v>
      </c>
      <c r="W3565" s="18" t="n"/>
      <c r="X3565" s="35" t="n"/>
      <c r="Y3565" s="35" t="n">
        <v>2.54</v>
      </c>
    </row>
    <row r="3566">
      <c r="A3566" s="25" t="n">
        <v>44085</v>
      </c>
      <c r="B3566" s="18" t="n">
        <v>98363.22</v>
      </c>
      <c r="C3566" s="31" t="n"/>
      <c r="D3566" s="32" t="n"/>
      <c r="E3566" s="33" t="n">
        <v>3.2482</v>
      </c>
      <c r="F3566" t="inlineStr">
        <is>
          <t>Down</t>
        </is>
      </c>
      <c r="G3566" t="inlineStr">
        <is>
          <t>Down</t>
        </is>
      </c>
      <c r="H3566" t="inlineStr">
        <is>
          <t>ED_JD</t>
        </is>
      </c>
      <c r="I3566" t="inlineStr">
        <is>
          <t>2020-09</t>
        </is>
      </c>
      <c r="J3566" t="n">
        <v>1</v>
      </c>
      <c r="K3566" t="n">
        <v>1</v>
      </c>
      <c r="L3566" s="34">
        <f>IF($J3566=1,LN(B3567/B3566),"")</f>
        <v/>
      </c>
      <c r="M3566" s="34">
        <f>IF($K3566=1,INDEX(Mensal!$D$2:$D$245,MATCH($I3566,Mensal!$A$2:$A$245,0)),"")</f>
        <v/>
      </c>
      <c r="N3566" s="34">
        <f>IF($K3566=1,L3566-M3566,"")</f>
        <v/>
      </c>
      <c r="O3566" s="34" t="n">
        <v>7.469e-05</v>
      </c>
      <c r="P3566" s="34">
        <f>IF($J3566=1,LN(1+O3566),"")</f>
        <v/>
      </c>
      <c r="Q3566" s="34">
        <f>IF($J3566=1,LN(R3567/R3566),"")</f>
        <v/>
      </c>
      <c r="R3566" s="32" t="n">
        <v>5.2854</v>
      </c>
      <c r="S3566" s="35" t="n">
        <v>2.53</v>
      </c>
      <c r="T3566" s="18" t="n"/>
      <c r="U3566" s="18" t="n"/>
      <c r="V3566" s="18" t="n">
        <v>98363.22</v>
      </c>
      <c r="W3566" s="18" t="n"/>
      <c r="X3566" s="35" t="n"/>
      <c r="Y3566" s="35" t="n">
        <v>2.53</v>
      </c>
    </row>
    <row r="3567">
      <c r="A3567" s="25" t="n">
        <v>44088</v>
      </c>
      <c r="B3567" s="18" t="n">
        <v>100274.52</v>
      </c>
      <c r="C3567" s="31" t="n"/>
      <c r="D3567" s="32" t="n"/>
      <c r="E3567" s="33" t="n">
        <v>3.3546</v>
      </c>
      <c r="F3567" t="inlineStr">
        <is>
          <t>Down</t>
        </is>
      </c>
      <c r="G3567" t="inlineStr">
        <is>
          <t>Down</t>
        </is>
      </c>
      <c r="H3567" t="inlineStr">
        <is>
          <t>ED_JD</t>
        </is>
      </c>
      <c r="I3567" t="inlineStr">
        <is>
          <t>2020-09</t>
        </is>
      </c>
      <c r="J3567" t="n">
        <v>1</v>
      </c>
      <c r="K3567" t="n">
        <v>1</v>
      </c>
      <c r="L3567" s="34">
        <f>IF($J3567=1,LN(B3568/B3567),"")</f>
        <v/>
      </c>
      <c r="M3567" s="34">
        <f>IF($K3567=1,INDEX(Mensal!$D$2:$D$245,MATCH($I3567,Mensal!$A$2:$A$245,0)),"")</f>
        <v/>
      </c>
      <c r="N3567" s="34">
        <f>IF($K3567=1,L3567-M3567,"")</f>
        <v/>
      </c>
      <c r="O3567" s="34" t="n">
        <v>7.469e-05</v>
      </c>
      <c r="P3567" s="34">
        <f>IF($J3567=1,LN(1+O3567),"")</f>
        <v/>
      </c>
      <c r="Q3567" s="34">
        <f>IF($J3567=1,LN(R3568/R3567),"")</f>
        <v/>
      </c>
      <c r="R3567" s="32" t="n">
        <v>5.2984</v>
      </c>
      <c r="S3567" s="35" t="n">
        <v>2.43</v>
      </c>
      <c r="T3567" s="18" t="n"/>
      <c r="U3567" s="18" t="n"/>
      <c r="V3567" s="18" t="n">
        <v>100274.52</v>
      </c>
      <c r="W3567" s="18" t="n"/>
      <c r="X3567" s="35" t="n"/>
      <c r="Y3567" s="35" t="n">
        <v>2.43</v>
      </c>
    </row>
    <row r="3568">
      <c r="A3568" s="25" t="n">
        <v>44089</v>
      </c>
      <c r="B3568" s="18" t="n">
        <v>100297.91</v>
      </c>
      <c r="C3568" s="31" t="n"/>
      <c r="D3568" s="32" t="n"/>
      <c r="E3568" s="33" t="n">
        <v>3.4505</v>
      </c>
      <c r="F3568" t="inlineStr">
        <is>
          <t>Down</t>
        </is>
      </c>
      <c r="G3568" t="inlineStr">
        <is>
          <t>Down</t>
        </is>
      </c>
      <c r="H3568" t="inlineStr">
        <is>
          <t>ED_JD</t>
        </is>
      </c>
      <c r="I3568" t="inlineStr">
        <is>
          <t>2020-09</t>
        </is>
      </c>
      <c r="J3568" t="n">
        <v>1</v>
      </c>
      <c r="K3568" t="n">
        <v>1</v>
      </c>
      <c r="L3568" s="34">
        <f>IF($J3568=1,LN(B3569/B3568),"")</f>
        <v/>
      </c>
      <c r="M3568" s="34">
        <f>IF($K3568=1,INDEX(Mensal!$D$2:$D$245,MATCH($I3568,Mensal!$A$2:$A$245,0)),"")</f>
        <v/>
      </c>
      <c r="N3568" s="34">
        <f>IF($K3568=1,L3568-M3568,"")</f>
        <v/>
      </c>
      <c r="O3568" s="34" t="n">
        <v>7.469e-05</v>
      </c>
      <c r="P3568" s="34">
        <f>IF($J3568=1,LN(1+O3568),"")</f>
        <v/>
      </c>
      <c r="Q3568" s="34">
        <f>IF($J3568=1,LN(R3569/R3568),"")</f>
        <v/>
      </c>
      <c r="R3568" s="32" t="n">
        <v>5.2728</v>
      </c>
      <c r="S3568" s="35" t="n">
        <v>2.49</v>
      </c>
      <c r="T3568" s="18" t="n"/>
      <c r="U3568" s="18" t="n"/>
      <c r="V3568" s="18" t="n">
        <v>100297.91</v>
      </c>
      <c r="W3568" s="18" t="n"/>
      <c r="X3568" s="35" t="n"/>
      <c r="Y3568" s="35" t="n">
        <v>2.49</v>
      </c>
    </row>
    <row r="3569">
      <c r="A3569" s="25" t="n">
        <v>44090</v>
      </c>
      <c r="B3569" s="18" t="n">
        <v>99675.67999999999</v>
      </c>
      <c r="C3569" s="31" t="n"/>
      <c r="D3569" s="32" t="n"/>
      <c r="E3569" s="33" t="n">
        <v>3.543</v>
      </c>
      <c r="F3569" t="inlineStr">
        <is>
          <t>Down</t>
        </is>
      </c>
      <c r="G3569" t="inlineStr">
        <is>
          <t>Down</t>
        </is>
      </c>
      <c r="H3569" t="inlineStr">
        <is>
          <t>ED_JD</t>
        </is>
      </c>
      <c r="I3569" t="inlineStr">
        <is>
          <t>2020-09</t>
        </is>
      </c>
      <c r="J3569" t="n">
        <v>1</v>
      </c>
      <c r="K3569" t="n">
        <v>1</v>
      </c>
      <c r="L3569" s="34">
        <f>IF($J3569=1,LN(B3570/B3569),"")</f>
        <v/>
      </c>
      <c r="M3569" s="34">
        <f>IF($K3569=1,INDEX(Mensal!$D$2:$D$245,MATCH($I3569,Mensal!$A$2:$A$245,0)),"")</f>
        <v/>
      </c>
      <c r="N3569" s="34">
        <f>IF($K3569=1,L3569-M3569,"")</f>
        <v/>
      </c>
      <c r="O3569" s="34" t="n">
        <v>7.469e-05</v>
      </c>
      <c r="P3569" s="34">
        <f>IF($J3569=1,LN(1+O3569),"")</f>
        <v/>
      </c>
      <c r="Q3569" s="34">
        <f>IF($J3569=1,LN(R3570/R3569),"")</f>
        <v/>
      </c>
      <c r="R3569" s="32" t="n">
        <v>5.2532</v>
      </c>
      <c r="S3569" s="35" t="n">
        <v>2.58</v>
      </c>
      <c r="T3569" s="18" t="n"/>
      <c r="U3569" s="18" t="n"/>
      <c r="V3569" s="18" t="n">
        <v>99675.67999999999</v>
      </c>
      <c r="W3569" s="18" t="n"/>
      <c r="X3569" s="35" t="n"/>
      <c r="Y3569" s="35" t="n">
        <v>2.58</v>
      </c>
    </row>
    <row r="3570">
      <c r="A3570" s="25" t="n">
        <v>44091</v>
      </c>
      <c r="B3570" s="18" t="n">
        <v>100097.83</v>
      </c>
      <c r="C3570" s="31" t="n"/>
      <c r="D3570" s="32" t="n"/>
      <c r="E3570" s="33" t="n">
        <v>3.6311</v>
      </c>
      <c r="F3570" t="inlineStr">
        <is>
          <t>Down</t>
        </is>
      </c>
      <c r="G3570" t="inlineStr">
        <is>
          <t>Down</t>
        </is>
      </c>
      <c r="H3570" t="inlineStr">
        <is>
          <t>ED_JD</t>
        </is>
      </c>
      <c r="I3570" t="inlineStr">
        <is>
          <t>2020-09</t>
        </is>
      </c>
      <c r="J3570" t="n">
        <v>1</v>
      </c>
      <c r="K3570" t="n">
        <v>1</v>
      </c>
      <c r="L3570" s="34">
        <f>IF($J3570=1,LN(B3571/B3570),"")</f>
        <v/>
      </c>
      <c r="M3570" s="34">
        <f>IF($K3570=1,INDEX(Mensal!$D$2:$D$245,MATCH($I3570,Mensal!$A$2:$A$245,0)),"")</f>
        <v/>
      </c>
      <c r="N3570" s="34">
        <f>IF($K3570=1,L3570-M3570,"")</f>
        <v/>
      </c>
      <c r="O3570" s="34" t="n">
        <v>7.469e-05</v>
      </c>
      <c r="P3570" s="34">
        <f>IF($J3570=1,LN(1+O3570),"")</f>
        <v/>
      </c>
      <c r="Q3570" s="34">
        <f>IF($J3570=1,LN(R3571/R3570),"")</f>
        <v/>
      </c>
      <c r="R3570" s="32" t="n">
        <v>5.2593</v>
      </c>
      <c r="S3570" s="35" t="n">
        <v>2.6</v>
      </c>
      <c r="T3570" s="18" t="n"/>
      <c r="U3570" s="18" t="n"/>
      <c r="V3570" s="18" t="n">
        <v>100097.83</v>
      </c>
      <c r="W3570" s="18" t="n"/>
      <c r="X3570" s="35" t="n"/>
      <c r="Y3570" s="35" t="n">
        <v>2.6</v>
      </c>
    </row>
    <row r="3571">
      <c r="A3571" s="25" t="n">
        <v>44092</v>
      </c>
      <c r="B3571" s="18" t="n">
        <v>98289.71000000001</v>
      </c>
      <c r="C3571" s="31" t="n"/>
      <c r="D3571" s="32" t="n"/>
      <c r="E3571" s="33" t="n">
        <v>3.6871</v>
      </c>
      <c r="F3571" t="inlineStr">
        <is>
          <t>Down</t>
        </is>
      </c>
      <c r="G3571" t="inlineStr">
        <is>
          <t>Down</t>
        </is>
      </c>
      <c r="H3571" t="inlineStr">
        <is>
          <t>ED_JD</t>
        </is>
      </c>
      <c r="I3571" t="inlineStr">
        <is>
          <t>2020-09</t>
        </is>
      </c>
      <c r="J3571" t="n">
        <v>1</v>
      </c>
      <c r="K3571" t="n">
        <v>1</v>
      </c>
      <c r="L3571" s="34">
        <f>IF($J3571=1,LN(B3572/B3571),"")</f>
        <v/>
      </c>
      <c r="M3571" s="34">
        <f>IF($K3571=1,INDEX(Mensal!$D$2:$D$245,MATCH($I3571,Mensal!$A$2:$A$245,0)),"")</f>
        <v/>
      </c>
      <c r="N3571" s="34">
        <f>IF($K3571=1,L3571-M3571,"")</f>
        <v/>
      </c>
      <c r="O3571" s="34" t="n">
        <v>7.469e-05</v>
      </c>
      <c r="P3571" s="34">
        <f>IF($J3571=1,LN(1+O3571),"")</f>
        <v/>
      </c>
      <c r="Q3571" s="34">
        <f>IF($J3571=1,LN(R3572/R3571),"")</f>
        <v/>
      </c>
      <c r="R3571" s="32" t="n">
        <v>5.2889</v>
      </c>
      <c r="S3571" s="35" t="n">
        <v>2.73</v>
      </c>
      <c r="T3571" s="18" t="n"/>
      <c r="U3571" s="18" t="n"/>
      <c r="V3571" s="18" t="n">
        <v>98289.71000000001</v>
      </c>
      <c r="W3571" s="18" t="n"/>
      <c r="X3571" s="35" t="n"/>
      <c r="Y3571" s="35" t="n">
        <v>2.73</v>
      </c>
    </row>
    <row r="3572">
      <c r="A3572" s="25" t="n">
        <v>44095</v>
      </c>
      <c r="B3572" s="18" t="n">
        <v>96990.72</v>
      </c>
      <c r="C3572" s="31" t="n"/>
      <c r="D3572" s="32" t="n"/>
      <c r="E3572" s="33" t="n">
        <v>3.7329</v>
      </c>
      <c r="F3572" t="inlineStr">
        <is>
          <t>Down</t>
        </is>
      </c>
      <c r="G3572" t="inlineStr">
        <is>
          <t>Down</t>
        </is>
      </c>
      <c r="H3572" t="inlineStr">
        <is>
          <t>ED_JD</t>
        </is>
      </c>
      <c r="I3572" t="inlineStr">
        <is>
          <t>2020-09</t>
        </is>
      </c>
      <c r="J3572" t="n">
        <v>1</v>
      </c>
      <c r="K3572" t="n">
        <v>1</v>
      </c>
      <c r="L3572" s="34">
        <f>IF($J3572=1,LN(B3573/B3572),"")</f>
        <v/>
      </c>
      <c r="M3572" s="34">
        <f>IF($K3572=1,INDEX(Mensal!$D$2:$D$245,MATCH($I3572,Mensal!$A$2:$A$245,0)),"")</f>
        <v/>
      </c>
      <c r="N3572" s="34">
        <f>IF($K3572=1,L3572-M3572,"")</f>
        <v/>
      </c>
      <c r="O3572" s="34" t="n">
        <v>7.469e-05</v>
      </c>
      <c r="P3572" s="34">
        <f>IF($J3572=1,LN(1+O3572),"")</f>
        <v/>
      </c>
      <c r="Q3572" s="34">
        <f>IF($J3572=1,LN(R3573/R3572),"")</f>
        <v/>
      </c>
      <c r="R3572" s="32" t="n">
        <v>5.444</v>
      </c>
      <c r="S3572" s="35" t="n">
        <v>2.73</v>
      </c>
      <c r="T3572" s="18" t="n"/>
      <c r="U3572" s="18" t="n"/>
      <c r="V3572" s="18" t="n">
        <v>96990.72</v>
      </c>
      <c r="W3572" s="18" t="n"/>
      <c r="X3572" s="35" t="n"/>
      <c r="Y3572" s="35" t="n">
        <v>2.73</v>
      </c>
    </row>
    <row r="3573">
      <c r="A3573" s="25" t="n">
        <v>44096</v>
      </c>
      <c r="B3573" s="18" t="n">
        <v>97293.53999999999</v>
      </c>
      <c r="C3573" s="31" t="n"/>
      <c r="D3573" s="32" t="n"/>
      <c r="E3573" s="33" t="n">
        <v>3.7545</v>
      </c>
      <c r="F3573" t="inlineStr">
        <is>
          <t>Down</t>
        </is>
      </c>
      <c r="G3573" t="inlineStr">
        <is>
          <t>Down</t>
        </is>
      </c>
      <c r="H3573" t="inlineStr">
        <is>
          <t>ED_JD</t>
        </is>
      </c>
      <c r="I3573" t="inlineStr">
        <is>
          <t>2020-09</t>
        </is>
      </c>
      <c r="J3573" t="n">
        <v>1</v>
      </c>
      <c r="K3573" t="n">
        <v>1</v>
      </c>
      <c r="L3573" s="34">
        <f>IF($J3573=1,LN(B3574/B3573),"")</f>
        <v/>
      </c>
      <c r="M3573" s="34">
        <f>IF($K3573=1,INDEX(Mensal!$D$2:$D$245,MATCH($I3573,Mensal!$A$2:$A$245,0)),"")</f>
        <v/>
      </c>
      <c r="N3573" s="34">
        <f>IF($K3573=1,L3573-M3573,"")</f>
        <v/>
      </c>
      <c r="O3573" s="34" t="n">
        <v>7.469e-05</v>
      </c>
      <c r="P3573" s="34">
        <f>IF($J3573=1,LN(1+O3573),"")</f>
        <v/>
      </c>
      <c r="Q3573" s="34">
        <f>IF($J3573=1,LN(R3574/R3573),"")</f>
        <v/>
      </c>
      <c r="R3573" s="32" t="n">
        <v>5.4329</v>
      </c>
      <c r="S3573" s="35" t="n">
        <v>2.67</v>
      </c>
      <c r="T3573" s="18" t="n"/>
      <c r="U3573" s="18" t="n"/>
      <c r="V3573" s="18" t="n">
        <v>97293.53999999999</v>
      </c>
      <c r="W3573" s="18" t="n"/>
      <c r="X3573" s="35" t="n"/>
      <c r="Y3573" s="35" t="n">
        <v>2.67</v>
      </c>
    </row>
    <row r="3574">
      <c r="A3574" s="25" t="n">
        <v>44097</v>
      </c>
      <c r="B3574" s="18" t="n">
        <v>95734.82000000001</v>
      </c>
      <c r="C3574" s="31" t="n"/>
      <c r="D3574" s="32" t="n"/>
      <c r="E3574" s="33" t="n">
        <v>3.7941</v>
      </c>
      <c r="F3574" t="inlineStr">
        <is>
          <t>Down</t>
        </is>
      </c>
      <c r="G3574" t="inlineStr">
        <is>
          <t>Down</t>
        </is>
      </c>
      <c r="H3574" t="inlineStr">
        <is>
          <t>ED_JD</t>
        </is>
      </c>
      <c r="I3574" t="inlineStr">
        <is>
          <t>2020-09</t>
        </is>
      </c>
      <c r="J3574" t="n">
        <v>1</v>
      </c>
      <c r="K3574" t="n">
        <v>1</v>
      </c>
      <c r="L3574" s="34">
        <f>IF($J3574=1,LN(B3575/B3574),"")</f>
        <v/>
      </c>
      <c r="M3574" s="34">
        <f>IF($K3574=1,INDEX(Mensal!$D$2:$D$245,MATCH($I3574,Mensal!$A$2:$A$245,0)),"")</f>
        <v/>
      </c>
      <c r="N3574" s="34">
        <f>IF($K3574=1,L3574-M3574,"")</f>
        <v/>
      </c>
      <c r="O3574" s="34" t="n">
        <v>7.469e-05</v>
      </c>
      <c r="P3574" s="34">
        <f>IF($J3574=1,LN(1+O3574),"")</f>
        <v/>
      </c>
      <c r="Q3574" s="34">
        <f>IF($J3574=1,LN(R3575/R3574),"")</f>
        <v/>
      </c>
      <c r="R3574" s="32" t="n">
        <v>5.5311</v>
      </c>
      <c r="S3574" s="35" t="n">
        <v>2.65</v>
      </c>
      <c r="T3574" s="18" t="n"/>
      <c r="U3574" s="18" t="n"/>
      <c r="V3574" s="18" t="n">
        <v>95734.82000000001</v>
      </c>
      <c r="W3574" s="18" t="n"/>
      <c r="X3574" s="35" t="n"/>
      <c r="Y3574" s="35" t="n">
        <v>2.65</v>
      </c>
    </row>
    <row r="3575">
      <c r="A3575" s="25" t="n">
        <v>44098</v>
      </c>
      <c r="B3575" s="18" t="n">
        <v>97012.07000000001</v>
      </c>
      <c r="C3575" s="31" t="n"/>
      <c r="D3575" s="32" t="n"/>
      <c r="E3575" s="33" t="n">
        <v>3.832</v>
      </c>
      <c r="F3575" t="inlineStr">
        <is>
          <t>Down</t>
        </is>
      </c>
      <c r="G3575" t="inlineStr">
        <is>
          <t>Down</t>
        </is>
      </c>
      <c r="H3575" t="inlineStr">
        <is>
          <t>ED_JD</t>
        </is>
      </c>
      <c r="I3575" t="inlineStr">
        <is>
          <t>2020-09</t>
        </is>
      </c>
      <c r="J3575" t="n">
        <v>1</v>
      </c>
      <c r="K3575" t="n">
        <v>1</v>
      </c>
      <c r="L3575" s="34">
        <f>IF($J3575=1,LN(B3576/B3575),"")</f>
        <v/>
      </c>
      <c r="M3575" s="34">
        <f>IF($K3575=1,INDEX(Mensal!$D$2:$D$245,MATCH($I3575,Mensal!$A$2:$A$245,0)),"")</f>
        <v/>
      </c>
      <c r="N3575" s="34">
        <f>IF($K3575=1,L3575-M3575,"")</f>
        <v/>
      </c>
      <c r="O3575" s="34" t="n">
        <v>7.469e-05</v>
      </c>
      <c r="P3575" s="34">
        <f>IF($J3575=1,LN(1+O3575),"")</f>
        <v/>
      </c>
      <c r="Q3575" s="34">
        <f>IF($J3575=1,LN(R3576/R3575),"")</f>
        <v/>
      </c>
      <c r="R3575" s="32" t="n">
        <v>5.5714</v>
      </c>
      <c r="S3575" s="35" t="n">
        <v>2.54</v>
      </c>
      <c r="T3575" s="18" t="n"/>
      <c r="U3575" s="18" t="n"/>
      <c r="V3575" s="18" t="n">
        <v>97012.07000000001</v>
      </c>
      <c r="W3575" s="18" t="n"/>
      <c r="X3575" s="35" t="n"/>
      <c r="Y3575" s="35" t="n">
        <v>2.54</v>
      </c>
    </row>
    <row r="3576">
      <c r="A3576" s="25" t="n">
        <v>44099</v>
      </c>
      <c r="B3576" s="18" t="n">
        <v>96999.38</v>
      </c>
      <c r="C3576" s="31" t="n"/>
      <c r="D3576" s="32" t="n"/>
      <c r="E3576" s="33" t="n">
        <v>3.8749</v>
      </c>
      <c r="F3576" t="inlineStr">
        <is>
          <t>Down</t>
        </is>
      </c>
      <c r="G3576" t="inlineStr">
        <is>
          <t>Down</t>
        </is>
      </c>
      <c r="H3576" t="inlineStr">
        <is>
          <t>ED_JD</t>
        </is>
      </c>
      <c r="I3576" t="inlineStr">
        <is>
          <t>2020-09</t>
        </is>
      </c>
      <c r="J3576" t="n">
        <v>1</v>
      </c>
      <c r="K3576" t="n">
        <v>1</v>
      </c>
      <c r="L3576" s="34">
        <f>IF($J3576=1,LN(B3577/B3576),"")</f>
        <v/>
      </c>
      <c r="M3576" s="34">
        <f>IF($K3576=1,INDEX(Mensal!$D$2:$D$245,MATCH($I3576,Mensal!$A$2:$A$245,0)),"")</f>
        <v/>
      </c>
      <c r="N3576" s="34">
        <f>IF($K3576=1,L3576-M3576,"")</f>
        <v/>
      </c>
      <c r="O3576" s="34" t="n">
        <v>7.469e-05</v>
      </c>
      <c r="P3576" s="34">
        <f>IF($J3576=1,LN(1+O3576),"")</f>
        <v/>
      </c>
      <c r="Q3576" s="34">
        <f>IF($J3576=1,LN(R3577/R3576),"")</f>
        <v/>
      </c>
      <c r="R3576" s="32" t="n">
        <v>5.5667</v>
      </c>
      <c r="S3576" s="35" t="n">
        <v>2.55</v>
      </c>
      <c r="T3576" s="18" t="n"/>
      <c r="U3576" s="18" t="n"/>
      <c r="V3576" s="18" t="n">
        <v>96999.38</v>
      </c>
      <c r="W3576" s="18" t="n"/>
      <c r="X3576" s="35" t="n"/>
      <c r="Y3576" s="35" t="n">
        <v>2.55</v>
      </c>
    </row>
    <row r="3577">
      <c r="A3577" s="25" t="n">
        <v>44102</v>
      </c>
      <c r="B3577" s="18" t="n">
        <v>94666.37</v>
      </c>
      <c r="C3577" s="31" t="n"/>
      <c r="D3577" s="32" t="n"/>
      <c r="E3577" s="33" t="n">
        <v>3.9208</v>
      </c>
      <c r="F3577" t="inlineStr">
        <is>
          <t>Down</t>
        </is>
      </c>
      <c r="G3577" t="inlineStr">
        <is>
          <t>Down</t>
        </is>
      </c>
      <c r="H3577" t="inlineStr">
        <is>
          <t>ED_JD</t>
        </is>
      </c>
      <c r="I3577" t="inlineStr">
        <is>
          <t>2020-09</t>
        </is>
      </c>
      <c r="J3577" t="n">
        <v>1</v>
      </c>
      <c r="K3577" t="n">
        <v>1</v>
      </c>
      <c r="L3577" s="34">
        <f>IF($J3577=1,LN(B3578/B3577),"")</f>
        <v/>
      </c>
      <c r="M3577" s="34">
        <f>IF($K3577=1,INDEX(Mensal!$D$2:$D$245,MATCH($I3577,Mensal!$A$2:$A$245,0)),"")</f>
        <v/>
      </c>
      <c r="N3577" s="34">
        <f>IF($K3577=1,L3577-M3577,"")</f>
        <v/>
      </c>
      <c r="O3577" s="34" t="n">
        <v>7.469e-05</v>
      </c>
      <c r="P3577" s="34">
        <f>IF($J3577=1,LN(1+O3577),"")</f>
        <v/>
      </c>
      <c r="Q3577" s="34">
        <f>IF($J3577=1,LN(R3578/R3577),"")</f>
        <v/>
      </c>
      <c r="R3577" s="32" t="n">
        <v>5.5858</v>
      </c>
      <c r="S3577" s="35" t="n">
        <v>2.73</v>
      </c>
      <c r="T3577" s="18" t="n"/>
      <c r="U3577" s="18" t="n"/>
      <c r="V3577" s="18" t="n">
        <v>94666.37</v>
      </c>
      <c r="W3577" s="18" t="n"/>
      <c r="X3577" s="35" t="n"/>
      <c r="Y3577" s="35" t="n">
        <v>2.73</v>
      </c>
    </row>
    <row r="3578">
      <c r="A3578" s="25" t="n">
        <v>44103</v>
      </c>
      <c r="B3578" s="18" t="n">
        <v>93580.35000000001</v>
      </c>
      <c r="C3578" s="31" t="n"/>
      <c r="D3578" s="32" t="n"/>
      <c r="E3578" s="33" t="n">
        <v>3.9685</v>
      </c>
      <c r="F3578" t="inlineStr">
        <is>
          <t>Down</t>
        </is>
      </c>
      <c r="G3578" t="inlineStr">
        <is>
          <t>Down</t>
        </is>
      </c>
      <c r="H3578" t="inlineStr">
        <is>
          <t>ED_JD</t>
        </is>
      </c>
      <c r="I3578" t="inlineStr">
        <is>
          <t>2020-09</t>
        </is>
      </c>
      <c r="J3578" t="n">
        <v>1</v>
      </c>
      <c r="K3578" t="n">
        <v>1</v>
      </c>
      <c r="L3578" s="34">
        <f>IF($J3578=1,LN(B3579/B3578),"")</f>
        <v/>
      </c>
      <c r="M3578" s="34">
        <f>IF($K3578=1,INDEX(Mensal!$D$2:$D$245,MATCH($I3578,Mensal!$A$2:$A$245,0)),"")</f>
        <v/>
      </c>
      <c r="N3578" s="34">
        <f>IF($K3578=1,L3578-M3578,"")</f>
        <v/>
      </c>
      <c r="O3578" s="34" t="n">
        <v>7.469e-05</v>
      </c>
      <c r="P3578" s="34">
        <f>IF($J3578=1,LN(1+O3578),"")</f>
        <v/>
      </c>
      <c r="Q3578" s="34">
        <f>IF($J3578=1,LN(R3579/R3578),"")</f>
        <v/>
      </c>
      <c r="R3578" s="32" t="n">
        <v>5.6528</v>
      </c>
      <c r="S3578" s="35" t="n">
        <v>2.84</v>
      </c>
      <c r="T3578" s="18" t="n"/>
      <c r="U3578" s="18" t="n"/>
      <c r="V3578" s="18" t="n">
        <v>93580.35000000001</v>
      </c>
      <c r="W3578" s="18" t="n"/>
      <c r="X3578" s="35" t="n"/>
      <c r="Y3578" s="35" t="n">
        <v>2.84</v>
      </c>
    </row>
    <row r="3579">
      <c r="A3579" s="25" t="n">
        <v>44104</v>
      </c>
      <c r="B3579" s="18" t="n">
        <v>94603.38</v>
      </c>
      <c r="C3579" s="31" t="n"/>
      <c r="D3579" s="32" t="n"/>
      <c r="E3579" s="33" t="n">
        <v>4.0301</v>
      </c>
      <c r="F3579" t="inlineStr">
        <is>
          <t>Down</t>
        </is>
      </c>
      <c r="G3579" t="inlineStr">
        <is>
          <t>Down</t>
        </is>
      </c>
      <c r="H3579" t="inlineStr">
        <is>
          <t>ED_JD</t>
        </is>
      </c>
      <c r="I3579" t="inlineStr">
        <is>
          <t>2020-09</t>
        </is>
      </c>
      <c r="J3579" t="n">
        <v>1</v>
      </c>
      <c r="K3579" t="n">
        <v>1</v>
      </c>
      <c r="L3579" s="34">
        <f>IF($J3579=1,LN(B3580/B3579),"")</f>
        <v/>
      </c>
      <c r="M3579" s="34">
        <f>IF($K3579=1,INDEX(Mensal!$D$2:$D$245,MATCH($I3579,Mensal!$A$2:$A$245,0)),"")</f>
        <v/>
      </c>
      <c r="N3579" s="34">
        <f>IF($K3579=1,L3579-M3579,"")</f>
        <v/>
      </c>
      <c r="O3579" s="34" t="n">
        <v>7.469e-05</v>
      </c>
      <c r="P3579" s="34">
        <f>IF($J3579=1,LN(1+O3579),"")</f>
        <v/>
      </c>
      <c r="Q3579" s="34">
        <f>IF($J3579=1,LN(R3580/R3579),"")</f>
        <v/>
      </c>
      <c r="R3579" s="32" t="n">
        <v>5.6407</v>
      </c>
      <c r="S3579" s="35" t="n">
        <v>2.77</v>
      </c>
      <c r="T3579" s="18" t="n"/>
      <c r="U3579" s="18" t="n"/>
      <c r="V3579" s="18" t="n">
        <v>94603.38</v>
      </c>
      <c r="W3579" s="18" t="n"/>
      <c r="X3579" s="35" t="n"/>
      <c r="Y3579" s="35" t="n">
        <v>2.77</v>
      </c>
    </row>
    <row r="3580">
      <c r="A3580" s="25" t="n">
        <v>44105</v>
      </c>
      <c r="B3580" s="18" t="n">
        <v>95478.52</v>
      </c>
      <c r="C3580" s="31" t="n"/>
      <c r="D3580" s="32" t="n"/>
      <c r="E3580" s="33" t="n">
        <v>4.0949</v>
      </c>
      <c r="F3580" t="inlineStr">
        <is>
          <t>Up</t>
        </is>
      </c>
      <c r="G3580" t="inlineStr">
        <is>
          <t>Down</t>
        </is>
      </c>
      <c r="H3580" t="inlineStr">
        <is>
          <t>EU_JD</t>
        </is>
      </c>
      <c r="I3580" t="inlineStr">
        <is>
          <t>2020-10</t>
        </is>
      </c>
      <c r="J3580" t="n">
        <v>1</v>
      </c>
      <c r="K3580" t="n">
        <v>1</v>
      </c>
      <c r="L3580" s="34">
        <f>IF($J3580=1,LN(B3581/B3580),"")</f>
        <v/>
      </c>
      <c r="M3580" s="34">
        <f>IF($K3580=1,INDEX(Mensal!$D$2:$D$245,MATCH($I3580,Mensal!$A$2:$A$245,0)),"")</f>
        <v/>
      </c>
      <c r="N3580" s="34">
        <f>IF($K3580=1,L3580-M3580,"")</f>
        <v/>
      </c>
      <c r="O3580" s="34" t="n">
        <v>7.469e-05</v>
      </c>
      <c r="P3580" s="34">
        <f>IF($J3580=1,LN(1+O3580),"")</f>
        <v/>
      </c>
      <c r="Q3580" s="34">
        <f>IF($J3580=1,LN(R3581/R3580),"")</f>
        <v/>
      </c>
      <c r="R3580" s="32" t="n">
        <v>5.6441</v>
      </c>
      <c r="S3580" s="35" t="n">
        <v>2.82</v>
      </c>
      <c r="T3580" s="18" t="n">
        <v>95478.52</v>
      </c>
      <c r="U3580" s="18" t="n"/>
      <c r="V3580" s="18" t="n"/>
      <c r="W3580" s="18" t="n"/>
      <c r="X3580" s="35" t="n"/>
      <c r="Y3580" s="35" t="n">
        <v>2.82</v>
      </c>
    </row>
    <row r="3581">
      <c r="A3581" s="25" t="n">
        <v>44106</v>
      </c>
      <c r="B3581" s="18" t="n">
        <v>94015.67999999999</v>
      </c>
      <c r="C3581" s="31" t="n"/>
      <c r="D3581" s="32" t="n"/>
      <c r="E3581" s="33" t="n">
        <v>4.1653</v>
      </c>
      <c r="F3581" t="inlineStr">
        <is>
          <t>Up</t>
        </is>
      </c>
      <c r="G3581" t="inlineStr">
        <is>
          <t>Down</t>
        </is>
      </c>
      <c r="H3581" t="inlineStr">
        <is>
          <t>EU_JD</t>
        </is>
      </c>
      <c r="I3581" t="inlineStr">
        <is>
          <t>2020-10</t>
        </is>
      </c>
      <c r="J3581" t="n">
        <v>1</v>
      </c>
      <c r="K3581" t="n">
        <v>1</v>
      </c>
      <c r="L3581" s="34">
        <f>IF($J3581=1,LN(B3582/B3581),"")</f>
        <v/>
      </c>
      <c r="M3581" s="34">
        <f>IF($K3581=1,INDEX(Mensal!$D$2:$D$245,MATCH($I3581,Mensal!$A$2:$A$245,0)),"")</f>
        <v/>
      </c>
      <c r="N3581" s="34">
        <f>IF($K3581=1,L3581-M3581,"")</f>
        <v/>
      </c>
      <c r="O3581" s="34" t="n">
        <v>7.469e-05</v>
      </c>
      <c r="P3581" s="34">
        <f>IF($J3581=1,LN(1+O3581),"")</f>
        <v/>
      </c>
      <c r="Q3581" s="34">
        <f>IF($J3581=1,LN(R3582/R3581),"")</f>
        <v/>
      </c>
      <c r="R3581" s="32" t="n">
        <v>5.6464</v>
      </c>
      <c r="S3581" s="35" t="n">
        <v>3.05</v>
      </c>
      <c r="T3581" s="18" t="n">
        <v>94015.67999999999</v>
      </c>
      <c r="U3581" s="18" t="n"/>
      <c r="V3581" s="18" t="n"/>
      <c r="W3581" s="18" t="n"/>
      <c r="X3581" s="35" t="n"/>
      <c r="Y3581" s="35" t="n">
        <v>3.05</v>
      </c>
    </row>
    <row r="3582">
      <c r="A3582" s="25" t="n">
        <v>44109</v>
      </c>
      <c r="B3582" s="18" t="n">
        <v>96089.19</v>
      </c>
      <c r="C3582" s="31" t="n"/>
      <c r="D3582" s="32" t="n"/>
      <c r="E3582" s="33" t="n">
        <v>4.2409</v>
      </c>
      <c r="F3582" t="inlineStr">
        <is>
          <t>Up</t>
        </is>
      </c>
      <c r="G3582" t="inlineStr">
        <is>
          <t>Up</t>
        </is>
      </c>
      <c r="H3582" t="inlineStr">
        <is>
          <t>EU_JU</t>
        </is>
      </c>
      <c r="I3582" t="inlineStr">
        <is>
          <t>2020-10</t>
        </is>
      </c>
      <c r="J3582" t="n">
        <v>1</v>
      </c>
      <c r="K3582" t="n">
        <v>1</v>
      </c>
      <c r="L3582" s="34">
        <f>IF($J3582=1,LN(B3583/B3582),"")</f>
        <v/>
      </c>
      <c r="M3582" s="34">
        <f>IF($K3582=1,INDEX(Mensal!$D$2:$D$245,MATCH($I3582,Mensal!$A$2:$A$245,0)),"")</f>
        <v/>
      </c>
      <c r="N3582" s="34">
        <f>IF($K3582=1,L3582-M3582,"")</f>
        <v/>
      </c>
      <c r="O3582" s="34" t="n">
        <v>7.469e-05</v>
      </c>
      <c r="P3582" s="34">
        <f>IF($J3582=1,LN(1+O3582),"")</f>
        <v/>
      </c>
      <c r="Q3582" s="34">
        <f>IF($J3582=1,LN(R3583/R3582),"")</f>
        <v/>
      </c>
      <c r="R3582" s="32" t="n">
        <v>5.6299</v>
      </c>
      <c r="S3582" s="35" t="n">
        <v>2.92</v>
      </c>
      <c r="T3582" s="18" t="n"/>
      <c r="U3582" s="18" t="n">
        <v>96089.19</v>
      </c>
      <c r="V3582" s="18" t="n"/>
      <c r="W3582" s="18" t="n"/>
      <c r="X3582" s="35" t="n">
        <v>2.92</v>
      </c>
      <c r="Y3582" s="35" t="n"/>
    </row>
    <row r="3583">
      <c r="A3583" s="25" t="n">
        <v>44110</v>
      </c>
      <c r="B3583" s="18" t="n">
        <v>95615.03</v>
      </c>
      <c r="C3583" s="31" t="n"/>
      <c r="D3583" s="32" t="n"/>
      <c r="E3583" s="33" t="n">
        <v>4.3205</v>
      </c>
      <c r="F3583" t="inlineStr">
        <is>
          <t>Up</t>
        </is>
      </c>
      <c r="G3583" t="inlineStr">
        <is>
          <t>Up</t>
        </is>
      </c>
      <c r="H3583" t="inlineStr">
        <is>
          <t>EU_JU</t>
        </is>
      </c>
      <c r="I3583" t="inlineStr">
        <is>
          <t>2020-10</t>
        </is>
      </c>
      <c r="J3583" t="n">
        <v>1</v>
      </c>
      <c r="K3583" t="n">
        <v>1</v>
      </c>
      <c r="L3583" s="34">
        <f>IF($J3583=1,LN(B3584/B3583),"")</f>
        <v/>
      </c>
      <c r="M3583" s="34">
        <f>IF($K3583=1,INDEX(Mensal!$D$2:$D$245,MATCH($I3583,Mensal!$A$2:$A$245,0)),"")</f>
        <v/>
      </c>
      <c r="N3583" s="34">
        <f>IF($K3583=1,L3583-M3583,"")</f>
        <v/>
      </c>
      <c r="O3583" s="34" t="n">
        <v>7.469e-05</v>
      </c>
      <c r="P3583" s="34">
        <f>IF($J3583=1,LN(1+O3583),"")</f>
        <v/>
      </c>
      <c r="Q3583" s="34">
        <f>IF($J3583=1,LN(R3584/R3583),"")</f>
        <v/>
      </c>
      <c r="R3583" s="32" t="n">
        <v>5.5205</v>
      </c>
      <c r="S3583" s="35" t="n">
        <v>3</v>
      </c>
      <c r="T3583" s="18" t="n"/>
      <c r="U3583" s="18" t="n">
        <v>95615.03</v>
      </c>
      <c r="V3583" s="18" t="n"/>
      <c r="W3583" s="18" t="n"/>
      <c r="X3583" s="35" t="n">
        <v>3</v>
      </c>
      <c r="Y3583" s="35" t="n"/>
    </row>
    <row r="3584">
      <c r="A3584" s="25" t="n">
        <v>44111</v>
      </c>
      <c r="B3584" s="18" t="n">
        <v>95526.25999999999</v>
      </c>
      <c r="C3584" s="31" t="n"/>
      <c r="D3584" s="32" t="n"/>
      <c r="E3584" s="33" t="n">
        <v>4.3942</v>
      </c>
      <c r="F3584" t="inlineStr">
        <is>
          <t>Up</t>
        </is>
      </c>
      <c r="G3584" t="inlineStr">
        <is>
          <t>Up</t>
        </is>
      </c>
      <c r="H3584" t="inlineStr">
        <is>
          <t>EU_JU</t>
        </is>
      </c>
      <c r="I3584" t="inlineStr">
        <is>
          <t>2020-10</t>
        </is>
      </c>
      <c r="J3584" t="n">
        <v>1</v>
      </c>
      <c r="K3584" t="n">
        <v>1</v>
      </c>
      <c r="L3584" s="34">
        <f>IF($J3584=1,LN(B3585/B3584),"")</f>
        <v/>
      </c>
      <c r="M3584" s="34">
        <f>IF($K3584=1,INDEX(Mensal!$D$2:$D$245,MATCH($I3584,Mensal!$A$2:$A$245,0)),"")</f>
        <v/>
      </c>
      <c r="N3584" s="34">
        <f>IF($K3584=1,L3584-M3584,"")</f>
        <v/>
      </c>
      <c r="O3584" s="34" t="n">
        <v>7.469e-05</v>
      </c>
      <c r="P3584" s="34">
        <f>IF($J3584=1,LN(1+O3584),"")</f>
        <v/>
      </c>
      <c r="Q3584" s="34">
        <f>IF($J3584=1,LN(R3585/R3584),"")</f>
        <v/>
      </c>
      <c r="R3584" s="32" t="n">
        <v>5.6018</v>
      </c>
      <c r="S3584" s="35" t="n">
        <v>2.97</v>
      </c>
      <c r="T3584" s="18" t="n"/>
      <c r="U3584" s="18" t="n">
        <v>95526.25999999999</v>
      </c>
      <c r="V3584" s="18" t="n"/>
      <c r="W3584" s="18" t="n"/>
      <c r="X3584" s="35" t="n">
        <v>2.97</v>
      </c>
      <c r="Y3584" s="35" t="n"/>
    </row>
    <row r="3585">
      <c r="A3585" s="25" t="n">
        <v>44112</v>
      </c>
      <c r="B3585" s="18" t="n">
        <v>97919.73</v>
      </c>
      <c r="C3585" s="31" t="n"/>
      <c r="D3585" s="32" t="n"/>
      <c r="E3585" s="33" t="n">
        <v>4.4538</v>
      </c>
      <c r="F3585" t="inlineStr">
        <is>
          <t>Up</t>
        </is>
      </c>
      <c r="G3585" t="inlineStr">
        <is>
          <t>Up</t>
        </is>
      </c>
      <c r="H3585" t="inlineStr">
        <is>
          <t>EU_JU</t>
        </is>
      </c>
      <c r="I3585" t="inlineStr">
        <is>
          <t>2020-10</t>
        </is>
      </c>
      <c r="J3585" t="n">
        <v>1</v>
      </c>
      <c r="K3585" t="n">
        <v>1</v>
      </c>
      <c r="L3585" s="34">
        <f>IF($J3585=1,LN(B3586/B3585),"")</f>
        <v/>
      </c>
      <c r="M3585" s="34">
        <f>IF($K3585=1,INDEX(Mensal!$D$2:$D$245,MATCH($I3585,Mensal!$A$2:$A$245,0)),"")</f>
        <v/>
      </c>
      <c r="N3585" s="34">
        <f>IF($K3585=1,L3585-M3585,"")</f>
        <v/>
      </c>
      <c r="O3585" s="34" t="n">
        <v>7.469e-05</v>
      </c>
      <c r="P3585" s="34">
        <f>IF($J3585=1,LN(1+O3585),"")</f>
        <v/>
      </c>
      <c r="Q3585" s="34">
        <f>IF($J3585=1,LN(R3586/R3585),"")</f>
        <v/>
      </c>
      <c r="R3585" s="32" t="n">
        <v>5.62</v>
      </c>
      <c r="S3585" s="35" t="n">
        <v>2.88</v>
      </c>
      <c r="T3585" s="18" t="n"/>
      <c r="U3585" s="18" t="n">
        <v>97919.73</v>
      </c>
      <c r="V3585" s="18" t="n"/>
      <c r="W3585" s="18" t="n"/>
      <c r="X3585" s="35" t="n">
        <v>2.88</v>
      </c>
      <c r="Y3585" s="35" t="n"/>
    </row>
    <row r="3586">
      <c r="A3586" s="25" t="n">
        <v>44113</v>
      </c>
      <c r="B3586" s="18" t="n">
        <v>97483.31</v>
      </c>
      <c r="C3586" s="31" t="n"/>
      <c r="D3586" s="32" t="n"/>
      <c r="E3586" s="33" t="n">
        <v>4.4878</v>
      </c>
      <c r="F3586" t="inlineStr">
        <is>
          <t>Up</t>
        </is>
      </c>
      <c r="G3586" t="inlineStr">
        <is>
          <t>Up</t>
        </is>
      </c>
      <c r="H3586" t="inlineStr">
        <is>
          <t>EU_JU</t>
        </is>
      </c>
      <c r="I3586" t="inlineStr">
        <is>
          <t>2020-10</t>
        </is>
      </c>
      <c r="J3586" t="n">
        <v>1</v>
      </c>
      <c r="K3586" t="n">
        <v>1</v>
      </c>
      <c r="L3586" s="34">
        <f>IF($J3586=1,LN(B3587/B3586),"")</f>
        <v/>
      </c>
      <c r="M3586" s="34">
        <f>IF($K3586=1,INDEX(Mensal!$D$2:$D$245,MATCH($I3586,Mensal!$A$2:$A$245,0)),"")</f>
        <v/>
      </c>
      <c r="N3586" s="34">
        <f>IF($K3586=1,L3586-M3586,"")</f>
        <v/>
      </c>
      <c r="O3586" s="34" t="n">
        <v>7.469e-05</v>
      </c>
      <c r="P3586" s="34">
        <f>IF($J3586=1,LN(1+O3586),"")</f>
        <v/>
      </c>
      <c r="Q3586" s="34">
        <f>IF($J3586=1,LN(R3587/R3586),"")</f>
        <v/>
      </c>
      <c r="R3586" s="32" t="n">
        <v>5.5393</v>
      </c>
      <c r="S3586" s="35" t="n">
        <v>2.89</v>
      </c>
      <c r="T3586" s="18" t="n"/>
      <c r="U3586" s="18" t="n">
        <v>97483.31</v>
      </c>
      <c r="V3586" s="18" t="n"/>
      <c r="W3586" s="18" t="n"/>
      <c r="X3586" s="35" t="n">
        <v>2.89</v>
      </c>
      <c r="Y3586" s="35" t="n"/>
    </row>
    <row r="3587">
      <c r="A3587" s="25" t="n">
        <v>44117</v>
      </c>
      <c r="B3587" s="18" t="n">
        <v>98502.82000000001</v>
      </c>
      <c r="C3587" s="31" t="n"/>
      <c r="D3587" s="32" t="n"/>
      <c r="E3587" s="33" t="n">
        <v>4.5564</v>
      </c>
      <c r="F3587" t="inlineStr">
        <is>
          <t>Up</t>
        </is>
      </c>
      <c r="G3587" t="inlineStr">
        <is>
          <t>Up</t>
        </is>
      </c>
      <c r="H3587" t="inlineStr">
        <is>
          <t>EU_JU</t>
        </is>
      </c>
      <c r="I3587" t="inlineStr">
        <is>
          <t>2020-10</t>
        </is>
      </c>
      <c r="J3587" t="n">
        <v>1</v>
      </c>
      <c r="K3587" t="n">
        <v>1</v>
      </c>
      <c r="L3587" s="34">
        <f>IF($J3587=1,LN(B3588/B3587),"")</f>
        <v/>
      </c>
      <c r="M3587" s="34">
        <f>IF($K3587=1,INDEX(Mensal!$D$2:$D$245,MATCH($I3587,Mensal!$A$2:$A$245,0)),"")</f>
        <v/>
      </c>
      <c r="N3587" s="34">
        <f>IF($K3587=1,L3587-M3587,"")</f>
        <v/>
      </c>
      <c r="O3587" s="34" t="n">
        <v>7.469e-05</v>
      </c>
      <c r="P3587" s="34">
        <f>IF($J3587=1,LN(1+O3587),"")</f>
        <v/>
      </c>
      <c r="Q3587" s="34">
        <f>IF($J3587=1,LN(R3588/R3587),"")</f>
        <v/>
      </c>
      <c r="R3587" s="32" t="n">
        <v>5.5859</v>
      </c>
      <c r="S3587" s="35" t="n">
        <v>2.92</v>
      </c>
      <c r="T3587" s="18" t="n"/>
      <c r="U3587" s="18" t="n">
        <v>98502.82000000001</v>
      </c>
      <c r="V3587" s="18" t="n"/>
      <c r="W3587" s="18" t="n"/>
      <c r="X3587" s="35" t="n">
        <v>2.92</v>
      </c>
      <c r="Y3587" s="35" t="n"/>
    </row>
    <row r="3588">
      <c r="A3588" s="25" t="n">
        <v>44118</v>
      </c>
      <c r="B3588" s="18" t="n">
        <v>99334.42999999999</v>
      </c>
      <c r="C3588" s="31" t="n"/>
      <c r="D3588" s="32" t="n"/>
      <c r="E3588" s="33" t="n">
        <v>4.6214</v>
      </c>
      <c r="F3588" t="inlineStr">
        <is>
          <t>Up</t>
        </is>
      </c>
      <c r="G3588" t="inlineStr">
        <is>
          <t>Up</t>
        </is>
      </c>
      <c r="H3588" t="inlineStr">
        <is>
          <t>EU_JU</t>
        </is>
      </c>
      <c r="I3588" t="inlineStr">
        <is>
          <t>2020-10</t>
        </is>
      </c>
      <c r="J3588" t="n">
        <v>1</v>
      </c>
      <c r="K3588" t="n">
        <v>1</v>
      </c>
      <c r="L3588" s="34">
        <f>IF($J3588=1,LN(B3589/B3588),"")</f>
        <v/>
      </c>
      <c r="M3588" s="34">
        <f>IF($K3588=1,INDEX(Mensal!$D$2:$D$245,MATCH($I3588,Mensal!$A$2:$A$245,0)),"")</f>
        <v/>
      </c>
      <c r="N3588" s="34">
        <f>IF($K3588=1,L3588-M3588,"")</f>
        <v/>
      </c>
      <c r="O3588" s="34" t="n">
        <v>7.469e-05</v>
      </c>
      <c r="P3588" s="34">
        <f>IF($J3588=1,LN(1+O3588),"")</f>
        <v/>
      </c>
      <c r="Q3588" s="34">
        <f>IF($J3588=1,LN(R3589/R3588),"")</f>
        <v/>
      </c>
      <c r="R3588" s="32" t="n">
        <v>5.5675</v>
      </c>
      <c r="S3588" s="35" t="n">
        <v>2.9</v>
      </c>
      <c r="T3588" s="18" t="n"/>
      <c r="U3588" s="18" t="n">
        <v>99334.42999999999</v>
      </c>
      <c r="V3588" s="18" t="n"/>
      <c r="W3588" s="18" t="n"/>
      <c r="X3588" s="35" t="n">
        <v>2.9</v>
      </c>
      <c r="Y3588" s="35" t="n"/>
    </row>
    <row r="3589">
      <c r="A3589" s="25" t="n">
        <v>44119</v>
      </c>
      <c r="B3589" s="18" t="n">
        <v>99054.06</v>
      </c>
      <c r="C3589" s="31" t="n"/>
      <c r="D3589" s="32" t="n"/>
      <c r="E3589" s="33" t="n">
        <v>4.6666</v>
      </c>
      <c r="F3589" t="inlineStr">
        <is>
          <t>Up</t>
        </is>
      </c>
      <c r="G3589" t="inlineStr">
        <is>
          <t>Up</t>
        </is>
      </c>
      <c r="H3589" t="inlineStr">
        <is>
          <t>EU_JU</t>
        </is>
      </c>
      <c r="I3589" t="inlineStr">
        <is>
          <t>2020-10</t>
        </is>
      </c>
      <c r="J3589" t="n">
        <v>1</v>
      </c>
      <c r="K3589" t="n">
        <v>1</v>
      </c>
      <c r="L3589" s="34">
        <f>IF($J3589=1,LN(B3590/B3589),"")</f>
        <v/>
      </c>
      <c r="M3589" s="34">
        <f>IF($K3589=1,INDEX(Mensal!$D$2:$D$245,MATCH($I3589,Mensal!$A$2:$A$245,0)),"")</f>
        <v/>
      </c>
      <c r="N3589" s="34">
        <f>IF($K3589=1,L3589-M3589,"")</f>
        <v/>
      </c>
      <c r="O3589" s="34" t="n">
        <v>7.469e-05</v>
      </c>
      <c r="P3589" s="34">
        <f>IF($J3589=1,LN(1+O3589),"")</f>
        <v/>
      </c>
      <c r="Q3589" s="34">
        <f>IF($J3589=1,LN(R3590/R3589),"")</f>
        <v/>
      </c>
      <c r="R3589" s="32" t="n">
        <v>5.6172</v>
      </c>
      <c r="S3589" s="35" t="n">
        <v>3.01</v>
      </c>
      <c r="T3589" s="18" t="n"/>
      <c r="U3589" s="18" t="n">
        <v>99054.06</v>
      </c>
      <c r="V3589" s="18" t="n"/>
      <c r="W3589" s="18" t="n"/>
      <c r="X3589" s="35" t="n">
        <v>3.01</v>
      </c>
      <c r="Y3589" s="35" t="n"/>
    </row>
    <row r="3590">
      <c r="A3590" s="25" t="n">
        <v>44120</v>
      </c>
      <c r="B3590" s="18" t="n">
        <v>98309.12</v>
      </c>
      <c r="C3590" s="31" t="n"/>
      <c r="D3590" s="32" t="n"/>
      <c r="E3590" s="33" t="n">
        <v>4.7085</v>
      </c>
      <c r="F3590" t="inlineStr">
        <is>
          <t>Up</t>
        </is>
      </c>
      <c r="G3590" t="inlineStr">
        <is>
          <t>Up</t>
        </is>
      </c>
      <c r="H3590" t="inlineStr">
        <is>
          <t>EU_JU</t>
        </is>
      </c>
      <c r="I3590" t="inlineStr">
        <is>
          <t>2020-10</t>
        </is>
      </c>
      <c r="J3590" t="n">
        <v>1</v>
      </c>
      <c r="K3590" t="n">
        <v>1</v>
      </c>
      <c r="L3590" s="34">
        <f>IF($J3590=1,LN(B3591/B3590),"")</f>
        <v/>
      </c>
      <c r="M3590" s="34">
        <f>IF($K3590=1,INDEX(Mensal!$D$2:$D$245,MATCH($I3590,Mensal!$A$2:$A$245,0)),"")</f>
        <v/>
      </c>
      <c r="N3590" s="34">
        <f>IF($K3590=1,L3590-M3590,"")</f>
        <v/>
      </c>
      <c r="O3590" s="34" t="n">
        <v>7.469e-05</v>
      </c>
      <c r="P3590" s="34">
        <f>IF($J3590=1,LN(1+O3590),"")</f>
        <v/>
      </c>
      <c r="Q3590" s="34">
        <f>IF($J3590=1,LN(R3591/R3590),"")</f>
        <v/>
      </c>
      <c r="R3590" s="32" t="n">
        <v>5.6226</v>
      </c>
      <c r="S3590" s="35" t="n">
        <v>3.09</v>
      </c>
      <c r="T3590" s="18" t="n"/>
      <c r="U3590" s="18" t="n">
        <v>98309.12</v>
      </c>
      <c r="V3590" s="18" t="n"/>
      <c r="W3590" s="18" t="n"/>
      <c r="X3590" s="35" t="n">
        <v>3.09</v>
      </c>
      <c r="Y3590" s="35" t="n"/>
    </row>
    <row r="3591">
      <c r="A3591" s="25" t="n">
        <v>44123</v>
      </c>
      <c r="B3591" s="18" t="n">
        <v>98657.64999999999</v>
      </c>
      <c r="C3591" s="31" t="n"/>
      <c r="D3591" s="32" t="n"/>
      <c r="E3591" s="33" t="n">
        <v>4.7841</v>
      </c>
      <c r="F3591" t="inlineStr">
        <is>
          <t>Up</t>
        </is>
      </c>
      <c r="G3591" t="inlineStr">
        <is>
          <t>Up</t>
        </is>
      </c>
      <c r="H3591" t="inlineStr">
        <is>
          <t>EU_JU</t>
        </is>
      </c>
      <c r="I3591" t="inlineStr">
        <is>
          <t>2020-10</t>
        </is>
      </c>
      <c r="J3591" t="n">
        <v>1</v>
      </c>
      <c r="K3591" t="n">
        <v>1</v>
      </c>
      <c r="L3591" s="34">
        <f>IF($J3591=1,LN(B3592/B3591),"")</f>
        <v/>
      </c>
      <c r="M3591" s="34">
        <f>IF($K3591=1,INDEX(Mensal!$D$2:$D$245,MATCH($I3591,Mensal!$A$2:$A$245,0)),"")</f>
        <v/>
      </c>
      <c r="N3591" s="34">
        <f>IF($K3591=1,L3591-M3591,"")</f>
        <v/>
      </c>
      <c r="O3591" s="34" t="n">
        <v>7.469e-05</v>
      </c>
      <c r="P3591" s="34">
        <f>IF($J3591=1,LN(1+O3591),"")</f>
        <v/>
      </c>
      <c r="Q3591" s="34">
        <f>IF($J3591=1,LN(R3592/R3591),"")</f>
        <v/>
      </c>
      <c r="R3591" s="32" t="n">
        <v>5.6023</v>
      </c>
      <c r="S3591" s="35" t="n">
        <v>3</v>
      </c>
      <c r="T3591" s="18" t="n"/>
      <c r="U3591" s="18" t="n">
        <v>98657.64999999999</v>
      </c>
      <c r="V3591" s="18" t="n"/>
      <c r="W3591" s="18" t="n"/>
      <c r="X3591" s="35" t="n">
        <v>3</v>
      </c>
      <c r="Y3591" s="35" t="n"/>
    </row>
    <row r="3592">
      <c r="A3592" s="25" t="n">
        <v>44124</v>
      </c>
      <c r="B3592" s="18" t="n">
        <v>100539.83</v>
      </c>
      <c r="C3592" s="31" t="n"/>
      <c r="D3592" s="32" t="n"/>
      <c r="E3592" s="33" t="n">
        <v>4.8598</v>
      </c>
      <c r="F3592" t="inlineStr">
        <is>
          <t>Up</t>
        </is>
      </c>
      <c r="G3592" t="inlineStr">
        <is>
          <t>Up</t>
        </is>
      </c>
      <c r="H3592" t="inlineStr">
        <is>
          <t>EU_JU</t>
        </is>
      </c>
      <c r="I3592" t="inlineStr">
        <is>
          <t>2020-10</t>
        </is>
      </c>
      <c r="J3592" t="n">
        <v>1</v>
      </c>
      <c r="K3592" t="n">
        <v>1</v>
      </c>
      <c r="L3592" s="34">
        <f>IF($J3592=1,LN(B3593/B3592),"")</f>
        <v/>
      </c>
      <c r="M3592" s="34">
        <f>IF($K3592=1,INDEX(Mensal!$D$2:$D$245,MATCH($I3592,Mensal!$A$2:$A$245,0)),"")</f>
        <v/>
      </c>
      <c r="N3592" s="34">
        <f>IF($K3592=1,L3592-M3592,"")</f>
        <v/>
      </c>
      <c r="O3592" s="34" t="n">
        <v>7.469e-05</v>
      </c>
      <c r="P3592" s="34">
        <f>IF($J3592=1,LN(1+O3592),"")</f>
        <v/>
      </c>
      <c r="Q3592" s="34">
        <f>IF($J3592=1,LN(R3593/R3592),"")</f>
        <v/>
      </c>
      <c r="R3592" s="32" t="n">
        <v>5.583</v>
      </c>
      <c r="S3592" s="35" t="n">
        <v>2.97</v>
      </c>
      <c r="T3592" s="18" t="n"/>
      <c r="U3592" s="18" t="n">
        <v>100539.83</v>
      </c>
      <c r="V3592" s="18" t="n"/>
      <c r="W3592" s="18" t="n"/>
      <c r="X3592" s="35" t="n">
        <v>2.97</v>
      </c>
      <c r="Y3592" s="35" t="n"/>
    </row>
    <row r="3593">
      <c r="A3593" s="25" t="n">
        <v>44125</v>
      </c>
      <c r="B3593" s="18" t="n">
        <v>100552.44</v>
      </c>
      <c r="C3593" s="31" t="n"/>
      <c r="D3593" s="32" t="n"/>
      <c r="E3593" s="33" t="n">
        <v>4.902</v>
      </c>
      <c r="F3593" t="inlineStr">
        <is>
          <t>Up</t>
        </is>
      </c>
      <c r="G3593" t="inlineStr">
        <is>
          <t>Up</t>
        </is>
      </c>
      <c r="H3593" t="inlineStr">
        <is>
          <t>EU_JU</t>
        </is>
      </c>
      <c r="I3593" t="inlineStr">
        <is>
          <t>2020-10</t>
        </is>
      </c>
      <c r="J3593" t="n">
        <v>1</v>
      </c>
      <c r="K3593" t="n">
        <v>1</v>
      </c>
      <c r="L3593" s="34">
        <f>IF($J3593=1,LN(B3594/B3593),"")</f>
        <v/>
      </c>
      <c r="M3593" s="34">
        <f>IF($K3593=1,INDEX(Mensal!$D$2:$D$245,MATCH($I3593,Mensal!$A$2:$A$245,0)),"")</f>
        <v/>
      </c>
      <c r="N3593" s="34">
        <f>IF($K3593=1,L3593-M3593,"")</f>
        <v/>
      </c>
      <c r="O3593" s="34" t="n">
        <v>7.469e-05</v>
      </c>
      <c r="P3593" s="34">
        <f>IF($J3593=1,LN(1+O3593),"")</f>
        <v/>
      </c>
      <c r="Q3593" s="34">
        <f>IF($J3593=1,LN(R3594/R3593),"")</f>
        <v/>
      </c>
      <c r="R3593" s="32" t="n">
        <v>5.6006</v>
      </c>
      <c r="S3593" s="35" t="n">
        <v>2.98</v>
      </c>
      <c r="T3593" s="18" t="n"/>
      <c r="U3593" s="18" t="n">
        <v>100552.44</v>
      </c>
      <c r="V3593" s="18" t="n"/>
      <c r="W3593" s="18" t="n"/>
      <c r="X3593" s="35" t="n">
        <v>2.98</v>
      </c>
      <c r="Y3593" s="35" t="n"/>
    </row>
    <row r="3594">
      <c r="A3594" s="25" t="n">
        <v>44126</v>
      </c>
      <c r="B3594" s="18" t="n">
        <v>101917.73</v>
      </c>
      <c r="C3594" s="31" t="n"/>
      <c r="D3594" s="32" t="n"/>
      <c r="E3594" s="33" t="n">
        <v>4.9416</v>
      </c>
      <c r="F3594" t="inlineStr">
        <is>
          <t>Up</t>
        </is>
      </c>
      <c r="G3594" t="inlineStr">
        <is>
          <t>Up</t>
        </is>
      </c>
      <c r="H3594" t="inlineStr">
        <is>
          <t>EU_JU</t>
        </is>
      </c>
      <c r="I3594" t="inlineStr">
        <is>
          <t>2020-10</t>
        </is>
      </c>
      <c r="J3594" t="n">
        <v>1</v>
      </c>
      <c r="K3594" t="n">
        <v>1</v>
      </c>
      <c r="L3594" s="34">
        <f>IF($J3594=1,LN(B3595/B3594),"")</f>
        <v/>
      </c>
      <c r="M3594" s="34">
        <f>IF($K3594=1,INDEX(Mensal!$D$2:$D$245,MATCH($I3594,Mensal!$A$2:$A$245,0)),"")</f>
        <v/>
      </c>
      <c r="N3594" s="34">
        <f>IF($K3594=1,L3594-M3594,"")</f>
        <v/>
      </c>
      <c r="O3594" s="34" t="n">
        <v>7.469e-05</v>
      </c>
      <c r="P3594" s="34">
        <f>IF($J3594=1,LN(1+O3594),"")</f>
        <v/>
      </c>
      <c r="Q3594" s="34">
        <f>IF($J3594=1,LN(R3595/R3594),"")</f>
        <v/>
      </c>
      <c r="R3594" s="32" t="n">
        <v>5.582</v>
      </c>
      <c r="S3594" s="35" t="n">
        <v>3</v>
      </c>
      <c r="T3594" s="18" t="n"/>
      <c r="U3594" s="18" t="n">
        <v>101917.73</v>
      </c>
      <c r="V3594" s="18" t="n"/>
      <c r="W3594" s="18" t="n"/>
      <c r="X3594" s="35" t="n">
        <v>3</v>
      </c>
      <c r="Y3594" s="35" t="n"/>
    </row>
    <row r="3595">
      <c r="A3595" s="25" t="n">
        <v>44127</v>
      </c>
      <c r="B3595" s="18" t="n">
        <v>101259.75</v>
      </c>
      <c r="C3595" s="31" t="n"/>
      <c r="D3595" s="32" t="n"/>
      <c r="E3595" s="33" t="n">
        <v>4.9719</v>
      </c>
      <c r="F3595" t="inlineStr">
        <is>
          <t>Up</t>
        </is>
      </c>
      <c r="G3595" t="inlineStr">
        <is>
          <t>Up</t>
        </is>
      </c>
      <c r="H3595" t="inlineStr">
        <is>
          <t>EU_JU</t>
        </is>
      </c>
      <c r="I3595" t="inlineStr">
        <is>
          <t>2020-10</t>
        </is>
      </c>
      <c r="J3595" t="n">
        <v>1</v>
      </c>
      <c r="K3595" t="n">
        <v>1</v>
      </c>
      <c r="L3595" s="34">
        <f>IF($J3595=1,LN(B3596/B3595),"")</f>
        <v/>
      </c>
      <c r="M3595" s="34">
        <f>IF($K3595=1,INDEX(Mensal!$D$2:$D$245,MATCH($I3595,Mensal!$A$2:$A$245,0)),"")</f>
        <v/>
      </c>
      <c r="N3595" s="34">
        <f>IF($K3595=1,L3595-M3595,"")</f>
        <v/>
      </c>
      <c r="O3595" s="34" t="n">
        <v>7.469e-05</v>
      </c>
      <c r="P3595" s="34">
        <f>IF($J3595=1,LN(1+O3595),"")</f>
        <v/>
      </c>
      <c r="Q3595" s="34">
        <f>IF($J3595=1,LN(R3596/R3595),"")</f>
        <v/>
      </c>
      <c r="R3595" s="32" t="n">
        <v>5.612</v>
      </c>
      <c r="S3595" s="35" t="n">
        <v>3.17</v>
      </c>
      <c r="T3595" s="18" t="n"/>
      <c r="U3595" s="18" t="n">
        <v>101259.75</v>
      </c>
      <c r="V3595" s="18" t="n"/>
      <c r="W3595" s="18" t="n"/>
      <c r="X3595" s="35" t="n">
        <v>3.17</v>
      </c>
      <c r="Y3595" s="35" t="n"/>
    </row>
    <row r="3596">
      <c r="A3596" s="25" t="n">
        <v>44130</v>
      </c>
      <c r="B3596" s="18" t="n">
        <v>101016.96</v>
      </c>
      <c r="C3596" s="31" t="n"/>
      <c r="D3596" s="32" t="n"/>
      <c r="E3596" s="33" t="n">
        <v>4.9894</v>
      </c>
      <c r="F3596" t="inlineStr">
        <is>
          <t>Up</t>
        </is>
      </c>
      <c r="G3596" t="inlineStr">
        <is>
          <t>Up</t>
        </is>
      </c>
      <c r="H3596" t="inlineStr">
        <is>
          <t>EU_JU</t>
        </is>
      </c>
      <c r="I3596" t="inlineStr">
        <is>
          <t>2020-10</t>
        </is>
      </c>
      <c r="J3596" t="n">
        <v>1</v>
      </c>
      <c r="K3596" t="n">
        <v>1</v>
      </c>
      <c r="L3596" s="34">
        <f>IF($J3596=1,LN(B3597/B3596),"")</f>
        <v/>
      </c>
      <c r="M3596" s="34">
        <f>IF($K3596=1,INDEX(Mensal!$D$2:$D$245,MATCH($I3596,Mensal!$A$2:$A$245,0)),"")</f>
        <v/>
      </c>
      <c r="N3596" s="34">
        <f>IF($K3596=1,L3596-M3596,"")</f>
        <v/>
      </c>
      <c r="O3596" s="34" t="n">
        <v>7.469e-05</v>
      </c>
      <c r="P3596" s="34">
        <f>IF($J3596=1,LN(1+O3596),"")</f>
        <v/>
      </c>
      <c r="Q3596" s="34">
        <f>IF($J3596=1,LN(R3597/R3596),"")</f>
        <v/>
      </c>
      <c r="R3596" s="32" t="n">
        <v>5.6328</v>
      </c>
      <c r="S3596" s="35" t="n">
        <v>3.14</v>
      </c>
      <c r="T3596" s="18" t="n"/>
      <c r="U3596" s="18" t="n">
        <v>101016.96</v>
      </c>
      <c r="V3596" s="18" t="n"/>
      <c r="W3596" s="18" t="n"/>
      <c r="X3596" s="35" t="n">
        <v>3.14</v>
      </c>
      <c r="Y3596" s="35" t="n"/>
    </row>
    <row r="3597">
      <c r="A3597" s="25" t="n">
        <v>44131</v>
      </c>
      <c r="B3597" s="18" t="n">
        <v>99605.53999999999</v>
      </c>
      <c r="C3597" s="31" t="n"/>
      <c r="D3597" s="32" t="n"/>
      <c r="E3597" s="33" t="n">
        <v>5.0003</v>
      </c>
      <c r="F3597" t="inlineStr">
        <is>
          <t>Up</t>
        </is>
      </c>
      <c r="G3597" t="inlineStr">
        <is>
          <t>Up</t>
        </is>
      </c>
      <c r="H3597" t="inlineStr">
        <is>
          <t>EU_JU</t>
        </is>
      </c>
      <c r="I3597" t="inlineStr">
        <is>
          <t>2020-10</t>
        </is>
      </c>
      <c r="J3597" t="n">
        <v>1</v>
      </c>
      <c r="K3597" t="n">
        <v>1</v>
      </c>
      <c r="L3597" s="34">
        <f>IF($J3597=1,LN(B3598/B3597),"")</f>
        <v/>
      </c>
      <c r="M3597" s="34">
        <f>IF($K3597=1,INDEX(Mensal!$D$2:$D$245,MATCH($I3597,Mensal!$A$2:$A$245,0)),"")</f>
        <v/>
      </c>
      <c r="N3597" s="34">
        <f>IF($K3597=1,L3597-M3597,"")</f>
        <v/>
      </c>
      <c r="O3597" s="34" t="n">
        <v>7.469e-05</v>
      </c>
      <c r="P3597" s="34">
        <f>IF($J3597=1,LN(1+O3597),"")</f>
        <v/>
      </c>
      <c r="Q3597" s="34">
        <f>IF($J3597=1,LN(R3598/R3597),"")</f>
        <v/>
      </c>
      <c r="R3597" s="32" t="n">
        <v>5.6491</v>
      </c>
      <c r="S3597" s="35" t="n">
        <v>3.14</v>
      </c>
      <c r="T3597" s="18" t="n"/>
      <c r="U3597" s="18" t="n">
        <v>99605.53999999999</v>
      </c>
      <c r="V3597" s="18" t="n"/>
      <c r="W3597" s="18" t="n"/>
      <c r="X3597" s="35" t="n">
        <v>3.14</v>
      </c>
      <c r="Y3597" s="35" t="n"/>
    </row>
    <row r="3598">
      <c r="A3598" s="25" t="n">
        <v>44132</v>
      </c>
      <c r="B3598" s="18" t="n">
        <v>95368.75999999999</v>
      </c>
      <c r="C3598" s="31" t="n"/>
      <c r="D3598" s="32" t="n"/>
      <c r="E3598" s="33" t="n">
        <v>5.0064</v>
      </c>
      <c r="F3598" t="inlineStr">
        <is>
          <t>Up</t>
        </is>
      </c>
      <c r="G3598" t="inlineStr">
        <is>
          <t>Up</t>
        </is>
      </c>
      <c r="H3598" t="inlineStr">
        <is>
          <t>EU_JU</t>
        </is>
      </c>
      <c r="I3598" t="inlineStr">
        <is>
          <t>2020-10</t>
        </is>
      </c>
      <c r="J3598" t="n">
        <v>1</v>
      </c>
      <c r="K3598" t="n">
        <v>1</v>
      </c>
      <c r="L3598" s="34">
        <f>IF($J3598=1,LN(B3599/B3598),"")</f>
        <v/>
      </c>
      <c r="M3598" s="34">
        <f>IF($K3598=1,INDEX(Mensal!$D$2:$D$245,MATCH($I3598,Mensal!$A$2:$A$245,0)),"")</f>
        <v/>
      </c>
      <c r="N3598" s="34">
        <f>IF($K3598=1,L3598-M3598,"")</f>
        <v/>
      </c>
      <c r="O3598" s="34" t="n">
        <v>7.469e-05</v>
      </c>
      <c r="P3598" s="34">
        <f>IF($J3598=1,LN(1+O3598),"")</f>
        <v/>
      </c>
      <c r="Q3598" s="34">
        <f>IF($J3598=1,LN(R3599/R3598),"")</f>
        <v/>
      </c>
      <c r="R3598" s="32" t="n">
        <v>5.7325</v>
      </c>
      <c r="S3598" s="35" t="n">
        <v>3.2</v>
      </c>
      <c r="T3598" s="18" t="n"/>
      <c r="U3598" s="18" t="n">
        <v>95368.75999999999</v>
      </c>
      <c r="V3598" s="18" t="n"/>
      <c r="W3598" s="18" t="n"/>
      <c r="X3598" s="35" t="n">
        <v>3.2</v>
      </c>
      <c r="Y3598" s="35" t="n"/>
    </row>
    <row r="3599">
      <c r="A3599" s="25" t="n">
        <v>44133</v>
      </c>
      <c r="B3599" s="18" t="n">
        <v>96582.16</v>
      </c>
      <c r="C3599" s="31" t="n"/>
      <c r="D3599" s="32" t="n"/>
      <c r="E3599" s="33" t="n">
        <v>5.0285</v>
      </c>
      <c r="F3599" t="inlineStr">
        <is>
          <t>Up</t>
        </is>
      </c>
      <c r="G3599" t="inlineStr">
        <is>
          <t>Up</t>
        </is>
      </c>
      <c r="H3599" t="inlineStr">
        <is>
          <t>EU_JU</t>
        </is>
      </c>
      <c r="I3599" t="inlineStr">
        <is>
          <t>2020-10</t>
        </is>
      </c>
      <c r="J3599" t="n">
        <v>1</v>
      </c>
      <c r="K3599" t="n">
        <v>1</v>
      </c>
      <c r="L3599" s="34">
        <f>IF($J3599=1,LN(B3600/B3599),"")</f>
        <v/>
      </c>
      <c r="M3599" s="34">
        <f>IF($K3599=1,INDEX(Mensal!$D$2:$D$245,MATCH($I3599,Mensal!$A$2:$A$245,0)),"")</f>
        <v/>
      </c>
      <c r="N3599" s="34">
        <f>IF($K3599=1,L3599-M3599,"")</f>
        <v/>
      </c>
      <c r="O3599" s="34" t="n">
        <v>7.469e-05</v>
      </c>
      <c r="P3599" s="34">
        <f>IF($J3599=1,LN(1+O3599),"")</f>
        <v/>
      </c>
      <c r="Q3599" s="34">
        <f>IF($J3599=1,LN(R3600/R3599),"")</f>
        <v/>
      </c>
      <c r="R3599" s="32" t="n">
        <v>5.7803</v>
      </c>
      <c r="S3599" s="35" t="n">
        <v>3.13</v>
      </c>
      <c r="T3599" s="18" t="n"/>
      <c r="U3599" s="18" t="n">
        <v>96582.16</v>
      </c>
      <c r="V3599" s="18" t="n"/>
      <c r="W3599" s="18" t="n"/>
      <c r="X3599" s="35" t="n">
        <v>3.13</v>
      </c>
      <c r="Y3599" s="35" t="n"/>
    </row>
    <row r="3600">
      <c r="A3600" s="25" t="n">
        <v>44134</v>
      </c>
      <c r="B3600" s="18" t="n">
        <v>93952.39999999999</v>
      </c>
      <c r="C3600" s="31" t="n"/>
      <c r="D3600" s="32" t="n"/>
      <c r="E3600" s="33" t="n">
        <v>5.0648</v>
      </c>
      <c r="F3600" t="inlineStr">
        <is>
          <t>Up</t>
        </is>
      </c>
      <c r="G3600" t="inlineStr">
        <is>
          <t>Up</t>
        </is>
      </c>
      <c r="H3600" t="inlineStr">
        <is>
          <t>EU_JU</t>
        </is>
      </c>
      <c r="I3600" t="inlineStr">
        <is>
          <t>2020-10</t>
        </is>
      </c>
      <c r="J3600" t="n">
        <v>1</v>
      </c>
      <c r="K3600" t="n">
        <v>1</v>
      </c>
      <c r="L3600" s="34">
        <f>IF($J3600=1,LN(B3601/B3600),"")</f>
        <v/>
      </c>
      <c r="M3600" s="34">
        <f>IF($K3600=1,INDEX(Mensal!$D$2:$D$245,MATCH($I3600,Mensal!$A$2:$A$245,0)),"")</f>
        <v/>
      </c>
      <c r="N3600" s="34">
        <f>IF($K3600=1,L3600-M3600,"")</f>
        <v/>
      </c>
      <c r="O3600" s="34" t="n">
        <v>7.469e-05</v>
      </c>
      <c r="P3600" s="34">
        <f>IF($J3600=1,LN(1+O3600),"")</f>
        <v/>
      </c>
      <c r="Q3600" s="34">
        <f>IF($J3600=1,LN(R3601/R3600),"")</f>
        <v/>
      </c>
      <c r="R3600" s="32" t="n">
        <v>5.7718</v>
      </c>
      <c r="S3600" s="35" t="n">
        <v>3.16</v>
      </c>
      <c r="T3600" s="18" t="n"/>
      <c r="U3600" s="18" t="n">
        <v>93952.39999999999</v>
      </c>
      <c r="V3600" s="18" t="n"/>
      <c r="W3600" s="18" t="n"/>
      <c r="X3600" s="35" t="n">
        <v>3.16</v>
      </c>
      <c r="Y3600" s="35" t="n"/>
    </row>
    <row r="3601">
      <c r="A3601" s="25" t="n">
        <v>44138</v>
      </c>
      <c r="B3601" s="18" t="n">
        <v>95979.71000000001</v>
      </c>
      <c r="C3601" s="31" t="n"/>
      <c r="D3601" s="32" t="n"/>
      <c r="E3601" s="33" t="n">
        <v>5.1037</v>
      </c>
      <c r="F3601" t="inlineStr">
        <is>
          <t>Up</t>
        </is>
      </c>
      <c r="G3601" t="inlineStr">
        <is>
          <t>Up</t>
        </is>
      </c>
      <c r="H3601" t="inlineStr">
        <is>
          <t>EU_JU</t>
        </is>
      </c>
      <c r="I3601" t="inlineStr">
        <is>
          <t>2020-11</t>
        </is>
      </c>
      <c r="J3601" t="n">
        <v>1</v>
      </c>
      <c r="K3601" t="n">
        <v>1</v>
      </c>
      <c r="L3601" s="34">
        <f>IF($J3601=1,LN(B3602/B3601),"")</f>
        <v/>
      </c>
      <c r="M3601" s="34">
        <f>IF($K3601=1,INDEX(Mensal!$D$2:$D$245,MATCH($I3601,Mensal!$A$2:$A$245,0)),"")</f>
        <v/>
      </c>
      <c r="N3601" s="34">
        <f>IF($K3601=1,L3601-M3601,"")</f>
        <v/>
      </c>
      <c r="O3601" s="34" t="n">
        <v>7.469e-05</v>
      </c>
      <c r="P3601" s="34">
        <f>IF($J3601=1,LN(1+O3601),"")</f>
        <v/>
      </c>
      <c r="Q3601" s="34">
        <f>IF($J3601=1,LN(R3602/R3601),"")</f>
        <v/>
      </c>
      <c r="R3601" s="32" t="n">
        <v>5.6895</v>
      </c>
      <c r="S3601" s="35" t="n">
        <v>3.23</v>
      </c>
      <c r="T3601" s="18" t="n"/>
      <c r="U3601" s="18" t="n">
        <v>95979.71000000001</v>
      </c>
      <c r="V3601" s="18" t="n"/>
      <c r="W3601" s="18" t="n"/>
      <c r="X3601" s="35" t="n">
        <v>3.23</v>
      </c>
      <c r="Y3601" s="35" t="n"/>
    </row>
    <row r="3602">
      <c r="A3602" s="25" t="n">
        <v>44139</v>
      </c>
      <c r="B3602" s="18" t="n">
        <v>97866.81</v>
      </c>
      <c r="C3602" s="31" t="n"/>
      <c r="D3602" s="32" t="n"/>
      <c r="E3602" s="33" t="n">
        <v>5.1409</v>
      </c>
      <c r="F3602" t="inlineStr">
        <is>
          <t>Up</t>
        </is>
      </c>
      <c r="G3602" t="inlineStr">
        <is>
          <t>Up</t>
        </is>
      </c>
      <c r="H3602" t="inlineStr">
        <is>
          <t>EU_JU</t>
        </is>
      </c>
      <c r="I3602" t="inlineStr">
        <is>
          <t>2020-11</t>
        </is>
      </c>
      <c r="J3602" t="n">
        <v>1</v>
      </c>
      <c r="K3602" t="n">
        <v>1</v>
      </c>
      <c r="L3602" s="34">
        <f>IF($J3602=1,LN(B3603/B3602),"")</f>
        <v/>
      </c>
      <c r="M3602" s="34">
        <f>IF($K3602=1,INDEX(Mensal!$D$2:$D$245,MATCH($I3602,Mensal!$A$2:$A$245,0)),"")</f>
        <v/>
      </c>
      <c r="N3602" s="34">
        <f>IF($K3602=1,L3602-M3602,"")</f>
        <v/>
      </c>
      <c r="O3602" s="34" t="n">
        <v>7.469e-05</v>
      </c>
      <c r="P3602" s="34">
        <f>IF($J3602=1,LN(1+O3602),"")</f>
        <v/>
      </c>
      <c r="Q3602" s="34">
        <f>IF($J3602=1,LN(R3603/R3602),"")</f>
        <v/>
      </c>
      <c r="R3602" s="32" t="n">
        <v>5.6932</v>
      </c>
      <c r="S3602" s="35" t="n">
        <v>3.2</v>
      </c>
      <c r="T3602" s="18" t="n"/>
      <c r="U3602" s="18" t="n">
        <v>97866.81</v>
      </c>
      <c r="V3602" s="18" t="n"/>
      <c r="W3602" s="18" t="n"/>
      <c r="X3602" s="35" t="n">
        <v>3.2</v>
      </c>
      <c r="Y3602" s="35" t="n"/>
    </row>
    <row r="3603">
      <c r="A3603" s="25" t="n">
        <v>44140</v>
      </c>
      <c r="B3603" s="18" t="n">
        <v>100751.4</v>
      </c>
      <c r="C3603" s="31" t="n"/>
      <c r="D3603" s="32" t="n"/>
      <c r="E3603" s="33" t="n">
        <v>5.1665</v>
      </c>
      <c r="F3603" t="inlineStr">
        <is>
          <t>Up</t>
        </is>
      </c>
      <c r="G3603" t="inlineStr">
        <is>
          <t>Up</t>
        </is>
      </c>
      <c r="H3603" t="inlineStr">
        <is>
          <t>EU_JU</t>
        </is>
      </c>
      <c r="I3603" t="inlineStr">
        <is>
          <t>2020-11</t>
        </is>
      </c>
      <c r="J3603" t="n">
        <v>1</v>
      </c>
      <c r="K3603" t="n">
        <v>1</v>
      </c>
      <c r="L3603" s="34">
        <f>IF($J3603=1,LN(B3604/B3603),"")</f>
        <v/>
      </c>
      <c r="M3603" s="34">
        <f>IF($K3603=1,INDEX(Mensal!$D$2:$D$245,MATCH($I3603,Mensal!$A$2:$A$245,0)),"")</f>
        <v/>
      </c>
      <c r="N3603" s="34">
        <f>IF($K3603=1,L3603-M3603,"")</f>
        <v/>
      </c>
      <c r="O3603" s="34" t="n">
        <v>7.469e-05</v>
      </c>
      <c r="P3603" s="34">
        <f>IF($J3603=1,LN(1+O3603),"")</f>
        <v/>
      </c>
      <c r="Q3603" s="34">
        <f>IF($J3603=1,LN(R3604/R3603),"")</f>
        <v/>
      </c>
      <c r="R3603" s="32" t="n">
        <v>5.5624</v>
      </c>
      <c r="S3603" s="35" t="n">
        <v>3.18</v>
      </c>
      <c r="T3603" s="18" t="n"/>
      <c r="U3603" s="18" t="n">
        <v>100751.4</v>
      </c>
      <c r="V3603" s="18" t="n"/>
      <c r="W3603" s="18" t="n"/>
      <c r="X3603" s="35" t="n">
        <v>3.18</v>
      </c>
      <c r="Y3603" s="35" t="n"/>
    </row>
    <row r="3604">
      <c r="A3604" s="25" t="n">
        <v>44141</v>
      </c>
      <c r="B3604" s="18" t="n">
        <v>100925.11</v>
      </c>
      <c r="C3604" s="31" t="n"/>
      <c r="D3604" s="32" t="n"/>
      <c r="E3604" s="33" t="n">
        <v>5.1756</v>
      </c>
      <c r="F3604" t="inlineStr">
        <is>
          <t>Up</t>
        </is>
      </c>
      <c r="G3604" t="inlineStr">
        <is>
          <t>Up</t>
        </is>
      </c>
      <c r="H3604" t="inlineStr">
        <is>
          <t>EU_JU</t>
        </is>
      </c>
      <c r="I3604" t="inlineStr">
        <is>
          <t>2020-11</t>
        </is>
      </c>
      <c r="J3604" t="n">
        <v>1</v>
      </c>
      <c r="K3604" t="n">
        <v>1</v>
      </c>
      <c r="L3604" s="34">
        <f>IF($J3604=1,LN(B3605/B3604),"")</f>
        <v/>
      </c>
      <c r="M3604" s="34">
        <f>IF($K3604=1,INDEX(Mensal!$D$2:$D$245,MATCH($I3604,Mensal!$A$2:$A$245,0)),"")</f>
        <v/>
      </c>
      <c r="N3604" s="34">
        <f>IF($K3604=1,L3604-M3604,"")</f>
        <v/>
      </c>
      <c r="O3604" s="34" t="n">
        <v>7.469e-05</v>
      </c>
      <c r="P3604" s="34">
        <f>IF($J3604=1,LN(1+O3604),"")</f>
        <v/>
      </c>
      <c r="Q3604" s="34">
        <f>IF($J3604=1,LN(R3605/R3604),"")</f>
        <v/>
      </c>
      <c r="R3604" s="32" t="n">
        <v>5.5313</v>
      </c>
      <c r="S3604" s="35" t="n">
        <v>3.08</v>
      </c>
      <c r="T3604" s="18" t="n"/>
      <c r="U3604" s="18" t="n">
        <v>100925.11</v>
      </c>
      <c r="V3604" s="18" t="n"/>
      <c r="W3604" s="18" t="n"/>
      <c r="X3604" s="35" t="n">
        <v>3.08</v>
      </c>
      <c r="Y3604" s="35" t="n"/>
    </row>
    <row r="3605">
      <c r="A3605" s="25" t="n">
        <v>44144</v>
      </c>
      <c r="B3605" s="18" t="n">
        <v>103515.16</v>
      </c>
      <c r="C3605" s="31" t="n"/>
      <c r="D3605" s="32" t="n"/>
      <c r="E3605" s="33" t="n">
        <v>5.202</v>
      </c>
      <c r="F3605" t="inlineStr">
        <is>
          <t>Up</t>
        </is>
      </c>
      <c r="G3605" t="inlineStr">
        <is>
          <t>Up</t>
        </is>
      </c>
      <c r="H3605" t="inlineStr">
        <is>
          <t>EU_JU</t>
        </is>
      </c>
      <c r="I3605" t="inlineStr">
        <is>
          <t>2020-11</t>
        </is>
      </c>
      <c r="J3605" t="n">
        <v>1</v>
      </c>
      <c r="K3605" t="n">
        <v>1</v>
      </c>
      <c r="L3605" s="34">
        <f>IF($J3605=1,LN(B3606/B3605),"")</f>
        <v/>
      </c>
      <c r="M3605" s="34">
        <f>IF($K3605=1,INDEX(Mensal!$D$2:$D$245,MATCH($I3605,Mensal!$A$2:$A$245,0)),"")</f>
        <v/>
      </c>
      <c r="N3605" s="34">
        <f>IF($K3605=1,L3605-M3605,"")</f>
        <v/>
      </c>
      <c r="O3605" s="34" t="n">
        <v>7.469e-05</v>
      </c>
      <c r="P3605" s="34">
        <f>IF($J3605=1,LN(1+O3605),"")</f>
        <v/>
      </c>
      <c r="Q3605" s="34">
        <f>IF($J3605=1,LN(R3606/R3605),"")</f>
        <v/>
      </c>
      <c r="R3605" s="32" t="n">
        <v>5.2821</v>
      </c>
      <c r="S3605" s="35" t="n">
        <v>3.04</v>
      </c>
      <c r="T3605" s="18" t="n"/>
      <c r="U3605" s="18" t="n">
        <v>103515.16</v>
      </c>
      <c r="V3605" s="18" t="n"/>
      <c r="W3605" s="18" t="n"/>
      <c r="X3605" s="35" t="n">
        <v>3.04</v>
      </c>
      <c r="Y3605" s="35" t="n"/>
    </row>
    <row r="3606">
      <c r="A3606" s="25" t="n">
        <v>44145</v>
      </c>
      <c r="B3606" s="18" t="n">
        <v>105066.96</v>
      </c>
      <c r="C3606" s="31" t="n"/>
      <c r="D3606" s="32" t="n"/>
      <c r="E3606" s="33" t="n">
        <v>5.2283</v>
      </c>
      <c r="F3606" t="inlineStr">
        <is>
          <t>Up</t>
        </is>
      </c>
      <c r="G3606" t="inlineStr">
        <is>
          <t>Up</t>
        </is>
      </c>
      <c r="H3606" t="inlineStr">
        <is>
          <t>EU_JU</t>
        </is>
      </c>
      <c r="I3606" t="inlineStr">
        <is>
          <t>2020-11</t>
        </is>
      </c>
      <c r="J3606" t="n">
        <v>1</v>
      </c>
      <c r="K3606" t="n">
        <v>1</v>
      </c>
      <c r="L3606" s="34">
        <f>IF($J3606=1,LN(B3607/B3606),"")</f>
        <v/>
      </c>
      <c r="M3606" s="34">
        <f>IF($K3606=1,INDEX(Mensal!$D$2:$D$245,MATCH($I3606,Mensal!$A$2:$A$245,0)),"")</f>
        <v/>
      </c>
      <c r="N3606" s="34">
        <f>IF($K3606=1,L3606-M3606,"")</f>
        <v/>
      </c>
      <c r="O3606" s="34" t="n">
        <v>7.469e-05</v>
      </c>
      <c r="P3606" s="34">
        <f>IF($J3606=1,LN(1+O3606),"")</f>
        <v/>
      </c>
      <c r="Q3606" s="34">
        <f>IF($J3606=1,LN(R3607/R3606),"")</f>
        <v/>
      </c>
      <c r="R3606" s="32" t="n">
        <v>5.3696</v>
      </c>
      <c r="S3606" s="35" t="n">
        <v>3.05</v>
      </c>
      <c r="T3606" s="18" t="n"/>
      <c r="U3606" s="18" t="n">
        <v>105066.96</v>
      </c>
      <c r="V3606" s="18" t="n"/>
      <c r="W3606" s="18" t="n"/>
      <c r="X3606" s="35" t="n">
        <v>3.05</v>
      </c>
      <c r="Y3606" s="35" t="n"/>
    </row>
    <row r="3607">
      <c r="A3607" s="25" t="n">
        <v>44146</v>
      </c>
      <c r="B3607" s="18" t="n">
        <v>104808.83</v>
      </c>
      <c r="C3607" s="31" t="n"/>
      <c r="D3607" s="32" t="n"/>
      <c r="E3607" s="33" t="n">
        <v>5.2377</v>
      </c>
      <c r="F3607" t="inlineStr">
        <is>
          <t>Up</t>
        </is>
      </c>
      <c r="G3607" t="inlineStr">
        <is>
          <t>Up</t>
        </is>
      </c>
      <c r="H3607" t="inlineStr">
        <is>
          <t>EU_JU</t>
        </is>
      </c>
      <c r="I3607" t="inlineStr">
        <is>
          <t>2020-11</t>
        </is>
      </c>
      <c r="J3607" t="n">
        <v>1</v>
      </c>
      <c r="K3607" t="n">
        <v>1</v>
      </c>
      <c r="L3607" s="34">
        <f>IF($J3607=1,LN(B3608/B3607),"")</f>
        <v/>
      </c>
      <c r="M3607" s="34">
        <f>IF($K3607=1,INDEX(Mensal!$D$2:$D$245,MATCH($I3607,Mensal!$A$2:$A$245,0)),"")</f>
        <v/>
      </c>
      <c r="N3607" s="34">
        <f>IF($K3607=1,L3607-M3607,"")</f>
        <v/>
      </c>
      <c r="O3607" s="34" t="n">
        <v>7.469e-05</v>
      </c>
      <c r="P3607" s="34">
        <f>IF($J3607=1,LN(1+O3607),"")</f>
        <v/>
      </c>
      <c r="Q3607" s="34">
        <f>IF($J3607=1,LN(R3608/R3607),"")</f>
        <v/>
      </c>
      <c r="R3607" s="32" t="n">
        <v>5.402</v>
      </c>
      <c r="S3607" s="35" t="n">
        <v>3.13</v>
      </c>
      <c r="T3607" s="18" t="n"/>
      <c r="U3607" s="18" t="n">
        <v>104808.83</v>
      </c>
      <c r="V3607" s="18" t="n"/>
      <c r="W3607" s="18" t="n"/>
      <c r="X3607" s="35" t="n">
        <v>3.13</v>
      </c>
      <c r="Y3607" s="35" t="n"/>
    </row>
    <row r="3608">
      <c r="A3608" s="25" t="n">
        <v>44147</v>
      </c>
      <c r="B3608" s="18" t="n">
        <v>102507.01</v>
      </c>
      <c r="C3608" s="31" t="n"/>
      <c r="D3608" s="32" t="n"/>
      <c r="E3608" s="33" t="n">
        <v>5.2432</v>
      </c>
      <c r="F3608" t="inlineStr">
        <is>
          <t>Up</t>
        </is>
      </c>
      <c r="G3608" t="inlineStr">
        <is>
          <t>Up</t>
        </is>
      </c>
      <c r="H3608" t="inlineStr">
        <is>
          <t>EU_JU</t>
        </is>
      </c>
      <c r="I3608" t="inlineStr">
        <is>
          <t>2020-11</t>
        </is>
      </c>
      <c r="J3608" t="n">
        <v>1</v>
      </c>
      <c r="K3608" t="n">
        <v>1</v>
      </c>
      <c r="L3608" s="34">
        <f>IF($J3608=1,LN(B3609/B3608),"")</f>
        <v/>
      </c>
      <c r="M3608" s="34">
        <f>IF($K3608=1,INDEX(Mensal!$D$2:$D$245,MATCH($I3608,Mensal!$A$2:$A$245,0)),"")</f>
        <v/>
      </c>
      <c r="N3608" s="34">
        <f>IF($K3608=1,L3608-M3608,"")</f>
        <v/>
      </c>
      <c r="O3608" s="34" t="n">
        <v>7.469e-05</v>
      </c>
      <c r="P3608" s="34">
        <f>IF($J3608=1,LN(1+O3608),"")</f>
        <v/>
      </c>
      <c r="Q3608" s="34">
        <f>IF($J3608=1,LN(R3609/R3608),"")</f>
        <v/>
      </c>
      <c r="R3608" s="32" t="n">
        <v>5.4094</v>
      </c>
      <c r="S3608" s="35" t="n">
        <v>3.14</v>
      </c>
      <c r="T3608" s="18" t="n"/>
      <c r="U3608" s="18" t="n">
        <v>102507.01</v>
      </c>
      <c r="V3608" s="18" t="n"/>
      <c r="W3608" s="18" t="n"/>
      <c r="X3608" s="35" t="n">
        <v>3.14</v>
      </c>
      <c r="Y3608" s="35" t="n"/>
    </row>
    <row r="3609">
      <c r="A3609" s="25" t="n">
        <v>44148</v>
      </c>
      <c r="B3609" s="18" t="n">
        <v>104723</v>
      </c>
      <c r="C3609" s="31" t="n"/>
      <c r="D3609" s="32" t="n"/>
      <c r="E3609" s="33" t="n">
        <v>5.2388</v>
      </c>
      <c r="F3609" t="inlineStr">
        <is>
          <t>Up</t>
        </is>
      </c>
      <c r="G3609" t="inlineStr">
        <is>
          <t>Up</t>
        </is>
      </c>
      <c r="H3609" t="inlineStr">
        <is>
          <t>EU_JU</t>
        </is>
      </c>
      <c r="I3609" t="inlineStr">
        <is>
          <t>2020-11</t>
        </is>
      </c>
      <c r="J3609" t="n">
        <v>1</v>
      </c>
      <c r="K3609" t="n">
        <v>1</v>
      </c>
      <c r="L3609" s="34">
        <f>IF($J3609=1,LN(B3610/B3609),"")</f>
        <v/>
      </c>
      <c r="M3609" s="34">
        <f>IF($K3609=1,INDEX(Mensal!$D$2:$D$245,MATCH($I3609,Mensal!$A$2:$A$245,0)),"")</f>
        <v/>
      </c>
      <c r="N3609" s="34">
        <f>IF($K3609=1,L3609-M3609,"")</f>
        <v/>
      </c>
      <c r="O3609" s="34" t="n">
        <v>7.469e-05</v>
      </c>
      <c r="P3609" s="34">
        <f>IF($J3609=1,LN(1+O3609),"")</f>
        <v/>
      </c>
      <c r="Q3609" s="34">
        <f>IF($J3609=1,LN(R3610/R3609),"")</f>
        <v/>
      </c>
      <c r="R3609" s="32" t="n">
        <v>5.4854</v>
      </c>
      <c r="S3609" s="35" t="n">
        <v>3.07</v>
      </c>
      <c r="T3609" s="18" t="n"/>
      <c r="U3609" s="18" t="n">
        <v>104723</v>
      </c>
      <c r="V3609" s="18" t="n"/>
      <c r="W3609" s="18" t="n"/>
      <c r="X3609" s="35" t="n">
        <v>3.07</v>
      </c>
      <c r="Y3609" s="35" t="n"/>
    </row>
    <row r="3610">
      <c r="A3610" s="25" t="n">
        <v>44151</v>
      </c>
      <c r="B3610" s="18" t="n">
        <v>106429.92</v>
      </c>
      <c r="C3610" s="31" t="n"/>
      <c r="D3610" s="32" t="n"/>
      <c r="E3610" s="33" t="n">
        <v>5.25</v>
      </c>
      <c r="F3610" t="inlineStr">
        <is>
          <t>Up</t>
        </is>
      </c>
      <c r="G3610" t="inlineStr">
        <is>
          <t>Up</t>
        </is>
      </c>
      <c r="H3610" t="inlineStr">
        <is>
          <t>EU_JU</t>
        </is>
      </c>
      <c r="I3610" t="inlineStr">
        <is>
          <t>2020-11</t>
        </is>
      </c>
      <c r="J3610" t="n">
        <v>1</v>
      </c>
      <c r="K3610" t="n">
        <v>1</v>
      </c>
      <c r="L3610" s="34">
        <f>IF($J3610=1,LN(B3611/B3610),"")</f>
        <v/>
      </c>
      <c r="M3610" s="34">
        <f>IF($K3610=1,INDEX(Mensal!$D$2:$D$245,MATCH($I3610,Mensal!$A$2:$A$245,0)),"")</f>
        <v/>
      </c>
      <c r="N3610" s="34">
        <f>IF($K3610=1,L3610-M3610,"")</f>
        <v/>
      </c>
      <c r="O3610" s="34" t="n">
        <v>7.469e-05</v>
      </c>
      <c r="P3610" s="34">
        <f>IF($J3610=1,LN(1+O3610),"")</f>
        <v/>
      </c>
      <c r="Q3610" s="34">
        <f>IF($J3610=1,LN(R3611/R3610),"")</f>
        <v/>
      </c>
      <c r="R3610" s="32" t="n">
        <v>5.4198</v>
      </c>
      <c r="S3610" s="35" t="n">
        <v>3.05</v>
      </c>
      <c r="T3610" s="18" t="n"/>
      <c r="U3610" s="18" t="n">
        <v>106429.92</v>
      </c>
      <c r="V3610" s="18" t="n"/>
      <c r="W3610" s="18" t="n"/>
      <c r="X3610" s="35" t="n">
        <v>3.05</v>
      </c>
      <c r="Y3610" s="35" t="n"/>
    </row>
    <row r="3611">
      <c r="A3611" s="25" t="n">
        <v>44152</v>
      </c>
      <c r="B3611" s="18" t="n">
        <v>107248.63</v>
      </c>
      <c r="C3611" s="31" t="n"/>
      <c r="D3611" s="32" t="n"/>
      <c r="E3611" s="33" t="n">
        <v>5.2657</v>
      </c>
      <c r="F3611" t="inlineStr">
        <is>
          <t>Up</t>
        </is>
      </c>
      <c r="G3611" t="inlineStr">
        <is>
          <t>Up</t>
        </is>
      </c>
      <c r="H3611" t="inlineStr">
        <is>
          <t>EU_JU</t>
        </is>
      </c>
      <c r="I3611" t="inlineStr">
        <is>
          <t>2020-11</t>
        </is>
      </c>
      <c r="J3611" t="n">
        <v>1</v>
      </c>
      <c r="K3611" t="n">
        <v>1</v>
      </c>
      <c r="L3611" s="34">
        <f>IF($J3611=1,LN(B3612/B3611),"")</f>
        <v/>
      </c>
      <c r="M3611" s="34">
        <f>IF($K3611=1,INDEX(Mensal!$D$2:$D$245,MATCH($I3611,Mensal!$A$2:$A$245,0)),"")</f>
        <v/>
      </c>
      <c r="N3611" s="34">
        <f>IF($K3611=1,L3611-M3611,"")</f>
        <v/>
      </c>
      <c r="O3611" s="34" t="n">
        <v>7.469e-05</v>
      </c>
      <c r="P3611" s="34">
        <f>IF($J3611=1,LN(1+O3611),"")</f>
        <v/>
      </c>
      <c r="Q3611" s="34">
        <f>IF($J3611=1,LN(R3612/R3611),"")</f>
        <v/>
      </c>
      <c r="R3611" s="32" t="n">
        <v>5.3968</v>
      </c>
      <c r="S3611" s="35" t="n">
        <v>3.01</v>
      </c>
      <c r="T3611" s="18" t="n"/>
      <c r="U3611" s="18" t="n">
        <v>107248.63</v>
      </c>
      <c r="V3611" s="18" t="n"/>
      <c r="W3611" s="18" t="n"/>
      <c r="X3611" s="35" t="n">
        <v>3.01</v>
      </c>
      <c r="Y3611" s="35" t="n"/>
    </row>
    <row r="3612">
      <c r="A3612" s="25" t="n">
        <v>44153</v>
      </c>
      <c r="B3612" s="18" t="n">
        <v>106119.09</v>
      </c>
      <c r="C3612" s="31" t="n"/>
      <c r="D3612" s="32" t="n"/>
      <c r="E3612" s="33" t="n">
        <v>5.2696</v>
      </c>
      <c r="F3612" t="inlineStr">
        <is>
          <t>Up</t>
        </is>
      </c>
      <c r="G3612" t="inlineStr">
        <is>
          <t>Up</t>
        </is>
      </c>
      <c r="H3612" t="inlineStr">
        <is>
          <t>EU_JU</t>
        </is>
      </c>
      <c r="I3612" t="inlineStr">
        <is>
          <t>2020-11</t>
        </is>
      </c>
      <c r="J3612" t="n">
        <v>1</v>
      </c>
      <c r="K3612" t="n">
        <v>1</v>
      </c>
      <c r="L3612" s="34">
        <f>IF($J3612=1,LN(B3613/B3612),"")</f>
        <v/>
      </c>
      <c r="M3612" s="34">
        <f>IF($K3612=1,INDEX(Mensal!$D$2:$D$245,MATCH($I3612,Mensal!$A$2:$A$245,0)),"")</f>
        <v/>
      </c>
      <c r="N3612" s="34">
        <f>IF($K3612=1,L3612-M3612,"")</f>
        <v/>
      </c>
      <c r="O3612" s="34" t="n">
        <v>7.469e-05</v>
      </c>
      <c r="P3612" s="34">
        <f>IF($J3612=1,LN(1+O3612),"")</f>
        <v/>
      </c>
      <c r="Q3612" s="34">
        <f>IF($J3612=1,LN(R3613/R3612),"")</f>
        <v/>
      </c>
      <c r="R3612" s="32" t="n">
        <v>5.2932</v>
      </c>
      <c r="S3612" s="35" t="n">
        <v>3.05</v>
      </c>
      <c r="T3612" s="18" t="n"/>
      <c r="U3612" s="18" t="n">
        <v>106119.09</v>
      </c>
      <c r="V3612" s="18" t="n"/>
      <c r="W3612" s="18" t="n"/>
      <c r="X3612" s="35" t="n">
        <v>3.05</v>
      </c>
      <c r="Y3612" s="35" t="n"/>
    </row>
    <row r="3613">
      <c r="A3613" s="25" t="n">
        <v>44154</v>
      </c>
      <c r="B3613" s="18" t="n">
        <v>106669.9</v>
      </c>
      <c r="C3613" s="31" t="n"/>
      <c r="D3613" s="32" t="n"/>
      <c r="E3613" s="33" t="n">
        <v>5.2736</v>
      </c>
      <c r="F3613" t="inlineStr">
        <is>
          <t>Up</t>
        </is>
      </c>
      <c r="G3613" t="inlineStr">
        <is>
          <t>Up</t>
        </is>
      </c>
      <c r="H3613" t="inlineStr">
        <is>
          <t>EU_JU</t>
        </is>
      </c>
      <c r="I3613" t="inlineStr">
        <is>
          <t>2020-11</t>
        </is>
      </c>
      <c r="J3613" t="n">
        <v>1</v>
      </c>
      <c r="K3613" t="n">
        <v>1</v>
      </c>
      <c r="L3613" s="34">
        <f>IF($J3613=1,LN(B3614/B3613),"")</f>
        <v/>
      </c>
      <c r="M3613" s="34">
        <f>IF($K3613=1,INDEX(Mensal!$D$2:$D$245,MATCH($I3613,Mensal!$A$2:$A$245,0)),"")</f>
        <v/>
      </c>
      <c r="N3613" s="34">
        <f>IF($K3613=1,L3613-M3613,"")</f>
        <v/>
      </c>
      <c r="O3613" s="34" t="n">
        <v>7.469e-05</v>
      </c>
      <c r="P3613" s="34">
        <f>IF($J3613=1,LN(1+O3613),"")</f>
        <v/>
      </c>
      <c r="Q3613" s="34">
        <f>IF($J3613=1,LN(R3614/R3613),"")</f>
        <v/>
      </c>
      <c r="R3613" s="32" t="n">
        <v>5.333</v>
      </c>
      <c r="S3613" s="35" t="n">
        <v>3.05</v>
      </c>
      <c r="T3613" s="18" t="n"/>
      <c r="U3613" s="18" t="n">
        <v>106669.9</v>
      </c>
      <c r="V3613" s="18" t="n"/>
      <c r="W3613" s="18" t="n"/>
      <c r="X3613" s="35" t="n">
        <v>3.05</v>
      </c>
      <c r="Y3613" s="35" t="n"/>
    </row>
    <row r="3614">
      <c r="A3614" s="25" t="n">
        <v>44155</v>
      </c>
      <c r="B3614" s="18" t="n">
        <v>106042.48</v>
      </c>
      <c r="C3614" s="31" t="n"/>
      <c r="D3614" s="32" t="n"/>
      <c r="E3614" s="33" t="n">
        <v>5.274</v>
      </c>
      <c r="F3614" t="inlineStr">
        <is>
          <t>Up</t>
        </is>
      </c>
      <c r="G3614" t="inlineStr">
        <is>
          <t>Up</t>
        </is>
      </c>
      <c r="H3614" t="inlineStr">
        <is>
          <t>EU_JU</t>
        </is>
      </c>
      <c r="I3614" t="inlineStr">
        <is>
          <t>2020-11</t>
        </is>
      </c>
      <c r="J3614" t="n">
        <v>1</v>
      </c>
      <c r="K3614" t="n">
        <v>1</v>
      </c>
      <c r="L3614" s="34">
        <f>IF($J3614=1,LN(B3615/B3614),"")</f>
        <v/>
      </c>
      <c r="M3614" s="34">
        <f>IF($K3614=1,INDEX(Mensal!$D$2:$D$245,MATCH($I3614,Mensal!$A$2:$A$245,0)),"")</f>
        <v/>
      </c>
      <c r="N3614" s="34">
        <f>IF($K3614=1,L3614-M3614,"")</f>
        <v/>
      </c>
      <c r="O3614" s="34" t="n">
        <v>7.469e-05</v>
      </c>
      <c r="P3614" s="34">
        <f>IF($J3614=1,LN(1+O3614),"")</f>
        <v/>
      </c>
      <c r="Q3614" s="34">
        <f>IF($J3614=1,LN(R3615/R3614),"")</f>
        <v/>
      </c>
      <c r="R3614" s="32" t="n">
        <v>5.3505</v>
      </c>
      <c r="S3614" s="35" t="n">
        <v>3.13</v>
      </c>
      <c r="T3614" s="18" t="n"/>
      <c r="U3614" s="18" t="n">
        <v>106042.48</v>
      </c>
      <c r="V3614" s="18" t="n"/>
      <c r="W3614" s="18" t="n"/>
      <c r="X3614" s="35" t="n">
        <v>3.13</v>
      </c>
      <c r="Y3614" s="35" t="n"/>
    </row>
    <row r="3615">
      <c r="A3615" s="25" t="n">
        <v>44158</v>
      </c>
      <c r="B3615" s="18" t="n">
        <v>107378.92</v>
      </c>
      <c r="C3615" s="31" t="n"/>
      <c r="D3615" s="32" t="n"/>
      <c r="E3615" s="33" t="n">
        <v>5.2903</v>
      </c>
      <c r="F3615" t="inlineStr">
        <is>
          <t>Up</t>
        </is>
      </c>
      <c r="G3615" t="inlineStr">
        <is>
          <t>Up</t>
        </is>
      </c>
      <c r="H3615" t="inlineStr">
        <is>
          <t>EU_JU</t>
        </is>
      </c>
      <c r="I3615" t="inlineStr">
        <is>
          <t>2020-11</t>
        </is>
      </c>
      <c r="J3615" t="n">
        <v>1</v>
      </c>
      <c r="K3615" t="n">
        <v>1</v>
      </c>
      <c r="L3615" s="34">
        <f>IF($J3615=1,LN(B3616/B3615),"")</f>
        <v/>
      </c>
      <c r="M3615" s="34">
        <f>IF($K3615=1,INDEX(Mensal!$D$2:$D$245,MATCH($I3615,Mensal!$A$2:$A$245,0)),"")</f>
        <v/>
      </c>
      <c r="N3615" s="34">
        <f>IF($K3615=1,L3615-M3615,"")</f>
        <v/>
      </c>
      <c r="O3615" s="34" t="n">
        <v>7.469e-05</v>
      </c>
      <c r="P3615" s="34">
        <f>IF($J3615=1,LN(1+O3615),"")</f>
        <v/>
      </c>
      <c r="Q3615" s="34">
        <f>IF($J3615=1,LN(R3616/R3615),"")</f>
        <v/>
      </c>
      <c r="R3615" s="32" t="n">
        <v>5.3828</v>
      </c>
      <c r="S3615" s="35" t="n">
        <v>3.2</v>
      </c>
      <c r="T3615" s="18" t="n"/>
      <c r="U3615" s="18" t="n">
        <v>107378.92</v>
      </c>
      <c r="V3615" s="18" t="n"/>
      <c r="W3615" s="18" t="n"/>
      <c r="X3615" s="35" t="n">
        <v>3.2</v>
      </c>
      <c r="Y3615" s="35" t="n"/>
    </row>
    <row r="3616">
      <c r="A3616" s="25" t="n">
        <v>44159</v>
      </c>
      <c r="B3616" s="18" t="n">
        <v>109786.3</v>
      </c>
      <c r="C3616" s="31" t="n"/>
      <c r="D3616" s="32" t="n"/>
      <c r="E3616" s="33" t="n">
        <v>5.3144</v>
      </c>
      <c r="F3616" t="inlineStr">
        <is>
          <t>Up</t>
        </is>
      </c>
      <c r="G3616" t="inlineStr">
        <is>
          <t>Up</t>
        </is>
      </c>
      <c r="H3616" t="inlineStr">
        <is>
          <t>EU_JU</t>
        </is>
      </c>
      <c r="I3616" t="inlineStr">
        <is>
          <t>2020-11</t>
        </is>
      </c>
      <c r="J3616" t="n">
        <v>1</v>
      </c>
      <c r="K3616" t="n">
        <v>1</v>
      </c>
      <c r="L3616" s="34">
        <f>IF($J3616=1,LN(B3617/B3616),"")</f>
        <v/>
      </c>
      <c r="M3616" s="34">
        <f>IF($K3616=1,INDEX(Mensal!$D$2:$D$245,MATCH($I3616,Mensal!$A$2:$A$245,0)),"")</f>
        <v/>
      </c>
      <c r="N3616" s="34">
        <f>IF($K3616=1,L3616-M3616,"")</f>
        <v/>
      </c>
      <c r="O3616" s="34" t="n">
        <v>7.469e-05</v>
      </c>
      <c r="P3616" s="34">
        <f>IF($J3616=1,LN(1+O3616),"")</f>
        <v/>
      </c>
      <c r="Q3616" s="34">
        <f>IF($J3616=1,LN(R3617/R3616),"")</f>
        <v/>
      </c>
      <c r="R3616" s="32" t="n">
        <v>5.4037</v>
      </c>
      <c r="S3616" s="35" t="n">
        <v>3.21</v>
      </c>
      <c r="T3616" s="18" t="n"/>
      <c r="U3616" s="18" t="n">
        <v>109786.3</v>
      </c>
      <c r="V3616" s="18" t="n"/>
      <c r="W3616" s="18" t="n"/>
      <c r="X3616" s="35" t="n">
        <v>3.21</v>
      </c>
      <c r="Y3616" s="35" t="n"/>
    </row>
    <row r="3617">
      <c r="A3617" s="25" t="n">
        <v>44160</v>
      </c>
      <c r="B3617" s="18" t="n">
        <v>110132.53</v>
      </c>
      <c r="C3617" s="31" t="n"/>
      <c r="D3617" s="32" t="n"/>
      <c r="E3617" s="33" t="n">
        <v>5.3335</v>
      </c>
      <c r="F3617" t="inlineStr">
        <is>
          <t>Up</t>
        </is>
      </c>
      <c r="G3617" t="inlineStr">
        <is>
          <t>Up</t>
        </is>
      </c>
      <c r="H3617" t="inlineStr">
        <is>
          <t>EU_JU</t>
        </is>
      </c>
      <c r="I3617" t="inlineStr">
        <is>
          <t>2020-11</t>
        </is>
      </c>
      <c r="J3617" t="n">
        <v>1</v>
      </c>
      <c r="K3617" t="n">
        <v>1</v>
      </c>
      <c r="L3617" s="34">
        <f>IF($J3617=1,LN(B3618/B3617),"")</f>
        <v/>
      </c>
      <c r="M3617" s="34">
        <f>IF($K3617=1,INDEX(Mensal!$D$2:$D$245,MATCH($I3617,Mensal!$A$2:$A$245,0)),"")</f>
        <v/>
      </c>
      <c r="N3617" s="34">
        <f>IF($K3617=1,L3617-M3617,"")</f>
        <v/>
      </c>
      <c r="O3617" s="34" t="n">
        <v>7.469e-05</v>
      </c>
      <c r="P3617" s="34">
        <f>IF($J3617=1,LN(1+O3617),"")</f>
        <v/>
      </c>
      <c r="Q3617" s="34">
        <f>IF($J3617=1,LN(R3618/R3617),"")</f>
        <v/>
      </c>
      <c r="R3617" s="32" t="n">
        <v>5.3508</v>
      </c>
      <c r="S3617" s="35" t="n">
        <v>3.17</v>
      </c>
      <c r="T3617" s="18" t="n"/>
      <c r="U3617" s="18" t="n">
        <v>110132.53</v>
      </c>
      <c r="V3617" s="18" t="n"/>
      <c r="W3617" s="18" t="n"/>
      <c r="X3617" s="35" t="n">
        <v>3.17</v>
      </c>
      <c r="Y3617" s="35" t="n"/>
    </row>
    <row r="3618">
      <c r="A3618" s="25" t="n">
        <v>44161</v>
      </c>
      <c r="B3618" s="18" t="n">
        <v>110227.09</v>
      </c>
      <c r="C3618" s="31" t="n"/>
      <c r="D3618" s="32" t="n"/>
      <c r="E3618" s="33" t="n">
        <v>5.343</v>
      </c>
      <c r="F3618" t="inlineStr">
        <is>
          <t>Up</t>
        </is>
      </c>
      <c r="G3618" t="inlineStr">
        <is>
          <t>Up</t>
        </is>
      </c>
      <c r="H3618" t="inlineStr">
        <is>
          <t>EU_JU</t>
        </is>
      </c>
      <c r="I3618" t="inlineStr">
        <is>
          <t>2020-11</t>
        </is>
      </c>
      <c r="J3618" t="n">
        <v>1</v>
      </c>
      <c r="K3618" t="n">
        <v>1</v>
      </c>
      <c r="L3618" s="34">
        <f>IF($J3618=1,LN(B3619/B3618),"")</f>
        <v/>
      </c>
      <c r="M3618" s="34">
        <f>IF($K3618=1,INDEX(Mensal!$D$2:$D$245,MATCH($I3618,Mensal!$A$2:$A$245,0)),"")</f>
        <v/>
      </c>
      <c r="N3618" s="34">
        <f>IF($K3618=1,L3618-M3618,"")</f>
        <v/>
      </c>
      <c r="O3618" s="34" t="n">
        <v>7.469e-05</v>
      </c>
      <c r="P3618" s="34">
        <f>IF($J3618=1,LN(1+O3618),"")</f>
        <v/>
      </c>
      <c r="Q3618" s="34">
        <f>IF($J3618=1,LN(R3619/R3618),"")</f>
        <v/>
      </c>
      <c r="R3618" s="32" t="n">
        <v>5.3201</v>
      </c>
      <c r="S3618" s="35" t="n">
        <v>3.14</v>
      </c>
      <c r="T3618" s="18" t="n"/>
      <c r="U3618" s="18" t="n">
        <v>110227.09</v>
      </c>
      <c r="V3618" s="18" t="n"/>
      <c r="W3618" s="18" t="n"/>
      <c r="X3618" s="35" t="n">
        <v>3.14</v>
      </c>
      <c r="Y3618" s="35" t="n"/>
    </row>
    <row r="3619">
      <c r="A3619" s="25" t="n">
        <v>44162</v>
      </c>
      <c r="B3619" s="18" t="n">
        <v>110575.47</v>
      </c>
      <c r="C3619" s="31" t="n"/>
      <c r="D3619" s="32" t="n"/>
      <c r="E3619" s="33" t="n">
        <v>5.3495</v>
      </c>
      <c r="F3619" t="inlineStr">
        <is>
          <t>Up</t>
        </is>
      </c>
      <c r="G3619" t="inlineStr">
        <is>
          <t>Up</t>
        </is>
      </c>
      <c r="H3619" t="inlineStr">
        <is>
          <t>EU_JU</t>
        </is>
      </c>
      <c r="I3619" t="inlineStr">
        <is>
          <t>2020-11</t>
        </is>
      </c>
      <c r="J3619" t="n">
        <v>1</v>
      </c>
      <c r="K3619" t="n">
        <v>1</v>
      </c>
      <c r="L3619" s="34">
        <f>IF($J3619=1,LN(B3620/B3619),"")</f>
        <v/>
      </c>
      <c r="M3619" s="34">
        <f>IF($K3619=1,INDEX(Mensal!$D$2:$D$245,MATCH($I3619,Mensal!$A$2:$A$245,0)),"")</f>
        <v/>
      </c>
      <c r="N3619" s="34">
        <f>IF($K3619=1,L3619-M3619,"")</f>
        <v/>
      </c>
      <c r="O3619" s="34" t="n">
        <v>7.469e-05</v>
      </c>
      <c r="P3619" s="34">
        <f>IF($J3619=1,LN(1+O3619),"")</f>
        <v/>
      </c>
      <c r="Q3619" s="34">
        <f>IF($J3619=1,LN(R3620/R3619),"")</f>
        <v/>
      </c>
      <c r="R3619" s="32" t="n">
        <v>5.3494</v>
      </c>
      <c r="S3619" s="35" t="n">
        <v>3.09</v>
      </c>
      <c r="T3619" s="18" t="n"/>
      <c r="U3619" s="18" t="n">
        <v>110575.47</v>
      </c>
      <c r="V3619" s="18" t="n"/>
      <c r="W3619" s="18" t="n"/>
      <c r="X3619" s="35" t="n">
        <v>3.09</v>
      </c>
      <c r="Y3619" s="35" t="n"/>
    </row>
    <row r="3620">
      <c r="A3620" s="25" t="n">
        <v>44165</v>
      </c>
      <c r="B3620" s="18" t="n">
        <v>108893.32</v>
      </c>
      <c r="C3620" s="31" t="n"/>
      <c r="D3620" s="32" t="n"/>
      <c r="E3620" s="33" t="n">
        <v>5.3778</v>
      </c>
      <c r="F3620" t="inlineStr">
        <is>
          <t>Up</t>
        </is>
      </c>
      <c r="G3620" t="inlineStr">
        <is>
          <t>Up</t>
        </is>
      </c>
      <c r="H3620" t="inlineStr">
        <is>
          <t>EU_JU</t>
        </is>
      </c>
      <c r="I3620" t="inlineStr">
        <is>
          <t>2020-11</t>
        </is>
      </c>
      <c r="J3620" t="n">
        <v>1</v>
      </c>
      <c r="K3620" t="n">
        <v>1</v>
      </c>
      <c r="L3620" s="34">
        <f>IF($J3620=1,LN(B3621/B3620),"")</f>
        <v/>
      </c>
      <c r="M3620" s="34">
        <f>IF($K3620=1,INDEX(Mensal!$D$2:$D$245,MATCH($I3620,Mensal!$A$2:$A$245,0)),"")</f>
        <v/>
      </c>
      <c r="N3620" s="34">
        <f>IF($K3620=1,L3620-M3620,"")</f>
        <v/>
      </c>
      <c r="O3620" s="34" t="n">
        <v>7.469e-05</v>
      </c>
      <c r="P3620" s="34">
        <f>IF($J3620=1,LN(1+O3620),"")</f>
        <v/>
      </c>
      <c r="Q3620" s="34">
        <f>IF($J3620=1,LN(R3621/R3620),"")</f>
        <v/>
      </c>
      <c r="R3620" s="32" t="n">
        <v>5.3317</v>
      </c>
      <c r="S3620" s="35" t="n">
        <v>3.15</v>
      </c>
      <c r="T3620" s="18" t="n"/>
      <c r="U3620" s="18" t="n">
        <v>108893.32</v>
      </c>
      <c r="V3620" s="18" t="n"/>
      <c r="W3620" s="18" t="n"/>
      <c r="X3620" s="35" t="n">
        <v>3.15</v>
      </c>
      <c r="Y3620" s="35" t="n"/>
    </row>
    <row r="3621">
      <c r="A3621" s="25" t="n">
        <v>44166</v>
      </c>
      <c r="B3621" s="18" t="n">
        <v>111399.91</v>
      </c>
      <c r="C3621" s="31" t="n"/>
      <c r="D3621" s="32" t="n"/>
      <c r="E3621" s="33" t="n">
        <v>5.4074</v>
      </c>
      <c r="F3621" t="inlineStr">
        <is>
          <t>Up</t>
        </is>
      </c>
      <c r="G3621" t="inlineStr">
        <is>
          <t>Up</t>
        </is>
      </c>
      <c r="H3621" t="inlineStr">
        <is>
          <t>EU_JU</t>
        </is>
      </c>
      <c r="I3621" t="inlineStr">
        <is>
          <t>2020-12</t>
        </is>
      </c>
      <c r="J3621" t="n">
        <v>1</v>
      </c>
      <c r="K3621" t="n">
        <v>1</v>
      </c>
      <c r="L3621" s="34">
        <f>IF($J3621=1,LN(B3622/B3621),"")</f>
        <v/>
      </c>
      <c r="M3621" s="34">
        <f>IF($K3621=1,INDEX(Mensal!$D$2:$D$245,MATCH($I3621,Mensal!$A$2:$A$245,0)),"")</f>
        <v/>
      </c>
      <c r="N3621" s="34">
        <f>IF($K3621=1,L3621-M3621,"")</f>
        <v/>
      </c>
      <c r="O3621" s="34" t="n">
        <v>7.469e-05</v>
      </c>
      <c r="P3621" s="34">
        <f>IF($J3621=1,LN(1+O3621),"")</f>
        <v/>
      </c>
      <c r="Q3621" s="34">
        <f>IF($J3621=1,LN(R3622/R3621),"")</f>
        <v/>
      </c>
      <c r="R3621" s="32" t="n">
        <v>5.2789</v>
      </c>
      <c r="S3621" s="35" t="n">
        <v>2.98</v>
      </c>
      <c r="T3621" s="18" t="n"/>
      <c r="U3621" s="18" t="n">
        <v>111399.91</v>
      </c>
      <c r="V3621" s="18" t="n"/>
      <c r="W3621" s="18" t="n"/>
      <c r="X3621" s="35" t="n">
        <v>2.98</v>
      </c>
      <c r="Y3621" s="35" t="n"/>
    </row>
    <row r="3622">
      <c r="A3622" s="25" t="n">
        <v>44167</v>
      </c>
      <c r="B3622" s="18" t="n">
        <v>111878.53</v>
      </c>
      <c r="C3622" s="31" t="n"/>
      <c r="D3622" s="32" t="n"/>
      <c r="E3622" s="33" t="n">
        <v>5.4251</v>
      </c>
      <c r="F3622" t="inlineStr">
        <is>
          <t>Up</t>
        </is>
      </c>
      <c r="G3622" t="inlineStr">
        <is>
          <t>Up</t>
        </is>
      </c>
      <c r="H3622" t="inlineStr">
        <is>
          <t>EU_JU</t>
        </is>
      </c>
      <c r="I3622" t="inlineStr">
        <is>
          <t>2020-12</t>
        </is>
      </c>
      <c r="J3622" t="n">
        <v>1</v>
      </c>
      <c r="K3622" t="n">
        <v>1</v>
      </c>
      <c r="L3622" s="34">
        <f>IF($J3622=1,LN(B3623/B3622),"")</f>
        <v/>
      </c>
      <c r="M3622" s="34">
        <f>IF($K3622=1,INDEX(Mensal!$D$2:$D$245,MATCH($I3622,Mensal!$A$2:$A$245,0)),"")</f>
        <v/>
      </c>
      <c r="N3622" s="34">
        <f>IF($K3622=1,L3622-M3622,"")</f>
        <v/>
      </c>
      <c r="O3622" s="34" t="n">
        <v>7.469e-05</v>
      </c>
      <c r="P3622" s="34">
        <f>IF($J3622=1,LN(1+O3622),"")</f>
        <v/>
      </c>
      <c r="Q3622" s="34">
        <f>IF($J3622=1,LN(R3623/R3622),"")</f>
        <v/>
      </c>
      <c r="R3622" s="32" t="n">
        <v>5.2267</v>
      </c>
      <c r="S3622" s="35" t="n">
        <v>2.86</v>
      </c>
      <c r="T3622" s="18" t="n"/>
      <c r="U3622" s="18" t="n">
        <v>111878.53</v>
      </c>
      <c r="V3622" s="18" t="n"/>
      <c r="W3622" s="18" t="n"/>
      <c r="X3622" s="35" t="n">
        <v>2.86</v>
      </c>
      <c r="Y3622" s="35" t="n"/>
    </row>
    <row r="3623">
      <c r="A3623" s="25" t="n">
        <v>44168</v>
      </c>
      <c r="B3623" s="18" t="n">
        <v>112291.59</v>
      </c>
      <c r="C3623" s="31" t="n"/>
      <c r="D3623" s="32" t="n"/>
      <c r="E3623" s="33" t="n">
        <v>5.4318</v>
      </c>
      <c r="F3623" t="inlineStr">
        <is>
          <t>Up</t>
        </is>
      </c>
      <c r="G3623" t="inlineStr">
        <is>
          <t>Up</t>
        </is>
      </c>
      <c r="H3623" t="inlineStr">
        <is>
          <t>EU_JU</t>
        </is>
      </c>
      <c r="I3623" t="inlineStr">
        <is>
          <t>2020-12</t>
        </is>
      </c>
      <c r="J3623" t="n">
        <v>1</v>
      </c>
      <c r="K3623" t="n">
        <v>1</v>
      </c>
      <c r="L3623" s="34">
        <f>IF($J3623=1,LN(B3624/B3623),"")</f>
        <v/>
      </c>
      <c r="M3623" s="34">
        <f>IF($K3623=1,INDEX(Mensal!$D$2:$D$245,MATCH($I3623,Mensal!$A$2:$A$245,0)),"")</f>
        <v/>
      </c>
      <c r="N3623" s="34">
        <f>IF($K3623=1,L3623-M3623,"")</f>
        <v/>
      </c>
      <c r="O3623" s="34" t="n">
        <v>7.469e-05</v>
      </c>
      <c r="P3623" s="34">
        <f>IF($J3623=1,LN(1+O3623),"")</f>
        <v/>
      </c>
      <c r="Q3623" s="34">
        <f>IF($J3623=1,LN(R3624/R3623),"")</f>
        <v/>
      </c>
      <c r="R3623" s="32" t="n">
        <v>5.1625</v>
      </c>
      <c r="S3623" s="35" t="n">
        <v>2.81</v>
      </c>
      <c r="T3623" s="18" t="n"/>
      <c r="U3623" s="18" t="n">
        <v>112291.59</v>
      </c>
      <c r="V3623" s="18" t="n"/>
      <c r="W3623" s="18" t="n"/>
      <c r="X3623" s="35" t="n">
        <v>2.81</v>
      </c>
      <c r="Y3623" s="35" t="n"/>
    </row>
    <row r="3624">
      <c r="A3624" s="25" t="n">
        <v>44169</v>
      </c>
      <c r="B3624" s="18" t="n">
        <v>113750.22</v>
      </c>
      <c r="C3624" s="31" t="n"/>
      <c r="D3624" s="32" t="n"/>
      <c r="E3624" s="33" t="n">
        <v>5.4354</v>
      </c>
      <c r="F3624" t="inlineStr">
        <is>
          <t>Up</t>
        </is>
      </c>
      <c r="G3624" t="inlineStr">
        <is>
          <t>Up</t>
        </is>
      </c>
      <c r="H3624" t="inlineStr">
        <is>
          <t>EU_JU</t>
        </is>
      </c>
      <c r="I3624" t="inlineStr">
        <is>
          <t>2020-12</t>
        </is>
      </c>
      <c r="J3624" t="n">
        <v>1</v>
      </c>
      <c r="K3624" t="n">
        <v>1</v>
      </c>
      <c r="L3624" s="34">
        <f>IF($J3624=1,LN(B3625/B3624),"")</f>
        <v/>
      </c>
      <c r="M3624" s="34">
        <f>IF($K3624=1,INDEX(Mensal!$D$2:$D$245,MATCH($I3624,Mensal!$A$2:$A$245,0)),"")</f>
        <v/>
      </c>
      <c r="N3624" s="34">
        <f>IF($K3624=1,L3624-M3624,"")</f>
        <v/>
      </c>
      <c r="O3624" s="34" t="n">
        <v>7.469e-05</v>
      </c>
      <c r="P3624" s="34">
        <f>IF($J3624=1,LN(1+O3624),"")</f>
        <v/>
      </c>
      <c r="Q3624" s="34">
        <f>IF($J3624=1,LN(R3625/R3624),"")</f>
        <v/>
      </c>
      <c r="R3624" s="32" t="n">
        <v>5.1706</v>
      </c>
      <c r="S3624" s="35" t="n">
        <v>2.87</v>
      </c>
      <c r="T3624" s="18" t="n"/>
      <c r="U3624" s="18" t="n">
        <v>113750.22</v>
      </c>
      <c r="V3624" s="18" t="n"/>
      <c r="W3624" s="18" t="n"/>
      <c r="X3624" s="35" t="n">
        <v>2.87</v>
      </c>
      <c r="Y3624" s="35" t="n"/>
    </row>
    <row r="3625">
      <c r="A3625" s="25" t="n">
        <v>44172</v>
      </c>
      <c r="B3625" s="18" t="n">
        <v>113589.77</v>
      </c>
      <c r="C3625" s="31" t="n"/>
      <c r="D3625" s="32" t="n"/>
      <c r="E3625" s="33" t="n">
        <v>5.4466</v>
      </c>
      <c r="F3625" t="inlineStr">
        <is>
          <t>Up</t>
        </is>
      </c>
      <c r="G3625" t="inlineStr">
        <is>
          <t>Up</t>
        </is>
      </c>
      <c r="H3625" t="inlineStr">
        <is>
          <t>EU_JU</t>
        </is>
      </c>
      <c r="I3625" t="inlineStr">
        <is>
          <t>2020-12</t>
        </is>
      </c>
      <c r="J3625" t="n">
        <v>1</v>
      </c>
      <c r="K3625" t="n">
        <v>1</v>
      </c>
      <c r="L3625" s="34">
        <f>IF($J3625=1,LN(B3626/B3625),"")</f>
        <v/>
      </c>
      <c r="M3625" s="34">
        <f>IF($K3625=1,INDEX(Mensal!$D$2:$D$245,MATCH($I3625,Mensal!$A$2:$A$245,0)),"")</f>
        <v/>
      </c>
      <c r="N3625" s="34">
        <f>IF($K3625=1,L3625-M3625,"")</f>
        <v/>
      </c>
      <c r="O3625" s="34" t="n">
        <v>7.469e-05</v>
      </c>
      <c r="P3625" s="34">
        <f>IF($J3625=1,LN(1+O3625),"")</f>
        <v/>
      </c>
      <c r="Q3625" s="34">
        <f>IF($J3625=1,LN(R3626/R3625),"")</f>
        <v/>
      </c>
      <c r="R3625" s="32" t="n">
        <v>5.1018</v>
      </c>
      <c r="S3625" s="35" t="n">
        <v>2.87</v>
      </c>
      <c r="T3625" s="18" t="n"/>
      <c r="U3625" s="18" t="n">
        <v>113589.77</v>
      </c>
      <c r="V3625" s="18" t="n"/>
      <c r="W3625" s="18" t="n"/>
      <c r="X3625" s="35" t="n">
        <v>2.87</v>
      </c>
      <c r="Y3625" s="35" t="n"/>
    </row>
    <row r="3626">
      <c r="A3626" s="25" t="n">
        <v>44173</v>
      </c>
      <c r="B3626" s="18" t="n">
        <v>113793.06</v>
      </c>
      <c r="C3626" s="31" t="n"/>
      <c r="D3626" s="32" t="n"/>
      <c r="E3626" s="33" t="n">
        <v>5.4266</v>
      </c>
      <c r="F3626" t="inlineStr">
        <is>
          <t>Up</t>
        </is>
      </c>
      <c r="G3626" t="inlineStr">
        <is>
          <t>Up</t>
        </is>
      </c>
      <c r="H3626" t="inlineStr">
        <is>
          <t>EU_JU</t>
        </is>
      </c>
      <c r="I3626" t="inlineStr">
        <is>
          <t>2020-12</t>
        </is>
      </c>
      <c r="J3626" t="n">
        <v>1</v>
      </c>
      <c r="K3626" t="n">
        <v>1</v>
      </c>
      <c r="L3626" s="34">
        <f>IF($J3626=1,LN(B3627/B3626),"")</f>
        <v/>
      </c>
      <c r="M3626" s="34">
        <f>IF($K3626=1,INDEX(Mensal!$D$2:$D$245,MATCH($I3626,Mensal!$A$2:$A$245,0)),"")</f>
        <v/>
      </c>
      <c r="N3626" s="34">
        <f>IF($K3626=1,L3626-M3626,"")</f>
        <v/>
      </c>
      <c r="O3626" s="34" t="n">
        <v>7.469e-05</v>
      </c>
      <c r="P3626" s="34">
        <f>IF($J3626=1,LN(1+O3626),"")</f>
        <v/>
      </c>
      <c r="Q3626" s="34">
        <f>IF($J3626=1,LN(R3627/R3626),"")</f>
        <v/>
      </c>
      <c r="R3626" s="32" t="n">
        <v>5.092</v>
      </c>
      <c r="S3626" s="35" t="n">
        <v>2.94</v>
      </c>
      <c r="T3626" s="18" t="n"/>
      <c r="U3626" s="18" t="n">
        <v>113793.06</v>
      </c>
      <c r="V3626" s="18" t="n"/>
      <c r="W3626" s="18" t="n"/>
      <c r="X3626" s="35" t="n">
        <v>2.94</v>
      </c>
      <c r="Y3626" s="35" t="n"/>
    </row>
    <row r="3627">
      <c r="A3627" s="25" t="n">
        <v>44174</v>
      </c>
      <c r="B3627" s="18" t="n">
        <v>113001.16</v>
      </c>
      <c r="C3627" s="31" t="n"/>
      <c r="D3627" s="32" t="n"/>
      <c r="E3627" s="33" t="n">
        <v>5.4093</v>
      </c>
      <c r="F3627" t="inlineStr">
        <is>
          <t>Up</t>
        </is>
      </c>
      <c r="G3627" t="inlineStr">
        <is>
          <t>Up</t>
        </is>
      </c>
      <c r="H3627" t="inlineStr">
        <is>
          <t>EU_JU</t>
        </is>
      </c>
      <c r="I3627" t="inlineStr">
        <is>
          <t>2020-12</t>
        </is>
      </c>
      <c r="J3627" t="n">
        <v>1</v>
      </c>
      <c r="K3627" t="n">
        <v>1</v>
      </c>
      <c r="L3627" s="34">
        <f>IF($J3627=1,LN(B3628/B3627),"")</f>
        <v/>
      </c>
      <c r="M3627" s="34">
        <f>IF($K3627=1,INDEX(Mensal!$D$2:$D$245,MATCH($I3627,Mensal!$A$2:$A$245,0)),"")</f>
        <v/>
      </c>
      <c r="N3627" s="34">
        <f>IF($K3627=1,L3627-M3627,"")</f>
        <v/>
      </c>
      <c r="O3627" s="34" t="n">
        <v>7.469e-05</v>
      </c>
      <c r="P3627" s="34">
        <f>IF($J3627=1,LN(1+O3627),"")</f>
        <v/>
      </c>
      <c r="Q3627" s="34">
        <f>IF($J3627=1,LN(R3628/R3627),"")</f>
        <v/>
      </c>
      <c r="R3627" s="32" t="n">
        <v>5.1109</v>
      </c>
      <c r="S3627" s="35" t="n">
        <v>2.92</v>
      </c>
      <c r="T3627" s="18" t="n"/>
      <c r="U3627" s="18" t="n">
        <v>113001.16</v>
      </c>
      <c r="V3627" s="18" t="n"/>
      <c r="W3627" s="18" t="n"/>
      <c r="X3627" s="35" t="n">
        <v>2.92</v>
      </c>
      <c r="Y3627" s="35" t="n"/>
    </row>
    <row r="3628">
      <c r="A3628" s="25" t="n">
        <v>44175</v>
      </c>
      <c r="B3628" s="18" t="n">
        <v>115128.63</v>
      </c>
      <c r="C3628" s="31" t="n"/>
      <c r="D3628" s="32" t="n"/>
      <c r="E3628" s="33" t="n">
        <v>5.39</v>
      </c>
      <c r="F3628" t="inlineStr">
        <is>
          <t>Up</t>
        </is>
      </c>
      <c r="G3628" t="inlineStr">
        <is>
          <t>Up</t>
        </is>
      </c>
      <c r="H3628" t="inlineStr">
        <is>
          <t>EU_JU</t>
        </is>
      </c>
      <c r="I3628" t="inlineStr">
        <is>
          <t>2020-12</t>
        </is>
      </c>
      <c r="J3628" t="n">
        <v>1</v>
      </c>
      <c r="K3628" t="n">
        <v>1</v>
      </c>
      <c r="L3628" s="34">
        <f>IF($J3628=1,LN(B3629/B3628),"")</f>
        <v/>
      </c>
      <c r="M3628" s="34">
        <f>IF($K3628=1,INDEX(Mensal!$D$2:$D$245,MATCH($I3628,Mensal!$A$2:$A$245,0)),"")</f>
        <v/>
      </c>
      <c r="N3628" s="34">
        <f>IF($K3628=1,L3628-M3628,"")</f>
        <v/>
      </c>
      <c r="O3628" s="34" t="n">
        <v>7.469e-05</v>
      </c>
      <c r="P3628" s="34">
        <f>IF($J3628=1,LN(1+O3628),"")</f>
        <v/>
      </c>
      <c r="Q3628" s="34">
        <f>IF($J3628=1,LN(R3629/R3628),"")</f>
        <v/>
      </c>
      <c r="R3628" s="32" t="n">
        <v>5.0852</v>
      </c>
      <c r="S3628" s="35" t="n">
        <v>2.96</v>
      </c>
      <c r="T3628" s="18" t="n"/>
      <c r="U3628" s="18" t="n">
        <v>115128.63</v>
      </c>
      <c r="V3628" s="18" t="n"/>
      <c r="W3628" s="18" t="n"/>
      <c r="X3628" s="35" t="n">
        <v>2.96</v>
      </c>
      <c r="Y3628" s="35" t="n"/>
    </row>
    <row r="3629">
      <c r="A3629" s="25" t="n">
        <v>44176</v>
      </c>
      <c r="B3629" s="18" t="n">
        <v>115128</v>
      </c>
      <c r="C3629" s="31" t="n"/>
      <c r="D3629" s="32" t="n"/>
      <c r="E3629" s="33" t="n">
        <v>5.3744</v>
      </c>
      <c r="F3629" t="inlineStr">
        <is>
          <t>Up</t>
        </is>
      </c>
      <c r="G3629" t="inlineStr">
        <is>
          <t>Up</t>
        </is>
      </c>
      <c r="H3629" t="inlineStr">
        <is>
          <t>EU_JU</t>
        </is>
      </c>
      <c r="I3629" t="inlineStr">
        <is>
          <t>2020-12</t>
        </is>
      </c>
      <c r="J3629" t="n">
        <v>1</v>
      </c>
      <c r="K3629" t="n">
        <v>1</v>
      </c>
      <c r="L3629" s="34">
        <f>IF($J3629=1,LN(B3630/B3629),"")</f>
        <v/>
      </c>
      <c r="M3629" s="34">
        <f>IF($K3629=1,INDEX(Mensal!$D$2:$D$245,MATCH($I3629,Mensal!$A$2:$A$245,0)),"")</f>
        <v/>
      </c>
      <c r="N3629" s="34">
        <f>IF($K3629=1,L3629-M3629,"")</f>
        <v/>
      </c>
      <c r="O3629" s="34" t="n">
        <v>7.469e-05</v>
      </c>
      <c r="P3629" s="34">
        <f>IF($J3629=1,LN(1+O3629),"")</f>
        <v/>
      </c>
      <c r="Q3629" s="34">
        <f>IF($J3629=1,LN(R3630/R3629),"")</f>
        <v/>
      </c>
      <c r="R3629" s="32" t="n">
        <v>5.0691</v>
      </c>
      <c r="S3629" s="35" t="n">
        <v>2.91</v>
      </c>
      <c r="T3629" s="18" t="n"/>
      <c r="U3629" s="18" t="n">
        <v>115128</v>
      </c>
      <c r="V3629" s="18" t="n"/>
      <c r="W3629" s="18" t="n"/>
      <c r="X3629" s="35" t="n">
        <v>2.91</v>
      </c>
      <c r="Y3629" s="35" t="n"/>
    </row>
    <row r="3630">
      <c r="A3630" s="25" t="n">
        <v>44179</v>
      </c>
      <c r="B3630" s="18" t="n">
        <v>114611.12</v>
      </c>
      <c r="C3630" s="31" t="n"/>
      <c r="D3630" s="32" t="n"/>
      <c r="E3630" s="33" t="n">
        <v>5.3752</v>
      </c>
      <c r="F3630" t="inlineStr">
        <is>
          <t>Up</t>
        </is>
      </c>
      <c r="G3630" t="inlineStr">
        <is>
          <t>Up</t>
        </is>
      </c>
      <c r="H3630" t="inlineStr">
        <is>
          <t>EU_JU</t>
        </is>
      </c>
      <c r="I3630" t="inlineStr">
        <is>
          <t>2020-12</t>
        </is>
      </c>
      <c r="J3630" t="n">
        <v>1</v>
      </c>
      <c r="K3630" t="n">
        <v>1</v>
      </c>
      <c r="L3630" s="34">
        <f>IF($J3630=1,LN(B3631/B3630),"")</f>
        <v/>
      </c>
      <c r="M3630" s="34">
        <f>IF($K3630=1,INDEX(Mensal!$D$2:$D$245,MATCH($I3630,Mensal!$A$2:$A$245,0)),"")</f>
        <v/>
      </c>
      <c r="N3630" s="34">
        <f>IF($K3630=1,L3630-M3630,"")</f>
        <v/>
      </c>
      <c r="O3630" s="34" t="n">
        <v>7.469e-05</v>
      </c>
      <c r="P3630" s="34">
        <f>IF($J3630=1,LN(1+O3630),"")</f>
        <v/>
      </c>
      <c r="Q3630" s="34">
        <f>IF($J3630=1,LN(R3631/R3630),"")</f>
        <v/>
      </c>
      <c r="R3630" s="32" t="n">
        <v>5.0578</v>
      </c>
      <c r="S3630" s="35" t="n">
        <v>2.94</v>
      </c>
      <c r="T3630" s="18" t="n"/>
      <c r="U3630" s="18" t="n">
        <v>114611.12</v>
      </c>
      <c r="V3630" s="18" t="n"/>
      <c r="W3630" s="18" t="n"/>
      <c r="X3630" s="35" t="n">
        <v>2.94</v>
      </c>
      <c r="Y3630" s="35" t="n"/>
    </row>
    <row r="3631">
      <c r="A3631" s="25" t="n">
        <v>44180</v>
      </c>
      <c r="B3631" s="18" t="n">
        <v>116148.63</v>
      </c>
      <c r="C3631" s="31" t="n"/>
      <c r="D3631" s="32" t="n"/>
      <c r="E3631" s="33" t="n">
        <v>5.3617</v>
      </c>
      <c r="F3631" t="inlineStr">
        <is>
          <t>Up</t>
        </is>
      </c>
      <c r="G3631" t="inlineStr">
        <is>
          <t>Up</t>
        </is>
      </c>
      <c r="H3631" t="inlineStr">
        <is>
          <t>EU_JU</t>
        </is>
      </c>
      <c r="I3631" t="inlineStr">
        <is>
          <t>2020-12</t>
        </is>
      </c>
      <c r="J3631" t="n">
        <v>1</v>
      </c>
      <c r="K3631" t="n">
        <v>1</v>
      </c>
      <c r="L3631" s="34">
        <f>IF($J3631=1,LN(B3632/B3631),"")</f>
        <v/>
      </c>
      <c r="M3631" s="34">
        <f>IF($K3631=1,INDEX(Mensal!$D$2:$D$245,MATCH($I3631,Mensal!$A$2:$A$245,0)),"")</f>
        <v/>
      </c>
      <c r="N3631" s="34">
        <f>IF($K3631=1,L3631-M3631,"")</f>
        <v/>
      </c>
      <c r="O3631" s="34" t="n">
        <v>7.469e-05</v>
      </c>
      <c r="P3631" s="34">
        <f>IF($J3631=1,LN(1+O3631),"")</f>
        <v/>
      </c>
      <c r="Q3631" s="34">
        <f>IF($J3631=1,LN(R3632/R3631),"")</f>
        <v/>
      </c>
      <c r="R3631" s="32" t="n">
        <v>5.0968</v>
      </c>
      <c r="S3631" s="35" t="n">
        <v>2.86</v>
      </c>
      <c r="T3631" s="18" t="n"/>
      <c r="U3631" s="18" t="n">
        <v>116148.63</v>
      </c>
      <c r="V3631" s="18" t="n"/>
      <c r="W3631" s="18" t="n"/>
      <c r="X3631" s="35" t="n">
        <v>2.86</v>
      </c>
      <c r="Y3631" s="35" t="n"/>
    </row>
    <row r="3632">
      <c r="A3632" s="25" t="n">
        <v>44181</v>
      </c>
      <c r="B3632" s="18" t="n">
        <v>117857.35</v>
      </c>
      <c r="C3632" s="31" t="n"/>
      <c r="D3632" s="32" t="n"/>
      <c r="E3632" s="33" t="n">
        <v>5.3443</v>
      </c>
      <c r="F3632" t="inlineStr">
        <is>
          <t>Up</t>
        </is>
      </c>
      <c r="G3632" t="inlineStr">
        <is>
          <t>Up</t>
        </is>
      </c>
      <c r="H3632" t="inlineStr">
        <is>
          <t>EU_JU</t>
        </is>
      </c>
      <c r="I3632" t="inlineStr">
        <is>
          <t>2020-12</t>
        </is>
      </c>
      <c r="J3632" t="n">
        <v>1</v>
      </c>
      <c r="K3632" t="n">
        <v>1</v>
      </c>
      <c r="L3632" s="34">
        <f>IF($J3632=1,LN(B3633/B3632),"")</f>
        <v/>
      </c>
      <c r="M3632" s="34">
        <f>IF($K3632=1,INDEX(Mensal!$D$2:$D$245,MATCH($I3632,Mensal!$A$2:$A$245,0)),"")</f>
        <v/>
      </c>
      <c r="N3632" s="34">
        <f>IF($K3632=1,L3632-M3632,"")</f>
        <v/>
      </c>
      <c r="O3632" s="34" t="n">
        <v>7.469e-05</v>
      </c>
      <c r="P3632" s="34">
        <f>IF($J3632=1,LN(1+O3632),"")</f>
        <v/>
      </c>
      <c r="Q3632" s="34">
        <f>IF($J3632=1,LN(R3633/R3632),"")</f>
        <v/>
      </c>
      <c r="R3632" s="32" t="n">
        <v>5.1057</v>
      </c>
      <c r="S3632" s="35" t="n">
        <v>2.9</v>
      </c>
      <c r="T3632" s="18" t="n"/>
      <c r="U3632" s="18" t="n">
        <v>117857.35</v>
      </c>
      <c r="V3632" s="18" t="n"/>
      <c r="W3632" s="18" t="n"/>
      <c r="X3632" s="35" t="n">
        <v>2.9</v>
      </c>
      <c r="Y3632" s="35" t="n"/>
    </row>
    <row r="3633">
      <c r="A3633" s="25" t="n">
        <v>44182</v>
      </c>
      <c r="B3633" s="18" t="n">
        <v>118400.57</v>
      </c>
      <c r="C3633" s="31" t="n"/>
      <c r="D3633" s="32" t="n"/>
      <c r="E3633" s="33" t="n">
        <v>5.3409</v>
      </c>
      <c r="F3633" t="inlineStr">
        <is>
          <t>Up</t>
        </is>
      </c>
      <c r="G3633" t="inlineStr">
        <is>
          <t>Up</t>
        </is>
      </c>
      <c r="H3633" t="inlineStr">
        <is>
          <t>EU_JU</t>
        </is>
      </c>
      <c r="I3633" t="inlineStr">
        <is>
          <t>2020-12</t>
        </is>
      </c>
      <c r="J3633" t="n">
        <v>1</v>
      </c>
      <c r="K3633" t="n">
        <v>1</v>
      </c>
      <c r="L3633" s="34">
        <f>IF($J3633=1,LN(B3634/B3633),"")</f>
        <v/>
      </c>
      <c r="M3633" s="34">
        <f>IF($K3633=1,INDEX(Mensal!$D$2:$D$245,MATCH($I3633,Mensal!$A$2:$A$245,0)),"")</f>
        <v/>
      </c>
      <c r="N3633" s="34">
        <f>IF($K3633=1,L3633-M3633,"")</f>
        <v/>
      </c>
      <c r="O3633" s="34" t="n">
        <v>7.469e-05</v>
      </c>
      <c r="P3633" s="34">
        <f>IF($J3633=1,LN(1+O3633),"")</f>
        <v/>
      </c>
      <c r="Q3633" s="34">
        <f>IF($J3633=1,LN(R3634/R3633),"")</f>
        <v/>
      </c>
      <c r="R3633" s="32" t="n">
        <v>5.0612</v>
      </c>
      <c r="S3633" s="35" t="n">
        <v>2.88</v>
      </c>
      <c r="T3633" s="18" t="n"/>
      <c r="U3633" s="18" t="n">
        <v>118400.57</v>
      </c>
      <c r="V3633" s="18" t="n"/>
      <c r="W3633" s="18" t="n"/>
      <c r="X3633" s="35" t="n">
        <v>2.88</v>
      </c>
      <c r="Y3633" s="35" t="n"/>
    </row>
    <row r="3634">
      <c r="A3634" s="25" t="n">
        <v>44183</v>
      </c>
      <c r="B3634" s="18" t="n">
        <v>118023.67</v>
      </c>
      <c r="C3634" s="31" t="n"/>
      <c r="D3634" s="32" t="n"/>
      <c r="E3634" s="33" t="n">
        <v>5.3233</v>
      </c>
      <c r="F3634" t="inlineStr">
        <is>
          <t>Up</t>
        </is>
      </c>
      <c r="G3634" t="inlineStr">
        <is>
          <t>Up</t>
        </is>
      </c>
      <c r="H3634" t="inlineStr">
        <is>
          <t>EU_JU</t>
        </is>
      </c>
      <c r="I3634" t="inlineStr">
        <is>
          <t>2020-12</t>
        </is>
      </c>
      <c r="J3634" t="n">
        <v>1</v>
      </c>
      <c r="K3634" t="n">
        <v>1</v>
      </c>
      <c r="L3634" s="34">
        <f>IF($J3634=1,LN(B3635/B3634),"")</f>
        <v/>
      </c>
      <c r="M3634" s="34">
        <f>IF($K3634=1,INDEX(Mensal!$D$2:$D$245,MATCH($I3634,Mensal!$A$2:$A$245,0)),"")</f>
        <v/>
      </c>
      <c r="N3634" s="34">
        <f>IF($K3634=1,L3634-M3634,"")</f>
        <v/>
      </c>
      <c r="O3634" s="34" t="n">
        <v>7.469e-05</v>
      </c>
      <c r="P3634" s="34">
        <f>IF($J3634=1,LN(1+O3634),"")</f>
        <v/>
      </c>
      <c r="Q3634" s="34">
        <f>IF($J3634=1,LN(R3635/R3634),"")</f>
        <v/>
      </c>
      <c r="R3634" s="32" t="n">
        <v>5.0986</v>
      </c>
      <c r="S3634" s="35" t="n">
        <v>2.88</v>
      </c>
      <c r="T3634" s="18" t="n"/>
      <c r="U3634" s="18" t="n">
        <v>118023.67</v>
      </c>
      <c r="V3634" s="18" t="n"/>
      <c r="W3634" s="18" t="n"/>
      <c r="X3634" s="35" t="n">
        <v>2.88</v>
      </c>
      <c r="Y3634" s="35" t="n"/>
    </row>
    <row r="3635">
      <c r="A3635" s="25" t="n">
        <v>44186</v>
      </c>
      <c r="B3635" s="18" t="n">
        <v>115822.57</v>
      </c>
      <c r="C3635" s="31" t="n"/>
      <c r="D3635" s="32" t="n"/>
      <c r="E3635" s="33" t="n">
        <v>5.3125</v>
      </c>
      <c r="F3635" t="inlineStr">
        <is>
          <t>Up</t>
        </is>
      </c>
      <c r="G3635" t="inlineStr">
        <is>
          <t>Up</t>
        </is>
      </c>
      <c r="H3635" t="inlineStr">
        <is>
          <t>EU_JU</t>
        </is>
      </c>
      <c r="I3635" t="inlineStr">
        <is>
          <t>2020-12</t>
        </is>
      </c>
      <c r="J3635" t="n">
        <v>1</v>
      </c>
      <c r="K3635" t="n">
        <v>1</v>
      </c>
      <c r="L3635" s="34">
        <f>IF($J3635=1,LN(B3636/B3635),"")</f>
        <v/>
      </c>
      <c r="M3635" s="34">
        <f>IF($K3635=1,INDEX(Mensal!$D$2:$D$245,MATCH($I3635,Mensal!$A$2:$A$245,0)),"")</f>
        <v/>
      </c>
      <c r="N3635" s="34">
        <f>IF($K3635=1,L3635-M3635,"")</f>
        <v/>
      </c>
      <c r="O3635" s="34" t="n">
        <v>7.469e-05</v>
      </c>
      <c r="P3635" s="34">
        <f>IF($J3635=1,LN(1+O3635),"")</f>
        <v/>
      </c>
      <c r="Q3635" s="34">
        <f>IF($J3635=1,LN(R3636/R3635),"")</f>
        <v/>
      </c>
      <c r="R3635" s="32" t="n">
        <v>5.1572</v>
      </c>
      <c r="S3635" s="35" t="n">
        <v>2.9</v>
      </c>
      <c r="T3635" s="18" t="n"/>
      <c r="U3635" s="18" t="n">
        <v>115822.57</v>
      </c>
      <c r="V3635" s="18" t="n"/>
      <c r="W3635" s="18" t="n"/>
      <c r="X3635" s="35" t="n">
        <v>2.9</v>
      </c>
      <c r="Y3635" s="35" t="n"/>
    </row>
    <row r="3636">
      <c r="A3636" s="25" t="n">
        <v>44187</v>
      </c>
      <c r="B3636" s="18" t="n">
        <v>116636.18</v>
      </c>
      <c r="C3636" s="31" t="n"/>
      <c r="D3636" s="32" t="n"/>
      <c r="E3636" s="33" t="n">
        <v>5.2905</v>
      </c>
      <c r="F3636" t="inlineStr">
        <is>
          <t>Up</t>
        </is>
      </c>
      <c r="G3636" t="inlineStr">
        <is>
          <t>Up</t>
        </is>
      </c>
      <c r="H3636" t="inlineStr">
        <is>
          <t>EU_JU</t>
        </is>
      </c>
      <c r="I3636" t="inlineStr">
        <is>
          <t>2020-12</t>
        </is>
      </c>
      <c r="J3636" t="n">
        <v>1</v>
      </c>
      <c r="K3636" t="n">
        <v>1</v>
      </c>
      <c r="L3636" s="34">
        <f>IF($J3636=1,LN(B3637/B3636),"")</f>
        <v/>
      </c>
      <c r="M3636" s="34">
        <f>IF($K3636=1,INDEX(Mensal!$D$2:$D$245,MATCH($I3636,Mensal!$A$2:$A$245,0)),"")</f>
        <v/>
      </c>
      <c r="N3636" s="34">
        <f>IF($K3636=1,L3636-M3636,"")</f>
        <v/>
      </c>
      <c r="O3636" s="34" t="n">
        <v>7.469e-05</v>
      </c>
      <c r="P3636" s="34">
        <f>IF($J3636=1,LN(1+O3636),"")</f>
        <v/>
      </c>
      <c r="Q3636" s="34">
        <f>IF($J3636=1,LN(R3637/R3636),"")</f>
        <v/>
      </c>
      <c r="R3636" s="32" t="n">
        <v>5.1473</v>
      </c>
      <c r="S3636" s="35" t="n">
        <v>2.84</v>
      </c>
      <c r="T3636" s="18" t="n"/>
      <c r="U3636" s="18" t="n">
        <v>116636.18</v>
      </c>
      <c r="V3636" s="18" t="n"/>
      <c r="W3636" s="18" t="n"/>
      <c r="X3636" s="35" t="n">
        <v>2.84</v>
      </c>
      <c r="Y3636" s="35" t="n"/>
    </row>
    <row r="3637">
      <c r="A3637" s="25" t="n">
        <v>44188</v>
      </c>
      <c r="B3637" s="18" t="n">
        <v>117806.85</v>
      </c>
      <c r="C3637" s="31" t="n"/>
      <c r="D3637" s="32" t="n"/>
      <c r="E3637" s="33" t="n">
        <v>5.2845</v>
      </c>
      <c r="F3637" t="inlineStr">
        <is>
          <t>Up</t>
        </is>
      </c>
      <c r="G3637" t="inlineStr">
        <is>
          <t>Up</t>
        </is>
      </c>
      <c r="H3637" t="inlineStr">
        <is>
          <t>EU_JU</t>
        </is>
      </c>
      <c r="I3637" t="inlineStr">
        <is>
          <t>2020-12</t>
        </is>
      </c>
      <c r="J3637" t="n">
        <v>1</v>
      </c>
      <c r="K3637" t="n">
        <v>1</v>
      </c>
      <c r="L3637" s="34">
        <f>IF($J3637=1,LN(B3638/B3637),"")</f>
        <v/>
      </c>
      <c r="M3637" s="34">
        <f>IF($K3637=1,INDEX(Mensal!$D$2:$D$245,MATCH($I3637,Mensal!$A$2:$A$245,0)),"")</f>
        <v/>
      </c>
      <c r="N3637" s="34">
        <f>IF($K3637=1,L3637-M3637,"")</f>
        <v/>
      </c>
      <c r="O3637" s="34" t="n">
        <v>7.469e-05</v>
      </c>
      <c r="P3637" s="34">
        <f>IF($J3637=1,LN(1+O3637),"")</f>
        <v/>
      </c>
      <c r="Q3637" s="34">
        <f>IF($J3637=1,LN(R3638/R3637),"")</f>
        <v/>
      </c>
      <c r="R3637" s="32" t="n">
        <v>5.174</v>
      </c>
      <c r="S3637" s="35" t="n">
        <v>2.81</v>
      </c>
      <c r="T3637" s="18" t="n"/>
      <c r="U3637" s="18" t="n">
        <v>117806.85</v>
      </c>
      <c r="V3637" s="18" t="n"/>
      <c r="W3637" s="18" t="n"/>
      <c r="X3637" s="35" t="n">
        <v>2.81</v>
      </c>
      <c r="Y3637" s="35" t="n"/>
    </row>
    <row r="3638">
      <c r="A3638" s="25" t="n">
        <v>44193</v>
      </c>
      <c r="B3638" s="18" t="n">
        <v>119123.7</v>
      </c>
      <c r="C3638" s="31" t="n"/>
      <c r="D3638" s="32" t="n"/>
      <c r="E3638" s="33" t="n">
        <v>5.2628</v>
      </c>
      <c r="F3638" t="inlineStr">
        <is>
          <t>Up</t>
        </is>
      </c>
      <c r="G3638" t="inlineStr">
        <is>
          <t>Up</t>
        </is>
      </c>
      <c r="H3638" t="inlineStr">
        <is>
          <t>EU_JU</t>
        </is>
      </c>
      <c r="I3638" t="inlineStr">
        <is>
          <t>2020-12</t>
        </is>
      </c>
      <c r="J3638" t="n">
        <v>1</v>
      </c>
      <c r="K3638" t="n">
        <v>1</v>
      </c>
      <c r="L3638" s="34">
        <f>IF($J3638=1,LN(B3639/B3638),"")</f>
        <v/>
      </c>
      <c r="M3638" s="34">
        <f>IF($K3638=1,INDEX(Mensal!$D$2:$D$245,MATCH($I3638,Mensal!$A$2:$A$245,0)),"")</f>
        <v/>
      </c>
      <c r="N3638" s="34">
        <f>IF($K3638=1,L3638-M3638,"")</f>
        <v/>
      </c>
      <c r="O3638" s="34" t="n">
        <v>7.469e-05</v>
      </c>
      <c r="P3638" s="34">
        <f>IF($J3638=1,LN(1+O3638),"")</f>
        <v/>
      </c>
      <c r="Q3638" s="34">
        <f>IF($J3638=1,LN(R3639/R3638),"")</f>
        <v/>
      </c>
      <c r="R3638" s="32" t="n">
        <v>5.239</v>
      </c>
      <c r="S3638" s="35" t="n">
        <v>2.88</v>
      </c>
      <c r="T3638" s="18" t="n"/>
      <c r="U3638" s="18" t="n">
        <v>119123.7</v>
      </c>
      <c r="V3638" s="18" t="n"/>
      <c r="W3638" s="18" t="n"/>
      <c r="X3638" s="35" t="n">
        <v>2.88</v>
      </c>
      <c r="Y3638" s="35" t="n"/>
    </row>
    <row r="3639">
      <c r="A3639" s="25" t="n">
        <v>44194</v>
      </c>
      <c r="B3639" s="18" t="n">
        <v>119409.15</v>
      </c>
      <c r="C3639" s="31" t="n"/>
      <c r="D3639" s="32" t="n"/>
      <c r="E3639" s="33" t="n">
        <v>5.2374</v>
      </c>
      <c r="F3639" t="inlineStr">
        <is>
          <t>Up</t>
        </is>
      </c>
      <c r="G3639" t="inlineStr">
        <is>
          <t>Up</t>
        </is>
      </c>
      <c r="H3639" t="inlineStr">
        <is>
          <t>EU_JU</t>
        </is>
      </c>
      <c r="I3639" t="inlineStr">
        <is>
          <t>2020-12</t>
        </is>
      </c>
      <c r="J3639" t="n">
        <v>1</v>
      </c>
      <c r="K3639" t="n">
        <v>1</v>
      </c>
      <c r="L3639" s="34">
        <f>IF($J3639=1,LN(B3640/B3639),"")</f>
        <v/>
      </c>
      <c r="M3639" s="34">
        <f>IF($K3639=1,INDEX(Mensal!$D$2:$D$245,MATCH($I3639,Mensal!$A$2:$A$245,0)),"")</f>
        <v/>
      </c>
      <c r="N3639" s="34">
        <f>IF($K3639=1,L3639-M3639,"")</f>
        <v/>
      </c>
      <c r="O3639" s="34" t="n">
        <v>7.469e-05</v>
      </c>
      <c r="P3639" s="34">
        <f>IF($J3639=1,LN(1+O3639),"")</f>
        <v/>
      </c>
      <c r="Q3639" s="34">
        <f>IF($J3639=1,LN(R3640/R3639),"")</f>
        <v/>
      </c>
      <c r="R3639" s="32" t="n">
        <v>5.1942</v>
      </c>
      <c r="S3639" s="35" t="n">
        <v>2.85</v>
      </c>
      <c r="T3639" s="18" t="n"/>
      <c r="U3639" s="18" t="n">
        <v>119409.15</v>
      </c>
      <c r="V3639" s="18" t="n"/>
      <c r="W3639" s="18" t="n"/>
      <c r="X3639" s="35" t="n">
        <v>2.85</v>
      </c>
      <c r="Y3639" s="35" t="n"/>
    </row>
    <row r="3640">
      <c r="A3640" s="25" t="n">
        <v>44195</v>
      </c>
      <c r="B3640" s="18" t="n">
        <v>119017.24</v>
      </c>
      <c r="C3640" s="31" t="n"/>
      <c r="D3640" s="32" t="n"/>
      <c r="E3640" s="33" t="n">
        <v>5.2153</v>
      </c>
      <c r="F3640" t="inlineStr">
        <is>
          <t>Up</t>
        </is>
      </c>
      <c r="G3640" t="inlineStr">
        <is>
          <t>Up</t>
        </is>
      </c>
      <c r="H3640" t="inlineStr">
        <is>
          <t>EU_JU</t>
        </is>
      </c>
      <c r="I3640" t="inlineStr">
        <is>
          <t>2020-12</t>
        </is>
      </c>
      <c r="J3640" t="n">
        <v>1</v>
      </c>
      <c r="K3640" t="n">
        <v>1</v>
      </c>
      <c r="L3640" s="34">
        <f>IF($J3640=1,LN(B3641/B3640),"")</f>
        <v/>
      </c>
      <c r="M3640" s="34">
        <f>IF($K3640=1,INDEX(Mensal!$D$2:$D$245,MATCH($I3640,Mensal!$A$2:$A$245,0)),"")</f>
        <v/>
      </c>
      <c r="N3640" s="34">
        <f>IF($K3640=1,L3640-M3640,"")</f>
        <v/>
      </c>
      <c r="O3640" s="34" t="n">
        <v>7.469e-05</v>
      </c>
      <c r="P3640" s="34">
        <f>IF($J3640=1,LN(1+O3640),"")</f>
        <v/>
      </c>
      <c r="Q3640" s="34">
        <f>IF($J3640=1,LN(R3641/R3640),"")</f>
        <v/>
      </c>
      <c r="R3640" s="32" t="n">
        <v>5.1967</v>
      </c>
      <c r="S3640" s="35" t="n">
        <v>2.83</v>
      </c>
      <c r="T3640" s="18" t="n"/>
      <c r="U3640" s="18" t="n">
        <v>119017.24</v>
      </c>
      <c r="V3640" s="18" t="n"/>
      <c r="W3640" s="18" t="n"/>
      <c r="X3640" s="35" t="n">
        <v>2.83</v>
      </c>
      <c r="Y3640" s="35" t="n"/>
    </row>
    <row r="3641">
      <c r="A3641" s="25" t="n">
        <v>44200</v>
      </c>
      <c r="B3641" s="18" t="n">
        <v>118854.71</v>
      </c>
      <c r="C3641" s="31" t="n"/>
      <c r="D3641" s="32" t="n"/>
      <c r="E3641" s="33" t="n">
        <v>5.1459</v>
      </c>
      <c r="F3641" t="inlineStr">
        <is>
          <t>Up</t>
        </is>
      </c>
      <c r="G3641" t="inlineStr">
        <is>
          <t>Up</t>
        </is>
      </c>
      <c r="H3641" t="inlineStr">
        <is>
          <t>EU_JU</t>
        </is>
      </c>
      <c r="I3641" t="inlineStr">
        <is>
          <t>2021-01</t>
        </is>
      </c>
      <c r="J3641" t="n">
        <v>1</v>
      </c>
      <c r="K3641" t="n">
        <v>1</v>
      </c>
      <c r="L3641" s="34">
        <f>IF($J3641=1,LN(B3642/B3641),"")</f>
        <v/>
      </c>
      <c r="M3641" s="34">
        <f>IF($K3641=1,INDEX(Mensal!$D$2:$D$245,MATCH($I3641,Mensal!$A$2:$A$245,0)),"")</f>
        <v/>
      </c>
      <c r="N3641" s="34">
        <f>IF($K3641=1,L3641-M3641,"")</f>
        <v/>
      </c>
      <c r="O3641" s="34" t="n">
        <v>7.469e-05</v>
      </c>
      <c r="P3641" s="34">
        <f>IF($J3641=1,LN(1+O3641),"")</f>
        <v/>
      </c>
      <c r="Q3641" s="34">
        <f>IF($J3641=1,LN(R3642/R3641),"")</f>
        <v/>
      </c>
      <c r="R3641" s="32" t="n">
        <v>5.1626</v>
      </c>
      <c r="S3641" s="35" t="n">
        <v>2.83</v>
      </c>
      <c r="T3641" s="18" t="n"/>
      <c r="U3641" s="18" t="n">
        <v>118854.71</v>
      </c>
      <c r="V3641" s="18" t="n"/>
      <c r="W3641" s="18" t="n"/>
      <c r="X3641" s="35" t="n">
        <v>2.83</v>
      </c>
      <c r="Y3641" s="35" t="n"/>
    </row>
    <row r="3642">
      <c r="A3642" s="25" t="n">
        <v>44201</v>
      </c>
      <c r="B3642" s="18" t="n">
        <v>119376.21</v>
      </c>
      <c r="C3642" s="31" t="n"/>
      <c r="D3642" s="32" t="n"/>
      <c r="E3642" s="33" t="n">
        <v>5.0796</v>
      </c>
      <c r="F3642" t="inlineStr">
        <is>
          <t>Up</t>
        </is>
      </c>
      <c r="G3642" t="inlineStr">
        <is>
          <t>Up</t>
        </is>
      </c>
      <c r="H3642" t="inlineStr">
        <is>
          <t>EU_JU</t>
        </is>
      </c>
      <c r="I3642" t="inlineStr">
        <is>
          <t>2021-01</t>
        </is>
      </c>
      <c r="J3642" t="n">
        <v>1</v>
      </c>
      <c r="K3642" t="n">
        <v>1</v>
      </c>
      <c r="L3642" s="34">
        <f>IF($J3642=1,LN(B3643/B3642),"")</f>
        <v/>
      </c>
      <c r="M3642" s="34">
        <f>IF($K3642=1,INDEX(Mensal!$D$2:$D$245,MATCH($I3642,Mensal!$A$2:$A$245,0)),"")</f>
        <v/>
      </c>
      <c r="N3642" s="34">
        <f>IF($K3642=1,L3642-M3642,"")</f>
        <v/>
      </c>
      <c r="O3642" s="34" t="n">
        <v>7.469e-05</v>
      </c>
      <c r="P3642" s="34">
        <f>IF($J3642=1,LN(1+O3642),"")</f>
        <v/>
      </c>
      <c r="Q3642" s="34">
        <f>IF($J3642=1,LN(R3643/R3642),"")</f>
        <v/>
      </c>
      <c r="R3642" s="32" t="n">
        <v>5.3269</v>
      </c>
      <c r="S3642" s="35" t="n">
        <v>2.89</v>
      </c>
      <c r="T3642" s="18" t="n"/>
      <c r="U3642" s="18" t="n">
        <v>119376.21</v>
      </c>
      <c r="V3642" s="18" t="n"/>
      <c r="W3642" s="18" t="n"/>
      <c r="X3642" s="35" t="n">
        <v>2.89</v>
      </c>
      <c r="Y3642" s="35" t="n"/>
    </row>
    <row r="3643">
      <c r="A3643" s="25" t="n">
        <v>44202</v>
      </c>
      <c r="B3643" s="18" t="n">
        <v>119100.08</v>
      </c>
      <c r="C3643" s="31" t="n"/>
      <c r="D3643" s="32" t="n"/>
      <c r="E3643" s="33" t="n">
        <v>5.0162</v>
      </c>
      <c r="F3643" t="inlineStr">
        <is>
          <t>Up</t>
        </is>
      </c>
      <c r="G3643" t="inlineStr">
        <is>
          <t>Up</t>
        </is>
      </c>
      <c r="H3643" t="inlineStr">
        <is>
          <t>EU_JU</t>
        </is>
      </c>
      <c r="I3643" t="inlineStr">
        <is>
          <t>2021-01</t>
        </is>
      </c>
      <c r="J3643" t="n">
        <v>1</v>
      </c>
      <c r="K3643" t="n">
        <v>1</v>
      </c>
      <c r="L3643" s="34">
        <f>IF($J3643=1,LN(B3644/B3643),"")</f>
        <v/>
      </c>
      <c r="M3643" s="34">
        <f>IF($K3643=1,INDEX(Mensal!$D$2:$D$245,MATCH($I3643,Mensal!$A$2:$A$245,0)),"")</f>
        <v/>
      </c>
      <c r="N3643" s="34">
        <f>IF($K3643=1,L3643-M3643,"")</f>
        <v/>
      </c>
      <c r="O3643" s="34" t="n">
        <v>7.469e-05</v>
      </c>
      <c r="P3643" s="34">
        <f>IF($J3643=1,LN(1+O3643),"")</f>
        <v/>
      </c>
      <c r="Q3643" s="34">
        <f>IF($J3643=1,LN(R3644/R3643),"")</f>
        <v/>
      </c>
      <c r="R3643" s="32" t="n">
        <v>5.3182</v>
      </c>
      <c r="S3643" s="35" t="n">
        <v>2.93</v>
      </c>
      <c r="T3643" s="18" t="n"/>
      <c r="U3643" s="18" t="n">
        <v>119100.08</v>
      </c>
      <c r="V3643" s="18" t="n"/>
      <c r="W3643" s="18" t="n"/>
      <c r="X3643" s="35" t="n">
        <v>2.93</v>
      </c>
      <c r="Y3643" s="35" t="n"/>
    </row>
    <row r="3644">
      <c r="A3644" s="25" t="n">
        <v>44203</v>
      </c>
      <c r="B3644" s="18" t="n">
        <v>122385.92</v>
      </c>
      <c r="C3644" s="31" t="n"/>
      <c r="D3644" s="32" t="n"/>
      <c r="E3644" s="33" t="n">
        <v>4.9441</v>
      </c>
      <c r="F3644" t="inlineStr">
        <is>
          <t>Up</t>
        </is>
      </c>
      <c r="G3644" t="inlineStr">
        <is>
          <t>Up</t>
        </is>
      </c>
      <c r="H3644" t="inlineStr">
        <is>
          <t>EU_JU</t>
        </is>
      </c>
      <c r="I3644" t="inlineStr">
        <is>
          <t>2021-01</t>
        </is>
      </c>
      <c r="J3644" t="n">
        <v>1</v>
      </c>
      <c r="K3644" t="n">
        <v>1</v>
      </c>
      <c r="L3644" s="34">
        <f>IF($J3644=1,LN(B3645/B3644),"")</f>
        <v/>
      </c>
      <c r="M3644" s="34">
        <f>IF($K3644=1,INDEX(Mensal!$D$2:$D$245,MATCH($I3644,Mensal!$A$2:$A$245,0)),"")</f>
        <v/>
      </c>
      <c r="N3644" s="34">
        <f>IF($K3644=1,L3644-M3644,"")</f>
        <v/>
      </c>
      <c r="O3644" s="34" t="n">
        <v>7.469e-05</v>
      </c>
      <c r="P3644" s="34">
        <f>IF($J3644=1,LN(1+O3644),"")</f>
        <v/>
      </c>
      <c r="Q3644" s="34">
        <f>IF($J3644=1,LN(R3645/R3644),"")</f>
        <v/>
      </c>
      <c r="R3644" s="32" t="n">
        <v>5.3433</v>
      </c>
      <c r="S3644" s="35" t="n">
        <v>3.03</v>
      </c>
      <c r="T3644" s="18" t="n"/>
      <c r="U3644" s="18" t="n">
        <v>122385.92</v>
      </c>
      <c r="V3644" s="18" t="n"/>
      <c r="W3644" s="18" t="n"/>
      <c r="X3644" s="35" t="n">
        <v>3.03</v>
      </c>
      <c r="Y3644" s="35" t="n"/>
    </row>
    <row r="3645">
      <c r="A3645" s="25" t="n">
        <v>44204</v>
      </c>
      <c r="B3645" s="18" t="n">
        <v>125076.63</v>
      </c>
      <c r="C3645" s="31" t="n"/>
      <c r="D3645" s="32" t="n"/>
      <c r="E3645" s="33" t="n">
        <v>4.8756</v>
      </c>
      <c r="F3645" t="inlineStr">
        <is>
          <t>Up</t>
        </is>
      </c>
      <c r="G3645" t="inlineStr">
        <is>
          <t>Up</t>
        </is>
      </c>
      <c r="H3645" t="inlineStr">
        <is>
          <t>EU_JU</t>
        </is>
      </c>
      <c r="I3645" t="inlineStr">
        <is>
          <t>2021-01</t>
        </is>
      </c>
      <c r="J3645" t="n">
        <v>1</v>
      </c>
      <c r="K3645" t="n">
        <v>1</v>
      </c>
      <c r="L3645" s="34">
        <f>IF($J3645=1,LN(B3646/B3645),"")</f>
        <v/>
      </c>
      <c r="M3645" s="34">
        <f>IF($K3645=1,INDEX(Mensal!$D$2:$D$245,MATCH($I3645,Mensal!$A$2:$A$245,0)),"")</f>
        <v/>
      </c>
      <c r="N3645" s="34">
        <f>IF($K3645=1,L3645-M3645,"")</f>
        <v/>
      </c>
      <c r="O3645" s="34" t="n">
        <v>7.469e-05</v>
      </c>
      <c r="P3645" s="34">
        <f>IF($J3645=1,LN(1+O3645),"")</f>
        <v/>
      </c>
      <c r="Q3645" s="34">
        <f>IF($J3645=1,LN(R3646/R3645),"")</f>
        <v/>
      </c>
      <c r="R3645" s="32" t="n">
        <v>5.3683</v>
      </c>
      <c r="S3645" s="35" t="n">
        <v>3.13</v>
      </c>
      <c r="T3645" s="18" t="n"/>
      <c r="U3645" s="18" t="n">
        <v>125076.63</v>
      </c>
      <c r="V3645" s="18" t="n"/>
      <c r="W3645" s="18" t="n"/>
      <c r="X3645" s="35" t="n">
        <v>3.13</v>
      </c>
      <c r="Y3645" s="35" t="n"/>
    </row>
    <row r="3646">
      <c r="A3646" s="25" t="n">
        <v>44207</v>
      </c>
      <c r="B3646" s="18" t="n">
        <v>123255.13</v>
      </c>
      <c r="C3646" s="31" t="n"/>
      <c r="D3646" s="32" t="n"/>
      <c r="E3646" s="33" t="n">
        <v>4.8204</v>
      </c>
      <c r="F3646" t="inlineStr">
        <is>
          <t>Up</t>
        </is>
      </c>
      <c r="G3646" t="inlineStr">
        <is>
          <t>Up</t>
        </is>
      </c>
      <c r="H3646" t="inlineStr">
        <is>
          <t>EU_JU</t>
        </is>
      </c>
      <c r="I3646" t="inlineStr">
        <is>
          <t>2021-01</t>
        </is>
      </c>
      <c r="J3646" t="n">
        <v>1</v>
      </c>
      <c r="K3646" t="n">
        <v>1</v>
      </c>
      <c r="L3646" s="34">
        <f>IF($J3646=1,LN(B3647/B3646),"")</f>
        <v/>
      </c>
      <c r="M3646" s="34">
        <f>IF($K3646=1,INDEX(Mensal!$D$2:$D$245,MATCH($I3646,Mensal!$A$2:$A$245,0)),"")</f>
        <v/>
      </c>
      <c r="N3646" s="34">
        <f>IF($K3646=1,L3646-M3646,"")</f>
        <v/>
      </c>
      <c r="O3646" s="34" t="n">
        <v>7.469e-05</v>
      </c>
      <c r="P3646" s="34">
        <f>IF($J3646=1,LN(1+O3646),"")</f>
        <v/>
      </c>
      <c r="Q3646" s="34">
        <f>IF($J3646=1,LN(R3647/R3646),"")</f>
        <v/>
      </c>
      <c r="R3646" s="32" t="n">
        <v>5.4966</v>
      </c>
      <c r="S3646" s="35" t="n">
        <v>3.25</v>
      </c>
      <c r="T3646" s="18" t="n"/>
      <c r="U3646" s="18" t="n">
        <v>123255.13</v>
      </c>
      <c r="V3646" s="18" t="n"/>
      <c r="W3646" s="18" t="n"/>
      <c r="X3646" s="35" t="n">
        <v>3.25</v>
      </c>
      <c r="Y3646" s="35" t="n"/>
    </row>
    <row r="3647">
      <c r="A3647" s="25" t="n">
        <v>44208</v>
      </c>
      <c r="B3647" s="18" t="n">
        <v>123998</v>
      </c>
      <c r="C3647" s="31" t="n"/>
      <c r="D3647" s="32" t="n"/>
      <c r="E3647" s="33" t="n">
        <v>4.7573</v>
      </c>
      <c r="F3647" t="inlineStr">
        <is>
          <t>Up</t>
        </is>
      </c>
      <c r="G3647" t="inlineStr">
        <is>
          <t>Up</t>
        </is>
      </c>
      <c r="H3647" t="inlineStr">
        <is>
          <t>EU_JU</t>
        </is>
      </c>
      <c r="I3647" t="inlineStr">
        <is>
          <t>2021-01</t>
        </is>
      </c>
      <c r="J3647" t="n">
        <v>1</v>
      </c>
      <c r="K3647" t="n">
        <v>1</v>
      </c>
      <c r="L3647" s="34">
        <f>IF($J3647=1,LN(B3648/B3647),"")</f>
        <v/>
      </c>
      <c r="M3647" s="34">
        <f>IF($K3647=1,INDEX(Mensal!$D$2:$D$245,MATCH($I3647,Mensal!$A$2:$A$245,0)),"")</f>
        <v/>
      </c>
      <c r="N3647" s="34">
        <f>IF($K3647=1,L3647-M3647,"")</f>
        <v/>
      </c>
      <c r="O3647" s="34" t="n">
        <v>7.469e-05</v>
      </c>
      <c r="P3647" s="34">
        <f>IF($J3647=1,LN(1+O3647),"")</f>
        <v/>
      </c>
      <c r="Q3647" s="34">
        <f>IF($J3647=1,LN(R3648/R3647),"")</f>
        <v/>
      </c>
      <c r="R3647" s="32" t="n">
        <v>5.4637</v>
      </c>
      <c r="S3647" s="35" t="n">
        <v>3.19</v>
      </c>
      <c r="T3647" s="18" t="n"/>
      <c r="U3647" s="18" t="n">
        <v>123998</v>
      </c>
      <c r="V3647" s="18" t="n"/>
      <c r="W3647" s="18" t="n"/>
      <c r="X3647" s="35" t="n">
        <v>3.19</v>
      </c>
      <c r="Y3647" s="35" t="n"/>
    </row>
    <row r="3648">
      <c r="A3648" s="25" t="n">
        <v>44209</v>
      </c>
      <c r="B3648" s="18" t="n">
        <v>121933.08</v>
      </c>
      <c r="C3648" s="31" t="n"/>
      <c r="D3648" s="32" t="n"/>
      <c r="E3648" s="33" t="n">
        <v>4.701</v>
      </c>
      <c r="F3648" t="inlineStr">
        <is>
          <t>Up</t>
        </is>
      </c>
      <c r="G3648" t="inlineStr">
        <is>
          <t>Up</t>
        </is>
      </c>
      <c r="H3648" t="inlineStr">
        <is>
          <t>EU_JU</t>
        </is>
      </c>
      <c r="I3648" t="inlineStr">
        <is>
          <t>2021-01</t>
        </is>
      </c>
      <c r="J3648" t="n">
        <v>1</v>
      </c>
      <c r="K3648" t="n">
        <v>1</v>
      </c>
      <c r="L3648" s="34">
        <f>IF($J3648=1,LN(B3649/B3648),"")</f>
        <v/>
      </c>
      <c r="M3648" s="34">
        <f>IF($K3648=1,INDEX(Mensal!$D$2:$D$245,MATCH($I3648,Mensal!$A$2:$A$245,0)),"")</f>
        <v/>
      </c>
      <c r="N3648" s="34">
        <f>IF($K3648=1,L3648-M3648,"")</f>
        <v/>
      </c>
      <c r="O3648" s="34" t="n">
        <v>7.469e-05</v>
      </c>
      <c r="P3648" s="34">
        <f>IF($J3648=1,LN(1+O3648),"")</f>
        <v/>
      </c>
      <c r="Q3648" s="34">
        <f>IF($J3648=1,LN(R3649/R3648),"")</f>
        <v/>
      </c>
      <c r="R3648" s="32" t="n">
        <v>5.307</v>
      </c>
      <c r="S3648" s="35" t="n">
        <v>3.3</v>
      </c>
      <c r="T3648" s="18" t="n"/>
      <c r="U3648" s="18" t="n">
        <v>121933.08</v>
      </c>
      <c r="V3648" s="18" t="n"/>
      <c r="W3648" s="18" t="n"/>
      <c r="X3648" s="35" t="n">
        <v>3.3</v>
      </c>
      <c r="Y3648" s="35" t="n"/>
    </row>
    <row r="3649">
      <c r="A3649" s="25" t="n">
        <v>44210</v>
      </c>
      <c r="B3649" s="18" t="n">
        <v>123480.52</v>
      </c>
      <c r="C3649" s="31" t="n"/>
      <c r="D3649" s="32" t="n"/>
      <c r="E3649" s="33" t="n">
        <v>4.6661</v>
      </c>
      <c r="F3649" t="inlineStr">
        <is>
          <t>Up</t>
        </is>
      </c>
      <c r="G3649" t="inlineStr">
        <is>
          <t>Up</t>
        </is>
      </c>
      <c r="H3649" t="inlineStr">
        <is>
          <t>EU_JU</t>
        </is>
      </c>
      <c r="I3649" t="inlineStr">
        <is>
          <t>2021-01</t>
        </is>
      </c>
      <c r="J3649" t="n">
        <v>1</v>
      </c>
      <c r="K3649" t="n">
        <v>1</v>
      </c>
      <c r="L3649" s="34">
        <f>IF($J3649=1,LN(B3650/B3649),"")</f>
        <v/>
      </c>
      <c r="M3649" s="34">
        <f>IF($K3649=1,INDEX(Mensal!$D$2:$D$245,MATCH($I3649,Mensal!$A$2:$A$245,0)),"")</f>
        <v/>
      </c>
      <c r="N3649" s="34">
        <f>IF($K3649=1,L3649-M3649,"")</f>
        <v/>
      </c>
      <c r="O3649" s="34" t="n">
        <v>7.469e-05</v>
      </c>
      <c r="P3649" s="34">
        <f>IF($J3649=1,LN(1+O3649),"")</f>
        <v/>
      </c>
      <c r="Q3649" s="34">
        <f>IF($J3649=1,LN(R3650/R3649),"")</f>
        <v/>
      </c>
      <c r="R3649" s="32" t="n">
        <v>5.2617</v>
      </c>
      <c r="S3649" s="35" t="n">
        <v>3.31</v>
      </c>
      <c r="T3649" s="18" t="n"/>
      <c r="U3649" s="18" t="n">
        <v>123480.52</v>
      </c>
      <c r="V3649" s="18" t="n"/>
      <c r="W3649" s="18" t="n"/>
      <c r="X3649" s="35" t="n">
        <v>3.31</v>
      </c>
      <c r="Y3649" s="35" t="n"/>
    </row>
    <row r="3650">
      <c r="A3650" s="25" t="n">
        <v>44211</v>
      </c>
      <c r="B3650" s="18" t="n">
        <v>120348.8</v>
      </c>
      <c r="C3650" s="31" t="n"/>
      <c r="D3650" s="32" t="n"/>
      <c r="E3650" s="33" t="n">
        <v>4.6386</v>
      </c>
      <c r="F3650" t="inlineStr">
        <is>
          <t>Up</t>
        </is>
      </c>
      <c r="G3650" t="inlineStr">
        <is>
          <t>Up</t>
        </is>
      </c>
      <c r="H3650" t="inlineStr">
        <is>
          <t>EU_JU</t>
        </is>
      </c>
      <c r="I3650" t="inlineStr">
        <is>
          <t>2021-01</t>
        </is>
      </c>
      <c r="J3650" t="n">
        <v>1</v>
      </c>
      <c r="K3650" t="n">
        <v>1</v>
      </c>
      <c r="L3650" s="34">
        <f>IF($J3650=1,LN(B3651/B3650),"")</f>
        <v/>
      </c>
      <c r="M3650" s="34">
        <f>IF($K3650=1,INDEX(Mensal!$D$2:$D$245,MATCH($I3650,Mensal!$A$2:$A$245,0)),"")</f>
        <v/>
      </c>
      <c r="N3650" s="34">
        <f>IF($K3650=1,L3650-M3650,"")</f>
        <v/>
      </c>
      <c r="O3650" s="34" t="n">
        <v>7.469e-05</v>
      </c>
      <c r="P3650" s="34">
        <f>IF($J3650=1,LN(1+O3650),"")</f>
        <v/>
      </c>
      <c r="Q3650" s="34">
        <f>IF($J3650=1,LN(R3651/R3650),"")</f>
        <v/>
      </c>
      <c r="R3650" s="32" t="n">
        <v>5.2714</v>
      </c>
      <c r="S3650" s="35" t="n">
        <v>3.4</v>
      </c>
      <c r="T3650" s="18" t="n"/>
      <c r="U3650" s="18" t="n">
        <v>120348.8</v>
      </c>
      <c r="V3650" s="18" t="n"/>
      <c r="W3650" s="18" t="n"/>
      <c r="X3650" s="35" t="n">
        <v>3.4</v>
      </c>
      <c r="Y3650" s="35" t="n"/>
    </row>
    <row r="3651">
      <c r="A3651" s="25" t="n">
        <v>44214</v>
      </c>
      <c r="B3651" s="18" t="n">
        <v>121241.63</v>
      </c>
      <c r="C3651" s="31" t="n"/>
      <c r="D3651" s="32" t="n"/>
      <c r="E3651" s="33" t="n">
        <v>4.6237</v>
      </c>
      <c r="F3651" t="inlineStr">
        <is>
          <t>Up</t>
        </is>
      </c>
      <c r="G3651" t="inlineStr">
        <is>
          <t>Up</t>
        </is>
      </c>
      <c r="H3651" t="inlineStr">
        <is>
          <t>EU_JU</t>
        </is>
      </c>
      <c r="I3651" t="inlineStr">
        <is>
          <t>2021-01</t>
        </is>
      </c>
      <c r="J3651" t="n">
        <v>1</v>
      </c>
      <c r="K3651" t="n">
        <v>1</v>
      </c>
      <c r="L3651" s="34">
        <f>IF($J3651=1,LN(B3652/B3651),"")</f>
        <v/>
      </c>
      <c r="M3651" s="34">
        <f>IF($K3651=1,INDEX(Mensal!$D$2:$D$245,MATCH($I3651,Mensal!$A$2:$A$245,0)),"")</f>
        <v/>
      </c>
      <c r="N3651" s="34">
        <f>IF($K3651=1,L3651-M3651,"")</f>
        <v/>
      </c>
      <c r="O3651" s="34" t="n">
        <v>7.469e-05</v>
      </c>
      <c r="P3651" s="34">
        <f>IF($J3651=1,LN(1+O3651),"")</f>
        <v/>
      </c>
      <c r="Q3651" s="34">
        <f>IF($J3651=1,LN(R3652/R3651),"")</f>
        <v/>
      </c>
      <c r="R3651" s="32" t="n">
        <v>5.2788</v>
      </c>
      <c r="S3651" s="35" t="n">
        <v>3.34</v>
      </c>
      <c r="T3651" s="18" t="n"/>
      <c r="U3651" s="18" t="n">
        <v>121241.63</v>
      </c>
      <c r="V3651" s="18" t="n"/>
      <c r="W3651" s="18" t="n"/>
      <c r="X3651" s="35" t="n">
        <v>3.34</v>
      </c>
      <c r="Y3651" s="35" t="n"/>
    </row>
    <row r="3652">
      <c r="A3652" s="25" t="n">
        <v>44215</v>
      </c>
      <c r="B3652" s="18" t="n">
        <v>120636.39</v>
      </c>
      <c r="C3652" s="31" t="n"/>
      <c r="D3652" s="32" t="n"/>
      <c r="E3652" s="33" t="n">
        <v>4.5901</v>
      </c>
      <c r="F3652" t="inlineStr">
        <is>
          <t>Up</t>
        </is>
      </c>
      <c r="G3652" t="inlineStr">
        <is>
          <t>Up</t>
        </is>
      </c>
      <c r="H3652" t="inlineStr">
        <is>
          <t>EU_JU</t>
        </is>
      </c>
      <c r="I3652" t="inlineStr">
        <is>
          <t>2021-01</t>
        </is>
      </c>
      <c r="J3652" t="n">
        <v>1</v>
      </c>
      <c r="K3652" t="n">
        <v>1</v>
      </c>
      <c r="L3652" s="34">
        <f>IF($J3652=1,LN(B3653/B3652),"")</f>
        <v/>
      </c>
      <c r="M3652" s="34">
        <f>IF($K3652=1,INDEX(Mensal!$D$2:$D$245,MATCH($I3652,Mensal!$A$2:$A$245,0)),"")</f>
        <v/>
      </c>
      <c r="N3652" s="34">
        <f>IF($K3652=1,L3652-M3652,"")</f>
        <v/>
      </c>
      <c r="O3652" s="34" t="n">
        <v>7.469e-05</v>
      </c>
      <c r="P3652" s="34">
        <f>IF($J3652=1,LN(1+O3652),"")</f>
        <v/>
      </c>
      <c r="Q3652" s="34">
        <f>IF($J3652=1,LN(R3653/R3652),"")</f>
        <v/>
      </c>
      <c r="R3652" s="32" t="n">
        <v>5.2945</v>
      </c>
      <c r="S3652" s="35" t="n">
        <v>3.33</v>
      </c>
      <c r="T3652" s="18" t="n"/>
      <c r="U3652" s="18" t="n">
        <v>120636.39</v>
      </c>
      <c r="V3652" s="18" t="n"/>
      <c r="W3652" s="18" t="n"/>
      <c r="X3652" s="35" t="n">
        <v>3.33</v>
      </c>
      <c r="Y3652" s="35" t="n"/>
    </row>
    <row r="3653">
      <c r="A3653" s="25" t="n">
        <v>44216</v>
      </c>
      <c r="B3653" s="18" t="n">
        <v>119646.4</v>
      </c>
      <c r="C3653" s="31" t="n"/>
      <c r="D3653" s="32" t="n"/>
      <c r="E3653" s="33" t="n">
        <v>4.5879</v>
      </c>
      <c r="F3653" t="inlineStr">
        <is>
          <t>Up</t>
        </is>
      </c>
      <c r="G3653" t="inlineStr">
        <is>
          <t>Up</t>
        </is>
      </c>
      <c r="H3653" t="inlineStr">
        <is>
          <t>EU_JU</t>
        </is>
      </c>
      <c r="I3653" t="inlineStr">
        <is>
          <t>2021-01</t>
        </is>
      </c>
      <c r="J3653" t="n">
        <v>1</v>
      </c>
      <c r="K3653" t="n">
        <v>1</v>
      </c>
      <c r="L3653" s="34">
        <f>IF($J3653=1,LN(B3654/B3653),"")</f>
        <v/>
      </c>
      <c r="M3653" s="34">
        <f>IF($K3653=1,INDEX(Mensal!$D$2:$D$245,MATCH($I3653,Mensal!$A$2:$A$245,0)),"")</f>
        <v/>
      </c>
      <c r="N3653" s="34">
        <f>IF($K3653=1,L3653-M3653,"")</f>
        <v/>
      </c>
      <c r="O3653" s="34" t="n">
        <v>7.469e-05</v>
      </c>
      <c r="P3653" s="34">
        <f>IF($J3653=1,LN(1+O3653),"")</f>
        <v/>
      </c>
      <c r="Q3653" s="34">
        <f>IF($J3653=1,LN(R3654/R3653),"")</f>
        <v/>
      </c>
      <c r="R3653" s="32" t="n">
        <v>5.3033</v>
      </c>
      <c r="S3653" s="35" t="n">
        <v>3.34</v>
      </c>
      <c r="T3653" s="18" t="n"/>
      <c r="U3653" s="18" t="n">
        <v>119646.4</v>
      </c>
      <c r="V3653" s="18" t="n"/>
      <c r="W3653" s="18" t="n"/>
      <c r="X3653" s="35" t="n">
        <v>3.34</v>
      </c>
      <c r="Y3653" s="35" t="n"/>
    </row>
    <row r="3654">
      <c r="A3654" s="25" t="n">
        <v>44217</v>
      </c>
      <c r="B3654" s="18" t="n">
        <v>118328.99</v>
      </c>
      <c r="C3654" s="31" t="n"/>
      <c r="D3654" s="32" t="n"/>
      <c r="E3654" s="33" t="n">
        <v>4.5922</v>
      </c>
      <c r="F3654" t="inlineStr">
        <is>
          <t>Up</t>
        </is>
      </c>
      <c r="G3654" t="inlineStr">
        <is>
          <t>Up</t>
        </is>
      </c>
      <c r="H3654" t="inlineStr">
        <is>
          <t>EU_JU</t>
        </is>
      </c>
      <c r="I3654" t="inlineStr">
        <is>
          <t>2021-01</t>
        </is>
      </c>
      <c r="J3654" t="n">
        <v>1</v>
      </c>
      <c r="K3654" t="n">
        <v>1</v>
      </c>
      <c r="L3654" s="34">
        <f>IF($J3654=1,LN(B3655/B3654),"")</f>
        <v/>
      </c>
      <c r="M3654" s="34">
        <f>IF($K3654=1,INDEX(Mensal!$D$2:$D$245,MATCH($I3654,Mensal!$A$2:$A$245,0)),"")</f>
        <v/>
      </c>
      <c r="N3654" s="34">
        <f>IF($K3654=1,L3654-M3654,"")</f>
        <v/>
      </c>
      <c r="O3654" s="34" t="n">
        <v>7.469e-05</v>
      </c>
      <c r="P3654" s="34">
        <f>IF($J3654=1,LN(1+O3654),"")</f>
        <v/>
      </c>
      <c r="Q3654" s="34">
        <f>IF($J3654=1,LN(R3655/R3654),"")</f>
        <v/>
      </c>
      <c r="R3654" s="32" t="n">
        <v>5.3166</v>
      </c>
      <c r="S3654" s="35" t="n">
        <v>3.48</v>
      </c>
      <c r="T3654" s="18" t="n"/>
      <c r="U3654" s="18" t="n">
        <v>118328.99</v>
      </c>
      <c r="V3654" s="18" t="n"/>
      <c r="W3654" s="18" t="n"/>
      <c r="X3654" s="35" t="n">
        <v>3.48</v>
      </c>
      <c r="Y3654" s="35" t="n"/>
    </row>
    <row r="3655">
      <c r="A3655" s="25" t="n">
        <v>44218</v>
      </c>
      <c r="B3655" s="18" t="n">
        <v>117380.49</v>
      </c>
      <c r="C3655" s="31" t="n"/>
      <c r="D3655" s="32" t="n"/>
      <c r="E3655" s="33" t="n">
        <v>4.5934</v>
      </c>
      <c r="F3655" t="inlineStr">
        <is>
          <t>Up</t>
        </is>
      </c>
      <c r="G3655" t="inlineStr">
        <is>
          <t>Up</t>
        </is>
      </c>
      <c r="H3655" t="inlineStr">
        <is>
          <t>EU_JU</t>
        </is>
      </c>
      <c r="I3655" t="inlineStr">
        <is>
          <t>2021-01</t>
        </is>
      </c>
      <c r="J3655" t="n">
        <v>1</v>
      </c>
      <c r="K3655" t="n">
        <v>1</v>
      </c>
      <c r="L3655" s="34">
        <f>IF($J3655=1,LN(B3656/B3655),"")</f>
        <v/>
      </c>
      <c r="M3655" s="34">
        <f>IF($K3655=1,INDEX(Mensal!$D$2:$D$245,MATCH($I3655,Mensal!$A$2:$A$245,0)),"")</f>
        <v/>
      </c>
      <c r="N3655" s="34">
        <f>IF($K3655=1,L3655-M3655,"")</f>
        <v/>
      </c>
      <c r="O3655" s="34" t="n">
        <v>7.469e-05</v>
      </c>
      <c r="P3655" s="34">
        <f>IF($J3655=1,LN(1+O3655),"")</f>
        <v/>
      </c>
      <c r="Q3655" s="34">
        <f>IF($J3655=1,LN(R3656/R3655),"")</f>
        <v/>
      </c>
      <c r="R3655" s="32" t="n">
        <v>5.4301</v>
      </c>
      <c r="S3655" s="35" t="n">
        <v>3.48</v>
      </c>
      <c r="T3655" s="18" t="n"/>
      <c r="U3655" s="18" t="n">
        <v>117380.49</v>
      </c>
      <c r="V3655" s="18" t="n"/>
      <c r="W3655" s="18" t="n"/>
      <c r="X3655" s="35" t="n">
        <v>3.48</v>
      </c>
      <c r="Y3655" s="35" t="n"/>
    </row>
    <row r="3656">
      <c r="A3656" s="25" t="n">
        <v>44222</v>
      </c>
      <c r="B3656" s="18" t="n">
        <v>116464.06</v>
      </c>
      <c r="C3656" s="31" t="n"/>
      <c r="D3656" s="32" t="n"/>
      <c r="E3656" s="33" t="n">
        <v>4.6023</v>
      </c>
      <c r="F3656" t="inlineStr">
        <is>
          <t>Up</t>
        </is>
      </c>
      <c r="G3656" t="inlineStr">
        <is>
          <t>Up</t>
        </is>
      </c>
      <c r="H3656" t="inlineStr">
        <is>
          <t>EU_JU</t>
        </is>
      </c>
      <c r="I3656" t="inlineStr">
        <is>
          <t>2021-01</t>
        </is>
      </c>
      <c r="J3656" t="n">
        <v>1</v>
      </c>
      <c r="K3656" t="n">
        <v>1</v>
      </c>
      <c r="L3656" s="34">
        <f>IF($J3656=1,LN(B3657/B3656),"")</f>
        <v/>
      </c>
      <c r="M3656" s="34">
        <f>IF($K3656=1,INDEX(Mensal!$D$2:$D$245,MATCH($I3656,Mensal!$A$2:$A$245,0)),"")</f>
        <v/>
      </c>
      <c r="N3656" s="34">
        <f>IF($K3656=1,L3656-M3656,"")</f>
        <v/>
      </c>
      <c r="O3656" s="34" t="n">
        <v>7.469e-05</v>
      </c>
      <c r="P3656" s="34">
        <f>IF($J3656=1,LN(1+O3656),"")</f>
        <v/>
      </c>
      <c r="Q3656" s="34">
        <f>IF($J3656=1,LN(R3657/R3656),"")</f>
        <v/>
      </c>
      <c r="R3656" s="32" t="n">
        <v>5.3865</v>
      </c>
      <c r="S3656" s="35" t="n">
        <v>3.56</v>
      </c>
      <c r="T3656" s="18" t="n"/>
      <c r="U3656" s="18" t="n">
        <v>116464.06</v>
      </c>
      <c r="V3656" s="18" t="n"/>
      <c r="W3656" s="18" t="n"/>
      <c r="X3656" s="35" t="n">
        <v>3.56</v>
      </c>
      <c r="Y3656" s="35" t="n"/>
    </row>
    <row r="3657">
      <c r="A3657" s="25" t="n">
        <v>44223</v>
      </c>
      <c r="B3657" s="18" t="n">
        <v>115882.3</v>
      </c>
      <c r="C3657" s="31" t="n"/>
      <c r="D3657" s="32" t="n"/>
      <c r="E3657" s="33" t="n">
        <v>4.6034</v>
      </c>
      <c r="F3657" t="inlineStr">
        <is>
          <t>Up</t>
        </is>
      </c>
      <c r="G3657" t="inlineStr">
        <is>
          <t>Up</t>
        </is>
      </c>
      <c r="H3657" t="inlineStr">
        <is>
          <t>EU_JU</t>
        </is>
      </c>
      <c r="I3657" t="inlineStr">
        <is>
          <t>2021-01</t>
        </is>
      </c>
      <c r="J3657" t="n">
        <v>1</v>
      </c>
      <c r="K3657" t="n">
        <v>1</v>
      </c>
      <c r="L3657" s="34">
        <f>IF($J3657=1,LN(B3658/B3657),"")</f>
        <v/>
      </c>
      <c r="M3657" s="34">
        <f>IF($K3657=1,INDEX(Mensal!$D$2:$D$245,MATCH($I3657,Mensal!$A$2:$A$245,0)),"")</f>
        <v/>
      </c>
      <c r="N3657" s="34">
        <f>IF($K3657=1,L3657-M3657,"")</f>
        <v/>
      </c>
      <c r="O3657" s="34" t="n">
        <v>7.469e-05</v>
      </c>
      <c r="P3657" s="34">
        <f>IF($J3657=1,LN(1+O3657),"")</f>
        <v/>
      </c>
      <c r="Q3657" s="34">
        <f>IF($J3657=1,LN(R3658/R3657),"")</f>
        <v/>
      </c>
      <c r="R3657" s="32" t="n">
        <v>5.3824</v>
      </c>
      <c r="S3657" s="35" t="n">
        <v>3.59</v>
      </c>
      <c r="T3657" s="18" t="n"/>
      <c r="U3657" s="18" t="n">
        <v>115882.3</v>
      </c>
      <c r="V3657" s="18" t="n"/>
      <c r="W3657" s="18" t="n"/>
      <c r="X3657" s="35" t="n">
        <v>3.59</v>
      </c>
      <c r="Y3657" s="35" t="n"/>
    </row>
    <row r="3658">
      <c r="A3658" s="25" t="n">
        <v>44224</v>
      </c>
      <c r="B3658" s="18" t="n">
        <v>118883.25</v>
      </c>
      <c r="C3658" s="31" t="n"/>
      <c r="D3658" s="32" t="n"/>
      <c r="E3658" s="33" t="n">
        <v>4.5941</v>
      </c>
      <c r="F3658" t="inlineStr">
        <is>
          <t>Up</t>
        </is>
      </c>
      <c r="G3658" t="inlineStr">
        <is>
          <t>Up</t>
        </is>
      </c>
      <c r="H3658" t="inlineStr">
        <is>
          <t>EU_JU</t>
        </is>
      </c>
      <c r="I3658" t="inlineStr">
        <is>
          <t>2021-01</t>
        </is>
      </c>
      <c r="J3658" t="n">
        <v>1</v>
      </c>
      <c r="K3658" t="n">
        <v>1</v>
      </c>
      <c r="L3658" s="34">
        <f>IF($J3658=1,LN(B3659/B3658),"")</f>
        <v/>
      </c>
      <c r="M3658" s="34">
        <f>IF($K3658=1,INDEX(Mensal!$D$2:$D$245,MATCH($I3658,Mensal!$A$2:$A$245,0)),"")</f>
        <v/>
      </c>
      <c r="N3658" s="34">
        <f>IF($K3658=1,L3658-M3658,"")</f>
        <v/>
      </c>
      <c r="O3658" s="34" t="n">
        <v>7.469e-05</v>
      </c>
      <c r="P3658" s="34">
        <f>IF($J3658=1,LN(1+O3658),"")</f>
        <v/>
      </c>
      <c r="Q3658" s="34">
        <f>IF($J3658=1,LN(R3659/R3658),"")</f>
        <v/>
      </c>
      <c r="R3658" s="32" t="n">
        <v>5.4282</v>
      </c>
      <c r="S3658" s="35" t="n">
        <v>3.49</v>
      </c>
      <c r="T3658" s="18" t="n"/>
      <c r="U3658" s="18" t="n">
        <v>118883.25</v>
      </c>
      <c r="V3658" s="18" t="n"/>
      <c r="W3658" s="18" t="n"/>
      <c r="X3658" s="35" t="n">
        <v>3.49</v>
      </c>
      <c r="Y3658" s="35" t="n"/>
    </row>
    <row r="3659">
      <c r="A3659" s="25" t="n">
        <v>44225</v>
      </c>
      <c r="B3659" s="18" t="n">
        <v>115067.55</v>
      </c>
      <c r="C3659" s="31" t="n"/>
      <c r="D3659" s="32" t="n"/>
      <c r="E3659" s="33" t="n">
        <v>4.5766</v>
      </c>
      <c r="F3659" t="inlineStr">
        <is>
          <t>Up</t>
        </is>
      </c>
      <c r="G3659" t="inlineStr">
        <is>
          <t>Up</t>
        </is>
      </c>
      <c r="H3659" t="inlineStr">
        <is>
          <t>EU_JU</t>
        </is>
      </c>
      <c r="I3659" t="inlineStr">
        <is>
          <t>2021-01</t>
        </is>
      </c>
      <c r="J3659" t="n">
        <v>1</v>
      </c>
      <c r="K3659" t="n">
        <v>1</v>
      </c>
      <c r="L3659" s="34">
        <f>IF($J3659=1,LN(B3660/B3659),"")</f>
        <v/>
      </c>
      <c r="M3659" s="34">
        <f>IF($K3659=1,INDEX(Mensal!$D$2:$D$245,MATCH($I3659,Mensal!$A$2:$A$245,0)),"")</f>
        <v/>
      </c>
      <c r="N3659" s="34">
        <f>IF($K3659=1,L3659-M3659,"")</f>
        <v/>
      </c>
      <c r="O3659" s="34" t="n">
        <v>7.469e-05</v>
      </c>
      <c r="P3659" s="34">
        <f>IF($J3659=1,LN(1+O3659),"")</f>
        <v/>
      </c>
      <c r="Q3659" s="34">
        <f>IF($J3659=1,LN(R3660/R3659),"")</f>
        <v/>
      </c>
      <c r="R3659" s="32" t="n">
        <v>5.4759</v>
      </c>
      <c r="S3659" s="35" t="n">
        <v>3.44</v>
      </c>
      <c r="T3659" s="18" t="n"/>
      <c r="U3659" s="18" t="n">
        <v>115067.55</v>
      </c>
      <c r="V3659" s="18" t="n"/>
      <c r="W3659" s="18" t="n"/>
      <c r="X3659" s="35" t="n">
        <v>3.44</v>
      </c>
      <c r="Y3659" s="35" t="n"/>
    </row>
    <row r="3660">
      <c r="A3660" s="25" t="n">
        <v>44228</v>
      </c>
      <c r="B3660" s="18" t="n">
        <v>117517.57</v>
      </c>
      <c r="C3660" s="31" t="n"/>
      <c r="D3660" s="32" t="n"/>
      <c r="E3660" s="33" t="n">
        <v>4.579</v>
      </c>
      <c r="F3660" t="inlineStr">
        <is>
          <t>Up</t>
        </is>
      </c>
      <c r="G3660" t="inlineStr">
        <is>
          <t>Up</t>
        </is>
      </c>
      <c r="H3660" t="inlineStr">
        <is>
          <t>EU_JU</t>
        </is>
      </c>
      <c r="I3660" t="inlineStr">
        <is>
          <t>2021-02</t>
        </is>
      </c>
      <c r="J3660" t="n">
        <v>1</v>
      </c>
      <c r="K3660" t="n">
        <v>1</v>
      </c>
      <c r="L3660" s="34">
        <f>IF($J3660=1,LN(B3661/B3660),"")</f>
        <v/>
      </c>
      <c r="M3660" s="34">
        <f>IF($K3660=1,INDEX(Mensal!$D$2:$D$245,MATCH($I3660,Mensal!$A$2:$A$245,0)),"")</f>
        <v/>
      </c>
      <c r="N3660" s="34">
        <f>IF($K3660=1,L3660-M3660,"")</f>
        <v/>
      </c>
      <c r="O3660" s="34" t="n">
        <v>7.469e-05</v>
      </c>
      <c r="P3660" s="34">
        <f>IF($J3660=1,LN(1+O3660),"")</f>
        <v/>
      </c>
      <c r="Q3660" s="34">
        <f>IF($J3660=1,LN(R3661/R3660),"")</f>
        <v/>
      </c>
      <c r="R3660" s="32" t="n">
        <v>5.4608</v>
      </c>
      <c r="S3660" s="35" t="n">
        <v>3.48</v>
      </c>
      <c r="T3660" s="18" t="n"/>
      <c r="U3660" s="18" t="n">
        <v>117517.57</v>
      </c>
      <c r="V3660" s="18" t="n"/>
      <c r="W3660" s="18" t="n"/>
      <c r="X3660" s="35" t="n">
        <v>3.48</v>
      </c>
      <c r="Y3660" s="35" t="n"/>
    </row>
    <row r="3661">
      <c r="A3661" s="25" t="n">
        <v>44229</v>
      </c>
      <c r="B3661" s="18" t="n">
        <v>118233.81</v>
      </c>
      <c r="C3661" s="31" t="n"/>
      <c r="D3661" s="32" t="n"/>
      <c r="E3661" s="33" t="n">
        <v>4.5738</v>
      </c>
      <c r="F3661" t="inlineStr">
        <is>
          <t>Up</t>
        </is>
      </c>
      <c r="G3661" t="inlineStr">
        <is>
          <t>Up</t>
        </is>
      </c>
      <c r="H3661" t="inlineStr">
        <is>
          <t>EU_JU</t>
        </is>
      </c>
      <c r="I3661" t="inlineStr">
        <is>
          <t>2021-02</t>
        </is>
      </c>
      <c r="J3661" t="n">
        <v>1</v>
      </c>
      <c r="K3661" t="n">
        <v>1</v>
      </c>
      <c r="L3661" s="34">
        <f>IF($J3661=1,LN(B3662/B3661),"")</f>
        <v/>
      </c>
      <c r="M3661" s="34">
        <f>IF($K3661=1,INDEX(Mensal!$D$2:$D$245,MATCH($I3661,Mensal!$A$2:$A$245,0)),"")</f>
        <v/>
      </c>
      <c r="N3661" s="34">
        <f>IF($K3661=1,L3661-M3661,"")</f>
        <v/>
      </c>
      <c r="O3661" s="34" t="n">
        <v>7.469e-05</v>
      </c>
      <c r="P3661" s="34">
        <f>IF($J3661=1,LN(1+O3661),"")</f>
        <v/>
      </c>
      <c r="Q3661" s="34">
        <f>IF($J3661=1,LN(R3662/R3661),"")</f>
        <v/>
      </c>
      <c r="R3661" s="32" t="n">
        <v>5.3875</v>
      </c>
      <c r="S3661" s="35" t="n">
        <v>3.47</v>
      </c>
      <c r="T3661" s="18" t="n"/>
      <c r="U3661" s="18" t="n">
        <v>118233.81</v>
      </c>
      <c r="V3661" s="18" t="n"/>
      <c r="W3661" s="18" t="n"/>
      <c r="X3661" s="35" t="n">
        <v>3.47</v>
      </c>
      <c r="Y3661" s="35" t="n"/>
    </row>
    <row r="3662">
      <c r="A3662" s="25" t="n">
        <v>44230</v>
      </c>
      <c r="B3662" s="18" t="n">
        <v>119724.72</v>
      </c>
      <c r="C3662" s="31" t="n"/>
      <c r="D3662" s="32" t="n"/>
      <c r="E3662" s="33" t="n">
        <v>4.5646</v>
      </c>
      <c r="F3662" t="inlineStr">
        <is>
          <t>Up</t>
        </is>
      </c>
      <c r="G3662" t="inlineStr">
        <is>
          <t>Up</t>
        </is>
      </c>
      <c r="H3662" t="inlineStr">
        <is>
          <t>EU_JU</t>
        </is>
      </c>
      <c r="I3662" t="inlineStr">
        <is>
          <t>2021-02</t>
        </is>
      </c>
      <c r="J3662" t="n">
        <v>1</v>
      </c>
      <c r="K3662" t="n">
        <v>1</v>
      </c>
      <c r="L3662" s="34">
        <f>IF($J3662=1,LN(B3663/B3662),"")</f>
        <v/>
      </c>
      <c r="M3662" s="34">
        <f>IF($K3662=1,INDEX(Mensal!$D$2:$D$245,MATCH($I3662,Mensal!$A$2:$A$245,0)),"")</f>
        <v/>
      </c>
      <c r="N3662" s="34">
        <f>IF($K3662=1,L3662-M3662,"")</f>
        <v/>
      </c>
      <c r="O3662" s="34" t="n">
        <v>7.469e-05</v>
      </c>
      <c r="P3662" s="34">
        <f>IF($J3662=1,LN(1+O3662),"")</f>
        <v/>
      </c>
      <c r="Q3662" s="34">
        <f>IF($J3662=1,LN(R3663/R3662),"")</f>
        <v/>
      </c>
      <c r="R3662" s="32" t="n">
        <v>5.3423</v>
      </c>
      <c r="S3662" s="35" t="n">
        <v>3.49</v>
      </c>
      <c r="T3662" s="18" t="n"/>
      <c r="U3662" s="18" t="n">
        <v>119724.72</v>
      </c>
      <c r="V3662" s="18" t="n"/>
      <c r="W3662" s="18" t="n"/>
      <c r="X3662" s="35" t="n">
        <v>3.49</v>
      </c>
      <c r="Y3662" s="35" t="n"/>
    </row>
    <row r="3663">
      <c r="A3663" s="25" t="n">
        <v>44231</v>
      </c>
      <c r="B3663" s="18" t="n">
        <v>119260.82</v>
      </c>
      <c r="C3663" s="31" t="n"/>
      <c r="D3663" s="32" t="n"/>
      <c r="E3663" s="33" t="n">
        <v>4.5608</v>
      </c>
      <c r="F3663" t="inlineStr">
        <is>
          <t>Up</t>
        </is>
      </c>
      <c r="G3663" t="inlineStr">
        <is>
          <t>Up</t>
        </is>
      </c>
      <c r="H3663" t="inlineStr">
        <is>
          <t>EU_JU</t>
        </is>
      </c>
      <c r="I3663" t="inlineStr">
        <is>
          <t>2021-02</t>
        </is>
      </c>
      <c r="J3663" t="n">
        <v>1</v>
      </c>
      <c r="K3663" t="n">
        <v>1</v>
      </c>
      <c r="L3663" s="34">
        <f>IF($J3663=1,LN(B3664/B3663),"")</f>
        <v/>
      </c>
      <c r="M3663" s="34">
        <f>IF($K3663=1,INDEX(Mensal!$D$2:$D$245,MATCH($I3663,Mensal!$A$2:$A$245,0)),"")</f>
        <v/>
      </c>
      <c r="N3663" s="34">
        <f>IF($K3663=1,L3663-M3663,"")</f>
        <v/>
      </c>
      <c r="O3663" s="34" t="n">
        <v>7.469e-05</v>
      </c>
      <c r="P3663" s="34">
        <f>IF($J3663=1,LN(1+O3663),"")</f>
        <v/>
      </c>
      <c r="Q3663" s="34">
        <f>IF($J3663=1,LN(R3664/R3663),"")</f>
        <v/>
      </c>
      <c r="R3663" s="32" t="n">
        <v>5.391</v>
      </c>
      <c r="S3663" s="35" t="n">
        <v>3.52</v>
      </c>
      <c r="T3663" s="18" t="n"/>
      <c r="U3663" s="18" t="n">
        <v>119260.82</v>
      </c>
      <c r="V3663" s="18" t="n"/>
      <c r="W3663" s="18" t="n"/>
      <c r="X3663" s="35" t="n">
        <v>3.52</v>
      </c>
      <c r="Y3663" s="35" t="n"/>
    </row>
    <row r="3664">
      <c r="A3664" s="25" t="n">
        <v>44232</v>
      </c>
      <c r="B3664" s="18" t="n">
        <v>120240.26</v>
      </c>
      <c r="C3664" s="31" t="n"/>
      <c r="D3664" s="32" t="n"/>
      <c r="E3664" s="33" t="n">
        <v>4.5566</v>
      </c>
      <c r="F3664" t="inlineStr">
        <is>
          <t>Up</t>
        </is>
      </c>
      <c r="G3664" t="inlineStr">
        <is>
          <t>Up</t>
        </is>
      </c>
      <c r="H3664" t="inlineStr">
        <is>
          <t>EU_JU</t>
        </is>
      </c>
      <c r="I3664" t="inlineStr">
        <is>
          <t>2021-02</t>
        </is>
      </c>
      <c r="J3664" t="n">
        <v>1</v>
      </c>
      <c r="K3664" t="n">
        <v>1</v>
      </c>
      <c r="L3664" s="34">
        <f>IF($J3664=1,LN(B3665/B3664),"")</f>
        <v/>
      </c>
      <c r="M3664" s="34">
        <f>IF($K3664=1,INDEX(Mensal!$D$2:$D$245,MATCH($I3664,Mensal!$A$2:$A$245,0)),"")</f>
        <v/>
      </c>
      <c r="N3664" s="34">
        <f>IF($K3664=1,L3664-M3664,"")</f>
        <v/>
      </c>
      <c r="O3664" s="34" t="n">
        <v>7.469e-05</v>
      </c>
      <c r="P3664" s="34">
        <f>IF($J3664=1,LN(1+O3664),"")</f>
        <v/>
      </c>
      <c r="Q3664" s="34">
        <f>IF($J3664=1,LN(R3665/R3664),"")</f>
        <v/>
      </c>
      <c r="R3664" s="32" t="n">
        <v>5.3884</v>
      </c>
      <c r="S3664" s="35" t="n">
        <v>3.58</v>
      </c>
      <c r="T3664" s="18" t="n"/>
      <c r="U3664" s="18" t="n">
        <v>120240.26</v>
      </c>
      <c r="V3664" s="18" t="n"/>
      <c r="W3664" s="18" t="n"/>
      <c r="X3664" s="35" t="n">
        <v>3.58</v>
      </c>
      <c r="Y3664" s="35" t="n"/>
    </row>
    <row r="3665">
      <c r="A3665" s="25" t="n">
        <v>44235</v>
      </c>
      <c r="B3665" s="18" t="n">
        <v>119696.36</v>
      </c>
      <c r="C3665" s="31" t="n"/>
      <c r="D3665" s="32" t="n"/>
      <c r="E3665" s="33" t="n">
        <v>4.5554</v>
      </c>
      <c r="F3665" t="inlineStr">
        <is>
          <t>Up</t>
        </is>
      </c>
      <c r="G3665" t="inlineStr">
        <is>
          <t>Up</t>
        </is>
      </c>
      <c r="H3665" t="inlineStr">
        <is>
          <t>EU_JU</t>
        </is>
      </c>
      <c r="I3665" t="inlineStr">
        <is>
          <t>2021-02</t>
        </is>
      </c>
      <c r="J3665" t="n">
        <v>1</v>
      </c>
      <c r="K3665" t="n">
        <v>1</v>
      </c>
      <c r="L3665" s="34">
        <f>IF($J3665=1,LN(B3666/B3665),"")</f>
        <v/>
      </c>
      <c r="M3665" s="34">
        <f>IF($K3665=1,INDEX(Mensal!$D$2:$D$245,MATCH($I3665,Mensal!$A$2:$A$245,0)),"")</f>
        <v/>
      </c>
      <c r="N3665" s="34">
        <f>IF($K3665=1,L3665-M3665,"")</f>
        <v/>
      </c>
      <c r="O3665" s="34" t="n">
        <v>7.469e-05</v>
      </c>
      <c r="P3665" s="34">
        <f>IF($J3665=1,LN(1+O3665),"")</f>
        <v/>
      </c>
      <c r="Q3665" s="34">
        <f>IF($J3665=1,LN(R3666/R3665),"")</f>
        <v/>
      </c>
      <c r="R3665" s="32" t="n">
        <v>5.367</v>
      </c>
      <c r="S3665" s="35" t="n">
        <v>3.59</v>
      </c>
      <c r="T3665" s="18" t="n"/>
      <c r="U3665" s="18" t="n">
        <v>119696.36</v>
      </c>
      <c r="V3665" s="18" t="n"/>
      <c r="W3665" s="18" t="n"/>
      <c r="X3665" s="35" t="n">
        <v>3.59</v>
      </c>
      <c r="Y3665" s="35" t="n"/>
    </row>
    <row r="3666">
      <c r="A3666" s="25" t="n">
        <v>44236</v>
      </c>
      <c r="B3666" s="18" t="n">
        <v>119471.62</v>
      </c>
      <c r="C3666" s="31" t="n"/>
      <c r="D3666" s="32" t="n"/>
      <c r="E3666" s="33" t="n">
        <v>4.5443</v>
      </c>
      <c r="F3666" t="inlineStr">
        <is>
          <t>Up</t>
        </is>
      </c>
      <c r="G3666" t="inlineStr">
        <is>
          <t>Up</t>
        </is>
      </c>
      <c r="H3666" t="inlineStr">
        <is>
          <t>EU_JU</t>
        </is>
      </c>
      <c r="I3666" t="inlineStr">
        <is>
          <t>2021-02</t>
        </is>
      </c>
      <c r="J3666" t="n">
        <v>1</v>
      </c>
      <c r="K3666" t="n">
        <v>1</v>
      </c>
      <c r="L3666" s="34">
        <f>IF($J3666=1,LN(B3667/B3666),"")</f>
        <v/>
      </c>
      <c r="M3666" s="34">
        <f>IF($K3666=1,INDEX(Mensal!$D$2:$D$245,MATCH($I3666,Mensal!$A$2:$A$245,0)),"")</f>
        <v/>
      </c>
      <c r="N3666" s="34">
        <f>IF($K3666=1,L3666-M3666,"")</f>
        <v/>
      </c>
      <c r="O3666" s="34" t="n">
        <v>7.469e-05</v>
      </c>
      <c r="P3666" s="34">
        <f>IF($J3666=1,LN(1+O3666),"")</f>
        <v/>
      </c>
      <c r="Q3666" s="34">
        <f>IF($J3666=1,LN(R3667/R3666),"")</f>
        <v/>
      </c>
      <c r="R3666" s="32" t="n">
        <v>5.4216</v>
      </c>
      <c r="S3666" s="35" t="n">
        <v>3.59</v>
      </c>
      <c r="T3666" s="18" t="n"/>
      <c r="U3666" s="18" t="n">
        <v>119471.62</v>
      </c>
      <c r="V3666" s="18" t="n"/>
      <c r="W3666" s="18" t="n"/>
      <c r="X3666" s="35" t="n">
        <v>3.59</v>
      </c>
      <c r="Y3666" s="35" t="n"/>
    </row>
    <row r="3667">
      <c r="A3667" s="25" t="n">
        <v>44237</v>
      </c>
      <c r="B3667" s="18" t="n">
        <v>118435.33</v>
      </c>
      <c r="C3667" s="31" t="n"/>
      <c r="D3667" s="32" t="n"/>
      <c r="E3667" s="33" t="n">
        <v>4.5204</v>
      </c>
      <c r="F3667" t="inlineStr">
        <is>
          <t>Up</t>
        </is>
      </c>
      <c r="G3667" t="inlineStr">
        <is>
          <t>Up</t>
        </is>
      </c>
      <c r="H3667" t="inlineStr">
        <is>
          <t>EU_JU</t>
        </is>
      </c>
      <c r="I3667" t="inlineStr">
        <is>
          <t>2021-02</t>
        </is>
      </c>
      <c r="J3667" t="n">
        <v>1</v>
      </c>
      <c r="K3667" t="n">
        <v>1</v>
      </c>
      <c r="L3667" s="34">
        <f>IF($J3667=1,LN(B3668/B3667),"")</f>
        <v/>
      </c>
      <c r="M3667" s="34">
        <f>IF($K3667=1,INDEX(Mensal!$D$2:$D$245,MATCH($I3667,Mensal!$A$2:$A$245,0)),"")</f>
        <v/>
      </c>
      <c r="N3667" s="34">
        <f>IF($K3667=1,L3667-M3667,"")</f>
        <v/>
      </c>
      <c r="O3667" s="34" t="n">
        <v>7.469e-05</v>
      </c>
      <c r="P3667" s="34">
        <f>IF($J3667=1,LN(1+O3667),"")</f>
        <v/>
      </c>
      <c r="Q3667" s="34">
        <f>IF($J3667=1,LN(R3668/R3667),"")</f>
        <v/>
      </c>
      <c r="R3667" s="32" t="n">
        <v>5.4024</v>
      </c>
      <c r="S3667" s="35" t="n">
        <v>3.55</v>
      </c>
      <c r="T3667" s="18" t="n"/>
      <c r="U3667" s="18" t="n">
        <v>118435.33</v>
      </c>
      <c r="V3667" s="18" t="n"/>
      <c r="W3667" s="18" t="n"/>
      <c r="X3667" s="35" t="n">
        <v>3.55</v>
      </c>
      <c r="Y3667" s="35" t="n"/>
    </row>
    <row r="3668">
      <c r="A3668" s="25" t="n">
        <v>44238</v>
      </c>
      <c r="B3668" s="18" t="n">
        <v>119299.83</v>
      </c>
      <c r="C3668" s="31" t="n"/>
      <c r="D3668" s="32" t="n"/>
      <c r="E3668" s="33" t="n">
        <v>4.5058</v>
      </c>
      <c r="F3668" t="inlineStr">
        <is>
          <t>Up</t>
        </is>
      </c>
      <c r="G3668" t="inlineStr">
        <is>
          <t>Up</t>
        </is>
      </c>
      <c r="H3668" t="inlineStr">
        <is>
          <t>EU_JU</t>
        </is>
      </c>
      <c r="I3668" t="inlineStr">
        <is>
          <t>2021-02</t>
        </is>
      </c>
      <c r="J3668" t="n">
        <v>1</v>
      </c>
      <c r="K3668" t="n">
        <v>1</v>
      </c>
      <c r="L3668" s="34">
        <f>IF($J3668=1,LN(B3669/B3668),"")</f>
        <v/>
      </c>
      <c r="M3668" s="34">
        <f>IF($K3668=1,INDEX(Mensal!$D$2:$D$245,MATCH($I3668,Mensal!$A$2:$A$245,0)),"")</f>
        <v/>
      </c>
      <c r="N3668" s="34">
        <f>IF($K3668=1,L3668-M3668,"")</f>
        <v/>
      </c>
      <c r="O3668" s="34" t="n">
        <v>7.469e-05</v>
      </c>
      <c r="P3668" s="34">
        <f>IF($J3668=1,LN(1+O3668),"")</f>
        <v/>
      </c>
      <c r="Q3668" s="34">
        <f>IF($J3668=1,LN(R3669/R3668),"")</f>
        <v/>
      </c>
      <c r="R3668" s="32" t="n">
        <v>5.3626</v>
      </c>
      <c r="S3668" s="35" t="n">
        <v>3.55</v>
      </c>
      <c r="T3668" s="18" t="n"/>
      <c r="U3668" s="18" t="n">
        <v>119299.83</v>
      </c>
      <c r="V3668" s="18" t="n"/>
      <c r="W3668" s="18" t="n"/>
      <c r="X3668" s="35" t="n">
        <v>3.55</v>
      </c>
      <c r="Y3668" s="35" t="n"/>
    </row>
    <row r="3669">
      <c r="A3669" s="25" t="n">
        <v>44239</v>
      </c>
      <c r="B3669" s="18" t="n">
        <v>119428.72</v>
      </c>
      <c r="C3669" s="31" t="n"/>
      <c r="D3669" s="32" t="n"/>
      <c r="E3669" s="33" t="n">
        <v>4.4794</v>
      </c>
      <c r="F3669" t="inlineStr">
        <is>
          <t>Up</t>
        </is>
      </c>
      <c r="G3669" t="inlineStr">
        <is>
          <t>Up</t>
        </is>
      </c>
      <c r="H3669" t="inlineStr">
        <is>
          <t>EU_JU</t>
        </is>
      </c>
      <c r="I3669" t="inlineStr">
        <is>
          <t>2021-02</t>
        </is>
      </c>
      <c r="J3669" t="n">
        <v>1</v>
      </c>
      <c r="K3669" t="n">
        <v>1</v>
      </c>
      <c r="L3669" s="34">
        <f>IF($J3669=1,LN(B3670/B3669),"")</f>
        <v/>
      </c>
      <c r="M3669" s="34">
        <f>IF($K3669=1,INDEX(Mensal!$D$2:$D$245,MATCH($I3669,Mensal!$A$2:$A$245,0)),"")</f>
        <v/>
      </c>
      <c r="N3669" s="34">
        <f>IF($K3669=1,L3669-M3669,"")</f>
        <v/>
      </c>
      <c r="O3669" s="34" t="n">
        <v>7.469e-05</v>
      </c>
      <c r="P3669" s="34">
        <f>IF($J3669=1,LN(1+O3669),"")</f>
        <v/>
      </c>
      <c r="Q3669" s="34">
        <f>IF($J3669=1,LN(R3670/R3669),"")</f>
        <v/>
      </c>
      <c r="R3669" s="32" t="n">
        <v>5.3815</v>
      </c>
      <c r="S3669" s="35" t="n">
        <v>3.58</v>
      </c>
      <c r="T3669" s="18" t="n"/>
      <c r="U3669" s="18" t="n">
        <v>119428.72</v>
      </c>
      <c r="V3669" s="18" t="n"/>
      <c r="W3669" s="18" t="n"/>
      <c r="X3669" s="35" t="n">
        <v>3.58</v>
      </c>
      <c r="Y3669" s="35" t="n"/>
    </row>
    <row r="3670">
      <c r="A3670" s="25" t="n">
        <v>44244</v>
      </c>
      <c r="B3670" s="18" t="n">
        <v>120355.79</v>
      </c>
      <c r="C3670" s="31" t="n"/>
      <c r="D3670" s="32" t="n"/>
      <c r="E3670" s="33" t="n">
        <v>4.4312</v>
      </c>
      <c r="F3670" t="inlineStr">
        <is>
          <t>Up</t>
        </is>
      </c>
      <c r="G3670" t="inlineStr">
        <is>
          <t>Up</t>
        </is>
      </c>
      <c r="H3670" t="inlineStr">
        <is>
          <t>EU_JU</t>
        </is>
      </c>
      <c r="I3670" t="inlineStr">
        <is>
          <t>2021-02</t>
        </is>
      </c>
      <c r="J3670" t="n">
        <v>1</v>
      </c>
      <c r="K3670" t="n">
        <v>1</v>
      </c>
      <c r="L3670" s="34">
        <f>IF($J3670=1,LN(B3671/B3670),"")</f>
        <v/>
      </c>
      <c r="M3670" s="34">
        <f>IF($K3670=1,INDEX(Mensal!$D$2:$D$245,MATCH($I3670,Mensal!$A$2:$A$245,0)),"")</f>
        <v/>
      </c>
      <c r="N3670" s="34">
        <f>IF($K3670=1,L3670-M3670,"")</f>
        <v/>
      </c>
      <c r="O3670" s="34" t="n">
        <v>7.469e-05</v>
      </c>
      <c r="P3670" s="34">
        <f>IF($J3670=1,LN(1+O3670),"")</f>
        <v/>
      </c>
      <c r="Q3670" s="34">
        <f>IF($J3670=1,LN(R3671/R3670),"")</f>
        <v/>
      </c>
      <c r="R3670" s="32" t="n">
        <v>5.4138</v>
      </c>
      <c r="S3670" s="35" t="n">
        <v>3.68</v>
      </c>
      <c r="T3670" s="18" t="n"/>
      <c r="U3670" s="18" t="n">
        <v>120355.79</v>
      </c>
      <c r="V3670" s="18" t="n"/>
      <c r="W3670" s="18" t="n"/>
      <c r="X3670" s="35" t="n">
        <v>3.68</v>
      </c>
      <c r="Y3670" s="35" t="n"/>
    </row>
    <row r="3671">
      <c r="A3671" s="25" t="n">
        <v>44245</v>
      </c>
      <c r="B3671" s="18" t="n">
        <v>119198.97</v>
      </c>
      <c r="C3671" s="31" t="n"/>
      <c r="D3671" s="32" t="n"/>
      <c r="E3671" s="33" t="n">
        <v>4.3755</v>
      </c>
      <c r="F3671" t="inlineStr">
        <is>
          <t>Up</t>
        </is>
      </c>
      <c r="G3671" t="inlineStr">
        <is>
          <t>Up</t>
        </is>
      </c>
      <c r="H3671" t="inlineStr">
        <is>
          <t>EU_JU</t>
        </is>
      </c>
      <c r="I3671" t="inlineStr">
        <is>
          <t>2021-02</t>
        </is>
      </c>
      <c r="J3671" t="n">
        <v>1</v>
      </c>
      <c r="K3671" t="n">
        <v>1</v>
      </c>
      <c r="L3671" s="34">
        <f>IF($J3671=1,LN(B3672/B3671),"")</f>
        <v/>
      </c>
      <c r="M3671" s="34">
        <f>IF($K3671=1,INDEX(Mensal!$D$2:$D$245,MATCH($I3671,Mensal!$A$2:$A$245,0)),"")</f>
        <v/>
      </c>
      <c r="N3671" s="34">
        <f>IF($K3671=1,L3671-M3671,"")</f>
        <v/>
      </c>
      <c r="O3671" s="34" t="n">
        <v>7.469e-05</v>
      </c>
      <c r="P3671" s="34">
        <f>IF($J3671=1,LN(1+O3671),"")</f>
        <v/>
      </c>
      <c r="Q3671" s="34">
        <f>IF($J3671=1,LN(R3672/R3671),"")</f>
        <v/>
      </c>
      <c r="R3671" s="32" t="n">
        <v>5.4238</v>
      </c>
      <c r="S3671" s="35" t="n">
        <v>3.66</v>
      </c>
      <c r="T3671" s="18" t="n"/>
      <c r="U3671" s="18" t="n">
        <v>119198.97</v>
      </c>
      <c r="V3671" s="18" t="n"/>
      <c r="W3671" s="18" t="n"/>
      <c r="X3671" s="35" t="n">
        <v>3.66</v>
      </c>
      <c r="Y3671" s="35" t="n"/>
    </row>
    <row r="3672">
      <c r="A3672" s="25" t="n">
        <v>44246</v>
      </c>
      <c r="B3672" s="18" t="n">
        <v>118430.53</v>
      </c>
      <c r="C3672" s="31" t="n"/>
      <c r="D3672" s="32" t="n"/>
      <c r="E3672" s="33" t="n">
        <v>4.3128</v>
      </c>
      <c r="F3672" t="inlineStr">
        <is>
          <t>Up</t>
        </is>
      </c>
      <c r="G3672" t="inlineStr">
        <is>
          <t>Up</t>
        </is>
      </c>
      <c r="H3672" t="inlineStr">
        <is>
          <t>EU_JU</t>
        </is>
      </c>
      <c r="I3672" t="inlineStr">
        <is>
          <t>2021-02</t>
        </is>
      </c>
      <c r="J3672" t="n">
        <v>1</v>
      </c>
      <c r="K3672" t="n">
        <v>1</v>
      </c>
      <c r="L3672" s="34">
        <f>IF($J3672=1,LN(B3673/B3672),"")</f>
        <v/>
      </c>
      <c r="M3672" s="34">
        <f>IF($K3672=1,INDEX(Mensal!$D$2:$D$245,MATCH($I3672,Mensal!$A$2:$A$245,0)),"")</f>
        <v/>
      </c>
      <c r="N3672" s="34">
        <f>IF($K3672=1,L3672-M3672,"")</f>
        <v/>
      </c>
      <c r="O3672" s="34" t="n">
        <v>7.469e-05</v>
      </c>
      <c r="P3672" s="34">
        <f>IF($J3672=1,LN(1+O3672),"")</f>
        <v/>
      </c>
      <c r="Q3672" s="34">
        <f>IF($J3672=1,LN(R3673/R3672),"")</f>
        <v/>
      </c>
      <c r="R3672" s="32" t="n">
        <v>5.3924</v>
      </c>
      <c r="S3672" s="35" t="n">
        <v>3.7</v>
      </c>
      <c r="T3672" s="18" t="n"/>
      <c r="U3672" s="18" t="n">
        <v>118430.53</v>
      </c>
      <c r="V3672" s="18" t="n"/>
      <c r="W3672" s="18" t="n"/>
      <c r="X3672" s="35" t="n">
        <v>3.7</v>
      </c>
      <c r="Y3672" s="35" t="n"/>
    </row>
    <row r="3673">
      <c r="A3673" s="25" t="n">
        <v>44249</v>
      </c>
      <c r="B3673" s="18" t="n">
        <v>112667.7</v>
      </c>
      <c r="C3673" s="31" t="n"/>
      <c r="D3673" s="32" t="n"/>
      <c r="E3673" s="33" t="n">
        <v>4.2618</v>
      </c>
      <c r="F3673" t="inlineStr">
        <is>
          <t>Up</t>
        </is>
      </c>
      <c r="G3673" t="inlineStr">
        <is>
          <t>Up</t>
        </is>
      </c>
      <c r="H3673" t="inlineStr">
        <is>
          <t>EU_JU</t>
        </is>
      </c>
      <c r="I3673" t="inlineStr">
        <is>
          <t>2021-02</t>
        </is>
      </c>
      <c r="J3673" t="n">
        <v>1</v>
      </c>
      <c r="K3673" t="n">
        <v>1</v>
      </c>
      <c r="L3673" s="34">
        <f>IF($J3673=1,LN(B3674/B3673),"")</f>
        <v/>
      </c>
      <c r="M3673" s="34">
        <f>IF($K3673=1,INDEX(Mensal!$D$2:$D$245,MATCH($I3673,Mensal!$A$2:$A$245,0)),"")</f>
        <v/>
      </c>
      <c r="N3673" s="34">
        <f>IF($K3673=1,L3673-M3673,"")</f>
        <v/>
      </c>
      <c r="O3673" s="34" t="n">
        <v>7.469e-05</v>
      </c>
      <c r="P3673" s="34">
        <f>IF($J3673=1,LN(1+O3673),"")</f>
        <v/>
      </c>
      <c r="Q3673" s="34">
        <f>IF($J3673=1,LN(R3674/R3673),"")</f>
        <v/>
      </c>
      <c r="R3673" s="32" t="n">
        <v>5.5044</v>
      </c>
      <c r="S3673" s="35" t="n">
        <v>3.82</v>
      </c>
      <c r="T3673" s="18" t="n"/>
      <c r="U3673" s="18" t="n">
        <v>112667.7</v>
      </c>
      <c r="V3673" s="18" t="n"/>
      <c r="W3673" s="18" t="n"/>
      <c r="X3673" s="35" t="n">
        <v>3.82</v>
      </c>
      <c r="Y3673" s="35" t="n"/>
    </row>
    <row r="3674">
      <c r="A3674" s="25" t="n">
        <v>44250</v>
      </c>
      <c r="B3674" s="18" t="n">
        <v>115227.46</v>
      </c>
      <c r="C3674" s="31" t="n"/>
      <c r="D3674" s="32" t="n"/>
      <c r="E3674" s="33" t="n">
        <v>4.2035</v>
      </c>
      <c r="F3674" t="inlineStr">
        <is>
          <t>Up</t>
        </is>
      </c>
      <c r="G3674" t="inlineStr">
        <is>
          <t>Up</t>
        </is>
      </c>
      <c r="H3674" t="inlineStr">
        <is>
          <t>EU_JU</t>
        </is>
      </c>
      <c r="I3674" t="inlineStr">
        <is>
          <t>2021-02</t>
        </is>
      </c>
      <c r="J3674" t="n">
        <v>1</v>
      </c>
      <c r="K3674" t="n">
        <v>1</v>
      </c>
      <c r="L3674" s="34">
        <f>IF($J3674=1,LN(B3675/B3674),"")</f>
        <v/>
      </c>
      <c r="M3674" s="34">
        <f>IF($K3674=1,INDEX(Mensal!$D$2:$D$245,MATCH($I3674,Mensal!$A$2:$A$245,0)),"")</f>
        <v/>
      </c>
      <c r="N3674" s="34">
        <f>IF($K3674=1,L3674-M3674,"")</f>
        <v/>
      </c>
      <c r="O3674" s="34" t="n">
        <v>7.469e-05</v>
      </c>
      <c r="P3674" s="34">
        <f>IF($J3674=1,LN(1+O3674),"")</f>
        <v/>
      </c>
      <c r="Q3674" s="34">
        <f>IF($J3674=1,LN(R3675/R3674),"")</f>
        <v/>
      </c>
      <c r="R3674" s="32" t="n">
        <v>5.449</v>
      </c>
      <c r="S3674" s="35" t="n">
        <v>3.76</v>
      </c>
      <c r="T3674" s="18" t="n"/>
      <c r="U3674" s="18" t="n">
        <v>115227.46</v>
      </c>
      <c r="V3674" s="18" t="n"/>
      <c r="W3674" s="18" t="n"/>
      <c r="X3674" s="35" t="n">
        <v>3.76</v>
      </c>
      <c r="Y3674" s="35" t="n"/>
    </row>
    <row r="3675">
      <c r="A3675" s="25" t="n">
        <v>44251</v>
      </c>
      <c r="B3675" s="18" t="n">
        <v>115667.78</v>
      </c>
      <c r="C3675" s="31" t="n"/>
      <c r="D3675" s="32" t="n"/>
      <c r="E3675" s="33" t="n">
        <v>4.1374</v>
      </c>
      <c r="F3675" t="inlineStr">
        <is>
          <t>Up</t>
        </is>
      </c>
      <c r="G3675" t="inlineStr">
        <is>
          <t>Up</t>
        </is>
      </c>
      <c r="H3675" t="inlineStr">
        <is>
          <t>EU_JU</t>
        </is>
      </c>
      <c r="I3675" t="inlineStr">
        <is>
          <t>2021-02</t>
        </is>
      </c>
      <c r="J3675" t="n">
        <v>1</v>
      </c>
      <c r="K3675" t="n">
        <v>1</v>
      </c>
      <c r="L3675" s="34">
        <f>IF($J3675=1,LN(B3676/B3675),"")</f>
        <v/>
      </c>
      <c r="M3675" s="34">
        <f>IF($K3675=1,INDEX(Mensal!$D$2:$D$245,MATCH($I3675,Mensal!$A$2:$A$245,0)),"")</f>
        <v/>
      </c>
      <c r="N3675" s="34">
        <f>IF($K3675=1,L3675-M3675,"")</f>
        <v/>
      </c>
      <c r="O3675" s="34" t="n">
        <v>7.469e-05</v>
      </c>
      <c r="P3675" s="34">
        <f>IF($J3675=1,LN(1+O3675),"")</f>
        <v/>
      </c>
      <c r="Q3675" s="34">
        <f>IF($J3675=1,LN(R3676/R3675),"")</f>
        <v/>
      </c>
      <c r="R3675" s="32" t="n">
        <v>5.4182</v>
      </c>
      <c r="S3675" s="35" t="n">
        <v>3.82</v>
      </c>
      <c r="T3675" s="18" t="n"/>
      <c r="U3675" s="18" t="n">
        <v>115667.78</v>
      </c>
      <c r="V3675" s="18" t="n"/>
      <c r="W3675" s="18" t="n"/>
      <c r="X3675" s="35" t="n">
        <v>3.82</v>
      </c>
      <c r="Y3675" s="35" t="n"/>
    </row>
    <row r="3676">
      <c r="A3676" s="25" t="n">
        <v>44252</v>
      </c>
      <c r="B3676" s="18" t="n">
        <v>112256.36</v>
      </c>
      <c r="C3676" s="31" t="n"/>
      <c r="D3676" s="32" t="n"/>
      <c r="E3676" s="33" t="n">
        <v>4.0736</v>
      </c>
      <c r="F3676" t="inlineStr">
        <is>
          <t>Up</t>
        </is>
      </c>
      <c r="G3676" t="inlineStr">
        <is>
          <t>Up</t>
        </is>
      </c>
      <c r="H3676" t="inlineStr">
        <is>
          <t>EU_JU</t>
        </is>
      </c>
      <c r="I3676" t="inlineStr">
        <is>
          <t>2021-02</t>
        </is>
      </c>
      <c r="J3676" t="n">
        <v>1</v>
      </c>
      <c r="K3676" t="n">
        <v>1</v>
      </c>
      <c r="L3676" s="34">
        <f>IF($J3676=1,LN(B3677/B3676),"")</f>
        <v/>
      </c>
      <c r="M3676" s="34">
        <f>IF($K3676=1,INDEX(Mensal!$D$2:$D$245,MATCH($I3676,Mensal!$A$2:$A$245,0)),"")</f>
        <v/>
      </c>
      <c r="N3676" s="34">
        <f>IF($K3676=1,L3676-M3676,"")</f>
        <v/>
      </c>
      <c r="O3676" s="34" t="n">
        <v>7.469e-05</v>
      </c>
      <c r="P3676" s="34">
        <f>IF($J3676=1,LN(1+O3676),"")</f>
        <v/>
      </c>
      <c r="Q3676" s="34">
        <f>IF($J3676=1,LN(R3677/R3676),"")</f>
        <v/>
      </c>
      <c r="R3676" s="32" t="n">
        <v>5.46</v>
      </c>
      <c r="S3676" s="35" t="n">
        <v>3.98</v>
      </c>
      <c r="T3676" s="18" t="n"/>
      <c r="U3676" s="18" t="n">
        <v>112256.36</v>
      </c>
      <c r="V3676" s="18" t="n"/>
      <c r="W3676" s="18" t="n"/>
      <c r="X3676" s="35" t="n">
        <v>3.98</v>
      </c>
      <c r="Y3676" s="35" t="n"/>
    </row>
    <row r="3677">
      <c r="A3677" s="25" t="n">
        <v>44253</v>
      </c>
      <c r="B3677" s="18" t="n">
        <v>110035.17</v>
      </c>
      <c r="C3677" s="31" t="n"/>
      <c r="D3677" s="32" t="n"/>
      <c r="E3677" s="33" t="n">
        <v>4.0052</v>
      </c>
      <c r="F3677" t="inlineStr">
        <is>
          <t>Up</t>
        </is>
      </c>
      <c r="G3677" t="inlineStr">
        <is>
          <t>Up</t>
        </is>
      </c>
      <c r="H3677" t="inlineStr">
        <is>
          <t>EU_JU</t>
        </is>
      </c>
      <c r="I3677" t="inlineStr">
        <is>
          <t>2021-02</t>
        </is>
      </c>
      <c r="J3677" t="n">
        <v>1</v>
      </c>
      <c r="K3677" t="n">
        <v>1</v>
      </c>
      <c r="L3677" s="34">
        <f>IF($J3677=1,LN(B3678/B3677),"")</f>
        <v/>
      </c>
      <c r="M3677" s="34">
        <f>IF($K3677=1,INDEX(Mensal!$D$2:$D$245,MATCH($I3677,Mensal!$A$2:$A$245,0)),"")</f>
        <v/>
      </c>
      <c r="N3677" s="34">
        <f>IF($K3677=1,L3677-M3677,"")</f>
        <v/>
      </c>
      <c r="O3677" s="34" t="n">
        <v>7.469e-05</v>
      </c>
      <c r="P3677" s="34">
        <f>IF($J3677=1,LN(1+O3677),"")</f>
        <v/>
      </c>
      <c r="Q3677" s="34">
        <f>IF($J3677=1,LN(R3678/R3677),"")</f>
        <v/>
      </c>
      <c r="R3677" s="32" t="n">
        <v>5.5302</v>
      </c>
      <c r="S3677" s="35" t="n">
        <v>4.08</v>
      </c>
      <c r="T3677" s="18" t="n"/>
      <c r="U3677" s="18" t="n">
        <v>110035.17</v>
      </c>
      <c r="V3677" s="18" t="n"/>
      <c r="W3677" s="18" t="n"/>
      <c r="X3677" s="35" t="n">
        <v>4.08</v>
      </c>
      <c r="Y3677" s="35" t="n"/>
    </row>
    <row r="3678">
      <c r="A3678" s="25" t="n">
        <v>44256</v>
      </c>
      <c r="B3678" s="18" t="n">
        <v>110334.83</v>
      </c>
      <c r="C3678" s="31" t="n"/>
      <c r="D3678" s="32" t="n"/>
      <c r="E3678" s="33" t="n">
        <v>3.9644</v>
      </c>
      <c r="F3678" t="inlineStr">
        <is>
          <t>Up</t>
        </is>
      </c>
      <c r="G3678" t="inlineStr">
        <is>
          <t>Up</t>
        </is>
      </c>
      <c r="H3678" t="inlineStr">
        <is>
          <t>EU_JU</t>
        </is>
      </c>
      <c r="I3678" t="inlineStr">
        <is>
          <t>2021-03</t>
        </is>
      </c>
      <c r="J3678" t="n">
        <v>1</v>
      </c>
      <c r="K3678" t="n">
        <v>1</v>
      </c>
      <c r="L3678" s="34">
        <f>IF($J3678=1,LN(B3679/B3678),"")</f>
        <v/>
      </c>
      <c r="M3678" s="34">
        <f>IF($K3678=1,INDEX(Mensal!$D$2:$D$245,MATCH($I3678,Mensal!$A$2:$A$245,0)),"")</f>
        <v/>
      </c>
      <c r="N3678" s="34">
        <f>IF($K3678=1,L3678-M3678,"")</f>
        <v/>
      </c>
      <c r="O3678" s="34" t="n">
        <v>7.469e-05</v>
      </c>
      <c r="P3678" s="34">
        <f>IF($J3678=1,LN(1+O3678),"")</f>
        <v/>
      </c>
      <c r="Q3678" s="34">
        <f>IF($J3678=1,LN(R3679/R3678),"")</f>
        <v/>
      </c>
      <c r="R3678" s="32" t="n">
        <v>5.5832</v>
      </c>
      <c r="S3678" s="35" t="n">
        <v>4.18</v>
      </c>
      <c r="T3678" s="18" t="n"/>
      <c r="U3678" s="18" t="n">
        <v>110334.83</v>
      </c>
      <c r="V3678" s="18" t="n"/>
      <c r="W3678" s="18" t="n"/>
      <c r="X3678" s="35" t="n">
        <v>4.18</v>
      </c>
      <c r="Y3678" s="35" t="n"/>
    </row>
    <row r="3679">
      <c r="A3679" s="25" t="n">
        <v>44257</v>
      </c>
      <c r="B3679" s="18" t="n">
        <v>111539.8</v>
      </c>
      <c r="C3679" s="31" t="n"/>
      <c r="D3679" s="32" t="n"/>
      <c r="E3679" s="33" t="n">
        <v>3.9022</v>
      </c>
      <c r="F3679" t="inlineStr">
        <is>
          <t>Up</t>
        </is>
      </c>
      <c r="G3679" t="inlineStr">
        <is>
          <t>Up</t>
        </is>
      </c>
      <c r="H3679" t="inlineStr">
        <is>
          <t>EU_JU</t>
        </is>
      </c>
      <c r="I3679" t="inlineStr">
        <is>
          <t>2021-03</t>
        </is>
      </c>
      <c r="J3679" t="n">
        <v>1</v>
      </c>
      <c r="K3679" t="n">
        <v>1</v>
      </c>
      <c r="L3679" s="34">
        <f>IF($J3679=1,LN(B3680/B3679),"")</f>
        <v/>
      </c>
      <c r="M3679" s="34">
        <f>IF($K3679=1,INDEX(Mensal!$D$2:$D$245,MATCH($I3679,Mensal!$A$2:$A$245,0)),"")</f>
        <v/>
      </c>
      <c r="N3679" s="34">
        <f>IF($K3679=1,L3679-M3679,"")</f>
        <v/>
      </c>
      <c r="O3679" s="34" t="n">
        <v>7.469e-05</v>
      </c>
      <c r="P3679" s="34">
        <f>IF($J3679=1,LN(1+O3679),"")</f>
        <v/>
      </c>
      <c r="Q3679" s="34">
        <f>IF($J3679=1,LN(R3680/R3679),"")</f>
        <v/>
      </c>
      <c r="R3679" s="32" t="n">
        <v>5.6844</v>
      </c>
      <c r="S3679" s="35" t="n">
        <v>4.23</v>
      </c>
      <c r="T3679" s="18" t="n"/>
      <c r="U3679" s="18" t="n">
        <v>111539.8</v>
      </c>
      <c r="V3679" s="18" t="n"/>
      <c r="W3679" s="18" t="n"/>
      <c r="X3679" s="35" t="n">
        <v>4.23</v>
      </c>
      <c r="Y3679" s="35" t="n"/>
    </row>
    <row r="3680">
      <c r="A3680" s="25" t="n">
        <v>44258</v>
      </c>
      <c r="B3680" s="18" t="n">
        <v>111183.95</v>
      </c>
      <c r="C3680" s="31" t="n"/>
      <c r="D3680" s="32" t="n"/>
      <c r="E3680" s="33" t="n">
        <v>3.8379</v>
      </c>
      <c r="F3680" t="inlineStr">
        <is>
          <t>Up</t>
        </is>
      </c>
      <c r="G3680" t="inlineStr">
        <is>
          <t>Up</t>
        </is>
      </c>
      <c r="H3680" t="inlineStr">
        <is>
          <t>EU_JU</t>
        </is>
      </c>
      <c r="I3680" t="inlineStr">
        <is>
          <t>2021-03</t>
        </is>
      </c>
      <c r="J3680" t="n">
        <v>1</v>
      </c>
      <c r="K3680" t="n">
        <v>1</v>
      </c>
      <c r="L3680" s="34">
        <f>IF($J3680=1,LN(B3681/B3680),"")</f>
        <v/>
      </c>
      <c r="M3680" s="34">
        <f>IF($K3680=1,INDEX(Mensal!$D$2:$D$245,MATCH($I3680,Mensal!$A$2:$A$245,0)),"")</f>
        <v/>
      </c>
      <c r="N3680" s="34">
        <f>IF($K3680=1,L3680-M3680,"")</f>
        <v/>
      </c>
      <c r="O3680" s="34" t="n">
        <v>7.469e-05</v>
      </c>
      <c r="P3680" s="34">
        <f>IF($J3680=1,LN(1+O3680),"")</f>
        <v/>
      </c>
      <c r="Q3680" s="34">
        <f>IF($J3680=1,LN(R3681/R3680),"")</f>
        <v/>
      </c>
      <c r="R3680" s="32" t="n">
        <v>5.7342</v>
      </c>
      <c r="S3680" s="35" t="n">
        <v>4.38</v>
      </c>
      <c r="T3680" s="18" t="n"/>
      <c r="U3680" s="18" t="n">
        <v>111183.95</v>
      </c>
      <c r="V3680" s="18" t="n"/>
      <c r="W3680" s="18" t="n"/>
      <c r="X3680" s="35" t="n">
        <v>4.38</v>
      </c>
      <c r="Y3680" s="35" t="n"/>
    </row>
    <row r="3681">
      <c r="A3681" s="25" t="n">
        <v>44259</v>
      </c>
      <c r="B3681" s="18" t="n">
        <v>112690.17</v>
      </c>
      <c r="C3681" s="31" t="n"/>
      <c r="D3681" s="32" t="n"/>
      <c r="E3681" s="33" t="n">
        <v>3.7857</v>
      </c>
      <c r="F3681" t="inlineStr">
        <is>
          <t>Up</t>
        </is>
      </c>
      <c r="G3681" t="inlineStr">
        <is>
          <t>Up</t>
        </is>
      </c>
      <c r="H3681" t="inlineStr">
        <is>
          <t>EU_JU</t>
        </is>
      </c>
      <c r="I3681" t="inlineStr">
        <is>
          <t>2021-03</t>
        </is>
      </c>
      <c r="J3681" t="n">
        <v>1</v>
      </c>
      <c r="K3681" t="n">
        <v>1</v>
      </c>
      <c r="L3681" s="34">
        <f>IF($J3681=1,LN(B3682/B3681),"")</f>
        <v/>
      </c>
      <c r="M3681" s="34">
        <f>IF($K3681=1,INDEX(Mensal!$D$2:$D$245,MATCH($I3681,Mensal!$A$2:$A$245,0)),"")</f>
        <v/>
      </c>
      <c r="N3681" s="34">
        <f>IF($K3681=1,L3681-M3681,"")</f>
        <v/>
      </c>
      <c r="O3681" s="34" t="n">
        <v>7.469e-05</v>
      </c>
      <c r="P3681" s="34">
        <f>IF($J3681=1,LN(1+O3681),"")</f>
        <v/>
      </c>
      <c r="Q3681" s="34">
        <f>IF($J3681=1,LN(R3682/R3681),"")</f>
        <v/>
      </c>
      <c r="R3681" s="32" t="n">
        <v>5.6008</v>
      </c>
      <c r="S3681" s="35" t="n">
        <v>4.2</v>
      </c>
      <c r="T3681" s="18" t="n"/>
      <c r="U3681" s="18" t="n">
        <v>112690.17</v>
      </c>
      <c r="V3681" s="18" t="n"/>
      <c r="W3681" s="18" t="n"/>
      <c r="X3681" s="35" t="n">
        <v>4.2</v>
      </c>
      <c r="Y3681" s="35" t="n"/>
    </row>
    <row r="3682">
      <c r="A3682" s="25" t="n">
        <v>44260</v>
      </c>
      <c r="B3682" s="18" t="n">
        <v>115202.23</v>
      </c>
      <c r="C3682" s="31" t="n"/>
      <c r="D3682" s="32" t="n"/>
      <c r="E3682" s="33" t="n">
        <v>3.7319</v>
      </c>
      <c r="F3682" t="inlineStr">
        <is>
          <t>Up</t>
        </is>
      </c>
      <c r="G3682" t="inlineStr">
        <is>
          <t>Up</t>
        </is>
      </c>
      <c r="H3682" t="inlineStr">
        <is>
          <t>EU_JU</t>
        </is>
      </c>
      <c r="I3682" t="inlineStr">
        <is>
          <t>2021-03</t>
        </is>
      </c>
      <c r="J3682" t="n">
        <v>1</v>
      </c>
      <c r="K3682" t="n">
        <v>1</v>
      </c>
      <c r="L3682" s="34">
        <f>IF($J3682=1,LN(B3683/B3682),"")</f>
        <v/>
      </c>
      <c r="M3682" s="34">
        <f>IF($K3682=1,INDEX(Mensal!$D$2:$D$245,MATCH($I3682,Mensal!$A$2:$A$245,0)),"")</f>
        <v/>
      </c>
      <c r="N3682" s="34">
        <f>IF($K3682=1,L3682-M3682,"")</f>
        <v/>
      </c>
      <c r="O3682" s="34" t="n">
        <v>7.469e-05</v>
      </c>
      <c r="P3682" s="34">
        <f>IF($J3682=1,LN(1+O3682),"")</f>
        <v/>
      </c>
      <c r="Q3682" s="34">
        <f>IF($J3682=1,LN(R3683/R3682),"")</f>
        <v/>
      </c>
      <c r="R3682" s="32" t="n">
        <v>5.687</v>
      </c>
      <c r="S3682" s="35" t="n">
        <v>4.14</v>
      </c>
      <c r="T3682" s="18" t="n"/>
      <c r="U3682" s="18" t="n">
        <v>115202.23</v>
      </c>
      <c r="V3682" s="18" t="n"/>
      <c r="W3682" s="18" t="n"/>
      <c r="X3682" s="35" t="n">
        <v>4.14</v>
      </c>
      <c r="Y3682" s="35" t="n"/>
    </row>
    <row r="3683">
      <c r="A3683" s="25" t="n">
        <v>44263</v>
      </c>
      <c r="B3683" s="18" t="n">
        <v>110611.58</v>
      </c>
      <c r="C3683" s="31" t="n"/>
      <c r="D3683" s="32" t="n"/>
      <c r="E3683" s="33" t="n">
        <v>3.7074</v>
      </c>
      <c r="F3683" t="inlineStr">
        <is>
          <t>Up</t>
        </is>
      </c>
      <c r="G3683" t="inlineStr">
        <is>
          <t>Up</t>
        </is>
      </c>
      <c r="H3683" t="inlineStr">
        <is>
          <t>EU_JU</t>
        </is>
      </c>
      <c r="I3683" t="inlineStr">
        <is>
          <t>2021-03</t>
        </is>
      </c>
      <c r="J3683" t="n">
        <v>1</v>
      </c>
      <c r="K3683" t="n">
        <v>1</v>
      </c>
      <c r="L3683" s="34">
        <f>IF($J3683=1,LN(B3684/B3683),"")</f>
        <v/>
      </c>
      <c r="M3683" s="34">
        <f>IF($K3683=1,INDEX(Mensal!$D$2:$D$245,MATCH($I3683,Mensal!$A$2:$A$245,0)),"")</f>
        <v/>
      </c>
      <c r="N3683" s="34">
        <f>IF($K3683=1,L3683-M3683,"")</f>
        <v/>
      </c>
      <c r="O3683" s="34" t="n">
        <v>7.469e-05</v>
      </c>
      <c r="P3683" s="34">
        <f>IF($J3683=1,LN(1+O3683),"")</f>
        <v/>
      </c>
      <c r="Q3683" s="34">
        <f>IF($J3683=1,LN(R3684/R3683),"")</f>
        <v/>
      </c>
      <c r="R3683" s="32" t="n">
        <v>5.7343</v>
      </c>
      <c r="S3683" s="35" t="n">
        <v>4.33</v>
      </c>
      <c r="T3683" s="18" t="n"/>
      <c r="U3683" s="18" t="n">
        <v>110611.58</v>
      </c>
      <c r="V3683" s="18" t="n"/>
      <c r="W3683" s="18" t="n"/>
      <c r="X3683" s="35" t="n">
        <v>4.33</v>
      </c>
      <c r="Y3683" s="35" t="n"/>
    </row>
    <row r="3684">
      <c r="A3684" s="25" t="n">
        <v>44264</v>
      </c>
      <c r="B3684" s="18" t="n">
        <v>111330.62</v>
      </c>
      <c r="C3684" s="31" t="n"/>
      <c r="D3684" s="32" t="n"/>
      <c r="E3684" s="33" t="n">
        <v>3.6741</v>
      </c>
      <c r="F3684" t="inlineStr">
        <is>
          <t>Up</t>
        </is>
      </c>
      <c r="G3684" t="inlineStr">
        <is>
          <t>Up</t>
        </is>
      </c>
      <c r="H3684" t="inlineStr">
        <is>
          <t>EU_JU</t>
        </is>
      </c>
      <c r="I3684" t="inlineStr">
        <is>
          <t>2021-03</t>
        </is>
      </c>
      <c r="J3684" t="n">
        <v>1</v>
      </c>
      <c r="K3684" t="n">
        <v>1</v>
      </c>
      <c r="L3684" s="34">
        <f>IF($J3684=1,LN(B3685/B3684),"")</f>
        <v/>
      </c>
      <c r="M3684" s="34">
        <f>IF($K3684=1,INDEX(Mensal!$D$2:$D$245,MATCH($I3684,Mensal!$A$2:$A$245,0)),"")</f>
        <v/>
      </c>
      <c r="N3684" s="34">
        <f>IF($K3684=1,L3684-M3684,"")</f>
        <v/>
      </c>
      <c r="O3684" s="34" t="n">
        <v>7.469e-05</v>
      </c>
      <c r="P3684" s="34">
        <f>IF($J3684=1,LN(1+O3684),"")</f>
        <v/>
      </c>
      <c r="Q3684" s="34">
        <f>IF($J3684=1,LN(R3685/R3684),"")</f>
        <v/>
      </c>
      <c r="R3684" s="32" t="n">
        <v>5.8397</v>
      </c>
      <c r="S3684" s="35" t="n">
        <v>4.39</v>
      </c>
      <c r="T3684" s="18" t="n"/>
      <c r="U3684" s="18" t="n">
        <v>111330.62</v>
      </c>
      <c r="V3684" s="18" t="n"/>
      <c r="W3684" s="18" t="n"/>
      <c r="X3684" s="35" t="n">
        <v>4.39</v>
      </c>
      <c r="Y3684" s="35" t="n"/>
    </row>
    <row r="3685">
      <c r="A3685" s="25" t="n">
        <v>44265</v>
      </c>
      <c r="B3685" s="18" t="n">
        <v>112776.49</v>
      </c>
      <c r="C3685" s="31" t="n"/>
      <c r="D3685" s="32" t="n"/>
      <c r="E3685" s="33" t="n">
        <v>3.6275</v>
      </c>
      <c r="F3685" t="inlineStr">
        <is>
          <t>Up</t>
        </is>
      </c>
      <c r="G3685" t="inlineStr">
        <is>
          <t>Up</t>
        </is>
      </c>
      <c r="H3685" t="inlineStr">
        <is>
          <t>EU_JU</t>
        </is>
      </c>
      <c r="I3685" t="inlineStr">
        <is>
          <t>2021-03</t>
        </is>
      </c>
      <c r="J3685" t="n">
        <v>1</v>
      </c>
      <c r="K3685" t="n">
        <v>1</v>
      </c>
      <c r="L3685" s="34">
        <f>IF($J3685=1,LN(B3686/B3685),"")</f>
        <v/>
      </c>
      <c r="M3685" s="34">
        <f>IF($K3685=1,INDEX(Mensal!$D$2:$D$245,MATCH($I3685,Mensal!$A$2:$A$245,0)),"")</f>
        <v/>
      </c>
      <c r="N3685" s="34">
        <f>IF($K3685=1,L3685-M3685,"")</f>
        <v/>
      </c>
      <c r="O3685" s="34" t="n">
        <v>7.469e-05</v>
      </c>
      <c r="P3685" s="34">
        <f>IF($J3685=1,LN(1+O3685),"")</f>
        <v/>
      </c>
      <c r="Q3685" s="34">
        <f>IF($J3685=1,LN(R3686/R3685),"")</f>
        <v/>
      </c>
      <c r="R3685" s="32" t="n">
        <v>5.7449</v>
      </c>
      <c r="S3685" s="35" t="n">
        <v>4.42</v>
      </c>
      <c r="T3685" s="18" t="n"/>
      <c r="U3685" s="18" t="n">
        <v>112776.49</v>
      </c>
      <c r="V3685" s="18" t="n"/>
      <c r="W3685" s="18" t="n"/>
      <c r="X3685" s="35" t="n">
        <v>4.42</v>
      </c>
      <c r="Y3685" s="35" t="n"/>
    </row>
    <row r="3686">
      <c r="A3686" s="25" t="n">
        <v>44266</v>
      </c>
      <c r="B3686" s="18" t="n">
        <v>114983.76</v>
      </c>
      <c r="C3686" s="31" t="n"/>
      <c r="D3686" s="32" t="n"/>
      <c r="E3686" s="33" t="n">
        <v>3.5687</v>
      </c>
      <c r="F3686" t="inlineStr">
        <is>
          <t>Up</t>
        </is>
      </c>
      <c r="G3686" t="inlineStr">
        <is>
          <t>Up</t>
        </is>
      </c>
      <c r="H3686" t="inlineStr">
        <is>
          <t>EU_JU</t>
        </is>
      </c>
      <c r="I3686" t="inlineStr">
        <is>
          <t>2021-03</t>
        </is>
      </c>
      <c r="J3686" t="n">
        <v>1</v>
      </c>
      <c r="K3686" t="n">
        <v>1</v>
      </c>
      <c r="L3686" s="34">
        <f>IF($J3686=1,LN(B3687/B3686),"")</f>
        <v/>
      </c>
      <c r="M3686" s="34">
        <f>IF($K3686=1,INDEX(Mensal!$D$2:$D$245,MATCH($I3686,Mensal!$A$2:$A$245,0)),"")</f>
        <v/>
      </c>
      <c r="N3686" s="34">
        <f>IF($K3686=1,L3686-M3686,"")</f>
        <v/>
      </c>
      <c r="O3686" s="34" t="n">
        <v>7.469e-05</v>
      </c>
      <c r="P3686" s="34">
        <f>IF($J3686=1,LN(1+O3686),"")</f>
        <v/>
      </c>
      <c r="Q3686" s="34">
        <f>IF($J3686=1,LN(R3687/R3686),"")</f>
        <v/>
      </c>
      <c r="R3686" s="32" t="n">
        <v>5.589</v>
      </c>
      <c r="S3686" s="35" t="n">
        <v>4.5</v>
      </c>
      <c r="T3686" s="18" t="n"/>
      <c r="U3686" s="18" t="n">
        <v>114983.76</v>
      </c>
      <c r="V3686" s="18" t="n"/>
      <c r="W3686" s="18" t="n"/>
      <c r="X3686" s="35" t="n">
        <v>4.5</v>
      </c>
      <c r="Y3686" s="35" t="n"/>
    </row>
    <row r="3687">
      <c r="A3687" s="25" t="n">
        <v>44267</v>
      </c>
      <c r="B3687" s="18" t="n">
        <v>114160.4</v>
      </c>
      <c r="C3687" s="31" t="n"/>
      <c r="D3687" s="32" t="n"/>
      <c r="E3687" s="33" t="n">
        <v>3.5057</v>
      </c>
      <c r="F3687" t="inlineStr">
        <is>
          <t>Up</t>
        </is>
      </c>
      <c r="G3687" t="inlineStr">
        <is>
          <t>Up</t>
        </is>
      </c>
      <c r="H3687" t="inlineStr">
        <is>
          <t>EU_JU</t>
        </is>
      </c>
      <c r="I3687" t="inlineStr">
        <is>
          <t>2021-03</t>
        </is>
      </c>
      <c r="J3687" t="n">
        <v>1</v>
      </c>
      <c r="K3687" t="n">
        <v>1</v>
      </c>
      <c r="L3687" s="34">
        <f>IF($J3687=1,LN(B3688/B3687),"")</f>
        <v/>
      </c>
      <c r="M3687" s="34">
        <f>IF($K3687=1,INDEX(Mensal!$D$2:$D$245,MATCH($I3687,Mensal!$A$2:$A$245,0)),"")</f>
        <v/>
      </c>
      <c r="N3687" s="34">
        <f>IF($K3687=1,L3687-M3687,"")</f>
        <v/>
      </c>
      <c r="O3687" s="34" t="n">
        <v>7.469e-05</v>
      </c>
      <c r="P3687" s="34">
        <f>IF($J3687=1,LN(1+O3687),"")</f>
        <v/>
      </c>
      <c r="Q3687" s="34">
        <f>IF($J3687=1,LN(R3688/R3687),"")</f>
        <v/>
      </c>
      <c r="R3687" s="32" t="n">
        <v>5.564</v>
      </c>
      <c r="S3687" s="35" t="n">
        <v>4.61</v>
      </c>
      <c r="T3687" s="18" t="n"/>
      <c r="U3687" s="18" t="n">
        <v>114160.4</v>
      </c>
      <c r="V3687" s="18" t="n"/>
      <c r="W3687" s="18" t="n"/>
      <c r="X3687" s="35" t="n">
        <v>4.61</v>
      </c>
      <c r="Y3687" s="35" t="n"/>
    </row>
    <row r="3688">
      <c r="A3688" s="25" t="n">
        <v>44270</v>
      </c>
      <c r="B3688" s="18" t="n">
        <v>114850.74</v>
      </c>
      <c r="C3688" s="31" t="n"/>
      <c r="D3688" s="32" t="n"/>
      <c r="E3688" s="33" t="n">
        <v>3.4748</v>
      </c>
      <c r="F3688" t="inlineStr">
        <is>
          <t>Up</t>
        </is>
      </c>
      <c r="G3688" t="inlineStr">
        <is>
          <t>Up</t>
        </is>
      </c>
      <c r="H3688" t="inlineStr">
        <is>
          <t>EU_JU</t>
        </is>
      </c>
      <c r="I3688" t="inlineStr">
        <is>
          <t>2021-03</t>
        </is>
      </c>
      <c r="J3688" t="n">
        <v>1</v>
      </c>
      <c r="K3688" t="n">
        <v>1</v>
      </c>
      <c r="L3688" s="34">
        <f>IF($J3688=1,LN(B3689/B3688),"")</f>
        <v/>
      </c>
      <c r="M3688" s="34">
        <f>IF($K3688=1,INDEX(Mensal!$D$2:$D$245,MATCH($I3688,Mensal!$A$2:$A$245,0)),"")</f>
        <v/>
      </c>
      <c r="N3688" s="34">
        <f>IF($K3688=1,L3688-M3688,"")</f>
        <v/>
      </c>
      <c r="O3688" s="34" t="n">
        <v>7.469e-05</v>
      </c>
      <c r="P3688" s="34">
        <f>IF($J3688=1,LN(1+O3688),"")</f>
        <v/>
      </c>
      <c r="Q3688" s="34">
        <f>IF($J3688=1,LN(R3689/R3688),"")</f>
        <v/>
      </c>
      <c r="R3688" s="32" t="n">
        <v>5.6296</v>
      </c>
      <c r="S3688" s="35" t="n">
        <v>4.69</v>
      </c>
      <c r="T3688" s="18" t="n"/>
      <c r="U3688" s="18" t="n">
        <v>114850.74</v>
      </c>
      <c r="V3688" s="18" t="n"/>
      <c r="W3688" s="18" t="n"/>
      <c r="X3688" s="35" t="n">
        <v>4.69</v>
      </c>
      <c r="Y3688" s="35" t="n"/>
    </row>
    <row r="3689">
      <c r="A3689" s="25" t="n">
        <v>44271</v>
      </c>
      <c r="B3689" s="18" t="n">
        <v>114018.78</v>
      </c>
      <c r="C3689" s="31" t="n"/>
      <c r="D3689" s="32" t="n"/>
      <c r="E3689" s="33" t="n">
        <v>3.4361</v>
      </c>
      <c r="F3689" t="inlineStr">
        <is>
          <t>Up</t>
        </is>
      </c>
      <c r="G3689" t="inlineStr">
        <is>
          <t>Up</t>
        </is>
      </c>
      <c r="H3689" t="inlineStr">
        <is>
          <t>EU_JU</t>
        </is>
      </c>
      <c r="I3689" t="inlineStr">
        <is>
          <t>2021-03</t>
        </is>
      </c>
      <c r="J3689" t="n">
        <v>1</v>
      </c>
      <c r="K3689" t="n">
        <v>1</v>
      </c>
      <c r="L3689" s="34">
        <f>IF($J3689=1,LN(B3690/B3689),"")</f>
        <v/>
      </c>
      <c r="M3689" s="34">
        <f>IF($K3689=1,INDEX(Mensal!$D$2:$D$245,MATCH($I3689,Mensal!$A$2:$A$245,0)),"")</f>
        <v/>
      </c>
      <c r="N3689" s="34">
        <f>IF($K3689=1,L3689-M3689,"")</f>
        <v/>
      </c>
      <c r="O3689" s="34" t="n">
        <v>7.469e-05</v>
      </c>
      <c r="P3689" s="34">
        <f>IF($J3689=1,LN(1+O3689),"")</f>
        <v/>
      </c>
      <c r="Q3689" s="34">
        <f>IF($J3689=1,LN(R3690/R3689),"")</f>
        <v/>
      </c>
      <c r="R3689" s="32" t="n">
        <v>5.5851</v>
      </c>
      <c r="S3689" s="35" t="n">
        <v>4.65</v>
      </c>
      <c r="T3689" s="18" t="n"/>
      <c r="U3689" s="18" t="n">
        <v>114018.78</v>
      </c>
      <c r="V3689" s="18" t="n"/>
      <c r="W3689" s="18" t="n"/>
      <c r="X3689" s="35" t="n">
        <v>4.65</v>
      </c>
      <c r="Y3689" s="35" t="n"/>
    </row>
    <row r="3690">
      <c r="A3690" s="25" t="n">
        <v>44272</v>
      </c>
      <c r="B3690" s="18" t="n">
        <v>116549.44</v>
      </c>
      <c r="C3690" s="31" t="n"/>
      <c r="D3690" s="32" t="n"/>
      <c r="E3690" s="33" t="n">
        <v>3.4104</v>
      </c>
      <c r="F3690" t="inlineStr">
        <is>
          <t>Up</t>
        </is>
      </c>
      <c r="G3690" t="inlineStr">
        <is>
          <t>Up</t>
        </is>
      </c>
      <c r="H3690" t="inlineStr">
        <is>
          <t>EU_JU</t>
        </is>
      </c>
      <c r="I3690" t="inlineStr">
        <is>
          <t>2021-03</t>
        </is>
      </c>
      <c r="J3690" t="n">
        <v>1</v>
      </c>
      <c r="K3690" t="n">
        <v>1</v>
      </c>
      <c r="L3690" s="34">
        <f>IF($J3690=1,LN(B3691/B3690),"")</f>
        <v/>
      </c>
      <c r="M3690" s="34">
        <f>IF($K3690=1,INDEX(Mensal!$D$2:$D$245,MATCH($I3690,Mensal!$A$2:$A$245,0)),"")</f>
        <v/>
      </c>
      <c r="N3690" s="34">
        <f>IF($K3690=1,L3690-M3690,"")</f>
        <v/>
      </c>
      <c r="O3690" s="34" t="n">
        <v>7.469e-05</v>
      </c>
      <c r="P3690" s="34">
        <f>IF($J3690=1,LN(1+O3690),"")</f>
        <v/>
      </c>
      <c r="Q3690" s="34">
        <f>IF($J3690=1,LN(R3691/R3690),"")</f>
        <v/>
      </c>
      <c r="R3690" s="32" t="n">
        <v>5.6579</v>
      </c>
      <c r="S3690" s="35" t="n">
        <v>4.68</v>
      </c>
      <c r="T3690" s="18" t="n"/>
      <c r="U3690" s="18" t="n">
        <v>116549.44</v>
      </c>
      <c r="V3690" s="18" t="n"/>
      <c r="W3690" s="18" t="n"/>
      <c r="X3690" s="35" t="n">
        <v>4.68</v>
      </c>
      <c r="Y3690" s="35" t="n"/>
    </row>
    <row r="3691">
      <c r="A3691" s="25" t="n">
        <v>44273</v>
      </c>
      <c r="B3691" s="18" t="n">
        <v>114835.43</v>
      </c>
      <c r="C3691" s="31" t="n"/>
      <c r="D3691" s="32" t="n"/>
      <c r="E3691" s="33" t="n">
        <v>3.3964</v>
      </c>
      <c r="F3691" t="inlineStr">
        <is>
          <t>Up</t>
        </is>
      </c>
      <c r="G3691" t="inlineStr">
        <is>
          <t>Up</t>
        </is>
      </c>
      <c r="H3691" t="inlineStr">
        <is>
          <t>EU_JU</t>
        </is>
      </c>
      <c r="I3691" t="inlineStr">
        <is>
          <t>2021-03</t>
        </is>
      </c>
      <c r="J3691" t="n">
        <v>1</v>
      </c>
      <c r="K3691" t="n">
        <v>1</v>
      </c>
      <c r="L3691" s="34">
        <f>IF($J3691=1,LN(B3692/B3691),"")</f>
        <v/>
      </c>
      <c r="M3691" s="34">
        <f>IF($K3691=1,INDEX(Mensal!$D$2:$D$245,MATCH($I3691,Mensal!$A$2:$A$245,0)),"")</f>
        <v/>
      </c>
      <c r="N3691" s="34">
        <f>IF($K3691=1,L3691-M3691,"")</f>
        <v/>
      </c>
      <c r="O3691" s="34" t="n">
        <v>0.00010379</v>
      </c>
      <c r="P3691" s="34">
        <f>IF($J3691=1,LN(1+O3691),"")</f>
        <v/>
      </c>
      <c r="Q3691" s="34">
        <f>IF($J3691=1,LN(R3692/R3691),"")</f>
        <v/>
      </c>
      <c r="R3691" s="32" t="n">
        <v>5.5474</v>
      </c>
      <c r="S3691" s="35" t="n">
        <v>4.97</v>
      </c>
      <c r="T3691" s="18" t="n"/>
      <c r="U3691" s="18" t="n">
        <v>114835.43</v>
      </c>
      <c r="V3691" s="18" t="n"/>
      <c r="W3691" s="18" t="n"/>
      <c r="X3691" s="35" t="n">
        <v>4.97</v>
      </c>
      <c r="Y3691" s="35" t="n"/>
    </row>
    <row r="3692">
      <c r="A3692" s="25" t="n">
        <v>44274</v>
      </c>
      <c r="B3692" s="18" t="n">
        <v>116221.58</v>
      </c>
      <c r="C3692" s="31" t="n"/>
      <c r="D3692" s="32" t="n"/>
      <c r="E3692" s="33" t="n">
        <v>3.3822</v>
      </c>
      <c r="F3692" t="inlineStr">
        <is>
          <t>Up</t>
        </is>
      </c>
      <c r="G3692" t="inlineStr">
        <is>
          <t>Up</t>
        </is>
      </c>
      <c r="H3692" t="inlineStr">
        <is>
          <t>EU_JU</t>
        </is>
      </c>
      <c r="I3692" t="inlineStr">
        <is>
          <t>2021-03</t>
        </is>
      </c>
      <c r="J3692" t="n">
        <v>1</v>
      </c>
      <c r="K3692" t="n">
        <v>1</v>
      </c>
      <c r="L3692" s="34">
        <f>IF($J3692=1,LN(B3693/B3692),"")</f>
        <v/>
      </c>
      <c r="M3692" s="34">
        <f>IF($K3692=1,INDEX(Mensal!$D$2:$D$245,MATCH($I3692,Mensal!$A$2:$A$245,0)),"")</f>
        <v/>
      </c>
      <c r="N3692" s="34">
        <f>IF($K3692=1,L3692-M3692,"")</f>
        <v/>
      </c>
      <c r="O3692" s="34" t="n">
        <v>0.00010379</v>
      </c>
      <c r="P3692" s="34">
        <f>IF($J3692=1,LN(1+O3692),"")</f>
        <v/>
      </c>
      <c r="Q3692" s="34">
        <f>IF($J3692=1,LN(R3693/R3692),"")</f>
        <v/>
      </c>
      <c r="R3692" s="32" t="n">
        <v>5.5082</v>
      </c>
      <c r="S3692" s="35" t="n">
        <v>5</v>
      </c>
      <c r="T3692" s="18" t="n"/>
      <c r="U3692" s="18" t="n">
        <v>116221.58</v>
      </c>
      <c r="V3692" s="18" t="n"/>
      <c r="W3692" s="18" t="n"/>
      <c r="X3692" s="35" t="n">
        <v>5</v>
      </c>
      <c r="Y3692" s="35" t="n"/>
    </row>
    <row r="3693">
      <c r="A3693" s="25" t="n">
        <v>44277</v>
      </c>
      <c r="B3693" s="18" t="n">
        <v>114978.86</v>
      </c>
      <c r="C3693" s="31" t="n"/>
      <c r="D3693" s="32" t="n"/>
      <c r="E3693" s="33" t="n">
        <v>3.3831</v>
      </c>
      <c r="F3693" t="inlineStr">
        <is>
          <t>Up</t>
        </is>
      </c>
      <c r="G3693" t="inlineStr">
        <is>
          <t>Up</t>
        </is>
      </c>
      <c r="H3693" t="inlineStr">
        <is>
          <t>EU_JU</t>
        </is>
      </c>
      <c r="I3693" t="inlineStr">
        <is>
          <t>2021-03</t>
        </is>
      </c>
      <c r="J3693" t="n">
        <v>1</v>
      </c>
      <c r="K3693" t="n">
        <v>1</v>
      </c>
      <c r="L3693" s="34">
        <f>IF($J3693=1,LN(B3694/B3693),"")</f>
        <v/>
      </c>
      <c r="M3693" s="34">
        <f>IF($K3693=1,INDEX(Mensal!$D$2:$D$245,MATCH($I3693,Mensal!$A$2:$A$245,0)),"")</f>
        <v/>
      </c>
      <c r="N3693" s="34">
        <f>IF($K3693=1,L3693-M3693,"")</f>
        <v/>
      </c>
      <c r="O3693" s="34" t="n">
        <v>0.00010379</v>
      </c>
      <c r="P3693" s="34">
        <f>IF($J3693=1,LN(1+O3693),"")</f>
        <v/>
      </c>
      <c r="Q3693" s="34">
        <f>IF($J3693=1,LN(R3694/R3693),"")</f>
        <v/>
      </c>
      <c r="R3693" s="32" t="n">
        <v>5.5269</v>
      </c>
      <c r="S3693" s="35" t="n">
        <v>5.04</v>
      </c>
      <c r="T3693" s="18" t="n"/>
      <c r="U3693" s="18" t="n">
        <v>114978.86</v>
      </c>
      <c r="V3693" s="18" t="n"/>
      <c r="W3693" s="18" t="n"/>
      <c r="X3693" s="35" t="n">
        <v>5.04</v>
      </c>
      <c r="Y3693" s="35" t="n"/>
    </row>
    <row r="3694">
      <c r="A3694" s="25" t="n">
        <v>44278</v>
      </c>
      <c r="B3694" s="18" t="n">
        <v>113261.8</v>
      </c>
      <c r="C3694" s="31" t="n"/>
      <c r="D3694" s="32" t="n"/>
      <c r="E3694" s="33" t="n">
        <v>3.3789</v>
      </c>
      <c r="F3694" t="inlineStr">
        <is>
          <t>Up</t>
        </is>
      </c>
      <c r="G3694" t="inlineStr">
        <is>
          <t>Up</t>
        </is>
      </c>
      <c r="H3694" t="inlineStr">
        <is>
          <t>EU_JU</t>
        </is>
      </c>
      <c r="I3694" t="inlineStr">
        <is>
          <t>2021-03</t>
        </is>
      </c>
      <c r="J3694" t="n">
        <v>1</v>
      </c>
      <c r="K3694" t="n">
        <v>1</v>
      </c>
      <c r="L3694" s="34">
        <f>IF($J3694=1,LN(B3695/B3694),"")</f>
        <v/>
      </c>
      <c r="M3694" s="34">
        <f>IF($K3694=1,INDEX(Mensal!$D$2:$D$245,MATCH($I3694,Mensal!$A$2:$A$245,0)),"")</f>
        <v/>
      </c>
      <c r="N3694" s="34">
        <f>IF($K3694=1,L3694-M3694,"")</f>
        <v/>
      </c>
      <c r="O3694" s="34" t="n">
        <v>0.00010379</v>
      </c>
      <c r="P3694" s="34">
        <f>IF($J3694=1,LN(1+O3694),"")</f>
        <v/>
      </c>
      <c r="Q3694" s="34">
        <f>IF($J3694=1,LN(R3695/R3694),"")</f>
        <v/>
      </c>
      <c r="R3694" s="32" t="n">
        <v>5.4951</v>
      </c>
      <c r="S3694" s="35" t="n">
        <v>5.13</v>
      </c>
      <c r="T3694" s="18" t="n"/>
      <c r="U3694" s="18" t="n">
        <v>113261.8</v>
      </c>
      <c r="V3694" s="18" t="n"/>
      <c r="W3694" s="18" t="n"/>
      <c r="X3694" s="35" t="n">
        <v>5.13</v>
      </c>
      <c r="Y3694" s="35" t="n"/>
    </row>
    <row r="3695">
      <c r="A3695" s="25" t="n">
        <v>44279</v>
      </c>
      <c r="B3695" s="18" t="n">
        <v>112064.19</v>
      </c>
      <c r="C3695" s="31" t="n"/>
      <c r="D3695" s="32" t="n"/>
      <c r="E3695" s="33" t="n">
        <v>3.3818</v>
      </c>
      <c r="F3695" t="inlineStr">
        <is>
          <t>Up</t>
        </is>
      </c>
      <c r="G3695" t="inlineStr">
        <is>
          <t>Up</t>
        </is>
      </c>
      <c r="H3695" t="inlineStr">
        <is>
          <t>EU_JU</t>
        </is>
      </c>
      <c r="I3695" t="inlineStr">
        <is>
          <t>2021-03</t>
        </is>
      </c>
      <c r="J3695" t="n">
        <v>1</v>
      </c>
      <c r="K3695" t="n">
        <v>1</v>
      </c>
      <c r="L3695" s="34">
        <f>IF($J3695=1,LN(B3696/B3695),"")</f>
        <v/>
      </c>
      <c r="M3695" s="34">
        <f>IF($K3695=1,INDEX(Mensal!$D$2:$D$245,MATCH($I3695,Mensal!$A$2:$A$245,0)),"")</f>
        <v/>
      </c>
      <c r="N3695" s="34">
        <f>IF($K3695=1,L3695-M3695,"")</f>
        <v/>
      </c>
      <c r="O3695" s="34" t="n">
        <v>0.00010379</v>
      </c>
      <c r="P3695" s="34">
        <f>IF($J3695=1,LN(1+O3695),"")</f>
        <v/>
      </c>
      <c r="Q3695" s="34">
        <f>IF($J3695=1,LN(R3696/R3695),"")</f>
        <v/>
      </c>
      <c r="R3695" s="32" t="n">
        <v>5.533</v>
      </c>
      <c r="S3695" s="35" t="n">
        <v>5.2</v>
      </c>
      <c r="T3695" s="18" t="n"/>
      <c r="U3695" s="18" t="n">
        <v>112064.19</v>
      </c>
      <c r="V3695" s="18" t="n"/>
      <c r="W3695" s="18" t="n"/>
      <c r="X3695" s="35" t="n">
        <v>5.2</v>
      </c>
      <c r="Y3695" s="35" t="n"/>
    </row>
    <row r="3696">
      <c r="A3696" s="25" t="n">
        <v>44280</v>
      </c>
      <c r="B3696" s="18" t="n">
        <v>113749.9</v>
      </c>
      <c r="C3696" s="31" t="n"/>
      <c r="D3696" s="32" t="n"/>
      <c r="E3696" s="33" t="n">
        <v>3.4071</v>
      </c>
      <c r="F3696" t="inlineStr">
        <is>
          <t>Up</t>
        </is>
      </c>
      <c r="G3696" t="inlineStr">
        <is>
          <t>Up</t>
        </is>
      </c>
      <c r="H3696" t="inlineStr">
        <is>
          <t>EU_JU</t>
        </is>
      </c>
      <c r="I3696" t="inlineStr">
        <is>
          <t>2021-03</t>
        </is>
      </c>
      <c r="J3696" t="n">
        <v>1</v>
      </c>
      <c r="K3696" t="n">
        <v>1</v>
      </c>
      <c r="L3696" s="34">
        <f>IF($J3696=1,LN(B3697/B3696),"")</f>
        <v/>
      </c>
      <c r="M3696" s="34">
        <f>IF($K3696=1,INDEX(Mensal!$D$2:$D$245,MATCH($I3696,Mensal!$A$2:$A$245,0)),"")</f>
        <v/>
      </c>
      <c r="N3696" s="34">
        <f>IF($K3696=1,L3696-M3696,"")</f>
        <v/>
      </c>
      <c r="O3696" s="34" t="n">
        <v>0.00010379</v>
      </c>
      <c r="P3696" s="34">
        <f>IF($J3696=1,LN(1+O3696),"")</f>
        <v/>
      </c>
      <c r="Q3696" s="34">
        <f>IF($J3696=1,LN(R3697/R3696),"")</f>
        <v/>
      </c>
      <c r="R3696" s="32" t="n">
        <v>5.6585</v>
      </c>
      <c r="S3696" s="35" t="n">
        <v>5.13</v>
      </c>
      <c r="T3696" s="18" t="n"/>
      <c r="U3696" s="18" t="n">
        <v>113749.9</v>
      </c>
      <c r="V3696" s="18" t="n"/>
      <c r="W3696" s="18" t="n"/>
      <c r="X3696" s="35" t="n">
        <v>5.13</v>
      </c>
      <c r="Y3696" s="35" t="n"/>
    </row>
    <row r="3697">
      <c r="A3697" s="25" t="n">
        <v>44281</v>
      </c>
      <c r="B3697" s="18" t="n">
        <v>114780.62</v>
      </c>
      <c r="C3697" s="31" t="n"/>
      <c r="D3697" s="32" t="n"/>
      <c r="E3697" s="33" t="n">
        <v>3.4287</v>
      </c>
      <c r="F3697" t="inlineStr">
        <is>
          <t>Up</t>
        </is>
      </c>
      <c r="G3697" t="inlineStr">
        <is>
          <t>Up</t>
        </is>
      </c>
      <c r="H3697" t="inlineStr">
        <is>
          <t>EU_JU</t>
        </is>
      </c>
      <c r="I3697" t="inlineStr">
        <is>
          <t>2021-03</t>
        </is>
      </c>
      <c r="J3697" t="n">
        <v>1</v>
      </c>
      <c r="K3697" t="n">
        <v>1</v>
      </c>
      <c r="L3697" s="34">
        <f>IF($J3697=1,LN(B3698/B3697),"")</f>
        <v/>
      </c>
      <c r="M3697" s="34">
        <f>IF($K3697=1,INDEX(Mensal!$D$2:$D$245,MATCH($I3697,Mensal!$A$2:$A$245,0)),"")</f>
        <v/>
      </c>
      <c r="N3697" s="34">
        <f>IF($K3697=1,L3697-M3697,"")</f>
        <v/>
      </c>
      <c r="O3697" s="34" t="n">
        <v>0.00010379</v>
      </c>
      <c r="P3697" s="34">
        <f>IF($J3697=1,LN(1+O3697),"")</f>
        <v/>
      </c>
      <c r="Q3697" s="34">
        <f>IF($J3697=1,LN(R3698/R3697),"")</f>
        <v/>
      </c>
      <c r="R3697" s="32" t="n">
        <v>5.7042</v>
      </c>
      <c r="S3697" s="35" t="n">
        <v>5.2</v>
      </c>
      <c r="T3697" s="18" t="n"/>
      <c r="U3697" s="18" t="n">
        <v>114780.62</v>
      </c>
      <c r="V3697" s="18" t="n"/>
      <c r="W3697" s="18" t="n"/>
      <c r="X3697" s="35" t="n">
        <v>5.2</v>
      </c>
      <c r="Y3697" s="35" t="n"/>
    </row>
    <row r="3698">
      <c r="A3698" s="25" t="n">
        <v>44284</v>
      </c>
      <c r="B3698" s="18" t="n">
        <v>115418.72</v>
      </c>
      <c r="C3698" s="31" t="n"/>
      <c r="D3698" s="32" t="n"/>
      <c r="E3698" s="33" t="n">
        <v>3.4523</v>
      </c>
      <c r="F3698" t="inlineStr">
        <is>
          <t>Up</t>
        </is>
      </c>
      <c r="G3698" t="inlineStr">
        <is>
          <t>Up</t>
        </is>
      </c>
      <c r="H3698" t="inlineStr">
        <is>
          <t>EU_JU</t>
        </is>
      </c>
      <c r="I3698" t="inlineStr">
        <is>
          <t>2021-03</t>
        </is>
      </c>
      <c r="J3698" t="n">
        <v>1</v>
      </c>
      <c r="K3698" t="n">
        <v>1</v>
      </c>
      <c r="L3698" s="34">
        <f>IF($J3698=1,LN(B3699/B3698),"")</f>
        <v/>
      </c>
      <c r="M3698" s="34">
        <f>IF($K3698=1,INDEX(Mensal!$D$2:$D$245,MATCH($I3698,Mensal!$A$2:$A$245,0)),"")</f>
        <v/>
      </c>
      <c r="N3698" s="34">
        <f>IF($K3698=1,L3698-M3698,"")</f>
        <v/>
      </c>
      <c r="O3698" s="34" t="n">
        <v>0.00010379</v>
      </c>
      <c r="P3698" s="34">
        <f>IF($J3698=1,LN(1+O3698),"")</f>
        <v/>
      </c>
      <c r="Q3698" s="34">
        <f>IF($J3698=1,LN(R3699/R3698),"")</f>
        <v/>
      </c>
      <c r="R3698" s="32" t="n">
        <v>5.7925</v>
      </c>
      <c r="S3698" s="35" t="n">
        <v>5.27</v>
      </c>
      <c r="T3698" s="18" t="n"/>
      <c r="U3698" s="18" t="n">
        <v>115418.72</v>
      </c>
      <c r="V3698" s="18" t="n"/>
      <c r="W3698" s="18" t="n"/>
      <c r="X3698" s="35" t="n">
        <v>5.27</v>
      </c>
      <c r="Y3698" s="35" t="n"/>
    </row>
    <row r="3699">
      <c r="A3699" s="25" t="n">
        <v>44285</v>
      </c>
      <c r="B3699" s="18" t="n">
        <v>116849.67</v>
      </c>
      <c r="C3699" s="31" t="n"/>
      <c r="D3699" s="32" t="n"/>
      <c r="E3699" s="33" t="n">
        <v>3.4863</v>
      </c>
      <c r="F3699" t="inlineStr">
        <is>
          <t>Up</t>
        </is>
      </c>
      <c r="G3699" t="inlineStr">
        <is>
          <t>Up</t>
        </is>
      </c>
      <c r="H3699" t="inlineStr">
        <is>
          <t>EU_JU</t>
        </is>
      </c>
      <c r="I3699" t="inlineStr">
        <is>
          <t>2021-03</t>
        </is>
      </c>
      <c r="J3699" t="n">
        <v>1</v>
      </c>
      <c r="K3699" t="n">
        <v>1</v>
      </c>
      <c r="L3699" s="34">
        <f>IF($J3699=1,LN(B3700/B3699),"")</f>
        <v/>
      </c>
      <c r="M3699" s="34">
        <f>IF($K3699=1,INDEX(Mensal!$D$2:$D$245,MATCH($I3699,Mensal!$A$2:$A$245,0)),"")</f>
        <v/>
      </c>
      <c r="N3699" s="34">
        <f>IF($K3699=1,L3699-M3699,"")</f>
        <v/>
      </c>
      <c r="O3699" s="34" t="n">
        <v>0.00010379</v>
      </c>
      <c r="P3699" s="34">
        <f>IF($J3699=1,LN(1+O3699),"")</f>
        <v/>
      </c>
      <c r="Q3699" s="34">
        <f>IF($J3699=1,LN(R3700/R3699),"")</f>
        <v/>
      </c>
      <c r="R3699" s="32" t="n">
        <v>5.7642</v>
      </c>
      <c r="S3699" s="35" t="n">
        <v>5.14</v>
      </c>
      <c r="T3699" s="18" t="n"/>
      <c r="U3699" s="18" t="n">
        <v>116849.67</v>
      </c>
      <c r="V3699" s="18" t="n"/>
      <c r="W3699" s="18" t="n"/>
      <c r="X3699" s="35" t="n">
        <v>5.14</v>
      </c>
      <c r="Y3699" s="35" t="n"/>
    </row>
    <row r="3700">
      <c r="A3700" s="25" t="n">
        <v>44286</v>
      </c>
      <c r="B3700" s="18" t="n">
        <v>116633.72</v>
      </c>
      <c r="C3700" s="31" t="n"/>
      <c r="D3700" s="32" t="n"/>
      <c r="E3700" s="33" t="n">
        <v>3.5232</v>
      </c>
      <c r="F3700" t="inlineStr">
        <is>
          <t>Up</t>
        </is>
      </c>
      <c r="G3700" t="inlineStr">
        <is>
          <t>Up</t>
        </is>
      </c>
      <c r="H3700" t="inlineStr">
        <is>
          <t>EU_JU</t>
        </is>
      </c>
      <c r="I3700" t="inlineStr">
        <is>
          <t>2021-03</t>
        </is>
      </c>
      <c r="J3700" t="n">
        <v>1</v>
      </c>
      <c r="K3700" t="n">
        <v>1</v>
      </c>
      <c r="L3700" s="34">
        <f>IF($J3700=1,LN(B3701/B3700),"")</f>
        <v/>
      </c>
      <c r="M3700" s="34">
        <f>IF($K3700=1,INDEX(Mensal!$D$2:$D$245,MATCH($I3700,Mensal!$A$2:$A$245,0)),"")</f>
        <v/>
      </c>
      <c r="N3700" s="34">
        <f>IF($K3700=1,L3700-M3700,"")</f>
        <v/>
      </c>
      <c r="O3700" s="34" t="n">
        <v>0.00010379</v>
      </c>
      <c r="P3700" s="34">
        <f>IF($J3700=1,LN(1+O3700),"")</f>
        <v/>
      </c>
      <c r="Q3700" s="34">
        <f>IF($J3700=1,LN(R3701/R3700),"")</f>
        <v/>
      </c>
      <c r="R3700" s="32" t="n">
        <v>5.6973</v>
      </c>
      <c r="S3700" s="35" t="n">
        <v>5.08</v>
      </c>
      <c r="T3700" s="18" t="n"/>
      <c r="U3700" s="18" t="n">
        <v>116633.72</v>
      </c>
      <c r="V3700" s="18" t="n"/>
      <c r="W3700" s="18" t="n"/>
      <c r="X3700" s="35" t="n">
        <v>5.08</v>
      </c>
      <c r="Y3700" s="35" t="n"/>
    </row>
    <row r="3701">
      <c r="A3701" s="25" t="n">
        <v>44287</v>
      </c>
      <c r="B3701" s="18" t="n">
        <v>115253.31</v>
      </c>
      <c r="C3701" s="31" t="n"/>
      <c r="D3701" s="32" t="n"/>
      <c r="E3701" s="33" t="n">
        <v>3.5472</v>
      </c>
      <c r="F3701" t="inlineStr">
        <is>
          <t>Up</t>
        </is>
      </c>
      <c r="G3701" t="inlineStr">
        <is>
          <t>Up</t>
        </is>
      </c>
      <c r="H3701" t="inlineStr">
        <is>
          <t>EU_JU</t>
        </is>
      </c>
      <c r="I3701" t="inlineStr">
        <is>
          <t>2021-04</t>
        </is>
      </c>
      <c r="J3701" t="n">
        <v>1</v>
      </c>
      <c r="K3701" t="n">
        <v>1</v>
      </c>
      <c r="L3701" s="34">
        <f>IF($J3701=1,LN(B3702/B3701),"")</f>
        <v/>
      </c>
      <c r="M3701" s="34">
        <f>IF($K3701=1,INDEX(Mensal!$D$2:$D$245,MATCH($I3701,Mensal!$A$2:$A$245,0)),"")</f>
        <v/>
      </c>
      <c r="N3701" s="34">
        <f>IF($K3701=1,L3701-M3701,"")</f>
        <v/>
      </c>
      <c r="O3701" s="34" t="n">
        <v>0.00010379</v>
      </c>
      <c r="P3701" s="34">
        <f>IF($J3701=1,LN(1+O3701),"")</f>
        <v/>
      </c>
      <c r="Q3701" s="34">
        <f>IF($J3701=1,LN(R3702/R3701),"")</f>
        <v/>
      </c>
      <c r="R3701" s="32" t="n">
        <v>5.6849</v>
      </c>
      <c r="S3701" s="35" t="n">
        <v>5.1</v>
      </c>
      <c r="T3701" s="18" t="n"/>
      <c r="U3701" s="18" t="n">
        <v>115253.31</v>
      </c>
      <c r="V3701" s="18" t="n"/>
      <c r="W3701" s="18" t="n"/>
      <c r="X3701" s="35" t="n">
        <v>5.1</v>
      </c>
      <c r="Y3701" s="35" t="n"/>
    </row>
    <row r="3702">
      <c r="A3702" s="25" t="n">
        <v>44291</v>
      </c>
      <c r="B3702" s="18" t="n">
        <v>117518.44</v>
      </c>
      <c r="C3702" s="31" t="n"/>
      <c r="D3702" s="32" t="n"/>
      <c r="E3702" s="33" t="n">
        <v>3.5647</v>
      </c>
      <c r="F3702" t="inlineStr">
        <is>
          <t>Up</t>
        </is>
      </c>
      <c r="G3702" t="inlineStr">
        <is>
          <t>Up</t>
        </is>
      </c>
      <c r="H3702" t="inlineStr">
        <is>
          <t>EU_JU</t>
        </is>
      </c>
      <c r="I3702" t="inlineStr">
        <is>
          <t>2021-04</t>
        </is>
      </c>
      <c r="J3702" t="n">
        <v>1</v>
      </c>
      <c r="K3702" t="n">
        <v>1</v>
      </c>
      <c r="L3702" s="34">
        <f>IF($J3702=1,LN(B3703/B3702),"")</f>
        <v/>
      </c>
      <c r="M3702" s="34">
        <f>IF($K3702=1,INDEX(Mensal!$D$2:$D$245,MATCH($I3702,Mensal!$A$2:$A$245,0)),"")</f>
        <v/>
      </c>
      <c r="N3702" s="34">
        <f>IF($K3702=1,L3702-M3702,"")</f>
        <v/>
      </c>
      <c r="O3702" s="34" t="n">
        <v>0.00010379</v>
      </c>
      <c r="P3702" s="34">
        <f>IF($J3702=1,LN(1+O3702),"")</f>
        <v/>
      </c>
      <c r="Q3702" s="34">
        <f>IF($J3702=1,LN(R3703/R3702),"")</f>
        <v/>
      </c>
      <c r="R3702" s="32" t="n">
        <v>5.6579</v>
      </c>
      <c r="S3702" s="35" t="n">
        <v>5.12</v>
      </c>
      <c r="T3702" s="18" t="n"/>
      <c r="U3702" s="18" t="n">
        <v>117518.44</v>
      </c>
      <c r="V3702" s="18" t="n"/>
      <c r="W3702" s="18" t="n"/>
      <c r="X3702" s="35" t="n">
        <v>5.12</v>
      </c>
      <c r="Y3702" s="35" t="n"/>
    </row>
    <row r="3703">
      <c r="A3703" s="25" t="n">
        <v>44292</v>
      </c>
      <c r="B3703" s="18" t="n">
        <v>117498.87</v>
      </c>
      <c r="C3703" s="31" t="n"/>
      <c r="D3703" s="32" t="n"/>
      <c r="E3703" s="33" t="n">
        <v>3.5759</v>
      </c>
      <c r="F3703" t="inlineStr">
        <is>
          <t>Up</t>
        </is>
      </c>
      <c r="G3703" t="inlineStr">
        <is>
          <t>Up</t>
        </is>
      </c>
      <c r="H3703" t="inlineStr">
        <is>
          <t>EU_JU</t>
        </is>
      </c>
      <c r="I3703" t="inlineStr">
        <is>
          <t>2021-04</t>
        </is>
      </c>
      <c r="J3703" t="n">
        <v>1</v>
      </c>
      <c r="K3703" t="n">
        <v>1</v>
      </c>
      <c r="L3703" s="34">
        <f>IF($J3703=1,LN(B3704/B3703),"")</f>
        <v/>
      </c>
      <c r="M3703" s="34">
        <f>IF($K3703=1,INDEX(Mensal!$D$2:$D$245,MATCH($I3703,Mensal!$A$2:$A$245,0)),"")</f>
        <v/>
      </c>
      <c r="N3703" s="34">
        <f>IF($K3703=1,L3703-M3703,"")</f>
        <v/>
      </c>
      <c r="O3703" s="34" t="n">
        <v>0.00010379</v>
      </c>
      <c r="P3703" s="34">
        <f>IF($J3703=1,LN(1+O3703),"")</f>
        <v/>
      </c>
      <c r="Q3703" s="34">
        <f>IF($J3703=1,LN(R3704/R3703),"")</f>
        <v/>
      </c>
      <c r="R3703" s="32" t="n">
        <v>5.6263</v>
      </c>
      <c r="S3703" s="35" t="n">
        <v>5.19</v>
      </c>
      <c r="T3703" s="18" t="n"/>
      <c r="U3703" s="18" t="n">
        <v>117498.87</v>
      </c>
      <c r="V3703" s="18" t="n"/>
      <c r="W3703" s="18" t="n"/>
      <c r="X3703" s="35" t="n">
        <v>5.19</v>
      </c>
      <c r="Y3703" s="35" t="n"/>
    </row>
    <row r="3704">
      <c r="A3704" s="25" t="n">
        <v>44293</v>
      </c>
      <c r="B3704" s="18" t="n">
        <v>117623.58</v>
      </c>
      <c r="C3704" s="31" t="n"/>
      <c r="D3704" s="32" t="n"/>
      <c r="E3704" s="33" t="n">
        <v>3.5508</v>
      </c>
      <c r="F3704" t="inlineStr">
        <is>
          <t>Up</t>
        </is>
      </c>
      <c r="G3704" t="inlineStr">
        <is>
          <t>Up</t>
        </is>
      </c>
      <c r="H3704" t="inlineStr">
        <is>
          <t>EU_JU</t>
        </is>
      </c>
      <c r="I3704" t="inlineStr">
        <is>
          <t>2021-04</t>
        </is>
      </c>
      <c r="J3704" t="n">
        <v>1</v>
      </c>
      <c r="K3704" t="n">
        <v>1</v>
      </c>
      <c r="L3704" s="34">
        <f>IF($J3704=1,LN(B3705/B3704),"")</f>
        <v/>
      </c>
      <c r="M3704" s="34">
        <f>IF($K3704=1,INDEX(Mensal!$D$2:$D$245,MATCH($I3704,Mensal!$A$2:$A$245,0)),"")</f>
        <v/>
      </c>
      <c r="N3704" s="34">
        <f>IF($K3704=1,L3704-M3704,"")</f>
        <v/>
      </c>
      <c r="O3704" s="34" t="n">
        <v>0.00010379</v>
      </c>
      <c r="P3704" s="34">
        <f>IF($J3704=1,LN(1+O3704),"")</f>
        <v/>
      </c>
      <c r="Q3704" s="34">
        <f>IF($J3704=1,LN(R3705/R3704),"")</f>
        <v/>
      </c>
      <c r="R3704" s="32" t="n">
        <v>5.5864</v>
      </c>
      <c r="S3704" s="35" t="n">
        <v>5.28</v>
      </c>
      <c r="T3704" s="18" t="n"/>
      <c r="U3704" s="18" t="n">
        <v>117623.58</v>
      </c>
      <c r="V3704" s="18" t="n"/>
      <c r="W3704" s="18" t="n"/>
      <c r="X3704" s="35" t="n">
        <v>5.28</v>
      </c>
      <c r="Y3704" s="35" t="n"/>
    </row>
    <row r="3705">
      <c r="A3705" s="25" t="n">
        <v>44294</v>
      </c>
      <c r="B3705" s="18" t="n">
        <v>118313.23</v>
      </c>
      <c r="C3705" s="31" t="n"/>
      <c r="D3705" s="32" t="n"/>
      <c r="E3705" s="33" t="n">
        <v>3.5185</v>
      </c>
      <c r="F3705" t="inlineStr">
        <is>
          <t>Up</t>
        </is>
      </c>
      <c r="G3705" t="inlineStr">
        <is>
          <t>Up</t>
        </is>
      </c>
      <c r="H3705" t="inlineStr">
        <is>
          <t>EU_JU</t>
        </is>
      </c>
      <c r="I3705" t="inlineStr">
        <is>
          <t>2021-04</t>
        </is>
      </c>
      <c r="J3705" t="n">
        <v>1</v>
      </c>
      <c r="K3705" t="n">
        <v>1</v>
      </c>
      <c r="L3705" s="34">
        <f>IF($J3705=1,LN(B3706/B3705),"")</f>
        <v/>
      </c>
      <c r="M3705" s="34">
        <f>IF($K3705=1,INDEX(Mensal!$D$2:$D$245,MATCH($I3705,Mensal!$A$2:$A$245,0)),"")</f>
        <v/>
      </c>
      <c r="N3705" s="34">
        <f>IF($K3705=1,L3705-M3705,"")</f>
        <v/>
      </c>
      <c r="O3705" s="34" t="n">
        <v>0.00010379</v>
      </c>
      <c r="P3705" s="34">
        <f>IF($J3705=1,LN(1+O3705),"")</f>
        <v/>
      </c>
      <c r="Q3705" s="34">
        <f>IF($J3705=1,LN(R3706/R3705),"")</f>
        <v/>
      </c>
      <c r="R3705" s="32" t="n">
        <v>5.5817</v>
      </c>
      <c r="S3705" s="35" t="n">
        <v>5.18</v>
      </c>
      <c r="T3705" s="18" t="n"/>
      <c r="U3705" s="18" t="n">
        <v>118313.23</v>
      </c>
      <c r="V3705" s="18" t="n"/>
      <c r="W3705" s="18" t="n"/>
      <c r="X3705" s="35" t="n">
        <v>5.18</v>
      </c>
      <c r="Y3705" s="35" t="n"/>
    </row>
    <row r="3706">
      <c r="A3706" s="25" t="n">
        <v>44295</v>
      </c>
      <c r="B3706" s="18" t="n">
        <v>117669.9</v>
      </c>
      <c r="C3706" s="31" t="n"/>
      <c r="D3706" s="32" t="n"/>
      <c r="E3706" s="33" t="n">
        <v>3.4837</v>
      </c>
      <c r="F3706" t="inlineStr">
        <is>
          <t>Up</t>
        </is>
      </c>
      <c r="G3706" t="inlineStr">
        <is>
          <t>Up</t>
        </is>
      </c>
      <c r="H3706" t="inlineStr">
        <is>
          <t>EU_JU</t>
        </is>
      </c>
      <c r="I3706" t="inlineStr">
        <is>
          <t>2021-04</t>
        </is>
      </c>
      <c r="J3706" t="n">
        <v>1</v>
      </c>
      <c r="K3706" t="n">
        <v>1</v>
      </c>
      <c r="L3706" s="34">
        <f>IF($J3706=1,LN(B3707/B3706),"")</f>
        <v/>
      </c>
      <c r="M3706" s="34">
        <f>IF($K3706=1,INDEX(Mensal!$D$2:$D$245,MATCH($I3706,Mensal!$A$2:$A$245,0)),"")</f>
        <v/>
      </c>
      <c r="N3706" s="34">
        <f>IF($K3706=1,L3706-M3706,"")</f>
        <v/>
      </c>
      <c r="O3706" s="34" t="n">
        <v>0.00010379</v>
      </c>
      <c r="P3706" s="34">
        <f>IF($J3706=1,LN(1+O3706),"")</f>
        <v/>
      </c>
      <c r="Q3706" s="34">
        <f>IF($J3706=1,LN(R3707/R3706),"")</f>
        <v/>
      </c>
      <c r="R3706" s="32" t="n">
        <v>5.6445</v>
      </c>
      <c r="S3706" s="35" t="n">
        <v>5.25</v>
      </c>
      <c r="T3706" s="18" t="n"/>
      <c r="U3706" s="18" t="n">
        <v>117669.9</v>
      </c>
      <c r="V3706" s="18" t="n"/>
      <c r="W3706" s="18" t="n"/>
      <c r="X3706" s="35" t="n">
        <v>5.25</v>
      </c>
      <c r="Y3706" s="35" t="n"/>
    </row>
    <row r="3707">
      <c r="A3707" s="25" t="n">
        <v>44298</v>
      </c>
      <c r="B3707" s="18" t="n">
        <v>118811.74</v>
      </c>
      <c r="C3707" s="31" t="n"/>
      <c r="D3707" s="32" t="n"/>
      <c r="E3707" s="33" t="n">
        <v>3.4592</v>
      </c>
      <c r="F3707" t="inlineStr">
        <is>
          <t>Up</t>
        </is>
      </c>
      <c r="G3707" t="inlineStr">
        <is>
          <t>Up</t>
        </is>
      </c>
      <c r="H3707" t="inlineStr">
        <is>
          <t>EU_JU</t>
        </is>
      </c>
      <c r="I3707" t="inlineStr">
        <is>
          <t>2021-04</t>
        </is>
      </c>
      <c r="J3707" t="n">
        <v>1</v>
      </c>
      <c r="K3707" t="n">
        <v>1</v>
      </c>
      <c r="L3707" s="34">
        <f>IF($J3707=1,LN(B3708/B3707),"")</f>
        <v/>
      </c>
      <c r="M3707" s="34">
        <f>IF($K3707=1,INDEX(Mensal!$D$2:$D$245,MATCH($I3707,Mensal!$A$2:$A$245,0)),"")</f>
        <v/>
      </c>
      <c r="N3707" s="34">
        <f>IF($K3707=1,L3707-M3707,"")</f>
        <v/>
      </c>
      <c r="O3707" s="34" t="n">
        <v>0.00010379</v>
      </c>
      <c r="P3707" s="34">
        <f>IF($J3707=1,LN(1+O3707),"")</f>
        <v/>
      </c>
      <c r="Q3707" s="34">
        <f>IF($J3707=1,LN(R3708/R3707),"")</f>
        <v/>
      </c>
      <c r="R3707" s="32" t="n">
        <v>5.6582</v>
      </c>
      <c r="S3707" s="35" t="n">
        <v>5.28</v>
      </c>
      <c r="T3707" s="18" t="n"/>
      <c r="U3707" s="18" t="n">
        <v>118811.74</v>
      </c>
      <c r="V3707" s="18" t="n"/>
      <c r="W3707" s="18" t="n"/>
      <c r="X3707" s="35" t="n">
        <v>5.28</v>
      </c>
      <c r="Y3707" s="35" t="n"/>
    </row>
    <row r="3708">
      <c r="A3708" s="25" t="n">
        <v>44299</v>
      </c>
      <c r="B3708" s="18" t="n">
        <v>119297.13</v>
      </c>
      <c r="C3708" s="31" t="n"/>
      <c r="D3708" s="32" t="n"/>
      <c r="E3708" s="33" t="n">
        <v>3.4443</v>
      </c>
      <c r="F3708" t="inlineStr">
        <is>
          <t>Up</t>
        </is>
      </c>
      <c r="G3708" t="inlineStr">
        <is>
          <t>Up</t>
        </is>
      </c>
      <c r="H3708" t="inlineStr">
        <is>
          <t>EU_JU</t>
        </is>
      </c>
      <c r="I3708" t="inlineStr">
        <is>
          <t>2021-04</t>
        </is>
      </c>
      <c r="J3708" t="n">
        <v>1</v>
      </c>
      <c r="K3708" t="n">
        <v>1</v>
      </c>
      <c r="L3708" s="34">
        <f>IF($J3708=1,LN(B3709/B3708),"")</f>
        <v/>
      </c>
      <c r="M3708" s="34">
        <f>IF($K3708=1,INDEX(Mensal!$D$2:$D$245,MATCH($I3708,Mensal!$A$2:$A$245,0)),"")</f>
        <v/>
      </c>
      <c r="N3708" s="34">
        <f>IF($K3708=1,L3708-M3708,"")</f>
        <v/>
      </c>
      <c r="O3708" s="34" t="n">
        <v>0.00010379</v>
      </c>
      <c r="P3708" s="34">
        <f>IF($J3708=1,LN(1+O3708),"")</f>
        <v/>
      </c>
      <c r="Q3708" s="34">
        <f>IF($J3708=1,LN(R3709/R3708),"")</f>
        <v/>
      </c>
      <c r="R3708" s="32" t="n">
        <v>5.7064</v>
      </c>
      <c r="S3708" s="35" t="n">
        <v>5.36</v>
      </c>
      <c r="T3708" s="18" t="n"/>
      <c r="U3708" s="18" t="n">
        <v>119297.13</v>
      </c>
      <c r="V3708" s="18" t="n"/>
      <c r="W3708" s="18" t="n"/>
      <c r="X3708" s="35" t="n">
        <v>5.36</v>
      </c>
      <c r="Y3708" s="35" t="n"/>
    </row>
    <row r="3709">
      <c r="A3709" s="25" t="n">
        <v>44300</v>
      </c>
      <c r="B3709" s="18" t="n">
        <v>120294.68</v>
      </c>
      <c r="C3709" s="31" t="n"/>
      <c r="D3709" s="32" t="n"/>
      <c r="E3709" s="33" t="n">
        <v>3.4491</v>
      </c>
      <c r="F3709" t="inlineStr">
        <is>
          <t>Up</t>
        </is>
      </c>
      <c r="G3709" t="inlineStr">
        <is>
          <t>Up</t>
        </is>
      </c>
      <c r="H3709" t="inlineStr">
        <is>
          <t>EU_JU</t>
        </is>
      </c>
      <c r="I3709" t="inlineStr">
        <is>
          <t>2021-04</t>
        </is>
      </c>
      <c r="J3709" t="n">
        <v>1</v>
      </c>
      <c r="K3709" t="n">
        <v>1</v>
      </c>
      <c r="L3709" s="34">
        <f>IF($J3709=1,LN(B3710/B3709),"")</f>
        <v/>
      </c>
      <c r="M3709" s="34">
        <f>IF($K3709=1,INDEX(Mensal!$D$2:$D$245,MATCH($I3709,Mensal!$A$2:$A$245,0)),"")</f>
        <v/>
      </c>
      <c r="N3709" s="34">
        <f>IF($K3709=1,L3709-M3709,"")</f>
        <v/>
      </c>
      <c r="O3709" s="34" t="n">
        <v>0.00010379</v>
      </c>
      <c r="P3709" s="34">
        <f>IF($J3709=1,LN(1+O3709),"")</f>
        <v/>
      </c>
      <c r="Q3709" s="34">
        <f>IF($J3709=1,LN(R3710/R3709),"")</f>
        <v/>
      </c>
      <c r="R3709" s="32" t="n">
        <v>5.6936</v>
      </c>
      <c r="S3709" s="35" t="n">
        <v>5.31</v>
      </c>
      <c r="T3709" s="18" t="n"/>
      <c r="U3709" s="18" t="n">
        <v>120294.68</v>
      </c>
      <c r="V3709" s="18" t="n"/>
      <c r="W3709" s="18" t="n"/>
      <c r="X3709" s="35" t="n">
        <v>5.31</v>
      </c>
      <c r="Y3709" s="35" t="n"/>
    </row>
    <row r="3710">
      <c r="A3710" s="25" t="n">
        <v>44301</v>
      </c>
      <c r="B3710" s="18" t="n">
        <v>120700.67</v>
      </c>
      <c r="C3710" s="31" t="n"/>
      <c r="D3710" s="32" t="n"/>
      <c r="E3710" s="33" t="n">
        <v>3.4455</v>
      </c>
      <c r="F3710" t="inlineStr">
        <is>
          <t>Up</t>
        </is>
      </c>
      <c r="G3710" t="inlineStr">
        <is>
          <t>Up</t>
        </is>
      </c>
      <c r="H3710" t="inlineStr">
        <is>
          <t>EU_JU</t>
        </is>
      </c>
      <c r="I3710" t="inlineStr">
        <is>
          <t>2021-04</t>
        </is>
      </c>
      <c r="J3710" t="n">
        <v>1</v>
      </c>
      <c r="K3710" t="n">
        <v>1</v>
      </c>
      <c r="L3710" s="34">
        <f>IF($J3710=1,LN(B3711/B3710),"")</f>
        <v/>
      </c>
      <c r="M3710" s="34">
        <f>IF($K3710=1,INDEX(Mensal!$D$2:$D$245,MATCH($I3710,Mensal!$A$2:$A$245,0)),"")</f>
        <v/>
      </c>
      <c r="N3710" s="34">
        <f>IF($K3710=1,L3710-M3710,"")</f>
        <v/>
      </c>
      <c r="O3710" s="34" t="n">
        <v>0.00010379</v>
      </c>
      <c r="P3710" s="34">
        <f>IF($J3710=1,LN(1+O3710),"")</f>
        <v/>
      </c>
      <c r="Q3710" s="34">
        <f>IF($J3710=1,LN(R3711/R3710),"")</f>
        <v/>
      </c>
      <c r="R3710" s="32" t="n">
        <v>5.6234</v>
      </c>
      <c r="S3710" s="35" t="n">
        <v>5.25</v>
      </c>
      <c r="T3710" s="18" t="n"/>
      <c r="U3710" s="18" t="n">
        <v>120700.67</v>
      </c>
      <c r="V3710" s="18" t="n"/>
      <c r="W3710" s="18" t="n"/>
      <c r="X3710" s="35" t="n">
        <v>5.25</v>
      </c>
      <c r="Y3710" s="35" t="n"/>
    </row>
    <row r="3711">
      <c r="A3711" s="25" t="n">
        <v>44302</v>
      </c>
      <c r="B3711" s="18" t="n">
        <v>121113.93</v>
      </c>
      <c r="C3711" s="31" t="n"/>
      <c r="D3711" s="32" t="n"/>
      <c r="E3711" s="33" t="n">
        <v>3.4417</v>
      </c>
      <c r="F3711" t="inlineStr">
        <is>
          <t>Up</t>
        </is>
      </c>
      <c r="G3711" t="inlineStr">
        <is>
          <t>Up</t>
        </is>
      </c>
      <c r="H3711" t="inlineStr">
        <is>
          <t>EU_JU</t>
        </is>
      </c>
      <c r="I3711" t="inlineStr">
        <is>
          <t>2021-04</t>
        </is>
      </c>
      <c r="J3711" t="n">
        <v>1</v>
      </c>
      <c r="K3711" t="n">
        <v>1</v>
      </c>
      <c r="L3711" s="34">
        <f>IF($J3711=1,LN(B3712/B3711),"")</f>
        <v/>
      </c>
      <c r="M3711" s="34">
        <f>IF($K3711=1,INDEX(Mensal!$D$2:$D$245,MATCH($I3711,Mensal!$A$2:$A$245,0)),"")</f>
        <v/>
      </c>
      <c r="N3711" s="34">
        <f>IF($K3711=1,L3711-M3711,"")</f>
        <v/>
      </c>
      <c r="O3711" s="34" t="n">
        <v>0.00010379</v>
      </c>
      <c r="P3711" s="34">
        <f>IF($J3711=1,LN(1+O3711),"")</f>
        <v/>
      </c>
      <c r="Q3711" s="34">
        <f>IF($J3711=1,LN(R3712/R3711),"")</f>
        <v/>
      </c>
      <c r="R3711" s="32" t="n">
        <v>5.6328</v>
      </c>
      <c r="S3711" s="35" t="n">
        <v>5.18</v>
      </c>
      <c r="T3711" s="18" t="n"/>
      <c r="U3711" s="18" t="n">
        <v>121113.93</v>
      </c>
      <c r="V3711" s="18" t="n"/>
      <c r="W3711" s="18" t="n"/>
      <c r="X3711" s="35" t="n">
        <v>5.18</v>
      </c>
      <c r="Y3711" s="35" t="n"/>
    </row>
    <row r="3712">
      <c r="A3712" s="25" t="n">
        <v>44305</v>
      </c>
      <c r="B3712" s="18" t="n">
        <v>120933.78</v>
      </c>
      <c r="C3712" s="31" t="n"/>
      <c r="D3712" s="32" t="n"/>
      <c r="E3712" s="33" t="n">
        <v>3.4527</v>
      </c>
      <c r="F3712" t="inlineStr">
        <is>
          <t>Up</t>
        </is>
      </c>
      <c r="G3712" t="inlineStr">
        <is>
          <t>Up</t>
        </is>
      </c>
      <c r="H3712" t="inlineStr">
        <is>
          <t>EU_JU</t>
        </is>
      </c>
      <c r="I3712" t="inlineStr">
        <is>
          <t>2021-04</t>
        </is>
      </c>
      <c r="J3712" t="n">
        <v>1</v>
      </c>
      <c r="K3712" t="n">
        <v>1</v>
      </c>
      <c r="L3712" s="34">
        <f>IF($J3712=1,LN(B3713/B3712),"")</f>
        <v/>
      </c>
      <c r="M3712" s="34">
        <f>IF($K3712=1,INDEX(Mensal!$D$2:$D$245,MATCH($I3712,Mensal!$A$2:$A$245,0)),"")</f>
        <v/>
      </c>
      <c r="N3712" s="34">
        <f>IF($K3712=1,L3712-M3712,"")</f>
        <v/>
      </c>
      <c r="O3712" s="34" t="n">
        <v>0.00010379</v>
      </c>
      <c r="P3712" s="34">
        <f>IF($J3712=1,LN(1+O3712),"")</f>
        <v/>
      </c>
      <c r="Q3712" s="34">
        <f>IF($J3712=1,LN(R3713/R3712),"")</f>
        <v/>
      </c>
      <c r="R3712" s="32" t="n">
        <v>5.575</v>
      </c>
      <c r="S3712" s="35" t="n">
        <v>5.18</v>
      </c>
      <c r="T3712" s="18" t="n"/>
      <c r="U3712" s="18" t="n">
        <v>120933.78</v>
      </c>
      <c r="V3712" s="18" t="n"/>
      <c r="W3712" s="18" t="n"/>
      <c r="X3712" s="35" t="n">
        <v>5.18</v>
      </c>
      <c r="Y3712" s="35" t="n"/>
    </row>
    <row r="3713">
      <c r="A3713" s="25" t="n">
        <v>44306</v>
      </c>
      <c r="B3713" s="18" t="n">
        <v>120061.99</v>
      </c>
      <c r="C3713" s="31" t="n"/>
      <c r="D3713" s="32" t="n"/>
      <c r="E3713" s="33" t="n">
        <v>3.448</v>
      </c>
      <c r="F3713" t="inlineStr">
        <is>
          <t>Up</t>
        </is>
      </c>
      <c r="G3713" t="inlineStr">
        <is>
          <t>Up</t>
        </is>
      </c>
      <c r="H3713" t="inlineStr">
        <is>
          <t>EU_JU</t>
        </is>
      </c>
      <c r="I3713" t="inlineStr">
        <is>
          <t>2021-04</t>
        </is>
      </c>
      <c r="J3713" t="n">
        <v>1</v>
      </c>
      <c r="K3713" t="n">
        <v>1</v>
      </c>
      <c r="L3713" s="34">
        <f>IF($J3713=1,LN(B3714/B3713),"")</f>
        <v/>
      </c>
      <c r="M3713" s="34">
        <f>IF($K3713=1,INDEX(Mensal!$D$2:$D$245,MATCH($I3713,Mensal!$A$2:$A$245,0)),"")</f>
        <v/>
      </c>
      <c r="N3713" s="34">
        <f>IF($K3713=1,L3713-M3713,"")</f>
        <v/>
      </c>
      <c r="O3713" s="34" t="n">
        <v>0.00010379</v>
      </c>
      <c r="P3713" s="34">
        <f>IF($J3713=1,LN(1+O3713),"")</f>
        <v/>
      </c>
      <c r="Q3713" s="34">
        <f>IF($J3713=1,LN(R3714/R3713),"")</f>
        <v/>
      </c>
      <c r="R3713" s="32" t="n">
        <v>5.5266</v>
      </c>
      <c r="S3713" s="35" t="n">
        <v>5.25</v>
      </c>
      <c r="T3713" s="18" t="n"/>
      <c r="U3713" s="18" t="n">
        <v>120061.99</v>
      </c>
      <c r="V3713" s="18" t="n"/>
      <c r="W3713" s="18" t="n"/>
      <c r="X3713" s="35" t="n">
        <v>5.25</v>
      </c>
      <c r="Y3713" s="35" t="n"/>
    </row>
    <row r="3714">
      <c r="A3714" s="25" t="n">
        <v>44308</v>
      </c>
      <c r="B3714" s="18" t="n">
        <v>119371.48</v>
      </c>
      <c r="C3714" s="31" t="n"/>
      <c r="D3714" s="32" t="n"/>
      <c r="E3714" s="33" t="n">
        <v>3.4841</v>
      </c>
      <c r="F3714" t="inlineStr">
        <is>
          <t>Up</t>
        </is>
      </c>
      <c r="G3714" t="inlineStr">
        <is>
          <t>Up</t>
        </is>
      </c>
      <c r="H3714" t="inlineStr">
        <is>
          <t>EU_JU</t>
        </is>
      </c>
      <c r="I3714" t="inlineStr">
        <is>
          <t>2021-04</t>
        </is>
      </c>
      <c r="J3714" t="n">
        <v>1</v>
      </c>
      <c r="K3714" t="n">
        <v>1</v>
      </c>
      <c r="L3714" s="34">
        <f>IF($J3714=1,LN(B3715/B3714),"")</f>
        <v/>
      </c>
      <c r="M3714" s="34">
        <f>IF($K3714=1,INDEX(Mensal!$D$2:$D$245,MATCH($I3714,Mensal!$A$2:$A$245,0)),"")</f>
        <v/>
      </c>
      <c r="N3714" s="34">
        <f>IF($K3714=1,L3714-M3714,"")</f>
        <v/>
      </c>
      <c r="O3714" s="34" t="n">
        <v>0.00010379</v>
      </c>
      <c r="P3714" s="34">
        <f>IF($J3714=1,LN(1+O3714),"")</f>
        <v/>
      </c>
      <c r="Q3714" s="34">
        <f>IF($J3714=1,LN(R3715/R3714),"")</f>
        <v/>
      </c>
      <c r="R3714" s="32" t="n">
        <v>5.497</v>
      </c>
      <c r="S3714" s="35" t="n">
        <v>5.18</v>
      </c>
      <c r="T3714" s="18" t="n"/>
      <c r="U3714" s="18" t="n">
        <v>119371.48</v>
      </c>
      <c r="V3714" s="18" t="n"/>
      <c r="W3714" s="18" t="n"/>
      <c r="X3714" s="35" t="n">
        <v>5.18</v>
      </c>
      <c r="Y3714" s="35" t="n"/>
    </row>
    <row r="3715">
      <c r="A3715" s="25" t="n">
        <v>44309</v>
      </c>
      <c r="B3715" s="18" t="n">
        <v>120530.06</v>
      </c>
      <c r="C3715" s="31" t="n"/>
      <c r="D3715" s="32" t="n"/>
      <c r="E3715" s="33" t="n">
        <v>3.5103</v>
      </c>
      <c r="F3715" t="inlineStr">
        <is>
          <t>Up</t>
        </is>
      </c>
      <c r="G3715" t="inlineStr">
        <is>
          <t>Up</t>
        </is>
      </c>
      <c r="H3715" t="inlineStr">
        <is>
          <t>EU_JU</t>
        </is>
      </c>
      <c r="I3715" t="inlineStr">
        <is>
          <t>2021-04</t>
        </is>
      </c>
      <c r="J3715" t="n">
        <v>1</v>
      </c>
      <c r="K3715" t="n">
        <v>1</v>
      </c>
      <c r="L3715" s="34">
        <f>IF($J3715=1,LN(B3716/B3715),"")</f>
        <v/>
      </c>
      <c r="M3715" s="34">
        <f>IF($K3715=1,INDEX(Mensal!$D$2:$D$245,MATCH($I3715,Mensal!$A$2:$A$245,0)),"")</f>
        <v/>
      </c>
      <c r="N3715" s="34">
        <f>IF($K3715=1,L3715-M3715,"")</f>
        <v/>
      </c>
      <c r="O3715" s="34" t="n">
        <v>0.00010379</v>
      </c>
      <c r="P3715" s="34">
        <f>IF($J3715=1,LN(1+O3715),"")</f>
        <v/>
      </c>
      <c r="Q3715" s="34">
        <f>IF($J3715=1,LN(R3716/R3715),"")</f>
        <v/>
      </c>
      <c r="R3715" s="32" t="n">
        <v>5.4787</v>
      </c>
      <c r="S3715" s="35" t="n">
        <v>5.15</v>
      </c>
      <c r="T3715" s="18" t="n"/>
      <c r="U3715" s="18" t="n">
        <v>120530.06</v>
      </c>
      <c r="V3715" s="18" t="n"/>
      <c r="W3715" s="18" t="n"/>
      <c r="X3715" s="35" t="n">
        <v>5.15</v>
      </c>
      <c r="Y3715" s="35" t="n"/>
    </row>
    <row r="3716">
      <c r="A3716" s="25" t="n">
        <v>44312</v>
      </c>
      <c r="B3716" s="18" t="n">
        <v>120594.61</v>
      </c>
      <c r="C3716" s="31" t="n"/>
      <c r="D3716" s="32" t="n"/>
      <c r="E3716" s="33" t="n">
        <v>3.5787</v>
      </c>
      <c r="F3716" t="inlineStr">
        <is>
          <t>Up</t>
        </is>
      </c>
      <c r="G3716" t="inlineStr">
        <is>
          <t>Up</t>
        </is>
      </c>
      <c r="H3716" t="inlineStr">
        <is>
          <t>EU_JU</t>
        </is>
      </c>
      <c r="I3716" t="inlineStr">
        <is>
          <t>2021-04</t>
        </is>
      </c>
      <c r="J3716" t="n">
        <v>1</v>
      </c>
      <c r="K3716" t="n">
        <v>1</v>
      </c>
      <c r="L3716" s="34">
        <f>IF($J3716=1,LN(B3717/B3716),"")</f>
        <v/>
      </c>
      <c r="M3716" s="34">
        <f>IF($K3716=1,INDEX(Mensal!$D$2:$D$245,MATCH($I3716,Mensal!$A$2:$A$245,0)),"")</f>
        <v/>
      </c>
      <c r="N3716" s="34">
        <f>IF($K3716=1,L3716-M3716,"")</f>
        <v/>
      </c>
      <c r="O3716" s="34" t="n">
        <v>0.00010379</v>
      </c>
      <c r="P3716" s="34">
        <f>IF($J3716=1,LN(1+O3716),"")</f>
        <v/>
      </c>
      <c r="Q3716" s="34">
        <f>IF($J3716=1,LN(R3717/R3716),"")</f>
        <v/>
      </c>
      <c r="R3716" s="32" t="n">
        <v>5.4566</v>
      </c>
      <c r="S3716" s="35" t="n">
        <v>5.18</v>
      </c>
      <c r="T3716" s="18" t="n"/>
      <c r="U3716" s="18" t="n">
        <v>120594.61</v>
      </c>
      <c r="V3716" s="18" t="n"/>
      <c r="W3716" s="18" t="n"/>
      <c r="X3716" s="35" t="n">
        <v>5.18</v>
      </c>
      <c r="Y3716" s="35" t="n"/>
    </row>
    <row r="3717">
      <c r="A3717" s="25" t="n">
        <v>44313</v>
      </c>
      <c r="B3717" s="18" t="n">
        <v>119388.37</v>
      </c>
      <c r="C3717" s="31" t="n"/>
      <c r="D3717" s="32" t="n"/>
      <c r="E3717" s="33" t="n">
        <v>3.6443</v>
      </c>
      <c r="F3717" t="inlineStr">
        <is>
          <t>Up</t>
        </is>
      </c>
      <c r="G3717" t="inlineStr">
        <is>
          <t>Up</t>
        </is>
      </c>
      <c r="H3717" t="inlineStr">
        <is>
          <t>EU_JU</t>
        </is>
      </c>
      <c r="I3717" t="inlineStr">
        <is>
          <t>2021-04</t>
        </is>
      </c>
      <c r="J3717" t="n">
        <v>1</v>
      </c>
      <c r="K3717" t="n">
        <v>1</v>
      </c>
      <c r="L3717" s="34">
        <f>IF($J3717=1,LN(B3718/B3717),"")</f>
        <v/>
      </c>
      <c r="M3717" s="34">
        <f>IF($K3717=1,INDEX(Mensal!$D$2:$D$245,MATCH($I3717,Mensal!$A$2:$A$245,0)),"")</f>
        <v/>
      </c>
      <c r="N3717" s="34">
        <f>IF($K3717=1,L3717-M3717,"")</f>
        <v/>
      </c>
      <c r="O3717" s="34" t="n">
        <v>0.00010379</v>
      </c>
      <c r="P3717" s="34">
        <f>IF($J3717=1,LN(1+O3717),"")</f>
        <v/>
      </c>
      <c r="Q3717" s="34">
        <f>IF($J3717=1,LN(R3718/R3717),"")</f>
        <v/>
      </c>
      <c r="R3717" s="32" t="n">
        <v>5.4424</v>
      </c>
      <c r="S3717" s="35" t="n">
        <v>5.21</v>
      </c>
      <c r="T3717" s="18" t="n"/>
      <c r="U3717" s="18" t="n">
        <v>119388.37</v>
      </c>
      <c r="V3717" s="18" t="n"/>
      <c r="W3717" s="18" t="n"/>
      <c r="X3717" s="35" t="n">
        <v>5.21</v>
      </c>
      <c r="Y3717" s="35" t="n"/>
    </row>
    <row r="3718">
      <c r="A3718" s="25" t="n">
        <v>44314</v>
      </c>
      <c r="B3718" s="18" t="n">
        <v>121052.52</v>
      </c>
      <c r="C3718" s="31" t="n"/>
      <c r="D3718" s="32" t="n"/>
      <c r="E3718" s="33" t="n">
        <v>3.6985</v>
      </c>
      <c r="F3718" t="inlineStr">
        <is>
          <t>Up</t>
        </is>
      </c>
      <c r="G3718" t="inlineStr">
        <is>
          <t>Up</t>
        </is>
      </c>
      <c r="H3718" t="inlineStr">
        <is>
          <t>EU_JU</t>
        </is>
      </c>
      <c r="I3718" t="inlineStr">
        <is>
          <t>2021-04</t>
        </is>
      </c>
      <c r="J3718" t="n">
        <v>1</v>
      </c>
      <c r="K3718" t="n">
        <v>1</v>
      </c>
      <c r="L3718" s="34">
        <f>IF($J3718=1,LN(B3719/B3718),"")</f>
        <v/>
      </c>
      <c r="M3718" s="34">
        <f>IF($K3718=1,INDEX(Mensal!$D$2:$D$245,MATCH($I3718,Mensal!$A$2:$A$245,0)),"")</f>
        <v/>
      </c>
      <c r="N3718" s="34">
        <f>IF($K3718=1,L3718-M3718,"")</f>
        <v/>
      </c>
      <c r="O3718" s="34" t="n">
        <v>0.00010379</v>
      </c>
      <c r="P3718" s="34">
        <f>IF($J3718=1,LN(1+O3718),"")</f>
        <v/>
      </c>
      <c r="Q3718" s="34">
        <f>IF($J3718=1,LN(R3719/R3718),"")</f>
        <v/>
      </c>
      <c r="R3718" s="32" t="n">
        <v>5.4005</v>
      </c>
      <c r="S3718" s="35" t="n">
        <v>5.2</v>
      </c>
      <c r="T3718" s="18" t="n"/>
      <c r="U3718" s="18" t="n">
        <v>121052.52</v>
      </c>
      <c r="V3718" s="18" t="n"/>
      <c r="W3718" s="18" t="n"/>
      <c r="X3718" s="35" t="n">
        <v>5.2</v>
      </c>
      <c r="Y3718" s="35" t="n"/>
    </row>
    <row r="3719">
      <c r="A3719" s="25" t="n">
        <v>44315</v>
      </c>
      <c r="B3719" s="18" t="n">
        <v>120065.75</v>
      </c>
      <c r="C3719" s="31" t="n"/>
      <c r="D3719" s="32" t="n"/>
      <c r="E3719" s="33" t="n">
        <v>3.7611</v>
      </c>
      <c r="F3719" t="inlineStr">
        <is>
          <t>Up</t>
        </is>
      </c>
      <c r="G3719" t="inlineStr">
        <is>
          <t>Up</t>
        </is>
      </c>
      <c r="H3719" t="inlineStr">
        <is>
          <t>EU_JU</t>
        </is>
      </c>
      <c r="I3719" t="inlineStr">
        <is>
          <t>2021-04</t>
        </is>
      </c>
      <c r="J3719" t="n">
        <v>1</v>
      </c>
      <c r="K3719" t="n">
        <v>1</v>
      </c>
      <c r="L3719" s="34">
        <f>IF($J3719=1,LN(B3720/B3719),"")</f>
        <v/>
      </c>
      <c r="M3719" s="34">
        <f>IF($K3719=1,INDEX(Mensal!$D$2:$D$245,MATCH($I3719,Mensal!$A$2:$A$245,0)),"")</f>
        <v/>
      </c>
      <c r="N3719" s="34">
        <f>IF($K3719=1,L3719-M3719,"")</f>
        <v/>
      </c>
      <c r="O3719" s="34" t="n">
        <v>0.00010379</v>
      </c>
      <c r="P3719" s="34">
        <f>IF($J3719=1,LN(1+O3719),"")</f>
        <v/>
      </c>
      <c r="Q3719" s="34">
        <f>IF($J3719=1,LN(R3720/R3719),"")</f>
        <v/>
      </c>
      <c r="R3719" s="32" t="n">
        <v>5.3662</v>
      </c>
      <c r="S3719" s="35" t="n">
        <v>5.18</v>
      </c>
      <c r="T3719" s="18" t="n"/>
      <c r="U3719" s="18" t="n">
        <v>120065.75</v>
      </c>
      <c r="V3719" s="18" t="n"/>
      <c r="W3719" s="18" t="n"/>
      <c r="X3719" s="35" t="n">
        <v>5.18</v>
      </c>
      <c r="Y3719" s="35" t="n"/>
    </row>
    <row r="3720">
      <c r="A3720" s="25" t="n">
        <v>44316</v>
      </c>
      <c r="B3720" s="18" t="n">
        <v>118893.84</v>
      </c>
      <c r="C3720" s="31" t="n"/>
      <c r="D3720" s="32" t="n"/>
      <c r="E3720" s="33" t="n">
        <v>3.8115</v>
      </c>
      <c r="F3720" t="inlineStr">
        <is>
          <t>Up</t>
        </is>
      </c>
      <c r="G3720" t="inlineStr">
        <is>
          <t>Up</t>
        </is>
      </c>
      <c r="H3720" t="inlineStr">
        <is>
          <t>EU_JU</t>
        </is>
      </c>
      <c r="I3720" t="inlineStr">
        <is>
          <t>2021-04</t>
        </is>
      </c>
      <c r="J3720" t="n">
        <v>1</v>
      </c>
      <c r="K3720" t="n">
        <v>1</v>
      </c>
      <c r="L3720" s="34">
        <f>IF($J3720=1,LN(B3721/B3720),"")</f>
        <v/>
      </c>
      <c r="M3720" s="34">
        <f>IF($K3720=1,INDEX(Mensal!$D$2:$D$245,MATCH($I3720,Mensal!$A$2:$A$245,0)),"")</f>
        <v/>
      </c>
      <c r="N3720" s="34">
        <f>IF($K3720=1,L3720-M3720,"")</f>
        <v/>
      </c>
      <c r="O3720" s="34" t="n">
        <v>0.00010379</v>
      </c>
      <c r="P3720" s="34">
        <f>IF($J3720=1,LN(1+O3720),"")</f>
        <v/>
      </c>
      <c r="Q3720" s="34">
        <f>IF($J3720=1,LN(R3721/R3720),"")</f>
        <v/>
      </c>
      <c r="R3720" s="32" t="n">
        <v>5.4036</v>
      </c>
      <c r="S3720" s="35" t="n">
        <v>5.22</v>
      </c>
      <c r="T3720" s="18" t="n"/>
      <c r="U3720" s="18" t="n">
        <v>118893.84</v>
      </c>
      <c r="V3720" s="18" t="n"/>
      <c r="W3720" s="18" t="n"/>
      <c r="X3720" s="35" t="n">
        <v>5.22</v>
      </c>
      <c r="Y3720" s="35" t="n"/>
    </row>
    <row r="3721">
      <c r="A3721" s="25" t="n">
        <v>44319</v>
      </c>
      <c r="B3721" s="18" t="n">
        <v>119209.48</v>
      </c>
      <c r="C3721" s="31" t="n"/>
      <c r="D3721" s="32" t="n"/>
      <c r="E3721" s="33" t="n">
        <v>3.8003</v>
      </c>
      <c r="F3721" t="inlineStr">
        <is>
          <t>Up</t>
        </is>
      </c>
      <c r="G3721" t="inlineStr">
        <is>
          <t>Up</t>
        </is>
      </c>
      <c r="H3721" t="inlineStr">
        <is>
          <t>EU_JU</t>
        </is>
      </c>
      <c r="I3721" t="inlineStr">
        <is>
          <t>2021-05</t>
        </is>
      </c>
      <c r="J3721" t="n">
        <v>1</v>
      </c>
      <c r="K3721" t="n">
        <v>1</v>
      </c>
      <c r="L3721" s="34">
        <f>IF($J3721=1,LN(B3722/B3721),"")</f>
        <v/>
      </c>
      <c r="M3721" s="34">
        <f>IF($K3721=1,INDEX(Mensal!$D$2:$D$245,MATCH($I3721,Mensal!$A$2:$A$245,0)),"")</f>
        <v/>
      </c>
      <c r="N3721" s="34">
        <f>IF($K3721=1,L3721-M3721,"")</f>
        <v/>
      </c>
      <c r="O3721" s="34" t="n">
        <v>0.00010379</v>
      </c>
      <c r="P3721" s="34">
        <f>IF($J3721=1,LN(1+O3721),"")</f>
        <v/>
      </c>
      <c r="Q3721" s="34">
        <f>IF($J3721=1,LN(R3722/R3721),"")</f>
        <v/>
      </c>
      <c r="R3721" s="32" t="n">
        <v>5.4087</v>
      </c>
      <c r="S3721" s="35" t="n">
        <v>5.32</v>
      </c>
      <c r="T3721" s="18" t="n"/>
      <c r="U3721" s="18" t="n">
        <v>119209.48</v>
      </c>
      <c r="V3721" s="18" t="n"/>
      <c r="W3721" s="18" t="n"/>
      <c r="X3721" s="35" t="n">
        <v>5.32</v>
      </c>
      <c r="Y3721" s="35" t="n"/>
    </row>
    <row r="3722">
      <c r="A3722" s="25" t="n">
        <v>44320</v>
      </c>
      <c r="B3722" s="18" t="n">
        <v>117712</v>
      </c>
      <c r="C3722" s="31" t="n"/>
      <c r="D3722" s="32" t="n"/>
      <c r="E3722" s="33" t="n">
        <v>3.7791</v>
      </c>
      <c r="F3722" t="inlineStr">
        <is>
          <t>Up</t>
        </is>
      </c>
      <c r="G3722" t="inlineStr">
        <is>
          <t>Up</t>
        </is>
      </c>
      <c r="H3722" t="inlineStr">
        <is>
          <t>EU_JU</t>
        </is>
      </c>
      <c r="I3722" t="inlineStr">
        <is>
          <t>2021-05</t>
        </is>
      </c>
      <c r="J3722" t="n">
        <v>1</v>
      </c>
      <c r="K3722" t="n">
        <v>1</v>
      </c>
      <c r="L3722" s="34">
        <f>IF($J3722=1,LN(B3723/B3722),"")</f>
        <v/>
      </c>
      <c r="M3722" s="34">
        <f>IF($K3722=1,INDEX(Mensal!$D$2:$D$245,MATCH($I3722,Mensal!$A$2:$A$245,0)),"")</f>
        <v/>
      </c>
      <c r="N3722" s="34">
        <f>IF($K3722=1,L3722-M3722,"")</f>
        <v/>
      </c>
      <c r="O3722" s="34" t="n">
        <v>0.00010379</v>
      </c>
      <c r="P3722" s="34">
        <f>IF($J3722=1,LN(1+O3722),"")</f>
        <v/>
      </c>
      <c r="Q3722" s="34">
        <f>IF($J3722=1,LN(R3723/R3722),"")</f>
        <v/>
      </c>
      <c r="R3722" s="32" t="n">
        <v>5.4505</v>
      </c>
      <c r="S3722" s="35" t="n">
        <v>5.41</v>
      </c>
      <c r="T3722" s="18" t="n"/>
      <c r="U3722" s="18" t="n">
        <v>117712</v>
      </c>
      <c r="V3722" s="18" t="n"/>
      <c r="W3722" s="18" t="n"/>
      <c r="X3722" s="35" t="n">
        <v>5.41</v>
      </c>
      <c r="Y3722" s="35" t="n"/>
    </row>
    <row r="3723">
      <c r="A3723" s="25" t="n">
        <v>44321</v>
      </c>
      <c r="B3723" s="18" t="n">
        <v>119564.44</v>
      </c>
      <c r="C3723" s="31" t="n"/>
      <c r="D3723" s="32" t="n"/>
      <c r="E3723" s="33" t="n">
        <v>3.7753</v>
      </c>
      <c r="F3723" t="inlineStr">
        <is>
          <t>Up</t>
        </is>
      </c>
      <c r="G3723" t="inlineStr">
        <is>
          <t>Up</t>
        </is>
      </c>
      <c r="H3723" t="inlineStr">
        <is>
          <t>EU_JU</t>
        </is>
      </c>
      <c r="I3723" t="inlineStr">
        <is>
          <t>2021-05</t>
        </is>
      </c>
      <c r="J3723" t="n">
        <v>1</v>
      </c>
      <c r="K3723" t="n">
        <v>1</v>
      </c>
      <c r="L3723" s="34">
        <f>IF($J3723=1,LN(B3724/B3723),"")</f>
        <v/>
      </c>
      <c r="M3723" s="34">
        <f>IF($K3723=1,INDEX(Mensal!$D$2:$D$245,MATCH($I3723,Mensal!$A$2:$A$245,0)),"")</f>
        <v/>
      </c>
      <c r="N3723" s="34">
        <f>IF($K3723=1,L3723-M3723,"")</f>
        <v/>
      </c>
      <c r="O3723" s="34" t="n">
        <v>0.00010379</v>
      </c>
      <c r="P3723" s="34">
        <f>IF($J3723=1,LN(1+O3723),"")</f>
        <v/>
      </c>
      <c r="Q3723" s="34">
        <f>IF($J3723=1,LN(R3724/R3723),"")</f>
        <v/>
      </c>
      <c r="R3723" s="32" t="n">
        <v>5.3872</v>
      </c>
      <c r="S3723" s="35" t="n">
        <v>5.39</v>
      </c>
      <c r="T3723" s="18" t="n"/>
      <c r="U3723" s="18" t="n">
        <v>119564.44</v>
      </c>
      <c r="V3723" s="18" t="n"/>
      <c r="W3723" s="18" t="n"/>
      <c r="X3723" s="35" t="n">
        <v>5.39</v>
      </c>
      <c r="Y3723" s="35" t="n"/>
    </row>
    <row r="3724">
      <c r="A3724" s="25" t="n">
        <v>44322</v>
      </c>
      <c r="B3724" s="18" t="n">
        <v>119920.61</v>
      </c>
      <c r="C3724" s="31" t="n"/>
      <c r="D3724" s="32" t="n"/>
      <c r="E3724" s="33" t="n">
        <v>3.7774</v>
      </c>
      <c r="F3724" t="inlineStr">
        <is>
          <t>Up</t>
        </is>
      </c>
      <c r="G3724" t="inlineStr">
        <is>
          <t>Up</t>
        </is>
      </c>
      <c r="H3724" t="inlineStr">
        <is>
          <t>EU_JU</t>
        </is>
      </c>
      <c r="I3724" t="inlineStr">
        <is>
          <t>2021-05</t>
        </is>
      </c>
      <c r="J3724" t="n">
        <v>1</v>
      </c>
      <c r="K3724" t="n">
        <v>1</v>
      </c>
      <c r="L3724" s="34">
        <f>IF($J3724=1,LN(B3725/B3724),"")</f>
        <v/>
      </c>
      <c r="M3724" s="34">
        <f>IF($K3724=1,INDEX(Mensal!$D$2:$D$245,MATCH($I3724,Mensal!$A$2:$A$245,0)),"")</f>
        <v/>
      </c>
      <c r="N3724" s="34">
        <f>IF($K3724=1,L3724-M3724,"")</f>
        <v/>
      </c>
      <c r="O3724" s="34" t="n">
        <v>0.00013269</v>
      </c>
      <c r="P3724" s="34">
        <f>IF($J3724=1,LN(1+O3724),"")</f>
        <v/>
      </c>
      <c r="Q3724" s="34">
        <f>IF($J3724=1,LN(R3725/R3724),"")</f>
        <v/>
      </c>
      <c r="R3724" s="32" t="n">
        <v>5.2897</v>
      </c>
      <c r="S3724" s="35" t="n">
        <v>5.41</v>
      </c>
      <c r="T3724" s="18" t="n"/>
      <c r="U3724" s="18" t="n">
        <v>119920.61</v>
      </c>
      <c r="V3724" s="18" t="n"/>
      <c r="W3724" s="18" t="n"/>
      <c r="X3724" s="35" t="n">
        <v>5.41</v>
      </c>
      <c r="Y3724" s="35" t="n"/>
    </row>
    <row r="3725">
      <c r="A3725" s="25" t="n">
        <v>44323</v>
      </c>
      <c r="B3725" s="18" t="n">
        <v>122038.11</v>
      </c>
      <c r="C3725" s="31" t="n"/>
      <c r="D3725" s="32" t="n"/>
      <c r="E3725" s="33" t="n">
        <v>3.7651</v>
      </c>
      <c r="F3725" t="inlineStr">
        <is>
          <t>Up</t>
        </is>
      </c>
      <c r="G3725" t="inlineStr">
        <is>
          <t>Up</t>
        </is>
      </c>
      <c r="H3725" t="inlineStr">
        <is>
          <t>EU_JU</t>
        </is>
      </c>
      <c r="I3725" t="inlineStr">
        <is>
          <t>2021-05</t>
        </is>
      </c>
      <c r="J3725" t="n">
        <v>1</v>
      </c>
      <c r="K3725" t="n">
        <v>1</v>
      </c>
      <c r="L3725" s="34">
        <f>IF($J3725=1,LN(B3726/B3725),"")</f>
        <v/>
      </c>
      <c r="M3725" s="34">
        <f>IF($K3725=1,INDEX(Mensal!$D$2:$D$245,MATCH($I3725,Mensal!$A$2:$A$245,0)),"")</f>
        <v/>
      </c>
      <c r="N3725" s="34">
        <f>IF($K3725=1,L3725-M3725,"")</f>
        <v/>
      </c>
      <c r="O3725" s="34" t="n">
        <v>0.00013269</v>
      </c>
      <c r="P3725" s="34">
        <f>IF($J3725=1,LN(1+O3725),"")</f>
        <v/>
      </c>
      <c r="Q3725" s="34">
        <f>IF($J3725=1,LN(R3726/R3725),"")</f>
        <v/>
      </c>
      <c r="R3725" s="32" t="n">
        <v>5.2217</v>
      </c>
      <c r="S3725" s="35" t="n">
        <v>5.48</v>
      </c>
      <c r="T3725" s="18" t="n"/>
      <c r="U3725" s="18" t="n">
        <v>122038.11</v>
      </c>
      <c r="V3725" s="18" t="n"/>
      <c r="W3725" s="18" t="n"/>
      <c r="X3725" s="35" t="n">
        <v>5.48</v>
      </c>
      <c r="Y3725" s="35" t="n"/>
    </row>
    <row r="3726">
      <c r="A3726" s="25" t="n">
        <v>44326</v>
      </c>
      <c r="B3726" s="18" t="n">
        <v>121909.03</v>
      </c>
      <c r="C3726" s="31" t="n"/>
      <c r="D3726" s="32" t="n"/>
      <c r="E3726" s="33" t="n">
        <v>3.7506</v>
      </c>
      <c r="F3726" t="inlineStr">
        <is>
          <t>Up</t>
        </is>
      </c>
      <c r="G3726" t="inlineStr">
        <is>
          <t>Up</t>
        </is>
      </c>
      <c r="H3726" t="inlineStr">
        <is>
          <t>EU_JU</t>
        </is>
      </c>
      <c r="I3726" t="inlineStr">
        <is>
          <t>2021-05</t>
        </is>
      </c>
      <c r="J3726" t="n">
        <v>1</v>
      </c>
      <c r="K3726" t="n">
        <v>1</v>
      </c>
      <c r="L3726" s="34">
        <f>IF($J3726=1,LN(B3727/B3726),"")</f>
        <v/>
      </c>
      <c r="M3726" s="34">
        <f>IF($K3726=1,INDEX(Mensal!$D$2:$D$245,MATCH($I3726,Mensal!$A$2:$A$245,0)),"")</f>
        <v/>
      </c>
      <c r="N3726" s="34">
        <f>IF($K3726=1,L3726-M3726,"")</f>
        <v/>
      </c>
      <c r="O3726" s="34" t="n">
        <v>0.00013269</v>
      </c>
      <c r="P3726" s="34">
        <f>IF($J3726=1,LN(1+O3726),"")</f>
        <v/>
      </c>
      <c r="Q3726" s="34">
        <f>IF($J3726=1,LN(R3727/R3726),"")</f>
        <v/>
      </c>
      <c r="R3726" s="32" t="n">
        <v>5.2227</v>
      </c>
      <c r="S3726" s="35" t="n">
        <v>5.51</v>
      </c>
      <c r="T3726" s="18" t="n"/>
      <c r="U3726" s="18" t="n">
        <v>121909.03</v>
      </c>
      <c r="V3726" s="18" t="n"/>
      <c r="W3726" s="18" t="n"/>
      <c r="X3726" s="35" t="n">
        <v>5.51</v>
      </c>
      <c r="Y3726" s="35" t="n"/>
    </row>
    <row r="3727">
      <c r="A3727" s="25" t="n">
        <v>44327</v>
      </c>
      <c r="B3727" s="18" t="n">
        <v>122964.01</v>
      </c>
      <c r="C3727" s="31" t="n"/>
      <c r="D3727" s="32" t="n"/>
      <c r="E3727" s="33" t="n">
        <v>3.748</v>
      </c>
      <c r="F3727" t="inlineStr">
        <is>
          <t>Up</t>
        </is>
      </c>
      <c r="G3727" t="inlineStr">
        <is>
          <t>Up</t>
        </is>
      </c>
      <c r="H3727" t="inlineStr">
        <is>
          <t>EU_JU</t>
        </is>
      </c>
      <c r="I3727" t="inlineStr">
        <is>
          <t>2021-05</t>
        </is>
      </c>
      <c r="J3727" t="n">
        <v>1</v>
      </c>
      <c r="K3727" t="n">
        <v>1</v>
      </c>
      <c r="L3727" s="34">
        <f>IF($J3727=1,LN(B3728/B3727),"")</f>
        <v/>
      </c>
      <c r="M3727" s="34">
        <f>IF($K3727=1,INDEX(Mensal!$D$2:$D$245,MATCH($I3727,Mensal!$A$2:$A$245,0)),"")</f>
        <v/>
      </c>
      <c r="N3727" s="34">
        <f>IF($K3727=1,L3727-M3727,"")</f>
        <v/>
      </c>
      <c r="O3727" s="34" t="n">
        <v>0.00013269</v>
      </c>
      <c r="P3727" s="34">
        <f>IF($J3727=1,LN(1+O3727),"")</f>
        <v/>
      </c>
      <c r="Q3727" s="34">
        <f>IF($J3727=1,LN(R3728/R3727),"")</f>
        <v/>
      </c>
      <c r="R3727" s="32" t="n">
        <v>5.2403</v>
      </c>
      <c r="S3727" s="35" t="n">
        <v>5.44</v>
      </c>
      <c r="T3727" s="18" t="n"/>
      <c r="U3727" s="18" t="n">
        <v>122964.01</v>
      </c>
      <c r="V3727" s="18" t="n"/>
      <c r="W3727" s="18" t="n"/>
      <c r="X3727" s="35" t="n">
        <v>5.44</v>
      </c>
      <c r="Y3727" s="35" t="n"/>
    </row>
    <row r="3728">
      <c r="A3728" s="25" t="n">
        <v>44328</v>
      </c>
      <c r="B3728" s="18" t="n">
        <v>119710.03</v>
      </c>
      <c r="C3728" s="31" t="n"/>
      <c r="D3728" s="32" t="n"/>
      <c r="E3728" s="33" t="n">
        <v>3.7519</v>
      </c>
      <c r="F3728" t="inlineStr">
        <is>
          <t>Up</t>
        </is>
      </c>
      <c r="G3728" t="inlineStr">
        <is>
          <t>Up</t>
        </is>
      </c>
      <c r="H3728" t="inlineStr">
        <is>
          <t>EU_JU</t>
        </is>
      </c>
      <c r="I3728" t="inlineStr">
        <is>
          <t>2021-05</t>
        </is>
      </c>
      <c r="J3728" t="n">
        <v>1</v>
      </c>
      <c r="K3728" t="n">
        <v>1</v>
      </c>
      <c r="L3728" s="34">
        <f>IF($J3728=1,LN(B3729/B3728),"")</f>
        <v/>
      </c>
      <c r="M3728" s="34">
        <f>IF($K3728=1,INDEX(Mensal!$D$2:$D$245,MATCH($I3728,Mensal!$A$2:$A$245,0)),"")</f>
        <v/>
      </c>
      <c r="N3728" s="34">
        <f>IF($K3728=1,L3728-M3728,"")</f>
        <v/>
      </c>
      <c r="O3728" s="34" t="n">
        <v>0.00013269</v>
      </c>
      <c r="P3728" s="34">
        <f>IF($J3728=1,LN(1+O3728),"")</f>
        <v/>
      </c>
      <c r="Q3728" s="34">
        <f>IF($J3728=1,LN(R3729/R3728),"")</f>
        <v/>
      </c>
      <c r="R3728" s="32" t="n">
        <v>5.2353</v>
      </c>
      <c r="S3728" s="35" t="n">
        <v>5.62</v>
      </c>
      <c r="T3728" s="18" t="n"/>
      <c r="U3728" s="18" t="n">
        <v>119710.03</v>
      </c>
      <c r="V3728" s="18" t="n"/>
      <c r="W3728" s="18" t="n"/>
      <c r="X3728" s="35" t="n">
        <v>5.62</v>
      </c>
      <c r="Y3728" s="35" t="n"/>
    </row>
    <row r="3729">
      <c r="A3729" s="25" t="n">
        <v>44329</v>
      </c>
      <c r="B3729" s="18" t="n">
        <v>120705.91</v>
      </c>
      <c r="C3729" s="31" t="n"/>
      <c r="D3729" s="32" t="n"/>
      <c r="E3729" s="33" t="n">
        <v>3.7474</v>
      </c>
      <c r="F3729" t="inlineStr">
        <is>
          <t>Up</t>
        </is>
      </c>
      <c r="G3729" t="inlineStr">
        <is>
          <t>Up</t>
        </is>
      </c>
      <c r="H3729" t="inlineStr">
        <is>
          <t>EU_JU</t>
        </is>
      </c>
      <c r="I3729" t="inlineStr">
        <is>
          <t>2021-05</t>
        </is>
      </c>
      <c r="J3729" t="n">
        <v>1</v>
      </c>
      <c r="K3729" t="n">
        <v>1</v>
      </c>
      <c r="L3729" s="34">
        <f>IF($J3729=1,LN(B3730/B3729),"")</f>
        <v/>
      </c>
      <c r="M3729" s="34">
        <f>IF($K3729=1,INDEX(Mensal!$D$2:$D$245,MATCH($I3729,Mensal!$A$2:$A$245,0)),"")</f>
        <v/>
      </c>
      <c r="N3729" s="34">
        <f>IF($K3729=1,L3729-M3729,"")</f>
        <v/>
      </c>
      <c r="O3729" s="34" t="n">
        <v>0.00013269</v>
      </c>
      <c r="P3729" s="34">
        <f>IF($J3729=1,LN(1+O3729),"")</f>
        <v/>
      </c>
      <c r="Q3729" s="34">
        <f>IF($J3729=1,LN(R3730/R3729),"")</f>
        <v/>
      </c>
      <c r="R3729" s="32" t="n">
        <v>5.2815</v>
      </c>
      <c r="S3729" s="35" t="n">
        <v>5.62</v>
      </c>
      <c r="T3729" s="18" t="n"/>
      <c r="U3729" s="18" t="n">
        <v>120705.91</v>
      </c>
      <c r="V3729" s="18" t="n"/>
      <c r="W3729" s="18" t="n"/>
      <c r="X3729" s="35" t="n">
        <v>5.62</v>
      </c>
      <c r="Y3729" s="35" t="n"/>
    </row>
    <row r="3730">
      <c r="A3730" s="25" t="n">
        <v>44330</v>
      </c>
      <c r="B3730" s="18" t="n">
        <v>121880.82</v>
      </c>
      <c r="C3730" s="31" t="n"/>
      <c r="D3730" s="32" t="n"/>
      <c r="E3730" s="33" t="n">
        <v>3.7271</v>
      </c>
      <c r="F3730" t="inlineStr">
        <is>
          <t>Up</t>
        </is>
      </c>
      <c r="G3730" t="inlineStr">
        <is>
          <t>Up</t>
        </is>
      </c>
      <c r="H3730" t="inlineStr">
        <is>
          <t>EU_JU</t>
        </is>
      </c>
      <c r="I3730" t="inlineStr">
        <is>
          <t>2021-05</t>
        </is>
      </c>
      <c r="J3730" t="n">
        <v>1</v>
      </c>
      <c r="K3730" t="n">
        <v>1</v>
      </c>
      <c r="L3730" s="34">
        <f>IF($J3730=1,LN(B3731/B3730),"")</f>
        <v/>
      </c>
      <c r="M3730" s="34">
        <f>IF($K3730=1,INDEX(Mensal!$D$2:$D$245,MATCH($I3730,Mensal!$A$2:$A$245,0)),"")</f>
        <v/>
      </c>
      <c r="N3730" s="34">
        <f>IF($K3730=1,L3730-M3730,"")</f>
        <v/>
      </c>
      <c r="O3730" s="34" t="n">
        <v>0.00013269</v>
      </c>
      <c r="P3730" s="34">
        <f>IF($J3730=1,LN(1+O3730),"")</f>
        <v/>
      </c>
      <c r="Q3730" s="34">
        <f>IF($J3730=1,LN(R3731/R3730),"")</f>
        <v/>
      </c>
      <c r="R3730" s="32" t="n">
        <v>5.2701</v>
      </c>
      <c r="S3730" s="35" t="n">
        <v>5.73</v>
      </c>
      <c r="T3730" s="18" t="n"/>
      <c r="U3730" s="18" t="n">
        <v>121880.82</v>
      </c>
      <c r="V3730" s="18" t="n"/>
      <c r="W3730" s="18" t="n"/>
      <c r="X3730" s="35" t="n">
        <v>5.73</v>
      </c>
      <c r="Y3730" s="35" t="n"/>
    </row>
    <row r="3731">
      <c r="A3731" s="25" t="n">
        <v>44333</v>
      </c>
      <c r="B3731" s="18" t="n">
        <v>122937.87</v>
      </c>
      <c r="C3731" s="31" t="n"/>
      <c r="D3731" s="32" t="n"/>
      <c r="E3731" s="33" t="n">
        <v>3.6923</v>
      </c>
      <c r="F3731" t="inlineStr">
        <is>
          <t>Up</t>
        </is>
      </c>
      <c r="G3731" t="inlineStr">
        <is>
          <t>Up</t>
        </is>
      </c>
      <c r="H3731" t="inlineStr">
        <is>
          <t>EU_JU</t>
        </is>
      </c>
      <c r="I3731" t="inlineStr">
        <is>
          <t>2021-05</t>
        </is>
      </c>
      <c r="J3731" t="n">
        <v>1</v>
      </c>
      <c r="K3731" t="n">
        <v>1</v>
      </c>
      <c r="L3731" s="34">
        <f>IF($J3731=1,LN(B3732/B3731),"")</f>
        <v/>
      </c>
      <c r="M3731" s="34">
        <f>IF($K3731=1,INDEX(Mensal!$D$2:$D$245,MATCH($I3731,Mensal!$A$2:$A$245,0)),"")</f>
        <v/>
      </c>
      <c r="N3731" s="34">
        <f>IF($K3731=1,L3731-M3731,"")</f>
        <v/>
      </c>
      <c r="O3731" s="34" t="n">
        <v>0.00013269</v>
      </c>
      <c r="P3731" s="34">
        <f>IF($J3731=1,LN(1+O3731),"")</f>
        <v/>
      </c>
      <c r="Q3731" s="34">
        <f>IF($J3731=1,LN(R3732/R3731),"")</f>
        <v/>
      </c>
      <c r="R3731" s="32" t="n">
        <v>5.2755</v>
      </c>
      <c r="S3731" s="35" t="n">
        <v>5.66</v>
      </c>
      <c r="T3731" s="18" t="n"/>
      <c r="U3731" s="18" t="n">
        <v>122937.87</v>
      </c>
      <c r="V3731" s="18" t="n"/>
      <c r="W3731" s="18" t="n"/>
      <c r="X3731" s="35" t="n">
        <v>5.66</v>
      </c>
      <c r="Y3731" s="35" t="n"/>
    </row>
    <row r="3732">
      <c r="A3732" s="25" t="n">
        <v>44334</v>
      </c>
      <c r="B3732" s="18" t="n">
        <v>122979.96</v>
      </c>
      <c r="C3732" s="31" t="n"/>
      <c r="D3732" s="32" t="n"/>
      <c r="E3732" s="33" t="n">
        <v>3.6632</v>
      </c>
      <c r="F3732" t="inlineStr">
        <is>
          <t>Up</t>
        </is>
      </c>
      <c r="G3732" t="inlineStr">
        <is>
          <t>Up</t>
        </is>
      </c>
      <c r="H3732" t="inlineStr">
        <is>
          <t>EU_JU</t>
        </is>
      </c>
      <c r="I3732" t="inlineStr">
        <is>
          <t>2021-05</t>
        </is>
      </c>
      <c r="J3732" t="n">
        <v>1</v>
      </c>
      <c r="K3732" t="n">
        <v>1</v>
      </c>
      <c r="L3732" s="34">
        <f>IF($J3732=1,LN(B3733/B3732),"")</f>
        <v/>
      </c>
      <c r="M3732" s="34">
        <f>IF($K3732=1,INDEX(Mensal!$D$2:$D$245,MATCH($I3732,Mensal!$A$2:$A$245,0)),"")</f>
        <v/>
      </c>
      <c r="N3732" s="34">
        <f>IF($K3732=1,L3732-M3732,"")</f>
        <v/>
      </c>
      <c r="O3732" s="34" t="n">
        <v>0.00013269</v>
      </c>
      <c r="P3732" s="34">
        <f>IF($J3732=1,LN(1+O3732),"")</f>
        <v/>
      </c>
      <c r="Q3732" s="34">
        <f>IF($J3732=1,LN(R3733/R3732),"")</f>
        <v/>
      </c>
      <c r="R3732" s="32" t="n">
        <v>5.2588</v>
      </c>
      <c r="S3732" s="35" t="n">
        <v>5.71</v>
      </c>
      <c r="T3732" s="18" t="n"/>
      <c r="U3732" s="18" t="n">
        <v>122979.96</v>
      </c>
      <c r="V3732" s="18" t="n"/>
      <c r="W3732" s="18" t="n"/>
      <c r="X3732" s="35" t="n">
        <v>5.71</v>
      </c>
      <c r="Y3732" s="35" t="n"/>
    </row>
    <row r="3733">
      <c r="A3733" s="25" t="n">
        <v>44335</v>
      </c>
      <c r="B3733" s="18" t="n">
        <v>122636.3</v>
      </c>
      <c r="C3733" s="31" t="n"/>
      <c r="D3733" s="32" t="n"/>
      <c r="E3733" s="33" t="n">
        <v>3.616</v>
      </c>
      <c r="F3733" t="inlineStr">
        <is>
          <t>Up</t>
        </is>
      </c>
      <c r="G3733" t="inlineStr">
        <is>
          <t>Up</t>
        </is>
      </c>
      <c r="H3733" t="inlineStr">
        <is>
          <t>EU_JU</t>
        </is>
      </c>
      <c r="I3733" t="inlineStr">
        <is>
          <t>2021-05</t>
        </is>
      </c>
      <c r="J3733" t="n">
        <v>1</v>
      </c>
      <c r="K3733" t="n">
        <v>1</v>
      </c>
      <c r="L3733" s="34">
        <f>IF($J3733=1,LN(B3734/B3733),"")</f>
        <v/>
      </c>
      <c r="M3733" s="34">
        <f>IF($K3733=1,INDEX(Mensal!$D$2:$D$245,MATCH($I3733,Mensal!$A$2:$A$245,0)),"")</f>
        <v/>
      </c>
      <c r="N3733" s="34">
        <f>IF($K3733=1,L3733-M3733,"")</f>
        <v/>
      </c>
      <c r="O3733" s="34" t="n">
        <v>0.00013269</v>
      </c>
      <c r="P3733" s="34">
        <f>IF($J3733=1,LN(1+O3733),"")</f>
        <v/>
      </c>
      <c r="Q3733" s="34">
        <f>IF($J3733=1,LN(R3734/R3733),"")</f>
        <v/>
      </c>
      <c r="R3733" s="32" t="n">
        <v>5.2822</v>
      </c>
      <c r="S3733" s="35" t="n">
        <v>5.77</v>
      </c>
      <c r="T3733" s="18" t="n"/>
      <c r="U3733" s="18" t="n">
        <v>122636.3</v>
      </c>
      <c r="V3733" s="18" t="n"/>
      <c r="W3733" s="18" t="n"/>
      <c r="X3733" s="35" t="n">
        <v>5.77</v>
      </c>
      <c r="Y3733" s="35" t="n"/>
    </row>
    <row r="3734">
      <c r="A3734" s="25" t="n">
        <v>44336</v>
      </c>
      <c r="B3734" s="18" t="n">
        <v>122700.79</v>
      </c>
      <c r="C3734" s="31" t="n"/>
      <c r="D3734" s="32" t="n"/>
      <c r="E3734" s="33" t="n">
        <v>3.5582</v>
      </c>
      <c r="F3734" t="inlineStr">
        <is>
          <t>Up</t>
        </is>
      </c>
      <c r="G3734" t="inlineStr">
        <is>
          <t>Up</t>
        </is>
      </c>
      <c r="H3734" t="inlineStr">
        <is>
          <t>EU_JU</t>
        </is>
      </c>
      <c r="I3734" t="inlineStr">
        <is>
          <t>2021-05</t>
        </is>
      </c>
      <c r="J3734" t="n">
        <v>1</v>
      </c>
      <c r="K3734" t="n">
        <v>1</v>
      </c>
      <c r="L3734" s="34">
        <f>IF($J3734=1,LN(B3735/B3734),"")</f>
        <v/>
      </c>
      <c r="M3734" s="34">
        <f>IF($K3734=1,INDEX(Mensal!$D$2:$D$245,MATCH($I3734,Mensal!$A$2:$A$245,0)),"")</f>
        <v/>
      </c>
      <c r="N3734" s="34">
        <f>IF($K3734=1,L3734-M3734,"")</f>
        <v/>
      </c>
      <c r="O3734" s="34" t="n">
        <v>0.00013269</v>
      </c>
      <c r="P3734" s="34">
        <f>IF($J3734=1,LN(1+O3734),"")</f>
        <v/>
      </c>
      <c r="Q3734" s="34">
        <f>IF($J3734=1,LN(R3735/R3734),"")</f>
        <v/>
      </c>
      <c r="R3734" s="32" t="n">
        <v>5.2905</v>
      </c>
      <c r="S3734" s="35" t="n">
        <v>5.72</v>
      </c>
      <c r="T3734" s="18" t="n"/>
      <c r="U3734" s="18" t="n">
        <v>122700.79</v>
      </c>
      <c r="V3734" s="18" t="n"/>
      <c r="W3734" s="18" t="n"/>
      <c r="X3734" s="35" t="n">
        <v>5.72</v>
      </c>
      <c r="Y3734" s="35" t="n"/>
    </row>
    <row r="3735">
      <c r="A3735" s="25" t="n">
        <v>44337</v>
      </c>
      <c r="B3735" s="18" t="n">
        <v>122592.47</v>
      </c>
      <c r="C3735" s="31" t="n"/>
      <c r="D3735" s="32" t="n"/>
      <c r="E3735" s="33" t="n">
        <v>3.4921</v>
      </c>
      <c r="F3735" t="inlineStr">
        <is>
          <t>Up</t>
        </is>
      </c>
      <c r="G3735" t="inlineStr">
        <is>
          <t>Up</t>
        </is>
      </c>
      <c r="H3735" t="inlineStr">
        <is>
          <t>EU_JU</t>
        </is>
      </c>
      <c r="I3735" t="inlineStr">
        <is>
          <t>2021-05</t>
        </is>
      </c>
      <c r="J3735" t="n">
        <v>1</v>
      </c>
      <c r="K3735" t="n">
        <v>1</v>
      </c>
      <c r="L3735" s="34">
        <f>IF($J3735=1,LN(B3736/B3735),"")</f>
        <v/>
      </c>
      <c r="M3735" s="34">
        <f>IF($K3735=1,INDEX(Mensal!$D$2:$D$245,MATCH($I3735,Mensal!$A$2:$A$245,0)),"")</f>
        <v/>
      </c>
      <c r="N3735" s="34">
        <f>IF($K3735=1,L3735-M3735,"")</f>
        <v/>
      </c>
      <c r="O3735" s="34" t="n">
        <v>0.00013269</v>
      </c>
      <c r="P3735" s="34">
        <f>IF($J3735=1,LN(1+O3735),"")</f>
        <v/>
      </c>
      <c r="Q3735" s="34">
        <f>IF($J3735=1,LN(R3736/R3735),"")</f>
        <v/>
      </c>
      <c r="R3735" s="32" t="n">
        <v>5.3027</v>
      </c>
      <c r="S3735" s="35" t="n">
        <v>5.73</v>
      </c>
      <c r="T3735" s="18" t="n"/>
      <c r="U3735" s="18" t="n">
        <v>122592.47</v>
      </c>
      <c r="V3735" s="18" t="n"/>
      <c r="W3735" s="18" t="n"/>
      <c r="X3735" s="35" t="n">
        <v>5.73</v>
      </c>
      <c r="Y3735" s="35" t="n"/>
    </row>
    <row r="3736">
      <c r="A3736" s="25" t="n">
        <v>44340</v>
      </c>
      <c r="B3736" s="18" t="n">
        <v>124031.62</v>
      </c>
      <c r="C3736" s="31" t="n"/>
      <c r="D3736" s="32" t="n"/>
      <c r="E3736" s="33" t="n">
        <v>3.4323</v>
      </c>
      <c r="F3736" t="inlineStr">
        <is>
          <t>Up</t>
        </is>
      </c>
      <c r="G3736" t="inlineStr">
        <is>
          <t>Up</t>
        </is>
      </c>
      <c r="H3736" t="inlineStr">
        <is>
          <t>EU_JU</t>
        </is>
      </c>
      <c r="I3736" t="inlineStr">
        <is>
          <t>2021-05</t>
        </is>
      </c>
      <c r="J3736" t="n">
        <v>1</v>
      </c>
      <c r="K3736" t="n">
        <v>1</v>
      </c>
      <c r="L3736" s="34">
        <f>IF($J3736=1,LN(B3737/B3736),"")</f>
        <v/>
      </c>
      <c r="M3736" s="34">
        <f>IF($K3736=1,INDEX(Mensal!$D$2:$D$245,MATCH($I3736,Mensal!$A$2:$A$245,0)),"")</f>
        <v/>
      </c>
      <c r="N3736" s="34">
        <f>IF($K3736=1,L3736-M3736,"")</f>
        <v/>
      </c>
      <c r="O3736" s="34" t="n">
        <v>0.00013269</v>
      </c>
      <c r="P3736" s="34">
        <f>IF($J3736=1,LN(1+O3736),"")</f>
        <v/>
      </c>
      <c r="Q3736" s="34">
        <f>IF($J3736=1,LN(R3737/R3736),"")</f>
        <v/>
      </c>
      <c r="R3736" s="32" t="n">
        <v>5.3198</v>
      </c>
      <c r="S3736" s="35" t="n">
        <v>5.81</v>
      </c>
      <c r="T3736" s="18" t="n"/>
      <c r="U3736" s="18" t="n">
        <v>124031.62</v>
      </c>
      <c r="V3736" s="18" t="n"/>
      <c r="W3736" s="18" t="n"/>
      <c r="X3736" s="35" t="n">
        <v>5.81</v>
      </c>
      <c r="Y3736" s="35" t="n"/>
    </row>
    <row r="3737">
      <c r="A3737" s="25" t="n">
        <v>44341</v>
      </c>
      <c r="B3737" s="18" t="n">
        <v>122987.71</v>
      </c>
      <c r="C3737" s="31" t="n"/>
      <c r="D3737" s="32" t="n"/>
      <c r="E3737" s="33" t="n">
        <v>3.365</v>
      </c>
      <c r="F3737" t="inlineStr">
        <is>
          <t>Up</t>
        </is>
      </c>
      <c r="G3737" t="inlineStr">
        <is>
          <t>Up</t>
        </is>
      </c>
      <c r="H3737" t="inlineStr">
        <is>
          <t>EU_JU</t>
        </is>
      </c>
      <c r="I3737" t="inlineStr">
        <is>
          <t>2021-05</t>
        </is>
      </c>
      <c r="J3737" t="n">
        <v>1</v>
      </c>
      <c r="K3737" t="n">
        <v>1</v>
      </c>
      <c r="L3737" s="34">
        <f>IF($J3737=1,LN(B3738/B3737),"")</f>
        <v/>
      </c>
      <c r="M3737" s="34">
        <f>IF($K3737=1,INDEX(Mensal!$D$2:$D$245,MATCH($I3737,Mensal!$A$2:$A$245,0)),"")</f>
        <v/>
      </c>
      <c r="N3737" s="34">
        <f>IF($K3737=1,L3737-M3737,"")</f>
        <v/>
      </c>
      <c r="O3737" s="34" t="n">
        <v>0.00013269</v>
      </c>
      <c r="P3737" s="34">
        <f>IF($J3737=1,LN(1+O3737),"")</f>
        <v/>
      </c>
      <c r="Q3737" s="34">
        <f>IF($J3737=1,LN(R3738/R3737),"")</f>
        <v/>
      </c>
      <c r="R3737" s="32" t="n">
        <v>5.3143</v>
      </c>
      <c r="S3737" s="35" t="n">
        <v>5.76</v>
      </c>
      <c r="T3737" s="18" t="n"/>
      <c r="U3737" s="18" t="n">
        <v>122987.71</v>
      </c>
      <c r="V3737" s="18" t="n"/>
      <c r="W3737" s="18" t="n"/>
      <c r="X3737" s="35" t="n">
        <v>5.76</v>
      </c>
      <c r="Y3737" s="35" t="n"/>
    </row>
    <row r="3738">
      <c r="A3738" s="25" t="n">
        <v>44342</v>
      </c>
      <c r="B3738" s="18" t="n">
        <v>123989.17</v>
      </c>
      <c r="C3738" s="31" t="n"/>
      <c r="D3738" s="32" t="n"/>
      <c r="E3738" s="33" t="n">
        <v>3.289</v>
      </c>
      <c r="F3738" t="inlineStr">
        <is>
          <t>Up</t>
        </is>
      </c>
      <c r="G3738" t="inlineStr">
        <is>
          <t>Up</t>
        </is>
      </c>
      <c r="H3738" t="inlineStr">
        <is>
          <t>EU_JU</t>
        </is>
      </c>
      <c r="I3738" t="inlineStr">
        <is>
          <t>2021-05</t>
        </is>
      </c>
      <c r="J3738" t="n">
        <v>1</v>
      </c>
      <c r="K3738" t="n">
        <v>1</v>
      </c>
      <c r="L3738" s="34">
        <f>IF($J3738=1,LN(B3739/B3738),"")</f>
        <v/>
      </c>
      <c r="M3738" s="34">
        <f>IF($K3738=1,INDEX(Mensal!$D$2:$D$245,MATCH($I3738,Mensal!$A$2:$A$245,0)),"")</f>
        <v/>
      </c>
      <c r="N3738" s="34">
        <f>IF($K3738=1,L3738-M3738,"")</f>
        <v/>
      </c>
      <c r="O3738" s="34" t="n">
        <v>0.00013269</v>
      </c>
      <c r="P3738" s="34">
        <f>IF($J3738=1,LN(1+O3738),"")</f>
        <v/>
      </c>
      <c r="Q3738" s="34">
        <f>IF($J3738=1,LN(R3739/R3738),"")</f>
        <v/>
      </c>
      <c r="R3738" s="32" t="n">
        <v>5.3164</v>
      </c>
      <c r="S3738" s="35" t="n">
        <v>5.77</v>
      </c>
      <c r="T3738" s="18" t="n"/>
      <c r="U3738" s="18" t="n">
        <v>123989.17</v>
      </c>
      <c r="V3738" s="18" t="n"/>
      <c r="W3738" s="18" t="n"/>
      <c r="X3738" s="35" t="n">
        <v>5.77</v>
      </c>
      <c r="Y3738" s="35" t="n"/>
    </row>
    <row r="3739">
      <c r="A3739" s="25" t="n">
        <v>44343</v>
      </c>
      <c r="B3739" s="18" t="n">
        <v>124366.57</v>
      </c>
      <c r="C3739" s="31" t="n"/>
      <c r="D3739" s="32" t="n"/>
      <c r="E3739" s="33" t="n">
        <v>3.2089</v>
      </c>
      <c r="F3739" t="inlineStr">
        <is>
          <t>Up</t>
        </is>
      </c>
      <c r="G3739" t="inlineStr">
        <is>
          <t>Up</t>
        </is>
      </c>
      <c r="H3739" t="inlineStr">
        <is>
          <t>EU_JU</t>
        </is>
      </c>
      <c r="I3739" t="inlineStr">
        <is>
          <t>2021-05</t>
        </is>
      </c>
      <c r="J3739" t="n">
        <v>1</v>
      </c>
      <c r="K3739" t="n">
        <v>1</v>
      </c>
      <c r="L3739" s="34">
        <f>IF($J3739=1,LN(B3740/B3739),"")</f>
        <v/>
      </c>
      <c r="M3739" s="34">
        <f>IF($K3739=1,INDEX(Mensal!$D$2:$D$245,MATCH($I3739,Mensal!$A$2:$A$245,0)),"")</f>
        <v/>
      </c>
      <c r="N3739" s="34">
        <f>IF($K3739=1,L3739-M3739,"")</f>
        <v/>
      </c>
      <c r="O3739" s="34" t="n">
        <v>0.00013269</v>
      </c>
      <c r="P3739" s="34">
        <f>IF($J3739=1,LN(1+O3739),"")</f>
        <v/>
      </c>
      <c r="Q3739" s="34">
        <f>IF($J3739=1,LN(R3740/R3739),"")</f>
        <v/>
      </c>
      <c r="R3739" s="32" t="n">
        <v>5.284</v>
      </c>
      <c r="S3739" s="35" t="n">
        <v>5.76</v>
      </c>
      <c r="T3739" s="18" t="n"/>
      <c r="U3739" s="18" t="n">
        <v>124366.57</v>
      </c>
      <c r="V3739" s="18" t="n"/>
      <c r="W3739" s="18" t="n"/>
      <c r="X3739" s="35" t="n">
        <v>5.76</v>
      </c>
      <c r="Y3739" s="35" t="n"/>
    </row>
    <row r="3740">
      <c r="A3740" s="25" t="n">
        <v>44344</v>
      </c>
      <c r="B3740" s="18" t="n">
        <v>125561.37</v>
      </c>
      <c r="C3740" s="31" t="n"/>
      <c r="D3740" s="32" t="n"/>
      <c r="E3740" s="33" t="n">
        <v>3.1244</v>
      </c>
      <c r="F3740" t="inlineStr">
        <is>
          <t>Up</t>
        </is>
      </c>
      <c r="G3740" t="inlineStr">
        <is>
          <t>Up</t>
        </is>
      </c>
      <c r="H3740" t="inlineStr">
        <is>
          <t>EU_JU</t>
        </is>
      </c>
      <c r="I3740" t="inlineStr">
        <is>
          <t>2021-05</t>
        </is>
      </c>
      <c r="J3740" t="n">
        <v>1</v>
      </c>
      <c r="K3740" t="n">
        <v>1</v>
      </c>
      <c r="L3740" s="34">
        <f>IF($J3740=1,LN(B3741/B3740),"")</f>
        <v/>
      </c>
      <c r="M3740" s="34">
        <f>IF($K3740=1,INDEX(Mensal!$D$2:$D$245,MATCH($I3740,Mensal!$A$2:$A$245,0)),"")</f>
        <v/>
      </c>
      <c r="N3740" s="34">
        <f>IF($K3740=1,L3740-M3740,"")</f>
        <v/>
      </c>
      <c r="O3740" s="34" t="n">
        <v>0.00013269</v>
      </c>
      <c r="P3740" s="34">
        <f>IF($J3740=1,LN(1+O3740),"")</f>
        <v/>
      </c>
      <c r="Q3740" s="34">
        <f>IF($J3740=1,LN(R3741/R3740),"")</f>
        <v/>
      </c>
      <c r="R3740" s="32" t="n">
        <v>5.2281</v>
      </c>
      <c r="S3740" s="35" t="n">
        <v>5.79</v>
      </c>
      <c r="T3740" s="18" t="n"/>
      <c r="U3740" s="18" t="n">
        <v>125561.37</v>
      </c>
      <c r="V3740" s="18" t="n"/>
      <c r="W3740" s="18" t="n"/>
      <c r="X3740" s="35" t="n">
        <v>5.79</v>
      </c>
      <c r="Y3740" s="35" t="n"/>
    </row>
    <row r="3741">
      <c r="A3741" s="25" t="n">
        <v>44347</v>
      </c>
      <c r="B3741" s="18" t="n">
        <v>126215.73</v>
      </c>
      <c r="C3741" s="31" t="n"/>
      <c r="D3741" s="32" t="n"/>
      <c r="E3741" s="33" t="n">
        <v>3.0467</v>
      </c>
      <c r="F3741" t="inlineStr">
        <is>
          <t>Up</t>
        </is>
      </c>
      <c r="G3741" t="inlineStr">
        <is>
          <t>Up</t>
        </is>
      </c>
      <c r="H3741" t="inlineStr">
        <is>
          <t>EU_JU</t>
        </is>
      </c>
      <c r="I3741" t="inlineStr">
        <is>
          <t>2021-05</t>
        </is>
      </c>
      <c r="J3741" t="n">
        <v>1</v>
      </c>
      <c r="K3741" t="n">
        <v>1</v>
      </c>
      <c r="L3741" s="34">
        <f>IF($J3741=1,LN(B3742/B3741),"")</f>
        <v/>
      </c>
      <c r="M3741" s="34">
        <f>IF($K3741=1,INDEX(Mensal!$D$2:$D$245,MATCH($I3741,Mensal!$A$2:$A$245,0)),"")</f>
        <v/>
      </c>
      <c r="N3741" s="34">
        <f>IF($K3741=1,L3741-M3741,"")</f>
        <v/>
      </c>
      <c r="O3741" s="34" t="n">
        <v>0.00013269</v>
      </c>
      <c r="P3741" s="34">
        <f>IF($J3741=1,LN(1+O3741),"")</f>
        <v/>
      </c>
      <c r="Q3741" s="34">
        <f>IF($J3741=1,LN(R3742/R3741),"")</f>
        <v/>
      </c>
      <c r="R3741" s="32" t="n">
        <v>5.2322</v>
      </c>
      <c r="S3741" s="35" t="n">
        <v>5.86</v>
      </c>
      <c r="T3741" s="18" t="n"/>
      <c r="U3741" s="18" t="n">
        <v>126215.73</v>
      </c>
      <c r="V3741" s="18" t="n"/>
      <c r="W3741" s="18" t="n"/>
      <c r="X3741" s="35" t="n">
        <v>5.86</v>
      </c>
      <c r="Y3741" s="35" t="n"/>
    </row>
    <row r="3742">
      <c r="A3742" s="25" t="n">
        <v>44348</v>
      </c>
      <c r="B3742" s="18" t="n">
        <v>128267.05</v>
      </c>
      <c r="C3742" s="31" t="n"/>
      <c r="D3742" s="32" t="n"/>
      <c r="E3742" s="33" t="n">
        <v>2.9528</v>
      </c>
      <c r="F3742" t="inlineStr">
        <is>
          <t>Up</t>
        </is>
      </c>
      <c r="G3742" t="inlineStr">
        <is>
          <t>Up</t>
        </is>
      </c>
      <c r="H3742" t="inlineStr">
        <is>
          <t>EU_JU</t>
        </is>
      </c>
      <c r="I3742" t="inlineStr">
        <is>
          <t>2021-06</t>
        </is>
      </c>
      <c r="J3742" t="n">
        <v>1</v>
      </c>
      <c r="K3742" t="n">
        <v>1</v>
      </c>
      <c r="L3742" s="34">
        <f>IF($J3742=1,LN(B3743/B3742),"")</f>
        <v/>
      </c>
      <c r="M3742" s="34">
        <f>IF($K3742=1,INDEX(Mensal!$D$2:$D$245,MATCH($I3742,Mensal!$A$2:$A$245,0)),"")</f>
        <v/>
      </c>
      <c r="N3742" s="34">
        <f>IF($K3742=1,L3742-M3742,"")</f>
        <v/>
      </c>
      <c r="O3742" s="34" t="n">
        <v>0.00013269</v>
      </c>
      <c r="P3742" s="34">
        <f>IF($J3742=1,LN(1+O3742),"")</f>
        <v/>
      </c>
      <c r="Q3742" s="34">
        <f>IF($J3742=1,LN(R3743/R3742),"")</f>
        <v/>
      </c>
      <c r="R3742" s="32" t="n">
        <v>5.1636</v>
      </c>
      <c r="S3742" s="35" t="n">
        <v>5.97</v>
      </c>
      <c r="T3742" s="18" t="n"/>
      <c r="U3742" s="18" t="n">
        <v>128267.05</v>
      </c>
      <c r="V3742" s="18" t="n"/>
      <c r="W3742" s="18" t="n"/>
      <c r="X3742" s="35" t="n">
        <v>5.97</v>
      </c>
      <c r="Y3742" s="35" t="n"/>
    </row>
    <row r="3743">
      <c r="A3743" s="25" t="n">
        <v>44349</v>
      </c>
      <c r="B3743" s="18" t="n">
        <v>129601.44</v>
      </c>
      <c r="C3743" s="31" t="n"/>
      <c r="D3743" s="32" t="n"/>
      <c r="E3743" s="33" t="n">
        <v>2.8571</v>
      </c>
      <c r="F3743" t="inlineStr">
        <is>
          <t>Up</t>
        </is>
      </c>
      <c r="G3743" t="inlineStr">
        <is>
          <t>Up</t>
        </is>
      </c>
      <c r="H3743" t="inlineStr">
        <is>
          <t>EU_JU</t>
        </is>
      </c>
      <c r="I3743" t="inlineStr">
        <is>
          <t>2021-06</t>
        </is>
      </c>
      <c r="J3743" t="n">
        <v>1</v>
      </c>
      <c r="K3743" t="n">
        <v>1</v>
      </c>
      <c r="L3743" s="34">
        <f>IF($J3743=1,LN(B3744/B3743),"")</f>
        <v/>
      </c>
      <c r="M3743" s="34">
        <f>IF($K3743=1,INDEX(Mensal!$D$2:$D$245,MATCH($I3743,Mensal!$A$2:$A$245,0)),"")</f>
        <v/>
      </c>
      <c r="N3743" s="34">
        <f>IF($K3743=1,L3743-M3743,"")</f>
        <v/>
      </c>
      <c r="O3743" s="34" t="n">
        <v>0.00013269</v>
      </c>
      <c r="P3743" s="34">
        <f>IF($J3743=1,LN(1+O3743),"")</f>
        <v/>
      </c>
      <c r="Q3743" s="34">
        <f>IF($J3743=1,LN(R3744/R3743),"")</f>
        <v/>
      </c>
      <c r="R3743" s="32" t="n">
        <v>5.1147</v>
      </c>
      <c r="S3743" s="35" t="n">
        <v>5.93</v>
      </c>
      <c r="T3743" s="18" t="n"/>
      <c r="U3743" s="18" t="n">
        <v>129601.44</v>
      </c>
      <c r="V3743" s="18" t="n"/>
      <c r="W3743" s="18" t="n"/>
      <c r="X3743" s="35" t="n">
        <v>5.93</v>
      </c>
      <c r="Y3743" s="35" t="n"/>
    </row>
    <row r="3744">
      <c r="A3744" s="25" t="n">
        <v>44351</v>
      </c>
      <c r="B3744" s="18" t="n">
        <v>130125.78</v>
      </c>
      <c r="C3744" s="31" t="n"/>
      <c r="D3744" s="32" t="n"/>
      <c r="E3744" s="33" t="n">
        <v>2.775</v>
      </c>
      <c r="F3744" t="inlineStr">
        <is>
          <t>Up</t>
        </is>
      </c>
      <c r="G3744" t="inlineStr">
        <is>
          <t>Up</t>
        </is>
      </c>
      <c r="H3744" t="inlineStr">
        <is>
          <t>EU_JU</t>
        </is>
      </c>
      <c r="I3744" t="inlineStr">
        <is>
          <t>2021-06</t>
        </is>
      </c>
      <c r="J3744" t="n">
        <v>1</v>
      </c>
      <c r="K3744" t="n">
        <v>1</v>
      </c>
      <c r="L3744" s="34">
        <f>IF($J3744=1,LN(B3745/B3744),"")</f>
        <v/>
      </c>
      <c r="M3744" s="34">
        <f>IF($K3744=1,INDEX(Mensal!$D$2:$D$245,MATCH($I3744,Mensal!$A$2:$A$245,0)),"")</f>
        <v/>
      </c>
      <c r="N3744" s="34">
        <f>IF($K3744=1,L3744-M3744,"")</f>
        <v/>
      </c>
      <c r="O3744" s="34" t="n">
        <v>0.00013269</v>
      </c>
      <c r="P3744" s="34">
        <f>IF($J3744=1,LN(1+O3744),"")</f>
        <v/>
      </c>
      <c r="Q3744" s="34">
        <f>IF($J3744=1,LN(R3745/R3744),"")</f>
        <v/>
      </c>
      <c r="R3744" s="32" t="n">
        <v>5.0666</v>
      </c>
      <c r="S3744" s="35" t="n">
        <v>5.84</v>
      </c>
      <c r="T3744" s="18" t="n"/>
      <c r="U3744" s="18" t="n">
        <v>130125.78</v>
      </c>
      <c r="V3744" s="18" t="n"/>
      <c r="W3744" s="18" t="n"/>
      <c r="X3744" s="35" t="n">
        <v>5.84</v>
      </c>
      <c r="Y3744" s="35" t="n"/>
    </row>
    <row r="3745">
      <c r="A3745" s="25" t="n">
        <v>44354</v>
      </c>
      <c r="B3745" s="18" t="n">
        <v>130776.27</v>
      </c>
      <c r="C3745" s="31" t="n"/>
      <c r="D3745" s="32" t="n"/>
      <c r="E3745" s="33" t="n">
        <v>2.6917</v>
      </c>
      <c r="F3745" t="inlineStr">
        <is>
          <t>Up</t>
        </is>
      </c>
      <c r="G3745" t="inlineStr">
        <is>
          <t>Up</t>
        </is>
      </c>
      <c r="H3745" t="inlineStr">
        <is>
          <t>EU_JU</t>
        </is>
      </c>
      <c r="I3745" t="inlineStr">
        <is>
          <t>2021-06</t>
        </is>
      </c>
      <c r="J3745" t="n">
        <v>1</v>
      </c>
      <c r="K3745" t="n">
        <v>1</v>
      </c>
      <c r="L3745" s="34">
        <f>IF($J3745=1,LN(B3746/B3745),"")</f>
        <v/>
      </c>
      <c r="M3745" s="34">
        <f>IF($K3745=1,INDEX(Mensal!$D$2:$D$245,MATCH($I3745,Mensal!$A$2:$A$245,0)),"")</f>
        <v/>
      </c>
      <c r="N3745" s="34">
        <f>IF($K3745=1,L3745-M3745,"")</f>
        <v/>
      </c>
      <c r="O3745" s="34" t="n">
        <v>0.00013269</v>
      </c>
      <c r="P3745" s="34">
        <f>IF($J3745=1,LN(1+O3745),"")</f>
        <v/>
      </c>
      <c r="Q3745" s="34">
        <f>IF($J3745=1,LN(R3746/R3745),"")</f>
        <v/>
      </c>
      <c r="R3745" s="32" t="n">
        <v>5.0498</v>
      </c>
      <c r="S3745" s="35" t="n">
        <v>5.93</v>
      </c>
      <c r="T3745" s="18" t="n"/>
      <c r="U3745" s="18" t="n">
        <v>130776.27</v>
      </c>
      <c r="V3745" s="18" t="n"/>
      <c r="W3745" s="18" t="n"/>
      <c r="X3745" s="35" t="n">
        <v>5.93</v>
      </c>
      <c r="Y3745" s="35" t="n"/>
    </row>
    <row r="3746">
      <c r="A3746" s="25" t="n">
        <v>44355</v>
      </c>
      <c r="B3746" s="18" t="n">
        <v>129787.11</v>
      </c>
      <c r="C3746" s="31" t="n"/>
      <c r="D3746" s="32" t="n"/>
      <c r="E3746" s="33" t="n">
        <v>2.6066</v>
      </c>
      <c r="F3746" t="inlineStr">
        <is>
          <t>Up</t>
        </is>
      </c>
      <c r="G3746" t="inlineStr">
        <is>
          <t>Up</t>
        </is>
      </c>
      <c r="H3746" t="inlineStr">
        <is>
          <t>EU_JU</t>
        </is>
      </c>
      <c r="I3746" t="inlineStr">
        <is>
          <t>2021-06</t>
        </is>
      </c>
      <c r="J3746" t="n">
        <v>1</v>
      </c>
      <c r="K3746" t="n">
        <v>1</v>
      </c>
      <c r="L3746" s="34">
        <f>IF($J3746=1,LN(B3747/B3746),"")</f>
        <v/>
      </c>
      <c r="M3746" s="34">
        <f>IF($K3746=1,INDEX(Mensal!$D$2:$D$245,MATCH($I3746,Mensal!$A$2:$A$245,0)),"")</f>
        <v/>
      </c>
      <c r="N3746" s="34">
        <f>IF($K3746=1,L3746-M3746,"")</f>
        <v/>
      </c>
      <c r="O3746" s="34" t="n">
        <v>0.00013269</v>
      </c>
      <c r="P3746" s="34">
        <f>IF($J3746=1,LN(1+O3746),"")</f>
        <v/>
      </c>
      <c r="Q3746" s="34">
        <f>IF($J3746=1,LN(R3747/R3746),"")</f>
        <v/>
      </c>
      <c r="R3746" s="32" t="n">
        <v>5.0489</v>
      </c>
      <c r="S3746" s="35" t="n">
        <v>5.97</v>
      </c>
      <c r="T3746" s="18" t="n"/>
      <c r="U3746" s="18" t="n">
        <v>129787.11</v>
      </c>
      <c r="V3746" s="18" t="n"/>
      <c r="W3746" s="18" t="n"/>
      <c r="X3746" s="35" t="n">
        <v>5.97</v>
      </c>
      <c r="Y3746" s="35" t="n"/>
    </row>
    <row r="3747">
      <c r="A3747" s="25" t="n">
        <v>44356</v>
      </c>
      <c r="B3747" s="18" t="n">
        <v>129906.8</v>
      </c>
      <c r="C3747" s="31" t="n"/>
      <c r="D3747" s="32" t="n"/>
      <c r="E3747" s="33" t="n">
        <v>2.5167</v>
      </c>
      <c r="F3747" t="inlineStr">
        <is>
          <t>Up</t>
        </is>
      </c>
      <c r="G3747" t="inlineStr">
        <is>
          <t>Up</t>
        </is>
      </c>
      <c r="H3747" t="inlineStr">
        <is>
          <t>EU_JU</t>
        </is>
      </c>
      <c r="I3747" t="inlineStr">
        <is>
          <t>2021-06</t>
        </is>
      </c>
      <c r="J3747" t="n">
        <v>1</v>
      </c>
      <c r="K3747" t="n">
        <v>1</v>
      </c>
      <c r="L3747" s="34">
        <f>IF($J3747=1,LN(B3748/B3747),"")</f>
        <v/>
      </c>
      <c r="M3747" s="34">
        <f>IF($K3747=1,INDEX(Mensal!$D$2:$D$245,MATCH($I3747,Mensal!$A$2:$A$245,0)),"")</f>
        <v/>
      </c>
      <c r="N3747" s="34">
        <f>IF($K3747=1,L3747-M3747,"")</f>
        <v/>
      </c>
      <c r="O3747" s="34" t="n">
        <v>0.00013269</v>
      </c>
      <c r="P3747" s="34">
        <f>IF($J3747=1,LN(1+O3747),"")</f>
        <v/>
      </c>
      <c r="Q3747" s="34">
        <f>IF($J3747=1,LN(R3748/R3747),"")</f>
        <v/>
      </c>
      <c r="R3747" s="32" t="n">
        <v>5.0533</v>
      </c>
      <c r="S3747" s="35" t="n">
        <v>6.07</v>
      </c>
      <c r="T3747" s="18" t="n"/>
      <c r="U3747" s="18" t="n">
        <v>129906.8</v>
      </c>
      <c r="V3747" s="18" t="n"/>
      <c r="W3747" s="18" t="n"/>
      <c r="X3747" s="35" t="n">
        <v>6.07</v>
      </c>
      <c r="Y3747" s="35" t="n"/>
    </row>
    <row r="3748">
      <c r="A3748" s="25" t="n">
        <v>44357</v>
      </c>
      <c r="B3748" s="18" t="n">
        <v>130076.17</v>
      </c>
      <c r="C3748" s="31" t="n"/>
      <c r="D3748" s="32" t="n"/>
      <c r="E3748" s="33" t="n">
        <v>2.4185</v>
      </c>
      <c r="F3748" t="inlineStr">
        <is>
          <t>Up</t>
        </is>
      </c>
      <c r="G3748" t="inlineStr">
        <is>
          <t>Up</t>
        </is>
      </c>
      <c r="H3748" t="inlineStr">
        <is>
          <t>EU_JU</t>
        </is>
      </c>
      <c r="I3748" t="inlineStr">
        <is>
          <t>2021-06</t>
        </is>
      </c>
      <c r="J3748" t="n">
        <v>1</v>
      </c>
      <c r="K3748" t="n">
        <v>1</v>
      </c>
      <c r="L3748" s="34">
        <f>IF($J3748=1,LN(B3749/B3748),"")</f>
        <v/>
      </c>
      <c r="M3748" s="34">
        <f>IF($K3748=1,INDEX(Mensal!$D$2:$D$245,MATCH($I3748,Mensal!$A$2:$A$245,0)),"")</f>
        <v/>
      </c>
      <c r="N3748" s="34">
        <f>IF($K3748=1,L3748-M3748,"")</f>
        <v/>
      </c>
      <c r="O3748" s="34" t="n">
        <v>0.00013269</v>
      </c>
      <c r="P3748" s="34">
        <f>IF($J3748=1,LN(1+O3748),"")</f>
        <v/>
      </c>
      <c r="Q3748" s="34">
        <f>IF($J3748=1,LN(R3749/R3748),"")</f>
        <v/>
      </c>
      <c r="R3748" s="32" t="n">
        <v>5.0635</v>
      </c>
      <c r="S3748" s="35" t="n">
        <v>6.15</v>
      </c>
      <c r="T3748" s="18" t="n"/>
      <c r="U3748" s="18" t="n">
        <v>130076.17</v>
      </c>
      <c r="V3748" s="18" t="n"/>
      <c r="W3748" s="18" t="n"/>
      <c r="X3748" s="35" t="n">
        <v>6.15</v>
      </c>
      <c r="Y3748" s="35" t="n"/>
    </row>
    <row r="3749">
      <c r="A3749" s="25" t="n">
        <v>44358</v>
      </c>
      <c r="B3749" s="18" t="n">
        <v>129441.03</v>
      </c>
      <c r="C3749" s="31" t="n"/>
      <c r="D3749" s="32" t="n"/>
      <c r="E3749" s="33" t="n">
        <v>2.3205</v>
      </c>
      <c r="F3749" t="inlineStr">
        <is>
          <t>Up</t>
        </is>
      </c>
      <c r="G3749" t="inlineStr">
        <is>
          <t>Up</t>
        </is>
      </c>
      <c r="H3749" t="inlineStr">
        <is>
          <t>EU_JU</t>
        </is>
      </c>
      <c r="I3749" t="inlineStr">
        <is>
          <t>2021-06</t>
        </is>
      </c>
      <c r="J3749" t="n">
        <v>1</v>
      </c>
      <c r="K3749" t="n">
        <v>1</v>
      </c>
      <c r="L3749" s="34">
        <f>IF($J3749=1,LN(B3750/B3749),"")</f>
        <v/>
      </c>
      <c r="M3749" s="34">
        <f>IF($K3749=1,INDEX(Mensal!$D$2:$D$245,MATCH($I3749,Mensal!$A$2:$A$245,0)),"")</f>
        <v/>
      </c>
      <c r="N3749" s="34">
        <f>IF($K3749=1,L3749-M3749,"")</f>
        <v/>
      </c>
      <c r="O3749" s="34" t="n">
        <v>0.00013269</v>
      </c>
      <c r="P3749" s="34">
        <f>IF($J3749=1,LN(1+O3749),"")</f>
        <v/>
      </c>
      <c r="Q3749" s="34">
        <f>IF($J3749=1,LN(R3750/R3749),"")</f>
        <v/>
      </c>
      <c r="R3749" s="32" t="n">
        <v>5.119</v>
      </c>
      <c r="S3749" s="35" t="n">
        <v>6.13</v>
      </c>
      <c r="T3749" s="18" t="n"/>
      <c r="U3749" s="18" t="n">
        <v>129441.03</v>
      </c>
      <c r="V3749" s="18" t="n"/>
      <c r="W3749" s="18" t="n"/>
      <c r="X3749" s="35" t="n">
        <v>6.13</v>
      </c>
      <c r="Y3749" s="35" t="n"/>
    </row>
    <row r="3750">
      <c r="A3750" s="25" t="n">
        <v>44361</v>
      </c>
      <c r="B3750" s="18" t="n">
        <v>130207.96</v>
      </c>
      <c r="C3750" s="31" t="n"/>
      <c r="D3750" s="32" t="n"/>
      <c r="E3750" s="33" t="n">
        <v>2.2261</v>
      </c>
      <c r="F3750" t="inlineStr">
        <is>
          <t>Up</t>
        </is>
      </c>
      <c r="G3750" t="inlineStr">
        <is>
          <t>Up</t>
        </is>
      </c>
      <c r="H3750" t="inlineStr">
        <is>
          <t>EU_JU</t>
        </is>
      </c>
      <c r="I3750" t="inlineStr">
        <is>
          <t>2021-06</t>
        </is>
      </c>
      <c r="J3750" t="n">
        <v>1</v>
      </c>
      <c r="K3750" t="n">
        <v>1</v>
      </c>
      <c r="L3750" s="34">
        <f>IF($J3750=1,LN(B3751/B3750),"")</f>
        <v/>
      </c>
      <c r="M3750" s="34">
        <f>IF($K3750=1,INDEX(Mensal!$D$2:$D$245,MATCH($I3750,Mensal!$A$2:$A$245,0)),"")</f>
        <v/>
      </c>
      <c r="N3750" s="34">
        <f>IF($K3750=1,L3750-M3750,"")</f>
        <v/>
      </c>
      <c r="O3750" s="34" t="n">
        <v>0.00013269</v>
      </c>
      <c r="P3750" s="34">
        <f>IF($J3750=1,LN(1+O3750),"")</f>
        <v/>
      </c>
      <c r="Q3750" s="34">
        <f>IF($J3750=1,LN(R3751/R3750),"")</f>
        <v/>
      </c>
      <c r="R3750" s="32" t="n">
        <v>5.0707</v>
      </c>
      <c r="S3750" s="35" t="n">
        <v>6.18</v>
      </c>
      <c r="T3750" s="18" t="n"/>
      <c r="U3750" s="18" t="n">
        <v>130207.96</v>
      </c>
      <c r="V3750" s="18" t="n"/>
      <c r="W3750" s="18" t="n"/>
      <c r="X3750" s="35" t="n">
        <v>6.18</v>
      </c>
      <c r="Y3750" s="35" t="n"/>
    </row>
    <row r="3751">
      <c r="A3751" s="25" t="n">
        <v>44362</v>
      </c>
      <c r="B3751" s="18" t="n">
        <v>130091.08</v>
      </c>
      <c r="C3751" s="31" t="n"/>
      <c r="D3751" s="32" t="n"/>
      <c r="E3751" s="33" t="n">
        <v>2.1475</v>
      </c>
      <c r="F3751" t="inlineStr">
        <is>
          <t>Up</t>
        </is>
      </c>
      <c r="G3751" t="inlineStr">
        <is>
          <t>Up</t>
        </is>
      </c>
      <c r="H3751" t="inlineStr">
        <is>
          <t>EU_JU</t>
        </is>
      </c>
      <c r="I3751" t="inlineStr">
        <is>
          <t>2021-06</t>
        </is>
      </c>
      <c r="J3751" t="n">
        <v>1</v>
      </c>
      <c r="K3751" t="n">
        <v>1</v>
      </c>
      <c r="L3751" s="34">
        <f>IF($J3751=1,LN(B3752/B3751),"")</f>
        <v/>
      </c>
      <c r="M3751" s="34">
        <f>IF($K3751=1,INDEX(Mensal!$D$2:$D$245,MATCH($I3751,Mensal!$A$2:$A$245,0)),"")</f>
        <v/>
      </c>
      <c r="N3751" s="34">
        <f>IF($K3751=1,L3751-M3751,"")</f>
        <v/>
      </c>
      <c r="O3751" s="34" t="n">
        <v>0.00013269</v>
      </c>
      <c r="P3751" s="34">
        <f>IF($J3751=1,LN(1+O3751),"")</f>
        <v/>
      </c>
      <c r="Q3751" s="34">
        <f>IF($J3751=1,LN(R3752/R3751),"")</f>
        <v/>
      </c>
      <c r="R3751" s="32" t="n">
        <v>5.0874</v>
      </c>
      <c r="S3751" s="35" t="n">
        <v>6.24</v>
      </c>
      <c r="T3751" s="18" t="n"/>
      <c r="U3751" s="18" t="n">
        <v>130091.08</v>
      </c>
      <c r="V3751" s="18" t="n"/>
      <c r="W3751" s="18" t="n"/>
      <c r="X3751" s="35" t="n">
        <v>6.24</v>
      </c>
      <c r="Y3751" s="35" t="n"/>
    </row>
    <row r="3752">
      <c r="A3752" s="25" t="n">
        <v>44363</v>
      </c>
      <c r="B3752" s="18" t="n">
        <v>129259.49</v>
      </c>
      <c r="C3752" s="31" t="n"/>
      <c r="D3752" s="32" t="n"/>
      <c r="E3752" s="33" t="n">
        <v>2.0699</v>
      </c>
      <c r="F3752" t="inlineStr">
        <is>
          <t>Up</t>
        </is>
      </c>
      <c r="G3752" t="inlineStr">
        <is>
          <t>Up</t>
        </is>
      </c>
      <c r="H3752" t="inlineStr">
        <is>
          <t>EU_JU</t>
        </is>
      </c>
      <c r="I3752" t="inlineStr">
        <is>
          <t>2021-06</t>
        </is>
      </c>
      <c r="J3752" t="n">
        <v>1</v>
      </c>
      <c r="K3752" t="n">
        <v>1</v>
      </c>
      <c r="L3752" s="34">
        <f>IF($J3752=1,LN(B3753/B3752),"")</f>
        <v/>
      </c>
      <c r="M3752" s="34">
        <f>IF($K3752=1,INDEX(Mensal!$D$2:$D$245,MATCH($I3752,Mensal!$A$2:$A$245,0)),"")</f>
        <v/>
      </c>
      <c r="N3752" s="34">
        <f>IF($K3752=1,L3752-M3752,"")</f>
        <v/>
      </c>
      <c r="O3752" s="34" t="n">
        <v>0.00013269</v>
      </c>
      <c r="P3752" s="34">
        <f>IF($J3752=1,LN(1+O3752),"")</f>
        <v/>
      </c>
      <c r="Q3752" s="34">
        <f>IF($J3752=1,LN(R3753/R3752),"")</f>
        <v/>
      </c>
      <c r="R3752" s="32" t="n">
        <v>5.0207</v>
      </c>
      <c r="S3752" s="35" t="n">
        <v>6.28</v>
      </c>
      <c r="T3752" s="18" t="n"/>
      <c r="U3752" s="18" t="n">
        <v>129259.49</v>
      </c>
      <c r="V3752" s="18" t="n"/>
      <c r="W3752" s="18" t="n"/>
      <c r="X3752" s="35" t="n">
        <v>6.28</v>
      </c>
      <c r="Y3752" s="35" t="n"/>
    </row>
    <row r="3753">
      <c r="A3753" s="25" t="n">
        <v>44364</v>
      </c>
      <c r="B3753" s="18" t="n">
        <v>128057.22</v>
      </c>
      <c r="C3753" s="31" t="n"/>
      <c r="D3753" s="32" t="n"/>
      <c r="E3753" s="33" t="n">
        <v>1.9977</v>
      </c>
      <c r="F3753" t="inlineStr">
        <is>
          <t>Up</t>
        </is>
      </c>
      <c r="G3753" t="inlineStr">
        <is>
          <t>Up</t>
        </is>
      </c>
      <c r="H3753" t="inlineStr">
        <is>
          <t>EU_JU</t>
        </is>
      </c>
      <c r="I3753" t="inlineStr">
        <is>
          <t>2021-06</t>
        </is>
      </c>
      <c r="J3753" t="n">
        <v>1</v>
      </c>
      <c r="K3753" t="n">
        <v>1</v>
      </c>
      <c r="L3753" s="34">
        <f>IF($J3753=1,LN(B3754/B3753),"")</f>
        <v/>
      </c>
      <c r="M3753" s="34">
        <f>IF($K3753=1,INDEX(Mensal!$D$2:$D$245,MATCH($I3753,Mensal!$A$2:$A$245,0)),"")</f>
        <v/>
      </c>
      <c r="N3753" s="34">
        <f>IF($K3753=1,L3753-M3753,"")</f>
        <v/>
      </c>
      <c r="O3753" s="34" t="n">
        <v>0.00016137</v>
      </c>
      <c r="P3753" s="34">
        <f>IF($J3753=1,LN(1+O3753),"")</f>
        <v/>
      </c>
      <c r="Q3753" s="34">
        <f>IF($J3753=1,LN(R3754/R3753),"")</f>
        <v/>
      </c>
      <c r="R3753" s="32" t="n">
        <v>5.0359</v>
      </c>
      <c r="S3753" s="35" t="n">
        <v>6.45</v>
      </c>
      <c r="T3753" s="18" t="n"/>
      <c r="U3753" s="18" t="n">
        <v>128057.22</v>
      </c>
      <c r="V3753" s="18" t="n"/>
      <c r="W3753" s="18" t="n"/>
      <c r="X3753" s="35" t="n">
        <v>6.45</v>
      </c>
      <c r="Y3753" s="35" t="n"/>
    </row>
    <row r="3754">
      <c r="A3754" s="25" t="n">
        <v>44365</v>
      </c>
      <c r="B3754" s="18" t="n">
        <v>128405.35</v>
      </c>
      <c r="C3754" s="31" t="n"/>
      <c r="D3754" s="32" t="n"/>
      <c r="E3754" s="33" t="n">
        <v>1.931</v>
      </c>
      <c r="F3754" t="inlineStr">
        <is>
          <t>Up</t>
        </is>
      </c>
      <c r="G3754" t="inlineStr">
        <is>
          <t>Up</t>
        </is>
      </c>
      <c r="H3754" t="inlineStr">
        <is>
          <t>EU_JU</t>
        </is>
      </c>
      <c r="I3754" t="inlineStr">
        <is>
          <t>2021-06</t>
        </is>
      </c>
      <c r="J3754" t="n">
        <v>1</v>
      </c>
      <c r="K3754" t="n">
        <v>1</v>
      </c>
      <c r="L3754" s="34">
        <f>IF($J3754=1,LN(B3755/B3754),"")</f>
        <v/>
      </c>
      <c r="M3754" s="34">
        <f>IF($K3754=1,INDEX(Mensal!$D$2:$D$245,MATCH($I3754,Mensal!$A$2:$A$245,0)),"")</f>
        <v/>
      </c>
      <c r="N3754" s="34">
        <f>IF($K3754=1,L3754-M3754,"")</f>
        <v/>
      </c>
      <c r="O3754" s="34" t="n">
        <v>0.00016137</v>
      </c>
      <c r="P3754" s="34">
        <f>IF($J3754=1,LN(1+O3754),"")</f>
        <v/>
      </c>
      <c r="Q3754" s="34">
        <f>IF($J3754=1,LN(R3755/R3754),"")</f>
        <v/>
      </c>
      <c r="R3754" s="32" t="n">
        <v>5.0314</v>
      </c>
      <c r="S3754" s="35" t="n">
        <v>6.54</v>
      </c>
      <c r="T3754" s="18" t="n"/>
      <c r="U3754" s="18" t="n">
        <v>128405.35</v>
      </c>
      <c r="V3754" s="18" t="n"/>
      <c r="W3754" s="18" t="n"/>
      <c r="X3754" s="35" t="n">
        <v>6.54</v>
      </c>
      <c r="Y3754" s="35" t="n"/>
    </row>
    <row r="3755">
      <c r="A3755" s="25" t="n">
        <v>44368</v>
      </c>
      <c r="B3755" s="18" t="n">
        <v>129264.96</v>
      </c>
      <c r="C3755" s="31" t="n"/>
      <c r="D3755" s="32" t="n"/>
      <c r="E3755" s="33" t="n">
        <v>1.8827</v>
      </c>
      <c r="F3755" t="inlineStr">
        <is>
          <t>Up</t>
        </is>
      </c>
      <c r="G3755" t="inlineStr">
        <is>
          <t>Up</t>
        </is>
      </c>
      <c r="H3755" t="inlineStr">
        <is>
          <t>EU_JU</t>
        </is>
      </c>
      <c r="I3755" t="inlineStr">
        <is>
          <t>2021-06</t>
        </is>
      </c>
      <c r="J3755" t="n">
        <v>1</v>
      </c>
      <c r="K3755" t="n">
        <v>1</v>
      </c>
      <c r="L3755" s="34">
        <f>IF($J3755=1,LN(B3756/B3755),"")</f>
        <v/>
      </c>
      <c r="M3755" s="34">
        <f>IF($K3755=1,INDEX(Mensal!$D$2:$D$245,MATCH($I3755,Mensal!$A$2:$A$245,0)),"")</f>
        <v/>
      </c>
      <c r="N3755" s="34">
        <f>IF($K3755=1,L3755-M3755,"")</f>
        <v/>
      </c>
      <c r="O3755" s="34" t="n">
        <v>0.00016137</v>
      </c>
      <c r="P3755" s="34">
        <f>IF($J3755=1,LN(1+O3755),"")</f>
        <v/>
      </c>
      <c r="Q3755" s="34">
        <f>IF($J3755=1,LN(R3756/R3755),"")</f>
        <v/>
      </c>
      <c r="R3755" s="32" t="n">
        <v>5.0373</v>
      </c>
      <c r="S3755" s="35" t="n">
        <v>6.49</v>
      </c>
      <c r="T3755" s="18" t="n"/>
      <c r="U3755" s="18" t="n">
        <v>129264.96</v>
      </c>
      <c r="V3755" s="18" t="n"/>
      <c r="W3755" s="18" t="n"/>
      <c r="X3755" s="35" t="n">
        <v>6.49</v>
      </c>
      <c r="Y3755" s="35" t="n"/>
    </row>
    <row r="3756">
      <c r="A3756" s="25" t="n">
        <v>44369</v>
      </c>
      <c r="B3756" s="18" t="n">
        <v>128767.45</v>
      </c>
      <c r="C3756" s="31" t="n"/>
      <c r="D3756" s="32" t="n"/>
      <c r="E3756" s="33" t="n">
        <v>1.8339</v>
      </c>
      <c r="F3756" t="inlineStr">
        <is>
          <t>Up</t>
        </is>
      </c>
      <c r="G3756" t="inlineStr">
        <is>
          <t>Up</t>
        </is>
      </c>
      <c r="H3756" t="inlineStr">
        <is>
          <t>EU_JU</t>
        </is>
      </c>
      <c r="I3756" t="inlineStr">
        <is>
          <t>2021-06</t>
        </is>
      </c>
      <c r="J3756" t="n">
        <v>1</v>
      </c>
      <c r="K3756" t="n">
        <v>1</v>
      </c>
      <c r="L3756" s="34">
        <f>IF($J3756=1,LN(B3757/B3756),"")</f>
        <v/>
      </c>
      <c r="M3756" s="34">
        <f>IF($K3756=1,INDEX(Mensal!$D$2:$D$245,MATCH($I3756,Mensal!$A$2:$A$245,0)),"")</f>
        <v/>
      </c>
      <c r="N3756" s="34">
        <f>IF($K3756=1,L3756-M3756,"")</f>
        <v/>
      </c>
      <c r="O3756" s="34" t="n">
        <v>0.00016137</v>
      </c>
      <c r="P3756" s="34">
        <f>IF($J3756=1,LN(1+O3756),"")</f>
        <v/>
      </c>
      <c r="Q3756" s="34">
        <f>IF($J3756=1,LN(R3757/R3756),"")</f>
        <v/>
      </c>
      <c r="R3756" s="32" t="n">
        <v>5.0178</v>
      </c>
      <c r="S3756" s="35" t="n">
        <v>6.68</v>
      </c>
      <c r="T3756" s="18" t="n"/>
      <c r="U3756" s="18" t="n">
        <v>128767.45</v>
      </c>
      <c r="V3756" s="18" t="n"/>
      <c r="W3756" s="18" t="n"/>
      <c r="X3756" s="35" t="n">
        <v>6.68</v>
      </c>
      <c r="Y3756" s="35" t="n"/>
    </row>
    <row r="3757">
      <c r="A3757" s="25" t="n">
        <v>44370</v>
      </c>
      <c r="B3757" s="18" t="n">
        <v>128427.98</v>
      </c>
      <c r="C3757" s="31" t="n"/>
      <c r="D3757" s="32" t="n"/>
      <c r="E3757" s="33" t="n">
        <v>1.7769</v>
      </c>
      <c r="F3757" t="inlineStr">
        <is>
          <t>Up</t>
        </is>
      </c>
      <c r="G3757" t="inlineStr">
        <is>
          <t>Up</t>
        </is>
      </c>
      <c r="H3757" t="inlineStr">
        <is>
          <t>EU_JU</t>
        </is>
      </c>
      <c r="I3757" t="inlineStr">
        <is>
          <t>2021-06</t>
        </is>
      </c>
      <c r="J3757" t="n">
        <v>1</v>
      </c>
      <c r="K3757" t="n">
        <v>1</v>
      </c>
      <c r="L3757" s="34">
        <f>IF($J3757=1,LN(B3758/B3757),"")</f>
        <v/>
      </c>
      <c r="M3757" s="34">
        <f>IF($K3757=1,INDEX(Mensal!$D$2:$D$245,MATCH($I3757,Mensal!$A$2:$A$245,0)),"")</f>
        <v/>
      </c>
      <c r="N3757" s="34">
        <f>IF($K3757=1,L3757-M3757,"")</f>
        <v/>
      </c>
      <c r="O3757" s="34" t="n">
        <v>0.00016137</v>
      </c>
      <c r="P3757" s="34">
        <f>IF($J3757=1,LN(1+O3757),"")</f>
        <v/>
      </c>
      <c r="Q3757" s="34">
        <f>IF($J3757=1,LN(R3758/R3757),"")</f>
        <v/>
      </c>
      <c r="R3757" s="32" t="n">
        <v>4.9519</v>
      </c>
      <c r="S3757" s="35" t="n">
        <v>6.72</v>
      </c>
      <c r="T3757" s="18" t="n"/>
      <c r="U3757" s="18" t="n">
        <v>128427.98</v>
      </c>
      <c r="V3757" s="18" t="n"/>
      <c r="W3757" s="18" t="n"/>
      <c r="X3757" s="35" t="n">
        <v>6.72</v>
      </c>
      <c r="Y3757" s="35" t="n"/>
    </row>
    <row r="3758">
      <c r="A3758" s="25" t="n">
        <v>44371</v>
      </c>
      <c r="B3758" s="18" t="n">
        <v>129513.62</v>
      </c>
      <c r="C3758" s="31" t="n"/>
      <c r="D3758" s="32" t="n"/>
      <c r="E3758" s="33" t="n">
        <v>1.7255</v>
      </c>
      <c r="F3758" t="inlineStr">
        <is>
          <t>Up</t>
        </is>
      </c>
      <c r="G3758" t="inlineStr">
        <is>
          <t>Up</t>
        </is>
      </c>
      <c r="H3758" t="inlineStr">
        <is>
          <t>EU_JU</t>
        </is>
      </c>
      <c r="I3758" t="inlineStr">
        <is>
          <t>2021-06</t>
        </is>
      </c>
      <c r="J3758" t="n">
        <v>1</v>
      </c>
      <c r="K3758" t="n">
        <v>1</v>
      </c>
      <c r="L3758" s="34">
        <f>IF($J3758=1,LN(B3759/B3758),"")</f>
        <v/>
      </c>
      <c r="M3758" s="34">
        <f>IF($K3758=1,INDEX(Mensal!$D$2:$D$245,MATCH($I3758,Mensal!$A$2:$A$245,0)),"")</f>
        <v/>
      </c>
      <c r="N3758" s="34">
        <f>IF($K3758=1,L3758-M3758,"")</f>
        <v/>
      </c>
      <c r="O3758" s="34" t="n">
        <v>0.00016137</v>
      </c>
      <c r="P3758" s="34">
        <f>IF($J3758=1,LN(1+O3758),"")</f>
        <v/>
      </c>
      <c r="Q3758" s="34">
        <f>IF($J3758=1,LN(R3759/R3758),"")</f>
        <v/>
      </c>
      <c r="R3758" s="32" t="n">
        <v>4.9277</v>
      </c>
      <c r="S3758" s="35" t="n">
        <v>6.66</v>
      </c>
      <c r="T3758" s="18" t="n"/>
      <c r="U3758" s="18" t="n">
        <v>129513.62</v>
      </c>
      <c r="V3758" s="18" t="n"/>
      <c r="W3758" s="18" t="n"/>
      <c r="X3758" s="35" t="n">
        <v>6.66</v>
      </c>
      <c r="Y3758" s="35" t="n"/>
    </row>
    <row r="3759">
      <c r="A3759" s="25" t="n">
        <v>44372</v>
      </c>
      <c r="B3759" s="18" t="n">
        <v>127255.61</v>
      </c>
      <c r="C3759" s="31" t="n"/>
      <c r="D3759" s="32" t="n"/>
      <c r="E3759" s="33" t="n">
        <v>1.6788</v>
      </c>
      <c r="F3759" t="inlineStr">
        <is>
          <t>Up</t>
        </is>
      </c>
      <c r="G3759" t="inlineStr">
        <is>
          <t>Up</t>
        </is>
      </c>
      <c r="H3759" t="inlineStr">
        <is>
          <t>EU_JU</t>
        </is>
      </c>
      <c r="I3759" t="inlineStr">
        <is>
          <t>2021-06</t>
        </is>
      </c>
      <c r="J3759" t="n">
        <v>1</v>
      </c>
      <c r="K3759" t="n">
        <v>1</v>
      </c>
      <c r="L3759" s="34">
        <f>IF($J3759=1,LN(B3760/B3759),"")</f>
        <v/>
      </c>
      <c r="M3759" s="34">
        <f>IF($K3759=1,INDEX(Mensal!$D$2:$D$245,MATCH($I3759,Mensal!$A$2:$A$245,0)),"")</f>
        <v/>
      </c>
      <c r="N3759" s="34">
        <f>IF($K3759=1,L3759-M3759,"")</f>
        <v/>
      </c>
      <c r="O3759" s="34" t="n">
        <v>0.00016137</v>
      </c>
      <c r="P3759" s="34">
        <f>IF($J3759=1,LN(1+O3759),"")</f>
        <v/>
      </c>
      <c r="Q3759" s="34">
        <f>IF($J3759=1,LN(R3760/R3759),"")</f>
        <v/>
      </c>
      <c r="R3759" s="32" t="n">
        <v>4.9206</v>
      </c>
      <c r="S3759" s="35" t="n">
        <v>6.64</v>
      </c>
      <c r="T3759" s="18" t="n"/>
      <c r="U3759" s="18" t="n">
        <v>127255.61</v>
      </c>
      <c r="V3759" s="18" t="n"/>
      <c r="W3759" s="18" t="n"/>
      <c r="X3759" s="35" t="n">
        <v>6.64</v>
      </c>
      <c r="Y3759" s="35" t="n"/>
    </row>
    <row r="3760">
      <c r="A3760" s="25" t="n">
        <v>44375</v>
      </c>
      <c r="B3760" s="18" t="n">
        <v>127429.17</v>
      </c>
      <c r="C3760" s="31" t="n"/>
      <c r="D3760" s="32" t="n"/>
      <c r="E3760" s="33" t="n">
        <v>1.6261</v>
      </c>
      <c r="F3760" t="inlineStr">
        <is>
          <t>Up</t>
        </is>
      </c>
      <c r="G3760" t="inlineStr">
        <is>
          <t>Up</t>
        </is>
      </c>
      <c r="H3760" t="inlineStr">
        <is>
          <t>EU_JU</t>
        </is>
      </c>
      <c r="I3760" t="inlineStr">
        <is>
          <t>2021-06</t>
        </is>
      </c>
      <c r="J3760" t="n">
        <v>1</v>
      </c>
      <c r="K3760" t="n">
        <v>1</v>
      </c>
      <c r="L3760" s="34">
        <f>IF($J3760=1,LN(B3761/B3760),"")</f>
        <v/>
      </c>
      <c r="M3760" s="34">
        <f>IF($K3760=1,INDEX(Mensal!$D$2:$D$245,MATCH($I3760,Mensal!$A$2:$A$245,0)),"")</f>
        <v/>
      </c>
      <c r="N3760" s="34">
        <f>IF($K3760=1,L3760-M3760,"")</f>
        <v/>
      </c>
      <c r="O3760" s="34" t="n">
        <v>0.00016137</v>
      </c>
      <c r="P3760" s="34">
        <f>IF($J3760=1,LN(1+O3760),"")</f>
        <v/>
      </c>
      <c r="Q3760" s="34">
        <f>IF($J3760=1,LN(R3761/R3760),"")</f>
        <v/>
      </c>
      <c r="R3760" s="32" t="n">
        <v>4.942</v>
      </c>
      <c r="S3760" s="35" t="n">
        <v>6.53</v>
      </c>
      <c r="T3760" s="18" t="n"/>
      <c r="U3760" s="18" t="n">
        <v>127429.17</v>
      </c>
      <c r="V3760" s="18" t="n"/>
      <c r="W3760" s="18" t="n"/>
      <c r="X3760" s="35" t="n">
        <v>6.53</v>
      </c>
      <c r="Y3760" s="35" t="n"/>
    </row>
    <row r="3761">
      <c r="A3761" s="25" t="n">
        <v>44376</v>
      </c>
      <c r="B3761" s="18" t="n">
        <v>127327.44</v>
      </c>
      <c r="C3761" s="31" t="n"/>
      <c r="D3761" s="32" t="n"/>
      <c r="E3761" s="33" t="n">
        <v>1.5688</v>
      </c>
      <c r="F3761" t="inlineStr">
        <is>
          <t>Up</t>
        </is>
      </c>
      <c r="G3761" t="inlineStr">
        <is>
          <t>Up</t>
        </is>
      </c>
      <c r="H3761" t="inlineStr">
        <is>
          <t>EU_JU</t>
        </is>
      </c>
      <c r="I3761" t="inlineStr">
        <is>
          <t>2021-06</t>
        </is>
      </c>
      <c r="J3761" t="n">
        <v>1</v>
      </c>
      <c r="K3761" t="n">
        <v>1</v>
      </c>
      <c r="L3761" s="34">
        <f>IF($J3761=1,LN(B3762/B3761),"")</f>
        <v/>
      </c>
      <c r="M3761" s="34">
        <f>IF($K3761=1,INDEX(Mensal!$D$2:$D$245,MATCH($I3761,Mensal!$A$2:$A$245,0)),"")</f>
        <v/>
      </c>
      <c r="N3761" s="34">
        <f>IF($K3761=1,L3761-M3761,"")</f>
        <v/>
      </c>
      <c r="O3761" s="34" t="n">
        <v>0.00016137</v>
      </c>
      <c r="P3761" s="34">
        <f>IF($J3761=1,LN(1+O3761),"")</f>
        <v/>
      </c>
      <c r="Q3761" s="34">
        <f>IF($J3761=1,LN(R3762/R3761),"")</f>
        <v/>
      </c>
      <c r="R3761" s="32" t="n">
        <v>4.945</v>
      </c>
      <c r="S3761" s="35" t="n">
        <v>6.47</v>
      </c>
      <c r="T3761" s="18" t="n"/>
      <c r="U3761" s="18" t="n">
        <v>127327.44</v>
      </c>
      <c r="V3761" s="18" t="n"/>
      <c r="W3761" s="18" t="n"/>
      <c r="X3761" s="35" t="n">
        <v>6.47</v>
      </c>
      <c r="Y3761" s="35" t="n"/>
    </row>
    <row r="3762">
      <c r="A3762" s="25" t="n">
        <v>44377</v>
      </c>
      <c r="B3762" s="18" t="n">
        <v>126801.66</v>
      </c>
      <c r="C3762" s="31" t="n"/>
      <c r="D3762" s="32" t="n"/>
      <c r="E3762" s="33" t="n">
        <v>1.5225</v>
      </c>
      <c r="F3762" t="inlineStr">
        <is>
          <t>Up</t>
        </is>
      </c>
      <c r="G3762" t="inlineStr">
        <is>
          <t>Up</t>
        </is>
      </c>
      <c r="H3762" t="inlineStr">
        <is>
          <t>EU_JU</t>
        </is>
      </c>
      <c r="I3762" t="inlineStr">
        <is>
          <t>2021-06</t>
        </is>
      </c>
      <c r="J3762" t="n">
        <v>1</v>
      </c>
      <c r="K3762" t="n">
        <v>1</v>
      </c>
      <c r="L3762" s="34">
        <f>IF($J3762=1,LN(B3763/B3762),"")</f>
        <v/>
      </c>
      <c r="M3762" s="34">
        <f>IF($K3762=1,INDEX(Mensal!$D$2:$D$245,MATCH($I3762,Mensal!$A$2:$A$245,0)),"")</f>
        <v/>
      </c>
      <c r="N3762" s="34">
        <f>IF($K3762=1,L3762-M3762,"")</f>
        <v/>
      </c>
      <c r="O3762" s="34" t="n">
        <v>0.00016137</v>
      </c>
      <c r="P3762" s="34">
        <f>IF($J3762=1,LN(1+O3762),"")</f>
        <v/>
      </c>
      <c r="Q3762" s="34">
        <f>IF($J3762=1,LN(R3763/R3762),"")</f>
        <v/>
      </c>
      <c r="R3762" s="32" t="n">
        <v>5.0022</v>
      </c>
      <c r="S3762" s="35" t="n">
        <v>6.57</v>
      </c>
      <c r="T3762" s="18" t="n"/>
      <c r="U3762" s="18" t="n">
        <v>126801.66</v>
      </c>
      <c r="V3762" s="18" t="n"/>
      <c r="W3762" s="18" t="n"/>
      <c r="X3762" s="35" t="n">
        <v>6.57</v>
      </c>
      <c r="Y3762" s="35" t="n"/>
    </row>
    <row r="3763">
      <c r="A3763" s="25" t="n">
        <v>44378</v>
      </c>
      <c r="B3763" s="18" t="n">
        <v>125666.19</v>
      </c>
      <c r="C3763" s="31" t="n"/>
      <c r="D3763" s="32" t="n"/>
      <c r="E3763" s="33" t="n">
        <v>1.4852</v>
      </c>
      <c r="F3763" t="inlineStr">
        <is>
          <t>Up</t>
        </is>
      </c>
      <c r="G3763" t="inlineStr">
        <is>
          <t>Up</t>
        </is>
      </c>
      <c r="H3763" t="inlineStr">
        <is>
          <t>EU_JU</t>
        </is>
      </c>
      <c r="I3763" t="inlineStr">
        <is>
          <t>2021-07</t>
        </is>
      </c>
      <c r="J3763" t="n">
        <v>1</v>
      </c>
      <c r="K3763" t="n">
        <v>1</v>
      </c>
      <c r="L3763" s="34">
        <f>IF($J3763=1,LN(B3764/B3763),"")</f>
        <v/>
      </c>
      <c r="M3763" s="34">
        <f>IF($K3763=1,INDEX(Mensal!$D$2:$D$245,MATCH($I3763,Mensal!$A$2:$A$245,0)),"")</f>
        <v/>
      </c>
      <c r="N3763" s="34">
        <f>IF($K3763=1,L3763-M3763,"")</f>
        <v/>
      </c>
      <c r="O3763" s="34" t="n">
        <v>0.00016137</v>
      </c>
      <c r="P3763" s="34">
        <f>IF($J3763=1,LN(1+O3763),"")</f>
        <v/>
      </c>
      <c r="Q3763" s="34">
        <f>IF($J3763=1,LN(R3764/R3763),"")</f>
        <v/>
      </c>
      <c r="R3763" s="32" t="n">
        <v>5.0055</v>
      </c>
      <c r="S3763" s="35" t="n">
        <v>6.62</v>
      </c>
      <c r="T3763" s="18" t="n"/>
      <c r="U3763" s="18" t="n">
        <v>125666.19</v>
      </c>
      <c r="V3763" s="18" t="n"/>
      <c r="W3763" s="18" t="n"/>
      <c r="X3763" s="35" t="n">
        <v>6.62</v>
      </c>
      <c r="Y3763" s="35" t="n"/>
    </row>
    <row r="3764">
      <c r="A3764" s="25" t="n">
        <v>44379</v>
      </c>
      <c r="B3764" s="18" t="n">
        <v>127621.65</v>
      </c>
      <c r="C3764" s="31" t="n"/>
      <c r="D3764" s="32" t="n"/>
      <c r="E3764" s="33" t="n">
        <v>1.4437</v>
      </c>
      <c r="F3764" t="inlineStr">
        <is>
          <t>Up</t>
        </is>
      </c>
      <c r="G3764" t="inlineStr">
        <is>
          <t>Up</t>
        </is>
      </c>
      <c r="H3764" t="inlineStr">
        <is>
          <t>EU_JU</t>
        </is>
      </c>
      <c r="I3764" t="inlineStr">
        <is>
          <t>2021-07</t>
        </is>
      </c>
      <c r="J3764" t="n">
        <v>1</v>
      </c>
      <c r="K3764" t="n">
        <v>1</v>
      </c>
      <c r="L3764" s="34">
        <f>IF($J3764=1,LN(B3765/B3764),"")</f>
        <v/>
      </c>
      <c r="M3764" s="34">
        <f>IF($K3764=1,INDEX(Mensal!$D$2:$D$245,MATCH($I3764,Mensal!$A$2:$A$245,0)),"")</f>
        <v/>
      </c>
      <c r="N3764" s="34">
        <f>IF($K3764=1,L3764-M3764,"")</f>
        <v/>
      </c>
      <c r="O3764" s="34" t="n">
        <v>0.00016137</v>
      </c>
      <c r="P3764" s="34">
        <f>IF($J3764=1,LN(1+O3764),"")</f>
        <v/>
      </c>
      <c r="Q3764" s="34">
        <f>IF($J3764=1,LN(R3765/R3764),"")</f>
        <v/>
      </c>
      <c r="R3764" s="32" t="n">
        <v>5.0293</v>
      </c>
      <c r="S3764" s="35" t="n">
        <v>6.58</v>
      </c>
      <c r="T3764" s="18" t="n"/>
      <c r="U3764" s="18" t="n">
        <v>127621.65</v>
      </c>
      <c r="V3764" s="18" t="n"/>
      <c r="W3764" s="18" t="n"/>
      <c r="X3764" s="35" t="n">
        <v>6.58</v>
      </c>
      <c r="Y3764" s="35" t="n"/>
    </row>
    <row r="3765">
      <c r="A3765" s="25" t="n">
        <v>44382</v>
      </c>
      <c r="B3765" s="18" t="n">
        <v>126920.05</v>
      </c>
      <c r="C3765" s="31" t="n"/>
      <c r="D3765" s="32" t="n"/>
      <c r="E3765" s="33" t="n">
        <v>1.3972</v>
      </c>
      <c r="F3765" t="inlineStr">
        <is>
          <t>Up</t>
        </is>
      </c>
      <c r="G3765" t="inlineStr">
        <is>
          <t>Up</t>
        </is>
      </c>
      <c r="H3765" t="inlineStr">
        <is>
          <t>EU_JU</t>
        </is>
      </c>
      <c r="I3765" t="inlineStr">
        <is>
          <t>2021-07</t>
        </is>
      </c>
      <c r="J3765" t="n">
        <v>1</v>
      </c>
      <c r="K3765" t="n">
        <v>1</v>
      </c>
      <c r="L3765" s="34">
        <f>IF($J3765=1,LN(B3766/B3765),"")</f>
        <v/>
      </c>
      <c r="M3765" s="34">
        <f>IF($K3765=1,INDEX(Mensal!$D$2:$D$245,MATCH($I3765,Mensal!$A$2:$A$245,0)),"")</f>
        <v/>
      </c>
      <c r="N3765" s="34">
        <f>IF($K3765=1,L3765-M3765,"")</f>
        <v/>
      </c>
      <c r="O3765" s="34" t="n">
        <v>0.00016137</v>
      </c>
      <c r="P3765" s="34">
        <f>IF($J3765=1,LN(1+O3765),"")</f>
        <v/>
      </c>
      <c r="Q3765" s="34">
        <f>IF($J3765=1,LN(R3766/R3765),"")</f>
        <v/>
      </c>
      <c r="R3765" s="32" t="n">
        <v>5.0749</v>
      </c>
      <c r="S3765" s="35" t="n">
        <v>6.68</v>
      </c>
      <c r="T3765" s="18" t="n"/>
      <c r="U3765" s="18" t="n">
        <v>126920.05</v>
      </c>
      <c r="V3765" s="18" t="n"/>
      <c r="W3765" s="18" t="n"/>
      <c r="X3765" s="35" t="n">
        <v>6.68</v>
      </c>
      <c r="Y3765" s="35" t="n"/>
    </row>
    <row r="3766">
      <c r="A3766" s="25" t="n">
        <v>44383</v>
      </c>
      <c r="B3766" s="18" t="n">
        <v>125094.88</v>
      </c>
      <c r="C3766" s="31" t="n"/>
      <c r="D3766" s="32" t="n"/>
      <c r="E3766" s="33" t="n">
        <v>1.3446</v>
      </c>
      <c r="F3766" t="inlineStr">
        <is>
          <t>Up</t>
        </is>
      </c>
      <c r="G3766" t="inlineStr">
        <is>
          <t>Up</t>
        </is>
      </c>
      <c r="H3766" t="inlineStr">
        <is>
          <t>EU_JU</t>
        </is>
      </c>
      <c r="I3766" t="inlineStr">
        <is>
          <t>2021-07</t>
        </is>
      </c>
      <c r="J3766" t="n">
        <v>1</v>
      </c>
      <c r="K3766" t="n">
        <v>1</v>
      </c>
      <c r="L3766" s="34">
        <f>IF($J3766=1,LN(B3767/B3766),"")</f>
        <v/>
      </c>
      <c r="M3766" s="34">
        <f>IF($K3766=1,INDEX(Mensal!$D$2:$D$245,MATCH($I3766,Mensal!$A$2:$A$245,0)),"")</f>
        <v/>
      </c>
      <c r="N3766" s="34">
        <f>IF($K3766=1,L3766-M3766,"")</f>
        <v/>
      </c>
      <c r="O3766" s="34" t="n">
        <v>0.00016137</v>
      </c>
      <c r="P3766" s="34">
        <f>IF($J3766=1,LN(1+O3766),"")</f>
        <v/>
      </c>
      <c r="Q3766" s="34">
        <f>IF($J3766=1,LN(R3767/R3766),"")</f>
        <v/>
      </c>
      <c r="R3766" s="32" t="n">
        <v>5.1645</v>
      </c>
      <c r="S3766" s="35" t="n">
        <v>6.77</v>
      </c>
      <c r="T3766" s="18" t="n"/>
      <c r="U3766" s="18" t="n">
        <v>125094.88</v>
      </c>
      <c r="V3766" s="18" t="n"/>
      <c r="W3766" s="18" t="n"/>
      <c r="X3766" s="35" t="n">
        <v>6.77</v>
      </c>
      <c r="Y3766" s="35" t="n"/>
    </row>
    <row r="3767">
      <c r="A3767" s="25" t="n">
        <v>44384</v>
      </c>
      <c r="B3767" s="18" t="n">
        <v>127018.71</v>
      </c>
      <c r="C3767" s="31" t="n"/>
      <c r="D3767" s="32" t="n"/>
      <c r="E3767" s="33" t="n">
        <v>1.3001</v>
      </c>
      <c r="F3767" t="inlineStr">
        <is>
          <t>Up</t>
        </is>
      </c>
      <c r="G3767" t="inlineStr">
        <is>
          <t>Up</t>
        </is>
      </c>
      <c r="H3767" t="inlineStr">
        <is>
          <t>EU_JU</t>
        </is>
      </c>
      <c r="I3767" t="inlineStr">
        <is>
          <t>2021-07</t>
        </is>
      </c>
      <c r="J3767" t="n">
        <v>1</v>
      </c>
      <c r="K3767" t="n">
        <v>1</v>
      </c>
      <c r="L3767" s="34">
        <f>IF($J3767=1,LN(B3768/B3767),"")</f>
        <v/>
      </c>
      <c r="M3767" s="34">
        <f>IF($K3767=1,INDEX(Mensal!$D$2:$D$245,MATCH($I3767,Mensal!$A$2:$A$245,0)),"")</f>
        <v/>
      </c>
      <c r="N3767" s="34">
        <f>IF($K3767=1,L3767-M3767,"")</f>
        <v/>
      </c>
      <c r="O3767" s="34" t="n">
        <v>0.00016137</v>
      </c>
      <c r="P3767" s="34">
        <f>IF($J3767=1,LN(1+O3767),"")</f>
        <v/>
      </c>
      <c r="Q3767" s="34">
        <f>IF($J3767=1,LN(R3768/R3767),"")</f>
        <v/>
      </c>
      <c r="R3767" s="32" t="n">
        <v>5.2328</v>
      </c>
      <c r="S3767" s="35" t="n">
        <v>6.75</v>
      </c>
      <c r="T3767" s="18" t="n"/>
      <c r="U3767" s="18" t="n">
        <v>127018.71</v>
      </c>
      <c r="V3767" s="18" t="n"/>
      <c r="W3767" s="18" t="n"/>
      <c r="X3767" s="35" t="n">
        <v>6.75</v>
      </c>
      <c r="Y3767" s="35" t="n"/>
    </row>
    <row r="3768">
      <c r="A3768" s="25" t="n">
        <v>44385</v>
      </c>
      <c r="B3768" s="18" t="n">
        <v>125427.77</v>
      </c>
      <c r="C3768" s="31" t="n"/>
      <c r="D3768" s="32" t="n"/>
      <c r="E3768" s="33" t="n">
        <v>1.2698</v>
      </c>
      <c r="F3768" t="inlineStr">
        <is>
          <t>Up</t>
        </is>
      </c>
      <c r="G3768" t="inlineStr">
        <is>
          <t>Up</t>
        </is>
      </c>
      <c r="H3768" t="inlineStr">
        <is>
          <t>EU_JU</t>
        </is>
      </c>
      <c r="I3768" t="inlineStr">
        <is>
          <t>2021-07</t>
        </is>
      </c>
      <c r="J3768" t="n">
        <v>1</v>
      </c>
      <c r="K3768" t="n">
        <v>1</v>
      </c>
      <c r="L3768" s="34">
        <f>IF($J3768=1,LN(B3769/B3768),"")</f>
        <v/>
      </c>
      <c r="M3768" s="34">
        <f>IF($K3768=1,INDEX(Mensal!$D$2:$D$245,MATCH($I3768,Mensal!$A$2:$A$245,0)),"")</f>
        <v/>
      </c>
      <c r="N3768" s="34">
        <f>IF($K3768=1,L3768-M3768,"")</f>
        <v/>
      </c>
      <c r="O3768" s="34" t="n">
        <v>0.00016137</v>
      </c>
      <c r="P3768" s="34">
        <f>IF($J3768=1,LN(1+O3768),"")</f>
        <v/>
      </c>
      <c r="Q3768" s="34">
        <f>IF($J3768=1,LN(R3769/R3768),"")</f>
        <v/>
      </c>
      <c r="R3768" s="32" t="n">
        <v>5.2587</v>
      </c>
      <c r="S3768" s="35" t="n">
        <v>6.84</v>
      </c>
      <c r="T3768" s="18" t="n"/>
      <c r="U3768" s="18" t="n">
        <v>125427.77</v>
      </c>
      <c r="V3768" s="18" t="n"/>
      <c r="W3768" s="18" t="n"/>
      <c r="X3768" s="35" t="n">
        <v>6.84</v>
      </c>
      <c r="Y3768" s="35" t="n"/>
    </row>
    <row r="3769">
      <c r="A3769" s="25" t="n">
        <v>44389</v>
      </c>
      <c r="B3769" s="18" t="n">
        <v>127593.83</v>
      </c>
      <c r="C3769" s="31" t="n"/>
      <c r="D3769" s="32" t="n"/>
      <c r="E3769" s="33" t="n">
        <v>1.2418</v>
      </c>
      <c r="F3769" t="inlineStr">
        <is>
          <t>Up</t>
        </is>
      </c>
      <c r="G3769" t="inlineStr">
        <is>
          <t>Up</t>
        </is>
      </c>
      <c r="H3769" t="inlineStr">
        <is>
          <t>EU_JU</t>
        </is>
      </c>
      <c r="I3769" t="inlineStr">
        <is>
          <t>2021-07</t>
        </is>
      </c>
      <c r="J3769" t="n">
        <v>1</v>
      </c>
      <c r="K3769" t="n">
        <v>1</v>
      </c>
      <c r="L3769" s="34">
        <f>IF($J3769=1,LN(B3770/B3769),"")</f>
        <v/>
      </c>
      <c r="M3769" s="34">
        <f>IF($K3769=1,INDEX(Mensal!$D$2:$D$245,MATCH($I3769,Mensal!$A$2:$A$245,0)),"")</f>
        <v/>
      </c>
      <c r="N3769" s="34">
        <f>IF($K3769=1,L3769-M3769,"")</f>
        <v/>
      </c>
      <c r="O3769" s="34" t="n">
        <v>0.00016137</v>
      </c>
      <c r="P3769" s="34">
        <f>IF($J3769=1,LN(1+O3769),"")</f>
        <v/>
      </c>
      <c r="Q3769" s="34">
        <f>IF($J3769=1,LN(R3770/R3769),"")</f>
        <v/>
      </c>
      <c r="R3769" s="32" t="n">
        <v>5.2239</v>
      </c>
      <c r="S3769" s="35" t="n">
        <v>6.85</v>
      </c>
      <c r="T3769" s="18" t="n"/>
      <c r="U3769" s="18" t="n">
        <v>127593.83</v>
      </c>
      <c r="V3769" s="18" t="n"/>
      <c r="W3769" s="18" t="n"/>
      <c r="X3769" s="35" t="n">
        <v>6.85</v>
      </c>
      <c r="Y3769" s="35" t="n"/>
    </row>
    <row r="3770">
      <c r="A3770" s="25" t="n">
        <v>44390</v>
      </c>
      <c r="B3770" s="18" t="n">
        <v>128167.74</v>
      </c>
      <c r="C3770" s="31" t="n"/>
      <c r="D3770" s="32" t="n"/>
      <c r="E3770" s="33" t="n">
        <v>1.231</v>
      </c>
      <c r="F3770" t="inlineStr">
        <is>
          <t>Up</t>
        </is>
      </c>
      <c r="G3770" t="inlineStr">
        <is>
          <t>Up</t>
        </is>
      </c>
      <c r="H3770" t="inlineStr">
        <is>
          <t>EU_JU</t>
        </is>
      </c>
      <c r="I3770" t="inlineStr">
        <is>
          <t>2021-07</t>
        </is>
      </c>
      <c r="J3770" t="n">
        <v>1</v>
      </c>
      <c r="K3770" t="n">
        <v>1</v>
      </c>
      <c r="L3770" s="34">
        <f>IF($J3770=1,LN(B3771/B3770),"")</f>
        <v/>
      </c>
      <c r="M3770" s="34">
        <f>IF($K3770=1,INDEX(Mensal!$D$2:$D$245,MATCH($I3770,Mensal!$A$2:$A$245,0)),"")</f>
        <v/>
      </c>
      <c r="N3770" s="34">
        <f>IF($K3770=1,L3770-M3770,"")</f>
        <v/>
      </c>
      <c r="O3770" s="34" t="n">
        <v>0.00016137</v>
      </c>
      <c r="P3770" s="34">
        <f>IF($J3770=1,LN(1+O3770),"")</f>
        <v/>
      </c>
      <c r="Q3770" s="34">
        <f>IF($J3770=1,LN(R3771/R3770),"")</f>
        <v/>
      </c>
      <c r="R3770" s="32" t="n">
        <v>5.177</v>
      </c>
      <c r="S3770" s="35" t="n">
        <v>6.92</v>
      </c>
      <c r="T3770" s="18" t="n"/>
      <c r="U3770" s="18" t="n">
        <v>128167.74</v>
      </c>
      <c r="V3770" s="18" t="n"/>
      <c r="W3770" s="18" t="n"/>
      <c r="X3770" s="35" t="n">
        <v>6.92</v>
      </c>
      <c r="Y3770" s="35" t="n"/>
    </row>
    <row r="3771">
      <c r="A3771" s="25" t="n">
        <v>44391</v>
      </c>
      <c r="B3771" s="18" t="n">
        <v>128406.51</v>
      </c>
      <c r="C3771" s="31" t="n"/>
      <c r="D3771" s="32" t="n"/>
      <c r="E3771" s="33" t="n">
        <v>1.2431</v>
      </c>
      <c r="F3771" t="inlineStr">
        <is>
          <t>Up</t>
        </is>
      </c>
      <c r="G3771" t="inlineStr">
        <is>
          <t>Up</t>
        </is>
      </c>
      <c r="H3771" t="inlineStr">
        <is>
          <t>EU_JU</t>
        </is>
      </c>
      <c r="I3771" t="inlineStr">
        <is>
          <t>2021-07</t>
        </is>
      </c>
      <c r="J3771" t="n">
        <v>1</v>
      </c>
      <c r="K3771" t="n">
        <v>1</v>
      </c>
      <c r="L3771" s="34">
        <f>IF($J3771=1,LN(B3772/B3771),"")</f>
        <v/>
      </c>
      <c r="M3771" s="34">
        <f>IF($K3771=1,INDEX(Mensal!$D$2:$D$245,MATCH($I3771,Mensal!$A$2:$A$245,0)),"")</f>
        <v/>
      </c>
      <c r="N3771" s="34">
        <f>IF($K3771=1,L3771-M3771,"")</f>
        <v/>
      </c>
      <c r="O3771" s="34" t="n">
        <v>0.00016137</v>
      </c>
      <c r="P3771" s="34">
        <f>IF($J3771=1,LN(1+O3771),"")</f>
        <v/>
      </c>
      <c r="Q3771" s="34">
        <f>IF($J3771=1,LN(R3772/R3771),"")</f>
        <v/>
      </c>
      <c r="R3771" s="32" t="n">
        <v>5.088</v>
      </c>
      <c r="S3771" s="35" t="n">
        <v>6.83</v>
      </c>
      <c r="T3771" s="18" t="n"/>
      <c r="U3771" s="18" t="n">
        <v>128406.51</v>
      </c>
      <c r="V3771" s="18" t="n"/>
      <c r="W3771" s="18" t="n"/>
      <c r="X3771" s="35" t="n">
        <v>6.83</v>
      </c>
      <c r="Y3771" s="35" t="n"/>
    </row>
    <row r="3772">
      <c r="A3772" s="25" t="n">
        <v>44392</v>
      </c>
      <c r="B3772" s="18" t="n">
        <v>127467.88</v>
      </c>
      <c r="C3772" s="31" t="n"/>
      <c r="D3772" s="32" t="n"/>
      <c r="E3772" s="33" t="n">
        <v>1.2597</v>
      </c>
      <c r="F3772" t="inlineStr">
        <is>
          <t>Up</t>
        </is>
      </c>
      <c r="G3772" t="inlineStr">
        <is>
          <t>Up</t>
        </is>
      </c>
      <c r="H3772" t="inlineStr">
        <is>
          <t>EU_JU</t>
        </is>
      </c>
      <c r="I3772" t="inlineStr">
        <is>
          <t>2021-07</t>
        </is>
      </c>
      <c r="J3772" t="n">
        <v>1</v>
      </c>
      <c r="K3772" t="n">
        <v>1</v>
      </c>
      <c r="L3772" s="34">
        <f>IF($J3772=1,LN(B3773/B3772),"")</f>
        <v/>
      </c>
      <c r="M3772" s="34">
        <f>IF($K3772=1,INDEX(Mensal!$D$2:$D$245,MATCH($I3772,Mensal!$A$2:$A$245,0)),"")</f>
        <v/>
      </c>
      <c r="N3772" s="34">
        <f>IF($K3772=1,L3772-M3772,"")</f>
        <v/>
      </c>
      <c r="O3772" s="34" t="n">
        <v>0.00016137</v>
      </c>
      <c r="P3772" s="34">
        <f>IF($J3772=1,LN(1+O3772),"")</f>
        <v/>
      </c>
      <c r="Q3772" s="34">
        <f>IF($J3772=1,LN(R3773/R3772),"")</f>
        <v/>
      </c>
      <c r="R3772" s="32" t="n">
        <v>5.1</v>
      </c>
      <c r="S3772" s="35" t="n">
        <v>6.87</v>
      </c>
      <c r="T3772" s="18" t="n"/>
      <c r="U3772" s="18" t="n">
        <v>127467.88</v>
      </c>
      <c r="V3772" s="18" t="n"/>
      <c r="W3772" s="18" t="n"/>
      <c r="X3772" s="35" t="n">
        <v>6.87</v>
      </c>
      <c r="Y3772" s="35" t="n"/>
    </row>
    <row r="3773">
      <c r="A3773" s="25" t="n">
        <v>44393</v>
      </c>
      <c r="B3773" s="18" t="n">
        <v>125960.26</v>
      </c>
      <c r="C3773" s="31" t="n"/>
      <c r="D3773" s="32" t="n"/>
      <c r="E3773" s="33" t="n">
        <v>1.2745</v>
      </c>
      <c r="F3773" t="inlineStr">
        <is>
          <t>Up</t>
        </is>
      </c>
      <c r="G3773" t="inlineStr">
        <is>
          <t>Up</t>
        </is>
      </c>
      <c r="H3773" t="inlineStr">
        <is>
          <t>EU_JU</t>
        </is>
      </c>
      <c r="I3773" t="inlineStr">
        <is>
          <t>2021-07</t>
        </is>
      </c>
      <c r="J3773" t="n">
        <v>1</v>
      </c>
      <c r="K3773" t="n">
        <v>1</v>
      </c>
      <c r="L3773" s="34">
        <f>IF($J3773=1,LN(B3774/B3773),"")</f>
        <v/>
      </c>
      <c r="M3773" s="34">
        <f>IF($K3773=1,INDEX(Mensal!$D$2:$D$245,MATCH($I3773,Mensal!$A$2:$A$245,0)),"")</f>
        <v/>
      </c>
      <c r="N3773" s="34">
        <f>IF($K3773=1,L3773-M3773,"")</f>
        <v/>
      </c>
      <c r="O3773" s="34" t="n">
        <v>0.00016137</v>
      </c>
      <c r="P3773" s="34">
        <f>IF($J3773=1,LN(1+O3773),"")</f>
        <v/>
      </c>
      <c r="Q3773" s="34">
        <f>IF($J3773=1,LN(R3774/R3773),"")</f>
        <v/>
      </c>
      <c r="R3773" s="32" t="n">
        <v>5.0941</v>
      </c>
      <c r="S3773" s="35" t="n">
        <v>6.83</v>
      </c>
      <c r="T3773" s="18" t="n"/>
      <c r="U3773" s="18" t="n">
        <v>125960.26</v>
      </c>
      <c r="V3773" s="18" t="n"/>
      <c r="W3773" s="18" t="n"/>
      <c r="X3773" s="35" t="n">
        <v>6.83</v>
      </c>
      <c r="Y3773" s="35" t="n"/>
    </row>
    <row r="3774">
      <c r="A3774" s="25" t="n">
        <v>44396</v>
      </c>
      <c r="B3774" s="18" t="n">
        <v>124394.57</v>
      </c>
      <c r="C3774" s="31" t="n"/>
      <c r="D3774" s="32" t="n"/>
      <c r="E3774" s="33" t="n">
        <v>1.2837</v>
      </c>
      <c r="F3774" t="inlineStr">
        <is>
          <t>Up</t>
        </is>
      </c>
      <c r="G3774" t="inlineStr">
        <is>
          <t>Up</t>
        </is>
      </c>
      <c r="H3774" t="inlineStr">
        <is>
          <t>EU_JU</t>
        </is>
      </c>
      <c r="I3774" t="inlineStr">
        <is>
          <t>2021-07</t>
        </is>
      </c>
      <c r="J3774" t="n">
        <v>1</v>
      </c>
      <c r="K3774" t="n">
        <v>1</v>
      </c>
      <c r="L3774" s="34">
        <f>IF($J3774=1,LN(B3775/B3774),"")</f>
        <v/>
      </c>
      <c r="M3774" s="34">
        <f>IF($K3774=1,INDEX(Mensal!$D$2:$D$245,MATCH($I3774,Mensal!$A$2:$A$245,0)),"")</f>
        <v/>
      </c>
      <c r="N3774" s="34">
        <f>IF($K3774=1,L3774-M3774,"")</f>
        <v/>
      </c>
      <c r="O3774" s="34" t="n">
        <v>0.00016137</v>
      </c>
      <c r="P3774" s="34">
        <f>IF($J3774=1,LN(1+O3774),"")</f>
        <v/>
      </c>
      <c r="Q3774" s="34">
        <f>IF($J3774=1,LN(R3775/R3774),"")</f>
        <v/>
      </c>
      <c r="R3774" s="32" t="n">
        <v>5.1978</v>
      </c>
      <c r="S3774" s="35" t="n">
        <v>6.78</v>
      </c>
      <c r="T3774" s="18" t="n"/>
      <c r="U3774" s="18" t="n">
        <v>124394.57</v>
      </c>
      <c r="V3774" s="18" t="n"/>
      <c r="W3774" s="18" t="n"/>
      <c r="X3774" s="35" t="n">
        <v>6.78</v>
      </c>
      <c r="Y3774" s="35" t="n"/>
    </row>
    <row r="3775">
      <c r="A3775" s="25" t="n">
        <v>44397</v>
      </c>
      <c r="B3775" s="18" t="n">
        <v>125401.36</v>
      </c>
      <c r="C3775" s="31" t="n"/>
      <c r="D3775" s="32" t="n"/>
      <c r="E3775" s="33" t="n">
        <v>1.3112</v>
      </c>
      <c r="F3775" t="inlineStr">
        <is>
          <t>Up</t>
        </is>
      </c>
      <c r="G3775" t="inlineStr">
        <is>
          <t>Up</t>
        </is>
      </c>
      <c r="H3775" t="inlineStr">
        <is>
          <t>EU_JU</t>
        </is>
      </c>
      <c r="I3775" t="inlineStr">
        <is>
          <t>2021-07</t>
        </is>
      </c>
      <c r="J3775" t="n">
        <v>1</v>
      </c>
      <c r="K3775" t="n">
        <v>1</v>
      </c>
      <c r="L3775" s="34">
        <f>IF($J3775=1,LN(B3776/B3775),"")</f>
        <v/>
      </c>
      <c r="M3775" s="34">
        <f>IF($K3775=1,INDEX(Mensal!$D$2:$D$245,MATCH($I3775,Mensal!$A$2:$A$245,0)),"")</f>
        <v/>
      </c>
      <c r="N3775" s="34">
        <f>IF($K3775=1,L3775-M3775,"")</f>
        <v/>
      </c>
      <c r="O3775" s="34" t="n">
        <v>0.00016137</v>
      </c>
      <c r="P3775" s="34">
        <f>IF($J3775=1,LN(1+O3775),"")</f>
        <v/>
      </c>
      <c r="Q3775" s="34">
        <f>IF($J3775=1,LN(R3776/R3775),"")</f>
        <v/>
      </c>
      <c r="R3775" s="32" t="n">
        <v>5.2465</v>
      </c>
      <c r="S3775" s="35" t="n">
        <v>6.71</v>
      </c>
      <c r="T3775" s="18" t="n"/>
      <c r="U3775" s="18" t="n">
        <v>125401.36</v>
      </c>
      <c r="V3775" s="18" t="n"/>
      <c r="W3775" s="18" t="n"/>
      <c r="X3775" s="35" t="n">
        <v>6.71</v>
      </c>
      <c r="Y3775" s="35" t="n"/>
    </row>
    <row r="3776">
      <c r="A3776" s="25" t="n">
        <v>44398</v>
      </c>
      <c r="B3776" s="18" t="n">
        <v>125929.25</v>
      </c>
      <c r="C3776" s="31" t="n"/>
      <c r="D3776" s="32" t="n"/>
      <c r="E3776" s="33" t="n">
        <v>1.3338</v>
      </c>
      <c r="F3776" t="inlineStr">
        <is>
          <t>Up</t>
        </is>
      </c>
      <c r="G3776" t="inlineStr">
        <is>
          <t>Up</t>
        </is>
      </c>
      <c r="H3776" t="inlineStr">
        <is>
          <t>EU_JU</t>
        </is>
      </c>
      <c r="I3776" t="inlineStr">
        <is>
          <t>2021-07</t>
        </is>
      </c>
      <c r="J3776" t="n">
        <v>1</v>
      </c>
      <c r="K3776" t="n">
        <v>1</v>
      </c>
      <c r="L3776" s="34">
        <f>IF($J3776=1,LN(B3777/B3776),"")</f>
        <v/>
      </c>
      <c r="M3776" s="34">
        <f>IF($K3776=1,INDEX(Mensal!$D$2:$D$245,MATCH($I3776,Mensal!$A$2:$A$245,0)),"")</f>
        <v/>
      </c>
      <c r="N3776" s="34">
        <f>IF($K3776=1,L3776-M3776,"")</f>
        <v/>
      </c>
      <c r="O3776" s="34" t="n">
        <v>0.00016137</v>
      </c>
      <c r="P3776" s="34">
        <f>IF($J3776=1,LN(1+O3776),"")</f>
        <v/>
      </c>
      <c r="Q3776" s="34">
        <f>IF($J3776=1,LN(R3777/R3776),"")</f>
        <v/>
      </c>
      <c r="R3776" s="32" t="n">
        <v>5.2516</v>
      </c>
      <c r="S3776" s="35" t="n">
        <v>6.75</v>
      </c>
      <c r="T3776" s="18" t="n"/>
      <c r="U3776" s="18" t="n">
        <v>125929.25</v>
      </c>
      <c r="V3776" s="18" t="n"/>
      <c r="W3776" s="18" t="n"/>
      <c r="X3776" s="35" t="n">
        <v>6.75</v>
      </c>
      <c r="Y3776" s="35" t="n"/>
    </row>
    <row r="3777">
      <c r="A3777" s="25" t="n">
        <v>44399</v>
      </c>
      <c r="B3777" s="18" t="n">
        <v>126146.66</v>
      </c>
      <c r="C3777" s="31" t="n"/>
      <c r="D3777" s="32" t="n"/>
      <c r="E3777" s="33" t="n">
        <v>1.3776</v>
      </c>
      <c r="F3777" t="inlineStr">
        <is>
          <t>Up</t>
        </is>
      </c>
      <c r="G3777" t="inlineStr">
        <is>
          <t>Up</t>
        </is>
      </c>
      <c r="H3777" t="inlineStr">
        <is>
          <t>EU_JU</t>
        </is>
      </c>
      <c r="I3777" t="inlineStr">
        <is>
          <t>2021-07</t>
        </is>
      </c>
      <c r="J3777" t="n">
        <v>1</v>
      </c>
      <c r="K3777" t="n">
        <v>1</v>
      </c>
      <c r="L3777" s="34">
        <f>IF($J3777=1,LN(B3778/B3777),"")</f>
        <v/>
      </c>
      <c r="M3777" s="34">
        <f>IF($K3777=1,INDEX(Mensal!$D$2:$D$245,MATCH($I3777,Mensal!$A$2:$A$245,0)),"")</f>
        <v/>
      </c>
      <c r="N3777" s="34">
        <f>IF($K3777=1,L3777-M3777,"")</f>
        <v/>
      </c>
      <c r="O3777" s="34" t="n">
        <v>0.00016137</v>
      </c>
      <c r="P3777" s="34">
        <f>IF($J3777=1,LN(1+O3777),"")</f>
        <v/>
      </c>
      <c r="Q3777" s="34">
        <f>IF($J3777=1,LN(R3778/R3777),"")</f>
        <v/>
      </c>
      <c r="R3777" s="32" t="n">
        <v>5.1978</v>
      </c>
      <c r="S3777" s="35" t="n">
        <v>6.82</v>
      </c>
      <c r="T3777" s="18" t="n"/>
      <c r="U3777" s="18" t="n">
        <v>126146.66</v>
      </c>
      <c r="V3777" s="18" t="n"/>
      <c r="W3777" s="18" t="n"/>
      <c r="X3777" s="35" t="n">
        <v>6.82</v>
      </c>
      <c r="Y3777" s="35" t="n"/>
    </row>
    <row r="3778">
      <c r="A3778" s="25" t="n">
        <v>44400</v>
      </c>
      <c r="B3778" s="18" t="n">
        <v>125052.78</v>
      </c>
      <c r="C3778" s="31" t="n"/>
      <c r="D3778" s="32" t="n"/>
      <c r="E3778" s="33" t="n">
        <v>1.4238</v>
      </c>
      <c r="F3778" t="inlineStr">
        <is>
          <t>Up</t>
        </is>
      </c>
      <c r="G3778" t="inlineStr">
        <is>
          <t>Up</t>
        </is>
      </c>
      <c r="H3778" t="inlineStr">
        <is>
          <t>EU_JU</t>
        </is>
      </c>
      <c r="I3778" t="inlineStr">
        <is>
          <t>2021-07</t>
        </is>
      </c>
      <c r="J3778" t="n">
        <v>1</v>
      </c>
      <c r="K3778" t="n">
        <v>1</v>
      </c>
      <c r="L3778" s="34">
        <f>IF($J3778=1,LN(B3779/B3778),"")</f>
        <v/>
      </c>
      <c r="M3778" s="34">
        <f>IF($K3778=1,INDEX(Mensal!$D$2:$D$245,MATCH($I3778,Mensal!$A$2:$A$245,0)),"")</f>
        <v/>
      </c>
      <c r="N3778" s="34">
        <f>IF($K3778=1,L3778-M3778,"")</f>
        <v/>
      </c>
      <c r="O3778" s="34" t="n">
        <v>0.00016137</v>
      </c>
      <c r="P3778" s="34">
        <f>IF($J3778=1,LN(1+O3778),"")</f>
        <v/>
      </c>
      <c r="Q3778" s="34">
        <f>IF($J3778=1,LN(R3779/R3778),"")</f>
        <v/>
      </c>
      <c r="R3778" s="32" t="n">
        <v>5.1701</v>
      </c>
      <c r="S3778" s="35" t="n">
        <v>7.1</v>
      </c>
      <c r="T3778" s="18" t="n"/>
      <c r="U3778" s="18" t="n">
        <v>125052.78</v>
      </c>
      <c r="V3778" s="18" t="n"/>
      <c r="W3778" s="18" t="n"/>
      <c r="X3778" s="35" t="n">
        <v>7.1</v>
      </c>
      <c r="Y3778" s="35" t="n"/>
    </row>
    <row r="3779">
      <c r="A3779" s="25" t="n">
        <v>44403</v>
      </c>
      <c r="B3779" s="18" t="n">
        <v>126003.86</v>
      </c>
      <c r="C3779" s="31" t="n"/>
      <c r="D3779" s="32" t="n"/>
      <c r="E3779" s="33" t="n">
        <v>1.4936</v>
      </c>
      <c r="F3779" t="inlineStr">
        <is>
          <t>Up</t>
        </is>
      </c>
      <c r="G3779" t="inlineStr">
        <is>
          <t>Up</t>
        </is>
      </c>
      <c r="H3779" t="inlineStr">
        <is>
          <t>EU_JU</t>
        </is>
      </c>
      <c r="I3779" t="inlineStr">
        <is>
          <t>2021-07</t>
        </is>
      </c>
      <c r="J3779" t="n">
        <v>1</v>
      </c>
      <c r="K3779" t="n">
        <v>1</v>
      </c>
      <c r="L3779" s="34">
        <f>IF($J3779=1,LN(B3780/B3779),"")</f>
        <v/>
      </c>
      <c r="M3779" s="34">
        <f>IF($K3779=1,INDEX(Mensal!$D$2:$D$245,MATCH($I3779,Mensal!$A$2:$A$245,0)),"")</f>
        <v/>
      </c>
      <c r="N3779" s="34">
        <f>IF($K3779=1,L3779-M3779,"")</f>
        <v/>
      </c>
      <c r="O3779" s="34" t="n">
        <v>0.00016137</v>
      </c>
      <c r="P3779" s="34">
        <f>IF($J3779=1,LN(1+O3779),"")</f>
        <v/>
      </c>
      <c r="Q3779" s="34">
        <f>IF($J3779=1,LN(R3780/R3779),"")</f>
        <v/>
      </c>
      <c r="R3779" s="32" t="n">
        <v>5.1863</v>
      </c>
      <c r="S3779" s="35" t="n">
        <v>7.2</v>
      </c>
      <c r="T3779" s="18" t="n"/>
      <c r="U3779" s="18" t="n">
        <v>126003.86</v>
      </c>
      <c r="V3779" s="18" t="n"/>
      <c r="W3779" s="18" t="n"/>
      <c r="X3779" s="35" t="n">
        <v>7.2</v>
      </c>
      <c r="Y3779" s="35" t="n"/>
    </row>
    <row r="3780">
      <c r="A3780" s="25" t="n">
        <v>44404</v>
      </c>
      <c r="B3780" s="18" t="n">
        <v>124612.03</v>
      </c>
      <c r="C3780" s="31" t="n"/>
      <c r="D3780" s="32" t="n"/>
      <c r="E3780" s="33" t="n">
        <v>1.5626</v>
      </c>
      <c r="F3780" t="inlineStr">
        <is>
          <t>Up</t>
        </is>
      </c>
      <c r="G3780" t="inlineStr">
        <is>
          <t>Up</t>
        </is>
      </c>
      <c r="H3780" t="inlineStr">
        <is>
          <t>EU_JU</t>
        </is>
      </c>
      <c r="I3780" t="inlineStr">
        <is>
          <t>2021-07</t>
        </is>
      </c>
      <c r="J3780" t="n">
        <v>1</v>
      </c>
      <c r="K3780" t="n">
        <v>1</v>
      </c>
      <c r="L3780" s="34">
        <f>IF($J3780=1,LN(B3781/B3780),"")</f>
        <v/>
      </c>
      <c r="M3780" s="34">
        <f>IF($K3780=1,INDEX(Mensal!$D$2:$D$245,MATCH($I3780,Mensal!$A$2:$A$245,0)),"")</f>
        <v/>
      </c>
      <c r="N3780" s="34">
        <f>IF($K3780=1,L3780-M3780,"")</f>
        <v/>
      </c>
      <c r="O3780" s="34" t="n">
        <v>0.00016137</v>
      </c>
      <c r="P3780" s="34">
        <f>IF($J3780=1,LN(1+O3780),"")</f>
        <v/>
      </c>
      <c r="Q3780" s="34">
        <f>IF($J3780=1,LN(R3781/R3780),"")</f>
        <v/>
      </c>
      <c r="R3780" s="32" t="n">
        <v>5.1669</v>
      </c>
      <c r="S3780" s="35" t="n">
        <v>7.29</v>
      </c>
      <c r="T3780" s="18" t="n"/>
      <c r="U3780" s="18" t="n">
        <v>124612.03</v>
      </c>
      <c r="V3780" s="18" t="n"/>
      <c r="W3780" s="18" t="n"/>
      <c r="X3780" s="35" t="n">
        <v>7.29</v>
      </c>
      <c r="Y3780" s="35" t="n"/>
    </row>
    <row r="3781">
      <c r="A3781" s="25" t="n">
        <v>44405</v>
      </c>
      <c r="B3781" s="18" t="n">
        <v>126285.59</v>
      </c>
      <c r="C3781" s="31" t="n"/>
      <c r="D3781" s="32" t="n"/>
      <c r="E3781" s="33" t="n">
        <v>1.6275</v>
      </c>
      <c r="F3781" t="inlineStr">
        <is>
          <t>Up</t>
        </is>
      </c>
      <c r="G3781" t="inlineStr">
        <is>
          <t>Up</t>
        </is>
      </c>
      <c r="H3781" t="inlineStr">
        <is>
          <t>EU_JU</t>
        </is>
      </c>
      <c r="I3781" t="inlineStr">
        <is>
          <t>2021-07</t>
        </is>
      </c>
      <c r="J3781" t="n">
        <v>1</v>
      </c>
      <c r="K3781" t="n">
        <v>1</v>
      </c>
      <c r="L3781" s="34">
        <f>IF($J3781=1,LN(B3782/B3781),"")</f>
        <v/>
      </c>
      <c r="M3781" s="34">
        <f>IF($K3781=1,INDEX(Mensal!$D$2:$D$245,MATCH($I3781,Mensal!$A$2:$A$245,0)),"")</f>
        <v/>
      </c>
      <c r="N3781" s="34">
        <f>IF($K3781=1,L3781-M3781,"")</f>
        <v/>
      </c>
      <c r="O3781" s="34" t="n">
        <v>0.00016137</v>
      </c>
      <c r="P3781" s="34">
        <f>IF($J3781=1,LN(1+O3781),"")</f>
        <v/>
      </c>
      <c r="Q3781" s="34">
        <f>IF($J3781=1,LN(R3782/R3781),"")</f>
        <v/>
      </c>
      <c r="R3781" s="32" t="n">
        <v>5.1527</v>
      </c>
      <c r="S3781" s="35" t="n">
        <v>7.34</v>
      </c>
      <c r="T3781" s="18" t="n"/>
      <c r="U3781" s="18" t="n">
        <v>126285.59</v>
      </c>
      <c r="V3781" s="18" t="n"/>
      <c r="W3781" s="18" t="n"/>
      <c r="X3781" s="35" t="n">
        <v>7.34</v>
      </c>
      <c r="Y3781" s="35" t="n"/>
    </row>
    <row r="3782">
      <c r="A3782" s="25" t="n">
        <v>44406</v>
      </c>
      <c r="B3782" s="18" t="n">
        <v>125675.33</v>
      </c>
      <c r="C3782" s="31" t="n"/>
      <c r="D3782" s="32" t="n"/>
      <c r="E3782" s="33" t="n">
        <v>1.6867</v>
      </c>
      <c r="F3782" t="inlineStr">
        <is>
          <t>Up</t>
        </is>
      </c>
      <c r="G3782" t="inlineStr">
        <is>
          <t>Up</t>
        </is>
      </c>
      <c r="H3782" t="inlineStr">
        <is>
          <t>EU_JU</t>
        </is>
      </c>
      <c r="I3782" t="inlineStr">
        <is>
          <t>2021-07</t>
        </is>
      </c>
      <c r="J3782" t="n">
        <v>1</v>
      </c>
      <c r="K3782" t="n">
        <v>1</v>
      </c>
      <c r="L3782" s="34">
        <f>IF($J3782=1,LN(B3783/B3782),"")</f>
        <v/>
      </c>
      <c r="M3782" s="34">
        <f>IF($K3782=1,INDEX(Mensal!$D$2:$D$245,MATCH($I3782,Mensal!$A$2:$A$245,0)),"")</f>
        <v/>
      </c>
      <c r="N3782" s="34">
        <f>IF($K3782=1,L3782-M3782,"")</f>
        <v/>
      </c>
      <c r="O3782" s="34" t="n">
        <v>0.00016137</v>
      </c>
      <c r="P3782" s="34">
        <f>IF($J3782=1,LN(1+O3782),"")</f>
        <v/>
      </c>
      <c r="Q3782" s="34">
        <f>IF($J3782=1,LN(R3783/R3782),"")</f>
        <v/>
      </c>
      <c r="R3782" s="32" t="n">
        <v>5.0682</v>
      </c>
      <c r="S3782" s="35" t="n">
        <v>7.26</v>
      </c>
      <c r="T3782" s="18" t="n"/>
      <c r="U3782" s="18" t="n">
        <v>125675.33</v>
      </c>
      <c r="V3782" s="18" t="n"/>
      <c r="W3782" s="18" t="n"/>
      <c r="X3782" s="35" t="n">
        <v>7.26</v>
      </c>
      <c r="Y3782" s="35" t="n"/>
    </row>
    <row r="3783">
      <c r="A3783" s="25" t="n">
        <v>44407</v>
      </c>
      <c r="B3783" s="18" t="n">
        <v>121800.79</v>
      </c>
      <c r="C3783" s="31" t="n"/>
      <c r="D3783" s="32" t="n"/>
      <c r="E3783" s="33" t="n">
        <v>1.7404</v>
      </c>
      <c r="F3783" t="inlineStr">
        <is>
          <t>Up</t>
        </is>
      </c>
      <c r="G3783" t="inlineStr">
        <is>
          <t>Up</t>
        </is>
      </c>
      <c r="H3783" t="inlineStr">
        <is>
          <t>EU_JU</t>
        </is>
      </c>
      <c r="I3783" t="inlineStr">
        <is>
          <t>2021-07</t>
        </is>
      </c>
      <c r="J3783" t="n">
        <v>1</v>
      </c>
      <c r="K3783" t="n">
        <v>1</v>
      </c>
      <c r="L3783" s="34">
        <f>IF($J3783=1,LN(B3784/B3783),"")</f>
        <v/>
      </c>
      <c r="M3783" s="34">
        <f>IF($K3783=1,INDEX(Mensal!$D$2:$D$245,MATCH($I3783,Mensal!$A$2:$A$245,0)),"")</f>
        <v/>
      </c>
      <c r="N3783" s="34">
        <f>IF($K3783=1,L3783-M3783,"")</f>
        <v/>
      </c>
      <c r="O3783" s="34" t="n">
        <v>0.00016137</v>
      </c>
      <c r="P3783" s="34">
        <f>IF($J3783=1,LN(1+O3783),"")</f>
        <v/>
      </c>
      <c r="Q3783" s="34">
        <f>IF($J3783=1,LN(R3784/R3783),"")</f>
        <v/>
      </c>
      <c r="R3783" s="32" t="n">
        <v>5.1216</v>
      </c>
      <c r="S3783" s="35" t="n">
        <v>7.45</v>
      </c>
      <c r="T3783" s="18" t="n"/>
      <c r="U3783" s="18" t="n">
        <v>121800.79</v>
      </c>
      <c r="V3783" s="18" t="n"/>
      <c r="W3783" s="18" t="n"/>
      <c r="X3783" s="35" t="n">
        <v>7.45</v>
      </c>
      <c r="Y3783" s="35" t="n"/>
    </row>
    <row r="3784">
      <c r="A3784" s="25" t="n">
        <v>44410</v>
      </c>
      <c r="B3784" s="18" t="n">
        <v>122515.74</v>
      </c>
      <c r="C3784" s="31" t="n"/>
      <c r="D3784" s="32" t="n"/>
      <c r="E3784" s="33" t="n">
        <v>1.7478</v>
      </c>
      <c r="F3784" t="inlineStr">
        <is>
          <t>Up</t>
        </is>
      </c>
      <c r="G3784" t="inlineStr">
        <is>
          <t>Up</t>
        </is>
      </c>
      <c r="H3784" t="inlineStr">
        <is>
          <t>EU_JU</t>
        </is>
      </c>
      <c r="I3784" t="inlineStr">
        <is>
          <t>2021-08</t>
        </is>
      </c>
      <c r="J3784" t="n">
        <v>1</v>
      </c>
      <c r="K3784" t="n">
        <v>1</v>
      </c>
      <c r="L3784" s="34">
        <f>IF($J3784=1,LN(B3785/B3784),"")</f>
        <v/>
      </c>
      <c r="M3784" s="34">
        <f>IF($K3784=1,INDEX(Mensal!$D$2:$D$245,MATCH($I3784,Mensal!$A$2:$A$245,0)),"")</f>
        <v/>
      </c>
      <c r="N3784" s="34">
        <f>IF($K3784=1,L3784-M3784,"")</f>
        <v/>
      </c>
      <c r="O3784" s="34" t="n">
        <v>0.00016137</v>
      </c>
      <c r="P3784" s="34">
        <f>IF($J3784=1,LN(1+O3784),"")</f>
        <v/>
      </c>
      <c r="Q3784" s="34">
        <f>IF($J3784=1,LN(R3785/R3784),"")</f>
        <v/>
      </c>
      <c r="R3784" s="32" t="n">
        <v>5.1379</v>
      </c>
      <c r="S3784" s="35" t="n">
        <v>7.47</v>
      </c>
      <c r="T3784" s="18" t="n"/>
      <c r="U3784" s="18" t="n">
        <v>122515.74</v>
      </c>
      <c r="V3784" s="18" t="n"/>
      <c r="W3784" s="18" t="n"/>
      <c r="X3784" s="35" t="n">
        <v>7.47</v>
      </c>
      <c r="Y3784" s="35" t="n"/>
    </row>
    <row r="3785">
      <c r="A3785" s="25" t="n">
        <v>44411</v>
      </c>
      <c r="B3785" s="18" t="n">
        <v>123576.56</v>
      </c>
      <c r="C3785" s="31" t="n"/>
      <c r="D3785" s="32" t="n"/>
      <c r="E3785" s="33" t="n">
        <v>1.7466</v>
      </c>
      <c r="F3785" t="inlineStr">
        <is>
          <t>Up</t>
        </is>
      </c>
      <c r="G3785" t="inlineStr">
        <is>
          <t>Up</t>
        </is>
      </c>
      <c r="H3785" t="inlineStr">
        <is>
          <t>EU_JU</t>
        </is>
      </c>
      <c r="I3785" t="inlineStr">
        <is>
          <t>2021-08</t>
        </is>
      </c>
      <c r="J3785" t="n">
        <v>1</v>
      </c>
      <c r="K3785" t="n">
        <v>1</v>
      </c>
      <c r="L3785" s="34">
        <f>IF($J3785=1,LN(B3786/B3785),"")</f>
        <v/>
      </c>
      <c r="M3785" s="34">
        <f>IF($K3785=1,INDEX(Mensal!$D$2:$D$245,MATCH($I3785,Mensal!$A$2:$A$245,0)),"")</f>
        <v/>
      </c>
      <c r="N3785" s="34">
        <f>IF($K3785=1,L3785-M3785,"")</f>
        <v/>
      </c>
      <c r="O3785" s="34" t="n">
        <v>0.00016137</v>
      </c>
      <c r="P3785" s="34">
        <f>IF($J3785=1,LN(1+O3785),"")</f>
        <v/>
      </c>
      <c r="Q3785" s="34">
        <f>IF($J3785=1,LN(R3786/R3785),"")</f>
        <v/>
      </c>
      <c r="R3785" s="32" t="n">
        <v>5.2464</v>
      </c>
      <c r="S3785" s="35" t="n">
        <v>7.49</v>
      </c>
      <c r="T3785" s="18" t="n"/>
      <c r="U3785" s="18" t="n">
        <v>123576.56</v>
      </c>
      <c r="V3785" s="18" t="n"/>
      <c r="W3785" s="18" t="n"/>
      <c r="X3785" s="35" t="n">
        <v>7.49</v>
      </c>
      <c r="Y3785" s="35" t="n"/>
    </row>
    <row r="3786">
      <c r="A3786" s="25" t="n">
        <v>44412</v>
      </c>
      <c r="B3786" s="18" t="n">
        <v>121801.21</v>
      </c>
      <c r="C3786" s="31" t="n"/>
      <c r="D3786" s="32" t="n"/>
      <c r="E3786" s="33" t="n">
        <v>1.7512</v>
      </c>
      <c r="F3786" t="inlineStr">
        <is>
          <t>Up</t>
        </is>
      </c>
      <c r="G3786" t="inlineStr">
        <is>
          <t>Up</t>
        </is>
      </c>
      <c r="H3786" t="inlineStr">
        <is>
          <t>EU_JU</t>
        </is>
      </c>
      <c r="I3786" t="inlineStr">
        <is>
          <t>2021-08</t>
        </is>
      </c>
      <c r="J3786" t="n">
        <v>1</v>
      </c>
      <c r="K3786" t="n">
        <v>1</v>
      </c>
      <c r="L3786" s="34">
        <f>IF($J3786=1,LN(B3787/B3786),"")</f>
        <v/>
      </c>
      <c r="M3786" s="34">
        <f>IF($K3786=1,INDEX(Mensal!$D$2:$D$245,MATCH($I3786,Mensal!$A$2:$A$245,0)),"")</f>
        <v/>
      </c>
      <c r="N3786" s="34">
        <f>IF($K3786=1,L3786-M3786,"")</f>
        <v/>
      </c>
      <c r="O3786" s="34" t="n">
        <v>0.00016137</v>
      </c>
      <c r="P3786" s="34">
        <f>IF($J3786=1,LN(1+O3786),"")</f>
        <v/>
      </c>
      <c r="Q3786" s="34">
        <f>IF($J3786=1,LN(R3787/R3786),"")</f>
        <v/>
      </c>
      <c r="R3786" s="32" t="n">
        <v>5.2091</v>
      </c>
      <c r="S3786" s="35" t="n">
        <v>7.48</v>
      </c>
      <c r="T3786" s="18" t="n"/>
      <c r="U3786" s="18" t="n">
        <v>121801.21</v>
      </c>
      <c r="V3786" s="18" t="n"/>
      <c r="W3786" s="18" t="n"/>
      <c r="X3786" s="35" t="n">
        <v>7.48</v>
      </c>
      <c r="Y3786" s="35" t="n"/>
    </row>
    <row r="3787">
      <c r="A3787" s="25" t="n">
        <v>44413</v>
      </c>
      <c r="B3787" s="18" t="n">
        <v>121632.92</v>
      </c>
      <c r="C3787" s="31" t="n"/>
      <c r="D3787" s="32" t="n"/>
      <c r="E3787" s="33" t="n">
        <v>1.7692</v>
      </c>
      <c r="F3787" t="inlineStr">
        <is>
          <t>Up</t>
        </is>
      </c>
      <c r="G3787" t="inlineStr">
        <is>
          <t>Up</t>
        </is>
      </c>
      <c r="H3787" t="inlineStr">
        <is>
          <t>EU_JU</t>
        </is>
      </c>
      <c r="I3787" t="inlineStr">
        <is>
          <t>2021-08</t>
        </is>
      </c>
      <c r="J3787" t="n">
        <v>1</v>
      </c>
      <c r="K3787" t="n">
        <v>1</v>
      </c>
      <c r="L3787" s="34">
        <f>IF($J3787=1,LN(B3788/B3787),"")</f>
        <v/>
      </c>
      <c r="M3787" s="34">
        <f>IF($K3787=1,INDEX(Mensal!$D$2:$D$245,MATCH($I3787,Mensal!$A$2:$A$245,0)),"")</f>
        <v/>
      </c>
      <c r="N3787" s="34">
        <f>IF($K3787=1,L3787-M3787,"")</f>
        <v/>
      </c>
      <c r="O3787" s="34" t="n">
        <v>0.0001993</v>
      </c>
      <c r="P3787" s="34">
        <f>IF($J3787=1,LN(1+O3787),"")</f>
        <v/>
      </c>
      <c r="Q3787" s="34">
        <f>IF($J3787=1,LN(R3788/R3787),"")</f>
        <v/>
      </c>
      <c r="R3787" s="32" t="n">
        <v>5.1464</v>
      </c>
      <c r="S3787" s="35" t="n">
        <v>7.74</v>
      </c>
      <c r="T3787" s="18" t="n"/>
      <c r="U3787" s="18" t="n">
        <v>121632.92</v>
      </c>
      <c r="V3787" s="18" t="n"/>
      <c r="W3787" s="18" t="n"/>
      <c r="X3787" s="35" t="n">
        <v>7.74</v>
      </c>
      <c r="Y3787" s="35" t="n"/>
    </row>
    <row r="3788">
      <c r="A3788" s="25" t="n">
        <v>44414</v>
      </c>
      <c r="B3788" s="18" t="n">
        <v>122810.36</v>
      </c>
      <c r="C3788" s="31" t="n"/>
      <c r="D3788" s="32" t="n"/>
      <c r="E3788" s="33" t="n">
        <v>1.776</v>
      </c>
      <c r="F3788" t="inlineStr">
        <is>
          <t>Up</t>
        </is>
      </c>
      <c r="G3788" t="inlineStr">
        <is>
          <t>Up</t>
        </is>
      </c>
      <c r="H3788" t="inlineStr">
        <is>
          <t>EU_JU</t>
        </is>
      </c>
      <c r="I3788" t="inlineStr">
        <is>
          <t>2021-08</t>
        </is>
      </c>
      <c r="J3788" t="n">
        <v>1</v>
      </c>
      <c r="K3788" t="n">
        <v>1</v>
      </c>
      <c r="L3788" s="34">
        <f>IF($J3788=1,LN(B3789/B3788),"")</f>
        <v/>
      </c>
      <c r="M3788" s="34">
        <f>IF($K3788=1,INDEX(Mensal!$D$2:$D$245,MATCH($I3788,Mensal!$A$2:$A$245,0)),"")</f>
        <v/>
      </c>
      <c r="N3788" s="34">
        <f>IF($K3788=1,L3788-M3788,"")</f>
        <v/>
      </c>
      <c r="O3788" s="34" t="n">
        <v>0.0001993</v>
      </c>
      <c r="P3788" s="34">
        <f>IF($J3788=1,LN(1+O3788),"")</f>
        <v/>
      </c>
      <c r="Q3788" s="34">
        <f>IF($J3788=1,LN(R3789/R3788),"")</f>
        <v/>
      </c>
      <c r="R3788" s="32" t="n">
        <v>5.241</v>
      </c>
      <c r="S3788" s="35" t="n">
        <v>7.75</v>
      </c>
      <c r="T3788" s="18" t="n"/>
      <c r="U3788" s="18" t="n">
        <v>122810.36</v>
      </c>
      <c r="V3788" s="18" t="n"/>
      <c r="W3788" s="18" t="n"/>
      <c r="X3788" s="35" t="n">
        <v>7.75</v>
      </c>
      <c r="Y3788" s="35" t="n"/>
    </row>
    <row r="3789">
      <c r="A3789" s="25" t="n">
        <v>44417</v>
      </c>
      <c r="B3789" s="18" t="n">
        <v>123019.38</v>
      </c>
      <c r="C3789" s="31" t="n"/>
      <c r="D3789" s="32" t="n"/>
      <c r="E3789" s="33" t="n">
        <v>1.7867</v>
      </c>
      <c r="F3789" t="inlineStr">
        <is>
          <t>Up</t>
        </is>
      </c>
      <c r="G3789" t="inlineStr">
        <is>
          <t>Up</t>
        </is>
      </c>
      <c r="H3789" t="inlineStr">
        <is>
          <t>EU_JU</t>
        </is>
      </c>
      <c r="I3789" t="inlineStr">
        <is>
          <t>2021-08</t>
        </is>
      </c>
      <c r="J3789" t="n">
        <v>1</v>
      </c>
      <c r="K3789" t="n">
        <v>1</v>
      </c>
      <c r="L3789" s="34">
        <f>IF($J3789=1,LN(B3790/B3789),"")</f>
        <v/>
      </c>
      <c r="M3789" s="34">
        <f>IF($K3789=1,INDEX(Mensal!$D$2:$D$245,MATCH($I3789,Mensal!$A$2:$A$245,0)),"")</f>
        <v/>
      </c>
      <c r="N3789" s="34">
        <f>IF($K3789=1,L3789-M3789,"")</f>
        <v/>
      </c>
      <c r="O3789" s="34" t="n">
        <v>0.0001993</v>
      </c>
      <c r="P3789" s="34">
        <f>IF($J3789=1,LN(1+O3789),"")</f>
        <v/>
      </c>
      <c r="Q3789" s="34">
        <f>IF($J3789=1,LN(R3790/R3789),"")</f>
        <v/>
      </c>
      <c r="R3789" s="32" t="n">
        <v>5.2774</v>
      </c>
      <c r="S3789" s="35" t="n">
        <v>7.85</v>
      </c>
      <c r="T3789" s="18" t="n"/>
      <c r="U3789" s="18" t="n">
        <v>123019.38</v>
      </c>
      <c r="V3789" s="18" t="n"/>
      <c r="W3789" s="18" t="n"/>
      <c r="X3789" s="35" t="n">
        <v>7.85</v>
      </c>
      <c r="Y3789" s="35" t="n"/>
    </row>
    <row r="3790">
      <c r="A3790" s="25" t="n">
        <v>44418</v>
      </c>
      <c r="B3790" s="18" t="n">
        <v>122202.47</v>
      </c>
      <c r="C3790" s="31" t="n"/>
      <c r="D3790" s="32" t="n"/>
      <c r="E3790" s="33" t="n">
        <v>1.8086</v>
      </c>
      <c r="F3790" t="inlineStr">
        <is>
          <t>Up</t>
        </is>
      </c>
      <c r="G3790" t="inlineStr">
        <is>
          <t>Up</t>
        </is>
      </c>
      <c r="H3790" t="inlineStr">
        <is>
          <t>EU_JU</t>
        </is>
      </c>
      <c r="I3790" t="inlineStr">
        <is>
          <t>2021-08</t>
        </is>
      </c>
      <c r="J3790" t="n">
        <v>1</v>
      </c>
      <c r="K3790" t="n">
        <v>1</v>
      </c>
      <c r="L3790" s="34">
        <f>IF($J3790=1,LN(B3791/B3790),"")</f>
        <v/>
      </c>
      <c r="M3790" s="34">
        <f>IF($K3790=1,INDEX(Mensal!$D$2:$D$245,MATCH($I3790,Mensal!$A$2:$A$245,0)),"")</f>
        <v/>
      </c>
      <c r="N3790" s="34">
        <f>IF($K3790=1,L3790-M3790,"")</f>
        <v/>
      </c>
      <c r="O3790" s="34" t="n">
        <v>0.0001993</v>
      </c>
      <c r="P3790" s="34">
        <f>IF($J3790=1,LN(1+O3790),"")</f>
        <v/>
      </c>
      <c r="Q3790" s="34">
        <f>IF($J3790=1,LN(R3791/R3790),"")</f>
        <v/>
      </c>
      <c r="R3790" s="32" t="n">
        <v>5.2217</v>
      </c>
      <c r="S3790" s="35" t="n">
        <v>7.74</v>
      </c>
      <c r="T3790" s="18" t="n"/>
      <c r="U3790" s="18" t="n">
        <v>122202.47</v>
      </c>
      <c r="V3790" s="18" t="n"/>
      <c r="W3790" s="18" t="n"/>
      <c r="X3790" s="35" t="n">
        <v>7.74</v>
      </c>
      <c r="Y3790" s="35" t="n"/>
    </row>
    <row r="3791">
      <c r="A3791" s="25" t="n">
        <v>44419</v>
      </c>
      <c r="B3791" s="18" t="n">
        <v>122056.34</v>
      </c>
      <c r="C3791" s="31" t="n"/>
      <c r="D3791" s="32" t="n"/>
      <c r="E3791" s="33" t="n">
        <v>1.829</v>
      </c>
      <c r="F3791" t="inlineStr">
        <is>
          <t>Up</t>
        </is>
      </c>
      <c r="G3791" t="inlineStr">
        <is>
          <t>Up</t>
        </is>
      </c>
      <c r="H3791" t="inlineStr">
        <is>
          <t>EU_JU</t>
        </is>
      </c>
      <c r="I3791" t="inlineStr">
        <is>
          <t>2021-08</t>
        </is>
      </c>
      <c r="J3791" t="n">
        <v>1</v>
      </c>
      <c r="K3791" t="n">
        <v>1</v>
      </c>
      <c r="L3791" s="34">
        <f>IF($J3791=1,LN(B3792/B3791),"")</f>
        <v/>
      </c>
      <c r="M3791" s="34">
        <f>IF($K3791=1,INDEX(Mensal!$D$2:$D$245,MATCH($I3791,Mensal!$A$2:$A$245,0)),"")</f>
        <v/>
      </c>
      <c r="N3791" s="34">
        <f>IF($K3791=1,L3791-M3791,"")</f>
        <v/>
      </c>
      <c r="O3791" s="34" t="n">
        <v>0.0001993</v>
      </c>
      <c r="P3791" s="34">
        <f>IF($J3791=1,LN(1+O3791),"")</f>
        <v/>
      </c>
      <c r="Q3791" s="34">
        <f>IF($J3791=1,LN(R3792/R3791),"")</f>
        <v/>
      </c>
      <c r="R3791" s="32" t="n">
        <v>5.2013</v>
      </c>
      <c r="S3791" s="35" t="n">
        <v>7.77</v>
      </c>
      <c r="T3791" s="18" t="n"/>
      <c r="U3791" s="18" t="n">
        <v>122056.34</v>
      </c>
      <c r="V3791" s="18" t="n"/>
      <c r="W3791" s="18" t="n"/>
      <c r="X3791" s="35" t="n">
        <v>7.77</v>
      </c>
      <c r="Y3791" s="35" t="n"/>
    </row>
    <row r="3792">
      <c r="A3792" s="25" t="n">
        <v>44420</v>
      </c>
      <c r="B3792" s="18" t="n">
        <v>120700.98</v>
      </c>
      <c r="C3792" s="31" t="n"/>
      <c r="D3792" s="32" t="n"/>
      <c r="E3792" s="33" t="n">
        <v>1.8434</v>
      </c>
      <c r="F3792" t="inlineStr">
        <is>
          <t>Up</t>
        </is>
      </c>
      <c r="G3792" t="inlineStr">
        <is>
          <t>Up</t>
        </is>
      </c>
      <c r="H3792" t="inlineStr">
        <is>
          <t>EU_JU</t>
        </is>
      </c>
      <c r="I3792" t="inlineStr">
        <is>
          <t>2021-08</t>
        </is>
      </c>
      <c r="J3792" t="n">
        <v>1</v>
      </c>
      <c r="K3792" t="n">
        <v>1</v>
      </c>
      <c r="L3792" s="34">
        <f>IF($J3792=1,LN(B3793/B3792),"")</f>
        <v/>
      </c>
      <c r="M3792" s="34">
        <f>IF($K3792=1,INDEX(Mensal!$D$2:$D$245,MATCH($I3792,Mensal!$A$2:$A$245,0)),"")</f>
        <v/>
      </c>
      <c r="N3792" s="34">
        <f>IF($K3792=1,L3792-M3792,"")</f>
        <v/>
      </c>
      <c r="O3792" s="34" t="n">
        <v>0.0001993</v>
      </c>
      <c r="P3792" s="34">
        <f>IF($J3792=1,LN(1+O3792),"")</f>
        <v/>
      </c>
      <c r="Q3792" s="34">
        <f>IF($J3792=1,LN(R3793/R3792),"")</f>
        <v/>
      </c>
      <c r="R3792" s="32" t="n">
        <v>5.2351</v>
      </c>
      <c r="S3792" s="35" t="n">
        <v>7.87</v>
      </c>
      <c r="T3792" s="18" t="n"/>
      <c r="U3792" s="18" t="n">
        <v>120700.98</v>
      </c>
      <c r="V3792" s="18" t="n"/>
      <c r="W3792" s="18" t="n"/>
      <c r="X3792" s="35" t="n">
        <v>7.87</v>
      </c>
      <c r="Y3792" s="35" t="n"/>
    </row>
    <row r="3793">
      <c r="A3793" s="25" t="n">
        <v>44421</v>
      </c>
      <c r="B3793" s="18" t="n">
        <v>121193.75</v>
      </c>
      <c r="C3793" s="31" t="n"/>
      <c r="D3793" s="32" t="n"/>
      <c r="E3793" s="33" t="n">
        <v>1.8433</v>
      </c>
      <c r="F3793" t="inlineStr">
        <is>
          <t>Up</t>
        </is>
      </c>
      <c r="G3793" t="inlineStr">
        <is>
          <t>Up</t>
        </is>
      </c>
      <c r="H3793" t="inlineStr">
        <is>
          <t>EU_JU</t>
        </is>
      </c>
      <c r="I3793" t="inlineStr">
        <is>
          <t>2021-08</t>
        </is>
      </c>
      <c r="J3793" t="n">
        <v>1</v>
      </c>
      <c r="K3793" t="n">
        <v>1</v>
      </c>
      <c r="L3793" s="34">
        <f>IF($J3793=1,LN(B3794/B3793),"")</f>
        <v/>
      </c>
      <c r="M3793" s="34">
        <f>IF($K3793=1,INDEX(Mensal!$D$2:$D$245,MATCH($I3793,Mensal!$A$2:$A$245,0)),"")</f>
        <v/>
      </c>
      <c r="N3793" s="34">
        <f>IF($K3793=1,L3793-M3793,"")</f>
        <v/>
      </c>
      <c r="O3793" s="34" t="n">
        <v>0.0001993</v>
      </c>
      <c r="P3793" s="34">
        <f>IF($J3793=1,LN(1+O3793),"")</f>
        <v/>
      </c>
      <c r="Q3793" s="34">
        <f>IF($J3793=1,LN(R3794/R3793),"")</f>
        <v/>
      </c>
      <c r="R3793" s="32" t="n">
        <v>5.2474</v>
      </c>
      <c r="S3793" s="35" t="n">
        <v>7.95</v>
      </c>
      <c r="T3793" s="18" t="n"/>
      <c r="U3793" s="18" t="n">
        <v>121193.75</v>
      </c>
      <c r="V3793" s="18" t="n"/>
      <c r="W3793" s="18" t="n"/>
      <c r="X3793" s="35" t="n">
        <v>7.95</v>
      </c>
      <c r="Y3793" s="35" t="n"/>
    </row>
    <row r="3794">
      <c r="A3794" s="25" t="n">
        <v>44424</v>
      </c>
      <c r="B3794" s="18" t="n">
        <v>119180.03</v>
      </c>
      <c r="C3794" s="31" t="n"/>
      <c r="D3794" s="32" t="n"/>
      <c r="E3794" s="33" t="n">
        <v>1.8323</v>
      </c>
      <c r="F3794" t="inlineStr">
        <is>
          <t>Up</t>
        </is>
      </c>
      <c r="G3794" t="inlineStr">
        <is>
          <t>Up</t>
        </is>
      </c>
      <c r="H3794" t="inlineStr">
        <is>
          <t>EU_JU</t>
        </is>
      </c>
      <c r="I3794" t="inlineStr">
        <is>
          <t>2021-08</t>
        </is>
      </c>
      <c r="J3794" t="n">
        <v>1</v>
      </c>
      <c r="K3794" t="n">
        <v>1</v>
      </c>
      <c r="L3794" s="34">
        <f>IF($J3794=1,LN(B3795/B3794),"")</f>
        <v/>
      </c>
      <c r="M3794" s="34">
        <f>IF($K3794=1,INDEX(Mensal!$D$2:$D$245,MATCH($I3794,Mensal!$A$2:$A$245,0)),"")</f>
        <v/>
      </c>
      <c r="N3794" s="34">
        <f>IF($K3794=1,L3794-M3794,"")</f>
        <v/>
      </c>
      <c r="O3794" s="34" t="n">
        <v>0.0001993</v>
      </c>
      <c r="P3794" s="34">
        <f>IF($J3794=1,LN(1+O3794),"")</f>
        <v/>
      </c>
      <c r="Q3794" s="34">
        <f>IF($J3794=1,LN(R3795/R3794),"")</f>
        <v/>
      </c>
      <c r="R3794" s="32" t="n">
        <v>5.2495</v>
      </c>
      <c r="S3794" s="35" t="n">
        <v>8</v>
      </c>
      <c r="T3794" s="18" t="n"/>
      <c r="U3794" s="18" t="n">
        <v>119180.03</v>
      </c>
      <c r="V3794" s="18" t="n"/>
      <c r="W3794" s="18" t="n"/>
      <c r="X3794" s="35" t="n">
        <v>8</v>
      </c>
      <c r="Y3794" s="35" t="n"/>
    </row>
    <row r="3795">
      <c r="A3795" s="25" t="n">
        <v>44425</v>
      </c>
      <c r="B3795" s="18" t="n">
        <v>117903.81</v>
      </c>
      <c r="C3795" s="31" t="n"/>
      <c r="D3795" s="32" t="n"/>
      <c r="E3795" s="33" t="n">
        <v>1.8407</v>
      </c>
      <c r="F3795" t="inlineStr">
        <is>
          <t>Up</t>
        </is>
      </c>
      <c r="G3795" t="inlineStr">
        <is>
          <t>Up</t>
        </is>
      </c>
      <c r="H3795" t="inlineStr">
        <is>
          <t>EU_JU</t>
        </is>
      </c>
      <c r="I3795" t="inlineStr">
        <is>
          <t>2021-08</t>
        </is>
      </c>
      <c r="J3795" t="n">
        <v>1</v>
      </c>
      <c r="K3795" t="n">
        <v>1</v>
      </c>
      <c r="L3795" s="34">
        <f>IF($J3795=1,LN(B3796/B3795),"")</f>
        <v/>
      </c>
      <c r="M3795" s="34">
        <f>IF($K3795=1,INDEX(Mensal!$D$2:$D$245,MATCH($I3795,Mensal!$A$2:$A$245,0)),"")</f>
        <v/>
      </c>
      <c r="N3795" s="34">
        <f>IF($K3795=1,L3795-M3795,"")</f>
        <v/>
      </c>
      <c r="O3795" s="34" t="n">
        <v>0.0001993</v>
      </c>
      <c r="P3795" s="34">
        <f>IF($J3795=1,LN(1+O3795),"")</f>
        <v/>
      </c>
      <c r="Q3795" s="34">
        <f>IF($J3795=1,LN(R3796/R3795),"")</f>
        <v/>
      </c>
      <c r="R3795" s="32" t="n">
        <v>5.2585</v>
      </c>
      <c r="S3795" s="35" t="n">
        <v>8.02</v>
      </c>
      <c r="T3795" s="18" t="n"/>
      <c r="U3795" s="18" t="n">
        <v>117903.81</v>
      </c>
      <c r="V3795" s="18" t="n"/>
      <c r="W3795" s="18" t="n"/>
      <c r="X3795" s="35" t="n">
        <v>8.02</v>
      </c>
      <c r="Y3795" s="35" t="n"/>
    </row>
    <row r="3796">
      <c r="A3796" s="25" t="n">
        <v>44426</v>
      </c>
      <c r="B3796" s="18" t="n">
        <v>116642.62</v>
      </c>
      <c r="C3796" s="31" t="n"/>
      <c r="D3796" s="32" t="n"/>
      <c r="E3796" s="33" t="n">
        <v>1.844</v>
      </c>
      <c r="F3796" t="inlineStr">
        <is>
          <t>Up</t>
        </is>
      </c>
      <c r="G3796" t="inlineStr">
        <is>
          <t>Up</t>
        </is>
      </c>
      <c r="H3796" t="inlineStr">
        <is>
          <t>EU_JU</t>
        </is>
      </c>
      <c r="I3796" t="inlineStr">
        <is>
          <t>2021-08</t>
        </is>
      </c>
      <c r="J3796" t="n">
        <v>1</v>
      </c>
      <c r="K3796" t="n">
        <v>1</v>
      </c>
      <c r="L3796" s="34">
        <f>IF($J3796=1,LN(B3797/B3796),"")</f>
        <v/>
      </c>
      <c r="M3796" s="34">
        <f>IF($K3796=1,INDEX(Mensal!$D$2:$D$245,MATCH($I3796,Mensal!$A$2:$A$245,0)),"")</f>
        <v/>
      </c>
      <c r="N3796" s="34">
        <f>IF($K3796=1,L3796-M3796,"")</f>
        <v/>
      </c>
      <c r="O3796" s="34" t="n">
        <v>0.0001993</v>
      </c>
      <c r="P3796" s="34">
        <f>IF($J3796=1,LN(1+O3796),"")</f>
        <v/>
      </c>
      <c r="Q3796" s="34">
        <f>IF($J3796=1,LN(R3797/R3796),"")</f>
        <v/>
      </c>
      <c r="R3796" s="32" t="n">
        <v>5.3025</v>
      </c>
      <c r="S3796" s="35" t="n">
        <v>8.119999999999999</v>
      </c>
      <c r="T3796" s="18" t="n"/>
      <c r="U3796" s="18" t="n">
        <v>116642.62</v>
      </c>
      <c r="V3796" s="18" t="n"/>
      <c r="W3796" s="18" t="n"/>
      <c r="X3796" s="35" t="n">
        <v>8.119999999999999</v>
      </c>
      <c r="Y3796" s="35" t="n"/>
    </row>
    <row r="3797">
      <c r="A3797" s="25" t="n">
        <v>44427</v>
      </c>
      <c r="B3797" s="18" t="n">
        <v>117164.69</v>
      </c>
      <c r="C3797" s="31" t="n"/>
      <c r="D3797" s="32" t="n"/>
      <c r="E3797" s="33" t="n">
        <v>1.8469</v>
      </c>
      <c r="F3797" t="inlineStr">
        <is>
          <t>Up</t>
        </is>
      </c>
      <c r="G3797" t="inlineStr">
        <is>
          <t>Up</t>
        </is>
      </c>
      <c r="H3797" t="inlineStr">
        <is>
          <t>EU_JU</t>
        </is>
      </c>
      <c r="I3797" t="inlineStr">
        <is>
          <t>2021-08</t>
        </is>
      </c>
      <c r="J3797" t="n">
        <v>1</v>
      </c>
      <c r="K3797" t="n">
        <v>1</v>
      </c>
      <c r="L3797" s="34">
        <f>IF($J3797=1,LN(B3798/B3797),"")</f>
        <v/>
      </c>
      <c r="M3797" s="34">
        <f>IF($K3797=1,INDEX(Mensal!$D$2:$D$245,MATCH($I3797,Mensal!$A$2:$A$245,0)),"")</f>
        <v/>
      </c>
      <c r="N3797" s="34">
        <f>IF($K3797=1,L3797-M3797,"")</f>
        <v/>
      </c>
      <c r="O3797" s="34" t="n">
        <v>0.0001993</v>
      </c>
      <c r="P3797" s="34">
        <f>IF($J3797=1,LN(1+O3797),"")</f>
        <v/>
      </c>
      <c r="Q3797" s="34">
        <f>IF($J3797=1,LN(R3798/R3797),"")</f>
        <v/>
      </c>
      <c r="R3797" s="32" t="n">
        <v>5.418</v>
      </c>
      <c r="S3797" s="35" t="n">
        <v>8.15</v>
      </c>
      <c r="T3797" s="18" t="n"/>
      <c r="U3797" s="18" t="n">
        <v>117164.69</v>
      </c>
      <c r="V3797" s="18" t="n"/>
      <c r="W3797" s="18" t="n"/>
      <c r="X3797" s="35" t="n">
        <v>8.15</v>
      </c>
      <c r="Y3797" s="35" t="n"/>
    </row>
    <row r="3798">
      <c r="A3798" s="25" t="n">
        <v>44428</v>
      </c>
      <c r="B3798" s="18" t="n">
        <v>118052.77</v>
      </c>
      <c r="C3798" s="31" t="n"/>
      <c r="D3798" s="32" t="n"/>
      <c r="E3798" s="33" t="n">
        <v>1.838</v>
      </c>
      <c r="F3798" t="inlineStr">
        <is>
          <t>Up</t>
        </is>
      </c>
      <c r="G3798" t="inlineStr">
        <is>
          <t>Up</t>
        </is>
      </c>
      <c r="H3798" t="inlineStr">
        <is>
          <t>EU_JU</t>
        </is>
      </c>
      <c r="I3798" t="inlineStr">
        <is>
          <t>2021-08</t>
        </is>
      </c>
      <c r="J3798" t="n">
        <v>1</v>
      </c>
      <c r="K3798" t="n">
        <v>1</v>
      </c>
      <c r="L3798" s="34">
        <f>IF($J3798=1,LN(B3799/B3798),"")</f>
        <v/>
      </c>
      <c r="M3798" s="34">
        <f>IF($K3798=1,INDEX(Mensal!$D$2:$D$245,MATCH($I3798,Mensal!$A$2:$A$245,0)),"")</f>
        <v/>
      </c>
      <c r="N3798" s="34">
        <f>IF($K3798=1,L3798-M3798,"")</f>
        <v/>
      </c>
      <c r="O3798" s="34" t="n">
        <v>0.0001993</v>
      </c>
      <c r="P3798" s="34">
        <f>IF($J3798=1,LN(1+O3798),"")</f>
        <v/>
      </c>
      <c r="Q3798" s="34">
        <f>IF($J3798=1,LN(R3799/R3798),"")</f>
        <v/>
      </c>
      <c r="R3798" s="32" t="n">
        <v>5.4274</v>
      </c>
      <c r="S3798" s="35" t="n">
        <v>8.119999999999999</v>
      </c>
      <c r="T3798" s="18" t="n"/>
      <c r="U3798" s="18" t="n">
        <v>118052.77</v>
      </c>
      <c r="V3798" s="18" t="n"/>
      <c r="W3798" s="18" t="n"/>
      <c r="X3798" s="35" t="n">
        <v>8.119999999999999</v>
      </c>
      <c r="Y3798" s="35" t="n"/>
    </row>
    <row r="3799">
      <c r="A3799" s="25" t="n">
        <v>44431</v>
      </c>
      <c r="B3799" s="18" t="n">
        <v>117471.67</v>
      </c>
      <c r="C3799" s="31" t="n"/>
      <c r="D3799" s="32" t="n"/>
      <c r="E3799" s="33" t="n">
        <v>1.8266</v>
      </c>
      <c r="F3799" t="inlineStr">
        <is>
          <t>Up</t>
        </is>
      </c>
      <c r="G3799" t="inlineStr">
        <is>
          <t>Up</t>
        </is>
      </c>
      <c r="H3799" t="inlineStr">
        <is>
          <t>EU_JU</t>
        </is>
      </c>
      <c r="I3799" t="inlineStr">
        <is>
          <t>2021-08</t>
        </is>
      </c>
      <c r="J3799" t="n">
        <v>1</v>
      </c>
      <c r="K3799" t="n">
        <v>1</v>
      </c>
      <c r="L3799" s="34">
        <f>IF($J3799=1,LN(B3800/B3799),"")</f>
        <v/>
      </c>
      <c r="M3799" s="34">
        <f>IF($K3799=1,INDEX(Mensal!$D$2:$D$245,MATCH($I3799,Mensal!$A$2:$A$245,0)),"")</f>
        <v/>
      </c>
      <c r="N3799" s="34">
        <f>IF($K3799=1,L3799-M3799,"")</f>
        <v/>
      </c>
      <c r="O3799" s="34" t="n">
        <v>0.0001993</v>
      </c>
      <c r="P3799" s="34">
        <f>IF($J3799=1,LN(1+O3799),"")</f>
        <v/>
      </c>
      <c r="Q3799" s="34">
        <f>IF($J3799=1,LN(R3800/R3799),"")</f>
        <v/>
      </c>
      <c r="R3799" s="32" t="n">
        <v>5.3686</v>
      </c>
      <c r="S3799" s="35" t="n">
        <v>8.19</v>
      </c>
      <c r="T3799" s="18" t="n"/>
      <c r="U3799" s="18" t="n">
        <v>117471.67</v>
      </c>
      <c r="V3799" s="18" t="n"/>
      <c r="W3799" s="18" t="n"/>
      <c r="X3799" s="35" t="n">
        <v>8.19</v>
      </c>
      <c r="Y3799" s="35" t="n"/>
    </row>
    <row r="3800">
      <c r="A3800" s="25" t="n">
        <v>44432</v>
      </c>
      <c r="B3800" s="18" t="n">
        <v>120210.75</v>
      </c>
      <c r="C3800" s="31" t="n"/>
      <c r="D3800" s="32" t="n"/>
      <c r="E3800" s="33" t="n">
        <v>1.8142</v>
      </c>
      <c r="F3800" t="inlineStr">
        <is>
          <t>Up</t>
        </is>
      </c>
      <c r="G3800" t="inlineStr">
        <is>
          <t>Up</t>
        </is>
      </c>
      <c r="H3800" t="inlineStr">
        <is>
          <t>EU_JU</t>
        </is>
      </c>
      <c r="I3800" t="inlineStr">
        <is>
          <t>2021-08</t>
        </is>
      </c>
      <c r="J3800" t="n">
        <v>1</v>
      </c>
      <c r="K3800" t="n">
        <v>1</v>
      </c>
      <c r="L3800" s="34">
        <f>IF($J3800=1,LN(B3801/B3800),"")</f>
        <v/>
      </c>
      <c r="M3800" s="34">
        <f>IF($K3800=1,INDEX(Mensal!$D$2:$D$245,MATCH($I3800,Mensal!$A$2:$A$245,0)),"")</f>
        <v/>
      </c>
      <c r="N3800" s="34">
        <f>IF($K3800=1,L3800-M3800,"")</f>
        <v/>
      </c>
      <c r="O3800" s="34" t="n">
        <v>0.0001993</v>
      </c>
      <c r="P3800" s="34">
        <f>IF($J3800=1,LN(1+O3800),"")</f>
        <v/>
      </c>
      <c r="Q3800" s="34">
        <f>IF($J3800=1,LN(R3801/R3800),"")</f>
        <v/>
      </c>
      <c r="R3800" s="32" t="n">
        <v>5.3017</v>
      </c>
      <c r="S3800" s="35" t="n">
        <v>8.119999999999999</v>
      </c>
      <c r="T3800" s="18" t="n"/>
      <c r="U3800" s="18" t="n">
        <v>120210.75</v>
      </c>
      <c r="V3800" s="18" t="n"/>
      <c r="W3800" s="18" t="n"/>
      <c r="X3800" s="35" t="n">
        <v>8.119999999999999</v>
      </c>
      <c r="Y3800" s="35" t="n"/>
    </row>
    <row r="3801">
      <c r="A3801" s="25" t="n">
        <v>44433</v>
      </c>
      <c r="B3801" s="18" t="n">
        <v>120817.71</v>
      </c>
      <c r="C3801" s="31" t="n"/>
      <c r="D3801" s="32" t="n"/>
      <c r="E3801" s="33" t="n">
        <v>1.7939</v>
      </c>
      <c r="F3801" t="inlineStr">
        <is>
          <t>Up</t>
        </is>
      </c>
      <c r="G3801" t="inlineStr">
        <is>
          <t>Up</t>
        </is>
      </c>
      <c r="H3801" t="inlineStr">
        <is>
          <t>EU_JU</t>
        </is>
      </c>
      <c r="I3801" t="inlineStr">
        <is>
          <t>2021-08</t>
        </is>
      </c>
      <c r="J3801" t="n">
        <v>1</v>
      </c>
      <c r="K3801" t="n">
        <v>1</v>
      </c>
      <c r="L3801" s="34">
        <f>IF($J3801=1,LN(B3802/B3801),"")</f>
        <v/>
      </c>
      <c r="M3801" s="34">
        <f>IF($K3801=1,INDEX(Mensal!$D$2:$D$245,MATCH($I3801,Mensal!$A$2:$A$245,0)),"")</f>
        <v/>
      </c>
      <c r="N3801" s="34">
        <f>IF($K3801=1,L3801-M3801,"")</f>
        <v/>
      </c>
      <c r="O3801" s="34" t="n">
        <v>0.0001993</v>
      </c>
      <c r="P3801" s="34">
        <f>IF($J3801=1,LN(1+O3801),"")</f>
        <v/>
      </c>
      <c r="Q3801" s="34">
        <f>IF($J3801=1,LN(R3802/R3801),"")</f>
        <v/>
      </c>
      <c r="R3801" s="32" t="n">
        <v>5.2465</v>
      </c>
      <c r="S3801" s="35" t="n">
        <v>8.17</v>
      </c>
      <c r="T3801" s="18" t="n"/>
      <c r="U3801" s="18" t="n">
        <v>120817.71</v>
      </c>
      <c r="V3801" s="18" t="n"/>
      <c r="W3801" s="18" t="n"/>
      <c r="X3801" s="35" t="n">
        <v>8.17</v>
      </c>
      <c r="Y3801" s="35" t="n"/>
    </row>
    <row r="3802">
      <c r="A3802" s="25" t="n">
        <v>44434</v>
      </c>
      <c r="B3802" s="18" t="n">
        <v>118723.97</v>
      </c>
      <c r="C3802" s="31" t="n"/>
      <c r="D3802" s="32" t="n"/>
      <c r="E3802" s="33" t="n">
        <v>1.7668</v>
      </c>
      <c r="F3802" t="inlineStr">
        <is>
          <t>Up</t>
        </is>
      </c>
      <c r="G3802" t="inlineStr">
        <is>
          <t>Up</t>
        </is>
      </c>
      <c r="H3802" t="inlineStr">
        <is>
          <t>EU_JU</t>
        </is>
      </c>
      <c r="I3802" t="inlineStr">
        <is>
          <t>2021-08</t>
        </is>
      </c>
      <c r="J3802" t="n">
        <v>1</v>
      </c>
      <c r="K3802" t="n">
        <v>1</v>
      </c>
      <c r="L3802" s="34">
        <f>IF($J3802=1,LN(B3803/B3802),"")</f>
        <v/>
      </c>
      <c r="M3802" s="34">
        <f>IF($K3802=1,INDEX(Mensal!$D$2:$D$245,MATCH($I3802,Mensal!$A$2:$A$245,0)),"")</f>
        <v/>
      </c>
      <c r="N3802" s="34">
        <f>IF($K3802=1,L3802-M3802,"")</f>
        <v/>
      </c>
      <c r="O3802" s="34" t="n">
        <v>0.0001993</v>
      </c>
      <c r="P3802" s="34">
        <f>IF($J3802=1,LN(1+O3802),"")</f>
        <v/>
      </c>
      <c r="Q3802" s="34">
        <f>IF($J3802=1,LN(R3803/R3802),"")</f>
        <v/>
      </c>
      <c r="R3802" s="32" t="n">
        <v>5.2429</v>
      </c>
      <c r="S3802" s="35" t="n">
        <v>8.199999999999999</v>
      </c>
      <c r="T3802" s="18" t="n"/>
      <c r="U3802" s="18" t="n">
        <v>118723.97</v>
      </c>
      <c r="V3802" s="18" t="n"/>
      <c r="W3802" s="18" t="n"/>
      <c r="X3802" s="35" t="n">
        <v>8.199999999999999</v>
      </c>
      <c r="Y3802" s="35" t="n"/>
    </row>
    <row r="3803">
      <c r="A3803" s="25" t="n">
        <v>44435</v>
      </c>
      <c r="B3803" s="18" t="n">
        <v>120677.6</v>
      </c>
      <c r="C3803" s="31" t="n"/>
      <c r="D3803" s="32" t="n"/>
      <c r="E3803" s="33" t="n">
        <v>1.7348</v>
      </c>
      <c r="F3803" t="inlineStr">
        <is>
          <t>Up</t>
        </is>
      </c>
      <c r="G3803" t="inlineStr">
        <is>
          <t>Up</t>
        </is>
      </c>
      <c r="H3803" t="inlineStr">
        <is>
          <t>EU_JU</t>
        </is>
      </c>
      <c r="I3803" t="inlineStr">
        <is>
          <t>2021-08</t>
        </is>
      </c>
      <c r="J3803" t="n">
        <v>1</v>
      </c>
      <c r="K3803" t="n">
        <v>1</v>
      </c>
      <c r="L3803" s="34">
        <f>IF($J3803=1,LN(B3804/B3803),"")</f>
        <v/>
      </c>
      <c r="M3803" s="34">
        <f>IF($K3803=1,INDEX(Mensal!$D$2:$D$245,MATCH($I3803,Mensal!$A$2:$A$245,0)),"")</f>
        <v/>
      </c>
      <c r="N3803" s="34">
        <f>IF($K3803=1,L3803-M3803,"")</f>
        <v/>
      </c>
      <c r="O3803" s="34" t="n">
        <v>0.0001993</v>
      </c>
      <c r="P3803" s="34">
        <f>IF($J3803=1,LN(1+O3803),"")</f>
        <v/>
      </c>
      <c r="Q3803" s="34">
        <f>IF($J3803=1,LN(R3804/R3803),"")</f>
        <v/>
      </c>
      <c r="R3803" s="32" t="n">
        <v>5.22</v>
      </c>
      <c r="S3803" s="35" t="n">
        <v>8.18</v>
      </c>
      <c r="T3803" s="18" t="n"/>
      <c r="U3803" s="18" t="n">
        <v>120677.6</v>
      </c>
      <c r="V3803" s="18" t="n"/>
      <c r="W3803" s="18" t="n"/>
      <c r="X3803" s="35" t="n">
        <v>8.18</v>
      </c>
      <c r="Y3803" s="35" t="n"/>
    </row>
    <row r="3804">
      <c r="A3804" s="25" t="n">
        <v>44438</v>
      </c>
      <c r="B3804" s="18" t="n">
        <v>119739.96</v>
      </c>
      <c r="C3804" s="31" t="n"/>
      <c r="D3804" s="32" t="n"/>
      <c r="E3804" s="33" t="n">
        <v>1.694</v>
      </c>
      <c r="F3804" t="inlineStr">
        <is>
          <t>Up</t>
        </is>
      </c>
      <c r="G3804" t="inlineStr">
        <is>
          <t>Up</t>
        </is>
      </c>
      <c r="H3804" t="inlineStr">
        <is>
          <t>EU_JU</t>
        </is>
      </c>
      <c r="I3804" t="inlineStr">
        <is>
          <t>2021-08</t>
        </is>
      </c>
      <c r="J3804" t="n">
        <v>1</v>
      </c>
      <c r="K3804" t="n">
        <v>1</v>
      </c>
      <c r="L3804" s="34">
        <f>IF($J3804=1,LN(B3805/B3804),"")</f>
        <v/>
      </c>
      <c r="M3804" s="34">
        <f>IF($K3804=1,INDEX(Mensal!$D$2:$D$245,MATCH($I3804,Mensal!$A$2:$A$245,0)),"")</f>
        <v/>
      </c>
      <c r="N3804" s="34">
        <f>IF($K3804=1,L3804-M3804,"")</f>
        <v/>
      </c>
      <c r="O3804" s="34" t="n">
        <v>0.0001993</v>
      </c>
      <c r="P3804" s="34">
        <f>IF($J3804=1,LN(1+O3804),"")</f>
        <v/>
      </c>
      <c r="Q3804" s="34">
        <f>IF($J3804=1,LN(R3805/R3804),"")</f>
        <v/>
      </c>
      <c r="R3804" s="32" t="n">
        <v>5.1952</v>
      </c>
      <c r="S3804" s="35" t="n">
        <v>8.140000000000001</v>
      </c>
      <c r="T3804" s="18" t="n"/>
      <c r="U3804" s="18" t="n">
        <v>119739.96</v>
      </c>
      <c r="V3804" s="18" t="n"/>
      <c r="W3804" s="18" t="n"/>
      <c r="X3804" s="35" t="n">
        <v>8.140000000000001</v>
      </c>
      <c r="Y3804" s="35" t="n"/>
    </row>
    <row r="3805">
      <c r="A3805" s="25" t="n">
        <v>44439</v>
      </c>
      <c r="B3805" s="18" t="n">
        <v>118781.03</v>
      </c>
      <c r="C3805" s="31" t="n"/>
      <c r="D3805" s="32" t="n"/>
      <c r="E3805" s="33" t="n">
        <v>1.6562</v>
      </c>
      <c r="F3805" t="inlineStr">
        <is>
          <t>Up</t>
        </is>
      </c>
      <c r="G3805" t="inlineStr">
        <is>
          <t>Up</t>
        </is>
      </c>
      <c r="H3805" t="inlineStr">
        <is>
          <t>EU_JU</t>
        </is>
      </c>
      <c r="I3805" t="inlineStr">
        <is>
          <t>2021-08</t>
        </is>
      </c>
      <c r="J3805" t="n">
        <v>1</v>
      </c>
      <c r="K3805" t="n">
        <v>1</v>
      </c>
      <c r="L3805" s="34">
        <f>IF($J3805=1,LN(B3806/B3805),"")</f>
        <v/>
      </c>
      <c r="M3805" s="34">
        <f>IF($K3805=1,INDEX(Mensal!$D$2:$D$245,MATCH($I3805,Mensal!$A$2:$A$245,0)),"")</f>
        <v/>
      </c>
      <c r="N3805" s="34">
        <f>IF($K3805=1,L3805-M3805,"")</f>
        <v/>
      </c>
      <c r="O3805" s="34" t="n">
        <v>0.0001993</v>
      </c>
      <c r="P3805" s="34">
        <f>IF($J3805=1,LN(1+O3805),"")</f>
        <v/>
      </c>
      <c r="Q3805" s="34">
        <f>IF($J3805=1,LN(R3806/R3805),"")</f>
        <v/>
      </c>
      <c r="R3805" s="32" t="n">
        <v>5.1433</v>
      </c>
      <c r="S3805" s="35" t="n">
        <v>8.18</v>
      </c>
      <c r="T3805" s="18" t="n"/>
      <c r="U3805" s="18" t="n">
        <v>118781.03</v>
      </c>
      <c r="V3805" s="18" t="n"/>
      <c r="W3805" s="18" t="n"/>
      <c r="X3805" s="35" t="n">
        <v>8.18</v>
      </c>
      <c r="Y3805" s="35" t="n"/>
    </row>
    <row r="3806">
      <c r="A3806" s="25" t="n">
        <v>44440</v>
      </c>
      <c r="B3806" s="18" t="n">
        <v>119395.6</v>
      </c>
      <c r="C3806" s="31" t="n"/>
      <c r="D3806" s="32" t="n"/>
      <c r="E3806" s="33" t="n">
        <v>1.6216</v>
      </c>
      <c r="F3806" t="inlineStr">
        <is>
          <t>Up</t>
        </is>
      </c>
      <c r="G3806" t="inlineStr">
        <is>
          <t>Up</t>
        </is>
      </c>
      <c r="H3806" t="inlineStr">
        <is>
          <t>EU_JU</t>
        </is>
      </c>
      <c r="I3806" t="inlineStr">
        <is>
          <t>2021-09</t>
        </is>
      </c>
      <c r="J3806" t="n">
        <v>1</v>
      </c>
      <c r="K3806" t="n">
        <v>1</v>
      </c>
      <c r="L3806" s="34">
        <f>IF($J3806=1,LN(B3807/B3806),"")</f>
        <v/>
      </c>
      <c r="M3806" s="34">
        <f>IF($K3806=1,INDEX(Mensal!$D$2:$D$245,MATCH($I3806,Mensal!$A$2:$A$245,0)),"")</f>
        <v/>
      </c>
      <c r="N3806" s="34">
        <f>IF($K3806=1,L3806-M3806,"")</f>
        <v/>
      </c>
      <c r="O3806" s="34" t="n">
        <v>0.0001993</v>
      </c>
      <c r="P3806" s="34">
        <f>IF($J3806=1,LN(1+O3806),"")</f>
        <v/>
      </c>
      <c r="Q3806" s="34">
        <f>IF($J3806=1,LN(R3807/R3806),"")</f>
        <v/>
      </c>
      <c r="R3806" s="32" t="n">
        <v>5.1576</v>
      </c>
      <c r="S3806" s="35" t="n">
        <v>8.26</v>
      </c>
      <c r="T3806" s="18" t="n"/>
      <c r="U3806" s="18" t="n">
        <v>119395.6</v>
      </c>
      <c r="V3806" s="18" t="n"/>
      <c r="W3806" s="18" t="n"/>
      <c r="X3806" s="35" t="n">
        <v>8.26</v>
      </c>
      <c r="Y3806" s="35" t="n"/>
    </row>
    <row r="3807">
      <c r="A3807" s="25" t="n">
        <v>44441</v>
      </c>
      <c r="B3807" s="18" t="n">
        <v>116677.08</v>
      </c>
      <c r="C3807" s="31" t="n"/>
      <c r="D3807" s="32" t="n"/>
      <c r="E3807" s="33" t="n">
        <v>1.5819</v>
      </c>
      <c r="F3807" t="inlineStr">
        <is>
          <t>Up</t>
        </is>
      </c>
      <c r="G3807" t="inlineStr">
        <is>
          <t>Up</t>
        </is>
      </c>
      <c r="H3807" t="inlineStr">
        <is>
          <t>EU_JU</t>
        </is>
      </c>
      <c r="I3807" t="inlineStr">
        <is>
          <t>2021-09</t>
        </is>
      </c>
      <c r="J3807" t="n">
        <v>1</v>
      </c>
      <c r="K3807" t="n">
        <v>1</v>
      </c>
      <c r="L3807" s="34">
        <f>IF($J3807=1,LN(B3808/B3807),"")</f>
        <v/>
      </c>
      <c r="M3807" s="34">
        <f>IF($K3807=1,INDEX(Mensal!$D$2:$D$245,MATCH($I3807,Mensal!$A$2:$A$245,0)),"")</f>
        <v/>
      </c>
      <c r="N3807" s="34">
        <f>IF($K3807=1,L3807-M3807,"")</f>
        <v/>
      </c>
      <c r="O3807" s="34" t="n">
        <v>0.0001993</v>
      </c>
      <c r="P3807" s="34">
        <f>IF($J3807=1,LN(1+O3807),"")</f>
        <v/>
      </c>
      <c r="Q3807" s="34">
        <f>IF($J3807=1,LN(R3808/R3807),"")</f>
        <v/>
      </c>
      <c r="R3807" s="32" t="n">
        <v>5.1735</v>
      </c>
      <c r="S3807" s="35" t="n">
        <v>8.369999999999999</v>
      </c>
      <c r="T3807" s="18" t="n"/>
      <c r="U3807" s="18" t="n">
        <v>116677.08</v>
      </c>
      <c r="V3807" s="18" t="n"/>
      <c r="W3807" s="18" t="n"/>
      <c r="X3807" s="35" t="n">
        <v>8.369999999999999</v>
      </c>
      <c r="Y3807" s="35" t="n"/>
    </row>
    <row r="3808">
      <c r="A3808" s="25" t="n">
        <v>44442</v>
      </c>
      <c r="B3808" s="18" t="n">
        <v>116933.24</v>
      </c>
      <c r="C3808" s="31" t="n"/>
      <c r="D3808" s="32" t="n"/>
      <c r="E3808" s="33" t="n">
        <v>1.5359</v>
      </c>
      <c r="F3808" t="inlineStr">
        <is>
          <t>Up</t>
        </is>
      </c>
      <c r="G3808" t="inlineStr">
        <is>
          <t>Up</t>
        </is>
      </c>
      <c r="H3808" t="inlineStr">
        <is>
          <t>EU_JU</t>
        </is>
      </c>
      <c r="I3808" t="inlineStr">
        <is>
          <t>2021-09</t>
        </is>
      </c>
      <c r="J3808" t="n">
        <v>1</v>
      </c>
      <c r="K3808" t="n">
        <v>1</v>
      </c>
      <c r="L3808" s="34">
        <f>IF($J3808=1,LN(B3809/B3808),"")</f>
        <v/>
      </c>
      <c r="M3808" s="34">
        <f>IF($K3808=1,INDEX(Mensal!$D$2:$D$245,MATCH($I3808,Mensal!$A$2:$A$245,0)),"")</f>
        <v/>
      </c>
      <c r="N3808" s="34">
        <f>IF($K3808=1,L3808-M3808,"")</f>
        <v/>
      </c>
      <c r="O3808" s="34" t="n">
        <v>0.0001993</v>
      </c>
      <c r="P3808" s="34">
        <f>IF($J3808=1,LN(1+O3808),"")</f>
        <v/>
      </c>
      <c r="Q3808" s="34">
        <f>IF($J3808=1,LN(R3809/R3808),"")</f>
        <v/>
      </c>
      <c r="R3808" s="32" t="n">
        <v>5.1685</v>
      </c>
      <c r="S3808" s="35" t="n">
        <v>8.380000000000001</v>
      </c>
      <c r="T3808" s="18" t="n"/>
      <c r="U3808" s="18" t="n">
        <v>116933.24</v>
      </c>
      <c r="V3808" s="18" t="n"/>
      <c r="W3808" s="18" t="n"/>
      <c r="X3808" s="35" t="n">
        <v>8.380000000000001</v>
      </c>
      <c r="Y3808" s="35" t="n"/>
    </row>
    <row r="3809">
      <c r="A3809" s="25" t="n">
        <v>44445</v>
      </c>
      <c r="B3809" s="18" t="n">
        <v>117868.63</v>
      </c>
      <c r="C3809" s="31" t="n"/>
      <c r="D3809" s="32" t="n"/>
      <c r="E3809" s="33" t="n">
        <v>1.5107</v>
      </c>
      <c r="F3809" t="inlineStr">
        <is>
          <t>Up</t>
        </is>
      </c>
      <c r="G3809" t="inlineStr">
        <is>
          <t>Up</t>
        </is>
      </c>
      <c r="H3809" t="inlineStr">
        <is>
          <t>EU_JU</t>
        </is>
      </c>
      <c r="I3809" t="inlineStr">
        <is>
          <t>2021-09</t>
        </is>
      </c>
      <c r="J3809" t="n">
        <v>1</v>
      </c>
      <c r="K3809" t="n">
        <v>1</v>
      </c>
      <c r="L3809" s="34">
        <f>IF($J3809=1,LN(B3810/B3809),"")</f>
        <v/>
      </c>
      <c r="M3809" s="34">
        <f>IF($K3809=1,INDEX(Mensal!$D$2:$D$245,MATCH($I3809,Mensal!$A$2:$A$245,0)),"")</f>
        <v/>
      </c>
      <c r="N3809" s="34">
        <f>IF($K3809=1,L3809-M3809,"")</f>
        <v/>
      </c>
      <c r="O3809" s="34" t="n">
        <v>0.0001993</v>
      </c>
      <c r="P3809" s="34">
        <f>IF($J3809=1,LN(1+O3809),"")</f>
        <v/>
      </c>
      <c r="Q3809" s="34">
        <f>IF($J3809=1,LN(R3810/R3809),"")</f>
        <v/>
      </c>
      <c r="R3809" s="32" t="n">
        <v>5.1773</v>
      </c>
      <c r="S3809" s="35" t="n">
        <v>8.359999999999999</v>
      </c>
      <c r="T3809" s="18" t="n"/>
      <c r="U3809" s="18" t="n">
        <v>117868.63</v>
      </c>
      <c r="V3809" s="18" t="n"/>
      <c r="W3809" s="18" t="n"/>
      <c r="X3809" s="35" t="n">
        <v>8.359999999999999</v>
      </c>
      <c r="Y3809" s="35" t="n"/>
    </row>
    <row r="3810">
      <c r="A3810" s="25" t="n">
        <v>44447</v>
      </c>
      <c r="B3810" s="18" t="n">
        <v>113412.84</v>
      </c>
      <c r="C3810" s="31" t="n"/>
      <c r="D3810" s="32" t="n"/>
      <c r="E3810" s="33" t="n">
        <v>1.4813</v>
      </c>
      <c r="F3810" t="inlineStr">
        <is>
          <t>Up</t>
        </is>
      </c>
      <c r="G3810" t="inlineStr">
        <is>
          <t>Up</t>
        </is>
      </c>
      <c r="H3810" t="inlineStr">
        <is>
          <t>EU_JU</t>
        </is>
      </c>
      <c r="I3810" t="inlineStr">
        <is>
          <t>2021-09</t>
        </is>
      </c>
      <c r="J3810" t="n">
        <v>1</v>
      </c>
      <c r="K3810" t="n">
        <v>1</v>
      </c>
      <c r="L3810" s="34">
        <f>IF($J3810=1,LN(B3811/B3810),"")</f>
        <v/>
      </c>
      <c r="M3810" s="34">
        <f>IF($K3810=1,INDEX(Mensal!$D$2:$D$245,MATCH($I3810,Mensal!$A$2:$A$245,0)),"")</f>
        <v/>
      </c>
      <c r="N3810" s="34">
        <f>IF($K3810=1,L3810-M3810,"")</f>
        <v/>
      </c>
      <c r="O3810" s="34" t="n">
        <v>0.0001993</v>
      </c>
      <c r="P3810" s="34">
        <f>IF($J3810=1,LN(1+O3810),"")</f>
        <v/>
      </c>
      <c r="Q3810" s="34">
        <f>IF($J3810=1,LN(R3811/R3810),"")</f>
        <v/>
      </c>
      <c r="R3810" s="32" t="n">
        <v>5.2524</v>
      </c>
      <c r="S3810" s="35" t="n">
        <v>8.5</v>
      </c>
      <c r="T3810" s="18" t="n"/>
      <c r="U3810" s="18" t="n">
        <v>113412.84</v>
      </c>
      <c r="V3810" s="18" t="n"/>
      <c r="W3810" s="18" t="n"/>
      <c r="X3810" s="35" t="n">
        <v>8.5</v>
      </c>
      <c r="Y3810" s="35" t="n"/>
    </row>
    <row r="3811">
      <c r="A3811" s="25" t="n">
        <v>44448</v>
      </c>
      <c r="B3811" s="18" t="n">
        <v>115360.86</v>
      </c>
      <c r="C3811" s="31" t="n"/>
      <c r="D3811" s="32" t="n"/>
      <c r="E3811" s="33" t="n">
        <v>1.4621</v>
      </c>
      <c r="F3811" t="inlineStr">
        <is>
          <t>Up</t>
        </is>
      </c>
      <c r="G3811" t="inlineStr">
        <is>
          <t>Up</t>
        </is>
      </c>
      <c r="H3811" t="inlineStr">
        <is>
          <t>EU_JU</t>
        </is>
      </c>
      <c r="I3811" t="inlineStr">
        <is>
          <t>2021-09</t>
        </is>
      </c>
      <c r="J3811" t="n">
        <v>1</v>
      </c>
      <c r="K3811" t="n">
        <v>1</v>
      </c>
      <c r="L3811" s="34">
        <f>IF($J3811=1,LN(B3812/B3811),"")</f>
        <v/>
      </c>
      <c r="M3811" s="34">
        <f>IF($K3811=1,INDEX(Mensal!$D$2:$D$245,MATCH($I3811,Mensal!$A$2:$A$245,0)),"")</f>
        <v/>
      </c>
      <c r="N3811" s="34">
        <f>IF($K3811=1,L3811-M3811,"")</f>
        <v/>
      </c>
      <c r="O3811" s="34" t="n">
        <v>0.0001993</v>
      </c>
      <c r="P3811" s="34">
        <f>IF($J3811=1,LN(1+O3811),"")</f>
        <v/>
      </c>
      <c r="Q3811" s="34">
        <f>IF($J3811=1,LN(R3812/R3811),"")</f>
        <v/>
      </c>
      <c r="R3811" s="32" t="n">
        <v>5.2825</v>
      </c>
      <c r="S3811" s="35" t="n">
        <v>9.039999999999999</v>
      </c>
      <c r="T3811" s="18" t="n"/>
      <c r="U3811" s="18" t="n">
        <v>115360.86</v>
      </c>
      <c r="V3811" s="18" t="n"/>
      <c r="W3811" s="18" t="n"/>
      <c r="X3811" s="35" t="n">
        <v>9.039999999999999</v>
      </c>
      <c r="Y3811" s="35" t="n"/>
    </row>
    <row r="3812">
      <c r="A3812" s="25" t="n">
        <v>44449</v>
      </c>
      <c r="B3812" s="18" t="n">
        <v>114285.93</v>
      </c>
      <c r="C3812" s="31" t="n"/>
      <c r="D3812" s="32" t="n"/>
      <c r="E3812" s="33" t="n">
        <v>1.4325</v>
      </c>
      <c r="F3812" t="inlineStr">
        <is>
          <t>Up</t>
        </is>
      </c>
      <c r="G3812" t="inlineStr">
        <is>
          <t>Up</t>
        </is>
      </c>
      <c r="H3812" t="inlineStr">
        <is>
          <t>EU_JU</t>
        </is>
      </c>
      <c r="I3812" t="inlineStr">
        <is>
          <t>2021-09</t>
        </is>
      </c>
      <c r="J3812" t="n">
        <v>1</v>
      </c>
      <c r="K3812" t="n">
        <v>1</v>
      </c>
      <c r="L3812" s="34">
        <f>IF($J3812=1,LN(B3813/B3812),"")</f>
        <v/>
      </c>
      <c r="M3812" s="34">
        <f>IF($K3812=1,INDEX(Mensal!$D$2:$D$245,MATCH($I3812,Mensal!$A$2:$A$245,0)),"")</f>
        <v/>
      </c>
      <c r="N3812" s="34">
        <f>IF($K3812=1,L3812-M3812,"")</f>
        <v/>
      </c>
      <c r="O3812" s="34" t="n">
        <v>0.0001993</v>
      </c>
      <c r="P3812" s="34">
        <f>IF($J3812=1,LN(1+O3812),"")</f>
        <v/>
      </c>
      <c r="Q3812" s="34">
        <f>IF($J3812=1,LN(R3813/R3812),"")</f>
        <v/>
      </c>
      <c r="R3812" s="32" t="n">
        <v>5.2158</v>
      </c>
      <c r="S3812" s="35" t="n">
        <v>8.890000000000001</v>
      </c>
      <c r="T3812" s="18" t="n"/>
      <c r="U3812" s="18" t="n">
        <v>114285.93</v>
      </c>
      <c r="V3812" s="18" t="n"/>
      <c r="W3812" s="18" t="n"/>
      <c r="X3812" s="35" t="n">
        <v>8.890000000000001</v>
      </c>
      <c r="Y3812" s="35" t="n"/>
    </row>
    <row r="3813">
      <c r="A3813" s="25" t="n">
        <v>44452</v>
      </c>
      <c r="B3813" s="18" t="n">
        <v>116403.72</v>
      </c>
      <c r="C3813" s="31" t="n"/>
      <c r="D3813" s="32" t="n"/>
      <c r="E3813" s="33" t="n">
        <v>1.4002</v>
      </c>
      <c r="F3813" t="inlineStr">
        <is>
          <t>Up</t>
        </is>
      </c>
      <c r="G3813" t="inlineStr">
        <is>
          <t>Up</t>
        </is>
      </c>
      <c r="H3813" t="inlineStr">
        <is>
          <t>EU_JU</t>
        </is>
      </c>
      <c r="I3813" t="inlineStr">
        <is>
          <t>2021-09</t>
        </is>
      </c>
      <c r="J3813" t="n">
        <v>1</v>
      </c>
      <c r="K3813" t="n">
        <v>1</v>
      </c>
      <c r="L3813" s="34">
        <f>IF($J3813=1,LN(B3814/B3813),"")</f>
        <v/>
      </c>
      <c r="M3813" s="34">
        <f>IF($K3813=1,INDEX(Mensal!$D$2:$D$245,MATCH($I3813,Mensal!$A$2:$A$245,0)),"")</f>
        <v/>
      </c>
      <c r="N3813" s="34">
        <f>IF($K3813=1,L3813-M3813,"")</f>
        <v/>
      </c>
      <c r="O3813" s="34" t="n">
        <v>0.0001993</v>
      </c>
      <c r="P3813" s="34">
        <f>IF($J3813=1,LN(1+O3813),"")</f>
        <v/>
      </c>
      <c r="Q3813" s="34">
        <f>IF($J3813=1,LN(R3814/R3813),"")</f>
        <v/>
      </c>
      <c r="R3813" s="32" t="n">
        <v>5.219</v>
      </c>
      <c r="S3813" s="35" t="n">
        <v>8.92</v>
      </c>
      <c r="T3813" s="18" t="n"/>
      <c r="U3813" s="18" t="n">
        <v>116403.72</v>
      </c>
      <c r="V3813" s="18" t="n"/>
      <c r="W3813" s="18" t="n"/>
      <c r="X3813" s="35" t="n">
        <v>8.92</v>
      </c>
      <c r="Y3813" s="35" t="n"/>
    </row>
    <row r="3814">
      <c r="A3814" s="25" t="n">
        <v>44453</v>
      </c>
      <c r="B3814" s="18" t="n">
        <v>116180.55</v>
      </c>
      <c r="C3814" s="31" t="n"/>
      <c r="D3814" s="32" t="n"/>
      <c r="E3814" s="33" t="n">
        <v>1.363</v>
      </c>
      <c r="F3814" t="inlineStr">
        <is>
          <t>Up</t>
        </is>
      </c>
      <c r="G3814" t="inlineStr">
        <is>
          <t>Up</t>
        </is>
      </c>
      <c r="H3814" t="inlineStr">
        <is>
          <t>EU_JU</t>
        </is>
      </c>
      <c r="I3814" t="inlineStr">
        <is>
          <t>2021-09</t>
        </is>
      </c>
      <c r="J3814" t="n">
        <v>1</v>
      </c>
      <c r="K3814" t="n">
        <v>1</v>
      </c>
      <c r="L3814" s="34">
        <f>IF($J3814=1,LN(B3815/B3814),"")</f>
        <v/>
      </c>
      <c r="M3814" s="34">
        <f>IF($K3814=1,INDEX(Mensal!$D$2:$D$245,MATCH($I3814,Mensal!$A$2:$A$245,0)),"")</f>
        <v/>
      </c>
      <c r="N3814" s="34">
        <f>IF($K3814=1,L3814-M3814,"")</f>
        <v/>
      </c>
      <c r="O3814" s="34" t="n">
        <v>0.0001993</v>
      </c>
      <c r="P3814" s="34">
        <f>IF($J3814=1,LN(1+O3814),"")</f>
        <v/>
      </c>
      <c r="Q3814" s="34">
        <f>IF($J3814=1,LN(R3815/R3814),"")</f>
        <v/>
      </c>
      <c r="R3814" s="32" t="n">
        <v>5.226</v>
      </c>
      <c r="S3814" s="35" t="n">
        <v>8.640000000000001</v>
      </c>
      <c r="T3814" s="18" t="n"/>
      <c r="U3814" s="18" t="n">
        <v>116180.55</v>
      </c>
      <c r="V3814" s="18" t="n"/>
      <c r="W3814" s="18" t="n"/>
      <c r="X3814" s="35" t="n">
        <v>8.640000000000001</v>
      </c>
      <c r="Y3814" s="35" t="n"/>
    </row>
    <row r="3815">
      <c r="A3815" s="25" t="n">
        <v>44454</v>
      </c>
      <c r="B3815" s="18" t="n">
        <v>115062.54</v>
      </c>
      <c r="C3815" s="31" t="n"/>
      <c r="D3815" s="32" t="n"/>
      <c r="E3815" s="33" t="n">
        <v>1.3433</v>
      </c>
      <c r="F3815" t="inlineStr">
        <is>
          <t>Up</t>
        </is>
      </c>
      <c r="G3815" t="inlineStr">
        <is>
          <t>Up</t>
        </is>
      </c>
      <c r="H3815" t="inlineStr">
        <is>
          <t>EU_JU</t>
        </is>
      </c>
      <c r="I3815" t="inlineStr">
        <is>
          <t>2021-09</t>
        </is>
      </c>
      <c r="J3815" t="n">
        <v>1</v>
      </c>
      <c r="K3815" t="n">
        <v>1</v>
      </c>
      <c r="L3815" s="34">
        <f>IF($J3815=1,LN(B3816/B3815),"")</f>
        <v/>
      </c>
      <c r="M3815" s="34">
        <f>IF($K3815=1,INDEX(Mensal!$D$2:$D$245,MATCH($I3815,Mensal!$A$2:$A$245,0)),"")</f>
        <v/>
      </c>
      <c r="N3815" s="34">
        <f>IF($K3815=1,L3815-M3815,"")</f>
        <v/>
      </c>
      <c r="O3815" s="34" t="n">
        <v>0.0001993</v>
      </c>
      <c r="P3815" s="34">
        <f>IF($J3815=1,LN(1+O3815),"")</f>
        <v/>
      </c>
      <c r="Q3815" s="34">
        <f>IF($J3815=1,LN(R3816/R3815),"")</f>
        <v/>
      </c>
      <c r="R3815" s="32" t="n">
        <v>5.2576</v>
      </c>
      <c r="S3815" s="35" t="n">
        <v>8.720000000000001</v>
      </c>
      <c r="T3815" s="18" t="n"/>
      <c r="U3815" s="18" t="n">
        <v>115062.54</v>
      </c>
      <c r="V3815" s="18" t="n"/>
      <c r="W3815" s="18" t="n"/>
      <c r="X3815" s="35" t="n">
        <v>8.720000000000001</v>
      </c>
      <c r="Y3815" s="35" t="n"/>
    </row>
    <row r="3816">
      <c r="A3816" s="25" t="n">
        <v>44455</v>
      </c>
      <c r="B3816" s="18" t="n">
        <v>113794.28</v>
      </c>
      <c r="C3816" s="31" t="n"/>
      <c r="D3816" s="32" t="n"/>
      <c r="E3816" s="33" t="n">
        <v>1.3279</v>
      </c>
      <c r="F3816" t="inlineStr">
        <is>
          <t>Up</t>
        </is>
      </c>
      <c r="G3816" t="inlineStr">
        <is>
          <t>Up</t>
        </is>
      </c>
      <c r="H3816" t="inlineStr">
        <is>
          <t>EU_JU</t>
        </is>
      </c>
      <c r="I3816" t="inlineStr">
        <is>
          <t>2021-09</t>
        </is>
      </c>
      <c r="J3816" t="n">
        <v>1</v>
      </c>
      <c r="K3816" t="n">
        <v>1</v>
      </c>
      <c r="L3816" s="34">
        <f>IF($J3816=1,LN(B3817/B3816),"")</f>
        <v/>
      </c>
      <c r="M3816" s="34">
        <f>IF($K3816=1,INDEX(Mensal!$D$2:$D$245,MATCH($I3816,Mensal!$A$2:$A$245,0)),"")</f>
        <v/>
      </c>
      <c r="N3816" s="34">
        <f>IF($K3816=1,L3816-M3816,"")</f>
        <v/>
      </c>
      <c r="O3816" s="34" t="n">
        <v>0.0001993</v>
      </c>
      <c r="P3816" s="34">
        <f>IF($J3816=1,LN(1+O3816),"")</f>
        <v/>
      </c>
      <c r="Q3816" s="34">
        <f>IF($J3816=1,LN(R3817/R3816),"")</f>
        <v/>
      </c>
      <c r="R3816" s="32" t="n">
        <v>5.2594</v>
      </c>
      <c r="S3816" s="35" t="n">
        <v>8.74</v>
      </c>
      <c r="T3816" s="18" t="n"/>
      <c r="U3816" s="18" t="n">
        <v>113794.28</v>
      </c>
      <c r="V3816" s="18" t="n"/>
      <c r="W3816" s="18" t="n"/>
      <c r="X3816" s="35" t="n">
        <v>8.74</v>
      </c>
      <c r="Y3816" s="35" t="n"/>
    </row>
    <row r="3817">
      <c r="A3817" s="25" t="n">
        <v>44456</v>
      </c>
      <c r="B3817" s="18" t="n">
        <v>111439.37</v>
      </c>
      <c r="C3817" s="31" t="n"/>
      <c r="D3817" s="32" t="n"/>
      <c r="E3817" s="33" t="n">
        <v>1.2988</v>
      </c>
      <c r="F3817" t="inlineStr">
        <is>
          <t>Up</t>
        </is>
      </c>
      <c r="G3817" t="inlineStr">
        <is>
          <t>Up</t>
        </is>
      </c>
      <c r="H3817" t="inlineStr">
        <is>
          <t>EU_JU</t>
        </is>
      </c>
      <c r="I3817" t="inlineStr">
        <is>
          <t>2021-09</t>
        </is>
      </c>
      <c r="J3817" t="n">
        <v>1</v>
      </c>
      <c r="K3817" t="n">
        <v>1</v>
      </c>
      <c r="L3817" s="34">
        <f>IF($J3817=1,LN(B3818/B3817),"")</f>
        <v/>
      </c>
      <c r="M3817" s="34">
        <f>IF($K3817=1,INDEX(Mensal!$D$2:$D$245,MATCH($I3817,Mensal!$A$2:$A$245,0)),"")</f>
        <v/>
      </c>
      <c r="N3817" s="34">
        <f>IF($K3817=1,L3817-M3817,"")</f>
        <v/>
      </c>
      <c r="O3817" s="34" t="n">
        <v>0.0001993</v>
      </c>
      <c r="P3817" s="34">
        <f>IF($J3817=1,LN(1+O3817),"")</f>
        <v/>
      </c>
      <c r="Q3817" s="34">
        <f>IF($J3817=1,LN(R3818/R3817),"")</f>
        <v/>
      </c>
      <c r="R3817" s="32" t="n">
        <v>5.3103</v>
      </c>
      <c r="S3817" s="35" t="n">
        <v>8.77</v>
      </c>
      <c r="T3817" s="18" t="n"/>
      <c r="U3817" s="18" t="n">
        <v>111439.37</v>
      </c>
      <c r="V3817" s="18" t="n"/>
      <c r="W3817" s="18" t="n"/>
      <c r="X3817" s="35" t="n">
        <v>8.77</v>
      </c>
      <c r="Y3817" s="35" t="n"/>
    </row>
    <row r="3818">
      <c r="A3818" s="25" t="n">
        <v>44459</v>
      </c>
      <c r="B3818" s="18" t="n">
        <v>108843.74</v>
      </c>
      <c r="C3818" s="31" t="n"/>
      <c r="D3818" s="32" t="n"/>
      <c r="E3818" s="33" t="n">
        <v>1.2747</v>
      </c>
      <c r="F3818" t="inlineStr">
        <is>
          <t>Up</t>
        </is>
      </c>
      <c r="G3818" t="inlineStr">
        <is>
          <t>Up</t>
        </is>
      </c>
      <c r="H3818" t="inlineStr">
        <is>
          <t>EU_JU</t>
        </is>
      </c>
      <c r="I3818" t="inlineStr">
        <is>
          <t>2021-09</t>
        </is>
      </c>
      <c r="J3818" t="n">
        <v>1</v>
      </c>
      <c r="K3818" t="n">
        <v>1</v>
      </c>
      <c r="L3818" s="34">
        <f>IF($J3818=1,LN(B3819/B3818),"")</f>
        <v/>
      </c>
      <c r="M3818" s="34">
        <f>IF($K3818=1,INDEX(Mensal!$D$2:$D$245,MATCH($I3818,Mensal!$A$2:$A$245,0)),"")</f>
        <v/>
      </c>
      <c r="N3818" s="34">
        <f>IF($K3818=1,L3818-M3818,"")</f>
        <v/>
      </c>
      <c r="O3818" s="34" t="n">
        <v>0.0001993</v>
      </c>
      <c r="P3818" s="34">
        <f>IF($J3818=1,LN(1+O3818),"")</f>
        <v/>
      </c>
      <c r="Q3818" s="34">
        <f>IF($J3818=1,LN(R3819/R3818),"")</f>
        <v/>
      </c>
      <c r="R3818" s="32" t="n">
        <v>5.3332</v>
      </c>
      <c r="S3818" s="35" t="n">
        <v>8.76</v>
      </c>
      <c r="T3818" s="18" t="n"/>
      <c r="U3818" s="18" t="n">
        <v>108843.74</v>
      </c>
      <c r="V3818" s="18" t="n"/>
      <c r="W3818" s="18" t="n"/>
      <c r="X3818" s="35" t="n">
        <v>8.76</v>
      </c>
      <c r="Y3818" s="35" t="n"/>
    </row>
    <row r="3819">
      <c r="A3819" s="25" t="n">
        <v>44460</v>
      </c>
      <c r="B3819" s="18" t="n">
        <v>110249.73</v>
      </c>
      <c r="C3819" s="31" t="n"/>
      <c r="D3819" s="32" t="n"/>
      <c r="E3819" s="33" t="n">
        <v>1.2315</v>
      </c>
      <c r="F3819" t="inlineStr">
        <is>
          <t>Up</t>
        </is>
      </c>
      <c r="G3819" t="inlineStr">
        <is>
          <t>Up</t>
        </is>
      </c>
      <c r="H3819" t="inlineStr">
        <is>
          <t>EU_JU</t>
        </is>
      </c>
      <c r="I3819" t="inlineStr">
        <is>
          <t>2021-09</t>
        </is>
      </c>
      <c r="J3819" t="n">
        <v>1</v>
      </c>
      <c r="K3819" t="n">
        <v>1</v>
      </c>
      <c r="L3819" s="34">
        <f>IF($J3819=1,LN(B3820/B3819),"")</f>
        <v/>
      </c>
      <c r="M3819" s="34">
        <f>IF($K3819=1,INDEX(Mensal!$D$2:$D$245,MATCH($I3819,Mensal!$A$2:$A$245,0)),"")</f>
        <v/>
      </c>
      <c r="N3819" s="34">
        <f>IF($K3819=1,L3819-M3819,"")</f>
        <v/>
      </c>
      <c r="O3819" s="34" t="n">
        <v>0.0001993</v>
      </c>
      <c r="P3819" s="34">
        <f>IF($J3819=1,LN(1+O3819),"")</f>
        <v/>
      </c>
      <c r="Q3819" s="34">
        <f>IF($J3819=1,LN(R3820/R3819),"")</f>
        <v/>
      </c>
      <c r="R3819" s="32" t="n">
        <v>5.3044</v>
      </c>
      <c r="S3819" s="35" t="n">
        <v>8.640000000000001</v>
      </c>
      <c r="T3819" s="18" t="n"/>
      <c r="U3819" s="18" t="n">
        <v>110249.73</v>
      </c>
      <c r="V3819" s="18" t="n"/>
      <c r="W3819" s="18" t="n"/>
      <c r="X3819" s="35" t="n">
        <v>8.640000000000001</v>
      </c>
      <c r="Y3819" s="35" t="n"/>
    </row>
    <row r="3820">
      <c r="A3820" s="25" t="n">
        <v>44461</v>
      </c>
      <c r="B3820" s="18" t="n">
        <v>112282.28</v>
      </c>
      <c r="C3820" s="31" t="n"/>
      <c r="D3820" s="32" t="n"/>
      <c r="E3820" s="33" t="n">
        <v>1.1847</v>
      </c>
      <c r="F3820" t="inlineStr">
        <is>
          <t>Up</t>
        </is>
      </c>
      <c r="G3820" t="inlineStr">
        <is>
          <t>Up</t>
        </is>
      </c>
      <c r="H3820" t="inlineStr">
        <is>
          <t>EU_JU</t>
        </is>
      </c>
      <c r="I3820" t="inlineStr">
        <is>
          <t>2021-09</t>
        </is>
      </c>
      <c r="J3820" t="n">
        <v>1</v>
      </c>
      <c r="K3820" t="n">
        <v>1</v>
      </c>
      <c r="L3820" s="34">
        <f>IF($J3820=1,LN(B3821/B3820),"")</f>
        <v/>
      </c>
      <c r="M3820" s="34">
        <f>IF($K3820=1,INDEX(Mensal!$D$2:$D$245,MATCH($I3820,Mensal!$A$2:$A$245,0)),"")</f>
        <v/>
      </c>
      <c r="N3820" s="34">
        <f>IF($K3820=1,L3820-M3820,"")</f>
        <v/>
      </c>
      <c r="O3820" s="34" t="n">
        <v>0.0001993</v>
      </c>
      <c r="P3820" s="34">
        <f>IF($J3820=1,LN(1+O3820),"")</f>
        <v/>
      </c>
      <c r="Q3820" s="34">
        <f>IF($J3820=1,LN(R3821/R3820),"")</f>
        <v/>
      </c>
      <c r="R3820" s="32" t="n">
        <v>5.2783</v>
      </c>
      <c r="S3820" s="35" t="n">
        <v>8.630000000000001</v>
      </c>
      <c r="T3820" s="18" t="n"/>
      <c r="U3820" s="18" t="n">
        <v>112282.28</v>
      </c>
      <c r="V3820" s="18" t="n"/>
      <c r="W3820" s="18" t="n"/>
      <c r="X3820" s="35" t="n">
        <v>8.630000000000001</v>
      </c>
      <c r="Y3820" s="35" t="n"/>
    </row>
    <row r="3821">
      <c r="A3821" s="25" t="n">
        <v>44462</v>
      </c>
      <c r="B3821" s="18" t="n">
        <v>114064.36</v>
      </c>
      <c r="C3821" s="31" t="n"/>
      <c r="D3821" s="32" t="n"/>
      <c r="E3821" s="33" t="n">
        <v>1.159</v>
      </c>
      <c r="F3821" t="inlineStr">
        <is>
          <t>Up</t>
        </is>
      </c>
      <c r="G3821" t="inlineStr">
        <is>
          <t>Up</t>
        </is>
      </c>
      <c r="H3821" t="inlineStr">
        <is>
          <t>EU_JU</t>
        </is>
      </c>
      <c r="I3821" t="inlineStr">
        <is>
          <t>2021-09</t>
        </is>
      </c>
      <c r="J3821" t="n">
        <v>1</v>
      </c>
      <c r="K3821" t="n">
        <v>1</v>
      </c>
      <c r="L3821" s="34">
        <f>IF($J3821=1,LN(B3822/B3821),"")</f>
        <v/>
      </c>
      <c r="M3821" s="34">
        <f>IF($K3821=1,INDEX(Mensal!$D$2:$D$245,MATCH($I3821,Mensal!$A$2:$A$245,0)),"")</f>
        <v/>
      </c>
      <c r="N3821" s="34">
        <f>IF($K3821=1,L3821-M3821,"")</f>
        <v/>
      </c>
      <c r="O3821" s="34" t="n">
        <v>0.00023687</v>
      </c>
      <c r="P3821" s="34">
        <f>IF($J3821=1,LN(1+O3821),"")</f>
        <v/>
      </c>
      <c r="Q3821" s="34">
        <f>IF($J3821=1,LN(R3822/R3821),"")</f>
        <v/>
      </c>
      <c r="R3821" s="32" t="n">
        <v>5.2891</v>
      </c>
      <c r="S3821" s="35" t="n">
        <v>8.699999999999999</v>
      </c>
      <c r="T3821" s="18" t="n"/>
      <c r="U3821" s="18" t="n">
        <v>114064.36</v>
      </c>
      <c r="V3821" s="18" t="n"/>
      <c r="W3821" s="18" t="n"/>
      <c r="X3821" s="35" t="n">
        <v>8.699999999999999</v>
      </c>
      <c r="Y3821" s="35" t="n"/>
    </row>
    <row r="3822">
      <c r="A3822" s="25" t="n">
        <v>44463</v>
      </c>
      <c r="B3822" s="18" t="n">
        <v>113282.67</v>
      </c>
      <c r="C3822" s="31" t="n"/>
      <c r="D3822" s="32" t="n"/>
      <c r="E3822" s="33" t="n">
        <v>1.1341</v>
      </c>
      <c r="F3822" t="inlineStr">
        <is>
          <t>Up</t>
        </is>
      </c>
      <c r="G3822" t="inlineStr">
        <is>
          <t>Up</t>
        </is>
      </c>
      <c r="H3822" t="inlineStr">
        <is>
          <t>EU_JU</t>
        </is>
      </c>
      <c r="I3822" t="inlineStr">
        <is>
          <t>2021-09</t>
        </is>
      </c>
      <c r="J3822" t="n">
        <v>1</v>
      </c>
      <c r="K3822" t="n">
        <v>1</v>
      </c>
      <c r="L3822" s="34">
        <f>IF($J3822=1,LN(B3823/B3822),"")</f>
        <v/>
      </c>
      <c r="M3822" s="34">
        <f>IF($K3822=1,INDEX(Mensal!$D$2:$D$245,MATCH($I3822,Mensal!$A$2:$A$245,0)),"")</f>
        <v/>
      </c>
      <c r="N3822" s="34">
        <f>IF($K3822=1,L3822-M3822,"")</f>
        <v/>
      </c>
      <c r="O3822" s="34" t="n">
        <v>0.00023687</v>
      </c>
      <c r="P3822" s="34">
        <f>IF($J3822=1,LN(1+O3822),"")</f>
        <v/>
      </c>
      <c r="Q3822" s="34">
        <f>IF($J3822=1,LN(R3823/R3822),"")</f>
        <v/>
      </c>
      <c r="R3822" s="32" t="n">
        <v>5.3435</v>
      </c>
      <c r="S3822" s="35" t="n">
        <v>8.75</v>
      </c>
      <c r="T3822" s="18" t="n"/>
      <c r="U3822" s="18" t="n">
        <v>113282.67</v>
      </c>
      <c r="V3822" s="18" t="n"/>
      <c r="W3822" s="18" t="n"/>
      <c r="X3822" s="35" t="n">
        <v>8.75</v>
      </c>
      <c r="Y3822" s="35" t="n"/>
    </row>
    <row r="3823">
      <c r="A3823" s="25" t="n">
        <v>44466</v>
      </c>
      <c r="B3823" s="18" t="n">
        <v>113583.01</v>
      </c>
      <c r="C3823" s="31" t="n"/>
      <c r="D3823" s="32" t="n"/>
      <c r="E3823" s="33" t="n">
        <v>1.1061</v>
      </c>
      <c r="F3823" t="inlineStr">
        <is>
          <t>Up</t>
        </is>
      </c>
      <c r="G3823" t="inlineStr">
        <is>
          <t>Up</t>
        </is>
      </c>
      <c r="H3823" t="inlineStr">
        <is>
          <t>EU_JU</t>
        </is>
      </c>
      <c r="I3823" t="inlineStr">
        <is>
          <t>2021-09</t>
        </is>
      </c>
      <c r="J3823" t="n">
        <v>1</v>
      </c>
      <c r="K3823" t="n">
        <v>1</v>
      </c>
      <c r="L3823" s="34">
        <f>IF($J3823=1,LN(B3824/B3823),"")</f>
        <v/>
      </c>
      <c r="M3823" s="34">
        <f>IF($K3823=1,INDEX(Mensal!$D$2:$D$245,MATCH($I3823,Mensal!$A$2:$A$245,0)),"")</f>
        <v/>
      </c>
      <c r="N3823" s="34">
        <f>IF($K3823=1,L3823-M3823,"")</f>
        <v/>
      </c>
      <c r="O3823" s="34" t="n">
        <v>0.00023687</v>
      </c>
      <c r="P3823" s="34">
        <f>IF($J3823=1,LN(1+O3823),"")</f>
        <v/>
      </c>
      <c r="Q3823" s="34">
        <f>IF($J3823=1,LN(R3824/R3823),"")</f>
        <v/>
      </c>
      <c r="R3823" s="32" t="n">
        <v>5.3478</v>
      </c>
      <c r="S3823" s="35" t="n">
        <v>8.84</v>
      </c>
      <c r="T3823" s="18" t="n"/>
      <c r="U3823" s="18" t="n">
        <v>113583.01</v>
      </c>
      <c r="V3823" s="18" t="n"/>
      <c r="W3823" s="18" t="n"/>
      <c r="X3823" s="35" t="n">
        <v>8.84</v>
      </c>
      <c r="Y3823" s="35" t="n"/>
    </row>
    <row r="3824">
      <c r="A3824" s="25" t="n">
        <v>44467</v>
      </c>
      <c r="B3824" s="18" t="n">
        <v>110123.85</v>
      </c>
      <c r="C3824" s="31" t="n"/>
      <c r="D3824" s="32" t="n"/>
      <c r="E3824" s="33" t="n">
        <v>1.0678</v>
      </c>
      <c r="F3824" t="inlineStr">
        <is>
          <t>Up</t>
        </is>
      </c>
      <c r="G3824" t="inlineStr">
        <is>
          <t>Up</t>
        </is>
      </c>
      <c r="H3824" t="inlineStr">
        <is>
          <t>EU_JU</t>
        </is>
      </c>
      <c r="I3824" t="inlineStr">
        <is>
          <t>2021-09</t>
        </is>
      </c>
      <c r="J3824" t="n">
        <v>1</v>
      </c>
      <c r="K3824" t="n">
        <v>1</v>
      </c>
      <c r="L3824" s="34">
        <f>IF($J3824=1,LN(B3825/B3824),"")</f>
        <v/>
      </c>
      <c r="M3824" s="34">
        <f>IF($K3824=1,INDEX(Mensal!$D$2:$D$245,MATCH($I3824,Mensal!$A$2:$A$245,0)),"")</f>
        <v/>
      </c>
      <c r="N3824" s="34">
        <f>IF($K3824=1,L3824-M3824,"")</f>
        <v/>
      </c>
      <c r="O3824" s="34" t="n">
        <v>0.00023687</v>
      </c>
      <c r="P3824" s="34">
        <f>IF($J3824=1,LN(1+O3824),"")</f>
        <v/>
      </c>
      <c r="Q3824" s="34">
        <f>IF($J3824=1,LN(R3825/R3824),"")</f>
        <v/>
      </c>
      <c r="R3824" s="32" t="n">
        <v>5.4206</v>
      </c>
      <c r="S3824" s="35" t="n">
        <v>8.949999999999999</v>
      </c>
      <c r="T3824" s="18" t="n"/>
      <c r="U3824" s="18" t="n">
        <v>110123.85</v>
      </c>
      <c r="V3824" s="18" t="n"/>
      <c r="W3824" s="18" t="n"/>
      <c r="X3824" s="35" t="n">
        <v>8.949999999999999</v>
      </c>
      <c r="Y3824" s="35" t="n"/>
    </row>
    <row r="3825">
      <c r="A3825" s="25" t="n">
        <v>44468</v>
      </c>
      <c r="B3825" s="18" t="n">
        <v>111106.83</v>
      </c>
      <c r="C3825" s="31" t="n"/>
      <c r="D3825" s="32" t="n"/>
      <c r="E3825" s="33" t="n">
        <v>1.0201</v>
      </c>
      <c r="F3825" t="inlineStr">
        <is>
          <t>Up</t>
        </is>
      </c>
      <c r="G3825" t="inlineStr">
        <is>
          <t>Up</t>
        </is>
      </c>
      <c r="H3825" t="inlineStr">
        <is>
          <t>EU_JU</t>
        </is>
      </c>
      <c r="I3825" t="inlineStr">
        <is>
          <t>2021-09</t>
        </is>
      </c>
      <c r="J3825" t="n">
        <v>1</v>
      </c>
      <c r="K3825" t="n">
        <v>1</v>
      </c>
      <c r="L3825" s="34">
        <f>IF($J3825=1,LN(B3826/B3825),"")</f>
        <v/>
      </c>
      <c r="M3825" s="34">
        <f>IF($K3825=1,INDEX(Mensal!$D$2:$D$245,MATCH($I3825,Mensal!$A$2:$A$245,0)),"")</f>
        <v/>
      </c>
      <c r="N3825" s="34">
        <f>IF($K3825=1,L3825-M3825,"")</f>
        <v/>
      </c>
      <c r="O3825" s="34" t="n">
        <v>0.00023687</v>
      </c>
      <c r="P3825" s="34">
        <f>IF($J3825=1,LN(1+O3825),"")</f>
        <v/>
      </c>
      <c r="Q3825" s="34">
        <f>IF($J3825=1,LN(R3826/R3825),"")</f>
        <v/>
      </c>
      <c r="R3825" s="32" t="n">
        <v>5.4173</v>
      </c>
      <c r="S3825" s="35" t="n">
        <v>8.9</v>
      </c>
      <c r="T3825" s="18" t="n"/>
      <c r="U3825" s="18" t="n">
        <v>111106.83</v>
      </c>
      <c r="V3825" s="18" t="n"/>
      <c r="W3825" s="18" t="n"/>
      <c r="X3825" s="35" t="n">
        <v>8.9</v>
      </c>
      <c r="Y3825" s="35" t="n"/>
    </row>
    <row r="3826">
      <c r="A3826" s="25" t="n">
        <v>44469</v>
      </c>
      <c r="B3826" s="18" t="n">
        <v>110979.1</v>
      </c>
      <c r="C3826" s="31" t="n"/>
      <c r="D3826" s="32" t="n"/>
      <c r="E3826" s="33" t="n">
        <v>0.9742</v>
      </c>
      <c r="F3826" t="inlineStr">
        <is>
          <t>Up</t>
        </is>
      </c>
      <c r="G3826" t="inlineStr">
        <is>
          <t>Up</t>
        </is>
      </c>
      <c r="H3826" t="inlineStr">
        <is>
          <t>EU_JU</t>
        </is>
      </c>
      <c r="I3826" t="inlineStr">
        <is>
          <t>2021-09</t>
        </is>
      </c>
      <c r="J3826" t="n">
        <v>1</v>
      </c>
      <c r="K3826" t="n">
        <v>1</v>
      </c>
      <c r="L3826" s="34">
        <f>IF($J3826=1,LN(B3827/B3826),"")</f>
        <v/>
      </c>
      <c r="M3826" s="34">
        <f>IF($K3826=1,INDEX(Mensal!$D$2:$D$245,MATCH($I3826,Mensal!$A$2:$A$245,0)),"")</f>
        <v/>
      </c>
      <c r="N3826" s="34">
        <f>IF($K3826=1,L3826-M3826,"")</f>
        <v/>
      </c>
      <c r="O3826" s="34" t="n">
        <v>0.00023687</v>
      </c>
      <c r="P3826" s="34">
        <f>IF($J3826=1,LN(1+O3826),"")</f>
        <v/>
      </c>
      <c r="Q3826" s="34">
        <f>IF($J3826=1,LN(R3827/R3826),"")</f>
        <v/>
      </c>
      <c r="R3826" s="32" t="n">
        <v>5.4394</v>
      </c>
      <c r="S3826" s="35" t="n">
        <v>8.98</v>
      </c>
      <c r="T3826" s="18" t="n"/>
      <c r="U3826" s="18" t="n">
        <v>110979.1</v>
      </c>
      <c r="V3826" s="18" t="n"/>
      <c r="W3826" s="18" t="n"/>
      <c r="X3826" s="35" t="n">
        <v>8.98</v>
      </c>
      <c r="Y3826" s="35" t="n"/>
    </row>
    <row r="3827">
      <c r="A3827" s="25" t="n">
        <v>44470</v>
      </c>
      <c r="B3827" s="18" t="n">
        <v>112899.64</v>
      </c>
      <c r="C3827" s="31" t="n"/>
      <c r="D3827" s="32" t="n"/>
      <c r="E3827" s="33" t="n">
        <v>0.9233</v>
      </c>
      <c r="F3827" t="inlineStr">
        <is>
          <t>Up</t>
        </is>
      </c>
      <c r="G3827" t="inlineStr">
        <is>
          <t>Up</t>
        </is>
      </c>
      <c r="H3827" t="inlineStr">
        <is>
          <t>EU_JU</t>
        </is>
      </c>
      <c r="I3827" t="inlineStr">
        <is>
          <t>2021-10</t>
        </is>
      </c>
      <c r="J3827" t="n">
        <v>1</v>
      </c>
      <c r="K3827" t="n">
        <v>1</v>
      </c>
      <c r="L3827" s="34">
        <f>IF($J3827=1,LN(B3828/B3827),"")</f>
        <v/>
      </c>
      <c r="M3827" s="34">
        <f>IF($K3827=1,INDEX(Mensal!$D$2:$D$245,MATCH($I3827,Mensal!$A$2:$A$245,0)),"")</f>
        <v/>
      </c>
      <c r="N3827" s="34">
        <f>IF($K3827=1,L3827-M3827,"")</f>
        <v/>
      </c>
      <c r="O3827" s="34" t="n">
        <v>0.00023687</v>
      </c>
      <c r="P3827" s="34">
        <f>IF($J3827=1,LN(1+O3827),"")</f>
        <v/>
      </c>
      <c r="Q3827" s="34">
        <f>IF($J3827=1,LN(R3828/R3827),"")</f>
        <v/>
      </c>
      <c r="R3827" s="32" t="n">
        <v>5.3911</v>
      </c>
      <c r="S3827" s="35" t="n">
        <v>8.880000000000001</v>
      </c>
      <c r="T3827" s="18" t="n"/>
      <c r="U3827" s="18" t="n">
        <v>112899.64</v>
      </c>
      <c r="V3827" s="18" t="n"/>
      <c r="W3827" s="18" t="n"/>
      <c r="X3827" s="35" t="n">
        <v>8.880000000000001</v>
      </c>
      <c r="Y3827" s="35" t="n"/>
    </row>
    <row r="3828">
      <c r="A3828" s="25" t="n">
        <v>44473</v>
      </c>
      <c r="B3828" s="18" t="n">
        <v>110393.09</v>
      </c>
      <c r="C3828" s="31" t="n"/>
      <c r="D3828" s="32" t="n"/>
      <c r="E3828" s="33" t="n">
        <v>0.8915</v>
      </c>
      <c r="F3828" t="inlineStr">
        <is>
          <t>Up</t>
        </is>
      </c>
      <c r="G3828" t="inlineStr">
        <is>
          <t>Up</t>
        </is>
      </c>
      <c r="H3828" t="inlineStr">
        <is>
          <t>EU_JU</t>
        </is>
      </c>
      <c r="I3828" t="inlineStr">
        <is>
          <t>2021-10</t>
        </is>
      </c>
      <c r="J3828" t="n">
        <v>1</v>
      </c>
      <c r="K3828" t="n">
        <v>1</v>
      </c>
      <c r="L3828" s="34">
        <f>IF($J3828=1,LN(B3829/B3828),"")</f>
        <v/>
      </c>
      <c r="M3828" s="34">
        <f>IF($K3828=1,INDEX(Mensal!$D$2:$D$245,MATCH($I3828,Mensal!$A$2:$A$245,0)),"")</f>
        <v/>
      </c>
      <c r="N3828" s="34">
        <f>IF($K3828=1,L3828-M3828,"")</f>
        <v/>
      </c>
      <c r="O3828" s="34" t="n">
        <v>0.00023687</v>
      </c>
      <c r="P3828" s="34">
        <f>IF($J3828=1,LN(1+O3828),"")</f>
        <v/>
      </c>
      <c r="Q3828" s="34">
        <f>IF($J3828=1,LN(R3829/R3828),"")</f>
        <v/>
      </c>
      <c r="R3828" s="32" t="n">
        <v>5.4204</v>
      </c>
      <c r="S3828" s="35" t="n">
        <v>8.99</v>
      </c>
      <c r="T3828" s="18" t="n"/>
      <c r="U3828" s="18" t="n">
        <v>110393.09</v>
      </c>
      <c r="V3828" s="18" t="n"/>
      <c r="W3828" s="18" t="n"/>
      <c r="X3828" s="35" t="n">
        <v>8.99</v>
      </c>
      <c r="Y3828" s="35" t="n"/>
    </row>
    <row r="3829">
      <c r="A3829" s="25" t="n">
        <v>44474</v>
      </c>
      <c r="B3829" s="18" t="n">
        <v>110457.64</v>
      </c>
      <c r="C3829" s="31" t="n"/>
      <c r="D3829" s="32" t="n"/>
      <c r="E3829" s="33" t="n">
        <v>0.8548</v>
      </c>
      <c r="F3829" t="inlineStr">
        <is>
          <t>Up</t>
        </is>
      </c>
      <c r="G3829" t="inlineStr">
        <is>
          <t>Up</t>
        </is>
      </c>
      <c r="H3829" t="inlineStr">
        <is>
          <t>EU_JU</t>
        </is>
      </c>
      <c r="I3829" t="inlineStr">
        <is>
          <t>2021-10</t>
        </is>
      </c>
      <c r="J3829" t="n">
        <v>1</v>
      </c>
      <c r="K3829" t="n">
        <v>1</v>
      </c>
      <c r="L3829" s="34">
        <f>IF($J3829=1,LN(B3830/B3829),"")</f>
        <v/>
      </c>
      <c r="M3829" s="34">
        <f>IF($K3829=1,INDEX(Mensal!$D$2:$D$245,MATCH($I3829,Mensal!$A$2:$A$245,0)),"")</f>
        <v/>
      </c>
      <c r="N3829" s="34">
        <f>IF($K3829=1,L3829-M3829,"")</f>
        <v/>
      </c>
      <c r="O3829" s="34" t="n">
        <v>0.00023687</v>
      </c>
      <c r="P3829" s="34">
        <f>IF($J3829=1,LN(1+O3829),"")</f>
        <v/>
      </c>
      <c r="Q3829" s="34">
        <f>IF($J3829=1,LN(R3830/R3829),"")</f>
        <v/>
      </c>
      <c r="R3829" s="32" t="n">
        <v>5.4611</v>
      </c>
      <c r="S3829" s="35" t="n">
        <v>9.02</v>
      </c>
      <c r="T3829" s="18" t="n"/>
      <c r="U3829" s="18" t="n">
        <v>110457.64</v>
      </c>
      <c r="V3829" s="18" t="n"/>
      <c r="W3829" s="18" t="n"/>
      <c r="X3829" s="35" t="n">
        <v>9.02</v>
      </c>
      <c r="Y3829" s="35" t="n"/>
    </row>
    <row r="3830">
      <c r="A3830" s="25" t="n">
        <v>44475</v>
      </c>
      <c r="B3830" s="18" t="n">
        <v>110559.57</v>
      </c>
      <c r="C3830" s="31" t="n"/>
      <c r="D3830" s="32" t="n"/>
      <c r="E3830" s="33" t="n">
        <v>0.806</v>
      </c>
      <c r="F3830" t="inlineStr">
        <is>
          <t>Up</t>
        </is>
      </c>
      <c r="G3830" t="inlineStr">
        <is>
          <t>Up</t>
        </is>
      </c>
      <c r="H3830" t="inlineStr">
        <is>
          <t>EU_JU</t>
        </is>
      </c>
      <c r="I3830" t="inlineStr">
        <is>
          <t>2021-10</t>
        </is>
      </c>
      <c r="J3830" t="n">
        <v>1</v>
      </c>
      <c r="K3830" t="n">
        <v>1</v>
      </c>
      <c r="L3830" s="34">
        <f>IF($J3830=1,LN(B3831/B3830),"")</f>
        <v/>
      </c>
      <c r="M3830" s="34">
        <f>IF($K3830=1,INDEX(Mensal!$D$2:$D$245,MATCH($I3830,Mensal!$A$2:$A$245,0)),"")</f>
        <v/>
      </c>
      <c r="N3830" s="34">
        <f>IF($K3830=1,L3830-M3830,"")</f>
        <v/>
      </c>
      <c r="O3830" s="34" t="n">
        <v>0.00023687</v>
      </c>
      <c r="P3830" s="34">
        <f>IF($J3830=1,LN(1+O3830),"")</f>
        <v/>
      </c>
      <c r="Q3830" s="34">
        <f>IF($J3830=1,LN(R3831/R3830),"")</f>
        <v/>
      </c>
      <c r="R3830" s="32" t="n">
        <v>5.5097</v>
      </c>
      <c r="S3830" s="35" t="n">
        <v>8.85</v>
      </c>
      <c r="T3830" s="18" t="n"/>
      <c r="U3830" s="18" t="n">
        <v>110559.57</v>
      </c>
      <c r="V3830" s="18" t="n"/>
      <c r="W3830" s="18" t="n"/>
      <c r="X3830" s="35" t="n">
        <v>8.85</v>
      </c>
      <c r="Y3830" s="35" t="n"/>
    </row>
    <row r="3831">
      <c r="A3831" s="25" t="n">
        <v>44476</v>
      </c>
      <c r="B3831" s="18" t="n">
        <v>110585.43</v>
      </c>
      <c r="C3831" s="31" t="n"/>
      <c r="D3831" s="32" t="n"/>
      <c r="E3831" s="33" t="n">
        <v>0.7685</v>
      </c>
      <c r="F3831" t="inlineStr">
        <is>
          <t>Up</t>
        </is>
      </c>
      <c r="G3831" t="inlineStr">
        <is>
          <t>Up</t>
        </is>
      </c>
      <c r="H3831" t="inlineStr">
        <is>
          <t>EU_JU</t>
        </is>
      </c>
      <c r="I3831" t="inlineStr">
        <is>
          <t>2021-10</t>
        </is>
      </c>
      <c r="J3831" t="n">
        <v>1</v>
      </c>
      <c r="K3831" t="n">
        <v>1</v>
      </c>
      <c r="L3831" s="34">
        <f>IF($J3831=1,LN(B3832/B3831),"")</f>
        <v/>
      </c>
      <c r="M3831" s="34">
        <f>IF($K3831=1,INDEX(Mensal!$D$2:$D$245,MATCH($I3831,Mensal!$A$2:$A$245,0)),"")</f>
        <v/>
      </c>
      <c r="N3831" s="34">
        <f>IF($K3831=1,L3831-M3831,"")</f>
        <v/>
      </c>
      <c r="O3831" s="34" t="n">
        <v>0.00023687</v>
      </c>
      <c r="P3831" s="34">
        <f>IF($J3831=1,LN(1+O3831),"")</f>
        <v/>
      </c>
      <c r="Q3831" s="34">
        <f>IF($J3831=1,LN(R3832/R3831),"")</f>
        <v/>
      </c>
      <c r="R3831" s="32" t="n">
        <v>5.514</v>
      </c>
      <c r="S3831" s="35" t="n">
        <v>8.970000000000001</v>
      </c>
      <c r="T3831" s="18" t="n"/>
      <c r="U3831" s="18" t="n">
        <v>110585.43</v>
      </c>
      <c r="V3831" s="18" t="n"/>
      <c r="W3831" s="18" t="n"/>
      <c r="X3831" s="35" t="n">
        <v>8.970000000000001</v>
      </c>
      <c r="Y3831" s="35" t="n"/>
    </row>
    <row r="3832">
      <c r="A3832" s="25" t="n">
        <v>44477</v>
      </c>
      <c r="B3832" s="18" t="n">
        <v>112833.2</v>
      </c>
      <c r="C3832" s="31" t="n"/>
      <c r="D3832" s="32" t="n"/>
      <c r="E3832" s="33" t="n">
        <v>0.7371</v>
      </c>
      <c r="F3832" t="inlineStr">
        <is>
          <t>Up</t>
        </is>
      </c>
      <c r="G3832" t="inlineStr">
        <is>
          <t>Up</t>
        </is>
      </c>
      <c r="H3832" t="inlineStr">
        <is>
          <t>EU_JU</t>
        </is>
      </c>
      <c r="I3832" t="inlineStr">
        <is>
          <t>2021-10</t>
        </is>
      </c>
      <c r="J3832" t="n">
        <v>1</v>
      </c>
      <c r="K3832" t="n">
        <v>1</v>
      </c>
      <c r="L3832" s="34">
        <f>IF($J3832=1,LN(B3833/B3832),"")</f>
        <v/>
      </c>
      <c r="M3832" s="34">
        <f>IF($K3832=1,INDEX(Mensal!$D$2:$D$245,MATCH($I3832,Mensal!$A$2:$A$245,0)),"")</f>
        <v/>
      </c>
      <c r="N3832" s="34">
        <f>IF($K3832=1,L3832-M3832,"")</f>
        <v/>
      </c>
      <c r="O3832" s="34" t="n">
        <v>0.00023687</v>
      </c>
      <c r="P3832" s="34">
        <f>IF($J3832=1,LN(1+O3832),"")</f>
        <v/>
      </c>
      <c r="Q3832" s="34">
        <f>IF($J3832=1,LN(R3833/R3832),"")</f>
        <v/>
      </c>
      <c r="R3832" s="32" t="n">
        <v>5.5084</v>
      </c>
      <c r="S3832" s="35" t="n">
        <v>8.81</v>
      </c>
      <c r="T3832" s="18" t="n"/>
      <c r="U3832" s="18" t="n">
        <v>112833.2</v>
      </c>
      <c r="V3832" s="18" t="n"/>
      <c r="W3832" s="18" t="n"/>
      <c r="X3832" s="35" t="n">
        <v>8.81</v>
      </c>
      <c r="Y3832" s="35" t="n"/>
    </row>
    <row r="3833">
      <c r="A3833" s="25" t="n">
        <v>44480</v>
      </c>
      <c r="B3833" s="18" t="n">
        <v>112180.48</v>
      </c>
      <c r="C3833" s="31" t="n"/>
      <c r="D3833" s="32" t="n"/>
      <c r="E3833" s="33" t="n">
        <v>0.6897</v>
      </c>
      <c r="F3833" t="inlineStr">
        <is>
          <t>Up</t>
        </is>
      </c>
      <c r="G3833" t="inlineStr">
        <is>
          <t>Up</t>
        </is>
      </c>
      <c r="H3833" t="inlineStr">
        <is>
          <t>EU_JU</t>
        </is>
      </c>
      <c r="I3833" t="inlineStr">
        <is>
          <t>2021-10</t>
        </is>
      </c>
      <c r="J3833" t="n">
        <v>1</v>
      </c>
      <c r="K3833" t="n">
        <v>1</v>
      </c>
      <c r="L3833" s="34">
        <f>IF($J3833=1,LN(B3834/B3833),"")</f>
        <v/>
      </c>
      <c r="M3833" s="34">
        <f>IF($K3833=1,INDEX(Mensal!$D$2:$D$245,MATCH($I3833,Mensal!$A$2:$A$245,0)),"")</f>
        <v/>
      </c>
      <c r="N3833" s="34">
        <f>IF($K3833=1,L3833-M3833,"")</f>
        <v/>
      </c>
      <c r="O3833" s="34" t="n">
        <v>0.00023687</v>
      </c>
      <c r="P3833" s="34">
        <f>IF($J3833=1,LN(1+O3833),"")</f>
        <v/>
      </c>
      <c r="Q3833" s="34">
        <f>IF($J3833=1,LN(R3834/R3833),"")</f>
        <v/>
      </c>
      <c r="R3833" s="32" t="n">
        <v>5.5161</v>
      </c>
      <c r="S3833" s="35" t="n">
        <v>8.859999999999999</v>
      </c>
      <c r="T3833" s="18" t="n"/>
      <c r="U3833" s="18" t="n">
        <v>112180.48</v>
      </c>
      <c r="V3833" s="18" t="n"/>
      <c r="W3833" s="18" t="n"/>
      <c r="X3833" s="35" t="n">
        <v>8.859999999999999</v>
      </c>
      <c r="Y3833" s="35" t="n"/>
    </row>
    <row r="3834">
      <c r="A3834" s="25" t="n">
        <v>44482</v>
      </c>
      <c r="B3834" s="18" t="n">
        <v>113455.92</v>
      </c>
      <c r="C3834" s="31" t="n"/>
      <c r="D3834" s="32" t="n"/>
      <c r="E3834" s="33" t="n">
        <v>0.6492</v>
      </c>
      <c r="F3834" t="inlineStr">
        <is>
          <t>Up</t>
        </is>
      </c>
      <c r="G3834" t="inlineStr">
        <is>
          <t>Up</t>
        </is>
      </c>
      <c r="H3834" t="inlineStr">
        <is>
          <t>EU_JU</t>
        </is>
      </c>
      <c r="I3834" t="inlineStr">
        <is>
          <t>2021-10</t>
        </is>
      </c>
      <c r="J3834" t="n">
        <v>1</v>
      </c>
      <c r="K3834" t="n">
        <v>1</v>
      </c>
      <c r="L3834" s="34">
        <f>IF($J3834=1,LN(B3835/B3834),"")</f>
        <v/>
      </c>
      <c r="M3834" s="34">
        <f>IF($K3834=1,INDEX(Mensal!$D$2:$D$245,MATCH($I3834,Mensal!$A$2:$A$245,0)),"")</f>
        <v/>
      </c>
      <c r="N3834" s="34">
        <f>IF($K3834=1,L3834-M3834,"")</f>
        <v/>
      </c>
      <c r="O3834" s="34" t="n">
        <v>0.00023687</v>
      </c>
      <c r="P3834" s="34">
        <f>IF($J3834=1,LN(1+O3834),"")</f>
        <v/>
      </c>
      <c r="Q3834" s="34">
        <f>IF($J3834=1,LN(R3835/R3834),"")</f>
        <v/>
      </c>
      <c r="R3834" s="32" t="n">
        <v>5.5471</v>
      </c>
      <c r="S3834" s="35" t="n">
        <v>8.890000000000001</v>
      </c>
      <c r="T3834" s="18" t="n"/>
      <c r="U3834" s="18" t="n">
        <v>113455.92</v>
      </c>
      <c r="V3834" s="18" t="n"/>
      <c r="W3834" s="18" t="n"/>
      <c r="X3834" s="35" t="n">
        <v>8.890000000000001</v>
      </c>
      <c r="Y3834" s="35" t="n"/>
    </row>
    <row r="3835">
      <c r="A3835" s="25" t="n">
        <v>44483</v>
      </c>
      <c r="B3835" s="18" t="n">
        <v>113185.48</v>
      </c>
      <c r="C3835" s="31" t="n"/>
      <c r="D3835" s="32" t="n"/>
      <c r="E3835" s="33" t="n">
        <v>0.6076</v>
      </c>
      <c r="F3835" t="inlineStr">
        <is>
          <t>Up</t>
        </is>
      </c>
      <c r="G3835" t="inlineStr">
        <is>
          <t>Up</t>
        </is>
      </c>
      <c r="H3835" t="inlineStr">
        <is>
          <t>EU_JU</t>
        </is>
      </c>
      <c r="I3835" t="inlineStr">
        <is>
          <t>2021-10</t>
        </is>
      </c>
      <c r="J3835" t="n">
        <v>1</v>
      </c>
      <c r="K3835" t="n">
        <v>1</v>
      </c>
      <c r="L3835" s="34">
        <f>IF($J3835=1,LN(B3836/B3835),"")</f>
        <v/>
      </c>
      <c r="M3835" s="34">
        <f>IF($K3835=1,INDEX(Mensal!$D$2:$D$245,MATCH($I3835,Mensal!$A$2:$A$245,0)),"")</f>
        <v/>
      </c>
      <c r="N3835" s="34">
        <f>IF($K3835=1,L3835-M3835,"")</f>
        <v/>
      </c>
      <c r="O3835" s="34" t="n">
        <v>0.00023687</v>
      </c>
      <c r="P3835" s="34">
        <f>IF($J3835=1,LN(1+O3835),"")</f>
        <v/>
      </c>
      <c r="Q3835" s="34">
        <f>IF($J3835=1,LN(R3836/R3835),"")</f>
        <v/>
      </c>
      <c r="R3835" s="32" t="n">
        <v>5.4988</v>
      </c>
      <c r="S3835" s="35" t="n">
        <v>8.98</v>
      </c>
      <c r="T3835" s="18" t="n"/>
      <c r="U3835" s="18" t="n">
        <v>113185.48</v>
      </c>
      <c r="V3835" s="18" t="n"/>
      <c r="W3835" s="18" t="n"/>
      <c r="X3835" s="35" t="n">
        <v>8.98</v>
      </c>
      <c r="Y3835" s="35" t="n"/>
    </row>
    <row r="3836">
      <c r="A3836" s="25" t="n">
        <v>44484</v>
      </c>
      <c r="B3836" s="18" t="n">
        <v>114647.99</v>
      </c>
      <c r="C3836" s="31" t="n"/>
      <c r="D3836" s="32" t="n"/>
      <c r="E3836" s="33" t="n">
        <v>0.5654</v>
      </c>
      <c r="F3836" t="inlineStr">
        <is>
          <t>Up</t>
        </is>
      </c>
      <c r="G3836" t="inlineStr">
        <is>
          <t>Up</t>
        </is>
      </c>
      <c r="H3836" t="inlineStr">
        <is>
          <t>EU_JU</t>
        </is>
      </c>
      <c r="I3836" t="inlineStr">
        <is>
          <t>2021-10</t>
        </is>
      </c>
      <c r="J3836" t="n">
        <v>1</v>
      </c>
      <c r="K3836" t="n">
        <v>1</v>
      </c>
      <c r="L3836" s="34">
        <f>IF($J3836=1,LN(B3837/B3836),"")</f>
        <v/>
      </c>
      <c r="M3836" s="34">
        <f>IF($K3836=1,INDEX(Mensal!$D$2:$D$245,MATCH($I3836,Mensal!$A$2:$A$245,0)),"")</f>
        <v/>
      </c>
      <c r="N3836" s="34">
        <f>IF($K3836=1,L3836-M3836,"")</f>
        <v/>
      </c>
      <c r="O3836" s="34" t="n">
        <v>0.00023687</v>
      </c>
      <c r="P3836" s="34">
        <f>IF($J3836=1,LN(1+O3836),"")</f>
        <v/>
      </c>
      <c r="Q3836" s="34">
        <f>IF($J3836=1,LN(R3837/R3836),"")</f>
        <v/>
      </c>
      <c r="R3836" s="32" t="n">
        <v>5.451</v>
      </c>
      <c r="S3836" s="35" t="n">
        <v>9.09</v>
      </c>
      <c r="T3836" s="18" t="n"/>
      <c r="U3836" s="18" t="n">
        <v>114647.99</v>
      </c>
      <c r="V3836" s="18" t="n"/>
      <c r="W3836" s="18" t="n"/>
      <c r="X3836" s="35" t="n">
        <v>9.09</v>
      </c>
      <c r="Y3836" s="35" t="n"/>
    </row>
    <row r="3837">
      <c r="A3837" s="25" t="n">
        <v>44487</v>
      </c>
      <c r="B3837" s="18" t="n">
        <v>114428.18</v>
      </c>
      <c r="C3837" s="31" t="n"/>
      <c r="D3837" s="32" t="n"/>
      <c r="E3837" s="33" t="n">
        <v>0.5081</v>
      </c>
      <c r="F3837" t="inlineStr">
        <is>
          <t>Up</t>
        </is>
      </c>
      <c r="G3837" t="inlineStr">
        <is>
          <t>Up</t>
        </is>
      </c>
      <c r="H3837" t="inlineStr">
        <is>
          <t>EU_JU</t>
        </is>
      </c>
      <c r="I3837" t="inlineStr">
        <is>
          <t>2021-10</t>
        </is>
      </c>
      <c r="J3837" t="n">
        <v>1</v>
      </c>
      <c r="K3837" t="n">
        <v>1</v>
      </c>
      <c r="L3837" s="34">
        <f>IF($J3837=1,LN(B3838/B3837),"")</f>
        <v/>
      </c>
      <c r="M3837" s="34">
        <f>IF($K3837=1,INDEX(Mensal!$D$2:$D$245,MATCH($I3837,Mensal!$A$2:$A$245,0)),"")</f>
        <v/>
      </c>
      <c r="N3837" s="34">
        <f>IF($K3837=1,L3837-M3837,"")</f>
        <v/>
      </c>
      <c r="O3837" s="34" t="n">
        <v>0.00023687</v>
      </c>
      <c r="P3837" s="34">
        <f>IF($J3837=1,LN(1+O3837),"")</f>
        <v/>
      </c>
      <c r="Q3837" s="34">
        <f>IF($J3837=1,LN(R3838/R3837),"")</f>
        <v/>
      </c>
      <c r="R3837" s="32" t="n">
        <v>5.5193</v>
      </c>
      <c r="S3837" s="35" t="n">
        <v>9.17</v>
      </c>
      <c r="T3837" s="18" t="n"/>
      <c r="U3837" s="18" t="n">
        <v>114428.18</v>
      </c>
      <c r="V3837" s="18" t="n"/>
      <c r="W3837" s="18" t="n"/>
      <c r="X3837" s="35" t="n">
        <v>9.17</v>
      </c>
      <c r="Y3837" s="35" t="n"/>
    </row>
    <row r="3838">
      <c r="A3838" s="25" t="n">
        <v>44488</v>
      </c>
      <c r="B3838" s="18" t="n">
        <v>110672.76</v>
      </c>
      <c r="C3838" s="31" t="n"/>
      <c r="D3838" s="32" t="n"/>
      <c r="E3838" s="33" t="n">
        <v>0.4715</v>
      </c>
      <c r="F3838" t="inlineStr">
        <is>
          <t>Up</t>
        </is>
      </c>
      <c r="G3838" t="inlineStr">
        <is>
          <t>Up</t>
        </is>
      </c>
      <c r="H3838" t="inlineStr">
        <is>
          <t>EU_JU</t>
        </is>
      </c>
      <c r="I3838" t="inlineStr">
        <is>
          <t>2021-10</t>
        </is>
      </c>
      <c r="J3838" t="n">
        <v>1</v>
      </c>
      <c r="K3838" t="n">
        <v>1</v>
      </c>
      <c r="L3838" s="34">
        <f>IF($J3838=1,LN(B3839/B3838),"")</f>
        <v/>
      </c>
      <c r="M3838" s="34">
        <f>IF($K3838=1,INDEX(Mensal!$D$2:$D$245,MATCH($I3838,Mensal!$A$2:$A$245,0)),"")</f>
        <v/>
      </c>
      <c r="N3838" s="34">
        <f>IF($K3838=1,L3838-M3838,"")</f>
        <v/>
      </c>
      <c r="O3838" s="34" t="n">
        <v>0.00023687</v>
      </c>
      <c r="P3838" s="34">
        <f>IF($J3838=1,LN(1+O3838),"")</f>
        <v/>
      </c>
      <c r="Q3838" s="34">
        <f>IF($J3838=1,LN(R3839/R3838),"")</f>
        <v/>
      </c>
      <c r="R3838" s="32" t="n">
        <v>5.5521</v>
      </c>
      <c r="S3838" s="35" t="n">
        <v>9.67</v>
      </c>
      <c r="T3838" s="18" t="n"/>
      <c r="U3838" s="18" t="n">
        <v>110672.76</v>
      </c>
      <c r="V3838" s="18" t="n"/>
      <c r="W3838" s="18" t="n"/>
      <c r="X3838" s="35" t="n">
        <v>9.67</v>
      </c>
      <c r="Y3838" s="35" t="n"/>
    </row>
    <row r="3839">
      <c r="A3839" s="25" t="n">
        <v>44489</v>
      </c>
      <c r="B3839" s="18" t="n">
        <v>110786.43</v>
      </c>
      <c r="C3839" s="31" t="n"/>
      <c r="D3839" s="32" t="n"/>
      <c r="E3839" s="33" t="n">
        <v>0.4475</v>
      </c>
      <c r="F3839" t="inlineStr">
        <is>
          <t>Up</t>
        </is>
      </c>
      <c r="G3839" t="inlineStr">
        <is>
          <t>Up</t>
        </is>
      </c>
      <c r="H3839" t="inlineStr">
        <is>
          <t>EU_JU</t>
        </is>
      </c>
      <c r="I3839" t="inlineStr">
        <is>
          <t>2021-10</t>
        </is>
      </c>
      <c r="J3839" t="n">
        <v>1</v>
      </c>
      <c r="K3839" t="n">
        <v>1</v>
      </c>
      <c r="L3839" s="34">
        <f>IF($J3839=1,LN(B3840/B3839),"")</f>
        <v/>
      </c>
      <c r="M3839" s="34">
        <f>IF($K3839=1,INDEX(Mensal!$D$2:$D$245,MATCH($I3839,Mensal!$A$2:$A$245,0)),"")</f>
        <v/>
      </c>
      <c r="N3839" s="34">
        <f>IF($K3839=1,L3839-M3839,"")</f>
        <v/>
      </c>
      <c r="O3839" s="34" t="n">
        <v>0.00023687</v>
      </c>
      <c r="P3839" s="34">
        <f>IF($J3839=1,LN(1+O3839),"")</f>
        <v/>
      </c>
      <c r="Q3839" s="34">
        <f>IF($J3839=1,LN(R3840/R3839),"")</f>
        <v/>
      </c>
      <c r="R3839" s="32" t="n">
        <v>5.5571</v>
      </c>
      <c r="S3839" s="35" t="n">
        <v>9.67</v>
      </c>
      <c r="T3839" s="18" t="n"/>
      <c r="U3839" s="18" t="n">
        <v>110786.43</v>
      </c>
      <c r="V3839" s="18" t="n"/>
      <c r="W3839" s="18" t="n"/>
      <c r="X3839" s="35" t="n">
        <v>9.67</v>
      </c>
      <c r="Y3839" s="35" t="n"/>
    </row>
    <row r="3840">
      <c r="A3840" s="25" t="n">
        <v>44490</v>
      </c>
      <c r="B3840" s="18" t="n">
        <v>107735.01</v>
      </c>
      <c r="C3840" s="31" t="n"/>
      <c r="D3840" s="32" t="n"/>
      <c r="E3840" s="33" t="n">
        <v>0.3788</v>
      </c>
      <c r="F3840" t="inlineStr">
        <is>
          <t>Up</t>
        </is>
      </c>
      <c r="G3840" t="inlineStr">
        <is>
          <t>Up</t>
        </is>
      </c>
      <c r="H3840" t="inlineStr">
        <is>
          <t>EU_JU</t>
        </is>
      </c>
      <c r="I3840" t="inlineStr">
        <is>
          <t>2021-10</t>
        </is>
      </c>
      <c r="J3840" t="n">
        <v>1</v>
      </c>
      <c r="K3840" t="n">
        <v>1</v>
      </c>
      <c r="L3840" s="34">
        <f>IF($J3840=1,LN(B3841/B3840),"")</f>
        <v/>
      </c>
      <c r="M3840" s="34">
        <f>IF($K3840=1,INDEX(Mensal!$D$2:$D$245,MATCH($I3840,Mensal!$A$2:$A$245,0)),"")</f>
        <v/>
      </c>
      <c r="N3840" s="34">
        <f>IF($K3840=1,L3840-M3840,"")</f>
        <v/>
      </c>
      <c r="O3840" s="34" t="n">
        <v>0.00023687</v>
      </c>
      <c r="P3840" s="34">
        <f>IF($J3840=1,LN(1+O3840),"")</f>
        <v/>
      </c>
      <c r="Q3840" s="34">
        <f>IF($J3840=1,LN(R3841/R3840),"")</f>
        <v/>
      </c>
      <c r="R3840" s="32" t="n">
        <v>5.6423</v>
      </c>
      <c r="S3840" s="35" t="n">
        <v>10.24</v>
      </c>
      <c r="T3840" s="18" t="n"/>
      <c r="U3840" s="18" t="n">
        <v>107735.01</v>
      </c>
      <c r="V3840" s="18" t="n"/>
      <c r="W3840" s="18" t="n"/>
      <c r="X3840" s="35" t="n">
        <v>10.24</v>
      </c>
      <c r="Y3840" s="35" t="n"/>
    </row>
    <row r="3841">
      <c r="A3841" s="25" t="n">
        <v>44491</v>
      </c>
      <c r="B3841" s="18" t="n">
        <v>106296.18</v>
      </c>
      <c r="C3841" s="31" t="n"/>
      <c r="D3841" s="32" t="n"/>
      <c r="E3841" s="33" t="n">
        <v>0.3178</v>
      </c>
      <c r="F3841" t="inlineStr">
        <is>
          <t>Up</t>
        </is>
      </c>
      <c r="G3841" t="inlineStr">
        <is>
          <t>Up</t>
        </is>
      </c>
      <c r="H3841" t="inlineStr">
        <is>
          <t>EU_JU</t>
        </is>
      </c>
      <c r="I3841" t="inlineStr">
        <is>
          <t>2021-10</t>
        </is>
      </c>
      <c r="J3841" t="n">
        <v>1</v>
      </c>
      <c r="K3841" t="n">
        <v>1</v>
      </c>
      <c r="L3841" s="34">
        <f>IF($J3841=1,LN(B3842/B3841),"")</f>
        <v/>
      </c>
      <c r="M3841" s="34">
        <f>IF($K3841=1,INDEX(Mensal!$D$2:$D$245,MATCH($I3841,Mensal!$A$2:$A$245,0)),"")</f>
        <v/>
      </c>
      <c r="N3841" s="34">
        <f>IF($K3841=1,L3841-M3841,"")</f>
        <v/>
      </c>
      <c r="O3841" s="34" t="n">
        <v>0.00023687</v>
      </c>
      <c r="P3841" s="34">
        <f>IF($J3841=1,LN(1+O3841),"")</f>
        <v/>
      </c>
      <c r="Q3841" s="34">
        <f>IF($J3841=1,LN(R3842/R3841),"")</f>
        <v/>
      </c>
      <c r="R3841" s="32" t="n">
        <v>5.7117</v>
      </c>
      <c r="S3841" s="35" t="n">
        <v>10.62</v>
      </c>
      <c r="T3841" s="18" t="n"/>
      <c r="U3841" s="18" t="n">
        <v>106296.18</v>
      </c>
      <c r="V3841" s="18" t="n"/>
      <c r="W3841" s="18" t="n"/>
      <c r="X3841" s="35" t="n">
        <v>10.62</v>
      </c>
      <c r="Y3841" s="35" t="n"/>
    </row>
    <row r="3842">
      <c r="A3842" s="25" t="n">
        <v>44494</v>
      </c>
      <c r="B3842" s="18" t="n">
        <v>108714.55</v>
      </c>
      <c r="C3842" s="31" t="n"/>
      <c r="D3842" s="32" t="n"/>
      <c r="E3842" s="33" t="n">
        <v>0.2701</v>
      </c>
      <c r="F3842" t="inlineStr">
        <is>
          <t>Up</t>
        </is>
      </c>
      <c r="G3842" t="inlineStr">
        <is>
          <t>Up</t>
        </is>
      </c>
      <c r="H3842" t="inlineStr">
        <is>
          <t>EU_JU</t>
        </is>
      </c>
      <c r="I3842" t="inlineStr">
        <is>
          <t>2021-10</t>
        </is>
      </c>
      <c r="J3842" t="n">
        <v>1</v>
      </c>
      <c r="K3842" t="n">
        <v>1</v>
      </c>
      <c r="L3842" s="34">
        <f>IF($J3842=1,LN(B3843/B3842),"")</f>
        <v/>
      </c>
      <c r="M3842" s="34">
        <f>IF($K3842=1,INDEX(Mensal!$D$2:$D$245,MATCH($I3842,Mensal!$A$2:$A$245,0)),"")</f>
        <v/>
      </c>
      <c r="N3842" s="34">
        <f>IF($K3842=1,L3842-M3842,"")</f>
        <v/>
      </c>
      <c r="O3842" s="34" t="n">
        <v>0.00023687</v>
      </c>
      <c r="P3842" s="34">
        <f>IF($J3842=1,LN(1+O3842),"")</f>
        <v/>
      </c>
      <c r="Q3842" s="34">
        <f>IF($J3842=1,LN(R3843/R3842),"")</f>
        <v/>
      </c>
      <c r="R3842" s="32" t="n">
        <v>5.5973</v>
      </c>
      <c r="S3842" s="35" t="n">
        <v>10.95</v>
      </c>
      <c r="T3842" s="18" t="n"/>
      <c r="U3842" s="18" t="n">
        <v>108714.55</v>
      </c>
      <c r="V3842" s="18" t="n"/>
      <c r="W3842" s="18" t="n"/>
      <c r="X3842" s="35" t="n">
        <v>10.95</v>
      </c>
      <c r="Y3842" s="35" t="n"/>
    </row>
    <row r="3843">
      <c r="A3843" s="25" t="n">
        <v>44495</v>
      </c>
      <c r="B3843" s="18" t="n">
        <v>106419.53</v>
      </c>
      <c r="C3843" s="31" t="n"/>
      <c r="D3843" s="32" t="n"/>
      <c r="E3843" s="33" t="n">
        <v>0.2138</v>
      </c>
      <c r="F3843" t="inlineStr">
        <is>
          <t>Up</t>
        </is>
      </c>
      <c r="G3843" t="inlineStr">
        <is>
          <t>Up</t>
        </is>
      </c>
      <c r="H3843" t="inlineStr">
        <is>
          <t>EU_JU</t>
        </is>
      </c>
      <c r="I3843" t="inlineStr">
        <is>
          <t>2021-10</t>
        </is>
      </c>
      <c r="J3843" t="n">
        <v>1</v>
      </c>
      <c r="K3843" t="n">
        <v>1</v>
      </c>
      <c r="L3843" s="34">
        <f>IF($J3843=1,LN(B3844/B3843),"")</f>
        <v/>
      </c>
      <c r="M3843" s="34">
        <f>IF($K3843=1,INDEX(Mensal!$D$2:$D$245,MATCH($I3843,Mensal!$A$2:$A$245,0)),"")</f>
        <v/>
      </c>
      <c r="N3843" s="34">
        <f>IF($K3843=1,L3843-M3843,"")</f>
        <v/>
      </c>
      <c r="O3843" s="34" t="n">
        <v>0.00023687</v>
      </c>
      <c r="P3843" s="34">
        <f>IF($J3843=1,LN(1+O3843),"")</f>
        <v/>
      </c>
      <c r="Q3843" s="34">
        <f>IF($J3843=1,LN(R3844/R3843),"")</f>
        <v/>
      </c>
      <c r="R3843" s="32" t="n">
        <v>5.58</v>
      </c>
      <c r="S3843" s="35" t="n">
        <v>11.36</v>
      </c>
      <c r="T3843" s="18" t="n"/>
      <c r="U3843" s="18" t="n">
        <v>106419.53</v>
      </c>
      <c r="V3843" s="18" t="n"/>
      <c r="W3843" s="18" t="n"/>
      <c r="X3843" s="35" t="n">
        <v>11.36</v>
      </c>
      <c r="Y3843" s="35" t="n"/>
    </row>
    <row r="3844">
      <c r="A3844" s="25" t="n">
        <v>44496</v>
      </c>
      <c r="B3844" s="18" t="n">
        <v>106363.1</v>
      </c>
      <c r="C3844" s="31" t="n"/>
      <c r="D3844" s="32" t="n"/>
      <c r="E3844" s="33" t="n">
        <v>0.1608</v>
      </c>
      <c r="F3844" t="inlineStr">
        <is>
          <t>Up</t>
        </is>
      </c>
      <c r="G3844" t="inlineStr">
        <is>
          <t>Up</t>
        </is>
      </c>
      <c r="H3844" t="inlineStr">
        <is>
          <t>EU_JU</t>
        </is>
      </c>
      <c r="I3844" t="inlineStr">
        <is>
          <t>2021-10</t>
        </is>
      </c>
      <c r="J3844" t="n">
        <v>1</v>
      </c>
      <c r="K3844" t="n">
        <v>1</v>
      </c>
      <c r="L3844" s="34">
        <f>IF($J3844=1,LN(B3845/B3844),"")</f>
        <v/>
      </c>
      <c r="M3844" s="34">
        <f>IF($K3844=1,INDEX(Mensal!$D$2:$D$245,MATCH($I3844,Mensal!$A$2:$A$245,0)),"")</f>
        <v/>
      </c>
      <c r="N3844" s="34">
        <f>IF($K3844=1,L3844-M3844,"")</f>
        <v/>
      </c>
      <c r="O3844" s="34" t="n">
        <v>0.00023687</v>
      </c>
      <c r="P3844" s="34">
        <f>IF($J3844=1,LN(1+O3844),"")</f>
        <v/>
      </c>
      <c r="Q3844" s="34">
        <f>IF($J3844=1,LN(R3845/R3844),"")</f>
        <v/>
      </c>
      <c r="R3844" s="32" t="n">
        <v>5.5667</v>
      </c>
      <c r="S3844" s="35" t="n">
        <v>11.34</v>
      </c>
      <c r="T3844" s="18" t="n"/>
      <c r="U3844" s="18" t="n">
        <v>106363.1</v>
      </c>
      <c r="V3844" s="18" t="n"/>
      <c r="W3844" s="18" t="n"/>
      <c r="X3844" s="35" t="n">
        <v>11.34</v>
      </c>
      <c r="Y3844" s="35" t="n"/>
    </row>
    <row r="3845">
      <c r="A3845" s="25" t="n">
        <v>44497</v>
      </c>
      <c r="B3845" s="18" t="n">
        <v>105704.96</v>
      </c>
      <c r="C3845" s="31" t="n"/>
      <c r="D3845" s="32" t="n"/>
      <c r="E3845" s="33" t="n">
        <v>0.1004</v>
      </c>
      <c r="F3845" t="inlineStr">
        <is>
          <t>Up</t>
        </is>
      </c>
      <c r="G3845" t="inlineStr">
        <is>
          <t>Up</t>
        </is>
      </c>
      <c r="H3845" t="inlineStr">
        <is>
          <t>EU_JU</t>
        </is>
      </c>
      <c r="I3845" t="inlineStr">
        <is>
          <t>2021-10</t>
        </is>
      </c>
      <c r="J3845" t="n">
        <v>1</v>
      </c>
      <c r="K3845" t="n">
        <v>1</v>
      </c>
      <c r="L3845" s="34">
        <f>IF($J3845=1,LN(B3846/B3845),"")</f>
        <v/>
      </c>
      <c r="M3845" s="34">
        <f>IF($K3845=1,INDEX(Mensal!$D$2:$D$245,MATCH($I3845,Mensal!$A$2:$A$245,0)),"")</f>
        <v/>
      </c>
      <c r="N3845" s="34">
        <f>IF($K3845=1,L3845-M3845,"")</f>
        <v/>
      </c>
      <c r="O3845" s="34" t="n">
        <v>0.00029256</v>
      </c>
      <c r="P3845" s="34">
        <f>IF($J3845=1,LN(1+O3845),"")</f>
        <v/>
      </c>
      <c r="Q3845" s="34">
        <f>IF($J3845=1,LN(R3846/R3845),"")</f>
        <v/>
      </c>
      <c r="R3845" s="32" t="n">
        <v>5.6124</v>
      </c>
      <c r="S3845" s="35" t="n">
        <v>12.12</v>
      </c>
      <c r="T3845" s="18" t="n"/>
      <c r="U3845" s="18" t="n">
        <v>105704.96</v>
      </c>
      <c r="V3845" s="18" t="n"/>
      <c r="W3845" s="18" t="n"/>
      <c r="X3845" s="35" t="n">
        <v>12.12</v>
      </c>
      <c r="Y3845" s="35" t="n"/>
    </row>
    <row r="3846">
      <c r="A3846" s="25" t="n">
        <v>44498</v>
      </c>
      <c r="B3846" s="18" t="n">
        <v>103500.71</v>
      </c>
      <c r="C3846" s="31" t="n"/>
      <c r="D3846" s="32" t="n"/>
      <c r="E3846" s="33" t="n">
        <v>0.035</v>
      </c>
      <c r="F3846" t="inlineStr">
        <is>
          <t>Up</t>
        </is>
      </c>
      <c r="G3846" t="inlineStr">
        <is>
          <t>Up</t>
        </is>
      </c>
      <c r="H3846" t="inlineStr">
        <is>
          <t>EU_JU</t>
        </is>
      </c>
      <c r="I3846" t="inlineStr">
        <is>
          <t>2021-10</t>
        </is>
      </c>
      <c r="J3846" t="n">
        <v>1</v>
      </c>
      <c r="K3846" t="n">
        <v>1</v>
      </c>
      <c r="L3846" s="34">
        <f>IF($J3846=1,LN(B3847/B3846),"")</f>
        <v/>
      </c>
      <c r="M3846" s="34">
        <f>IF($K3846=1,INDEX(Mensal!$D$2:$D$245,MATCH($I3846,Mensal!$A$2:$A$245,0)),"")</f>
        <v/>
      </c>
      <c r="N3846" s="34">
        <f>IF($K3846=1,L3846-M3846,"")</f>
        <v/>
      </c>
      <c r="O3846" s="34" t="n">
        <v>0.00029256</v>
      </c>
      <c r="P3846" s="34">
        <f>IF($J3846=1,LN(1+O3846),"")</f>
        <v/>
      </c>
      <c r="Q3846" s="34">
        <f>IF($J3846=1,LN(R3847/R3846),"")</f>
        <v/>
      </c>
      <c r="R3846" s="32" t="n">
        <v>5.643</v>
      </c>
      <c r="S3846" s="35" t="n">
        <v>11.92</v>
      </c>
      <c r="T3846" s="18" t="n"/>
      <c r="U3846" s="18" t="n">
        <v>103500.71</v>
      </c>
      <c r="V3846" s="18" t="n"/>
      <c r="W3846" s="18" t="n"/>
      <c r="X3846" s="35" t="n">
        <v>11.92</v>
      </c>
      <c r="Y3846" s="35" t="n"/>
    </row>
    <row r="3847">
      <c r="A3847" s="25" t="n">
        <v>44501</v>
      </c>
      <c r="B3847" s="18" t="n">
        <v>105550.86</v>
      </c>
      <c r="C3847" s="31" t="n"/>
      <c r="D3847" s="32" t="n"/>
      <c r="E3847" s="33" t="n">
        <v>-0.0253</v>
      </c>
      <c r="F3847" t="inlineStr">
        <is>
          <t>Up</t>
        </is>
      </c>
      <c r="G3847" t="inlineStr">
        <is>
          <t>Up</t>
        </is>
      </c>
      <c r="H3847" t="inlineStr">
        <is>
          <t>EU_JU</t>
        </is>
      </c>
      <c r="I3847" t="inlineStr">
        <is>
          <t>2021-11</t>
        </is>
      </c>
      <c r="J3847" t="n">
        <v>1</v>
      </c>
      <c r="K3847" t="n">
        <v>1</v>
      </c>
      <c r="L3847" s="34">
        <f>IF($J3847=1,LN(B3848/B3847),"")</f>
        <v/>
      </c>
      <c r="M3847" s="34">
        <f>IF($K3847=1,INDEX(Mensal!$D$2:$D$245,MATCH($I3847,Mensal!$A$2:$A$245,0)),"")</f>
        <v/>
      </c>
      <c r="N3847" s="34">
        <f>IF($K3847=1,L3847-M3847,"")</f>
        <v/>
      </c>
      <c r="O3847" s="34" t="n">
        <v>0.00029256</v>
      </c>
      <c r="P3847" s="34">
        <f>IF($J3847=1,LN(1+O3847),"")</f>
        <v/>
      </c>
      <c r="Q3847" s="34">
        <f>IF($J3847=1,LN(R3848/R3847),"")</f>
        <v/>
      </c>
      <c r="R3847" s="32" t="n">
        <v>5.6694</v>
      </c>
      <c r="S3847" s="35" t="n">
        <v>12.08</v>
      </c>
      <c r="T3847" s="18" t="n"/>
      <c r="U3847" s="18" t="n">
        <v>105550.86</v>
      </c>
      <c r="V3847" s="18" t="n"/>
      <c r="W3847" s="18" t="n"/>
      <c r="X3847" s="35" t="n">
        <v>12.08</v>
      </c>
      <c r="Y3847" s="35" t="n"/>
    </row>
    <row r="3848">
      <c r="A3848" s="25" t="n">
        <v>44503</v>
      </c>
      <c r="B3848" s="18" t="n">
        <v>105616.88</v>
      </c>
      <c r="C3848" s="31" t="n"/>
      <c r="D3848" s="32" t="n"/>
      <c r="E3848" s="33" t="n">
        <v>-0.0926</v>
      </c>
      <c r="F3848" t="inlineStr">
        <is>
          <t>Up</t>
        </is>
      </c>
      <c r="G3848" t="inlineStr">
        <is>
          <t>Up</t>
        </is>
      </c>
      <c r="H3848" t="inlineStr">
        <is>
          <t>EU_JU</t>
        </is>
      </c>
      <c r="I3848" t="inlineStr">
        <is>
          <t>2021-11</t>
        </is>
      </c>
      <c r="J3848" t="n">
        <v>1</v>
      </c>
      <c r="K3848" t="n">
        <v>1</v>
      </c>
      <c r="L3848" s="34">
        <f>IF($J3848=1,LN(B3849/B3848),"")</f>
        <v/>
      </c>
      <c r="M3848" s="34">
        <f>IF($K3848=1,INDEX(Mensal!$D$2:$D$245,MATCH($I3848,Mensal!$A$2:$A$245,0)),"")</f>
        <v/>
      </c>
      <c r="N3848" s="34">
        <f>IF($K3848=1,L3848-M3848,"")</f>
        <v/>
      </c>
      <c r="O3848" s="34" t="n">
        <v>0.00029256</v>
      </c>
      <c r="P3848" s="34">
        <f>IF($J3848=1,LN(1+O3848),"")</f>
        <v/>
      </c>
      <c r="Q3848" s="34">
        <f>IF($J3848=1,LN(R3849/R3848),"")</f>
        <v/>
      </c>
      <c r="R3848" s="32" t="n">
        <v>5.6672</v>
      </c>
      <c r="S3848" s="35" t="n">
        <v>11.89</v>
      </c>
      <c r="T3848" s="18" t="n"/>
      <c r="U3848" s="18" t="n">
        <v>105616.88</v>
      </c>
      <c r="V3848" s="18" t="n"/>
      <c r="W3848" s="18" t="n"/>
      <c r="X3848" s="35" t="n">
        <v>11.89</v>
      </c>
      <c r="Y3848" s="35" t="n"/>
    </row>
    <row r="3849">
      <c r="A3849" s="25" t="n">
        <v>44504</v>
      </c>
      <c r="B3849" s="18" t="n">
        <v>103412.09</v>
      </c>
      <c r="C3849" s="31" t="n"/>
      <c r="D3849" s="32" t="n"/>
      <c r="E3849" s="33" t="n">
        <v>-0.1484</v>
      </c>
      <c r="F3849" t="inlineStr">
        <is>
          <t>Up</t>
        </is>
      </c>
      <c r="G3849" t="inlineStr">
        <is>
          <t>Up</t>
        </is>
      </c>
      <c r="H3849" t="inlineStr">
        <is>
          <t>EU_JU</t>
        </is>
      </c>
      <c r="I3849" t="inlineStr">
        <is>
          <t>2021-11</t>
        </is>
      </c>
      <c r="J3849" t="n">
        <v>1</v>
      </c>
      <c r="K3849" t="n">
        <v>1</v>
      </c>
      <c r="L3849" s="34">
        <f>IF($J3849=1,LN(B3850/B3849),"")</f>
        <v/>
      </c>
      <c r="M3849" s="34">
        <f>IF($K3849=1,INDEX(Mensal!$D$2:$D$245,MATCH($I3849,Mensal!$A$2:$A$245,0)),"")</f>
        <v/>
      </c>
      <c r="N3849" s="34">
        <f>IF($K3849=1,L3849-M3849,"")</f>
        <v/>
      </c>
      <c r="O3849" s="34" t="n">
        <v>0.00029256</v>
      </c>
      <c r="P3849" s="34">
        <f>IF($J3849=1,LN(1+O3849),"")</f>
        <v/>
      </c>
      <c r="Q3849" s="34">
        <f>IF($J3849=1,LN(R3850/R3849),"")</f>
        <v/>
      </c>
      <c r="R3849" s="32" t="n">
        <v>5.5942</v>
      </c>
      <c r="S3849" s="35" t="n">
        <v>11.9</v>
      </c>
      <c r="T3849" s="18" t="n"/>
      <c r="U3849" s="18" t="n">
        <v>103412.09</v>
      </c>
      <c r="V3849" s="18" t="n"/>
      <c r="W3849" s="18" t="n"/>
      <c r="X3849" s="35" t="n">
        <v>11.9</v>
      </c>
      <c r="Y3849" s="35" t="n"/>
    </row>
    <row r="3850">
      <c r="A3850" s="25" t="n">
        <v>44505</v>
      </c>
      <c r="B3850" s="18" t="n">
        <v>104824.23</v>
      </c>
      <c r="C3850" s="31" t="n"/>
      <c r="D3850" s="32" t="n"/>
      <c r="E3850" s="33" t="n">
        <v>-0.2014</v>
      </c>
      <c r="F3850" t="inlineStr">
        <is>
          <t>Up</t>
        </is>
      </c>
      <c r="G3850" t="inlineStr">
        <is>
          <t>Up</t>
        </is>
      </c>
      <c r="H3850" t="inlineStr">
        <is>
          <t>EU_JU</t>
        </is>
      </c>
      <c r="I3850" t="inlineStr">
        <is>
          <t>2021-11</t>
        </is>
      </c>
      <c r="J3850" t="n">
        <v>1</v>
      </c>
      <c r="K3850" t="n">
        <v>1</v>
      </c>
      <c r="L3850" s="34">
        <f>IF($J3850=1,LN(B3851/B3850),"")</f>
        <v/>
      </c>
      <c r="M3850" s="34">
        <f>IF($K3850=1,INDEX(Mensal!$D$2:$D$245,MATCH($I3850,Mensal!$A$2:$A$245,0)),"")</f>
        <v/>
      </c>
      <c r="N3850" s="34">
        <f>IF($K3850=1,L3850-M3850,"")</f>
        <v/>
      </c>
      <c r="O3850" s="34" t="n">
        <v>0.00029256</v>
      </c>
      <c r="P3850" s="34">
        <f>IF($J3850=1,LN(1+O3850),"")</f>
        <v/>
      </c>
      <c r="Q3850" s="34">
        <f>IF($J3850=1,LN(R3851/R3850),"")</f>
        <v/>
      </c>
      <c r="R3850" s="32" t="n">
        <v>5.5455</v>
      </c>
      <c r="S3850" s="35" t="n">
        <v>11.84</v>
      </c>
      <c r="T3850" s="18" t="n"/>
      <c r="U3850" s="18" t="n">
        <v>104824.23</v>
      </c>
      <c r="V3850" s="18" t="n"/>
      <c r="W3850" s="18" t="n"/>
      <c r="X3850" s="35" t="n">
        <v>11.84</v>
      </c>
      <c r="Y3850" s="35" t="n"/>
    </row>
    <row r="3851">
      <c r="A3851" s="25" t="n">
        <v>44508</v>
      </c>
      <c r="B3851" s="18" t="n">
        <v>104781.13</v>
      </c>
      <c r="C3851" s="31" t="n"/>
      <c r="D3851" s="32" t="n"/>
      <c r="E3851" s="33" t="n">
        <v>-0.2583</v>
      </c>
      <c r="F3851" t="inlineStr">
        <is>
          <t>Up</t>
        </is>
      </c>
      <c r="G3851" t="inlineStr">
        <is>
          <t>Up</t>
        </is>
      </c>
      <c r="H3851" t="inlineStr">
        <is>
          <t>EU_JU</t>
        </is>
      </c>
      <c r="I3851" t="inlineStr">
        <is>
          <t>2021-11</t>
        </is>
      </c>
      <c r="J3851" t="n">
        <v>1</v>
      </c>
      <c r="K3851" t="n">
        <v>1</v>
      </c>
      <c r="L3851" s="34">
        <f>IF($J3851=1,LN(B3852/B3851),"")</f>
        <v/>
      </c>
      <c r="M3851" s="34">
        <f>IF($K3851=1,INDEX(Mensal!$D$2:$D$245,MATCH($I3851,Mensal!$A$2:$A$245,0)),"")</f>
        <v/>
      </c>
      <c r="N3851" s="34">
        <f>IF($K3851=1,L3851-M3851,"")</f>
        <v/>
      </c>
      <c r="O3851" s="34" t="n">
        <v>0.00029256</v>
      </c>
      <c r="P3851" s="34">
        <f>IF($J3851=1,LN(1+O3851),"")</f>
        <v/>
      </c>
      <c r="Q3851" s="34">
        <f>IF($J3851=1,LN(R3852/R3851),"")</f>
        <v/>
      </c>
      <c r="R3851" s="32" t="n">
        <v>5.5627</v>
      </c>
      <c r="S3851" s="35" t="n">
        <v>12.01</v>
      </c>
      <c r="T3851" s="18" t="n"/>
      <c r="U3851" s="18" t="n">
        <v>104781.13</v>
      </c>
      <c r="V3851" s="18" t="n"/>
      <c r="W3851" s="18" t="n"/>
      <c r="X3851" s="35" t="n">
        <v>12.01</v>
      </c>
      <c r="Y3851" s="35" t="n"/>
    </row>
    <row r="3852">
      <c r="A3852" s="25" t="n">
        <v>44509</v>
      </c>
      <c r="B3852" s="18" t="n">
        <v>105535.08</v>
      </c>
      <c r="C3852" s="31" t="n"/>
      <c r="D3852" s="32" t="n"/>
      <c r="E3852" s="33" t="n">
        <v>-0.3053</v>
      </c>
      <c r="F3852" t="inlineStr">
        <is>
          <t>Up</t>
        </is>
      </c>
      <c r="G3852" t="inlineStr">
        <is>
          <t>Up</t>
        </is>
      </c>
      <c r="H3852" t="inlineStr">
        <is>
          <t>EU_JU</t>
        </is>
      </c>
      <c r="I3852" t="inlineStr">
        <is>
          <t>2021-11</t>
        </is>
      </c>
      <c r="J3852" t="n">
        <v>1</v>
      </c>
      <c r="K3852" t="n">
        <v>1</v>
      </c>
      <c r="L3852" s="34">
        <f>IF($J3852=1,LN(B3853/B3852),"")</f>
        <v/>
      </c>
      <c r="M3852" s="34">
        <f>IF($K3852=1,INDEX(Mensal!$D$2:$D$245,MATCH($I3852,Mensal!$A$2:$A$245,0)),"")</f>
        <v/>
      </c>
      <c r="N3852" s="34">
        <f>IF($K3852=1,L3852-M3852,"")</f>
        <v/>
      </c>
      <c r="O3852" s="34" t="n">
        <v>0.00029256</v>
      </c>
      <c r="P3852" s="34">
        <f>IF($J3852=1,LN(1+O3852),"")</f>
        <v/>
      </c>
      <c r="Q3852" s="34">
        <f>IF($J3852=1,LN(R3853/R3852),"")</f>
        <v/>
      </c>
      <c r="R3852" s="32" t="n">
        <v>5.4957</v>
      </c>
      <c r="S3852" s="35" t="n">
        <v>11.96</v>
      </c>
      <c r="T3852" s="18" t="n"/>
      <c r="U3852" s="18" t="n">
        <v>105535.08</v>
      </c>
      <c r="V3852" s="18" t="n"/>
      <c r="W3852" s="18" t="n"/>
      <c r="X3852" s="35" t="n">
        <v>11.96</v>
      </c>
      <c r="Y3852" s="35" t="n"/>
    </row>
    <row r="3853">
      <c r="A3853" s="25" t="n">
        <v>44510</v>
      </c>
      <c r="B3853" s="18" t="n">
        <v>105967.51</v>
      </c>
      <c r="C3853" s="31" t="n"/>
      <c r="D3853" s="32" t="n"/>
      <c r="E3853" s="33" t="n">
        <v>-0.343</v>
      </c>
      <c r="F3853" t="inlineStr">
        <is>
          <t>Up</t>
        </is>
      </c>
      <c r="G3853" t="inlineStr">
        <is>
          <t>Up</t>
        </is>
      </c>
      <c r="H3853" t="inlineStr">
        <is>
          <t>EU_JU</t>
        </is>
      </c>
      <c r="I3853" t="inlineStr">
        <is>
          <t>2021-11</t>
        </is>
      </c>
      <c r="J3853" t="n">
        <v>1</v>
      </c>
      <c r="K3853" t="n">
        <v>1</v>
      </c>
      <c r="L3853" s="34">
        <f>IF($J3853=1,LN(B3854/B3853),"")</f>
        <v/>
      </c>
      <c r="M3853" s="34">
        <f>IF($K3853=1,INDEX(Mensal!$D$2:$D$245,MATCH($I3853,Mensal!$A$2:$A$245,0)),"")</f>
        <v/>
      </c>
      <c r="N3853" s="34">
        <f>IF($K3853=1,L3853-M3853,"")</f>
        <v/>
      </c>
      <c r="O3853" s="34" t="n">
        <v>0.00029256</v>
      </c>
      <c r="P3853" s="34">
        <f>IF($J3853=1,LN(1+O3853),"")</f>
        <v/>
      </c>
      <c r="Q3853" s="34">
        <f>IF($J3853=1,LN(R3854/R3853),"")</f>
        <v/>
      </c>
      <c r="R3853" s="32" t="n">
        <v>5.459</v>
      </c>
      <c r="S3853" s="35" t="n">
        <v>12.03</v>
      </c>
      <c r="T3853" s="18" t="n"/>
      <c r="U3853" s="18" t="n">
        <v>105967.51</v>
      </c>
      <c r="V3853" s="18" t="n"/>
      <c r="W3853" s="18" t="n"/>
      <c r="X3853" s="35" t="n">
        <v>12.03</v>
      </c>
      <c r="Y3853" s="35" t="n"/>
    </row>
    <row r="3854">
      <c r="A3854" s="25" t="n">
        <v>44511</v>
      </c>
      <c r="B3854" s="18" t="n">
        <v>107594.67</v>
      </c>
      <c r="C3854" s="31" t="n"/>
      <c r="D3854" s="32" t="n"/>
      <c r="E3854" s="33" t="n">
        <v>-0.3768</v>
      </c>
      <c r="F3854" t="inlineStr">
        <is>
          <t>Up</t>
        </is>
      </c>
      <c r="G3854" t="inlineStr">
        <is>
          <t>Up</t>
        </is>
      </c>
      <c r="H3854" t="inlineStr">
        <is>
          <t>EU_JU</t>
        </is>
      </c>
      <c r="I3854" t="inlineStr">
        <is>
          <t>2021-11</t>
        </is>
      </c>
      <c r="J3854" t="n">
        <v>1</v>
      </c>
      <c r="K3854" t="n">
        <v>1</v>
      </c>
      <c r="L3854" s="34">
        <f>IF($J3854=1,LN(B3855/B3854),"")</f>
        <v/>
      </c>
      <c r="M3854" s="34">
        <f>IF($K3854=1,INDEX(Mensal!$D$2:$D$245,MATCH($I3854,Mensal!$A$2:$A$245,0)),"")</f>
        <v/>
      </c>
      <c r="N3854" s="34">
        <f>IF($K3854=1,L3854-M3854,"")</f>
        <v/>
      </c>
      <c r="O3854" s="34" t="n">
        <v>0.00029256</v>
      </c>
      <c r="P3854" s="34">
        <f>IF($J3854=1,LN(1+O3854),"")</f>
        <v/>
      </c>
      <c r="Q3854" s="34">
        <f>IF($J3854=1,LN(R3855/R3854),"")</f>
        <v/>
      </c>
      <c r="R3854" s="32" t="n">
        <v>5.4171</v>
      </c>
      <c r="S3854" s="35" t="n">
        <v>11.8</v>
      </c>
      <c r="T3854" s="18" t="n"/>
      <c r="U3854" s="18" t="n">
        <v>107594.67</v>
      </c>
      <c r="V3854" s="18" t="n"/>
      <c r="W3854" s="18" t="n"/>
      <c r="X3854" s="35" t="n">
        <v>11.8</v>
      </c>
      <c r="Y3854" s="35" t="n"/>
    </row>
    <row r="3855">
      <c r="A3855" s="25" t="n">
        <v>44512</v>
      </c>
      <c r="B3855" s="18" t="n">
        <v>106334.54</v>
      </c>
      <c r="C3855" s="31" t="n"/>
      <c r="D3855" s="32" t="n"/>
      <c r="E3855" s="33" t="n">
        <v>-0.4167</v>
      </c>
      <c r="F3855" t="inlineStr">
        <is>
          <t>Up</t>
        </is>
      </c>
      <c r="G3855" t="inlineStr">
        <is>
          <t>Up</t>
        </is>
      </c>
      <c r="H3855" t="inlineStr">
        <is>
          <t>EU_JU</t>
        </is>
      </c>
      <c r="I3855" t="inlineStr">
        <is>
          <t>2021-11</t>
        </is>
      </c>
      <c r="J3855" t="n">
        <v>1</v>
      </c>
      <c r="K3855" t="n">
        <v>1</v>
      </c>
      <c r="L3855" s="34">
        <f>IF($J3855=1,LN(B3856/B3855),"")</f>
        <v/>
      </c>
      <c r="M3855" s="34">
        <f>IF($K3855=1,INDEX(Mensal!$D$2:$D$245,MATCH($I3855,Mensal!$A$2:$A$245,0)),"")</f>
        <v/>
      </c>
      <c r="N3855" s="34">
        <f>IF($K3855=1,L3855-M3855,"")</f>
        <v/>
      </c>
      <c r="O3855" s="34" t="n">
        <v>0.00029256</v>
      </c>
      <c r="P3855" s="34">
        <f>IF($J3855=1,LN(1+O3855),"")</f>
        <v/>
      </c>
      <c r="Q3855" s="34">
        <f>IF($J3855=1,LN(R3856/R3855),"")</f>
        <v/>
      </c>
      <c r="R3855" s="32" t="n">
        <v>5.4199</v>
      </c>
      <c r="S3855" s="35" t="n">
        <v>11.78</v>
      </c>
      <c r="T3855" s="18" t="n"/>
      <c r="U3855" s="18" t="n">
        <v>106334.54</v>
      </c>
      <c r="V3855" s="18" t="n"/>
      <c r="W3855" s="18" t="n"/>
      <c r="X3855" s="35" t="n">
        <v>11.78</v>
      </c>
      <c r="Y3855" s="35" t="n"/>
    </row>
    <row r="3856">
      <c r="A3856" s="25" t="n">
        <v>44516</v>
      </c>
      <c r="B3856" s="18" t="n">
        <v>104403.66</v>
      </c>
      <c r="C3856" s="31" t="n"/>
      <c r="D3856" s="32" t="n"/>
      <c r="E3856" s="33" t="n">
        <v>-0.4532</v>
      </c>
      <c r="F3856" t="inlineStr">
        <is>
          <t>Up</t>
        </is>
      </c>
      <c r="G3856" t="inlineStr">
        <is>
          <t>Up</t>
        </is>
      </c>
      <c r="H3856" t="inlineStr">
        <is>
          <t>EU_JU</t>
        </is>
      </c>
      <c r="I3856" t="inlineStr">
        <is>
          <t>2021-11</t>
        </is>
      </c>
      <c r="J3856" t="n">
        <v>1</v>
      </c>
      <c r="K3856" t="n">
        <v>1</v>
      </c>
      <c r="L3856" s="34">
        <f>IF($J3856=1,LN(B3857/B3856),"")</f>
        <v/>
      </c>
      <c r="M3856" s="34">
        <f>IF($K3856=1,INDEX(Mensal!$D$2:$D$245,MATCH($I3856,Mensal!$A$2:$A$245,0)),"")</f>
        <v/>
      </c>
      <c r="N3856" s="34">
        <f>IF($K3856=1,L3856-M3856,"")</f>
        <v/>
      </c>
      <c r="O3856" s="34" t="n">
        <v>0.00029256</v>
      </c>
      <c r="P3856" s="34">
        <f>IF($J3856=1,LN(1+O3856),"")</f>
        <v/>
      </c>
      <c r="Q3856" s="34">
        <f>IF($J3856=1,LN(R3857/R3856),"")</f>
        <v/>
      </c>
      <c r="R3856" s="32" t="n">
        <v>5.4772</v>
      </c>
      <c r="S3856" s="35" t="n">
        <v>11.85</v>
      </c>
      <c r="T3856" s="18" t="n"/>
      <c r="U3856" s="18" t="n">
        <v>104403.66</v>
      </c>
      <c r="V3856" s="18" t="n"/>
      <c r="W3856" s="18" t="n"/>
      <c r="X3856" s="35" t="n">
        <v>11.85</v>
      </c>
      <c r="Y3856" s="35" t="n"/>
    </row>
    <row r="3857">
      <c r="A3857" s="25" t="n">
        <v>44517</v>
      </c>
      <c r="B3857" s="18" t="n">
        <v>102948.45</v>
      </c>
      <c r="C3857" s="31" t="n"/>
      <c r="D3857" s="32" t="n"/>
      <c r="E3857" s="33" t="n">
        <v>-0.4905</v>
      </c>
      <c r="F3857" t="inlineStr">
        <is>
          <t>Up</t>
        </is>
      </c>
      <c r="G3857" t="inlineStr">
        <is>
          <t>Up</t>
        </is>
      </c>
      <c r="H3857" t="inlineStr">
        <is>
          <t>EU_JU</t>
        </is>
      </c>
      <c r="I3857" t="inlineStr">
        <is>
          <t>2021-11</t>
        </is>
      </c>
      <c r="J3857" t="n">
        <v>1</v>
      </c>
      <c r="K3857" t="n">
        <v>1</v>
      </c>
      <c r="L3857" s="34">
        <f>IF($J3857=1,LN(B3858/B3857),"")</f>
        <v/>
      </c>
      <c r="M3857" s="34">
        <f>IF($K3857=1,INDEX(Mensal!$D$2:$D$245,MATCH($I3857,Mensal!$A$2:$A$245,0)),"")</f>
        <v/>
      </c>
      <c r="N3857" s="34">
        <f>IF($K3857=1,L3857-M3857,"")</f>
        <v/>
      </c>
      <c r="O3857" s="34" t="n">
        <v>0.00029256</v>
      </c>
      <c r="P3857" s="34">
        <f>IF($J3857=1,LN(1+O3857),"")</f>
        <v/>
      </c>
      <c r="Q3857" s="34">
        <f>IF($J3857=1,LN(R3858/R3857),"")</f>
        <v/>
      </c>
      <c r="R3857" s="32" t="n">
        <v>5.4993</v>
      </c>
      <c r="S3857" s="35" t="n">
        <v>11.9</v>
      </c>
      <c r="T3857" s="18" t="n"/>
      <c r="U3857" s="18" t="n">
        <v>102948.45</v>
      </c>
      <c r="V3857" s="18" t="n"/>
      <c r="W3857" s="18" t="n"/>
      <c r="X3857" s="35" t="n">
        <v>11.9</v>
      </c>
      <c r="Y3857" s="35" t="n"/>
    </row>
    <row r="3858">
      <c r="A3858" s="25" t="n">
        <v>44518</v>
      </c>
      <c r="B3858" s="18" t="n">
        <v>102426</v>
      </c>
      <c r="C3858" s="31" t="n"/>
      <c r="D3858" s="32" t="n"/>
      <c r="E3858" s="33" t="n">
        <v>-0.5288</v>
      </c>
      <c r="F3858" t="inlineStr">
        <is>
          <t>Up</t>
        </is>
      </c>
      <c r="G3858" t="inlineStr">
        <is>
          <t>Up</t>
        </is>
      </c>
      <c r="H3858" t="inlineStr">
        <is>
          <t>EU_JU</t>
        </is>
      </c>
      <c r="I3858" t="inlineStr">
        <is>
          <t>2021-11</t>
        </is>
      </c>
      <c r="J3858" t="n">
        <v>1</v>
      </c>
      <c r="K3858" t="n">
        <v>1</v>
      </c>
      <c r="L3858" s="34">
        <f>IF($J3858=1,LN(B3859/B3858),"")</f>
        <v/>
      </c>
      <c r="M3858" s="34">
        <f>IF($K3858=1,INDEX(Mensal!$D$2:$D$245,MATCH($I3858,Mensal!$A$2:$A$245,0)),"")</f>
        <v/>
      </c>
      <c r="N3858" s="34">
        <f>IF($K3858=1,L3858-M3858,"")</f>
        <v/>
      </c>
      <c r="O3858" s="34" t="n">
        <v>0.00029256</v>
      </c>
      <c r="P3858" s="34">
        <f>IF($J3858=1,LN(1+O3858),"")</f>
        <v/>
      </c>
      <c r="Q3858" s="34">
        <f>IF($J3858=1,LN(R3859/R3858),"")</f>
        <v/>
      </c>
      <c r="R3858" s="32" t="n">
        <v>5.547</v>
      </c>
      <c r="S3858" s="35" t="n">
        <v>12.03</v>
      </c>
      <c r="T3858" s="18" t="n"/>
      <c r="U3858" s="18" t="n">
        <v>102426</v>
      </c>
      <c r="V3858" s="18" t="n"/>
      <c r="W3858" s="18" t="n"/>
      <c r="X3858" s="35" t="n">
        <v>12.03</v>
      </c>
      <c r="Y3858" s="35" t="n"/>
    </row>
    <row r="3859">
      <c r="A3859" s="25" t="n">
        <v>44519</v>
      </c>
      <c r="B3859" s="18" t="n">
        <v>103035.02</v>
      </c>
      <c r="C3859" s="31" t="n"/>
      <c r="D3859" s="32" t="n"/>
      <c r="E3859" s="33" t="n">
        <v>-0.5647</v>
      </c>
      <c r="F3859" t="inlineStr">
        <is>
          <t>Up</t>
        </is>
      </c>
      <c r="G3859" t="inlineStr">
        <is>
          <t>Up</t>
        </is>
      </c>
      <c r="H3859" t="inlineStr">
        <is>
          <t>EU_JU</t>
        </is>
      </c>
      <c r="I3859" t="inlineStr">
        <is>
          <t>2021-11</t>
        </is>
      </c>
      <c r="J3859" t="n">
        <v>1</v>
      </c>
      <c r="K3859" t="n">
        <v>1</v>
      </c>
      <c r="L3859" s="34">
        <f>IF($J3859=1,LN(B3860/B3859),"")</f>
        <v/>
      </c>
      <c r="M3859" s="34">
        <f>IF($K3859=1,INDEX(Mensal!$D$2:$D$245,MATCH($I3859,Mensal!$A$2:$A$245,0)),"")</f>
        <v/>
      </c>
      <c r="N3859" s="34">
        <f>IF($K3859=1,L3859-M3859,"")</f>
        <v/>
      </c>
      <c r="O3859" s="34" t="n">
        <v>0.00029256</v>
      </c>
      <c r="P3859" s="34">
        <f>IF($J3859=1,LN(1+O3859),"")</f>
        <v/>
      </c>
      <c r="Q3859" s="34">
        <f>IF($J3859=1,LN(R3860/R3859),"")</f>
        <v/>
      </c>
      <c r="R3859" s="32" t="n">
        <v>5.5584</v>
      </c>
      <c r="S3859" s="35" t="n">
        <v>11.93</v>
      </c>
      <c r="T3859" s="18" t="n"/>
      <c r="U3859" s="18" t="n">
        <v>103035.02</v>
      </c>
      <c r="V3859" s="18" t="n"/>
      <c r="W3859" s="18" t="n"/>
      <c r="X3859" s="35" t="n">
        <v>11.93</v>
      </c>
      <c r="Y3859" s="35" t="n"/>
    </row>
    <row r="3860">
      <c r="A3860" s="25" t="n">
        <v>44522</v>
      </c>
      <c r="B3860" s="18" t="n">
        <v>102122.37</v>
      </c>
      <c r="C3860" s="31" t="n"/>
      <c r="D3860" s="32" t="n"/>
      <c r="E3860" s="33" t="n">
        <v>-0.5955</v>
      </c>
      <c r="F3860" t="inlineStr">
        <is>
          <t>Up</t>
        </is>
      </c>
      <c r="G3860" t="inlineStr">
        <is>
          <t>Up</t>
        </is>
      </c>
      <c r="H3860" t="inlineStr">
        <is>
          <t>EU_JU</t>
        </is>
      </c>
      <c r="I3860" t="inlineStr">
        <is>
          <t>2021-11</t>
        </is>
      </c>
      <c r="J3860" t="n">
        <v>1</v>
      </c>
      <c r="K3860" t="n">
        <v>1</v>
      </c>
      <c r="L3860" s="34">
        <f>IF($J3860=1,LN(B3861/B3860),"")</f>
        <v/>
      </c>
      <c r="M3860" s="34">
        <f>IF($K3860=1,INDEX(Mensal!$D$2:$D$245,MATCH($I3860,Mensal!$A$2:$A$245,0)),"")</f>
        <v/>
      </c>
      <c r="N3860" s="34">
        <f>IF($K3860=1,L3860-M3860,"")</f>
        <v/>
      </c>
      <c r="O3860" s="34" t="n">
        <v>0.00029256</v>
      </c>
      <c r="P3860" s="34">
        <f>IF($J3860=1,LN(1+O3860),"")</f>
        <v/>
      </c>
      <c r="Q3860" s="34">
        <f>IF($J3860=1,LN(R3861/R3860),"")</f>
        <v/>
      </c>
      <c r="R3860" s="32" t="n">
        <v>5.5841</v>
      </c>
      <c r="S3860" s="35" t="n">
        <v>12.21</v>
      </c>
      <c r="T3860" s="18" t="n"/>
      <c r="U3860" s="18" t="n">
        <v>102122.37</v>
      </c>
      <c r="V3860" s="18" t="n"/>
      <c r="W3860" s="18" t="n"/>
      <c r="X3860" s="35" t="n">
        <v>12.21</v>
      </c>
      <c r="Y3860" s="35" t="n"/>
    </row>
    <row r="3861">
      <c r="A3861" s="25" t="n">
        <v>44523</v>
      </c>
      <c r="B3861" s="18" t="n">
        <v>103653.82</v>
      </c>
      <c r="C3861" s="31" t="n"/>
      <c r="D3861" s="32" t="n"/>
      <c r="E3861" s="33" t="n">
        <v>-0.6306</v>
      </c>
      <c r="F3861" t="inlineStr">
        <is>
          <t>Up</t>
        </is>
      </c>
      <c r="G3861" t="inlineStr">
        <is>
          <t>Up</t>
        </is>
      </c>
      <c r="H3861" t="inlineStr">
        <is>
          <t>EU_JU</t>
        </is>
      </c>
      <c r="I3861" t="inlineStr">
        <is>
          <t>2021-11</t>
        </is>
      </c>
      <c r="J3861" t="n">
        <v>1</v>
      </c>
      <c r="K3861" t="n">
        <v>1</v>
      </c>
      <c r="L3861" s="34">
        <f>IF($J3861=1,LN(B3862/B3861),"")</f>
        <v/>
      </c>
      <c r="M3861" s="34">
        <f>IF($K3861=1,INDEX(Mensal!$D$2:$D$245,MATCH($I3861,Mensal!$A$2:$A$245,0)),"")</f>
        <v/>
      </c>
      <c r="N3861" s="34">
        <f>IF($K3861=1,L3861-M3861,"")</f>
        <v/>
      </c>
      <c r="O3861" s="34" t="n">
        <v>0.00029256</v>
      </c>
      <c r="P3861" s="34">
        <f>IF($J3861=1,LN(1+O3861),"")</f>
        <v/>
      </c>
      <c r="Q3861" s="34">
        <f>IF($J3861=1,LN(R3862/R3861),"")</f>
        <v/>
      </c>
      <c r="R3861" s="32" t="n">
        <v>5.6456</v>
      </c>
      <c r="S3861" s="35" t="n">
        <v>12.15</v>
      </c>
      <c r="T3861" s="18" t="n"/>
      <c r="U3861" s="18" t="n">
        <v>103653.82</v>
      </c>
      <c r="V3861" s="18" t="n"/>
      <c r="W3861" s="18" t="n"/>
      <c r="X3861" s="35" t="n">
        <v>12.15</v>
      </c>
      <c r="Y3861" s="35" t="n"/>
    </row>
    <row r="3862">
      <c r="A3862" s="25" t="n">
        <v>44524</v>
      </c>
      <c r="B3862" s="18" t="n">
        <v>104514.19</v>
      </c>
      <c r="C3862" s="31" t="n"/>
      <c r="D3862" s="32" t="n"/>
      <c r="E3862" s="33" t="n">
        <v>-0.6679</v>
      </c>
      <c r="F3862" t="inlineStr">
        <is>
          <t>Up</t>
        </is>
      </c>
      <c r="G3862" t="inlineStr">
        <is>
          <t>Up</t>
        </is>
      </c>
      <c r="H3862" t="inlineStr">
        <is>
          <t>EU_JU</t>
        </is>
      </c>
      <c r="I3862" t="inlineStr">
        <is>
          <t>2021-11</t>
        </is>
      </c>
      <c r="J3862" t="n">
        <v>1</v>
      </c>
      <c r="K3862" t="n">
        <v>1</v>
      </c>
      <c r="L3862" s="34">
        <f>IF($J3862=1,LN(B3863/B3862),"")</f>
        <v/>
      </c>
      <c r="M3862" s="34">
        <f>IF($K3862=1,INDEX(Mensal!$D$2:$D$245,MATCH($I3862,Mensal!$A$2:$A$245,0)),"")</f>
        <v/>
      </c>
      <c r="N3862" s="34">
        <f>IF($K3862=1,L3862-M3862,"")</f>
        <v/>
      </c>
      <c r="O3862" s="34" t="n">
        <v>0.00029256</v>
      </c>
      <c r="P3862" s="34">
        <f>IF($J3862=1,LN(1+O3862),"")</f>
        <v/>
      </c>
      <c r="Q3862" s="34">
        <f>IF($J3862=1,LN(R3863/R3862),"")</f>
        <v/>
      </c>
      <c r="R3862" s="32" t="n">
        <v>5.6027</v>
      </c>
      <c r="S3862" s="35" t="n">
        <v>11.99</v>
      </c>
      <c r="T3862" s="18" t="n"/>
      <c r="U3862" s="18" t="n">
        <v>104514.19</v>
      </c>
      <c r="V3862" s="18" t="n"/>
      <c r="W3862" s="18" t="n"/>
      <c r="X3862" s="35" t="n">
        <v>11.99</v>
      </c>
      <c r="Y3862" s="35" t="n"/>
    </row>
    <row r="3863">
      <c r="A3863" s="25" t="n">
        <v>44525</v>
      </c>
      <c r="B3863" s="18" t="n">
        <v>105811.25</v>
      </c>
      <c r="C3863" s="31" t="n"/>
      <c r="D3863" s="32" t="n"/>
      <c r="E3863" s="33" t="n">
        <v>-0.6917</v>
      </c>
      <c r="F3863" t="inlineStr">
        <is>
          <t>Up</t>
        </is>
      </c>
      <c r="G3863" t="inlineStr">
        <is>
          <t>Up</t>
        </is>
      </c>
      <c r="H3863" t="inlineStr">
        <is>
          <t>EU_JU</t>
        </is>
      </c>
      <c r="I3863" t="inlineStr">
        <is>
          <t>2021-11</t>
        </is>
      </c>
      <c r="J3863" t="n">
        <v>1</v>
      </c>
      <c r="K3863" t="n">
        <v>1</v>
      </c>
      <c r="L3863" s="34">
        <f>IF($J3863=1,LN(B3864/B3863),"")</f>
        <v/>
      </c>
      <c r="M3863" s="34">
        <f>IF($K3863=1,INDEX(Mensal!$D$2:$D$245,MATCH($I3863,Mensal!$A$2:$A$245,0)),"")</f>
        <v/>
      </c>
      <c r="N3863" s="34">
        <f>IF($K3863=1,L3863-M3863,"")</f>
        <v/>
      </c>
      <c r="O3863" s="34" t="n">
        <v>0.00029256</v>
      </c>
      <c r="P3863" s="34">
        <f>IF($J3863=1,LN(1+O3863),"")</f>
        <v/>
      </c>
      <c r="Q3863" s="34">
        <f>IF($J3863=1,LN(R3864/R3863),"")</f>
        <v/>
      </c>
      <c r="R3863" s="32" t="n">
        <v>5.574</v>
      </c>
      <c r="S3863" s="35" t="n">
        <v>11.96</v>
      </c>
      <c r="T3863" s="18" t="n"/>
      <c r="U3863" s="18" t="n">
        <v>105811.25</v>
      </c>
      <c r="V3863" s="18" t="n"/>
      <c r="W3863" s="18" t="n"/>
      <c r="X3863" s="35" t="n">
        <v>11.96</v>
      </c>
      <c r="Y3863" s="35" t="n"/>
    </row>
    <row r="3864">
      <c r="A3864" s="25" t="n">
        <v>44526</v>
      </c>
      <c r="B3864" s="18" t="n">
        <v>102224.26</v>
      </c>
      <c r="C3864" s="31" t="n"/>
      <c r="D3864" s="32" t="n"/>
      <c r="E3864" s="33" t="n">
        <v>-0.7124</v>
      </c>
      <c r="F3864" t="inlineStr">
        <is>
          <t>Up</t>
        </is>
      </c>
      <c r="G3864" t="inlineStr">
        <is>
          <t>Up</t>
        </is>
      </c>
      <c r="H3864" t="inlineStr">
        <is>
          <t>EU_JU</t>
        </is>
      </c>
      <c r="I3864" t="inlineStr">
        <is>
          <t>2021-11</t>
        </is>
      </c>
      <c r="J3864" t="n">
        <v>1</v>
      </c>
      <c r="K3864" t="n">
        <v>1</v>
      </c>
      <c r="L3864" s="34">
        <f>IF($J3864=1,LN(B3865/B3864),"")</f>
        <v/>
      </c>
      <c r="M3864" s="34">
        <f>IF($K3864=1,INDEX(Mensal!$D$2:$D$245,MATCH($I3864,Mensal!$A$2:$A$245,0)),"")</f>
        <v/>
      </c>
      <c r="N3864" s="34">
        <f>IF($K3864=1,L3864-M3864,"")</f>
        <v/>
      </c>
      <c r="O3864" s="34" t="n">
        <v>0.00029256</v>
      </c>
      <c r="P3864" s="34">
        <f>IF($J3864=1,LN(1+O3864),"")</f>
        <v/>
      </c>
      <c r="Q3864" s="34">
        <f>IF($J3864=1,LN(R3865/R3864),"")</f>
        <v/>
      </c>
      <c r="R3864" s="32" t="n">
        <v>5.5865</v>
      </c>
      <c r="S3864" s="35" t="n">
        <v>11.73</v>
      </c>
      <c r="T3864" s="18" t="n"/>
      <c r="U3864" s="18" t="n">
        <v>102224.26</v>
      </c>
      <c r="V3864" s="18" t="n"/>
      <c r="W3864" s="18" t="n"/>
      <c r="X3864" s="35" t="n">
        <v>11.73</v>
      </c>
      <c r="Y3864" s="35" t="n"/>
    </row>
    <row r="3865">
      <c r="A3865" s="25" t="n">
        <v>44529</v>
      </c>
      <c r="B3865" s="18" t="n">
        <v>102814.03</v>
      </c>
      <c r="C3865" s="31" t="n"/>
      <c r="D3865" s="32" t="n"/>
      <c r="E3865" s="33" t="n">
        <v>-0.7389</v>
      </c>
      <c r="F3865" t="inlineStr">
        <is>
          <t>Up</t>
        </is>
      </c>
      <c r="G3865" t="inlineStr">
        <is>
          <t>Up</t>
        </is>
      </c>
      <c r="H3865" t="inlineStr">
        <is>
          <t>EU_JU</t>
        </is>
      </c>
      <c r="I3865" t="inlineStr">
        <is>
          <t>2021-11</t>
        </is>
      </c>
      <c r="J3865" t="n">
        <v>1</v>
      </c>
      <c r="K3865" t="n">
        <v>1</v>
      </c>
      <c r="L3865" s="34">
        <f>IF($J3865=1,LN(B3866/B3865),"")</f>
        <v/>
      </c>
      <c r="M3865" s="34">
        <f>IF($K3865=1,INDEX(Mensal!$D$2:$D$245,MATCH($I3865,Mensal!$A$2:$A$245,0)),"")</f>
        <v/>
      </c>
      <c r="N3865" s="34">
        <f>IF($K3865=1,L3865-M3865,"")</f>
        <v/>
      </c>
      <c r="O3865" s="34" t="n">
        <v>0.00029256</v>
      </c>
      <c r="P3865" s="34">
        <f>IF($J3865=1,LN(1+O3865),"")</f>
        <v/>
      </c>
      <c r="Q3865" s="34">
        <f>IF($J3865=1,LN(R3866/R3865),"")</f>
        <v/>
      </c>
      <c r="R3865" s="32" t="n">
        <v>5.6118</v>
      </c>
      <c r="S3865" s="35" t="n">
        <v>11.74</v>
      </c>
      <c r="T3865" s="18" t="n"/>
      <c r="U3865" s="18" t="n">
        <v>102814.03</v>
      </c>
      <c r="V3865" s="18" t="n"/>
      <c r="W3865" s="18" t="n"/>
      <c r="X3865" s="35" t="n">
        <v>11.74</v>
      </c>
      <c r="Y3865" s="35" t="n"/>
    </row>
    <row r="3866">
      <c r="A3866" s="25" t="n">
        <v>44530</v>
      </c>
      <c r="B3866" s="18" t="n">
        <v>101915.45</v>
      </c>
      <c r="C3866" s="31" t="n"/>
      <c r="D3866" s="32" t="n"/>
      <c r="E3866" s="33" t="n">
        <v>-0.7694</v>
      </c>
      <c r="F3866" t="inlineStr">
        <is>
          <t>Up</t>
        </is>
      </c>
      <c r="G3866" t="inlineStr">
        <is>
          <t>Up</t>
        </is>
      </c>
      <c r="H3866" t="inlineStr">
        <is>
          <t>EU_JU</t>
        </is>
      </c>
      <c r="I3866" t="inlineStr">
        <is>
          <t>2021-11</t>
        </is>
      </c>
      <c r="J3866" t="n">
        <v>1</v>
      </c>
      <c r="K3866" t="n">
        <v>1</v>
      </c>
      <c r="L3866" s="34">
        <f>IF($J3866=1,LN(B3867/B3866),"")</f>
        <v/>
      </c>
      <c r="M3866" s="34">
        <f>IF($K3866=1,INDEX(Mensal!$D$2:$D$245,MATCH($I3866,Mensal!$A$2:$A$245,0)),"")</f>
        <v/>
      </c>
      <c r="N3866" s="34">
        <f>IF($K3866=1,L3866-M3866,"")</f>
        <v/>
      </c>
      <c r="O3866" s="34" t="n">
        <v>0.00029256</v>
      </c>
      <c r="P3866" s="34">
        <f>IF($J3866=1,LN(1+O3866),"")</f>
        <v/>
      </c>
      <c r="Q3866" s="34">
        <f>IF($J3866=1,LN(R3867/R3866),"")</f>
        <v/>
      </c>
      <c r="R3866" s="32" t="n">
        <v>5.6199</v>
      </c>
      <c r="S3866" s="35" t="n">
        <v>11.75</v>
      </c>
      <c r="T3866" s="18" t="n"/>
      <c r="U3866" s="18" t="n">
        <v>101915.45</v>
      </c>
      <c r="V3866" s="18" t="n"/>
      <c r="W3866" s="18" t="n"/>
      <c r="X3866" s="35" t="n">
        <v>11.75</v>
      </c>
      <c r="Y3866" s="35" t="n"/>
    </row>
    <row r="3867">
      <c r="A3867" s="25" t="n">
        <v>44531</v>
      </c>
      <c r="B3867" s="18" t="n">
        <v>100774.57</v>
      </c>
      <c r="C3867" s="31" t="n"/>
      <c r="D3867" s="32" t="n"/>
      <c r="E3867" s="33" t="n">
        <v>-0.8063</v>
      </c>
      <c r="F3867" t="inlineStr">
        <is>
          <t>Up</t>
        </is>
      </c>
      <c r="G3867" t="inlineStr">
        <is>
          <t>Up</t>
        </is>
      </c>
      <c r="H3867" t="inlineStr">
        <is>
          <t>EU_JU</t>
        </is>
      </c>
      <c r="I3867" t="inlineStr">
        <is>
          <t>2021-12</t>
        </is>
      </c>
      <c r="J3867" t="n">
        <v>1</v>
      </c>
      <c r="K3867" t="n">
        <v>1</v>
      </c>
      <c r="L3867" s="34">
        <f>IF($J3867=1,LN(B3868/B3867),"")</f>
        <v/>
      </c>
      <c r="M3867" s="34">
        <f>IF($K3867=1,INDEX(Mensal!$D$2:$D$245,MATCH($I3867,Mensal!$A$2:$A$245,0)),"")</f>
        <v/>
      </c>
      <c r="N3867" s="34">
        <f>IF($K3867=1,L3867-M3867,"")</f>
        <v/>
      </c>
      <c r="O3867" s="34" t="n">
        <v>0.00029256</v>
      </c>
      <c r="P3867" s="34">
        <f>IF($J3867=1,LN(1+O3867),"")</f>
        <v/>
      </c>
      <c r="Q3867" s="34">
        <f>IF($J3867=1,LN(R3868/R3867),"")</f>
        <v/>
      </c>
      <c r="R3867" s="32" t="n">
        <v>5.6168</v>
      </c>
      <c r="S3867" s="35" t="n">
        <v>11.7</v>
      </c>
      <c r="T3867" s="18" t="n"/>
      <c r="U3867" s="18" t="n">
        <v>100774.57</v>
      </c>
      <c r="V3867" s="18" t="n"/>
      <c r="W3867" s="18" t="n"/>
      <c r="X3867" s="35" t="n">
        <v>11.7</v>
      </c>
      <c r="Y3867" s="35" t="n"/>
    </row>
    <row r="3868">
      <c r="A3868" s="25" t="n">
        <v>44532</v>
      </c>
      <c r="B3868" s="18" t="n">
        <v>104466.24</v>
      </c>
      <c r="C3868" s="31" t="n"/>
      <c r="D3868" s="32" t="n"/>
      <c r="E3868" s="33" t="n">
        <v>-0.8298</v>
      </c>
      <c r="F3868" t="inlineStr">
        <is>
          <t>Up</t>
        </is>
      </c>
      <c r="G3868" t="inlineStr">
        <is>
          <t>Up</t>
        </is>
      </c>
      <c r="H3868" t="inlineStr">
        <is>
          <t>EU_JU</t>
        </is>
      </c>
      <c r="I3868" t="inlineStr">
        <is>
          <t>2021-12</t>
        </is>
      </c>
      <c r="J3868" t="n">
        <v>1</v>
      </c>
      <c r="K3868" t="n">
        <v>1</v>
      </c>
      <c r="L3868" s="34">
        <f>IF($J3868=1,LN(B3869/B3868),"")</f>
        <v/>
      </c>
      <c r="M3868" s="34">
        <f>IF($K3868=1,INDEX(Mensal!$D$2:$D$245,MATCH($I3868,Mensal!$A$2:$A$245,0)),"")</f>
        <v/>
      </c>
      <c r="N3868" s="34">
        <f>IF($K3868=1,L3868-M3868,"")</f>
        <v/>
      </c>
      <c r="O3868" s="34" t="n">
        <v>0.00029256</v>
      </c>
      <c r="P3868" s="34">
        <f>IF($J3868=1,LN(1+O3868),"")</f>
        <v/>
      </c>
      <c r="Q3868" s="34">
        <f>IF($J3868=1,LN(R3869/R3868),"")</f>
        <v/>
      </c>
      <c r="R3868" s="32" t="n">
        <v>5.6345</v>
      </c>
      <c r="S3868" s="35" t="n">
        <v>11.49</v>
      </c>
      <c r="T3868" s="18" t="n"/>
      <c r="U3868" s="18" t="n">
        <v>104466.24</v>
      </c>
      <c r="V3868" s="18" t="n"/>
      <c r="W3868" s="18" t="n"/>
      <c r="X3868" s="35" t="n">
        <v>11.49</v>
      </c>
      <c r="Y3868" s="35" t="n"/>
    </row>
    <row r="3869">
      <c r="A3869" s="25" t="n">
        <v>44533</v>
      </c>
      <c r="B3869" s="18" t="n">
        <v>105069.69</v>
      </c>
      <c r="C3869" s="31" t="n"/>
      <c r="D3869" s="32" t="n"/>
      <c r="E3869" s="33" t="n">
        <v>-0.8514</v>
      </c>
      <c r="F3869" t="inlineStr">
        <is>
          <t>Up</t>
        </is>
      </c>
      <c r="G3869" t="inlineStr">
        <is>
          <t>Up</t>
        </is>
      </c>
      <c r="H3869" t="inlineStr">
        <is>
          <t>EU_JU</t>
        </is>
      </c>
      <c r="I3869" t="inlineStr">
        <is>
          <t>2021-12</t>
        </is>
      </c>
      <c r="J3869" t="n">
        <v>1</v>
      </c>
      <c r="K3869" t="n">
        <v>1</v>
      </c>
      <c r="L3869" s="34">
        <f>IF($J3869=1,LN(B3870/B3869),"")</f>
        <v/>
      </c>
      <c r="M3869" s="34">
        <f>IF($K3869=1,INDEX(Mensal!$D$2:$D$245,MATCH($I3869,Mensal!$A$2:$A$245,0)),"")</f>
        <v/>
      </c>
      <c r="N3869" s="34">
        <f>IF($K3869=1,L3869-M3869,"")</f>
        <v/>
      </c>
      <c r="O3869" s="34" t="n">
        <v>0.00029256</v>
      </c>
      <c r="P3869" s="34">
        <f>IF($J3869=1,LN(1+O3869),"")</f>
        <v/>
      </c>
      <c r="Q3869" s="34">
        <f>IF($J3869=1,LN(R3870/R3869),"")</f>
        <v/>
      </c>
      <c r="R3869" s="32" t="n">
        <v>5.6432</v>
      </c>
      <c r="S3869" s="35" t="n">
        <v>11.26</v>
      </c>
      <c r="T3869" s="18" t="n"/>
      <c r="U3869" s="18" t="n">
        <v>105069.69</v>
      </c>
      <c r="V3869" s="18" t="n"/>
      <c r="W3869" s="18" t="n"/>
      <c r="X3869" s="35" t="n">
        <v>11.26</v>
      </c>
      <c r="Y3869" s="35" t="n"/>
    </row>
    <row r="3870">
      <c r="A3870" s="25" t="n">
        <v>44536</v>
      </c>
      <c r="B3870" s="18" t="n">
        <v>106858.87</v>
      </c>
      <c r="C3870" s="31" t="n"/>
      <c r="D3870" s="32" t="n"/>
      <c r="E3870" s="33" t="n">
        <v>-0.8743</v>
      </c>
      <c r="F3870" t="inlineStr">
        <is>
          <t>Up</t>
        </is>
      </c>
      <c r="G3870" t="inlineStr">
        <is>
          <t>Up</t>
        </is>
      </c>
      <c r="H3870" t="inlineStr">
        <is>
          <t>EU_JU</t>
        </is>
      </c>
      <c r="I3870" t="inlineStr">
        <is>
          <t>2021-12</t>
        </is>
      </c>
      <c r="J3870" t="n">
        <v>1</v>
      </c>
      <c r="K3870" t="n">
        <v>1</v>
      </c>
      <c r="L3870" s="34">
        <f>IF($J3870=1,LN(B3871/B3870),"")</f>
        <v/>
      </c>
      <c r="M3870" s="34">
        <f>IF($K3870=1,INDEX(Mensal!$D$2:$D$245,MATCH($I3870,Mensal!$A$2:$A$245,0)),"")</f>
        <v/>
      </c>
      <c r="N3870" s="34">
        <f>IF($K3870=1,L3870-M3870,"")</f>
        <v/>
      </c>
      <c r="O3870" s="34" t="n">
        <v>0.00029256</v>
      </c>
      <c r="P3870" s="34">
        <f>IF($J3870=1,LN(1+O3870),"")</f>
        <v/>
      </c>
      <c r="Q3870" s="34">
        <f>IF($J3870=1,LN(R3871/R3870),"")</f>
        <v/>
      </c>
      <c r="R3870" s="32" t="n">
        <v>5.6877</v>
      </c>
      <c r="S3870" s="35" t="n">
        <v>11.36</v>
      </c>
      <c r="T3870" s="18" t="n"/>
      <c r="U3870" s="18" t="n">
        <v>106858.87</v>
      </c>
      <c r="V3870" s="18" t="n"/>
      <c r="W3870" s="18" t="n"/>
      <c r="X3870" s="35" t="n">
        <v>11.36</v>
      </c>
      <c r="Y3870" s="35" t="n"/>
    </row>
    <row r="3871">
      <c r="A3871" s="25" t="n">
        <v>44537</v>
      </c>
      <c r="B3871" s="18" t="n">
        <v>107557.67</v>
      </c>
      <c r="C3871" s="31" t="n"/>
      <c r="D3871" s="32" t="n"/>
      <c r="E3871" s="33" t="n">
        <v>-0.8966</v>
      </c>
      <c r="F3871" t="inlineStr">
        <is>
          <t>Up</t>
        </is>
      </c>
      <c r="G3871" t="inlineStr">
        <is>
          <t>Up</t>
        </is>
      </c>
      <c r="H3871" t="inlineStr">
        <is>
          <t>EU_JU</t>
        </is>
      </c>
      <c r="I3871" t="inlineStr">
        <is>
          <t>2021-12</t>
        </is>
      </c>
      <c r="J3871" t="n">
        <v>1</v>
      </c>
      <c r="K3871" t="n">
        <v>1</v>
      </c>
      <c r="L3871" s="34">
        <f>IF($J3871=1,LN(B3872/B3871),"")</f>
        <v/>
      </c>
      <c r="M3871" s="34">
        <f>IF($K3871=1,INDEX(Mensal!$D$2:$D$245,MATCH($I3871,Mensal!$A$2:$A$245,0)),"")</f>
        <v/>
      </c>
      <c r="N3871" s="34">
        <f>IF($K3871=1,L3871-M3871,"")</f>
        <v/>
      </c>
      <c r="O3871" s="34" t="n">
        <v>0.00029256</v>
      </c>
      <c r="P3871" s="34">
        <f>IF($J3871=1,LN(1+O3871),"")</f>
        <v/>
      </c>
      <c r="Q3871" s="34">
        <f>IF($J3871=1,LN(R3872/R3871),"")</f>
        <v/>
      </c>
      <c r="R3871" s="32" t="n">
        <v>5.6411</v>
      </c>
      <c r="S3871" s="35" t="n">
        <v>11.44</v>
      </c>
      <c r="T3871" s="18" t="n"/>
      <c r="U3871" s="18" t="n">
        <v>107557.67</v>
      </c>
      <c r="V3871" s="18" t="n"/>
      <c r="W3871" s="18" t="n"/>
      <c r="X3871" s="35" t="n">
        <v>11.44</v>
      </c>
      <c r="Y3871" s="35" t="n"/>
    </row>
    <row r="3872">
      <c r="A3872" s="25" t="n">
        <v>44538</v>
      </c>
      <c r="B3872" s="18" t="n">
        <v>108095.53</v>
      </c>
      <c r="C3872" s="31" t="n"/>
      <c r="D3872" s="32" t="n"/>
      <c r="E3872" s="33" t="n">
        <v>-0.8947000000000001</v>
      </c>
      <c r="F3872" t="inlineStr">
        <is>
          <t>Up</t>
        </is>
      </c>
      <c r="G3872" t="inlineStr">
        <is>
          <t>Up</t>
        </is>
      </c>
      <c r="H3872" t="inlineStr">
        <is>
          <t>EU_JU</t>
        </is>
      </c>
      <c r="I3872" t="inlineStr">
        <is>
          <t>2021-12</t>
        </is>
      </c>
      <c r="J3872" t="n">
        <v>1</v>
      </c>
      <c r="K3872" t="n">
        <v>1</v>
      </c>
      <c r="L3872" s="34">
        <f>IF($J3872=1,LN(B3873/B3872),"")</f>
        <v/>
      </c>
      <c r="M3872" s="34">
        <f>IF($K3872=1,INDEX(Mensal!$D$2:$D$245,MATCH($I3872,Mensal!$A$2:$A$245,0)),"")</f>
        <v/>
      </c>
      <c r="N3872" s="34">
        <f>IF($K3872=1,L3872-M3872,"")</f>
        <v/>
      </c>
      <c r="O3872" s="34" t="n">
        <v>0.00029256</v>
      </c>
      <c r="P3872" s="34">
        <f>IF($J3872=1,LN(1+O3872),"")</f>
        <v/>
      </c>
      <c r="Q3872" s="34">
        <f>IF($J3872=1,LN(R3873/R3872),"")</f>
        <v/>
      </c>
      <c r="R3872" s="32" t="n">
        <v>5.5779</v>
      </c>
      <c r="S3872" s="35" t="n">
        <v>11.34</v>
      </c>
      <c r="T3872" s="18" t="n"/>
      <c r="U3872" s="18" t="n">
        <v>108095.53</v>
      </c>
      <c r="V3872" s="18" t="n"/>
      <c r="W3872" s="18" t="n"/>
      <c r="X3872" s="35" t="n">
        <v>11.34</v>
      </c>
      <c r="Y3872" s="35" t="n"/>
    </row>
    <row r="3873">
      <c r="A3873" s="25" t="n">
        <v>44539</v>
      </c>
      <c r="B3873" s="18" t="n">
        <v>106291.24</v>
      </c>
      <c r="C3873" s="31" t="n"/>
      <c r="D3873" s="32" t="n"/>
      <c r="E3873" s="33" t="n">
        <v>-0.8826000000000001</v>
      </c>
      <c r="F3873" t="inlineStr">
        <is>
          <t>Up</t>
        </is>
      </c>
      <c r="G3873" t="inlineStr">
        <is>
          <t>Up</t>
        </is>
      </c>
      <c r="H3873" t="inlineStr">
        <is>
          <t>EU_JU</t>
        </is>
      </c>
      <c r="I3873" t="inlineStr">
        <is>
          <t>2021-12</t>
        </is>
      </c>
      <c r="J3873" t="n">
        <v>1</v>
      </c>
      <c r="K3873" t="n">
        <v>1</v>
      </c>
      <c r="L3873" s="34">
        <f>IF($J3873=1,LN(B3874/B3873),"")</f>
        <v/>
      </c>
      <c r="M3873" s="34">
        <f>IF($K3873=1,INDEX(Mensal!$D$2:$D$245,MATCH($I3873,Mensal!$A$2:$A$245,0)),"")</f>
        <v/>
      </c>
      <c r="N3873" s="34">
        <f>IF($K3873=1,L3873-M3873,"")</f>
        <v/>
      </c>
      <c r="O3873" s="34" t="n">
        <v>0.00034749</v>
      </c>
      <c r="P3873" s="34">
        <f>IF($J3873=1,LN(1+O3873),"")</f>
        <v/>
      </c>
      <c r="Q3873" s="34">
        <f>IF($J3873=1,LN(R3874/R3873),"")</f>
        <v/>
      </c>
      <c r="R3873" s="32" t="n">
        <v>5.5564</v>
      </c>
      <c r="S3873" s="35" t="n">
        <v>11.59</v>
      </c>
      <c r="T3873" s="18" t="n"/>
      <c r="U3873" s="18" t="n">
        <v>106291.24</v>
      </c>
      <c r="V3873" s="18" t="n"/>
      <c r="W3873" s="18" t="n"/>
      <c r="X3873" s="35" t="n">
        <v>11.59</v>
      </c>
      <c r="Y3873" s="35" t="n"/>
    </row>
    <row r="3874">
      <c r="A3874" s="25" t="n">
        <v>44540</v>
      </c>
      <c r="B3874" s="18" t="n">
        <v>107758.34</v>
      </c>
      <c r="C3874" s="31" t="n"/>
      <c r="D3874" s="32" t="n"/>
      <c r="E3874" s="33" t="n">
        <v>-0.8658</v>
      </c>
      <c r="F3874" t="inlineStr">
        <is>
          <t>Up</t>
        </is>
      </c>
      <c r="G3874" t="inlineStr">
        <is>
          <t>Up</t>
        </is>
      </c>
      <c r="H3874" t="inlineStr">
        <is>
          <t>EU_JU</t>
        </is>
      </c>
      <c r="I3874" t="inlineStr">
        <is>
          <t>2021-12</t>
        </is>
      </c>
      <c r="J3874" t="n">
        <v>1</v>
      </c>
      <c r="K3874" t="n">
        <v>1</v>
      </c>
      <c r="L3874" s="34">
        <f>IF($J3874=1,LN(B3875/B3874),"")</f>
        <v/>
      </c>
      <c r="M3874" s="34">
        <f>IF($K3874=1,INDEX(Mensal!$D$2:$D$245,MATCH($I3874,Mensal!$A$2:$A$245,0)),"")</f>
        <v/>
      </c>
      <c r="N3874" s="34">
        <f>IF($K3874=1,L3874-M3874,"")</f>
        <v/>
      </c>
      <c r="O3874" s="34" t="n">
        <v>0.00034749</v>
      </c>
      <c r="P3874" s="34">
        <f>IF($J3874=1,LN(1+O3874),"")</f>
        <v/>
      </c>
      <c r="Q3874" s="34">
        <f>IF($J3874=1,LN(R3875/R3874),"")</f>
        <v/>
      </c>
      <c r="R3874" s="32" t="n">
        <v>5.5931</v>
      </c>
      <c r="S3874" s="35" t="n">
        <v>11.41</v>
      </c>
      <c r="T3874" s="18" t="n"/>
      <c r="U3874" s="18" t="n">
        <v>107758.34</v>
      </c>
      <c r="V3874" s="18" t="n"/>
      <c r="W3874" s="18" t="n"/>
      <c r="X3874" s="35" t="n">
        <v>11.41</v>
      </c>
      <c r="Y3874" s="35" t="n"/>
    </row>
    <row r="3875">
      <c r="A3875" s="25" t="n">
        <v>44543</v>
      </c>
      <c r="B3875" s="18" t="n">
        <v>107383.32</v>
      </c>
      <c r="C3875" s="31" t="n"/>
      <c r="D3875" s="32" t="n"/>
      <c r="E3875" s="33" t="n">
        <v>-0.852</v>
      </c>
      <c r="F3875" t="inlineStr">
        <is>
          <t>Up</t>
        </is>
      </c>
      <c r="G3875" t="inlineStr">
        <is>
          <t>Up</t>
        </is>
      </c>
      <c r="H3875" t="inlineStr">
        <is>
          <t>EU_JU</t>
        </is>
      </c>
      <c r="I3875" t="inlineStr">
        <is>
          <t>2021-12</t>
        </is>
      </c>
      <c r="J3875" t="n">
        <v>1</v>
      </c>
      <c r="K3875" t="n">
        <v>1</v>
      </c>
      <c r="L3875" s="34">
        <f>IF($J3875=1,LN(B3876/B3875),"")</f>
        <v/>
      </c>
      <c r="M3875" s="34">
        <f>IF($K3875=1,INDEX(Mensal!$D$2:$D$245,MATCH($I3875,Mensal!$A$2:$A$245,0)),"")</f>
        <v/>
      </c>
      <c r="N3875" s="34">
        <f>IF($K3875=1,L3875-M3875,"")</f>
        <v/>
      </c>
      <c r="O3875" s="34" t="n">
        <v>0.00034749</v>
      </c>
      <c r="P3875" s="34">
        <f>IF($J3875=1,LN(1+O3875),"")</f>
        <v/>
      </c>
      <c r="Q3875" s="34">
        <f>IF($J3875=1,LN(R3876/R3875),"")</f>
        <v/>
      </c>
      <c r="R3875" s="32" t="n">
        <v>5.6357</v>
      </c>
      <c r="S3875" s="35" t="n">
        <v>11.45</v>
      </c>
      <c r="T3875" s="18" t="n"/>
      <c r="U3875" s="18" t="n">
        <v>107383.32</v>
      </c>
      <c r="V3875" s="18" t="n"/>
      <c r="W3875" s="18" t="n"/>
      <c r="X3875" s="35" t="n">
        <v>11.45</v>
      </c>
      <c r="Y3875" s="35" t="n"/>
    </row>
    <row r="3876">
      <c r="A3876" s="25" t="n">
        <v>44544</v>
      </c>
      <c r="B3876" s="18" t="n">
        <v>106759.92</v>
      </c>
      <c r="C3876" s="31" t="n"/>
      <c r="D3876" s="32" t="n"/>
      <c r="E3876" s="33" t="n">
        <v>-0.8426</v>
      </c>
      <c r="F3876" t="inlineStr">
        <is>
          <t>Up</t>
        </is>
      </c>
      <c r="G3876" t="inlineStr">
        <is>
          <t>Up</t>
        </is>
      </c>
      <c r="H3876" t="inlineStr">
        <is>
          <t>EU_JU</t>
        </is>
      </c>
      <c r="I3876" t="inlineStr">
        <is>
          <t>2021-12</t>
        </is>
      </c>
      <c r="J3876" t="n">
        <v>1</v>
      </c>
      <c r="K3876" t="n">
        <v>1</v>
      </c>
      <c r="L3876" s="34">
        <f>IF($J3876=1,LN(B3877/B3876),"")</f>
        <v/>
      </c>
      <c r="M3876" s="34">
        <f>IF($K3876=1,INDEX(Mensal!$D$2:$D$245,MATCH($I3876,Mensal!$A$2:$A$245,0)),"")</f>
        <v/>
      </c>
      <c r="N3876" s="34">
        <f>IF($K3876=1,L3876-M3876,"")</f>
        <v/>
      </c>
      <c r="O3876" s="34" t="n">
        <v>0.00034749</v>
      </c>
      <c r="P3876" s="34">
        <f>IF($J3876=1,LN(1+O3876),"")</f>
        <v/>
      </c>
      <c r="Q3876" s="34">
        <f>IF($J3876=1,LN(R3877/R3876),"")</f>
        <v/>
      </c>
      <c r="R3876" s="32" t="n">
        <v>5.6461</v>
      </c>
      <c r="S3876" s="35" t="n">
        <v>11.45</v>
      </c>
      <c r="T3876" s="18" t="n"/>
      <c r="U3876" s="18" t="n">
        <v>106759.92</v>
      </c>
      <c r="V3876" s="18" t="n"/>
      <c r="W3876" s="18" t="n"/>
      <c r="X3876" s="35" t="n">
        <v>11.45</v>
      </c>
      <c r="Y3876" s="35" t="n"/>
    </row>
    <row r="3877">
      <c r="A3877" s="25" t="n">
        <v>44545</v>
      </c>
      <c r="B3877" s="18" t="n">
        <v>107431.18</v>
      </c>
      <c r="C3877" s="31" t="n"/>
      <c r="D3877" s="32" t="n"/>
      <c r="E3877" s="33" t="n">
        <v>-0.8249</v>
      </c>
      <c r="F3877" t="inlineStr">
        <is>
          <t>Up</t>
        </is>
      </c>
      <c r="G3877" t="inlineStr">
        <is>
          <t>Up</t>
        </is>
      </c>
      <c r="H3877" t="inlineStr">
        <is>
          <t>EU_JU</t>
        </is>
      </c>
      <c r="I3877" t="inlineStr">
        <is>
          <t>2021-12</t>
        </is>
      </c>
      <c r="J3877" t="n">
        <v>1</v>
      </c>
      <c r="K3877" t="n">
        <v>1</v>
      </c>
      <c r="L3877" s="34">
        <f>IF($J3877=1,LN(B3878/B3877),"")</f>
        <v/>
      </c>
      <c r="M3877" s="34">
        <f>IF($K3877=1,INDEX(Mensal!$D$2:$D$245,MATCH($I3877,Mensal!$A$2:$A$245,0)),"")</f>
        <v/>
      </c>
      <c r="N3877" s="34">
        <f>IF($K3877=1,L3877-M3877,"")</f>
        <v/>
      </c>
      <c r="O3877" s="34" t="n">
        <v>0.00034749</v>
      </c>
      <c r="P3877" s="34">
        <f>IF($J3877=1,LN(1+O3877),"")</f>
        <v/>
      </c>
      <c r="Q3877" s="34">
        <f>IF($J3877=1,LN(R3878/R3877),"")</f>
        <v/>
      </c>
      <c r="R3877" s="32" t="n">
        <v>5.7127</v>
      </c>
      <c r="S3877" s="35" t="n">
        <v>11.53</v>
      </c>
      <c r="T3877" s="18" t="n"/>
      <c r="U3877" s="18" t="n">
        <v>107431.18</v>
      </c>
      <c r="V3877" s="18" t="n"/>
      <c r="W3877" s="18" t="n"/>
      <c r="X3877" s="35" t="n">
        <v>11.53</v>
      </c>
      <c r="Y3877" s="35" t="n"/>
    </row>
    <row r="3878">
      <c r="A3878" s="25" t="n">
        <v>44546</v>
      </c>
      <c r="B3878" s="18" t="n">
        <v>108326.33</v>
      </c>
      <c r="C3878" s="31" t="n"/>
      <c r="D3878" s="32" t="n"/>
      <c r="E3878" s="33" t="n">
        <v>-0.8037</v>
      </c>
      <c r="F3878" t="inlineStr">
        <is>
          <t>Up</t>
        </is>
      </c>
      <c r="G3878" t="inlineStr">
        <is>
          <t>Up</t>
        </is>
      </c>
      <c r="H3878" t="inlineStr">
        <is>
          <t>EU_JU</t>
        </is>
      </c>
      <c r="I3878" t="inlineStr">
        <is>
          <t>2021-12</t>
        </is>
      </c>
      <c r="J3878" t="n">
        <v>1</v>
      </c>
      <c r="K3878" t="n">
        <v>1</v>
      </c>
      <c r="L3878" s="34">
        <f>IF($J3878=1,LN(B3879/B3878),"")</f>
        <v/>
      </c>
      <c r="M3878" s="34">
        <f>IF($K3878=1,INDEX(Mensal!$D$2:$D$245,MATCH($I3878,Mensal!$A$2:$A$245,0)),"")</f>
        <v/>
      </c>
      <c r="N3878" s="34">
        <f>IF($K3878=1,L3878-M3878,"")</f>
        <v/>
      </c>
      <c r="O3878" s="34" t="n">
        <v>0.00034749</v>
      </c>
      <c r="P3878" s="34">
        <f>IF($J3878=1,LN(1+O3878),"")</f>
        <v/>
      </c>
      <c r="Q3878" s="34">
        <f>IF($J3878=1,LN(R3879/R3878),"")</f>
        <v/>
      </c>
      <c r="R3878" s="32" t="n">
        <v>5.6963</v>
      </c>
      <c r="S3878" s="35" t="n">
        <v>11.67</v>
      </c>
      <c r="T3878" s="18" t="n"/>
      <c r="U3878" s="18" t="n">
        <v>108326.33</v>
      </c>
      <c r="V3878" s="18" t="n"/>
      <c r="W3878" s="18" t="n"/>
      <c r="X3878" s="35" t="n">
        <v>11.67</v>
      </c>
      <c r="Y3878" s="35" t="n"/>
    </row>
    <row r="3879">
      <c r="A3879" s="25" t="n">
        <v>44547</v>
      </c>
      <c r="B3879" s="18" t="n">
        <v>107200.56</v>
      </c>
      <c r="C3879" s="31" t="n"/>
      <c r="D3879" s="32" t="n"/>
      <c r="E3879" s="33" t="n">
        <v>-0.7786999999999999</v>
      </c>
      <c r="F3879" t="inlineStr">
        <is>
          <t>Up</t>
        </is>
      </c>
      <c r="G3879" t="inlineStr">
        <is>
          <t>Up</t>
        </is>
      </c>
      <c r="H3879" t="inlineStr">
        <is>
          <t>EU_JU</t>
        </is>
      </c>
      <c r="I3879" t="inlineStr">
        <is>
          <t>2021-12</t>
        </is>
      </c>
      <c r="J3879" t="n">
        <v>1</v>
      </c>
      <c r="K3879" t="n">
        <v>1</v>
      </c>
      <c r="L3879" s="34">
        <f>IF($J3879=1,LN(B3880/B3879),"")</f>
        <v/>
      </c>
      <c r="M3879" s="34">
        <f>IF($K3879=1,INDEX(Mensal!$D$2:$D$245,MATCH($I3879,Mensal!$A$2:$A$245,0)),"")</f>
        <v/>
      </c>
      <c r="N3879" s="34">
        <f>IF($K3879=1,L3879-M3879,"")</f>
        <v/>
      </c>
      <c r="O3879" s="34" t="n">
        <v>0.00034749</v>
      </c>
      <c r="P3879" s="34">
        <f>IF($J3879=1,LN(1+O3879),"")</f>
        <v/>
      </c>
      <c r="Q3879" s="34">
        <f>IF($J3879=1,LN(R3880/R3879),"")</f>
        <v/>
      </c>
      <c r="R3879" s="32" t="n">
        <v>5.6959</v>
      </c>
      <c r="S3879" s="35" t="n">
        <v>11.75</v>
      </c>
      <c r="T3879" s="18" t="n"/>
      <c r="U3879" s="18" t="n">
        <v>107200.56</v>
      </c>
      <c r="V3879" s="18" t="n"/>
      <c r="W3879" s="18" t="n"/>
      <c r="X3879" s="35" t="n">
        <v>11.75</v>
      </c>
      <c r="Y3879" s="35" t="n"/>
    </row>
    <row r="3880">
      <c r="A3880" s="25" t="n">
        <v>44550</v>
      </c>
      <c r="B3880" s="18" t="n">
        <v>105019.78</v>
      </c>
      <c r="C3880" s="31" t="n"/>
      <c r="D3880" s="32" t="n"/>
      <c r="E3880" s="33" t="n">
        <v>-0.7595</v>
      </c>
      <c r="F3880" t="inlineStr">
        <is>
          <t>Up</t>
        </is>
      </c>
      <c r="G3880" t="inlineStr">
        <is>
          <t>Up</t>
        </is>
      </c>
      <c r="H3880" t="inlineStr">
        <is>
          <t>EU_JU</t>
        </is>
      </c>
      <c r="I3880" t="inlineStr">
        <is>
          <t>2021-12</t>
        </is>
      </c>
      <c r="J3880" t="n">
        <v>1</v>
      </c>
      <c r="K3880" t="n">
        <v>1</v>
      </c>
      <c r="L3880" s="34">
        <f>IF($J3880=1,LN(B3881/B3880),"")</f>
        <v/>
      </c>
      <c r="M3880" s="34">
        <f>IF($K3880=1,INDEX(Mensal!$D$2:$D$245,MATCH($I3880,Mensal!$A$2:$A$245,0)),"")</f>
        <v/>
      </c>
      <c r="N3880" s="34">
        <f>IF($K3880=1,L3880-M3880,"")</f>
        <v/>
      </c>
      <c r="O3880" s="34" t="n">
        <v>0.00034749</v>
      </c>
      <c r="P3880" s="34">
        <f>IF($J3880=1,LN(1+O3880),"")</f>
        <v/>
      </c>
      <c r="Q3880" s="34">
        <f>IF($J3880=1,LN(R3881/R3880),"")</f>
        <v/>
      </c>
      <c r="R3880" s="32" t="n">
        <v>5.7055</v>
      </c>
      <c r="S3880" s="35" t="n">
        <v>11.53</v>
      </c>
      <c r="T3880" s="18" t="n"/>
      <c r="U3880" s="18" t="n">
        <v>105019.78</v>
      </c>
      <c r="V3880" s="18" t="n"/>
      <c r="W3880" s="18" t="n"/>
      <c r="X3880" s="35" t="n">
        <v>11.53</v>
      </c>
      <c r="Y3880" s="35" t="n"/>
    </row>
    <row r="3881">
      <c r="A3881" s="25" t="n">
        <v>44551</v>
      </c>
      <c r="B3881" s="18" t="n">
        <v>105499.88</v>
      </c>
      <c r="C3881" s="31" t="n"/>
      <c r="D3881" s="32" t="n"/>
      <c r="E3881" s="33" t="n">
        <v>-0.7611</v>
      </c>
      <c r="F3881" t="inlineStr">
        <is>
          <t>Up</t>
        </is>
      </c>
      <c r="G3881" t="inlineStr">
        <is>
          <t>Up</t>
        </is>
      </c>
      <c r="H3881" t="inlineStr">
        <is>
          <t>EU_JU</t>
        </is>
      </c>
      <c r="I3881" t="inlineStr">
        <is>
          <t>2021-12</t>
        </is>
      </c>
      <c r="J3881" t="n">
        <v>1</v>
      </c>
      <c r="K3881" t="n">
        <v>1</v>
      </c>
      <c r="L3881" s="34">
        <f>IF($J3881=1,LN(B3882/B3881),"")</f>
        <v/>
      </c>
      <c r="M3881" s="34">
        <f>IF($K3881=1,INDEX(Mensal!$D$2:$D$245,MATCH($I3881,Mensal!$A$2:$A$245,0)),"")</f>
        <v/>
      </c>
      <c r="N3881" s="34">
        <f>IF($K3881=1,L3881-M3881,"")</f>
        <v/>
      </c>
      <c r="O3881" s="34" t="n">
        <v>0.00034749</v>
      </c>
      <c r="P3881" s="34">
        <f>IF($J3881=1,LN(1+O3881),"")</f>
        <v/>
      </c>
      <c r="Q3881" s="34">
        <f>IF($J3881=1,LN(R3882/R3881),"")</f>
        <v/>
      </c>
      <c r="R3881" s="32" t="n">
        <v>5.7372</v>
      </c>
      <c r="S3881" s="35" t="n">
        <v>11.4</v>
      </c>
      <c r="T3881" s="18" t="n"/>
      <c r="U3881" s="18" t="n">
        <v>105499.88</v>
      </c>
      <c r="V3881" s="18" t="n"/>
      <c r="W3881" s="18" t="n"/>
      <c r="X3881" s="35" t="n">
        <v>11.4</v>
      </c>
      <c r="Y3881" s="35" t="n"/>
    </row>
    <row r="3882">
      <c r="A3882" s="25" t="n">
        <v>44552</v>
      </c>
      <c r="B3882" s="18" t="n">
        <v>105243.72</v>
      </c>
      <c r="C3882" s="31" t="n"/>
      <c r="D3882" s="32" t="n"/>
      <c r="E3882" s="33" t="n">
        <v>-0.7768</v>
      </c>
      <c r="F3882" t="inlineStr">
        <is>
          <t>Up</t>
        </is>
      </c>
      <c r="G3882" t="inlineStr">
        <is>
          <t>Up</t>
        </is>
      </c>
      <c r="H3882" t="inlineStr">
        <is>
          <t>EU_JU</t>
        </is>
      </c>
      <c r="I3882" t="inlineStr">
        <is>
          <t>2021-12</t>
        </is>
      </c>
      <c r="J3882" t="n">
        <v>1</v>
      </c>
      <c r="K3882" t="n">
        <v>1</v>
      </c>
      <c r="L3882" s="34">
        <f>IF($J3882=1,LN(B3883/B3882),"")</f>
        <v/>
      </c>
      <c r="M3882" s="34">
        <f>IF($K3882=1,INDEX(Mensal!$D$2:$D$245,MATCH($I3882,Mensal!$A$2:$A$245,0)),"")</f>
        <v/>
      </c>
      <c r="N3882" s="34">
        <f>IF($K3882=1,L3882-M3882,"")</f>
        <v/>
      </c>
      <c r="O3882" s="34" t="n">
        <v>0.00034749</v>
      </c>
      <c r="P3882" s="34">
        <f>IF($J3882=1,LN(1+O3882),"")</f>
        <v/>
      </c>
      <c r="Q3882" s="34">
        <f>IF($J3882=1,LN(R3883/R3882),"")</f>
        <v/>
      </c>
      <c r="R3882" s="32" t="n">
        <v>5.7201</v>
      </c>
      <c r="S3882" s="35" t="n">
        <v>11.38</v>
      </c>
      <c r="T3882" s="18" t="n"/>
      <c r="U3882" s="18" t="n">
        <v>105243.72</v>
      </c>
      <c r="V3882" s="18" t="n"/>
      <c r="W3882" s="18" t="n"/>
      <c r="X3882" s="35" t="n">
        <v>11.38</v>
      </c>
      <c r="Y3882" s="35" t="n"/>
    </row>
    <row r="3883">
      <c r="A3883" s="25" t="n">
        <v>44553</v>
      </c>
      <c r="B3883" s="18" t="n">
        <v>104891.32</v>
      </c>
      <c r="C3883" s="31" t="n"/>
      <c r="D3883" s="32" t="n"/>
      <c r="E3883" s="33" t="n">
        <v>-0.7924</v>
      </c>
      <c r="F3883" t="inlineStr">
        <is>
          <t>Up</t>
        </is>
      </c>
      <c r="G3883" t="inlineStr">
        <is>
          <t>Up</t>
        </is>
      </c>
      <c r="H3883" t="inlineStr">
        <is>
          <t>EU_JU</t>
        </is>
      </c>
      <c r="I3883" t="inlineStr">
        <is>
          <t>2021-12</t>
        </is>
      </c>
      <c r="J3883" t="n">
        <v>1</v>
      </c>
      <c r="K3883" t="n">
        <v>1</v>
      </c>
      <c r="L3883" s="34">
        <f>IF($J3883=1,LN(B3884/B3883),"")</f>
        <v/>
      </c>
      <c r="M3883" s="34">
        <f>IF($K3883=1,INDEX(Mensal!$D$2:$D$245,MATCH($I3883,Mensal!$A$2:$A$245,0)),"")</f>
        <v/>
      </c>
      <c r="N3883" s="34">
        <f>IF($K3883=1,L3883-M3883,"")</f>
        <v/>
      </c>
      <c r="O3883" s="34" t="n">
        <v>0.00034749</v>
      </c>
      <c r="P3883" s="34">
        <f>IF($J3883=1,LN(1+O3883),"")</f>
        <v/>
      </c>
      <c r="Q3883" s="34">
        <f>IF($J3883=1,LN(R3884/R3883),"")</f>
        <v/>
      </c>
      <c r="R3883" s="32" t="n">
        <v>5.691</v>
      </c>
      <c r="S3883" s="35" t="n">
        <v>11.58</v>
      </c>
      <c r="T3883" s="18" t="n"/>
      <c r="U3883" s="18" t="n">
        <v>104891.32</v>
      </c>
      <c r="V3883" s="18" t="n"/>
      <c r="W3883" s="18" t="n"/>
      <c r="X3883" s="35" t="n">
        <v>11.58</v>
      </c>
      <c r="Y3883" s="35" t="n"/>
    </row>
    <row r="3884">
      <c r="A3884" s="25" t="n">
        <v>44557</v>
      </c>
      <c r="B3884" s="18" t="n">
        <v>105554.4</v>
      </c>
      <c r="C3884" s="31" t="n"/>
      <c r="D3884" s="32" t="n"/>
      <c r="E3884" s="33" t="n">
        <v>-0.7876</v>
      </c>
      <c r="F3884" t="inlineStr">
        <is>
          <t>Up</t>
        </is>
      </c>
      <c r="G3884" t="inlineStr">
        <is>
          <t>Up</t>
        </is>
      </c>
      <c r="H3884" t="inlineStr">
        <is>
          <t>EU_JU</t>
        </is>
      </c>
      <c r="I3884" t="inlineStr">
        <is>
          <t>2021-12</t>
        </is>
      </c>
      <c r="J3884" t="n">
        <v>1</v>
      </c>
      <c r="K3884" t="n">
        <v>1</v>
      </c>
      <c r="L3884" s="34">
        <f>IF($J3884=1,LN(B3885/B3884),"")</f>
        <v/>
      </c>
      <c r="M3884" s="34">
        <f>IF($K3884=1,INDEX(Mensal!$D$2:$D$245,MATCH($I3884,Mensal!$A$2:$A$245,0)),"")</f>
        <v/>
      </c>
      <c r="N3884" s="34">
        <f>IF($K3884=1,L3884-M3884,"")</f>
        <v/>
      </c>
      <c r="O3884" s="34" t="n">
        <v>0.00034749</v>
      </c>
      <c r="P3884" s="34">
        <f>IF($J3884=1,LN(1+O3884),"")</f>
        <v/>
      </c>
      <c r="Q3884" s="34">
        <f>IF($J3884=1,LN(R3885/R3884),"")</f>
        <v/>
      </c>
      <c r="R3884" s="32" t="n">
        <v>5.665</v>
      </c>
      <c r="S3884" s="35" t="n">
        <v>11.63</v>
      </c>
      <c r="T3884" s="18" t="n"/>
      <c r="U3884" s="18" t="n">
        <v>105554.4</v>
      </c>
      <c r="V3884" s="18" t="n"/>
      <c r="W3884" s="18" t="n"/>
      <c r="X3884" s="35" t="n">
        <v>11.63</v>
      </c>
      <c r="Y3884" s="35" t="n"/>
    </row>
    <row r="3885">
      <c r="A3885" s="25" t="n">
        <v>44558</v>
      </c>
      <c r="B3885" s="18" t="n">
        <v>104864.17</v>
      </c>
      <c r="C3885" s="31" t="n"/>
      <c r="D3885" s="32" t="n"/>
      <c r="E3885" s="33" t="n">
        <v>-0.7769</v>
      </c>
      <c r="F3885" t="inlineStr">
        <is>
          <t>Up</t>
        </is>
      </c>
      <c r="G3885" t="inlineStr">
        <is>
          <t>Up</t>
        </is>
      </c>
      <c r="H3885" t="inlineStr">
        <is>
          <t>EU_JU</t>
        </is>
      </c>
      <c r="I3885" t="inlineStr">
        <is>
          <t>2021-12</t>
        </is>
      </c>
      <c r="J3885" t="n">
        <v>1</v>
      </c>
      <c r="K3885" t="n">
        <v>1</v>
      </c>
      <c r="L3885" s="34">
        <f>IF($J3885=1,LN(B3886/B3885),"")</f>
        <v/>
      </c>
      <c r="M3885" s="34">
        <f>IF($K3885=1,INDEX(Mensal!$D$2:$D$245,MATCH($I3885,Mensal!$A$2:$A$245,0)),"")</f>
        <v/>
      </c>
      <c r="N3885" s="34">
        <f>IF($K3885=1,L3885-M3885,"")</f>
        <v/>
      </c>
      <c r="O3885" s="34" t="n">
        <v>0.00034749</v>
      </c>
      <c r="P3885" s="34">
        <f>IF($J3885=1,LN(1+O3885),"")</f>
        <v/>
      </c>
      <c r="Q3885" s="34">
        <f>IF($J3885=1,LN(R3886/R3885),"")</f>
        <v/>
      </c>
      <c r="R3885" s="32" t="n">
        <v>5.6438</v>
      </c>
      <c r="S3885" s="35" t="n">
        <v>11.67</v>
      </c>
      <c r="T3885" s="18" t="n"/>
      <c r="U3885" s="18" t="n">
        <v>104864.17</v>
      </c>
      <c r="V3885" s="18" t="n"/>
      <c r="W3885" s="18" t="n"/>
      <c r="X3885" s="35" t="n">
        <v>11.67</v>
      </c>
      <c r="Y3885" s="35" t="n"/>
    </row>
    <row r="3886">
      <c r="A3886" s="25" t="n">
        <v>44559</v>
      </c>
      <c r="B3886" s="18" t="n">
        <v>104107.24</v>
      </c>
      <c r="C3886" s="31" t="n"/>
      <c r="D3886" s="32" t="n"/>
      <c r="E3886" s="33" t="n">
        <v>-0.7627</v>
      </c>
      <c r="F3886" t="inlineStr">
        <is>
          <t>Up</t>
        </is>
      </c>
      <c r="G3886" t="inlineStr">
        <is>
          <t>Up</t>
        </is>
      </c>
      <c r="H3886" t="inlineStr">
        <is>
          <t>EU_JU</t>
        </is>
      </c>
      <c r="I3886" t="inlineStr">
        <is>
          <t>2021-12</t>
        </is>
      </c>
      <c r="J3886" t="n">
        <v>1</v>
      </c>
      <c r="K3886" t="n">
        <v>1</v>
      </c>
      <c r="L3886" s="34">
        <f>IF($J3886=1,LN(B3887/B3886),"")</f>
        <v/>
      </c>
      <c r="M3886" s="34">
        <f>IF($K3886=1,INDEX(Mensal!$D$2:$D$245,MATCH($I3886,Mensal!$A$2:$A$245,0)),"")</f>
        <v/>
      </c>
      <c r="N3886" s="34">
        <f>IF($K3886=1,L3886-M3886,"")</f>
        <v/>
      </c>
      <c r="O3886" s="34" t="n">
        <v>0.00034749</v>
      </c>
      <c r="P3886" s="34">
        <f>IF($J3886=1,LN(1+O3886),"")</f>
        <v/>
      </c>
      <c r="Q3886" s="34">
        <f>IF($J3886=1,LN(R3887/R3886),"")</f>
        <v/>
      </c>
      <c r="R3886" s="32" t="n">
        <v>5.6619</v>
      </c>
      <c r="S3886" s="35" t="n">
        <v>11.81</v>
      </c>
      <c r="T3886" s="18" t="n"/>
      <c r="U3886" s="18" t="n">
        <v>104107.24</v>
      </c>
      <c r="V3886" s="18" t="n"/>
      <c r="W3886" s="18" t="n"/>
      <c r="X3886" s="35" t="n">
        <v>11.81</v>
      </c>
      <c r="Y3886" s="35" t="n"/>
    </row>
    <row r="3887">
      <c r="A3887" s="25" t="n">
        <v>44560</v>
      </c>
      <c r="B3887" s="18" t="n">
        <v>104822.44</v>
      </c>
      <c r="C3887" s="31" t="n"/>
      <c r="D3887" s="32" t="n"/>
      <c r="E3887" s="33" t="n">
        <v>-0.7514</v>
      </c>
      <c r="F3887" t="inlineStr">
        <is>
          <t>Up</t>
        </is>
      </c>
      <c r="G3887" t="inlineStr">
        <is>
          <t>Up</t>
        </is>
      </c>
      <c r="H3887" t="inlineStr">
        <is>
          <t>EU_JU</t>
        </is>
      </c>
      <c r="I3887" t="inlineStr">
        <is>
          <t>2021-12</t>
        </is>
      </c>
      <c r="J3887" t="n">
        <v>1</v>
      </c>
      <c r="K3887" t="n">
        <v>1</v>
      </c>
      <c r="L3887" s="34">
        <f>IF($J3887=1,LN(B3888/B3887),"")</f>
        <v/>
      </c>
      <c r="M3887" s="34">
        <f>IF($K3887=1,INDEX(Mensal!$D$2:$D$245,MATCH($I3887,Mensal!$A$2:$A$245,0)),"")</f>
        <v/>
      </c>
      <c r="N3887" s="34">
        <f>IF($K3887=1,L3887-M3887,"")</f>
        <v/>
      </c>
      <c r="O3887" s="34" t="n">
        <v>0.00034749</v>
      </c>
      <c r="P3887" s="34">
        <f>IF($J3887=1,LN(1+O3887),"")</f>
        <v/>
      </c>
      <c r="Q3887" s="34">
        <f>IF($J3887=1,LN(R3888/R3887),"")</f>
        <v/>
      </c>
      <c r="R3887" s="32" t="n">
        <v>5.5805</v>
      </c>
      <c r="S3887" s="35" t="n">
        <v>11.79</v>
      </c>
      <c r="T3887" s="18" t="n"/>
      <c r="U3887" s="18" t="n">
        <v>104822.44</v>
      </c>
      <c r="V3887" s="18" t="n"/>
      <c r="W3887" s="18" t="n"/>
      <c r="X3887" s="35" t="n">
        <v>11.79</v>
      </c>
      <c r="Y3887" s="35" t="n"/>
    </row>
    <row r="3888">
      <c r="A3888" s="25" t="n">
        <v>44564</v>
      </c>
      <c r="B3888" s="18" t="n">
        <v>103921.59</v>
      </c>
      <c r="C3888" s="31" t="n"/>
      <c r="D3888" s="32" t="n"/>
      <c r="E3888" s="33" t="n">
        <v>-0.7395</v>
      </c>
      <c r="F3888" t="inlineStr">
        <is>
          <t>Down</t>
        </is>
      </c>
      <c r="G3888" t="inlineStr">
        <is>
          <t>Up</t>
        </is>
      </c>
      <c r="H3888" t="inlineStr">
        <is>
          <t>ED_JU</t>
        </is>
      </c>
      <c r="I3888" t="inlineStr">
        <is>
          <t>2022-01</t>
        </is>
      </c>
      <c r="J3888" t="n">
        <v>1</v>
      </c>
      <c r="K3888" t="n">
        <v>1</v>
      </c>
      <c r="L3888" s="34">
        <f>IF($J3888=1,LN(B3889/B3888),"")</f>
        <v/>
      </c>
      <c r="M3888" s="34">
        <f>IF($K3888=1,INDEX(Mensal!$D$2:$D$245,MATCH($I3888,Mensal!$A$2:$A$245,0)),"")</f>
        <v/>
      </c>
      <c r="N3888" s="34">
        <f>IF($K3888=1,L3888-M3888,"")</f>
        <v/>
      </c>
      <c r="O3888" s="34" t="n">
        <v>0.00034749</v>
      </c>
      <c r="P3888" s="34">
        <f>IF($J3888=1,LN(1+O3888),"")</f>
        <v/>
      </c>
      <c r="Q3888" s="34">
        <f>IF($J3888=1,LN(R3889/R3888),"")</f>
        <v/>
      </c>
      <c r="R3888" s="32" t="n">
        <v>5.6309</v>
      </c>
      <c r="S3888" s="35" t="n">
        <v>11.79</v>
      </c>
      <c r="T3888" s="18" t="n"/>
      <c r="U3888" s="18" t="n"/>
      <c r="V3888" s="18" t="n"/>
      <c r="W3888" s="18" t="n">
        <v>103921.59</v>
      </c>
      <c r="X3888" s="35" t="n">
        <v>11.79</v>
      </c>
      <c r="Y3888" s="35" t="n"/>
    </row>
    <row r="3889">
      <c r="A3889" s="25" t="n">
        <v>44565</v>
      </c>
      <c r="B3889" s="18" t="n">
        <v>103513.64</v>
      </c>
      <c r="C3889" s="31" t="n"/>
      <c r="D3889" s="32" t="n"/>
      <c r="E3889" s="33" t="n">
        <v>-0.7272</v>
      </c>
      <c r="F3889" t="inlineStr">
        <is>
          <t>Down</t>
        </is>
      </c>
      <c r="G3889" t="inlineStr">
        <is>
          <t>Up</t>
        </is>
      </c>
      <c r="H3889" t="inlineStr">
        <is>
          <t>ED_JU</t>
        </is>
      </c>
      <c r="I3889" t="inlineStr">
        <is>
          <t>2022-01</t>
        </is>
      </c>
      <c r="J3889" t="n">
        <v>1</v>
      </c>
      <c r="K3889" t="n">
        <v>1</v>
      </c>
      <c r="L3889" s="34">
        <f>IF($J3889=1,LN(B3890/B3889),"")</f>
        <v/>
      </c>
      <c r="M3889" s="34">
        <f>IF($K3889=1,INDEX(Mensal!$D$2:$D$245,MATCH($I3889,Mensal!$A$2:$A$245,0)),"")</f>
        <v/>
      </c>
      <c r="N3889" s="34">
        <f>IF($K3889=1,L3889-M3889,"")</f>
        <v/>
      </c>
      <c r="O3889" s="34" t="n">
        <v>0.00034749</v>
      </c>
      <c r="P3889" s="34">
        <f>IF($J3889=1,LN(1+O3889),"")</f>
        <v/>
      </c>
      <c r="Q3889" s="34">
        <f>IF($J3889=1,LN(R3890/R3889),"")</f>
        <v/>
      </c>
      <c r="R3889" s="32" t="n">
        <v>5.6776</v>
      </c>
      <c r="S3889" s="35" t="n">
        <v>12.04</v>
      </c>
      <c r="T3889" s="18" t="n"/>
      <c r="U3889" s="18" t="n"/>
      <c r="V3889" s="18" t="n"/>
      <c r="W3889" s="18" t="n">
        <v>103513.64</v>
      </c>
      <c r="X3889" s="35" t="n">
        <v>12.04</v>
      </c>
      <c r="Y3889" s="35" t="n"/>
    </row>
    <row r="3890">
      <c r="A3890" s="25" t="n">
        <v>44566</v>
      </c>
      <c r="B3890" s="18" t="n">
        <v>101005.64</v>
      </c>
      <c r="C3890" s="31" t="n"/>
      <c r="D3890" s="32" t="n"/>
      <c r="E3890" s="33" t="n">
        <v>-0.7096</v>
      </c>
      <c r="F3890" t="inlineStr">
        <is>
          <t>Down</t>
        </is>
      </c>
      <c r="G3890" t="inlineStr">
        <is>
          <t>Up</t>
        </is>
      </c>
      <c r="H3890" t="inlineStr">
        <is>
          <t>ED_JU</t>
        </is>
      </c>
      <c r="I3890" t="inlineStr">
        <is>
          <t>2022-01</t>
        </is>
      </c>
      <c r="J3890" t="n">
        <v>1</v>
      </c>
      <c r="K3890" t="n">
        <v>1</v>
      </c>
      <c r="L3890" s="34">
        <f>IF($J3890=1,LN(B3891/B3890),"")</f>
        <v/>
      </c>
      <c r="M3890" s="34">
        <f>IF($K3890=1,INDEX(Mensal!$D$2:$D$245,MATCH($I3890,Mensal!$A$2:$A$245,0)),"")</f>
        <v/>
      </c>
      <c r="N3890" s="34">
        <f>IF($K3890=1,L3890-M3890,"")</f>
        <v/>
      </c>
      <c r="O3890" s="34" t="n">
        <v>0.00034749</v>
      </c>
      <c r="P3890" s="34">
        <f>IF($J3890=1,LN(1+O3890),"")</f>
        <v/>
      </c>
      <c r="Q3890" s="34">
        <f>IF($J3890=1,LN(R3891/R3890),"")</f>
        <v/>
      </c>
      <c r="R3890" s="32" t="n">
        <v>5.6628</v>
      </c>
      <c r="S3890" s="35" t="n">
        <v>12.04</v>
      </c>
      <c r="T3890" s="18" t="n"/>
      <c r="U3890" s="18" t="n"/>
      <c r="V3890" s="18" t="n"/>
      <c r="W3890" s="18" t="n">
        <v>101005.64</v>
      </c>
      <c r="X3890" s="35" t="n">
        <v>12.04</v>
      </c>
      <c r="Y3890" s="35" t="n"/>
    </row>
    <row r="3891">
      <c r="A3891" s="25" t="n">
        <v>44567</v>
      </c>
      <c r="B3891" s="18" t="n">
        <v>101561.05</v>
      </c>
      <c r="C3891" s="31" t="n"/>
      <c r="D3891" s="32" t="n"/>
      <c r="E3891" s="33" t="n">
        <v>-0.6703</v>
      </c>
      <c r="F3891" t="inlineStr">
        <is>
          <t>Down</t>
        </is>
      </c>
      <c r="G3891" t="inlineStr">
        <is>
          <t>Up</t>
        </is>
      </c>
      <c r="H3891" t="inlineStr">
        <is>
          <t>ED_JU</t>
        </is>
      </c>
      <c r="I3891" t="inlineStr">
        <is>
          <t>2022-01</t>
        </is>
      </c>
      <c r="J3891" t="n">
        <v>1</v>
      </c>
      <c r="K3891" t="n">
        <v>1</v>
      </c>
      <c r="L3891" s="34">
        <f>IF($J3891=1,LN(B3892/B3891),"")</f>
        <v/>
      </c>
      <c r="M3891" s="34">
        <f>IF($K3891=1,INDEX(Mensal!$D$2:$D$245,MATCH($I3891,Mensal!$A$2:$A$245,0)),"")</f>
        <v/>
      </c>
      <c r="N3891" s="34">
        <f>IF($K3891=1,L3891-M3891,"")</f>
        <v/>
      </c>
      <c r="O3891" s="34" t="n">
        <v>0.00034749</v>
      </c>
      <c r="P3891" s="34">
        <f>IF($J3891=1,LN(1+O3891),"")</f>
        <v/>
      </c>
      <c r="Q3891" s="34">
        <f>IF($J3891=1,LN(R3892/R3891),"")</f>
        <v/>
      </c>
      <c r="R3891" s="32" t="n">
        <v>5.7042</v>
      </c>
      <c r="S3891" s="35" t="n">
        <v>11.96</v>
      </c>
      <c r="T3891" s="18" t="n"/>
      <c r="U3891" s="18" t="n"/>
      <c r="V3891" s="18" t="n"/>
      <c r="W3891" s="18" t="n">
        <v>101561.05</v>
      </c>
      <c r="X3891" s="35" t="n">
        <v>11.96</v>
      </c>
      <c r="Y3891" s="35" t="n"/>
    </row>
    <row r="3892">
      <c r="A3892" s="25" t="n">
        <v>44568</v>
      </c>
      <c r="B3892" s="18" t="n">
        <v>102719.47</v>
      </c>
      <c r="C3892" s="31" t="n"/>
      <c r="D3892" s="32" t="n"/>
      <c r="E3892" s="33" t="n">
        <v>-0.6288</v>
      </c>
      <c r="F3892" t="inlineStr">
        <is>
          <t>Down</t>
        </is>
      </c>
      <c r="G3892" t="inlineStr">
        <is>
          <t>Up</t>
        </is>
      </c>
      <c r="H3892" t="inlineStr">
        <is>
          <t>ED_JU</t>
        </is>
      </c>
      <c r="I3892" t="inlineStr">
        <is>
          <t>2022-01</t>
        </is>
      </c>
      <c r="J3892" t="n">
        <v>1</v>
      </c>
      <c r="K3892" t="n">
        <v>1</v>
      </c>
      <c r="L3892" s="34">
        <f>IF($J3892=1,LN(B3893/B3892),"")</f>
        <v/>
      </c>
      <c r="M3892" s="34">
        <f>IF($K3892=1,INDEX(Mensal!$D$2:$D$245,MATCH($I3892,Mensal!$A$2:$A$245,0)),"")</f>
        <v/>
      </c>
      <c r="N3892" s="34">
        <f>IF($K3892=1,L3892-M3892,"")</f>
        <v/>
      </c>
      <c r="O3892" s="34" t="n">
        <v>0.00034749</v>
      </c>
      <c r="P3892" s="34">
        <f>IF($J3892=1,LN(1+O3892),"")</f>
        <v/>
      </c>
      <c r="Q3892" s="34">
        <f>IF($J3892=1,LN(R3893/R3892),"")</f>
        <v/>
      </c>
      <c r="R3892" s="32" t="n">
        <v>5.6753</v>
      </c>
      <c r="S3892" s="35" t="n">
        <v>11.98</v>
      </c>
      <c r="T3892" s="18" t="n"/>
      <c r="U3892" s="18" t="n"/>
      <c r="V3892" s="18" t="n"/>
      <c r="W3892" s="18" t="n">
        <v>102719.47</v>
      </c>
      <c r="X3892" s="35" t="n">
        <v>11.98</v>
      </c>
      <c r="Y3892" s="35" t="n"/>
    </row>
    <row r="3893">
      <c r="A3893" s="25" t="n">
        <v>44571</v>
      </c>
      <c r="B3893" s="18" t="n">
        <v>101945.2</v>
      </c>
      <c r="C3893" s="31" t="n"/>
      <c r="D3893" s="32" t="n"/>
      <c r="E3893" s="33" t="n">
        <v>-0.6019</v>
      </c>
      <c r="F3893" t="inlineStr">
        <is>
          <t>Down</t>
        </is>
      </c>
      <c r="G3893" t="inlineStr">
        <is>
          <t>Up</t>
        </is>
      </c>
      <c r="H3893" t="inlineStr">
        <is>
          <t>ED_JU</t>
        </is>
      </c>
      <c r="I3893" t="inlineStr">
        <is>
          <t>2022-01</t>
        </is>
      </c>
      <c r="J3893" t="n">
        <v>1</v>
      </c>
      <c r="K3893" t="n">
        <v>1</v>
      </c>
      <c r="L3893" s="34">
        <f>IF($J3893=1,LN(B3894/B3893),"")</f>
        <v/>
      </c>
      <c r="M3893" s="34">
        <f>IF($K3893=1,INDEX(Mensal!$D$2:$D$245,MATCH($I3893,Mensal!$A$2:$A$245,0)),"")</f>
        <v/>
      </c>
      <c r="N3893" s="34">
        <f>IF($K3893=1,L3893-M3893,"")</f>
        <v/>
      </c>
      <c r="O3893" s="34" t="n">
        <v>0.00034749</v>
      </c>
      <c r="P3893" s="34">
        <f>IF($J3893=1,LN(1+O3893),"")</f>
        <v/>
      </c>
      <c r="Q3893" s="34">
        <f>IF($J3893=1,LN(R3894/R3893),"")</f>
        <v/>
      </c>
      <c r="R3893" s="32" t="n">
        <v>5.6736</v>
      </c>
      <c r="S3893" s="35" t="n">
        <v>12.07</v>
      </c>
      <c r="T3893" s="18" t="n"/>
      <c r="U3893" s="18" t="n"/>
      <c r="V3893" s="18" t="n"/>
      <c r="W3893" s="18" t="n">
        <v>101945.2</v>
      </c>
      <c r="X3893" s="35" t="n">
        <v>12.07</v>
      </c>
      <c r="Y3893" s="35" t="n"/>
    </row>
    <row r="3894">
      <c r="A3894" s="25" t="n">
        <v>44572</v>
      </c>
      <c r="B3894" s="18" t="n">
        <v>103778.98</v>
      </c>
      <c r="C3894" s="31" t="n"/>
      <c r="D3894" s="32" t="n"/>
      <c r="E3894" s="33" t="n">
        <v>-0.5696</v>
      </c>
      <c r="F3894" t="inlineStr">
        <is>
          <t>Down</t>
        </is>
      </c>
      <c r="G3894" t="inlineStr">
        <is>
          <t>Up</t>
        </is>
      </c>
      <c r="H3894" t="inlineStr">
        <is>
          <t>ED_JU</t>
        </is>
      </c>
      <c r="I3894" t="inlineStr">
        <is>
          <t>2022-01</t>
        </is>
      </c>
      <c r="J3894" t="n">
        <v>1</v>
      </c>
      <c r="K3894" t="n">
        <v>1</v>
      </c>
      <c r="L3894" s="34">
        <f>IF($J3894=1,LN(B3895/B3894),"")</f>
        <v/>
      </c>
      <c r="M3894" s="34">
        <f>IF($K3894=1,INDEX(Mensal!$D$2:$D$245,MATCH($I3894,Mensal!$A$2:$A$245,0)),"")</f>
        <v/>
      </c>
      <c r="N3894" s="34">
        <f>IF($K3894=1,L3894-M3894,"")</f>
        <v/>
      </c>
      <c r="O3894" s="34" t="n">
        <v>0.00034749</v>
      </c>
      <c r="P3894" s="34">
        <f>IF($J3894=1,LN(1+O3894),"")</f>
        <v/>
      </c>
      <c r="Q3894" s="34">
        <f>IF($J3894=1,LN(R3895/R3894),"")</f>
        <v/>
      </c>
      <c r="R3894" s="32" t="n">
        <v>5.6351</v>
      </c>
      <c r="S3894" s="35" t="n">
        <v>12.03</v>
      </c>
      <c r="T3894" s="18" t="n"/>
      <c r="U3894" s="18" t="n"/>
      <c r="V3894" s="18" t="n"/>
      <c r="W3894" s="18" t="n">
        <v>103778.98</v>
      </c>
      <c r="X3894" s="35" t="n">
        <v>12.03</v>
      </c>
      <c r="Y3894" s="35" t="n"/>
    </row>
    <row r="3895">
      <c r="A3895" s="25" t="n">
        <v>44573</v>
      </c>
      <c r="B3895" s="18" t="n">
        <v>105685.66</v>
      </c>
      <c r="C3895" s="31" t="n"/>
      <c r="D3895" s="32" t="n"/>
      <c r="E3895" s="33" t="n">
        <v>-0.5368000000000001</v>
      </c>
      <c r="F3895" t="inlineStr">
        <is>
          <t>Down</t>
        </is>
      </c>
      <c r="G3895" t="inlineStr">
        <is>
          <t>Up</t>
        </is>
      </c>
      <c r="H3895" t="inlineStr">
        <is>
          <t>ED_JU</t>
        </is>
      </c>
      <c r="I3895" t="inlineStr">
        <is>
          <t>2022-01</t>
        </is>
      </c>
      <c r="J3895" t="n">
        <v>1</v>
      </c>
      <c r="K3895" t="n">
        <v>1</v>
      </c>
      <c r="L3895" s="34">
        <f>IF($J3895=1,LN(B3896/B3895),"")</f>
        <v/>
      </c>
      <c r="M3895" s="34">
        <f>IF($K3895=1,INDEX(Mensal!$D$2:$D$245,MATCH($I3895,Mensal!$A$2:$A$245,0)),"")</f>
        <v/>
      </c>
      <c r="N3895" s="34">
        <f>IF($K3895=1,L3895-M3895,"")</f>
        <v/>
      </c>
      <c r="O3895" s="34" t="n">
        <v>0.00034749</v>
      </c>
      <c r="P3895" s="34">
        <f>IF($J3895=1,LN(1+O3895),"")</f>
        <v/>
      </c>
      <c r="Q3895" s="34">
        <f>IF($J3895=1,LN(R3896/R3895),"")</f>
        <v/>
      </c>
      <c r="R3895" s="32" t="n">
        <v>5.5611</v>
      </c>
      <c r="S3895" s="35" t="n">
        <v>11.86</v>
      </c>
      <c r="T3895" s="18" t="n"/>
      <c r="U3895" s="18" t="n"/>
      <c r="V3895" s="18" t="n"/>
      <c r="W3895" s="18" t="n">
        <v>105685.66</v>
      </c>
      <c r="X3895" s="35" t="n">
        <v>11.86</v>
      </c>
      <c r="Y3895" s="35" t="n"/>
    </row>
    <row r="3896">
      <c r="A3896" s="25" t="n">
        <v>44574</v>
      </c>
      <c r="B3896" s="18" t="n">
        <v>105529.5</v>
      </c>
      <c r="C3896" s="31" t="n"/>
      <c r="D3896" s="32" t="n"/>
      <c r="E3896" s="33" t="n">
        <v>-0.5135</v>
      </c>
      <c r="F3896" t="inlineStr">
        <is>
          <t>Down</t>
        </is>
      </c>
      <c r="G3896" t="inlineStr">
        <is>
          <t>Up</t>
        </is>
      </c>
      <c r="H3896" t="inlineStr">
        <is>
          <t>ED_JU</t>
        </is>
      </c>
      <c r="I3896" t="inlineStr">
        <is>
          <t>2022-01</t>
        </is>
      </c>
      <c r="J3896" t="n">
        <v>1</v>
      </c>
      <c r="K3896" t="n">
        <v>1</v>
      </c>
      <c r="L3896" s="34">
        <f>IF($J3896=1,LN(B3897/B3896),"")</f>
        <v/>
      </c>
      <c r="M3896" s="34">
        <f>IF($K3896=1,INDEX(Mensal!$D$2:$D$245,MATCH($I3896,Mensal!$A$2:$A$245,0)),"")</f>
        <v/>
      </c>
      <c r="N3896" s="34">
        <f>IF($K3896=1,L3896-M3896,"")</f>
        <v/>
      </c>
      <c r="O3896" s="34" t="n">
        <v>0.00034749</v>
      </c>
      <c r="P3896" s="34">
        <f>IF($J3896=1,LN(1+O3896),"")</f>
        <v/>
      </c>
      <c r="Q3896" s="34">
        <f>IF($J3896=1,LN(R3897/R3896),"")</f>
        <v/>
      </c>
      <c r="R3896" s="32" t="n">
        <v>5.5246</v>
      </c>
      <c r="S3896" s="35" t="n">
        <v>11.92</v>
      </c>
      <c r="T3896" s="18" t="n"/>
      <c r="U3896" s="18" t="n"/>
      <c r="V3896" s="18" t="n"/>
      <c r="W3896" s="18" t="n">
        <v>105529.5</v>
      </c>
      <c r="X3896" s="35" t="n">
        <v>11.92</v>
      </c>
      <c r="Y3896" s="35" t="n"/>
    </row>
    <row r="3897">
      <c r="A3897" s="25" t="n">
        <v>44575</v>
      </c>
      <c r="B3897" s="18" t="n">
        <v>106927.79</v>
      </c>
      <c r="C3897" s="31" t="n"/>
      <c r="D3897" s="32" t="n"/>
      <c r="E3897" s="33" t="n">
        <v>-0.4876</v>
      </c>
      <c r="F3897" t="inlineStr">
        <is>
          <t>Down</t>
        </is>
      </c>
      <c r="G3897" t="inlineStr">
        <is>
          <t>Up</t>
        </is>
      </c>
      <c r="H3897" t="inlineStr">
        <is>
          <t>ED_JU</t>
        </is>
      </c>
      <c r="I3897" t="inlineStr">
        <is>
          <t>2022-01</t>
        </is>
      </c>
      <c r="J3897" t="n">
        <v>1</v>
      </c>
      <c r="K3897" t="n">
        <v>1</v>
      </c>
      <c r="L3897" s="34">
        <f>IF($J3897=1,LN(B3898/B3897),"")</f>
        <v/>
      </c>
      <c r="M3897" s="34">
        <f>IF($K3897=1,INDEX(Mensal!$D$2:$D$245,MATCH($I3897,Mensal!$A$2:$A$245,0)),"")</f>
        <v/>
      </c>
      <c r="N3897" s="34">
        <f>IF($K3897=1,L3897-M3897,"")</f>
        <v/>
      </c>
      <c r="O3897" s="34" t="n">
        <v>0.00034749</v>
      </c>
      <c r="P3897" s="34">
        <f>IF($J3897=1,LN(1+O3897),"")</f>
        <v/>
      </c>
      <c r="Q3897" s="34">
        <f>IF($J3897=1,LN(R3898/R3897),"")</f>
        <v/>
      </c>
      <c r="R3897" s="32" t="n">
        <v>5.5349</v>
      </c>
      <c r="S3897" s="35" t="n">
        <v>11.94</v>
      </c>
      <c r="T3897" s="18" t="n"/>
      <c r="U3897" s="18" t="n"/>
      <c r="V3897" s="18" t="n"/>
      <c r="W3897" s="18" t="n">
        <v>106927.79</v>
      </c>
      <c r="X3897" s="35" t="n">
        <v>11.94</v>
      </c>
      <c r="Y3897" s="35" t="n"/>
    </row>
    <row r="3898">
      <c r="A3898" s="25" t="n">
        <v>44578</v>
      </c>
      <c r="B3898" s="18" t="n">
        <v>106373.87</v>
      </c>
      <c r="C3898" s="31" t="n"/>
      <c r="D3898" s="32" t="n"/>
      <c r="E3898" s="33" t="n">
        <v>-0.4505</v>
      </c>
      <c r="F3898" t="inlineStr">
        <is>
          <t>Down</t>
        </is>
      </c>
      <c r="G3898" t="inlineStr">
        <is>
          <t>Up</t>
        </is>
      </c>
      <c r="H3898" t="inlineStr">
        <is>
          <t>ED_JU</t>
        </is>
      </c>
      <c r="I3898" t="inlineStr">
        <is>
          <t>2022-01</t>
        </is>
      </c>
      <c r="J3898" t="n">
        <v>1</v>
      </c>
      <c r="K3898" t="n">
        <v>1</v>
      </c>
      <c r="L3898" s="34">
        <f>IF($J3898=1,LN(B3899/B3898),"")</f>
        <v/>
      </c>
      <c r="M3898" s="34">
        <f>IF($K3898=1,INDEX(Mensal!$D$2:$D$245,MATCH($I3898,Mensal!$A$2:$A$245,0)),"")</f>
        <v/>
      </c>
      <c r="N3898" s="34">
        <f>IF($K3898=1,L3898-M3898,"")</f>
        <v/>
      </c>
      <c r="O3898" s="34" t="n">
        <v>0.00034749</v>
      </c>
      <c r="P3898" s="34">
        <f>IF($J3898=1,LN(1+O3898),"")</f>
        <v/>
      </c>
      <c r="Q3898" s="34">
        <f>IF($J3898=1,LN(R3899/R3898),"")</f>
        <v/>
      </c>
      <c r="R3898" s="32" t="n">
        <v>5.5058</v>
      </c>
      <c r="S3898" s="35" t="n">
        <v>12.02</v>
      </c>
      <c r="T3898" s="18" t="n"/>
      <c r="U3898" s="18" t="n"/>
      <c r="V3898" s="18" t="n"/>
      <c r="W3898" s="18" t="n">
        <v>106373.87</v>
      </c>
      <c r="X3898" s="35" t="n">
        <v>12.02</v>
      </c>
      <c r="Y3898" s="35" t="n"/>
    </row>
    <row r="3899">
      <c r="A3899" s="25" t="n">
        <v>44579</v>
      </c>
      <c r="B3899" s="18" t="n">
        <v>106667.66</v>
      </c>
      <c r="C3899" s="31" t="n"/>
      <c r="D3899" s="32" t="n"/>
      <c r="E3899" s="33" t="n">
        <v>-0.4117</v>
      </c>
      <c r="F3899" t="inlineStr">
        <is>
          <t>Down</t>
        </is>
      </c>
      <c r="G3899" t="inlineStr">
        <is>
          <t>Up</t>
        </is>
      </c>
      <c r="H3899" t="inlineStr">
        <is>
          <t>ED_JU</t>
        </is>
      </c>
      <c r="I3899" t="inlineStr">
        <is>
          <t>2022-01</t>
        </is>
      </c>
      <c r="J3899" t="n">
        <v>1</v>
      </c>
      <c r="K3899" t="n">
        <v>1</v>
      </c>
      <c r="L3899" s="34">
        <f>IF($J3899=1,LN(B3900/B3899),"")</f>
        <v/>
      </c>
      <c r="M3899" s="34">
        <f>IF($K3899=1,INDEX(Mensal!$D$2:$D$245,MATCH($I3899,Mensal!$A$2:$A$245,0)),"")</f>
        <v/>
      </c>
      <c r="N3899" s="34">
        <f>IF($K3899=1,L3899-M3899,"")</f>
        <v/>
      </c>
      <c r="O3899" s="34" t="n">
        <v>0.00034749</v>
      </c>
      <c r="P3899" s="34">
        <f>IF($J3899=1,LN(1+O3899),"")</f>
        <v/>
      </c>
      <c r="Q3899" s="34">
        <f>IF($J3899=1,LN(R3900/R3899),"")</f>
        <v/>
      </c>
      <c r="R3899" s="32" t="n">
        <v>5.5213</v>
      </c>
      <c r="S3899" s="35" t="n">
        <v>12.1</v>
      </c>
      <c r="T3899" s="18" t="n"/>
      <c r="U3899" s="18" t="n"/>
      <c r="V3899" s="18" t="n"/>
      <c r="W3899" s="18" t="n">
        <v>106667.66</v>
      </c>
      <c r="X3899" s="35" t="n">
        <v>12.1</v>
      </c>
      <c r="Y3899" s="35" t="n"/>
    </row>
    <row r="3900">
      <c r="A3900" s="25" t="n">
        <v>44580</v>
      </c>
      <c r="B3900" s="18" t="n">
        <v>108013.47</v>
      </c>
      <c r="C3900" s="31" t="n"/>
      <c r="D3900" s="32" t="n"/>
      <c r="E3900" s="33" t="n">
        <v>-0.3772</v>
      </c>
      <c r="F3900" t="inlineStr">
        <is>
          <t>Down</t>
        </is>
      </c>
      <c r="G3900" t="inlineStr">
        <is>
          <t>Up</t>
        </is>
      </c>
      <c r="H3900" t="inlineStr">
        <is>
          <t>ED_JU</t>
        </is>
      </c>
      <c r="I3900" t="inlineStr">
        <is>
          <t>2022-01</t>
        </is>
      </c>
      <c r="J3900" t="n">
        <v>1</v>
      </c>
      <c r="K3900" t="n">
        <v>1</v>
      </c>
      <c r="L3900" s="34">
        <f>IF($J3900=1,LN(B3901/B3900),"")</f>
        <v/>
      </c>
      <c r="M3900" s="34">
        <f>IF($K3900=1,INDEX(Mensal!$D$2:$D$245,MATCH($I3900,Mensal!$A$2:$A$245,0)),"")</f>
        <v/>
      </c>
      <c r="N3900" s="34">
        <f>IF($K3900=1,L3900-M3900,"")</f>
        <v/>
      </c>
      <c r="O3900" s="34" t="n">
        <v>0.00034749</v>
      </c>
      <c r="P3900" s="34">
        <f>IF($J3900=1,LN(1+O3900),"")</f>
        <v/>
      </c>
      <c r="Q3900" s="34">
        <f>IF($J3900=1,LN(R3901/R3900),"")</f>
        <v/>
      </c>
      <c r="R3900" s="32" t="n">
        <v>5.4978</v>
      </c>
      <c r="S3900" s="35" t="n">
        <v>12.02</v>
      </c>
      <c r="T3900" s="18" t="n"/>
      <c r="U3900" s="18" t="n"/>
      <c r="V3900" s="18" t="n"/>
      <c r="W3900" s="18" t="n">
        <v>108013.47</v>
      </c>
      <c r="X3900" s="35" t="n">
        <v>12.02</v>
      </c>
      <c r="Y3900" s="35" t="n"/>
    </row>
    <row r="3901">
      <c r="A3901" s="25" t="n">
        <v>44581</v>
      </c>
      <c r="B3901" s="18" t="n">
        <v>109101.99</v>
      </c>
      <c r="C3901" s="31" t="n"/>
      <c r="D3901" s="32" t="n"/>
      <c r="E3901" s="33" t="n">
        <v>-0.3369</v>
      </c>
      <c r="F3901" t="inlineStr">
        <is>
          <t>Down</t>
        </is>
      </c>
      <c r="G3901" t="inlineStr">
        <is>
          <t>Up</t>
        </is>
      </c>
      <c r="H3901" t="inlineStr">
        <is>
          <t>ED_JU</t>
        </is>
      </c>
      <c r="I3901" t="inlineStr">
        <is>
          <t>2022-01</t>
        </is>
      </c>
      <c r="J3901" t="n">
        <v>1</v>
      </c>
      <c r="K3901" t="n">
        <v>1</v>
      </c>
      <c r="L3901" s="34">
        <f>IF($J3901=1,LN(B3902/B3901),"")</f>
        <v/>
      </c>
      <c r="M3901" s="34">
        <f>IF($K3901=1,INDEX(Mensal!$D$2:$D$245,MATCH($I3901,Mensal!$A$2:$A$245,0)),"")</f>
        <v/>
      </c>
      <c r="N3901" s="34">
        <f>IF($K3901=1,L3901-M3901,"")</f>
        <v/>
      </c>
      <c r="O3901" s="34" t="n">
        <v>0.00034749</v>
      </c>
      <c r="P3901" s="34">
        <f>IF($J3901=1,LN(1+O3901),"")</f>
        <v/>
      </c>
      <c r="Q3901" s="34">
        <f>IF($J3901=1,LN(R3902/R3901),"")</f>
        <v/>
      </c>
      <c r="R3901" s="32" t="n">
        <v>5.4166</v>
      </c>
      <c r="S3901" s="35" t="n">
        <v>11.88</v>
      </c>
      <c r="T3901" s="18" t="n"/>
      <c r="U3901" s="18" t="n"/>
      <c r="V3901" s="18" t="n"/>
      <c r="W3901" s="18" t="n">
        <v>109101.99</v>
      </c>
      <c r="X3901" s="35" t="n">
        <v>11.88</v>
      </c>
      <c r="Y3901" s="35" t="n"/>
    </row>
    <row r="3902">
      <c r="A3902" s="25" t="n">
        <v>44582</v>
      </c>
      <c r="B3902" s="18" t="n">
        <v>108941.68</v>
      </c>
      <c r="C3902" s="31" t="n"/>
      <c r="D3902" s="32" t="n"/>
      <c r="E3902" s="33" t="n">
        <v>-0.2855</v>
      </c>
      <c r="F3902" t="inlineStr">
        <is>
          <t>Down</t>
        </is>
      </c>
      <c r="G3902" t="inlineStr">
        <is>
          <t>Up</t>
        </is>
      </c>
      <c r="H3902" t="inlineStr">
        <is>
          <t>ED_JU</t>
        </is>
      </c>
      <c r="I3902" t="inlineStr">
        <is>
          <t>2022-01</t>
        </is>
      </c>
      <c r="J3902" t="n">
        <v>1</v>
      </c>
      <c r="K3902" t="n">
        <v>1</v>
      </c>
      <c r="L3902" s="34">
        <f>IF($J3902=1,LN(B3903/B3902),"")</f>
        <v/>
      </c>
      <c r="M3902" s="34">
        <f>IF($K3902=1,INDEX(Mensal!$D$2:$D$245,MATCH($I3902,Mensal!$A$2:$A$245,0)),"")</f>
        <v/>
      </c>
      <c r="N3902" s="34">
        <f>IF($K3902=1,L3902-M3902,"")</f>
        <v/>
      </c>
      <c r="O3902" s="34" t="n">
        <v>0.00034749</v>
      </c>
      <c r="P3902" s="34">
        <f>IF($J3902=1,LN(1+O3902),"")</f>
        <v/>
      </c>
      <c r="Q3902" s="34">
        <f>IF($J3902=1,LN(R3903/R3902),"")</f>
        <v/>
      </c>
      <c r="R3902" s="32" t="n">
        <v>5.4401</v>
      </c>
      <c r="S3902" s="35" t="n">
        <v>11.87</v>
      </c>
      <c r="T3902" s="18" t="n"/>
      <c r="U3902" s="18" t="n"/>
      <c r="V3902" s="18" t="n"/>
      <c r="W3902" s="18" t="n">
        <v>108941.68</v>
      </c>
      <c r="X3902" s="35" t="n">
        <v>11.87</v>
      </c>
      <c r="Y3902" s="35" t="n"/>
    </row>
    <row r="3903">
      <c r="A3903" s="25" t="n">
        <v>44585</v>
      </c>
      <c r="B3903" s="18" t="n">
        <v>107937.11</v>
      </c>
      <c r="C3903" s="31" t="n"/>
      <c r="D3903" s="32" t="n"/>
      <c r="E3903" s="33" t="n">
        <v>-0.2675</v>
      </c>
      <c r="F3903" t="inlineStr">
        <is>
          <t>Down</t>
        </is>
      </c>
      <c r="G3903" t="inlineStr">
        <is>
          <t>Up</t>
        </is>
      </c>
      <c r="H3903" t="inlineStr">
        <is>
          <t>ED_JU</t>
        </is>
      </c>
      <c r="I3903" t="inlineStr">
        <is>
          <t>2022-01</t>
        </is>
      </c>
      <c r="J3903" t="n">
        <v>1</v>
      </c>
      <c r="K3903" t="n">
        <v>1</v>
      </c>
      <c r="L3903" s="34">
        <f>IF($J3903=1,LN(B3904/B3903),"")</f>
        <v/>
      </c>
      <c r="M3903" s="34">
        <f>IF($K3903=1,INDEX(Mensal!$D$2:$D$245,MATCH($I3903,Mensal!$A$2:$A$245,0)),"")</f>
        <v/>
      </c>
      <c r="N3903" s="34">
        <f>IF($K3903=1,L3903-M3903,"")</f>
        <v/>
      </c>
      <c r="O3903" s="34" t="n">
        <v>0.00034749</v>
      </c>
      <c r="P3903" s="34">
        <f>IF($J3903=1,LN(1+O3903),"")</f>
        <v/>
      </c>
      <c r="Q3903" s="34">
        <f>IF($J3903=1,LN(R3904/R3903),"")</f>
        <v/>
      </c>
      <c r="R3903" s="32" t="n">
        <v>5.491</v>
      </c>
      <c r="S3903" s="35" t="n">
        <v>11.81</v>
      </c>
      <c r="T3903" s="18" t="n"/>
      <c r="U3903" s="18" t="n"/>
      <c r="V3903" s="18" t="n"/>
      <c r="W3903" s="18" t="n">
        <v>107937.11</v>
      </c>
      <c r="X3903" s="35" t="n">
        <v>11.81</v>
      </c>
      <c r="Y3903" s="35" t="n"/>
    </row>
    <row r="3904">
      <c r="A3904" s="25" t="n">
        <v>44586</v>
      </c>
      <c r="B3904" s="18" t="n">
        <v>110203.77</v>
      </c>
      <c r="C3904" s="31" t="n"/>
      <c r="D3904" s="32" t="n"/>
      <c r="E3904" s="33" t="n">
        <v>-0.2391</v>
      </c>
      <c r="F3904" t="inlineStr">
        <is>
          <t>Down</t>
        </is>
      </c>
      <c r="G3904" t="inlineStr">
        <is>
          <t>Up</t>
        </is>
      </c>
      <c r="H3904" t="inlineStr">
        <is>
          <t>ED_JU</t>
        </is>
      </c>
      <c r="I3904" t="inlineStr">
        <is>
          <t>2022-01</t>
        </is>
      </c>
      <c r="J3904" t="n">
        <v>1</v>
      </c>
      <c r="K3904" t="n">
        <v>1</v>
      </c>
      <c r="L3904" s="34">
        <f>IF($J3904=1,LN(B3905/B3904),"")</f>
        <v/>
      </c>
      <c r="M3904" s="34">
        <f>IF($K3904=1,INDEX(Mensal!$D$2:$D$245,MATCH($I3904,Mensal!$A$2:$A$245,0)),"")</f>
        <v/>
      </c>
      <c r="N3904" s="34">
        <f>IF($K3904=1,L3904-M3904,"")</f>
        <v/>
      </c>
      <c r="O3904" s="34" t="n">
        <v>0.00034749</v>
      </c>
      <c r="P3904" s="34">
        <f>IF($J3904=1,LN(1+O3904),"")</f>
        <v/>
      </c>
      <c r="Q3904" s="34">
        <f>IF($J3904=1,LN(R3905/R3904),"")</f>
        <v/>
      </c>
      <c r="R3904" s="32" t="n">
        <v>5.4971</v>
      </c>
      <c r="S3904" s="35" t="n">
        <v>11.83</v>
      </c>
      <c r="T3904" s="18" t="n"/>
      <c r="U3904" s="18" t="n"/>
      <c r="V3904" s="18" t="n"/>
      <c r="W3904" s="18" t="n">
        <v>110203.77</v>
      </c>
      <c r="X3904" s="35" t="n">
        <v>11.83</v>
      </c>
      <c r="Y3904" s="35" t="n"/>
    </row>
    <row r="3905">
      <c r="A3905" s="25" t="n">
        <v>44587</v>
      </c>
      <c r="B3905" s="18" t="n">
        <v>111289.18</v>
      </c>
      <c r="C3905" s="31" t="n"/>
      <c r="D3905" s="32" t="n"/>
      <c r="E3905" s="33" t="n">
        <v>-0.2067</v>
      </c>
      <c r="F3905" t="inlineStr">
        <is>
          <t>Down</t>
        </is>
      </c>
      <c r="G3905" t="inlineStr">
        <is>
          <t>Up</t>
        </is>
      </c>
      <c r="H3905" t="inlineStr">
        <is>
          <t>ED_JU</t>
        </is>
      </c>
      <c r="I3905" t="inlineStr">
        <is>
          <t>2022-01</t>
        </is>
      </c>
      <c r="J3905" t="n">
        <v>1</v>
      </c>
      <c r="K3905" t="n">
        <v>1</v>
      </c>
      <c r="L3905" s="34">
        <f>IF($J3905=1,LN(B3906/B3905),"")</f>
        <v/>
      </c>
      <c r="M3905" s="34">
        <f>IF($K3905=1,INDEX(Mensal!$D$2:$D$245,MATCH($I3905,Mensal!$A$2:$A$245,0)),"")</f>
        <v/>
      </c>
      <c r="N3905" s="34">
        <f>IF($K3905=1,L3905-M3905,"")</f>
        <v/>
      </c>
      <c r="O3905" s="34" t="n">
        <v>0.00034749</v>
      </c>
      <c r="P3905" s="34">
        <f>IF($J3905=1,LN(1+O3905),"")</f>
        <v/>
      </c>
      <c r="Q3905" s="34">
        <f>IF($J3905=1,LN(R3906/R3905),"")</f>
        <v/>
      </c>
      <c r="R3905" s="32" t="n">
        <v>5.4324</v>
      </c>
      <c r="S3905" s="35" t="n">
        <v>12</v>
      </c>
      <c r="T3905" s="18" t="n"/>
      <c r="U3905" s="18" t="n"/>
      <c r="V3905" s="18" t="n"/>
      <c r="W3905" s="18" t="n">
        <v>111289.18</v>
      </c>
      <c r="X3905" s="35" t="n">
        <v>12</v>
      </c>
      <c r="Y3905" s="35" t="n"/>
    </row>
    <row r="3906">
      <c r="A3906" s="25" t="n">
        <v>44588</v>
      </c>
      <c r="B3906" s="18" t="n">
        <v>112611.65</v>
      </c>
      <c r="C3906" s="31" t="n"/>
      <c r="D3906" s="32" t="n"/>
      <c r="E3906" s="33" t="n">
        <v>-0.1827</v>
      </c>
      <c r="F3906" t="inlineStr">
        <is>
          <t>Down</t>
        </is>
      </c>
      <c r="G3906" t="inlineStr">
        <is>
          <t>Up</t>
        </is>
      </c>
      <c r="H3906" t="inlineStr">
        <is>
          <t>ED_JU</t>
        </is>
      </c>
      <c r="I3906" t="inlineStr">
        <is>
          <t>2022-01</t>
        </is>
      </c>
      <c r="J3906" t="n">
        <v>1</v>
      </c>
      <c r="K3906" t="n">
        <v>1</v>
      </c>
      <c r="L3906" s="34">
        <f>IF($J3906=1,LN(B3907/B3906),"")</f>
        <v/>
      </c>
      <c r="M3906" s="34">
        <f>IF($K3906=1,INDEX(Mensal!$D$2:$D$245,MATCH($I3906,Mensal!$A$2:$A$245,0)),"")</f>
        <v/>
      </c>
      <c r="N3906" s="34">
        <f>IF($K3906=1,L3906-M3906,"")</f>
        <v/>
      </c>
      <c r="O3906" s="34" t="n">
        <v>0.00034749</v>
      </c>
      <c r="P3906" s="34">
        <f>IF($J3906=1,LN(1+O3906),"")</f>
        <v/>
      </c>
      <c r="Q3906" s="34">
        <f>IF($J3906=1,LN(R3907/R3906),"")</f>
        <v/>
      </c>
      <c r="R3906" s="32" t="n">
        <v>5.3812</v>
      </c>
      <c r="S3906" s="35" t="n">
        <v>12.22</v>
      </c>
      <c r="T3906" s="18" t="n"/>
      <c r="U3906" s="18" t="n"/>
      <c r="V3906" s="18" t="n"/>
      <c r="W3906" s="18" t="n">
        <v>112611.65</v>
      </c>
      <c r="X3906" s="35" t="n">
        <v>12.22</v>
      </c>
      <c r="Y3906" s="35" t="n"/>
    </row>
    <row r="3907">
      <c r="A3907" s="25" t="n">
        <v>44589</v>
      </c>
      <c r="B3907" s="18" t="n">
        <v>111910.1</v>
      </c>
      <c r="C3907" s="31" t="n"/>
      <c r="D3907" s="32" t="n"/>
      <c r="E3907" s="33" t="n">
        <v>-0.156</v>
      </c>
      <c r="F3907" t="inlineStr">
        <is>
          <t>Down</t>
        </is>
      </c>
      <c r="G3907" t="inlineStr">
        <is>
          <t>Up</t>
        </is>
      </c>
      <c r="H3907" t="inlineStr">
        <is>
          <t>ED_JU</t>
        </is>
      </c>
      <c r="I3907" t="inlineStr">
        <is>
          <t>2022-01</t>
        </is>
      </c>
      <c r="J3907" t="n">
        <v>1</v>
      </c>
      <c r="K3907" t="n">
        <v>1</v>
      </c>
      <c r="L3907" s="34">
        <f>IF($J3907=1,LN(B3908/B3907),"")</f>
        <v/>
      </c>
      <c r="M3907" s="34">
        <f>IF($K3907=1,INDEX(Mensal!$D$2:$D$245,MATCH($I3907,Mensal!$A$2:$A$245,0)),"")</f>
        <v/>
      </c>
      <c r="N3907" s="34">
        <f>IF($K3907=1,L3907-M3907,"")</f>
        <v/>
      </c>
      <c r="O3907" s="34" t="n">
        <v>0.00034749</v>
      </c>
      <c r="P3907" s="34">
        <f>IF($J3907=1,LN(1+O3907),"")</f>
        <v/>
      </c>
      <c r="Q3907" s="34">
        <f>IF($J3907=1,LN(R3908/R3907),"")</f>
        <v/>
      </c>
      <c r="R3907" s="32" t="n">
        <v>5.3954</v>
      </c>
      <c r="S3907" s="35" t="n">
        <v>12.24</v>
      </c>
      <c r="T3907" s="18" t="n"/>
      <c r="U3907" s="18" t="n"/>
      <c r="V3907" s="18" t="n"/>
      <c r="W3907" s="18" t="n">
        <v>111910.1</v>
      </c>
      <c r="X3907" s="35" t="n">
        <v>12.24</v>
      </c>
      <c r="Y3907" s="35" t="n"/>
    </row>
    <row r="3908">
      <c r="A3908" s="25" t="n">
        <v>44592</v>
      </c>
      <c r="B3908" s="18" t="n">
        <v>112143.51</v>
      </c>
      <c r="C3908" s="31" t="n"/>
      <c r="D3908" s="32" t="n"/>
      <c r="E3908" s="33" t="n">
        <v>-0.1286</v>
      </c>
      <c r="F3908" t="inlineStr">
        <is>
          <t>Down</t>
        </is>
      </c>
      <c r="G3908" t="inlineStr">
        <is>
          <t>Up</t>
        </is>
      </c>
      <c r="H3908" t="inlineStr">
        <is>
          <t>ED_JU</t>
        </is>
      </c>
      <c r="I3908" t="inlineStr">
        <is>
          <t>2022-01</t>
        </is>
      </c>
      <c r="J3908" t="n">
        <v>1</v>
      </c>
      <c r="K3908" t="n">
        <v>1</v>
      </c>
      <c r="L3908" s="34">
        <f>IF($J3908=1,LN(B3909/B3908),"")</f>
        <v/>
      </c>
      <c r="M3908" s="34">
        <f>IF($K3908=1,INDEX(Mensal!$D$2:$D$245,MATCH($I3908,Mensal!$A$2:$A$245,0)),"")</f>
        <v/>
      </c>
      <c r="N3908" s="34">
        <f>IF($K3908=1,L3908-M3908,"")</f>
        <v/>
      </c>
      <c r="O3908" s="34" t="n">
        <v>0.00034749</v>
      </c>
      <c r="P3908" s="34">
        <f>IF($J3908=1,LN(1+O3908),"")</f>
        <v/>
      </c>
      <c r="Q3908" s="34">
        <f>IF($J3908=1,LN(R3909/R3908),"")</f>
        <v/>
      </c>
      <c r="R3908" s="32" t="n">
        <v>5.3574</v>
      </c>
      <c r="S3908" s="35" t="n">
        <v>12.25</v>
      </c>
      <c r="T3908" s="18" t="n"/>
      <c r="U3908" s="18" t="n"/>
      <c r="V3908" s="18" t="n"/>
      <c r="W3908" s="18" t="n">
        <v>112143.51</v>
      </c>
      <c r="X3908" s="35" t="n">
        <v>12.25</v>
      </c>
      <c r="Y3908" s="35" t="n"/>
    </row>
    <row r="3909">
      <c r="A3909" s="25" t="n">
        <v>44593</v>
      </c>
      <c r="B3909" s="18" t="n">
        <v>113228.31</v>
      </c>
      <c r="C3909" s="31" t="n"/>
      <c r="D3909" s="32" t="n"/>
      <c r="E3909" s="33" t="n">
        <v>-0.1011</v>
      </c>
      <c r="F3909" t="inlineStr">
        <is>
          <t>Down</t>
        </is>
      </c>
      <c r="G3909" t="inlineStr">
        <is>
          <t>Up</t>
        </is>
      </c>
      <c r="H3909" t="inlineStr">
        <is>
          <t>ED_JU</t>
        </is>
      </c>
      <c r="I3909" t="inlineStr">
        <is>
          <t>2022-02</t>
        </is>
      </c>
      <c r="J3909" t="n">
        <v>1</v>
      </c>
      <c r="K3909" t="n">
        <v>1</v>
      </c>
      <c r="L3909" s="34">
        <f>IF($J3909=1,LN(B3910/B3909),"")</f>
        <v/>
      </c>
      <c r="M3909" s="34">
        <f>IF($K3909=1,INDEX(Mensal!$D$2:$D$245,MATCH($I3909,Mensal!$A$2:$A$245,0)),"")</f>
        <v/>
      </c>
      <c r="N3909" s="34">
        <f>IF($K3909=1,L3909-M3909,"")</f>
        <v/>
      </c>
      <c r="O3909" s="34" t="n">
        <v>0.00034749</v>
      </c>
      <c r="P3909" s="34">
        <f>IF($J3909=1,LN(1+O3909),"")</f>
        <v/>
      </c>
      <c r="Q3909" s="34">
        <f>IF($J3909=1,LN(R3910/R3909),"")</f>
        <v/>
      </c>
      <c r="R3909" s="32" t="n">
        <v>5.281</v>
      </c>
      <c r="S3909" s="35" t="n">
        <v>12.13</v>
      </c>
      <c r="T3909" s="18" t="n"/>
      <c r="U3909" s="18" t="n"/>
      <c r="V3909" s="18" t="n"/>
      <c r="W3909" s="18" t="n">
        <v>113228.31</v>
      </c>
      <c r="X3909" s="35" t="n">
        <v>12.13</v>
      </c>
      <c r="Y3909" s="35" t="n"/>
    </row>
    <row r="3910">
      <c r="A3910" s="25" t="n">
        <v>44594</v>
      </c>
      <c r="B3910" s="18" t="n">
        <v>111894.36</v>
      </c>
      <c r="C3910" s="31" t="n"/>
      <c r="D3910" s="32" t="n"/>
      <c r="E3910" s="33" t="n">
        <v>-0.0707</v>
      </c>
      <c r="F3910" t="inlineStr">
        <is>
          <t>Down</t>
        </is>
      </c>
      <c r="G3910" t="inlineStr">
        <is>
          <t>Up</t>
        </is>
      </c>
      <c r="H3910" t="inlineStr">
        <is>
          <t>ED_JU</t>
        </is>
      </c>
      <c r="I3910" t="inlineStr">
        <is>
          <t>2022-02</t>
        </is>
      </c>
      <c r="J3910" t="n">
        <v>1</v>
      </c>
      <c r="K3910" t="n">
        <v>1</v>
      </c>
      <c r="L3910" s="34">
        <f>IF($J3910=1,LN(B3911/B3910),"")</f>
        <v/>
      </c>
      <c r="M3910" s="34">
        <f>IF($K3910=1,INDEX(Mensal!$D$2:$D$245,MATCH($I3910,Mensal!$A$2:$A$245,0)),"")</f>
        <v/>
      </c>
      <c r="N3910" s="34">
        <f>IF($K3910=1,L3910-M3910,"")</f>
        <v/>
      </c>
      <c r="O3910" s="34" t="n">
        <v>0.00034749</v>
      </c>
      <c r="P3910" s="34">
        <f>IF($J3910=1,LN(1+O3910),"")</f>
        <v/>
      </c>
      <c r="Q3910" s="34">
        <f>IF($J3910=1,LN(R3911/R3910),"")</f>
        <v/>
      </c>
      <c r="R3910" s="32" t="n">
        <v>5.2956</v>
      </c>
      <c r="S3910" s="35" t="n">
        <v>12.11</v>
      </c>
      <c r="T3910" s="18" t="n"/>
      <c r="U3910" s="18" t="n"/>
      <c r="V3910" s="18" t="n"/>
      <c r="W3910" s="18" t="n">
        <v>111894.36</v>
      </c>
      <c r="X3910" s="35" t="n">
        <v>12.11</v>
      </c>
      <c r="Y3910" s="35" t="n"/>
    </row>
    <row r="3911">
      <c r="A3911" s="25" t="n">
        <v>44595</v>
      </c>
      <c r="B3911" s="18" t="n">
        <v>111695.94</v>
      </c>
      <c r="C3911" s="31" t="n"/>
      <c r="D3911" s="32" t="n"/>
      <c r="E3911" s="33" t="n">
        <v>-0.0455</v>
      </c>
      <c r="F3911" t="inlineStr">
        <is>
          <t>Down</t>
        </is>
      </c>
      <c r="G3911" t="inlineStr">
        <is>
          <t>Up</t>
        </is>
      </c>
      <c r="H3911" t="inlineStr">
        <is>
          <t>ED_JU</t>
        </is>
      </c>
      <c r="I3911" t="inlineStr">
        <is>
          <t>2022-02</t>
        </is>
      </c>
      <c r="J3911" t="n">
        <v>1</v>
      </c>
      <c r="K3911" t="n">
        <v>1</v>
      </c>
      <c r="L3911" s="34">
        <f>IF($J3911=1,LN(B3912/B3911),"")</f>
        <v/>
      </c>
      <c r="M3911" s="34">
        <f>IF($K3911=1,INDEX(Mensal!$D$2:$D$245,MATCH($I3911,Mensal!$A$2:$A$245,0)),"")</f>
        <v/>
      </c>
      <c r="N3911" s="34">
        <f>IF($K3911=1,L3911-M3911,"")</f>
        <v/>
      </c>
      <c r="O3911" s="34" t="n">
        <v>0.00040168</v>
      </c>
      <c r="P3911" s="34">
        <f>IF($J3911=1,LN(1+O3911),"")</f>
        <v/>
      </c>
      <c r="Q3911" s="34">
        <f>IF($J3911=1,LN(R3912/R3911),"")</f>
        <v/>
      </c>
      <c r="R3911" s="32" t="n">
        <v>5.3025</v>
      </c>
      <c r="S3911" s="35" t="n">
        <v>11.89</v>
      </c>
      <c r="T3911" s="18" t="n"/>
      <c r="U3911" s="18" t="n"/>
      <c r="V3911" s="18" t="n"/>
      <c r="W3911" s="18" t="n">
        <v>111695.94</v>
      </c>
      <c r="X3911" s="35" t="n">
        <v>11.89</v>
      </c>
      <c r="Y3911" s="35" t="n"/>
    </row>
    <row r="3912">
      <c r="A3912" s="25" t="n">
        <v>44596</v>
      </c>
      <c r="B3912" s="18" t="n">
        <v>112244.94</v>
      </c>
      <c r="C3912" s="31" t="n"/>
      <c r="D3912" s="32" t="n"/>
      <c r="E3912" s="33" t="n">
        <v>-0.0202</v>
      </c>
      <c r="F3912" t="inlineStr">
        <is>
          <t>Down</t>
        </is>
      </c>
      <c r="G3912" t="inlineStr">
        <is>
          <t>Up</t>
        </is>
      </c>
      <c r="H3912" t="inlineStr">
        <is>
          <t>ED_JU</t>
        </is>
      </c>
      <c r="I3912" t="inlineStr">
        <is>
          <t>2022-02</t>
        </is>
      </c>
      <c r="J3912" t="n">
        <v>1</v>
      </c>
      <c r="K3912" t="n">
        <v>1</v>
      </c>
      <c r="L3912" s="34">
        <f>IF($J3912=1,LN(B3913/B3912),"")</f>
        <v/>
      </c>
      <c r="M3912" s="34">
        <f>IF($K3912=1,INDEX(Mensal!$D$2:$D$245,MATCH($I3912,Mensal!$A$2:$A$245,0)),"")</f>
        <v/>
      </c>
      <c r="N3912" s="34">
        <f>IF($K3912=1,L3912-M3912,"")</f>
        <v/>
      </c>
      <c r="O3912" s="34" t="n">
        <v>0.00040168</v>
      </c>
      <c r="P3912" s="34">
        <f>IF($J3912=1,LN(1+O3912),"")</f>
        <v/>
      </c>
      <c r="Q3912" s="34">
        <f>IF($J3912=1,LN(R3913/R3912),"")</f>
        <v/>
      </c>
      <c r="R3912" s="32" t="n">
        <v>5.3284</v>
      </c>
      <c r="S3912" s="35" t="n">
        <v>11.97</v>
      </c>
      <c r="T3912" s="18" t="n"/>
      <c r="U3912" s="18" t="n"/>
      <c r="V3912" s="18" t="n"/>
      <c r="W3912" s="18" t="n">
        <v>112244.94</v>
      </c>
      <c r="X3912" s="35" t="n">
        <v>11.97</v>
      </c>
      <c r="Y3912" s="35" t="n"/>
    </row>
    <row r="3913">
      <c r="A3913" s="25" t="n">
        <v>44599</v>
      </c>
      <c r="B3913" s="18" t="n">
        <v>111996.4</v>
      </c>
      <c r="C3913" s="31" t="n"/>
      <c r="D3913" s="32" t="n"/>
      <c r="E3913" s="33" t="n">
        <v>0.013</v>
      </c>
      <c r="F3913" t="inlineStr">
        <is>
          <t>Down</t>
        </is>
      </c>
      <c r="G3913" t="inlineStr">
        <is>
          <t>Up</t>
        </is>
      </c>
      <c r="H3913" t="inlineStr">
        <is>
          <t>ED_JU</t>
        </is>
      </c>
      <c r="I3913" t="inlineStr">
        <is>
          <t>2022-02</t>
        </is>
      </c>
      <c r="J3913" t="n">
        <v>1</v>
      </c>
      <c r="K3913" t="n">
        <v>1</v>
      </c>
      <c r="L3913" s="34">
        <f>IF($J3913=1,LN(B3914/B3913),"")</f>
        <v/>
      </c>
      <c r="M3913" s="34">
        <f>IF($K3913=1,INDEX(Mensal!$D$2:$D$245,MATCH($I3913,Mensal!$A$2:$A$245,0)),"")</f>
        <v/>
      </c>
      <c r="N3913" s="34">
        <f>IF($K3913=1,L3913-M3913,"")</f>
        <v/>
      </c>
      <c r="O3913" s="34" t="n">
        <v>0.00040168</v>
      </c>
      <c r="P3913" s="34">
        <f>IF($J3913=1,LN(1+O3913),"")</f>
        <v/>
      </c>
      <c r="Q3913" s="34">
        <f>IF($J3913=1,LN(R3914/R3913),"")</f>
        <v/>
      </c>
      <c r="R3913" s="32" t="n">
        <v>5.2913</v>
      </c>
      <c r="S3913" s="35" t="n">
        <v>11.93</v>
      </c>
      <c r="T3913" s="18" t="n"/>
      <c r="U3913" s="18" t="n"/>
      <c r="V3913" s="18" t="n"/>
      <c r="W3913" s="18" t="n">
        <v>111996.4</v>
      </c>
      <c r="X3913" s="35" t="n">
        <v>11.93</v>
      </c>
      <c r="Y3913" s="35" t="n"/>
    </row>
    <row r="3914">
      <c r="A3914" s="25" t="n">
        <v>44600</v>
      </c>
      <c r="B3914" s="18" t="n">
        <v>112234.46</v>
      </c>
      <c r="C3914" s="31" t="n"/>
      <c r="D3914" s="32" t="n"/>
      <c r="E3914" s="33" t="n">
        <v>0.0448</v>
      </c>
      <c r="F3914" t="inlineStr">
        <is>
          <t>Down</t>
        </is>
      </c>
      <c r="G3914" t="inlineStr">
        <is>
          <t>Up</t>
        </is>
      </c>
      <c r="H3914" t="inlineStr">
        <is>
          <t>ED_JU</t>
        </is>
      </c>
      <c r="I3914" t="inlineStr">
        <is>
          <t>2022-02</t>
        </is>
      </c>
      <c r="J3914" t="n">
        <v>1</v>
      </c>
      <c r="K3914" t="n">
        <v>1</v>
      </c>
      <c r="L3914" s="34">
        <f>IF($J3914=1,LN(B3915/B3914),"")</f>
        <v/>
      </c>
      <c r="M3914" s="34">
        <f>IF($K3914=1,INDEX(Mensal!$D$2:$D$245,MATCH($I3914,Mensal!$A$2:$A$245,0)),"")</f>
        <v/>
      </c>
      <c r="N3914" s="34">
        <f>IF($K3914=1,L3914-M3914,"")</f>
        <v/>
      </c>
      <c r="O3914" s="34" t="n">
        <v>0.00040168</v>
      </c>
      <c r="P3914" s="34">
        <f>IF($J3914=1,LN(1+O3914),"")</f>
        <v/>
      </c>
      <c r="Q3914" s="34">
        <f>IF($J3914=1,LN(R3915/R3914),"")</f>
        <v/>
      </c>
      <c r="R3914" s="32" t="n">
        <v>5.2699</v>
      </c>
      <c r="S3914" s="35" t="n">
        <v>12.1</v>
      </c>
      <c r="T3914" s="18" t="n"/>
      <c r="U3914" s="18" t="n"/>
      <c r="V3914" s="18" t="n"/>
      <c r="W3914" s="18" t="n">
        <v>112234.46</v>
      </c>
      <c r="X3914" s="35" t="n">
        <v>12.1</v>
      </c>
      <c r="Y3914" s="35" t="n"/>
    </row>
    <row r="3915">
      <c r="A3915" s="25" t="n">
        <v>44601</v>
      </c>
      <c r="B3915" s="18" t="n">
        <v>112461.39</v>
      </c>
      <c r="C3915" s="31" t="n"/>
      <c r="D3915" s="32" t="n"/>
      <c r="E3915" s="33" t="n">
        <v>0.07240000000000001</v>
      </c>
      <c r="F3915" t="inlineStr">
        <is>
          <t>Down</t>
        </is>
      </c>
      <c r="G3915" t="inlineStr">
        <is>
          <t>Up</t>
        </is>
      </c>
      <c r="H3915" t="inlineStr">
        <is>
          <t>ED_JU</t>
        </is>
      </c>
      <c r="I3915" t="inlineStr">
        <is>
          <t>2022-02</t>
        </is>
      </c>
      <c r="J3915" t="n">
        <v>1</v>
      </c>
      <c r="K3915" t="n">
        <v>1</v>
      </c>
      <c r="L3915" s="34">
        <f>IF($J3915=1,LN(B3916/B3915),"")</f>
        <v/>
      </c>
      <c r="M3915" s="34">
        <f>IF($K3915=1,INDEX(Mensal!$D$2:$D$245,MATCH($I3915,Mensal!$A$2:$A$245,0)),"")</f>
        <v/>
      </c>
      <c r="N3915" s="34">
        <f>IF($K3915=1,L3915-M3915,"")</f>
        <v/>
      </c>
      <c r="O3915" s="34" t="n">
        <v>0.00040168</v>
      </c>
      <c r="P3915" s="34">
        <f>IF($J3915=1,LN(1+O3915),"")</f>
        <v/>
      </c>
      <c r="Q3915" s="34">
        <f>IF($J3915=1,LN(R3916/R3915),"")</f>
        <v/>
      </c>
      <c r="R3915" s="32" t="n">
        <v>5.2735</v>
      </c>
      <c r="S3915" s="35" t="n">
        <v>12.24</v>
      </c>
      <c r="T3915" s="18" t="n"/>
      <c r="U3915" s="18" t="n"/>
      <c r="V3915" s="18" t="n"/>
      <c r="W3915" s="18" t="n">
        <v>112461.39</v>
      </c>
      <c r="X3915" s="35" t="n">
        <v>12.24</v>
      </c>
      <c r="Y3915" s="35" t="n"/>
    </row>
    <row r="3916">
      <c r="A3916" s="25" t="n">
        <v>44602</v>
      </c>
      <c r="B3916" s="18" t="n">
        <v>113367.77</v>
      </c>
      <c r="C3916" s="31" t="n"/>
      <c r="D3916" s="32" t="n"/>
      <c r="E3916" s="33" t="n">
        <v>0.104</v>
      </c>
      <c r="F3916" t="inlineStr">
        <is>
          <t>Down</t>
        </is>
      </c>
      <c r="G3916" t="inlineStr">
        <is>
          <t>Up</t>
        </is>
      </c>
      <c r="H3916" t="inlineStr">
        <is>
          <t>ED_JU</t>
        </is>
      </c>
      <c r="I3916" t="inlineStr">
        <is>
          <t>2022-02</t>
        </is>
      </c>
      <c r="J3916" t="n">
        <v>1</v>
      </c>
      <c r="K3916" t="n">
        <v>1</v>
      </c>
      <c r="L3916" s="34">
        <f>IF($J3916=1,LN(B3917/B3916),"")</f>
        <v/>
      </c>
      <c r="M3916" s="34">
        <f>IF($K3916=1,INDEX(Mensal!$D$2:$D$245,MATCH($I3916,Mensal!$A$2:$A$245,0)),"")</f>
        <v/>
      </c>
      <c r="N3916" s="34">
        <f>IF($K3916=1,L3916-M3916,"")</f>
        <v/>
      </c>
      <c r="O3916" s="34" t="n">
        <v>0.00040168</v>
      </c>
      <c r="P3916" s="34">
        <f>IF($J3916=1,LN(1+O3916),"")</f>
        <v/>
      </c>
      <c r="Q3916" s="34">
        <f>IF($J3916=1,LN(R3917/R3916),"")</f>
        <v/>
      </c>
      <c r="R3916" s="32" t="n">
        <v>5.2101</v>
      </c>
      <c r="S3916" s="35" t="n">
        <v>12.34</v>
      </c>
      <c r="T3916" s="18" t="n"/>
      <c r="U3916" s="18" t="n"/>
      <c r="V3916" s="18" t="n"/>
      <c r="W3916" s="18" t="n">
        <v>113367.77</v>
      </c>
      <c r="X3916" s="35" t="n">
        <v>12.34</v>
      </c>
      <c r="Y3916" s="35" t="n"/>
    </row>
    <row r="3917">
      <c r="A3917" s="25" t="n">
        <v>44603</v>
      </c>
      <c r="B3917" s="18" t="n">
        <v>113572.35</v>
      </c>
      <c r="C3917" s="31" t="n"/>
      <c r="D3917" s="32" t="n"/>
      <c r="E3917" s="33" t="n">
        <v>0.1423</v>
      </c>
      <c r="F3917" t="inlineStr">
        <is>
          <t>Down</t>
        </is>
      </c>
      <c r="G3917" t="inlineStr">
        <is>
          <t>Up</t>
        </is>
      </c>
      <c r="H3917" t="inlineStr">
        <is>
          <t>ED_JU</t>
        </is>
      </c>
      <c r="I3917" t="inlineStr">
        <is>
          <t>2022-02</t>
        </is>
      </c>
      <c r="J3917" t="n">
        <v>1</v>
      </c>
      <c r="K3917" t="n">
        <v>1</v>
      </c>
      <c r="L3917" s="34">
        <f>IF($J3917=1,LN(B3918/B3917),"")</f>
        <v/>
      </c>
      <c r="M3917" s="34">
        <f>IF($K3917=1,INDEX(Mensal!$D$2:$D$245,MATCH($I3917,Mensal!$A$2:$A$245,0)),"")</f>
        <v/>
      </c>
      <c r="N3917" s="34">
        <f>IF($K3917=1,L3917-M3917,"")</f>
        <v/>
      </c>
      <c r="O3917" s="34" t="n">
        <v>0.00040168</v>
      </c>
      <c r="P3917" s="34">
        <f>IF($J3917=1,LN(1+O3917),"")</f>
        <v/>
      </c>
      <c r="Q3917" s="34">
        <f>IF($J3917=1,LN(R3918/R3917),"")</f>
        <v/>
      </c>
      <c r="R3917" s="32" t="n">
        <v>5.1987</v>
      </c>
      <c r="S3917" s="35" t="n">
        <v>12.48</v>
      </c>
      <c r="T3917" s="18" t="n"/>
      <c r="U3917" s="18" t="n"/>
      <c r="V3917" s="18" t="n"/>
      <c r="W3917" s="18" t="n">
        <v>113572.35</v>
      </c>
      <c r="X3917" s="35" t="n">
        <v>12.48</v>
      </c>
      <c r="Y3917" s="35" t="n"/>
    </row>
    <row r="3918">
      <c r="A3918" s="25" t="n">
        <v>44606</v>
      </c>
      <c r="B3918" s="18" t="n">
        <v>113899.19</v>
      </c>
      <c r="C3918" s="31" t="n"/>
      <c r="D3918" s="32" t="n"/>
      <c r="E3918" s="33" t="n">
        <v>0.1738</v>
      </c>
      <c r="F3918" t="inlineStr">
        <is>
          <t>Down</t>
        </is>
      </c>
      <c r="G3918" t="inlineStr">
        <is>
          <t>Up</t>
        </is>
      </c>
      <c r="H3918" t="inlineStr">
        <is>
          <t>ED_JU</t>
        </is>
      </c>
      <c r="I3918" t="inlineStr">
        <is>
          <t>2022-02</t>
        </is>
      </c>
      <c r="J3918" t="n">
        <v>1</v>
      </c>
      <c r="K3918" t="n">
        <v>1</v>
      </c>
      <c r="L3918" s="34">
        <f>IF($J3918=1,LN(B3919/B3918),"")</f>
        <v/>
      </c>
      <c r="M3918" s="34">
        <f>IF($K3918=1,INDEX(Mensal!$D$2:$D$245,MATCH($I3918,Mensal!$A$2:$A$245,0)),"")</f>
        <v/>
      </c>
      <c r="N3918" s="34">
        <f>IF($K3918=1,L3918-M3918,"")</f>
        <v/>
      </c>
      <c r="O3918" s="34" t="n">
        <v>0.00040168</v>
      </c>
      <c r="P3918" s="34">
        <f>IF($J3918=1,LN(1+O3918),"")</f>
        <v/>
      </c>
      <c r="Q3918" s="34">
        <f>IF($J3918=1,LN(R3919/R3918),"")</f>
        <v/>
      </c>
      <c r="R3918" s="32" t="n">
        <v>5.2106</v>
      </c>
      <c r="S3918" s="35" t="n">
        <v>12.49</v>
      </c>
      <c r="T3918" s="18" t="n"/>
      <c r="U3918" s="18" t="n"/>
      <c r="V3918" s="18" t="n"/>
      <c r="W3918" s="18" t="n">
        <v>113899.19</v>
      </c>
      <c r="X3918" s="35" t="n">
        <v>12.49</v>
      </c>
      <c r="Y3918" s="35" t="n"/>
    </row>
    <row r="3919">
      <c r="A3919" s="25" t="n">
        <v>44607</v>
      </c>
      <c r="B3919" s="18" t="n">
        <v>114828.18</v>
      </c>
      <c r="C3919" s="31" t="n"/>
      <c r="D3919" s="32" t="n"/>
      <c r="E3919" s="33" t="n">
        <v>0.2035</v>
      </c>
      <c r="F3919" t="inlineStr">
        <is>
          <t>Down</t>
        </is>
      </c>
      <c r="G3919" t="inlineStr">
        <is>
          <t>Up</t>
        </is>
      </c>
      <c r="H3919" t="inlineStr">
        <is>
          <t>ED_JU</t>
        </is>
      </c>
      <c r="I3919" t="inlineStr">
        <is>
          <t>2022-02</t>
        </is>
      </c>
      <c r="J3919" t="n">
        <v>1</v>
      </c>
      <c r="K3919" t="n">
        <v>1</v>
      </c>
      <c r="L3919" s="34">
        <f>IF($J3919=1,LN(B3920/B3919),"")</f>
        <v/>
      </c>
      <c r="M3919" s="34">
        <f>IF($K3919=1,INDEX(Mensal!$D$2:$D$245,MATCH($I3919,Mensal!$A$2:$A$245,0)),"")</f>
        <v/>
      </c>
      <c r="N3919" s="34">
        <f>IF($K3919=1,L3919-M3919,"")</f>
        <v/>
      </c>
      <c r="O3919" s="34" t="n">
        <v>0.00040168</v>
      </c>
      <c r="P3919" s="34">
        <f>IF($J3919=1,LN(1+O3919),"")</f>
        <v/>
      </c>
      <c r="Q3919" s="34">
        <f>IF($J3919=1,LN(R3920/R3919),"")</f>
        <v/>
      </c>
      <c r="R3919" s="32" t="n">
        <v>5.1881</v>
      </c>
      <c r="S3919" s="35" t="n">
        <v>12.38</v>
      </c>
      <c r="T3919" s="18" t="n"/>
      <c r="U3919" s="18" t="n"/>
      <c r="V3919" s="18" t="n"/>
      <c r="W3919" s="18" t="n">
        <v>114828.18</v>
      </c>
      <c r="X3919" s="35" t="n">
        <v>12.38</v>
      </c>
      <c r="Y3919" s="35" t="n"/>
    </row>
    <row r="3920">
      <c r="A3920" s="25" t="n">
        <v>44608</v>
      </c>
      <c r="B3920" s="18" t="n">
        <v>115180.95</v>
      </c>
      <c r="C3920" s="31" t="n"/>
      <c r="D3920" s="32" t="n"/>
      <c r="E3920" s="33" t="n">
        <v>0.2406</v>
      </c>
      <c r="F3920" t="inlineStr">
        <is>
          <t>Down</t>
        </is>
      </c>
      <c r="G3920" t="inlineStr">
        <is>
          <t>Up</t>
        </is>
      </c>
      <c r="H3920" t="inlineStr">
        <is>
          <t>ED_JU</t>
        </is>
      </c>
      <c r="I3920" t="inlineStr">
        <is>
          <t>2022-02</t>
        </is>
      </c>
      <c r="J3920" t="n">
        <v>1</v>
      </c>
      <c r="K3920" t="n">
        <v>1</v>
      </c>
      <c r="L3920" s="34">
        <f>IF($J3920=1,LN(B3921/B3920),"")</f>
        <v/>
      </c>
      <c r="M3920" s="34">
        <f>IF($K3920=1,INDEX(Mensal!$D$2:$D$245,MATCH($I3920,Mensal!$A$2:$A$245,0)),"")</f>
        <v/>
      </c>
      <c r="N3920" s="34">
        <f>IF($K3920=1,L3920-M3920,"")</f>
        <v/>
      </c>
      <c r="O3920" s="34" t="n">
        <v>0.00040168</v>
      </c>
      <c r="P3920" s="34">
        <f>IF($J3920=1,LN(1+O3920),"")</f>
        <v/>
      </c>
      <c r="Q3920" s="34">
        <f>IF($J3920=1,LN(R3921/R3920),"")</f>
        <v/>
      </c>
      <c r="R3920" s="32" t="n">
        <v>5.163</v>
      </c>
      <c r="S3920" s="35" t="n">
        <v>12.38</v>
      </c>
      <c r="T3920" s="18" t="n"/>
      <c r="U3920" s="18" t="n"/>
      <c r="V3920" s="18" t="n"/>
      <c r="W3920" s="18" t="n">
        <v>115180.95</v>
      </c>
      <c r="X3920" s="35" t="n">
        <v>12.38</v>
      </c>
      <c r="Y3920" s="35" t="n"/>
    </row>
    <row r="3921">
      <c r="A3921" s="25" t="n">
        <v>44609</v>
      </c>
      <c r="B3921" s="18" t="n">
        <v>113528.48</v>
      </c>
      <c r="C3921" s="31" t="n"/>
      <c r="D3921" s="32" t="n"/>
      <c r="E3921" s="33" t="n">
        <v>0.2642</v>
      </c>
      <c r="F3921" t="inlineStr">
        <is>
          <t>Down</t>
        </is>
      </c>
      <c r="G3921" t="inlineStr">
        <is>
          <t>Up</t>
        </is>
      </c>
      <c r="H3921" t="inlineStr">
        <is>
          <t>ED_JU</t>
        </is>
      </c>
      <c r="I3921" t="inlineStr">
        <is>
          <t>2022-02</t>
        </is>
      </c>
      <c r="J3921" t="n">
        <v>1</v>
      </c>
      <c r="K3921" t="n">
        <v>1</v>
      </c>
      <c r="L3921" s="34">
        <f>IF($J3921=1,LN(B3922/B3921),"")</f>
        <v/>
      </c>
      <c r="M3921" s="34">
        <f>IF($K3921=1,INDEX(Mensal!$D$2:$D$245,MATCH($I3921,Mensal!$A$2:$A$245,0)),"")</f>
        <v/>
      </c>
      <c r="N3921" s="34">
        <f>IF($K3921=1,L3921-M3921,"")</f>
        <v/>
      </c>
      <c r="O3921" s="34" t="n">
        <v>0.00040168</v>
      </c>
      <c r="P3921" s="34">
        <f>IF($J3921=1,LN(1+O3921),"")</f>
        <v/>
      </c>
      <c r="Q3921" s="34">
        <f>IF($J3921=1,LN(R3922/R3921),"")</f>
        <v/>
      </c>
      <c r="R3921" s="32" t="n">
        <v>5.1565</v>
      </c>
      <c r="S3921" s="35" t="n">
        <v>12.4</v>
      </c>
      <c r="T3921" s="18" t="n"/>
      <c r="U3921" s="18" t="n"/>
      <c r="V3921" s="18" t="n"/>
      <c r="W3921" s="18" t="n">
        <v>113528.48</v>
      </c>
      <c r="X3921" s="35" t="n">
        <v>12.4</v>
      </c>
      <c r="Y3921" s="35" t="n"/>
    </row>
    <row r="3922">
      <c r="A3922" s="25" t="n">
        <v>44610</v>
      </c>
      <c r="B3922" s="18" t="n">
        <v>112879.85</v>
      </c>
      <c r="C3922" s="31" t="n"/>
      <c r="D3922" s="32" t="n"/>
      <c r="E3922" s="33" t="n">
        <v>0.2888</v>
      </c>
      <c r="F3922" t="inlineStr">
        <is>
          <t>Down</t>
        </is>
      </c>
      <c r="G3922" t="inlineStr">
        <is>
          <t>Up</t>
        </is>
      </c>
      <c r="H3922" t="inlineStr">
        <is>
          <t>ED_JU</t>
        </is>
      </c>
      <c r="I3922" t="inlineStr">
        <is>
          <t>2022-02</t>
        </is>
      </c>
      <c r="J3922" t="n">
        <v>1</v>
      </c>
      <c r="K3922" t="n">
        <v>1</v>
      </c>
      <c r="L3922" s="34">
        <f>IF($J3922=1,LN(B3923/B3922),"")</f>
        <v/>
      </c>
      <c r="M3922" s="34">
        <f>IF($K3922=1,INDEX(Mensal!$D$2:$D$245,MATCH($I3922,Mensal!$A$2:$A$245,0)),"")</f>
        <v/>
      </c>
      <c r="N3922" s="34">
        <f>IF($K3922=1,L3922-M3922,"")</f>
        <v/>
      </c>
      <c r="O3922" s="34" t="n">
        <v>0.00040168</v>
      </c>
      <c r="P3922" s="34">
        <f>IF($J3922=1,LN(1+O3922),"")</f>
        <v/>
      </c>
      <c r="Q3922" s="34">
        <f>IF($J3922=1,LN(R3923/R3922),"")</f>
        <v/>
      </c>
      <c r="R3922" s="32" t="n">
        <v>5.1339</v>
      </c>
      <c r="S3922" s="35" t="n">
        <v>12.38</v>
      </c>
      <c r="T3922" s="18" t="n"/>
      <c r="U3922" s="18" t="n"/>
      <c r="V3922" s="18" t="n"/>
      <c r="W3922" s="18" t="n">
        <v>112879.85</v>
      </c>
      <c r="X3922" s="35" t="n">
        <v>12.38</v>
      </c>
      <c r="Y3922" s="35" t="n"/>
    </row>
    <row r="3923">
      <c r="A3923" s="25" t="n">
        <v>44613</v>
      </c>
      <c r="B3923" s="18" t="n">
        <v>111725.3</v>
      </c>
      <c r="C3923" s="31" t="n"/>
      <c r="D3923" s="32" t="n"/>
      <c r="E3923" s="33" t="n">
        <v>0.3114</v>
      </c>
      <c r="F3923" t="inlineStr">
        <is>
          <t>Down</t>
        </is>
      </c>
      <c r="G3923" t="inlineStr">
        <is>
          <t>Up</t>
        </is>
      </c>
      <c r="H3923" t="inlineStr">
        <is>
          <t>ED_JU</t>
        </is>
      </c>
      <c r="I3923" t="inlineStr">
        <is>
          <t>2022-02</t>
        </is>
      </c>
      <c r="J3923" t="n">
        <v>1</v>
      </c>
      <c r="K3923" t="n">
        <v>1</v>
      </c>
      <c r="L3923" s="34">
        <f>IF($J3923=1,LN(B3924/B3923),"")</f>
        <v/>
      </c>
      <c r="M3923" s="34">
        <f>IF($K3923=1,INDEX(Mensal!$D$2:$D$245,MATCH($I3923,Mensal!$A$2:$A$245,0)),"")</f>
        <v/>
      </c>
      <c r="N3923" s="34">
        <f>IF($K3923=1,L3923-M3923,"")</f>
        <v/>
      </c>
      <c r="O3923" s="34" t="n">
        <v>0.00040168</v>
      </c>
      <c r="P3923" s="34">
        <f>IF($J3923=1,LN(1+O3923),"")</f>
        <v/>
      </c>
      <c r="Q3923" s="34">
        <f>IF($J3923=1,LN(R3924/R3923),"")</f>
        <v/>
      </c>
      <c r="R3923" s="32" t="n">
        <v>5.0997</v>
      </c>
      <c r="S3923" s="35" t="n">
        <v>12.38</v>
      </c>
      <c r="T3923" s="18" t="n"/>
      <c r="U3923" s="18" t="n"/>
      <c r="V3923" s="18" t="n"/>
      <c r="W3923" s="18" t="n">
        <v>111725.3</v>
      </c>
      <c r="X3923" s="35" t="n">
        <v>12.38</v>
      </c>
      <c r="Y3923" s="35" t="n"/>
    </row>
    <row r="3924">
      <c r="A3924" s="25" t="n">
        <v>44614</v>
      </c>
      <c r="B3924" s="18" t="n">
        <v>112891.8</v>
      </c>
      <c r="C3924" s="31" t="n"/>
      <c r="D3924" s="32" t="n"/>
      <c r="E3924" s="33" t="n">
        <v>0.3349</v>
      </c>
      <c r="F3924" t="inlineStr">
        <is>
          <t>Down</t>
        </is>
      </c>
      <c r="G3924" t="inlineStr">
        <is>
          <t>Up</t>
        </is>
      </c>
      <c r="H3924" t="inlineStr">
        <is>
          <t>ED_JU</t>
        </is>
      </c>
      <c r="I3924" t="inlineStr">
        <is>
          <t>2022-02</t>
        </is>
      </c>
      <c r="J3924" t="n">
        <v>1</v>
      </c>
      <c r="K3924" t="n">
        <v>1</v>
      </c>
      <c r="L3924" s="34">
        <f>IF($J3924=1,LN(B3925/B3924),"")</f>
        <v/>
      </c>
      <c r="M3924" s="34">
        <f>IF($K3924=1,INDEX(Mensal!$D$2:$D$245,MATCH($I3924,Mensal!$A$2:$A$245,0)),"")</f>
        <v/>
      </c>
      <c r="N3924" s="34">
        <f>IF($K3924=1,L3924-M3924,"")</f>
        <v/>
      </c>
      <c r="O3924" s="34" t="n">
        <v>0.00040168</v>
      </c>
      <c r="P3924" s="34">
        <f>IF($J3924=1,LN(1+O3924),"")</f>
        <v/>
      </c>
      <c r="Q3924" s="34">
        <f>IF($J3924=1,LN(R3925/R3924),"")</f>
        <v/>
      </c>
      <c r="R3924" s="32" t="n">
        <v>5.0611</v>
      </c>
      <c r="S3924" s="35" t="n">
        <v>12.44</v>
      </c>
      <c r="T3924" s="18" t="n"/>
      <c r="U3924" s="18" t="n"/>
      <c r="V3924" s="18" t="n"/>
      <c r="W3924" s="18" t="n">
        <v>112891.8</v>
      </c>
      <c r="X3924" s="35" t="n">
        <v>12.44</v>
      </c>
      <c r="Y3924" s="35" t="n"/>
    </row>
    <row r="3925">
      <c r="A3925" s="25" t="n">
        <v>44615</v>
      </c>
      <c r="B3925" s="18" t="n">
        <v>112007.61</v>
      </c>
      <c r="C3925" s="31" t="n"/>
      <c r="D3925" s="32" t="n"/>
      <c r="E3925" s="33" t="n">
        <v>0.3567</v>
      </c>
      <c r="F3925" t="inlineStr">
        <is>
          <t>Down</t>
        </is>
      </c>
      <c r="G3925" t="inlineStr">
        <is>
          <t>Up</t>
        </is>
      </c>
      <c r="H3925" t="inlineStr">
        <is>
          <t>ED_JU</t>
        </is>
      </c>
      <c r="I3925" t="inlineStr">
        <is>
          <t>2022-02</t>
        </is>
      </c>
      <c r="J3925" t="n">
        <v>1</v>
      </c>
      <c r="K3925" t="n">
        <v>1</v>
      </c>
      <c r="L3925" s="34">
        <f>IF($J3925=1,LN(B3926/B3925),"")</f>
        <v/>
      </c>
      <c r="M3925" s="34">
        <f>IF($K3925=1,INDEX(Mensal!$D$2:$D$245,MATCH($I3925,Mensal!$A$2:$A$245,0)),"")</f>
        <v/>
      </c>
      <c r="N3925" s="34">
        <f>IF($K3925=1,L3925-M3925,"")</f>
        <v/>
      </c>
      <c r="O3925" s="34" t="n">
        <v>0.00040168</v>
      </c>
      <c r="P3925" s="34">
        <f>IF($J3925=1,LN(1+O3925),"")</f>
        <v/>
      </c>
      <c r="Q3925" s="34">
        <f>IF($J3925=1,LN(R3926/R3925),"")</f>
        <v/>
      </c>
      <c r="R3925" s="32" t="n">
        <v>5.0143</v>
      </c>
      <c r="S3925" s="35" t="n">
        <v>12.36</v>
      </c>
      <c r="T3925" s="18" t="n"/>
      <c r="U3925" s="18" t="n"/>
      <c r="V3925" s="18" t="n"/>
      <c r="W3925" s="18" t="n">
        <v>112007.61</v>
      </c>
      <c r="X3925" s="35" t="n">
        <v>12.36</v>
      </c>
      <c r="Y3925" s="35" t="n"/>
    </row>
    <row r="3926">
      <c r="A3926" s="25" t="n">
        <v>44616</v>
      </c>
      <c r="B3926" s="18" t="n">
        <v>111591.87</v>
      </c>
      <c r="C3926" s="31" t="n"/>
      <c r="D3926" s="32" t="n"/>
      <c r="E3926" s="33" t="n">
        <v>0.3849</v>
      </c>
      <c r="F3926" t="inlineStr">
        <is>
          <t>Down</t>
        </is>
      </c>
      <c r="G3926" t="inlineStr">
        <is>
          <t>Up</t>
        </is>
      </c>
      <c r="H3926" t="inlineStr">
        <is>
          <t>ED_JU</t>
        </is>
      </c>
      <c r="I3926" t="inlineStr">
        <is>
          <t>2022-02</t>
        </is>
      </c>
      <c r="J3926" t="n">
        <v>1</v>
      </c>
      <c r="K3926" t="n">
        <v>1</v>
      </c>
      <c r="L3926" s="34">
        <f>IF($J3926=1,LN(B3927/B3926),"")</f>
        <v/>
      </c>
      <c r="M3926" s="34">
        <f>IF($K3926=1,INDEX(Mensal!$D$2:$D$245,MATCH($I3926,Mensal!$A$2:$A$245,0)),"")</f>
        <v/>
      </c>
      <c r="N3926" s="34">
        <f>IF($K3926=1,L3926-M3926,"")</f>
        <v/>
      </c>
      <c r="O3926" s="34" t="n">
        <v>0.00040168</v>
      </c>
      <c r="P3926" s="34">
        <f>IF($J3926=1,LN(1+O3926),"")</f>
        <v/>
      </c>
      <c r="Q3926" s="34">
        <f>IF($J3926=1,LN(R3927/R3926),"")</f>
        <v/>
      </c>
      <c r="R3926" s="32" t="n">
        <v>5.1174</v>
      </c>
      <c r="S3926" s="35" t="n">
        <v>12.44</v>
      </c>
      <c r="T3926" s="18" t="n"/>
      <c r="U3926" s="18" t="n"/>
      <c r="V3926" s="18" t="n"/>
      <c r="W3926" s="18" t="n">
        <v>111591.87</v>
      </c>
      <c r="X3926" s="35" t="n">
        <v>12.44</v>
      </c>
      <c r="Y3926" s="35" t="n"/>
    </row>
    <row r="3927">
      <c r="A3927" s="25" t="n">
        <v>44617</v>
      </c>
      <c r="B3927" s="18" t="n">
        <v>113141.94</v>
      </c>
      <c r="C3927" s="31" t="n"/>
      <c r="D3927" s="32" t="n"/>
      <c r="E3927" s="33" t="n">
        <v>0.4143</v>
      </c>
      <c r="F3927" t="inlineStr">
        <is>
          <t>Down</t>
        </is>
      </c>
      <c r="G3927" t="inlineStr">
        <is>
          <t>Up</t>
        </is>
      </c>
      <c r="H3927" t="inlineStr">
        <is>
          <t>ED_JU</t>
        </is>
      </c>
      <c r="I3927" t="inlineStr">
        <is>
          <t>2022-02</t>
        </is>
      </c>
      <c r="J3927" t="n">
        <v>1</v>
      </c>
      <c r="K3927" t="n">
        <v>1</v>
      </c>
      <c r="L3927" s="34">
        <f>IF($J3927=1,LN(B3928/B3927),"")</f>
        <v/>
      </c>
      <c r="M3927" s="34">
        <f>IF($K3927=1,INDEX(Mensal!$D$2:$D$245,MATCH($I3927,Mensal!$A$2:$A$245,0)),"")</f>
        <v/>
      </c>
      <c r="N3927" s="34">
        <f>IF($K3927=1,L3927-M3927,"")</f>
        <v/>
      </c>
      <c r="O3927" s="34" t="n">
        <v>0.00040168</v>
      </c>
      <c r="P3927" s="34">
        <f>IF($J3927=1,LN(1+O3927),"")</f>
        <v/>
      </c>
      <c r="Q3927" s="34">
        <f>IF($J3927=1,LN(R3928/R3927),"")</f>
        <v/>
      </c>
      <c r="R3927" s="32" t="n">
        <v>5.1394</v>
      </c>
      <c r="S3927" s="35" t="n">
        <v>12.47</v>
      </c>
      <c r="T3927" s="18" t="n"/>
      <c r="U3927" s="18" t="n"/>
      <c r="V3927" s="18" t="n"/>
      <c r="W3927" s="18" t="n">
        <v>113141.94</v>
      </c>
      <c r="X3927" s="35" t="n">
        <v>12.47</v>
      </c>
      <c r="Y3927" s="35" t="n"/>
    </row>
    <row r="3928">
      <c r="A3928" s="25" t="n">
        <v>44622</v>
      </c>
      <c r="B3928" s="18" t="n">
        <v>115173.61</v>
      </c>
      <c r="C3928" s="31" t="n"/>
      <c r="D3928" s="32" t="n"/>
      <c r="E3928" s="33" t="n">
        <v>0.4381</v>
      </c>
      <c r="F3928" t="inlineStr">
        <is>
          <t>Down</t>
        </is>
      </c>
      <c r="G3928" t="inlineStr">
        <is>
          <t>Up</t>
        </is>
      </c>
      <c r="H3928" t="inlineStr">
        <is>
          <t>ED_JU</t>
        </is>
      </c>
      <c r="I3928" t="inlineStr">
        <is>
          <t>2022-03</t>
        </is>
      </c>
      <c r="J3928" t="n">
        <v>1</v>
      </c>
      <c r="K3928" t="n">
        <v>1</v>
      </c>
      <c r="L3928" s="34">
        <f>IF($J3928=1,LN(B3929/B3928),"")</f>
        <v/>
      </c>
      <c r="M3928" s="34">
        <f>IF($K3928=1,INDEX(Mensal!$D$2:$D$245,MATCH($I3928,Mensal!$A$2:$A$245,0)),"")</f>
        <v/>
      </c>
      <c r="N3928" s="34">
        <f>IF($K3928=1,L3928-M3928,"")</f>
        <v/>
      </c>
      <c r="O3928" s="34" t="n">
        <v>0.00040168</v>
      </c>
      <c r="P3928" s="34">
        <f>IF($J3928=1,LN(1+O3928),"")</f>
        <v/>
      </c>
      <c r="Q3928" s="34">
        <f>IF($J3928=1,LN(R3929/R3928),"")</f>
        <v/>
      </c>
      <c r="R3928" s="32" t="n">
        <v>5.1347</v>
      </c>
      <c r="S3928" s="35" t="n">
        <v>12.63</v>
      </c>
      <c r="T3928" s="18" t="n"/>
      <c r="U3928" s="18" t="n"/>
      <c r="V3928" s="18" t="n"/>
      <c r="W3928" s="18" t="n">
        <v>115173.61</v>
      </c>
      <c r="X3928" s="35" t="n">
        <v>12.63</v>
      </c>
      <c r="Y3928" s="35" t="n"/>
    </row>
    <row r="3929">
      <c r="A3929" s="25" t="n">
        <v>44623</v>
      </c>
      <c r="B3929" s="18" t="n">
        <v>115165.55</v>
      </c>
      <c r="C3929" s="31" t="n"/>
      <c r="D3929" s="32" t="n"/>
      <c r="E3929" s="33" t="n">
        <v>0.4568</v>
      </c>
      <c r="F3929" t="inlineStr">
        <is>
          <t>Down</t>
        </is>
      </c>
      <c r="G3929" t="inlineStr">
        <is>
          <t>Up</t>
        </is>
      </c>
      <c r="H3929" t="inlineStr">
        <is>
          <t>ED_JU</t>
        </is>
      </c>
      <c r="I3929" t="inlineStr">
        <is>
          <t>2022-03</t>
        </is>
      </c>
      <c r="J3929" t="n">
        <v>1</v>
      </c>
      <c r="K3929" t="n">
        <v>1</v>
      </c>
      <c r="L3929" s="34">
        <f>IF($J3929=1,LN(B3930/B3929),"")</f>
        <v/>
      </c>
      <c r="M3929" s="34">
        <f>IF($K3929=1,INDEX(Mensal!$D$2:$D$245,MATCH($I3929,Mensal!$A$2:$A$245,0)),"")</f>
        <v/>
      </c>
      <c r="N3929" s="34">
        <f>IF($K3929=1,L3929-M3929,"")</f>
        <v/>
      </c>
      <c r="O3929" s="34" t="n">
        <v>0.00040168</v>
      </c>
      <c r="P3929" s="34">
        <f>IF($J3929=1,LN(1+O3929),"")</f>
        <v/>
      </c>
      <c r="Q3929" s="34">
        <f>IF($J3929=1,LN(R3930/R3929),"")</f>
        <v/>
      </c>
      <c r="R3929" s="32" t="n">
        <v>5.0479</v>
      </c>
      <c r="S3929" s="35" t="n">
        <v>12.82</v>
      </c>
      <c r="T3929" s="18" t="n"/>
      <c r="U3929" s="18" t="n"/>
      <c r="V3929" s="18" t="n"/>
      <c r="W3929" s="18" t="n">
        <v>115165.55</v>
      </c>
      <c r="X3929" s="35" t="n">
        <v>12.82</v>
      </c>
      <c r="Y3929" s="35" t="n"/>
    </row>
    <row r="3930">
      <c r="A3930" s="25" t="n">
        <v>44624</v>
      </c>
      <c r="B3930" s="18" t="n">
        <v>114473.78</v>
      </c>
      <c r="C3930" s="31" t="n"/>
      <c r="D3930" s="32" t="n"/>
      <c r="E3930" s="33" t="n">
        <v>0.4722</v>
      </c>
      <c r="F3930" t="inlineStr">
        <is>
          <t>Down</t>
        </is>
      </c>
      <c r="G3930" t="inlineStr">
        <is>
          <t>Up</t>
        </is>
      </c>
      <c r="H3930" t="inlineStr">
        <is>
          <t>ED_JU</t>
        </is>
      </c>
      <c r="I3930" t="inlineStr">
        <is>
          <t>2022-03</t>
        </is>
      </c>
      <c r="J3930" t="n">
        <v>1</v>
      </c>
      <c r="K3930" t="n">
        <v>1</v>
      </c>
      <c r="L3930" s="34">
        <f>IF($J3930=1,LN(B3931/B3930),"")</f>
        <v/>
      </c>
      <c r="M3930" s="34">
        <f>IF($K3930=1,INDEX(Mensal!$D$2:$D$245,MATCH($I3930,Mensal!$A$2:$A$245,0)),"")</f>
        <v/>
      </c>
      <c r="N3930" s="34">
        <f>IF($K3930=1,L3930-M3930,"")</f>
        <v/>
      </c>
      <c r="O3930" s="34" t="n">
        <v>0.00040168</v>
      </c>
      <c r="P3930" s="34">
        <f>IF($J3930=1,LN(1+O3930),"")</f>
        <v/>
      </c>
      <c r="Q3930" s="34">
        <f>IF($J3930=1,LN(R3931/R3930),"")</f>
        <v/>
      </c>
      <c r="R3930" s="32" t="n">
        <v>5.0758</v>
      </c>
      <c r="S3930" s="35" t="n">
        <v>13.02</v>
      </c>
      <c r="T3930" s="18" t="n"/>
      <c r="U3930" s="18" t="n"/>
      <c r="V3930" s="18" t="n"/>
      <c r="W3930" s="18" t="n">
        <v>114473.78</v>
      </c>
      <c r="X3930" s="35" t="n">
        <v>13.02</v>
      </c>
      <c r="Y3930" s="35" t="n"/>
    </row>
    <row r="3931">
      <c r="A3931" s="25" t="n">
        <v>44627</v>
      </c>
      <c r="B3931" s="18" t="n">
        <v>111593.46</v>
      </c>
      <c r="C3931" s="31" t="n"/>
      <c r="D3931" s="32" t="n"/>
      <c r="E3931" s="33" t="n">
        <v>0.5138</v>
      </c>
      <c r="F3931" t="inlineStr">
        <is>
          <t>Down</t>
        </is>
      </c>
      <c r="G3931" t="inlineStr">
        <is>
          <t>Up</t>
        </is>
      </c>
      <c r="H3931" t="inlineStr">
        <is>
          <t>ED_JU</t>
        </is>
      </c>
      <c r="I3931" t="inlineStr">
        <is>
          <t>2022-03</t>
        </is>
      </c>
      <c r="J3931" t="n">
        <v>1</v>
      </c>
      <c r="K3931" t="n">
        <v>1</v>
      </c>
      <c r="L3931" s="34">
        <f>IF($J3931=1,LN(B3932/B3931),"")</f>
        <v/>
      </c>
      <c r="M3931" s="34">
        <f>IF($K3931=1,INDEX(Mensal!$D$2:$D$245,MATCH($I3931,Mensal!$A$2:$A$245,0)),"")</f>
        <v/>
      </c>
      <c r="N3931" s="34">
        <f>IF($K3931=1,L3931-M3931,"")</f>
        <v/>
      </c>
      <c r="O3931" s="34" t="n">
        <v>0.00040168</v>
      </c>
      <c r="P3931" s="34">
        <f>IF($J3931=1,LN(1+O3931),"")</f>
        <v/>
      </c>
      <c r="Q3931" s="34">
        <f>IF($J3931=1,LN(R3932/R3931),"")</f>
        <v/>
      </c>
      <c r="R3931" s="32" t="n">
        <v>5.0579</v>
      </c>
      <c r="S3931" s="35" t="n">
        <v>13.15</v>
      </c>
      <c r="T3931" s="18" t="n"/>
      <c r="U3931" s="18" t="n"/>
      <c r="V3931" s="18" t="n"/>
      <c r="W3931" s="18" t="n">
        <v>111593.46</v>
      </c>
      <c r="X3931" s="35" t="n">
        <v>13.15</v>
      </c>
      <c r="Y3931" s="35" t="n"/>
    </row>
    <row r="3932">
      <c r="A3932" s="25" t="n">
        <v>44628</v>
      </c>
      <c r="B3932" s="18" t="n">
        <v>111203.45</v>
      </c>
      <c r="C3932" s="31" t="n"/>
      <c r="D3932" s="32" t="n"/>
      <c r="E3932" s="33" t="n">
        <v>0.5675</v>
      </c>
      <c r="F3932" t="inlineStr">
        <is>
          <t>Down</t>
        </is>
      </c>
      <c r="G3932" t="inlineStr">
        <is>
          <t>Up</t>
        </is>
      </c>
      <c r="H3932" t="inlineStr">
        <is>
          <t>ED_JU</t>
        </is>
      </c>
      <c r="I3932" t="inlineStr">
        <is>
          <t>2022-03</t>
        </is>
      </c>
      <c r="J3932" t="n">
        <v>1</v>
      </c>
      <c r="K3932" t="n">
        <v>1</v>
      </c>
      <c r="L3932" s="34">
        <f>IF($J3932=1,LN(B3933/B3932),"")</f>
        <v/>
      </c>
      <c r="M3932" s="34">
        <f>IF($K3932=1,INDEX(Mensal!$D$2:$D$245,MATCH($I3932,Mensal!$A$2:$A$245,0)),"")</f>
        <v/>
      </c>
      <c r="N3932" s="34">
        <f>IF($K3932=1,L3932-M3932,"")</f>
        <v/>
      </c>
      <c r="O3932" s="34" t="n">
        <v>0.00040168</v>
      </c>
      <c r="P3932" s="34">
        <f>IF($J3932=1,LN(1+O3932),"")</f>
        <v/>
      </c>
      <c r="Q3932" s="34">
        <f>IF($J3932=1,LN(R3933/R3932),"")</f>
        <v/>
      </c>
      <c r="R3932" s="32" t="n">
        <v>5.0903</v>
      </c>
      <c r="S3932" s="35" t="n">
        <v>13.1</v>
      </c>
      <c r="T3932" s="18" t="n"/>
      <c r="U3932" s="18" t="n"/>
      <c r="V3932" s="18" t="n"/>
      <c r="W3932" s="18" t="n">
        <v>111203.45</v>
      </c>
      <c r="X3932" s="35" t="n">
        <v>13.1</v>
      </c>
      <c r="Y3932" s="35" t="n"/>
    </row>
    <row r="3933">
      <c r="A3933" s="25" t="n">
        <v>44629</v>
      </c>
      <c r="B3933" s="18" t="n">
        <v>113900.34</v>
      </c>
      <c r="C3933" s="31" t="n"/>
      <c r="D3933" s="32" t="n"/>
      <c r="E3933" s="33" t="n">
        <v>0.6223</v>
      </c>
      <c r="F3933" t="inlineStr">
        <is>
          <t>Down</t>
        </is>
      </c>
      <c r="G3933" t="inlineStr">
        <is>
          <t>Up</t>
        </is>
      </c>
      <c r="H3933" t="inlineStr">
        <is>
          <t>ED_JU</t>
        </is>
      </c>
      <c r="I3933" t="inlineStr">
        <is>
          <t>2022-03</t>
        </is>
      </c>
      <c r="J3933" t="n">
        <v>1</v>
      </c>
      <c r="K3933" t="n">
        <v>1</v>
      </c>
      <c r="L3933" s="34">
        <f>IF($J3933=1,LN(B3934/B3933),"")</f>
        <v/>
      </c>
      <c r="M3933" s="34">
        <f>IF($K3933=1,INDEX(Mensal!$D$2:$D$245,MATCH($I3933,Mensal!$A$2:$A$245,0)),"")</f>
        <v/>
      </c>
      <c r="N3933" s="34">
        <f>IF($K3933=1,L3933-M3933,"")</f>
        <v/>
      </c>
      <c r="O3933" s="34" t="n">
        <v>0.00040168</v>
      </c>
      <c r="P3933" s="34">
        <f>IF($J3933=1,LN(1+O3933),"")</f>
        <v/>
      </c>
      <c r="Q3933" s="34">
        <f>IF($J3933=1,LN(R3934/R3933),"")</f>
        <v/>
      </c>
      <c r="R3933" s="32" t="n">
        <v>5.0094</v>
      </c>
      <c r="S3933" s="35" t="n">
        <v>12.98</v>
      </c>
      <c r="T3933" s="18" t="n"/>
      <c r="U3933" s="18" t="n"/>
      <c r="V3933" s="18" t="n"/>
      <c r="W3933" s="18" t="n">
        <v>113900.34</v>
      </c>
      <c r="X3933" s="35" t="n">
        <v>12.98</v>
      </c>
      <c r="Y3933" s="35" t="n"/>
    </row>
    <row r="3934">
      <c r="A3934" s="25" t="n">
        <v>44630</v>
      </c>
      <c r="B3934" s="18" t="n">
        <v>113663.13</v>
      </c>
      <c r="C3934" s="31" t="n"/>
      <c r="D3934" s="32" t="n"/>
      <c r="E3934" s="33" t="n">
        <v>0.6860000000000001</v>
      </c>
      <c r="F3934" t="inlineStr">
        <is>
          <t>Down</t>
        </is>
      </c>
      <c r="G3934" t="inlineStr">
        <is>
          <t>Up</t>
        </is>
      </c>
      <c r="H3934" t="inlineStr">
        <is>
          <t>ED_JU</t>
        </is>
      </c>
      <c r="I3934" t="inlineStr">
        <is>
          <t>2022-03</t>
        </is>
      </c>
      <c r="J3934" t="n">
        <v>1</v>
      </c>
      <c r="K3934" t="n">
        <v>1</v>
      </c>
      <c r="L3934" s="34">
        <f>IF($J3934=1,LN(B3935/B3934),"")</f>
        <v/>
      </c>
      <c r="M3934" s="34">
        <f>IF($K3934=1,INDEX(Mensal!$D$2:$D$245,MATCH($I3934,Mensal!$A$2:$A$245,0)),"")</f>
        <v/>
      </c>
      <c r="N3934" s="34">
        <f>IF($K3934=1,L3934-M3934,"")</f>
        <v/>
      </c>
      <c r="O3934" s="34" t="n">
        <v>0.00040168</v>
      </c>
      <c r="P3934" s="34">
        <f>IF($J3934=1,LN(1+O3934),"")</f>
        <v/>
      </c>
      <c r="Q3934" s="34">
        <f>IF($J3934=1,LN(R3935/R3934),"")</f>
        <v/>
      </c>
      <c r="R3934" s="32" t="n">
        <v>5.0513</v>
      </c>
      <c r="S3934" s="35" t="n">
        <v>13.12</v>
      </c>
      <c r="T3934" s="18" t="n"/>
      <c r="U3934" s="18" t="n"/>
      <c r="V3934" s="18" t="n"/>
      <c r="W3934" s="18" t="n">
        <v>113663.13</v>
      </c>
      <c r="X3934" s="35" t="n">
        <v>13.12</v>
      </c>
      <c r="Y3934" s="35" t="n"/>
    </row>
    <row r="3935">
      <c r="A3935" s="25" t="n">
        <v>44631</v>
      </c>
      <c r="B3935" s="18" t="n">
        <v>111713.07</v>
      </c>
      <c r="C3935" s="31" t="n"/>
      <c r="D3935" s="32" t="n"/>
      <c r="E3935" s="33" t="n">
        <v>0.7427</v>
      </c>
      <c r="F3935" t="inlineStr">
        <is>
          <t>Down</t>
        </is>
      </c>
      <c r="G3935" t="inlineStr">
        <is>
          <t>Up</t>
        </is>
      </c>
      <c r="H3935" t="inlineStr">
        <is>
          <t>ED_JU</t>
        </is>
      </c>
      <c r="I3935" t="inlineStr">
        <is>
          <t>2022-03</t>
        </is>
      </c>
      <c r="J3935" t="n">
        <v>1</v>
      </c>
      <c r="K3935" t="n">
        <v>1</v>
      </c>
      <c r="L3935" s="34">
        <f>IF($J3935=1,LN(B3936/B3935),"")</f>
        <v/>
      </c>
      <c r="M3935" s="34">
        <f>IF($K3935=1,INDEX(Mensal!$D$2:$D$245,MATCH($I3935,Mensal!$A$2:$A$245,0)),"")</f>
        <v/>
      </c>
      <c r="N3935" s="34">
        <f>IF($K3935=1,L3935-M3935,"")</f>
        <v/>
      </c>
      <c r="O3935" s="34" t="n">
        <v>0.00040168</v>
      </c>
      <c r="P3935" s="34">
        <f>IF($J3935=1,LN(1+O3935),"")</f>
        <v/>
      </c>
      <c r="Q3935" s="34">
        <f>IF($J3935=1,LN(R3936/R3935),"")</f>
        <v/>
      </c>
      <c r="R3935" s="32" t="n">
        <v>5.0255</v>
      </c>
      <c r="S3935" s="35" t="n">
        <v>13.23</v>
      </c>
      <c r="T3935" s="18" t="n"/>
      <c r="U3935" s="18" t="n"/>
      <c r="V3935" s="18" t="n"/>
      <c r="W3935" s="18" t="n">
        <v>111713.07</v>
      </c>
      <c r="X3935" s="35" t="n">
        <v>13.23</v>
      </c>
      <c r="Y3935" s="35" t="n"/>
    </row>
    <row r="3936">
      <c r="A3936" s="25" t="n">
        <v>44634</v>
      </c>
      <c r="B3936" s="18" t="n">
        <v>109927.62</v>
      </c>
      <c r="C3936" s="31" t="n"/>
      <c r="D3936" s="32" t="n"/>
      <c r="E3936" s="33" t="n">
        <v>0.831</v>
      </c>
      <c r="F3936" t="inlineStr">
        <is>
          <t>Down</t>
        </is>
      </c>
      <c r="G3936" t="inlineStr">
        <is>
          <t>Up</t>
        </is>
      </c>
      <c r="H3936" t="inlineStr">
        <is>
          <t>ED_JU</t>
        </is>
      </c>
      <c r="I3936" t="inlineStr">
        <is>
          <t>2022-03</t>
        </is>
      </c>
      <c r="J3936" t="n">
        <v>1</v>
      </c>
      <c r="K3936" t="n">
        <v>1</v>
      </c>
      <c r="L3936" s="34">
        <f>IF($J3936=1,LN(B3937/B3936),"")</f>
        <v/>
      </c>
      <c r="M3936" s="34">
        <f>IF($K3936=1,INDEX(Mensal!$D$2:$D$245,MATCH($I3936,Mensal!$A$2:$A$245,0)),"")</f>
        <v/>
      </c>
      <c r="N3936" s="34">
        <f>IF($K3936=1,L3936-M3936,"")</f>
        <v/>
      </c>
      <c r="O3936" s="34" t="n">
        <v>0.00040168</v>
      </c>
      <c r="P3936" s="34">
        <f>IF($J3936=1,LN(1+O3936),"")</f>
        <v/>
      </c>
      <c r="Q3936" s="34">
        <f>IF($J3936=1,LN(R3937/R3936),"")</f>
        <v/>
      </c>
      <c r="R3936" s="32" t="n">
        <v>5.0647</v>
      </c>
      <c r="S3936" s="35" t="n">
        <v>13.4</v>
      </c>
      <c r="T3936" s="18" t="n"/>
      <c r="U3936" s="18" t="n"/>
      <c r="V3936" s="18" t="n"/>
      <c r="W3936" s="18" t="n">
        <v>109927.62</v>
      </c>
      <c r="X3936" s="35" t="n">
        <v>13.4</v>
      </c>
      <c r="Y3936" s="35" t="n"/>
    </row>
    <row r="3937">
      <c r="A3937" s="25" t="n">
        <v>44635</v>
      </c>
      <c r="B3937" s="18" t="n">
        <v>108959.3</v>
      </c>
      <c r="C3937" s="31" t="n"/>
      <c r="D3937" s="32" t="n"/>
      <c r="E3937" s="33" t="n">
        <v>0.9095</v>
      </c>
      <c r="F3937" t="inlineStr">
        <is>
          <t>Down</t>
        </is>
      </c>
      <c r="G3937" t="inlineStr">
        <is>
          <t>Up</t>
        </is>
      </c>
      <c r="H3937" t="inlineStr">
        <is>
          <t>ED_JU</t>
        </is>
      </c>
      <c r="I3937" t="inlineStr">
        <is>
          <t>2022-03</t>
        </is>
      </c>
      <c r="J3937" t="n">
        <v>1</v>
      </c>
      <c r="K3937" t="n">
        <v>1</v>
      </c>
      <c r="L3937" s="34">
        <f>IF($J3937=1,LN(B3938/B3937),"")</f>
        <v/>
      </c>
      <c r="M3937" s="34">
        <f>IF($K3937=1,INDEX(Mensal!$D$2:$D$245,MATCH($I3937,Mensal!$A$2:$A$245,0)),"")</f>
        <v/>
      </c>
      <c r="N3937" s="34">
        <f>IF($K3937=1,L3937-M3937,"")</f>
        <v/>
      </c>
      <c r="O3937" s="34" t="n">
        <v>0.00040168</v>
      </c>
      <c r="P3937" s="34">
        <f>IF($J3937=1,LN(1+O3937),"")</f>
        <v/>
      </c>
      <c r="Q3937" s="34">
        <f>IF($J3937=1,LN(R3938/R3937),"")</f>
        <v/>
      </c>
      <c r="R3937" s="32" t="n">
        <v>5.1314</v>
      </c>
      <c r="S3937" s="35" t="n">
        <v>13.23</v>
      </c>
      <c r="T3937" s="18" t="n"/>
      <c r="U3937" s="18" t="n"/>
      <c r="V3937" s="18" t="n"/>
      <c r="W3937" s="18" t="n">
        <v>108959.3</v>
      </c>
      <c r="X3937" s="35" t="n">
        <v>13.23</v>
      </c>
      <c r="Y3937" s="35" t="n"/>
    </row>
    <row r="3938">
      <c r="A3938" s="25" t="n">
        <v>44636</v>
      </c>
      <c r="B3938" s="18" t="n">
        <v>111112.43</v>
      </c>
      <c r="C3938" s="31" t="n"/>
      <c r="D3938" s="32" t="n"/>
      <c r="E3938" s="33" t="n">
        <v>0.9861</v>
      </c>
      <c r="F3938" t="inlineStr">
        <is>
          <t>Down</t>
        </is>
      </c>
      <c r="G3938" t="inlineStr">
        <is>
          <t>Up</t>
        </is>
      </c>
      <c r="H3938" t="inlineStr">
        <is>
          <t>ED_JU</t>
        </is>
      </c>
      <c r="I3938" t="inlineStr">
        <is>
          <t>2022-03</t>
        </is>
      </c>
      <c r="J3938" t="n">
        <v>1</v>
      </c>
      <c r="K3938" t="n">
        <v>1</v>
      </c>
      <c r="L3938" s="34">
        <f>IF($J3938=1,LN(B3939/B3938),"")</f>
        <v/>
      </c>
      <c r="M3938" s="34">
        <f>IF($K3938=1,INDEX(Mensal!$D$2:$D$245,MATCH($I3938,Mensal!$A$2:$A$245,0)),"")</f>
        <v/>
      </c>
      <c r="N3938" s="34">
        <f>IF($K3938=1,L3938-M3938,"")</f>
        <v/>
      </c>
      <c r="O3938" s="34" t="n">
        <v>0.00040168</v>
      </c>
      <c r="P3938" s="34">
        <f>IF($J3938=1,LN(1+O3938),"")</f>
        <v/>
      </c>
      <c r="Q3938" s="34">
        <f>IF($J3938=1,LN(R3939/R3938),"")</f>
        <v/>
      </c>
      <c r="R3938" s="32" t="n">
        <v>5.1287</v>
      </c>
      <c r="S3938" s="35" t="n">
        <v>13.23</v>
      </c>
      <c r="T3938" s="18" t="n"/>
      <c r="U3938" s="18" t="n"/>
      <c r="V3938" s="18" t="n"/>
      <c r="W3938" s="18" t="n">
        <v>111112.43</v>
      </c>
      <c r="X3938" s="35" t="n">
        <v>13.23</v>
      </c>
      <c r="Y3938" s="35" t="n"/>
    </row>
    <row r="3939">
      <c r="A3939" s="25" t="n">
        <v>44637</v>
      </c>
      <c r="B3939" s="18" t="n">
        <v>113076.33</v>
      </c>
      <c r="C3939" s="31" t="n"/>
      <c r="D3939" s="32" t="n"/>
      <c r="E3939" s="33" t="n">
        <v>1.0629</v>
      </c>
      <c r="F3939" t="inlineStr">
        <is>
          <t>Down</t>
        </is>
      </c>
      <c r="G3939" t="inlineStr">
        <is>
          <t>Up</t>
        </is>
      </c>
      <c r="H3939" t="inlineStr">
        <is>
          <t>ED_JU</t>
        </is>
      </c>
      <c r="I3939" t="inlineStr">
        <is>
          <t>2022-03</t>
        </is>
      </c>
      <c r="J3939" t="n">
        <v>1</v>
      </c>
      <c r="K3939" t="n">
        <v>1</v>
      </c>
      <c r="L3939" s="34">
        <f>IF($J3939=1,LN(B3940/B3939),"")</f>
        <v/>
      </c>
      <c r="M3939" s="34">
        <f>IF($K3939=1,INDEX(Mensal!$D$2:$D$245,MATCH($I3939,Mensal!$A$2:$A$245,0)),"")</f>
        <v/>
      </c>
      <c r="N3939" s="34">
        <f>IF($K3939=1,L3939-M3939,"")</f>
        <v/>
      </c>
      <c r="O3939" s="34" t="n">
        <v>0.00043739</v>
      </c>
      <c r="P3939" s="34">
        <f>IF($J3939=1,LN(1+O3939),"")</f>
        <v/>
      </c>
      <c r="Q3939" s="34">
        <f>IF($J3939=1,LN(R3940/R3939),"")</f>
        <v/>
      </c>
      <c r="R3939" s="32" t="n">
        <v>5.0764</v>
      </c>
      <c r="S3939" s="35" t="n">
        <v>13.02</v>
      </c>
      <c r="T3939" s="18" t="n"/>
      <c r="U3939" s="18" t="n"/>
      <c r="V3939" s="18" t="n"/>
      <c r="W3939" s="18" t="n">
        <v>113076.33</v>
      </c>
      <c r="X3939" s="35" t="n">
        <v>13.02</v>
      </c>
      <c r="Y3939" s="35" t="n"/>
    </row>
    <row r="3940">
      <c r="A3940" s="25" t="n">
        <v>44638</v>
      </c>
      <c r="B3940" s="18" t="n">
        <v>115310.91</v>
      </c>
      <c r="C3940" s="31" t="n"/>
      <c r="D3940" s="32" t="n"/>
      <c r="E3940" s="33" t="n">
        <v>1.1528</v>
      </c>
      <c r="F3940" t="inlineStr">
        <is>
          <t>Down</t>
        </is>
      </c>
      <c r="G3940" t="inlineStr">
        <is>
          <t>Up</t>
        </is>
      </c>
      <c r="H3940" t="inlineStr">
        <is>
          <t>ED_JU</t>
        </is>
      </c>
      <c r="I3940" t="inlineStr">
        <is>
          <t>2022-03</t>
        </is>
      </c>
      <c r="J3940" t="n">
        <v>1</v>
      </c>
      <c r="K3940" t="n">
        <v>1</v>
      </c>
      <c r="L3940" s="34">
        <f>IF($J3940=1,LN(B3941/B3940),"")</f>
        <v/>
      </c>
      <c r="M3940" s="34">
        <f>IF($K3940=1,INDEX(Mensal!$D$2:$D$245,MATCH($I3940,Mensal!$A$2:$A$245,0)),"")</f>
        <v/>
      </c>
      <c r="N3940" s="34">
        <f>IF($K3940=1,L3940-M3940,"")</f>
        <v/>
      </c>
      <c r="O3940" s="34" t="n">
        <v>0.00043739</v>
      </c>
      <c r="P3940" s="34">
        <f>IF($J3940=1,LN(1+O3940),"")</f>
        <v/>
      </c>
      <c r="Q3940" s="34">
        <f>IF($J3940=1,LN(R3941/R3940),"")</f>
        <v/>
      </c>
      <c r="R3940" s="32" t="n">
        <v>5.0411</v>
      </c>
      <c r="S3940" s="35" t="n">
        <v>12.94</v>
      </c>
      <c r="T3940" s="18" t="n"/>
      <c r="U3940" s="18" t="n"/>
      <c r="V3940" s="18" t="n"/>
      <c r="W3940" s="18" t="n">
        <v>115310.91</v>
      </c>
      <c r="X3940" s="35" t="n">
        <v>12.94</v>
      </c>
      <c r="Y3940" s="35" t="n"/>
    </row>
    <row r="3941">
      <c r="A3941" s="25" t="n">
        <v>44641</v>
      </c>
      <c r="B3941" s="18" t="n">
        <v>116154.53</v>
      </c>
      <c r="C3941" s="31" t="n"/>
      <c r="D3941" s="32" t="n"/>
      <c r="E3941" s="33" t="n">
        <v>1.2238</v>
      </c>
      <c r="F3941" t="inlineStr">
        <is>
          <t>Down</t>
        </is>
      </c>
      <c r="G3941" t="inlineStr">
        <is>
          <t>Up</t>
        </is>
      </c>
      <c r="H3941" t="inlineStr">
        <is>
          <t>ED_JU</t>
        </is>
      </c>
      <c r="I3941" t="inlineStr">
        <is>
          <t>2022-03</t>
        </is>
      </c>
      <c r="J3941" t="n">
        <v>1</v>
      </c>
      <c r="K3941" t="n">
        <v>1</v>
      </c>
      <c r="L3941" s="34">
        <f>IF($J3941=1,LN(B3942/B3941),"")</f>
        <v/>
      </c>
      <c r="M3941" s="34">
        <f>IF($K3941=1,INDEX(Mensal!$D$2:$D$245,MATCH($I3941,Mensal!$A$2:$A$245,0)),"")</f>
        <v/>
      </c>
      <c r="N3941" s="34">
        <f>IF($K3941=1,L3941-M3941,"")</f>
        <v/>
      </c>
      <c r="O3941" s="34" t="n">
        <v>0.00043739</v>
      </c>
      <c r="P3941" s="34">
        <f>IF($J3941=1,LN(1+O3941),"")</f>
        <v/>
      </c>
      <c r="Q3941" s="34">
        <f>IF($J3941=1,LN(R3942/R3941),"")</f>
        <v/>
      </c>
      <c r="R3941" s="32" t="n">
        <v>4.9666</v>
      </c>
      <c r="S3941" s="35" t="n">
        <v>12.97</v>
      </c>
      <c r="T3941" s="18" t="n"/>
      <c r="U3941" s="18" t="n"/>
      <c r="V3941" s="18" t="n"/>
      <c r="W3941" s="18" t="n">
        <v>116154.53</v>
      </c>
      <c r="X3941" s="35" t="n">
        <v>12.97</v>
      </c>
      <c r="Y3941" s="35" t="n"/>
    </row>
    <row r="3942">
      <c r="A3942" s="25" t="n">
        <v>44642</v>
      </c>
      <c r="B3942" s="18" t="n">
        <v>117272.44</v>
      </c>
      <c r="C3942" s="31" t="n"/>
      <c r="D3942" s="32" t="n"/>
      <c r="E3942" s="33" t="n">
        <v>1.284</v>
      </c>
      <c r="F3942" t="inlineStr">
        <is>
          <t>Down</t>
        </is>
      </c>
      <c r="G3942" t="inlineStr">
        <is>
          <t>Up</t>
        </is>
      </c>
      <c r="H3942" t="inlineStr">
        <is>
          <t>ED_JU</t>
        </is>
      </c>
      <c r="I3942" t="inlineStr">
        <is>
          <t>2022-03</t>
        </is>
      </c>
      <c r="J3942" t="n">
        <v>1</v>
      </c>
      <c r="K3942" t="n">
        <v>1</v>
      </c>
      <c r="L3942" s="34">
        <f>IF($J3942=1,LN(B3943/B3942),"")</f>
        <v/>
      </c>
      <c r="M3942" s="34">
        <f>IF($K3942=1,INDEX(Mensal!$D$2:$D$245,MATCH($I3942,Mensal!$A$2:$A$245,0)),"")</f>
        <v/>
      </c>
      <c r="N3942" s="34">
        <f>IF($K3942=1,L3942-M3942,"")</f>
        <v/>
      </c>
      <c r="O3942" s="34" t="n">
        <v>0.00043739</v>
      </c>
      <c r="P3942" s="34">
        <f>IF($J3942=1,LN(1+O3942),"")</f>
        <v/>
      </c>
      <c r="Q3942" s="34">
        <f>IF($J3942=1,LN(R3943/R3942),"")</f>
        <v/>
      </c>
      <c r="R3942" s="32" t="n">
        <v>4.9208</v>
      </c>
      <c r="S3942" s="35" t="n">
        <v>12.97</v>
      </c>
      <c r="T3942" s="18" t="n"/>
      <c r="U3942" s="18" t="n"/>
      <c r="V3942" s="18" t="n"/>
      <c r="W3942" s="18" t="n">
        <v>117272.44</v>
      </c>
      <c r="X3942" s="35" t="n">
        <v>12.97</v>
      </c>
      <c r="Y3942" s="35" t="n"/>
    </row>
    <row r="3943">
      <c r="A3943" s="25" t="n">
        <v>44643</v>
      </c>
      <c r="B3943" s="18" t="n">
        <v>117457.34</v>
      </c>
      <c r="C3943" s="31" t="n"/>
      <c r="D3943" s="32" t="n"/>
      <c r="E3943" s="33" t="n">
        <v>1.3376</v>
      </c>
      <c r="F3943" t="inlineStr">
        <is>
          <t>Down</t>
        </is>
      </c>
      <c r="G3943" t="inlineStr">
        <is>
          <t>Up</t>
        </is>
      </c>
      <c r="H3943" t="inlineStr">
        <is>
          <t>ED_JU</t>
        </is>
      </c>
      <c r="I3943" t="inlineStr">
        <is>
          <t>2022-03</t>
        </is>
      </c>
      <c r="J3943" t="n">
        <v>1</v>
      </c>
      <c r="K3943" t="n">
        <v>1</v>
      </c>
      <c r="L3943" s="34">
        <f>IF($J3943=1,LN(B3944/B3943),"")</f>
        <v/>
      </c>
      <c r="M3943" s="34">
        <f>IF($K3943=1,INDEX(Mensal!$D$2:$D$245,MATCH($I3943,Mensal!$A$2:$A$245,0)),"")</f>
        <v/>
      </c>
      <c r="N3943" s="34">
        <f>IF($K3943=1,L3943-M3943,"")</f>
        <v/>
      </c>
      <c r="O3943" s="34" t="n">
        <v>0.00043739</v>
      </c>
      <c r="P3943" s="34">
        <f>IF($J3943=1,LN(1+O3943),"")</f>
        <v/>
      </c>
      <c r="Q3943" s="34">
        <f>IF($J3943=1,LN(R3944/R3943),"")</f>
        <v/>
      </c>
      <c r="R3943" s="32" t="n">
        <v>4.8704</v>
      </c>
      <c r="S3943" s="35" t="n">
        <v>13.02</v>
      </c>
      <c r="T3943" s="18" t="n"/>
      <c r="U3943" s="18" t="n"/>
      <c r="V3943" s="18" t="n"/>
      <c r="W3943" s="18" t="n">
        <v>117457.34</v>
      </c>
      <c r="X3943" s="35" t="n">
        <v>13.02</v>
      </c>
      <c r="Y3943" s="35" t="n"/>
    </row>
    <row r="3944">
      <c r="A3944" s="25" t="n">
        <v>44644</v>
      </c>
      <c r="B3944" s="18" t="n">
        <v>119052.91</v>
      </c>
      <c r="C3944" s="31" t="n"/>
      <c r="D3944" s="32" t="n"/>
      <c r="E3944" s="33" t="n">
        <v>1.4064</v>
      </c>
      <c r="F3944" t="inlineStr">
        <is>
          <t>Down</t>
        </is>
      </c>
      <c r="G3944" t="inlineStr">
        <is>
          <t>Up</t>
        </is>
      </c>
      <c r="H3944" t="inlineStr">
        <is>
          <t>ED_JU</t>
        </is>
      </c>
      <c r="I3944" t="inlineStr">
        <is>
          <t>2022-03</t>
        </is>
      </c>
      <c r="J3944" t="n">
        <v>1</v>
      </c>
      <c r="K3944" t="n">
        <v>1</v>
      </c>
      <c r="L3944" s="34">
        <f>IF($J3944=1,LN(B3945/B3944),"")</f>
        <v/>
      </c>
      <c r="M3944" s="34">
        <f>IF($K3944=1,INDEX(Mensal!$D$2:$D$245,MATCH($I3944,Mensal!$A$2:$A$245,0)),"")</f>
        <v/>
      </c>
      <c r="N3944" s="34">
        <f>IF($K3944=1,L3944-M3944,"")</f>
        <v/>
      </c>
      <c r="O3944" s="34" t="n">
        <v>0.00043739</v>
      </c>
      <c r="P3944" s="34">
        <f>IF($J3944=1,LN(1+O3944),"")</f>
        <v/>
      </c>
      <c r="Q3944" s="34">
        <f>IF($J3944=1,LN(R3945/R3944),"")</f>
        <v/>
      </c>
      <c r="R3944" s="32" t="n">
        <v>4.8067</v>
      </c>
      <c r="S3944" s="35" t="n">
        <v>12.85</v>
      </c>
      <c r="T3944" s="18" t="n"/>
      <c r="U3944" s="18" t="n"/>
      <c r="V3944" s="18" t="n"/>
      <c r="W3944" s="18" t="n">
        <v>119052.91</v>
      </c>
      <c r="X3944" s="35" t="n">
        <v>12.85</v>
      </c>
      <c r="Y3944" s="35" t="n"/>
    </row>
    <row r="3945">
      <c r="A3945" s="25" t="n">
        <v>44645</v>
      </c>
      <c r="B3945" s="18" t="n">
        <v>119081.13</v>
      </c>
      <c r="C3945" s="31" t="n"/>
      <c r="D3945" s="32" t="n"/>
      <c r="E3945" s="33" t="n">
        <v>1.4718</v>
      </c>
      <c r="F3945" t="inlineStr">
        <is>
          <t>Down</t>
        </is>
      </c>
      <c r="G3945" t="inlineStr">
        <is>
          <t>Up</t>
        </is>
      </c>
      <c r="H3945" t="inlineStr">
        <is>
          <t>ED_JU</t>
        </is>
      </c>
      <c r="I3945" t="inlineStr">
        <is>
          <t>2022-03</t>
        </is>
      </c>
      <c r="J3945" t="n">
        <v>1</v>
      </c>
      <c r="K3945" t="n">
        <v>1</v>
      </c>
      <c r="L3945" s="34">
        <f>IF($J3945=1,LN(B3946/B3945),"")</f>
        <v/>
      </c>
      <c r="M3945" s="34">
        <f>IF($K3945=1,INDEX(Mensal!$D$2:$D$245,MATCH($I3945,Mensal!$A$2:$A$245,0)),"")</f>
        <v/>
      </c>
      <c r="N3945" s="34">
        <f>IF($K3945=1,L3945-M3945,"")</f>
        <v/>
      </c>
      <c r="O3945" s="34" t="n">
        <v>0.00043739</v>
      </c>
      <c r="P3945" s="34">
        <f>IF($J3945=1,LN(1+O3945),"")</f>
        <v/>
      </c>
      <c r="Q3945" s="34">
        <f>IF($J3945=1,LN(R3946/R3945),"")</f>
        <v/>
      </c>
      <c r="R3945" s="32" t="n">
        <v>4.7782</v>
      </c>
      <c r="S3945" s="35" t="n">
        <v>12.75</v>
      </c>
      <c r="T3945" s="18" t="n"/>
      <c r="U3945" s="18" t="n"/>
      <c r="V3945" s="18" t="n"/>
      <c r="W3945" s="18" t="n">
        <v>119081.13</v>
      </c>
      <c r="X3945" s="35" t="n">
        <v>12.75</v>
      </c>
      <c r="Y3945" s="35" t="n"/>
    </row>
    <row r="3946">
      <c r="A3946" s="25" t="n">
        <v>44648</v>
      </c>
      <c r="B3946" s="18" t="n">
        <v>118737.78</v>
      </c>
      <c r="C3946" s="31" t="n"/>
      <c r="D3946" s="32" t="n"/>
      <c r="E3946" s="33" t="n">
        <v>1.5254</v>
      </c>
      <c r="F3946" t="inlineStr">
        <is>
          <t>Down</t>
        </is>
      </c>
      <c r="G3946" t="inlineStr">
        <is>
          <t>Up</t>
        </is>
      </c>
      <c r="H3946" t="inlineStr">
        <is>
          <t>ED_JU</t>
        </is>
      </c>
      <c r="I3946" t="inlineStr">
        <is>
          <t>2022-03</t>
        </is>
      </c>
      <c r="J3946" t="n">
        <v>1</v>
      </c>
      <c r="K3946" t="n">
        <v>1</v>
      </c>
      <c r="L3946" s="34">
        <f>IF($J3946=1,LN(B3947/B3946),"")</f>
        <v/>
      </c>
      <c r="M3946" s="34">
        <f>IF($K3946=1,INDEX(Mensal!$D$2:$D$245,MATCH($I3946,Mensal!$A$2:$A$245,0)),"")</f>
        <v/>
      </c>
      <c r="N3946" s="34">
        <f>IF($K3946=1,L3946-M3946,"")</f>
        <v/>
      </c>
      <c r="O3946" s="34" t="n">
        <v>0.00043739</v>
      </c>
      <c r="P3946" s="34">
        <f>IF($J3946=1,LN(1+O3946),"")</f>
        <v/>
      </c>
      <c r="Q3946" s="34">
        <f>IF($J3946=1,LN(R3947/R3946),"")</f>
        <v/>
      </c>
      <c r="R3946" s="32" t="n">
        <v>4.7905</v>
      </c>
      <c r="S3946" s="35" t="n">
        <v>12.73</v>
      </c>
      <c r="T3946" s="18" t="n"/>
      <c r="U3946" s="18" t="n"/>
      <c r="V3946" s="18" t="n"/>
      <c r="W3946" s="18" t="n">
        <v>118737.78</v>
      </c>
      <c r="X3946" s="35" t="n">
        <v>12.73</v>
      </c>
      <c r="Y3946" s="35" t="n"/>
    </row>
    <row r="3947">
      <c r="A3947" s="25" t="n">
        <v>44649</v>
      </c>
      <c r="B3947" s="18" t="n">
        <v>120014.17</v>
      </c>
      <c r="C3947" s="31" t="n"/>
      <c r="D3947" s="32" t="n"/>
      <c r="E3947" s="33" t="n">
        <v>1.5707</v>
      </c>
      <c r="F3947" t="inlineStr">
        <is>
          <t>Down</t>
        </is>
      </c>
      <c r="G3947" t="inlineStr">
        <is>
          <t>Up</t>
        </is>
      </c>
      <c r="H3947" t="inlineStr">
        <is>
          <t>ED_JU</t>
        </is>
      </c>
      <c r="I3947" t="inlineStr">
        <is>
          <t>2022-03</t>
        </is>
      </c>
      <c r="J3947" t="n">
        <v>1</v>
      </c>
      <c r="K3947" t="n">
        <v>1</v>
      </c>
      <c r="L3947" s="34">
        <f>IF($J3947=1,LN(B3948/B3947),"")</f>
        <v/>
      </c>
      <c r="M3947" s="34">
        <f>IF($K3947=1,INDEX(Mensal!$D$2:$D$245,MATCH($I3947,Mensal!$A$2:$A$245,0)),"")</f>
        <v/>
      </c>
      <c r="N3947" s="34">
        <f>IF($K3947=1,L3947-M3947,"")</f>
        <v/>
      </c>
      <c r="O3947" s="34" t="n">
        <v>0.00043739</v>
      </c>
      <c r="P3947" s="34">
        <f>IF($J3947=1,LN(1+O3947),"")</f>
        <v/>
      </c>
      <c r="Q3947" s="34">
        <f>IF($J3947=1,LN(R3948/R3947),"")</f>
        <v/>
      </c>
      <c r="R3947" s="32" t="n">
        <v>4.7486</v>
      </c>
      <c r="S3947" s="35" t="n">
        <v>12.68</v>
      </c>
      <c r="T3947" s="18" t="n"/>
      <c r="U3947" s="18" t="n"/>
      <c r="V3947" s="18" t="n"/>
      <c r="W3947" s="18" t="n">
        <v>120014.17</v>
      </c>
      <c r="X3947" s="35" t="n">
        <v>12.68</v>
      </c>
      <c r="Y3947" s="35" t="n"/>
    </row>
    <row r="3948">
      <c r="A3948" s="25" t="n">
        <v>44650</v>
      </c>
      <c r="B3948" s="18" t="n">
        <v>120259.76</v>
      </c>
      <c r="C3948" s="31" t="n"/>
      <c r="D3948" s="32" t="n"/>
      <c r="E3948" s="33" t="n">
        <v>1.61</v>
      </c>
      <c r="F3948" t="inlineStr">
        <is>
          <t>Down</t>
        </is>
      </c>
      <c r="G3948" t="inlineStr">
        <is>
          <t>Up</t>
        </is>
      </c>
      <c r="H3948" t="inlineStr">
        <is>
          <t>ED_JU</t>
        </is>
      </c>
      <c r="I3948" t="inlineStr">
        <is>
          <t>2022-03</t>
        </is>
      </c>
      <c r="J3948" t="n">
        <v>1</v>
      </c>
      <c r="K3948" t="n">
        <v>1</v>
      </c>
      <c r="L3948" s="34">
        <f>IF($J3948=1,LN(B3949/B3948),"")</f>
        <v/>
      </c>
      <c r="M3948" s="34">
        <f>IF($K3948=1,INDEX(Mensal!$D$2:$D$245,MATCH($I3948,Mensal!$A$2:$A$245,0)),"")</f>
        <v/>
      </c>
      <c r="N3948" s="34">
        <f>IF($K3948=1,L3948-M3948,"")</f>
        <v/>
      </c>
      <c r="O3948" s="34" t="n">
        <v>0.00043739</v>
      </c>
      <c r="P3948" s="34">
        <f>IF($J3948=1,LN(1+O3948),"")</f>
        <v/>
      </c>
      <c r="Q3948" s="34">
        <f>IF($J3948=1,LN(R3949/R3948),"")</f>
        <v/>
      </c>
      <c r="R3948" s="32" t="n">
        <v>4.7497</v>
      </c>
      <c r="S3948" s="35" t="n">
        <v>12.79</v>
      </c>
      <c r="T3948" s="18" t="n"/>
      <c r="U3948" s="18" t="n"/>
      <c r="V3948" s="18" t="n"/>
      <c r="W3948" s="18" t="n">
        <v>120259.76</v>
      </c>
      <c r="X3948" s="35" t="n">
        <v>12.79</v>
      </c>
      <c r="Y3948" s="35" t="n"/>
    </row>
    <row r="3949">
      <c r="A3949" s="25" t="n">
        <v>44651</v>
      </c>
      <c r="B3949" s="18" t="n">
        <v>119999.23</v>
      </c>
      <c r="C3949" s="31" t="n"/>
      <c r="D3949" s="32" t="n"/>
      <c r="E3949" s="33" t="n">
        <v>1.6537</v>
      </c>
      <c r="F3949" t="inlineStr">
        <is>
          <t>Down</t>
        </is>
      </c>
      <c r="G3949" t="inlineStr">
        <is>
          <t>Up</t>
        </is>
      </c>
      <c r="H3949" t="inlineStr">
        <is>
          <t>ED_JU</t>
        </is>
      </c>
      <c r="I3949" t="inlineStr">
        <is>
          <t>2022-03</t>
        </is>
      </c>
      <c r="J3949" t="n">
        <v>1</v>
      </c>
      <c r="K3949" t="n">
        <v>1</v>
      </c>
      <c r="L3949" s="34">
        <f>IF($J3949=1,LN(B3950/B3949),"")</f>
        <v/>
      </c>
      <c r="M3949" s="34">
        <f>IF($K3949=1,INDEX(Mensal!$D$2:$D$245,MATCH($I3949,Mensal!$A$2:$A$245,0)),"")</f>
        <v/>
      </c>
      <c r="N3949" s="34">
        <f>IF($K3949=1,L3949-M3949,"")</f>
        <v/>
      </c>
      <c r="O3949" s="34" t="n">
        <v>0.00043739</v>
      </c>
      <c r="P3949" s="34">
        <f>IF($J3949=1,LN(1+O3949),"")</f>
        <v/>
      </c>
      <c r="Q3949" s="34">
        <f>IF($J3949=1,LN(R3950/R3949),"")</f>
        <v/>
      </c>
      <c r="R3949" s="32" t="n">
        <v>4.7378</v>
      </c>
      <c r="S3949" s="35" t="n">
        <v>12.72</v>
      </c>
      <c r="T3949" s="18" t="n"/>
      <c r="U3949" s="18" t="n"/>
      <c r="V3949" s="18" t="n"/>
      <c r="W3949" s="18" t="n">
        <v>119999.23</v>
      </c>
      <c r="X3949" s="35" t="n">
        <v>12.72</v>
      </c>
      <c r="Y3949" s="35" t="n"/>
    </row>
    <row r="3950">
      <c r="A3950" s="25" t="n">
        <v>44652</v>
      </c>
      <c r="B3950" s="18" t="n">
        <v>121570.15</v>
      </c>
      <c r="C3950" s="31" t="n"/>
      <c r="D3950" s="32" t="n"/>
      <c r="E3950" s="33" t="n">
        <v>1.6915</v>
      </c>
      <c r="F3950" t="inlineStr">
        <is>
          <t>Up</t>
        </is>
      </c>
      <c r="G3950" t="inlineStr">
        <is>
          <t>Up</t>
        </is>
      </c>
      <c r="H3950" t="inlineStr">
        <is>
          <t>EU_JU</t>
        </is>
      </c>
      <c r="I3950" t="inlineStr">
        <is>
          <t>2022-04</t>
        </is>
      </c>
      <c r="J3950" t="n">
        <v>1</v>
      </c>
      <c r="K3950" t="n">
        <v>1</v>
      </c>
      <c r="L3950" s="34">
        <f>IF($J3950=1,LN(B3951/B3950),"")</f>
        <v/>
      </c>
      <c r="M3950" s="34">
        <f>IF($K3950=1,INDEX(Mensal!$D$2:$D$245,MATCH($I3950,Mensal!$A$2:$A$245,0)),"")</f>
        <v/>
      </c>
      <c r="N3950" s="34">
        <f>IF($K3950=1,L3950-M3950,"")</f>
        <v/>
      </c>
      <c r="O3950" s="34" t="n">
        <v>0.00043739</v>
      </c>
      <c r="P3950" s="34">
        <f>IF($J3950=1,LN(1+O3950),"")</f>
        <v/>
      </c>
      <c r="Q3950" s="34">
        <f>IF($J3950=1,LN(R3951/R3950),"")</f>
        <v/>
      </c>
      <c r="R3950" s="32" t="n">
        <v>4.6984</v>
      </c>
      <c r="S3950" s="35" t="n">
        <v>12.6</v>
      </c>
      <c r="T3950" s="18" t="n"/>
      <c r="U3950" s="18" t="n">
        <v>121570.15</v>
      </c>
      <c r="V3950" s="18" t="n"/>
      <c r="W3950" s="18" t="n"/>
      <c r="X3950" s="35" t="n">
        <v>12.6</v>
      </c>
      <c r="Y3950" s="35" t="n"/>
    </row>
    <row r="3951">
      <c r="A3951" s="25" t="n">
        <v>44655</v>
      </c>
      <c r="B3951" s="18" t="n">
        <v>121279.51</v>
      </c>
      <c r="C3951" s="31" t="n"/>
      <c r="D3951" s="32" t="n"/>
      <c r="E3951" s="33" t="n">
        <v>1.7284</v>
      </c>
      <c r="F3951" t="inlineStr">
        <is>
          <t>Up</t>
        </is>
      </c>
      <c r="G3951" t="inlineStr">
        <is>
          <t>Up</t>
        </is>
      </c>
      <c r="H3951" t="inlineStr">
        <is>
          <t>EU_JU</t>
        </is>
      </c>
      <c r="I3951" t="inlineStr">
        <is>
          <t>2022-04</t>
        </is>
      </c>
      <c r="J3951" t="n">
        <v>1</v>
      </c>
      <c r="K3951" t="n">
        <v>1</v>
      </c>
      <c r="L3951" s="34">
        <f>IF($J3951=1,LN(B3952/B3951),"")</f>
        <v/>
      </c>
      <c r="M3951" s="34">
        <f>IF($K3951=1,INDEX(Mensal!$D$2:$D$245,MATCH($I3951,Mensal!$A$2:$A$245,0)),"")</f>
        <v/>
      </c>
      <c r="N3951" s="34">
        <f>IF($K3951=1,L3951-M3951,"")</f>
        <v/>
      </c>
      <c r="O3951" s="34" t="n">
        <v>0.00043739</v>
      </c>
      <c r="P3951" s="34">
        <f>IF($J3951=1,LN(1+O3951),"")</f>
        <v/>
      </c>
      <c r="Q3951" s="34">
        <f>IF($J3951=1,LN(R3952/R3951),"")</f>
        <v/>
      </c>
      <c r="R3951" s="32" t="n">
        <v>4.6175</v>
      </c>
      <c r="S3951" s="35" t="n">
        <v>12.6</v>
      </c>
      <c r="T3951" s="18" t="n"/>
      <c r="U3951" s="18" t="n">
        <v>121279.51</v>
      </c>
      <c r="V3951" s="18" t="n"/>
      <c r="W3951" s="18" t="n"/>
      <c r="X3951" s="35" t="n">
        <v>12.6</v>
      </c>
      <c r="Y3951" s="35" t="n"/>
    </row>
    <row r="3952">
      <c r="A3952" s="25" t="n">
        <v>44656</v>
      </c>
      <c r="B3952" s="18" t="n">
        <v>118885.15</v>
      </c>
      <c r="C3952" s="31" t="n"/>
      <c r="D3952" s="32" t="n"/>
      <c r="E3952" s="33" t="n">
        <v>1.7627</v>
      </c>
      <c r="F3952" t="inlineStr">
        <is>
          <t>Up</t>
        </is>
      </c>
      <c r="G3952" t="inlineStr">
        <is>
          <t>Up</t>
        </is>
      </c>
      <c r="H3952" t="inlineStr">
        <is>
          <t>EU_JU</t>
        </is>
      </c>
      <c r="I3952" t="inlineStr">
        <is>
          <t>2022-04</t>
        </is>
      </c>
      <c r="J3952" t="n">
        <v>1</v>
      </c>
      <c r="K3952" t="n">
        <v>1</v>
      </c>
      <c r="L3952" s="34">
        <f>IF($J3952=1,LN(B3953/B3952),"")</f>
        <v/>
      </c>
      <c r="M3952" s="34">
        <f>IF($K3952=1,INDEX(Mensal!$D$2:$D$245,MATCH($I3952,Mensal!$A$2:$A$245,0)),"")</f>
        <v/>
      </c>
      <c r="N3952" s="34">
        <f>IF($K3952=1,L3952-M3952,"")</f>
        <v/>
      </c>
      <c r="O3952" s="34" t="n">
        <v>0.00043739</v>
      </c>
      <c r="P3952" s="34">
        <f>IF($J3952=1,LN(1+O3952),"")</f>
        <v/>
      </c>
      <c r="Q3952" s="34">
        <f>IF($J3952=1,LN(R3953/R3952),"")</f>
        <v/>
      </c>
      <c r="R3952" s="32" t="n">
        <v>4.64</v>
      </c>
      <c r="S3952" s="35" t="n">
        <v>12.71</v>
      </c>
      <c r="T3952" s="18" t="n"/>
      <c r="U3952" s="18" t="n">
        <v>118885.15</v>
      </c>
      <c r="V3952" s="18" t="n"/>
      <c r="W3952" s="18" t="n"/>
      <c r="X3952" s="35" t="n">
        <v>12.71</v>
      </c>
      <c r="Y3952" s="35" t="n"/>
    </row>
    <row r="3953">
      <c r="A3953" s="25" t="n">
        <v>44657</v>
      </c>
      <c r="B3953" s="18" t="n">
        <v>118227.75</v>
      </c>
      <c r="C3953" s="31" t="n"/>
      <c r="D3953" s="32" t="n"/>
      <c r="E3953" s="33" t="n">
        <v>1.7975</v>
      </c>
      <c r="F3953" t="inlineStr">
        <is>
          <t>Up</t>
        </is>
      </c>
      <c r="G3953" t="inlineStr">
        <is>
          <t>Up</t>
        </is>
      </c>
      <c r="H3953" t="inlineStr">
        <is>
          <t>EU_JU</t>
        </is>
      </c>
      <c r="I3953" t="inlineStr">
        <is>
          <t>2022-04</t>
        </is>
      </c>
      <c r="J3953" t="n">
        <v>1</v>
      </c>
      <c r="K3953" t="n">
        <v>1</v>
      </c>
      <c r="L3953" s="34">
        <f>IF($J3953=1,LN(B3954/B3953),"")</f>
        <v/>
      </c>
      <c r="M3953" s="34">
        <f>IF($K3953=1,INDEX(Mensal!$D$2:$D$245,MATCH($I3953,Mensal!$A$2:$A$245,0)),"")</f>
        <v/>
      </c>
      <c r="N3953" s="34">
        <f>IF($K3953=1,L3953-M3953,"")</f>
        <v/>
      </c>
      <c r="O3953" s="34" t="n">
        <v>0.00043739</v>
      </c>
      <c r="P3953" s="34">
        <f>IF($J3953=1,LN(1+O3953),"")</f>
        <v/>
      </c>
      <c r="Q3953" s="34">
        <f>IF($J3953=1,LN(R3954/R3953),"")</f>
        <v/>
      </c>
      <c r="R3953" s="32" t="n">
        <v>4.6967</v>
      </c>
      <c r="S3953" s="35" t="n">
        <v>12.77</v>
      </c>
      <c r="T3953" s="18" t="n"/>
      <c r="U3953" s="18" t="n">
        <v>118227.75</v>
      </c>
      <c r="V3953" s="18" t="n"/>
      <c r="W3953" s="18" t="n"/>
      <c r="X3953" s="35" t="n">
        <v>12.77</v>
      </c>
      <c r="Y3953" s="35" t="n"/>
    </row>
    <row r="3954">
      <c r="A3954" s="25" t="n">
        <v>44658</v>
      </c>
      <c r="B3954" s="18" t="n">
        <v>118862.12</v>
      </c>
      <c r="C3954" s="31" t="n"/>
      <c r="D3954" s="32" t="n"/>
      <c r="E3954" s="33" t="n">
        <v>1.8338</v>
      </c>
      <c r="F3954" t="inlineStr">
        <is>
          <t>Up</t>
        </is>
      </c>
      <c r="G3954" t="inlineStr">
        <is>
          <t>Up</t>
        </is>
      </c>
      <c r="H3954" t="inlineStr">
        <is>
          <t>EU_JU</t>
        </is>
      </c>
      <c r="I3954" t="inlineStr">
        <is>
          <t>2022-04</t>
        </is>
      </c>
      <c r="J3954" t="n">
        <v>1</v>
      </c>
      <c r="K3954" t="n">
        <v>1</v>
      </c>
      <c r="L3954" s="34">
        <f>IF($J3954=1,LN(B3955/B3954),"")</f>
        <v/>
      </c>
      <c r="M3954" s="34">
        <f>IF($K3954=1,INDEX(Mensal!$D$2:$D$245,MATCH($I3954,Mensal!$A$2:$A$245,0)),"")</f>
        <v/>
      </c>
      <c r="N3954" s="34">
        <f>IF($K3954=1,L3954-M3954,"")</f>
        <v/>
      </c>
      <c r="O3954" s="34" t="n">
        <v>0.00043739</v>
      </c>
      <c r="P3954" s="34">
        <f>IF($J3954=1,LN(1+O3954),"")</f>
        <v/>
      </c>
      <c r="Q3954" s="34">
        <f>IF($J3954=1,LN(R3955/R3954),"")</f>
        <v/>
      </c>
      <c r="R3954" s="32" t="n">
        <v>4.7422</v>
      </c>
      <c r="S3954" s="35" t="n">
        <v>12.75</v>
      </c>
      <c r="T3954" s="18" t="n"/>
      <c r="U3954" s="18" t="n">
        <v>118862.12</v>
      </c>
      <c r="V3954" s="18" t="n"/>
      <c r="W3954" s="18" t="n"/>
      <c r="X3954" s="35" t="n">
        <v>12.75</v>
      </c>
      <c r="Y3954" s="35" t="n"/>
    </row>
    <row r="3955">
      <c r="A3955" s="25" t="n">
        <v>44659</v>
      </c>
      <c r="B3955" s="18" t="n">
        <v>118322.26</v>
      </c>
      <c r="C3955" s="31" t="n"/>
      <c r="D3955" s="32" t="n"/>
      <c r="E3955" s="33" t="n">
        <v>1.866</v>
      </c>
      <c r="F3955" t="inlineStr">
        <is>
          <t>Up</t>
        </is>
      </c>
      <c r="G3955" t="inlineStr">
        <is>
          <t>Up</t>
        </is>
      </c>
      <c r="H3955" t="inlineStr">
        <is>
          <t>EU_JU</t>
        </is>
      </c>
      <c r="I3955" t="inlineStr">
        <is>
          <t>2022-04</t>
        </is>
      </c>
      <c r="J3955" t="n">
        <v>1</v>
      </c>
      <c r="K3955" t="n">
        <v>1</v>
      </c>
      <c r="L3955" s="34">
        <f>IF($J3955=1,LN(B3956/B3955),"")</f>
        <v/>
      </c>
      <c r="M3955" s="34">
        <f>IF($K3955=1,INDEX(Mensal!$D$2:$D$245,MATCH($I3955,Mensal!$A$2:$A$245,0)),"")</f>
        <v/>
      </c>
      <c r="N3955" s="34">
        <f>IF($K3955=1,L3955-M3955,"")</f>
        <v/>
      </c>
      <c r="O3955" s="34" t="n">
        <v>0.00043739</v>
      </c>
      <c r="P3955" s="34">
        <f>IF($J3955=1,LN(1+O3955),"")</f>
        <v/>
      </c>
      <c r="Q3955" s="34">
        <f>IF($J3955=1,LN(R3956/R3955),"")</f>
        <v/>
      </c>
      <c r="R3955" s="32" t="n">
        <v>4.7513</v>
      </c>
      <c r="S3955" s="35" t="n">
        <v>12.99</v>
      </c>
      <c r="T3955" s="18" t="n"/>
      <c r="U3955" s="18" t="n">
        <v>118322.26</v>
      </c>
      <c r="V3955" s="18" t="n"/>
      <c r="W3955" s="18" t="n"/>
      <c r="X3955" s="35" t="n">
        <v>12.99</v>
      </c>
      <c r="Y3955" s="35" t="n"/>
    </row>
    <row r="3956">
      <c r="A3956" s="25" t="n">
        <v>44662</v>
      </c>
      <c r="B3956" s="18" t="n">
        <v>116952.85</v>
      </c>
      <c r="C3956" s="31" t="n"/>
      <c r="D3956" s="32" t="n"/>
      <c r="E3956" s="33" t="n">
        <v>1.8881</v>
      </c>
      <c r="F3956" t="inlineStr">
        <is>
          <t>Up</t>
        </is>
      </c>
      <c r="G3956" t="inlineStr">
        <is>
          <t>Up</t>
        </is>
      </c>
      <c r="H3956" t="inlineStr">
        <is>
          <t>EU_JU</t>
        </is>
      </c>
      <c r="I3956" t="inlineStr">
        <is>
          <t>2022-04</t>
        </is>
      </c>
      <c r="J3956" t="n">
        <v>1</v>
      </c>
      <c r="K3956" t="n">
        <v>1</v>
      </c>
      <c r="L3956" s="34">
        <f>IF($J3956=1,LN(B3957/B3956),"")</f>
        <v/>
      </c>
      <c r="M3956" s="34">
        <f>IF($K3956=1,INDEX(Mensal!$D$2:$D$245,MATCH($I3956,Mensal!$A$2:$A$245,0)),"")</f>
        <v/>
      </c>
      <c r="N3956" s="34">
        <f>IF($K3956=1,L3956-M3956,"")</f>
        <v/>
      </c>
      <c r="O3956" s="34" t="n">
        <v>0.00043739</v>
      </c>
      <c r="P3956" s="34">
        <f>IF($J3956=1,LN(1+O3956),"")</f>
        <v/>
      </c>
      <c r="Q3956" s="34">
        <f>IF($J3956=1,LN(R3957/R3956),"")</f>
        <v/>
      </c>
      <c r="R3956" s="32" t="n">
        <v>4.7025</v>
      </c>
      <c r="S3956" s="35" t="n">
        <v>13.11</v>
      </c>
      <c r="T3956" s="18" t="n"/>
      <c r="U3956" s="18" t="n">
        <v>116952.85</v>
      </c>
      <c r="V3956" s="18" t="n"/>
      <c r="W3956" s="18" t="n"/>
      <c r="X3956" s="35" t="n">
        <v>13.11</v>
      </c>
      <c r="Y3956" s="35" t="n"/>
    </row>
    <row r="3957">
      <c r="A3957" s="25" t="n">
        <v>44663</v>
      </c>
      <c r="B3957" s="18" t="n">
        <v>116146.86</v>
      </c>
      <c r="C3957" s="31" t="n"/>
      <c r="D3957" s="32" t="n"/>
      <c r="E3957" s="33" t="n">
        <v>1.9059</v>
      </c>
      <c r="F3957" t="inlineStr">
        <is>
          <t>Up</t>
        </is>
      </c>
      <c r="G3957" t="inlineStr">
        <is>
          <t>Up</t>
        </is>
      </c>
      <c r="H3957" t="inlineStr">
        <is>
          <t>EU_JU</t>
        </is>
      </c>
      <c r="I3957" t="inlineStr">
        <is>
          <t>2022-04</t>
        </is>
      </c>
      <c r="J3957" t="n">
        <v>1</v>
      </c>
      <c r="K3957" t="n">
        <v>1</v>
      </c>
      <c r="L3957" s="34">
        <f>IF($J3957=1,LN(B3958/B3957),"")</f>
        <v/>
      </c>
      <c r="M3957" s="34">
        <f>IF($K3957=1,INDEX(Mensal!$D$2:$D$245,MATCH($I3957,Mensal!$A$2:$A$245,0)),"")</f>
        <v/>
      </c>
      <c r="N3957" s="34">
        <f>IF($K3957=1,L3957-M3957,"")</f>
        <v/>
      </c>
      <c r="O3957" s="34" t="n">
        <v>0.00043739</v>
      </c>
      <c r="P3957" s="34">
        <f>IF($J3957=1,LN(1+O3957),"")</f>
        <v/>
      </c>
      <c r="Q3957" s="34">
        <f>IF($J3957=1,LN(R3958/R3957),"")</f>
        <v/>
      </c>
      <c r="R3957" s="32" t="n">
        <v>4.6483</v>
      </c>
      <c r="S3957" s="35" t="n">
        <v>13.12</v>
      </c>
      <c r="T3957" s="18" t="n"/>
      <c r="U3957" s="18" t="n">
        <v>116146.86</v>
      </c>
      <c r="V3957" s="18" t="n"/>
      <c r="W3957" s="18" t="n"/>
      <c r="X3957" s="35" t="n">
        <v>13.12</v>
      </c>
      <c r="Y3957" s="35" t="n"/>
    </row>
    <row r="3958">
      <c r="A3958" s="25" t="n">
        <v>44664</v>
      </c>
      <c r="B3958" s="18" t="n">
        <v>116781.96</v>
      </c>
      <c r="C3958" s="31" t="n"/>
      <c r="D3958" s="32" t="n"/>
      <c r="E3958" s="33" t="n">
        <v>1.9207</v>
      </c>
      <c r="F3958" t="inlineStr">
        <is>
          <t>Up</t>
        </is>
      </c>
      <c r="G3958" t="inlineStr">
        <is>
          <t>Up</t>
        </is>
      </c>
      <c r="H3958" t="inlineStr">
        <is>
          <t>EU_JU</t>
        </is>
      </c>
      <c r="I3958" t="inlineStr">
        <is>
          <t>2022-04</t>
        </is>
      </c>
      <c r="J3958" t="n">
        <v>1</v>
      </c>
      <c r="K3958" t="n">
        <v>1</v>
      </c>
      <c r="L3958" s="34">
        <f>IF($J3958=1,LN(B3959/B3958),"")</f>
        <v/>
      </c>
      <c r="M3958" s="34">
        <f>IF($K3958=1,INDEX(Mensal!$D$2:$D$245,MATCH($I3958,Mensal!$A$2:$A$245,0)),"")</f>
        <v/>
      </c>
      <c r="N3958" s="34">
        <f>IF($K3958=1,L3958-M3958,"")</f>
        <v/>
      </c>
      <c r="O3958" s="34" t="n">
        <v>0.00043739</v>
      </c>
      <c r="P3958" s="34">
        <f>IF($J3958=1,LN(1+O3958),"")</f>
        <v/>
      </c>
      <c r="Q3958" s="34">
        <f>IF($J3958=1,LN(R3959/R3958),"")</f>
        <v/>
      </c>
      <c r="R3958" s="32" t="n">
        <v>4.6811</v>
      </c>
      <c r="S3958" s="35" t="n">
        <v>13.1</v>
      </c>
      <c r="T3958" s="18" t="n"/>
      <c r="U3958" s="18" t="n">
        <v>116781.96</v>
      </c>
      <c r="V3958" s="18" t="n"/>
      <c r="W3958" s="18" t="n"/>
      <c r="X3958" s="35" t="n">
        <v>13.1</v>
      </c>
      <c r="Y3958" s="35" t="n"/>
    </row>
    <row r="3959">
      <c r="A3959" s="25" t="n">
        <v>44665</v>
      </c>
      <c r="B3959" s="18" t="n">
        <v>116181.61</v>
      </c>
      <c r="C3959" s="31" t="n"/>
      <c r="D3959" s="32" t="n"/>
      <c r="E3959" s="33" t="n">
        <v>1.9528</v>
      </c>
      <c r="F3959" t="inlineStr">
        <is>
          <t>Up</t>
        </is>
      </c>
      <c r="G3959" t="inlineStr">
        <is>
          <t>Up</t>
        </is>
      </c>
      <c r="H3959" t="inlineStr">
        <is>
          <t>EU_JU</t>
        </is>
      </c>
      <c r="I3959" t="inlineStr">
        <is>
          <t>2022-04</t>
        </is>
      </c>
      <c r="J3959" t="n">
        <v>1</v>
      </c>
      <c r="K3959" t="n">
        <v>1</v>
      </c>
      <c r="L3959" s="34">
        <f>IF($J3959=1,LN(B3960/B3959),"")</f>
        <v/>
      </c>
      <c r="M3959" s="34">
        <f>IF($K3959=1,INDEX(Mensal!$D$2:$D$245,MATCH($I3959,Mensal!$A$2:$A$245,0)),"")</f>
        <v/>
      </c>
      <c r="N3959" s="34">
        <f>IF($K3959=1,L3959-M3959,"")</f>
        <v/>
      </c>
      <c r="O3959" s="34" t="n">
        <v>0.00043739</v>
      </c>
      <c r="P3959" s="34">
        <f>IF($J3959=1,LN(1+O3959),"")</f>
        <v/>
      </c>
      <c r="Q3959" s="34">
        <f>IF($J3959=1,LN(R3960/R3959),"")</f>
        <v/>
      </c>
      <c r="R3959" s="32" t="n">
        <v>4.7158</v>
      </c>
      <c r="S3959" s="35" t="n">
        <v>13.13</v>
      </c>
      <c r="T3959" s="18" t="n"/>
      <c r="U3959" s="18" t="n">
        <v>116181.61</v>
      </c>
      <c r="V3959" s="18" t="n"/>
      <c r="W3959" s="18" t="n"/>
      <c r="X3959" s="35" t="n">
        <v>13.13</v>
      </c>
      <c r="Y3959" s="35" t="n"/>
    </row>
    <row r="3960">
      <c r="A3960" s="25" t="n">
        <v>44669</v>
      </c>
      <c r="B3960" s="18" t="n">
        <v>115687.25</v>
      </c>
      <c r="C3960" s="31" t="n"/>
      <c r="D3960" s="32" t="n"/>
      <c r="E3960" s="33" t="n">
        <v>1.9726</v>
      </c>
      <c r="F3960" t="inlineStr">
        <is>
          <t>Up</t>
        </is>
      </c>
      <c r="G3960" t="inlineStr">
        <is>
          <t>Up</t>
        </is>
      </c>
      <c r="H3960" t="inlineStr">
        <is>
          <t>EU_JU</t>
        </is>
      </c>
      <c r="I3960" t="inlineStr">
        <is>
          <t>2022-04</t>
        </is>
      </c>
      <c r="J3960" t="n">
        <v>1</v>
      </c>
      <c r="K3960" t="n">
        <v>1</v>
      </c>
      <c r="L3960" s="34">
        <f>IF($J3960=1,LN(B3961/B3960),"")</f>
        <v/>
      </c>
      <c r="M3960" s="34">
        <f>IF($K3960=1,INDEX(Mensal!$D$2:$D$245,MATCH($I3960,Mensal!$A$2:$A$245,0)),"")</f>
        <v/>
      </c>
      <c r="N3960" s="34">
        <f>IF($K3960=1,L3960-M3960,"")</f>
        <v/>
      </c>
      <c r="O3960" s="34" t="n">
        <v>0.00043739</v>
      </c>
      <c r="P3960" s="34">
        <f>IF($J3960=1,LN(1+O3960),"")</f>
        <v/>
      </c>
      <c r="Q3960" s="34">
        <f>IF($J3960=1,LN(R3961/R3960),"")</f>
        <v/>
      </c>
      <c r="R3960" s="32" t="n">
        <v>4.6746</v>
      </c>
      <c r="S3960" s="35" t="n">
        <v>13.07</v>
      </c>
      <c r="T3960" s="18" t="n"/>
      <c r="U3960" s="18" t="n">
        <v>115687.25</v>
      </c>
      <c r="V3960" s="18" t="n"/>
      <c r="W3960" s="18" t="n"/>
      <c r="X3960" s="35" t="n">
        <v>13.07</v>
      </c>
      <c r="Y3960" s="35" t="n"/>
    </row>
    <row r="3961">
      <c r="A3961" s="25" t="n">
        <v>44670</v>
      </c>
      <c r="B3961" s="18" t="n">
        <v>115056.66</v>
      </c>
      <c r="C3961" s="31" t="n"/>
      <c r="D3961" s="32" t="n"/>
      <c r="E3961" s="33" t="n">
        <v>1.9962</v>
      </c>
      <c r="F3961" t="inlineStr">
        <is>
          <t>Up</t>
        </is>
      </c>
      <c r="G3961" t="inlineStr">
        <is>
          <t>Up</t>
        </is>
      </c>
      <c r="H3961" t="inlineStr">
        <is>
          <t>EU_JU</t>
        </is>
      </c>
      <c r="I3961" t="inlineStr">
        <is>
          <t>2022-04</t>
        </is>
      </c>
      <c r="J3961" t="n">
        <v>1</v>
      </c>
      <c r="K3961" t="n">
        <v>1</v>
      </c>
      <c r="L3961" s="34">
        <f>IF($J3961=1,LN(B3962/B3961),"")</f>
        <v/>
      </c>
      <c r="M3961" s="34">
        <f>IF($K3961=1,INDEX(Mensal!$D$2:$D$245,MATCH($I3961,Mensal!$A$2:$A$245,0)),"")</f>
        <v/>
      </c>
      <c r="N3961" s="34">
        <f>IF($K3961=1,L3961-M3961,"")</f>
        <v/>
      </c>
      <c r="O3961" s="34" t="n">
        <v>0.00043739</v>
      </c>
      <c r="P3961" s="34">
        <f>IF($J3961=1,LN(1+O3961),"")</f>
        <v/>
      </c>
      <c r="Q3961" s="34">
        <f>IF($J3961=1,LN(R3962/R3961),"")</f>
        <v/>
      </c>
      <c r="R3961" s="32" t="n">
        <v>4.6664</v>
      </c>
      <c r="S3961" s="35" t="n">
        <v>13.06</v>
      </c>
      <c r="T3961" s="18" t="n"/>
      <c r="U3961" s="18" t="n">
        <v>115056.66</v>
      </c>
      <c r="V3961" s="18" t="n"/>
      <c r="W3961" s="18" t="n"/>
      <c r="X3961" s="35" t="n">
        <v>13.06</v>
      </c>
      <c r="Y3961" s="35" t="n"/>
    </row>
    <row r="3962">
      <c r="A3962" s="25" t="n">
        <v>44671</v>
      </c>
      <c r="B3962" s="18" t="n">
        <v>114343.78</v>
      </c>
      <c r="C3962" s="31" t="n"/>
      <c r="D3962" s="32" t="n"/>
      <c r="E3962" s="33" t="n">
        <v>2.013</v>
      </c>
      <c r="F3962" t="inlineStr">
        <is>
          <t>Up</t>
        </is>
      </c>
      <c r="G3962" t="inlineStr">
        <is>
          <t>Up</t>
        </is>
      </c>
      <c r="H3962" t="inlineStr">
        <is>
          <t>EU_JU</t>
        </is>
      </c>
      <c r="I3962" t="inlineStr">
        <is>
          <t>2022-04</t>
        </is>
      </c>
      <c r="J3962" t="n">
        <v>1</v>
      </c>
      <c r="K3962" t="n">
        <v>1</v>
      </c>
      <c r="L3962" s="34">
        <f>IF($J3962=1,LN(B3963/B3962),"")</f>
        <v/>
      </c>
      <c r="M3962" s="34">
        <f>IF($K3962=1,INDEX(Mensal!$D$2:$D$245,MATCH($I3962,Mensal!$A$2:$A$245,0)),"")</f>
        <v/>
      </c>
      <c r="N3962" s="34">
        <f>IF($K3962=1,L3962-M3962,"")</f>
        <v/>
      </c>
      <c r="O3962" s="34" t="n">
        <v>0.00043739</v>
      </c>
      <c r="P3962" s="34">
        <f>IF($J3962=1,LN(1+O3962),"")</f>
        <v/>
      </c>
      <c r="Q3962" s="34">
        <f>IF($J3962=1,LN(R3963/R3962),"")</f>
        <v/>
      </c>
      <c r="R3962" s="32" t="n">
        <v>4.6397</v>
      </c>
      <c r="S3962" s="35" t="n">
        <v>13.06</v>
      </c>
      <c r="T3962" s="18" t="n"/>
      <c r="U3962" s="18" t="n">
        <v>114343.78</v>
      </c>
      <c r="V3962" s="18" t="n"/>
      <c r="W3962" s="18" t="n"/>
      <c r="X3962" s="35" t="n">
        <v>13.06</v>
      </c>
      <c r="Y3962" s="35" t="n"/>
    </row>
    <row r="3963">
      <c r="A3963" s="25" t="n">
        <v>44673</v>
      </c>
      <c r="B3963" s="18" t="n">
        <v>111077.51</v>
      </c>
      <c r="C3963" s="31" t="n"/>
      <c r="D3963" s="32" t="n"/>
      <c r="E3963" s="33" t="n">
        <v>2.0295</v>
      </c>
      <c r="F3963" t="inlineStr">
        <is>
          <t>Up</t>
        </is>
      </c>
      <c r="G3963" t="inlineStr">
        <is>
          <t>Up</t>
        </is>
      </c>
      <c r="H3963" t="inlineStr">
        <is>
          <t>EU_JU</t>
        </is>
      </c>
      <c r="I3963" t="inlineStr">
        <is>
          <t>2022-04</t>
        </is>
      </c>
      <c r="J3963" t="n">
        <v>1</v>
      </c>
      <c r="K3963" t="n">
        <v>1</v>
      </c>
      <c r="L3963" s="34">
        <f>IF($J3963=1,LN(B3964/B3963),"")</f>
        <v/>
      </c>
      <c r="M3963" s="34">
        <f>IF($K3963=1,INDEX(Mensal!$D$2:$D$245,MATCH($I3963,Mensal!$A$2:$A$245,0)),"")</f>
        <v/>
      </c>
      <c r="N3963" s="34">
        <f>IF($K3963=1,L3963-M3963,"")</f>
        <v/>
      </c>
      <c r="O3963" s="34" t="n">
        <v>0.00043739</v>
      </c>
      <c r="P3963" s="34">
        <f>IF($J3963=1,LN(1+O3963),"")</f>
        <v/>
      </c>
      <c r="Q3963" s="34">
        <f>IF($J3963=1,LN(R3964/R3963),"")</f>
        <v/>
      </c>
      <c r="R3963" s="32" t="n">
        <v>4.7326</v>
      </c>
      <c r="S3963" s="35" t="n">
        <v>13.06</v>
      </c>
      <c r="T3963" s="18" t="n"/>
      <c r="U3963" s="18" t="n">
        <v>111077.51</v>
      </c>
      <c r="V3963" s="18" t="n"/>
      <c r="W3963" s="18" t="n"/>
      <c r="X3963" s="35" t="n">
        <v>13.06</v>
      </c>
      <c r="Y3963" s="35" t="n"/>
    </row>
    <row r="3964">
      <c r="A3964" s="25" t="n">
        <v>44676</v>
      </c>
      <c r="B3964" s="18" t="n">
        <v>110684.95</v>
      </c>
      <c r="C3964" s="31" t="n"/>
      <c r="D3964" s="32" t="n"/>
      <c r="E3964" s="33" t="n">
        <v>2.0362</v>
      </c>
      <c r="F3964" t="inlineStr">
        <is>
          <t>Up</t>
        </is>
      </c>
      <c r="G3964" t="inlineStr">
        <is>
          <t>Up</t>
        </is>
      </c>
      <c r="H3964" t="inlineStr">
        <is>
          <t>EU_JU</t>
        </is>
      </c>
      <c r="I3964" t="inlineStr">
        <is>
          <t>2022-04</t>
        </is>
      </c>
      <c r="J3964" t="n">
        <v>1</v>
      </c>
      <c r="K3964" t="n">
        <v>1</v>
      </c>
      <c r="L3964" s="34">
        <f>IF($J3964=1,LN(B3965/B3964),"")</f>
        <v/>
      </c>
      <c r="M3964" s="34">
        <f>IF($K3964=1,INDEX(Mensal!$D$2:$D$245,MATCH($I3964,Mensal!$A$2:$A$245,0)),"")</f>
        <v/>
      </c>
      <c r="N3964" s="34">
        <f>IF($K3964=1,L3964-M3964,"")</f>
        <v/>
      </c>
      <c r="O3964" s="34" t="n">
        <v>0.00043739</v>
      </c>
      <c r="P3964" s="34">
        <f>IF($J3964=1,LN(1+O3964),"")</f>
        <v/>
      </c>
      <c r="Q3964" s="34">
        <f>IF($J3964=1,LN(R3965/R3964),"")</f>
        <v/>
      </c>
      <c r="R3964" s="32" t="n">
        <v>4.8818</v>
      </c>
      <c r="S3964" s="35" t="n">
        <v>12.95</v>
      </c>
      <c r="T3964" s="18" t="n"/>
      <c r="U3964" s="18" t="n">
        <v>110684.95</v>
      </c>
      <c r="V3964" s="18" t="n"/>
      <c r="W3964" s="18" t="n"/>
      <c r="X3964" s="35" t="n">
        <v>12.95</v>
      </c>
      <c r="Y3964" s="35" t="n"/>
    </row>
    <row r="3965">
      <c r="A3965" s="25" t="n">
        <v>44677</v>
      </c>
      <c r="B3965" s="18" t="n">
        <v>108212.86</v>
      </c>
      <c r="C3965" s="31" t="n"/>
      <c r="D3965" s="32" t="n"/>
      <c r="E3965" s="33" t="n">
        <v>2.0446</v>
      </c>
      <c r="F3965" t="inlineStr">
        <is>
          <t>Up</t>
        </is>
      </c>
      <c r="G3965" t="inlineStr">
        <is>
          <t>Up</t>
        </is>
      </c>
      <c r="H3965" t="inlineStr">
        <is>
          <t>EU_JU</t>
        </is>
      </c>
      <c r="I3965" t="inlineStr">
        <is>
          <t>2022-04</t>
        </is>
      </c>
      <c r="J3965" t="n">
        <v>1</v>
      </c>
      <c r="K3965" t="n">
        <v>1</v>
      </c>
      <c r="L3965" s="34">
        <f>IF($J3965=1,LN(B3966/B3965),"")</f>
        <v/>
      </c>
      <c r="M3965" s="34">
        <f>IF($K3965=1,INDEX(Mensal!$D$2:$D$245,MATCH($I3965,Mensal!$A$2:$A$245,0)),"")</f>
        <v/>
      </c>
      <c r="N3965" s="34">
        <f>IF($K3965=1,L3965-M3965,"")</f>
        <v/>
      </c>
      <c r="O3965" s="34" t="n">
        <v>0.00043739</v>
      </c>
      <c r="P3965" s="34">
        <f>IF($J3965=1,LN(1+O3965),"")</f>
        <v/>
      </c>
      <c r="Q3965" s="34">
        <f>IF($J3965=1,LN(R3966/R3965),"")</f>
        <v/>
      </c>
      <c r="R3965" s="32" t="n">
        <v>4.9666</v>
      </c>
      <c r="S3965" s="35" t="n">
        <v>13.04</v>
      </c>
      <c r="T3965" s="18" t="n"/>
      <c r="U3965" s="18" t="n">
        <v>108212.86</v>
      </c>
      <c r="V3965" s="18" t="n"/>
      <c r="W3965" s="18" t="n"/>
      <c r="X3965" s="35" t="n">
        <v>13.04</v>
      </c>
      <c r="Y3965" s="35" t="n"/>
    </row>
    <row r="3966">
      <c r="A3966" s="25" t="n">
        <v>44678</v>
      </c>
      <c r="B3966" s="18" t="n">
        <v>109349.37</v>
      </c>
      <c r="C3966" s="31" t="n"/>
      <c r="D3966" s="32" t="n"/>
      <c r="E3966" s="33" t="n">
        <v>2.0563</v>
      </c>
      <c r="F3966" t="inlineStr">
        <is>
          <t>Up</t>
        </is>
      </c>
      <c r="G3966" t="inlineStr">
        <is>
          <t>Up</t>
        </is>
      </c>
      <c r="H3966" t="inlineStr">
        <is>
          <t>EU_JU</t>
        </is>
      </c>
      <c r="I3966" t="inlineStr">
        <is>
          <t>2022-04</t>
        </is>
      </c>
      <c r="J3966" t="n">
        <v>1</v>
      </c>
      <c r="K3966" t="n">
        <v>1</v>
      </c>
      <c r="L3966" s="34">
        <f>IF($J3966=1,LN(B3967/B3966),"")</f>
        <v/>
      </c>
      <c r="M3966" s="34">
        <f>IF($K3966=1,INDEX(Mensal!$D$2:$D$245,MATCH($I3966,Mensal!$A$2:$A$245,0)),"")</f>
        <v/>
      </c>
      <c r="N3966" s="34">
        <f>IF($K3966=1,L3966-M3966,"")</f>
        <v/>
      </c>
      <c r="O3966" s="34" t="n">
        <v>0.00043739</v>
      </c>
      <c r="P3966" s="34">
        <f>IF($J3966=1,LN(1+O3966),"")</f>
        <v/>
      </c>
      <c r="Q3966" s="34">
        <f>IF($J3966=1,LN(R3967/R3966),"")</f>
        <v/>
      </c>
      <c r="R3966" s="32" t="n">
        <v>5.0167</v>
      </c>
      <c r="S3966" s="35" t="n">
        <v>12.96</v>
      </c>
      <c r="T3966" s="18" t="n"/>
      <c r="U3966" s="18" t="n">
        <v>109349.37</v>
      </c>
      <c r="V3966" s="18" t="n"/>
      <c r="W3966" s="18" t="n"/>
      <c r="X3966" s="35" t="n">
        <v>12.96</v>
      </c>
      <c r="Y3966" s="35" t="n"/>
    </row>
    <row r="3967">
      <c r="A3967" s="25" t="n">
        <v>44679</v>
      </c>
      <c r="B3967" s="18" t="n">
        <v>109918.97</v>
      </c>
      <c r="C3967" s="31" t="n"/>
      <c r="D3967" s="32" t="n"/>
      <c r="E3967" s="33" t="n">
        <v>2.095</v>
      </c>
      <c r="F3967" t="inlineStr">
        <is>
          <t>Up</t>
        </is>
      </c>
      <c r="G3967" t="inlineStr">
        <is>
          <t>Up</t>
        </is>
      </c>
      <c r="H3967" t="inlineStr">
        <is>
          <t>EU_JU</t>
        </is>
      </c>
      <c r="I3967" t="inlineStr">
        <is>
          <t>2022-04</t>
        </is>
      </c>
      <c r="J3967" t="n">
        <v>1</v>
      </c>
      <c r="K3967" t="n">
        <v>1</v>
      </c>
      <c r="L3967" s="34">
        <f>IF($J3967=1,LN(B3968/B3967),"")</f>
        <v/>
      </c>
      <c r="M3967" s="34">
        <f>IF($K3967=1,INDEX(Mensal!$D$2:$D$245,MATCH($I3967,Mensal!$A$2:$A$245,0)),"")</f>
        <v/>
      </c>
      <c r="N3967" s="34">
        <f>IF($K3967=1,L3967-M3967,"")</f>
        <v/>
      </c>
      <c r="O3967" s="34" t="n">
        <v>0.00043739</v>
      </c>
      <c r="P3967" s="34">
        <f>IF($J3967=1,LN(1+O3967),"")</f>
        <v/>
      </c>
      <c r="Q3967" s="34">
        <f>IF($J3967=1,LN(R3968/R3967),"")</f>
        <v/>
      </c>
      <c r="R3967" s="32" t="n">
        <v>5.011</v>
      </c>
      <c r="S3967" s="35" t="n">
        <v>13.01</v>
      </c>
      <c r="T3967" s="18" t="n"/>
      <c r="U3967" s="18" t="n">
        <v>109918.97</v>
      </c>
      <c r="V3967" s="18" t="n"/>
      <c r="W3967" s="18" t="n"/>
      <c r="X3967" s="35" t="n">
        <v>13.01</v>
      </c>
      <c r="Y3967" s="35" t="n"/>
    </row>
    <row r="3968">
      <c r="A3968" s="25" t="n">
        <v>44680</v>
      </c>
      <c r="B3968" s="18" t="n">
        <v>107876.16</v>
      </c>
      <c r="C3968" s="31" t="n"/>
      <c r="D3968" s="32" t="n"/>
      <c r="E3968" s="33" t="n">
        <v>2.1483</v>
      </c>
      <c r="F3968" t="inlineStr">
        <is>
          <t>Up</t>
        </is>
      </c>
      <c r="G3968" t="inlineStr">
        <is>
          <t>Up</t>
        </is>
      </c>
      <c r="H3968" t="inlineStr">
        <is>
          <t>EU_JU</t>
        </is>
      </c>
      <c r="I3968" t="inlineStr">
        <is>
          <t>2022-04</t>
        </is>
      </c>
      <c r="J3968" t="n">
        <v>1</v>
      </c>
      <c r="K3968" t="n">
        <v>1</v>
      </c>
      <c r="L3968" s="34">
        <f>IF($J3968=1,LN(B3969/B3968),"")</f>
        <v/>
      </c>
      <c r="M3968" s="34">
        <f>IF($K3968=1,INDEX(Mensal!$D$2:$D$245,MATCH($I3968,Mensal!$A$2:$A$245,0)),"")</f>
        <v/>
      </c>
      <c r="N3968" s="34">
        <f>IF($K3968=1,L3968-M3968,"")</f>
        <v/>
      </c>
      <c r="O3968" s="34" t="n">
        <v>0.00043739</v>
      </c>
      <c r="P3968" s="34">
        <f>IF($J3968=1,LN(1+O3968),"")</f>
        <v/>
      </c>
      <c r="Q3968" s="34">
        <f>IF($J3968=1,LN(R3969/R3968),"")</f>
        <v/>
      </c>
      <c r="R3968" s="32" t="n">
        <v>4.9191</v>
      </c>
      <c r="S3968" s="35" t="n">
        <v>13.01</v>
      </c>
      <c r="T3968" s="18" t="n"/>
      <c r="U3968" s="18" t="n">
        <v>107876.16</v>
      </c>
      <c r="V3968" s="18" t="n"/>
      <c r="W3968" s="18" t="n"/>
      <c r="X3968" s="35" t="n">
        <v>13.01</v>
      </c>
      <c r="Y3968" s="35" t="n"/>
    </row>
    <row r="3969">
      <c r="A3969" s="25" t="n">
        <v>44683</v>
      </c>
      <c r="B3969" s="18" t="n">
        <v>106638.64</v>
      </c>
      <c r="C3969" s="31" t="n"/>
      <c r="D3969" s="32" t="n"/>
      <c r="E3969" s="33" t="n">
        <v>2.1968</v>
      </c>
      <c r="F3969" t="inlineStr">
        <is>
          <t>Up</t>
        </is>
      </c>
      <c r="G3969" t="inlineStr">
        <is>
          <t>Up</t>
        </is>
      </c>
      <c r="H3969" t="inlineStr">
        <is>
          <t>EU_JU</t>
        </is>
      </c>
      <c r="I3969" t="inlineStr">
        <is>
          <t>2022-05</t>
        </is>
      </c>
      <c r="J3969" t="n">
        <v>1</v>
      </c>
      <c r="K3969" t="n">
        <v>1</v>
      </c>
      <c r="L3969" s="34">
        <f>IF($J3969=1,LN(B3970/B3969),"")</f>
        <v/>
      </c>
      <c r="M3969" s="34">
        <f>IF($K3969=1,INDEX(Mensal!$D$2:$D$245,MATCH($I3969,Mensal!$A$2:$A$245,0)),"")</f>
        <v/>
      </c>
      <c r="N3969" s="34">
        <f>IF($K3969=1,L3969-M3969,"")</f>
        <v/>
      </c>
      <c r="O3969" s="34" t="n">
        <v>0.00043739</v>
      </c>
      <c r="P3969" s="34">
        <f>IF($J3969=1,LN(1+O3969),"")</f>
        <v/>
      </c>
      <c r="Q3969" s="34">
        <f>IF($J3969=1,LN(R3970/R3969),"")</f>
        <v/>
      </c>
      <c r="R3969" s="32" t="n">
        <v>5.0266</v>
      </c>
      <c r="S3969" s="35" t="n">
        <v>13.09</v>
      </c>
      <c r="T3969" s="18" t="n"/>
      <c r="U3969" s="18" t="n">
        <v>106638.64</v>
      </c>
      <c r="V3969" s="18" t="n"/>
      <c r="W3969" s="18" t="n"/>
      <c r="X3969" s="35" t="n">
        <v>13.09</v>
      </c>
      <c r="Y3969" s="35" t="n"/>
    </row>
    <row r="3970">
      <c r="A3970" s="25" t="n">
        <v>44684</v>
      </c>
      <c r="B3970" s="18" t="n">
        <v>106528.09</v>
      </c>
      <c r="C3970" s="31" t="n"/>
      <c r="D3970" s="32" t="n"/>
      <c r="E3970" s="33" t="n">
        <v>2.2437</v>
      </c>
      <c r="F3970" t="inlineStr">
        <is>
          <t>Up</t>
        </is>
      </c>
      <c r="G3970" t="inlineStr">
        <is>
          <t>Up</t>
        </is>
      </c>
      <c r="H3970" t="inlineStr">
        <is>
          <t>EU_JU</t>
        </is>
      </c>
      <c r="I3970" t="inlineStr">
        <is>
          <t>2022-05</t>
        </is>
      </c>
      <c r="J3970" t="n">
        <v>1</v>
      </c>
      <c r="K3970" t="n">
        <v>1</v>
      </c>
      <c r="L3970" s="34">
        <f>IF($J3970=1,LN(B3971/B3970),"")</f>
        <v/>
      </c>
      <c r="M3970" s="34">
        <f>IF($K3970=1,INDEX(Mensal!$D$2:$D$245,MATCH($I3970,Mensal!$A$2:$A$245,0)),"")</f>
        <v/>
      </c>
      <c r="N3970" s="34">
        <f>IF($K3970=1,L3970-M3970,"")</f>
        <v/>
      </c>
      <c r="O3970" s="34" t="n">
        <v>0.00043739</v>
      </c>
      <c r="P3970" s="34">
        <f>IF($J3970=1,LN(1+O3970),"")</f>
        <v/>
      </c>
      <c r="Q3970" s="34">
        <f>IF($J3970=1,LN(R3971/R3970),"")</f>
        <v/>
      </c>
      <c r="R3970" s="32" t="n">
        <v>5.0167</v>
      </c>
      <c r="S3970" s="35" t="n">
        <v>13.12</v>
      </c>
      <c r="T3970" s="18" t="n"/>
      <c r="U3970" s="18" t="n">
        <v>106528.09</v>
      </c>
      <c r="V3970" s="18" t="n"/>
      <c r="W3970" s="18" t="n"/>
      <c r="X3970" s="35" t="n">
        <v>13.12</v>
      </c>
      <c r="Y3970" s="35" t="n"/>
    </row>
    <row r="3971">
      <c r="A3971" s="25" t="n">
        <v>44685</v>
      </c>
      <c r="B3971" s="18" t="n">
        <v>108343.74</v>
      </c>
      <c r="C3971" s="31" t="n"/>
      <c r="D3971" s="32" t="n"/>
      <c r="E3971" s="33" t="n">
        <v>2.2836</v>
      </c>
      <c r="F3971" t="inlineStr">
        <is>
          <t>Up</t>
        </is>
      </c>
      <c r="G3971" t="inlineStr">
        <is>
          <t>Up</t>
        </is>
      </c>
      <c r="H3971" t="inlineStr">
        <is>
          <t>EU_JU</t>
        </is>
      </c>
      <c r="I3971" t="inlineStr">
        <is>
          <t>2022-05</t>
        </is>
      </c>
      <c r="J3971" t="n">
        <v>1</v>
      </c>
      <c r="K3971" t="n">
        <v>1</v>
      </c>
      <c r="L3971" s="34">
        <f>IF($J3971=1,LN(B3972/B3971),"")</f>
        <v/>
      </c>
      <c r="M3971" s="34">
        <f>IF($K3971=1,INDEX(Mensal!$D$2:$D$245,MATCH($I3971,Mensal!$A$2:$A$245,0)),"")</f>
        <v/>
      </c>
      <c r="N3971" s="34">
        <f>IF($K3971=1,L3971-M3971,"")</f>
        <v/>
      </c>
      <c r="O3971" s="34" t="n">
        <v>0.00043739</v>
      </c>
      <c r="P3971" s="34">
        <f>IF($J3971=1,LN(1+O3971),"")</f>
        <v/>
      </c>
      <c r="Q3971" s="34">
        <f>IF($J3971=1,LN(R3972/R3971),"")</f>
        <v/>
      </c>
      <c r="R3971" s="32" t="n">
        <v>5.0093</v>
      </c>
      <c r="S3971" s="35" t="n">
        <v>13.04</v>
      </c>
      <c r="T3971" s="18" t="n"/>
      <c r="U3971" s="18" t="n">
        <v>108343.74</v>
      </c>
      <c r="V3971" s="18" t="n"/>
      <c r="W3971" s="18" t="n"/>
      <c r="X3971" s="35" t="n">
        <v>13.04</v>
      </c>
      <c r="Y3971" s="35" t="n"/>
    </row>
    <row r="3972">
      <c r="A3972" s="25" t="n">
        <v>44686</v>
      </c>
      <c r="B3972" s="18" t="n">
        <v>105304.19</v>
      </c>
      <c r="C3972" s="31" t="n"/>
      <c r="D3972" s="32" t="n"/>
      <c r="E3972" s="33" t="n">
        <v>2.3224</v>
      </c>
      <c r="F3972" t="inlineStr">
        <is>
          <t>Up</t>
        </is>
      </c>
      <c r="G3972" t="inlineStr">
        <is>
          <t>Up</t>
        </is>
      </c>
      <c r="H3972" t="inlineStr">
        <is>
          <t>EU_JU</t>
        </is>
      </c>
      <c r="I3972" t="inlineStr">
        <is>
          <t>2022-05</t>
        </is>
      </c>
      <c r="J3972" t="n">
        <v>1</v>
      </c>
      <c r="K3972" t="n">
        <v>1</v>
      </c>
      <c r="L3972" s="34">
        <f>IF($J3972=1,LN(B3973/B3972),"")</f>
        <v/>
      </c>
      <c r="M3972" s="34">
        <f>IF($K3972=1,INDEX(Mensal!$D$2:$D$245,MATCH($I3972,Mensal!$A$2:$A$245,0)),"")</f>
        <v/>
      </c>
      <c r="N3972" s="34">
        <f>IF($K3972=1,L3972-M3972,"")</f>
        <v/>
      </c>
      <c r="O3972" s="34" t="n">
        <v>0.00047279</v>
      </c>
      <c r="P3972" s="34">
        <f>IF($J3972=1,LN(1+O3972),"")</f>
        <v/>
      </c>
      <c r="Q3972" s="34">
        <f>IF($J3972=1,LN(R3973/R3972),"")</f>
        <v/>
      </c>
      <c r="R3972" s="32" t="n">
        <v>5.0051</v>
      </c>
      <c r="S3972" s="35" t="n">
        <v>13.26</v>
      </c>
      <c r="T3972" s="18" t="n"/>
      <c r="U3972" s="18" t="n">
        <v>105304.19</v>
      </c>
      <c r="V3972" s="18" t="n"/>
      <c r="W3972" s="18" t="n"/>
      <c r="X3972" s="35" t="n">
        <v>13.26</v>
      </c>
      <c r="Y3972" s="35" t="n"/>
    </row>
    <row r="3973">
      <c r="A3973" s="25" t="n">
        <v>44687</v>
      </c>
      <c r="B3973" s="18" t="n">
        <v>105134.73</v>
      </c>
      <c r="C3973" s="31" t="n"/>
      <c r="D3973" s="32" t="n"/>
      <c r="E3973" s="33" t="n">
        <v>2.3611</v>
      </c>
      <c r="F3973" t="inlineStr">
        <is>
          <t>Up</t>
        </is>
      </c>
      <c r="G3973" t="inlineStr">
        <is>
          <t>Up</t>
        </is>
      </c>
      <c r="H3973" t="inlineStr">
        <is>
          <t>EU_JU</t>
        </is>
      </c>
      <c r="I3973" t="inlineStr">
        <is>
          <t>2022-05</t>
        </is>
      </c>
      <c r="J3973" t="n">
        <v>1</v>
      </c>
      <c r="K3973" t="n">
        <v>1</v>
      </c>
      <c r="L3973" s="34">
        <f>IF($J3973=1,LN(B3974/B3973),"")</f>
        <v/>
      </c>
      <c r="M3973" s="34">
        <f>IF($K3973=1,INDEX(Mensal!$D$2:$D$245,MATCH($I3973,Mensal!$A$2:$A$245,0)),"")</f>
        <v/>
      </c>
      <c r="N3973" s="34">
        <f>IF($K3973=1,L3973-M3973,"")</f>
        <v/>
      </c>
      <c r="O3973" s="34" t="n">
        <v>0.00047279</v>
      </c>
      <c r="P3973" s="34">
        <f>IF($J3973=1,LN(1+O3973),"")</f>
        <v/>
      </c>
      <c r="Q3973" s="34">
        <f>IF($J3973=1,LN(R3974/R3973),"")</f>
        <v/>
      </c>
      <c r="R3973" s="32" t="n">
        <v>5.075</v>
      </c>
      <c r="S3973" s="35" t="n">
        <v>13.36</v>
      </c>
      <c r="T3973" s="18" t="n"/>
      <c r="U3973" s="18" t="n">
        <v>105134.73</v>
      </c>
      <c r="V3973" s="18" t="n"/>
      <c r="W3973" s="18" t="n"/>
      <c r="X3973" s="35" t="n">
        <v>13.36</v>
      </c>
      <c r="Y3973" s="35" t="n"/>
    </row>
    <row r="3974">
      <c r="A3974" s="25" t="n">
        <v>44690</v>
      </c>
      <c r="B3974" s="18" t="n">
        <v>103250.02</v>
      </c>
      <c r="C3974" s="31" t="n"/>
      <c r="D3974" s="32" t="n"/>
      <c r="E3974" s="33" t="n">
        <v>2.4078</v>
      </c>
      <c r="F3974" t="inlineStr">
        <is>
          <t>Up</t>
        </is>
      </c>
      <c r="G3974" t="inlineStr">
        <is>
          <t>Up</t>
        </is>
      </c>
      <c r="H3974" t="inlineStr">
        <is>
          <t>EU_JU</t>
        </is>
      </c>
      <c r="I3974" t="inlineStr">
        <is>
          <t>2022-05</t>
        </is>
      </c>
      <c r="J3974" t="n">
        <v>1</v>
      </c>
      <c r="K3974" t="n">
        <v>1</v>
      </c>
      <c r="L3974" s="34">
        <f>IF($J3974=1,LN(B3975/B3974),"")</f>
        <v/>
      </c>
      <c r="M3974" s="34">
        <f>IF($K3974=1,INDEX(Mensal!$D$2:$D$245,MATCH($I3974,Mensal!$A$2:$A$245,0)),"")</f>
        <v/>
      </c>
      <c r="N3974" s="34">
        <f>IF($K3974=1,L3974-M3974,"")</f>
        <v/>
      </c>
      <c r="O3974" s="34" t="n">
        <v>0.00047279</v>
      </c>
      <c r="P3974" s="34">
        <f>IF($J3974=1,LN(1+O3974),"")</f>
        <v/>
      </c>
      <c r="Q3974" s="34">
        <f>IF($J3974=1,LN(R3975/R3974),"")</f>
        <v/>
      </c>
      <c r="R3974" s="32" t="n">
        <v>5.134</v>
      </c>
      <c r="S3974" s="35" t="n">
        <v>13.32</v>
      </c>
      <c r="T3974" s="18" t="n"/>
      <c r="U3974" s="18" t="n">
        <v>103250.02</v>
      </c>
      <c r="V3974" s="18" t="n"/>
      <c r="W3974" s="18" t="n"/>
      <c r="X3974" s="35" t="n">
        <v>13.32</v>
      </c>
      <c r="Y3974" s="35" t="n"/>
    </row>
    <row r="3975">
      <c r="A3975" s="25" t="n">
        <v>44691</v>
      </c>
      <c r="B3975" s="18" t="n">
        <v>103109.94</v>
      </c>
      <c r="C3975" s="31" t="n"/>
      <c r="D3975" s="32" t="n"/>
      <c r="E3975" s="33" t="n">
        <v>2.4517</v>
      </c>
      <c r="F3975" t="inlineStr">
        <is>
          <t>Up</t>
        </is>
      </c>
      <c r="G3975" t="inlineStr">
        <is>
          <t>Up</t>
        </is>
      </c>
      <c r="H3975" t="inlineStr">
        <is>
          <t>EU_JU</t>
        </is>
      </c>
      <c r="I3975" t="inlineStr">
        <is>
          <t>2022-05</t>
        </is>
      </c>
      <c r="J3975" t="n">
        <v>1</v>
      </c>
      <c r="K3975" t="n">
        <v>1</v>
      </c>
      <c r="L3975" s="34">
        <f>IF($J3975=1,LN(B3976/B3975),"")</f>
        <v/>
      </c>
      <c r="M3975" s="34">
        <f>IF($K3975=1,INDEX(Mensal!$D$2:$D$245,MATCH($I3975,Mensal!$A$2:$A$245,0)),"")</f>
        <v/>
      </c>
      <c r="N3975" s="34">
        <f>IF($K3975=1,L3975-M3975,"")</f>
        <v/>
      </c>
      <c r="O3975" s="34" t="n">
        <v>0.00047279</v>
      </c>
      <c r="P3975" s="34">
        <f>IF($J3975=1,LN(1+O3975),"")</f>
        <v/>
      </c>
      <c r="Q3975" s="34">
        <f>IF($J3975=1,LN(R3976/R3975),"")</f>
        <v/>
      </c>
      <c r="R3975" s="32" t="n">
        <v>5.139</v>
      </c>
      <c r="S3975" s="35" t="n">
        <v>13.29</v>
      </c>
      <c r="T3975" s="18" t="n"/>
      <c r="U3975" s="18" t="n">
        <v>103109.94</v>
      </c>
      <c r="V3975" s="18" t="n"/>
      <c r="W3975" s="18" t="n"/>
      <c r="X3975" s="35" t="n">
        <v>13.29</v>
      </c>
      <c r="Y3975" s="35" t="n"/>
    </row>
    <row r="3976">
      <c r="A3976" s="25" t="n">
        <v>44692</v>
      </c>
      <c r="B3976" s="18" t="n">
        <v>104396.9</v>
      </c>
      <c r="C3976" s="31" t="n"/>
      <c r="D3976" s="32" t="n"/>
      <c r="E3976" s="33" t="n">
        <v>2.4957</v>
      </c>
      <c r="F3976" t="inlineStr">
        <is>
          <t>Up</t>
        </is>
      </c>
      <c r="G3976" t="inlineStr">
        <is>
          <t>Up</t>
        </is>
      </c>
      <c r="H3976" t="inlineStr">
        <is>
          <t>EU_JU</t>
        </is>
      </c>
      <c r="I3976" t="inlineStr">
        <is>
          <t>2022-05</t>
        </is>
      </c>
      <c r="J3976" t="n">
        <v>1</v>
      </c>
      <c r="K3976" t="n">
        <v>1</v>
      </c>
      <c r="L3976" s="34">
        <f>IF($J3976=1,LN(B3977/B3976),"")</f>
        <v/>
      </c>
      <c r="M3976" s="34">
        <f>IF($K3976=1,INDEX(Mensal!$D$2:$D$245,MATCH($I3976,Mensal!$A$2:$A$245,0)),"")</f>
        <v/>
      </c>
      <c r="N3976" s="34">
        <f>IF($K3976=1,L3976-M3976,"")</f>
        <v/>
      </c>
      <c r="O3976" s="34" t="n">
        <v>0.00047279</v>
      </c>
      <c r="P3976" s="34">
        <f>IF($J3976=1,LN(1+O3976),"")</f>
        <v/>
      </c>
      <c r="Q3976" s="34">
        <f>IF($J3976=1,LN(R3977/R3976),"")</f>
        <v/>
      </c>
      <c r="R3976" s="32" t="n">
        <v>5.1244</v>
      </c>
      <c r="S3976" s="35" t="n">
        <v>13.38</v>
      </c>
      <c r="T3976" s="18" t="n"/>
      <c r="U3976" s="18" t="n">
        <v>104396.9</v>
      </c>
      <c r="V3976" s="18" t="n"/>
      <c r="W3976" s="18" t="n"/>
      <c r="X3976" s="35" t="n">
        <v>13.38</v>
      </c>
      <c r="Y3976" s="35" t="n"/>
    </row>
    <row r="3977">
      <c r="A3977" s="25" t="n">
        <v>44693</v>
      </c>
      <c r="B3977" s="18" t="n">
        <v>105687.64</v>
      </c>
      <c r="C3977" s="31" t="n"/>
      <c r="D3977" s="32" t="n"/>
      <c r="E3977" s="33" t="n">
        <v>2.5264</v>
      </c>
      <c r="F3977" t="inlineStr">
        <is>
          <t>Up</t>
        </is>
      </c>
      <c r="G3977" t="inlineStr">
        <is>
          <t>Up</t>
        </is>
      </c>
      <c r="H3977" t="inlineStr">
        <is>
          <t>EU_JU</t>
        </is>
      </c>
      <c r="I3977" t="inlineStr">
        <is>
          <t>2022-05</t>
        </is>
      </c>
      <c r="J3977" t="n">
        <v>1</v>
      </c>
      <c r="K3977" t="n">
        <v>1</v>
      </c>
      <c r="L3977" s="34">
        <f>IF($J3977=1,LN(B3978/B3977),"")</f>
        <v/>
      </c>
      <c r="M3977" s="34">
        <f>IF($K3977=1,INDEX(Mensal!$D$2:$D$245,MATCH($I3977,Mensal!$A$2:$A$245,0)),"")</f>
        <v/>
      </c>
      <c r="N3977" s="34">
        <f>IF($K3977=1,L3977-M3977,"")</f>
        <v/>
      </c>
      <c r="O3977" s="34" t="n">
        <v>0.00047279</v>
      </c>
      <c r="P3977" s="34">
        <f>IF($J3977=1,LN(1+O3977),"")</f>
        <v/>
      </c>
      <c r="Q3977" s="34">
        <f>IF($J3977=1,LN(R3978/R3977),"")</f>
        <v/>
      </c>
      <c r="R3977" s="32" t="n">
        <v>5.1482</v>
      </c>
      <c r="S3977" s="35" t="n">
        <v>13.47</v>
      </c>
      <c r="T3977" s="18" t="n"/>
      <c r="U3977" s="18" t="n">
        <v>105687.64</v>
      </c>
      <c r="V3977" s="18" t="n"/>
      <c r="W3977" s="18" t="n"/>
      <c r="X3977" s="35" t="n">
        <v>13.47</v>
      </c>
      <c r="Y3977" s="35" t="n"/>
    </row>
    <row r="3978">
      <c r="A3978" s="25" t="n">
        <v>44694</v>
      </c>
      <c r="B3978" s="18" t="n">
        <v>106924.18</v>
      </c>
      <c r="C3978" s="31" t="n"/>
      <c r="D3978" s="32" t="n"/>
      <c r="E3978" s="33" t="n">
        <v>2.5509</v>
      </c>
      <c r="F3978" t="inlineStr">
        <is>
          <t>Up</t>
        </is>
      </c>
      <c r="G3978" t="inlineStr">
        <is>
          <t>Up</t>
        </is>
      </c>
      <c r="H3978" t="inlineStr">
        <is>
          <t>EU_JU</t>
        </is>
      </c>
      <c r="I3978" t="inlineStr">
        <is>
          <t>2022-05</t>
        </is>
      </c>
      <c r="J3978" t="n">
        <v>1</v>
      </c>
      <c r="K3978" t="n">
        <v>1</v>
      </c>
      <c r="L3978" s="34">
        <f>IF($J3978=1,LN(B3979/B3978),"")</f>
        <v/>
      </c>
      <c r="M3978" s="34">
        <f>IF($K3978=1,INDEX(Mensal!$D$2:$D$245,MATCH($I3978,Mensal!$A$2:$A$245,0)),"")</f>
        <v/>
      </c>
      <c r="N3978" s="34">
        <f>IF($K3978=1,L3978-M3978,"")</f>
        <v/>
      </c>
      <c r="O3978" s="34" t="n">
        <v>0.00047279</v>
      </c>
      <c r="P3978" s="34">
        <f>IF($J3978=1,LN(1+O3978),"")</f>
        <v/>
      </c>
      <c r="Q3978" s="34">
        <f>IF($J3978=1,LN(R3979/R3978),"")</f>
        <v/>
      </c>
      <c r="R3978" s="32" t="n">
        <v>5.1075</v>
      </c>
      <c r="S3978" s="35" t="n">
        <v>13.49</v>
      </c>
      <c r="T3978" s="18" t="n"/>
      <c r="U3978" s="18" t="n">
        <v>106924.18</v>
      </c>
      <c r="V3978" s="18" t="n"/>
      <c r="W3978" s="18" t="n"/>
      <c r="X3978" s="35" t="n">
        <v>13.49</v>
      </c>
      <c r="Y3978" s="35" t="n"/>
    </row>
    <row r="3979">
      <c r="A3979" s="25" t="n">
        <v>44697</v>
      </c>
      <c r="B3979" s="18" t="n">
        <v>108232.74</v>
      </c>
      <c r="C3979" s="31" t="n"/>
      <c r="D3979" s="32" t="n"/>
      <c r="E3979" s="33" t="n">
        <v>2.5623</v>
      </c>
      <c r="F3979" t="inlineStr">
        <is>
          <t>Up</t>
        </is>
      </c>
      <c r="G3979" t="inlineStr">
        <is>
          <t>Up</t>
        </is>
      </c>
      <c r="H3979" t="inlineStr">
        <is>
          <t>EU_JU</t>
        </is>
      </c>
      <c r="I3979" t="inlineStr">
        <is>
          <t>2022-05</t>
        </is>
      </c>
      <c r="J3979" t="n">
        <v>1</v>
      </c>
      <c r="K3979" t="n">
        <v>1</v>
      </c>
      <c r="L3979" s="34">
        <f>IF($J3979=1,LN(B3980/B3979),"")</f>
        <v/>
      </c>
      <c r="M3979" s="34">
        <f>IF($K3979=1,INDEX(Mensal!$D$2:$D$245,MATCH($I3979,Mensal!$A$2:$A$245,0)),"")</f>
        <v/>
      </c>
      <c r="N3979" s="34">
        <f>IF($K3979=1,L3979-M3979,"")</f>
        <v/>
      </c>
      <c r="O3979" s="34" t="n">
        <v>0.00047279</v>
      </c>
      <c r="P3979" s="34">
        <f>IF($J3979=1,LN(1+O3979),"")</f>
        <v/>
      </c>
      <c r="Q3979" s="34">
        <f>IF($J3979=1,LN(R3980/R3979),"")</f>
        <v/>
      </c>
      <c r="R3979" s="32" t="n">
        <v>5.0666</v>
      </c>
      <c r="S3979" s="35" t="n">
        <v>13.43</v>
      </c>
      <c r="T3979" s="18" t="n"/>
      <c r="U3979" s="18" t="n">
        <v>108232.74</v>
      </c>
      <c r="V3979" s="18" t="n"/>
      <c r="W3979" s="18" t="n"/>
      <c r="X3979" s="35" t="n">
        <v>13.43</v>
      </c>
      <c r="Y3979" s="35" t="n"/>
    </row>
    <row r="3980">
      <c r="A3980" s="25" t="n">
        <v>44698</v>
      </c>
      <c r="B3980" s="18" t="n">
        <v>108789.33</v>
      </c>
      <c r="C3980" s="31" t="n"/>
      <c r="D3980" s="32" t="n"/>
      <c r="E3980" s="33" t="n">
        <v>2.5804</v>
      </c>
      <c r="F3980" t="inlineStr">
        <is>
          <t>Up</t>
        </is>
      </c>
      <c r="G3980" t="inlineStr">
        <is>
          <t>Up</t>
        </is>
      </c>
      <c r="H3980" t="inlineStr">
        <is>
          <t>EU_JU</t>
        </is>
      </c>
      <c r="I3980" t="inlineStr">
        <is>
          <t>2022-05</t>
        </is>
      </c>
      <c r="J3980" t="n">
        <v>1</v>
      </c>
      <c r="K3980" t="n">
        <v>1</v>
      </c>
      <c r="L3980" s="34">
        <f>IF($J3980=1,LN(B3981/B3980),"")</f>
        <v/>
      </c>
      <c r="M3980" s="34">
        <f>IF($K3980=1,INDEX(Mensal!$D$2:$D$245,MATCH($I3980,Mensal!$A$2:$A$245,0)),"")</f>
        <v/>
      </c>
      <c r="N3980" s="34">
        <f>IF($K3980=1,L3980-M3980,"")</f>
        <v/>
      </c>
      <c r="O3980" s="34" t="n">
        <v>0.00047279</v>
      </c>
      <c r="P3980" s="34">
        <f>IF($J3980=1,LN(1+O3980),"")</f>
        <v/>
      </c>
      <c r="Q3980" s="34">
        <f>IF($J3980=1,LN(R3981/R3980),"")</f>
        <v/>
      </c>
      <c r="R3980" s="32" t="n">
        <v>4.9676</v>
      </c>
      <c r="S3980" s="35" t="n">
        <v>13.38</v>
      </c>
      <c r="T3980" s="18" t="n"/>
      <c r="U3980" s="18" t="n">
        <v>108789.33</v>
      </c>
      <c r="V3980" s="18" t="n"/>
      <c r="W3980" s="18" t="n"/>
      <c r="X3980" s="35" t="n">
        <v>13.38</v>
      </c>
      <c r="Y3980" s="35" t="n"/>
    </row>
    <row r="3981">
      <c r="A3981" s="25" t="n">
        <v>44699</v>
      </c>
      <c r="B3981" s="18" t="n">
        <v>106247.15</v>
      </c>
      <c r="C3981" s="31" t="n"/>
      <c r="D3981" s="32" t="n"/>
      <c r="E3981" s="33" t="n">
        <v>2.5968</v>
      </c>
      <c r="F3981" t="inlineStr">
        <is>
          <t>Up</t>
        </is>
      </c>
      <c r="G3981" t="inlineStr">
        <is>
          <t>Up</t>
        </is>
      </c>
      <c r="H3981" t="inlineStr">
        <is>
          <t>EU_JU</t>
        </is>
      </c>
      <c r="I3981" t="inlineStr">
        <is>
          <t>2022-05</t>
        </is>
      </c>
      <c r="J3981" t="n">
        <v>1</v>
      </c>
      <c r="K3981" t="n">
        <v>1</v>
      </c>
      <c r="L3981" s="34">
        <f>IF($J3981=1,LN(B3982/B3981),"")</f>
        <v/>
      </c>
      <c r="M3981" s="34">
        <f>IF($K3981=1,INDEX(Mensal!$D$2:$D$245,MATCH($I3981,Mensal!$A$2:$A$245,0)),"")</f>
        <v/>
      </c>
      <c r="N3981" s="34">
        <f>IF($K3981=1,L3981-M3981,"")</f>
        <v/>
      </c>
      <c r="O3981" s="34" t="n">
        <v>0.00047279</v>
      </c>
      <c r="P3981" s="34">
        <f>IF($J3981=1,LN(1+O3981),"")</f>
        <v/>
      </c>
      <c r="Q3981" s="34">
        <f>IF($J3981=1,LN(R3982/R3981),"")</f>
        <v/>
      </c>
      <c r="R3981" s="32" t="n">
        <v>4.9592</v>
      </c>
      <c r="S3981" s="35" t="n">
        <v>13.36</v>
      </c>
      <c r="T3981" s="18" t="n"/>
      <c r="U3981" s="18" t="n">
        <v>106247.15</v>
      </c>
      <c r="V3981" s="18" t="n"/>
      <c r="W3981" s="18" t="n"/>
      <c r="X3981" s="35" t="n">
        <v>13.36</v>
      </c>
      <c r="Y3981" s="35" t="n"/>
    </row>
    <row r="3982">
      <c r="A3982" s="25" t="n">
        <v>44700</v>
      </c>
      <c r="B3982" s="18" t="n">
        <v>107005.22</v>
      </c>
      <c r="C3982" s="31" t="n"/>
      <c r="D3982" s="32" t="n"/>
      <c r="E3982" s="33" t="n">
        <v>2.6032</v>
      </c>
      <c r="F3982" t="inlineStr">
        <is>
          <t>Up</t>
        </is>
      </c>
      <c r="G3982" t="inlineStr">
        <is>
          <t>Up</t>
        </is>
      </c>
      <c r="H3982" t="inlineStr">
        <is>
          <t>EU_JU</t>
        </is>
      </c>
      <c r="I3982" t="inlineStr">
        <is>
          <t>2022-05</t>
        </is>
      </c>
      <c r="J3982" t="n">
        <v>1</v>
      </c>
      <c r="K3982" t="n">
        <v>1</v>
      </c>
      <c r="L3982" s="34">
        <f>IF($J3982=1,LN(B3983/B3982),"")</f>
        <v/>
      </c>
      <c r="M3982" s="34">
        <f>IF($K3982=1,INDEX(Mensal!$D$2:$D$245,MATCH($I3982,Mensal!$A$2:$A$245,0)),"")</f>
        <v/>
      </c>
      <c r="N3982" s="34">
        <f>IF($K3982=1,L3982-M3982,"")</f>
        <v/>
      </c>
      <c r="O3982" s="34" t="n">
        <v>0.00047279</v>
      </c>
      <c r="P3982" s="34">
        <f>IF($J3982=1,LN(1+O3982),"")</f>
        <v/>
      </c>
      <c r="Q3982" s="34">
        <f>IF($J3982=1,LN(R3983/R3982),"")</f>
        <v/>
      </c>
      <c r="R3982" s="32" t="n">
        <v>4.9198</v>
      </c>
      <c r="S3982" s="35" t="n">
        <v>13.29</v>
      </c>
      <c r="T3982" s="18" t="n"/>
      <c r="U3982" s="18" t="n">
        <v>107005.22</v>
      </c>
      <c r="V3982" s="18" t="n"/>
      <c r="W3982" s="18" t="n"/>
      <c r="X3982" s="35" t="n">
        <v>13.29</v>
      </c>
      <c r="Y3982" s="35" t="n"/>
    </row>
    <row r="3983">
      <c r="A3983" s="25" t="n">
        <v>44701</v>
      </c>
      <c r="B3983" s="18" t="n">
        <v>108487.88</v>
      </c>
      <c r="C3983" s="31" t="n"/>
      <c r="D3983" s="32" t="n"/>
      <c r="E3983" s="33" t="n">
        <v>2.6071</v>
      </c>
      <c r="F3983" t="inlineStr">
        <is>
          <t>Up</t>
        </is>
      </c>
      <c r="G3983" t="inlineStr">
        <is>
          <t>Up</t>
        </is>
      </c>
      <c r="H3983" t="inlineStr">
        <is>
          <t>EU_JU</t>
        </is>
      </c>
      <c r="I3983" t="inlineStr">
        <is>
          <t>2022-05</t>
        </is>
      </c>
      <c r="J3983" t="n">
        <v>1</v>
      </c>
      <c r="K3983" t="n">
        <v>1</v>
      </c>
      <c r="L3983" s="34">
        <f>IF($J3983=1,LN(B3984/B3983),"")</f>
        <v/>
      </c>
      <c r="M3983" s="34">
        <f>IF($K3983=1,INDEX(Mensal!$D$2:$D$245,MATCH($I3983,Mensal!$A$2:$A$245,0)),"")</f>
        <v/>
      </c>
      <c r="N3983" s="34">
        <f>IF($K3983=1,L3983-M3983,"")</f>
        <v/>
      </c>
      <c r="O3983" s="34" t="n">
        <v>0.00047279</v>
      </c>
      <c r="P3983" s="34">
        <f>IF($J3983=1,LN(1+O3983),"")</f>
        <v/>
      </c>
      <c r="Q3983" s="34">
        <f>IF($J3983=1,LN(R3984/R3983),"")</f>
        <v/>
      </c>
      <c r="R3983" s="32" t="n">
        <v>4.8777</v>
      </c>
      <c r="S3983" s="35" t="n">
        <v>13.25</v>
      </c>
      <c r="T3983" s="18" t="n"/>
      <c r="U3983" s="18" t="n">
        <v>108487.88</v>
      </c>
      <c r="V3983" s="18" t="n"/>
      <c r="W3983" s="18" t="n"/>
      <c r="X3983" s="35" t="n">
        <v>13.25</v>
      </c>
      <c r="Y3983" s="35" t="n"/>
    </row>
    <row r="3984">
      <c r="A3984" s="25" t="n">
        <v>44704</v>
      </c>
      <c r="B3984" s="18" t="n">
        <v>110345.82</v>
      </c>
      <c r="C3984" s="31" t="n"/>
      <c r="D3984" s="32" t="n"/>
      <c r="E3984" s="33" t="n">
        <v>2.5998</v>
      </c>
      <c r="F3984" t="inlineStr">
        <is>
          <t>Up</t>
        </is>
      </c>
      <c r="G3984" t="inlineStr">
        <is>
          <t>Up</t>
        </is>
      </c>
      <c r="H3984" t="inlineStr">
        <is>
          <t>EU_JU</t>
        </is>
      </c>
      <c r="I3984" t="inlineStr">
        <is>
          <t>2022-05</t>
        </is>
      </c>
      <c r="J3984" t="n">
        <v>1</v>
      </c>
      <c r="K3984" t="n">
        <v>1</v>
      </c>
      <c r="L3984" s="34">
        <f>IF($J3984=1,LN(B3985/B3984),"")</f>
        <v/>
      </c>
      <c r="M3984" s="34">
        <f>IF($K3984=1,INDEX(Mensal!$D$2:$D$245,MATCH($I3984,Mensal!$A$2:$A$245,0)),"")</f>
        <v/>
      </c>
      <c r="N3984" s="34">
        <f>IF($K3984=1,L3984-M3984,"")</f>
        <v/>
      </c>
      <c r="O3984" s="34" t="n">
        <v>0.00047279</v>
      </c>
      <c r="P3984" s="34">
        <f>IF($J3984=1,LN(1+O3984),"")</f>
        <v/>
      </c>
      <c r="Q3984" s="34">
        <f>IF($J3984=1,LN(R3985/R3984),"")</f>
        <v/>
      </c>
      <c r="R3984" s="32" t="n">
        <v>4.7973</v>
      </c>
      <c r="S3984" s="35" t="n">
        <v>13.25</v>
      </c>
      <c r="T3984" s="18" t="n"/>
      <c r="U3984" s="18" t="n">
        <v>110345.82</v>
      </c>
      <c r="V3984" s="18" t="n"/>
      <c r="W3984" s="18" t="n"/>
      <c r="X3984" s="35" t="n">
        <v>13.25</v>
      </c>
      <c r="Y3984" s="35" t="n"/>
    </row>
    <row r="3985">
      <c r="A3985" s="25" t="n">
        <v>44705</v>
      </c>
      <c r="B3985" s="18" t="n">
        <v>110580.79</v>
      </c>
      <c r="C3985" s="31" t="n"/>
      <c r="D3985" s="32" t="n"/>
      <c r="E3985" s="33" t="n">
        <v>2.5946</v>
      </c>
      <c r="F3985" t="inlineStr">
        <is>
          <t>Up</t>
        </is>
      </c>
      <c r="G3985" t="inlineStr">
        <is>
          <t>Up</t>
        </is>
      </c>
      <c r="H3985" t="inlineStr">
        <is>
          <t>EU_JU</t>
        </is>
      </c>
      <c r="I3985" t="inlineStr">
        <is>
          <t>2022-05</t>
        </is>
      </c>
      <c r="J3985" t="n">
        <v>1</v>
      </c>
      <c r="K3985" t="n">
        <v>1</v>
      </c>
      <c r="L3985" s="34">
        <f>IF($J3985=1,LN(B3986/B3985),"")</f>
        <v/>
      </c>
      <c r="M3985" s="34">
        <f>IF($K3985=1,INDEX(Mensal!$D$2:$D$245,MATCH($I3985,Mensal!$A$2:$A$245,0)),"")</f>
        <v/>
      </c>
      <c r="N3985" s="34">
        <f>IF($K3985=1,L3985-M3985,"")</f>
        <v/>
      </c>
      <c r="O3985" s="34" t="n">
        <v>0.00047279</v>
      </c>
      <c r="P3985" s="34">
        <f>IF($J3985=1,LN(1+O3985),"")</f>
        <v/>
      </c>
      <c r="Q3985" s="34">
        <f>IF($J3985=1,LN(R3986/R3985),"")</f>
        <v/>
      </c>
      <c r="R3985" s="32" t="n">
        <v>4.8106</v>
      </c>
      <c r="S3985" s="35" t="n">
        <v>13.45</v>
      </c>
      <c r="T3985" s="18" t="n"/>
      <c r="U3985" s="18" t="n">
        <v>110580.79</v>
      </c>
      <c r="V3985" s="18" t="n"/>
      <c r="W3985" s="18" t="n"/>
      <c r="X3985" s="35" t="n">
        <v>13.45</v>
      </c>
      <c r="Y3985" s="35" t="n"/>
    </row>
    <row r="3986">
      <c r="A3986" s="25" t="n">
        <v>44706</v>
      </c>
      <c r="B3986" s="18" t="n">
        <v>110579.81</v>
      </c>
      <c r="C3986" s="31" t="n"/>
      <c r="D3986" s="32" t="n"/>
      <c r="E3986" s="33" t="n">
        <v>2.5872</v>
      </c>
      <c r="F3986" t="inlineStr">
        <is>
          <t>Up</t>
        </is>
      </c>
      <c r="G3986" t="inlineStr">
        <is>
          <t>Up</t>
        </is>
      </c>
      <c r="H3986" t="inlineStr">
        <is>
          <t>EU_JU</t>
        </is>
      </c>
      <c r="I3986" t="inlineStr">
        <is>
          <t>2022-05</t>
        </is>
      </c>
      <c r="J3986" t="n">
        <v>1</v>
      </c>
      <c r="K3986" t="n">
        <v>1</v>
      </c>
      <c r="L3986" s="34">
        <f>IF($J3986=1,LN(B3987/B3986),"")</f>
        <v/>
      </c>
      <c r="M3986" s="34">
        <f>IF($K3986=1,INDEX(Mensal!$D$2:$D$245,MATCH($I3986,Mensal!$A$2:$A$245,0)),"")</f>
        <v/>
      </c>
      <c r="N3986" s="34">
        <f>IF($K3986=1,L3986-M3986,"")</f>
        <v/>
      </c>
      <c r="O3986" s="34" t="n">
        <v>0.00047279</v>
      </c>
      <c r="P3986" s="34">
        <f>IF($J3986=1,LN(1+O3986),"")</f>
        <v/>
      </c>
      <c r="Q3986" s="34">
        <f>IF($J3986=1,LN(R3987/R3986),"")</f>
        <v/>
      </c>
      <c r="R3986" s="32" t="n">
        <v>4.8359</v>
      </c>
      <c r="S3986" s="35" t="n">
        <v>13.45</v>
      </c>
      <c r="T3986" s="18" t="n"/>
      <c r="U3986" s="18" t="n">
        <v>110579.81</v>
      </c>
      <c r="V3986" s="18" t="n"/>
      <c r="W3986" s="18" t="n"/>
      <c r="X3986" s="35" t="n">
        <v>13.45</v>
      </c>
      <c r="Y3986" s="35" t="n"/>
    </row>
    <row r="3987">
      <c r="A3987" s="25" t="n">
        <v>44707</v>
      </c>
      <c r="B3987" s="18" t="n">
        <v>111889.88</v>
      </c>
      <c r="C3987" s="31" t="n"/>
      <c r="D3987" s="32" t="n"/>
      <c r="E3987" s="33" t="n">
        <v>2.5851</v>
      </c>
      <c r="F3987" t="inlineStr">
        <is>
          <t>Up</t>
        </is>
      </c>
      <c r="G3987" t="inlineStr">
        <is>
          <t>Up</t>
        </is>
      </c>
      <c r="H3987" t="inlineStr">
        <is>
          <t>EU_JU</t>
        </is>
      </c>
      <c r="I3987" t="inlineStr">
        <is>
          <t>2022-05</t>
        </is>
      </c>
      <c r="J3987" t="n">
        <v>1</v>
      </c>
      <c r="K3987" t="n">
        <v>1</v>
      </c>
      <c r="L3987" s="34">
        <f>IF($J3987=1,LN(B3988/B3987),"")</f>
        <v/>
      </c>
      <c r="M3987" s="34">
        <f>IF($K3987=1,INDEX(Mensal!$D$2:$D$245,MATCH($I3987,Mensal!$A$2:$A$245,0)),"")</f>
        <v/>
      </c>
      <c r="N3987" s="34">
        <f>IF($K3987=1,L3987-M3987,"")</f>
        <v/>
      </c>
      <c r="O3987" s="34" t="n">
        <v>0.00047279</v>
      </c>
      <c r="P3987" s="34">
        <f>IF($J3987=1,LN(1+O3987),"")</f>
        <v/>
      </c>
      <c r="Q3987" s="34">
        <f>IF($J3987=1,LN(R3988/R3987),"")</f>
        <v/>
      </c>
      <c r="R3987" s="32" t="n">
        <v>4.7967</v>
      </c>
      <c r="S3987" s="35" t="n">
        <v>13.34</v>
      </c>
      <c r="T3987" s="18" t="n"/>
      <c r="U3987" s="18" t="n">
        <v>111889.88</v>
      </c>
      <c r="V3987" s="18" t="n"/>
      <c r="W3987" s="18" t="n"/>
      <c r="X3987" s="35" t="n">
        <v>13.34</v>
      </c>
      <c r="Y3987" s="35" t="n"/>
    </row>
    <row r="3988">
      <c r="A3988" s="25" t="n">
        <v>44708</v>
      </c>
      <c r="B3988" s="18" t="n">
        <v>111941.68</v>
      </c>
      <c r="C3988" s="31" t="n"/>
      <c r="D3988" s="32" t="n"/>
      <c r="E3988" s="33" t="n">
        <v>2.5726</v>
      </c>
      <c r="F3988" t="inlineStr">
        <is>
          <t>Up</t>
        </is>
      </c>
      <c r="G3988" t="inlineStr">
        <is>
          <t>Up</t>
        </is>
      </c>
      <c r="H3988" t="inlineStr">
        <is>
          <t>EU_JU</t>
        </is>
      </c>
      <c r="I3988" t="inlineStr">
        <is>
          <t>2022-05</t>
        </is>
      </c>
      <c r="J3988" t="n">
        <v>1</v>
      </c>
      <c r="K3988" t="n">
        <v>1</v>
      </c>
      <c r="L3988" s="34">
        <f>IF($J3988=1,LN(B3989/B3988),"")</f>
        <v/>
      </c>
      <c r="M3988" s="34">
        <f>IF($K3988=1,INDEX(Mensal!$D$2:$D$245,MATCH($I3988,Mensal!$A$2:$A$245,0)),"")</f>
        <v/>
      </c>
      <c r="N3988" s="34">
        <f>IF($K3988=1,L3988-M3988,"")</f>
        <v/>
      </c>
      <c r="O3988" s="34" t="n">
        <v>0.00047279</v>
      </c>
      <c r="P3988" s="34">
        <f>IF($J3988=1,LN(1+O3988),"")</f>
        <v/>
      </c>
      <c r="Q3988" s="34">
        <f>IF($J3988=1,LN(R3989/R3988),"")</f>
        <v/>
      </c>
      <c r="R3988" s="32" t="n">
        <v>4.7434</v>
      </c>
      <c r="S3988" s="35" t="n">
        <v>13.33</v>
      </c>
      <c r="T3988" s="18" t="n"/>
      <c r="U3988" s="18" t="n">
        <v>111941.68</v>
      </c>
      <c r="V3988" s="18" t="n"/>
      <c r="W3988" s="18" t="n"/>
      <c r="X3988" s="35" t="n">
        <v>13.33</v>
      </c>
      <c r="Y3988" s="35" t="n"/>
    </row>
    <row r="3989">
      <c r="A3989" s="25" t="n">
        <v>44711</v>
      </c>
      <c r="B3989" s="18" t="n">
        <v>111032.11</v>
      </c>
      <c r="C3989" s="31" t="n"/>
      <c r="D3989" s="32" t="n"/>
      <c r="E3989" s="33" t="n">
        <v>2.5487</v>
      </c>
      <c r="F3989" t="inlineStr">
        <is>
          <t>Up</t>
        </is>
      </c>
      <c r="G3989" t="inlineStr">
        <is>
          <t>Up</t>
        </is>
      </c>
      <c r="H3989" t="inlineStr">
        <is>
          <t>EU_JU</t>
        </is>
      </c>
      <c r="I3989" t="inlineStr">
        <is>
          <t>2022-05</t>
        </is>
      </c>
      <c r="J3989" t="n">
        <v>1</v>
      </c>
      <c r="K3989" t="n">
        <v>1</v>
      </c>
      <c r="L3989" s="34">
        <f>IF($J3989=1,LN(B3990/B3989),"")</f>
        <v/>
      </c>
      <c r="M3989" s="34">
        <f>IF($K3989=1,INDEX(Mensal!$D$2:$D$245,MATCH($I3989,Mensal!$A$2:$A$245,0)),"")</f>
        <v/>
      </c>
      <c r="N3989" s="34">
        <f>IF($K3989=1,L3989-M3989,"")</f>
        <v/>
      </c>
      <c r="O3989" s="34" t="n">
        <v>0.00047279</v>
      </c>
      <c r="P3989" s="34">
        <f>IF($J3989=1,LN(1+O3989),"")</f>
        <v/>
      </c>
      <c r="Q3989" s="34">
        <f>IF($J3989=1,LN(R3990/R3989),"")</f>
        <v/>
      </c>
      <c r="R3989" s="32" t="n">
        <v>4.7216</v>
      </c>
      <c r="S3989" s="35" t="n">
        <v>13.46</v>
      </c>
      <c r="T3989" s="18" t="n"/>
      <c r="U3989" s="18" t="n">
        <v>111032.11</v>
      </c>
      <c r="V3989" s="18" t="n"/>
      <c r="W3989" s="18" t="n"/>
      <c r="X3989" s="35" t="n">
        <v>13.46</v>
      </c>
      <c r="Y3989" s="35" t="n"/>
    </row>
    <row r="3990">
      <c r="A3990" s="25" t="n">
        <v>44712</v>
      </c>
      <c r="B3990" s="18" t="n">
        <v>111350.51</v>
      </c>
      <c r="C3990" s="31" t="n"/>
      <c r="D3990" s="32" t="n"/>
      <c r="E3990" s="33" t="n">
        <v>2.5066</v>
      </c>
      <c r="F3990" t="inlineStr">
        <is>
          <t>Up</t>
        </is>
      </c>
      <c r="G3990" t="inlineStr">
        <is>
          <t>Up</t>
        </is>
      </c>
      <c r="H3990" t="inlineStr">
        <is>
          <t>EU_JU</t>
        </is>
      </c>
      <c r="I3990" t="inlineStr">
        <is>
          <t>2022-05</t>
        </is>
      </c>
      <c r="J3990" t="n">
        <v>1</v>
      </c>
      <c r="K3990" t="n">
        <v>1</v>
      </c>
      <c r="L3990" s="34">
        <f>IF($J3990=1,LN(B3991/B3990),"")</f>
        <v/>
      </c>
      <c r="M3990" s="34">
        <f>IF($K3990=1,INDEX(Mensal!$D$2:$D$245,MATCH($I3990,Mensal!$A$2:$A$245,0)),"")</f>
        <v/>
      </c>
      <c r="N3990" s="34">
        <f>IF($K3990=1,L3990-M3990,"")</f>
        <v/>
      </c>
      <c r="O3990" s="34" t="n">
        <v>0.00047279</v>
      </c>
      <c r="P3990" s="34">
        <f>IF($J3990=1,LN(1+O3990),"")</f>
        <v/>
      </c>
      <c r="Q3990" s="34">
        <f>IF($J3990=1,LN(R3991/R3990),"")</f>
        <v/>
      </c>
      <c r="R3990" s="32" t="n">
        <v>4.7289</v>
      </c>
      <c r="S3990" s="35" t="n">
        <v>13.39</v>
      </c>
      <c r="T3990" s="18" t="n"/>
      <c r="U3990" s="18" t="n">
        <v>111350.51</v>
      </c>
      <c r="V3990" s="18" t="n"/>
      <c r="W3990" s="18" t="n"/>
      <c r="X3990" s="35" t="n">
        <v>13.39</v>
      </c>
      <c r="Y3990" s="35" t="n"/>
    </row>
    <row r="3991">
      <c r="A3991" s="25" t="n">
        <v>44713</v>
      </c>
      <c r="B3991" s="18" t="n">
        <v>111359.94</v>
      </c>
      <c r="C3991" s="31" t="n"/>
      <c r="D3991" s="32" t="n"/>
      <c r="E3991" s="33" t="n">
        <v>2.4598</v>
      </c>
      <c r="F3991" t="inlineStr">
        <is>
          <t>Up</t>
        </is>
      </c>
      <c r="G3991" t="inlineStr">
        <is>
          <t>Up</t>
        </is>
      </c>
      <c r="H3991" t="inlineStr">
        <is>
          <t>EU_JU</t>
        </is>
      </c>
      <c r="I3991" t="inlineStr">
        <is>
          <t>2022-06</t>
        </is>
      </c>
      <c r="J3991" t="n">
        <v>1</v>
      </c>
      <c r="K3991" t="n">
        <v>1</v>
      </c>
      <c r="L3991" s="34">
        <f>IF($J3991=1,LN(B3992/B3991),"")</f>
        <v/>
      </c>
      <c r="M3991" s="34">
        <f>IF($K3991=1,INDEX(Mensal!$D$2:$D$245,MATCH($I3991,Mensal!$A$2:$A$245,0)),"")</f>
        <v/>
      </c>
      <c r="N3991" s="34">
        <f>IF($K3991=1,L3991-M3991,"")</f>
        <v/>
      </c>
      <c r="O3991" s="34" t="n">
        <v>0.00047279</v>
      </c>
      <c r="P3991" s="34">
        <f>IF($J3991=1,LN(1+O3991),"")</f>
        <v/>
      </c>
      <c r="Q3991" s="34">
        <f>IF($J3991=1,LN(R3992/R3991),"")</f>
        <v/>
      </c>
      <c r="R3991" s="32" t="n">
        <v>4.7765</v>
      </c>
      <c r="S3991" s="35" t="n">
        <v>13.43</v>
      </c>
      <c r="T3991" s="18" t="n"/>
      <c r="U3991" s="18" t="n">
        <v>111359.94</v>
      </c>
      <c r="V3991" s="18" t="n"/>
      <c r="W3991" s="18" t="n"/>
      <c r="X3991" s="35" t="n">
        <v>13.43</v>
      </c>
      <c r="Y3991" s="35" t="n"/>
    </row>
    <row r="3992">
      <c r="A3992" s="25" t="n">
        <v>44714</v>
      </c>
      <c r="B3992" s="18" t="n">
        <v>112392.91</v>
      </c>
      <c r="C3992" s="31" t="n"/>
      <c r="D3992" s="32" t="n"/>
      <c r="E3992" s="33" t="n">
        <v>2.4067</v>
      </c>
      <c r="F3992" t="inlineStr">
        <is>
          <t>Up</t>
        </is>
      </c>
      <c r="G3992" t="inlineStr">
        <is>
          <t>Up</t>
        </is>
      </c>
      <c r="H3992" t="inlineStr">
        <is>
          <t>EU_JU</t>
        </is>
      </c>
      <c r="I3992" t="inlineStr">
        <is>
          <t>2022-06</t>
        </is>
      </c>
      <c r="J3992" t="n">
        <v>1</v>
      </c>
      <c r="K3992" t="n">
        <v>1</v>
      </c>
      <c r="L3992" s="34">
        <f>IF($J3992=1,LN(B3993/B3992),"")</f>
        <v/>
      </c>
      <c r="M3992" s="34">
        <f>IF($K3992=1,INDEX(Mensal!$D$2:$D$245,MATCH($I3992,Mensal!$A$2:$A$245,0)),"")</f>
        <v/>
      </c>
      <c r="N3992" s="34">
        <f>IF($K3992=1,L3992-M3992,"")</f>
        <v/>
      </c>
      <c r="O3992" s="34" t="n">
        <v>0.00047279</v>
      </c>
      <c r="P3992" s="34">
        <f>IF($J3992=1,LN(1+O3992),"")</f>
        <v/>
      </c>
      <c r="Q3992" s="34">
        <f>IF($J3992=1,LN(R3993/R3992),"")</f>
        <v/>
      </c>
      <c r="R3992" s="32" t="n">
        <v>4.7879</v>
      </c>
      <c r="S3992" s="35" t="n">
        <v>13.49</v>
      </c>
      <c r="T3992" s="18" t="n"/>
      <c r="U3992" s="18" t="n">
        <v>112392.91</v>
      </c>
      <c r="V3992" s="18" t="n"/>
      <c r="W3992" s="18" t="n"/>
      <c r="X3992" s="35" t="n">
        <v>13.49</v>
      </c>
      <c r="Y3992" s="35" t="n"/>
    </row>
    <row r="3993">
      <c r="A3993" s="25" t="n">
        <v>44715</v>
      </c>
      <c r="B3993" s="18" t="n">
        <v>111102.32</v>
      </c>
      <c r="C3993" s="31" t="n"/>
      <c r="D3993" s="32" t="n"/>
      <c r="E3993" s="33" t="n">
        <v>2.3485</v>
      </c>
      <c r="F3993" t="inlineStr">
        <is>
          <t>Up</t>
        </is>
      </c>
      <c r="G3993" t="inlineStr">
        <is>
          <t>Up</t>
        </is>
      </c>
      <c r="H3993" t="inlineStr">
        <is>
          <t>EU_JU</t>
        </is>
      </c>
      <c r="I3993" t="inlineStr">
        <is>
          <t>2022-06</t>
        </is>
      </c>
      <c r="J3993" t="n">
        <v>1</v>
      </c>
      <c r="K3993" t="n">
        <v>1</v>
      </c>
      <c r="L3993" s="34">
        <f>IF($J3993=1,LN(B3994/B3993),"")</f>
        <v/>
      </c>
      <c r="M3993" s="34">
        <f>IF($K3993=1,INDEX(Mensal!$D$2:$D$245,MATCH($I3993,Mensal!$A$2:$A$245,0)),"")</f>
        <v/>
      </c>
      <c r="N3993" s="34">
        <f>IF($K3993=1,L3993-M3993,"")</f>
        <v/>
      </c>
      <c r="O3993" s="34" t="n">
        <v>0.00047279</v>
      </c>
      <c r="P3993" s="34">
        <f>IF($J3993=1,LN(1+O3993),"")</f>
        <v/>
      </c>
      <c r="Q3993" s="34">
        <f>IF($J3993=1,LN(R3994/R3993),"")</f>
        <v/>
      </c>
      <c r="R3993" s="32" t="n">
        <v>4.7956</v>
      </c>
      <c r="S3993" s="35" t="n">
        <v>13.46</v>
      </c>
      <c r="T3993" s="18" t="n"/>
      <c r="U3993" s="18" t="n">
        <v>111102.32</v>
      </c>
      <c r="V3993" s="18" t="n"/>
      <c r="W3993" s="18" t="n"/>
      <c r="X3993" s="35" t="n">
        <v>13.46</v>
      </c>
      <c r="Y3993" s="35" t="n"/>
    </row>
    <row r="3994">
      <c r="A3994" s="25" t="n">
        <v>44718</v>
      </c>
      <c r="B3994" s="18" t="n">
        <v>110185.91</v>
      </c>
      <c r="C3994" s="31" t="n"/>
      <c r="D3994" s="32" t="n"/>
      <c r="E3994" s="33" t="n">
        <v>2.3136</v>
      </c>
      <c r="F3994" t="inlineStr">
        <is>
          <t>Up</t>
        </is>
      </c>
      <c r="G3994" t="inlineStr">
        <is>
          <t>Up</t>
        </is>
      </c>
      <c r="H3994" t="inlineStr">
        <is>
          <t>EU_JU</t>
        </is>
      </c>
      <c r="I3994" t="inlineStr">
        <is>
          <t>2022-06</t>
        </is>
      </c>
      <c r="J3994" t="n">
        <v>1</v>
      </c>
      <c r="K3994" t="n">
        <v>1</v>
      </c>
      <c r="L3994" s="34">
        <f>IF($J3994=1,LN(B3995/B3994),"")</f>
        <v/>
      </c>
      <c r="M3994" s="34">
        <f>IF($K3994=1,INDEX(Mensal!$D$2:$D$245,MATCH($I3994,Mensal!$A$2:$A$245,0)),"")</f>
        <v/>
      </c>
      <c r="N3994" s="34">
        <f>IF($K3994=1,L3994-M3994,"")</f>
        <v/>
      </c>
      <c r="O3994" s="34" t="n">
        <v>0.00047279</v>
      </c>
      <c r="P3994" s="34">
        <f>IF($J3994=1,LN(1+O3994),"")</f>
        <v/>
      </c>
      <c r="Q3994" s="34">
        <f>IF($J3994=1,LN(R3995/R3994),"")</f>
        <v/>
      </c>
      <c r="R3994" s="32" t="n">
        <v>4.7839</v>
      </c>
      <c r="S3994" s="35" t="n">
        <v>13.48</v>
      </c>
      <c r="T3994" s="18" t="n"/>
      <c r="U3994" s="18" t="n">
        <v>110185.91</v>
      </c>
      <c r="V3994" s="18" t="n"/>
      <c r="W3994" s="18" t="n"/>
      <c r="X3994" s="35" t="n">
        <v>13.48</v>
      </c>
      <c r="Y3994" s="35" t="n"/>
    </row>
    <row r="3995">
      <c r="A3995" s="25" t="n">
        <v>44719</v>
      </c>
      <c r="B3995" s="18" t="n">
        <v>110069.76</v>
      </c>
      <c r="C3995" s="31" t="n"/>
      <c r="D3995" s="32" t="n"/>
      <c r="E3995" s="33" t="n">
        <v>2.2854</v>
      </c>
      <c r="F3995" t="inlineStr">
        <is>
          <t>Up</t>
        </is>
      </c>
      <c r="G3995" t="inlineStr">
        <is>
          <t>Up</t>
        </is>
      </c>
      <c r="H3995" t="inlineStr">
        <is>
          <t>EU_JU</t>
        </is>
      </c>
      <c r="I3995" t="inlineStr">
        <is>
          <t>2022-06</t>
        </is>
      </c>
      <c r="J3995" t="n">
        <v>1</v>
      </c>
      <c r="K3995" t="n">
        <v>1</v>
      </c>
      <c r="L3995" s="34">
        <f>IF($J3995=1,LN(B3996/B3995),"")</f>
        <v/>
      </c>
      <c r="M3995" s="34">
        <f>IF($K3995=1,INDEX(Mensal!$D$2:$D$245,MATCH($I3995,Mensal!$A$2:$A$245,0)),"")</f>
        <v/>
      </c>
      <c r="N3995" s="34">
        <f>IF($K3995=1,L3995-M3995,"")</f>
        <v/>
      </c>
      <c r="O3995" s="34" t="n">
        <v>0.00047279</v>
      </c>
      <c r="P3995" s="34">
        <f>IF($J3995=1,LN(1+O3995),"")</f>
        <v/>
      </c>
      <c r="Q3995" s="34">
        <f>IF($J3995=1,LN(R3996/R3995),"")</f>
        <v/>
      </c>
      <c r="R3995" s="32" t="n">
        <v>4.8909</v>
      </c>
      <c r="S3995" s="35" t="n">
        <v>13.55</v>
      </c>
      <c r="T3995" s="18" t="n"/>
      <c r="U3995" s="18" t="n">
        <v>110069.76</v>
      </c>
      <c r="V3995" s="18" t="n"/>
      <c r="W3995" s="18" t="n"/>
      <c r="X3995" s="35" t="n">
        <v>13.55</v>
      </c>
      <c r="Y3995" s="35" t="n"/>
    </row>
    <row r="3996">
      <c r="A3996" s="25" t="n">
        <v>44720</v>
      </c>
      <c r="B3996" s="18" t="n">
        <v>108367.67</v>
      </c>
      <c r="C3996" s="31" t="n"/>
      <c r="D3996" s="32" t="n"/>
      <c r="E3996" s="33" t="n">
        <v>2.2579</v>
      </c>
      <c r="F3996" t="inlineStr">
        <is>
          <t>Up</t>
        </is>
      </c>
      <c r="G3996" t="inlineStr">
        <is>
          <t>Up</t>
        </is>
      </c>
      <c r="H3996" t="inlineStr">
        <is>
          <t>EU_JU</t>
        </is>
      </c>
      <c r="I3996" t="inlineStr">
        <is>
          <t>2022-06</t>
        </is>
      </c>
      <c r="J3996" t="n">
        <v>1</v>
      </c>
      <c r="K3996" t="n">
        <v>1</v>
      </c>
      <c r="L3996" s="34">
        <f>IF($J3996=1,LN(B3997/B3996),"")</f>
        <v/>
      </c>
      <c r="M3996" s="34">
        <f>IF($K3996=1,INDEX(Mensal!$D$2:$D$245,MATCH($I3996,Mensal!$A$2:$A$245,0)),"")</f>
        <v/>
      </c>
      <c r="N3996" s="34">
        <f>IF($K3996=1,L3996-M3996,"")</f>
        <v/>
      </c>
      <c r="O3996" s="34" t="n">
        <v>0.00047279</v>
      </c>
      <c r="P3996" s="34">
        <f>IF($J3996=1,LN(1+O3996),"")</f>
        <v/>
      </c>
      <c r="Q3996" s="34">
        <f>IF($J3996=1,LN(R3997/R3996),"")</f>
        <v/>
      </c>
      <c r="R3996" s="32" t="n">
        <v>4.8711</v>
      </c>
      <c r="S3996" s="35" t="n">
        <v>13.54</v>
      </c>
      <c r="T3996" s="18" t="n"/>
      <c r="U3996" s="18" t="n">
        <v>108367.67</v>
      </c>
      <c r="V3996" s="18" t="n"/>
      <c r="W3996" s="18" t="n"/>
      <c r="X3996" s="35" t="n">
        <v>13.54</v>
      </c>
      <c r="Y3996" s="35" t="n"/>
    </row>
    <row r="3997">
      <c r="A3997" s="25" t="n">
        <v>44721</v>
      </c>
      <c r="B3997" s="18" t="n">
        <v>107093.71</v>
      </c>
      <c r="C3997" s="31" t="n"/>
      <c r="D3997" s="32" t="n"/>
      <c r="E3997" s="33" t="n">
        <v>2.2325</v>
      </c>
      <c r="F3997" t="inlineStr">
        <is>
          <t>Up</t>
        </is>
      </c>
      <c r="G3997" t="inlineStr">
        <is>
          <t>Up</t>
        </is>
      </c>
      <c r="H3997" t="inlineStr">
        <is>
          <t>EU_JU</t>
        </is>
      </c>
      <c r="I3997" t="inlineStr">
        <is>
          <t>2022-06</t>
        </is>
      </c>
      <c r="J3997" t="n">
        <v>1</v>
      </c>
      <c r="K3997" t="n">
        <v>1</v>
      </c>
      <c r="L3997" s="34">
        <f>IF($J3997=1,LN(B3998/B3997),"")</f>
        <v/>
      </c>
      <c r="M3997" s="34">
        <f>IF($K3997=1,INDEX(Mensal!$D$2:$D$245,MATCH($I3997,Mensal!$A$2:$A$245,0)),"")</f>
        <v/>
      </c>
      <c r="N3997" s="34">
        <f>IF($K3997=1,L3997-M3997,"")</f>
        <v/>
      </c>
      <c r="O3997" s="34" t="n">
        <v>0.00047279</v>
      </c>
      <c r="P3997" s="34">
        <f>IF($J3997=1,LN(1+O3997),"")</f>
        <v/>
      </c>
      <c r="Q3997" s="34">
        <f>IF($J3997=1,LN(R3998/R3997),"")</f>
        <v/>
      </c>
      <c r="R3997" s="32" t="n">
        <v>4.8951</v>
      </c>
      <c r="S3997" s="35" t="n">
        <v>13.36</v>
      </c>
      <c r="T3997" s="18" t="n"/>
      <c r="U3997" s="18" t="n">
        <v>107093.71</v>
      </c>
      <c r="V3997" s="18" t="n"/>
      <c r="W3997" s="18" t="n"/>
      <c r="X3997" s="35" t="n">
        <v>13.36</v>
      </c>
      <c r="Y3997" s="35" t="n"/>
    </row>
    <row r="3998">
      <c r="A3998" s="25" t="n">
        <v>44722</v>
      </c>
      <c r="B3998" s="18" t="n">
        <v>105481.23</v>
      </c>
      <c r="C3998" s="31" t="n"/>
      <c r="D3998" s="32" t="n"/>
      <c r="E3998" s="33" t="n">
        <v>2.2008</v>
      </c>
      <c r="F3998" t="inlineStr">
        <is>
          <t>Up</t>
        </is>
      </c>
      <c r="G3998" t="inlineStr">
        <is>
          <t>Up</t>
        </is>
      </c>
      <c r="H3998" t="inlineStr">
        <is>
          <t>EU_JU</t>
        </is>
      </c>
      <c r="I3998" t="inlineStr">
        <is>
          <t>2022-06</t>
        </is>
      </c>
      <c r="J3998" t="n">
        <v>1</v>
      </c>
      <c r="K3998" t="n">
        <v>1</v>
      </c>
      <c r="L3998" s="34">
        <f>IF($J3998=1,LN(B3999/B3998),"")</f>
        <v/>
      </c>
      <c r="M3998" s="34">
        <f>IF($K3998=1,INDEX(Mensal!$D$2:$D$245,MATCH($I3998,Mensal!$A$2:$A$245,0)),"")</f>
        <v/>
      </c>
      <c r="N3998" s="34">
        <f>IF($K3998=1,L3998-M3998,"")</f>
        <v/>
      </c>
      <c r="O3998" s="34" t="n">
        <v>0.00047279</v>
      </c>
      <c r="P3998" s="34">
        <f>IF($J3998=1,LN(1+O3998),"")</f>
        <v/>
      </c>
      <c r="Q3998" s="34">
        <f>IF($J3998=1,LN(R3999/R3998),"")</f>
        <v/>
      </c>
      <c r="R3998" s="32" t="n">
        <v>4.9836</v>
      </c>
      <c r="S3998" s="35" t="n">
        <v>13.34</v>
      </c>
      <c r="T3998" s="18" t="n"/>
      <c r="U3998" s="18" t="n">
        <v>105481.23</v>
      </c>
      <c r="V3998" s="18" t="n"/>
      <c r="W3998" s="18" t="n"/>
      <c r="X3998" s="35" t="n">
        <v>13.34</v>
      </c>
      <c r="Y3998" s="35" t="n"/>
    </row>
    <row r="3999">
      <c r="A3999" s="25" t="n">
        <v>44725</v>
      </c>
      <c r="B3999" s="18" t="n">
        <v>102598.18</v>
      </c>
      <c r="C3999" s="31" t="n"/>
      <c r="D3999" s="32" t="n"/>
      <c r="E3999" s="33" t="n">
        <v>2.2049</v>
      </c>
      <c r="F3999" t="inlineStr">
        <is>
          <t>Up</t>
        </is>
      </c>
      <c r="G3999" t="inlineStr">
        <is>
          <t>Up</t>
        </is>
      </c>
      <c r="H3999" t="inlineStr">
        <is>
          <t>EU_JU</t>
        </is>
      </c>
      <c r="I3999" t="inlineStr">
        <is>
          <t>2022-06</t>
        </is>
      </c>
      <c r="J3999" t="n">
        <v>1</v>
      </c>
      <c r="K3999" t="n">
        <v>1</v>
      </c>
      <c r="L3999" s="34">
        <f>IF($J3999=1,LN(B4000/B3999),"")</f>
        <v/>
      </c>
      <c r="M3999" s="34">
        <f>IF($K3999=1,INDEX(Mensal!$D$2:$D$245,MATCH($I3999,Mensal!$A$2:$A$245,0)),"")</f>
        <v/>
      </c>
      <c r="N3999" s="34">
        <f>IF($K3999=1,L3999-M3999,"")</f>
        <v/>
      </c>
      <c r="O3999" s="34" t="n">
        <v>0.00047279</v>
      </c>
      <c r="P3999" s="34">
        <f>IF($J3999=1,LN(1+O3999),"")</f>
        <v/>
      </c>
      <c r="Q3999" s="34">
        <f>IF($J3999=1,LN(R4000/R3999),"")</f>
        <v/>
      </c>
      <c r="R3999" s="32" t="n">
        <v>5.1033</v>
      </c>
      <c r="S3999" s="35" t="n">
        <v>13.58</v>
      </c>
      <c r="T3999" s="18" t="n"/>
      <c r="U3999" s="18" t="n">
        <v>102598.18</v>
      </c>
      <c r="V3999" s="18" t="n"/>
      <c r="W3999" s="18" t="n"/>
      <c r="X3999" s="35" t="n">
        <v>13.58</v>
      </c>
      <c r="Y3999" s="35" t="n"/>
    </row>
    <row r="4000">
      <c r="A4000" s="25" t="n">
        <v>44726</v>
      </c>
      <c r="B4000" s="18" t="n">
        <v>102063.25</v>
      </c>
      <c r="C4000" s="31" t="n"/>
      <c r="D4000" s="32" t="n"/>
      <c r="E4000" s="33" t="n">
        <v>2.2032</v>
      </c>
      <c r="F4000" t="inlineStr">
        <is>
          <t>Up</t>
        </is>
      </c>
      <c r="G4000" t="inlineStr">
        <is>
          <t>Up</t>
        </is>
      </c>
      <c r="H4000" t="inlineStr">
        <is>
          <t>EU_JU</t>
        </is>
      </c>
      <c r="I4000" t="inlineStr">
        <is>
          <t>2022-06</t>
        </is>
      </c>
      <c r="J4000" t="n">
        <v>1</v>
      </c>
      <c r="K4000" t="n">
        <v>1</v>
      </c>
      <c r="L4000" s="34">
        <f>IF($J4000=1,LN(B4001/B4000),"")</f>
        <v/>
      </c>
      <c r="M4000" s="34">
        <f>IF($K4000=1,INDEX(Mensal!$D$2:$D$245,MATCH($I4000,Mensal!$A$2:$A$245,0)),"")</f>
        <v/>
      </c>
      <c r="N4000" s="34">
        <f>IF($K4000=1,L4000-M4000,"")</f>
        <v/>
      </c>
      <c r="O4000" s="34" t="n">
        <v>0.00047279</v>
      </c>
      <c r="P4000" s="34">
        <f>IF($J4000=1,LN(1+O4000),"")</f>
        <v/>
      </c>
      <c r="Q4000" s="34">
        <f>IF($J4000=1,LN(R4001/R4000),"")</f>
        <v/>
      </c>
      <c r="R4000" s="32" t="n">
        <v>5.1203</v>
      </c>
      <c r="S4000" s="35" t="n">
        <v>13.86</v>
      </c>
      <c r="T4000" s="18" t="n"/>
      <c r="U4000" s="18" t="n">
        <v>102063.25</v>
      </c>
      <c r="V4000" s="18" t="n"/>
      <c r="W4000" s="18" t="n"/>
      <c r="X4000" s="35" t="n">
        <v>13.86</v>
      </c>
      <c r="Y4000" s="35" t="n"/>
    </row>
    <row r="4001">
      <c r="A4001" s="25" t="n">
        <v>44727</v>
      </c>
      <c r="B4001" s="18" t="n">
        <v>102806.82</v>
      </c>
      <c r="C4001" s="31" t="n"/>
      <c r="D4001" s="32" t="n"/>
      <c r="E4001" s="33" t="n">
        <v>2.1986</v>
      </c>
      <c r="F4001" t="inlineStr">
        <is>
          <t>Up</t>
        </is>
      </c>
      <c r="G4001" t="inlineStr">
        <is>
          <t>Up</t>
        </is>
      </c>
      <c r="H4001" t="inlineStr">
        <is>
          <t>EU_JU</t>
        </is>
      </c>
      <c r="I4001" t="inlineStr">
        <is>
          <t>2022-06</t>
        </is>
      </c>
      <c r="J4001" t="n">
        <v>1</v>
      </c>
      <c r="K4001" t="n">
        <v>1</v>
      </c>
      <c r="L4001" s="34">
        <f>IF($J4001=1,LN(B4002/B4001),"")</f>
        <v/>
      </c>
      <c r="M4001" s="34">
        <f>IF($K4001=1,INDEX(Mensal!$D$2:$D$245,MATCH($I4001,Mensal!$A$2:$A$245,0)),"")</f>
        <v/>
      </c>
      <c r="N4001" s="34">
        <f>IF($K4001=1,L4001-M4001,"")</f>
        <v/>
      </c>
      <c r="O4001" s="34" t="n">
        <v>0.00047279</v>
      </c>
      <c r="P4001" s="34">
        <f>IF($J4001=1,LN(1+O4001),"")</f>
        <v/>
      </c>
      <c r="Q4001" s="34">
        <f>IF($J4001=1,LN(R4002/R4001),"")</f>
        <v/>
      </c>
      <c r="R4001" s="32" t="n">
        <v>5.1119</v>
      </c>
      <c r="S4001" s="35" t="n">
        <v>13.71</v>
      </c>
      <c r="T4001" s="18" t="n"/>
      <c r="U4001" s="18" t="n">
        <v>102806.82</v>
      </c>
      <c r="V4001" s="18" t="n"/>
      <c r="W4001" s="18" t="n"/>
      <c r="X4001" s="35" t="n">
        <v>13.71</v>
      </c>
      <c r="Y4001" s="35" t="n"/>
    </row>
    <row r="4002">
      <c r="A4002" s="25" t="n">
        <v>44729</v>
      </c>
      <c r="B4002" s="18" t="n">
        <v>99824.94</v>
      </c>
      <c r="C4002" s="31" t="n"/>
      <c r="D4002" s="32" t="n"/>
      <c r="E4002" s="33" t="n">
        <v>2.1878</v>
      </c>
      <c r="F4002" t="inlineStr">
        <is>
          <t>Up</t>
        </is>
      </c>
      <c r="G4002" t="inlineStr">
        <is>
          <t>Up</t>
        </is>
      </c>
      <c r="H4002" t="inlineStr">
        <is>
          <t>EU_JU</t>
        </is>
      </c>
      <c r="I4002" t="inlineStr">
        <is>
          <t>2022-06</t>
        </is>
      </c>
      <c r="J4002" t="n">
        <v>1</v>
      </c>
      <c r="K4002" t="n">
        <v>1</v>
      </c>
      <c r="L4002" s="34">
        <f>IF($J4002=1,LN(B4003/B4002),"")</f>
        <v/>
      </c>
      <c r="M4002" s="34">
        <f>IF($K4002=1,INDEX(Mensal!$D$2:$D$245,MATCH($I4002,Mensal!$A$2:$A$245,0)),"")</f>
        <v/>
      </c>
      <c r="N4002" s="34">
        <f>IF($K4002=1,L4002-M4002,"")</f>
        <v/>
      </c>
      <c r="O4002" s="34" t="n">
        <v>0.00049037</v>
      </c>
      <c r="P4002" s="34">
        <f>IF($J4002=1,LN(1+O4002),"")</f>
        <v/>
      </c>
      <c r="Q4002" s="34">
        <f>IF($J4002=1,LN(R4003/R4002),"")</f>
        <v/>
      </c>
      <c r="R4002" s="32" t="n">
        <v>5.1313</v>
      </c>
      <c r="S4002" s="35" t="n">
        <v>13.63</v>
      </c>
      <c r="T4002" s="18" t="n"/>
      <c r="U4002" s="18" t="n">
        <v>99824.94</v>
      </c>
      <c r="V4002" s="18" t="n"/>
      <c r="W4002" s="18" t="n"/>
      <c r="X4002" s="35" t="n">
        <v>13.63</v>
      </c>
      <c r="Y4002" s="35" t="n"/>
    </row>
    <row r="4003">
      <c r="A4003" s="25" t="n">
        <v>44732</v>
      </c>
      <c r="B4003" s="18" t="n">
        <v>99852.67</v>
      </c>
      <c r="C4003" s="31" t="n"/>
      <c r="D4003" s="32" t="n"/>
      <c r="E4003" s="33" t="n">
        <v>2.1774</v>
      </c>
      <c r="F4003" t="inlineStr">
        <is>
          <t>Up</t>
        </is>
      </c>
      <c r="G4003" t="inlineStr">
        <is>
          <t>Up</t>
        </is>
      </c>
      <c r="H4003" t="inlineStr">
        <is>
          <t>EU_JU</t>
        </is>
      </c>
      <c r="I4003" t="inlineStr">
        <is>
          <t>2022-06</t>
        </is>
      </c>
      <c r="J4003" t="n">
        <v>1</v>
      </c>
      <c r="K4003" t="n">
        <v>1</v>
      </c>
      <c r="L4003" s="34">
        <f>IF($J4003=1,LN(B4004/B4003),"")</f>
        <v/>
      </c>
      <c r="M4003" s="34">
        <f>IF($K4003=1,INDEX(Mensal!$D$2:$D$245,MATCH($I4003,Mensal!$A$2:$A$245,0)),"")</f>
        <v/>
      </c>
      <c r="N4003" s="34">
        <f>IF($K4003=1,L4003-M4003,"")</f>
        <v/>
      </c>
      <c r="O4003" s="34" t="n">
        <v>0.00049037</v>
      </c>
      <c r="P4003" s="34">
        <f>IF($J4003=1,LN(1+O4003),"")</f>
        <v/>
      </c>
      <c r="Q4003" s="34">
        <f>IF($J4003=1,LN(R4004/R4003),"")</f>
        <v/>
      </c>
      <c r="R4003" s="32" t="n">
        <v>5.1641</v>
      </c>
      <c r="S4003" s="35" t="n">
        <v>13.64</v>
      </c>
      <c r="T4003" s="18" t="n"/>
      <c r="U4003" s="18" t="n">
        <v>99852.67</v>
      </c>
      <c r="V4003" s="18" t="n"/>
      <c r="W4003" s="18" t="n"/>
      <c r="X4003" s="35" t="n">
        <v>13.64</v>
      </c>
      <c r="Y4003" s="35" t="n"/>
    </row>
    <row r="4004">
      <c r="A4004" s="25" t="n">
        <v>44733</v>
      </c>
      <c r="B4004" s="18" t="n">
        <v>99684.5</v>
      </c>
      <c r="C4004" s="31" t="n"/>
      <c r="D4004" s="32" t="n"/>
      <c r="E4004" s="33" t="n">
        <v>2.1617</v>
      </c>
      <c r="F4004" t="inlineStr">
        <is>
          <t>Up</t>
        </is>
      </c>
      <c r="G4004" t="inlineStr">
        <is>
          <t>Up</t>
        </is>
      </c>
      <c r="H4004" t="inlineStr">
        <is>
          <t>EU_JU</t>
        </is>
      </c>
      <c r="I4004" t="inlineStr">
        <is>
          <t>2022-06</t>
        </is>
      </c>
      <c r="J4004" t="n">
        <v>1</v>
      </c>
      <c r="K4004" t="n">
        <v>1</v>
      </c>
      <c r="L4004" s="34">
        <f>IF($J4004=1,LN(B4005/B4004),"")</f>
        <v/>
      </c>
      <c r="M4004" s="34">
        <f>IF($K4004=1,INDEX(Mensal!$D$2:$D$245,MATCH($I4004,Mensal!$A$2:$A$245,0)),"")</f>
        <v/>
      </c>
      <c r="N4004" s="34">
        <f>IF($K4004=1,L4004-M4004,"")</f>
        <v/>
      </c>
      <c r="O4004" s="34" t="n">
        <v>0.00049037</v>
      </c>
      <c r="P4004" s="34">
        <f>IF($J4004=1,LN(1+O4004),"")</f>
        <v/>
      </c>
      <c r="Q4004" s="34">
        <f>IF($J4004=1,LN(R4005/R4004),"")</f>
        <v/>
      </c>
      <c r="R4004" s="32" t="n">
        <v>5.1462</v>
      </c>
      <c r="S4004" s="35" t="n">
        <v>13.63</v>
      </c>
      <c r="T4004" s="18" t="n"/>
      <c r="U4004" s="18" t="n">
        <v>99684.5</v>
      </c>
      <c r="V4004" s="18" t="n"/>
      <c r="W4004" s="18" t="n"/>
      <c r="X4004" s="35" t="n">
        <v>13.63</v>
      </c>
      <c r="Y4004" s="35" t="n"/>
    </row>
    <row r="4005">
      <c r="A4005" s="25" t="n">
        <v>44734</v>
      </c>
      <c r="B4005" s="18" t="n">
        <v>99522.32000000001</v>
      </c>
      <c r="C4005" s="31" t="n"/>
      <c r="D4005" s="32" t="n"/>
      <c r="E4005" s="33" t="n">
        <v>2.137</v>
      </c>
      <c r="F4005" t="inlineStr">
        <is>
          <t>Up</t>
        </is>
      </c>
      <c r="G4005" t="inlineStr">
        <is>
          <t>Up</t>
        </is>
      </c>
      <c r="H4005" t="inlineStr">
        <is>
          <t>EU_JU</t>
        </is>
      </c>
      <c r="I4005" t="inlineStr">
        <is>
          <t>2022-06</t>
        </is>
      </c>
      <c r="J4005" t="n">
        <v>1</v>
      </c>
      <c r="K4005" t="n">
        <v>1</v>
      </c>
      <c r="L4005" s="34">
        <f>IF($J4005=1,LN(B4006/B4005),"")</f>
        <v/>
      </c>
      <c r="M4005" s="34">
        <f>IF($K4005=1,INDEX(Mensal!$D$2:$D$245,MATCH($I4005,Mensal!$A$2:$A$245,0)),"")</f>
        <v/>
      </c>
      <c r="N4005" s="34">
        <f>IF($K4005=1,L4005-M4005,"")</f>
        <v/>
      </c>
      <c r="O4005" s="34" t="n">
        <v>0.00049037</v>
      </c>
      <c r="P4005" s="34">
        <f>IF($J4005=1,LN(1+O4005),"")</f>
        <v/>
      </c>
      <c r="Q4005" s="34">
        <f>IF($J4005=1,LN(R4006/R4005),"")</f>
        <v/>
      </c>
      <c r="R4005" s="32" t="n">
        <v>5.1509</v>
      </c>
      <c r="S4005" s="35" t="n">
        <v>13.6</v>
      </c>
      <c r="T4005" s="18" t="n"/>
      <c r="U4005" s="18" t="n">
        <v>99522.32000000001</v>
      </c>
      <c r="V4005" s="18" t="n"/>
      <c r="W4005" s="18" t="n"/>
      <c r="X4005" s="35" t="n">
        <v>13.6</v>
      </c>
      <c r="Y4005" s="35" t="n"/>
    </row>
    <row r="4006">
      <c r="A4006" s="25" t="n">
        <v>44735</v>
      </c>
      <c r="B4006" s="18" t="n">
        <v>98080.34</v>
      </c>
      <c r="C4006" s="31" t="n"/>
      <c r="D4006" s="32" t="n"/>
      <c r="E4006" s="33" t="n">
        <v>2.1055</v>
      </c>
      <c r="F4006" t="inlineStr">
        <is>
          <t>Up</t>
        </is>
      </c>
      <c r="G4006" t="inlineStr">
        <is>
          <t>Up</t>
        </is>
      </c>
      <c r="H4006" t="inlineStr">
        <is>
          <t>EU_JU</t>
        </is>
      </c>
      <c r="I4006" t="inlineStr">
        <is>
          <t>2022-06</t>
        </is>
      </c>
      <c r="J4006" t="n">
        <v>1</v>
      </c>
      <c r="K4006" t="n">
        <v>1</v>
      </c>
      <c r="L4006" s="34">
        <f>IF($J4006=1,LN(B4007/B4006),"")</f>
        <v/>
      </c>
      <c r="M4006" s="34">
        <f>IF($K4006=1,INDEX(Mensal!$D$2:$D$245,MATCH($I4006,Mensal!$A$2:$A$245,0)),"")</f>
        <v/>
      </c>
      <c r="N4006" s="34">
        <f>IF($K4006=1,L4006-M4006,"")</f>
        <v/>
      </c>
      <c r="O4006" s="34" t="n">
        <v>0.00049037</v>
      </c>
      <c r="P4006" s="34">
        <f>IF($J4006=1,LN(1+O4006),"")</f>
        <v/>
      </c>
      <c r="Q4006" s="34">
        <f>IF($J4006=1,LN(R4007/R4006),"")</f>
        <v/>
      </c>
      <c r="R4006" s="32" t="n">
        <v>5.1833</v>
      </c>
      <c r="S4006" s="35" t="n">
        <v>13.53</v>
      </c>
      <c r="T4006" s="18" t="n"/>
      <c r="U4006" s="18" t="n">
        <v>98080.34</v>
      </c>
      <c r="V4006" s="18" t="n"/>
      <c r="W4006" s="18" t="n"/>
      <c r="X4006" s="35" t="n">
        <v>13.53</v>
      </c>
      <c r="Y4006" s="35" t="n"/>
    </row>
    <row r="4007">
      <c r="A4007" s="25" t="n">
        <v>44736</v>
      </c>
      <c r="B4007" s="18" t="n">
        <v>98672.25999999999</v>
      </c>
      <c r="C4007" s="31" t="n"/>
      <c r="D4007" s="32" t="n"/>
      <c r="E4007" s="33" t="n">
        <v>2.0799</v>
      </c>
      <c r="F4007" t="inlineStr">
        <is>
          <t>Up</t>
        </is>
      </c>
      <c r="G4007" t="inlineStr">
        <is>
          <t>Up</t>
        </is>
      </c>
      <c r="H4007" t="inlineStr">
        <is>
          <t>EU_JU</t>
        </is>
      </c>
      <c r="I4007" t="inlineStr">
        <is>
          <t>2022-06</t>
        </is>
      </c>
      <c r="J4007" t="n">
        <v>1</v>
      </c>
      <c r="K4007" t="n">
        <v>1</v>
      </c>
      <c r="L4007" s="34">
        <f>IF($J4007=1,LN(B4008/B4007),"")</f>
        <v/>
      </c>
      <c r="M4007" s="34">
        <f>IF($K4007=1,INDEX(Mensal!$D$2:$D$245,MATCH($I4007,Mensal!$A$2:$A$245,0)),"")</f>
        <v/>
      </c>
      <c r="N4007" s="34">
        <f>IF($K4007=1,L4007-M4007,"")</f>
        <v/>
      </c>
      <c r="O4007" s="34" t="n">
        <v>0.00049037</v>
      </c>
      <c r="P4007" s="34">
        <f>IF($J4007=1,LN(1+O4007),"")</f>
        <v/>
      </c>
      <c r="Q4007" s="34">
        <f>IF($J4007=1,LN(R4008/R4007),"")</f>
        <v/>
      </c>
      <c r="R4007" s="32" t="n">
        <v>5.2334</v>
      </c>
      <c r="S4007" s="35" t="n">
        <v>13.72</v>
      </c>
      <c r="T4007" s="18" t="n"/>
      <c r="U4007" s="18" t="n">
        <v>98672.25999999999</v>
      </c>
      <c r="V4007" s="18" t="n"/>
      <c r="W4007" s="18" t="n"/>
      <c r="X4007" s="35" t="n">
        <v>13.72</v>
      </c>
      <c r="Y4007" s="35" t="n"/>
    </row>
    <row r="4008">
      <c r="A4008" s="25" t="n">
        <v>44739</v>
      </c>
      <c r="B4008" s="18" t="n">
        <v>100763.6</v>
      </c>
      <c r="C4008" s="31" t="n"/>
      <c r="D4008" s="32" t="n"/>
      <c r="E4008" s="33" t="n">
        <v>2.0633</v>
      </c>
      <c r="F4008" t="inlineStr">
        <is>
          <t>Up</t>
        </is>
      </c>
      <c r="G4008" t="inlineStr">
        <is>
          <t>Up</t>
        </is>
      </c>
      <c r="H4008" t="inlineStr">
        <is>
          <t>EU_JU</t>
        </is>
      </c>
      <c r="I4008" t="inlineStr">
        <is>
          <t>2022-06</t>
        </is>
      </c>
      <c r="J4008" t="n">
        <v>1</v>
      </c>
      <c r="K4008" t="n">
        <v>1</v>
      </c>
      <c r="L4008" s="34">
        <f>IF($J4008=1,LN(B4009/B4008),"")</f>
        <v/>
      </c>
      <c r="M4008" s="34">
        <f>IF($K4008=1,INDEX(Mensal!$D$2:$D$245,MATCH($I4008,Mensal!$A$2:$A$245,0)),"")</f>
        <v/>
      </c>
      <c r="N4008" s="34">
        <f>IF($K4008=1,L4008-M4008,"")</f>
        <v/>
      </c>
      <c r="O4008" s="34" t="n">
        <v>0.00049037</v>
      </c>
      <c r="P4008" s="34">
        <f>IF($J4008=1,LN(1+O4008),"")</f>
        <v/>
      </c>
      <c r="Q4008" s="34">
        <f>IF($J4008=1,LN(R4009/R4008),"")</f>
        <v/>
      </c>
      <c r="R4008" s="32" t="n">
        <v>5.2214</v>
      </c>
      <c r="S4008" s="35" t="n">
        <v>13.74</v>
      </c>
      <c r="T4008" s="18" t="n"/>
      <c r="U4008" s="18" t="n">
        <v>100763.6</v>
      </c>
      <c r="V4008" s="18" t="n"/>
      <c r="W4008" s="18" t="n"/>
      <c r="X4008" s="35" t="n">
        <v>13.74</v>
      </c>
      <c r="Y4008" s="35" t="n"/>
    </row>
    <row r="4009">
      <c r="A4009" s="25" t="n">
        <v>44740</v>
      </c>
      <c r="B4009" s="18" t="n">
        <v>100591.41</v>
      </c>
      <c r="C4009" s="31" t="n"/>
      <c r="D4009" s="32" t="n"/>
      <c r="E4009" s="33" t="n">
        <v>2.0331</v>
      </c>
      <c r="F4009" t="inlineStr">
        <is>
          <t>Up</t>
        </is>
      </c>
      <c r="G4009" t="inlineStr">
        <is>
          <t>Up</t>
        </is>
      </c>
      <c r="H4009" t="inlineStr">
        <is>
          <t>EU_JU</t>
        </is>
      </c>
      <c r="I4009" t="inlineStr">
        <is>
          <t>2022-06</t>
        </is>
      </c>
      <c r="J4009" t="n">
        <v>1</v>
      </c>
      <c r="K4009" t="n">
        <v>1</v>
      </c>
      <c r="L4009" s="34">
        <f>IF($J4009=1,LN(B4010/B4009),"")</f>
        <v/>
      </c>
      <c r="M4009" s="34">
        <f>IF($K4009=1,INDEX(Mensal!$D$2:$D$245,MATCH($I4009,Mensal!$A$2:$A$245,0)),"")</f>
        <v/>
      </c>
      <c r="N4009" s="34">
        <f>IF($K4009=1,L4009-M4009,"")</f>
        <v/>
      </c>
      <c r="O4009" s="34" t="n">
        <v>0.00049037</v>
      </c>
      <c r="P4009" s="34">
        <f>IF($J4009=1,LN(1+O4009),"")</f>
        <v/>
      </c>
      <c r="Q4009" s="34">
        <f>IF($J4009=1,LN(R4010/R4009),"")</f>
        <v/>
      </c>
      <c r="R4009" s="32" t="n">
        <v>5.2179</v>
      </c>
      <c r="S4009" s="35" t="n">
        <v>13.9</v>
      </c>
      <c r="T4009" s="18" t="n"/>
      <c r="U4009" s="18" t="n">
        <v>100591.41</v>
      </c>
      <c r="V4009" s="18" t="n"/>
      <c r="W4009" s="18" t="n"/>
      <c r="X4009" s="35" t="n">
        <v>13.9</v>
      </c>
      <c r="Y4009" s="35" t="n"/>
    </row>
    <row r="4010">
      <c r="A4010" s="25" t="n">
        <v>44741</v>
      </c>
      <c r="B4010" s="18" t="n">
        <v>99621.58</v>
      </c>
      <c r="C4010" s="31" t="n"/>
      <c r="D4010" s="32" t="n"/>
      <c r="E4010" s="33" t="n">
        <v>1.9995</v>
      </c>
      <c r="F4010" t="inlineStr">
        <is>
          <t>Up</t>
        </is>
      </c>
      <c r="G4010" t="inlineStr">
        <is>
          <t>Up</t>
        </is>
      </c>
      <c r="H4010" t="inlineStr">
        <is>
          <t>EU_JU</t>
        </is>
      </c>
      <c r="I4010" t="inlineStr">
        <is>
          <t>2022-06</t>
        </is>
      </c>
      <c r="J4010" t="n">
        <v>1</v>
      </c>
      <c r="K4010" t="n">
        <v>1</v>
      </c>
      <c r="L4010" s="34">
        <f>IF($J4010=1,LN(B4011/B4010),"")</f>
        <v/>
      </c>
      <c r="M4010" s="34">
        <f>IF($K4010=1,INDEX(Mensal!$D$2:$D$245,MATCH($I4010,Mensal!$A$2:$A$245,0)),"")</f>
        <v/>
      </c>
      <c r="N4010" s="34">
        <f>IF($K4010=1,L4010-M4010,"")</f>
        <v/>
      </c>
      <c r="O4010" s="34" t="n">
        <v>0.00049037</v>
      </c>
      <c r="P4010" s="34">
        <f>IF($J4010=1,LN(1+O4010),"")</f>
        <v/>
      </c>
      <c r="Q4010" s="34">
        <f>IF($J4010=1,LN(R4011/R4010),"")</f>
        <v/>
      </c>
      <c r="R4010" s="32" t="n">
        <v>5.2268</v>
      </c>
      <c r="S4010" s="35" t="n">
        <v>13.93</v>
      </c>
      <c r="T4010" s="18" t="n"/>
      <c r="U4010" s="18" t="n">
        <v>99621.58</v>
      </c>
      <c r="V4010" s="18" t="n"/>
      <c r="W4010" s="18" t="n"/>
      <c r="X4010" s="35" t="n">
        <v>13.93</v>
      </c>
      <c r="Y4010" s="35" t="n"/>
    </row>
    <row r="4011">
      <c r="A4011" s="25" t="n">
        <v>44742</v>
      </c>
      <c r="B4011" s="18" t="n">
        <v>98541.95</v>
      </c>
      <c r="C4011" s="31" t="n"/>
      <c r="D4011" s="32" t="n"/>
      <c r="E4011" s="33" t="n">
        <v>1.9598</v>
      </c>
      <c r="F4011" t="inlineStr">
        <is>
          <t>Up</t>
        </is>
      </c>
      <c r="G4011" t="inlineStr">
        <is>
          <t>Up</t>
        </is>
      </c>
      <c r="H4011" t="inlineStr">
        <is>
          <t>EU_JU</t>
        </is>
      </c>
      <c r="I4011" t="inlineStr">
        <is>
          <t>2022-06</t>
        </is>
      </c>
      <c r="J4011" t="n">
        <v>1</v>
      </c>
      <c r="K4011" t="n">
        <v>1</v>
      </c>
      <c r="L4011" s="34">
        <f>IF($J4011=1,LN(B4012/B4011),"")</f>
        <v/>
      </c>
      <c r="M4011" s="34">
        <f>IF($K4011=1,INDEX(Mensal!$D$2:$D$245,MATCH($I4011,Mensal!$A$2:$A$245,0)),"")</f>
        <v/>
      </c>
      <c r="N4011" s="34">
        <f>IF($K4011=1,L4011-M4011,"")</f>
        <v/>
      </c>
      <c r="O4011" s="34" t="n">
        <v>0.00049037</v>
      </c>
      <c r="P4011" s="34">
        <f>IF($J4011=1,LN(1+O4011),"")</f>
        <v/>
      </c>
      <c r="Q4011" s="34">
        <f>IF($J4011=1,LN(R4012/R4011),"")</f>
        <v/>
      </c>
      <c r="R4011" s="32" t="n">
        <v>5.238</v>
      </c>
      <c r="S4011" s="35" t="n">
        <v>13.78</v>
      </c>
      <c r="T4011" s="18" t="n"/>
      <c r="U4011" s="18" t="n">
        <v>98541.95</v>
      </c>
      <c r="V4011" s="18" t="n"/>
      <c r="W4011" s="18" t="n"/>
      <c r="X4011" s="35" t="n">
        <v>13.78</v>
      </c>
      <c r="Y4011" s="35" t="n"/>
    </row>
    <row r="4012">
      <c r="A4012" s="25" t="n">
        <v>44743</v>
      </c>
      <c r="B4012" s="18" t="n">
        <v>98953.89999999999</v>
      </c>
      <c r="C4012" s="31" t="n"/>
      <c r="D4012" s="32" t="n"/>
      <c r="E4012" s="33" t="n">
        <v>1.9261</v>
      </c>
      <c r="F4012" t="inlineStr">
        <is>
          <t>Up</t>
        </is>
      </c>
      <c r="G4012" t="inlineStr">
        <is>
          <t>Up</t>
        </is>
      </c>
      <c r="H4012" t="inlineStr">
        <is>
          <t>EU_JU</t>
        </is>
      </c>
      <c r="I4012" t="inlineStr">
        <is>
          <t>2022-07</t>
        </is>
      </c>
      <c r="J4012" t="n">
        <v>1</v>
      </c>
      <c r="K4012" t="n">
        <v>1</v>
      </c>
      <c r="L4012" s="34">
        <f>IF($J4012=1,LN(B4013/B4012),"")</f>
        <v/>
      </c>
      <c r="M4012" s="34">
        <f>IF($K4012=1,INDEX(Mensal!$D$2:$D$245,MATCH($I4012,Mensal!$A$2:$A$245,0)),"")</f>
        <v/>
      </c>
      <c r="N4012" s="34">
        <f>IF($K4012=1,L4012-M4012,"")</f>
        <v/>
      </c>
      <c r="O4012" s="34" t="n">
        <v>0.00049037</v>
      </c>
      <c r="P4012" s="34">
        <f>IF($J4012=1,LN(1+O4012),"")</f>
        <v/>
      </c>
      <c r="Q4012" s="34">
        <f>IF($J4012=1,LN(R4013/R4012),"")</f>
        <v/>
      </c>
      <c r="R4012" s="32" t="n">
        <v>5.3142</v>
      </c>
      <c r="S4012" s="35" t="n">
        <v>13.71</v>
      </c>
      <c r="T4012" s="18" t="n"/>
      <c r="U4012" s="18" t="n">
        <v>98953.89999999999</v>
      </c>
      <c r="V4012" s="18" t="n"/>
      <c r="W4012" s="18" t="n"/>
      <c r="X4012" s="35" t="n">
        <v>13.71</v>
      </c>
      <c r="Y4012" s="35" t="n"/>
    </row>
    <row r="4013">
      <c r="A4013" s="25" t="n">
        <v>44746</v>
      </c>
      <c r="B4013" s="18" t="n">
        <v>98608.75999999999</v>
      </c>
      <c r="C4013" s="31" t="n"/>
      <c r="D4013" s="32" t="n"/>
      <c r="E4013" s="33" t="n">
        <v>1.8863</v>
      </c>
      <c r="F4013" t="inlineStr">
        <is>
          <t>Up</t>
        </is>
      </c>
      <c r="G4013" t="inlineStr">
        <is>
          <t>Up</t>
        </is>
      </c>
      <c r="H4013" t="inlineStr">
        <is>
          <t>EU_JU</t>
        </is>
      </c>
      <c r="I4013" t="inlineStr">
        <is>
          <t>2022-07</t>
        </is>
      </c>
      <c r="J4013" t="n">
        <v>1</v>
      </c>
      <c r="K4013" t="n">
        <v>1</v>
      </c>
      <c r="L4013" s="34">
        <f>IF($J4013=1,LN(B4014/B4013),"")</f>
        <v/>
      </c>
      <c r="M4013" s="34">
        <f>IF($K4013=1,INDEX(Mensal!$D$2:$D$245,MATCH($I4013,Mensal!$A$2:$A$245,0)),"")</f>
        <v/>
      </c>
      <c r="N4013" s="34">
        <f>IF($K4013=1,L4013-M4013,"")</f>
        <v/>
      </c>
      <c r="O4013" s="34" t="n">
        <v>0.00049037</v>
      </c>
      <c r="P4013" s="34">
        <f>IF($J4013=1,LN(1+O4013),"")</f>
        <v/>
      </c>
      <c r="Q4013" s="34">
        <f>IF($J4013=1,LN(R4014/R4013),"")</f>
        <v/>
      </c>
      <c r="R4013" s="32" t="n">
        <v>5.3038</v>
      </c>
      <c r="S4013" s="35" t="n">
        <v>13.77</v>
      </c>
      <c r="T4013" s="18" t="n"/>
      <c r="U4013" s="18" t="n">
        <v>98608.75999999999</v>
      </c>
      <c r="V4013" s="18" t="n"/>
      <c r="W4013" s="18" t="n"/>
      <c r="X4013" s="35" t="n">
        <v>13.77</v>
      </c>
      <c r="Y4013" s="35" t="n"/>
    </row>
    <row r="4014">
      <c r="A4014" s="25" t="n">
        <v>44747</v>
      </c>
      <c r="B4014" s="18" t="n">
        <v>98294.64</v>
      </c>
      <c r="C4014" s="31" t="n"/>
      <c r="D4014" s="32" t="n"/>
      <c r="E4014" s="33" t="n">
        <v>1.8406</v>
      </c>
      <c r="F4014" t="inlineStr">
        <is>
          <t>Up</t>
        </is>
      </c>
      <c r="G4014" t="inlineStr">
        <is>
          <t>Up</t>
        </is>
      </c>
      <c r="H4014" t="inlineStr">
        <is>
          <t>EU_JU</t>
        </is>
      </c>
      <c r="I4014" t="inlineStr">
        <is>
          <t>2022-07</t>
        </is>
      </c>
      <c r="J4014" t="n">
        <v>1</v>
      </c>
      <c r="K4014" t="n">
        <v>1</v>
      </c>
      <c r="L4014" s="34">
        <f>IF($J4014=1,LN(B4015/B4014),"")</f>
        <v/>
      </c>
      <c r="M4014" s="34">
        <f>IF($K4014=1,INDEX(Mensal!$D$2:$D$245,MATCH($I4014,Mensal!$A$2:$A$245,0)),"")</f>
        <v/>
      </c>
      <c r="N4014" s="34">
        <f>IF($K4014=1,L4014-M4014,"")</f>
        <v/>
      </c>
      <c r="O4014" s="34" t="n">
        <v>0.00049037</v>
      </c>
      <c r="P4014" s="34">
        <f>IF($J4014=1,LN(1+O4014),"")</f>
        <v/>
      </c>
      <c r="Q4014" s="34">
        <f>IF($J4014=1,LN(R4015/R4014),"")</f>
        <v/>
      </c>
      <c r="R4014" s="32" t="n">
        <v>5.3899</v>
      </c>
      <c r="S4014" s="35" t="n">
        <v>13.82</v>
      </c>
      <c r="T4014" s="18" t="n"/>
      <c r="U4014" s="18" t="n">
        <v>98294.64</v>
      </c>
      <c r="V4014" s="18" t="n"/>
      <c r="W4014" s="18" t="n"/>
      <c r="X4014" s="35" t="n">
        <v>13.82</v>
      </c>
      <c r="Y4014" s="35" t="n"/>
    </row>
    <row r="4015">
      <c r="A4015" s="25" t="n">
        <v>44748</v>
      </c>
      <c r="B4015" s="18" t="n">
        <v>98718.98</v>
      </c>
      <c r="C4015" s="31" t="n"/>
      <c r="D4015" s="32" t="n"/>
      <c r="E4015" s="33" t="n">
        <v>1.7905</v>
      </c>
      <c r="F4015" t="inlineStr">
        <is>
          <t>Up</t>
        </is>
      </c>
      <c r="G4015" t="inlineStr">
        <is>
          <t>Up</t>
        </is>
      </c>
      <c r="H4015" t="inlineStr">
        <is>
          <t>EU_JU</t>
        </is>
      </c>
      <c r="I4015" t="inlineStr">
        <is>
          <t>2022-07</t>
        </is>
      </c>
      <c r="J4015" t="n">
        <v>1</v>
      </c>
      <c r="K4015" t="n">
        <v>1</v>
      </c>
      <c r="L4015" s="34">
        <f>IF($J4015=1,LN(B4016/B4015),"")</f>
        <v/>
      </c>
      <c r="M4015" s="34">
        <f>IF($K4015=1,INDEX(Mensal!$D$2:$D$245,MATCH($I4015,Mensal!$A$2:$A$245,0)),"")</f>
        <v/>
      </c>
      <c r="N4015" s="34">
        <f>IF($K4015=1,L4015-M4015,"")</f>
        <v/>
      </c>
      <c r="O4015" s="34" t="n">
        <v>0.00049037</v>
      </c>
      <c r="P4015" s="34">
        <f>IF($J4015=1,LN(1+O4015),"")</f>
        <v/>
      </c>
      <c r="Q4015" s="34">
        <f>IF($J4015=1,LN(R4016/R4015),"")</f>
        <v/>
      </c>
      <c r="R4015" s="32" t="n">
        <v>5.4321</v>
      </c>
      <c r="S4015" s="35" t="n">
        <v>13.86</v>
      </c>
      <c r="T4015" s="18" t="n"/>
      <c r="U4015" s="18" t="n">
        <v>98718.98</v>
      </c>
      <c r="V4015" s="18" t="n"/>
      <c r="W4015" s="18" t="n"/>
      <c r="X4015" s="35" t="n">
        <v>13.86</v>
      </c>
      <c r="Y4015" s="35" t="n"/>
    </row>
    <row r="4016">
      <c r="A4016" s="25" t="n">
        <v>44749</v>
      </c>
      <c r="B4016" s="18" t="n">
        <v>100729.72</v>
      </c>
      <c r="C4016" s="31" t="n"/>
      <c r="D4016" s="32" t="n"/>
      <c r="E4016" s="33" t="n">
        <v>1.7347</v>
      </c>
      <c r="F4016" t="inlineStr">
        <is>
          <t>Up</t>
        </is>
      </c>
      <c r="G4016" t="inlineStr">
        <is>
          <t>Up</t>
        </is>
      </c>
      <c r="H4016" t="inlineStr">
        <is>
          <t>EU_JU</t>
        </is>
      </c>
      <c r="I4016" t="inlineStr">
        <is>
          <t>2022-07</t>
        </is>
      </c>
      <c r="J4016" t="n">
        <v>1</v>
      </c>
      <c r="K4016" t="n">
        <v>1</v>
      </c>
      <c r="L4016" s="34">
        <f>IF($J4016=1,LN(B4017/B4016),"")</f>
        <v/>
      </c>
      <c r="M4016" s="34">
        <f>IF($K4016=1,INDEX(Mensal!$D$2:$D$245,MATCH($I4016,Mensal!$A$2:$A$245,0)),"")</f>
        <v/>
      </c>
      <c r="N4016" s="34">
        <f>IF($K4016=1,L4016-M4016,"")</f>
        <v/>
      </c>
      <c r="O4016" s="34" t="n">
        <v>0.00049037</v>
      </c>
      <c r="P4016" s="34">
        <f>IF($J4016=1,LN(1+O4016),"")</f>
        <v/>
      </c>
      <c r="Q4016" s="34">
        <f>IF($J4016=1,LN(R4017/R4016),"")</f>
        <v/>
      </c>
      <c r="R4016" s="32" t="n">
        <v>5.364</v>
      </c>
      <c r="S4016" s="35" t="n">
        <v>13.86</v>
      </c>
      <c r="T4016" s="18" t="n"/>
      <c r="U4016" s="18" t="n">
        <v>100729.72</v>
      </c>
      <c r="V4016" s="18" t="n"/>
      <c r="W4016" s="18" t="n"/>
      <c r="X4016" s="35" t="n">
        <v>13.86</v>
      </c>
      <c r="Y4016" s="35" t="n"/>
    </row>
    <row r="4017">
      <c r="A4017" s="25" t="n">
        <v>44750</v>
      </c>
      <c r="B4017" s="18" t="n">
        <v>100288.94</v>
      </c>
      <c r="C4017" s="31" t="n"/>
      <c r="D4017" s="32" t="n"/>
      <c r="E4017" s="33" t="n">
        <v>1.6648</v>
      </c>
      <c r="F4017" t="inlineStr">
        <is>
          <t>Up</t>
        </is>
      </c>
      <c r="G4017" t="inlineStr">
        <is>
          <t>Up</t>
        </is>
      </c>
      <c r="H4017" t="inlineStr">
        <is>
          <t>EU_JU</t>
        </is>
      </c>
      <c r="I4017" t="inlineStr">
        <is>
          <t>2022-07</t>
        </is>
      </c>
      <c r="J4017" t="n">
        <v>1</v>
      </c>
      <c r="K4017" t="n">
        <v>1</v>
      </c>
      <c r="L4017" s="34">
        <f>IF($J4017=1,LN(B4018/B4017),"")</f>
        <v/>
      </c>
      <c r="M4017" s="34">
        <f>IF($K4017=1,INDEX(Mensal!$D$2:$D$245,MATCH($I4017,Mensal!$A$2:$A$245,0)),"")</f>
        <v/>
      </c>
      <c r="N4017" s="34">
        <f>IF($K4017=1,L4017-M4017,"")</f>
        <v/>
      </c>
      <c r="O4017" s="34" t="n">
        <v>0.00049037</v>
      </c>
      <c r="P4017" s="34">
        <f>IF($J4017=1,LN(1+O4017),"")</f>
        <v/>
      </c>
      <c r="Q4017" s="34">
        <f>IF($J4017=1,LN(R4018/R4017),"")</f>
        <v/>
      </c>
      <c r="R4017" s="32" t="n">
        <v>5.3086</v>
      </c>
      <c r="S4017" s="35" t="n">
        <v>13.93</v>
      </c>
      <c r="T4017" s="18" t="n"/>
      <c r="U4017" s="18" t="n">
        <v>100288.94</v>
      </c>
      <c r="V4017" s="18" t="n"/>
      <c r="W4017" s="18" t="n"/>
      <c r="X4017" s="35" t="n">
        <v>13.93</v>
      </c>
      <c r="Y4017" s="35" t="n"/>
    </row>
    <row r="4018">
      <c r="A4018" s="25" t="n">
        <v>44753</v>
      </c>
      <c r="B4018" s="18" t="n">
        <v>98212.46000000001</v>
      </c>
      <c r="C4018" s="31" t="n"/>
      <c r="D4018" s="32" t="n"/>
      <c r="E4018" s="33" t="n">
        <v>1.5907</v>
      </c>
      <c r="F4018" t="inlineStr">
        <is>
          <t>Up</t>
        </is>
      </c>
      <c r="G4018" t="inlineStr">
        <is>
          <t>Up</t>
        </is>
      </c>
      <c r="H4018" t="inlineStr">
        <is>
          <t>EU_JU</t>
        </is>
      </c>
      <c r="I4018" t="inlineStr">
        <is>
          <t>2022-07</t>
        </is>
      </c>
      <c r="J4018" t="n">
        <v>1</v>
      </c>
      <c r="K4018" t="n">
        <v>1</v>
      </c>
      <c r="L4018" s="34">
        <f>IF($J4018=1,LN(B4019/B4018),"")</f>
        <v/>
      </c>
      <c r="M4018" s="34">
        <f>IF($K4018=1,INDEX(Mensal!$D$2:$D$245,MATCH($I4018,Mensal!$A$2:$A$245,0)),"")</f>
        <v/>
      </c>
      <c r="N4018" s="34">
        <f>IF($K4018=1,L4018-M4018,"")</f>
        <v/>
      </c>
      <c r="O4018" s="34" t="n">
        <v>0.00049037</v>
      </c>
      <c r="P4018" s="34">
        <f>IF($J4018=1,LN(1+O4018),"")</f>
        <v/>
      </c>
      <c r="Q4018" s="34">
        <f>IF($J4018=1,LN(R4019/R4018),"")</f>
        <v/>
      </c>
      <c r="R4018" s="32" t="n">
        <v>5.3477</v>
      </c>
      <c r="S4018" s="35" t="n">
        <v>14.12</v>
      </c>
      <c r="T4018" s="18" t="n"/>
      <c r="U4018" s="18" t="n">
        <v>98212.46000000001</v>
      </c>
      <c r="V4018" s="18" t="n"/>
      <c r="W4018" s="18" t="n"/>
      <c r="X4018" s="35" t="n">
        <v>14.12</v>
      </c>
      <c r="Y4018" s="35" t="n"/>
    </row>
    <row r="4019">
      <c r="A4019" s="25" t="n">
        <v>44754</v>
      </c>
      <c r="B4019" s="18" t="n">
        <v>98271.21000000001</v>
      </c>
      <c r="C4019" s="31" t="n"/>
      <c r="D4019" s="32" t="n"/>
      <c r="E4019" s="33" t="n">
        <v>1.5085</v>
      </c>
      <c r="F4019" t="inlineStr">
        <is>
          <t>Up</t>
        </is>
      </c>
      <c r="G4019" t="inlineStr">
        <is>
          <t>Up</t>
        </is>
      </c>
      <c r="H4019" t="inlineStr">
        <is>
          <t>EU_JU</t>
        </is>
      </c>
      <c r="I4019" t="inlineStr">
        <is>
          <t>2022-07</t>
        </is>
      </c>
      <c r="J4019" t="n">
        <v>1</v>
      </c>
      <c r="K4019" t="n">
        <v>1</v>
      </c>
      <c r="L4019" s="34">
        <f>IF($J4019=1,LN(B4020/B4019),"")</f>
        <v/>
      </c>
      <c r="M4019" s="34">
        <f>IF($K4019=1,INDEX(Mensal!$D$2:$D$245,MATCH($I4019,Mensal!$A$2:$A$245,0)),"")</f>
        <v/>
      </c>
      <c r="N4019" s="34">
        <f>IF($K4019=1,L4019-M4019,"")</f>
        <v/>
      </c>
      <c r="O4019" s="34" t="n">
        <v>0.00049037</v>
      </c>
      <c r="P4019" s="34">
        <f>IF($J4019=1,LN(1+O4019),"")</f>
        <v/>
      </c>
      <c r="Q4019" s="34">
        <f>IF($J4019=1,LN(R4020/R4019),"")</f>
        <v/>
      </c>
      <c r="R4019" s="32" t="n">
        <v>5.412</v>
      </c>
      <c r="S4019" s="35" t="n">
        <v>14.01</v>
      </c>
      <c r="T4019" s="18" t="n"/>
      <c r="U4019" s="18" t="n">
        <v>98271.21000000001</v>
      </c>
      <c r="V4019" s="18" t="n"/>
      <c r="W4019" s="18" t="n"/>
      <c r="X4019" s="35" t="n">
        <v>14.01</v>
      </c>
      <c r="Y4019" s="35" t="n"/>
    </row>
    <row r="4020">
      <c r="A4020" s="25" t="n">
        <v>44755</v>
      </c>
      <c r="B4020" s="18" t="n">
        <v>97881.16</v>
      </c>
      <c r="C4020" s="31" t="n"/>
      <c r="D4020" s="32" t="n"/>
      <c r="E4020" s="33" t="n">
        <v>1.4188</v>
      </c>
      <c r="F4020" t="inlineStr">
        <is>
          <t>Up</t>
        </is>
      </c>
      <c r="G4020" t="inlineStr">
        <is>
          <t>Up</t>
        </is>
      </c>
      <c r="H4020" t="inlineStr">
        <is>
          <t>EU_JU</t>
        </is>
      </c>
      <c r="I4020" t="inlineStr">
        <is>
          <t>2022-07</t>
        </is>
      </c>
      <c r="J4020" t="n">
        <v>1</v>
      </c>
      <c r="K4020" t="n">
        <v>1</v>
      </c>
      <c r="L4020" s="34">
        <f>IF($J4020=1,LN(B4021/B4020),"")</f>
        <v/>
      </c>
      <c r="M4020" s="34">
        <f>IF($K4020=1,INDEX(Mensal!$D$2:$D$245,MATCH($I4020,Mensal!$A$2:$A$245,0)),"")</f>
        <v/>
      </c>
      <c r="N4020" s="34">
        <f>IF($K4020=1,L4020-M4020,"")</f>
        <v/>
      </c>
      <c r="O4020" s="34" t="n">
        <v>0.00049037</v>
      </c>
      <c r="P4020" s="34">
        <f>IF($J4020=1,LN(1+O4020),"")</f>
        <v/>
      </c>
      <c r="Q4020" s="34">
        <f>IF($J4020=1,LN(R4021/R4020),"")</f>
        <v/>
      </c>
      <c r="R4020" s="32" t="n">
        <v>5.3992</v>
      </c>
      <c r="S4020" s="35" t="n">
        <v>14.05</v>
      </c>
      <c r="T4020" s="18" t="n"/>
      <c r="U4020" s="18" t="n">
        <v>97881.16</v>
      </c>
      <c r="V4020" s="18" t="n"/>
      <c r="W4020" s="18" t="n"/>
      <c r="X4020" s="35" t="n">
        <v>14.05</v>
      </c>
      <c r="Y4020" s="35" t="n"/>
    </row>
    <row r="4021">
      <c r="A4021" s="25" t="n">
        <v>44756</v>
      </c>
      <c r="B4021" s="18" t="n">
        <v>96120.85000000001</v>
      </c>
      <c r="C4021" s="31" t="n"/>
      <c r="D4021" s="32" t="n"/>
      <c r="E4021" s="33" t="n">
        <v>1.3269</v>
      </c>
      <c r="F4021" t="inlineStr">
        <is>
          <t>Up</t>
        </is>
      </c>
      <c r="G4021" t="inlineStr">
        <is>
          <t>Up</t>
        </is>
      </c>
      <c r="H4021" t="inlineStr">
        <is>
          <t>EU_JU</t>
        </is>
      </c>
      <c r="I4021" t="inlineStr">
        <is>
          <t>2022-07</t>
        </is>
      </c>
      <c r="J4021" t="n">
        <v>1</v>
      </c>
      <c r="K4021" t="n">
        <v>1</v>
      </c>
      <c r="L4021" s="34">
        <f>IF($J4021=1,LN(B4022/B4021),"")</f>
        <v/>
      </c>
      <c r="M4021" s="34">
        <f>IF($K4021=1,INDEX(Mensal!$D$2:$D$245,MATCH($I4021,Mensal!$A$2:$A$245,0)),"")</f>
        <v/>
      </c>
      <c r="N4021" s="34">
        <f>IF($K4021=1,L4021-M4021,"")</f>
        <v/>
      </c>
      <c r="O4021" s="34" t="n">
        <v>0.00049037</v>
      </c>
      <c r="P4021" s="34">
        <f>IF($J4021=1,LN(1+O4021),"")</f>
        <v/>
      </c>
      <c r="Q4021" s="34">
        <f>IF($J4021=1,LN(R4022/R4021),"")</f>
        <v/>
      </c>
      <c r="R4021" s="32" t="n">
        <v>5.4568</v>
      </c>
      <c r="S4021" s="35" t="n">
        <v>14.12</v>
      </c>
      <c r="T4021" s="18" t="n"/>
      <c r="U4021" s="18" t="n">
        <v>96120.85000000001</v>
      </c>
      <c r="V4021" s="18" t="n"/>
      <c r="W4021" s="18" t="n"/>
      <c r="X4021" s="35" t="n">
        <v>14.12</v>
      </c>
      <c r="Y4021" s="35" t="n"/>
    </row>
    <row r="4022">
      <c r="A4022" s="25" t="n">
        <v>44757</v>
      </c>
      <c r="B4022" s="18" t="n">
        <v>96551</v>
      </c>
      <c r="C4022" s="31" t="n"/>
      <c r="D4022" s="32" t="n"/>
      <c r="E4022" s="33" t="n">
        <v>1.2529</v>
      </c>
      <c r="F4022" t="inlineStr">
        <is>
          <t>Up</t>
        </is>
      </c>
      <c r="G4022" t="inlineStr">
        <is>
          <t>Up</t>
        </is>
      </c>
      <c r="H4022" t="inlineStr">
        <is>
          <t>EU_JU</t>
        </is>
      </c>
      <c r="I4022" t="inlineStr">
        <is>
          <t>2022-07</t>
        </is>
      </c>
      <c r="J4022" t="n">
        <v>1</v>
      </c>
      <c r="K4022" t="n">
        <v>1</v>
      </c>
      <c r="L4022" s="34">
        <f>IF($J4022=1,LN(B4023/B4022),"")</f>
        <v/>
      </c>
      <c r="M4022" s="34">
        <f>IF($K4022=1,INDEX(Mensal!$D$2:$D$245,MATCH($I4022,Mensal!$A$2:$A$245,0)),"")</f>
        <v/>
      </c>
      <c r="N4022" s="34">
        <f>IF($K4022=1,L4022-M4022,"")</f>
        <v/>
      </c>
      <c r="O4022" s="34" t="n">
        <v>0.00049037</v>
      </c>
      <c r="P4022" s="34">
        <f>IF($J4022=1,LN(1+O4022),"")</f>
        <v/>
      </c>
      <c r="Q4022" s="34">
        <f>IF($J4022=1,LN(R4023/R4022),"")</f>
        <v/>
      </c>
      <c r="R4022" s="32" t="n">
        <v>5.4014</v>
      </c>
      <c r="S4022" s="35" t="n">
        <v>14.01</v>
      </c>
      <c r="T4022" s="18" t="n"/>
      <c r="U4022" s="18" t="n">
        <v>96551</v>
      </c>
      <c r="V4022" s="18" t="n"/>
      <c r="W4022" s="18" t="n"/>
      <c r="X4022" s="35" t="n">
        <v>14.01</v>
      </c>
      <c r="Y4022" s="35" t="n"/>
    </row>
    <row r="4023">
      <c r="A4023" s="25" t="n">
        <v>44760</v>
      </c>
      <c r="B4023" s="18" t="n">
        <v>96916.13</v>
      </c>
      <c r="C4023" s="31" t="n"/>
      <c r="D4023" s="32" t="n"/>
      <c r="E4023" s="33" t="n">
        <v>1.1685</v>
      </c>
      <c r="F4023" t="inlineStr">
        <is>
          <t>Up</t>
        </is>
      </c>
      <c r="G4023" t="inlineStr">
        <is>
          <t>Up</t>
        </is>
      </c>
      <c r="H4023" t="inlineStr">
        <is>
          <t>EU_JU</t>
        </is>
      </c>
      <c r="I4023" t="inlineStr">
        <is>
          <t>2022-07</t>
        </is>
      </c>
      <c r="J4023" t="n">
        <v>1</v>
      </c>
      <c r="K4023" t="n">
        <v>1</v>
      </c>
      <c r="L4023" s="34">
        <f>IF($J4023=1,LN(B4024/B4023),"")</f>
        <v/>
      </c>
      <c r="M4023" s="34">
        <f>IF($K4023=1,INDEX(Mensal!$D$2:$D$245,MATCH($I4023,Mensal!$A$2:$A$245,0)),"")</f>
        <v/>
      </c>
      <c r="N4023" s="34">
        <f>IF($K4023=1,L4023-M4023,"")</f>
        <v/>
      </c>
      <c r="O4023" s="34" t="n">
        <v>0.00049037</v>
      </c>
      <c r="P4023" s="34">
        <f>IF($J4023=1,LN(1+O4023),"")</f>
        <v/>
      </c>
      <c r="Q4023" s="34">
        <f>IF($J4023=1,LN(R4024/R4023),"")</f>
        <v/>
      </c>
      <c r="R4023" s="32" t="n">
        <v>5.3675</v>
      </c>
      <c r="S4023" s="35" t="n">
        <v>14.14</v>
      </c>
      <c r="T4023" s="18" t="n"/>
      <c r="U4023" s="18" t="n">
        <v>96916.13</v>
      </c>
      <c r="V4023" s="18" t="n"/>
      <c r="W4023" s="18" t="n"/>
      <c r="X4023" s="35" t="n">
        <v>14.14</v>
      </c>
      <c r="Y4023" s="35" t="n"/>
    </row>
    <row r="4024">
      <c r="A4024" s="25" t="n">
        <v>44761</v>
      </c>
      <c r="B4024" s="18" t="n">
        <v>98244.8</v>
      </c>
      <c r="C4024" s="31" t="n"/>
      <c r="D4024" s="32" t="n"/>
      <c r="E4024" s="33" t="n">
        <v>1.0878</v>
      </c>
      <c r="F4024" t="inlineStr">
        <is>
          <t>Up</t>
        </is>
      </c>
      <c r="G4024" t="inlineStr">
        <is>
          <t>Up</t>
        </is>
      </c>
      <c r="H4024" t="inlineStr">
        <is>
          <t>EU_JU</t>
        </is>
      </c>
      <c r="I4024" t="inlineStr">
        <is>
          <t>2022-07</t>
        </is>
      </c>
      <c r="J4024" t="n">
        <v>1</v>
      </c>
      <c r="K4024" t="n">
        <v>1</v>
      </c>
      <c r="L4024" s="34">
        <f>IF($J4024=1,LN(B4025/B4024),"")</f>
        <v/>
      </c>
      <c r="M4024" s="34">
        <f>IF($K4024=1,INDEX(Mensal!$D$2:$D$245,MATCH($I4024,Mensal!$A$2:$A$245,0)),"")</f>
        <v/>
      </c>
      <c r="N4024" s="34">
        <f>IF($K4024=1,L4024-M4024,"")</f>
        <v/>
      </c>
      <c r="O4024" s="34" t="n">
        <v>0.00049037</v>
      </c>
      <c r="P4024" s="34">
        <f>IF($J4024=1,LN(1+O4024),"")</f>
        <v/>
      </c>
      <c r="Q4024" s="34">
        <f>IF($J4024=1,LN(R4025/R4024),"")</f>
        <v/>
      </c>
      <c r="R4024" s="32" t="n">
        <v>5.3904</v>
      </c>
      <c r="S4024" s="35" t="n">
        <v>14.19</v>
      </c>
      <c r="T4024" s="18" t="n"/>
      <c r="U4024" s="18" t="n">
        <v>98244.8</v>
      </c>
      <c r="V4024" s="18" t="n"/>
      <c r="W4024" s="18" t="n"/>
      <c r="X4024" s="35" t="n">
        <v>14.19</v>
      </c>
      <c r="Y4024" s="35" t="n"/>
    </row>
    <row r="4025">
      <c r="A4025" s="25" t="n">
        <v>44762</v>
      </c>
      <c r="B4025" s="18" t="n">
        <v>98286.83</v>
      </c>
      <c r="C4025" s="31" t="n"/>
      <c r="D4025" s="32" t="n"/>
      <c r="E4025" s="33" t="n">
        <v>1.0038</v>
      </c>
      <c r="F4025" t="inlineStr">
        <is>
          <t>Up</t>
        </is>
      </c>
      <c r="G4025" t="inlineStr">
        <is>
          <t>Up</t>
        </is>
      </c>
      <c r="H4025" t="inlineStr">
        <is>
          <t>EU_JU</t>
        </is>
      </c>
      <c r="I4025" t="inlineStr">
        <is>
          <t>2022-07</t>
        </is>
      </c>
      <c r="J4025" t="n">
        <v>1</v>
      </c>
      <c r="K4025" t="n">
        <v>1</v>
      </c>
      <c r="L4025" s="34">
        <f>IF($J4025=1,LN(B4026/B4025),"")</f>
        <v/>
      </c>
      <c r="M4025" s="34">
        <f>IF($K4025=1,INDEX(Mensal!$D$2:$D$245,MATCH($I4025,Mensal!$A$2:$A$245,0)),"")</f>
        <v/>
      </c>
      <c r="N4025" s="34">
        <f>IF($K4025=1,L4025-M4025,"")</f>
        <v/>
      </c>
      <c r="O4025" s="34" t="n">
        <v>0.00049037</v>
      </c>
      <c r="P4025" s="34">
        <f>IF($J4025=1,LN(1+O4025),"")</f>
        <v/>
      </c>
      <c r="Q4025" s="34">
        <f>IF($J4025=1,LN(R4026/R4025),"")</f>
        <v/>
      </c>
      <c r="R4025" s="32" t="n">
        <v>5.4288</v>
      </c>
      <c r="S4025" s="35" t="n">
        <v>14.08</v>
      </c>
      <c r="T4025" s="18" t="n"/>
      <c r="U4025" s="18" t="n">
        <v>98286.83</v>
      </c>
      <c r="V4025" s="18" t="n"/>
      <c r="W4025" s="18" t="n"/>
      <c r="X4025" s="35" t="n">
        <v>14.08</v>
      </c>
      <c r="Y4025" s="35" t="n"/>
    </row>
    <row r="4026">
      <c r="A4026" s="25" t="n">
        <v>44763</v>
      </c>
      <c r="B4026" s="18" t="n">
        <v>99033.17</v>
      </c>
      <c r="C4026" s="31" t="n"/>
      <c r="D4026" s="32" t="n"/>
      <c r="E4026" s="33" t="n">
        <v>0.9211</v>
      </c>
      <c r="F4026" t="inlineStr">
        <is>
          <t>Up</t>
        </is>
      </c>
      <c r="G4026" t="inlineStr">
        <is>
          <t>Up</t>
        </is>
      </c>
      <c r="H4026" t="inlineStr">
        <is>
          <t>EU_JU</t>
        </is>
      </c>
      <c r="I4026" t="inlineStr">
        <is>
          <t>2022-07</t>
        </is>
      </c>
      <c r="J4026" t="n">
        <v>1</v>
      </c>
      <c r="K4026" t="n">
        <v>1</v>
      </c>
      <c r="L4026" s="34">
        <f>IF($J4026=1,LN(B4027/B4026),"")</f>
        <v/>
      </c>
      <c r="M4026" s="34">
        <f>IF($K4026=1,INDEX(Mensal!$D$2:$D$245,MATCH($I4026,Mensal!$A$2:$A$245,0)),"")</f>
        <v/>
      </c>
      <c r="N4026" s="34">
        <f>IF($K4026=1,L4026-M4026,"")</f>
        <v/>
      </c>
      <c r="O4026" s="34" t="n">
        <v>0.00049037</v>
      </c>
      <c r="P4026" s="34">
        <f>IF($J4026=1,LN(1+O4026),"")</f>
        <v/>
      </c>
      <c r="Q4026" s="34">
        <f>IF($J4026=1,LN(R4027/R4026),"")</f>
        <v/>
      </c>
      <c r="R4026" s="32" t="n">
        <v>5.475</v>
      </c>
      <c r="S4026" s="35" t="n">
        <v>14.14</v>
      </c>
      <c r="T4026" s="18" t="n"/>
      <c r="U4026" s="18" t="n">
        <v>99033.17</v>
      </c>
      <c r="V4026" s="18" t="n"/>
      <c r="W4026" s="18" t="n"/>
      <c r="X4026" s="35" t="n">
        <v>14.14</v>
      </c>
      <c r="Y4026" s="35" t="n"/>
    </row>
    <row r="4027">
      <c r="A4027" s="25" t="n">
        <v>44764</v>
      </c>
      <c r="B4027" s="18" t="n">
        <v>98924.82000000001</v>
      </c>
      <c r="C4027" s="31" t="n"/>
      <c r="D4027" s="32" t="n"/>
      <c r="E4027" s="33" t="n">
        <v>0.8407</v>
      </c>
      <c r="F4027" t="inlineStr">
        <is>
          <t>Up</t>
        </is>
      </c>
      <c r="G4027" t="inlineStr">
        <is>
          <t>Up</t>
        </is>
      </c>
      <c r="H4027" t="inlineStr">
        <is>
          <t>EU_JU</t>
        </is>
      </c>
      <c r="I4027" t="inlineStr">
        <is>
          <t>2022-07</t>
        </is>
      </c>
      <c r="J4027" t="n">
        <v>1</v>
      </c>
      <c r="K4027" t="n">
        <v>1</v>
      </c>
      <c r="L4027" s="34">
        <f>IF($J4027=1,LN(B4028/B4027),"")</f>
        <v/>
      </c>
      <c r="M4027" s="34">
        <f>IF($K4027=1,INDEX(Mensal!$D$2:$D$245,MATCH($I4027,Mensal!$A$2:$A$245,0)),"")</f>
        <v/>
      </c>
      <c r="N4027" s="34">
        <f>IF($K4027=1,L4027-M4027,"")</f>
        <v/>
      </c>
      <c r="O4027" s="34" t="n">
        <v>0.00049037</v>
      </c>
      <c r="P4027" s="34">
        <f>IF($J4027=1,LN(1+O4027),"")</f>
        <v/>
      </c>
      <c r="Q4027" s="34">
        <f>IF($J4027=1,LN(R4028/R4027),"")</f>
        <v/>
      </c>
      <c r="R4027" s="32" t="n">
        <v>5.4522</v>
      </c>
      <c r="S4027" s="35" t="n">
        <v>14</v>
      </c>
      <c r="T4027" s="18" t="n"/>
      <c r="U4027" s="18" t="n">
        <v>98924.82000000001</v>
      </c>
      <c r="V4027" s="18" t="n"/>
      <c r="W4027" s="18" t="n"/>
      <c r="X4027" s="35" t="n">
        <v>14</v>
      </c>
      <c r="Y4027" s="35" t="n"/>
    </row>
    <row r="4028">
      <c r="A4028" s="25" t="n">
        <v>44767</v>
      </c>
      <c r="B4028" s="18" t="n">
        <v>100269.85</v>
      </c>
      <c r="C4028" s="31" t="n"/>
      <c r="D4028" s="32" t="n"/>
      <c r="E4028" s="33" t="n">
        <v>0.7652</v>
      </c>
      <c r="F4028" t="inlineStr">
        <is>
          <t>Up</t>
        </is>
      </c>
      <c r="G4028" t="inlineStr">
        <is>
          <t>Up</t>
        </is>
      </c>
      <c r="H4028" t="inlineStr">
        <is>
          <t>EU_JU</t>
        </is>
      </c>
      <c r="I4028" t="inlineStr">
        <is>
          <t>2022-07</t>
        </is>
      </c>
      <c r="J4028" t="n">
        <v>1</v>
      </c>
      <c r="K4028" t="n">
        <v>1</v>
      </c>
      <c r="L4028" s="34">
        <f>IF($J4028=1,LN(B4029/B4028),"")</f>
        <v/>
      </c>
      <c r="M4028" s="34">
        <f>IF($K4028=1,INDEX(Mensal!$D$2:$D$245,MATCH($I4028,Mensal!$A$2:$A$245,0)),"")</f>
        <v/>
      </c>
      <c r="N4028" s="34">
        <f>IF($K4028=1,L4028-M4028,"")</f>
        <v/>
      </c>
      <c r="O4028" s="34" t="n">
        <v>0.00049037</v>
      </c>
      <c r="P4028" s="34">
        <f>IF($J4028=1,LN(1+O4028),"")</f>
        <v/>
      </c>
      <c r="Q4028" s="34">
        <f>IF($J4028=1,LN(R4029/R4028),"")</f>
        <v/>
      </c>
      <c r="R4028" s="32" t="n">
        <v>5.4144</v>
      </c>
      <c r="S4028" s="35" t="n">
        <v>13.95</v>
      </c>
      <c r="T4028" s="18" t="n"/>
      <c r="U4028" s="18" t="n">
        <v>100269.85</v>
      </c>
      <c r="V4028" s="18" t="n"/>
      <c r="W4028" s="18" t="n"/>
      <c r="X4028" s="35" t="n">
        <v>13.95</v>
      </c>
      <c r="Y4028" s="35" t="n"/>
    </row>
    <row r="4029">
      <c r="A4029" s="25" t="n">
        <v>44768</v>
      </c>
      <c r="B4029" s="18" t="n">
        <v>99771.69</v>
      </c>
      <c r="C4029" s="31" t="n"/>
      <c r="D4029" s="32" t="n"/>
      <c r="E4029" s="33" t="n">
        <v>0.6795</v>
      </c>
      <c r="F4029" t="inlineStr">
        <is>
          <t>Up</t>
        </is>
      </c>
      <c r="G4029" t="inlineStr">
        <is>
          <t>Up</t>
        </is>
      </c>
      <c r="H4029" t="inlineStr">
        <is>
          <t>EU_JU</t>
        </is>
      </c>
      <c r="I4029" t="inlineStr">
        <is>
          <t>2022-07</t>
        </is>
      </c>
      <c r="J4029" t="n">
        <v>1</v>
      </c>
      <c r="K4029" t="n">
        <v>1</v>
      </c>
      <c r="L4029" s="34">
        <f>IF($J4029=1,LN(B4030/B4029),"")</f>
        <v/>
      </c>
      <c r="M4029" s="34">
        <f>IF($K4029=1,INDEX(Mensal!$D$2:$D$245,MATCH($I4029,Mensal!$A$2:$A$245,0)),"")</f>
        <v/>
      </c>
      <c r="N4029" s="34">
        <f>IF($K4029=1,L4029-M4029,"")</f>
        <v/>
      </c>
      <c r="O4029" s="34" t="n">
        <v>0.00049037</v>
      </c>
      <c r="P4029" s="34">
        <f>IF($J4029=1,LN(1+O4029),"")</f>
        <v/>
      </c>
      <c r="Q4029" s="34">
        <f>IF($J4029=1,LN(R4030/R4029),"")</f>
        <v/>
      </c>
      <c r="R4029" s="32" t="n">
        <v>5.3608</v>
      </c>
      <c r="S4029" s="35" t="n">
        <v>14.02</v>
      </c>
      <c r="T4029" s="18" t="n"/>
      <c r="U4029" s="18" t="n">
        <v>99771.69</v>
      </c>
      <c r="V4029" s="18" t="n"/>
      <c r="W4029" s="18" t="n"/>
      <c r="X4029" s="35" t="n">
        <v>14.02</v>
      </c>
      <c r="Y4029" s="35" t="n"/>
    </row>
    <row r="4030">
      <c r="A4030" s="25" t="n">
        <v>44769</v>
      </c>
      <c r="B4030" s="18" t="n">
        <v>101437.96</v>
      </c>
      <c r="C4030" s="31" t="n"/>
      <c r="D4030" s="32" t="n"/>
      <c r="E4030" s="33" t="n">
        <v>0.616</v>
      </c>
      <c r="F4030" t="inlineStr">
        <is>
          <t>Up</t>
        </is>
      </c>
      <c r="G4030" t="inlineStr">
        <is>
          <t>Up</t>
        </is>
      </c>
      <c r="H4030" t="inlineStr">
        <is>
          <t>EU_JU</t>
        </is>
      </c>
      <c r="I4030" t="inlineStr">
        <is>
          <t>2022-07</t>
        </is>
      </c>
      <c r="J4030" t="n">
        <v>1</v>
      </c>
      <c r="K4030" t="n">
        <v>1</v>
      </c>
      <c r="L4030" s="34">
        <f>IF($J4030=1,LN(B4031/B4030),"")</f>
        <v/>
      </c>
      <c r="M4030" s="34">
        <f>IF($K4030=1,INDEX(Mensal!$D$2:$D$245,MATCH($I4030,Mensal!$A$2:$A$245,0)),"")</f>
        <v/>
      </c>
      <c r="N4030" s="34">
        <f>IF($K4030=1,L4030-M4030,"")</f>
        <v/>
      </c>
      <c r="O4030" s="34" t="n">
        <v>0.00049037</v>
      </c>
      <c r="P4030" s="34">
        <f>IF($J4030=1,LN(1+O4030),"")</f>
        <v/>
      </c>
      <c r="Q4030" s="34">
        <f>IF($J4030=1,LN(R4031/R4030),"")</f>
        <v/>
      </c>
      <c r="R4030" s="32" t="n">
        <v>5.3074</v>
      </c>
      <c r="S4030" s="35" t="n">
        <v>13.97</v>
      </c>
      <c r="T4030" s="18" t="n"/>
      <c r="U4030" s="18" t="n">
        <v>101437.96</v>
      </c>
      <c r="V4030" s="18" t="n"/>
      <c r="W4030" s="18" t="n"/>
      <c r="X4030" s="35" t="n">
        <v>13.97</v>
      </c>
      <c r="Y4030" s="35" t="n"/>
    </row>
    <row r="4031">
      <c r="A4031" s="25" t="n">
        <v>44770</v>
      </c>
      <c r="B4031" s="18" t="n">
        <v>102596.66</v>
      </c>
      <c r="C4031" s="31" t="n"/>
      <c r="D4031" s="32" t="n"/>
      <c r="E4031" s="33" t="n">
        <v>0.5609</v>
      </c>
      <c r="F4031" t="inlineStr">
        <is>
          <t>Up</t>
        </is>
      </c>
      <c r="G4031" t="inlineStr">
        <is>
          <t>Up</t>
        </is>
      </c>
      <c r="H4031" t="inlineStr">
        <is>
          <t>EU_JU</t>
        </is>
      </c>
      <c r="I4031" t="inlineStr">
        <is>
          <t>2022-07</t>
        </is>
      </c>
      <c r="J4031" t="n">
        <v>1</v>
      </c>
      <c r="K4031" t="n">
        <v>1</v>
      </c>
      <c r="L4031" s="34">
        <f>IF($J4031=1,LN(B4032/B4031),"")</f>
        <v/>
      </c>
      <c r="M4031" s="34">
        <f>IF($K4031=1,INDEX(Mensal!$D$2:$D$245,MATCH($I4031,Mensal!$A$2:$A$245,0)),"")</f>
        <v/>
      </c>
      <c r="N4031" s="34">
        <f>IF($K4031=1,L4031-M4031,"")</f>
        <v/>
      </c>
      <c r="O4031" s="34" t="n">
        <v>0.00049037</v>
      </c>
      <c r="P4031" s="34">
        <f>IF($J4031=1,LN(1+O4031),"")</f>
        <v/>
      </c>
      <c r="Q4031" s="34">
        <f>IF($J4031=1,LN(R4032/R4031),"")</f>
        <v/>
      </c>
      <c r="R4031" s="32" t="n">
        <v>5.2149</v>
      </c>
      <c r="S4031" s="35" t="n">
        <v>13.82</v>
      </c>
      <c r="T4031" s="18" t="n"/>
      <c r="U4031" s="18" t="n">
        <v>102596.66</v>
      </c>
      <c r="V4031" s="18" t="n"/>
      <c r="W4031" s="18" t="n"/>
      <c r="X4031" s="35" t="n">
        <v>13.82</v>
      </c>
      <c r="Y4031" s="35" t="n"/>
    </row>
    <row r="4032">
      <c r="A4032" s="25" t="n">
        <v>44771</v>
      </c>
      <c r="B4032" s="18" t="n">
        <v>103164.69</v>
      </c>
      <c r="C4032" s="31" t="n"/>
      <c r="D4032" s="32" t="n"/>
      <c r="E4032" s="33" t="n">
        <v>0.5004</v>
      </c>
      <c r="F4032" t="inlineStr">
        <is>
          <t>Up</t>
        </is>
      </c>
      <c r="G4032" t="inlineStr">
        <is>
          <t>Up</t>
        </is>
      </c>
      <c r="H4032" t="inlineStr">
        <is>
          <t>EU_JU</t>
        </is>
      </c>
      <c r="I4032" t="inlineStr">
        <is>
          <t>2022-07</t>
        </is>
      </c>
      <c r="J4032" t="n">
        <v>1</v>
      </c>
      <c r="K4032" t="n">
        <v>1</v>
      </c>
      <c r="L4032" s="34">
        <f>IF($J4032=1,LN(B4033/B4032),"")</f>
        <v/>
      </c>
      <c r="M4032" s="34">
        <f>IF($K4032=1,INDEX(Mensal!$D$2:$D$245,MATCH($I4032,Mensal!$A$2:$A$245,0)),"")</f>
        <v/>
      </c>
      <c r="N4032" s="34">
        <f>IF($K4032=1,L4032-M4032,"")</f>
        <v/>
      </c>
      <c r="O4032" s="34" t="n">
        <v>0.00049037</v>
      </c>
      <c r="P4032" s="34">
        <f>IF($J4032=1,LN(1+O4032),"")</f>
        <v/>
      </c>
      <c r="Q4032" s="34">
        <f>IF($J4032=1,LN(R4033/R4032),"")</f>
        <v/>
      </c>
      <c r="R4032" s="32" t="n">
        <v>5.1884</v>
      </c>
      <c r="S4032" s="35" t="n">
        <v>13.72</v>
      </c>
      <c r="T4032" s="18" t="n"/>
      <c r="U4032" s="18" t="n">
        <v>103164.69</v>
      </c>
      <c r="V4032" s="18" t="n"/>
      <c r="W4032" s="18" t="n"/>
      <c r="X4032" s="35" t="n">
        <v>13.72</v>
      </c>
      <c r="Y4032" s="35" t="n"/>
    </row>
    <row r="4033">
      <c r="A4033" s="25" t="n">
        <v>44774</v>
      </c>
      <c r="B4033" s="18" t="n">
        <v>102225.08</v>
      </c>
      <c r="C4033" s="31" t="n"/>
      <c r="D4033" s="32" t="n"/>
      <c r="E4033" s="33" t="n">
        <v>0.4647</v>
      </c>
      <c r="F4033" t="inlineStr">
        <is>
          <t>Up</t>
        </is>
      </c>
      <c r="G4033" t="inlineStr">
        <is>
          <t>Up</t>
        </is>
      </c>
      <c r="H4033" t="inlineStr">
        <is>
          <t>EU_JU</t>
        </is>
      </c>
      <c r="I4033" t="inlineStr">
        <is>
          <t>2022-08</t>
        </is>
      </c>
      <c r="J4033" t="n">
        <v>1</v>
      </c>
      <c r="K4033" t="n">
        <v>1</v>
      </c>
      <c r="L4033" s="34">
        <f>IF($J4033=1,LN(B4034/B4033),"")</f>
        <v/>
      </c>
      <c r="M4033" s="34">
        <f>IF($K4033=1,INDEX(Mensal!$D$2:$D$245,MATCH($I4033,Mensal!$A$2:$A$245,0)),"")</f>
        <v/>
      </c>
      <c r="N4033" s="34">
        <f>IF($K4033=1,L4033-M4033,"")</f>
        <v/>
      </c>
      <c r="O4033" s="34" t="n">
        <v>0.00049037</v>
      </c>
      <c r="P4033" s="34">
        <f>IF($J4033=1,LN(1+O4033),"")</f>
        <v/>
      </c>
      <c r="Q4033" s="34">
        <f>IF($J4033=1,LN(R4034/R4033),"")</f>
        <v/>
      </c>
      <c r="R4033" s="32" t="n">
        <v>5.1606</v>
      </c>
      <c r="S4033" s="35" t="n">
        <v>13.64</v>
      </c>
      <c r="T4033" s="18" t="n"/>
      <c r="U4033" s="18" t="n">
        <v>102225.08</v>
      </c>
      <c r="V4033" s="18" t="n"/>
      <c r="W4033" s="18" t="n"/>
      <c r="X4033" s="35" t="n">
        <v>13.64</v>
      </c>
      <c r="Y4033" s="35" t="n"/>
    </row>
    <row r="4034">
      <c r="A4034" s="25" t="n">
        <v>44775</v>
      </c>
      <c r="B4034" s="18" t="n">
        <v>103361.7</v>
      </c>
      <c r="C4034" s="31" t="n"/>
      <c r="D4034" s="32" t="n"/>
      <c r="E4034" s="33" t="n">
        <v>0.4247</v>
      </c>
      <c r="F4034" t="inlineStr">
        <is>
          <t>Up</t>
        </is>
      </c>
      <c r="G4034" t="inlineStr">
        <is>
          <t>Up</t>
        </is>
      </c>
      <c r="H4034" t="inlineStr">
        <is>
          <t>EU_JU</t>
        </is>
      </c>
      <c r="I4034" t="inlineStr">
        <is>
          <t>2022-08</t>
        </is>
      </c>
      <c r="J4034" t="n">
        <v>1</v>
      </c>
      <c r="K4034" t="n">
        <v>1</v>
      </c>
      <c r="L4034" s="34">
        <f>IF($J4034=1,LN(B4035/B4034),"")</f>
        <v/>
      </c>
      <c r="M4034" s="34">
        <f>IF($K4034=1,INDEX(Mensal!$D$2:$D$245,MATCH($I4034,Mensal!$A$2:$A$245,0)),"")</f>
        <v/>
      </c>
      <c r="N4034" s="34">
        <f>IF($K4034=1,L4034-M4034,"")</f>
        <v/>
      </c>
      <c r="O4034" s="34" t="n">
        <v>0.00049037</v>
      </c>
      <c r="P4034" s="34">
        <f>IF($J4034=1,LN(1+O4034),"")</f>
        <v/>
      </c>
      <c r="Q4034" s="34">
        <f>IF($J4034=1,LN(R4035/R4034),"")</f>
        <v/>
      </c>
      <c r="R4034" s="32" t="n">
        <v>5.2329</v>
      </c>
      <c r="S4034" s="35" t="n">
        <v>13.69</v>
      </c>
      <c r="T4034" s="18" t="n"/>
      <c r="U4034" s="18" t="n">
        <v>103361.7</v>
      </c>
      <c r="V4034" s="18" t="n"/>
      <c r="W4034" s="18" t="n"/>
      <c r="X4034" s="35" t="n">
        <v>13.69</v>
      </c>
      <c r="Y4034" s="35" t="n"/>
    </row>
    <row r="4035">
      <c r="A4035" s="25" t="n">
        <v>44776</v>
      </c>
      <c r="B4035" s="18" t="n">
        <v>103774.68</v>
      </c>
      <c r="C4035" s="31" t="n"/>
      <c r="D4035" s="32" t="n"/>
      <c r="E4035" s="33" t="n">
        <v>0.3759</v>
      </c>
      <c r="F4035" t="inlineStr">
        <is>
          <t>Up</t>
        </is>
      </c>
      <c r="G4035" t="inlineStr">
        <is>
          <t>Up</t>
        </is>
      </c>
      <c r="H4035" t="inlineStr">
        <is>
          <t>EU_JU</t>
        </is>
      </c>
      <c r="I4035" t="inlineStr">
        <is>
          <t>2022-08</t>
        </is>
      </c>
      <c r="J4035" t="n">
        <v>1</v>
      </c>
      <c r="K4035" t="n">
        <v>1</v>
      </c>
      <c r="L4035" s="34">
        <f>IF($J4035=1,LN(B4036/B4035),"")</f>
        <v/>
      </c>
      <c r="M4035" s="34">
        <f>IF($K4035=1,INDEX(Mensal!$D$2:$D$245,MATCH($I4035,Mensal!$A$2:$A$245,0)),"")</f>
        <v/>
      </c>
      <c r="N4035" s="34">
        <f>IF($K4035=1,L4035-M4035,"")</f>
        <v/>
      </c>
      <c r="O4035" s="34" t="n">
        <v>0.00049037</v>
      </c>
      <c r="P4035" s="34">
        <f>IF($J4035=1,LN(1+O4035),"")</f>
        <v/>
      </c>
      <c r="Q4035" s="34">
        <f>IF($J4035=1,LN(R4036/R4035),"")</f>
        <v/>
      </c>
      <c r="R4035" s="32" t="n">
        <v>5.2846</v>
      </c>
      <c r="S4035" s="35" t="n">
        <v>13.7</v>
      </c>
      <c r="T4035" s="18" t="n"/>
      <c r="U4035" s="18" t="n">
        <v>103774.68</v>
      </c>
      <c r="V4035" s="18" t="n"/>
      <c r="W4035" s="18" t="n"/>
      <c r="X4035" s="35" t="n">
        <v>13.7</v>
      </c>
      <c r="Y4035" s="35" t="n"/>
    </row>
    <row r="4036">
      <c r="A4036" s="25" t="n">
        <v>44777</v>
      </c>
      <c r="B4036" s="18" t="n">
        <v>105892.22</v>
      </c>
      <c r="C4036" s="31" t="n"/>
      <c r="D4036" s="32" t="n"/>
      <c r="E4036" s="33" t="n">
        <v>0.3284</v>
      </c>
      <c r="F4036" t="inlineStr">
        <is>
          <t>Up</t>
        </is>
      </c>
      <c r="G4036" t="inlineStr">
        <is>
          <t>Up</t>
        </is>
      </c>
      <c r="H4036" t="inlineStr">
        <is>
          <t>EU_JU</t>
        </is>
      </c>
      <c r="I4036" t="inlineStr">
        <is>
          <t>2022-08</t>
        </is>
      </c>
      <c r="J4036" t="n">
        <v>1</v>
      </c>
      <c r="K4036" t="n">
        <v>1</v>
      </c>
      <c r="L4036" s="34">
        <f>IF($J4036=1,LN(B4037/B4036),"")</f>
        <v/>
      </c>
      <c r="M4036" s="34">
        <f>IF($K4036=1,INDEX(Mensal!$D$2:$D$245,MATCH($I4036,Mensal!$A$2:$A$245,0)),"")</f>
        <v/>
      </c>
      <c r="N4036" s="34">
        <f>IF($K4036=1,L4036-M4036,"")</f>
        <v/>
      </c>
      <c r="O4036" s="34" t="n">
        <v>0.0005078800000000001</v>
      </c>
      <c r="P4036" s="34">
        <f>IF($J4036=1,LN(1+O4036),"")</f>
        <v/>
      </c>
      <c r="Q4036" s="34">
        <f>IF($J4036=1,LN(R4037/R4036),"")</f>
        <v/>
      </c>
      <c r="R4036" s="32" t="n">
        <v>5.2409</v>
      </c>
      <c r="S4036" s="35" t="n">
        <v>13.52</v>
      </c>
      <c r="T4036" s="18" t="n"/>
      <c r="U4036" s="18" t="n">
        <v>105892.22</v>
      </c>
      <c r="V4036" s="18" t="n"/>
      <c r="W4036" s="18" t="n"/>
      <c r="X4036" s="35" t="n">
        <v>13.52</v>
      </c>
      <c r="Y4036" s="35" t="n"/>
    </row>
    <row r="4037">
      <c r="A4037" s="25" t="n">
        <v>44778</v>
      </c>
      <c r="B4037" s="18" t="n">
        <v>106471.92</v>
      </c>
      <c r="C4037" s="31" t="n"/>
      <c r="D4037" s="32" t="n"/>
      <c r="E4037" s="33" t="n">
        <v>0.2939</v>
      </c>
      <c r="F4037" t="inlineStr">
        <is>
          <t>Up</t>
        </is>
      </c>
      <c r="G4037" t="inlineStr">
        <is>
          <t>Up</t>
        </is>
      </c>
      <c r="H4037" t="inlineStr">
        <is>
          <t>EU_JU</t>
        </is>
      </c>
      <c r="I4037" t="inlineStr">
        <is>
          <t>2022-08</t>
        </is>
      </c>
      <c r="J4037" t="n">
        <v>1</v>
      </c>
      <c r="K4037" t="n">
        <v>1</v>
      </c>
      <c r="L4037" s="34">
        <f>IF($J4037=1,LN(B4038/B4037),"")</f>
        <v/>
      </c>
      <c r="M4037" s="34">
        <f>IF($K4037=1,INDEX(Mensal!$D$2:$D$245,MATCH($I4037,Mensal!$A$2:$A$245,0)),"")</f>
        <v/>
      </c>
      <c r="N4037" s="34">
        <f>IF($K4037=1,L4037-M4037,"")</f>
        <v/>
      </c>
      <c r="O4037" s="34" t="n">
        <v>0.0005078800000000001</v>
      </c>
      <c r="P4037" s="34">
        <f>IF($J4037=1,LN(1+O4037),"")</f>
        <v/>
      </c>
      <c r="Q4037" s="34">
        <f>IF($J4037=1,LN(R4038/R4037),"")</f>
        <v/>
      </c>
      <c r="R4037" s="32" t="n">
        <v>5.2165</v>
      </c>
      <c r="S4037" s="35" t="n">
        <v>13.59</v>
      </c>
      <c r="T4037" s="18" t="n"/>
      <c r="U4037" s="18" t="n">
        <v>106471.92</v>
      </c>
      <c r="V4037" s="18" t="n"/>
      <c r="W4037" s="18" t="n"/>
      <c r="X4037" s="35" t="n">
        <v>13.59</v>
      </c>
      <c r="Y4037" s="35" t="n"/>
    </row>
    <row r="4038">
      <c r="A4038" s="25" t="n">
        <v>44781</v>
      </c>
      <c r="B4038" s="18" t="n">
        <v>108402.27</v>
      </c>
      <c r="C4038" s="31" t="n"/>
      <c r="D4038" s="32" t="n"/>
      <c r="E4038" s="33" t="n">
        <v>0.2604</v>
      </c>
      <c r="F4038" t="inlineStr">
        <is>
          <t>Up</t>
        </is>
      </c>
      <c r="G4038" t="inlineStr">
        <is>
          <t>Up</t>
        </is>
      </c>
      <c r="H4038" t="inlineStr">
        <is>
          <t>EU_JU</t>
        </is>
      </c>
      <c r="I4038" t="inlineStr">
        <is>
          <t>2022-08</t>
        </is>
      </c>
      <c r="J4038" t="n">
        <v>1</v>
      </c>
      <c r="K4038" t="n">
        <v>1</v>
      </c>
      <c r="L4038" s="34">
        <f>IF($J4038=1,LN(B4039/B4038),"")</f>
        <v/>
      </c>
      <c r="M4038" s="34">
        <f>IF($K4038=1,INDEX(Mensal!$D$2:$D$245,MATCH($I4038,Mensal!$A$2:$A$245,0)),"")</f>
        <v/>
      </c>
      <c r="N4038" s="34">
        <f>IF($K4038=1,L4038-M4038,"")</f>
        <v/>
      </c>
      <c r="O4038" s="34" t="n">
        <v>0.0005078800000000001</v>
      </c>
      <c r="P4038" s="34">
        <f>IF($J4038=1,LN(1+O4038),"")</f>
        <v/>
      </c>
      <c r="Q4038" s="34">
        <f>IF($J4038=1,LN(R4039/R4038),"")</f>
        <v/>
      </c>
      <c r="R4038" s="32" t="n">
        <v>5.1247</v>
      </c>
      <c r="S4038" s="35" t="n">
        <v>13.49</v>
      </c>
      <c r="T4038" s="18" t="n"/>
      <c r="U4038" s="18" t="n">
        <v>108402.27</v>
      </c>
      <c r="V4038" s="18" t="n"/>
      <c r="W4038" s="18" t="n"/>
      <c r="X4038" s="35" t="n">
        <v>13.49</v>
      </c>
      <c r="Y4038" s="35" t="n"/>
    </row>
    <row r="4039">
      <c r="A4039" s="25" t="n">
        <v>44782</v>
      </c>
      <c r="B4039" s="18" t="n">
        <v>108651.05</v>
      </c>
      <c r="C4039" s="31" t="n"/>
      <c r="D4039" s="32" t="n"/>
      <c r="E4039" s="33" t="n">
        <v>0.2282</v>
      </c>
      <c r="F4039" t="inlineStr">
        <is>
          <t>Up</t>
        </is>
      </c>
      <c r="G4039" t="inlineStr">
        <is>
          <t>Up</t>
        </is>
      </c>
      <c r="H4039" t="inlineStr">
        <is>
          <t>EU_JU</t>
        </is>
      </c>
      <c r="I4039" t="inlineStr">
        <is>
          <t>2022-08</t>
        </is>
      </c>
      <c r="J4039" t="n">
        <v>1</v>
      </c>
      <c r="K4039" t="n">
        <v>1</v>
      </c>
      <c r="L4039" s="34">
        <f>IF($J4039=1,LN(B4040/B4039),"")</f>
        <v/>
      </c>
      <c r="M4039" s="34">
        <f>IF($K4039=1,INDEX(Mensal!$D$2:$D$245,MATCH($I4039,Mensal!$A$2:$A$245,0)),"")</f>
        <v/>
      </c>
      <c r="N4039" s="34">
        <f>IF($K4039=1,L4039-M4039,"")</f>
        <v/>
      </c>
      <c r="O4039" s="34" t="n">
        <v>0.0005078800000000001</v>
      </c>
      <c r="P4039" s="34">
        <f>IF($J4039=1,LN(1+O4039),"")</f>
        <v/>
      </c>
      <c r="Q4039" s="34">
        <f>IF($J4039=1,LN(R4040/R4039),"")</f>
        <v/>
      </c>
      <c r="R4039" s="32" t="n">
        <v>5.1224</v>
      </c>
      <c r="S4039" s="35" t="n">
        <v>13.5</v>
      </c>
      <c r="T4039" s="18" t="n"/>
      <c r="U4039" s="18" t="n">
        <v>108651.05</v>
      </c>
      <c r="V4039" s="18" t="n"/>
      <c r="W4039" s="18" t="n"/>
      <c r="X4039" s="35" t="n">
        <v>13.5</v>
      </c>
      <c r="Y4039" s="35" t="n"/>
    </row>
    <row r="4040">
      <c r="A4040" s="25" t="n">
        <v>44783</v>
      </c>
      <c r="B4040" s="18" t="n">
        <v>110235.76</v>
      </c>
      <c r="C4040" s="31" t="n"/>
      <c r="D4040" s="32" t="n"/>
      <c r="E4040" s="33" t="n">
        <v>0.195</v>
      </c>
      <c r="F4040" t="inlineStr">
        <is>
          <t>Up</t>
        </is>
      </c>
      <c r="G4040" t="inlineStr">
        <is>
          <t>Up</t>
        </is>
      </c>
      <c r="H4040" t="inlineStr">
        <is>
          <t>EU_JU</t>
        </is>
      </c>
      <c r="I4040" t="inlineStr">
        <is>
          <t>2022-08</t>
        </is>
      </c>
      <c r="J4040" t="n">
        <v>1</v>
      </c>
      <c r="K4040" t="n">
        <v>1</v>
      </c>
      <c r="L4040" s="34">
        <f>IF($J4040=1,LN(B4041/B4040),"")</f>
        <v/>
      </c>
      <c r="M4040" s="34">
        <f>IF($K4040=1,INDEX(Mensal!$D$2:$D$245,MATCH($I4040,Mensal!$A$2:$A$245,0)),"")</f>
        <v/>
      </c>
      <c r="N4040" s="34">
        <f>IF($K4040=1,L4040-M4040,"")</f>
        <v/>
      </c>
      <c r="O4040" s="34" t="n">
        <v>0.0005078800000000001</v>
      </c>
      <c r="P4040" s="34">
        <f>IF($J4040=1,LN(1+O4040),"")</f>
        <v/>
      </c>
      <c r="Q4040" s="34">
        <f>IF($J4040=1,LN(R4041/R4040),"")</f>
        <v/>
      </c>
      <c r="R4040" s="32" t="n">
        <v>5.0497</v>
      </c>
      <c r="S4040" s="35" t="n">
        <v>13.47</v>
      </c>
      <c r="T4040" s="18" t="n"/>
      <c r="U4040" s="18" t="n">
        <v>110235.76</v>
      </c>
      <c r="V4040" s="18" t="n"/>
      <c r="W4040" s="18" t="n"/>
      <c r="X4040" s="35" t="n">
        <v>13.47</v>
      </c>
      <c r="Y4040" s="35" t="n"/>
    </row>
    <row r="4041">
      <c r="A4041" s="25" t="n">
        <v>44784</v>
      </c>
      <c r="B4041" s="18" t="n">
        <v>109717.94</v>
      </c>
      <c r="C4041" s="31" t="n"/>
      <c r="D4041" s="32" t="n"/>
      <c r="E4041" s="33" t="n">
        <v>0.1701</v>
      </c>
      <c r="F4041" t="inlineStr">
        <is>
          <t>Up</t>
        </is>
      </c>
      <c r="G4041" t="inlineStr">
        <is>
          <t>Up</t>
        </is>
      </c>
      <c r="H4041" t="inlineStr">
        <is>
          <t>EU_JU</t>
        </is>
      </c>
      <c r="I4041" t="inlineStr">
        <is>
          <t>2022-08</t>
        </is>
      </c>
      <c r="J4041" t="n">
        <v>1</v>
      </c>
      <c r="K4041" t="n">
        <v>1</v>
      </c>
      <c r="L4041" s="34">
        <f>IF($J4041=1,LN(B4042/B4041),"")</f>
        <v/>
      </c>
      <c r="M4041" s="34">
        <f>IF($K4041=1,INDEX(Mensal!$D$2:$D$245,MATCH($I4041,Mensal!$A$2:$A$245,0)),"")</f>
        <v/>
      </c>
      <c r="N4041" s="34">
        <f>IF($K4041=1,L4041-M4041,"")</f>
        <v/>
      </c>
      <c r="O4041" s="34" t="n">
        <v>0.0005078800000000001</v>
      </c>
      <c r="P4041" s="34">
        <f>IF($J4041=1,LN(1+O4041),"")</f>
        <v/>
      </c>
      <c r="Q4041" s="34">
        <f>IF($J4041=1,LN(R4042/R4041),"")</f>
        <v/>
      </c>
      <c r="R4041" s="32" t="n">
        <v>5.1127</v>
      </c>
      <c r="S4041" s="35" t="n">
        <v>13.47</v>
      </c>
      <c r="T4041" s="18" t="n"/>
      <c r="U4041" s="18" t="n">
        <v>109717.94</v>
      </c>
      <c r="V4041" s="18" t="n"/>
      <c r="W4041" s="18" t="n"/>
      <c r="X4041" s="35" t="n">
        <v>13.47</v>
      </c>
      <c r="Y4041" s="35" t="n"/>
    </row>
    <row r="4042">
      <c r="A4042" s="25" t="n">
        <v>44785</v>
      </c>
      <c r="B4042" s="18" t="n">
        <v>112764.26</v>
      </c>
      <c r="C4042" s="31" t="n"/>
      <c r="D4042" s="32" t="n"/>
      <c r="E4042" s="33" t="n">
        <v>0.1894</v>
      </c>
      <c r="F4042" t="inlineStr">
        <is>
          <t>Up</t>
        </is>
      </c>
      <c r="G4042" t="inlineStr">
        <is>
          <t>Up</t>
        </is>
      </c>
      <c r="H4042" t="inlineStr">
        <is>
          <t>EU_JU</t>
        </is>
      </c>
      <c r="I4042" t="inlineStr">
        <is>
          <t>2022-08</t>
        </is>
      </c>
      <c r="J4042" t="n">
        <v>1</v>
      </c>
      <c r="K4042" t="n">
        <v>1</v>
      </c>
      <c r="L4042" s="34">
        <f>IF($J4042=1,LN(B4043/B4042),"")</f>
        <v/>
      </c>
      <c r="M4042" s="34">
        <f>IF($K4042=1,INDEX(Mensal!$D$2:$D$245,MATCH($I4042,Mensal!$A$2:$A$245,0)),"")</f>
        <v/>
      </c>
      <c r="N4042" s="34">
        <f>IF($K4042=1,L4042-M4042,"")</f>
        <v/>
      </c>
      <c r="O4042" s="34" t="n">
        <v>0.0005078800000000001</v>
      </c>
      <c r="P4042" s="34">
        <f>IF($J4042=1,LN(1+O4042),"")</f>
        <v/>
      </c>
      <c r="Q4042" s="34">
        <f>IF($J4042=1,LN(R4043/R4042),"")</f>
        <v/>
      </c>
      <c r="R4042" s="32" t="n">
        <v>5.1023</v>
      </c>
      <c r="S4042" s="35" t="n">
        <v>13.4</v>
      </c>
      <c r="T4042" s="18" t="n"/>
      <c r="U4042" s="18" t="n">
        <v>112764.26</v>
      </c>
      <c r="V4042" s="18" t="n"/>
      <c r="W4042" s="18" t="n"/>
      <c r="X4042" s="35" t="n">
        <v>13.4</v>
      </c>
      <c r="Y4042" s="35" t="n"/>
    </row>
    <row r="4043">
      <c r="A4043" s="25" t="n">
        <v>44788</v>
      </c>
      <c r="B4043" s="18" t="n">
        <v>113031.98</v>
      </c>
      <c r="C4043" s="31" t="n"/>
      <c r="D4043" s="32" t="n"/>
      <c r="E4043" s="33" t="n">
        <v>0.2065</v>
      </c>
      <c r="F4043" t="inlineStr">
        <is>
          <t>Up</t>
        </is>
      </c>
      <c r="G4043" t="inlineStr">
        <is>
          <t>Up</t>
        </is>
      </c>
      <c r="H4043" t="inlineStr">
        <is>
          <t>EU_JU</t>
        </is>
      </c>
      <c r="I4043" t="inlineStr">
        <is>
          <t>2022-08</t>
        </is>
      </c>
      <c r="J4043" t="n">
        <v>1</v>
      </c>
      <c r="K4043" t="n">
        <v>1</v>
      </c>
      <c r="L4043" s="34">
        <f>IF($J4043=1,LN(B4044/B4043),"")</f>
        <v/>
      </c>
      <c r="M4043" s="34">
        <f>IF($K4043=1,INDEX(Mensal!$D$2:$D$245,MATCH($I4043,Mensal!$A$2:$A$245,0)),"")</f>
        <v/>
      </c>
      <c r="N4043" s="34">
        <f>IF($K4043=1,L4043-M4043,"")</f>
        <v/>
      </c>
      <c r="O4043" s="34" t="n">
        <v>0.0005078800000000001</v>
      </c>
      <c r="P4043" s="34">
        <f>IF($J4043=1,LN(1+O4043),"")</f>
        <v/>
      </c>
      <c r="Q4043" s="34">
        <f>IF($J4043=1,LN(R4044/R4043),"")</f>
        <v/>
      </c>
      <c r="R4043" s="32" t="n">
        <v>5.0925</v>
      </c>
      <c r="S4043" s="35" t="n">
        <v>13.39</v>
      </c>
      <c r="T4043" s="18" t="n"/>
      <c r="U4043" s="18" t="n">
        <v>113031.98</v>
      </c>
      <c r="V4043" s="18" t="n"/>
      <c r="W4043" s="18" t="n"/>
      <c r="X4043" s="35" t="n">
        <v>13.39</v>
      </c>
      <c r="Y4043" s="35" t="n"/>
    </row>
    <row r="4044">
      <c r="A4044" s="25" t="n">
        <v>44789</v>
      </c>
      <c r="B4044" s="18" t="n">
        <v>113512.38</v>
      </c>
      <c r="C4044" s="31" t="n"/>
      <c r="D4044" s="32" t="n"/>
      <c r="E4044" s="33" t="n">
        <v>0.2246</v>
      </c>
      <c r="F4044" t="inlineStr">
        <is>
          <t>Up</t>
        </is>
      </c>
      <c r="G4044" t="inlineStr">
        <is>
          <t>Up</t>
        </is>
      </c>
      <c r="H4044" t="inlineStr">
        <is>
          <t>EU_JU</t>
        </is>
      </c>
      <c r="I4044" t="inlineStr">
        <is>
          <t>2022-08</t>
        </is>
      </c>
      <c r="J4044" t="n">
        <v>1</v>
      </c>
      <c r="K4044" t="n">
        <v>1</v>
      </c>
      <c r="L4044" s="34">
        <f>IF($J4044=1,LN(B4045/B4044),"")</f>
        <v/>
      </c>
      <c r="M4044" s="34">
        <f>IF($K4044=1,INDEX(Mensal!$D$2:$D$245,MATCH($I4044,Mensal!$A$2:$A$245,0)),"")</f>
        <v/>
      </c>
      <c r="N4044" s="34">
        <f>IF($K4044=1,L4044-M4044,"")</f>
        <v/>
      </c>
      <c r="O4044" s="34" t="n">
        <v>0.0005078800000000001</v>
      </c>
      <c r="P4044" s="34">
        <f>IF($J4044=1,LN(1+O4044),"")</f>
        <v/>
      </c>
      <c r="Q4044" s="34">
        <f>IF($J4044=1,LN(R4045/R4044),"")</f>
        <v/>
      </c>
      <c r="R4044" s="32" t="n">
        <v>5.134</v>
      </c>
      <c r="S4044" s="35" t="n">
        <v>13.34</v>
      </c>
      <c r="T4044" s="18" t="n"/>
      <c r="U4044" s="18" t="n">
        <v>113512.38</v>
      </c>
      <c r="V4044" s="18" t="n"/>
      <c r="W4044" s="18" t="n"/>
      <c r="X4044" s="35" t="n">
        <v>13.34</v>
      </c>
      <c r="Y4044" s="35" t="n"/>
    </row>
    <row r="4045">
      <c r="A4045" s="25" t="n">
        <v>44790</v>
      </c>
      <c r="B4045" s="18" t="n">
        <v>113707.76</v>
      </c>
      <c r="C4045" s="31" t="n"/>
      <c r="D4045" s="32" t="n"/>
      <c r="E4045" s="33" t="n">
        <v>0.2229</v>
      </c>
      <c r="F4045" t="inlineStr">
        <is>
          <t>Up</t>
        </is>
      </c>
      <c r="G4045" t="inlineStr">
        <is>
          <t>Up</t>
        </is>
      </c>
      <c r="H4045" t="inlineStr">
        <is>
          <t>EU_JU</t>
        </is>
      </c>
      <c r="I4045" t="inlineStr">
        <is>
          <t>2022-08</t>
        </is>
      </c>
      <c r="J4045" t="n">
        <v>1</v>
      </c>
      <c r="K4045" t="n">
        <v>1</v>
      </c>
      <c r="L4045" s="34">
        <f>IF($J4045=1,LN(B4046/B4045),"")</f>
        <v/>
      </c>
      <c r="M4045" s="34">
        <f>IF($K4045=1,INDEX(Mensal!$D$2:$D$245,MATCH($I4045,Mensal!$A$2:$A$245,0)),"")</f>
        <v/>
      </c>
      <c r="N4045" s="34">
        <f>IF($K4045=1,L4045-M4045,"")</f>
        <v/>
      </c>
      <c r="O4045" s="34" t="n">
        <v>0.0005078800000000001</v>
      </c>
      <c r="P4045" s="34">
        <f>IF($J4045=1,LN(1+O4045),"")</f>
        <v/>
      </c>
      <c r="Q4045" s="34">
        <f>IF($J4045=1,LN(R4046/R4045),"")</f>
        <v/>
      </c>
      <c r="R4045" s="32" t="n">
        <v>5.1784</v>
      </c>
      <c r="S4045" s="35" t="n">
        <v>13.42</v>
      </c>
      <c r="T4045" s="18" t="n"/>
      <c r="U4045" s="18" t="n">
        <v>113707.76</v>
      </c>
      <c r="V4045" s="18" t="n"/>
      <c r="W4045" s="18" t="n"/>
      <c r="X4045" s="35" t="n">
        <v>13.42</v>
      </c>
      <c r="Y4045" s="35" t="n"/>
    </row>
    <row r="4046">
      <c r="A4046" s="25" t="n">
        <v>44791</v>
      </c>
      <c r="B4046" s="18" t="n">
        <v>113812.87</v>
      </c>
      <c r="C4046" s="31" t="n"/>
      <c r="D4046" s="32" t="n"/>
      <c r="E4046" s="33" t="n">
        <v>0.2182</v>
      </c>
      <c r="F4046" t="inlineStr">
        <is>
          <t>Up</t>
        </is>
      </c>
      <c r="G4046" t="inlineStr">
        <is>
          <t>Up</t>
        </is>
      </c>
      <c r="H4046" t="inlineStr">
        <is>
          <t>EU_JU</t>
        </is>
      </c>
      <c r="I4046" t="inlineStr">
        <is>
          <t>2022-08</t>
        </is>
      </c>
      <c r="J4046" t="n">
        <v>1</v>
      </c>
      <c r="K4046" t="n">
        <v>1</v>
      </c>
      <c r="L4046" s="34">
        <f>IF($J4046=1,LN(B4047/B4046),"")</f>
        <v/>
      </c>
      <c r="M4046" s="34">
        <f>IF($K4046=1,INDEX(Mensal!$D$2:$D$245,MATCH($I4046,Mensal!$A$2:$A$245,0)),"")</f>
        <v/>
      </c>
      <c r="N4046" s="34">
        <f>IF($K4046=1,L4046-M4046,"")</f>
        <v/>
      </c>
      <c r="O4046" s="34" t="n">
        <v>0.0005078800000000001</v>
      </c>
      <c r="P4046" s="34">
        <f>IF($J4046=1,LN(1+O4046),"")</f>
        <v/>
      </c>
      <c r="Q4046" s="34">
        <f>IF($J4046=1,LN(R4047/R4046),"")</f>
        <v/>
      </c>
      <c r="R4046" s="32" t="n">
        <v>5.1773</v>
      </c>
      <c r="S4046" s="35" t="n">
        <v>13.49</v>
      </c>
      <c r="T4046" s="18" t="n"/>
      <c r="U4046" s="18" t="n">
        <v>113812.87</v>
      </c>
      <c r="V4046" s="18" t="n"/>
      <c r="W4046" s="18" t="n"/>
      <c r="X4046" s="35" t="n">
        <v>13.49</v>
      </c>
      <c r="Y4046" s="35" t="n"/>
    </row>
    <row r="4047">
      <c r="A4047" s="25" t="n">
        <v>44792</v>
      </c>
      <c r="B4047" s="18" t="n">
        <v>111496.21</v>
      </c>
      <c r="C4047" s="31" t="n"/>
      <c r="D4047" s="32" t="n"/>
      <c r="E4047" s="33" t="n">
        <v>0.2081</v>
      </c>
      <c r="F4047" t="inlineStr">
        <is>
          <t>Up</t>
        </is>
      </c>
      <c r="G4047" t="inlineStr">
        <is>
          <t>Up</t>
        </is>
      </c>
      <c r="H4047" t="inlineStr">
        <is>
          <t>EU_JU</t>
        </is>
      </c>
      <c r="I4047" t="inlineStr">
        <is>
          <t>2022-08</t>
        </is>
      </c>
      <c r="J4047" t="n">
        <v>1</v>
      </c>
      <c r="K4047" t="n">
        <v>1</v>
      </c>
      <c r="L4047" s="34">
        <f>IF($J4047=1,LN(B4048/B4047),"")</f>
        <v/>
      </c>
      <c r="M4047" s="34">
        <f>IF($K4047=1,INDEX(Mensal!$D$2:$D$245,MATCH($I4047,Mensal!$A$2:$A$245,0)),"")</f>
        <v/>
      </c>
      <c r="N4047" s="34">
        <f>IF($K4047=1,L4047-M4047,"")</f>
        <v/>
      </c>
      <c r="O4047" s="34" t="n">
        <v>0.0005078800000000001</v>
      </c>
      <c r="P4047" s="34">
        <f>IF($J4047=1,LN(1+O4047),"")</f>
        <v/>
      </c>
      <c r="Q4047" s="34">
        <f>IF($J4047=1,LN(R4048/R4047),"")</f>
        <v/>
      </c>
      <c r="R4047" s="32" t="n">
        <v>5.1961</v>
      </c>
      <c r="S4047" s="35" t="n">
        <v>13.57</v>
      </c>
      <c r="T4047" s="18" t="n"/>
      <c r="U4047" s="18" t="n">
        <v>111496.21</v>
      </c>
      <c r="V4047" s="18" t="n"/>
      <c r="W4047" s="18" t="n"/>
      <c r="X4047" s="35" t="n">
        <v>13.57</v>
      </c>
      <c r="Y4047" s="35" t="n"/>
    </row>
    <row r="4048">
      <c r="A4048" s="25" t="n">
        <v>44795</v>
      </c>
      <c r="B4048" s="18" t="n">
        <v>110500.53</v>
      </c>
      <c r="C4048" s="31" t="n"/>
      <c r="D4048" s="32" t="n"/>
      <c r="E4048" s="33" t="n">
        <v>0.2107</v>
      </c>
      <c r="F4048" t="inlineStr">
        <is>
          <t>Up</t>
        </is>
      </c>
      <c r="G4048" t="inlineStr">
        <is>
          <t>Up</t>
        </is>
      </c>
      <c r="H4048" t="inlineStr">
        <is>
          <t>EU_JU</t>
        </is>
      </c>
      <c r="I4048" t="inlineStr">
        <is>
          <t>2022-08</t>
        </is>
      </c>
      <c r="J4048" t="n">
        <v>1</v>
      </c>
      <c r="K4048" t="n">
        <v>1</v>
      </c>
      <c r="L4048" s="34">
        <f>IF($J4048=1,LN(B4049/B4048),"")</f>
        <v/>
      </c>
      <c r="M4048" s="34">
        <f>IF($K4048=1,INDEX(Mensal!$D$2:$D$245,MATCH($I4048,Mensal!$A$2:$A$245,0)),"")</f>
        <v/>
      </c>
      <c r="N4048" s="34">
        <f>IF($K4048=1,L4048-M4048,"")</f>
        <v/>
      </c>
      <c r="O4048" s="34" t="n">
        <v>0.0005078800000000001</v>
      </c>
      <c r="P4048" s="34">
        <f>IF($J4048=1,LN(1+O4048),"")</f>
        <v/>
      </c>
      <c r="Q4048" s="34">
        <f>IF($J4048=1,LN(R4049/R4048),"")</f>
        <v/>
      </c>
      <c r="R4048" s="32" t="n">
        <v>5.1709</v>
      </c>
      <c r="S4048" s="35" t="n">
        <v>13.58</v>
      </c>
      <c r="T4048" s="18" t="n"/>
      <c r="U4048" s="18" t="n">
        <v>110500.53</v>
      </c>
      <c r="V4048" s="18" t="n"/>
      <c r="W4048" s="18" t="n"/>
      <c r="X4048" s="35" t="n">
        <v>13.58</v>
      </c>
      <c r="Y4048" s="35" t="n"/>
    </row>
    <row r="4049">
      <c r="A4049" s="25" t="n">
        <v>44796</v>
      </c>
      <c r="B4049" s="18" t="n">
        <v>112857.1</v>
      </c>
      <c r="C4049" s="31" t="n"/>
      <c r="D4049" s="32" t="n"/>
      <c r="E4049" s="33" t="n">
        <v>0.2163</v>
      </c>
      <c r="F4049" t="inlineStr">
        <is>
          <t>Up</t>
        </is>
      </c>
      <c r="G4049" t="inlineStr">
        <is>
          <t>Up</t>
        </is>
      </c>
      <c r="H4049" t="inlineStr">
        <is>
          <t>EU_JU</t>
        </is>
      </c>
      <c r="I4049" t="inlineStr">
        <is>
          <t>2022-08</t>
        </is>
      </c>
      <c r="J4049" t="n">
        <v>1</v>
      </c>
      <c r="K4049" t="n">
        <v>1</v>
      </c>
      <c r="L4049" s="34">
        <f>IF($J4049=1,LN(B4050/B4049),"")</f>
        <v/>
      </c>
      <c r="M4049" s="34">
        <f>IF($K4049=1,INDEX(Mensal!$D$2:$D$245,MATCH($I4049,Mensal!$A$2:$A$245,0)),"")</f>
        <v/>
      </c>
      <c r="N4049" s="34">
        <f>IF($K4049=1,L4049-M4049,"")</f>
        <v/>
      </c>
      <c r="O4049" s="34" t="n">
        <v>0.0005078800000000001</v>
      </c>
      <c r="P4049" s="34">
        <f>IF($J4049=1,LN(1+O4049),"")</f>
        <v/>
      </c>
      <c r="Q4049" s="34">
        <f>IF($J4049=1,LN(R4050/R4049),"")</f>
        <v/>
      </c>
      <c r="R4049" s="32" t="n">
        <v>5.103</v>
      </c>
      <c r="S4049" s="35" t="n">
        <v>13.53</v>
      </c>
      <c r="T4049" s="18" t="n"/>
      <c r="U4049" s="18" t="n">
        <v>112857.1</v>
      </c>
      <c r="V4049" s="18" t="n"/>
      <c r="W4049" s="18" t="n"/>
      <c r="X4049" s="35" t="n">
        <v>13.53</v>
      </c>
      <c r="Y4049" s="35" t="n"/>
    </row>
    <row r="4050">
      <c r="A4050" s="25" t="n">
        <v>44797</v>
      </c>
      <c r="B4050" s="18" t="n">
        <v>112897.84</v>
      </c>
      <c r="C4050" s="31" t="n"/>
      <c r="D4050" s="32" t="n"/>
      <c r="E4050" s="33" t="n">
        <v>0.2309</v>
      </c>
      <c r="F4050" t="inlineStr">
        <is>
          <t>Up</t>
        </is>
      </c>
      <c r="G4050" t="inlineStr">
        <is>
          <t>Up</t>
        </is>
      </c>
      <c r="H4050" t="inlineStr">
        <is>
          <t>EU_JU</t>
        </is>
      </c>
      <c r="I4050" t="inlineStr">
        <is>
          <t>2022-08</t>
        </is>
      </c>
      <c r="J4050" t="n">
        <v>1</v>
      </c>
      <c r="K4050" t="n">
        <v>1</v>
      </c>
      <c r="L4050" s="34">
        <f>IF($J4050=1,LN(B4051/B4050),"")</f>
        <v/>
      </c>
      <c r="M4050" s="34">
        <f>IF($K4050=1,INDEX(Mensal!$D$2:$D$245,MATCH($I4050,Mensal!$A$2:$A$245,0)),"")</f>
        <v/>
      </c>
      <c r="N4050" s="34">
        <f>IF($K4050=1,L4050-M4050,"")</f>
        <v/>
      </c>
      <c r="O4050" s="34" t="n">
        <v>0.0005078800000000001</v>
      </c>
      <c r="P4050" s="34">
        <f>IF($J4050=1,LN(1+O4050),"")</f>
        <v/>
      </c>
      <c r="Q4050" s="34">
        <f>IF($J4050=1,LN(R4051/R4050),"")</f>
        <v/>
      </c>
      <c r="R4050" s="32" t="n">
        <v>5.105</v>
      </c>
      <c r="S4050" s="35" t="n">
        <v>13.56</v>
      </c>
      <c r="T4050" s="18" t="n"/>
      <c r="U4050" s="18" t="n">
        <v>112897.84</v>
      </c>
      <c r="V4050" s="18" t="n"/>
      <c r="W4050" s="18" t="n"/>
      <c r="X4050" s="35" t="n">
        <v>13.56</v>
      </c>
      <c r="Y4050" s="35" t="n"/>
    </row>
    <row r="4051">
      <c r="A4051" s="25" t="n">
        <v>44798</v>
      </c>
      <c r="B4051" s="18" t="n">
        <v>113531.72</v>
      </c>
      <c r="C4051" s="31" t="n"/>
      <c r="D4051" s="32" t="n"/>
      <c r="E4051" s="33" t="n">
        <v>0.2419</v>
      </c>
      <c r="F4051" t="inlineStr">
        <is>
          <t>Up</t>
        </is>
      </c>
      <c r="G4051" t="inlineStr">
        <is>
          <t>Up</t>
        </is>
      </c>
      <c r="H4051" t="inlineStr">
        <is>
          <t>EU_JU</t>
        </is>
      </c>
      <c r="I4051" t="inlineStr">
        <is>
          <t>2022-08</t>
        </is>
      </c>
      <c r="J4051" t="n">
        <v>1</v>
      </c>
      <c r="K4051" t="n">
        <v>1</v>
      </c>
      <c r="L4051" s="34">
        <f>IF($J4051=1,LN(B4052/B4051),"")</f>
        <v/>
      </c>
      <c r="M4051" s="34">
        <f>IF($K4051=1,INDEX(Mensal!$D$2:$D$245,MATCH($I4051,Mensal!$A$2:$A$245,0)),"")</f>
        <v/>
      </c>
      <c r="N4051" s="34">
        <f>IF($K4051=1,L4051-M4051,"")</f>
        <v/>
      </c>
      <c r="O4051" s="34" t="n">
        <v>0.0005078800000000001</v>
      </c>
      <c r="P4051" s="34">
        <f>IF($J4051=1,LN(1+O4051),"")</f>
        <v/>
      </c>
      <c r="Q4051" s="34">
        <f>IF($J4051=1,LN(R4052/R4051),"")</f>
        <v/>
      </c>
      <c r="R4051" s="32" t="n">
        <v>5.1173</v>
      </c>
      <c r="S4051" s="35" t="n">
        <v>13.6</v>
      </c>
      <c r="T4051" s="18" t="n"/>
      <c r="U4051" s="18" t="n">
        <v>113531.72</v>
      </c>
      <c r="V4051" s="18" t="n"/>
      <c r="W4051" s="18" t="n"/>
      <c r="X4051" s="35" t="n">
        <v>13.6</v>
      </c>
      <c r="Y4051" s="35" t="n"/>
    </row>
    <row r="4052">
      <c r="A4052" s="25" t="n">
        <v>44799</v>
      </c>
      <c r="B4052" s="18" t="n">
        <v>112298.86</v>
      </c>
      <c r="C4052" s="31" t="n"/>
      <c r="D4052" s="32" t="n"/>
      <c r="E4052" s="33" t="n">
        <v>0.2505</v>
      </c>
      <c r="F4052" t="inlineStr">
        <is>
          <t>Up</t>
        </is>
      </c>
      <c r="G4052" t="inlineStr">
        <is>
          <t>Up</t>
        </is>
      </c>
      <c r="H4052" t="inlineStr">
        <is>
          <t>EU_JU</t>
        </is>
      </c>
      <c r="I4052" t="inlineStr">
        <is>
          <t>2022-08</t>
        </is>
      </c>
      <c r="J4052" t="n">
        <v>1</v>
      </c>
      <c r="K4052" t="n">
        <v>1</v>
      </c>
      <c r="L4052" s="34">
        <f>IF($J4052=1,LN(B4053/B4052),"")</f>
        <v/>
      </c>
      <c r="M4052" s="34">
        <f>IF($K4052=1,INDEX(Mensal!$D$2:$D$245,MATCH($I4052,Mensal!$A$2:$A$245,0)),"")</f>
        <v/>
      </c>
      <c r="N4052" s="34">
        <f>IF($K4052=1,L4052-M4052,"")</f>
        <v/>
      </c>
      <c r="O4052" s="34" t="n">
        <v>0.0005078800000000001</v>
      </c>
      <c r="P4052" s="34">
        <f>IF($J4052=1,LN(1+O4052),"")</f>
        <v/>
      </c>
      <c r="Q4052" s="34">
        <f>IF($J4052=1,LN(R4053/R4052),"")</f>
        <v/>
      </c>
      <c r="R4052" s="32" t="n">
        <v>5.0903</v>
      </c>
      <c r="S4052" s="35" t="n">
        <v>13.53</v>
      </c>
      <c r="T4052" s="18" t="n"/>
      <c r="U4052" s="18" t="n">
        <v>112298.86</v>
      </c>
      <c r="V4052" s="18" t="n"/>
      <c r="W4052" s="18" t="n"/>
      <c r="X4052" s="35" t="n">
        <v>13.53</v>
      </c>
      <c r="Y4052" s="35" t="n"/>
    </row>
    <row r="4053">
      <c r="A4053" s="25" t="n">
        <v>44802</v>
      </c>
      <c r="B4053" s="18" t="n">
        <v>112323.12</v>
      </c>
      <c r="C4053" s="31" t="n"/>
      <c r="D4053" s="32" t="n"/>
      <c r="E4053" s="33" t="n">
        <v>0.246</v>
      </c>
      <c r="F4053" t="inlineStr">
        <is>
          <t>Up</t>
        </is>
      </c>
      <c r="G4053" t="inlineStr">
        <is>
          <t>Up</t>
        </is>
      </c>
      <c r="H4053" t="inlineStr">
        <is>
          <t>EU_JU</t>
        </is>
      </c>
      <c r="I4053" t="inlineStr">
        <is>
          <t>2022-08</t>
        </is>
      </c>
      <c r="J4053" t="n">
        <v>1</v>
      </c>
      <c r="K4053" t="n">
        <v>1</v>
      </c>
      <c r="L4053" s="34">
        <f>IF($J4053=1,LN(B4054/B4053),"")</f>
        <v/>
      </c>
      <c r="M4053" s="34">
        <f>IF($K4053=1,INDEX(Mensal!$D$2:$D$245,MATCH($I4053,Mensal!$A$2:$A$245,0)),"")</f>
        <v/>
      </c>
      <c r="N4053" s="34">
        <f>IF($K4053=1,L4053-M4053,"")</f>
        <v/>
      </c>
      <c r="O4053" s="34" t="n">
        <v>0.0005078800000000001</v>
      </c>
      <c r="P4053" s="34">
        <f>IF($J4053=1,LN(1+O4053),"")</f>
        <v/>
      </c>
      <c r="Q4053" s="34">
        <f>IF($J4053=1,LN(R4054/R4053),"")</f>
        <v/>
      </c>
      <c r="R4053" s="32" t="n">
        <v>5.0428</v>
      </c>
      <c r="S4053" s="35" t="n">
        <v>13.55</v>
      </c>
      <c r="T4053" s="18" t="n"/>
      <c r="U4053" s="18" t="n">
        <v>112323.12</v>
      </c>
      <c r="V4053" s="18" t="n"/>
      <c r="W4053" s="18" t="n"/>
      <c r="X4053" s="35" t="n">
        <v>13.55</v>
      </c>
      <c r="Y4053" s="35" t="n"/>
    </row>
    <row r="4054">
      <c r="A4054" s="25" t="n">
        <v>44803</v>
      </c>
      <c r="B4054" s="18" t="n">
        <v>110430.64</v>
      </c>
      <c r="C4054" s="31" t="n"/>
      <c r="D4054" s="32" t="n"/>
      <c r="E4054" s="33" t="n">
        <v>0.243</v>
      </c>
      <c r="F4054" t="inlineStr">
        <is>
          <t>Up</t>
        </is>
      </c>
      <c r="G4054" t="inlineStr">
        <is>
          <t>Up</t>
        </is>
      </c>
      <c r="H4054" t="inlineStr">
        <is>
          <t>EU_JU</t>
        </is>
      </c>
      <c r="I4054" t="inlineStr">
        <is>
          <t>2022-08</t>
        </is>
      </c>
      <c r="J4054" t="n">
        <v>1</v>
      </c>
      <c r="K4054" t="n">
        <v>1</v>
      </c>
      <c r="L4054" s="34">
        <f>IF($J4054=1,LN(B4055/B4054),"")</f>
        <v/>
      </c>
      <c r="M4054" s="34">
        <f>IF($K4054=1,INDEX(Mensal!$D$2:$D$245,MATCH($I4054,Mensal!$A$2:$A$245,0)),"")</f>
        <v/>
      </c>
      <c r="N4054" s="34">
        <f>IF($K4054=1,L4054-M4054,"")</f>
        <v/>
      </c>
      <c r="O4054" s="34" t="n">
        <v>0.0005078800000000001</v>
      </c>
      <c r="P4054" s="34">
        <f>IF($J4054=1,LN(1+O4054),"")</f>
        <v/>
      </c>
      <c r="Q4054" s="34">
        <f>IF($J4054=1,LN(R4055/R4054),"")</f>
        <v/>
      </c>
      <c r="R4054" s="32" t="n">
        <v>5.0617</v>
      </c>
      <c r="S4054" s="35" t="n">
        <v>13.53</v>
      </c>
      <c r="T4054" s="18" t="n"/>
      <c r="U4054" s="18" t="n">
        <v>110430.64</v>
      </c>
      <c r="V4054" s="18" t="n"/>
      <c r="W4054" s="18" t="n"/>
      <c r="X4054" s="35" t="n">
        <v>13.53</v>
      </c>
      <c r="Y4054" s="35" t="n"/>
    </row>
    <row r="4055">
      <c r="A4055" s="25" t="n">
        <v>44804</v>
      </c>
      <c r="B4055" s="18" t="n">
        <v>109522.88</v>
      </c>
      <c r="C4055" s="31" t="n"/>
      <c r="D4055" s="32" t="n"/>
      <c r="E4055" s="33" t="n">
        <v>0.2391</v>
      </c>
      <c r="F4055" t="inlineStr">
        <is>
          <t>Up</t>
        </is>
      </c>
      <c r="G4055" t="inlineStr">
        <is>
          <t>Up</t>
        </is>
      </c>
      <c r="H4055" t="inlineStr">
        <is>
          <t>EU_JU</t>
        </is>
      </c>
      <c r="I4055" t="inlineStr">
        <is>
          <t>2022-08</t>
        </is>
      </c>
      <c r="J4055" t="n">
        <v>1</v>
      </c>
      <c r="K4055" t="n">
        <v>1</v>
      </c>
      <c r="L4055" s="34">
        <f>IF($J4055=1,LN(B4056/B4055),"")</f>
        <v/>
      </c>
      <c r="M4055" s="34">
        <f>IF($K4055=1,INDEX(Mensal!$D$2:$D$245,MATCH($I4055,Mensal!$A$2:$A$245,0)),"")</f>
        <v/>
      </c>
      <c r="N4055" s="34">
        <f>IF($K4055=1,L4055-M4055,"")</f>
        <v/>
      </c>
      <c r="O4055" s="34" t="n">
        <v>0.0005078800000000001</v>
      </c>
      <c r="P4055" s="34">
        <f>IF($J4055=1,LN(1+O4055),"")</f>
        <v/>
      </c>
      <c r="Q4055" s="34">
        <f>IF($J4055=1,LN(R4056/R4055),"")</f>
        <v/>
      </c>
      <c r="R4055" s="32" t="n">
        <v>5.179</v>
      </c>
      <c r="S4055" s="35" t="n">
        <v>13.44</v>
      </c>
      <c r="T4055" s="18" t="n"/>
      <c r="U4055" s="18" t="n">
        <v>109522.88</v>
      </c>
      <c r="V4055" s="18" t="n"/>
      <c r="W4055" s="18" t="n"/>
      <c r="X4055" s="35" t="n">
        <v>13.44</v>
      </c>
      <c r="Y4055" s="35" t="n"/>
    </row>
    <row r="4056">
      <c r="A4056" s="25" t="n">
        <v>44805</v>
      </c>
      <c r="B4056" s="18" t="n">
        <v>110405.3</v>
      </c>
      <c r="C4056" s="31" t="n"/>
      <c r="D4056" s="32" t="n"/>
      <c r="E4056" s="33" t="n">
        <v>0.2356</v>
      </c>
      <c r="F4056" t="inlineStr">
        <is>
          <t>Up</t>
        </is>
      </c>
      <c r="G4056" t="inlineStr">
        <is>
          <t>Up</t>
        </is>
      </c>
      <c r="H4056" t="inlineStr">
        <is>
          <t>EU_JU</t>
        </is>
      </c>
      <c r="I4056" t="inlineStr">
        <is>
          <t>2022-09</t>
        </is>
      </c>
      <c r="J4056" t="n">
        <v>1</v>
      </c>
      <c r="K4056" t="n">
        <v>1</v>
      </c>
      <c r="L4056" s="34">
        <f>IF($J4056=1,LN(B4057/B4056),"")</f>
        <v/>
      </c>
      <c r="M4056" s="34">
        <f>IF($K4056=1,INDEX(Mensal!$D$2:$D$245,MATCH($I4056,Mensal!$A$2:$A$245,0)),"")</f>
        <v/>
      </c>
      <c r="N4056" s="34">
        <f>IF($K4056=1,L4056-M4056,"")</f>
        <v/>
      </c>
      <c r="O4056" s="34" t="n">
        <v>0.0005078800000000001</v>
      </c>
      <c r="P4056" s="34">
        <f>IF($J4056=1,LN(1+O4056),"")</f>
        <v/>
      </c>
      <c r="Q4056" s="34">
        <f>IF($J4056=1,LN(R4057/R4056),"")</f>
        <v/>
      </c>
      <c r="R4056" s="32" t="n">
        <v>5.2007</v>
      </c>
      <c r="S4056" s="35" t="n">
        <v>13.35</v>
      </c>
      <c r="T4056" s="18" t="n"/>
      <c r="U4056" s="18" t="n">
        <v>110405.3</v>
      </c>
      <c r="V4056" s="18" t="n"/>
      <c r="W4056" s="18" t="n"/>
      <c r="X4056" s="35" t="n">
        <v>13.35</v>
      </c>
      <c r="Y4056" s="35" t="n"/>
    </row>
    <row r="4057">
      <c r="A4057" s="25" t="n">
        <v>44806</v>
      </c>
      <c r="B4057" s="18" t="n">
        <v>110864.24</v>
      </c>
      <c r="C4057" s="31" t="n"/>
      <c r="D4057" s="32" t="n"/>
      <c r="E4057" s="33" t="n">
        <v>0.2489</v>
      </c>
      <c r="F4057" t="inlineStr">
        <is>
          <t>Up</t>
        </is>
      </c>
      <c r="G4057" t="inlineStr">
        <is>
          <t>Up</t>
        </is>
      </c>
      <c r="H4057" t="inlineStr">
        <is>
          <t>EU_JU</t>
        </is>
      </c>
      <c r="I4057" t="inlineStr">
        <is>
          <t>2022-09</t>
        </is>
      </c>
      <c r="J4057" t="n">
        <v>1</v>
      </c>
      <c r="K4057" t="n">
        <v>1</v>
      </c>
      <c r="L4057" s="34">
        <f>IF($J4057=1,LN(B4058/B4057),"")</f>
        <v/>
      </c>
      <c r="M4057" s="34">
        <f>IF($K4057=1,INDEX(Mensal!$D$2:$D$245,MATCH($I4057,Mensal!$A$2:$A$245,0)),"")</f>
        <v/>
      </c>
      <c r="N4057" s="34">
        <f>IF($K4057=1,L4057-M4057,"")</f>
        <v/>
      </c>
      <c r="O4057" s="34" t="n">
        <v>0.0005078800000000001</v>
      </c>
      <c r="P4057" s="34">
        <f>IF($J4057=1,LN(1+O4057),"")</f>
        <v/>
      </c>
      <c r="Q4057" s="34">
        <f>IF($J4057=1,LN(R4058/R4057),"")</f>
        <v/>
      </c>
      <c r="R4057" s="32" t="n">
        <v>5.1878</v>
      </c>
      <c r="S4057" s="35" t="n">
        <v>13.33</v>
      </c>
      <c r="T4057" s="18" t="n"/>
      <c r="U4057" s="18" t="n">
        <v>110864.24</v>
      </c>
      <c r="V4057" s="18" t="n"/>
      <c r="W4057" s="18" t="n"/>
      <c r="X4057" s="35" t="n">
        <v>13.33</v>
      </c>
      <c r="Y4057" s="35" t="n"/>
    </row>
    <row r="4058">
      <c r="A4058" s="25" t="n">
        <v>44809</v>
      </c>
      <c r="B4058" s="18" t="n">
        <v>112203.35</v>
      </c>
      <c r="C4058" s="31" t="n"/>
      <c r="D4058" s="32" t="n"/>
      <c r="E4058" s="33" t="n">
        <v>0.2711</v>
      </c>
      <c r="F4058" t="inlineStr">
        <is>
          <t>Up</t>
        </is>
      </c>
      <c r="G4058" t="inlineStr">
        <is>
          <t>Up</t>
        </is>
      </c>
      <c r="H4058" t="inlineStr">
        <is>
          <t>EU_JU</t>
        </is>
      </c>
      <c r="I4058" t="inlineStr">
        <is>
          <t>2022-09</t>
        </is>
      </c>
      <c r="J4058" t="n">
        <v>1</v>
      </c>
      <c r="K4058" t="n">
        <v>1</v>
      </c>
      <c r="L4058" s="34">
        <f>IF($J4058=1,LN(B4059/B4058),"")</f>
        <v/>
      </c>
      <c r="M4058" s="34">
        <f>IF($K4058=1,INDEX(Mensal!$D$2:$D$245,MATCH($I4058,Mensal!$A$2:$A$245,0)),"")</f>
        <v/>
      </c>
      <c r="N4058" s="34">
        <f>IF($K4058=1,L4058-M4058,"")</f>
        <v/>
      </c>
      <c r="O4058" s="34" t="n">
        <v>0.0005078800000000001</v>
      </c>
      <c r="P4058" s="34">
        <f>IF($J4058=1,LN(1+O4058),"")</f>
        <v/>
      </c>
      <c r="Q4058" s="34">
        <f>IF($J4058=1,LN(R4059/R4058),"")</f>
        <v/>
      </c>
      <c r="R4058" s="32" t="n">
        <v>5.1686</v>
      </c>
      <c r="S4058" s="35" t="n">
        <v>13.55</v>
      </c>
      <c r="T4058" s="18" t="n"/>
      <c r="U4058" s="18" t="n">
        <v>112203.35</v>
      </c>
      <c r="V4058" s="18" t="n"/>
      <c r="W4058" s="18" t="n"/>
      <c r="X4058" s="35" t="n">
        <v>13.55</v>
      </c>
      <c r="Y4058" s="35" t="n"/>
    </row>
    <row r="4059">
      <c r="A4059" s="25" t="n">
        <v>44810</v>
      </c>
      <c r="B4059" s="18" t="n">
        <v>109763.77</v>
      </c>
      <c r="C4059" s="31" t="n"/>
      <c r="D4059" s="32" t="n"/>
      <c r="E4059" s="33" t="n">
        <v>0.292</v>
      </c>
      <c r="F4059" t="inlineStr">
        <is>
          <t>Up</t>
        </is>
      </c>
      <c r="G4059" t="inlineStr">
        <is>
          <t>Up</t>
        </is>
      </c>
      <c r="H4059" t="inlineStr">
        <is>
          <t>EU_JU</t>
        </is>
      </c>
      <c r="I4059" t="inlineStr">
        <is>
          <t>2022-09</t>
        </is>
      </c>
      <c r="J4059" t="n">
        <v>1</v>
      </c>
      <c r="K4059" t="n">
        <v>1</v>
      </c>
      <c r="L4059" s="34">
        <f>IF($J4059=1,LN(B4060/B4059),"")</f>
        <v/>
      </c>
      <c r="M4059" s="34">
        <f>IF($K4059=1,INDEX(Mensal!$D$2:$D$245,MATCH($I4059,Mensal!$A$2:$A$245,0)),"")</f>
        <v/>
      </c>
      <c r="N4059" s="34">
        <f>IF($K4059=1,L4059-M4059,"")</f>
        <v/>
      </c>
      <c r="O4059" s="34" t="n">
        <v>0.0005078800000000001</v>
      </c>
      <c r="P4059" s="34">
        <f>IF($J4059=1,LN(1+O4059),"")</f>
        <v/>
      </c>
      <c r="Q4059" s="34">
        <f>IF($J4059=1,LN(R4060/R4059),"")</f>
        <v/>
      </c>
      <c r="R4059" s="32" t="n">
        <v>5.2228</v>
      </c>
      <c r="S4059" s="35" t="n">
        <v>13.74</v>
      </c>
      <c r="T4059" s="18" t="n"/>
      <c r="U4059" s="18" t="n">
        <v>109763.77</v>
      </c>
      <c r="V4059" s="18" t="n"/>
      <c r="W4059" s="18" t="n"/>
      <c r="X4059" s="35" t="n">
        <v>13.74</v>
      </c>
      <c r="Y4059" s="35" t="n"/>
    </row>
    <row r="4060">
      <c r="A4060" s="25" t="n">
        <v>44812</v>
      </c>
      <c r="B4060" s="18" t="n">
        <v>109915.64</v>
      </c>
      <c r="C4060" s="31" t="n"/>
      <c r="D4060" s="32" t="n"/>
      <c r="E4060" s="33" t="n">
        <v>0.3097</v>
      </c>
      <c r="F4060" t="inlineStr">
        <is>
          <t>Up</t>
        </is>
      </c>
      <c r="G4060" t="inlineStr">
        <is>
          <t>Up</t>
        </is>
      </c>
      <c r="H4060" t="inlineStr">
        <is>
          <t>EU_JU</t>
        </is>
      </c>
      <c r="I4060" t="inlineStr">
        <is>
          <t>2022-09</t>
        </is>
      </c>
      <c r="J4060" t="n">
        <v>1</v>
      </c>
      <c r="K4060" t="n">
        <v>1</v>
      </c>
      <c r="L4060" s="34">
        <f>IF($J4060=1,LN(B4061/B4060),"")</f>
        <v/>
      </c>
      <c r="M4060" s="34">
        <f>IF($K4060=1,INDEX(Mensal!$D$2:$D$245,MATCH($I4060,Mensal!$A$2:$A$245,0)),"")</f>
        <v/>
      </c>
      <c r="N4060" s="34">
        <f>IF($K4060=1,L4060-M4060,"")</f>
        <v/>
      </c>
      <c r="O4060" s="34" t="n">
        <v>0.0005078800000000001</v>
      </c>
      <c r="P4060" s="34">
        <f>IF($J4060=1,LN(1+O4060),"")</f>
        <v/>
      </c>
      <c r="Q4060" s="34">
        <f>IF($J4060=1,LN(R4061/R4060),"")</f>
        <v/>
      </c>
      <c r="R4060" s="32" t="n">
        <v>5.2155</v>
      </c>
      <c r="S4060" s="35" t="n">
        <v>13.65</v>
      </c>
      <c r="T4060" s="18" t="n"/>
      <c r="U4060" s="18" t="n">
        <v>109915.64</v>
      </c>
      <c r="V4060" s="18" t="n"/>
      <c r="W4060" s="18" t="n"/>
      <c r="X4060" s="35" t="n">
        <v>13.65</v>
      </c>
      <c r="Y4060" s="35" t="n"/>
    </row>
    <row r="4061">
      <c r="A4061" s="25" t="n">
        <v>44813</v>
      </c>
      <c r="B4061" s="18" t="n">
        <v>112300.41</v>
      </c>
      <c r="C4061" s="31" t="n"/>
      <c r="D4061" s="32" t="n"/>
      <c r="E4061" s="33" t="n">
        <v>0.3258</v>
      </c>
      <c r="F4061" t="inlineStr">
        <is>
          <t>Up</t>
        </is>
      </c>
      <c r="G4061" t="inlineStr">
        <is>
          <t>Up</t>
        </is>
      </c>
      <c r="H4061" t="inlineStr">
        <is>
          <t>EU_JU</t>
        </is>
      </c>
      <c r="I4061" t="inlineStr">
        <is>
          <t>2022-09</t>
        </is>
      </c>
      <c r="J4061" t="n">
        <v>1</v>
      </c>
      <c r="K4061" t="n">
        <v>1</v>
      </c>
      <c r="L4061" s="34">
        <f>IF($J4061=1,LN(B4062/B4061),"")</f>
        <v/>
      </c>
      <c r="M4061" s="34">
        <f>IF($K4061=1,INDEX(Mensal!$D$2:$D$245,MATCH($I4061,Mensal!$A$2:$A$245,0)),"")</f>
        <v/>
      </c>
      <c r="N4061" s="34">
        <f>IF($K4061=1,L4061-M4061,"")</f>
        <v/>
      </c>
      <c r="O4061" s="34" t="n">
        <v>0.0005078800000000001</v>
      </c>
      <c r="P4061" s="34">
        <f>IF($J4061=1,LN(1+O4061),"")</f>
        <v/>
      </c>
      <c r="Q4061" s="34">
        <f>IF($J4061=1,LN(R4062/R4061),"")</f>
        <v/>
      </c>
      <c r="R4061" s="32" t="n">
        <v>5.1633</v>
      </c>
      <c r="S4061" s="35" t="n">
        <v>13.38</v>
      </c>
      <c r="T4061" s="18" t="n"/>
      <c r="U4061" s="18" t="n">
        <v>112300.41</v>
      </c>
      <c r="V4061" s="18" t="n"/>
      <c r="W4061" s="18" t="n"/>
      <c r="X4061" s="35" t="n">
        <v>13.38</v>
      </c>
      <c r="Y4061" s="35" t="n"/>
    </row>
    <row r="4062">
      <c r="A4062" s="25" t="n">
        <v>44816</v>
      </c>
      <c r="B4062" s="18" t="n">
        <v>113406.55</v>
      </c>
      <c r="C4062" s="31" t="n"/>
      <c r="D4062" s="32" t="n"/>
      <c r="E4062" s="33" t="n">
        <v>0.3467</v>
      </c>
      <c r="F4062" t="inlineStr">
        <is>
          <t>Up</t>
        </is>
      </c>
      <c r="G4062" t="inlineStr">
        <is>
          <t>Up</t>
        </is>
      </c>
      <c r="H4062" t="inlineStr">
        <is>
          <t>EU_JU</t>
        </is>
      </c>
      <c r="I4062" t="inlineStr">
        <is>
          <t>2022-09</t>
        </is>
      </c>
      <c r="J4062" t="n">
        <v>1</v>
      </c>
      <c r="K4062" t="n">
        <v>1</v>
      </c>
      <c r="L4062" s="34">
        <f>IF($J4062=1,LN(B4063/B4062),"")</f>
        <v/>
      </c>
      <c r="M4062" s="34">
        <f>IF($K4062=1,INDEX(Mensal!$D$2:$D$245,MATCH($I4062,Mensal!$A$2:$A$245,0)),"")</f>
        <v/>
      </c>
      <c r="N4062" s="34">
        <f>IF($K4062=1,L4062-M4062,"")</f>
        <v/>
      </c>
      <c r="O4062" s="34" t="n">
        <v>0.0005078800000000001</v>
      </c>
      <c r="P4062" s="34">
        <f>IF($J4062=1,LN(1+O4062),"")</f>
        <v/>
      </c>
      <c r="Q4062" s="34">
        <f>IF($J4062=1,LN(R4063/R4062),"")</f>
        <v/>
      </c>
      <c r="R4062" s="32" t="n">
        <v>5.1183</v>
      </c>
      <c r="S4062" s="35" t="n">
        <v>13.43</v>
      </c>
      <c r="T4062" s="18" t="n"/>
      <c r="U4062" s="18" t="n">
        <v>113406.55</v>
      </c>
      <c r="V4062" s="18" t="n"/>
      <c r="W4062" s="18" t="n"/>
      <c r="X4062" s="35" t="n">
        <v>13.43</v>
      </c>
      <c r="Y4062" s="35" t="n"/>
    </row>
    <row r="4063">
      <c r="A4063" s="25" t="n">
        <v>44817</v>
      </c>
      <c r="B4063" s="18" t="n">
        <v>110793.96</v>
      </c>
      <c r="C4063" s="31" t="n"/>
      <c r="D4063" s="32" t="n"/>
      <c r="E4063" s="33" t="n">
        <v>0.3659</v>
      </c>
      <c r="F4063" t="inlineStr">
        <is>
          <t>Up</t>
        </is>
      </c>
      <c r="G4063" t="inlineStr">
        <is>
          <t>Up</t>
        </is>
      </c>
      <c r="H4063" t="inlineStr">
        <is>
          <t>EU_JU</t>
        </is>
      </c>
      <c r="I4063" t="inlineStr">
        <is>
          <t>2022-09</t>
        </is>
      </c>
      <c r="J4063" t="n">
        <v>1</v>
      </c>
      <c r="K4063" t="n">
        <v>1</v>
      </c>
      <c r="L4063" s="34">
        <f>IF($J4063=1,LN(B4064/B4063),"")</f>
        <v/>
      </c>
      <c r="M4063" s="34">
        <f>IF($K4063=1,INDEX(Mensal!$D$2:$D$245,MATCH($I4063,Mensal!$A$2:$A$245,0)),"")</f>
        <v/>
      </c>
      <c r="N4063" s="34">
        <f>IF($K4063=1,L4063-M4063,"")</f>
        <v/>
      </c>
      <c r="O4063" s="34" t="n">
        <v>0.0005078800000000001</v>
      </c>
      <c r="P4063" s="34">
        <f>IF($J4063=1,LN(1+O4063),"")</f>
        <v/>
      </c>
      <c r="Q4063" s="34">
        <f>IF($J4063=1,LN(R4064/R4063),"")</f>
        <v/>
      </c>
      <c r="R4063" s="32" t="n">
        <v>5.1794</v>
      </c>
      <c r="S4063" s="35" t="n">
        <v>13.53</v>
      </c>
      <c r="T4063" s="18" t="n"/>
      <c r="U4063" s="18" t="n">
        <v>110793.96</v>
      </c>
      <c r="V4063" s="18" t="n"/>
      <c r="W4063" s="18" t="n"/>
      <c r="X4063" s="35" t="n">
        <v>13.53</v>
      </c>
      <c r="Y4063" s="35" t="n"/>
    </row>
    <row r="4064">
      <c r="A4064" s="25" t="n">
        <v>44818</v>
      </c>
      <c r="B4064" s="18" t="n">
        <v>110546.67</v>
      </c>
      <c r="C4064" s="31" t="n"/>
      <c r="D4064" s="32" t="n"/>
      <c r="E4064" s="33" t="n">
        <v>0.3889</v>
      </c>
      <c r="F4064" t="inlineStr">
        <is>
          <t>Up</t>
        </is>
      </c>
      <c r="G4064" t="inlineStr">
        <is>
          <t>Up</t>
        </is>
      </c>
      <c r="H4064" t="inlineStr">
        <is>
          <t>EU_JU</t>
        </is>
      </c>
      <c r="I4064" t="inlineStr">
        <is>
          <t>2022-09</t>
        </is>
      </c>
      <c r="J4064" t="n">
        <v>1</v>
      </c>
      <c r="K4064" t="n">
        <v>1</v>
      </c>
      <c r="L4064" s="34">
        <f>IF($J4064=1,LN(B4065/B4064),"")</f>
        <v/>
      </c>
      <c r="M4064" s="34">
        <f>IF($K4064=1,INDEX(Mensal!$D$2:$D$245,MATCH($I4064,Mensal!$A$2:$A$245,0)),"")</f>
        <v/>
      </c>
      <c r="N4064" s="34">
        <f>IF($K4064=1,L4064-M4064,"")</f>
        <v/>
      </c>
      <c r="O4064" s="34" t="n">
        <v>0.0005078800000000001</v>
      </c>
      <c r="P4064" s="34">
        <f>IF($J4064=1,LN(1+O4064),"")</f>
        <v/>
      </c>
      <c r="Q4064" s="34">
        <f>IF($J4064=1,LN(R4065/R4064),"")</f>
        <v/>
      </c>
      <c r="R4064" s="32" t="n">
        <v>5.1774</v>
      </c>
      <c r="S4064" s="35" t="n">
        <v>13.53</v>
      </c>
      <c r="T4064" s="18" t="n"/>
      <c r="U4064" s="18" t="n">
        <v>110546.67</v>
      </c>
      <c r="V4064" s="18" t="n"/>
      <c r="W4064" s="18" t="n"/>
      <c r="X4064" s="35" t="n">
        <v>13.53</v>
      </c>
      <c r="Y4064" s="35" t="n"/>
    </row>
    <row r="4065">
      <c r="A4065" s="25" t="n">
        <v>44819</v>
      </c>
      <c r="B4065" s="18" t="n">
        <v>109953.65</v>
      </c>
      <c r="C4065" s="31" t="n"/>
      <c r="D4065" s="32" t="n"/>
      <c r="E4065" s="33" t="n">
        <v>0.4067</v>
      </c>
      <c r="F4065" t="inlineStr">
        <is>
          <t>Up</t>
        </is>
      </c>
      <c r="G4065" t="inlineStr">
        <is>
          <t>Up</t>
        </is>
      </c>
      <c r="H4065" t="inlineStr">
        <is>
          <t>EU_JU</t>
        </is>
      </c>
      <c r="I4065" t="inlineStr">
        <is>
          <t>2022-09</t>
        </is>
      </c>
      <c r="J4065" t="n">
        <v>1</v>
      </c>
      <c r="K4065" t="n">
        <v>1</v>
      </c>
      <c r="L4065" s="34">
        <f>IF($J4065=1,LN(B4066/B4065),"")</f>
        <v/>
      </c>
      <c r="M4065" s="34">
        <f>IF($K4065=1,INDEX(Mensal!$D$2:$D$245,MATCH($I4065,Mensal!$A$2:$A$245,0)),"")</f>
        <v/>
      </c>
      <c r="N4065" s="34">
        <f>IF($K4065=1,L4065-M4065,"")</f>
        <v/>
      </c>
      <c r="O4065" s="34" t="n">
        <v>0.0005078800000000001</v>
      </c>
      <c r="P4065" s="34">
        <f>IF($J4065=1,LN(1+O4065),"")</f>
        <v/>
      </c>
      <c r="Q4065" s="34">
        <f>IF($J4065=1,LN(R4066/R4065),"")</f>
        <v/>
      </c>
      <c r="R4065" s="32" t="n">
        <v>5.2211</v>
      </c>
      <c r="S4065" s="35" t="n">
        <v>13.6</v>
      </c>
      <c r="T4065" s="18" t="n"/>
      <c r="U4065" s="18" t="n">
        <v>109953.65</v>
      </c>
      <c r="V4065" s="18" t="n"/>
      <c r="W4065" s="18" t="n"/>
      <c r="X4065" s="35" t="n">
        <v>13.6</v>
      </c>
      <c r="Y4065" s="35" t="n"/>
    </row>
    <row r="4066">
      <c r="A4066" s="25" t="n">
        <v>44820</v>
      </c>
      <c r="B4066" s="18" t="n">
        <v>109280.37</v>
      </c>
      <c r="C4066" s="31" t="n"/>
      <c r="D4066" s="32" t="n"/>
      <c r="E4066" s="33" t="n">
        <v>0.4129</v>
      </c>
      <c r="F4066" t="inlineStr">
        <is>
          <t>Up</t>
        </is>
      </c>
      <c r="G4066" t="inlineStr">
        <is>
          <t>Up</t>
        </is>
      </c>
      <c r="H4066" t="inlineStr">
        <is>
          <t>EU_JU</t>
        </is>
      </c>
      <c r="I4066" t="inlineStr">
        <is>
          <t>2022-09</t>
        </is>
      </c>
      <c r="J4066" t="n">
        <v>1</v>
      </c>
      <c r="K4066" t="n">
        <v>1</v>
      </c>
      <c r="L4066" s="34">
        <f>IF($J4066=1,LN(B4067/B4066),"")</f>
        <v/>
      </c>
      <c r="M4066" s="34">
        <f>IF($K4066=1,INDEX(Mensal!$D$2:$D$245,MATCH($I4066,Mensal!$A$2:$A$245,0)),"")</f>
        <v/>
      </c>
      <c r="N4066" s="34">
        <f>IF($K4066=1,L4066-M4066,"")</f>
        <v/>
      </c>
      <c r="O4066" s="34" t="n">
        <v>0.0005078800000000001</v>
      </c>
      <c r="P4066" s="34">
        <f>IF($J4066=1,LN(1+O4066),"")</f>
        <v/>
      </c>
      <c r="Q4066" s="34">
        <f>IF($J4066=1,LN(R4067/R4066),"")</f>
        <v/>
      </c>
      <c r="R4066" s="32" t="n">
        <v>5.2882</v>
      </c>
      <c r="S4066" s="35" t="n">
        <v>13.65</v>
      </c>
      <c r="T4066" s="18" t="n"/>
      <c r="U4066" s="18" t="n">
        <v>109280.37</v>
      </c>
      <c r="V4066" s="18" t="n"/>
      <c r="W4066" s="18" t="n"/>
      <c r="X4066" s="35" t="n">
        <v>13.65</v>
      </c>
      <c r="Y4066" s="35" t="n"/>
    </row>
    <row r="4067">
      <c r="A4067" s="25" t="n">
        <v>44823</v>
      </c>
      <c r="B4067" s="18" t="n">
        <v>111823.89</v>
      </c>
      <c r="C4067" s="31" t="n"/>
      <c r="D4067" s="32" t="n"/>
      <c r="E4067" s="33" t="n">
        <v>0.4194</v>
      </c>
      <c r="F4067" t="inlineStr">
        <is>
          <t>Up</t>
        </is>
      </c>
      <c r="G4067" t="inlineStr">
        <is>
          <t>Up</t>
        </is>
      </c>
      <c r="H4067" t="inlineStr">
        <is>
          <t>EU_JU</t>
        </is>
      </c>
      <c r="I4067" t="inlineStr">
        <is>
          <t>2022-09</t>
        </is>
      </c>
      <c r="J4067" t="n">
        <v>1</v>
      </c>
      <c r="K4067" t="n">
        <v>1</v>
      </c>
      <c r="L4067" s="34">
        <f>IF($J4067=1,LN(B4068/B4067),"")</f>
        <v/>
      </c>
      <c r="M4067" s="34">
        <f>IF($K4067=1,INDEX(Mensal!$D$2:$D$245,MATCH($I4067,Mensal!$A$2:$A$245,0)),"")</f>
        <v/>
      </c>
      <c r="N4067" s="34">
        <f>IF($K4067=1,L4067-M4067,"")</f>
        <v/>
      </c>
      <c r="O4067" s="34" t="n">
        <v>0.0005078800000000001</v>
      </c>
      <c r="P4067" s="34">
        <f>IF($J4067=1,LN(1+O4067),"")</f>
        <v/>
      </c>
      <c r="Q4067" s="34">
        <f>IF($J4067=1,LN(R4068/R4067),"")</f>
        <v/>
      </c>
      <c r="R4067" s="32" t="n">
        <v>5.2367</v>
      </c>
      <c r="S4067" s="35" t="n">
        <v>13.61</v>
      </c>
      <c r="T4067" s="18" t="n"/>
      <c r="U4067" s="18" t="n">
        <v>111823.89</v>
      </c>
      <c r="V4067" s="18" t="n"/>
      <c r="W4067" s="18" t="n"/>
      <c r="X4067" s="35" t="n">
        <v>13.61</v>
      </c>
      <c r="Y4067" s="35" t="n"/>
    </row>
    <row r="4068">
      <c r="A4068" s="25" t="n">
        <v>44824</v>
      </c>
      <c r="B4068" s="18" t="n">
        <v>112516.91</v>
      </c>
      <c r="C4068" s="31" t="n"/>
      <c r="D4068" s="32" t="n"/>
      <c r="E4068" s="33" t="n">
        <v>0.4161</v>
      </c>
      <c r="F4068" t="inlineStr">
        <is>
          <t>Up</t>
        </is>
      </c>
      <c r="G4068" t="inlineStr">
        <is>
          <t>Up</t>
        </is>
      </c>
      <c r="H4068" t="inlineStr">
        <is>
          <t>EU_JU</t>
        </is>
      </c>
      <c r="I4068" t="inlineStr">
        <is>
          <t>2022-09</t>
        </is>
      </c>
      <c r="J4068" t="n">
        <v>1</v>
      </c>
      <c r="K4068" t="n">
        <v>1</v>
      </c>
      <c r="L4068" s="34">
        <f>IF($J4068=1,LN(B4069/B4068),"")</f>
        <v/>
      </c>
      <c r="M4068" s="34">
        <f>IF($K4068=1,INDEX(Mensal!$D$2:$D$245,MATCH($I4068,Mensal!$A$2:$A$245,0)),"")</f>
        <v/>
      </c>
      <c r="N4068" s="34">
        <f>IF($K4068=1,L4068-M4068,"")</f>
        <v/>
      </c>
      <c r="O4068" s="34" t="n">
        <v>0.0005078800000000001</v>
      </c>
      <c r="P4068" s="34">
        <f>IF($J4068=1,LN(1+O4068),"")</f>
        <v/>
      </c>
      <c r="Q4068" s="34">
        <f>IF($J4068=1,LN(R4069/R4068),"")</f>
        <v/>
      </c>
      <c r="R4068" s="32" t="n">
        <v>5.1705</v>
      </c>
      <c r="S4068" s="35" t="n">
        <v>13.58</v>
      </c>
      <c r="T4068" s="18" t="n"/>
      <c r="U4068" s="18" t="n">
        <v>112516.91</v>
      </c>
      <c r="V4068" s="18" t="n"/>
      <c r="W4068" s="18" t="n"/>
      <c r="X4068" s="35" t="n">
        <v>13.58</v>
      </c>
      <c r="Y4068" s="35" t="n"/>
    </row>
    <row r="4069">
      <c r="A4069" s="25" t="n">
        <v>44825</v>
      </c>
      <c r="B4069" s="18" t="n">
        <v>111935.86</v>
      </c>
      <c r="C4069" s="31" t="n"/>
      <c r="D4069" s="32" t="n"/>
      <c r="E4069" s="33" t="n">
        <v>0.4111</v>
      </c>
      <c r="F4069" t="inlineStr">
        <is>
          <t>Up</t>
        </is>
      </c>
      <c r="G4069" t="inlineStr">
        <is>
          <t>Up</t>
        </is>
      </c>
      <c r="H4069" t="inlineStr">
        <is>
          <t>EU_JU</t>
        </is>
      </c>
      <c r="I4069" t="inlineStr">
        <is>
          <t>2022-09</t>
        </is>
      </c>
      <c r="J4069" t="n">
        <v>1</v>
      </c>
      <c r="K4069" t="n">
        <v>1</v>
      </c>
      <c r="L4069" s="34">
        <f>IF($J4069=1,LN(B4070/B4069),"")</f>
        <v/>
      </c>
      <c r="M4069" s="34">
        <f>IF($K4069=1,INDEX(Mensal!$D$2:$D$245,MATCH($I4069,Mensal!$A$2:$A$245,0)),"")</f>
        <v/>
      </c>
      <c r="N4069" s="34">
        <f>IF($K4069=1,L4069-M4069,"")</f>
        <v/>
      </c>
      <c r="O4069" s="34" t="n">
        <v>0.0005078800000000001</v>
      </c>
      <c r="P4069" s="34">
        <f>IF($J4069=1,LN(1+O4069),"")</f>
        <v/>
      </c>
      <c r="Q4069" s="34">
        <f>IF($J4069=1,LN(R4070/R4069),"")</f>
        <v/>
      </c>
      <c r="R4069" s="32" t="n">
        <v>5.1692</v>
      </c>
      <c r="S4069" s="35" t="n">
        <v>13.48</v>
      </c>
      <c r="T4069" s="18" t="n"/>
      <c r="U4069" s="18" t="n">
        <v>111935.86</v>
      </c>
      <c r="V4069" s="18" t="n"/>
      <c r="W4069" s="18" t="n"/>
      <c r="X4069" s="35" t="n">
        <v>13.48</v>
      </c>
      <c r="Y4069" s="35" t="n"/>
    </row>
    <row r="4070">
      <c r="A4070" s="25" t="n">
        <v>44826</v>
      </c>
      <c r="B4070" s="18" t="n">
        <v>114070.48</v>
      </c>
      <c r="C4070" s="31" t="n"/>
      <c r="D4070" s="32" t="n"/>
      <c r="E4070" s="33" t="n">
        <v>0.3919</v>
      </c>
      <c r="F4070" t="inlineStr">
        <is>
          <t>Up</t>
        </is>
      </c>
      <c r="G4070" t="inlineStr">
        <is>
          <t>Up</t>
        </is>
      </c>
      <c r="H4070" t="inlineStr">
        <is>
          <t>EU_JU</t>
        </is>
      </c>
      <c r="I4070" t="inlineStr">
        <is>
          <t>2022-09</t>
        </is>
      </c>
      <c r="J4070" t="n">
        <v>1</v>
      </c>
      <c r="K4070" t="n">
        <v>1</v>
      </c>
      <c r="L4070" s="34">
        <f>IF($J4070=1,LN(B4071/B4070),"")</f>
        <v/>
      </c>
      <c r="M4070" s="34">
        <f>IF($K4070=1,INDEX(Mensal!$D$2:$D$245,MATCH($I4070,Mensal!$A$2:$A$245,0)),"")</f>
        <v/>
      </c>
      <c r="N4070" s="34">
        <f>IF($K4070=1,L4070-M4070,"")</f>
        <v/>
      </c>
      <c r="O4070" s="34" t="n">
        <v>0.0005078800000000001</v>
      </c>
      <c r="P4070" s="34">
        <f>IF($J4070=1,LN(1+O4070),"")</f>
        <v/>
      </c>
      <c r="Q4070" s="34">
        <f>IF($J4070=1,LN(R4071/R4070),"")</f>
        <v/>
      </c>
      <c r="R4070" s="32" t="n">
        <v>5.1677</v>
      </c>
      <c r="S4070" s="35" t="n">
        <v>13.26</v>
      </c>
      <c r="T4070" s="18" t="n"/>
      <c r="U4070" s="18" t="n">
        <v>114070.48</v>
      </c>
      <c r="V4070" s="18" t="n"/>
      <c r="W4070" s="18" t="n"/>
      <c r="X4070" s="35" t="n">
        <v>13.26</v>
      </c>
      <c r="Y4070" s="35" t="n"/>
    </row>
    <row r="4071">
      <c r="A4071" s="25" t="n">
        <v>44827</v>
      </c>
      <c r="B4071" s="18" t="n">
        <v>111716</v>
      </c>
      <c r="C4071" s="31" t="n"/>
      <c r="D4071" s="32" t="n"/>
      <c r="E4071" s="33" t="n">
        <v>0.3841</v>
      </c>
      <c r="F4071" t="inlineStr">
        <is>
          <t>Up</t>
        </is>
      </c>
      <c r="G4071" t="inlineStr">
        <is>
          <t>Up</t>
        </is>
      </c>
      <c r="H4071" t="inlineStr">
        <is>
          <t>EU_JU</t>
        </is>
      </c>
      <c r="I4071" t="inlineStr">
        <is>
          <t>2022-09</t>
        </is>
      </c>
      <c r="J4071" t="n">
        <v>1</v>
      </c>
      <c r="K4071" t="n">
        <v>1</v>
      </c>
      <c r="L4071" s="34">
        <f>IF($J4071=1,LN(B4072/B4071),"")</f>
        <v/>
      </c>
      <c r="M4071" s="34">
        <f>IF($K4071=1,INDEX(Mensal!$D$2:$D$245,MATCH($I4071,Mensal!$A$2:$A$245,0)),"")</f>
        <v/>
      </c>
      <c r="N4071" s="34">
        <f>IF($K4071=1,L4071-M4071,"")</f>
        <v/>
      </c>
      <c r="O4071" s="34" t="n">
        <v>0.0005078800000000001</v>
      </c>
      <c r="P4071" s="34">
        <f>IF($J4071=1,LN(1+O4071),"")</f>
        <v/>
      </c>
      <c r="Q4071" s="34">
        <f>IF($J4071=1,LN(R4072/R4071),"")</f>
        <v/>
      </c>
      <c r="R4071" s="32" t="n">
        <v>5.2257</v>
      </c>
      <c r="S4071" s="35" t="n">
        <v>13.28</v>
      </c>
      <c r="T4071" s="18" t="n"/>
      <c r="U4071" s="18" t="n">
        <v>111716</v>
      </c>
      <c r="V4071" s="18" t="n"/>
      <c r="W4071" s="18" t="n"/>
      <c r="X4071" s="35" t="n">
        <v>13.28</v>
      </c>
      <c r="Y4071" s="35" t="n"/>
    </row>
    <row r="4072">
      <c r="A4072" s="25" t="n">
        <v>44830</v>
      </c>
      <c r="B4072" s="18" t="n">
        <v>109114.16</v>
      </c>
      <c r="C4072" s="31" t="n"/>
      <c r="D4072" s="32" t="n"/>
      <c r="E4072" s="33" t="n">
        <v>0.3725</v>
      </c>
      <c r="F4072" t="inlineStr">
        <is>
          <t>Up</t>
        </is>
      </c>
      <c r="G4072" t="inlineStr">
        <is>
          <t>Up</t>
        </is>
      </c>
      <c r="H4072" t="inlineStr">
        <is>
          <t>EU_JU</t>
        </is>
      </c>
      <c r="I4072" t="inlineStr">
        <is>
          <t>2022-09</t>
        </is>
      </c>
      <c r="J4072" t="n">
        <v>1</v>
      </c>
      <c r="K4072" t="n">
        <v>1</v>
      </c>
      <c r="L4072" s="34">
        <f>IF($J4072=1,LN(B4073/B4072),"")</f>
        <v/>
      </c>
      <c r="M4072" s="34">
        <f>IF($K4072=1,INDEX(Mensal!$D$2:$D$245,MATCH($I4072,Mensal!$A$2:$A$245,0)),"")</f>
        <v/>
      </c>
      <c r="N4072" s="34">
        <f>IF($K4072=1,L4072-M4072,"")</f>
        <v/>
      </c>
      <c r="O4072" s="34" t="n">
        <v>0.0005078800000000001</v>
      </c>
      <c r="P4072" s="34">
        <f>IF($J4072=1,LN(1+O4072),"")</f>
        <v/>
      </c>
      <c r="Q4072" s="34">
        <f>IF($J4072=1,LN(R4073/R4072),"")</f>
        <v/>
      </c>
      <c r="R4072" s="32" t="n">
        <v>5.3548</v>
      </c>
      <c r="S4072" s="35" t="n">
        <v>13.35</v>
      </c>
      <c r="T4072" s="18" t="n"/>
      <c r="U4072" s="18" t="n">
        <v>109114.16</v>
      </c>
      <c r="V4072" s="18" t="n"/>
      <c r="W4072" s="18" t="n"/>
      <c r="X4072" s="35" t="n">
        <v>13.35</v>
      </c>
      <c r="Y4072" s="35" t="n"/>
    </row>
    <row r="4073">
      <c r="A4073" s="25" t="n">
        <v>44831</v>
      </c>
      <c r="B4073" s="18" t="n">
        <v>108376.35</v>
      </c>
      <c r="C4073" s="31" t="n"/>
      <c r="D4073" s="32" t="n"/>
      <c r="E4073" s="33" t="n">
        <v>0.3637</v>
      </c>
      <c r="F4073" t="inlineStr">
        <is>
          <t>Up</t>
        </is>
      </c>
      <c r="G4073" t="inlineStr">
        <is>
          <t>Up</t>
        </is>
      </c>
      <c r="H4073" t="inlineStr">
        <is>
          <t>EU_JU</t>
        </is>
      </c>
      <c r="I4073" t="inlineStr">
        <is>
          <t>2022-09</t>
        </is>
      </c>
      <c r="J4073" t="n">
        <v>1</v>
      </c>
      <c r="K4073" t="n">
        <v>1</v>
      </c>
      <c r="L4073" s="34">
        <f>IF($J4073=1,LN(B4074/B4073),"")</f>
        <v/>
      </c>
      <c r="M4073" s="34">
        <f>IF($K4073=1,INDEX(Mensal!$D$2:$D$245,MATCH($I4073,Mensal!$A$2:$A$245,0)),"")</f>
        <v/>
      </c>
      <c r="N4073" s="34">
        <f>IF($K4073=1,L4073-M4073,"")</f>
        <v/>
      </c>
      <c r="O4073" s="34" t="n">
        <v>0.0005078800000000001</v>
      </c>
      <c r="P4073" s="34">
        <f>IF($J4073=1,LN(1+O4073),"")</f>
        <v/>
      </c>
      <c r="Q4073" s="34">
        <f>IF($J4073=1,LN(R4074/R4073),"")</f>
        <v/>
      </c>
      <c r="R4073" s="32" t="n">
        <v>5.3508</v>
      </c>
      <c r="S4073" s="35" t="n">
        <v>13.21</v>
      </c>
      <c r="T4073" s="18" t="n"/>
      <c r="U4073" s="18" t="n">
        <v>108376.35</v>
      </c>
      <c r="V4073" s="18" t="n"/>
      <c r="W4073" s="18" t="n"/>
      <c r="X4073" s="35" t="n">
        <v>13.21</v>
      </c>
      <c r="Y4073" s="35" t="n"/>
    </row>
    <row r="4074">
      <c r="A4074" s="25" t="n">
        <v>44832</v>
      </c>
      <c r="B4074" s="18" t="n">
        <v>108451.2</v>
      </c>
      <c r="C4074" s="31" t="n"/>
      <c r="D4074" s="32" t="n"/>
      <c r="E4074" s="33" t="n">
        <v>0.3531</v>
      </c>
      <c r="F4074" t="inlineStr">
        <is>
          <t>Up</t>
        </is>
      </c>
      <c r="G4074" t="inlineStr">
        <is>
          <t>Up</t>
        </is>
      </c>
      <c r="H4074" t="inlineStr">
        <is>
          <t>EU_JU</t>
        </is>
      </c>
      <c r="I4074" t="inlineStr">
        <is>
          <t>2022-09</t>
        </is>
      </c>
      <c r="J4074" t="n">
        <v>1</v>
      </c>
      <c r="K4074" t="n">
        <v>1</v>
      </c>
      <c r="L4074" s="34">
        <f>IF($J4074=1,LN(B4075/B4074),"")</f>
        <v/>
      </c>
      <c r="M4074" s="34">
        <f>IF($K4074=1,INDEX(Mensal!$D$2:$D$245,MATCH($I4074,Mensal!$A$2:$A$245,0)),"")</f>
        <v/>
      </c>
      <c r="N4074" s="34">
        <f>IF($K4074=1,L4074-M4074,"")</f>
        <v/>
      </c>
      <c r="O4074" s="34" t="n">
        <v>0.0005078800000000001</v>
      </c>
      <c r="P4074" s="34">
        <f>IF($J4074=1,LN(1+O4074),"")</f>
        <v/>
      </c>
      <c r="Q4074" s="34">
        <f>IF($J4074=1,LN(R4075/R4074),"")</f>
        <v/>
      </c>
      <c r="R4074" s="32" t="n">
        <v>5.3594</v>
      </c>
      <c r="S4074" s="35" t="n">
        <v>13.3</v>
      </c>
      <c r="T4074" s="18" t="n"/>
      <c r="U4074" s="18" t="n">
        <v>108451.2</v>
      </c>
      <c r="V4074" s="18" t="n"/>
      <c r="W4074" s="18" t="n"/>
      <c r="X4074" s="35" t="n">
        <v>13.3</v>
      </c>
      <c r="Y4074" s="35" t="n"/>
    </row>
    <row r="4075">
      <c r="A4075" s="25" t="n">
        <v>44833</v>
      </c>
      <c r="B4075" s="18" t="n">
        <v>107664.35</v>
      </c>
      <c r="C4075" s="31" t="n"/>
      <c r="D4075" s="32" t="n"/>
      <c r="E4075" s="33" t="n">
        <v>0.3392</v>
      </c>
      <c r="F4075" t="inlineStr">
        <is>
          <t>Up</t>
        </is>
      </c>
      <c r="G4075" t="inlineStr">
        <is>
          <t>Up</t>
        </is>
      </c>
      <c r="H4075" t="inlineStr">
        <is>
          <t>EU_JU</t>
        </is>
      </c>
      <c r="I4075" t="inlineStr">
        <is>
          <t>2022-09</t>
        </is>
      </c>
      <c r="J4075" t="n">
        <v>1</v>
      </c>
      <c r="K4075" t="n">
        <v>1</v>
      </c>
      <c r="L4075" s="34">
        <f>IF($J4075=1,LN(B4076/B4075),"")</f>
        <v/>
      </c>
      <c r="M4075" s="34">
        <f>IF($K4075=1,INDEX(Mensal!$D$2:$D$245,MATCH($I4075,Mensal!$A$2:$A$245,0)),"")</f>
        <v/>
      </c>
      <c r="N4075" s="34">
        <f>IF($K4075=1,L4075-M4075,"")</f>
        <v/>
      </c>
      <c r="O4075" s="34" t="n">
        <v>0.0005078800000000001</v>
      </c>
      <c r="P4075" s="34">
        <f>IF($J4075=1,LN(1+O4075),"")</f>
        <v/>
      </c>
      <c r="Q4075" s="34">
        <f>IF($J4075=1,LN(R4076/R4075),"")</f>
        <v/>
      </c>
      <c r="R4075" s="32" t="n">
        <v>5.3916</v>
      </c>
      <c r="S4075" s="35" t="n">
        <v>13.25</v>
      </c>
      <c r="T4075" s="18" t="n"/>
      <c r="U4075" s="18" t="n">
        <v>107664.35</v>
      </c>
      <c r="V4075" s="18" t="n"/>
      <c r="W4075" s="18" t="n"/>
      <c r="X4075" s="35" t="n">
        <v>13.25</v>
      </c>
      <c r="Y4075" s="35" t="n"/>
    </row>
    <row r="4076">
      <c r="A4076" s="25" t="n">
        <v>44834</v>
      </c>
      <c r="B4076" s="18" t="n">
        <v>110036.79</v>
      </c>
      <c r="C4076" s="31" t="n"/>
      <c r="D4076" s="32" t="n"/>
      <c r="E4076" s="33" t="n">
        <v>0.3254</v>
      </c>
      <c r="F4076" t="inlineStr">
        <is>
          <t>Up</t>
        </is>
      </c>
      <c r="G4076" t="inlineStr">
        <is>
          <t>Up</t>
        </is>
      </c>
      <c r="H4076" t="inlineStr">
        <is>
          <t>EU_JU</t>
        </is>
      </c>
      <c r="I4076" t="inlineStr">
        <is>
          <t>2022-09</t>
        </is>
      </c>
      <c r="J4076" t="n">
        <v>1</v>
      </c>
      <c r="K4076" t="n">
        <v>1</v>
      </c>
      <c r="L4076" s="34">
        <f>IF($J4076=1,LN(B4077/B4076),"")</f>
        <v/>
      </c>
      <c r="M4076" s="34">
        <f>IF($K4076=1,INDEX(Mensal!$D$2:$D$245,MATCH($I4076,Mensal!$A$2:$A$245,0)),"")</f>
        <v/>
      </c>
      <c r="N4076" s="34">
        <f>IF($K4076=1,L4076-M4076,"")</f>
        <v/>
      </c>
      <c r="O4076" s="34" t="n">
        <v>0.0005078800000000001</v>
      </c>
      <c r="P4076" s="34">
        <f>IF($J4076=1,LN(1+O4076),"")</f>
        <v/>
      </c>
      <c r="Q4076" s="34">
        <f>IF($J4076=1,LN(R4077/R4076),"")</f>
        <v/>
      </c>
      <c r="R4076" s="32" t="n">
        <v>5.4066</v>
      </c>
      <c r="S4076" s="35" t="n">
        <v>13.21</v>
      </c>
      <c r="T4076" s="18" t="n"/>
      <c r="U4076" s="18" t="n">
        <v>110036.79</v>
      </c>
      <c r="V4076" s="18" t="n"/>
      <c r="W4076" s="18" t="n"/>
      <c r="X4076" s="35" t="n">
        <v>13.21</v>
      </c>
      <c r="Y4076" s="35" t="n"/>
    </row>
    <row r="4077">
      <c r="A4077" s="25" t="n">
        <v>44837</v>
      </c>
      <c r="B4077" s="18" t="n">
        <v>116134.46</v>
      </c>
      <c r="C4077" s="31" t="n"/>
      <c r="D4077" s="32" t="n"/>
      <c r="E4077" s="33" t="n">
        <v>0.3126</v>
      </c>
      <c r="F4077" t="inlineStr">
        <is>
          <t>Up</t>
        </is>
      </c>
      <c r="G4077" t="inlineStr">
        <is>
          <t>Up</t>
        </is>
      </c>
      <c r="H4077" t="inlineStr">
        <is>
          <t>EU_JU</t>
        </is>
      </c>
      <c r="I4077" t="inlineStr">
        <is>
          <t>2022-10</t>
        </is>
      </c>
      <c r="J4077" t="n">
        <v>1</v>
      </c>
      <c r="K4077" t="n">
        <v>1</v>
      </c>
      <c r="L4077" s="34">
        <f>IF($J4077=1,LN(B4078/B4077),"")</f>
        <v/>
      </c>
      <c r="M4077" s="34">
        <f>IF($K4077=1,INDEX(Mensal!$D$2:$D$245,MATCH($I4077,Mensal!$A$2:$A$245,0)),"")</f>
        <v/>
      </c>
      <c r="N4077" s="34">
        <f>IF($K4077=1,L4077-M4077,"")</f>
        <v/>
      </c>
      <c r="O4077" s="34" t="n">
        <v>0.0005078800000000001</v>
      </c>
      <c r="P4077" s="34">
        <f>IF($J4077=1,LN(1+O4077),"")</f>
        <v/>
      </c>
      <c r="Q4077" s="34">
        <f>IF($J4077=1,LN(R4078/R4077),"")</f>
        <v/>
      </c>
      <c r="R4077" s="32" t="n">
        <v>5.2002</v>
      </c>
      <c r="S4077" s="35" t="n">
        <v>13.14</v>
      </c>
      <c r="T4077" s="18" t="n"/>
      <c r="U4077" s="18" t="n">
        <v>116134.46</v>
      </c>
      <c r="V4077" s="18" t="n"/>
      <c r="W4077" s="18" t="n"/>
      <c r="X4077" s="35" t="n">
        <v>13.14</v>
      </c>
      <c r="Y4077" s="35" t="n"/>
    </row>
    <row r="4078">
      <c r="A4078" s="25" t="n">
        <v>44838</v>
      </c>
      <c r="B4078" s="18" t="n">
        <v>116230.12</v>
      </c>
      <c r="C4078" s="31" t="n"/>
      <c r="D4078" s="32" t="n"/>
      <c r="E4078" s="33" t="n">
        <v>0.3003</v>
      </c>
      <c r="F4078" t="inlineStr">
        <is>
          <t>Up</t>
        </is>
      </c>
      <c r="G4078" t="inlineStr">
        <is>
          <t>Up</t>
        </is>
      </c>
      <c r="H4078" t="inlineStr">
        <is>
          <t>EU_JU</t>
        </is>
      </c>
      <c r="I4078" t="inlineStr">
        <is>
          <t>2022-10</t>
        </is>
      </c>
      <c r="J4078" t="n">
        <v>1</v>
      </c>
      <c r="K4078" t="n">
        <v>1</v>
      </c>
      <c r="L4078" s="34">
        <f>IF($J4078=1,LN(B4079/B4078),"")</f>
        <v/>
      </c>
      <c r="M4078" s="34">
        <f>IF($K4078=1,INDEX(Mensal!$D$2:$D$245,MATCH($I4078,Mensal!$A$2:$A$245,0)),"")</f>
        <v/>
      </c>
      <c r="N4078" s="34">
        <f>IF($K4078=1,L4078-M4078,"")</f>
        <v/>
      </c>
      <c r="O4078" s="34" t="n">
        <v>0.0005078800000000001</v>
      </c>
      <c r="P4078" s="34">
        <f>IF($J4078=1,LN(1+O4078),"")</f>
        <v/>
      </c>
      <c r="Q4078" s="34">
        <f>IF($J4078=1,LN(R4079/R4078),"")</f>
        <v/>
      </c>
      <c r="R4078" s="32" t="n">
        <v>5.1411</v>
      </c>
      <c r="S4078" s="35" t="n">
        <v>13.14</v>
      </c>
      <c r="T4078" s="18" t="n"/>
      <c r="U4078" s="18" t="n">
        <v>116230.12</v>
      </c>
      <c r="V4078" s="18" t="n"/>
      <c r="W4078" s="18" t="n"/>
      <c r="X4078" s="35" t="n">
        <v>13.14</v>
      </c>
      <c r="Y4078" s="35" t="n"/>
    </row>
    <row r="4079">
      <c r="A4079" s="25" t="n">
        <v>44839</v>
      </c>
      <c r="B4079" s="18" t="n">
        <v>117197.82</v>
      </c>
      <c r="C4079" s="31" t="n"/>
      <c r="D4079" s="32" t="n"/>
      <c r="E4079" s="33" t="n">
        <v>0.2833</v>
      </c>
      <c r="F4079" t="inlineStr">
        <is>
          <t>Up</t>
        </is>
      </c>
      <c r="G4079" t="inlineStr">
        <is>
          <t>Up</t>
        </is>
      </c>
      <c r="H4079" t="inlineStr">
        <is>
          <t>EU_JU</t>
        </is>
      </c>
      <c r="I4079" t="inlineStr">
        <is>
          <t>2022-10</t>
        </is>
      </c>
      <c r="J4079" t="n">
        <v>1</v>
      </c>
      <c r="K4079" t="n">
        <v>1</v>
      </c>
      <c r="L4079" s="34">
        <f>IF($J4079=1,LN(B4080/B4079),"")</f>
        <v/>
      </c>
      <c r="M4079" s="34">
        <f>IF($K4079=1,INDEX(Mensal!$D$2:$D$245,MATCH($I4079,Mensal!$A$2:$A$245,0)),"")</f>
        <v/>
      </c>
      <c r="N4079" s="34">
        <f>IF($K4079=1,L4079-M4079,"")</f>
        <v/>
      </c>
      <c r="O4079" s="34" t="n">
        <v>0.0005078800000000001</v>
      </c>
      <c r="P4079" s="34">
        <f>IF($J4079=1,LN(1+O4079),"")</f>
        <v/>
      </c>
      <c r="Q4079" s="34">
        <f>IF($J4079=1,LN(R4080/R4079),"")</f>
        <v/>
      </c>
      <c r="R4079" s="32" t="n">
        <v>5.2144</v>
      </c>
      <c r="S4079" s="35" t="n">
        <v>13.15</v>
      </c>
      <c r="T4079" s="18" t="n"/>
      <c r="U4079" s="18" t="n">
        <v>117197.82</v>
      </c>
      <c r="V4079" s="18" t="n"/>
      <c r="W4079" s="18" t="n"/>
      <c r="X4079" s="35" t="n">
        <v>13.15</v>
      </c>
      <c r="Y4079" s="35" t="n"/>
    </row>
    <row r="4080">
      <c r="A4080" s="25" t="n">
        <v>44840</v>
      </c>
      <c r="B4080" s="18" t="n">
        <v>117560.83</v>
      </c>
      <c r="C4080" s="31" t="n"/>
      <c r="D4080" s="32" t="n"/>
      <c r="E4080" s="33" t="n">
        <v>0.2491</v>
      </c>
      <c r="F4080" t="inlineStr">
        <is>
          <t>Up</t>
        </is>
      </c>
      <c r="G4080" t="inlineStr">
        <is>
          <t>Up</t>
        </is>
      </c>
      <c r="H4080" t="inlineStr">
        <is>
          <t>EU_JU</t>
        </is>
      </c>
      <c r="I4080" t="inlineStr">
        <is>
          <t>2022-10</t>
        </is>
      </c>
      <c r="J4080" t="n">
        <v>1</v>
      </c>
      <c r="K4080" t="n">
        <v>1</v>
      </c>
      <c r="L4080" s="34">
        <f>IF($J4080=1,LN(B4081/B4080),"")</f>
        <v/>
      </c>
      <c r="M4080" s="34">
        <f>IF($K4080=1,INDEX(Mensal!$D$2:$D$245,MATCH($I4080,Mensal!$A$2:$A$245,0)),"")</f>
        <v/>
      </c>
      <c r="N4080" s="34">
        <f>IF($K4080=1,L4080-M4080,"")</f>
        <v/>
      </c>
      <c r="O4080" s="34" t="n">
        <v>0.0005078800000000001</v>
      </c>
      <c r="P4080" s="34">
        <f>IF($J4080=1,LN(1+O4080),"")</f>
        <v/>
      </c>
      <c r="Q4080" s="34">
        <f>IF($J4080=1,LN(R4081/R4080),"")</f>
        <v/>
      </c>
      <c r="R4080" s="32" t="n">
        <v>5.2009</v>
      </c>
      <c r="S4080" s="35" t="n">
        <v>13.16</v>
      </c>
      <c r="T4080" s="18" t="n"/>
      <c r="U4080" s="18" t="n">
        <v>117560.83</v>
      </c>
      <c r="V4080" s="18" t="n"/>
      <c r="W4080" s="18" t="n"/>
      <c r="X4080" s="35" t="n">
        <v>13.16</v>
      </c>
      <c r="Y4080" s="35" t="n"/>
    </row>
    <row r="4081">
      <c r="A4081" s="25" t="n">
        <v>44841</v>
      </c>
      <c r="B4081" s="18" t="n">
        <v>116375.25</v>
      </c>
      <c r="C4081" s="31" t="n"/>
      <c r="D4081" s="32" t="n"/>
      <c r="E4081" s="33" t="n">
        <v>0.2113</v>
      </c>
      <c r="F4081" t="inlineStr">
        <is>
          <t>Up</t>
        </is>
      </c>
      <c r="G4081" t="inlineStr">
        <is>
          <t>Up</t>
        </is>
      </c>
      <c r="H4081" t="inlineStr">
        <is>
          <t>EU_JU</t>
        </is>
      </c>
      <c r="I4081" t="inlineStr">
        <is>
          <t>2022-10</t>
        </is>
      </c>
      <c r="J4081" t="n">
        <v>1</v>
      </c>
      <c r="K4081" t="n">
        <v>1</v>
      </c>
      <c r="L4081" s="34">
        <f>IF($J4081=1,LN(B4082/B4081),"")</f>
        <v/>
      </c>
      <c r="M4081" s="34">
        <f>IF($K4081=1,INDEX(Mensal!$D$2:$D$245,MATCH($I4081,Mensal!$A$2:$A$245,0)),"")</f>
        <v/>
      </c>
      <c r="N4081" s="34">
        <f>IF($K4081=1,L4081-M4081,"")</f>
        <v/>
      </c>
      <c r="O4081" s="34" t="n">
        <v>0.0005078800000000001</v>
      </c>
      <c r="P4081" s="34">
        <f>IF($J4081=1,LN(1+O4081),"")</f>
        <v/>
      </c>
      <c r="Q4081" s="34">
        <f>IF($J4081=1,LN(R4082/R4081),"")</f>
        <v/>
      </c>
      <c r="R4081" s="32" t="n">
        <v>5.2221</v>
      </c>
      <c r="S4081" s="35" t="n">
        <v>13.18</v>
      </c>
      <c r="T4081" s="18" t="n"/>
      <c r="U4081" s="18" t="n">
        <v>116375.25</v>
      </c>
      <c r="V4081" s="18" t="n"/>
      <c r="W4081" s="18" t="n"/>
      <c r="X4081" s="35" t="n">
        <v>13.18</v>
      </c>
      <c r="Y4081" s="35" t="n"/>
    </row>
    <row r="4082">
      <c r="A4082" s="25" t="n">
        <v>44844</v>
      </c>
      <c r="B4082" s="18" t="n">
        <v>115940.64</v>
      </c>
      <c r="C4082" s="31" t="n"/>
      <c r="D4082" s="32" t="n"/>
      <c r="E4082" s="33" t="n">
        <v>0.1739</v>
      </c>
      <c r="F4082" t="inlineStr">
        <is>
          <t>Up</t>
        </is>
      </c>
      <c r="G4082" t="inlineStr">
        <is>
          <t>Up</t>
        </is>
      </c>
      <c r="H4082" t="inlineStr">
        <is>
          <t>EU_JU</t>
        </is>
      </c>
      <c r="I4082" t="inlineStr">
        <is>
          <t>2022-10</t>
        </is>
      </c>
      <c r="J4082" t="n">
        <v>1</v>
      </c>
      <c r="K4082" t="n">
        <v>1</v>
      </c>
      <c r="L4082" s="34">
        <f>IF($J4082=1,LN(B4083/B4082),"")</f>
        <v/>
      </c>
      <c r="M4082" s="34">
        <f>IF($K4082=1,INDEX(Mensal!$D$2:$D$245,MATCH($I4082,Mensal!$A$2:$A$245,0)),"")</f>
        <v/>
      </c>
      <c r="N4082" s="34">
        <f>IF($K4082=1,L4082-M4082,"")</f>
        <v/>
      </c>
      <c r="O4082" s="34" t="n">
        <v>0.0005078800000000001</v>
      </c>
      <c r="P4082" s="34">
        <f>IF($J4082=1,LN(1+O4082),"")</f>
        <v/>
      </c>
      <c r="Q4082" s="34">
        <f>IF($J4082=1,LN(R4083/R4082),"")</f>
        <v/>
      </c>
      <c r="R4082" s="32" t="n">
        <v>5.1941</v>
      </c>
      <c r="S4082" s="35" t="n">
        <v>13.12</v>
      </c>
      <c r="T4082" s="18" t="n"/>
      <c r="U4082" s="18" t="n">
        <v>115940.64</v>
      </c>
      <c r="V4082" s="18" t="n"/>
      <c r="W4082" s="18" t="n"/>
      <c r="X4082" s="35" t="n">
        <v>13.12</v>
      </c>
      <c r="Y4082" s="35" t="n"/>
    </row>
    <row r="4083">
      <c r="A4083" s="25" t="n">
        <v>44845</v>
      </c>
      <c r="B4083" s="18" t="n">
        <v>114827.12</v>
      </c>
      <c r="C4083" s="31" t="n"/>
      <c r="D4083" s="32" t="n"/>
      <c r="E4083" s="33" t="n">
        <v>0.1336</v>
      </c>
      <c r="F4083" t="inlineStr">
        <is>
          <t>Up</t>
        </is>
      </c>
      <c r="G4083" t="inlineStr">
        <is>
          <t>Up</t>
        </is>
      </c>
      <c r="H4083" t="inlineStr">
        <is>
          <t>EU_JU</t>
        </is>
      </c>
      <c r="I4083" t="inlineStr">
        <is>
          <t>2022-10</t>
        </is>
      </c>
      <c r="J4083" t="n">
        <v>1</v>
      </c>
      <c r="K4083" t="n">
        <v>1</v>
      </c>
      <c r="L4083" s="34">
        <f>IF($J4083=1,LN(B4084/B4083),"")</f>
        <v/>
      </c>
      <c r="M4083" s="34">
        <f>IF($K4083=1,INDEX(Mensal!$D$2:$D$245,MATCH($I4083,Mensal!$A$2:$A$245,0)),"")</f>
        <v/>
      </c>
      <c r="N4083" s="34">
        <f>IF($K4083=1,L4083-M4083,"")</f>
        <v/>
      </c>
      <c r="O4083" s="34" t="n">
        <v>0.0005078800000000001</v>
      </c>
      <c r="P4083" s="34">
        <f>IF($J4083=1,LN(1+O4083),"")</f>
        <v/>
      </c>
      <c r="Q4083" s="34">
        <f>IF($J4083=1,LN(R4084/R4083),"")</f>
        <v/>
      </c>
      <c r="R4083" s="32" t="n">
        <v>5.2068</v>
      </c>
      <c r="S4083" s="35" t="n">
        <v>13.15</v>
      </c>
      <c r="T4083" s="18" t="n"/>
      <c r="U4083" s="18" t="n">
        <v>114827.12</v>
      </c>
      <c r="V4083" s="18" t="n"/>
      <c r="W4083" s="18" t="n"/>
      <c r="X4083" s="35" t="n">
        <v>13.15</v>
      </c>
      <c r="Y4083" s="35" t="n"/>
    </row>
    <row r="4084">
      <c r="A4084" s="25" t="n">
        <v>44847</v>
      </c>
      <c r="B4084" s="18" t="n">
        <v>114300.09</v>
      </c>
      <c r="C4084" s="31" t="n"/>
      <c r="D4084" s="32" t="n"/>
      <c r="E4084" s="33" t="n">
        <v>0.0872</v>
      </c>
      <c r="F4084" t="inlineStr">
        <is>
          <t>Up</t>
        </is>
      </c>
      <c r="G4084" t="inlineStr">
        <is>
          <t>Up</t>
        </is>
      </c>
      <c r="H4084" t="inlineStr">
        <is>
          <t>EU_JU</t>
        </is>
      </c>
      <c r="I4084" t="inlineStr">
        <is>
          <t>2022-10</t>
        </is>
      </c>
      <c r="J4084" t="n">
        <v>1</v>
      </c>
      <c r="K4084" t="n">
        <v>1</v>
      </c>
      <c r="L4084" s="34">
        <f>IF($J4084=1,LN(B4085/B4084),"")</f>
        <v/>
      </c>
      <c r="M4084" s="34">
        <f>IF($K4084=1,INDEX(Mensal!$D$2:$D$245,MATCH($I4084,Mensal!$A$2:$A$245,0)),"")</f>
        <v/>
      </c>
      <c r="N4084" s="34">
        <f>IF($K4084=1,L4084-M4084,"")</f>
        <v/>
      </c>
      <c r="O4084" s="34" t="n">
        <v>0.0005078800000000001</v>
      </c>
      <c r="P4084" s="34">
        <f>IF($J4084=1,LN(1+O4084),"")</f>
        <v/>
      </c>
      <c r="Q4084" s="34">
        <f>IF($J4084=1,LN(R4085/R4084),"")</f>
        <v/>
      </c>
      <c r="R4084" s="32" t="n">
        <v>5.3017</v>
      </c>
      <c r="S4084" s="35" t="n">
        <v>13.15</v>
      </c>
      <c r="T4084" s="18" t="n"/>
      <c r="U4084" s="18" t="n">
        <v>114300.09</v>
      </c>
      <c r="V4084" s="18" t="n"/>
      <c r="W4084" s="18" t="n"/>
      <c r="X4084" s="35" t="n">
        <v>13.15</v>
      </c>
      <c r="Y4084" s="35" t="n"/>
    </row>
    <row r="4085">
      <c r="A4085" s="25" t="n">
        <v>44848</v>
      </c>
      <c r="B4085" s="18" t="n">
        <v>112072.34</v>
      </c>
      <c r="C4085" s="31" t="n"/>
      <c r="D4085" s="32" t="n"/>
      <c r="E4085" s="33" t="n">
        <v>0.0427</v>
      </c>
      <c r="F4085" t="inlineStr">
        <is>
          <t>Up</t>
        </is>
      </c>
      <c r="G4085" t="inlineStr">
        <is>
          <t>Up</t>
        </is>
      </c>
      <c r="H4085" t="inlineStr">
        <is>
          <t>EU_JU</t>
        </is>
      </c>
      <c r="I4085" t="inlineStr">
        <is>
          <t>2022-10</t>
        </is>
      </c>
      <c r="J4085" t="n">
        <v>1</v>
      </c>
      <c r="K4085" t="n">
        <v>1</v>
      </c>
      <c r="L4085" s="34">
        <f>IF($J4085=1,LN(B4086/B4085),"")</f>
        <v/>
      </c>
      <c r="M4085" s="34">
        <f>IF($K4085=1,INDEX(Mensal!$D$2:$D$245,MATCH($I4085,Mensal!$A$2:$A$245,0)),"")</f>
        <v/>
      </c>
      <c r="N4085" s="34">
        <f>IF($K4085=1,L4085-M4085,"")</f>
        <v/>
      </c>
      <c r="O4085" s="34" t="n">
        <v>0.0005078800000000001</v>
      </c>
      <c r="P4085" s="34">
        <f>IF($J4085=1,LN(1+O4085),"")</f>
        <v/>
      </c>
      <c r="Q4085" s="34">
        <f>IF($J4085=1,LN(R4086/R4085),"")</f>
        <v/>
      </c>
      <c r="R4085" s="32" t="n">
        <v>5.2824</v>
      </c>
      <c r="S4085" s="35" t="n">
        <v>13.19</v>
      </c>
      <c r="T4085" s="18" t="n"/>
      <c r="U4085" s="18" t="n">
        <v>112072.34</v>
      </c>
      <c r="V4085" s="18" t="n"/>
      <c r="W4085" s="18" t="n"/>
      <c r="X4085" s="35" t="n">
        <v>13.19</v>
      </c>
      <c r="Y4085" s="35" t="n"/>
    </row>
    <row r="4086">
      <c r="A4086" s="25" t="n">
        <v>44851</v>
      </c>
      <c r="B4086" s="18" t="n">
        <v>113623.98</v>
      </c>
      <c r="C4086" s="31" t="n"/>
      <c r="D4086" s="32" t="n"/>
      <c r="E4086" s="33" t="n">
        <v>-0.0049</v>
      </c>
      <c r="F4086" t="inlineStr">
        <is>
          <t>Up</t>
        </is>
      </c>
      <c r="G4086" t="inlineStr">
        <is>
          <t>Up</t>
        </is>
      </c>
      <c r="H4086" t="inlineStr">
        <is>
          <t>EU_JU</t>
        </is>
      </c>
      <c r="I4086" t="inlineStr">
        <is>
          <t>2022-10</t>
        </is>
      </c>
      <c r="J4086" t="n">
        <v>1</v>
      </c>
      <c r="K4086" t="n">
        <v>1</v>
      </c>
      <c r="L4086" s="34">
        <f>IF($J4086=1,LN(B4087/B4086),"")</f>
        <v/>
      </c>
      <c r="M4086" s="34">
        <f>IF($K4086=1,INDEX(Mensal!$D$2:$D$245,MATCH($I4086,Mensal!$A$2:$A$245,0)),"")</f>
        <v/>
      </c>
      <c r="N4086" s="34">
        <f>IF($K4086=1,L4086-M4086,"")</f>
        <v/>
      </c>
      <c r="O4086" s="34" t="n">
        <v>0.0005078800000000001</v>
      </c>
      <c r="P4086" s="34">
        <f>IF($J4086=1,LN(1+O4086),"")</f>
        <v/>
      </c>
      <c r="Q4086" s="34">
        <f>IF($J4086=1,LN(R4087/R4086),"")</f>
        <v/>
      </c>
      <c r="R4086" s="32" t="n">
        <v>5.2713</v>
      </c>
      <c r="S4086" s="35" t="n">
        <v>13.15</v>
      </c>
      <c r="T4086" s="18" t="n"/>
      <c r="U4086" s="18" t="n">
        <v>113623.98</v>
      </c>
      <c r="V4086" s="18" t="n"/>
      <c r="W4086" s="18" t="n"/>
      <c r="X4086" s="35" t="n">
        <v>13.15</v>
      </c>
      <c r="Y4086" s="35" t="n"/>
    </row>
    <row r="4087">
      <c r="A4087" s="25" t="n">
        <v>44852</v>
      </c>
      <c r="B4087" s="18" t="n">
        <v>115743.07</v>
      </c>
      <c r="C4087" s="31" t="n"/>
      <c r="D4087" s="32" t="n"/>
      <c r="E4087" s="33" t="n">
        <v>-0.052</v>
      </c>
      <c r="F4087" t="inlineStr">
        <is>
          <t>Up</t>
        </is>
      </c>
      <c r="G4087" t="inlineStr">
        <is>
          <t>Up</t>
        </is>
      </c>
      <c r="H4087" t="inlineStr">
        <is>
          <t>EU_JU</t>
        </is>
      </c>
      <c r="I4087" t="inlineStr">
        <is>
          <t>2022-10</t>
        </is>
      </c>
      <c r="J4087" t="n">
        <v>1</v>
      </c>
      <c r="K4087" t="n">
        <v>1</v>
      </c>
      <c r="L4087" s="34">
        <f>IF($J4087=1,LN(B4088/B4087),"")</f>
        <v/>
      </c>
      <c r="M4087" s="34">
        <f>IF($K4087=1,INDEX(Mensal!$D$2:$D$245,MATCH($I4087,Mensal!$A$2:$A$245,0)),"")</f>
        <v/>
      </c>
      <c r="N4087" s="34">
        <f>IF($K4087=1,L4087-M4087,"")</f>
        <v/>
      </c>
      <c r="O4087" s="34" t="n">
        <v>0.0005078800000000001</v>
      </c>
      <c r="P4087" s="34">
        <f>IF($J4087=1,LN(1+O4087),"")</f>
        <v/>
      </c>
      <c r="Q4087" s="34">
        <f>IF($J4087=1,LN(R4088/R4087),"")</f>
        <v/>
      </c>
      <c r="R4087" s="32" t="n">
        <v>5.2697</v>
      </c>
      <c r="S4087" s="35" t="n">
        <v>13.14</v>
      </c>
      <c r="T4087" s="18" t="n"/>
      <c r="U4087" s="18" t="n">
        <v>115743.07</v>
      </c>
      <c r="V4087" s="18" t="n"/>
      <c r="W4087" s="18" t="n"/>
      <c r="X4087" s="35" t="n">
        <v>13.14</v>
      </c>
      <c r="Y4087" s="35" t="n"/>
    </row>
    <row r="4088">
      <c r="A4088" s="25" t="n">
        <v>44853</v>
      </c>
      <c r="B4088" s="18" t="n">
        <v>116274.24</v>
      </c>
      <c r="C4088" s="31" t="n"/>
      <c r="D4088" s="32" t="n"/>
      <c r="E4088" s="33" t="n">
        <v>-0.1</v>
      </c>
      <c r="F4088" t="inlineStr">
        <is>
          <t>Up</t>
        </is>
      </c>
      <c r="G4088" t="inlineStr">
        <is>
          <t>Up</t>
        </is>
      </c>
      <c r="H4088" t="inlineStr">
        <is>
          <t>EU_JU</t>
        </is>
      </c>
      <c r="I4088" t="inlineStr">
        <is>
          <t>2022-10</t>
        </is>
      </c>
      <c r="J4088" t="n">
        <v>1</v>
      </c>
      <c r="K4088" t="n">
        <v>1</v>
      </c>
      <c r="L4088" s="34">
        <f>IF($J4088=1,LN(B4089/B4088),"")</f>
        <v/>
      </c>
      <c r="M4088" s="34">
        <f>IF($K4088=1,INDEX(Mensal!$D$2:$D$245,MATCH($I4088,Mensal!$A$2:$A$245,0)),"")</f>
        <v/>
      </c>
      <c r="N4088" s="34">
        <f>IF($K4088=1,L4088-M4088,"")</f>
        <v/>
      </c>
      <c r="O4088" s="34" t="n">
        <v>0.0005078800000000001</v>
      </c>
      <c r="P4088" s="34">
        <f>IF($J4088=1,LN(1+O4088),"")</f>
        <v/>
      </c>
      <c r="Q4088" s="34">
        <f>IF($J4088=1,LN(R4089/R4088),"")</f>
        <v/>
      </c>
      <c r="R4088" s="32" t="n">
        <v>5.2808</v>
      </c>
      <c r="S4088" s="35" t="n">
        <v>13.16</v>
      </c>
      <c r="T4088" s="18" t="n"/>
      <c r="U4088" s="18" t="n">
        <v>116274.24</v>
      </c>
      <c r="V4088" s="18" t="n"/>
      <c r="W4088" s="18" t="n"/>
      <c r="X4088" s="35" t="n">
        <v>13.16</v>
      </c>
      <c r="Y4088" s="35" t="n"/>
    </row>
    <row r="4089">
      <c r="A4089" s="25" t="n">
        <v>44854</v>
      </c>
      <c r="B4089" s="18" t="n">
        <v>117171.11</v>
      </c>
      <c r="C4089" s="31" t="n"/>
      <c r="D4089" s="32" t="n"/>
      <c r="E4089" s="33" t="n">
        <v>-0.1401</v>
      </c>
      <c r="F4089" t="inlineStr">
        <is>
          <t>Up</t>
        </is>
      </c>
      <c r="G4089" t="inlineStr">
        <is>
          <t>Up</t>
        </is>
      </c>
      <c r="H4089" t="inlineStr">
        <is>
          <t>EU_JU</t>
        </is>
      </c>
      <c r="I4089" t="inlineStr">
        <is>
          <t>2022-10</t>
        </is>
      </c>
      <c r="J4089" t="n">
        <v>1</v>
      </c>
      <c r="K4089" t="n">
        <v>1</v>
      </c>
      <c r="L4089" s="34">
        <f>IF($J4089=1,LN(B4090/B4089),"")</f>
        <v/>
      </c>
      <c r="M4089" s="34">
        <f>IF($K4089=1,INDEX(Mensal!$D$2:$D$245,MATCH($I4089,Mensal!$A$2:$A$245,0)),"")</f>
        <v/>
      </c>
      <c r="N4089" s="34">
        <f>IF($K4089=1,L4089-M4089,"")</f>
        <v/>
      </c>
      <c r="O4089" s="34" t="n">
        <v>0.0005078800000000001</v>
      </c>
      <c r="P4089" s="34">
        <f>IF($J4089=1,LN(1+O4089),"")</f>
        <v/>
      </c>
      <c r="Q4089" s="34">
        <f>IF($J4089=1,LN(R4090/R4089),"")</f>
        <v/>
      </c>
      <c r="R4089" s="32" t="n">
        <v>5.2176</v>
      </c>
      <c r="S4089" s="35" t="n">
        <v>13.16</v>
      </c>
      <c r="T4089" s="18" t="n"/>
      <c r="U4089" s="18" t="n">
        <v>117171.11</v>
      </c>
      <c r="V4089" s="18" t="n"/>
      <c r="W4089" s="18" t="n"/>
      <c r="X4089" s="35" t="n">
        <v>13.16</v>
      </c>
      <c r="Y4089" s="35" t="n"/>
    </row>
    <row r="4090">
      <c r="A4090" s="25" t="n">
        <v>44855</v>
      </c>
      <c r="B4090" s="18" t="n">
        <v>119928.79</v>
      </c>
      <c r="C4090" s="31" t="n"/>
      <c r="D4090" s="32" t="n"/>
      <c r="E4090" s="33" t="n">
        <v>-0.1667</v>
      </c>
      <c r="F4090" t="inlineStr">
        <is>
          <t>Up</t>
        </is>
      </c>
      <c r="G4090" t="inlineStr">
        <is>
          <t>Up</t>
        </is>
      </c>
      <c r="H4090" t="inlineStr">
        <is>
          <t>EU_JU</t>
        </is>
      </c>
      <c r="I4090" t="inlineStr">
        <is>
          <t>2022-10</t>
        </is>
      </c>
      <c r="J4090" t="n">
        <v>1</v>
      </c>
      <c r="K4090" t="n">
        <v>1</v>
      </c>
      <c r="L4090" s="34">
        <f>IF($J4090=1,LN(B4091/B4090),"")</f>
        <v/>
      </c>
      <c r="M4090" s="34">
        <f>IF($K4090=1,INDEX(Mensal!$D$2:$D$245,MATCH($I4090,Mensal!$A$2:$A$245,0)),"")</f>
        <v/>
      </c>
      <c r="N4090" s="34">
        <f>IF($K4090=1,L4090-M4090,"")</f>
        <v/>
      </c>
      <c r="O4090" s="34" t="n">
        <v>0.0005078800000000001</v>
      </c>
      <c r="P4090" s="34">
        <f>IF($J4090=1,LN(1+O4090),"")</f>
        <v/>
      </c>
      <c r="Q4090" s="34">
        <f>IF($J4090=1,LN(R4091/R4090),"")</f>
        <v/>
      </c>
      <c r="R4090" s="32" t="n">
        <v>5.1919</v>
      </c>
      <c r="S4090" s="35" t="n">
        <v>13.14</v>
      </c>
      <c r="T4090" s="18" t="n"/>
      <c r="U4090" s="18" t="n">
        <v>119928.79</v>
      </c>
      <c r="V4090" s="18" t="n"/>
      <c r="W4090" s="18" t="n"/>
      <c r="X4090" s="35" t="n">
        <v>13.14</v>
      </c>
      <c r="Y4090" s="35" t="n"/>
    </row>
    <row r="4091">
      <c r="A4091" s="25" t="n">
        <v>44858</v>
      </c>
      <c r="B4091" s="18" t="n">
        <v>116012.7</v>
      </c>
      <c r="C4091" s="31" t="n"/>
      <c r="D4091" s="32" t="n"/>
      <c r="E4091" s="33" t="n">
        <v>-0.2046</v>
      </c>
      <c r="F4091" t="inlineStr">
        <is>
          <t>Up</t>
        </is>
      </c>
      <c r="G4091" t="inlineStr">
        <is>
          <t>Up</t>
        </is>
      </c>
      <c r="H4091" t="inlineStr">
        <is>
          <t>EU_JU</t>
        </is>
      </c>
      <c r="I4091" t="inlineStr">
        <is>
          <t>2022-10</t>
        </is>
      </c>
      <c r="J4091" t="n">
        <v>1</v>
      </c>
      <c r="K4091" t="n">
        <v>1</v>
      </c>
      <c r="L4091" s="34">
        <f>IF($J4091=1,LN(B4092/B4091),"")</f>
        <v/>
      </c>
      <c r="M4091" s="34">
        <f>IF($K4091=1,INDEX(Mensal!$D$2:$D$245,MATCH($I4091,Mensal!$A$2:$A$245,0)),"")</f>
        <v/>
      </c>
      <c r="N4091" s="34">
        <f>IF($K4091=1,L4091-M4091,"")</f>
        <v/>
      </c>
      <c r="O4091" s="34" t="n">
        <v>0.0005078800000000001</v>
      </c>
      <c r="P4091" s="34">
        <f>IF($J4091=1,LN(1+O4091),"")</f>
        <v/>
      </c>
      <c r="Q4091" s="34">
        <f>IF($J4091=1,LN(R4092/R4091),"")</f>
        <v/>
      </c>
      <c r="R4091" s="32" t="n">
        <v>5.2744</v>
      </c>
      <c r="S4091" s="35" t="n">
        <v>13.15</v>
      </c>
      <c r="T4091" s="18" t="n"/>
      <c r="U4091" s="18" t="n">
        <v>116012.7</v>
      </c>
      <c r="V4091" s="18" t="n"/>
      <c r="W4091" s="18" t="n"/>
      <c r="X4091" s="35" t="n">
        <v>13.15</v>
      </c>
      <c r="Y4091" s="35" t="n"/>
    </row>
    <row r="4092">
      <c r="A4092" s="25" t="n">
        <v>44859</v>
      </c>
      <c r="B4092" s="18" t="n">
        <v>114625.59</v>
      </c>
      <c r="C4092" s="31" t="n"/>
      <c r="D4092" s="32" t="n"/>
      <c r="E4092" s="33" t="n">
        <v>-0.2479</v>
      </c>
      <c r="F4092" t="inlineStr">
        <is>
          <t>Up</t>
        </is>
      </c>
      <c r="G4092" t="inlineStr">
        <is>
          <t>Up</t>
        </is>
      </c>
      <c r="H4092" t="inlineStr">
        <is>
          <t>EU_JU</t>
        </is>
      </c>
      <c r="I4092" t="inlineStr">
        <is>
          <t>2022-10</t>
        </is>
      </c>
      <c r="J4092" t="n">
        <v>1</v>
      </c>
      <c r="K4092" t="n">
        <v>1</v>
      </c>
      <c r="L4092" s="34">
        <f>IF($J4092=1,LN(B4093/B4092),"")</f>
        <v/>
      </c>
      <c r="M4092" s="34">
        <f>IF($K4092=1,INDEX(Mensal!$D$2:$D$245,MATCH($I4092,Mensal!$A$2:$A$245,0)),"")</f>
        <v/>
      </c>
      <c r="N4092" s="34">
        <f>IF($K4092=1,L4092-M4092,"")</f>
        <v/>
      </c>
      <c r="O4092" s="34" t="n">
        <v>0.0005078800000000001</v>
      </c>
      <c r="P4092" s="34">
        <f>IF($J4092=1,LN(1+O4092),"")</f>
        <v/>
      </c>
      <c r="Q4092" s="34">
        <f>IF($J4092=1,LN(R4093/R4092),"")</f>
        <v/>
      </c>
      <c r="R4092" s="32" t="n">
        <v>5.3091</v>
      </c>
      <c r="S4092" s="35" t="n">
        <v>13.18</v>
      </c>
      <c r="T4092" s="18" t="n"/>
      <c r="U4092" s="18" t="n">
        <v>114625.59</v>
      </c>
      <c r="V4092" s="18" t="n"/>
      <c r="W4092" s="18" t="n"/>
      <c r="X4092" s="35" t="n">
        <v>13.18</v>
      </c>
      <c r="Y4092" s="35" t="n"/>
    </row>
    <row r="4093">
      <c r="A4093" s="25" t="n">
        <v>44860</v>
      </c>
      <c r="B4093" s="18" t="n">
        <v>112763.79</v>
      </c>
      <c r="C4093" s="31" t="n"/>
      <c r="D4093" s="32" t="n"/>
      <c r="E4093" s="33" t="n">
        <v>-0.2899</v>
      </c>
      <c r="F4093" t="inlineStr">
        <is>
          <t>Up</t>
        </is>
      </c>
      <c r="G4093" t="inlineStr">
        <is>
          <t>Up</t>
        </is>
      </c>
      <c r="H4093" t="inlineStr">
        <is>
          <t>EU_JU</t>
        </is>
      </c>
      <c r="I4093" t="inlineStr">
        <is>
          <t>2022-10</t>
        </is>
      </c>
      <c r="J4093" t="n">
        <v>1</v>
      </c>
      <c r="K4093" t="n">
        <v>1</v>
      </c>
      <c r="L4093" s="34">
        <f>IF($J4093=1,LN(B4094/B4093),"")</f>
        <v/>
      </c>
      <c r="M4093" s="34">
        <f>IF($K4093=1,INDEX(Mensal!$D$2:$D$245,MATCH($I4093,Mensal!$A$2:$A$245,0)),"")</f>
        <v/>
      </c>
      <c r="N4093" s="34">
        <f>IF($K4093=1,L4093-M4093,"")</f>
        <v/>
      </c>
      <c r="O4093" s="34" t="n">
        <v>0.0005078800000000001</v>
      </c>
      <c r="P4093" s="34">
        <f>IF($J4093=1,LN(1+O4093),"")</f>
        <v/>
      </c>
      <c r="Q4093" s="34">
        <f>IF($J4093=1,LN(R4094/R4093),"")</f>
        <v/>
      </c>
      <c r="R4093" s="32" t="n">
        <v>5.3248</v>
      </c>
      <c r="S4093" s="35" t="n">
        <v>13.22</v>
      </c>
      <c r="T4093" s="18" t="n"/>
      <c r="U4093" s="18" t="n">
        <v>112763.79</v>
      </c>
      <c r="V4093" s="18" t="n"/>
      <c r="W4093" s="18" t="n"/>
      <c r="X4093" s="35" t="n">
        <v>13.22</v>
      </c>
      <c r="Y4093" s="35" t="n"/>
    </row>
    <row r="4094">
      <c r="A4094" s="25" t="n">
        <v>44861</v>
      </c>
      <c r="B4094" s="18" t="n">
        <v>114640.76</v>
      </c>
      <c r="C4094" s="31" t="n"/>
      <c r="D4094" s="32" t="n"/>
      <c r="E4094" s="33" t="n">
        <v>-0.3379</v>
      </c>
      <c r="F4094" t="inlineStr">
        <is>
          <t>Up</t>
        </is>
      </c>
      <c r="G4094" t="inlineStr">
        <is>
          <t>Up</t>
        </is>
      </c>
      <c r="H4094" t="inlineStr">
        <is>
          <t>EU_JU</t>
        </is>
      </c>
      <c r="I4094" t="inlineStr">
        <is>
          <t>2022-10</t>
        </is>
      </c>
      <c r="J4094" t="n">
        <v>1</v>
      </c>
      <c r="K4094" t="n">
        <v>1</v>
      </c>
      <c r="L4094" s="34">
        <f>IF($J4094=1,LN(B4095/B4094),"")</f>
        <v/>
      </c>
      <c r="M4094" s="34">
        <f>IF($K4094=1,INDEX(Mensal!$D$2:$D$245,MATCH($I4094,Mensal!$A$2:$A$245,0)),"")</f>
        <v/>
      </c>
      <c r="N4094" s="34">
        <f>IF($K4094=1,L4094-M4094,"")</f>
        <v/>
      </c>
      <c r="O4094" s="34" t="n">
        <v>0.0005078800000000001</v>
      </c>
      <c r="P4094" s="34">
        <f>IF($J4094=1,LN(1+O4094),"")</f>
        <v/>
      </c>
      <c r="Q4094" s="34">
        <f>IF($J4094=1,LN(R4095/R4094),"")</f>
        <v/>
      </c>
      <c r="R4094" s="32" t="n">
        <v>5.3003</v>
      </c>
      <c r="S4094" s="35" t="n">
        <v>13.21</v>
      </c>
      <c r="T4094" s="18" t="n"/>
      <c r="U4094" s="18" t="n">
        <v>114640.76</v>
      </c>
      <c r="V4094" s="18" t="n"/>
      <c r="W4094" s="18" t="n"/>
      <c r="X4094" s="35" t="n">
        <v>13.21</v>
      </c>
      <c r="Y4094" s="35" t="n"/>
    </row>
    <row r="4095">
      <c r="A4095" s="25" t="n">
        <v>44862</v>
      </c>
      <c r="B4095" s="18" t="n">
        <v>114539.05</v>
      </c>
      <c r="C4095" s="31" t="n"/>
      <c r="D4095" s="32" t="n"/>
      <c r="E4095" s="33" t="n">
        <v>-0.397</v>
      </c>
      <c r="F4095" t="inlineStr">
        <is>
          <t>Up</t>
        </is>
      </c>
      <c r="G4095" t="inlineStr">
        <is>
          <t>Up</t>
        </is>
      </c>
      <c r="H4095" t="inlineStr">
        <is>
          <t>EU_JU</t>
        </is>
      </c>
      <c r="I4095" t="inlineStr">
        <is>
          <t>2022-10</t>
        </is>
      </c>
      <c r="J4095" t="n">
        <v>1</v>
      </c>
      <c r="K4095" t="n">
        <v>1</v>
      </c>
      <c r="L4095" s="34">
        <f>IF($J4095=1,LN(B4096/B4095),"")</f>
        <v/>
      </c>
      <c r="M4095" s="34">
        <f>IF($K4095=1,INDEX(Mensal!$D$2:$D$245,MATCH($I4095,Mensal!$A$2:$A$245,0)),"")</f>
        <v/>
      </c>
      <c r="N4095" s="34">
        <f>IF($K4095=1,L4095-M4095,"")</f>
        <v/>
      </c>
      <c r="O4095" s="34" t="n">
        <v>0.0005078800000000001</v>
      </c>
      <c r="P4095" s="34">
        <f>IF($J4095=1,LN(1+O4095),"")</f>
        <v/>
      </c>
      <c r="Q4095" s="34">
        <f>IF($J4095=1,LN(R4096/R4095),"")</f>
        <v/>
      </c>
      <c r="R4095" s="32" t="n">
        <v>5.3454</v>
      </c>
      <c r="S4095" s="35" t="n">
        <v>13.21</v>
      </c>
      <c r="T4095" s="18" t="n"/>
      <c r="U4095" s="18" t="n">
        <v>114539.05</v>
      </c>
      <c r="V4095" s="18" t="n"/>
      <c r="W4095" s="18" t="n"/>
      <c r="X4095" s="35" t="n">
        <v>13.21</v>
      </c>
      <c r="Y4095" s="35" t="n"/>
    </row>
    <row r="4096">
      <c r="A4096" s="25" t="n">
        <v>44865</v>
      </c>
      <c r="B4096" s="18" t="n">
        <v>116037.08</v>
      </c>
      <c r="C4096" s="31" t="n"/>
      <c r="D4096" s="32" t="n"/>
      <c r="E4096" s="33" t="n">
        <v>-0.4337</v>
      </c>
      <c r="F4096" t="inlineStr">
        <is>
          <t>Up</t>
        </is>
      </c>
      <c r="G4096" t="inlineStr">
        <is>
          <t>Up</t>
        </is>
      </c>
      <c r="H4096" t="inlineStr">
        <is>
          <t>EU_JU</t>
        </is>
      </c>
      <c r="I4096" t="inlineStr">
        <is>
          <t>2022-10</t>
        </is>
      </c>
      <c r="J4096" t="n">
        <v>1</v>
      </c>
      <c r="K4096" t="n">
        <v>1</v>
      </c>
      <c r="L4096" s="34">
        <f>IF($J4096=1,LN(B4097/B4096),"")</f>
        <v/>
      </c>
      <c r="M4096" s="34">
        <f>IF($K4096=1,INDEX(Mensal!$D$2:$D$245,MATCH($I4096,Mensal!$A$2:$A$245,0)),"")</f>
        <v/>
      </c>
      <c r="N4096" s="34">
        <f>IF($K4096=1,L4096-M4096,"")</f>
        <v/>
      </c>
      <c r="O4096" s="34" t="n">
        <v>0.0005078800000000001</v>
      </c>
      <c r="P4096" s="34">
        <f>IF($J4096=1,LN(1+O4096),"")</f>
        <v/>
      </c>
      <c r="Q4096" s="34">
        <f>IF($J4096=1,LN(R4097/R4096),"")</f>
        <v/>
      </c>
      <c r="R4096" s="32" t="n">
        <v>5.257</v>
      </c>
      <c r="S4096" s="35" t="n">
        <v>13.15</v>
      </c>
      <c r="T4096" s="18" t="n"/>
      <c r="U4096" s="18" t="n">
        <v>116037.08</v>
      </c>
      <c r="V4096" s="18" t="n"/>
      <c r="W4096" s="18" t="n"/>
      <c r="X4096" s="35" t="n">
        <v>13.15</v>
      </c>
      <c r="Y4096" s="35" t="n"/>
    </row>
    <row r="4097">
      <c r="A4097" s="25" t="n">
        <v>44866</v>
      </c>
      <c r="B4097" s="18" t="n">
        <v>116928.66</v>
      </c>
      <c r="C4097" s="31" t="n"/>
      <c r="D4097" s="32" t="n"/>
      <c r="E4097" s="33" t="n">
        <v>-0.481</v>
      </c>
      <c r="F4097" t="inlineStr">
        <is>
          <t>Up</t>
        </is>
      </c>
      <c r="G4097" t="inlineStr">
        <is>
          <t>Up</t>
        </is>
      </c>
      <c r="H4097" t="inlineStr">
        <is>
          <t>EU_JU</t>
        </is>
      </c>
      <c r="I4097" t="inlineStr">
        <is>
          <t>2022-11</t>
        </is>
      </c>
      <c r="J4097" t="n">
        <v>1</v>
      </c>
      <c r="K4097" t="n">
        <v>1</v>
      </c>
      <c r="L4097" s="34">
        <f>IF($J4097=1,LN(B4098/B4097),"")</f>
        <v/>
      </c>
      <c r="M4097" s="34">
        <f>IF($K4097=1,INDEX(Mensal!$D$2:$D$245,MATCH($I4097,Mensal!$A$2:$A$245,0)),"")</f>
        <v/>
      </c>
      <c r="N4097" s="34">
        <f>IF($K4097=1,L4097-M4097,"")</f>
        <v/>
      </c>
      <c r="O4097" s="34" t="n">
        <v>0.0005078800000000001</v>
      </c>
      <c r="P4097" s="34">
        <f>IF($J4097=1,LN(1+O4097),"")</f>
        <v/>
      </c>
      <c r="Q4097" s="34">
        <f>IF($J4097=1,LN(R4098/R4097),"")</f>
        <v/>
      </c>
      <c r="R4097" s="32" t="n">
        <v>5.15</v>
      </c>
      <c r="S4097" s="35" t="n">
        <v>13.17</v>
      </c>
      <c r="T4097" s="18" t="n"/>
      <c r="U4097" s="18" t="n">
        <v>116928.66</v>
      </c>
      <c r="V4097" s="18" t="n"/>
      <c r="W4097" s="18" t="n"/>
      <c r="X4097" s="35" t="n">
        <v>13.17</v>
      </c>
      <c r="Y4097" s="35" t="n"/>
    </row>
    <row r="4098">
      <c r="A4098" s="25" t="n">
        <v>44868</v>
      </c>
      <c r="B4098" s="18" t="n">
        <v>116896.36</v>
      </c>
      <c r="C4098" s="31" t="n"/>
      <c r="D4098" s="32" t="n"/>
      <c r="E4098" s="33" t="n">
        <v>-0.5404</v>
      </c>
      <c r="F4098" t="inlineStr">
        <is>
          <t>Up</t>
        </is>
      </c>
      <c r="G4098" t="inlineStr">
        <is>
          <t>Up</t>
        </is>
      </c>
      <c r="H4098" t="inlineStr">
        <is>
          <t>EU_JU</t>
        </is>
      </c>
      <c r="I4098" t="inlineStr">
        <is>
          <t>2022-11</t>
        </is>
      </c>
      <c r="J4098" t="n">
        <v>1</v>
      </c>
      <c r="K4098" t="n">
        <v>1</v>
      </c>
      <c r="L4098" s="34">
        <f>IF($J4098=1,LN(B4099/B4098),"")</f>
        <v/>
      </c>
      <c r="M4098" s="34">
        <f>IF($K4098=1,INDEX(Mensal!$D$2:$D$245,MATCH($I4098,Mensal!$A$2:$A$245,0)),"")</f>
        <v/>
      </c>
      <c r="N4098" s="34">
        <f>IF($K4098=1,L4098-M4098,"")</f>
        <v/>
      </c>
      <c r="O4098" s="34" t="n">
        <v>0.0005078800000000001</v>
      </c>
      <c r="P4098" s="34">
        <f>IF($J4098=1,LN(1+O4098),"")</f>
        <v/>
      </c>
      <c r="Q4098" s="34">
        <f>IF($J4098=1,LN(R4099/R4098),"")</f>
        <v/>
      </c>
      <c r="R4098" s="32" t="n">
        <v>5.1349</v>
      </c>
      <c r="S4098" s="35" t="n">
        <v>13.21</v>
      </c>
      <c r="T4098" s="18" t="n"/>
      <c r="U4098" s="18" t="n">
        <v>116896.36</v>
      </c>
      <c r="V4098" s="18" t="n"/>
      <c r="W4098" s="18" t="n"/>
      <c r="X4098" s="35" t="n">
        <v>13.21</v>
      </c>
      <c r="Y4098" s="35" t="n"/>
    </row>
    <row r="4099">
      <c r="A4099" s="25" t="n">
        <v>44869</v>
      </c>
      <c r="B4099" s="18" t="n">
        <v>118155.46</v>
      </c>
      <c r="C4099" s="31" t="n"/>
      <c r="D4099" s="32" t="n"/>
      <c r="E4099" s="33" t="n">
        <v>-0.6052</v>
      </c>
      <c r="F4099" t="inlineStr">
        <is>
          <t>Up</t>
        </is>
      </c>
      <c r="G4099" t="inlineStr">
        <is>
          <t>Up</t>
        </is>
      </c>
      <c r="H4099" t="inlineStr">
        <is>
          <t>EU_JU</t>
        </is>
      </c>
      <c r="I4099" t="inlineStr">
        <is>
          <t>2022-11</t>
        </is>
      </c>
      <c r="J4099" t="n">
        <v>1</v>
      </c>
      <c r="K4099" t="n">
        <v>1</v>
      </c>
      <c r="L4099" s="34">
        <f>IF($J4099=1,LN(B4100/B4099),"")</f>
        <v/>
      </c>
      <c r="M4099" s="34">
        <f>IF($K4099=1,INDEX(Mensal!$D$2:$D$245,MATCH($I4099,Mensal!$A$2:$A$245,0)),"")</f>
        <v/>
      </c>
      <c r="N4099" s="34">
        <f>IF($K4099=1,L4099-M4099,"")</f>
        <v/>
      </c>
      <c r="O4099" s="34" t="n">
        <v>0.0005078800000000001</v>
      </c>
      <c r="P4099" s="34">
        <f>IF($J4099=1,LN(1+O4099),"")</f>
        <v/>
      </c>
      <c r="Q4099" s="34">
        <f>IF($J4099=1,LN(R4100/R4099),"")</f>
        <v/>
      </c>
      <c r="R4099" s="32" t="n">
        <v>5.036</v>
      </c>
      <c r="S4099" s="35" t="n">
        <v>13.18</v>
      </c>
      <c r="T4099" s="18" t="n"/>
      <c r="U4099" s="18" t="n">
        <v>118155.46</v>
      </c>
      <c r="V4099" s="18" t="n"/>
      <c r="W4099" s="18" t="n"/>
      <c r="X4099" s="35" t="n">
        <v>13.18</v>
      </c>
      <c r="Y4099" s="35" t="n"/>
    </row>
    <row r="4100">
      <c r="A4100" s="25" t="n">
        <v>44872</v>
      </c>
      <c r="B4100" s="18" t="n">
        <v>115342.4</v>
      </c>
      <c r="C4100" s="31" t="n"/>
      <c r="D4100" s="32" t="n"/>
      <c r="E4100" s="33" t="n">
        <v>-0.6707</v>
      </c>
      <c r="F4100" t="inlineStr">
        <is>
          <t>Up</t>
        </is>
      </c>
      <c r="G4100" t="inlineStr">
        <is>
          <t>Up</t>
        </is>
      </c>
      <c r="H4100" t="inlineStr">
        <is>
          <t>EU_JU</t>
        </is>
      </c>
      <c r="I4100" t="inlineStr">
        <is>
          <t>2022-11</t>
        </is>
      </c>
      <c r="J4100" t="n">
        <v>1</v>
      </c>
      <c r="K4100" t="n">
        <v>1</v>
      </c>
      <c r="L4100" s="34">
        <f>IF($J4100=1,LN(B4101/B4100),"")</f>
        <v/>
      </c>
      <c r="M4100" s="34">
        <f>IF($K4100=1,INDEX(Mensal!$D$2:$D$245,MATCH($I4100,Mensal!$A$2:$A$245,0)),"")</f>
        <v/>
      </c>
      <c r="N4100" s="34">
        <f>IF($K4100=1,L4100-M4100,"")</f>
        <v/>
      </c>
      <c r="O4100" s="34" t="n">
        <v>0.0005078800000000001</v>
      </c>
      <c r="P4100" s="34">
        <f>IF($J4100=1,LN(1+O4100),"")</f>
        <v/>
      </c>
      <c r="Q4100" s="34">
        <f>IF($J4100=1,LN(R4101/R4100),"")</f>
        <v/>
      </c>
      <c r="R4100" s="32" t="n">
        <v>5.0886</v>
      </c>
      <c r="S4100" s="35" t="n">
        <v>13.25</v>
      </c>
      <c r="T4100" s="18" t="n"/>
      <c r="U4100" s="18" t="n">
        <v>115342.4</v>
      </c>
      <c r="V4100" s="18" t="n"/>
      <c r="W4100" s="18" t="n"/>
      <c r="X4100" s="35" t="n">
        <v>13.25</v>
      </c>
      <c r="Y4100" s="35" t="n"/>
    </row>
    <row r="4101">
      <c r="A4101" s="25" t="n">
        <v>44873</v>
      </c>
      <c r="B4101" s="18" t="n">
        <v>116160.35</v>
      </c>
      <c r="C4101" s="31" t="n"/>
      <c r="D4101" s="32" t="n"/>
      <c r="E4101" s="33" t="n">
        <v>-0.7385</v>
      </c>
      <c r="F4101" t="inlineStr">
        <is>
          <t>Up</t>
        </is>
      </c>
      <c r="G4101" t="inlineStr">
        <is>
          <t>Up</t>
        </is>
      </c>
      <c r="H4101" t="inlineStr">
        <is>
          <t>EU_JU</t>
        </is>
      </c>
      <c r="I4101" t="inlineStr">
        <is>
          <t>2022-11</t>
        </is>
      </c>
      <c r="J4101" t="n">
        <v>1</v>
      </c>
      <c r="K4101" t="n">
        <v>1</v>
      </c>
      <c r="L4101" s="34">
        <f>IF($J4101=1,LN(B4102/B4101),"")</f>
        <v/>
      </c>
      <c r="M4101" s="34">
        <f>IF($K4101=1,INDEX(Mensal!$D$2:$D$245,MATCH($I4101,Mensal!$A$2:$A$245,0)),"")</f>
        <v/>
      </c>
      <c r="N4101" s="34">
        <f>IF($K4101=1,L4101-M4101,"")</f>
        <v/>
      </c>
      <c r="O4101" s="34" t="n">
        <v>0.0005078800000000001</v>
      </c>
      <c r="P4101" s="34">
        <f>IF($J4101=1,LN(1+O4101),"")</f>
        <v/>
      </c>
      <c r="Q4101" s="34">
        <f>IF($J4101=1,LN(R4102/R4101),"")</f>
        <v/>
      </c>
      <c r="R4101" s="32" t="n">
        <v>5.1744</v>
      </c>
      <c r="S4101" s="35" t="n">
        <v>13.26</v>
      </c>
      <c r="T4101" s="18" t="n"/>
      <c r="U4101" s="18" t="n">
        <v>116160.35</v>
      </c>
      <c r="V4101" s="18" t="n"/>
      <c r="W4101" s="18" t="n"/>
      <c r="X4101" s="35" t="n">
        <v>13.26</v>
      </c>
      <c r="Y4101" s="35" t="n"/>
    </row>
    <row r="4102">
      <c r="A4102" s="25" t="n">
        <v>44874</v>
      </c>
      <c r="B4102" s="18" t="n">
        <v>113580.09</v>
      </c>
      <c r="C4102" s="31" t="n"/>
      <c r="D4102" s="32" t="n"/>
      <c r="E4102" s="33" t="n">
        <v>-0.803</v>
      </c>
      <c r="F4102" t="inlineStr">
        <is>
          <t>Up</t>
        </is>
      </c>
      <c r="G4102" t="inlineStr">
        <is>
          <t>Up</t>
        </is>
      </c>
      <c r="H4102" t="inlineStr">
        <is>
          <t>EU_JU</t>
        </is>
      </c>
      <c r="I4102" t="inlineStr">
        <is>
          <t>2022-11</t>
        </is>
      </c>
      <c r="J4102" t="n">
        <v>1</v>
      </c>
      <c r="K4102" t="n">
        <v>1</v>
      </c>
      <c r="L4102" s="34">
        <f>IF($J4102=1,LN(B4103/B4102),"")</f>
        <v/>
      </c>
      <c r="M4102" s="34">
        <f>IF($K4102=1,INDEX(Mensal!$D$2:$D$245,MATCH($I4102,Mensal!$A$2:$A$245,0)),"")</f>
        <v/>
      </c>
      <c r="N4102" s="34">
        <f>IF($K4102=1,L4102-M4102,"")</f>
        <v/>
      </c>
      <c r="O4102" s="34" t="n">
        <v>0.0005078800000000001</v>
      </c>
      <c r="P4102" s="34">
        <f>IF($J4102=1,LN(1+O4102),"")</f>
        <v/>
      </c>
      <c r="Q4102" s="34">
        <f>IF($J4102=1,LN(R4103/R4102),"")</f>
        <v/>
      </c>
      <c r="R4102" s="32" t="n">
        <v>5.1629</v>
      </c>
      <c r="S4102" s="35" t="n">
        <v>13.26</v>
      </c>
      <c r="T4102" s="18" t="n"/>
      <c r="U4102" s="18" t="n">
        <v>113580.09</v>
      </c>
      <c r="V4102" s="18" t="n"/>
      <c r="W4102" s="18" t="n"/>
      <c r="X4102" s="35" t="n">
        <v>13.26</v>
      </c>
      <c r="Y4102" s="35" t="n"/>
    </row>
    <row r="4103">
      <c r="A4103" s="25" t="n">
        <v>44875</v>
      </c>
      <c r="B4103" s="18" t="n">
        <v>109775.46</v>
      </c>
      <c r="C4103" s="31" t="n"/>
      <c r="D4103" s="32" t="n"/>
      <c r="E4103" s="33" t="n">
        <v>-0.8708</v>
      </c>
      <c r="F4103" t="inlineStr">
        <is>
          <t>Up</t>
        </is>
      </c>
      <c r="G4103" t="inlineStr">
        <is>
          <t>Up</t>
        </is>
      </c>
      <c r="H4103" t="inlineStr">
        <is>
          <t>EU_JU</t>
        </is>
      </c>
      <c r="I4103" t="inlineStr">
        <is>
          <t>2022-11</t>
        </is>
      </c>
      <c r="J4103" t="n">
        <v>1</v>
      </c>
      <c r="K4103" t="n">
        <v>1</v>
      </c>
      <c r="L4103" s="34">
        <f>IF($J4103=1,LN(B4104/B4103),"")</f>
        <v/>
      </c>
      <c r="M4103" s="34">
        <f>IF($K4103=1,INDEX(Mensal!$D$2:$D$245,MATCH($I4103,Mensal!$A$2:$A$245,0)),"")</f>
        <v/>
      </c>
      <c r="N4103" s="34">
        <f>IF($K4103=1,L4103-M4103,"")</f>
        <v/>
      </c>
      <c r="O4103" s="34" t="n">
        <v>0.0005078800000000001</v>
      </c>
      <c r="P4103" s="34">
        <f>IF($J4103=1,LN(1+O4103),"")</f>
        <v/>
      </c>
      <c r="Q4103" s="34">
        <f>IF($J4103=1,LN(R4104/R4103),"")</f>
        <v/>
      </c>
      <c r="R4103" s="32" t="n">
        <v>5.3064</v>
      </c>
      <c r="S4103" s="35" t="n">
        <v>13.75</v>
      </c>
      <c r="T4103" s="18" t="n"/>
      <c r="U4103" s="18" t="n">
        <v>109775.46</v>
      </c>
      <c r="V4103" s="18" t="n"/>
      <c r="W4103" s="18" t="n"/>
      <c r="X4103" s="35" t="n">
        <v>13.75</v>
      </c>
      <c r="Y4103" s="35" t="n"/>
    </row>
    <row r="4104">
      <c r="A4104" s="25" t="n">
        <v>44876</v>
      </c>
      <c r="B4104" s="18" t="n">
        <v>112253.49</v>
      </c>
      <c r="C4104" s="31" t="n"/>
      <c r="D4104" s="32" t="n"/>
      <c r="E4104" s="33" t="n">
        <v>-0.929</v>
      </c>
      <c r="F4104" t="inlineStr">
        <is>
          <t>Up</t>
        </is>
      </c>
      <c r="G4104" t="inlineStr">
        <is>
          <t>Up</t>
        </is>
      </c>
      <c r="H4104" t="inlineStr">
        <is>
          <t>EU_JU</t>
        </is>
      </c>
      <c r="I4104" t="inlineStr">
        <is>
          <t>2022-11</t>
        </is>
      </c>
      <c r="J4104" t="n">
        <v>1</v>
      </c>
      <c r="K4104" t="n">
        <v>1</v>
      </c>
      <c r="L4104" s="34">
        <f>IF($J4104=1,LN(B4105/B4104),"")</f>
        <v/>
      </c>
      <c r="M4104" s="34">
        <f>IF($K4104=1,INDEX(Mensal!$D$2:$D$245,MATCH($I4104,Mensal!$A$2:$A$245,0)),"")</f>
        <v/>
      </c>
      <c r="N4104" s="34">
        <f>IF($K4104=1,L4104-M4104,"")</f>
        <v/>
      </c>
      <c r="O4104" s="34" t="n">
        <v>0.0005078800000000001</v>
      </c>
      <c r="P4104" s="34">
        <f>IF($J4104=1,LN(1+O4104),"")</f>
        <v/>
      </c>
      <c r="Q4104" s="34">
        <f>IF($J4104=1,LN(R4105/R4104),"")</f>
        <v/>
      </c>
      <c r="R4104" s="32" t="n">
        <v>5.3051</v>
      </c>
      <c r="S4104" s="35" t="n">
        <v>13.97</v>
      </c>
      <c r="T4104" s="18" t="n"/>
      <c r="U4104" s="18" t="n">
        <v>112253.49</v>
      </c>
      <c r="V4104" s="18" t="n"/>
      <c r="W4104" s="18" t="n"/>
      <c r="X4104" s="35" t="n">
        <v>13.97</v>
      </c>
      <c r="Y4104" s="35" t="n"/>
    </row>
    <row r="4105">
      <c r="A4105" s="25" t="n">
        <v>44879</v>
      </c>
      <c r="B4105" s="18" t="n">
        <v>113161.28</v>
      </c>
      <c r="C4105" s="31" t="n"/>
      <c r="D4105" s="32" t="n"/>
      <c r="E4105" s="33" t="n">
        <v>-0.9359</v>
      </c>
      <c r="F4105" t="inlineStr">
        <is>
          <t>Up</t>
        </is>
      </c>
      <c r="G4105" t="inlineStr">
        <is>
          <t>Up</t>
        </is>
      </c>
      <c r="H4105" t="inlineStr">
        <is>
          <t>EU_JU</t>
        </is>
      </c>
      <c r="I4105" t="inlineStr">
        <is>
          <t>2022-11</t>
        </is>
      </c>
      <c r="J4105" t="n">
        <v>1</v>
      </c>
      <c r="K4105" t="n">
        <v>1</v>
      </c>
      <c r="L4105" s="34">
        <f>IF($J4105=1,LN(B4106/B4105),"")</f>
        <v/>
      </c>
      <c r="M4105" s="34">
        <f>IF($K4105=1,INDEX(Mensal!$D$2:$D$245,MATCH($I4105,Mensal!$A$2:$A$245,0)),"")</f>
        <v/>
      </c>
      <c r="N4105" s="34">
        <f>IF($K4105=1,L4105-M4105,"")</f>
        <v/>
      </c>
      <c r="O4105" s="34" t="n">
        <v>0.0005078800000000001</v>
      </c>
      <c r="P4105" s="34">
        <f>IF($J4105=1,LN(1+O4105),"")</f>
        <v/>
      </c>
      <c r="Q4105" s="34">
        <f>IF($J4105=1,LN(R4106/R4105),"")</f>
        <v/>
      </c>
      <c r="R4105" s="32" t="n">
        <v>5.3013</v>
      </c>
      <c r="S4105" s="35" t="n">
        <v>13.81</v>
      </c>
      <c r="T4105" s="18" t="n"/>
      <c r="U4105" s="18" t="n">
        <v>113161.28</v>
      </c>
      <c r="V4105" s="18" t="n"/>
      <c r="W4105" s="18" t="n"/>
      <c r="X4105" s="35" t="n">
        <v>13.81</v>
      </c>
      <c r="Y4105" s="35" t="n"/>
    </row>
    <row r="4106">
      <c r="A4106" s="25" t="n">
        <v>44881</v>
      </c>
      <c r="B4106" s="18" t="n">
        <v>110243.33</v>
      </c>
      <c r="C4106" s="31" t="n"/>
      <c r="D4106" s="32" t="n"/>
      <c r="E4106" s="33" t="n">
        <v>-0.9462</v>
      </c>
      <c r="F4106" t="inlineStr">
        <is>
          <t>Up</t>
        </is>
      </c>
      <c r="G4106" t="inlineStr">
        <is>
          <t>Up</t>
        </is>
      </c>
      <c r="H4106" t="inlineStr">
        <is>
          <t>EU_JU</t>
        </is>
      </c>
      <c r="I4106" t="inlineStr">
        <is>
          <t>2022-11</t>
        </is>
      </c>
      <c r="J4106" t="n">
        <v>1</v>
      </c>
      <c r="K4106" t="n">
        <v>1</v>
      </c>
      <c r="L4106" s="34">
        <f>IF($J4106=1,LN(B4107/B4106),"")</f>
        <v/>
      </c>
      <c r="M4106" s="34">
        <f>IF($K4106=1,INDEX(Mensal!$D$2:$D$245,MATCH($I4106,Mensal!$A$2:$A$245,0)),"")</f>
        <v/>
      </c>
      <c r="N4106" s="34">
        <f>IF($K4106=1,L4106-M4106,"")</f>
        <v/>
      </c>
      <c r="O4106" s="34" t="n">
        <v>0.0005078800000000001</v>
      </c>
      <c r="P4106" s="34">
        <f>IF($J4106=1,LN(1+O4106),"")</f>
        <v/>
      </c>
      <c r="Q4106" s="34">
        <f>IF($J4106=1,LN(R4107/R4106),"")</f>
        <v/>
      </c>
      <c r="R4106" s="32" t="n">
        <v>5.3204</v>
      </c>
      <c r="S4106" s="35" t="n">
        <v>14.07</v>
      </c>
      <c r="T4106" s="18" t="n"/>
      <c r="U4106" s="18" t="n">
        <v>110243.33</v>
      </c>
      <c r="V4106" s="18" t="n"/>
      <c r="W4106" s="18" t="n"/>
      <c r="X4106" s="35" t="n">
        <v>14.07</v>
      </c>
      <c r="Y4106" s="35" t="n"/>
    </row>
    <row r="4107">
      <c r="A4107" s="25" t="n">
        <v>44882</v>
      </c>
      <c r="B4107" s="18" t="n">
        <v>109702.78</v>
      </c>
      <c r="C4107" s="31" t="n"/>
      <c r="D4107" s="32" t="n"/>
      <c r="E4107" s="33" t="n">
        <v>-0.958</v>
      </c>
      <c r="F4107" t="inlineStr">
        <is>
          <t>Up</t>
        </is>
      </c>
      <c r="G4107" t="inlineStr">
        <is>
          <t>Up</t>
        </is>
      </c>
      <c r="H4107" t="inlineStr">
        <is>
          <t>EU_JU</t>
        </is>
      </c>
      <c r="I4107" t="inlineStr">
        <is>
          <t>2022-11</t>
        </is>
      </c>
      <c r="J4107" t="n">
        <v>1</v>
      </c>
      <c r="K4107" t="n">
        <v>1</v>
      </c>
      <c r="L4107" s="34">
        <f>IF($J4107=1,LN(B4108/B4107),"")</f>
        <v/>
      </c>
      <c r="M4107" s="34">
        <f>IF($K4107=1,INDEX(Mensal!$D$2:$D$245,MATCH($I4107,Mensal!$A$2:$A$245,0)),"")</f>
        <v/>
      </c>
      <c r="N4107" s="34">
        <f>IF($K4107=1,L4107-M4107,"")</f>
        <v/>
      </c>
      <c r="O4107" s="34" t="n">
        <v>0.0005078800000000001</v>
      </c>
      <c r="P4107" s="34">
        <f>IF($J4107=1,LN(1+O4107),"")</f>
        <v/>
      </c>
      <c r="Q4107" s="34">
        <f>IF($J4107=1,LN(R4108/R4107),"")</f>
        <v/>
      </c>
      <c r="R4107" s="32" t="n">
        <v>5.4655</v>
      </c>
      <c r="S4107" s="35" t="n">
        <v>14.16</v>
      </c>
      <c r="T4107" s="18" t="n"/>
      <c r="U4107" s="18" t="n">
        <v>109702.78</v>
      </c>
      <c r="V4107" s="18" t="n"/>
      <c r="W4107" s="18" t="n"/>
      <c r="X4107" s="35" t="n">
        <v>14.16</v>
      </c>
      <c r="Y4107" s="35" t="n"/>
    </row>
    <row r="4108">
      <c r="A4108" s="25" t="n">
        <v>44883</v>
      </c>
      <c r="B4108" s="18" t="n">
        <v>108870.17</v>
      </c>
      <c r="C4108" s="31" t="n"/>
      <c r="D4108" s="32" t="n"/>
      <c r="E4108" s="33" t="n">
        <v>-0.9849</v>
      </c>
      <c r="F4108" t="inlineStr">
        <is>
          <t>Up</t>
        </is>
      </c>
      <c r="G4108" t="inlineStr">
        <is>
          <t>Up</t>
        </is>
      </c>
      <c r="H4108" t="inlineStr">
        <is>
          <t>EU_JU</t>
        </is>
      </c>
      <c r="I4108" t="inlineStr">
        <is>
          <t>2022-11</t>
        </is>
      </c>
      <c r="J4108" t="n">
        <v>1</v>
      </c>
      <c r="K4108" t="n">
        <v>1</v>
      </c>
      <c r="L4108" s="34">
        <f>IF($J4108=1,LN(B4109/B4108),"")</f>
        <v/>
      </c>
      <c r="M4108" s="34">
        <f>IF($K4108=1,INDEX(Mensal!$D$2:$D$245,MATCH($I4108,Mensal!$A$2:$A$245,0)),"")</f>
        <v/>
      </c>
      <c r="N4108" s="34">
        <f>IF($K4108=1,L4108-M4108,"")</f>
        <v/>
      </c>
      <c r="O4108" s="34" t="n">
        <v>0.0005078800000000001</v>
      </c>
      <c r="P4108" s="34">
        <f>IF($J4108=1,LN(1+O4108),"")</f>
        <v/>
      </c>
      <c r="Q4108" s="34">
        <f>IF($J4108=1,LN(R4109/R4108),"")</f>
        <v/>
      </c>
      <c r="R4108" s="32" t="n">
        <v>5.3477</v>
      </c>
      <c r="S4108" s="35" t="n">
        <v>14.32</v>
      </c>
      <c r="T4108" s="18" t="n"/>
      <c r="U4108" s="18" t="n">
        <v>108870.17</v>
      </c>
      <c r="V4108" s="18" t="n"/>
      <c r="W4108" s="18" t="n"/>
      <c r="X4108" s="35" t="n">
        <v>14.32</v>
      </c>
      <c r="Y4108" s="35" t="n"/>
    </row>
    <row r="4109">
      <c r="A4109" s="25" t="n">
        <v>44886</v>
      </c>
      <c r="B4109" s="18" t="n">
        <v>109748.18</v>
      </c>
      <c r="C4109" s="31" t="n"/>
      <c r="D4109" s="32" t="n"/>
      <c r="E4109" s="33" t="n">
        <v>-0.9949</v>
      </c>
      <c r="F4109" t="inlineStr">
        <is>
          <t>Up</t>
        </is>
      </c>
      <c r="G4109" t="inlineStr">
        <is>
          <t>Up</t>
        </is>
      </c>
      <c r="H4109" t="inlineStr">
        <is>
          <t>EU_JU</t>
        </is>
      </c>
      <c r="I4109" t="inlineStr">
        <is>
          <t>2022-11</t>
        </is>
      </c>
      <c r="J4109" t="n">
        <v>1</v>
      </c>
      <c r="K4109" t="n">
        <v>1</v>
      </c>
      <c r="L4109" s="34">
        <f>IF($J4109=1,LN(B4110/B4109),"")</f>
        <v/>
      </c>
      <c r="M4109" s="34">
        <f>IF($K4109=1,INDEX(Mensal!$D$2:$D$245,MATCH($I4109,Mensal!$A$2:$A$245,0)),"")</f>
        <v/>
      </c>
      <c r="N4109" s="34">
        <f>IF($K4109=1,L4109-M4109,"")</f>
        <v/>
      </c>
      <c r="O4109" s="34" t="n">
        <v>0.0005078800000000001</v>
      </c>
      <c r="P4109" s="34">
        <f>IF($J4109=1,LN(1+O4109),"")</f>
        <v/>
      </c>
      <c r="Q4109" s="34">
        <f>IF($J4109=1,LN(R4110/R4109),"")</f>
        <v/>
      </c>
      <c r="R4109" s="32" t="n">
        <v>5.3259</v>
      </c>
      <c r="S4109" s="35" t="n">
        <v>14.25</v>
      </c>
      <c r="T4109" s="18" t="n"/>
      <c r="U4109" s="18" t="n">
        <v>109748.18</v>
      </c>
      <c r="V4109" s="18" t="n"/>
      <c r="W4109" s="18" t="n"/>
      <c r="X4109" s="35" t="n">
        <v>14.25</v>
      </c>
      <c r="Y4109" s="35" t="n"/>
    </row>
    <row r="4110">
      <c r="A4110" s="25" t="n">
        <v>44887</v>
      </c>
      <c r="B4110" s="18" t="n">
        <v>109036.54</v>
      </c>
      <c r="C4110" s="31" t="n"/>
      <c r="D4110" s="32" t="n"/>
      <c r="E4110" s="33" t="n">
        <v>-0.9843</v>
      </c>
      <c r="F4110" t="inlineStr">
        <is>
          <t>Up</t>
        </is>
      </c>
      <c r="G4110" t="inlineStr">
        <is>
          <t>Up</t>
        </is>
      </c>
      <c r="H4110" t="inlineStr">
        <is>
          <t>EU_JU</t>
        </is>
      </c>
      <c r="I4110" t="inlineStr">
        <is>
          <t>2022-11</t>
        </is>
      </c>
      <c r="J4110" t="n">
        <v>1</v>
      </c>
      <c r="K4110" t="n">
        <v>1</v>
      </c>
      <c r="L4110" s="34">
        <f>IF($J4110=1,LN(B4111/B4110),"")</f>
        <v/>
      </c>
      <c r="M4110" s="34">
        <f>IF($K4110=1,INDEX(Mensal!$D$2:$D$245,MATCH($I4110,Mensal!$A$2:$A$245,0)),"")</f>
        <v/>
      </c>
      <c r="N4110" s="34">
        <f>IF($K4110=1,L4110-M4110,"")</f>
        <v/>
      </c>
      <c r="O4110" s="34" t="n">
        <v>0.0005078800000000001</v>
      </c>
      <c r="P4110" s="34">
        <f>IF($J4110=1,LN(1+O4110),"")</f>
        <v/>
      </c>
      <c r="Q4110" s="34">
        <f>IF($J4110=1,LN(R4111/R4110),"")</f>
        <v/>
      </c>
      <c r="R4110" s="32" t="n">
        <v>5.3339</v>
      </c>
      <c r="S4110" s="35" t="n">
        <v>14.37</v>
      </c>
      <c r="T4110" s="18" t="n"/>
      <c r="U4110" s="18" t="n">
        <v>109036.54</v>
      </c>
      <c r="V4110" s="18" t="n"/>
      <c r="W4110" s="18" t="n"/>
      <c r="X4110" s="35" t="n">
        <v>14.37</v>
      </c>
      <c r="Y4110" s="35" t="n"/>
    </row>
    <row r="4111">
      <c r="A4111" s="25" t="n">
        <v>44888</v>
      </c>
      <c r="B4111" s="18" t="n">
        <v>108841.15</v>
      </c>
      <c r="C4111" s="31" t="n"/>
      <c r="D4111" s="32" t="n"/>
      <c r="E4111" s="33" t="n">
        <v>-0.9671</v>
      </c>
      <c r="F4111" t="inlineStr">
        <is>
          <t>Up</t>
        </is>
      </c>
      <c r="G4111" t="inlineStr">
        <is>
          <t>Up</t>
        </is>
      </c>
      <c r="H4111" t="inlineStr">
        <is>
          <t>EU_JU</t>
        </is>
      </c>
      <c r="I4111" t="inlineStr">
        <is>
          <t>2022-11</t>
        </is>
      </c>
      <c r="J4111" t="n">
        <v>1</v>
      </c>
      <c r="K4111" t="n">
        <v>1</v>
      </c>
      <c r="L4111" s="34">
        <f>IF($J4111=1,LN(B4112/B4111),"")</f>
        <v/>
      </c>
      <c r="M4111" s="34">
        <f>IF($K4111=1,INDEX(Mensal!$D$2:$D$245,MATCH($I4111,Mensal!$A$2:$A$245,0)),"")</f>
        <v/>
      </c>
      <c r="N4111" s="34">
        <f>IF($K4111=1,L4111-M4111,"")</f>
        <v/>
      </c>
      <c r="O4111" s="34" t="n">
        <v>0.0005078800000000001</v>
      </c>
      <c r="P4111" s="34">
        <f>IF($J4111=1,LN(1+O4111),"")</f>
        <v/>
      </c>
      <c r="Q4111" s="34">
        <f>IF($J4111=1,LN(R4112/R4111),"")</f>
        <v/>
      </c>
      <c r="R4111" s="32" t="n">
        <v>5.393</v>
      </c>
      <c r="S4111" s="35" t="n">
        <v>14.58</v>
      </c>
      <c r="T4111" s="18" t="n"/>
      <c r="U4111" s="18" t="n">
        <v>108841.15</v>
      </c>
      <c r="V4111" s="18" t="n"/>
      <c r="W4111" s="18" t="n"/>
      <c r="X4111" s="35" t="n">
        <v>14.58</v>
      </c>
      <c r="Y4111" s="35" t="n"/>
    </row>
    <row r="4112">
      <c r="A4112" s="25" t="n">
        <v>44889</v>
      </c>
      <c r="B4112" s="18" t="n">
        <v>111831.16</v>
      </c>
      <c r="C4112" s="31" t="n"/>
      <c r="D4112" s="32" t="n"/>
      <c r="E4112" s="33" t="n">
        <v>-0.9505</v>
      </c>
      <c r="F4112" t="inlineStr">
        <is>
          <t>Up</t>
        </is>
      </c>
      <c r="G4112" t="inlineStr">
        <is>
          <t>Up</t>
        </is>
      </c>
      <c r="H4112" t="inlineStr">
        <is>
          <t>EU_JU</t>
        </is>
      </c>
      <c r="I4112" t="inlineStr">
        <is>
          <t>2022-11</t>
        </is>
      </c>
      <c r="J4112" t="n">
        <v>1</v>
      </c>
      <c r="K4112" t="n">
        <v>1</v>
      </c>
      <c r="L4112" s="34">
        <f>IF($J4112=1,LN(B4113/B4112),"")</f>
        <v/>
      </c>
      <c r="M4112" s="34">
        <f>IF($K4112=1,INDEX(Mensal!$D$2:$D$245,MATCH($I4112,Mensal!$A$2:$A$245,0)),"")</f>
        <v/>
      </c>
      <c r="N4112" s="34">
        <f>IF($K4112=1,L4112-M4112,"")</f>
        <v/>
      </c>
      <c r="O4112" s="34" t="n">
        <v>0.0005078800000000001</v>
      </c>
      <c r="P4112" s="34">
        <f>IF($J4112=1,LN(1+O4112),"")</f>
        <v/>
      </c>
      <c r="Q4112" s="34">
        <f>IF($J4112=1,LN(R4113/R4112),"")</f>
        <v/>
      </c>
      <c r="R4112" s="32" t="n">
        <v>5.3149</v>
      </c>
      <c r="S4112" s="35" t="n">
        <v>14.31</v>
      </c>
      <c r="T4112" s="18" t="n"/>
      <c r="U4112" s="18" t="n">
        <v>111831.16</v>
      </c>
      <c r="V4112" s="18" t="n"/>
      <c r="W4112" s="18" t="n"/>
      <c r="X4112" s="35" t="n">
        <v>14.31</v>
      </c>
      <c r="Y4112" s="35" t="n"/>
    </row>
    <row r="4113">
      <c r="A4113" s="25" t="n">
        <v>44890</v>
      </c>
      <c r="B4113" s="18" t="n">
        <v>108976.7</v>
      </c>
      <c r="C4113" s="31" t="n"/>
      <c r="D4113" s="32" t="n"/>
      <c r="E4113" s="33" t="n">
        <v>-0.9369</v>
      </c>
      <c r="F4113" t="inlineStr">
        <is>
          <t>Up</t>
        </is>
      </c>
      <c r="G4113" t="inlineStr">
        <is>
          <t>Up</t>
        </is>
      </c>
      <c r="H4113" t="inlineStr">
        <is>
          <t>EU_JU</t>
        </is>
      </c>
      <c r="I4113" t="inlineStr">
        <is>
          <t>2022-11</t>
        </is>
      </c>
      <c r="J4113" t="n">
        <v>1</v>
      </c>
      <c r="K4113" t="n">
        <v>1</v>
      </c>
      <c r="L4113" s="34">
        <f>IF($J4113=1,LN(B4114/B4113),"")</f>
        <v/>
      </c>
      <c r="M4113" s="34">
        <f>IF($K4113=1,INDEX(Mensal!$D$2:$D$245,MATCH($I4113,Mensal!$A$2:$A$245,0)),"")</f>
        <v/>
      </c>
      <c r="N4113" s="34">
        <f>IF($K4113=1,L4113-M4113,"")</f>
        <v/>
      </c>
      <c r="O4113" s="34" t="n">
        <v>0.0005078800000000001</v>
      </c>
      <c r="P4113" s="34">
        <f>IF($J4113=1,LN(1+O4113),"")</f>
        <v/>
      </c>
      <c r="Q4113" s="34">
        <f>IF($J4113=1,LN(R4114/R4113),"")</f>
        <v/>
      </c>
      <c r="R4113" s="32" t="n">
        <v>5.3508</v>
      </c>
      <c r="S4113" s="35" t="n">
        <v>14.45</v>
      </c>
      <c r="T4113" s="18" t="n"/>
      <c r="U4113" s="18" t="n">
        <v>108976.7</v>
      </c>
      <c r="V4113" s="18" t="n"/>
      <c r="W4113" s="18" t="n"/>
      <c r="X4113" s="35" t="n">
        <v>14.45</v>
      </c>
      <c r="Y4113" s="35" t="n"/>
    </row>
    <row r="4114">
      <c r="A4114" s="25" t="n">
        <v>44893</v>
      </c>
      <c r="B4114" s="18" t="n">
        <v>108782.15</v>
      </c>
      <c r="C4114" s="31" t="n"/>
      <c r="D4114" s="32" t="n"/>
      <c r="E4114" s="33" t="n">
        <v>-0.9152</v>
      </c>
      <c r="F4114" t="inlineStr">
        <is>
          <t>Up</t>
        </is>
      </c>
      <c r="G4114" t="inlineStr">
        <is>
          <t>Up</t>
        </is>
      </c>
      <c r="H4114" t="inlineStr">
        <is>
          <t>EU_JU</t>
        </is>
      </c>
      <c r="I4114" t="inlineStr">
        <is>
          <t>2022-11</t>
        </is>
      </c>
      <c r="J4114" t="n">
        <v>1</v>
      </c>
      <c r="K4114" t="n">
        <v>1</v>
      </c>
      <c r="L4114" s="34">
        <f>IF($J4114=1,LN(B4115/B4114),"")</f>
        <v/>
      </c>
      <c r="M4114" s="34">
        <f>IF($K4114=1,INDEX(Mensal!$D$2:$D$245,MATCH($I4114,Mensal!$A$2:$A$245,0)),"")</f>
        <v/>
      </c>
      <c r="N4114" s="34">
        <f>IF($K4114=1,L4114-M4114,"")</f>
        <v/>
      </c>
      <c r="O4114" s="34" t="n">
        <v>0.0005078800000000001</v>
      </c>
      <c r="P4114" s="34">
        <f>IF($J4114=1,LN(1+O4114),"")</f>
        <v/>
      </c>
      <c r="Q4114" s="34">
        <f>IF($J4114=1,LN(R4115/R4114),"")</f>
        <v/>
      </c>
      <c r="R4114" s="32" t="n">
        <v>5.3796</v>
      </c>
      <c r="S4114" s="35" t="n">
        <v>14.3</v>
      </c>
      <c r="T4114" s="18" t="n"/>
      <c r="U4114" s="18" t="n">
        <v>108782.15</v>
      </c>
      <c r="V4114" s="18" t="n"/>
      <c r="W4114" s="18" t="n"/>
      <c r="X4114" s="35" t="n">
        <v>14.3</v>
      </c>
      <c r="Y4114" s="35" t="n"/>
    </row>
    <row r="4115">
      <c r="A4115" s="25" t="n">
        <v>44894</v>
      </c>
      <c r="B4115" s="18" t="n">
        <v>110909.61</v>
      </c>
      <c r="C4115" s="31" t="n"/>
      <c r="D4115" s="32" t="n"/>
      <c r="E4115" s="33" t="n">
        <v>-0.8975</v>
      </c>
      <c r="F4115" t="inlineStr">
        <is>
          <t>Up</t>
        </is>
      </c>
      <c r="G4115" t="inlineStr">
        <is>
          <t>Up</t>
        </is>
      </c>
      <c r="H4115" t="inlineStr">
        <is>
          <t>EU_JU</t>
        </is>
      </c>
      <c r="I4115" t="inlineStr">
        <is>
          <t>2022-11</t>
        </is>
      </c>
      <c r="J4115" t="n">
        <v>1</v>
      </c>
      <c r="K4115" t="n">
        <v>1</v>
      </c>
      <c r="L4115" s="34">
        <f>IF($J4115=1,LN(B4116/B4115),"")</f>
        <v/>
      </c>
      <c r="M4115" s="34">
        <f>IF($K4115=1,INDEX(Mensal!$D$2:$D$245,MATCH($I4115,Mensal!$A$2:$A$245,0)),"")</f>
        <v/>
      </c>
      <c r="N4115" s="34">
        <f>IF($K4115=1,L4115-M4115,"")</f>
        <v/>
      </c>
      <c r="O4115" s="34" t="n">
        <v>0.0005078800000000001</v>
      </c>
      <c r="P4115" s="34">
        <f>IF($J4115=1,LN(1+O4115),"")</f>
        <v/>
      </c>
      <c r="Q4115" s="34">
        <f>IF($J4115=1,LN(R4116/R4115),"")</f>
        <v/>
      </c>
      <c r="R4115" s="32" t="n">
        <v>5.3076</v>
      </c>
      <c r="S4115" s="35" t="n">
        <v>13.98</v>
      </c>
      <c r="T4115" s="18" t="n"/>
      <c r="U4115" s="18" t="n">
        <v>110909.61</v>
      </c>
      <c r="V4115" s="18" t="n"/>
      <c r="W4115" s="18" t="n"/>
      <c r="X4115" s="35" t="n">
        <v>13.98</v>
      </c>
      <c r="Y4115" s="35" t="n"/>
    </row>
    <row r="4116">
      <c r="A4116" s="25" t="n">
        <v>44895</v>
      </c>
      <c r="B4116" s="18" t="n">
        <v>112486.01</v>
      </c>
      <c r="C4116" s="31" t="n"/>
      <c r="D4116" s="32" t="n"/>
      <c r="E4116" s="33" t="n">
        <v>-0.8794</v>
      </c>
      <c r="F4116" t="inlineStr">
        <is>
          <t>Up</t>
        </is>
      </c>
      <c r="G4116" t="inlineStr">
        <is>
          <t>Up</t>
        </is>
      </c>
      <c r="H4116" t="inlineStr">
        <is>
          <t>EU_JU</t>
        </is>
      </c>
      <c r="I4116" t="inlineStr">
        <is>
          <t>2022-11</t>
        </is>
      </c>
      <c r="J4116" t="n">
        <v>1</v>
      </c>
      <c r="K4116" t="n">
        <v>1</v>
      </c>
      <c r="L4116" s="34">
        <f>IF($J4116=1,LN(B4117/B4116),"")</f>
        <v/>
      </c>
      <c r="M4116" s="34">
        <f>IF($K4116=1,INDEX(Mensal!$D$2:$D$245,MATCH($I4116,Mensal!$A$2:$A$245,0)),"")</f>
        <v/>
      </c>
      <c r="N4116" s="34">
        <f>IF($K4116=1,L4116-M4116,"")</f>
        <v/>
      </c>
      <c r="O4116" s="34" t="n">
        <v>0.0005078800000000001</v>
      </c>
      <c r="P4116" s="34">
        <f>IF($J4116=1,LN(1+O4116),"")</f>
        <v/>
      </c>
      <c r="Q4116" s="34">
        <f>IF($J4116=1,LN(R4117/R4116),"")</f>
        <v/>
      </c>
      <c r="R4116" s="32" t="n">
        <v>5.2941</v>
      </c>
      <c r="S4116" s="35" t="n">
        <v>13.94</v>
      </c>
      <c r="T4116" s="18" t="n"/>
      <c r="U4116" s="18" t="n">
        <v>112486.01</v>
      </c>
      <c r="V4116" s="18" t="n"/>
      <c r="W4116" s="18" t="n"/>
      <c r="X4116" s="35" t="n">
        <v>13.94</v>
      </c>
      <c r="Y4116" s="35" t="n"/>
    </row>
    <row r="4117">
      <c r="A4117" s="25" t="n">
        <v>44896</v>
      </c>
      <c r="B4117" s="18" t="n">
        <v>110925.6</v>
      </c>
      <c r="C4117" s="31" t="n"/>
      <c r="D4117" s="32" t="n"/>
      <c r="E4117" s="33" t="n">
        <v>-0.8643</v>
      </c>
      <c r="F4117" t="inlineStr">
        <is>
          <t>Down</t>
        </is>
      </c>
      <c r="G4117" t="inlineStr">
        <is>
          <t>Up</t>
        </is>
      </c>
      <c r="H4117" t="inlineStr">
        <is>
          <t>ED_JU</t>
        </is>
      </c>
      <c r="I4117" t="inlineStr">
        <is>
          <t>2022-12</t>
        </is>
      </c>
      <c r="J4117" t="n">
        <v>1</v>
      </c>
      <c r="K4117" t="n">
        <v>1</v>
      </c>
      <c r="L4117" s="34">
        <f>IF($J4117=1,LN(B4118/B4117),"")</f>
        <v/>
      </c>
      <c r="M4117" s="34">
        <f>IF($K4117=1,INDEX(Mensal!$D$2:$D$245,MATCH($I4117,Mensal!$A$2:$A$245,0)),"")</f>
        <v/>
      </c>
      <c r="N4117" s="34">
        <f>IF($K4117=1,L4117-M4117,"")</f>
        <v/>
      </c>
      <c r="O4117" s="34" t="n">
        <v>0.0005078800000000001</v>
      </c>
      <c r="P4117" s="34">
        <f>IF($J4117=1,LN(1+O4117),"")</f>
        <v/>
      </c>
      <c r="Q4117" s="34">
        <f>IF($J4117=1,LN(R4118/R4117),"")</f>
        <v/>
      </c>
      <c r="R4117" s="32" t="n">
        <v>5.1948</v>
      </c>
      <c r="S4117" s="35" t="n">
        <v>14</v>
      </c>
      <c r="T4117" s="18" t="n"/>
      <c r="U4117" s="18" t="n"/>
      <c r="V4117" s="18" t="n"/>
      <c r="W4117" s="18" t="n">
        <v>110925.6</v>
      </c>
      <c r="X4117" s="35" t="n">
        <v>14</v>
      </c>
      <c r="Y4117" s="35" t="n"/>
    </row>
    <row r="4118">
      <c r="A4118" s="25" t="n">
        <v>44897</v>
      </c>
      <c r="B4118" s="18" t="n">
        <v>111923.93</v>
      </c>
      <c r="C4118" s="31" t="n"/>
      <c r="D4118" s="32" t="n"/>
      <c r="E4118" s="33" t="n">
        <v>-0.8497</v>
      </c>
      <c r="F4118" t="inlineStr">
        <is>
          <t>Down</t>
        </is>
      </c>
      <c r="G4118" t="inlineStr">
        <is>
          <t>Up</t>
        </is>
      </c>
      <c r="H4118" t="inlineStr">
        <is>
          <t>ED_JU</t>
        </is>
      </c>
      <c r="I4118" t="inlineStr">
        <is>
          <t>2022-12</t>
        </is>
      </c>
      <c r="J4118" t="n">
        <v>1</v>
      </c>
      <c r="K4118" t="n">
        <v>1</v>
      </c>
      <c r="L4118" s="34">
        <f>IF($J4118=1,LN(B4119/B4118),"")</f>
        <v/>
      </c>
      <c r="M4118" s="34">
        <f>IF($K4118=1,INDEX(Mensal!$D$2:$D$245,MATCH($I4118,Mensal!$A$2:$A$245,0)),"")</f>
        <v/>
      </c>
      <c r="N4118" s="34">
        <f>IF($K4118=1,L4118-M4118,"")</f>
        <v/>
      </c>
      <c r="O4118" s="34" t="n">
        <v>0.0005078800000000001</v>
      </c>
      <c r="P4118" s="34">
        <f>IF($J4118=1,LN(1+O4118),"")</f>
        <v/>
      </c>
      <c r="Q4118" s="34">
        <f>IF($J4118=1,LN(R4119/R4118),"")</f>
        <v/>
      </c>
      <c r="R4118" s="32" t="n">
        <v>5.1974</v>
      </c>
      <c r="S4118" s="35" t="n">
        <v>13.86</v>
      </c>
      <c r="T4118" s="18" t="n"/>
      <c r="U4118" s="18" t="n"/>
      <c r="V4118" s="18" t="n"/>
      <c r="W4118" s="18" t="n">
        <v>111923.93</v>
      </c>
      <c r="X4118" s="35" t="n">
        <v>13.86</v>
      </c>
      <c r="Y4118" s="35" t="n"/>
    </row>
    <row r="4119">
      <c r="A4119" s="25" t="n">
        <v>44900</v>
      </c>
      <c r="B4119" s="18" t="n">
        <v>109401.41</v>
      </c>
      <c r="C4119" s="31" t="n"/>
      <c r="D4119" s="32" t="n"/>
      <c r="E4119" s="33" t="n">
        <v>-0.8355</v>
      </c>
      <c r="F4119" t="inlineStr">
        <is>
          <t>Down</t>
        </is>
      </c>
      <c r="G4119" t="inlineStr">
        <is>
          <t>Up</t>
        </is>
      </c>
      <c r="H4119" t="inlineStr">
        <is>
          <t>ED_JU</t>
        </is>
      </c>
      <c r="I4119" t="inlineStr">
        <is>
          <t>2022-12</t>
        </is>
      </c>
      <c r="J4119" t="n">
        <v>1</v>
      </c>
      <c r="K4119" t="n">
        <v>1</v>
      </c>
      <c r="L4119" s="34">
        <f>IF($J4119=1,LN(B4120/B4119),"")</f>
        <v/>
      </c>
      <c r="M4119" s="34">
        <f>IF($K4119=1,INDEX(Mensal!$D$2:$D$245,MATCH($I4119,Mensal!$A$2:$A$245,0)),"")</f>
        <v/>
      </c>
      <c r="N4119" s="34">
        <f>IF($K4119=1,L4119-M4119,"")</f>
        <v/>
      </c>
      <c r="O4119" s="34" t="n">
        <v>0.0005078800000000001</v>
      </c>
      <c r="P4119" s="34">
        <f>IF($J4119=1,LN(1+O4119),"")</f>
        <v/>
      </c>
      <c r="Q4119" s="34">
        <f>IF($J4119=1,LN(R4120/R4119),"")</f>
        <v/>
      </c>
      <c r="R4119" s="32" t="n">
        <v>5.2464</v>
      </c>
      <c r="S4119" s="35" t="n">
        <v>14.01</v>
      </c>
      <c r="T4119" s="18" t="n"/>
      <c r="U4119" s="18" t="n"/>
      <c r="V4119" s="18" t="n"/>
      <c r="W4119" s="18" t="n">
        <v>109401.41</v>
      </c>
      <c r="X4119" s="35" t="n">
        <v>14.01</v>
      </c>
      <c r="Y4119" s="35" t="n"/>
    </row>
    <row r="4120">
      <c r="A4120" s="25" t="n">
        <v>44901</v>
      </c>
      <c r="B4120" s="18" t="n">
        <v>110188.57</v>
      </c>
      <c r="C4120" s="31" t="n"/>
      <c r="D4120" s="32" t="n"/>
      <c r="E4120" s="33" t="n">
        <v>-0.8182</v>
      </c>
      <c r="F4120" t="inlineStr">
        <is>
          <t>Down</t>
        </is>
      </c>
      <c r="G4120" t="inlineStr">
        <is>
          <t>Up</t>
        </is>
      </c>
      <c r="H4120" t="inlineStr">
        <is>
          <t>ED_JU</t>
        </is>
      </c>
      <c r="I4120" t="inlineStr">
        <is>
          <t>2022-12</t>
        </is>
      </c>
      <c r="J4120" t="n">
        <v>1</v>
      </c>
      <c r="K4120" t="n">
        <v>1</v>
      </c>
      <c r="L4120" s="34">
        <f>IF($J4120=1,LN(B4121/B4120),"")</f>
        <v/>
      </c>
      <c r="M4120" s="34">
        <f>IF($K4120=1,INDEX(Mensal!$D$2:$D$245,MATCH($I4120,Mensal!$A$2:$A$245,0)),"")</f>
        <v/>
      </c>
      <c r="N4120" s="34">
        <f>IF($K4120=1,L4120-M4120,"")</f>
        <v/>
      </c>
      <c r="O4120" s="34" t="n">
        <v>0.0005078800000000001</v>
      </c>
      <c r="P4120" s="34">
        <f>IF($J4120=1,LN(1+O4120),"")</f>
        <v/>
      </c>
      <c r="Q4120" s="34">
        <f>IF($J4120=1,LN(R4121/R4120),"")</f>
        <v/>
      </c>
      <c r="R4120" s="32" t="n">
        <v>5.2396</v>
      </c>
      <c r="S4120" s="35" t="n">
        <v>14.06</v>
      </c>
      <c r="T4120" s="18" t="n"/>
      <c r="U4120" s="18" t="n"/>
      <c r="V4120" s="18" t="n"/>
      <c r="W4120" s="18" t="n">
        <v>110188.57</v>
      </c>
      <c r="X4120" s="35" t="n">
        <v>14.06</v>
      </c>
      <c r="Y4120" s="35" t="n"/>
    </row>
    <row r="4121">
      <c r="A4121" s="25" t="n">
        <v>44902</v>
      </c>
      <c r="B4121" s="18" t="n">
        <v>109068.55</v>
      </c>
      <c r="C4121" s="31" t="n"/>
      <c r="D4121" s="32" t="n"/>
      <c r="E4121" s="33" t="n">
        <v>-0.8086</v>
      </c>
      <c r="F4121" t="inlineStr">
        <is>
          <t>Down</t>
        </is>
      </c>
      <c r="G4121" t="inlineStr">
        <is>
          <t>Up</t>
        </is>
      </c>
      <c r="H4121" t="inlineStr">
        <is>
          <t>ED_JU</t>
        </is>
      </c>
      <c r="I4121" t="inlineStr">
        <is>
          <t>2022-12</t>
        </is>
      </c>
      <c r="J4121" t="n">
        <v>1</v>
      </c>
      <c r="K4121" t="n">
        <v>1</v>
      </c>
      <c r="L4121" s="34">
        <f>IF($J4121=1,LN(B4122/B4121),"")</f>
        <v/>
      </c>
      <c r="M4121" s="34">
        <f>IF($K4121=1,INDEX(Mensal!$D$2:$D$245,MATCH($I4121,Mensal!$A$2:$A$245,0)),"")</f>
        <v/>
      </c>
      <c r="N4121" s="34">
        <f>IF($K4121=1,L4121-M4121,"")</f>
        <v/>
      </c>
      <c r="O4121" s="34" t="n">
        <v>0.0005078800000000001</v>
      </c>
      <c r="P4121" s="34">
        <f>IF($J4121=1,LN(1+O4121),"")</f>
        <v/>
      </c>
      <c r="Q4121" s="34">
        <f>IF($J4121=1,LN(R4122/R4121),"")</f>
        <v/>
      </c>
      <c r="R4121" s="32" t="n">
        <v>5.2208</v>
      </c>
      <c r="S4121" s="35" t="n">
        <v>13.92</v>
      </c>
      <c r="T4121" s="18" t="n"/>
      <c r="U4121" s="18" t="n"/>
      <c r="V4121" s="18" t="n"/>
      <c r="W4121" s="18" t="n">
        <v>109068.55</v>
      </c>
      <c r="X4121" s="35" t="n">
        <v>13.92</v>
      </c>
      <c r="Y4121" s="35" t="n"/>
    </row>
    <row r="4122">
      <c r="A4122" s="25" t="n">
        <v>44903</v>
      </c>
      <c r="B4122" s="18" t="n">
        <v>107249.04</v>
      </c>
      <c r="C4122" s="31" t="n"/>
      <c r="D4122" s="32" t="n"/>
      <c r="E4122" s="33" t="n">
        <v>-0.7974</v>
      </c>
      <c r="F4122" t="inlineStr">
        <is>
          <t>Down</t>
        </is>
      </c>
      <c r="G4122" t="inlineStr">
        <is>
          <t>Up</t>
        </is>
      </c>
      <c r="H4122" t="inlineStr">
        <is>
          <t>ED_JU</t>
        </is>
      </c>
      <c r="I4122" t="inlineStr">
        <is>
          <t>2022-12</t>
        </is>
      </c>
      <c r="J4122" t="n">
        <v>1</v>
      </c>
      <c r="K4122" t="n">
        <v>1</v>
      </c>
      <c r="L4122" s="34">
        <f>IF($J4122=1,LN(B4123/B4122),"")</f>
        <v/>
      </c>
      <c r="M4122" s="34">
        <f>IF($K4122=1,INDEX(Mensal!$D$2:$D$245,MATCH($I4122,Mensal!$A$2:$A$245,0)),"")</f>
        <v/>
      </c>
      <c r="N4122" s="34">
        <f>IF($K4122=1,L4122-M4122,"")</f>
        <v/>
      </c>
      <c r="O4122" s="34" t="n">
        <v>0.0005078800000000001</v>
      </c>
      <c r="P4122" s="34">
        <f>IF($J4122=1,LN(1+O4122),"")</f>
        <v/>
      </c>
      <c r="Q4122" s="34">
        <f>IF($J4122=1,LN(R4123/R4122),"")</f>
        <v/>
      </c>
      <c r="R4122" s="32" t="n">
        <v>5.2091</v>
      </c>
      <c r="S4122" s="35" t="n">
        <v>13.89</v>
      </c>
      <c r="T4122" s="18" t="n"/>
      <c r="U4122" s="18" t="n"/>
      <c r="V4122" s="18" t="n"/>
      <c r="W4122" s="18" t="n">
        <v>107249.04</v>
      </c>
      <c r="X4122" s="35" t="n">
        <v>13.89</v>
      </c>
      <c r="Y4122" s="35" t="n"/>
    </row>
    <row r="4123">
      <c r="A4123" s="25" t="n">
        <v>44904</v>
      </c>
      <c r="B4123" s="18" t="n">
        <v>107519.56</v>
      </c>
      <c r="C4123" s="31" t="n"/>
      <c r="D4123" s="32" t="n"/>
      <c r="E4123" s="33" t="n">
        <v>-0.7887</v>
      </c>
      <c r="F4123" t="inlineStr">
        <is>
          <t>Down</t>
        </is>
      </c>
      <c r="G4123" t="inlineStr">
        <is>
          <t>Up</t>
        </is>
      </c>
      <c r="H4123" t="inlineStr">
        <is>
          <t>ED_JU</t>
        </is>
      </c>
      <c r="I4123" t="inlineStr">
        <is>
          <t>2022-12</t>
        </is>
      </c>
      <c r="J4123" t="n">
        <v>1</v>
      </c>
      <c r="K4123" t="n">
        <v>1</v>
      </c>
      <c r="L4123" s="34">
        <f>IF($J4123=1,LN(B4124/B4123),"")</f>
        <v/>
      </c>
      <c r="M4123" s="34">
        <f>IF($K4123=1,INDEX(Mensal!$D$2:$D$245,MATCH($I4123,Mensal!$A$2:$A$245,0)),"")</f>
        <v/>
      </c>
      <c r="N4123" s="34">
        <f>IF($K4123=1,L4123-M4123,"")</f>
        <v/>
      </c>
      <c r="O4123" s="34" t="n">
        <v>0.0005078800000000001</v>
      </c>
      <c r="P4123" s="34">
        <f>IF($J4123=1,LN(1+O4123),"")</f>
        <v/>
      </c>
      <c r="Q4123" s="34">
        <f>IF($J4123=1,LN(R4124/R4123),"")</f>
        <v/>
      </c>
      <c r="R4123" s="32" t="n">
        <v>5.2396</v>
      </c>
      <c r="S4123" s="35" t="n">
        <v>13.85</v>
      </c>
      <c r="T4123" s="18" t="n"/>
      <c r="U4123" s="18" t="n"/>
      <c r="V4123" s="18" t="n"/>
      <c r="W4123" s="18" t="n">
        <v>107519.56</v>
      </c>
      <c r="X4123" s="35" t="n">
        <v>13.85</v>
      </c>
      <c r="Y4123" s="35" t="n"/>
    </row>
    <row r="4124">
      <c r="A4124" s="25" t="n">
        <v>44907</v>
      </c>
      <c r="B4124" s="18" t="n">
        <v>105343.33</v>
      </c>
      <c r="C4124" s="31" t="n"/>
      <c r="D4124" s="32" t="n"/>
      <c r="E4124" s="33" t="n">
        <v>-0.7862</v>
      </c>
      <c r="F4124" t="inlineStr">
        <is>
          <t>Down</t>
        </is>
      </c>
      <c r="G4124" t="inlineStr">
        <is>
          <t>Up</t>
        </is>
      </c>
      <c r="H4124" t="inlineStr">
        <is>
          <t>ED_JU</t>
        </is>
      </c>
      <c r="I4124" t="inlineStr">
        <is>
          <t>2022-12</t>
        </is>
      </c>
      <c r="J4124" t="n">
        <v>1</v>
      </c>
      <c r="K4124" t="n">
        <v>1</v>
      </c>
      <c r="L4124" s="34">
        <f>IF($J4124=1,LN(B4125/B4124),"")</f>
        <v/>
      </c>
      <c r="M4124" s="34">
        <f>IF($K4124=1,INDEX(Mensal!$D$2:$D$245,MATCH($I4124,Mensal!$A$2:$A$245,0)),"")</f>
        <v/>
      </c>
      <c r="N4124" s="34">
        <f>IF($K4124=1,L4124-M4124,"")</f>
        <v/>
      </c>
      <c r="O4124" s="34" t="n">
        <v>0.0005078800000000001</v>
      </c>
      <c r="P4124" s="34">
        <f>IF($J4124=1,LN(1+O4124),"")</f>
        <v/>
      </c>
      <c r="Q4124" s="34">
        <f>IF($J4124=1,LN(R4125/R4124),"")</f>
        <v/>
      </c>
      <c r="R4124" s="32" t="n">
        <v>5.3066</v>
      </c>
      <c r="S4124" s="35" t="n">
        <v>14.01</v>
      </c>
      <c r="T4124" s="18" t="n"/>
      <c r="U4124" s="18" t="n"/>
      <c r="V4124" s="18" t="n"/>
      <c r="W4124" s="18" t="n">
        <v>105343.33</v>
      </c>
      <c r="X4124" s="35" t="n">
        <v>14.01</v>
      </c>
      <c r="Y4124" s="35" t="n"/>
    </row>
    <row r="4125">
      <c r="A4125" s="25" t="n">
        <v>44908</v>
      </c>
      <c r="B4125" s="18" t="n">
        <v>103539.67</v>
      </c>
      <c r="C4125" s="31" t="n"/>
      <c r="D4125" s="32" t="n"/>
      <c r="E4125" s="33" t="n">
        <v>-0.8288</v>
      </c>
      <c r="F4125" t="inlineStr">
        <is>
          <t>Down</t>
        </is>
      </c>
      <c r="G4125" t="inlineStr">
        <is>
          <t>Up</t>
        </is>
      </c>
      <c r="H4125" t="inlineStr">
        <is>
          <t>ED_JU</t>
        </is>
      </c>
      <c r="I4125" t="inlineStr">
        <is>
          <t>2022-12</t>
        </is>
      </c>
      <c r="J4125" t="n">
        <v>1</v>
      </c>
      <c r="K4125" t="n">
        <v>1</v>
      </c>
      <c r="L4125" s="34">
        <f>IF($J4125=1,LN(B4126/B4125),"")</f>
        <v/>
      </c>
      <c r="M4125" s="34">
        <f>IF($K4125=1,INDEX(Mensal!$D$2:$D$245,MATCH($I4125,Mensal!$A$2:$A$245,0)),"")</f>
        <v/>
      </c>
      <c r="N4125" s="34">
        <f>IF($K4125=1,L4125-M4125,"")</f>
        <v/>
      </c>
      <c r="O4125" s="34" t="n">
        <v>0.0005078800000000001</v>
      </c>
      <c r="P4125" s="34">
        <f>IF($J4125=1,LN(1+O4125),"")</f>
        <v/>
      </c>
      <c r="Q4125" s="34">
        <f>IF($J4125=1,LN(R4126/R4125),"")</f>
        <v/>
      </c>
      <c r="R4125" s="32" t="n">
        <v>5.2669</v>
      </c>
      <c r="S4125" s="35" t="n">
        <v>14.08</v>
      </c>
      <c r="T4125" s="18" t="n"/>
      <c r="U4125" s="18" t="n"/>
      <c r="V4125" s="18" t="n"/>
      <c r="W4125" s="18" t="n">
        <v>103539.67</v>
      </c>
      <c r="X4125" s="35" t="n">
        <v>14.08</v>
      </c>
      <c r="Y4125" s="35" t="n"/>
    </row>
    <row r="4126">
      <c r="A4126" s="25" t="n">
        <v>44909</v>
      </c>
      <c r="B4126" s="18" t="n">
        <v>103745.77</v>
      </c>
      <c r="C4126" s="31" t="n"/>
      <c r="D4126" s="32" t="n"/>
      <c r="E4126" s="33" t="n">
        <v>-0.8683999999999999</v>
      </c>
      <c r="F4126" t="inlineStr">
        <is>
          <t>Down</t>
        </is>
      </c>
      <c r="G4126" t="inlineStr">
        <is>
          <t>Up</t>
        </is>
      </c>
      <c r="H4126" t="inlineStr">
        <is>
          <t>ED_JU</t>
        </is>
      </c>
      <c r="I4126" t="inlineStr">
        <is>
          <t>2022-12</t>
        </is>
      </c>
      <c r="J4126" t="n">
        <v>1</v>
      </c>
      <c r="K4126" t="n">
        <v>1</v>
      </c>
      <c r="L4126" s="34">
        <f>IF($J4126=1,LN(B4127/B4126),"")</f>
        <v/>
      </c>
      <c r="M4126" s="34">
        <f>IF($K4126=1,INDEX(Mensal!$D$2:$D$245,MATCH($I4126,Mensal!$A$2:$A$245,0)),"")</f>
        <v/>
      </c>
      <c r="N4126" s="34">
        <f>IF($K4126=1,L4126-M4126,"")</f>
        <v/>
      </c>
      <c r="O4126" s="34" t="n">
        <v>0.0005078800000000001</v>
      </c>
      <c r="P4126" s="34">
        <f>IF($J4126=1,LN(1+O4126),"")</f>
        <v/>
      </c>
      <c r="Q4126" s="34">
        <f>IF($J4126=1,LN(R4127/R4126),"")</f>
        <v/>
      </c>
      <c r="R4126" s="32" t="n">
        <v>5.3406</v>
      </c>
      <c r="S4126" s="35" t="n">
        <v>14.09</v>
      </c>
      <c r="T4126" s="18" t="n"/>
      <c r="U4126" s="18" t="n"/>
      <c r="V4126" s="18" t="n"/>
      <c r="W4126" s="18" t="n">
        <v>103745.77</v>
      </c>
      <c r="X4126" s="35" t="n">
        <v>14.09</v>
      </c>
      <c r="Y4126" s="35" t="n"/>
    </row>
    <row r="4127">
      <c r="A4127" s="25" t="n">
        <v>44910</v>
      </c>
      <c r="B4127" s="18" t="n">
        <v>103737.69</v>
      </c>
      <c r="C4127" s="31" t="n"/>
      <c r="D4127" s="32" t="n"/>
      <c r="E4127" s="33" t="n">
        <v>-0.9039</v>
      </c>
      <c r="F4127" t="inlineStr">
        <is>
          <t>Down</t>
        </is>
      </c>
      <c r="G4127" t="inlineStr">
        <is>
          <t>Up</t>
        </is>
      </c>
      <c r="H4127" t="inlineStr">
        <is>
          <t>ED_JU</t>
        </is>
      </c>
      <c r="I4127" t="inlineStr">
        <is>
          <t>2022-12</t>
        </is>
      </c>
      <c r="J4127" t="n">
        <v>1</v>
      </c>
      <c r="K4127" t="n">
        <v>1</v>
      </c>
      <c r="L4127" s="34">
        <f>IF($J4127=1,LN(B4128/B4127),"")</f>
        <v/>
      </c>
      <c r="M4127" s="34">
        <f>IF($K4127=1,INDEX(Mensal!$D$2:$D$245,MATCH($I4127,Mensal!$A$2:$A$245,0)),"")</f>
        <v/>
      </c>
      <c r="N4127" s="34">
        <f>IF($K4127=1,L4127-M4127,"")</f>
        <v/>
      </c>
      <c r="O4127" s="34" t="n">
        <v>0.0005078800000000001</v>
      </c>
      <c r="P4127" s="34">
        <f>IF($J4127=1,LN(1+O4127),"")</f>
        <v/>
      </c>
      <c r="Q4127" s="34">
        <f>IF($J4127=1,LN(R4128/R4127),"")</f>
        <v/>
      </c>
      <c r="R4127" s="32" t="n">
        <v>5.3183</v>
      </c>
      <c r="S4127" s="35" t="n">
        <v>13.91</v>
      </c>
      <c r="T4127" s="18" t="n"/>
      <c r="U4127" s="18" t="n"/>
      <c r="V4127" s="18" t="n"/>
      <c r="W4127" s="18" t="n">
        <v>103737.69</v>
      </c>
      <c r="X4127" s="35" t="n">
        <v>13.91</v>
      </c>
      <c r="Y4127" s="35" t="n"/>
    </row>
    <row r="4128">
      <c r="A4128" s="25" t="n">
        <v>44911</v>
      </c>
      <c r="B4128" s="18" t="n">
        <v>102855.7</v>
      </c>
      <c r="C4128" s="31" t="n"/>
      <c r="D4128" s="32" t="n"/>
      <c r="E4128" s="33" t="n">
        <v>-0.9428</v>
      </c>
      <c r="F4128" t="inlineStr">
        <is>
          <t>Down</t>
        </is>
      </c>
      <c r="G4128" t="inlineStr">
        <is>
          <t>Up</t>
        </is>
      </c>
      <c r="H4128" t="inlineStr">
        <is>
          <t>ED_JU</t>
        </is>
      </c>
      <c r="I4128" t="inlineStr">
        <is>
          <t>2022-12</t>
        </is>
      </c>
      <c r="J4128" t="n">
        <v>1</v>
      </c>
      <c r="K4128" t="n">
        <v>1</v>
      </c>
      <c r="L4128" s="34">
        <f>IF($J4128=1,LN(B4129/B4128),"")</f>
        <v/>
      </c>
      <c r="M4128" s="34">
        <f>IF($K4128=1,INDEX(Mensal!$D$2:$D$245,MATCH($I4128,Mensal!$A$2:$A$245,0)),"")</f>
        <v/>
      </c>
      <c r="N4128" s="34">
        <f>IF($K4128=1,L4128-M4128,"")</f>
        <v/>
      </c>
      <c r="O4128" s="34" t="n">
        <v>0.0005078800000000001</v>
      </c>
      <c r="P4128" s="34">
        <f>IF($J4128=1,LN(1+O4128),"")</f>
        <v/>
      </c>
      <c r="Q4128" s="34">
        <f>IF($J4128=1,LN(R4129/R4128),"")</f>
        <v/>
      </c>
      <c r="R4128" s="32" t="n">
        <v>5.2806</v>
      </c>
      <c r="S4128" s="35" t="n">
        <v>13.96</v>
      </c>
      <c r="T4128" s="18" t="n"/>
      <c r="U4128" s="18" t="n"/>
      <c r="V4128" s="18" t="n"/>
      <c r="W4128" s="18" t="n">
        <v>102855.7</v>
      </c>
      <c r="X4128" s="35" t="n">
        <v>13.96</v>
      </c>
      <c r="Y4128" s="35" t="n"/>
    </row>
    <row r="4129">
      <c r="A4129" s="25" t="n">
        <v>44914</v>
      </c>
      <c r="B4129" s="18" t="n">
        <v>104739.75</v>
      </c>
      <c r="C4129" s="31" t="n"/>
      <c r="D4129" s="32" t="n"/>
      <c r="E4129" s="33" t="n">
        <v>-0.992</v>
      </c>
      <c r="F4129" t="inlineStr">
        <is>
          <t>Down</t>
        </is>
      </c>
      <c r="G4129" t="inlineStr">
        <is>
          <t>Up</t>
        </is>
      </c>
      <c r="H4129" t="inlineStr">
        <is>
          <t>ED_JU</t>
        </is>
      </c>
      <c r="I4129" t="inlineStr">
        <is>
          <t>2022-12</t>
        </is>
      </c>
      <c r="J4129" t="n">
        <v>1</v>
      </c>
      <c r="K4129" t="n">
        <v>1</v>
      </c>
      <c r="L4129" s="34">
        <f>IF($J4129=1,LN(B4130/B4129),"")</f>
        <v/>
      </c>
      <c r="M4129" s="34">
        <f>IF($K4129=1,INDEX(Mensal!$D$2:$D$245,MATCH($I4129,Mensal!$A$2:$A$245,0)),"")</f>
        <v/>
      </c>
      <c r="N4129" s="34">
        <f>IF($K4129=1,L4129-M4129,"")</f>
        <v/>
      </c>
      <c r="O4129" s="34" t="n">
        <v>0.0005078800000000001</v>
      </c>
      <c r="P4129" s="34">
        <f>IF($J4129=1,LN(1+O4129),"")</f>
        <v/>
      </c>
      <c r="Q4129" s="34">
        <f>IF($J4129=1,LN(R4130/R4129),"")</f>
        <v/>
      </c>
      <c r="R4129" s="32" t="n">
        <v>5.316</v>
      </c>
      <c r="S4129" s="35" t="n">
        <v>13.95</v>
      </c>
      <c r="T4129" s="18" t="n"/>
      <c r="U4129" s="18" t="n"/>
      <c r="V4129" s="18" t="n"/>
      <c r="W4129" s="18" t="n">
        <v>104739.75</v>
      </c>
      <c r="X4129" s="35" t="n">
        <v>13.95</v>
      </c>
      <c r="Y4129" s="35" t="n"/>
    </row>
    <row r="4130">
      <c r="A4130" s="25" t="n">
        <v>44915</v>
      </c>
      <c r="B4130" s="18" t="n">
        <v>106864.11</v>
      </c>
      <c r="C4130" s="31" t="n"/>
      <c r="D4130" s="32" t="n"/>
      <c r="E4130" s="33" t="n">
        <v>-1.0438</v>
      </c>
      <c r="F4130" t="inlineStr">
        <is>
          <t>Down</t>
        </is>
      </c>
      <c r="G4130" t="inlineStr">
        <is>
          <t>Up</t>
        </is>
      </c>
      <c r="H4130" t="inlineStr">
        <is>
          <t>ED_JU</t>
        </is>
      </c>
      <c r="I4130" t="inlineStr">
        <is>
          <t>2022-12</t>
        </is>
      </c>
      <c r="J4130" t="n">
        <v>1</v>
      </c>
      <c r="K4130" t="n">
        <v>1</v>
      </c>
      <c r="L4130" s="34">
        <f>IF($J4130=1,LN(B4131/B4130),"")</f>
        <v/>
      </c>
      <c r="M4130" s="34">
        <f>IF($K4130=1,INDEX(Mensal!$D$2:$D$245,MATCH($I4130,Mensal!$A$2:$A$245,0)),"")</f>
        <v/>
      </c>
      <c r="N4130" s="34">
        <f>IF($K4130=1,L4130-M4130,"")</f>
        <v/>
      </c>
      <c r="O4130" s="34" t="n">
        <v>0.0005078800000000001</v>
      </c>
      <c r="P4130" s="34">
        <f>IF($J4130=1,LN(1+O4130),"")</f>
        <v/>
      </c>
      <c r="Q4130" s="34">
        <f>IF($J4130=1,LN(R4131/R4130),"")</f>
        <v/>
      </c>
      <c r="R4130" s="32" t="n">
        <v>5.2427</v>
      </c>
      <c r="S4130" s="35" t="n">
        <v>13.82</v>
      </c>
      <c r="T4130" s="18" t="n"/>
      <c r="U4130" s="18" t="n"/>
      <c r="V4130" s="18" t="n"/>
      <c r="W4130" s="18" t="n">
        <v>106864.11</v>
      </c>
      <c r="X4130" s="35" t="n">
        <v>13.82</v>
      </c>
      <c r="Y4130" s="35" t="n"/>
    </row>
    <row r="4131">
      <c r="A4131" s="25" t="n">
        <v>44916</v>
      </c>
      <c r="B4131" s="18" t="n">
        <v>107433.14</v>
      </c>
      <c r="C4131" s="31" t="n"/>
      <c r="D4131" s="32" t="n"/>
      <c r="E4131" s="33" t="n">
        <v>-1.0939</v>
      </c>
      <c r="F4131" t="inlineStr">
        <is>
          <t>Down</t>
        </is>
      </c>
      <c r="G4131" t="inlineStr">
        <is>
          <t>Up</t>
        </is>
      </c>
      <c r="H4131" t="inlineStr">
        <is>
          <t>ED_JU</t>
        </is>
      </c>
      <c r="I4131" t="inlineStr">
        <is>
          <t>2022-12</t>
        </is>
      </c>
      <c r="J4131" t="n">
        <v>1</v>
      </c>
      <c r="K4131" t="n">
        <v>1</v>
      </c>
      <c r="L4131" s="34">
        <f>IF($J4131=1,LN(B4132/B4131),"")</f>
        <v/>
      </c>
      <c r="M4131" s="34">
        <f>IF($K4131=1,INDEX(Mensal!$D$2:$D$245,MATCH($I4131,Mensal!$A$2:$A$245,0)),"")</f>
        <v/>
      </c>
      <c r="N4131" s="34">
        <f>IF($K4131=1,L4131-M4131,"")</f>
        <v/>
      </c>
      <c r="O4131" s="34" t="n">
        <v>0.0005078800000000001</v>
      </c>
      <c r="P4131" s="34">
        <f>IF($J4131=1,LN(1+O4131),"")</f>
        <v/>
      </c>
      <c r="Q4131" s="34">
        <f>IF($J4131=1,LN(R4132/R4131),"")</f>
        <v/>
      </c>
      <c r="R4131" s="32" t="n">
        <v>5.2031</v>
      </c>
      <c r="S4131" s="35" t="n">
        <v>13.8</v>
      </c>
      <c r="T4131" s="18" t="n"/>
      <c r="U4131" s="18" t="n"/>
      <c r="V4131" s="18" t="n"/>
      <c r="W4131" s="18" t="n">
        <v>107433.14</v>
      </c>
      <c r="X4131" s="35" t="n">
        <v>13.8</v>
      </c>
      <c r="Y4131" s="35" t="n"/>
    </row>
    <row r="4132">
      <c r="A4132" s="25" t="n">
        <v>44917</v>
      </c>
      <c r="B4132" s="18" t="n">
        <v>107551.52</v>
      </c>
      <c r="C4132" s="31" t="n"/>
      <c r="D4132" s="32" t="n"/>
      <c r="E4132" s="33" t="n">
        <v>-1.1419</v>
      </c>
      <c r="F4132" t="inlineStr">
        <is>
          <t>Down</t>
        </is>
      </c>
      <c r="G4132" t="inlineStr">
        <is>
          <t>Up</t>
        </is>
      </c>
      <c r="H4132" t="inlineStr">
        <is>
          <t>ED_JU</t>
        </is>
      </c>
      <c r="I4132" t="inlineStr">
        <is>
          <t>2022-12</t>
        </is>
      </c>
      <c r="J4132" t="n">
        <v>1</v>
      </c>
      <c r="K4132" t="n">
        <v>1</v>
      </c>
      <c r="L4132" s="34">
        <f>IF($J4132=1,LN(B4133/B4132),"")</f>
        <v/>
      </c>
      <c r="M4132" s="34">
        <f>IF($K4132=1,INDEX(Mensal!$D$2:$D$245,MATCH($I4132,Mensal!$A$2:$A$245,0)),"")</f>
        <v/>
      </c>
      <c r="N4132" s="34">
        <f>IF($K4132=1,L4132-M4132,"")</f>
        <v/>
      </c>
      <c r="O4132" s="34" t="n">
        <v>0.0005078800000000001</v>
      </c>
      <c r="P4132" s="34">
        <f>IF($J4132=1,LN(1+O4132),"")</f>
        <v/>
      </c>
      <c r="Q4132" s="34">
        <f>IF($J4132=1,LN(R4133/R4132),"")</f>
        <v/>
      </c>
      <c r="R4132" s="32" t="n">
        <v>5.1871</v>
      </c>
      <c r="S4132" s="35" t="n">
        <v>13.69</v>
      </c>
      <c r="T4132" s="18" t="n"/>
      <c r="U4132" s="18" t="n"/>
      <c r="V4132" s="18" t="n"/>
      <c r="W4132" s="18" t="n">
        <v>107551.52</v>
      </c>
      <c r="X4132" s="35" t="n">
        <v>13.69</v>
      </c>
      <c r="Y4132" s="35" t="n"/>
    </row>
    <row r="4133">
      <c r="A4133" s="25" t="n">
        <v>44918</v>
      </c>
      <c r="B4133" s="18" t="n">
        <v>109697.57</v>
      </c>
      <c r="C4133" s="31" t="n"/>
      <c r="D4133" s="32" t="n"/>
      <c r="E4133" s="33" t="n">
        <v>-1.1737</v>
      </c>
      <c r="F4133" t="inlineStr">
        <is>
          <t>Down</t>
        </is>
      </c>
      <c r="G4133" t="inlineStr">
        <is>
          <t>Up</t>
        </is>
      </c>
      <c r="H4133" t="inlineStr">
        <is>
          <t>ED_JU</t>
        </is>
      </c>
      <c r="I4133" t="inlineStr">
        <is>
          <t>2022-12</t>
        </is>
      </c>
      <c r="J4133" t="n">
        <v>1</v>
      </c>
      <c r="K4133" t="n">
        <v>1</v>
      </c>
      <c r="L4133" s="34">
        <f>IF($J4133=1,LN(B4134/B4133),"")</f>
        <v/>
      </c>
      <c r="M4133" s="34">
        <f>IF($K4133=1,INDEX(Mensal!$D$2:$D$245,MATCH($I4133,Mensal!$A$2:$A$245,0)),"")</f>
        <v/>
      </c>
      <c r="N4133" s="34">
        <f>IF($K4133=1,L4133-M4133,"")</f>
        <v/>
      </c>
      <c r="O4133" s="34" t="n">
        <v>0.0005078800000000001</v>
      </c>
      <c r="P4133" s="34">
        <f>IF($J4133=1,LN(1+O4133),"")</f>
        <v/>
      </c>
      <c r="Q4133" s="34">
        <f>IF($J4133=1,LN(R4134/R4133),"")</f>
        <v/>
      </c>
      <c r="R4133" s="32" t="n">
        <v>5.1445</v>
      </c>
      <c r="S4133" s="35" t="n">
        <v>13.56</v>
      </c>
      <c r="T4133" s="18" t="n"/>
      <c r="U4133" s="18" t="n"/>
      <c r="V4133" s="18" t="n"/>
      <c r="W4133" s="18" t="n">
        <v>109697.57</v>
      </c>
      <c r="X4133" s="35" t="n">
        <v>13.56</v>
      </c>
      <c r="Y4133" s="35" t="n"/>
    </row>
    <row r="4134">
      <c r="A4134" s="25" t="n">
        <v>44921</v>
      </c>
      <c r="B4134" s="18" t="n">
        <v>108737.75</v>
      </c>
      <c r="C4134" s="31" t="n"/>
      <c r="D4134" s="32" t="n"/>
      <c r="E4134" s="33" t="n">
        <v>-1.2062</v>
      </c>
      <c r="F4134" t="inlineStr">
        <is>
          <t>Down</t>
        </is>
      </c>
      <c r="G4134" t="inlineStr">
        <is>
          <t>Up</t>
        </is>
      </c>
      <c r="H4134" t="inlineStr">
        <is>
          <t>ED_JU</t>
        </is>
      </c>
      <c r="I4134" t="inlineStr">
        <is>
          <t>2022-12</t>
        </is>
      </c>
      <c r="J4134" t="n">
        <v>1</v>
      </c>
      <c r="K4134" t="n">
        <v>1</v>
      </c>
      <c r="L4134" s="34">
        <f>IF($J4134=1,LN(B4135/B4134),"")</f>
        <v/>
      </c>
      <c r="M4134" s="34">
        <f>IF($K4134=1,INDEX(Mensal!$D$2:$D$245,MATCH($I4134,Mensal!$A$2:$A$245,0)),"")</f>
        <v/>
      </c>
      <c r="N4134" s="34">
        <f>IF($K4134=1,L4134-M4134,"")</f>
        <v/>
      </c>
      <c r="O4134" s="34" t="n">
        <v>0.0005078800000000001</v>
      </c>
      <c r="P4134" s="34">
        <f>IF($J4134=1,LN(1+O4134),"")</f>
        <v/>
      </c>
      <c r="Q4134" s="34">
        <f>IF($J4134=1,LN(R4135/R4134),"")</f>
        <v/>
      </c>
      <c r="R4134" s="32" t="n">
        <v>5.1872</v>
      </c>
      <c r="S4134" s="35" t="n">
        <v>13.59</v>
      </c>
      <c r="T4134" s="18" t="n"/>
      <c r="U4134" s="18" t="n"/>
      <c r="V4134" s="18" t="n"/>
      <c r="W4134" s="18" t="n">
        <v>108737.75</v>
      </c>
      <c r="X4134" s="35" t="n">
        <v>13.59</v>
      </c>
      <c r="Y4134" s="35" t="n"/>
    </row>
    <row r="4135">
      <c r="A4135" s="25" t="n">
        <v>44922</v>
      </c>
      <c r="B4135" s="18" t="n">
        <v>108578.2</v>
      </c>
      <c r="C4135" s="31" t="n"/>
      <c r="D4135" s="32" t="n"/>
      <c r="E4135" s="33" t="n">
        <v>-1.2366</v>
      </c>
      <c r="F4135" t="inlineStr">
        <is>
          <t>Down</t>
        </is>
      </c>
      <c r="G4135" t="inlineStr">
        <is>
          <t>Up</t>
        </is>
      </c>
      <c r="H4135" t="inlineStr">
        <is>
          <t>ED_JU</t>
        </is>
      </c>
      <c r="I4135" t="inlineStr">
        <is>
          <t>2022-12</t>
        </is>
      </c>
      <c r="J4135" t="n">
        <v>1</v>
      </c>
      <c r="K4135" t="n">
        <v>1</v>
      </c>
      <c r="L4135" s="34">
        <f>IF($J4135=1,LN(B4136/B4135),"")</f>
        <v/>
      </c>
      <c r="M4135" s="34">
        <f>IF($K4135=1,INDEX(Mensal!$D$2:$D$245,MATCH($I4135,Mensal!$A$2:$A$245,0)),"")</f>
        <v/>
      </c>
      <c r="N4135" s="34">
        <f>IF($K4135=1,L4135-M4135,"")</f>
        <v/>
      </c>
      <c r="O4135" s="34" t="n">
        <v>0.0005078800000000001</v>
      </c>
      <c r="P4135" s="34">
        <f>IF($J4135=1,LN(1+O4135),"")</f>
        <v/>
      </c>
      <c r="Q4135" s="34">
        <f>IF($J4135=1,LN(R4136/R4135),"")</f>
        <v/>
      </c>
      <c r="R4135" s="32" t="n">
        <v>5.2832</v>
      </c>
      <c r="S4135" s="35" t="n">
        <v>13.56</v>
      </c>
      <c r="T4135" s="18" t="n"/>
      <c r="U4135" s="18" t="n"/>
      <c r="V4135" s="18" t="n"/>
      <c r="W4135" s="18" t="n">
        <v>108578.2</v>
      </c>
      <c r="X4135" s="35" t="n">
        <v>13.56</v>
      </c>
      <c r="Y4135" s="35" t="n"/>
    </row>
    <row r="4136">
      <c r="A4136" s="25" t="n">
        <v>44923</v>
      </c>
      <c r="B4136" s="18" t="n">
        <v>110236.71</v>
      </c>
      <c r="C4136" s="31" t="n"/>
      <c r="D4136" s="32" t="n"/>
      <c r="E4136" s="33" t="n">
        <v>-1.2617</v>
      </c>
      <c r="F4136" t="inlineStr">
        <is>
          <t>Down</t>
        </is>
      </c>
      <c r="G4136" t="inlineStr">
        <is>
          <t>Up</t>
        </is>
      </c>
      <c r="H4136" t="inlineStr">
        <is>
          <t>ED_JU</t>
        </is>
      </c>
      <c r="I4136" t="inlineStr">
        <is>
          <t>2022-12</t>
        </is>
      </c>
      <c r="J4136" t="n">
        <v>1</v>
      </c>
      <c r="K4136" t="n">
        <v>1</v>
      </c>
      <c r="L4136" s="34">
        <f>IF($J4136=1,LN(B4137/B4136),"")</f>
        <v/>
      </c>
      <c r="M4136" s="34">
        <f>IF($K4136=1,INDEX(Mensal!$D$2:$D$245,MATCH($I4136,Mensal!$A$2:$A$245,0)),"")</f>
        <v/>
      </c>
      <c r="N4136" s="34">
        <f>IF($K4136=1,L4136-M4136,"")</f>
        <v/>
      </c>
      <c r="O4136" s="34" t="n">
        <v>0.0005078800000000001</v>
      </c>
      <c r="P4136" s="34">
        <f>IF($J4136=1,LN(1+O4136),"")</f>
        <v/>
      </c>
      <c r="Q4136" s="34">
        <f>IF($J4136=1,LN(R4137/R4136),"")</f>
        <v/>
      </c>
      <c r="R4136" s="32" t="n">
        <v>5.2736</v>
      </c>
      <c r="S4136" s="35" t="n">
        <v>13.45</v>
      </c>
      <c r="T4136" s="18" t="n"/>
      <c r="U4136" s="18" t="n"/>
      <c r="V4136" s="18" t="n"/>
      <c r="W4136" s="18" t="n">
        <v>110236.71</v>
      </c>
      <c r="X4136" s="35" t="n">
        <v>13.45</v>
      </c>
      <c r="Y4136" s="35" t="n"/>
    </row>
    <row r="4137">
      <c r="A4137" s="25" t="n">
        <v>44924</v>
      </c>
      <c r="B4137" s="18" t="n">
        <v>109734.6</v>
      </c>
      <c r="C4137" s="31" t="n"/>
      <c r="D4137" s="32" t="n"/>
      <c r="E4137" s="33" t="n">
        <v>-1.2852</v>
      </c>
      <c r="F4137" t="inlineStr">
        <is>
          <t>Down</t>
        </is>
      </c>
      <c r="G4137" t="inlineStr">
        <is>
          <t>Up</t>
        </is>
      </c>
      <c r="H4137" t="inlineStr">
        <is>
          <t>ED_JU</t>
        </is>
      </c>
      <c r="I4137" t="inlineStr">
        <is>
          <t>2022-12</t>
        </is>
      </c>
      <c r="J4137" t="n">
        <v>1</v>
      </c>
      <c r="K4137" t="n">
        <v>1</v>
      </c>
      <c r="L4137" s="34">
        <f>IF($J4137=1,LN(B4138/B4137),"")</f>
        <v/>
      </c>
      <c r="M4137" s="34">
        <f>IF($K4137=1,INDEX(Mensal!$D$2:$D$245,MATCH($I4137,Mensal!$A$2:$A$245,0)),"")</f>
        <v/>
      </c>
      <c r="N4137" s="34">
        <f>IF($K4137=1,L4137-M4137,"")</f>
        <v/>
      </c>
      <c r="O4137" s="34" t="n">
        <v>0.0005078800000000001</v>
      </c>
      <c r="P4137" s="34">
        <f>IF($J4137=1,LN(1+O4137),"")</f>
        <v/>
      </c>
      <c r="Q4137" s="34">
        <f>IF($J4137=1,LN(R4138/R4137),"")</f>
        <v/>
      </c>
      <c r="R4137" s="32" t="n">
        <v>5.2177</v>
      </c>
      <c r="S4137" s="35" t="n">
        <v>13.43</v>
      </c>
      <c r="T4137" s="18" t="n"/>
      <c r="U4137" s="18" t="n"/>
      <c r="V4137" s="18" t="n"/>
      <c r="W4137" s="18" t="n">
        <v>109734.6</v>
      </c>
      <c r="X4137" s="35" t="n">
        <v>13.43</v>
      </c>
      <c r="Y4137" s="35" t="n"/>
    </row>
    <row r="4138">
      <c r="A4138" s="25" t="n">
        <v>44928</v>
      </c>
      <c r="B4138" s="18" t="n">
        <v>106376.02</v>
      </c>
      <c r="C4138" s="31" t="n"/>
      <c r="D4138" s="32" t="n"/>
      <c r="E4138" s="33" t="n">
        <v>-1.2994</v>
      </c>
      <c r="F4138" t="inlineStr">
        <is>
          <t>Down</t>
        </is>
      </c>
      <c r="G4138" t="inlineStr">
        <is>
          <t>Up</t>
        </is>
      </c>
      <c r="H4138" t="inlineStr">
        <is>
          <t>ED_JU</t>
        </is>
      </c>
      <c r="I4138" t="inlineStr">
        <is>
          <t>2023-01</t>
        </is>
      </c>
      <c r="J4138" t="n">
        <v>1</v>
      </c>
      <c r="K4138" t="n">
        <v>1</v>
      </c>
      <c r="L4138" s="34">
        <f>IF($J4138=1,LN(B4139/B4138),"")</f>
        <v/>
      </c>
      <c r="M4138" s="34">
        <f>IF($K4138=1,INDEX(Mensal!$D$2:$D$245,MATCH($I4138,Mensal!$A$2:$A$245,0)),"")</f>
        <v/>
      </c>
      <c r="N4138" s="34">
        <f>IF($K4138=1,L4138-M4138,"")</f>
        <v/>
      </c>
      <c r="O4138" s="34" t="n">
        <v>0.0005078800000000001</v>
      </c>
      <c r="P4138" s="34">
        <f>IF($J4138=1,LN(1+O4138),"")</f>
        <v/>
      </c>
      <c r="Q4138" s="34">
        <f>IF($J4138=1,LN(R4139/R4138),"")</f>
        <v/>
      </c>
      <c r="R4138" s="32" t="n">
        <v>5.3436</v>
      </c>
      <c r="S4138" s="35" t="n">
        <v>13.54</v>
      </c>
      <c r="T4138" s="18" t="n"/>
      <c r="U4138" s="18" t="n"/>
      <c r="V4138" s="18" t="n"/>
      <c r="W4138" s="18" t="n">
        <v>106376.02</v>
      </c>
      <c r="X4138" s="35" t="n">
        <v>13.54</v>
      </c>
      <c r="Y4138" s="35" t="n"/>
    </row>
    <row r="4139">
      <c r="A4139" s="25" t="n">
        <v>44929</v>
      </c>
      <c r="B4139" s="18" t="n">
        <v>104165.74</v>
      </c>
      <c r="C4139" s="31" t="n"/>
      <c r="D4139" s="32" t="n"/>
      <c r="E4139" s="33" t="n">
        <v>-1.3088</v>
      </c>
      <c r="F4139" t="inlineStr">
        <is>
          <t>Down</t>
        </is>
      </c>
      <c r="G4139" t="inlineStr">
        <is>
          <t>Up</t>
        </is>
      </c>
      <c r="H4139" t="inlineStr">
        <is>
          <t>ED_JU</t>
        </is>
      </c>
      <c r="I4139" t="inlineStr">
        <is>
          <t>2023-01</t>
        </is>
      </c>
      <c r="J4139" t="n">
        <v>1</v>
      </c>
      <c r="K4139" t="n">
        <v>1</v>
      </c>
      <c r="L4139" s="34">
        <f>IF($J4139=1,LN(B4140/B4139),"")</f>
        <v/>
      </c>
      <c r="M4139" s="34">
        <f>IF($K4139=1,INDEX(Mensal!$D$2:$D$245,MATCH($I4139,Mensal!$A$2:$A$245,0)),"")</f>
        <v/>
      </c>
      <c r="N4139" s="34">
        <f>IF($K4139=1,L4139-M4139,"")</f>
        <v/>
      </c>
      <c r="O4139" s="34" t="n">
        <v>0.0005078800000000001</v>
      </c>
      <c r="P4139" s="34">
        <f>IF($J4139=1,LN(1+O4139),"")</f>
        <v/>
      </c>
      <c r="Q4139" s="34">
        <f>IF($J4139=1,LN(R4140/R4139),"")</f>
        <v/>
      </c>
      <c r="R4139" s="32" t="n">
        <v>5.3759</v>
      </c>
      <c r="S4139" s="35" t="n">
        <v>13.7</v>
      </c>
      <c r="T4139" s="18" t="n"/>
      <c r="U4139" s="18" t="n"/>
      <c r="V4139" s="18" t="n"/>
      <c r="W4139" s="18" t="n">
        <v>104165.74</v>
      </c>
      <c r="X4139" s="35" t="n">
        <v>13.7</v>
      </c>
      <c r="Y4139" s="35" t="n"/>
    </row>
    <row r="4140">
      <c r="A4140" s="25" t="n">
        <v>44930</v>
      </c>
      <c r="B4140" s="18" t="n">
        <v>105334.46</v>
      </c>
      <c r="C4140" s="31" t="n"/>
      <c r="D4140" s="32" t="n"/>
      <c r="E4140" s="33" t="n">
        <v>-1.3335</v>
      </c>
      <c r="F4140" t="inlineStr">
        <is>
          <t>Down</t>
        </is>
      </c>
      <c r="G4140" t="inlineStr">
        <is>
          <t>Up</t>
        </is>
      </c>
      <c r="H4140" t="inlineStr">
        <is>
          <t>ED_JU</t>
        </is>
      </c>
      <c r="I4140" t="inlineStr">
        <is>
          <t>2023-01</t>
        </is>
      </c>
      <c r="J4140" t="n">
        <v>1</v>
      </c>
      <c r="K4140" t="n">
        <v>1</v>
      </c>
      <c r="L4140" s="34">
        <f>IF($J4140=1,LN(B4141/B4140),"")</f>
        <v/>
      </c>
      <c r="M4140" s="34">
        <f>IF($K4140=1,INDEX(Mensal!$D$2:$D$245,MATCH($I4140,Mensal!$A$2:$A$245,0)),"")</f>
        <v/>
      </c>
      <c r="N4140" s="34">
        <f>IF($K4140=1,L4140-M4140,"")</f>
        <v/>
      </c>
      <c r="O4140" s="34" t="n">
        <v>0.0005078800000000001</v>
      </c>
      <c r="P4140" s="34">
        <f>IF($J4140=1,LN(1+O4140),"")</f>
        <v/>
      </c>
      <c r="Q4140" s="34">
        <f>IF($J4140=1,LN(R4141/R4140),"")</f>
        <v/>
      </c>
      <c r="R4140" s="32" t="n">
        <v>5.4459</v>
      </c>
      <c r="S4140" s="35" t="n">
        <v>13.8</v>
      </c>
      <c r="T4140" s="18" t="n"/>
      <c r="U4140" s="18" t="n"/>
      <c r="V4140" s="18" t="n"/>
      <c r="W4140" s="18" t="n">
        <v>105334.46</v>
      </c>
      <c r="X4140" s="35" t="n">
        <v>13.8</v>
      </c>
      <c r="Y4140" s="35" t="n"/>
    </row>
    <row r="4141">
      <c r="A4141" s="25" t="n">
        <v>44931</v>
      </c>
      <c r="B4141" s="18" t="n">
        <v>107641.32</v>
      </c>
      <c r="C4141" s="31" t="n"/>
      <c r="D4141" s="32" t="n"/>
      <c r="E4141" s="33" t="n">
        <v>-1.3506</v>
      </c>
      <c r="F4141" t="inlineStr">
        <is>
          <t>Down</t>
        </is>
      </c>
      <c r="G4141" t="inlineStr">
        <is>
          <t>Up</t>
        </is>
      </c>
      <c r="H4141" t="inlineStr">
        <is>
          <t>ED_JU</t>
        </is>
      </c>
      <c r="I4141" t="inlineStr">
        <is>
          <t>2023-01</t>
        </is>
      </c>
      <c r="J4141" t="n">
        <v>1</v>
      </c>
      <c r="K4141" t="n">
        <v>1</v>
      </c>
      <c r="L4141" s="34">
        <f>IF($J4141=1,LN(B4142/B4141),"")</f>
        <v/>
      </c>
      <c r="M4141" s="34">
        <f>IF($K4141=1,INDEX(Mensal!$D$2:$D$245,MATCH($I4141,Mensal!$A$2:$A$245,0)),"")</f>
        <v/>
      </c>
      <c r="N4141" s="34">
        <f>IF($K4141=1,L4141-M4141,"")</f>
        <v/>
      </c>
      <c r="O4141" s="34" t="n">
        <v>0.0005078800000000001</v>
      </c>
      <c r="P4141" s="34">
        <f>IF($J4141=1,LN(1+O4141),"")</f>
        <v/>
      </c>
      <c r="Q4141" s="34">
        <f>IF($J4141=1,LN(R4142/R4141),"")</f>
        <v/>
      </c>
      <c r="R4141" s="32" t="n">
        <v>5.4026</v>
      </c>
      <c r="S4141" s="35" t="n">
        <v>13.7</v>
      </c>
      <c r="T4141" s="18" t="n"/>
      <c r="U4141" s="18" t="n"/>
      <c r="V4141" s="18" t="n"/>
      <c r="W4141" s="18" t="n">
        <v>107641.32</v>
      </c>
      <c r="X4141" s="35" t="n">
        <v>13.7</v>
      </c>
      <c r="Y4141" s="35" t="n"/>
    </row>
    <row r="4142">
      <c r="A4142" s="25" t="n">
        <v>44932</v>
      </c>
      <c r="B4142" s="18" t="n">
        <v>108963.7</v>
      </c>
      <c r="C4142" s="31" t="n"/>
      <c r="D4142" s="32" t="n"/>
      <c r="E4142" s="33" t="n">
        <v>-1.366</v>
      </c>
      <c r="F4142" t="inlineStr">
        <is>
          <t>Down</t>
        </is>
      </c>
      <c r="G4142" t="inlineStr">
        <is>
          <t>Up</t>
        </is>
      </c>
      <c r="H4142" t="inlineStr">
        <is>
          <t>ED_JU</t>
        </is>
      </c>
      <c r="I4142" t="inlineStr">
        <is>
          <t>2023-01</t>
        </is>
      </c>
      <c r="J4142" t="n">
        <v>1</v>
      </c>
      <c r="K4142" t="n">
        <v>1</v>
      </c>
      <c r="L4142" s="34">
        <f>IF($J4142=1,LN(B4143/B4142),"")</f>
        <v/>
      </c>
      <c r="M4142" s="34">
        <f>IF($K4142=1,INDEX(Mensal!$D$2:$D$245,MATCH($I4142,Mensal!$A$2:$A$245,0)),"")</f>
        <v/>
      </c>
      <c r="N4142" s="34">
        <f>IF($K4142=1,L4142-M4142,"")</f>
        <v/>
      </c>
      <c r="O4142" s="34" t="n">
        <v>0.0005078800000000001</v>
      </c>
      <c r="P4142" s="34">
        <f>IF($J4142=1,LN(1+O4142),"")</f>
        <v/>
      </c>
      <c r="Q4142" s="34">
        <f>IF($J4142=1,LN(R4143/R4142),"")</f>
        <v/>
      </c>
      <c r="R4142" s="32" t="n">
        <v>5.2855</v>
      </c>
      <c r="S4142" s="35" t="n">
        <v>13.61</v>
      </c>
      <c r="T4142" s="18" t="n"/>
      <c r="U4142" s="18" t="n"/>
      <c r="V4142" s="18" t="n"/>
      <c r="W4142" s="18" t="n">
        <v>108963.7</v>
      </c>
      <c r="X4142" s="35" t="n">
        <v>13.61</v>
      </c>
      <c r="Y4142" s="35" t="n"/>
    </row>
    <row r="4143">
      <c r="A4143" s="25" t="n">
        <v>44935</v>
      </c>
      <c r="B4143" s="18" t="n">
        <v>109129.57</v>
      </c>
      <c r="C4143" s="31" t="n"/>
      <c r="D4143" s="32" t="n"/>
      <c r="E4143" s="33" t="n">
        <v>-1.3723</v>
      </c>
      <c r="F4143" t="inlineStr">
        <is>
          <t>Down</t>
        </is>
      </c>
      <c r="G4143" t="inlineStr">
        <is>
          <t>Up</t>
        </is>
      </c>
      <c r="H4143" t="inlineStr">
        <is>
          <t>ED_JU</t>
        </is>
      </c>
      <c r="I4143" t="inlineStr">
        <is>
          <t>2023-01</t>
        </is>
      </c>
      <c r="J4143" t="n">
        <v>1</v>
      </c>
      <c r="K4143" t="n">
        <v>1</v>
      </c>
      <c r="L4143" s="34">
        <f>IF($J4143=1,LN(B4144/B4143),"")</f>
        <v/>
      </c>
      <c r="M4143" s="34">
        <f>IF($K4143=1,INDEX(Mensal!$D$2:$D$245,MATCH($I4143,Mensal!$A$2:$A$245,0)),"")</f>
        <v/>
      </c>
      <c r="N4143" s="34">
        <f>IF($K4143=1,L4143-M4143,"")</f>
        <v/>
      </c>
      <c r="O4143" s="34" t="n">
        <v>0.0005078800000000001</v>
      </c>
      <c r="P4143" s="34">
        <f>IF($J4143=1,LN(1+O4143),"")</f>
        <v/>
      </c>
      <c r="Q4143" s="34">
        <f>IF($J4143=1,LN(R4144/R4143),"")</f>
        <v/>
      </c>
      <c r="R4143" s="32" t="n">
        <v>5.2967</v>
      </c>
      <c r="S4143" s="35" t="n">
        <v>13.58</v>
      </c>
      <c r="T4143" s="18" t="n"/>
      <c r="U4143" s="18" t="n"/>
      <c r="V4143" s="18" t="n"/>
      <c r="W4143" s="18" t="n">
        <v>109129.57</v>
      </c>
      <c r="X4143" s="35" t="n">
        <v>13.58</v>
      </c>
      <c r="Y4143" s="35" t="n"/>
    </row>
    <row r="4144">
      <c r="A4144" s="25" t="n">
        <v>44936</v>
      </c>
      <c r="B4144" s="18" t="n">
        <v>110816.71</v>
      </c>
      <c r="C4144" s="31" t="n"/>
      <c r="D4144" s="32" t="n"/>
      <c r="E4144" s="33" t="n">
        <v>-1.3762</v>
      </c>
      <c r="F4144" t="inlineStr">
        <is>
          <t>Down</t>
        </is>
      </c>
      <c r="G4144" t="inlineStr">
        <is>
          <t>Up</t>
        </is>
      </c>
      <c r="H4144" t="inlineStr">
        <is>
          <t>ED_JU</t>
        </is>
      </c>
      <c r="I4144" t="inlineStr">
        <is>
          <t>2023-01</t>
        </is>
      </c>
      <c r="J4144" t="n">
        <v>1</v>
      </c>
      <c r="K4144" t="n">
        <v>1</v>
      </c>
      <c r="L4144" s="34">
        <f>IF($J4144=1,LN(B4145/B4144),"")</f>
        <v/>
      </c>
      <c r="M4144" s="34">
        <f>IF($K4144=1,INDEX(Mensal!$D$2:$D$245,MATCH($I4144,Mensal!$A$2:$A$245,0)),"")</f>
        <v/>
      </c>
      <c r="N4144" s="34">
        <f>IF($K4144=1,L4144-M4144,"")</f>
        <v/>
      </c>
      <c r="O4144" s="34" t="n">
        <v>0.0005078800000000001</v>
      </c>
      <c r="P4144" s="34">
        <f>IF($J4144=1,LN(1+O4144),"")</f>
        <v/>
      </c>
      <c r="Q4144" s="34">
        <f>IF($J4144=1,LN(R4145/R4144),"")</f>
        <v/>
      </c>
      <c r="R4144" s="32" t="n">
        <v>5.2395</v>
      </c>
      <c r="S4144" s="35" t="n">
        <v>13.59</v>
      </c>
      <c r="T4144" s="18" t="n"/>
      <c r="U4144" s="18" t="n"/>
      <c r="V4144" s="18" t="n"/>
      <c r="W4144" s="18" t="n">
        <v>110816.71</v>
      </c>
      <c r="X4144" s="35" t="n">
        <v>13.59</v>
      </c>
      <c r="Y4144" s="35" t="n"/>
    </row>
    <row r="4145">
      <c r="A4145" s="25" t="n">
        <v>44937</v>
      </c>
      <c r="B4145" s="18" t="n">
        <v>112517.08</v>
      </c>
      <c r="C4145" s="31" t="n"/>
      <c r="D4145" s="32" t="n"/>
      <c r="E4145" s="33" t="n">
        <v>-1.3781</v>
      </c>
      <c r="F4145" t="inlineStr">
        <is>
          <t>Down</t>
        </is>
      </c>
      <c r="G4145" t="inlineStr">
        <is>
          <t>Up</t>
        </is>
      </c>
      <c r="H4145" t="inlineStr">
        <is>
          <t>ED_JU</t>
        </is>
      </c>
      <c r="I4145" t="inlineStr">
        <is>
          <t>2023-01</t>
        </is>
      </c>
      <c r="J4145" t="n">
        <v>1</v>
      </c>
      <c r="K4145" t="n">
        <v>1</v>
      </c>
      <c r="L4145" s="34">
        <f>IF($J4145=1,LN(B4146/B4145),"")</f>
        <v/>
      </c>
      <c r="M4145" s="34">
        <f>IF($K4145=1,INDEX(Mensal!$D$2:$D$245,MATCH($I4145,Mensal!$A$2:$A$245,0)),"")</f>
        <v/>
      </c>
      <c r="N4145" s="34">
        <f>IF($K4145=1,L4145-M4145,"")</f>
        <v/>
      </c>
      <c r="O4145" s="34" t="n">
        <v>0.0005078800000000001</v>
      </c>
      <c r="P4145" s="34">
        <f>IF($J4145=1,LN(1+O4145),"")</f>
        <v/>
      </c>
      <c r="Q4145" s="34">
        <f>IF($J4145=1,LN(R4146/R4145),"")</f>
        <v/>
      </c>
      <c r="R4145" s="32" t="n">
        <v>5.202</v>
      </c>
      <c r="S4145" s="35" t="n">
        <v>13.53</v>
      </c>
      <c r="T4145" s="18" t="n"/>
      <c r="U4145" s="18" t="n"/>
      <c r="V4145" s="18" t="n"/>
      <c r="W4145" s="18" t="n">
        <v>112517.08</v>
      </c>
      <c r="X4145" s="35" t="n">
        <v>13.53</v>
      </c>
      <c r="Y4145" s="35" t="n"/>
    </row>
    <row r="4146">
      <c r="A4146" s="25" t="n">
        <v>44938</v>
      </c>
      <c r="B4146" s="18" t="n">
        <v>111850.22</v>
      </c>
      <c r="C4146" s="31" t="n"/>
      <c r="D4146" s="32" t="n"/>
      <c r="E4146" s="33" t="n">
        <v>-1.3737</v>
      </c>
      <c r="F4146" t="inlineStr">
        <is>
          <t>Down</t>
        </is>
      </c>
      <c r="G4146" t="inlineStr">
        <is>
          <t>Up</t>
        </is>
      </c>
      <c r="H4146" t="inlineStr">
        <is>
          <t>ED_JU</t>
        </is>
      </c>
      <c r="I4146" t="inlineStr">
        <is>
          <t>2023-01</t>
        </is>
      </c>
      <c r="J4146" t="n">
        <v>1</v>
      </c>
      <c r="K4146" t="n">
        <v>1</v>
      </c>
      <c r="L4146" s="34">
        <f>IF($J4146=1,LN(B4147/B4146),"")</f>
        <v/>
      </c>
      <c r="M4146" s="34">
        <f>IF($K4146=1,INDEX(Mensal!$D$2:$D$245,MATCH($I4146,Mensal!$A$2:$A$245,0)),"")</f>
        <v/>
      </c>
      <c r="N4146" s="34">
        <f>IF($K4146=1,L4146-M4146,"")</f>
        <v/>
      </c>
      <c r="O4146" s="34" t="n">
        <v>0.0005078800000000001</v>
      </c>
      <c r="P4146" s="34">
        <f>IF($J4146=1,LN(1+O4146),"")</f>
        <v/>
      </c>
      <c r="Q4146" s="34">
        <f>IF($J4146=1,LN(R4147/R4146),"")</f>
        <v/>
      </c>
      <c r="R4146" s="32" t="n">
        <v>5.14</v>
      </c>
      <c r="S4146" s="35" t="n">
        <v>13.43</v>
      </c>
      <c r="T4146" s="18" t="n"/>
      <c r="U4146" s="18" t="n"/>
      <c r="V4146" s="18" t="n"/>
      <c r="W4146" s="18" t="n">
        <v>111850.22</v>
      </c>
      <c r="X4146" s="35" t="n">
        <v>13.43</v>
      </c>
      <c r="Y4146" s="35" t="n"/>
    </row>
    <row r="4147">
      <c r="A4147" s="25" t="n">
        <v>44939</v>
      </c>
      <c r="B4147" s="18" t="n">
        <v>110916.08</v>
      </c>
      <c r="C4147" s="31" t="n"/>
      <c r="D4147" s="32" t="n"/>
      <c r="E4147" s="33" t="n">
        <v>-1.3599</v>
      </c>
      <c r="F4147" t="inlineStr">
        <is>
          <t>Down</t>
        </is>
      </c>
      <c r="G4147" t="inlineStr">
        <is>
          <t>Up</t>
        </is>
      </c>
      <c r="H4147" t="inlineStr">
        <is>
          <t>ED_JU</t>
        </is>
      </c>
      <c r="I4147" t="inlineStr">
        <is>
          <t>2023-01</t>
        </is>
      </c>
      <c r="J4147" t="n">
        <v>1</v>
      </c>
      <c r="K4147" t="n">
        <v>1</v>
      </c>
      <c r="L4147" s="34">
        <f>IF($J4147=1,LN(B4148/B4147),"")</f>
        <v/>
      </c>
      <c r="M4147" s="34">
        <f>IF($K4147=1,INDEX(Mensal!$D$2:$D$245,MATCH($I4147,Mensal!$A$2:$A$245,0)),"")</f>
        <v/>
      </c>
      <c r="N4147" s="34">
        <f>IF($K4147=1,L4147-M4147,"")</f>
        <v/>
      </c>
      <c r="O4147" s="34" t="n">
        <v>0.0005078800000000001</v>
      </c>
      <c r="P4147" s="34">
        <f>IF($J4147=1,LN(1+O4147),"")</f>
        <v/>
      </c>
      <c r="Q4147" s="34">
        <f>IF($J4147=1,LN(R4148/R4147),"")</f>
        <v/>
      </c>
      <c r="R4147" s="32" t="n">
        <v>5.1146</v>
      </c>
      <c r="S4147" s="35" t="n">
        <v>13.42</v>
      </c>
      <c r="T4147" s="18" t="n"/>
      <c r="U4147" s="18" t="n"/>
      <c r="V4147" s="18" t="n"/>
      <c r="W4147" s="18" t="n">
        <v>110916.08</v>
      </c>
      <c r="X4147" s="35" t="n">
        <v>13.42</v>
      </c>
      <c r="Y4147" s="35" t="n"/>
    </row>
    <row r="4148">
      <c r="A4148" s="25" t="n">
        <v>44942</v>
      </c>
      <c r="B4148" s="18" t="n">
        <v>109212.66</v>
      </c>
      <c r="C4148" s="31" t="n"/>
      <c r="D4148" s="32" t="n"/>
      <c r="E4148" s="33" t="n">
        <v>-1.3502</v>
      </c>
      <c r="F4148" t="inlineStr">
        <is>
          <t>Down</t>
        </is>
      </c>
      <c r="G4148" t="inlineStr">
        <is>
          <t>Up</t>
        </is>
      </c>
      <c r="H4148" t="inlineStr">
        <is>
          <t>ED_JU</t>
        </is>
      </c>
      <c r="I4148" t="inlineStr">
        <is>
          <t>2023-01</t>
        </is>
      </c>
      <c r="J4148" t="n">
        <v>1</v>
      </c>
      <c r="K4148" t="n">
        <v>1</v>
      </c>
      <c r="L4148" s="34">
        <f>IF($J4148=1,LN(B4149/B4148),"")</f>
        <v/>
      </c>
      <c r="M4148" s="34">
        <f>IF($K4148=1,INDEX(Mensal!$D$2:$D$245,MATCH($I4148,Mensal!$A$2:$A$245,0)),"")</f>
        <v/>
      </c>
      <c r="N4148" s="34">
        <f>IF($K4148=1,L4148-M4148,"")</f>
        <v/>
      </c>
      <c r="O4148" s="34" t="n">
        <v>0.0005078800000000001</v>
      </c>
      <c r="P4148" s="34">
        <f>IF($J4148=1,LN(1+O4148),"")</f>
        <v/>
      </c>
      <c r="Q4148" s="34">
        <f>IF($J4148=1,LN(R4149/R4148),"")</f>
        <v/>
      </c>
      <c r="R4148" s="32" t="n">
        <v>5.1115</v>
      </c>
      <c r="S4148" s="35" t="n">
        <v>13.52</v>
      </c>
      <c r="T4148" s="18" t="n"/>
      <c r="U4148" s="18" t="n"/>
      <c r="V4148" s="18" t="n"/>
      <c r="W4148" s="18" t="n">
        <v>109212.66</v>
      </c>
      <c r="X4148" s="35" t="n">
        <v>13.52</v>
      </c>
      <c r="Y4148" s="35" t="n"/>
    </row>
    <row r="4149">
      <c r="A4149" s="25" t="n">
        <v>44943</v>
      </c>
      <c r="B4149" s="18" t="n">
        <v>111439.12</v>
      </c>
      <c r="C4149" s="31" t="n"/>
      <c r="D4149" s="32" t="n"/>
      <c r="E4149" s="33" t="n">
        <v>-1.3337</v>
      </c>
      <c r="F4149" t="inlineStr">
        <is>
          <t>Down</t>
        </is>
      </c>
      <c r="G4149" t="inlineStr">
        <is>
          <t>Up</t>
        </is>
      </c>
      <c r="H4149" t="inlineStr">
        <is>
          <t>ED_JU</t>
        </is>
      </c>
      <c r="I4149" t="inlineStr">
        <is>
          <t>2023-01</t>
        </is>
      </c>
      <c r="J4149" t="n">
        <v>1</v>
      </c>
      <c r="K4149" t="n">
        <v>1</v>
      </c>
      <c r="L4149" s="34">
        <f>IF($J4149=1,LN(B4150/B4149),"")</f>
        <v/>
      </c>
      <c r="M4149" s="34">
        <f>IF($K4149=1,INDEX(Mensal!$D$2:$D$245,MATCH($I4149,Mensal!$A$2:$A$245,0)),"")</f>
        <v/>
      </c>
      <c r="N4149" s="34">
        <f>IF($K4149=1,L4149-M4149,"")</f>
        <v/>
      </c>
      <c r="O4149" s="34" t="n">
        <v>0.0005078800000000001</v>
      </c>
      <c r="P4149" s="34">
        <f>IF($J4149=1,LN(1+O4149),"")</f>
        <v/>
      </c>
      <c r="Q4149" s="34">
        <f>IF($J4149=1,LN(R4150/R4149),"")</f>
        <v/>
      </c>
      <c r="R4149" s="32" t="n">
        <v>5.1203</v>
      </c>
      <c r="S4149" s="35" t="n">
        <v>13.45</v>
      </c>
      <c r="T4149" s="18" t="n"/>
      <c r="U4149" s="18" t="n"/>
      <c r="V4149" s="18" t="n"/>
      <c r="W4149" s="18" t="n">
        <v>111439.12</v>
      </c>
      <c r="X4149" s="35" t="n">
        <v>13.45</v>
      </c>
      <c r="Y4149" s="35" t="n"/>
    </row>
    <row r="4150">
      <c r="A4150" s="25" t="n">
        <v>44944</v>
      </c>
      <c r="B4150" s="18" t="n">
        <v>112228.39</v>
      </c>
      <c r="C4150" s="31" t="n"/>
      <c r="D4150" s="32" t="n"/>
      <c r="E4150" s="33" t="n">
        <v>-1.3131</v>
      </c>
      <c r="F4150" t="inlineStr">
        <is>
          <t>Down</t>
        </is>
      </c>
      <c r="G4150" t="inlineStr">
        <is>
          <t>Up</t>
        </is>
      </c>
      <c r="H4150" t="inlineStr">
        <is>
          <t>ED_JU</t>
        </is>
      </c>
      <c r="I4150" t="inlineStr">
        <is>
          <t>2023-01</t>
        </is>
      </c>
      <c r="J4150" t="n">
        <v>1</v>
      </c>
      <c r="K4150" t="n">
        <v>1</v>
      </c>
      <c r="L4150" s="34">
        <f>IF($J4150=1,LN(B4151/B4150),"")</f>
        <v/>
      </c>
      <c r="M4150" s="34">
        <f>IF($K4150=1,INDEX(Mensal!$D$2:$D$245,MATCH($I4150,Mensal!$A$2:$A$245,0)),"")</f>
        <v/>
      </c>
      <c r="N4150" s="34">
        <f>IF($K4150=1,L4150-M4150,"")</f>
        <v/>
      </c>
      <c r="O4150" s="34" t="n">
        <v>0.0005078800000000001</v>
      </c>
      <c r="P4150" s="34">
        <f>IF($J4150=1,LN(1+O4150),"")</f>
        <v/>
      </c>
      <c r="Q4150" s="34">
        <f>IF($J4150=1,LN(R4151/R4150),"")</f>
        <v/>
      </c>
      <c r="R4150" s="32" t="n">
        <v>5.0909</v>
      </c>
      <c r="S4150" s="35" t="n">
        <v>13.42</v>
      </c>
      <c r="T4150" s="18" t="n"/>
      <c r="U4150" s="18" t="n"/>
      <c r="V4150" s="18" t="n"/>
      <c r="W4150" s="18" t="n">
        <v>112228.39</v>
      </c>
      <c r="X4150" s="35" t="n">
        <v>13.42</v>
      </c>
      <c r="Y4150" s="35" t="n"/>
    </row>
    <row r="4151">
      <c r="A4151" s="25" t="n">
        <v>44945</v>
      </c>
      <c r="B4151" s="18" t="n">
        <v>112921.88</v>
      </c>
      <c r="C4151" s="31" t="n"/>
      <c r="D4151" s="32" t="n"/>
      <c r="E4151" s="33" t="n">
        <v>-1.2913</v>
      </c>
      <c r="F4151" t="inlineStr">
        <is>
          <t>Down</t>
        </is>
      </c>
      <c r="G4151" t="inlineStr">
        <is>
          <t>Up</t>
        </is>
      </c>
      <c r="H4151" t="inlineStr">
        <is>
          <t>ED_JU</t>
        </is>
      </c>
      <c r="I4151" t="inlineStr">
        <is>
          <t>2023-01</t>
        </is>
      </c>
      <c r="J4151" t="n">
        <v>1</v>
      </c>
      <c r="K4151" t="n">
        <v>1</v>
      </c>
      <c r="L4151" s="34">
        <f>IF($J4151=1,LN(B4152/B4151),"")</f>
        <v/>
      </c>
      <c r="M4151" s="34">
        <f>IF($K4151=1,INDEX(Mensal!$D$2:$D$245,MATCH($I4151,Mensal!$A$2:$A$245,0)),"")</f>
        <v/>
      </c>
      <c r="N4151" s="34">
        <f>IF($K4151=1,L4151-M4151,"")</f>
        <v/>
      </c>
      <c r="O4151" s="34" t="n">
        <v>0.0005078800000000001</v>
      </c>
      <c r="P4151" s="34">
        <f>IF($J4151=1,LN(1+O4151),"")</f>
        <v/>
      </c>
      <c r="Q4151" s="34">
        <f>IF($J4151=1,LN(R4152/R4151),"")</f>
        <v/>
      </c>
      <c r="R4151" s="32" t="n">
        <v>5.2144</v>
      </c>
      <c r="S4151" s="35" t="n">
        <v>13.45</v>
      </c>
      <c r="T4151" s="18" t="n"/>
      <c r="U4151" s="18" t="n"/>
      <c r="V4151" s="18" t="n"/>
      <c r="W4151" s="18" t="n">
        <v>112921.88</v>
      </c>
      <c r="X4151" s="35" t="n">
        <v>13.45</v>
      </c>
      <c r="Y4151" s="35" t="n"/>
    </row>
    <row r="4152">
      <c r="A4152" s="25" t="n">
        <v>44946</v>
      </c>
      <c r="B4152" s="18" t="n">
        <v>112040.64</v>
      </c>
      <c r="C4152" s="31" t="n"/>
      <c r="D4152" s="32" t="n"/>
      <c r="E4152" s="33" t="n">
        <v>-1.2598</v>
      </c>
      <c r="F4152" t="inlineStr">
        <is>
          <t>Down</t>
        </is>
      </c>
      <c r="G4152" t="inlineStr">
        <is>
          <t>Up</t>
        </is>
      </c>
      <c r="H4152" t="inlineStr">
        <is>
          <t>ED_JU</t>
        </is>
      </c>
      <c r="I4152" t="inlineStr">
        <is>
          <t>2023-01</t>
        </is>
      </c>
      <c r="J4152" t="n">
        <v>1</v>
      </c>
      <c r="K4152" t="n">
        <v>1</v>
      </c>
      <c r="L4152" s="34">
        <f>IF($J4152=1,LN(B4153/B4152),"")</f>
        <v/>
      </c>
      <c r="M4152" s="34">
        <f>IF($K4152=1,INDEX(Mensal!$D$2:$D$245,MATCH($I4152,Mensal!$A$2:$A$245,0)),"")</f>
        <v/>
      </c>
      <c r="N4152" s="34">
        <f>IF($K4152=1,L4152-M4152,"")</f>
        <v/>
      </c>
      <c r="O4152" s="34" t="n">
        <v>0.0005078800000000001</v>
      </c>
      <c r="P4152" s="34">
        <f>IF($J4152=1,LN(1+O4152),"")</f>
        <v/>
      </c>
      <c r="Q4152" s="34">
        <f>IF($J4152=1,LN(R4153/R4152),"")</f>
        <v/>
      </c>
      <c r="R4152" s="32" t="n">
        <v>5.1986</v>
      </c>
      <c r="S4152" s="35" t="n">
        <v>13.48</v>
      </c>
      <c r="T4152" s="18" t="n"/>
      <c r="U4152" s="18" t="n"/>
      <c r="V4152" s="18" t="n"/>
      <c r="W4152" s="18" t="n">
        <v>112040.64</v>
      </c>
      <c r="X4152" s="35" t="n">
        <v>13.48</v>
      </c>
      <c r="Y4152" s="35" t="n"/>
    </row>
    <row r="4153">
      <c r="A4153" s="25" t="n">
        <v>44949</v>
      </c>
      <c r="B4153" s="18" t="n">
        <v>111737.28</v>
      </c>
      <c r="C4153" s="31" t="n"/>
      <c r="D4153" s="32" t="n"/>
      <c r="E4153" s="33" t="n">
        <v>-1.2247</v>
      </c>
      <c r="F4153" t="inlineStr">
        <is>
          <t>Down</t>
        </is>
      </c>
      <c r="G4153" t="inlineStr">
        <is>
          <t>Up</t>
        </is>
      </c>
      <c r="H4153" t="inlineStr">
        <is>
          <t>ED_JU</t>
        </is>
      </c>
      <c r="I4153" t="inlineStr">
        <is>
          <t>2023-01</t>
        </is>
      </c>
      <c r="J4153" t="n">
        <v>1</v>
      </c>
      <c r="K4153" t="n">
        <v>1</v>
      </c>
      <c r="L4153" s="34">
        <f>IF($J4153=1,LN(B4154/B4153),"")</f>
        <v/>
      </c>
      <c r="M4153" s="34">
        <f>IF($K4153=1,INDEX(Mensal!$D$2:$D$245,MATCH($I4153,Mensal!$A$2:$A$245,0)),"")</f>
        <v/>
      </c>
      <c r="N4153" s="34">
        <f>IF($K4153=1,L4153-M4153,"")</f>
        <v/>
      </c>
      <c r="O4153" s="34" t="n">
        <v>0.0005078800000000001</v>
      </c>
      <c r="P4153" s="34">
        <f>IF($J4153=1,LN(1+O4153),"")</f>
        <v/>
      </c>
      <c r="Q4153" s="34">
        <f>IF($J4153=1,LN(R4154/R4153),"")</f>
        <v/>
      </c>
      <c r="R4153" s="32" t="n">
        <v>5.1922</v>
      </c>
      <c r="S4153" s="35" t="n">
        <v>13.53</v>
      </c>
      <c r="T4153" s="18" t="n"/>
      <c r="U4153" s="18" t="n"/>
      <c r="V4153" s="18" t="n"/>
      <c r="W4153" s="18" t="n">
        <v>111737.28</v>
      </c>
      <c r="X4153" s="35" t="n">
        <v>13.53</v>
      </c>
      <c r="Y4153" s="35" t="n"/>
    </row>
    <row r="4154">
      <c r="A4154" s="25" t="n">
        <v>44950</v>
      </c>
      <c r="B4154" s="18" t="n">
        <v>113028.15</v>
      </c>
      <c r="C4154" s="31" t="n"/>
      <c r="D4154" s="32" t="n"/>
      <c r="E4154" s="33" t="n">
        <v>-1.1839</v>
      </c>
      <c r="F4154" t="inlineStr">
        <is>
          <t>Down</t>
        </is>
      </c>
      <c r="G4154" t="inlineStr">
        <is>
          <t>Up</t>
        </is>
      </c>
      <c r="H4154" t="inlineStr">
        <is>
          <t>ED_JU</t>
        </is>
      </c>
      <c r="I4154" t="inlineStr">
        <is>
          <t>2023-01</t>
        </is>
      </c>
      <c r="J4154" t="n">
        <v>1</v>
      </c>
      <c r="K4154" t="n">
        <v>1</v>
      </c>
      <c r="L4154" s="34">
        <f>IF($J4154=1,LN(B4155/B4154),"")</f>
        <v/>
      </c>
      <c r="M4154" s="34">
        <f>IF($K4154=1,INDEX(Mensal!$D$2:$D$245,MATCH($I4154,Mensal!$A$2:$A$245,0)),"")</f>
        <v/>
      </c>
      <c r="N4154" s="34">
        <f>IF($K4154=1,L4154-M4154,"")</f>
        <v/>
      </c>
      <c r="O4154" s="34" t="n">
        <v>0.0005078800000000001</v>
      </c>
      <c r="P4154" s="34">
        <f>IF($J4154=1,LN(1+O4154),"")</f>
        <v/>
      </c>
      <c r="Q4154" s="34">
        <f>IF($J4154=1,LN(R4155/R4154),"")</f>
        <v/>
      </c>
      <c r="R4154" s="32" t="n">
        <v>5.1696</v>
      </c>
      <c r="S4154" s="35" t="n">
        <v>13.5</v>
      </c>
      <c r="T4154" s="18" t="n"/>
      <c r="U4154" s="18" t="n"/>
      <c r="V4154" s="18" t="n"/>
      <c r="W4154" s="18" t="n">
        <v>113028.15</v>
      </c>
      <c r="X4154" s="35" t="n">
        <v>13.5</v>
      </c>
      <c r="Y4154" s="35" t="n"/>
    </row>
    <row r="4155">
      <c r="A4155" s="25" t="n">
        <v>44951</v>
      </c>
      <c r="B4155" s="18" t="n">
        <v>114270.07</v>
      </c>
      <c r="C4155" s="31" t="n"/>
      <c r="D4155" s="32" t="n"/>
      <c r="E4155" s="33" t="n">
        <v>-1.14</v>
      </c>
      <c r="F4155" t="inlineStr">
        <is>
          <t>Down</t>
        </is>
      </c>
      <c r="G4155" t="inlineStr">
        <is>
          <t>Up</t>
        </is>
      </c>
      <c r="H4155" t="inlineStr">
        <is>
          <t>ED_JU</t>
        </is>
      </c>
      <c r="I4155" t="inlineStr">
        <is>
          <t>2023-01</t>
        </is>
      </c>
      <c r="J4155" t="n">
        <v>1</v>
      </c>
      <c r="K4155" t="n">
        <v>1</v>
      </c>
      <c r="L4155" s="34">
        <f>IF($J4155=1,LN(B4156/B4155),"")</f>
        <v/>
      </c>
      <c r="M4155" s="34">
        <f>IF($K4155=1,INDEX(Mensal!$D$2:$D$245,MATCH($I4155,Mensal!$A$2:$A$245,0)),"")</f>
        <v/>
      </c>
      <c r="N4155" s="34">
        <f>IF($K4155=1,L4155-M4155,"")</f>
        <v/>
      </c>
      <c r="O4155" s="34" t="n">
        <v>0.0005078800000000001</v>
      </c>
      <c r="P4155" s="34">
        <f>IF($J4155=1,LN(1+O4155),"")</f>
        <v/>
      </c>
      <c r="Q4155" s="34">
        <f>IF($J4155=1,LN(R4156/R4155),"")</f>
        <v/>
      </c>
      <c r="R4155" s="32" t="n">
        <v>5.1042</v>
      </c>
      <c r="S4155" s="35" t="n">
        <v>13.43</v>
      </c>
      <c r="T4155" s="18" t="n"/>
      <c r="U4155" s="18" t="n"/>
      <c r="V4155" s="18" t="n"/>
      <c r="W4155" s="18" t="n">
        <v>114270.07</v>
      </c>
      <c r="X4155" s="35" t="n">
        <v>13.43</v>
      </c>
      <c r="Y4155" s="35" t="n"/>
    </row>
    <row r="4156">
      <c r="A4156" s="25" t="n">
        <v>44952</v>
      </c>
      <c r="B4156" s="18" t="n">
        <v>114177.55</v>
      </c>
      <c r="C4156" s="31" t="n"/>
      <c r="D4156" s="32" t="n"/>
      <c r="E4156" s="33" t="n">
        <v>-1.1106</v>
      </c>
      <c r="F4156" t="inlineStr">
        <is>
          <t>Down</t>
        </is>
      </c>
      <c r="G4156" t="inlineStr">
        <is>
          <t>Up</t>
        </is>
      </c>
      <c r="H4156" t="inlineStr">
        <is>
          <t>ED_JU</t>
        </is>
      </c>
      <c r="I4156" t="inlineStr">
        <is>
          <t>2023-01</t>
        </is>
      </c>
      <c r="J4156" t="n">
        <v>1</v>
      </c>
      <c r="K4156" t="n">
        <v>1</v>
      </c>
      <c r="L4156" s="34">
        <f>IF($J4156=1,LN(B4157/B4156),"")</f>
        <v/>
      </c>
      <c r="M4156" s="34">
        <f>IF($K4156=1,INDEX(Mensal!$D$2:$D$245,MATCH($I4156,Mensal!$A$2:$A$245,0)),"")</f>
        <v/>
      </c>
      <c r="N4156" s="34">
        <f>IF($K4156=1,L4156-M4156,"")</f>
        <v/>
      </c>
      <c r="O4156" s="34" t="n">
        <v>0.0005078800000000001</v>
      </c>
      <c r="P4156" s="34">
        <f>IF($J4156=1,LN(1+O4156),"")</f>
        <v/>
      </c>
      <c r="Q4156" s="34">
        <f>IF($J4156=1,LN(R4157/R4156),"")</f>
        <v/>
      </c>
      <c r="R4156" s="32" t="n">
        <v>5.0951</v>
      </c>
      <c r="S4156" s="35" t="n">
        <v>13.46</v>
      </c>
      <c r="T4156" s="18" t="n"/>
      <c r="U4156" s="18" t="n"/>
      <c r="V4156" s="18" t="n"/>
      <c r="W4156" s="18" t="n">
        <v>114177.55</v>
      </c>
      <c r="X4156" s="35" t="n">
        <v>13.46</v>
      </c>
      <c r="Y4156" s="35" t="n"/>
    </row>
    <row r="4157">
      <c r="A4157" s="25" t="n">
        <v>44953</v>
      </c>
      <c r="B4157" s="18" t="n">
        <v>112316.16</v>
      </c>
      <c r="C4157" s="31" t="n"/>
      <c r="D4157" s="32" t="n"/>
      <c r="E4157" s="33" t="n">
        <v>-1.1038</v>
      </c>
      <c r="F4157" t="inlineStr">
        <is>
          <t>Down</t>
        </is>
      </c>
      <c r="G4157" t="inlineStr">
        <is>
          <t>Up</t>
        </is>
      </c>
      <c r="H4157" t="inlineStr">
        <is>
          <t>ED_JU</t>
        </is>
      </c>
      <c r="I4157" t="inlineStr">
        <is>
          <t>2023-01</t>
        </is>
      </c>
      <c r="J4157" t="n">
        <v>1</v>
      </c>
      <c r="K4157" t="n">
        <v>1</v>
      </c>
      <c r="L4157" s="34">
        <f>IF($J4157=1,LN(B4158/B4157),"")</f>
        <v/>
      </c>
      <c r="M4157" s="34">
        <f>IF($K4157=1,INDEX(Mensal!$D$2:$D$245,MATCH($I4157,Mensal!$A$2:$A$245,0)),"")</f>
        <v/>
      </c>
      <c r="N4157" s="34">
        <f>IF($K4157=1,L4157-M4157,"")</f>
        <v/>
      </c>
      <c r="O4157" s="34" t="n">
        <v>0.0005078800000000001</v>
      </c>
      <c r="P4157" s="34">
        <f>IF($J4157=1,LN(1+O4157),"")</f>
        <v/>
      </c>
      <c r="Q4157" s="34">
        <f>IF($J4157=1,LN(R4158/R4157),"")</f>
        <v/>
      </c>
      <c r="R4157" s="32" t="n">
        <v>5.0767</v>
      </c>
      <c r="S4157" s="35" t="n">
        <v>13.51</v>
      </c>
      <c r="T4157" s="18" t="n"/>
      <c r="U4157" s="18" t="n"/>
      <c r="V4157" s="18" t="n"/>
      <c r="W4157" s="18" t="n">
        <v>112316.16</v>
      </c>
      <c r="X4157" s="35" t="n">
        <v>13.51</v>
      </c>
      <c r="Y4157" s="35" t="n"/>
    </row>
    <row r="4158">
      <c r="A4158" s="25" t="n">
        <v>44956</v>
      </c>
      <c r="B4158" s="18" t="n">
        <v>112273.01</v>
      </c>
      <c r="C4158" s="31" t="n"/>
      <c r="D4158" s="32" t="n"/>
      <c r="E4158" s="33" t="n">
        <v>-1.1011</v>
      </c>
      <c r="F4158" t="inlineStr">
        <is>
          <t>Down</t>
        </is>
      </c>
      <c r="G4158" t="inlineStr">
        <is>
          <t>Up</t>
        </is>
      </c>
      <c r="H4158" t="inlineStr">
        <is>
          <t>ED_JU</t>
        </is>
      </c>
      <c r="I4158" t="inlineStr">
        <is>
          <t>2023-01</t>
        </is>
      </c>
      <c r="J4158" t="n">
        <v>1</v>
      </c>
      <c r="K4158" t="n">
        <v>1</v>
      </c>
      <c r="L4158" s="34">
        <f>IF($J4158=1,LN(B4159/B4158),"")</f>
        <v/>
      </c>
      <c r="M4158" s="34">
        <f>IF($K4158=1,INDEX(Mensal!$D$2:$D$245,MATCH($I4158,Mensal!$A$2:$A$245,0)),"")</f>
        <v/>
      </c>
      <c r="N4158" s="34">
        <f>IF($K4158=1,L4158-M4158,"")</f>
        <v/>
      </c>
      <c r="O4158" s="34" t="n">
        <v>0.0005078800000000001</v>
      </c>
      <c r="P4158" s="34">
        <f>IF($J4158=1,LN(1+O4158),"")</f>
        <v/>
      </c>
      <c r="Q4158" s="34">
        <f>IF($J4158=1,LN(R4159/R4158),"")</f>
        <v/>
      </c>
      <c r="R4158" s="32" t="n">
        <v>5.0959</v>
      </c>
      <c r="S4158" s="35" t="n">
        <v>13.5</v>
      </c>
      <c r="T4158" s="18" t="n"/>
      <c r="U4158" s="18" t="n"/>
      <c r="V4158" s="18" t="n"/>
      <c r="W4158" s="18" t="n">
        <v>112273.01</v>
      </c>
      <c r="X4158" s="35" t="n">
        <v>13.5</v>
      </c>
      <c r="Y4158" s="35" t="n"/>
    </row>
    <row r="4159">
      <c r="A4159" s="25" t="n">
        <v>44957</v>
      </c>
      <c r="B4159" s="18" t="n">
        <v>113430.54</v>
      </c>
      <c r="C4159" s="31" t="n"/>
      <c r="D4159" s="32" t="n"/>
      <c r="E4159" s="33" t="n">
        <v>-1.0964</v>
      </c>
      <c r="F4159" t="inlineStr">
        <is>
          <t>Down</t>
        </is>
      </c>
      <c r="G4159" t="inlineStr">
        <is>
          <t>Up</t>
        </is>
      </c>
      <c r="H4159" t="inlineStr">
        <is>
          <t>ED_JU</t>
        </is>
      </c>
      <c r="I4159" t="inlineStr">
        <is>
          <t>2023-01</t>
        </is>
      </c>
      <c r="J4159" t="n">
        <v>1</v>
      </c>
      <c r="K4159" t="n">
        <v>1</v>
      </c>
      <c r="L4159" s="34">
        <f>IF($J4159=1,LN(B4160/B4159),"")</f>
        <v/>
      </c>
      <c r="M4159" s="34">
        <f>IF($K4159=1,INDEX(Mensal!$D$2:$D$245,MATCH($I4159,Mensal!$A$2:$A$245,0)),"")</f>
        <v/>
      </c>
      <c r="N4159" s="34">
        <f>IF($K4159=1,L4159-M4159,"")</f>
        <v/>
      </c>
      <c r="O4159" s="34" t="n">
        <v>0.0005078800000000001</v>
      </c>
      <c r="P4159" s="34">
        <f>IF($J4159=1,LN(1+O4159),"")</f>
        <v/>
      </c>
      <c r="Q4159" s="34">
        <f>IF($J4159=1,LN(R4160/R4159),"")</f>
        <v/>
      </c>
      <c r="R4159" s="32" t="n">
        <v>5.0993</v>
      </c>
      <c r="S4159" s="35" t="n">
        <v>13.47</v>
      </c>
      <c r="T4159" s="18" t="n"/>
      <c r="U4159" s="18" t="n"/>
      <c r="V4159" s="18" t="n"/>
      <c r="W4159" s="18" t="n">
        <v>113430.54</v>
      </c>
      <c r="X4159" s="35" t="n">
        <v>13.47</v>
      </c>
      <c r="Y4159" s="35" t="n"/>
    </row>
    <row r="4160">
      <c r="A4160" s="25" t="n">
        <v>44958</v>
      </c>
      <c r="B4160" s="18" t="n">
        <v>112073.55</v>
      </c>
      <c r="C4160" s="31" t="n"/>
      <c r="D4160" s="32" t="n"/>
      <c r="E4160" s="33" t="n">
        <v>-1.1009</v>
      </c>
      <c r="F4160" t="inlineStr">
        <is>
          <t>Down</t>
        </is>
      </c>
      <c r="G4160" t="inlineStr">
        <is>
          <t>Up</t>
        </is>
      </c>
      <c r="H4160" t="inlineStr">
        <is>
          <t>ED_JU</t>
        </is>
      </c>
      <c r="I4160" t="inlineStr">
        <is>
          <t>2023-02</t>
        </is>
      </c>
      <c r="J4160" t="n">
        <v>1</v>
      </c>
      <c r="K4160" t="n">
        <v>1</v>
      </c>
      <c r="L4160" s="34">
        <f>IF($J4160=1,LN(B4161/B4160),"")</f>
        <v/>
      </c>
      <c r="M4160" s="34">
        <f>IF($K4160=1,INDEX(Mensal!$D$2:$D$245,MATCH($I4160,Mensal!$A$2:$A$245,0)),"")</f>
        <v/>
      </c>
      <c r="N4160" s="34">
        <f>IF($K4160=1,L4160-M4160,"")</f>
        <v/>
      </c>
      <c r="O4160" s="34" t="n">
        <v>0.0005078800000000001</v>
      </c>
      <c r="P4160" s="34">
        <f>IF($J4160=1,LN(1+O4160),"")</f>
        <v/>
      </c>
      <c r="Q4160" s="34">
        <f>IF($J4160=1,LN(R4161/R4160),"")</f>
        <v/>
      </c>
      <c r="R4160" s="32" t="n">
        <v>5.0721</v>
      </c>
      <c r="S4160" s="35" t="n">
        <v>13.53</v>
      </c>
      <c r="T4160" s="18" t="n"/>
      <c r="U4160" s="18" t="n"/>
      <c r="V4160" s="18" t="n"/>
      <c r="W4160" s="18" t="n">
        <v>112073.55</v>
      </c>
      <c r="X4160" s="35" t="n">
        <v>13.53</v>
      </c>
      <c r="Y4160" s="35" t="n"/>
    </row>
    <row r="4161">
      <c r="A4161" s="25" t="n">
        <v>44959</v>
      </c>
      <c r="B4161" s="18" t="n">
        <v>110140.64</v>
      </c>
      <c r="C4161" s="31" t="n"/>
      <c r="D4161" s="32" t="n"/>
      <c r="E4161" s="33" t="n">
        <v>-1.1071</v>
      </c>
      <c r="F4161" t="inlineStr">
        <is>
          <t>Down</t>
        </is>
      </c>
      <c r="G4161" t="inlineStr">
        <is>
          <t>Up</t>
        </is>
      </c>
      <c r="H4161" t="inlineStr">
        <is>
          <t>ED_JU</t>
        </is>
      </c>
      <c r="I4161" t="inlineStr">
        <is>
          <t>2023-02</t>
        </is>
      </c>
      <c r="J4161" t="n">
        <v>1</v>
      </c>
      <c r="K4161" t="n">
        <v>1</v>
      </c>
      <c r="L4161" s="34">
        <f>IF($J4161=1,LN(B4162/B4161),"")</f>
        <v/>
      </c>
      <c r="M4161" s="34">
        <f>IF($K4161=1,INDEX(Mensal!$D$2:$D$245,MATCH($I4161,Mensal!$A$2:$A$245,0)),"")</f>
        <v/>
      </c>
      <c r="N4161" s="34">
        <f>IF($K4161=1,L4161-M4161,"")</f>
        <v/>
      </c>
      <c r="O4161" s="34" t="n">
        <v>0.0005078800000000001</v>
      </c>
      <c r="P4161" s="34">
        <f>IF($J4161=1,LN(1+O4161),"")</f>
        <v/>
      </c>
      <c r="Q4161" s="34">
        <f>IF($J4161=1,LN(R4162/R4161),"")</f>
        <v/>
      </c>
      <c r="R4161" s="32" t="n">
        <v>4.9901</v>
      </c>
      <c r="S4161" s="35" t="n">
        <v>13.61</v>
      </c>
      <c r="T4161" s="18" t="n"/>
      <c r="U4161" s="18" t="n"/>
      <c r="V4161" s="18" t="n"/>
      <c r="W4161" s="18" t="n">
        <v>110140.64</v>
      </c>
      <c r="X4161" s="35" t="n">
        <v>13.61</v>
      </c>
      <c r="Y4161" s="35" t="n"/>
    </row>
    <row r="4162">
      <c r="A4162" s="25" t="n">
        <v>44960</v>
      </c>
      <c r="B4162" s="18" t="n">
        <v>108523.47</v>
      </c>
      <c r="C4162" s="31" t="n"/>
      <c r="D4162" s="32" t="n"/>
      <c r="E4162" s="33" t="n">
        <v>-1.116</v>
      </c>
      <c r="F4162" t="inlineStr">
        <is>
          <t>Down</t>
        </is>
      </c>
      <c r="G4162" t="inlineStr">
        <is>
          <t>Up</t>
        </is>
      </c>
      <c r="H4162" t="inlineStr">
        <is>
          <t>ED_JU</t>
        </is>
      </c>
      <c r="I4162" t="inlineStr">
        <is>
          <t>2023-02</t>
        </is>
      </c>
      <c r="J4162" t="n">
        <v>1</v>
      </c>
      <c r="K4162" t="n">
        <v>1</v>
      </c>
      <c r="L4162" s="34">
        <f>IF($J4162=1,LN(B4163/B4162),"")</f>
        <v/>
      </c>
      <c r="M4162" s="34">
        <f>IF($K4162=1,INDEX(Mensal!$D$2:$D$245,MATCH($I4162,Mensal!$A$2:$A$245,0)),"")</f>
        <v/>
      </c>
      <c r="N4162" s="34">
        <f>IF($K4162=1,L4162-M4162,"")</f>
        <v/>
      </c>
      <c r="O4162" s="34" t="n">
        <v>0.0005078800000000001</v>
      </c>
      <c r="P4162" s="34">
        <f>IF($J4162=1,LN(1+O4162),"")</f>
        <v/>
      </c>
      <c r="Q4162" s="34">
        <f>IF($J4162=1,LN(R4163/R4162),"")</f>
        <v/>
      </c>
      <c r="R4162" s="32" t="n">
        <v>5.103</v>
      </c>
      <c r="S4162" s="35" t="n">
        <v>13.76</v>
      </c>
      <c r="T4162" s="18" t="n"/>
      <c r="U4162" s="18" t="n"/>
      <c r="V4162" s="18" t="n"/>
      <c r="W4162" s="18" t="n">
        <v>108523.47</v>
      </c>
      <c r="X4162" s="35" t="n">
        <v>13.76</v>
      </c>
      <c r="Y4162" s="35" t="n"/>
    </row>
    <row r="4163">
      <c r="A4163" s="25" t="n">
        <v>44963</v>
      </c>
      <c r="B4163" s="18" t="n">
        <v>108721.58</v>
      </c>
      <c r="C4163" s="31" t="n"/>
      <c r="D4163" s="32" t="n"/>
      <c r="E4163" s="33" t="n">
        <v>-1.136</v>
      </c>
      <c r="F4163" t="inlineStr">
        <is>
          <t>Down</t>
        </is>
      </c>
      <c r="G4163" t="inlineStr">
        <is>
          <t>Up</t>
        </is>
      </c>
      <c r="H4163" t="inlineStr">
        <is>
          <t>ED_JU</t>
        </is>
      </c>
      <c r="I4163" t="inlineStr">
        <is>
          <t>2023-02</t>
        </is>
      </c>
      <c r="J4163" t="n">
        <v>1</v>
      </c>
      <c r="K4163" t="n">
        <v>1</v>
      </c>
      <c r="L4163" s="34">
        <f>IF($J4163=1,LN(B4164/B4163),"")</f>
        <v/>
      </c>
      <c r="M4163" s="34">
        <f>IF($K4163=1,INDEX(Mensal!$D$2:$D$245,MATCH($I4163,Mensal!$A$2:$A$245,0)),"")</f>
        <v/>
      </c>
      <c r="N4163" s="34">
        <f>IF($K4163=1,L4163-M4163,"")</f>
        <v/>
      </c>
      <c r="O4163" s="34" t="n">
        <v>0.0005078800000000001</v>
      </c>
      <c r="P4163" s="34">
        <f>IF($J4163=1,LN(1+O4163),"")</f>
        <v/>
      </c>
      <c r="Q4163" s="34">
        <f>IF($J4163=1,LN(R4164/R4163),"")</f>
        <v/>
      </c>
      <c r="R4163" s="32" t="n">
        <v>5.1763</v>
      </c>
      <c r="S4163" s="35" t="n">
        <v>13.78</v>
      </c>
      <c r="T4163" s="18" t="n"/>
      <c r="U4163" s="18" t="n"/>
      <c r="V4163" s="18" t="n"/>
      <c r="W4163" s="18" t="n">
        <v>108721.58</v>
      </c>
      <c r="X4163" s="35" t="n">
        <v>13.78</v>
      </c>
      <c r="Y4163" s="35" t="n"/>
    </row>
    <row r="4164">
      <c r="A4164" s="25" t="n">
        <v>44964</v>
      </c>
      <c r="B4164" s="18" t="n">
        <v>107829.73</v>
      </c>
      <c r="C4164" s="31" t="n"/>
      <c r="D4164" s="32" t="n"/>
      <c r="E4164" s="33" t="n">
        <v>-1.1538</v>
      </c>
      <c r="F4164" t="inlineStr">
        <is>
          <t>Down</t>
        </is>
      </c>
      <c r="G4164" t="inlineStr">
        <is>
          <t>Up</t>
        </is>
      </c>
      <c r="H4164" t="inlineStr">
        <is>
          <t>ED_JU</t>
        </is>
      </c>
      <c r="I4164" t="inlineStr">
        <is>
          <t>2023-02</t>
        </is>
      </c>
      <c r="J4164" t="n">
        <v>1</v>
      </c>
      <c r="K4164" t="n">
        <v>1</v>
      </c>
      <c r="L4164" s="34">
        <f>IF($J4164=1,LN(B4165/B4164),"")</f>
        <v/>
      </c>
      <c r="M4164" s="34">
        <f>IF($K4164=1,INDEX(Mensal!$D$2:$D$245,MATCH($I4164,Mensal!$A$2:$A$245,0)),"")</f>
        <v/>
      </c>
      <c r="N4164" s="34">
        <f>IF($K4164=1,L4164-M4164,"")</f>
        <v/>
      </c>
      <c r="O4164" s="34" t="n">
        <v>0.0005078800000000001</v>
      </c>
      <c r="P4164" s="34">
        <f>IF($J4164=1,LN(1+O4164),"")</f>
        <v/>
      </c>
      <c r="Q4164" s="34">
        <f>IF($J4164=1,LN(R4165/R4164),"")</f>
        <v/>
      </c>
      <c r="R4164" s="32" t="n">
        <v>5.1695</v>
      </c>
      <c r="S4164" s="35" t="n">
        <v>13.63</v>
      </c>
      <c r="T4164" s="18" t="n"/>
      <c r="U4164" s="18" t="n"/>
      <c r="V4164" s="18" t="n"/>
      <c r="W4164" s="18" t="n">
        <v>107829.73</v>
      </c>
      <c r="X4164" s="35" t="n">
        <v>13.63</v>
      </c>
      <c r="Y4164" s="35" t="n"/>
    </row>
    <row r="4165">
      <c r="A4165" s="25" t="n">
        <v>44965</v>
      </c>
      <c r="B4165" s="18" t="n">
        <v>109951.49</v>
      </c>
      <c r="C4165" s="31" t="n"/>
      <c r="D4165" s="32" t="n"/>
      <c r="E4165" s="33" t="n">
        <v>-1.1579</v>
      </c>
      <c r="F4165" t="inlineStr">
        <is>
          <t>Down</t>
        </is>
      </c>
      <c r="G4165" t="inlineStr">
        <is>
          <t>Up</t>
        </is>
      </c>
      <c r="H4165" t="inlineStr">
        <is>
          <t>ED_JU</t>
        </is>
      </c>
      <c r="I4165" t="inlineStr">
        <is>
          <t>2023-02</t>
        </is>
      </c>
      <c r="J4165" t="n">
        <v>1</v>
      </c>
      <c r="K4165" t="n">
        <v>1</v>
      </c>
      <c r="L4165" s="34">
        <f>IF($J4165=1,LN(B4166/B4165),"")</f>
        <v/>
      </c>
      <c r="M4165" s="34">
        <f>IF($K4165=1,INDEX(Mensal!$D$2:$D$245,MATCH($I4165,Mensal!$A$2:$A$245,0)),"")</f>
        <v/>
      </c>
      <c r="N4165" s="34">
        <f>IF($K4165=1,L4165-M4165,"")</f>
        <v/>
      </c>
      <c r="O4165" s="34" t="n">
        <v>0.0005078800000000001</v>
      </c>
      <c r="P4165" s="34">
        <f>IF($J4165=1,LN(1+O4165),"")</f>
        <v/>
      </c>
      <c r="Q4165" s="34">
        <f>IF($J4165=1,LN(R4166/R4165),"")</f>
        <v/>
      </c>
      <c r="R4165" s="32" t="n">
        <v>5.2036</v>
      </c>
      <c r="S4165" s="35" t="n">
        <v>13.51</v>
      </c>
      <c r="T4165" s="18" t="n"/>
      <c r="U4165" s="18" t="n"/>
      <c r="V4165" s="18" t="n"/>
      <c r="W4165" s="18" t="n">
        <v>109951.49</v>
      </c>
      <c r="X4165" s="35" t="n">
        <v>13.51</v>
      </c>
      <c r="Y4165" s="35" t="n"/>
    </row>
    <row r="4166">
      <c r="A4166" s="25" t="n">
        <v>44966</v>
      </c>
      <c r="B4166" s="18" t="n">
        <v>108008.05</v>
      </c>
      <c r="C4166" s="31" t="n"/>
      <c r="D4166" s="32" t="n"/>
      <c r="E4166" s="33" t="n">
        <v>-1.164</v>
      </c>
      <c r="F4166" t="inlineStr">
        <is>
          <t>Down</t>
        </is>
      </c>
      <c r="G4166" t="inlineStr">
        <is>
          <t>Up</t>
        </is>
      </c>
      <c r="H4166" t="inlineStr">
        <is>
          <t>ED_JU</t>
        </is>
      </c>
      <c r="I4166" t="inlineStr">
        <is>
          <t>2023-02</t>
        </is>
      </c>
      <c r="J4166" t="n">
        <v>1</v>
      </c>
      <c r="K4166" t="n">
        <v>1</v>
      </c>
      <c r="L4166" s="34">
        <f>IF($J4166=1,LN(B4167/B4166),"")</f>
        <v/>
      </c>
      <c r="M4166" s="34">
        <f>IF($K4166=1,INDEX(Mensal!$D$2:$D$245,MATCH($I4166,Mensal!$A$2:$A$245,0)),"")</f>
        <v/>
      </c>
      <c r="N4166" s="34">
        <f>IF($K4166=1,L4166-M4166,"")</f>
        <v/>
      </c>
      <c r="O4166" s="34" t="n">
        <v>0.0005078800000000001</v>
      </c>
      <c r="P4166" s="34">
        <f>IF($J4166=1,LN(1+O4166),"")</f>
        <v/>
      </c>
      <c r="Q4166" s="34">
        <f>IF($J4166=1,LN(R4167/R4166),"")</f>
        <v/>
      </c>
      <c r="R4166" s="32" t="n">
        <v>5.2315</v>
      </c>
      <c r="S4166" s="35" t="n">
        <v>13.39</v>
      </c>
      <c r="T4166" s="18" t="n"/>
      <c r="U4166" s="18" t="n"/>
      <c r="V4166" s="18" t="n"/>
      <c r="W4166" s="18" t="n">
        <v>108008.05</v>
      </c>
      <c r="X4166" s="35" t="n">
        <v>13.39</v>
      </c>
      <c r="Y4166" s="35" t="n"/>
    </row>
    <row r="4167">
      <c r="A4167" s="25" t="n">
        <v>44967</v>
      </c>
      <c r="B4167" s="18" t="n">
        <v>108078.27</v>
      </c>
      <c r="C4167" s="31" t="n"/>
      <c r="D4167" s="32" t="n"/>
      <c r="E4167" s="33" t="n">
        <v>-1.1709</v>
      </c>
      <c r="F4167" t="inlineStr">
        <is>
          <t>Down</t>
        </is>
      </c>
      <c r="G4167" t="inlineStr">
        <is>
          <t>Up</t>
        </is>
      </c>
      <c r="H4167" t="inlineStr">
        <is>
          <t>ED_JU</t>
        </is>
      </c>
      <c r="I4167" t="inlineStr">
        <is>
          <t>2023-02</t>
        </is>
      </c>
      <c r="J4167" t="n">
        <v>1</v>
      </c>
      <c r="K4167" t="n">
        <v>1</v>
      </c>
      <c r="L4167" s="34">
        <f>IF($J4167=1,LN(B4168/B4167),"")</f>
        <v/>
      </c>
      <c r="M4167" s="34">
        <f>IF($K4167=1,INDEX(Mensal!$D$2:$D$245,MATCH($I4167,Mensal!$A$2:$A$245,0)),"")</f>
        <v/>
      </c>
      <c r="N4167" s="34">
        <f>IF($K4167=1,L4167-M4167,"")</f>
        <v/>
      </c>
      <c r="O4167" s="34" t="n">
        <v>0.0005078800000000001</v>
      </c>
      <c r="P4167" s="34">
        <f>IF($J4167=1,LN(1+O4167),"")</f>
        <v/>
      </c>
      <c r="Q4167" s="34">
        <f>IF($J4167=1,LN(R4168/R4167),"")</f>
        <v/>
      </c>
      <c r="R4167" s="32" t="n">
        <v>5.2526</v>
      </c>
      <c r="S4167" s="35" t="n">
        <v>13.4</v>
      </c>
      <c r="T4167" s="18" t="n"/>
      <c r="U4167" s="18" t="n"/>
      <c r="V4167" s="18" t="n"/>
      <c r="W4167" s="18" t="n">
        <v>108078.27</v>
      </c>
      <c r="X4167" s="35" t="n">
        <v>13.4</v>
      </c>
      <c r="Y4167" s="35" t="n"/>
    </row>
    <row r="4168">
      <c r="A4168" s="25" t="n">
        <v>44970</v>
      </c>
      <c r="B4168" s="18" t="n">
        <v>108836.47</v>
      </c>
      <c r="C4168" s="31" t="n"/>
      <c r="D4168" s="32" t="n"/>
      <c r="E4168" s="33" t="n">
        <v>-1.1777</v>
      </c>
      <c r="F4168" t="inlineStr">
        <is>
          <t>Down</t>
        </is>
      </c>
      <c r="G4168" t="inlineStr">
        <is>
          <t>Up</t>
        </is>
      </c>
      <c r="H4168" t="inlineStr">
        <is>
          <t>ED_JU</t>
        </is>
      </c>
      <c r="I4168" t="inlineStr">
        <is>
          <t>2023-02</t>
        </is>
      </c>
      <c r="J4168" t="n">
        <v>1</v>
      </c>
      <c r="K4168" t="n">
        <v>1</v>
      </c>
      <c r="L4168" s="34">
        <f>IF($J4168=1,LN(B4169/B4168),"")</f>
        <v/>
      </c>
      <c r="M4168" s="34">
        <f>IF($K4168=1,INDEX(Mensal!$D$2:$D$245,MATCH($I4168,Mensal!$A$2:$A$245,0)),"")</f>
        <v/>
      </c>
      <c r="N4168" s="34">
        <f>IF($K4168=1,L4168-M4168,"")</f>
        <v/>
      </c>
      <c r="O4168" s="34" t="n">
        <v>0.0005078800000000001</v>
      </c>
      <c r="P4168" s="34">
        <f>IF($J4168=1,LN(1+O4168),"")</f>
        <v/>
      </c>
      <c r="Q4168" s="34">
        <f>IF($J4168=1,LN(R4169/R4168),"")</f>
        <v/>
      </c>
      <c r="R4168" s="32" t="n">
        <v>5.1834</v>
      </c>
      <c r="S4168" s="35" t="n">
        <v>13.48</v>
      </c>
      <c r="T4168" s="18" t="n"/>
      <c r="U4168" s="18" t="n"/>
      <c r="V4168" s="18" t="n"/>
      <c r="W4168" s="18" t="n">
        <v>108836.47</v>
      </c>
      <c r="X4168" s="35" t="n">
        <v>13.48</v>
      </c>
      <c r="Y4168" s="35" t="n"/>
    </row>
    <row r="4169">
      <c r="A4169" s="25" t="n">
        <v>44971</v>
      </c>
      <c r="B4169" s="18" t="n">
        <v>107848.81</v>
      </c>
      <c r="C4169" s="31" t="n"/>
      <c r="D4169" s="32" t="n"/>
      <c r="E4169" s="33" t="n">
        <v>-1.1859</v>
      </c>
      <c r="F4169" t="inlineStr">
        <is>
          <t>Down</t>
        </is>
      </c>
      <c r="G4169" t="inlineStr">
        <is>
          <t>Up</t>
        </is>
      </c>
      <c r="H4169" t="inlineStr">
        <is>
          <t>ED_JU</t>
        </is>
      </c>
      <c r="I4169" t="inlineStr">
        <is>
          <t>2023-02</t>
        </is>
      </c>
      <c r="J4169" t="n">
        <v>1</v>
      </c>
      <c r="K4169" t="n">
        <v>1</v>
      </c>
      <c r="L4169" s="34">
        <f>IF($J4169=1,LN(B4170/B4169),"")</f>
        <v/>
      </c>
      <c r="M4169" s="34">
        <f>IF($K4169=1,INDEX(Mensal!$D$2:$D$245,MATCH($I4169,Mensal!$A$2:$A$245,0)),"")</f>
        <v/>
      </c>
      <c r="N4169" s="34">
        <f>IF($K4169=1,L4169-M4169,"")</f>
        <v/>
      </c>
      <c r="O4169" s="34" t="n">
        <v>0.0005078800000000001</v>
      </c>
      <c r="P4169" s="34">
        <f>IF($J4169=1,LN(1+O4169),"")</f>
        <v/>
      </c>
      <c r="Q4169" s="34">
        <f>IF($J4169=1,LN(R4170/R4169),"")</f>
        <v/>
      </c>
      <c r="R4169" s="32" t="n">
        <v>5.1507</v>
      </c>
      <c r="S4169" s="35" t="n">
        <v>13.39</v>
      </c>
      <c r="T4169" s="18" t="n"/>
      <c r="U4169" s="18" t="n"/>
      <c r="V4169" s="18" t="n"/>
      <c r="W4169" s="18" t="n">
        <v>107848.81</v>
      </c>
      <c r="X4169" s="35" t="n">
        <v>13.39</v>
      </c>
      <c r="Y4169" s="35" t="n"/>
    </row>
    <row r="4170">
      <c r="A4170" s="25" t="n">
        <v>44972</v>
      </c>
      <c r="B4170" s="18" t="n">
        <v>109600.14</v>
      </c>
      <c r="C4170" s="31" t="n"/>
      <c r="D4170" s="32" t="n"/>
      <c r="E4170" s="33" t="n">
        <v>-1.1903</v>
      </c>
      <c r="F4170" t="inlineStr">
        <is>
          <t>Down</t>
        </is>
      </c>
      <c r="G4170" t="inlineStr">
        <is>
          <t>Up</t>
        </is>
      </c>
      <c r="H4170" t="inlineStr">
        <is>
          <t>ED_JU</t>
        </is>
      </c>
      <c r="I4170" t="inlineStr">
        <is>
          <t>2023-02</t>
        </is>
      </c>
      <c r="J4170" t="n">
        <v>1</v>
      </c>
      <c r="K4170" t="n">
        <v>1</v>
      </c>
      <c r="L4170" s="34">
        <f>IF($J4170=1,LN(B4171/B4170),"")</f>
        <v/>
      </c>
      <c r="M4170" s="34">
        <f>IF($K4170=1,INDEX(Mensal!$D$2:$D$245,MATCH($I4170,Mensal!$A$2:$A$245,0)),"")</f>
        <v/>
      </c>
      <c r="N4170" s="34">
        <f>IF($K4170=1,L4170-M4170,"")</f>
        <v/>
      </c>
      <c r="O4170" s="34" t="n">
        <v>0.0005078800000000001</v>
      </c>
      <c r="P4170" s="34">
        <f>IF($J4170=1,LN(1+O4170),"")</f>
        <v/>
      </c>
      <c r="Q4170" s="34">
        <f>IF($J4170=1,LN(R4171/R4170),"")</f>
        <v/>
      </c>
      <c r="R4170" s="32" t="n">
        <v>5.2243</v>
      </c>
      <c r="S4170" s="35" t="n">
        <v>13.19</v>
      </c>
      <c r="T4170" s="18" t="n"/>
      <c r="U4170" s="18" t="n"/>
      <c r="V4170" s="18" t="n"/>
      <c r="W4170" s="18" t="n">
        <v>109600.14</v>
      </c>
      <c r="X4170" s="35" t="n">
        <v>13.19</v>
      </c>
      <c r="Y4170" s="35" t="n"/>
    </row>
    <row r="4171">
      <c r="A4171" s="25" t="n">
        <v>44973</v>
      </c>
      <c r="B4171" s="18" t="n">
        <v>109941.46</v>
      </c>
      <c r="C4171" s="31" t="n"/>
      <c r="D4171" s="32" t="n"/>
      <c r="E4171" s="33" t="n">
        <v>-1.1878</v>
      </c>
      <c r="F4171" t="inlineStr">
        <is>
          <t>Down</t>
        </is>
      </c>
      <c r="G4171" t="inlineStr">
        <is>
          <t>Up</t>
        </is>
      </c>
      <c r="H4171" t="inlineStr">
        <is>
          <t>ED_JU</t>
        </is>
      </c>
      <c r="I4171" t="inlineStr">
        <is>
          <t>2023-02</t>
        </is>
      </c>
      <c r="J4171" t="n">
        <v>1</v>
      </c>
      <c r="K4171" t="n">
        <v>1</v>
      </c>
      <c r="L4171" s="34">
        <f>IF($J4171=1,LN(B4172/B4171),"")</f>
        <v/>
      </c>
      <c r="M4171" s="34">
        <f>IF($K4171=1,INDEX(Mensal!$D$2:$D$245,MATCH($I4171,Mensal!$A$2:$A$245,0)),"")</f>
        <v/>
      </c>
      <c r="N4171" s="34">
        <f>IF($K4171=1,L4171-M4171,"")</f>
        <v/>
      </c>
      <c r="O4171" s="34" t="n">
        <v>0.0005078800000000001</v>
      </c>
      <c r="P4171" s="34">
        <f>IF($J4171=1,LN(1+O4171),"")</f>
        <v/>
      </c>
      <c r="Q4171" s="34">
        <f>IF($J4171=1,LN(R4172/R4171),"")</f>
        <v/>
      </c>
      <c r="R4171" s="32" t="n">
        <v>5.2432</v>
      </c>
      <c r="S4171" s="35" t="n">
        <v>13.17</v>
      </c>
      <c r="T4171" s="18" t="n"/>
      <c r="U4171" s="18" t="n"/>
      <c r="V4171" s="18" t="n"/>
      <c r="W4171" s="18" t="n">
        <v>109941.46</v>
      </c>
      <c r="X4171" s="35" t="n">
        <v>13.17</v>
      </c>
      <c r="Y4171" s="35" t="n"/>
    </row>
    <row r="4172">
      <c r="A4172" s="25" t="n">
        <v>44974</v>
      </c>
      <c r="B4172" s="18" t="n">
        <v>109176.92</v>
      </c>
      <c r="C4172" s="31" t="n"/>
      <c r="D4172" s="32" t="n"/>
      <c r="E4172" s="33" t="n">
        <v>-1.1683</v>
      </c>
      <c r="F4172" t="inlineStr">
        <is>
          <t>Down</t>
        </is>
      </c>
      <c r="G4172" t="inlineStr">
        <is>
          <t>Up</t>
        </is>
      </c>
      <c r="H4172" t="inlineStr">
        <is>
          <t>ED_JU</t>
        </is>
      </c>
      <c r="I4172" t="inlineStr">
        <is>
          <t>2023-02</t>
        </is>
      </c>
      <c r="J4172" t="n">
        <v>1</v>
      </c>
      <c r="K4172" t="n">
        <v>1</v>
      </c>
      <c r="L4172" s="34">
        <f>IF($J4172=1,LN(B4173/B4172),"")</f>
        <v/>
      </c>
      <c r="M4172" s="34">
        <f>IF($K4172=1,INDEX(Mensal!$D$2:$D$245,MATCH($I4172,Mensal!$A$2:$A$245,0)),"")</f>
        <v/>
      </c>
      <c r="N4172" s="34">
        <f>IF($K4172=1,L4172-M4172,"")</f>
        <v/>
      </c>
      <c r="O4172" s="34" t="n">
        <v>0.0005078800000000001</v>
      </c>
      <c r="P4172" s="34">
        <f>IF($J4172=1,LN(1+O4172),"")</f>
        <v/>
      </c>
      <c r="Q4172" s="34">
        <f>IF($J4172=1,LN(R4173/R4172),"")</f>
        <v/>
      </c>
      <c r="R4172" s="32" t="n">
        <v>5.2012</v>
      </c>
      <c r="S4172" s="35" t="n">
        <v>13.17</v>
      </c>
      <c r="T4172" s="18" t="n"/>
      <c r="U4172" s="18" t="n"/>
      <c r="V4172" s="18" t="n"/>
      <c r="W4172" s="18" t="n">
        <v>109176.92</v>
      </c>
      <c r="X4172" s="35" t="n">
        <v>13.17</v>
      </c>
      <c r="Y4172" s="35" t="n"/>
    </row>
    <row r="4173">
      <c r="A4173" s="25" t="n">
        <v>44979</v>
      </c>
      <c r="B4173" s="18" t="n">
        <v>107152.05</v>
      </c>
      <c r="C4173" s="31" t="n"/>
      <c r="D4173" s="32" t="n"/>
      <c r="E4173" s="33" t="n">
        <v>-1.1245</v>
      </c>
      <c r="F4173" t="inlineStr">
        <is>
          <t>Down</t>
        </is>
      </c>
      <c r="G4173" t="inlineStr">
        <is>
          <t>Up</t>
        </is>
      </c>
      <c r="H4173" t="inlineStr">
        <is>
          <t>ED_JU</t>
        </is>
      </c>
      <c r="I4173" t="inlineStr">
        <is>
          <t>2023-02</t>
        </is>
      </c>
      <c r="J4173" t="n">
        <v>1</v>
      </c>
      <c r="K4173" t="n">
        <v>1</v>
      </c>
      <c r="L4173" s="34">
        <f>IF($J4173=1,LN(B4174/B4173),"")</f>
        <v/>
      </c>
      <c r="M4173" s="34">
        <f>IF($K4173=1,INDEX(Mensal!$D$2:$D$245,MATCH($I4173,Mensal!$A$2:$A$245,0)),"")</f>
        <v/>
      </c>
      <c r="N4173" s="34">
        <f>IF($K4173=1,L4173-M4173,"")</f>
        <v/>
      </c>
      <c r="O4173" s="34" t="n">
        <v>0.0005078800000000001</v>
      </c>
      <c r="P4173" s="34">
        <f>IF($J4173=1,LN(1+O4173),"")</f>
        <v/>
      </c>
      <c r="Q4173" s="34">
        <f>IF($J4173=1,LN(R4174/R4173),"")</f>
        <v/>
      </c>
      <c r="R4173" s="32" t="n">
        <v>5.173</v>
      </c>
      <c r="S4173" s="35" t="n">
        <v>13.28</v>
      </c>
      <c r="T4173" s="18" t="n"/>
      <c r="U4173" s="18" t="n"/>
      <c r="V4173" s="18" t="n"/>
      <c r="W4173" s="18" t="n">
        <v>107152.05</v>
      </c>
      <c r="X4173" s="35" t="n">
        <v>13.28</v>
      </c>
      <c r="Y4173" s="35" t="n"/>
    </row>
    <row r="4174">
      <c r="A4174" s="25" t="n">
        <v>44980</v>
      </c>
      <c r="B4174" s="18" t="n">
        <v>107592.87</v>
      </c>
      <c r="C4174" s="31" t="n"/>
      <c r="D4174" s="32" t="n"/>
      <c r="E4174" s="33" t="n">
        <v>-1.078</v>
      </c>
      <c r="F4174" t="inlineStr">
        <is>
          <t>Down</t>
        </is>
      </c>
      <c r="G4174" t="inlineStr">
        <is>
          <t>Up</t>
        </is>
      </c>
      <c r="H4174" t="inlineStr">
        <is>
          <t>ED_JU</t>
        </is>
      </c>
      <c r="I4174" t="inlineStr">
        <is>
          <t>2023-02</t>
        </is>
      </c>
      <c r="J4174" t="n">
        <v>1</v>
      </c>
      <c r="K4174" t="n">
        <v>1</v>
      </c>
      <c r="L4174" s="34">
        <f>IF($J4174=1,LN(B4175/B4174),"")</f>
        <v/>
      </c>
      <c r="M4174" s="34">
        <f>IF($K4174=1,INDEX(Mensal!$D$2:$D$245,MATCH($I4174,Mensal!$A$2:$A$245,0)),"")</f>
        <v/>
      </c>
      <c r="N4174" s="34">
        <f>IF($K4174=1,L4174-M4174,"")</f>
        <v/>
      </c>
      <c r="O4174" s="34" t="n">
        <v>0.0005078800000000001</v>
      </c>
      <c r="P4174" s="34">
        <f>IF($J4174=1,LN(1+O4174),"")</f>
        <v/>
      </c>
      <c r="Q4174" s="34">
        <f>IF($J4174=1,LN(R4175/R4174),"")</f>
        <v/>
      </c>
      <c r="R4174" s="32" t="n">
        <v>5.133</v>
      </c>
      <c r="S4174" s="35" t="n">
        <v>13.3</v>
      </c>
      <c r="T4174" s="18" t="n"/>
      <c r="U4174" s="18" t="n"/>
      <c r="V4174" s="18" t="n"/>
      <c r="W4174" s="18" t="n">
        <v>107592.87</v>
      </c>
      <c r="X4174" s="35" t="n">
        <v>13.3</v>
      </c>
      <c r="Y4174" s="35" t="n"/>
    </row>
    <row r="4175">
      <c r="A4175" s="25" t="n">
        <v>44981</v>
      </c>
      <c r="B4175" s="18" t="n">
        <v>105798.43</v>
      </c>
      <c r="C4175" s="31" t="n"/>
      <c r="D4175" s="32" t="n"/>
      <c r="E4175" s="33" t="n">
        <v>-1.0283</v>
      </c>
      <c r="F4175" t="inlineStr">
        <is>
          <t>Down</t>
        </is>
      </c>
      <c r="G4175" t="inlineStr">
        <is>
          <t>Up</t>
        </is>
      </c>
      <c r="H4175" t="inlineStr">
        <is>
          <t>ED_JU</t>
        </is>
      </c>
      <c r="I4175" t="inlineStr">
        <is>
          <t>2023-02</t>
        </is>
      </c>
      <c r="J4175" t="n">
        <v>1</v>
      </c>
      <c r="K4175" t="n">
        <v>1</v>
      </c>
      <c r="L4175" s="34">
        <f>IF($J4175=1,LN(B4176/B4175),"")</f>
        <v/>
      </c>
      <c r="M4175" s="34">
        <f>IF($K4175=1,INDEX(Mensal!$D$2:$D$245,MATCH($I4175,Mensal!$A$2:$A$245,0)),"")</f>
        <v/>
      </c>
      <c r="N4175" s="34">
        <f>IF($K4175=1,L4175-M4175,"")</f>
        <v/>
      </c>
      <c r="O4175" s="34" t="n">
        <v>0.0005078800000000001</v>
      </c>
      <c r="P4175" s="34">
        <f>IF($J4175=1,LN(1+O4175),"")</f>
        <v/>
      </c>
      <c r="Q4175" s="34">
        <f>IF($J4175=1,LN(R4176/R4175),"")</f>
        <v/>
      </c>
      <c r="R4175" s="32" t="n">
        <v>5.1791</v>
      </c>
      <c r="S4175" s="35" t="n">
        <v>13.39</v>
      </c>
      <c r="T4175" s="18" t="n"/>
      <c r="U4175" s="18" t="n"/>
      <c r="V4175" s="18" t="n"/>
      <c r="W4175" s="18" t="n">
        <v>105798.43</v>
      </c>
      <c r="X4175" s="35" t="n">
        <v>13.39</v>
      </c>
      <c r="Y4175" s="35" t="n"/>
    </row>
    <row r="4176">
      <c r="A4176" s="25" t="n">
        <v>44984</v>
      </c>
      <c r="B4176" s="18" t="n">
        <v>105711.05</v>
      </c>
      <c r="C4176" s="31" t="n"/>
      <c r="D4176" s="32" t="n"/>
      <c r="E4176" s="33" t="n">
        <v>-0.9347</v>
      </c>
      <c r="F4176" t="inlineStr">
        <is>
          <t>Down</t>
        </is>
      </c>
      <c r="G4176" t="inlineStr">
        <is>
          <t>Up</t>
        </is>
      </c>
      <c r="H4176" t="inlineStr">
        <is>
          <t>ED_JU</t>
        </is>
      </c>
      <c r="I4176" t="inlineStr">
        <is>
          <t>2023-02</t>
        </is>
      </c>
      <c r="J4176" t="n">
        <v>1</v>
      </c>
      <c r="K4176" t="n">
        <v>1</v>
      </c>
      <c r="L4176" s="34">
        <f>IF($J4176=1,LN(B4177/B4176),"")</f>
        <v/>
      </c>
      <c r="M4176" s="34">
        <f>IF($K4176=1,INDEX(Mensal!$D$2:$D$245,MATCH($I4176,Mensal!$A$2:$A$245,0)),"")</f>
        <v/>
      </c>
      <c r="N4176" s="34">
        <f>IF($K4176=1,L4176-M4176,"")</f>
        <v/>
      </c>
      <c r="O4176" s="34" t="n">
        <v>0.0005078800000000001</v>
      </c>
      <c r="P4176" s="34">
        <f>IF($J4176=1,LN(1+O4176),"")</f>
        <v/>
      </c>
      <c r="Q4176" s="34">
        <f>IF($J4176=1,LN(R4177/R4176),"")</f>
        <v/>
      </c>
      <c r="R4176" s="32" t="n">
        <v>5.196</v>
      </c>
      <c r="S4176" s="35" t="n">
        <v>13.25</v>
      </c>
      <c r="T4176" s="18" t="n"/>
      <c r="U4176" s="18" t="n"/>
      <c r="V4176" s="18" t="n"/>
      <c r="W4176" s="18" t="n">
        <v>105711.05</v>
      </c>
      <c r="X4176" s="35" t="n">
        <v>13.25</v>
      </c>
      <c r="Y4176" s="35" t="n"/>
    </row>
    <row r="4177">
      <c r="A4177" s="25" t="n">
        <v>44985</v>
      </c>
      <c r="B4177" s="18" t="n">
        <v>104931.93</v>
      </c>
      <c r="C4177" s="31" t="n"/>
      <c r="D4177" s="32" t="n"/>
      <c r="E4177" s="33" t="n">
        <v>-0.8277</v>
      </c>
      <c r="F4177" t="inlineStr">
        <is>
          <t>Down</t>
        </is>
      </c>
      <c r="G4177" t="inlineStr">
        <is>
          <t>Up</t>
        </is>
      </c>
      <c r="H4177" t="inlineStr">
        <is>
          <t>ED_JU</t>
        </is>
      </c>
      <c r="I4177" t="inlineStr">
        <is>
          <t>2023-02</t>
        </is>
      </c>
      <c r="J4177" t="n">
        <v>1</v>
      </c>
      <c r="K4177" t="n">
        <v>1</v>
      </c>
      <c r="L4177" s="34">
        <f>IF($J4177=1,LN(B4178/B4177),"")</f>
        <v/>
      </c>
      <c r="M4177" s="34">
        <f>IF($K4177=1,INDEX(Mensal!$D$2:$D$245,MATCH($I4177,Mensal!$A$2:$A$245,0)),"")</f>
        <v/>
      </c>
      <c r="N4177" s="34">
        <f>IF($K4177=1,L4177-M4177,"")</f>
        <v/>
      </c>
      <c r="O4177" s="34" t="n">
        <v>0.0005078800000000001</v>
      </c>
      <c r="P4177" s="34">
        <f>IF($J4177=1,LN(1+O4177),"")</f>
        <v/>
      </c>
      <c r="Q4177" s="34">
        <f>IF($J4177=1,LN(R4178/R4177),"")</f>
        <v/>
      </c>
      <c r="R4177" s="32" t="n">
        <v>5.2078</v>
      </c>
      <c r="S4177" s="35" t="n">
        <v>13.28</v>
      </c>
      <c r="T4177" s="18" t="n"/>
      <c r="U4177" s="18" t="n"/>
      <c r="V4177" s="18" t="n"/>
      <c r="W4177" s="18" t="n">
        <v>104931.93</v>
      </c>
      <c r="X4177" s="35" t="n">
        <v>13.28</v>
      </c>
      <c r="Y4177" s="35" t="n"/>
    </row>
    <row r="4178">
      <c r="A4178" s="25" t="n">
        <v>44986</v>
      </c>
      <c r="B4178" s="18" t="n">
        <v>104384.67</v>
      </c>
      <c r="C4178" s="31" t="n"/>
      <c r="D4178" s="32" t="n"/>
      <c r="E4178" s="33" t="n">
        <v>-0.7228</v>
      </c>
      <c r="F4178" t="inlineStr">
        <is>
          <t>Down</t>
        </is>
      </c>
      <c r="G4178" t="inlineStr">
        <is>
          <t>Up</t>
        </is>
      </c>
      <c r="H4178" t="inlineStr">
        <is>
          <t>ED_JU</t>
        </is>
      </c>
      <c r="I4178" t="inlineStr">
        <is>
          <t>2023-03</t>
        </is>
      </c>
      <c r="J4178" t="n">
        <v>1</v>
      </c>
      <c r="K4178" t="n">
        <v>1</v>
      </c>
      <c r="L4178" s="34">
        <f>IF($J4178=1,LN(B4179/B4178),"")</f>
        <v/>
      </c>
      <c r="M4178" s="34">
        <f>IF($K4178=1,INDEX(Mensal!$D$2:$D$245,MATCH($I4178,Mensal!$A$2:$A$245,0)),"")</f>
        <v/>
      </c>
      <c r="N4178" s="34">
        <f>IF($K4178=1,L4178-M4178,"")</f>
        <v/>
      </c>
      <c r="O4178" s="34" t="n">
        <v>0.0005078800000000001</v>
      </c>
      <c r="P4178" s="34">
        <f>IF($J4178=1,LN(1+O4178),"")</f>
        <v/>
      </c>
      <c r="Q4178" s="34">
        <f>IF($J4178=1,LN(R4179/R4178),"")</f>
        <v/>
      </c>
      <c r="R4178" s="32" t="n">
        <v>5.207</v>
      </c>
      <c r="S4178" s="35" t="n">
        <v>13.22</v>
      </c>
      <c r="T4178" s="18" t="n"/>
      <c r="U4178" s="18" t="n"/>
      <c r="V4178" s="18" t="n"/>
      <c r="W4178" s="18" t="n">
        <v>104384.67</v>
      </c>
      <c r="X4178" s="35" t="n">
        <v>13.22</v>
      </c>
      <c r="Y4178" s="35" t="n"/>
    </row>
    <row r="4179">
      <c r="A4179" s="25" t="n">
        <v>44987</v>
      </c>
      <c r="B4179" s="18" t="n">
        <v>103325.61</v>
      </c>
      <c r="C4179" s="31" t="n"/>
      <c r="D4179" s="32" t="n"/>
      <c r="E4179" s="33" t="n">
        <v>-0.6159</v>
      </c>
      <c r="F4179" t="inlineStr">
        <is>
          <t>Down</t>
        </is>
      </c>
      <c r="G4179" t="inlineStr">
        <is>
          <t>Up</t>
        </is>
      </c>
      <c r="H4179" t="inlineStr">
        <is>
          <t>ED_JU</t>
        </is>
      </c>
      <c r="I4179" t="inlineStr">
        <is>
          <t>2023-03</t>
        </is>
      </c>
      <c r="J4179" t="n">
        <v>1</v>
      </c>
      <c r="K4179" t="n">
        <v>1</v>
      </c>
      <c r="L4179" s="34">
        <f>IF($J4179=1,LN(B4180/B4179),"")</f>
        <v/>
      </c>
      <c r="M4179" s="34">
        <f>IF($K4179=1,INDEX(Mensal!$D$2:$D$245,MATCH($I4179,Mensal!$A$2:$A$245,0)),"")</f>
        <v/>
      </c>
      <c r="N4179" s="34">
        <f>IF($K4179=1,L4179-M4179,"")</f>
        <v/>
      </c>
      <c r="O4179" s="34" t="n">
        <v>0.0005078800000000001</v>
      </c>
      <c r="P4179" s="34">
        <f>IF($J4179=1,LN(1+O4179),"")</f>
        <v/>
      </c>
      <c r="Q4179" s="34">
        <f>IF($J4179=1,LN(R4180/R4179),"")</f>
        <v/>
      </c>
      <c r="R4179" s="32" t="n">
        <v>5.208</v>
      </c>
      <c r="S4179" s="35" t="n">
        <v>13.27</v>
      </c>
      <c r="T4179" s="18" t="n"/>
      <c r="U4179" s="18" t="n"/>
      <c r="V4179" s="18" t="n"/>
      <c r="W4179" s="18" t="n">
        <v>103325.61</v>
      </c>
      <c r="X4179" s="35" t="n">
        <v>13.27</v>
      </c>
      <c r="Y4179" s="35" t="n"/>
    </row>
    <row r="4180">
      <c r="A4180" s="25" t="n">
        <v>44988</v>
      </c>
      <c r="B4180" s="18" t="n">
        <v>103865.99</v>
      </c>
      <c r="C4180" s="31" t="n"/>
      <c r="D4180" s="32" t="n"/>
      <c r="E4180" s="33" t="n">
        <v>-0.5123</v>
      </c>
      <c r="F4180" t="inlineStr">
        <is>
          <t>Down</t>
        </is>
      </c>
      <c r="G4180" t="inlineStr">
        <is>
          <t>Up</t>
        </is>
      </c>
      <c r="H4180" t="inlineStr">
        <is>
          <t>ED_JU</t>
        </is>
      </c>
      <c r="I4180" t="inlineStr">
        <is>
          <t>2023-03</t>
        </is>
      </c>
      <c r="J4180" t="n">
        <v>1</v>
      </c>
      <c r="K4180" t="n">
        <v>1</v>
      </c>
      <c r="L4180" s="34">
        <f>IF($J4180=1,LN(B4181/B4180),"")</f>
        <v/>
      </c>
      <c r="M4180" s="34">
        <f>IF($K4180=1,INDEX(Mensal!$D$2:$D$245,MATCH($I4180,Mensal!$A$2:$A$245,0)),"")</f>
        <v/>
      </c>
      <c r="N4180" s="34">
        <f>IF($K4180=1,L4180-M4180,"")</f>
        <v/>
      </c>
      <c r="O4180" s="34" t="n">
        <v>0.0005078800000000001</v>
      </c>
      <c r="P4180" s="34">
        <f>IF($J4180=1,LN(1+O4180),"")</f>
        <v/>
      </c>
      <c r="Q4180" s="34">
        <f>IF($J4180=1,LN(R4181/R4180),"")</f>
        <v/>
      </c>
      <c r="R4180" s="32" t="n">
        <v>5.2037</v>
      </c>
      <c r="S4180" s="35" t="n">
        <v>13.3</v>
      </c>
      <c r="T4180" s="18" t="n"/>
      <c r="U4180" s="18" t="n"/>
      <c r="V4180" s="18" t="n"/>
      <c r="W4180" s="18" t="n">
        <v>103865.99</v>
      </c>
      <c r="X4180" s="35" t="n">
        <v>13.3</v>
      </c>
      <c r="Y4180" s="35" t="n"/>
    </row>
    <row r="4181">
      <c r="A4181" s="25" t="n">
        <v>44991</v>
      </c>
      <c r="B4181" s="18" t="n">
        <v>104700.32</v>
      </c>
      <c r="C4181" s="31" t="n"/>
      <c r="D4181" s="32" t="n"/>
      <c r="E4181" s="33" t="n">
        <v>-0.4125</v>
      </c>
      <c r="F4181" t="inlineStr">
        <is>
          <t>Down</t>
        </is>
      </c>
      <c r="G4181" t="inlineStr">
        <is>
          <t>Up</t>
        </is>
      </c>
      <c r="H4181" t="inlineStr">
        <is>
          <t>ED_JU</t>
        </is>
      </c>
      <c r="I4181" t="inlineStr">
        <is>
          <t>2023-03</t>
        </is>
      </c>
      <c r="J4181" t="n">
        <v>1</v>
      </c>
      <c r="K4181" t="n">
        <v>1</v>
      </c>
      <c r="L4181" s="34">
        <f>IF($J4181=1,LN(B4182/B4181),"")</f>
        <v/>
      </c>
      <c r="M4181" s="34">
        <f>IF($K4181=1,INDEX(Mensal!$D$2:$D$245,MATCH($I4181,Mensal!$A$2:$A$245,0)),"")</f>
        <v/>
      </c>
      <c r="N4181" s="34">
        <f>IF($K4181=1,L4181-M4181,"")</f>
        <v/>
      </c>
      <c r="O4181" s="34" t="n">
        <v>0.0005078800000000001</v>
      </c>
      <c r="P4181" s="34">
        <f>IF($J4181=1,LN(1+O4181),"")</f>
        <v/>
      </c>
      <c r="Q4181" s="34">
        <f>IF($J4181=1,LN(R4182/R4181),"")</f>
        <v/>
      </c>
      <c r="R4181" s="32" t="n">
        <v>5.197</v>
      </c>
      <c r="S4181" s="35" t="n">
        <v>13.18</v>
      </c>
      <c r="T4181" s="18" t="n"/>
      <c r="U4181" s="18" t="n"/>
      <c r="V4181" s="18" t="n"/>
      <c r="W4181" s="18" t="n">
        <v>104700.32</v>
      </c>
      <c r="X4181" s="35" t="n">
        <v>13.18</v>
      </c>
      <c r="Y4181" s="35" t="n"/>
    </row>
    <row r="4182">
      <c r="A4182" s="25" t="n">
        <v>44992</v>
      </c>
      <c r="B4182" s="18" t="n">
        <v>104227.93</v>
      </c>
      <c r="C4182" s="31" t="n"/>
      <c r="D4182" s="32" t="n"/>
      <c r="E4182" s="33" t="n">
        <v>-0.3178</v>
      </c>
      <c r="F4182" t="inlineStr">
        <is>
          <t>Down</t>
        </is>
      </c>
      <c r="G4182" t="inlineStr">
        <is>
          <t>Down</t>
        </is>
      </c>
      <c r="H4182" t="inlineStr">
        <is>
          <t>ED_JD</t>
        </is>
      </c>
      <c r="I4182" t="inlineStr">
        <is>
          <t>2023-03</t>
        </is>
      </c>
      <c r="J4182" t="n">
        <v>1</v>
      </c>
      <c r="K4182" t="n">
        <v>1</v>
      </c>
      <c r="L4182" s="34">
        <f>IF($J4182=1,LN(B4183/B4182),"")</f>
        <v/>
      </c>
      <c r="M4182" s="34">
        <f>IF($K4182=1,INDEX(Mensal!$D$2:$D$245,MATCH($I4182,Mensal!$A$2:$A$245,0)),"")</f>
        <v/>
      </c>
      <c r="N4182" s="34">
        <f>IF($K4182=1,L4182-M4182,"")</f>
        <v/>
      </c>
      <c r="O4182" s="34" t="n">
        <v>0.0005078800000000001</v>
      </c>
      <c r="P4182" s="34">
        <f>IF($J4182=1,LN(1+O4182),"")</f>
        <v/>
      </c>
      <c r="Q4182" s="34">
        <f>IF($J4182=1,LN(R4183/R4182),"")</f>
        <v/>
      </c>
      <c r="R4182" s="32" t="n">
        <v>5.1901</v>
      </c>
      <c r="S4182" s="35" t="n">
        <v>13.09</v>
      </c>
      <c r="T4182" s="18" t="n"/>
      <c r="U4182" s="18" t="n"/>
      <c r="V4182" s="18" t="n">
        <v>104227.93</v>
      </c>
      <c r="W4182" s="18" t="n"/>
      <c r="X4182" s="35" t="n"/>
      <c r="Y4182" s="35" t="n">
        <v>13.09</v>
      </c>
    </row>
    <row r="4183">
      <c r="A4183" s="25" t="n">
        <v>44993</v>
      </c>
      <c r="B4183" s="18" t="n">
        <v>106540.32</v>
      </c>
      <c r="C4183" s="31" t="n"/>
      <c r="D4183" s="32" t="n"/>
      <c r="E4183" s="33" t="n">
        <v>-0.2234</v>
      </c>
      <c r="F4183" t="inlineStr">
        <is>
          <t>Down</t>
        </is>
      </c>
      <c r="G4183" t="inlineStr">
        <is>
          <t>Down</t>
        </is>
      </c>
      <c r="H4183" t="inlineStr">
        <is>
          <t>ED_JD</t>
        </is>
      </c>
      <c r="I4183" t="inlineStr">
        <is>
          <t>2023-03</t>
        </is>
      </c>
      <c r="J4183" t="n">
        <v>1</v>
      </c>
      <c r="K4183" t="n">
        <v>1</v>
      </c>
      <c r="L4183" s="34">
        <f>IF($J4183=1,LN(B4184/B4183),"")</f>
        <v/>
      </c>
      <c r="M4183" s="34">
        <f>IF($K4183=1,INDEX(Mensal!$D$2:$D$245,MATCH($I4183,Mensal!$A$2:$A$245,0)),"")</f>
        <v/>
      </c>
      <c r="N4183" s="34">
        <f>IF($K4183=1,L4183-M4183,"")</f>
        <v/>
      </c>
      <c r="O4183" s="34" t="n">
        <v>0.0005078800000000001</v>
      </c>
      <c r="P4183" s="34">
        <f>IF($J4183=1,LN(1+O4183),"")</f>
        <v/>
      </c>
      <c r="Q4183" s="34">
        <f>IF($J4183=1,LN(R4184/R4183),"")</f>
        <v/>
      </c>
      <c r="R4183" s="32" t="n">
        <v>5.1387</v>
      </c>
      <c r="S4183" s="35" t="n">
        <v>12.95</v>
      </c>
      <c r="T4183" s="18" t="n"/>
      <c r="U4183" s="18" t="n"/>
      <c r="V4183" s="18" t="n">
        <v>106540.32</v>
      </c>
      <c r="W4183" s="18" t="n"/>
      <c r="X4183" s="35" t="n"/>
      <c r="Y4183" s="35" t="n">
        <v>12.95</v>
      </c>
    </row>
    <row r="4184">
      <c r="A4184" s="25" t="n">
        <v>44994</v>
      </c>
      <c r="B4184" s="18" t="n">
        <v>105071.19</v>
      </c>
      <c r="C4184" s="31" t="n"/>
      <c r="D4184" s="32" t="n"/>
      <c r="E4184" s="33" t="n">
        <v>-0.1502</v>
      </c>
      <c r="F4184" t="inlineStr">
        <is>
          <t>Down</t>
        </is>
      </c>
      <c r="G4184" t="inlineStr">
        <is>
          <t>Down</t>
        </is>
      </c>
      <c r="H4184" t="inlineStr">
        <is>
          <t>ED_JD</t>
        </is>
      </c>
      <c r="I4184" t="inlineStr">
        <is>
          <t>2023-03</t>
        </is>
      </c>
      <c r="J4184" t="n">
        <v>1</v>
      </c>
      <c r="K4184" t="n">
        <v>1</v>
      </c>
      <c r="L4184" s="34">
        <f>IF($J4184=1,LN(B4185/B4184),"")</f>
        <v/>
      </c>
      <c r="M4184" s="34">
        <f>IF($K4184=1,INDEX(Mensal!$D$2:$D$245,MATCH($I4184,Mensal!$A$2:$A$245,0)),"")</f>
        <v/>
      </c>
      <c r="N4184" s="34">
        <f>IF($K4184=1,L4184-M4184,"")</f>
        <v/>
      </c>
      <c r="O4184" s="34" t="n">
        <v>0.0005078800000000001</v>
      </c>
      <c r="P4184" s="34">
        <f>IF($J4184=1,LN(1+O4184),"")</f>
        <v/>
      </c>
      <c r="Q4184" s="34">
        <f>IF($J4184=1,LN(R4185/R4184),"")</f>
        <v/>
      </c>
      <c r="R4184" s="32" t="n">
        <v>5.1353</v>
      </c>
      <c r="S4184" s="35" t="n">
        <v>12.86</v>
      </c>
      <c r="T4184" s="18" t="n"/>
      <c r="U4184" s="18" t="n"/>
      <c r="V4184" s="18" t="n">
        <v>105071.19</v>
      </c>
      <c r="W4184" s="18" t="n"/>
      <c r="X4184" s="35" t="n"/>
      <c r="Y4184" s="35" t="n">
        <v>12.86</v>
      </c>
    </row>
    <row r="4185">
      <c r="A4185" s="25" t="n">
        <v>44995</v>
      </c>
      <c r="B4185" s="18" t="n">
        <v>103618.2</v>
      </c>
      <c r="C4185" s="31" t="n"/>
      <c r="D4185" s="32" t="n"/>
      <c r="E4185" s="33" t="n">
        <v>-0.0775</v>
      </c>
      <c r="F4185" t="inlineStr">
        <is>
          <t>Down</t>
        </is>
      </c>
      <c r="G4185" t="inlineStr">
        <is>
          <t>Down</t>
        </is>
      </c>
      <c r="H4185" t="inlineStr">
        <is>
          <t>ED_JD</t>
        </is>
      </c>
      <c r="I4185" t="inlineStr">
        <is>
          <t>2023-03</t>
        </is>
      </c>
      <c r="J4185" t="n">
        <v>1</v>
      </c>
      <c r="K4185" t="n">
        <v>1</v>
      </c>
      <c r="L4185" s="34">
        <f>IF($J4185=1,LN(B4186/B4185),"")</f>
        <v/>
      </c>
      <c r="M4185" s="34">
        <f>IF($K4185=1,INDEX(Mensal!$D$2:$D$245,MATCH($I4185,Mensal!$A$2:$A$245,0)),"")</f>
        <v/>
      </c>
      <c r="N4185" s="34">
        <f>IF($K4185=1,L4185-M4185,"")</f>
        <v/>
      </c>
      <c r="O4185" s="34" t="n">
        <v>0.0005078800000000001</v>
      </c>
      <c r="P4185" s="34">
        <f>IF($J4185=1,LN(1+O4185),"")</f>
        <v/>
      </c>
      <c r="Q4185" s="34">
        <f>IF($J4185=1,LN(R4186/R4185),"")</f>
        <v/>
      </c>
      <c r="R4185" s="32" t="n">
        <v>5.1822</v>
      </c>
      <c r="S4185" s="35" t="n">
        <v>13.01</v>
      </c>
      <c r="T4185" s="18" t="n"/>
      <c r="U4185" s="18" t="n"/>
      <c r="V4185" s="18" t="n">
        <v>103618.2</v>
      </c>
      <c r="W4185" s="18" t="n"/>
      <c r="X4185" s="35" t="n"/>
      <c r="Y4185" s="35" t="n">
        <v>13.01</v>
      </c>
    </row>
    <row r="4186">
      <c r="A4186" s="25" t="n">
        <v>44998</v>
      </c>
      <c r="B4186" s="18" t="n">
        <v>103121.36</v>
      </c>
      <c r="C4186" s="31" t="n"/>
      <c r="D4186" s="32" t="n"/>
      <c r="E4186" s="33" t="n">
        <v>-0.008500000000000001</v>
      </c>
      <c r="F4186" t="inlineStr">
        <is>
          <t>Down</t>
        </is>
      </c>
      <c r="G4186" t="inlineStr">
        <is>
          <t>Down</t>
        </is>
      </c>
      <c r="H4186" t="inlineStr">
        <is>
          <t>ED_JD</t>
        </is>
      </c>
      <c r="I4186" t="inlineStr">
        <is>
          <t>2023-03</t>
        </is>
      </c>
      <c r="J4186" t="n">
        <v>1</v>
      </c>
      <c r="K4186" t="n">
        <v>1</v>
      </c>
      <c r="L4186" s="34">
        <f>IF($J4186=1,LN(B4187/B4186),"")</f>
        <v/>
      </c>
      <c r="M4186" s="34">
        <f>IF($K4186=1,INDEX(Mensal!$D$2:$D$245,MATCH($I4186,Mensal!$A$2:$A$245,0)),"")</f>
        <v/>
      </c>
      <c r="N4186" s="34">
        <f>IF($K4186=1,L4186-M4186,"")</f>
        <v/>
      </c>
      <c r="O4186" s="34" t="n">
        <v>0.0005078800000000001</v>
      </c>
      <c r="P4186" s="34">
        <f>IF($J4186=1,LN(1+O4186),"")</f>
        <v/>
      </c>
      <c r="Q4186" s="34">
        <f>IF($J4186=1,LN(R4187/R4186),"")</f>
        <v/>
      </c>
      <c r="R4186" s="32" t="n">
        <v>5.24</v>
      </c>
      <c r="S4186" s="35" t="n">
        <v>12.84</v>
      </c>
      <c r="T4186" s="18" t="n"/>
      <c r="U4186" s="18" t="n"/>
      <c r="V4186" s="18" t="n">
        <v>103121.36</v>
      </c>
      <c r="W4186" s="18" t="n"/>
      <c r="X4186" s="35" t="n"/>
      <c r="Y4186" s="35" t="n">
        <v>12.84</v>
      </c>
    </row>
    <row r="4187">
      <c r="A4187" s="25" t="n">
        <v>44999</v>
      </c>
      <c r="B4187" s="18" t="n">
        <v>102932.38</v>
      </c>
      <c r="C4187" s="31" t="n"/>
      <c r="D4187" s="32" t="n"/>
      <c r="E4187" s="33" t="n">
        <v>0.0608</v>
      </c>
      <c r="F4187" t="inlineStr">
        <is>
          <t>Down</t>
        </is>
      </c>
      <c r="G4187" t="inlineStr">
        <is>
          <t>Down</t>
        </is>
      </c>
      <c r="H4187" t="inlineStr">
        <is>
          <t>ED_JD</t>
        </is>
      </c>
      <c r="I4187" t="inlineStr">
        <is>
          <t>2023-03</t>
        </is>
      </c>
      <c r="J4187" t="n">
        <v>1</v>
      </c>
      <c r="K4187" t="n">
        <v>1</v>
      </c>
      <c r="L4187" s="34">
        <f>IF($J4187=1,LN(B4188/B4187),"")</f>
        <v/>
      </c>
      <c r="M4187" s="34">
        <f>IF($K4187=1,INDEX(Mensal!$D$2:$D$245,MATCH($I4187,Mensal!$A$2:$A$245,0)),"")</f>
        <v/>
      </c>
      <c r="N4187" s="34">
        <f>IF($K4187=1,L4187-M4187,"")</f>
        <v/>
      </c>
      <c r="O4187" s="34" t="n">
        <v>0.0005078800000000001</v>
      </c>
      <c r="P4187" s="34">
        <f>IF($J4187=1,LN(1+O4187),"")</f>
        <v/>
      </c>
      <c r="Q4187" s="34">
        <f>IF($J4187=1,LN(R4188/R4187),"")</f>
        <v/>
      </c>
      <c r="R4187" s="32" t="n">
        <v>5.2362</v>
      </c>
      <c r="S4187" s="35" t="n">
        <v>12.88</v>
      </c>
      <c r="T4187" s="18" t="n"/>
      <c r="U4187" s="18" t="n"/>
      <c r="V4187" s="18" t="n">
        <v>102932.38</v>
      </c>
      <c r="W4187" s="18" t="n"/>
      <c r="X4187" s="35" t="n"/>
      <c r="Y4187" s="35" t="n">
        <v>12.88</v>
      </c>
    </row>
    <row r="4188">
      <c r="A4188" s="25" t="n">
        <v>45000</v>
      </c>
      <c r="B4188" s="18" t="n">
        <v>102675.45</v>
      </c>
      <c r="C4188" s="31" t="n"/>
      <c r="D4188" s="32" t="n"/>
      <c r="E4188" s="33" t="n">
        <v>0.0929</v>
      </c>
      <c r="F4188" t="inlineStr">
        <is>
          <t>Down</t>
        </is>
      </c>
      <c r="G4188" t="inlineStr">
        <is>
          <t>Down</t>
        </is>
      </c>
      <c r="H4188" t="inlineStr">
        <is>
          <t>ED_JD</t>
        </is>
      </c>
      <c r="I4188" t="inlineStr">
        <is>
          <t>2023-03</t>
        </is>
      </c>
      <c r="J4188" t="n">
        <v>1</v>
      </c>
      <c r="K4188" t="n">
        <v>1</v>
      </c>
      <c r="L4188" s="34">
        <f>IF($J4188=1,LN(B4189/B4188),"")</f>
        <v/>
      </c>
      <c r="M4188" s="34">
        <f>IF($K4188=1,INDEX(Mensal!$D$2:$D$245,MATCH($I4188,Mensal!$A$2:$A$245,0)),"")</f>
        <v/>
      </c>
      <c r="N4188" s="34">
        <f>IF($K4188=1,L4188-M4188,"")</f>
        <v/>
      </c>
      <c r="O4188" s="34" t="n">
        <v>0.0005078800000000001</v>
      </c>
      <c r="P4188" s="34">
        <f>IF($J4188=1,LN(1+O4188),"")</f>
        <v/>
      </c>
      <c r="Q4188" s="34">
        <f>IF($J4188=1,LN(R4189/R4188),"")</f>
        <v/>
      </c>
      <c r="R4188" s="32" t="n">
        <v>5.2981</v>
      </c>
      <c r="S4188" s="35" t="n">
        <v>12.75</v>
      </c>
      <c r="T4188" s="18" t="n"/>
      <c r="U4188" s="18" t="n"/>
      <c r="V4188" s="18" t="n">
        <v>102675.45</v>
      </c>
      <c r="W4188" s="18" t="n"/>
      <c r="X4188" s="35" t="n"/>
      <c r="Y4188" s="35" t="n">
        <v>12.75</v>
      </c>
    </row>
    <row r="4189">
      <c r="A4189" s="25" t="n">
        <v>45001</v>
      </c>
      <c r="B4189" s="18" t="n">
        <v>103434.66</v>
      </c>
      <c r="C4189" s="31" t="n"/>
      <c r="D4189" s="32" t="n"/>
      <c r="E4189" s="33" t="n">
        <v>0.1234</v>
      </c>
      <c r="F4189" t="inlineStr">
        <is>
          <t>Down</t>
        </is>
      </c>
      <c r="G4189" t="inlineStr">
        <is>
          <t>Down</t>
        </is>
      </c>
      <c r="H4189" t="inlineStr">
        <is>
          <t>ED_JD</t>
        </is>
      </c>
      <c r="I4189" t="inlineStr">
        <is>
          <t>2023-03</t>
        </is>
      </c>
      <c r="J4189" t="n">
        <v>1</v>
      </c>
      <c r="K4189" t="n">
        <v>1</v>
      </c>
      <c r="L4189" s="34">
        <f>IF($J4189=1,LN(B4190/B4189),"")</f>
        <v/>
      </c>
      <c r="M4189" s="34">
        <f>IF($K4189=1,INDEX(Mensal!$D$2:$D$245,MATCH($I4189,Mensal!$A$2:$A$245,0)),"")</f>
        <v/>
      </c>
      <c r="N4189" s="34">
        <f>IF($K4189=1,L4189-M4189,"")</f>
        <v/>
      </c>
      <c r="O4189" s="34" t="n">
        <v>0.0005078800000000001</v>
      </c>
      <c r="P4189" s="34">
        <f>IF($J4189=1,LN(1+O4189),"")</f>
        <v/>
      </c>
      <c r="Q4189" s="34">
        <f>IF($J4189=1,LN(R4190/R4189),"")</f>
        <v/>
      </c>
      <c r="R4189" s="32" t="n">
        <v>5.2892</v>
      </c>
      <c r="S4189" s="35" t="n">
        <v>12.84</v>
      </c>
      <c r="T4189" s="18" t="n"/>
      <c r="U4189" s="18" t="n"/>
      <c r="V4189" s="18" t="n">
        <v>103434.66</v>
      </c>
      <c r="W4189" s="18" t="n"/>
      <c r="X4189" s="35" t="n"/>
      <c r="Y4189" s="35" t="n">
        <v>12.84</v>
      </c>
    </row>
    <row r="4190">
      <c r="A4190" s="25" t="n">
        <v>45005</v>
      </c>
      <c r="B4190" s="18" t="n">
        <v>100922.89</v>
      </c>
      <c r="C4190" s="31" t="n"/>
      <c r="D4190" s="32" t="n"/>
      <c r="E4190" s="33" t="n">
        <v>0.184</v>
      </c>
      <c r="F4190" t="inlineStr">
        <is>
          <t>Down</t>
        </is>
      </c>
      <c r="G4190" t="inlineStr">
        <is>
          <t>Down</t>
        </is>
      </c>
      <c r="H4190" t="inlineStr">
        <is>
          <t>ED_JD</t>
        </is>
      </c>
      <c r="I4190" t="inlineStr">
        <is>
          <t>2023-03</t>
        </is>
      </c>
      <c r="J4190" t="n">
        <v>1</v>
      </c>
      <c r="K4190" t="n">
        <v>1</v>
      </c>
      <c r="L4190" s="34">
        <f>IF($J4190=1,LN(B4191/B4190),"")</f>
        <v/>
      </c>
      <c r="M4190" s="34">
        <f>IF($K4190=1,INDEX(Mensal!$D$2:$D$245,MATCH($I4190,Mensal!$A$2:$A$245,0)),"")</f>
        <v/>
      </c>
      <c r="N4190" s="34">
        <f>IF($K4190=1,L4190-M4190,"")</f>
        <v/>
      </c>
      <c r="O4190" s="34" t="n">
        <v>0.0005078800000000001</v>
      </c>
      <c r="P4190" s="34">
        <f>IF($J4190=1,LN(1+O4190),"")</f>
        <v/>
      </c>
      <c r="Q4190" s="34">
        <f>IF($J4190=1,LN(R4191/R4190),"")</f>
        <v/>
      </c>
      <c r="R4190" s="32" t="n">
        <v>5.2467</v>
      </c>
      <c r="S4190" s="35" t="n">
        <v>12.76</v>
      </c>
      <c r="T4190" s="18" t="n"/>
      <c r="U4190" s="18" t="n"/>
      <c r="V4190" s="18" t="n">
        <v>100922.89</v>
      </c>
      <c r="W4190" s="18" t="n"/>
      <c r="X4190" s="35" t="n"/>
      <c r="Y4190" s="35" t="n">
        <v>12.76</v>
      </c>
    </row>
    <row r="4191">
      <c r="A4191" s="25" t="n">
        <v>45006</v>
      </c>
      <c r="B4191" s="18" t="n">
        <v>100998.13</v>
      </c>
      <c r="C4191" s="31" t="n"/>
      <c r="D4191" s="32" t="n"/>
      <c r="E4191" s="33" t="n">
        <v>0.2091</v>
      </c>
      <c r="F4191" t="inlineStr">
        <is>
          <t>Down</t>
        </is>
      </c>
      <c r="G4191" t="inlineStr">
        <is>
          <t>Down</t>
        </is>
      </c>
      <c r="H4191" t="inlineStr">
        <is>
          <t>ED_JD</t>
        </is>
      </c>
      <c r="I4191" t="inlineStr">
        <is>
          <t>2023-03</t>
        </is>
      </c>
      <c r="J4191" t="n">
        <v>1</v>
      </c>
      <c r="K4191" t="n">
        <v>1</v>
      </c>
      <c r="L4191" s="34">
        <f>IF($J4191=1,LN(B4192/B4191),"")</f>
        <v/>
      </c>
      <c r="M4191" s="34">
        <f>IF($K4191=1,INDEX(Mensal!$D$2:$D$245,MATCH($I4191,Mensal!$A$2:$A$245,0)),"")</f>
        <v/>
      </c>
      <c r="N4191" s="34">
        <f>IF($K4191=1,L4191-M4191,"")</f>
        <v/>
      </c>
      <c r="O4191" s="34" t="n">
        <v>0.0005078800000000001</v>
      </c>
      <c r="P4191" s="34">
        <f>IF($J4191=1,LN(1+O4191),"")</f>
        <v/>
      </c>
      <c r="Q4191" s="34">
        <f>IF($J4191=1,LN(R4192/R4191),"")</f>
        <v/>
      </c>
      <c r="R4191" s="32" t="n">
        <v>5.2444</v>
      </c>
      <c r="S4191" s="35" t="n">
        <v>12.78</v>
      </c>
      <c r="T4191" s="18" t="n"/>
      <c r="U4191" s="18" t="n"/>
      <c r="V4191" s="18" t="n">
        <v>100998.13</v>
      </c>
      <c r="W4191" s="18" t="n"/>
      <c r="X4191" s="35" t="n"/>
      <c r="Y4191" s="35" t="n">
        <v>12.78</v>
      </c>
    </row>
    <row r="4192">
      <c r="A4192" s="25" t="n">
        <v>45007</v>
      </c>
      <c r="B4192" s="18" t="n">
        <v>100220.63</v>
      </c>
      <c r="C4192" s="31" t="n"/>
      <c r="D4192" s="32" t="n"/>
      <c r="E4192" s="33" t="n">
        <v>0.222</v>
      </c>
      <c r="F4192" t="inlineStr">
        <is>
          <t>Down</t>
        </is>
      </c>
      <c r="G4192" t="inlineStr">
        <is>
          <t>Down</t>
        </is>
      </c>
      <c r="H4192" t="inlineStr">
        <is>
          <t>ED_JD</t>
        </is>
      </c>
      <c r="I4192" t="inlineStr">
        <is>
          <t>2023-03</t>
        </is>
      </c>
      <c r="J4192" t="n">
        <v>1</v>
      </c>
      <c r="K4192" t="n">
        <v>1</v>
      </c>
      <c r="L4192" s="34">
        <f>IF($J4192=1,LN(B4193/B4192),"")</f>
        <v/>
      </c>
      <c r="M4192" s="34">
        <f>IF($K4192=1,INDEX(Mensal!$D$2:$D$245,MATCH($I4192,Mensal!$A$2:$A$245,0)),"")</f>
        <v/>
      </c>
      <c r="N4192" s="34">
        <f>IF($K4192=1,L4192-M4192,"")</f>
        <v/>
      </c>
      <c r="O4192" s="34" t="n">
        <v>0.0005078800000000001</v>
      </c>
      <c r="P4192" s="34">
        <f>IF($J4192=1,LN(1+O4192),"")</f>
        <v/>
      </c>
      <c r="Q4192" s="34">
        <f>IF($J4192=1,LN(R4193/R4192),"")</f>
        <v/>
      </c>
      <c r="R4192" s="32" t="n">
        <v>5.2648</v>
      </c>
      <c r="S4192" s="35" t="n">
        <v>12.79</v>
      </c>
      <c r="T4192" s="18" t="n"/>
      <c r="U4192" s="18" t="n"/>
      <c r="V4192" s="18" t="n">
        <v>100220.63</v>
      </c>
      <c r="W4192" s="18" t="n"/>
      <c r="X4192" s="35" t="n"/>
      <c r="Y4192" s="35" t="n">
        <v>12.79</v>
      </c>
    </row>
    <row r="4193">
      <c r="A4193" s="25" t="n">
        <v>45008</v>
      </c>
      <c r="B4193" s="18" t="n">
        <v>97926.34</v>
      </c>
      <c r="C4193" s="31" t="n"/>
      <c r="D4193" s="32" t="n"/>
      <c r="E4193" s="33" t="n">
        <v>0.2363</v>
      </c>
      <c r="F4193" t="inlineStr">
        <is>
          <t>Down</t>
        </is>
      </c>
      <c r="G4193" t="inlineStr">
        <is>
          <t>Down</t>
        </is>
      </c>
      <c r="H4193" t="inlineStr">
        <is>
          <t>ED_JD</t>
        </is>
      </c>
      <c r="I4193" t="inlineStr">
        <is>
          <t>2023-03</t>
        </is>
      </c>
      <c r="J4193" t="n">
        <v>1</v>
      </c>
      <c r="K4193" t="n">
        <v>1</v>
      </c>
      <c r="L4193" s="34">
        <f>IF($J4193=1,LN(B4194/B4193),"")</f>
        <v/>
      </c>
      <c r="M4193" s="34">
        <f>IF($K4193=1,INDEX(Mensal!$D$2:$D$245,MATCH($I4193,Mensal!$A$2:$A$245,0)),"")</f>
        <v/>
      </c>
      <c r="N4193" s="34">
        <f>IF($K4193=1,L4193-M4193,"")</f>
        <v/>
      </c>
      <c r="O4193" s="34" t="n">
        <v>0.0005078800000000001</v>
      </c>
      <c r="P4193" s="34">
        <f>IF($J4193=1,LN(1+O4193),"")</f>
        <v/>
      </c>
      <c r="Q4193" s="34">
        <f>IF($J4193=1,LN(R4194/R4193),"")</f>
        <v/>
      </c>
      <c r="R4193" s="32" t="n">
        <v>5.2632</v>
      </c>
      <c r="S4193" s="35" t="n">
        <v>12.96</v>
      </c>
      <c r="T4193" s="18" t="n"/>
      <c r="U4193" s="18" t="n"/>
      <c r="V4193" s="18" t="n">
        <v>97926.34</v>
      </c>
      <c r="W4193" s="18" t="n"/>
      <c r="X4193" s="35" t="n"/>
      <c r="Y4193" s="35" t="n">
        <v>12.96</v>
      </c>
    </row>
    <row r="4194">
      <c r="A4194" s="25" t="n">
        <v>45009</v>
      </c>
      <c r="B4194" s="18" t="n">
        <v>98829.27</v>
      </c>
      <c r="C4194" s="31" t="n"/>
      <c r="D4194" s="32" t="n"/>
      <c r="E4194" s="33" t="n">
        <v>0.2447</v>
      </c>
      <c r="F4194" t="inlineStr">
        <is>
          <t>Down</t>
        </is>
      </c>
      <c r="G4194" t="inlineStr">
        <is>
          <t>Down</t>
        </is>
      </c>
      <c r="H4194" t="inlineStr">
        <is>
          <t>ED_JD</t>
        </is>
      </c>
      <c r="I4194" t="inlineStr">
        <is>
          <t>2023-03</t>
        </is>
      </c>
      <c r="J4194" t="n">
        <v>1</v>
      </c>
      <c r="K4194" t="n">
        <v>1</v>
      </c>
      <c r="L4194" s="34">
        <f>IF($J4194=1,LN(B4195/B4194),"")</f>
        <v/>
      </c>
      <c r="M4194" s="34">
        <f>IF($K4194=1,INDEX(Mensal!$D$2:$D$245,MATCH($I4194,Mensal!$A$2:$A$245,0)),"")</f>
        <v/>
      </c>
      <c r="N4194" s="34">
        <f>IF($K4194=1,L4194-M4194,"")</f>
        <v/>
      </c>
      <c r="O4194" s="34" t="n">
        <v>0.0005078800000000001</v>
      </c>
      <c r="P4194" s="34">
        <f>IF($J4194=1,LN(1+O4194),"")</f>
        <v/>
      </c>
      <c r="Q4194" s="34">
        <f>IF($J4194=1,LN(R4195/R4194),"")</f>
        <v/>
      </c>
      <c r="R4194" s="32" t="n">
        <v>5.2921</v>
      </c>
      <c r="S4194" s="35" t="n">
        <v>12.82</v>
      </c>
      <c r="T4194" s="18" t="n"/>
      <c r="U4194" s="18" t="n"/>
      <c r="V4194" s="18" t="n">
        <v>98829.27</v>
      </c>
      <c r="W4194" s="18" t="n"/>
      <c r="X4194" s="35" t="n"/>
      <c r="Y4194" s="35" t="n">
        <v>12.82</v>
      </c>
    </row>
    <row r="4195">
      <c r="A4195" s="25" t="n">
        <v>45012</v>
      </c>
      <c r="B4195" s="18" t="n">
        <v>99670.47</v>
      </c>
      <c r="C4195" s="31" t="n"/>
      <c r="D4195" s="32" t="n"/>
      <c r="E4195" s="33" t="n">
        <v>0.2625</v>
      </c>
      <c r="F4195" t="inlineStr">
        <is>
          <t>Down</t>
        </is>
      </c>
      <c r="G4195" t="inlineStr">
        <is>
          <t>Down</t>
        </is>
      </c>
      <c r="H4195" t="inlineStr">
        <is>
          <t>ED_JD</t>
        </is>
      </c>
      <c r="I4195" t="inlineStr">
        <is>
          <t>2023-03</t>
        </is>
      </c>
      <c r="J4195" t="n">
        <v>1</v>
      </c>
      <c r="K4195" t="n">
        <v>1</v>
      </c>
      <c r="L4195" s="34">
        <f>IF($J4195=1,LN(B4196/B4195),"")</f>
        <v/>
      </c>
      <c r="M4195" s="34">
        <f>IF($K4195=1,INDEX(Mensal!$D$2:$D$245,MATCH($I4195,Mensal!$A$2:$A$245,0)),"")</f>
        <v/>
      </c>
      <c r="N4195" s="34">
        <f>IF($K4195=1,L4195-M4195,"")</f>
        <v/>
      </c>
      <c r="O4195" s="34" t="n">
        <v>0.0005078800000000001</v>
      </c>
      <c r="P4195" s="34">
        <f>IF($J4195=1,LN(1+O4195),"")</f>
        <v/>
      </c>
      <c r="Q4195" s="34">
        <f>IF($J4195=1,LN(R4196/R4195),"")</f>
        <v/>
      </c>
      <c r="R4195" s="32" t="n">
        <v>5.2306</v>
      </c>
      <c r="S4195" s="35" t="n">
        <v>12.76</v>
      </c>
      <c r="T4195" s="18" t="n"/>
      <c r="U4195" s="18" t="n"/>
      <c r="V4195" s="18" t="n">
        <v>99670.47</v>
      </c>
      <c r="W4195" s="18" t="n"/>
      <c r="X4195" s="35" t="n"/>
      <c r="Y4195" s="35" t="n">
        <v>12.76</v>
      </c>
    </row>
    <row r="4196">
      <c r="A4196" s="25" t="n">
        <v>45013</v>
      </c>
      <c r="B4196" s="18" t="n">
        <v>101185.09</v>
      </c>
      <c r="C4196" s="31" t="n"/>
      <c r="D4196" s="32" t="n"/>
      <c r="E4196" s="33" t="n">
        <v>0.2755</v>
      </c>
      <c r="F4196" t="inlineStr">
        <is>
          <t>Down</t>
        </is>
      </c>
      <c r="G4196" t="inlineStr">
        <is>
          <t>Down</t>
        </is>
      </c>
      <c r="H4196" t="inlineStr">
        <is>
          <t>ED_JD</t>
        </is>
      </c>
      <c r="I4196" t="inlineStr">
        <is>
          <t>2023-03</t>
        </is>
      </c>
      <c r="J4196" t="n">
        <v>1</v>
      </c>
      <c r="K4196" t="n">
        <v>1</v>
      </c>
      <c r="L4196" s="34">
        <f>IF($J4196=1,LN(B4197/B4196),"")</f>
        <v/>
      </c>
      <c r="M4196" s="34">
        <f>IF($K4196=1,INDEX(Mensal!$D$2:$D$245,MATCH($I4196,Mensal!$A$2:$A$245,0)),"")</f>
        <v/>
      </c>
      <c r="N4196" s="34">
        <f>IF($K4196=1,L4196-M4196,"")</f>
        <v/>
      </c>
      <c r="O4196" s="34" t="n">
        <v>0.0005078800000000001</v>
      </c>
      <c r="P4196" s="34">
        <f>IF($J4196=1,LN(1+O4196),"")</f>
        <v/>
      </c>
      <c r="Q4196" s="34">
        <f>IF($J4196=1,LN(R4197/R4196),"")</f>
        <v/>
      </c>
      <c r="R4196" s="32" t="n">
        <v>5.1733</v>
      </c>
      <c r="S4196" s="35" t="n">
        <v>12.86</v>
      </c>
      <c r="T4196" s="18" t="n"/>
      <c r="U4196" s="18" t="n"/>
      <c r="V4196" s="18" t="n">
        <v>101185.09</v>
      </c>
      <c r="W4196" s="18" t="n"/>
      <c r="X4196" s="35" t="n"/>
      <c r="Y4196" s="35" t="n">
        <v>12.86</v>
      </c>
    </row>
    <row r="4197">
      <c r="A4197" s="25" t="n">
        <v>45014</v>
      </c>
      <c r="B4197" s="18" t="n">
        <v>101792.52</v>
      </c>
      <c r="C4197" s="31" t="n"/>
      <c r="D4197" s="32" t="n"/>
      <c r="E4197" s="33" t="n">
        <v>0.2861</v>
      </c>
      <c r="F4197" t="inlineStr">
        <is>
          <t>Down</t>
        </is>
      </c>
      <c r="G4197" t="inlineStr">
        <is>
          <t>Down</t>
        </is>
      </c>
      <c r="H4197" t="inlineStr">
        <is>
          <t>ED_JD</t>
        </is>
      </c>
      <c r="I4197" t="inlineStr">
        <is>
          <t>2023-03</t>
        </is>
      </c>
      <c r="J4197" t="n">
        <v>1</v>
      </c>
      <c r="K4197" t="n">
        <v>1</v>
      </c>
      <c r="L4197" s="34">
        <f>IF($J4197=1,LN(B4198/B4197),"")</f>
        <v/>
      </c>
      <c r="M4197" s="34">
        <f>IF($K4197=1,INDEX(Mensal!$D$2:$D$245,MATCH($I4197,Mensal!$A$2:$A$245,0)),"")</f>
        <v/>
      </c>
      <c r="N4197" s="34">
        <f>IF($K4197=1,L4197-M4197,"")</f>
        <v/>
      </c>
      <c r="O4197" s="34" t="n">
        <v>0.0005078800000000001</v>
      </c>
      <c r="P4197" s="34">
        <f>IF($J4197=1,LN(1+O4197),"")</f>
        <v/>
      </c>
      <c r="Q4197" s="34">
        <f>IF($J4197=1,LN(R4198/R4197),"")</f>
        <v/>
      </c>
      <c r="R4197" s="32" t="n">
        <v>5.1493</v>
      </c>
      <c r="S4197" s="35" t="n">
        <v>12.97</v>
      </c>
      <c r="T4197" s="18" t="n"/>
      <c r="U4197" s="18" t="n"/>
      <c r="V4197" s="18" t="n">
        <v>101792.52</v>
      </c>
      <c r="W4197" s="18" t="n"/>
      <c r="X4197" s="35" t="n"/>
      <c r="Y4197" s="35" t="n">
        <v>12.97</v>
      </c>
    </row>
    <row r="4198">
      <c r="A4198" s="25" t="n">
        <v>45015</v>
      </c>
      <c r="B4198" s="18" t="n">
        <v>103713.45</v>
      </c>
      <c r="C4198" s="31" t="n"/>
      <c r="D4198" s="32" t="n"/>
      <c r="E4198" s="33" t="n">
        <v>0.2958</v>
      </c>
      <c r="F4198" t="inlineStr">
        <is>
          <t>Down</t>
        </is>
      </c>
      <c r="G4198" t="inlineStr">
        <is>
          <t>Down</t>
        </is>
      </c>
      <c r="H4198" t="inlineStr">
        <is>
          <t>ED_JD</t>
        </is>
      </c>
      <c r="I4198" t="inlineStr">
        <is>
          <t>2023-03</t>
        </is>
      </c>
      <c r="J4198" t="n">
        <v>1</v>
      </c>
      <c r="K4198" t="n">
        <v>1</v>
      </c>
      <c r="L4198" s="34">
        <f>IF($J4198=1,LN(B4199/B4198),"")</f>
        <v/>
      </c>
      <c r="M4198" s="34">
        <f>IF($K4198=1,INDEX(Mensal!$D$2:$D$245,MATCH($I4198,Mensal!$A$2:$A$245,0)),"")</f>
        <v/>
      </c>
      <c r="N4198" s="34">
        <f>IF($K4198=1,L4198-M4198,"")</f>
        <v/>
      </c>
      <c r="O4198" s="34" t="n">
        <v>0.0005078800000000001</v>
      </c>
      <c r="P4198" s="34">
        <f>IF($J4198=1,LN(1+O4198),"")</f>
        <v/>
      </c>
      <c r="Q4198" s="34">
        <f>IF($J4198=1,LN(R4199/R4198),"")</f>
        <v/>
      </c>
      <c r="R4198" s="32" t="n">
        <v>5.1254</v>
      </c>
      <c r="S4198" s="35" t="n">
        <v>12.85</v>
      </c>
      <c r="T4198" s="18" t="n"/>
      <c r="U4198" s="18" t="n"/>
      <c r="V4198" s="18" t="n">
        <v>103713.45</v>
      </c>
      <c r="W4198" s="18" t="n"/>
      <c r="X4198" s="35" t="n"/>
      <c r="Y4198" s="35" t="n">
        <v>12.85</v>
      </c>
    </row>
    <row r="4199">
      <c r="A4199" s="25" t="n">
        <v>45016</v>
      </c>
      <c r="B4199" s="18" t="n">
        <v>101882.2</v>
      </c>
      <c r="C4199" s="31" t="n"/>
      <c r="D4199" s="32" t="n"/>
      <c r="E4199" s="33" t="n">
        <v>0.3047</v>
      </c>
      <c r="F4199" t="inlineStr">
        <is>
          <t>Down</t>
        </is>
      </c>
      <c r="G4199" t="inlineStr">
        <is>
          <t>Down</t>
        </is>
      </c>
      <c r="H4199" t="inlineStr">
        <is>
          <t>ED_JD</t>
        </is>
      </c>
      <c r="I4199" t="inlineStr">
        <is>
          <t>2023-03</t>
        </is>
      </c>
      <c r="J4199" t="n">
        <v>1</v>
      </c>
      <c r="K4199" t="n">
        <v>1</v>
      </c>
      <c r="L4199" s="34">
        <f>IF($J4199=1,LN(B4200/B4199),"")</f>
        <v/>
      </c>
      <c r="M4199" s="34">
        <f>IF($K4199=1,INDEX(Mensal!$D$2:$D$245,MATCH($I4199,Mensal!$A$2:$A$245,0)),"")</f>
        <v/>
      </c>
      <c r="N4199" s="34">
        <f>IF($K4199=1,L4199-M4199,"")</f>
        <v/>
      </c>
      <c r="O4199" s="34" t="n">
        <v>0.0005078800000000001</v>
      </c>
      <c r="P4199" s="34">
        <f>IF($J4199=1,LN(1+O4199),"")</f>
        <v/>
      </c>
      <c r="Q4199" s="34">
        <f>IF($J4199=1,LN(R4200/R4199),"")</f>
        <v/>
      </c>
      <c r="R4199" s="32" t="n">
        <v>5.0804</v>
      </c>
      <c r="S4199" s="35" t="n">
        <v>12.9</v>
      </c>
      <c r="T4199" s="18" t="n"/>
      <c r="U4199" s="18" t="n"/>
      <c r="V4199" s="18" t="n">
        <v>101882.2</v>
      </c>
      <c r="W4199" s="18" t="n"/>
      <c r="X4199" s="35" t="n"/>
      <c r="Y4199" s="35" t="n">
        <v>12.9</v>
      </c>
    </row>
    <row r="4200">
      <c r="A4200" s="25" t="n">
        <v>45020</v>
      </c>
      <c r="B4200" s="18" t="n">
        <v>101869.45</v>
      </c>
      <c r="C4200" s="31" t="n"/>
      <c r="D4200" s="32" t="n"/>
      <c r="E4200" s="33" t="n">
        <v>0.341</v>
      </c>
      <c r="F4200" t="inlineStr">
        <is>
          <t>Down</t>
        </is>
      </c>
      <c r="G4200" t="inlineStr">
        <is>
          <t>Down</t>
        </is>
      </c>
      <c r="H4200" t="inlineStr">
        <is>
          <t>ED_JD</t>
        </is>
      </c>
      <c r="I4200" t="inlineStr">
        <is>
          <t>2023-04</t>
        </is>
      </c>
      <c r="J4200" t="n">
        <v>1</v>
      </c>
      <c r="K4200" t="n">
        <v>1</v>
      </c>
      <c r="L4200" s="34">
        <f>IF($J4200=1,LN(B4201/B4200),"")</f>
        <v/>
      </c>
      <c r="M4200" s="34">
        <f>IF($K4200=1,INDEX(Mensal!$D$2:$D$245,MATCH($I4200,Mensal!$A$2:$A$245,0)),"")</f>
        <v/>
      </c>
      <c r="N4200" s="34">
        <f>IF($K4200=1,L4200-M4200,"")</f>
        <v/>
      </c>
      <c r="O4200" s="34" t="n">
        <v>0.0005078800000000001</v>
      </c>
      <c r="P4200" s="34">
        <f>IF($J4200=1,LN(1+O4200),"")</f>
        <v/>
      </c>
      <c r="Q4200" s="34">
        <f>IF($J4200=1,LN(R4201/R4200),"")</f>
        <v/>
      </c>
      <c r="R4200" s="32" t="n">
        <v>5.0762</v>
      </c>
      <c r="S4200" s="35" t="n">
        <v>12.91</v>
      </c>
      <c r="T4200" s="18" t="n"/>
      <c r="U4200" s="18" t="n"/>
      <c r="V4200" s="18" t="n">
        <v>101869.45</v>
      </c>
      <c r="W4200" s="18" t="n"/>
      <c r="X4200" s="35" t="n"/>
      <c r="Y4200" s="35" t="n">
        <v>12.91</v>
      </c>
    </row>
    <row r="4201">
      <c r="A4201" s="25" t="n">
        <v>45021</v>
      </c>
      <c r="B4201" s="18" t="n">
        <v>100977.85</v>
      </c>
      <c r="C4201" s="31" t="n"/>
      <c r="D4201" s="32" t="n"/>
      <c r="E4201" s="33" t="n">
        <v>0.3428</v>
      </c>
      <c r="F4201" t="inlineStr">
        <is>
          <t>Down</t>
        </is>
      </c>
      <c r="G4201" t="inlineStr">
        <is>
          <t>Down</t>
        </is>
      </c>
      <c r="H4201" t="inlineStr">
        <is>
          <t>ED_JD</t>
        </is>
      </c>
      <c r="I4201" t="inlineStr">
        <is>
          <t>2023-04</t>
        </is>
      </c>
      <c r="J4201" t="n">
        <v>1</v>
      </c>
      <c r="K4201" t="n">
        <v>1</v>
      </c>
      <c r="L4201" s="34">
        <f>IF($J4201=1,LN(B4202/B4201),"")</f>
        <v/>
      </c>
      <c r="M4201" s="34">
        <f>IF($K4201=1,INDEX(Mensal!$D$2:$D$245,MATCH($I4201,Mensal!$A$2:$A$245,0)),"")</f>
        <v/>
      </c>
      <c r="N4201" s="34">
        <f>IF($K4201=1,L4201-M4201,"")</f>
        <v/>
      </c>
      <c r="O4201" s="34" t="n">
        <v>0.0005078800000000001</v>
      </c>
      <c r="P4201" s="34">
        <f>IF($J4201=1,LN(1+O4201),"")</f>
        <v/>
      </c>
      <c r="Q4201" s="34">
        <f>IF($J4201=1,LN(R4202/R4201),"")</f>
        <v/>
      </c>
      <c r="R4201" s="32" t="n">
        <v>5.0447</v>
      </c>
      <c r="S4201" s="35" t="n">
        <v>12.9</v>
      </c>
      <c r="T4201" s="18" t="n"/>
      <c r="U4201" s="18" t="n"/>
      <c r="V4201" s="18" t="n">
        <v>100977.85</v>
      </c>
      <c r="W4201" s="18" t="n"/>
      <c r="X4201" s="35" t="n"/>
      <c r="Y4201" s="35" t="n">
        <v>12.9</v>
      </c>
    </row>
    <row r="4202">
      <c r="A4202" s="25" t="n">
        <v>45022</v>
      </c>
      <c r="B4202" s="18" t="n">
        <v>100821.73</v>
      </c>
      <c r="C4202" s="31" t="n"/>
      <c r="D4202" s="32" t="n"/>
      <c r="E4202" s="33" t="n">
        <v>0.3449</v>
      </c>
      <c r="F4202" t="inlineStr">
        <is>
          <t>Down</t>
        </is>
      </c>
      <c r="G4202" t="inlineStr">
        <is>
          <t>Down</t>
        </is>
      </c>
      <c r="H4202" t="inlineStr">
        <is>
          <t>ED_JD</t>
        </is>
      </c>
      <c r="I4202" t="inlineStr">
        <is>
          <t>2023-04</t>
        </is>
      </c>
      <c r="J4202" t="n">
        <v>1</v>
      </c>
      <c r="K4202" t="n">
        <v>1</v>
      </c>
      <c r="L4202" s="34">
        <f>IF($J4202=1,LN(B4203/B4202),"")</f>
        <v/>
      </c>
      <c r="M4202" s="34">
        <f>IF($K4202=1,INDEX(Mensal!$D$2:$D$245,MATCH($I4202,Mensal!$A$2:$A$245,0)),"")</f>
        <v/>
      </c>
      <c r="N4202" s="34">
        <f>IF($K4202=1,L4202-M4202,"")</f>
        <v/>
      </c>
      <c r="O4202" s="34" t="n">
        <v>0.0005078800000000001</v>
      </c>
      <c r="P4202" s="34">
        <f>IF($J4202=1,LN(1+O4202),"")</f>
        <v/>
      </c>
      <c r="Q4202" s="34">
        <f>IF($J4202=1,LN(R4203/R4202),"")</f>
        <v/>
      </c>
      <c r="R4202" s="32" t="n">
        <v>5.0683</v>
      </c>
      <c r="S4202" s="35" t="n">
        <v>12.94</v>
      </c>
      <c r="T4202" s="18" t="n"/>
      <c r="U4202" s="18" t="n"/>
      <c r="V4202" s="18" t="n">
        <v>100821.73</v>
      </c>
      <c r="W4202" s="18" t="n"/>
      <c r="X4202" s="35" t="n"/>
      <c r="Y4202" s="35" t="n">
        <v>12.94</v>
      </c>
    </row>
    <row r="4203">
      <c r="A4203" s="25" t="n">
        <v>45026</v>
      </c>
      <c r="B4203" s="18" t="n">
        <v>101846.64</v>
      </c>
      <c r="C4203" s="31" t="n"/>
      <c r="D4203" s="32" t="n"/>
      <c r="E4203" s="33" t="n">
        <v>0.3506</v>
      </c>
      <c r="F4203" t="inlineStr">
        <is>
          <t>Down</t>
        </is>
      </c>
      <c r="G4203" t="inlineStr">
        <is>
          <t>Down</t>
        </is>
      </c>
      <c r="H4203" t="inlineStr">
        <is>
          <t>ED_JD</t>
        </is>
      </c>
      <c r="I4203" t="inlineStr">
        <is>
          <t>2023-04</t>
        </is>
      </c>
      <c r="J4203" t="n">
        <v>1</v>
      </c>
      <c r="K4203" t="n">
        <v>1</v>
      </c>
      <c r="L4203" s="34">
        <f>IF($J4203=1,LN(B4204/B4203),"")</f>
        <v/>
      </c>
      <c r="M4203" s="34">
        <f>IF($K4203=1,INDEX(Mensal!$D$2:$D$245,MATCH($I4203,Mensal!$A$2:$A$245,0)),"")</f>
        <v/>
      </c>
      <c r="N4203" s="34">
        <f>IF($K4203=1,L4203-M4203,"")</f>
        <v/>
      </c>
      <c r="O4203" s="34" t="n">
        <v>0.0005078800000000001</v>
      </c>
      <c r="P4203" s="34">
        <f>IF($J4203=1,LN(1+O4203),"")</f>
        <v/>
      </c>
      <c r="Q4203" s="34">
        <f>IF($J4203=1,LN(R4204/R4203),"")</f>
        <v/>
      </c>
      <c r="R4203" s="32" t="n">
        <v>5.0834</v>
      </c>
      <c r="S4203" s="35" t="n">
        <v>12.89</v>
      </c>
      <c r="T4203" s="18" t="n"/>
      <c r="U4203" s="18" t="n"/>
      <c r="V4203" s="18" t="n">
        <v>101846.64</v>
      </c>
      <c r="W4203" s="18" t="n"/>
      <c r="X4203" s="35" t="n"/>
      <c r="Y4203" s="35" t="n">
        <v>12.89</v>
      </c>
    </row>
    <row r="4204">
      <c r="A4204" s="25" t="n">
        <v>45027</v>
      </c>
      <c r="B4204" s="18" t="n">
        <v>106213.76</v>
      </c>
      <c r="C4204" s="31" t="n"/>
      <c r="D4204" s="32" t="n"/>
      <c r="E4204" s="33" t="n">
        <v>0.3608</v>
      </c>
      <c r="F4204" t="inlineStr">
        <is>
          <t>Down</t>
        </is>
      </c>
      <c r="G4204" t="inlineStr">
        <is>
          <t>Down</t>
        </is>
      </c>
      <c r="H4204" t="inlineStr">
        <is>
          <t>ED_JD</t>
        </is>
      </c>
      <c r="I4204" t="inlineStr">
        <is>
          <t>2023-04</t>
        </is>
      </c>
      <c r="J4204" t="n">
        <v>1</v>
      </c>
      <c r="K4204" t="n">
        <v>1</v>
      </c>
      <c r="L4204" s="34">
        <f>IF($J4204=1,LN(B4205/B4204),"")</f>
        <v/>
      </c>
      <c r="M4204" s="34">
        <f>IF($K4204=1,INDEX(Mensal!$D$2:$D$245,MATCH($I4204,Mensal!$A$2:$A$245,0)),"")</f>
        <v/>
      </c>
      <c r="N4204" s="34">
        <f>IF($K4204=1,L4204-M4204,"")</f>
        <v/>
      </c>
      <c r="O4204" s="34" t="n">
        <v>0.0005078800000000001</v>
      </c>
      <c r="P4204" s="34">
        <f>IF($J4204=1,LN(1+O4204),"")</f>
        <v/>
      </c>
      <c r="Q4204" s="34">
        <f>IF($J4204=1,LN(R4205/R4204),"")</f>
        <v/>
      </c>
      <c r="R4204" s="32" t="n">
        <v>5.0128</v>
      </c>
      <c r="S4204" s="35" t="n">
        <v>12.73</v>
      </c>
      <c r="T4204" s="18" t="n"/>
      <c r="U4204" s="18" t="n"/>
      <c r="V4204" s="18" t="n">
        <v>106213.76</v>
      </c>
      <c r="W4204" s="18" t="n"/>
      <c r="X4204" s="35" t="n"/>
      <c r="Y4204" s="35" t="n">
        <v>12.73</v>
      </c>
    </row>
    <row r="4205">
      <c r="A4205" s="25" t="n">
        <v>45028</v>
      </c>
      <c r="B4205" s="18" t="n">
        <v>106889.71</v>
      </c>
      <c r="C4205" s="31" t="n"/>
      <c r="D4205" s="32" t="n"/>
      <c r="E4205" s="33" t="n">
        <v>0.3681</v>
      </c>
      <c r="F4205" t="inlineStr">
        <is>
          <t>Down</t>
        </is>
      </c>
      <c r="G4205" t="inlineStr">
        <is>
          <t>Down</t>
        </is>
      </c>
      <c r="H4205" t="inlineStr">
        <is>
          <t>ED_JD</t>
        </is>
      </c>
      <c r="I4205" t="inlineStr">
        <is>
          <t>2023-04</t>
        </is>
      </c>
      <c r="J4205" t="n">
        <v>1</v>
      </c>
      <c r="K4205" t="n">
        <v>1</v>
      </c>
      <c r="L4205" s="34">
        <f>IF($J4205=1,LN(B4206/B4205),"")</f>
        <v/>
      </c>
      <c r="M4205" s="34">
        <f>IF($K4205=1,INDEX(Mensal!$D$2:$D$245,MATCH($I4205,Mensal!$A$2:$A$245,0)),"")</f>
        <v/>
      </c>
      <c r="N4205" s="34">
        <f>IF($K4205=1,L4205-M4205,"")</f>
        <v/>
      </c>
      <c r="O4205" s="34" t="n">
        <v>0.0005078800000000001</v>
      </c>
      <c r="P4205" s="34">
        <f>IF($J4205=1,LN(1+O4205),"")</f>
        <v/>
      </c>
      <c r="Q4205" s="34">
        <f>IF($J4205=1,LN(R4206/R4205),"")</f>
        <v/>
      </c>
      <c r="R4205" s="32" t="n">
        <v>4.9496</v>
      </c>
      <c r="S4205" s="35" t="n">
        <v>12.74</v>
      </c>
      <c r="T4205" s="18" t="n"/>
      <c r="U4205" s="18" t="n"/>
      <c r="V4205" s="18" t="n">
        <v>106889.71</v>
      </c>
      <c r="W4205" s="18" t="n"/>
      <c r="X4205" s="35" t="n"/>
      <c r="Y4205" s="35" t="n">
        <v>12.74</v>
      </c>
    </row>
    <row r="4206">
      <c r="A4206" s="25" t="n">
        <v>45029</v>
      </c>
      <c r="B4206" s="18" t="n">
        <v>106457.85</v>
      </c>
      <c r="C4206" s="31" t="n"/>
      <c r="D4206" s="32" t="n"/>
      <c r="E4206" s="33" t="n">
        <v>0.3701</v>
      </c>
      <c r="F4206" t="inlineStr">
        <is>
          <t>Down</t>
        </is>
      </c>
      <c r="G4206" t="inlineStr">
        <is>
          <t>Down</t>
        </is>
      </c>
      <c r="H4206" t="inlineStr">
        <is>
          <t>ED_JD</t>
        </is>
      </c>
      <c r="I4206" t="inlineStr">
        <is>
          <t>2023-04</t>
        </is>
      </c>
      <c r="J4206" t="n">
        <v>1</v>
      </c>
      <c r="K4206" t="n">
        <v>1</v>
      </c>
      <c r="L4206" s="34">
        <f>IF($J4206=1,LN(B4207/B4206),"")</f>
        <v/>
      </c>
      <c r="M4206" s="34">
        <f>IF($K4206=1,INDEX(Mensal!$D$2:$D$245,MATCH($I4206,Mensal!$A$2:$A$245,0)),"")</f>
        <v/>
      </c>
      <c r="N4206" s="34">
        <f>IF($K4206=1,L4206-M4206,"")</f>
        <v/>
      </c>
      <c r="O4206" s="34" t="n">
        <v>0.0005078800000000001</v>
      </c>
      <c r="P4206" s="34">
        <f>IF($J4206=1,LN(1+O4206),"")</f>
        <v/>
      </c>
      <c r="Q4206" s="34">
        <f>IF($J4206=1,LN(R4207/R4206),"")</f>
        <v/>
      </c>
      <c r="R4206" s="32" t="n">
        <v>4.9097</v>
      </c>
      <c r="S4206" s="35" t="n">
        <v>12.76</v>
      </c>
      <c r="T4206" s="18" t="n"/>
      <c r="U4206" s="18" t="n"/>
      <c r="V4206" s="18" t="n">
        <v>106457.85</v>
      </c>
      <c r="W4206" s="18" t="n"/>
      <c r="X4206" s="35" t="n"/>
      <c r="Y4206" s="35" t="n">
        <v>12.76</v>
      </c>
    </row>
    <row r="4207">
      <c r="A4207" s="25" t="n">
        <v>45030</v>
      </c>
      <c r="B4207" s="18" t="n">
        <v>106279.37</v>
      </c>
      <c r="C4207" s="31" t="n"/>
      <c r="D4207" s="32" t="n"/>
      <c r="E4207" s="33" t="n">
        <v>0.3715</v>
      </c>
      <c r="F4207" t="inlineStr">
        <is>
          <t>Down</t>
        </is>
      </c>
      <c r="G4207" t="inlineStr">
        <is>
          <t>Down</t>
        </is>
      </c>
      <c r="H4207" t="inlineStr">
        <is>
          <t>ED_JD</t>
        </is>
      </c>
      <c r="I4207" t="inlineStr">
        <is>
          <t>2023-04</t>
        </is>
      </c>
      <c r="J4207" t="n">
        <v>1</v>
      </c>
      <c r="K4207" t="n">
        <v>1</v>
      </c>
      <c r="L4207" s="34">
        <f>IF($J4207=1,LN(B4208/B4207),"")</f>
        <v/>
      </c>
      <c r="M4207" s="34">
        <f>IF($K4207=1,INDEX(Mensal!$D$2:$D$245,MATCH($I4207,Mensal!$A$2:$A$245,0)),"")</f>
        <v/>
      </c>
      <c r="N4207" s="34">
        <f>IF($K4207=1,L4207-M4207,"")</f>
        <v/>
      </c>
      <c r="O4207" s="34" t="n">
        <v>0.0005078800000000001</v>
      </c>
      <c r="P4207" s="34">
        <f>IF($J4207=1,LN(1+O4207),"")</f>
        <v/>
      </c>
      <c r="Q4207" s="34">
        <f>IF($J4207=1,LN(R4208/R4207),"")</f>
        <v/>
      </c>
      <c r="R4207" s="32" t="n">
        <v>4.9455</v>
      </c>
      <c r="S4207" s="35" t="n">
        <v>12.82</v>
      </c>
      <c r="T4207" s="18" t="n"/>
      <c r="U4207" s="18" t="n"/>
      <c r="V4207" s="18" t="n">
        <v>106279.37</v>
      </c>
      <c r="W4207" s="18" t="n"/>
      <c r="X4207" s="35" t="n"/>
      <c r="Y4207" s="35" t="n">
        <v>12.82</v>
      </c>
    </row>
    <row r="4208">
      <c r="A4208" s="25" t="n">
        <v>45033</v>
      </c>
      <c r="B4208" s="18" t="n">
        <v>106015.67</v>
      </c>
      <c r="C4208" s="31" t="n"/>
      <c r="D4208" s="32" t="n"/>
      <c r="E4208" s="33" t="n">
        <v>0.3849</v>
      </c>
      <c r="F4208" t="inlineStr">
        <is>
          <t>Down</t>
        </is>
      </c>
      <c r="G4208" t="inlineStr">
        <is>
          <t>Down</t>
        </is>
      </c>
      <c r="H4208" t="inlineStr">
        <is>
          <t>ED_JD</t>
        </is>
      </c>
      <c r="I4208" t="inlineStr">
        <is>
          <t>2023-04</t>
        </is>
      </c>
      <c r="J4208" t="n">
        <v>1</v>
      </c>
      <c r="K4208" t="n">
        <v>1</v>
      </c>
      <c r="L4208" s="34">
        <f>IF($J4208=1,LN(B4209/B4208),"")</f>
        <v/>
      </c>
      <c r="M4208" s="34">
        <f>IF($K4208=1,INDEX(Mensal!$D$2:$D$245,MATCH($I4208,Mensal!$A$2:$A$245,0)),"")</f>
        <v/>
      </c>
      <c r="N4208" s="34">
        <f>IF($K4208=1,L4208-M4208,"")</f>
        <v/>
      </c>
      <c r="O4208" s="34" t="n">
        <v>0.0005078800000000001</v>
      </c>
      <c r="P4208" s="34">
        <f>IF($J4208=1,LN(1+O4208),"")</f>
        <v/>
      </c>
      <c r="Q4208" s="34">
        <f>IF($J4208=1,LN(R4209/R4208),"")</f>
        <v/>
      </c>
      <c r="R4208" s="32" t="n">
        <v>4.9421</v>
      </c>
      <c r="S4208" s="35" t="n">
        <v>12.83</v>
      </c>
      <c r="T4208" s="18" t="n"/>
      <c r="U4208" s="18" t="n"/>
      <c r="V4208" s="18" t="n">
        <v>106015.67</v>
      </c>
      <c r="W4208" s="18" t="n"/>
      <c r="X4208" s="35" t="n"/>
      <c r="Y4208" s="35" t="n">
        <v>12.83</v>
      </c>
    </row>
    <row r="4209">
      <c r="A4209" s="25" t="n">
        <v>45034</v>
      </c>
      <c r="B4209" s="18" t="n">
        <v>106163.23</v>
      </c>
      <c r="C4209" s="31" t="n"/>
      <c r="D4209" s="32" t="n"/>
      <c r="E4209" s="33" t="n">
        <v>0.391</v>
      </c>
      <c r="F4209" t="inlineStr">
        <is>
          <t>Down</t>
        </is>
      </c>
      <c r="G4209" t="inlineStr">
        <is>
          <t>Down</t>
        </is>
      </c>
      <c r="H4209" t="inlineStr">
        <is>
          <t>ED_JD</t>
        </is>
      </c>
      <c r="I4209" t="inlineStr">
        <is>
          <t>2023-04</t>
        </is>
      </c>
      <c r="J4209" t="n">
        <v>1</v>
      </c>
      <c r="K4209" t="n">
        <v>1</v>
      </c>
      <c r="L4209" s="34">
        <f>IF($J4209=1,LN(B4210/B4209),"")</f>
        <v/>
      </c>
      <c r="M4209" s="34">
        <f>IF($K4209=1,INDEX(Mensal!$D$2:$D$245,MATCH($I4209,Mensal!$A$2:$A$245,0)),"")</f>
        <v/>
      </c>
      <c r="N4209" s="34">
        <f>IF($K4209=1,L4209-M4209,"")</f>
        <v/>
      </c>
      <c r="O4209" s="34" t="n">
        <v>0.0005078800000000001</v>
      </c>
      <c r="P4209" s="34">
        <f>IF($J4209=1,LN(1+O4209),"")</f>
        <v/>
      </c>
      <c r="Q4209" s="34">
        <f>IF($J4209=1,LN(R4210/R4209),"")</f>
        <v/>
      </c>
      <c r="R4209" s="32" t="n">
        <v>4.9678</v>
      </c>
      <c r="S4209" s="35" t="n">
        <v>12.86</v>
      </c>
      <c r="T4209" s="18" t="n"/>
      <c r="U4209" s="18" t="n"/>
      <c r="V4209" s="18" t="n">
        <v>106163.23</v>
      </c>
      <c r="W4209" s="18" t="n"/>
      <c r="X4209" s="35" t="n"/>
      <c r="Y4209" s="35" t="n">
        <v>12.86</v>
      </c>
    </row>
    <row r="4210">
      <c r="A4210" s="25" t="n">
        <v>45035</v>
      </c>
      <c r="B4210" s="18" t="n">
        <v>103912.94</v>
      </c>
      <c r="C4210" s="31" t="n"/>
      <c r="D4210" s="32" t="n"/>
      <c r="E4210" s="33" t="n">
        <v>0.3999</v>
      </c>
      <c r="F4210" t="inlineStr">
        <is>
          <t>Down</t>
        </is>
      </c>
      <c r="G4210" t="inlineStr">
        <is>
          <t>Down</t>
        </is>
      </c>
      <c r="H4210" t="inlineStr">
        <is>
          <t>ED_JD</t>
        </is>
      </c>
      <c r="I4210" t="inlineStr">
        <is>
          <t>2023-04</t>
        </is>
      </c>
      <c r="J4210" t="n">
        <v>1</v>
      </c>
      <c r="K4210" t="n">
        <v>1</v>
      </c>
      <c r="L4210" s="34">
        <f>IF($J4210=1,LN(B4211/B4210),"")</f>
        <v/>
      </c>
      <c r="M4210" s="34">
        <f>IF($K4210=1,INDEX(Mensal!$D$2:$D$245,MATCH($I4210,Mensal!$A$2:$A$245,0)),"")</f>
        <v/>
      </c>
      <c r="N4210" s="34">
        <f>IF($K4210=1,L4210-M4210,"")</f>
        <v/>
      </c>
      <c r="O4210" s="34" t="n">
        <v>0.0005078800000000001</v>
      </c>
      <c r="P4210" s="34">
        <f>IF($J4210=1,LN(1+O4210),"")</f>
        <v/>
      </c>
      <c r="Q4210" s="34">
        <f>IF($J4210=1,LN(R4211/R4210),"")</f>
        <v/>
      </c>
      <c r="R4210" s="32" t="n">
        <v>5.0467</v>
      </c>
      <c r="S4210" s="35" t="n">
        <v>12.9</v>
      </c>
      <c r="T4210" s="18" t="n"/>
      <c r="U4210" s="18" t="n"/>
      <c r="V4210" s="18" t="n">
        <v>103912.94</v>
      </c>
      <c r="W4210" s="18" t="n"/>
      <c r="X4210" s="35" t="n"/>
      <c r="Y4210" s="35" t="n">
        <v>12.9</v>
      </c>
    </row>
    <row r="4211">
      <c r="A4211" s="25" t="n">
        <v>45036</v>
      </c>
      <c r="B4211" s="18" t="n">
        <v>104366.82</v>
      </c>
      <c r="C4211" s="31" t="n"/>
      <c r="D4211" s="32" t="n"/>
      <c r="E4211" s="33" t="n">
        <v>0.4118</v>
      </c>
      <c r="F4211" t="inlineStr">
        <is>
          <t>Down</t>
        </is>
      </c>
      <c r="G4211" t="inlineStr">
        <is>
          <t>Down</t>
        </is>
      </c>
      <c r="H4211" t="inlineStr">
        <is>
          <t>ED_JD</t>
        </is>
      </c>
      <c r="I4211" t="inlineStr">
        <is>
          <t>2023-04</t>
        </is>
      </c>
      <c r="J4211" t="n">
        <v>1</v>
      </c>
      <c r="K4211" t="n">
        <v>1</v>
      </c>
      <c r="L4211" s="34">
        <f>IF($J4211=1,LN(B4212/B4211),"")</f>
        <v/>
      </c>
      <c r="M4211" s="34">
        <f>IF($K4211=1,INDEX(Mensal!$D$2:$D$245,MATCH($I4211,Mensal!$A$2:$A$245,0)),"")</f>
        <v/>
      </c>
      <c r="N4211" s="34">
        <f>IF($K4211=1,L4211-M4211,"")</f>
        <v/>
      </c>
      <c r="O4211" s="34" t="n">
        <v>0.0005078800000000001</v>
      </c>
      <c r="P4211" s="34">
        <f>IF($J4211=1,LN(1+O4211),"")</f>
        <v/>
      </c>
      <c r="Q4211" s="34">
        <f>IF($J4211=1,LN(R4212/R4211),"")</f>
        <v/>
      </c>
      <c r="R4211" s="32" t="n">
        <v>5.0497</v>
      </c>
      <c r="S4211" s="35" t="n">
        <v>12.81</v>
      </c>
      <c r="T4211" s="18" t="n"/>
      <c r="U4211" s="18" t="n"/>
      <c r="V4211" s="18" t="n">
        <v>104366.82</v>
      </c>
      <c r="W4211" s="18" t="n"/>
      <c r="X4211" s="35" t="n"/>
      <c r="Y4211" s="35" t="n">
        <v>12.81</v>
      </c>
    </row>
    <row r="4212">
      <c r="A4212" s="25" t="n">
        <v>45040</v>
      </c>
      <c r="B4212" s="18" t="n">
        <v>103946.58</v>
      </c>
      <c r="C4212" s="31" t="n"/>
      <c r="D4212" s="32" t="n"/>
      <c r="E4212" s="33" t="n">
        <v>0.4183</v>
      </c>
      <c r="F4212" t="inlineStr">
        <is>
          <t>Down</t>
        </is>
      </c>
      <c r="G4212" t="inlineStr">
        <is>
          <t>Down</t>
        </is>
      </c>
      <c r="H4212" t="inlineStr">
        <is>
          <t>ED_JD</t>
        </is>
      </c>
      <c r="I4212" t="inlineStr">
        <is>
          <t>2023-04</t>
        </is>
      </c>
      <c r="J4212" t="n">
        <v>1</v>
      </c>
      <c r="K4212" t="n">
        <v>1</v>
      </c>
      <c r="L4212" s="34">
        <f>IF($J4212=1,LN(B4213/B4212),"")</f>
        <v/>
      </c>
      <c r="M4212" s="34">
        <f>IF($K4212=1,INDEX(Mensal!$D$2:$D$245,MATCH($I4212,Mensal!$A$2:$A$245,0)),"")</f>
        <v/>
      </c>
      <c r="N4212" s="34">
        <f>IF($K4212=1,L4212-M4212,"")</f>
        <v/>
      </c>
      <c r="O4212" s="34" t="n">
        <v>0.0005078800000000001</v>
      </c>
      <c r="P4212" s="34">
        <f>IF($J4212=1,LN(1+O4212),"")</f>
        <v/>
      </c>
      <c r="Q4212" s="34">
        <f>IF($J4212=1,LN(R4213/R4212),"")</f>
        <v/>
      </c>
      <c r="R4212" s="32" t="n">
        <v>5.0595</v>
      </c>
      <c r="S4212" s="35" t="n">
        <v>12.76</v>
      </c>
      <c r="T4212" s="18" t="n"/>
      <c r="U4212" s="18" t="n"/>
      <c r="V4212" s="18" t="n">
        <v>103946.58</v>
      </c>
      <c r="W4212" s="18" t="n"/>
      <c r="X4212" s="35" t="n"/>
      <c r="Y4212" s="35" t="n">
        <v>12.76</v>
      </c>
    </row>
    <row r="4213">
      <c r="A4213" s="25" t="n">
        <v>45041</v>
      </c>
      <c r="B4213" s="18" t="n">
        <v>103220.09</v>
      </c>
      <c r="C4213" s="31" t="n"/>
      <c r="D4213" s="32" t="n"/>
      <c r="E4213" s="33" t="n">
        <v>0.4249</v>
      </c>
      <c r="F4213" t="inlineStr">
        <is>
          <t>Down</t>
        </is>
      </c>
      <c r="G4213" t="inlineStr">
        <is>
          <t>Down</t>
        </is>
      </c>
      <c r="H4213" t="inlineStr">
        <is>
          <t>ED_JD</t>
        </is>
      </c>
      <c r="I4213" t="inlineStr">
        <is>
          <t>2023-04</t>
        </is>
      </c>
      <c r="J4213" t="n">
        <v>1</v>
      </c>
      <c r="K4213" t="n">
        <v>1</v>
      </c>
      <c r="L4213" s="34">
        <f>IF($J4213=1,LN(B4214/B4213),"")</f>
        <v/>
      </c>
      <c r="M4213" s="34">
        <f>IF($K4213=1,INDEX(Mensal!$D$2:$D$245,MATCH($I4213,Mensal!$A$2:$A$245,0)),"")</f>
        <v/>
      </c>
      <c r="N4213" s="34">
        <f>IF($K4213=1,L4213-M4213,"")</f>
        <v/>
      </c>
      <c r="O4213" s="34" t="n">
        <v>0.0005078800000000001</v>
      </c>
      <c r="P4213" s="34">
        <f>IF($J4213=1,LN(1+O4213),"")</f>
        <v/>
      </c>
      <c r="Q4213" s="34">
        <f>IF($J4213=1,LN(R4214/R4213),"")</f>
        <v/>
      </c>
      <c r="R4213" s="32" t="n">
        <v>5.0613</v>
      </c>
      <c r="S4213" s="35" t="n">
        <v>12.71</v>
      </c>
      <c r="T4213" s="18" t="n"/>
      <c r="U4213" s="18" t="n"/>
      <c r="V4213" s="18" t="n">
        <v>103220.09</v>
      </c>
      <c r="W4213" s="18" t="n"/>
      <c r="X4213" s="35" t="n"/>
      <c r="Y4213" s="35" t="n">
        <v>12.71</v>
      </c>
    </row>
    <row r="4214">
      <c r="A4214" s="25" t="n">
        <v>45042</v>
      </c>
      <c r="B4214" s="18" t="n">
        <v>102312.1</v>
      </c>
      <c r="C4214" s="31" t="n"/>
      <c r="D4214" s="32" t="n"/>
      <c r="E4214" s="33" t="n">
        <v>0.4225</v>
      </c>
      <c r="F4214" t="inlineStr">
        <is>
          <t>Down</t>
        </is>
      </c>
      <c r="G4214" t="inlineStr">
        <is>
          <t>Down</t>
        </is>
      </c>
      <c r="H4214" t="inlineStr">
        <is>
          <t>ED_JD</t>
        </is>
      </c>
      <c r="I4214" t="inlineStr">
        <is>
          <t>2023-04</t>
        </is>
      </c>
      <c r="J4214" t="n">
        <v>1</v>
      </c>
      <c r="K4214" t="n">
        <v>1</v>
      </c>
      <c r="L4214" s="34">
        <f>IF($J4214=1,LN(B4215/B4214),"")</f>
        <v/>
      </c>
      <c r="M4214" s="34">
        <f>IF($K4214=1,INDEX(Mensal!$D$2:$D$245,MATCH($I4214,Mensal!$A$2:$A$245,0)),"")</f>
        <v/>
      </c>
      <c r="N4214" s="34">
        <f>IF($K4214=1,L4214-M4214,"")</f>
        <v/>
      </c>
      <c r="O4214" s="34" t="n">
        <v>0.0005078800000000001</v>
      </c>
      <c r="P4214" s="34">
        <f>IF($J4214=1,LN(1+O4214),"")</f>
        <v/>
      </c>
      <c r="Q4214" s="34">
        <f>IF($J4214=1,LN(R4215/R4214),"")</f>
        <v/>
      </c>
      <c r="R4214" s="32" t="n">
        <v>5.0585</v>
      </c>
      <c r="S4214" s="35" t="n">
        <v>12.75</v>
      </c>
      <c r="T4214" s="18" t="n"/>
      <c r="U4214" s="18" t="n"/>
      <c r="V4214" s="18" t="n">
        <v>102312.1</v>
      </c>
      <c r="W4214" s="18" t="n"/>
      <c r="X4214" s="35" t="n"/>
      <c r="Y4214" s="35" t="n">
        <v>12.75</v>
      </c>
    </row>
    <row r="4215">
      <c r="A4215" s="25" t="n">
        <v>45043</v>
      </c>
      <c r="B4215" s="18" t="n">
        <v>102923.31</v>
      </c>
      <c r="C4215" s="31" t="n"/>
      <c r="D4215" s="32" t="n"/>
      <c r="E4215" s="33" t="n">
        <v>0.4307</v>
      </c>
      <c r="F4215" t="inlineStr">
        <is>
          <t>Down</t>
        </is>
      </c>
      <c r="G4215" t="inlineStr">
        <is>
          <t>Down</t>
        </is>
      </c>
      <c r="H4215" t="inlineStr">
        <is>
          <t>ED_JD</t>
        </is>
      </c>
      <c r="I4215" t="inlineStr">
        <is>
          <t>2023-04</t>
        </is>
      </c>
      <c r="J4215" t="n">
        <v>1</v>
      </c>
      <c r="K4215" t="n">
        <v>1</v>
      </c>
      <c r="L4215" s="34">
        <f>IF($J4215=1,LN(B4216/B4215),"")</f>
        <v/>
      </c>
      <c r="M4215" s="34">
        <f>IF($K4215=1,INDEX(Mensal!$D$2:$D$245,MATCH($I4215,Mensal!$A$2:$A$245,0)),"")</f>
        <v/>
      </c>
      <c r="N4215" s="34">
        <f>IF($K4215=1,L4215-M4215,"")</f>
        <v/>
      </c>
      <c r="O4215" s="34" t="n">
        <v>0.0005078800000000001</v>
      </c>
      <c r="P4215" s="34">
        <f>IF($J4215=1,LN(1+O4215),"")</f>
        <v/>
      </c>
      <c r="Q4215" s="34">
        <f>IF($J4215=1,LN(R4216/R4215),"")</f>
        <v/>
      </c>
      <c r="R4215" s="32" t="n">
        <v>5.015</v>
      </c>
      <c r="S4215" s="35" t="n">
        <v>12.77</v>
      </c>
      <c r="T4215" s="18" t="n"/>
      <c r="U4215" s="18" t="n"/>
      <c r="V4215" s="18" t="n">
        <v>102923.31</v>
      </c>
      <c r="W4215" s="18" t="n"/>
      <c r="X4215" s="35" t="n"/>
      <c r="Y4215" s="35" t="n">
        <v>12.77</v>
      </c>
    </row>
    <row r="4216">
      <c r="A4216" s="25" t="n">
        <v>45044</v>
      </c>
      <c r="B4216" s="18" t="n">
        <v>104431.63</v>
      </c>
      <c r="C4216" s="31" t="n"/>
      <c r="D4216" s="32" t="n"/>
      <c r="E4216" s="33" t="n">
        <v>0.4557</v>
      </c>
      <c r="F4216" t="inlineStr">
        <is>
          <t>Down</t>
        </is>
      </c>
      <c r="G4216" t="inlineStr">
        <is>
          <t>Down</t>
        </is>
      </c>
      <c r="H4216" t="inlineStr">
        <is>
          <t>ED_JD</t>
        </is>
      </c>
      <c r="I4216" t="inlineStr">
        <is>
          <t>2023-04</t>
        </is>
      </c>
      <c r="J4216" t="n">
        <v>1</v>
      </c>
      <c r="K4216" t="n">
        <v>1</v>
      </c>
      <c r="L4216" s="34">
        <f>IF($J4216=1,LN(B4217/B4216),"")</f>
        <v/>
      </c>
      <c r="M4216" s="34">
        <f>IF($K4216=1,INDEX(Mensal!$D$2:$D$245,MATCH($I4216,Mensal!$A$2:$A$245,0)),"")</f>
        <v/>
      </c>
      <c r="N4216" s="34">
        <f>IF($K4216=1,L4216-M4216,"")</f>
        <v/>
      </c>
      <c r="O4216" s="34" t="n">
        <v>0.0005078800000000001</v>
      </c>
      <c r="P4216" s="34">
        <f>IF($J4216=1,LN(1+O4216),"")</f>
        <v/>
      </c>
      <c r="Q4216" s="34">
        <f>IF($J4216=1,LN(R4217/R4216),"")</f>
        <v/>
      </c>
      <c r="R4216" s="32" t="n">
        <v>5.0007</v>
      </c>
      <c r="S4216" s="35" t="n">
        <v>12.87</v>
      </c>
      <c r="T4216" s="18" t="n"/>
      <c r="U4216" s="18" t="n"/>
      <c r="V4216" s="18" t="n">
        <v>104431.63</v>
      </c>
      <c r="W4216" s="18" t="n"/>
      <c r="X4216" s="35" t="n"/>
      <c r="Y4216" s="35" t="n">
        <v>12.87</v>
      </c>
    </row>
    <row r="4217">
      <c r="A4217" s="25" t="n">
        <v>45048</v>
      </c>
      <c r="B4217" s="18" t="n">
        <v>101926.95</v>
      </c>
      <c r="C4217" s="31" t="n"/>
      <c r="D4217" s="32" t="n"/>
      <c r="E4217" s="33" t="n">
        <v>0.4731</v>
      </c>
      <c r="F4217" t="inlineStr">
        <is>
          <t>Up</t>
        </is>
      </c>
      <c r="G4217" t="inlineStr">
        <is>
          <t>Down</t>
        </is>
      </c>
      <c r="H4217" t="inlineStr">
        <is>
          <t>EU_JD</t>
        </is>
      </c>
      <c r="I4217" t="inlineStr">
        <is>
          <t>2023-05</t>
        </is>
      </c>
      <c r="J4217" t="n">
        <v>1</v>
      </c>
      <c r="K4217" t="n">
        <v>1</v>
      </c>
      <c r="L4217" s="34">
        <f>IF($J4217=1,LN(B4218/B4217),"")</f>
        <v/>
      </c>
      <c r="M4217" s="34">
        <f>IF($K4217=1,INDEX(Mensal!$D$2:$D$245,MATCH($I4217,Mensal!$A$2:$A$245,0)),"")</f>
        <v/>
      </c>
      <c r="N4217" s="34">
        <f>IF($K4217=1,L4217-M4217,"")</f>
        <v/>
      </c>
      <c r="O4217" s="34" t="n">
        <v>0.0005078800000000001</v>
      </c>
      <c r="P4217" s="34">
        <f>IF($J4217=1,LN(1+O4217),"")</f>
        <v/>
      </c>
      <c r="Q4217" s="34">
        <f>IF($J4217=1,LN(R4218/R4217),"")</f>
        <v/>
      </c>
      <c r="R4217" s="32" t="n">
        <v>5.0334</v>
      </c>
      <c r="S4217" s="35" t="n">
        <v>12.79</v>
      </c>
      <c r="T4217" s="18" t="n">
        <v>101926.95</v>
      </c>
      <c r="U4217" s="18" t="n"/>
      <c r="V4217" s="18" t="n"/>
      <c r="W4217" s="18" t="n"/>
      <c r="X4217" s="35" t="n"/>
      <c r="Y4217" s="35" t="n">
        <v>12.79</v>
      </c>
    </row>
    <row r="4218">
      <c r="A4218" s="25" t="n">
        <v>45049</v>
      </c>
      <c r="B4218" s="18" t="n">
        <v>101797.09</v>
      </c>
      <c r="C4218" s="31" t="n"/>
      <c r="D4218" s="32" t="n"/>
      <c r="E4218" s="33" t="n">
        <v>0.4674</v>
      </c>
      <c r="F4218" t="inlineStr">
        <is>
          <t>Up</t>
        </is>
      </c>
      <c r="G4218" t="inlineStr">
        <is>
          <t>Down</t>
        </is>
      </c>
      <c r="H4218" t="inlineStr">
        <is>
          <t>EU_JD</t>
        </is>
      </c>
      <c r="I4218" t="inlineStr">
        <is>
          <t>2023-05</t>
        </is>
      </c>
      <c r="J4218" t="n">
        <v>1</v>
      </c>
      <c r="K4218" t="n">
        <v>1</v>
      </c>
      <c r="L4218" s="34">
        <f>IF($J4218=1,LN(B4219/B4218),"")</f>
        <v/>
      </c>
      <c r="M4218" s="34">
        <f>IF($K4218=1,INDEX(Mensal!$D$2:$D$245,MATCH($I4218,Mensal!$A$2:$A$245,0)),"")</f>
        <v/>
      </c>
      <c r="N4218" s="34">
        <f>IF($K4218=1,L4218-M4218,"")</f>
        <v/>
      </c>
      <c r="O4218" s="34" t="n">
        <v>0.0005078800000000001</v>
      </c>
      <c r="P4218" s="34">
        <f>IF($J4218=1,LN(1+O4218),"")</f>
        <v/>
      </c>
      <c r="Q4218" s="34">
        <f>IF($J4218=1,LN(R4219/R4218),"")</f>
        <v/>
      </c>
      <c r="R4218" s="32" t="n">
        <v>5.0227</v>
      </c>
      <c r="S4218" s="35" t="n">
        <v>12.76</v>
      </c>
      <c r="T4218" s="18" t="n">
        <v>101797.09</v>
      </c>
      <c r="U4218" s="18" t="n"/>
      <c r="V4218" s="18" t="n"/>
      <c r="W4218" s="18" t="n"/>
      <c r="X4218" s="35" t="n"/>
      <c r="Y4218" s="35" t="n">
        <v>12.76</v>
      </c>
    </row>
    <row r="4219">
      <c r="A4219" s="25" t="n">
        <v>45050</v>
      </c>
      <c r="B4219" s="18" t="n">
        <v>102174.34</v>
      </c>
      <c r="C4219" s="31" t="n"/>
      <c r="D4219" s="32" t="n"/>
      <c r="E4219" s="33" t="n">
        <v>0.4562</v>
      </c>
      <c r="F4219" t="inlineStr">
        <is>
          <t>Up</t>
        </is>
      </c>
      <c r="G4219" t="inlineStr">
        <is>
          <t>Down</t>
        </is>
      </c>
      <c r="H4219" t="inlineStr">
        <is>
          <t>EU_JD</t>
        </is>
      </c>
      <c r="I4219" t="inlineStr">
        <is>
          <t>2023-05</t>
        </is>
      </c>
      <c r="J4219" t="n">
        <v>1</v>
      </c>
      <c r="K4219" t="n">
        <v>1</v>
      </c>
      <c r="L4219" s="34">
        <f>IF($J4219=1,LN(B4220/B4219),"")</f>
        <v/>
      </c>
      <c r="M4219" s="34">
        <f>IF($K4219=1,INDEX(Mensal!$D$2:$D$245,MATCH($I4219,Mensal!$A$2:$A$245,0)),"")</f>
        <v/>
      </c>
      <c r="N4219" s="34">
        <f>IF($K4219=1,L4219-M4219,"")</f>
        <v/>
      </c>
      <c r="O4219" s="34" t="n">
        <v>0.0005078800000000001</v>
      </c>
      <c r="P4219" s="34">
        <f>IF($J4219=1,LN(1+O4219),"")</f>
        <v/>
      </c>
      <c r="Q4219" s="34">
        <f>IF($J4219=1,LN(R4220/R4219),"")</f>
        <v/>
      </c>
      <c r="R4219" s="32" t="n">
        <v>5.0106</v>
      </c>
      <c r="S4219" s="35" t="n">
        <v>12.71</v>
      </c>
      <c r="T4219" s="18" t="n">
        <v>102174.34</v>
      </c>
      <c r="U4219" s="18" t="n"/>
      <c r="V4219" s="18" t="n"/>
      <c r="W4219" s="18" t="n"/>
      <c r="X4219" s="35" t="n"/>
      <c r="Y4219" s="35" t="n">
        <v>12.71</v>
      </c>
    </row>
    <row r="4220">
      <c r="A4220" s="25" t="n">
        <v>45051</v>
      </c>
      <c r="B4220" s="18" t="n">
        <v>105148.48</v>
      </c>
      <c r="C4220" s="31" t="n"/>
      <c r="D4220" s="32" t="n"/>
      <c r="E4220" s="33" t="n">
        <v>0.4416</v>
      </c>
      <c r="F4220" t="inlineStr">
        <is>
          <t>Up</t>
        </is>
      </c>
      <c r="G4220" t="inlineStr">
        <is>
          <t>Down</t>
        </is>
      </c>
      <c r="H4220" t="inlineStr">
        <is>
          <t>EU_JD</t>
        </is>
      </c>
      <c r="I4220" t="inlineStr">
        <is>
          <t>2023-05</t>
        </is>
      </c>
      <c r="J4220" t="n">
        <v>1</v>
      </c>
      <c r="K4220" t="n">
        <v>1</v>
      </c>
      <c r="L4220" s="34">
        <f>IF($J4220=1,LN(B4221/B4220),"")</f>
        <v/>
      </c>
      <c r="M4220" s="34">
        <f>IF($K4220=1,INDEX(Mensal!$D$2:$D$245,MATCH($I4220,Mensal!$A$2:$A$245,0)),"")</f>
        <v/>
      </c>
      <c r="N4220" s="34">
        <f>IF($K4220=1,L4220-M4220,"")</f>
        <v/>
      </c>
      <c r="O4220" s="34" t="n">
        <v>0.0005078800000000001</v>
      </c>
      <c r="P4220" s="34">
        <f>IF($J4220=1,LN(1+O4220),"")</f>
        <v/>
      </c>
      <c r="Q4220" s="34">
        <f>IF($J4220=1,LN(R4221/R4220),"")</f>
        <v/>
      </c>
      <c r="R4220" s="32" t="n">
        <v>4.9696</v>
      </c>
      <c r="S4220" s="35" t="n">
        <v>12.68</v>
      </c>
      <c r="T4220" s="18" t="n">
        <v>105148.48</v>
      </c>
      <c r="U4220" s="18" t="n"/>
      <c r="V4220" s="18" t="n"/>
      <c r="W4220" s="18" t="n"/>
      <c r="X4220" s="35" t="n"/>
      <c r="Y4220" s="35" t="n">
        <v>12.68</v>
      </c>
    </row>
    <row r="4221">
      <c r="A4221" s="25" t="n">
        <v>45054</v>
      </c>
      <c r="B4221" s="18" t="n">
        <v>106042.15</v>
      </c>
      <c r="C4221" s="31" t="n"/>
      <c r="D4221" s="32" t="n"/>
      <c r="E4221" s="33" t="n">
        <v>0.4201</v>
      </c>
      <c r="F4221" t="inlineStr">
        <is>
          <t>Up</t>
        </is>
      </c>
      <c r="G4221" t="inlineStr">
        <is>
          <t>Down</t>
        </is>
      </c>
      <c r="H4221" t="inlineStr">
        <is>
          <t>EU_JD</t>
        </is>
      </c>
      <c r="I4221" t="inlineStr">
        <is>
          <t>2023-05</t>
        </is>
      </c>
      <c r="J4221" t="n">
        <v>1</v>
      </c>
      <c r="K4221" t="n">
        <v>1</v>
      </c>
      <c r="L4221" s="34">
        <f>IF($J4221=1,LN(B4222/B4221),"")</f>
        <v/>
      </c>
      <c r="M4221" s="34">
        <f>IF($K4221=1,INDEX(Mensal!$D$2:$D$245,MATCH($I4221,Mensal!$A$2:$A$245,0)),"")</f>
        <v/>
      </c>
      <c r="N4221" s="34">
        <f>IF($K4221=1,L4221-M4221,"")</f>
        <v/>
      </c>
      <c r="O4221" s="34" t="n">
        <v>0.0005078800000000001</v>
      </c>
      <c r="P4221" s="34">
        <f>IF($J4221=1,LN(1+O4221),"")</f>
        <v/>
      </c>
      <c r="Q4221" s="34">
        <f>IF($J4221=1,LN(R4222/R4221),"")</f>
        <v/>
      </c>
      <c r="R4221" s="32" t="n">
        <v>4.9696</v>
      </c>
      <c r="S4221" s="35" t="n">
        <v>12.65</v>
      </c>
      <c r="T4221" s="18" t="n">
        <v>106042.15</v>
      </c>
      <c r="U4221" s="18" t="n"/>
      <c r="V4221" s="18" t="n"/>
      <c r="W4221" s="18" t="n"/>
      <c r="X4221" s="35" t="n"/>
      <c r="Y4221" s="35" t="n">
        <v>12.65</v>
      </c>
    </row>
    <row r="4222">
      <c r="A4222" s="25" t="n">
        <v>45055</v>
      </c>
      <c r="B4222" s="18" t="n">
        <v>107113.66</v>
      </c>
      <c r="C4222" s="31" t="n"/>
      <c r="D4222" s="32" t="n"/>
      <c r="E4222" s="33" t="n">
        <v>0.3973</v>
      </c>
      <c r="F4222" t="inlineStr">
        <is>
          <t>Up</t>
        </is>
      </c>
      <c r="G4222" t="inlineStr">
        <is>
          <t>Down</t>
        </is>
      </c>
      <c r="H4222" t="inlineStr">
        <is>
          <t>EU_JD</t>
        </is>
      </c>
      <c r="I4222" t="inlineStr">
        <is>
          <t>2023-05</t>
        </is>
      </c>
      <c r="J4222" t="n">
        <v>1</v>
      </c>
      <c r="K4222" t="n">
        <v>1</v>
      </c>
      <c r="L4222" s="34">
        <f>IF($J4222=1,LN(B4223/B4222),"")</f>
        <v/>
      </c>
      <c r="M4222" s="34">
        <f>IF($K4222=1,INDEX(Mensal!$D$2:$D$245,MATCH($I4222,Mensal!$A$2:$A$245,0)),"")</f>
        <v/>
      </c>
      <c r="N4222" s="34">
        <f>IF($K4222=1,L4222-M4222,"")</f>
        <v/>
      </c>
      <c r="O4222" s="34" t="n">
        <v>0.0005078800000000001</v>
      </c>
      <c r="P4222" s="34">
        <f>IF($J4222=1,LN(1+O4222),"")</f>
        <v/>
      </c>
      <c r="Q4222" s="34">
        <f>IF($J4222=1,LN(R4223/R4222),"")</f>
        <v/>
      </c>
      <c r="R4222" s="32" t="n">
        <v>5.0007</v>
      </c>
      <c r="S4222" s="35" t="n">
        <v>12.71</v>
      </c>
      <c r="T4222" s="18" t="n">
        <v>107113.66</v>
      </c>
      <c r="U4222" s="18" t="n"/>
      <c r="V4222" s="18" t="n"/>
      <c r="W4222" s="18" t="n"/>
      <c r="X4222" s="35" t="n"/>
      <c r="Y4222" s="35" t="n">
        <v>12.71</v>
      </c>
    </row>
    <row r="4223">
      <c r="A4223" s="25" t="n">
        <v>45056</v>
      </c>
      <c r="B4223" s="18" t="n">
        <v>107448.21</v>
      </c>
      <c r="C4223" s="31" t="n"/>
      <c r="D4223" s="32" t="n"/>
      <c r="E4223" s="33" t="n">
        <v>0.3682</v>
      </c>
      <c r="F4223" t="inlineStr">
        <is>
          <t>Up</t>
        </is>
      </c>
      <c r="G4223" t="inlineStr">
        <is>
          <t>Down</t>
        </is>
      </c>
      <c r="H4223" t="inlineStr">
        <is>
          <t>EU_JD</t>
        </is>
      </c>
      <c r="I4223" t="inlineStr">
        <is>
          <t>2023-05</t>
        </is>
      </c>
      <c r="J4223" t="n">
        <v>1</v>
      </c>
      <c r="K4223" t="n">
        <v>1</v>
      </c>
      <c r="L4223" s="34">
        <f>IF($J4223=1,LN(B4224/B4223),"")</f>
        <v/>
      </c>
      <c r="M4223" s="34">
        <f>IF($K4223=1,INDEX(Mensal!$D$2:$D$245,MATCH($I4223,Mensal!$A$2:$A$245,0)),"")</f>
        <v/>
      </c>
      <c r="N4223" s="34">
        <f>IF($K4223=1,L4223-M4223,"")</f>
        <v/>
      </c>
      <c r="O4223" s="34" t="n">
        <v>0.0005078800000000001</v>
      </c>
      <c r="P4223" s="34">
        <f>IF($J4223=1,LN(1+O4223),"")</f>
        <v/>
      </c>
      <c r="Q4223" s="34">
        <f>IF($J4223=1,LN(R4224/R4223),"")</f>
        <v/>
      </c>
      <c r="R4223" s="32" t="n">
        <v>4.9547</v>
      </c>
      <c r="S4223" s="35" t="n">
        <v>12.73</v>
      </c>
      <c r="T4223" s="18" t="n">
        <v>107448.21</v>
      </c>
      <c r="U4223" s="18" t="n"/>
      <c r="V4223" s="18" t="n"/>
      <c r="W4223" s="18" t="n"/>
      <c r="X4223" s="35" t="n"/>
      <c r="Y4223" s="35" t="n">
        <v>12.73</v>
      </c>
    </row>
    <row r="4224">
      <c r="A4224" s="25" t="n">
        <v>45057</v>
      </c>
      <c r="B4224" s="18" t="n">
        <v>108256.4</v>
      </c>
      <c r="C4224" s="31" t="n"/>
      <c r="D4224" s="32" t="n"/>
      <c r="E4224" s="33" t="n">
        <v>0.323</v>
      </c>
      <c r="F4224" t="inlineStr">
        <is>
          <t>Up</t>
        </is>
      </c>
      <c r="G4224" t="inlineStr">
        <is>
          <t>Down</t>
        </is>
      </c>
      <c r="H4224" t="inlineStr">
        <is>
          <t>EU_JD</t>
        </is>
      </c>
      <c r="I4224" t="inlineStr">
        <is>
          <t>2023-05</t>
        </is>
      </c>
      <c r="J4224" t="n">
        <v>1</v>
      </c>
      <c r="K4224" t="n">
        <v>1</v>
      </c>
      <c r="L4224" s="34">
        <f>IF($J4224=1,LN(B4225/B4224),"")</f>
        <v/>
      </c>
      <c r="M4224" s="34">
        <f>IF($K4224=1,INDEX(Mensal!$D$2:$D$245,MATCH($I4224,Mensal!$A$2:$A$245,0)),"")</f>
        <v/>
      </c>
      <c r="N4224" s="34">
        <f>IF($K4224=1,L4224-M4224,"")</f>
        <v/>
      </c>
      <c r="O4224" s="34" t="n">
        <v>0.0005078800000000001</v>
      </c>
      <c r="P4224" s="34">
        <f>IF($J4224=1,LN(1+O4224),"")</f>
        <v/>
      </c>
      <c r="Q4224" s="34">
        <f>IF($J4224=1,LN(R4225/R4224),"")</f>
        <v/>
      </c>
      <c r="R4224" s="32" t="n">
        <v>4.9696</v>
      </c>
      <c r="S4224" s="35" t="n">
        <v>12.68</v>
      </c>
      <c r="T4224" s="18" t="n">
        <v>108256.4</v>
      </c>
      <c r="U4224" s="18" t="n"/>
      <c r="V4224" s="18" t="n"/>
      <c r="W4224" s="18" t="n"/>
      <c r="X4224" s="35" t="n"/>
      <c r="Y4224" s="35" t="n">
        <v>12.68</v>
      </c>
    </row>
    <row r="4225">
      <c r="A4225" s="25" t="n">
        <v>45058</v>
      </c>
      <c r="B4225" s="18" t="n">
        <v>108463.84</v>
      </c>
      <c r="C4225" s="31" t="n"/>
      <c r="D4225" s="32" t="n"/>
      <c r="E4225" s="33" t="n">
        <v>0.2833</v>
      </c>
      <c r="F4225" t="inlineStr">
        <is>
          <t>Up</t>
        </is>
      </c>
      <c r="G4225" t="inlineStr">
        <is>
          <t>Down</t>
        </is>
      </c>
      <c r="H4225" t="inlineStr">
        <is>
          <t>EU_JD</t>
        </is>
      </c>
      <c r="I4225" t="inlineStr">
        <is>
          <t>2023-05</t>
        </is>
      </c>
      <c r="J4225" t="n">
        <v>1</v>
      </c>
      <c r="K4225" t="n">
        <v>1</v>
      </c>
      <c r="L4225" s="34">
        <f>IF($J4225=1,LN(B4226/B4225),"")</f>
        <v/>
      </c>
      <c r="M4225" s="34">
        <f>IF($K4225=1,INDEX(Mensal!$D$2:$D$245,MATCH($I4225,Mensal!$A$2:$A$245,0)),"")</f>
        <v/>
      </c>
      <c r="N4225" s="34">
        <f>IF($K4225=1,L4225-M4225,"")</f>
        <v/>
      </c>
      <c r="O4225" s="34" t="n">
        <v>0.0005078800000000001</v>
      </c>
      <c r="P4225" s="34">
        <f>IF($J4225=1,LN(1+O4225),"")</f>
        <v/>
      </c>
      <c r="Q4225" s="34">
        <f>IF($J4225=1,LN(R4226/R4225),"")</f>
        <v/>
      </c>
      <c r="R4225" s="32" t="n">
        <v>4.9234</v>
      </c>
      <c r="S4225" s="35" t="n">
        <v>12.75</v>
      </c>
      <c r="T4225" s="18" t="n">
        <v>108463.84</v>
      </c>
      <c r="U4225" s="18" t="n"/>
      <c r="V4225" s="18" t="n"/>
      <c r="W4225" s="18" t="n"/>
      <c r="X4225" s="35" t="n"/>
      <c r="Y4225" s="35" t="n">
        <v>12.75</v>
      </c>
    </row>
    <row r="4226">
      <c r="A4226" s="25" t="n">
        <v>45061</v>
      </c>
      <c r="B4226" s="18" t="n">
        <v>109029.12</v>
      </c>
      <c r="C4226" s="31" t="n"/>
      <c r="D4226" s="32" t="n"/>
      <c r="E4226" s="33" t="n">
        <v>0.2558</v>
      </c>
      <c r="F4226" t="inlineStr">
        <is>
          <t>Up</t>
        </is>
      </c>
      <c r="G4226" t="inlineStr">
        <is>
          <t>Down</t>
        </is>
      </c>
      <c r="H4226" t="inlineStr">
        <is>
          <t>EU_JD</t>
        </is>
      </c>
      <c r="I4226" t="inlineStr">
        <is>
          <t>2023-05</t>
        </is>
      </c>
      <c r="J4226" t="n">
        <v>1</v>
      </c>
      <c r="K4226" t="n">
        <v>1</v>
      </c>
      <c r="L4226" s="34">
        <f>IF($J4226=1,LN(B4227/B4226),"")</f>
        <v/>
      </c>
      <c r="M4226" s="34">
        <f>IF($K4226=1,INDEX(Mensal!$D$2:$D$245,MATCH($I4226,Mensal!$A$2:$A$245,0)),"")</f>
        <v/>
      </c>
      <c r="N4226" s="34">
        <f>IF($K4226=1,L4226-M4226,"")</f>
        <v/>
      </c>
      <c r="O4226" s="34" t="n">
        <v>0.0005078800000000001</v>
      </c>
      <c r="P4226" s="34">
        <f>IF($J4226=1,LN(1+O4226),"")</f>
        <v/>
      </c>
      <c r="Q4226" s="34">
        <f>IF($J4226=1,LN(R4227/R4226),"")</f>
        <v/>
      </c>
      <c r="R4226" s="32" t="n">
        <v>4.9103</v>
      </c>
      <c r="S4226" s="35" t="n">
        <v>12.73</v>
      </c>
      <c r="T4226" s="18" t="n">
        <v>109029.12</v>
      </c>
      <c r="U4226" s="18" t="n"/>
      <c r="V4226" s="18" t="n"/>
      <c r="W4226" s="18" t="n"/>
      <c r="X4226" s="35" t="n"/>
      <c r="Y4226" s="35" t="n">
        <v>12.73</v>
      </c>
    </row>
    <row r="4227">
      <c r="A4227" s="25" t="n">
        <v>45062</v>
      </c>
      <c r="B4227" s="18" t="n">
        <v>108193.68</v>
      </c>
      <c r="C4227" s="31" t="n"/>
      <c r="D4227" s="32" t="n"/>
      <c r="E4227" s="33" t="n">
        <v>0.2288</v>
      </c>
      <c r="F4227" t="inlineStr">
        <is>
          <t>Up</t>
        </is>
      </c>
      <c r="G4227" t="inlineStr">
        <is>
          <t>Down</t>
        </is>
      </c>
      <c r="H4227" t="inlineStr">
        <is>
          <t>EU_JD</t>
        </is>
      </c>
      <c r="I4227" t="inlineStr">
        <is>
          <t>2023-05</t>
        </is>
      </c>
      <c r="J4227" t="n">
        <v>1</v>
      </c>
      <c r="K4227" t="n">
        <v>1</v>
      </c>
      <c r="L4227" s="34">
        <f>IF($J4227=1,LN(B4228/B4227),"")</f>
        <v/>
      </c>
      <c r="M4227" s="34">
        <f>IF($K4227=1,INDEX(Mensal!$D$2:$D$245,MATCH($I4227,Mensal!$A$2:$A$245,0)),"")</f>
        <v/>
      </c>
      <c r="N4227" s="34">
        <f>IF($K4227=1,L4227-M4227,"")</f>
        <v/>
      </c>
      <c r="O4227" s="34" t="n">
        <v>0.0005078800000000001</v>
      </c>
      <c r="P4227" s="34">
        <f>IF($J4227=1,LN(1+O4227),"")</f>
        <v/>
      </c>
      <c r="Q4227" s="34">
        <f>IF($J4227=1,LN(R4228/R4227),"")</f>
        <v/>
      </c>
      <c r="R4227" s="32" t="n">
        <v>4.9122</v>
      </c>
      <c r="S4227" s="35" t="n">
        <v>12.72</v>
      </c>
      <c r="T4227" s="18" t="n">
        <v>108193.68</v>
      </c>
      <c r="U4227" s="18" t="n"/>
      <c r="V4227" s="18" t="n"/>
      <c r="W4227" s="18" t="n"/>
      <c r="X4227" s="35" t="n"/>
      <c r="Y4227" s="35" t="n">
        <v>12.72</v>
      </c>
    </row>
    <row r="4228">
      <c r="A4228" s="25" t="n">
        <v>45063</v>
      </c>
      <c r="B4228" s="18" t="n">
        <v>109459.95</v>
      </c>
      <c r="C4228" s="31" t="n"/>
      <c r="D4228" s="32" t="n"/>
      <c r="E4228" s="33" t="n">
        <v>0.1928</v>
      </c>
      <c r="F4228" t="inlineStr">
        <is>
          <t>Up</t>
        </is>
      </c>
      <c r="G4228" t="inlineStr">
        <is>
          <t>Down</t>
        </is>
      </c>
      <c r="H4228" t="inlineStr">
        <is>
          <t>EU_JD</t>
        </is>
      </c>
      <c r="I4228" t="inlineStr">
        <is>
          <t>2023-05</t>
        </is>
      </c>
      <c r="J4228" t="n">
        <v>1</v>
      </c>
      <c r="K4228" t="n">
        <v>1</v>
      </c>
      <c r="L4228" s="34">
        <f>IF($J4228=1,LN(B4229/B4228),"")</f>
        <v/>
      </c>
      <c r="M4228" s="34">
        <f>IF($K4228=1,INDEX(Mensal!$D$2:$D$245,MATCH($I4228,Mensal!$A$2:$A$245,0)),"")</f>
        <v/>
      </c>
      <c r="N4228" s="34">
        <f>IF($K4228=1,L4228-M4228,"")</f>
        <v/>
      </c>
      <c r="O4228" s="34" t="n">
        <v>0.0005078800000000001</v>
      </c>
      <c r="P4228" s="34">
        <f>IF($J4228=1,LN(1+O4228),"")</f>
        <v/>
      </c>
      <c r="Q4228" s="34">
        <f>IF($J4228=1,LN(R4229/R4228),"")</f>
        <v/>
      </c>
      <c r="R4228" s="32" t="n">
        <v>4.9513</v>
      </c>
      <c r="S4228" s="35" t="n">
        <v>12.75</v>
      </c>
      <c r="T4228" s="18" t="n">
        <v>109459.95</v>
      </c>
      <c r="U4228" s="18" t="n"/>
      <c r="V4228" s="18" t="n"/>
      <c r="W4228" s="18" t="n"/>
      <c r="X4228" s="35" t="n"/>
      <c r="Y4228" s="35" t="n">
        <v>12.75</v>
      </c>
    </row>
    <row r="4229">
      <c r="A4229" s="25" t="n">
        <v>45064</v>
      </c>
      <c r="B4229" s="18" t="n">
        <v>110108.46</v>
      </c>
      <c r="C4229" s="31" t="n"/>
      <c r="D4229" s="32" t="n"/>
      <c r="E4229" s="33" t="n">
        <v>0.155</v>
      </c>
      <c r="F4229" t="inlineStr">
        <is>
          <t>Up</t>
        </is>
      </c>
      <c r="G4229" t="inlineStr">
        <is>
          <t>Down</t>
        </is>
      </c>
      <c r="H4229" t="inlineStr">
        <is>
          <t>EU_JD</t>
        </is>
      </c>
      <c r="I4229" t="inlineStr">
        <is>
          <t>2023-05</t>
        </is>
      </c>
      <c r="J4229" t="n">
        <v>1</v>
      </c>
      <c r="K4229" t="n">
        <v>1</v>
      </c>
      <c r="L4229" s="34">
        <f>IF($J4229=1,LN(B4230/B4229),"")</f>
        <v/>
      </c>
      <c r="M4229" s="34">
        <f>IF($K4229=1,INDEX(Mensal!$D$2:$D$245,MATCH($I4229,Mensal!$A$2:$A$245,0)),"")</f>
        <v/>
      </c>
      <c r="N4229" s="34">
        <f>IF($K4229=1,L4229-M4229,"")</f>
        <v/>
      </c>
      <c r="O4229" s="34" t="n">
        <v>0.0005078800000000001</v>
      </c>
      <c r="P4229" s="34">
        <f>IF($J4229=1,LN(1+O4229),"")</f>
        <v/>
      </c>
      <c r="Q4229" s="34">
        <f>IF($J4229=1,LN(R4230/R4229),"")</f>
        <v/>
      </c>
      <c r="R4229" s="32" t="n">
        <v>4.9647</v>
      </c>
      <c r="S4229" s="35" t="n">
        <v>12.72</v>
      </c>
      <c r="T4229" s="18" t="n">
        <v>110108.46</v>
      </c>
      <c r="U4229" s="18" t="n"/>
      <c r="V4229" s="18" t="n"/>
      <c r="W4229" s="18" t="n"/>
      <c r="X4229" s="35" t="n"/>
      <c r="Y4229" s="35" t="n">
        <v>12.72</v>
      </c>
    </row>
    <row r="4230">
      <c r="A4230" s="25" t="n">
        <v>45065</v>
      </c>
      <c r="B4230" s="18" t="n">
        <v>110744.51</v>
      </c>
      <c r="C4230" s="31" t="n"/>
      <c r="D4230" s="32" t="n"/>
      <c r="E4230" s="33" t="n">
        <v>0.1188</v>
      </c>
      <c r="F4230" t="inlineStr">
        <is>
          <t>Up</t>
        </is>
      </c>
      <c r="G4230" t="inlineStr">
        <is>
          <t>Down</t>
        </is>
      </c>
      <c r="H4230" t="inlineStr">
        <is>
          <t>EU_JD</t>
        </is>
      </c>
      <c r="I4230" t="inlineStr">
        <is>
          <t>2023-05</t>
        </is>
      </c>
      <c r="J4230" t="n">
        <v>1</v>
      </c>
      <c r="K4230" t="n">
        <v>1</v>
      </c>
      <c r="L4230" s="34">
        <f>IF($J4230=1,LN(B4231/B4230),"")</f>
        <v/>
      </c>
      <c r="M4230" s="34">
        <f>IF($K4230=1,INDEX(Mensal!$D$2:$D$245,MATCH($I4230,Mensal!$A$2:$A$245,0)),"")</f>
        <v/>
      </c>
      <c r="N4230" s="34">
        <f>IF($K4230=1,L4230-M4230,"")</f>
        <v/>
      </c>
      <c r="O4230" s="34" t="n">
        <v>0.0005078800000000001</v>
      </c>
      <c r="P4230" s="34">
        <f>IF($J4230=1,LN(1+O4230),"")</f>
        <v/>
      </c>
      <c r="Q4230" s="34">
        <f>IF($J4230=1,LN(R4231/R4230),"")</f>
        <v/>
      </c>
      <c r="R4230" s="32" t="n">
        <v>4.9858</v>
      </c>
      <c r="S4230" s="35" t="n">
        <v>12.7</v>
      </c>
      <c r="T4230" s="18" t="n">
        <v>110744.51</v>
      </c>
      <c r="U4230" s="18" t="n"/>
      <c r="V4230" s="18" t="n"/>
      <c r="W4230" s="18" t="n"/>
      <c r="X4230" s="35" t="n"/>
      <c r="Y4230" s="35" t="n">
        <v>12.7</v>
      </c>
    </row>
    <row r="4231">
      <c r="A4231" s="25" t="n">
        <v>45068</v>
      </c>
      <c r="B4231" s="18" t="n">
        <v>110213.12</v>
      </c>
      <c r="C4231" s="31" t="n"/>
      <c r="D4231" s="32" t="n"/>
      <c r="E4231" s="33" t="n">
        <v>0.0823</v>
      </c>
      <c r="F4231" t="inlineStr">
        <is>
          <t>Up</t>
        </is>
      </c>
      <c r="G4231" t="inlineStr">
        <is>
          <t>Down</t>
        </is>
      </c>
      <c r="H4231" t="inlineStr">
        <is>
          <t>EU_JD</t>
        </is>
      </c>
      <c r="I4231" t="inlineStr">
        <is>
          <t>2023-05</t>
        </is>
      </c>
      <c r="J4231" t="n">
        <v>1</v>
      </c>
      <c r="K4231" t="n">
        <v>1</v>
      </c>
      <c r="L4231" s="34">
        <f>IF($J4231=1,LN(B4232/B4231),"")</f>
        <v/>
      </c>
      <c r="M4231" s="34">
        <f>IF($K4231=1,INDEX(Mensal!$D$2:$D$245,MATCH($I4231,Mensal!$A$2:$A$245,0)),"")</f>
        <v/>
      </c>
      <c r="N4231" s="34">
        <f>IF($K4231=1,L4231-M4231,"")</f>
        <v/>
      </c>
      <c r="O4231" s="34" t="n">
        <v>0.0005078800000000001</v>
      </c>
      <c r="P4231" s="34">
        <f>IF($J4231=1,LN(1+O4231),"")</f>
        <v/>
      </c>
      <c r="Q4231" s="34">
        <f>IF($J4231=1,LN(R4232/R4231),"")</f>
        <v/>
      </c>
      <c r="R4231" s="32" t="n">
        <v>4.968</v>
      </c>
      <c r="S4231" s="35" t="n">
        <v>12.7</v>
      </c>
      <c r="T4231" s="18" t="n">
        <v>110213.12</v>
      </c>
      <c r="U4231" s="18" t="n"/>
      <c r="V4231" s="18" t="n"/>
      <c r="W4231" s="18" t="n"/>
      <c r="X4231" s="35" t="n"/>
      <c r="Y4231" s="35" t="n">
        <v>12.7</v>
      </c>
    </row>
    <row r="4232">
      <c r="A4232" s="25" t="n">
        <v>45069</v>
      </c>
      <c r="B4232" s="18" t="n">
        <v>109928.53</v>
      </c>
      <c r="C4232" s="31" t="n"/>
      <c r="D4232" s="32" t="n"/>
      <c r="E4232" s="33" t="n">
        <v>0.0487</v>
      </c>
      <c r="F4232" t="inlineStr">
        <is>
          <t>Up</t>
        </is>
      </c>
      <c r="G4232" t="inlineStr">
        <is>
          <t>Down</t>
        </is>
      </c>
      <c r="H4232" t="inlineStr">
        <is>
          <t>EU_JD</t>
        </is>
      </c>
      <c r="I4232" t="inlineStr">
        <is>
          <t>2023-05</t>
        </is>
      </c>
      <c r="J4232" t="n">
        <v>1</v>
      </c>
      <c r="K4232" t="n">
        <v>1</v>
      </c>
      <c r="L4232" s="34">
        <f>IF($J4232=1,LN(B4233/B4232),"")</f>
        <v/>
      </c>
      <c r="M4232" s="34">
        <f>IF($K4232=1,INDEX(Mensal!$D$2:$D$245,MATCH($I4232,Mensal!$A$2:$A$245,0)),"")</f>
        <v/>
      </c>
      <c r="N4232" s="34">
        <f>IF($K4232=1,L4232-M4232,"")</f>
        <v/>
      </c>
      <c r="O4232" s="34" t="n">
        <v>0.0005078800000000001</v>
      </c>
      <c r="P4232" s="34">
        <f>IF($J4232=1,LN(1+O4232),"")</f>
        <v/>
      </c>
      <c r="Q4232" s="34">
        <f>IF($J4232=1,LN(R4233/R4232),"")</f>
        <v/>
      </c>
      <c r="R4232" s="32" t="n">
        <v>4.9674</v>
      </c>
      <c r="S4232" s="35" t="n">
        <v>12.66</v>
      </c>
      <c r="T4232" s="18" t="n">
        <v>109928.53</v>
      </c>
      <c r="U4232" s="18" t="n"/>
      <c r="V4232" s="18" t="n"/>
      <c r="W4232" s="18" t="n"/>
      <c r="X4232" s="35" t="n"/>
      <c r="Y4232" s="35" t="n">
        <v>12.66</v>
      </c>
    </row>
    <row r="4233">
      <c r="A4233" s="25" t="n">
        <v>45070</v>
      </c>
      <c r="B4233" s="18" t="n">
        <v>108799.54</v>
      </c>
      <c r="C4233" s="31" t="n"/>
      <c r="D4233" s="32" t="n"/>
      <c r="E4233" s="33" t="n">
        <v>0.0117</v>
      </c>
      <c r="F4233" t="inlineStr">
        <is>
          <t>Up</t>
        </is>
      </c>
      <c r="G4233" t="inlineStr">
        <is>
          <t>Down</t>
        </is>
      </c>
      <c r="H4233" t="inlineStr">
        <is>
          <t>EU_JD</t>
        </is>
      </c>
      <c r="I4233" t="inlineStr">
        <is>
          <t>2023-05</t>
        </is>
      </c>
      <c r="J4233" t="n">
        <v>1</v>
      </c>
      <c r="K4233" t="n">
        <v>1</v>
      </c>
      <c r="L4233" s="34">
        <f>IF($J4233=1,LN(B4234/B4233),"")</f>
        <v/>
      </c>
      <c r="M4233" s="34">
        <f>IF($K4233=1,INDEX(Mensal!$D$2:$D$245,MATCH($I4233,Mensal!$A$2:$A$245,0)),"")</f>
        <v/>
      </c>
      <c r="N4233" s="34">
        <f>IF($K4233=1,L4233-M4233,"")</f>
        <v/>
      </c>
      <c r="O4233" s="34" t="n">
        <v>0.0005078800000000001</v>
      </c>
      <c r="P4233" s="34">
        <f>IF($J4233=1,LN(1+O4233),"")</f>
        <v/>
      </c>
      <c r="Q4233" s="34">
        <f>IF($J4233=1,LN(R4234/R4233),"")</f>
        <v/>
      </c>
      <c r="R4233" s="32" t="n">
        <v>4.9474</v>
      </c>
      <c r="S4233" s="35" t="n">
        <v>12.62</v>
      </c>
      <c r="T4233" s="18" t="n">
        <v>108799.54</v>
      </c>
      <c r="U4233" s="18" t="n"/>
      <c r="V4233" s="18" t="n"/>
      <c r="W4233" s="18" t="n"/>
      <c r="X4233" s="35" t="n"/>
      <c r="Y4233" s="35" t="n">
        <v>12.62</v>
      </c>
    </row>
    <row r="4234">
      <c r="A4234" s="25" t="n">
        <v>45071</v>
      </c>
      <c r="B4234" s="18" t="n">
        <v>110054.38</v>
      </c>
      <c r="C4234" s="31" t="n"/>
      <c r="D4234" s="32" t="n"/>
      <c r="E4234" s="33" t="n">
        <v>-0.016</v>
      </c>
      <c r="F4234" t="inlineStr">
        <is>
          <t>Up</t>
        </is>
      </c>
      <c r="G4234" t="inlineStr">
        <is>
          <t>Down</t>
        </is>
      </c>
      <c r="H4234" t="inlineStr">
        <is>
          <t>EU_JD</t>
        </is>
      </c>
      <c r="I4234" t="inlineStr">
        <is>
          <t>2023-05</t>
        </is>
      </c>
      <c r="J4234" t="n">
        <v>1</v>
      </c>
      <c r="K4234" t="n">
        <v>1</v>
      </c>
      <c r="L4234" s="34">
        <f>IF($J4234=1,LN(B4235/B4234),"")</f>
        <v/>
      </c>
      <c r="M4234" s="34">
        <f>IF($K4234=1,INDEX(Mensal!$D$2:$D$245,MATCH($I4234,Mensal!$A$2:$A$245,0)),"")</f>
        <v/>
      </c>
      <c r="N4234" s="34">
        <f>IF($K4234=1,L4234-M4234,"")</f>
        <v/>
      </c>
      <c r="O4234" s="34" t="n">
        <v>0.0005078800000000001</v>
      </c>
      <c r="P4234" s="34">
        <f>IF($J4234=1,LN(1+O4234),"")</f>
        <v/>
      </c>
      <c r="Q4234" s="34">
        <f>IF($J4234=1,LN(R4235/R4234),"")</f>
        <v/>
      </c>
      <c r="R4234" s="32" t="n">
        <v>4.999</v>
      </c>
      <c r="S4234" s="35" t="n">
        <v>12.48</v>
      </c>
      <c r="T4234" s="18" t="n">
        <v>110054.38</v>
      </c>
      <c r="U4234" s="18" t="n"/>
      <c r="V4234" s="18" t="n"/>
      <c r="W4234" s="18" t="n"/>
      <c r="X4234" s="35" t="n"/>
      <c r="Y4234" s="35" t="n">
        <v>12.48</v>
      </c>
    </row>
    <row r="4235">
      <c r="A4235" s="25" t="n">
        <v>45072</v>
      </c>
      <c r="B4235" s="18" t="n">
        <v>110905.51</v>
      </c>
      <c r="C4235" s="31" t="n"/>
      <c r="D4235" s="32" t="n"/>
      <c r="E4235" s="33" t="n">
        <v>-0.06710000000000001</v>
      </c>
      <c r="F4235" t="inlineStr">
        <is>
          <t>Up</t>
        </is>
      </c>
      <c r="G4235" t="inlineStr">
        <is>
          <t>Down</t>
        </is>
      </c>
      <c r="H4235" t="inlineStr">
        <is>
          <t>EU_JD</t>
        </is>
      </c>
      <c r="I4235" t="inlineStr">
        <is>
          <t>2023-05</t>
        </is>
      </c>
      <c r="J4235" t="n">
        <v>1</v>
      </c>
      <c r="K4235" t="n">
        <v>1</v>
      </c>
      <c r="L4235" s="34">
        <f>IF($J4235=1,LN(B4236/B4235),"")</f>
        <v/>
      </c>
      <c r="M4235" s="34">
        <f>IF($K4235=1,INDEX(Mensal!$D$2:$D$245,MATCH($I4235,Mensal!$A$2:$A$245,0)),"")</f>
        <v/>
      </c>
      <c r="N4235" s="34">
        <f>IF($K4235=1,L4235-M4235,"")</f>
        <v/>
      </c>
      <c r="O4235" s="34" t="n">
        <v>0.0005078800000000001</v>
      </c>
      <c r="P4235" s="34">
        <f>IF($J4235=1,LN(1+O4235),"")</f>
        <v/>
      </c>
      <c r="Q4235" s="34">
        <f>IF($J4235=1,LN(R4236/R4235),"")</f>
        <v/>
      </c>
      <c r="R4235" s="32" t="n">
        <v>5.0114</v>
      </c>
      <c r="S4235" s="35" t="n">
        <v>12.45</v>
      </c>
      <c r="T4235" s="18" t="n">
        <v>110905.51</v>
      </c>
      <c r="U4235" s="18" t="n"/>
      <c r="V4235" s="18" t="n"/>
      <c r="W4235" s="18" t="n"/>
      <c r="X4235" s="35" t="n"/>
      <c r="Y4235" s="35" t="n">
        <v>12.45</v>
      </c>
    </row>
    <row r="4236">
      <c r="A4236" s="25" t="n">
        <v>45075</v>
      </c>
      <c r="B4236" s="18" t="n">
        <v>110333.4</v>
      </c>
      <c r="C4236" s="31" t="n"/>
      <c r="D4236" s="32" t="n"/>
      <c r="E4236" s="33" t="n">
        <v>-0.1181</v>
      </c>
      <c r="F4236" t="inlineStr">
        <is>
          <t>Up</t>
        </is>
      </c>
      <c r="G4236" t="inlineStr">
        <is>
          <t>Down</t>
        </is>
      </c>
      <c r="H4236" t="inlineStr">
        <is>
          <t>EU_JD</t>
        </is>
      </c>
      <c r="I4236" t="inlineStr">
        <is>
          <t>2023-05</t>
        </is>
      </c>
      <c r="J4236" t="n">
        <v>1</v>
      </c>
      <c r="K4236" t="n">
        <v>1</v>
      </c>
      <c r="L4236" s="34">
        <f>IF($J4236=1,LN(B4237/B4236),"")</f>
        <v/>
      </c>
      <c r="M4236" s="34">
        <f>IF($K4236=1,INDEX(Mensal!$D$2:$D$245,MATCH($I4236,Mensal!$A$2:$A$245,0)),"")</f>
        <v/>
      </c>
      <c r="N4236" s="34">
        <f>IF($K4236=1,L4236-M4236,"")</f>
        <v/>
      </c>
      <c r="O4236" s="34" t="n">
        <v>0.0005078800000000001</v>
      </c>
      <c r="P4236" s="34">
        <f>IF($J4236=1,LN(1+O4236),"")</f>
        <v/>
      </c>
      <c r="Q4236" s="34">
        <f>IF($J4236=1,LN(R4237/R4236),"")</f>
        <v/>
      </c>
      <c r="R4236" s="32" t="n">
        <v>4.9954</v>
      </c>
      <c r="S4236" s="35" t="n">
        <v>12.47</v>
      </c>
      <c r="T4236" s="18" t="n">
        <v>110333.4</v>
      </c>
      <c r="U4236" s="18" t="n"/>
      <c r="V4236" s="18" t="n"/>
      <c r="W4236" s="18" t="n"/>
      <c r="X4236" s="35" t="n"/>
      <c r="Y4236" s="35" t="n">
        <v>12.47</v>
      </c>
    </row>
    <row r="4237">
      <c r="A4237" s="25" t="n">
        <v>45076</v>
      </c>
      <c r="B4237" s="18" t="n">
        <v>108967.03</v>
      </c>
      <c r="C4237" s="31" t="n"/>
      <c r="D4237" s="32" t="n"/>
      <c r="E4237" s="33" t="n">
        <v>-0.1226</v>
      </c>
      <c r="F4237" t="inlineStr">
        <is>
          <t>Up</t>
        </is>
      </c>
      <c r="G4237" t="inlineStr">
        <is>
          <t>Down</t>
        </is>
      </c>
      <c r="H4237" t="inlineStr">
        <is>
          <t>EU_JD</t>
        </is>
      </c>
      <c r="I4237" t="inlineStr">
        <is>
          <t>2023-05</t>
        </is>
      </c>
      <c r="J4237" t="n">
        <v>1</v>
      </c>
      <c r="K4237" t="n">
        <v>1</v>
      </c>
      <c r="L4237" s="34">
        <f>IF($J4237=1,LN(B4238/B4237),"")</f>
        <v/>
      </c>
      <c r="M4237" s="34">
        <f>IF($K4237=1,INDEX(Mensal!$D$2:$D$245,MATCH($I4237,Mensal!$A$2:$A$245,0)),"")</f>
        <v/>
      </c>
      <c r="N4237" s="34">
        <f>IF($K4237=1,L4237-M4237,"")</f>
        <v/>
      </c>
      <c r="O4237" s="34" t="n">
        <v>0.0005078800000000001</v>
      </c>
      <c r="P4237" s="34">
        <f>IF($J4237=1,LN(1+O4237),"")</f>
        <v/>
      </c>
      <c r="Q4237" s="34">
        <f>IF($J4237=1,LN(R4238/R4237),"")</f>
        <v/>
      </c>
      <c r="R4237" s="32" t="n">
        <v>5.0593</v>
      </c>
      <c r="S4237" s="35" t="n">
        <v>12.43</v>
      </c>
      <c r="T4237" s="18" t="n">
        <v>108967.03</v>
      </c>
      <c r="U4237" s="18" t="n"/>
      <c r="V4237" s="18" t="n"/>
      <c r="W4237" s="18" t="n"/>
      <c r="X4237" s="35" t="n"/>
      <c r="Y4237" s="35" t="n">
        <v>12.43</v>
      </c>
    </row>
    <row r="4238">
      <c r="A4238" s="25" t="n">
        <v>45077</v>
      </c>
      <c r="B4238" s="18" t="n">
        <v>108335.07</v>
      </c>
      <c r="C4238" s="31" t="n"/>
      <c r="D4238" s="32" t="n"/>
      <c r="E4238" s="33" t="n">
        <v>-0.1191</v>
      </c>
      <c r="F4238" t="inlineStr">
        <is>
          <t>Up</t>
        </is>
      </c>
      <c r="G4238" t="inlineStr">
        <is>
          <t>Down</t>
        </is>
      </c>
      <c r="H4238" t="inlineStr">
        <is>
          <t>EU_JD</t>
        </is>
      </c>
      <c r="I4238" t="inlineStr">
        <is>
          <t>2023-05</t>
        </is>
      </c>
      <c r="J4238" t="n">
        <v>1</v>
      </c>
      <c r="K4238" t="n">
        <v>1</v>
      </c>
      <c r="L4238" s="34">
        <f>IF($J4238=1,LN(B4239/B4238),"")</f>
        <v/>
      </c>
      <c r="M4238" s="34">
        <f>IF($K4238=1,INDEX(Mensal!$D$2:$D$245,MATCH($I4238,Mensal!$A$2:$A$245,0)),"")</f>
        <v/>
      </c>
      <c r="N4238" s="34">
        <f>IF($K4238=1,L4238-M4238,"")</f>
        <v/>
      </c>
      <c r="O4238" s="34" t="n">
        <v>0.0005078800000000001</v>
      </c>
      <c r="P4238" s="34">
        <f>IF($J4238=1,LN(1+O4238),"")</f>
        <v/>
      </c>
      <c r="Q4238" s="34">
        <f>IF($J4238=1,LN(R4239/R4238),"")</f>
        <v/>
      </c>
      <c r="R4238" s="32" t="n">
        <v>5.0959</v>
      </c>
      <c r="S4238" s="35" t="n">
        <v>12.45</v>
      </c>
      <c r="T4238" s="18" t="n">
        <v>108335.07</v>
      </c>
      <c r="U4238" s="18" t="n"/>
      <c r="V4238" s="18" t="n"/>
      <c r="W4238" s="18" t="n"/>
      <c r="X4238" s="35" t="n"/>
      <c r="Y4238" s="35" t="n">
        <v>12.45</v>
      </c>
    </row>
    <row r="4239">
      <c r="A4239" s="25" t="n">
        <v>45078</v>
      </c>
      <c r="B4239" s="18" t="n">
        <v>110564.66</v>
      </c>
      <c r="C4239" s="31" t="n"/>
      <c r="D4239" s="32" t="n"/>
      <c r="E4239" s="33" t="n">
        <v>-0.1168</v>
      </c>
      <c r="F4239" t="inlineStr">
        <is>
          <t>Up</t>
        </is>
      </c>
      <c r="G4239" t="inlineStr">
        <is>
          <t>Down</t>
        </is>
      </c>
      <c r="H4239" t="inlineStr">
        <is>
          <t>EU_JD</t>
        </is>
      </c>
      <c r="I4239" t="inlineStr">
        <is>
          <t>2023-06</t>
        </is>
      </c>
      <c r="J4239" t="n">
        <v>1</v>
      </c>
      <c r="K4239" t="n">
        <v>1</v>
      </c>
      <c r="L4239" s="34">
        <f>IF($J4239=1,LN(B4240/B4239),"")</f>
        <v/>
      </c>
      <c r="M4239" s="34">
        <f>IF($K4239=1,INDEX(Mensal!$D$2:$D$245,MATCH($I4239,Mensal!$A$2:$A$245,0)),"")</f>
        <v/>
      </c>
      <c r="N4239" s="34">
        <f>IF($K4239=1,L4239-M4239,"")</f>
        <v/>
      </c>
      <c r="O4239" s="34" t="n">
        <v>0.0005078800000000001</v>
      </c>
      <c r="P4239" s="34">
        <f>IF($J4239=1,LN(1+O4239),"")</f>
        <v/>
      </c>
      <c r="Q4239" s="34">
        <f>IF($J4239=1,LN(R4240/R4239),"")</f>
        <v/>
      </c>
      <c r="R4239" s="32" t="n">
        <v>5.035</v>
      </c>
      <c r="S4239" s="35" t="n">
        <v>12.44</v>
      </c>
      <c r="T4239" s="18" t="n">
        <v>110564.66</v>
      </c>
      <c r="U4239" s="18" t="n"/>
      <c r="V4239" s="18" t="n"/>
      <c r="W4239" s="18" t="n"/>
      <c r="X4239" s="35" t="n"/>
      <c r="Y4239" s="35" t="n">
        <v>12.44</v>
      </c>
    </row>
    <row r="4240">
      <c r="A4240" s="25" t="n">
        <v>45079</v>
      </c>
      <c r="B4240" s="18" t="n">
        <v>112558.15</v>
      </c>
      <c r="C4240" s="31" t="n"/>
      <c r="D4240" s="32" t="n"/>
      <c r="E4240" s="33" t="n">
        <v>-0.1212</v>
      </c>
      <c r="F4240" t="inlineStr">
        <is>
          <t>Up</t>
        </is>
      </c>
      <c r="G4240" t="inlineStr">
        <is>
          <t>Down</t>
        </is>
      </c>
      <c r="H4240" t="inlineStr">
        <is>
          <t>EU_JD</t>
        </is>
      </c>
      <c r="I4240" t="inlineStr">
        <is>
          <t>2023-06</t>
        </is>
      </c>
      <c r="J4240" t="n">
        <v>1</v>
      </c>
      <c r="K4240" t="n">
        <v>1</v>
      </c>
      <c r="L4240" s="34">
        <f>IF($J4240=1,LN(B4241/B4240),"")</f>
        <v/>
      </c>
      <c r="M4240" s="34">
        <f>IF($K4240=1,INDEX(Mensal!$D$2:$D$245,MATCH($I4240,Mensal!$A$2:$A$245,0)),"")</f>
        <v/>
      </c>
      <c r="N4240" s="34">
        <f>IF($K4240=1,L4240-M4240,"")</f>
        <v/>
      </c>
      <c r="O4240" s="34" t="n">
        <v>0.0005078800000000001</v>
      </c>
      <c r="P4240" s="34">
        <f>IF($J4240=1,LN(1+O4240),"")</f>
        <v/>
      </c>
      <c r="Q4240" s="34">
        <f>IF($J4240=1,LN(R4241/R4240),"")</f>
        <v/>
      </c>
      <c r="R4240" s="32" t="n">
        <v>4.9558</v>
      </c>
      <c r="S4240" s="35" t="n">
        <v>12.45</v>
      </c>
      <c r="T4240" s="18" t="n">
        <v>112558.15</v>
      </c>
      <c r="U4240" s="18" t="n"/>
      <c r="V4240" s="18" t="n"/>
      <c r="W4240" s="18" t="n"/>
      <c r="X4240" s="35" t="n"/>
      <c r="Y4240" s="35" t="n">
        <v>12.45</v>
      </c>
    </row>
    <row r="4241">
      <c r="A4241" s="25" t="n">
        <v>45082</v>
      </c>
      <c r="B4241" s="18" t="n">
        <v>112696.32</v>
      </c>
      <c r="C4241" s="31" t="n"/>
      <c r="D4241" s="32" t="n"/>
      <c r="E4241" s="33" t="n">
        <v>-0.1398</v>
      </c>
      <c r="F4241" t="inlineStr">
        <is>
          <t>Up</t>
        </is>
      </c>
      <c r="G4241" t="inlineStr">
        <is>
          <t>Down</t>
        </is>
      </c>
      <c r="H4241" t="inlineStr">
        <is>
          <t>EU_JD</t>
        </is>
      </c>
      <c r="I4241" t="inlineStr">
        <is>
          <t>2023-06</t>
        </is>
      </c>
      <c r="J4241" t="n">
        <v>1</v>
      </c>
      <c r="K4241" t="n">
        <v>1</v>
      </c>
      <c r="L4241" s="34">
        <f>IF($J4241=1,LN(B4242/B4241),"")</f>
        <v/>
      </c>
      <c r="M4241" s="34">
        <f>IF($K4241=1,INDEX(Mensal!$D$2:$D$245,MATCH($I4241,Mensal!$A$2:$A$245,0)),"")</f>
        <v/>
      </c>
      <c r="N4241" s="34">
        <f>IF($K4241=1,L4241-M4241,"")</f>
        <v/>
      </c>
      <c r="O4241" s="34" t="n">
        <v>0.0005078800000000001</v>
      </c>
      <c r="P4241" s="34">
        <f>IF($J4241=1,LN(1+O4241),"")</f>
        <v/>
      </c>
      <c r="Q4241" s="34">
        <f>IF($J4241=1,LN(R4242/R4241),"")</f>
        <v/>
      </c>
      <c r="R4241" s="32" t="n">
        <v>4.9236</v>
      </c>
      <c r="S4241" s="35" t="n">
        <v>12.32</v>
      </c>
      <c r="T4241" s="18" t="n">
        <v>112696.32</v>
      </c>
      <c r="U4241" s="18" t="n"/>
      <c r="V4241" s="18" t="n"/>
      <c r="W4241" s="18" t="n"/>
      <c r="X4241" s="35" t="n"/>
      <c r="Y4241" s="35" t="n">
        <v>12.32</v>
      </c>
    </row>
    <row r="4242">
      <c r="A4242" s="25" t="n">
        <v>45083</v>
      </c>
      <c r="B4242" s="18" t="n">
        <v>114610.1</v>
      </c>
      <c r="C4242" s="31" t="n"/>
      <c r="D4242" s="32" t="n"/>
      <c r="E4242" s="33" t="n">
        <v>-0.1666</v>
      </c>
      <c r="F4242" t="inlineStr">
        <is>
          <t>Up</t>
        </is>
      </c>
      <c r="G4242" t="inlineStr">
        <is>
          <t>Down</t>
        </is>
      </c>
      <c r="H4242" t="inlineStr">
        <is>
          <t>EU_JD</t>
        </is>
      </c>
      <c r="I4242" t="inlineStr">
        <is>
          <t>2023-06</t>
        </is>
      </c>
      <c r="J4242" t="n">
        <v>1</v>
      </c>
      <c r="K4242" t="n">
        <v>1</v>
      </c>
      <c r="L4242" s="34">
        <f>IF($J4242=1,LN(B4243/B4242),"")</f>
        <v/>
      </c>
      <c r="M4242" s="34">
        <f>IF($K4242=1,INDEX(Mensal!$D$2:$D$245,MATCH($I4242,Mensal!$A$2:$A$245,0)),"")</f>
        <v/>
      </c>
      <c r="N4242" s="34">
        <f>IF($K4242=1,L4242-M4242,"")</f>
        <v/>
      </c>
      <c r="O4242" s="34" t="n">
        <v>0.0005078800000000001</v>
      </c>
      <c r="P4242" s="34">
        <f>IF($J4242=1,LN(1+O4242),"")</f>
        <v/>
      </c>
      <c r="Q4242" s="34">
        <f>IF($J4242=1,LN(R4243/R4242),"")</f>
        <v/>
      </c>
      <c r="R4242" s="32" t="n">
        <v>4.9292</v>
      </c>
      <c r="S4242" s="35" t="n">
        <v>12.26</v>
      </c>
      <c r="T4242" s="18" t="n">
        <v>114610.1</v>
      </c>
      <c r="U4242" s="18" t="n"/>
      <c r="V4242" s="18" t="n"/>
      <c r="W4242" s="18" t="n"/>
      <c r="X4242" s="35" t="n"/>
      <c r="Y4242" s="35" t="n">
        <v>12.26</v>
      </c>
    </row>
    <row r="4243">
      <c r="A4243" s="25" t="n">
        <v>45084</v>
      </c>
      <c r="B4243" s="18" t="n">
        <v>115488.16</v>
      </c>
      <c r="C4243" s="31" t="n"/>
      <c r="D4243" s="32" t="n"/>
      <c r="E4243" s="33" t="n">
        <v>-0.2011</v>
      </c>
      <c r="F4243" t="inlineStr">
        <is>
          <t>Up</t>
        </is>
      </c>
      <c r="G4243" t="inlineStr">
        <is>
          <t>Down</t>
        </is>
      </c>
      <c r="H4243" t="inlineStr">
        <is>
          <t>EU_JD</t>
        </is>
      </c>
      <c r="I4243" t="inlineStr">
        <is>
          <t>2023-06</t>
        </is>
      </c>
      <c r="J4243" t="n">
        <v>1</v>
      </c>
      <c r="K4243" t="n">
        <v>1</v>
      </c>
      <c r="L4243" s="34">
        <f>IF($J4243=1,LN(B4244/B4243),"")</f>
        <v/>
      </c>
      <c r="M4243" s="34">
        <f>IF($K4243=1,INDEX(Mensal!$D$2:$D$245,MATCH($I4243,Mensal!$A$2:$A$245,0)),"")</f>
        <v/>
      </c>
      <c r="N4243" s="34">
        <f>IF($K4243=1,L4243-M4243,"")</f>
        <v/>
      </c>
      <c r="O4243" s="34" t="n">
        <v>0.0005078800000000001</v>
      </c>
      <c r="P4243" s="34">
        <f>IF($J4243=1,LN(1+O4243),"")</f>
        <v/>
      </c>
      <c r="Q4243" s="34">
        <f>IF($J4243=1,LN(R4244/R4243),"")</f>
        <v/>
      </c>
      <c r="R4243" s="32" t="n">
        <v>4.9119</v>
      </c>
      <c r="S4243" s="35" t="n">
        <v>12.24</v>
      </c>
      <c r="T4243" s="18" t="n">
        <v>115488.16</v>
      </c>
      <c r="U4243" s="18" t="n"/>
      <c r="V4243" s="18" t="n"/>
      <c r="W4243" s="18" t="n"/>
      <c r="X4243" s="35" t="n"/>
      <c r="Y4243" s="35" t="n">
        <v>12.24</v>
      </c>
    </row>
    <row r="4244">
      <c r="A4244" s="25" t="n">
        <v>45086</v>
      </c>
      <c r="B4244" s="18" t="n">
        <v>117019.48</v>
      </c>
      <c r="C4244" s="31" t="n"/>
      <c r="D4244" s="32" t="n"/>
      <c r="E4244" s="33" t="n">
        <v>-0.2325</v>
      </c>
      <c r="F4244" t="inlineStr">
        <is>
          <t>Up</t>
        </is>
      </c>
      <c r="G4244" t="inlineStr">
        <is>
          <t>Down</t>
        </is>
      </c>
      <c r="H4244" t="inlineStr">
        <is>
          <t>EU_JD</t>
        </is>
      </c>
      <c r="I4244" t="inlineStr">
        <is>
          <t>2023-06</t>
        </is>
      </c>
      <c r="J4244" t="n">
        <v>1</v>
      </c>
      <c r="K4244" t="n">
        <v>1</v>
      </c>
      <c r="L4244" s="34">
        <f>IF($J4244=1,LN(B4245/B4244),"")</f>
        <v/>
      </c>
      <c r="M4244" s="34">
        <f>IF($K4244=1,INDEX(Mensal!$D$2:$D$245,MATCH($I4244,Mensal!$A$2:$A$245,0)),"")</f>
        <v/>
      </c>
      <c r="N4244" s="34">
        <f>IF($K4244=1,L4244-M4244,"")</f>
        <v/>
      </c>
      <c r="O4244" s="34" t="n">
        <v>0.0005078800000000001</v>
      </c>
      <c r="P4244" s="34">
        <f>IF($J4244=1,LN(1+O4244),"")</f>
        <v/>
      </c>
      <c r="Q4244" s="34">
        <f>IF($J4244=1,LN(R4245/R4244),"")</f>
        <v/>
      </c>
      <c r="R4244" s="32" t="n">
        <v>4.8922</v>
      </c>
      <c r="S4244" s="35" t="n">
        <v>12.08</v>
      </c>
      <c r="T4244" s="18" t="n">
        <v>117019.48</v>
      </c>
      <c r="U4244" s="18" t="n"/>
      <c r="V4244" s="18" t="n"/>
      <c r="W4244" s="18" t="n"/>
      <c r="X4244" s="35" t="n"/>
      <c r="Y4244" s="35" t="n">
        <v>12.08</v>
      </c>
    </row>
    <row r="4245">
      <c r="A4245" s="25" t="n">
        <v>45089</v>
      </c>
      <c r="B4245" s="18" t="n">
        <v>117336.34</v>
      </c>
      <c r="C4245" s="31" t="n"/>
      <c r="D4245" s="32" t="n"/>
      <c r="E4245" s="33" t="n">
        <v>-0.2524</v>
      </c>
      <c r="F4245" t="inlineStr">
        <is>
          <t>Up</t>
        </is>
      </c>
      <c r="G4245" t="inlineStr">
        <is>
          <t>Down</t>
        </is>
      </c>
      <c r="H4245" t="inlineStr">
        <is>
          <t>EU_JD</t>
        </is>
      </c>
      <c r="I4245" t="inlineStr">
        <is>
          <t>2023-06</t>
        </is>
      </c>
      <c r="J4245" t="n">
        <v>1</v>
      </c>
      <c r="K4245" t="n">
        <v>1</v>
      </c>
      <c r="L4245" s="34">
        <f>IF($J4245=1,LN(B4246/B4245),"")</f>
        <v/>
      </c>
      <c r="M4245" s="34">
        <f>IF($K4245=1,INDEX(Mensal!$D$2:$D$245,MATCH($I4245,Mensal!$A$2:$A$245,0)),"")</f>
        <v/>
      </c>
      <c r="N4245" s="34">
        <f>IF($K4245=1,L4245-M4245,"")</f>
        <v/>
      </c>
      <c r="O4245" s="34" t="n">
        <v>0.0005078800000000001</v>
      </c>
      <c r="P4245" s="34">
        <f>IF($J4245=1,LN(1+O4245),"")</f>
        <v/>
      </c>
      <c r="Q4245" s="34">
        <f>IF($J4245=1,LN(R4246/R4245),"")</f>
        <v/>
      </c>
      <c r="R4245" s="32" t="n">
        <v>4.8832</v>
      </c>
      <c r="S4245" s="35" t="n">
        <v>12.04</v>
      </c>
      <c r="T4245" s="18" t="n">
        <v>117336.34</v>
      </c>
      <c r="U4245" s="18" t="n"/>
      <c r="V4245" s="18" t="n"/>
      <c r="W4245" s="18" t="n"/>
      <c r="X4245" s="35" t="n"/>
      <c r="Y4245" s="35" t="n">
        <v>12.04</v>
      </c>
    </row>
    <row r="4246">
      <c r="A4246" s="25" t="n">
        <v>45090</v>
      </c>
      <c r="B4246" s="18" t="n">
        <v>116742.71</v>
      </c>
      <c r="C4246" s="31" t="n"/>
      <c r="D4246" s="32" t="n"/>
      <c r="E4246" s="33" t="n">
        <v>-0.2602</v>
      </c>
      <c r="F4246" t="inlineStr">
        <is>
          <t>Up</t>
        </is>
      </c>
      <c r="G4246" t="inlineStr">
        <is>
          <t>Down</t>
        </is>
      </c>
      <c r="H4246" t="inlineStr">
        <is>
          <t>EU_JD</t>
        </is>
      </c>
      <c r="I4246" t="inlineStr">
        <is>
          <t>2023-06</t>
        </is>
      </c>
      <c r="J4246" t="n">
        <v>1</v>
      </c>
      <c r="K4246" t="n">
        <v>1</v>
      </c>
      <c r="L4246" s="34">
        <f>IF($J4246=1,LN(B4247/B4246),"")</f>
        <v/>
      </c>
      <c r="M4246" s="34">
        <f>IF($K4246=1,INDEX(Mensal!$D$2:$D$245,MATCH($I4246,Mensal!$A$2:$A$245,0)),"")</f>
        <v/>
      </c>
      <c r="N4246" s="34">
        <f>IF($K4246=1,L4246-M4246,"")</f>
        <v/>
      </c>
      <c r="O4246" s="34" t="n">
        <v>0.0005078800000000001</v>
      </c>
      <c r="P4246" s="34">
        <f>IF($J4246=1,LN(1+O4246),"")</f>
        <v/>
      </c>
      <c r="Q4246" s="34">
        <f>IF($J4246=1,LN(R4247/R4246),"")</f>
        <v/>
      </c>
      <c r="R4246" s="32" t="n">
        <v>4.8533</v>
      </c>
      <c r="S4246" s="35" t="n">
        <v>12.14</v>
      </c>
      <c r="T4246" s="18" t="n">
        <v>116742.71</v>
      </c>
      <c r="U4246" s="18" t="n"/>
      <c r="V4246" s="18" t="n"/>
      <c r="W4246" s="18" t="n"/>
      <c r="X4246" s="35" t="n"/>
      <c r="Y4246" s="35" t="n">
        <v>12.14</v>
      </c>
    </row>
    <row r="4247">
      <c r="A4247" s="25" t="n">
        <v>45091</v>
      </c>
      <c r="B4247" s="18" t="n">
        <v>119068.77</v>
      </c>
      <c r="C4247" s="31" t="n"/>
      <c r="D4247" s="32" t="n"/>
      <c r="E4247" s="33" t="n">
        <v>-0.2673</v>
      </c>
      <c r="F4247" t="inlineStr">
        <is>
          <t>Up</t>
        </is>
      </c>
      <c r="G4247" t="inlineStr">
        <is>
          <t>Down</t>
        </is>
      </c>
      <c r="H4247" t="inlineStr">
        <is>
          <t>EU_JD</t>
        </is>
      </c>
      <c r="I4247" t="inlineStr">
        <is>
          <t>2023-06</t>
        </is>
      </c>
      <c r="J4247" t="n">
        <v>1</v>
      </c>
      <c r="K4247" t="n">
        <v>1</v>
      </c>
      <c r="L4247" s="34">
        <f>IF($J4247=1,LN(B4248/B4247),"")</f>
        <v/>
      </c>
      <c r="M4247" s="34">
        <f>IF($K4247=1,INDEX(Mensal!$D$2:$D$245,MATCH($I4247,Mensal!$A$2:$A$245,0)),"")</f>
        <v/>
      </c>
      <c r="N4247" s="34">
        <f>IF($K4247=1,L4247-M4247,"")</f>
        <v/>
      </c>
      <c r="O4247" s="34" t="n">
        <v>0.0005078800000000001</v>
      </c>
      <c r="P4247" s="34">
        <f>IF($J4247=1,LN(1+O4247),"")</f>
        <v/>
      </c>
      <c r="Q4247" s="34">
        <f>IF($J4247=1,LN(R4248/R4247),"")</f>
        <v/>
      </c>
      <c r="R4247" s="32" t="n">
        <v>4.8462</v>
      </c>
      <c r="S4247" s="35" t="n">
        <v>12.1</v>
      </c>
      <c r="T4247" s="18" t="n">
        <v>119068.77</v>
      </c>
      <c r="U4247" s="18" t="n"/>
      <c r="V4247" s="18" t="n"/>
      <c r="W4247" s="18" t="n"/>
      <c r="X4247" s="35" t="n"/>
      <c r="Y4247" s="35" t="n">
        <v>12.1</v>
      </c>
    </row>
    <row r="4248">
      <c r="A4248" s="25" t="n">
        <v>45092</v>
      </c>
      <c r="B4248" s="18" t="n">
        <v>119221</v>
      </c>
      <c r="C4248" s="31" t="n"/>
      <c r="D4248" s="32" t="n"/>
      <c r="E4248" s="33" t="n">
        <v>-0.2649</v>
      </c>
      <c r="F4248" t="inlineStr">
        <is>
          <t>Up</t>
        </is>
      </c>
      <c r="G4248" t="inlineStr">
        <is>
          <t>Down</t>
        </is>
      </c>
      <c r="H4248" t="inlineStr">
        <is>
          <t>EU_JD</t>
        </is>
      </c>
      <c r="I4248" t="inlineStr">
        <is>
          <t>2023-06</t>
        </is>
      </c>
      <c r="J4248" t="n">
        <v>1</v>
      </c>
      <c r="K4248" t="n">
        <v>1</v>
      </c>
      <c r="L4248" s="34">
        <f>IF($J4248=1,LN(B4249/B4248),"")</f>
        <v/>
      </c>
      <c r="M4248" s="34">
        <f>IF($K4248=1,INDEX(Mensal!$D$2:$D$245,MATCH($I4248,Mensal!$A$2:$A$245,0)),"")</f>
        <v/>
      </c>
      <c r="N4248" s="34">
        <f>IF($K4248=1,L4248-M4248,"")</f>
        <v/>
      </c>
      <c r="O4248" s="34" t="n">
        <v>0.0005078800000000001</v>
      </c>
      <c r="P4248" s="34">
        <f>IF($J4248=1,LN(1+O4248),"")</f>
        <v/>
      </c>
      <c r="Q4248" s="34">
        <f>IF($J4248=1,LN(R4249/R4248),"")</f>
        <v/>
      </c>
      <c r="R4248" s="32" t="n">
        <v>4.8222</v>
      </c>
      <c r="S4248" s="35" t="n">
        <v>12.04</v>
      </c>
      <c r="T4248" s="18" t="n">
        <v>119221</v>
      </c>
      <c r="U4248" s="18" t="n"/>
      <c r="V4248" s="18" t="n"/>
      <c r="W4248" s="18" t="n"/>
      <c r="X4248" s="35" t="n"/>
      <c r="Y4248" s="35" t="n">
        <v>12.04</v>
      </c>
    </row>
    <row r="4249">
      <c r="A4249" s="25" t="n">
        <v>45093</v>
      </c>
      <c r="B4249" s="18" t="n">
        <v>118758.42</v>
      </c>
      <c r="C4249" s="31" t="n"/>
      <c r="D4249" s="32" t="n"/>
      <c r="E4249" s="33" t="n">
        <v>-0.263</v>
      </c>
      <c r="F4249" t="inlineStr">
        <is>
          <t>Up</t>
        </is>
      </c>
      <c r="G4249" t="inlineStr">
        <is>
          <t>Down</t>
        </is>
      </c>
      <c r="H4249" t="inlineStr">
        <is>
          <t>EU_JD</t>
        </is>
      </c>
      <c r="I4249" t="inlineStr">
        <is>
          <t>2023-06</t>
        </is>
      </c>
      <c r="J4249" t="n">
        <v>1</v>
      </c>
      <c r="K4249" t="n">
        <v>1</v>
      </c>
      <c r="L4249" s="34">
        <f>IF($J4249=1,LN(B4250/B4249),"")</f>
        <v/>
      </c>
      <c r="M4249" s="34">
        <f>IF($K4249=1,INDEX(Mensal!$D$2:$D$245,MATCH($I4249,Mensal!$A$2:$A$245,0)),"")</f>
        <v/>
      </c>
      <c r="N4249" s="34">
        <f>IF($K4249=1,L4249-M4249,"")</f>
        <v/>
      </c>
      <c r="O4249" s="34" t="n">
        <v>0.0005078800000000001</v>
      </c>
      <c r="P4249" s="34">
        <f>IF($J4249=1,LN(1+O4249),"")</f>
        <v/>
      </c>
      <c r="Q4249" s="34">
        <f>IF($J4249=1,LN(R4250/R4249),"")</f>
        <v/>
      </c>
      <c r="R4249" s="32" t="n">
        <v>4.8286</v>
      </c>
      <c r="S4249" s="35" t="n">
        <v>12.08</v>
      </c>
      <c r="T4249" s="18" t="n">
        <v>118758.42</v>
      </c>
      <c r="U4249" s="18" t="n"/>
      <c r="V4249" s="18" t="n"/>
      <c r="W4249" s="18" t="n"/>
      <c r="X4249" s="35" t="n"/>
      <c r="Y4249" s="35" t="n">
        <v>12.08</v>
      </c>
    </row>
    <row r="4250">
      <c r="A4250" s="25" t="n">
        <v>45096</v>
      </c>
      <c r="B4250" s="18" t="n">
        <v>119857.76</v>
      </c>
      <c r="C4250" s="31" t="n"/>
      <c r="D4250" s="32" t="n"/>
      <c r="E4250" s="33" t="n">
        <v>-0.2692</v>
      </c>
      <c r="F4250" t="inlineStr">
        <is>
          <t>Up</t>
        </is>
      </c>
      <c r="G4250" t="inlineStr">
        <is>
          <t>Down</t>
        </is>
      </c>
      <c r="H4250" t="inlineStr">
        <is>
          <t>EU_JD</t>
        </is>
      </c>
      <c r="I4250" t="inlineStr">
        <is>
          <t>2023-06</t>
        </is>
      </c>
      <c r="J4250" t="n">
        <v>1</v>
      </c>
      <c r="K4250" t="n">
        <v>1</v>
      </c>
      <c r="L4250" s="34">
        <f>IF($J4250=1,LN(B4251/B4250),"")</f>
        <v/>
      </c>
      <c r="M4250" s="34">
        <f>IF($K4250=1,INDEX(Mensal!$D$2:$D$245,MATCH($I4250,Mensal!$A$2:$A$245,0)),"")</f>
        <v/>
      </c>
      <c r="N4250" s="34">
        <f>IF($K4250=1,L4250-M4250,"")</f>
        <v/>
      </c>
      <c r="O4250" s="34" t="n">
        <v>0.0005078800000000001</v>
      </c>
      <c r="P4250" s="34">
        <f>IF($J4250=1,LN(1+O4250),"")</f>
        <v/>
      </c>
      <c r="Q4250" s="34">
        <f>IF($J4250=1,LN(R4251/R4250),"")</f>
        <v/>
      </c>
      <c r="R4250" s="32" t="n">
        <v>4.7803</v>
      </c>
      <c r="S4250" s="35" t="n">
        <v>12.05</v>
      </c>
      <c r="T4250" s="18" t="n">
        <v>119857.76</v>
      </c>
      <c r="U4250" s="18" t="n"/>
      <c r="V4250" s="18" t="n"/>
      <c r="W4250" s="18" t="n"/>
      <c r="X4250" s="35" t="n"/>
      <c r="Y4250" s="35" t="n">
        <v>12.05</v>
      </c>
    </row>
    <row r="4251">
      <c r="A4251" s="25" t="n">
        <v>45097</v>
      </c>
      <c r="B4251" s="18" t="n">
        <v>119622.4</v>
      </c>
      <c r="C4251" s="31" t="n"/>
      <c r="D4251" s="32" t="n"/>
      <c r="E4251" s="33" t="n">
        <v>-0.2781</v>
      </c>
      <c r="F4251" t="inlineStr">
        <is>
          <t>Up</t>
        </is>
      </c>
      <c r="G4251" t="inlineStr">
        <is>
          <t>Down</t>
        </is>
      </c>
      <c r="H4251" t="inlineStr">
        <is>
          <t>EU_JD</t>
        </is>
      </c>
      <c r="I4251" t="inlineStr">
        <is>
          <t>2023-06</t>
        </is>
      </c>
      <c r="J4251" t="n">
        <v>1</v>
      </c>
      <c r="K4251" t="n">
        <v>1</v>
      </c>
      <c r="L4251" s="34">
        <f>IF($J4251=1,LN(B4252/B4251),"")</f>
        <v/>
      </c>
      <c r="M4251" s="34">
        <f>IF($K4251=1,INDEX(Mensal!$D$2:$D$245,MATCH($I4251,Mensal!$A$2:$A$245,0)),"")</f>
        <v/>
      </c>
      <c r="N4251" s="34">
        <f>IF($K4251=1,L4251-M4251,"")</f>
        <v/>
      </c>
      <c r="O4251" s="34" t="n">
        <v>0.0005078800000000001</v>
      </c>
      <c r="P4251" s="34">
        <f>IF($J4251=1,LN(1+O4251),"")</f>
        <v/>
      </c>
      <c r="Q4251" s="34">
        <f>IF($J4251=1,LN(R4252/R4251),"")</f>
        <v/>
      </c>
      <c r="R4251" s="32" t="n">
        <v>4.793</v>
      </c>
      <c r="S4251" s="35" t="n">
        <v>11.98</v>
      </c>
      <c r="T4251" s="18" t="n">
        <v>119622.4</v>
      </c>
      <c r="U4251" s="18" t="n"/>
      <c r="V4251" s="18" t="n"/>
      <c r="W4251" s="18" t="n"/>
      <c r="X4251" s="35" t="n"/>
      <c r="Y4251" s="35" t="n">
        <v>11.98</v>
      </c>
    </row>
    <row r="4252">
      <c r="A4252" s="25" t="n">
        <v>45098</v>
      </c>
      <c r="B4252" s="18" t="n">
        <v>120420.26</v>
      </c>
      <c r="C4252" s="31" t="n"/>
      <c r="D4252" s="32" t="n"/>
      <c r="E4252" s="33" t="n">
        <v>-0.2784</v>
      </c>
      <c r="F4252" t="inlineStr">
        <is>
          <t>Up</t>
        </is>
      </c>
      <c r="G4252" t="inlineStr">
        <is>
          <t>Down</t>
        </is>
      </c>
      <c r="H4252" t="inlineStr">
        <is>
          <t>EU_JD</t>
        </is>
      </c>
      <c r="I4252" t="inlineStr">
        <is>
          <t>2023-06</t>
        </is>
      </c>
      <c r="J4252" t="n">
        <v>1</v>
      </c>
      <c r="K4252" t="n">
        <v>1</v>
      </c>
      <c r="L4252" s="34">
        <f>IF($J4252=1,LN(B4253/B4252),"")</f>
        <v/>
      </c>
      <c r="M4252" s="34">
        <f>IF($K4252=1,INDEX(Mensal!$D$2:$D$245,MATCH($I4252,Mensal!$A$2:$A$245,0)),"")</f>
        <v/>
      </c>
      <c r="N4252" s="34">
        <f>IF($K4252=1,L4252-M4252,"")</f>
        <v/>
      </c>
      <c r="O4252" s="34" t="n">
        <v>0.0005078800000000001</v>
      </c>
      <c r="P4252" s="34">
        <f>IF($J4252=1,LN(1+O4252),"")</f>
        <v/>
      </c>
      <c r="Q4252" s="34">
        <f>IF($J4252=1,LN(R4253/R4252),"")</f>
        <v/>
      </c>
      <c r="R4252" s="32" t="n">
        <v>4.7795</v>
      </c>
      <c r="S4252" s="35" t="n">
        <v>11.99</v>
      </c>
      <c r="T4252" s="18" t="n">
        <v>120420.26</v>
      </c>
      <c r="U4252" s="18" t="n"/>
      <c r="V4252" s="18" t="n"/>
      <c r="W4252" s="18" t="n"/>
      <c r="X4252" s="35" t="n"/>
      <c r="Y4252" s="35" t="n">
        <v>11.99</v>
      </c>
    </row>
    <row r="4253">
      <c r="A4253" s="25" t="n">
        <v>45099</v>
      </c>
      <c r="B4253" s="18" t="n">
        <v>118934.2</v>
      </c>
      <c r="C4253" s="31" t="n"/>
      <c r="D4253" s="32" t="n"/>
      <c r="E4253" s="33" t="n">
        <v>-0.2765</v>
      </c>
      <c r="F4253" t="inlineStr">
        <is>
          <t>Up</t>
        </is>
      </c>
      <c r="G4253" t="inlineStr">
        <is>
          <t>Down</t>
        </is>
      </c>
      <c r="H4253" t="inlineStr">
        <is>
          <t>EU_JD</t>
        </is>
      </c>
      <c r="I4253" t="inlineStr">
        <is>
          <t>2023-06</t>
        </is>
      </c>
      <c r="J4253" t="n">
        <v>1</v>
      </c>
      <c r="K4253" t="n">
        <v>1</v>
      </c>
      <c r="L4253" s="34">
        <f>IF($J4253=1,LN(B4254/B4253),"")</f>
        <v/>
      </c>
      <c r="M4253" s="34">
        <f>IF($K4253=1,INDEX(Mensal!$D$2:$D$245,MATCH($I4253,Mensal!$A$2:$A$245,0)),"")</f>
        <v/>
      </c>
      <c r="N4253" s="34">
        <f>IF($K4253=1,L4253-M4253,"")</f>
        <v/>
      </c>
      <c r="O4253" s="34" t="n">
        <v>0.0005078800000000001</v>
      </c>
      <c r="P4253" s="34">
        <f>IF($J4253=1,LN(1+O4253),"")</f>
        <v/>
      </c>
      <c r="Q4253" s="34">
        <f>IF($J4253=1,LN(R4254/R4253),"")</f>
        <v/>
      </c>
      <c r="R4253" s="32" t="n">
        <v>4.775</v>
      </c>
      <c r="S4253" s="35" t="n">
        <v>12.06</v>
      </c>
      <c r="T4253" s="18" t="n">
        <v>118934.2</v>
      </c>
      <c r="U4253" s="18" t="n"/>
      <c r="V4253" s="18" t="n"/>
      <c r="W4253" s="18" t="n"/>
      <c r="X4253" s="35" t="n"/>
      <c r="Y4253" s="35" t="n">
        <v>12.06</v>
      </c>
    </row>
    <row r="4254">
      <c r="A4254" s="25" t="n">
        <v>45100</v>
      </c>
      <c r="B4254" s="18" t="n">
        <v>118977.1</v>
      </c>
      <c r="C4254" s="31" t="n"/>
      <c r="D4254" s="32" t="n"/>
      <c r="E4254" s="33" t="n">
        <v>-0.2767</v>
      </c>
      <c r="F4254" t="inlineStr">
        <is>
          <t>Up</t>
        </is>
      </c>
      <c r="G4254" t="inlineStr">
        <is>
          <t>Down</t>
        </is>
      </c>
      <c r="H4254" t="inlineStr">
        <is>
          <t>EU_JD</t>
        </is>
      </c>
      <c r="I4254" t="inlineStr">
        <is>
          <t>2023-06</t>
        </is>
      </c>
      <c r="J4254" t="n">
        <v>1</v>
      </c>
      <c r="K4254" t="n">
        <v>1</v>
      </c>
      <c r="L4254" s="34">
        <f>IF($J4254=1,LN(B4255/B4254),"")</f>
        <v/>
      </c>
      <c r="M4254" s="34">
        <f>IF($K4254=1,INDEX(Mensal!$D$2:$D$245,MATCH($I4254,Mensal!$A$2:$A$245,0)),"")</f>
        <v/>
      </c>
      <c r="N4254" s="34">
        <f>IF($K4254=1,L4254-M4254,"")</f>
        <v/>
      </c>
      <c r="O4254" s="34" t="n">
        <v>0.0005078800000000001</v>
      </c>
      <c r="P4254" s="34">
        <f>IF($J4254=1,LN(1+O4254),"")</f>
        <v/>
      </c>
      <c r="Q4254" s="34">
        <f>IF($J4254=1,LN(R4255/R4254),"")</f>
        <v/>
      </c>
      <c r="R4254" s="32" t="n">
        <v>4.7799</v>
      </c>
      <c r="S4254" s="35" t="n">
        <v>11.98</v>
      </c>
      <c r="T4254" s="18" t="n">
        <v>118977.1</v>
      </c>
      <c r="U4254" s="18" t="n"/>
      <c r="V4254" s="18" t="n"/>
      <c r="W4254" s="18" t="n"/>
      <c r="X4254" s="35" t="n"/>
      <c r="Y4254" s="35" t="n">
        <v>11.98</v>
      </c>
    </row>
    <row r="4255">
      <c r="A4255" s="25" t="n">
        <v>45103</v>
      </c>
      <c r="B4255" s="18" t="n">
        <v>118242.95</v>
      </c>
      <c r="C4255" s="31" t="n"/>
      <c r="D4255" s="32" t="n"/>
      <c r="E4255" s="33" t="n">
        <v>-0.2847</v>
      </c>
      <c r="F4255" t="inlineStr">
        <is>
          <t>Up</t>
        </is>
      </c>
      <c r="G4255" t="inlineStr">
        <is>
          <t>Down</t>
        </is>
      </c>
      <c r="H4255" t="inlineStr">
        <is>
          <t>EU_JD</t>
        </is>
      </c>
      <c r="I4255" t="inlineStr">
        <is>
          <t>2023-06</t>
        </is>
      </c>
      <c r="J4255" t="n">
        <v>1</v>
      </c>
      <c r="K4255" t="n">
        <v>1</v>
      </c>
      <c r="L4255" s="34">
        <f>IF($J4255=1,LN(B4256/B4255),"")</f>
        <v/>
      </c>
      <c r="M4255" s="34">
        <f>IF($K4255=1,INDEX(Mensal!$D$2:$D$245,MATCH($I4255,Mensal!$A$2:$A$245,0)),"")</f>
        <v/>
      </c>
      <c r="N4255" s="34">
        <f>IF($K4255=1,L4255-M4255,"")</f>
        <v/>
      </c>
      <c r="O4255" s="34" t="n">
        <v>0.0005078800000000001</v>
      </c>
      <c r="P4255" s="34">
        <f>IF($J4255=1,LN(1+O4255),"")</f>
        <v/>
      </c>
      <c r="Q4255" s="34">
        <f>IF($J4255=1,LN(R4256/R4255),"")</f>
        <v/>
      </c>
      <c r="R4255" s="32" t="n">
        <v>4.7698</v>
      </c>
      <c r="S4255" s="35" t="n">
        <v>11.92</v>
      </c>
      <c r="T4255" s="18" t="n">
        <v>118242.95</v>
      </c>
      <c r="U4255" s="18" t="n"/>
      <c r="V4255" s="18" t="n"/>
      <c r="W4255" s="18" t="n"/>
      <c r="X4255" s="35" t="n"/>
      <c r="Y4255" s="35" t="n">
        <v>11.92</v>
      </c>
    </row>
    <row r="4256">
      <c r="A4256" s="25" t="n">
        <v>45104</v>
      </c>
      <c r="B4256" s="18" t="n">
        <v>117522.87</v>
      </c>
      <c r="C4256" s="31" t="n"/>
      <c r="D4256" s="32" t="n"/>
      <c r="E4256" s="33" t="n">
        <v>-0.295</v>
      </c>
      <c r="F4256" t="inlineStr">
        <is>
          <t>Up</t>
        </is>
      </c>
      <c r="G4256" t="inlineStr">
        <is>
          <t>Down</t>
        </is>
      </c>
      <c r="H4256" t="inlineStr">
        <is>
          <t>EU_JD</t>
        </is>
      </c>
      <c r="I4256" t="inlineStr">
        <is>
          <t>2023-06</t>
        </is>
      </c>
      <c r="J4256" t="n">
        <v>1</v>
      </c>
      <c r="K4256" t="n">
        <v>1</v>
      </c>
      <c r="L4256" s="34">
        <f>IF($J4256=1,LN(B4257/B4256),"")</f>
        <v/>
      </c>
      <c r="M4256" s="34">
        <f>IF($K4256=1,INDEX(Mensal!$D$2:$D$245,MATCH($I4256,Mensal!$A$2:$A$245,0)),"")</f>
        <v/>
      </c>
      <c r="N4256" s="34">
        <f>IF($K4256=1,L4256-M4256,"")</f>
        <v/>
      </c>
      <c r="O4256" s="34" t="n">
        <v>0.0005078800000000001</v>
      </c>
      <c r="P4256" s="34">
        <f>IF($J4256=1,LN(1+O4256),"")</f>
        <v/>
      </c>
      <c r="Q4256" s="34">
        <f>IF($J4256=1,LN(R4257/R4256),"")</f>
        <v/>
      </c>
      <c r="R4256" s="32" t="n">
        <v>4.7903</v>
      </c>
      <c r="S4256" s="35" t="n">
        <v>11.9</v>
      </c>
      <c r="T4256" s="18" t="n">
        <v>117522.87</v>
      </c>
      <c r="U4256" s="18" t="n"/>
      <c r="V4256" s="18" t="n"/>
      <c r="W4256" s="18" t="n"/>
      <c r="X4256" s="35" t="n"/>
      <c r="Y4256" s="35" t="n">
        <v>11.9</v>
      </c>
    </row>
    <row r="4257">
      <c r="A4257" s="25" t="n">
        <v>45105</v>
      </c>
      <c r="B4257" s="18" t="n">
        <v>116681.32</v>
      </c>
      <c r="C4257" s="31" t="n"/>
      <c r="D4257" s="32" t="n"/>
      <c r="E4257" s="33" t="n">
        <v>-0.3109</v>
      </c>
      <c r="F4257" t="inlineStr">
        <is>
          <t>Up</t>
        </is>
      </c>
      <c r="G4257" t="inlineStr">
        <is>
          <t>Down</t>
        </is>
      </c>
      <c r="H4257" t="inlineStr">
        <is>
          <t>EU_JD</t>
        </is>
      </c>
      <c r="I4257" t="inlineStr">
        <is>
          <t>2023-06</t>
        </is>
      </c>
      <c r="J4257" t="n">
        <v>1</v>
      </c>
      <c r="K4257" t="n">
        <v>1</v>
      </c>
      <c r="L4257" s="34">
        <f>IF($J4257=1,LN(B4258/B4257),"")</f>
        <v/>
      </c>
      <c r="M4257" s="34">
        <f>IF($K4257=1,INDEX(Mensal!$D$2:$D$245,MATCH($I4257,Mensal!$A$2:$A$245,0)),"")</f>
        <v/>
      </c>
      <c r="N4257" s="34">
        <f>IF($K4257=1,L4257-M4257,"")</f>
        <v/>
      </c>
      <c r="O4257" s="34" t="n">
        <v>0.0005078800000000001</v>
      </c>
      <c r="P4257" s="34">
        <f>IF($J4257=1,LN(1+O4257),"")</f>
        <v/>
      </c>
      <c r="Q4257" s="34">
        <f>IF($J4257=1,LN(R4258/R4257),"")</f>
        <v/>
      </c>
      <c r="R4257" s="32" t="n">
        <v>4.8563</v>
      </c>
      <c r="S4257" s="35" t="n">
        <v>11.9</v>
      </c>
      <c r="T4257" s="18" t="n">
        <v>116681.32</v>
      </c>
      <c r="U4257" s="18" t="n"/>
      <c r="V4257" s="18" t="n"/>
      <c r="W4257" s="18" t="n"/>
      <c r="X4257" s="35" t="n"/>
      <c r="Y4257" s="35" t="n">
        <v>11.9</v>
      </c>
    </row>
    <row r="4258">
      <c r="A4258" s="25" t="n">
        <v>45106</v>
      </c>
      <c r="B4258" s="18" t="n">
        <v>118382.65</v>
      </c>
      <c r="C4258" s="31" t="n"/>
      <c r="D4258" s="32" t="n"/>
      <c r="E4258" s="33" t="n">
        <v>-0.3249</v>
      </c>
      <c r="F4258" t="inlineStr">
        <is>
          <t>Up</t>
        </is>
      </c>
      <c r="G4258" t="inlineStr">
        <is>
          <t>Down</t>
        </is>
      </c>
      <c r="H4258" t="inlineStr">
        <is>
          <t>EU_JD</t>
        </is>
      </c>
      <c r="I4258" t="inlineStr">
        <is>
          <t>2023-06</t>
        </is>
      </c>
      <c r="J4258" t="n">
        <v>1</v>
      </c>
      <c r="K4258" t="n">
        <v>1</v>
      </c>
      <c r="L4258" s="34">
        <f>IF($J4258=1,LN(B4259/B4258),"")</f>
        <v/>
      </c>
      <c r="M4258" s="34">
        <f>IF($K4258=1,INDEX(Mensal!$D$2:$D$245,MATCH($I4258,Mensal!$A$2:$A$245,0)),"")</f>
        <v/>
      </c>
      <c r="N4258" s="34">
        <f>IF($K4258=1,L4258-M4258,"")</f>
        <v/>
      </c>
      <c r="O4258" s="34" t="n">
        <v>0.0005078800000000001</v>
      </c>
      <c r="P4258" s="34">
        <f>IF($J4258=1,LN(1+O4258),"")</f>
        <v/>
      </c>
      <c r="Q4258" s="34">
        <f>IF($J4258=1,LN(R4259/R4258),"")</f>
        <v/>
      </c>
      <c r="R4258" s="32" t="n">
        <v>4.8584</v>
      </c>
      <c r="S4258" s="35" t="n">
        <v>11.82</v>
      </c>
      <c r="T4258" s="18" t="n">
        <v>118382.65</v>
      </c>
      <c r="U4258" s="18" t="n"/>
      <c r="V4258" s="18" t="n"/>
      <c r="W4258" s="18" t="n"/>
      <c r="X4258" s="35" t="n"/>
      <c r="Y4258" s="35" t="n">
        <v>11.82</v>
      </c>
    </row>
    <row r="4259">
      <c r="A4259" s="25" t="n">
        <v>45107</v>
      </c>
      <c r="B4259" s="18" t="n">
        <v>118087</v>
      </c>
      <c r="C4259" s="31" t="n"/>
      <c r="D4259" s="32" t="n"/>
      <c r="E4259" s="33" t="n">
        <v>-0.3382</v>
      </c>
      <c r="F4259" t="inlineStr">
        <is>
          <t>Up</t>
        </is>
      </c>
      <c r="G4259" t="inlineStr">
        <is>
          <t>Down</t>
        </is>
      </c>
      <c r="H4259" t="inlineStr">
        <is>
          <t>EU_JD</t>
        </is>
      </c>
      <c r="I4259" t="inlineStr">
        <is>
          <t>2023-06</t>
        </is>
      </c>
      <c r="J4259" t="n">
        <v>1</v>
      </c>
      <c r="K4259" t="n">
        <v>1</v>
      </c>
      <c r="L4259" s="34">
        <f>IF($J4259=1,LN(B4260/B4259),"")</f>
        <v/>
      </c>
      <c r="M4259" s="34">
        <f>IF($K4259=1,INDEX(Mensal!$D$2:$D$245,MATCH($I4259,Mensal!$A$2:$A$245,0)),"")</f>
        <v/>
      </c>
      <c r="N4259" s="34">
        <f>IF($K4259=1,L4259-M4259,"")</f>
        <v/>
      </c>
      <c r="O4259" s="34" t="n">
        <v>0.0005078800000000001</v>
      </c>
      <c r="P4259" s="34">
        <f>IF($J4259=1,LN(1+O4259),"")</f>
        <v/>
      </c>
      <c r="Q4259" s="34">
        <f>IF($J4259=1,LN(R4260/R4259),"")</f>
        <v/>
      </c>
      <c r="R4259" s="32" t="n">
        <v>4.8192</v>
      </c>
      <c r="S4259" s="35" t="n">
        <v>11.72</v>
      </c>
      <c r="T4259" s="18" t="n">
        <v>118087</v>
      </c>
      <c r="U4259" s="18" t="n"/>
      <c r="V4259" s="18" t="n"/>
      <c r="W4259" s="18" t="n"/>
      <c r="X4259" s="35" t="n"/>
      <c r="Y4259" s="35" t="n">
        <v>11.72</v>
      </c>
    </row>
    <row r="4260">
      <c r="A4260" s="25" t="n">
        <v>45110</v>
      </c>
      <c r="B4260" s="18" t="n">
        <v>119672.78</v>
      </c>
      <c r="C4260" s="31" t="n"/>
      <c r="D4260" s="32" t="n"/>
      <c r="E4260" s="33" t="n">
        <v>-0.3515</v>
      </c>
      <c r="F4260" t="inlineStr">
        <is>
          <t>Down</t>
        </is>
      </c>
      <c r="G4260" t="inlineStr">
        <is>
          <t>Down</t>
        </is>
      </c>
      <c r="H4260" t="inlineStr">
        <is>
          <t>ED_JD</t>
        </is>
      </c>
      <c r="I4260" t="inlineStr">
        <is>
          <t>2023-07</t>
        </is>
      </c>
      <c r="J4260" t="n">
        <v>1</v>
      </c>
      <c r="K4260" t="n">
        <v>1</v>
      </c>
      <c r="L4260" s="34">
        <f>IF($J4260=1,LN(B4261/B4260),"")</f>
        <v/>
      </c>
      <c r="M4260" s="34">
        <f>IF($K4260=1,INDEX(Mensal!$D$2:$D$245,MATCH($I4260,Mensal!$A$2:$A$245,0)),"")</f>
        <v/>
      </c>
      <c r="N4260" s="34">
        <f>IF($K4260=1,L4260-M4260,"")</f>
        <v/>
      </c>
      <c r="O4260" s="34" t="n">
        <v>0.0005078800000000001</v>
      </c>
      <c r="P4260" s="34">
        <f>IF($J4260=1,LN(1+O4260),"")</f>
        <v/>
      </c>
      <c r="Q4260" s="34">
        <f>IF($J4260=1,LN(R4261/R4260),"")</f>
        <v/>
      </c>
      <c r="R4260" s="32" t="n">
        <v>4.7876</v>
      </c>
      <c r="S4260" s="35" t="n">
        <v>11.58</v>
      </c>
      <c r="T4260" s="18" t="n"/>
      <c r="U4260" s="18" t="n"/>
      <c r="V4260" s="18" t="n">
        <v>119672.78</v>
      </c>
      <c r="W4260" s="18" t="n"/>
      <c r="X4260" s="35" t="n"/>
      <c r="Y4260" s="35" t="n">
        <v>11.58</v>
      </c>
    </row>
    <row r="4261">
      <c r="A4261" s="25" t="n">
        <v>45111</v>
      </c>
      <c r="B4261" s="18" t="n">
        <v>119076.37</v>
      </c>
      <c r="C4261" s="31" t="n"/>
      <c r="D4261" s="32" t="n"/>
      <c r="E4261" s="33" t="n">
        <v>-0.3661</v>
      </c>
      <c r="F4261" t="inlineStr">
        <is>
          <t>Down</t>
        </is>
      </c>
      <c r="G4261" t="inlineStr">
        <is>
          <t>Down</t>
        </is>
      </c>
      <c r="H4261" t="inlineStr">
        <is>
          <t>ED_JD</t>
        </is>
      </c>
      <c r="I4261" t="inlineStr">
        <is>
          <t>2023-07</t>
        </is>
      </c>
      <c r="J4261" t="n">
        <v>1</v>
      </c>
      <c r="K4261" t="n">
        <v>1</v>
      </c>
      <c r="L4261" s="34">
        <f>IF($J4261=1,LN(B4262/B4261),"")</f>
        <v/>
      </c>
      <c r="M4261" s="34">
        <f>IF($K4261=1,INDEX(Mensal!$D$2:$D$245,MATCH($I4261,Mensal!$A$2:$A$245,0)),"")</f>
        <v/>
      </c>
      <c r="N4261" s="34">
        <f>IF($K4261=1,L4261-M4261,"")</f>
        <v/>
      </c>
      <c r="O4261" s="34" t="n">
        <v>0.0005078800000000001</v>
      </c>
      <c r="P4261" s="34">
        <f>IF($J4261=1,LN(1+O4261),"")</f>
        <v/>
      </c>
      <c r="Q4261" s="34">
        <f>IF($J4261=1,LN(R4262/R4261),"")</f>
        <v/>
      </c>
      <c r="R4261" s="32" t="n">
        <v>4.8056</v>
      </c>
      <c r="S4261" s="35" t="n">
        <v>11.6</v>
      </c>
      <c r="T4261" s="18" t="n"/>
      <c r="U4261" s="18" t="n"/>
      <c r="V4261" s="18" t="n">
        <v>119076.37</v>
      </c>
      <c r="W4261" s="18" t="n"/>
      <c r="X4261" s="35" t="n"/>
      <c r="Y4261" s="35" t="n">
        <v>11.6</v>
      </c>
    </row>
    <row r="4262">
      <c r="A4262" s="25" t="n">
        <v>45112</v>
      </c>
      <c r="B4262" s="18" t="n">
        <v>119549.21</v>
      </c>
      <c r="C4262" s="31" t="n"/>
      <c r="D4262" s="32" t="n"/>
      <c r="E4262" s="33" t="n">
        <v>-0.3743</v>
      </c>
      <c r="F4262" t="inlineStr">
        <is>
          <t>Down</t>
        </is>
      </c>
      <c r="G4262" t="inlineStr">
        <is>
          <t>Down</t>
        </is>
      </c>
      <c r="H4262" t="inlineStr">
        <is>
          <t>ED_JD</t>
        </is>
      </c>
      <c r="I4262" t="inlineStr">
        <is>
          <t>2023-07</t>
        </is>
      </c>
      <c r="J4262" t="n">
        <v>1</v>
      </c>
      <c r="K4262" t="n">
        <v>1</v>
      </c>
      <c r="L4262" s="34">
        <f>IF($J4262=1,LN(B4263/B4262),"")</f>
        <v/>
      </c>
      <c r="M4262" s="34">
        <f>IF($K4262=1,INDEX(Mensal!$D$2:$D$245,MATCH($I4262,Mensal!$A$2:$A$245,0)),"")</f>
        <v/>
      </c>
      <c r="N4262" s="34">
        <f>IF($K4262=1,L4262-M4262,"")</f>
        <v/>
      </c>
      <c r="O4262" s="34" t="n">
        <v>0.0005078800000000001</v>
      </c>
      <c r="P4262" s="34">
        <f>IF($J4262=1,LN(1+O4262),"")</f>
        <v/>
      </c>
      <c r="Q4262" s="34">
        <f>IF($J4262=1,LN(R4263/R4262),"")</f>
        <v/>
      </c>
      <c r="R4262" s="32" t="n">
        <v>4.8577</v>
      </c>
      <c r="S4262" s="35" t="n">
        <v>11.64</v>
      </c>
      <c r="T4262" s="18" t="n"/>
      <c r="U4262" s="18" t="n"/>
      <c r="V4262" s="18" t="n">
        <v>119549.21</v>
      </c>
      <c r="W4262" s="18" t="n"/>
      <c r="X4262" s="35" t="n"/>
      <c r="Y4262" s="35" t="n">
        <v>11.64</v>
      </c>
    </row>
    <row r="4263">
      <c r="A4263" s="25" t="n">
        <v>45113</v>
      </c>
      <c r="B4263" s="18" t="n">
        <v>117425.7</v>
      </c>
      <c r="C4263" s="31" t="n"/>
      <c r="D4263" s="32" t="n"/>
      <c r="E4263" s="33" t="n">
        <v>-0.3824</v>
      </c>
      <c r="F4263" t="inlineStr">
        <is>
          <t>Down</t>
        </is>
      </c>
      <c r="G4263" t="inlineStr">
        <is>
          <t>Down</t>
        </is>
      </c>
      <c r="H4263" t="inlineStr">
        <is>
          <t>ED_JD</t>
        </is>
      </c>
      <c r="I4263" t="inlineStr">
        <is>
          <t>2023-07</t>
        </is>
      </c>
      <c r="J4263" t="n">
        <v>1</v>
      </c>
      <c r="K4263" t="n">
        <v>1</v>
      </c>
      <c r="L4263" s="34">
        <f>IF($J4263=1,LN(B4264/B4263),"")</f>
        <v/>
      </c>
      <c r="M4263" s="34">
        <f>IF($K4263=1,INDEX(Mensal!$D$2:$D$245,MATCH($I4263,Mensal!$A$2:$A$245,0)),"")</f>
        <v/>
      </c>
      <c r="N4263" s="34">
        <f>IF($K4263=1,L4263-M4263,"")</f>
        <v/>
      </c>
      <c r="O4263" s="34" t="n">
        <v>0.0005078800000000001</v>
      </c>
      <c r="P4263" s="34">
        <f>IF($J4263=1,LN(1+O4263),"")</f>
        <v/>
      </c>
      <c r="Q4263" s="34">
        <f>IF($J4263=1,LN(R4264/R4263),"")</f>
        <v/>
      </c>
      <c r="R4263" s="32" t="n">
        <v>4.8977</v>
      </c>
      <c r="S4263" s="35" t="n">
        <v>11.7</v>
      </c>
      <c r="T4263" s="18" t="n"/>
      <c r="U4263" s="18" t="n"/>
      <c r="V4263" s="18" t="n">
        <v>117425.7</v>
      </c>
      <c r="W4263" s="18" t="n"/>
      <c r="X4263" s="35" t="n"/>
      <c r="Y4263" s="35" t="n">
        <v>11.7</v>
      </c>
    </row>
    <row r="4264">
      <c r="A4264" s="25" t="n">
        <v>45114</v>
      </c>
      <c r="B4264" s="18" t="n">
        <v>118897.99</v>
      </c>
      <c r="C4264" s="31" t="n"/>
      <c r="D4264" s="32" t="n"/>
      <c r="E4264" s="33" t="n">
        <v>-0.3826</v>
      </c>
      <c r="F4264" t="inlineStr">
        <is>
          <t>Down</t>
        </is>
      </c>
      <c r="G4264" t="inlineStr">
        <is>
          <t>Down</t>
        </is>
      </c>
      <c r="H4264" t="inlineStr">
        <is>
          <t>ED_JD</t>
        </is>
      </c>
      <c r="I4264" t="inlineStr">
        <is>
          <t>2023-07</t>
        </is>
      </c>
      <c r="J4264" t="n">
        <v>1</v>
      </c>
      <c r="K4264" t="n">
        <v>1</v>
      </c>
      <c r="L4264" s="34">
        <f>IF($J4264=1,LN(B4265/B4264),"")</f>
        <v/>
      </c>
      <c r="M4264" s="34">
        <f>IF($K4264=1,INDEX(Mensal!$D$2:$D$245,MATCH($I4264,Mensal!$A$2:$A$245,0)),"")</f>
        <v/>
      </c>
      <c r="N4264" s="34">
        <f>IF($K4264=1,L4264-M4264,"")</f>
        <v/>
      </c>
      <c r="O4264" s="34" t="n">
        <v>0.0005078800000000001</v>
      </c>
      <c r="P4264" s="34">
        <f>IF($J4264=1,LN(1+O4264),"")</f>
        <v/>
      </c>
      <c r="Q4264" s="34">
        <f>IF($J4264=1,LN(R4265/R4264),"")</f>
        <v/>
      </c>
      <c r="R4264" s="32" t="n">
        <v>4.8799</v>
      </c>
      <c r="S4264" s="35" t="n">
        <v>11.6</v>
      </c>
      <c r="T4264" s="18" t="n"/>
      <c r="U4264" s="18" t="n"/>
      <c r="V4264" s="18" t="n">
        <v>118897.99</v>
      </c>
      <c r="W4264" s="18" t="n"/>
      <c r="X4264" s="35" t="n"/>
      <c r="Y4264" s="35" t="n">
        <v>11.6</v>
      </c>
    </row>
    <row r="4265">
      <c r="A4265" s="25" t="n">
        <v>45117</v>
      </c>
      <c r="B4265" s="18" t="n">
        <v>117942.44</v>
      </c>
      <c r="C4265" s="31" t="n"/>
      <c r="D4265" s="32" t="n"/>
      <c r="E4265" s="33" t="n">
        <v>-0.3888</v>
      </c>
      <c r="F4265" t="inlineStr">
        <is>
          <t>Down</t>
        </is>
      </c>
      <c r="G4265" t="inlineStr">
        <is>
          <t>Down</t>
        </is>
      </c>
      <c r="H4265" t="inlineStr">
        <is>
          <t>ED_JD</t>
        </is>
      </c>
      <c r="I4265" t="inlineStr">
        <is>
          <t>2023-07</t>
        </is>
      </c>
      <c r="J4265" t="n">
        <v>1</v>
      </c>
      <c r="K4265" t="n">
        <v>1</v>
      </c>
      <c r="L4265" s="34">
        <f>IF($J4265=1,LN(B4266/B4265),"")</f>
        <v/>
      </c>
      <c r="M4265" s="34">
        <f>IF($K4265=1,INDEX(Mensal!$D$2:$D$245,MATCH($I4265,Mensal!$A$2:$A$245,0)),"")</f>
        <v/>
      </c>
      <c r="N4265" s="34">
        <f>IF($K4265=1,L4265-M4265,"")</f>
        <v/>
      </c>
      <c r="O4265" s="34" t="n">
        <v>0.0005078800000000001</v>
      </c>
      <c r="P4265" s="34">
        <f>IF($J4265=1,LN(1+O4265),"")</f>
        <v/>
      </c>
      <c r="Q4265" s="34">
        <f>IF($J4265=1,LN(R4266/R4265),"")</f>
        <v/>
      </c>
      <c r="R4265" s="32" t="n">
        <v>4.8735</v>
      </c>
      <c r="S4265" s="35" t="n">
        <v>11.62</v>
      </c>
      <c r="T4265" s="18" t="n"/>
      <c r="U4265" s="18" t="n"/>
      <c r="V4265" s="18" t="n">
        <v>117942.44</v>
      </c>
      <c r="W4265" s="18" t="n"/>
      <c r="X4265" s="35" t="n"/>
      <c r="Y4265" s="35" t="n">
        <v>11.62</v>
      </c>
    </row>
    <row r="4266">
      <c r="A4266" s="25" t="n">
        <v>45118</v>
      </c>
      <c r="B4266" s="18" t="n">
        <v>117555.52</v>
      </c>
      <c r="C4266" s="31" t="n"/>
      <c r="D4266" s="32" t="n"/>
      <c r="E4266" s="33" t="n">
        <v>-0.3949</v>
      </c>
      <c r="F4266" t="inlineStr">
        <is>
          <t>Down</t>
        </is>
      </c>
      <c r="G4266" t="inlineStr">
        <is>
          <t>Down</t>
        </is>
      </c>
      <c r="H4266" t="inlineStr">
        <is>
          <t>ED_JD</t>
        </is>
      </c>
      <c r="I4266" t="inlineStr">
        <is>
          <t>2023-07</t>
        </is>
      </c>
      <c r="J4266" t="n">
        <v>1</v>
      </c>
      <c r="K4266" t="n">
        <v>1</v>
      </c>
      <c r="L4266" s="34">
        <f>IF($J4266=1,LN(B4267/B4266),"")</f>
        <v/>
      </c>
      <c r="M4266" s="34">
        <f>IF($K4266=1,INDEX(Mensal!$D$2:$D$245,MATCH($I4266,Mensal!$A$2:$A$245,0)),"")</f>
        <v/>
      </c>
      <c r="N4266" s="34">
        <f>IF($K4266=1,L4266-M4266,"")</f>
        <v/>
      </c>
      <c r="O4266" s="34" t="n">
        <v>0.0005078800000000001</v>
      </c>
      <c r="P4266" s="34">
        <f>IF($J4266=1,LN(1+O4266),"")</f>
        <v/>
      </c>
      <c r="Q4266" s="34">
        <f>IF($J4266=1,LN(R4267/R4266),"")</f>
        <v/>
      </c>
      <c r="R4266" s="32" t="n">
        <v>4.8949</v>
      </c>
      <c r="S4266" s="35" t="n">
        <v>11.64</v>
      </c>
      <c r="T4266" s="18" t="n"/>
      <c r="U4266" s="18" t="n"/>
      <c r="V4266" s="18" t="n">
        <v>117555.52</v>
      </c>
      <c r="W4266" s="18" t="n"/>
      <c r="X4266" s="35" t="n"/>
      <c r="Y4266" s="35" t="n">
        <v>11.64</v>
      </c>
    </row>
    <row r="4267">
      <c r="A4267" s="25" t="n">
        <v>45119</v>
      </c>
      <c r="B4267" s="18" t="n">
        <v>117666.49</v>
      </c>
      <c r="C4267" s="31" t="n"/>
      <c r="D4267" s="32" t="n"/>
      <c r="E4267" s="33" t="n">
        <v>-0.3986</v>
      </c>
      <c r="F4267" t="inlineStr">
        <is>
          <t>Down</t>
        </is>
      </c>
      <c r="G4267" t="inlineStr">
        <is>
          <t>Down</t>
        </is>
      </c>
      <c r="H4267" t="inlineStr">
        <is>
          <t>ED_JD</t>
        </is>
      </c>
      <c r="I4267" t="inlineStr">
        <is>
          <t>2023-07</t>
        </is>
      </c>
      <c r="J4267" t="n">
        <v>1</v>
      </c>
      <c r="K4267" t="n">
        <v>1</v>
      </c>
      <c r="L4267" s="34">
        <f>IF($J4267=1,LN(B4268/B4267),"")</f>
        <v/>
      </c>
      <c r="M4267" s="34">
        <f>IF($K4267=1,INDEX(Mensal!$D$2:$D$245,MATCH($I4267,Mensal!$A$2:$A$245,0)),"")</f>
        <v/>
      </c>
      <c r="N4267" s="34">
        <f>IF($K4267=1,L4267-M4267,"")</f>
        <v/>
      </c>
      <c r="O4267" s="34" t="n">
        <v>0.0005078800000000001</v>
      </c>
      <c r="P4267" s="34">
        <f>IF($J4267=1,LN(1+O4267),"")</f>
        <v/>
      </c>
      <c r="Q4267" s="34">
        <f>IF($J4267=1,LN(R4268/R4267),"")</f>
        <v/>
      </c>
      <c r="R4267" s="32" t="n">
        <v>4.8058</v>
      </c>
      <c r="S4267" s="35" t="n">
        <v>11.64</v>
      </c>
      <c r="T4267" s="18" t="n"/>
      <c r="U4267" s="18" t="n"/>
      <c r="V4267" s="18" t="n">
        <v>117666.49</v>
      </c>
      <c r="W4267" s="18" t="n"/>
      <c r="X4267" s="35" t="n"/>
      <c r="Y4267" s="35" t="n">
        <v>11.64</v>
      </c>
    </row>
    <row r="4268">
      <c r="A4268" s="25" t="n">
        <v>45120</v>
      </c>
      <c r="B4268" s="18" t="n">
        <v>119263.89</v>
      </c>
      <c r="C4268" s="31" t="n"/>
      <c r="D4268" s="32" t="n"/>
      <c r="E4268" s="33" t="n">
        <v>-0.4055</v>
      </c>
      <c r="F4268" t="inlineStr">
        <is>
          <t>Down</t>
        </is>
      </c>
      <c r="G4268" t="inlineStr">
        <is>
          <t>Down</t>
        </is>
      </c>
      <c r="H4268" t="inlineStr">
        <is>
          <t>ED_JD</t>
        </is>
      </c>
      <c r="I4268" t="inlineStr">
        <is>
          <t>2023-07</t>
        </is>
      </c>
      <c r="J4268" t="n">
        <v>1</v>
      </c>
      <c r="K4268" t="n">
        <v>1</v>
      </c>
      <c r="L4268" s="34">
        <f>IF($J4268=1,LN(B4269/B4268),"")</f>
        <v/>
      </c>
      <c r="M4268" s="34">
        <f>IF($K4268=1,INDEX(Mensal!$D$2:$D$245,MATCH($I4268,Mensal!$A$2:$A$245,0)),"")</f>
        <v/>
      </c>
      <c r="N4268" s="34">
        <f>IF($K4268=1,L4268-M4268,"")</f>
        <v/>
      </c>
      <c r="O4268" s="34" t="n">
        <v>0.0005078800000000001</v>
      </c>
      <c r="P4268" s="34">
        <f>IF($J4268=1,LN(1+O4268),"")</f>
        <v/>
      </c>
      <c r="Q4268" s="34">
        <f>IF($J4268=1,LN(R4269/R4268),"")</f>
        <v/>
      </c>
      <c r="R4268" s="32" t="n">
        <v>4.8038</v>
      </c>
      <c r="S4268" s="35" t="n">
        <v>11.68</v>
      </c>
      <c r="T4268" s="18" t="n"/>
      <c r="U4268" s="18" t="n"/>
      <c r="V4268" s="18" t="n">
        <v>119263.89</v>
      </c>
      <c r="W4268" s="18" t="n"/>
      <c r="X4268" s="35" t="n"/>
      <c r="Y4268" s="35" t="n">
        <v>11.68</v>
      </c>
    </row>
    <row r="4269">
      <c r="A4269" s="25" t="n">
        <v>45121</v>
      </c>
      <c r="B4269" s="18" t="n">
        <v>117710.54</v>
      </c>
      <c r="C4269" s="31" t="n"/>
      <c r="D4269" s="32" t="n"/>
      <c r="E4269" s="33" t="n">
        <v>-0.4131</v>
      </c>
      <c r="F4269" t="inlineStr">
        <is>
          <t>Down</t>
        </is>
      </c>
      <c r="G4269" t="inlineStr">
        <is>
          <t>Down</t>
        </is>
      </c>
      <c r="H4269" t="inlineStr">
        <is>
          <t>ED_JD</t>
        </is>
      </c>
      <c r="I4269" t="inlineStr">
        <is>
          <t>2023-07</t>
        </is>
      </c>
      <c r="J4269" t="n">
        <v>1</v>
      </c>
      <c r="K4269" t="n">
        <v>1</v>
      </c>
      <c r="L4269" s="34">
        <f>IF($J4269=1,LN(B4270/B4269),"")</f>
        <v/>
      </c>
      <c r="M4269" s="34">
        <f>IF($K4269=1,INDEX(Mensal!$D$2:$D$245,MATCH($I4269,Mensal!$A$2:$A$245,0)),"")</f>
        <v/>
      </c>
      <c r="N4269" s="34">
        <f>IF($K4269=1,L4269-M4269,"")</f>
        <v/>
      </c>
      <c r="O4269" s="34" t="n">
        <v>0.0005078800000000001</v>
      </c>
      <c r="P4269" s="34">
        <f>IF($J4269=1,LN(1+O4269),"")</f>
        <v/>
      </c>
      <c r="Q4269" s="34">
        <f>IF($J4269=1,LN(R4270/R4269),"")</f>
        <v/>
      </c>
      <c r="R4269" s="32" t="n">
        <v>4.7957</v>
      </c>
      <c r="S4269" s="35" t="n">
        <v>11.7</v>
      </c>
      <c r="T4269" s="18" t="n"/>
      <c r="U4269" s="18" t="n"/>
      <c r="V4269" s="18" t="n">
        <v>117710.54</v>
      </c>
      <c r="W4269" s="18" t="n"/>
      <c r="X4269" s="35" t="n"/>
      <c r="Y4269" s="35" t="n">
        <v>11.7</v>
      </c>
    </row>
    <row r="4270">
      <c r="A4270" s="25" t="n">
        <v>45124</v>
      </c>
      <c r="B4270" s="18" t="n">
        <v>118219.46</v>
      </c>
      <c r="C4270" s="31" t="n"/>
      <c r="D4270" s="32" t="n"/>
      <c r="E4270" s="33" t="n">
        <v>-0.4187</v>
      </c>
      <c r="F4270" t="inlineStr">
        <is>
          <t>Down</t>
        </is>
      </c>
      <c r="G4270" t="inlineStr">
        <is>
          <t>Down</t>
        </is>
      </c>
      <c r="H4270" t="inlineStr">
        <is>
          <t>ED_JD</t>
        </is>
      </c>
      <c r="I4270" t="inlineStr">
        <is>
          <t>2023-07</t>
        </is>
      </c>
      <c r="J4270" t="n">
        <v>1</v>
      </c>
      <c r="K4270" t="n">
        <v>1</v>
      </c>
      <c r="L4270" s="34">
        <f>IF($J4270=1,LN(B4271/B4270),"")</f>
        <v/>
      </c>
      <c r="M4270" s="34">
        <f>IF($K4270=1,INDEX(Mensal!$D$2:$D$245,MATCH($I4270,Mensal!$A$2:$A$245,0)),"")</f>
        <v/>
      </c>
      <c r="N4270" s="34">
        <f>IF($K4270=1,L4270-M4270,"")</f>
        <v/>
      </c>
      <c r="O4270" s="34" t="n">
        <v>0.0005078800000000001</v>
      </c>
      <c r="P4270" s="34">
        <f>IF($J4270=1,LN(1+O4270),"")</f>
        <v/>
      </c>
      <c r="Q4270" s="34">
        <f>IF($J4270=1,LN(R4271/R4270),"")</f>
        <v/>
      </c>
      <c r="R4270" s="32" t="n">
        <v>4.8302</v>
      </c>
      <c r="S4270" s="35" t="n">
        <v>11.6</v>
      </c>
      <c r="T4270" s="18" t="n"/>
      <c r="U4270" s="18" t="n"/>
      <c r="V4270" s="18" t="n">
        <v>118219.46</v>
      </c>
      <c r="W4270" s="18" t="n"/>
      <c r="X4270" s="35" t="n"/>
      <c r="Y4270" s="35" t="n">
        <v>11.6</v>
      </c>
    </row>
    <row r="4271">
      <c r="A4271" s="25" t="n">
        <v>45125</v>
      </c>
      <c r="B4271" s="18" t="n">
        <v>117841.19</v>
      </c>
      <c r="C4271" s="31" t="n"/>
      <c r="D4271" s="32" t="n"/>
      <c r="E4271" s="33" t="n">
        <v>-0.4261</v>
      </c>
      <c r="F4271" t="inlineStr">
        <is>
          <t>Down</t>
        </is>
      </c>
      <c r="G4271" t="inlineStr">
        <is>
          <t>Down</t>
        </is>
      </c>
      <c r="H4271" t="inlineStr">
        <is>
          <t>ED_JD</t>
        </is>
      </c>
      <c r="I4271" t="inlineStr">
        <is>
          <t>2023-07</t>
        </is>
      </c>
      <c r="J4271" t="n">
        <v>1</v>
      </c>
      <c r="K4271" t="n">
        <v>1</v>
      </c>
      <c r="L4271" s="34">
        <f>IF($J4271=1,LN(B4272/B4271),"")</f>
        <v/>
      </c>
      <c r="M4271" s="34">
        <f>IF($K4271=1,INDEX(Mensal!$D$2:$D$245,MATCH($I4271,Mensal!$A$2:$A$245,0)),"")</f>
        <v/>
      </c>
      <c r="N4271" s="34">
        <f>IF($K4271=1,L4271-M4271,"")</f>
        <v/>
      </c>
      <c r="O4271" s="34" t="n">
        <v>0.0005078800000000001</v>
      </c>
      <c r="P4271" s="34">
        <f>IF($J4271=1,LN(1+O4271),"")</f>
        <v/>
      </c>
      <c r="Q4271" s="34">
        <f>IF($J4271=1,LN(R4272/R4271),"")</f>
        <v/>
      </c>
      <c r="R4271" s="32" t="n">
        <v>4.804</v>
      </c>
      <c r="S4271" s="35" t="n">
        <v>11.53</v>
      </c>
      <c r="T4271" s="18" t="n"/>
      <c r="U4271" s="18" t="n"/>
      <c r="V4271" s="18" t="n">
        <v>117841.19</v>
      </c>
      <c r="W4271" s="18" t="n"/>
      <c r="X4271" s="35" t="n"/>
      <c r="Y4271" s="35" t="n">
        <v>11.53</v>
      </c>
    </row>
    <row r="4272">
      <c r="A4272" s="25" t="n">
        <v>45126</v>
      </c>
      <c r="B4272" s="18" t="n">
        <v>117552.07</v>
      </c>
      <c r="C4272" s="31" t="n"/>
      <c r="D4272" s="32" t="n"/>
      <c r="E4272" s="33" t="n">
        <v>-0.4231</v>
      </c>
      <c r="F4272" t="inlineStr">
        <is>
          <t>Down</t>
        </is>
      </c>
      <c r="G4272" t="inlineStr">
        <is>
          <t>Down</t>
        </is>
      </c>
      <c r="H4272" t="inlineStr">
        <is>
          <t>ED_JD</t>
        </is>
      </c>
      <c r="I4272" t="inlineStr">
        <is>
          <t>2023-07</t>
        </is>
      </c>
      <c r="J4272" t="n">
        <v>1</v>
      </c>
      <c r="K4272" t="n">
        <v>1</v>
      </c>
      <c r="L4272" s="34">
        <f>IF($J4272=1,LN(B4273/B4272),"")</f>
        <v/>
      </c>
      <c r="M4272" s="34">
        <f>IF($K4272=1,INDEX(Mensal!$D$2:$D$245,MATCH($I4272,Mensal!$A$2:$A$245,0)),"")</f>
        <v/>
      </c>
      <c r="N4272" s="34">
        <f>IF($K4272=1,L4272-M4272,"")</f>
        <v/>
      </c>
      <c r="O4272" s="34" t="n">
        <v>0.0005078800000000001</v>
      </c>
      <c r="P4272" s="34">
        <f>IF($J4272=1,LN(1+O4272),"")</f>
        <v/>
      </c>
      <c r="Q4272" s="34">
        <f>IF($J4272=1,LN(R4273/R4272),"")</f>
        <v/>
      </c>
      <c r="R4272" s="32" t="n">
        <v>4.8</v>
      </c>
      <c r="S4272" s="35" t="n">
        <v>11.55</v>
      </c>
      <c r="T4272" s="18" t="n"/>
      <c r="U4272" s="18" t="n"/>
      <c r="V4272" s="18" t="n">
        <v>117552.07</v>
      </c>
      <c r="W4272" s="18" t="n"/>
      <c r="X4272" s="35" t="n"/>
      <c r="Y4272" s="35" t="n">
        <v>11.55</v>
      </c>
    </row>
    <row r="4273">
      <c r="A4273" s="25" t="n">
        <v>45127</v>
      </c>
      <c r="B4273" s="18" t="n">
        <v>118082.9</v>
      </c>
      <c r="C4273" s="31" t="n"/>
      <c r="D4273" s="32" t="n"/>
      <c r="E4273" s="33" t="n">
        <v>-0.4248</v>
      </c>
      <c r="F4273" t="inlineStr">
        <is>
          <t>Down</t>
        </is>
      </c>
      <c r="G4273" t="inlineStr">
        <is>
          <t>Down</t>
        </is>
      </c>
      <c r="H4273" t="inlineStr">
        <is>
          <t>ED_JD</t>
        </is>
      </c>
      <c r="I4273" t="inlineStr">
        <is>
          <t>2023-07</t>
        </is>
      </c>
      <c r="J4273" t="n">
        <v>1</v>
      </c>
      <c r="K4273" t="n">
        <v>1</v>
      </c>
      <c r="L4273" s="34">
        <f>IF($J4273=1,LN(B4274/B4273),"")</f>
        <v/>
      </c>
      <c r="M4273" s="34">
        <f>IF($K4273=1,INDEX(Mensal!$D$2:$D$245,MATCH($I4273,Mensal!$A$2:$A$245,0)),"")</f>
        <v/>
      </c>
      <c r="N4273" s="34">
        <f>IF($K4273=1,L4273-M4273,"")</f>
        <v/>
      </c>
      <c r="O4273" s="34" t="n">
        <v>0.0005078800000000001</v>
      </c>
      <c r="P4273" s="34">
        <f>IF($J4273=1,LN(1+O4273),"")</f>
        <v/>
      </c>
      <c r="Q4273" s="34">
        <f>IF($J4273=1,LN(R4274/R4273),"")</f>
        <v/>
      </c>
      <c r="R4273" s="32" t="n">
        <v>4.7888</v>
      </c>
      <c r="S4273" s="35" t="n">
        <v>11.58</v>
      </c>
      <c r="T4273" s="18" t="n"/>
      <c r="U4273" s="18" t="n"/>
      <c r="V4273" s="18" t="n">
        <v>118082.9</v>
      </c>
      <c r="W4273" s="18" t="n"/>
      <c r="X4273" s="35" t="n"/>
      <c r="Y4273" s="35" t="n">
        <v>11.58</v>
      </c>
    </row>
    <row r="4274">
      <c r="A4274" s="25" t="n">
        <v>45128</v>
      </c>
      <c r="B4274" s="18" t="n">
        <v>120216.77</v>
      </c>
      <c r="C4274" s="31" t="n"/>
      <c r="D4274" s="32" t="n"/>
      <c r="E4274" s="33" t="n">
        <v>-0.4272</v>
      </c>
      <c r="F4274" t="inlineStr">
        <is>
          <t>Down</t>
        </is>
      </c>
      <c r="G4274" t="inlineStr">
        <is>
          <t>Down</t>
        </is>
      </c>
      <c r="H4274" t="inlineStr">
        <is>
          <t>ED_JD</t>
        </is>
      </c>
      <c r="I4274" t="inlineStr">
        <is>
          <t>2023-07</t>
        </is>
      </c>
      <c r="J4274" t="n">
        <v>1</v>
      </c>
      <c r="K4274" t="n">
        <v>1</v>
      </c>
      <c r="L4274" s="34">
        <f>IF($J4274=1,LN(B4275/B4274),"")</f>
        <v/>
      </c>
      <c r="M4274" s="34">
        <f>IF($K4274=1,INDEX(Mensal!$D$2:$D$245,MATCH($I4274,Mensal!$A$2:$A$245,0)),"")</f>
        <v/>
      </c>
      <c r="N4274" s="34">
        <f>IF($K4274=1,L4274-M4274,"")</f>
        <v/>
      </c>
      <c r="O4274" s="34" t="n">
        <v>0.0005078800000000001</v>
      </c>
      <c r="P4274" s="34">
        <f>IF($J4274=1,LN(1+O4274),"")</f>
        <v/>
      </c>
      <c r="Q4274" s="34">
        <f>IF($J4274=1,LN(R4275/R4274),"")</f>
        <v/>
      </c>
      <c r="R4274" s="32" t="n">
        <v>4.7732</v>
      </c>
      <c r="S4274" s="35" t="n">
        <v>11.48</v>
      </c>
      <c r="T4274" s="18" t="n"/>
      <c r="U4274" s="18" t="n"/>
      <c r="V4274" s="18" t="n">
        <v>120216.77</v>
      </c>
      <c r="W4274" s="18" t="n"/>
      <c r="X4274" s="35" t="n"/>
      <c r="Y4274" s="35" t="n">
        <v>11.48</v>
      </c>
    </row>
    <row r="4275">
      <c r="A4275" s="25" t="n">
        <v>45131</v>
      </c>
      <c r="B4275" s="18" t="n">
        <v>121341.69</v>
      </c>
      <c r="C4275" s="31" t="n"/>
      <c r="D4275" s="32" t="n"/>
      <c r="E4275" s="33" t="n">
        <v>-0.4399</v>
      </c>
      <c r="F4275" t="inlineStr">
        <is>
          <t>Down</t>
        </is>
      </c>
      <c r="G4275" t="inlineStr">
        <is>
          <t>Down</t>
        </is>
      </c>
      <c r="H4275" t="inlineStr">
        <is>
          <t>ED_JD</t>
        </is>
      </c>
      <c r="I4275" t="inlineStr">
        <is>
          <t>2023-07</t>
        </is>
      </c>
      <c r="J4275" t="n">
        <v>1</v>
      </c>
      <c r="K4275" t="n">
        <v>1</v>
      </c>
      <c r="L4275" s="34">
        <f>IF($J4275=1,LN(B4276/B4275),"")</f>
        <v/>
      </c>
      <c r="M4275" s="34">
        <f>IF($K4275=1,INDEX(Mensal!$D$2:$D$245,MATCH($I4275,Mensal!$A$2:$A$245,0)),"")</f>
        <v/>
      </c>
      <c r="N4275" s="34">
        <f>IF($K4275=1,L4275-M4275,"")</f>
        <v/>
      </c>
      <c r="O4275" s="34" t="n">
        <v>0.0005078800000000001</v>
      </c>
      <c r="P4275" s="34">
        <f>IF($J4275=1,LN(1+O4275),"")</f>
        <v/>
      </c>
      <c r="Q4275" s="34">
        <f>IF($J4275=1,LN(R4276/R4275),"")</f>
        <v/>
      </c>
      <c r="R4275" s="32" t="n">
        <v>4.7457</v>
      </c>
      <c r="S4275" s="35" t="n">
        <v>11.46</v>
      </c>
      <c r="T4275" s="18" t="n"/>
      <c r="U4275" s="18" t="n"/>
      <c r="V4275" s="18" t="n">
        <v>121341.69</v>
      </c>
      <c r="W4275" s="18" t="n"/>
      <c r="X4275" s="35" t="n"/>
      <c r="Y4275" s="35" t="n">
        <v>11.46</v>
      </c>
    </row>
    <row r="4276">
      <c r="A4276" s="25" t="n">
        <v>45132</v>
      </c>
      <c r="B4276" s="18" t="n">
        <v>122007.77</v>
      </c>
      <c r="C4276" s="31" t="n"/>
      <c r="D4276" s="32" t="n"/>
      <c r="E4276" s="33" t="n">
        <v>-0.4551</v>
      </c>
      <c r="F4276" t="inlineStr">
        <is>
          <t>Down</t>
        </is>
      </c>
      <c r="G4276" t="inlineStr">
        <is>
          <t>Down</t>
        </is>
      </c>
      <c r="H4276" t="inlineStr">
        <is>
          <t>ED_JD</t>
        </is>
      </c>
      <c r="I4276" t="inlineStr">
        <is>
          <t>2023-07</t>
        </is>
      </c>
      <c r="J4276" t="n">
        <v>1</v>
      </c>
      <c r="K4276" t="n">
        <v>1</v>
      </c>
      <c r="L4276" s="34">
        <f>IF($J4276=1,LN(B4277/B4276),"")</f>
        <v/>
      </c>
      <c r="M4276" s="34">
        <f>IF($K4276=1,INDEX(Mensal!$D$2:$D$245,MATCH($I4276,Mensal!$A$2:$A$245,0)),"")</f>
        <v/>
      </c>
      <c r="N4276" s="34">
        <f>IF($K4276=1,L4276-M4276,"")</f>
        <v/>
      </c>
      <c r="O4276" s="34" t="n">
        <v>0.0005078800000000001</v>
      </c>
      <c r="P4276" s="34">
        <f>IF($J4276=1,LN(1+O4276),"")</f>
        <v/>
      </c>
      <c r="Q4276" s="34">
        <f>IF($J4276=1,LN(R4277/R4276),"")</f>
        <v/>
      </c>
      <c r="R4276" s="32" t="n">
        <v>4.7496</v>
      </c>
      <c r="S4276" s="35" t="n">
        <v>11.36</v>
      </c>
      <c r="T4276" s="18" t="n"/>
      <c r="U4276" s="18" t="n"/>
      <c r="V4276" s="18" t="n">
        <v>122007.77</v>
      </c>
      <c r="W4276" s="18" t="n"/>
      <c r="X4276" s="35" t="n"/>
      <c r="Y4276" s="35" t="n">
        <v>11.36</v>
      </c>
    </row>
    <row r="4277">
      <c r="A4277" s="25" t="n">
        <v>45133</v>
      </c>
      <c r="B4277" s="18" t="n">
        <v>122560.38</v>
      </c>
      <c r="C4277" s="31" t="n"/>
      <c r="D4277" s="32" t="n"/>
      <c r="E4277" s="33" t="n">
        <v>-0.4876</v>
      </c>
      <c r="F4277" t="inlineStr">
        <is>
          <t>Down</t>
        </is>
      </c>
      <c r="G4277" t="inlineStr">
        <is>
          <t>Down</t>
        </is>
      </c>
      <c r="H4277" t="inlineStr">
        <is>
          <t>ED_JD</t>
        </is>
      </c>
      <c r="I4277" t="inlineStr">
        <is>
          <t>2023-07</t>
        </is>
      </c>
      <c r="J4277" t="n">
        <v>1</v>
      </c>
      <c r="K4277" t="n">
        <v>1</v>
      </c>
      <c r="L4277" s="34">
        <f>IF($J4277=1,LN(B4278/B4277),"")</f>
        <v/>
      </c>
      <c r="M4277" s="34">
        <f>IF($K4277=1,INDEX(Mensal!$D$2:$D$245,MATCH($I4277,Mensal!$A$2:$A$245,0)),"")</f>
        <v/>
      </c>
      <c r="N4277" s="34">
        <f>IF($K4277=1,L4277-M4277,"")</f>
        <v/>
      </c>
      <c r="O4277" s="34" t="n">
        <v>0.0005078800000000001</v>
      </c>
      <c r="P4277" s="34">
        <f>IF($J4277=1,LN(1+O4277),"")</f>
        <v/>
      </c>
      <c r="Q4277" s="34">
        <f>IF($J4277=1,LN(R4278/R4277),"")</f>
        <v/>
      </c>
      <c r="R4277" s="32" t="n">
        <v>4.7368</v>
      </c>
      <c r="S4277" s="35" t="n">
        <v>11.29</v>
      </c>
      <c r="T4277" s="18" t="n"/>
      <c r="U4277" s="18" t="n"/>
      <c r="V4277" s="18" t="n">
        <v>122560.38</v>
      </c>
      <c r="W4277" s="18" t="n"/>
      <c r="X4277" s="35" t="n"/>
      <c r="Y4277" s="35" t="n">
        <v>11.29</v>
      </c>
    </row>
    <row r="4278">
      <c r="A4278" s="25" t="n">
        <v>45134</v>
      </c>
      <c r="B4278" s="18" t="n">
        <v>119989.64</v>
      </c>
      <c r="C4278" s="31" t="n"/>
      <c r="D4278" s="32" t="n"/>
      <c r="E4278" s="33" t="n">
        <v>-0.5341</v>
      </c>
      <c r="F4278" t="inlineStr">
        <is>
          <t>Down</t>
        </is>
      </c>
      <c r="G4278" t="inlineStr">
        <is>
          <t>Down</t>
        </is>
      </c>
      <c r="H4278" t="inlineStr">
        <is>
          <t>ED_JD</t>
        </is>
      </c>
      <c r="I4278" t="inlineStr">
        <is>
          <t>2023-07</t>
        </is>
      </c>
      <c r="J4278" t="n">
        <v>1</v>
      </c>
      <c r="K4278" t="n">
        <v>1</v>
      </c>
      <c r="L4278" s="34">
        <f>IF($J4278=1,LN(B4279/B4278),"")</f>
        <v/>
      </c>
      <c r="M4278" s="34">
        <f>IF($K4278=1,INDEX(Mensal!$D$2:$D$245,MATCH($I4278,Mensal!$A$2:$A$245,0)),"")</f>
        <v/>
      </c>
      <c r="N4278" s="34">
        <f>IF($K4278=1,L4278-M4278,"")</f>
        <v/>
      </c>
      <c r="O4278" s="34" t="n">
        <v>0.0005078800000000001</v>
      </c>
      <c r="P4278" s="34">
        <f>IF($J4278=1,LN(1+O4278),"")</f>
        <v/>
      </c>
      <c r="Q4278" s="34">
        <f>IF($J4278=1,LN(R4279/R4278),"")</f>
        <v/>
      </c>
      <c r="R4278" s="32" t="n">
        <v>4.7202</v>
      </c>
      <c r="S4278" s="35" t="n">
        <v>11.3</v>
      </c>
      <c r="T4278" s="18" t="n"/>
      <c r="U4278" s="18" t="n"/>
      <c r="V4278" s="18" t="n">
        <v>119989.64</v>
      </c>
      <c r="W4278" s="18" t="n"/>
      <c r="X4278" s="35" t="n"/>
      <c r="Y4278" s="35" t="n">
        <v>11.3</v>
      </c>
    </row>
    <row r="4279">
      <c r="A4279" s="25" t="n">
        <v>45135</v>
      </c>
      <c r="B4279" s="18" t="n">
        <v>120187.11</v>
      </c>
      <c r="C4279" s="31" t="n"/>
      <c r="D4279" s="32" t="n"/>
      <c r="E4279" s="33" t="n">
        <v>-0.5622</v>
      </c>
      <c r="F4279" t="inlineStr">
        <is>
          <t>Down</t>
        </is>
      </c>
      <c r="G4279" t="inlineStr">
        <is>
          <t>Down</t>
        </is>
      </c>
      <c r="H4279" t="inlineStr">
        <is>
          <t>ED_JD</t>
        </is>
      </c>
      <c r="I4279" t="inlineStr">
        <is>
          <t>2023-07</t>
        </is>
      </c>
      <c r="J4279" t="n">
        <v>1</v>
      </c>
      <c r="K4279" t="n">
        <v>1</v>
      </c>
      <c r="L4279" s="34">
        <f>IF($J4279=1,LN(B4280/B4279),"")</f>
        <v/>
      </c>
      <c r="M4279" s="34">
        <f>IF($K4279=1,INDEX(Mensal!$D$2:$D$245,MATCH($I4279,Mensal!$A$2:$A$245,0)),"")</f>
        <v/>
      </c>
      <c r="N4279" s="34">
        <f>IF($K4279=1,L4279-M4279,"")</f>
        <v/>
      </c>
      <c r="O4279" s="34" t="n">
        <v>0.0005078800000000001</v>
      </c>
      <c r="P4279" s="34">
        <f>IF($J4279=1,LN(1+O4279),"")</f>
        <v/>
      </c>
      <c r="Q4279" s="34">
        <f>IF($J4279=1,LN(R4280/R4279),"")</f>
        <v/>
      </c>
      <c r="R4279" s="32" t="n">
        <v>4.7253</v>
      </c>
      <c r="S4279" s="35" t="n">
        <v>11.33</v>
      </c>
      <c r="T4279" s="18" t="n"/>
      <c r="U4279" s="18" t="n"/>
      <c r="V4279" s="18" t="n">
        <v>120187.11</v>
      </c>
      <c r="W4279" s="18" t="n"/>
      <c r="X4279" s="35" t="n"/>
      <c r="Y4279" s="35" t="n">
        <v>11.33</v>
      </c>
    </row>
    <row r="4280">
      <c r="A4280" s="25" t="n">
        <v>45138</v>
      </c>
      <c r="B4280" s="18" t="n">
        <v>121942.98</v>
      </c>
      <c r="C4280" s="31" t="n"/>
      <c r="D4280" s="32" t="n"/>
      <c r="E4280" s="33" t="n">
        <v>-0.5729</v>
      </c>
      <c r="F4280" t="inlineStr">
        <is>
          <t>Down</t>
        </is>
      </c>
      <c r="G4280" t="inlineStr">
        <is>
          <t>Down</t>
        </is>
      </c>
      <c r="H4280" t="inlineStr">
        <is>
          <t>ED_JD</t>
        </is>
      </c>
      <c r="I4280" t="inlineStr">
        <is>
          <t>2023-07</t>
        </is>
      </c>
      <c r="J4280" t="n">
        <v>1</v>
      </c>
      <c r="K4280" t="n">
        <v>1</v>
      </c>
      <c r="L4280" s="34">
        <f>IF($J4280=1,LN(B4281/B4280),"")</f>
        <v/>
      </c>
      <c r="M4280" s="34">
        <f>IF($K4280=1,INDEX(Mensal!$D$2:$D$245,MATCH($I4280,Mensal!$A$2:$A$245,0)),"")</f>
        <v/>
      </c>
      <c r="N4280" s="34">
        <f>IF($K4280=1,L4280-M4280,"")</f>
        <v/>
      </c>
      <c r="O4280" s="34" t="n">
        <v>0.0005078800000000001</v>
      </c>
      <c r="P4280" s="34">
        <f>IF($J4280=1,LN(1+O4280),"")</f>
        <v/>
      </c>
      <c r="Q4280" s="34">
        <f>IF($J4280=1,LN(R4281/R4280),"")</f>
        <v/>
      </c>
      <c r="R4280" s="32" t="n">
        <v>4.7415</v>
      </c>
      <c r="S4280" s="35" t="n">
        <v>11.26</v>
      </c>
      <c r="T4280" s="18" t="n"/>
      <c r="U4280" s="18" t="n"/>
      <c r="V4280" s="18" t="n">
        <v>121942.98</v>
      </c>
      <c r="W4280" s="18" t="n"/>
      <c r="X4280" s="35" t="n"/>
      <c r="Y4280" s="35" t="n">
        <v>11.26</v>
      </c>
    </row>
    <row r="4281">
      <c r="A4281" s="25" t="n">
        <v>45139</v>
      </c>
      <c r="B4281" s="18" t="n">
        <v>121248.39</v>
      </c>
      <c r="C4281" s="31" t="n"/>
      <c r="D4281" s="32" t="n"/>
      <c r="E4281" s="33" t="n">
        <v>-0.5839</v>
      </c>
      <c r="F4281" t="inlineStr">
        <is>
          <t>Down</t>
        </is>
      </c>
      <c r="G4281" t="inlineStr">
        <is>
          <t>Down</t>
        </is>
      </c>
      <c r="H4281" t="inlineStr">
        <is>
          <t>ED_JD</t>
        </is>
      </c>
      <c r="I4281" t="inlineStr">
        <is>
          <t>2023-08</t>
        </is>
      </c>
      <c r="J4281" t="n">
        <v>1</v>
      </c>
      <c r="K4281" t="n">
        <v>1</v>
      </c>
      <c r="L4281" s="34">
        <f>IF($J4281=1,LN(B4282/B4281),"")</f>
        <v/>
      </c>
      <c r="M4281" s="34">
        <f>IF($K4281=1,INDEX(Mensal!$D$2:$D$245,MATCH($I4281,Mensal!$A$2:$A$245,0)),"")</f>
        <v/>
      </c>
      <c r="N4281" s="34">
        <f>IF($K4281=1,L4281-M4281,"")</f>
        <v/>
      </c>
      <c r="O4281" s="34" t="n">
        <v>0.0005078800000000001</v>
      </c>
      <c r="P4281" s="34">
        <f>IF($J4281=1,LN(1+O4281),"")</f>
        <v/>
      </c>
      <c r="Q4281" s="34">
        <f>IF($J4281=1,LN(R4282/R4281),"")</f>
        <v/>
      </c>
      <c r="R4281" s="32" t="n">
        <v>4.7752</v>
      </c>
      <c r="S4281" s="35" t="n">
        <v>11.3</v>
      </c>
      <c r="T4281" s="18" t="n"/>
      <c r="U4281" s="18" t="n"/>
      <c r="V4281" s="18" t="n">
        <v>121248.39</v>
      </c>
      <c r="W4281" s="18" t="n"/>
      <c r="X4281" s="35" t="n"/>
      <c r="Y4281" s="35" t="n">
        <v>11.3</v>
      </c>
    </row>
    <row r="4282">
      <c r="A4282" s="25" t="n">
        <v>45140</v>
      </c>
      <c r="B4282" s="18" t="n">
        <v>120858.72</v>
      </c>
      <c r="C4282" s="31" t="n"/>
      <c r="D4282" s="32" t="n"/>
      <c r="E4282" s="33" t="n">
        <v>-0.5926</v>
      </c>
      <c r="F4282" t="inlineStr">
        <is>
          <t>Down</t>
        </is>
      </c>
      <c r="G4282" t="inlineStr">
        <is>
          <t>Down</t>
        </is>
      </c>
      <c r="H4282" t="inlineStr">
        <is>
          <t>ED_JD</t>
        </is>
      </c>
      <c r="I4282" t="inlineStr">
        <is>
          <t>2023-08</t>
        </is>
      </c>
      <c r="J4282" t="n">
        <v>1</v>
      </c>
      <c r="K4282" t="n">
        <v>1</v>
      </c>
      <c r="L4282" s="34">
        <f>IF($J4282=1,LN(B4283/B4282),"")</f>
        <v/>
      </c>
      <c r="M4282" s="34">
        <f>IF($K4282=1,INDEX(Mensal!$D$2:$D$245,MATCH($I4282,Mensal!$A$2:$A$245,0)),"")</f>
        <v/>
      </c>
      <c r="N4282" s="34">
        <f>IF($K4282=1,L4282-M4282,"")</f>
        <v/>
      </c>
      <c r="O4282" s="34" t="n">
        <v>0.0005078800000000001</v>
      </c>
      <c r="P4282" s="34">
        <f>IF($J4282=1,LN(1+O4282),"")</f>
        <v/>
      </c>
      <c r="Q4282" s="34">
        <f>IF($J4282=1,LN(R4283/R4282),"")</f>
        <v/>
      </c>
      <c r="R4282" s="32" t="n">
        <v>4.8083</v>
      </c>
      <c r="S4282" s="35" t="n">
        <v>11.33</v>
      </c>
      <c r="T4282" s="18" t="n"/>
      <c r="U4282" s="18" t="n"/>
      <c r="V4282" s="18" t="n">
        <v>120858.72</v>
      </c>
      <c r="W4282" s="18" t="n"/>
      <c r="X4282" s="35" t="n"/>
      <c r="Y4282" s="35" t="n">
        <v>11.33</v>
      </c>
    </row>
    <row r="4283">
      <c r="A4283" s="25" t="n">
        <v>45141</v>
      </c>
      <c r="B4283" s="18" t="n">
        <v>120585.77</v>
      </c>
      <c r="C4283" s="31" t="n"/>
      <c r="D4283" s="32" t="n"/>
      <c r="E4283" s="33" t="n">
        <v>-0.6012999999999999</v>
      </c>
      <c r="F4283" t="inlineStr">
        <is>
          <t>Down</t>
        </is>
      </c>
      <c r="G4283" t="inlineStr">
        <is>
          <t>Down</t>
        </is>
      </c>
      <c r="H4283" t="inlineStr">
        <is>
          <t>ED_JD</t>
        </is>
      </c>
      <c r="I4283" t="inlineStr">
        <is>
          <t>2023-08</t>
        </is>
      </c>
      <c r="J4283" t="n">
        <v>1</v>
      </c>
      <c r="K4283" t="n">
        <v>1</v>
      </c>
      <c r="L4283" s="34">
        <f>IF($J4283=1,LN(B4284/B4283),"")</f>
        <v/>
      </c>
      <c r="M4283" s="34">
        <f>IF($K4283=1,INDEX(Mensal!$D$2:$D$245,MATCH($I4283,Mensal!$A$2:$A$245,0)),"")</f>
        <v/>
      </c>
      <c r="N4283" s="34">
        <f>IF($K4283=1,L4283-M4283,"")</f>
        <v/>
      </c>
      <c r="O4283" s="34" t="n">
        <v>0.00049037</v>
      </c>
      <c r="P4283" s="34">
        <f>IF($J4283=1,LN(1+O4283),"")</f>
        <v/>
      </c>
      <c r="Q4283" s="34">
        <f>IF($J4283=1,LN(R4284/R4283),"")</f>
        <v/>
      </c>
      <c r="R4283" s="32" t="n">
        <v>4.8797</v>
      </c>
      <c r="S4283" s="35" t="n">
        <v>11.1</v>
      </c>
      <c r="T4283" s="18" t="n"/>
      <c r="U4283" s="18" t="n"/>
      <c r="V4283" s="18" t="n">
        <v>120585.77</v>
      </c>
      <c r="W4283" s="18" t="n"/>
      <c r="X4283" s="35" t="n"/>
      <c r="Y4283" s="35" t="n">
        <v>11.1</v>
      </c>
    </row>
    <row r="4284">
      <c r="A4284" s="25" t="n">
        <v>45142</v>
      </c>
      <c r="B4284" s="18" t="n">
        <v>119507.68</v>
      </c>
      <c r="C4284" s="31" t="n"/>
      <c r="D4284" s="32" t="n"/>
      <c r="E4284" s="33" t="n">
        <v>-0.6077</v>
      </c>
      <c r="F4284" t="inlineStr">
        <is>
          <t>Down</t>
        </is>
      </c>
      <c r="G4284" t="inlineStr">
        <is>
          <t>Down</t>
        </is>
      </c>
      <c r="H4284" t="inlineStr">
        <is>
          <t>ED_JD</t>
        </is>
      </c>
      <c r="I4284" t="inlineStr">
        <is>
          <t>2023-08</t>
        </is>
      </c>
      <c r="J4284" t="n">
        <v>1</v>
      </c>
      <c r="K4284" t="n">
        <v>1</v>
      </c>
      <c r="L4284" s="34">
        <f>IF($J4284=1,LN(B4285/B4284),"")</f>
        <v/>
      </c>
      <c r="M4284" s="34">
        <f>IF($K4284=1,INDEX(Mensal!$D$2:$D$245,MATCH($I4284,Mensal!$A$2:$A$245,0)),"")</f>
        <v/>
      </c>
      <c r="N4284" s="34">
        <f>IF($K4284=1,L4284-M4284,"")</f>
        <v/>
      </c>
      <c r="O4284" s="34" t="n">
        <v>0.00049037</v>
      </c>
      <c r="P4284" s="34">
        <f>IF($J4284=1,LN(1+O4284),"")</f>
        <v/>
      </c>
      <c r="Q4284" s="34">
        <f>IF($J4284=1,LN(R4285/R4284),"")</f>
        <v/>
      </c>
      <c r="R4284" s="32" t="n">
        <v>4.8609</v>
      </c>
      <c r="S4284" s="35" t="n">
        <v>11.13</v>
      </c>
      <c r="T4284" s="18" t="n"/>
      <c r="U4284" s="18" t="n"/>
      <c r="V4284" s="18" t="n">
        <v>119507.68</v>
      </c>
      <c r="W4284" s="18" t="n"/>
      <c r="X4284" s="35" t="n"/>
      <c r="Y4284" s="35" t="n">
        <v>11.13</v>
      </c>
    </row>
    <row r="4285">
      <c r="A4285" s="25" t="n">
        <v>45145</v>
      </c>
      <c r="B4285" s="18" t="n">
        <v>119379.5</v>
      </c>
      <c r="C4285" s="31" t="n"/>
      <c r="D4285" s="32" t="n"/>
      <c r="E4285" s="33" t="n">
        <v>-0.6121</v>
      </c>
      <c r="F4285" t="inlineStr">
        <is>
          <t>Down</t>
        </is>
      </c>
      <c r="G4285" t="inlineStr">
        <is>
          <t>Down</t>
        </is>
      </c>
      <c r="H4285" t="inlineStr">
        <is>
          <t>ED_JD</t>
        </is>
      </c>
      <c r="I4285" t="inlineStr">
        <is>
          <t>2023-08</t>
        </is>
      </c>
      <c r="J4285" t="n">
        <v>1</v>
      </c>
      <c r="K4285" t="n">
        <v>1</v>
      </c>
      <c r="L4285" s="34">
        <f>IF($J4285=1,LN(B4286/B4285),"")</f>
        <v/>
      </c>
      <c r="M4285" s="34">
        <f>IF($K4285=1,INDEX(Mensal!$D$2:$D$245,MATCH($I4285,Mensal!$A$2:$A$245,0)),"")</f>
        <v/>
      </c>
      <c r="N4285" s="34">
        <f>IF($K4285=1,L4285-M4285,"")</f>
        <v/>
      </c>
      <c r="O4285" s="34" t="n">
        <v>0.00049037</v>
      </c>
      <c r="P4285" s="34">
        <f>IF($J4285=1,LN(1+O4285),"")</f>
        <v/>
      </c>
      <c r="Q4285" s="34">
        <f>IF($J4285=1,LN(R4286/R4285),"")</f>
        <v/>
      </c>
      <c r="R4285" s="32" t="n">
        <v>4.901</v>
      </c>
      <c r="S4285" s="35" t="n">
        <v>11.17</v>
      </c>
      <c r="T4285" s="18" t="n"/>
      <c r="U4285" s="18" t="n"/>
      <c r="V4285" s="18" t="n">
        <v>119379.5</v>
      </c>
      <c r="W4285" s="18" t="n"/>
      <c r="X4285" s="35" t="n"/>
      <c r="Y4285" s="35" t="n">
        <v>11.17</v>
      </c>
    </row>
    <row r="4286">
      <c r="A4286" s="25" t="n">
        <v>45146</v>
      </c>
      <c r="B4286" s="18" t="n">
        <v>119090.24</v>
      </c>
      <c r="C4286" s="31" t="n"/>
      <c r="D4286" s="32" t="n"/>
      <c r="E4286" s="33" t="n">
        <v>-0.6129</v>
      </c>
      <c r="F4286" t="inlineStr">
        <is>
          <t>Down</t>
        </is>
      </c>
      <c r="G4286" t="inlineStr">
        <is>
          <t>Down</t>
        </is>
      </c>
      <c r="H4286" t="inlineStr">
        <is>
          <t>ED_JD</t>
        </is>
      </c>
      <c r="I4286" t="inlineStr">
        <is>
          <t>2023-08</t>
        </is>
      </c>
      <c r="J4286" t="n">
        <v>1</v>
      </c>
      <c r="K4286" t="n">
        <v>1</v>
      </c>
      <c r="L4286" s="34">
        <f>IF($J4286=1,LN(B4287/B4286),"")</f>
        <v/>
      </c>
      <c r="M4286" s="34">
        <f>IF($K4286=1,INDEX(Mensal!$D$2:$D$245,MATCH($I4286,Mensal!$A$2:$A$245,0)),"")</f>
        <v/>
      </c>
      <c r="N4286" s="34">
        <f>IF($K4286=1,L4286-M4286,"")</f>
        <v/>
      </c>
      <c r="O4286" s="34" t="n">
        <v>0.00049037</v>
      </c>
      <c r="P4286" s="34">
        <f>IF($J4286=1,LN(1+O4286),"")</f>
        <v/>
      </c>
      <c r="Q4286" s="34">
        <f>IF($J4286=1,LN(R4287/R4286),"")</f>
        <v/>
      </c>
      <c r="R4286" s="32" t="n">
        <v>4.9217</v>
      </c>
      <c r="S4286" s="35" t="n">
        <v>11.09</v>
      </c>
      <c r="T4286" s="18" t="n"/>
      <c r="U4286" s="18" t="n"/>
      <c r="V4286" s="18" t="n">
        <v>119090.24</v>
      </c>
      <c r="W4286" s="18" t="n"/>
      <c r="X4286" s="35" t="n"/>
      <c r="Y4286" s="35" t="n">
        <v>11.09</v>
      </c>
    </row>
    <row r="4287">
      <c r="A4287" s="25" t="n">
        <v>45147</v>
      </c>
      <c r="B4287" s="18" t="n">
        <v>118408.77</v>
      </c>
      <c r="C4287" s="31" t="n"/>
      <c r="D4287" s="32" t="n"/>
      <c r="E4287" s="33" t="n">
        <v>-0.6127</v>
      </c>
      <c r="F4287" t="inlineStr">
        <is>
          <t>Down</t>
        </is>
      </c>
      <c r="G4287" t="inlineStr">
        <is>
          <t>Down</t>
        </is>
      </c>
      <c r="H4287" t="inlineStr">
        <is>
          <t>ED_JD</t>
        </is>
      </c>
      <c r="I4287" t="inlineStr">
        <is>
          <t>2023-08</t>
        </is>
      </c>
      <c r="J4287" t="n">
        <v>1</v>
      </c>
      <c r="K4287" t="n">
        <v>1</v>
      </c>
      <c r="L4287" s="34">
        <f>IF($J4287=1,LN(B4288/B4287),"")</f>
        <v/>
      </c>
      <c r="M4287" s="34">
        <f>IF($K4287=1,INDEX(Mensal!$D$2:$D$245,MATCH($I4287,Mensal!$A$2:$A$245,0)),"")</f>
        <v/>
      </c>
      <c r="N4287" s="34">
        <f>IF($K4287=1,L4287-M4287,"")</f>
        <v/>
      </c>
      <c r="O4287" s="34" t="n">
        <v>0.00049037</v>
      </c>
      <c r="P4287" s="34">
        <f>IF($J4287=1,LN(1+O4287),"")</f>
        <v/>
      </c>
      <c r="Q4287" s="34">
        <f>IF($J4287=1,LN(R4288/R4287),"")</f>
        <v/>
      </c>
      <c r="R4287" s="32" t="n">
        <v>4.9015</v>
      </c>
      <c r="S4287" s="35" t="n">
        <v>11.1</v>
      </c>
      <c r="T4287" s="18" t="n"/>
      <c r="U4287" s="18" t="n"/>
      <c r="V4287" s="18" t="n">
        <v>118408.77</v>
      </c>
      <c r="W4287" s="18" t="n"/>
      <c r="X4287" s="35" t="n"/>
      <c r="Y4287" s="35" t="n">
        <v>11.1</v>
      </c>
    </row>
    <row r="4288">
      <c r="A4288" s="25" t="n">
        <v>45148</v>
      </c>
      <c r="B4288" s="18" t="n">
        <v>118349.6</v>
      </c>
      <c r="C4288" s="31" t="n"/>
      <c r="D4288" s="32" t="n"/>
      <c r="E4288" s="33" t="n">
        <v>-0.6</v>
      </c>
      <c r="F4288" t="inlineStr">
        <is>
          <t>Down</t>
        </is>
      </c>
      <c r="G4288" t="inlineStr">
        <is>
          <t>Down</t>
        </is>
      </c>
      <c r="H4288" t="inlineStr">
        <is>
          <t>ED_JD</t>
        </is>
      </c>
      <c r="I4288" t="inlineStr">
        <is>
          <t>2023-08</t>
        </is>
      </c>
      <c r="J4288" t="n">
        <v>1</v>
      </c>
      <c r="K4288" t="n">
        <v>1</v>
      </c>
      <c r="L4288" s="34">
        <f>IF($J4288=1,LN(B4289/B4288),"")</f>
        <v/>
      </c>
      <c r="M4288" s="34">
        <f>IF($K4288=1,INDEX(Mensal!$D$2:$D$245,MATCH($I4288,Mensal!$A$2:$A$245,0)),"")</f>
        <v/>
      </c>
      <c r="N4288" s="34">
        <f>IF($K4288=1,L4288-M4288,"")</f>
        <v/>
      </c>
      <c r="O4288" s="34" t="n">
        <v>0.00049037</v>
      </c>
      <c r="P4288" s="34">
        <f>IF($J4288=1,LN(1+O4288),"")</f>
        <v/>
      </c>
      <c r="Q4288" s="34">
        <f>IF($J4288=1,LN(R4289/R4288),"")</f>
        <v/>
      </c>
      <c r="R4288" s="32" t="n">
        <v>4.8518</v>
      </c>
      <c r="S4288" s="35" t="n">
        <v>11.04</v>
      </c>
      <c r="T4288" s="18" t="n"/>
      <c r="U4288" s="18" t="n"/>
      <c r="V4288" s="18" t="n">
        <v>118349.6</v>
      </c>
      <c r="W4288" s="18" t="n"/>
      <c r="X4288" s="35" t="n"/>
      <c r="Y4288" s="35" t="n">
        <v>11.04</v>
      </c>
    </row>
    <row r="4289">
      <c r="A4289" s="25" t="n">
        <v>45149</v>
      </c>
      <c r="B4289" s="18" t="n">
        <v>118065.14</v>
      </c>
      <c r="C4289" s="31" t="n"/>
      <c r="D4289" s="32" t="n"/>
      <c r="E4289" s="33" t="n">
        <v>-0.5903</v>
      </c>
      <c r="F4289" t="inlineStr">
        <is>
          <t>Down</t>
        </is>
      </c>
      <c r="G4289" t="inlineStr">
        <is>
          <t>Down</t>
        </is>
      </c>
      <c r="H4289" t="inlineStr">
        <is>
          <t>ED_JD</t>
        </is>
      </c>
      <c r="I4289" t="inlineStr">
        <is>
          <t>2023-08</t>
        </is>
      </c>
      <c r="J4289" t="n">
        <v>1</v>
      </c>
      <c r="K4289" t="n">
        <v>1</v>
      </c>
      <c r="L4289" s="34">
        <f>IF($J4289=1,LN(B4290/B4289),"")</f>
        <v/>
      </c>
      <c r="M4289" s="34">
        <f>IF($K4289=1,INDEX(Mensal!$D$2:$D$245,MATCH($I4289,Mensal!$A$2:$A$245,0)),"")</f>
        <v/>
      </c>
      <c r="N4289" s="34">
        <f>IF($K4289=1,L4289-M4289,"")</f>
        <v/>
      </c>
      <c r="O4289" s="34" t="n">
        <v>0.00049037</v>
      </c>
      <c r="P4289" s="34">
        <f>IF($J4289=1,LN(1+O4289),"")</f>
        <v/>
      </c>
      <c r="Q4289" s="34">
        <f>IF($J4289=1,LN(R4290/R4289),"")</f>
        <v/>
      </c>
      <c r="R4289" s="32" t="n">
        <v>4.8918</v>
      </c>
      <c r="S4289" s="35" t="n">
        <v>10.99</v>
      </c>
      <c r="T4289" s="18" t="n"/>
      <c r="U4289" s="18" t="n"/>
      <c r="V4289" s="18" t="n">
        <v>118065.14</v>
      </c>
      <c r="W4289" s="18" t="n"/>
      <c r="X4289" s="35" t="n"/>
      <c r="Y4289" s="35" t="n">
        <v>10.99</v>
      </c>
    </row>
    <row r="4290">
      <c r="A4290" s="25" t="n">
        <v>45152</v>
      </c>
      <c r="B4290" s="18" t="n">
        <v>116809.55</v>
      </c>
      <c r="C4290" s="31" t="n"/>
      <c r="D4290" s="32" t="n"/>
      <c r="E4290" s="33" t="n">
        <v>-0.5699</v>
      </c>
      <c r="F4290" t="inlineStr">
        <is>
          <t>Down</t>
        </is>
      </c>
      <c r="G4290" t="inlineStr">
        <is>
          <t>Down</t>
        </is>
      </c>
      <c r="H4290" t="inlineStr">
        <is>
          <t>ED_JD</t>
        </is>
      </c>
      <c r="I4290" t="inlineStr">
        <is>
          <t>2023-08</t>
        </is>
      </c>
      <c r="J4290" t="n">
        <v>1</v>
      </c>
      <c r="K4290" t="n">
        <v>1</v>
      </c>
      <c r="L4290" s="34">
        <f>IF($J4290=1,LN(B4291/B4290),"")</f>
        <v/>
      </c>
      <c r="M4290" s="34">
        <f>IF($K4290=1,INDEX(Mensal!$D$2:$D$245,MATCH($I4290,Mensal!$A$2:$A$245,0)),"")</f>
        <v/>
      </c>
      <c r="N4290" s="34">
        <f>IF($K4290=1,L4290-M4290,"")</f>
        <v/>
      </c>
      <c r="O4290" s="34" t="n">
        <v>0.00049037</v>
      </c>
      <c r="P4290" s="34">
        <f>IF($J4290=1,LN(1+O4290),"")</f>
        <v/>
      </c>
      <c r="Q4290" s="34">
        <f>IF($J4290=1,LN(R4291/R4290),"")</f>
        <v/>
      </c>
      <c r="R4290" s="32" t="n">
        <v>4.9481</v>
      </c>
      <c r="S4290" s="35" t="n">
        <v>11.07</v>
      </c>
      <c r="T4290" s="18" t="n"/>
      <c r="U4290" s="18" t="n"/>
      <c r="V4290" s="18" t="n">
        <v>116809.55</v>
      </c>
      <c r="W4290" s="18" t="n"/>
      <c r="X4290" s="35" t="n"/>
      <c r="Y4290" s="35" t="n">
        <v>11.07</v>
      </c>
    </row>
    <row r="4291">
      <c r="A4291" s="25" t="n">
        <v>45153</v>
      </c>
      <c r="B4291" s="18" t="n">
        <v>116171.42</v>
      </c>
      <c r="C4291" s="31" t="n"/>
      <c r="D4291" s="32" t="n"/>
      <c r="E4291" s="33" t="n">
        <v>-0.5436</v>
      </c>
      <c r="F4291" t="inlineStr">
        <is>
          <t>Down</t>
        </is>
      </c>
      <c r="G4291" t="inlineStr">
        <is>
          <t>Down</t>
        </is>
      </c>
      <c r="H4291" t="inlineStr">
        <is>
          <t>ED_JD</t>
        </is>
      </c>
      <c r="I4291" t="inlineStr">
        <is>
          <t>2023-08</t>
        </is>
      </c>
      <c r="J4291" t="n">
        <v>1</v>
      </c>
      <c r="K4291" t="n">
        <v>1</v>
      </c>
      <c r="L4291" s="34">
        <f>IF($J4291=1,LN(B4292/B4291),"")</f>
        <v/>
      </c>
      <c r="M4291" s="34">
        <f>IF($K4291=1,INDEX(Mensal!$D$2:$D$245,MATCH($I4291,Mensal!$A$2:$A$245,0)),"")</f>
        <v/>
      </c>
      <c r="N4291" s="34">
        <f>IF($K4291=1,L4291-M4291,"")</f>
        <v/>
      </c>
      <c r="O4291" s="34" t="n">
        <v>0.00049037</v>
      </c>
      <c r="P4291" s="34">
        <f>IF($J4291=1,LN(1+O4291),"")</f>
        <v/>
      </c>
      <c r="Q4291" s="34">
        <f>IF($J4291=1,LN(R4292/R4291),"")</f>
        <v/>
      </c>
      <c r="R4291" s="32" t="n">
        <v>4.9812</v>
      </c>
      <c r="S4291" s="35" t="n">
        <v>11.1</v>
      </c>
      <c r="T4291" s="18" t="n"/>
      <c r="U4291" s="18" t="n"/>
      <c r="V4291" s="18" t="n">
        <v>116171.42</v>
      </c>
      <c r="W4291" s="18" t="n"/>
      <c r="X4291" s="35" t="n"/>
      <c r="Y4291" s="35" t="n">
        <v>11.1</v>
      </c>
    </row>
    <row r="4292">
      <c r="A4292" s="25" t="n">
        <v>45154</v>
      </c>
      <c r="B4292" s="18" t="n">
        <v>115591.52</v>
      </c>
      <c r="C4292" s="31" t="n"/>
      <c r="D4292" s="32" t="n"/>
      <c r="E4292" s="33" t="n">
        <v>-0.5251</v>
      </c>
      <c r="F4292" t="inlineStr">
        <is>
          <t>Down</t>
        </is>
      </c>
      <c r="G4292" t="inlineStr">
        <is>
          <t>Down</t>
        </is>
      </c>
      <c r="H4292" t="inlineStr">
        <is>
          <t>ED_JD</t>
        </is>
      </c>
      <c r="I4292" t="inlineStr">
        <is>
          <t>2023-08</t>
        </is>
      </c>
      <c r="J4292" t="n">
        <v>1</v>
      </c>
      <c r="K4292" t="n">
        <v>1</v>
      </c>
      <c r="L4292" s="34">
        <f>IF($J4292=1,LN(B4293/B4292),"")</f>
        <v/>
      </c>
      <c r="M4292" s="34">
        <f>IF($K4292=1,INDEX(Mensal!$D$2:$D$245,MATCH($I4292,Mensal!$A$2:$A$245,0)),"")</f>
        <v/>
      </c>
      <c r="N4292" s="34">
        <f>IF($K4292=1,L4292-M4292,"")</f>
        <v/>
      </c>
      <c r="O4292" s="34" t="n">
        <v>0.00049037</v>
      </c>
      <c r="P4292" s="34">
        <f>IF($J4292=1,LN(1+O4292),"")</f>
        <v/>
      </c>
      <c r="Q4292" s="34">
        <f>IF($J4292=1,LN(R4293/R4292),"")</f>
        <v/>
      </c>
      <c r="R4292" s="32" t="n">
        <v>4.9772</v>
      </c>
      <c r="S4292" s="35" t="n">
        <v>11.08</v>
      </c>
      <c r="T4292" s="18" t="n"/>
      <c r="U4292" s="18" t="n"/>
      <c r="V4292" s="18" t="n">
        <v>115591.52</v>
      </c>
      <c r="W4292" s="18" t="n"/>
      <c r="X4292" s="35" t="n"/>
      <c r="Y4292" s="35" t="n">
        <v>11.08</v>
      </c>
    </row>
    <row r="4293">
      <c r="A4293" s="25" t="n">
        <v>45155</v>
      </c>
      <c r="B4293" s="18" t="n">
        <v>114982.3</v>
      </c>
      <c r="C4293" s="31" t="n"/>
      <c r="D4293" s="32" t="n"/>
      <c r="E4293" s="33" t="n">
        <v>-0.5059</v>
      </c>
      <c r="F4293" t="inlineStr">
        <is>
          <t>Down</t>
        </is>
      </c>
      <c r="G4293" t="inlineStr">
        <is>
          <t>Down</t>
        </is>
      </c>
      <c r="H4293" t="inlineStr">
        <is>
          <t>ED_JD</t>
        </is>
      </c>
      <c r="I4293" t="inlineStr">
        <is>
          <t>2023-08</t>
        </is>
      </c>
      <c r="J4293" t="n">
        <v>1</v>
      </c>
      <c r="K4293" t="n">
        <v>1</v>
      </c>
      <c r="L4293" s="34">
        <f>IF($J4293=1,LN(B4294/B4293),"")</f>
        <v/>
      </c>
      <c r="M4293" s="34">
        <f>IF($K4293=1,INDEX(Mensal!$D$2:$D$245,MATCH($I4293,Mensal!$A$2:$A$245,0)),"")</f>
        <v/>
      </c>
      <c r="N4293" s="34">
        <f>IF($K4293=1,L4293-M4293,"")</f>
        <v/>
      </c>
      <c r="O4293" s="34" t="n">
        <v>0.00049037</v>
      </c>
      <c r="P4293" s="34">
        <f>IF($J4293=1,LN(1+O4293),"")</f>
        <v/>
      </c>
      <c r="Q4293" s="34">
        <f>IF($J4293=1,LN(R4294/R4293),"")</f>
        <v/>
      </c>
      <c r="R4293" s="32" t="n">
        <v>4.9816</v>
      </c>
      <c r="S4293" s="35" t="n">
        <v>11.1</v>
      </c>
      <c r="T4293" s="18" t="n"/>
      <c r="U4293" s="18" t="n"/>
      <c r="V4293" s="18" t="n">
        <v>114982.3</v>
      </c>
      <c r="W4293" s="18" t="n"/>
      <c r="X4293" s="35" t="n"/>
      <c r="Y4293" s="35" t="n">
        <v>11.1</v>
      </c>
    </row>
    <row r="4294">
      <c r="A4294" s="25" t="n">
        <v>45156</v>
      </c>
      <c r="B4294" s="18" t="n">
        <v>115408.52</v>
      </c>
      <c r="C4294" s="31" t="n"/>
      <c r="D4294" s="32" t="n"/>
      <c r="E4294" s="33" t="n">
        <v>-0.481</v>
      </c>
      <c r="F4294" t="inlineStr">
        <is>
          <t>Down</t>
        </is>
      </c>
      <c r="G4294" t="inlineStr">
        <is>
          <t>Down</t>
        </is>
      </c>
      <c r="H4294" t="inlineStr">
        <is>
          <t>ED_JD</t>
        </is>
      </c>
      <c r="I4294" t="inlineStr">
        <is>
          <t>2023-08</t>
        </is>
      </c>
      <c r="J4294" t="n">
        <v>1</v>
      </c>
      <c r="K4294" t="n">
        <v>1</v>
      </c>
      <c r="L4294" s="34">
        <f>IF($J4294=1,LN(B4295/B4294),"")</f>
        <v/>
      </c>
      <c r="M4294" s="34">
        <f>IF($K4294=1,INDEX(Mensal!$D$2:$D$245,MATCH($I4294,Mensal!$A$2:$A$245,0)),"")</f>
        <v/>
      </c>
      <c r="N4294" s="34">
        <f>IF($K4294=1,L4294-M4294,"")</f>
        <v/>
      </c>
      <c r="O4294" s="34" t="n">
        <v>0.00049037</v>
      </c>
      <c r="P4294" s="34">
        <f>IF($J4294=1,LN(1+O4294),"")</f>
        <v/>
      </c>
      <c r="Q4294" s="34">
        <f>IF($J4294=1,LN(R4295/R4294),"")</f>
        <v/>
      </c>
      <c r="R4294" s="32" t="n">
        <v>4.9724</v>
      </c>
      <c r="S4294" s="35" t="n">
        <v>11.08</v>
      </c>
      <c r="T4294" s="18" t="n"/>
      <c r="U4294" s="18" t="n"/>
      <c r="V4294" s="18" t="n">
        <v>115408.52</v>
      </c>
      <c r="W4294" s="18" t="n"/>
      <c r="X4294" s="35" t="n"/>
      <c r="Y4294" s="35" t="n">
        <v>11.08</v>
      </c>
    </row>
    <row r="4295">
      <c r="A4295" s="25" t="n">
        <v>45159</v>
      </c>
      <c r="B4295" s="18" t="n">
        <v>114429.35</v>
      </c>
      <c r="C4295" s="31" t="n"/>
      <c r="D4295" s="32" t="n"/>
      <c r="E4295" s="33" t="n">
        <v>-0.4536</v>
      </c>
      <c r="F4295" t="inlineStr">
        <is>
          <t>Down</t>
        </is>
      </c>
      <c r="G4295" t="inlineStr">
        <is>
          <t>Down</t>
        </is>
      </c>
      <c r="H4295" t="inlineStr">
        <is>
          <t>ED_JD</t>
        </is>
      </c>
      <c r="I4295" t="inlineStr">
        <is>
          <t>2023-08</t>
        </is>
      </c>
      <c r="J4295" t="n">
        <v>1</v>
      </c>
      <c r="K4295" t="n">
        <v>1</v>
      </c>
      <c r="L4295" s="34">
        <f>IF($J4295=1,LN(B4296/B4295),"")</f>
        <v/>
      </c>
      <c r="M4295" s="34">
        <f>IF($K4295=1,INDEX(Mensal!$D$2:$D$245,MATCH($I4295,Mensal!$A$2:$A$245,0)),"")</f>
        <v/>
      </c>
      <c r="N4295" s="34">
        <f>IF($K4295=1,L4295-M4295,"")</f>
        <v/>
      </c>
      <c r="O4295" s="34" t="n">
        <v>0.00049037</v>
      </c>
      <c r="P4295" s="34">
        <f>IF($J4295=1,LN(1+O4295),"")</f>
        <v/>
      </c>
      <c r="Q4295" s="34">
        <f>IF($J4295=1,LN(R4296/R4295),"")</f>
        <v/>
      </c>
      <c r="R4295" s="32" t="n">
        <v>4.9847</v>
      </c>
      <c r="S4295" s="35" t="n">
        <v>11.1</v>
      </c>
      <c r="T4295" s="18" t="n"/>
      <c r="U4295" s="18" t="n"/>
      <c r="V4295" s="18" t="n">
        <v>114429.35</v>
      </c>
      <c r="W4295" s="18" t="n"/>
      <c r="X4295" s="35" t="n"/>
      <c r="Y4295" s="35" t="n">
        <v>11.1</v>
      </c>
    </row>
    <row r="4296">
      <c r="A4296" s="25" t="n">
        <v>45160</v>
      </c>
      <c r="B4296" s="18" t="n">
        <v>116156.01</v>
      </c>
      <c r="C4296" s="31" t="n"/>
      <c r="D4296" s="32" t="n"/>
      <c r="E4296" s="33" t="n">
        <v>-0.4205</v>
      </c>
      <c r="F4296" t="inlineStr">
        <is>
          <t>Down</t>
        </is>
      </c>
      <c r="G4296" t="inlineStr">
        <is>
          <t>Down</t>
        </is>
      </c>
      <c r="H4296" t="inlineStr">
        <is>
          <t>ED_JD</t>
        </is>
      </c>
      <c r="I4296" t="inlineStr">
        <is>
          <t>2023-08</t>
        </is>
      </c>
      <c r="J4296" t="n">
        <v>1</v>
      </c>
      <c r="K4296" t="n">
        <v>1</v>
      </c>
      <c r="L4296" s="34">
        <f>IF($J4296=1,LN(B4297/B4296),"")</f>
        <v/>
      </c>
      <c r="M4296" s="34">
        <f>IF($K4296=1,INDEX(Mensal!$D$2:$D$245,MATCH($I4296,Mensal!$A$2:$A$245,0)),"")</f>
        <v/>
      </c>
      <c r="N4296" s="34">
        <f>IF($K4296=1,L4296-M4296,"")</f>
        <v/>
      </c>
      <c r="O4296" s="34" t="n">
        <v>0.00049037</v>
      </c>
      <c r="P4296" s="34">
        <f>IF($J4296=1,LN(1+O4296),"")</f>
        <v/>
      </c>
      <c r="Q4296" s="34">
        <f>IF($J4296=1,LN(R4297/R4296),"")</f>
        <v/>
      </c>
      <c r="R4296" s="32" t="n">
        <v>4.9431</v>
      </c>
      <c r="S4296" s="35" t="n">
        <v>11.03</v>
      </c>
      <c r="T4296" s="18" t="n"/>
      <c r="U4296" s="18" t="n"/>
      <c r="V4296" s="18" t="n">
        <v>116156.01</v>
      </c>
      <c r="W4296" s="18" t="n"/>
      <c r="X4296" s="35" t="n"/>
      <c r="Y4296" s="35" t="n">
        <v>11.03</v>
      </c>
    </row>
    <row r="4297">
      <c r="A4297" s="25" t="n">
        <v>45161</v>
      </c>
      <c r="B4297" s="18" t="n">
        <v>118134.59</v>
      </c>
      <c r="C4297" s="31" t="n"/>
      <c r="D4297" s="32" t="n"/>
      <c r="E4297" s="33" t="n">
        <v>-0.3782</v>
      </c>
      <c r="F4297" t="inlineStr">
        <is>
          <t>Down</t>
        </is>
      </c>
      <c r="G4297" t="inlineStr">
        <is>
          <t>Down</t>
        </is>
      </c>
      <c r="H4297" t="inlineStr">
        <is>
          <t>ED_JD</t>
        </is>
      </c>
      <c r="I4297" t="inlineStr">
        <is>
          <t>2023-08</t>
        </is>
      </c>
      <c r="J4297" t="n">
        <v>1</v>
      </c>
      <c r="K4297" t="n">
        <v>1</v>
      </c>
      <c r="L4297" s="34">
        <f>IF($J4297=1,LN(B4298/B4297),"")</f>
        <v/>
      </c>
      <c r="M4297" s="34">
        <f>IF($K4297=1,INDEX(Mensal!$D$2:$D$245,MATCH($I4297,Mensal!$A$2:$A$245,0)),"")</f>
        <v/>
      </c>
      <c r="N4297" s="34">
        <f>IF($K4297=1,L4297-M4297,"")</f>
        <v/>
      </c>
      <c r="O4297" s="34" t="n">
        <v>0.00049037</v>
      </c>
      <c r="P4297" s="34">
        <f>IF($J4297=1,LN(1+O4297),"")</f>
        <v/>
      </c>
      <c r="Q4297" s="34">
        <f>IF($J4297=1,LN(R4298/R4297),"")</f>
        <v/>
      </c>
      <c r="R4297" s="32" t="n">
        <v>4.8977</v>
      </c>
      <c r="S4297" s="35" t="n">
        <v>10.98</v>
      </c>
      <c r="T4297" s="18" t="n"/>
      <c r="U4297" s="18" t="n"/>
      <c r="V4297" s="18" t="n">
        <v>118134.59</v>
      </c>
      <c r="W4297" s="18" t="n"/>
      <c r="X4297" s="35" t="n"/>
      <c r="Y4297" s="35" t="n">
        <v>10.98</v>
      </c>
    </row>
    <row r="4298">
      <c r="A4298" s="25" t="n">
        <v>45162</v>
      </c>
      <c r="B4298" s="18" t="n">
        <v>117025.6</v>
      </c>
      <c r="C4298" s="31" t="n"/>
      <c r="D4298" s="32" t="n"/>
      <c r="E4298" s="33" t="n">
        <v>-0.3526</v>
      </c>
      <c r="F4298" t="inlineStr">
        <is>
          <t>Down</t>
        </is>
      </c>
      <c r="G4298" t="inlineStr">
        <is>
          <t>Down</t>
        </is>
      </c>
      <c r="H4298" t="inlineStr">
        <is>
          <t>ED_JD</t>
        </is>
      </c>
      <c r="I4298" t="inlineStr">
        <is>
          <t>2023-08</t>
        </is>
      </c>
      <c r="J4298" t="n">
        <v>1</v>
      </c>
      <c r="K4298" t="n">
        <v>1</v>
      </c>
      <c r="L4298" s="34">
        <f>IF($J4298=1,LN(B4299/B4298),"")</f>
        <v/>
      </c>
      <c r="M4298" s="34">
        <f>IF($K4298=1,INDEX(Mensal!$D$2:$D$245,MATCH($I4298,Mensal!$A$2:$A$245,0)),"")</f>
        <v/>
      </c>
      <c r="N4298" s="34">
        <f>IF($K4298=1,L4298-M4298,"")</f>
        <v/>
      </c>
      <c r="O4298" s="34" t="n">
        <v>0.00049037</v>
      </c>
      <c r="P4298" s="34">
        <f>IF($J4298=1,LN(1+O4298),"")</f>
        <v/>
      </c>
      <c r="Q4298" s="34">
        <f>IF($J4298=1,LN(R4299/R4298),"")</f>
        <v/>
      </c>
      <c r="R4298" s="32" t="n">
        <v>4.8748</v>
      </c>
      <c r="S4298" s="35" t="n">
        <v>10.93</v>
      </c>
      <c r="T4298" s="18" t="n"/>
      <c r="U4298" s="18" t="n"/>
      <c r="V4298" s="18" t="n">
        <v>117025.6</v>
      </c>
      <c r="W4298" s="18" t="n"/>
      <c r="X4298" s="35" t="n"/>
      <c r="Y4298" s="35" t="n">
        <v>10.93</v>
      </c>
    </row>
    <row r="4299">
      <c r="A4299" s="25" t="n">
        <v>45163</v>
      </c>
      <c r="B4299" s="18" t="n">
        <v>115837.2</v>
      </c>
      <c r="C4299" s="31" t="n"/>
      <c r="D4299" s="32" t="n"/>
      <c r="E4299" s="33" t="n">
        <v>-0.3217</v>
      </c>
      <c r="F4299" t="inlineStr">
        <is>
          <t>Down</t>
        </is>
      </c>
      <c r="G4299" t="inlineStr">
        <is>
          <t>Down</t>
        </is>
      </c>
      <c r="H4299" t="inlineStr">
        <is>
          <t>ED_JD</t>
        </is>
      </c>
      <c r="I4299" t="inlineStr">
        <is>
          <t>2023-08</t>
        </is>
      </c>
      <c r="J4299" t="n">
        <v>1</v>
      </c>
      <c r="K4299" t="n">
        <v>1</v>
      </c>
      <c r="L4299" s="34">
        <f>IF($J4299=1,LN(B4300/B4299),"")</f>
        <v/>
      </c>
      <c r="M4299" s="34">
        <f>IF($K4299=1,INDEX(Mensal!$D$2:$D$245,MATCH($I4299,Mensal!$A$2:$A$245,0)),"")</f>
        <v/>
      </c>
      <c r="N4299" s="34">
        <f>IF($K4299=1,L4299-M4299,"")</f>
        <v/>
      </c>
      <c r="O4299" s="34" t="n">
        <v>0.00049037</v>
      </c>
      <c r="P4299" s="34">
        <f>IF($J4299=1,LN(1+O4299),"")</f>
        <v/>
      </c>
      <c r="Q4299" s="34">
        <f>IF($J4299=1,LN(R4300/R4299),"")</f>
        <v/>
      </c>
      <c r="R4299" s="32" t="n">
        <v>4.8772</v>
      </c>
      <c r="S4299" s="35" t="n">
        <v>11.03</v>
      </c>
      <c r="T4299" s="18" t="n"/>
      <c r="U4299" s="18" t="n"/>
      <c r="V4299" s="18" t="n">
        <v>115837.2</v>
      </c>
      <c r="W4299" s="18" t="n"/>
      <c r="X4299" s="35" t="n"/>
      <c r="Y4299" s="35" t="n">
        <v>11.03</v>
      </c>
    </row>
    <row r="4300">
      <c r="A4300" s="25" t="n">
        <v>45166</v>
      </c>
      <c r="B4300" s="18" t="n">
        <v>117120.98</v>
      </c>
      <c r="C4300" s="31" t="n"/>
      <c r="D4300" s="32" t="n"/>
      <c r="E4300" s="33" t="n">
        <v>-0.2876</v>
      </c>
      <c r="F4300" t="inlineStr">
        <is>
          <t>Down</t>
        </is>
      </c>
      <c r="G4300" t="inlineStr">
        <is>
          <t>Down</t>
        </is>
      </c>
      <c r="H4300" t="inlineStr">
        <is>
          <t>ED_JD</t>
        </is>
      </c>
      <c r="I4300" t="inlineStr">
        <is>
          <t>2023-08</t>
        </is>
      </c>
      <c r="J4300" t="n">
        <v>1</v>
      </c>
      <c r="K4300" t="n">
        <v>1</v>
      </c>
      <c r="L4300" s="34">
        <f>IF($J4300=1,LN(B4301/B4300),"")</f>
        <v/>
      </c>
      <c r="M4300" s="34">
        <f>IF($K4300=1,INDEX(Mensal!$D$2:$D$245,MATCH($I4300,Mensal!$A$2:$A$245,0)),"")</f>
        <v/>
      </c>
      <c r="N4300" s="34">
        <f>IF($K4300=1,L4300-M4300,"")</f>
        <v/>
      </c>
      <c r="O4300" s="34" t="n">
        <v>0.00049037</v>
      </c>
      <c r="P4300" s="34">
        <f>IF($J4300=1,LN(1+O4300),"")</f>
        <v/>
      </c>
      <c r="Q4300" s="34">
        <f>IF($J4300=1,LN(R4301/R4300),"")</f>
        <v/>
      </c>
      <c r="R4300" s="32" t="n">
        <v>4.8938</v>
      </c>
      <c r="S4300" s="35" t="n">
        <v>11.01</v>
      </c>
      <c r="T4300" s="18" t="n"/>
      <c r="U4300" s="18" t="n"/>
      <c r="V4300" s="18" t="n">
        <v>117120.98</v>
      </c>
      <c r="W4300" s="18" t="n"/>
      <c r="X4300" s="35" t="n"/>
      <c r="Y4300" s="35" t="n">
        <v>11.01</v>
      </c>
    </row>
    <row r="4301">
      <c r="A4301" s="25" t="n">
        <v>45167</v>
      </c>
      <c r="B4301" s="18" t="n">
        <v>118403.61</v>
      </c>
      <c r="C4301" s="31" t="n"/>
      <c r="D4301" s="32" t="n"/>
      <c r="E4301" s="33" t="n">
        <v>-0.2485</v>
      </c>
      <c r="F4301" t="inlineStr">
        <is>
          <t>Down</t>
        </is>
      </c>
      <c r="G4301" t="inlineStr">
        <is>
          <t>Down</t>
        </is>
      </c>
      <c r="H4301" t="inlineStr">
        <is>
          <t>ED_JD</t>
        </is>
      </c>
      <c r="I4301" t="inlineStr">
        <is>
          <t>2023-08</t>
        </is>
      </c>
      <c r="J4301" t="n">
        <v>1</v>
      </c>
      <c r="K4301" t="n">
        <v>1</v>
      </c>
      <c r="L4301" s="34">
        <f>IF($J4301=1,LN(B4302/B4301),"")</f>
        <v/>
      </c>
      <c r="M4301" s="34">
        <f>IF($K4301=1,INDEX(Mensal!$D$2:$D$245,MATCH($I4301,Mensal!$A$2:$A$245,0)),"")</f>
        <v/>
      </c>
      <c r="N4301" s="34">
        <f>IF($K4301=1,L4301-M4301,"")</f>
        <v/>
      </c>
      <c r="O4301" s="34" t="n">
        <v>0.00049037</v>
      </c>
      <c r="P4301" s="34">
        <f>IF($J4301=1,LN(1+O4301),"")</f>
        <v/>
      </c>
      <c r="Q4301" s="34">
        <f>IF($J4301=1,LN(R4302/R4301),"")</f>
        <v/>
      </c>
      <c r="R4301" s="32" t="n">
        <v>4.8706</v>
      </c>
      <c r="S4301" s="35" t="n">
        <v>10.96</v>
      </c>
      <c r="T4301" s="18" t="n"/>
      <c r="U4301" s="18" t="n"/>
      <c r="V4301" s="18" t="n">
        <v>118403.61</v>
      </c>
      <c r="W4301" s="18" t="n"/>
      <c r="X4301" s="35" t="n"/>
      <c r="Y4301" s="35" t="n">
        <v>10.96</v>
      </c>
    </row>
    <row r="4302">
      <c r="A4302" s="25" t="n">
        <v>45168</v>
      </c>
      <c r="B4302" s="18" t="n">
        <v>117535.1</v>
      </c>
      <c r="C4302" s="31" t="n"/>
      <c r="D4302" s="32" t="n"/>
      <c r="E4302" s="33" t="n">
        <v>-0.2123</v>
      </c>
      <c r="F4302" t="inlineStr">
        <is>
          <t>Down</t>
        </is>
      </c>
      <c r="G4302" t="inlineStr">
        <is>
          <t>Down</t>
        </is>
      </c>
      <c r="H4302" t="inlineStr">
        <is>
          <t>ED_JD</t>
        </is>
      </c>
      <c r="I4302" t="inlineStr">
        <is>
          <t>2023-08</t>
        </is>
      </c>
      <c r="J4302" t="n">
        <v>1</v>
      </c>
      <c r="K4302" t="n">
        <v>1</v>
      </c>
      <c r="L4302" s="34">
        <f>IF($J4302=1,LN(B4303/B4302),"")</f>
        <v/>
      </c>
      <c r="M4302" s="34">
        <f>IF($K4302=1,INDEX(Mensal!$D$2:$D$245,MATCH($I4302,Mensal!$A$2:$A$245,0)),"")</f>
        <v/>
      </c>
      <c r="N4302" s="34">
        <f>IF($K4302=1,L4302-M4302,"")</f>
        <v/>
      </c>
      <c r="O4302" s="34" t="n">
        <v>0.00049037</v>
      </c>
      <c r="P4302" s="34">
        <f>IF($J4302=1,LN(1+O4302),"")</f>
        <v/>
      </c>
      <c r="Q4302" s="34">
        <f>IF($J4302=1,LN(R4303/R4302),"")</f>
        <v/>
      </c>
      <c r="R4302" s="32" t="n">
        <v>4.8653</v>
      </c>
      <c r="S4302" s="35" t="n">
        <v>10.92</v>
      </c>
      <c r="T4302" s="18" t="n"/>
      <c r="U4302" s="18" t="n"/>
      <c r="V4302" s="18" t="n">
        <v>117535.1</v>
      </c>
      <c r="W4302" s="18" t="n"/>
      <c r="X4302" s="35" t="n"/>
      <c r="Y4302" s="35" t="n">
        <v>10.92</v>
      </c>
    </row>
    <row r="4303">
      <c r="A4303" s="25" t="n">
        <v>45169</v>
      </c>
      <c r="B4303" s="18" t="n">
        <v>115741.81</v>
      </c>
      <c r="C4303" s="31" t="n"/>
      <c r="D4303" s="32" t="n"/>
      <c r="E4303" s="33" t="n">
        <v>-0.1798</v>
      </c>
      <c r="F4303" t="inlineStr">
        <is>
          <t>Down</t>
        </is>
      </c>
      <c r="G4303" t="inlineStr">
        <is>
          <t>Down</t>
        </is>
      </c>
      <c r="H4303" t="inlineStr">
        <is>
          <t>ED_JD</t>
        </is>
      </c>
      <c r="I4303" t="inlineStr">
        <is>
          <t>2023-08</t>
        </is>
      </c>
      <c r="J4303" t="n">
        <v>1</v>
      </c>
      <c r="K4303" t="n">
        <v>1</v>
      </c>
      <c r="L4303" s="34">
        <f>IF($J4303=1,LN(B4304/B4303),"")</f>
        <v/>
      </c>
      <c r="M4303" s="34">
        <f>IF($K4303=1,INDEX(Mensal!$D$2:$D$245,MATCH($I4303,Mensal!$A$2:$A$245,0)),"")</f>
        <v/>
      </c>
      <c r="N4303" s="34">
        <f>IF($K4303=1,L4303-M4303,"")</f>
        <v/>
      </c>
      <c r="O4303" s="34" t="n">
        <v>0.00049037</v>
      </c>
      <c r="P4303" s="34">
        <f>IF($J4303=1,LN(1+O4303),"")</f>
        <v/>
      </c>
      <c r="Q4303" s="34">
        <f>IF($J4303=1,LN(R4304/R4303),"")</f>
        <v/>
      </c>
      <c r="R4303" s="32" t="n">
        <v>4.9219</v>
      </c>
      <c r="S4303" s="35" t="n">
        <v>10.98</v>
      </c>
      <c r="T4303" s="18" t="n"/>
      <c r="U4303" s="18" t="n"/>
      <c r="V4303" s="18" t="n">
        <v>115741.81</v>
      </c>
      <c r="W4303" s="18" t="n"/>
      <c r="X4303" s="35" t="n"/>
      <c r="Y4303" s="35" t="n">
        <v>10.98</v>
      </c>
    </row>
    <row r="4304">
      <c r="A4304" s="25" t="n">
        <v>45170</v>
      </c>
      <c r="B4304" s="18" t="n">
        <v>117892.96</v>
      </c>
      <c r="C4304" s="31" t="n"/>
      <c r="D4304" s="32" t="n"/>
      <c r="E4304" s="33" t="n">
        <v>-0.162</v>
      </c>
      <c r="F4304" t="inlineStr">
        <is>
          <t>Down</t>
        </is>
      </c>
      <c r="G4304" t="inlineStr">
        <is>
          <t>Down</t>
        </is>
      </c>
      <c r="H4304" t="inlineStr">
        <is>
          <t>ED_JD</t>
        </is>
      </c>
      <c r="I4304" t="inlineStr">
        <is>
          <t>2023-09</t>
        </is>
      </c>
      <c r="J4304" t="n">
        <v>1</v>
      </c>
      <c r="K4304" t="n">
        <v>1</v>
      </c>
      <c r="L4304" s="34">
        <f>IF($J4304=1,LN(B4305/B4304),"")</f>
        <v/>
      </c>
      <c r="M4304" s="34">
        <f>IF($K4304=1,INDEX(Mensal!$D$2:$D$245,MATCH($I4304,Mensal!$A$2:$A$245,0)),"")</f>
        <v/>
      </c>
      <c r="N4304" s="34">
        <f>IF($K4304=1,L4304-M4304,"")</f>
        <v/>
      </c>
      <c r="O4304" s="34" t="n">
        <v>0.00049037</v>
      </c>
      <c r="P4304" s="34">
        <f>IF($J4304=1,LN(1+O4304),"")</f>
        <v/>
      </c>
      <c r="Q4304" s="34">
        <f>IF($J4304=1,LN(R4305/R4304),"")</f>
        <v/>
      </c>
      <c r="R4304" s="32" t="n">
        <v>4.9318</v>
      </c>
      <c r="S4304" s="35" t="n">
        <v>11.03</v>
      </c>
      <c r="T4304" s="18" t="n"/>
      <c r="U4304" s="18" t="n"/>
      <c r="V4304" s="18" t="n">
        <v>117892.96</v>
      </c>
      <c r="W4304" s="18" t="n"/>
      <c r="X4304" s="35" t="n"/>
      <c r="Y4304" s="35" t="n">
        <v>11.03</v>
      </c>
    </row>
    <row r="4305">
      <c r="A4305" s="25" t="n">
        <v>45173</v>
      </c>
      <c r="B4305" s="18" t="n">
        <v>117776.62</v>
      </c>
      <c r="C4305" s="31" t="n"/>
      <c r="D4305" s="32" t="n"/>
      <c r="E4305" s="33" t="n">
        <v>-0.1574</v>
      </c>
      <c r="F4305" t="inlineStr">
        <is>
          <t>Down</t>
        </is>
      </c>
      <c r="G4305" t="inlineStr">
        <is>
          <t>Down</t>
        </is>
      </c>
      <c r="H4305" t="inlineStr">
        <is>
          <t>ED_JD</t>
        </is>
      </c>
      <c r="I4305" t="inlineStr">
        <is>
          <t>2023-09</t>
        </is>
      </c>
      <c r="J4305" t="n">
        <v>1</v>
      </c>
      <c r="K4305" t="n">
        <v>1</v>
      </c>
      <c r="L4305" s="34">
        <f>IF($J4305=1,LN(B4306/B4305),"")</f>
        <v/>
      </c>
      <c r="M4305" s="34">
        <f>IF($K4305=1,INDEX(Mensal!$D$2:$D$245,MATCH($I4305,Mensal!$A$2:$A$245,0)),"")</f>
        <v/>
      </c>
      <c r="N4305" s="34">
        <f>IF($K4305=1,L4305-M4305,"")</f>
        <v/>
      </c>
      <c r="O4305" s="34" t="n">
        <v>0.00049037</v>
      </c>
      <c r="P4305" s="34">
        <f>IF($J4305=1,LN(1+O4305),"")</f>
        <v/>
      </c>
      <c r="Q4305" s="34">
        <f>IF($J4305=1,LN(R4306/R4305),"")</f>
        <v/>
      </c>
      <c r="R4305" s="32" t="n">
        <v>4.9176</v>
      </c>
      <c r="S4305" s="35" t="n">
        <v>11.02</v>
      </c>
      <c r="T4305" s="18" t="n"/>
      <c r="U4305" s="18" t="n"/>
      <c r="V4305" s="18" t="n">
        <v>117776.62</v>
      </c>
      <c r="W4305" s="18" t="n"/>
      <c r="X4305" s="35" t="n"/>
      <c r="Y4305" s="35" t="n">
        <v>11.02</v>
      </c>
    </row>
    <row r="4306">
      <c r="A4306" s="25" t="n">
        <v>45174</v>
      </c>
      <c r="B4306" s="18" t="n">
        <v>117331.3</v>
      </c>
      <c r="C4306" s="31" t="n"/>
      <c r="D4306" s="32" t="n"/>
      <c r="E4306" s="33" t="n">
        <v>-0.1591</v>
      </c>
      <c r="F4306" t="inlineStr">
        <is>
          <t>Down</t>
        </is>
      </c>
      <c r="G4306" t="inlineStr">
        <is>
          <t>Down</t>
        </is>
      </c>
      <c r="H4306" t="inlineStr">
        <is>
          <t>ED_JD</t>
        </is>
      </c>
      <c r="I4306" t="inlineStr">
        <is>
          <t>2023-09</t>
        </is>
      </c>
      <c r="J4306" t="n">
        <v>1</v>
      </c>
      <c r="K4306" t="n">
        <v>1</v>
      </c>
      <c r="L4306" s="34">
        <f>IF($J4306=1,LN(B4307/B4306),"")</f>
        <v/>
      </c>
      <c r="M4306" s="34">
        <f>IF($K4306=1,INDEX(Mensal!$D$2:$D$245,MATCH($I4306,Mensal!$A$2:$A$245,0)),"")</f>
        <v/>
      </c>
      <c r="N4306" s="34">
        <f>IF($K4306=1,L4306-M4306,"")</f>
        <v/>
      </c>
      <c r="O4306" s="34" t="n">
        <v>0.00049037</v>
      </c>
      <c r="P4306" s="34">
        <f>IF($J4306=1,LN(1+O4306),"")</f>
        <v/>
      </c>
      <c r="Q4306" s="34">
        <f>IF($J4306=1,LN(R4307/R4306),"")</f>
        <v/>
      </c>
      <c r="R4306" s="32" t="n">
        <v>4.9705</v>
      </c>
      <c r="S4306" s="35" t="n">
        <v>11.04</v>
      </c>
      <c r="T4306" s="18" t="n"/>
      <c r="U4306" s="18" t="n"/>
      <c r="V4306" s="18" t="n">
        <v>117331.3</v>
      </c>
      <c r="W4306" s="18" t="n"/>
      <c r="X4306" s="35" t="n"/>
      <c r="Y4306" s="35" t="n">
        <v>11.04</v>
      </c>
    </row>
    <row r="4307">
      <c r="A4307" s="25" t="n">
        <v>45175</v>
      </c>
      <c r="B4307" s="18" t="n">
        <v>115985.34</v>
      </c>
      <c r="C4307" s="31" t="n"/>
      <c r="D4307" s="32" t="n"/>
      <c r="E4307" s="33" t="n">
        <v>-0.1586</v>
      </c>
      <c r="F4307" t="inlineStr">
        <is>
          <t>Down</t>
        </is>
      </c>
      <c r="G4307" t="inlineStr">
        <is>
          <t>Down</t>
        </is>
      </c>
      <c r="H4307" t="inlineStr">
        <is>
          <t>ED_JD</t>
        </is>
      </c>
      <c r="I4307" t="inlineStr">
        <is>
          <t>2023-09</t>
        </is>
      </c>
      <c r="J4307" t="n">
        <v>1</v>
      </c>
      <c r="K4307" t="n">
        <v>1</v>
      </c>
      <c r="L4307" s="34">
        <f>IF($J4307=1,LN(B4308/B4307),"")</f>
        <v/>
      </c>
      <c r="M4307" s="34">
        <f>IF($K4307=1,INDEX(Mensal!$D$2:$D$245,MATCH($I4307,Mensal!$A$2:$A$245,0)),"")</f>
        <v/>
      </c>
      <c r="N4307" s="34">
        <f>IF($K4307=1,L4307-M4307,"")</f>
        <v/>
      </c>
      <c r="O4307" s="34" t="n">
        <v>0.00049037</v>
      </c>
      <c r="P4307" s="34">
        <f>IF($J4307=1,LN(1+O4307),"")</f>
        <v/>
      </c>
      <c r="Q4307" s="34">
        <f>IF($J4307=1,LN(R4308/R4307),"")</f>
        <v/>
      </c>
      <c r="R4307" s="32" t="n">
        <v>4.9762</v>
      </c>
      <c r="S4307" s="35" t="n">
        <v>10.98</v>
      </c>
      <c r="T4307" s="18" t="n"/>
      <c r="U4307" s="18" t="n"/>
      <c r="V4307" s="18" t="n">
        <v>115985.34</v>
      </c>
      <c r="W4307" s="18" t="n"/>
      <c r="X4307" s="35" t="n"/>
      <c r="Y4307" s="35" t="n">
        <v>10.98</v>
      </c>
    </row>
    <row r="4308">
      <c r="A4308" s="25" t="n">
        <v>45177</v>
      </c>
      <c r="B4308" s="18" t="n">
        <v>115313.4</v>
      </c>
      <c r="C4308" s="31" t="n"/>
      <c r="D4308" s="32" t="n"/>
      <c r="E4308" s="33" t="n">
        <v>-0.1445</v>
      </c>
      <c r="F4308" t="inlineStr">
        <is>
          <t>Down</t>
        </is>
      </c>
      <c r="G4308" t="inlineStr">
        <is>
          <t>Down</t>
        </is>
      </c>
      <c r="H4308" t="inlineStr">
        <is>
          <t>ED_JD</t>
        </is>
      </c>
      <c r="I4308" t="inlineStr">
        <is>
          <t>2023-09</t>
        </is>
      </c>
      <c r="J4308" t="n">
        <v>1</v>
      </c>
      <c r="K4308" t="n">
        <v>1</v>
      </c>
      <c r="L4308" s="34">
        <f>IF($J4308=1,LN(B4309/B4308),"")</f>
        <v/>
      </c>
      <c r="M4308" s="34">
        <f>IF($K4308=1,INDEX(Mensal!$D$2:$D$245,MATCH($I4308,Mensal!$A$2:$A$245,0)),"")</f>
        <v/>
      </c>
      <c r="N4308" s="34">
        <f>IF($K4308=1,L4308-M4308,"")</f>
        <v/>
      </c>
      <c r="O4308" s="34" t="n">
        <v>0.00049037</v>
      </c>
      <c r="P4308" s="34">
        <f>IF($J4308=1,LN(1+O4308),"")</f>
        <v/>
      </c>
      <c r="Q4308" s="34">
        <f>IF($J4308=1,LN(R4309/R4308),"")</f>
        <v/>
      </c>
      <c r="R4308" s="32" t="n">
        <v>4.9835</v>
      </c>
      <c r="S4308" s="35" t="n">
        <v>10.93</v>
      </c>
      <c r="T4308" s="18" t="n"/>
      <c r="U4308" s="18" t="n"/>
      <c r="V4308" s="18" t="n">
        <v>115313.4</v>
      </c>
      <c r="W4308" s="18" t="n"/>
      <c r="X4308" s="35" t="n"/>
      <c r="Y4308" s="35" t="n">
        <v>10.93</v>
      </c>
    </row>
    <row r="4309">
      <c r="A4309" s="25" t="n">
        <v>45180</v>
      </c>
      <c r="B4309" s="18" t="n">
        <v>116883.34</v>
      </c>
      <c r="C4309" s="31" t="n"/>
      <c r="D4309" s="32" t="n"/>
      <c r="E4309" s="33" t="n">
        <v>-0.1182</v>
      </c>
      <c r="F4309" t="inlineStr">
        <is>
          <t>Down</t>
        </is>
      </c>
      <c r="G4309" t="inlineStr">
        <is>
          <t>Down</t>
        </is>
      </c>
      <c r="H4309" t="inlineStr">
        <is>
          <t>ED_JD</t>
        </is>
      </c>
      <c r="I4309" t="inlineStr">
        <is>
          <t>2023-09</t>
        </is>
      </c>
      <c r="J4309" t="n">
        <v>1</v>
      </c>
      <c r="K4309" t="n">
        <v>1</v>
      </c>
      <c r="L4309" s="34">
        <f>IF($J4309=1,LN(B4310/B4309),"")</f>
        <v/>
      </c>
      <c r="M4309" s="34">
        <f>IF($K4309=1,INDEX(Mensal!$D$2:$D$245,MATCH($I4309,Mensal!$A$2:$A$245,0)),"")</f>
        <v/>
      </c>
      <c r="N4309" s="34">
        <f>IF($K4309=1,L4309-M4309,"")</f>
        <v/>
      </c>
      <c r="O4309" s="34" t="n">
        <v>0.00049037</v>
      </c>
      <c r="P4309" s="34">
        <f>IF($J4309=1,LN(1+O4309),"")</f>
        <v/>
      </c>
      <c r="Q4309" s="34">
        <f>IF($J4309=1,LN(R4310/R4309),"")</f>
        <v/>
      </c>
      <c r="R4309" s="32" t="n">
        <v>4.9366</v>
      </c>
      <c r="S4309" s="35" t="n">
        <v>10.87</v>
      </c>
      <c r="T4309" s="18" t="n"/>
      <c r="U4309" s="18" t="n"/>
      <c r="V4309" s="18" t="n">
        <v>116883.34</v>
      </c>
      <c r="W4309" s="18" t="n"/>
      <c r="X4309" s="35" t="n"/>
      <c r="Y4309" s="35" t="n">
        <v>10.87</v>
      </c>
    </row>
    <row r="4310">
      <c r="A4310" s="25" t="n">
        <v>45181</v>
      </c>
      <c r="B4310" s="18" t="n">
        <v>117968.12</v>
      </c>
      <c r="C4310" s="31" t="n"/>
      <c r="D4310" s="32" t="n"/>
      <c r="E4310" s="33" t="n">
        <v>-0.0887</v>
      </c>
      <c r="F4310" t="inlineStr">
        <is>
          <t>Down</t>
        </is>
      </c>
      <c r="G4310" t="inlineStr">
        <is>
          <t>Down</t>
        </is>
      </c>
      <c r="H4310" t="inlineStr">
        <is>
          <t>ED_JD</t>
        </is>
      </c>
      <c r="I4310" t="inlineStr">
        <is>
          <t>2023-09</t>
        </is>
      </c>
      <c r="J4310" t="n">
        <v>1</v>
      </c>
      <c r="K4310" t="n">
        <v>1</v>
      </c>
      <c r="L4310" s="34">
        <f>IF($J4310=1,LN(B4311/B4310),"")</f>
        <v/>
      </c>
      <c r="M4310" s="34">
        <f>IF($K4310=1,INDEX(Mensal!$D$2:$D$245,MATCH($I4310,Mensal!$A$2:$A$245,0)),"")</f>
        <v/>
      </c>
      <c r="N4310" s="34">
        <f>IF($K4310=1,L4310-M4310,"")</f>
        <v/>
      </c>
      <c r="O4310" s="34" t="n">
        <v>0.00049037</v>
      </c>
      <c r="P4310" s="34">
        <f>IF($J4310=1,LN(1+O4310),"")</f>
        <v/>
      </c>
      <c r="Q4310" s="34">
        <f>IF($J4310=1,LN(R4311/R4310),"")</f>
        <v/>
      </c>
      <c r="R4310" s="32" t="n">
        <v>4.9505</v>
      </c>
      <c r="S4310" s="35" t="n">
        <v>10.8</v>
      </c>
      <c r="T4310" s="18" t="n"/>
      <c r="U4310" s="18" t="n"/>
      <c r="V4310" s="18" t="n">
        <v>117968.12</v>
      </c>
      <c r="W4310" s="18" t="n"/>
      <c r="X4310" s="35" t="n"/>
      <c r="Y4310" s="35" t="n">
        <v>10.8</v>
      </c>
    </row>
    <row r="4311">
      <c r="A4311" s="25" t="n">
        <v>45182</v>
      </c>
      <c r="B4311" s="18" t="n">
        <v>118175.97</v>
      </c>
      <c r="C4311" s="31" t="n"/>
      <c r="D4311" s="32" t="n"/>
      <c r="E4311" s="33" t="n">
        <v>-0.0562</v>
      </c>
      <c r="F4311" t="inlineStr">
        <is>
          <t>Down</t>
        </is>
      </c>
      <c r="G4311" t="inlineStr">
        <is>
          <t>Down</t>
        </is>
      </c>
      <c r="H4311" t="inlineStr">
        <is>
          <t>ED_JD</t>
        </is>
      </c>
      <c r="I4311" t="inlineStr">
        <is>
          <t>2023-09</t>
        </is>
      </c>
      <c r="J4311" t="n">
        <v>1</v>
      </c>
      <c r="K4311" t="n">
        <v>1</v>
      </c>
      <c r="L4311" s="34">
        <f>IF($J4311=1,LN(B4312/B4311),"")</f>
        <v/>
      </c>
      <c r="M4311" s="34">
        <f>IF($K4311=1,INDEX(Mensal!$D$2:$D$245,MATCH($I4311,Mensal!$A$2:$A$245,0)),"")</f>
        <v/>
      </c>
      <c r="N4311" s="34">
        <f>IF($K4311=1,L4311-M4311,"")</f>
        <v/>
      </c>
      <c r="O4311" s="34" t="n">
        <v>0.00049037</v>
      </c>
      <c r="P4311" s="34">
        <f>IF($J4311=1,LN(1+O4311),"")</f>
        <v/>
      </c>
      <c r="Q4311" s="34">
        <f>IF($J4311=1,LN(R4312/R4311),"")</f>
        <v/>
      </c>
      <c r="R4311" s="32" t="n">
        <v>4.9171</v>
      </c>
      <c r="S4311" s="35" t="n">
        <v>10.76</v>
      </c>
      <c r="T4311" s="18" t="n"/>
      <c r="U4311" s="18" t="n"/>
      <c r="V4311" s="18" t="n">
        <v>118175.97</v>
      </c>
      <c r="W4311" s="18" t="n"/>
      <c r="X4311" s="35" t="n"/>
      <c r="Y4311" s="35" t="n">
        <v>10.76</v>
      </c>
    </row>
    <row r="4312">
      <c r="A4312" s="25" t="n">
        <v>45183</v>
      </c>
      <c r="B4312" s="18" t="n">
        <v>119391.55</v>
      </c>
      <c r="C4312" s="31" t="n"/>
      <c r="D4312" s="32" t="n"/>
      <c r="E4312" s="33" t="n">
        <v>-0.0241</v>
      </c>
      <c r="F4312" t="inlineStr">
        <is>
          <t>Down</t>
        </is>
      </c>
      <c r="G4312" t="inlineStr">
        <is>
          <t>Down</t>
        </is>
      </c>
      <c r="H4312" t="inlineStr">
        <is>
          <t>ED_JD</t>
        </is>
      </c>
      <c r="I4312" t="inlineStr">
        <is>
          <t>2023-09</t>
        </is>
      </c>
      <c r="J4312" t="n">
        <v>1</v>
      </c>
      <c r="K4312" t="n">
        <v>1</v>
      </c>
      <c r="L4312" s="34">
        <f>IF($J4312=1,LN(B4313/B4312),"")</f>
        <v/>
      </c>
      <c r="M4312" s="34">
        <f>IF($K4312=1,INDEX(Mensal!$D$2:$D$245,MATCH($I4312,Mensal!$A$2:$A$245,0)),"")</f>
        <v/>
      </c>
      <c r="N4312" s="34">
        <f>IF($K4312=1,L4312-M4312,"")</f>
        <v/>
      </c>
      <c r="O4312" s="34" t="n">
        <v>0.00049037</v>
      </c>
      <c r="P4312" s="34">
        <f>IF($J4312=1,LN(1+O4312),"")</f>
        <v/>
      </c>
      <c r="Q4312" s="34">
        <f>IF($J4312=1,LN(R4313/R4312),"")</f>
        <v/>
      </c>
      <c r="R4312" s="32" t="n">
        <v>4.8751</v>
      </c>
      <c r="S4312" s="35" t="n">
        <v>10.79</v>
      </c>
      <c r="T4312" s="18" t="n"/>
      <c r="U4312" s="18" t="n"/>
      <c r="V4312" s="18" t="n">
        <v>119391.55</v>
      </c>
      <c r="W4312" s="18" t="n"/>
      <c r="X4312" s="35" t="n"/>
      <c r="Y4312" s="35" t="n">
        <v>10.79</v>
      </c>
    </row>
    <row r="4313">
      <c r="A4313" s="25" t="n">
        <v>45184</v>
      </c>
      <c r="B4313" s="18" t="n">
        <v>118757.53</v>
      </c>
      <c r="C4313" s="31" t="n"/>
      <c r="D4313" s="32" t="n"/>
      <c r="E4313" s="33" t="n">
        <v>0.0003</v>
      </c>
      <c r="F4313" t="inlineStr">
        <is>
          <t>Down</t>
        </is>
      </c>
      <c r="G4313" t="inlineStr">
        <is>
          <t>Down</t>
        </is>
      </c>
      <c r="H4313" t="inlineStr">
        <is>
          <t>ED_JD</t>
        </is>
      </c>
      <c r="I4313" t="inlineStr">
        <is>
          <t>2023-09</t>
        </is>
      </c>
      <c r="J4313" t="n">
        <v>1</v>
      </c>
      <c r="K4313" t="n">
        <v>1</v>
      </c>
      <c r="L4313" s="34">
        <f>IF($J4313=1,LN(B4314/B4313),"")</f>
        <v/>
      </c>
      <c r="M4313" s="34">
        <f>IF($K4313=1,INDEX(Mensal!$D$2:$D$245,MATCH($I4313,Mensal!$A$2:$A$245,0)),"")</f>
        <v/>
      </c>
      <c r="N4313" s="34">
        <f>IF($K4313=1,L4313-M4313,"")</f>
        <v/>
      </c>
      <c r="O4313" s="34" t="n">
        <v>0.00049037</v>
      </c>
      <c r="P4313" s="34">
        <f>IF($J4313=1,LN(1+O4313),"")</f>
        <v/>
      </c>
      <c r="Q4313" s="34">
        <f>IF($J4313=1,LN(R4314/R4313),"")</f>
        <v/>
      </c>
      <c r="R4313" s="32" t="n">
        <v>4.8689</v>
      </c>
      <c r="S4313" s="35" t="n">
        <v>10.81</v>
      </c>
      <c r="T4313" s="18" t="n"/>
      <c r="U4313" s="18" t="n"/>
      <c r="V4313" s="18" t="n">
        <v>118757.53</v>
      </c>
      <c r="W4313" s="18" t="n"/>
      <c r="X4313" s="35" t="n"/>
      <c r="Y4313" s="35" t="n">
        <v>10.81</v>
      </c>
    </row>
    <row r="4314">
      <c r="A4314" s="25" t="n">
        <v>45187</v>
      </c>
      <c r="B4314" s="18" t="n">
        <v>118288.21</v>
      </c>
      <c r="C4314" s="31" t="n"/>
      <c r="D4314" s="32" t="n"/>
      <c r="E4314" s="33" t="n">
        <v>0.0247</v>
      </c>
      <c r="F4314" t="inlineStr">
        <is>
          <t>Down</t>
        </is>
      </c>
      <c r="G4314" t="inlineStr">
        <is>
          <t>Down</t>
        </is>
      </c>
      <c r="H4314" t="inlineStr">
        <is>
          <t>ED_JD</t>
        </is>
      </c>
      <c r="I4314" t="inlineStr">
        <is>
          <t>2023-09</t>
        </is>
      </c>
      <c r="J4314" t="n">
        <v>1</v>
      </c>
      <c r="K4314" t="n">
        <v>1</v>
      </c>
      <c r="L4314" s="34">
        <f>IF($J4314=1,LN(B4315/B4314),"")</f>
        <v/>
      </c>
      <c r="M4314" s="34">
        <f>IF($K4314=1,INDEX(Mensal!$D$2:$D$245,MATCH($I4314,Mensal!$A$2:$A$245,0)),"")</f>
        <v/>
      </c>
      <c r="N4314" s="34">
        <f>IF($K4314=1,L4314-M4314,"")</f>
        <v/>
      </c>
      <c r="O4314" s="34" t="n">
        <v>0.00049037</v>
      </c>
      <c r="P4314" s="34">
        <f>IF($J4314=1,LN(1+O4314),"")</f>
        <v/>
      </c>
      <c r="Q4314" s="34">
        <f>IF($J4314=1,LN(R4315/R4314),"")</f>
        <v/>
      </c>
      <c r="R4314" s="32" t="n">
        <v>4.8535</v>
      </c>
      <c r="S4314" s="35" t="n">
        <v>10.8</v>
      </c>
      <c r="T4314" s="18" t="n"/>
      <c r="U4314" s="18" t="n"/>
      <c r="V4314" s="18" t="n">
        <v>118288.21</v>
      </c>
      <c r="W4314" s="18" t="n"/>
      <c r="X4314" s="35" t="n"/>
      <c r="Y4314" s="35" t="n">
        <v>10.8</v>
      </c>
    </row>
    <row r="4315">
      <c r="A4315" s="25" t="n">
        <v>45188</v>
      </c>
      <c r="B4315" s="18" t="n">
        <v>117845.78</v>
      </c>
      <c r="C4315" s="31" t="n"/>
      <c r="D4315" s="32" t="n"/>
      <c r="E4315" s="33" t="n">
        <v>0.0459</v>
      </c>
      <c r="F4315" t="inlineStr">
        <is>
          <t>Down</t>
        </is>
      </c>
      <c r="G4315" t="inlineStr">
        <is>
          <t>Down</t>
        </is>
      </c>
      <c r="H4315" t="inlineStr">
        <is>
          <t>ED_JD</t>
        </is>
      </c>
      <c r="I4315" t="inlineStr">
        <is>
          <t>2023-09</t>
        </is>
      </c>
      <c r="J4315" t="n">
        <v>1</v>
      </c>
      <c r="K4315" t="n">
        <v>1</v>
      </c>
      <c r="L4315" s="34">
        <f>IF($J4315=1,LN(B4316/B4315),"")</f>
        <v/>
      </c>
      <c r="M4315" s="34">
        <f>IF($K4315=1,INDEX(Mensal!$D$2:$D$245,MATCH($I4315,Mensal!$A$2:$A$245,0)),"")</f>
        <v/>
      </c>
      <c r="N4315" s="34">
        <f>IF($K4315=1,L4315-M4315,"")</f>
        <v/>
      </c>
      <c r="O4315" s="34" t="n">
        <v>0.00049037</v>
      </c>
      <c r="P4315" s="34">
        <f>IF($J4315=1,LN(1+O4315),"")</f>
        <v/>
      </c>
      <c r="Q4315" s="34">
        <f>IF($J4315=1,LN(R4316/R4315),"")</f>
        <v/>
      </c>
      <c r="R4315" s="32" t="n">
        <v>4.8575</v>
      </c>
      <c r="S4315" s="35" t="n">
        <v>10.83</v>
      </c>
      <c r="T4315" s="18" t="n"/>
      <c r="U4315" s="18" t="n"/>
      <c r="V4315" s="18" t="n">
        <v>117845.78</v>
      </c>
      <c r="W4315" s="18" t="n"/>
      <c r="X4315" s="35" t="n"/>
      <c r="Y4315" s="35" t="n">
        <v>10.83</v>
      </c>
    </row>
    <row r="4316">
      <c r="A4316" s="25" t="n">
        <v>45189</v>
      </c>
      <c r="B4316" s="18" t="n">
        <v>118695.32</v>
      </c>
      <c r="C4316" s="31" t="n"/>
      <c r="D4316" s="32" t="n"/>
      <c r="E4316" s="33" t="n">
        <v>0.07580000000000001</v>
      </c>
      <c r="F4316" t="inlineStr">
        <is>
          <t>Down</t>
        </is>
      </c>
      <c r="G4316" t="inlineStr">
        <is>
          <t>Down</t>
        </is>
      </c>
      <c r="H4316" t="inlineStr">
        <is>
          <t>ED_JD</t>
        </is>
      </c>
      <c r="I4316" t="inlineStr">
        <is>
          <t>2023-09</t>
        </is>
      </c>
      <c r="J4316" t="n">
        <v>1</v>
      </c>
      <c r="K4316" t="n">
        <v>1</v>
      </c>
      <c r="L4316" s="34">
        <f>IF($J4316=1,LN(B4317/B4316),"")</f>
        <v/>
      </c>
      <c r="M4316" s="34">
        <f>IF($K4316=1,INDEX(Mensal!$D$2:$D$245,MATCH($I4316,Mensal!$A$2:$A$245,0)),"")</f>
        <v/>
      </c>
      <c r="N4316" s="34">
        <f>IF($K4316=1,L4316-M4316,"")</f>
        <v/>
      </c>
      <c r="O4316" s="34" t="n">
        <v>0.00049037</v>
      </c>
      <c r="P4316" s="34">
        <f>IF($J4316=1,LN(1+O4316),"")</f>
        <v/>
      </c>
      <c r="Q4316" s="34">
        <f>IF($J4316=1,LN(R4317/R4316),"")</f>
        <v/>
      </c>
      <c r="R4316" s="32" t="n">
        <v>4.8487</v>
      </c>
      <c r="S4316" s="35" t="n">
        <v>10.82</v>
      </c>
      <c r="T4316" s="18" t="n"/>
      <c r="U4316" s="18" t="n"/>
      <c r="V4316" s="18" t="n">
        <v>118695.32</v>
      </c>
      <c r="W4316" s="18" t="n"/>
      <c r="X4316" s="35" t="n"/>
      <c r="Y4316" s="35" t="n">
        <v>10.82</v>
      </c>
    </row>
    <row r="4317">
      <c r="A4317" s="25" t="n">
        <v>45190</v>
      </c>
      <c r="B4317" s="18" t="n">
        <v>116145.05</v>
      </c>
      <c r="C4317" s="31" t="n"/>
      <c r="D4317" s="32" t="n"/>
      <c r="E4317" s="33" t="n">
        <v>0.1116</v>
      </c>
      <c r="F4317" t="inlineStr">
        <is>
          <t>Down</t>
        </is>
      </c>
      <c r="G4317" t="inlineStr">
        <is>
          <t>Down</t>
        </is>
      </c>
      <c r="H4317" t="inlineStr">
        <is>
          <t>ED_JD</t>
        </is>
      </c>
      <c r="I4317" t="inlineStr">
        <is>
          <t>2023-09</t>
        </is>
      </c>
      <c r="J4317" t="n">
        <v>1</v>
      </c>
      <c r="K4317" t="n">
        <v>1</v>
      </c>
      <c r="L4317" s="34">
        <f>IF($J4317=1,LN(B4318/B4317),"")</f>
        <v/>
      </c>
      <c r="M4317" s="34">
        <f>IF($K4317=1,INDEX(Mensal!$D$2:$D$245,MATCH($I4317,Mensal!$A$2:$A$245,0)),"")</f>
        <v/>
      </c>
      <c r="N4317" s="34">
        <f>IF($K4317=1,L4317-M4317,"")</f>
        <v/>
      </c>
      <c r="O4317" s="34" t="n">
        <v>0.00047279</v>
      </c>
      <c r="P4317" s="34">
        <f>IF($J4317=1,LN(1+O4317),"")</f>
        <v/>
      </c>
      <c r="Q4317" s="34">
        <f>IF($J4317=1,LN(R4318/R4317),"")</f>
        <v/>
      </c>
      <c r="R4317" s="32" t="n">
        <v>4.9229</v>
      </c>
      <c r="S4317" s="35" t="n">
        <v>10.86</v>
      </c>
      <c r="T4317" s="18" t="n"/>
      <c r="U4317" s="18" t="n"/>
      <c r="V4317" s="18" t="n">
        <v>116145.05</v>
      </c>
      <c r="W4317" s="18" t="n"/>
      <c r="X4317" s="35" t="n"/>
      <c r="Y4317" s="35" t="n">
        <v>10.86</v>
      </c>
    </row>
    <row r="4318">
      <c r="A4318" s="25" t="n">
        <v>45191</v>
      </c>
      <c r="B4318" s="18" t="n">
        <v>116008.64</v>
      </c>
      <c r="C4318" s="31" t="n"/>
      <c r="D4318" s="32" t="n"/>
      <c r="E4318" s="33" t="n">
        <v>0.1404</v>
      </c>
      <c r="F4318" t="inlineStr">
        <is>
          <t>Down</t>
        </is>
      </c>
      <c r="G4318" t="inlineStr">
        <is>
          <t>Down</t>
        </is>
      </c>
      <c r="H4318" t="inlineStr">
        <is>
          <t>ED_JD</t>
        </is>
      </c>
      <c r="I4318" t="inlineStr">
        <is>
          <t>2023-09</t>
        </is>
      </c>
      <c r="J4318" t="n">
        <v>1</v>
      </c>
      <c r="K4318" t="n">
        <v>1</v>
      </c>
      <c r="L4318" s="34">
        <f>IF($J4318=1,LN(B4319/B4318),"")</f>
        <v/>
      </c>
      <c r="M4318" s="34">
        <f>IF($K4318=1,INDEX(Mensal!$D$2:$D$245,MATCH($I4318,Mensal!$A$2:$A$245,0)),"")</f>
        <v/>
      </c>
      <c r="N4318" s="34">
        <f>IF($K4318=1,L4318-M4318,"")</f>
        <v/>
      </c>
      <c r="O4318" s="34" t="n">
        <v>0.00047279</v>
      </c>
      <c r="P4318" s="34">
        <f>IF($J4318=1,LN(1+O4318),"")</f>
        <v/>
      </c>
      <c r="Q4318" s="34">
        <f>IF($J4318=1,LN(R4319/R4318),"")</f>
        <v/>
      </c>
      <c r="R4318" s="32" t="n">
        <v>4.9131</v>
      </c>
      <c r="S4318" s="35" t="n">
        <v>10.84</v>
      </c>
      <c r="T4318" s="18" t="n"/>
      <c r="U4318" s="18" t="n"/>
      <c r="V4318" s="18" t="n">
        <v>116008.64</v>
      </c>
      <c r="W4318" s="18" t="n"/>
      <c r="X4318" s="35" t="n"/>
      <c r="Y4318" s="35" t="n">
        <v>10.84</v>
      </c>
    </row>
    <row r="4319">
      <c r="A4319" s="25" t="n">
        <v>45194</v>
      </c>
      <c r="B4319" s="18" t="n">
        <v>115924.61</v>
      </c>
      <c r="C4319" s="31" t="n"/>
      <c r="D4319" s="32" t="n"/>
      <c r="E4319" s="33" t="n">
        <v>0.1625</v>
      </c>
      <c r="F4319" t="inlineStr">
        <is>
          <t>Down</t>
        </is>
      </c>
      <c r="G4319" t="inlineStr">
        <is>
          <t>Down</t>
        </is>
      </c>
      <c r="H4319" t="inlineStr">
        <is>
          <t>ED_JD</t>
        </is>
      </c>
      <c r="I4319" t="inlineStr">
        <is>
          <t>2023-09</t>
        </is>
      </c>
      <c r="J4319" t="n">
        <v>1</v>
      </c>
      <c r="K4319" t="n">
        <v>1</v>
      </c>
      <c r="L4319" s="34">
        <f>IF($J4319=1,LN(B4320/B4319),"")</f>
        <v/>
      </c>
      <c r="M4319" s="34">
        <f>IF($K4319=1,INDEX(Mensal!$D$2:$D$245,MATCH($I4319,Mensal!$A$2:$A$245,0)),"")</f>
        <v/>
      </c>
      <c r="N4319" s="34">
        <f>IF($K4319=1,L4319-M4319,"")</f>
        <v/>
      </c>
      <c r="O4319" s="34" t="n">
        <v>0.00047279</v>
      </c>
      <c r="P4319" s="34">
        <f>IF($J4319=1,LN(1+O4319),"")</f>
        <v/>
      </c>
      <c r="Q4319" s="34">
        <f>IF($J4319=1,LN(R4320/R4319),"")</f>
        <v/>
      </c>
      <c r="R4319" s="32" t="n">
        <v>4.9606</v>
      </c>
      <c r="S4319" s="35" t="n">
        <v>10.86</v>
      </c>
      <c r="T4319" s="18" t="n"/>
      <c r="U4319" s="18" t="n"/>
      <c r="V4319" s="18" t="n">
        <v>115924.61</v>
      </c>
      <c r="W4319" s="18" t="n"/>
      <c r="X4319" s="35" t="n"/>
      <c r="Y4319" s="35" t="n">
        <v>10.86</v>
      </c>
    </row>
    <row r="4320">
      <c r="A4320" s="25" t="n">
        <v>45195</v>
      </c>
      <c r="B4320" s="18" t="n">
        <v>114193.43</v>
      </c>
      <c r="C4320" s="31" t="n"/>
      <c r="D4320" s="32" t="n"/>
      <c r="E4320" s="33" t="n">
        <v>0.1815</v>
      </c>
      <c r="F4320" t="inlineStr">
        <is>
          <t>Down</t>
        </is>
      </c>
      <c r="G4320" t="inlineStr">
        <is>
          <t>Down</t>
        </is>
      </c>
      <c r="H4320" t="inlineStr">
        <is>
          <t>ED_JD</t>
        </is>
      </c>
      <c r="I4320" t="inlineStr">
        <is>
          <t>2023-09</t>
        </is>
      </c>
      <c r="J4320" t="n">
        <v>1</v>
      </c>
      <c r="K4320" t="n">
        <v>1</v>
      </c>
      <c r="L4320" s="34">
        <f>IF($J4320=1,LN(B4321/B4320),"")</f>
        <v/>
      </c>
      <c r="M4320" s="34">
        <f>IF($K4320=1,INDEX(Mensal!$D$2:$D$245,MATCH($I4320,Mensal!$A$2:$A$245,0)),"")</f>
        <v/>
      </c>
      <c r="N4320" s="34">
        <f>IF($K4320=1,L4320-M4320,"")</f>
        <v/>
      </c>
      <c r="O4320" s="34" t="n">
        <v>0.00047279</v>
      </c>
      <c r="P4320" s="34">
        <f>IF($J4320=1,LN(1+O4320),"")</f>
        <v/>
      </c>
      <c r="Q4320" s="34">
        <f>IF($J4320=1,LN(R4321/R4320),"")</f>
        <v/>
      </c>
      <c r="R4320" s="32" t="n">
        <v>4.9717</v>
      </c>
      <c r="S4320" s="35" t="n">
        <v>10.94</v>
      </c>
      <c r="T4320" s="18" t="n"/>
      <c r="U4320" s="18" t="n"/>
      <c r="V4320" s="18" t="n">
        <v>114193.43</v>
      </c>
      <c r="W4320" s="18" t="n"/>
      <c r="X4320" s="35" t="n"/>
      <c r="Y4320" s="35" t="n">
        <v>10.94</v>
      </c>
    </row>
    <row r="4321">
      <c r="A4321" s="25" t="n">
        <v>45196</v>
      </c>
      <c r="B4321" s="18" t="n">
        <v>114327.05</v>
      </c>
      <c r="C4321" s="31" t="n"/>
      <c r="D4321" s="32" t="n"/>
      <c r="E4321" s="33" t="n">
        <v>0.2</v>
      </c>
      <c r="F4321" t="inlineStr">
        <is>
          <t>Down</t>
        </is>
      </c>
      <c r="G4321" t="inlineStr">
        <is>
          <t>Down</t>
        </is>
      </c>
      <c r="H4321" t="inlineStr">
        <is>
          <t>ED_JD</t>
        </is>
      </c>
      <c r="I4321" t="inlineStr">
        <is>
          <t>2023-09</t>
        </is>
      </c>
      <c r="J4321" t="n">
        <v>1</v>
      </c>
      <c r="K4321" t="n">
        <v>1</v>
      </c>
      <c r="L4321" s="34">
        <f>IF($J4321=1,LN(B4322/B4321),"")</f>
        <v/>
      </c>
      <c r="M4321" s="34">
        <f>IF($K4321=1,INDEX(Mensal!$D$2:$D$245,MATCH($I4321,Mensal!$A$2:$A$245,0)),"")</f>
        <v/>
      </c>
      <c r="N4321" s="34">
        <f>IF($K4321=1,L4321-M4321,"")</f>
        <v/>
      </c>
      <c r="O4321" s="34" t="n">
        <v>0.00047279</v>
      </c>
      <c r="P4321" s="34">
        <f>IF($J4321=1,LN(1+O4321),"")</f>
        <v/>
      </c>
      <c r="Q4321" s="34">
        <f>IF($J4321=1,LN(R4322/R4321),"")</f>
        <v/>
      </c>
      <c r="R4321" s="32" t="n">
        <v>5.0289</v>
      </c>
      <c r="S4321" s="35" t="n">
        <v>11.1</v>
      </c>
      <c r="T4321" s="18" t="n"/>
      <c r="U4321" s="18" t="n"/>
      <c r="V4321" s="18" t="n">
        <v>114327.05</v>
      </c>
      <c r="W4321" s="18" t="n"/>
      <c r="X4321" s="35" t="n"/>
      <c r="Y4321" s="35" t="n">
        <v>11.1</v>
      </c>
    </row>
    <row r="4322">
      <c r="A4322" s="25" t="n">
        <v>45197</v>
      </c>
      <c r="B4322" s="18" t="n">
        <v>115730.76</v>
      </c>
      <c r="C4322" s="31" t="n"/>
      <c r="D4322" s="32" t="n"/>
      <c r="E4322" s="33" t="n">
        <v>0.2201</v>
      </c>
      <c r="F4322" t="inlineStr">
        <is>
          <t>Down</t>
        </is>
      </c>
      <c r="G4322" t="inlineStr">
        <is>
          <t>Down</t>
        </is>
      </c>
      <c r="H4322" t="inlineStr">
        <is>
          <t>ED_JD</t>
        </is>
      </c>
      <c r="I4322" t="inlineStr">
        <is>
          <t>2023-09</t>
        </is>
      </c>
      <c r="J4322" t="n">
        <v>1</v>
      </c>
      <c r="K4322" t="n">
        <v>1</v>
      </c>
      <c r="L4322" s="34">
        <f>IF($J4322=1,LN(B4323/B4322),"")</f>
        <v/>
      </c>
      <c r="M4322" s="34">
        <f>IF($K4322=1,INDEX(Mensal!$D$2:$D$245,MATCH($I4322,Mensal!$A$2:$A$245,0)),"")</f>
        <v/>
      </c>
      <c r="N4322" s="34">
        <f>IF($K4322=1,L4322-M4322,"")</f>
        <v/>
      </c>
      <c r="O4322" s="34" t="n">
        <v>0.00047279</v>
      </c>
      <c r="P4322" s="34">
        <f>IF($J4322=1,LN(1+O4322),"")</f>
        <v/>
      </c>
      <c r="Q4322" s="34">
        <f>IF($J4322=1,LN(R4323/R4322),"")</f>
        <v/>
      </c>
      <c r="R4322" s="32" t="n">
        <v>5.0475</v>
      </c>
      <c r="S4322" s="35" t="n">
        <v>11.18</v>
      </c>
      <c r="T4322" s="18" t="n"/>
      <c r="U4322" s="18" t="n"/>
      <c r="V4322" s="18" t="n">
        <v>115730.76</v>
      </c>
      <c r="W4322" s="18" t="n"/>
      <c r="X4322" s="35" t="n"/>
      <c r="Y4322" s="35" t="n">
        <v>11.18</v>
      </c>
    </row>
    <row r="4323">
      <c r="A4323" s="25" t="n">
        <v>45198</v>
      </c>
      <c r="B4323" s="18" t="n">
        <v>116565.17</v>
      </c>
      <c r="C4323" s="31" t="n"/>
      <c r="D4323" s="32" t="n"/>
      <c r="E4323" s="33" t="n">
        <v>0.2404</v>
      </c>
      <c r="F4323" t="inlineStr">
        <is>
          <t>Down</t>
        </is>
      </c>
      <c r="G4323" t="inlineStr">
        <is>
          <t>Down</t>
        </is>
      </c>
      <c r="H4323" t="inlineStr">
        <is>
          <t>ED_JD</t>
        </is>
      </c>
      <c r="I4323" t="inlineStr">
        <is>
          <t>2023-09</t>
        </is>
      </c>
      <c r="J4323" t="n">
        <v>1</v>
      </c>
      <c r="K4323" t="n">
        <v>1</v>
      </c>
      <c r="L4323" s="34">
        <f>IF($J4323=1,LN(B4324/B4323),"")</f>
        <v/>
      </c>
      <c r="M4323" s="34">
        <f>IF($K4323=1,INDEX(Mensal!$D$2:$D$245,MATCH($I4323,Mensal!$A$2:$A$245,0)),"")</f>
        <v/>
      </c>
      <c r="N4323" s="34">
        <f>IF($K4323=1,L4323-M4323,"")</f>
        <v/>
      </c>
      <c r="O4323" s="34" t="n">
        <v>0.00047279</v>
      </c>
      <c r="P4323" s="34">
        <f>IF($J4323=1,LN(1+O4323),"")</f>
        <v/>
      </c>
      <c r="Q4323" s="34">
        <f>IF($J4323=1,LN(R4324/R4323),"")</f>
        <v/>
      </c>
      <c r="R4323" s="32" t="n">
        <v>5.0076</v>
      </c>
      <c r="S4323" s="35" t="n">
        <v>11.06</v>
      </c>
      <c r="T4323" s="18" t="n"/>
      <c r="U4323" s="18" t="n"/>
      <c r="V4323" s="18" t="n">
        <v>116565.17</v>
      </c>
      <c r="W4323" s="18" t="n"/>
      <c r="X4323" s="35" t="n"/>
      <c r="Y4323" s="35" t="n">
        <v>11.06</v>
      </c>
    </row>
    <row r="4324">
      <c r="A4324" s="25" t="n">
        <v>45201</v>
      </c>
      <c r="B4324" s="18" t="n">
        <v>115056.86</v>
      </c>
      <c r="C4324" s="31" t="n"/>
      <c r="D4324" s="32" t="n"/>
      <c r="E4324" s="33" t="n">
        <v>0.2573</v>
      </c>
      <c r="F4324" t="inlineStr">
        <is>
          <t>Down</t>
        </is>
      </c>
      <c r="G4324" t="inlineStr">
        <is>
          <t>Down</t>
        </is>
      </c>
      <c r="H4324" t="inlineStr">
        <is>
          <t>ED_JD</t>
        </is>
      </c>
      <c r="I4324" t="inlineStr">
        <is>
          <t>2023-10</t>
        </is>
      </c>
      <c r="J4324" t="n">
        <v>1</v>
      </c>
      <c r="K4324" t="n">
        <v>1</v>
      </c>
      <c r="L4324" s="34">
        <f>IF($J4324=1,LN(B4325/B4324),"")</f>
        <v/>
      </c>
      <c r="M4324" s="34">
        <f>IF($K4324=1,INDEX(Mensal!$D$2:$D$245,MATCH($I4324,Mensal!$A$2:$A$245,0)),"")</f>
        <v/>
      </c>
      <c r="N4324" s="34">
        <f>IF($K4324=1,L4324-M4324,"")</f>
        <v/>
      </c>
      <c r="O4324" s="34" t="n">
        <v>0.00047279</v>
      </c>
      <c r="P4324" s="34">
        <f>IF($J4324=1,LN(1+O4324),"")</f>
        <v/>
      </c>
      <c r="Q4324" s="34">
        <f>IF($J4324=1,LN(R4325/R4324),"")</f>
        <v/>
      </c>
      <c r="R4324" s="32" t="n">
        <v>5.0679</v>
      </c>
      <c r="S4324" s="35" t="n">
        <v>11.17</v>
      </c>
      <c r="T4324" s="18" t="n"/>
      <c r="U4324" s="18" t="n"/>
      <c r="V4324" s="18" t="n">
        <v>115056.86</v>
      </c>
      <c r="W4324" s="18" t="n"/>
      <c r="X4324" s="35" t="n"/>
      <c r="Y4324" s="35" t="n">
        <v>11.17</v>
      </c>
    </row>
    <row r="4325">
      <c r="A4325" s="25" t="n">
        <v>45202</v>
      </c>
      <c r="B4325" s="18" t="n">
        <v>113419.04</v>
      </c>
      <c r="C4325" s="31" t="n"/>
      <c r="D4325" s="32" t="n"/>
      <c r="E4325" s="33" t="n">
        <v>0.28</v>
      </c>
      <c r="F4325" t="inlineStr">
        <is>
          <t>Down</t>
        </is>
      </c>
      <c r="G4325" t="inlineStr">
        <is>
          <t>Down</t>
        </is>
      </c>
      <c r="H4325" t="inlineStr">
        <is>
          <t>ED_JD</t>
        </is>
      </c>
      <c r="I4325" t="inlineStr">
        <is>
          <t>2023-10</t>
        </is>
      </c>
      <c r="J4325" t="n">
        <v>1</v>
      </c>
      <c r="K4325" t="n">
        <v>1</v>
      </c>
      <c r="L4325" s="34">
        <f>IF($J4325=1,LN(B4326/B4325),"")</f>
        <v/>
      </c>
      <c r="M4325" s="34">
        <f>IF($K4325=1,INDEX(Mensal!$D$2:$D$245,MATCH($I4325,Mensal!$A$2:$A$245,0)),"")</f>
        <v/>
      </c>
      <c r="N4325" s="34">
        <f>IF($K4325=1,L4325-M4325,"")</f>
        <v/>
      </c>
      <c r="O4325" s="34" t="n">
        <v>0.00047279</v>
      </c>
      <c r="P4325" s="34">
        <f>IF($J4325=1,LN(1+O4325),"")</f>
        <v/>
      </c>
      <c r="Q4325" s="34">
        <f>IF($J4325=1,LN(R4326/R4325),"")</f>
        <v/>
      </c>
      <c r="R4325" s="32" t="n">
        <v>5.11</v>
      </c>
      <c r="S4325" s="35" t="n">
        <v>11.27</v>
      </c>
      <c r="T4325" s="18" t="n"/>
      <c r="U4325" s="18" t="n"/>
      <c r="V4325" s="18" t="n">
        <v>113419.04</v>
      </c>
      <c r="W4325" s="18" t="n"/>
      <c r="X4325" s="35" t="n"/>
      <c r="Y4325" s="35" t="n">
        <v>11.27</v>
      </c>
    </row>
    <row r="4326">
      <c r="A4326" s="25" t="n">
        <v>45203</v>
      </c>
      <c r="B4326" s="18" t="n">
        <v>113607.45</v>
      </c>
      <c r="C4326" s="31" t="n"/>
      <c r="D4326" s="32" t="n"/>
      <c r="E4326" s="33" t="n">
        <v>0.3033</v>
      </c>
      <c r="F4326" t="inlineStr">
        <is>
          <t>Down</t>
        </is>
      </c>
      <c r="G4326" t="inlineStr">
        <is>
          <t>Down</t>
        </is>
      </c>
      <c r="H4326" t="inlineStr">
        <is>
          <t>ED_JD</t>
        </is>
      </c>
      <c r="I4326" t="inlineStr">
        <is>
          <t>2023-10</t>
        </is>
      </c>
      <c r="J4326" t="n">
        <v>1</v>
      </c>
      <c r="K4326" t="n">
        <v>1</v>
      </c>
      <c r="L4326" s="34">
        <f>IF($J4326=1,LN(B4327/B4326),"")</f>
        <v/>
      </c>
      <c r="M4326" s="34">
        <f>IF($K4326=1,INDEX(Mensal!$D$2:$D$245,MATCH($I4326,Mensal!$A$2:$A$245,0)),"")</f>
        <v/>
      </c>
      <c r="N4326" s="34">
        <f>IF($K4326=1,L4326-M4326,"")</f>
        <v/>
      </c>
      <c r="O4326" s="34" t="n">
        <v>0.00047279</v>
      </c>
      <c r="P4326" s="34">
        <f>IF($J4326=1,LN(1+O4326),"")</f>
        <v/>
      </c>
      <c r="Q4326" s="34">
        <f>IF($J4326=1,LN(R4327/R4326),"")</f>
        <v/>
      </c>
      <c r="R4326" s="32" t="n">
        <v>5.1526</v>
      </c>
      <c r="S4326" s="35" t="n">
        <v>11.12</v>
      </c>
      <c r="T4326" s="18" t="n"/>
      <c r="U4326" s="18" t="n"/>
      <c r="V4326" s="18" t="n">
        <v>113607.45</v>
      </c>
      <c r="W4326" s="18" t="n"/>
      <c r="X4326" s="35" t="n"/>
      <c r="Y4326" s="35" t="n">
        <v>11.12</v>
      </c>
    </row>
    <row r="4327">
      <c r="A4327" s="25" t="n">
        <v>45204</v>
      </c>
      <c r="B4327" s="18" t="n">
        <v>113284.08</v>
      </c>
      <c r="C4327" s="31" t="n"/>
      <c r="D4327" s="32" t="n"/>
      <c r="E4327" s="33" t="n">
        <v>0.3287</v>
      </c>
      <c r="F4327" t="inlineStr">
        <is>
          <t>Down</t>
        </is>
      </c>
      <c r="G4327" t="inlineStr">
        <is>
          <t>Down</t>
        </is>
      </c>
      <c r="H4327" t="inlineStr">
        <is>
          <t>ED_JD</t>
        </is>
      </c>
      <c r="I4327" t="inlineStr">
        <is>
          <t>2023-10</t>
        </is>
      </c>
      <c r="J4327" t="n">
        <v>1</v>
      </c>
      <c r="K4327" t="n">
        <v>1</v>
      </c>
      <c r="L4327" s="34">
        <f>IF($J4327=1,LN(B4328/B4327),"")</f>
        <v/>
      </c>
      <c r="M4327" s="34">
        <f>IF($K4327=1,INDEX(Mensal!$D$2:$D$245,MATCH($I4327,Mensal!$A$2:$A$245,0)),"")</f>
        <v/>
      </c>
      <c r="N4327" s="34">
        <f>IF($K4327=1,L4327-M4327,"")</f>
        <v/>
      </c>
      <c r="O4327" s="34" t="n">
        <v>0.00047279</v>
      </c>
      <c r="P4327" s="34">
        <f>IF($J4327=1,LN(1+O4327),"")</f>
        <v/>
      </c>
      <c r="Q4327" s="34">
        <f>IF($J4327=1,LN(R4328/R4327),"")</f>
        <v/>
      </c>
      <c r="R4327" s="32" t="n">
        <v>5.1713</v>
      </c>
      <c r="S4327" s="35" t="n">
        <v>11.12</v>
      </c>
      <c r="T4327" s="18" t="n"/>
      <c r="U4327" s="18" t="n"/>
      <c r="V4327" s="18" t="n">
        <v>113284.08</v>
      </c>
      <c r="W4327" s="18" t="n"/>
      <c r="X4327" s="35" t="n"/>
      <c r="Y4327" s="35" t="n">
        <v>11.12</v>
      </c>
    </row>
    <row r="4328">
      <c r="A4328" s="25" t="n">
        <v>45205</v>
      </c>
      <c r="B4328" s="18" t="n">
        <v>114169.63</v>
      </c>
      <c r="C4328" s="31" t="n"/>
      <c r="D4328" s="32" t="n"/>
      <c r="E4328" s="33" t="n">
        <v>0.3522</v>
      </c>
      <c r="F4328" t="inlineStr">
        <is>
          <t>Down</t>
        </is>
      </c>
      <c r="G4328" t="inlineStr">
        <is>
          <t>Down</t>
        </is>
      </c>
      <c r="H4328" t="inlineStr">
        <is>
          <t>ED_JD</t>
        </is>
      </c>
      <c r="I4328" t="inlineStr">
        <is>
          <t>2023-10</t>
        </is>
      </c>
      <c r="J4328" t="n">
        <v>1</v>
      </c>
      <c r="K4328" t="n">
        <v>1</v>
      </c>
      <c r="L4328" s="34">
        <f>IF($J4328=1,LN(B4329/B4328),"")</f>
        <v/>
      </c>
      <c r="M4328" s="34">
        <f>IF($K4328=1,INDEX(Mensal!$D$2:$D$245,MATCH($I4328,Mensal!$A$2:$A$245,0)),"")</f>
        <v/>
      </c>
      <c r="N4328" s="34">
        <f>IF($K4328=1,L4328-M4328,"")</f>
        <v/>
      </c>
      <c r="O4328" s="34" t="n">
        <v>0.00047279</v>
      </c>
      <c r="P4328" s="34">
        <f>IF($J4328=1,LN(1+O4328),"")</f>
        <v/>
      </c>
      <c r="Q4328" s="34">
        <f>IF($J4328=1,LN(R4329/R4328),"")</f>
        <v/>
      </c>
      <c r="R4328" s="32" t="n">
        <v>5.1918</v>
      </c>
      <c r="S4328" s="35" t="n">
        <v>11.1</v>
      </c>
      <c r="T4328" s="18" t="n"/>
      <c r="U4328" s="18" t="n"/>
      <c r="V4328" s="18" t="n">
        <v>114169.63</v>
      </c>
      <c r="W4328" s="18" t="n"/>
      <c r="X4328" s="35" t="n"/>
      <c r="Y4328" s="35" t="n">
        <v>11.1</v>
      </c>
    </row>
    <row r="4329">
      <c r="A4329" s="25" t="n">
        <v>45208</v>
      </c>
      <c r="B4329" s="18" t="n">
        <v>115156.07</v>
      </c>
      <c r="C4329" s="31" t="n"/>
      <c r="D4329" s="32" t="n"/>
      <c r="E4329" s="33" t="n">
        <v>0.3705</v>
      </c>
      <c r="F4329" t="inlineStr">
        <is>
          <t>Down</t>
        </is>
      </c>
      <c r="G4329" t="inlineStr">
        <is>
          <t>Down</t>
        </is>
      </c>
      <c r="H4329" t="inlineStr">
        <is>
          <t>ED_JD</t>
        </is>
      </c>
      <c r="I4329" t="inlineStr">
        <is>
          <t>2023-10</t>
        </is>
      </c>
      <c r="J4329" t="n">
        <v>1</v>
      </c>
      <c r="K4329" t="n">
        <v>1</v>
      </c>
      <c r="L4329" s="34">
        <f>IF($J4329=1,LN(B4330/B4329),"")</f>
        <v/>
      </c>
      <c r="M4329" s="34">
        <f>IF($K4329=1,INDEX(Mensal!$D$2:$D$245,MATCH($I4329,Mensal!$A$2:$A$245,0)),"")</f>
        <v/>
      </c>
      <c r="N4329" s="34">
        <f>IF($K4329=1,L4329-M4329,"")</f>
        <v/>
      </c>
      <c r="O4329" s="34" t="n">
        <v>0.00047279</v>
      </c>
      <c r="P4329" s="34">
        <f>IF($J4329=1,LN(1+O4329),"")</f>
        <v/>
      </c>
      <c r="Q4329" s="34">
        <f>IF($J4329=1,LN(R4330/R4329),"")</f>
        <v/>
      </c>
      <c r="R4329" s="32" t="n">
        <v>5.1666</v>
      </c>
      <c r="S4329" s="35" t="n">
        <v>11</v>
      </c>
      <c r="T4329" s="18" t="n"/>
      <c r="U4329" s="18" t="n"/>
      <c r="V4329" s="18" t="n">
        <v>115156.07</v>
      </c>
      <c r="W4329" s="18" t="n"/>
      <c r="X4329" s="35" t="n"/>
      <c r="Y4329" s="35" t="n">
        <v>11</v>
      </c>
    </row>
    <row r="4330">
      <c r="A4330" s="25" t="n">
        <v>45209</v>
      </c>
      <c r="B4330" s="18" t="n">
        <v>116736.95</v>
      </c>
      <c r="C4330" s="31" t="n"/>
      <c r="D4330" s="32" t="n"/>
      <c r="E4330" s="33" t="n">
        <v>0.39</v>
      </c>
      <c r="F4330" t="inlineStr">
        <is>
          <t>Down</t>
        </is>
      </c>
      <c r="G4330" t="inlineStr">
        <is>
          <t>Down</t>
        </is>
      </c>
      <c r="H4330" t="inlineStr">
        <is>
          <t>ED_JD</t>
        </is>
      </c>
      <c r="I4330" t="inlineStr">
        <is>
          <t>2023-10</t>
        </is>
      </c>
      <c r="J4330" t="n">
        <v>1</v>
      </c>
      <c r="K4330" t="n">
        <v>1</v>
      </c>
      <c r="L4330" s="34">
        <f>IF($J4330=1,LN(B4331/B4330),"")</f>
        <v/>
      </c>
      <c r="M4330" s="34">
        <f>IF($K4330=1,INDEX(Mensal!$D$2:$D$245,MATCH($I4330,Mensal!$A$2:$A$245,0)),"")</f>
        <v/>
      </c>
      <c r="N4330" s="34">
        <f>IF($K4330=1,L4330-M4330,"")</f>
        <v/>
      </c>
      <c r="O4330" s="34" t="n">
        <v>0.00047279</v>
      </c>
      <c r="P4330" s="34">
        <f>IF($J4330=1,LN(1+O4330),"")</f>
        <v/>
      </c>
      <c r="Q4330" s="34">
        <f>IF($J4330=1,LN(R4331/R4330),"")</f>
        <v/>
      </c>
      <c r="R4330" s="32" t="n">
        <v>5.0862</v>
      </c>
      <c r="S4330" s="35" t="n">
        <v>10.93</v>
      </c>
      <c r="T4330" s="18" t="n"/>
      <c r="U4330" s="18" t="n"/>
      <c r="V4330" s="18" t="n">
        <v>116736.95</v>
      </c>
      <c r="W4330" s="18" t="n"/>
      <c r="X4330" s="35" t="n"/>
      <c r="Y4330" s="35" t="n">
        <v>10.93</v>
      </c>
    </row>
    <row r="4331">
      <c r="A4331" s="25" t="n">
        <v>45210</v>
      </c>
      <c r="B4331" s="18" t="n">
        <v>117050.74</v>
      </c>
      <c r="C4331" s="31" t="n"/>
      <c r="D4331" s="32" t="n"/>
      <c r="E4331" s="33" t="n">
        <v>0.4135</v>
      </c>
      <c r="F4331" t="inlineStr">
        <is>
          <t>Down</t>
        </is>
      </c>
      <c r="G4331" t="inlineStr">
        <is>
          <t>Down</t>
        </is>
      </c>
      <c r="H4331" t="inlineStr">
        <is>
          <t>ED_JD</t>
        </is>
      </c>
      <c r="I4331" t="inlineStr">
        <is>
          <t>2023-10</t>
        </is>
      </c>
      <c r="J4331" t="n">
        <v>1</v>
      </c>
      <c r="K4331" t="n">
        <v>1</v>
      </c>
      <c r="L4331" s="34">
        <f>IF($J4331=1,LN(B4332/B4331),"")</f>
        <v/>
      </c>
      <c r="M4331" s="34">
        <f>IF($K4331=1,INDEX(Mensal!$D$2:$D$245,MATCH($I4331,Mensal!$A$2:$A$245,0)),"")</f>
        <v/>
      </c>
      <c r="N4331" s="34">
        <f>IF($K4331=1,L4331-M4331,"")</f>
        <v/>
      </c>
      <c r="O4331" s="34" t="n">
        <v>0.00047279</v>
      </c>
      <c r="P4331" s="34">
        <f>IF($J4331=1,LN(1+O4331),"")</f>
        <v/>
      </c>
      <c r="Q4331" s="34">
        <f>IF($J4331=1,LN(R4332/R4331),"")</f>
        <v/>
      </c>
      <c r="R4331" s="32" t="n">
        <v>5.0496</v>
      </c>
      <c r="S4331" s="35" t="n">
        <v>11.05</v>
      </c>
      <c r="T4331" s="18" t="n"/>
      <c r="U4331" s="18" t="n"/>
      <c r="V4331" s="18" t="n">
        <v>117050.74</v>
      </c>
      <c r="W4331" s="18" t="n"/>
      <c r="X4331" s="35" t="n"/>
      <c r="Y4331" s="35" t="n">
        <v>11.05</v>
      </c>
    </row>
    <row r="4332">
      <c r="A4332" s="25" t="n">
        <v>45212</v>
      </c>
      <c r="B4332" s="18" t="n">
        <v>115754.08</v>
      </c>
      <c r="C4332" s="31" t="n"/>
      <c r="D4332" s="32" t="n"/>
      <c r="E4332" s="33" t="n">
        <v>0.442</v>
      </c>
      <c r="F4332" t="inlineStr">
        <is>
          <t>Down</t>
        </is>
      </c>
      <c r="G4332" t="inlineStr">
        <is>
          <t>Down</t>
        </is>
      </c>
      <c r="H4332" t="inlineStr">
        <is>
          <t>ED_JD</t>
        </is>
      </c>
      <c r="I4332" t="inlineStr">
        <is>
          <t>2023-10</t>
        </is>
      </c>
      <c r="J4332" t="n">
        <v>1</v>
      </c>
      <c r="K4332" t="n">
        <v>1</v>
      </c>
      <c r="L4332" s="34">
        <f>IF($J4332=1,LN(B4333/B4332),"")</f>
        <v/>
      </c>
      <c r="M4332" s="34">
        <f>IF($K4332=1,INDEX(Mensal!$D$2:$D$245,MATCH($I4332,Mensal!$A$2:$A$245,0)),"")</f>
        <v/>
      </c>
      <c r="N4332" s="34">
        <f>IF($K4332=1,L4332-M4332,"")</f>
        <v/>
      </c>
      <c r="O4332" s="34" t="n">
        <v>0.00047279</v>
      </c>
      <c r="P4332" s="34">
        <f>IF($J4332=1,LN(1+O4332),"")</f>
        <v/>
      </c>
      <c r="Q4332" s="34">
        <f>IF($J4332=1,LN(R4333/R4332),"")</f>
        <v/>
      </c>
      <c r="R4332" s="32" t="n">
        <v>5.0625</v>
      </c>
      <c r="S4332" s="35" t="n">
        <v>11.15</v>
      </c>
      <c r="T4332" s="18" t="n"/>
      <c r="U4332" s="18" t="n"/>
      <c r="V4332" s="18" t="n">
        <v>115754.08</v>
      </c>
      <c r="W4332" s="18" t="n"/>
      <c r="X4332" s="35" t="n"/>
      <c r="Y4332" s="35" t="n">
        <v>11.15</v>
      </c>
    </row>
    <row r="4333">
      <c r="A4333" s="25" t="n">
        <v>45215</v>
      </c>
      <c r="B4333" s="18" t="n">
        <v>116533.85</v>
      </c>
      <c r="C4333" s="31" t="n"/>
      <c r="D4333" s="32" t="n"/>
      <c r="E4333" s="33" t="n">
        <v>0.4802</v>
      </c>
      <c r="F4333" t="inlineStr">
        <is>
          <t>Down</t>
        </is>
      </c>
      <c r="G4333" t="inlineStr">
        <is>
          <t>Down</t>
        </is>
      </c>
      <c r="H4333" t="inlineStr">
        <is>
          <t>ED_JD</t>
        </is>
      </c>
      <c r="I4333" t="inlineStr">
        <is>
          <t>2023-10</t>
        </is>
      </c>
      <c r="J4333" t="n">
        <v>1</v>
      </c>
      <c r="K4333" t="n">
        <v>1</v>
      </c>
      <c r="L4333" s="34">
        <f>IF($J4333=1,LN(B4334/B4333),"")</f>
        <v/>
      </c>
      <c r="M4333" s="34">
        <f>IF($K4333=1,INDEX(Mensal!$D$2:$D$245,MATCH($I4333,Mensal!$A$2:$A$245,0)),"")</f>
        <v/>
      </c>
      <c r="N4333" s="34">
        <f>IF($K4333=1,L4333-M4333,"")</f>
        <v/>
      </c>
      <c r="O4333" s="34" t="n">
        <v>0.00047279</v>
      </c>
      <c r="P4333" s="34">
        <f>IF($J4333=1,LN(1+O4333),"")</f>
        <v/>
      </c>
      <c r="Q4333" s="34">
        <f>IF($J4333=1,LN(R4334/R4333),"")</f>
        <v/>
      </c>
      <c r="R4333" s="32" t="n">
        <v>5.0618</v>
      </c>
      <c r="S4333" s="35" t="n">
        <v>11.07</v>
      </c>
      <c r="T4333" s="18" t="n"/>
      <c r="U4333" s="18" t="n"/>
      <c r="V4333" s="18" t="n">
        <v>116533.85</v>
      </c>
      <c r="W4333" s="18" t="n"/>
      <c r="X4333" s="35" t="n"/>
      <c r="Y4333" s="35" t="n">
        <v>11.07</v>
      </c>
    </row>
    <row r="4334">
      <c r="A4334" s="25" t="n">
        <v>45216</v>
      </c>
      <c r="B4334" s="18" t="n">
        <v>115908.43</v>
      </c>
      <c r="C4334" s="31" t="n"/>
      <c r="D4334" s="32" t="n"/>
      <c r="E4334" s="33" t="n">
        <v>0.5201</v>
      </c>
      <c r="F4334" t="inlineStr">
        <is>
          <t>Down</t>
        </is>
      </c>
      <c r="G4334" t="inlineStr">
        <is>
          <t>Down</t>
        </is>
      </c>
      <c r="H4334" t="inlineStr">
        <is>
          <t>ED_JD</t>
        </is>
      </c>
      <c r="I4334" t="inlineStr">
        <is>
          <t>2023-10</t>
        </is>
      </c>
      <c r="J4334" t="n">
        <v>1</v>
      </c>
      <c r="K4334" t="n">
        <v>1</v>
      </c>
      <c r="L4334" s="34">
        <f>IF($J4334=1,LN(B4335/B4334),"")</f>
        <v/>
      </c>
      <c r="M4334" s="34">
        <f>IF($K4334=1,INDEX(Mensal!$D$2:$D$245,MATCH($I4334,Mensal!$A$2:$A$245,0)),"")</f>
        <v/>
      </c>
      <c r="N4334" s="34">
        <f>IF($K4334=1,L4334-M4334,"")</f>
        <v/>
      </c>
      <c r="O4334" s="34" t="n">
        <v>0.00047279</v>
      </c>
      <c r="P4334" s="34">
        <f>IF($J4334=1,LN(1+O4334),"")</f>
        <v/>
      </c>
      <c r="Q4334" s="34">
        <f>IF($J4334=1,LN(R4335/R4334),"")</f>
        <v/>
      </c>
      <c r="R4334" s="32" t="n">
        <v>5.0384</v>
      </c>
      <c r="S4334" s="35" t="n">
        <v>11.16</v>
      </c>
      <c r="T4334" s="18" t="n"/>
      <c r="U4334" s="18" t="n"/>
      <c r="V4334" s="18" t="n">
        <v>115908.43</v>
      </c>
      <c r="W4334" s="18" t="n"/>
      <c r="X4334" s="35" t="n"/>
      <c r="Y4334" s="35" t="n">
        <v>11.16</v>
      </c>
    </row>
    <row r="4335">
      <c r="A4335" s="25" t="n">
        <v>45217</v>
      </c>
      <c r="B4335" s="18" t="n">
        <v>114059.64</v>
      </c>
      <c r="C4335" s="31" t="n"/>
      <c r="D4335" s="32" t="n"/>
      <c r="E4335" s="33" t="n">
        <v>0.569</v>
      </c>
      <c r="F4335" t="inlineStr">
        <is>
          <t>Down</t>
        </is>
      </c>
      <c r="G4335" t="inlineStr">
        <is>
          <t>Down</t>
        </is>
      </c>
      <c r="H4335" t="inlineStr">
        <is>
          <t>ED_JD</t>
        </is>
      </c>
      <c r="I4335" t="inlineStr">
        <is>
          <t>2023-10</t>
        </is>
      </c>
      <c r="J4335" t="n">
        <v>1</v>
      </c>
      <c r="K4335" t="n">
        <v>1</v>
      </c>
      <c r="L4335" s="34">
        <f>IF($J4335=1,LN(B4336/B4335),"")</f>
        <v/>
      </c>
      <c r="M4335" s="34">
        <f>IF($K4335=1,INDEX(Mensal!$D$2:$D$245,MATCH($I4335,Mensal!$A$2:$A$245,0)),"")</f>
        <v/>
      </c>
      <c r="N4335" s="34">
        <f>IF($K4335=1,L4335-M4335,"")</f>
        <v/>
      </c>
      <c r="O4335" s="34" t="n">
        <v>0.00047279</v>
      </c>
      <c r="P4335" s="34">
        <f>IF($J4335=1,LN(1+O4335),"")</f>
        <v/>
      </c>
      <c r="Q4335" s="34">
        <f>IF($J4335=1,LN(R4336/R4335),"")</f>
        <v/>
      </c>
      <c r="R4335" s="32" t="n">
        <v>5.0568</v>
      </c>
      <c r="S4335" s="35" t="n">
        <v>11.18</v>
      </c>
      <c r="T4335" s="18" t="n"/>
      <c r="U4335" s="18" t="n"/>
      <c r="V4335" s="18" t="n">
        <v>114059.64</v>
      </c>
      <c r="W4335" s="18" t="n"/>
      <c r="X4335" s="35" t="n"/>
      <c r="Y4335" s="35" t="n">
        <v>11.18</v>
      </c>
    </row>
    <row r="4336">
      <c r="A4336" s="25" t="n">
        <v>45218</v>
      </c>
      <c r="B4336" s="18" t="n">
        <v>114004.3</v>
      </c>
      <c r="C4336" s="31" t="n"/>
      <c r="D4336" s="32" t="n"/>
      <c r="E4336" s="33" t="n">
        <v>0.6199</v>
      </c>
      <c r="F4336" t="inlineStr">
        <is>
          <t>Down</t>
        </is>
      </c>
      <c r="G4336" t="inlineStr">
        <is>
          <t>Down</t>
        </is>
      </c>
      <c r="H4336" t="inlineStr">
        <is>
          <t>ED_JD</t>
        </is>
      </c>
      <c r="I4336" t="inlineStr">
        <is>
          <t>2023-10</t>
        </is>
      </c>
      <c r="J4336" t="n">
        <v>1</v>
      </c>
      <c r="K4336" t="n">
        <v>1</v>
      </c>
      <c r="L4336" s="34">
        <f>IF($J4336=1,LN(B4337/B4336),"")</f>
        <v/>
      </c>
      <c r="M4336" s="34">
        <f>IF($K4336=1,INDEX(Mensal!$D$2:$D$245,MATCH($I4336,Mensal!$A$2:$A$245,0)),"")</f>
        <v/>
      </c>
      <c r="N4336" s="34">
        <f>IF($K4336=1,L4336-M4336,"")</f>
        <v/>
      </c>
      <c r="O4336" s="34" t="n">
        <v>0.00047279</v>
      </c>
      <c r="P4336" s="34">
        <f>IF($J4336=1,LN(1+O4336),"")</f>
        <v/>
      </c>
      <c r="Q4336" s="34">
        <f>IF($J4336=1,LN(R4337/R4336),"")</f>
        <v/>
      </c>
      <c r="R4336" s="32" t="n">
        <v>5.054</v>
      </c>
      <c r="S4336" s="35" t="n">
        <v>11.25</v>
      </c>
      <c r="T4336" s="18" t="n"/>
      <c r="U4336" s="18" t="n"/>
      <c r="V4336" s="18" t="n">
        <v>114004.3</v>
      </c>
      <c r="W4336" s="18" t="n"/>
      <c r="X4336" s="35" t="n"/>
      <c r="Y4336" s="35" t="n">
        <v>11.25</v>
      </c>
    </row>
    <row r="4337">
      <c r="A4337" s="25" t="n">
        <v>45219</v>
      </c>
      <c r="B4337" s="18" t="n">
        <v>113155.28</v>
      </c>
      <c r="C4337" s="31" t="n"/>
      <c r="D4337" s="32" t="n"/>
      <c r="E4337" s="33" t="n">
        <v>0.6673</v>
      </c>
      <c r="F4337" t="inlineStr">
        <is>
          <t>Down</t>
        </is>
      </c>
      <c r="G4337" t="inlineStr">
        <is>
          <t>Down</t>
        </is>
      </c>
      <c r="H4337" t="inlineStr">
        <is>
          <t>ED_JD</t>
        </is>
      </c>
      <c r="I4337" t="inlineStr">
        <is>
          <t>2023-10</t>
        </is>
      </c>
      <c r="J4337" t="n">
        <v>1</v>
      </c>
      <c r="K4337" t="n">
        <v>1</v>
      </c>
      <c r="L4337" s="34">
        <f>IF($J4337=1,LN(B4338/B4337),"")</f>
        <v/>
      </c>
      <c r="M4337" s="34">
        <f>IF($K4337=1,INDEX(Mensal!$D$2:$D$245,MATCH($I4337,Mensal!$A$2:$A$245,0)),"")</f>
        <v/>
      </c>
      <c r="N4337" s="34">
        <f>IF($K4337=1,L4337-M4337,"")</f>
        <v/>
      </c>
      <c r="O4337" s="34" t="n">
        <v>0.00047279</v>
      </c>
      <c r="P4337" s="34">
        <f>IF($J4337=1,LN(1+O4337),"")</f>
        <v/>
      </c>
      <c r="Q4337" s="34">
        <f>IF($J4337=1,LN(R4338/R4337),"")</f>
        <v/>
      </c>
      <c r="R4337" s="32" t="n">
        <v>5.0528</v>
      </c>
      <c r="S4337" s="35" t="n">
        <v>11.14</v>
      </c>
      <c r="T4337" s="18" t="n"/>
      <c r="U4337" s="18" t="n"/>
      <c r="V4337" s="18" t="n">
        <v>113155.28</v>
      </c>
      <c r="W4337" s="18" t="n"/>
      <c r="X4337" s="35" t="n"/>
      <c r="Y4337" s="35" t="n">
        <v>11.14</v>
      </c>
    </row>
    <row r="4338">
      <c r="A4338" s="25" t="n">
        <v>45222</v>
      </c>
      <c r="B4338" s="18" t="n">
        <v>112784.52</v>
      </c>
      <c r="C4338" s="31" t="n"/>
      <c r="D4338" s="32" t="n"/>
      <c r="E4338" s="33" t="n">
        <v>0.7157</v>
      </c>
      <c r="F4338" t="inlineStr">
        <is>
          <t>Down</t>
        </is>
      </c>
      <c r="G4338" t="inlineStr">
        <is>
          <t>Down</t>
        </is>
      </c>
      <c r="H4338" t="inlineStr">
        <is>
          <t>ED_JD</t>
        </is>
      </c>
      <c r="I4338" t="inlineStr">
        <is>
          <t>2023-10</t>
        </is>
      </c>
      <c r="J4338" t="n">
        <v>1</v>
      </c>
      <c r="K4338" t="n">
        <v>1</v>
      </c>
      <c r="L4338" s="34">
        <f>IF($J4338=1,LN(B4339/B4338),"")</f>
        <v/>
      </c>
      <c r="M4338" s="34">
        <f>IF($K4338=1,INDEX(Mensal!$D$2:$D$245,MATCH($I4338,Mensal!$A$2:$A$245,0)),"")</f>
        <v/>
      </c>
      <c r="N4338" s="34">
        <f>IF($K4338=1,L4338-M4338,"")</f>
        <v/>
      </c>
      <c r="O4338" s="34" t="n">
        <v>0.00047279</v>
      </c>
      <c r="P4338" s="34">
        <f>IF($J4338=1,LN(1+O4338),"")</f>
        <v/>
      </c>
      <c r="Q4338" s="34">
        <f>IF($J4338=1,LN(R4339/R4338),"")</f>
        <v/>
      </c>
      <c r="R4338" s="32" t="n">
        <v>5.0164</v>
      </c>
      <c r="S4338" s="35" t="n">
        <v>11.14</v>
      </c>
      <c r="T4338" s="18" t="n"/>
      <c r="U4338" s="18" t="n"/>
      <c r="V4338" s="18" t="n">
        <v>112784.52</v>
      </c>
      <c r="W4338" s="18" t="n"/>
      <c r="X4338" s="35" t="n"/>
      <c r="Y4338" s="35" t="n">
        <v>11.14</v>
      </c>
    </row>
    <row r="4339">
      <c r="A4339" s="25" t="n">
        <v>45223</v>
      </c>
      <c r="B4339" s="18" t="n">
        <v>113761.9</v>
      </c>
      <c r="C4339" s="31" t="n"/>
      <c r="D4339" s="32" t="n"/>
      <c r="E4339" s="33" t="n">
        <v>0.7621</v>
      </c>
      <c r="F4339" t="inlineStr">
        <is>
          <t>Down</t>
        </is>
      </c>
      <c r="G4339" t="inlineStr">
        <is>
          <t>Down</t>
        </is>
      </c>
      <c r="H4339" t="inlineStr">
        <is>
          <t>ED_JD</t>
        </is>
      </c>
      <c r="I4339" t="inlineStr">
        <is>
          <t>2023-10</t>
        </is>
      </c>
      <c r="J4339" t="n">
        <v>1</v>
      </c>
      <c r="K4339" t="n">
        <v>1</v>
      </c>
      <c r="L4339" s="34">
        <f>IF($J4339=1,LN(B4340/B4339),"")</f>
        <v/>
      </c>
      <c r="M4339" s="34">
        <f>IF($K4339=1,INDEX(Mensal!$D$2:$D$245,MATCH($I4339,Mensal!$A$2:$A$245,0)),"")</f>
        <v/>
      </c>
      <c r="N4339" s="34">
        <f>IF($K4339=1,L4339-M4339,"")</f>
        <v/>
      </c>
      <c r="O4339" s="34" t="n">
        <v>0.00047279</v>
      </c>
      <c r="P4339" s="34">
        <f>IF($J4339=1,LN(1+O4339),"")</f>
        <v/>
      </c>
      <c r="Q4339" s="34">
        <f>IF($J4339=1,LN(R4340/R4339),"")</f>
        <v/>
      </c>
      <c r="R4339" s="32" t="n">
        <v>5.0065</v>
      </c>
      <c r="S4339" s="35" t="n">
        <v>11.06</v>
      </c>
      <c r="T4339" s="18" t="n"/>
      <c r="U4339" s="18" t="n"/>
      <c r="V4339" s="18" t="n">
        <v>113761.9</v>
      </c>
      <c r="W4339" s="18" t="n"/>
      <c r="X4339" s="35" t="n"/>
      <c r="Y4339" s="35" t="n">
        <v>11.06</v>
      </c>
    </row>
    <row r="4340">
      <c r="A4340" s="25" t="n">
        <v>45224</v>
      </c>
      <c r="B4340" s="18" t="n">
        <v>112829.97</v>
      </c>
      <c r="C4340" s="31" t="n"/>
      <c r="D4340" s="32" t="n"/>
      <c r="E4340" s="33" t="n">
        <v>0.7968</v>
      </c>
      <c r="F4340" t="inlineStr">
        <is>
          <t>Down</t>
        </is>
      </c>
      <c r="G4340" t="inlineStr">
        <is>
          <t>Down</t>
        </is>
      </c>
      <c r="H4340" t="inlineStr">
        <is>
          <t>ED_JD</t>
        </is>
      </c>
      <c r="I4340" t="inlineStr">
        <is>
          <t>2023-10</t>
        </is>
      </c>
      <c r="J4340" t="n">
        <v>1</v>
      </c>
      <c r="K4340" t="n">
        <v>1</v>
      </c>
      <c r="L4340" s="34">
        <f>IF($J4340=1,LN(B4341/B4340),"")</f>
        <v/>
      </c>
      <c r="M4340" s="34">
        <f>IF($K4340=1,INDEX(Mensal!$D$2:$D$245,MATCH($I4340,Mensal!$A$2:$A$245,0)),"")</f>
        <v/>
      </c>
      <c r="N4340" s="34">
        <f>IF($K4340=1,L4340-M4340,"")</f>
        <v/>
      </c>
      <c r="O4340" s="34" t="n">
        <v>0.00047279</v>
      </c>
      <c r="P4340" s="34">
        <f>IF($J4340=1,LN(1+O4340),"")</f>
        <v/>
      </c>
      <c r="Q4340" s="34">
        <f>IF($J4340=1,LN(R4341/R4340),"")</f>
        <v/>
      </c>
      <c r="R4340" s="32" t="n">
        <v>4.9981</v>
      </c>
      <c r="S4340" s="35" t="n">
        <v>11.05</v>
      </c>
      <c r="T4340" s="18" t="n"/>
      <c r="U4340" s="18" t="n"/>
      <c r="V4340" s="18" t="n">
        <v>112829.97</v>
      </c>
      <c r="W4340" s="18" t="n"/>
      <c r="X4340" s="35" t="n"/>
      <c r="Y4340" s="35" t="n">
        <v>11.05</v>
      </c>
    </row>
    <row r="4341">
      <c r="A4341" s="25" t="n">
        <v>45225</v>
      </c>
      <c r="B4341" s="18" t="n">
        <v>114776.86</v>
      </c>
      <c r="C4341" s="31" t="n"/>
      <c r="D4341" s="32" t="n"/>
      <c r="E4341" s="33" t="n">
        <v>0.8202</v>
      </c>
      <c r="F4341" t="inlineStr">
        <is>
          <t>Down</t>
        </is>
      </c>
      <c r="G4341" t="inlineStr">
        <is>
          <t>Down</t>
        </is>
      </c>
      <c r="H4341" t="inlineStr">
        <is>
          <t>ED_JD</t>
        </is>
      </c>
      <c r="I4341" t="inlineStr">
        <is>
          <t>2023-10</t>
        </is>
      </c>
      <c r="J4341" t="n">
        <v>1</v>
      </c>
      <c r="K4341" t="n">
        <v>1</v>
      </c>
      <c r="L4341" s="34">
        <f>IF($J4341=1,LN(B4342/B4341),"")</f>
        <v/>
      </c>
      <c r="M4341" s="34">
        <f>IF($K4341=1,INDEX(Mensal!$D$2:$D$245,MATCH($I4341,Mensal!$A$2:$A$245,0)),"")</f>
        <v/>
      </c>
      <c r="N4341" s="34">
        <f>IF($K4341=1,L4341-M4341,"")</f>
        <v/>
      </c>
      <c r="O4341" s="34" t="n">
        <v>0.00047279</v>
      </c>
      <c r="P4341" s="34">
        <f>IF($J4341=1,LN(1+O4341),"")</f>
        <v/>
      </c>
      <c r="Q4341" s="34">
        <f>IF($J4341=1,LN(R4342/R4341),"")</f>
        <v/>
      </c>
      <c r="R4341" s="32" t="n">
        <v>5.0055</v>
      </c>
      <c r="S4341" s="35" t="n">
        <v>10.94</v>
      </c>
      <c r="T4341" s="18" t="n"/>
      <c r="U4341" s="18" t="n"/>
      <c r="V4341" s="18" t="n">
        <v>114776.86</v>
      </c>
      <c r="W4341" s="18" t="n"/>
      <c r="X4341" s="35" t="n"/>
      <c r="Y4341" s="35" t="n">
        <v>10.94</v>
      </c>
    </row>
    <row r="4342">
      <c r="A4342" s="25" t="n">
        <v>45226</v>
      </c>
      <c r="B4342" s="18" t="n">
        <v>113301.35</v>
      </c>
      <c r="C4342" s="31" t="n"/>
      <c r="D4342" s="32" t="n"/>
      <c r="E4342" s="33" t="n">
        <v>0.8462</v>
      </c>
      <c r="F4342" t="inlineStr">
        <is>
          <t>Down</t>
        </is>
      </c>
      <c r="G4342" t="inlineStr">
        <is>
          <t>Down</t>
        </is>
      </c>
      <c r="H4342" t="inlineStr">
        <is>
          <t>ED_JD</t>
        </is>
      </c>
      <c r="I4342" t="inlineStr">
        <is>
          <t>2023-10</t>
        </is>
      </c>
      <c r="J4342" t="n">
        <v>1</v>
      </c>
      <c r="K4342" t="n">
        <v>1</v>
      </c>
      <c r="L4342" s="34">
        <f>IF($J4342=1,LN(B4343/B4342),"")</f>
        <v/>
      </c>
      <c r="M4342" s="34">
        <f>IF($K4342=1,INDEX(Mensal!$D$2:$D$245,MATCH($I4342,Mensal!$A$2:$A$245,0)),"")</f>
        <v/>
      </c>
      <c r="N4342" s="34">
        <f>IF($K4342=1,L4342-M4342,"")</f>
        <v/>
      </c>
      <c r="O4342" s="34" t="n">
        <v>0.00047279</v>
      </c>
      <c r="P4342" s="34">
        <f>IF($J4342=1,LN(1+O4342),"")</f>
        <v/>
      </c>
      <c r="Q4342" s="34">
        <f>IF($J4342=1,LN(R4343/R4342),"")</f>
        <v/>
      </c>
      <c r="R4342" s="32" t="n">
        <v>4.948</v>
      </c>
      <c r="S4342" s="35" t="n">
        <v>11.09</v>
      </c>
      <c r="T4342" s="18" t="n"/>
      <c r="U4342" s="18" t="n"/>
      <c r="V4342" s="18" t="n">
        <v>113301.35</v>
      </c>
      <c r="W4342" s="18" t="n"/>
      <c r="X4342" s="35" t="n"/>
      <c r="Y4342" s="35" t="n">
        <v>11.09</v>
      </c>
    </row>
    <row r="4343">
      <c r="A4343" s="25" t="n">
        <v>45229</v>
      </c>
      <c r="B4343" s="18" t="n">
        <v>112531.52</v>
      </c>
      <c r="C4343" s="31" t="n"/>
      <c r="D4343" s="32" t="n"/>
      <c r="E4343" s="33" t="n">
        <v>0.8778</v>
      </c>
      <c r="F4343" t="inlineStr">
        <is>
          <t>Down</t>
        </is>
      </c>
      <c r="G4343" t="inlineStr">
        <is>
          <t>Down</t>
        </is>
      </c>
      <c r="H4343" t="inlineStr">
        <is>
          <t>ED_JD</t>
        </is>
      </c>
      <c r="I4343" t="inlineStr">
        <is>
          <t>2023-10</t>
        </is>
      </c>
      <c r="J4343" t="n">
        <v>1</v>
      </c>
      <c r="K4343" t="n">
        <v>1</v>
      </c>
      <c r="L4343" s="34">
        <f>IF($J4343=1,LN(B4344/B4343),"")</f>
        <v/>
      </c>
      <c r="M4343" s="34">
        <f>IF($K4343=1,INDEX(Mensal!$D$2:$D$245,MATCH($I4343,Mensal!$A$2:$A$245,0)),"")</f>
        <v/>
      </c>
      <c r="N4343" s="34">
        <f>IF($K4343=1,L4343-M4343,"")</f>
        <v/>
      </c>
      <c r="O4343" s="34" t="n">
        <v>0.00047279</v>
      </c>
      <c r="P4343" s="34">
        <f>IF($J4343=1,LN(1+O4343),"")</f>
        <v/>
      </c>
      <c r="Q4343" s="34">
        <f>IF($J4343=1,LN(R4344/R4343),"")</f>
        <v/>
      </c>
      <c r="R4343" s="32" t="n">
        <v>5.0074</v>
      </c>
      <c r="S4343" s="35" t="n">
        <v>11.21</v>
      </c>
      <c r="T4343" s="18" t="n"/>
      <c r="U4343" s="18" t="n"/>
      <c r="V4343" s="18" t="n">
        <v>112531.52</v>
      </c>
      <c r="W4343" s="18" t="n"/>
      <c r="X4343" s="35" t="n"/>
      <c r="Y4343" s="35" t="n">
        <v>11.21</v>
      </c>
    </row>
    <row r="4344">
      <c r="A4344" s="25" t="n">
        <v>45230</v>
      </c>
      <c r="B4344" s="18" t="n">
        <v>113143.67</v>
      </c>
      <c r="C4344" s="31" t="n"/>
      <c r="D4344" s="32" t="n"/>
      <c r="E4344" s="33" t="n">
        <v>0.9004</v>
      </c>
      <c r="F4344" t="inlineStr">
        <is>
          <t>Down</t>
        </is>
      </c>
      <c r="G4344" t="inlineStr">
        <is>
          <t>Down</t>
        </is>
      </c>
      <c r="H4344" t="inlineStr">
        <is>
          <t>ED_JD</t>
        </is>
      </c>
      <c r="I4344" t="inlineStr">
        <is>
          <t>2023-10</t>
        </is>
      </c>
      <c r="J4344" t="n">
        <v>1</v>
      </c>
      <c r="K4344" t="n">
        <v>1</v>
      </c>
      <c r="L4344" s="34">
        <f>IF($J4344=1,LN(B4345/B4344),"")</f>
        <v/>
      </c>
      <c r="M4344" s="34">
        <f>IF($K4344=1,INDEX(Mensal!$D$2:$D$245,MATCH($I4344,Mensal!$A$2:$A$245,0)),"")</f>
        <v/>
      </c>
      <c r="N4344" s="34">
        <f>IF($K4344=1,L4344-M4344,"")</f>
        <v/>
      </c>
      <c r="O4344" s="34" t="n">
        <v>0.00047279</v>
      </c>
      <c r="P4344" s="34">
        <f>IF($J4344=1,LN(1+O4344),"")</f>
        <v/>
      </c>
      <c r="Q4344" s="34">
        <f>IF($J4344=1,LN(R4345/R4344),"")</f>
        <v/>
      </c>
      <c r="R4344" s="32" t="n">
        <v>5.0575</v>
      </c>
      <c r="S4344" s="35" t="n">
        <v>11.15</v>
      </c>
      <c r="T4344" s="18" t="n"/>
      <c r="U4344" s="18" t="n"/>
      <c r="V4344" s="18" t="n">
        <v>113143.67</v>
      </c>
      <c r="W4344" s="18" t="n"/>
      <c r="X4344" s="35" t="n"/>
      <c r="Y4344" s="35" t="n">
        <v>11.15</v>
      </c>
    </row>
    <row r="4345">
      <c r="A4345" s="25" t="n">
        <v>45231</v>
      </c>
      <c r="B4345" s="18" t="n">
        <v>115052.96</v>
      </c>
      <c r="C4345" s="31" t="n"/>
      <c r="D4345" s="32" t="n"/>
      <c r="E4345" s="33" t="n">
        <v>0.9194</v>
      </c>
      <c r="F4345" t="inlineStr">
        <is>
          <t>Up</t>
        </is>
      </c>
      <c r="G4345" t="inlineStr">
        <is>
          <t>Down</t>
        </is>
      </c>
      <c r="H4345" t="inlineStr">
        <is>
          <t>EU_JD</t>
        </is>
      </c>
      <c r="I4345" t="inlineStr">
        <is>
          <t>2023-11</t>
        </is>
      </c>
      <c r="J4345" t="n">
        <v>1</v>
      </c>
      <c r="K4345" t="n">
        <v>1</v>
      </c>
      <c r="L4345" s="34">
        <f>IF($J4345=1,LN(B4346/B4345),"")</f>
        <v/>
      </c>
      <c r="M4345" s="34">
        <f>IF($K4345=1,INDEX(Mensal!$D$2:$D$245,MATCH($I4345,Mensal!$A$2:$A$245,0)),"")</f>
        <v/>
      </c>
      <c r="N4345" s="34">
        <f>IF($K4345=1,L4345-M4345,"")</f>
        <v/>
      </c>
      <c r="O4345" s="34" t="n">
        <v>0.00047279</v>
      </c>
      <c r="P4345" s="34">
        <f>IF($J4345=1,LN(1+O4345),"")</f>
        <v/>
      </c>
      <c r="Q4345" s="34">
        <f>IF($J4345=1,LN(R4346/R4345),"")</f>
        <v/>
      </c>
      <c r="R4345" s="32" t="n">
        <v>5.0194</v>
      </c>
      <c r="S4345" s="35" t="n">
        <v>11.03</v>
      </c>
      <c r="T4345" s="18" t="n">
        <v>115052.96</v>
      </c>
      <c r="U4345" s="18" t="n"/>
      <c r="V4345" s="18" t="n"/>
      <c r="W4345" s="18" t="n"/>
      <c r="X4345" s="35" t="n"/>
      <c r="Y4345" s="35" t="n">
        <v>11.03</v>
      </c>
    </row>
    <row r="4346">
      <c r="A4346" s="25" t="n">
        <v>45233</v>
      </c>
      <c r="B4346" s="18" t="n">
        <v>118159.97</v>
      </c>
      <c r="C4346" s="31" t="n"/>
      <c r="D4346" s="32" t="n"/>
      <c r="E4346" s="33" t="n">
        <v>0.9351</v>
      </c>
      <c r="F4346" t="inlineStr">
        <is>
          <t>Up</t>
        </is>
      </c>
      <c r="G4346" t="inlineStr">
        <is>
          <t>Down</t>
        </is>
      </c>
      <c r="H4346" t="inlineStr">
        <is>
          <t>EU_JD</t>
        </is>
      </c>
      <c r="I4346" t="inlineStr">
        <is>
          <t>2023-11</t>
        </is>
      </c>
      <c r="J4346" t="n">
        <v>1</v>
      </c>
      <c r="K4346" t="n">
        <v>1</v>
      </c>
      <c r="L4346" s="34">
        <f>IF($J4346=1,LN(B4347/B4346),"")</f>
        <v/>
      </c>
      <c r="M4346" s="34">
        <f>IF($K4346=1,INDEX(Mensal!$D$2:$D$245,MATCH($I4346,Mensal!$A$2:$A$245,0)),"")</f>
        <v/>
      </c>
      <c r="N4346" s="34">
        <f>IF($K4346=1,L4346-M4346,"")</f>
        <v/>
      </c>
      <c r="O4346" s="34" t="n">
        <v>0.00045513</v>
      </c>
      <c r="P4346" s="34">
        <f>IF($J4346=1,LN(1+O4346),"")</f>
        <v/>
      </c>
      <c r="Q4346" s="34">
        <f>IF($J4346=1,LN(R4347/R4346),"")</f>
        <v/>
      </c>
      <c r="R4346" s="32" t="n">
        <v>4.891</v>
      </c>
      <c r="S4346" s="35" t="n">
        <v>10.94</v>
      </c>
      <c r="T4346" s="18" t="n">
        <v>118159.97</v>
      </c>
      <c r="U4346" s="18" t="n"/>
      <c r="V4346" s="18" t="n"/>
      <c r="W4346" s="18" t="n"/>
      <c r="X4346" s="35" t="n"/>
      <c r="Y4346" s="35" t="n">
        <v>10.94</v>
      </c>
    </row>
    <row r="4347">
      <c r="A4347" s="25" t="n">
        <v>45236</v>
      </c>
      <c r="B4347" s="18" t="n">
        <v>118431.25</v>
      </c>
      <c r="C4347" s="31" t="n"/>
      <c r="D4347" s="32" t="n"/>
      <c r="E4347" s="33" t="n">
        <v>0.9524</v>
      </c>
      <c r="F4347" t="inlineStr">
        <is>
          <t>Up</t>
        </is>
      </c>
      <c r="G4347" t="inlineStr">
        <is>
          <t>Down</t>
        </is>
      </c>
      <c r="H4347" t="inlineStr">
        <is>
          <t>EU_JD</t>
        </is>
      </c>
      <c r="I4347" t="inlineStr">
        <is>
          <t>2023-11</t>
        </is>
      </c>
      <c r="J4347" t="n">
        <v>1</v>
      </c>
      <c r="K4347" t="n">
        <v>1</v>
      </c>
      <c r="L4347" s="34">
        <f>IF($J4347=1,LN(B4348/B4347),"")</f>
        <v/>
      </c>
      <c r="M4347" s="34">
        <f>IF($K4347=1,INDEX(Mensal!$D$2:$D$245,MATCH($I4347,Mensal!$A$2:$A$245,0)),"")</f>
        <v/>
      </c>
      <c r="N4347" s="34">
        <f>IF($K4347=1,L4347-M4347,"")</f>
        <v/>
      </c>
      <c r="O4347" s="34" t="n">
        <v>0.00045513</v>
      </c>
      <c r="P4347" s="34">
        <f>IF($J4347=1,LN(1+O4347),"")</f>
        <v/>
      </c>
      <c r="Q4347" s="34">
        <f>IF($J4347=1,LN(R4348/R4347),"")</f>
        <v/>
      </c>
      <c r="R4347" s="32" t="n">
        <v>4.8999</v>
      </c>
      <c r="S4347" s="35" t="n">
        <v>10.95</v>
      </c>
      <c r="T4347" s="18" t="n">
        <v>118431.25</v>
      </c>
      <c r="U4347" s="18" t="n"/>
      <c r="V4347" s="18" t="n"/>
      <c r="W4347" s="18" t="n"/>
      <c r="X4347" s="35" t="n"/>
      <c r="Y4347" s="35" t="n">
        <v>10.95</v>
      </c>
    </row>
    <row r="4348">
      <c r="A4348" s="25" t="n">
        <v>45237</v>
      </c>
      <c r="B4348" s="18" t="n">
        <v>119268.06</v>
      </c>
      <c r="C4348" s="31" t="n"/>
      <c r="D4348" s="32" t="n"/>
      <c r="E4348" s="33" t="n">
        <v>0.9634</v>
      </c>
      <c r="F4348" t="inlineStr">
        <is>
          <t>Up</t>
        </is>
      </c>
      <c r="G4348" t="inlineStr">
        <is>
          <t>Down</t>
        </is>
      </c>
      <c r="H4348" t="inlineStr">
        <is>
          <t>EU_JD</t>
        </is>
      </c>
      <c r="I4348" t="inlineStr">
        <is>
          <t>2023-11</t>
        </is>
      </c>
      <c r="J4348" t="n">
        <v>1</v>
      </c>
      <c r="K4348" t="n">
        <v>1</v>
      </c>
      <c r="L4348" s="34">
        <f>IF($J4348=1,LN(B4349/B4348),"")</f>
        <v/>
      </c>
      <c r="M4348" s="34">
        <f>IF($K4348=1,INDEX(Mensal!$D$2:$D$245,MATCH($I4348,Mensal!$A$2:$A$245,0)),"")</f>
        <v/>
      </c>
      <c r="N4348" s="34">
        <f>IF($K4348=1,L4348-M4348,"")</f>
        <v/>
      </c>
      <c r="O4348" s="34" t="n">
        <v>0.00045513</v>
      </c>
      <c r="P4348" s="34">
        <f>IF($J4348=1,LN(1+O4348),"")</f>
        <v/>
      </c>
      <c r="Q4348" s="34">
        <f>IF($J4348=1,LN(R4349/R4348),"")</f>
        <v/>
      </c>
      <c r="R4348" s="32" t="n">
        <v>4.867</v>
      </c>
      <c r="S4348" s="35" t="n">
        <v>10.89</v>
      </c>
      <c r="T4348" s="18" t="n">
        <v>119268.06</v>
      </c>
      <c r="U4348" s="18" t="n"/>
      <c r="V4348" s="18" t="n"/>
      <c r="W4348" s="18" t="n"/>
      <c r="X4348" s="35" t="n"/>
      <c r="Y4348" s="35" t="n">
        <v>10.89</v>
      </c>
    </row>
    <row r="4349">
      <c r="A4349" s="25" t="n">
        <v>45238</v>
      </c>
      <c r="B4349" s="18" t="n">
        <v>119176.67</v>
      </c>
      <c r="C4349" s="31" t="n"/>
      <c r="D4349" s="32" t="n"/>
      <c r="E4349" s="33" t="n">
        <v>0.9762</v>
      </c>
      <c r="F4349" t="inlineStr">
        <is>
          <t>Up</t>
        </is>
      </c>
      <c r="G4349" t="inlineStr">
        <is>
          <t>Down</t>
        </is>
      </c>
      <c r="H4349" t="inlineStr">
        <is>
          <t>EU_JD</t>
        </is>
      </c>
      <c r="I4349" t="inlineStr">
        <is>
          <t>2023-11</t>
        </is>
      </c>
      <c r="J4349" t="n">
        <v>1</v>
      </c>
      <c r="K4349" t="n">
        <v>1</v>
      </c>
      <c r="L4349" s="34">
        <f>IF($J4349=1,LN(B4350/B4349),"")</f>
        <v/>
      </c>
      <c r="M4349" s="34">
        <f>IF($K4349=1,INDEX(Mensal!$D$2:$D$245,MATCH($I4349,Mensal!$A$2:$A$245,0)),"")</f>
        <v/>
      </c>
      <c r="N4349" s="34">
        <f>IF($K4349=1,L4349-M4349,"")</f>
        <v/>
      </c>
      <c r="O4349" s="34" t="n">
        <v>0.00045513</v>
      </c>
      <c r="P4349" s="34">
        <f>IF($J4349=1,LN(1+O4349),"")</f>
        <v/>
      </c>
      <c r="Q4349" s="34">
        <f>IF($J4349=1,LN(R4350/R4349),"")</f>
        <v/>
      </c>
      <c r="R4349" s="32" t="n">
        <v>4.8855</v>
      </c>
      <c r="S4349" s="35" t="n">
        <v>10.88</v>
      </c>
      <c r="T4349" s="18" t="n">
        <v>119176.67</v>
      </c>
      <c r="U4349" s="18" t="n"/>
      <c r="V4349" s="18" t="n"/>
      <c r="W4349" s="18" t="n"/>
      <c r="X4349" s="35" t="n"/>
      <c r="Y4349" s="35" t="n">
        <v>10.88</v>
      </c>
    </row>
    <row r="4350">
      <c r="A4350" s="25" t="n">
        <v>45239</v>
      </c>
      <c r="B4350" s="18" t="n">
        <v>119034.14</v>
      </c>
      <c r="C4350" s="31" t="n"/>
      <c r="D4350" s="32" t="n"/>
      <c r="E4350" s="33" t="n">
        <v>0.9861</v>
      </c>
      <c r="F4350" t="inlineStr">
        <is>
          <t>Up</t>
        </is>
      </c>
      <c r="G4350" t="inlineStr">
        <is>
          <t>Down</t>
        </is>
      </c>
      <c r="H4350" t="inlineStr">
        <is>
          <t>EU_JD</t>
        </is>
      </c>
      <c r="I4350" t="inlineStr">
        <is>
          <t>2023-11</t>
        </is>
      </c>
      <c r="J4350" t="n">
        <v>1</v>
      </c>
      <c r="K4350" t="n">
        <v>1</v>
      </c>
      <c r="L4350" s="34">
        <f>IF($J4350=1,LN(B4351/B4350),"")</f>
        <v/>
      </c>
      <c r="M4350" s="34">
        <f>IF($K4350=1,INDEX(Mensal!$D$2:$D$245,MATCH($I4350,Mensal!$A$2:$A$245,0)),"")</f>
        <v/>
      </c>
      <c r="N4350" s="34">
        <f>IF($K4350=1,L4350-M4350,"")</f>
        <v/>
      </c>
      <c r="O4350" s="34" t="n">
        <v>0.00045513</v>
      </c>
      <c r="P4350" s="34">
        <f>IF($J4350=1,LN(1+O4350),"")</f>
        <v/>
      </c>
      <c r="Q4350" s="34">
        <f>IF($J4350=1,LN(R4351/R4350),"")</f>
        <v/>
      </c>
      <c r="R4350" s="32" t="n">
        <v>4.9007</v>
      </c>
      <c r="S4350" s="35" t="n">
        <v>10.9</v>
      </c>
      <c r="T4350" s="18" t="n">
        <v>119034.14</v>
      </c>
      <c r="U4350" s="18" t="n"/>
      <c r="V4350" s="18" t="n"/>
      <c r="W4350" s="18" t="n"/>
      <c r="X4350" s="35" t="n"/>
      <c r="Y4350" s="35" t="n">
        <v>10.9</v>
      </c>
    </row>
    <row r="4351">
      <c r="A4351" s="25" t="n">
        <v>45240</v>
      </c>
      <c r="B4351" s="18" t="n">
        <v>120568.14</v>
      </c>
      <c r="C4351" s="31" t="n"/>
      <c r="D4351" s="32" t="n"/>
      <c r="E4351" s="33" t="n">
        <v>0.9956</v>
      </c>
      <c r="F4351" t="inlineStr">
        <is>
          <t>Up</t>
        </is>
      </c>
      <c r="G4351" t="inlineStr">
        <is>
          <t>Down</t>
        </is>
      </c>
      <c r="H4351" t="inlineStr">
        <is>
          <t>EU_JD</t>
        </is>
      </c>
      <c r="I4351" t="inlineStr">
        <is>
          <t>2023-11</t>
        </is>
      </c>
      <c r="J4351" t="n">
        <v>1</v>
      </c>
      <c r="K4351" t="n">
        <v>1</v>
      </c>
      <c r="L4351" s="34">
        <f>IF($J4351=1,LN(B4352/B4351),"")</f>
        <v/>
      </c>
      <c r="M4351" s="34">
        <f>IF($K4351=1,INDEX(Mensal!$D$2:$D$245,MATCH($I4351,Mensal!$A$2:$A$245,0)),"")</f>
        <v/>
      </c>
      <c r="N4351" s="34">
        <f>IF($K4351=1,L4351-M4351,"")</f>
        <v/>
      </c>
      <c r="O4351" s="34" t="n">
        <v>0.00045513</v>
      </c>
      <c r="P4351" s="34">
        <f>IF($J4351=1,LN(1+O4351),"")</f>
        <v/>
      </c>
      <c r="Q4351" s="34">
        <f>IF($J4351=1,LN(R4352/R4351),"")</f>
        <v/>
      </c>
      <c r="R4351" s="32" t="n">
        <v>4.9219</v>
      </c>
      <c r="S4351" s="35" t="n">
        <v>10.83</v>
      </c>
      <c r="T4351" s="18" t="n">
        <v>120568.14</v>
      </c>
      <c r="U4351" s="18" t="n"/>
      <c r="V4351" s="18" t="n"/>
      <c r="W4351" s="18" t="n"/>
      <c r="X4351" s="35" t="n"/>
      <c r="Y4351" s="35" t="n">
        <v>10.83</v>
      </c>
    </row>
    <row r="4352">
      <c r="A4352" s="25" t="n">
        <v>45243</v>
      </c>
      <c r="B4352" s="18" t="n">
        <v>120410.17</v>
      </c>
      <c r="C4352" s="31" t="n"/>
      <c r="D4352" s="32" t="n"/>
      <c r="E4352" s="33" t="n">
        <v>0.9948</v>
      </c>
      <c r="F4352" t="inlineStr">
        <is>
          <t>Up</t>
        </is>
      </c>
      <c r="G4352" t="inlineStr">
        <is>
          <t>Down</t>
        </is>
      </c>
      <c r="H4352" t="inlineStr">
        <is>
          <t>EU_JD</t>
        </is>
      </c>
      <c r="I4352" t="inlineStr">
        <is>
          <t>2023-11</t>
        </is>
      </c>
      <c r="J4352" t="n">
        <v>1</v>
      </c>
      <c r="K4352" t="n">
        <v>1</v>
      </c>
      <c r="L4352" s="34">
        <f>IF($J4352=1,LN(B4353/B4352),"")</f>
        <v/>
      </c>
      <c r="M4352" s="34">
        <f>IF($K4352=1,INDEX(Mensal!$D$2:$D$245,MATCH($I4352,Mensal!$A$2:$A$245,0)),"")</f>
        <v/>
      </c>
      <c r="N4352" s="34">
        <f>IF($K4352=1,L4352-M4352,"")</f>
        <v/>
      </c>
      <c r="O4352" s="34" t="n">
        <v>0.00045513</v>
      </c>
      <c r="P4352" s="34">
        <f>IF($J4352=1,LN(1+O4352),"")</f>
        <v/>
      </c>
      <c r="Q4352" s="34">
        <f>IF($J4352=1,LN(R4353/R4352),"")</f>
        <v/>
      </c>
      <c r="R4352" s="32" t="n">
        <v>4.9247</v>
      </c>
      <c r="S4352" s="35" t="n">
        <v>10.81</v>
      </c>
      <c r="T4352" s="18" t="n">
        <v>120410.17</v>
      </c>
      <c r="U4352" s="18" t="n"/>
      <c r="V4352" s="18" t="n"/>
      <c r="W4352" s="18" t="n"/>
      <c r="X4352" s="35" t="n"/>
      <c r="Y4352" s="35" t="n">
        <v>10.81</v>
      </c>
    </row>
    <row r="4353">
      <c r="A4353" s="25" t="n">
        <v>45244</v>
      </c>
      <c r="B4353" s="18" t="n">
        <v>123165.76</v>
      </c>
      <c r="C4353" s="31" t="n"/>
      <c r="D4353" s="32" t="n"/>
      <c r="E4353" s="33" t="n">
        <v>1.0013</v>
      </c>
      <c r="F4353" t="inlineStr">
        <is>
          <t>Up</t>
        </is>
      </c>
      <c r="G4353" t="inlineStr">
        <is>
          <t>Down</t>
        </is>
      </c>
      <c r="H4353" t="inlineStr">
        <is>
          <t>EU_JD</t>
        </is>
      </c>
      <c r="I4353" t="inlineStr">
        <is>
          <t>2023-11</t>
        </is>
      </c>
      <c r="J4353" t="n">
        <v>1</v>
      </c>
      <c r="K4353" t="n">
        <v>1</v>
      </c>
      <c r="L4353" s="34">
        <f>IF($J4353=1,LN(B4354/B4353),"")</f>
        <v/>
      </c>
      <c r="M4353" s="34">
        <f>IF($K4353=1,INDEX(Mensal!$D$2:$D$245,MATCH($I4353,Mensal!$A$2:$A$245,0)),"")</f>
        <v/>
      </c>
      <c r="N4353" s="34">
        <f>IF($K4353=1,L4353-M4353,"")</f>
        <v/>
      </c>
      <c r="O4353" s="34" t="n">
        <v>0.00045513</v>
      </c>
      <c r="P4353" s="34">
        <f>IF($J4353=1,LN(1+O4353),"")</f>
        <v/>
      </c>
      <c r="Q4353" s="34">
        <f>IF($J4353=1,LN(R4354/R4353),"")</f>
        <v/>
      </c>
      <c r="R4353" s="32" t="n">
        <v>4.8682</v>
      </c>
      <c r="S4353" s="35" t="n">
        <v>10.65</v>
      </c>
      <c r="T4353" s="18" t="n">
        <v>123165.76</v>
      </c>
      <c r="U4353" s="18" t="n"/>
      <c r="V4353" s="18" t="n"/>
      <c r="W4353" s="18" t="n"/>
      <c r="X4353" s="35" t="n"/>
      <c r="Y4353" s="35" t="n">
        <v>10.65</v>
      </c>
    </row>
    <row r="4354">
      <c r="A4354" s="25" t="n">
        <v>45246</v>
      </c>
      <c r="B4354" s="18" t="n">
        <v>124639.24</v>
      </c>
      <c r="C4354" s="31" t="n"/>
      <c r="D4354" s="32" t="n"/>
      <c r="E4354" s="33" t="n">
        <v>1.0159</v>
      </c>
      <c r="F4354" t="inlineStr">
        <is>
          <t>Up</t>
        </is>
      </c>
      <c r="G4354" t="inlineStr">
        <is>
          <t>Down</t>
        </is>
      </c>
      <c r="H4354" t="inlineStr">
        <is>
          <t>EU_JD</t>
        </is>
      </c>
      <c r="I4354" t="inlineStr">
        <is>
          <t>2023-11</t>
        </is>
      </c>
      <c r="J4354" t="n">
        <v>1</v>
      </c>
      <c r="K4354" t="n">
        <v>1</v>
      </c>
      <c r="L4354" s="34">
        <f>IF($J4354=1,LN(B4355/B4354),"")</f>
        <v/>
      </c>
      <c r="M4354" s="34">
        <f>IF($K4354=1,INDEX(Mensal!$D$2:$D$245,MATCH($I4354,Mensal!$A$2:$A$245,0)),"")</f>
        <v/>
      </c>
      <c r="N4354" s="34">
        <f>IF($K4354=1,L4354-M4354,"")</f>
        <v/>
      </c>
      <c r="O4354" s="34" t="n">
        <v>0.00045513</v>
      </c>
      <c r="P4354" s="34">
        <f>IF($J4354=1,LN(1+O4354),"")</f>
        <v/>
      </c>
      <c r="Q4354" s="34">
        <f>IF($J4354=1,LN(R4355/R4354),"")</f>
        <v/>
      </c>
      <c r="R4354" s="32" t="n">
        <v>4.8575</v>
      </c>
      <c r="S4354" s="35" t="n">
        <v>10.6</v>
      </c>
      <c r="T4354" s="18" t="n">
        <v>124639.24</v>
      </c>
      <c r="U4354" s="18" t="n"/>
      <c r="V4354" s="18" t="n"/>
      <c r="W4354" s="18" t="n"/>
      <c r="X4354" s="35" t="n"/>
      <c r="Y4354" s="35" t="n">
        <v>10.6</v>
      </c>
    </row>
    <row r="4355">
      <c r="A4355" s="25" t="n">
        <v>45247</v>
      </c>
      <c r="B4355" s="18" t="n">
        <v>124773.21</v>
      </c>
      <c r="C4355" s="31" t="n"/>
      <c r="D4355" s="32" t="n"/>
      <c r="E4355" s="33" t="n">
        <v>1.0184</v>
      </c>
      <c r="F4355" t="inlineStr">
        <is>
          <t>Up</t>
        </is>
      </c>
      <c r="G4355" t="inlineStr">
        <is>
          <t>Down</t>
        </is>
      </c>
      <c r="H4355" t="inlineStr">
        <is>
          <t>EU_JD</t>
        </is>
      </c>
      <c r="I4355" t="inlineStr">
        <is>
          <t>2023-11</t>
        </is>
      </c>
      <c r="J4355" t="n">
        <v>1</v>
      </c>
      <c r="K4355" t="n">
        <v>1</v>
      </c>
      <c r="L4355" s="34">
        <f>IF($J4355=1,LN(B4356/B4355),"")</f>
        <v/>
      </c>
      <c r="M4355" s="34">
        <f>IF($K4355=1,INDEX(Mensal!$D$2:$D$245,MATCH($I4355,Mensal!$A$2:$A$245,0)),"")</f>
        <v/>
      </c>
      <c r="N4355" s="34">
        <f>IF($K4355=1,L4355-M4355,"")</f>
        <v/>
      </c>
      <c r="O4355" s="34" t="n">
        <v>0.00045513</v>
      </c>
      <c r="P4355" s="34">
        <f>IF($J4355=1,LN(1+O4355),"")</f>
        <v/>
      </c>
      <c r="Q4355" s="34">
        <f>IF($J4355=1,LN(R4356/R4355),"")</f>
        <v/>
      </c>
      <c r="R4355" s="32" t="n">
        <v>4.8849</v>
      </c>
      <c r="S4355" s="35" t="n">
        <v>10.53</v>
      </c>
      <c r="T4355" s="18" t="n">
        <v>124773.21</v>
      </c>
      <c r="U4355" s="18" t="n"/>
      <c r="V4355" s="18" t="n"/>
      <c r="W4355" s="18" t="n"/>
      <c r="X4355" s="35" t="n"/>
      <c r="Y4355" s="35" t="n">
        <v>10.53</v>
      </c>
    </row>
    <row r="4356">
      <c r="A4356" s="25" t="n">
        <v>45250</v>
      </c>
      <c r="B4356" s="18" t="n">
        <v>125957.06</v>
      </c>
      <c r="C4356" s="31" t="n"/>
      <c r="D4356" s="32" t="n"/>
      <c r="E4356" s="33" t="n">
        <v>1.0245</v>
      </c>
      <c r="F4356" t="inlineStr">
        <is>
          <t>Up</t>
        </is>
      </c>
      <c r="G4356" t="inlineStr">
        <is>
          <t>Down</t>
        </is>
      </c>
      <c r="H4356" t="inlineStr">
        <is>
          <t>EU_JD</t>
        </is>
      </c>
      <c r="I4356" t="inlineStr">
        <is>
          <t>2023-11</t>
        </is>
      </c>
      <c r="J4356" t="n">
        <v>1</v>
      </c>
      <c r="K4356" t="n">
        <v>1</v>
      </c>
      <c r="L4356" s="34">
        <f>IF($J4356=1,LN(B4357/B4356),"")</f>
        <v/>
      </c>
      <c r="M4356" s="34">
        <f>IF($K4356=1,INDEX(Mensal!$D$2:$D$245,MATCH($I4356,Mensal!$A$2:$A$245,0)),"")</f>
        <v/>
      </c>
      <c r="N4356" s="34">
        <f>IF($K4356=1,L4356-M4356,"")</f>
        <v/>
      </c>
      <c r="O4356" s="34" t="n">
        <v>0.00045513</v>
      </c>
      <c r="P4356" s="34">
        <f>IF($J4356=1,LN(1+O4356),"")</f>
        <v/>
      </c>
      <c r="Q4356" s="34">
        <f>IF($J4356=1,LN(R4357/R4356),"")</f>
        <v/>
      </c>
      <c r="R4356" s="32" t="n">
        <v>4.8723</v>
      </c>
      <c r="S4356" s="35" t="n">
        <v>10.56</v>
      </c>
      <c r="T4356" s="18" t="n">
        <v>125957.06</v>
      </c>
      <c r="U4356" s="18" t="n"/>
      <c r="V4356" s="18" t="n"/>
      <c r="W4356" s="18" t="n"/>
      <c r="X4356" s="35" t="n"/>
      <c r="Y4356" s="35" t="n">
        <v>10.56</v>
      </c>
    </row>
    <row r="4357">
      <c r="A4357" s="25" t="n">
        <v>45251</v>
      </c>
      <c r="B4357" s="18" t="n">
        <v>125626.03</v>
      </c>
      <c r="C4357" s="31" t="n"/>
      <c r="D4357" s="32" t="n"/>
      <c r="E4357" s="33" t="n">
        <v>1.0339</v>
      </c>
      <c r="F4357" t="inlineStr">
        <is>
          <t>Up</t>
        </is>
      </c>
      <c r="G4357" t="inlineStr">
        <is>
          <t>Down</t>
        </is>
      </c>
      <c r="H4357" t="inlineStr">
        <is>
          <t>EU_JD</t>
        </is>
      </c>
      <c r="I4357" t="inlineStr">
        <is>
          <t>2023-11</t>
        </is>
      </c>
      <c r="J4357" t="n">
        <v>1</v>
      </c>
      <c r="K4357" t="n">
        <v>1</v>
      </c>
      <c r="L4357" s="34">
        <f>IF($J4357=1,LN(B4358/B4357),"")</f>
        <v/>
      </c>
      <c r="M4357" s="34">
        <f>IF($K4357=1,INDEX(Mensal!$D$2:$D$245,MATCH($I4357,Mensal!$A$2:$A$245,0)),"")</f>
        <v/>
      </c>
      <c r="N4357" s="34">
        <f>IF($K4357=1,L4357-M4357,"")</f>
        <v/>
      </c>
      <c r="O4357" s="34" t="n">
        <v>0.00045513</v>
      </c>
      <c r="P4357" s="34">
        <f>IF($J4357=1,LN(1+O4357),"")</f>
        <v/>
      </c>
      <c r="Q4357" s="34">
        <f>IF($J4357=1,LN(R4358/R4357),"")</f>
        <v/>
      </c>
      <c r="R4357" s="32" t="n">
        <v>4.8806</v>
      </c>
      <c r="S4357" s="35" t="n">
        <v>10.65</v>
      </c>
      <c r="T4357" s="18" t="n">
        <v>125626.03</v>
      </c>
      <c r="U4357" s="18" t="n"/>
      <c r="V4357" s="18" t="n"/>
      <c r="W4357" s="18" t="n"/>
      <c r="X4357" s="35" t="n"/>
      <c r="Y4357" s="35" t="n">
        <v>10.65</v>
      </c>
    </row>
    <row r="4358">
      <c r="A4358" s="25" t="n">
        <v>45252</v>
      </c>
      <c r="B4358" s="18" t="n">
        <v>126035.3</v>
      </c>
      <c r="C4358" s="31" t="n"/>
      <c r="D4358" s="32" t="n"/>
      <c r="E4358" s="33" t="n">
        <v>1.0585</v>
      </c>
      <c r="F4358" t="inlineStr">
        <is>
          <t>Up</t>
        </is>
      </c>
      <c r="G4358" t="inlineStr">
        <is>
          <t>Down</t>
        </is>
      </c>
      <c r="H4358" t="inlineStr">
        <is>
          <t>EU_JD</t>
        </is>
      </c>
      <c r="I4358" t="inlineStr">
        <is>
          <t>2023-11</t>
        </is>
      </c>
      <c r="J4358" t="n">
        <v>1</v>
      </c>
      <c r="K4358" t="n">
        <v>1</v>
      </c>
      <c r="L4358" s="34">
        <f>IF($J4358=1,LN(B4359/B4358),"")</f>
        <v/>
      </c>
      <c r="M4358" s="34">
        <f>IF($K4358=1,INDEX(Mensal!$D$2:$D$245,MATCH($I4358,Mensal!$A$2:$A$245,0)),"")</f>
        <v/>
      </c>
      <c r="N4358" s="34">
        <f>IF($K4358=1,L4358-M4358,"")</f>
        <v/>
      </c>
      <c r="O4358" s="34" t="n">
        <v>0.00045513</v>
      </c>
      <c r="P4358" s="34">
        <f>IF($J4358=1,LN(1+O4358),"")</f>
        <v/>
      </c>
      <c r="Q4358" s="34">
        <f>IF($J4358=1,LN(R4359/R4358),"")</f>
        <v/>
      </c>
      <c r="R4358" s="32" t="n">
        <v>4.8968</v>
      </c>
      <c r="S4358" s="35" t="n">
        <v>10.58</v>
      </c>
      <c r="T4358" s="18" t="n">
        <v>126035.3</v>
      </c>
      <c r="U4358" s="18" t="n"/>
      <c r="V4358" s="18" t="n"/>
      <c r="W4358" s="18" t="n"/>
      <c r="X4358" s="35" t="n"/>
      <c r="Y4358" s="35" t="n">
        <v>10.58</v>
      </c>
    </row>
    <row r="4359">
      <c r="A4359" s="25" t="n">
        <v>45253</v>
      </c>
      <c r="B4359" s="18" t="n">
        <v>126575.75</v>
      </c>
      <c r="C4359" s="31" t="n"/>
      <c r="D4359" s="32" t="n"/>
      <c r="E4359" s="33" t="n">
        <v>1.0869</v>
      </c>
      <c r="F4359" t="inlineStr">
        <is>
          <t>Up</t>
        </is>
      </c>
      <c r="G4359" t="inlineStr">
        <is>
          <t>Down</t>
        </is>
      </c>
      <c r="H4359" t="inlineStr">
        <is>
          <t>EU_JD</t>
        </is>
      </c>
      <c r="I4359" t="inlineStr">
        <is>
          <t>2023-11</t>
        </is>
      </c>
      <c r="J4359" t="n">
        <v>1</v>
      </c>
      <c r="K4359" t="n">
        <v>1</v>
      </c>
      <c r="L4359" s="34">
        <f>IF($J4359=1,LN(B4360/B4359),"")</f>
        <v/>
      </c>
      <c r="M4359" s="34">
        <f>IF($K4359=1,INDEX(Mensal!$D$2:$D$245,MATCH($I4359,Mensal!$A$2:$A$245,0)),"")</f>
        <v/>
      </c>
      <c r="N4359" s="34">
        <f>IF($K4359=1,L4359-M4359,"")</f>
        <v/>
      </c>
      <c r="O4359" s="34" t="n">
        <v>0.00045513</v>
      </c>
      <c r="P4359" s="34">
        <f>IF($J4359=1,LN(1+O4359),"")</f>
        <v/>
      </c>
      <c r="Q4359" s="34">
        <f>IF($J4359=1,LN(R4360/R4359),"")</f>
        <v/>
      </c>
      <c r="R4359" s="32" t="n">
        <v>4.8931</v>
      </c>
      <c r="S4359" s="35" t="n">
        <v>10.58</v>
      </c>
      <c r="T4359" s="18" t="n">
        <v>126575.75</v>
      </c>
      <c r="U4359" s="18" t="n"/>
      <c r="V4359" s="18" t="n"/>
      <c r="W4359" s="18" t="n"/>
      <c r="X4359" s="35" t="n"/>
      <c r="Y4359" s="35" t="n">
        <v>10.58</v>
      </c>
    </row>
    <row r="4360">
      <c r="A4360" s="25" t="n">
        <v>45254</v>
      </c>
      <c r="B4360" s="18" t="n">
        <v>125517.27</v>
      </c>
      <c r="C4360" s="31" t="n"/>
      <c r="D4360" s="32" t="n"/>
      <c r="E4360" s="33" t="n">
        <v>1.1144</v>
      </c>
      <c r="F4360" t="inlineStr">
        <is>
          <t>Up</t>
        </is>
      </c>
      <c r="G4360" t="inlineStr">
        <is>
          <t>Down</t>
        </is>
      </c>
      <c r="H4360" t="inlineStr">
        <is>
          <t>EU_JD</t>
        </is>
      </c>
      <c r="I4360" t="inlineStr">
        <is>
          <t>2023-11</t>
        </is>
      </c>
      <c r="J4360" t="n">
        <v>1</v>
      </c>
      <c r="K4360" t="n">
        <v>1</v>
      </c>
      <c r="L4360" s="34">
        <f>IF($J4360=1,LN(B4361/B4360),"")</f>
        <v/>
      </c>
      <c r="M4360" s="34">
        <f>IF($K4360=1,INDEX(Mensal!$D$2:$D$245,MATCH($I4360,Mensal!$A$2:$A$245,0)),"")</f>
        <v/>
      </c>
      <c r="N4360" s="34">
        <f>IF($K4360=1,L4360-M4360,"")</f>
        <v/>
      </c>
      <c r="O4360" s="34" t="n">
        <v>0.00045513</v>
      </c>
      <c r="P4360" s="34">
        <f>IF($J4360=1,LN(1+O4360),"")</f>
        <v/>
      </c>
      <c r="Q4360" s="34">
        <f>IF($J4360=1,LN(R4361/R4360),"")</f>
        <v/>
      </c>
      <c r="R4360" s="32" t="n">
        <v>4.8927</v>
      </c>
      <c r="S4360" s="35" t="n">
        <v>10.53</v>
      </c>
      <c r="T4360" s="18" t="n">
        <v>125517.27</v>
      </c>
      <c r="U4360" s="18" t="n"/>
      <c r="V4360" s="18" t="n"/>
      <c r="W4360" s="18" t="n"/>
      <c r="X4360" s="35" t="n"/>
      <c r="Y4360" s="35" t="n">
        <v>10.53</v>
      </c>
    </row>
    <row r="4361">
      <c r="A4361" s="25" t="n">
        <v>45257</v>
      </c>
      <c r="B4361" s="18" t="n">
        <v>125731.45</v>
      </c>
      <c r="C4361" s="31" t="n"/>
      <c r="D4361" s="32" t="n"/>
      <c r="E4361" s="33" t="n">
        <v>1.1449</v>
      </c>
      <c r="F4361" t="inlineStr">
        <is>
          <t>Up</t>
        </is>
      </c>
      <c r="G4361" t="inlineStr">
        <is>
          <t>Down</t>
        </is>
      </c>
      <c r="H4361" t="inlineStr">
        <is>
          <t>EU_JD</t>
        </is>
      </c>
      <c r="I4361" t="inlineStr">
        <is>
          <t>2023-11</t>
        </is>
      </c>
      <c r="J4361" t="n">
        <v>1</v>
      </c>
      <c r="K4361" t="n">
        <v>1</v>
      </c>
      <c r="L4361" s="34">
        <f>IF($J4361=1,LN(B4362/B4361),"")</f>
        <v/>
      </c>
      <c r="M4361" s="34">
        <f>IF($K4361=1,INDEX(Mensal!$D$2:$D$245,MATCH($I4361,Mensal!$A$2:$A$245,0)),"")</f>
        <v/>
      </c>
      <c r="N4361" s="34">
        <f>IF($K4361=1,L4361-M4361,"")</f>
        <v/>
      </c>
      <c r="O4361" s="34" t="n">
        <v>0.00045513</v>
      </c>
      <c r="P4361" s="34">
        <f>IF($J4361=1,LN(1+O4361),"")</f>
        <v/>
      </c>
      <c r="Q4361" s="34">
        <f>IF($J4361=1,LN(R4362/R4361),"")</f>
        <v/>
      </c>
      <c r="R4361" s="32" t="n">
        <v>4.8951</v>
      </c>
      <c r="S4361" s="35" t="n">
        <v>10.49</v>
      </c>
      <c r="T4361" s="18" t="n">
        <v>125731.45</v>
      </c>
      <c r="U4361" s="18" t="n"/>
      <c r="V4361" s="18" t="n"/>
      <c r="W4361" s="18" t="n"/>
      <c r="X4361" s="35" t="n"/>
      <c r="Y4361" s="35" t="n">
        <v>10.49</v>
      </c>
    </row>
    <row r="4362">
      <c r="A4362" s="25" t="n">
        <v>45258</v>
      </c>
      <c r="B4362" s="18" t="n">
        <v>126538.32</v>
      </c>
      <c r="C4362" s="31" t="n"/>
      <c r="D4362" s="32" t="n"/>
      <c r="E4362" s="33" t="n">
        <v>1.1806</v>
      </c>
      <c r="F4362" t="inlineStr">
        <is>
          <t>Up</t>
        </is>
      </c>
      <c r="G4362" t="inlineStr">
        <is>
          <t>Down</t>
        </is>
      </c>
      <c r="H4362" t="inlineStr">
        <is>
          <t>EU_JD</t>
        </is>
      </c>
      <c r="I4362" t="inlineStr">
        <is>
          <t>2023-11</t>
        </is>
      </c>
      <c r="J4362" t="n">
        <v>1</v>
      </c>
      <c r="K4362" t="n">
        <v>1</v>
      </c>
      <c r="L4362" s="34">
        <f>IF($J4362=1,LN(B4363/B4362),"")</f>
        <v/>
      </c>
      <c r="M4362" s="34">
        <f>IF($K4362=1,INDEX(Mensal!$D$2:$D$245,MATCH($I4362,Mensal!$A$2:$A$245,0)),"")</f>
        <v/>
      </c>
      <c r="N4362" s="34">
        <f>IF($K4362=1,L4362-M4362,"")</f>
        <v/>
      </c>
      <c r="O4362" s="34" t="n">
        <v>0.00045513</v>
      </c>
      <c r="P4362" s="34">
        <f>IF($J4362=1,LN(1+O4362),"")</f>
        <v/>
      </c>
      <c r="Q4362" s="34">
        <f>IF($J4362=1,LN(R4363/R4362),"")</f>
        <v/>
      </c>
      <c r="R4362" s="32" t="n">
        <v>4.8867</v>
      </c>
      <c r="S4362" s="35" t="n">
        <v>10.5</v>
      </c>
      <c r="T4362" s="18" t="n">
        <v>126538.32</v>
      </c>
      <c r="U4362" s="18" t="n"/>
      <c r="V4362" s="18" t="n"/>
      <c r="W4362" s="18" t="n"/>
      <c r="X4362" s="35" t="n"/>
      <c r="Y4362" s="35" t="n">
        <v>10.5</v>
      </c>
    </row>
    <row r="4363">
      <c r="A4363" s="25" t="n">
        <v>45259</v>
      </c>
      <c r="B4363" s="18" t="n">
        <v>126165.64</v>
      </c>
      <c r="C4363" s="31" t="n"/>
      <c r="D4363" s="32" t="n"/>
      <c r="E4363" s="33" t="n">
        <v>1.2137</v>
      </c>
      <c r="F4363" t="inlineStr">
        <is>
          <t>Up</t>
        </is>
      </c>
      <c r="G4363" t="inlineStr">
        <is>
          <t>Down</t>
        </is>
      </c>
      <c r="H4363" t="inlineStr">
        <is>
          <t>EU_JD</t>
        </is>
      </c>
      <c r="I4363" t="inlineStr">
        <is>
          <t>2023-11</t>
        </is>
      </c>
      <c r="J4363" t="n">
        <v>1</v>
      </c>
      <c r="K4363" t="n">
        <v>1</v>
      </c>
      <c r="L4363" s="34">
        <f>IF($J4363=1,LN(B4364/B4363),"")</f>
        <v/>
      </c>
      <c r="M4363" s="34">
        <f>IF($K4363=1,INDEX(Mensal!$D$2:$D$245,MATCH($I4363,Mensal!$A$2:$A$245,0)),"")</f>
        <v/>
      </c>
      <c r="N4363" s="34">
        <f>IF($K4363=1,L4363-M4363,"")</f>
        <v/>
      </c>
      <c r="O4363" s="34" t="n">
        <v>0.00045513</v>
      </c>
      <c r="P4363" s="34">
        <f>IF($J4363=1,LN(1+O4363),"")</f>
        <v/>
      </c>
      <c r="Q4363" s="34">
        <f>IF($J4363=1,LN(R4364/R4363),"")</f>
        <v/>
      </c>
      <c r="R4363" s="32" t="n">
        <v>4.8933</v>
      </c>
      <c r="S4363" s="35" t="n">
        <v>10.5</v>
      </c>
      <c r="T4363" s="18" t="n">
        <v>126165.64</v>
      </c>
      <c r="U4363" s="18" t="n"/>
      <c r="V4363" s="18" t="n"/>
      <c r="W4363" s="18" t="n"/>
      <c r="X4363" s="35" t="n"/>
      <c r="Y4363" s="35" t="n">
        <v>10.5</v>
      </c>
    </row>
    <row r="4364">
      <c r="A4364" s="25" t="n">
        <v>45260</v>
      </c>
      <c r="B4364" s="18" t="n">
        <v>127331.12</v>
      </c>
      <c r="C4364" s="31" t="n"/>
      <c r="D4364" s="32" t="n"/>
      <c r="E4364" s="33" t="n">
        <v>1.2401</v>
      </c>
      <c r="F4364" t="inlineStr">
        <is>
          <t>Up</t>
        </is>
      </c>
      <c r="G4364" t="inlineStr">
        <is>
          <t>Down</t>
        </is>
      </c>
      <c r="H4364" t="inlineStr">
        <is>
          <t>EU_JD</t>
        </is>
      </c>
      <c r="I4364" t="inlineStr">
        <is>
          <t>2023-11</t>
        </is>
      </c>
      <c r="J4364" t="n">
        <v>1</v>
      </c>
      <c r="K4364" t="n">
        <v>1</v>
      </c>
      <c r="L4364" s="34">
        <f>IF($J4364=1,LN(B4365/B4364),"")</f>
        <v/>
      </c>
      <c r="M4364" s="34">
        <f>IF($K4364=1,INDEX(Mensal!$D$2:$D$245,MATCH($I4364,Mensal!$A$2:$A$245,0)),"")</f>
        <v/>
      </c>
      <c r="N4364" s="34">
        <f>IF($K4364=1,L4364-M4364,"")</f>
        <v/>
      </c>
      <c r="O4364" s="34" t="n">
        <v>0.00045513</v>
      </c>
      <c r="P4364" s="34">
        <f>IF($J4364=1,LN(1+O4364),"")</f>
        <v/>
      </c>
      <c r="Q4364" s="34">
        <f>IF($J4364=1,LN(R4365/R4364),"")</f>
        <v/>
      </c>
      <c r="R4364" s="32" t="n">
        <v>4.9355</v>
      </c>
      <c r="S4364" s="35" t="n">
        <v>10.41</v>
      </c>
      <c r="T4364" s="18" t="n">
        <v>127331.12</v>
      </c>
      <c r="U4364" s="18" t="n"/>
      <c r="V4364" s="18" t="n"/>
      <c r="W4364" s="18" t="n"/>
      <c r="X4364" s="35" t="n"/>
      <c r="Y4364" s="35" t="n">
        <v>10.41</v>
      </c>
    </row>
    <row r="4365">
      <c r="A4365" s="25" t="n">
        <v>45261</v>
      </c>
      <c r="B4365" s="18" t="n">
        <v>128184.91</v>
      </c>
      <c r="C4365" s="31" t="n"/>
      <c r="D4365" s="32" t="n"/>
      <c r="E4365" s="33" t="n">
        <v>1.2637</v>
      </c>
      <c r="F4365" t="inlineStr">
        <is>
          <t>Up</t>
        </is>
      </c>
      <c r="G4365" t="inlineStr">
        <is>
          <t>Down</t>
        </is>
      </c>
      <c r="H4365" t="inlineStr">
        <is>
          <t>EU_JD</t>
        </is>
      </c>
      <c r="I4365" t="inlineStr">
        <is>
          <t>2023-12</t>
        </is>
      </c>
      <c r="J4365" t="n">
        <v>1</v>
      </c>
      <c r="K4365" t="n">
        <v>1</v>
      </c>
      <c r="L4365" s="34">
        <f>IF($J4365=1,LN(B4366/B4365),"")</f>
        <v/>
      </c>
      <c r="M4365" s="34">
        <f>IF($K4365=1,INDEX(Mensal!$D$2:$D$245,MATCH($I4365,Mensal!$A$2:$A$245,0)),"")</f>
        <v/>
      </c>
      <c r="N4365" s="34">
        <f>IF($K4365=1,L4365-M4365,"")</f>
        <v/>
      </c>
      <c r="O4365" s="34" t="n">
        <v>0.00045513</v>
      </c>
      <c r="P4365" s="34">
        <f>IF($J4365=1,LN(1+O4365),"")</f>
        <v/>
      </c>
      <c r="Q4365" s="34">
        <f>IF($J4365=1,LN(R4366/R4365),"")</f>
        <v/>
      </c>
      <c r="R4365" s="32" t="n">
        <v>4.9191</v>
      </c>
      <c r="S4365" s="35" t="n">
        <v>10.37</v>
      </c>
      <c r="T4365" s="18" t="n">
        <v>128184.91</v>
      </c>
      <c r="U4365" s="18" t="n"/>
      <c r="V4365" s="18" t="n"/>
      <c r="W4365" s="18" t="n"/>
      <c r="X4365" s="35" t="n"/>
      <c r="Y4365" s="35" t="n">
        <v>10.37</v>
      </c>
    </row>
    <row r="4366">
      <c r="A4366" s="25" t="n">
        <v>45264</v>
      </c>
      <c r="B4366" s="18" t="n">
        <v>126802.79</v>
      </c>
      <c r="C4366" s="31" t="n"/>
      <c r="D4366" s="32" t="n"/>
      <c r="E4366" s="33" t="n">
        <v>1.2839</v>
      </c>
      <c r="F4366" t="inlineStr">
        <is>
          <t>Up</t>
        </is>
      </c>
      <c r="G4366" t="inlineStr">
        <is>
          <t>Down</t>
        </is>
      </c>
      <c r="H4366" t="inlineStr">
        <is>
          <t>EU_JD</t>
        </is>
      </c>
      <c r="I4366" t="inlineStr">
        <is>
          <t>2023-12</t>
        </is>
      </c>
      <c r="J4366" t="n">
        <v>1</v>
      </c>
      <c r="K4366" t="n">
        <v>1</v>
      </c>
      <c r="L4366" s="34">
        <f>IF($J4366=1,LN(B4367/B4366),"")</f>
        <v/>
      </c>
      <c r="M4366" s="34">
        <f>IF($K4366=1,INDEX(Mensal!$D$2:$D$245,MATCH($I4366,Mensal!$A$2:$A$245,0)),"")</f>
        <v/>
      </c>
      <c r="N4366" s="34">
        <f>IF($K4366=1,L4366-M4366,"")</f>
        <v/>
      </c>
      <c r="O4366" s="34" t="n">
        <v>0.00045513</v>
      </c>
      <c r="P4366" s="34">
        <f>IF($J4366=1,LN(1+O4366),"")</f>
        <v/>
      </c>
      <c r="Q4366" s="34">
        <f>IF($J4366=1,LN(R4367/R4366),"")</f>
        <v/>
      </c>
      <c r="R4366" s="32" t="n">
        <v>4.9091</v>
      </c>
      <c r="S4366" s="35" t="n">
        <v>10.41</v>
      </c>
      <c r="T4366" s="18" t="n">
        <v>126802.79</v>
      </c>
      <c r="U4366" s="18" t="n"/>
      <c r="V4366" s="18" t="n"/>
      <c r="W4366" s="18" t="n"/>
      <c r="X4366" s="35" t="n"/>
      <c r="Y4366" s="35" t="n">
        <v>10.41</v>
      </c>
    </row>
    <row r="4367">
      <c r="A4367" s="25" t="n">
        <v>45265</v>
      </c>
      <c r="B4367" s="18" t="n">
        <v>126903.25</v>
      </c>
      <c r="C4367" s="31" t="n"/>
      <c r="D4367" s="32" t="n"/>
      <c r="E4367" s="33" t="n">
        <v>1.3065</v>
      </c>
      <c r="F4367" t="inlineStr">
        <is>
          <t>Up</t>
        </is>
      </c>
      <c r="G4367" t="inlineStr">
        <is>
          <t>Down</t>
        </is>
      </c>
      <c r="H4367" t="inlineStr">
        <is>
          <t>EU_JD</t>
        </is>
      </c>
      <c r="I4367" t="inlineStr">
        <is>
          <t>2023-12</t>
        </is>
      </c>
      <c r="J4367" t="n">
        <v>1</v>
      </c>
      <c r="K4367" t="n">
        <v>1</v>
      </c>
      <c r="L4367" s="34">
        <f>IF($J4367=1,LN(B4368/B4367),"")</f>
        <v/>
      </c>
      <c r="M4367" s="34">
        <f>IF($K4367=1,INDEX(Mensal!$D$2:$D$245,MATCH($I4367,Mensal!$A$2:$A$245,0)),"")</f>
        <v/>
      </c>
      <c r="N4367" s="34">
        <f>IF($K4367=1,L4367-M4367,"")</f>
        <v/>
      </c>
      <c r="O4367" s="34" t="n">
        <v>0.00045513</v>
      </c>
      <c r="P4367" s="34">
        <f>IF($J4367=1,LN(1+O4367),"")</f>
        <v/>
      </c>
      <c r="Q4367" s="34">
        <f>IF($J4367=1,LN(R4368/R4367),"")</f>
        <v/>
      </c>
      <c r="R4367" s="32" t="n">
        <v>4.9522</v>
      </c>
      <c r="S4367" s="35" t="n">
        <v>10.46</v>
      </c>
      <c r="T4367" s="18" t="n">
        <v>126903.25</v>
      </c>
      <c r="U4367" s="18" t="n"/>
      <c r="V4367" s="18" t="n"/>
      <c r="W4367" s="18" t="n"/>
      <c r="X4367" s="35" t="n"/>
      <c r="Y4367" s="35" t="n">
        <v>10.46</v>
      </c>
    </row>
    <row r="4368">
      <c r="A4368" s="25" t="n">
        <v>45266</v>
      </c>
      <c r="B4368" s="18" t="n">
        <v>125622.65</v>
      </c>
      <c r="C4368" s="31" t="n"/>
      <c r="D4368" s="32" t="n"/>
      <c r="E4368" s="33" t="n">
        <v>1.3189</v>
      </c>
      <c r="F4368" t="inlineStr">
        <is>
          <t>Up</t>
        </is>
      </c>
      <c r="G4368" t="inlineStr">
        <is>
          <t>Down</t>
        </is>
      </c>
      <c r="H4368" t="inlineStr">
        <is>
          <t>EU_JD</t>
        </is>
      </c>
      <c r="I4368" t="inlineStr">
        <is>
          <t>2023-12</t>
        </is>
      </c>
      <c r="J4368" t="n">
        <v>1</v>
      </c>
      <c r="K4368" t="n">
        <v>1</v>
      </c>
      <c r="L4368" s="34">
        <f>IF($J4368=1,LN(B4369/B4368),"")</f>
        <v/>
      </c>
      <c r="M4368" s="34">
        <f>IF($K4368=1,INDEX(Mensal!$D$2:$D$245,MATCH($I4368,Mensal!$A$2:$A$245,0)),"")</f>
        <v/>
      </c>
      <c r="N4368" s="34">
        <f>IF($K4368=1,L4368-M4368,"")</f>
        <v/>
      </c>
      <c r="O4368" s="34" t="n">
        <v>0.00045513</v>
      </c>
      <c r="P4368" s="34">
        <f>IF($J4368=1,LN(1+O4368),"")</f>
        <v/>
      </c>
      <c r="Q4368" s="34">
        <f>IF($J4368=1,LN(R4369/R4368),"")</f>
        <v/>
      </c>
      <c r="R4368" s="32" t="n">
        <v>4.9031</v>
      </c>
      <c r="S4368" s="35" t="n">
        <v>10.41</v>
      </c>
      <c r="T4368" s="18" t="n">
        <v>125622.65</v>
      </c>
      <c r="U4368" s="18" t="n"/>
      <c r="V4368" s="18" t="n"/>
      <c r="W4368" s="18" t="n"/>
      <c r="X4368" s="35" t="n"/>
      <c r="Y4368" s="35" t="n">
        <v>10.41</v>
      </c>
    </row>
    <row r="4369">
      <c r="A4369" s="25" t="n">
        <v>45267</v>
      </c>
      <c r="B4369" s="18" t="n">
        <v>126009.57</v>
      </c>
      <c r="C4369" s="31" t="n"/>
      <c r="D4369" s="32" t="n"/>
      <c r="E4369" s="33" t="n">
        <v>1.327</v>
      </c>
      <c r="F4369" t="inlineStr">
        <is>
          <t>Up</t>
        </is>
      </c>
      <c r="G4369" t="inlineStr">
        <is>
          <t>Down</t>
        </is>
      </c>
      <c r="H4369" t="inlineStr">
        <is>
          <t>EU_JD</t>
        </is>
      </c>
      <c r="I4369" t="inlineStr">
        <is>
          <t>2023-12</t>
        </is>
      </c>
      <c r="J4369" t="n">
        <v>1</v>
      </c>
      <c r="K4369" t="n">
        <v>1</v>
      </c>
      <c r="L4369" s="34">
        <f>IF($J4369=1,LN(B4370/B4369),"")</f>
        <v/>
      </c>
      <c r="M4369" s="34">
        <f>IF($K4369=1,INDEX(Mensal!$D$2:$D$245,MATCH($I4369,Mensal!$A$2:$A$245,0)),"")</f>
        <v/>
      </c>
      <c r="N4369" s="34">
        <f>IF($K4369=1,L4369-M4369,"")</f>
        <v/>
      </c>
      <c r="O4369" s="34" t="n">
        <v>0.00045513</v>
      </c>
      <c r="P4369" s="34">
        <f>IF($J4369=1,LN(1+O4369),"")</f>
        <v/>
      </c>
      <c r="Q4369" s="34">
        <f>IF($J4369=1,LN(R4370/R4369),"")</f>
        <v/>
      </c>
      <c r="R4369" s="32" t="n">
        <v>4.8949</v>
      </c>
      <c r="S4369" s="35" t="n">
        <v>10.38</v>
      </c>
      <c r="T4369" s="18" t="n">
        <v>126009.57</v>
      </c>
      <c r="U4369" s="18" t="n"/>
      <c r="V4369" s="18" t="n"/>
      <c r="W4369" s="18" t="n"/>
      <c r="X4369" s="35" t="n"/>
      <c r="Y4369" s="35" t="n">
        <v>10.38</v>
      </c>
    </row>
    <row r="4370">
      <c r="A4370" s="25" t="n">
        <v>45268</v>
      </c>
      <c r="B4370" s="18" t="n">
        <v>127093.57</v>
      </c>
      <c r="C4370" s="31" t="n"/>
      <c r="D4370" s="32" t="n"/>
      <c r="E4370" s="33" t="n">
        <v>1.3317</v>
      </c>
      <c r="F4370" t="inlineStr">
        <is>
          <t>Up</t>
        </is>
      </c>
      <c r="G4370" t="inlineStr">
        <is>
          <t>Down</t>
        </is>
      </c>
      <c r="H4370" t="inlineStr">
        <is>
          <t>EU_JD</t>
        </is>
      </c>
      <c r="I4370" t="inlineStr">
        <is>
          <t>2023-12</t>
        </is>
      </c>
      <c r="J4370" t="n">
        <v>1</v>
      </c>
      <c r="K4370" t="n">
        <v>1</v>
      </c>
      <c r="L4370" s="34">
        <f>IF($J4370=1,LN(B4371/B4370),"")</f>
        <v/>
      </c>
      <c r="M4370" s="34">
        <f>IF($K4370=1,INDEX(Mensal!$D$2:$D$245,MATCH($I4370,Mensal!$A$2:$A$245,0)),"")</f>
        <v/>
      </c>
      <c r="N4370" s="34">
        <f>IF($K4370=1,L4370-M4370,"")</f>
        <v/>
      </c>
      <c r="O4370" s="34" t="n">
        <v>0.00045513</v>
      </c>
      <c r="P4370" s="34">
        <f>IF($J4370=1,LN(1+O4370),"")</f>
        <v/>
      </c>
      <c r="Q4370" s="34">
        <f>IF($J4370=1,LN(R4371/R4370),"")</f>
        <v/>
      </c>
      <c r="R4370" s="32" t="n">
        <v>4.9158</v>
      </c>
      <c r="S4370" s="35" t="n">
        <v>10.42</v>
      </c>
      <c r="T4370" s="18" t="n">
        <v>127093.57</v>
      </c>
      <c r="U4370" s="18" t="n"/>
      <c r="V4370" s="18" t="n"/>
      <c r="W4370" s="18" t="n"/>
      <c r="X4370" s="35" t="n"/>
      <c r="Y4370" s="35" t="n">
        <v>10.42</v>
      </c>
    </row>
    <row r="4371">
      <c r="A4371" s="25" t="n">
        <v>45271</v>
      </c>
      <c r="B4371" s="18" t="n">
        <v>126916.41</v>
      </c>
      <c r="C4371" s="31" t="n"/>
      <c r="D4371" s="32" t="n"/>
      <c r="E4371" s="33" t="n">
        <v>1.3358</v>
      </c>
      <c r="F4371" t="inlineStr">
        <is>
          <t>Up</t>
        </is>
      </c>
      <c r="G4371" t="inlineStr">
        <is>
          <t>Down</t>
        </is>
      </c>
      <c r="H4371" t="inlineStr">
        <is>
          <t>EU_JD</t>
        </is>
      </c>
      <c r="I4371" t="inlineStr">
        <is>
          <t>2023-12</t>
        </is>
      </c>
      <c r="J4371" t="n">
        <v>1</v>
      </c>
      <c r="K4371" t="n">
        <v>1</v>
      </c>
      <c r="L4371" s="34">
        <f>IF($J4371=1,LN(B4372/B4371),"")</f>
        <v/>
      </c>
      <c r="M4371" s="34">
        <f>IF($K4371=1,INDEX(Mensal!$D$2:$D$245,MATCH($I4371,Mensal!$A$2:$A$245,0)),"")</f>
        <v/>
      </c>
      <c r="N4371" s="34">
        <f>IF($K4371=1,L4371-M4371,"")</f>
        <v/>
      </c>
      <c r="O4371" s="34" t="n">
        <v>0.00045513</v>
      </c>
      <c r="P4371" s="34">
        <f>IF($J4371=1,LN(1+O4371),"")</f>
        <v/>
      </c>
      <c r="Q4371" s="34">
        <f>IF($J4371=1,LN(R4372/R4371),"")</f>
        <v/>
      </c>
      <c r="R4371" s="32" t="n">
        <v>4.944</v>
      </c>
      <c r="S4371" s="35" t="n">
        <v>10.39</v>
      </c>
      <c r="T4371" s="18" t="n">
        <v>126916.41</v>
      </c>
      <c r="U4371" s="18" t="n"/>
      <c r="V4371" s="18" t="n"/>
      <c r="W4371" s="18" t="n"/>
      <c r="X4371" s="35" t="n"/>
      <c r="Y4371" s="35" t="n">
        <v>10.39</v>
      </c>
    </row>
    <row r="4372">
      <c r="A4372" s="25" t="n">
        <v>45272</v>
      </c>
      <c r="B4372" s="18" t="n">
        <v>126403.03</v>
      </c>
      <c r="C4372" s="31" t="n"/>
      <c r="D4372" s="32" t="n"/>
      <c r="E4372" s="33" t="n">
        <v>1.338</v>
      </c>
      <c r="F4372" t="inlineStr">
        <is>
          <t>Up</t>
        </is>
      </c>
      <c r="G4372" t="inlineStr">
        <is>
          <t>Down</t>
        </is>
      </c>
      <c r="H4372" t="inlineStr">
        <is>
          <t>EU_JD</t>
        </is>
      </c>
      <c r="I4372" t="inlineStr">
        <is>
          <t>2023-12</t>
        </is>
      </c>
      <c r="J4372" t="n">
        <v>1</v>
      </c>
      <c r="K4372" t="n">
        <v>1</v>
      </c>
      <c r="L4372" s="34">
        <f>IF($J4372=1,LN(B4373/B4372),"")</f>
        <v/>
      </c>
      <c r="M4372" s="34">
        <f>IF($K4372=1,INDEX(Mensal!$D$2:$D$245,MATCH($I4372,Mensal!$A$2:$A$245,0)),"")</f>
        <v/>
      </c>
      <c r="N4372" s="34">
        <f>IF($K4372=1,L4372-M4372,"")</f>
        <v/>
      </c>
      <c r="O4372" s="34" t="n">
        <v>0.00045513</v>
      </c>
      <c r="P4372" s="34">
        <f>IF($J4372=1,LN(1+O4372),"")</f>
        <v/>
      </c>
      <c r="Q4372" s="34">
        <f>IF($J4372=1,LN(R4373/R4372),"")</f>
        <v/>
      </c>
      <c r="R4372" s="32" t="n">
        <v>4.9476</v>
      </c>
      <c r="S4372" s="35" t="n">
        <v>10.33</v>
      </c>
      <c r="T4372" s="18" t="n">
        <v>126403.03</v>
      </c>
      <c r="U4372" s="18" t="n"/>
      <c r="V4372" s="18" t="n"/>
      <c r="W4372" s="18" t="n"/>
      <c r="X4372" s="35" t="n"/>
      <c r="Y4372" s="35" t="n">
        <v>10.33</v>
      </c>
    </row>
    <row r="4373">
      <c r="A4373" s="25" t="n">
        <v>45273</v>
      </c>
      <c r="B4373" s="18" t="n">
        <v>129465.08</v>
      </c>
      <c r="C4373" s="31" t="n"/>
      <c r="D4373" s="32" t="n"/>
      <c r="E4373" s="33" t="n">
        <v>1.3399</v>
      </c>
      <c r="F4373" t="inlineStr">
        <is>
          <t>Up</t>
        </is>
      </c>
      <c r="G4373" t="inlineStr">
        <is>
          <t>Down</t>
        </is>
      </c>
      <c r="H4373" t="inlineStr">
        <is>
          <t>EU_JD</t>
        </is>
      </c>
      <c r="I4373" t="inlineStr">
        <is>
          <t>2023-12</t>
        </is>
      </c>
      <c r="J4373" t="n">
        <v>1</v>
      </c>
      <c r="K4373" t="n">
        <v>1</v>
      </c>
      <c r="L4373" s="34">
        <f>IF($J4373=1,LN(B4374/B4373),"")</f>
        <v/>
      </c>
      <c r="M4373" s="34">
        <f>IF($K4373=1,INDEX(Mensal!$D$2:$D$245,MATCH($I4373,Mensal!$A$2:$A$245,0)),"")</f>
        <v/>
      </c>
      <c r="N4373" s="34">
        <f>IF($K4373=1,L4373-M4373,"")</f>
        <v/>
      </c>
      <c r="O4373" s="34" t="n">
        <v>0.00045513</v>
      </c>
      <c r="P4373" s="34">
        <f>IF($J4373=1,LN(1+O4373),"")</f>
        <v/>
      </c>
      <c r="Q4373" s="34">
        <f>IF($J4373=1,LN(R4374/R4373),"")</f>
        <v/>
      </c>
      <c r="R4373" s="32" t="n">
        <v>4.958</v>
      </c>
      <c r="S4373" s="35" t="n">
        <v>10.24</v>
      </c>
      <c r="T4373" s="18" t="n">
        <v>129465.08</v>
      </c>
      <c r="U4373" s="18" t="n"/>
      <c r="V4373" s="18" t="n"/>
      <c r="W4373" s="18" t="n"/>
      <c r="X4373" s="35" t="n"/>
      <c r="Y4373" s="35" t="n">
        <v>10.24</v>
      </c>
    </row>
    <row r="4374">
      <c r="A4374" s="25" t="n">
        <v>45274</v>
      </c>
      <c r="B4374" s="18" t="n">
        <v>130842.09</v>
      </c>
      <c r="C4374" s="31" t="n"/>
      <c r="D4374" s="32" t="n"/>
      <c r="E4374" s="33" t="n">
        <v>1.3539</v>
      </c>
      <c r="F4374" t="inlineStr">
        <is>
          <t>Up</t>
        </is>
      </c>
      <c r="G4374" t="inlineStr">
        <is>
          <t>Down</t>
        </is>
      </c>
      <c r="H4374" t="inlineStr">
        <is>
          <t>EU_JD</t>
        </is>
      </c>
      <c r="I4374" t="inlineStr">
        <is>
          <t>2023-12</t>
        </is>
      </c>
      <c r="J4374" t="n">
        <v>1</v>
      </c>
      <c r="K4374" t="n">
        <v>1</v>
      </c>
      <c r="L4374" s="34">
        <f>IF($J4374=1,LN(B4375/B4374),"")</f>
        <v/>
      </c>
      <c r="M4374" s="34">
        <f>IF($K4374=1,INDEX(Mensal!$D$2:$D$245,MATCH($I4374,Mensal!$A$2:$A$245,0)),"")</f>
        <v/>
      </c>
      <c r="N4374" s="34">
        <f>IF($K4374=1,L4374-M4374,"")</f>
        <v/>
      </c>
      <c r="O4374" s="34" t="n">
        <v>0.00043739</v>
      </c>
      <c r="P4374" s="34">
        <f>IF($J4374=1,LN(1+O4374),"")</f>
        <v/>
      </c>
      <c r="Q4374" s="34">
        <f>IF($J4374=1,LN(R4375/R4374),"")</f>
        <v/>
      </c>
      <c r="R4374" s="32" t="n">
        <v>4.8912</v>
      </c>
      <c r="S4374" s="35" t="n">
        <v>10.19</v>
      </c>
      <c r="T4374" s="18" t="n">
        <v>130842.09</v>
      </c>
      <c r="U4374" s="18" t="n"/>
      <c r="V4374" s="18" t="n"/>
      <c r="W4374" s="18" t="n"/>
      <c r="X4374" s="35" t="n"/>
      <c r="Y4374" s="35" t="n">
        <v>10.19</v>
      </c>
    </row>
    <row r="4375">
      <c r="A4375" s="25" t="n">
        <v>45275</v>
      </c>
      <c r="B4375" s="18" t="n">
        <v>130197.1</v>
      </c>
      <c r="C4375" s="31" t="n"/>
      <c r="D4375" s="32" t="n"/>
      <c r="E4375" s="33" t="n">
        <v>1.364</v>
      </c>
      <c r="F4375" t="inlineStr">
        <is>
          <t>Up</t>
        </is>
      </c>
      <c r="G4375" t="inlineStr">
        <is>
          <t>Down</t>
        </is>
      </c>
      <c r="H4375" t="inlineStr">
        <is>
          <t>EU_JD</t>
        </is>
      </c>
      <c r="I4375" t="inlineStr">
        <is>
          <t>2023-12</t>
        </is>
      </c>
      <c r="J4375" t="n">
        <v>1</v>
      </c>
      <c r="K4375" t="n">
        <v>1</v>
      </c>
      <c r="L4375" s="34">
        <f>IF($J4375=1,LN(B4376/B4375),"")</f>
        <v/>
      </c>
      <c r="M4375" s="34">
        <f>IF($K4375=1,INDEX(Mensal!$D$2:$D$245,MATCH($I4375,Mensal!$A$2:$A$245,0)),"")</f>
        <v/>
      </c>
      <c r="N4375" s="34">
        <f>IF($K4375=1,L4375-M4375,"")</f>
        <v/>
      </c>
      <c r="O4375" s="34" t="n">
        <v>0.00043739</v>
      </c>
      <c r="P4375" s="34">
        <f>IF($J4375=1,LN(1+O4375),"")</f>
        <v/>
      </c>
      <c r="Q4375" s="34">
        <f>IF($J4375=1,LN(R4376/R4375),"")</f>
        <v/>
      </c>
      <c r="R4375" s="32" t="n">
        <v>4.9397</v>
      </c>
      <c r="S4375" s="35" t="n">
        <v>10.16</v>
      </c>
      <c r="T4375" s="18" t="n">
        <v>130197.1</v>
      </c>
      <c r="U4375" s="18" t="n"/>
      <c r="V4375" s="18" t="n"/>
      <c r="W4375" s="18" t="n"/>
      <c r="X4375" s="35" t="n"/>
      <c r="Y4375" s="35" t="n">
        <v>10.16</v>
      </c>
    </row>
    <row r="4376">
      <c r="A4376" s="25" t="n">
        <v>45278</v>
      </c>
      <c r="B4376" s="18" t="n">
        <v>131083.82</v>
      </c>
      <c r="C4376" s="31" t="n"/>
      <c r="D4376" s="32" t="n"/>
      <c r="E4376" s="33" t="n">
        <v>1.3712</v>
      </c>
      <c r="F4376" t="inlineStr">
        <is>
          <t>Up</t>
        </is>
      </c>
      <c r="G4376" t="inlineStr">
        <is>
          <t>Down</t>
        </is>
      </c>
      <c r="H4376" t="inlineStr">
        <is>
          <t>EU_JD</t>
        </is>
      </c>
      <c r="I4376" t="inlineStr">
        <is>
          <t>2023-12</t>
        </is>
      </c>
      <c r="J4376" t="n">
        <v>1</v>
      </c>
      <c r="K4376" t="n">
        <v>1</v>
      </c>
      <c r="L4376" s="34">
        <f>IF($J4376=1,LN(B4377/B4376),"")</f>
        <v/>
      </c>
      <c r="M4376" s="34">
        <f>IF($K4376=1,INDEX(Mensal!$D$2:$D$245,MATCH($I4376,Mensal!$A$2:$A$245,0)),"")</f>
        <v/>
      </c>
      <c r="N4376" s="34">
        <f>IF($K4376=1,L4376-M4376,"")</f>
        <v/>
      </c>
      <c r="O4376" s="34" t="n">
        <v>0.00043739</v>
      </c>
      <c r="P4376" s="34">
        <f>IF($J4376=1,LN(1+O4376),"")</f>
        <v/>
      </c>
      <c r="Q4376" s="34">
        <f>IF($J4376=1,LN(R4377/R4376),"")</f>
        <v/>
      </c>
      <c r="R4376" s="32" t="n">
        <v>4.9399</v>
      </c>
      <c r="S4376" s="35" t="n">
        <v>10.11</v>
      </c>
      <c r="T4376" s="18" t="n">
        <v>131083.82</v>
      </c>
      <c r="U4376" s="18" t="n"/>
      <c r="V4376" s="18" t="n"/>
      <c r="W4376" s="18" t="n"/>
      <c r="X4376" s="35" t="n"/>
      <c r="Y4376" s="35" t="n">
        <v>10.11</v>
      </c>
    </row>
    <row r="4377">
      <c r="A4377" s="25" t="n">
        <v>45279</v>
      </c>
      <c r="B4377" s="18" t="n">
        <v>131850.9</v>
      </c>
      <c r="C4377" s="31" t="n"/>
      <c r="D4377" s="32" t="n"/>
      <c r="E4377" s="33" t="n">
        <v>1.3816</v>
      </c>
      <c r="F4377" t="inlineStr">
        <is>
          <t>Up</t>
        </is>
      </c>
      <c r="G4377" t="inlineStr">
        <is>
          <t>Down</t>
        </is>
      </c>
      <c r="H4377" t="inlineStr">
        <is>
          <t>EU_JD</t>
        </is>
      </c>
      <c r="I4377" t="inlineStr">
        <is>
          <t>2023-12</t>
        </is>
      </c>
      <c r="J4377" t="n">
        <v>1</v>
      </c>
      <c r="K4377" t="n">
        <v>1</v>
      </c>
      <c r="L4377" s="34">
        <f>IF($J4377=1,LN(B4378/B4377),"")</f>
        <v/>
      </c>
      <c r="M4377" s="34">
        <f>IF($K4377=1,INDEX(Mensal!$D$2:$D$245,MATCH($I4377,Mensal!$A$2:$A$245,0)),"")</f>
        <v/>
      </c>
      <c r="N4377" s="34">
        <f>IF($K4377=1,L4377-M4377,"")</f>
        <v/>
      </c>
      <c r="O4377" s="34" t="n">
        <v>0.00043739</v>
      </c>
      <c r="P4377" s="34">
        <f>IF($J4377=1,LN(1+O4377),"")</f>
        <v/>
      </c>
      <c r="Q4377" s="34">
        <f>IF($J4377=1,LN(R4378/R4377),"")</f>
        <v/>
      </c>
      <c r="R4377" s="32" t="n">
        <v>4.8663</v>
      </c>
      <c r="S4377" s="35" t="n">
        <v>10.1</v>
      </c>
      <c r="T4377" s="18" t="n">
        <v>131850.9</v>
      </c>
      <c r="U4377" s="18" t="n"/>
      <c r="V4377" s="18" t="n"/>
      <c r="W4377" s="18" t="n"/>
      <c r="X4377" s="35" t="n"/>
      <c r="Y4377" s="35" t="n">
        <v>10.1</v>
      </c>
    </row>
    <row r="4378">
      <c r="A4378" s="25" t="n">
        <v>45280</v>
      </c>
      <c r="B4378" s="18" t="n">
        <v>130804.17</v>
      </c>
      <c r="C4378" s="31" t="n"/>
      <c r="D4378" s="32" t="n"/>
      <c r="E4378" s="33" t="n">
        <v>1.386</v>
      </c>
      <c r="F4378" t="inlineStr">
        <is>
          <t>Up</t>
        </is>
      </c>
      <c r="G4378" t="inlineStr">
        <is>
          <t>Down</t>
        </is>
      </c>
      <c r="H4378" t="inlineStr">
        <is>
          <t>EU_JD</t>
        </is>
      </c>
      <c r="I4378" t="inlineStr">
        <is>
          <t>2023-12</t>
        </is>
      </c>
      <c r="J4378" t="n">
        <v>1</v>
      </c>
      <c r="K4378" t="n">
        <v>1</v>
      </c>
      <c r="L4378" s="34">
        <f>IF($J4378=1,LN(B4379/B4378),"")</f>
        <v/>
      </c>
      <c r="M4378" s="34">
        <f>IF($K4378=1,INDEX(Mensal!$D$2:$D$245,MATCH($I4378,Mensal!$A$2:$A$245,0)),"")</f>
        <v/>
      </c>
      <c r="N4378" s="34">
        <f>IF($K4378=1,L4378-M4378,"")</f>
        <v/>
      </c>
      <c r="O4378" s="34" t="n">
        <v>0.00043739</v>
      </c>
      <c r="P4378" s="34">
        <f>IF($J4378=1,LN(1+O4378),"")</f>
        <v/>
      </c>
      <c r="Q4378" s="34">
        <f>IF($J4378=1,LN(R4379/R4378),"")</f>
        <v/>
      </c>
      <c r="R4378" s="32" t="n">
        <v>4.8766</v>
      </c>
      <c r="S4378" s="35" t="n">
        <v>10.09</v>
      </c>
      <c r="T4378" s="18" t="n">
        <v>130804.17</v>
      </c>
      <c r="U4378" s="18" t="n"/>
      <c r="V4378" s="18" t="n"/>
      <c r="W4378" s="18" t="n"/>
      <c r="X4378" s="35" t="n"/>
      <c r="Y4378" s="35" t="n">
        <v>10.09</v>
      </c>
    </row>
    <row r="4379">
      <c r="A4379" s="25" t="n">
        <v>45281</v>
      </c>
      <c r="B4379" s="18" t="n">
        <v>132182.01</v>
      </c>
      <c r="C4379" s="31" t="n"/>
      <c r="D4379" s="32" t="n"/>
      <c r="E4379" s="33" t="n">
        <v>1.3919</v>
      </c>
      <c r="F4379" t="inlineStr">
        <is>
          <t>Up</t>
        </is>
      </c>
      <c r="G4379" t="inlineStr">
        <is>
          <t>Down</t>
        </is>
      </c>
      <c r="H4379" t="inlineStr">
        <is>
          <t>EU_JD</t>
        </is>
      </c>
      <c r="I4379" t="inlineStr">
        <is>
          <t>2023-12</t>
        </is>
      </c>
      <c r="J4379" t="n">
        <v>1</v>
      </c>
      <c r="K4379" t="n">
        <v>1</v>
      </c>
      <c r="L4379" s="34">
        <f>IF($J4379=1,LN(B4380/B4379),"")</f>
        <v/>
      </c>
      <c r="M4379" s="34">
        <f>IF($K4379=1,INDEX(Mensal!$D$2:$D$245,MATCH($I4379,Mensal!$A$2:$A$245,0)),"")</f>
        <v/>
      </c>
      <c r="N4379" s="34">
        <f>IF($K4379=1,L4379-M4379,"")</f>
        <v/>
      </c>
      <c r="O4379" s="34" t="n">
        <v>0.00043739</v>
      </c>
      <c r="P4379" s="34">
        <f>IF($J4379=1,LN(1+O4379),"")</f>
        <v/>
      </c>
      <c r="Q4379" s="34">
        <f>IF($J4379=1,LN(R4380/R4379),"")</f>
        <v/>
      </c>
      <c r="R4379" s="32" t="n">
        <v>4.8755</v>
      </c>
      <c r="S4379" s="35" t="n">
        <v>10.11</v>
      </c>
      <c r="T4379" s="18" t="n">
        <v>132182.01</v>
      </c>
      <c r="U4379" s="18" t="n"/>
      <c r="V4379" s="18" t="n"/>
      <c r="W4379" s="18" t="n"/>
      <c r="X4379" s="35" t="n"/>
      <c r="Y4379" s="35" t="n">
        <v>10.11</v>
      </c>
    </row>
    <row r="4380">
      <c r="A4380" s="25" t="n">
        <v>45282</v>
      </c>
      <c r="B4380" s="18" t="n">
        <v>132752.93</v>
      </c>
      <c r="C4380" s="31" t="n"/>
      <c r="D4380" s="32" t="n"/>
      <c r="E4380" s="33" t="n">
        <v>1.4023</v>
      </c>
      <c r="F4380" t="inlineStr">
        <is>
          <t>Up</t>
        </is>
      </c>
      <c r="G4380" t="inlineStr">
        <is>
          <t>Down</t>
        </is>
      </c>
      <c r="H4380" t="inlineStr">
        <is>
          <t>EU_JD</t>
        </is>
      </c>
      <c r="I4380" t="inlineStr">
        <is>
          <t>2023-12</t>
        </is>
      </c>
      <c r="J4380" t="n">
        <v>1</v>
      </c>
      <c r="K4380" t="n">
        <v>1</v>
      </c>
      <c r="L4380" s="34">
        <f>IF($J4380=1,LN(B4381/B4380),"")</f>
        <v/>
      </c>
      <c r="M4380" s="34">
        <f>IF($K4380=1,INDEX(Mensal!$D$2:$D$245,MATCH($I4380,Mensal!$A$2:$A$245,0)),"")</f>
        <v/>
      </c>
      <c r="N4380" s="34">
        <f>IF($K4380=1,L4380-M4380,"")</f>
        <v/>
      </c>
      <c r="O4380" s="34" t="n">
        <v>0.00043739</v>
      </c>
      <c r="P4380" s="34">
        <f>IF($J4380=1,LN(1+O4380),"")</f>
        <v/>
      </c>
      <c r="Q4380" s="34">
        <f>IF($J4380=1,LN(R4381/R4380),"")</f>
        <v/>
      </c>
      <c r="R4380" s="32" t="n">
        <v>4.8619</v>
      </c>
      <c r="S4380" s="35" t="n">
        <v>10.09</v>
      </c>
      <c r="T4380" s="18" t="n">
        <v>132752.93</v>
      </c>
      <c r="U4380" s="18" t="n"/>
      <c r="V4380" s="18" t="n"/>
      <c r="W4380" s="18" t="n"/>
      <c r="X4380" s="35" t="n"/>
      <c r="Y4380" s="35" t="n">
        <v>10.09</v>
      </c>
    </row>
    <row r="4381">
      <c r="A4381" s="25" t="n">
        <v>45286</v>
      </c>
      <c r="B4381" s="18" t="n">
        <v>133532.92</v>
      </c>
      <c r="C4381" s="31" t="n"/>
      <c r="D4381" s="32" t="n"/>
      <c r="E4381" s="33" t="n">
        <v>1.413</v>
      </c>
      <c r="F4381" t="inlineStr">
        <is>
          <t>Up</t>
        </is>
      </c>
      <c r="G4381" t="inlineStr">
        <is>
          <t>Down</t>
        </is>
      </c>
      <c r="H4381" t="inlineStr">
        <is>
          <t>EU_JD</t>
        </is>
      </c>
      <c r="I4381" t="inlineStr">
        <is>
          <t>2023-12</t>
        </is>
      </c>
      <c r="J4381" t="n">
        <v>1</v>
      </c>
      <c r="K4381" t="n">
        <v>1</v>
      </c>
      <c r="L4381" s="34">
        <f>IF($J4381=1,LN(B4382/B4381),"")</f>
        <v/>
      </c>
      <c r="M4381" s="34">
        <f>IF($K4381=1,INDEX(Mensal!$D$2:$D$245,MATCH($I4381,Mensal!$A$2:$A$245,0)),"")</f>
        <v/>
      </c>
      <c r="N4381" s="34">
        <f>IF($K4381=1,L4381-M4381,"")</f>
        <v/>
      </c>
      <c r="O4381" s="34" t="n">
        <v>0.00043739</v>
      </c>
      <c r="P4381" s="34">
        <f>IF($J4381=1,LN(1+O4381),"")</f>
        <v/>
      </c>
      <c r="Q4381" s="34">
        <f>IF($J4381=1,LN(R4382/R4381),"")</f>
        <v/>
      </c>
      <c r="R4381" s="32" t="n">
        <v>4.8368</v>
      </c>
      <c r="S4381" s="35" t="n">
        <v>10.06</v>
      </c>
      <c r="T4381" s="18" t="n">
        <v>133532.92</v>
      </c>
      <c r="U4381" s="18" t="n"/>
      <c r="V4381" s="18" t="n"/>
      <c r="W4381" s="18" t="n"/>
      <c r="X4381" s="35" t="n"/>
      <c r="Y4381" s="35" t="n">
        <v>10.06</v>
      </c>
    </row>
    <row r="4382">
      <c r="A4382" s="25" t="n">
        <v>45287</v>
      </c>
      <c r="B4382" s="18" t="n">
        <v>134193.72</v>
      </c>
      <c r="C4382" s="31" t="n"/>
      <c r="D4382" s="32" t="n"/>
      <c r="E4382" s="33" t="n">
        <v>1.4145</v>
      </c>
      <c r="F4382" t="inlineStr">
        <is>
          <t>Up</t>
        </is>
      </c>
      <c r="G4382" t="inlineStr">
        <is>
          <t>Down</t>
        </is>
      </c>
      <c r="H4382" t="inlineStr">
        <is>
          <t>EU_JD</t>
        </is>
      </c>
      <c r="I4382" t="inlineStr">
        <is>
          <t>2023-12</t>
        </is>
      </c>
      <c r="J4382" t="n">
        <v>1</v>
      </c>
      <c r="K4382" t="n">
        <v>1</v>
      </c>
      <c r="L4382" s="34">
        <f>IF($J4382=1,LN(B4383/B4382),"")</f>
        <v/>
      </c>
      <c r="M4382" s="34">
        <f>IF($K4382=1,INDEX(Mensal!$D$2:$D$245,MATCH($I4382,Mensal!$A$2:$A$245,0)),"")</f>
        <v/>
      </c>
      <c r="N4382" s="34">
        <f>IF($K4382=1,L4382-M4382,"")</f>
        <v/>
      </c>
      <c r="O4382" s="34" t="n">
        <v>0.00043739</v>
      </c>
      <c r="P4382" s="34">
        <f>IF($J4382=1,LN(1+O4382),"")</f>
        <v/>
      </c>
      <c r="Q4382" s="34">
        <f>IF($J4382=1,LN(R4383/R4382),"")</f>
        <v/>
      </c>
      <c r="R4382" s="32" t="n">
        <v>4.8306</v>
      </c>
      <c r="S4382" s="35" t="n">
        <v>10.02</v>
      </c>
      <c r="T4382" s="18" t="n">
        <v>134193.72</v>
      </c>
      <c r="U4382" s="18" t="n"/>
      <c r="V4382" s="18" t="n"/>
      <c r="W4382" s="18" t="n"/>
      <c r="X4382" s="35" t="n"/>
      <c r="Y4382" s="35" t="n">
        <v>10.02</v>
      </c>
    </row>
    <row r="4383">
      <c r="A4383" s="25" t="n">
        <v>45288</v>
      </c>
      <c r="B4383" s="18" t="n">
        <v>134185.24</v>
      </c>
      <c r="C4383" s="31" t="n"/>
      <c r="D4383" s="32" t="n"/>
      <c r="E4383" s="33" t="n">
        <v>1.4152</v>
      </c>
      <c r="F4383" t="inlineStr">
        <is>
          <t>Up</t>
        </is>
      </c>
      <c r="G4383" t="inlineStr">
        <is>
          <t>Down</t>
        </is>
      </c>
      <c r="H4383" t="inlineStr">
        <is>
          <t>EU_JD</t>
        </is>
      </c>
      <c r="I4383" t="inlineStr">
        <is>
          <t>2023-12</t>
        </is>
      </c>
      <c r="J4383" t="n">
        <v>1</v>
      </c>
      <c r="K4383" t="n">
        <v>1</v>
      </c>
      <c r="L4383" s="34">
        <f>IF($J4383=1,LN(B4384/B4383),"")</f>
        <v/>
      </c>
      <c r="M4383" s="34">
        <f>IF($K4383=1,INDEX(Mensal!$D$2:$D$245,MATCH($I4383,Mensal!$A$2:$A$245,0)),"")</f>
        <v/>
      </c>
      <c r="N4383" s="34">
        <f>IF($K4383=1,L4383-M4383,"")</f>
        <v/>
      </c>
      <c r="O4383" s="34" t="n">
        <v>0.00043739</v>
      </c>
      <c r="P4383" s="34">
        <f>IF($J4383=1,LN(1+O4383),"")</f>
        <v/>
      </c>
      <c r="Q4383" s="34">
        <f>IF($J4383=1,LN(R4384/R4383),"")</f>
        <v/>
      </c>
      <c r="R4383" s="32" t="n">
        <v>4.8413</v>
      </c>
      <c r="S4383" s="35" t="n">
        <v>10.05</v>
      </c>
      <c r="T4383" s="18" t="n">
        <v>134185.24</v>
      </c>
      <c r="U4383" s="18" t="n"/>
      <c r="V4383" s="18" t="n"/>
      <c r="W4383" s="18" t="n"/>
      <c r="X4383" s="35" t="n"/>
      <c r="Y4383" s="35" t="n">
        <v>10.05</v>
      </c>
    </row>
    <row r="4384">
      <c r="A4384" s="25" t="n">
        <v>45293</v>
      </c>
      <c r="B4384" s="18" t="n">
        <v>132696.63</v>
      </c>
      <c r="C4384" s="31" t="n"/>
      <c r="D4384" s="32" t="n"/>
      <c r="E4384" s="33" t="n">
        <v>1.4058</v>
      </c>
      <c r="F4384" t="inlineStr">
        <is>
          <t>Up</t>
        </is>
      </c>
      <c r="G4384" t="inlineStr">
        <is>
          <t>Down</t>
        </is>
      </c>
      <c r="H4384" t="inlineStr">
        <is>
          <t>EU_JD</t>
        </is>
      </c>
      <c r="I4384" t="inlineStr">
        <is>
          <t>2024-01</t>
        </is>
      </c>
      <c r="J4384" t="n">
        <v>1</v>
      </c>
      <c r="K4384" t="n">
        <v>1</v>
      </c>
      <c r="L4384" s="34">
        <f>IF($J4384=1,LN(B4385/B4384),"")</f>
        <v/>
      </c>
      <c r="M4384" s="34">
        <f>IF($K4384=1,INDEX(Mensal!$D$2:$D$245,MATCH($I4384,Mensal!$A$2:$A$245,0)),"")</f>
        <v/>
      </c>
      <c r="N4384" s="34">
        <f>IF($K4384=1,L4384-M4384,"")</f>
        <v/>
      </c>
      <c r="O4384" s="34" t="n">
        <v>0.00043739</v>
      </c>
      <c r="P4384" s="34">
        <f>IF($J4384=1,LN(1+O4384),"")</f>
        <v/>
      </c>
      <c r="Q4384" s="34">
        <f>IF($J4384=1,LN(R4385/R4384),"")</f>
        <v/>
      </c>
      <c r="R4384" s="32" t="n">
        <v>4.8916</v>
      </c>
      <c r="S4384" s="35" t="n">
        <v>10.06</v>
      </c>
      <c r="T4384" s="18" t="n">
        <v>132696.63</v>
      </c>
      <c r="U4384" s="18" t="n"/>
      <c r="V4384" s="18" t="n"/>
      <c r="W4384" s="18" t="n"/>
      <c r="X4384" s="35" t="n"/>
      <c r="Y4384" s="35" t="n">
        <v>10.06</v>
      </c>
    </row>
    <row r="4385">
      <c r="A4385" s="25" t="n">
        <v>45294</v>
      </c>
      <c r="B4385" s="18" t="n">
        <v>132833.95</v>
      </c>
      <c r="C4385" s="31" t="n"/>
      <c r="D4385" s="32" t="n"/>
      <c r="E4385" s="33" t="n">
        <v>1.3927</v>
      </c>
      <c r="F4385" t="inlineStr">
        <is>
          <t>Up</t>
        </is>
      </c>
      <c r="G4385" t="inlineStr">
        <is>
          <t>Down</t>
        </is>
      </c>
      <c r="H4385" t="inlineStr">
        <is>
          <t>EU_JD</t>
        </is>
      </c>
      <c r="I4385" t="inlineStr">
        <is>
          <t>2024-01</t>
        </is>
      </c>
      <c r="J4385" t="n">
        <v>1</v>
      </c>
      <c r="K4385" t="n">
        <v>1</v>
      </c>
      <c r="L4385" s="34">
        <f>IF($J4385=1,LN(B4386/B4385),"")</f>
        <v/>
      </c>
      <c r="M4385" s="34">
        <f>IF($K4385=1,INDEX(Mensal!$D$2:$D$245,MATCH($I4385,Mensal!$A$2:$A$245,0)),"")</f>
        <v/>
      </c>
      <c r="N4385" s="34">
        <f>IF($K4385=1,L4385-M4385,"")</f>
        <v/>
      </c>
      <c r="O4385" s="34" t="n">
        <v>0.00043739</v>
      </c>
      <c r="P4385" s="34">
        <f>IF($J4385=1,LN(1+O4385),"")</f>
        <v/>
      </c>
      <c r="Q4385" s="34">
        <f>IF($J4385=1,LN(R4386/R4385),"")</f>
        <v/>
      </c>
      <c r="R4385" s="32" t="n">
        <v>4.9212</v>
      </c>
      <c r="S4385" s="35" t="n">
        <v>10.05</v>
      </c>
      <c r="T4385" s="18" t="n">
        <v>132833.95</v>
      </c>
      <c r="U4385" s="18" t="n"/>
      <c r="V4385" s="18" t="n"/>
      <c r="W4385" s="18" t="n"/>
      <c r="X4385" s="35" t="n"/>
      <c r="Y4385" s="35" t="n">
        <v>10.05</v>
      </c>
    </row>
    <row r="4386">
      <c r="A4386" s="25" t="n">
        <v>45295</v>
      </c>
      <c r="B4386" s="18" t="n">
        <v>131225.91</v>
      </c>
      <c r="C4386" s="31" t="n"/>
      <c r="D4386" s="32" t="n"/>
      <c r="E4386" s="33" t="n">
        <v>1.377</v>
      </c>
      <c r="F4386" t="inlineStr">
        <is>
          <t>Up</t>
        </is>
      </c>
      <c r="G4386" t="inlineStr">
        <is>
          <t>Down</t>
        </is>
      </c>
      <c r="H4386" t="inlineStr">
        <is>
          <t>EU_JD</t>
        </is>
      </c>
      <c r="I4386" t="inlineStr">
        <is>
          <t>2024-01</t>
        </is>
      </c>
      <c r="J4386" t="n">
        <v>1</v>
      </c>
      <c r="K4386" t="n">
        <v>1</v>
      </c>
      <c r="L4386" s="34">
        <f>IF($J4386=1,LN(B4387/B4386),"")</f>
        <v/>
      </c>
      <c r="M4386" s="34">
        <f>IF($K4386=1,INDEX(Mensal!$D$2:$D$245,MATCH($I4386,Mensal!$A$2:$A$245,0)),"")</f>
        <v/>
      </c>
      <c r="N4386" s="34">
        <f>IF($K4386=1,L4386-M4386,"")</f>
        <v/>
      </c>
      <c r="O4386" s="34" t="n">
        <v>0.00043739</v>
      </c>
      <c r="P4386" s="34">
        <f>IF($J4386=1,LN(1+O4386),"")</f>
        <v/>
      </c>
      <c r="Q4386" s="34">
        <f>IF($J4386=1,LN(R4387/R4386),"")</f>
        <v/>
      </c>
      <c r="R4386" s="32" t="n">
        <v>4.9188</v>
      </c>
      <c r="S4386" s="35" t="n">
        <v>10.06</v>
      </c>
      <c r="T4386" s="18" t="n">
        <v>131225.91</v>
      </c>
      <c r="U4386" s="18" t="n"/>
      <c r="V4386" s="18" t="n"/>
      <c r="W4386" s="18" t="n"/>
      <c r="X4386" s="35" t="n"/>
      <c r="Y4386" s="35" t="n">
        <v>10.06</v>
      </c>
    </row>
    <row r="4387">
      <c r="A4387" s="25" t="n">
        <v>45296</v>
      </c>
      <c r="B4387" s="18" t="n">
        <v>132022.92</v>
      </c>
      <c r="C4387" s="31" t="n"/>
      <c r="D4387" s="32" t="n"/>
      <c r="E4387" s="33" t="n">
        <v>1.3555</v>
      </c>
      <c r="F4387" t="inlineStr">
        <is>
          <t>Up</t>
        </is>
      </c>
      <c r="G4387" t="inlineStr">
        <is>
          <t>Down</t>
        </is>
      </c>
      <c r="H4387" t="inlineStr">
        <is>
          <t>EU_JD</t>
        </is>
      </c>
      <c r="I4387" t="inlineStr">
        <is>
          <t>2024-01</t>
        </is>
      </c>
      <c r="J4387" t="n">
        <v>1</v>
      </c>
      <c r="K4387" t="n">
        <v>1</v>
      </c>
      <c r="L4387" s="34">
        <f>IF($J4387=1,LN(B4388/B4387),"")</f>
        <v/>
      </c>
      <c r="M4387" s="34">
        <f>IF($K4387=1,INDEX(Mensal!$D$2:$D$245,MATCH($I4387,Mensal!$A$2:$A$245,0)),"")</f>
        <v/>
      </c>
      <c r="N4387" s="34">
        <f>IF($K4387=1,L4387-M4387,"")</f>
        <v/>
      </c>
      <c r="O4387" s="34" t="n">
        <v>0.00043739</v>
      </c>
      <c r="P4387" s="34">
        <f>IF($J4387=1,LN(1+O4387),"")</f>
        <v/>
      </c>
      <c r="Q4387" s="34">
        <f>IF($J4387=1,LN(R4388/R4387),"")</f>
        <v/>
      </c>
      <c r="R4387" s="32" t="n">
        <v>4.8899</v>
      </c>
      <c r="S4387" s="35" t="n">
        <v>10.07</v>
      </c>
      <c r="T4387" s="18" t="n">
        <v>132022.92</v>
      </c>
      <c r="U4387" s="18" t="n"/>
      <c r="V4387" s="18" t="n"/>
      <c r="W4387" s="18" t="n"/>
      <c r="X4387" s="35" t="n"/>
      <c r="Y4387" s="35" t="n">
        <v>10.07</v>
      </c>
    </row>
    <row r="4388">
      <c r="A4388" s="25" t="n">
        <v>45299</v>
      </c>
      <c r="B4388" s="18" t="n">
        <v>132426.54</v>
      </c>
      <c r="C4388" s="31" t="n"/>
      <c r="D4388" s="32" t="n"/>
      <c r="E4388" s="33" t="n">
        <v>1.3294</v>
      </c>
      <c r="F4388" t="inlineStr">
        <is>
          <t>Up</t>
        </is>
      </c>
      <c r="G4388" t="inlineStr">
        <is>
          <t>Down</t>
        </is>
      </c>
      <c r="H4388" t="inlineStr">
        <is>
          <t>EU_JD</t>
        </is>
      </c>
      <c r="I4388" t="inlineStr">
        <is>
          <t>2024-01</t>
        </is>
      </c>
      <c r="J4388" t="n">
        <v>1</v>
      </c>
      <c r="K4388" t="n">
        <v>1</v>
      </c>
      <c r="L4388" s="34">
        <f>IF($J4388=1,LN(B4389/B4388),"")</f>
        <v/>
      </c>
      <c r="M4388" s="34">
        <f>IF($K4388=1,INDEX(Mensal!$D$2:$D$245,MATCH($I4388,Mensal!$A$2:$A$245,0)),"")</f>
        <v/>
      </c>
      <c r="N4388" s="34">
        <f>IF($K4388=1,L4388-M4388,"")</f>
        <v/>
      </c>
      <c r="O4388" s="34" t="n">
        <v>0.00043739</v>
      </c>
      <c r="P4388" s="34">
        <f>IF($J4388=1,LN(1+O4388),"")</f>
        <v/>
      </c>
      <c r="Q4388" s="34">
        <f>IF($J4388=1,LN(R4389/R4388),"")</f>
        <v/>
      </c>
      <c r="R4388" s="32" t="n">
        <v>4.885</v>
      </c>
      <c r="S4388" s="35" t="n">
        <v>10.08</v>
      </c>
      <c r="T4388" s="18" t="n">
        <v>132426.54</v>
      </c>
      <c r="U4388" s="18" t="n"/>
      <c r="V4388" s="18" t="n"/>
      <c r="W4388" s="18" t="n"/>
      <c r="X4388" s="35" t="n"/>
      <c r="Y4388" s="35" t="n">
        <v>10.08</v>
      </c>
    </row>
    <row r="4389">
      <c r="A4389" s="25" t="n">
        <v>45300</v>
      </c>
      <c r="B4389" s="18" t="n">
        <v>131446.59</v>
      </c>
      <c r="C4389" s="31" t="n"/>
      <c r="D4389" s="32" t="n"/>
      <c r="E4389" s="33" t="n">
        <v>1.2807</v>
      </c>
      <c r="F4389" t="inlineStr">
        <is>
          <t>Up</t>
        </is>
      </c>
      <c r="G4389" t="inlineStr">
        <is>
          <t>Down</t>
        </is>
      </c>
      <c r="H4389" t="inlineStr">
        <is>
          <t>EU_JD</t>
        </is>
      </c>
      <c r="I4389" t="inlineStr">
        <is>
          <t>2024-01</t>
        </is>
      </c>
      <c r="J4389" t="n">
        <v>1</v>
      </c>
      <c r="K4389" t="n">
        <v>1</v>
      </c>
      <c r="L4389" s="34">
        <f>IF($J4389=1,LN(B4390/B4389),"")</f>
        <v/>
      </c>
      <c r="M4389" s="34">
        <f>IF($K4389=1,INDEX(Mensal!$D$2:$D$245,MATCH($I4389,Mensal!$A$2:$A$245,0)),"")</f>
        <v/>
      </c>
      <c r="N4389" s="34">
        <f>IF($K4389=1,L4389-M4389,"")</f>
        <v/>
      </c>
      <c r="O4389" s="34" t="n">
        <v>0.00043739</v>
      </c>
      <c r="P4389" s="34">
        <f>IF($J4389=1,LN(1+O4389),"")</f>
        <v/>
      </c>
      <c r="Q4389" s="34">
        <f>IF($J4389=1,LN(R4390/R4389),"")</f>
        <v/>
      </c>
      <c r="R4389" s="32" t="n">
        <v>4.8937</v>
      </c>
      <c r="S4389" s="35" t="n">
        <v>10.11</v>
      </c>
      <c r="T4389" s="18" t="n">
        <v>131446.59</v>
      </c>
      <c r="U4389" s="18" t="n"/>
      <c r="V4389" s="18" t="n"/>
      <c r="W4389" s="18" t="n"/>
      <c r="X4389" s="35" t="n"/>
      <c r="Y4389" s="35" t="n">
        <v>10.11</v>
      </c>
    </row>
    <row r="4390">
      <c r="A4390" s="25" t="n">
        <v>45301</v>
      </c>
      <c r="B4390" s="18" t="n">
        <v>130841.09</v>
      </c>
      <c r="C4390" s="31" t="n"/>
      <c r="D4390" s="32" t="n"/>
      <c r="E4390" s="33" t="n">
        <v>1.228</v>
      </c>
      <c r="F4390" t="inlineStr">
        <is>
          <t>Up</t>
        </is>
      </c>
      <c r="G4390" t="inlineStr">
        <is>
          <t>Down</t>
        </is>
      </c>
      <c r="H4390" t="inlineStr">
        <is>
          <t>EU_JD</t>
        </is>
      </c>
      <c r="I4390" t="inlineStr">
        <is>
          <t>2024-01</t>
        </is>
      </c>
      <c r="J4390" t="n">
        <v>1</v>
      </c>
      <c r="K4390" t="n">
        <v>1</v>
      </c>
      <c r="L4390" s="34">
        <f>IF($J4390=1,LN(B4391/B4390),"")</f>
        <v/>
      </c>
      <c r="M4390" s="34">
        <f>IF($K4390=1,INDEX(Mensal!$D$2:$D$245,MATCH($I4390,Mensal!$A$2:$A$245,0)),"")</f>
        <v/>
      </c>
      <c r="N4390" s="34">
        <f>IF($K4390=1,L4390-M4390,"")</f>
        <v/>
      </c>
      <c r="O4390" s="34" t="n">
        <v>0.00043739</v>
      </c>
      <c r="P4390" s="34">
        <f>IF($J4390=1,LN(1+O4390),"")</f>
        <v/>
      </c>
      <c r="Q4390" s="34">
        <f>IF($J4390=1,LN(R4391/R4390),"")</f>
        <v/>
      </c>
      <c r="R4390" s="32" t="n">
        <v>4.8901</v>
      </c>
      <c r="S4390" s="35" t="n">
        <v>10.14</v>
      </c>
      <c r="T4390" s="18" t="n">
        <v>130841.09</v>
      </c>
      <c r="U4390" s="18" t="n"/>
      <c r="V4390" s="18" t="n"/>
      <c r="W4390" s="18" t="n"/>
      <c r="X4390" s="35" t="n"/>
      <c r="Y4390" s="35" t="n">
        <v>10.14</v>
      </c>
    </row>
    <row r="4391">
      <c r="A4391" s="25" t="n">
        <v>45302</v>
      </c>
      <c r="B4391" s="18" t="n">
        <v>130648.75</v>
      </c>
      <c r="C4391" s="31" t="n"/>
      <c r="D4391" s="32" t="n"/>
      <c r="E4391" s="33" t="n">
        <v>1.1771</v>
      </c>
      <c r="F4391" t="inlineStr">
        <is>
          <t>Up</t>
        </is>
      </c>
      <c r="G4391" t="inlineStr">
        <is>
          <t>Down</t>
        </is>
      </c>
      <c r="H4391" t="inlineStr">
        <is>
          <t>EU_JD</t>
        </is>
      </c>
      <c r="I4391" t="inlineStr">
        <is>
          <t>2024-01</t>
        </is>
      </c>
      <c r="J4391" t="n">
        <v>1</v>
      </c>
      <c r="K4391" t="n">
        <v>1</v>
      </c>
      <c r="L4391" s="34">
        <f>IF($J4391=1,LN(B4392/B4391),"")</f>
        <v/>
      </c>
      <c r="M4391" s="34">
        <f>IF($K4391=1,INDEX(Mensal!$D$2:$D$245,MATCH($I4391,Mensal!$A$2:$A$245,0)),"")</f>
        <v/>
      </c>
      <c r="N4391" s="34">
        <f>IF($K4391=1,L4391-M4391,"")</f>
        <v/>
      </c>
      <c r="O4391" s="34" t="n">
        <v>0.00043739</v>
      </c>
      <c r="P4391" s="34">
        <f>IF($J4391=1,LN(1+O4391),"")</f>
        <v/>
      </c>
      <c r="Q4391" s="34">
        <f>IF($J4391=1,LN(R4392/R4391),"")</f>
        <v/>
      </c>
      <c r="R4391" s="32" t="n">
        <v>4.8794</v>
      </c>
      <c r="S4391" s="35" t="n">
        <v>10.12</v>
      </c>
      <c r="T4391" s="18" t="n">
        <v>130648.75</v>
      </c>
      <c r="U4391" s="18" t="n"/>
      <c r="V4391" s="18" t="n"/>
      <c r="W4391" s="18" t="n"/>
      <c r="X4391" s="35" t="n"/>
      <c r="Y4391" s="35" t="n">
        <v>10.12</v>
      </c>
    </row>
    <row r="4392">
      <c r="A4392" s="25" t="n">
        <v>45303</v>
      </c>
      <c r="B4392" s="18" t="n">
        <v>130987.67</v>
      </c>
      <c r="C4392" s="31" t="n"/>
      <c r="D4392" s="32" t="n"/>
      <c r="E4392" s="33" t="n">
        <v>1.1238</v>
      </c>
      <c r="F4392" t="inlineStr">
        <is>
          <t>Up</t>
        </is>
      </c>
      <c r="G4392" t="inlineStr">
        <is>
          <t>Down</t>
        </is>
      </c>
      <c r="H4392" t="inlineStr">
        <is>
          <t>EU_JD</t>
        </is>
      </c>
      <c r="I4392" t="inlineStr">
        <is>
          <t>2024-01</t>
        </is>
      </c>
      <c r="J4392" t="n">
        <v>1</v>
      </c>
      <c r="K4392" t="n">
        <v>1</v>
      </c>
      <c r="L4392" s="34">
        <f>IF($J4392=1,LN(B4393/B4392),"")</f>
        <v/>
      </c>
      <c r="M4392" s="34">
        <f>IF($K4392=1,INDEX(Mensal!$D$2:$D$245,MATCH($I4392,Mensal!$A$2:$A$245,0)),"")</f>
        <v/>
      </c>
      <c r="N4392" s="34">
        <f>IF($K4392=1,L4392-M4392,"")</f>
        <v/>
      </c>
      <c r="O4392" s="34" t="n">
        <v>0.00043739</v>
      </c>
      <c r="P4392" s="34">
        <f>IF($J4392=1,LN(1+O4392),"")</f>
        <v/>
      </c>
      <c r="Q4392" s="34">
        <f>IF($J4392=1,LN(R4393/R4392),"")</f>
        <v/>
      </c>
      <c r="R4392" s="32" t="n">
        <v>4.8543</v>
      </c>
      <c r="S4392" s="35" t="n">
        <v>10.07</v>
      </c>
      <c r="T4392" s="18" t="n">
        <v>130987.67</v>
      </c>
      <c r="U4392" s="18" t="n"/>
      <c r="V4392" s="18" t="n"/>
      <c r="W4392" s="18" t="n"/>
      <c r="X4392" s="35" t="n"/>
      <c r="Y4392" s="35" t="n">
        <v>10.07</v>
      </c>
    </row>
    <row r="4393">
      <c r="A4393" s="25" t="n">
        <v>45306</v>
      </c>
      <c r="B4393" s="18" t="n">
        <v>131520.91</v>
      </c>
      <c r="C4393" s="31" t="n"/>
      <c r="D4393" s="32" t="n"/>
      <c r="E4393" s="33" t="n">
        <v>1.0734</v>
      </c>
      <c r="F4393" t="inlineStr">
        <is>
          <t>Up</t>
        </is>
      </c>
      <c r="G4393" t="inlineStr">
        <is>
          <t>Down</t>
        </is>
      </c>
      <c r="H4393" t="inlineStr">
        <is>
          <t>EU_JD</t>
        </is>
      </c>
      <c r="I4393" t="inlineStr">
        <is>
          <t>2024-01</t>
        </is>
      </c>
      <c r="J4393" t="n">
        <v>1</v>
      </c>
      <c r="K4393" t="n">
        <v>1</v>
      </c>
      <c r="L4393" s="34">
        <f>IF($J4393=1,LN(B4394/B4393),"")</f>
        <v/>
      </c>
      <c r="M4393" s="34">
        <f>IF($K4393=1,INDEX(Mensal!$D$2:$D$245,MATCH($I4393,Mensal!$A$2:$A$245,0)),"")</f>
        <v/>
      </c>
      <c r="N4393" s="34">
        <f>IF($K4393=1,L4393-M4393,"")</f>
        <v/>
      </c>
      <c r="O4393" s="34" t="n">
        <v>0.00043739</v>
      </c>
      <c r="P4393" s="34">
        <f>IF($J4393=1,LN(1+O4393),"")</f>
        <v/>
      </c>
      <c r="Q4393" s="34">
        <f>IF($J4393=1,LN(R4394/R4393),"")</f>
        <v/>
      </c>
      <c r="R4393" s="32" t="n">
        <v>4.8765</v>
      </c>
      <c r="S4393" s="35" t="n">
        <v>10.04</v>
      </c>
      <c r="T4393" s="18" t="n">
        <v>131520.91</v>
      </c>
      <c r="U4393" s="18" t="n"/>
      <c r="V4393" s="18" t="n"/>
      <c r="W4393" s="18" t="n"/>
      <c r="X4393" s="35" t="n"/>
      <c r="Y4393" s="35" t="n">
        <v>10.04</v>
      </c>
    </row>
    <row r="4394">
      <c r="A4394" s="25" t="n">
        <v>45307</v>
      </c>
      <c r="B4394" s="18" t="n">
        <v>129294.04</v>
      </c>
      <c r="C4394" s="31" t="n"/>
      <c r="D4394" s="32" t="n"/>
      <c r="E4394" s="33" t="n">
        <v>1.0293</v>
      </c>
      <c r="F4394" t="inlineStr">
        <is>
          <t>Up</t>
        </is>
      </c>
      <c r="G4394" t="inlineStr">
        <is>
          <t>Down</t>
        </is>
      </c>
      <c r="H4394" t="inlineStr">
        <is>
          <t>EU_JD</t>
        </is>
      </c>
      <c r="I4394" t="inlineStr">
        <is>
          <t>2024-01</t>
        </is>
      </c>
      <c r="J4394" t="n">
        <v>1</v>
      </c>
      <c r="K4394" t="n">
        <v>1</v>
      </c>
      <c r="L4394" s="34">
        <f>IF($J4394=1,LN(B4395/B4394),"")</f>
        <v/>
      </c>
      <c r="M4394" s="34">
        <f>IF($K4394=1,INDEX(Mensal!$D$2:$D$245,MATCH($I4394,Mensal!$A$2:$A$245,0)),"")</f>
        <v/>
      </c>
      <c r="N4394" s="34">
        <f>IF($K4394=1,L4394-M4394,"")</f>
        <v/>
      </c>
      <c r="O4394" s="34" t="n">
        <v>0.00043739</v>
      </c>
      <c r="P4394" s="34">
        <f>IF($J4394=1,LN(1+O4394),"")</f>
        <v/>
      </c>
      <c r="Q4394" s="34">
        <f>IF($J4394=1,LN(R4395/R4394),"")</f>
        <v/>
      </c>
      <c r="R4394" s="32" t="n">
        <v>4.9038</v>
      </c>
      <c r="S4394" s="35" t="n">
        <v>10.11</v>
      </c>
      <c r="T4394" s="18" t="n">
        <v>129294.04</v>
      </c>
      <c r="U4394" s="18" t="n"/>
      <c r="V4394" s="18" t="n"/>
      <c r="W4394" s="18" t="n"/>
      <c r="X4394" s="35" t="n"/>
      <c r="Y4394" s="35" t="n">
        <v>10.11</v>
      </c>
    </row>
    <row r="4395">
      <c r="A4395" s="25" t="n">
        <v>45308</v>
      </c>
      <c r="B4395" s="18" t="n">
        <v>128523.83</v>
      </c>
      <c r="C4395" s="31" t="n"/>
      <c r="D4395" s="32" t="n"/>
      <c r="E4395" s="33" t="n">
        <v>0.9864000000000001</v>
      </c>
      <c r="F4395" t="inlineStr">
        <is>
          <t>Up</t>
        </is>
      </c>
      <c r="G4395" t="inlineStr">
        <is>
          <t>Down</t>
        </is>
      </c>
      <c r="H4395" t="inlineStr">
        <is>
          <t>EU_JD</t>
        </is>
      </c>
      <c r="I4395" t="inlineStr">
        <is>
          <t>2024-01</t>
        </is>
      </c>
      <c r="J4395" t="n">
        <v>1</v>
      </c>
      <c r="K4395" t="n">
        <v>1</v>
      </c>
      <c r="L4395" s="34">
        <f>IF($J4395=1,LN(B4396/B4395),"")</f>
        <v/>
      </c>
      <c r="M4395" s="34">
        <f>IF($K4395=1,INDEX(Mensal!$D$2:$D$245,MATCH($I4395,Mensal!$A$2:$A$245,0)),"")</f>
        <v/>
      </c>
      <c r="N4395" s="34">
        <f>IF($K4395=1,L4395-M4395,"")</f>
        <v/>
      </c>
      <c r="O4395" s="34" t="n">
        <v>0.00043739</v>
      </c>
      <c r="P4395" s="34">
        <f>IF($J4395=1,LN(1+O4395),"")</f>
        <v/>
      </c>
      <c r="Q4395" s="34">
        <f>IF($J4395=1,LN(R4396/R4395),"")</f>
        <v/>
      </c>
      <c r="R4395" s="32" t="n">
        <v>4.9346</v>
      </c>
      <c r="S4395" s="35" t="n">
        <v>10.1</v>
      </c>
      <c r="T4395" s="18" t="n">
        <v>128523.83</v>
      </c>
      <c r="U4395" s="18" t="n"/>
      <c r="V4395" s="18" t="n"/>
      <c r="W4395" s="18" t="n"/>
      <c r="X4395" s="35" t="n"/>
      <c r="Y4395" s="35" t="n">
        <v>10.1</v>
      </c>
    </row>
    <row r="4396">
      <c r="A4396" s="25" t="n">
        <v>45309</v>
      </c>
      <c r="B4396" s="18" t="n">
        <v>127315.74</v>
      </c>
      <c r="C4396" s="31" t="n"/>
      <c r="D4396" s="32" t="n"/>
      <c r="E4396" s="33" t="n">
        <v>0.9476</v>
      </c>
      <c r="F4396" t="inlineStr">
        <is>
          <t>Up</t>
        </is>
      </c>
      <c r="G4396" t="inlineStr">
        <is>
          <t>Down</t>
        </is>
      </c>
      <c r="H4396" t="inlineStr">
        <is>
          <t>EU_JD</t>
        </is>
      </c>
      <c r="I4396" t="inlineStr">
        <is>
          <t>2024-01</t>
        </is>
      </c>
      <c r="J4396" t="n">
        <v>1</v>
      </c>
      <c r="K4396" t="n">
        <v>1</v>
      </c>
      <c r="L4396" s="34">
        <f>IF($J4396=1,LN(B4397/B4396),"")</f>
        <v/>
      </c>
      <c r="M4396" s="34">
        <f>IF($K4396=1,INDEX(Mensal!$D$2:$D$245,MATCH($I4396,Mensal!$A$2:$A$245,0)),"")</f>
        <v/>
      </c>
      <c r="N4396" s="34">
        <f>IF($K4396=1,L4396-M4396,"")</f>
        <v/>
      </c>
      <c r="O4396" s="34" t="n">
        <v>0.00043739</v>
      </c>
      <c r="P4396" s="34">
        <f>IF($J4396=1,LN(1+O4396),"")</f>
        <v/>
      </c>
      <c r="Q4396" s="34">
        <f>IF($J4396=1,LN(R4397/R4396),"")</f>
        <v/>
      </c>
      <c r="R4396" s="32" t="n">
        <v>4.9403</v>
      </c>
      <c r="S4396" s="35" t="n">
        <v>10.07</v>
      </c>
      <c r="T4396" s="18" t="n">
        <v>127315.74</v>
      </c>
      <c r="U4396" s="18" t="n"/>
      <c r="V4396" s="18" t="n"/>
      <c r="W4396" s="18" t="n"/>
      <c r="X4396" s="35" t="n"/>
      <c r="Y4396" s="35" t="n">
        <v>10.07</v>
      </c>
    </row>
    <row r="4397">
      <c r="A4397" s="25" t="n">
        <v>45310</v>
      </c>
      <c r="B4397" s="18" t="n">
        <v>127635.65</v>
      </c>
      <c r="C4397" s="31" t="n"/>
      <c r="D4397" s="32" t="n"/>
      <c r="E4397" s="33" t="n">
        <v>0.9146</v>
      </c>
      <c r="F4397" t="inlineStr">
        <is>
          <t>Up</t>
        </is>
      </c>
      <c r="G4397" t="inlineStr">
        <is>
          <t>Down</t>
        </is>
      </c>
      <c r="H4397" t="inlineStr">
        <is>
          <t>EU_JD</t>
        </is>
      </c>
      <c r="I4397" t="inlineStr">
        <is>
          <t>2024-01</t>
        </is>
      </c>
      <c r="J4397" t="n">
        <v>1</v>
      </c>
      <c r="K4397" t="n">
        <v>1</v>
      </c>
      <c r="L4397" s="34">
        <f>IF($J4397=1,LN(B4398/B4397),"")</f>
        <v/>
      </c>
      <c r="M4397" s="34">
        <f>IF($K4397=1,INDEX(Mensal!$D$2:$D$245,MATCH($I4397,Mensal!$A$2:$A$245,0)),"")</f>
        <v/>
      </c>
      <c r="N4397" s="34">
        <f>IF($K4397=1,L4397-M4397,"")</f>
        <v/>
      </c>
      <c r="O4397" s="34" t="n">
        <v>0.00043739</v>
      </c>
      <c r="P4397" s="34">
        <f>IF($J4397=1,LN(1+O4397),"")</f>
        <v/>
      </c>
      <c r="Q4397" s="34">
        <f>IF($J4397=1,LN(R4398/R4397),"")</f>
        <v/>
      </c>
      <c r="R4397" s="32" t="n">
        <v>4.9223</v>
      </c>
      <c r="S4397" s="35" t="n">
        <v>10.1</v>
      </c>
      <c r="T4397" s="18" t="n">
        <v>127635.65</v>
      </c>
      <c r="U4397" s="18" t="n"/>
      <c r="V4397" s="18" t="n"/>
      <c r="W4397" s="18" t="n"/>
      <c r="X4397" s="35" t="n"/>
      <c r="Y4397" s="35" t="n">
        <v>10.1</v>
      </c>
    </row>
    <row r="4398">
      <c r="A4398" s="25" t="n">
        <v>45313</v>
      </c>
      <c r="B4398" s="18" t="n">
        <v>126601.55</v>
      </c>
      <c r="C4398" s="31" t="n"/>
      <c r="D4398" s="32" t="n"/>
      <c r="E4398" s="33" t="n">
        <v>0.8788</v>
      </c>
      <c r="F4398" t="inlineStr">
        <is>
          <t>Up</t>
        </is>
      </c>
      <c r="G4398" t="inlineStr">
        <is>
          <t>Down</t>
        </is>
      </c>
      <c r="H4398" t="inlineStr">
        <is>
          <t>EU_JD</t>
        </is>
      </c>
      <c r="I4398" t="inlineStr">
        <is>
          <t>2024-01</t>
        </is>
      </c>
      <c r="J4398" t="n">
        <v>1</v>
      </c>
      <c r="K4398" t="n">
        <v>1</v>
      </c>
      <c r="L4398" s="34">
        <f>IF($J4398=1,LN(B4399/B4398),"")</f>
        <v/>
      </c>
      <c r="M4398" s="34">
        <f>IF($K4398=1,INDEX(Mensal!$D$2:$D$245,MATCH($I4398,Mensal!$A$2:$A$245,0)),"")</f>
        <v/>
      </c>
      <c r="N4398" s="34">
        <f>IF($K4398=1,L4398-M4398,"")</f>
        <v/>
      </c>
      <c r="O4398" s="34" t="n">
        <v>0.00043739</v>
      </c>
      <c r="P4398" s="34">
        <f>IF($J4398=1,LN(1+O4398),"")</f>
        <v/>
      </c>
      <c r="Q4398" s="34">
        <f>IF($J4398=1,LN(R4399/R4398),"")</f>
        <v/>
      </c>
      <c r="R4398" s="32" t="n">
        <v>4.949</v>
      </c>
      <c r="S4398" s="35" t="n">
        <v>10.06</v>
      </c>
      <c r="T4398" s="18" t="n">
        <v>126601.55</v>
      </c>
      <c r="U4398" s="18" t="n"/>
      <c r="V4398" s="18" t="n"/>
      <c r="W4398" s="18" t="n"/>
      <c r="X4398" s="35" t="n"/>
      <c r="Y4398" s="35" t="n">
        <v>10.06</v>
      </c>
    </row>
    <row r="4399">
      <c r="A4399" s="25" t="n">
        <v>45314</v>
      </c>
      <c r="B4399" s="18" t="n">
        <v>128262.52</v>
      </c>
      <c r="C4399" s="31" t="n"/>
      <c r="D4399" s="32" t="n"/>
      <c r="E4399" s="33" t="n">
        <v>0.8478</v>
      </c>
      <c r="F4399" t="inlineStr">
        <is>
          <t>Up</t>
        </is>
      </c>
      <c r="G4399" t="inlineStr">
        <is>
          <t>Down</t>
        </is>
      </c>
      <c r="H4399" t="inlineStr">
        <is>
          <t>EU_JD</t>
        </is>
      </c>
      <c r="I4399" t="inlineStr">
        <is>
          <t>2024-01</t>
        </is>
      </c>
      <c r="J4399" t="n">
        <v>1</v>
      </c>
      <c r="K4399" t="n">
        <v>1</v>
      </c>
      <c r="L4399" s="34">
        <f>IF($J4399=1,LN(B4400/B4399),"")</f>
        <v/>
      </c>
      <c r="M4399" s="34">
        <f>IF($K4399=1,INDEX(Mensal!$D$2:$D$245,MATCH($I4399,Mensal!$A$2:$A$245,0)),"")</f>
        <v/>
      </c>
      <c r="N4399" s="34">
        <f>IF($K4399=1,L4399-M4399,"")</f>
        <v/>
      </c>
      <c r="O4399" s="34" t="n">
        <v>0.00043739</v>
      </c>
      <c r="P4399" s="34">
        <f>IF($J4399=1,LN(1+O4399),"")</f>
        <v/>
      </c>
      <c r="Q4399" s="34">
        <f>IF($J4399=1,LN(R4400/R4399),"")</f>
        <v/>
      </c>
      <c r="R4399" s="32" t="n">
        <v>4.9715</v>
      </c>
      <c r="S4399" s="35" t="n">
        <v>10.05</v>
      </c>
      <c r="T4399" s="18" t="n">
        <v>128262.52</v>
      </c>
      <c r="U4399" s="18" t="n"/>
      <c r="V4399" s="18" t="n"/>
      <c r="W4399" s="18" t="n"/>
      <c r="X4399" s="35" t="n"/>
      <c r="Y4399" s="35" t="n">
        <v>10.05</v>
      </c>
    </row>
    <row r="4400">
      <c r="A4400" s="25" t="n">
        <v>45315</v>
      </c>
      <c r="B4400" s="18" t="n">
        <v>127815.7</v>
      </c>
      <c r="C4400" s="31" t="n"/>
      <c r="D4400" s="32" t="n"/>
      <c r="E4400" s="33" t="n">
        <v>0.8104</v>
      </c>
      <c r="F4400" t="inlineStr">
        <is>
          <t>Up</t>
        </is>
      </c>
      <c r="G4400" t="inlineStr">
        <is>
          <t>Down</t>
        </is>
      </c>
      <c r="H4400" t="inlineStr">
        <is>
          <t>EU_JD</t>
        </is>
      </c>
      <c r="I4400" t="inlineStr">
        <is>
          <t>2024-01</t>
        </is>
      </c>
      <c r="J4400" t="n">
        <v>1</v>
      </c>
      <c r="K4400" t="n">
        <v>1</v>
      </c>
      <c r="L4400" s="34">
        <f>IF($J4400=1,LN(B4401/B4400),"")</f>
        <v/>
      </c>
      <c r="M4400" s="34">
        <f>IF($K4400=1,INDEX(Mensal!$D$2:$D$245,MATCH($I4400,Mensal!$A$2:$A$245,0)),"")</f>
        <v/>
      </c>
      <c r="N4400" s="34">
        <f>IF($K4400=1,L4400-M4400,"")</f>
        <v/>
      </c>
      <c r="O4400" s="34" t="n">
        <v>0.00043739</v>
      </c>
      <c r="P4400" s="34">
        <f>IF($J4400=1,LN(1+O4400),"")</f>
        <v/>
      </c>
      <c r="Q4400" s="34">
        <f>IF($J4400=1,LN(R4401/R4400),"")</f>
        <v/>
      </c>
      <c r="R4400" s="32" t="n">
        <v>4.9192</v>
      </c>
      <c r="S4400" s="35" t="n">
        <v>10.03</v>
      </c>
      <c r="T4400" s="18" t="n">
        <v>127815.7</v>
      </c>
      <c r="U4400" s="18" t="n"/>
      <c r="V4400" s="18" t="n"/>
      <c r="W4400" s="18" t="n"/>
      <c r="X4400" s="35" t="n"/>
      <c r="Y4400" s="35" t="n">
        <v>10.03</v>
      </c>
    </row>
    <row r="4401">
      <c r="A4401" s="25" t="n">
        <v>45316</v>
      </c>
      <c r="B4401" s="18" t="n">
        <v>128168.73</v>
      </c>
      <c r="C4401" s="31" t="n"/>
      <c r="D4401" s="32" t="n"/>
      <c r="E4401" s="33" t="n">
        <v>0.7779</v>
      </c>
      <c r="F4401" t="inlineStr">
        <is>
          <t>Up</t>
        </is>
      </c>
      <c r="G4401" t="inlineStr">
        <is>
          <t>Down</t>
        </is>
      </c>
      <c r="H4401" t="inlineStr">
        <is>
          <t>EU_JD</t>
        </is>
      </c>
      <c r="I4401" t="inlineStr">
        <is>
          <t>2024-01</t>
        </is>
      </c>
      <c r="J4401" t="n">
        <v>1</v>
      </c>
      <c r="K4401" t="n">
        <v>1</v>
      </c>
      <c r="L4401" s="34">
        <f>IF($J4401=1,LN(B4402/B4401),"")</f>
        <v/>
      </c>
      <c r="M4401" s="34">
        <f>IF($K4401=1,INDEX(Mensal!$D$2:$D$245,MATCH($I4401,Mensal!$A$2:$A$245,0)),"")</f>
        <v/>
      </c>
      <c r="N4401" s="34">
        <f>IF($K4401=1,L4401-M4401,"")</f>
        <v/>
      </c>
      <c r="O4401" s="34" t="n">
        <v>0.00043739</v>
      </c>
      <c r="P4401" s="34">
        <f>IF($J4401=1,LN(1+O4401),"")</f>
        <v/>
      </c>
      <c r="Q4401" s="34">
        <f>IF($J4401=1,LN(R4402/R4401),"")</f>
        <v/>
      </c>
      <c r="R4401" s="32" t="n">
        <v>4.9232</v>
      </c>
      <c r="S4401" s="35" t="n">
        <v>9.98</v>
      </c>
      <c r="T4401" s="18" t="n">
        <v>128168.73</v>
      </c>
      <c r="U4401" s="18" t="n"/>
      <c r="V4401" s="18" t="n"/>
      <c r="W4401" s="18" t="n"/>
      <c r="X4401" s="35" t="n"/>
      <c r="Y4401" s="35" t="n">
        <v>9.98</v>
      </c>
    </row>
    <row r="4402">
      <c r="A4402" s="25" t="n">
        <v>45317</v>
      </c>
      <c r="B4402" s="18" t="n">
        <v>128967.32</v>
      </c>
      <c r="C4402" s="31" t="n"/>
      <c r="D4402" s="32" t="n"/>
      <c r="E4402" s="33" t="n">
        <v>0.7433999999999999</v>
      </c>
      <c r="F4402" t="inlineStr">
        <is>
          <t>Up</t>
        </is>
      </c>
      <c r="G4402" t="inlineStr">
        <is>
          <t>Down</t>
        </is>
      </c>
      <c r="H4402" t="inlineStr">
        <is>
          <t>EU_JD</t>
        </is>
      </c>
      <c r="I4402" t="inlineStr">
        <is>
          <t>2024-01</t>
        </is>
      </c>
      <c r="J4402" t="n">
        <v>1</v>
      </c>
      <c r="K4402" t="n">
        <v>1</v>
      </c>
      <c r="L4402" s="34">
        <f>IF($J4402=1,LN(B4403/B4402),"")</f>
        <v/>
      </c>
      <c r="M4402" s="34">
        <f>IF($K4402=1,INDEX(Mensal!$D$2:$D$245,MATCH($I4402,Mensal!$A$2:$A$245,0)),"")</f>
        <v/>
      </c>
      <c r="N4402" s="34">
        <f>IF($K4402=1,L4402-M4402,"")</f>
        <v/>
      </c>
      <c r="O4402" s="34" t="n">
        <v>0.00043739</v>
      </c>
      <c r="P4402" s="34">
        <f>IF($J4402=1,LN(1+O4402),"")</f>
        <v/>
      </c>
      <c r="Q4402" s="34">
        <f>IF($J4402=1,LN(R4403/R4402),"")</f>
        <v/>
      </c>
      <c r="R4402" s="32" t="n">
        <v>4.9125</v>
      </c>
      <c r="S4402" s="35" t="n">
        <v>9.92</v>
      </c>
      <c r="T4402" s="18" t="n">
        <v>128967.32</v>
      </c>
      <c r="U4402" s="18" t="n"/>
      <c r="V4402" s="18" t="n"/>
      <c r="W4402" s="18" t="n"/>
      <c r="X4402" s="35" t="n"/>
      <c r="Y4402" s="35" t="n">
        <v>9.92</v>
      </c>
    </row>
    <row r="4403">
      <c r="A4403" s="25" t="n">
        <v>45320</v>
      </c>
      <c r="B4403" s="18" t="n">
        <v>128502.66</v>
      </c>
      <c r="C4403" s="31" t="n"/>
      <c r="D4403" s="32" t="n"/>
      <c r="E4403" s="33" t="n">
        <v>0.7155</v>
      </c>
      <c r="F4403" t="inlineStr">
        <is>
          <t>Up</t>
        </is>
      </c>
      <c r="G4403" t="inlineStr">
        <is>
          <t>Down</t>
        </is>
      </c>
      <c r="H4403" t="inlineStr">
        <is>
          <t>EU_JD</t>
        </is>
      </c>
      <c r="I4403" t="inlineStr">
        <is>
          <t>2024-01</t>
        </is>
      </c>
      <c r="J4403" t="n">
        <v>1</v>
      </c>
      <c r="K4403" t="n">
        <v>1</v>
      </c>
      <c r="L4403" s="34">
        <f>IF($J4403=1,LN(B4404/B4403),"")</f>
        <v/>
      </c>
      <c r="M4403" s="34">
        <f>IF($K4403=1,INDEX(Mensal!$D$2:$D$245,MATCH($I4403,Mensal!$A$2:$A$245,0)),"")</f>
        <v/>
      </c>
      <c r="N4403" s="34">
        <f>IF($K4403=1,L4403-M4403,"")</f>
        <v/>
      </c>
      <c r="O4403" s="34" t="n">
        <v>0.00043739</v>
      </c>
      <c r="P4403" s="34">
        <f>IF($J4403=1,LN(1+O4403),"")</f>
        <v/>
      </c>
      <c r="Q4403" s="34">
        <f>IF($J4403=1,LN(R4404/R4403),"")</f>
        <v/>
      </c>
      <c r="R4403" s="32" t="n">
        <v>4.9225</v>
      </c>
      <c r="S4403" s="35" t="n">
        <v>9.93</v>
      </c>
      <c r="T4403" s="18" t="n">
        <v>128502.66</v>
      </c>
      <c r="U4403" s="18" t="n"/>
      <c r="V4403" s="18" t="n"/>
      <c r="W4403" s="18" t="n"/>
      <c r="X4403" s="35" t="n"/>
      <c r="Y4403" s="35" t="n">
        <v>9.93</v>
      </c>
    </row>
    <row r="4404">
      <c r="A4404" s="25" t="n">
        <v>45321</v>
      </c>
      <c r="B4404" s="18" t="n">
        <v>127401.81</v>
      </c>
      <c r="C4404" s="31" t="n"/>
      <c r="D4404" s="32" t="n"/>
      <c r="E4404" s="33" t="n">
        <v>0.6879999999999999</v>
      </c>
      <c r="F4404" t="inlineStr">
        <is>
          <t>Up</t>
        </is>
      </c>
      <c r="G4404" t="inlineStr">
        <is>
          <t>Down</t>
        </is>
      </c>
      <c r="H4404" t="inlineStr">
        <is>
          <t>EU_JD</t>
        </is>
      </c>
      <c r="I4404" t="inlineStr">
        <is>
          <t>2024-01</t>
        </is>
      </c>
      <c r="J4404" t="n">
        <v>1</v>
      </c>
      <c r="K4404" t="n">
        <v>1</v>
      </c>
      <c r="L4404" s="34">
        <f>IF($J4404=1,LN(B4405/B4404),"")</f>
        <v/>
      </c>
      <c r="M4404" s="34">
        <f>IF($K4404=1,INDEX(Mensal!$D$2:$D$245,MATCH($I4404,Mensal!$A$2:$A$245,0)),"")</f>
        <v/>
      </c>
      <c r="N4404" s="34">
        <f>IF($K4404=1,L4404-M4404,"")</f>
        <v/>
      </c>
      <c r="O4404" s="34" t="n">
        <v>0.00043739</v>
      </c>
      <c r="P4404" s="34">
        <f>IF($J4404=1,LN(1+O4404),"")</f>
        <v/>
      </c>
      <c r="Q4404" s="34">
        <f>IF($J4404=1,LN(R4405/R4404),"")</f>
        <v/>
      </c>
      <c r="R4404" s="32" t="n">
        <v>4.9638</v>
      </c>
      <c r="S4404" s="35" t="n">
        <v>9.949999999999999</v>
      </c>
      <c r="T4404" s="18" t="n">
        <v>127401.81</v>
      </c>
      <c r="U4404" s="18" t="n"/>
      <c r="V4404" s="18" t="n"/>
      <c r="W4404" s="18" t="n"/>
      <c r="X4404" s="35" t="n"/>
      <c r="Y4404" s="35" t="n">
        <v>9.949999999999999</v>
      </c>
    </row>
    <row r="4405">
      <c r="A4405" s="25" t="n">
        <v>45322</v>
      </c>
      <c r="B4405" s="18" t="n">
        <v>127752.28</v>
      </c>
      <c r="C4405" s="31" t="n"/>
      <c r="D4405" s="32" t="n"/>
      <c r="E4405" s="33" t="n">
        <v>0.6657</v>
      </c>
      <c r="F4405" t="inlineStr">
        <is>
          <t>Up</t>
        </is>
      </c>
      <c r="G4405" t="inlineStr">
        <is>
          <t>Down</t>
        </is>
      </c>
      <c r="H4405" t="inlineStr">
        <is>
          <t>EU_JD</t>
        </is>
      </c>
      <c r="I4405" t="inlineStr">
        <is>
          <t>2024-01</t>
        </is>
      </c>
      <c r="J4405" t="n">
        <v>1</v>
      </c>
      <c r="K4405" t="n">
        <v>1</v>
      </c>
      <c r="L4405" s="34">
        <f>IF($J4405=1,LN(B4406/B4405),"")</f>
        <v/>
      </c>
      <c r="M4405" s="34">
        <f>IF($K4405=1,INDEX(Mensal!$D$2:$D$245,MATCH($I4405,Mensal!$A$2:$A$245,0)),"")</f>
        <v/>
      </c>
      <c r="N4405" s="34">
        <f>IF($K4405=1,L4405-M4405,"")</f>
        <v/>
      </c>
      <c r="O4405" s="34" t="n">
        <v>0.00043739</v>
      </c>
      <c r="P4405" s="34">
        <f>IF($J4405=1,LN(1+O4405),"")</f>
        <v/>
      </c>
      <c r="Q4405" s="34">
        <f>IF($J4405=1,LN(R4406/R4405),"")</f>
        <v/>
      </c>
      <c r="R4405" s="32" t="n">
        <v>4.9535</v>
      </c>
      <c r="S4405" s="35" t="n">
        <v>9.91</v>
      </c>
      <c r="T4405" s="18" t="n">
        <v>127752.28</v>
      </c>
      <c r="U4405" s="18" t="n"/>
      <c r="V4405" s="18" t="n"/>
      <c r="W4405" s="18" t="n"/>
      <c r="X4405" s="35" t="n"/>
      <c r="Y4405" s="35" t="n">
        <v>9.91</v>
      </c>
    </row>
    <row r="4406">
      <c r="A4406" s="25" t="n">
        <v>45323</v>
      </c>
      <c r="B4406" s="18" t="n">
        <v>128481.02</v>
      </c>
      <c r="C4406" s="31" t="n"/>
      <c r="D4406" s="32" t="n"/>
      <c r="E4406" s="33" t="n">
        <v>0.6435</v>
      </c>
      <c r="F4406" t="inlineStr">
        <is>
          <t>Up</t>
        </is>
      </c>
      <c r="G4406" t="inlineStr">
        <is>
          <t>Down</t>
        </is>
      </c>
      <c r="H4406" t="inlineStr">
        <is>
          <t>EU_JD</t>
        </is>
      </c>
      <c r="I4406" t="inlineStr">
        <is>
          <t>2024-02</t>
        </is>
      </c>
      <c r="J4406" t="n">
        <v>1</v>
      </c>
      <c r="K4406" t="n">
        <v>1</v>
      </c>
      <c r="L4406" s="34">
        <f>IF($J4406=1,LN(B4407/B4406),"")</f>
        <v/>
      </c>
      <c r="M4406" s="34">
        <f>IF($K4406=1,INDEX(Mensal!$D$2:$D$245,MATCH($I4406,Mensal!$A$2:$A$245,0)),"")</f>
        <v/>
      </c>
      <c r="N4406" s="34">
        <f>IF($K4406=1,L4406-M4406,"")</f>
        <v/>
      </c>
      <c r="O4406" s="34" t="n">
        <v>0.00041957</v>
      </c>
      <c r="P4406" s="34">
        <f>IF($J4406=1,LN(1+O4406),"")</f>
        <v/>
      </c>
      <c r="Q4406" s="34">
        <f>IF($J4406=1,LN(R4407/R4406),"")</f>
        <v/>
      </c>
      <c r="R4406" s="32" t="n">
        <v>4.935</v>
      </c>
      <c r="S4406" s="35" t="n">
        <v>9.890000000000001</v>
      </c>
      <c r="T4406" s="18" t="n">
        <v>128481.02</v>
      </c>
      <c r="U4406" s="18" t="n"/>
      <c r="V4406" s="18" t="n"/>
      <c r="W4406" s="18" t="n"/>
      <c r="X4406" s="35" t="n"/>
      <c r="Y4406" s="35" t="n">
        <v>9.890000000000001</v>
      </c>
    </row>
    <row r="4407">
      <c r="A4407" s="25" t="n">
        <v>45324</v>
      </c>
      <c r="B4407" s="18" t="n">
        <v>127182.25</v>
      </c>
      <c r="C4407" s="31" t="n"/>
      <c r="D4407" s="32" t="n"/>
      <c r="E4407" s="33" t="n">
        <v>0.6133</v>
      </c>
      <c r="F4407" t="inlineStr">
        <is>
          <t>Up</t>
        </is>
      </c>
      <c r="G4407" t="inlineStr">
        <is>
          <t>Down</t>
        </is>
      </c>
      <c r="H4407" t="inlineStr">
        <is>
          <t>EU_JD</t>
        </is>
      </c>
      <c r="I4407" t="inlineStr">
        <is>
          <t>2024-02</t>
        </is>
      </c>
      <c r="J4407" t="n">
        <v>1</v>
      </c>
      <c r="K4407" t="n">
        <v>1</v>
      </c>
      <c r="L4407" s="34">
        <f>IF($J4407=1,LN(B4408/B4407),"")</f>
        <v/>
      </c>
      <c r="M4407" s="34">
        <f>IF($K4407=1,INDEX(Mensal!$D$2:$D$245,MATCH($I4407,Mensal!$A$2:$A$245,0)),"")</f>
        <v/>
      </c>
      <c r="N4407" s="34">
        <f>IF($K4407=1,L4407-M4407,"")</f>
        <v/>
      </c>
      <c r="O4407" s="34" t="n">
        <v>0.00041957</v>
      </c>
      <c r="P4407" s="34">
        <f>IF($J4407=1,LN(1+O4407),"")</f>
        <v/>
      </c>
      <c r="Q4407" s="34">
        <f>IF($J4407=1,LN(R4408/R4407),"")</f>
        <v/>
      </c>
      <c r="R4407" s="32" t="n">
        <v>4.9471</v>
      </c>
      <c r="S4407" s="35" t="n">
        <v>9.94</v>
      </c>
      <c r="T4407" s="18" t="n">
        <v>127182.25</v>
      </c>
      <c r="U4407" s="18" t="n"/>
      <c r="V4407" s="18" t="n"/>
      <c r="W4407" s="18" t="n"/>
      <c r="X4407" s="35" t="n"/>
      <c r="Y4407" s="35" t="n">
        <v>9.94</v>
      </c>
    </row>
    <row r="4408">
      <c r="A4408" s="25" t="n">
        <v>45327</v>
      </c>
      <c r="B4408" s="18" t="n">
        <v>127593.49</v>
      </c>
      <c r="C4408" s="31" t="n"/>
      <c r="D4408" s="32" t="n"/>
      <c r="E4408" s="33" t="n">
        <v>0.5826</v>
      </c>
      <c r="F4408" t="inlineStr">
        <is>
          <t>Up</t>
        </is>
      </c>
      <c r="G4408" t="inlineStr">
        <is>
          <t>Down</t>
        </is>
      </c>
      <c r="H4408" t="inlineStr">
        <is>
          <t>EU_JD</t>
        </is>
      </c>
      <c r="I4408" t="inlineStr">
        <is>
          <t>2024-02</t>
        </is>
      </c>
      <c r="J4408" t="n">
        <v>1</v>
      </c>
      <c r="K4408" t="n">
        <v>1</v>
      </c>
      <c r="L4408" s="34">
        <f>IF($J4408=1,LN(B4409/B4408),"")</f>
        <v/>
      </c>
      <c r="M4408" s="34">
        <f>IF($K4408=1,INDEX(Mensal!$D$2:$D$245,MATCH($I4408,Mensal!$A$2:$A$245,0)),"")</f>
        <v/>
      </c>
      <c r="N4408" s="34">
        <f>IF($K4408=1,L4408-M4408,"")</f>
        <v/>
      </c>
      <c r="O4408" s="34" t="n">
        <v>0.00041957</v>
      </c>
      <c r="P4408" s="34">
        <f>IF($J4408=1,LN(1+O4408),"")</f>
        <v/>
      </c>
      <c r="Q4408" s="34">
        <f>IF($J4408=1,LN(R4409/R4408),"")</f>
        <v/>
      </c>
      <c r="R4408" s="32" t="n">
        <v>5.0053</v>
      </c>
      <c r="S4408" s="35" t="n">
        <v>9.93</v>
      </c>
      <c r="T4408" s="18" t="n">
        <v>127593.49</v>
      </c>
      <c r="U4408" s="18" t="n"/>
      <c r="V4408" s="18" t="n"/>
      <c r="W4408" s="18" t="n"/>
      <c r="X4408" s="35" t="n"/>
      <c r="Y4408" s="35" t="n">
        <v>9.93</v>
      </c>
    </row>
    <row r="4409">
      <c r="A4409" s="25" t="n">
        <v>45328</v>
      </c>
      <c r="B4409" s="18" t="n">
        <v>130416.31</v>
      </c>
      <c r="C4409" s="31" t="n"/>
      <c r="D4409" s="32" t="n"/>
      <c r="E4409" s="33" t="n">
        <v>0.5515</v>
      </c>
      <c r="F4409" t="inlineStr">
        <is>
          <t>Up</t>
        </is>
      </c>
      <c r="G4409" t="inlineStr">
        <is>
          <t>Down</t>
        </is>
      </c>
      <c r="H4409" t="inlineStr">
        <is>
          <t>EU_JD</t>
        </is>
      </c>
      <c r="I4409" t="inlineStr">
        <is>
          <t>2024-02</t>
        </is>
      </c>
      <c r="J4409" t="n">
        <v>1</v>
      </c>
      <c r="K4409" t="n">
        <v>1</v>
      </c>
      <c r="L4409" s="34">
        <f>IF($J4409=1,LN(B4410/B4409),"")</f>
        <v/>
      </c>
      <c r="M4409" s="34">
        <f>IF($K4409=1,INDEX(Mensal!$D$2:$D$245,MATCH($I4409,Mensal!$A$2:$A$245,0)),"")</f>
        <v/>
      </c>
      <c r="N4409" s="34">
        <f>IF($K4409=1,L4409-M4409,"")</f>
        <v/>
      </c>
      <c r="O4409" s="34" t="n">
        <v>0.00041957</v>
      </c>
      <c r="P4409" s="34">
        <f>IF($J4409=1,LN(1+O4409),"")</f>
        <v/>
      </c>
      <c r="Q4409" s="34">
        <f>IF($J4409=1,LN(R4410/R4409),"")</f>
        <v/>
      </c>
      <c r="R4409" s="32" t="n">
        <v>4.9687</v>
      </c>
      <c r="S4409" s="35" t="n">
        <v>9.890000000000001</v>
      </c>
      <c r="T4409" s="18" t="n">
        <v>130416.31</v>
      </c>
      <c r="U4409" s="18" t="n"/>
      <c r="V4409" s="18" t="n"/>
      <c r="W4409" s="18" t="n"/>
      <c r="X4409" s="35" t="n"/>
      <c r="Y4409" s="35" t="n">
        <v>9.890000000000001</v>
      </c>
    </row>
    <row r="4410">
      <c r="A4410" s="25" t="n">
        <v>45329</v>
      </c>
      <c r="B4410" s="18" t="n">
        <v>129949.9</v>
      </c>
      <c r="C4410" s="31" t="n"/>
      <c r="D4410" s="32" t="n"/>
      <c r="E4410" s="33" t="n">
        <v>0.5165</v>
      </c>
      <c r="F4410" t="inlineStr">
        <is>
          <t>Up</t>
        </is>
      </c>
      <c r="G4410" t="inlineStr">
        <is>
          <t>Down</t>
        </is>
      </c>
      <c r="H4410" t="inlineStr">
        <is>
          <t>EU_JD</t>
        </is>
      </c>
      <c r="I4410" t="inlineStr">
        <is>
          <t>2024-02</t>
        </is>
      </c>
      <c r="J4410" t="n">
        <v>1</v>
      </c>
      <c r="K4410" t="n">
        <v>1</v>
      </c>
      <c r="L4410" s="34">
        <f>IF($J4410=1,LN(B4411/B4410),"")</f>
        <v/>
      </c>
      <c r="M4410" s="34">
        <f>IF($K4410=1,INDEX(Mensal!$D$2:$D$245,MATCH($I4410,Mensal!$A$2:$A$245,0)),"")</f>
        <v/>
      </c>
      <c r="N4410" s="34">
        <f>IF($K4410=1,L4410-M4410,"")</f>
        <v/>
      </c>
      <c r="O4410" s="34" t="n">
        <v>0.00041957</v>
      </c>
      <c r="P4410" s="34">
        <f>IF($J4410=1,LN(1+O4410),"")</f>
        <v/>
      </c>
      <c r="Q4410" s="34">
        <f>IF($J4410=1,LN(R4411/R4410),"")</f>
        <v/>
      </c>
      <c r="R4410" s="32" t="n">
        <v>4.9608</v>
      </c>
      <c r="S4410" s="35" t="n">
        <v>9.9</v>
      </c>
      <c r="T4410" s="18" t="n">
        <v>129949.9</v>
      </c>
      <c r="U4410" s="18" t="n"/>
      <c r="V4410" s="18" t="n"/>
      <c r="W4410" s="18" t="n"/>
      <c r="X4410" s="35" t="n"/>
      <c r="Y4410" s="35" t="n">
        <v>9.9</v>
      </c>
    </row>
    <row r="4411">
      <c r="A4411" s="25" t="n">
        <v>45330</v>
      </c>
      <c r="B4411" s="18" t="n">
        <v>128216.92</v>
      </c>
      <c r="C4411" s="31" t="n"/>
      <c r="D4411" s="32" t="n"/>
      <c r="E4411" s="33" t="n">
        <v>0.4725</v>
      </c>
      <c r="F4411" t="inlineStr">
        <is>
          <t>Up</t>
        </is>
      </c>
      <c r="G4411" t="inlineStr">
        <is>
          <t>Down</t>
        </is>
      </c>
      <c r="H4411" t="inlineStr">
        <is>
          <t>EU_JD</t>
        </is>
      </c>
      <c r="I4411" t="inlineStr">
        <is>
          <t>2024-02</t>
        </is>
      </c>
      <c r="J4411" t="n">
        <v>1</v>
      </c>
      <c r="K4411" t="n">
        <v>1</v>
      </c>
      <c r="L4411" s="34">
        <f>IF($J4411=1,LN(B4412/B4411),"")</f>
        <v/>
      </c>
      <c r="M4411" s="34">
        <f>IF($K4411=1,INDEX(Mensal!$D$2:$D$245,MATCH($I4411,Mensal!$A$2:$A$245,0)),"")</f>
        <v/>
      </c>
      <c r="N4411" s="34">
        <f>IF($K4411=1,L4411-M4411,"")</f>
        <v/>
      </c>
      <c r="O4411" s="34" t="n">
        <v>0.00041957</v>
      </c>
      <c r="P4411" s="34">
        <f>IF($J4411=1,LN(1+O4411),"")</f>
        <v/>
      </c>
      <c r="Q4411" s="34">
        <f>IF($J4411=1,LN(R4412/R4411),"")</f>
        <v/>
      </c>
      <c r="R4411" s="32" t="n">
        <v>4.9804</v>
      </c>
      <c r="S4411" s="35" t="n">
        <v>9.949999999999999</v>
      </c>
      <c r="T4411" s="18" t="n">
        <v>128216.92</v>
      </c>
      <c r="U4411" s="18" t="n"/>
      <c r="V4411" s="18" t="n"/>
      <c r="W4411" s="18" t="n"/>
      <c r="X4411" s="35" t="n"/>
      <c r="Y4411" s="35" t="n">
        <v>9.949999999999999</v>
      </c>
    </row>
    <row r="4412">
      <c r="A4412" s="25" t="n">
        <v>45331</v>
      </c>
      <c r="B4412" s="18" t="n">
        <v>128025.7</v>
      </c>
      <c r="C4412" s="31" t="n"/>
      <c r="D4412" s="32" t="n"/>
      <c r="E4412" s="33" t="n">
        <v>0.4244</v>
      </c>
      <c r="F4412" t="inlineStr">
        <is>
          <t>Up</t>
        </is>
      </c>
      <c r="G4412" t="inlineStr">
        <is>
          <t>Down</t>
        </is>
      </c>
      <c r="H4412" t="inlineStr">
        <is>
          <t>EU_JD</t>
        </is>
      </c>
      <c r="I4412" t="inlineStr">
        <is>
          <t>2024-02</t>
        </is>
      </c>
      <c r="J4412" t="n">
        <v>1</v>
      </c>
      <c r="K4412" t="n">
        <v>1</v>
      </c>
      <c r="L4412" s="34">
        <f>IF($J4412=1,LN(B4413/B4412),"")</f>
        <v/>
      </c>
      <c r="M4412" s="34">
        <f>IF($K4412=1,INDEX(Mensal!$D$2:$D$245,MATCH($I4412,Mensal!$A$2:$A$245,0)),"")</f>
        <v/>
      </c>
      <c r="N4412" s="34">
        <f>IF($K4412=1,L4412-M4412,"")</f>
        <v/>
      </c>
      <c r="O4412" s="34" t="n">
        <v>0.00041957</v>
      </c>
      <c r="P4412" s="34">
        <f>IF($J4412=1,LN(1+O4412),"")</f>
        <v/>
      </c>
      <c r="Q4412" s="34">
        <f>IF($J4412=1,LN(R4413/R4412),"")</f>
        <v/>
      </c>
      <c r="R4412" s="32" t="n">
        <v>4.9717</v>
      </c>
      <c r="S4412" s="35" t="n">
        <v>9.949999999999999</v>
      </c>
      <c r="T4412" s="18" t="n">
        <v>128025.7</v>
      </c>
      <c r="U4412" s="18" t="n"/>
      <c r="V4412" s="18" t="n"/>
      <c r="W4412" s="18" t="n"/>
      <c r="X4412" s="35" t="n"/>
      <c r="Y4412" s="35" t="n">
        <v>9.949999999999999</v>
      </c>
    </row>
    <row r="4413">
      <c r="A4413" s="25" t="n">
        <v>45336</v>
      </c>
      <c r="B4413" s="18" t="n">
        <v>127018.29</v>
      </c>
      <c r="C4413" s="31" t="n"/>
      <c r="D4413" s="32" t="n"/>
      <c r="E4413" s="33" t="n">
        <v>0.3905</v>
      </c>
      <c r="F4413" t="inlineStr">
        <is>
          <t>Up</t>
        </is>
      </c>
      <c r="G4413" t="inlineStr">
        <is>
          <t>Down</t>
        </is>
      </c>
      <c r="H4413" t="inlineStr">
        <is>
          <t>EU_JD</t>
        </is>
      </c>
      <c r="I4413" t="inlineStr">
        <is>
          <t>2024-02</t>
        </is>
      </c>
      <c r="J4413" t="n">
        <v>1</v>
      </c>
      <c r="K4413" t="n">
        <v>1</v>
      </c>
      <c r="L4413" s="34">
        <f>IF($J4413=1,LN(B4414/B4413),"")</f>
        <v/>
      </c>
      <c r="M4413" s="34">
        <f>IF($K4413=1,INDEX(Mensal!$D$2:$D$245,MATCH($I4413,Mensal!$A$2:$A$245,0)),"")</f>
        <v/>
      </c>
      <c r="N4413" s="34">
        <f>IF($K4413=1,L4413-M4413,"")</f>
        <v/>
      </c>
      <c r="O4413" s="34" t="n">
        <v>0.00041957</v>
      </c>
      <c r="P4413" s="34">
        <f>IF($J4413=1,LN(1+O4413),"")</f>
        <v/>
      </c>
      <c r="Q4413" s="34">
        <f>IF($J4413=1,LN(R4414/R4413),"")</f>
        <v/>
      </c>
      <c r="R4413" s="32" t="n">
        <v>4.9723</v>
      </c>
      <c r="S4413" s="35" t="n">
        <v>9.960000000000001</v>
      </c>
      <c r="T4413" s="18" t="n">
        <v>127018.29</v>
      </c>
      <c r="U4413" s="18" t="n"/>
      <c r="V4413" s="18" t="n"/>
      <c r="W4413" s="18" t="n"/>
      <c r="X4413" s="35" t="n"/>
      <c r="Y4413" s="35" t="n">
        <v>9.960000000000001</v>
      </c>
    </row>
    <row r="4414">
      <c r="A4414" s="25" t="n">
        <v>45337</v>
      </c>
      <c r="B4414" s="18" t="n">
        <v>127804.13</v>
      </c>
      <c r="C4414" s="31" t="n"/>
      <c r="D4414" s="32" t="n"/>
      <c r="E4414" s="33" t="n">
        <v>0.3545</v>
      </c>
      <c r="F4414" t="inlineStr">
        <is>
          <t>Up</t>
        </is>
      </c>
      <c r="G4414" t="inlineStr">
        <is>
          <t>Down</t>
        </is>
      </c>
      <c r="H4414" t="inlineStr">
        <is>
          <t>EU_JD</t>
        </is>
      </c>
      <c r="I4414" t="inlineStr">
        <is>
          <t>2024-02</t>
        </is>
      </c>
      <c r="J4414" t="n">
        <v>1</v>
      </c>
      <c r="K4414" t="n">
        <v>1</v>
      </c>
      <c r="L4414" s="34">
        <f>IF($J4414=1,LN(B4415/B4414),"")</f>
        <v/>
      </c>
      <c r="M4414" s="34">
        <f>IF($K4414=1,INDEX(Mensal!$D$2:$D$245,MATCH($I4414,Mensal!$A$2:$A$245,0)),"")</f>
        <v/>
      </c>
      <c r="N4414" s="34">
        <f>IF($K4414=1,L4414-M4414,"")</f>
        <v/>
      </c>
      <c r="O4414" s="34" t="n">
        <v>0.00041957</v>
      </c>
      <c r="P4414" s="34">
        <f>IF($J4414=1,LN(1+O4414),"")</f>
        <v/>
      </c>
      <c r="Q4414" s="34">
        <f>IF($J4414=1,LN(R4415/R4414),"")</f>
        <v/>
      </c>
      <c r="R4414" s="32" t="n">
        <v>4.971</v>
      </c>
      <c r="S4414" s="35" t="n">
        <v>9.94</v>
      </c>
      <c r="T4414" s="18" t="n">
        <v>127804.13</v>
      </c>
      <c r="U4414" s="18" t="n"/>
      <c r="V4414" s="18" t="n"/>
      <c r="W4414" s="18" t="n"/>
      <c r="X4414" s="35" t="n"/>
      <c r="Y4414" s="35" t="n">
        <v>9.94</v>
      </c>
    </row>
    <row r="4415">
      <c r="A4415" s="25" t="n">
        <v>45338</v>
      </c>
      <c r="B4415" s="18" t="n">
        <v>128725.88</v>
      </c>
      <c r="C4415" s="31" t="n"/>
      <c r="D4415" s="32" t="n"/>
      <c r="E4415" s="33" t="n">
        <v>0.3136</v>
      </c>
      <c r="F4415" t="inlineStr">
        <is>
          <t>Up</t>
        </is>
      </c>
      <c r="G4415" t="inlineStr">
        <is>
          <t>Down</t>
        </is>
      </c>
      <c r="H4415" t="inlineStr">
        <is>
          <t>EU_JD</t>
        </is>
      </c>
      <c r="I4415" t="inlineStr">
        <is>
          <t>2024-02</t>
        </is>
      </c>
      <c r="J4415" t="n">
        <v>1</v>
      </c>
      <c r="K4415" t="n">
        <v>1</v>
      </c>
      <c r="L4415" s="34">
        <f>IF($J4415=1,LN(B4416/B4415),"")</f>
        <v/>
      </c>
      <c r="M4415" s="34">
        <f>IF($K4415=1,INDEX(Mensal!$D$2:$D$245,MATCH($I4415,Mensal!$A$2:$A$245,0)),"")</f>
        <v/>
      </c>
      <c r="N4415" s="34">
        <f>IF($K4415=1,L4415-M4415,"")</f>
        <v/>
      </c>
      <c r="O4415" s="34" t="n">
        <v>0.00041957</v>
      </c>
      <c r="P4415" s="34">
        <f>IF($J4415=1,LN(1+O4415),"")</f>
        <v/>
      </c>
      <c r="Q4415" s="34">
        <f>IF($J4415=1,LN(R4416/R4415),"")</f>
        <v/>
      </c>
      <c r="R4415" s="32" t="n">
        <v>4.9761</v>
      </c>
      <c r="S4415" s="35" t="n">
        <v>9.99</v>
      </c>
      <c r="T4415" s="18" t="n">
        <v>128725.88</v>
      </c>
      <c r="U4415" s="18" t="n"/>
      <c r="V4415" s="18" t="n"/>
      <c r="W4415" s="18" t="n"/>
      <c r="X4415" s="35" t="n"/>
      <c r="Y4415" s="35" t="n">
        <v>9.99</v>
      </c>
    </row>
    <row r="4416">
      <c r="A4416" s="25" t="n">
        <v>45341</v>
      </c>
      <c r="B4416" s="18" t="n">
        <v>129035.74</v>
      </c>
      <c r="C4416" s="31" t="n"/>
      <c r="D4416" s="32" t="n"/>
      <c r="E4416" s="33" t="n">
        <v>0.2649</v>
      </c>
      <c r="F4416" t="inlineStr">
        <is>
          <t>Up</t>
        </is>
      </c>
      <c r="G4416" t="inlineStr">
        <is>
          <t>Down</t>
        </is>
      </c>
      <c r="H4416" t="inlineStr">
        <is>
          <t>EU_JD</t>
        </is>
      </c>
      <c r="I4416" t="inlineStr">
        <is>
          <t>2024-02</t>
        </is>
      </c>
      <c r="J4416" t="n">
        <v>1</v>
      </c>
      <c r="K4416" t="n">
        <v>1</v>
      </c>
      <c r="L4416" s="34">
        <f>IF($J4416=1,LN(B4417/B4416),"")</f>
        <v/>
      </c>
      <c r="M4416" s="34">
        <f>IF($K4416=1,INDEX(Mensal!$D$2:$D$245,MATCH($I4416,Mensal!$A$2:$A$245,0)),"")</f>
        <v/>
      </c>
      <c r="N4416" s="34">
        <f>IF($K4416=1,L4416-M4416,"")</f>
        <v/>
      </c>
      <c r="O4416" s="34" t="n">
        <v>0.00041957</v>
      </c>
      <c r="P4416" s="34">
        <f>IF($J4416=1,LN(1+O4416),"")</f>
        <v/>
      </c>
      <c r="Q4416" s="34">
        <f>IF($J4416=1,LN(R4417/R4416),"")</f>
        <v/>
      </c>
      <c r="R4416" s="32" t="n">
        <v>4.9585</v>
      </c>
      <c r="S4416" s="35" t="n">
        <v>9.960000000000001</v>
      </c>
      <c r="T4416" s="18" t="n">
        <v>129035.74</v>
      </c>
      <c r="U4416" s="18" t="n"/>
      <c r="V4416" s="18" t="n"/>
      <c r="W4416" s="18" t="n"/>
      <c r="X4416" s="35" t="n"/>
      <c r="Y4416" s="35" t="n">
        <v>9.960000000000001</v>
      </c>
    </row>
    <row r="4417">
      <c r="A4417" s="25" t="n">
        <v>45342</v>
      </c>
      <c r="B4417" s="18" t="n">
        <v>129916.11</v>
      </c>
      <c r="C4417" s="31" t="n"/>
      <c r="D4417" s="32" t="n"/>
      <c r="E4417" s="33" t="n">
        <v>0.2171</v>
      </c>
      <c r="F4417" t="inlineStr">
        <is>
          <t>Up</t>
        </is>
      </c>
      <c r="G4417" t="inlineStr">
        <is>
          <t>Down</t>
        </is>
      </c>
      <c r="H4417" t="inlineStr">
        <is>
          <t>EU_JD</t>
        </is>
      </c>
      <c r="I4417" t="inlineStr">
        <is>
          <t>2024-02</t>
        </is>
      </c>
      <c r="J4417" t="n">
        <v>1</v>
      </c>
      <c r="K4417" t="n">
        <v>1</v>
      </c>
      <c r="L4417" s="34">
        <f>IF($J4417=1,LN(B4418/B4417),"")</f>
        <v/>
      </c>
      <c r="M4417" s="34">
        <f>IF($K4417=1,INDEX(Mensal!$D$2:$D$245,MATCH($I4417,Mensal!$A$2:$A$245,0)),"")</f>
        <v/>
      </c>
      <c r="N4417" s="34">
        <f>IF($K4417=1,L4417-M4417,"")</f>
        <v/>
      </c>
      <c r="O4417" s="34" t="n">
        <v>0.00041957</v>
      </c>
      <c r="P4417" s="34">
        <f>IF($J4417=1,LN(1+O4417),"")</f>
        <v/>
      </c>
      <c r="Q4417" s="34">
        <f>IF($J4417=1,LN(R4418/R4417),"")</f>
        <v/>
      </c>
      <c r="R4417" s="32" t="n">
        <v>4.9408</v>
      </c>
      <c r="S4417" s="35" t="n">
        <v>9.92</v>
      </c>
      <c r="T4417" s="18" t="n">
        <v>129916.11</v>
      </c>
      <c r="U4417" s="18" t="n"/>
      <c r="V4417" s="18" t="n"/>
      <c r="W4417" s="18" t="n"/>
      <c r="X4417" s="35" t="n"/>
      <c r="Y4417" s="35" t="n">
        <v>9.92</v>
      </c>
    </row>
    <row r="4418">
      <c r="A4418" s="25" t="n">
        <v>45343</v>
      </c>
      <c r="B4418" s="18" t="n">
        <v>130031.58</v>
      </c>
      <c r="C4418" s="31" t="n"/>
      <c r="D4418" s="32" t="n"/>
      <c r="E4418" s="33" t="n">
        <v>0.1668</v>
      </c>
      <c r="F4418" t="inlineStr">
        <is>
          <t>Up</t>
        </is>
      </c>
      <c r="G4418" t="inlineStr">
        <is>
          <t>Down</t>
        </is>
      </c>
      <c r="H4418" t="inlineStr">
        <is>
          <t>EU_JD</t>
        </is>
      </c>
      <c r="I4418" t="inlineStr">
        <is>
          <t>2024-02</t>
        </is>
      </c>
      <c r="J4418" t="n">
        <v>1</v>
      </c>
      <c r="K4418" t="n">
        <v>1</v>
      </c>
      <c r="L4418" s="34">
        <f>IF($J4418=1,LN(B4419/B4418),"")</f>
        <v/>
      </c>
      <c r="M4418" s="34">
        <f>IF($K4418=1,INDEX(Mensal!$D$2:$D$245,MATCH($I4418,Mensal!$A$2:$A$245,0)),"")</f>
        <v/>
      </c>
      <c r="N4418" s="34">
        <f>IF($K4418=1,L4418-M4418,"")</f>
        <v/>
      </c>
      <c r="O4418" s="34" t="n">
        <v>0.00041957</v>
      </c>
      <c r="P4418" s="34">
        <f>IF($J4418=1,LN(1+O4418),"")</f>
        <v/>
      </c>
      <c r="Q4418" s="34">
        <f>IF($J4418=1,LN(R4419/R4418),"")</f>
        <v/>
      </c>
      <c r="R4418" s="32" t="n">
        <v>4.9303</v>
      </c>
      <c r="S4418" s="35" t="n">
        <v>9.91</v>
      </c>
      <c r="T4418" s="18" t="n">
        <v>130031.58</v>
      </c>
      <c r="U4418" s="18" t="n"/>
      <c r="V4418" s="18" t="n"/>
      <c r="W4418" s="18" t="n"/>
      <c r="X4418" s="35" t="n"/>
      <c r="Y4418" s="35" t="n">
        <v>9.91</v>
      </c>
    </row>
    <row r="4419">
      <c r="A4419" s="25" t="n">
        <v>45344</v>
      </c>
      <c r="B4419" s="18" t="n">
        <v>130240.55</v>
      </c>
      <c r="C4419" s="31" t="n"/>
      <c r="D4419" s="32" t="n"/>
      <c r="E4419" s="33" t="n">
        <v>0.1306</v>
      </c>
      <c r="F4419" t="inlineStr">
        <is>
          <t>Up</t>
        </is>
      </c>
      <c r="G4419" t="inlineStr">
        <is>
          <t>Down</t>
        </is>
      </c>
      <c r="H4419" t="inlineStr">
        <is>
          <t>EU_JD</t>
        </is>
      </c>
      <c r="I4419" t="inlineStr">
        <is>
          <t>2024-02</t>
        </is>
      </c>
      <c r="J4419" t="n">
        <v>1</v>
      </c>
      <c r="K4419" t="n">
        <v>1</v>
      </c>
      <c r="L4419" s="34">
        <f>IF($J4419=1,LN(B4420/B4419),"")</f>
        <v/>
      </c>
      <c r="M4419" s="34">
        <f>IF($K4419=1,INDEX(Mensal!$D$2:$D$245,MATCH($I4419,Mensal!$A$2:$A$245,0)),"")</f>
        <v/>
      </c>
      <c r="N4419" s="34">
        <f>IF($K4419=1,L4419-M4419,"")</f>
        <v/>
      </c>
      <c r="O4419" s="34" t="n">
        <v>0.00041957</v>
      </c>
      <c r="P4419" s="34">
        <f>IF($J4419=1,LN(1+O4419),"")</f>
        <v/>
      </c>
      <c r="Q4419" s="34">
        <f>IF($J4419=1,LN(R4420/R4419),"")</f>
        <v/>
      </c>
      <c r="R4419" s="32" t="n">
        <v>4.9419</v>
      </c>
      <c r="S4419" s="35" t="n">
        <v>9.949999999999999</v>
      </c>
      <c r="T4419" s="18" t="n">
        <v>130240.55</v>
      </c>
      <c r="U4419" s="18" t="n"/>
      <c r="V4419" s="18" t="n"/>
      <c r="W4419" s="18" t="n"/>
      <c r="X4419" s="35" t="n"/>
      <c r="Y4419" s="35" t="n">
        <v>9.949999999999999</v>
      </c>
    </row>
    <row r="4420">
      <c r="A4420" s="25" t="n">
        <v>45345</v>
      </c>
      <c r="B4420" s="18" t="n">
        <v>129418.73</v>
      </c>
      <c r="C4420" s="31" t="n"/>
      <c r="D4420" s="32" t="n"/>
      <c r="E4420" s="33" t="n">
        <v>0.0927</v>
      </c>
      <c r="F4420" t="inlineStr">
        <is>
          <t>Up</t>
        </is>
      </c>
      <c r="G4420" t="inlineStr">
        <is>
          <t>Down</t>
        </is>
      </c>
      <c r="H4420" t="inlineStr">
        <is>
          <t>EU_JD</t>
        </is>
      </c>
      <c r="I4420" t="inlineStr">
        <is>
          <t>2024-02</t>
        </is>
      </c>
      <c r="J4420" t="n">
        <v>1</v>
      </c>
      <c r="K4420" t="n">
        <v>1</v>
      </c>
      <c r="L4420" s="34">
        <f>IF($J4420=1,LN(B4421/B4420),"")</f>
        <v/>
      </c>
      <c r="M4420" s="34">
        <f>IF($K4420=1,INDEX(Mensal!$D$2:$D$245,MATCH($I4420,Mensal!$A$2:$A$245,0)),"")</f>
        <v/>
      </c>
      <c r="N4420" s="34">
        <f>IF($K4420=1,L4420-M4420,"")</f>
        <v/>
      </c>
      <c r="O4420" s="34" t="n">
        <v>0.00041957</v>
      </c>
      <c r="P4420" s="34">
        <f>IF($J4420=1,LN(1+O4420),"")</f>
        <v/>
      </c>
      <c r="Q4420" s="34">
        <f>IF($J4420=1,LN(R4421/R4420),"")</f>
        <v/>
      </c>
      <c r="R4420" s="32" t="n">
        <v>4.9851</v>
      </c>
      <c r="S4420" s="35" t="n">
        <v>9.949999999999999</v>
      </c>
      <c r="T4420" s="18" t="n">
        <v>129418.73</v>
      </c>
      <c r="U4420" s="18" t="n"/>
      <c r="V4420" s="18" t="n"/>
      <c r="W4420" s="18" t="n"/>
      <c r="X4420" s="35" t="n"/>
      <c r="Y4420" s="35" t="n">
        <v>9.949999999999999</v>
      </c>
    </row>
    <row r="4421">
      <c r="A4421" s="25" t="n">
        <v>45348</v>
      </c>
      <c r="B4421" s="18" t="n">
        <v>129609.05</v>
      </c>
      <c r="C4421" s="31" t="n"/>
      <c r="D4421" s="32" t="n"/>
      <c r="E4421" s="33" t="n">
        <v>0.0718</v>
      </c>
      <c r="F4421" t="inlineStr">
        <is>
          <t>Up</t>
        </is>
      </c>
      <c r="G4421" t="inlineStr">
        <is>
          <t>Down</t>
        </is>
      </c>
      <c r="H4421" t="inlineStr">
        <is>
          <t>EU_JD</t>
        </is>
      </c>
      <c r="I4421" t="inlineStr">
        <is>
          <t>2024-02</t>
        </is>
      </c>
      <c r="J4421" t="n">
        <v>1</v>
      </c>
      <c r="K4421" t="n">
        <v>1</v>
      </c>
      <c r="L4421" s="34">
        <f>IF($J4421=1,LN(B4422/B4421),"")</f>
        <v/>
      </c>
      <c r="M4421" s="34">
        <f>IF($K4421=1,INDEX(Mensal!$D$2:$D$245,MATCH($I4421,Mensal!$A$2:$A$245,0)),"")</f>
        <v/>
      </c>
      <c r="N4421" s="34">
        <f>IF($K4421=1,L4421-M4421,"")</f>
        <v/>
      </c>
      <c r="O4421" s="34" t="n">
        <v>0.00041957</v>
      </c>
      <c r="P4421" s="34">
        <f>IF($J4421=1,LN(1+O4421),"")</f>
        <v/>
      </c>
      <c r="Q4421" s="34">
        <f>IF($J4421=1,LN(R4422/R4421),"")</f>
        <v/>
      </c>
      <c r="R4421" s="32" t="n">
        <v>4.9819</v>
      </c>
      <c r="S4421" s="35" t="n">
        <v>9.98</v>
      </c>
      <c r="T4421" s="18" t="n">
        <v>129609.05</v>
      </c>
      <c r="U4421" s="18" t="n"/>
      <c r="V4421" s="18" t="n"/>
      <c r="W4421" s="18" t="n"/>
      <c r="X4421" s="35" t="n"/>
      <c r="Y4421" s="35" t="n">
        <v>9.98</v>
      </c>
    </row>
    <row r="4422">
      <c r="A4422" s="25" t="n">
        <v>45349</v>
      </c>
      <c r="B4422" s="18" t="n">
        <v>131689.37</v>
      </c>
      <c r="C4422" s="31" t="n"/>
      <c r="D4422" s="32" t="n"/>
      <c r="E4422" s="33" t="n">
        <v>0.0527</v>
      </c>
      <c r="F4422" t="inlineStr">
        <is>
          <t>Up</t>
        </is>
      </c>
      <c r="G4422" t="inlineStr">
        <is>
          <t>Down</t>
        </is>
      </c>
      <c r="H4422" t="inlineStr">
        <is>
          <t>EU_JD</t>
        </is>
      </c>
      <c r="I4422" t="inlineStr">
        <is>
          <t>2024-02</t>
        </is>
      </c>
      <c r="J4422" t="n">
        <v>1</v>
      </c>
      <c r="K4422" t="n">
        <v>1</v>
      </c>
      <c r="L4422" s="34">
        <f>IF($J4422=1,LN(B4423/B4422),"")</f>
        <v/>
      </c>
      <c r="M4422" s="34">
        <f>IF($K4422=1,INDEX(Mensal!$D$2:$D$245,MATCH($I4422,Mensal!$A$2:$A$245,0)),"")</f>
        <v/>
      </c>
      <c r="N4422" s="34">
        <f>IF($K4422=1,L4422-M4422,"")</f>
        <v/>
      </c>
      <c r="O4422" s="34" t="n">
        <v>0.00041957</v>
      </c>
      <c r="P4422" s="34">
        <f>IF($J4422=1,LN(1+O4422),"")</f>
        <v/>
      </c>
      <c r="Q4422" s="34">
        <f>IF($J4422=1,LN(R4423/R4422),"")</f>
        <v/>
      </c>
      <c r="R4422" s="32" t="n">
        <v>4.9575</v>
      </c>
      <c r="S4422" s="35" t="n">
        <v>9.9</v>
      </c>
      <c r="T4422" s="18" t="n">
        <v>131689.37</v>
      </c>
      <c r="U4422" s="18" t="n"/>
      <c r="V4422" s="18" t="n"/>
      <c r="W4422" s="18" t="n"/>
      <c r="X4422" s="35" t="n"/>
      <c r="Y4422" s="35" t="n">
        <v>9.9</v>
      </c>
    </row>
    <row r="4423">
      <c r="A4423" s="25" t="n">
        <v>45350</v>
      </c>
      <c r="B4423" s="18" t="n">
        <v>130155.43</v>
      </c>
      <c r="C4423" s="31" t="n"/>
      <c r="D4423" s="32" t="n"/>
      <c r="E4423" s="33" t="n">
        <v>0.0336</v>
      </c>
      <c r="F4423" t="inlineStr">
        <is>
          <t>Up</t>
        </is>
      </c>
      <c r="G4423" t="inlineStr">
        <is>
          <t>Down</t>
        </is>
      </c>
      <c r="H4423" t="inlineStr">
        <is>
          <t>EU_JD</t>
        </is>
      </c>
      <c r="I4423" t="inlineStr">
        <is>
          <t>2024-02</t>
        </is>
      </c>
      <c r="J4423" t="n">
        <v>1</v>
      </c>
      <c r="K4423" t="n">
        <v>1</v>
      </c>
      <c r="L4423" s="34">
        <f>IF($J4423=1,LN(B4424/B4423),"")</f>
        <v/>
      </c>
      <c r="M4423" s="34">
        <f>IF($K4423=1,INDEX(Mensal!$D$2:$D$245,MATCH($I4423,Mensal!$A$2:$A$245,0)),"")</f>
        <v/>
      </c>
      <c r="N4423" s="34">
        <f>IF($K4423=1,L4423-M4423,"")</f>
        <v/>
      </c>
      <c r="O4423" s="34" t="n">
        <v>0.00041957</v>
      </c>
      <c r="P4423" s="34">
        <f>IF($J4423=1,LN(1+O4423),"")</f>
        <v/>
      </c>
      <c r="Q4423" s="34">
        <f>IF($J4423=1,LN(R4424/R4423),"")</f>
        <v/>
      </c>
      <c r="R4423" s="32" t="n">
        <v>4.9557</v>
      </c>
      <c r="S4423" s="35" t="n">
        <v>9.93</v>
      </c>
      <c r="T4423" s="18" t="n">
        <v>130155.43</v>
      </c>
      <c r="U4423" s="18" t="n"/>
      <c r="V4423" s="18" t="n"/>
      <c r="W4423" s="18" t="n"/>
      <c r="X4423" s="35" t="n"/>
      <c r="Y4423" s="35" t="n">
        <v>9.93</v>
      </c>
    </row>
    <row r="4424">
      <c r="A4424" s="25" t="n">
        <v>45351</v>
      </c>
      <c r="B4424" s="18" t="n">
        <v>129020.02</v>
      </c>
      <c r="C4424" s="31" t="n"/>
      <c r="D4424" s="32" t="n"/>
      <c r="E4424" s="33" t="n">
        <v>0.0158</v>
      </c>
      <c r="F4424" t="inlineStr">
        <is>
          <t>Up</t>
        </is>
      </c>
      <c r="G4424" t="inlineStr">
        <is>
          <t>Down</t>
        </is>
      </c>
      <c r="H4424" t="inlineStr">
        <is>
          <t>EU_JD</t>
        </is>
      </c>
      <c r="I4424" t="inlineStr">
        <is>
          <t>2024-02</t>
        </is>
      </c>
      <c r="J4424" t="n">
        <v>1</v>
      </c>
      <c r="K4424" t="n">
        <v>1</v>
      </c>
      <c r="L4424" s="34">
        <f>IF($J4424=1,LN(B4425/B4424),"")</f>
        <v/>
      </c>
      <c r="M4424" s="34">
        <f>IF($K4424=1,INDEX(Mensal!$D$2:$D$245,MATCH($I4424,Mensal!$A$2:$A$245,0)),"")</f>
        <v/>
      </c>
      <c r="N4424" s="34">
        <f>IF($K4424=1,L4424-M4424,"")</f>
        <v/>
      </c>
      <c r="O4424" s="34" t="n">
        <v>0.00041957</v>
      </c>
      <c r="P4424" s="34">
        <f>IF($J4424=1,LN(1+O4424),"")</f>
        <v/>
      </c>
      <c r="Q4424" s="34">
        <f>IF($J4424=1,LN(R4425/R4424),"")</f>
        <v/>
      </c>
      <c r="R4424" s="32" t="n">
        <v>4.9833</v>
      </c>
      <c r="S4424" s="35" t="n">
        <v>9.890000000000001</v>
      </c>
      <c r="T4424" s="18" t="n">
        <v>129020.02</v>
      </c>
      <c r="U4424" s="18" t="n"/>
      <c r="V4424" s="18" t="n"/>
      <c r="W4424" s="18" t="n"/>
      <c r="X4424" s="35" t="n"/>
      <c r="Y4424" s="35" t="n">
        <v>9.890000000000001</v>
      </c>
    </row>
    <row r="4425">
      <c r="A4425" s="25" t="n">
        <v>45352</v>
      </c>
      <c r="B4425" s="18" t="n">
        <v>129180.37</v>
      </c>
      <c r="C4425" s="31" t="n"/>
      <c r="D4425" s="32" t="n"/>
      <c r="E4425" s="33" t="n">
        <v>0.0044</v>
      </c>
      <c r="F4425" t="inlineStr">
        <is>
          <t>Up</t>
        </is>
      </c>
      <c r="G4425" t="inlineStr">
        <is>
          <t>Down</t>
        </is>
      </c>
      <c r="H4425" t="inlineStr">
        <is>
          <t>EU_JD</t>
        </is>
      </c>
      <c r="I4425" t="inlineStr">
        <is>
          <t>2024-03</t>
        </is>
      </c>
      <c r="J4425" t="n">
        <v>1</v>
      </c>
      <c r="K4425" t="n">
        <v>1</v>
      </c>
      <c r="L4425" s="34">
        <f>IF($J4425=1,LN(B4426/B4425),"")</f>
        <v/>
      </c>
      <c r="M4425" s="34">
        <f>IF($K4425=1,INDEX(Mensal!$D$2:$D$245,MATCH($I4425,Mensal!$A$2:$A$245,0)),"")</f>
        <v/>
      </c>
      <c r="N4425" s="34">
        <f>IF($K4425=1,L4425-M4425,"")</f>
        <v/>
      </c>
      <c r="O4425" s="34" t="n">
        <v>0.00041957</v>
      </c>
      <c r="P4425" s="34">
        <f>IF($J4425=1,LN(1+O4425),"")</f>
        <v/>
      </c>
      <c r="Q4425" s="34">
        <f>IF($J4425=1,LN(R4426/R4425),"")</f>
        <v/>
      </c>
      <c r="R4425" s="32" t="n">
        <v>4.9596</v>
      </c>
      <c r="S4425" s="35" t="n">
        <v>9.859999999999999</v>
      </c>
      <c r="T4425" s="18" t="n">
        <v>129180.37</v>
      </c>
      <c r="U4425" s="18" t="n"/>
      <c r="V4425" s="18" t="n"/>
      <c r="W4425" s="18" t="n"/>
      <c r="X4425" s="35" t="n"/>
      <c r="Y4425" s="35" t="n">
        <v>9.859999999999999</v>
      </c>
    </row>
    <row r="4426">
      <c r="A4426" s="25" t="n">
        <v>45355</v>
      </c>
      <c r="B4426" s="18" t="n">
        <v>128340.54</v>
      </c>
      <c r="C4426" s="31" t="n"/>
      <c r="D4426" s="32" t="n"/>
      <c r="E4426" s="33" t="n">
        <v>-0.0105</v>
      </c>
      <c r="F4426" t="inlineStr">
        <is>
          <t>Up</t>
        </is>
      </c>
      <c r="G4426" t="inlineStr">
        <is>
          <t>Down</t>
        </is>
      </c>
      <c r="H4426" t="inlineStr">
        <is>
          <t>EU_JD</t>
        </is>
      </c>
      <c r="I4426" t="inlineStr">
        <is>
          <t>2024-03</t>
        </is>
      </c>
      <c r="J4426" t="n">
        <v>1</v>
      </c>
      <c r="K4426" t="n">
        <v>1</v>
      </c>
      <c r="L4426" s="34">
        <f>IF($J4426=1,LN(B4427/B4426),"")</f>
        <v/>
      </c>
      <c r="M4426" s="34">
        <f>IF($K4426=1,INDEX(Mensal!$D$2:$D$245,MATCH($I4426,Mensal!$A$2:$A$245,0)),"")</f>
        <v/>
      </c>
      <c r="N4426" s="34">
        <f>IF($K4426=1,L4426-M4426,"")</f>
        <v/>
      </c>
      <c r="O4426" s="34" t="n">
        <v>0.00041957</v>
      </c>
      <c r="P4426" s="34">
        <f>IF($J4426=1,LN(1+O4426),"")</f>
        <v/>
      </c>
      <c r="Q4426" s="34">
        <f>IF($J4426=1,LN(R4427/R4426),"")</f>
        <v/>
      </c>
      <c r="R4426" s="32" t="n">
        <v>4.9475</v>
      </c>
      <c r="S4426" s="35" t="n">
        <v>9.85</v>
      </c>
      <c r="T4426" s="18" t="n">
        <v>128340.54</v>
      </c>
      <c r="U4426" s="18" t="n"/>
      <c r="V4426" s="18" t="n"/>
      <c r="W4426" s="18" t="n"/>
      <c r="X4426" s="35" t="n"/>
      <c r="Y4426" s="35" t="n">
        <v>9.85</v>
      </c>
    </row>
    <row r="4427">
      <c r="A4427" s="25" t="n">
        <v>45356</v>
      </c>
      <c r="B4427" s="18" t="n">
        <v>128098.11</v>
      </c>
      <c r="C4427" s="31" t="n"/>
      <c r="D4427" s="32" t="n"/>
      <c r="E4427" s="33" t="n">
        <v>-0.0306</v>
      </c>
      <c r="F4427" t="inlineStr">
        <is>
          <t>Up</t>
        </is>
      </c>
      <c r="G4427" t="inlineStr">
        <is>
          <t>Down</t>
        </is>
      </c>
      <c r="H4427" t="inlineStr">
        <is>
          <t>EU_JD</t>
        </is>
      </c>
      <c r="I4427" t="inlineStr">
        <is>
          <t>2024-03</t>
        </is>
      </c>
      <c r="J4427" t="n">
        <v>1</v>
      </c>
      <c r="K4427" t="n">
        <v>1</v>
      </c>
      <c r="L4427" s="34">
        <f>IF($J4427=1,LN(B4428/B4427),"")</f>
        <v/>
      </c>
      <c r="M4427" s="34">
        <f>IF($K4427=1,INDEX(Mensal!$D$2:$D$245,MATCH($I4427,Mensal!$A$2:$A$245,0)),"")</f>
        <v/>
      </c>
      <c r="N4427" s="34">
        <f>IF($K4427=1,L4427-M4427,"")</f>
        <v/>
      </c>
      <c r="O4427" s="34" t="n">
        <v>0.00041957</v>
      </c>
      <c r="P4427" s="34">
        <f>IF($J4427=1,LN(1+O4427),"")</f>
        <v/>
      </c>
      <c r="Q4427" s="34">
        <f>IF($J4427=1,LN(R4428/R4427),"")</f>
        <v/>
      </c>
      <c r="R4427" s="32" t="n">
        <v>4.9488</v>
      </c>
      <c r="S4427" s="35" t="n">
        <v>9.789999999999999</v>
      </c>
      <c r="T4427" s="18" t="n">
        <v>128098.11</v>
      </c>
      <c r="U4427" s="18" t="n"/>
      <c r="V4427" s="18" t="n"/>
      <c r="W4427" s="18" t="n"/>
      <c r="X4427" s="35" t="n"/>
      <c r="Y4427" s="35" t="n">
        <v>9.789999999999999</v>
      </c>
    </row>
    <row r="4428">
      <c r="A4428" s="25" t="n">
        <v>45357</v>
      </c>
      <c r="B4428" s="18" t="n">
        <v>128890.23</v>
      </c>
      <c r="C4428" s="31" t="n"/>
      <c r="D4428" s="32" t="n"/>
      <c r="E4428" s="33" t="n">
        <v>-0.0524</v>
      </c>
      <c r="F4428" t="inlineStr">
        <is>
          <t>Up</t>
        </is>
      </c>
      <c r="G4428" t="inlineStr">
        <is>
          <t>Down</t>
        </is>
      </c>
      <c r="H4428" t="inlineStr">
        <is>
          <t>EU_JD</t>
        </is>
      </c>
      <c r="I4428" t="inlineStr">
        <is>
          <t>2024-03</t>
        </is>
      </c>
      <c r="J4428" t="n">
        <v>1</v>
      </c>
      <c r="K4428" t="n">
        <v>1</v>
      </c>
      <c r="L4428" s="34">
        <f>IF($J4428=1,LN(B4429/B4428),"")</f>
        <v/>
      </c>
      <c r="M4428" s="34">
        <f>IF($K4428=1,INDEX(Mensal!$D$2:$D$245,MATCH($I4428,Mensal!$A$2:$A$245,0)),"")</f>
        <v/>
      </c>
      <c r="N4428" s="34">
        <f>IF($K4428=1,L4428-M4428,"")</f>
        <v/>
      </c>
      <c r="O4428" s="34" t="n">
        <v>0.00041957</v>
      </c>
      <c r="P4428" s="34">
        <f>IF($J4428=1,LN(1+O4428),"")</f>
        <v/>
      </c>
      <c r="Q4428" s="34">
        <f>IF($J4428=1,LN(R4429/R4428),"")</f>
        <v/>
      </c>
      <c r="R4428" s="32" t="n">
        <v>4.9398</v>
      </c>
      <c r="S4428" s="35" t="n">
        <v>9.800000000000001</v>
      </c>
      <c r="T4428" s="18" t="n">
        <v>128890.23</v>
      </c>
      <c r="U4428" s="18" t="n"/>
      <c r="V4428" s="18" t="n"/>
      <c r="W4428" s="18" t="n"/>
      <c r="X4428" s="35" t="n"/>
      <c r="Y4428" s="35" t="n">
        <v>9.800000000000001</v>
      </c>
    </row>
    <row r="4429">
      <c r="A4429" s="25" t="n">
        <v>45358</v>
      </c>
      <c r="B4429" s="18" t="n">
        <v>128339.76</v>
      </c>
      <c r="C4429" s="31" t="n"/>
      <c r="D4429" s="32" t="n"/>
      <c r="E4429" s="33" t="n">
        <v>-0.074</v>
      </c>
      <c r="F4429" t="inlineStr">
        <is>
          <t>Up</t>
        </is>
      </c>
      <c r="G4429" t="inlineStr">
        <is>
          <t>Down</t>
        </is>
      </c>
      <c r="H4429" t="inlineStr">
        <is>
          <t>EU_JD</t>
        </is>
      </c>
      <c r="I4429" t="inlineStr">
        <is>
          <t>2024-03</t>
        </is>
      </c>
      <c r="J4429" t="n">
        <v>1</v>
      </c>
      <c r="K4429" t="n">
        <v>1</v>
      </c>
      <c r="L4429" s="34">
        <f>IF($J4429=1,LN(B4430/B4429),"")</f>
        <v/>
      </c>
      <c r="M4429" s="34">
        <f>IF($K4429=1,INDEX(Mensal!$D$2:$D$245,MATCH($I4429,Mensal!$A$2:$A$245,0)),"")</f>
        <v/>
      </c>
      <c r="N4429" s="34">
        <f>IF($K4429=1,L4429-M4429,"")</f>
        <v/>
      </c>
      <c r="O4429" s="34" t="n">
        <v>0.00041957</v>
      </c>
      <c r="P4429" s="34">
        <f>IF($J4429=1,LN(1+O4429),"")</f>
        <v/>
      </c>
      <c r="Q4429" s="34">
        <f>IF($J4429=1,LN(R4430/R4429),"")</f>
        <v/>
      </c>
      <c r="R4429" s="32" t="n">
        <v>4.9364</v>
      </c>
      <c r="S4429" s="35" t="n">
        <v>9.800000000000001</v>
      </c>
      <c r="T4429" s="18" t="n">
        <v>128339.76</v>
      </c>
      <c r="U4429" s="18" t="n"/>
      <c r="V4429" s="18" t="n"/>
      <c r="W4429" s="18" t="n"/>
      <c r="X4429" s="35" t="n"/>
      <c r="Y4429" s="35" t="n">
        <v>9.800000000000001</v>
      </c>
    </row>
    <row r="4430">
      <c r="A4430" s="25" t="n">
        <v>45359</v>
      </c>
      <c r="B4430" s="18" t="n">
        <v>127070.79</v>
      </c>
      <c r="C4430" s="31" t="n"/>
      <c r="D4430" s="32" t="n"/>
      <c r="E4430" s="33" t="n">
        <v>-0.09080000000000001</v>
      </c>
      <c r="F4430" t="inlineStr">
        <is>
          <t>Up</t>
        </is>
      </c>
      <c r="G4430" t="inlineStr">
        <is>
          <t>Down</t>
        </is>
      </c>
      <c r="H4430" t="inlineStr">
        <is>
          <t>EU_JD</t>
        </is>
      </c>
      <c r="I4430" t="inlineStr">
        <is>
          <t>2024-03</t>
        </is>
      </c>
      <c r="J4430" t="n">
        <v>1</v>
      </c>
      <c r="K4430" t="n">
        <v>1</v>
      </c>
      <c r="L4430" s="34">
        <f>IF($J4430=1,LN(B4431/B4430),"")</f>
        <v/>
      </c>
      <c r="M4430" s="34">
        <f>IF($K4430=1,INDEX(Mensal!$D$2:$D$245,MATCH($I4430,Mensal!$A$2:$A$245,0)),"")</f>
        <v/>
      </c>
      <c r="N4430" s="34">
        <f>IF($K4430=1,L4430-M4430,"")</f>
        <v/>
      </c>
      <c r="O4430" s="34" t="n">
        <v>0.00041957</v>
      </c>
      <c r="P4430" s="34">
        <f>IF($J4430=1,LN(1+O4430),"")</f>
        <v/>
      </c>
      <c r="Q4430" s="34">
        <f>IF($J4430=1,LN(R4431/R4430),"")</f>
        <v/>
      </c>
      <c r="R4430" s="32" t="n">
        <v>4.9751</v>
      </c>
      <c r="S4430" s="35" t="n">
        <v>9.82</v>
      </c>
      <c r="T4430" s="18" t="n">
        <v>127070.79</v>
      </c>
      <c r="U4430" s="18" t="n"/>
      <c r="V4430" s="18" t="n"/>
      <c r="W4430" s="18" t="n"/>
      <c r="X4430" s="35" t="n"/>
      <c r="Y4430" s="35" t="n">
        <v>9.82</v>
      </c>
    </row>
    <row r="4431">
      <c r="A4431" s="25" t="n">
        <v>45362</v>
      </c>
      <c r="B4431" s="18" t="n">
        <v>126123.56</v>
      </c>
      <c r="C4431" s="31" t="n"/>
      <c r="D4431" s="32" t="n"/>
      <c r="E4431" s="33" t="n">
        <v>-0.1076</v>
      </c>
      <c r="F4431" t="inlineStr">
        <is>
          <t>Up</t>
        </is>
      </c>
      <c r="G4431" t="inlineStr">
        <is>
          <t>Down</t>
        </is>
      </c>
      <c r="H4431" t="inlineStr">
        <is>
          <t>EU_JD</t>
        </is>
      </c>
      <c r="I4431" t="inlineStr">
        <is>
          <t>2024-03</t>
        </is>
      </c>
      <c r="J4431" t="n">
        <v>1</v>
      </c>
      <c r="K4431" t="n">
        <v>1</v>
      </c>
      <c r="L4431" s="34">
        <f>IF($J4431=1,LN(B4432/B4431),"")</f>
        <v/>
      </c>
      <c r="M4431" s="34">
        <f>IF($K4431=1,INDEX(Mensal!$D$2:$D$245,MATCH($I4431,Mensal!$A$2:$A$245,0)),"")</f>
        <v/>
      </c>
      <c r="N4431" s="34">
        <f>IF($K4431=1,L4431-M4431,"")</f>
        <v/>
      </c>
      <c r="O4431" s="34" t="n">
        <v>0.00041957</v>
      </c>
      <c r="P4431" s="34">
        <f>IF($J4431=1,LN(1+O4431),"")</f>
        <v/>
      </c>
      <c r="Q4431" s="34">
        <f>IF($J4431=1,LN(R4432/R4431),"")</f>
        <v/>
      </c>
      <c r="R4431" s="32" t="n">
        <v>4.9777</v>
      </c>
      <c r="S4431" s="35" t="n">
        <v>9.789999999999999</v>
      </c>
      <c r="T4431" s="18" t="n">
        <v>126123.56</v>
      </c>
      <c r="U4431" s="18" t="n"/>
      <c r="V4431" s="18" t="n"/>
      <c r="W4431" s="18" t="n"/>
      <c r="X4431" s="35" t="n"/>
      <c r="Y4431" s="35" t="n">
        <v>9.789999999999999</v>
      </c>
    </row>
    <row r="4432">
      <c r="A4432" s="25" t="n">
        <v>45363</v>
      </c>
      <c r="B4432" s="18" t="n">
        <v>127667.84</v>
      </c>
      <c r="C4432" s="31" t="n"/>
      <c r="D4432" s="32" t="n"/>
      <c r="E4432" s="33" t="n">
        <v>-0.1156</v>
      </c>
      <c r="F4432" t="inlineStr">
        <is>
          <t>Up</t>
        </is>
      </c>
      <c r="G4432" t="inlineStr">
        <is>
          <t>Down</t>
        </is>
      </c>
      <c r="H4432" t="inlineStr">
        <is>
          <t>EU_JD</t>
        </is>
      </c>
      <c r="I4432" t="inlineStr">
        <is>
          <t>2024-03</t>
        </is>
      </c>
      <c r="J4432" t="n">
        <v>1</v>
      </c>
      <c r="K4432" t="n">
        <v>1</v>
      </c>
      <c r="L4432" s="34">
        <f>IF($J4432=1,LN(B4433/B4432),"")</f>
        <v/>
      </c>
      <c r="M4432" s="34">
        <f>IF($K4432=1,INDEX(Mensal!$D$2:$D$245,MATCH($I4432,Mensal!$A$2:$A$245,0)),"")</f>
        <v/>
      </c>
      <c r="N4432" s="34">
        <f>IF($K4432=1,L4432-M4432,"")</f>
        <v/>
      </c>
      <c r="O4432" s="34" t="n">
        <v>0.00041957</v>
      </c>
      <c r="P4432" s="34">
        <f>IF($J4432=1,LN(1+O4432),"")</f>
        <v/>
      </c>
      <c r="Q4432" s="34">
        <f>IF($J4432=1,LN(R4433/R4432),"")</f>
        <v/>
      </c>
      <c r="R4432" s="32" t="n">
        <v>4.9813</v>
      </c>
      <c r="S4432" s="35" t="n">
        <v>9.75</v>
      </c>
      <c r="T4432" s="18" t="n">
        <v>127667.84</v>
      </c>
      <c r="U4432" s="18" t="n"/>
      <c r="V4432" s="18" t="n"/>
      <c r="W4432" s="18" t="n"/>
      <c r="X4432" s="35" t="n"/>
      <c r="Y4432" s="35" t="n">
        <v>9.75</v>
      </c>
    </row>
    <row r="4433">
      <c r="A4433" s="25" t="n">
        <v>45364</v>
      </c>
      <c r="B4433" s="18" t="n">
        <v>128006.05</v>
      </c>
      <c r="C4433" s="31" t="n"/>
      <c r="D4433" s="32" t="n"/>
      <c r="E4433" s="33" t="n">
        <v>-0.1237</v>
      </c>
      <c r="F4433" t="inlineStr">
        <is>
          <t>Up</t>
        </is>
      </c>
      <c r="G4433" t="inlineStr">
        <is>
          <t>Down</t>
        </is>
      </c>
      <c r="H4433" t="inlineStr">
        <is>
          <t>EU_JD</t>
        </is>
      </c>
      <c r="I4433" t="inlineStr">
        <is>
          <t>2024-03</t>
        </is>
      </c>
      <c r="J4433" t="n">
        <v>1</v>
      </c>
      <c r="K4433" t="n">
        <v>1</v>
      </c>
      <c r="L4433" s="34">
        <f>IF($J4433=1,LN(B4434/B4433),"")</f>
        <v/>
      </c>
      <c r="M4433" s="34">
        <f>IF($K4433=1,INDEX(Mensal!$D$2:$D$245,MATCH($I4433,Mensal!$A$2:$A$245,0)),"")</f>
        <v/>
      </c>
      <c r="N4433" s="34">
        <f>IF($K4433=1,L4433-M4433,"")</f>
        <v/>
      </c>
      <c r="O4433" s="34" t="n">
        <v>0.00041957</v>
      </c>
      <c r="P4433" s="34">
        <f>IF($J4433=1,LN(1+O4433),"")</f>
        <v/>
      </c>
      <c r="Q4433" s="34">
        <f>IF($J4433=1,LN(R4434/R4433),"")</f>
        <v/>
      </c>
      <c r="R4433" s="32" t="n">
        <v>4.9803</v>
      </c>
      <c r="S4433" s="35" t="n">
        <v>9.76</v>
      </c>
      <c r="T4433" s="18" t="n">
        <v>128006.05</v>
      </c>
      <c r="U4433" s="18" t="n"/>
      <c r="V4433" s="18" t="n"/>
      <c r="W4433" s="18" t="n"/>
      <c r="X4433" s="35" t="n"/>
      <c r="Y4433" s="35" t="n">
        <v>9.76</v>
      </c>
    </row>
    <row r="4434">
      <c r="A4434" s="25" t="n">
        <v>45365</v>
      </c>
      <c r="B4434" s="18" t="n">
        <v>127689.97</v>
      </c>
      <c r="C4434" s="31" t="n"/>
      <c r="D4434" s="32" t="n"/>
      <c r="E4434" s="33" t="n">
        <v>-0.1271</v>
      </c>
      <c r="F4434" t="inlineStr">
        <is>
          <t>Up</t>
        </is>
      </c>
      <c r="G4434" t="inlineStr">
        <is>
          <t>Down</t>
        </is>
      </c>
      <c r="H4434" t="inlineStr">
        <is>
          <t>EU_JD</t>
        </is>
      </c>
      <c r="I4434" t="inlineStr">
        <is>
          <t>2024-03</t>
        </is>
      </c>
      <c r="J4434" t="n">
        <v>1</v>
      </c>
      <c r="K4434" t="n">
        <v>1</v>
      </c>
      <c r="L4434" s="34">
        <f>IF($J4434=1,LN(B4435/B4434),"")</f>
        <v/>
      </c>
      <c r="M4434" s="34">
        <f>IF($K4434=1,INDEX(Mensal!$D$2:$D$245,MATCH($I4434,Mensal!$A$2:$A$245,0)),"")</f>
        <v/>
      </c>
      <c r="N4434" s="34">
        <f>IF($K4434=1,L4434-M4434,"")</f>
        <v/>
      </c>
      <c r="O4434" s="34" t="n">
        <v>0.00041957</v>
      </c>
      <c r="P4434" s="34">
        <f>IF($J4434=1,LN(1+O4434),"")</f>
        <v/>
      </c>
      <c r="Q4434" s="34">
        <f>IF($J4434=1,LN(R4435/R4434),"")</f>
        <v/>
      </c>
      <c r="R4434" s="32" t="n">
        <v>4.9768</v>
      </c>
      <c r="S4434" s="35" t="n">
        <v>9.83</v>
      </c>
      <c r="T4434" s="18" t="n">
        <v>127689.97</v>
      </c>
      <c r="U4434" s="18" t="n"/>
      <c r="V4434" s="18" t="n"/>
      <c r="W4434" s="18" t="n"/>
      <c r="X4434" s="35" t="n"/>
      <c r="Y4434" s="35" t="n">
        <v>9.83</v>
      </c>
    </row>
    <row r="4435">
      <c r="A4435" s="25" t="n">
        <v>45366</v>
      </c>
      <c r="B4435" s="18" t="n">
        <v>126741.81</v>
      </c>
      <c r="C4435" s="31" t="n"/>
      <c r="D4435" s="32" t="n"/>
      <c r="E4435" s="33" t="n">
        <v>-0.13</v>
      </c>
      <c r="F4435" t="inlineStr">
        <is>
          <t>Up</t>
        </is>
      </c>
      <c r="G4435" t="inlineStr">
        <is>
          <t>Down</t>
        </is>
      </c>
      <c r="H4435" t="inlineStr">
        <is>
          <t>EU_JD</t>
        </is>
      </c>
      <c r="I4435" t="inlineStr">
        <is>
          <t>2024-03</t>
        </is>
      </c>
      <c r="J4435" t="n">
        <v>1</v>
      </c>
      <c r="K4435" t="n">
        <v>1</v>
      </c>
      <c r="L4435" s="34">
        <f>IF($J4435=1,LN(B4436/B4435),"")</f>
        <v/>
      </c>
      <c r="M4435" s="34">
        <f>IF($K4435=1,INDEX(Mensal!$D$2:$D$245,MATCH($I4435,Mensal!$A$2:$A$245,0)),"")</f>
        <v/>
      </c>
      <c r="N4435" s="34">
        <f>IF($K4435=1,L4435-M4435,"")</f>
        <v/>
      </c>
      <c r="O4435" s="34" t="n">
        <v>0.00041957</v>
      </c>
      <c r="P4435" s="34">
        <f>IF($J4435=1,LN(1+O4435),"")</f>
        <v/>
      </c>
      <c r="Q4435" s="34">
        <f>IF($J4435=1,LN(R4436/R4435),"")</f>
        <v/>
      </c>
      <c r="R4435" s="32" t="n">
        <v>4.9937</v>
      </c>
      <c r="S4435" s="35" t="n">
        <v>9.9</v>
      </c>
      <c r="T4435" s="18" t="n">
        <v>126741.81</v>
      </c>
      <c r="U4435" s="18" t="n"/>
      <c r="V4435" s="18" t="n"/>
      <c r="W4435" s="18" t="n"/>
      <c r="X4435" s="35" t="n"/>
      <c r="Y4435" s="35" t="n">
        <v>9.9</v>
      </c>
    </row>
    <row r="4436">
      <c r="A4436" s="25" t="n">
        <v>45369</v>
      </c>
      <c r="B4436" s="18" t="n">
        <v>126954.18</v>
      </c>
      <c r="C4436" s="31" t="n"/>
      <c r="D4436" s="32" t="n"/>
      <c r="E4436" s="33" t="n">
        <v>-0.1314</v>
      </c>
      <c r="F4436" t="inlineStr">
        <is>
          <t>Up</t>
        </is>
      </c>
      <c r="G4436" t="inlineStr">
        <is>
          <t>Down</t>
        </is>
      </c>
      <c r="H4436" t="inlineStr">
        <is>
          <t>EU_JD</t>
        </is>
      </c>
      <c r="I4436" t="inlineStr">
        <is>
          <t>2024-03</t>
        </is>
      </c>
      <c r="J4436" t="n">
        <v>1</v>
      </c>
      <c r="K4436" t="n">
        <v>1</v>
      </c>
      <c r="L4436" s="34">
        <f>IF($J4436=1,LN(B4437/B4436),"")</f>
        <v/>
      </c>
      <c r="M4436" s="34">
        <f>IF($K4436=1,INDEX(Mensal!$D$2:$D$245,MATCH($I4436,Mensal!$A$2:$A$245,0)),"")</f>
        <v/>
      </c>
      <c r="N4436" s="34">
        <f>IF($K4436=1,L4436-M4436,"")</f>
        <v/>
      </c>
      <c r="O4436" s="34" t="n">
        <v>0.00041957</v>
      </c>
      <c r="P4436" s="34">
        <f>IF($J4436=1,LN(1+O4436),"")</f>
        <v/>
      </c>
      <c r="Q4436" s="34">
        <f>IF($J4436=1,LN(R4437/R4436),"")</f>
        <v/>
      </c>
      <c r="R4436" s="32" t="n">
        <v>5.0124</v>
      </c>
      <c r="S4436" s="35" t="n">
        <v>9.93</v>
      </c>
      <c r="T4436" s="18" t="n">
        <v>126954.18</v>
      </c>
      <c r="U4436" s="18" t="n"/>
      <c r="V4436" s="18" t="n"/>
      <c r="W4436" s="18" t="n"/>
      <c r="X4436" s="35" t="n"/>
      <c r="Y4436" s="35" t="n">
        <v>9.93</v>
      </c>
    </row>
    <row r="4437">
      <c r="A4437" s="25" t="n">
        <v>45370</v>
      </c>
      <c r="B4437" s="18" t="n">
        <v>127528.85</v>
      </c>
      <c r="C4437" s="31" t="n"/>
      <c r="D4437" s="32" t="n"/>
      <c r="E4437" s="33" t="n">
        <v>-0.1177</v>
      </c>
      <c r="F4437" t="inlineStr">
        <is>
          <t>Up</t>
        </is>
      </c>
      <c r="G4437" t="inlineStr">
        <is>
          <t>Down</t>
        </is>
      </c>
      <c r="H4437" t="inlineStr">
        <is>
          <t>EU_JD</t>
        </is>
      </c>
      <c r="I4437" t="inlineStr">
        <is>
          <t>2024-03</t>
        </is>
      </c>
      <c r="J4437" t="n">
        <v>1</v>
      </c>
      <c r="K4437" t="n">
        <v>1</v>
      </c>
      <c r="L4437" s="34">
        <f>IF($J4437=1,LN(B4438/B4437),"")</f>
        <v/>
      </c>
      <c r="M4437" s="34">
        <f>IF($K4437=1,INDEX(Mensal!$D$2:$D$245,MATCH($I4437,Mensal!$A$2:$A$245,0)),"")</f>
        <v/>
      </c>
      <c r="N4437" s="34">
        <f>IF($K4437=1,L4437-M4437,"")</f>
        <v/>
      </c>
      <c r="O4437" s="34" t="n">
        <v>0.00041957</v>
      </c>
      <c r="P4437" s="34">
        <f>IF($J4437=1,LN(1+O4437),"")</f>
        <v/>
      </c>
      <c r="Q4437" s="34">
        <f>IF($J4437=1,LN(R4438/R4437),"")</f>
        <v/>
      </c>
      <c r="R4437" s="32" t="n">
        <v>5.0352</v>
      </c>
      <c r="S4437" s="35" t="n">
        <v>9.890000000000001</v>
      </c>
      <c r="T4437" s="18" t="n">
        <v>127528.85</v>
      </c>
      <c r="U4437" s="18" t="n"/>
      <c r="V4437" s="18" t="n"/>
      <c r="W4437" s="18" t="n"/>
      <c r="X4437" s="35" t="n"/>
      <c r="Y4437" s="35" t="n">
        <v>9.890000000000001</v>
      </c>
    </row>
    <row r="4438">
      <c r="A4438" s="25" t="n">
        <v>45371</v>
      </c>
      <c r="B4438" s="18" t="n">
        <v>129124.83</v>
      </c>
      <c r="C4438" s="31" t="n"/>
      <c r="D4438" s="32" t="n"/>
      <c r="E4438" s="33" t="n">
        <v>-0.1019</v>
      </c>
      <c r="F4438" t="inlineStr">
        <is>
          <t>Up</t>
        </is>
      </c>
      <c r="G4438" t="inlineStr">
        <is>
          <t>Down</t>
        </is>
      </c>
      <c r="H4438" t="inlineStr">
        <is>
          <t>EU_JD</t>
        </is>
      </c>
      <c r="I4438" t="inlineStr">
        <is>
          <t>2024-03</t>
        </is>
      </c>
      <c r="J4438" t="n">
        <v>1</v>
      </c>
      <c r="K4438" t="n">
        <v>1</v>
      </c>
      <c r="L4438" s="34">
        <f>IF($J4438=1,LN(B4439/B4438),"")</f>
        <v/>
      </c>
      <c r="M4438" s="34">
        <f>IF($K4438=1,INDEX(Mensal!$D$2:$D$245,MATCH($I4438,Mensal!$A$2:$A$245,0)),"")</f>
        <v/>
      </c>
      <c r="N4438" s="34">
        <f>IF($K4438=1,L4438-M4438,"")</f>
        <v/>
      </c>
      <c r="O4438" s="34" t="n">
        <v>0.00041957</v>
      </c>
      <c r="P4438" s="34">
        <f>IF($J4438=1,LN(1+O4438),"")</f>
        <v/>
      </c>
      <c r="Q4438" s="34">
        <f>IF($J4438=1,LN(R4439/R4438),"")</f>
        <v/>
      </c>
      <c r="R4438" s="32" t="n">
        <v>5.012</v>
      </c>
      <c r="S4438" s="35" t="n">
        <v>9.84</v>
      </c>
      <c r="T4438" s="18" t="n">
        <v>129124.83</v>
      </c>
      <c r="U4438" s="18" t="n"/>
      <c r="V4438" s="18" t="n"/>
      <c r="W4438" s="18" t="n"/>
      <c r="X4438" s="35" t="n"/>
      <c r="Y4438" s="35" t="n">
        <v>9.84</v>
      </c>
    </row>
    <row r="4439">
      <c r="A4439" s="25" t="n">
        <v>45372</v>
      </c>
      <c r="B4439" s="18" t="n">
        <v>128158.57</v>
      </c>
      <c r="C4439" s="31" t="n"/>
      <c r="D4439" s="32" t="n"/>
      <c r="E4439" s="33" t="n">
        <v>-0.08450000000000001</v>
      </c>
      <c r="F4439" t="inlineStr">
        <is>
          <t>Up</t>
        </is>
      </c>
      <c r="G4439" t="inlineStr">
        <is>
          <t>Down</t>
        </is>
      </c>
      <c r="H4439" t="inlineStr">
        <is>
          <t>EU_JD</t>
        </is>
      </c>
      <c r="I4439" t="inlineStr">
        <is>
          <t>2024-03</t>
        </is>
      </c>
      <c r="J4439" t="n">
        <v>1</v>
      </c>
      <c r="K4439" t="n">
        <v>1</v>
      </c>
      <c r="L4439" s="34">
        <f>IF($J4439=1,LN(B4440/B4439),"")</f>
        <v/>
      </c>
      <c r="M4439" s="34">
        <f>IF($K4439=1,INDEX(Mensal!$D$2:$D$245,MATCH($I4439,Mensal!$A$2:$A$245,0)),"")</f>
        <v/>
      </c>
      <c r="N4439" s="34">
        <f>IF($K4439=1,L4439-M4439,"")</f>
        <v/>
      </c>
      <c r="O4439" s="34" t="n">
        <v>0.00040168</v>
      </c>
      <c r="P4439" s="34">
        <f>IF($J4439=1,LN(1+O4439),"")</f>
        <v/>
      </c>
      <c r="Q4439" s="34">
        <f>IF($J4439=1,LN(R4440/R4439),"")</f>
        <v/>
      </c>
      <c r="R4439" s="32" t="n">
        <v>4.9807</v>
      </c>
      <c r="S4439" s="35" t="n">
        <v>9.869999999999999</v>
      </c>
      <c r="T4439" s="18" t="n">
        <v>128158.57</v>
      </c>
      <c r="U4439" s="18" t="n"/>
      <c r="V4439" s="18" t="n"/>
      <c r="W4439" s="18" t="n"/>
      <c r="X4439" s="35" t="n"/>
      <c r="Y4439" s="35" t="n">
        <v>9.869999999999999</v>
      </c>
    </row>
    <row r="4440">
      <c r="A4440" s="25" t="n">
        <v>45373</v>
      </c>
      <c r="B4440" s="18" t="n">
        <v>127027.1</v>
      </c>
      <c r="C4440" s="31" t="n"/>
      <c r="D4440" s="32" t="n"/>
      <c r="E4440" s="33" t="n">
        <v>-0.063</v>
      </c>
      <c r="F4440" t="inlineStr">
        <is>
          <t>Up</t>
        </is>
      </c>
      <c r="G4440" t="inlineStr">
        <is>
          <t>Down</t>
        </is>
      </c>
      <c r="H4440" t="inlineStr">
        <is>
          <t>EU_JD</t>
        </is>
      </c>
      <c r="I4440" t="inlineStr">
        <is>
          <t>2024-03</t>
        </is>
      </c>
      <c r="J4440" t="n">
        <v>1</v>
      </c>
      <c r="K4440" t="n">
        <v>1</v>
      </c>
      <c r="L4440" s="34">
        <f>IF($J4440=1,LN(B4441/B4440),"")</f>
        <v/>
      </c>
      <c r="M4440" s="34">
        <f>IF($K4440=1,INDEX(Mensal!$D$2:$D$245,MATCH($I4440,Mensal!$A$2:$A$245,0)),"")</f>
        <v/>
      </c>
      <c r="N4440" s="34">
        <f>IF($K4440=1,L4440-M4440,"")</f>
        <v/>
      </c>
      <c r="O4440" s="34" t="n">
        <v>0.00040168</v>
      </c>
      <c r="P4440" s="34">
        <f>IF($J4440=1,LN(1+O4440),"")</f>
        <v/>
      </c>
      <c r="Q4440" s="34">
        <f>IF($J4440=1,LN(R4441/R4440),"")</f>
        <v/>
      </c>
      <c r="R4440" s="32" t="n">
        <v>4.9897</v>
      </c>
      <c r="S4440" s="35" t="n">
        <v>9.85</v>
      </c>
      <c r="T4440" s="18" t="n">
        <v>127027.1</v>
      </c>
      <c r="U4440" s="18" t="n"/>
      <c r="V4440" s="18" t="n"/>
      <c r="W4440" s="18" t="n"/>
      <c r="X4440" s="35" t="n"/>
      <c r="Y4440" s="35" t="n">
        <v>9.85</v>
      </c>
    </row>
    <row r="4441">
      <c r="A4441" s="25" t="n">
        <v>45376</v>
      </c>
      <c r="B4441" s="18" t="n">
        <v>126931.47</v>
      </c>
      <c r="C4441" s="31" t="n"/>
      <c r="D4441" s="32" t="n"/>
      <c r="E4441" s="33" t="n">
        <v>-0.0399</v>
      </c>
      <c r="F4441" t="inlineStr">
        <is>
          <t>Up</t>
        </is>
      </c>
      <c r="G4441" t="inlineStr">
        <is>
          <t>Down</t>
        </is>
      </c>
      <c r="H4441" t="inlineStr">
        <is>
          <t>EU_JD</t>
        </is>
      </c>
      <c r="I4441" t="inlineStr">
        <is>
          <t>2024-03</t>
        </is>
      </c>
      <c r="J4441" t="n">
        <v>1</v>
      </c>
      <c r="K4441" t="n">
        <v>1</v>
      </c>
      <c r="L4441" s="34">
        <f>IF($J4441=1,LN(B4442/B4441),"")</f>
        <v/>
      </c>
      <c r="M4441" s="34">
        <f>IF($K4441=1,INDEX(Mensal!$D$2:$D$245,MATCH($I4441,Mensal!$A$2:$A$245,0)),"")</f>
        <v/>
      </c>
      <c r="N4441" s="34">
        <f>IF($K4441=1,L4441-M4441,"")</f>
        <v/>
      </c>
      <c r="O4441" s="34" t="n">
        <v>0.00040168</v>
      </c>
      <c r="P4441" s="34">
        <f>IF($J4441=1,LN(1+O4441),"")</f>
        <v/>
      </c>
      <c r="Q4441" s="34">
        <f>IF($J4441=1,LN(R4442/R4441),"")</f>
        <v/>
      </c>
      <c r="R4441" s="32" t="n">
        <v>4.9869</v>
      </c>
      <c r="S4441" s="35" t="n">
        <v>9.82</v>
      </c>
      <c r="T4441" s="18" t="n">
        <v>126931.47</v>
      </c>
      <c r="U4441" s="18" t="n"/>
      <c r="V4441" s="18" t="n"/>
      <c r="W4441" s="18" t="n"/>
      <c r="X4441" s="35" t="n"/>
      <c r="Y4441" s="35" t="n">
        <v>9.82</v>
      </c>
    </row>
    <row r="4442">
      <c r="A4442" s="25" t="n">
        <v>45377</v>
      </c>
      <c r="B4442" s="18" t="n">
        <v>126863.02</v>
      </c>
      <c r="C4442" s="31" t="n"/>
      <c r="D4442" s="32" t="n"/>
      <c r="E4442" s="33" t="n">
        <v>-0.0188</v>
      </c>
      <c r="F4442" t="inlineStr">
        <is>
          <t>Up</t>
        </is>
      </c>
      <c r="G4442" t="inlineStr">
        <is>
          <t>Down</t>
        </is>
      </c>
      <c r="H4442" t="inlineStr">
        <is>
          <t>EU_JD</t>
        </is>
      </c>
      <c r="I4442" t="inlineStr">
        <is>
          <t>2024-03</t>
        </is>
      </c>
      <c r="J4442" t="n">
        <v>1</v>
      </c>
      <c r="K4442" t="n">
        <v>1</v>
      </c>
      <c r="L4442" s="34">
        <f>IF($J4442=1,LN(B4443/B4442),"")</f>
        <v/>
      </c>
      <c r="M4442" s="34">
        <f>IF($K4442=1,INDEX(Mensal!$D$2:$D$245,MATCH($I4442,Mensal!$A$2:$A$245,0)),"")</f>
        <v/>
      </c>
      <c r="N4442" s="34">
        <f>IF($K4442=1,L4442-M4442,"")</f>
        <v/>
      </c>
      <c r="O4442" s="34" t="n">
        <v>0.00040168</v>
      </c>
      <c r="P4442" s="34">
        <f>IF($J4442=1,LN(1+O4442),"")</f>
        <v/>
      </c>
      <c r="Q4442" s="34">
        <f>IF($J4442=1,LN(R4443/R4442),"")</f>
        <v/>
      </c>
      <c r="R4442" s="32" t="n">
        <v>4.987</v>
      </c>
      <c r="S4442" s="35" t="n">
        <v>9.869999999999999</v>
      </c>
      <c r="T4442" s="18" t="n">
        <v>126863.02</v>
      </c>
      <c r="U4442" s="18" t="n"/>
      <c r="V4442" s="18" t="n"/>
      <c r="W4442" s="18" t="n"/>
      <c r="X4442" s="35" t="n"/>
      <c r="Y4442" s="35" t="n">
        <v>9.869999999999999</v>
      </c>
    </row>
    <row r="4443">
      <c r="A4443" s="25" t="n">
        <v>45378</v>
      </c>
      <c r="B4443" s="18" t="n">
        <v>127690.62</v>
      </c>
      <c r="C4443" s="31" t="n"/>
      <c r="D4443" s="32" t="n"/>
      <c r="E4443" s="33" t="n">
        <v>0.0015</v>
      </c>
      <c r="F4443" t="inlineStr">
        <is>
          <t>Up</t>
        </is>
      </c>
      <c r="G4443" t="inlineStr">
        <is>
          <t>Down</t>
        </is>
      </c>
      <c r="H4443" t="inlineStr">
        <is>
          <t>EU_JD</t>
        </is>
      </c>
      <c r="I4443" t="inlineStr">
        <is>
          <t>2024-03</t>
        </is>
      </c>
      <c r="J4443" t="n">
        <v>1</v>
      </c>
      <c r="K4443" t="n">
        <v>1</v>
      </c>
      <c r="L4443" s="34">
        <f>IF($J4443=1,LN(B4444/B4443),"")</f>
        <v/>
      </c>
      <c r="M4443" s="34">
        <f>IF($K4443=1,INDEX(Mensal!$D$2:$D$245,MATCH($I4443,Mensal!$A$2:$A$245,0)),"")</f>
        <v/>
      </c>
      <c r="N4443" s="34">
        <f>IF($K4443=1,L4443-M4443,"")</f>
        <v/>
      </c>
      <c r="O4443" s="34" t="n">
        <v>0.00040168</v>
      </c>
      <c r="P4443" s="34">
        <f>IF($J4443=1,LN(1+O4443),"")</f>
        <v/>
      </c>
      <c r="Q4443" s="34">
        <f>IF($J4443=1,LN(R4444/R4443),"")</f>
        <v/>
      </c>
      <c r="R4443" s="32" t="n">
        <v>4.9856</v>
      </c>
      <c r="S4443" s="35" t="n">
        <v>9.85</v>
      </c>
      <c r="T4443" s="18" t="n">
        <v>127690.62</v>
      </c>
      <c r="U4443" s="18" t="n"/>
      <c r="V4443" s="18" t="n"/>
      <c r="W4443" s="18" t="n"/>
      <c r="X4443" s="35" t="n"/>
      <c r="Y4443" s="35" t="n">
        <v>9.85</v>
      </c>
    </row>
    <row r="4444">
      <c r="A4444" s="25" t="n">
        <v>45379</v>
      </c>
      <c r="B4444" s="18" t="n">
        <v>128106.1</v>
      </c>
      <c r="C4444" s="31" t="n"/>
      <c r="D4444" s="32" t="n"/>
      <c r="E4444" s="33" t="n">
        <v>0.0264</v>
      </c>
      <c r="F4444" t="inlineStr">
        <is>
          <t>Up</t>
        </is>
      </c>
      <c r="G4444" t="inlineStr">
        <is>
          <t>Down</t>
        </is>
      </c>
      <c r="H4444" t="inlineStr">
        <is>
          <t>EU_JD</t>
        </is>
      </c>
      <c r="I4444" t="inlineStr">
        <is>
          <t>2024-03</t>
        </is>
      </c>
      <c r="J4444" t="n">
        <v>1</v>
      </c>
      <c r="K4444" t="n">
        <v>1</v>
      </c>
      <c r="L4444" s="34">
        <f>IF($J4444=1,LN(B4445/B4444),"")</f>
        <v/>
      </c>
      <c r="M4444" s="34">
        <f>IF($K4444=1,INDEX(Mensal!$D$2:$D$245,MATCH($I4444,Mensal!$A$2:$A$245,0)),"")</f>
        <v/>
      </c>
      <c r="N4444" s="34">
        <f>IF($K4444=1,L4444-M4444,"")</f>
        <v/>
      </c>
      <c r="O4444" s="34" t="n">
        <v>0.00040168</v>
      </c>
      <c r="P4444" s="34">
        <f>IF($J4444=1,LN(1+O4444),"")</f>
        <v/>
      </c>
      <c r="Q4444" s="34">
        <f>IF($J4444=1,LN(R4445/R4444),"")</f>
        <v/>
      </c>
      <c r="R4444" s="32" t="n">
        <v>4.9962</v>
      </c>
      <c r="S4444" s="35" t="n">
        <v>9.85</v>
      </c>
      <c r="T4444" s="18" t="n">
        <v>128106.1</v>
      </c>
      <c r="U4444" s="18" t="n"/>
      <c r="V4444" s="18" t="n"/>
      <c r="W4444" s="18" t="n"/>
      <c r="X4444" s="35" t="n"/>
      <c r="Y4444" s="35" t="n">
        <v>9.85</v>
      </c>
    </row>
    <row r="4445">
      <c r="A4445" s="25" t="n">
        <v>45383</v>
      </c>
      <c r="B4445" s="18" t="n">
        <v>126990.45</v>
      </c>
      <c r="C4445" s="31" t="n"/>
      <c r="D4445" s="32" t="n"/>
      <c r="E4445" s="33" t="n">
        <v>0.0558</v>
      </c>
      <c r="F4445" t="inlineStr">
        <is>
          <t>Up</t>
        </is>
      </c>
      <c r="G4445" t="inlineStr">
        <is>
          <t>Down</t>
        </is>
      </c>
      <c r="H4445" t="inlineStr">
        <is>
          <t>EU_JD</t>
        </is>
      </c>
      <c r="I4445" t="inlineStr">
        <is>
          <t>2024-04</t>
        </is>
      </c>
      <c r="J4445" t="n">
        <v>1</v>
      </c>
      <c r="K4445" t="n">
        <v>1</v>
      </c>
      <c r="L4445" s="34">
        <f>IF($J4445=1,LN(B4446/B4445),"")</f>
        <v/>
      </c>
      <c r="M4445" s="34">
        <f>IF($K4445=1,INDEX(Mensal!$D$2:$D$245,MATCH($I4445,Mensal!$A$2:$A$245,0)),"")</f>
        <v/>
      </c>
      <c r="N4445" s="34">
        <f>IF($K4445=1,L4445-M4445,"")</f>
        <v/>
      </c>
      <c r="O4445" s="34" t="n">
        <v>0.00040168</v>
      </c>
      <c r="P4445" s="34">
        <f>IF($J4445=1,LN(1+O4445),"")</f>
        <v/>
      </c>
      <c r="Q4445" s="34">
        <f>IF($J4445=1,LN(R4446/R4445),"")</f>
        <v/>
      </c>
      <c r="R4445" s="32" t="n">
        <v>5.0532</v>
      </c>
      <c r="S4445" s="35" t="n">
        <v>9.859999999999999</v>
      </c>
      <c r="T4445" s="18" t="n">
        <v>126990.45</v>
      </c>
      <c r="U4445" s="18" t="n"/>
      <c r="V4445" s="18" t="n"/>
      <c r="W4445" s="18" t="n"/>
      <c r="X4445" s="35" t="n"/>
      <c r="Y4445" s="35" t="n">
        <v>9.859999999999999</v>
      </c>
    </row>
    <row r="4446">
      <c r="A4446" s="25" t="n">
        <v>45384</v>
      </c>
      <c r="B4446" s="18" t="n">
        <v>127548.52</v>
      </c>
      <c r="C4446" s="31" t="n"/>
      <c r="D4446" s="32" t="n"/>
      <c r="E4446" s="33" t="n">
        <v>0.0856</v>
      </c>
      <c r="F4446" t="inlineStr">
        <is>
          <t>Up</t>
        </is>
      </c>
      <c r="G4446" t="inlineStr">
        <is>
          <t>Down</t>
        </is>
      </c>
      <c r="H4446" t="inlineStr">
        <is>
          <t>EU_JD</t>
        </is>
      </c>
      <c r="I4446" t="inlineStr">
        <is>
          <t>2024-04</t>
        </is>
      </c>
      <c r="J4446" t="n">
        <v>1</v>
      </c>
      <c r="K4446" t="n">
        <v>1</v>
      </c>
      <c r="L4446" s="34">
        <f>IF($J4446=1,LN(B4447/B4446),"")</f>
        <v/>
      </c>
      <c r="M4446" s="34">
        <f>IF($K4446=1,INDEX(Mensal!$D$2:$D$245,MATCH($I4446,Mensal!$A$2:$A$245,0)),"")</f>
        <v/>
      </c>
      <c r="N4446" s="34">
        <f>IF($K4446=1,L4446-M4446,"")</f>
        <v/>
      </c>
      <c r="O4446" s="34" t="n">
        <v>0.00040168</v>
      </c>
      <c r="P4446" s="34">
        <f>IF($J4446=1,LN(1+O4446),"")</f>
        <v/>
      </c>
      <c r="Q4446" s="34">
        <f>IF($J4446=1,LN(R4447/R4446),"")</f>
        <v/>
      </c>
      <c r="R4446" s="32" t="n">
        <v>5.0476</v>
      </c>
      <c r="S4446" s="35" t="n">
        <v>9.890000000000001</v>
      </c>
      <c r="T4446" s="18" t="n">
        <v>127548.52</v>
      </c>
      <c r="U4446" s="18" t="n"/>
      <c r="V4446" s="18" t="n"/>
      <c r="W4446" s="18" t="n"/>
      <c r="X4446" s="35" t="n"/>
      <c r="Y4446" s="35" t="n">
        <v>9.890000000000001</v>
      </c>
    </row>
    <row r="4447">
      <c r="A4447" s="25" t="n">
        <v>45385</v>
      </c>
      <c r="B4447" s="18" t="n">
        <v>127318.39</v>
      </c>
      <c r="C4447" s="31" t="n"/>
      <c r="D4447" s="32" t="n"/>
      <c r="E4447" s="33" t="n">
        <v>0.112</v>
      </c>
      <c r="F4447" t="inlineStr">
        <is>
          <t>Up</t>
        </is>
      </c>
      <c r="G4447" t="inlineStr">
        <is>
          <t>Down</t>
        </is>
      </c>
      <c r="H4447" t="inlineStr">
        <is>
          <t>EU_JD</t>
        </is>
      </c>
      <c r="I4447" t="inlineStr">
        <is>
          <t>2024-04</t>
        </is>
      </c>
      <c r="J4447" t="n">
        <v>1</v>
      </c>
      <c r="K4447" t="n">
        <v>1</v>
      </c>
      <c r="L4447" s="34">
        <f>IF($J4447=1,LN(B4448/B4447),"")</f>
        <v/>
      </c>
      <c r="M4447" s="34">
        <f>IF($K4447=1,INDEX(Mensal!$D$2:$D$245,MATCH($I4447,Mensal!$A$2:$A$245,0)),"")</f>
        <v/>
      </c>
      <c r="N4447" s="34">
        <f>IF($K4447=1,L4447-M4447,"")</f>
        <v/>
      </c>
      <c r="O4447" s="34" t="n">
        <v>0.00040168</v>
      </c>
      <c r="P4447" s="34">
        <f>IF($J4447=1,LN(1+O4447),"")</f>
        <v/>
      </c>
      <c r="Q4447" s="34">
        <f>IF($J4447=1,LN(R4448/R4447),"")</f>
        <v/>
      </c>
      <c r="R4447" s="32" t="n">
        <v>5.0724</v>
      </c>
      <c r="S4447" s="35" t="n">
        <v>9.9</v>
      </c>
      <c r="T4447" s="18" t="n">
        <v>127318.39</v>
      </c>
      <c r="U4447" s="18" t="n"/>
      <c r="V4447" s="18" t="n"/>
      <c r="W4447" s="18" t="n"/>
      <c r="X4447" s="35" t="n"/>
      <c r="Y4447" s="35" t="n">
        <v>9.9</v>
      </c>
    </row>
    <row r="4448">
      <c r="A4448" s="25" t="n">
        <v>45386</v>
      </c>
      <c r="B4448" s="18" t="n">
        <v>127427.53</v>
      </c>
      <c r="C4448" s="31" t="n"/>
      <c r="D4448" s="32" t="n"/>
      <c r="E4448" s="33" t="n">
        <v>0.1342</v>
      </c>
      <c r="F4448" t="inlineStr">
        <is>
          <t>Up</t>
        </is>
      </c>
      <c r="G4448" t="inlineStr">
        <is>
          <t>Down</t>
        </is>
      </c>
      <c r="H4448" t="inlineStr">
        <is>
          <t>EU_JD</t>
        </is>
      </c>
      <c r="I4448" t="inlineStr">
        <is>
          <t>2024-04</t>
        </is>
      </c>
      <c r="J4448" t="n">
        <v>1</v>
      </c>
      <c r="K4448" t="n">
        <v>1</v>
      </c>
      <c r="L4448" s="34">
        <f>IF($J4448=1,LN(B4449/B4448),"")</f>
        <v/>
      </c>
      <c r="M4448" s="34">
        <f>IF($K4448=1,INDEX(Mensal!$D$2:$D$245,MATCH($I4448,Mensal!$A$2:$A$245,0)),"")</f>
        <v/>
      </c>
      <c r="N4448" s="34">
        <f>IF($K4448=1,L4448-M4448,"")</f>
        <v/>
      </c>
      <c r="O4448" s="34" t="n">
        <v>0.00040168</v>
      </c>
      <c r="P4448" s="34">
        <f>IF($J4448=1,LN(1+O4448),"")</f>
        <v/>
      </c>
      <c r="Q4448" s="34">
        <f>IF($J4448=1,LN(R4449/R4448),"")</f>
        <v/>
      </c>
      <c r="R4448" s="32" t="n">
        <v>5.0237</v>
      </c>
      <c r="S4448" s="35" t="n">
        <v>9.890000000000001</v>
      </c>
      <c r="T4448" s="18" t="n">
        <v>127427.53</v>
      </c>
      <c r="U4448" s="18" t="n"/>
      <c r="V4448" s="18" t="n"/>
      <c r="W4448" s="18" t="n"/>
      <c r="X4448" s="35" t="n"/>
      <c r="Y4448" s="35" t="n">
        <v>9.890000000000001</v>
      </c>
    </row>
    <row r="4449">
      <c r="A4449" s="25" t="n">
        <v>45387</v>
      </c>
      <c r="B4449" s="18" t="n">
        <v>126795.41</v>
      </c>
      <c r="C4449" s="31" t="n"/>
      <c r="D4449" s="32" t="n"/>
      <c r="E4449" s="33" t="n">
        <v>0.1576</v>
      </c>
      <c r="F4449" t="inlineStr">
        <is>
          <t>Up</t>
        </is>
      </c>
      <c r="G4449" t="inlineStr">
        <is>
          <t>Down</t>
        </is>
      </c>
      <c r="H4449" t="inlineStr">
        <is>
          <t>EU_JD</t>
        </is>
      </c>
      <c r="I4449" t="inlineStr">
        <is>
          <t>2024-04</t>
        </is>
      </c>
      <c r="J4449" t="n">
        <v>1</v>
      </c>
      <c r="K4449" t="n">
        <v>1</v>
      </c>
      <c r="L4449" s="34">
        <f>IF($J4449=1,LN(B4450/B4449),"")</f>
        <v/>
      </c>
      <c r="M4449" s="34">
        <f>IF($K4449=1,INDEX(Mensal!$D$2:$D$245,MATCH($I4449,Mensal!$A$2:$A$245,0)),"")</f>
        <v/>
      </c>
      <c r="N4449" s="34">
        <f>IF($K4449=1,L4449-M4449,"")</f>
        <v/>
      </c>
      <c r="O4449" s="34" t="n">
        <v>0.00040168</v>
      </c>
      <c r="P4449" s="34">
        <f>IF($J4449=1,LN(1+O4449),"")</f>
        <v/>
      </c>
      <c r="Q4449" s="34">
        <f>IF($J4449=1,LN(R4450/R4449),"")</f>
        <v/>
      </c>
      <c r="R4449" s="32" t="n">
        <v>5.052</v>
      </c>
      <c r="S4449" s="35" t="n">
        <v>9.960000000000001</v>
      </c>
      <c r="T4449" s="18" t="n">
        <v>126795.41</v>
      </c>
      <c r="U4449" s="18" t="n"/>
      <c r="V4449" s="18" t="n"/>
      <c r="W4449" s="18" t="n"/>
      <c r="X4449" s="35" t="n"/>
      <c r="Y4449" s="35" t="n">
        <v>9.960000000000001</v>
      </c>
    </row>
    <row r="4450">
      <c r="A4450" s="25" t="n">
        <v>45390</v>
      </c>
      <c r="B4450" s="18" t="n">
        <v>128857.16</v>
      </c>
      <c r="C4450" s="31" t="n"/>
      <c r="D4450" s="32" t="n"/>
      <c r="E4450" s="33" t="n">
        <v>0.1776</v>
      </c>
      <c r="F4450" t="inlineStr">
        <is>
          <t>Up</t>
        </is>
      </c>
      <c r="G4450" t="inlineStr">
        <is>
          <t>Down</t>
        </is>
      </c>
      <c r="H4450" t="inlineStr">
        <is>
          <t>EU_JD</t>
        </is>
      </c>
      <c r="I4450" t="inlineStr">
        <is>
          <t>2024-04</t>
        </is>
      </c>
      <c r="J4450" t="n">
        <v>1</v>
      </c>
      <c r="K4450" t="n">
        <v>1</v>
      </c>
      <c r="L4450" s="34">
        <f>IF($J4450=1,LN(B4451/B4450),"")</f>
        <v/>
      </c>
      <c r="M4450" s="34">
        <f>IF($K4450=1,INDEX(Mensal!$D$2:$D$245,MATCH($I4450,Mensal!$A$2:$A$245,0)),"")</f>
        <v/>
      </c>
      <c r="N4450" s="34">
        <f>IF($K4450=1,L4450-M4450,"")</f>
        <v/>
      </c>
      <c r="O4450" s="34" t="n">
        <v>0.00040168</v>
      </c>
      <c r="P4450" s="34">
        <f>IF($J4450=1,LN(1+O4450),"")</f>
        <v/>
      </c>
      <c r="Q4450" s="34">
        <f>IF($J4450=1,LN(R4451/R4450),"")</f>
        <v/>
      </c>
      <c r="R4450" s="32" t="n">
        <v>5.0421</v>
      </c>
      <c r="S4450" s="35" t="n">
        <v>9.94</v>
      </c>
      <c r="T4450" s="18" t="n">
        <v>128857.16</v>
      </c>
      <c r="U4450" s="18" t="n"/>
      <c r="V4450" s="18" t="n"/>
      <c r="W4450" s="18" t="n"/>
      <c r="X4450" s="35" t="n"/>
      <c r="Y4450" s="35" t="n">
        <v>9.94</v>
      </c>
    </row>
    <row r="4451">
      <c r="A4451" s="25" t="n">
        <v>45391</v>
      </c>
      <c r="B4451" s="18" t="n">
        <v>129890.37</v>
      </c>
      <c r="C4451" s="31" t="n"/>
      <c r="D4451" s="32" t="n"/>
      <c r="E4451" s="33" t="n">
        <v>0.1821</v>
      </c>
      <c r="F4451" t="inlineStr">
        <is>
          <t>Up</t>
        </is>
      </c>
      <c r="G4451" t="inlineStr">
        <is>
          <t>Down</t>
        </is>
      </c>
      <c r="H4451" t="inlineStr">
        <is>
          <t>EU_JD</t>
        </is>
      </c>
      <c r="I4451" t="inlineStr">
        <is>
          <t>2024-04</t>
        </is>
      </c>
      <c r="J4451" t="n">
        <v>1</v>
      </c>
      <c r="K4451" t="n">
        <v>1</v>
      </c>
      <c r="L4451" s="34">
        <f>IF($J4451=1,LN(B4452/B4451),"")</f>
        <v/>
      </c>
      <c r="M4451" s="34">
        <f>IF($K4451=1,INDEX(Mensal!$D$2:$D$245,MATCH($I4451,Mensal!$A$2:$A$245,0)),"")</f>
        <v/>
      </c>
      <c r="N4451" s="34">
        <f>IF($K4451=1,L4451-M4451,"")</f>
        <v/>
      </c>
      <c r="O4451" s="34" t="n">
        <v>0.00040168</v>
      </c>
      <c r="P4451" s="34">
        <f>IF($J4451=1,LN(1+O4451),"")</f>
        <v/>
      </c>
      <c r="Q4451" s="34">
        <f>IF($J4451=1,LN(R4452/R4451),"")</f>
        <v/>
      </c>
      <c r="R4451" s="32" t="n">
        <v>5.008</v>
      </c>
      <c r="S4451" s="35" t="n">
        <v>9.890000000000001</v>
      </c>
      <c r="T4451" s="18" t="n">
        <v>129890.37</v>
      </c>
      <c r="U4451" s="18" t="n"/>
      <c r="V4451" s="18" t="n"/>
      <c r="W4451" s="18" t="n"/>
      <c r="X4451" s="35" t="n"/>
      <c r="Y4451" s="35" t="n">
        <v>9.890000000000001</v>
      </c>
    </row>
    <row r="4452">
      <c r="A4452" s="25" t="n">
        <v>45392</v>
      </c>
      <c r="B4452" s="18" t="n">
        <v>128053.74</v>
      </c>
      <c r="C4452" s="31" t="n"/>
      <c r="D4452" s="32" t="n"/>
      <c r="E4452" s="33" t="n">
        <v>0.1652</v>
      </c>
      <c r="F4452" t="inlineStr">
        <is>
          <t>Up</t>
        </is>
      </c>
      <c r="G4452" t="inlineStr">
        <is>
          <t>Down</t>
        </is>
      </c>
      <c r="H4452" t="inlineStr">
        <is>
          <t>EU_JD</t>
        </is>
      </c>
      <c r="I4452" t="inlineStr">
        <is>
          <t>2024-04</t>
        </is>
      </c>
      <c r="J4452" t="n">
        <v>1</v>
      </c>
      <c r="K4452" t="n">
        <v>1</v>
      </c>
      <c r="L4452" s="34">
        <f>IF($J4452=1,LN(B4453/B4452),"")</f>
        <v/>
      </c>
      <c r="M4452" s="34">
        <f>IF($K4452=1,INDEX(Mensal!$D$2:$D$245,MATCH($I4452,Mensal!$A$2:$A$245,0)),"")</f>
        <v/>
      </c>
      <c r="N4452" s="34">
        <f>IF($K4452=1,L4452-M4452,"")</f>
        <v/>
      </c>
      <c r="O4452" s="34" t="n">
        <v>0.00040168</v>
      </c>
      <c r="P4452" s="34">
        <f>IF($J4452=1,LN(1+O4452),"")</f>
        <v/>
      </c>
      <c r="Q4452" s="34">
        <f>IF($J4452=1,LN(R4453/R4452),"")</f>
        <v/>
      </c>
      <c r="R4452" s="32" t="n">
        <v>5.0654</v>
      </c>
      <c r="S4452" s="35" t="n">
        <v>10.02</v>
      </c>
      <c r="T4452" s="18" t="n">
        <v>128053.74</v>
      </c>
      <c r="U4452" s="18" t="n"/>
      <c r="V4452" s="18" t="n"/>
      <c r="W4452" s="18" t="n"/>
      <c r="X4452" s="35" t="n"/>
      <c r="Y4452" s="35" t="n">
        <v>10.02</v>
      </c>
    </row>
    <row r="4453">
      <c r="A4453" s="25" t="n">
        <v>45393</v>
      </c>
      <c r="B4453" s="18" t="n">
        <v>127396.35</v>
      </c>
      <c r="C4453" s="31" t="n"/>
      <c r="D4453" s="32" t="n"/>
      <c r="E4453" s="33" t="n">
        <v>0.1468</v>
      </c>
      <c r="F4453" t="inlineStr">
        <is>
          <t>Up</t>
        </is>
      </c>
      <c r="G4453" t="inlineStr">
        <is>
          <t>Down</t>
        </is>
      </c>
      <c r="H4453" t="inlineStr">
        <is>
          <t>EU_JD</t>
        </is>
      </c>
      <c r="I4453" t="inlineStr">
        <is>
          <t>2024-04</t>
        </is>
      </c>
      <c r="J4453" t="n">
        <v>1</v>
      </c>
      <c r="K4453" t="n">
        <v>1</v>
      </c>
      <c r="L4453" s="34">
        <f>IF($J4453=1,LN(B4454/B4453),"")</f>
        <v/>
      </c>
      <c r="M4453" s="34">
        <f>IF($K4453=1,INDEX(Mensal!$D$2:$D$245,MATCH($I4453,Mensal!$A$2:$A$245,0)),"")</f>
        <v/>
      </c>
      <c r="N4453" s="34">
        <f>IF($K4453=1,L4453-M4453,"")</f>
        <v/>
      </c>
      <c r="O4453" s="34" t="n">
        <v>0.00040168</v>
      </c>
      <c r="P4453" s="34">
        <f>IF($J4453=1,LN(1+O4453),"")</f>
        <v/>
      </c>
      <c r="Q4453" s="34">
        <f>IF($J4453=1,LN(R4454/R4453),"")</f>
        <v/>
      </c>
      <c r="R4453" s="32" t="n">
        <v>5.0765</v>
      </c>
      <c r="S4453" s="35" t="n">
        <v>10.06</v>
      </c>
      <c r="T4453" s="18" t="n">
        <v>127396.35</v>
      </c>
      <c r="U4453" s="18" t="n"/>
      <c r="V4453" s="18" t="n"/>
      <c r="W4453" s="18" t="n"/>
      <c r="X4453" s="35" t="n"/>
      <c r="Y4453" s="35" t="n">
        <v>10.06</v>
      </c>
    </row>
    <row r="4454">
      <c r="A4454" s="25" t="n">
        <v>45394</v>
      </c>
      <c r="B4454" s="18" t="n">
        <v>125946.09</v>
      </c>
      <c r="C4454" s="31" t="n"/>
      <c r="D4454" s="32" t="n"/>
      <c r="E4454" s="33" t="n">
        <v>0.1271</v>
      </c>
      <c r="F4454" t="inlineStr">
        <is>
          <t>Up</t>
        </is>
      </c>
      <c r="G4454" t="inlineStr">
        <is>
          <t>Down</t>
        </is>
      </c>
      <c r="H4454" t="inlineStr">
        <is>
          <t>EU_JD</t>
        </is>
      </c>
      <c r="I4454" t="inlineStr">
        <is>
          <t>2024-04</t>
        </is>
      </c>
      <c r="J4454" t="n">
        <v>1</v>
      </c>
      <c r="K4454" t="n">
        <v>1</v>
      </c>
      <c r="L4454" s="34">
        <f>IF($J4454=1,LN(B4455/B4454),"")</f>
        <v/>
      </c>
      <c r="M4454" s="34">
        <f>IF($K4454=1,INDEX(Mensal!$D$2:$D$245,MATCH($I4454,Mensal!$A$2:$A$245,0)),"")</f>
        <v/>
      </c>
      <c r="N4454" s="34">
        <f>IF($K4454=1,L4454-M4454,"")</f>
        <v/>
      </c>
      <c r="O4454" s="34" t="n">
        <v>0.00040168</v>
      </c>
      <c r="P4454" s="34">
        <f>IF($J4454=1,LN(1+O4454),"")</f>
        <v/>
      </c>
      <c r="Q4454" s="34">
        <f>IF($J4454=1,LN(R4455/R4454),"")</f>
        <v/>
      </c>
      <c r="R4454" s="32" t="n">
        <v>5.1364</v>
      </c>
      <c r="S4454" s="35" t="n">
        <v>10.06</v>
      </c>
      <c r="T4454" s="18" t="n">
        <v>125946.09</v>
      </c>
      <c r="U4454" s="18" t="n"/>
      <c r="V4454" s="18" t="n"/>
      <c r="W4454" s="18" t="n"/>
      <c r="X4454" s="35" t="n"/>
      <c r="Y4454" s="35" t="n">
        <v>10.06</v>
      </c>
    </row>
    <row r="4455">
      <c r="A4455" s="25" t="n">
        <v>45397</v>
      </c>
      <c r="B4455" s="18" t="n">
        <v>125333.89</v>
      </c>
      <c r="C4455" s="31" t="n"/>
      <c r="D4455" s="32" t="n"/>
      <c r="E4455" s="33" t="n">
        <v>0.1109</v>
      </c>
      <c r="F4455" t="inlineStr">
        <is>
          <t>Up</t>
        </is>
      </c>
      <c r="G4455" t="inlineStr">
        <is>
          <t>Down</t>
        </is>
      </c>
      <c r="H4455" t="inlineStr">
        <is>
          <t>EU_JD</t>
        </is>
      </c>
      <c r="I4455" t="inlineStr">
        <is>
          <t>2024-04</t>
        </is>
      </c>
      <c r="J4455" t="n">
        <v>1</v>
      </c>
      <c r="K4455" t="n">
        <v>1</v>
      </c>
      <c r="L4455" s="34">
        <f>IF($J4455=1,LN(B4456/B4455),"")</f>
        <v/>
      </c>
      <c r="M4455" s="34">
        <f>IF($K4455=1,INDEX(Mensal!$D$2:$D$245,MATCH($I4455,Mensal!$A$2:$A$245,0)),"")</f>
        <v/>
      </c>
      <c r="N4455" s="34">
        <f>IF($K4455=1,L4455-M4455,"")</f>
        <v/>
      </c>
      <c r="O4455" s="34" t="n">
        <v>0.00040168</v>
      </c>
      <c r="P4455" s="34">
        <f>IF($J4455=1,LN(1+O4455),"")</f>
        <v/>
      </c>
      <c r="Q4455" s="34">
        <f>IF($J4455=1,LN(R4456/R4455),"")</f>
        <v/>
      </c>
      <c r="R4455" s="32" t="n">
        <v>5.1746</v>
      </c>
      <c r="S4455" s="35" t="n">
        <v>10.17</v>
      </c>
      <c r="T4455" s="18" t="n">
        <v>125333.89</v>
      </c>
      <c r="U4455" s="18" t="n"/>
      <c r="V4455" s="18" t="n"/>
      <c r="W4455" s="18" t="n"/>
      <c r="X4455" s="35" t="n"/>
      <c r="Y4455" s="35" t="n">
        <v>10.17</v>
      </c>
    </row>
    <row r="4456">
      <c r="A4456" s="25" t="n">
        <v>45398</v>
      </c>
      <c r="B4456" s="18" t="n">
        <v>124388.62</v>
      </c>
      <c r="C4456" s="31" t="n"/>
      <c r="D4456" s="32" t="n"/>
      <c r="E4456" s="33" t="n">
        <v>0.1023</v>
      </c>
      <c r="F4456" t="inlineStr">
        <is>
          <t>Up</t>
        </is>
      </c>
      <c r="G4456" t="inlineStr">
        <is>
          <t>Down</t>
        </is>
      </c>
      <c r="H4456" t="inlineStr">
        <is>
          <t>EU_JD</t>
        </is>
      </c>
      <c r="I4456" t="inlineStr">
        <is>
          <t>2024-04</t>
        </is>
      </c>
      <c r="J4456" t="n">
        <v>1</v>
      </c>
      <c r="K4456" t="n">
        <v>1</v>
      </c>
      <c r="L4456" s="34">
        <f>IF($J4456=1,LN(B4457/B4456),"")</f>
        <v/>
      </c>
      <c r="M4456" s="34">
        <f>IF($K4456=1,INDEX(Mensal!$D$2:$D$245,MATCH($I4456,Mensal!$A$2:$A$245,0)),"")</f>
        <v/>
      </c>
      <c r="N4456" s="34">
        <f>IF($K4456=1,L4456-M4456,"")</f>
        <v/>
      </c>
      <c r="O4456" s="34" t="n">
        <v>0.00040168</v>
      </c>
      <c r="P4456" s="34">
        <f>IF($J4456=1,LN(1+O4456),"")</f>
        <v/>
      </c>
      <c r="Q4456" s="34">
        <f>IF($J4456=1,LN(R4457/R4456),"")</f>
        <v/>
      </c>
      <c r="R4456" s="32" t="n">
        <v>5.2635</v>
      </c>
      <c r="S4456" s="35" t="n">
        <v>10.35</v>
      </c>
      <c r="T4456" s="18" t="n">
        <v>124388.62</v>
      </c>
      <c r="U4456" s="18" t="n"/>
      <c r="V4456" s="18" t="n"/>
      <c r="W4456" s="18" t="n"/>
      <c r="X4456" s="35" t="n"/>
      <c r="Y4456" s="35" t="n">
        <v>10.35</v>
      </c>
    </row>
    <row r="4457">
      <c r="A4457" s="25" t="n">
        <v>45399</v>
      </c>
      <c r="B4457" s="18" t="n">
        <v>124171.15</v>
      </c>
      <c r="C4457" s="31" t="n"/>
      <c r="D4457" s="32" t="n"/>
      <c r="E4457" s="33" t="n">
        <v>0.1021</v>
      </c>
      <c r="F4457" t="inlineStr">
        <is>
          <t>Up</t>
        </is>
      </c>
      <c r="G4457" t="inlineStr">
        <is>
          <t>Down</t>
        </is>
      </c>
      <c r="H4457" t="inlineStr">
        <is>
          <t>EU_JD</t>
        </is>
      </c>
      <c r="I4457" t="inlineStr">
        <is>
          <t>2024-04</t>
        </is>
      </c>
      <c r="J4457" t="n">
        <v>1</v>
      </c>
      <c r="K4457" t="n">
        <v>1</v>
      </c>
      <c r="L4457" s="34">
        <f>IF($J4457=1,LN(B4458/B4457),"")</f>
        <v/>
      </c>
      <c r="M4457" s="34">
        <f>IF($K4457=1,INDEX(Mensal!$D$2:$D$245,MATCH($I4457,Mensal!$A$2:$A$245,0)),"")</f>
        <v/>
      </c>
      <c r="N4457" s="34">
        <f>IF($K4457=1,L4457-M4457,"")</f>
        <v/>
      </c>
      <c r="O4457" s="34" t="n">
        <v>0.00040168</v>
      </c>
      <c r="P4457" s="34">
        <f>IF($J4457=1,LN(1+O4457),"")</f>
        <v/>
      </c>
      <c r="Q4457" s="34">
        <f>IF($J4457=1,LN(R4458/R4457),"")</f>
        <v/>
      </c>
      <c r="R4457" s="32" t="n">
        <v>5.2469</v>
      </c>
      <c r="S4457" s="35" t="n">
        <v>10.5</v>
      </c>
      <c r="T4457" s="18" t="n">
        <v>124171.15</v>
      </c>
      <c r="U4457" s="18" t="n"/>
      <c r="V4457" s="18" t="n"/>
      <c r="W4457" s="18" t="n"/>
      <c r="X4457" s="35" t="n"/>
      <c r="Y4457" s="35" t="n">
        <v>10.5</v>
      </c>
    </row>
    <row r="4458">
      <c r="A4458" s="25" t="n">
        <v>45400</v>
      </c>
      <c r="B4458" s="18" t="n">
        <v>124196.18</v>
      </c>
      <c r="C4458" s="31" t="n"/>
      <c r="D4458" s="32" t="n"/>
      <c r="E4458" s="33" t="n">
        <v>0.1012</v>
      </c>
      <c r="F4458" t="inlineStr">
        <is>
          <t>Up</t>
        </is>
      </c>
      <c r="G4458" t="inlineStr">
        <is>
          <t>Down</t>
        </is>
      </c>
      <c r="H4458" t="inlineStr">
        <is>
          <t>EU_JD</t>
        </is>
      </c>
      <c r="I4458" t="inlineStr">
        <is>
          <t>2024-04</t>
        </is>
      </c>
      <c r="J4458" t="n">
        <v>1</v>
      </c>
      <c r="K4458" t="n">
        <v>1</v>
      </c>
      <c r="L4458" s="34">
        <f>IF($J4458=1,LN(B4459/B4458),"")</f>
        <v/>
      </c>
      <c r="M4458" s="34">
        <f>IF($K4458=1,INDEX(Mensal!$D$2:$D$245,MATCH($I4458,Mensal!$A$2:$A$245,0)),"")</f>
        <v/>
      </c>
      <c r="N4458" s="34">
        <f>IF($K4458=1,L4458-M4458,"")</f>
        <v/>
      </c>
      <c r="O4458" s="34" t="n">
        <v>0.00040168</v>
      </c>
      <c r="P4458" s="34">
        <f>IF($J4458=1,LN(1+O4458),"")</f>
        <v/>
      </c>
      <c r="Q4458" s="34">
        <f>IF($J4458=1,LN(R4459/R4458),"")</f>
        <v/>
      </c>
      <c r="R4458" s="32" t="n">
        <v>5.2512</v>
      </c>
      <c r="S4458" s="35" t="n">
        <v>10.48</v>
      </c>
      <c r="T4458" s="18" t="n">
        <v>124196.18</v>
      </c>
      <c r="U4458" s="18" t="n"/>
      <c r="V4458" s="18" t="n"/>
      <c r="W4458" s="18" t="n"/>
      <c r="X4458" s="35" t="n"/>
      <c r="Y4458" s="35" t="n">
        <v>10.48</v>
      </c>
    </row>
    <row r="4459">
      <c r="A4459" s="25" t="n">
        <v>45401</v>
      </c>
      <c r="B4459" s="18" t="n">
        <v>125124.3</v>
      </c>
      <c r="C4459" s="31" t="n"/>
      <c r="D4459" s="32" t="n"/>
      <c r="E4459" s="33" t="n">
        <v>0.1002</v>
      </c>
      <c r="F4459" t="inlineStr">
        <is>
          <t>Up</t>
        </is>
      </c>
      <c r="G4459" t="inlineStr">
        <is>
          <t>Down</t>
        </is>
      </c>
      <c r="H4459" t="inlineStr">
        <is>
          <t>EU_JD</t>
        </is>
      </c>
      <c r="I4459" t="inlineStr">
        <is>
          <t>2024-04</t>
        </is>
      </c>
      <c r="J4459" t="n">
        <v>1</v>
      </c>
      <c r="K4459" t="n">
        <v>1</v>
      </c>
      <c r="L4459" s="34">
        <f>IF($J4459=1,LN(B4460/B4459),"")</f>
        <v/>
      </c>
      <c r="M4459" s="34">
        <f>IF($K4459=1,INDEX(Mensal!$D$2:$D$245,MATCH($I4459,Mensal!$A$2:$A$245,0)),"")</f>
        <v/>
      </c>
      <c r="N4459" s="34">
        <f>IF($K4459=1,L4459-M4459,"")</f>
        <v/>
      </c>
      <c r="O4459" s="34" t="n">
        <v>0.00040168</v>
      </c>
      <c r="P4459" s="34">
        <f>IF($J4459=1,LN(1+O4459),"")</f>
        <v/>
      </c>
      <c r="Q4459" s="34">
        <f>IF($J4459=1,LN(R4460/R4459),"")</f>
        <v/>
      </c>
      <c r="R4459" s="32" t="n">
        <v>5.2269</v>
      </c>
      <c r="S4459" s="35" t="n">
        <v>10.37</v>
      </c>
      <c r="T4459" s="18" t="n">
        <v>125124.3</v>
      </c>
      <c r="U4459" s="18" t="n"/>
      <c r="V4459" s="18" t="n"/>
      <c r="W4459" s="18" t="n"/>
      <c r="X4459" s="35" t="n"/>
      <c r="Y4459" s="35" t="n">
        <v>10.37</v>
      </c>
    </row>
    <row r="4460">
      <c r="A4460" s="25" t="n">
        <v>45404</v>
      </c>
      <c r="B4460" s="18" t="n">
        <v>125573.16</v>
      </c>
      <c r="C4460" s="31" t="n"/>
      <c r="D4460" s="32" t="n"/>
      <c r="E4460" s="33" t="n">
        <v>0.111</v>
      </c>
      <c r="F4460" t="inlineStr">
        <is>
          <t>Up</t>
        </is>
      </c>
      <c r="G4460" t="inlineStr">
        <is>
          <t>Down</t>
        </is>
      </c>
      <c r="H4460" t="inlineStr">
        <is>
          <t>EU_JD</t>
        </is>
      </c>
      <c r="I4460" t="inlineStr">
        <is>
          <t>2024-04</t>
        </is>
      </c>
      <c r="J4460" t="n">
        <v>1</v>
      </c>
      <c r="K4460" t="n">
        <v>1</v>
      </c>
      <c r="L4460" s="34">
        <f>IF($J4460=1,LN(B4461/B4460),"")</f>
        <v/>
      </c>
      <c r="M4460" s="34">
        <f>IF($K4460=1,INDEX(Mensal!$D$2:$D$245,MATCH($I4460,Mensal!$A$2:$A$245,0)),"")</f>
        <v/>
      </c>
      <c r="N4460" s="34">
        <f>IF($K4460=1,L4460-M4460,"")</f>
        <v/>
      </c>
      <c r="O4460" s="34" t="n">
        <v>0.00040168</v>
      </c>
      <c r="P4460" s="34">
        <f>IF($J4460=1,LN(1+O4460),"")</f>
        <v/>
      </c>
      <c r="Q4460" s="34">
        <f>IF($J4460=1,LN(R4461/R4460),"")</f>
        <v/>
      </c>
      <c r="R4460" s="32" t="n">
        <v>5.2043</v>
      </c>
      <c r="S4460" s="35" t="n">
        <v>10.3</v>
      </c>
      <c r="T4460" s="18" t="n">
        <v>125573.16</v>
      </c>
      <c r="U4460" s="18" t="n"/>
      <c r="V4460" s="18" t="n"/>
      <c r="W4460" s="18" t="n"/>
      <c r="X4460" s="35" t="n"/>
      <c r="Y4460" s="35" t="n">
        <v>10.3</v>
      </c>
    </row>
    <row r="4461">
      <c r="A4461" s="25" t="n">
        <v>45405</v>
      </c>
      <c r="B4461" s="18" t="n">
        <v>125148.07</v>
      </c>
      <c r="C4461" s="31" t="n"/>
      <c r="D4461" s="32" t="n"/>
      <c r="E4461" s="33" t="n">
        <v>0.1202</v>
      </c>
      <c r="F4461" t="inlineStr">
        <is>
          <t>Up</t>
        </is>
      </c>
      <c r="G4461" t="inlineStr">
        <is>
          <t>Down</t>
        </is>
      </c>
      <c r="H4461" t="inlineStr">
        <is>
          <t>EU_JD</t>
        </is>
      </c>
      <c r="I4461" t="inlineStr">
        <is>
          <t>2024-04</t>
        </is>
      </c>
      <c r="J4461" t="n">
        <v>1</v>
      </c>
      <c r="K4461" t="n">
        <v>1</v>
      </c>
      <c r="L4461" s="34">
        <f>IF($J4461=1,LN(B4462/B4461),"")</f>
        <v/>
      </c>
      <c r="M4461" s="34">
        <f>IF($K4461=1,INDEX(Mensal!$D$2:$D$245,MATCH($I4461,Mensal!$A$2:$A$245,0)),"")</f>
        <v/>
      </c>
      <c r="N4461" s="34">
        <f>IF($K4461=1,L4461-M4461,"")</f>
        <v/>
      </c>
      <c r="O4461" s="34" t="n">
        <v>0.00040168</v>
      </c>
      <c r="P4461" s="34">
        <f>IF($J4461=1,LN(1+O4461),"")</f>
        <v/>
      </c>
      <c r="Q4461" s="34">
        <f>IF($J4461=1,LN(R4462/R4461),"")</f>
        <v/>
      </c>
      <c r="R4461" s="32" t="n">
        <v>5.1626</v>
      </c>
      <c r="S4461" s="35" t="n">
        <v>10.32</v>
      </c>
      <c r="T4461" s="18" t="n">
        <v>125148.07</v>
      </c>
      <c r="U4461" s="18" t="n"/>
      <c r="V4461" s="18" t="n"/>
      <c r="W4461" s="18" t="n"/>
      <c r="X4461" s="35" t="n"/>
      <c r="Y4461" s="35" t="n">
        <v>10.32</v>
      </c>
    </row>
    <row r="4462">
      <c r="A4462" s="25" t="n">
        <v>45406</v>
      </c>
      <c r="B4462" s="18" t="n">
        <v>124740.69</v>
      </c>
      <c r="C4462" s="31" t="n"/>
      <c r="D4462" s="32" t="n"/>
      <c r="E4462" s="33" t="n">
        <v>0.1275</v>
      </c>
      <c r="F4462" t="inlineStr">
        <is>
          <t>Up</t>
        </is>
      </c>
      <c r="G4462" t="inlineStr">
        <is>
          <t>Down</t>
        </is>
      </c>
      <c r="H4462" t="inlineStr">
        <is>
          <t>EU_JD</t>
        </is>
      </c>
      <c r="I4462" t="inlineStr">
        <is>
          <t>2024-04</t>
        </is>
      </c>
      <c r="J4462" t="n">
        <v>1</v>
      </c>
      <c r="K4462" t="n">
        <v>1</v>
      </c>
      <c r="L4462" s="34">
        <f>IF($J4462=1,LN(B4463/B4462),"")</f>
        <v/>
      </c>
      <c r="M4462" s="34">
        <f>IF($K4462=1,INDEX(Mensal!$D$2:$D$245,MATCH($I4462,Mensal!$A$2:$A$245,0)),"")</f>
        <v/>
      </c>
      <c r="N4462" s="34">
        <f>IF($K4462=1,L4462-M4462,"")</f>
        <v/>
      </c>
      <c r="O4462" s="34" t="n">
        <v>0.00040168</v>
      </c>
      <c r="P4462" s="34">
        <f>IF($J4462=1,LN(1+O4462),"")</f>
        <v/>
      </c>
      <c r="Q4462" s="34">
        <f>IF($J4462=1,LN(R4463/R4462),"")</f>
        <v/>
      </c>
      <c r="R4462" s="32" t="n">
        <v>5.1592</v>
      </c>
      <c r="S4462" s="35" t="n">
        <v>10.39</v>
      </c>
      <c r="T4462" s="18" t="n">
        <v>124740.69</v>
      </c>
      <c r="U4462" s="18" t="n"/>
      <c r="V4462" s="18" t="n"/>
      <c r="W4462" s="18" t="n"/>
      <c r="X4462" s="35" t="n"/>
      <c r="Y4462" s="35" t="n">
        <v>10.39</v>
      </c>
    </row>
    <row r="4463">
      <c r="A4463" s="25" t="n">
        <v>45407</v>
      </c>
      <c r="B4463" s="18" t="n">
        <v>124645.58</v>
      </c>
      <c r="C4463" s="31" t="n"/>
      <c r="D4463" s="32" t="n"/>
      <c r="E4463" s="33" t="n">
        <v>0.1316</v>
      </c>
      <c r="F4463" t="inlineStr">
        <is>
          <t>Up</t>
        </is>
      </c>
      <c r="G4463" t="inlineStr">
        <is>
          <t>Down</t>
        </is>
      </c>
      <c r="H4463" t="inlineStr">
        <is>
          <t>EU_JD</t>
        </is>
      </c>
      <c r="I4463" t="inlineStr">
        <is>
          <t>2024-04</t>
        </is>
      </c>
      <c r="J4463" t="n">
        <v>1</v>
      </c>
      <c r="K4463" t="n">
        <v>1</v>
      </c>
      <c r="L4463" s="34">
        <f>IF($J4463=1,LN(B4464/B4463),"")</f>
        <v/>
      </c>
      <c r="M4463" s="34">
        <f>IF($K4463=1,INDEX(Mensal!$D$2:$D$245,MATCH($I4463,Mensal!$A$2:$A$245,0)),"")</f>
        <v/>
      </c>
      <c r="N4463" s="34">
        <f>IF($K4463=1,L4463-M4463,"")</f>
        <v/>
      </c>
      <c r="O4463" s="34" t="n">
        <v>0.00040168</v>
      </c>
      <c r="P4463" s="34">
        <f>IF($J4463=1,LN(1+O4463),"")</f>
        <v/>
      </c>
      <c r="Q4463" s="34">
        <f>IF($J4463=1,LN(R4464/R4463),"")</f>
        <v/>
      </c>
      <c r="R4463" s="32" t="n">
        <v>5.1679</v>
      </c>
      <c r="S4463" s="35" t="n">
        <v>10.39</v>
      </c>
      <c r="T4463" s="18" t="n">
        <v>124645.58</v>
      </c>
      <c r="U4463" s="18" t="n"/>
      <c r="V4463" s="18" t="n"/>
      <c r="W4463" s="18" t="n"/>
      <c r="X4463" s="35" t="n"/>
      <c r="Y4463" s="35" t="n">
        <v>10.39</v>
      </c>
    </row>
    <row r="4464">
      <c r="A4464" s="25" t="n">
        <v>45408</v>
      </c>
      <c r="B4464" s="18" t="n">
        <v>126526.27</v>
      </c>
      <c r="C4464" s="31" t="n"/>
      <c r="D4464" s="32" t="n"/>
      <c r="E4464" s="33" t="n">
        <v>0.141</v>
      </c>
      <c r="F4464" t="inlineStr">
        <is>
          <t>Up</t>
        </is>
      </c>
      <c r="G4464" t="inlineStr">
        <is>
          <t>Down</t>
        </is>
      </c>
      <c r="H4464" t="inlineStr">
        <is>
          <t>EU_JD</t>
        </is>
      </c>
      <c r="I4464" t="inlineStr">
        <is>
          <t>2024-04</t>
        </is>
      </c>
      <c r="J4464" t="n">
        <v>1</v>
      </c>
      <c r="K4464" t="n">
        <v>1</v>
      </c>
      <c r="L4464" s="34">
        <f>IF($J4464=1,LN(B4465/B4464),"")</f>
        <v/>
      </c>
      <c r="M4464" s="34">
        <f>IF($K4464=1,INDEX(Mensal!$D$2:$D$245,MATCH($I4464,Mensal!$A$2:$A$245,0)),"")</f>
        <v/>
      </c>
      <c r="N4464" s="34">
        <f>IF($K4464=1,L4464-M4464,"")</f>
        <v/>
      </c>
      <c r="O4464" s="34" t="n">
        <v>0.00040168</v>
      </c>
      <c r="P4464" s="34">
        <f>IF($J4464=1,LN(1+O4464),"")</f>
        <v/>
      </c>
      <c r="Q4464" s="34">
        <f>IF($J4464=1,LN(R4465/R4464),"")</f>
        <v/>
      </c>
      <c r="R4464" s="32" t="n">
        <v>5.1184</v>
      </c>
      <c r="S4464" s="35" t="n">
        <v>10.23</v>
      </c>
      <c r="T4464" s="18" t="n">
        <v>126526.27</v>
      </c>
      <c r="U4464" s="18" t="n"/>
      <c r="V4464" s="18" t="n"/>
      <c r="W4464" s="18" t="n"/>
      <c r="X4464" s="35" t="n"/>
      <c r="Y4464" s="35" t="n">
        <v>10.23</v>
      </c>
    </row>
    <row r="4465">
      <c r="A4465" s="25" t="n">
        <v>45411</v>
      </c>
      <c r="B4465" s="18" t="n">
        <v>127351.79</v>
      </c>
      <c r="C4465" s="31" t="n"/>
      <c r="D4465" s="32" t="n"/>
      <c r="E4465" s="33" t="n">
        <v>0.1497</v>
      </c>
      <c r="F4465" t="inlineStr">
        <is>
          <t>Up</t>
        </is>
      </c>
      <c r="G4465" t="inlineStr">
        <is>
          <t>Down</t>
        </is>
      </c>
      <c r="H4465" t="inlineStr">
        <is>
          <t>EU_JD</t>
        </is>
      </c>
      <c r="I4465" t="inlineStr">
        <is>
          <t>2024-04</t>
        </is>
      </c>
      <c r="J4465" t="n">
        <v>1</v>
      </c>
      <c r="K4465" t="n">
        <v>1</v>
      </c>
      <c r="L4465" s="34">
        <f>IF($J4465=1,LN(B4466/B4465),"")</f>
        <v/>
      </c>
      <c r="M4465" s="34">
        <f>IF($K4465=1,INDEX(Mensal!$D$2:$D$245,MATCH($I4465,Mensal!$A$2:$A$245,0)),"")</f>
        <v/>
      </c>
      <c r="N4465" s="34">
        <f>IF($K4465=1,L4465-M4465,"")</f>
        <v/>
      </c>
      <c r="O4465" s="34" t="n">
        <v>0.00040168</v>
      </c>
      <c r="P4465" s="34">
        <f>IF($J4465=1,LN(1+O4465),"")</f>
        <v/>
      </c>
      <c r="Q4465" s="34">
        <f>IF($J4465=1,LN(R4466/R4465),"")</f>
        <v/>
      </c>
      <c r="R4465" s="32" t="n">
        <v>5.1155</v>
      </c>
      <c r="S4465" s="35" t="n">
        <v>10.19</v>
      </c>
      <c r="T4465" s="18" t="n">
        <v>127351.79</v>
      </c>
      <c r="U4465" s="18" t="n"/>
      <c r="V4465" s="18" t="n"/>
      <c r="W4465" s="18" t="n"/>
      <c r="X4465" s="35" t="n"/>
      <c r="Y4465" s="35" t="n">
        <v>10.19</v>
      </c>
    </row>
    <row r="4466">
      <c r="A4466" s="25" t="n">
        <v>45412</v>
      </c>
      <c r="B4466" s="18" t="n">
        <v>125924.19</v>
      </c>
      <c r="C4466" s="31" t="n"/>
      <c r="D4466" s="32" t="n"/>
      <c r="E4466" s="33" t="n">
        <v>0.167</v>
      </c>
      <c r="F4466" t="inlineStr">
        <is>
          <t>Up</t>
        </is>
      </c>
      <c r="G4466" t="inlineStr">
        <is>
          <t>Down</t>
        </is>
      </c>
      <c r="H4466" t="inlineStr">
        <is>
          <t>EU_JD</t>
        </is>
      </c>
      <c r="I4466" t="inlineStr">
        <is>
          <t>2024-04</t>
        </is>
      </c>
      <c r="J4466" t="n">
        <v>1</v>
      </c>
      <c r="K4466" t="n">
        <v>1</v>
      </c>
      <c r="L4466" s="34">
        <f>IF($J4466=1,LN(B4467/B4466),"")</f>
        <v/>
      </c>
      <c r="M4466" s="34">
        <f>IF($K4466=1,INDEX(Mensal!$D$2:$D$245,MATCH($I4466,Mensal!$A$2:$A$245,0)),"")</f>
        <v/>
      </c>
      <c r="N4466" s="34">
        <f>IF($K4466=1,L4466-M4466,"")</f>
        <v/>
      </c>
      <c r="O4466" s="34" t="n">
        <v>0.00040168</v>
      </c>
      <c r="P4466" s="34">
        <f>IF($J4466=1,LN(1+O4466),"")</f>
        <v/>
      </c>
      <c r="Q4466" s="34">
        <f>IF($J4466=1,LN(R4467/R4466),"")</f>
        <v/>
      </c>
      <c r="R4466" s="32" t="n">
        <v>5.1718</v>
      </c>
      <c r="S4466" s="35" t="n">
        <v>10.39</v>
      </c>
      <c r="T4466" s="18" t="n">
        <v>125924.19</v>
      </c>
      <c r="U4466" s="18" t="n"/>
      <c r="V4466" s="18" t="n"/>
      <c r="W4466" s="18" t="n"/>
      <c r="X4466" s="35" t="n"/>
      <c r="Y4466" s="35" t="n">
        <v>10.39</v>
      </c>
    </row>
    <row r="4467">
      <c r="A4467" s="25" t="n">
        <v>45414</v>
      </c>
      <c r="B4467" s="18" t="n">
        <v>127122.25</v>
      </c>
      <c r="C4467" s="31" t="n"/>
      <c r="D4467" s="32" t="n"/>
      <c r="E4467" s="33" t="n">
        <v>0.1943</v>
      </c>
      <c r="F4467" t="inlineStr">
        <is>
          <t>Up</t>
        </is>
      </c>
      <c r="G4467" t="inlineStr">
        <is>
          <t>Down</t>
        </is>
      </c>
      <c r="H4467" t="inlineStr">
        <is>
          <t>EU_JD</t>
        </is>
      </c>
      <c r="I4467" t="inlineStr">
        <is>
          <t>2024-05</t>
        </is>
      </c>
      <c r="J4467" t="n">
        <v>1</v>
      </c>
      <c r="K4467" t="n">
        <v>1</v>
      </c>
      <c r="L4467" s="34">
        <f>IF($J4467=1,LN(B4468/B4467),"")</f>
        <v/>
      </c>
      <c r="M4467" s="34">
        <f>IF($K4467=1,INDEX(Mensal!$D$2:$D$245,MATCH($I4467,Mensal!$A$2:$A$245,0)),"")</f>
        <v/>
      </c>
      <c r="N4467" s="34">
        <f>IF($K4467=1,L4467-M4467,"")</f>
        <v/>
      </c>
      <c r="O4467" s="34" t="n">
        <v>0.00040168</v>
      </c>
      <c r="P4467" s="34">
        <f>IF($J4467=1,LN(1+O4467),"")</f>
        <v/>
      </c>
      <c r="Q4467" s="34">
        <f>IF($J4467=1,LN(R4468/R4467),"")</f>
        <v/>
      </c>
      <c r="R4467" s="32" t="n">
        <v>5.1184</v>
      </c>
      <c r="S4467" s="35" t="n">
        <v>10.23</v>
      </c>
      <c r="T4467" s="18" t="n">
        <v>127122.25</v>
      </c>
      <c r="U4467" s="18" t="n"/>
      <c r="V4467" s="18" t="n"/>
      <c r="W4467" s="18" t="n"/>
      <c r="X4467" s="35" t="n"/>
      <c r="Y4467" s="35" t="n">
        <v>10.23</v>
      </c>
    </row>
    <row r="4468">
      <c r="A4468" s="25" t="n">
        <v>45415</v>
      </c>
      <c r="B4468" s="18" t="n">
        <v>128508.67</v>
      </c>
      <c r="C4468" s="31" t="n"/>
      <c r="D4468" s="32" t="n"/>
      <c r="E4468" s="33" t="n">
        <v>0.2312</v>
      </c>
      <c r="F4468" t="inlineStr">
        <is>
          <t>Up</t>
        </is>
      </c>
      <c r="G4468" t="inlineStr">
        <is>
          <t>Down</t>
        </is>
      </c>
      <c r="H4468" t="inlineStr">
        <is>
          <t>EU_JD</t>
        </is>
      </c>
      <c r="I4468" t="inlineStr">
        <is>
          <t>2024-05</t>
        </is>
      </c>
      <c r="J4468" t="n">
        <v>1</v>
      </c>
      <c r="K4468" t="n">
        <v>1</v>
      </c>
      <c r="L4468" s="34">
        <f>IF($J4468=1,LN(B4469/B4468),"")</f>
        <v/>
      </c>
      <c r="M4468" s="34">
        <f>IF($K4468=1,INDEX(Mensal!$D$2:$D$245,MATCH($I4468,Mensal!$A$2:$A$245,0)),"")</f>
        <v/>
      </c>
      <c r="N4468" s="34">
        <f>IF($K4468=1,L4468-M4468,"")</f>
        <v/>
      </c>
      <c r="O4468" s="34" t="n">
        <v>0.00040168</v>
      </c>
      <c r="P4468" s="34">
        <f>IF($J4468=1,LN(1+O4468),"")</f>
        <v/>
      </c>
      <c r="Q4468" s="34">
        <f>IF($J4468=1,LN(R4469/R4468),"")</f>
        <v/>
      </c>
      <c r="R4468" s="32" t="n">
        <v>5.0668</v>
      </c>
      <c r="S4468" s="35" t="n">
        <v>10.16</v>
      </c>
      <c r="T4468" s="18" t="n">
        <v>128508.67</v>
      </c>
      <c r="U4468" s="18" t="n"/>
      <c r="V4468" s="18" t="n"/>
      <c r="W4468" s="18" t="n"/>
      <c r="X4468" s="35" t="n"/>
      <c r="Y4468" s="35" t="n">
        <v>10.16</v>
      </c>
    </row>
    <row r="4469">
      <c r="A4469" s="25" t="n">
        <v>45418</v>
      </c>
      <c r="B4469" s="18" t="n">
        <v>128465.69</v>
      </c>
      <c r="C4469" s="31" t="n"/>
      <c r="D4469" s="32" t="n"/>
      <c r="E4469" s="33" t="n">
        <v>0.2673</v>
      </c>
      <c r="F4469" t="inlineStr">
        <is>
          <t>Up</t>
        </is>
      </c>
      <c r="G4469" t="inlineStr">
        <is>
          <t>Down</t>
        </is>
      </c>
      <c r="H4469" t="inlineStr">
        <is>
          <t>EU_JD</t>
        </is>
      </c>
      <c r="I4469" t="inlineStr">
        <is>
          <t>2024-05</t>
        </is>
      </c>
      <c r="J4469" t="n">
        <v>1</v>
      </c>
      <c r="K4469" t="n">
        <v>1</v>
      </c>
      <c r="L4469" s="34">
        <f>IF($J4469=1,LN(B4470/B4469),"")</f>
        <v/>
      </c>
      <c r="M4469" s="34">
        <f>IF($K4469=1,INDEX(Mensal!$D$2:$D$245,MATCH($I4469,Mensal!$A$2:$A$245,0)),"")</f>
        <v/>
      </c>
      <c r="N4469" s="34">
        <f>IF($K4469=1,L4469-M4469,"")</f>
        <v/>
      </c>
      <c r="O4469" s="34" t="n">
        <v>0.00040168</v>
      </c>
      <c r="P4469" s="34">
        <f>IF($J4469=1,LN(1+O4469),"")</f>
        <v/>
      </c>
      <c r="Q4469" s="34">
        <f>IF($J4469=1,LN(R4470/R4469),"")</f>
        <v/>
      </c>
      <c r="R4469" s="32" t="n">
        <v>5.0727</v>
      </c>
      <c r="S4469" s="35" t="n">
        <v>10.25</v>
      </c>
      <c r="T4469" s="18" t="n">
        <v>128465.69</v>
      </c>
      <c r="U4469" s="18" t="n"/>
      <c r="V4469" s="18" t="n"/>
      <c r="W4469" s="18" t="n"/>
      <c r="X4469" s="35" t="n"/>
      <c r="Y4469" s="35" t="n">
        <v>10.25</v>
      </c>
    </row>
    <row r="4470">
      <c r="A4470" s="25" t="n">
        <v>45419</v>
      </c>
      <c r="B4470" s="18" t="n">
        <v>129210.48</v>
      </c>
      <c r="C4470" s="31" t="n"/>
      <c r="D4470" s="32" t="n"/>
      <c r="E4470" s="33" t="n">
        <v>0.3033</v>
      </c>
      <c r="F4470" t="inlineStr">
        <is>
          <t>Up</t>
        </is>
      </c>
      <c r="G4470" t="inlineStr">
        <is>
          <t>Down</t>
        </is>
      </c>
      <c r="H4470" t="inlineStr">
        <is>
          <t>EU_JD</t>
        </is>
      </c>
      <c r="I4470" t="inlineStr">
        <is>
          <t>2024-05</t>
        </is>
      </c>
      <c r="J4470" t="n">
        <v>1</v>
      </c>
      <c r="K4470" t="n">
        <v>1</v>
      </c>
      <c r="L4470" s="34">
        <f>IF($J4470=1,LN(B4471/B4470),"")</f>
        <v/>
      </c>
      <c r="M4470" s="34">
        <f>IF($K4470=1,INDEX(Mensal!$D$2:$D$245,MATCH($I4470,Mensal!$A$2:$A$245,0)),"")</f>
        <v/>
      </c>
      <c r="N4470" s="34">
        <f>IF($K4470=1,L4470-M4470,"")</f>
        <v/>
      </c>
      <c r="O4470" s="34" t="n">
        <v>0.00040168</v>
      </c>
      <c r="P4470" s="34">
        <f>IF($J4470=1,LN(1+O4470),"")</f>
        <v/>
      </c>
      <c r="Q4470" s="34">
        <f>IF($J4470=1,LN(R4471/R4470),"")</f>
        <v/>
      </c>
      <c r="R4470" s="32" t="n">
        <v>5.061</v>
      </c>
      <c r="S4470" s="35" t="n">
        <v>10.23</v>
      </c>
      <c r="T4470" s="18" t="n">
        <v>129210.48</v>
      </c>
      <c r="U4470" s="18" t="n"/>
      <c r="V4470" s="18" t="n"/>
      <c r="W4470" s="18" t="n"/>
      <c r="X4470" s="35" t="n"/>
      <c r="Y4470" s="35" t="n">
        <v>10.23</v>
      </c>
    </row>
    <row r="4471">
      <c r="A4471" s="25" t="n">
        <v>45420</v>
      </c>
      <c r="B4471" s="18" t="n">
        <v>129480.89</v>
      </c>
      <c r="C4471" s="31" t="n"/>
      <c r="D4471" s="32" t="n"/>
      <c r="E4471" s="33" t="n">
        <v>0.3373</v>
      </c>
      <c r="F4471" t="inlineStr">
        <is>
          <t>Up</t>
        </is>
      </c>
      <c r="G4471" t="inlineStr">
        <is>
          <t>Down</t>
        </is>
      </c>
      <c r="H4471" t="inlineStr">
        <is>
          <t>EU_JD</t>
        </is>
      </c>
      <c r="I4471" t="inlineStr">
        <is>
          <t>2024-05</t>
        </is>
      </c>
      <c r="J4471" t="n">
        <v>1</v>
      </c>
      <c r="K4471" t="n">
        <v>1</v>
      </c>
      <c r="L4471" s="34">
        <f>IF($J4471=1,LN(B4472/B4471),"")</f>
        <v/>
      </c>
      <c r="M4471" s="34">
        <f>IF($K4471=1,INDEX(Mensal!$D$2:$D$245,MATCH($I4471,Mensal!$A$2:$A$245,0)),"")</f>
        <v/>
      </c>
      <c r="N4471" s="34">
        <f>IF($K4471=1,L4471-M4471,"")</f>
        <v/>
      </c>
      <c r="O4471" s="34" t="n">
        <v>0.00040168</v>
      </c>
      <c r="P4471" s="34">
        <f>IF($J4471=1,LN(1+O4471),"")</f>
        <v/>
      </c>
      <c r="Q4471" s="34">
        <f>IF($J4471=1,LN(R4472/R4471),"")</f>
        <v/>
      </c>
      <c r="R4471" s="32" t="n">
        <v>5.0887</v>
      </c>
      <c r="S4471" s="35" t="n">
        <v>10.27</v>
      </c>
      <c r="T4471" s="18" t="n">
        <v>129480.89</v>
      </c>
      <c r="U4471" s="18" t="n"/>
      <c r="V4471" s="18" t="n"/>
      <c r="W4471" s="18" t="n"/>
      <c r="X4471" s="35" t="n"/>
      <c r="Y4471" s="35" t="n">
        <v>10.27</v>
      </c>
    </row>
    <row r="4472">
      <c r="A4472" s="25" t="n">
        <v>45421</v>
      </c>
      <c r="B4472" s="18" t="n">
        <v>128188.34</v>
      </c>
      <c r="C4472" s="31" t="n"/>
      <c r="D4472" s="32" t="n"/>
      <c r="E4472" s="33" t="n">
        <v>0.3744</v>
      </c>
      <c r="F4472" t="inlineStr">
        <is>
          <t>Up</t>
        </is>
      </c>
      <c r="G4472" t="inlineStr">
        <is>
          <t>Up</t>
        </is>
      </c>
      <c r="H4472" t="inlineStr">
        <is>
          <t>EU_JU</t>
        </is>
      </c>
      <c r="I4472" t="inlineStr">
        <is>
          <t>2024-05</t>
        </is>
      </c>
      <c r="J4472" t="n">
        <v>1</v>
      </c>
      <c r="K4472" t="n">
        <v>1</v>
      </c>
      <c r="L4472" s="34">
        <f>IF($J4472=1,LN(B4473/B4472),"")</f>
        <v/>
      </c>
      <c r="M4472" s="34">
        <f>IF($K4472=1,INDEX(Mensal!$D$2:$D$245,MATCH($I4472,Mensal!$A$2:$A$245,0)),"")</f>
        <v/>
      </c>
      <c r="N4472" s="34">
        <f>IF($K4472=1,L4472-M4472,"")</f>
        <v/>
      </c>
      <c r="O4472" s="34" t="n">
        <v>0.0003927</v>
      </c>
      <c r="P4472" s="34">
        <f>IF($J4472=1,LN(1+O4472),"")</f>
        <v/>
      </c>
      <c r="Q4472" s="34">
        <f>IF($J4472=1,LN(R4473/R4472),"")</f>
        <v/>
      </c>
      <c r="R4472" s="32" t="n">
        <v>5.1577</v>
      </c>
      <c r="S4472" s="35" t="n">
        <v>10.3</v>
      </c>
      <c r="T4472" s="18" t="n"/>
      <c r="U4472" s="18" t="n">
        <v>128188.34</v>
      </c>
      <c r="V4472" s="18" t="n"/>
      <c r="W4472" s="18" t="n"/>
      <c r="X4472" s="35" t="n">
        <v>10.3</v>
      </c>
      <c r="Y4472" s="35" t="n"/>
    </row>
    <row r="4473">
      <c r="A4473" s="25" t="n">
        <v>45422</v>
      </c>
      <c r="B4473" s="18" t="n">
        <v>127599.57</v>
      </c>
      <c r="C4473" s="31" t="n"/>
      <c r="D4473" s="32" t="n"/>
      <c r="E4473" s="33" t="n">
        <v>0.4088</v>
      </c>
      <c r="F4473" t="inlineStr">
        <is>
          <t>Up</t>
        </is>
      </c>
      <c r="G4473" t="inlineStr">
        <is>
          <t>Up</t>
        </is>
      </c>
      <c r="H4473" t="inlineStr">
        <is>
          <t>EU_JU</t>
        </is>
      </c>
      <c r="I4473" t="inlineStr">
        <is>
          <t>2024-05</t>
        </is>
      </c>
      <c r="J4473" t="n">
        <v>1</v>
      </c>
      <c r="K4473" t="n">
        <v>1</v>
      </c>
      <c r="L4473" s="34">
        <f>IF($J4473=1,LN(B4474/B4473),"")</f>
        <v/>
      </c>
      <c r="M4473" s="34">
        <f>IF($K4473=1,INDEX(Mensal!$D$2:$D$245,MATCH($I4473,Mensal!$A$2:$A$245,0)),"")</f>
        <v/>
      </c>
      <c r="N4473" s="34">
        <f>IF($K4473=1,L4473-M4473,"")</f>
        <v/>
      </c>
      <c r="O4473" s="34" t="n">
        <v>0.0003927</v>
      </c>
      <c r="P4473" s="34">
        <f>IF($J4473=1,LN(1+O4473),"")</f>
        <v/>
      </c>
      <c r="Q4473" s="34">
        <f>IF($J4473=1,LN(R4474/R4473),"")</f>
        <v/>
      </c>
      <c r="R4473" s="32" t="n">
        <v>5.1464</v>
      </c>
      <c r="S4473" s="35" t="n">
        <v>10.35</v>
      </c>
      <c r="T4473" s="18" t="n"/>
      <c r="U4473" s="18" t="n">
        <v>127599.57</v>
      </c>
      <c r="V4473" s="18" t="n"/>
      <c r="W4473" s="18" t="n"/>
      <c r="X4473" s="35" t="n">
        <v>10.35</v>
      </c>
      <c r="Y4473" s="35" t="n"/>
    </row>
    <row r="4474">
      <c r="A4474" s="25" t="n">
        <v>45425</v>
      </c>
      <c r="B4474" s="18" t="n">
        <v>128154.79</v>
      </c>
      <c r="C4474" s="31" t="n"/>
      <c r="D4474" s="32" t="n"/>
      <c r="E4474" s="33" t="n">
        <v>0.435</v>
      </c>
      <c r="F4474" t="inlineStr">
        <is>
          <t>Up</t>
        </is>
      </c>
      <c r="G4474" t="inlineStr">
        <is>
          <t>Up</t>
        </is>
      </c>
      <c r="H4474" t="inlineStr">
        <is>
          <t>EU_JU</t>
        </is>
      </c>
      <c r="I4474" t="inlineStr">
        <is>
          <t>2024-05</t>
        </is>
      </c>
      <c r="J4474" t="n">
        <v>1</v>
      </c>
      <c r="K4474" t="n">
        <v>1</v>
      </c>
      <c r="L4474" s="34">
        <f>IF($J4474=1,LN(B4475/B4474),"")</f>
        <v/>
      </c>
      <c r="M4474" s="34">
        <f>IF($K4474=1,INDEX(Mensal!$D$2:$D$245,MATCH($I4474,Mensal!$A$2:$A$245,0)),"")</f>
        <v/>
      </c>
      <c r="N4474" s="34">
        <f>IF($K4474=1,L4474-M4474,"")</f>
        <v/>
      </c>
      <c r="O4474" s="34" t="n">
        <v>0.0003927</v>
      </c>
      <c r="P4474" s="34">
        <f>IF($J4474=1,LN(1+O4474),"")</f>
        <v/>
      </c>
      <c r="Q4474" s="34">
        <f>IF($J4474=1,LN(R4475/R4474),"")</f>
        <v/>
      </c>
      <c r="R4474" s="32" t="n">
        <v>5.1412</v>
      </c>
      <c r="S4474" s="35" t="n">
        <v>10.36</v>
      </c>
      <c r="T4474" s="18" t="n"/>
      <c r="U4474" s="18" t="n">
        <v>128154.79</v>
      </c>
      <c r="V4474" s="18" t="n"/>
      <c r="W4474" s="18" t="n"/>
      <c r="X4474" s="35" t="n">
        <v>10.36</v>
      </c>
      <c r="Y4474" s="35" t="n"/>
    </row>
    <row r="4475">
      <c r="A4475" s="25" t="n">
        <v>45426</v>
      </c>
      <c r="B4475" s="18" t="n">
        <v>128515.49</v>
      </c>
      <c r="C4475" s="31" t="n"/>
      <c r="D4475" s="32" t="n"/>
      <c r="E4475" s="33" t="n">
        <v>0.4594</v>
      </c>
      <c r="F4475" t="inlineStr">
        <is>
          <t>Up</t>
        </is>
      </c>
      <c r="G4475" t="inlineStr">
        <is>
          <t>Up</t>
        </is>
      </c>
      <c r="H4475" t="inlineStr">
        <is>
          <t>EU_JU</t>
        </is>
      </c>
      <c r="I4475" t="inlineStr">
        <is>
          <t>2024-05</t>
        </is>
      </c>
      <c r="J4475" t="n">
        <v>1</v>
      </c>
      <c r="K4475" t="n">
        <v>1</v>
      </c>
      <c r="L4475" s="34">
        <f>IF($J4475=1,LN(B4476/B4475),"")</f>
        <v/>
      </c>
      <c r="M4475" s="34">
        <f>IF($K4475=1,INDEX(Mensal!$D$2:$D$245,MATCH($I4475,Mensal!$A$2:$A$245,0)),"")</f>
        <v/>
      </c>
      <c r="N4475" s="34">
        <f>IF($K4475=1,L4475-M4475,"")</f>
        <v/>
      </c>
      <c r="O4475" s="34" t="n">
        <v>0.0003927</v>
      </c>
      <c r="P4475" s="34">
        <f>IF($J4475=1,LN(1+O4475),"")</f>
        <v/>
      </c>
      <c r="Q4475" s="34">
        <f>IF($J4475=1,LN(R4476/R4475),"")</f>
        <v/>
      </c>
      <c r="R4475" s="32" t="n">
        <v>5.1356</v>
      </c>
      <c r="S4475" s="35" t="n">
        <v>10.38</v>
      </c>
      <c r="T4475" s="18" t="n"/>
      <c r="U4475" s="18" t="n">
        <v>128515.49</v>
      </c>
      <c r="V4475" s="18" t="n"/>
      <c r="W4475" s="18" t="n"/>
      <c r="X4475" s="35" t="n">
        <v>10.38</v>
      </c>
      <c r="Y4475" s="35" t="n"/>
    </row>
    <row r="4476">
      <c r="A4476" s="25" t="n">
        <v>45427</v>
      </c>
      <c r="B4476" s="18" t="n">
        <v>128027.59</v>
      </c>
      <c r="C4476" s="31" t="n"/>
      <c r="D4476" s="32" t="n"/>
      <c r="E4476" s="33" t="n">
        <v>0.497</v>
      </c>
      <c r="F4476" t="inlineStr">
        <is>
          <t>Up</t>
        </is>
      </c>
      <c r="G4476" t="inlineStr">
        <is>
          <t>Up</t>
        </is>
      </c>
      <c r="H4476" t="inlineStr">
        <is>
          <t>EU_JU</t>
        </is>
      </c>
      <c r="I4476" t="inlineStr">
        <is>
          <t>2024-05</t>
        </is>
      </c>
      <c r="J4476" t="n">
        <v>1</v>
      </c>
      <c r="K4476" t="n">
        <v>1</v>
      </c>
      <c r="L4476" s="34">
        <f>IF($J4476=1,LN(B4477/B4476),"")</f>
        <v/>
      </c>
      <c r="M4476" s="34">
        <f>IF($K4476=1,INDEX(Mensal!$D$2:$D$245,MATCH($I4476,Mensal!$A$2:$A$245,0)),"")</f>
        <v/>
      </c>
      <c r="N4476" s="34">
        <f>IF($K4476=1,L4476-M4476,"")</f>
        <v/>
      </c>
      <c r="O4476" s="34" t="n">
        <v>0.0003927</v>
      </c>
      <c r="P4476" s="34">
        <f>IF($J4476=1,LN(1+O4476),"")</f>
        <v/>
      </c>
      <c r="Q4476" s="34">
        <f>IF($J4476=1,LN(R4477/R4476),"")</f>
        <v/>
      </c>
      <c r="R4476" s="32" t="n">
        <v>5.1423</v>
      </c>
      <c r="S4476" s="35" t="n">
        <v>10.39</v>
      </c>
      <c r="T4476" s="18" t="n"/>
      <c r="U4476" s="18" t="n">
        <v>128027.59</v>
      </c>
      <c r="V4476" s="18" t="n"/>
      <c r="W4476" s="18" t="n"/>
      <c r="X4476" s="35" t="n">
        <v>10.39</v>
      </c>
      <c r="Y4476" s="35" t="n"/>
    </row>
    <row r="4477">
      <c r="A4477" s="25" t="n">
        <v>45428</v>
      </c>
      <c r="B4477" s="18" t="n">
        <v>128283.62</v>
      </c>
      <c r="C4477" s="31" t="n"/>
      <c r="D4477" s="32" t="n"/>
      <c r="E4477" s="33" t="n">
        <v>0.5304</v>
      </c>
      <c r="F4477" t="inlineStr">
        <is>
          <t>Up</t>
        </is>
      </c>
      <c r="G4477" t="inlineStr">
        <is>
          <t>Up</t>
        </is>
      </c>
      <c r="H4477" t="inlineStr">
        <is>
          <t>EU_JU</t>
        </is>
      </c>
      <c r="I4477" t="inlineStr">
        <is>
          <t>2024-05</t>
        </is>
      </c>
      <c r="J4477" t="n">
        <v>1</v>
      </c>
      <c r="K4477" t="n">
        <v>1</v>
      </c>
      <c r="L4477" s="34">
        <f>IF($J4477=1,LN(B4478/B4477),"")</f>
        <v/>
      </c>
      <c r="M4477" s="34">
        <f>IF($K4477=1,INDEX(Mensal!$D$2:$D$245,MATCH($I4477,Mensal!$A$2:$A$245,0)),"")</f>
        <v/>
      </c>
      <c r="N4477" s="34">
        <f>IF($K4477=1,L4477-M4477,"")</f>
        <v/>
      </c>
      <c r="O4477" s="34" t="n">
        <v>0.0003927</v>
      </c>
      <c r="P4477" s="34">
        <f>IF($J4477=1,LN(1+O4477),"")</f>
        <v/>
      </c>
      <c r="Q4477" s="34">
        <f>IF($J4477=1,LN(R4478/R4477),"")</f>
        <v/>
      </c>
      <c r="R4477" s="32" t="n">
        <v>5.127</v>
      </c>
      <c r="S4477" s="35" t="n">
        <v>10.39</v>
      </c>
      <c r="T4477" s="18" t="n"/>
      <c r="U4477" s="18" t="n">
        <v>128283.62</v>
      </c>
      <c r="V4477" s="18" t="n"/>
      <c r="W4477" s="18" t="n"/>
      <c r="X4477" s="35" t="n">
        <v>10.39</v>
      </c>
      <c r="Y4477" s="35" t="n"/>
    </row>
    <row r="4478">
      <c r="A4478" s="25" t="n">
        <v>45429</v>
      </c>
      <c r="B4478" s="18" t="n">
        <v>128150.71</v>
      </c>
      <c r="C4478" s="31" t="n"/>
      <c r="D4478" s="32" t="n"/>
      <c r="E4478" s="33" t="n">
        <v>0.5602</v>
      </c>
      <c r="F4478" t="inlineStr">
        <is>
          <t>Up</t>
        </is>
      </c>
      <c r="G4478" t="inlineStr">
        <is>
          <t>Up</t>
        </is>
      </c>
      <c r="H4478" t="inlineStr">
        <is>
          <t>EU_JU</t>
        </is>
      </c>
      <c r="I4478" t="inlineStr">
        <is>
          <t>2024-05</t>
        </is>
      </c>
      <c r="J4478" t="n">
        <v>1</v>
      </c>
      <c r="K4478" t="n">
        <v>1</v>
      </c>
      <c r="L4478" s="34">
        <f>IF($J4478=1,LN(B4479/B4478),"")</f>
        <v/>
      </c>
      <c r="M4478" s="34">
        <f>IF($K4478=1,INDEX(Mensal!$D$2:$D$245,MATCH($I4478,Mensal!$A$2:$A$245,0)),"")</f>
        <v/>
      </c>
      <c r="N4478" s="34">
        <f>IF($K4478=1,L4478-M4478,"")</f>
        <v/>
      </c>
      <c r="O4478" s="34" t="n">
        <v>0.0003927</v>
      </c>
      <c r="P4478" s="34">
        <f>IF($J4478=1,LN(1+O4478),"")</f>
        <v/>
      </c>
      <c r="Q4478" s="34">
        <f>IF($J4478=1,LN(R4479/R4478),"")</f>
        <v/>
      </c>
      <c r="R4478" s="32" t="n">
        <v>5.1157</v>
      </c>
      <c r="S4478" s="35" t="n">
        <v>10.44</v>
      </c>
      <c r="T4478" s="18" t="n"/>
      <c r="U4478" s="18" t="n">
        <v>128150.71</v>
      </c>
      <c r="V4478" s="18" t="n"/>
      <c r="W4478" s="18" t="n"/>
      <c r="X4478" s="35" t="n">
        <v>10.44</v>
      </c>
      <c r="Y4478" s="35" t="n"/>
    </row>
    <row r="4479">
      <c r="A4479" s="25" t="n">
        <v>45432</v>
      </c>
      <c r="B4479" s="18" t="n">
        <v>127750.92</v>
      </c>
      <c r="C4479" s="31" t="n"/>
      <c r="D4479" s="32" t="n"/>
      <c r="E4479" s="33" t="n">
        <v>0.5849</v>
      </c>
      <c r="F4479" t="inlineStr">
        <is>
          <t>Up</t>
        </is>
      </c>
      <c r="G4479" t="inlineStr">
        <is>
          <t>Up</t>
        </is>
      </c>
      <c r="H4479" t="inlineStr">
        <is>
          <t>EU_JU</t>
        </is>
      </c>
      <c r="I4479" t="inlineStr">
        <is>
          <t>2024-05</t>
        </is>
      </c>
      <c r="J4479" t="n">
        <v>1</v>
      </c>
      <c r="K4479" t="n">
        <v>1</v>
      </c>
      <c r="L4479" s="34">
        <f>IF($J4479=1,LN(B4480/B4479),"")</f>
        <v/>
      </c>
      <c r="M4479" s="34">
        <f>IF($K4479=1,INDEX(Mensal!$D$2:$D$245,MATCH($I4479,Mensal!$A$2:$A$245,0)),"")</f>
        <v/>
      </c>
      <c r="N4479" s="34">
        <f>IF($K4479=1,L4479-M4479,"")</f>
        <v/>
      </c>
      <c r="O4479" s="34" t="n">
        <v>0.0003927</v>
      </c>
      <c r="P4479" s="34">
        <f>IF($J4479=1,LN(1+O4479),"")</f>
        <v/>
      </c>
      <c r="Q4479" s="34">
        <f>IF($J4479=1,LN(R4480/R4479),"")</f>
        <v/>
      </c>
      <c r="R4479" s="32" t="n">
        <v>5.1085</v>
      </c>
      <c r="S4479" s="35" t="n">
        <v>10.47</v>
      </c>
      <c r="T4479" s="18" t="n"/>
      <c r="U4479" s="18" t="n">
        <v>127750.92</v>
      </c>
      <c r="V4479" s="18" t="n"/>
      <c r="W4479" s="18" t="n"/>
      <c r="X4479" s="35" t="n">
        <v>10.47</v>
      </c>
      <c r="Y4479" s="35" t="n"/>
    </row>
    <row r="4480">
      <c r="A4480" s="25" t="n">
        <v>45433</v>
      </c>
      <c r="B4480" s="18" t="n">
        <v>127411.55</v>
      </c>
      <c r="C4480" s="31" t="n"/>
      <c r="D4480" s="32" t="n"/>
      <c r="E4480" s="33" t="n">
        <v>0.6075</v>
      </c>
      <c r="F4480" t="inlineStr">
        <is>
          <t>Up</t>
        </is>
      </c>
      <c r="G4480" t="inlineStr">
        <is>
          <t>Up</t>
        </is>
      </c>
      <c r="H4480" t="inlineStr">
        <is>
          <t>EU_JU</t>
        </is>
      </c>
      <c r="I4480" t="inlineStr">
        <is>
          <t>2024-05</t>
        </is>
      </c>
      <c r="J4480" t="n">
        <v>1</v>
      </c>
      <c r="K4480" t="n">
        <v>1</v>
      </c>
      <c r="L4480" s="34">
        <f>IF($J4480=1,LN(B4481/B4480),"")</f>
        <v/>
      </c>
      <c r="M4480" s="34">
        <f>IF($K4480=1,INDEX(Mensal!$D$2:$D$245,MATCH($I4480,Mensal!$A$2:$A$245,0)),"")</f>
        <v/>
      </c>
      <c r="N4480" s="34">
        <f>IF($K4480=1,L4480-M4480,"")</f>
        <v/>
      </c>
      <c r="O4480" s="34" t="n">
        <v>0.0003927</v>
      </c>
      <c r="P4480" s="34">
        <f>IF($J4480=1,LN(1+O4480),"")</f>
        <v/>
      </c>
      <c r="Q4480" s="34">
        <f>IF($J4480=1,LN(R4481/R4480),"")</f>
        <v/>
      </c>
      <c r="R4480" s="32" t="n">
        <v>5.1037</v>
      </c>
      <c r="S4480" s="35" t="n">
        <v>10.44</v>
      </c>
      <c r="T4480" s="18" t="n"/>
      <c r="U4480" s="18" t="n">
        <v>127411.55</v>
      </c>
      <c r="V4480" s="18" t="n"/>
      <c r="W4480" s="18" t="n"/>
      <c r="X4480" s="35" t="n">
        <v>10.44</v>
      </c>
      <c r="Y4480" s="35" t="n"/>
    </row>
    <row r="4481">
      <c r="A4481" s="25" t="n">
        <v>45434</v>
      </c>
      <c r="B4481" s="18" t="n">
        <v>125650.03</v>
      </c>
      <c r="C4481" s="31" t="n"/>
      <c r="D4481" s="32" t="n"/>
      <c r="E4481" s="33" t="n">
        <v>0.6274999999999999</v>
      </c>
      <c r="F4481" t="inlineStr">
        <is>
          <t>Up</t>
        </is>
      </c>
      <c r="G4481" t="inlineStr">
        <is>
          <t>Up</t>
        </is>
      </c>
      <c r="H4481" t="inlineStr">
        <is>
          <t>EU_JU</t>
        </is>
      </c>
      <c r="I4481" t="inlineStr">
        <is>
          <t>2024-05</t>
        </is>
      </c>
      <c r="J4481" t="n">
        <v>1</v>
      </c>
      <c r="K4481" t="n">
        <v>1</v>
      </c>
      <c r="L4481" s="34">
        <f>IF($J4481=1,LN(B4482/B4481),"")</f>
        <v/>
      </c>
      <c r="M4481" s="34">
        <f>IF($K4481=1,INDEX(Mensal!$D$2:$D$245,MATCH($I4481,Mensal!$A$2:$A$245,0)),"")</f>
        <v/>
      </c>
      <c r="N4481" s="34">
        <f>IF($K4481=1,L4481-M4481,"")</f>
        <v/>
      </c>
      <c r="O4481" s="34" t="n">
        <v>0.0003927</v>
      </c>
      <c r="P4481" s="34">
        <f>IF($J4481=1,LN(1+O4481),"")</f>
        <v/>
      </c>
      <c r="Q4481" s="34">
        <f>IF($J4481=1,LN(R4482/R4481),"")</f>
        <v/>
      </c>
      <c r="R4481" s="32" t="n">
        <v>5.1502</v>
      </c>
      <c r="S4481" s="35" t="n">
        <v>10.52</v>
      </c>
      <c r="T4481" s="18" t="n"/>
      <c r="U4481" s="18" t="n">
        <v>125650.03</v>
      </c>
      <c r="V4481" s="18" t="n"/>
      <c r="W4481" s="18" t="n"/>
      <c r="X4481" s="35" t="n">
        <v>10.52</v>
      </c>
      <c r="Y4481" s="35" t="n"/>
    </row>
    <row r="4482">
      <c r="A4482" s="25" t="n">
        <v>45435</v>
      </c>
      <c r="B4482" s="18" t="n">
        <v>124729.4</v>
      </c>
      <c r="C4482" s="31" t="n"/>
      <c r="D4482" s="32" t="n"/>
      <c r="E4482" s="33" t="n">
        <v>0.6518</v>
      </c>
      <c r="F4482" t="inlineStr">
        <is>
          <t>Up</t>
        </is>
      </c>
      <c r="G4482" t="inlineStr">
        <is>
          <t>Up</t>
        </is>
      </c>
      <c r="H4482" t="inlineStr">
        <is>
          <t>EU_JU</t>
        </is>
      </c>
      <c r="I4482" t="inlineStr">
        <is>
          <t>2024-05</t>
        </is>
      </c>
      <c r="J4482" t="n">
        <v>1</v>
      </c>
      <c r="K4482" t="n">
        <v>1</v>
      </c>
      <c r="L4482" s="34">
        <f>IF($J4482=1,LN(B4483/B4482),"")</f>
        <v/>
      </c>
      <c r="M4482" s="34">
        <f>IF($K4482=1,INDEX(Mensal!$D$2:$D$245,MATCH($I4482,Mensal!$A$2:$A$245,0)),"")</f>
        <v/>
      </c>
      <c r="N4482" s="34">
        <f>IF($K4482=1,L4482-M4482,"")</f>
        <v/>
      </c>
      <c r="O4482" s="34" t="n">
        <v>0.0003927</v>
      </c>
      <c r="P4482" s="34">
        <f>IF($J4482=1,LN(1+O4482),"")</f>
        <v/>
      </c>
      <c r="Q4482" s="34">
        <f>IF($J4482=1,LN(R4483/R4482),"")</f>
        <v/>
      </c>
      <c r="R4482" s="32" t="n">
        <v>5.1443</v>
      </c>
      <c r="S4482" s="35" t="n">
        <v>10.52</v>
      </c>
      <c r="T4482" s="18" t="n"/>
      <c r="U4482" s="18" t="n">
        <v>124729.4</v>
      </c>
      <c r="V4482" s="18" t="n"/>
      <c r="W4482" s="18" t="n"/>
      <c r="X4482" s="35" t="n">
        <v>10.52</v>
      </c>
      <c r="Y4482" s="35" t="n"/>
    </row>
    <row r="4483">
      <c r="A4483" s="25" t="n">
        <v>45436</v>
      </c>
      <c r="B4483" s="18" t="n">
        <v>124305.57</v>
      </c>
      <c r="C4483" s="31" t="n"/>
      <c r="D4483" s="32" t="n"/>
      <c r="E4483" s="33" t="n">
        <v>0.6739000000000001</v>
      </c>
      <c r="F4483" t="inlineStr">
        <is>
          <t>Up</t>
        </is>
      </c>
      <c r="G4483" t="inlineStr">
        <is>
          <t>Up</t>
        </is>
      </c>
      <c r="H4483" t="inlineStr">
        <is>
          <t>EU_JU</t>
        </is>
      </c>
      <c r="I4483" t="inlineStr">
        <is>
          <t>2024-05</t>
        </is>
      </c>
      <c r="J4483" t="n">
        <v>1</v>
      </c>
      <c r="K4483" t="n">
        <v>1</v>
      </c>
      <c r="L4483" s="34">
        <f>IF($J4483=1,LN(B4484/B4483),"")</f>
        <v/>
      </c>
      <c r="M4483" s="34">
        <f>IF($K4483=1,INDEX(Mensal!$D$2:$D$245,MATCH($I4483,Mensal!$A$2:$A$245,0)),"")</f>
        <v/>
      </c>
      <c r="N4483" s="34">
        <f>IF($K4483=1,L4483-M4483,"")</f>
        <v/>
      </c>
      <c r="O4483" s="34" t="n">
        <v>0.0003927</v>
      </c>
      <c r="P4483" s="34">
        <f>IF($J4483=1,LN(1+O4483),"")</f>
        <v/>
      </c>
      <c r="Q4483" s="34">
        <f>IF($J4483=1,LN(R4484/R4483),"")</f>
        <v/>
      </c>
      <c r="R4483" s="32" t="n">
        <v>5.1508</v>
      </c>
      <c r="S4483" s="35" t="n">
        <v>10.57</v>
      </c>
      <c r="T4483" s="18" t="n"/>
      <c r="U4483" s="18" t="n">
        <v>124305.57</v>
      </c>
      <c r="V4483" s="18" t="n"/>
      <c r="W4483" s="18" t="n"/>
      <c r="X4483" s="35" t="n">
        <v>10.57</v>
      </c>
      <c r="Y4483" s="35" t="n"/>
    </row>
    <row r="4484">
      <c r="A4484" s="25" t="n">
        <v>45439</v>
      </c>
      <c r="B4484" s="18" t="n">
        <v>124495.68</v>
      </c>
      <c r="C4484" s="31" t="n"/>
      <c r="D4484" s="32" t="n"/>
      <c r="E4484" s="33" t="n">
        <v>0.6929999999999999</v>
      </c>
      <c r="F4484" t="inlineStr">
        <is>
          <t>Up</t>
        </is>
      </c>
      <c r="G4484" t="inlineStr">
        <is>
          <t>Up</t>
        </is>
      </c>
      <c r="H4484" t="inlineStr">
        <is>
          <t>EU_JU</t>
        </is>
      </c>
      <c r="I4484" t="inlineStr">
        <is>
          <t>2024-05</t>
        </is>
      </c>
      <c r="J4484" t="n">
        <v>1</v>
      </c>
      <c r="K4484" t="n">
        <v>1</v>
      </c>
      <c r="L4484" s="34">
        <f>IF($J4484=1,LN(B4485/B4484),"")</f>
        <v/>
      </c>
      <c r="M4484" s="34">
        <f>IF($K4484=1,INDEX(Mensal!$D$2:$D$245,MATCH($I4484,Mensal!$A$2:$A$245,0)),"")</f>
        <v/>
      </c>
      <c r="N4484" s="34">
        <f>IF($K4484=1,L4484-M4484,"")</f>
        <v/>
      </c>
      <c r="O4484" s="34" t="n">
        <v>0.0003927</v>
      </c>
      <c r="P4484" s="34">
        <f>IF($J4484=1,LN(1+O4484),"")</f>
        <v/>
      </c>
      <c r="Q4484" s="34">
        <f>IF($J4484=1,LN(R4485/R4484),"")</f>
        <v/>
      </c>
      <c r="R4484" s="32" t="n">
        <v>5.1704</v>
      </c>
      <c r="S4484" s="35" t="n">
        <v>10.5</v>
      </c>
      <c r="T4484" s="18" t="n"/>
      <c r="U4484" s="18" t="n">
        <v>124495.68</v>
      </c>
      <c r="V4484" s="18" t="n"/>
      <c r="W4484" s="18" t="n"/>
      <c r="X4484" s="35" t="n">
        <v>10.5</v>
      </c>
      <c r="Y4484" s="35" t="n"/>
    </row>
    <row r="4485">
      <c r="A4485" s="25" t="n">
        <v>45440</v>
      </c>
      <c r="B4485" s="18" t="n">
        <v>123779.54</v>
      </c>
      <c r="C4485" s="31" t="n"/>
      <c r="D4485" s="32" t="n"/>
      <c r="E4485" s="33" t="n">
        <v>0.7122000000000001</v>
      </c>
      <c r="F4485" t="inlineStr">
        <is>
          <t>Up</t>
        </is>
      </c>
      <c r="G4485" t="inlineStr">
        <is>
          <t>Up</t>
        </is>
      </c>
      <c r="H4485" t="inlineStr">
        <is>
          <t>EU_JU</t>
        </is>
      </c>
      <c r="I4485" t="inlineStr">
        <is>
          <t>2024-05</t>
        </is>
      </c>
      <c r="J4485" t="n">
        <v>1</v>
      </c>
      <c r="K4485" t="n">
        <v>1</v>
      </c>
      <c r="L4485" s="34">
        <f>IF($J4485=1,LN(B4486/B4485),"")</f>
        <v/>
      </c>
      <c r="M4485" s="34">
        <f>IF($K4485=1,INDEX(Mensal!$D$2:$D$245,MATCH($I4485,Mensal!$A$2:$A$245,0)),"")</f>
        <v/>
      </c>
      <c r="N4485" s="34">
        <f>IF($K4485=1,L4485-M4485,"")</f>
        <v/>
      </c>
      <c r="O4485" s="34" t="n">
        <v>0.0003927</v>
      </c>
      <c r="P4485" s="34">
        <f>IF($J4485=1,LN(1+O4485),"")</f>
        <v/>
      </c>
      <c r="Q4485" s="34">
        <f>IF($J4485=1,LN(R4486/R4485),"")</f>
        <v/>
      </c>
      <c r="R4485" s="32" t="n">
        <v>5.1538</v>
      </c>
      <c r="S4485" s="35" t="n">
        <v>10.48</v>
      </c>
      <c r="T4485" s="18" t="n"/>
      <c r="U4485" s="18" t="n">
        <v>123779.54</v>
      </c>
      <c r="V4485" s="18" t="n"/>
      <c r="W4485" s="18" t="n"/>
      <c r="X4485" s="35" t="n">
        <v>10.48</v>
      </c>
      <c r="Y4485" s="35" t="n"/>
    </row>
    <row r="4486">
      <c r="A4486" s="25" t="n">
        <v>45441</v>
      </c>
      <c r="B4486" s="18" t="n">
        <v>122707.28</v>
      </c>
      <c r="C4486" s="31" t="n"/>
      <c r="D4486" s="32" t="n"/>
      <c r="E4486" s="33" t="n">
        <v>0.7269</v>
      </c>
      <c r="F4486" t="inlineStr">
        <is>
          <t>Up</t>
        </is>
      </c>
      <c r="G4486" t="inlineStr">
        <is>
          <t>Up</t>
        </is>
      </c>
      <c r="H4486" t="inlineStr">
        <is>
          <t>EU_JU</t>
        </is>
      </c>
      <c r="I4486" t="inlineStr">
        <is>
          <t>2024-05</t>
        </is>
      </c>
      <c r="J4486" t="n">
        <v>1</v>
      </c>
      <c r="K4486" t="n">
        <v>1</v>
      </c>
      <c r="L4486" s="34">
        <f>IF($J4486=1,LN(B4487/B4486),"")</f>
        <v/>
      </c>
      <c r="M4486" s="34">
        <f>IF($K4486=1,INDEX(Mensal!$D$2:$D$245,MATCH($I4486,Mensal!$A$2:$A$245,0)),"")</f>
        <v/>
      </c>
      <c r="N4486" s="34">
        <f>IF($K4486=1,L4486-M4486,"")</f>
        <v/>
      </c>
      <c r="O4486" s="34" t="n">
        <v>0.0003927</v>
      </c>
      <c r="P4486" s="34">
        <f>IF($J4486=1,LN(1+O4486),"")</f>
        <v/>
      </c>
      <c r="Q4486" s="34">
        <f>IF($J4486=1,LN(R4487/R4486),"")</f>
        <v/>
      </c>
      <c r="R4486" s="32" t="n">
        <v>5.1972</v>
      </c>
      <c r="S4486" s="35" t="n">
        <v>10.6</v>
      </c>
      <c r="T4486" s="18" t="n"/>
      <c r="U4486" s="18" t="n">
        <v>122707.28</v>
      </c>
      <c r="V4486" s="18" t="n"/>
      <c r="W4486" s="18" t="n"/>
      <c r="X4486" s="35" t="n">
        <v>10.6</v>
      </c>
      <c r="Y4486" s="35" t="n"/>
    </row>
    <row r="4487">
      <c r="A4487" s="25" t="n">
        <v>45443</v>
      </c>
      <c r="B4487" s="18" t="n">
        <v>122098.09</v>
      </c>
      <c r="C4487" s="31" t="n"/>
      <c r="D4487" s="32" t="n"/>
      <c r="E4487" s="33" t="n">
        <v>0.7368</v>
      </c>
      <c r="F4487" t="inlineStr">
        <is>
          <t>Up</t>
        </is>
      </c>
      <c r="G4487" t="inlineStr">
        <is>
          <t>Up</t>
        </is>
      </c>
      <c r="H4487" t="inlineStr">
        <is>
          <t>EU_JU</t>
        </is>
      </c>
      <c r="I4487" t="inlineStr">
        <is>
          <t>2024-05</t>
        </is>
      </c>
      <c r="J4487" t="n">
        <v>1</v>
      </c>
      <c r="K4487" t="n">
        <v>1</v>
      </c>
      <c r="L4487" s="34">
        <f>IF($J4487=1,LN(B4488/B4487),"")</f>
        <v/>
      </c>
      <c r="M4487" s="34">
        <f>IF($K4487=1,INDEX(Mensal!$D$2:$D$245,MATCH($I4487,Mensal!$A$2:$A$245,0)),"")</f>
        <v/>
      </c>
      <c r="N4487" s="34">
        <f>IF($K4487=1,L4487-M4487,"")</f>
        <v/>
      </c>
      <c r="O4487" s="34" t="n">
        <v>0.0003927</v>
      </c>
      <c r="P4487" s="34">
        <f>IF($J4487=1,LN(1+O4487),"")</f>
        <v/>
      </c>
      <c r="Q4487" s="34">
        <f>IF($J4487=1,LN(R4488/R4487),"")</f>
        <v/>
      </c>
      <c r="R4487" s="32" t="n">
        <v>5.2416</v>
      </c>
      <c r="S4487" s="35" t="n">
        <v>10.56</v>
      </c>
      <c r="T4487" s="18" t="n"/>
      <c r="U4487" s="18" t="n">
        <v>122098.09</v>
      </c>
      <c r="V4487" s="18" t="n"/>
      <c r="W4487" s="18" t="n"/>
      <c r="X4487" s="35" t="n">
        <v>10.56</v>
      </c>
      <c r="Y4487" s="35" t="n"/>
    </row>
    <row r="4488">
      <c r="A4488" s="25" t="n">
        <v>45446</v>
      </c>
      <c r="B4488" s="18" t="n">
        <v>122031.58</v>
      </c>
      <c r="C4488" s="31" t="n"/>
      <c r="D4488" s="32" t="n"/>
      <c r="E4488" s="33" t="n">
        <v>0.7506</v>
      </c>
      <c r="F4488" t="inlineStr">
        <is>
          <t>Up</t>
        </is>
      </c>
      <c r="G4488" t="inlineStr">
        <is>
          <t>Up</t>
        </is>
      </c>
      <c r="H4488" t="inlineStr">
        <is>
          <t>EU_JU</t>
        </is>
      </c>
      <c r="I4488" t="inlineStr">
        <is>
          <t>2024-06</t>
        </is>
      </c>
      <c r="J4488" t="n">
        <v>1</v>
      </c>
      <c r="K4488" t="n">
        <v>1</v>
      </c>
      <c r="L4488" s="34">
        <f>IF($J4488=1,LN(B4489/B4488),"")</f>
        <v/>
      </c>
      <c r="M4488" s="34">
        <f>IF($K4488=1,INDEX(Mensal!$D$2:$D$245,MATCH($I4488,Mensal!$A$2:$A$245,0)),"")</f>
        <v/>
      </c>
      <c r="N4488" s="34">
        <f>IF($K4488=1,L4488-M4488,"")</f>
        <v/>
      </c>
      <c r="O4488" s="34" t="n">
        <v>0.0003927</v>
      </c>
      <c r="P4488" s="34">
        <f>IF($J4488=1,LN(1+O4488),"")</f>
        <v/>
      </c>
      <c r="Q4488" s="34">
        <f>IF($J4488=1,LN(R4489/R4488),"")</f>
        <v/>
      </c>
      <c r="R4488" s="32" t="n">
        <v>5.2373</v>
      </c>
      <c r="S4488" s="35" t="n">
        <v>10.56</v>
      </c>
      <c r="T4488" s="18" t="n"/>
      <c r="U4488" s="18" t="n">
        <v>122031.58</v>
      </c>
      <c r="V4488" s="18" t="n"/>
      <c r="W4488" s="18" t="n"/>
      <c r="X4488" s="35" t="n">
        <v>10.56</v>
      </c>
      <c r="Y4488" s="35" t="n"/>
    </row>
    <row r="4489">
      <c r="A4489" s="25" t="n">
        <v>45447</v>
      </c>
      <c r="B4489" s="18" t="n">
        <v>121802.06</v>
      </c>
      <c r="C4489" s="31" t="n"/>
      <c r="D4489" s="32" t="n"/>
      <c r="E4489" s="33" t="n">
        <v>0.7566000000000001</v>
      </c>
      <c r="F4489" t="inlineStr">
        <is>
          <t>Up</t>
        </is>
      </c>
      <c r="G4489" t="inlineStr">
        <is>
          <t>Up</t>
        </is>
      </c>
      <c r="H4489" t="inlineStr">
        <is>
          <t>EU_JU</t>
        </is>
      </c>
      <c r="I4489" t="inlineStr">
        <is>
          <t>2024-06</t>
        </is>
      </c>
      <c r="J4489" t="n">
        <v>1</v>
      </c>
      <c r="K4489" t="n">
        <v>1</v>
      </c>
      <c r="L4489" s="34">
        <f>IF($J4489=1,LN(B4490/B4489),"")</f>
        <v/>
      </c>
      <c r="M4489" s="34">
        <f>IF($K4489=1,INDEX(Mensal!$D$2:$D$245,MATCH($I4489,Mensal!$A$2:$A$245,0)),"")</f>
        <v/>
      </c>
      <c r="N4489" s="34">
        <f>IF($K4489=1,L4489-M4489,"")</f>
        <v/>
      </c>
      <c r="O4489" s="34" t="n">
        <v>0.0003927</v>
      </c>
      <c r="P4489" s="34">
        <f>IF($J4489=1,LN(1+O4489),"")</f>
        <v/>
      </c>
      <c r="Q4489" s="34">
        <f>IF($J4489=1,LN(R4490/R4489),"")</f>
        <v/>
      </c>
      <c r="R4489" s="32" t="n">
        <v>5.2687</v>
      </c>
      <c r="S4489" s="35" t="n">
        <v>10.6</v>
      </c>
      <c r="T4489" s="18" t="n"/>
      <c r="U4489" s="18" t="n">
        <v>121802.06</v>
      </c>
      <c r="V4489" s="18" t="n"/>
      <c r="W4489" s="18" t="n"/>
      <c r="X4489" s="35" t="n">
        <v>10.6</v>
      </c>
      <c r="Y4489" s="35" t="n"/>
    </row>
    <row r="4490">
      <c r="A4490" s="25" t="n">
        <v>45448</v>
      </c>
      <c r="B4490" s="18" t="n">
        <v>121407.33</v>
      </c>
      <c r="C4490" s="31" t="n"/>
      <c r="D4490" s="32" t="n"/>
      <c r="E4490" s="33" t="n">
        <v>0.7628</v>
      </c>
      <c r="F4490" t="inlineStr">
        <is>
          <t>Up</t>
        </is>
      </c>
      <c r="G4490" t="inlineStr">
        <is>
          <t>Up</t>
        </is>
      </c>
      <c r="H4490" t="inlineStr">
        <is>
          <t>EU_JU</t>
        </is>
      </c>
      <c r="I4490" t="inlineStr">
        <is>
          <t>2024-06</t>
        </is>
      </c>
      <c r="J4490" t="n">
        <v>1</v>
      </c>
      <c r="K4490" t="n">
        <v>1</v>
      </c>
      <c r="L4490" s="34">
        <f>IF($J4490=1,LN(B4491/B4490),"")</f>
        <v/>
      </c>
      <c r="M4490" s="34">
        <f>IF($K4490=1,INDEX(Mensal!$D$2:$D$245,MATCH($I4490,Mensal!$A$2:$A$245,0)),"")</f>
        <v/>
      </c>
      <c r="N4490" s="34">
        <f>IF($K4490=1,L4490-M4490,"")</f>
        <v/>
      </c>
      <c r="O4490" s="34" t="n">
        <v>0.0003927</v>
      </c>
      <c r="P4490" s="34">
        <f>IF($J4490=1,LN(1+O4490),"")</f>
        <v/>
      </c>
      <c r="Q4490" s="34">
        <f>IF($J4490=1,LN(R4491/R4490),"")</f>
        <v/>
      </c>
      <c r="R4490" s="32" t="n">
        <v>5.2841</v>
      </c>
      <c r="S4490" s="35" t="n">
        <v>10.67</v>
      </c>
      <c r="T4490" s="18" t="n"/>
      <c r="U4490" s="18" t="n">
        <v>121407.33</v>
      </c>
      <c r="V4490" s="18" t="n"/>
      <c r="W4490" s="18" t="n"/>
      <c r="X4490" s="35" t="n">
        <v>10.67</v>
      </c>
      <c r="Y4490" s="35" t="n"/>
    </row>
    <row r="4491">
      <c r="A4491" s="25" t="n">
        <v>45449</v>
      </c>
      <c r="B4491" s="18" t="n">
        <v>122898.8</v>
      </c>
      <c r="C4491" s="31" t="n"/>
      <c r="D4491" s="32" t="n"/>
      <c r="E4491" s="33" t="n">
        <v>0.7647</v>
      </c>
      <c r="F4491" t="inlineStr">
        <is>
          <t>Up</t>
        </is>
      </c>
      <c r="G4491" t="inlineStr">
        <is>
          <t>Up</t>
        </is>
      </c>
      <c r="H4491" t="inlineStr">
        <is>
          <t>EU_JU</t>
        </is>
      </c>
      <c r="I4491" t="inlineStr">
        <is>
          <t>2024-06</t>
        </is>
      </c>
      <c r="J4491" t="n">
        <v>1</v>
      </c>
      <c r="K4491" t="n">
        <v>1</v>
      </c>
      <c r="L4491" s="34">
        <f>IF($J4491=1,LN(B4492/B4491),"")</f>
        <v/>
      </c>
      <c r="M4491" s="34">
        <f>IF($K4491=1,INDEX(Mensal!$D$2:$D$245,MATCH($I4491,Mensal!$A$2:$A$245,0)),"")</f>
        <v/>
      </c>
      <c r="N4491" s="34">
        <f>IF($K4491=1,L4491-M4491,"")</f>
        <v/>
      </c>
      <c r="O4491" s="34" t="n">
        <v>0.0003927</v>
      </c>
      <c r="P4491" s="34">
        <f>IF($J4491=1,LN(1+O4491),"")</f>
        <v/>
      </c>
      <c r="Q4491" s="34">
        <f>IF($J4491=1,LN(R4492/R4491),"")</f>
        <v/>
      </c>
      <c r="R4491" s="32" t="n">
        <v>5.2681</v>
      </c>
      <c r="S4491" s="35" t="n">
        <v>10.62</v>
      </c>
      <c r="T4491" s="18" t="n"/>
      <c r="U4491" s="18" t="n">
        <v>122898.8</v>
      </c>
      <c r="V4491" s="18" t="n"/>
      <c r="W4491" s="18" t="n"/>
      <c r="X4491" s="35" t="n">
        <v>10.62</v>
      </c>
      <c r="Y4491" s="35" t="n"/>
    </row>
    <row r="4492">
      <c r="A4492" s="25" t="n">
        <v>45450</v>
      </c>
      <c r="B4492" s="18" t="n">
        <v>120767.19</v>
      </c>
      <c r="C4492" s="31" t="n"/>
      <c r="D4492" s="32" t="n"/>
      <c r="E4492" s="33" t="n">
        <v>0.7663</v>
      </c>
      <c r="F4492" t="inlineStr">
        <is>
          <t>Up</t>
        </is>
      </c>
      <c r="G4492" t="inlineStr">
        <is>
          <t>Up</t>
        </is>
      </c>
      <c r="H4492" t="inlineStr">
        <is>
          <t>EU_JU</t>
        </is>
      </c>
      <c r="I4492" t="inlineStr">
        <is>
          <t>2024-06</t>
        </is>
      </c>
      <c r="J4492" t="n">
        <v>1</v>
      </c>
      <c r="K4492" t="n">
        <v>1</v>
      </c>
      <c r="L4492" s="34">
        <f>IF($J4492=1,LN(B4493/B4492),"")</f>
        <v/>
      </c>
      <c r="M4492" s="34">
        <f>IF($K4492=1,INDEX(Mensal!$D$2:$D$245,MATCH($I4492,Mensal!$A$2:$A$245,0)),"")</f>
        <v/>
      </c>
      <c r="N4492" s="34">
        <f>IF($K4492=1,L4492-M4492,"")</f>
        <v/>
      </c>
      <c r="O4492" s="34" t="n">
        <v>0.0003927</v>
      </c>
      <c r="P4492" s="34">
        <f>IF($J4492=1,LN(1+O4492),"")</f>
        <v/>
      </c>
      <c r="Q4492" s="34">
        <f>IF($J4492=1,LN(R4493/R4492),"")</f>
        <v/>
      </c>
      <c r="R4492" s="32" t="n">
        <v>5.2802</v>
      </c>
      <c r="S4492" s="35" t="n">
        <v>10.97</v>
      </c>
      <c r="T4492" s="18" t="n"/>
      <c r="U4492" s="18" t="n">
        <v>120767.19</v>
      </c>
      <c r="V4492" s="18" t="n"/>
      <c r="W4492" s="18" t="n"/>
      <c r="X4492" s="35" t="n">
        <v>10.97</v>
      </c>
      <c r="Y4492" s="35" t="n"/>
    </row>
    <row r="4493">
      <c r="A4493" s="25" t="n">
        <v>45453</v>
      </c>
      <c r="B4493" s="18" t="n">
        <v>120759.51</v>
      </c>
      <c r="C4493" s="31" t="n"/>
      <c r="D4493" s="32" t="n"/>
      <c r="E4493" s="33" t="n">
        <v>0.7662</v>
      </c>
      <c r="F4493" t="inlineStr">
        <is>
          <t>Up</t>
        </is>
      </c>
      <c r="G4493" t="inlineStr">
        <is>
          <t>Up</t>
        </is>
      </c>
      <c r="H4493" t="inlineStr">
        <is>
          <t>EU_JU</t>
        </is>
      </c>
      <c r="I4493" t="inlineStr">
        <is>
          <t>2024-06</t>
        </is>
      </c>
      <c r="J4493" t="n">
        <v>1</v>
      </c>
      <c r="K4493" t="n">
        <v>1</v>
      </c>
      <c r="L4493" s="34">
        <f>IF($J4493=1,LN(B4494/B4493),"")</f>
        <v/>
      </c>
      <c r="M4493" s="34">
        <f>IF($K4493=1,INDEX(Mensal!$D$2:$D$245,MATCH($I4493,Mensal!$A$2:$A$245,0)),"")</f>
        <v/>
      </c>
      <c r="N4493" s="34">
        <f>IF($K4493=1,L4493-M4493,"")</f>
        <v/>
      </c>
      <c r="O4493" s="34" t="n">
        <v>0.0003927</v>
      </c>
      <c r="P4493" s="34">
        <f>IF($J4493=1,LN(1+O4493),"")</f>
        <v/>
      </c>
      <c r="Q4493" s="34">
        <f>IF($J4493=1,LN(R4494/R4493),"")</f>
        <v/>
      </c>
      <c r="R4493" s="32" t="n">
        <v>5.3666</v>
      </c>
      <c r="S4493" s="35" t="n">
        <v>11</v>
      </c>
      <c r="T4493" s="18" t="n"/>
      <c r="U4493" s="18" t="n">
        <v>120759.51</v>
      </c>
      <c r="V4493" s="18" t="n"/>
      <c r="W4493" s="18" t="n"/>
      <c r="X4493" s="35" t="n">
        <v>11</v>
      </c>
      <c r="Y4493" s="35" t="n"/>
    </row>
    <row r="4494">
      <c r="A4494" s="25" t="n">
        <v>45454</v>
      </c>
      <c r="B4494" s="18" t="n">
        <v>121635.06</v>
      </c>
      <c r="C4494" s="31" t="n"/>
      <c r="D4494" s="32" t="n"/>
      <c r="E4494" s="33" t="n">
        <v>0.7654</v>
      </c>
      <c r="F4494" t="inlineStr">
        <is>
          <t>Up</t>
        </is>
      </c>
      <c r="G4494" t="inlineStr">
        <is>
          <t>Up</t>
        </is>
      </c>
      <c r="H4494" t="inlineStr">
        <is>
          <t>EU_JU</t>
        </is>
      </c>
      <c r="I4494" t="inlineStr">
        <is>
          <t>2024-06</t>
        </is>
      </c>
      <c r="J4494" t="n">
        <v>1</v>
      </c>
      <c r="K4494" t="n">
        <v>1</v>
      </c>
      <c r="L4494" s="34">
        <f>IF($J4494=1,LN(B4495/B4494),"")</f>
        <v/>
      </c>
      <c r="M4494" s="34">
        <f>IF($K4494=1,INDEX(Mensal!$D$2:$D$245,MATCH($I4494,Mensal!$A$2:$A$245,0)),"")</f>
        <v/>
      </c>
      <c r="N4494" s="34">
        <f>IF($K4494=1,L4494-M4494,"")</f>
        <v/>
      </c>
      <c r="O4494" s="34" t="n">
        <v>0.0003927</v>
      </c>
      <c r="P4494" s="34">
        <f>IF($J4494=1,LN(1+O4494),"")</f>
        <v/>
      </c>
      <c r="Q4494" s="34">
        <f>IF($J4494=1,LN(R4495/R4494),"")</f>
        <v/>
      </c>
      <c r="R4494" s="32" t="n">
        <v>5.3524</v>
      </c>
      <c r="S4494" s="35" t="n">
        <v>10.91</v>
      </c>
      <c r="T4494" s="18" t="n"/>
      <c r="U4494" s="18" t="n">
        <v>121635.06</v>
      </c>
      <c r="V4494" s="18" t="n"/>
      <c r="W4494" s="18" t="n"/>
      <c r="X4494" s="35" t="n">
        <v>10.91</v>
      </c>
      <c r="Y4494" s="35" t="n"/>
    </row>
    <row r="4495">
      <c r="A4495" s="25" t="n">
        <v>45455</v>
      </c>
      <c r="B4495" s="18" t="n">
        <v>119936.02</v>
      </c>
      <c r="C4495" s="31" t="n"/>
      <c r="D4495" s="32" t="n"/>
      <c r="E4495" s="33" t="n">
        <v>0.7804</v>
      </c>
      <c r="F4495" t="inlineStr">
        <is>
          <t>Up</t>
        </is>
      </c>
      <c r="G4495" t="inlineStr">
        <is>
          <t>Up</t>
        </is>
      </c>
      <c r="H4495" t="inlineStr">
        <is>
          <t>EU_JU</t>
        </is>
      </c>
      <c r="I4495" t="inlineStr">
        <is>
          <t>2024-06</t>
        </is>
      </c>
      <c r="J4495" t="n">
        <v>1</v>
      </c>
      <c r="K4495" t="n">
        <v>1</v>
      </c>
      <c r="L4495" s="34">
        <f>IF($J4495=1,LN(B4496/B4495),"")</f>
        <v/>
      </c>
      <c r="M4495" s="34">
        <f>IF($K4495=1,INDEX(Mensal!$D$2:$D$245,MATCH($I4495,Mensal!$A$2:$A$245,0)),"")</f>
        <v/>
      </c>
      <c r="N4495" s="34">
        <f>IF($K4495=1,L4495-M4495,"")</f>
        <v/>
      </c>
      <c r="O4495" s="34" t="n">
        <v>0.0003927</v>
      </c>
      <c r="P4495" s="34">
        <f>IF($J4495=1,LN(1+O4495),"")</f>
        <v/>
      </c>
      <c r="Q4495" s="34">
        <f>IF($J4495=1,LN(R4496/R4495),"")</f>
        <v/>
      </c>
      <c r="R4495" s="32" t="n">
        <v>5.3891</v>
      </c>
      <c r="S4495" s="35" t="n">
        <v>11.01</v>
      </c>
      <c r="T4495" s="18" t="n"/>
      <c r="U4495" s="18" t="n">
        <v>119936.02</v>
      </c>
      <c r="V4495" s="18" t="n"/>
      <c r="W4495" s="18" t="n"/>
      <c r="X4495" s="35" t="n">
        <v>11.01</v>
      </c>
      <c r="Y4495" s="35" t="n"/>
    </row>
    <row r="4496">
      <c r="A4496" s="25" t="n">
        <v>45456</v>
      </c>
      <c r="B4496" s="18" t="n">
        <v>119567.53</v>
      </c>
      <c r="C4496" s="31" t="n"/>
      <c r="D4496" s="32" t="n"/>
      <c r="E4496" s="33" t="n">
        <v>0.7939000000000001</v>
      </c>
      <c r="F4496" t="inlineStr">
        <is>
          <t>Up</t>
        </is>
      </c>
      <c r="G4496" t="inlineStr">
        <is>
          <t>Up</t>
        </is>
      </c>
      <c r="H4496" t="inlineStr">
        <is>
          <t>EU_JU</t>
        </is>
      </c>
      <c r="I4496" t="inlineStr">
        <is>
          <t>2024-06</t>
        </is>
      </c>
      <c r="J4496" t="n">
        <v>1</v>
      </c>
      <c r="K4496" t="n">
        <v>1</v>
      </c>
      <c r="L4496" s="34">
        <f>IF($J4496=1,LN(B4497/B4496),"")</f>
        <v/>
      </c>
      <c r="M4496" s="34">
        <f>IF($K4496=1,INDEX(Mensal!$D$2:$D$245,MATCH($I4496,Mensal!$A$2:$A$245,0)),"")</f>
        <v/>
      </c>
      <c r="N4496" s="34">
        <f>IF($K4496=1,L4496-M4496,"")</f>
        <v/>
      </c>
      <c r="O4496" s="34" t="n">
        <v>0.0003927</v>
      </c>
      <c r="P4496" s="34">
        <f>IF($J4496=1,LN(1+O4496),"")</f>
        <v/>
      </c>
      <c r="Q4496" s="34">
        <f>IF($J4496=1,LN(R4497/R4496),"")</f>
        <v/>
      </c>
      <c r="R4496" s="32" t="n">
        <v>5.3974</v>
      </c>
      <c r="S4496" s="35" t="n">
        <v>10.95</v>
      </c>
      <c r="T4496" s="18" t="n"/>
      <c r="U4496" s="18" t="n">
        <v>119567.53</v>
      </c>
      <c r="V4496" s="18" t="n"/>
      <c r="W4496" s="18" t="n"/>
      <c r="X4496" s="35" t="n">
        <v>10.95</v>
      </c>
      <c r="Y4496" s="35" t="n"/>
    </row>
    <row r="4497">
      <c r="A4497" s="25" t="n">
        <v>45457</v>
      </c>
      <c r="B4497" s="18" t="n">
        <v>119662.38</v>
      </c>
      <c r="C4497" s="31" t="n"/>
      <c r="D4497" s="32" t="n"/>
      <c r="E4497" s="33" t="n">
        <v>0.8119</v>
      </c>
      <c r="F4497" t="inlineStr">
        <is>
          <t>Up</t>
        </is>
      </c>
      <c r="G4497" t="inlineStr">
        <is>
          <t>Up</t>
        </is>
      </c>
      <c r="H4497" t="inlineStr">
        <is>
          <t>EU_JU</t>
        </is>
      </c>
      <c r="I4497" t="inlineStr">
        <is>
          <t>2024-06</t>
        </is>
      </c>
      <c r="J4497" t="n">
        <v>1</v>
      </c>
      <c r="K4497" t="n">
        <v>1</v>
      </c>
      <c r="L4497" s="34">
        <f>IF($J4497=1,LN(B4498/B4497),"")</f>
        <v/>
      </c>
      <c r="M4497" s="34">
        <f>IF($K4497=1,INDEX(Mensal!$D$2:$D$245,MATCH($I4497,Mensal!$A$2:$A$245,0)),"")</f>
        <v/>
      </c>
      <c r="N4497" s="34">
        <f>IF($K4497=1,L4497-M4497,"")</f>
        <v/>
      </c>
      <c r="O4497" s="34" t="n">
        <v>0.0003927</v>
      </c>
      <c r="P4497" s="34">
        <f>IF($J4497=1,LN(1+O4497),"")</f>
        <v/>
      </c>
      <c r="Q4497" s="34">
        <f>IF($J4497=1,LN(R4498/R4497),"")</f>
        <v/>
      </c>
      <c r="R4497" s="32" t="n">
        <v>5.363</v>
      </c>
      <c r="S4497" s="35" t="n">
        <v>10.92</v>
      </c>
      <c r="T4497" s="18" t="n"/>
      <c r="U4497" s="18" t="n">
        <v>119662.38</v>
      </c>
      <c r="V4497" s="18" t="n"/>
      <c r="W4497" s="18" t="n"/>
      <c r="X4497" s="35" t="n">
        <v>10.92</v>
      </c>
      <c r="Y4497" s="35" t="n"/>
    </row>
    <row r="4498">
      <c r="A4498" s="25" t="n">
        <v>45460</v>
      </c>
      <c r="B4498" s="18" t="n">
        <v>119137.86</v>
      </c>
      <c r="C4498" s="31" t="n"/>
      <c r="D4498" s="32" t="n"/>
      <c r="E4498" s="33" t="n">
        <v>0.8309</v>
      </c>
      <c r="F4498" t="inlineStr">
        <is>
          <t>Up</t>
        </is>
      </c>
      <c r="G4498" t="inlineStr">
        <is>
          <t>Up</t>
        </is>
      </c>
      <c r="H4498" t="inlineStr">
        <is>
          <t>EU_JU</t>
        </is>
      </c>
      <c r="I4498" t="inlineStr">
        <is>
          <t>2024-06</t>
        </is>
      </c>
      <c r="J4498" t="n">
        <v>1</v>
      </c>
      <c r="K4498" t="n">
        <v>1</v>
      </c>
      <c r="L4498" s="34">
        <f>IF($J4498=1,LN(B4499/B4498),"")</f>
        <v/>
      </c>
      <c r="M4498" s="34">
        <f>IF($K4498=1,INDEX(Mensal!$D$2:$D$245,MATCH($I4498,Mensal!$A$2:$A$245,0)),"")</f>
        <v/>
      </c>
      <c r="N4498" s="34">
        <f>IF($K4498=1,L4498-M4498,"")</f>
        <v/>
      </c>
      <c r="O4498" s="34" t="n">
        <v>0.0003927</v>
      </c>
      <c r="P4498" s="34">
        <f>IF($J4498=1,LN(1+O4498),"")</f>
        <v/>
      </c>
      <c r="Q4498" s="34">
        <f>IF($J4498=1,LN(R4499/R4498),"")</f>
        <v/>
      </c>
      <c r="R4498" s="32" t="n">
        <v>5.413</v>
      </c>
      <c r="S4498" s="35" t="n">
        <v>11</v>
      </c>
      <c r="T4498" s="18" t="n"/>
      <c r="U4498" s="18" t="n">
        <v>119137.86</v>
      </c>
      <c r="V4498" s="18" t="n"/>
      <c r="W4498" s="18" t="n"/>
      <c r="X4498" s="35" t="n">
        <v>11</v>
      </c>
      <c r="Y4498" s="35" t="n"/>
    </row>
    <row r="4499">
      <c r="A4499" s="25" t="n">
        <v>45461</v>
      </c>
      <c r="B4499" s="18" t="n">
        <v>119630.44</v>
      </c>
      <c r="C4499" s="31" t="n"/>
      <c r="D4499" s="32" t="n"/>
      <c r="E4499" s="33" t="n">
        <v>0.8306</v>
      </c>
      <c r="F4499" t="inlineStr">
        <is>
          <t>Up</t>
        </is>
      </c>
      <c r="G4499" t="inlineStr">
        <is>
          <t>Up</t>
        </is>
      </c>
      <c r="H4499" t="inlineStr">
        <is>
          <t>EU_JU</t>
        </is>
      </c>
      <c r="I4499" t="inlineStr">
        <is>
          <t>2024-06</t>
        </is>
      </c>
      <c r="J4499" t="n">
        <v>1</v>
      </c>
      <c r="K4499" t="n">
        <v>1</v>
      </c>
      <c r="L4499" s="34">
        <f>IF($J4499=1,LN(B4500/B4499),"")</f>
        <v/>
      </c>
      <c r="M4499" s="34">
        <f>IF($K4499=1,INDEX(Mensal!$D$2:$D$245,MATCH($I4499,Mensal!$A$2:$A$245,0)),"")</f>
        <v/>
      </c>
      <c r="N4499" s="34">
        <f>IF($K4499=1,L4499-M4499,"")</f>
        <v/>
      </c>
      <c r="O4499" s="34" t="n">
        <v>0.0003927</v>
      </c>
      <c r="P4499" s="34">
        <f>IF($J4499=1,LN(1+O4499),"")</f>
        <v/>
      </c>
      <c r="Q4499" s="34">
        <f>IF($J4499=1,LN(R4500/R4499),"")</f>
        <v/>
      </c>
      <c r="R4499" s="32" t="n">
        <v>5.4074</v>
      </c>
      <c r="S4499" s="35" t="n">
        <v>11</v>
      </c>
      <c r="T4499" s="18" t="n"/>
      <c r="U4499" s="18" t="n">
        <v>119630.44</v>
      </c>
      <c r="V4499" s="18" t="n"/>
      <c r="W4499" s="18" t="n"/>
      <c r="X4499" s="35" t="n">
        <v>11</v>
      </c>
      <c r="Y4499" s="35" t="n"/>
    </row>
    <row r="4500">
      <c r="A4500" s="25" t="n">
        <v>45462</v>
      </c>
      <c r="B4500" s="18" t="n">
        <v>120261.34</v>
      </c>
      <c r="C4500" s="31" t="n"/>
      <c r="D4500" s="32" t="n"/>
      <c r="E4500" s="33" t="n">
        <v>0.8283</v>
      </c>
      <c r="F4500" t="inlineStr">
        <is>
          <t>Up</t>
        </is>
      </c>
      <c r="G4500" t="inlineStr">
        <is>
          <t>Up</t>
        </is>
      </c>
      <c r="H4500" t="inlineStr">
        <is>
          <t>EU_JU</t>
        </is>
      </c>
      <c r="I4500" t="inlineStr">
        <is>
          <t>2024-06</t>
        </is>
      </c>
      <c r="J4500" t="n">
        <v>1</v>
      </c>
      <c r="K4500" t="n">
        <v>1</v>
      </c>
      <c r="L4500" s="34">
        <f>IF($J4500=1,LN(B4501/B4500),"")</f>
        <v/>
      </c>
      <c r="M4500" s="34">
        <f>IF($K4500=1,INDEX(Mensal!$D$2:$D$245,MATCH($I4500,Mensal!$A$2:$A$245,0)),"")</f>
        <v/>
      </c>
      <c r="N4500" s="34">
        <f>IF($K4500=1,L4500-M4500,"")</f>
        <v/>
      </c>
      <c r="O4500" s="34" t="n">
        <v>0.0003927</v>
      </c>
      <c r="P4500" s="34">
        <f>IF($J4500=1,LN(1+O4500),"")</f>
        <v/>
      </c>
      <c r="Q4500" s="34">
        <f>IF($J4500=1,LN(R4501/R4500),"")</f>
        <v/>
      </c>
      <c r="R4500" s="32" t="n">
        <v>5.4647</v>
      </c>
      <c r="S4500" s="35" t="n">
        <v>11.06</v>
      </c>
      <c r="T4500" s="18" t="n"/>
      <c r="U4500" s="18" t="n">
        <v>120261.34</v>
      </c>
      <c r="V4500" s="18" t="n"/>
      <c r="W4500" s="18" t="n"/>
      <c r="X4500" s="35" t="n">
        <v>11.06</v>
      </c>
      <c r="Y4500" s="35" t="n"/>
    </row>
    <row r="4501">
      <c r="A4501" s="25" t="n">
        <v>45463</v>
      </c>
      <c r="B4501" s="18" t="n">
        <v>120445.91</v>
      </c>
      <c r="C4501" s="31" t="n"/>
      <c r="D4501" s="32" t="n"/>
      <c r="E4501" s="33" t="n">
        <v>0.8303</v>
      </c>
      <c r="F4501" t="inlineStr">
        <is>
          <t>Up</t>
        </is>
      </c>
      <c r="G4501" t="inlineStr">
        <is>
          <t>Up</t>
        </is>
      </c>
      <c r="H4501" t="inlineStr">
        <is>
          <t>EU_JU</t>
        </is>
      </c>
      <c r="I4501" t="inlineStr">
        <is>
          <t>2024-06</t>
        </is>
      </c>
      <c r="J4501" t="n">
        <v>1</v>
      </c>
      <c r="K4501" t="n">
        <v>1</v>
      </c>
      <c r="L4501" s="34">
        <f>IF($J4501=1,LN(B4502/B4501),"")</f>
        <v/>
      </c>
      <c r="M4501" s="34">
        <f>IF($K4501=1,INDEX(Mensal!$D$2:$D$245,MATCH($I4501,Mensal!$A$2:$A$245,0)),"")</f>
        <v/>
      </c>
      <c r="N4501" s="34">
        <f>IF($K4501=1,L4501-M4501,"")</f>
        <v/>
      </c>
      <c r="O4501" s="34" t="n">
        <v>0.0003927</v>
      </c>
      <c r="P4501" s="34">
        <f>IF($J4501=1,LN(1+O4501),"")</f>
        <v/>
      </c>
      <c r="Q4501" s="34">
        <f>IF($J4501=1,LN(R4502/R4501),"")</f>
        <v/>
      </c>
      <c r="R4501" s="32" t="n">
        <v>5.4254</v>
      </c>
      <c r="S4501" s="35" t="n">
        <v>10.91</v>
      </c>
      <c r="T4501" s="18" t="n"/>
      <c r="U4501" s="18" t="n">
        <v>120445.91</v>
      </c>
      <c r="V4501" s="18" t="n"/>
      <c r="W4501" s="18" t="n"/>
      <c r="X4501" s="35" t="n">
        <v>10.91</v>
      </c>
      <c r="Y4501" s="35" t="n"/>
    </row>
    <row r="4502">
      <c r="A4502" s="25" t="n">
        <v>45464</v>
      </c>
      <c r="B4502" s="18" t="n">
        <v>121341.13</v>
      </c>
      <c r="C4502" s="31" t="n"/>
      <c r="D4502" s="32" t="n"/>
      <c r="E4502" s="33" t="n">
        <v>0.8371</v>
      </c>
      <c r="F4502" t="inlineStr">
        <is>
          <t>Up</t>
        </is>
      </c>
      <c r="G4502" t="inlineStr">
        <is>
          <t>Up</t>
        </is>
      </c>
      <c r="H4502" t="inlineStr">
        <is>
          <t>EU_JU</t>
        </is>
      </c>
      <c r="I4502" t="inlineStr">
        <is>
          <t>2024-06</t>
        </is>
      </c>
      <c r="J4502" t="n">
        <v>1</v>
      </c>
      <c r="K4502" t="n">
        <v>1</v>
      </c>
      <c r="L4502" s="34">
        <f>IF($J4502=1,LN(B4503/B4502),"")</f>
        <v/>
      </c>
      <c r="M4502" s="34">
        <f>IF($K4502=1,INDEX(Mensal!$D$2:$D$245,MATCH($I4502,Mensal!$A$2:$A$245,0)),"")</f>
        <v/>
      </c>
      <c r="N4502" s="34">
        <f>IF($K4502=1,L4502-M4502,"")</f>
        <v/>
      </c>
      <c r="O4502" s="34" t="n">
        <v>0.0003927</v>
      </c>
      <c r="P4502" s="34">
        <f>IF($J4502=1,LN(1+O4502),"")</f>
        <v/>
      </c>
      <c r="Q4502" s="34">
        <f>IF($J4502=1,LN(R4503/R4502),"")</f>
        <v/>
      </c>
      <c r="R4502" s="32" t="n">
        <v>5.4416</v>
      </c>
      <c r="S4502" s="35" t="n">
        <v>10.87</v>
      </c>
      <c r="T4502" s="18" t="n"/>
      <c r="U4502" s="18" t="n">
        <v>121341.13</v>
      </c>
      <c r="V4502" s="18" t="n"/>
      <c r="W4502" s="18" t="n"/>
      <c r="X4502" s="35" t="n">
        <v>10.87</v>
      </c>
      <c r="Y4502" s="35" t="n"/>
    </row>
    <row r="4503">
      <c r="A4503" s="25" t="n">
        <v>45467</v>
      </c>
      <c r="B4503" s="18" t="n">
        <v>122636.96</v>
      </c>
      <c r="C4503" s="31" t="n"/>
      <c r="D4503" s="32" t="n"/>
      <c r="E4503" s="33" t="n">
        <v>0.8481</v>
      </c>
      <c r="F4503" t="inlineStr">
        <is>
          <t>Up</t>
        </is>
      </c>
      <c r="G4503" t="inlineStr">
        <is>
          <t>Up</t>
        </is>
      </c>
      <c r="H4503" t="inlineStr">
        <is>
          <t>EU_JU</t>
        </is>
      </c>
      <c r="I4503" t="inlineStr">
        <is>
          <t>2024-06</t>
        </is>
      </c>
      <c r="J4503" t="n">
        <v>1</v>
      </c>
      <c r="K4503" t="n">
        <v>1</v>
      </c>
      <c r="L4503" s="34">
        <f>IF($J4503=1,LN(B4504/B4503),"")</f>
        <v/>
      </c>
      <c r="M4503" s="34">
        <f>IF($K4503=1,INDEX(Mensal!$D$2:$D$245,MATCH($I4503,Mensal!$A$2:$A$245,0)),"")</f>
        <v/>
      </c>
      <c r="N4503" s="34">
        <f>IF($K4503=1,L4503-M4503,"")</f>
        <v/>
      </c>
      <c r="O4503" s="34" t="n">
        <v>0.0003927</v>
      </c>
      <c r="P4503" s="34">
        <f>IF($J4503=1,LN(1+O4503),"")</f>
        <v/>
      </c>
      <c r="Q4503" s="34">
        <f>IF($J4503=1,LN(R4504/R4503),"")</f>
        <v/>
      </c>
      <c r="R4503" s="32" t="n">
        <v>5.4</v>
      </c>
      <c r="S4503" s="35" t="n">
        <v>10.81</v>
      </c>
      <c r="T4503" s="18" t="n"/>
      <c r="U4503" s="18" t="n">
        <v>122636.96</v>
      </c>
      <c r="V4503" s="18" t="n"/>
      <c r="W4503" s="18" t="n"/>
      <c r="X4503" s="35" t="n">
        <v>10.81</v>
      </c>
      <c r="Y4503" s="35" t="n"/>
    </row>
    <row r="4504">
      <c r="A4504" s="25" t="n">
        <v>45468</v>
      </c>
      <c r="B4504" s="18" t="n">
        <v>122331.39</v>
      </c>
      <c r="C4504" s="31" t="n"/>
      <c r="D4504" s="32" t="n"/>
      <c r="E4504" s="33" t="n">
        <v>0.8579</v>
      </c>
      <c r="F4504" t="inlineStr">
        <is>
          <t>Up</t>
        </is>
      </c>
      <c r="G4504" t="inlineStr">
        <is>
          <t>Up</t>
        </is>
      </c>
      <c r="H4504" t="inlineStr">
        <is>
          <t>EU_JU</t>
        </is>
      </c>
      <c r="I4504" t="inlineStr">
        <is>
          <t>2024-06</t>
        </is>
      </c>
      <c r="J4504" t="n">
        <v>1</v>
      </c>
      <c r="K4504" t="n">
        <v>1</v>
      </c>
      <c r="L4504" s="34">
        <f>IF($J4504=1,LN(B4505/B4504),"")</f>
        <v/>
      </c>
      <c r="M4504" s="34">
        <f>IF($K4504=1,INDEX(Mensal!$D$2:$D$245,MATCH($I4504,Mensal!$A$2:$A$245,0)),"")</f>
        <v/>
      </c>
      <c r="N4504" s="34">
        <f>IF($K4504=1,L4504-M4504,"")</f>
        <v/>
      </c>
      <c r="O4504" s="34" t="n">
        <v>0.0003927</v>
      </c>
      <c r="P4504" s="34">
        <f>IF($J4504=1,LN(1+O4504),"")</f>
        <v/>
      </c>
      <c r="Q4504" s="34">
        <f>IF($J4504=1,LN(R4505/R4504),"")</f>
        <v/>
      </c>
      <c r="R4504" s="32" t="n">
        <v>5.429</v>
      </c>
      <c r="S4504" s="35" t="n">
        <v>10.83</v>
      </c>
      <c r="T4504" s="18" t="n"/>
      <c r="U4504" s="18" t="n">
        <v>122331.39</v>
      </c>
      <c r="V4504" s="18" t="n"/>
      <c r="W4504" s="18" t="n"/>
      <c r="X4504" s="35" t="n">
        <v>10.83</v>
      </c>
      <c r="Y4504" s="35" t="n"/>
    </row>
    <row r="4505">
      <c r="A4505" s="25" t="n">
        <v>45469</v>
      </c>
      <c r="B4505" s="18" t="n">
        <v>122641.3</v>
      </c>
      <c r="C4505" s="31" t="n"/>
      <c r="D4505" s="32" t="n"/>
      <c r="E4505" s="33" t="n">
        <v>0.8713</v>
      </c>
      <c r="F4505" t="inlineStr">
        <is>
          <t>Up</t>
        </is>
      </c>
      <c r="G4505" t="inlineStr">
        <is>
          <t>Up</t>
        </is>
      </c>
      <c r="H4505" t="inlineStr">
        <is>
          <t>EU_JU</t>
        </is>
      </c>
      <c r="I4505" t="inlineStr">
        <is>
          <t>2024-06</t>
        </is>
      </c>
      <c r="J4505" t="n">
        <v>1</v>
      </c>
      <c r="K4505" t="n">
        <v>1</v>
      </c>
      <c r="L4505" s="34">
        <f>IF($J4505=1,LN(B4506/B4505),"")</f>
        <v/>
      </c>
      <c r="M4505" s="34">
        <f>IF($K4505=1,INDEX(Mensal!$D$2:$D$245,MATCH($I4505,Mensal!$A$2:$A$245,0)),"")</f>
        <v/>
      </c>
      <c r="N4505" s="34">
        <f>IF($K4505=1,L4505-M4505,"")</f>
        <v/>
      </c>
      <c r="O4505" s="34" t="n">
        <v>0.0003927</v>
      </c>
      <c r="P4505" s="34">
        <f>IF($J4505=1,LN(1+O4505),"")</f>
        <v/>
      </c>
      <c r="Q4505" s="34">
        <f>IF($J4505=1,LN(R4506/R4505),"")</f>
        <v/>
      </c>
      <c r="R4505" s="32" t="n">
        <v>5.5097</v>
      </c>
      <c r="S4505" s="35" t="n">
        <v>10.94</v>
      </c>
      <c r="T4505" s="18" t="n"/>
      <c r="U4505" s="18" t="n">
        <v>122641.3</v>
      </c>
      <c r="V4505" s="18" t="n"/>
      <c r="W4505" s="18" t="n"/>
      <c r="X4505" s="35" t="n">
        <v>10.94</v>
      </c>
      <c r="Y4505" s="35" t="n"/>
    </row>
    <row r="4506">
      <c r="A4506" s="25" t="n">
        <v>45470</v>
      </c>
      <c r="B4506" s="18" t="n">
        <v>124307.83</v>
      </c>
      <c r="C4506" s="31" t="n"/>
      <c r="D4506" s="32" t="n"/>
      <c r="E4506" s="33" t="n">
        <v>0.8806</v>
      </c>
      <c r="F4506" t="inlineStr">
        <is>
          <t>Up</t>
        </is>
      </c>
      <c r="G4506" t="inlineStr">
        <is>
          <t>Up</t>
        </is>
      </c>
      <c r="H4506" t="inlineStr">
        <is>
          <t>EU_JU</t>
        </is>
      </c>
      <c r="I4506" t="inlineStr">
        <is>
          <t>2024-06</t>
        </is>
      </c>
      <c r="J4506" t="n">
        <v>1</v>
      </c>
      <c r="K4506" t="n">
        <v>1</v>
      </c>
      <c r="L4506" s="34">
        <f>IF($J4506=1,LN(B4507/B4506),"")</f>
        <v/>
      </c>
      <c r="M4506" s="34">
        <f>IF($K4506=1,INDEX(Mensal!$D$2:$D$245,MATCH($I4506,Mensal!$A$2:$A$245,0)),"")</f>
        <v/>
      </c>
      <c r="N4506" s="34">
        <f>IF($K4506=1,L4506-M4506,"")</f>
        <v/>
      </c>
      <c r="O4506" s="34" t="n">
        <v>0.0003927</v>
      </c>
      <c r="P4506" s="34">
        <f>IF($J4506=1,LN(1+O4506),"")</f>
        <v/>
      </c>
      <c r="Q4506" s="34">
        <f>IF($J4506=1,LN(R4507/R4506),"")</f>
        <v/>
      </c>
      <c r="R4506" s="32" t="n">
        <v>5.5229</v>
      </c>
      <c r="S4506" s="35" t="n">
        <v>10.96</v>
      </c>
      <c r="T4506" s="18" t="n"/>
      <c r="U4506" s="18" t="n">
        <v>124307.83</v>
      </c>
      <c r="V4506" s="18" t="n"/>
      <c r="W4506" s="18" t="n"/>
      <c r="X4506" s="35" t="n">
        <v>10.96</v>
      </c>
      <c r="Y4506" s="35" t="n"/>
    </row>
    <row r="4507">
      <c r="A4507" s="25" t="n">
        <v>45471</v>
      </c>
      <c r="B4507" s="18" t="n">
        <v>123906.55</v>
      </c>
      <c r="C4507" s="31" t="n"/>
      <c r="D4507" s="32" t="n"/>
      <c r="E4507" s="33" t="n">
        <v>0.8898</v>
      </c>
      <c r="F4507" t="inlineStr">
        <is>
          <t>Up</t>
        </is>
      </c>
      <c r="G4507" t="inlineStr">
        <is>
          <t>Up</t>
        </is>
      </c>
      <c r="H4507" t="inlineStr">
        <is>
          <t>EU_JU</t>
        </is>
      </c>
      <c r="I4507" t="inlineStr">
        <is>
          <t>2024-06</t>
        </is>
      </c>
      <c r="J4507" t="n">
        <v>1</v>
      </c>
      <c r="K4507" t="n">
        <v>1</v>
      </c>
      <c r="L4507" s="34">
        <f>IF($J4507=1,LN(B4508/B4507),"")</f>
        <v/>
      </c>
      <c r="M4507" s="34">
        <f>IF($K4507=1,INDEX(Mensal!$D$2:$D$245,MATCH($I4507,Mensal!$A$2:$A$245,0)),"")</f>
        <v/>
      </c>
      <c r="N4507" s="34">
        <f>IF($K4507=1,L4507-M4507,"")</f>
        <v/>
      </c>
      <c r="O4507" s="34" t="n">
        <v>0.0003927</v>
      </c>
      <c r="P4507" s="34">
        <f>IF($J4507=1,LN(1+O4507),"")</f>
        <v/>
      </c>
      <c r="Q4507" s="34">
        <f>IF($J4507=1,LN(R4508/R4507),"")</f>
        <v/>
      </c>
      <c r="R4507" s="32" t="n">
        <v>5.5589</v>
      </c>
      <c r="S4507" s="35" t="n">
        <v>11.18</v>
      </c>
      <c r="T4507" s="18" t="n"/>
      <c r="U4507" s="18" t="n">
        <v>123906.55</v>
      </c>
      <c r="V4507" s="18" t="n"/>
      <c r="W4507" s="18" t="n"/>
      <c r="X4507" s="35" t="n">
        <v>11.18</v>
      </c>
      <c r="Y4507" s="35" t="n"/>
    </row>
    <row r="4508">
      <c r="A4508" s="25" t="n">
        <v>45474</v>
      </c>
      <c r="B4508" s="18" t="n">
        <v>124718.07</v>
      </c>
      <c r="C4508" s="31" t="n"/>
      <c r="D4508" s="32" t="n"/>
      <c r="E4508" s="33" t="n">
        <v>0.9001</v>
      </c>
      <c r="F4508" t="inlineStr">
        <is>
          <t>Up</t>
        </is>
      </c>
      <c r="G4508" t="inlineStr">
        <is>
          <t>Up</t>
        </is>
      </c>
      <c r="H4508" t="inlineStr">
        <is>
          <t>EU_JU</t>
        </is>
      </c>
      <c r="I4508" t="inlineStr">
        <is>
          <t>2024-07</t>
        </is>
      </c>
      <c r="J4508" t="n">
        <v>1</v>
      </c>
      <c r="K4508" t="n">
        <v>1</v>
      </c>
      <c r="L4508" s="34">
        <f>IF($J4508=1,LN(B4509/B4508),"")</f>
        <v/>
      </c>
      <c r="M4508" s="34">
        <f>IF($K4508=1,INDEX(Mensal!$D$2:$D$245,MATCH($I4508,Mensal!$A$2:$A$245,0)),"")</f>
        <v/>
      </c>
      <c r="N4508" s="34">
        <f>IF($K4508=1,L4508-M4508,"")</f>
        <v/>
      </c>
      <c r="O4508" s="34" t="n">
        <v>0.0003927</v>
      </c>
      <c r="P4508" s="34">
        <f>IF($J4508=1,LN(1+O4508),"")</f>
        <v/>
      </c>
      <c r="Q4508" s="34">
        <f>IF($J4508=1,LN(R4509/R4508),"")</f>
        <v/>
      </c>
      <c r="R4508" s="32" t="n">
        <v>5.5893</v>
      </c>
      <c r="S4508" s="35" t="n">
        <v>11.39</v>
      </c>
      <c r="T4508" s="18" t="n"/>
      <c r="U4508" s="18" t="n">
        <v>124718.07</v>
      </c>
      <c r="V4508" s="18" t="n"/>
      <c r="W4508" s="18" t="n"/>
      <c r="X4508" s="35" t="n">
        <v>11.39</v>
      </c>
      <c r="Y4508" s="35" t="n"/>
    </row>
    <row r="4509">
      <c r="A4509" s="25" t="n">
        <v>45475</v>
      </c>
      <c r="B4509" s="18" t="n">
        <v>124787.08</v>
      </c>
      <c r="C4509" s="31" t="n"/>
      <c r="D4509" s="32" t="n"/>
      <c r="E4509" s="33" t="n">
        <v>0.91</v>
      </c>
      <c r="F4509" t="inlineStr">
        <is>
          <t>Up</t>
        </is>
      </c>
      <c r="G4509" t="inlineStr">
        <is>
          <t>Up</t>
        </is>
      </c>
      <c r="H4509" t="inlineStr">
        <is>
          <t>EU_JU</t>
        </is>
      </c>
      <c r="I4509" t="inlineStr">
        <is>
          <t>2024-07</t>
        </is>
      </c>
      <c r="J4509" t="n">
        <v>1</v>
      </c>
      <c r="K4509" t="n">
        <v>1</v>
      </c>
      <c r="L4509" s="34">
        <f>IF($J4509=1,LN(B4510/B4509),"")</f>
        <v/>
      </c>
      <c r="M4509" s="34">
        <f>IF($K4509=1,INDEX(Mensal!$D$2:$D$245,MATCH($I4509,Mensal!$A$2:$A$245,0)),"")</f>
        <v/>
      </c>
      <c r="N4509" s="34">
        <f>IF($K4509=1,L4509-M4509,"")</f>
        <v/>
      </c>
      <c r="O4509" s="34" t="n">
        <v>0.0003927</v>
      </c>
      <c r="P4509" s="34">
        <f>IF($J4509=1,LN(1+O4509),"")</f>
        <v/>
      </c>
      <c r="Q4509" s="34">
        <f>IF($J4509=1,LN(R4510/R4509),"")</f>
        <v/>
      </c>
      <c r="R4509" s="32" t="n">
        <v>5.6677</v>
      </c>
      <c r="S4509" s="35" t="n">
        <v>11.34</v>
      </c>
      <c r="T4509" s="18" t="n"/>
      <c r="U4509" s="18" t="n">
        <v>124787.08</v>
      </c>
      <c r="V4509" s="18" t="n"/>
      <c r="W4509" s="18" t="n"/>
      <c r="X4509" s="35" t="n">
        <v>11.34</v>
      </c>
      <c r="Y4509" s="35" t="n"/>
    </row>
    <row r="4510">
      <c r="A4510" s="25" t="n">
        <v>45476</v>
      </c>
      <c r="B4510" s="18" t="n">
        <v>125661.89</v>
      </c>
      <c r="C4510" s="31" t="n"/>
      <c r="D4510" s="32" t="n"/>
      <c r="E4510" s="33" t="n">
        <v>0.9198</v>
      </c>
      <c r="F4510" t="inlineStr">
        <is>
          <t>Up</t>
        </is>
      </c>
      <c r="G4510" t="inlineStr">
        <is>
          <t>Up</t>
        </is>
      </c>
      <c r="H4510" t="inlineStr">
        <is>
          <t>EU_JU</t>
        </is>
      </c>
      <c r="I4510" t="inlineStr">
        <is>
          <t>2024-07</t>
        </is>
      </c>
      <c r="J4510" t="n">
        <v>1</v>
      </c>
      <c r="K4510" t="n">
        <v>1</v>
      </c>
      <c r="L4510" s="34">
        <f>IF($J4510=1,LN(B4511/B4510),"")</f>
        <v/>
      </c>
      <c r="M4510" s="34">
        <f>IF($K4510=1,INDEX(Mensal!$D$2:$D$245,MATCH($I4510,Mensal!$A$2:$A$245,0)),"")</f>
        <v/>
      </c>
      <c r="N4510" s="34">
        <f>IF($K4510=1,L4510-M4510,"")</f>
        <v/>
      </c>
      <c r="O4510" s="34" t="n">
        <v>0.0003927</v>
      </c>
      <c r="P4510" s="34">
        <f>IF($J4510=1,LN(1+O4510),"")</f>
        <v/>
      </c>
      <c r="Q4510" s="34">
        <f>IF($J4510=1,LN(R4511/R4510),"")</f>
        <v/>
      </c>
      <c r="R4510" s="32" t="n">
        <v>5.5863</v>
      </c>
      <c r="S4510" s="35" t="n">
        <v>11.18</v>
      </c>
      <c r="T4510" s="18" t="n"/>
      <c r="U4510" s="18" t="n">
        <v>125661.89</v>
      </c>
      <c r="V4510" s="18" t="n"/>
      <c r="W4510" s="18" t="n"/>
      <c r="X4510" s="35" t="n">
        <v>11.18</v>
      </c>
      <c r="Y4510" s="35" t="n"/>
    </row>
    <row r="4511">
      <c r="A4511" s="25" t="n">
        <v>45477</v>
      </c>
      <c r="B4511" s="18" t="n">
        <v>126163.98</v>
      </c>
      <c r="C4511" s="31" t="n"/>
      <c r="D4511" s="32" t="n"/>
      <c r="E4511" s="33" t="n">
        <v>0.9236</v>
      </c>
      <c r="F4511" t="inlineStr">
        <is>
          <t>Up</t>
        </is>
      </c>
      <c r="G4511" t="inlineStr">
        <is>
          <t>Up</t>
        </is>
      </c>
      <c r="H4511" t="inlineStr">
        <is>
          <t>EU_JU</t>
        </is>
      </c>
      <c r="I4511" t="inlineStr">
        <is>
          <t>2024-07</t>
        </is>
      </c>
      <c r="J4511" t="n">
        <v>1</v>
      </c>
      <c r="K4511" t="n">
        <v>1</v>
      </c>
      <c r="L4511" s="34">
        <f>IF($J4511=1,LN(B4512/B4511),"")</f>
        <v/>
      </c>
      <c r="M4511" s="34">
        <f>IF($K4511=1,INDEX(Mensal!$D$2:$D$245,MATCH($I4511,Mensal!$A$2:$A$245,0)),"")</f>
        <v/>
      </c>
      <c r="N4511" s="34">
        <f>IF($K4511=1,L4511-M4511,"")</f>
        <v/>
      </c>
      <c r="O4511" s="34" t="n">
        <v>0.0003927</v>
      </c>
      <c r="P4511" s="34">
        <f>IF($J4511=1,LN(1+O4511),"")</f>
        <v/>
      </c>
      <c r="Q4511" s="34">
        <f>IF($J4511=1,LN(R4512/R4511),"")</f>
        <v/>
      </c>
      <c r="R4511" s="32" t="n">
        <v>5.4839</v>
      </c>
      <c r="S4511" s="35" t="n">
        <v>10.98</v>
      </c>
      <c r="T4511" s="18" t="n"/>
      <c r="U4511" s="18" t="n">
        <v>126163.98</v>
      </c>
      <c r="V4511" s="18" t="n"/>
      <c r="W4511" s="18" t="n"/>
      <c r="X4511" s="35" t="n">
        <v>10.98</v>
      </c>
      <c r="Y4511" s="35" t="n"/>
    </row>
    <row r="4512">
      <c r="A4512" s="25" t="n">
        <v>45478</v>
      </c>
      <c r="B4512" s="18" t="n">
        <v>126267.05</v>
      </c>
      <c r="C4512" s="31" t="n"/>
      <c r="D4512" s="32" t="n"/>
      <c r="E4512" s="33" t="n">
        <v>0.9257</v>
      </c>
      <c r="F4512" t="inlineStr">
        <is>
          <t>Up</t>
        </is>
      </c>
      <c r="G4512" t="inlineStr">
        <is>
          <t>Up</t>
        </is>
      </c>
      <c r="H4512" t="inlineStr">
        <is>
          <t>EU_JU</t>
        </is>
      </c>
      <c r="I4512" t="inlineStr">
        <is>
          <t>2024-07</t>
        </is>
      </c>
      <c r="J4512" t="n">
        <v>1</v>
      </c>
      <c r="K4512" t="n">
        <v>1</v>
      </c>
      <c r="L4512" s="34">
        <f>IF($J4512=1,LN(B4513/B4512),"")</f>
        <v/>
      </c>
      <c r="M4512" s="34">
        <f>IF($K4512=1,INDEX(Mensal!$D$2:$D$245,MATCH($I4512,Mensal!$A$2:$A$245,0)),"")</f>
        <v/>
      </c>
      <c r="N4512" s="34">
        <f>IF($K4512=1,L4512-M4512,"")</f>
        <v/>
      </c>
      <c r="O4512" s="34" t="n">
        <v>0.0003927</v>
      </c>
      <c r="P4512" s="34">
        <f>IF($J4512=1,LN(1+O4512),"")</f>
        <v/>
      </c>
      <c r="Q4512" s="34">
        <f>IF($J4512=1,LN(R4513/R4512),"")</f>
        <v/>
      </c>
      <c r="R4512" s="32" t="n">
        <v>5.497</v>
      </c>
      <c r="S4512" s="35" t="n">
        <v>10.94</v>
      </c>
      <c r="T4512" s="18" t="n"/>
      <c r="U4512" s="18" t="n">
        <v>126267.05</v>
      </c>
      <c r="V4512" s="18" t="n"/>
      <c r="W4512" s="18" t="n"/>
      <c r="X4512" s="35" t="n">
        <v>10.94</v>
      </c>
      <c r="Y4512" s="35" t="n"/>
    </row>
    <row r="4513">
      <c r="A4513" s="25" t="n">
        <v>45481</v>
      </c>
      <c r="B4513" s="18" t="n">
        <v>126548.34</v>
      </c>
      <c r="C4513" s="31" t="n"/>
      <c r="D4513" s="32" t="n"/>
      <c r="E4513" s="33" t="n">
        <v>0.9201</v>
      </c>
      <c r="F4513" t="inlineStr">
        <is>
          <t>Up</t>
        </is>
      </c>
      <c r="G4513" t="inlineStr">
        <is>
          <t>Up</t>
        </is>
      </c>
      <c r="H4513" t="inlineStr">
        <is>
          <t>EU_JU</t>
        </is>
      </c>
      <c r="I4513" t="inlineStr">
        <is>
          <t>2024-07</t>
        </is>
      </c>
      <c r="J4513" t="n">
        <v>1</v>
      </c>
      <c r="K4513" t="n">
        <v>1</v>
      </c>
      <c r="L4513" s="34">
        <f>IF($J4513=1,LN(B4514/B4513),"")</f>
        <v/>
      </c>
      <c r="M4513" s="34">
        <f>IF($K4513=1,INDEX(Mensal!$D$2:$D$245,MATCH($I4513,Mensal!$A$2:$A$245,0)),"")</f>
        <v/>
      </c>
      <c r="N4513" s="34">
        <f>IF($K4513=1,L4513-M4513,"")</f>
        <v/>
      </c>
      <c r="O4513" s="34" t="n">
        <v>0.0003927</v>
      </c>
      <c r="P4513" s="34">
        <f>IF($J4513=1,LN(1+O4513),"")</f>
        <v/>
      </c>
      <c r="Q4513" s="34">
        <f>IF($J4513=1,LN(R4514/R4513),"")</f>
        <v/>
      </c>
      <c r="R4513" s="32" t="n">
        <v>5.472</v>
      </c>
      <c r="S4513" s="35" t="n">
        <v>10.96</v>
      </c>
      <c r="T4513" s="18" t="n"/>
      <c r="U4513" s="18" t="n">
        <v>126548.34</v>
      </c>
      <c r="V4513" s="18" t="n"/>
      <c r="W4513" s="18" t="n"/>
      <c r="X4513" s="35" t="n">
        <v>10.96</v>
      </c>
      <c r="Y4513" s="35" t="n"/>
    </row>
    <row r="4514">
      <c r="A4514" s="25" t="n">
        <v>45482</v>
      </c>
      <c r="B4514" s="18" t="n">
        <v>127108.22</v>
      </c>
      <c r="C4514" s="31" t="n"/>
      <c r="D4514" s="32" t="n"/>
      <c r="E4514" s="33" t="n">
        <v>0.8982</v>
      </c>
      <c r="F4514" t="inlineStr">
        <is>
          <t>Up</t>
        </is>
      </c>
      <c r="G4514" t="inlineStr">
        <is>
          <t>Up</t>
        </is>
      </c>
      <c r="H4514" t="inlineStr">
        <is>
          <t>EU_JU</t>
        </is>
      </c>
      <c r="I4514" t="inlineStr">
        <is>
          <t>2024-07</t>
        </is>
      </c>
      <c r="J4514" t="n">
        <v>1</v>
      </c>
      <c r="K4514" t="n">
        <v>1</v>
      </c>
      <c r="L4514" s="34">
        <f>IF($J4514=1,LN(B4515/B4514),"")</f>
        <v/>
      </c>
      <c r="M4514" s="34">
        <f>IF($K4514=1,INDEX(Mensal!$D$2:$D$245,MATCH($I4514,Mensal!$A$2:$A$245,0)),"")</f>
        <v/>
      </c>
      <c r="N4514" s="34">
        <f>IF($K4514=1,L4514-M4514,"")</f>
        <v/>
      </c>
      <c r="O4514" s="34" t="n">
        <v>0.0003927</v>
      </c>
      <c r="P4514" s="34">
        <f>IF($J4514=1,LN(1+O4514),"")</f>
        <v/>
      </c>
      <c r="Q4514" s="34">
        <f>IF($J4514=1,LN(R4515/R4514),"")</f>
        <v/>
      </c>
      <c r="R4514" s="32" t="n">
        <v>5.4387</v>
      </c>
      <c r="S4514" s="35" t="n">
        <v>10.92</v>
      </c>
      <c r="T4514" s="18" t="n"/>
      <c r="U4514" s="18" t="n">
        <v>127108.22</v>
      </c>
      <c r="V4514" s="18" t="n"/>
      <c r="W4514" s="18" t="n"/>
      <c r="X4514" s="35" t="n">
        <v>10.92</v>
      </c>
      <c r="Y4514" s="35" t="n"/>
    </row>
    <row r="4515">
      <c r="A4515" s="25" t="n">
        <v>45483</v>
      </c>
      <c r="B4515" s="18" t="n">
        <v>127218.24</v>
      </c>
      <c r="C4515" s="31" t="n"/>
      <c r="D4515" s="32" t="n"/>
      <c r="E4515" s="33" t="n">
        <v>0.8976</v>
      </c>
      <c r="F4515" t="inlineStr">
        <is>
          <t>Up</t>
        </is>
      </c>
      <c r="G4515" t="inlineStr">
        <is>
          <t>Up</t>
        </is>
      </c>
      <c r="H4515" t="inlineStr">
        <is>
          <t>EU_JU</t>
        </is>
      </c>
      <c r="I4515" t="inlineStr">
        <is>
          <t>2024-07</t>
        </is>
      </c>
      <c r="J4515" t="n">
        <v>1</v>
      </c>
      <c r="K4515" t="n">
        <v>1</v>
      </c>
      <c r="L4515" s="34">
        <f>IF($J4515=1,LN(B4516/B4515),"")</f>
        <v/>
      </c>
      <c r="M4515" s="34">
        <f>IF($K4515=1,INDEX(Mensal!$D$2:$D$245,MATCH($I4515,Mensal!$A$2:$A$245,0)),"")</f>
        <v/>
      </c>
      <c r="N4515" s="34">
        <f>IF($K4515=1,L4515-M4515,"")</f>
        <v/>
      </c>
      <c r="O4515" s="34" t="n">
        <v>0.0003927</v>
      </c>
      <c r="P4515" s="34">
        <f>IF($J4515=1,LN(1+O4515),"")</f>
        <v/>
      </c>
      <c r="Q4515" s="34">
        <f>IF($J4515=1,LN(R4516/R4515),"")</f>
        <v/>
      </c>
      <c r="R4515" s="32" t="n">
        <v>5.3967</v>
      </c>
      <c r="S4515" s="35" t="n">
        <v>10.82</v>
      </c>
      <c r="T4515" s="18" t="n"/>
      <c r="U4515" s="18" t="n">
        <v>127218.24</v>
      </c>
      <c r="V4515" s="18" t="n"/>
      <c r="W4515" s="18" t="n"/>
      <c r="X4515" s="35" t="n">
        <v>10.82</v>
      </c>
      <c r="Y4515" s="35" t="n"/>
    </row>
    <row r="4516">
      <c r="A4516" s="25" t="n">
        <v>45484</v>
      </c>
      <c r="B4516" s="18" t="n">
        <v>128293.61</v>
      </c>
      <c r="C4516" s="31" t="n"/>
      <c r="D4516" s="32" t="n"/>
      <c r="E4516" s="33" t="n">
        <v>0.8927</v>
      </c>
      <c r="F4516" t="inlineStr">
        <is>
          <t>Up</t>
        </is>
      </c>
      <c r="G4516" t="inlineStr">
        <is>
          <t>Up</t>
        </is>
      </c>
      <c r="H4516" t="inlineStr">
        <is>
          <t>EU_JU</t>
        </is>
      </c>
      <c r="I4516" t="inlineStr">
        <is>
          <t>2024-07</t>
        </is>
      </c>
      <c r="J4516" t="n">
        <v>1</v>
      </c>
      <c r="K4516" t="n">
        <v>1</v>
      </c>
      <c r="L4516" s="34">
        <f>IF($J4516=1,LN(B4517/B4516),"")</f>
        <v/>
      </c>
      <c r="M4516" s="34">
        <f>IF($K4516=1,INDEX(Mensal!$D$2:$D$245,MATCH($I4516,Mensal!$A$2:$A$245,0)),"")</f>
        <v/>
      </c>
      <c r="N4516" s="34">
        <f>IF($K4516=1,L4516-M4516,"")</f>
        <v/>
      </c>
      <c r="O4516" s="34" t="n">
        <v>0.0003927</v>
      </c>
      <c r="P4516" s="34">
        <f>IF($J4516=1,LN(1+O4516),"")</f>
        <v/>
      </c>
      <c r="Q4516" s="34">
        <f>IF($J4516=1,LN(R4517/R4516),"")</f>
        <v/>
      </c>
      <c r="R4516" s="32" t="n">
        <v>5.41</v>
      </c>
      <c r="S4516" s="35" t="n">
        <v>10.84</v>
      </c>
      <c r="T4516" s="18" t="n"/>
      <c r="U4516" s="18" t="n">
        <v>128293.61</v>
      </c>
      <c r="V4516" s="18" t="n"/>
      <c r="W4516" s="18" t="n"/>
      <c r="X4516" s="35" t="n">
        <v>10.84</v>
      </c>
      <c r="Y4516" s="35" t="n"/>
    </row>
    <row r="4517">
      <c r="A4517" s="25" t="n">
        <v>45485</v>
      </c>
      <c r="B4517" s="18" t="n">
        <v>128896.98</v>
      </c>
      <c r="C4517" s="31" t="n"/>
      <c r="D4517" s="32" t="n"/>
      <c r="E4517" s="33" t="n">
        <v>0.8847</v>
      </c>
      <c r="F4517" t="inlineStr">
        <is>
          <t>Up</t>
        </is>
      </c>
      <c r="G4517" t="inlineStr">
        <is>
          <t>Up</t>
        </is>
      </c>
      <c r="H4517" t="inlineStr">
        <is>
          <t>EU_JU</t>
        </is>
      </c>
      <c r="I4517" t="inlineStr">
        <is>
          <t>2024-07</t>
        </is>
      </c>
      <c r="J4517" t="n">
        <v>1</v>
      </c>
      <c r="K4517" t="n">
        <v>1</v>
      </c>
      <c r="L4517" s="34">
        <f>IF($J4517=1,LN(B4518/B4517),"")</f>
        <v/>
      </c>
      <c r="M4517" s="34">
        <f>IF($K4517=1,INDEX(Mensal!$D$2:$D$245,MATCH($I4517,Mensal!$A$2:$A$245,0)),"")</f>
        <v/>
      </c>
      <c r="N4517" s="34">
        <f>IF($K4517=1,L4517-M4517,"")</f>
        <v/>
      </c>
      <c r="O4517" s="34" t="n">
        <v>0.0003927</v>
      </c>
      <c r="P4517" s="34">
        <f>IF($J4517=1,LN(1+O4517),"")</f>
        <v/>
      </c>
      <c r="Q4517" s="34">
        <f>IF($J4517=1,LN(R4518/R4517),"")</f>
        <v/>
      </c>
      <c r="R4517" s="32" t="n">
        <v>5.4529</v>
      </c>
      <c r="S4517" s="35" t="n">
        <v>10.9</v>
      </c>
      <c r="T4517" s="18" t="n"/>
      <c r="U4517" s="18" t="n">
        <v>128896.98</v>
      </c>
      <c r="V4517" s="18" t="n"/>
      <c r="W4517" s="18" t="n"/>
      <c r="X4517" s="35" t="n">
        <v>10.9</v>
      </c>
      <c r="Y4517" s="35" t="n"/>
    </row>
    <row r="4518">
      <c r="A4518" s="25" t="n">
        <v>45488</v>
      </c>
      <c r="B4518" s="18" t="n">
        <v>129320.96</v>
      </c>
      <c r="C4518" s="31" t="n"/>
      <c r="D4518" s="32" t="n"/>
      <c r="E4518" s="33" t="n">
        <v>0.8762</v>
      </c>
      <c r="F4518" t="inlineStr">
        <is>
          <t>Up</t>
        </is>
      </c>
      <c r="G4518" t="inlineStr">
        <is>
          <t>Up</t>
        </is>
      </c>
      <c r="H4518" t="inlineStr">
        <is>
          <t>EU_JU</t>
        </is>
      </c>
      <c r="I4518" t="inlineStr">
        <is>
          <t>2024-07</t>
        </is>
      </c>
      <c r="J4518" t="n">
        <v>1</v>
      </c>
      <c r="K4518" t="n">
        <v>1</v>
      </c>
      <c r="L4518" s="34">
        <f>IF($J4518=1,LN(B4519/B4518),"")</f>
        <v/>
      </c>
      <c r="M4518" s="34">
        <f>IF($K4518=1,INDEX(Mensal!$D$2:$D$245,MATCH($I4518,Mensal!$A$2:$A$245,0)),"")</f>
        <v/>
      </c>
      <c r="N4518" s="34">
        <f>IF($K4518=1,L4518-M4518,"")</f>
        <v/>
      </c>
      <c r="O4518" s="34" t="n">
        <v>0.0003927</v>
      </c>
      <c r="P4518" s="34">
        <f>IF($J4518=1,LN(1+O4518),"")</f>
        <v/>
      </c>
      <c r="Q4518" s="34">
        <f>IF($J4518=1,LN(R4519/R4518),"")</f>
        <v/>
      </c>
      <c r="R4518" s="32" t="n">
        <v>5.4563</v>
      </c>
      <c r="S4518" s="35" t="n">
        <v>10.94</v>
      </c>
      <c r="T4518" s="18" t="n"/>
      <c r="U4518" s="18" t="n">
        <v>129320.96</v>
      </c>
      <c r="V4518" s="18" t="n"/>
      <c r="W4518" s="18" t="n"/>
      <c r="X4518" s="35" t="n">
        <v>10.94</v>
      </c>
      <c r="Y4518" s="35" t="n"/>
    </row>
    <row r="4519">
      <c r="A4519" s="25" t="n">
        <v>45489</v>
      </c>
      <c r="B4519" s="18" t="n">
        <v>129110.38</v>
      </c>
      <c r="C4519" s="31" t="n"/>
      <c r="D4519" s="32" t="n"/>
      <c r="E4519" s="33" t="n">
        <v>0.8713</v>
      </c>
      <c r="F4519" t="inlineStr">
        <is>
          <t>Up</t>
        </is>
      </c>
      <c r="G4519" t="inlineStr">
        <is>
          <t>Up</t>
        </is>
      </c>
      <c r="H4519" t="inlineStr">
        <is>
          <t>EU_JU</t>
        </is>
      </c>
      <c r="I4519" t="inlineStr">
        <is>
          <t>2024-07</t>
        </is>
      </c>
      <c r="J4519" t="n">
        <v>1</v>
      </c>
      <c r="K4519" t="n">
        <v>1</v>
      </c>
      <c r="L4519" s="34">
        <f>IF($J4519=1,LN(B4520/B4519),"")</f>
        <v/>
      </c>
      <c r="M4519" s="34">
        <f>IF($K4519=1,INDEX(Mensal!$D$2:$D$245,MATCH($I4519,Mensal!$A$2:$A$245,0)),"")</f>
        <v/>
      </c>
      <c r="N4519" s="34">
        <f>IF($K4519=1,L4519-M4519,"")</f>
        <v/>
      </c>
      <c r="O4519" s="34" t="n">
        <v>0.0003927</v>
      </c>
      <c r="P4519" s="34">
        <f>IF($J4519=1,LN(1+O4519),"")</f>
        <v/>
      </c>
      <c r="Q4519" s="34">
        <f>IF($J4519=1,LN(R4520/R4519),"")</f>
        <v/>
      </c>
      <c r="R4519" s="32" t="n">
        <v>5.4274</v>
      </c>
      <c r="S4519" s="35" t="n">
        <v>10.88</v>
      </c>
      <c r="T4519" s="18" t="n"/>
      <c r="U4519" s="18" t="n">
        <v>129110.38</v>
      </c>
      <c r="V4519" s="18" t="n"/>
      <c r="W4519" s="18" t="n"/>
      <c r="X4519" s="35" t="n">
        <v>10.88</v>
      </c>
      <c r="Y4519" s="35" t="n"/>
    </row>
    <row r="4520">
      <c r="A4520" s="25" t="n">
        <v>45490</v>
      </c>
      <c r="B4520" s="18" t="n">
        <v>129450.32</v>
      </c>
      <c r="C4520" s="31" t="n"/>
      <c r="D4520" s="32" t="n"/>
      <c r="E4520" s="33" t="n">
        <v>0.8646</v>
      </c>
      <c r="F4520" t="inlineStr">
        <is>
          <t>Up</t>
        </is>
      </c>
      <c r="G4520" t="inlineStr">
        <is>
          <t>Up</t>
        </is>
      </c>
      <c r="H4520" t="inlineStr">
        <is>
          <t>EU_JU</t>
        </is>
      </c>
      <c r="I4520" t="inlineStr">
        <is>
          <t>2024-07</t>
        </is>
      </c>
      <c r="J4520" t="n">
        <v>1</v>
      </c>
      <c r="K4520" t="n">
        <v>1</v>
      </c>
      <c r="L4520" s="34">
        <f>IF($J4520=1,LN(B4521/B4520),"")</f>
        <v/>
      </c>
      <c r="M4520" s="34">
        <f>IF($K4520=1,INDEX(Mensal!$D$2:$D$245,MATCH($I4520,Mensal!$A$2:$A$245,0)),"")</f>
        <v/>
      </c>
      <c r="N4520" s="34">
        <f>IF($K4520=1,L4520-M4520,"")</f>
        <v/>
      </c>
      <c r="O4520" s="34" t="n">
        <v>0.0003927</v>
      </c>
      <c r="P4520" s="34">
        <f>IF($J4520=1,LN(1+O4520),"")</f>
        <v/>
      </c>
      <c r="Q4520" s="34">
        <f>IF($J4520=1,LN(R4521/R4520),"")</f>
        <v/>
      </c>
      <c r="R4520" s="32" t="n">
        <v>5.467</v>
      </c>
      <c r="S4520" s="35" t="n">
        <v>10.95</v>
      </c>
      <c r="T4520" s="18" t="n"/>
      <c r="U4520" s="18" t="n">
        <v>129450.32</v>
      </c>
      <c r="V4520" s="18" t="n"/>
      <c r="W4520" s="18" t="n"/>
      <c r="X4520" s="35" t="n">
        <v>10.95</v>
      </c>
      <c r="Y4520" s="35" t="n"/>
    </row>
    <row r="4521">
      <c r="A4521" s="25" t="n">
        <v>45491</v>
      </c>
      <c r="B4521" s="18" t="n">
        <v>127652.06</v>
      </c>
      <c r="C4521" s="31" t="n"/>
      <c r="D4521" s="32" t="n"/>
      <c r="E4521" s="33" t="n">
        <v>0.8597</v>
      </c>
      <c r="F4521" t="inlineStr">
        <is>
          <t>Up</t>
        </is>
      </c>
      <c r="G4521" t="inlineStr">
        <is>
          <t>Up</t>
        </is>
      </c>
      <c r="H4521" t="inlineStr">
        <is>
          <t>EU_JU</t>
        </is>
      </c>
      <c r="I4521" t="inlineStr">
        <is>
          <t>2024-07</t>
        </is>
      </c>
      <c r="J4521" t="n">
        <v>1</v>
      </c>
      <c r="K4521" t="n">
        <v>1</v>
      </c>
      <c r="L4521" s="34">
        <f>IF($J4521=1,LN(B4522/B4521),"")</f>
        <v/>
      </c>
      <c r="M4521" s="34">
        <f>IF($K4521=1,INDEX(Mensal!$D$2:$D$245,MATCH($I4521,Mensal!$A$2:$A$245,0)),"")</f>
        <v/>
      </c>
      <c r="N4521" s="34">
        <f>IF($K4521=1,L4521-M4521,"")</f>
        <v/>
      </c>
      <c r="O4521" s="34" t="n">
        <v>0.0003927</v>
      </c>
      <c r="P4521" s="34">
        <f>IF($J4521=1,LN(1+O4521),"")</f>
        <v/>
      </c>
      <c r="Q4521" s="34">
        <f>IF($J4521=1,LN(R4522/R4521),"")</f>
        <v/>
      </c>
      <c r="R4521" s="32" t="n">
        <v>5.5426</v>
      </c>
      <c r="S4521" s="35" t="n">
        <v>11.14</v>
      </c>
      <c r="T4521" s="18" t="n"/>
      <c r="U4521" s="18" t="n">
        <v>127652.06</v>
      </c>
      <c r="V4521" s="18" t="n"/>
      <c r="W4521" s="18" t="n"/>
      <c r="X4521" s="35" t="n">
        <v>11.14</v>
      </c>
      <c r="Y4521" s="35" t="n"/>
    </row>
    <row r="4522">
      <c r="A4522" s="25" t="n">
        <v>45492</v>
      </c>
      <c r="B4522" s="18" t="n">
        <v>127616.46</v>
      </c>
      <c r="C4522" s="31" t="n"/>
      <c r="D4522" s="32" t="n"/>
      <c r="E4522" s="33" t="n">
        <v>0.8532999999999999</v>
      </c>
      <c r="F4522" t="inlineStr">
        <is>
          <t>Up</t>
        </is>
      </c>
      <c r="G4522" t="inlineStr">
        <is>
          <t>Up</t>
        </is>
      </c>
      <c r="H4522" t="inlineStr">
        <is>
          <t>EU_JU</t>
        </is>
      </c>
      <c r="I4522" t="inlineStr">
        <is>
          <t>2024-07</t>
        </is>
      </c>
      <c r="J4522" t="n">
        <v>1</v>
      </c>
      <c r="K4522" t="n">
        <v>1</v>
      </c>
      <c r="L4522" s="34">
        <f>IF($J4522=1,LN(B4523/B4522),"")</f>
        <v/>
      </c>
      <c r="M4522" s="34">
        <f>IF($K4522=1,INDEX(Mensal!$D$2:$D$245,MATCH($I4522,Mensal!$A$2:$A$245,0)),"")</f>
        <v/>
      </c>
      <c r="N4522" s="34">
        <f>IF($K4522=1,L4522-M4522,"")</f>
        <v/>
      </c>
      <c r="O4522" s="34" t="n">
        <v>0.0003927</v>
      </c>
      <c r="P4522" s="34">
        <f>IF($J4522=1,LN(1+O4522),"")</f>
        <v/>
      </c>
      <c r="Q4522" s="34">
        <f>IF($J4522=1,LN(R4523/R4522),"")</f>
        <v/>
      </c>
      <c r="R4522" s="32" t="n">
        <v>5.5543</v>
      </c>
      <c r="S4522" s="35" t="n">
        <v>11.17</v>
      </c>
      <c r="T4522" s="18" t="n"/>
      <c r="U4522" s="18" t="n">
        <v>127616.46</v>
      </c>
      <c r="V4522" s="18" t="n"/>
      <c r="W4522" s="18" t="n"/>
      <c r="X4522" s="35" t="n">
        <v>11.17</v>
      </c>
      <c r="Y4522" s="35" t="n"/>
    </row>
    <row r="4523">
      <c r="A4523" s="25" t="n">
        <v>45495</v>
      </c>
      <c r="B4523" s="18" t="n">
        <v>127859.63</v>
      </c>
      <c r="C4523" s="31" t="n"/>
      <c r="D4523" s="32" t="n"/>
      <c r="E4523" s="33" t="n">
        <v>0.8613</v>
      </c>
      <c r="F4523" t="inlineStr">
        <is>
          <t>Up</t>
        </is>
      </c>
      <c r="G4523" t="inlineStr">
        <is>
          <t>Up</t>
        </is>
      </c>
      <c r="H4523" t="inlineStr">
        <is>
          <t>EU_JU</t>
        </is>
      </c>
      <c r="I4523" t="inlineStr">
        <is>
          <t>2024-07</t>
        </is>
      </c>
      <c r="J4523" t="n">
        <v>1</v>
      </c>
      <c r="K4523" t="n">
        <v>1</v>
      </c>
      <c r="L4523" s="34">
        <f>IF($J4523=1,LN(B4524/B4523),"")</f>
        <v/>
      </c>
      <c r="M4523" s="34">
        <f>IF($K4523=1,INDEX(Mensal!$D$2:$D$245,MATCH($I4523,Mensal!$A$2:$A$245,0)),"")</f>
        <v/>
      </c>
      <c r="N4523" s="34">
        <f>IF($K4523=1,L4523-M4523,"")</f>
        <v/>
      </c>
      <c r="O4523" s="34" t="n">
        <v>0.0003927</v>
      </c>
      <c r="P4523" s="34">
        <f>IF($J4523=1,LN(1+O4523),"")</f>
        <v/>
      </c>
      <c r="Q4523" s="34">
        <f>IF($J4523=1,LN(R4524/R4523),"")</f>
        <v/>
      </c>
      <c r="R4523" s="32" t="n">
        <v>5.5598</v>
      </c>
      <c r="S4523" s="35" t="n">
        <v>11.14</v>
      </c>
      <c r="T4523" s="18" t="n"/>
      <c r="U4523" s="18" t="n">
        <v>127859.63</v>
      </c>
      <c r="V4523" s="18" t="n"/>
      <c r="W4523" s="18" t="n"/>
      <c r="X4523" s="35" t="n">
        <v>11.14</v>
      </c>
      <c r="Y4523" s="35" t="n"/>
    </row>
    <row r="4524">
      <c r="A4524" s="25" t="n">
        <v>45496</v>
      </c>
      <c r="B4524" s="18" t="n">
        <v>126589.84</v>
      </c>
      <c r="C4524" s="31" t="n"/>
      <c r="D4524" s="32" t="n"/>
      <c r="E4524" s="33" t="n">
        <v>0.8678</v>
      </c>
      <c r="F4524" t="inlineStr">
        <is>
          <t>Up</t>
        </is>
      </c>
      <c r="G4524" t="inlineStr">
        <is>
          <t>Up</t>
        </is>
      </c>
      <c r="H4524" t="inlineStr">
        <is>
          <t>EU_JU</t>
        </is>
      </c>
      <c r="I4524" t="inlineStr">
        <is>
          <t>2024-07</t>
        </is>
      </c>
      <c r="J4524" t="n">
        <v>1</v>
      </c>
      <c r="K4524" t="n">
        <v>1</v>
      </c>
      <c r="L4524" s="34">
        <f>IF($J4524=1,LN(B4525/B4524),"")</f>
        <v/>
      </c>
      <c r="M4524" s="34">
        <f>IF($K4524=1,INDEX(Mensal!$D$2:$D$245,MATCH($I4524,Mensal!$A$2:$A$245,0)),"")</f>
        <v/>
      </c>
      <c r="N4524" s="34">
        <f>IF($K4524=1,L4524-M4524,"")</f>
        <v/>
      </c>
      <c r="O4524" s="34" t="n">
        <v>0.0003927</v>
      </c>
      <c r="P4524" s="34">
        <f>IF($J4524=1,LN(1+O4524),"")</f>
        <v/>
      </c>
      <c r="Q4524" s="34">
        <f>IF($J4524=1,LN(R4525/R4524),"")</f>
        <v/>
      </c>
      <c r="R4524" s="32" t="n">
        <v>5.5807</v>
      </c>
      <c r="S4524" s="35" t="n">
        <v>11.24</v>
      </c>
      <c r="T4524" s="18" t="n"/>
      <c r="U4524" s="18" t="n">
        <v>126589.84</v>
      </c>
      <c r="V4524" s="18" t="n"/>
      <c r="W4524" s="18" t="n"/>
      <c r="X4524" s="35" t="n">
        <v>11.24</v>
      </c>
      <c r="Y4524" s="35" t="n"/>
    </row>
    <row r="4525">
      <c r="A4525" s="25" t="n">
        <v>45497</v>
      </c>
      <c r="B4525" s="18" t="n">
        <v>126422.73</v>
      </c>
      <c r="C4525" s="31" t="n"/>
      <c r="D4525" s="32" t="n"/>
      <c r="E4525" s="33" t="n">
        <v>0.8706</v>
      </c>
      <c r="F4525" t="inlineStr">
        <is>
          <t>Up</t>
        </is>
      </c>
      <c r="G4525" t="inlineStr">
        <is>
          <t>Up</t>
        </is>
      </c>
      <c r="H4525" t="inlineStr">
        <is>
          <t>EU_JU</t>
        </is>
      </c>
      <c r="I4525" t="inlineStr">
        <is>
          <t>2024-07</t>
        </is>
      </c>
      <c r="J4525" t="n">
        <v>1</v>
      </c>
      <c r="K4525" t="n">
        <v>1</v>
      </c>
      <c r="L4525" s="34">
        <f>IF($J4525=1,LN(B4526/B4525),"")</f>
        <v/>
      </c>
      <c r="M4525" s="34">
        <f>IF($K4525=1,INDEX(Mensal!$D$2:$D$245,MATCH($I4525,Mensal!$A$2:$A$245,0)),"")</f>
        <v/>
      </c>
      <c r="N4525" s="34">
        <f>IF($K4525=1,L4525-M4525,"")</f>
        <v/>
      </c>
      <c r="O4525" s="34" t="n">
        <v>0.0003927</v>
      </c>
      <c r="P4525" s="34">
        <f>IF($J4525=1,LN(1+O4525),"")</f>
        <v/>
      </c>
      <c r="Q4525" s="34">
        <f>IF($J4525=1,LN(R4526/R4525),"")</f>
        <v/>
      </c>
      <c r="R4525" s="32" t="n">
        <v>5.6346</v>
      </c>
      <c r="S4525" s="35" t="n">
        <v>11.31</v>
      </c>
      <c r="T4525" s="18" t="n"/>
      <c r="U4525" s="18" t="n">
        <v>126422.73</v>
      </c>
      <c r="V4525" s="18" t="n"/>
      <c r="W4525" s="18" t="n"/>
      <c r="X4525" s="35" t="n">
        <v>11.31</v>
      </c>
      <c r="Y4525" s="35" t="n"/>
    </row>
    <row r="4526">
      <c r="A4526" s="25" t="n">
        <v>45498</v>
      </c>
      <c r="B4526" s="18" t="n">
        <v>125954.09</v>
      </c>
      <c r="C4526" s="31" t="n"/>
      <c r="D4526" s="32" t="n"/>
      <c r="E4526" s="33" t="n">
        <v>0.8696</v>
      </c>
      <c r="F4526" t="inlineStr">
        <is>
          <t>Up</t>
        </is>
      </c>
      <c r="G4526" t="inlineStr">
        <is>
          <t>Up</t>
        </is>
      </c>
      <c r="H4526" t="inlineStr">
        <is>
          <t>EU_JU</t>
        </is>
      </c>
      <c r="I4526" t="inlineStr">
        <is>
          <t>2024-07</t>
        </is>
      </c>
      <c r="J4526" t="n">
        <v>1</v>
      </c>
      <c r="K4526" t="n">
        <v>1</v>
      </c>
      <c r="L4526" s="34">
        <f>IF($J4526=1,LN(B4527/B4526),"")</f>
        <v/>
      </c>
      <c r="M4526" s="34">
        <f>IF($K4526=1,INDEX(Mensal!$D$2:$D$245,MATCH($I4526,Mensal!$A$2:$A$245,0)),"")</f>
        <v/>
      </c>
      <c r="N4526" s="34">
        <f>IF($K4526=1,L4526-M4526,"")</f>
        <v/>
      </c>
      <c r="O4526" s="34" t="n">
        <v>0.0003927</v>
      </c>
      <c r="P4526" s="34">
        <f>IF($J4526=1,LN(1+O4526),"")</f>
        <v/>
      </c>
      <c r="Q4526" s="34">
        <f>IF($J4526=1,LN(R4527/R4526),"")</f>
        <v/>
      </c>
      <c r="R4526" s="32" t="n">
        <v>5.6402</v>
      </c>
      <c r="S4526" s="35" t="n">
        <v>11.47</v>
      </c>
      <c r="T4526" s="18" t="n"/>
      <c r="U4526" s="18" t="n">
        <v>125954.09</v>
      </c>
      <c r="V4526" s="18" t="n"/>
      <c r="W4526" s="18" t="n"/>
      <c r="X4526" s="35" t="n">
        <v>11.47</v>
      </c>
      <c r="Y4526" s="35" t="n"/>
    </row>
    <row r="4527">
      <c r="A4527" s="25" t="n">
        <v>45499</v>
      </c>
      <c r="B4527" s="18" t="n">
        <v>127492.49</v>
      </c>
      <c r="C4527" s="31" t="n"/>
      <c r="D4527" s="32" t="n"/>
      <c r="E4527" s="33" t="n">
        <v>0.875</v>
      </c>
      <c r="F4527" t="inlineStr">
        <is>
          <t>Up</t>
        </is>
      </c>
      <c r="G4527" t="inlineStr">
        <is>
          <t>Up</t>
        </is>
      </c>
      <c r="H4527" t="inlineStr">
        <is>
          <t>EU_JU</t>
        </is>
      </c>
      <c r="I4527" t="inlineStr">
        <is>
          <t>2024-07</t>
        </is>
      </c>
      <c r="J4527" t="n">
        <v>1</v>
      </c>
      <c r="K4527" t="n">
        <v>1</v>
      </c>
      <c r="L4527" s="34">
        <f>IF($J4527=1,LN(B4528/B4527),"")</f>
        <v/>
      </c>
      <c r="M4527" s="34">
        <f>IF($K4527=1,INDEX(Mensal!$D$2:$D$245,MATCH($I4527,Mensal!$A$2:$A$245,0)),"")</f>
        <v/>
      </c>
      <c r="N4527" s="34">
        <f>IF($K4527=1,L4527-M4527,"")</f>
        <v/>
      </c>
      <c r="O4527" s="34" t="n">
        <v>0.0003927</v>
      </c>
      <c r="P4527" s="34">
        <f>IF($J4527=1,LN(1+O4527),"")</f>
        <v/>
      </c>
      <c r="Q4527" s="34">
        <f>IF($J4527=1,LN(R4528/R4527),"")</f>
        <v/>
      </c>
      <c r="R4527" s="32" t="n">
        <v>5.6465</v>
      </c>
      <c r="S4527" s="35" t="n">
        <v>11.43</v>
      </c>
      <c r="T4527" s="18" t="n"/>
      <c r="U4527" s="18" t="n">
        <v>127492.49</v>
      </c>
      <c r="V4527" s="18" t="n"/>
      <c r="W4527" s="18" t="n"/>
      <c r="X4527" s="35" t="n">
        <v>11.43</v>
      </c>
      <c r="Y4527" s="35" t="n"/>
    </row>
    <row r="4528">
      <c r="A4528" s="25" t="n">
        <v>45502</v>
      </c>
      <c r="B4528" s="18" t="n">
        <v>126953.86</v>
      </c>
      <c r="C4528" s="31" t="n"/>
      <c r="D4528" s="32" t="n"/>
      <c r="E4528" s="33" t="n">
        <v>0.8822</v>
      </c>
      <c r="F4528" t="inlineStr">
        <is>
          <t>Up</t>
        </is>
      </c>
      <c r="G4528" t="inlineStr">
        <is>
          <t>Up</t>
        </is>
      </c>
      <c r="H4528" t="inlineStr">
        <is>
          <t>EU_JU</t>
        </is>
      </c>
      <c r="I4528" t="inlineStr">
        <is>
          <t>2024-07</t>
        </is>
      </c>
      <c r="J4528" t="n">
        <v>1</v>
      </c>
      <c r="K4528" t="n">
        <v>1</v>
      </c>
      <c r="L4528" s="34">
        <f>IF($J4528=1,LN(B4529/B4528),"")</f>
        <v/>
      </c>
      <c r="M4528" s="34">
        <f>IF($K4528=1,INDEX(Mensal!$D$2:$D$245,MATCH($I4528,Mensal!$A$2:$A$245,0)),"")</f>
        <v/>
      </c>
      <c r="N4528" s="34">
        <f>IF($K4528=1,L4528-M4528,"")</f>
        <v/>
      </c>
      <c r="O4528" s="34" t="n">
        <v>0.0003927</v>
      </c>
      <c r="P4528" s="34">
        <f>IF($J4528=1,LN(1+O4528),"")</f>
        <v/>
      </c>
      <c r="Q4528" s="34">
        <f>IF($J4528=1,LN(R4529/R4528),"")</f>
        <v/>
      </c>
      <c r="R4528" s="32" t="n">
        <v>5.6479</v>
      </c>
      <c r="S4528" s="35" t="n">
        <v>11.44</v>
      </c>
      <c r="T4528" s="18" t="n"/>
      <c r="U4528" s="18" t="n">
        <v>126953.86</v>
      </c>
      <c r="V4528" s="18" t="n"/>
      <c r="W4528" s="18" t="n"/>
      <c r="X4528" s="35" t="n">
        <v>11.44</v>
      </c>
      <c r="Y4528" s="35" t="n"/>
    </row>
    <row r="4529">
      <c r="A4529" s="25" t="n">
        <v>45503</v>
      </c>
      <c r="B4529" s="18" t="n">
        <v>126139.21</v>
      </c>
      <c r="C4529" s="31" t="n"/>
      <c r="D4529" s="32" t="n"/>
      <c r="E4529" s="33" t="n">
        <v>0.8911</v>
      </c>
      <c r="F4529" t="inlineStr">
        <is>
          <t>Up</t>
        </is>
      </c>
      <c r="G4529" t="inlineStr">
        <is>
          <t>Up</t>
        </is>
      </c>
      <c r="H4529" t="inlineStr">
        <is>
          <t>EU_JU</t>
        </is>
      </c>
      <c r="I4529" t="inlineStr">
        <is>
          <t>2024-07</t>
        </is>
      </c>
      <c r="J4529" t="n">
        <v>1</v>
      </c>
      <c r="K4529" t="n">
        <v>1</v>
      </c>
      <c r="L4529" s="34">
        <f>IF($J4529=1,LN(B4530/B4529),"")</f>
        <v/>
      </c>
      <c r="M4529" s="34">
        <f>IF($K4529=1,INDEX(Mensal!$D$2:$D$245,MATCH($I4529,Mensal!$A$2:$A$245,0)),"")</f>
        <v/>
      </c>
      <c r="N4529" s="34">
        <f>IF($K4529=1,L4529-M4529,"")</f>
        <v/>
      </c>
      <c r="O4529" s="34" t="n">
        <v>0.0003927</v>
      </c>
      <c r="P4529" s="34">
        <f>IF($J4529=1,LN(1+O4529),"")</f>
        <v/>
      </c>
      <c r="Q4529" s="34">
        <f>IF($J4529=1,LN(R4530/R4529),"")</f>
        <v/>
      </c>
      <c r="R4529" s="32" t="n">
        <v>5.6532</v>
      </c>
      <c r="S4529" s="35" t="n">
        <v>11.4</v>
      </c>
      <c r="T4529" s="18" t="n"/>
      <c r="U4529" s="18" t="n">
        <v>126139.21</v>
      </c>
      <c r="V4529" s="18" t="n"/>
      <c r="W4529" s="18" t="n"/>
      <c r="X4529" s="35" t="n">
        <v>11.4</v>
      </c>
      <c r="Y4529" s="35" t="n"/>
    </row>
    <row r="4530">
      <c r="A4530" s="25" t="n">
        <v>45504</v>
      </c>
      <c r="B4530" s="18" t="n">
        <v>127651.81</v>
      </c>
      <c r="C4530" s="31" t="n"/>
      <c r="D4530" s="32" t="n"/>
      <c r="E4530" s="33" t="n">
        <v>0.8975</v>
      </c>
      <c r="F4530" t="inlineStr">
        <is>
          <t>Up</t>
        </is>
      </c>
      <c r="G4530" t="inlineStr">
        <is>
          <t>Up</t>
        </is>
      </c>
      <c r="H4530" t="inlineStr">
        <is>
          <t>EU_JU</t>
        </is>
      </c>
      <c r="I4530" t="inlineStr">
        <is>
          <t>2024-07</t>
        </is>
      </c>
      <c r="J4530" t="n">
        <v>1</v>
      </c>
      <c r="K4530" t="n">
        <v>1</v>
      </c>
      <c r="L4530" s="34">
        <f>IF($J4530=1,LN(B4531/B4530),"")</f>
        <v/>
      </c>
      <c r="M4530" s="34">
        <f>IF($K4530=1,INDEX(Mensal!$D$2:$D$245,MATCH($I4530,Mensal!$A$2:$A$245,0)),"")</f>
        <v/>
      </c>
      <c r="N4530" s="34">
        <f>IF($K4530=1,L4530-M4530,"")</f>
        <v/>
      </c>
      <c r="O4530" s="34" t="n">
        <v>0.0003927</v>
      </c>
      <c r="P4530" s="34">
        <f>IF($J4530=1,LN(1+O4530),"")</f>
        <v/>
      </c>
      <c r="Q4530" s="34">
        <f>IF($J4530=1,LN(R4531/R4530),"")</f>
        <v/>
      </c>
      <c r="R4530" s="32" t="n">
        <v>5.6621</v>
      </c>
      <c r="S4530" s="35" t="n">
        <v>11.38</v>
      </c>
      <c r="T4530" s="18" t="n"/>
      <c r="U4530" s="18" t="n">
        <v>127651.81</v>
      </c>
      <c r="V4530" s="18" t="n"/>
      <c r="W4530" s="18" t="n"/>
      <c r="X4530" s="35" t="n">
        <v>11.38</v>
      </c>
      <c r="Y4530" s="35" t="n"/>
    </row>
    <row r="4531">
      <c r="A4531" s="25" t="n">
        <v>45505</v>
      </c>
      <c r="B4531" s="18" t="n">
        <v>127395.1</v>
      </c>
      <c r="C4531" s="31" t="n"/>
      <c r="D4531" s="32" t="n"/>
      <c r="E4531" s="33" t="n">
        <v>0.9111</v>
      </c>
      <c r="F4531" t="inlineStr">
        <is>
          <t>Up</t>
        </is>
      </c>
      <c r="G4531" t="inlineStr">
        <is>
          <t>Up</t>
        </is>
      </c>
      <c r="H4531" t="inlineStr">
        <is>
          <t>EU_JU</t>
        </is>
      </c>
      <c r="I4531" t="inlineStr">
        <is>
          <t>2024-08</t>
        </is>
      </c>
      <c r="J4531" t="n">
        <v>1</v>
      </c>
      <c r="K4531" t="n">
        <v>1</v>
      </c>
      <c r="L4531" s="34">
        <f>IF($J4531=1,LN(B4532/B4531),"")</f>
        <v/>
      </c>
      <c r="M4531" s="34">
        <f>IF($K4531=1,INDEX(Mensal!$D$2:$D$245,MATCH($I4531,Mensal!$A$2:$A$245,0)),"")</f>
        <v/>
      </c>
      <c r="N4531" s="34">
        <f>IF($K4531=1,L4531-M4531,"")</f>
        <v/>
      </c>
      <c r="O4531" s="34" t="n">
        <v>0.0003927</v>
      </c>
      <c r="P4531" s="34">
        <f>IF($J4531=1,LN(1+O4531),"")</f>
        <v/>
      </c>
      <c r="Q4531" s="34">
        <f>IF($J4531=1,LN(R4532/R4531),"")</f>
        <v/>
      </c>
      <c r="R4531" s="32" t="n">
        <v>5.6681</v>
      </c>
      <c r="S4531" s="35" t="n">
        <v>11.32</v>
      </c>
      <c r="T4531" s="18" t="n"/>
      <c r="U4531" s="18" t="n">
        <v>127395.1</v>
      </c>
      <c r="V4531" s="18" t="n"/>
      <c r="W4531" s="18" t="n"/>
      <c r="X4531" s="35" t="n">
        <v>11.32</v>
      </c>
      <c r="Y4531" s="35" t="n"/>
    </row>
    <row r="4532">
      <c r="A4532" s="25" t="n">
        <v>45506</v>
      </c>
      <c r="B4532" s="18" t="n">
        <v>125854.09</v>
      </c>
      <c r="C4532" s="31" t="n"/>
      <c r="D4532" s="32" t="n"/>
      <c r="E4532" s="33" t="n">
        <v>0.9248</v>
      </c>
      <c r="F4532" t="inlineStr">
        <is>
          <t>Up</t>
        </is>
      </c>
      <c r="G4532" t="inlineStr">
        <is>
          <t>Up</t>
        </is>
      </c>
      <c r="H4532" t="inlineStr">
        <is>
          <t>EU_JU</t>
        </is>
      </c>
      <c r="I4532" t="inlineStr">
        <is>
          <t>2024-08</t>
        </is>
      </c>
      <c r="J4532" t="n">
        <v>1</v>
      </c>
      <c r="K4532" t="n">
        <v>1</v>
      </c>
      <c r="L4532" s="34">
        <f>IF($J4532=1,LN(B4533/B4532),"")</f>
        <v/>
      </c>
      <c r="M4532" s="34">
        <f>IF($K4532=1,INDEX(Mensal!$D$2:$D$245,MATCH($I4532,Mensal!$A$2:$A$245,0)),"")</f>
        <v/>
      </c>
      <c r="N4532" s="34">
        <f>IF($K4532=1,L4532-M4532,"")</f>
        <v/>
      </c>
      <c r="O4532" s="34" t="n">
        <v>0.0003927</v>
      </c>
      <c r="P4532" s="34">
        <f>IF($J4532=1,LN(1+O4532),"")</f>
        <v/>
      </c>
      <c r="Q4532" s="34">
        <f>IF($J4532=1,LN(R4533/R4532),"")</f>
        <v/>
      </c>
      <c r="R4532" s="32" t="n">
        <v>5.7366</v>
      </c>
      <c r="S4532" s="35" t="n">
        <v>11.05</v>
      </c>
      <c r="T4532" s="18" t="n"/>
      <c r="U4532" s="18" t="n">
        <v>125854.09</v>
      </c>
      <c r="V4532" s="18" t="n"/>
      <c r="W4532" s="18" t="n"/>
      <c r="X4532" s="35" t="n">
        <v>11.05</v>
      </c>
      <c r="Y4532" s="35" t="n"/>
    </row>
    <row r="4533">
      <c r="A4533" s="25" t="n">
        <v>45509</v>
      </c>
      <c r="B4533" s="18" t="n">
        <v>125269.54</v>
      </c>
      <c r="C4533" s="31" t="n"/>
      <c r="D4533" s="32" t="n"/>
      <c r="E4533" s="33" t="n">
        <v>0.9423</v>
      </c>
      <c r="F4533" t="inlineStr">
        <is>
          <t>Up</t>
        </is>
      </c>
      <c r="G4533" t="inlineStr">
        <is>
          <t>Up</t>
        </is>
      </c>
      <c r="H4533" t="inlineStr">
        <is>
          <t>EU_JU</t>
        </is>
      </c>
      <c r="I4533" t="inlineStr">
        <is>
          <t>2024-08</t>
        </is>
      </c>
      <c r="J4533" t="n">
        <v>1</v>
      </c>
      <c r="K4533" t="n">
        <v>1</v>
      </c>
      <c r="L4533" s="34">
        <f>IF($J4533=1,LN(B4534/B4533),"")</f>
        <v/>
      </c>
      <c r="M4533" s="34">
        <f>IF($K4533=1,INDEX(Mensal!$D$2:$D$245,MATCH($I4533,Mensal!$A$2:$A$245,0)),"")</f>
        <v/>
      </c>
      <c r="N4533" s="34">
        <f>IF($K4533=1,L4533-M4533,"")</f>
        <v/>
      </c>
      <c r="O4533" s="34" t="n">
        <v>0.0003927</v>
      </c>
      <c r="P4533" s="34">
        <f>IF($J4533=1,LN(1+O4533),"")</f>
        <v/>
      </c>
      <c r="Q4533" s="34">
        <f>IF($J4533=1,LN(R4534/R4533),"")</f>
        <v/>
      </c>
      <c r="R4533" s="32" t="n">
        <v>5.7646</v>
      </c>
      <c r="S4533" s="35" t="n">
        <v>11.02</v>
      </c>
      <c r="T4533" s="18" t="n"/>
      <c r="U4533" s="18" t="n">
        <v>125269.54</v>
      </c>
      <c r="V4533" s="18" t="n"/>
      <c r="W4533" s="18" t="n"/>
      <c r="X4533" s="35" t="n">
        <v>11.02</v>
      </c>
      <c r="Y4533" s="35" t="n"/>
    </row>
    <row r="4534">
      <c r="A4534" s="25" t="n">
        <v>45510</v>
      </c>
      <c r="B4534" s="18" t="n">
        <v>126266.7</v>
      </c>
      <c r="C4534" s="31" t="n"/>
      <c r="D4534" s="32" t="n"/>
      <c r="E4534" s="33" t="n">
        <v>0.9543</v>
      </c>
      <c r="F4534" t="inlineStr">
        <is>
          <t>Up</t>
        </is>
      </c>
      <c r="G4534" t="inlineStr">
        <is>
          <t>Up</t>
        </is>
      </c>
      <c r="H4534" t="inlineStr">
        <is>
          <t>EU_JU</t>
        </is>
      </c>
      <c r="I4534" t="inlineStr">
        <is>
          <t>2024-08</t>
        </is>
      </c>
      <c r="J4534" t="n">
        <v>1</v>
      </c>
      <c r="K4534" t="n">
        <v>1</v>
      </c>
      <c r="L4534" s="34">
        <f>IF($J4534=1,LN(B4535/B4534),"")</f>
        <v/>
      </c>
      <c r="M4534" s="34">
        <f>IF($K4534=1,INDEX(Mensal!$D$2:$D$245,MATCH($I4534,Mensal!$A$2:$A$245,0)),"")</f>
        <v/>
      </c>
      <c r="N4534" s="34">
        <f>IF($K4534=1,L4534-M4534,"")</f>
        <v/>
      </c>
      <c r="O4534" s="34" t="n">
        <v>0.0003927</v>
      </c>
      <c r="P4534" s="34">
        <f>IF($J4534=1,LN(1+O4534),"")</f>
        <v/>
      </c>
      <c r="Q4534" s="34">
        <f>IF($J4534=1,LN(R4535/R4534),"")</f>
        <v/>
      </c>
      <c r="R4534" s="32" t="n">
        <v>5.6528</v>
      </c>
      <c r="S4534" s="35" t="n">
        <v>11.34</v>
      </c>
      <c r="T4534" s="18" t="n"/>
      <c r="U4534" s="18" t="n">
        <v>126266.7</v>
      </c>
      <c r="V4534" s="18" t="n"/>
      <c r="W4534" s="18" t="n"/>
      <c r="X4534" s="35" t="n">
        <v>11.34</v>
      </c>
      <c r="Y4534" s="35" t="n"/>
    </row>
    <row r="4535">
      <c r="A4535" s="25" t="n">
        <v>45511</v>
      </c>
      <c r="B4535" s="18" t="n">
        <v>127513.88</v>
      </c>
      <c r="C4535" s="31" t="n"/>
      <c r="D4535" s="32" t="n"/>
      <c r="E4535" s="33" t="n">
        <v>0.9698</v>
      </c>
      <c r="F4535" t="inlineStr">
        <is>
          <t>Up</t>
        </is>
      </c>
      <c r="G4535" t="inlineStr">
        <is>
          <t>Up</t>
        </is>
      </c>
      <c r="H4535" t="inlineStr">
        <is>
          <t>EU_JU</t>
        </is>
      </c>
      <c r="I4535" t="inlineStr">
        <is>
          <t>2024-08</t>
        </is>
      </c>
      <c r="J4535" t="n">
        <v>1</v>
      </c>
      <c r="K4535" t="n">
        <v>1</v>
      </c>
      <c r="L4535" s="34">
        <f>IF($J4535=1,LN(B4536/B4535),"")</f>
        <v/>
      </c>
      <c r="M4535" s="34">
        <f>IF($K4535=1,INDEX(Mensal!$D$2:$D$245,MATCH($I4535,Mensal!$A$2:$A$245,0)),"")</f>
        <v/>
      </c>
      <c r="N4535" s="34">
        <f>IF($K4535=1,L4535-M4535,"")</f>
        <v/>
      </c>
      <c r="O4535" s="34" t="n">
        <v>0.0003927</v>
      </c>
      <c r="P4535" s="34">
        <f>IF($J4535=1,LN(1+O4535),"")</f>
        <v/>
      </c>
      <c r="Q4535" s="34">
        <f>IF($J4535=1,LN(R4536/R4535),"")</f>
        <v/>
      </c>
      <c r="R4535" s="32" t="n">
        <v>5.6093</v>
      </c>
      <c r="S4535" s="35" t="n">
        <v>11.3</v>
      </c>
      <c r="T4535" s="18" t="n"/>
      <c r="U4535" s="18" t="n">
        <v>127513.88</v>
      </c>
      <c r="V4535" s="18" t="n"/>
      <c r="W4535" s="18" t="n"/>
      <c r="X4535" s="35" t="n">
        <v>11.3</v>
      </c>
      <c r="Y4535" s="35" t="n"/>
    </row>
    <row r="4536">
      <c r="A4536" s="25" t="n">
        <v>45512</v>
      </c>
      <c r="B4536" s="18" t="n">
        <v>128660.88</v>
      </c>
      <c r="C4536" s="31" t="n"/>
      <c r="D4536" s="32" t="n"/>
      <c r="E4536" s="33" t="n">
        <v>0.9714</v>
      </c>
      <c r="F4536" t="inlineStr">
        <is>
          <t>Up</t>
        </is>
      </c>
      <c r="G4536" t="inlineStr">
        <is>
          <t>Up</t>
        </is>
      </c>
      <c r="H4536" t="inlineStr">
        <is>
          <t>EU_JU</t>
        </is>
      </c>
      <c r="I4536" t="inlineStr">
        <is>
          <t>2024-08</t>
        </is>
      </c>
      <c r="J4536" t="n">
        <v>1</v>
      </c>
      <c r="K4536" t="n">
        <v>1</v>
      </c>
      <c r="L4536" s="34">
        <f>IF($J4536=1,LN(B4537/B4536),"")</f>
        <v/>
      </c>
      <c r="M4536" s="34">
        <f>IF($K4536=1,INDEX(Mensal!$D$2:$D$245,MATCH($I4536,Mensal!$A$2:$A$245,0)),"")</f>
        <v/>
      </c>
      <c r="N4536" s="34">
        <f>IF($K4536=1,L4536-M4536,"")</f>
        <v/>
      </c>
      <c r="O4536" s="34" t="n">
        <v>0.0003927</v>
      </c>
      <c r="P4536" s="34">
        <f>IF($J4536=1,LN(1+O4536),"")</f>
        <v/>
      </c>
      <c r="Q4536" s="34">
        <f>IF($J4536=1,LN(R4537/R4536),"")</f>
        <v/>
      </c>
      <c r="R4536" s="32" t="n">
        <v>5.6172</v>
      </c>
      <c r="S4536" s="35" t="n">
        <v>11.35</v>
      </c>
      <c r="T4536" s="18" t="n"/>
      <c r="U4536" s="18" t="n">
        <v>128660.88</v>
      </c>
      <c r="V4536" s="18" t="n"/>
      <c r="W4536" s="18" t="n"/>
      <c r="X4536" s="35" t="n">
        <v>11.35</v>
      </c>
      <c r="Y4536" s="35" t="n"/>
    </row>
    <row r="4537">
      <c r="A4537" s="25" t="n">
        <v>45513</v>
      </c>
      <c r="B4537" s="18" t="n">
        <v>130614.59</v>
      </c>
      <c r="C4537" s="31" t="n"/>
      <c r="D4537" s="32" t="n"/>
      <c r="E4537" s="33" t="n">
        <v>0.973</v>
      </c>
      <c r="F4537" t="inlineStr">
        <is>
          <t>Up</t>
        </is>
      </c>
      <c r="G4537" t="inlineStr">
        <is>
          <t>Up</t>
        </is>
      </c>
      <c r="H4537" t="inlineStr">
        <is>
          <t>EU_JU</t>
        </is>
      </c>
      <c r="I4537" t="inlineStr">
        <is>
          <t>2024-08</t>
        </is>
      </c>
      <c r="J4537" t="n">
        <v>1</v>
      </c>
      <c r="K4537" t="n">
        <v>1</v>
      </c>
      <c r="L4537" s="34">
        <f>IF($J4537=1,LN(B4538/B4537),"")</f>
        <v/>
      </c>
      <c r="M4537" s="34">
        <f>IF($K4537=1,INDEX(Mensal!$D$2:$D$245,MATCH($I4537,Mensal!$A$2:$A$245,0)),"")</f>
        <v/>
      </c>
      <c r="N4537" s="34">
        <f>IF($K4537=1,L4537-M4537,"")</f>
        <v/>
      </c>
      <c r="O4537" s="34" t="n">
        <v>0.0003927</v>
      </c>
      <c r="P4537" s="34">
        <f>IF($J4537=1,LN(1+O4537),"")</f>
        <v/>
      </c>
      <c r="Q4537" s="34">
        <f>IF($J4537=1,LN(R4538/R4537),"")</f>
        <v/>
      </c>
      <c r="R4537" s="32" t="n">
        <v>5.5115</v>
      </c>
      <c r="S4537" s="35" t="n">
        <v>11.37</v>
      </c>
      <c r="T4537" s="18" t="n"/>
      <c r="U4537" s="18" t="n">
        <v>130614.59</v>
      </c>
      <c r="V4537" s="18" t="n"/>
      <c r="W4537" s="18" t="n"/>
      <c r="X4537" s="35" t="n">
        <v>11.37</v>
      </c>
      <c r="Y4537" s="35" t="n"/>
    </row>
    <row r="4538">
      <c r="A4538" s="25" t="n">
        <v>45516</v>
      </c>
      <c r="B4538" s="18" t="n">
        <v>131115.9</v>
      </c>
      <c r="C4538" s="31" t="n"/>
      <c r="D4538" s="32" t="n"/>
      <c r="E4538" s="33" t="n">
        <v>0.9701</v>
      </c>
      <c r="F4538" t="inlineStr">
        <is>
          <t>Up</t>
        </is>
      </c>
      <c r="G4538" t="inlineStr">
        <is>
          <t>Up</t>
        </is>
      </c>
      <c r="H4538" t="inlineStr">
        <is>
          <t>EU_JU</t>
        </is>
      </c>
      <c r="I4538" t="inlineStr">
        <is>
          <t>2024-08</t>
        </is>
      </c>
      <c r="J4538" t="n">
        <v>1</v>
      </c>
      <c r="K4538" t="n">
        <v>1</v>
      </c>
      <c r="L4538" s="34">
        <f>IF($J4538=1,LN(B4539/B4538),"")</f>
        <v/>
      </c>
      <c r="M4538" s="34">
        <f>IF($K4538=1,INDEX(Mensal!$D$2:$D$245,MATCH($I4538,Mensal!$A$2:$A$245,0)),"")</f>
        <v/>
      </c>
      <c r="N4538" s="34">
        <f>IF($K4538=1,L4538-M4538,"")</f>
        <v/>
      </c>
      <c r="O4538" s="34" t="n">
        <v>0.0003927</v>
      </c>
      <c r="P4538" s="34">
        <f>IF($J4538=1,LN(1+O4538),"")</f>
        <v/>
      </c>
      <c r="Q4538" s="34">
        <f>IF($J4538=1,LN(R4539/R4538),"")</f>
        <v/>
      </c>
      <c r="R4538" s="32" t="n">
        <v>5.4911</v>
      </c>
      <c r="S4538" s="35" t="n">
        <v>11.4</v>
      </c>
      <c r="T4538" s="18" t="n"/>
      <c r="U4538" s="18" t="n">
        <v>131115.9</v>
      </c>
      <c r="V4538" s="18" t="n"/>
      <c r="W4538" s="18" t="n"/>
      <c r="X4538" s="35" t="n">
        <v>11.4</v>
      </c>
      <c r="Y4538" s="35" t="n"/>
    </row>
    <row r="4539">
      <c r="A4539" s="25" t="n">
        <v>45517</v>
      </c>
      <c r="B4539" s="18" t="n">
        <v>132397.97</v>
      </c>
      <c r="C4539" s="31" t="n"/>
      <c r="D4539" s="32" t="n"/>
      <c r="E4539" s="33" t="n">
        <v>0.9636</v>
      </c>
      <c r="F4539" t="inlineStr">
        <is>
          <t>Up</t>
        </is>
      </c>
      <c r="G4539" t="inlineStr">
        <is>
          <t>Up</t>
        </is>
      </c>
      <c r="H4539" t="inlineStr">
        <is>
          <t>EU_JU</t>
        </is>
      </c>
      <c r="I4539" t="inlineStr">
        <is>
          <t>2024-08</t>
        </is>
      </c>
      <c r="J4539" t="n">
        <v>1</v>
      </c>
      <c r="K4539" t="n">
        <v>1</v>
      </c>
      <c r="L4539" s="34">
        <f>IF($J4539=1,LN(B4540/B4539),"")</f>
        <v/>
      </c>
      <c r="M4539" s="34">
        <f>IF($K4539=1,INDEX(Mensal!$D$2:$D$245,MATCH($I4539,Mensal!$A$2:$A$245,0)),"")</f>
        <v/>
      </c>
      <c r="N4539" s="34">
        <f>IF($K4539=1,L4539-M4539,"")</f>
        <v/>
      </c>
      <c r="O4539" s="34" t="n">
        <v>0.0003927</v>
      </c>
      <c r="P4539" s="34">
        <f>IF($J4539=1,LN(1+O4539),"")</f>
        <v/>
      </c>
      <c r="Q4539" s="34">
        <f>IF($J4539=1,LN(R4540/R4539),"")</f>
        <v/>
      </c>
      <c r="R4539" s="32" t="n">
        <v>5.4875</v>
      </c>
      <c r="S4539" s="35" t="n">
        <v>11.33</v>
      </c>
      <c r="T4539" s="18" t="n"/>
      <c r="U4539" s="18" t="n">
        <v>132397.97</v>
      </c>
      <c r="V4539" s="18" t="n"/>
      <c r="W4539" s="18" t="n"/>
      <c r="X4539" s="35" t="n">
        <v>11.33</v>
      </c>
      <c r="Y4539" s="35" t="n"/>
    </row>
    <row r="4540">
      <c r="A4540" s="25" t="n">
        <v>45518</v>
      </c>
      <c r="B4540" s="18" t="n">
        <v>133317.66</v>
      </c>
      <c r="C4540" s="31" t="n"/>
      <c r="D4540" s="32" t="n"/>
      <c r="E4540" s="33" t="n">
        <v>0.9524</v>
      </c>
      <c r="F4540" t="inlineStr">
        <is>
          <t>Up</t>
        </is>
      </c>
      <c r="G4540" t="inlineStr">
        <is>
          <t>Up</t>
        </is>
      </c>
      <c r="H4540" t="inlineStr">
        <is>
          <t>EU_JU</t>
        </is>
      </c>
      <c r="I4540" t="inlineStr">
        <is>
          <t>2024-08</t>
        </is>
      </c>
      <c r="J4540" t="n">
        <v>1</v>
      </c>
      <c r="K4540" t="n">
        <v>1</v>
      </c>
      <c r="L4540" s="34">
        <f>IF($J4540=1,LN(B4541/B4540),"")</f>
        <v/>
      </c>
      <c r="M4540" s="34">
        <f>IF($K4540=1,INDEX(Mensal!$D$2:$D$245,MATCH($I4540,Mensal!$A$2:$A$245,0)),"")</f>
        <v/>
      </c>
      <c r="N4540" s="34">
        <f>IF($K4540=1,L4540-M4540,"")</f>
        <v/>
      </c>
      <c r="O4540" s="34" t="n">
        <v>0.0003927</v>
      </c>
      <c r="P4540" s="34">
        <f>IF($J4540=1,LN(1+O4540),"")</f>
        <v/>
      </c>
      <c r="Q4540" s="34">
        <f>IF($J4540=1,LN(R4541/R4540),"")</f>
        <v/>
      </c>
      <c r="R4540" s="32" t="n">
        <v>5.4502</v>
      </c>
      <c r="S4540" s="35" t="n">
        <v>11.29</v>
      </c>
      <c r="T4540" s="18" t="n"/>
      <c r="U4540" s="18" t="n">
        <v>133317.66</v>
      </c>
      <c r="V4540" s="18" t="n"/>
      <c r="W4540" s="18" t="n"/>
      <c r="X4540" s="35" t="n">
        <v>11.29</v>
      </c>
      <c r="Y4540" s="35" t="n"/>
    </row>
    <row r="4541">
      <c r="A4541" s="25" t="n">
        <v>45519</v>
      </c>
      <c r="B4541" s="18" t="n">
        <v>134153.42</v>
      </c>
      <c r="C4541" s="31" t="n"/>
      <c r="D4541" s="32" t="n"/>
      <c r="E4541" s="33" t="n">
        <v>0.9364</v>
      </c>
      <c r="F4541" t="inlineStr">
        <is>
          <t>Up</t>
        </is>
      </c>
      <c r="G4541" t="inlineStr">
        <is>
          <t>Up</t>
        </is>
      </c>
      <c r="H4541" t="inlineStr">
        <is>
          <t>EU_JU</t>
        </is>
      </c>
      <c r="I4541" t="inlineStr">
        <is>
          <t>2024-08</t>
        </is>
      </c>
      <c r="J4541" t="n">
        <v>1</v>
      </c>
      <c r="K4541" t="n">
        <v>1</v>
      </c>
      <c r="L4541" s="34">
        <f>IF($J4541=1,LN(B4542/B4541),"")</f>
        <v/>
      </c>
      <c r="M4541" s="34">
        <f>IF($K4541=1,INDEX(Mensal!$D$2:$D$245,MATCH($I4541,Mensal!$A$2:$A$245,0)),"")</f>
        <v/>
      </c>
      <c r="N4541" s="34">
        <f>IF($K4541=1,L4541-M4541,"")</f>
        <v/>
      </c>
      <c r="O4541" s="34" t="n">
        <v>0.0003927</v>
      </c>
      <c r="P4541" s="34">
        <f>IF($J4541=1,LN(1+O4541),"")</f>
        <v/>
      </c>
      <c r="Q4541" s="34">
        <f>IF($J4541=1,LN(R4542/R4541),"")</f>
        <v/>
      </c>
      <c r="R4541" s="32" t="n">
        <v>5.4651</v>
      </c>
      <c r="S4541" s="35" t="n">
        <v>11.41</v>
      </c>
      <c r="T4541" s="18" t="n"/>
      <c r="U4541" s="18" t="n">
        <v>134153.42</v>
      </c>
      <c r="V4541" s="18" t="n"/>
      <c r="W4541" s="18" t="n"/>
      <c r="X4541" s="35" t="n">
        <v>11.41</v>
      </c>
      <c r="Y4541" s="35" t="n"/>
    </row>
    <row r="4542">
      <c r="A4542" s="25" t="n">
        <v>45520</v>
      </c>
      <c r="B4542" s="18" t="n">
        <v>133953.25</v>
      </c>
      <c r="C4542" s="31" t="n"/>
      <c r="D4542" s="32" t="n"/>
      <c r="E4542" s="33" t="n">
        <v>0.9189000000000001</v>
      </c>
      <c r="F4542" t="inlineStr">
        <is>
          <t>Up</t>
        </is>
      </c>
      <c r="G4542" t="inlineStr">
        <is>
          <t>Up</t>
        </is>
      </c>
      <c r="H4542" t="inlineStr">
        <is>
          <t>EU_JU</t>
        </is>
      </c>
      <c r="I4542" t="inlineStr">
        <is>
          <t>2024-08</t>
        </is>
      </c>
      <c r="J4542" t="n">
        <v>1</v>
      </c>
      <c r="K4542" t="n">
        <v>1</v>
      </c>
      <c r="L4542" s="34">
        <f>IF($J4542=1,LN(B4543/B4542),"")</f>
        <v/>
      </c>
      <c r="M4542" s="34">
        <f>IF($K4542=1,INDEX(Mensal!$D$2:$D$245,MATCH($I4542,Mensal!$A$2:$A$245,0)),"")</f>
        <v/>
      </c>
      <c r="N4542" s="34">
        <f>IF($K4542=1,L4542-M4542,"")</f>
        <v/>
      </c>
      <c r="O4542" s="34" t="n">
        <v>0.0003927</v>
      </c>
      <c r="P4542" s="34">
        <f>IF($J4542=1,LN(1+O4542),"")</f>
        <v/>
      </c>
      <c r="Q4542" s="34">
        <f>IF($J4542=1,LN(R4543/R4542),"")</f>
        <v/>
      </c>
      <c r="R4542" s="32" t="n">
        <v>5.4632</v>
      </c>
      <c r="S4542" s="35" t="n">
        <v>11.53</v>
      </c>
      <c r="T4542" s="18" t="n"/>
      <c r="U4542" s="18" t="n">
        <v>133953.25</v>
      </c>
      <c r="V4542" s="18" t="n"/>
      <c r="W4542" s="18" t="n"/>
      <c r="X4542" s="35" t="n">
        <v>11.53</v>
      </c>
      <c r="Y4542" s="35" t="n"/>
    </row>
    <row r="4543">
      <c r="A4543" s="25" t="n">
        <v>45523</v>
      </c>
      <c r="B4543" s="18" t="n">
        <v>135777.98</v>
      </c>
      <c r="C4543" s="31" t="n"/>
      <c r="D4543" s="32" t="n"/>
      <c r="E4543" s="33" t="n">
        <v>0.9021</v>
      </c>
      <c r="F4543" t="inlineStr">
        <is>
          <t>Up</t>
        </is>
      </c>
      <c r="G4543" t="inlineStr">
        <is>
          <t>Up</t>
        </is>
      </c>
      <c r="H4543" t="inlineStr">
        <is>
          <t>EU_JU</t>
        </is>
      </c>
      <c r="I4543" t="inlineStr">
        <is>
          <t>2024-08</t>
        </is>
      </c>
      <c r="J4543" t="n">
        <v>1</v>
      </c>
      <c r="K4543" t="n">
        <v>1</v>
      </c>
      <c r="L4543" s="34">
        <f>IF($J4543=1,LN(B4544/B4543),"")</f>
        <v/>
      </c>
      <c r="M4543" s="34">
        <f>IF($K4543=1,INDEX(Mensal!$D$2:$D$245,MATCH($I4543,Mensal!$A$2:$A$245,0)),"")</f>
        <v/>
      </c>
      <c r="N4543" s="34">
        <f>IF($K4543=1,L4543-M4543,"")</f>
        <v/>
      </c>
      <c r="O4543" s="34" t="n">
        <v>0.0003927</v>
      </c>
      <c r="P4543" s="34">
        <f>IF($J4543=1,LN(1+O4543),"")</f>
        <v/>
      </c>
      <c r="Q4543" s="34">
        <f>IF($J4543=1,LN(R4544/R4543),"")</f>
        <v/>
      </c>
      <c r="R4543" s="32" t="n">
        <v>5.4237</v>
      </c>
      <c r="S4543" s="35" t="n">
        <v>11.48</v>
      </c>
      <c r="T4543" s="18" t="n"/>
      <c r="U4543" s="18" t="n">
        <v>135777.98</v>
      </c>
      <c r="V4543" s="18" t="n"/>
      <c r="W4543" s="18" t="n"/>
      <c r="X4543" s="35" t="n">
        <v>11.48</v>
      </c>
      <c r="Y4543" s="35" t="n"/>
    </row>
    <row r="4544">
      <c r="A4544" s="25" t="n">
        <v>45524</v>
      </c>
      <c r="B4544" s="18" t="n">
        <v>136087.41</v>
      </c>
      <c r="C4544" s="31" t="n"/>
      <c r="D4544" s="32" t="n"/>
      <c r="E4544" s="33" t="n">
        <v>0.8774999999999999</v>
      </c>
      <c r="F4544" t="inlineStr">
        <is>
          <t>Up</t>
        </is>
      </c>
      <c r="G4544" t="inlineStr">
        <is>
          <t>Up</t>
        </is>
      </c>
      <c r="H4544" t="inlineStr">
        <is>
          <t>EU_JU</t>
        </is>
      </c>
      <c r="I4544" t="inlineStr">
        <is>
          <t>2024-08</t>
        </is>
      </c>
      <c r="J4544" t="n">
        <v>1</v>
      </c>
      <c r="K4544" t="n">
        <v>1</v>
      </c>
      <c r="L4544" s="34">
        <f>IF($J4544=1,LN(B4545/B4544),"")</f>
        <v/>
      </c>
      <c r="M4544" s="34">
        <f>IF($K4544=1,INDEX(Mensal!$D$2:$D$245,MATCH($I4544,Mensal!$A$2:$A$245,0)),"")</f>
        <v/>
      </c>
      <c r="N4544" s="34">
        <f>IF($K4544=1,L4544-M4544,"")</f>
        <v/>
      </c>
      <c r="O4544" s="34" t="n">
        <v>0.0003927</v>
      </c>
      <c r="P4544" s="34">
        <f>IF($J4544=1,LN(1+O4544),"")</f>
        <v/>
      </c>
      <c r="Q4544" s="34">
        <f>IF($J4544=1,LN(R4545/R4544),"")</f>
        <v/>
      </c>
      <c r="R4544" s="32" t="n">
        <v>5.4547</v>
      </c>
      <c r="S4544" s="35" t="n">
        <v>11.46</v>
      </c>
      <c r="T4544" s="18" t="n"/>
      <c r="U4544" s="18" t="n">
        <v>136087.41</v>
      </c>
      <c r="V4544" s="18" t="n"/>
      <c r="W4544" s="18" t="n"/>
      <c r="X4544" s="35" t="n">
        <v>11.46</v>
      </c>
      <c r="Y4544" s="35" t="n"/>
    </row>
    <row r="4545">
      <c r="A4545" s="25" t="n">
        <v>45525</v>
      </c>
      <c r="B4545" s="18" t="n">
        <v>136463.65</v>
      </c>
      <c r="C4545" s="31" t="n"/>
      <c r="D4545" s="32" t="n"/>
      <c r="E4545" s="33" t="n">
        <v>0.8310999999999999</v>
      </c>
      <c r="F4545" t="inlineStr">
        <is>
          <t>Up</t>
        </is>
      </c>
      <c r="G4545" t="inlineStr">
        <is>
          <t>Up</t>
        </is>
      </c>
      <c r="H4545" t="inlineStr">
        <is>
          <t>EU_JU</t>
        </is>
      </c>
      <c r="I4545" t="inlineStr">
        <is>
          <t>2024-08</t>
        </is>
      </c>
      <c r="J4545" t="n">
        <v>1</v>
      </c>
      <c r="K4545" t="n">
        <v>1</v>
      </c>
      <c r="L4545" s="34">
        <f>IF($J4545=1,LN(B4546/B4545),"")</f>
        <v/>
      </c>
      <c r="M4545" s="34">
        <f>IF($K4545=1,INDEX(Mensal!$D$2:$D$245,MATCH($I4545,Mensal!$A$2:$A$245,0)),"")</f>
        <v/>
      </c>
      <c r="N4545" s="34">
        <f>IF($K4545=1,L4545-M4545,"")</f>
        <v/>
      </c>
      <c r="O4545" s="34" t="n">
        <v>0.0003927</v>
      </c>
      <c r="P4545" s="34">
        <f>IF($J4545=1,LN(1+O4545),"")</f>
        <v/>
      </c>
      <c r="Q4545" s="34">
        <f>IF($J4545=1,LN(R4546/R4545),"")</f>
        <v/>
      </c>
      <c r="R4545" s="32" t="n">
        <v>5.4707</v>
      </c>
      <c r="S4545" s="35" t="n">
        <v>11.36</v>
      </c>
      <c r="T4545" s="18" t="n"/>
      <c r="U4545" s="18" t="n">
        <v>136463.65</v>
      </c>
      <c r="V4545" s="18" t="n"/>
      <c r="W4545" s="18" t="n"/>
      <c r="X4545" s="35" t="n">
        <v>11.36</v>
      </c>
      <c r="Y4545" s="35" t="n"/>
    </row>
    <row r="4546">
      <c r="A4546" s="25" t="n">
        <v>45526</v>
      </c>
      <c r="B4546" s="18" t="n">
        <v>135173.39</v>
      </c>
      <c r="C4546" s="31" t="n"/>
      <c r="D4546" s="32" t="n"/>
      <c r="E4546" s="33" t="n">
        <v>0.8141</v>
      </c>
      <c r="F4546" t="inlineStr">
        <is>
          <t>Up</t>
        </is>
      </c>
      <c r="G4546" t="inlineStr">
        <is>
          <t>Up</t>
        </is>
      </c>
      <c r="H4546" t="inlineStr">
        <is>
          <t>EU_JU</t>
        </is>
      </c>
      <c r="I4546" t="inlineStr">
        <is>
          <t>2024-08</t>
        </is>
      </c>
      <c r="J4546" t="n">
        <v>1</v>
      </c>
      <c r="K4546" t="n">
        <v>1</v>
      </c>
      <c r="L4546" s="34">
        <f>IF($J4546=1,LN(B4547/B4546),"")</f>
        <v/>
      </c>
      <c r="M4546" s="34">
        <f>IF($K4546=1,INDEX(Mensal!$D$2:$D$245,MATCH($I4546,Mensal!$A$2:$A$245,0)),"")</f>
        <v/>
      </c>
      <c r="N4546" s="34">
        <f>IF($K4546=1,L4546-M4546,"")</f>
        <v/>
      </c>
      <c r="O4546" s="34" t="n">
        <v>0.0003927</v>
      </c>
      <c r="P4546" s="34">
        <f>IF($J4546=1,LN(1+O4546),"")</f>
        <v/>
      </c>
      <c r="Q4546" s="34">
        <f>IF($J4546=1,LN(R4547/R4546),"")</f>
        <v/>
      </c>
      <c r="R4546" s="32" t="n">
        <v>5.5524</v>
      </c>
      <c r="S4546" s="35" t="n">
        <v>11.51</v>
      </c>
      <c r="T4546" s="18" t="n"/>
      <c r="U4546" s="18" t="n">
        <v>135173.39</v>
      </c>
      <c r="V4546" s="18" t="n"/>
      <c r="W4546" s="18" t="n"/>
      <c r="X4546" s="35" t="n">
        <v>11.51</v>
      </c>
      <c r="Y4546" s="35" t="n"/>
    </row>
    <row r="4547">
      <c r="A4547" s="25" t="n">
        <v>45527</v>
      </c>
      <c r="B4547" s="18" t="n">
        <v>135608.47</v>
      </c>
      <c r="C4547" s="31" t="n"/>
      <c r="D4547" s="32" t="n"/>
      <c r="E4547" s="33" t="n">
        <v>0.797</v>
      </c>
      <c r="F4547" t="inlineStr">
        <is>
          <t>Up</t>
        </is>
      </c>
      <c r="G4547" t="inlineStr">
        <is>
          <t>Up</t>
        </is>
      </c>
      <c r="H4547" t="inlineStr">
        <is>
          <t>EU_JU</t>
        </is>
      </c>
      <c r="I4547" t="inlineStr">
        <is>
          <t>2024-08</t>
        </is>
      </c>
      <c r="J4547" t="n">
        <v>1</v>
      </c>
      <c r="K4547" t="n">
        <v>1</v>
      </c>
      <c r="L4547" s="34">
        <f>IF($J4547=1,LN(B4548/B4547),"")</f>
        <v/>
      </c>
      <c r="M4547" s="34">
        <f>IF($K4547=1,INDEX(Mensal!$D$2:$D$245,MATCH($I4547,Mensal!$A$2:$A$245,0)),"")</f>
        <v/>
      </c>
      <c r="N4547" s="34">
        <f>IF($K4547=1,L4547-M4547,"")</f>
        <v/>
      </c>
      <c r="O4547" s="34" t="n">
        <v>0.0003927</v>
      </c>
      <c r="P4547" s="34">
        <f>IF($J4547=1,LN(1+O4547),"")</f>
        <v/>
      </c>
      <c r="Q4547" s="34">
        <f>IF($J4547=1,LN(R4548/R4547),"")</f>
        <v/>
      </c>
      <c r="R4547" s="32" t="n">
        <v>5.5263</v>
      </c>
      <c r="S4547" s="35" t="n">
        <v>11.42</v>
      </c>
      <c r="T4547" s="18" t="n"/>
      <c r="U4547" s="18" t="n">
        <v>135608.47</v>
      </c>
      <c r="V4547" s="18" t="n"/>
      <c r="W4547" s="18" t="n"/>
      <c r="X4547" s="35" t="n">
        <v>11.42</v>
      </c>
      <c r="Y4547" s="35" t="n"/>
    </row>
    <row r="4548">
      <c r="A4548" s="25" t="n">
        <v>45530</v>
      </c>
      <c r="B4548" s="18" t="n">
        <v>136888.71</v>
      </c>
      <c r="C4548" s="31" t="n"/>
      <c r="D4548" s="32" t="n"/>
      <c r="E4548" s="33" t="n">
        <v>0.7781</v>
      </c>
      <c r="F4548" t="inlineStr">
        <is>
          <t>Up</t>
        </is>
      </c>
      <c r="G4548" t="inlineStr">
        <is>
          <t>Up</t>
        </is>
      </c>
      <c r="H4548" t="inlineStr">
        <is>
          <t>EU_JU</t>
        </is>
      </c>
      <c r="I4548" t="inlineStr">
        <is>
          <t>2024-08</t>
        </is>
      </c>
      <c r="J4548" t="n">
        <v>1</v>
      </c>
      <c r="K4548" t="n">
        <v>1</v>
      </c>
      <c r="L4548" s="34">
        <f>IF($J4548=1,LN(B4549/B4548),"")</f>
        <v/>
      </c>
      <c r="M4548" s="34">
        <f>IF($K4548=1,INDEX(Mensal!$D$2:$D$245,MATCH($I4548,Mensal!$A$2:$A$245,0)),"")</f>
        <v/>
      </c>
      <c r="N4548" s="34">
        <f>IF($K4548=1,L4548-M4548,"")</f>
        <v/>
      </c>
      <c r="O4548" s="34" t="n">
        <v>0.0003927</v>
      </c>
      <c r="P4548" s="34">
        <f>IF($J4548=1,LN(1+O4548),"")</f>
        <v/>
      </c>
      <c r="Q4548" s="34">
        <f>IF($J4548=1,LN(R4549/R4548),"")</f>
        <v/>
      </c>
      <c r="R4548" s="32" t="n">
        <v>5.4921</v>
      </c>
      <c r="S4548" s="35" t="n">
        <v>11.39</v>
      </c>
      <c r="T4548" s="18" t="n"/>
      <c r="U4548" s="18" t="n">
        <v>136888.71</v>
      </c>
      <c r="V4548" s="18" t="n"/>
      <c r="W4548" s="18" t="n"/>
      <c r="X4548" s="35" t="n">
        <v>11.39</v>
      </c>
      <c r="Y4548" s="35" t="n"/>
    </row>
    <row r="4549">
      <c r="A4549" s="25" t="n">
        <v>45531</v>
      </c>
      <c r="B4549" s="18" t="n">
        <v>136775.91</v>
      </c>
      <c r="C4549" s="31" t="n"/>
      <c r="D4549" s="32" t="n"/>
      <c r="E4549" s="33" t="n">
        <v>0.7542</v>
      </c>
      <c r="F4549" t="inlineStr">
        <is>
          <t>Up</t>
        </is>
      </c>
      <c r="G4549" t="inlineStr">
        <is>
          <t>Up</t>
        </is>
      </c>
      <c r="H4549" t="inlineStr">
        <is>
          <t>EU_JU</t>
        </is>
      </c>
      <c r="I4549" t="inlineStr">
        <is>
          <t>2024-08</t>
        </is>
      </c>
      <c r="J4549" t="n">
        <v>1</v>
      </c>
      <c r="K4549" t="n">
        <v>1</v>
      </c>
      <c r="L4549" s="34">
        <f>IF($J4549=1,LN(B4550/B4549),"")</f>
        <v/>
      </c>
      <c r="M4549" s="34">
        <f>IF($K4549=1,INDEX(Mensal!$D$2:$D$245,MATCH($I4549,Mensal!$A$2:$A$245,0)),"")</f>
        <v/>
      </c>
      <c r="N4549" s="34">
        <f>IF($K4549=1,L4549-M4549,"")</f>
        <v/>
      </c>
      <c r="O4549" s="34" t="n">
        <v>0.0003927</v>
      </c>
      <c r="P4549" s="34">
        <f>IF($J4549=1,LN(1+O4549),"")</f>
        <v/>
      </c>
      <c r="Q4549" s="34">
        <f>IF($J4549=1,LN(R4550/R4549),"")</f>
        <v/>
      </c>
      <c r="R4549" s="32" t="n">
        <v>5.4969</v>
      </c>
      <c r="S4549" s="35" t="n">
        <v>11.5</v>
      </c>
      <c r="T4549" s="18" t="n"/>
      <c r="U4549" s="18" t="n">
        <v>136775.91</v>
      </c>
      <c r="V4549" s="18" t="n"/>
      <c r="W4549" s="18" t="n"/>
      <c r="X4549" s="35" t="n">
        <v>11.5</v>
      </c>
      <c r="Y4549" s="35" t="n"/>
    </row>
    <row r="4550">
      <c r="A4550" s="25" t="n">
        <v>45532</v>
      </c>
      <c r="B4550" s="18" t="n">
        <v>137343.96</v>
      </c>
      <c r="C4550" s="31" t="n"/>
      <c r="D4550" s="32" t="n"/>
      <c r="E4550" s="33" t="n">
        <v>0.727</v>
      </c>
      <c r="F4550" t="inlineStr">
        <is>
          <t>Up</t>
        </is>
      </c>
      <c r="G4550" t="inlineStr">
        <is>
          <t>Up</t>
        </is>
      </c>
      <c r="H4550" t="inlineStr">
        <is>
          <t>EU_JU</t>
        </is>
      </c>
      <c r="I4550" t="inlineStr">
        <is>
          <t>2024-08</t>
        </is>
      </c>
      <c r="J4550" t="n">
        <v>1</v>
      </c>
      <c r="K4550" t="n">
        <v>1</v>
      </c>
      <c r="L4550" s="34">
        <f>IF($J4550=1,LN(B4551/B4550),"")</f>
        <v/>
      </c>
      <c r="M4550" s="34">
        <f>IF($K4550=1,INDEX(Mensal!$D$2:$D$245,MATCH($I4550,Mensal!$A$2:$A$245,0)),"")</f>
        <v/>
      </c>
      <c r="N4550" s="34">
        <f>IF($K4550=1,L4550-M4550,"")</f>
        <v/>
      </c>
      <c r="O4550" s="34" t="n">
        <v>0.0003927</v>
      </c>
      <c r="P4550" s="34">
        <f>IF($J4550=1,LN(1+O4550),"")</f>
        <v/>
      </c>
      <c r="Q4550" s="34">
        <f>IF($J4550=1,LN(R4551/R4550),"")</f>
        <v/>
      </c>
      <c r="R4550" s="32" t="n">
        <v>5.5315</v>
      </c>
      <c r="S4550" s="35" t="n">
        <v>11.66</v>
      </c>
      <c r="T4550" s="18" t="n"/>
      <c r="U4550" s="18" t="n">
        <v>137343.96</v>
      </c>
      <c r="V4550" s="18" t="n"/>
      <c r="W4550" s="18" t="n"/>
      <c r="X4550" s="35" t="n">
        <v>11.66</v>
      </c>
      <c r="Y4550" s="35" t="n"/>
    </row>
    <row r="4551">
      <c r="A4551" s="25" t="n">
        <v>45533</v>
      </c>
      <c r="B4551" s="18" t="n">
        <v>136041.35</v>
      </c>
      <c r="C4551" s="31" t="n"/>
      <c r="D4551" s="32" t="n"/>
      <c r="E4551" s="33" t="n">
        <v>0.7005</v>
      </c>
      <c r="F4551" t="inlineStr">
        <is>
          <t>Up</t>
        </is>
      </c>
      <c r="G4551" t="inlineStr">
        <is>
          <t>Up</t>
        </is>
      </c>
      <c r="H4551" t="inlineStr">
        <is>
          <t>EU_JU</t>
        </is>
      </c>
      <c r="I4551" t="inlineStr">
        <is>
          <t>2024-08</t>
        </is>
      </c>
      <c r="J4551" t="n">
        <v>1</v>
      </c>
      <c r="K4551" t="n">
        <v>1</v>
      </c>
      <c r="L4551" s="34">
        <f>IF($J4551=1,LN(B4552/B4551),"")</f>
        <v/>
      </c>
      <c r="M4551" s="34">
        <f>IF($K4551=1,INDEX(Mensal!$D$2:$D$245,MATCH($I4551,Mensal!$A$2:$A$245,0)),"")</f>
        <v/>
      </c>
      <c r="N4551" s="34">
        <f>IF($K4551=1,L4551-M4551,"")</f>
        <v/>
      </c>
      <c r="O4551" s="34" t="n">
        <v>0.0003927</v>
      </c>
      <c r="P4551" s="34">
        <f>IF($J4551=1,LN(1+O4551),"")</f>
        <v/>
      </c>
      <c r="Q4551" s="34">
        <f>IF($J4551=1,LN(R4552/R4551),"")</f>
        <v/>
      </c>
      <c r="R4551" s="32" t="n">
        <v>5.6358</v>
      </c>
      <c r="S4551" s="35" t="n">
        <v>11.74</v>
      </c>
      <c r="T4551" s="18" t="n"/>
      <c r="U4551" s="18" t="n">
        <v>136041.35</v>
      </c>
      <c r="V4551" s="18" t="n"/>
      <c r="W4551" s="18" t="n"/>
      <c r="X4551" s="35" t="n">
        <v>11.74</v>
      </c>
      <c r="Y4551" s="35" t="n"/>
    </row>
    <row r="4552">
      <c r="A4552" s="25" t="n">
        <v>45534</v>
      </c>
      <c r="B4552" s="18" t="n">
        <v>136004.01</v>
      </c>
      <c r="C4552" s="31" t="n"/>
      <c r="D4552" s="32" t="n"/>
      <c r="E4552" s="33" t="n">
        <v>0.6705</v>
      </c>
      <c r="F4552" t="inlineStr">
        <is>
          <t>Up</t>
        </is>
      </c>
      <c r="G4552" t="inlineStr">
        <is>
          <t>Up</t>
        </is>
      </c>
      <c r="H4552" t="inlineStr">
        <is>
          <t>EU_JU</t>
        </is>
      </c>
      <c r="I4552" t="inlineStr">
        <is>
          <t>2024-08</t>
        </is>
      </c>
      <c r="J4552" t="n">
        <v>1</v>
      </c>
      <c r="K4552" t="n">
        <v>1</v>
      </c>
      <c r="L4552" s="34">
        <f>IF($J4552=1,LN(B4553/B4552),"")</f>
        <v/>
      </c>
      <c r="M4552" s="34">
        <f>IF($K4552=1,INDEX(Mensal!$D$2:$D$245,MATCH($I4552,Mensal!$A$2:$A$245,0)),"")</f>
        <v/>
      </c>
      <c r="N4552" s="34">
        <f>IF($K4552=1,L4552-M4552,"")</f>
        <v/>
      </c>
      <c r="O4552" s="34" t="n">
        <v>0.0003927</v>
      </c>
      <c r="P4552" s="34">
        <f>IF($J4552=1,LN(1+O4552),"")</f>
        <v/>
      </c>
      <c r="Q4552" s="34">
        <f>IF($J4552=1,LN(R4553/R4552),"")</f>
        <v/>
      </c>
      <c r="R4552" s="32" t="n">
        <v>5.6562</v>
      </c>
      <c r="S4552" s="35" t="n">
        <v>11.74</v>
      </c>
      <c r="T4552" s="18" t="n"/>
      <c r="U4552" s="18" t="n">
        <v>136004.01</v>
      </c>
      <c r="V4552" s="18" t="n"/>
      <c r="W4552" s="18" t="n"/>
      <c r="X4552" s="35" t="n">
        <v>11.74</v>
      </c>
      <c r="Y4552" s="35" t="n"/>
    </row>
    <row r="4553">
      <c r="A4553" s="25" t="n">
        <v>45537</v>
      </c>
      <c r="B4553" s="18" t="n">
        <v>134906.07</v>
      </c>
      <c r="C4553" s="31" t="n"/>
      <c r="D4553" s="32" t="n"/>
      <c r="E4553" s="33" t="n">
        <v>0.6353</v>
      </c>
      <c r="F4553" t="inlineStr">
        <is>
          <t>Up</t>
        </is>
      </c>
      <c r="G4553" t="inlineStr">
        <is>
          <t>Up</t>
        </is>
      </c>
      <c r="H4553" t="inlineStr">
        <is>
          <t>EU_JU</t>
        </is>
      </c>
      <c r="I4553" t="inlineStr">
        <is>
          <t>2024-09</t>
        </is>
      </c>
      <c r="J4553" t="n">
        <v>1</v>
      </c>
      <c r="K4553" t="n">
        <v>1</v>
      </c>
      <c r="L4553" s="34">
        <f>IF($J4553=1,LN(B4554/B4553),"")</f>
        <v/>
      </c>
      <c r="M4553" s="34">
        <f>IF($K4553=1,INDEX(Mensal!$D$2:$D$245,MATCH($I4553,Mensal!$A$2:$A$245,0)),"")</f>
        <v/>
      </c>
      <c r="N4553" s="34">
        <f>IF($K4553=1,L4553-M4553,"")</f>
        <v/>
      </c>
      <c r="O4553" s="34" t="n">
        <v>0.0003927</v>
      </c>
      <c r="P4553" s="34">
        <f>IF($J4553=1,LN(1+O4553),"")</f>
        <v/>
      </c>
      <c r="Q4553" s="34">
        <f>IF($J4553=1,LN(R4554/R4553),"")</f>
        <v/>
      </c>
      <c r="R4553" s="32" t="n">
        <v>5.623</v>
      </c>
      <c r="S4553" s="35" t="n">
        <v>11.76</v>
      </c>
      <c r="T4553" s="18" t="n"/>
      <c r="U4553" s="18" t="n">
        <v>134906.07</v>
      </c>
      <c r="V4553" s="18" t="n"/>
      <c r="W4553" s="18" t="n"/>
      <c r="X4553" s="35" t="n">
        <v>11.76</v>
      </c>
      <c r="Y4553" s="35" t="n"/>
    </row>
    <row r="4554">
      <c r="A4554" s="25" t="n">
        <v>45538</v>
      </c>
      <c r="B4554" s="18" t="n">
        <v>134353.48</v>
      </c>
      <c r="C4554" s="31" t="n"/>
      <c r="D4554" s="32" t="n"/>
      <c r="E4554" s="33" t="n">
        <v>0.5991</v>
      </c>
      <c r="F4554" t="inlineStr">
        <is>
          <t>Up</t>
        </is>
      </c>
      <c r="G4554" t="inlineStr">
        <is>
          <t>Up</t>
        </is>
      </c>
      <c r="H4554" t="inlineStr">
        <is>
          <t>EU_JU</t>
        </is>
      </c>
      <c r="I4554" t="inlineStr">
        <is>
          <t>2024-09</t>
        </is>
      </c>
      <c r="J4554" t="n">
        <v>1</v>
      </c>
      <c r="K4554" t="n">
        <v>1</v>
      </c>
      <c r="L4554" s="34">
        <f>IF($J4554=1,LN(B4555/B4554),"")</f>
        <v/>
      </c>
      <c r="M4554" s="34">
        <f>IF($K4554=1,INDEX(Mensal!$D$2:$D$245,MATCH($I4554,Mensal!$A$2:$A$245,0)),"")</f>
        <v/>
      </c>
      <c r="N4554" s="34">
        <f>IF($K4554=1,L4554-M4554,"")</f>
        <v/>
      </c>
      <c r="O4554" s="34" t="n">
        <v>0.0003927</v>
      </c>
      <c r="P4554" s="34">
        <f>IF($J4554=1,LN(1+O4554),"")</f>
        <v/>
      </c>
      <c r="Q4554" s="34">
        <f>IF($J4554=1,LN(R4555/R4554),"")</f>
        <v/>
      </c>
      <c r="R4554" s="32" t="n">
        <v>5.6224</v>
      </c>
      <c r="S4554" s="35" t="n">
        <v>11.78</v>
      </c>
      <c r="T4554" s="18" t="n"/>
      <c r="U4554" s="18" t="n">
        <v>134353.48</v>
      </c>
      <c r="V4554" s="18" t="n"/>
      <c r="W4554" s="18" t="n"/>
      <c r="X4554" s="35" t="n">
        <v>11.78</v>
      </c>
      <c r="Y4554" s="35" t="n"/>
    </row>
    <row r="4555">
      <c r="A4555" s="25" t="n">
        <v>45539</v>
      </c>
      <c r="B4555" s="18" t="n">
        <v>136110.73</v>
      </c>
      <c r="C4555" s="31" t="n"/>
      <c r="D4555" s="32" t="n"/>
      <c r="E4555" s="33" t="n">
        <v>0.5626</v>
      </c>
      <c r="F4555" t="inlineStr">
        <is>
          <t>Up</t>
        </is>
      </c>
      <c r="G4555" t="inlineStr">
        <is>
          <t>Up</t>
        </is>
      </c>
      <c r="H4555" t="inlineStr">
        <is>
          <t>EU_JU</t>
        </is>
      </c>
      <c r="I4555" t="inlineStr">
        <is>
          <t>2024-09</t>
        </is>
      </c>
      <c r="J4555" t="n">
        <v>1</v>
      </c>
      <c r="K4555" t="n">
        <v>1</v>
      </c>
      <c r="L4555" s="34">
        <f>IF($J4555=1,LN(B4556/B4555),"")</f>
        <v/>
      </c>
      <c r="M4555" s="34">
        <f>IF($K4555=1,INDEX(Mensal!$D$2:$D$245,MATCH($I4555,Mensal!$A$2:$A$245,0)),"")</f>
        <v/>
      </c>
      <c r="N4555" s="34">
        <f>IF($K4555=1,L4555-M4555,"")</f>
        <v/>
      </c>
      <c r="O4555" s="34" t="n">
        <v>0.0003927</v>
      </c>
      <c r="P4555" s="34">
        <f>IF($J4555=1,LN(1+O4555),"")</f>
        <v/>
      </c>
      <c r="Q4555" s="34">
        <f>IF($J4555=1,LN(R4556/R4555),"")</f>
        <v/>
      </c>
      <c r="R4555" s="32" t="n">
        <v>5.6359</v>
      </c>
      <c r="S4555" s="35" t="n">
        <v>11.66</v>
      </c>
      <c r="T4555" s="18" t="n"/>
      <c r="U4555" s="18" t="n">
        <v>136110.73</v>
      </c>
      <c r="V4555" s="18" t="n"/>
      <c r="W4555" s="18" t="n"/>
      <c r="X4555" s="35" t="n">
        <v>11.66</v>
      </c>
      <c r="Y4555" s="35" t="n"/>
    </row>
    <row r="4556">
      <c r="A4556" s="25" t="n">
        <v>45540</v>
      </c>
      <c r="B4556" s="18" t="n">
        <v>136502.49</v>
      </c>
      <c r="C4556" s="31" t="n"/>
      <c r="D4556" s="32" t="n"/>
      <c r="E4556" s="33" t="n">
        <v>0.5256999999999999</v>
      </c>
      <c r="F4556" t="inlineStr">
        <is>
          <t>Up</t>
        </is>
      </c>
      <c r="G4556" t="inlineStr">
        <is>
          <t>Up</t>
        </is>
      </c>
      <c r="H4556" t="inlineStr">
        <is>
          <t>EU_JU</t>
        </is>
      </c>
      <c r="I4556" t="inlineStr">
        <is>
          <t>2024-09</t>
        </is>
      </c>
      <c r="J4556" t="n">
        <v>1</v>
      </c>
      <c r="K4556" t="n">
        <v>1</v>
      </c>
      <c r="L4556" s="34">
        <f>IF($J4556=1,LN(B4557/B4556),"")</f>
        <v/>
      </c>
      <c r="M4556" s="34">
        <f>IF($K4556=1,INDEX(Mensal!$D$2:$D$245,MATCH($I4556,Mensal!$A$2:$A$245,0)),"")</f>
        <v/>
      </c>
      <c r="N4556" s="34">
        <f>IF($K4556=1,L4556-M4556,"")</f>
        <v/>
      </c>
      <c r="O4556" s="34" t="n">
        <v>0.0003927</v>
      </c>
      <c r="P4556" s="34">
        <f>IF($J4556=1,LN(1+O4556),"")</f>
        <v/>
      </c>
      <c r="Q4556" s="34">
        <f>IF($J4556=1,LN(R4557/R4556),"")</f>
        <v/>
      </c>
      <c r="R4556" s="32" t="n">
        <v>5.6049</v>
      </c>
      <c r="S4556" s="35" t="n">
        <v>11.58</v>
      </c>
      <c r="T4556" s="18" t="n"/>
      <c r="U4556" s="18" t="n">
        <v>136502.49</v>
      </c>
      <c r="V4556" s="18" t="n"/>
      <c r="W4556" s="18" t="n"/>
      <c r="X4556" s="35" t="n">
        <v>11.58</v>
      </c>
      <c r="Y4556" s="35" t="n"/>
    </row>
    <row r="4557">
      <c r="A4557" s="25" t="n">
        <v>45541</v>
      </c>
      <c r="B4557" s="18" t="n">
        <v>134572.45</v>
      </c>
      <c r="C4557" s="31" t="n"/>
      <c r="D4557" s="32" t="n"/>
      <c r="E4557" s="33" t="n">
        <v>0.4884</v>
      </c>
      <c r="F4557" t="inlineStr">
        <is>
          <t>Up</t>
        </is>
      </c>
      <c r="G4557" t="inlineStr">
        <is>
          <t>Up</t>
        </is>
      </c>
      <c r="H4557" t="inlineStr">
        <is>
          <t>EU_JU</t>
        </is>
      </c>
      <c r="I4557" t="inlineStr">
        <is>
          <t>2024-09</t>
        </is>
      </c>
      <c r="J4557" t="n">
        <v>1</v>
      </c>
      <c r="K4557" t="n">
        <v>1</v>
      </c>
      <c r="L4557" s="34">
        <f>IF($J4557=1,LN(B4558/B4557),"")</f>
        <v/>
      </c>
      <c r="M4557" s="34">
        <f>IF($K4557=1,INDEX(Mensal!$D$2:$D$245,MATCH($I4557,Mensal!$A$2:$A$245,0)),"")</f>
        <v/>
      </c>
      <c r="N4557" s="34">
        <f>IF($K4557=1,L4557-M4557,"")</f>
        <v/>
      </c>
      <c r="O4557" s="34" t="n">
        <v>0.0003927</v>
      </c>
      <c r="P4557" s="34">
        <f>IF($J4557=1,LN(1+O4557),"")</f>
        <v/>
      </c>
      <c r="Q4557" s="34">
        <f>IF($J4557=1,LN(R4558/R4557),"")</f>
        <v/>
      </c>
      <c r="R4557" s="32" t="n">
        <v>5.5702</v>
      </c>
      <c r="S4557" s="35" t="n">
        <v>11.63</v>
      </c>
      <c r="T4557" s="18" t="n"/>
      <c r="U4557" s="18" t="n">
        <v>134572.45</v>
      </c>
      <c r="V4557" s="18" t="n"/>
      <c r="W4557" s="18" t="n"/>
      <c r="X4557" s="35" t="n">
        <v>11.63</v>
      </c>
      <c r="Y4557" s="35" t="n"/>
    </row>
    <row r="4558">
      <c r="A4558" s="25" t="n">
        <v>45544</v>
      </c>
      <c r="B4558" s="18" t="n">
        <v>134737.21</v>
      </c>
      <c r="C4558" s="31" t="n"/>
      <c r="D4558" s="32" t="n"/>
      <c r="E4558" s="33" t="n">
        <v>0.4609</v>
      </c>
      <c r="F4558" t="inlineStr">
        <is>
          <t>Up</t>
        </is>
      </c>
      <c r="G4558" t="inlineStr">
        <is>
          <t>Up</t>
        </is>
      </c>
      <c r="H4558" t="inlineStr">
        <is>
          <t>EU_JU</t>
        </is>
      </c>
      <c r="I4558" t="inlineStr">
        <is>
          <t>2024-09</t>
        </is>
      </c>
      <c r="J4558" t="n">
        <v>1</v>
      </c>
      <c r="K4558" t="n">
        <v>1</v>
      </c>
      <c r="L4558" s="34">
        <f>IF($J4558=1,LN(B4559/B4558),"")</f>
        <v/>
      </c>
      <c r="M4558" s="34">
        <f>IF($K4558=1,INDEX(Mensal!$D$2:$D$245,MATCH($I4558,Mensal!$A$2:$A$245,0)),"")</f>
        <v/>
      </c>
      <c r="N4558" s="34">
        <f>IF($K4558=1,L4558-M4558,"")</f>
        <v/>
      </c>
      <c r="O4558" s="34" t="n">
        <v>0.0003927</v>
      </c>
      <c r="P4558" s="34">
        <f>IF($J4558=1,LN(1+O4558),"")</f>
        <v/>
      </c>
      <c r="Q4558" s="34">
        <f>IF($J4558=1,LN(R4559/R4558),"")</f>
        <v/>
      </c>
      <c r="R4558" s="32" t="n">
        <v>5.6097</v>
      </c>
      <c r="S4558" s="35" t="n">
        <v>11.65</v>
      </c>
      <c r="T4558" s="18" t="n"/>
      <c r="U4558" s="18" t="n">
        <v>134737.21</v>
      </c>
      <c r="V4558" s="18" t="n"/>
      <c r="W4558" s="18" t="n"/>
      <c r="X4558" s="35" t="n">
        <v>11.65</v>
      </c>
      <c r="Y4558" s="35" t="n"/>
    </row>
    <row r="4559">
      <c r="A4559" s="25" t="n">
        <v>45545</v>
      </c>
      <c r="B4559" s="18" t="n">
        <v>134319.58</v>
      </c>
      <c r="C4559" s="31" t="n"/>
      <c r="D4559" s="32" t="n"/>
      <c r="E4559" s="33" t="n">
        <v>0.4321</v>
      </c>
      <c r="F4559" t="inlineStr">
        <is>
          <t>Up</t>
        </is>
      </c>
      <c r="G4559" t="inlineStr">
        <is>
          <t>Up</t>
        </is>
      </c>
      <c r="H4559" t="inlineStr">
        <is>
          <t>EU_JU</t>
        </is>
      </c>
      <c r="I4559" t="inlineStr">
        <is>
          <t>2024-09</t>
        </is>
      </c>
      <c r="J4559" t="n">
        <v>1</v>
      </c>
      <c r="K4559" t="n">
        <v>1</v>
      </c>
      <c r="L4559" s="34">
        <f>IF($J4559=1,LN(B4560/B4559),"")</f>
        <v/>
      </c>
      <c r="M4559" s="34">
        <f>IF($K4559=1,INDEX(Mensal!$D$2:$D$245,MATCH($I4559,Mensal!$A$2:$A$245,0)),"")</f>
        <v/>
      </c>
      <c r="N4559" s="34">
        <f>IF($K4559=1,L4559-M4559,"")</f>
        <v/>
      </c>
      <c r="O4559" s="34" t="n">
        <v>0.0003927</v>
      </c>
      <c r="P4559" s="34">
        <f>IF($J4559=1,LN(1+O4559),"")</f>
        <v/>
      </c>
      <c r="Q4559" s="34">
        <f>IF($J4559=1,LN(R4560/R4559),"")</f>
        <v/>
      </c>
      <c r="R4559" s="32" t="n">
        <v>5.6254</v>
      </c>
      <c r="S4559" s="35" t="n">
        <v>11.63</v>
      </c>
      <c r="T4559" s="18" t="n"/>
      <c r="U4559" s="18" t="n">
        <v>134319.58</v>
      </c>
      <c r="V4559" s="18" t="n"/>
      <c r="W4559" s="18" t="n"/>
      <c r="X4559" s="35" t="n">
        <v>11.63</v>
      </c>
      <c r="Y4559" s="35" t="n"/>
    </row>
    <row r="4560">
      <c r="A4560" s="25" t="n">
        <v>45546</v>
      </c>
      <c r="B4560" s="18" t="n">
        <v>134676.75</v>
      </c>
      <c r="C4560" s="31" t="n"/>
      <c r="D4560" s="32" t="n"/>
      <c r="E4560" s="33" t="n">
        <v>0.4016</v>
      </c>
      <c r="F4560" t="inlineStr">
        <is>
          <t>Up</t>
        </is>
      </c>
      <c r="G4560" t="inlineStr">
        <is>
          <t>Up</t>
        </is>
      </c>
      <c r="H4560" t="inlineStr">
        <is>
          <t>EU_JU</t>
        </is>
      </c>
      <c r="I4560" t="inlineStr">
        <is>
          <t>2024-09</t>
        </is>
      </c>
      <c r="J4560" t="n">
        <v>1</v>
      </c>
      <c r="K4560" t="n">
        <v>1</v>
      </c>
      <c r="L4560" s="34">
        <f>IF($J4560=1,LN(B4561/B4560),"")</f>
        <v/>
      </c>
      <c r="M4560" s="34">
        <f>IF($K4560=1,INDEX(Mensal!$D$2:$D$245,MATCH($I4560,Mensal!$A$2:$A$245,0)),"")</f>
        <v/>
      </c>
      <c r="N4560" s="34">
        <f>IF($K4560=1,L4560-M4560,"")</f>
        <v/>
      </c>
      <c r="O4560" s="34" t="n">
        <v>0.0003927</v>
      </c>
      <c r="P4560" s="34">
        <f>IF($J4560=1,LN(1+O4560),"")</f>
        <v/>
      </c>
      <c r="Q4560" s="34">
        <f>IF($J4560=1,LN(R4561/R4560),"")</f>
        <v/>
      </c>
      <c r="R4560" s="32" t="n">
        <v>5.6387</v>
      </c>
      <c r="S4560" s="35" t="n">
        <v>11.67</v>
      </c>
      <c r="T4560" s="18" t="n"/>
      <c r="U4560" s="18" t="n">
        <v>134676.75</v>
      </c>
      <c r="V4560" s="18" t="n"/>
      <c r="W4560" s="18" t="n"/>
      <c r="X4560" s="35" t="n">
        <v>11.67</v>
      </c>
      <c r="Y4560" s="35" t="n"/>
    </row>
    <row r="4561">
      <c r="A4561" s="25" t="n">
        <v>45547</v>
      </c>
      <c r="B4561" s="18" t="n">
        <v>134029.43</v>
      </c>
      <c r="C4561" s="31" t="n"/>
      <c r="D4561" s="32" t="n"/>
      <c r="E4561" s="33" t="n">
        <v>0.374</v>
      </c>
      <c r="F4561" t="inlineStr">
        <is>
          <t>Up</t>
        </is>
      </c>
      <c r="G4561" t="inlineStr">
        <is>
          <t>Up</t>
        </is>
      </c>
      <c r="H4561" t="inlineStr">
        <is>
          <t>EU_JU</t>
        </is>
      </c>
      <c r="I4561" t="inlineStr">
        <is>
          <t>2024-09</t>
        </is>
      </c>
      <c r="J4561" t="n">
        <v>1</v>
      </c>
      <c r="K4561" t="n">
        <v>1</v>
      </c>
      <c r="L4561" s="34">
        <f>IF($J4561=1,LN(B4562/B4561),"")</f>
        <v/>
      </c>
      <c r="M4561" s="34">
        <f>IF($K4561=1,INDEX(Mensal!$D$2:$D$245,MATCH($I4561,Mensal!$A$2:$A$245,0)),"")</f>
        <v/>
      </c>
      <c r="N4561" s="34">
        <f>IF($K4561=1,L4561-M4561,"")</f>
        <v/>
      </c>
      <c r="O4561" s="34" t="n">
        <v>0.0003927</v>
      </c>
      <c r="P4561" s="34">
        <f>IF($J4561=1,LN(1+O4561),"")</f>
        <v/>
      </c>
      <c r="Q4561" s="34">
        <f>IF($J4561=1,LN(R4562/R4561),"")</f>
        <v/>
      </c>
      <c r="R4561" s="32" t="n">
        <v>5.6554</v>
      </c>
      <c r="S4561" s="35" t="n">
        <v>11.74</v>
      </c>
      <c r="T4561" s="18" t="n"/>
      <c r="U4561" s="18" t="n">
        <v>134029.43</v>
      </c>
      <c r="V4561" s="18" t="n"/>
      <c r="W4561" s="18" t="n"/>
      <c r="X4561" s="35" t="n">
        <v>11.74</v>
      </c>
      <c r="Y4561" s="35" t="n"/>
    </row>
    <row r="4562">
      <c r="A4562" s="25" t="n">
        <v>45548</v>
      </c>
      <c r="B4562" s="18" t="n">
        <v>134881.95</v>
      </c>
      <c r="C4562" s="31" t="n"/>
      <c r="D4562" s="32" t="n"/>
      <c r="E4562" s="33" t="n">
        <v>0.3281</v>
      </c>
      <c r="F4562" t="inlineStr">
        <is>
          <t>Up</t>
        </is>
      </c>
      <c r="G4562" t="inlineStr">
        <is>
          <t>Up</t>
        </is>
      </c>
      <c r="H4562" t="inlineStr">
        <is>
          <t>EU_JU</t>
        </is>
      </c>
      <c r="I4562" t="inlineStr">
        <is>
          <t>2024-09</t>
        </is>
      </c>
      <c r="J4562" t="n">
        <v>1</v>
      </c>
      <c r="K4562" t="n">
        <v>1</v>
      </c>
      <c r="L4562" s="34">
        <f>IF($J4562=1,LN(B4563/B4562),"")</f>
        <v/>
      </c>
      <c r="M4562" s="34">
        <f>IF($K4562=1,INDEX(Mensal!$D$2:$D$245,MATCH($I4562,Mensal!$A$2:$A$245,0)),"")</f>
        <v/>
      </c>
      <c r="N4562" s="34">
        <f>IF($K4562=1,L4562-M4562,"")</f>
        <v/>
      </c>
      <c r="O4562" s="34" t="n">
        <v>0.0003927</v>
      </c>
      <c r="P4562" s="34">
        <f>IF($J4562=1,LN(1+O4562),"")</f>
        <v/>
      </c>
      <c r="Q4562" s="34">
        <f>IF($J4562=1,LN(R4563/R4562),"")</f>
        <v/>
      </c>
      <c r="R4562" s="32" t="n">
        <v>5.5717</v>
      </c>
      <c r="S4562" s="35" t="n">
        <v>11.71</v>
      </c>
      <c r="T4562" s="18" t="n"/>
      <c r="U4562" s="18" t="n">
        <v>134881.95</v>
      </c>
      <c r="V4562" s="18" t="n"/>
      <c r="W4562" s="18" t="n"/>
      <c r="X4562" s="35" t="n">
        <v>11.71</v>
      </c>
      <c r="Y4562" s="35" t="n"/>
    </row>
    <row r="4563">
      <c r="A4563" s="25" t="n">
        <v>45551</v>
      </c>
      <c r="B4563" s="18" t="n">
        <v>135118.22</v>
      </c>
      <c r="C4563" s="31" t="n"/>
      <c r="D4563" s="32" t="n"/>
      <c r="E4563" s="33" t="n">
        <v>0.2827</v>
      </c>
      <c r="F4563" t="inlineStr">
        <is>
          <t>Up</t>
        </is>
      </c>
      <c r="G4563" t="inlineStr">
        <is>
          <t>Up</t>
        </is>
      </c>
      <c r="H4563" t="inlineStr">
        <is>
          <t>EU_JU</t>
        </is>
      </c>
      <c r="I4563" t="inlineStr">
        <is>
          <t>2024-09</t>
        </is>
      </c>
      <c r="J4563" t="n">
        <v>1</v>
      </c>
      <c r="K4563" t="n">
        <v>1</v>
      </c>
      <c r="L4563" s="34">
        <f>IF($J4563=1,LN(B4564/B4563),"")</f>
        <v/>
      </c>
      <c r="M4563" s="34">
        <f>IF($K4563=1,INDEX(Mensal!$D$2:$D$245,MATCH($I4563,Mensal!$A$2:$A$245,0)),"")</f>
        <v/>
      </c>
      <c r="N4563" s="34">
        <f>IF($K4563=1,L4563-M4563,"")</f>
        <v/>
      </c>
      <c r="O4563" s="34" t="n">
        <v>0.0003927</v>
      </c>
      <c r="P4563" s="34">
        <f>IF($J4563=1,LN(1+O4563),"")</f>
        <v/>
      </c>
      <c r="Q4563" s="34">
        <f>IF($J4563=1,LN(R4564/R4563),"")</f>
        <v/>
      </c>
      <c r="R4563" s="32" t="n">
        <v>5.5207</v>
      </c>
      <c r="S4563" s="35" t="n">
        <v>11.73</v>
      </c>
      <c r="T4563" s="18" t="n"/>
      <c r="U4563" s="18" t="n">
        <v>135118.22</v>
      </c>
      <c r="V4563" s="18" t="n"/>
      <c r="W4563" s="18" t="n"/>
      <c r="X4563" s="35" t="n">
        <v>11.73</v>
      </c>
      <c r="Y4563" s="35" t="n"/>
    </row>
    <row r="4564">
      <c r="A4564" s="25" t="n">
        <v>45552</v>
      </c>
      <c r="B4564" s="18" t="n">
        <v>134960.19</v>
      </c>
      <c r="C4564" s="31" t="n"/>
      <c r="D4564" s="32" t="n"/>
      <c r="E4564" s="33" t="n">
        <v>0.2287</v>
      </c>
      <c r="F4564" t="inlineStr">
        <is>
          <t>Up</t>
        </is>
      </c>
      <c r="G4564" t="inlineStr">
        <is>
          <t>Up</t>
        </is>
      </c>
      <c r="H4564" t="inlineStr">
        <is>
          <t>EU_JU</t>
        </is>
      </c>
      <c r="I4564" t="inlineStr">
        <is>
          <t>2024-09</t>
        </is>
      </c>
      <c r="J4564" t="n">
        <v>1</v>
      </c>
      <c r="K4564" t="n">
        <v>1</v>
      </c>
      <c r="L4564" s="34">
        <f>IF($J4564=1,LN(B4565/B4564),"")</f>
        <v/>
      </c>
      <c r="M4564" s="34">
        <f>IF($K4564=1,INDEX(Mensal!$D$2:$D$245,MATCH($I4564,Mensal!$A$2:$A$245,0)),"")</f>
        <v/>
      </c>
      <c r="N4564" s="34">
        <f>IF($K4564=1,L4564-M4564,"")</f>
        <v/>
      </c>
      <c r="O4564" s="34" t="n">
        <v>0.0003927</v>
      </c>
      <c r="P4564" s="34">
        <f>IF($J4564=1,LN(1+O4564),"")</f>
        <v/>
      </c>
      <c r="Q4564" s="34">
        <f>IF($J4564=1,LN(R4565/R4564),"")</f>
        <v/>
      </c>
      <c r="R4564" s="32" t="n">
        <v>5.501</v>
      </c>
      <c r="S4564" s="35" t="n">
        <v>11.72</v>
      </c>
      <c r="T4564" s="18" t="n"/>
      <c r="U4564" s="18" t="n">
        <v>134960.19</v>
      </c>
      <c r="V4564" s="18" t="n"/>
      <c r="W4564" s="18" t="n"/>
      <c r="X4564" s="35" t="n">
        <v>11.72</v>
      </c>
      <c r="Y4564" s="35" t="n"/>
    </row>
    <row r="4565">
      <c r="A4565" s="25" t="n">
        <v>45553</v>
      </c>
      <c r="B4565" s="18" t="n">
        <v>133747.69</v>
      </c>
      <c r="C4565" s="31" t="n"/>
      <c r="D4565" s="32" t="n"/>
      <c r="E4565" s="33" t="n">
        <v>0.1799</v>
      </c>
      <c r="F4565" t="inlineStr">
        <is>
          <t>Up</t>
        </is>
      </c>
      <c r="G4565" t="inlineStr">
        <is>
          <t>Up</t>
        </is>
      </c>
      <c r="H4565" t="inlineStr">
        <is>
          <t>EU_JU</t>
        </is>
      </c>
      <c r="I4565" t="inlineStr">
        <is>
          <t>2024-09</t>
        </is>
      </c>
      <c r="J4565" t="n">
        <v>1</v>
      </c>
      <c r="K4565" t="n">
        <v>1</v>
      </c>
      <c r="L4565" s="34">
        <f>IF($J4565=1,LN(B4566/B4565),"")</f>
        <v/>
      </c>
      <c r="M4565" s="34">
        <f>IF($K4565=1,INDEX(Mensal!$D$2:$D$245,MATCH($I4565,Mensal!$A$2:$A$245,0)),"")</f>
        <v/>
      </c>
      <c r="N4565" s="34">
        <f>IF($K4565=1,L4565-M4565,"")</f>
        <v/>
      </c>
      <c r="O4565" s="34" t="n">
        <v>0.0003927</v>
      </c>
      <c r="P4565" s="34">
        <f>IF($J4565=1,LN(1+O4565),"")</f>
        <v/>
      </c>
      <c r="Q4565" s="34">
        <f>IF($J4565=1,LN(R4566/R4565),"")</f>
        <v/>
      </c>
      <c r="R4565" s="32" t="n">
        <v>5.4767</v>
      </c>
      <c r="S4565" s="35" t="n">
        <v>11.68</v>
      </c>
      <c r="T4565" s="18" t="n"/>
      <c r="U4565" s="18" t="n">
        <v>133747.69</v>
      </c>
      <c r="V4565" s="18" t="n"/>
      <c r="W4565" s="18" t="n"/>
      <c r="X4565" s="35" t="n">
        <v>11.68</v>
      </c>
      <c r="Y4565" s="35" t="n"/>
    </row>
    <row r="4566">
      <c r="A4566" s="25" t="n">
        <v>45554</v>
      </c>
      <c r="B4566" s="18" t="n">
        <v>133122.67</v>
      </c>
      <c r="C4566" s="31" t="n"/>
      <c r="D4566" s="32" t="n"/>
      <c r="E4566" s="33" t="n">
        <v>0.1346</v>
      </c>
      <c r="F4566" t="inlineStr">
        <is>
          <t>Up</t>
        </is>
      </c>
      <c r="G4566" t="inlineStr">
        <is>
          <t>Up</t>
        </is>
      </c>
      <c r="H4566" t="inlineStr">
        <is>
          <t>EU_JU</t>
        </is>
      </c>
      <c r="I4566" t="inlineStr">
        <is>
          <t>2024-09</t>
        </is>
      </c>
      <c r="J4566" t="n">
        <v>1</v>
      </c>
      <c r="K4566" t="n">
        <v>1</v>
      </c>
      <c r="L4566" s="34">
        <f>IF($J4566=1,LN(B4567/B4566),"")</f>
        <v/>
      </c>
      <c r="M4566" s="34">
        <f>IF($K4566=1,INDEX(Mensal!$D$2:$D$245,MATCH($I4566,Mensal!$A$2:$A$245,0)),"")</f>
        <v/>
      </c>
      <c r="N4566" s="34">
        <f>IF($K4566=1,L4566-M4566,"")</f>
        <v/>
      </c>
      <c r="O4566" s="34" t="n">
        <v>0.00040168</v>
      </c>
      <c r="P4566" s="34">
        <f>IF($J4566=1,LN(1+O4566),"")</f>
        <v/>
      </c>
      <c r="Q4566" s="34">
        <f>IF($J4566=1,LN(R4567/R4566),"")</f>
        <v/>
      </c>
      <c r="R4566" s="32" t="n">
        <v>5.4189</v>
      </c>
      <c r="S4566" s="35" t="n">
        <v>11.92</v>
      </c>
      <c r="T4566" s="18" t="n"/>
      <c r="U4566" s="18" t="n">
        <v>133122.67</v>
      </c>
      <c r="V4566" s="18" t="n"/>
      <c r="W4566" s="18" t="n"/>
      <c r="X4566" s="35" t="n">
        <v>11.92</v>
      </c>
      <c r="Y4566" s="35" t="n"/>
    </row>
    <row r="4567">
      <c r="A4567" s="25" t="n">
        <v>45555</v>
      </c>
      <c r="B4567" s="18" t="n">
        <v>131065.44</v>
      </c>
      <c r="C4567" s="31" t="n"/>
      <c r="D4567" s="32" t="n"/>
      <c r="E4567" s="33" t="n">
        <v>0.0876</v>
      </c>
      <c r="F4567" t="inlineStr">
        <is>
          <t>Up</t>
        </is>
      </c>
      <c r="G4567" t="inlineStr">
        <is>
          <t>Up</t>
        </is>
      </c>
      <c r="H4567" t="inlineStr">
        <is>
          <t>EU_JU</t>
        </is>
      </c>
      <c r="I4567" t="inlineStr">
        <is>
          <t>2024-09</t>
        </is>
      </c>
      <c r="J4567" t="n">
        <v>1</v>
      </c>
      <c r="K4567" t="n">
        <v>1</v>
      </c>
      <c r="L4567" s="34">
        <f>IF($J4567=1,LN(B4568/B4567),"")</f>
        <v/>
      </c>
      <c r="M4567" s="34">
        <f>IF($K4567=1,INDEX(Mensal!$D$2:$D$245,MATCH($I4567,Mensal!$A$2:$A$245,0)),"")</f>
        <v/>
      </c>
      <c r="N4567" s="34">
        <f>IF($K4567=1,L4567-M4567,"")</f>
        <v/>
      </c>
      <c r="O4567" s="34" t="n">
        <v>0.00040168</v>
      </c>
      <c r="P4567" s="34">
        <f>IF($J4567=1,LN(1+O4567),"")</f>
        <v/>
      </c>
      <c r="Q4567" s="34">
        <f>IF($J4567=1,LN(R4568/R4567),"")</f>
        <v/>
      </c>
      <c r="R4567" s="32" t="n">
        <v>5.4775</v>
      </c>
      <c r="S4567" s="35" t="n">
        <v>12.03</v>
      </c>
      <c r="T4567" s="18" t="n"/>
      <c r="U4567" s="18" t="n">
        <v>131065.44</v>
      </c>
      <c r="V4567" s="18" t="n"/>
      <c r="W4567" s="18" t="n"/>
      <c r="X4567" s="35" t="n">
        <v>12.03</v>
      </c>
      <c r="Y4567" s="35" t="n"/>
    </row>
    <row r="4568">
      <c r="A4568" s="25" t="n">
        <v>45558</v>
      </c>
      <c r="B4568" s="18" t="n">
        <v>130568.37</v>
      </c>
      <c r="C4568" s="31" t="n"/>
      <c r="D4568" s="32" t="n"/>
      <c r="E4568" s="33" t="n">
        <v>0.0377</v>
      </c>
      <c r="F4568" t="inlineStr">
        <is>
          <t>Up</t>
        </is>
      </c>
      <c r="G4568" t="inlineStr">
        <is>
          <t>Up</t>
        </is>
      </c>
      <c r="H4568" t="inlineStr">
        <is>
          <t>EU_JU</t>
        </is>
      </c>
      <c r="I4568" t="inlineStr">
        <is>
          <t>2024-09</t>
        </is>
      </c>
      <c r="J4568" t="n">
        <v>1</v>
      </c>
      <c r="K4568" t="n">
        <v>1</v>
      </c>
      <c r="L4568" s="34">
        <f>IF($J4568=1,LN(B4569/B4568),"")</f>
        <v/>
      </c>
      <c r="M4568" s="34">
        <f>IF($K4568=1,INDEX(Mensal!$D$2:$D$245,MATCH($I4568,Mensal!$A$2:$A$245,0)),"")</f>
        <v/>
      </c>
      <c r="N4568" s="34">
        <f>IF($K4568=1,L4568-M4568,"")</f>
        <v/>
      </c>
      <c r="O4568" s="34" t="n">
        <v>0.00040168</v>
      </c>
      <c r="P4568" s="34">
        <f>IF($J4568=1,LN(1+O4568),"")</f>
        <v/>
      </c>
      <c r="Q4568" s="34">
        <f>IF($J4568=1,LN(R4569/R4568),"")</f>
        <v/>
      </c>
      <c r="R4568" s="32" t="n">
        <v>5.5446</v>
      </c>
      <c r="S4568" s="35" t="n">
        <v>12.13</v>
      </c>
      <c r="T4568" s="18" t="n"/>
      <c r="U4568" s="18" t="n">
        <v>130568.37</v>
      </c>
      <c r="V4568" s="18" t="n"/>
      <c r="W4568" s="18" t="n"/>
      <c r="X4568" s="35" t="n">
        <v>12.13</v>
      </c>
      <c r="Y4568" s="35" t="n"/>
    </row>
    <row r="4569">
      <c r="A4569" s="25" t="n">
        <v>45559</v>
      </c>
      <c r="B4569" s="18" t="n">
        <v>132155.76</v>
      </c>
      <c r="C4569" s="31" t="n"/>
      <c r="D4569" s="32" t="n"/>
      <c r="E4569" s="33" t="n">
        <v>-0.0114</v>
      </c>
      <c r="F4569" t="inlineStr">
        <is>
          <t>Up</t>
        </is>
      </c>
      <c r="G4569" t="inlineStr">
        <is>
          <t>Up</t>
        </is>
      </c>
      <c r="H4569" t="inlineStr">
        <is>
          <t>EU_JU</t>
        </is>
      </c>
      <c r="I4569" t="inlineStr">
        <is>
          <t>2024-09</t>
        </is>
      </c>
      <c r="J4569" t="n">
        <v>1</v>
      </c>
      <c r="K4569" t="n">
        <v>1</v>
      </c>
      <c r="L4569" s="34">
        <f>IF($J4569=1,LN(B4570/B4569),"")</f>
        <v/>
      </c>
      <c r="M4569" s="34">
        <f>IF($K4569=1,INDEX(Mensal!$D$2:$D$245,MATCH($I4569,Mensal!$A$2:$A$245,0)),"")</f>
        <v/>
      </c>
      <c r="N4569" s="34">
        <f>IF($K4569=1,L4569-M4569,"")</f>
        <v/>
      </c>
      <c r="O4569" s="34" t="n">
        <v>0.00040168</v>
      </c>
      <c r="P4569" s="34">
        <f>IF($J4569=1,LN(1+O4569),"")</f>
        <v/>
      </c>
      <c r="Q4569" s="34">
        <f>IF($J4569=1,LN(R4570/R4569),"")</f>
        <v/>
      </c>
      <c r="R4569" s="32" t="n">
        <v>5.4702</v>
      </c>
      <c r="S4569" s="35" t="n">
        <v>11.99</v>
      </c>
      <c r="T4569" s="18" t="n"/>
      <c r="U4569" s="18" t="n">
        <v>132155.76</v>
      </c>
      <c r="V4569" s="18" t="n"/>
      <c r="W4569" s="18" t="n"/>
      <c r="X4569" s="35" t="n">
        <v>11.99</v>
      </c>
      <c r="Y4569" s="35" t="n"/>
    </row>
    <row r="4570">
      <c r="A4570" s="25" t="n">
        <v>45560</v>
      </c>
      <c r="B4570" s="18" t="n">
        <v>131586.45</v>
      </c>
      <c r="C4570" s="31" t="n"/>
      <c r="D4570" s="32" t="n"/>
      <c r="E4570" s="33" t="n">
        <v>-0.0737</v>
      </c>
      <c r="F4570" t="inlineStr">
        <is>
          <t>Up</t>
        </is>
      </c>
      <c r="G4570" t="inlineStr">
        <is>
          <t>Up</t>
        </is>
      </c>
      <c r="H4570" t="inlineStr">
        <is>
          <t>EU_JU</t>
        </is>
      </c>
      <c r="I4570" t="inlineStr">
        <is>
          <t>2024-09</t>
        </is>
      </c>
      <c r="J4570" t="n">
        <v>1</v>
      </c>
      <c r="K4570" t="n">
        <v>1</v>
      </c>
      <c r="L4570" s="34">
        <f>IF($J4570=1,LN(B4571/B4570),"")</f>
        <v/>
      </c>
      <c r="M4570" s="34">
        <f>IF($K4570=1,INDEX(Mensal!$D$2:$D$245,MATCH($I4570,Mensal!$A$2:$A$245,0)),"")</f>
        <v/>
      </c>
      <c r="N4570" s="34">
        <f>IF($K4570=1,L4570-M4570,"")</f>
        <v/>
      </c>
      <c r="O4570" s="34" t="n">
        <v>0.00040168</v>
      </c>
      <c r="P4570" s="34">
        <f>IF($J4570=1,LN(1+O4570),"")</f>
        <v/>
      </c>
      <c r="Q4570" s="34">
        <f>IF($J4570=1,LN(R4571/R4570),"")</f>
        <v/>
      </c>
      <c r="R4570" s="32" t="n">
        <v>5.4736</v>
      </c>
      <c r="S4570" s="35" t="n">
        <v>11.97</v>
      </c>
      <c r="T4570" s="18" t="n"/>
      <c r="U4570" s="18" t="n">
        <v>131586.45</v>
      </c>
      <c r="V4570" s="18" t="n"/>
      <c r="W4570" s="18" t="n"/>
      <c r="X4570" s="35" t="n">
        <v>11.97</v>
      </c>
      <c r="Y4570" s="35" t="n"/>
    </row>
    <row r="4571">
      <c r="A4571" s="25" t="n">
        <v>45561</v>
      </c>
      <c r="B4571" s="18" t="n">
        <v>133009.78</v>
      </c>
      <c r="C4571" s="31" t="n"/>
      <c r="D4571" s="32" t="n"/>
      <c r="E4571" s="33" t="n">
        <v>-0.1258</v>
      </c>
      <c r="F4571" t="inlineStr">
        <is>
          <t>Up</t>
        </is>
      </c>
      <c r="G4571" t="inlineStr">
        <is>
          <t>Up</t>
        </is>
      </c>
      <c r="H4571" t="inlineStr">
        <is>
          <t>EU_JU</t>
        </is>
      </c>
      <c r="I4571" t="inlineStr">
        <is>
          <t>2024-09</t>
        </is>
      </c>
      <c r="J4571" t="n">
        <v>1</v>
      </c>
      <c r="K4571" t="n">
        <v>1</v>
      </c>
      <c r="L4571" s="34">
        <f>IF($J4571=1,LN(B4572/B4571),"")</f>
        <v/>
      </c>
      <c r="M4571" s="34">
        <f>IF($K4571=1,INDEX(Mensal!$D$2:$D$245,MATCH($I4571,Mensal!$A$2:$A$245,0)),"")</f>
        <v/>
      </c>
      <c r="N4571" s="34">
        <f>IF($K4571=1,L4571-M4571,"")</f>
        <v/>
      </c>
      <c r="O4571" s="34" t="n">
        <v>0.00040168</v>
      </c>
      <c r="P4571" s="34">
        <f>IF($J4571=1,LN(1+O4571),"")</f>
        <v/>
      </c>
      <c r="Q4571" s="34">
        <f>IF($J4571=1,LN(R4572/R4571),"")</f>
        <v/>
      </c>
      <c r="R4571" s="32" t="n">
        <v>5.4412</v>
      </c>
      <c r="S4571" s="35" t="n">
        <v>12.06</v>
      </c>
      <c r="T4571" s="18" t="n"/>
      <c r="U4571" s="18" t="n">
        <v>133009.78</v>
      </c>
      <c r="V4571" s="18" t="n"/>
      <c r="W4571" s="18" t="n"/>
      <c r="X4571" s="35" t="n">
        <v>12.06</v>
      </c>
      <c r="Y4571" s="35" t="n"/>
    </row>
    <row r="4572">
      <c r="A4572" s="25" t="n">
        <v>45562</v>
      </c>
      <c r="B4572" s="18" t="n">
        <v>132730.36</v>
      </c>
      <c r="C4572" s="31" t="n"/>
      <c r="D4572" s="32" t="n"/>
      <c r="E4572" s="33" t="n">
        <v>-0.172</v>
      </c>
      <c r="F4572" t="inlineStr">
        <is>
          <t>Up</t>
        </is>
      </c>
      <c r="G4572" t="inlineStr">
        <is>
          <t>Up</t>
        </is>
      </c>
      <c r="H4572" t="inlineStr">
        <is>
          <t>EU_JU</t>
        </is>
      </c>
      <c r="I4572" t="inlineStr">
        <is>
          <t>2024-09</t>
        </is>
      </c>
      <c r="J4572" t="n">
        <v>1</v>
      </c>
      <c r="K4572" t="n">
        <v>1</v>
      </c>
      <c r="L4572" s="34">
        <f>IF($J4572=1,LN(B4573/B4572),"")</f>
        <v/>
      </c>
      <c r="M4572" s="34">
        <f>IF($K4572=1,INDEX(Mensal!$D$2:$D$245,MATCH($I4572,Mensal!$A$2:$A$245,0)),"")</f>
        <v/>
      </c>
      <c r="N4572" s="34">
        <f>IF($K4572=1,L4572-M4572,"")</f>
        <v/>
      </c>
      <c r="O4572" s="34" t="n">
        <v>0.00040168</v>
      </c>
      <c r="P4572" s="34">
        <f>IF($J4572=1,LN(1+O4572),"")</f>
        <v/>
      </c>
      <c r="Q4572" s="34">
        <f>IF($J4572=1,LN(R4573/R4572),"")</f>
        <v/>
      </c>
      <c r="R4572" s="32" t="n">
        <v>5.4431</v>
      </c>
      <c r="S4572" s="35" t="n">
        <v>12.12</v>
      </c>
      <c r="T4572" s="18" t="n"/>
      <c r="U4572" s="18" t="n">
        <v>132730.36</v>
      </c>
      <c r="V4572" s="18" t="n"/>
      <c r="W4572" s="18" t="n"/>
      <c r="X4572" s="35" t="n">
        <v>12.12</v>
      </c>
      <c r="Y4572" s="35" t="n"/>
    </row>
    <row r="4573">
      <c r="A4573" s="25" t="n">
        <v>45565</v>
      </c>
      <c r="B4573" s="18" t="n">
        <v>131816.44</v>
      </c>
      <c r="C4573" s="31" t="n"/>
      <c r="D4573" s="32" t="n"/>
      <c r="E4573" s="33" t="n">
        <v>-0.2165</v>
      </c>
      <c r="F4573" t="inlineStr">
        <is>
          <t>Up</t>
        </is>
      </c>
      <c r="G4573" t="inlineStr">
        <is>
          <t>Up</t>
        </is>
      </c>
      <c r="H4573" t="inlineStr">
        <is>
          <t>EU_JU</t>
        </is>
      </c>
      <c r="I4573" t="inlineStr">
        <is>
          <t>2024-09</t>
        </is>
      </c>
      <c r="J4573" t="n">
        <v>1</v>
      </c>
      <c r="K4573" t="n">
        <v>1</v>
      </c>
      <c r="L4573" s="34">
        <f>IF($J4573=1,LN(B4574/B4573),"")</f>
        <v/>
      </c>
      <c r="M4573" s="34">
        <f>IF($K4573=1,INDEX(Mensal!$D$2:$D$245,MATCH($I4573,Mensal!$A$2:$A$245,0)),"")</f>
        <v/>
      </c>
      <c r="N4573" s="34">
        <f>IF($K4573=1,L4573-M4573,"")</f>
        <v/>
      </c>
      <c r="O4573" s="34" t="n">
        <v>0.00040168</v>
      </c>
      <c r="P4573" s="34">
        <f>IF($J4573=1,LN(1+O4573),"")</f>
        <v/>
      </c>
      <c r="Q4573" s="34">
        <f>IF($J4573=1,LN(R4574/R4573),"")</f>
        <v/>
      </c>
      <c r="R4573" s="32" t="n">
        <v>5.4481</v>
      </c>
      <c r="S4573" s="35" t="n">
        <v>12.17</v>
      </c>
      <c r="T4573" s="18" t="n"/>
      <c r="U4573" s="18" t="n">
        <v>131816.44</v>
      </c>
      <c r="V4573" s="18" t="n"/>
      <c r="W4573" s="18" t="n"/>
      <c r="X4573" s="35" t="n">
        <v>12.17</v>
      </c>
      <c r="Y4573" s="35" t="n"/>
    </row>
    <row r="4574">
      <c r="A4574" s="25" t="n">
        <v>45566</v>
      </c>
      <c r="B4574" s="18" t="n">
        <v>132495.16</v>
      </c>
      <c r="C4574" s="31" t="n"/>
      <c r="D4574" s="32" t="n"/>
      <c r="E4574" s="33" t="n">
        <v>-0.2613</v>
      </c>
      <c r="F4574" t="inlineStr">
        <is>
          <t>Up</t>
        </is>
      </c>
      <c r="G4574" t="inlineStr">
        <is>
          <t>Up</t>
        </is>
      </c>
      <c r="H4574" t="inlineStr">
        <is>
          <t>EU_JU</t>
        </is>
      </c>
      <c r="I4574" t="inlineStr">
        <is>
          <t>2024-10</t>
        </is>
      </c>
      <c r="J4574" t="n">
        <v>1</v>
      </c>
      <c r="K4574" t="n">
        <v>1</v>
      </c>
      <c r="L4574" s="34">
        <f>IF($J4574=1,LN(B4575/B4574),"")</f>
        <v/>
      </c>
      <c r="M4574" s="34">
        <f>IF($K4574=1,INDEX(Mensal!$D$2:$D$245,MATCH($I4574,Mensal!$A$2:$A$245,0)),"")</f>
        <v/>
      </c>
      <c r="N4574" s="34">
        <f>IF($K4574=1,L4574-M4574,"")</f>
        <v/>
      </c>
      <c r="O4574" s="34" t="n">
        <v>0.00040168</v>
      </c>
      <c r="P4574" s="34">
        <f>IF($J4574=1,LN(1+O4574),"")</f>
        <v/>
      </c>
      <c r="Q4574" s="34">
        <f>IF($J4574=1,LN(R4575/R4574),"")</f>
        <v/>
      </c>
      <c r="R4574" s="32" t="n">
        <v>5.4521</v>
      </c>
      <c r="S4574" s="35" t="n">
        <v>12.11</v>
      </c>
      <c r="T4574" s="18" t="n"/>
      <c r="U4574" s="18" t="n">
        <v>132495.16</v>
      </c>
      <c r="V4574" s="18" t="n"/>
      <c r="W4574" s="18" t="n"/>
      <c r="X4574" s="35" t="n">
        <v>12.11</v>
      </c>
      <c r="Y4574" s="35" t="n"/>
    </row>
    <row r="4575">
      <c r="A4575" s="25" t="n">
        <v>45567</v>
      </c>
      <c r="B4575" s="18" t="n">
        <v>133514.94</v>
      </c>
      <c r="C4575" s="31" t="n"/>
      <c r="D4575" s="32" t="n"/>
      <c r="E4575" s="33" t="n">
        <v>-0.3079</v>
      </c>
      <c r="F4575" t="inlineStr">
        <is>
          <t>Up</t>
        </is>
      </c>
      <c r="G4575" t="inlineStr">
        <is>
          <t>Up</t>
        </is>
      </c>
      <c r="H4575" t="inlineStr">
        <is>
          <t>EU_JU</t>
        </is>
      </c>
      <c r="I4575" t="inlineStr">
        <is>
          <t>2024-10</t>
        </is>
      </c>
      <c r="J4575" t="n">
        <v>1</v>
      </c>
      <c r="K4575" t="n">
        <v>1</v>
      </c>
      <c r="L4575" s="34">
        <f>IF($J4575=1,LN(B4576/B4575),"")</f>
        <v/>
      </c>
      <c r="M4575" s="34">
        <f>IF($K4575=1,INDEX(Mensal!$D$2:$D$245,MATCH($I4575,Mensal!$A$2:$A$245,0)),"")</f>
        <v/>
      </c>
      <c r="N4575" s="34">
        <f>IF($K4575=1,L4575-M4575,"")</f>
        <v/>
      </c>
      <c r="O4575" s="34" t="n">
        <v>0.00040168</v>
      </c>
      <c r="P4575" s="34">
        <f>IF($J4575=1,LN(1+O4575),"")</f>
        <v/>
      </c>
      <c r="Q4575" s="34">
        <f>IF($J4575=1,LN(R4576/R4575),"")</f>
        <v/>
      </c>
      <c r="R4575" s="32" t="n">
        <v>5.4305</v>
      </c>
      <c r="S4575" s="35" t="n">
        <v>12.1</v>
      </c>
      <c r="T4575" s="18" t="n"/>
      <c r="U4575" s="18" t="n">
        <v>133514.94</v>
      </c>
      <c r="V4575" s="18" t="n"/>
      <c r="W4575" s="18" t="n"/>
      <c r="X4575" s="35" t="n">
        <v>12.1</v>
      </c>
      <c r="Y4575" s="35" t="n"/>
    </row>
    <row r="4576">
      <c r="A4576" s="25" t="n">
        <v>45568</v>
      </c>
      <c r="B4576" s="18" t="n">
        <v>131671.51</v>
      </c>
      <c r="C4576" s="31" t="n"/>
      <c r="D4576" s="32" t="n"/>
      <c r="E4576" s="33" t="n">
        <v>-0.356</v>
      </c>
      <c r="F4576" t="inlineStr">
        <is>
          <t>Up</t>
        </is>
      </c>
      <c r="G4576" t="inlineStr">
        <is>
          <t>Up</t>
        </is>
      </c>
      <c r="H4576" t="inlineStr">
        <is>
          <t>EU_JU</t>
        </is>
      </c>
      <c r="I4576" t="inlineStr">
        <is>
          <t>2024-10</t>
        </is>
      </c>
      <c r="J4576" t="n">
        <v>1</v>
      </c>
      <c r="K4576" t="n">
        <v>1</v>
      </c>
      <c r="L4576" s="34">
        <f>IF($J4576=1,LN(B4577/B4576),"")</f>
        <v/>
      </c>
      <c r="M4576" s="34">
        <f>IF($K4576=1,INDEX(Mensal!$D$2:$D$245,MATCH($I4576,Mensal!$A$2:$A$245,0)),"")</f>
        <v/>
      </c>
      <c r="N4576" s="34">
        <f>IF($K4576=1,L4576-M4576,"")</f>
        <v/>
      </c>
      <c r="O4576" s="34" t="n">
        <v>0.00040168</v>
      </c>
      <c r="P4576" s="34">
        <f>IF($J4576=1,LN(1+O4576),"")</f>
        <v/>
      </c>
      <c r="Q4576" s="34">
        <f>IF($J4576=1,LN(R4577/R4576),"")</f>
        <v/>
      </c>
      <c r="R4576" s="32" t="n">
        <v>5.485</v>
      </c>
      <c r="S4576" s="35" t="n">
        <v>12.14</v>
      </c>
      <c r="T4576" s="18" t="n"/>
      <c r="U4576" s="18" t="n">
        <v>131671.51</v>
      </c>
      <c r="V4576" s="18" t="n"/>
      <c r="W4576" s="18" t="n"/>
      <c r="X4576" s="35" t="n">
        <v>12.14</v>
      </c>
      <c r="Y4576" s="35" t="n"/>
    </row>
    <row r="4577">
      <c r="A4577" s="25" t="n">
        <v>45569</v>
      </c>
      <c r="B4577" s="18" t="n">
        <v>131791.55</v>
      </c>
      <c r="C4577" s="31" t="n"/>
      <c r="D4577" s="32" t="n"/>
      <c r="E4577" s="33" t="n">
        <v>-0.4029</v>
      </c>
      <c r="F4577" t="inlineStr">
        <is>
          <t>Up</t>
        </is>
      </c>
      <c r="G4577" t="inlineStr">
        <is>
          <t>Up</t>
        </is>
      </c>
      <c r="H4577" t="inlineStr">
        <is>
          <t>EU_JU</t>
        </is>
      </c>
      <c r="I4577" t="inlineStr">
        <is>
          <t>2024-10</t>
        </is>
      </c>
      <c r="J4577" t="n">
        <v>1</v>
      </c>
      <c r="K4577" t="n">
        <v>1</v>
      </c>
      <c r="L4577" s="34">
        <f>IF($J4577=1,LN(B4578/B4577),"")</f>
        <v/>
      </c>
      <c r="M4577" s="34">
        <f>IF($K4577=1,INDEX(Mensal!$D$2:$D$245,MATCH($I4577,Mensal!$A$2:$A$245,0)),"")</f>
        <v/>
      </c>
      <c r="N4577" s="34">
        <f>IF($K4577=1,L4577-M4577,"")</f>
        <v/>
      </c>
      <c r="O4577" s="34" t="n">
        <v>0.00040168</v>
      </c>
      <c r="P4577" s="34">
        <f>IF($J4577=1,LN(1+O4577),"")</f>
        <v/>
      </c>
      <c r="Q4577" s="34">
        <f>IF($J4577=1,LN(R4578/R4577),"")</f>
        <v/>
      </c>
      <c r="R4577" s="32" t="n">
        <v>5.4686</v>
      </c>
      <c r="S4577" s="35" t="n">
        <v>12.24</v>
      </c>
      <c r="T4577" s="18" t="n"/>
      <c r="U4577" s="18" t="n">
        <v>131791.55</v>
      </c>
      <c r="V4577" s="18" t="n"/>
      <c r="W4577" s="18" t="n"/>
      <c r="X4577" s="35" t="n">
        <v>12.24</v>
      </c>
      <c r="Y4577" s="35" t="n"/>
    </row>
    <row r="4578">
      <c r="A4578" s="25" t="n">
        <v>45572</v>
      </c>
      <c r="B4578" s="18" t="n">
        <v>132017.84</v>
      </c>
      <c r="C4578" s="31" t="n"/>
      <c r="D4578" s="32" t="n"/>
      <c r="E4578" s="33" t="n">
        <v>-0.422</v>
      </c>
      <c r="F4578" t="inlineStr">
        <is>
          <t>Up</t>
        </is>
      </c>
      <c r="G4578" t="inlineStr">
        <is>
          <t>Up</t>
        </is>
      </c>
      <c r="H4578" t="inlineStr">
        <is>
          <t>EU_JU</t>
        </is>
      </c>
      <c r="I4578" t="inlineStr">
        <is>
          <t>2024-10</t>
        </is>
      </c>
      <c r="J4578" t="n">
        <v>1</v>
      </c>
      <c r="K4578" t="n">
        <v>1</v>
      </c>
      <c r="L4578" s="34">
        <f>IF($J4578=1,LN(B4579/B4578),"")</f>
        <v/>
      </c>
      <c r="M4578" s="34">
        <f>IF($K4578=1,INDEX(Mensal!$D$2:$D$245,MATCH($I4578,Mensal!$A$2:$A$245,0)),"")</f>
        <v/>
      </c>
      <c r="N4578" s="34">
        <f>IF($K4578=1,L4578-M4578,"")</f>
        <v/>
      </c>
      <c r="O4578" s="34" t="n">
        <v>0.00040168</v>
      </c>
      <c r="P4578" s="34">
        <f>IF($J4578=1,LN(1+O4578),"")</f>
        <v/>
      </c>
      <c r="Q4578" s="34">
        <f>IF($J4578=1,LN(R4579/R4578),"")</f>
        <v/>
      </c>
      <c r="R4578" s="32" t="n">
        <v>5.4626</v>
      </c>
      <c r="S4578" s="35" t="n">
        <v>12.22</v>
      </c>
      <c r="T4578" s="18" t="n"/>
      <c r="U4578" s="18" t="n">
        <v>132017.84</v>
      </c>
      <c r="V4578" s="18" t="n"/>
      <c r="W4578" s="18" t="n"/>
      <c r="X4578" s="35" t="n">
        <v>12.22</v>
      </c>
      <c r="Y4578" s="35" t="n"/>
    </row>
    <row r="4579">
      <c r="A4579" s="25" t="n">
        <v>45573</v>
      </c>
      <c r="B4579" s="18" t="n">
        <v>131511.73</v>
      </c>
      <c r="C4579" s="31" t="n"/>
      <c r="D4579" s="32" t="n"/>
      <c r="E4579" s="33" t="n">
        <v>-0.4418</v>
      </c>
      <c r="F4579" t="inlineStr">
        <is>
          <t>Up</t>
        </is>
      </c>
      <c r="G4579" t="inlineStr">
        <is>
          <t>Up</t>
        </is>
      </c>
      <c r="H4579" t="inlineStr">
        <is>
          <t>EU_JU</t>
        </is>
      </c>
      <c r="I4579" t="inlineStr">
        <is>
          <t>2024-10</t>
        </is>
      </c>
      <c r="J4579" t="n">
        <v>1</v>
      </c>
      <c r="K4579" t="n">
        <v>1</v>
      </c>
      <c r="L4579" s="34">
        <f>IF($J4579=1,LN(B4580/B4579),"")</f>
        <v/>
      </c>
      <c r="M4579" s="34">
        <f>IF($K4579=1,INDEX(Mensal!$D$2:$D$245,MATCH($I4579,Mensal!$A$2:$A$245,0)),"")</f>
        <v/>
      </c>
      <c r="N4579" s="34">
        <f>IF($K4579=1,L4579-M4579,"")</f>
        <v/>
      </c>
      <c r="O4579" s="34" t="n">
        <v>0.00040168</v>
      </c>
      <c r="P4579" s="34">
        <f>IF($J4579=1,LN(1+O4579),"")</f>
        <v/>
      </c>
      <c r="Q4579" s="34">
        <f>IF($J4579=1,LN(R4580/R4579),"")</f>
        <v/>
      </c>
      <c r="R4579" s="32" t="n">
        <v>5.5197</v>
      </c>
      <c r="S4579" s="35" t="n">
        <v>12.19</v>
      </c>
      <c r="T4579" s="18" t="n"/>
      <c r="U4579" s="18" t="n">
        <v>131511.73</v>
      </c>
      <c r="V4579" s="18" t="n"/>
      <c r="W4579" s="18" t="n"/>
      <c r="X4579" s="35" t="n">
        <v>12.19</v>
      </c>
      <c r="Y4579" s="35" t="n"/>
    </row>
    <row r="4580">
      <c r="A4580" s="25" t="n">
        <v>45574</v>
      </c>
      <c r="B4580" s="18" t="n">
        <v>129962.06</v>
      </c>
      <c r="C4580" s="31" t="n"/>
      <c r="D4580" s="32" t="n"/>
      <c r="E4580" s="33" t="n">
        <v>-0.459</v>
      </c>
      <c r="F4580" t="inlineStr">
        <is>
          <t>Up</t>
        </is>
      </c>
      <c r="G4580" t="inlineStr">
        <is>
          <t>Up</t>
        </is>
      </c>
      <c r="H4580" t="inlineStr">
        <is>
          <t>EU_JU</t>
        </is>
      </c>
      <c r="I4580" t="inlineStr">
        <is>
          <t>2024-10</t>
        </is>
      </c>
      <c r="J4580" t="n">
        <v>1</v>
      </c>
      <c r="K4580" t="n">
        <v>1</v>
      </c>
      <c r="L4580" s="34">
        <f>IF($J4580=1,LN(B4581/B4580),"")</f>
        <v/>
      </c>
      <c r="M4580" s="34">
        <f>IF($K4580=1,INDEX(Mensal!$D$2:$D$245,MATCH($I4580,Mensal!$A$2:$A$245,0)),"")</f>
        <v/>
      </c>
      <c r="N4580" s="34">
        <f>IF($K4580=1,L4580-M4580,"")</f>
        <v/>
      </c>
      <c r="O4580" s="34" t="n">
        <v>0.00040168</v>
      </c>
      <c r="P4580" s="34">
        <f>IF($J4580=1,LN(1+O4580),"")</f>
        <v/>
      </c>
      <c r="Q4580" s="34">
        <f>IF($J4580=1,LN(R4581/R4580),"")</f>
        <v/>
      </c>
      <c r="R4580" s="32" t="n">
        <v>5.5737</v>
      </c>
      <c r="S4580" s="35" t="n">
        <v>12.36</v>
      </c>
      <c r="T4580" s="18" t="n"/>
      <c r="U4580" s="18" t="n">
        <v>129962.06</v>
      </c>
      <c r="V4580" s="18" t="n"/>
      <c r="W4580" s="18" t="n"/>
      <c r="X4580" s="35" t="n">
        <v>12.36</v>
      </c>
      <c r="Y4580" s="35" t="n"/>
    </row>
    <row r="4581">
      <c r="A4581" s="25" t="n">
        <v>45575</v>
      </c>
      <c r="B4581" s="18" t="n">
        <v>130352.86</v>
      </c>
      <c r="C4581" s="31" t="n"/>
      <c r="D4581" s="32" t="n"/>
      <c r="E4581" s="33" t="n">
        <v>-0.4748</v>
      </c>
      <c r="F4581" t="inlineStr">
        <is>
          <t>Up</t>
        </is>
      </c>
      <c r="G4581" t="inlineStr">
        <is>
          <t>Up</t>
        </is>
      </c>
      <c r="H4581" t="inlineStr">
        <is>
          <t>EU_JU</t>
        </is>
      </c>
      <c r="I4581" t="inlineStr">
        <is>
          <t>2024-10</t>
        </is>
      </c>
      <c r="J4581" t="n">
        <v>1</v>
      </c>
      <c r="K4581" t="n">
        <v>1</v>
      </c>
      <c r="L4581" s="34">
        <f>IF($J4581=1,LN(B4582/B4581),"")</f>
        <v/>
      </c>
      <c r="M4581" s="34">
        <f>IF($K4581=1,INDEX(Mensal!$D$2:$D$245,MATCH($I4581,Mensal!$A$2:$A$245,0)),"")</f>
        <v/>
      </c>
      <c r="N4581" s="34">
        <f>IF($K4581=1,L4581-M4581,"")</f>
        <v/>
      </c>
      <c r="O4581" s="34" t="n">
        <v>0.00040168</v>
      </c>
      <c r="P4581" s="34">
        <f>IF($J4581=1,LN(1+O4581),"")</f>
        <v/>
      </c>
      <c r="Q4581" s="34">
        <f>IF($J4581=1,LN(R4582/R4581),"")</f>
        <v/>
      </c>
      <c r="R4581" s="32" t="n">
        <v>5.5819</v>
      </c>
      <c r="S4581" s="35" t="n">
        <v>12.42</v>
      </c>
      <c r="T4581" s="18" t="n"/>
      <c r="U4581" s="18" t="n">
        <v>130352.86</v>
      </c>
      <c r="V4581" s="18" t="n"/>
      <c r="W4581" s="18" t="n"/>
      <c r="X4581" s="35" t="n">
        <v>12.42</v>
      </c>
      <c r="Y4581" s="35" t="n"/>
    </row>
    <row r="4582">
      <c r="A4582" s="25" t="n">
        <v>45576</v>
      </c>
      <c r="B4582" s="18" t="n">
        <v>129992.29</v>
      </c>
      <c r="C4582" s="31" t="n"/>
      <c r="D4582" s="32" t="n"/>
      <c r="E4582" s="33" t="n">
        <v>-0.4924</v>
      </c>
      <c r="F4582" t="inlineStr">
        <is>
          <t>Up</t>
        </is>
      </c>
      <c r="G4582" t="inlineStr">
        <is>
          <t>Up</t>
        </is>
      </c>
      <c r="H4582" t="inlineStr">
        <is>
          <t>EU_JU</t>
        </is>
      </c>
      <c r="I4582" t="inlineStr">
        <is>
          <t>2024-10</t>
        </is>
      </c>
      <c r="J4582" t="n">
        <v>1</v>
      </c>
      <c r="K4582" t="n">
        <v>1</v>
      </c>
      <c r="L4582" s="34">
        <f>IF($J4582=1,LN(B4583/B4582),"")</f>
        <v/>
      </c>
      <c r="M4582" s="34">
        <f>IF($K4582=1,INDEX(Mensal!$D$2:$D$245,MATCH($I4582,Mensal!$A$2:$A$245,0)),"")</f>
        <v/>
      </c>
      <c r="N4582" s="34">
        <f>IF($K4582=1,L4582-M4582,"")</f>
        <v/>
      </c>
      <c r="O4582" s="34" t="n">
        <v>0.00040168</v>
      </c>
      <c r="P4582" s="34">
        <f>IF($J4582=1,LN(1+O4582),"")</f>
        <v/>
      </c>
      <c r="Q4582" s="34">
        <f>IF($J4582=1,LN(R4583/R4582),"")</f>
        <v/>
      </c>
      <c r="R4582" s="32" t="n">
        <v>5.6263</v>
      </c>
      <c r="S4582" s="35" t="n">
        <v>12.48</v>
      </c>
      <c r="T4582" s="18" t="n"/>
      <c r="U4582" s="18" t="n">
        <v>129992.29</v>
      </c>
      <c r="V4582" s="18" t="n"/>
      <c r="W4582" s="18" t="n"/>
      <c r="X4582" s="35" t="n">
        <v>12.48</v>
      </c>
      <c r="Y4582" s="35" t="n"/>
    </row>
    <row r="4583">
      <c r="A4583" s="25" t="n">
        <v>45579</v>
      </c>
      <c r="B4583" s="18" t="n">
        <v>131005.25</v>
      </c>
      <c r="C4583" s="31" t="n"/>
      <c r="D4583" s="32" t="n"/>
      <c r="E4583" s="33" t="n">
        <v>-0.5093</v>
      </c>
      <c r="F4583" t="inlineStr">
        <is>
          <t>Up</t>
        </is>
      </c>
      <c r="G4583" t="inlineStr">
        <is>
          <t>Up</t>
        </is>
      </c>
      <c r="H4583" t="inlineStr">
        <is>
          <t>EU_JU</t>
        </is>
      </c>
      <c r="I4583" t="inlineStr">
        <is>
          <t>2024-10</t>
        </is>
      </c>
      <c r="J4583" t="n">
        <v>1</v>
      </c>
      <c r="K4583" t="n">
        <v>1</v>
      </c>
      <c r="L4583" s="34">
        <f>IF($J4583=1,LN(B4584/B4583),"")</f>
        <v/>
      </c>
      <c r="M4583" s="34">
        <f>IF($K4583=1,INDEX(Mensal!$D$2:$D$245,MATCH($I4583,Mensal!$A$2:$A$245,0)),"")</f>
        <v/>
      </c>
      <c r="N4583" s="34">
        <f>IF($K4583=1,L4583-M4583,"")</f>
        <v/>
      </c>
      <c r="O4583" s="34" t="n">
        <v>0.00040168</v>
      </c>
      <c r="P4583" s="34">
        <f>IF($J4583=1,LN(1+O4583),"")</f>
        <v/>
      </c>
      <c r="Q4583" s="34">
        <f>IF($J4583=1,LN(R4584/R4583),"")</f>
        <v/>
      </c>
      <c r="R4583" s="32" t="n">
        <v>5.6045</v>
      </c>
      <c r="S4583" s="35" t="n">
        <v>12.4</v>
      </c>
      <c r="T4583" s="18" t="n"/>
      <c r="U4583" s="18" t="n">
        <v>131005.25</v>
      </c>
      <c r="V4583" s="18" t="n"/>
      <c r="W4583" s="18" t="n"/>
      <c r="X4583" s="35" t="n">
        <v>12.4</v>
      </c>
      <c r="Y4583" s="35" t="n"/>
    </row>
    <row r="4584">
      <c r="A4584" s="25" t="n">
        <v>45580</v>
      </c>
      <c r="B4584" s="18" t="n">
        <v>131043.27</v>
      </c>
      <c r="C4584" s="31" t="n"/>
      <c r="D4584" s="32" t="n"/>
      <c r="E4584" s="33" t="n">
        <v>-0.5235</v>
      </c>
      <c r="F4584" t="inlineStr">
        <is>
          <t>Up</t>
        </is>
      </c>
      <c r="G4584" t="inlineStr">
        <is>
          <t>Up</t>
        </is>
      </c>
      <c r="H4584" t="inlineStr">
        <is>
          <t>EU_JU</t>
        </is>
      </c>
      <c r="I4584" t="inlineStr">
        <is>
          <t>2024-10</t>
        </is>
      </c>
      <c r="J4584" t="n">
        <v>1</v>
      </c>
      <c r="K4584" t="n">
        <v>1</v>
      </c>
      <c r="L4584" s="34">
        <f>IF($J4584=1,LN(B4585/B4584),"")</f>
        <v/>
      </c>
      <c r="M4584" s="34">
        <f>IF($K4584=1,INDEX(Mensal!$D$2:$D$245,MATCH($I4584,Mensal!$A$2:$A$245,0)),"")</f>
        <v/>
      </c>
      <c r="N4584" s="34">
        <f>IF($K4584=1,L4584-M4584,"")</f>
        <v/>
      </c>
      <c r="O4584" s="34" t="n">
        <v>0.00040168</v>
      </c>
      <c r="P4584" s="34">
        <f>IF($J4584=1,LN(1+O4584),"")</f>
        <v/>
      </c>
      <c r="Q4584" s="34">
        <f>IF($J4584=1,LN(R4585/R4584),"")</f>
        <v/>
      </c>
      <c r="R4584" s="32" t="n">
        <v>5.6378</v>
      </c>
      <c r="S4584" s="35" t="n">
        <v>12.46</v>
      </c>
      <c r="T4584" s="18" t="n"/>
      <c r="U4584" s="18" t="n">
        <v>131043.27</v>
      </c>
      <c r="V4584" s="18" t="n"/>
      <c r="W4584" s="18" t="n"/>
      <c r="X4584" s="35" t="n">
        <v>12.46</v>
      </c>
      <c r="Y4584" s="35" t="n"/>
    </row>
    <row r="4585">
      <c r="A4585" s="25" t="n">
        <v>45581</v>
      </c>
      <c r="B4585" s="18" t="n">
        <v>131749.72</v>
      </c>
      <c r="C4585" s="31" t="n"/>
      <c r="D4585" s="32" t="n"/>
      <c r="E4585" s="33" t="n">
        <v>-0.5334</v>
      </c>
      <c r="F4585" t="inlineStr">
        <is>
          <t>Up</t>
        </is>
      </c>
      <c r="G4585" t="inlineStr">
        <is>
          <t>Up</t>
        </is>
      </c>
      <c r="H4585" t="inlineStr">
        <is>
          <t>EU_JU</t>
        </is>
      </c>
      <c r="I4585" t="inlineStr">
        <is>
          <t>2024-10</t>
        </is>
      </c>
      <c r="J4585" t="n">
        <v>1</v>
      </c>
      <c r="K4585" t="n">
        <v>1</v>
      </c>
      <c r="L4585" s="34">
        <f>IF($J4585=1,LN(B4586/B4585),"")</f>
        <v/>
      </c>
      <c r="M4585" s="34">
        <f>IF($K4585=1,INDEX(Mensal!$D$2:$D$245,MATCH($I4585,Mensal!$A$2:$A$245,0)),"")</f>
        <v/>
      </c>
      <c r="N4585" s="34">
        <f>IF($K4585=1,L4585-M4585,"")</f>
        <v/>
      </c>
      <c r="O4585" s="34" t="n">
        <v>0.00040168</v>
      </c>
      <c r="P4585" s="34">
        <f>IF($J4585=1,LN(1+O4585),"")</f>
        <v/>
      </c>
      <c r="Q4585" s="34">
        <f>IF($J4585=1,LN(R4586/R4585),"")</f>
        <v/>
      </c>
      <c r="R4585" s="32" t="n">
        <v>5.6749</v>
      </c>
      <c r="S4585" s="35" t="n">
        <v>12.5</v>
      </c>
      <c r="T4585" s="18" t="n"/>
      <c r="U4585" s="18" t="n">
        <v>131749.72</v>
      </c>
      <c r="V4585" s="18" t="n"/>
      <c r="W4585" s="18" t="n"/>
      <c r="X4585" s="35" t="n">
        <v>12.5</v>
      </c>
      <c r="Y4585" s="35" t="n"/>
    </row>
    <row r="4586">
      <c r="A4586" s="25" t="n">
        <v>45582</v>
      </c>
      <c r="B4586" s="18" t="n">
        <v>130793.41</v>
      </c>
      <c r="C4586" s="31" t="n"/>
      <c r="D4586" s="32" t="n"/>
      <c r="E4586" s="33" t="n">
        <v>-0.5346</v>
      </c>
      <c r="F4586" t="inlineStr">
        <is>
          <t>Up</t>
        </is>
      </c>
      <c r="G4586" t="inlineStr">
        <is>
          <t>Up</t>
        </is>
      </c>
      <c r="H4586" t="inlineStr">
        <is>
          <t>EU_JU</t>
        </is>
      </c>
      <c r="I4586" t="inlineStr">
        <is>
          <t>2024-10</t>
        </is>
      </c>
      <c r="J4586" t="n">
        <v>1</v>
      </c>
      <c r="K4586" t="n">
        <v>1</v>
      </c>
      <c r="L4586" s="34">
        <f>IF($J4586=1,LN(B4587/B4586),"")</f>
        <v/>
      </c>
      <c r="M4586" s="34">
        <f>IF($K4586=1,INDEX(Mensal!$D$2:$D$245,MATCH($I4586,Mensal!$A$2:$A$245,0)),"")</f>
        <v/>
      </c>
      <c r="N4586" s="34">
        <f>IF($K4586=1,L4586-M4586,"")</f>
        <v/>
      </c>
      <c r="O4586" s="34" t="n">
        <v>0.00040168</v>
      </c>
      <c r="P4586" s="34">
        <f>IF($J4586=1,LN(1+O4586),"")</f>
        <v/>
      </c>
      <c r="Q4586" s="34">
        <f>IF($J4586=1,LN(R4587/R4586),"")</f>
        <v/>
      </c>
      <c r="R4586" s="32" t="n">
        <v>5.6758</v>
      </c>
      <c r="S4586" s="35" t="n">
        <v>12.54</v>
      </c>
      <c r="T4586" s="18" t="n"/>
      <c r="U4586" s="18" t="n">
        <v>130793.41</v>
      </c>
      <c r="V4586" s="18" t="n"/>
      <c r="W4586" s="18" t="n"/>
      <c r="X4586" s="35" t="n">
        <v>12.54</v>
      </c>
      <c r="Y4586" s="35" t="n"/>
    </row>
    <row r="4587">
      <c r="A4587" s="25" t="n">
        <v>45583</v>
      </c>
      <c r="B4587" s="18" t="n">
        <v>130499.26</v>
      </c>
      <c r="C4587" s="31" t="n"/>
      <c r="D4587" s="32" t="n"/>
      <c r="E4587" s="33" t="n">
        <v>-0.5346</v>
      </c>
      <c r="F4587" t="inlineStr">
        <is>
          <t>Up</t>
        </is>
      </c>
      <c r="G4587" t="inlineStr">
        <is>
          <t>Up</t>
        </is>
      </c>
      <c r="H4587" t="inlineStr">
        <is>
          <t>EU_JU</t>
        </is>
      </c>
      <c r="I4587" t="inlineStr">
        <is>
          <t>2024-10</t>
        </is>
      </c>
      <c r="J4587" t="n">
        <v>1</v>
      </c>
      <c r="K4587" t="n">
        <v>1</v>
      </c>
      <c r="L4587" s="34">
        <f>IF($J4587=1,LN(B4588/B4587),"")</f>
        <v/>
      </c>
      <c r="M4587" s="34">
        <f>IF($K4587=1,INDEX(Mensal!$D$2:$D$245,MATCH($I4587,Mensal!$A$2:$A$245,0)),"")</f>
        <v/>
      </c>
      <c r="N4587" s="34">
        <f>IF($K4587=1,L4587-M4587,"")</f>
        <v/>
      </c>
      <c r="O4587" s="34" t="n">
        <v>0.00040168</v>
      </c>
      <c r="P4587" s="34">
        <f>IF($J4587=1,LN(1+O4587),"")</f>
        <v/>
      </c>
      <c r="Q4587" s="34">
        <f>IF($J4587=1,LN(R4588/R4587),"")</f>
        <v/>
      </c>
      <c r="R4587" s="32" t="n">
        <v>5.6672</v>
      </c>
      <c r="S4587" s="35" t="n">
        <v>12.57</v>
      </c>
      <c r="T4587" s="18" t="n"/>
      <c r="U4587" s="18" t="n">
        <v>130499.26</v>
      </c>
      <c r="V4587" s="18" t="n"/>
      <c r="W4587" s="18" t="n"/>
      <c r="X4587" s="35" t="n">
        <v>12.57</v>
      </c>
      <c r="Y4587" s="35" t="n"/>
    </row>
    <row r="4588">
      <c r="A4588" s="25" t="n">
        <v>45586</v>
      </c>
      <c r="B4588" s="18" t="n">
        <v>130361.56</v>
      </c>
      <c r="C4588" s="31" t="n"/>
      <c r="D4588" s="32" t="n"/>
      <c r="E4588" s="33" t="n">
        <v>-0.5318000000000001</v>
      </c>
      <c r="F4588" t="inlineStr">
        <is>
          <t>Up</t>
        </is>
      </c>
      <c r="G4588" t="inlineStr">
        <is>
          <t>Up</t>
        </is>
      </c>
      <c r="H4588" t="inlineStr">
        <is>
          <t>EU_JU</t>
        </is>
      </c>
      <c r="I4588" t="inlineStr">
        <is>
          <t>2024-10</t>
        </is>
      </c>
      <c r="J4588" t="n">
        <v>1</v>
      </c>
      <c r="K4588" t="n">
        <v>1</v>
      </c>
      <c r="L4588" s="34">
        <f>IF($J4588=1,LN(B4589/B4588),"")</f>
        <v/>
      </c>
      <c r="M4588" s="34">
        <f>IF($K4588=1,INDEX(Mensal!$D$2:$D$245,MATCH($I4588,Mensal!$A$2:$A$245,0)),"")</f>
        <v/>
      </c>
      <c r="N4588" s="34">
        <f>IF($K4588=1,L4588-M4588,"")</f>
        <v/>
      </c>
      <c r="O4588" s="34" t="n">
        <v>0.00040168</v>
      </c>
      <c r="P4588" s="34">
        <f>IF($J4588=1,LN(1+O4588),"")</f>
        <v/>
      </c>
      <c r="Q4588" s="34">
        <f>IF($J4588=1,LN(R4589/R4588),"")</f>
        <v/>
      </c>
      <c r="R4588" s="32" t="n">
        <v>5.7068</v>
      </c>
      <c r="S4588" s="35" t="n">
        <v>12.53</v>
      </c>
      <c r="T4588" s="18" t="n"/>
      <c r="U4588" s="18" t="n">
        <v>130361.56</v>
      </c>
      <c r="V4588" s="18" t="n"/>
      <c r="W4588" s="18" t="n"/>
      <c r="X4588" s="35" t="n">
        <v>12.53</v>
      </c>
      <c r="Y4588" s="35" t="n"/>
    </row>
    <row r="4589">
      <c r="A4589" s="25" t="n">
        <v>45587</v>
      </c>
      <c r="B4589" s="18" t="n">
        <v>129951.37</v>
      </c>
      <c r="C4589" s="31" t="n"/>
      <c r="D4589" s="32" t="n"/>
      <c r="E4589" s="33" t="n">
        <v>-0.5281</v>
      </c>
      <c r="F4589" t="inlineStr">
        <is>
          <t>Up</t>
        </is>
      </c>
      <c r="G4589" t="inlineStr">
        <is>
          <t>Up</t>
        </is>
      </c>
      <c r="H4589" t="inlineStr">
        <is>
          <t>EU_JU</t>
        </is>
      </c>
      <c r="I4589" t="inlineStr">
        <is>
          <t>2024-10</t>
        </is>
      </c>
      <c r="J4589" t="n">
        <v>1</v>
      </c>
      <c r="K4589" t="n">
        <v>1</v>
      </c>
      <c r="L4589" s="34">
        <f>IF($J4589=1,LN(B4590/B4589),"")</f>
        <v/>
      </c>
      <c r="M4589" s="34">
        <f>IF($K4589=1,INDEX(Mensal!$D$2:$D$245,MATCH($I4589,Mensal!$A$2:$A$245,0)),"")</f>
        <v/>
      </c>
      <c r="N4589" s="34">
        <f>IF($K4589=1,L4589-M4589,"")</f>
        <v/>
      </c>
      <c r="O4589" s="34" t="n">
        <v>0.00040168</v>
      </c>
      <c r="P4589" s="34">
        <f>IF($J4589=1,LN(1+O4589),"")</f>
        <v/>
      </c>
      <c r="Q4589" s="34">
        <f>IF($J4589=1,LN(R4590/R4589),"")</f>
        <v/>
      </c>
      <c r="R4589" s="32" t="n">
        <v>5.6958</v>
      </c>
      <c r="S4589" s="35" t="n">
        <v>12.56</v>
      </c>
      <c r="T4589" s="18" t="n"/>
      <c r="U4589" s="18" t="n">
        <v>129951.37</v>
      </c>
      <c r="V4589" s="18" t="n"/>
      <c r="W4589" s="18" t="n"/>
      <c r="X4589" s="35" t="n">
        <v>12.56</v>
      </c>
      <c r="Y4589" s="35" t="n"/>
    </row>
    <row r="4590">
      <c r="A4590" s="25" t="n">
        <v>45588</v>
      </c>
      <c r="B4590" s="18" t="n">
        <v>129233.11</v>
      </c>
      <c r="C4590" s="31" t="n"/>
      <c r="D4590" s="32" t="n"/>
      <c r="E4590" s="33" t="n">
        <v>-0.5204</v>
      </c>
      <c r="F4590" t="inlineStr">
        <is>
          <t>Up</t>
        </is>
      </c>
      <c r="G4590" t="inlineStr">
        <is>
          <t>Up</t>
        </is>
      </c>
      <c r="H4590" t="inlineStr">
        <is>
          <t>EU_JU</t>
        </is>
      </c>
      <c r="I4590" t="inlineStr">
        <is>
          <t>2024-10</t>
        </is>
      </c>
      <c r="J4590" t="n">
        <v>1</v>
      </c>
      <c r="K4590" t="n">
        <v>1</v>
      </c>
      <c r="L4590" s="34">
        <f>IF($J4590=1,LN(B4591/B4590),"")</f>
        <v/>
      </c>
      <c r="M4590" s="34">
        <f>IF($K4590=1,INDEX(Mensal!$D$2:$D$245,MATCH($I4590,Mensal!$A$2:$A$245,0)),"")</f>
        <v/>
      </c>
      <c r="N4590" s="34">
        <f>IF($K4590=1,L4590-M4590,"")</f>
        <v/>
      </c>
      <c r="O4590" s="34" t="n">
        <v>0.00040168</v>
      </c>
      <c r="P4590" s="34">
        <f>IF($J4590=1,LN(1+O4590),"")</f>
        <v/>
      </c>
      <c r="Q4590" s="34">
        <f>IF($J4590=1,LN(R4591/R4590),"")</f>
        <v/>
      </c>
      <c r="R4590" s="32" t="n">
        <v>5.7149</v>
      </c>
      <c r="S4590" s="35" t="n">
        <v>12.6</v>
      </c>
      <c r="T4590" s="18" t="n"/>
      <c r="U4590" s="18" t="n">
        <v>129233.11</v>
      </c>
      <c r="V4590" s="18" t="n"/>
      <c r="W4590" s="18" t="n"/>
      <c r="X4590" s="35" t="n">
        <v>12.6</v>
      </c>
      <c r="Y4590" s="35" t="n"/>
    </row>
    <row r="4591">
      <c r="A4591" s="25" t="n">
        <v>45589</v>
      </c>
      <c r="B4591" s="18" t="n">
        <v>130066.95</v>
      </c>
      <c r="C4591" s="31" t="n"/>
      <c r="D4591" s="32" t="n"/>
      <c r="E4591" s="33" t="n">
        <v>-0.5097</v>
      </c>
      <c r="F4591" t="inlineStr">
        <is>
          <t>Up</t>
        </is>
      </c>
      <c r="G4591" t="inlineStr">
        <is>
          <t>Up</t>
        </is>
      </c>
      <c r="H4591" t="inlineStr">
        <is>
          <t>EU_JU</t>
        </is>
      </c>
      <c r="I4591" t="inlineStr">
        <is>
          <t>2024-10</t>
        </is>
      </c>
      <c r="J4591" t="n">
        <v>1</v>
      </c>
      <c r="K4591" t="n">
        <v>1</v>
      </c>
      <c r="L4591" s="34">
        <f>IF($J4591=1,LN(B4592/B4591),"")</f>
        <v/>
      </c>
      <c r="M4591" s="34">
        <f>IF($K4591=1,INDEX(Mensal!$D$2:$D$245,MATCH($I4591,Mensal!$A$2:$A$245,0)),"")</f>
        <v/>
      </c>
      <c r="N4591" s="34">
        <f>IF($K4591=1,L4591-M4591,"")</f>
        <v/>
      </c>
      <c r="O4591" s="34" t="n">
        <v>0.00040168</v>
      </c>
      <c r="P4591" s="34">
        <f>IF($J4591=1,LN(1+O4591),"")</f>
        <v/>
      </c>
      <c r="Q4591" s="34">
        <f>IF($J4591=1,LN(R4592/R4591),"")</f>
        <v/>
      </c>
      <c r="R4591" s="32" t="n">
        <v>5.7087</v>
      </c>
      <c r="S4591" s="35" t="n">
        <v>12.47</v>
      </c>
      <c r="T4591" s="18" t="n"/>
      <c r="U4591" s="18" t="n">
        <v>130066.95</v>
      </c>
      <c r="V4591" s="18" t="n"/>
      <c r="W4591" s="18" t="n"/>
      <c r="X4591" s="35" t="n">
        <v>12.47</v>
      </c>
      <c r="Y4591" s="35" t="n"/>
    </row>
    <row r="4592">
      <c r="A4592" s="25" t="n">
        <v>45590</v>
      </c>
      <c r="B4592" s="18" t="n">
        <v>129893.32</v>
      </c>
      <c r="C4592" s="31" t="n"/>
      <c r="D4592" s="32" t="n"/>
      <c r="E4592" s="33" t="n">
        <v>-0.4664</v>
      </c>
      <c r="F4592" t="inlineStr">
        <is>
          <t>Up</t>
        </is>
      </c>
      <c r="G4592" t="inlineStr">
        <is>
          <t>Up</t>
        </is>
      </c>
      <c r="H4592" t="inlineStr">
        <is>
          <t>EU_JU</t>
        </is>
      </c>
      <c r="I4592" t="inlineStr">
        <is>
          <t>2024-10</t>
        </is>
      </c>
      <c r="J4592" t="n">
        <v>1</v>
      </c>
      <c r="K4592" t="n">
        <v>1</v>
      </c>
      <c r="L4592" s="34">
        <f>IF($J4592=1,LN(B4593/B4592),"")</f>
        <v/>
      </c>
      <c r="M4592" s="34">
        <f>IF($K4592=1,INDEX(Mensal!$D$2:$D$245,MATCH($I4592,Mensal!$A$2:$A$245,0)),"")</f>
        <v/>
      </c>
      <c r="N4592" s="34">
        <f>IF($K4592=1,L4592-M4592,"")</f>
        <v/>
      </c>
      <c r="O4592" s="34" t="n">
        <v>0.00040168</v>
      </c>
      <c r="P4592" s="34">
        <f>IF($J4592=1,LN(1+O4592),"")</f>
        <v/>
      </c>
      <c r="Q4592" s="34">
        <f>IF($J4592=1,LN(R4593/R4592),"")</f>
        <v/>
      </c>
      <c r="R4592" s="32" t="n">
        <v>5.6969</v>
      </c>
      <c r="S4592" s="35" t="n">
        <v>12.56</v>
      </c>
      <c r="T4592" s="18" t="n"/>
      <c r="U4592" s="18" t="n">
        <v>129893.32</v>
      </c>
      <c r="V4592" s="18" t="n"/>
      <c r="W4592" s="18" t="n"/>
      <c r="X4592" s="35" t="n">
        <v>12.56</v>
      </c>
      <c r="Y4592" s="35" t="n"/>
    </row>
    <row r="4593">
      <c r="A4593" s="25" t="n">
        <v>45593</v>
      </c>
      <c r="B4593" s="18" t="n">
        <v>131212.58</v>
      </c>
      <c r="C4593" s="31" t="n"/>
      <c r="D4593" s="32" t="n"/>
      <c r="E4593" s="33" t="n">
        <v>-0.4283</v>
      </c>
      <c r="F4593" t="inlineStr">
        <is>
          <t>Up</t>
        </is>
      </c>
      <c r="G4593" t="inlineStr">
        <is>
          <t>Up</t>
        </is>
      </c>
      <c r="H4593" t="inlineStr">
        <is>
          <t>EU_JU</t>
        </is>
      </c>
      <c r="I4593" t="inlineStr">
        <is>
          <t>2024-10</t>
        </is>
      </c>
      <c r="J4593" t="n">
        <v>1</v>
      </c>
      <c r="K4593" t="n">
        <v>1</v>
      </c>
      <c r="L4593" s="34">
        <f>IF($J4593=1,LN(B4594/B4593),"")</f>
        <v/>
      </c>
      <c r="M4593" s="34">
        <f>IF($K4593=1,INDEX(Mensal!$D$2:$D$245,MATCH($I4593,Mensal!$A$2:$A$245,0)),"")</f>
        <v/>
      </c>
      <c r="N4593" s="34">
        <f>IF($K4593=1,L4593-M4593,"")</f>
        <v/>
      </c>
      <c r="O4593" s="34" t="n">
        <v>0.00040168</v>
      </c>
      <c r="P4593" s="34">
        <f>IF($J4593=1,LN(1+O4593),"")</f>
        <v/>
      </c>
      <c r="Q4593" s="34">
        <f>IF($J4593=1,LN(R4594/R4593),"")</f>
        <v/>
      </c>
      <c r="R4593" s="32" t="n">
        <v>5.6988</v>
      </c>
      <c r="S4593" s="35" t="n">
        <v>12.58</v>
      </c>
      <c r="T4593" s="18" t="n"/>
      <c r="U4593" s="18" t="n">
        <v>131212.58</v>
      </c>
      <c r="V4593" s="18" t="n"/>
      <c r="W4593" s="18" t="n"/>
      <c r="X4593" s="35" t="n">
        <v>12.58</v>
      </c>
      <c r="Y4593" s="35" t="n"/>
    </row>
    <row r="4594">
      <c r="A4594" s="25" t="n">
        <v>45594</v>
      </c>
      <c r="B4594" s="18" t="n">
        <v>130729.93</v>
      </c>
      <c r="C4594" s="31" t="n"/>
      <c r="D4594" s="32" t="n"/>
      <c r="E4594" s="33" t="n">
        <v>-0.387</v>
      </c>
      <c r="F4594" t="inlineStr">
        <is>
          <t>Up</t>
        </is>
      </c>
      <c r="G4594" t="inlineStr">
        <is>
          <t>Up</t>
        </is>
      </c>
      <c r="H4594" t="inlineStr">
        <is>
          <t>EU_JU</t>
        </is>
      </c>
      <c r="I4594" t="inlineStr">
        <is>
          <t>2024-10</t>
        </is>
      </c>
      <c r="J4594" t="n">
        <v>1</v>
      </c>
      <c r="K4594" t="n">
        <v>1</v>
      </c>
      <c r="L4594" s="34">
        <f>IF($J4594=1,LN(B4595/B4594),"")</f>
        <v/>
      </c>
      <c r="M4594" s="34">
        <f>IF($K4594=1,INDEX(Mensal!$D$2:$D$245,MATCH($I4594,Mensal!$A$2:$A$245,0)),"")</f>
        <v/>
      </c>
      <c r="N4594" s="34">
        <f>IF($K4594=1,L4594-M4594,"")</f>
        <v/>
      </c>
      <c r="O4594" s="34" t="n">
        <v>0.00040168</v>
      </c>
      <c r="P4594" s="34">
        <f>IF($J4594=1,LN(1+O4594),"")</f>
        <v/>
      </c>
      <c r="Q4594" s="34">
        <f>IF($J4594=1,LN(R4595/R4594),"")</f>
        <v/>
      </c>
      <c r="R4594" s="32" t="n">
        <v>5.714</v>
      </c>
      <c r="S4594" s="35" t="n">
        <v>12.63</v>
      </c>
      <c r="T4594" s="18" t="n"/>
      <c r="U4594" s="18" t="n">
        <v>130729.93</v>
      </c>
      <c r="V4594" s="18" t="n"/>
      <c r="W4594" s="18" t="n"/>
      <c r="X4594" s="35" t="n">
        <v>12.63</v>
      </c>
      <c r="Y4594" s="35" t="n"/>
    </row>
    <row r="4595">
      <c r="A4595" s="25" t="n">
        <v>45595</v>
      </c>
      <c r="B4595" s="18" t="n">
        <v>130639.33</v>
      </c>
      <c r="C4595" s="31" t="n"/>
      <c r="D4595" s="32" t="n"/>
      <c r="E4595" s="33" t="n">
        <v>-0.3668</v>
      </c>
      <c r="F4595" t="inlineStr">
        <is>
          <t>Up</t>
        </is>
      </c>
      <c r="G4595" t="inlineStr">
        <is>
          <t>Up</t>
        </is>
      </c>
      <c r="H4595" t="inlineStr">
        <is>
          <t>EU_JU</t>
        </is>
      </c>
      <c r="I4595" t="inlineStr">
        <is>
          <t>2024-10</t>
        </is>
      </c>
      <c r="J4595" t="n">
        <v>1</v>
      </c>
      <c r="K4595" t="n">
        <v>1</v>
      </c>
      <c r="L4595" s="34">
        <f>IF($J4595=1,LN(B4596/B4595),"")</f>
        <v/>
      </c>
      <c r="M4595" s="34">
        <f>IF($K4595=1,INDEX(Mensal!$D$2:$D$245,MATCH($I4595,Mensal!$A$2:$A$245,0)),"")</f>
        <v/>
      </c>
      <c r="N4595" s="34">
        <f>IF($K4595=1,L4595-M4595,"")</f>
        <v/>
      </c>
      <c r="O4595" s="34" t="n">
        <v>0.00040168</v>
      </c>
      <c r="P4595" s="34">
        <f>IF($J4595=1,LN(1+O4595),"")</f>
        <v/>
      </c>
      <c r="Q4595" s="34">
        <f>IF($J4595=1,LN(R4596/R4595),"")</f>
        <v/>
      </c>
      <c r="R4595" s="32" t="n">
        <v>5.7801</v>
      </c>
      <c r="S4595" s="35" t="n">
        <v>12.64</v>
      </c>
      <c r="T4595" s="18" t="n"/>
      <c r="U4595" s="18" t="n">
        <v>130639.33</v>
      </c>
      <c r="V4595" s="18" t="n"/>
      <c r="W4595" s="18" t="n"/>
      <c r="X4595" s="35" t="n">
        <v>12.64</v>
      </c>
      <c r="Y4595" s="35" t="n"/>
    </row>
    <row r="4596">
      <c r="A4596" s="25" t="n">
        <v>45596</v>
      </c>
      <c r="B4596" s="18" t="n">
        <v>129713.33</v>
      </c>
      <c r="C4596" s="31" t="n"/>
      <c r="D4596" s="32" t="n"/>
      <c r="E4596" s="33" t="n">
        <v>-0.3267</v>
      </c>
      <c r="F4596" t="inlineStr">
        <is>
          <t>Up</t>
        </is>
      </c>
      <c r="G4596" t="inlineStr">
        <is>
          <t>Up</t>
        </is>
      </c>
      <c r="H4596" t="inlineStr">
        <is>
          <t>EU_JU</t>
        </is>
      </c>
      <c r="I4596" t="inlineStr">
        <is>
          <t>2024-10</t>
        </is>
      </c>
      <c r="J4596" t="n">
        <v>1</v>
      </c>
      <c r="K4596" t="n">
        <v>1</v>
      </c>
      <c r="L4596" s="34">
        <f>IF($J4596=1,LN(B4597/B4596),"")</f>
        <v/>
      </c>
      <c r="M4596" s="34">
        <f>IF($K4596=1,INDEX(Mensal!$D$2:$D$245,MATCH($I4596,Mensal!$A$2:$A$245,0)),"")</f>
        <v/>
      </c>
      <c r="N4596" s="34">
        <f>IF($K4596=1,L4596-M4596,"")</f>
        <v/>
      </c>
      <c r="O4596" s="34" t="n">
        <v>0.00040168</v>
      </c>
      <c r="P4596" s="34">
        <f>IF($J4596=1,LN(1+O4596),"")</f>
        <v/>
      </c>
      <c r="Q4596" s="34">
        <f>IF($J4596=1,LN(R4597/R4596),"")</f>
        <v/>
      </c>
      <c r="R4596" s="32" t="n">
        <v>5.7779</v>
      </c>
      <c r="S4596" s="35" t="n">
        <v>12.67</v>
      </c>
      <c r="T4596" s="18" t="n"/>
      <c r="U4596" s="18" t="n">
        <v>129713.33</v>
      </c>
      <c r="V4596" s="18" t="n"/>
      <c r="W4596" s="18" t="n"/>
      <c r="X4596" s="35" t="n">
        <v>12.67</v>
      </c>
      <c r="Y4596" s="35" t="n"/>
    </row>
    <row r="4597">
      <c r="A4597" s="25" t="n">
        <v>45597</v>
      </c>
      <c r="B4597" s="18" t="n">
        <v>128120.75</v>
      </c>
      <c r="C4597" s="31" t="n"/>
      <c r="D4597" s="32" t="n"/>
      <c r="E4597" s="33" t="n">
        <v>-0.2867</v>
      </c>
      <c r="F4597" t="inlineStr">
        <is>
          <t>Down</t>
        </is>
      </c>
      <c r="G4597" t="inlineStr">
        <is>
          <t>Up</t>
        </is>
      </c>
      <c r="H4597" t="inlineStr">
        <is>
          <t>ED_JU</t>
        </is>
      </c>
      <c r="I4597" t="inlineStr">
        <is>
          <t>2024-11</t>
        </is>
      </c>
      <c r="J4597" t="n">
        <v>1</v>
      </c>
      <c r="K4597" t="n">
        <v>1</v>
      </c>
      <c r="L4597" s="34">
        <f>IF($J4597=1,LN(B4598/B4597),"")</f>
        <v/>
      </c>
      <c r="M4597" s="34">
        <f>IF($K4597=1,INDEX(Mensal!$D$2:$D$245,MATCH($I4597,Mensal!$A$2:$A$245,0)),"")</f>
        <v/>
      </c>
      <c r="N4597" s="34">
        <f>IF($K4597=1,L4597-M4597,"")</f>
        <v/>
      </c>
      <c r="O4597" s="34" t="n">
        <v>0.00040168</v>
      </c>
      <c r="P4597" s="34">
        <f>IF($J4597=1,LN(1+O4597),"")</f>
        <v/>
      </c>
      <c r="Q4597" s="34">
        <f>IF($J4597=1,LN(R4598/R4597),"")</f>
        <v/>
      </c>
      <c r="R4597" s="32" t="n">
        <v>5.8073</v>
      </c>
      <c r="S4597" s="35" t="n">
        <v>12.95</v>
      </c>
      <c r="T4597" s="18" t="n"/>
      <c r="U4597" s="18" t="n"/>
      <c r="V4597" s="18" t="n"/>
      <c r="W4597" s="18" t="n">
        <v>128120.75</v>
      </c>
      <c r="X4597" s="35" t="n">
        <v>12.95</v>
      </c>
      <c r="Y4597" s="35" t="n"/>
    </row>
    <row r="4598">
      <c r="A4598" s="25" t="n">
        <v>45600</v>
      </c>
      <c r="B4598" s="18" t="n">
        <v>130514.79</v>
      </c>
      <c r="C4598" s="31" t="n"/>
      <c r="D4598" s="32" t="n"/>
      <c r="E4598" s="33" t="n">
        <v>-0.2464</v>
      </c>
      <c r="F4598" t="inlineStr">
        <is>
          <t>Down</t>
        </is>
      </c>
      <c r="G4598" t="inlineStr">
        <is>
          <t>Up</t>
        </is>
      </c>
      <c r="H4598" t="inlineStr">
        <is>
          <t>ED_JU</t>
        </is>
      </c>
      <c r="I4598" t="inlineStr">
        <is>
          <t>2024-11</t>
        </is>
      </c>
      <c r="J4598" t="n">
        <v>1</v>
      </c>
      <c r="K4598" t="n">
        <v>1</v>
      </c>
      <c r="L4598" s="34">
        <f>IF($J4598=1,LN(B4599/B4598),"")</f>
        <v/>
      </c>
      <c r="M4598" s="34">
        <f>IF($K4598=1,INDEX(Mensal!$D$2:$D$245,MATCH($I4598,Mensal!$A$2:$A$245,0)),"")</f>
        <v/>
      </c>
      <c r="N4598" s="34">
        <f>IF($K4598=1,L4598-M4598,"")</f>
        <v/>
      </c>
      <c r="O4598" s="34" t="n">
        <v>0.00040168</v>
      </c>
      <c r="P4598" s="34">
        <f>IF($J4598=1,LN(1+O4598),"")</f>
        <v/>
      </c>
      <c r="Q4598" s="34">
        <f>IF($J4598=1,LN(R4599/R4598),"")</f>
        <v/>
      </c>
      <c r="R4598" s="32" t="n">
        <v>5.7898</v>
      </c>
      <c r="S4598" s="35" t="n">
        <v>12.76</v>
      </c>
      <c r="T4598" s="18" t="n"/>
      <c r="U4598" s="18" t="n"/>
      <c r="V4598" s="18" t="n"/>
      <c r="W4598" s="18" t="n">
        <v>130514.79</v>
      </c>
      <c r="X4598" s="35" t="n">
        <v>12.76</v>
      </c>
      <c r="Y4598" s="35" t="n"/>
    </row>
    <row r="4599">
      <c r="A4599" s="25" t="n">
        <v>45601</v>
      </c>
      <c r="B4599" s="18" t="n">
        <v>130660.75</v>
      </c>
      <c r="C4599" s="31" t="n"/>
      <c r="D4599" s="32" t="n"/>
      <c r="E4599" s="33" t="n">
        <v>-0.2176</v>
      </c>
      <c r="F4599" t="inlineStr">
        <is>
          <t>Down</t>
        </is>
      </c>
      <c r="G4599" t="inlineStr">
        <is>
          <t>Up</t>
        </is>
      </c>
      <c r="H4599" t="inlineStr">
        <is>
          <t>ED_JU</t>
        </is>
      </c>
      <c r="I4599" t="inlineStr">
        <is>
          <t>2024-11</t>
        </is>
      </c>
      <c r="J4599" t="n">
        <v>1</v>
      </c>
      <c r="K4599" t="n">
        <v>1</v>
      </c>
      <c r="L4599" s="34">
        <f>IF($J4599=1,LN(B4600/B4599),"")</f>
        <v/>
      </c>
      <c r="M4599" s="34">
        <f>IF($K4599=1,INDEX(Mensal!$D$2:$D$245,MATCH($I4599,Mensal!$A$2:$A$245,0)),"")</f>
        <v/>
      </c>
      <c r="N4599" s="34">
        <f>IF($K4599=1,L4599-M4599,"")</f>
        <v/>
      </c>
      <c r="O4599" s="34" t="n">
        <v>0.00040168</v>
      </c>
      <c r="P4599" s="34">
        <f>IF($J4599=1,LN(1+O4599),"")</f>
        <v/>
      </c>
      <c r="Q4599" s="34">
        <f>IF($J4599=1,LN(R4600/R4599),"")</f>
        <v/>
      </c>
      <c r="R4599" s="32" t="n">
        <v>5.7846</v>
      </c>
      <c r="S4599" s="35" t="n">
        <v>12.74</v>
      </c>
      <c r="T4599" s="18" t="n"/>
      <c r="U4599" s="18" t="n"/>
      <c r="V4599" s="18" t="n"/>
      <c r="W4599" s="18" t="n">
        <v>130660.75</v>
      </c>
      <c r="X4599" s="35" t="n">
        <v>12.74</v>
      </c>
      <c r="Y4599" s="35" t="n"/>
    </row>
    <row r="4600">
      <c r="A4600" s="25" t="n">
        <v>45602</v>
      </c>
      <c r="B4600" s="18" t="n">
        <v>130340.92</v>
      </c>
      <c r="C4600" s="31" t="n"/>
      <c r="D4600" s="32" t="n"/>
      <c r="E4600" s="33" t="n">
        <v>-0.1836</v>
      </c>
      <c r="F4600" t="inlineStr">
        <is>
          <t>Down</t>
        </is>
      </c>
      <c r="G4600" t="inlineStr">
        <is>
          <t>Up</t>
        </is>
      </c>
      <c r="H4600" t="inlineStr">
        <is>
          <t>ED_JU</t>
        </is>
      </c>
      <c r="I4600" t="inlineStr">
        <is>
          <t>2024-11</t>
        </is>
      </c>
      <c r="J4600" t="n">
        <v>1</v>
      </c>
      <c r="K4600" t="n">
        <v>1</v>
      </c>
      <c r="L4600" s="34">
        <f>IF($J4600=1,LN(B4601/B4600),"")</f>
        <v/>
      </c>
      <c r="M4600" s="34">
        <f>IF($K4600=1,INDEX(Mensal!$D$2:$D$245,MATCH($I4600,Mensal!$A$2:$A$245,0)),"")</f>
        <v/>
      </c>
      <c r="N4600" s="34">
        <f>IF($K4600=1,L4600-M4600,"")</f>
        <v/>
      </c>
      <c r="O4600" s="34" t="n">
        <v>0.00040168</v>
      </c>
      <c r="P4600" s="34">
        <f>IF($J4600=1,LN(1+O4600),"")</f>
        <v/>
      </c>
      <c r="Q4600" s="34">
        <f>IF($J4600=1,LN(R4601/R4600),"")</f>
        <v/>
      </c>
      <c r="R4600" s="32" t="n">
        <v>5.7648</v>
      </c>
      <c r="S4600" s="35" t="n">
        <v>12.84</v>
      </c>
      <c r="T4600" s="18" t="n"/>
      <c r="U4600" s="18" t="n"/>
      <c r="V4600" s="18" t="n"/>
      <c r="W4600" s="18" t="n">
        <v>130340.92</v>
      </c>
      <c r="X4600" s="35" t="n">
        <v>12.84</v>
      </c>
      <c r="Y4600" s="35" t="n"/>
    </row>
    <row r="4601">
      <c r="A4601" s="25" t="n">
        <v>45603</v>
      </c>
      <c r="B4601" s="18" t="n">
        <v>129681.7</v>
      </c>
      <c r="C4601" s="31" t="n"/>
      <c r="D4601" s="32" t="n"/>
      <c r="E4601" s="33" t="n">
        <v>-0.1437</v>
      </c>
      <c r="F4601" t="inlineStr">
        <is>
          <t>Down</t>
        </is>
      </c>
      <c r="G4601" t="inlineStr">
        <is>
          <t>Up</t>
        </is>
      </c>
      <c r="H4601" t="inlineStr">
        <is>
          <t>ED_JU</t>
        </is>
      </c>
      <c r="I4601" t="inlineStr">
        <is>
          <t>2024-11</t>
        </is>
      </c>
      <c r="J4601" t="n">
        <v>1</v>
      </c>
      <c r="K4601" t="n">
        <v>1</v>
      </c>
      <c r="L4601" s="34">
        <f>IF($J4601=1,LN(B4602/B4601),"")</f>
        <v/>
      </c>
      <c r="M4601" s="34">
        <f>IF($K4601=1,INDEX(Mensal!$D$2:$D$245,MATCH($I4601,Mensal!$A$2:$A$245,0)),"")</f>
        <v/>
      </c>
      <c r="N4601" s="34">
        <f>IF($K4601=1,L4601-M4601,"")</f>
        <v/>
      </c>
      <c r="O4601" s="34" t="n">
        <v>0.00041957</v>
      </c>
      <c r="P4601" s="34">
        <f>IF($J4601=1,LN(1+O4601),"")</f>
        <v/>
      </c>
      <c r="Q4601" s="34">
        <f>IF($J4601=1,LN(R4602/R4601),"")</f>
        <v/>
      </c>
      <c r="R4601" s="32" t="n">
        <v>5.6624</v>
      </c>
      <c r="S4601" s="35" t="n">
        <v>12.89</v>
      </c>
      <c r="T4601" s="18" t="n"/>
      <c r="U4601" s="18" t="n"/>
      <c r="V4601" s="18" t="n"/>
      <c r="W4601" s="18" t="n">
        <v>129681.7</v>
      </c>
      <c r="X4601" s="35" t="n">
        <v>12.89</v>
      </c>
      <c r="Y4601" s="35" t="n"/>
    </row>
    <row r="4602">
      <c r="A4602" s="25" t="n">
        <v>45604</v>
      </c>
      <c r="B4602" s="18" t="n">
        <v>127829.8</v>
      </c>
      <c r="C4602" s="31" t="n"/>
      <c r="D4602" s="32" t="n"/>
      <c r="E4602" s="33" t="n">
        <v>-0.0992</v>
      </c>
      <c r="F4602" t="inlineStr">
        <is>
          <t>Down</t>
        </is>
      </c>
      <c r="G4602" t="inlineStr">
        <is>
          <t>Up</t>
        </is>
      </c>
      <c r="H4602" t="inlineStr">
        <is>
          <t>ED_JU</t>
        </is>
      </c>
      <c r="I4602" t="inlineStr">
        <is>
          <t>2024-11</t>
        </is>
      </c>
      <c r="J4602" t="n">
        <v>1</v>
      </c>
      <c r="K4602" t="n">
        <v>1</v>
      </c>
      <c r="L4602" s="34">
        <f>IF($J4602=1,LN(B4603/B4602),"")</f>
        <v/>
      </c>
      <c r="M4602" s="34">
        <f>IF($K4602=1,INDEX(Mensal!$D$2:$D$245,MATCH($I4602,Mensal!$A$2:$A$245,0)),"")</f>
        <v/>
      </c>
      <c r="N4602" s="34">
        <f>IF($K4602=1,L4602-M4602,"")</f>
        <v/>
      </c>
      <c r="O4602" s="34" t="n">
        <v>0.00041957</v>
      </c>
      <c r="P4602" s="34">
        <f>IF($J4602=1,LN(1+O4602),"")</f>
        <v/>
      </c>
      <c r="Q4602" s="34">
        <f>IF($J4602=1,LN(R4603/R4602),"")</f>
        <v/>
      </c>
      <c r="R4602" s="32" t="n">
        <v>5.7648</v>
      </c>
      <c r="S4602" s="35" t="n">
        <v>12.96</v>
      </c>
      <c r="T4602" s="18" t="n"/>
      <c r="U4602" s="18" t="n"/>
      <c r="V4602" s="18" t="n"/>
      <c r="W4602" s="18" t="n">
        <v>127829.8</v>
      </c>
      <c r="X4602" s="35" t="n">
        <v>12.96</v>
      </c>
      <c r="Y4602" s="35" t="n"/>
    </row>
    <row r="4603">
      <c r="A4603" s="25" t="n">
        <v>45607</v>
      </c>
      <c r="B4603" s="18" t="n">
        <v>127873.7</v>
      </c>
      <c r="C4603" s="31" t="n"/>
      <c r="D4603" s="32" t="n"/>
      <c r="E4603" s="33" t="n">
        <v>-0.054</v>
      </c>
      <c r="F4603" t="inlineStr">
        <is>
          <t>Down</t>
        </is>
      </c>
      <c r="G4603" t="inlineStr">
        <is>
          <t>Up</t>
        </is>
      </c>
      <c r="H4603" t="inlineStr">
        <is>
          <t>ED_JU</t>
        </is>
      </c>
      <c r="I4603" t="inlineStr">
        <is>
          <t>2024-11</t>
        </is>
      </c>
      <c r="J4603" t="n">
        <v>1</v>
      </c>
      <c r="K4603" t="n">
        <v>1</v>
      </c>
      <c r="L4603" s="34">
        <f>IF($J4603=1,LN(B4604/B4603),"")</f>
        <v/>
      </c>
      <c r="M4603" s="34">
        <f>IF($K4603=1,INDEX(Mensal!$D$2:$D$245,MATCH($I4603,Mensal!$A$2:$A$245,0)),"")</f>
        <v/>
      </c>
      <c r="N4603" s="34">
        <f>IF($K4603=1,L4603-M4603,"")</f>
        <v/>
      </c>
      <c r="O4603" s="34" t="n">
        <v>0.00041957</v>
      </c>
      <c r="P4603" s="34">
        <f>IF($J4603=1,LN(1+O4603),"")</f>
        <v/>
      </c>
      <c r="Q4603" s="34">
        <f>IF($J4603=1,LN(R4604/R4603),"")</f>
        <v/>
      </c>
      <c r="R4603" s="32" t="n">
        <v>5.798</v>
      </c>
      <c r="S4603" s="35" t="n">
        <v>13.04</v>
      </c>
      <c r="T4603" s="18" t="n"/>
      <c r="U4603" s="18" t="n"/>
      <c r="V4603" s="18" t="n"/>
      <c r="W4603" s="18" t="n">
        <v>127873.7</v>
      </c>
      <c r="X4603" s="35" t="n">
        <v>13.04</v>
      </c>
      <c r="Y4603" s="35" t="n"/>
    </row>
    <row r="4604">
      <c r="A4604" s="25" t="n">
        <v>45608</v>
      </c>
      <c r="B4604" s="18" t="n">
        <v>127698.32</v>
      </c>
      <c r="C4604" s="31" t="n"/>
      <c r="D4604" s="32" t="n"/>
      <c r="E4604" s="33" t="n">
        <v>-0.009599999999999999</v>
      </c>
      <c r="F4604" t="inlineStr">
        <is>
          <t>Down</t>
        </is>
      </c>
      <c r="G4604" t="inlineStr">
        <is>
          <t>Up</t>
        </is>
      </c>
      <c r="H4604" t="inlineStr">
        <is>
          <t>ED_JU</t>
        </is>
      </c>
      <c r="I4604" t="inlineStr">
        <is>
          <t>2024-11</t>
        </is>
      </c>
      <c r="J4604" t="n">
        <v>1</v>
      </c>
      <c r="K4604" t="n">
        <v>1</v>
      </c>
      <c r="L4604" s="34">
        <f>IF($J4604=1,LN(B4605/B4604),"")</f>
        <v/>
      </c>
      <c r="M4604" s="34">
        <f>IF($K4604=1,INDEX(Mensal!$D$2:$D$245,MATCH($I4604,Mensal!$A$2:$A$245,0)),"")</f>
        <v/>
      </c>
      <c r="N4604" s="34">
        <f>IF($K4604=1,L4604-M4604,"")</f>
        <v/>
      </c>
      <c r="O4604" s="34" t="n">
        <v>0.00041957</v>
      </c>
      <c r="P4604" s="34">
        <f>IF($J4604=1,LN(1+O4604),"")</f>
        <v/>
      </c>
      <c r="Q4604" s="34">
        <f>IF($J4604=1,LN(R4605/R4604),"")</f>
        <v/>
      </c>
      <c r="R4604" s="32" t="n">
        <v>5.7694</v>
      </c>
      <c r="S4604" s="35" t="n">
        <v>13.05</v>
      </c>
      <c r="T4604" s="18" t="n"/>
      <c r="U4604" s="18" t="n"/>
      <c r="V4604" s="18" t="n"/>
      <c r="W4604" s="18" t="n">
        <v>127698.32</v>
      </c>
      <c r="X4604" s="35" t="n">
        <v>13.05</v>
      </c>
      <c r="Y4604" s="35" t="n"/>
    </row>
    <row r="4605">
      <c r="A4605" s="25" t="n">
        <v>45609</v>
      </c>
      <c r="B4605" s="18" t="n">
        <v>127733.88</v>
      </c>
      <c r="C4605" s="31" t="n"/>
      <c r="D4605" s="32" t="n"/>
      <c r="E4605" s="33" t="n">
        <v>0.0356</v>
      </c>
      <c r="F4605" t="inlineStr">
        <is>
          <t>Down</t>
        </is>
      </c>
      <c r="G4605" t="inlineStr">
        <is>
          <t>Up</t>
        </is>
      </c>
      <c r="H4605" t="inlineStr">
        <is>
          <t>ED_JU</t>
        </is>
      </c>
      <c r="I4605" t="inlineStr">
        <is>
          <t>2024-11</t>
        </is>
      </c>
      <c r="J4605" t="n">
        <v>1</v>
      </c>
      <c r="K4605" t="n">
        <v>1</v>
      </c>
      <c r="L4605" s="34">
        <f>IF($J4605=1,LN(B4606/B4605),"")</f>
        <v/>
      </c>
      <c r="M4605" s="34">
        <f>IF($K4605=1,INDEX(Mensal!$D$2:$D$245,MATCH($I4605,Mensal!$A$2:$A$245,0)),"")</f>
        <v/>
      </c>
      <c r="N4605" s="34">
        <f>IF($K4605=1,L4605-M4605,"")</f>
        <v/>
      </c>
      <c r="O4605" s="34" t="n">
        <v>0.00041957</v>
      </c>
      <c r="P4605" s="34">
        <f>IF($J4605=1,LN(1+O4605),"")</f>
        <v/>
      </c>
      <c r="Q4605" s="34">
        <f>IF($J4605=1,LN(R4606/R4605),"")</f>
        <v/>
      </c>
      <c r="R4605" s="32" t="n">
        <v>5.7713</v>
      </c>
      <c r="S4605" s="35" t="n">
        <v>13.11</v>
      </c>
      <c r="T4605" s="18" t="n"/>
      <c r="U4605" s="18" t="n"/>
      <c r="V4605" s="18" t="n"/>
      <c r="W4605" s="18" t="n">
        <v>127733.88</v>
      </c>
      <c r="X4605" s="35" t="n">
        <v>13.11</v>
      </c>
      <c r="Y4605" s="35" t="n"/>
    </row>
    <row r="4606">
      <c r="A4606" s="25" t="n">
        <v>45610</v>
      </c>
      <c r="B4606" s="18" t="n">
        <v>127791.6</v>
      </c>
      <c r="C4606" s="31" t="n"/>
      <c r="D4606" s="32" t="n"/>
      <c r="E4606" s="33" t="n">
        <v>0.0834</v>
      </c>
      <c r="F4606" t="inlineStr">
        <is>
          <t>Down</t>
        </is>
      </c>
      <c r="G4606" t="inlineStr">
        <is>
          <t>Up</t>
        </is>
      </c>
      <c r="H4606" t="inlineStr">
        <is>
          <t>ED_JU</t>
        </is>
      </c>
      <c r="I4606" t="inlineStr">
        <is>
          <t>2024-11</t>
        </is>
      </c>
      <c r="J4606" t="n">
        <v>1</v>
      </c>
      <c r="K4606" t="n">
        <v>1</v>
      </c>
      <c r="L4606" s="34">
        <f>IF($J4606=1,LN(B4607/B4606),"")</f>
        <v/>
      </c>
      <c r="M4606" s="34">
        <f>IF($K4606=1,INDEX(Mensal!$D$2:$D$245,MATCH($I4606,Mensal!$A$2:$A$245,0)),"")</f>
        <v/>
      </c>
      <c r="N4606" s="34">
        <f>IF($K4606=1,L4606-M4606,"")</f>
        <v/>
      </c>
      <c r="O4606" s="34" t="n">
        <v>0.00041957</v>
      </c>
      <c r="P4606" s="34">
        <f>IF($J4606=1,LN(1+O4606),"")</f>
        <v/>
      </c>
      <c r="Q4606" s="34">
        <f>IF($J4606=1,LN(R4607/R4606),"")</f>
        <v/>
      </c>
      <c r="R4606" s="32" t="n">
        <v>5.7885</v>
      </c>
      <c r="S4606" s="35" t="n">
        <v>13.06</v>
      </c>
      <c r="T4606" s="18" t="n"/>
      <c r="U4606" s="18" t="n"/>
      <c r="V4606" s="18" t="n"/>
      <c r="W4606" s="18" t="n">
        <v>127791.6</v>
      </c>
      <c r="X4606" s="35" t="n">
        <v>13.06</v>
      </c>
      <c r="Y4606" s="35" t="n"/>
    </row>
    <row r="4607">
      <c r="A4607" s="25" t="n">
        <v>45614</v>
      </c>
      <c r="B4607" s="18" t="n">
        <v>127768.19</v>
      </c>
      <c r="C4607" s="31" t="n"/>
      <c r="D4607" s="32" t="n"/>
      <c r="E4607" s="33" t="n">
        <v>0.1324</v>
      </c>
      <c r="F4607" t="inlineStr">
        <is>
          <t>Down</t>
        </is>
      </c>
      <c r="G4607" t="inlineStr">
        <is>
          <t>Up</t>
        </is>
      </c>
      <c r="H4607" t="inlineStr">
        <is>
          <t>ED_JU</t>
        </is>
      </c>
      <c r="I4607" t="inlineStr">
        <is>
          <t>2024-11</t>
        </is>
      </c>
      <c r="J4607" t="n">
        <v>1</v>
      </c>
      <c r="K4607" t="n">
        <v>1</v>
      </c>
      <c r="L4607" s="34">
        <f>IF($J4607=1,LN(B4608/B4607),"")</f>
        <v/>
      </c>
      <c r="M4607" s="34">
        <f>IF($K4607=1,INDEX(Mensal!$D$2:$D$245,MATCH($I4607,Mensal!$A$2:$A$245,0)),"")</f>
        <v/>
      </c>
      <c r="N4607" s="34">
        <f>IF($K4607=1,L4607-M4607,"")</f>
        <v/>
      </c>
      <c r="O4607" s="34" t="n">
        <v>0.00041957</v>
      </c>
      <c r="P4607" s="34">
        <f>IF($J4607=1,LN(1+O4607),"")</f>
        <v/>
      </c>
      <c r="Q4607" s="34">
        <f>IF($J4607=1,LN(R4608/R4607),"")</f>
        <v/>
      </c>
      <c r="R4607" s="32" t="n">
        <v>5.7603</v>
      </c>
      <c r="S4607" s="35" t="n">
        <v>13.19</v>
      </c>
      <c r="T4607" s="18" t="n"/>
      <c r="U4607" s="18" t="n"/>
      <c r="V4607" s="18" t="n"/>
      <c r="W4607" s="18" t="n">
        <v>127768.19</v>
      </c>
      <c r="X4607" s="35" t="n">
        <v>13.19</v>
      </c>
      <c r="Y4607" s="35" t="n"/>
    </row>
    <row r="4608">
      <c r="A4608" s="25" t="n">
        <v>45615</v>
      </c>
      <c r="B4608" s="18" t="n">
        <v>128197.25</v>
      </c>
      <c r="C4608" s="31" t="n"/>
      <c r="D4608" s="32" t="n"/>
      <c r="E4608" s="33" t="n">
        <v>0.157</v>
      </c>
      <c r="F4608" t="inlineStr">
        <is>
          <t>Down</t>
        </is>
      </c>
      <c r="G4608" t="inlineStr">
        <is>
          <t>Up</t>
        </is>
      </c>
      <c r="H4608" t="inlineStr">
        <is>
          <t>ED_JU</t>
        </is>
      </c>
      <c r="I4608" t="inlineStr">
        <is>
          <t>2024-11</t>
        </is>
      </c>
      <c r="J4608" t="n">
        <v>1</v>
      </c>
      <c r="K4608" t="n">
        <v>1</v>
      </c>
      <c r="L4608" s="34">
        <f>IF($J4608=1,LN(B4609/B4608),"")</f>
        <v/>
      </c>
      <c r="M4608" s="34">
        <f>IF($K4608=1,INDEX(Mensal!$D$2:$D$245,MATCH($I4608,Mensal!$A$2:$A$245,0)),"")</f>
        <v/>
      </c>
      <c r="N4608" s="34">
        <f>IF($K4608=1,L4608-M4608,"")</f>
        <v/>
      </c>
      <c r="O4608" s="34" t="n">
        <v>0.00041957</v>
      </c>
      <c r="P4608" s="34">
        <f>IF($J4608=1,LN(1+O4608),"")</f>
        <v/>
      </c>
      <c r="Q4608" s="34">
        <f>IF($J4608=1,LN(R4609/R4608),"")</f>
        <v/>
      </c>
      <c r="R4608" s="32" t="n">
        <v>5.7743</v>
      </c>
      <c r="S4608" s="35" t="n">
        <v>13.1</v>
      </c>
      <c r="T4608" s="18" t="n"/>
      <c r="U4608" s="18" t="n"/>
      <c r="V4608" s="18" t="n"/>
      <c r="W4608" s="18" t="n">
        <v>128197.25</v>
      </c>
      <c r="X4608" s="35" t="n">
        <v>13.1</v>
      </c>
      <c r="Y4608" s="35" t="n"/>
    </row>
    <row r="4609">
      <c r="A4609" s="25" t="n">
        <v>45617</v>
      </c>
      <c r="B4609" s="18" t="n">
        <v>126922.11</v>
      </c>
      <c r="C4609" s="31" t="n"/>
      <c r="D4609" s="32" t="n"/>
      <c r="E4609" s="33" t="n">
        <v>0.2098</v>
      </c>
      <c r="F4609" t="inlineStr">
        <is>
          <t>Down</t>
        </is>
      </c>
      <c r="G4609" t="inlineStr">
        <is>
          <t>Up</t>
        </is>
      </c>
      <c r="H4609" t="inlineStr">
        <is>
          <t>ED_JU</t>
        </is>
      </c>
      <c r="I4609" t="inlineStr">
        <is>
          <t>2024-11</t>
        </is>
      </c>
      <c r="J4609" t="n">
        <v>1</v>
      </c>
      <c r="K4609" t="n">
        <v>1</v>
      </c>
      <c r="L4609" s="34">
        <f>IF($J4609=1,LN(B4610/B4609),"")</f>
        <v/>
      </c>
      <c r="M4609" s="34">
        <f>IF($K4609=1,INDEX(Mensal!$D$2:$D$245,MATCH($I4609,Mensal!$A$2:$A$245,0)),"")</f>
        <v/>
      </c>
      <c r="N4609" s="34">
        <f>IF($K4609=1,L4609-M4609,"")</f>
        <v/>
      </c>
      <c r="O4609" s="34" t="n">
        <v>0.00041957</v>
      </c>
      <c r="P4609" s="34">
        <f>IF($J4609=1,LN(1+O4609),"")</f>
        <v/>
      </c>
      <c r="Q4609" s="34">
        <f>IF($J4609=1,LN(R4610/R4609),"")</f>
        <v/>
      </c>
      <c r="R4609" s="32" t="n">
        <v>5.8173</v>
      </c>
      <c r="S4609" s="35" t="n">
        <v>13.08</v>
      </c>
      <c r="T4609" s="18" t="n"/>
      <c r="U4609" s="18" t="n"/>
      <c r="V4609" s="18" t="n"/>
      <c r="W4609" s="18" t="n">
        <v>126922.11</v>
      </c>
      <c r="X4609" s="35" t="n">
        <v>13.08</v>
      </c>
      <c r="Y4609" s="35" t="n"/>
    </row>
    <row r="4610">
      <c r="A4610" s="25" t="n">
        <v>45618</v>
      </c>
      <c r="B4610" s="18" t="n">
        <v>129125.51</v>
      </c>
      <c r="C4610" s="31" t="n"/>
      <c r="D4610" s="32" t="n"/>
      <c r="E4610" s="33" t="n">
        <v>0.2646</v>
      </c>
      <c r="F4610" t="inlineStr">
        <is>
          <t>Down</t>
        </is>
      </c>
      <c r="G4610" t="inlineStr">
        <is>
          <t>Up</t>
        </is>
      </c>
      <c r="H4610" t="inlineStr">
        <is>
          <t>ED_JU</t>
        </is>
      </c>
      <c r="I4610" t="inlineStr">
        <is>
          <t>2024-11</t>
        </is>
      </c>
      <c r="J4610" t="n">
        <v>1</v>
      </c>
      <c r="K4610" t="n">
        <v>1</v>
      </c>
      <c r="L4610" s="34">
        <f>IF($J4610=1,LN(B4611/B4610),"")</f>
        <v/>
      </c>
      <c r="M4610" s="34">
        <f>IF($K4610=1,INDEX(Mensal!$D$2:$D$245,MATCH($I4610,Mensal!$A$2:$A$245,0)),"")</f>
        <v/>
      </c>
      <c r="N4610" s="34">
        <f>IF($K4610=1,L4610-M4610,"")</f>
        <v/>
      </c>
      <c r="O4610" s="34" t="n">
        <v>0.00041957</v>
      </c>
      <c r="P4610" s="34">
        <f>IF($J4610=1,LN(1+O4610),"")</f>
        <v/>
      </c>
      <c r="Q4610" s="34">
        <f>IF($J4610=1,LN(R4611/R4610),"")</f>
        <v/>
      </c>
      <c r="R4610" s="32" t="n">
        <v>5.8124</v>
      </c>
      <c r="S4610" s="35" t="n">
        <v>13.13</v>
      </c>
      <c r="T4610" s="18" t="n"/>
      <c r="U4610" s="18" t="n"/>
      <c r="V4610" s="18" t="n"/>
      <c r="W4610" s="18" t="n">
        <v>129125.51</v>
      </c>
      <c r="X4610" s="35" t="n">
        <v>13.13</v>
      </c>
      <c r="Y4610" s="35" t="n"/>
    </row>
    <row r="4611">
      <c r="A4611" s="25" t="n">
        <v>45621</v>
      </c>
      <c r="B4611" s="18" t="n">
        <v>129036.1</v>
      </c>
      <c r="C4611" s="31" t="n"/>
      <c r="D4611" s="32" t="n"/>
      <c r="E4611" s="33" t="n">
        <v>0.3156</v>
      </c>
      <c r="F4611" t="inlineStr">
        <is>
          <t>Down</t>
        </is>
      </c>
      <c r="G4611" t="inlineStr">
        <is>
          <t>Up</t>
        </is>
      </c>
      <c r="H4611" t="inlineStr">
        <is>
          <t>ED_JU</t>
        </is>
      </c>
      <c r="I4611" t="inlineStr">
        <is>
          <t>2024-11</t>
        </is>
      </c>
      <c r="J4611" t="n">
        <v>1</v>
      </c>
      <c r="K4611" t="n">
        <v>1</v>
      </c>
      <c r="L4611" s="34">
        <f>IF($J4611=1,LN(B4612/B4611),"")</f>
        <v/>
      </c>
      <c r="M4611" s="34">
        <f>IF($K4611=1,INDEX(Mensal!$D$2:$D$245,MATCH($I4611,Mensal!$A$2:$A$245,0)),"")</f>
        <v/>
      </c>
      <c r="N4611" s="34">
        <f>IF($K4611=1,L4611-M4611,"")</f>
        <v/>
      </c>
      <c r="O4611" s="34" t="n">
        <v>0.00041957</v>
      </c>
      <c r="P4611" s="34">
        <f>IF($J4611=1,LN(1+O4611),"")</f>
        <v/>
      </c>
      <c r="Q4611" s="34">
        <f>IF($J4611=1,LN(R4612/R4611),"")</f>
        <v/>
      </c>
      <c r="R4611" s="32" t="n">
        <v>5.8002</v>
      </c>
      <c r="S4611" s="35" t="n">
        <v>13.18</v>
      </c>
      <c r="T4611" s="18" t="n"/>
      <c r="U4611" s="18" t="n"/>
      <c r="V4611" s="18" t="n"/>
      <c r="W4611" s="18" t="n">
        <v>129036.1</v>
      </c>
      <c r="X4611" s="35" t="n">
        <v>13.18</v>
      </c>
      <c r="Y4611" s="35" t="n"/>
    </row>
    <row r="4612">
      <c r="A4612" s="25" t="n">
        <v>45622</v>
      </c>
      <c r="B4612" s="18" t="n">
        <v>129922.38</v>
      </c>
      <c r="C4612" s="31" t="n"/>
      <c r="D4612" s="32" t="n"/>
      <c r="E4612" s="33" t="n">
        <v>0.3645</v>
      </c>
      <c r="F4612" t="inlineStr">
        <is>
          <t>Down</t>
        </is>
      </c>
      <c r="G4612" t="inlineStr">
        <is>
          <t>Up</t>
        </is>
      </c>
      <c r="H4612" t="inlineStr">
        <is>
          <t>ED_JU</t>
        </is>
      </c>
      <c r="I4612" t="inlineStr">
        <is>
          <t>2024-11</t>
        </is>
      </c>
      <c r="J4612" t="n">
        <v>1</v>
      </c>
      <c r="K4612" t="n">
        <v>1</v>
      </c>
      <c r="L4612" s="34">
        <f>IF($J4612=1,LN(B4613/B4612),"")</f>
        <v/>
      </c>
      <c r="M4612" s="34">
        <f>IF($K4612=1,INDEX(Mensal!$D$2:$D$245,MATCH($I4612,Mensal!$A$2:$A$245,0)),"")</f>
        <v/>
      </c>
      <c r="N4612" s="34">
        <f>IF($K4612=1,L4612-M4612,"")</f>
        <v/>
      </c>
      <c r="O4612" s="34" t="n">
        <v>0.00041957</v>
      </c>
      <c r="P4612" s="34">
        <f>IF($J4612=1,LN(1+O4612),"")</f>
        <v/>
      </c>
      <c r="Q4612" s="34">
        <f>IF($J4612=1,LN(R4613/R4612),"")</f>
        <v/>
      </c>
      <c r="R4612" s="32" t="n">
        <v>5.799</v>
      </c>
      <c r="S4612" s="35" t="n">
        <v>13.19</v>
      </c>
      <c r="T4612" s="18" t="n"/>
      <c r="U4612" s="18" t="n"/>
      <c r="V4612" s="18" t="n"/>
      <c r="W4612" s="18" t="n">
        <v>129922.38</v>
      </c>
      <c r="X4612" s="35" t="n">
        <v>13.19</v>
      </c>
      <c r="Y4612" s="35" t="n"/>
    </row>
    <row r="4613">
      <c r="A4613" s="25" t="n">
        <v>45623</v>
      </c>
      <c r="B4613" s="18" t="n">
        <v>127668.61</v>
      </c>
      <c r="C4613" s="31" t="n"/>
      <c r="D4613" s="32" t="n"/>
      <c r="E4613" s="33" t="n">
        <v>0.4119</v>
      </c>
      <c r="F4613" t="inlineStr">
        <is>
          <t>Down</t>
        </is>
      </c>
      <c r="G4613" t="inlineStr">
        <is>
          <t>Up</t>
        </is>
      </c>
      <c r="H4613" t="inlineStr">
        <is>
          <t>ED_JU</t>
        </is>
      </c>
      <c r="I4613" t="inlineStr">
        <is>
          <t>2024-11</t>
        </is>
      </c>
      <c r="J4613" t="n">
        <v>1</v>
      </c>
      <c r="K4613" t="n">
        <v>1</v>
      </c>
      <c r="L4613" s="34">
        <f>IF($J4613=1,LN(B4614/B4613),"")</f>
        <v/>
      </c>
      <c r="M4613" s="34">
        <f>IF($K4613=1,INDEX(Mensal!$D$2:$D$245,MATCH($I4613,Mensal!$A$2:$A$245,0)),"")</f>
        <v/>
      </c>
      <c r="N4613" s="34">
        <f>IF($K4613=1,L4613-M4613,"")</f>
        <v/>
      </c>
      <c r="O4613" s="34" t="n">
        <v>0.00041957</v>
      </c>
      <c r="P4613" s="34">
        <f>IF($J4613=1,LN(1+O4613),"")</f>
        <v/>
      </c>
      <c r="Q4613" s="34">
        <f>IF($J4613=1,LN(R4614/R4613),"")</f>
        <v/>
      </c>
      <c r="R4613" s="32" t="n">
        <v>5.8291</v>
      </c>
      <c r="S4613" s="35" t="n">
        <v>13.45</v>
      </c>
      <c r="T4613" s="18" t="n"/>
      <c r="U4613" s="18" t="n"/>
      <c r="V4613" s="18" t="n"/>
      <c r="W4613" s="18" t="n">
        <v>127668.61</v>
      </c>
      <c r="X4613" s="35" t="n">
        <v>13.45</v>
      </c>
      <c r="Y4613" s="35" t="n"/>
    </row>
    <row r="4614">
      <c r="A4614" s="25" t="n">
        <v>45624</v>
      </c>
      <c r="B4614" s="18" t="n">
        <v>124610.41</v>
      </c>
      <c r="C4614" s="31" t="n"/>
      <c r="D4614" s="32" t="n"/>
      <c r="E4614" s="33" t="n">
        <v>0.4585</v>
      </c>
      <c r="F4614" t="inlineStr">
        <is>
          <t>Down</t>
        </is>
      </c>
      <c r="G4614" t="inlineStr">
        <is>
          <t>Up</t>
        </is>
      </c>
      <c r="H4614" t="inlineStr">
        <is>
          <t>ED_JU</t>
        </is>
      </c>
      <c r="I4614" t="inlineStr">
        <is>
          <t>2024-11</t>
        </is>
      </c>
      <c r="J4614" t="n">
        <v>1</v>
      </c>
      <c r="K4614" t="n">
        <v>1</v>
      </c>
      <c r="L4614" s="34">
        <f>IF($J4614=1,LN(B4615/B4614),"")</f>
        <v/>
      </c>
      <c r="M4614" s="34">
        <f>IF($K4614=1,INDEX(Mensal!$D$2:$D$245,MATCH($I4614,Mensal!$A$2:$A$245,0)),"")</f>
        <v/>
      </c>
      <c r="N4614" s="34">
        <f>IF($K4614=1,L4614-M4614,"")</f>
        <v/>
      </c>
      <c r="O4614" s="34" t="n">
        <v>0.00041957</v>
      </c>
      <c r="P4614" s="34">
        <f>IF($J4614=1,LN(1+O4614),"")</f>
        <v/>
      </c>
      <c r="Q4614" s="34">
        <f>IF($J4614=1,LN(R4615/R4614),"")</f>
        <v/>
      </c>
      <c r="R4614" s="32" t="n">
        <v>5.9871</v>
      </c>
      <c r="S4614" s="35" t="n">
        <v>13.73</v>
      </c>
      <c r="T4614" s="18" t="n"/>
      <c r="U4614" s="18" t="n"/>
      <c r="V4614" s="18" t="n"/>
      <c r="W4614" s="18" t="n">
        <v>124610.41</v>
      </c>
      <c r="X4614" s="35" t="n">
        <v>13.73</v>
      </c>
      <c r="Y4614" s="35" t="n"/>
    </row>
    <row r="4615">
      <c r="A4615" s="25" t="n">
        <v>45625</v>
      </c>
      <c r="B4615" s="18" t="n">
        <v>125667.83</v>
      </c>
      <c r="C4615" s="31" t="n"/>
      <c r="D4615" s="32" t="n"/>
      <c r="E4615" s="33" t="n">
        <v>0.5039</v>
      </c>
      <c r="F4615" t="inlineStr">
        <is>
          <t>Down</t>
        </is>
      </c>
      <c r="G4615" t="inlineStr">
        <is>
          <t>Up</t>
        </is>
      </c>
      <c r="H4615" t="inlineStr">
        <is>
          <t>ED_JU</t>
        </is>
      </c>
      <c r="I4615" t="inlineStr">
        <is>
          <t>2024-11</t>
        </is>
      </c>
      <c r="J4615" t="n">
        <v>1</v>
      </c>
      <c r="K4615" t="n">
        <v>1</v>
      </c>
      <c r="L4615" s="34">
        <f>IF($J4615=1,LN(B4616/B4615),"")</f>
        <v/>
      </c>
      <c r="M4615" s="34">
        <f>IF($K4615=1,INDEX(Mensal!$D$2:$D$245,MATCH($I4615,Mensal!$A$2:$A$245,0)),"")</f>
        <v/>
      </c>
      <c r="N4615" s="34">
        <f>IF($K4615=1,L4615-M4615,"")</f>
        <v/>
      </c>
      <c r="O4615" s="34" t="n">
        <v>0.00041957</v>
      </c>
      <c r="P4615" s="34">
        <f>IF($J4615=1,LN(1+O4615),"")</f>
        <v/>
      </c>
      <c r="Q4615" s="34">
        <f>IF($J4615=1,LN(R4616/R4615),"")</f>
        <v/>
      </c>
      <c r="R4615" s="32" t="n">
        <v>6.0535</v>
      </c>
      <c r="S4615" s="35" t="n">
        <v>13.85</v>
      </c>
      <c r="T4615" s="18" t="n"/>
      <c r="U4615" s="18" t="n"/>
      <c r="V4615" s="18" t="n"/>
      <c r="W4615" s="18" t="n">
        <v>125667.83</v>
      </c>
      <c r="X4615" s="35" t="n">
        <v>13.85</v>
      </c>
      <c r="Y4615" s="35" t="n"/>
    </row>
    <row r="4616">
      <c r="A4616" s="25" t="n">
        <v>45628</v>
      </c>
      <c r="B4616" s="18" t="n">
        <v>125235.54</v>
      </c>
      <c r="C4616" s="31" t="n"/>
      <c r="D4616" s="32" t="n"/>
      <c r="E4616" s="33" t="n">
        <v>0.5322</v>
      </c>
      <c r="F4616" t="inlineStr">
        <is>
          <t>Down</t>
        </is>
      </c>
      <c r="G4616" t="inlineStr">
        <is>
          <t>Up</t>
        </is>
      </c>
      <c r="H4616" t="inlineStr">
        <is>
          <t>ED_JU</t>
        </is>
      </c>
      <c r="I4616" t="inlineStr">
        <is>
          <t>2024-12</t>
        </is>
      </c>
      <c r="J4616" t="n">
        <v>1</v>
      </c>
      <c r="K4616" t="n">
        <v>1</v>
      </c>
      <c r="L4616" s="34">
        <f>IF($J4616=1,LN(B4617/B4616),"")</f>
        <v/>
      </c>
      <c r="M4616" s="34">
        <f>IF($K4616=1,INDEX(Mensal!$D$2:$D$245,MATCH($I4616,Mensal!$A$2:$A$245,0)),"")</f>
        <v/>
      </c>
      <c r="N4616" s="34">
        <f>IF($K4616=1,L4616-M4616,"")</f>
        <v/>
      </c>
      <c r="O4616" s="34" t="n">
        <v>0.00041957</v>
      </c>
      <c r="P4616" s="34">
        <f>IF($J4616=1,LN(1+O4616),"")</f>
        <v/>
      </c>
      <c r="Q4616" s="34">
        <f>IF($J4616=1,LN(R4617/R4616),"")</f>
        <v/>
      </c>
      <c r="R4616" s="32" t="n">
        <v>6.0634</v>
      </c>
      <c r="S4616" s="35" t="n">
        <v>13.78</v>
      </c>
      <c r="T4616" s="18" t="n"/>
      <c r="U4616" s="18" t="n"/>
      <c r="V4616" s="18" t="n"/>
      <c r="W4616" s="18" t="n">
        <v>125235.54</v>
      </c>
      <c r="X4616" s="35" t="n">
        <v>13.78</v>
      </c>
      <c r="Y4616" s="35" t="n"/>
    </row>
    <row r="4617">
      <c r="A4617" s="25" t="n">
        <v>45629</v>
      </c>
      <c r="B4617" s="18" t="n">
        <v>126139.2</v>
      </c>
      <c r="C4617" s="31" t="n"/>
      <c r="D4617" s="32" t="n"/>
      <c r="E4617" s="33" t="n">
        <v>0.5605</v>
      </c>
      <c r="F4617" t="inlineStr">
        <is>
          <t>Down</t>
        </is>
      </c>
      <c r="G4617" t="inlineStr">
        <is>
          <t>Up</t>
        </is>
      </c>
      <c r="H4617" t="inlineStr">
        <is>
          <t>ED_JU</t>
        </is>
      </c>
      <c r="I4617" t="inlineStr">
        <is>
          <t>2024-12</t>
        </is>
      </c>
      <c r="J4617" t="n">
        <v>1</v>
      </c>
      <c r="K4617" t="n">
        <v>1</v>
      </c>
      <c r="L4617" s="34">
        <f>IF($J4617=1,LN(B4618/B4617),"")</f>
        <v/>
      </c>
      <c r="M4617" s="34">
        <f>IF($K4617=1,INDEX(Mensal!$D$2:$D$245,MATCH($I4617,Mensal!$A$2:$A$245,0)),"")</f>
        <v/>
      </c>
      <c r="N4617" s="34">
        <f>IF($K4617=1,L4617-M4617,"")</f>
        <v/>
      </c>
      <c r="O4617" s="34" t="n">
        <v>0.00041957</v>
      </c>
      <c r="P4617" s="34">
        <f>IF($J4617=1,LN(1+O4617),"")</f>
        <v/>
      </c>
      <c r="Q4617" s="34">
        <f>IF($J4617=1,LN(R4618/R4617),"")</f>
        <v/>
      </c>
      <c r="R4617" s="32" t="n">
        <v>6.0707</v>
      </c>
      <c r="S4617" s="35" t="n">
        <v>13.94</v>
      </c>
      <c r="T4617" s="18" t="n"/>
      <c r="U4617" s="18" t="n"/>
      <c r="V4617" s="18" t="n"/>
      <c r="W4617" s="18" t="n">
        <v>126139.2</v>
      </c>
      <c r="X4617" s="35" t="n">
        <v>13.94</v>
      </c>
      <c r="Y4617" s="35" t="n"/>
    </row>
    <row r="4618">
      <c r="A4618" s="25" t="n">
        <v>45630</v>
      </c>
      <c r="B4618" s="18" t="n">
        <v>126087.02</v>
      </c>
      <c r="C4618" s="31" t="n"/>
      <c r="D4618" s="32" t="n"/>
      <c r="E4618" s="33" t="n">
        <v>0.585</v>
      </c>
      <c r="F4618" t="inlineStr">
        <is>
          <t>Down</t>
        </is>
      </c>
      <c r="G4618" t="inlineStr">
        <is>
          <t>Up</t>
        </is>
      </c>
      <c r="H4618" t="inlineStr">
        <is>
          <t>ED_JU</t>
        </is>
      </c>
      <c r="I4618" t="inlineStr">
        <is>
          <t>2024-12</t>
        </is>
      </c>
      <c r="J4618" t="n">
        <v>1</v>
      </c>
      <c r="K4618" t="n">
        <v>1</v>
      </c>
      <c r="L4618" s="34">
        <f>IF($J4618=1,LN(B4619/B4618),"")</f>
        <v/>
      </c>
      <c r="M4618" s="34">
        <f>IF($K4618=1,INDEX(Mensal!$D$2:$D$245,MATCH($I4618,Mensal!$A$2:$A$245,0)),"")</f>
        <v/>
      </c>
      <c r="N4618" s="34">
        <f>IF($K4618=1,L4618-M4618,"")</f>
        <v/>
      </c>
      <c r="O4618" s="34" t="n">
        <v>0.00041957</v>
      </c>
      <c r="P4618" s="34">
        <f>IF($J4618=1,LN(1+O4618),"")</f>
        <v/>
      </c>
      <c r="Q4618" s="34">
        <f>IF($J4618=1,LN(R4619/R4618),"")</f>
        <v/>
      </c>
      <c r="R4618" s="32" t="n">
        <v>6.0581</v>
      </c>
      <c r="S4618" s="35" t="n">
        <v>14.01</v>
      </c>
      <c r="T4618" s="18" t="n"/>
      <c r="U4618" s="18" t="n"/>
      <c r="V4618" s="18" t="n"/>
      <c r="W4618" s="18" t="n">
        <v>126087.02</v>
      </c>
      <c r="X4618" s="35" t="n">
        <v>14.01</v>
      </c>
      <c r="Y4618" s="35" t="n"/>
    </row>
    <row r="4619">
      <c r="A4619" s="25" t="n">
        <v>45631</v>
      </c>
      <c r="B4619" s="18" t="n">
        <v>127857.58</v>
      </c>
      <c r="C4619" s="31" t="n"/>
      <c r="D4619" s="32" t="n"/>
      <c r="E4619" s="33" t="n">
        <v>0.6095</v>
      </c>
      <c r="F4619" t="inlineStr">
        <is>
          <t>Down</t>
        </is>
      </c>
      <c r="G4619" t="inlineStr">
        <is>
          <t>Up</t>
        </is>
      </c>
      <c r="H4619" t="inlineStr">
        <is>
          <t>ED_JU</t>
        </is>
      </c>
      <c r="I4619" t="inlineStr">
        <is>
          <t>2024-12</t>
        </is>
      </c>
      <c r="J4619" t="n">
        <v>1</v>
      </c>
      <c r="K4619" t="n">
        <v>1</v>
      </c>
      <c r="L4619" s="34">
        <f>IF($J4619=1,LN(B4620/B4619),"")</f>
        <v/>
      </c>
      <c r="M4619" s="34">
        <f>IF($K4619=1,INDEX(Mensal!$D$2:$D$245,MATCH($I4619,Mensal!$A$2:$A$245,0)),"")</f>
        <v/>
      </c>
      <c r="N4619" s="34">
        <f>IF($K4619=1,L4619-M4619,"")</f>
        <v/>
      </c>
      <c r="O4619" s="34" t="n">
        <v>0.00041957</v>
      </c>
      <c r="P4619" s="34">
        <f>IF($J4619=1,LN(1+O4619),"")</f>
        <v/>
      </c>
      <c r="Q4619" s="34">
        <f>IF($J4619=1,LN(R4620/R4619),"")</f>
        <v/>
      </c>
      <c r="R4619" s="32" t="n">
        <v>5.9849</v>
      </c>
      <c r="S4619" s="35" t="n">
        <v>14.07</v>
      </c>
      <c r="T4619" s="18" t="n"/>
      <c r="U4619" s="18" t="n"/>
      <c r="V4619" s="18" t="n"/>
      <c r="W4619" s="18" t="n">
        <v>127857.58</v>
      </c>
      <c r="X4619" s="35" t="n">
        <v>14.07</v>
      </c>
      <c r="Y4619" s="35" t="n"/>
    </row>
    <row r="4620">
      <c r="A4620" s="25" t="n">
        <v>45632</v>
      </c>
      <c r="B4620" s="18" t="n">
        <v>125945.67</v>
      </c>
      <c r="C4620" s="31" t="n"/>
      <c r="D4620" s="32" t="n"/>
      <c r="E4620" s="33" t="n">
        <v>0.6337</v>
      </c>
      <c r="F4620" t="inlineStr">
        <is>
          <t>Down</t>
        </is>
      </c>
      <c r="G4620" t="inlineStr">
        <is>
          <t>Up</t>
        </is>
      </c>
      <c r="H4620" t="inlineStr">
        <is>
          <t>ED_JU</t>
        </is>
      </c>
      <c r="I4620" t="inlineStr">
        <is>
          <t>2024-12</t>
        </is>
      </c>
      <c r="J4620" t="n">
        <v>1</v>
      </c>
      <c r="K4620" t="n">
        <v>1</v>
      </c>
      <c r="L4620" s="34">
        <f>IF($J4620=1,LN(B4621/B4620),"")</f>
        <v/>
      </c>
      <c r="M4620" s="34">
        <f>IF($K4620=1,INDEX(Mensal!$D$2:$D$245,MATCH($I4620,Mensal!$A$2:$A$245,0)),"")</f>
        <v/>
      </c>
      <c r="N4620" s="34">
        <f>IF($K4620=1,L4620-M4620,"")</f>
        <v/>
      </c>
      <c r="O4620" s="34" t="n">
        <v>0.00041957</v>
      </c>
      <c r="P4620" s="34">
        <f>IF($J4620=1,LN(1+O4620),"")</f>
        <v/>
      </c>
      <c r="Q4620" s="34">
        <f>IF($J4620=1,LN(R4621/R4620),"")</f>
        <v/>
      </c>
      <c r="R4620" s="32" t="n">
        <v>6.0293</v>
      </c>
      <c r="S4620" s="35" t="n">
        <v>14.29</v>
      </c>
      <c r="T4620" s="18" t="n"/>
      <c r="U4620" s="18" t="n"/>
      <c r="V4620" s="18" t="n"/>
      <c r="W4620" s="18" t="n">
        <v>125945.67</v>
      </c>
      <c r="X4620" s="35" t="n">
        <v>14.29</v>
      </c>
      <c r="Y4620" s="35" t="n"/>
    </row>
    <row r="4621">
      <c r="A4621" s="25" t="n">
        <v>45635</v>
      </c>
      <c r="B4621" s="18" t="n">
        <v>127210.19</v>
      </c>
      <c r="C4621" s="31" t="n"/>
      <c r="D4621" s="32" t="n"/>
      <c r="E4621" s="33" t="n">
        <v>0.6604</v>
      </c>
      <c r="F4621" t="inlineStr">
        <is>
          <t>Down</t>
        </is>
      </c>
      <c r="G4621" t="inlineStr">
        <is>
          <t>Up</t>
        </is>
      </c>
      <c r="H4621" t="inlineStr">
        <is>
          <t>ED_JU</t>
        </is>
      </c>
      <c r="I4621" t="inlineStr">
        <is>
          <t>2024-12</t>
        </is>
      </c>
      <c r="J4621" t="n">
        <v>1</v>
      </c>
      <c r="K4621" t="n">
        <v>1</v>
      </c>
      <c r="L4621" s="34">
        <f>IF($J4621=1,LN(B4622/B4621),"")</f>
        <v/>
      </c>
      <c r="M4621" s="34">
        <f>IF($K4621=1,INDEX(Mensal!$D$2:$D$245,MATCH($I4621,Mensal!$A$2:$A$245,0)),"")</f>
        <v/>
      </c>
      <c r="N4621" s="34">
        <f>IF($K4621=1,L4621-M4621,"")</f>
        <v/>
      </c>
      <c r="O4621" s="34" t="n">
        <v>0.00041957</v>
      </c>
      <c r="P4621" s="34">
        <f>IF($J4621=1,LN(1+O4621),"")</f>
        <v/>
      </c>
      <c r="Q4621" s="34">
        <f>IF($J4621=1,LN(R4622/R4621),"")</f>
        <v/>
      </c>
      <c r="R4621" s="32" t="n">
        <v>6.057</v>
      </c>
      <c r="S4621" s="35" t="n">
        <v>14.43</v>
      </c>
      <c r="T4621" s="18" t="n"/>
      <c r="U4621" s="18" t="n"/>
      <c r="V4621" s="18" t="n"/>
      <c r="W4621" s="18" t="n">
        <v>127210.19</v>
      </c>
      <c r="X4621" s="35" t="n">
        <v>14.43</v>
      </c>
      <c r="Y4621" s="35" t="n"/>
    </row>
    <row r="4622">
      <c r="A4622" s="25" t="n">
        <v>45636</v>
      </c>
      <c r="B4622" s="18" t="n">
        <v>128228.49</v>
      </c>
      <c r="C4622" s="31" t="n"/>
      <c r="D4622" s="32" t="n"/>
      <c r="E4622" s="33" t="n">
        <v>0.6865</v>
      </c>
      <c r="F4622" t="inlineStr">
        <is>
          <t>Down</t>
        </is>
      </c>
      <c r="G4622" t="inlineStr">
        <is>
          <t>Up</t>
        </is>
      </c>
      <c r="H4622" t="inlineStr">
        <is>
          <t>ED_JU</t>
        </is>
      </c>
      <c r="I4622" t="inlineStr">
        <is>
          <t>2024-12</t>
        </is>
      </c>
      <c r="J4622" t="n">
        <v>1</v>
      </c>
      <c r="K4622" t="n">
        <v>1</v>
      </c>
      <c r="L4622" s="34">
        <f>IF($J4622=1,LN(B4623/B4622),"")</f>
        <v/>
      </c>
      <c r="M4622" s="34">
        <f>IF($K4622=1,INDEX(Mensal!$D$2:$D$245,MATCH($I4622,Mensal!$A$2:$A$245,0)),"")</f>
        <v/>
      </c>
      <c r="N4622" s="34">
        <f>IF($K4622=1,L4622-M4622,"")</f>
        <v/>
      </c>
      <c r="O4622" s="34" t="n">
        <v>0.00041957</v>
      </c>
      <c r="P4622" s="34">
        <f>IF($J4622=1,LN(1+O4622),"")</f>
        <v/>
      </c>
      <c r="Q4622" s="34">
        <f>IF($J4622=1,LN(R4623/R4622),"")</f>
        <v/>
      </c>
      <c r="R4622" s="32" t="n">
        <v>6.0529</v>
      </c>
      <c r="S4622" s="35" t="n">
        <v>14.28</v>
      </c>
      <c r="T4622" s="18" t="n"/>
      <c r="U4622" s="18" t="n"/>
      <c r="V4622" s="18" t="n"/>
      <c r="W4622" s="18" t="n">
        <v>128228.49</v>
      </c>
      <c r="X4622" s="35" t="n">
        <v>14.28</v>
      </c>
      <c r="Y4622" s="35" t="n"/>
    </row>
    <row r="4623">
      <c r="A4623" s="25" t="n">
        <v>45637</v>
      </c>
      <c r="B4623" s="18" t="n">
        <v>129593.31</v>
      </c>
      <c r="C4623" s="31" t="n"/>
      <c r="D4623" s="32" t="n"/>
      <c r="E4623" s="33" t="n">
        <v>0.7071</v>
      </c>
      <c r="F4623" t="inlineStr">
        <is>
          <t>Down</t>
        </is>
      </c>
      <c r="G4623" t="inlineStr">
        <is>
          <t>Up</t>
        </is>
      </c>
      <c r="H4623" t="inlineStr">
        <is>
          <t>ED_JU</t>
        </is>
      </c>
      <c r="I4623" t="inlineStr">
        <is>
          <t>2024-12</t>
        </is>
      </c>
      <c r="J4623" t="n">
        <v>1</v>
      </c>
      <c r="K4623" t="n">
        <v>1</v>
      </c>
      <c r="L4623" s="34">
        <f>IF($J4623=1,LN(B4624/B4623),"")</f>
        <v/>
      </c>
      <c r="M4623" s="34">
        <f>IF($K4623=1,INDEX(Mensal!$D$2:$D$245,MATCH($I4623,Mensal!$A$2:$A$245,0)),"")</f>
        <v/>
      </c>
      <c r="N4623" s="34">
        <f>IF($K4623=1,L4623-M4623,"")</f>
        <v/>
      </c>
      <c r="O4623" s="34" t="n">
        <v>0.00041957</v>
      </c>
      <c r="P4623" s="34">
        <f>IF($J4623=1,LN(1+O4623),"")</f>
        <v/>
      </c>
      <c r="Q4623" s="34">
        <f>IF($J4623=1,LN(R4624/R4623),"")</f>
        <v/>
      </c>
      <c r="R4623" s="32" t="n">
        <v>6.032</v>
      </c>
      <c r="S4623" s="35" t="n">
        <v>14.18</v>
      </c>
      <c r="T4623" s="18" t="n"/>
      <c r="U4623" s="18" t="n"/>
      <c r="V4623" s="18" t="n"/>
      <c r="W4623" s="18" t="n">
        <v>129593.31</v>
      </c>
      <c r="X4623" s="35" t="n">
        <v>14.18</v>
      </c>
      <c r="Y4623" s="35" t="n"/>
    </row>
    <row r="4624">
      <c r="A4624" s="25" t="n">
        <v>45638</v>
      </c>
      <c r="B4624" s="18" t="n">
        <v>126042.21</v>
      </c>
      <c r="C4624" s="31" t="n"/>
      <c r="D4624" s="32" t="n"/>
      <c r="E4624" s="33" t="n">
        <v>0.7292999999999999</v>
      </c>
      <c r="F4624" t="inlineStr">
        <is>
          <t>Down</t>
        </is>
      </c>
      <c r="G4624" t="inlineStr">
        <is>
          <t>Up</t>
        </is>
      </c>
      <c r="H4624" t="inlineStr">
        <is>
          <t>ED_JU</t>
        </is>
      </c>
      <c r="I4624" t="inlineStr">
        <is>
          <t>2024-12</t>
        </is>
      </c>
      <c r="J4624" t="n">
        <v>1</v>
      </c>
      <c r="K4624" t="n">
        <v>1</v>
      </c>
      <c r="L4624" s="34">
        <f>IF($J4624=1,LN(B4625/B4624),"")</f>
        <v/>
      </c>
      <c r="M4624" s="34">
        <f>IF($K4624=1,INDEX(Mensal!$D$2:$D$245,MATCH($I4624,Mensal!$A$2:$A$245,0)),"")</f>
        <v/>
      </c>
      <c r="N4624" s="34">
        <f>IF($K4624=1,L4624-M4624,"")</f>
        <v/>
      </c>
      <c r="O4624" s="34" t="n">
        <v>0.00045513</v>
      </c>
      <c r="P4624" s="34">
        <f>IF($J4624=1,LN(1+O4624),"")</f>
        <v/>
      </c>
      <c r="Q4624" s="34">
        <f>IF($J4624=1,LN(R4625/R4624),"")</f>
        <v/>
      </c>
      <c r="R4624" s="32" t="n">
        <v>5.9408</v>
      </c>
      <c r="S4624" s="35" t="n">
        <v>14.57</v>
      </c>
      <c r="T4624" s="18" t="n"/>
      <c r="U4624" s="18" t="n"/>
      <c r="V4624" s="18" t="n"/>
      <c r="W4624" s="18" t="n">
        <v>126042.21</v>
      </c>
      <c r="X4624" s="35" t="n">
        <v>14.57</v>
      </c>
      <c r="Y4624" s="35" t="n"/>
    </row>
    <row r="4625">
      <c r="A4625" s="25" t="n">
        <v>45639</v>
      </c>
      <c r="B4625" s="18" t="n">
        <v>124612.22</v>
      </c>
      <c r="C4625" s="31" t="n"/>
      <c r="D4625" s="32" t="n"/>
      <c r="E4625" s="33" t="n">
        <v>0.7544999999999999</v>
      </c>
      <c r="F4625" t="inlineStr">
        <is>
          <t>Down</t>
        </is>
      </c>
      <c r="G4625" t="inlineStr">
        <is>
          <t>Up</t>
        </is>
      </c>
      <c r="H4625" t="inlineStr">
        <is>
          <t>ED_JU</t>
        </is>
      </c>
      <c r="I4625" t="inlineStr">
        <is>
          <t>2024-12</t>
        </is>
      </c>
      <c r="J4625" t="n">
        <v>1</v>
      </c>
      <c r="K4625" t="n">
        <v>1</v>
      </c>
      <c r="L4625" s="34">
        <f>IF($J4625=1,LN(B4626/B4625),"")</f>
        <v/>
      </c>
      <c r="M4625" s="34">
        <f>IF($K4625=1,INDEX(Mensal!$D$2:$D$245,MATCH($I4625,Mensal!$A$2:$A$245,0)),"")</f>
        <v/>
      </c>
      <c r="N4625" s="34">
        <f>IF($K4625=1,L4625-M4625,"")</f>
        <v/>
      </c>
      <c r="O4625" s="34" t="n">
        <v>0.00045513</v>
      </c>
      <c r="P4625" s="34">
        <f>IF($J4625=1,LN(1+O4625),"")</f>
        <v/>
      </c>
      <c r="Q4625" s="34">
        <f>IF($J4625=1,LN(R4626/R4625),"")</f>
        <v/>
      </c>
      <c r="R4625" s="32" t="n">
        <v>6.04</v>
      </c>
      <c r="S4625" s="35" t="n">
        <v>14.79</v>
      </c>
      <c r="T4625" s="18" t="n"/>
      <c r="U4625" s="18" t="n"/>
      <c r="V4625" s="18" t="n"/>
      <c r="W4625" s="18" t="n">
        <v>124612.22</v>
      </c>
      <c r="X4625" s="35" t="n">
        <v>14.79</v>
      </c>
      <c r="Y4625" s="35" t="n"/>
    </row>
    <row r="4626">
      <c r="A4626" s="25" t="n">
        <v>45642</v>
      </c>
      <c r="B4626" s="18" t="n">
        <v>123560.06</v>
      </c>
      <c r="C4626" s="31" t="n"/>
      <c r="D4626" s="32" t="n"/>
      <c r="E4626" s="33" t="n">
        <v>0.779</v>
      </c>
      <c r="F4626" t="inlineStr">
        <is>
          <t>Down</t>
        </is>
      </c>
      <c r="G4626" t="inlineStr">
        <is>
          <t>Up</t>
        </is>
      </c>
      <c r="H4626" t="inlineStr">
        <is>
          <t>ED_JU</t>
        </is>
      </c>
      <c r="I4626" t="inlineStr">
        <is>
          <t>2024-12</t>
        </is>
      </c>
      <c r="J4626" t="n">
        <v>1</v>
      </c>
      <c r="K4626" t="n">
        <v>1</v>
      </c>
      <c r="L4626" s="34">
        <f>IF($J4626=1,LN(B4627/B4626),"")</f>
        <v/>
      </c>
      <c r="M4626" s="34">
        <f>IF($K4626=1,INDEX(Mensal!$D$2:$D$245,MATCH($I4626,Mensal!$A$2:$A$245,0)),"")</f>
        <v/>
      </c>
      <c r="N4626" s="34">
        <f>IF($K4626=1,L4626-M4626,"")</f>
        <v/>
      </c>
      <c r="O4626" s="34" t="n">
        <v>0.00045513</v>
      </c>
      <c r="P4626" s="34">
        <f>IF($J4626=1,LN(1+O4626),"")</f>
        <v/>
      </c>
      <c r="Q4626" s="34">
        <f>IF($J4626=1,LN(R4627/R4626),"")</f>
        <v/>
      </c>
      <c r="R4626" s="32" t="n">
        <v>6.0509</v>
      </c>
      <c r="S4626" s="35" t="n">
        <v>14.92</v>
      </c>
      <c r="T4626" s="18" t="n"/>
      <c r="U4626" s="18" t="n"/>
      <c r="V4626" s="18" t="n"/>
      <c r="W4626" s="18" t="n">
        <v>123560.06</v>
      </c>
      <c r="X4626" s="35" t="n">
        <v>14.92</v>
      </c>
      <c r="Y4626" s="35" t="n"/>
    </row>
    <row r="4627">
      <c r="A4627" s="25" t="n">
        <v>45643</v>
      </c>
      <c r="B4627" s="18" t="n">
        <v>124698.04</v>
      </c>
      <c r="C4627" s="31" t="n"/>
      <c r="D4627" s="32" t="n"/>
      <c r="E4627" s="33" t="n">
        <v>0.7924</v>
      </c>
      <c r="F4627" t="inlineStr">
        <is>
          <t>Down</t>
        </is>
      </c>
      <c r="G4627" t="inlineStr">
        <is>
          <t>Up</t>
        </is>
      </c>
      <c r="H4627" t="inlineStr">
        <is>
          <t>ED_JU</t>
        </is>
      </c>
      <c r="I4627" t="inlineStr">
        <is>
          <t>2024-12</t>
        </is>
      </c>
      <c r="J4627" t="n">
        <v>1</v>
      </c>
      <c r="K4627" t="n">
        <v>1</v>
      </c>
      <c r="L4627" s="34">
        <f>IF($J4627=1,LN(B4628/B4627),"")</f>
        <v/>
      </c>
      <c r="M4627" s="34">
        <f>IF($K4627=1,INDEX(Mensal!$D$2:$D$245,MATCH($I4627,Mensal!$A$2:$A$245,0)),"")</f>
        <v/>
      </c>
      <c r="N4627" s="34">
        <f>IF($K4627=1,L4627-M4627,"")</f>
        <v/>
      </c>
      <c r="O4627" s="34" t="n">
        <v>0.00045513</v>
      </c>
      <c r="P4627" s="34">
        <f>IF($J4627=1,LN(1+O4627),"")</f>
        <v/>
      </c>
      <c r="Q4627" s="34">
        <f>IF($J4627=1,LN(R4628/R4627),"")</f>
        <v/>
      </c>
      <c r="R4627" s="32" t="n">
        <v>6.1685</v>
      </c>
      <c r="S4627" s="35" t="n">
        <v>14.99</v>
      </c>
      <c r="T4627" s="18" t="n"/>
      <c r="U4627" s="18" t="n"/>
      <c r="V4627" s="18" t="n"/>
      <c r="W4627" s="18" t="n">
        <v>124698.04</v>
      </c>
      <c r="X4627" s="35" t="n">
        <v>14.99</v>
      </c>
      <c r="Y4627" s="35" t="n"/>
    </row>
    <row r="4628">
      <c r="A4628" s="25" t="n">
        <v>45644</v>
      </c>
      <c r="B4628" s="18" t="n">
        <v>120771.88</v>
      </c>
      <c r="C4628" s="31" t="n"/>
      <c r="D4628" s="32" t="n"/>
      <c r="E4628" s="33" t="n">
        <v>0.8054</v>
      </c>
      <c r="F4628" t="inlineStr">
        <is>
          <t>Down</t>
        </is>
      </c>
      <c r="G4628" t="inlineStr">
        <is>
          <t>Up</t>
        </is>
      </c>
      <c r="H4628" t="inlineStr">
        <is>
          <t>ED_JU</t>
        </is>
      </c>
      <c r="I4628" t="inlineStr">
        <is>
          <t>2024-12</t>
        </is>
      </c>
      <c r="J4628" t="n">
        <v>1</v>
      </c>
      <c r="K4628" t="n">
        <v>1</v>
      </c>
      <c r="L4628" s="34">
        <f>IF($J4628=1,LN(B4629/B4628),"")</f>
        <v/>
      </c>
      <c r="M4628" s="34">
        <f>IF($K4628=1,INDEX(Mensal!$D$2:$D$245,MATCH($I4628,Mensal!$A$2:$A$245,0)),"")</f>
        <v/>
      </c>
      <c r="N4628" s="34">
        <f>IF($K4628=1,L4628-M4628,"")</f>
        <v/>
      </c>
      <c r="O4628" s="34" t="n">
        <v>0.00045513</v>
      </c>
      <c r="P4628" s="34">
        <f>IF($J4628=1,LN(1+O4628),"")</f>
        <v/>
      </c>
      <c r="Q4628" s="34">
        <f>IF($J4628=1,LN(R4629/R4628),"")</f>
        <v/>
      </c>
      <c r="R4628" s="32" t="n">
        <v>6.1624</v>
      </c>
      <c r="S4628" s="35" t="n">
        <v>15.39</v>
      </c>
      <c r="T4628" s="18" t="n"/>
      <c r="U4628" s="18" t="n"/>
      <c r="V4628" s="18" t="n"/>
      <c r="W4628" s="18" t="n">
        <v>120771.88</v>
      </c>
      <c r="X4628" s="35" t="n">
        <v>15.39</v>
      </c>
      <c r="Y4628" s="35" t="n"/>
    </row>
    <row r="4629">
      <c r="A4629" s="25" t="n">
        <v>45645</v>
      </c>
      <c r="B4629" s="18" t="n">
        <v>121187.91</v>
      </c>
      <c r="C4629" s="31" t="n"/>
      <c r="D4629" s="32" t="n"/>
      <c r="E4629" s="33" t="n">
        <v>0.8169</v>
      </c>
      <c r="F4629" t="inlineStr">
        <is>
          <t>Down</t>
        </is>
      </c>
      <c r="G4629" t="inlineStr">
        <is>
          <t>Up</t>
        </is>
      </c>
      <c r="H4629" t="inlineStr">
        <is>
          <t>ED_JU</t>
        </is>
      </c>
      <c r="I4629" t="inlineStr">
        <is>
          <t>2024-12</t>
        </is>
      </c>
      <c r="J4629" t="n">
        <v>1</v>
      </c>
      <c r="K4629" t="n">
        <v>1</v>
      </c>
      <c r="L4629" s="34">
        <f>IF($J4629=1,LN(B4630/B4629),"")</f>
        <v/>
      </c>
      <c r="M4629" s="34">
        <f>IF($K4629=1,INDEX(Mensal!$D$2:$D$245,MATCH($I4629,Mensal!$A$2:$A$245,0)),"")</f>
        <v/>
      </c>
      <c r="N4629" s="34">
        <f>IF($K4629=1,L4629-M4629,"")</f>
        <v/>
      </c>
      <c r="O4629" s="34" t="n">
        <v>0.00045513</v>
      </c>
      <c r="P4629" s="34">
        <f>IF($J4629=1,LN(1+O4629),"")</f>
        <v/>
      </c>
      <c r="Q4629" s="34">
        <f>IF($J4629=1,LN(R4630/R4629),"")</f>
        <v/>
      </c>
      <c r="R4629" s="32" t="n">
        <v>6.1841</v>
      </c>
      <c r="S4629" s="35" t="n">
        <v>14.99</v>
      </c>
      <c r="T4629" s="18" t="n"/>
      <c r="U4629" s="18" t="n"/>
      <c r="V4629" s="18" t="n"/>
      <c r="W4629" s="18" t="n">
        <v>121187.91</v>
      </c>
      <c r="X4629" s="35" t="n">
        <v>14.99</v>
      </c>
      <c r="Y4629" s="35" t="n"/>
    </row>
    <row r="4630">
      <c r="A4630" s="25" t="n">
        <v>45646</v>
      </c>
      <c r="B4630" s="18" t="n">
        <v>122102.15</v>
      </c>
      <c r="C4630" s="31" t="n"/>
      <c r="D4630" s="32" t="n"/>
      <c r="E4630" s="33" t="n">
        <v>0.8315</v>
      </c>
      <c r="F4630" t="inlineStr">
        <is>
          <t>Down</t>
        </is>
      </c>
      <c r="G4630" t="inlineStr">
        <is>
          <t>Up</t>
        </is>
      </c>
      <c r="H4630" t="inlineStr">
        <is>
          <t>ED_JU</t>
        </is>
      </c>
      <c r="I4630" t="inlineStr">
        <is>
          <t>2024-12</t>
        </is>
      </c>
      <c r="J4630" t="n">
        <v>1</v>
      </c>
      <c r="K4630" t="n">
        <v>1</v>
      </c>
      <c r="L4630" s="34">
        <f>IF($J4630=1,LN(B4631/B4630),"")</f>
        <v/>
      </c>
      <c r="M4630" s="34">
        <f>IF($K4630=1,INDEX(Mensal!$D$2:$D$245,MATCH($I4630,Mensal!$A$2:$A$245,0)),"")</f>
        <v/>
      </c>
      <c r="N4630" s="34">
        <f>IF($K4630=1,L4630-M4630,"")</f>
        <v/>
      </c>
      <c r="O4630" s="34" t="n">
        <v>0.00045513</v>
      </c>
      <c r="P4630" s="34">
        <f>IF($J4630=1,LN(1+O4630),"")</f>
        <v/>
      </c>
      <c r="Q4630" s="34">
        <f>IF($J4630=1,LN(R4631/R4630),"")</f>
        <v/>
      </c>
      <c r="R4630" s="32" t="n">
        <v>6.078</v>
      </c>
      <c r="S4630" s="35" t="n">
        <v>14.86</v>
      </c>
      <c r="T4630" s="18" t="n"/>
      <c r="U4630" s="18" t="n"/>
      <c r="V4630" s="18" t="n"/>
      <c r="W4630" s="18" t="n">
        <v>122102.15</v>
      </c>
      <c r="X4630" s="35" t="n">
        <v>14.86</v>
      </c>
      <c r="Y4630" s="35" t="n"/>
    </row>
    <row r="4631">
      <c r="A4631" s="25" t="n">
        <v>45649</v>
      </c>
      <c r="B4631" s="18" t="n">
        <v>120766.57</v>
      </c>
      <c r="C4631" s="31" t="n"/>
      <c r="D4631" s="32" t="n"/>
      <c r="E4631" s="33" t="n">
        <v>0.8396</v>
      </c>
      <c r="F4631" t="inlineStr">
        <is>
          <t>Down</t>
        </is>
      </c>
      <c r="G4631" t="inlineStr">
        <is>
          <t>Up</t>
        </is>
      </c>
      <c r="H4631" t="inlineStr">
        <is>
          <t>ED_JU</t>
        </is>
      </c>
      <c r="I4631" t="inlineStr">
        <is>
          <t>2024-12</t>
        </is>
      </c>
      <c r="J4631" t="n">
        <v>1</v>
      </c>
      <c r="K4631" t="n">
        <v>1</v>
      </c>
      <c r="L4631" s="34">
        <f>IF($J4631=1,LN(B4632/B4631),"")</f>
        <v/>
      </c>
      <c r="M4631" s="34">
        <f>IF($K4631=1,INDEX(Mensal!$D$2:$D$245,MATCH($I4631,Mensal!$A$2:$A$245,0)),"")</f>
        <v/>
      </c>
      <c r="N4631" s="34">
        <f>IF($K4631=1,L4631-M4631,"")</f>
        <v/>
      </c>
      <c r="O4631" s="34" t="n">
        <v>0.00045513</v>
      </c>
      <c r="P4631" s="34">
        <f>IF($J4631=1,LN(1+O4631),"")</f>
        <v/>
      </c>
      <c r="Q4631" s="34">
        <f>IF($J4631=1,LN(R4632/R4631),"")</f>
        <v/>
      </c>
      <c r="R4631" s="32" t="n">
        <v>6.1612</v>
      </c>
      <c r="S4631" s="35" t="n">
        <v>15.17</v>
      </c>
      <c r="T4631" s="18" t="n"/>
      <c r="U4631" s="18" t="n"/>
      <c r="V4631" s="18" t="n"/>
      <c r="W4631" s="18" t="n">
        <v>120766.57</v>
      </c>
      <c r="X4631" s="35" t="n">
        <v>15.17</v>
      </c>
      <c r="Y4631" s="35" t="n"/>
    </row>
    <row r="4632">
      <c r="A4632" s="25" t="n">
        <v>45652</v>
      </c>
      <c r="B4632" s="18" t="n">
        <v>121077.5</v>
      </c>
      <c r="C4632" s="31" t="n"/>
      <c r="D4632" s="32" t="n"/>
      <c r="E4632" s="33" t="n">
        <v>0.8529</v>
      </c>
      <c r="F4632" t="inlineStr">
        <is>
          <t>Down</t>
        </is>
      </c>
      <c r="G4632" t="inlineStr">
        <is>
          <t>Up</t>
        </is>
      </c>
      <c r="H4632" t="inlineStr">
        <is>
          <t>ED_JU</t>
        </is>
      </c>
      <c r="I4632" t="inlineStr">
        <is>
          <t>2024-12</t>
        </is>
      </c>
      <c r="J4632" t="n">
        <v>1</v>
      </c>
      <c r="K4632" t="n">
        <v>1</v>
      </c>
      <c r="L4632" s="34">
        <f>IF($J4632=1,LN(B4633/B4632),"")</f>
        <v/>
      </c>
      <c r="M4632" s="34">
        <f>IF($K4632=1,INDEX(Mensal!$D$2:$D$245,MATCH($I4632,Mensal!$A$2:$A$245,0)),"")</f>
        <v/>
      </c>
      <c r="N4632" s="34">
        <f>IF($K4632=1,L4632-M4632,"")</f>
        <v/>
      </c>
      <c r="O4632" s="34" t="n">
        <v>0.00045513</v>
      </c>
      <c r="P4632" s="34">
        <f>IF($J4632=1,LN(1+O4632),"")</f>
        <v/>
      </c>
      <c r="Q4632" s="34">
        <f>IF($J4632=1,LN(R4633/R4632),"")</f>
        <v/>
      </c>
      <c r="R4632" s="32" t="n">
        <v>6.1656</v>
      </c>
      <c r="S4632" s="35" t="n">
        <v>15.32</v>
      </c>
      <c r="T4632" s="18" t="n"/>
      <c r="U4632" s="18" t="n"/>
      <c r="V4632" s="18" t="n"/>
      <c r="W4632" s="18" t="n">
        <v>121077.5</v>
      </c>
      <c r="X4632" s="35" t="n">
        <v>15.32</v>
      </c>
      <c r="Y4632" s="35" t="n"/>
    </row>
    <row r="4633">
      <c r="A4633" s="25" t="n">
        <v>45653</v>
      </c>
      <c r="B4633" s="18" t="n">
        <v>120269.31</v>
      </c>
      <c r="C4633" s="31" t="n"/>
      <c r="D4633" s="32" t="n"/>
      <c r="E4633" s="33" t="n">
        <v>0.8489</v>
      </c>
      <c r="F4633" t="inlineStr">
        <is>
          <t>Down</t>
        </is>
      </c>
      <c r="G4633" t="inlineStr">
        <is>
          <t>Up</t>
        </is>
      </c>
      <c r="H4633" t="inlineStr">
        <is>
          <t>ED_JU</t>
        </is>
      </c>
      <c r="I4633" t="inlineStr">
        <is>
          <t>2024-12</t>
        </is>
      </c>
      <c r="J4633" t="n">
        <v>1</v>
      </c>
      <c r="K4633" t="n">
        <v>1</v>
      </c>
      <c r="L4633" s="34">
        <f>IF($J4633=1,LN(B4634/B4633),"")</f>
        <v/>
      </c>
      <c r="M4633" s="34">
        <f>IF($K4633=1,INDEX(Mensal!$D$2:$D$245,MATCH($I4633,Mensal!$A$2:$A$245,0)),"")</f>
        <v/>
      </c>
      <c r="N4633" s="34">
        <f>IF($K4633=1,L4633-M4633,"")</f>
        <v/>
      </c>
      <c r="O4633" s="34" t="n">
        <v>0.00045513</v>
      </c>
      <c r="P4633" s="34">
        <f>IF($J4633=1,LN(1+O4633),"")</f>
        <v/>
      </c>
      <c r="Q4633" s="34">
        <f>IF($J4633=1,LN(R4634/R4633),"")</f>
        <v/>
      </c>
      <c r="R4633" s="32" t="n">
        <v>6.1991</v>
      </c>
      <c r="S4633" s="35" t="n">
        <v>15.3</v>
      </c>
      <c r="T4633" s="18" t="n"/>
      <c r="U4633" s="18" t="n"/>
      <c r="V4633" s="18" t="n"/>
      <c r="W4633" s="18" t="n">
        <v>120269.31</v>
      </c>
      <c r="X4633" s="35" t="n">
        <v>15.3</v>
      </c>
      <c r="Y4633" s="35" t="n"/>
    </row>
    <row r="4634">
      <c r="A4634" s="25" t="n">
        <v>45656</v>
      </c>
      <c r="B4634" s="18" t="n">
        <v>120283.4</v>
      </c>
      <c r="C4634" s="31" t="n"/>
      <c r="D4634" s="32" t="n"/>
      <c r="E4634" s="33" t="n">
        <v>0.8548</v>
      </c>
      <c r="F4634" t="inlineStr">
        <is>
          <t>Down</t>
        </is>
      </c>
      <c r="G4634" t="inlineStr">
        <is>
          <t>Up</t>
        </is>
      </c>
      <c r="H4634" t="inlineStr">
        <is>
          <t>ED_JU</t>
        </is>
      </c>
      <c r="I4634" t="inlineStr">
        <is>
          <t>2024-12</t>
        </is>
      </c>
      <c r="J4634" t="n">
        <v>1</v>
      </c>
      <c r="K4634" t="n">
        <v>1</v>
      </c>
      <c r="L4634" s="34">
        <f>IF($J4634=1,LN(B4635/B4634),"")</f>
        <v/>
      </c>
      <c r="M4634" s="34">
        <f>IF($K4634=1,INDEX(Mensal!$D$2:$D$245,MATCH($I4634,Mensal!$A$2:$A$245,0)),"")</f>
        <v/>
      </c>
      <c r="N4634" s="34">
        <f>IF($K4634=1,L4634-M4634,"")</f>
        <v/>
      </c>
      <c r="O4634" s="34" t="n">
        <v>0.00045513</v>
      </c>
      <c r="P4634" s="34">
        <f>IF($J4634=1,LN(1+O4634),"")</f>
        <v/>
      </c>
      <c r="Q4634" s="34">
        <f>IF($J4634=1,LN(R4635/R4634),"")</f>
        <v/>
      </c>
      <c r="R4634" s="32" t="n">
        <v>6.1923</v>
      </c>
      <c r="S4634" s="35" t="n">
        <v>15.39</v>
      </c>
      <c r="T4634" s="18" t="n"/>
      <c r="U4634" s="18" t="n"/>
      <c r="V4634" s="18" t="n"/>
      <c r="W4634" s="18" t="n">
        <v>120283.4</v>
      </c>
      <c r="X4634" s="35" t="n">
        <v>15.39</v>
      </c>
      <c r="Y4634" s="35" t="n"/>
    </row>
    <row r="4635">
      <c r="A4635" s="25" t="n">
        <v>45659</v>
      </c>
      <c r="B4635" s="18" t="n">
        <v>120125.39</v>
      </c>
      <c r="C4635" s="31" t="n"/>
      <c r="D4635" s="32" t="n"/>
      <c r="E4635" s="33" t="n">
        <v>0.8638</v>
      </c>
      <c r="F4635" t="inlineStr">
        <is>
          <t>Up</t>
        </is>
      </c>
      <c r="G4635" t="inlineStr">
        <is>
          <t>Up</t>
        </is>
      </c>
      <c r="H4635" t="inlineStr">
        <is>
          <t>EU_JU</t>
        </is>
      </c>
      <c r="I4635" t="inlineStr">
        <is>
          <t>2025-01</t>
        </is>
      </c>
      <c r="J4635" t="n">
        <v>1</v>
      </c>
      <c r="K4635" t="n">
        <v>1</v>
      </c>
      <c r="L4635" s="34">
        <f>IF($J4635=1,LN(B4636/B4635),"")</f>
        <v/>
      </c>
      <c r="M4635" s="34">
        <f>IF($K4635=1,INDEX(Mensal!$D$2:$D$245,MATCH($I4635,Mensal!$A$2:$A$245,0)),"")</f>
        <v/>
      </c>
      <c r="N4635" s="34">
        <f>IF($K4635=1,L4635-M4635,"")</f>
        <v/>
      </c>
      <c r="O4635" s="34" t="n">
        <v>0.00045513</v>
      </c>
      <c r="P4635" s="34">
        <f>IF($J4635=1,LN(1+O4635),"")</f>
        <v/>
      </c>
      <c r="Q4635" s="34">
        <f>IF($J4635=1,LN(R4636/R4635),"")</f>
        <v/>
      </c>
      <c r="R4635" s="32" t="n">
        <v>6.2086</v>
      </c>
      <c r="S4635" s="35" t="n">
        <v>15.17</v>
      </c>
      <c r="T4635" s="18" t="n"/>
      <c r="U4635" s="18" t="n">
        <v>120125.39</v>
      </c>
      <c r="V4635" s="18" t="n"/>
      <c r="W4635" s="18" t="n"/>
      <c r="X4635" s="35" t="n">
        <v>15.17</v>
      </c>
      <c r="Y4635" s="35" t="n"/>
    </row>
    <row r="4636">
      <c r="A4636" s="25" t="n">
        <v>45660</v>
      </c>
      <c r="B4636" s="18" t="n">
        <v>118532.68</v>
      </c>
      <c r="C4636" s="31" t="n"/>
      <c r="D4636" s="32" t="n"/>
      <c r="E4636" s="33" t="n">
        <v>0.8706</v>
      </c>
      <c r="F4636" t="inlineStr">
        <is>
          <t>Up</t>
        </is>
      </c>
      <c r="G4636" t="inlineStr">
        <is>
          <t>Up</t>
        </is>
      </c>
      <c r="H4636" t="inlineStr">
        <is>
          <t>EU_JU</t>
        </is>
      </c>
      <c r="I4636" t="inlineStr">
        <is>
          <t>2025-01</t>
        </is>
      </c>
      <c r="J4636" t="n">
        <v>1</v>
      </c>
      <c r="K4636" t="n">
        <v>1</v>
      </c>
      <c r="L4636" s="34">
        <f>IF($J4636=1,LN(B4637/B4636),"")</f>
        <v/>
      </c>
      <c r="M4636" s="34">
        <f>IF($K4636=1,INDEX(Mensal!$D$2:$D$245,MATCH($I4636,Mensal!$A$2:$A$245,0)),"")</f>
        <v/>
      </c>
      <c r="N4636" s="34">
        <f>IF($K4636=1,L4636-M4636,"")</f>
        <v/>
      </c>
      <c r="O4636" s="34" t="n">
        <v>0.00045513</v>
      </c>
      <c r="P4636" s="34">
        <f>IF($J4636=1,LN(1+O4636),"")</f>
        <v/>
      </c>
      <c r="Q4636" s="34">
        <f>IF($J4636=1,LN(R4637/R4636),"")</f>
        <v/>
      </c>
      <c r="R4636" s="32" t="n">
        <v>6.1563</v>
      </c>
      <c r="S4636" s="35" t="n">
        <v>15.06</v>
      </c>
      <c r="T4636" s="18" t="n"/>
      <c r="U4636" s="18" t="n">
        <v>118532.68</v>
      </c>
      <c r="V4636" s="18" t="n"/>
      <c r="W4636" s="18" t="n"/>
      <c r="X4636" s="35" t="n">
        <v>15.06</v>
      </c>
      <c r="Y4636" s="35" t="n"/>
    </row>
    <row r="4637">
      <c r="A4637" s="25" t="n">
        <v>45663</v>
      </c>
      <c r="B4637" s="18" t="n">
        <v>120021.52</v>
      </c>
      <c r="C4637" s="31" t="n"/>
      <c r="D4637" s="32" t="n"/>
      <c r="E4637" s="33" t="n">
        <v>0.8721</v>
      </c>
      <c r="F4637" t="inlineStr">
        <is>
          <t>Up</t>
        </is>
      </c>
      <c r="G4637" t="inlineStr">
        <is>
          <t>Up</t>
        </is>
      </c>
      <c r="H4637" t="inlineStr">
        <is>
          <t>EU_JU</t>
        </is>
      </c>
      <c r="I4637" t="inlineStr">
        <is>
          <t>2025-01</t>
        </is>
      </c>
      <c r="J4637" t="n">
        <v>1</v>
      </c>
      <c r="K4637" t="n">
        <v>1</v>
      </c>
      <c r="L4637" s="34">
        <f>IF($J4637=1,LN(B4638/B4637),"")</f>
        <v/>
      </c>
      <c r="M4637" s="34">
        <f>IF($K4637=1,INDEX(Mensal!$D$2:$D$245,MATCH($I4637,Mensal!$A$2:$A$245,0)),"")</f>
        <v/>
      </c>
      <c r="N4637" s="34">
        <f>IF($K4637=1,L4637-M4637,"")</f>
        <v/>
      </c>
      <c r="O4637" s="34" t="n">
        <v>0.00045513</v>
      </c>
      <c r="P4637" s="34">
        <f>IF($J4637=1,LN(1+O4637),"")</f>
        <v/>
      </c>
      <c r="Q4637" s="34">
        <f>IF($J4637=1,LN(R4638/R4637),"")</f>
        <v/>
      </c>
      <c r="R4637" s="32" t="n">
        <v>6.1119</v>
      </c>
      <c r="S4637" s="35" t="n">
        <v>14.99</v>
      </c>
      <c r="T4637" s="18" t="n"/>
      <c r="U4637" s="18" t="n">
        <v>120021.52</v>
      </c>
      <c r="V4637" s="18" t="n"/>
      <c r="W4637" s="18" t="n"/>
      <c r="X4637" s="35" t="n">
        <v>14.99</v>
      </c>
      <c r="Y4637" s="35" t="n"/>
    </row>
    <row r="4638">
      <c r="A4638" s="25" t="n">
        <v>45664</v>
      </c>
      <c r="B4638" s="18" t="n">
        <v>121162.66</v>
      </c>
      <c r="C4638" s="31" t="n"/>
      <c r="D4638" s="32" t="n"/>
      <c r="E4638" s="33" t="n">
        <v>0.869</v>
      </c>
      <c r="F4638" t="inlineStr">
        <is>
          <t>Up</t>
        </is>
      </c>
      <c r="G4638" t="inlineStr">
        <is>
          <t>Up</t>
        </is>
      </c>
      <c r="H4638" t="inlineStr">
        <is>
          <t>EU_JU</t>
        </is>
      </c>
      <c r="I4638" t="inlineStr">
        <is>
          <t>2025-01</t>
        </is>
      </c>
      <c r="J4638" t="n">
        <v>1</v>
      </c>
      <c r="K4638" t="n">
        <v>1</v>
      </c>
      <c r="L4638" s="34">
        <f>IF($J4638=1,LN(B4639/B4638),"")</f>
        <v/>
      </c>
      <c r="M4638" s="34">
        <f>IF($K4638=1,INDEX(Mensal!$D$2:$D$245,MATCH($I4638,Mensal!$A$2:$A$245,0)),"")</f>
        <v/>
      </c>
      <c r="N4638" s="34">
        <f>IF($K4638=1,L4638-M4638,"")</f>
        <v/>
      </c>
      <c r="O4638" s="34" t="n">
        <v>0.00045513</v>
      </c>
      <c r="P4638" s="34">
        <f>IF($J4638=1,LN(1+O4638),"")</f>
        <v/>
      </c>
      <c r="Q4638" s="34">
        <f>IF($J4638=1,LN(R4639/R4638),"")</f>
        <v/>
      </c>
      <c r="R4638" s="32" t="n">
        <v>6.0741</v>
      </c>
      <c r="S4638" s="35" t="n">
        <v>15.03</v>
      </c>
      <c r="T4638" s="18" t="n"/>
      <c r="U4638" s="18" t="n">
        <v>121162.66</v>
      </c>
      <c r="V4638" s="18" t="n"/>
      <c r="W4638" s="18" t="n"/>
      <c r="X4638" s="35" t="n">
        <v>15.03</v>
      </c>
      <c r="Y4638" s="35" t="n"/>
    </row>
    <row r="4639">
      <c r="A4639" s="25" t="n">
        <v>45665</v>
      </c>
      <c r="B4639" s="18" t="n">
        <v>119624.51</v>
      </c>
      <c r="C4639" s="31" t="n"/>
      <c r="D4639" s="32" t="n"/>
      <c r="E4639" s="33" t="n">
        <v>0.8655</v>
      </c>
      <c r="F4639" t="inlineStr">
        <is>
          <t>Up</t>
        </is>
      </c>
      <c r="G4639" t="inlineStr">
        <is>
          <t>Up</t>
        </is>
      </c>
      <c r="H4639" t="inlineStr">
        <is>
          <t>EU_JU</t>
        </is>
      </c>
      <c r="I4639" t="inlineStr">
        <is>
          <t>2025-01</t>
        </is>
      </c>
      <c r="J4639" t="n">
        <v>1</v>
      </c>
      <c r="K4639" t="n">
        <v>1</v>
      </c>
      <c r="L4639" s="34">
        <f>IF($J4639=1,LN(B4640/B4639),"")</f>
        <v/>
      </c>
      <c r="M4639" s="34">
        <f>IF($K4639=1,INDEX(Mensal!$D$2:$D$245,MATCH($I4639,Mensal!$A$2:$A$245,0)),"")</f>
        <v/>
      </c>
      <c r="N4639" s="34">
        <f>IF($K4639=1,L4639-M4639,"")</f>
        <v/>
      </c>
      <c r="O4639" s="34" t="n">
        <v>0.00045513</v>
      </c>
      <c r="P4639" s="34">
        <f>IF($J4639=1,LN(1+O4639),"")</f>
        <v/>
      </c>
      <c r="Q4639" s="34">
        <f>IF($J4639=1,LN(R4640/R4639),"")</f>
        <v/>
      </c>
      <c r="R4639" s="32" t="n">
        <v>6.1321</v>
      </c>
      <c r="S4639" s="35" t="n">
        <v>14.99</v>
      </c>
      <c r="T4639" s="18" t="n"/>
      <c r="U4639" s="18" t="n">
        <v>119624.51</v>
      </c>
      <c r="V4639" s="18" t="n"/>
      <c r="W4639" s="18" t="n"/>
      <c r="X4639" s="35" t="n">
        <v>14.99</v>
      </c>
      <c r="Y4639" s="35" t="n"/>
    </row>
    <row r="4640">
      <c r="A4640" s="25" t="n">
        <v>45666</v>
      </c>
      <c r="B4640" s="18" t="n">
        <v>119780.56</v>
      </c>
      <c r="C4640" s="31" t="n"/>
      <c r="D4640" s="32" t="n"/>
      <c r="E4640" s="33" t="n">
        <v>0.8584000000000001</v>
      </c>
      <c r="F4640" t="inlineStr">
        <is>
          <t>Up</t>
        </is>
      </c>
      <c r="G4640" t="inlineStr">
        <is>
          <t>Up</t>
        </is>
      </c>
      <c r="H4640" t="inlineStr">
        <is>
          <t>EU_JU</t>
        </is>
      </c>
      <c r="I4640" t="inlineStr">
        <is>
          <t>2025-01</t>
        </is>
      </c>
      <c r="J4640" t="n">
        <v>1</v>
      </c>
      <c r="K4640" t="n">
        <v>1</v>
      </c>
      <c r="L4640" s="34">
        <f>IF($J4640=1,LN(B4641/B4640),"")</f>
        <v/>
      </c>
      <c r="M4640" s="34">
        <f>IF($K4640=1,INDEX(Mensal!$D$2:$D$245,MATCH($I4640,Mensal!$A$2:$A$245,0)),"")</f>
        <v/>
      </c>
      <c r="N4640" s="34">
        <f>IF($K4640=1,L4640-M4640,"")</f>
        <v/>
      </c>
      <c r="O4640" s="34" t="n">
        <v>0.00045513</v>
      </c>
      <c r="P4640" s="34">
        <f>IF($J4640=1,LN(1+O4640),"")</f>
        <v/>
      </c>
      <c r="Q4640" s="34">
        <f>IF($J4640=1,LN(R4641/R4640),"")</f>
        <v/>
      </c>
      <c r="R4640" s="32" t="n">
        <v>6.0896</v>
      </c>
      <c r="S4640" s="35" t="n">
        <v>14.95</v>
      </c>
      <c r="T4640" s="18" t="n"/>
      <c r="U4640" s="18" t="n">
        <v>119780.56</v>
      </c>
      <c r="V4640" s="18" t="n"/>
      <c r="W4640" s="18" t="n"/>
      <c r="X4640" s="35" t="n">
        <v>14.95</v>
      </c>
      <c r="Y4640" s="35" t="n"/>
    </row>
    <row r="4641">
      <c r="A4641" s="25" t="n">
        <v>45667</v>
      </c>
      <c r="B4641" s="18" t="n">
        <v>118856.48</v>
      </c>
      <c r="C4641" s="31" t="n"/>
      <c r="D4641" s="32" t="n"/>
      <c r="E4641" s="33" t="n">
        <v>0.8484</v>
      </c>
      <c r="F4641" t="inlineStr">
        <is>
          <t>Up</t>
        </is>
      </c>
      <c r="G4641" t="inlineStr">
        <is>
          <t>Up</t>
        </is>
      </c>
      <c r="H4641" t="inlineStr">
        <is>
          <t>EU_JU</t>
        </is>
      </c>
      <c r="I4641" t="inlineStr">
        <is>
          <t>2025-01</t>
        </is>
      </c>
      <c r="J4641" t="n">
        <v>1</v>
      </c>
      <c r="K4641" t="n">
        <v>1</v>
      </c>
      <c r="L4641" s="34">
        <f>IF($J4641=1,LN(B4642/B4641),"")</f>
        <v/>
      </c>
      <c r="M4641" s="34">
        <f>IF($K4641=1,INDEX(Mensal!$D$2:$D$245,MATCH($I4641,Mensal!$A$2:$A$245,0)),"")</f>
        <v/>
      </c>
      <c r="N4641" s="34">
        <f>IF($K4641=1,L4641-M4641,"")</f>
        <v/>
      </c>
      <c r="O4641" s="34" t="n">
        <v>0.00045513</v>
      </c>
      <c r="P4641" s="34">
        <f>IF($J4641=1,LN(1+O4641),"")</f>
        <v/>
      </c>
      <c r="Q4641" s="34">
        <f>IF($J4641=1,LN(R4642/R4641),"")</f>
        <v/>
      </c>
      <c r="R4641" s="32" t="n">
        <v>6.0965</v>
      </c>
      <c r="S4641" s="35" t="n">
        <v>15.07</v>
      </c>
      <c r="T4641" s="18" t="n"/>
      <c r="U4641" s="18" t="n">
        <v>118856.48</v>
      </c>
      <c r="V4641" s="18" t="n"/>
      <c r="W4641" s="18" t="n"/>
      <c r="X4641" s="35" t="n">
        <v>15.07</v>
      </c>
      <c r="Y4641" s="35" t="n"/>
    </row>
    <row r="4642">
      <c r="A4642" s="25" t="n">
        <v>45670</v>
      </c>
      <c r="B4642" s="18" t="n">
        <v>119006.93</v>
      </c>
      <c r="C4642" s="31" t="n"/>
      <c r="D4642" s="32" t="n"/>
      <c r="E4642" s="33" t="n">
        <v>0.8435</v>
      </c>
      <c r="F4642" t="inlineStr">
        <is>
          <t>Up</t>
        </is>
      </c>
      <c r="G4642" t="inlineStr">
        <is>
          <t>Up</t>
        </is>
      </c>
      <c r="H4642" t="inlineStr">
        <is>
          <t>EU_JU</t>
        </is>
      </c>
      <c r="I4642" t="inlineStr">
        <is>
          <t>2025-01</t>
        </is>
      </c>
      <c r="J4642" t="n">
        <v>1</v>
      </c>
      <c r="K4642" t="n">
        <v>1</v>
      </c>
      <c r="L4642" s="34">
        <f>IF($J4642=1,LN(B4643/B4642),"")</f>
        <v/>
      </c>
      <c r="M4642" s="34">
        <f>IF($K4642=1,INDEX(Mensal!$D$2:$D$245,MATCH($I4642,Mensal!$A$2:$A$245,0)),"")</f>
        <v/>
      </c>
      <c r="N4642" s="34">
        <f>IF($K4642=1,L4642-M4642,"")</f>
        <v/>
      </c>
      <c r="O4642" s="34" t="n">
        <v>0.00045513</v>
      </c>
      <c r="P4642" s="34">
        <f>IF($J4642=1,LN(1+O4642),"")</f>
        <v/>
      </c>
      <c r="Q4642" s="34">
        <f>IF($J4642=1,LN(R4643/R4642),"")</f>
        <v/>
      </c>
      <c r="R4642" s="32" t="n">
        <v>6.1079</v>
      </c>
      <c r="S4642" s="35" t="n">
        <v>14.96</v>
      </c>
      <c r="T4642" s="18" t="n"/>
      <c r="U4642" s="18" t="n">
        <v>119006.93</v>
      </c>
      <c r="V4642" s="18" t="n"/>
      <c r="W4642" s="18" t="n"/>
      <c r="X4642" s="35" t="n">
        <v>14.96</v>
      </c>
      <c r="Y4642" s="35" t="n"/>
    </row>
    <row r="4643">
      <c r="A4643" s="25" t="n">
        <v>45671</v>
      </c>
      <c r="B4643" s="18" t="n">
        <v>119298.67</v>
      </c>
      <c r="C4643" s="31" t="n"/>
      <c r="D4643" s="32" t="n"/>
      <c r="E4643" s="33" t="n">
        <v>0.8341</v>
      </c>
      <c r="F4643" t="inlineStr">
        <is>
          <t>Up</t>
        </is>
      </c>
      <c r="G4643" t="inlineStr">
        <is>
          <t>Up</t>
        </is>
      </c>
      <c r="H4643" t="inlineStr">
        <is>
          <t>EU_JU</t>
        </is>
      </c>
      <c r="I4643" t="inlineStr">
        <is>
          <t>2025-01</t>
        </is>
      </c>
      <c r="J4643" t="n">
        <v>1</v>
      </c>
      <c r="K4643" t="n">
        <v>1</v>
      </c>
      <c r="L4643" s="34">
        <f>IF($J4643=1,LN(B4644/B4643),"")</f>
        <v/>
      </c>
      <c r="M4643" s="34">
        <f>IF($K4643=1,INDEX(Mensal!$D$2:$D$245,MATCH($I4643,Mensal!$A$2:$A$245,0)),"")</f>
        <v/>
      </c>
      <c r="N4643" s="34">
        <f>IF($K4643=1,L4643-M4643,"")</f>
        <v/>
      </c>
      <c r="O4643" s="34" t="n">
        <v>0.00045513</v>
      </c>
      <c r="P4643" s="34">
        <f>IF($J4643=1,LN(1+O4643),"")</f>
        <v/>
      </c>
      <c r="Q4643" s="34">
        <f>IF($J4643=1,LN(R4644/R4643),"")</f>
        <v/>
      </c>
      <c r="R4643" s="32" t="n">
        <v>6.0671</v>
      </c>
      <c r="S4643" s="35" t="n">
        <v>14.92</v>
      </c>
      <c r="T4643" s="18" t="n"/>
      <c r="U4643" s="18" t="n">
        <v>119298.67</v>
      </c>
      <c r="V4643" s="18" t="n"/>
      <c r="W4643" s="18" t="n"/>
      <c r="X4643" s="35" t="n">
        <v>14.92</v>
      </c>
      <c r="Y4643" s="35" t="n"/>
    </row>
    <row r="4644">
      <c r="A4644" s="25" t="n">
        <v>45672</v>
      </c>
      <c r="B4644" s="18" t="n">
        <v>122650.2</v>
      </c>
      <c r="C4644" s="31" t="n"/>
      <c r="D4644" s="32" t="n"/>
      <c r="E4644" s="33" t="n">
        <v>0.8186</v>
      </c>
      <c r="F4644" t="inlineStr">
        <is>
          <t>Up</t>
        </is>
      </c>
      <c r="G4644" t="inlineStr">
        <is>
          <t>Up</t>
        </is>
      </c>
      <c r="H4644" t="inlineStr">
        <is>
          <t>EU_JU</t>
        </is>
      </c>
      <c r="I4644" t="inlineStr">
        <is>
          <t>2025-01</t>
        </is>
      </c>
      <c r="J4644" t="n">
        <v>1</v>
      </c>
      <c r="K4644" t="n">
        <v>1</v>
      </c>
      <c r="L4644" s="34">
        <f>IF($J4644=1,LN(B4645/B4644),"")</f>
        <v/>
      </c>
      <c r="M4644" s="34">
        <f>IF($K4644=1,INDEX(Mensal!$D$2:$D$245,MATCH($I4644,Mensal!$A$2:$A$245,0)),"")</f>
        <v/>
      </c>
      <c r="N4644" s="34">
        <f>IF($K4644=1,L4644-M4644,"")</f>
        <v/>
      </c>
      <c r="O4644" s="34" t="n">
        <v>0.00045513</v>
      </c>
      <c r="P4644" s="34">
        <f>IF($J4644=1,LN(1+O4644),"")</f>
        <v/>
      </c>
      <c r="Q4644" s="34">
        <f>IF($J4644=1,LN(R4645/R4644),"")</f>
        <v/>
      </c>
      <c r="R4644" s="32" t="n">
        <v>6.0377</v>
      </c>
      <c r="S4644" s="35" t="n">
        <v>14.85</v>
      </c>
      <c r="T4644" s="18" t="n"/>
      <c r="U4644" s="18" t="n">
        <v>122650.2</v>
      </c>
      <c r="V4644" s="18" t="n"/>
      <c r="W4644" s="18" t="n"/>
      <c r="X4644" s="35" t="n">
        <v>14.85</v>
      </c>
      <c r="Y4644" s="35" t="n"/>
    </row>
    <row r="4645">
      <c r="A4645" s="25" t="n">
        <v>45673</v>
      </c>
      <c r="B4645" s="18" t="n">
        <v>121234.14</v>
      </c>
      <c r="C4645" s="31" t="n"/>
      <c r="D4645" s="32" t="n"/>
      <c r="E4645" s="33" t="n">
        <v>0.7945</v>
      </c>
      <c r="F4645" t="inlineStr">
        <is>
          <t>Up</t>
        </is>
      </c>
      <c r="G4645" t="inlineStr">
        <is>
          <t>Up</t>
        </is>
      </c>
      <c r="H4645" t="inlineStr">
        <is>
          <t>EU_JU</t>
        </is>
      </c>
      <c r="I4645" t="inlineStr">
        <is>
          <t>2025-01</t>
        </is>
      </c>
      <c r="J4645" t="n">
        <v>1</v>
      </c>
      <c r="K4645" t="n">
        <v>1</v>
      </c>
      <c r="L4645" s="34">
        <f>IF($J4645=1,LN(B4646/B4645),"")</f>
        <v/>
      </c>
      <c r="M4645" s="34">
        <f>IF($K4645=1,INDEX(Mensal!$D$2:$D$245,MATCH($I4645,Mensal!$A$2:$A$245,0)),"")</f>
        <v/>
      </c>
      <c r="N4645" s="34">
        <f>IF($K4645=1,L4645-M4645,"")</f>
        <v/>
      </c>
      <c r="O4645" s="34" t="n">
        <v>0.00045513</v>
      </c>
      <c r="P4645" s="34">
        <f>IF($J4645=1,LN(1+O4645),"")</f>
        <v/>
      </c>
      <c r="Q4645" s="34">
        <f>IF($J4645=1,LN(R4646/R4645),"")</f>
        <v/>
      </c>
      <c r="R4645" s="32" t="n">
        <v>6.0322</v>
      </c>
      <c r="S4645" s="35" t="n">
        <v>14.93</v>
      </c>
      <c r="T4645" s="18" t="n"/>
      <c r="U4645" s="18" t="n">
        <v>121234.14</v>
      </c>
      <c r="V4645" s="18" t="n"/>
      <c r="W4645" s="18" t="n"/>
      <c r="X4645" s="35" t="n">
        <v>14.93</v>
      </c>
      <c r="Y4645" s="35" t="n"/>
    </row>
    <row r="4646">
      <c r="A4646" s="25" t="n">
        <v>45674</v>
      </c>
      <c r="B4646" s="18" t="n">
        <v>122350.38</v>
      </c>
      <c r="C4646" s="31" t="n"/>
      <c r="D4646" s="32" t="n"/>
      <c r="E4646" s="33" t="n">
        <v>0.7682</v>
      </c>
      <c r="F4646" t="inlineStr">
        <is>
          <t>Up</t>
        </is>
      </c>
      <c r="G4646" t="inlineStr">
        <is>
          <t>Up</t>
        </is>
      </c>
      <c r="H4646" t="inlineStr">
        <is>
          <t>EU_JU</t>
        </is>
      </c>
      <c r="I4646" t="inlineStr">
        <is>
          <t>2025-01</t>
        </is>
      </c>
      <c r="J4646" t="n">
        <v>1</v>
      </c>
      <c r="K4646" t="n">
        <v>1</v>
      </c>
      <c r="L4646" s="34">
        <f>IF($J4646=1,LN(B4647/B4646),"")</f>
        <v/>
      </c>
      <c r="M4646" s="34">
        <f>IF($K4646=1,INDEX(Mensal!$D$2:$D$245,MATCH($I4646,Mensal!$A$2:$A$245,0)),"")</f>
        <v/>
      </c>
      <c r="N4646" s="34">
        <f>IF($K4646=1,L4646-M4646,"")</f>
        <v/>
      </c>
      <c r="O4646" s="34" t="n">
        <v>0.00045513</v>
      </c>
      <c r="P4646" s="34">
        <f>IF($J4646=1,LN(1+O4646),"")</f>
        <v/>
      </c>
      <c r="Q4646" s="34">
        <f>IF($J4646=1,LN(R4647/R4646),"")</f>
        <v/>
      </c>
      <c r="R4646" s="32" t="n">
        <v>6.0609</v>
      </c>
      <c r="S4646" s="35" t="n">
        <v>14.99</v>
      </c>
      <c r="T4646" s="18" t="n"/>
      <c r="U4646" s="18" t="n">
        <v>122350.38</v>
      </c>
      <c r="V4646" s="18" t="n"/>
      <c r="W4646" s="18" t="n"/>
      <c r="X4646" s="35" t="n">
        <v>14.99</v>
      </c>
      <c r="Y4646" s="35" t="n"/>
    </row>
    <row r="4647">
      <c r="A4647" s="25" t="n">
        <v>45677</v>
      </c>
      <c r="B4647" s="18" t="n">
        <v>122855.15</v>
      </c>
      <c r="C4647" s="31" t="n"/>
      <c r="D4647" s="32" t="n"/>
      <c r="E4647" s="33" t="n">
        <v>0.7356</v>
      </c>
      <c r="F4647" t="inlineStr">
        <is>
          <t>Up</t>
        </is>
      </c>
      <c r="G4647" t="inlineStr">
        <is>
          <t>Up</t>
        </is>
      </c>
      <c r="H4647" t="inlineStr">
        <is>
          <t>EU_JU</t>
        </is>
      </c>
      <c r="I4647" t="inlineStr">
        <is>
          <t>2025-01</t>
        </is>
      </c>
      <c r="J4647" t="n">
        <v>1</v>
      </c>
      <c r="K4647" t="n">
        <v>1</v>
      </c>
      <c r="L4647" s="34">
        <f>IF($J4647=1,LN(B4648/B4647),"")</f>
        <v/>
      </c>
      <c r="M4647" s="34">
        <f>IF($K4647=1,INDEX(Mensal!$D$2:$D$245,MATCH($I4647,Mensal!$A$2:$A$245,0)),"")</f>
        <v/>
      </c>
      <c r="N4647" s="34">
        <f>IF($K4647=1,L4647-M4647,"")</f>
        <v/>
      </c>
      <c r="O4647" s="34" t="n">
        <v>0.00045513</v>
      </c>
      <c r="P4647" s="34">
        <f>IF($J4647=1,LN(1+O4647),"")</f>
        <v/>
      </c>
      <c r="Q4647" s="34">
        <f>IF($J4647=1,LN(R4648/R4647),"")</f>
        <v/>
      </c>
      <c r="R4647" s="32" t="n">
        <v>6.0498</v>
      </c>
      <c r="S4647" s="35" t="n">
        <v>14.96</v>
      </c>
      <c r="T4647" s="18" t="n"/>
      <c r="U4647" s="18" t="n">
        <v>122855.15</v>
      </c>
      <c r="V4647" s="18" t="n"/>
      <c r="W4647" s="18" t="n"/>
      <c r="X4647" s="35" t="n">
        <v>14.96</v>
      </c>
      <c r="Y4647" s="35" t="n"/>
    </row>
    <row r="4648">
      <c r="A4648" s="25" t="n">
        <v>45678</v>
      </c>
      <c r="B4648" s="18" t="n">
        <v>123338.34</v>
      </c>
      <c r="C4648" s="31" t="n"/>
      <c r="D4648" s="32" t="n"/>
      <c r="E4648" s="33" t="n">
        <v>0.7049</v>
      </c>
      <c r="F4648" t="inlineStr">
        <is>
          <t>Up</t>
        </is>
      </c>
      <c r="G4648" t="inlineStr">
        <is>
          <t>Up</t>
        </is>
      </c>
      <c r="H4648" t="inlineStr">
        <is>
          <t>EU_JU</t>
        </is>
      </c>
      <c r="I4648" t="inlineStr">
        <is>
          <t>2025-01</t>
        </is>
      </c>
      <c r="J4648" t="n">
        <v>1</v>
      </c>
      <c r="K4648" t="n">
        <v>1</v>
      </c>
      <c r="L4648" s="34">
        <f>IF($J4648=1,LN(B4649/B4648),"")</f>
        <v/>
      </c>
      <c r="M4648" s="34">
        <f>IF($K4648=1,INDEX(Mensal!$D$2:$D$245,MATCH($I4648,Mensal!$A$2:$A$245,0)),"")</f>
        <v/>
      </c>
      <c r="N4648" s="34">
        <f>IF($K4648=1,L4648-M4648,"")</f>
        <v/>
      </c>
      <c r="O4648" s="34" t="n">
        <v>0.00045513</v>
      </c>
      <c r="P4648" s="34">
        <f>IF($J4648=1,LN(1+O4648),"")</f>
        <v/>
      </c>
      <c r="Q4648" s="34">
        <f>IF($J4648=1,LN(R4649/R4648),"")</f>
        <v/>
      </c>
      <c r="R4648" s="32" t="n">
        <v>6.044</v>
      </c>
      <c r="S4648" s="35" t="n">
        <v>14.98</v>
      </c>
      <c r="T4648" s="18" t="n"/>
      <c r="U4648" s="18" t="n">
        <v>123338.34</v>
      </c>
      <c r="V4648" s="18" t="n"/>
      <c r="W4648" s="18" t="n"/>
      <c r="X4648" s="35" t="n">
        <v>14.98</v>
      </c>
      <c r="Y4648" s="35" t="n"/>
    </row>
    <row r="4649">
      <c r="A4649" s="25" t="n">
        <v>45679</v>
      </c>
      <c r="B4649" s="18" t="n">
        <v>122971.77</v>
      </c>
      <c r="C4649" s="31" t="n"/>
      <c r="D4649" s="32" t="n"/>
      <c r="E4649" s="33" t="n">
        <v>0.6766</v>
      </c>
      <c r="F4649" t="inlineStr">
        <is>
          <t>Up</t>
        </is>
      </c>
      <c r="G4649" t="inlineStr">
        <is>
          <t>Up</t>
        </is>
      </c>
      <c r="H4649" t="inlineStr">
        <is>
          <t>EU_JU</t>
        </is>
      </c>
      <c r="I4649" t="inlineStr">
        <is>
          <t>2025-01</t>
        </is>
      </c>
      <c r="J4649" t="n">
        <v>1</v>
      </c>
      <c r="K4649" t="n">
        <v>1</v>
      </c>
      <c r="L4649" s="34">
        <f>IF($J4649=1,LN(B4650/B4649),"")</f>
        <v/>
      </c>
      <c r="M4649" s="34">
        <f>IF($K4649=1,INDEX(Mensal!$D$2:$D$245,MATCH($I4649,Mensal!$A$2:$A$245,0)),"")</f>
        <v/>
      </c>
      <c r="N4649" s="34">
        <f>IF($K4649=1,L4649-M4649,"")</f>
        <v/>
      </c>
      <c r="O4649" s="34" t="n">
        <v>0.00045513</v>
      </c>
      <c r="P4649" s="34">
        <f>IF($J4649=1,LN(1+O4649),"")</f>
        <v/>
      </c>
      <c r="Q4649" s="34">
        <f>IF($J4649=1,LN(R4650/R4649),"")</f>
        <v/>
      </c>
      <c r="R4649" s="32" t="n">
        <v>5.9674</v>
      </c>
      <c r="S4649" s="35" t="n">
        <v>14.94</v>
      </c>
      <c r="T4649" s="18" t="n"/>
      <c r="U4649" s="18" t="n">
        <v>122971.77</v>
      </c>
      <c r="V4649" s="18" t="n"/>
      <c r="W4649" s="18" t="n"/>
      <c r="X4649" s="35" t="n">
        <v>14.94</v>
      </c>
      <c r="Y4649" s="35" t="n"/>
    </row>
    <row r="4650">
      <c r="A4650" s="25" t="n">
        <v>45680</v>
      </c>
      <c r="B4650" s="18" t="n">
        <v>122483.32</v>
      </c>
      <c r="C4650" s="31" t="n"/>
      <c r="D4650" s="32" t="n"/>
      <c r="E4650" s="33" t="n">
        <v>0.6417</v>
      </c>
      <c r="F4650" t="inlineStr">
        <is>
          <t>Up</t>
        </is>
      </c>
      <c r="G4650" t="inlineStr">
        <is>
          <t>Up</t>
        </is>
      </c>
      <c r="H4650" t="inlineStr">
        <is>
          <t>EU_JU</t>
        </is>
      </c>
      <c r="I4650" t="inlineStr">
        <is>
          <t>2025-01</t>
        </is>
      </c>
      <c r="J4650" t="n">
        <v>1</v>
      </c>
      <c r="K4650" t="n">
        <v>1</v>
      </c>
      <c r="L4650" s="34">
        <f>IF($J4650=1,LN(B4651/B4650),"")</f>
        <v/>
      </c>
      <c r="M4650" s="34">
        <f>IF($K4650=1,INDEX(Mensal!$D$2:$D$245,MATCH($I4650,Mensal!$A$2:$A$245,0)),"")</f>
        <v/>
      </c>
      <c r="N4650" s="34">
        <f>IF($K4650=1,L4650-M4650,"")</f>
        <v/>
      </c>
      <c r="O4650" s="34" t="n">
        <v>0.00045513</v>
      </c>
      <c r="P4650" s="34">
        <f>IF($J4650=1,LN(1+O4650),"")</f>
        <v/>
      </c>
      <c r="Q4650" s="34">
        <f>IF($J4650=1,LN(R4651/R4650),"")</f>
        <v/>
      </c>
      <c r="R4650" s="32" t="n">
        <v>5.9399</v>
      </c>
      <c r="S4650" s="35" t="n">
        <v>15.07</v>
      </c>
      <c r="T4650" s="18" t="n"/>
      <c r="U4650" s="18" t="n">
        <v>122483.32</v>
      </c>
      <c r="V4650" s="18" t="n"/>
      <c r="W4650" s="18" t="n"/>
      <c r="X4650" s="35" t="n">
        <v>15.07</v>
      </c>
      <c r="Y4650" s="35" t="n"/>
    </row>
    <row r="4651">
      <c r="A4651" s="25" t="n">
        <v>45681</v>
      </c>
      <c r="B4651" s="18" t="n">
        <v>122446.94</v>
      </c>
      <c r="C4651" s="31" t="n"/>
      <c r="D4651" s="32" t="n"/>
      <c r="E4651" s="33" t="n">
        <v>0.6052</v>
      </c>
      <c r="F4651" t="inlineStr">
        <is>
          <t>Up</t>
        </is>
      </c>
      <c r="G4651" t="inlineStr">
        <is>
          <t>Up</t>
        </is>
      </c>
      <c r="H4651" t="inlineStr">
        <is>
          <t>EU_JU</t>
        </is>
      </c>
      <c r="I4651" t="inlineStr">
        <is>
          <t>2025-01</t>
        </is>
      </c>
      <c r="J4651" t="n">
        <v>1</v>
      </c>
      <c r="K4651" t="n">
        <v>1</v>
      </c>
      <c r="L4651" s="34">
        <f>IF($J4651=1,LN(B4652/B4651),"")</f>
        <v/>
      </c>
      <c r="M4651" s="34">
        <f>IF($K4651=1,INDEX(Mensal!$D$2:$D$245,MATCH($I4651,Mensal!$A$2:$A$245,0)),"")</f>
        <v/>
      </c>
      <c r="N4651" s="34">
        <f>IF($K4651=1,L4651-M4651,"")</f>
        <v/>
      </c>
      <c r="O4651" s="34" t="n">
        <v>0.00045513</v>
      </c>
      <c r="P4651" s="34">
        <f>IF($J4651=1,LN(1+O4651),"")</f>
        <v/>
      </c>
      <c r="Q4651" s="34">
        <f>IF($J4651=1,LN(R4652/R4651),"")</f>
        <v/>
      </c>
      <c r="R4651" s="32" t="n">
        <v>5.8925</v>
      </c>
      <c r="S4651" s="35" t="n">
        <v>15.18</v>
      </c>
      <c r="T4651" s="18" t="n"/>
      <c r="U4651" s="18" t="n">
        <v>122446.94</v>
      </c>
      <c r="V4651" s="18" t="n"/>
      <c r="W4651" s="18" t="n"/>
      <c r="X4651" s="35" t="n">
        <v>15.18</v>
      </c>
      <c r="Y4651" s="35" t="n"/>
    </row>
    <row r="4652">
      <c r="A4652" s="25" t="n">
        <v>45684</v>
      </c>
      <c r="B4652" s="18" t="n">
        <v>124861.5</v>
      </c>
      <c r="C4652" s="31" t="n"/>
      <c r="D4652" s="32" t="n"/>
      <c r="E4652" s="33" t="n">
        <v>0.5686</v>
      </c>
      <c r="F4652" t="inlineStr">
        <is>
          <t>Up</t>
        </is>
      </c>
      <c r="G4652" t="inlineStr">
        <is>
          <t>Up</t>
        </is>
      </c>
      <c r="H4652" t="inlineStr">
        <is>
          <t>EU_JU</t>
        </is>
      </c>
      <c r="I4652" t="inlineStr">
        <is>
          <t>2025-01</t>
        </is>
      </c>
      <c r="J4652" t="n">
        <v>1</v>
      </c>
      <c r="K4652" t="n">
        <v>1</v>
      </c>
      <c r="L4652" s="34">
        <f>IF($J4652=1,LN(B4653/B4652),"")</f>
        <v/>
      </c>
      <c r="M4652" s="34">
        <f>IF($K4652=1,INDEX(Mensal!$D$2:$D$245,MATCH($I4652,Mensal!$A$2:$A$245,0)),"")</f>
        <v/>
      </c>
      <c r="N4652" s="34">
        <f>IF($K4652=1,L4652-M4652,"")</f>
        <v/>
      </c>
      <c r="O4652" s="34" t="n">
        <v>0.00045513</v>
      </c>
      <c r="P4652" s="34">
        <f>IF($J4652=1,LN(1+O4652),"")</f>
        <v/>
      </c>
      <c r="Q4652" s="34">
        <f>IF($J4652=1,LN(R4653/R4652),"")</f>
        <v/>
      </c>
      <c r="R4652" s="32" t="n">
        <v>5.9272</v>
      </c>
      <c r="S4652" s="35" t="n">
        <v>15.2</v>
      </c>
      <c r="T4652" s="18" t="n"/>
      <c r="U4652" s="18" t="n">
        <v>124861.5</v>
      </c>
      <c r="V4652" s="18" t="n"/>
      <c r="W4652" s="18" t="n"/>
      <c r="X4652" s="35" t="n">
        <v>15.2</v>
      </c>
      <c r="Y4652" s="35" t="n"/>
    </row>
    <row r="4653">
      <c r="A4653" s="25" t="n">
        <v>45685</v>
      </c>
      <c r="B4653" s="18" t="n">
        <v>124055.5</v>
      </c>
      <c r="C4653" s="31" t="n"/>
      <c r="D4653" s="32" t="n"/>
      <c r="E4653" s="33" t="n">
        <v>0.5269</v>
      </c>
      <c r="F4653" t="inlineStr">
        <is>
          <t>Up</t>
        </is>
      </c>
      <c r="G4653" t="inlineStr">
        <is>
          <t>Up</t>
        </is>
      </c>
      <c r="H4653" t="inlineStr">
        <is>
          <t>EU_JU</t>
        </is>
      </c>
      <c r="I4653" t="inlineStr">
        <is>
          <t>2025-01</t>
        </is>
      </c>
      <c r="J4653" t="n">
        <v>1</v>
      </c>
      <c r="K4653" t="n">
        <v>1</v>
      </c>
      <c r="L4653" s="34">
        <f>IF($J4653=1,LN(B4654/B4653),"")</f>
        <v/>
      </c>
      <c r="M4653" s="34">
        <f>IF($K4653=1,INDEX(Mensal!$D$2:$D$245,MATCH($I4653,Mensal!$A$2:$A$245,0)),"")</f>
        <v/>
      </c>
      <c r="N4653" s="34">
        <f>IF($K4653=1,L4653-M4653,"")</f>
        <v/>
      </c>
      <c r="O4653" s="34" t="n">
        <v>0.00045513</v>
      </c>
      <c r="P4653" s="34">
        <f>IF($J4653=1,LN(1+O4653),"")</f>
        <v/>
      </c>
      <c r="Q4653" s="34">
        <f>IF($J4653=1,LN(R4654/R4653),"")</f>
        <v/>
      </c>
      <c r="R4653" s="32" t="n">
        <v>5.893</v>
      </c>
      <c r="S4653" s="35" t="n">
        <v>15.19</v>
      </c>
      <c r="T4653" s="18" t="n"/>
      <c r="U4653" s="18" t="n">
        <v>124055.5</v>
      </c>
      <c r="V4653" s="18" t="n"/>
      <c r="W4653" s="18" t="n"/>
      <c r="X4653" s="35" t="n">
        <v>15.19</v>
      </c>
      <c r="Y4653" s="35" t="n"/>
    </row>
    <row r="4654">
      <c r="A4654" s="25" t="n">
        <v>45686</v>
      </c>
      <c r="B4654" s="18" t="n">
        <v>123432.12</v>
      </c>
      <c r="C4654" s="31" t="n"/>
      <c r="D4654" s="32" t="n"/>
      <c r="E4654" s="33" t="n">
        <v>0.4681</v>
      </c>
      <c r="F4654" t="inlineStr">
        <is>
          <t>Up</t>
        </is>
      </c>
      <c r="G4654" t="inlineStr">
        <is>
          <t>Up</t>
        </is>
      </c>
      <c r="H4654" t="inlineStr">
        <is>
          <t>EU_JU</t>
        </is>
      </c>
      <c r="I4654" t="inlineStr">
        <is>
          <t>2025-01</t>
        </is>
      </c>
      <c r="J4654" t="n">
        <v>1</v>
      </c>
      <c r="K4654" t="n">
        <v>1</v>
      </c>
      <c r="L4654" s="34">
        <f>IF($J4654=1,LN(B4655/B4654),"")</f>
        <v/>
      </c>
      <c r="M4654" s="34">
        <f>IF($K4654=1,INDEX(Mensal!$D$2:$D$245,MATCH($I4654,Mensal!$A$2:$A$245,0)),"")</f>
        <v/>
      </c>
      <c r="N4654" s="34">
        <f>IF($K4654=1,L4654-M4654,"")</f>
        <v/>
      </c>
      <c r="O4654" s="34" t="n">
        <v>0.00045513</v>
      </c>
      <c r="P4654" s="34">
        <f>IF($J4654=1,LN(1+O4654),"")</f>
        <v/>
      </c>
      <c r="Q4654" s="34">
        <f>IF($J4654=1,LN(R4655/R4654),"")</f>
        <v/>
      </c>
      <c r="R4654" s="32" t="n">
        <v>5.8596</v>
      </c>
      <c r="S4654" s="35" t="n">
        <v>15.26</v>
      </c>
      <c r="T4654" s="18" t="n"/>
      <c r="U4654" s="18" t="n">
        <v>123432.12</v>
      </c>
      <c r="V4654" s="18" t="n"/>
      <c r="W4654" s="18" t="n"/>
      <c r="X4654" s="35" t="n">
        <v>15.26</v>
      </c>
      <c r="Y4654" s="35" t="n"/>
    </row>
    <row r="4655">
      <c r="A4655" s="25" t="n">
        <v>45687</v>
      </c>
      <c r="B4655" s="18" t="n">
        <v>126912.78</v>
      </c>
      <c r="C4655" s="31" t="n"/>
      <c r="D4655" s="32" t="n"/>
      <c r="E4655" s="33" t="n">
        <v>0.4346</v>
      </c>
      <c r="F4655" t="inlineStr">
        <is>
          <t>Up</t>
        </is>
      </c>
      <c r="G4655" t="inlineStr">
        <is>
          <t>Up</t>
        </is>
      </c>
      <c r="H4655" t="inlineStr">
        <is>
          <t>EU_JU</t>
        </is>
      </c>
      <c r="I4655" t="inlineStr">
        <is>
          <t>2025-01</t>
        </is>
      </c>
      <c r="J4655" t="n">
        <v>1</v>
      </c>
      <c r="K4655" t="n">
        <v>1</v>
      </c>
      <c r="L4655" s="34">
        <f>IF($J4655=1,LN(B4656/B4655),"")</f>
        <v/>
      </c>
      <c r="M4655" s="34">
        <f>IF($K4655=1,INDEX(Mensal!$D$2:$D$245,MATCH($I4655,Mensal!$A$2:$A$245,0)),"")</f>
        <v/>
      </c>
      <c r="N4655" s="34">
        <f>IF($K4655=1,L4655-M4655,"")</f>
        <v/>
      </c>
      <c r="O4655" s="34" t="n">
        <v>0.00049037</v>
      </c>
      <c r="P4655" s="34">
        <f>IF($J4655=1,LN(1+O4655),"")</f>
        <v/>
      </c>
      <c r="Q4655" s="34">
        <f>IF($J4655=1,LN(R4656/R4655),"")</f>
        <v/>
      </c>
      <c r="R4655" s="32" t="n">
        <v>5.9006</v>
      </c>
      <c r="S4655" s="35" t="n">
        <v>14.9</v>
      </c>
      <c r="T4655" s="18" t="n"/>
      <c r="U4655" s="18" t="n">
        <v>126912.78</v>
      </c>
      <c r="V4655" s="18" t="n"/>
      <c r="W4655" s="18" t="n"/>
      <c r="X4655" s="35" t="n">
        <v>14.9</v>
      </c>
      <c r="Y4655" s="35" t="n"/>
    </row>
    <row r="4656">
      <c r="A4656" s="25" t="n">
        <v>45688</v>
      </c>
      <c r="B4656" s="18" t="n">
        <v>126134.94</v>
      </c>
      <c r="C4656" s="31" t="n"/>
      <c r="D4656" s="32" t="n"/>
      <c r="E4656" s="33" t="n">
        <v>0.4019</v>
      </c>
      <c r="F4656" t="inlineStr">
        <is>
          <t>Up</t>
        </is>
      </c>
      <c r="G4656" t="inlineStr">
        <is>
          <t>Up</t>
        </is>
      </c>
      <c r="H4656" t="inlineStr">
        <is>
          <t>EU_JU</t>
        </is>
      </c>
      <c r="I4656" t="inlineStr">
        <is>
          <t>2025-01</t>
        </is>
      </c>
      <c r="J4656" t="n">
        <v>1</v>
      </c>
      <c r="K4656" t="n">
        <v>1</v>
      </c>
      <c r="L4656" s="34">
        <f>IF($J4656=1,LN(B4657/B4656),"")</f>
        <v/>
      </c>
      <c r="M4656" s="34">
        <f>IF($K4656=1,INDEX(Mensal!$D$2:$D$245,MATCH($I4656,Mensal!$A$2:$A$245,0)),"")</f>
        <v/>
      </c>
      <c r="N4656" s="34">
        <f>IF($K4656=1,L4656-M4656,"")</f>
        <v/>
      </c>
      <c r="O4656" s="34" t="n">
        <v>0.00049037</v>
      </c>
      <c r="P4656" s="34">
        <f>IF($J4656=1,LN(1+O4656),"")</f>
        <v/>
      </c>
      <c r="Q4656" s="34">
        <f>IF($J4656=1,LN(R4657/R4656),"")</f>
        <v/>
      </c>
      <c r="R4656" s="32" t="n">
        <v>5.8301</v>
      </c>
      <c r="S4656" s="35" t="n">
        <v>14.95</v>
      </c>
      <c r="T4656" s="18" t="n"/>
      <c r="U4656" s="18" t="n">
        <v>126134.94</v>
      </c>
      <c r="V4656" s="18" t="n"/>
      <c r="W4656" s="18" t="n"/>
      <c r="X4656" s="35" t="n">
        <v>14.95</v>
      </c>
      <c r="Y4656" s="35" t="n"/>
    </row>
    <row r="4657">
      <c r="A4657" s="25" t="n">
        <v>45691</v>
      </c>
      <c r="B4657" s="18" t="n">
        <v>125970.46</v>
      </c>
      <c r="C4657" s="31" t="n"/>
      <c r="D4657" s="32" t="n"/>
      <c r="E4657" s="33" t="n">
        <v>0.3788</v>
      </c>
      <c r="F4657" t="inlineStr">
        <is>
          <t>Up</t>
        </is>
      </c>
      <c r="G4657" t="inlineStr">
        <is>
          <t>Up</t>
        </is>
      </c>
      <c r="H4657" t="inlineStr">
        <is>
          <t>EU_JU</t>
        </is>
      </c>
      <c r="I4657" t="inlineStr">
        <is>
          <t>2025-02</t>
        </is>
      </c>
      <c r="J4657" t="n">
        <v>1</v>
      </c>
      <c r="K4657" t="n">
        <v>1</v>
      </c>
      <c r="L4657" s="34">
        <f>IF($J4657=1,LN(B4658/B4657),"")</f>
        <v/>
      </c>
      <c r="M4657" s="34">
        <f>IF($K4657=1,INDEX(Mensal!$D$2:$D$245,MATCH($I4657,Mensal!$A$2:$A$245,0)),"")</f>
        <v/>
      </c>
      <c r="N4657" s="34">
        <f>IF($K4657=1,L4657-M4657,"")</f>
        <v/>
      </c>
      <c r="O4657" s="34" t="n">
        <v>0.00049037</v>
      </c>
      <c r="P4657" s="34">
        <f>IF($J4657=1,LN(1+O4657),"")</f>
        <v/>
      </c>
      <c r="Q4657" s="34">
        <f>IF($J4657=1,LN(R4658/R4657),"")</f>
        <v/>
      </c>
      <c r="R4657" s="32" t="n">
        <v>5.8687</v>
      </c>
      <c r="S4657" s="35" t="n">
        <v>14.96</v>
      </c>
      <c r="T4657" s="18" t="n"/>
      <c r="U4657" s="18" t="n">
        <v>125970.46</v>
      </c>
      <c r="V4657" s="18" t="n"/>
      <c r="W4657" s="18" t="n"/>
      <c r="X4657" s="35" t="n">
        <v>14.96</v>
      </c>
      <c r="Y4657" s="35" t="n"/>
    </row>
    <row r="4658">
      <c r="A4658" s="25" t="n">
        <v>45692</v>
      </c>
      <c r="B4658" s="18" t="n">
        <v>125147.42</v>
      </c>
      <c r="C4658" s="31" t="n"/>
      <c r="D4658" s="32" t="n"/>
      <c r="E4658" s="33" t="n">
        <v>0.3322</v>
      </c>
      <c r="F4658" t="inlineStr">
        <is>
          <t>Up</t>
        </is>
      </c>
      <c r="G4658" t="inlineStr">
        <is>
          <t>Up</t>
        </is>
      </c>
      <c r="H4658" t="inlineStr">
        <is>
          <t>EU_JU</t>
        </is>
      </c>
      <c r="I4658" t="inlineStr">
        <is>
          <t>2025-02</t>
        </is>
      </c>
      <c r="J4658" t="n">
        <v>1</v>
      </c>
      <c r="K4658" t="n">
        <v>1</v>
      </c>
      <c r="L4658" s="34">
        <f>IF($J4658=1,LN(B4659/B4658),"")</f>
        <v/>
      </c>
      <c r="M4658" s="34">
        <f>IF($K4658=1,INDEX(Mensal!$D$2:$D$245,MATCH($I4658,Mensal!$A$2:$A$245,0)),"")</f>
        <v/>
      </c>
      <c r="N4658" s="34">
        <f>IF($K4658=1,L4658-M4658,"")</f>
        <v/>
      </c>
      <c r="O4658" s="34" t="n">
        <v>0.00049037</v>
      </c>
      <c r="P4658" s="34">
        <f>IF($J4658=1,LN(1+O4658),"")</f>
        <v/>
      </c>
      <c r="Q4658" s="34">
        <f>IF($J4658=1,LN(R4659/R4658),"")</f>
        <v/>
      </c>
      <c r="R4658" s="32" t="n">
        <v>5.7927</v>
      </c>
      <c r="S4658" s="35" t="n">
        <v>14.97</v>
      </c>
      <c r="T4658" s="18" t="n"/>
      <c r="U4658" s="18" t="n">
        <v>125147.42</v>
      </c>
      <c r="V4658" s="18" t="n"/>
      <c r="W4658" s="18" t="n"/>
      <c r="X4658" s="35" t="n">
        <v>14.97</v>
      </c>
      <c r="Y4658" s="35" t="n"/>
    </row>
    <row r="4659">
      <c r="A4659" s="25" t="n">
        <v>45693</v>
      </c>
      <c r="B4659" s="18" t="n">
        <v>125534.07</v>
      </c>
      <c r="C4659" s="31" t="n"/>
      <c r="D4659" s="32" t="n"/>
      <c r="E4659" s="33" t="n">
        <v>0.3035</v>
      </c>
      <c r="F4659" t="inlineStr">
        <is>
          <t>Up</t>
        </is>
      </c>
      <c r="G4659" t="inlineStr">
        <is>
          <t>Up</t>
        </is>
      </c>
      <c r="H4659" t="inlineStr">
        <is>
          <t>EU_JU</t>
        </is>
      </c>
      <c r="I4659" t="inlineStr">
        <is>
          <t>2025-02</t>
        </is>
      </c>
      <c r="J4659" t="n">
        <v>1</v>
      </c>
      <c r="K4659" t="n">
        <v>1</v>
      </c>
      <c r="L4659" s="34">
        <f>IF($J4659=1,LN(B4660/B4659),"")</f>
        <v/>
      </c>
      <c r="M4659" s="34">
        <f>IF($K4659=1,INDEX(Mensal!$D$2:$D$245,MATCH($I4659,Mensal!$A$2:$A$245,0)),"")</f>
        <v/>
      </c>
      <c r="N4659" s="34">
        <f>IF($K4659=1,L4659-M4659,"")</f>
        <v/>
      </c>
      <c r="O4659" s="34" t="n">
        <v>0.00049037</v>
      </c>
      <c r="P4659" s="34">
        <f>IF($J4659=1,LN(1+O4659),"")</f>
        <v/>
      </c>
      <c r="Q4659" s="34">
        <f>IF($J4659=1,LN(R4660/R4659),"")</f>
        <v/>
      </c>
      <c r="R4659" s="32" t="n">
        <v>5.7997</v>
      </c>
      <c r="S4659" s="35" t="n">
        <v>15.03</v>
      </c>
      <c r="T4659" s="18" t="n"/>
      <c r="U4659" s="18" t="n">
        <v>125534.07</v>
      </c>
      <c r="V4659" s="18" t="n"/>
      <c r="W4659" s="18" t="n"/>
      <c r="X4659" s="35" t="n">
        <v>15.03</v>
      </c>
      <c r="Y4659" s="35" t="n"/>
    </row>
    <row r="4660">
      <c r="A4660" s="25" t="n">
        <v>45694</v>
      </c>
      <c r="B4660" s="18" t="n">
        <v>126224.74</v>
      </c>
      <c r="C4660" s="31" t="n"/>
      <c r="D4660" s="32" t="n"/>
      <c r="E4660" s="33" t="n">
        <v>0.2749</v>
      </c>
      <c r="F4660" t="inlineStr">
        <is>
          <t>Up</t>
        </is>
      </c>
      <c r="G4660" t="inlineStr">
        <is>
          <t>Up</t>
        </is>
      </c>
      <c r="H4660" t="inlineStr">
        <is>
          <t>EU_JU</t>
        </is>
      </c>
      <c r="I4660" t="inlineStr">
        <is>
          <t>2025-02</t>
        </is>
      </c>
      <c r="J4660" t="n">
        <v>1</v>
      </c>
      <c r="K4660" t="n">
        <v>1</v>
      </c>
      <c r="L4660" s="34">
        <f>IF($J4660=1,LN(B4661/B4660),"")</f>
        <v/>
      </c>
      <c r="M4660" s="34">
        <f>IF($K4660=1,INDEX(Mensal!$D$2:$D$245,MATCH($I4660,Mensal!$A$2:$A$245,0)),"")</f>
        <v/>
      </c>
      <c r="N4660" s="34">
        <f>IF($K4660=1,L4660-M4660,"")</f>
        <v/>
      </c>
      <c r="O4660" s="34" t="n">
        <v>0.00049037</v>
      </c>
      <c r="P4660" s="34">
        <f>IF($J4660=1,LN(1+O4660),"")</f>
        <v/>
      </c>
      <c r="Q4660" s="34">
        <f>IF($J4660=1,LN(R4661/R4660),"")</f>
        <v/>
      </c>
      <c r="R4660" s="32" t="n">
        <v>5.7856</v>
      </c>
      <c r="S4660" s="35" t="n">
        <v>15.01</v>
      </c>
      <c r="T4660" s="18" t="n"/>
      <c r="U4660" s="18" t="n">
        <v>126224.74</v>
      </c>
      <c r="V4660" s="18" t="n"/>
      <c r="W4660" s="18" t="n"/>
      <c r="X4660" s="35" t="n">
        <v>15.01</v>
      </c>
      <c r="Y4660" s="35" t="n"/>
    </row>
    <row r="4661">
      <c r="A4661" s="25" t="n">
        <v>45695</v>
      </c>
      <c r="B4661" s="18" t="n">
        <v>124619.4</v>
      </c>
      <c r="C4661" s="31" t="n"/>
      <c r="D4661" s="32" t="n"/>
      <c r="E4661" s="33" t="n">
        <v>0.2439</v>
      </c>
      <c r="F4661" t="inlineStr">
        <is>
          <t>Up</t>
        </is>
      </c>
      <c r="G4661" t="inlineStr">
        <is>
          <t>Up</t>
        </is>
      </c>
      <c r="H4661" t="inlineStr">
        <is>
          <t>EU_JU</t>
        </is>
      </c>
      <c r="I4661" t="inlineStr">
        <is>
          <t>2025-02</t>
        </is>
      </c>
      <c r="J4661" t="n">
        <v>1</v>
      </c>
      <c r="K4661" t="n">
        <v>1</v>
      </c>
      <c r="L4661" s="34">
        <f>IF($J4661=1,LN(B4662/B4661),"")</f>
        <v/>
      </c>
      <c r="M4661" s="34">
        <f>IF($K4661=1,INDEX(Mensal!$D$2:$D$245,MATCH($I4661,Mensal!$A$2:$A$245,0)),"")</f>
        <v/>
      </c>
      <c r="N4661" s="34">
        <f>IF($K4661=1,L4661-M4661,"")</f>
        <v/>
      </c>
      <c r="O4661" s="34" t="n">
        <v>0.00049037</v>
      </c>
      <c r="P4661" s="34">
        <f>IF($J4661=1,LN(1+O4661),"")</f>
        <v/>
      </c>
      <c r="Q4661" s="34">
        <f>IF($J4661=1,LN(R4662/R4661),"")</f>
        <v/>
      </c>
      <c r="R4661" s="32" t="n">
        <v>5.7557</v>
      </c>
      <c r="S4661" s="35" t="n">
        <v>15.11</v>
      </c>
      <c r="T4661" s="18" t="n"/>
      <c r="U4661" s="18" t="n">
        <v>124619.4</v>
      </c>
      <c r="V4661" s="18" t="n"/>
      <c r="W4661" s="18" t="n"/>
      <c r="X4661" s="35" t="n">
        <v>15.11</v>
      </c>
      <c r="Y4661" s="35" t="n"/>
    </row>
    <row r="4662">
      <c r="A4662" s="25" t="n">
        <v>45698</v>
      </c>
      <c r="B4662" s="18" t="n">
        <v>125571.81</v>
      </c>
      <c r="C4662" s="31" t="n"/>
      <c r="D4662" s="32" t="n"/>
      <c r="E4662" s="33" t="n">
        <v>0.2092</v>
      </c>
      <c r="F4662" t="inlineStr">
        <is>
          <t>Up</t>
        </is>
      </c>
      <c r="G4662" t="inlineStr">
        <is>
          <t>Up</t>
        </is>
      </c>
      <c r="H4662" t="inlineStr">
        <is>
          <t>EU_JU</t>
        </is>
      </c>
      <c r="I4662" t="inlineStr">
        <is>
          <t>2025-02</t>
        </is>
      </c>
      <c r="J4662" t="n">
        <v>1</v>
      </c>
      <c r="K4662" t="n">
        <v>1</v>
      </c>
      <c r="L4662" s="34">
        <f>IF($J4662=1,LN(B4663/B4662),"")</f>
        <v/>
      </c>
      <c r="M4662" s="34">
        <f>IF($K4662=1,INDEX(Mensal!$D$2:$D$245,MATCH($I4662,Mensal!$A$2:$A$245,0)),"")</f>
        <v/>
      </c>
      <c r="N4662" s="34">
        <f>IF($K4662=1,L4662-M4662,"")</f>
        <v/>
      </c>
      <c r="O4662" s="34" t="n">
        <v>0.00049037</v>
      </c>
      <c r="P4662" s="34">
        <f>IF($J4662=1,LN(1+O4662),"")</f>
        <v/>
      </c>
      <c r="Q4662" s="34">
        <f>IF($J4662=1,LN(R4663/R4662),"")</f>
        <v/>
      </c>
      <c r="R4662" s="32" t="n">
        <v>5.7808</v>
      </c>
      <c r="S4662" s="35" t="n">
        <v>15.07</v>
      </c>
      <c r="T4662" s="18" t="n"/>
      <c r="U4662" s="18" t="n">
        <v>125571.81</v>
      </c>
      <c r="V4662" s="18" t="n"/>
      <c r="W4662" s="18" t="n"/>
      <c r="X4662" s="35" t="n">
        <v>15.07</v>
      </c>
      <c r="Y4662" s="35" t="n"/>
    </row>
    <row r="4663">
      <c r="A4663" s="25" t="n">
        <v>45699</v>
      </c>
      <c r="B4663" s="18" t="n">
        <v>126521.66</v>
      </c>
      <c r="C4663" s="31" t="n"/>
      <c r="D4663" s="32" t="n"/>
      <c r="E4663" s="33" t="n">
        <v>0.1748</v>
      </c>
      <c r="F4663" t="inlineStr">
        <is>
          <t>Up</t>
        </is>
      </c>
      <c r="G4663" t="inlineStr">
        <is>
          <t>Up</t>
        </is>
      </c>
      <c r="H4663" t="inlineStr">
        <is>
          <t>EU_JU</t>
        </is>
      </c>
      <c r="I4663" t="inlineStr">
        <is>
          <t>2025-02</t>
        </is>
      </c>
      <c r="J4663" t="n">
        <v>1</v>
      </c>
      <c r="K4663" t="n">
        <v>1</v>
      </c>
      <c r="L4663" s="34">
        <f>IF($J4663=1,LN(B4664/B4663),"")</f>
        <v/>
      </c>
      <c r="M4663" s="34">
        <f>IF($K4663=1,INDEX(Mensal!$D$2:$D$245,MATCH($I4663,Mensal!$A$2:$A$245,0)),"")</f>
        <v/>
      </c>
      <c r="N4663" s="34">
        <f>IF($K4663=1,L4663-M4663,"")</f>
        <v/>
      </c>
      <c r="O4663" s="34" t="n">
        <v>0.00049037</v>
      </c>
      <c r="P4663" s="34">
        <f>IF($J4663=1,LN(1+O4663),"")</f>
        <v/>
      </c>
      <c r="Q4663" s="34">
        <f>IF($J4663=1,LN(R4664/R4663),"")</f>
        <v/>
      </c>
      <c r="R4663" s="32" t="n">
        <v>5.7788</v>
      </c>
      <c r="S4663" s="35" t="n">
        <v>15</v>
      </c>
      <c r="T4663" s="18" t="n"/>
      <c r="U4663" s="18" t="n">
        <v>126521.66</v>
      </c>
      <c r="V4663" s="18" t="n"/>
      <c r="W4663" s="18" t="n"/>
      <c r="X4663" s="35" t="n">
        <v>15</v>
      </c>
      <c r="Y4663" s="35" t="n"/>
    </row>
    <row r="4664">
      <c r="A4664" s="25" t="n">
        <v>45700</v>
      </c>
      <c r="B4664" s="18" t="n">
        <v>124380.21</v>
      </c>
      <c r="C4664" s="31" t="n"/>
      <c r="D4664" s="32" t="n"/>
      <c r="E4664" s="33" t="n">
        <v>0.1498</v>
      </c>
      <c r="F4664" t="inlineStr">
        <is>
          <t>Up</t>
        </is>
      </c>
      <c r="G4664" t="inlineStr">
        <is>
          <t>Up</t>
        </is>
      </c>
      <c r="H4664" t="inlineStr">
        <is>
          <t>EU_JU</t>
        </is>
      </c>
      <c r="I4664" t="inlineStr">
        <is>
          <t>2025-02</t>
        </is>
      </c>
      <c r="J4664" t="n">
        <v>1</v>
      </c>
      <c r="K4664" t="n">
        <v>1</v>
      </c>
      <c r="L4664" s="34">
        <f>IF($J4664=1,LN(B4665/B4664),"")</f>
        <v/>
      </c>
      <c r="M4664" s="34">
        <f>IF($K4664=1,INDEX(Mensal!$D$2:$D$245,MATCH($I4664,Mensal!$A$2:$A$245,0)),"")</f>
        <v/>
      </c>
      <c r="N4664" s="34">
        <f>IF($K4664=1,L4664-M4664,"")</f>
        <v/>
      </c>
      <c r="O4664" s="34" t="n">
        <v>0.00049037</v>
      </c>
      <c r="P4664" s="34">
        <f>IF($J4664=1,LN(1+O4664),"")</f>
        <v/>
      </c>
      <c r="Q4664" s="34">
        <f>IF($J4664=1,LN(R4665/R4664),"")</f>
        <v/>
      </c>
      <c r="R4664" s="32" t="n">
        <v>5.7711</v>
      </c>
      <c r="S4664" s="35" t="n">
        <v>14.97</v>
      </c>
      <c r="T4664" s="18" t="n"/>
      <c r="U4664" s="18" t="n">
        <v>124380.21</v>
      </c>
      <c r="V4664" s="18" t="n"/>
      <c r="W4664" s="18" t="n"/>
      <c r="X4664" s="35" t="n">
        <v>14.97</v>
      </c>
      <c r="Y4664" s="35" t="n"/>
    </row>
    <row r="4665">
      <c r="A4665" s="25" t="n">
        <v>45701</v>
      </c>
      <c r="B4665" s="18" t="n">
        <v>124850.18</v>
      </c>
      <c r="C4665" s="31" t="n"/>
      <c r="D4665" s="32" t="n"/>
      <c r="E4665" s="33" t="n">
        <v>0.1289</v>
      </c>
      <c r="F4665" t="inlineStr">
        <is>
          <t>Up</t>
        </is>
      </c>
      <c r="G4665" t="inlineStr">
        <is>
          <t>Up</t>
        </is>
      </c>
      <c r="H4665" t="inlineStr">
        <is>
          <t>EU_JU</t>
        </is>
      </c>
      <c r="I4665" t="inlineStr">
        <is>
          <t>2025-02</t>
        </is>
      </c>
      <c r="J4665" t="n">
        <v>1</v>
      </c>
      <c r="K4665" t="n">
        <v>1</v>
      </c>
      <c r="L4665" s="34">
        <f>IF($J4665=1,LN(B4666/B4665),"")</f>
        <v/>
      </c>
      <c r="M4665" s="34">
        <f>IF($K4665=1,INDEX(Mensal!$D$2:$D$245,MATCH($I4665,Mensal!$A$2:$A$245,0)),"")</f>
        <v/>
      </c>
      <c r="N4665" s="34">
        <f>IF($K4665=1,L4665-M4665,"")</f>
        <v/>
      </c>
      <c r="O4665" s="34" t="n">
        <v>0.00049037</v>
      </c>
      <c r="P4665" s="34">
        <f>IF($J4665=1,LN(1+O4665),"")</f>
        <v/>
      </c>
      <c r="Q4665" s="34">
        <f>IF($J4665=1,LN(R4666/R4665),"")</f>
        <v/>
      </c>
      <c r="R4665" s="32" t="n">
        <v>5.7788</v>
      </c>
      <c r="S4665" s="35" t="n">
        <v>14.9</v>
      </c>
      <c r="T4665" s="18" t="n"/>
      <c r="U4665" s="18" t="n">
        <v>124850.18</v>
      </c>
      <c r="V4665" s="18" t="n"/>
      <c r="W4665" s="18" t="n"/>
      <c r="X4665" s="35" t="n">
        <v>14.9</v>
      </c>
      <c r="Y4665" s="35" t="n"/>
    </row>
    <row r="4666">
      <c r="A4666" s="25" t="n">
        <v>45702</v>
      </c>
      <c r="B4666" s="18" t="n">
        <v>128218.59</v>
      </c>
      <c r="C4666" s="31" t="n"/>
      <c r="D4666" s="32" t="n"/>
      <c r="E4666" s="33" t="n">
        <v>0.1097</v>
      </c>
      <c r="F4666" t="inlineStr">
        <is>
          <t>Up</t>
        </is>
      </c>
      <c r="G4666" t="inlineStr">
        <is>
          <t>Up</t>
        </is>
      </c>
      <c r="H4666" t="inlineStr">
        <is>
          <t>EU_JU</t>
        </is>
      </c>
      <c r="I4666" t="inlineStr">
        <is>
          <t>2025-02</t>
        </is>
      </c>
      <c r="J4666" t="n">
        <v>1</v>
      </c>
      <c r="K4666" t="n">
        <v>1</v>
      </c>
      <c r="L4666" s="34">
        <f>IF($J4666=1,LN(B4667/B4666),"")</f>
        <v/>
      </c>
      <c r="M4666" s="34">
        <f>IF($K4666=1,INDEX(Mensal!$D$2:$D$245,MATCH($I4666,Mensal!$A$2:$A$245,0)),"")</f>
        <v/>
      </c>
      <c r="N4666" s="34">
        <f>IF($K4666=1,L4666-M4666,"")</f>
        <v/>
      </c>
      <c r="O4666" s="34" t="n">
        <v>0.00049037</v>
      </c>
      <c r="P4666" s="34">
        <f>IF($J4666=1,LN(1+O4666),"")</f>
        <v/>
      </c>
      <c r="Q4666" s="34">
        <f>IF($J4666=1,LN(R4667/R4666),"")</f>
        <v/>
      </c>
      <c r="R4666" s="32" t="n">
        <v>5.7283</v>
      </c>
      <c r="S4666" s="35" t="n">
        <v>14.86</v>
      </c>
      <c r="T4666" s="18" t="n"/>
      <c r="U4666" s="18" t="n">
        <v>128218.59</v>
      </c>
      <c r="V4666" s="18" t="n"/>
      <c r="W4666" s="18" t="n"/>
      <c r="X4666" s="35" t="n">
        <v>14.86</v>
      </c>
      <c r="Y4666" s="35" t="n"/>
    </row>
    <row r="4667">
      <c r="A4667" s="25" t="n">
        <v>45705</v>
      </c>
      <c r="B4667" s="18" t="n">
        <v>128552.13</v>
      </c>
      <c r="C4667" s="31" t="n"/>
      <c r="D4667" s="32" t="n"/>
      <c r="E4667" s="33" t="n">
        <v>0.09370000000000001</v>
      </c>
      <c r="F4667" t="inlineStr">
        <is>
          <t>Up</t>
        </is>
      </c>
      <c r="G4667" t="inlineStr">
        <is>
          <t>Up</t>
        </is>
      </c>
      <c r="H4667" t="inlineStr">
        <is>
          <t>EU_JU</t>
        </is>
      </c>
      <c r="I4667" t="inlineStr">
        <is>
          <t>2025-02</t>
        </is>
      </c>
      <c r="J4667" t="n">
        <v>1</v>
      </c>
      <c r="K4667" t="n">
        <v>1</v>
      </c>
      <c r="L4667" s="34">
        <f>IF($J4667=1,LN(B4668/B4667),"")</f>
        <v/>
      </c>
      <c r="M4667" s="34">
        <f>IF($K4667=1,INDEX(Mensal!$D$2:$D$245,MATCH($I4667,Mensal!$A$2:$A$245,0)),"")</f>
        <v/>
      </c>
      <c r="N4667" s="34">
        <f>IF($K4667=1,L4667-M4667,"")</f>
        <v/>
      </c>
      <c r="O4667" s="34" t="n">
        <v>0.00049037</v>
      </c>
      <c r="P4667" s="34">
        <f>IF($J4667=1,LN(1+O4667),"")</f>
        <v/>
      </c>
      <c r="Q4667" s="34">
        <f>IF($J4667=1,LN(R4668/R4667),"")</f>
        <v/>
      </c>
      <c r="R4667" s="32" t="n">
        <v>5.7105</v>
      </c>
      <c r="S4667" s="35" t="n">
        <v>14.72</v>
      </c>
      <c r="T4667" s="18" t="n"/>
      <c r="U4667" s="18" t="n">
        <v>128552.13</v>
      </c>
      <c r="V4667" s="18" t="n"/>
      <c r="W4667" s="18" t="n"/>
      <c r="X4667" s="35" t="n">
        <v>14.72</v>
      </c>
      <c r="Y4667" s="35" t="n"/>
    </row>
    <row r="4668">
      <c r="A4668" s="25" t="n">
        <v>45706</v>
      </c>
      <c r="B4668" s="18" t="n">
        <v>128531.71</v>
      </c>
      <c r="C4668" s="31" t="n"/>
      <c r="D4668" s="32" t="n"/>
      <c r="E4668" s="33" t="n">
        <v>0.0896</v>
      </c>
      <c r="F4668" t="inlineStr">
        <is>
          <t>Up</t>
        </is>
      </c>
      <c r="G4668" t="inlineStr">
        <is>
          <t>Up</t>
        </is>
      </c>
      <c r="H4668" t="inlineStr">
        <is>
          <t>EU_JU</t>
        </is>
      </c>
      <c r="I4668" t="inlineStr">
        <is>
          <t>2025-02</t>
        </is>
      </c>
      <c r="J4668" t="n">
        <v>1</v>
      </c>
      <c r="K4668" t="n">
        <v>1</v>
      </c>
      <c r="L4668" s="34">
        <f>IF($J4668=1,LN(B4669/B4668),"")</f>
        <v/>
      </c>
      <c r="M4668" s="34">
        <f>IF($K4668=1,INDEX(Mensal!$D$2:$D$245,MATCH($I4668,Mensal!$A$2:$A$245,0)),"")</f>
        <v/>
      </c>
      <c r="N4668" s="34">
        <f>IF($K4668=1,L4668-M4668,"")</f>
        <v/>
      </c>
      <c r="O4668" s="34" t="n">
        <v>0.00049037</v>
      </c>
      <c r="P4668" s="34">
        <f>IF($J4668=1,LN(1+O4668),"")</f>
        <v/>
      </c>
      <c r="Q4668" s="34">
        <f>IF($J4668=1,LN(R4669/R4668),"")</f>
        <v/>
      </c>
      <c r="R4668" s="32" t="n">
        <v>5.6979</v>
      </c>
      <c r="S4668" s="35" t="n">
        <v>14.72</v>
      </c>
      <c r="T4668" s="18" t="n"/>
      <c r="U4668" s="18" t="n">
        <v>128531.71</v>
      </c>
      <c r="V4668" s="18" t="n"/>
      <c r="W4668" s="18" t="n"/>
      <c r="X4668" s="35" t="n">
        <v>14.72</v>
      </c>
      <c r="Y4668" s="35" t="n"/>
    </row>
    <row r="4669">
      <c r="A4669" s="25" t="n">
        <v>45707</v>
      </c>
      <c r="B4669" s="18" t="n">
        <v>127308.8</v>
      </c>
      <c r="C4669" s="31" t="n"/>
      <c r="D4669" s="32" t="n"/>
      <c r="E4669" s="33" t="n">
        <v>0.0877</v>
      </c>
      <c r="F4669" t="inlineStr">
        <is>
          <t>Up</t>
        </is>
      </c>
      <c r="G4669" t="inlineStr">
        <is>
          <t>Up</t>
        </is>
      </c>
      <c r="H4669" t="inlineStr">
        <is>
          <t>EU_JU</t>
        </is>
      </c>
      <c r="I4669" t="inlineStr">
        <is>
          <t>2025-02</t>
        </is>
      </c>
      <c r="J4669" t="n">
        <v>1</v>
      </c>
      <c r="K4669" t="n">
        <v>1</v>
      </c>
      <c r="L4669" s="34">
        <f>IF($J4669=1,LN(B4670/B4669),"")</f>
        <v/>
      </c>
      <c r="M4669" s="34">
        <f>IF($K4669=1,INDEX(Mensal!$D$2:$D$245,MATCH($I4669,Mensal!$A$2:$A$245,0)),"")</f>
        <v/>
      </c>
      <c r="N4669" s="34">
        <f>IF($K4669=1,L4669-M4669,"")</f>
        <v/>
      </c>
      <c r="O4669" s="34" t="n">
        <v>0.00049037</v>
      </c>
      <c r="P4669" s="34">
        <f>IF($J4669=1,LN(1+O4669),"")</f>
        <v/>
      </c>
      <c r="Q4669" s="34">
        <f>IF($J4669=1,LN(R4670/R4669),"")</f>
        <v/>
      </c>
      <c r="R4669" s="32" t="n">
        <v>5.7087</v>
      </c>
      <c r="S4669" s="35" t="n">
        <v>14.75</v>
      </c>
      <c r="T4669" s="18" t="n"/>
      <c r="U4669" s="18" t="n">
        <v>127308.8</v>
      </c>
      <c r="V4669" s="18" t="n"/>
      <c r="W4669" s="18" t="n"/>
      <c r="X4669" s="35" t="n">
        <v>14.75</v>
      </c>
      <c r="Y4669" s="35" t="n"/>
    </row>
    <row r="4670">
      <c r="A4670" s="25" t="n">
        <v>45708</v>
      </c>
      <c r="B4670" s="18" t="n">
        <v>127600.58</v>
      </c>
      <c r="C4670" s="31" t="n"/>
      <c r="D4670" s="32" t="n"/>
      <c r="E4670" s="33" t="n">
        <v>0.0944</v>
      </c>
      <c r="F4670" t="inlineStr">
        <is>
          <t>Up</t>
        </is>
      </c>
      <c r="G4670" t="inlineStr">
        <is>
          <t>Up</t>
        </is>
      </c>
      <c r="H4670" t="inlineStr">
        <is>
          <t>EU_JU</t>
        </is>
      </c>
      <c r="I4670" t="inlineStr">
        <is>
          <t>2025-02</t>
        </is>
      </c>
      <c r="J4670" t="n">
        <v>1</v>
      </c>
      <c r="K4670" t="n">
        <v>1</v>
      </c>
      <c r="L4670" s="34">
        <f>IF($J4670=1,LN(B4671/B4670),"")</f>
        <v/>
      </c>
      <c r="M4670" s="34">
        <f>IF($K4670=1,INDEX(Mensal!$D$2:$D$245,MATCH($I4670,Mensal!$A$2:$A$245,0)),"")</f>
        <v/>
      </c>
      <c r="N4670" s="34">
        <f>IF($K4670=1,L4670-M4670,"")</f>
        <v/>
      </c>
      <c r="O4670" s="34" t="n">
        <v>0.00049037</v>
      </c>
      <c r="P4670" s="34">
        <f>IF($J4670=1,LN(1+O4670),"")</f>
        <v/>
      </c>
      <c r="Q4670" s="34">
        <f>IF($J4670=1,LN(R4671/R4670),"")</f>
        <v/>
      </c>
      <c r="R4670" s="32" t="n">
        <v>5.7019</v>
      </c>
      <c r="S4670" s="35" t="n">
        <v>14.7</v>
      </c>
      <c r="T4670" s="18" t="n"/>
      <c r="U4670" s="18" t="n">
        <v>127600.58</v>
      </c>
      <c r="V4670" s="18" t="n"/>
      <c r="W4670" s="18" t="n"/>
      <c r="X4670" s="35" t="n">
        <v>14.7</v>
      </c>
      <c r="Y4670" s="35" t="n"/>
    </row>
    <row r="4671">
      <c r="A4671" s="25" t="n">
        <v>45709</v>
      </c>
      <c r="B4671" s="18" t="n">
        <v>127128.06</v>
      </c>
      <c r="C4671" s="31" t="n"/>
      <c r="D4671" s="32" t="n"/>
      <c r="E4671" s="33" t="n">
        <v>0.1083</v>
      </c>
      <c r="F4671" t="inlineStr">
        <is>
          <t>Up</t>
        </is>
      </c>
      <c r="G4671" t="inlineStr">
        <is>
          <t>Up</t>
        </is>
      </c>
      <c r="H4671" t="inlineStr">
        <is>
          <t>EU_JU</t>
        </is>
      </c>
      <c r="I4671" t="inlineStr">
        <is>
          <t>2025-02</t>
        </is>
      </c>
      <c r="J4671" t="n">
        <v>1</v>
      </c>
      <c r="K4671" t="n">
        <v>1</v>
      </c>
      <c r="L4671" s="34">
        <f>IF($J4671=1,LN(B4672/B4671),"")</f>
        <v/>
      </c>
      <c r="M4671" s="34">
        <f>IF($K4671=1,INDEX(Mensal!$D$2:$D$245,MATCH($I4671,Mensal!$A$2:$A$245,0)),"")</f>
        <v/>
      </c>
      <c r="N4671" s="34">
        <f>IF($K4671=1,L4671-M4671,"")</f>
        <v/>
      </c>
      <c r="O4671" s="34" t="n">
        <v>0.00049037</v>
      </c>
      <c r="P4671" s="34">
        <f>IF($J4671=1,LN(1+O4671),"")</f>
        <v/>
      </c>
      <c r="Q4671" s="34">
        <f>IF($J4671=1,LN(R4672/R4671),"")</f>
        <v/>
      </c>
      <c r="R4671" s="32" t="n">
        <v>5.7027</v>
      </c>
      <c r="S4671" s="35" t="n">
        <v>14.53</v>
      </c>
      <c r="T4671" s="18" t="n"/>
      <c r="U4671" s="18" t="n">
        <v>127128.06</v>
      </c>
      <c r="V4671" s="18" t="n"/>
      <c r="W4671" s="18" t="n"/>
      <c r="X4671" s="35" t="n">
        <v>14.53</v>
      </c>
      <c r="Y4671" s="35" t="n"/>
    </row>
    <row r="4672">
      <c r="A4672" s="25" t="n">
        <v>45712</v>
      </c>
      <c r="B4672" s="18" t="n">
        <v>125401.38</v>
      </c>
      <c r="C4672" s="31" t="n"/>
      <c r="D4672" s="32" t="n"/>
      <c r="E4672" s="33" t="n">
        <v>0.1244</v>
      </c>
      <c r="F4672" t="inlineStr">
        <is>
          <t>Up</t>
        </is>
      </c>
      <c r="G4672" t="inlineStr">
        <is>
          <t>Up</t>
        </is>
      </c>
      <c r="H4672" t="inlineStr">
        <is>
          <t>EU_JU</t>
        </is>
      </c>
      <c r="I4672" t="inlineStr">
        <is>
          <t>2025-02</t>
        </is>
      </c>
      <c r="J4672" t="n">
        <v>1</v>
      </c>
      <c r="K4672" t="n">
        <v>1</v>
      </c>
      <c r="L4672" s="34">
        <f>IF($J4672=1,LN(B4673/B4672),"")</f>
        <v/>
      </c>
      <c r="M4672" s="34">
        <f>IF($K4672=1,INDEX(Mensal!$D$2:$D$245,MATCH($I4672,Mensal!$A$2:$A$245,0)),"")</f>
        <v/>
      </c>
      <c r="N4672" s="34">
        <f>IF($K4672=1,L4672-M4672,"")</f>
        <v/>
      </c>
      <c r="O4672" s="34" t="n">
        <v>0.00049037</v>
      </c>
      <c r="P4672" s="34">
        <f>IF($J4672=1,LN(1+O4672),"")</f>
        <v/>
      </c>
      <c r="Q4672" s="34">
        <f>IF($J4672=1,LN(R4673/R4672),"")</f>
        <v/>
      </c>
      <c r="R4672" s="32" t="n">
        <v>5.7258</v>
      </c>
      <c r="S4672" s="35" t="n">
        <v>14.66</v>
      </c>
      <c r="T4672" s="18" t="n"/>
      <c r="U4672" s="18" t="n">
        <v>125401.38</v>
      </c>
      <c r="V4672" s="18" t="n"/>
      <c r="W4672" s="18" t="n"/>
      <c r="X4672" s="35" t="n">
        <v>14.66</v>
      </c>
      <c r="Y4672" s="35" t="n"/>
    </row>
    <row r="4673">
      <c r="A4673" s="25" t="n">
        <v>45713</v>
      </c>
      <c r="B4673" s="18" t="n">
        <v>125979.5</v>
      </c>
      <c r="C4673" s="31" t="n"/>
      <c r="D4673" s="32" t="n"/>
      <c r="E4673" s="33" t="n">
        <v>0.1435</v>
      </c>
      <c r="F4673" t="inlineStr">
        <is>
          <t>Up</t>
        </is>
      </c>
      <c r="G4673" t="inlineStr">
        <is>
          <t>Up</t>
        </is>
      </c>
      <c r="H4673" t="inlineStr">
        <is>
          <t>EU_JU</t>
        </is>
      </c>
      <c r="I4673" t="inlineStr">
        <is>
          <t>2025-02</t>
        </is>
      </c>
      <c r="J4673" t="n">
        <v>1</v>
      </c>
      <c r="K4673" t="n">
        <v>1</v>
      </c>
      <c r="L4673" s="34">
        <f>IF($J4673=1,LN(B4674/B4673),"")</f>
        <v/>
      </c>
      <c r="M4673" s="34">
        <f>IF($K4673=1,INDEX(Mensal!$D$2:$D$245,MATCH($I4673,Mensal!$A$2:$A$245,0)),"")</f>
        <v/>
      </c>
      <c r="N4673" s="34">
        <f>IF($K4673=1,L4673-M4673,"")</f>
        <v/>
      </c>
      <c r="O4673" s="34" t="n">
        <v>0.00049037</v>
      </c>
      <c r="P4673" s="34">
        <f>IF($J4673=1,LN(1+O4673),"")</f>
        <v/>
      </c>
      <c r="Q4673" s="34">
        <f>IF($J4673=1,LN(R4674/R4673),"")</f>
        <v/>
      </c>
      <c r="R4673" s="32" t="n">
        <v>5.7779</v>
      </c>
      <c r="S4673" s="35" t="n">
        <v>14.62</v>
      </c>
      <c r="T4673" s="18" t="n"/>
      <c r="U4673" s="18" t="n">
        <v>125979.5</v>
      </c>
      <c r="V4673" s="18" t="n"/>
      <c r="W4673" s="18" t="n"/>
      <c r="X4673" s="35" t="n">
        <v>14.62</v>
      </c>
      <c r="Y4673" s="35" t="n"/>
    </row>
    <row r="4674">
      <c r="A4674" s="25" t="n">
        <v>45714</v>
      </c>
      <c r="B4674" s="18" t="n">
        <v>124768.71</v>
      </c>
      <c r="C4674" s="31" t="n"/>
      <c r="D4674" s="32" t="n"/>
      <c r="E4674" s="33" t="n">
        <v>0.1575</v>
      </c>
      <c r="F4674" t="inlineStr">
        <is>
          <t>Up</t>
        </is>
      </c>
      <c r="G4674" t="inlineStr">
        <is>
          <t>Up</t>
        </is>
      </c>
      <c r="H4674" t="inlineStr">
        <is>
          <t>EU_JU</t>
        </is>
      </c>
      <c r="I4674" t="inlineStr">
        <is>
          <t>2025-02</t>
        </is>
      </c>
      <c r="J4674" t="n">
        <v>1</v>
      </c>
      <c r="K4674" t="n">
        <v>1</v>
      </c>
      <c r="L4674" s="34">
        <f>IF($J4674=1,LN(B4675/B4674),"")</f>
        <v/>
      </c>
      <c r="M4674" s="34">
        <f>IF($K4674=1,INDEX(Mensal!$D$2:$D$245,MATCH($I4674,Mensal!$A$2:$A$245,0)),"")</f>
        <v/>
      </c>
      <c r="N4674" s="34">
        <f>IF($K4674=1,L4674-M4674,"")</f>
        <v/>
      </c>
      <c r="O4674" s="34" t="n">
        <v>0.00049037</v>
      </c>
      <c r="P4674" s="34">
        <f>IF($J4674=1,LN(1+O4674),"")</f>
        <v/>
      </c>
      <c r="Q4674" s="34">
        <f>IF($J4674=1,LN(R4675/R4674),"")</f>
        <v/>
      </c>
      <c r="R4674" s="32" t="n">
        <v>5.7757</v>
      </c>
      <c r="S4674" s="35" t="n">
        <v>14.8</v>
      </c>
      <c r="T4674" s="18" t="n"/>
      <c r="U4674" s="18" t="n">
        <v>124768.71</v>
      </c>
      <c r="V4674" s="18" t="n"/>
      <c r="W4674" s="18" t="n"/>
      <c r="X4674" s="35" t="n">
        <v>14.8</v>
      </c>
      <c r="Y4674" s="35" t="n"/>
    </row>
    <row r="4675">
      <c r="A4675" s="25" t="n">
        <v>45715</v>
      </c>
      <c r="B4675" s="18" t="n">
        <v>124798.96</v>
      </c>
      <c r="C4675" s="31" t="n"/>
      <c r="D4675" s="32" t="n"/>
      <c r="E4675" s="33" t="n">
        <v>0.1687</v>
      </c>
      <c r="F4675" t="inlineStr">
        <is>
          <t>Up</t>
        </is>
      </c>
      <c r="G4675" t="inlineStr">
        <is>
          <t>Up</t>
        </is>
      </c>
      <c r="H4675" t="inlineStr">
        <is>
          <t>EU_JU</t>
        </is>
      </c>
      <c r="I4675" t="inlineStr">
        <is>
          <t>2025-02</t>
        </is>
      </c>
      <c r="J4675" t="n">
        <v>1</v>
      </c>
      <c r="K4675" t="n">
        <v>1</v>
      </c>
      <c r="L4675" s="34">
        <f>IF($J4675=1,LN(B4676/B4675),"")</f>
        <v/>
      </c>
      <c r="M4675" s="34">
        <f>IF($K4675=1,INDEX(Mensal!$D$2:$D$245,MATCH($I4675,Mensal!$A$2:$A$245,0)),"")</f>
        <v/>
      </c>
      <c r="N4675" s="34">
        <f>IF($K4675=1,L4675-M4675,"")</f>
        <v/>
      </c>
      <c r="O4675" s="34" t="n">
        <v>0.00049037</v>
      </c>
      <c r="P4675" s="34">
        <f>IF($J4675=1,LN(1+O4675),"")</f>
        <v/>
      </c>
      <c r="Q4675" s="34">
        <f>IF($J4675=1,LN(R4676/R4675),"")</f>
        <v/>
      </c>
      <c r="R4675" s="32" t="n">
        <v>5.8228</v>
      </c>
      <c r="S4675" s="35" t="n">
        <v>14.86</v>
      </c>
      <c r="T4675" s="18" t="n"/>
      <c r="U4675" s="18" t="n">
        <v>124798.96</v>
      </c>
      <c r="V4675" s="18" t="n"/>
      <c r="W4675" s="18" t="n"/>
      <c r="X4675" s="35" t="n">
        <v>14.86</v>
      </c>
      <c r="Y4675" s="35" t="n"/>
    </row>
    <row r="4676">
      <c r="A4676" s="25" t="n">
        <v>45716</v>
      </c>
      <c r="B4676" s="18" t="n">
        <v>122799.09</v>
      </c>
      <c r="C4676" s="31" t="n"/>
      <c r="D4676" s="32" t="n"/>
      <c r="E4676" s="33" t="n">
        <v>0.1786</v>
      </c>
      <c r="F4676" t="inlineStr">
        <is>
          <t>Up</t>
        </is>
      </c>
      <c r="G4676" t="inlineStr">
        <is>
          <t>Up</t>
        </is>
      </c>
      <c r="H4676" t="inlineStr">
        <is>
          <t>EU_JU</t>
        </is>
      </c>
      <c r="I4676" t="inlineStr">
        <is>
          <t>2025-02</t>
        </is>
      </c>
      <c r="J4676" t="n">
        <v>1</v>
      </c>
      <c r="K4676" t="n">
        <v>1</v>
      </c>
      <c r="L4676" s="34">
        <f>IF($J4676=1,LN(B4677/B4676),"")</f>
        <v/>
      </c>
      <c r="M4676" s="34">
        <f>IF($K4676=1,INDEX(Mensal!$D$2:$D$245,MATCH($I4676,Mensal!$A$2:$A$245,0)),"")</f>
        <v/>
      </c>
      <c r="N4676" s="34">
        <f>IF($K4676=1,L4676-M4676,"")</f>
        <v/>
      </c>
      <c r="O4676" s="34" t="n">
        <v>0.00049037</v>
      </c>
      <c r="P4676" s="34">
        <f>IF($J4676=1,LN(1+O4676),"")</f>
        <v/>
      </c>
      <c r="Q4676" s="34">
        <f>IF($J4676=1,LN(R4677/R4676),"")</f>
        <v/>
      </c>
      <c r="R4676" s="32" t="n">
        <v>5.8488</v>
      </c>
      <c r="S4676" s="35" t="n">
        <v>15.03</v>
      </c>
      <c r="T4676" s="18" t="n"/>
      <c r="U4676" s="18" t="n">
        <v>122799.09</v>
      </c>
      <c r="V4676" s="18" t="n"/>
      <c r="W4676" s="18" t="n"/>
      <c r="X4676" s="35" t="n">
        <v>15.03</v>
      </c>
      <c r="Y4676" s="35" t="n"/>
    </row>
    <row r="4677">
      <c r="A4677" s="25" t="n">
        <v>45721</v>
      </c>
      <c r="B4677" s="18" t="n">
        <v>123046.85</v>
      </c>
      <c r="C4677" s="31" t="n"/>
      <c r="D4677" s="32" t="n"/>
      <c r="E4677" s="33" t="n">
        <v>0.189</v>
      </c>
      <c r="F4677" t="inlineStr">
        <is>
          <t>Up</t>
        </is>
      </c>
      <c r="G4677" t="inlineStr">
        <is>
          <t>Up</t>
        </is>
      </c>
      <c r="H4677" t="inlineStr">
        <is>
          <t>EU_JU</t>
        </is>
      </c>
      <c r="I4677" t="inlineStr">
        <is>
          <t>2025-03</t>
        </is>
      </c>
      <c r="J4677" t="n">
        <v>1</v>
      </c>
      <c r="K4677" t="n">
        <v>1</v>
      </c>
      <c r="L4677" s="34">
        <f>IF($J4677=1,LN(B4678/B4677),"")</f>
        <v/>
      </c>
      <c r="M4677" s="34">
        <f>IF($K4677=1,INDEX(Mensal!$D$2:$D$245,MATCH($I4677,Mensal!$A$2:$A$245,0)),"")</f>
        <v/>
      </c>
      <c r="N4677" s="34">
        <f>IF($K4677=1,L4677-M4677,"")</f>
        <v/>
      </c>
      <c r="O4677" s="34" t="n">
        <v>0.00049037</v>
      </c>
      <c r="P4677" s="34">
        <f>IF($J4677=1,LN(1+O4677),"")</f>
        <v/>
      </c>
      <c r="Q4677" s="34">
        <f>IF($J4677=1,LN(R4678/R4677),"")</f>
        <v/>
      </c>
      <c r="R4677" s="32" t="n">
        <v>5.7914</v>
      </c>
      <c r="S4677" s="35" t="n">
        <v>14.86</v>
      </c>
      <c r="T4677" s="18" t="n"/>
      <c r="U4677" s="18" t="n">
        <v>123046.85</v>
      </c>
      <c r="V4677" s="18" t="n"/>
      <c r="W4677" s="18" t="n"/>
      <c r="X4677" s="35" t="n">
        <v>14.86</v>
      </c>
      <c r="Y4677" s="35" t="n"/>
    </row>
    <row r="4678">
      <c r="A4678" s="25" t="n">
        <v>45722</v>
      </c>
      <c r="B4678" s="18" t="n">
        <v>123357.55</v>
      </c>
      <c r="C4678" s="31" t="n"/>
      <c r="D4678" s="32" t="n"/>
      <c r="E4678" s="33" t="n">
        <v>0.1987</v>
      </c>
      <c r="F4678" t="inlineStr">
        <is>
          <t>Up</t>
        </is>
      </c>
      <c r="G4678" t="inlineStr">
        <is>
          <t>Up</t>
        </is>
      </c>
      <c r="H4678" t="inlineStr">
        <is>
          <t>EU_JU</t>
        </is>
      </c>
      <c r="I4678" t="inlineStr">
        <is>
          <t>2025-03</t>
        </is>
      </c>
      <c r="J4678" t="n">
        <v>1</v>
      </c>
      <c r="K4678" t="n">
        <v>1</v>
      </c>
      <c r="L4678" s="34">
        <f>IF($J4678=1,LN(B4679/B4678),"")</f>
        <v/>
      </c>
      <c r="M4678" s="34">
        <f>IF($K4678=1,INDEX(Mensal!$D$2:$D$245,MATCH($I4678,Mensal!$A$2:$A$245,0)),"")</f>
        <v/>
      </c>
      <c r="N4678" s="34">
        <f>IF($K4678=1,L4678-M4678,"")</f>
        <v/>
      </c>
      <c r="O4678" s="34" t="n">
        <v>0.00049037</v>
      </c>
      <c r="P4678" s="34">
        <f>IF($J4678=1,LN(1+O4678),"")</f>
        <v/>
      </c>
      <c r="Q4678" s="34">
        <f>IF($J4678=1,LN(R4679/R4678),"")</f>
        <v/>
      </c>
      <c r="R4678" s="32" t="n">
        <v>5.7489</v>
      </c>
      <c r="S4678" s="35" t="n">
        <v>14.85</v>
      </c>
      <c r="T4678" s="18" t="n"/>
      <c r="U4678" s="18" t="n">
        <v>123357.55</v>
      </c>
      <c r="V4678" s="18" t="n"/>
      <c r="W4678" s="18" t="n"/>
      <c r="X4678" s="35" t="n">
        <v>14.85</v>
      </c>
      <c r="Y4678" s="35" t="n"/>
    </row>
    <row r="4679">
      <c r="A4679" s="25" t="n">
        <v>45723</v>
      </c>
      <c r="B4679" s="18" t="n">
        <v>125034.63</v>
      </c>
      <c r="C4679" s="31" t="n"/>
      <c r="D4679" s="32" t="n"/>
      <c r="E4679" s="33" t="n">
        <v>0.1995</v>
      </c>
      <c r="F4679" t="inlineStr">
        <is>
          <t>Up</t>
        </is>
      </c>
      <c r="G4679" t="inlineStr">
        <is>
          <t>Up</t>
        </is>
      </c>
      <c r="H4679" t="inlineStr">
        <is>
          <t>EU_JU</t>
        </is>
      </c>
      <c r="I4679" t="inlineStr">
        <is>
          <t>2025-03</t>
        </is>
      </c>
      <c r="J4679" t="n">
        <v>1</v>
      </c>
      <c r="K4679" t="n">
        <v>1</v>
      </c>
      <c r="L4679" s="34">
        <f>IF($J4679=1,LN(B4680/B4679),"")</f>
        <v/>
      </c>
      <c r="M4679" s="34">
        <f>IF($K4679=1,INDEX(Mensal!$D$2:$D$245,MATCH($I4679,Mensal!$A$2:$A$245,0)),"")</f>
        <v/>
      </c>
      <c r="N4679" s="34">
        <f>IF($K4679=1,L4679-M4679,"")</f>
        <v/>
      </c>
      <c r="O4679" s="34" t="n">
        <v>0.00049037</v>
      </c>
      <c r="P4679" s="34">
        <f>IF($J4679=1,LN(1+O4679),"")</f>
        <v/>
      </c>
      <c r="Q4679" s="34">
        <f>IF($J4679=1,LN(R4680/R4679),"")</f>
        <v/>
      </c>
      <c r="R4679" s="32" t="n">
        <v>5.7688</v>
      </c>
      <c r="S4679" s="35" t="n">
        <v>14.78</v>
      </c>
      <c r="T4679" s="18" t="n"/>
      <c r="U4679" s="18" t="n">
        <v>125034.63</v>
      </c>
      <c r="V4679" s="18" t="n"/>
      <c r="W4679" s="18" t="n"/>
      <c r="X4679" s="35" t="n">
        <v>14.78</v>
      </c>
      <c r="Y4679" s="35" t="n"/>
    </row>
    <row r="4680">
      <c r="A4680" s="25" t="n">
        <v>45726</v>
      </c>
      <c r="B4680" s="18" t="n">
        <v>124519.38</v>
      </c>
      <c r="C4680" s="31" t="n"/>
      <c r="D4680" s="32" t="n"/>
      <c r="E4680" s="33" t="n">
        <v>0.2041</v>
      </c>
      <c r="F4680" t="inlineStr">
        <is>
          <t>Up</t>
        </is>
      </c>
      <c r="G4680" t="inlineStr">
        <is>
          <t>Up</t>
        </is>
      </c>
      <c r="H4680" t="inlineStr">
        <is>
          <t>EU_JU</t>
        </is>
      </c>
      <c r="I4680" t="inlineStr">
        <is>
          <t>2025-03</t>
        </is>
      </c>
      <c r="J4680" t="n">
        <v>1</v>
      </c>
      <c r="K4680" t="n">
        <v>1</v>
      </c>
      <c r="L4680" s="34">
        <f>IF($J4680=1,LN(B4681/B4680),"")</f>
        <v/>
      </c>
      <c r="M4680" s="34">
        <f>IF($K4680=1,INDEX(Mensal!$D$2:$D$245,MATCH($I4680,Mensal!$A$2:$A$245,0)),"")</f>
        <v/>
      </c>
      <c r="N4680" s="34">
        <f>IF($K4680=1,L4680-M4680,"")</f>
        <v/>
      </c>
      <c r="O4680" s="34" t="n">
        <v>0.00049037</v>
      </c>
      <c r="P4680" s="34">
        <f>IF($J4680=1,LN(1+O4680),"")</f>
        <v/>
      </c>
      <c r="Q4680" s="34">
        <f>IF($J4680=1,LN(R4681/R4680),"")</f>
        <v/>
      </c>
      <c r="R4680" s="32" t="n">
        <v>5.793</v>
      </c>
      <c r="S4680" s="35" t="n">
        <v>14.86</v>
      </c>
      <c r="T4680" s="18" t="n"/>
      <c r="U4680" s="18" t="n">
        <v>124519.38</v>
      </c>
      <c r="V4680" s="18" t="n"/>
      <c r="W4680" s="18" t="n"/>
      <c r="X4680" s="35" t="n">
        <v>14.86</v>
      </c>
      <c r="Y4680" s="35" t="n"/>
    </row>
    <row r="4681">
      <c r="A4681" s="25" t="n">
        <v>45727</v>
      </c>
      <c r="B4681" s="18" t="n">
        <v>123507.35</v>
      </c>
      <c r="C4681" s="31" t="n"/>
      <c r="D4681" s="32" t="n"/>
      <c r="E4681" s="33" t="n">
        <v>0.2049</v>
      </c>
      <c r="F4681" t="inlineStr">
        <is>
          <t>Up</t>
        </is>
      </c>
      <c r="G4681" t="inlineStr">
        <is>
          <t>Up</t>
        </is>
      </c>
      <c r="H4681" t="inlineStr">
        <is>
          <t>EU_JU</t>
        </is>
      </c>
      <c r="I4681" t="inlineStr">
        <is>
          <t>2025-03</t>
        </is>
      </c>
      <c r="J4681" t="n">
        <v>1</v>
      </c>
      <c r="K4681" t="n">
        <v>1</v>
      </c>
      <c r="L4681" s="34">
        <f>IF($J4681=1,LN(B4682/B4681),"")</f>
        <v/>
      </c>
      <c r="M4681" s="34">
        <f>IF($K4681=1,INDEX(Mensal!$D$2:$D$245,MATCH($I4681,Mensal!$A$2:$A$245,0)),"")</f>
        <v/>
      </c>
      <c r="N4681" s="34">
        <f>IF($K4681=1,L4681-M4681,"")</f>
        <v/>
      </c>
      <c r="O4681" s="34" t="n">
        <v>0.00049037</v>
      </c>
      <c r="P4681" s="34">
        <f>IF($J4681=1,LN(1+O4681),"")</f>
        <v/>
      </c>
      <c r="Q4681" s="34">
        <f>IF($J4681=1,LN(R4682/R4681),"")</f>
        <v/>
      </c>
      <c r="R4681" s="32" t="n">
        <v>5.8346</v>
      </c>
      <c r="S4681" s="35" t="n">
        <v>14.76</v>
      </c>
      <c r="T4681" s="18" t="n"/>
      <c r="U4681" s="18" t="n">
        <v>123507.35</v>
      </c>
      <c r="V4681" s="18" t="n"/>
      <c r="W4681" s="18" t="n"/>
      <c r="X4681" s="35" t="n">
        <v>14.76</v>
      </c>
      <c r="Y4681" s="35" t="n"/>
    </row>
    <row r="4682">
      <c r="A4682" s="25" t="n">
        <v>45728</v>
      </c>
      <c r="B4682" s="18" t="n">
        <v>123863.5</v>
      </c>
      <c r="C4682" s="31" t="n"/>
      <c r="D4682" s="32" t="n"/>
      <c r="E4682" s="33" t="n">
        <v>0.2061</v>
      </c>
      <c r="F4682" t="inlineStr">
        <is>
          <t>Up</t>
        </is>
      </c>
      <c r="G4682" t="inlineStr">
        <is>
          <t>Up</t>
        </is>
      </c>
      <c r="H4682" t="inlineStr">
        <is>
          <t>EU_JU</t>
        </is>
      </c>
      <c r="I4682" t="inlineStr">
        <is>
          <t>2025-03</t>
        </is>
      </c>
      <c r="J4682" t="n">
        <v>1</v>
      </c>
      <c r="K4682" t="n">
        <v>1</v>
      </c>
      <c r="L4682" s="34">
        <f>IF($J4682=1,LN(B4683/B4682),"")</f>
        <v/>
      </c>
      <c r="M4682" s="34">
        <f>IF($K4682=1,INDEX(Mensal!$D$2:$D$245,MATCH($I4682,Mensal!$A$2:$A$245,0)),"")</f>
        <v/>
      </c>
      <c r="N4682" s="34">
        <f>IF($K4682=1,L4682-M4682,"")</f>
        <v/>
      </c>
      <c r="O4682" s="34" t="n">
        <v>0.00049037</v>
      </c>
      <c r="P4682" s="34">
        <f>IF($J4682=1,LN(1+O4682),"")</f>
        <v/>
      </c>
      <c r="Q4682" s="34">
        <f>IF($J4682=1,LN(R4683/R4682),"")</f>
        <v/>
      </c>
      <c r="R4682" s="32" t="n">
        <v>5.8268</v>
      </c>
      <c r="S4682" s="35" t="n">
        <v>14.77</v>
      </c>
      <c r="T4682" s="18" t="n"/>
      <c r="U4682" s="18" t="n">
        <v>123863.5</v>
      </c>
      <c r="V4682" s="18" t="n"/>
      <c r="W4682" s="18" t="n"/>
      <c r="X4682" s="35" t="n">
        <v>14.77</v>
      </c>
      <c r="Y4682" s="35" t="n"/>
    </row>
    <row r="4683">
      <c r="A4683" s="25" t="n">
        <v>45729</v>
      </c>
      <c r="B4683" s="18" t="n">
        <v>125637.11</v>
      </c>
      <c r="C4683" s="31" t="n"/>
      <c r="D4683" s="32" t="n"/>
      <c r="E4683" s="33" t="n">
        <v>0.208</v>
      </c>
      <c r="F4683" t="inlineStr">
        <is>
          <t>Up</t>
        </is>
      </c>
      <c r="G4683" t="inlineStr">
        <is>
          <t>Up</t>
        </is>
      </c>
      <c r="H4683" t="inlineStr">
        <is>
          <t>EU_JU</t>
        </is>
      </c>
      <c r="I4683" t="inlineStr">
        <is>
          <t>2025-03</t>
        </is>
      </c>
      <c r="J4683" t="n">
        <v>1</v>
      </c>
      <c r="K4683" t="n">
        <v>1</v>
      </c>
      <c r="L4683" s="34">
        <f>IF($J4683=1,LN(B4684/B4683),"")</f>
        <v/>
      </c>
      <c r="M4683" s="34">
        <f>IF($K4683=1,INDEX(Mensal!$D$2:$D$245,MATCH($I4683,Mensal!$A$2:$A$245,0)),"")</f>
        <v/>
      </c>
      <c r="N4683" s="34">
        <f>IF($K4683=1,L4683-M4683,"")</f>
        <v/>
      </c>
      <c r="O4683" s="34" t="n">
        <v>0.00049037</v>
      </c>
      <c r="P4683" s="34">
        <f>IF($J4683=1,LN(1+O4683),"")</f>
        <v/>
      </c>
      <c r="Q4683" s="34">
        <f>IF($J4683=1,LN(R4684/R4683),"")</f>
        <v/>
      </c>
      <c r="R4683" s="32" t="n">
        <v>5.8131</v>
      </c>
      <c r="S4683" s="35" t="n">
        <v>14.76</v>
      </c>
      <c r="T4683" s="18" t="n"/>
      <c r="U4683" s="18" t="n">
        <v>125637.11</v>
      </c>
      <c r="V4683" s="18" t="n"/>
      <c r="W4683" s="18" t="n"/>
      <c r="X4683" s="35" t="n">
        <v>14.76</v>
      </c>
      <c r="Y4683" s="35" t="n"/>
    </row>
    <row r="4684">
      <c r="A4684" s="25" t="n">
        <v>45730</v>
      </c>
      <c r="B4684" s="18" t="n">
        <v>128957.09</v>
      </c>
      <c r="C4684" s="31" t="n"/>
      <c r="D4684" s="32" t="n"/>
      <c r="E4684" s="33" t="n">
        <v>0.2108</v>
      </c>
      <c r="F4684" t="inlineStr">
        <is>
          <t>Up</t>
        </is>
      </c>
      <c r="G4684" t="inlineStr">
        <is>
          <t>Up</t>
        </is>
      </c>
      <c r="H4684" t="inlineStr">
        <is>
          <t>EU_JU</t>
        </is>
      </c>
      <c r="I4684" t="inlineStr">
        <is>
          <t>2025-03</t>
        </is>
      </c>
      <c r="J4684" t="n">
        <v>1</v>
      </c>
      <c r="K4684" t="n">
        <v>1</v>
      </c>
      <c r="L4684" s="34">
        <f>IF($J4684=1,LN(B4685/B4684),"")</f>
        <v/>
      </c>
      <c r="M4684" s="34">
        <f>IF($K4684=1,INDEX(Mensal!$D$2:$D$245,MATCH($I4684,Mensal!$A$2:$A$245,0)),"")</f>
        <v/>
      </c>
      <c r="N4684" s="34">
        <f>IF($K4684=1,L4684-M4684,"")</f>
        <v/>
      </c>
      <c r="O4684" s="34" t="n">
        <v>0.00049037</v>
      </c>
      <c r="P4684" s="34">
        <f>IF($J4684=1,LN(1+O4684),"")</f>
        <v/>
      </c>
      <c r="Q4684" s="34">
        <f>IF($J4684=1,LN(R4685/R4684),"")</f>
        <v/>
      </c>
      <c r="R4684" s="32" t="n">
        <v>5.7419</v>
      </c>
      <c r="S4684" s="35" t="n">
        <v>14.79</v>
      </c>
      <c r="T4684" s="18" t="n"/>
      <c r="U4684" s="18" t="n">
        <v>128957.09</v>
      </c>
      <c r="V4684" s="18" t="n"/>
      <c r="W4684" s="18" t="n"/>
      <c r="X4684" s="35" t="n">
        <v>14.79</v>
      </c>
      <c r="Y4684" s="35" t="n"/>
    </row>
    <row r="4685">
      <c r="A4685" s="25" t="n">
        <v>45733</v>
      </c>
      <c r="B4685" s="18" t="n">
        <v>130833.96</v>
      </c>
      <c r="C4685" s="31" t="n"/>
      <c r="D4685" s="32" t="n"/>
      <c r="E4685" s="33" t="n">
        <v>0.2189</v>
      </c>
      <c r="F4685" t="inlineStr">
        <is>
          <t>Up</t>
        </is>
      </c>
      <c r="G4685" t="inlineStr">
        <is>
          <t>Up</t>
        </is>
      </c>
      <c r="H4685" t="inlineStr">
        <is>
          <t>EU_JU</t>
        </is>
      </c>
      <c r="I4685" t="inlineStr">
        <is>
          <t>2025-03</t>
        </is>
      </c>
      <c r="J4685" t="n">
        <v>1</v>
      </c>
      <c r="K4685" t="n">
        <v>1</v>
      </c>
      <c r="L4685" s="34">
        <f>IF($J4685=1,LN(B4686/B4685),"")</f>
        <v/>
      </c>
      <c r="M4685" s="34">
        <f>IF($K4685=1,INDEX(Mensal!$D$2:$D$245,MATCH($I4685,Mensal!$A$2:$A$245,0)),"")</f>
        <v/>
      </c>
      <c r="N4685" s="34">
        <f>IF($K4685=1,L4685-M4685,"")</f>
        <v/>
      </c>
      <c r="O4685" s="34" t="n">
        <v>0.00049037</v>
      </c>
      <c r="P4685" s="34">
        <f>IF($J4685=1,LN(1+O4685),"")</f>
        <v/>
      </c>
      <c r="Q4685" s="34">
        <f>IF($J4685=1,LN(R4686/R4685),"")</f>
        <v/>
      </c>
      <c r="R4685" s="32" t="n">
        <v>5.7082</v>
      </c>
      <c r="S4685" s="35" t="n">
        <v>14.78</v>
      </c>
      <c r="T4685" s="18" t="n"/>
      <c r="U4685" s="18" t="n">
        <v>130833.96</v>
      </c>
      <c r="V4685" s="18" t="n"/>
      <c r="W4685" s="18" t="n"/>
      <c r="X4685" s="35" t="n">
        <v>14.78</v>
      </c>
      <c r="Y4685" s="35" t="n"/>
    </row>
    <row r="4686">
      <c r="A4686" s="25" t="n">
        <v>45734</v>
      </c>
      <c r="B4686" s="18" t="n">
        <v>131474.73</v>
      </c>
      <c r="C4686" s="31" t="n"/>
      <c r="D4686" s="32" t="n"/>
      <c r="E4686" s="33" t="n">
        <v>0.2261</v>
      </c>
      <c r="F4686" t="inlineStr">
        <is>
          <t>Up</t>
        </is>
      </c>
      <c r="G4686" t="inlineStr">
        <is>
          <t>Up</t>
        </is>
      </c>
      <c r="H4686" t="inlineStr">
        <is>
          <t>EU_JU</t>
        </is>
      </c>
      <c r="I4686" t="inlineStr">
        <is>
          <t>2025-03</t>
        </is>
      </c>
      <c r="J4686" t="n">
        <v>1</v>
      </c>
      <c r="K4686" t="n">
        <v>1</v>
      </c>
      <c r="L4686" s="34">
        <f>IF($J4686=1,LN(B4687/B4686),"")</f>
        <v/>
      </c>
      <c r="M4686" s="34">
        <f>IF($K4686=1,INDEX(Mensal!$D$2:$D$245,MATCH($I4686,Mensal!$A$2:$A$245,0)),"")</f>
        <v/>
      </c>
      <c r="N4686" s="34">
        <f>IF($K4686=1,L4686-M4686,"")</f>
        <v/>
      </c>
      <c r="O4686" s="34" t="n">
        <v>0.00049037</v>
      </c>
      <c r="P4686" s="34">
        <f>IF($J4686=1,LN(1+O4686),"")</f>
        <v/>
      </c>
      <c r="Q4686" s="34">
        <f>IF($J4686=1,LN(R4687/R4686),"")</f>
        <v/>
      </c>
      <c r="R4686" s="32" t="n">
        <v>5.6852</v>
      </c>
      <c r="S4686" s="35" t="n">
        <v>14.76</v>
      </c>
      <c r="T4686" s="18" t="n"/>
      <c r="U4686" s="18" t="n">
        <v>131474.73</v>
      </c>
      <c r="V4686" s="18" t="n"/>
      <c r="W4686" s="18" t="n"/>
      <c r="X4686" s="35" t="n">
        <v>14.76</v>
      </c>
      <c r="Y4686" s="35" t="n"/>
    </row>
    <row r="4687">
      <c r="A4687" s="25" t="n">
        <v>45735</v>
      </c>
      <c r="B4687" s="18" t="n">
        <v>132508.45</v>
      </c>
      <c r="C4687" s="31" t="n"/>
      <c r="D4687" s="32" t="n"/>
      <c r="E4687" s="33" t="n">
        <v>0.2291</v>
      </c>
      <c r="F4687" t="inlineStr">
        <is>
          <t>Up</t>
        </is>
      </c>
      <c r="G4687" t="inlineStr">
        <is>
          <t>Up</t>
        </is>
      </c>
      <c r="H4687" t="inlineStr">
        <is>
          <t>EU_JU</t>
        </is>
      </c>
      <c r="I4687" t="inlineStr">
        <is>
          <t>2025-03</t>
        </is>
      </c>
      <c r="J4687" t="n">
        <v>1</v>
      </c>
      <c r="K4687" t="n">
        <v>1</v>
      </c>
      <c r="L4687" s="34">
        <f>IF($J4687=1,LN(B4688/B4687),"")</f>
        <v/>
      </c>
      <c r="M4687" s="34">
        <f>IF($K4687=1,INDEX(Mensal!$D$2:$D$245,MATCH($I4687,Mensal!$A$2:$A$245,0)),"")</f>
        <v/>
      </c>
      <c r="N4687" s="34">
        <f>IF($K4687=1,L4687-M4687,"")</f>
        <v/>
      </c>
      <c r="O4687" s="34" t="n">
        <v>0.00049037</v>
      </c>
      <c r="P4687" s="34">
        <f>IF($J4687=1,LN(1+O4687),"")</f>
        <v/>
      </c>
      <c r="Q4687" s="34">
        <f>IF($J4687=1,LN(R4688/R4687),"")</f>
        <v/>
      </c>
      <c r="R4687" s="32" t="n">
        <v>5.6657</v>
      </c>
      <c r="S4687" s="35" t="n">
        <v>14.74</v>
      </c>
      <c r="T4687" s="18" t="n"/>
      <c r="U4687" s="18" t="n">
        <v>132508.45</v>
      </c>
      <c r="V4687" s="18" t="n"/>
      <c r="W4687" s="18" t="n"/>
      <c r="X4687" s="35" t="n">
        <v>14.74</v>
      </c>
      <c r="Y4687" s="35" t="n"/>
    </row>
    <row r="4688">
      <c r="A4688" s="25" t="n">
        <v>45736</v>
      </c>
      <c r="B4688" s="18" t="n">
        <v>131954.9</v>
      </c>
      <c r="C4688" s="31" t="n"/>
      <c r="D4688" s="32" t="n"/>
      <c r="E4688" s="33" t="n">
        <v>0.2344</v>
      </c>
      <c r="F4688" t="inlineStr">
        <is>
          <t>Up</t>
        </is>
      </c>
      <c r="G4688" t="inlineStr">
        <is>
          <t>Up</t>
        </is>
      </c>
      <c r="H4688" t="inlineStr">
        <is>
          <t>EU_JU</t>
        </is>
      </c>
      <c r="I4688" t="inlineStr">
        <is>
          <t>2025-03</t>
        </is>
      </c>
      <c r="J4688" t="n">
        <v>1</v>
      </c>
      <c r="K4688" t="n">
        <v>1</v>
      </c>
      <c r="L4688" s="34">
        <f>IF($J4688=1,LN(B4689/B4688),"")</f>
        <v/>
      </c>
      <c r="M4688" s="34">
        <f>IF($K4688=1,INDEX(Mensal!$D$2:$D$245,MATCH($I4688,Mensal!$A$2:$A$245,0)),"")</f>
        <v/>
      </c>
      <c r="N4688" s="34">
        <f>IF($K4688=1,L4688-M4688,"")</f>
        <v/>
      </c>
      <c r="O4688" s="34" t="n">
        <v>0.00052531</v>
      </c>
      <c r="P4688" s="34">
        <f>IF($J4688=1,LN(1+O4688),"")</f>
        <v/>
      </c>
      <c r="Q4688" s="34">
        <f>IF($J4688=1,LN(R4689/R4688),"")</f>
        <v/>
      </c>
      <c r="R4688" s="32" t="n">
        <v>5.6628</v>
      </c>
      <c r="S4688" s="35" t="n">
        <v>14.91</v>
      </c>
      <c r="T4688" s="18" t="n"/>
      <c r="U4688" s="18" t="n">
        <v>131954.9</v>
      </c>
      <c r="V4688" s="18" t="n"/>
      <c r="W4688" s="18" t="n"/>
      <c r="X4688" s="35" t="n">
        <v>14.91</v>
      </c>
      <c r="Y4688" s="35" t="n"/>
    </row>
    <row r="4689">
      <c r="A4689" s="25" t="n">
        <v>45737</v>
      </c>
      <c r="B4689" s="18" t="n">
        <v>132344.88</v>
      </c>
      <c r="C4689" s="31" t="n"/>
      <c r="D4689" s="32" t="n"/>
      <c r="E4689" s="33" t="n">
        <v>0.2388</v>
      </c>
      <c r="F4689" t="inlineStr">
        <is>
          <t>Up</t>
        </is>
      </c>
      <c r="G4689" t="inlineStr">
        <is>
          <t>Up</t>
        </is>
      </c>
      <c r="H4689" t="inlineStr">
        <is>
          <t>EU_JU</t>
        </is>
      </c>
      <c r="I4689" t="inlineStr">
        <is>
          <t>2025-03</t>
        </is>
      </c>
      <c r="J4689" t="n">
        <v>1</v>
      </c>
      <c r="K4689" t="n">
        <v>1</v>
      </c>
      <c r="L4689" s="34">
        <f>IF($J4689=1,LN(B4690/B4689),"")</f>
        <v/>
      </c>
      <c r="M4689" s="34">
        <f>IF($K4689=1,INDEX(Mensal!$D$2:$D$245,MATCH($I4689,Mensal!$A$2:$A$245,0)),"")</f>
        <v/>
      </c>
      <c r="N4689" s="34">
        <f>IF($K4689=1,L4689-M4689,"")</f>
        <v/>
      </c>
      <c r="O4689" s="34" t="n">
        <v>0.00052531</v>
      </c>
      <c r="P4689" s="34">
        <f>IF($J4689=1,LN(1+O4689),"")</f>
        <v/>
      </c>
      <c r="Q4689" s="34">
        <f>IF($J4689=1,LN(R4690/R4689),"")</f>
        <v/>
      </c>
      <c r="R4689" s="32" t="n">
        <v>5.7241</v>
      </c>
      <c r="S4689" s="35" t="n">
        <v>15</v>
      </c>
      <c r="T4689" s="18" t="n"/>
      <c r="U4689" s="18" t="n">
        <v>132344.88</v>
      </c>
      <c r="V4689" s="18" t="n"/>
      <c r="W4689" s="18" t="n"/>
      <c r="X4689" s="35" t="n">
        <v>15</v>
      </c>
      <c r="Y4689" s="35" t="n"/>
    </row>
    <row r="4690">
      <c r="A4690" s="25" t="n">
        <v>45740</v>
      </c>
      <c r="B4690" s="18" t="n">
        <v>131321.44</v>
      </c>
      <c r="C4690" s="31" t="n"/>
      <c r="D4690" s="32" t="n"/>
      <c r="E4690" s="33" t="n">
        <v>0.2456</v>
      </c>
      <c r="F4690" t="inlineStr">
        <is>
          <t>Up</t>
        </is>
      </c>
      <c r="G4690" t="inlineStr">
        <is>
          <t>Up</t>
        </is>
      </c>
      <c r="H4690" t="inlineStr">
        <is>
          <t>EU_JU</t>
        </is>
      </c>
      <c r="I4690" t="inlineStr">
        <is>
          <t>2025-03</t>
        </is>
      </c>
      <c r="J4690" t="n">
        <v>1</v>
      </c>
      <c r="K4690" t="n">
        <v>1</v>
      </c>
      <c r="L4690" s="34">
        <f>IF($J4690=1,LN(B4691/B4690),"")</f>
        <v/>
      </c>
      <c r="M4690" s="34">
        <f>IF($K4690=1,INDEX(Mensal!$D$2:$D$245,MATCH($I4690,Mensal!$A$2:$A$245,0)),"")</f>
        <v/>
      </c>
      <c r="N4690" s="34">
        <f>IF($K4690=1,L4690-M4690,"")</f>
        <v/>
      </c>
      <c r="O4690" s="34" t="n">
        <v>0.00052531</v>
      </c>
      <c r="P4690" s="34">
        <f>IF($J4690=1,LN(1+O4690),"")</f>
        <v/>
      </c>
      <c r="Q4690" s="34">
        <f>IF($J4690=1,LN(R4691/R4690),"")</f>
        <v/>
      </c>
      <c r="R4690" s="32" t="n">
        <v>5.7403</v>
      </c>
      <c r="S4690" s="35" t="n">
        <v>15.09</v>
      </c>
      <c r="T4690" s="18" t="n"/>
      <c r="U4690" s="18" t="n">
        <v>131321.44</v>
      </c>
      <c r="V4690" s="18" t="n"/>
      <c r="W4690" s="18" t="n"/>
      <c r="X4690" s="35" t="n">
        <v>15.09</v>
      </c>
      <c r="Y4690" s="35" t="n"/>
    </row>
    <row r="4691">
      <c r="A4691" s="25" t="n">
        <v>45741</v>
      </c>
      <c r="B4691" s="18" t="n">
        <v>132067.69</v>
      </c>
      <c r="C4691" s="31" t="n"/>
      <c r="D4691" s="32" t="n"/>
      <c r="E4691" s="33" t="n">
        <v>0.2505</v>
      </c>
      <c r="F4691" t="inlineStr">
        <is>
          <t>Up</t>
        </is>
      </c>
      <c r="G4691" t="inlineStr">
        <is>
          <t>Up</t>
        </is>
      </c>
      <c r="H4691" t="inlineStr">
        <is>
          <t>EU_JU</t>
        </is>
      </c>
      <c r="I4691" t="inlineStr">
        <is>
          <t>2025-03</t>
        </is>
      </c>
      <c r="J4691" t="n">
        <v>1</v>
      </c>
      <c r="K4691" t="n">
        <v>1</v>
      </c>
      <c r="L4691" s="34">
        <f>IF($J4691=1,LN(B4692/B4691),"")</f>
        <v/>
      </c>
      <c r="M4691" s="34">
        <f>IF($K4691=1,INDEX(Mensal!$D$2:$D$245,MATCH($I4691,Mensal!$A$2:$A$245,0)),"")</f>
        <v/>
      </c>
      <c r="N4691" s="34">
        <f>IF($K4691=1,L4691-M4691,"")</f>
        <v/>
      </c>
      <c r="O4691" s="34" t="n">
        <v>0.00052531</v>
      </c>
      <c r="P4691" s="34">
        <f>IF($J4691=1,LN(1+O4691),"")</f>
        <v/>
      </c>
      <c r="Q4691" s="34">
        <f>IF($J4691=1,LN(R4692/R4691),"")</f>
        <v/>
      </c>
      <c r="R4691" s="32" t="n">
        <v>5.6992</v>
      </c>
      <c r="S4691" s="35" t="n">
        <v>15.19</v>
      </c>
      <c r="T4691" s="18" t="n"/>
      <c r="U4691" s="18" t="n">
        <v>132067.69</v>
      </c>
      <c r="V4691" s="18" t="n"/>
      <c r="W4691" s="18" t="n"/>
      <c r="X4691" s="35" t="n">
        <v>15.19</v>
      </c>
      <c r="Y4691" s="35" t="n"/>
    </row>
    <row r="4692">
      <c r="A4692" s="25" t="n">
        <v>45742</v>
      </c>
      <c r="B4692" s="18" t="n">
        <v>132519.63</v>
      </c>
      <c r="C4692" s="31" t="n"/>
      <c r="D4692" s="32" t="n"/>
      <c r="E4692" s="33" t="n">
        <v>0.2542</v>
      </c>
      <c r="F4692" t="inlineStr">
        <is>
          <t>Up</t>
        </is>
      </c>
      <c r="G4692" t="inlineStr">
        <is>
          <t>Up</t>
        </is>
      </c>
      <c r="H4692" t="inlineStr">
        <is>
          <t>EU_JU</t>
        </is>
      </c>
      <c r="I4692" t="inlineStr">
        <is>
          <t>2025-03</t>
        </is>
      </c>
      <c r="J4692" t="n">
        <v>1</v>
      </c>
      <c r="K4692" t="n">
        <v>1</v>
      </c>
      <c r="L4692" s="34">
        <f>IF($J4692=1,LN(B4693/B4692),"")</f>
        <v/>
      </c>
      <c r="M4692" s="34">
        <f>IF($K4692=1,INDEX(Mensal!$D$2:$D$245,MATCH($I4692,Mensal!$A$2:$A$245,0)),"")</f>
        <v/>
      </c>
      <c r="N4692" s="34">
        <f>IF($K4692=1,L4692-M4692,"")</f>
        <v/>
      </c>
      <c r="O4692" s="34" t="n">
        <v>0.00052531</v>
      </c>
      <c r="P4692" s="34">
        <f>IF($J4692=1,LN(1+O4692),"")</f>
        <v/>
      </c>
      <c r="Q4692" s="34">
        <f>IF($J4692=1,LN(R4693/R4692),"")</f>
        <v/>
      </c>
      <c r="R4692" s="32" t="n">
        <v>5.7298</v>
      </c>
      <c r="S4692" s="35" t="n">
        <v>15.24</v>
      </c>
      <c r="T4692" s="18" t="n"/>
      <c r="U4692" s="18" t="n">
        <v>132519.63</v>
      </c>
      <c r="V4692" s="18" t="n"/>
      <c r="W4692" s="18" t="n"/>
      <c r="X4692" s="35" t="n">
        <v>15.24</v>
      </c>
      <c r="Y4692" s="35" t="n"/>
    </row>
    <row r="4693">
      <c r="A4693" s="25" t="n">
        <v>45743</v>
      </c>
      <c r="B4693" s="18" t="n">
        <v>133148.75</v>
      </c>
      <c r="C4693" s="31" t="n"/>
      <c r="D4693" s="32" t="n"/>
      <c r="E4693" s="33" t="n">
        <v>0.2615</v>
      </c>
      <c r="F4693" t="inlineStr">
        <is>
          <t>Up</t>
        </is>
      </c>
      <c r="G4693" t="inlineStr">
        <is>
          <t>Up</t>
        </is>
      </c>
      <c r="H4693" t="inlineStr">
        <is>
          <t>EU_JU</t>
        </is>
      </c>
      <c r="I4693" t="inlineStr">
        <is>
          <t>2025-03</t>
        </is>
      </c>
      <c r="J4693" t="n">
        <v>1</v>
      </c>
      <c r="K4693" t="n">
        <v>1</v>
      </c>
      <c r="L4693" s="34">
        <f>IF($J4693=1,LN(B4694/B4693),"")</f>
        <v/>
      </c>
      <c r="M4693" s="34">
        <f>IF($K4693=1,INDEX(Mensal!$D$2:$D$245,MATCH($I4693,Mensal!$A$2:$A$245,0)),"")</f>
        <v/>
      </c>
      <c r="N4693" s="34">
        <f>IF($K4693=1,L4693-M4693,"")</f>
        <v/>
      </c>
      <c r="O4693" s="34" t="n">
        <v>0.00052531</v>
      </c>
      <c r="P4693" s="34">
        <f>IF($J4693=1,LN(1+O4693),"")</f>
        <v/>
      </c>
      <c r="Q4693" s="34">
        <f>IF($J4693=1,LN(R4694/R4693),"")</f>
        <v/>
      </c>
      <c r="R4693" s="32" t="n">
        <v>5.7474</v>
      </c>
      <c r="S4693" s="35" t="n">
        <v>15.09</v>
      </c>
      <c r="T4693" s="18" t="n"/>
      <c r="U4693" s="18" t="n">
        <v>133148.75</v>
      </c>
      <c r="V4693" s="18" t="n"/>
      <c r="W4693" s="18" t="n"/>
      <c r="X4693" s="35" t="n">
        <v>15.09</v>
      </c>
      <c r="Y4693" s="35" t="n"/>
    </row>
    <row r="4694">
      <c r="A4694" s="25" t="n">
        <v>45744</v>
      </c>
      <c r="B4694" s="18" t="n">
        <v>131902.18</v>
      </c>
      <c r="C4694" s="31" t="n"/>
      <c r="D4694" s="32" t="n"/>
      <c r="E4694" s="33" t="n">
        <v>0.2713</v>
      </c>
      <c r="F4694" t="inlineStr">
        <is>
          <t>Up</t>
        </is>
      </c>
      <c r="G4694" t="inlineStr">
        <is>
          <t>Up</t>
        </is>
      </c>
      <c r="H4694" t="inlineStr">
        <is>
          <t>EU_JU</t>
        </is>
      </c>
      <c r="I4694" t="inlineStr">
        <is>
          <t>2025-03</t>
        </is>
      </c>
      <c r="J4694" t="n">
        <v>1</v>
      </c>
      <c r="K4694" t="n">
        <v>1</v>
      </c>
      <c r="L4694" s="34">
        <f>IF($J4694=1,LN(B4695/B4694),"")</f>
        <v/>
      </c>
      <c r="M4694" s="34">
        <f>IF($K4694=1,INDEX(Mensal!$D$2:$D$245,MATCH($I4694,Mensal!$A$2:$A$245,0)),"")</f>
        <v/>
      </c>
      <c r="N4694" s="34">
        <f>IF($K4694=1,L4694-M4694,"")</f>
        <v/>
      </c>
      <c r="O4694" s="34" t="n">
        <v>0.00052531</v>
      </c>
      <c r="P4694" s="34">
        <f>IF($J4694=1,LN(1+O4694),"")</f>
        <v/>
      </c>
      <c r="Q4694" s="34">
        <f>IF($J4694=1,LN(R4695/R4694),"")</f>
        <v/>
      </c>
      <c r="R4694" s="32" t="n">
        <v>5.766</v>
      </c>
      <c r="S4694" s="35" t="n">
        <v>15.18</v>
      </c>
      <c r="T4694" s="18" t="n"/>
      <c r="U4694" s="18" t="n">
        <v>131902.18</v>
      </c>
      <c r="V4694" s="18" t="n"/>
      <c r="W4694" s="18" t="n"/>
      <c r="X4694" s="35" t="n">
        <v>15.18</v>
      </c>
      <c r="Y4694" s="35" t="n"/>
    </row>
    <row r="4695">
      <c r="A4695" s="25" t="n">
        <v>45747</v>
      </c>
      <c r="B4695" s="18" t="n">
        <v>130259.54</v>
      </c>
      <c r="C4695" s="31" t="n"/>
      <c r="D4695" s="32" t="n"/>
      <c r="E4695" s="33" t="n">
        <v>0.2897</v>
      </c>
      <c r="F4695" t="inlineStr">
        <is>
          <t>Up</t>
        </is>
      </c>
      <c r="G4695" t="inlineStr">
        <is>
          <t>Up</t>
        </is>
      </c>
      <c r="H4695" t="inlineStr">
        <is>
          <t>EU_JU</t>
        </is>
      </c>
      <c r="I4695" t="inlineStr">
        <is>
          <t>2025-03</t>
        </is>
      </c>
      <c r="J4695" t="n">
        <v>1</v>
      </c>
      <c r="K4695" t="n">
        <v>1</v>
      </c>
      <c r="L4695" s="34">
        <f>IF($J4695=1,LN(B4696/B4695),"")</f>
        <v/>
      </c>
      <c r="M4695" s="34">
        <f>IF($K4695=1,INDEX(Mensal!$D$2:$D$245,MATCH($I4695,Mensal!$A$2:$A$245,0)),"")</f>
        <v/>
      </c>
      <c r="N4695" s="34">
        <f>IF($K4695=1,L4695-M4695,"")</f>
        <v/>
      </c>
      <c r="O4695" s="34" t="n">
        <v>0.00052531</v>
      </c>
      <c r="P4695" s="34">
        <f>IF($J4695=1,LN(1+O4695),"")</f>
        <v/>
      </c>
      <c r="Q4695" s="34">
        <f>IF($J4695=1,LN(R4696/R4695),"")</f>
        <v/>
      </c>
      <c r="R4695" s="32" t="n">
        <v>5.7422</v>
      </c>
      <c r="S4695" s="35" t="n">
        <v>15.09</v>
      </c>
      <c r="T4695" s="18" t="n"/>
      <c r="U4695" s="18" t="n">
        <v>130259.54</v>
      </c>
      <c r="V4695" s="18" t="n"/>
      <c r="W4695" s="18" t="n"/>
      <c r="X4695" s="35" t="n">
        <v>15.09</v>
      </c>
      <c r="Y4695" s="35" t="n"/>
    </row>
    <row r="4696">
      <c r="A4696" s="25" t="n">
        <v>45748</v>
      </c>
      <c r="B4696" s="18" t="n">
        <v>131147.29</v>
      </c>
      <c r="C4696" s="31" t="n"/>
      <c r="D4696" s="32" t="n"/>
      <c r="E4696" s="33" t="n">
        <v>0.3051</v>
      </c>
      <c r="F4696" t="inlineStr">
        <is>
          <t>Up</t>
        </is>
      </c>
      <c r="G4696" t="inlineStr">
        <is>
          <t>Up</t>
        </is>
      </c>
      <c r="H4696" t="inlineStr">
        <is>
          <t>EU_JU</t>
        </is>
      </c>
      <c r="I4696" t="inlineStr">
        <is>
          <t>2025-04</t>
        </is>
      </c>
      <c r="J4696" t="n">
        <v>1</v>
      </c>
      <c r="K4696" t="n">
        <v>1</v>
      </c>
      <c r="L4696" s="34">
        <f>IF($J4696=1,LN(B4697/B4696),"")</f>
        <v/>
      </c>
      <c r="M4696" s="34">
        <f>IF($K4696=1,INDEX(Mensal!$D$2:$D$245,MATCH($I4696,Mensal!$A$2:$A$245,0)),"")</f>
        <v/>
      </c>
      <c r="N4696" s="34">
        <f>IF($K4696=1,L4696-M4696,"")</f>
        <v/>
      </c>
      <c r="O4696" s="34" t="n">
        <v>0.00052531</v>
      </c>
      <c r="P4696" s="34">
        <f>IF($J4696=1,LN(1+O4696),"")</f>
        <v/>
      </c>
      <c r="Q4696" s="34">
        <f>IF($J4696=1,LN(R4697/R4696),"")</f>
        <v/>
      </c>
      <c r="R4696" s="32" t="n">
        <v>5.7051</v>
      </c>
      <c r="S4696" s="35" t="n">
        <v>15.03</v>
      </c>
      <c r="T4696" s="18" t="n"/>
      <c r="U4696" s="18" t="n">
        <v>131147.29</v>
      </c>
      <c r="V4696" s="18" t="n"/>
      <c r="W4696" s="18" t="n"/>
      <c r="X4696" s="35" t="n">
        <v>15.03</v>
      </c>
      <c r="Y4696" s="35" t="n"/>
    </row>
    <row r="4697">
      <c r="A4697" s="25" t="n">
        <v>45749</v>
      </c>
      <c r="B4697" s="18" t="n">
        <v>131190.34</v>
      </c>
      <c r="C4697" s="31" t="n"/>
      <c r="D4697" s="32" t="n"/>
      <c r="E4697" s="33" t="n">
        <v>0.3217</v>
      </c>
      <c r="F4697" t="inlineStr">
        <is>
          <t>Up</t>
        </is>
      </c>
      <c r="G4697" t="inlineStr">
        <is>
          <t>Up</t>
        </is>
      </c>
      <c r="H4697" t="inlineStr">
        <is>
          <t>EU_JU</t>
        </is>
      </c>
      <c r="I4697" t="inlineStr">
        <is>
          <t>2025-04</t>
        </is>
      </c>
      <c r="J4697" t="n">
        <v>1</v>
      </c>
      <c r="K4697" t="n">
        <v>1</v>
      </c>
      <c r="L4697" s="34">
        <f>IF($J4697=1,LN(B4698/B4697),"")</f>
        <v/>
      </c>
      <c r="M4697" s="34">
        <f>IF($K4697=1,INDEX(Mensal!$D$2:$D$245,MATCH($I4697,Mensal!$A$2:$A$245,0)),"")</f>
        <v/>
      </c>
      <c r="N4697" s="34">
        <f>IF($K4697=1,L4697-M4697,"")</f>
        <v/>
      </c>
      <c r="O4697" s="34" t="n">
        <v>0.00052531</v>
      </c>
      <c r="P4697" s="34">
        <f>IF($J4697=1,LN(1+O4697),"")</f>
        <v/>
      </c>
      <c r="Q4697" s="34">
        <f>IF($J4697=1,LN(R4698/R4697),"")</f>
        <v/>
      </c>
      <c r="R4697" s="32" t="n">
        <v>5.6923</v>
      </c>
      <c r="S4697" s="35" t="n">
        <v>15.05</v>
      </c>
      <c r="T4697" s="18" t="n"/>
      <c r="U4697" s="18" t="n">
        <v>131190.34</v>
      </c>
      <c r="V4697" s="18" t="n"/>
      <c r="W4697" s="18" t="n"/>
      <c r="X4697" s="35" t="n">
        <v>15.05</v>
      </c>
      <c r="Y4697" s="35" t="n"/>
    </row>
    <row r="4698">
      <c r="A4698" s="25" t="n">
        <v>45750</v>
      </c>
      <c r="B4698" s="18" t="n">
        <v>131140.65</v>
      </c>
      <c r="C4698" s="31" t="n"/>
      <c r="D4698" s="32" t="n"/>
      <c r="E4698" s="33" t="n">
        <v>0.3421</v>
      </c>
      <c r="F4698" t="inlineStr">
        <is>
          <t>Up</t>
        </is>
      </c>
      <c r="G4698" t="inlineStr">
        <is>
          <t>Up</t>
        </is>
      </c>
      <c r="H4698" t="inlineStr">
        <is>
          <t>EU_JU</t>
        </is>
      </c>
      <c r="I4698" t="inlineStr">
        <is>
          <t>2025-04</t>
        </is>
      </c>
      <c r="J4698" t="n">
        <v>1</v>
      </c>
      <c r="K4698" t="n">
        <v>1</v>
      </c>
      <c r="L4698" s="34">
        <f>IF($J4698=1,LN(B4699/B4698),"")</f>
        <v/>
      </c>
      <c r="M4698" s="34">
        <f>IF($K4698=1,INDEX(Mensal!$D$2:$D$245,MATCH($I4698,Mensal!$A$2:$A$245,0)),"")</f>
        <v/>
      </c>
      <c r="N4698" s="34">
        <f>IF($K4698=1,L4698-M4698,"")</f>
        <v/>
      </c>
      <c r="O4698" s="34" t="n">
        <v>0.00052531</v>
      </c>
      <c r="P4698" s="34">
        <f>IF($J4698=1,LN(1+O4698),"")</f>
        <v/>
      </c>
      <c r="Q4698" s="34">
        <f>IF($J4698=1,LN(R4699/R4698),"")</f>
        <v/>
      </c>
      <c r="R4698" s="32" t="n">
        <v>5.6067</v>
      </c>
      <c r="S4698" s="35" t="n">
        <v>14.77</v>
      </c>
      <c r="T4698" s="18" t="n"/>
      <c r="U4698" s="18" t="n">
        <v>131140.65</v>
      </c>
      <c r="V4698" s="18" t="n"/>
      <c r="W4698" s="18" t="n"/>
      <c r="X4698" s="35" t="n">
        <v>14.77</v>
      </c>
      <c r="Y4698" s="35" t="n"/>
    </row>
    <row r="4699">
      <c r="A4699" s="25" t="n">
        <v>45751</v>
      </c>
      <c r="B4699" s="18" t="n">
        <v>127256</v>
      </c>
      <c r="C4699" s="31" t="n"/>
      <c r="D4699" s="32" t="n"/>
      <c r="E4699" s="33" t="n">
        <v>0.3613</v>
      </c>
      <c r="F4699" t="inlineStr">
        <is>
          <t>Up</t>
        </is>
      </c>
      <c r="G4699" t="inlineStr">
        <is>
          <t>Up</t>
        </is>
      </c>
      <c r="H4699" t="inlineStr">
        <is>
          <t>EU_JU</t>
        </is>
      </c>
      <c r="I4699" t="inlineStr">
        <is>
          <t>2025-04</t>
        </is>
      </c>
      <c r="J4699" t="n">
        <v>1</v>
      </c>
      <c r="K4699" t="n">
        <v>1</v>
      </c>
      <c r="L4699" s="34">
        <f>IF($J4699=1,LN(B4700/B4699),"")</f>
        <v/>
      </c>
      <c r="M4699" s="34">
        <f>IF($K4699=1,INDEX(Mensal!$D$2:$D$245,MATCH($I4699,Mensal!$A$2:$A$245,0)),"")</f>
        <v/>
      </c>
      <c r="N4699" s="34">
        <f>IF($K4699=1,L4699-M4699,"")</f>
        <v/>
      </c>
      <c r="O4699" s="34" t="n">
        <v>0.00052531</v>
      </c>
      <c r="P4699" s="34">
        <f>IF($J4699=1,LN(1+O4699),"")</f>
        <v/>
      </c>
      <c r="Q4699" s="34">
        <f>IF($J4699=1,LN(R4700/R4699),"")</f>
        <v/>
      </c>
      <c r="R4699" s="32" t="n">
        <v>5.7777</v>
      </c>
      <c r="S4699" s="35" t="n">
        <v>14.66</v>
      </c>
      <c r="T4699" s="18" t="n"/>
      <c r="U4699" s="18" t="n">
        <v>127256</v>
      </c>
      <c r="V4699" s="18" t="n"/>
      <c r="W4699" s="18" t="n"/>
      <c r="X4699" s="35" t="n">
        <v>14.66</v>
      </c>
      <c r="Y4699" s="35" t="n"/>
    </row>
    <row r="4700">
      <c r="A4700" s="25" t="n">
        <v>45754</v>
      </c>
      <c r="B4700" s="18" t="n">
        <v>125588.09</v>
      </c>
      <c r="C4700" s="31" t="n"/>
      <c r="D4700" s="32" t="n"/>
      <c r="E4700" s="33" t="n">
        <v>0.3704</v>
      </c>
      <c r="F4700" t="inlineStr">
        <is>
          <t>Up</t>
        </is>
      </c>
      <c r="G4700" t="inlineStr">
        <is>
          <t>Up</t>
        </is>
      </c>
      <c r="H4700" t="inlineStr">
        <is>
          <t>EU_JU</t>
        </is>
      </c>
      <c r="I4700" t="inlineStr">
        <is>
          <t>2025-04</t>
        </is>
      </c>
      <c r="J4700" t="n">
        <v>1</v>
      </c>
      <c r="K4700" t="n">
        <v>1</v>
      </c>
      <c r="L4700" s="34">
        <f>IF($J4700=1,LN(B4701/B4700),"")</f>
        <v/>
      </c>
      <c r="M4700" s="34">
        <f>IF($K4700=1,INDEX(Mensal!$D$2:$D$245,MATCH($I4700,Mensal!$A$2:$A$245,0)),"")</f>
        <v/>
      </c>
      <c r="N4700" s="34">
        <f>IF($K4700=1,L4700-M4700,"")</f>
        <v/>
      </c>
      <c r="O4700" s="34" t="n">
        <v>0.00052531</v>
      </c>
      <c r="P4700" s="34">
        <f>IF($J4700=1,LN(1+O4700),"")</f>
        <v/>
      </c>
      <c r="Q4700" s="34">
        <f>IF($J4700=1,LN(R4701/R4700),"")</f>
        <v/>
      </c>
      <c r="R4700" s="32" t="n">
        <v>5.8877</v>
      </c>
      <c r="S4700" s="35" t="n">
        <v>14.63</v>
      </c>
      <c r="T4700" s="18" t="n"/>
      <c r="U4700" s="18" t="n">
        <v>125588.09</v>
      </c>
      <c r="V4700" s="18" t="n"/>
      <c r="W4700" s="18" t="n"/>
      <c r="X4700" s="35" t="n">
        <v>14.63</v>
      </c>
      <c r="Y4700" s="35" t="n"/>
    </row>
    <row r="4701">
      <c r="A4701" s="25" t="n">
        <v>45755</v>
      </c>
      <c r="B4701" s="18" t="n">
        <v>123931.89</v>
      </c>
      <c r="C4701" s="31" t="n"/>
      <c r="D4701" s="32" t="n"/>
      <c r="E4701" s="33" t="n">
        <v>0.3809</v>
      </c>
      <c r="F4701" t="inlineStr">
        <is>
          <t>Up</t>
        </is>
      </c>
      <c r="G4701" t="inlineStr">
        <is>
          <t>Up</t>
        </is>
      </c>
      <c r="H4701" t="inlineStr">
        <is>
          <t>EU_JU</t>
        </is>
      </c>
      <c r="I4701" t="inlineStr">
        <is>
          <t>2025-04</t>
        </is>
      </c>
      <c r="J4701" t="n">
        <v>1</v>
      </c>
      <c r="K4701" t="n">
        <v>1</v>
      </c>
      <c r="L4701" s="34">
        <f>IF($J4701=1,LN(B4702/B4701),"")</f>
        <v/>
      </c>
      <c r="M4701" s="34">
        <f>IF($K4701=1,INDEX(Mensal!$D$2:$D$245,MATCH($I4701,Mensal!$A$2:$A$245,0)),"")</f>
        <v/>
      </c>
      <c r="N4701" s="34">
        <f>IF($K4701=1,L4701-M4701,"")</f>
        <v/>
      </c>
      <c r="O4701" s="34" t="n">
        <v>0.00052531</v>
      </c>
      <c r="P4701" s="34">
        <f>IF($J4701=1,LN(1+O4701),"")</f>
        <v/>
      </c>
      <c r="Q4701" s="34">
        <f>IF($J4701=1,LN(R4702/R4701),"")</f>
        <v/>
      </c>
      <c r="R4701" s="32" t="n">
        <v>5.9368</v>
      </c>
      <c r="S4701" s="35" t="n">
        <v>14.72</v>
      </c>
      <c r="T4701" s="18" t="n"/>
      <c r="U4701" s="18" t="n">
        <v>123931.89</v>
      </c>
      <c r="V4701" s="18" t="n"/>
      <c r="W4701" s="18" t="n"/>
      <c r="X4701" s="35" t="n">
        <v>14.72</v>
      </c>
      <c r="Y4701" s="35" t="n"/>
    </row>
    <row r="4702">
      <c r="A4702" s="25" t="n">
        <v>45756</v>
      </c>
      <c r="B4702" s="18" t="n">
        <v>127795.93</v>
      </c>
      <c r="C4702" s="31" t="n"/>
      <c r="D4702" s="32" t="n"/>
      <c r="E4702" s="33" t="n">
        <v>0.3869</v>
      </c>
      <c r="F4702" t="inlineStr">
        <is>
          <t>Up</t>
        </is>
      </c>
      <c r="G4702" t="inlineStr">
        <is>
          <t>Up</t>
        </is>
      </c>
      <c r="H4702" t="inlineStr">
        <is>
          <t>EU_JU</t>
        </is>
      </c>
      <c r="I4702" t="inlineStr">
        <is>
          <t>2025-04</t>
        </is>
      </c>
      <c r="J4702" t="n">
        <v>1</v>
      </c>
      <c r="K4702" t="n">
        <v>1</v>
      </c>
      <c r="L4702" s="34">
        <f>IF($J4702=1,LN(B4703/B4702),"")</f>
        <v/>
      </c>
      <c r="M4702" s="34">
        <f>IF($K4702=1,INDEX(Mensal!$D$2:$D$245,MATCH($I4702,Mensal!$A$2:$A$245,0)),"")</f>
        <v/>
      </c>
      <c r="N4702" s="34">
        <f>IF($K4702=1,L4702-M4702,"")</f>
        <v/>
      </c>
      <c r="O4702" s="34" t="n">
        <v>0.00052531</v>
      </c>
      <c r="P4702" s="34">
        <f>IF($J4702=1,LN(1+O4702),"")</f>
        <v/>
      </c>
      <c r="Q4702" s="34">
        <f>IF($J4702=1,LN(R4703/R4702),"")</f>
        <v/>
      </c>
      <c r="R4702" s="32" t="n">
        <v>6.0605</v>
      </c>
      <c r="S4702" s="35" t="n">
        <v>14.81</v>
      </c>
      <c r="T4702" s="18" t="n"/>
      <c r="U4702" s="18" t="n">
        <v>127795.93</v>
      </c>
      <c r="V4702" s="18" t="n"/>
      <c r="W4702" s="18" t="n"/>
      <c r="X4702" s="35" t="n">
        <v>14.81</v>
      </c>
      <c r="Y4702" s="35" t="n"/>
    </row>
    <row r="4703">
      <c r="A4703" s="25" t="n">
        <v>45757</v>
      </c>
      <c r="B4703" s="18" t="n">
        <v>126354.75</v>
      </c>
      <c r="C4703" s="31" t="n"/>
      <c r="D4703" s="32" t="n"/>
      <c r="E4703" s="33" t="n">
        <v>0.3794</v>
      </c>
      <c r="F4703" t="inlineStr">
        <is>
          <t>Up</t>
        </is>
      </c>
      <c r="G4703" t="inlineStr">
        <is>
          <t>Up</t>
        </is>
      </c>
      <c r="H4703" t="inlineStr">
        <is>
          <t>EU_JU</t>
        </is>
      </c>
      <c r="I4703" t="inlineStr">
        <is>
          <t>2025-04</t>
        </is>
      </c>
      <c r="J4703" t="n">
        <v>1</v>
      </c>
      <c r="K4703" t="n">
        <v>1</v>
      </c>
      <c r="L4703" s="34">
        <f>IF($J4703=1,LN(B4704/B4703),"")</f>
        <v/>
      </c>
      <c r="M4703" s="34">
        <f>IF($K4703=1,INDEX(Mensal!$D$2:$D$245,MATCH($I4703,Mensal!$A$2:$A$245,0)),"")</f>
        <v/>
      </c>
      <c r="N4703" s="34">
        <f>IF($K4703=1,L4703-M4703,"")</f>
        <v/>
      </c>
      <c r="O4703" s="34" t="n">
        <v>0.00052531</v>
      </c>
      <c r="P4703" s="34">
        <f>IF($J4703=1,LN(1+O4703),"")</f>
        <v/>
      </c>
      <c r="Q4703" s="34">
        <f>IF($J4703=1,LN(R4704/R4703),"")</f>
        <v/>
      </c>
      <c r="R4703" s="32" t="n">
        <v>5.9115</v>
      </c>
      <c r="S4703" s="35" t="n">
        <v>14.78</v>
      </c>
      <c r="T4703" s="18" t="n"/>
      <c r="U4703" s="18" t="n">
        <v>126354.75</v>
      </c>
      <c r="V4703" s="18" t="n"/>
      <c r="W4703" s="18" t="n"/>
      <c r="X4703" s="35" t="n">
        <v>14.78</v>
      </c>
      <c r="Y4703" s="35" t="n"/>
    </row>
    <row r="4704">
      <c r="A4704" s="25" t="n">
        <v>45758</v>
      </c>
      <c r="B4704" s="18" t="n">
        <v>127682.4</v>
      </c>
      <c r="C4704" s="31" t="n"/>
      <c r="D4704" s="32" t="n"/>
      <c r="E4704" s="33" t="n">
        <v>0.3686</v>
      </c>
      <c r="F4704" t="inlineStr">
        <is>
          <t>Up</t>
        </is>
      </c>
      <c r="G4704" t="inlineStr">
        <is>
          <t>Up</t>
        </is>
      </c>
      <c r="H4704" t="inlineStr">
        <is>
          <t>EU_JU</t>
        </is>
      </c>
      <c r="I4704" t="inlineStr">
        <is>
          <t>2025-04</t>
        </is>
      </c>
      <c r="J4704" t="n">
        <v>1</v>
      </c>
      <c r="K4704" t="n">
        <v>1</v>
      </c>
      <c r="L4704" s="34">
        <f>IF($J4704=1,LN(B4705/B4704),"")</f>
        <v/>
      </c>
      <c r="M4704" s="34">
        <f>IF($K4704=1,INDEX(Mensal!$D$2:$D$245,MATCH($I4704,Mensal!$A$2:$A$245,0)),"")</f>
        <v/>
      </c>
      <c r="N4704" s="34">
        <f>IF($K4704=1,L4704-M4704,"")</f>
        <v/>
      </c>
      <c r="O4704" s="34" t="n">
        <v>0.00052531</v>
      </c>
      <c r="P4704" s="34">
        <f>IF($J4704=1,LN(1+O4704),"")</f>
        <v/>
      </c>
      <c r="Q4704" s="34">
        <f>IF($J4704=1,LN(R4705/R4704),"")</f>
        <v/>
      </c>
      <c r="R4704" s="32" t="n">
        <v>5.8737</v>
      </c>
      <c r="S4704" s="35" t="n">
        <v>14.73</v>
      </c>
      <c r="T4704" s="18" t="n"/>
      <c r="U4704" s="18" t="n">
        <v>127682.4</v>
      </c>
      <c r="V4704" s="18" t="n"/>
      <c r="W4704" s="18" t="n"/>
      <c r="X4704" s="35" t="n">
        <v>14.73</v>
      </c>
      <c r="Y4704" s="35" t="n"/>
    </row>
    <row r="4705">
      <c r="A4705" s="25" t="n">
        <v>45761</v>
      </c>
      <c r="B4705" s="18" t="n">
        <v>129453.91</v>
      </c>
      <c r="C4705" s="31" t="n"/>
      <c r="D4705" s="32" t="n"/>
      <c r="E4705" s="33" t="n">
        <v>0.3673</v>
      </c>
      <c r="F4705" t="inlineStr">
        <is>
          <t>Up</t>
        </is>
      </c>
      <c r="G4705" t="inlineStr">
        <is>
          <t>Up</t>
        </is>
      </c>
      <c r="H4705" t="inlineStr">
        <is>
          <t>EU_JU</t>
        </is>
      </c>
      <c r="I4705" t="inlineStr">
        <is>
          <t>2025-04</t>
        </is>
      </c>
      <c r="J4705" t="n">
        <v>1</v>
      </c>
      <c r="K4705" t="n">
        <v>1</v>
      </c>
      <c r="L4705" s="34">
        <f>IF($J4705=1,LN(B4706/B4705),"")</f>
        <v/>
      </c>
      <c r="M4705" s="34">
        <f>IF($K4705=1,INDEX(Mensal!$D$2:$D$245,MATCH($I4705,Mensal!$A$2:$A$245,0)),"")</f>
        <v/>
      </c>
      <c r="N4705" s="34">
        <f>IF($K4705=1,L4705-M4705,"")</f>
        <v/>
      </c>
      <c r="O4705" s="34" t="n">
        <v>0.00052531</v>
      </c>
      <c r="P4705" s="34">
        <f>IF($J4705=1,LN(1+O4705),"")</f>
        <v/>
      </c>
      <c r="Q4705" s="34">
        <f>IF($J4705=1,LN(R4706/R4705),"")</f>
        <v/>
      </c>
      <c r="R4705" s="32" t="n">
        <v>5.8425</v>
      </c>
      <c r="S4705" s="35" t="n">
        <v>14.62</v>
      </c>
      <c r="T4705" s="18" t="n"/>
      <c r="U4705" s="18" t="n">
        <v>129453.91</v>
      </c>
      <c r="V4705" s="18" t="n"/>
      <c r="W4705" s="18" t="n"/>
      <c r="X4705" s="35" t="n">
        <v>14.62</v>
      </c>
      <c r="Y4705" s="35" t="n"/>
    </row>
    <row r="4706">
      <c r="A4706" s="25" t="n">
        <v>45762</v>
      </c>
      <c r="B4706" s="18" t="n">
        <v>129245.39</v>
      </c>
      <c r="C4706" s="31" t="n"/>
      <c r="D4706" s="32" t="n"/>
      <c r="E4706" s="33" t="n">
        <v>0.3655</v>
      </c>
      <c r="F4706" t="inlineStr">
        <is>
          <t>Up</t>
        </is>
      </c>
      <c r="G4706" t="inlineStr">
        <is>
          <t>Up</t>
        </is>
      </c>
      <c r="H4706" t="inlineStr">
        <is>
          <t>EU_JU</t>
        </is>
      </c>
      <c r="I4706" t="inlineStr">
        <is>
          <t>2025-04</t>
        </is>
      </c>
      <c r="J4706" t="n">
        <v>1</v>
      </c>
      <c r="K4706" t="n">
        <v>1</v>
      </c>
      <c r="L4706" s="34">
        <f>IF($J4706=1,LN(B4707/B4706),"")</f>
        <v/>
      </c>
      <c r="M4706" s="34">
        <f>IF($K4706=1,INDEX(Mensal!$D$2:$D$245,MATCH($I4706,Mensal!$A$2:$A$245,0)),"")</f>
        <v/>
      </c>
      <c r="N4706" s="34">
        <f>IF($K4706=1,L4706-M4706,"")</f>
        <v/>
      </c>
      <c r="O4706" s="34" t="n">
        <v>0.00052531</v>
      </c>
      <c r="P4706" s="34">
        <f>IF($J4706=1,LN(1+O4706),"")</f>
        <v/>
      </c>
      <c r="Q4706" s="34">
        <f>IF($J4706=1,LN(R4707/R4706),"")</f>
        <v/>
      </c>
      <c r="R4706" s="32" t="n">
        <v>5.8707</v>
      </c>
      <c r="S4706" s="35" t="n">
        <v>14.67</v>
      </c>
      <c r="T4706" s="18" t="n"/>
      <c r="U4706" s="18" t="n">
        <v>129245.39</v>
      </c>
      <c r="V4706" s="18" t="n"/>
      <c r="W4706" s="18" t="n"/>
      <c r="X4706" s="35" t="n">
        <v>14.67</v>
      </c>
      <c r="Y4706" s="35" t="n"/>
    </row>
    <row r="4707">
      <c r="A4707" s="25" t="n">
        <v>45763</v>
      </c>
      <c r="B4707" s="18" t="n">
        <v>128316.89</v>
      </c>
      <c r="C4707" s="31" t="n"/>
      <c r="D4707" s="32" t="n"/>
      <c r="E4707" s="33" t="n">
        <v>0.3569</v>
      </c>
      <c r="F4707" t="inlineStr">
        <is>
          <t>Up</t>
        </is>
      </c>
      <c r="G4707" t="inlineStr">
        <is>
          <t>Up</t>
        </is>
      </c>
      <c r="H4707" t="inlineStr">
        <is>
          <t>EU_JU</t>
        </is>
      </c>
      <c r="I4707" t="inlineStr">
        <is>
          <t>2025-04</t>
        </is>
      </c>
      <c r="J4707" t="n">
        <v>1</v>
      </c>
      <c r="K4707" t="n">
        <v>1</v>
      </c>
      <c r="L4707" s="34">
        <f>IF($J4707=1,LN(B4708/B4707),"")</f>
        <v/>
      </c>
      <c r="M4707" s="34">
        <f>IF($K4707=1,INDEX(Mensal!$D$2:$D$245,MATCH($I4707,Mensal!$A$2:$A$245,0)),"")</f>
        <v/>
      </c>
      <c r="N4707" s="34">
        <f>IF($K4707=1,L4707-M4707,"")</f>
        <v/>
      </c>
      <c r="O4707" s="34" t="n">
        <v>0.00052531</v>
      </c>
      <c r="P4707" s="34">
        <f>IF($J4707=1,LN(1+O4707),"")</f>
        <v/>
      </c>
      <c r="Q4707" s="34">
        <f>IF($J4707=1,LN(R4708/R4707),"")</f>
        <v/>
      </c>
      <c r="R4707" s="32" t="n">
        <v>5.8808</v>
      </c>
      <c r="S4707" s="35" t="n">
        <v>14.64</v>
      </c>
      <c r="T4707" s="18" t="n"/>
      <c r="U4707" s="18" t="n">
        <v>128316.89</v>
      </c>
      <c r="V4707" s="18" t="n"/>
      <c r="W4707" s="18" t="n"/>
      <c r="X4707" s="35" t="n">
        <v>14.64</v>
      </c>
      <c r="Y4707" s="35" t="n"/>
    </row>
    <row r="4708">
      <c r="A4708" s="25" t="n">
        <v>45764</v>
      </c>
      <c r="B4708" s="18" t="n">
        <v>129650.03</v>
      </c>
      <c r="C4708" s="31" t="n"/>
      <c r="D4708" s="32" t="n"/>
      <c r="E4708" s="33" t="n">
        <v>0.3534</v>
      </c>
      <c r="F4708" t="inlineStr">
        <is>
          <t>Up</t>
        </is>
      </c>
      <c r="G4708" t="inlineStr">
        <is>
          <t>Up</t>
        </is>
      </c>
      <c r="H4708" t="inlineStr">
        <is>
          <t>EU_JU</t>
        </is>
      </c>
      <c r="I4708" t="inlineStr">
        <is>
          <t>2025-04</t>
        </is>
      </c>
      <c r="J4708" t="n">
        <v>1</v>
      </c>
      <c r="K4708" t="n">
        <v>1</v>
      </c>
      <c r="L4708" s="34">
        <f>IF($J4708=1,LN(B4709/B4708),"")</f>
        <v/>
      </c>
      <c r="M4708" s="34">
        <f>IF($K4708=1,INDEX(Mensal!$D$2:$D$245,MATCH($I4708,Mensal!$A$2:$A$245,0)),"")</f>
        <v/>
      </c>
      <c r="N4708" s="34">
        <f>IF($K4708=1,L4708-M4708,"")</f>
        <v/>
      </c>
      <c r="O4708" s="34" t="n">
        <v>0.00052531</v>
      </c>
      <c r="P4708" s="34">
        <f>IF($J4708=1,LN(1+O4708),"")</f>
        <v/>
      </c>
      <c r="Q4708" s="34">
        <f>IF($J4708=1,LN(R4709/R4708),"")</f>
        <v/>
      </c>
      <c r="R4708" s="32" t="n">
        <v>5.8559</v>
      </c>
      <c r="S4708" s="35" t="n">
        <v>14.67</v>
      </c>
      <c r="T4708" s="18" t="n"/>
      <c r="U4708" s="18" t="n">
        <v>129650.03</v>
      </c>
      <c r="V4708" s="18" t="n"/>
      <c r="W4708" s="18" t="n"/>
      <c r="X4708" s="35" t="n">
        <v>14.67</v>
      </c>
      <c r="Y4708" s="35" t="n"/>
    </row>
    <row r="4709">
      <c r="A4709" s="25" t="n">
        <v>45769</v>
      </c>
      <c r="B4709" s="18" t="n">
        <v>130464.38</v>
      </c>
      <c r="C4709" s="31" t="n"/>
      <c r="D4709" s="32" t="n"/>
      <c r="E4709" s="33" t="n">
        <v>0.3385</v>
      </c>
      <c r="F4709" t="inlineStr">
        <is>
          <t>Up</t>
        </is>
      </c>
      <c r="G4709" t="inlineStr">
        <is>
          <t>Up</t>
        </is>
      </c>
      <c r="H4709" t="inlineStr">
        <is>
          <t>EU_JU</t>
        </is>
      </c>
      <c r="I4709" t="inlineStr">
        <is>
          <t>2025-04</t>
        </is>
      </c>
      <c r="J4709" t="n">
        <v>1</v>
      </c>
      <c r="K4709" t="n">
        <v>1</v>
      </c>
      <c r="L4709" s="34">
        <f>IF($J4709=1,LN(B4710/B4709),"")</f>
        <v/>
      </c>
      <c r="M4709" s="34">
        <f>IF($K4709=1,INDEX(Mensal!$D$2:$D$245,MATCH($I4709,Mensal!$A$2:$A$245,0)),"")</f>
        <v/>
      </c>
      <c r="N4709" s="34">
        <f>IF($K4709=1,L4709-M4709,"")</f>
        <v/>
      </c>
      <c r="O4709" s="34" t="n">
        <v>0.00052531</v>
      </c>
      <c r="P4709" s="34">
        <f>IF($J4709=1,LN(1+O4709),"")</f>
        <v/>
      </c>
      <c r="Q4709" s="34">
        <f>IF($J4709=1,LN(R4710/R4709),"")</f>
        <v/>
      </c>
      <c r="R4709" s="32" t="n">
        <v>5.7496</v>
      </c>
      <c r="S4709" s="35" t="n">
        <v>14.64</v>
      </c>
      <c r="T4709" s="18" t="n"/>
      <c r="U4709" s="18" t="n">
        <v>130464.38</v>
      </c>
      <c r="V4709" s="18" t="n"/>
      <c r="W4709" s="18" t="n"/>
      <c r="X4709" s="35" t="n">
        <v>14.64</v>
      </c>
      <c r="Y4709" s="35" t="n"/>
    </row>
    <row r="4710">
      <c r="A4710" s="25" t="n">
        <v>45770</v>
      </c>
      <c r="B4710" s="18" t="n">
        <v>132216.07</v>
      </c>
      <c r="C4710" s="31" t="n"/>
      <c r="D4710" s="32" t="n"/>
      <c r="E4710" s="33" t="n">
        <v>0.3147</v>
      </c>
      <c r="F4710" t="inlineStr">
        <is>
          <t>Up</t>
        </is>
      </c>
      <c r="G4710" t="inlineStr">
        <is>
          <t>Up</t>
        </is>
      </c>
      <c r="H4710" t="inlineStr">
        <is>
          <t>EU_JU</t>
        </is>
      </c>
      <c r="I4710" t="inlineStr">
        <is>
          <t>2025-04</t>
        </is>
      </c>
      <c r="J4710" t="n">
        <v>1</v>
      </c>
      <c r="K4710" t="n">
        <v>1</v>
      </c>
      <c r="L4710" s="34">
        <f>IF($J4710=1,LN(B4711/B4710),"")</f>
        <v/>
      </c>
      <c r="M4710" s="34">
        <f>IF($K4710=1,INDEX(Mensal!$D$2:$D$245,MATCH($I4710,Mensal!$A$2:$A$245,0)),"")</f>
        <v/>
      </c>
      <c r="N4710" s="34">
        <f>IF($K4710=1,L4710-M4710,"")</f>
        <v/>
      </c>
      <c r="O4710" s="34" t="n">
        <v>0.00052531</v>
      </c>
      <c r="P4710" s="34">
        <f>IF($J4710=1,LN(1+O4710),"")</f>
        <v/>
      </c>
      <c r="Q4710" s="34">
        <f>IF($J4710=1,LN(R4711/R4710),"")</f>
        <v/>
      </c>
      <c r="R4710" s="32" t="n">
        <v>5.688</v>
      </c>
      <c r="S4710" s="35" t="n">
        <v>14.54</v>
      </c>
      <c r="T4710" s="18" t="n"/>
      <c r="U4710" s="18" t="n">
        <v>132216.07</v>
      </c>
      <c r="V4710" s="18" t="n"/>
      <c r="W4710" s="18" t="n"/>
      <c r="X4710" s="35" t="n">
        <v>14.54</v>
      </c>
      <c r="Y4710" s="35" t="n"/>
    </row>
    <row r="4711">
      <c r="A4711" s="25" t="n">
        <v>45771</v>
      </c>
      <c r="B4711" s="18" t="n">
        <v>134580.43</v>
      </c>
      <c r="C4711" s="31" t="n"/>
      <c r="D4711" s="32" t="n"/>
      <c r="E4711" s="33" t="n">
        <v>0.2877</v>
      </c>
      <c r="F4711" t="inlineStr">
        <is>
          <t>Up</t>
        </is>
      </c>
      <c r="G4711" t="inlineStr">
        <is>
          <t>Up</t>
        </is>
      </c>
      <c r="H4711" t="inlineStr">
        <is>
          <t>EU_JU</t>
        </is>
      </c>
      <c r="I4711" t="inlineStr">
        <is>
          <t>2025-04</t>
        </is>
      </c>
      <c r="J4711" t="n">
        <v>1</v>
      </c>
      <c r="K4711" t="n">
        <v>1</v>
      </c>
      <c r="L4711" s="34">
        <f>IF($J4711=1,LN(B4712/B4711),"")</f>
        <v/>
      </c>
      <c r="M4711" s="34">
        <f>IF($K4711=1,INDEX(Mensal!$D$2:$D$245,MATCH($I4711,Mensal!$A$2:$A$245,0)),"")</f>
        <v/>
      </c>
      <c r="N4711" s="34">
        <f>IF($K4711=1,L4711-M4711,"")</f>
        <v/>
      </c>
      <c r="O4711" s="34" t="n">
        <v>0.00052531</v>
      </c>
      <c r="P4711" s="34">
        <f>IF($J4711=1,LN(1+O4711),"")</f>
        <v/>
      </c>
      <c r="Q4711" s="34">
        <f>IF($J4711=1,LN(R4712/R4711),"")</f>
        <v/>
      </c>
      <c r="R4711" s="32" t="n">
        <v>5.6738</v>
      </c>
      <c r="S4711" s="35" t="n">
        <v>14.41</v>
      </c>
      <c r="T4711" s="18" t="n"/>
      <c r="U4711" s="18" t="n">
        <v>134580.43</v>
      </c>
      <c r="V4711" s="18" t="n"/>
      <c r="W4711" s="18" t="n"/>
      <c r="X4711" s="35" t="n">
        <v>14.41</v>
      </c>
      <c r="Y4711" s="35" t="n"/>
    </row>
    <row r="4712">
      <c r="A4712" s="25" t="n">
        <v>45772</v>
      </c>
      <c r="B4712" s="18" t="n">
        <v>134739.28</v>
      </c>
      <c r="C4712" s="31" t="n"/>
      <c r="D4712" s="32" t="n"/>
      <c r="E4712" s="33" t="n">
        <v>0.2568</v>
      </c>
      <c r="F4712" t="inlineStr">
        <is>
          <t>Up</t>
        </is>
      </c>
      <c r="G4712" t="inlineStr">
        <is>
          <t>Up</t>
        </is>
      </c>
      <c r="H4712" t="inlineStr">
        <is>
          <t>EU_JU</t>
        </is>
      </c>
      <c r="I4712" t="inlineStr">
        <is>
          <t>2025-04</t>
        </is>
      </c>
      <c r="J4712" t="n">
        <v>1</v>
      </c>
      <c r="K4712" t="n">
        <v>1</v>
      </c>
      <c r="L4712" s="34">
        <f>IF($J4712=1,LN(B4713/B4712),"")</f>
        <v/>
      </c>
      <c r="M4712" s="34">
        <f>IF($K4712=1,INDEX(Mensal!$D$2:$D$245,MATCH($I4712,Mensal!$A$2:$A$245,0)),"")</f>
        <v/>
      </c>
      <c r="N4712" s="34">
        <f>IF($K4712=1,L4712-M4712,"")</f>
        <v/>
      </c>
      <c r="O4712" s="34" t="n">
        <v>0.00052531</v>
      </c>
      <c r="P4712" s="34">
        <f>IF($J4712=1,LN(1+O4712),"")</f>
        <v/>
      </c>
      <c r="Q4712" s="34">
        <f>IF($J4712=1,LN(R4713/R4712),"")</f>
        <v/>
      </c>
      <c r="R4712" s="32" t="n">
        <v>5.6846</v>
      </c>
      <c r="S4712" s="35" t="n">
        <v>14.48</v>
      </c>
      <c r="T4712" s="18" t="n"/>
      <c r="U4712" s="18" t="n">
        <v>134739.28</v>
      </c>
      <c r="V4712" s="18" t="n"/>
      <c r="W4712" s="18" t="n"/>
      <c r="X4712" s="35" t="n">
        <v>14.48</v>
      </c>
      <c r="Y4712" s="35" t="n"/>
    </row>
    <row r="4713">
      <c r="A4713" s="25" t="n">
        <v>45775</v>
      </c>
      <c r="B4713" s="18" t="n">
        <v>135015.89</v>
      </c>
      <c r="C4713" s="31" t="n"/>
      <c r="D4713" s="32" t="n"/>
      <c r="E4713" s="33" t="n">
        <v>0.2299</v>
      </c>
      <c r="F4713" t="inlineStr">
        <is>
          <t>Up</t>
        </is>
      </c>
      <c r="G4713" t="inlineStr">
        <is>
          <t>Up</t>
        </is>
      </c>
      <c r="H4713" t="inlineStr">
        <is>
          <t>EU_JU</t>
        </is>
      </c>
      <c r="I4713" t="inlineStr">
        <is>
          <t>2025-04</t>
        </is>
      </c>
      <c r="J4713" t="n">
        <v>1</v>
      </c>
      <c r="K4713" t="n">
        <v>1</v>
      </c>
      <c r="L4713" s="34">
        <f>IF($J4713=1,LN(B4714/B4713),"")</f>
        <v/>
      </c>
      <c r="M4713" s="34">
        <f>IF($K4713=1,INDEX(Mensal!$D$2:$D$245,MATCH($I4713,Mensal!$A$2:$A$245,0)),"")</f>
        <v/>
      </c>
      <c r="N4713" s="34">
        <f>IF($K4713=1,L4713-M4713,"")</f>
        <v/>
      </c>
      <c r="O4713" s="34" t="n">
        <v>0.00052531</v>
      </c>
      <c r="P4713" s="34">
        <f>IF($J4713=1,LN(1+O4713),"")</f>
        <v/>
      </c>
      <c r="Q4713" s="34">
        <f>IF($J4713=1,LN(R4714/R4713),"")</f>
        <v/>
      </c>
      <c r="R4713" s="32" t="n">
        <v>5.6681</v>
      </c>
      <c r="S4713" s="35" t="n">
        <v>14.49</v>
      </c>
      <c r="T4713" s="18" t="n"/>
      <c r="U4713" s="18" t="n">
        <v>135015.89</v>
      </c>
      <c r="V4713" s="18" t="n"/>
      <c r="W4713" s="18" t="n"/>
      <c r="X4713" s="35" t="n">
        <v>14.49</v>
      </c>
      <c r="Y4713" s="35" t="n"/>
    </row>
    <row r="4714">
      <c r="A4714" s="25" t="n">
        <v>45776</v>
      </c>
      <c r="B4714" s="18" t="n">
        <v>135092.99</v>
      </c>
      <c r="C4714" s="31" t="n"/>
      <c r="D4714" s="32" t="n"/>
      <c r="E4714" s="33" t="n">
        <v>0.1912</v>
      </c>
      <c r="F4714" t="inlineStr">
        <is>
          <t>Up</t>
        </is>
      </c>
      <c r="G4714" t="inlineStr">
        <is>
          <t>Up</t>
        </is>
      </c>
      <c r="H4714" t="inlineStr">
        <is>
          <t>EU_JU</t>
        </is>
      </c>
      <c r="I4714" t="inlineStr">
        <is>
          <t>2025-04</t>
        </is>
      </c>
      <c r="J4714" t="n">
        <v>1</v>
      </c>
      <c r="K4714" t="n">
        <v>1</v>
      </c>
      <c r="L4714" s="34">
        <f>IF($J4714=1,LN(B4715/B4714),"")</f>
        <v/>
      </c>
      <c r="M4714" s="34">
        <f>IF($K4714=1,INDEX(Mensal!$D$2:$D$245,MATCH($I4714,Mensal!$A$2:$A$245,0)),"")</f>
        <v/>
      </c>
      <c r="N4714" s="34">
        <f>IF($K4714=1,L4714-M4714,"")</f>
        <v/>
      </c>
      <c r="O4714" s="34" t="n">
        <v>0.00052531</v>
      </c>
      <c r="P4714" s="34">
        <f>IF($J4714=1,LN(1+O4714),"")</f>
        <v/>
      </c>
      <c r="Q4714" s="34">
        <f>IF($J4714=1,LN(R4715/R4714),"")</f>
        <v/>
      </c>
      <c r="R4714" s="32" t="n">
        <v>5.6467</v>
      </c>
      <c r="S4714" s="35" t="n">
        <v>14.53</v>
      </c>
      <c r="T4714" s="18" t="n"/>
      <c r="U4714" s="18" t="n">
        <v>135092.99</v>
      </c>
      <c r="V4714" s="18" t="n"/>
      <c r="W4714" s="18" t="n"/>
      <c r="X4714" s="35" t="n">
        <v>14.53</v>
      </c>
      <c r="Y4714" s="35" t="n"/>
    </row>
    <row r="4715">
      <c r="A4715" s="25" t="n">
        <v>45777</v>
      </c>
      <c r="B4715" s="18" t="n">
        <v>135066.97</v>
      </c>
      <c r="C4715" s="31" t="n"/>
      <c r="D4715" s="32" t="n"/>
      <c r="E4715" s="33" t="n">
        <v>0.1582</v>
      </c>
      <c r="F4715" t="inlineStr">
        <is>
          <t>Up</t>
        </is>
      </c>
      <c r="G4715" t="inlineStr">
        <is>
          <t>Up</t>
        </is>
      </c>
      <c r="H4715" t="inlineStr">
        <is>
          <t>EU_JU</t>
        </is>
      </c>
      <c r="I4715" t="inlineStr">
        <is>
          <t>2025-04</t>
        </is>
      </c>
      <c r="J4715" t="n">
        <v>1</v>
      </c>
      <c r="K4715" t="n">
        <v>1</v>
      </c>
      <c r="L4715" s="34">
        <f>IF($J4715=1,LN(B4716/B4715),"")</f>
        <v/>
      </c>
      <c r="M4715" s="34">
        <f>IF($K4715=1,INDEX(Mensal!$D$2:$D$245,MATCH($I4715,Mensal!$A$2:$A$245,0)),"")</f>
        <v/>
      </c>
      <c r="N4715" s="34">
        <f>IF($K4715=1,L4715-M4715,"")</f>
        <v/>
      </c>
      <c r="O4715" s="34" t="n">
        <v>0.00052531</v>
      </c>
      <c r="P4715" s="34">
        <f>IF($J4715=1,LN(1+O4715),"")</f>
        <v/>
      </c>
      <c r="Q4715" s="34">
        <f>IF($J4715=1,LN(R4716/R4715),"")</f>
        <v/>
      </c>
      <c r="R4715" s="32" t="n">
        <v>5.6608</v>
      </c>
      <c r="S4715" s="35" t="n">
        <v>14.48</v>
      </c>
      <c r="T4715" s="18" t="n"/>
      <c r="U4715" s="18" t="n">
        <v>135066.97</v>
      </c>
      <c r="V4715" s="18" t="n"/>
      <c r="W4715" s="18" t="n"/>
      <c r="X4715" s="35" t="n">
        <v>14.48</v>
      </c>
      <c r="Y4715" s="35" t="n"/>
    </row>
    <row r="4716">
      <c r="A4716" s="25" t="n">
        <v>45779</v>
      </c>
      <c r="B4716" s="18" t="n">
        <v>135133.88</v>
      </c>
      <c r="C4716" s="31" t="n"/>
      <c r="D4716" s="32" t="n"/>
      <c r="E4716" s="33" t="n">
        <v>0.1052</v>
      </c>
      <c r="F4716" t="inlineStr">
        <is>
          <t>Up</t>
        </is>
      </c>
      <c r="G4716" t="inlineStr">
        <is>
          <t>Up</t>
        </is>
      </c>
      <c r="H4716" t="inlineStr">
        <is>
          <t>EU_JU</t>
        </is>
      </c>
      <c r="I4716" t="inlineStr">
        <is>
          <t>2025-05</t>
        </is>
      </c>
      <c r="J4716" t="n">
        <v>1</v>
      </c>
      <c r="K4716" t="n">
        <v>1</v>
      </c>
      <c r="L4716" s="34">
        <f>IF($J4716=1,LN(B4717/B4716),"")</f>
        <v/>
      </c>
      <c r="M4716" s="34">
        <f>IF($K4716=1,INDEX(Mensal!$D$2:$D$245,MATCH($I4716,Mensal!$A$2:$A$245,0)),"")</f>
        <v/>
      </c>
      <c r="N4716" s="34">
        <f>IF($K4716=1,L4716-M4716,"")</f>
        <v/>
      </c>
      <c r="O4716" s="34" t="n">
        <v>0.00052531</v>
      </c>
      <c r="P4716" s="34">
        <f>IF($J4716=1,LN(1+O4716),"")</f>
        <v/>
      </c>
      <c r="Q4716" s="34">
        <f>IF($J4716=1,LN(R4717/R4716),"")</f>
        <v/>
      </c>
      <c r="R4716" s="32" t="n">
        <v>5.6394</v>
      </c>
      <c r="S4716" s="35" t="n">
        <v>14.53</v>
      </c>
      <c r="T4716" s="18" t="n"/>
      <c r="U4716" s="18" t="n">
        <v>135133.88</v>
      </c>
      <c r="V4716" s="18" t="n"/>
      <c r="W4716" s="18" t="n"/>
      <c r="X4716" s="35" t="n">
        <v>14.53</v>
      </c>
      <c r="Y4716" s="35" t="n"/>
    </row>
    <row r="4717">
      <c r="A4717" s="25" t="n">
        <v>45782</v>
      </c>
      <c r="B4717" s="18" t="n">
        <v>133491.23</v>
      </c>
      <c r="C4717" s="31" t="n"/>
      <c r="D4717" s="32" t="n"/>
      <c r="E4717" s="33" t="n">
        <v>0.051</v>
      </c>
      <c r="F4717" t="inlineStr">
        <is>
          <t>Up</t>
        </is>
      </c>
      <c r="G4717" t="inlineStr">
        <is>
          <t>Up</t>
        </is>
      </c>
      <c r="H4717" t="inlineStr">
        <is>
          <t>EU_JU</t>
        </is>
      </c>
      <c r="I4717" t="inlineStr">
        <is>
          <t>2025-05</t>
        </is>
      </c>
      <c r="J4717" t="n">
        <v>1</v>
      </c>
      <c r="K4717" t="n">
        <v>1</v>
      </c>
      <c r="L4717" s="34">
        <f>IF($J4717=1,LN(B4718/B4717),"")</f>
        <v/>
      </c>
      <c r="M4717" s="34">
        <f>IF($K4717=1,INDEX(Mensal!$D$2:$D$245,MATCH($I4717,Mensal!$A$2:$A$245,0)),"")</f>
        <v/>
      </c>
      <c r="N4717" s="34">
        <f>IF($K4717=1,L4717-M4717,"")</f>
        <v/>
      </c>
      <c r="O4717" s="34" t="n">
        <v>0.00052531</v>
      </c>
      <c r="P4717" s="34">
        <f>IF($J4717=1,LN(1+O4717),"")</f>
        <v/>
      </c>
      <c r="Q4717" s="34">
        <f>IF($J4717=1,LN(R4718/R4717),"")</f>
        <v/>
      </c>
      <c r="R4717" s="32" t="n">
        <v>5.652</v>
      </c>
      <c r="S4717" s="35" t="n">
        <v>14.59</v>
      </c>
      <c r="T4717" s="18" t="n"/>
      <c r="U4717" s="18" t="n">
        <v>133491.23</v>
      </c>
      <c r="V4717" s="18" t="n"/>
      <c r="W4717" s="18" t="n"/>
      <c r="X4717" s="35" t="n">
        <v>14.59</v>
      </c>
      <c r="Y4717" s="35" t="n"/>
    </row>
    <row r="4718">
      <c r="A4718" s="25" t="n">
        <v>45783</v>
      </c>
      <c r="B4718" s="18" t="n">
        <v>133515.82</v>
      </c>
      <c r="C4718" s="31" t="n"/>
      <c r="D4718" s="32" t="n"/>
      <c r="E4718" s="33" t="n">
        <v>0.0086</v>
      </c>
      <c r="F4718" t="inlineStr">
        <is>
          <t>Up</t>
        </is>
      </c>
      <c r="G4718" t="inlineStr">
        <is>
          <t>Up</t>
        </is>
      </c>
      <c r="H4718" t="inlineStr">
        <is>
          <t>EU_JU</t>
        </is>
      </c>
      <c r="I4718" t="inlineStr">
        <is>
          <t>2025-05</t>
        </is>
      </c>
      <c r="J4718" t="n">
        <v>1</v>
      </c>
      <c r="K4718" t="n">
        <v>1</v>
      </c>
      <c r="L4718" s="34">
        <f>IF($J4718=1,LN(B4719/B4718),"")</f>
        <v/>
      </c>
      <c r="M4718" s="34">
        <f>IF($K4718=1,INDEX(Mensal!$D$2:$D$245,MATCH($I4718,Mensal!$A$2:$A$245,0)),"")</f>
        <v/>
      </c>
      <c r="N4718" s="34">
        <f>IF($K4718=1,L4718-M4718,"")</f>
        <v/>
      </c>
      <c r="O4718" s="34" t="n">
        <v>0.00052531</v>
      </c>
      <c r="P4718" s="34">
        <f>IF($J4718=1,LN(1+O4718),"")</f>
        <v/>
      </c>
      <c r="Q4718" s="34">
        <f>IF($J4718=1,LN(R4719/R4718),"")</f>
        <v/>
      </c>
      <c r="R4718" s="32" t="n">
        <v>5.721</v>
      </c>
      <c r="S4718" s="35" t="n">
        <v>14.54</v>
      </c>
      <c r="T4718" s="18" t="n"/>
      <c r="U4718" s="18" t="n">
        <v>133515.82</v>
      </c>
      <c r="V4718" s="18" t="n"/>
      <c r="W4718" s="18" t="n"/>
      <c r="X4718" s="35" t="n">
        <v>14.54</v>
      </c>
      <c r="Y4718" s="35" t="n"/>
    </row>
    <row r="4719">
      <c r="A4719" s="25" t="n">
        <v>45784</v>
      </c>
      <c r="B4719" s="18" t="n">
        <v>133397.52</v>
      </c>
      <c r="C4719" s="31" t="n"/>
      <c r="D4719" s="32" t="n"/>
      <c r="E4719" s="33" t="n">
        <v>-0.033</v>
      </c>
      <c r="F4719" t="inlineStr">
        <is>
          <t>Up</t>
        </is>
      </c>
      <c r="G4719" t="inlineStr">
        <is>
          <t>Down</t>
        </is>
      </c>
      <c r="H4719" t="inlineStr">
        <is>
          <t>EU_JD</t>
        </is>
      </c>
      <c r="I4719" t="inlineStr">
        <is>
          <t>2025-05</t>
        </is>
      </c>
      <c r="J4719" t="n">
        <v>1</v>
      </c>
      <c r="K4719" t="n">
        <v>1</v>
      </c>
      <c r="L4719" s="34">
        <f>IF($J4719=1,LN(B4720/B4719),"")</f>
        <v/>
      </c>
      <c r="M4719" s="34">
        <f>IF($K4719=1,INDEX(Mensal!$D$2:$D$245,MATCH($I4719,Mensal!$A$2:$A$245,0)),"")</f>
        <v/>
      </c>
      <c r="N4719" s="34">
        <f>IF($K4719=1,L4719-M4719,"")</f>
        <v/>
      </c>
      <c r="O4719" s="34" t="n">
        <v>0.00052531</v>
      </c>
      <c r="P4719" s="34">
        <f>IF($J4719=1,LN(1+O4719),"")</f>
        <v/>
      </c>
      <c r="Q4719" s="34">
        <f>IF($J4719=1,LN(R4720/R4719),"")</f>
        <v/>
      </c>
      <c r="R4719" s="32" t="n">
        <v>5.7375</v>
      </c>
      <c r="S4719" s="35" t="n">
        <v>14.59</v>
      </c>
      <c r="T4719" s="18" t="n">
        <v>133397.52</v>
      </c>
      <c r="U4719" s="18" t="n"/>
      <c r="V4719" s="18" t="n"/>
      <c r="W4719" s="18" t="n"/>
      <c r="X4719" s="35" t="n"/>
      <c r="Y4719" s="35" t="n">
        <v>14.59</v>
      </c>
    </row>
    <row r="4720">
      <c r="A4720" s="25" t="n">
        <v>45785</v>
      </c>
      <c r="B4720" s="18" t="n">
        <v>136231.9</v>
      </c>
      <c r="C4720" s="31" t="n"/>
      <c r="D4720" s="32" t="n"/>
      <c r="E4720" s="33" t="n">
        <v>-0.0645</v>
      </c>
      <c r="F4720" t="inlineStr">
        <is>
          <t>Up</t>
        </is>
      </c>
      <c r="G4720" t="inlineStr">
        <is>
          <t>Down</t>
        </is>
      </c>
      <c r="H4720" t="inlineStr">
        <is>
          <t>EU_JD</t>
        </is>
      </c>
      <c r="I4720" t="inlineStr">
        <is>
          <t>2025-05</t>
        </is>
      </c>
      <c r="J4720" t="n">
        <v>1</v>
      </c>
      <c r="K4720" t="n">
        <v>1</v>
      </c>
      <c r="L4720" s="34">
        <f>IF($J4720=1,LN(B4721/B4720),"")</f>
        <v/>
      </c>
      <c r="M4720" s="34">
        <f>IF($K4720=1,INDEX(Mensal!$D$2:$D$245,MATCH($I4720,Mensal!$A$2:$A$245,0)),"")</f>
        <v/>
      </c>
      <c r="N4720" s="34">
        <f>IF($K4720=1,L4720-M4720,"")</f>
        <v/>
      </c>
      <c r="O4720" s="34" t="n">
        <v>0.00054266</v>
      </c>
      <c r="P4720" s="34">
        <f>IF($J4720=1,LN(1+O4720),"")</f>
        <v/>
      </c>
      <c r="Q4720" s="34">
        <f>IF($J4720=1,LN(R4721/R4720),"")</f>
        <v/>
      </c>
      <c r="R4720" s="32" t="n">
        <v>5.686</v>
      </c>
      <c r="S4720" s="35" t="n">
        <v>14.61</v>
      </c>
      <c r="T4720" s="18" t="n">
        <v>136231.9</v>
      </c>
      <c r="U4720" s="18" t="n"/>
      <c r="V4720" s="18" t="n"/>
      <c r="W4720" s="18" t="n"/>
      <c r="X4720" s="35" t="n"/>
      <c r="Y4720" s="35" t="n">
        <v>14.61</v>
      </c>
    </row>
    <row r="4721">
      <c r="A4721" s="25" t="n">
        <v>45786</v>
      </c>
      <c r="B4721" s="18" t="n">
        <v>136511.88</v>
      </c>
      <c r="C4721" s="31" t="n"/>
      <c r="D4721" s="32" t="n"/>
      <c r="E4721" s="33" t="n">
        <v>-0.0931</v>
      </c>
      <c r="F4721" t="inlineStr">
        <is>
          <t>Up</t>
        </is>
      </c>
      <c r="G4721" t="inlineStr">
        <is>
          <t>Down</t>
        </is>
      </c>
      <c r="H4721" t="inlineStr">
        <is>
          <t>EU_JD</t>
        </is>
      </c>
      <c r="I4721" t="inlineStr">
        <is>
          <t>2025-05</t>
        </is>
      </c>
      <c r="J4721" t="n">
        <v>1</v>
      </c>
      <c r="K4721" t="n">
        <v>1</v>
      </c>
      <c r="L4721" s="34">
        <f>IF($J4721=1,LN(B4722/B4721),"")</f>
        <v/>
      </c>
      <c r="M4721" s="34">
        <f>IF($K4721=1,INDEX(Mensal!$D$2:$D$245,MATCH($I4721,Mensal!$A$2:$A$245,0)),"")</f>
        <v/>
      </c>
      <c r="N4721" s="34">
        <f>IF($K4721=1,L4721-M4721,"")</f>
        <v/>
      </c>
      <c r="O4721" s="34" t="n">
        <v>0.00054266</v>
      </c>
      <c r="P4721" s="34">
        <f>IF($J4721=1,LN(1+O4721),"")</f>
        <v/>
      </c>
      <c r="Q4721" s="34">
        <f>IF($J4721=1,LN(R4722/R4721),"")</f>
        <v/>
      </c>
      <c r="R4721" s="32" t="n">
        <v>5.6511</v>
      </c>
      <c r="S4721" s="35" t="n">
        <v>14.63</v>
      </c>
      <c r="T4721" s="18" t="n">
        <v>136511.88</v>
      </c>
      <c r="U4721" s="18" t="n"/>
      <c r="V4721" s="18" t="n"/>
      <c r="W4721" s="18" t="n"/>
      <c r="X4721" s="35" t="n"/>
      <c r="Y4721" s="35" t="n">
        <v>14.63</v>
      </c>
    </row>
    <row r="4722">
      <c r="A4722" s="25" t="n">
        <v>45789</v>
      </c>
      <c r="B4722" s="18" t="n">
        <v>136563.18</v>
      </c>
      <c r="C4722" s="31" t="n"/>
      <c r="D4722" s="32" t="n"/>
      <c r="E4722" s="33" t="n">
        <v>-0.1259</v>
      </c>
      <c r="F4722" t="inlineStr">
        <is>
          <t>Up</t>
        </is>
      </c>
      <c r="G4722" t="inlineStr">
        <is>
          <t>Down</t>
        </is>
      </c>
      <c r="H4722" t="inlineStr">
        <is>
          <t>EU_JD</t>
        </is>
      </c>
      <c r="I4722" t="inlineStr">
        <is>
          <t>2025-05</t>
        </is>
      </c>
      <c r="J4722" t="n">
        <v>1</v>
      </c>
      <c r="K4722" t="n">
        <v>1</v>
      </c>
      <c r="L4722" s="34">
        <f>IF($J4722=1,LN(B4723/B4722),"")</f>
        <v/>
      </c>
      <c r="M4722" s="34">
        <f>IF($K4722=1,INDEX(Mensal!$D$2:$D$245,MATCH($I4722,Mensal!$A$2:$A$245,0)),"")</f>
        <v/>
      </c>
      <c r="N4722" s="34">
        <f>IF($K4722=1,L4722-M4722,"")</f>
        <v/>
      </c>
      <c r="O4722" s="34" t="n">
        <v>0.00054266</v>
      </c>
      <c r="P4722" s="34">
        <f>IF($J4722=1,LN(1+O4722),"")</f>
        <v/>
      </c>
      <c r="Q4722" s="34">
        <f>IF($J4722=1,LN(R4723/R4722),"")</f>
        <v/>
      </c>
      <c r="R4722" s="32" t="n">
        <v>5.6822</v>
      </c>
      <c r="S4722" s="35" t="n">
        <v>14.64</v>
      </c>
      <c r="T4722" s="18" t="n">
        <v>136563.18</v>
      </c>
      <c r="U4722" s="18" t="n"/>
      <c r="V4722" s="18" t="n"/>
      <c r="W4722" s="18" t="n"/>
      <c r="X4722" s="35" t="n"/>
      <c r="Y4722" s="35" t="n">
        <v>14.64</v>
      </c>
    </row>
    <row r="4723">
      <c r="A4723" s="25" t="n">
        <v>45790</v>
      </c>
      <c r="B4723" s="18" t="n">
        <v>138963.11</v>
      </c>
      <c r="C4723" s="31" t="n"/>
      <c r="D4723" s="32" t="n"/>
      <c r="E4723" s="33" t="n">
        <v>-0.1588</v>
      </c>
      <c r="F4723" t="inlineStr">
        <is>
          <t>Up</t>
        </is>
      </c>
      <c r="G4723" t="inlineStr">
        <is>
          <t>Down</t>
        </is>
      </c>
      <c r="H4723" t="inlineStr">
        <is>
          <t>EU_JD</t>
        </is>
      </c>
      <c r="I4723" t="inlineStr">
        <is>
          <t>2025-05</t>
        </is>
      </c>
      <c r="J4723" t="n">
        <v>1</v>
      </c>
      <c r="K4723" t="n">
        <v>1</v>
      </c>
      <c r="L4723" s="34">
        <f>IF($J4723=1,LN(B4724/B4723),"")</f>
        <v/>
      </c>
      <c r="M4723" s="34">
        <f>IF($K4723=1,INDEX(Mensal!$D$2:$D$245,MATCH($I4723,Mensal!$A$2:$A$245,0)),"")</f>
        <v/>
      </c>
      <c r="N4723" s="34">
        <f>IF($K4723=1,L4723-M4723,"")</f>
        <v/>
      </c>
      <c r="O4723" s="34" t="n">
        <v>0.00054266</v>
      </c>
      <c r="P4723" s="34">
        <f>IF($J4723=1,LN(1+O4723),"")</f>
        <v/>
      </c>
      <c r="Q4723" s="34">
        <f>IF($J4723=1,LN(R4724/R4723),"")</f>
        <v/>
      </c>
      <c r="R4723" s="32" t="n">
        <v>5.6262</v>
      </c>
      <c r="S4723" s="35" t="n">
        <v>14.63</v>
      </c>
      <c r="T4723" s="18" t="n">
        <v>138963.11</v>
      </c>
      <c r="U4723" s="18" t="n"/>
      <c r="V4723" s="18" t="n"/>
      <c r="W4723" s="18" t="n"/>
      <c r="X4723" s="35" t="n"/>
      <c r="Y4723" s="35" t="n">
        <v>14.63</v>
      </c>
    </row>
    <row r="4724">
      <c r="A4724" s="25" t="n">
        <v>45791</v>
      </c>
      <c r="B4724" s="18" t="n">
        <v>138422.84</v>
      </c>
      <c r="C4724" s="31" t="n"/>
      <c r="D4724" s="32" t="n"/>
      <c r="E4724" s="33" t="n">
        <v>-0.1933</v>
      </c>
      <c r="F4724" t="inlineStr">
        <is>
          <t>Up</t>
        </is>
      </c>
      <c r="G4724" t="inlineStr">
        <is>
          <t>Down</t>
        </is>
      </c>
      <c r="H4724" t="inlineStr">
        <is>
          <t>EU_JD</t>
        </is>
      </c>
      <c r="I4724" t="inlineStr">
        <is>
          <t>2025-05</t>
        </is>
      </c>
      <c r="J4724" t="n">
        <v>1</v>
      </c>
      <c r="K4724" t="n">
        <v>1</v>
      </c>
      <c r="L4724" s="34">
        <f>IF($J4724=1,LN(B4725/B4724),"")</f>
        <v/>
      </c>
      <c r="M4724" s="34">
        <f>IF($K4724=1,INDEX(Mensal!$D$2:$D$245,MATCH($I4724,Mensal!$A$2:$A$245,0)),"")</f>
        <v/>
      </c>
      <c r="N4724" s="34">
        <f>IF($K4724=1,L4724-M4724,"")</f>
        <v/>
      </c>
      <c r="O4724" s="34" t="n">
        <v>0.00054266</v>
      </c>
      <c r="P4724" s="34">
        <f>IF($J4724=1,LN(1+O4724),"")</f>
        <v/>
      </c>
      <c r="Q4724" s="34">
        <f>IF($J4724=1,LN(R4725/R4724),"")</f>
        <v/>
      </c>
      <c r="R4724" s="32" t="n">
        <v>5.61</v>
      </c>
      <c r="S4724" s="35" t="n">
        <v>14.67</v>
      </c>
      <c r="T4724" s="18" t="n">
        <v>138422.84</v>
      </c>
      <c r="U4724" s="18" t="n"/>
      <c r="V4724" s="18" t="n"/>
      <c r="W4724" s="18" t="n"/>
      <c r="X4724" s="35" t="n"/>
      <c r="Y4724" s="35" t="n">
        <v>14.67</v>
      </c>
    </row>
    <row r="4725">
      <c r="A4725" s="25" t="n">
        <v>45792</v>
      </c>
      <c r="B4725" s="18" t="n">
        <v>139334.38</v>
      </c>
      <c r="C4725" s="31" t="n"/>
      <c r="D4725" s="32" t="n"/>
      <c r="E4725" s="33" t="n">
        <v>-0.2345</v>
      </c>
      <c r="F4725" t="inlineStr">
        <is>
          <t>Up</t>
        </is>
      </c>
      <c r="G4725" t="inlineStr">
        <is>
          <t>Down</t>
        </is>
      </c>
      <c r="H4725" t="inlineStr">
        <is>
          <t>EU_JD</t>
        </is>
      </c>
      <c r="I4725" t="inlineStr">
        <is>
          <t>2025-05</t>
        </is>
      </c>
      <c r="J4725" t="n">
        <v>1</v>
      </c>
      <c r="K4725" t="n">
        <v>1</v>
      </c>
      <c r="L4725" s="34">
        <f>IF($J4725=1,LN(B4726/B4725),"")</f>
        <v/>
      </c>
      <c r="M4725" s="34">
        <f>IF($K4725=1,INDEX(Mensal!$D$2:$D$245,MATCH($I4725,Mensal!$A$2:$A$245,0)),"")</f>
        <v/>
      </c>
      <c r="N4725" s="34">
        <f>IF($K4725=1,L4725-M4725,"")</f>
        <v/>
      </c>
      <c r="O4725" s="34" t="n">
        <v>0.00054266</v>
      </c>
      <c r="P4725" s="34">
        <f>IF($J4725=1,LN(1+O4725),"")</f>
        <v/>
      </c>
      <c r="Q4725" s="34">
        <f>IF($J4725=1,LN(R4726/R4725),"")</f>
        <v/>
      </c>
      <c r="R4725" s="32" t="n">
        <v>5.6328</v>
      </c>
      <c r="S4725" s="35" t="n">
        <v>14.69</v>
      </c>
      <c r="T4725" s="18" t="n">
        <v>139334.38</v>
      </c>
      <c r="U4725" s="18" t="n"/>
      <c r="V4725" s="18" t="n"/>
      <c r="W4725" s="18" t="n"/>
      <c r="X4725" s="35" t="n"/>
      <c r="Y4725" s="35" t="n">
        <v>14.69</v>
      </c>
    </row>
    <row r="4726">
      <c r="A4726" s="25" t="n">
        <v>45793</v>
      </c>
      <c r="B4726" s="18" t="n">
        <v>139187.39</v>
      </c>
      <c r="C4726" s="31" t="n"/>
      <c r="D4726" s="32" t="n"/>
      <c r="E4726" s="33" t="n">
        <v>-0.2832</v>
      </c>
      <c r="F4726" t="inlineStr">
        <is>
          <t>Up</t>
        </is>
      </c>
      <c r="G4726" t="inlineStr">
        <is>
          <t>Down</t>
        </is>
      </c>
      <c r="H4726" t="inlineStr">
        <is>
          <t>EU_JD</t>
        </is>
      </c>
      <c r="I4726" t="inlineStr">
        <is>
          <t>2025-05</t>
        </is>
      </c>
      <c r="J4726" t="n">
        <v>1</v>
      </c>
      <c r="K4726" t="n">
        <v>1</v>
      </c>
      <c r="L4726" s="34">
        <f>IF($J4726=1,LN(B4727/B4726),"")</f>
        <v/>
      </c>
      <c r="M4726" s="34">
        <f>IF($K4726=1,INDEX(Mensal!$D$2:$D$245,MATCH($I4726,Mensal!$A$2:$A$245,0)),"")</f>
        <v/>
      </c>
      <c r="N4726" s="34">
        <f>IF($K4726=1,L4726-M4726,"")</f>
        <v/>
      </c>
      <c r="O4726" s="34" t="n">
        <v>0.00054266</v>
      </c>
      <c r="P4726" s="34">
        <f>IF($J4726=1,LN(1+O4726),"")</f>
        <v/>
      </c>
      <c r="Q4726" s="34">
        <f>IF($J4726=1,LN(R4727/R4726),"")</f>
        <v/>
      </c>
      <c r="R4726" s="32" t="n">
        <v>5.6925</v>
      </c>
      <c r="S4726" s="35" t="n">
        <v>14.58</v>
      </c>
      <c r="T4726" s="18" t="n">
        <v>139187.39</v>
      </c>
      <c r="U4726" s="18" t="n"/>
      <c r="V4726" s="18" t="n"/>
      <c r="W4726" s="18" t="n"/>
      <c r="X4726" s="35" t="n"/>
      <c r="Y4726" s="35" t="n">
        <v>14.58</v>
      </c>
    </row>
    <row r="4727">
      <c r="A4727" s="25" t="n">
        <v>45796</v>
      </c>
      <c r="B4727" s="18" t="n">
        <v>139636.41</v>
      </c>
      <c r="C4727" s="31" t="n"/>
      <c r="D4727" s="32" t="n"/>
      <c r="E4727" s="33" t="n">
        <v>-0.3268</v>
      </c>
      <c r="F4727" t="inlineStr">
        <is>
          <t>Up</t>
        </is>
      </c>
      <c r="G4727" t="inlineStr">
        <is>
          <t>Down</t>
        </is>
      </c>
      <c r="H4727" t="inlineStr">
        <is>
          <t>EU_JD</t>
        </is>
      </c>
      <c r="I4727" t="inlineStr">
        <is>
          <t>2025-05</t>
        </is>
      </c>
      <c r="J4727" t="n">
        <v>1</v>
      </c>
      <c r="K4727" t="n">
        <v>1</v>
      </c>
      <c r="L4727" s="34">
        <f>IF($J4727=1,LN(B4728/B4727),"")</f>
        <v/>
      </c>
      <c r="M4727" s="34">
        <f>IF($K4727=1,INDEX(Mensal!$D$2:$D$245,MATCH($I4727,Mensal!$A$2:$A$245,0)),"")</f>
        <v/>
      </c>
      <c r="N4727" s="34">
        <f>IF($K4727=1,L4727-M4727,"")</f>
        <v/>
      </c>
      <c r="O4727" s="34" t="n">
        <v>0.00054266</v>
      </c>
      <c r="P4727" s="34">
        <f>IF($J4727=1,LN(1+O4727),"")</f>
        <v/>
      </c>
      <c r="Q4727" s="34">
        <f>IF($J4727=1,LN(R4728/R4727),"")</f>
        <v/>
      </c>
      <c r="R4727" s="32" t="n">
        <v>5.6591</v>
      </c>
      <c r="S4727" s="35" t="n">
        <v>14.52</v>
      </c>
      <c r="T4727" s="18" t="n">
        <v>139636.41</v>
      </c>
      <c r="U4727" s="18" t="n"/>
      <c r="V4727" s="18" t="n"/>
      <c r="W4727" s="18" t="n"/>
      <c r="X4727" s="35" t="n"/>
      <c r="Y4727" s="35" t="n">
        <v>14.52</v>
      </c>
    </row>
    <row r="4728">
      <c r="A4728" s="25" t="n">
        <v>45797</v>
      </c>
      <c r="B4728" s="18" t="n">
        <v>140109.63</v>
      </c>
      <c r="C4728" s="31" t="n"/>
      <c r="D4728" s="32" t="n"/>
      <c r="E4728" s="33" t="n">
        <v>-0.3697</v>
      </c>
      <c r="F4728" t="inlineStr">
        <is>
          <t>Up</t>
        </is>
      </c>
      <c r="G4728" t="inlineStr">
        <is>
          <t>Down</t>
        </is>
      </c>
      <c r="H4728" t="inlineStr">
        <is>
          <t>EU_JD</t>
        </is>
      </c>
      <c r="I4728" t="inlineStr">
        <is>
          <t>2025-05</t>
        </is>
      </c>
      <c r="J4728" t="n">
        <v>1</v>
      </c>
      <c r="K4728" t="n">
        <v>1</v>
      </c>
      <c r="L4728" s="34">
        <f>IF($J4728=1,LN(B4729/B4728),"")</f>
        <v/>
      </c>
      <c r="M4728" s="34">
        <f>IF($K4728=1,INDEX(Mensal!$D$2:$D$245,MATCH($I4728,Mensal!$A$2:$A$245,0)),"")</f>
        <v/>
      </c>
      <c r="N4728" s="34">
        <f>IF($K4728=1,L4728-M4728,"")</f>
        <v/>
      </c>
      <c r="O4728" s="34" t="n">
        <v>0.00054266</v>
      </c>
      <c r="P4728" s="34">
        <f>IF($J4728=1,LN(1+O4728),"")</f>
        <v/>
      </c>
      <c r="Q4728" s="34">
        <f>IF($J4728=1,LN(R4729/R4728),"")</f>
        <v/>
      </c>
      <c r="R4728" s="32" t="n">
        <v>5.662</v>
      </c>
      <c r="S4728" s="35" t="n">
        <v>14.56</v>
      </c>
      <c r="T4728" s="18" t="n">
        <v>140109.63</v>
      </c>
      <c r="U4728" s="18" t="n"/>
      <c r="V4728" s="18" t="n"/>
      <c r="W4728" s="18" t="n"/>
      <c r="X4728" s="35" t="n"/>
      <c r="Y4728" s="35" t="n">
        <v>14.56</v>
      </c>
    </row>
    <row r="4729">
      <c r="A4729" s="25" t="n">
        <v>45798</v>
      </c>
      <c r="B4729" s="18" t="n">
        <v>137881.27</v>
      </c>
      <c r="C4729" s="31" t="n"/>
      <c r="D4729" s="32" t="n"/>
      <c r="E4729" s="33" t="n">
        <v>-0.4107</v>
      </c>
      <c r="F4729" t="inlineStr">
        <is>
          <t>Up</t>
        </is>
      </c>
      <c r="G4729" t="inlineStr">
        <is>
          <t>Down</t>
        </is>
      </c>
      <c r="H4729" t="inlineStr">
        <is>
          <t>EU_JD</t>
        </is>
      </c>
      <c r="I4729" t="inlineStr">
        <is>
          <t>2025-05</t>
        </is>
      </c>
      <c r="J4729" t="n">
        <v>1</v>
      </c>
      <c r="K4729" t="n">
        <v>1</v>
      </c>
      <c r="L4729" s="34">
        <f>IF($J4729=1,LN(B4730/B4729),"")</f>
        <v/>
      </c>
      <c r="M4729" s="34">
        <f>IF($K4729=1,INDEX(Mensal!$D$2:$D$245,MATCH($I4729,Mensal!$A$2:$A$245,0)),"")</f>
        <v/>
      </c>
      <c r="N4729" s="34">
        <f>IF($K4729=1,L4729-M4729,"")</f>
        <v/>
      </c>
      <c r="O4729" s="34" t="n">
        <v>0.00054266</v>
      </c>
      <c r="P4729" s="34">
        <f>IF($J4729=1,LN(1+O4729),"")</f>
        <v/>
      </c>
      <c r="Q4729" s="34">
        <f>IF($J4729=1,LN(R4730/R4729),"")</f>
        <v/>
      </c>
      <c r="R4729" s="32" t="n">
        <v>5.6571</v>
      </c>
      <c r="S4729" s="35" t="n">
        <v>14.59</v>
      </c>
      <c r="T4729" s="18" t="n">
        <v>137881.27</v>
      </c>
      <c r="U4729" s="18" t="n"/>
      <c r="V4729" s="18" t="n"/>
      <c r="W4729" s="18" t="n"/>
      <c r="X4729" s="35" t="n"/>
      <c r="Y4729" s="35" t="n">
        <v>14.59</v>
      </c>
    </row>
    <row r="4730">
      <c r="A4730" s="25" t="n">
        <v>45799</v>
      </c>
      <c r="B4730" s="18" t="n">
        <v>137272.59</v>
      </c>
      <c r="C4730" s="31" t="n"/>
      <c r="D4730" s="32" t="n"/>
      <c r="E4730" s="33" t="n">
        <v>-0.4484</v>
      </c>
      <c r="F4730" t="inlineStr">
        <is>
          <t>Up</t>
        </is>
      </c>
      <c r="G4730" t="inlineStr">
        <is>
          <t>Down</t>
        </is>
      </c>
      <c r="H4730" t="inlineStr">
        <is>
          <t>EU_JD</t>
        </is>
      </c>
      <c r="I4730" t="inlineStr">
        <is>
          <t>2025-05</t>
        </is>
      </c>
      <c r="J4730" t="n">
        <v>1</v>
      </c>
      <c r="K4730" t="n">
        <v>1</v>
      </c>
      <c r="L4730" s="34">
        <f>IF($J4730=1,LN(B4731/B4730),"")</f>
        <v/>
      </c>
      <c r="M4730" s="34">
        <f>IF($K4730=1,INDEX(Mensal!$D$2:$D$245,MATCH($I4730,Mensal!$A$2:$A$245,0)),"")</f>
        <v/>
      </c>
      <c r="N4730" s="34">
        <f>IF($K4730=1,L4730-M4730,"")</f>
        <v/>
      </c>
      <c r="O4730" s="34" t="n">
        <v>0.00054266</v>
      </c>
      <c r="P4730" s="34">
        <f>IF($J4730=1,LN(1+O4730),"")</f>
        <v/>
      </c>
      <c r="Q4730" s="34">
        <f>IF($J4730=1,LN(R4731/R4730),"")</f>
        <v/>
      </c>
      <c r="R4730" s="32" t="n">
        <v>5.639</v>
      </c>
      <c r="S4730" s="35" t="n">
        <v>14.57</v>
      </c>
      <c r="T4730" s="18" t="n">
        <v>137272.59</v>
      </c>
      <c r="U4730" s="18" t="n"/>
      <c r="V4730" s="18" t="n"/>
      <c r="W4730" s="18" t="n"/>
      <c r="X4730" s="35" t="n"/>
      <c r="Y4730" s="35" t="n">
        <v>14.57</v>
      </c>
    </row>
    <row r="4731">
      <c r="A4731" s="25" t="n">
        <v>45800</v>
      </c>
      <c r="B4731" s="18" t="n">
        <v>137824.29</v>
      </c>
      <c r="C4731" s="31" t="n"/>
      <c r="D4731" s="32" t="n"/>
      <c r="E4731" s="33" t="n">
        <v>-0.4755</v>
      </c>
      <c r="F4731" t="inlineStr">
        <is>
          <t>Up</t>
        </is>
      </c>
      <c r="G4731" t="inlineStr">
        <is>
          <t>Down</t>
        </is>
      </c>
      <c r="H4731" t="inlineStr">
        <is>
          <t>EU_JD</t>
        </is>
      </c>
      <c r="I4731" t="inlineStr">
        <is>
          <t>2025-05</t>
        </is>
      </c>
      <c r="J4731" t="n">
        <v>1</v>
      </c>
      <c r="K4731" t="n">
        <v>1</v>
      </c>
      <c r="L4731" s="34">
        <f>IF($J4731=1,LN(B4732/B4731),"")</f>
        <v/>
      </c>
      <c r="M4731" s="34">
        <f>IF($K4731=1,INDEX(Mensal!$D$2:$D$245,MATCH($I4731,Mensal!$A$2:$A$245,0)),"")</f>
        <v/>
      </c>
      <c r="N4731" s="34">
        <f>IF($K4731=1,L4731-M4731,"")</f>
        <v/>
      </c>
      <c r="O4731" s="34" t="n">
        <v>0.00054266</v>
      </c>
      <c r="P4731" s="34">
        <f>IF($J4731=1,LN(1+O4731),"")</f>
        <v/>
      </c>
      <c r="Q4731" s="34">
        <f>IF($J4731=1,LN(R4732/R4731),"")</f>
        <v/>
      </c>
      <c r="R4731" s="32" t="n">
        <v>5.6932</v>
      </c>
      <c r="S4731" s="35" t="n">
        <v>14.56</v>
      </c>
      <c r="T4731" s="18" t="n">
        <v>137824.29</v>
      </c>
      <c r="U4731" s="18" t="n"/>
      <c r="V4731" s="18" t="n"/>
      <c r="W4731" s="18" t="n"/>
      <c r="X4731" s="35" t="n"/>
      <c r="Y4731" s="35" t="n">
        <v>14.56</v>
      </c>
    </row>
    <row r="4732">
      <c r="A4732" s="25" t="n">
        <v>45803</v>
      </c>
      <c r="B4732" s="18" t="n">
        <v>138136.14</v>
      </c>
      <c r="C4732" s="31" t="n"/>
      <c r="D4732" s="32" t="n"/>
      <c r="E4732" s="33" t="n">
        <v>-0.4989</v>
      </c>
      <c r="F4732" t="inlineStr">
        <is>
          <t>Up</t>
        </is>
      </c>
      <c r="G4732" t="inlineStr">
        <is>
          <t>Down</t>
        </is>
      </c>
      <c r="H4732" t="inlineStr">
        <is>
          <t>EU_JD</t>
        </is>
      </c>
      <c r="I4732" t="inlineStr">
        <is>
          <t>2025-05</t>
        </is>
      </c>
      <c r="J4732" t="n">
        <v>1</v>
      </c>
      <c r="K4732" t="n">
        <v>1</v>
      </c>
      <c r="L4732" s="34">
        <f>IF($J4732=1,LN(B4733/B4732),"")</f>
        <v/>
      </c>
      <c r="M4732" s="34">
        <f>IF($K4732=1,INDEX(Mensal!$D$2:$D$245,MATCH($I4732,Mensal!$A$2:$A$245,0)),"")</f>
        <v/>
      </c>
      <c r="N4732" s="34">
        <f>IF($K4732=1,L4732-M4732,"")</f>
        <v/>
      </c>
      <c r="O4732" s="34" t="n">
        <v>0.00054266</v>
      </c>
      <c r="P4732" s="34">
        <f>IF($J4732=1,LN(1+O4732),"")</f>
        <v/>
      </c>
      <c r="Q4732" s="34">
        <f>IF($J4732=1,LN(R4733/R4732),"")</f>
        <v/>
      </c>
      <c r="R4732" s="32" t="n">
        <v>5.6619</v>
      </c>
      <c r="S4732" s="35" t="n">
        <v>14.52</v>
      </c>
      <c r="T4732" s="18" t="n">
        <v>138136.14</v>
      </c>
      <c r="U4732" s="18" t="n"/>
      <c r="V4732" s="18" t="n"/>
      <c r="W4732" s="18" t="n"/>
      <c r="X4732" s="35" t="n"/>
      <c r="Y4732" s="35" t="n">
        <v>14.52</v>
      </c>
    </row>
    <row r="4733">
      <c r="A4733" s="25" t="n">
        <v>45804</v>
      </c>
      <c r="B4733" s="18" t="n">
        <v>139541.23</v>
      </c>
      <c r="C4733" s="31" t="n"/>
      <c r="D4733" s="32" t="n"/>
      <c r="E4733" s="33" t="n">
        <v>-0.5242</v>
      </c>
      <c r="F4733" t="inlineStr">
        <is>
          <t>Up</t>
        </is>
      </c>
      <c r="G4733" t="inlineStr">
        <is>
          <t>Down</t>
        </is>
      </c>
      <c r="H4733" t="inlineStr">
        <is>
          <t>EU_JD</t>
        </is>
      </c>
      <c r="I4733" t="inlineStr">
        <is>
          <t>2025-05</t>
        </is>
      </c>
      <c r="J4733" t="n">
        <v>1</v>
      </c>
      <c r="K4733" t="n">
        <v>1</v>
      </c>
      <c r="L4733" s="34">
        <f>IF($J4733=1,LN(B4734/B4733),"")</f>
        <v/>
      </c>
      <c r="M4733" s="34">
        <f>IF($K4733=1,INDEX(Mensal!$D$2:$D$245,MATCH($I4733,Mensal!$A$2:$A$245,0)),"")</f>
        <v/>
      </c>
      <c r="N4733" s="34">
        <f>IF($K4733=1,L4733-M4733,"")</f>
        <v/>
      </c>
      <c r="O4733" s="34" t="n">
        <v>0.00054266</v>
      </c>
      <c r="P4733" s="34">
        <f>IF($J4733=1,LN(1+O4733),"")</f>
        <v/>
      </c>
      <c r="Q4733" s="34">
        <f>IF($J4733=1,LN(R4734/R4733),"")</f>
        <v/>
      </c>
      <c r="R4733" s="32" t="n">
        <v>5.6539</v>
      </c>
      <c r="S4733" s="35" t="n">
        <v>14.46</v>
      </c>
      <c r="T4733" s="18" t="n">
        <v>139541.23</v>
      </c>
      <c r="U4733" s="18" t="n"/>
      <c r="V4733" s="18" t="n"/>
      <c r="W4733" s="18" t="n"/>
      <c r="X4733" s="35" t="n"/>
      <c r="Y4733" s="35" t="n">
        <v>14.46</v>
      </c>
    </row>
    <row r="4734">
      <c r="A4734" s="25" t="n">
        <v>45805</v>
      </c>
      <c r="B4734" s="18" t="n">
        <v>138887.81</v>
      </c>
      <c r="C4734" s="31" t="n"/>
      <c r="D4734" s="32" t="n"/>
      <c r="E4734" s="33" t="n">
        <v>-0.5429</v>
      </c>
      <c r="F4734" t="inlineStr">
        <is>
          <t>Up</t>
        </is>
      </c>
      <c r="G4734" t="inlineStr">
        <is>
          <t>Down</t>
        </is>
      </c>
      <c r="H4734" t="inlineStr">
        <is>
          <t>EU_JD</t>
        </is>
      </c>
      <c r="I4734" t="inlineStr">
        <is>
          <t>2025-05</t>
        </is>
      </c>
      <c r="J4734" t="n">
        <v>1</v>
      </c>
      <c r="K4734" t="n">
        <v>1</v>
      </c>
      <c r="L4734" s="34">
        <f>IF($J4734=1,LN(B4735/B4734),"")</f>
        <v/>
      </c>
      <c r="M4734" s="34">
        <f>IF($K4734=1,INDEX(Mensal!$D$2:$D$245,MATCH($I4734,Mensal!$A$2:$A$245,0)),"")</f>
        <v/>
      </c>
      <c r="N4734" s="34">
        <f>IF($K4734=1,L4734-M4734,"")</f>
        <v/>
      </c>
      <c r="O4734" s="34" t="n">
        <v>0.00054266</v>
      </c>
      <c r="P4734" s="34">
        <f>IF($J4734=1,LN(1+O4734),"")</f>
        <v/>
      </c>
      <c r="Q4734" s="34">
        <f>IF($J4734=1,LN(R4735/R4734),"")</f>
        <v/>
      </c>
      <c r="R4734" s="32" t="n">
        <v>5.6936</v>
      </c>
      <c r="S4734" s="35" t="n">
        <v>14.51</v>
      </c>
      <c r="T4734" s="18" t="n">
        <v>138887.81</v>
      </c>
      <c r="U4734" s="18" t="n"/>
      <c r="V4734" s="18" t="n"/>
      <c r="W4734" s="18" t="n"/>
      <c r="X4734" s="35" t="n"/>
      <c r="Y4734" s="35" t="n">
        <v>14.51</v>
      </c>
    </row>
    <row r="4735">
      <c r="A4735" s="25" t="n">
        <v>45806</v>
      </c>
      <c r="B4735" s="18" t="n">
        <v>138533.7</v>
      </c>
      <c r="C4735" s="31" t="n"/>
      <c r="D4735" s="32" t="n"/>
      <c r="E4735" s="33" t="n">
        <v>-0.5636</v>
      </c>
      <c r="F4735" t="inlineStr">
        <is>
          <t>Up</t>
        </is>
      </c>
      <c r="G4735" t="inlineStr">
        <is>
          <t>Down</t>
        </is>
      </c>
      <c r="H4735" t="inlineStr">
        <is>
          <t>EU_JD</t>
        </is>
      </c>
      <c r="I4735" t="inlineStr">
        <is>
          <t>2025-05</t>
        </is>
      </c>
      <c r="J4735" t="n">
        <v>1</v>
      </c>
      <c r="K4735" t="n">
        <v>1</v>
      </c>
      <c r="L4735" s="34">
        <f>IF($J4735=1,LN(B4736/B4735),"")</f>
        <v/>
      </c>
      <c r="M4735" s="34">
        <f>IF($K4735=1,INDEX(Mensal!$D$2:$D$245,MATCH($I4735,Mensal!$A$2:$A$245,0)),"")</f>
        <v/>
      </c>
      <c r="N4735" s="34">
        <f>IF($K4735=1,L4735-M4735,"")</f>
        <v/>
      </c>
      <c r="O4735" s="34" t="n">
        <v>0.00054266</v>
      </c>
      <c r="P4735" s="34">
        <f>IF($J4735=1,LN(1+O4735),"")</f>
        <v/>
      </c>
      <c r="Q4735" s="34">
        <f>IF($J4735=1,LN(R4736/R4735),"")</f>
        <v/>
      </c>
      <c r="R4735" s="32" t="n">
        <v>5.6559</v>
      </c>
      <c r="S4735" s="35" t="n">
        <v>14.56</v>
      </c>
      <c r="T4735" s="18" t="n">
        <v>138533.7</v>
      </c>
      <c r="U4735" s="18" t="n"/>
      <c r="V4735" s="18" t="n"/>
      <c r="W4735" s="18" t="n"/>
      <c r="X4735" s="35" t="n"/>
      <c r="Y4735" s="35" t="n">
        <v>14.56</v>
      </c>
    </row>
    <row r="4736">
      <c r="A4736" s="25" t="n">
        <v>45807</v>
      </c>
      <c r="B4736" s="18" t="n">
        <v>137026.62</v>
      </c>
      <c r="C4736" s="31" t="n"/>
      <c r="D4736" s="32" t="n"/>
      <c r="E4736" s="33" t="n">
        <v>-0.5810999999999999</v>
      </c>
      <c r="F4736" t="inlineStr">
        <is>
          <t>Up</t>
        </is>
      </c>
      <c r="G4736" t="inlineStr">
        <is>
          <t>Down</t>
        </is>
      </c>
      <c r="H4736" t="inlineStr">
        <is>
          <t>EU_JD</t>
        </is>
      </c>
      <c r="I4736" t="inlineStr">
        <is>
          <t>2025-05</t>
        </is>
      </c>
      <c r="J4736" t="n">
        <v>1</v>
      </c>
      <c r="K4736" t="n">
        <v>1</v>
      </c>
      <c r="L4736" s="34">
        <f>IF($J4736=1,LN(B4737/B4736),"")</f>
        <v/>
      </c>
      <c r="M4736" s="34">
        <f>IF($K4736=1,INDEX(Mensal!$D$2:$D$245,MATCH($I4736,Mensal!$A$2:$A$245,0)),"")</f>
        <v/>
      </c>
      <c r="N4736" s="34">
        <f>IF($K4736=1,L4736-M4736,"")</f>
        <v/>
      </c>
      <c r="O4736" s="34" t="n">
        <v>0.00054266</v>
      </c>
      <c r="P4736" s="34">
        <f>IF($J4736=1,LN(1+O4736),"")</f>
        <v/>
      </c>
      <c r="Q4736" s="34">
        <f>IF($J4736=1,LN(R4737/R4736),"")</f>
        <v/>
      </c>
      <c r="R4736" s="32" t="n">
        <v>5.7087</v>
      </c>
      <c r="S4736" s="35" t="n">
        <v>14.64</v>
      </c>
      <c r="T4736" s="18" t="n">
        <v>137026.62</v>
      </c>
      <c r="U4736" s="18" t="n"/>
      <c r="V4736" s="18" t="n"/>
      <c r="W4736" s="18" t="n"/>
      <c r="X4736" s="35" t="n"/>
      <c r="Y4736" s="35" t="n">
        <v>14.64</v>
      </c>
    </row>
    <row r="4737">
      <c r="A4737" s="25" t="n">
        <v>45810</v>
      </c>
      <c r="B4737" s="18" t="n">
        <v>136786.65</v>
      </c>
      <c r="C4737" s="31" t="n"/>
      <c r="D4737" s="32" t="n"/>
      <c r="E4737" s="33" t="n">
        <v>-0.6002999999999999</v>
      </c>
      <c r="F4737" t="inlineStr">
        <is>
          <t>Up</t>
        </is>
      </c>
      <c r="G4737" t="inlineStr">
        <is>
          <t>Down</t>
        </is>
      </c>
      <c r="H4737" t="inlineStr">
        <is>
          <t>EU_JD</t>
        </is>
      </c>
      <c r="I4737" t="inlineStr">
        <is>
          <t>2025-06</t>
        </is>
      </c>
      <c r="J4737" t="n">
        <v>1</v>
      </c>
      <c r="K4737" t="n">
        <v>1</v>
      </c>
      <c r="L4737" s="34">
        <f>IF($J4737=1,LN(B4738/B4737),"")</f>
        <v/>
      </c>
      <c r="M4737" s="34">
        <f>IF($K4737=1,INDEX(Mensal!$D$2:$D$245,MATCH($I4737,Mensal!$A$2:$A$245,0)),"")</f>
        <v/>
      </c>
      <c r="N4737" s="34">
        <f>IF($K4737=1,L4737-M4737,"")</f>
        <v/>
      </c>
      <c r="O4737" s="34" t="n">
        <v>0.00054266</v>
      </c>
      <c r="P4737" s="34">
        <f>IF($J4737=1,LN(1+O4737),"")</f>
        <v/>
      </c>
      <c r="Q4737" s="34">
        <f>IF($J4737=1,LN(R4738/R4737),"")</f>
        <v/>
      </c>
      <c r="R4737" s="32" t="n">
        <v>5.6937</v>
      </c>
      <c r="S4737" s="35" t="n">
        <v>14.65</v>
      </c>
      <c r="T4737" s="18" t="n">
        <v>136786.65</v>
      </c>
      <c r="U4737" s="18" t="n"/>
      <c r="V4737" s="18" t="n"/>
      <c r="W4737" s="18" t="n"/>
      <c r="X4737" s="35" t="n"/>
      <c r="Y4737" s="35" t="n">
        <v>14.65</v>
      </c>
    </row>
    <row r="4738">
      <c r="A4738" s="25" t="n">
        <v>45811</v>
      </c>
      <c r="B4738" s="18" t="n">
        <v>137546.26</v>
      </c>
      <c r="C4738" s="31" t="n"/>
      <c r="D4738" s="32" t="n"/>
      <c r="E4738" s="33" t="n">
        <v>-0.6182</v>
      </c>
      <c r="F4738" t="inlineStr">
        <is>
          <t>Up</t>
        </is>
      </c>
      <c r="G4738" t="inlineStr">
        <is>
          <t>Down</t>
        </is>
      </c>
      <c r="H4738" t="inlineStr">
        <is>
          <t>EU_JD</t>
        </is>
      </c>
      <c r="I4738" t="inlineStr">
        <is>
          <t>2025-06</t>
        </is>
      </c>
      <c r="J4738" t="n">
        <v>1</v>
      </c>
      <c r="K4738" t="n">
        <v>1</v>
      </c>
      <c r="L4738" s="34">
        <f>IF($J4738=1,LN(B4739/B4738),"")</f>
        <v/>
      </c>
      <c r="M4738" s="34">
        <f>IF($K4738=1,INDEX(Mensal!$D$2:$D$245,MATCH($I4738,Mensal!$A$2:$A$245,0)),"")</f>
        <v/>
      </c>
      <c r="N4738" s="34">
        <f>IF($K4738=1,L4738-M4738,"")</f>
        <v/>
      </c>
      <c r="O4738" s="34" t="n">
        <v>0.00054266</v>
      </c>
      <c r="P4738" s="34">
        <f>IF($J4738=1,LN(1+O4738),"")</f>
        <v/>
      </c>
      <c r="Q4738" s="34">
        <f>IF($J4738=1,LN(R4739/R4738),"")</f>
        <v/>
      </c>
      <c r="R4738" s="32" t="n">
        <v>5.6694</v>
      </c>
      <c r="S4738" s="35" t="n">
        <v>14.67</v>
      </c>
      <c r="T4738" s="18" t="n">
        <v>137546.26</v>
      </c>
      <c r="U4738" s="18" t="n"/>
      <c r="V4738" s="18" t="n"/>
      <c r="W4738" s="18" t="n"/>
      <c r="X4738" s="35" t="n"/>
      <c r="Y4738" s="35" t="n">
        <v>14.67</v>
      </c>
    </row>
    <row r="4739">
      <c r="A4739" s="25" t="n">
        <v>45812</v>
      </c>
      <c r="B4739" s="18" t="n">
        <v>137001.58</v>
      </c>
      <c r="C4739" s="31" t="n"/>
      <c r="D4739" s="32" t="n"/>
      <c r="E4739" s="33" t="n">
        <v>-0.6484</v>
      </c>
      <c r="F4739" t="inlineStr">
        <is>
          <t>Up</t>
        </is>
      </c>
      <c r="G4739" t="inlineStr">
        <is>
          <t>Down</t>
        </is>
      </c>
      <c r="H4739" t="inlineStr">
        <is>
          <t>EU_JD</t>
        </is>
      </c>
      <c r="I4739" t="inlineStr">
        <is>
          <t>2025-06</t>
        </is>
      </c>
      <c r="J4739" t="n">
        <v>1</v>
      </c>
      <c r="K4739" t="n">
        <v>1</v>
      </c>
      <c r="L4739" s="34">
        <f>IF($J4739=1,LN(B4740/B4739),"")</f>
        <v/>
      </c>
      <c r="M4739" s="34">
        <f>IF($K4739=1,INDEX(Mensal!$D$2:$D$245,MATCH($I4739,Mensal!$A$2:$A$245,0)),"")</f>
        <v/>
      </c>
      <c r="N4739" s="34">
        <f>IF($K4739=1,L4739-M4739,"")</f>
        <v/>
      </c>
      <c r="O4739" s="34" t="n">
        <v>0.00054266</v>
      </c>
      <c r="P4739" s="34">
        <f>IF($J4739=1,LN(1+O4739),"")</f>
        <v/>
      </c>
      <c r="Q4739" s="34">
        <f>IF($J4739=1,LN(R4740/R4739),"")</f>
        <v/>
      </c>
      <c r="R4739" s="32" t="n">
        <v>5.6332</v>
      </c>
      <c r="S4739" s="35" t="n">
        <v>14.7</v>
      </c>
      <c r="T4739" s="18" t="n">
        <v>137001.58</v>
      </c>
      <c r="U4739" s="18" t="n"/>
      <c r="V4739" s="18" t="n"/>
      <c r="W4739" s="18" t="n"/>
      <c r="X4739" s="35" t="n"/>
      <c r="Y4739" s="35" t="n">
        <v>14.7</v>
      </c>
    </row>
    <row r="4740">
      <c r="A4740" s="25" t="n">
        <v>45813</v>
      </c>
      <c r="B4740" s="18" t="n">
        <v>136236.37</v>
      </c>
      <c r="C4740" s="31" t="n"/>
      <c r="D4740" s="32" t="n"/>
      <c r="E4740" s="33" t="n">
        <v>-0.6749000000000001</v>
      </c>
      <c r="F4740" t="inlineStr">
        <is>
          <t>Up</t>
        </is>
      </c>
      <c r="G4740" t="inlineStr">
        <is>
          <t>Down</t>
        </is>
      </c>
      <c r="H4740" t="inlineStr">
        <is>
          <t>EU_JD</t>
        </is>
      </c>
      <c r="I4740" t="inlineStr">
        <is>
          <t>2025-06</t>
        </is>
      </c>
      <c r="J4740" t="n">
        <v>1</v>
      </c>
      <c r="K4740" t="n">
        <v>1</v>
      </c>
      <c r="L4740" s="34">
        <f>IF($J4740=1,LN(B4741/B4740),"")</f>
        <v/>
      </c>
      <c r="M4740" s="34">
        <f>IF($K4740=1,INDEX(Mensal!$D$2:$D$245,MATCH($I4740,Mensal!$A$2:$A$245,0)),"")</f>
        <v/>
      </c>
      <c r="N4740" s="34">
        <f>IF($K4740=1,L4740-M4740,"")</f>
        <v/>
      </c>
      <c r="O4740" s="34" t="n">
        <v>0.00054266</v>
      </c>
      <c r="P4740" s="34">
        <f>IF($J4740=1,LN(1+O4740),"")</f>
        <v/>
      </c>
      <c r="Q4740" s="34">
        <f>IF($J4740=1,LN(R4741/R4740),"")</f>
        <v/>
      </c>
      <c r="R4740" s="32" t="n">
        <v>5.5969</v>
      </c>
      <c r="S4740" s="35" t="n">
        <v>14.82</v>
      </c>
      <c r="T4740" s="18" t="n">
        <v>136236.37</v>
      </c>
      <c r="U4740" s="18" t="n"/>
      <c r="V4740" s="18" t="n"/>
      <c r="W4740" s="18" t="n"/>
      <c r="X4740" s="35" t="n"/>
      <c r="Y4740" s="35" t="n">
        <v>14.82</v>
      </c>
    </row>
    <row r="4741">
      <c r="A4741" s="25" t="n">
        <v>45814</v>
      </c>
      <c r="B4741" s="18" t="n">
        <v>136102.1</v>
      </c>
      <c r="C4741" s="31" t="n"/>
      <c r="D4741" s="32" t="n"/>
      <c r="E4741" s="33" t="n">
        <v>-0.7</v>
      </c>
      <c r="F4741" t="inlineStr">
        <is>
          <t>Up</t>
        </is>
      </c>
      <c r="G4741" t="inlineStr">
        <is>
          <t>Down</t>
        </is>
      </c>
      <c r="H4741" t="inlineStr">
        <is>
          <t>EU_JD</t>
        </is>
      </c>
      <c r="I4741" t="inlineStr">
        <is>
          <t>2025-06</t>
        </is>
      </c>
      <c r="J4741" t="n">
        <v>1</v>
      </c>
      <c r="K4741" t="n">
        <v>1</v>
      </c>
      <c r="L4741" s="34">
        <f>IF($J4741=1,LN(B4742/B4741),"")</f>
        <v/>
      </c>
      <c r="M4741" s="34">
        <f>IF($K4741=1,INDEX(Mensal!$D$2:$D$245,MATCH($I4741,Mensal!$A$2:$A$245,0)),"")</f>
        <v/>
      </c>
      <c r="N4741" s="34">
        <f>IF($K4741=1,L4741-M4741,"")</f>
        <v/>
      </c>
      <c r="O4741" s="34" t="n">
        <v>0.00054266</v>
      </c>
      <c r="P4741" s="34">
        <f>IF($J4741=1,LN(1+O4741),"")</f>
        <v/>
      </c>
      <c r="Q4741" s="34">
        <f>IF($J4741=1,LN(R4742/R4741),"")</f>
        <v/>
      </c>
      <c r="R4741" s="32" t="n">
        <v>5.5947</v>
      </c>
      <c r="S4741" s="35" t="n">
        <v>14.8</v>
      </c>
      <c r="T4741" s="18" t="n">
        <v>136102.1</v>
      </c>
      <c r="U4741" s="18" t="n"/>
      <c r="V4741" s="18" t="n"/>
      <c r="W4741" s="18" t="n"/>
      <c r="X4741" s="35" t="n"/>
      <c r="Y4741" s="35" t="n">
        <v>14.8</v>
      </c>
    </row>
    <row r="4742">
      <c r="A4742" s="25" t="n">
        <v>45817</v>
      </c>
      <c r="B4742" s="18" t="n">
        <v>135699.38</v>
      </c>
      <c r="C4742" s="31" t="n"/>
      <c r="D4742" s="32" t="n"/>
      <c r="E4742" s="33" t="n">
        <v>-0.7336</v>
      </c>
      <c r="F4742" t="inlineStr">
        <is>
          <t>Up</t>
        </is>
      </c>
      <c r="G4742" t="inlineStr">
        <is>
          <t>Down</t>
        </is>
      </c>
      <c r="H4742" t="inlineStr">
        <is>
          <t>EU_JD</t>
        </is>
      </c>
      <c r="I4742" t="inlineStr">
        <is>
          <t>2025-06</t>
        </is>
      </c>
      <c r="J4742" t="n">
        <v>1</v>
      </c>
      <c r="K4742" t="n">
        <v>1</v>
      </c>
      <c r="L4742" s="34">
        <f>IF($J4742=1,LN(B4743/B4742),"")</f>
        <v/>
      </c>
      <c r="M4742" s="34">
        <f>IF($K4742=1,INDEX(Mensal!$D$2:$D$245,MATCH($I4742,Mensal!$A$2:$A$245,0)),"")</f>
        <v/>
      </c>
      <c r="N4742" s="34">
        <f>IF($K4742=1,L4742-M4742,"")</f>
        <v/>
      </c>
      <c r="O4742" s="34" t="n">
        <v>0.00054266</v>
      </c>
      <c r="P4742" s="34">
        <f>IF($J4742=1,LN(1+O4742),"")</f>
        <v/>
      </c>
      <c r="Q4742" s="34">
        <f>IF($J4742=1,LN(R4743/R4742),"")</f>
        <v/>
      </c>
      <c r="R4742" s="32" t="n">
        <v>5.576</v>
      </c>
      <c r="S4742" s="35" t="n">
        <v>14.72</v>
      </c>
      <c r="T4742" s="18" t="n">
        <v>135699.38</v>
      </c>
      <c r="U4742" s="18" t="n"/>
      <c r="V4742" s="18" t="n"/>
      <c r="W4742" s="18" t="n"/>
      <c r="X4742" s="35" t="n"/>
      <c r="Y4742" s="35" t="n">
        <v>14.72</v>
      </c>
    </row>
    <row r="4743">
      <c r="A4743" s="25" t="n">
        <v>45818</v>
      </c>
      <c r="B4743" s="18" t="n">
        <v>136436.07</v>
      </c>
      <c r="C4743" s="31" t="n"/>
      <c r="D4743" s="32" t="n"/>
      <c r="E4743" s="33" t="n">
        <v>-0.7634</v>
      </c>
      <c r="F4743" t="inlineStr">
        <is>
          <t>Up</t>
        </is>
      </c>
      <c r="G4743" t="inlineStr">
        <is>
          <t>Down</t>
        </is>
      </c>
      <c r="H4743" t="inlineStr">
        <is>
          <t>EU_JD</t>
        </is>
      </c>
      <c r="I4743" t="inlineStr">
        <is>
          <t>2025-06</t>
        </is>
      </c>
      <c r="J4743" t="n">
        <v>1</v>
      </c>
      <c r="K4743" t="n">
        <v>1</v>
      </c>
      <c r="L4743" s="34">
        <f>IF($J4743=1,LN(B4744/B4743),"")</f>
        <v/>
      </c>
      <c r="M4743" s="34">
        <f>IF($K4743=1,INDEX(Mensal!$D$2:$D$245,MATCH($I4743,Mensal!$A$2:$A$245,0)),"")</f>
        <v/>
      </c>
      <c r="N4743" s="34">
        <f>IF($K4743=1,L4743-M4743,"")</f>
        <v/>
      </c>
      <c r="O4743" s="34" t="n">
        <v>0.00054266</v>
      </c>
      <c r="P4743" s="34">
        <f>IF($J4743=1,LN(1+O4743),"")</f>
        <v/>
      </c>
      <c r="Q4743" s="34">
        <f>IF($J4743=1,LN(R4744/R4743),"")</f>
        <v/>
      </c>
      <c r="R4743" s="32" t="n">
        <v>5.5557</v>
      </c>
      <c r="S4743" s="35" t="n">
        <v>14.67</v>
      </c>
      <c r="T4743" s="18" t="n">
        <v>136436.07</v>
      </c>
      <c r="U4743" s="18" t="n"/>
      <c r="V4743" s="18" t="n"/>
      <c r="W4743" s="18" t="n"/>
      <c r="X4743" s="35" t="n"/>
      <c r="Y4743" s="35" t="n">
        <v>14.67</v>
      </c>
    </row>
    <row r="4744">
      <c r="A4744" s="25" t="n">
        <v>45819</v>
      </c>
      <c r="B4744" s="18" t="n">
        <v>137128.04</v>
      </c>
      <c r="C4744" s="31" t="n"/>
      <c r="D4744" s="32" t="n"/>
      <c r="E4744" s="33" t="n">
        <v>-0.7903</v>
      </c>
      <c r="F4744" t="inlineStr">
        <is>
          <t>Up</t>
        </is>
      </c>
      <c r="G4744" t="inlineStr">
        <is>
          <t>Down</t>
        </is>
      </c>
      <c r="H4744" t="inlineStr">
        <is>
          <t>EU_JD</t>
        </is>
      </c>
      <c r="I4744" t="inlineStr">
        <is>
          <t>2025-06</t>
        </is>
      </c>
      <c r="J4744" t="n">
        <v>1</v>
      </c>
      <c r="K4744" t="n">
        <v>1</v>
      </c>
      <c r="L4744" s="34">
        <f>IF($J4744=1,LN(B4745/B4744),"")</f>
        <v/>
      </c>
      <c r="M4744" s="34">
        <f>IF($K4744=1,INDEX(Mensal!$D$2:$D$245,MATCH($I4744,Mensal!$A$2:$A$245,0)),"")</f>
        <v/>
      </c>
      <c r="N4744" s="34">
        <f>IF($K4744=1,L4744-M4744,"")</f>
        <v/>
      </c>
      <c r="O4744" s="34" t="n">
        <v>0.00054266</v>
      </c>
      <c r="P4744" s="34">
        <f>IF($J4744=1,LN(1+O4744),"")</f>
        <v/>
      </c>
      <c r="Q4744" s="34">
        <f>IF($J4744=1,LN(R4745/R4744),"")</f>
        <v/>
      </c>
      <c r="R4744" s="32" t="n">
        <v>5.539</v>
      </c>
      <c r="S4744" s="35" t="n">
        <v>14.74</v>
      </c>
      <c r="T4744" s="18" t="n">
        <v>137128.04</v>
      </c>
      <c r="U4744" s="18" t="n"/>
      <c r="V4744" s="18" t="n"/>
      <c r="W4744" s="18" t="n"/>
      <c r="X4744" s="35" t="n"/>
      <c r="Y4744" s="35" t="n">
        <v>14.74</v>
      </c>
    </row>
    <row r="4745">
      <c r="A4745" s="25" t="n">
        <v>45820</v>
      </c>
      <c r="B4745" s="18" t="n">
        <v>137799.74</v>
      </c>
      <c r="C4745" s="31" t="n"/>
      <c r="D4745" s="32" t="n"/>
      <c r="E4745" s="33" t="n">
        <v>-0.8122</v>
      </c>
      <c r="F4745" t="inlineStr">
        <is>
          <t>Up</t>
        </is>
      </c>
      <c r="G4745" t="inlineStr">
        <is>
          <t>Down</t>
        </is>
      </c>
      <c r="H4745" t="inlineStr">
        <is>
          <t>EU_JD</t>
        </is>
      </c>
      <c r="I4745" t="inlineStr">
        <is>
          <t>2025-06</t>
        </is>
      </c>
      <c r="J4745" t="n">
        <v>1</v>
      </c>
      <c r="K4745" t="n">
        <v>1</v>
      </c>
      <c r="L4745" s="34">
        <f>IF($J4745=1,LN(B4746/B4745),"")</f>
        <v/>
      </c>
      <c r="M4745" s="34">
        <f>IF($K4745=1,INDEX(Mensal!$D$2:$D$245,MATCH($I4745,Mensal!$A$2:$A$245,0)),"")</f>
        <v/>
      </c>
      <c r="N4745" s="34">
        <f>IF($K4745=1,L4745-M4745,"")</f>
        <v/>
      </c>
      <c r="O4745" s="34" t="n">
        <v>0.00054266</v>
      </c>
      <c r="P4745" s="34">
        <f>IF($J4745=1,LN(1+O4745),"")</f>
        <v/>
      </c>
      <c r="Q4745" s="34">
        <f>IF($J4745=1,LN(R4746/R4745),"")</f>
        <v/>
      </c>
      <c r="R4745" s="32" t="n">
        <v>5.5388</v>
      </c>
      <c r="S4745" s="35" t="n">
        <v>14.72</v>
      </c>
      <c r="T4745" s="18" t="n">
        <v>137799.74</v>
      </c>
      <c r="U4745" s="18" t="n"/>
      <c r="V4745" s="18" t="n"/>
      <c r="W4745" s="18" t="n"/>
      <c r="X4745" s="35" t="n"/>
      <c r="Y4745" s="35" t="n">
        <v>14.72</v>
      </c>
    </row>
    <row r="4746">
      <c r="A4746" s="25" t="n">
        <v>45821</v>
      </c>
      <c r="B4746" s="18" t="n">
        <v>137212.63</v>
      </c>
      <c r="C4746" s="31" t="n"/>
      <c r="D4746" s="32" t="n"/>
      <c r="E4746" s="33" t="n">
        <v>-0.8309</v>
      </c>
      <c r="F4746" t="inlineStr">
        <is>
          <t>Up</t>
        </is>
      </c>
      <c r="G4746" t="inlineStr">
        <is>
          <t>Down</t>
        </is>
      </c>
      <c r="H4746" t="inlineStr">
        <is>
          <t>EU_JD</t>
        </is>
      </c>
      <c r="I4746" t="inlineStr">
        <is>
          <t>2025-06</t>
        </is>
      </c>
      <c r="J4746" t="n">
        <v>1</v>
      </c>
      <c r="K4746" t="n">
        <v>1</v>
      </c>
      <c r="L4746" s="34">
        <f>IF($J4746=1,LN(B4747/B4746),"")</f>
        <v/>
      </c>
      <c r="M4746" s="34">
        <f>IF($K4746=1,INDEX(Mensal!$D$2:$D$245,MATCH($I4746,Mensal!$A$2:$A$245,0)),"")</f>
        <v/>
      </c>
      <c r="N4746" s="34">
        <f>IF($K4746=1,L4746-M4746,"")</f>
        <v/>
      </c>
      <c r="O4746" s="34" t="n">
        <v>0.00054266</v>
      </c>
      <c r="P4746" s="34">
        <f>IF($J4746=1,LN(1+O4746),"")</f>
        <v/>
      </c>
      <c r="Q4746" s="34">
        <f>IF($J4746=1,LN(R4747/R4746),"")</f>
        <v/>
      </c>
      <c r="R4746" s="32" t="n">
        <v>5.5652</v>
      </c>
      <c r="S4746" s="35" t="n">
        <v>14.67</v>
      </c>
      <c r="T4746" s="18" t="n">
        <v>137212.63</v>
      </c>
      <c r="U4746" s="18" t="n"/>
      <c r="V4746" s="18" t="n"/>
      <c r="W4746" s="18" t="n"/>
      <c r="X4746" s="35" t="n"/>
      <c r="Y4746" s="35" t="n">
        <v>14.67</v>
      </c>
    </row>
    <row r="4747">
      <c r="A4747" s="25" t="n">
        <v>45824</v>
      </c>
      <c r="B4747" s="18" t="n">
        <v>139255.91</v>
      </c>
      <c r="C4747" s="31" t="n"/>
      <c r="D4747" s="32" t="n"/>
      <c r="E4747" s="33" t="n">
        <v>-0.8389</v>
      </c>
      <c r="F4747" t="inlineStr">
        <is>
          <t>Up</t>
        </is>
      </c>
      <c r="G4747" t="inlineStr">
        <is>
          <t>Down</t>
        </is>
      </c>
      <c r="H4747" t="inlineStr">
        <is>
          <t>EU_JD</t>
        </is>
      </c>
      <c r="I4747" t="inlineStr">
        <is>
          <t>2025-06</t>
        </is>
      </c>
      <c r="J4747" t="n">
        <v>1</v>
      </c>
      <c r="K4747" t="n">
        <v>1</v>
      </c>
      <c r="L4747" s="34">
        <f>IF($J4747=1,LN(B4748/B4747),"")</f>
        <v/>
      </c>
      <c r="M4747" s="34">
        <f>IF($K4747=1,INDEX(Mensal!$D$2:$D$245,MATCH($I4747,Mensal!$A$2:$A$245,0)),"")</f>
        <v/>
      </c>
      <c r="N4747" s="34">
        <f>IF($K4747=1,L4747-M4747,"")</f>
        <v/>
      </c>
      <c r="O4747" s="34" t="n">
        <v>0.00054266</v>
      </c>
      <c r="P4747" s="34">
        <f>IF($J4747=1,LN(1+O4747),"")</f>
        <v/>
      </c>
      <c r="Q4747" s="34">
        <f>IF($J4747=1,LN(R4748/R4747),"")</f>
        <v/>
      </c>
      <c r="R4747" s="32" t="n">
        <v>5.5123</v>
      </c>
      <c r="S4747" s="35" t="n">
        <v>14.7</v>
      </c>
      <c r="T4747" s="18" t="n">
        <v>139255.91</v>
      </c>
      <c r="U4747" s="18" t="n"/>
      <c r="V4747" s="18" t="n"/>
      <c r="W4747" s="18" t="n"/>
      <c r="X4747" s="35" t="n"/>
      <c r="Y4747" s="35" t="n">
        <v>14.7</v>
      </c>
    </row>
    <row r="4748">
      <c r="A4748" s="25" t="n">
        <v>45825</v>
      </c>
      <c r="B4748" s="18" t="n">
        <v>138840.02</v>
      </c>
      <c r="C4748" s="31" t="n"/>
      <c r="D4748" s="32" t="n"/>
      <c r="E4748" s="33" t="n">
        <v>-0.8429</v>
      </c>
      <c r="F4748" t="inlineStr">
        <is>
          <t>Up</t>
        </is>
      </c>
      <c r="G4748" t="inlineStr">
        <is>
          <t>Down</t>
        </is>
      </c>
      <c r="H4748" t="inlineStr">
        <is>
          <t>EU_JD</t>
        </is>
      </c>
      <c r="I4748" t="inlineStr">
        <is>
          <t>2025-06</t>
        </is>
      </c>
      <c r="J4748" t="n">
        <v>1</v>
      </c>
      <c r="K4748" t="n">
        <v>1</v>
      </c>
      <c r="L4748" s="34">
        <f>IF($J4748=1,LN(B4749/B4748),"")</f>
        <v/>
      </c>
      <c r="M4748" s="34">
        <f>IF($K4748=1,INDEX(Mensal!$D$2:$D$245,MATCH($I4748,Mensal!$A$2:$A$245,0)),"")</f>
        <v/>
      </c>
      <c r="N4748" s="34">
        <f>IF($K4748=1,L4748-M4748,"")</f>
        <v/>
      </c>
      <c r="O4748" s="34" t="n">
        <v>0.00054266</v>
      </c>
      <c r="P4748" s="34">
        <f>IF($J4748=1,LN(1+O4748),"")</f>
        <v/>
      </c>
      <c r="Q4748" s="34">
        <f>IF($J4748=1,LN(R4749/R4748),"")</f>
        <v/>
      </c>
      <c r="R4748" s="32" t="n">
        <v>5.4773</v>
      </c>
      <c r="S4748" s="35" t="n">
        <v>14.72</v>
      </c>
      <c r="T4748" s="18" t="n">
        <v>138840.02</v>
      </c>
      <c r="U4748" s="18" t="n"/>
      <c r="V4748" s="18" t="n"/>
      <c r="W4748" s="18" t="n"/>
      <c r="X4748" s="35" t="n"/>
      <c r="Y4748" s="35" t="n">
        <v>14.72</v>
      </c>
    </row>
    <row r="4749">
      <c r="A4749" s="25" t="n">
        <v>45826</v>
      </c>
      <c r="B4749" s="18" t="n">
        <v>138716.64</v>
      </c>
      <c r="C4749" s="31" t="n"/>
      <c r="D4749" s="32" t="n"/>
      <c r="E4749" s="33" t="n">
        <v>-0.844</v>
      </c>
      <c r="F4749" t="inlineStr">
        <is>
          <t>Up</t>
        </is>
      </c>
      <c r="G4749" t="inlineStr">
        <is>
          <t>Down</t>
        </is>
      </c>
      <c r="H4749" t="inlineStr">
        <is>
          <t>EU_JD</t>
        </is>
      </c>
      <c r="I4749" t="inlineStr">
        <is>
          <t>2025-06</t>
        </is>
      </c>
      <c r="J4749" t="n">
        <v>1</v>
      </c>
      <c r="K4749" t="n">
        <v>1</v>
      </c>
      <c r="L4749" s="34">
        <f>IF($J4749=1,LN(B4750/B4749),"")</f>
        <v/>
      </c>
      <c r="M4749" s="34">
        <f>IF($K4749=1,INDEX(Mensal!$D$2:$D$245,MATCH($I4749,Mensal!$A$2:$A$245,0)),"")</f>
        <v/>
      </c>
      <c r="N4749" s="34">
        <f>IF($K4749=1,L4749-M4749,"")</f>
        <v/>
      </c>
      <c r="O4749" s="34" t="n">
        <v>0.00054266</v>
      </c>
      <c r="P4749" s="34">
        <f>IF($J4749=1,LN(1+O4749),"")</f>
        <v/>
      </c>
      <c r="Q4749" s="34">
        <f>IF($J4749=1,LN(R4750/R4749),"")</f>
        <v/>
      </c>
      <c r="R4749" s="32" t="n">
        <v>5.4879</v>
      </c>
      <c r="S4749" s="35" t="n">
        <v>14.73</v>
      </c>
      <c r="T4749" s="18" t="n">
        <v>138716.64</v>
      </c>
      <c r="U4749" s="18" t="n"/>
      <c r="V4749" s="18" t="n"/>
      <c r="W4749" s="18" t="n"/>
      <c r="X4749" s="35" t="n"/>
      <c r="Y4749" s="35" t="n">
        <v>14.73</v>
      </c>
    </row>
    <row r="4750">
      <c r="A4750" s="25" t="n">
        <v>45828</v>
      </c>
      <c r="B4750" s="18" t="n">
        <v>137115.83</v>
      </c>
      <c r="C4750" s="31" t="n"/>
      <c r="D4750" s="32" t="n"/>
      <c r="E4750" s="33" t="n">
        <v>-0.8421999999999999</v>
      </c>
      <c r="F4750" t="inlineStr">
        <is>
          <t>Up</t>
        </is>
      </c>
      <c r="G4750" t="inlineStr">
        <is>
          <t>Down</t>
        </is>
      </c>
      <c r="H4750" t="inlineStr">
        <is>
          <t>EU_JD</t>
        </is>
      </c>
      <c r="I4750" t="inlineStr">
        <is>
          <t>2025-06</t>
        </is>
      </c>
      <c r="J4750" t="n">
        <v>1</v>
      </c>
      <c r="K4750" t="n">
        <v>1</v>
      </c>
      <c r="L4750" s="34">
        <f>IF($J4750=1,LN(B4751/B4750),"")</f>
        <v/>
      </c>
      <c r="M4750" s="34">
        <f>IF($K4750=1,INDEX(Mensal!$D$2:$D$245,MATCH($I4750,Mensal!$A$2:$A$245,0)),"")</f>
        <v/>
      </c>
      <c r="N4750" s="34">
        <f>IF($K4750=1,L4750-M4750,"")</f>
        <v/>
      </c>
      <c r="O4750" s="34" t="n">
        <v>0.00055131</v>
      </c>
      <c r="P4750" s="34">
        <f>IF($J4750=1,LN(1+O4750),"")</f>
        <v/>
      </c>
      <c r="Q4750" s="34">
        <f>IF($J4750=1,LN(R4751/R4750),"")</f>
        <v/>
      </c>
      <c r="R4750" s="32" t="n">
        <v>5.4957</v>
      </c>
      <c r="S4750" s="35" t="n">
        <v>14.81</v>
      </c>
      <c r="T4750" s="18" t="n">
        <v>137115.83</v>
      </c>
      <c r="U4750" s="18" t="n"/>
      <c r="V4750" s="18" t="n"/>
      <c r="W4750" s="18" t="n"/>
      <c r="X4750" s="35" t="n"/>
      <c r="Y4750" s="35" t="n">
        <v>14.81</v>
      </c>
    </row>
    <row r="4751">
      <c r="A4751" s="25" t="n">
        <v>45831</v>
      </c>
      <c r="B4751" s="18" t="n">
        <v>136550.5</v>
      </c>
      <c r="C4751" s="31" t="n"/>
      <c r="D4751" s="32" t="n"/>
      <c r="E4751" s="33" t="n">
        <v>-0.8343</v>
      </c>
      <c r="F4751" t="inlineStr">
        <is>
          <t>Up</t>
        </is>
      </c>
      <c r="G4751" t="inlineStr">
        <is>
          <t>Down</t>
        </is>
      </c>
      <c r="H4751" t="inlineStr">
        <is>
          <t>EU_JD</t>
        </is>
      </c>
      <c r="I4751" t="inlineStr">
        <is>
          <t>2025-06</t>
        </is>
      </c>
      <c r="J4751" t="n">
        <v>1</v>
      </c>
      <c r="K4751" t="n">
        <v>1</v>
      </c>
      <c r="L4751" s="34">
        <f>IF($J4751=1,LN(B4752/B4751),"")</f>
        <v/>
      </c>
      <c r="M4751" s="34">
        <f>IF($K4751=1,INDEX(Mensal!$D$2:$D$245,MATCH($I4751,Mensal!$A$2:$A$245,0)),"")</f>
        <v/>
      </c>
      <c r="N4751" s="34">
        <f>IF($K4751=1,L4751-M4751,"")</f>
        <v/>
      </c>
      <c r="O4751" s="34" t="n">
        <v>0.00055131</v>
      </c>
      <c r="P4751" s="34">
        <f>IF($J4751=1,LN(1+O4751),"")</f>
        <v/>
      </c>
      <c r="Q4751" s="34">
        <f>IF($J4751=1,LN(R4752/R4751),"")</f>
        <v/>
      </c>
      <c r="R4751" s="32" t="n">
        <v>5.5213</v>
      </c>
      <c r="S4751" s="35" t="n">
        <v>14.8</v>
      </c>
      <c r="T4751" s="18" t="n">
        <v>136550.5</v>
      </c>
      <c r="U4751" s="18" t="n"/>
      <c r="V4751" s="18" t="n"/>
      <c r="W4751" s="18" t="n"/>
      <c r="X4751" s="35" t="n"/>
      <c r="Y4751" s="35" t="n">
        <v>14.8</v>
      </c>
    </row>
    <row r="4752">
      <c r="A4752" s="25" t="n">
        <v>45832</v>
      </c>
      <c r="B4752" s="18" t="n">
        <v>137164.61</v>
      </c>
      <c r="C4752" s="31" t="n"/>
      <c r="D4752" s="32" t="n"/>
      <c r="E4752" s="33" t="n">
        <v>-0.823</v>
      </c>
      <c r="F4752" t="inlineStr">
        <is>
          <t>Up</t>
        </is>
      </c>
      <c r="G4752" t="inlineStr">
        <is>
          <t>Down</t>
        </is>
      </c>
      <c r="H4752" t="inlineStr">
        <is>
          <t>EU_JD</t>
        </is>
      </c>
      <c r="I4752" t="inlineStr">
        <is>
          <t>2025-06</t>
        </is>
      </c>
      <c r="J4752" t="n">
        <v>1</v>
      </c>
      <c r="K4752" t="n">
        <v>1</v>
      </c>
      <c r="L4752" s="34">
        <f>IF($J4752=1,LN(B4753/B4752),"")</f>
        <v/>
      </c>
      <c r="M4752" s="34">
        <f>IF($K4752=1,INDEX(Mensal!$D$2:$D$245,MATCH($I4752,Mensal!$A$2:$A$245,0)),"")</f>
        <v/>
      </c>
      <c r="N4752" s="34">
        <f>IF($K4752=1,L4752-M4752,"")</f>
        <v/>
      </c>
      <c r="O4752" s="34" t="n">
        <v>0.00055131</v>
      </c>
      <c r="P4752" s="34">
        <f>IF($J4752=1,LN(1+O4752),"")</f>
        <v/>
      </c>
      <c r="Q4752" s="34">
        <f>IF($J4752=1,LN(R4753/R4752),"")</f>
        <v/>
      </c>
      <c r="R4752" s="32" t="n">
        <v>5.4938</v>
      </c>
      <c r="S4752" s="35" t="n">
        <v>14.75</v>
      </c>
      <c r="T4752" s="18" t="n">
        <v>137164.61</v>
      </c>
      <c r="U4752" s="18" t="n"/>
      <c r="V4752" s="18" t="n"/>
      <c r="W4752" s="18" t="n"/>
      <c r="X4752" s="35" t="n"/>
      <c r="Y4752" s="35" t="n">
        <v>14.75</v>
      </c>
    </row>
    <row r="4753">
      <c r="A4753" s="25" t="n">
        <v>45833</v>
      </c>
      <c r="B4753" s="18" t="n">
        <v>135767.29</v>
      </c>
      <c r="C4753" s="31" t="n"/>
      <c r="D4753" s="32" t="n"/>
      <c r="E4753" s="33" t="n">
        <v>-0.8082</v>
      </c>
      <c r="F4753" t="inlineStr">
        <is>
          <t>Up</t>
        </is>
      </c>
      <c r="G4753" t="inlineStr">
        <is>
          <t>Down</t>
        </is>
      </c>
      <c r="H4753" t="inlineStr">
        <is>
          <t>EU_JD</t>
        </is>
      </c>
      <c r="I4753" t="inlineStr">
        <is>
          <t>2025-06</t>
        </is>
      </c>
      <c r="J4753" t="n">
        <v>1</v>
      </c>
      <c r="K4753" t="n">
        <v>1</v>
      </c>
      <c r="L4753" s="34">
        <f>IF($J4753=1,LN(B4754/B4753),"")</f>
        <v/>
      </c>
      <c r="M4753" s="34">
        <f>IF($K4753=1,INDEX(Mensal!$D$2:$D$245,MATCH($I4753,Mensal!$A$2:$A$245,0)),"")</f>
        <v/>
      </c>
      <c r="N4753" s="34">
        <f>IF($K4753=1,L4753-M4753,"")</f>
        <v/>
      </c>
      <c r="O4753" s="34" t="n">
        <v>0.00055131</v>
      </c>
      <c r="P4753" s="34">
        <f>IF($J4753=1,LN(1+O4753),"")</f>
        <v/>
      </c>
      <c r="Q4753" s="34">
        <f>IF($J4753=1,LN(R4754/R4753),"")</f>
        <v/>
      </c>
      <c r="R4753" s="32" t="n">
        <v>5.5427</v>
      </c>
      <c r="S4753" s="35" t="n">
        <v>14.76</v>
      </c>
      <c r="T4753" s="18" t="n">
        <v>135767.29</v>
      </c>
      <c r="U4753" s="18" t="n"/>
      <c r="V4753" s="18" t="n"/>
      <c r="W4753" s="18" t="n"/>
      <c r="X4753" s="35" t="n"/>
      <c r="Y4753" s="35" t="n">
        <v>14.76</v>
      </c>
    </row>
    <row r="4754">
      <c r="A4754" s="25" t="n">
        <v>45834</v>
      </c>
      <c r="B4754" s="18" t="n">
        <v>137113.89</v>
      </c>
      <c r="C4754" s="31" t="n"/>
      <c r="D4754" s="32" t="n"/>
      <c r="E4754" s="33" t="n">
        <v>-0.7923</v>
      </c>
      <c r="F4754" t="inlineStr">
        <is>
          <t>Up</t>
        </is>
      </c>
      <c r="G4754" t="inlineStr">
        <is>
          <t>Down</t>
        </is>
      </c>
      <c r="H4754" t="inlineStr">
        <is>
          <t>EU_JD</t>
        </is>
      </c>
      <c r="I4754" t="inlineStr">
        <is>
          <t>2025-06</t>
        </is>
      </c>
      <c r="J4754" t="n">
        <v>1</v>
      </c>
      <c r="K4754" t="n">
        <v>1</v>
      </c>
      <c r="L4754" s="34">
        <f>IF($J4754=1,LN(B4755/B4754),"")</f>
        <v/>
      </c>
      <c r="M4754" s="34">
        <f>IF($K4754=1,INDEX(Mensal!$D$2:$D$245,MATCH($I4754,Mensal!$A$2:$A$245,0)),"")</f>
        <v/>
      </c>
      <c r="N4754" s="34">
        <f>IF($K4754=1,L4754-M4754,"")</f>
        <v/>
      </c>
      <c r="O4754" s="34" t="n">
        <v>0.00055131</v>
      </c>
      <c r="P4754" s="34">
        <f>IF($J4754=1,LN(1+O4754),"")</f>
        <v/>
      </c>
      <c r="Q4754" s="34">
        <f>IF($J4754=1,LN(R4755/R4754),"")</f>
        <v/>
      </c>
      <c r="R4754" s="32" t="n">
        <v>5.5145</v>
      </c>
      <c r="S4754" s="35" t="n">
        <v>14.73</v>
      </c>
      <c r="T4754" s="18" t="n">
        <v>137113.89</v>
      </c>
      <c r="U4754" s="18" t="n"/>
      <c r="V4754" s="18" t="n"/>
      <c r="W4754" s="18" t="n"/>
      <c r="X4754" s="35" t="n"/>
      <c r="Y4754" s="35" t="n">
        <v>14.73</v>
      </c>
    </row>
    <row r="4755">
      <c r="A4755" s="25" t="n">
        <v>45835</v>
      </c>
      <c r="B4755" s="18" t="n">
        <v>136865.79</v>
      </c>
      <c r="C4755" s="31" t="n"/>
      <c r="D4755" s="32" t="n"/>
      <c r="E4755" s="33" t="n">
        <v>-0.7752</v>
      </c>
      <c r="F4755" t="inlineStr">
        <is>
          <t>Up</t>
        </is>
      </c>
      <c r="G4755" t="inlineStr">
        <is>
          <t>Down</t>
        </is>
      </c>
      <c r="H4755" t="inlineStr">
        <is>
          <t>EU_JD</t>
        </is>
      </c>
      <c r="I4755" t="inlineStr">
        <is>
          <t>2025-06</t>
        </is>
      </c>
      <c r="J4755" t="n">
        <v>1</v>
      </c>
      <c r="K4755" t="n">
        <v>1</v>
      </c>
      <c r="L4755" s="34">
        <f>IF($J4755=1,LN(B4756/B4755),"")</f>
        <v/>
      </c>
      <c r="M4755" s="34">
        <f>IF($K4755=1,INDEX(Mensal!$D$2:$D$245,MATCH($I4755,Mensal!$A$2:$A$245,0)),"")</f>
        <v/>
      </c>
      <c r="N4755" s="34">
        <f>IF($K4755=1,L4755-M4755,"")</f>
        <v/>
      </c>
      <c r="O4755" s="34" t="n">
        <v>0.00055131</v>
      </c>
      <c r="P4755" s="34">
        <f>IF($J4755=1,LN(1+O4755),"")</f>
        <v/>
      </c>
      <c r="Q4755" s="34">
        <f>IF($J4755=1,LN(R4756/R4755),"")</f>
        <v/>
      </c>
      <c r="R4755" s="32" t="n">
        <v>5.4759</v>
      </c>
      <c r="S4755" s="35" t="n">
        <v>14.74</v>
      </c>
      <c r="T4755" s="18" t="n">
        <v>136865.79</v>
      </c>
      <c r="U4755" s="18" t="n"/>
      <c r="V4755" s="18" t="n"/>
      <c r="W4755" s="18" t="n"/>
      <c r="X4755" s="35" t="n"/>
      <c r="Y4755" s="35" t="n">
        <v>14.74</v>
      </c>
    </row>
    <row r="4756">
      <c r="A4756" s="25" t="n">
        <v>45838</v>
      </c>
      <c r="B4756" s="18" t="n">
        <v>138854.6</v>
      </c>
      <c r="C4756" s="31" t="n"/>
      <c r="D4756" s="32" t="n"/>
      <c r="E4756" s="33" t="n">
        <v>-0.7552</v>
      </c>
      <c r="F4756" t="inlineStr">
        <is>
          <t>Up</t>
        </is>
      </c>
      <c r="G4756" t="inlineStr">
        <is>
          <t>Down</t>
        </is>
      </c>
      <c r="H4756" t="inlineStr">
        <is>
          <t>EU_JD</t>
        </is>
      </c>
      <c r="I4756" t="inlineStr">
        <is>
          <t>2025-06</t>
        </is>
      </c>
      <c r="J4756" t="n">
        <v>1</v>
      </c>
      <c r="K4756" t="n">
        <v>1</v>
      </c>
      <c r="L4756" s="34">
        <f>IF($J4756=1,LN(B4757/B4756),"")</f>
        <v/>
      </c>
      <c r="M4756" s="34">
        <f>IF($K4756=1,INDEX(Mensal!$D$2:$D$245,MATCH($I4756,Mensal!$A$2:$A$245,0)),"")</f>
        <v/>
      </c>
      <c r="N4756" s="34">
        <f>IF($K4756=1,L4756-M4756,"")</f>
        <v/>
      </c>
      <c r="O4756" s="34" t="n">
        <v>0.00055131</v>
      </c>
      <c r="P4756" s="34">
        <f>IF($J4756=1,LN(1+O4756),"")</f>
        <v/>
      </c>
      <c r="Q4756" s="34">
        <f>IF($J4756=1,LN(R4757/R4756),"")</f>
        <v/>
      </c>
      <c r="R4756" s="32" t="n">
        <v>5.4571</v>
      </c>
      <c r="S4756" s="35" t="n">
        <v>14.69</v>
      </c>
      <c r="T4756" s="18" t="n">
        <v>138854.6</v>
      </c>
      <c r="U4756" s="18" t="n"/>
      <c r="V4756" s="18" t="n"/>
      <c r="W4756" s="18" t="n"/>
      <c r="X4756" s="35" t="n"/>
      <c r="Y4756" s="35" t="n">
        <v>14.69</v>
      </c>
    </row>
    <row r="4757">
      <c r="A4757" s="25" t="n">
        <v>45839</v>
      </c>
      <c r="B4757" s="18" t="n">
        <v>139549.43</v>
      </c>
      <c r="C4757" s="31" t="n"/>
      <c r="D4757" s="32" t="n"/>
      <c r="E4757" s="33" t="n">
        <v>-0.732</v>
      </c>
      <c r="F4757" t="inlineStr">
        <is>
          <t>Down</t>
        </is>
      </c>
      <c r="G4757" t="inlineStr">
        <is>
          <t>Down</t>
        </is>
      </c>
      <c r="H4757" t="inlineStr">
        <is>
          <t>ED_JD</t>
        </is>
      </c>
      <c r="I4757" t="inlineStr">
        <is>
          <t>2025-07</t>
        </is>
      </c>
      <c r="J4757" t="n">
        <v>1</v>
      </c>
      <c r="K4757" t="n">
        <v>1</v>
      </c>
      <c r="L4757" s="34">
        <f>IF($J4757=1,LN(B4758/B4757),"")</f>
        <v/>
      </c>
      <c r="M4757" s="34">
        <f>IF($K4757=1,INDEX(Mensal!$D$2:$D$245,MATCH($I4757,Mensal!$A$2:$A$245,0)),"")</f>
        <v/>
      </c>
      <c r="N4757" s="34">
        <f>IF($K4757=1,L4757-M4757,"")</f>
        <v/>
      </c>
      <c r="O4757" s="34" t="n">
        <v>0.00055131</v>
      </c>
      <c r="P4757" s="34">
        <f>IF($J4757=1,LN(1+O4757),"")</f>
        <v/>
      </c>
      <c r="Q4757" s="34">
        <f>IF($J4757=1,LN(R4758/R4757),"")</f>
        <v/>
      </c>
      <c r="R4757" s="32" t="n">
        <v>5.4511</v>
      </c>
      <c r="S4757" s="35" t="n">
        <v>14.68</v>
      </c>
      <c r="T4757" s="18" t="n"/>
      <c r="U4757" s="18" t="n"/>
      <c r="V4757" s="18" t="n">
        <v>139549.43</v>
      </c>
      <c r="W4757" s="18" t="n"/>
      <c r="X4757" s="35" t="n"/>
      <c r="Y4757" s="35" t="n">
        <v>14.68</v>
      </c>
    </row>
    <row r="4758">
      <c r="A4758" s="25" t="n">
        <v>45840</v>
      </c>
      <c r="B4758" s="18" t="n">
        <v>139050.93</v>
      </c>
      <c r="C4758" s="31" t="n"/>
      <c r="D4758" s="32" t="n"/>
      <c r="E4758" s="33" t="n">
        <v>-0.7109</v>
      </c>
      <c r="F4758" t="inlineStr">
        <is>
          <t>Down</t>
        </is>
      </c>
      <c r="G4758" t="inlineStr">
        <is>
          <t>Down</t>
        </is>
      </c>
      <c r="H4758" t="inlineStr">
        <is>
          <t>ED_JD</t>
        </is>
      </c>
      <c r="I4758" t="inlineStr">
        <is>
          <t>2025-07</t>
        </is>
      </c>
      <c r="J4758" t="n">
        <v>1</v>
      </c>
      <c r="K4758" t="n">
        <v>1</v>
      </c>
      <c r="L4758" s="34">
        <f>IF($J4758=1,LN(B4759/B4758),"")</f>
        <v/>
      </c>
      <c r="M4758" s="34">
        <f>IF($K4758=1,INDEX(Mensal!$D$2:$D$245,MATCH($I4758,Mensal!$A$2:$A$245,0)),"")</f>
        <v/>
      </c>
      <c r="N4758" s="34">
        <f>IF($K4758=1,L4758-M4758,"")</f>
        <v/>
      </c>
      <c r="O4758" s="34" t="n">
        <v>0.00055131</v>
      </c>
      <c r="P4758" s="34">
        <f>IF($J4758=1,LN(1+O4758),"")</f>
        <v/>
      </c>
      <c r="Q4758" s="34">
        <f>IF($J4758=1,LN(R4759/R4758),"")</f>
        <v/>
      </c>
      <c r="R4758" s="32" t="n">
        <v>5.4512</v>
      </c>
      <c r="S4758" s="35" t="n">
        <v>14.67</v>
      </c>
      <c r="T4758" s="18" t="n"/>
      <c r="U4758" s="18" t="n"/>
      <c r="V4758" s="18" t="n">
        <v>139050.93</v>
      </c>
      <c r="W4758" s="18" t="n"/>
      <c r="X4758" s="35" t="n"/>
      <c r="Y4758" s="35" t="n">
        <v>14.67</v>
      </c>
    </row>
    <row r="4759">
      <c r="A4759" s="25" t="n">
        <v>45841</v>
      </c>
      <c r="B4759" s="18" t="n">
        <v>140927.86</v>
      </c>
      <c r="C4759" s="31" t="n"/>
      <c r="D4759" s="32" t="n"/>
      <c r="E4759" s="33" t="n">
        <v>-0.6887</v>
      </c>
      <c r="F4759" t="inlineStr">
        <is>
          <t>Down</t>
        </is>
      </c>
      <c r="G4759" t="inlineStr">
        <is>
          <t>Down</t>
        </is>
      </c>
      <c r="H4759" t="inlineStr">
        <is>
          <t>ED_JD</t>
        </is>
      </c>
      <c r="I4759" t="inlineStr">
        <is>
          <t>2025-07</t>
        </is>
      </c>
      <c r="J4759" t="n">
        <v>1</v>
      </c>
      <c r="K4759" t="n">
        <v>1</v>
      </c>
      <c r="L4759" s="34">
        <f>IF($J4759=1,LN(B4760/B4759),"")</f>
        <v/>
      </c>
      <c r="M4759" s="34">
        <f>IF($K4759=1,INDEX(Mensal!$D$2:$D$245,MATCH($I4759,Mensal!$A$2:$A$245,0)),"")</f>
        <v/>
      </c>
      <c r="N4759" s="34">
        <f>IF($K4759=1,L4759-M4759,"")</f>
        <v/>
      </c>
      <c r="O4759" s="34" t="n">
        <v>0.00055131</v>
      </c>
      <c r="P4759" s="34">
        <f>IF($J4759=1,LN(1+O4759),"")</f>
        <v/>
      </c>
      <c r="Q4759" s="34">
        <f>IF($J4759=1,LN(R4760/R4759),"")</f>
        <v/>
      </c>
      <c r="R4759" s="32" t="n">
        <v>5.4208</v>
      </c>
      <c r="S4759" s="35" t="n">
        <v>14.67</v>
      </c>
      <c r="T4759" s="18" t="n"/>
      <c r="U4759" s="18" t="n"/>
      <c r="V4759" s="18" t="n">
        <v>140927.86</v>
      </c>
      <c r="W4759" s="18" t="n"/>
      <c r="X4759" s="35" t="n"/>
      <c r="Y4759" s="35" t="n">
        <v>14.67</v>
      </c>
    </row>
    <row r="4760">
      <c r="A4760" s="25" t="n">
        <v>45842</v>
      </c>
      <c r="B4760" s="18" t="n">
        <v>141263.56</v>
      </c>
      <c r="C4760" s="31" t="n"/>
      <c r="D4760" s="32" t="n"/>
      <c r="E4760" s="33" t="n">
        <v>-0.6651</v>
      </c>
      <c r="F4760" t="inlineStr">
        <is>
          <t>Down</t>
        </is>
      </c>
      <c r="G4760" t="inlineStr">
        <is>
          <t>Down</t>
        </is>
      </c>
      <c r="H4760" t="inlineStr">
        <is>
          <t>ED_JD</t>
        </is>
      </c>
      <c r="I4760" t="inlineStr">
        <is>
          <t>2025-07</t>
        </is>
      </c>
      <c r="J4760" t="n">
        <v>1</v>
      </c>
      <c r="K4760" t="n">
        <v>1</v>
      </c>
      <c r="L4760" s="34">
        <f>IF($J4760=1,LN(B4761/B4760),"")</f>
        <v/>
      </c>
      <c r="M4760" s="34">
        <f>IF($K4760=1,INDEX(Mensal!$D$2:$D$245,MATCH($I4760,Mensal!$A$2:$A$245,0)),"")</f>
        <v/>
      </c>
      <c r="N4760" s="34">
        <f>IF($K4760=1,L4760-M4760,"")</f>
        <v/>
      </c>
      <c r="O4760" s="34" t="n">
        <v>0.00055131</v>
      </c>
      <c r="P4760" s="34">
        <f>IF($J4760=1,LN(1+O4760),"")</f>
        <v/>
      </c>
      <c r="Q4760" s="34">
        <f>IF($J4760=1,LN(R4761/R4760),"")</f>
        <v/>
      </c>
      <c r="R4760" s="32" t="n">
        <v>5.409</v>
      </c>
      <c r="S4760" s="35" t="n">
        <v>14.7</v>
      </c>
      <c r="T4760" s="18" t="n"/>
      <c r="U4760" s="18" t="n"/>
      <c r="V4760" s="18" t="n">
        <v>141263.56</v>
      </c>
      <c r="W4760" s="18" t="n"/>
      <c r="X4760" s="35" t="n"/>
      <c r="Y4760" s="35" t="n">
        <v>14.7</v>
      </c>
    </row>
    <row r="4761">
      <c r="A4761" s="25" t="n">
        <v>45845</v>
      </c>
      <c r="B4761" s="18" t="n">
        <v>139489.7</v>
      </c>
      <c r="C4761" s="31" t="n"/>
      <c r="D4761" s="32" t="n"/>
      <c r="E4761" s="33" t="n">
        <v>-0.6484</v>
      </c>
      <c r="F4761" t="inlineStr">
        <is>
          <t>Down</t>
        </is>
      </c>
      <c r="G4761" t="inlineStr">
        <is>
          <t>Down</t>
        </is>
      </c>
      <c r="H4761" t="inlineStr">
        <is>
          <t>ED_JD</t>
        </is>
      </c>
      <c r="I4761" t="inlineStr">
        <is>
          <t>2025-07</t>
        </is>
      </c>
      <c r="J4761" t="n">
        <v>1</v>
      </c>
      <c r="K4761" t="n">
        <v>1</v>
      </c>
      <c r="L4761" s="34">
        <f>IF($J4761=1,LN(B4762/B4761),"")</f>
        <v/>
      </c>
      <c r="M4761" s="34">
        <f>IF($K4761=1,INDEX(Mensal!$D$2:$D$245,MATCH($I4761,Mensal!$A$2:$A$245,0)),"")</f>
        <v/>
      </c>
      <c r="N4761" s="34">
        <f>IF($K4761=1,L4761-M4761,"")</f>
        <v/>
      </c>
      <c r="O4761" s="34" t="n">
        <v>0.00055131</v>
      </c>
      <c r="P4761" s="34">
        <f>IF($J4761=1,LN(1+O4761),"")</f>
        <v/>
      </c>
      <c r="Q4761" s="34">
        <f>IF($J4761=1,LN(R4762/R4761),"")</f>
        <v/>
      </c>
      <c r="R4761" s="32" t="n">
        <v>5.4552</v>
      </c>
      <c r="S4761" s="35" t="n">
        <v>14.7</v>
      </c>
      <c r="T4761" s="18" t="n"/>
      <c r="U4761" s="18" t="n"/>
      <c r="V4761" s="18" t="n">
        <v>139489.7</v>
      </c>
      <c r="W4761" s="18" t="n"/>
      <c r="X4761" s="35" t="n"/>
      <c r="Y4761" s="35" t="n">
        <v>14.7</v>
      </c>
    </row>
    <row r="4762">
      <c r="A4762" s="25" t="n">
        <v>45846</v>
      </c>
      <c r="B4762" s="18" t="n">
        <v>139302.85</v>
      </c>
      <c r="C4762" s="31" t="n"/>
      <c r="D4762" s="32" t="n"/>
      <c r="E4762" s="33" t="n">
        <v>-0.6298</v>
      </c>
      <c r="F4762" t="inlineStr">
        <is>
          <t>Down</t>
        </is>
      </c>
      <c r="G4762" t="inlineStr">
        <is>
          <t>Down</t>
        </is>
      </c>
      <c r="H4762" t="inlineStr">
        <is>
          <t>ED_JD</t>
        </is>
      </c>
      <c r="I4762" t="inlineStr">
        <is>
          <t>2025-07</t>
        </is>
      </c>
      <c r="J4762" t="n">
        <v>1</v>
      </c>
      <c r="K4762" t="n">
        <v>1</v>
      </c>
      <c r="L4762" s="34">
        <f>IF($J4762=1,LN(B4763/B4762),"")</f>
        <v/>
      </c>
      <c r="M4762" s="34">
        <f>IF($K4762=1,INDEX(Mensal!$D$2:$D$245,MATCH($I4762,Mensal!$A$2:$A$245,0)),"")</f>
        <v/>
      </c>
      <c r="N4762" s="34">
        <f>IF($K4762=1,L4762-M4762,"")</f>
        <v/>
      </c>
      <c r="O4762" s="34" t="n">
        <v>0.00055131</v>
      </c>
      <c r="P4762" s="34">
        <f>IF($J4762=1,LN(1+O4762),"")</f>
        <v/>
      </c>
      <c r="Q4762" s="34">
        <f>IF($J4762=1,LN(R4763/R4762),"")</f>
        <v/>
      </c>
      <c r="R4762" s="32" t="n">
        <v>5.4571</v>
      </c>
      <c r="S4762" s="35" t="n">
        <v>14.69</v>
      </c>
      <c r="T4762" s="18" t="n"/>
      <c r="U4762" s="18" t="n"/>
      <c r="V4762" s="18" t="n">
        <v>139302.85</v>
      </c>
      <c r="W4762" s="18" t="n"/>
      <c r="X4762" s="35" t="n"/>
      <c r="Y4762" s="35" t="n">
        <v>14.69</v>
      </c>
    </row>
    <row r="4763">
      <c r="A4763" s="25" t="n">
        <v>45847</v>
      </c>
      <c r="B4763" s="18" t="n">
        <v>137480.79</v>
      </c>
      <c r="C4763" s="31" t="n"/>
      <c r="D4763" s="32" t="n"/>
      <c r="E4763" s="33" t="n">
        <v>-0.6143</v>
      </c>
      <c r="F4763" t="inlineStr">
        <is>
          <t>Down</t>
        </is>
      </c>
      <c r="G4763" t="inlineStr">
        <is>
          <t>Down</t>
        </is>
      </c>
      <c r="H4763" t="inlineStr">
        <is>
          <t>ED_JD</t>
        </is>
      </c>
      <c r="I4763" t="inlineStr">
        <is>
          <t>2025-07</t>
        </is>
      </c>
      <c r="J4763" t="n">
        <v>1</v>
      </c>
      <c r="K4763" t="n">
        <v>1</v>
      </c>
      <c r="L4763" s="34">
        <f>IF($J4763=1,LN(B4764/B4763),"")</f>
        <v/>
      </c>
      <c r="M4763" s="34">
        <f>IF($K4763=1,INDEX(Mensal!$D$2:$D$245,MATCH($I4763,Mensal!$A$2:$A$245,0)),"")</f>
        <v/>
      </c>
      <c r="N4763" s="34">
        <f>IF($K4763=1,L4763-M4763,"")</f>
        <v/>
      </c>
      <c r="O4763" s="34" t="n">
        <v>0.00055131</v>
      </c>
      <c r="P4763" s="34">
        <f>IF($J4763=1,LN(1+O4763),"")</f>
        <v/>
      </c>
      <c r="Q4763" s="34">
        <f>IF($J4763=1,LN(R4764/R4763),"")</f>
        <v/>
      </c>
      <c r="R4763" s="32" t="n">
        <v>5.4626</v>
      </c>
      <c r="S4763" s="35" t="n">
        <v>14.68</v>
      </c>
      <c r="T4763" s="18" t="n"/>
      <c r="U4763" s="18" t="n"/>
      <c r="V4763" s="18" t="n">
        <v>137480.79</v>
      </c>
      <c r="W4763" s="18" t="n"/>
      <c r="X4763" s="35" t="n"/>
      <c r="Y4763" s="35" t="n">
        <v>14.68</v>
      </c>
    </row>
    <row r="4764">
      <c r="A4764" s="25" t="n">
        <v>45848</v>
      </c>
      <c r="B4764" s="18" t="n">
        <v>136743.26</v>
      </c>
      <c r="C4764" s="31" t="n"/>
      <c r="D4764" s="32" t="n"/>
      <c r="E4764" s="33" t="n">
        <v>-0.5871</v>
      </c>
      <c r="F4764" t="inlineStr">
        <is>
          <t>Down</t>
        </is>
      </c>
      <c r="G4764" t="inlineStr">
        <is>
          <t>Down</t>
        </is>
      </c>
      <c r="H4764" t="inlineStr">
        <is>
          <t>ED_JD</t>
        </is>
      </c>
      <c r="I4764" t="inlineStr">
        <is>
          <t>2025-07</t>
        </is>
      </c>
      <c r="J4764" t="n">
        <v>1</v>
      </c>
      <c r="K4764" t="n">
        <v>1</v>
      </c>
      <c r="L4764" s="34">
        <f>IF($J4764=1,LN(B4765/B4764),"")</f>
        <v/>
      </c>
      <c r="M4764" s="34">
        <f>IF($K4764=1,INDEX(Mensal!$D$2:$D$245,MATCH($I4764,Mensal!$A$2:$A$245,0)),"")</f>
        <v/>
      </c>
      <c r="N4764" s="34">
        <f>IF($K4764=1,L4764-M4764,"")</f>
        <v/>
      </c>
      <c r="O4764" s="34" t="n">
        <v>0.00055131</v>
      </c>
      <c r="P4764" s="34">
        <f>IF($J4764=1,LN(1+O4764),"")</f>
        <v/>
      </c>
      <c r="Q4764" s="34">
        <f>IF($J4764=1,LN(R4765/R4764),"")</f>
        <v/>
      </c>
      <c r="R4764" s="32" t="n">
        <v>5.5433</v>
      </c>
      <c r="S4764" s="35" t="n">
        <v>14.77</v>
      </c>
      <c r="T4764" s="18" t="n"/>
      <c r="U4764" s="18" t="n"/>
      <c r="V4764" s="18" t="n">
        <v>136743.26</v>
      </c>
      <c r="W4764" s="18" t="n"/>
      <c r="X4764" s="35" t="n"/>
      <c r="Y4764" s="35" t="n">
        <v>14.77</v>
      </c>
    </row>
    <row r="4765">
      <c r="A4765" s="25" t="n">
        <v>45849</v>
      </c>
      <c r="B4765" s="18" t="n">
        <v>136187.31</v>
      </c>
      <c r="C4765" s="31" t="n"/>
      <c r="D4765" s="32" t="n"/>
      <c r="E4765" s="33" t="n">
        <v>-0.5635</v>
      </c>
      <c r="F4765" t="inlineStr">
        <is>
          <t>Down</t>
        </is>
      </c>
      <c r="G4765" t="inlineStr">
        <is>
          <t>Down</t>
        </is>
      </c>
      <c r="H4765" t="inlineStr">
        <is>
          <t>ED_JD</t>
        </is>
      </c>
      <c r="I4765" t="inlineStr">
        <is>
          <t>2025-07</t>
        </is>
      </c>
      <c r="J4765" t="n">
        <v>1</v>
      </c>
      <c r="K4765" t="n">
        <v>1</v>
      </c>
      <c r="L4765" s="34">
        <f>IF($J4765=1,LN(B4766/B4765),"")</f>
        <v/>
      </c>
      <c r="M4765" s="34">
        <f>IF($K4765=1,INDEX(Mensal!$D$2:$D$245,MATCH($I4765,Mensal!$A$2:$A$245,0)),"")</f>
        <v/>
      </c>
      <c r="N4765" s="34">
        <f>IF($K4765=1,L4765-M4765,"")</f>
        <v/>
      </c>
      <c r="O4765" s="34" t="n">
        <v>0.00055131</v>
      </c>
      <c r="P4765" s="34">
        <f>IF($J4765=1,LN(1+O4765),"")</f>
        <v/>
      </c>
      <c r="Q4765" s="34">
        <f>IF($J4765=1,LN(R4766/R4765),"")</f>
        <v/>
      </c>
      <c r="R4765" s="32" t="n">
        <v>5.5722</v>
      </c>
      <c r="S4765" s="35" t="n">
        <v>14.8</v>
      </c>
      <c r="T4765" s="18" t="n"/>
      <c r="U4765" s="18" t="n"/>
      <c r="V4765" s="18" t="n">
        <v>136187.31</v>
      </c>
      <c r="W4765" s="18" t="n"/>
      <c r="X4765" s="35" t="n"/>
      <c r="Y4765" s="35" t="n">
        <v>14.8</v>
      </c>
    </row>
    <row r="4766">
      <c r="A4766" s="25" t="n">
        <v>45852</v>
      </c>
      <c r="B4766" s="18" t="n">
        <v>135298.99</v>
      </c>
      <c r="C4766" s="31" t="n"/>
      <c r="D4766" s="32" t="n"/>
      <c r="E4766" s="33" t="n">
        <v>-0.5483</v>
      </c>
      <c r="F4766" t="inlineStr">
        <is>
          <t>Down</t>
        </is>
      </c>
      <c r="G4766" t="inlineStr">
        <is>
          <t>Down</t>
        </is>
      </c>
      <c r="H4766" t="inlineStr">
        <is>
          <t>ED_JD</t>
        </is>
      </c>
      <c r="I4766" t="inlineStr">
        <is>
          <t>2025-07</t>
        </is>
      </c>
      <c r="J4766" t="n">
        <v>1</v>
      </c>
      <c r="K4766" t="n">
        <v>1</v>
      </c>
      <c r="L4766" s="34">
        <f>IF($J4766=1,LN(B4767/B4766),"")</f>
        <v/>
      </c>
      <c r="M4766" s="34">
        <f>IF($K4766=1,INDEX(Mensal!$D$2:$D$245,MATCH($I4766,Mensal!$A$2:$A$245,0)),"")</f>
        <v/>
      </c>
      <c r="N4766" s="34">
        <f>IF($K4766=1,L4766-M4766,"")</f>
        <v/>
      </c>
      <c r="O4766" s="34" t="n">
        <v>0.00055131</v>
      </c>
      <c r="P4766" s="34">
        <f>IF($J4766=1,LN(1+O4766),"")</f>
        <v/>
      </c>
      <c r="Q4766" s="34">
        <f>IF($J4766=1,LN(R4767/R4766),"")</f>
        <v/>
      </c>
      <c r="R4766" s="32" t="n">
        <v>5.5595</v>
      </c>
      <c r="S4766" s="35" t="n">
        <v>14.77</v>
      </c>
      <c r="T4766" s="18" t="n"/>
      <c r="U4766" s="18" t="n"/>
      <c r="V4766" s="18" t="n">
        <v>135298.99</v>
      </c>
      <c r="W4766" s="18" t="n"/>
      <c r="X4766" s="35" t="n"/>
      <c r="Y4766" s="35" t="n">
        <v>14.77</v>
      </c>
    </row>
    <row r="4767">
      <c r="A4767" s="25" t="n">
        <v>45853</v>
      </c>
      <c r="B4767" s="18" t="n">
        <v>135250.1</v>
      </c>
      <c r="C4767" s="31" t="n"/>
      <c r="D4767" s="32" t="n"/>
      <c r="E4767" s="33" t="n">
        <v>-0.5331</v>
      </c>
      <c r="F4767" t="inlineStr">
        <is>
          <t>Down</t>
        </is>
      </c>
      <c r="G4767" t="inlineStr">
        <is>
          <t>Down</t>
        </is>
      </c>
      <c r="H4767" t="inlineStr">
        <is>
          <t>ED_JD</t>
        </is>
      </c>
      <c r="I4767" t="inlineStr">
        <is>
          <t>2025-07</t>
        </is>
      </c>
      <c r="J4767" t="n">
        <v>1</v>
      </c>
      <c r="K4767" t="n">
        <v>1</v>
      </c>
      <c r="L4767" s="34">
        <f>IF($J4767=1,LN(B4768/B4767),"")</f>
        <v/>
      </c>
      <c r="M4767" s="34">
        <f>IF($K4767=1,INDEX(Mensal!$D$2:$D$245,MATCH($I4767,Mensal!$A$2:$A$245,0)),"")</f>
        <v/>
      </c>
      <c r="N4767" s="34">
        <f>IF($K4767=1,L4767-M4767,"")</f>
        <v/>
      </c>
      <c r="O4767" s="34" t="n">
        <v>0.00055131</v>
      </c>
      <c r="P4767" s="34">
        <f>IF($J4767=1,LN(1+O4767),"")</f>
        <v/>
      </c>
      <c r="Q4767" s="34">
        <f>IF($J4767=1,LN(R4768/R4767),"")</f>
        <v/>
      </c>
      <c r="R4767" s="32" t="n">
        <v>5.5576</v>
      </c>
      <c r="S4767" s="35" t="n">
        <v>14.79</v>
      </c>
      <c r="T4767" s="18" t="n"/>
      <c r="U4767" s="18" t="n"/>
      <c r="V4767" s="18" t="n">
        <v>135250.1</v>
      </c>
      <c r="W4767" s="18" t="n"/>
      <c r="X4767" s="35" t="n"/>
      <c r="Y4767" s="35" t="n">
        <v>14.79</v>
      </c>
    </row>
    <row r="4768">
      <c r="A4768" s="25" t="n">
        <v>45854</v>
      </c>
      <c r="B4768" s="18" t="n">
        <v>135510.99</v>
      </c>
      <c r="C4768" s="31" t="n"/>
      <c r="D4768" s="32" t="n"/>
      <c r="E4768" s="33" t="n">
        <v>-0.5163</v>
      </c>
      <c r="F4768" t="inlineStr">
        <is>
          <t>Down</t>
        </is>
      </c>
      <c r="G4768" t="inlineStr">
        <is>
          <t>Down</t>
        </is>
      </c>
      <c r="H4768" t="inlineStr">
        <is>
          <t>ED_JD</t>
        </is>
      </c>
      <c r="I4768" t="inlineStr">
        <is>
          <t>2025-07</t>
        </is>
      </c>
      <c r="J4768" t="n">
        <v>1</v>
      </c>
      <c r="K4768" t="n">
        <v>1</v>
      </c>
      <c r="L4768" s="34">
        <f>IF($J4768=1,LN(B4769/B4768),"")</f>
        <v/>
      </c>
      <c r="M4768" s="34">
        <f>IF($K4768=1,INDEX(Mensal!$D$2:$D$245,MATCH($I4768,Mensal!$A$2:$A$245,0)),"")</f>
        <v/>
      </c>
      <c r="N4768" s="34">
        <f>IF($K4768=1,L4768-M4768,"")</f>
        <v/>
      </c>
      <c r="O4768" s="34" t="n">
        <v>0.00055131</v>
      </c>
      <c r="P4768" s="34">
        <f>IF($J4768=1,LN(1+O4768),"")</f>
        <v/>
      </c>
      <c r="Q4768" s="34">
        <f>IF($J4768=1,LN(R4769/R4768),"")</f>
        <v/>
      </c>
      <c r="R4768" s="32" t="n">
        <v>5.5722</v>
      </c>
      <c r="S4768" s="35" t="n">
        <v>14.79</v>
      </c>
      <c r="T4768" s="18" t="n"/>
      <c r="U4768" s="18" t="n"/>
      <c r="V4768" s="18" t="n">
        <v>135510.99</v>
      </c>
      <c r="W4768" s="18" t="n"/>
      <c r="X4768" s="35" t="n"/>
      <c r="Y4768" s="35" t="n">
        <v>14.79</v>
      </c>
    </row>
    <row r="4769">
      <c r="A4769" s="25" t="n">
        <v>45855</v>
      </c>
      <c r="B4769" s="18" t="n">
        <v>135564.74</v>
      </c>
      <c r="C4769" s="31" t="n"/>
      <c r="D4769" s="32" t="n"/>
      <c r="E4769" s="33" t="n">
        <v>-0.4955</v>
      </c>
      <c r="F4769" t="inlineStr">
        <is>
          <t>Down</t>
        </is>
      </c>
      <c r="G4769" t="inlineStr">
        <is>
          <t>Down</t>
        </is>
      </c>
      <c r="H4769" t="inlineStr">
        <is>
          <t>ED_JD</t>
        </is>
      </c>
      <c r="I4769" t="inlineStr">
        <is>
          <t>2025-07</t>
        </is>
      </c>
      <c r="J4769" t="n">
        <v>1</v>
      </c>
      <c r="K4769" t="n">
        <v>1</v>
      </c>
      <c r="L4769" s="34">
        <f>IF($J4769=1,LN(B4770/B4769),"")</f>
        <v/>
      </c>
      <c r="M4769" s="34">
        <f>IF($K4769=1,INDEX(Mensal!$D$2:$D$245,MATCH($I4769,Mensal!$A$2:$A$245,0)),"")</f>
        <v/>
      </c>
      <c r="N4769" s="34">
        <f>IF($K4769=1,L4769-M4769,"")</f>
        <v/>
      </c>
      <c r="O4769" s="34" t="n">
        <v>0.00055131</v>
      </c>
      <c r="P4769" s="34">
        <f>IF($J4769=1,LN(1+O4769),"")</f>
        <v/>
      </c>
      <c r="Q4769" s="34">
        <f>IF($J4769=1,LN(R4770/R4769),"")</f>
        <v/>
      </c>
      <c r="R4769" s="32" t="n">
        <v>5.5737</v>
      </c>
      <c r="S4769" s="35" t="n">
        <v>14.78</v>
      </c>
      <c r="T4769" s="18" t="n"/>
      <c r="U4769" s="18" t="n"/>
      <c r="V4769" s="18" t="n">
        <v>135564.74</v>
      </c>
      <c r="W4769" s="18" t="n"/>
      <c r="X4769" s="35" t="n"/>
      <c r="Y4769" s="35" t="n">
        <v>14.78</v>
      </c>
    </row>
    <row r="4770">
      <c r="A4770" s="25" t="n">
        <v>45856</v>
      </c>
      <c r="B4770" s="18" t="n">
        <v>133381.58</v>
      </c>
      <c r="C4770" s="31" t="n"/>
      <c r="D4770" s="32" t="n"/>
      <c r="E4770" s="33" t="n">
        <v>-0.4775</v>
      </c>
      <c r="F4770" t="inlineStr">
        <is>
          <t>Down</t>
        </is>
      </c>
      <c r="G4770" t="inlineStr">
        <is>
          <t>Down</t>
        </is>
      </c>
      <c r="H4770" t="inlineStr">
        <is>
          <t>ED_JD</t>
        </is>
      </c>
      <c r="I4770" t="inlineStr">
        <is>
          <t>2025-07</t>
        </is>
      </c>
      <c r="J4770" t="n">
        <v>1</v>
      </c>
      <c r="K4770" t="n">
        <v>1</v>
      </c>
      <c r="L4770" s="34">
        <f>IF($J4770=1,LN(B4771/B4770),"")</f>
        <v/>
      </c>
      <c r="M4770" s="34">
        <f>IF($K4770=1,INDEX(Mensal!$D$2:$D$245,MATCH($I4770,Mensal!$A$2:$A$245,0)),"")</f>
        <v/>
      </c>
      <c r="N4770" s="34">
        <f>IF($K4770=1,L4770-M4770,"")</f>
        <v/>
      </c>
      <c r="O4770" s="34" t="n">
        <v>0.00055131</v>
      </c>
      <c r="P4770" s="34">
        <f>IF($J4770=1,LN(1+O4770),"")</f>
        <v/>
      </c>
      <c r="Q4770" s="34">
        <f>IF($J4770=1,LN(R4771/R4770),"")</f>
        <v/>
      </c>
      <c r="R4770" s="32" t="n">
        <v>5.5466</v>
      </c>
      <c r="S4770" s="35" t="n">
        <v>14.81</v>
      </c>
      <c r="T4770" s="18" t="n"/>
      <c r="U4770" s="18" t="n"/>
      <c r="V4770" s="18" t="n">
        <v>133381.58</v>
      </c>
      <c r="W4770" s="18" t="n"/>
      <c r="X4770" s="35" t="n"/>
      <c r="Y4770" s="35" t="n">
        <v>14.81</v>
      </c>
    </row>
    <row r="4771">
      <c r="A4771" s="25" t="n">
        <v>45859</v>
      </c>
      <c r="B4771" s="18" t="n">
        <v>134166.72</v>
      </c>
      <c r="C4771" s="31" t="n"/>
      <c r="D4771" s="32" t="n"/>
      <c r="E4771" s="33" t="n">
        <v>-0.4777</v>
      </c>
      <c r="F4771" t="inlineStr">
        <is>
          <t>Down</t>
        </is>
      </c>
      <c r="G4771" t="inlineStr">
        <is>
          <t>Down</t>
        </is>
      </c>
      <c r="H4771" t="inlineStr">
        <is>
          <t>ED_JD</t>
        </is>
      </c>
      <c r="I4771" t="inlineStr">
        <is>
          <t>2025-07</t>
        </is>
      </c>
      <c r="J4771" t="n">
        <v>1</v>
      </c>
      <c r="K4771" t="n">
        <v>1</v>
      </c>
      <c r="L4771" s="34">
        <f>IF($J4771=1,LN(B4772/B4771),"")</f>
        <v/>
      </c>
      <c r="M4771" s="34">
        <f>IF($K4771=1,INDEX(Mensal!$D$2:$D$245,MATCH($I4771,Mensal!$A$2:$A$245,0)),"")</f>
        <v/>
      </c>
      <c r="N4771" s="34">
        <f>IF($K4771=1,L4771-M4771,"")</f>
        <v/>
      </c>
      <c r="O4771" s="34" t="n">
        <v>0.00055131</v>
      </c>
      <c r="P4771" s="34">
        <f>IF($J4771=1,LN(1+O4771),"")</f>
        <v/>
      </c>
      <c r="Q4771" s="34">
        <f>IF($J4771=1,LN(R4772/R4771),"")</f>
        <v/>
      </c>
      <c r="R4771" s="32" t="n">
        <v>5.5625</v>
      </c>
      <c r="S4771" s="35" t="n">
        <v>14.76</v>
      </c>
      <c r="T4771" s="18" t="n"/>
      <c r="U4771" s="18" t="n"/>
      <c r="V4771" s="18" t="n">
        <v>134166.72</v>
      </c>
      <c r="W4771" s="18" t="n"/>
      <c r="X4771" s="35" t="n"/>
      <c r="Y4771" s="35" t="n">
        <v>14.76</v>
      </c>
    </row>
    <row r="4772">
      <c r="A4772" s="25" t="n">
        <v>45860</v>
      </c>
      <c r="B4772" s="18" t="n">
        <v>134035.72</v>
      </c>
      <c r="C4772" s="31" t="n"/>
      <c r="D4772" s="32" t="n"/>
      <c r="E4772" s="33" t="n">
        <v>-0.4879</v>
      </c>
      <c r="F4772" t="inlineStr">
        <is>
          <t>Down</t>
        </is>
      </c>
      <c r="G4772" t="inlineStr">
        <is>
          <t>Down</t>
        </is>
      </c>
      <c r="H4772" t="inlineStr">
        <is>
          <t>ED_JD</t>
        </is>
      </c>
      <c r="I4772" t="inlineStr">
        <is>
          <t>2025-07</t>
        </is>
      </c>
      <c r="J4772" t="n">
        <v>1</v>
      </c>
      <c r="K4772" t="n">
        <v>1</v>
      </c>
      <c r="L4772" s="34">
        <f>IF($J4772=1,LN(B4773/B4772),"")</f>
        <v/>
      </c>
      <c r="M4772" s="34">
        <f>IF($K4772=1,INDEX(Mensal!$D$2:$D$245,MATCH($I4772,Mensal!$A$2:$A$245,0)),"")</f>
        <v/>
      </c>
      <c r="N4772" s="34">
        <f>IF($K4772=1,L4772-M4772,"")</f>
        <v/>
      </c>
      <c r="O4772" s="34" t="n">
        <v>0.00055131</v>
      </c>
      <c r="P4772" s="34">
        <f>IF($J4772=1,LN(1+O4772),"")</f>
        <v/>
      </c>
      <c r="Q4772" s="34">
        <f>IF($J4772=1,LN(R4773/R4772),"")</f>
        <v/>
      </c>
      <c r="R4772" s="32" t="n">
        <v>5.5709</v>
      </c>
      <c r="S4772" s="35" t="n">
        <v>14.72</v>
      </c>
      <c r="T4772" s="18" t="n"/>
      <c r="U4772" s="18" t="n"/>
      <c r="V4772" s="18" t="n">
        <v>134035.72</v>
      </c>
      <c r="W4772" s="18" t="n"/>
      <c r="X4772" s="35" t="n"/>
      <c r="Y4772" s="35" t="n">
        <v>14.72</v>
      </c>
    </row>
    <row r="4773">
      <c r="A4773" s="25" t="n">
        <v>45861</v>
      </c>
      <c r="B4773" s="18" t="n">
        <v>135368.27</v>
      </c>
      <c r="C4773" s="31" t="n"/>
      <c r="D4773" s="32" t="n"/>
      <c r="E4773" s="33" t="n">
        <v>-0.5033</v>
      </c>
      <c r="F4773" t="inlineStr">
        <is>
          <t>Down</t>
        </is>
      </c>
      <c r="G4773" t="inlineStr">
        <is>
          <t>Down</t>
        </is>
      </c>
      <c r="H4773" t="inlineStr">
        <is>
          <t>ED_JD</t>
        </is>
      </c>
      <c r="I4773" t="inlineStr">
        <is>
          <t>2025-07</t>
        </is>
      </c>
      <c r="J4773" t="n">
        <v>1</v>
      </c>
      <c r="K4773" t="n">
        <v>1</v>
      </c>
      <c r="L4773" s="34">
        <f>IF($J4773=1,LN(B4774/B4773),"")</f>
        <v/>
      </c>
      <c r="M4773" s="34">
        <f>IF($K4773=1,INDEX(Mensal!$D$2:$D$245,MATCH($I4773,Mensal!$A$2:$A$245,0)),"")</f>
        <v/>
      </c>
      <c r="N4773" s="34">
        <f>IF($K4773=1,L4773-M4773,"")</f>
        <v/>
      </c>
      <c r="O4773" s="34" t="n">
        <v>0.00055131</v>
      </c>
      <c r="P4773" s="34">
        <f>IF($J4773=1,LN(1+O4773),"")</f>
        <v/>
      </c>
      <c r="Q4773" s="34">
        <f>IF($J4773=1,LN(R4774/R4773),"")</f>
        <v/>
      </c>
      <c r="R4773" s="32" t="n">
        <v>5.5537</v>
      </c>
      <c r="S4773" s="35" t="n">
        <v>14.7</v>
      </c>
      <c r="T4773" s="18" t="n"/>
      <c r="U4773" s="18" t="n"/>
      <c r="V4773" s="18" t="n">
        <v>135368.27</v>
      </c>
      <c r="W4773" s="18" t="n"/>
      <c r="X4773" s="35" t="n"/>
      <c r="Y4773" s="35" t="n">
        <v>14.7</v>
      </c>
    </row>
    <row r="4774">
      <c r="A4774" s="25" t="n">
        <v>45862</v>
      </c>
      <c r="B4774" s="18" t="n">
        <v>133807.59</v>
      </c>
      <c r="C4774" s="31" t="n"/>
      <c r="D4774" s="32" t="n"/>
      <c r="E4774" s="33" t="n">
        <v>-0.5438</v>
      </c>
      <c r="F4774" t="inlineStr">
        <is>
          <t>Down</t>
        </is>
      </c>
      <c r="G4774" t="inlineStr">
        <is>
          <t>Down</t>
        </is>
      </c>
      <c r="H4774" t="inlineStr">
        <is>
          <t>ED_JD</t>
        </is>
      </c>
      <c r="I4774" t="inlineStr">
        <is>
          <t>2025-07</t>
        </is>
      </c>
      <c r="J4774" t="n">
        <v>1</v>
      </c>
      <c r="K4774" t="n">
        <v>1</v>
      </c>
      <c r="L4774" s="34">
        <f>IF($J4774=1,LN(B4775/B4774),"")</f>
        <v/>
      </c>
      <c r="M4774" s="34">
        <f>IF($K4774=1,INDEX(Mensal!$D$2:$D$245,MATCH($I4774,Mensal!$A$2:$A$245,0)),"")</f>
        <v/>
      </c>
      <c r="N4774" s="34">
        <f>IF($K4774=1,L4774-M4774,"")</f>
        <v/>
      </c>
      <c r="O4774" s="34" t="n">
        <v>0.00055131</v>
      </c>
      <c r="P4774" s="34">
        <f>IF($J4774=1,LN(1+O4774),"")</f>
        <v/>
      </c>
      <c r="Q4774" s="34">
        <f>IF($J4774=1,LN(R4775/R4774),"")</f>
        <v/>
      </c>
      <c r="R4774" s="32" t="n">
        <v>5.5239</v>
      </c>
      <c r="S4774" s="35" t="n">
        <v>14.71</v>
      </c>
      <c r="T4774" s="18" t="n"/>
      <c r="U4774" s="18" t="n"/>
      <c r="V4774" s="18" t="n">
        <v>133807.59</v>
      </c>
      <c r="W4774" s="18" t="n"/>
      <c r="X4774" s="35" t="n"/>
      <c r="Y4774" s="35" t="n">
        <v>14.71</v>
      </c>
    </row>
    <row r="4775">
      <c r="A4775" s="25" t="n">
        <v>45863</v>
      </c>
      <c r="B4775" s="18" t="n">
        <v>133524.18</v>
      </c>
      <c r="C4775" s="31" t="n"/>
      <c r="D4775" s="32" t="n"/>
      <c r="E4775" s="33" t="n">
        <v>-0.5886</v>
      </c>
      <c r="F4775" t="inlineStr">
        <is>
          <t>Down</t>
        </is>
      </c>
      <c r="G4775" t="inlineStr">
        <is>
          <t>Down</t>
        </is>
      </c>
      <c r="H4775" t="inlineStr">
        <is>
          <t>ED_JD</t>
        </is>
      </c>
      <c r="I4775" t="inlineStr">
        <is>
          <t>2025-07</t>
        </is>
      </c>
      <c r="J4775" t="n">
        <v>1</v>
      </c>
      <c r="K4775" t="n">
        <v>1</v>
      </c>
      <c r="L4775" s="34">
        <f>IF($J4775=1,LN(B4776/B4775),"")</f>
        <v/>
      </c>
      <c r="M4775" s="34">
        <f>IF($K4775=1,INDEX(Mensal!$D$2:$D$245,MATCH($I4775,Mensal!$A$2:$A$245,0)),"")</f>
        <v/>
      </c>
      <c r="N4775" s="34">
        <f>IF($K4775=1,L4775-M4775,"")</f>
        <v/>
      </c>
      <c r="O4775" s="34" t="n">
        <v>0.00055131</v>
      </c>
      <c r="P4775" s="34">
        <f>IF($J4775=1,LN(1+O4775),"")</f>
        <v/>
      </c>
      <c r="Q4775" s="34">
        <f>IF($J4775=1,LN(R4776/R4775),"")</f>
        <v/>
      </c>
      <c r="R4775" s="32" t="n">
        <v>5.5426</v>
      </c>
      <c r="S4775" s="35" t="n">
        <v>14.7</v>
      </c>
      <c r="T4775" s="18" t="n"/>
      <c r="U4775" s="18" t="n"/>
      <c r="V4775" s="18" t="n">
        <v>133524.18</v>
      </c>
      <c r="W4775" s="18" t="n"/>
      <c r="X4775" s="35" t="n"/>
      <c r="Y4775" s="35" t="n">
        <v>14.7</v>
      </c>
    </row>
    <row r="4776">
      <c r="A4776" s="25" t="n">
        <v>45866</v>
      </c>
      <c r="B4776" s="18" t="n">
        <v>132129.26</v>
      </c>
      <c r="C4776" s="31" t="n"/>
      <c r="D4776" s="32" t="n"/>
      <c r="E4776" s="33" t="n">
        <v>-0.6202</v>
      </c>
      <c r="F4776" t="inlineStr">
        <is>
          <t>Down</t>
        </is>
      </c>
      <c r="G4776" t="inlineStr">
        <is>
          <t>Down</t>
        </is>
      </c>
      <c r="H4776" t="inlineStr">
        <is>
          <t>ED_JD</t>
        </is>
      </c>
      <c r="I4776" t="inlineStr">
        <is>
          <t>2025-07</t>
        </is>
      </c>
      <c r="J4776" t="n">
        <v>1</v>
      </c>
      <c r="K4776" t="n">
        <v>1</v>
      </c>
      <c r="L4776" s="34">
        <f>IF($J4776=1,LN(B4777/B4776),"")</f>
        <v/>
      </c>
      <c r="M4776" s="34">
        <f>IF($K4776=1,INDEX(Mensal!$D$2:$D$245,MATCH($I4776,Mensal!$A$2:$A$245,0)),"")</f>
        <v/>
      </c>
      <c r="N4776" s="34">
        <f>IF($K4776=1,L4776-M4776,"")</f>
        <v/>
      </c>
      <c r="O4776" s="34" t="n">
        <v>0.00055131</v>
      </c>
      <c r="P4776" s="34">
        <f>IF($J4776=1,LN(1+O4776),"")</f>
        <v/>
      </c>
      <c r="Q4776" s="34">
        <f>IF($J4776=1,LN(R4777/R4776),"")</f>
        <v/>
      </c>
      <c r="R4776" s="32" t="n">
        <v>5.5877</v>
      </c>
      <c r="S4776" s="35" t="n">
        <v>14.68</v>
      </c>
      <c r="T4776" s="18" t="n"/>
      <c r="U4776" s="18" t="n"/>
      <c r="V4776" s="18" t="n">
        <v>132129.26</v>
      </c>
      <c r="W4776" s="18" t="n"/>
      <c r="X4776" s="35" t="n"/>
      <c r="Y4776" s="35" t="n">
        <v>14.68</v>
      </c>
    </row>
    <row r="4777">
      <c r="A4777" s="25" t="n">
        <v>45867</v>
      </c>
      <c r="B4777" s="18" t="n">
        <v>132725.68</v>
      </c>
      <c r="C4777" s="31" t="n"/>
      <c r="D4777" s="32" t="n"/>
      <c r="E4777" s="33" t="n">
        <v>-0.662</v>
      </c>
      <c r="F4777" t="inlineStr">
        <is>
          <t>Down</t>
        </is>
      </c>
      <c r="G4777" t="inlineStr">
        <is>
          <t>Down</t>
        </is>
      </c>
      <c r="H4777" t="inlineStr">
        <is>
          <t>ED_JD</t>
        </is>
      </c>
      <c r="I4777" t="inlineStr">
        <is>
          <t>2025-07</t>
        </is>
      </c>
      <c r="J4777" t="n">
        <v>1</v>
      </c>
      <c r="K4777" t="n">
        <v>1</v>
      </c>
      <c r="L4777" s="34">
        <f>IF($J4777=1,LN(B4778/B4777),"")</f>
        <v/>
      </c>
      <c r="M4777" s="34">
        <f>IF($K4777=1,INDEX(Mensal!$D$2:$D$245,MATCH($I4777,Mensal!$A$2:$A$245,0)),"")</f>
        <v/>
      </c>
      <c r="N4777" s="34">
        <f>IF($K4777=1,L4777-M4777,"")</f>
        <v/>
      </c>
      <c r="O4777" s="34" t="n">
        <v>0.00055131</v>
      </c>
      <c r="P4777" s="34">
        <f>IF($J4777=1,LN(1+O4777),"")</f>
        <v/>
      </c>
      <c r="Q4777" s="34">
        <f>IF($J4777=1,LN(R4778/R4777),"")</f>
        <v/>
      </c>
      <c r="R4777" s="32" t="n">
        <v>5.5764</v>
      </c>
      <c r="S4777" s="35" t="n">
        <v>14.63</v>
      </c>
      <c r="T4777" s="18" t="n"/>
      <c r="U4777" s="18" t="n"/>
      <c r="V4777" s="18" t="n">
        <v>132725.68</v>
      </c>
      <c r="W4777" s="18" t="n"/>
      <c r="X4777" s="35" t="n"/>
      <c r="Y4777" s="35" t="n">
        <v>14.63</v>
      </c>
    </row>
    <row r="4778">
      <c r="A4778" s="25" t="n">
        <v>45868</v>
      </c>
      <c r="B4778" s="18" t="n">
        <v>133989.74</v>
      </c>
      <c r="C4778" s="31" t="n"/>
      <c r="D4778" s="32" t="n"/>
      <c r="E4778" s="33" t="n">
        <v>-0.6756</v>
      </c>
      <c r="F4778" t="inlineStr">
        <is>
          <t>Down</t>
        </is>
      </c>
      <c r="G4778" t="inlineStr">
        <is>
          <t>Down</t>
        </is>
      </c>
      <c r="H4778" t="inlineStr">
        <is>
          <t>ED_JD</t>
        </is>
      </c>
      <c r="I4778" t="inlineStr">
        <is>
          <t>2025-07</t>
        </is>
      </c>
      <c r="J4778" t="n">
        <v>1</v>
      </c>
      <c r="K4778" t="n">
        <v>1</v>
      </c>
      <c r="L4778" s="34">
        <f>IF($J4778=1,LN(B4779/B4778),"")</f>
        <v/>
      </c>
      <c r="M4778" s="34">
        <f>IF($K4778=1,INDEX(Mensal!$D$2:$D$245,MATCH($I4778,Mensal!$A$2:$A$245,0)),"")</f>
        <v/>
      </c>
      <c r="N4778" s="34">
        <f>IF($K4778=1,L4778-M4778,"")</f>
        <v/>
      </c>
      <c r="O4778" s="34" t="n">
        <v>0.00055131</v>
      </c>
      <c r="P4778" s="34">
        <f>IF($J4778=1,LN(1+O4778),"")</f>
        <v/>
      </c>
      <c r="Q4778" s="34">
        <f>IF($J4778=1,LN(R4779/R4778),"")</f>
        <v/>
      </c>
      <c r="R4778" s="32" t="n">
        <v>5.6034</v>
      </c>
      <c r="S4778" s="35" t="n">
        <v>14.69</v>
      </c>
      <c r="T4778" s="18" t="n"/>
      <c r="U4778" s="18" t="n"/>
      <c r="V4778" s="18" t="n">
        <v>133989.74</v>
      </c>
      <c r="W4778" s="18" t="n"/>
      <c r="X4778" s="35" t="n"/>
      <c r="Y4778" s="35" t="n">
        <v>14.69</v>
      </c>
    </row>
    <row r="4779">
      <c r="A4779" s="25" t="n">
        <v>45869</v>
      </c>
      <c r="B4779" s="18" t="n">
        <v>133071.05</v>
      </c>
      <c r="C4779" s="31" t="n"/>
      <c r="D4779" s="32" t="n"/>
      <c r="E4779" s="33" t="n">
        <v>-0.6999</v>
      </c>
      <c r="F4779" t="inlineStr">
        <is>
          <t>Down</t>
        </is>
      </c>
      <c r="G4779" t="inlineStr">
        <is>
          <t>Down</t>
        </is>
      </c>
      <c r="H4779" t="inlineStr">
        <is>
          <t>ED_JD</t>
        </is>
      </c>
      <c r="I4779" t="inlineStr">
        <is>
          <t>2025-07</t>
        </is>
      </c>
      <c r="J4779" t="n">
        <v>1</v>
      </c>
      <c r="K4779" t="n">
        <v>1</v>
      </c>
      <c r="L4779" s="34">
        <f>IF($J4779=1,LN(B4780/B4779),"")</f>
        <v/>
      </c>
      <c r="M4779" s="34">
        <f>IF($K4779=1,INDEX(Mensal!$D$2:$D$245,MATCH($I4779,Mensal!$A$2:$A$245,0)),"")</f>
        <v/>
      </c>
      <c r="N4779" s="34">
        <f>IF($K4779=1,L4779-M4779,"")</f>
        <v/>
      </c>
      <c r="O4779" s="34" t="n">
        <v>0.00055131</v>
      </c>
      <c r="P4779" s="34">
        <f>IF($J4779=1,LN(1+O4779),"")</f>
        <v/>
      </c>
      <c r="Q4779" s="34">
        <f>IF($J4779=1,LN(R4780/R4779),"")</f>
        <v/>
      </c>
      <c r="R4779" s="32" t="n">
        <v>5.6021</v>
      </c>
      <c r="S4779" s="35" t="n">
        <v>14.76</v>
      </c>
      <c r="T4779" s="18" t="n"/>
      <c r="U4779" s="18" t="n"/>
      <c r="V4779" s="18" t="n">
        <v>133071.05</v>
      </c>
      <c r="W4779" s="18" t="n"/>
      <c r="X4779" s="35" t="n"/>
      <c r="Y4779" s="35" t="n">
        <v>14.76</v>
      </c>
    </row>
    <row r="4780">
      <c r="A4780" s="25" t="n">
        <v>45870</v>
      </c>
      <c r="B4780" s="18" t="n">
        <v>132437.39</v>
      </c>
      <c r="C4780" s="31" t="n"/>
      <c r="D4780" s="32" t="n"/>
      <c r="E4780" s="33" t="n">
        <v>-0.7163</v>
      </c>
      <c r="F4780" t="inlineStr">
        <is>
          <t>Down</t>
        </is>
      </c>
      <c r="G4780" t="inlineStr">
        <is>
          <t>Down</t>
        </is>
      </c>
      <c r="H4780" t="inlineStr">
        <is>
          <t>ED_JD</t>
        </is>
      </c>
      <c r="I4780" t="inlineStr">
        <is>
          <t>2025-08</t>
        </is>
      </c>
      <c r="J4780" t="n">
        <v>1</v>
      </c>
      <c r="K4780" t="n">
        <v>1</v>
      </c>
      <c r="L4780" s="34">
        <f>IF($J4780=1,LN(B4781/B4780),"")</f>
        <v/>
      </c>
      <c r="M4780" s="34">
        <f>IF($K4780=1,INDEX(Mensal!$D$2:$D$245,MATCH($I4780,Mensal!$A$2:$A$245,0)),"")</f>
        <v/>
      </c>
      <c r="N4780" s="34">
        <f>IF($K4780=1,L4780-M4780,"")</f>
        <v/>
      </c>
      <c r="O4780" s="34" t="n">
        <v>0.00055131</v>
      </c>
      <c r="P4780" s="34">
        <f>IF($J4780=1,LN(1+O4780),"")</f>
        <v/>
      </c>
      <c r="Q4780" s="34">
        <f>IF($J4780=1,LN(R4781/R4780),"")</f>
        <v/>
      </c>
      <c r="R4780" s="32" t="n">
        <v>5.5436</v>
      </c>
      <c r="S4780" s="35" t="n">
        <v>14.65</v>
      </c>
      <c r="T4780" s="18" t="n"/>
      <c r="U4780" s="18" t="n"/>
      <c r="V4780" s="18" t="n">
        <v>132437.39</v>
      </c>
      <c r="W4780" s="18" t="n"/>
      <c r="X4780" s="35" t="n"/>
      <c r="Y4780" s="35" t="n">
        <v>14.65</v>
      </c>
    </row>
    <row r="4781">
      <c r="A4781" s="25" t="n">
        <v>45873</v>
      </c>
      <c r="B4781" s="18" t="n">
        <v>132971.2</v>
      </c>
      <c r="C4781" s="31" t="n"/>
      <c r="D4781" s="32" t="n"/>
      <c r="E4781" s="33" t="n">
        <v>-0.7176</v>
      </c>
      <c r="F4781" t="inlineStr">
        <is>
          <t>Down</t>
        </is>
      </c>
      <c r="G4781" t="inlineStr">
        <is>
          <t>Down</t>
        </is>
      </c>
      <c r="H4781" t="inlineStr">
        <is>
          <t>ED_JD</t>
        </is>
      </c>
      <c r="I4781" t="inlineStr">
        <is>
          <t>2025-08</t>
        </is>
      </c>
      <c r="J4781" t="n">
        <v>1</v>
      </c>
      <c r="K4781" t="n">
        <v>1</v>
      </c>
      <c r="L4781" s="34">
        <f>IF($J4781=1,LN(B4782/B4781),"")</f>
        <v/>
      </c>
      <c r="M4781" s="34">
        <f>IF($K4781=1,INDEX(Mensal!$D$2:$D$245,MATCH($I4781,Mensal!$A$2:$A$245,0)),"")</f>
        <v/>
      </c>
      <c r="N4781" s="34">
        <f>IF($K4781=1,L4781-M4781,"")</f>
        <v/>
      </c>
      <c r="O4781" s="34" t="n">
        <v>0.00055131</v>
      </c>
      <c r="P4781" s="34">
        <f>IF($J4781=1,LN(1+O4781),"")</f>
        <v/>
      </c>
      <c r="Q4781" s="34">
        <f>IF($J4781=1,LN(R4782/R4781),"")</f>
        <v/>
      </c>
      <c r="R4781" s="32" t="n">
        <v>5.5113</v>
      </c>
      <c r="S4781" s="35" t="n">
        <v>14.62</v>
      </c>
      <c r="T4781" s="18" t="n"/>
      <c r="U4781" s="18" t="n"/>
      <c r="V4781" s="18" t="n">
        <v>132971.2</v>
      </c>
      <c r="W4781" s="18" t="n"/>
      <c r="X4781" s="35" t="n"/>
      <c r="Y4781" s="35" t="n">
        <v>14.62</v>
      </c>
    </row>
    <row r="4782">
      <c r="A4782" s="25" t="n">
        <v>45874</v>
      </c>
      <c r="B4782" s="18" t="n">
        <v>133151.3</v>
      </c>
      <c r="C4782" s="31" t="n"/>
      <c r="D4782" s="32" t="n"/>
      <c r="E4782" s="33" t="n">
        <v>-0.7155</v>
      </c>
      <c r="F4782" t="inlineStr">
        <is>
          <t>Down</t>
        </is>
      </c>
      <c r="G4782" t="inlineStr">
        <is>
          <t>Down</t>
        </is>
      </c>
      <c r="H4782" t="inlineStr">
        <is>
          <t>ED_JD</t>
        </is>
      </c>
      <c r="I4782" t="inlineStr">
        <is>
          <t>2025-08</t>
        </is>
      </c>
      <c r="J4782" t="n">
        <v>1</v>
      </c>
      <c r="K4782" t="n">
        <v>1</v>
      </c>
      <c r="L4782" s="34">
        <f>IF($J4782=1,LN(B4783/B4782),"")</f>
        <v/>
      </c>
      <c r="M4782" s="34">
        <f>IF($K4782=1,INDEX(Mensal!$D$2:$D$245,MATCH($I4782,Mensal!$A$2:$A$245,0)),"")</f>
        <v/>
      </c>
      <c r="N4782" s="34">
        <f>IF($K4782=1,L4782-M4782,"")</f>
        <v/>
      </c>
      <c r="O4782" s="34" t="n">
        <v>0.00055131</v>
      </c>
      <c r="P4782" s="34">
        <f>IF($J4782=1,LN(1+O4782),"")</f>
        <v/>
      </c>
      <c r="Q4782" s="34">
        <f>IF($J4782=1,LN(R4783/R4782),"")</f>
        <v/>
      </c>
      <c r="R4782" s="32" t="n">
        <v>5.5119</v>
      </c>
      <c r="S4782" s="35" t="n">
        <v>14.62</v>
      </c>
      <c r="T4782" s="18" t="n"/>
      <c r="U4782" s="18" t="n"/>
      <c r="V4782" s="18" t="n">
        <v>133151.3</v>
      </c>
      <c r="W4782" s="18" t="n"/>
      <c r="X4782" s="35" t="n"/>
      <c r="Y4782" s="35" t="n">
        <v>14.62</v>
      </c>
    </row>
    <row r="4783">
      <c r="A4783" s="25" t="n">
        <v>45875</v>
      </c>
      <c r="B4783" s="18" t="n">
        <v>134537.62</v>
      </c>
      <c r="C4783" s="31" t="n"/>
      <c r="D4783" s="32" t="n"/>
      <c r="E4783" s="33" t="n">
        <v>-0.7084</v>
      </c>
      <c r="F4783" t="inlineStr">
        <is>
          <t>Down</t>
        </is>
      </c>
      <c r="G4783" t="inlineStr">
        <is>
          <t>Down</t>
        </is>
      </c>
      <c r="H4783" t="inlineStr">
        <is>
          <t>ED_JD</t>
        </is>
      </c>
      <c r="I4783" t="inlineStr">
        <is>
          <t>2025-08</t>
        </is>
      </c>
      <c r="J4783" t="n">
        <v>1</v>
      </c>
      <c r="K4783" t="n">
        <v>1</v>
      </c>
      <c r="L4783" s="34">
        <f>IF($J4783=1,LN(B4784/B4783),"")</f>
        <v/>
      </c>
      <c r="M4783" s="34">
        <f>IF($K4783=1,INDEX(Mensal!$D$2:$D$245,MATCH($I4783,Mensal!$A$2:$A$245,0)),"")</f>
        <v/>
      </c>
      <c r="N4783" s="34">
        <f>IF($K4783=1,L4783-M4783,"")</f>
        <v/>
      </c>
      <c r="O4783" s="34" t="n">
        <v>0.00055131</v>
      </c>
      <c r="P4783" s="34">
        <f>IF($J4783=1,LN(1+O4783),"")</f>
        <v/>
      </c>
      <c r="Q4783" s="34">
        <f>IF($J4783=1,LN(R4784/R4783),"")</f>
        <v/>
      </c>
      <c r="R4783" s="32" t="n">
        <v>5.4802</v>
      </c>
      <c r="S4783" s="35" t="n">
        <v>14.61</v>
      </c>
      <c r="T4783" s="18" t="n"/>
      <c r="U4783" s="18" t="n"/>
      <c r="V4783" s="18" t="n">
        <v>134537.62</v>
      </c>
      <c r="W4783" s="18" t="n"/>
      <c r="X4783" s="35" t="n"/>
      <c r="Y4783" s="35" t="n">
        <v>14.61</v>
      </c>
    </row>
    <row r="4784">
      <c r="A4784" s="25" t="n">
        <v>45876</v>
      </c>
      <c r="B4784" s="18" t="n">
        <v>136527.61</v>
      </c>
      <c r="C4784" s="31" t="n"/>
      <c r="D4784" s="32" t="n"/>
      <c r="E4784" s="33" t="n">
        <v>-0.699</v>
      </c>
      <c r="F4784" t="inlineStr">
        <is>
          <t>Down</t>
        </is>
      </c>
      <c r="G4784" t="inlineStr">
        <is>
          <t>Down</t>
        </is>
      </c>
      <c r="H4784" t="inlineStr">
        <is>
          <t>ED_JD</t>
        </is>
      </c>
      <c r="I4784" t="inlineStr">
        <is>
          <t>2025-08</t>
        </is>
      </c>
      <c r="J4784" t="n">
        <v>1</v>
      </c>
      <c r="K4784" t="n">
        <v>1</v>
      </c>
      <c r="L4784" s="34">
        <f>IF($J4784=1,LN(B4785/B4784),"")</f>
        <v/>
      </c>
      <c r="M4784" s="34">
        <f>IF($K4784=1,INDEX(Mensal!$D$2:$D$245,MATCH($I4784,Mensal!$A$2:$A$245,0)),"")</f>
        <v/>
      </c>
      <c r="N4784" s="34">
        <f>IF($K4784=1,L4784-M4784,"")</f>
        <v/>
      </c>
      <c r="O4784" s="34" t="n">
        <v>0.00055131</v>
      </c>
      <c r="P4784" s="34">
        <f>IF($J4784=1,LN(1+O4784),"")</f>
        <v/>
      </c>
      <c r="Q4784" s="34">
        <f>IF($J4784=1,LN(R4785/R4784),"")</f>
        <v/>
      </c>
      <c r="R4784" s="32" t="n">
        <v>5.4638</v>
      </c>
      <c r="S4784" s="35" t="n">
        <v>14.57</v>
      </c>
      <c r="T4784" s="18" t="n"/>
      <c r="U4784" s="18" t="n"/>
      <c r="V4784" s="18" t="n">
        <v>136527.61</v>
      </c>
      <c r="W4784" s="18" t="n"/>
      <c r="X4784" s="35" t="n"/>
      <c r="Y4784" s="35" t="n">
        <v>14.57</v>
      </c>
    </row>
    <row r="4785">
      <c r="A4785" s="25" t="n">
        <v>45877</v>
      </c>
      <c r="B4785" s="18" t="n">
        <v>135913.25</v>
      </c>
      <c r="C4785" s="31" t="n"/>
      <c r="D4785" s="32" t="n"/>
      <c r="E4785" s="33" t="n">
        <v>-0.6925</v>
      </c>
      <c r="F4785" t="inlineStr">
        <is>
          <t>Down</t>
        </is>
      </c>
      <c r="G4785" t="inlineStr">
        <is>
          <t>Down</t>
        </is>
      </c>
      <c r="H4785" t="inlineStr">
        <is>
          <t>ED_JD</t>
        </is>
      </c>
      <c r="I4785" t="inlineStr">
        <is>
          <t>2025-08</t>
        </is>
      </c>
      <c r="J4785" t="n">
        <v>1</v>
      </c>
      <c r="K4785" t="n">
        <v>1</v>
      </c>
      <c r="L4785" s="34">
        <f>IF($J4785=1,LN(B4786/B4785),"")</f>
        <v/>
      </c>
      <c r="M4785" s="34">
        <f>IF($K4785=1,INDEX(Mensal!$D$2:$D$245,MATCH($I4785,Mensal!$A$2:$A$245,0)),"")</f>
        <v/>
      </c>
      <c r="N4785" s="34">
        <f>IF($K4785=1,L4785-M4785,"")</f>
        <v/>
      </c>
      <c r="O4785" s="34" t="n">
        <v>0.00055131</v>
      </c>
      <c r="P4785" s="34">
        <f>IF($J4785=1,LN(1+O4785),"")</f>
        <v/>
      </c>
      <c r="Q4785" s="34">
        <f>IF($J4785=1,LN(R4786/R4785),"")</f>
        <v/>
      </c>
      <c r="R4785" s="32" t="n">
        <v>5.4254</v>
      </c>
      <c r="S4785" s="35" t="n">
        <v>14.59</v>
      </c>
      <c r="T4785" s="18" t="n"/>
      <c r="U4785" s="18" t="n"/>
      <c r="V4785" s="18" t="n">
        <v>135913.25</v>
      </c>
      <c r="W4785" s="18" t="n"/>
      <c r="X4785" s="35" t="n"/>
      <c r="Y4785" s="35" t="n">
        <v>14.59</v>
      </c>
    </row>
    <row r="4786">
      <c r="A4786" s="25" t="n">
        <v>45880</v>
      </c>
      <c r="B4786" s="18" t="n">
        <v>135623.15</v>
      </c>
      <c r="C4786" s="31" t="n"/>
      <c r="D4786" s="32" t="n"/>
      <c r="E4786" s="33" t="n">
        <v>-0.6933</v>
      </c>
      <c r="F4786" t="inlineStr">
        <is>
          <t>Down</t>
        </is>
      </c>
      <c r="G4786" t="inlineStr">
        <is>
          <t>Down</t>
        </is>
      </c>
      <c r="H4786" t="inlineStr">
        <is>
          <t>ED_JD</t>
        </is>
      </c>
      <c r="I4786" t="inlineStr">
        <is>
          <t>2025-08</t>
        </is>
      </c>
      <c r="J4786" t="n">
        <v>1</v>
      </c>
      <c r="K4786" t="n">
        <v>1</v>
      </c>
      <c r="L4786" s="34">
        <f>IF($J4786=1,LN(B4787/B4786),"")</f>
        <v/>
      </c>
      <c r="M4786" s="34">
        <f>IF($K4786=1,INDEX(Mensal!$D$2:$D$245,MATCH($I4786,Mensal!$A$2:$A$245,0)),"")</f>
        <v/>
      </c>
      <c r="N4786" s="34">
        <f>IF($K4786=1,L4786-M4786,"")</f>
        <v/>
      </c>
      <c r="O4786" s="34" t="n">
        <v>0.00055131</v>
      </c>
      <c r="P4786" s="34">
        <f>IF($J4786=1,LN(1+O4786),"")</f>
        <v/>
      </c>
      <c r="Q4786" s="34">
        <f>IF($J4786=1,LN(R4787/R4786),"")</f>
        <v/>
      </c>
      <c r="R4786" s="32" t="n">
        <v>5.4473</v>
      </c>
      <c r="S4786" s="35" t="n">
        <v>14.55</v>
      </c>
      <c r="T4786" s="18" t="n"/>
      <c r="U4786" s="18" t="n"/>
      <c r="V4786" s="18" t="n">
        <v>135623.15</v>
      </c>
      <c r="W4786" s="18" t="n"/>
      <c r="X4786" s="35" t="n"/>
      <c r="Y4786" s="35" t="n">
        <v>14.55</v>
      </c>
    </row>
    <row r="4787">
      <c r="A4787" s="25" t="n">
        <v>45881</v>
      </c>
      <c r="B4787" s="18" t="n">
        <v>137913.68</v>
      </c>
      <c r="C4787" s="31" t="n"/>
      <c r="D4787" s="32" t="n"/>
      <c r="E4787" s="33" t="n">
        <v>-0.6892</v>
      </c>
      <c r="F4787" t="inlineStr">
        <is>
          <t>Down</t>
        </is>
      </c>
      <c r="G4787" t="inlineStr">
        <is>
          <t>Down</t>
        </is>
      </c>
      <c r="H4787" t="inlineStr">
        <is>
          <t>ED_JD</t>
        </is>
      </c>
      <c r="I4787" t="inlineStr">
        <is>
          <t>2025-08</t>
        </is>
      </c>
      <c r="J4787" t="n">
        <v>1</v>
      </c>
      <c r="K4787" t="n">
        <v>1</v>
      </c>
      <c r="L4787" s="34">
        <f>IF($J4787=1,LN(B4788/B4787),"")</f>
        <v/>
      </c>
      <c r="M4787" s="34">
        <f>IF($K4787=1,INDEX(Mensal!$D$2:$D$245,MATCH($I4787,Mensal!$A$2:$A$245,0)),"")</f>
        <v/>
      </c>
      <c r="N4787" s="34">
        <f>IF($K4787=1,L4787-M4787,"")</f>
        <v/>
      </c>
      <c r="O4787" s="34" t="n">
        <v>0.00055131</v>
      </c>
      <c r="P4787" s="34">
        <f>IF($J4787=1,LN(1+O4787),"")</f>
        <v/>
      </c>
      <c r="Q4787" s="34">
        <f>IF($J4787=1,LN(R4788/R4787),"")</f>
        <v/>
      </c>
      <c r="R4787" s="32" t="n">
        <v>5.4052</v>
      </c>
      <c r="S4787" s="35" t="n">
        <v>14.46</v>
      </c>
      <c r="T4787" s="18" t="n"/>
      <c r="U4787" s="18" t="n"/>
      <c r="V4787" s="18" t="n">
        <v>137913.68</v>
      </c>
      <c r="W4787" s="18" t="n"/>
      <c r="X4787" s="35" t="n"/>
      <c r="Y4787" s="35" t="n">
        <v>14.46</v>
      </c>
    </row>
    <row r="4788">
      <c r="A4788" s="25" t="n">
        <v>45882</v>
      </c>
      <c r="B4788" s="18" t="n">
        <v>136687.32</v>
      </c>
      <c r="C4788" s="31" t="n"/>
      <c r="D4788" s="32" t="n"/>
      <c r="E4788" s="33" t="n">
        <v>-0.681</v>
      </c>
      <c r="F4788" t="inlineStr">
        <is>
          <t>Down</t>
        </is>
      </c>
      <c r="G4788" t="inlineStr">
        <is>
          <t>Down</t>
        </is>
      </c>
      <c r="H4788" t="inlineStr">
        <is>
          <t>ED_JD</t>
        </is>
      </c>
      <c r="I4788" t="inlineStr">
        <is>
          <t>2025-08</t>
        </is>
      </c>
      <c r="J4788" t="n">
        <v>1</v>
      </c>
      <c r="K4788" t="n">
        <v>1</v>
      </c>
      <c r="L4788" s="34">
        <f>IF($J4788=1,LN(B4789/B4788),"")</f>
        <v/>
      </c>
      <c r="M4788" s="34">
        <f>IF($K4788=1,INDEX(Mensal!$D$2:$D$245,MATCH($I4788,Mensal!$A$2:$A$245,0)),"")</f>
        <v/>
      </c>
      <c r="N4788" s="34">
        <f>IF($K4788=1,L4788-M4788,"")</f>
        <v/>
      </c>
      <c r="O4788" s="34" t="n">
        <v>0.00055131</v>
      </c>
      <c r="P4788" s="34">
        <f>IF($J4788=1,LN(1+O4788),"")</f>
        <v/>
      </c>
      <c r="Q4788" s="34">
        <f>IF($J4788=1,LN(R4789/R4788),"")</f>
        <v/>
      </c>
      <c r="R4788" s="32" t="n">
        <v>5.3928</v>
      </c>
      <c r="S4788" s="35" t="n">
        <v>14.43</v>
      </c>
      <c r="T4788" s="18" t="n"/>
      <c r="U4788" s="18" t="n"/>
      <c r="V4788" s="18" t="n">
        <v>136687.32</v>
      </c>
      <c r="W4788" s="18" t="n"/>
      <c r="X4788" s="35" t="n"/>
      <c r="Y4788" s="35" t="n">
        <v>14.43</v>
      </c>
    </row>
    <row r="4789">
      <c r="A4789" s="25" t="n">
        <v>45883</v>
      </c>
      <c r="B4789" s="18" t="n">
        <v>136355.78</v>
      </c>
      <c r="C4789" s="31" t="n"/>
      <c r="D4789" s="32" t="n"/>
      <c r="E4789" s="33" t="n">
        <v>-0.6773</v>
      </c>
      <c r="F4789" t="inlineStr">
        <is>
          <t>Down</t>
        </is>
      </c>
      <c r="G4789" t="inlineStr">
        <is>
          <t>Down</t>
        </is>
      </c>
      <c r="H4789" t="inlineStr">
        <is>
          <t>ED_JD</t>
        </is>
      </c>
      <c r="I4789" t="inlineStr">
        <is>
          <t>2025-08</t>
        </is>
      </c>
      <c r="J4789" t="n">
        <v>1</v>
      </c>
      <c r="K4789" t="n">
        <v>1</v>
      </c>
      <c r="L4789" s="34">
        <f>IF($J4789=1,LN(B4790/B4789),"")</f>
        <v/>
      </c>
      <c r="M4789" s="34">
        <f>IF($K4789=1,INDEX(Mensal!$D$2:$D$245,MATCH($I4789,Mensal!$A$2:$A$245,0)),"")</f>
        <v/>
      </c>
      <c r="N4789" s="34">
        <f>IF($K4789=1,L4789-M4789,"")</f>
        <v/>
      </c>
      <c r="O4789" s="34" t="n">
        <v>0.00055131</v>
      </c>
      <c r="P4789" s="34">
        <f>IF($J4789=1,LN(1+O4789),"")</f>
        <v/>
      </c>
      <c r="Q4789" s="34">
        <f>IF($J4789=1,LN(R4790/R4789),"")</f>
        <v/>
      </c>
      <c r="R4789" s="32" t="n">
        <v>5.4095</v>
      </c>
      <c r="S4789" s="35" t="n">
        <v>14.44</v>
      </c>
      <c r="T4789" s="18" t="n"/>
      <c r="U4789" s="18" t="n"/>
      <c r="V4789" s="18" t="n">
        <v>136355.78</v>
      </c>
      <c r="W4789" s="18" t="n"/>
      <c r="X4789" s="35" t="n"/>
      <c r="Y4789" s="35" t="n">
        <v>14.44</v>
      </c>
    </row>
    <row r="4790">
      <c r="A4790" s="25" t="n">
        <v>45884</v>
      </c>
      <c r="B4790" s="18" t="n">
        <v>136340.77</v>
      </c>
      <c r="C4790" s="31" t="n"/>
      <c r="D4790" s="32" t="n"/>
      <c r="E4790" s="33" t="n">
        <v>-0.6669</v>
      </c>
      <c r="F4790" t="inlineStr">
        <is>
          <t>Down</t>
        </is>
      </c>
      <c r="G4790" t="inlineStr">
        <is>
          <t>Down</t>
        </is>
      </c>
      <c r="H4790" t="inlineStr">
        <is>
          <t>ED_JD</t>
        </is>
      </c>
      <c r="I4790" t="inlineStr">
        <is>
          <t>2025-08</t>
        </is>
      </c>
      <c r="J4790" t="n">
        <v>1</v>
      </c>
      <c r="K4790" t="n">
        <v>1</v>
      </c>
      <c r="L4790" s="34">
        <f>IF($J4790=1,LN(B4791/B4790),"")</f>
        <v/>
      </c>
      <c r="M4790" s="34">
        <f>IF($K4790=1,INDEX(Mensal!$D$2:$D$245,MATCH($I4790,Mensal!$A$2:$A$245,0)),"")</f>
        <v/>
      </c>
      <c r="N4790" s="34">
        <f>IF($K4790=1,L4790-M4790,"")</f>
        <v/>
      </c>
      <c r="O4790" s="34" t="n">
        <v>0.00055131</v>
      </c>
      <c r="P4790" s="34">
        <f>IF($J4790=1,LN(1+O4790),"")</f>
        <v/>
      </c>
      <c r="Q4790" s="34">
        <f>IF($J4790=1,LN(R4791/R4790),"")</f>
        <v/>
      </c>
      <c r="R4790" s="32" t="n">
        <v>5.3928</v>
      </c>
      <c r="S4790" s="35" t="n">
        <v>14.42</v>
      </c>
      <c r="T4790" s="18" t="n"/>
      <c r="U4790" s="18" t="n"/>
      <c r="V4790" s="18" t="n">
        <v>136340.77</v>
      </c>
      <c r="W4790" s="18" t="n"/>
      <c r="X4790" s="35" t="n"/>
      <c r="Y4790" s="35" t="n">
        <v>14.42</v>
      </c>
    </row>
    <row r="4791">
      <c r="A4791" s="25" t="n">
        <v>45887</v>
      </c>
      <c r="B4791" s="18" t="n">
        <v>137321.64</v>
      </c>
      <c r="C4791" s="31" t="n"/>
      <c r="D4791" s="32" t="n"/>
      <c r="E4791" s="33" t="n">
        <v>-0.6554</v>
      </c>
      <c r="F4791" t="inlineStr">
        <is>
          <t>Down</t>
        </is>
      </c>
      <c r="G4791" t="inlineStr">
        <is>
          <t>Down</t>
        </is>
      </c>
      <c r="H4791" t="inlineStr">
        <is>
          <t>ED_JD</t>
        </is>
      </c>
      <c r="I4791" t="inlineStr">
        <is>
          <t>2025-08</t>
        </is>
      </c>
      <c r="J4791" t="n">
        <v>1</v>
      </c>
      <c r="K4791" t="n">
        <v>1</v>
      </c>
      <c r="L4791" s="34">
        <f>IF($J4791=1,LN(B4792/B4791),"")</f>
        <v/>
      </c>
      <c r="M4791" s="34">
        <f>IF($K4791=1,INDEX(Mensal!$D$2:$D$245,MATCH($I4791,Mensal!$A$2:$A$245,0)),"")</f>
        <v/>
      </c>
      <c r="N4791" s="34">
        <f>IF($K4791=1,L4791-M4791,"")</f>
        <v/>
      </c>
      <c r="O4791" s="34" t="n">
        <v>0.00055131</v>
      </c>
      <c r="P4791" s="34">
        <f>IF($J4791=1,LN(1+O4791),"")</f>
        <v/>
      </c>
      <c r="Q4791" s="34">
        <f>IF($J4791=1,LN(R4792/R4791),"")</f>
        <v/>
      </c>
      <c r="R4791" s="32" t="n">
        <v>5.4155</v>
      </c>
      <c r="S4791" s="35" t="n">
        <v>14.43</v>
      </c>
      <c r="T4791" s="18" t="n"/>
      <c r="U4791" s="18" t="n"/>
      <c r="V4791" s="18" t="n">
        <v>137321.64</v>
      </c>
      <c r="W4791" s="18" t="n"/>
      <c r="X4791" s="35" t="n"/>
      <c r="Y4791" s="35" t="n">
        <v>14.43</v>
      </c>
    </row>
    <row r="4792">
      <c r="A4792" s="25" t="n">
        <v>45888</v>
      </c>
      <c r="B4792" s="18" t="n">
        <v>134432.26</v>
      </c>
      <c r="C4792" s="31" t="n"/>
      <c r="D4792" s="32" t="n"/>
      <c r="E4792" s="33" t="n">
        <v>-0.6405999999999999</v>
      </c>
      <c r="F4792" t="inlineStr">
        <is>
          <t>Down</t>
        </is>
      </c>
      <c r="G4792" t="inlineStr">
        <is>
          <t>Down</t>
        </is>
      </c>
      <c r="H4792" t="inlineStr">
        <is>
          <t>ED_JD</t>
        </is>
      </c>
      <c r="I4792" t="inlineStr">
        <is>
          <t>2025-08</t>
        </is>
      </c>
      <c r="J4792" t="n">
        <v>1</v>
      </c>
      <c r="K4792" t="n">
        <v>1</v>
      </c>
      <c r="L4792" s="34">
        <f>IF($J4792=1,LN(B4793/B4792),"")</f>
        <v/>
      </c>
      <c r="M4792" s="34">
        <f>IF($K4792=1,INDEX(Mensal!$D$2:$D$245,MATCH($I4792,Mensal!$A$2:$A$245,0)),"")</f>
        <v/>
      </c>
      <c r="N4792" s="34">
        <f>IF($K4792=1,L4792-M4792,"")</f>
        <v/>
      </c>
      <c r="O4792" s="34" t="n">
        <v>0.00055131</v>
      </c>
      <c r="P4792" s="34">
        <f>IF($J4792=1,LN(1+O4792),"")</f>
        <v/>
      </c>
      <c r="Q4792" s="34">
        <f>IF($J4792=1,LN(R4793/R4792),"")</f>
        <v/>
      </c>
      <c r="R4792" s="32" t="n">
        <v>5.4716</v>
      </c>
      <c r="S4792" s="35" t="n">
        <v>14.53</v>
      </c>
      <c r="T4792" s="18" t="n"/>
      <c r="U4792" s="18" t="n"/>
      <c r="V4792" s="18" t="n">
        <v>134432.26</v>
      </c>
      <c r="W4792" s="18" t="n"/>
      <c r="X4792" s="35" t="n"/>
      <c r="Y4792" s="35" t="n">
        <v>14.53</v>
      </c>
    </row>
    <row r="4793">
      <c r="A4793" s="25" t="n">
        <v>45889</v>
      </c>
      <c r="B4793" s="18" t="n">
        <v>134666.46</v>
      </c>
      <c r="C4793" s="31" t="n"/>
      <c r="D4793" s="32" t="n"/>
      <c r="E4793" s="33" t="n">
        <v>-0.6383</v>
      </c>
      <c r="F4793" t="inlineStr">
        <is>
          <t>Down</t>
        </is>
      </c>
      <c r="G4793" t="inlineStr">
        <is>
          <t>Down</t>
        </is>
      </c>
      <c r="H4793" t="inlineStr">
        <is>
          <t>ED_JD</t>
        </is>
      </c>
      <c r="I4793" t="inlineStr">
        <is>
          <t>2025-08</t>
        </is>
      </c>
      <c r="J4793" t="n">
        <v>1</v>
      </c>
      <c r="K4793" t="n">
        <v>1</v>
      </c>
      <c r="L4793" s="34">
        <f>IF($J4793=1,LN(B4794/B4793),"")</f>
        <v/>
      </c>
      <c r="M4793" s="34">
        <f>IF($K4793=1,INDEX(Mensal!$D$2:$D$245,MATCH($I4793,Mensal!$A$2:$A$245,0)),"")</f>
        <v/>
      </c>
      <c r="N4793" s="34">
        <f>IF($K4793=1,L4793-M4793,"")</f>
        <v/>
      </c>
      <c r="O4793" s="34" t="n">
        <v>0.00055131</v>
      </c>
      <c r="P4793" s="34">
        <f>IF($J4793=1,LN(1+O4793),"")</f>
        <v/>
      </c>
      <c r="Q4793" s="34">
        <f>IF($J4793=1,LN(R4794/R4793),"")</f>
        <v/>
      </c>
      <c r="R4793" s="32" t="n">
        <v>5.4726</v>
      </c>
      <c r="S4793" s="35" t="n">
        <v>14.47</v>
      </c>
      <c r="T4793" s="18" t="n"/>
      <c r="U4793" s="18" t="n"/>
      <c r="V4793" s="18" t="n">
        <v>134666.46</v>
      </c>
      <c r="W4793" s="18" t="n"/>
      <c r="X4793" s="35" t="n"/>
      <c r="Y4793" s="35" t="n">
        <v>14.47</v>
      </c>
    </row>
    <row r="4794">
      <c r="A4794" s="25" t="n">
        <v>45890</v>
      </c>
      <c r="B4794" s="18" t="n">
        <v>134510.85</v>
      </c>
      <c r="C4794" s="31" t="n"/>
      <c r="D4794" s="32" t="n"/>
      <c r="E4794" s="33" t="n">
        <v>-0.6345</v>
      </c>
      <c r="F4794" t="inlineStr">
        <is>
          <t>Down</t>
        </is>
      </c>
      <c r="G4794" t="inlineStr">
        <is>
          <t>Down</t>
        </is>
      </c>
      <c r="H4794" t="inlineStr">
        <is>
          <t>ED_JD</t>
        </is>
      </c>
      <c r="I4794" t="inlineStr">
        <is>
          <t>2025-08</t>
        </is>
      </c>
      <c r="J4794" t="n">
        <v>1</v>
      </c>
      <c r="K4794" t="n">
        <v>1</v>
      </c>
      <c r="L4794" s="34">
        <f>IF($J4794=1,LN(B4795/B4794),"")</f>
        <v/>
      </c>
      <c r="M4794" s="34">
        <f>IF($K4794=1,INDEX(Mensal!$D$2:$D$245,MATCH($I4794,Mensal!$A$2:$A$245,0)),"")</f>
        <v/>
      </c>
      <c r="N4794" s="34">
        <f>IF($K4794=1,L4794-M4794,"")</f>
        <v/>
      </c>
      <c r="O4794" s="34" t="n">
        <v>0.00055131</v>
      </c>
      <c r="P4794" s="34">
        <f>IF($J4794=1,LN(1+O4794),"")</f>
        <v/>
      </c>
      <c r="Q4794" s="34">
        <f>IF($J4794=1,LN(R4795/R4794),"")</f>
        <v/>
      </c>
      <c r="R4794" s="32" t="n">
        <v>5.4828</v>
      </c>
      <c r="S4794" s="35" t="n">
        <v>14.51</v>
      </c>
      <c r="T4794" s="18" t="n"/>
      <c r="U4794" s="18" t="n"/>
      <c r="V4794" s="18" t="n">
        <v>134510.85</v>
      </c>
      <c r="W4794" s="18" t="n"/>
      <c r="X4794" s="35" t="n"/>
      <c r="Y4794" s="35" t="n">
        <v>14.51</v>
      </c>
    </row>
    <row r="4795">
      <c r="A4795" s="25" t="n">
        <v>45891</v>
      </c>
      <c r="B4795" s="18" t="n">
        <v>137968.15</v>
      </c>
      <c r="C4795" s="31" t="n"/>
      <c r="D4795" s="32" t="n"/>
      <c r="E4795" s="33" t="n">
        <v>-0.6243</v>
      </c>
      <c r="F4795" t="inlineStr">
        <is>
          <t>Down</t>
        </is>
      </c>
      <c r="G4795" t="inlineStr">
        <is>
          <t>Down</t>
        </is>
      </c>
      <c r="H4795" t="inlineStr">
        <is>
          <t>ED_JD</t>
        </is>
      </c>
      <c r="I4795" t="inlineStr">
        <is>
          <t>2025-08</t>
        </is>
      </c>
      <c r="J4795" t="n">
        <v>1</v>
      </c>
      <c r="K4795" t="n">
        <v>1</v>
      </c>
      <c r="L4795" s="34">
        <f>IF($J4795=1,LN(B4796/B4795),"")</f>
        <v/>
      </c>
      <c r="M4795" s="34">
        <f>IF($K4795=1,INDEX(Mensal!$D$2:$D$245,MATCH($I4795,Mensal!$A$2:$A$245,0)),"")</f>
        <v/>
      </c>
      <c r="N4795" s="34">
        <f>IF($K4795=1,L4795-M4795,"")</f>
        <v/>
      </c>
      <c r="O4795" s="34" t="n">
        <v>0.00055131</v>
      </c>
      <c r="P4795" s="34">
        <f>IF($J4795=1,LN(1+O4795),"")</f>
        <v/>
      </c>
      <c r="Q4795" s="34">
        <f>IF($J4795=1,LN(R4796/R4795),"")</f>
        <v/>
      </c>
      <c r="R4795" s="32" t="n">
        <v>5.4392</v>
      </c>
      <c r="S4795" s="35" t="n">
        <v>14.41</v>
      </c>
      <c r="T4795" s="18" t="n"/>
      <c r="U4795" s="18" t="n"/>
      <c r="V4795" s="18" t="n">
        <v>137968.15</v>
      </c>
      <c r="W4795" s="18" t="n"/>
      <c r="X4795" s="35" t="n"/>
      <c r="Y4795" s="35" t="n">
        <v>14.41</v>
      </c>
    </row>
    <row r="4796">
      <c r="A4796" s="25" t="n">
        <v>45894</v>
      </c>
      <c r="B4796" s="18" t="n">
        <v>138025.17</v>
      </c>
      <c r="C4796" s="31" t="n"/>
      <c r="D4796" s="32" t="n"/>
      <c r="E4796" s="33" t="n">
        <v>-0.6127</v>
      </c>
      <c r="F4796" t="inlineStr">
        <is>
          <t>Down</t>
        </is>
      </c>
      <c r="G4796" t="inlineStr">
        <is>
          <t>Down</t>
        </is>
      </c>
      <c r="H4796" t="inlineStr">
        <is>
          <t>ED_JD</t>
        </is>
      </c>
      <c r="I4796" t="inlineStr">
        <is>
          <t>2025-08</t>
        </is>
      </c>
      <c r="J4796" t="n">
        <v>1</v>
      </c>
      <c r="K4796" t="n">
        <v>1</v>
      </c>
      <c r="L4796" s="34">
        <f>IF($J4796=1,LN(B4797/B4796),"")</f>
        <v/>
      </c>
      <c r="M4796" s="34">
        <f>IF($K4796=1,INDEX(Mensal!$D$2:$D$245,MATCH($I4796,Mensal!$A$2:$A$245,0)),"")</f>
        <v/>
      </c>
      <c r="N4796" s="34">
        <f>IF($K4796=1,L4796-M4796,"")</f>
        <v/>
      </c>
      <c r="O4796" s="34" t="n">
        <v>0.00055131</v>
      </c>
      <c r="P4796" s="34">
        <f>IF($J4796=1,LN(1+O4796),"")</f>
        <v/>
      </c>
      <c r="Q4796" s="34">
        <f>IF($J4796=1,LN(R4797/R4796),"")</f>
        <v/>
      </c>
      <c r="R4796" s="32" t="n">
        <v>5.4174</v>
      </c>
      <c r="S4796" s="35" t="n">
        <v>14.36</v>
      </c>
      <c r="T4796" s="18" t="n"/>
      <c r="U4796" s="18" t="n"/>
      <c r="V4796" s="18" t="n">
        <v>138025.17</v>
      </c>
      <c r="W4796" s="18" t="n"/>
      <c r="X4796" s="35" t="n"/>
      <c r="Y4796" s="35" t="n">
        <v>14.36</v>
      </c>
    </row>
    <row r="4797">
      <c r="A4797" s="25" t="n">
        <v>45895</v>
      </c>
      <c r="B4797" s="18" t="n">
        <v>137771.39</v>
      </c>
      <c r="C4797" s="31" t="n"/>
      <c r="D4797" s="32" t="n"/>
      <c r="E4797" s="33" t="n">
        <v>-0.599</v>
      </c>
      <c r="F4797" t="inlineStr">
        <is>
          <t>Down</t>
        </is>
      </c>
      <c r="G4797" t="inlineStr">
        <is>
          <t>Down</t>
        </is>
      </c>
      <c r="H4797" t="inlineStr">
        <is>
          <t>ED_JD</t>
        </is>
      </c>
      <c r="I4797" t="inlineStr">
        <is>
          <t>2025-08</t>
        </is>
      </c>
      <c r="J4797" t="n">
        <v>1</v>
      </c>
      <c r="K4797" t="n">
        <v>1</v>
      </c>
      <c r="L4797" s="34">
        <f>IF($J4797=1,LN(B4798/B4797),"")</f>
        <v/>
      </c>
      <c r="M4797" s="34">
        <f>IF($K4797=1,INDEX(Mensal!$D$2:$D$245,MATCH($I4797,Mensal!$A$2:$A$245,0)),"")</f>
        <v/>
      </c>
      <c r="N4797" s="34">
        <f>IF($K4797=1,L4797-M4797,"")</f>
        <v/>
      </c>
      <c r="O4797" s="34" t="n">
        <v>0.00055131</v>
      </c>
      <c r="P4797" s="34">
        <f>IF($J4797=1,LN(1+O4797),"")</f>
        <v/>
      </c>
      <c r="Q4797" s="34">
        <f>IF($J4797=1,LN(R4798/R4797),"")</f>
        <v/>
      </c>
      <c r="R4797" s="32" t="n">
        <v>5.4218</v>
      </c>
      <c r="S4797" s="35" t="n">
        <v>14.4</v>
      </c>
      <c r="T4797" s="18" t="n"/>
      <c r="U4797" s="18" t="n"/>
      <c r="V4797" s="18" t="n">
        <v>137771.39</v>
      </c>
      <c r="W4797" s="18" t="n"/>
      <c r="X4797" s="35" t="n"/>
      <c r="Y4797" s="35" t="n">
        <v>14.4</v>
      </c>
    </row>
    <row r="4798">
      <c r="A4798" s="25" t="n">
        <v>45896</v>
      </c>
      <c r="B4798" s="18" t="n">
        <v>139205.81</v>
      </c>
      <c r="C4798" s="31" t="n"/>
      <c r="D4798" s="32" t="n"/>
      <c r="E4798" s="33" t="n">
        <v>-0.5869</v>
      </c>
      <c r="F4798" t="inlineStr">
        <is>
          <t>Down</t>
        </is>
      </c>
      <c r="G4798" t="inlineStr">
        <is>
          <t>Down</t>
        </is>
      </c>
      <c r="H4798" t="inlineStr">
        <is>
          <t>ED_JD</t>
        </is>
      </c>
      <c r="I4798" t="inlineStr">
        <is>
          <t>2025-08</t>
        </is>
      </c>
      <c r="J4798" t="n">
        <v>1</v>
      </c>
      <c r="K4798" t="n">
        <v>1</v>
      </c>
      <c r="L4798" s="34">
        <f>IF($J4798=1,LN(B4799/B4798),"")</f>
        <v/>
      </c>
      <c r="M4798" s="34">
        <f>IF($K4798=1,INDEX(Mensal!$D$2:$D$245,MATCH($I4798,Mensal!$A$2:$A$245,0)),"")</f>
        <v/>
      </c>
      <c r="N4798" s="34">
        <f>IF($K4798=1,L4798-M4798,"")</f>
        <v/>
      </c>
      <c r="O4798" s="34" t="n">
        <v>0.00055131</v>
      </c>
      <c r="P4798" s="34">
        <f>IF($J4798=1,LN(1+O4798),"")</f>
        <v/>
      </c>
      <c r="Q4798" s="34">
        <f>IF($J4798=1,LN(R4799/R4798),"")</f>
        <v/>
      </c>
      <c r="R4798" s="32" t="n">
        <v>5.4428</v>
      </c>
      <c r="S4798" s="35" t="n">
        <v>14.39</v>
      </c>
      <c r="T4798" s="18" t="n"/>
      <c r="U4798" s="18" t="n"/>
      <c r="V4798" s="18" t="n">
        <v>139205.81</v>
      </c>
      <c r="W4798" s="18" t="n"/>
      <c r="X4798" s="35" t="n"/>
      <c r="Y4798" s="35" t="n">
        <v>14.39</v>
      </c>
    </row>
    <row r="4799">
      <c r="A4799" s="25" t="n">
        <v>45897</v>
      </c>
      <c r="B4799" s="18" t="n">
        <v>141049.2</v>
      </c>
      <c r="C4799" s="31" t="n"/>
      <c r="D4799" s="32" t="n"/>
      <c r="E4799" s="33" t="n">
        <v>-0.5738</v>
      </c>
      <c r="F4799" t="inlineStr">
        <is>
          <t>Down</t>
        </is>
      </c>
      <c r="G4799" t="inlineStr">
        <is>
          <t>Down</t>
        </is>
      </c>
      <c r="H4799" t="inlineStr">
        <is>
          <t>ED_JD</t>
        </is>
      </c>
      <c r="I4799" t="inlineStr">
        <is>
          <t>2025-08</t>
        </is>
      </c>
      <c r="J4799" t="n">
        <v>1</v>
      </c>
      <c r="K4799" t="n">
        <v>1</v>
      </c>
      <c r="L4799" s="34">
        <f>IF($J4799=1,LN(B4800/B4799),"")</f>
        <v/>
      </c>
      <c r="M4799" s="34">
        <f>IF($K4799=1,INDEX(Mensal!$D$2:$D$245,MATCH($I4799,Mensal!$A$2:$A$245,0)),"")</f>
        <v/>
      </c>
      <c r="N4799" s="34">
        <f>IF($K4799=1,L4799-M4799,"")</f>
        <v/>
      </c>
      <c r="O4799" s="34" t="n">
        <v>0.00055131</v>
      </c>
      <c r="P4799" s="34">
        <f>IF($J4799=1,LN(1+O4799),"")</f>
        <v/>
      </c>
      <c r="Q4799" s="34">
        <f>IF($J4799=1,LN(R4800/R4799),"")</f>
        <v/>
      </c>
      <c r="R4799" s="32" t="n">
        <v>5.4115</v>
      </c>
      <c r="S4799" s="35" t="n">
        <v>14.36</v>
      </c>
      <c r="T4799" s="18" t="n"/>
      <c r="U4799" s="18" t="n"/>
      <c r="V4799" s="18" t="n">
        <v>141049.2</v>
      </c>
      <c r="W4799" s="18" t="n"/>
      <c r="X4799" s="35" t="n"/>
      <c r="Y4799" s="35" t="n">
        <v>14.36</v>
      </c>
    </row>
    <row r="4800">
      <c r="A4800" s="25" t="n">
        <v>45898</v>
      </c>
      <c r="B4800" s="18" t="n">
        <v>141422.26</v>
      </c>
      <c r="C4800" s="31" t="n"/>
      <c r="D4800" s="32" t="n"/>
      <c r="E4800" s="33" t="n">
        <v>-0.5593</v>
      </c>
      <c r="F4800" t="inlineStr">
        <is>
          <t>Down</t>
        </is>
      </c>
      <c r="G4800" t="inlineStr">
        <is>
          <t>Down</t>
        </is>
      </c>
      <c r="H4800" t="inlineStr">
        <is>
          <t>ED_JD</t>
        </is>
      </c>
      <c r="I4800" t="inlineStr">
        <is>
          <t>2025-08</t>
        </is>
      </c>
      <c r="J4800" t="n">
        <v>1</v>
      </c>
      <c r="K4800" t="n">
        <v>1</v>
      </c>
      <c r="L4800" s="34">
        <f>IF($J4800=1,LN(B4801/B4800),"")</f>
        <v/>
      </c>
      <c r="M4800" s="34">
        <f>IF($K4800=1,INDEX(Mensal!$D$2:$D$245,MATCH($I4800,Mensal!$A$2:$A$245,0)),"")</f>
        <v/>
      </c>
      <c r="N4800" s="34">
        <f>IF($K4800=1,L4800-M4800,"")</f>
        <v/>
      </c>
      <c r="O4800" s="34" t="n">
        <v>0.00055131</v>
      </c>
      <c r="P4800" s="34">
        <f>IF($J4800=1,LN(1+O4800),"")</f>
        <v/>
      </c>
      <c r="Q4800" s="34">
        <f>IF($J4800=1,LN(R4801/R4800),"")</f>
        <v/>
      </c>
      <c r="R4800" s="32" t="n">
        <v>5.4264</v>
      </c>
      <c r="S4800" s="35" t="n">
        <v>14.39</v>
      </c>
      <c r="T4800" s="18" t="n"/>
      <c r="U4800" s="18" t="n"/>
      <c r="V4800" s="18" t="n">
        <v>141422.26</v>
      </c>
      <c r="W4800" s="18" t="n"/>
      <c r="X4800" s="35" t="n"/>
      <c r="Y4800" s="35" t="n">
        <v>14.39</v>
      </c>
    </row>
    <row r="4801">
      <c r="A4801" s="25" t="n">
        <v>45901</v>
      </c>
      <c r="B4801" s="18" t="n">
        <v>141283.01</v>
      </c>
      <c r="C4801" s="31" t="n"/>
      <c r="D4801" s="32" t="n"/>
      <c r="E4801" s="33" t="n">
        <v>-0.5317</v>
      </c>
      <c r="F4801" t="inlineStr">
        <is>
          <t>Down</t>
        </is>
      </c>
      <c r="G4801" t="inlineStr">
        <is>
          <t>Down</t>
        </is>
      </c>
      <c r="H4801" t="inlineStr">
        <is>
          <t>ED_JD</t>
        </is>
      </c>
      <c r="I4801" t="inlineStr">
        <is>
          <t>2025-09</t>
        </is>
      </c>
      <c r="J4801" t="n">
        <v>1</v>
      </c>
      <c r="K4801" t="n">
        <v>1</v>
      </c>
      <c r="L4801" s="34">
        <f>IF($J4801=1,LN(B4802/B4801),"")</f>
        <v/>
      </c>
      <c r="M4801" s="34">
        <f>IF($K4801=1,INDEX(Mensal!$D$2:$D$245,MATCH($I4801,Mensal!$A$2:$A$245,0)),"")</f>
        <v/>
      </c>
      <c r="N4801" s="34">
        <f>IF($K4801=1,L4801-M4801,"")</f>
        <v/>
      </c>
      <c r="O4801" s="34" t="n">
        <v>0.00055131</v>
      </c>
      <c r="P4801" s="34">
        <f>IF($J4801=1,LN(1+O4801),"")</f>
        <v/>
      </c>
      <c r="Q4801" s="34">
        <f>IF($J4801=1,LN(R4802/R4801),"")</f>
        <v/>
      </c>
      <c r="R4801" s="32" t="n">
        <v>5.4378</v>
      </c>
      <c r="S4801" s="35" t="n">
        <v>14.35</v>
      </c>
      <c r="T4801" s="18" t="n"/>
      <c r="U4801" s="18" t="n"/>
      <c r="V4801" s="18" t="n">
        <v>141283.01</v>
      </c>
      <c r="W4801" s="18" t="n"/>
      <c r="X4801" s="35" t="n"/>
      <c r="Y4801" s="35" t="n">
        <v>14.35</v>
      </c>
    </row>
    <row r="4802">
      <c r="A4802" s="25" t="n">
        <v>45902</v>
      </c>
      <c r="B4802" s="18" t="n">
        <v>140335.16</v>
      </c>
      <c r="C4802" s="31" t="n"/>
      <c r="D4802" s="32" t="n"/>
      <c r="E4802" s="33" t="n">
        <v>-0.515</v>
      </c>
      <c r="F4802" t="inlineStr">
        <is>
          <t>Down</t>
        </is>
      </c>
      <c r="G4802" t="inlineStr">
        <is>
          <t>Down</t>
        </is>
      </c>
      <c r="H4802" t="inlineStr">
        <is>
          <t>ED_JD</t>
        </is>
      </c>
      <c r="I4802" t="inlineStr">
        <is>
          <t>2025-09</t>
        </is>
      </c>
      <c r="J4802" t="n">
        <v>1</v>
      </c>
      <c r="K4802" t="n">
        <v>1</v>
      </c>
      <c r="L4802" s="34">
        <f>IF($J4802=1,LN(B4803/B4802),"")</f>
        <v/>
      </c>
      <c r="M4802" s="34">
        <f>IF($K4802=1,INDEX(Mensal!$D$2:$D$245,MATCH($I4802,Mensal!$A$2:$A$245,0)),"")</f>
        <v/>
      </c>
      <c r="N4802" s="34">
        <f>IF($K4802=1,L4802-M4802,"")</f>
        <v/>
      </c>
      <c r="O4802" s="34" t="n">
        <v>0.00055131</v>
      </c>
      <c r="P4802" s="34">
        <f>IF($J4802=1,LN(1+O4802),"")</f>
        <v/>
      </c>
      <c r="Q4802" s="34">
        <f>IF($J4802=1,LN(R4803/R4802),"")</f>
        <v/>
      </c>
      <c r="R4802" s="32" t="n">
        <v>5.468</v>
      </c>
      <c r="S4802" s="35" t="n">
        <v>14.39</v>
      </c>
      <c r="T4802" s="18" t="n"/>
      <c r="U4802" s="18" t="n"/>
      <c r="V4802" s="18" t="n">
        <v>140335.16</v>
      </c>
      <c r="W4802" s="18" t="n"/>
      <c r="X4802" s="35" t="n"/>
      <c r="Y4802" s="35" t="n">
        <v>14.39</v>
      </c>
    </row>
    <row r="4803">
      <c r="A4803" s="25" t="n">
        <v>45903</v>
      </c>
      <c r="B4803" s="18" t="n">
        <v>139863.63</v>
      </c>
      <c r="C4803" s="31" t="n"/>
      <c r="D4803" s="32" t="n"/>
      <c r="E4803" s="33" t="n">
        <v>-0.4986</v>
      </c>
      <c r="F4803" t="inlineStr">
        <is>
          <t>Down</t>
        </is>
      </c>
      <c r="G4803" t="inlineStr">
        <is>
          <t>Down</t>
        </is>
      </c>
      <c r="H4803" t="inlineStr">
        <is>
          <t>ED_JD</t>
        </is>
      </c>
      <c r="I4803" t="inlineStr">
        <is>
          <t>2025-09</t>
        </is>
      </c>
      <c r="J4803" t="n">
        <v>1</v>
      </c>
      <c r="K4803" t="n">
        <v>1</v>
      </c>
      <c r="L4803" s="34">
        <f>IF($J4803=1,LN(B4804/B4803),"")</f>
        <v/>
      </c>
      <c r="M4803" s="34">
        <f>IF($K4803=1,INDEX(Mensal!$D$2:$D$245,MATCH($I4803,Mensal!$A$2:$A$245,0)),"")</f>
        <v/>
      </c>
      <c r="N4803" s="34">
        <f>IF($K4803=1,L4803-M4803,"")</f>
        <v/>
      </c>
      <c r="O4803" s="34" t="n">
        <v>0.00055131</v>
      </c>
      <c r="P4803" s="34">
        <f>IF($J4803=1,LN(1+O4803),"")</f>
        <v/>
      </c>
      <c r="Q4803" s="34">
        <f>IF($J4803=1,LN(R4804/R4803),"")</f>
        <v/>
      </c>
      <c r="R4803" s="32" t="n">
        <v>5.4485</v>
      </c>
      <c r="S4803" s="35" t="n">
        <v>14.38</v>
      </c>
      <c r="T4803" s="18" t="n"/>
      <c r="U4803" s="18" t="n"/>
      <c r="V4803" s="18" t="n">
        <v>139863.63</v>
      </c>
      <c r="W4803" s="18" t="n"/>
      <c r="X4803" s="35" t="n"/>
      <c r="Y4803" s="35" t="n">
        <v>14.38</v>
      </c>
    </row>
    <row r="4804">
      <c r="A4804" s="25" t="n">
        <v>45904</v>
      </c>
      <c r="B4804" s="18" t="n">
        <v>140993.25</v>
      </c>
      <c r="C4804" s="31" t="n"/>
      <c r="D4804" s="32" t="n"/>
      <c r="E4804" s="33" t="n">
        <v>-0.4828</v>
      </c>
      <c r="F4804" t="inlineStr">
        <is>
          <t>Down</t>
        </is>
      </c>
      <c r="G4804" t="inlineStr">
        <is>
          <t>Down</t>
        </is>
      </c>
      <c r="H4804" t="inlineStr">
        <is>
          <t>ED_JD</t>
        </is>
      </c>
      <c r="I4804" t="inlineStr">
        <is>
          <t>2025-09</t>
        </is>
      </c>
      <c r="J4804" t="n">
        <v>1</v>
      </c>
      <c r="K4804" t="n">
        <v>1</v>
      </c>
      <c r="L4804" s="34">
        <f>IF($J4804=1,LN(B4805/B4804),"")</f>
        <v/>
      </c>
      <c r="M4804" s="34">
        <f>IF($K4804=1,INDEX(Mensal!$D$2:$D$245,MATCH($I4804,Mensal!$A$2:$A$245,0)),"")</f>
        <v/>
      </c>
      <c r="N4804" s="34">
        <f>IF($K4804=1,L4804-M4804,"")</f>
        <v/>
      </c>
      <c r="O4804" s="34" t="n">
        <v>0.00055131</v>
      </c>
      <c r="P4804" s="34">
        <f>IF($J4804=1,LN(1+O4804),"")</f>
        <v/>
      </c>
      <c r="Q4804" s="34">
        <f>IF($J4804=1,LN(R4805/R4804),"")</f>
        <v/>
      </c>
      <c r="R4804" s="32" t="n">
        <v>5.4587</v>
      </c>
      <c r="S4804" s="35" t="n">
        <v>14.36</v>
      </c>
      <c r="T4804" s="18" t="n"/>
      <c r="U4804" s="18" t="n"/>
      <c r="V4804" s="18" t="n">
        <v>140993.25</v>
      </c>
      <c r="W4804" s="18" t="n"/>
      <c r="X4804" s="35" t="n"/>
      <c r="Y4804" s="35" t="n">
        <v>14.36</v>
      </c>
    </row>
    <row r="4805">
      <c r="A4805" s="25" t="n">
        <v>45905</v>
      </c>
      <c r="B4805" s="18" t="n">
        <v>142640.14</v>
      </c>
      <c r="C4805" s="31" t="n"/>
      <c r="D4805" s="32" t="n"/>
      <c r="E4805" s="33" t="n">
        <v>-0.4837</v>
      </c>
      <c r="F4805" t="inlineStr">
        <is>
          <t>Down</t>
        </is>
      </c>
      <c r="G4805" t="inlineStr">
        <is>
          <t>Down</t>
        </is>
      </c>
      <c r="H4805" t="inlineStr">
        <is>
          <t>ED_JD</t>
        </is>
      </c>
      <c r="I4805" t="inlineStr">
        <is>
          <t>2025-09</t>
        </is>
      </c>
      <c r="J4805" t="n">
        <v>1</v>
      </c>
      <c r="K4805" t="n">
        <v>1</v>
      </c>
      <c r="L4805" s="34">
        <f>IF($J4805=1,LN(B4806/B4805),"")</f>
        <v/>
      </c>
      <c r="M4805" s="34">
        <f>IF($K4805=1,INDEX(Mensal!$D$2:$D$245,MATCH($I4805,Mensal!$A$2:$A$245,0)),"")</f>
        <v/>
      </c>
      <c r="N4805" s="34">
        <f>IF($K4805=1,L4805-M4805,"")</f>
        <v/>
      </c>
      <c r="O4805" s="34" t="n">
        <v>0.00055131</v>
      </c>
      <c r="P4805" s="34">
        <f>IF($J4805=1,LN(1+O4805),"")</f>
        <v/>
      </c>
      <c r="Q4805" s="34">
        <f>IF($J4805=1,LN(R4806/R4805),"")</f>
        <v/>
      </c>
      <c r="R4805" s="32" t="n">
        <v>5.3968</v>
      </c>
      <c r="S4805" s="35" t="n">
        <v>14.34</v>
      </c>
      <c r="T4805" s="18" t="n"/>
      <c r="U4805" s="18" t="n"/>
      <c r="V4805" s="18" t="n">
        <v>142640.14</v>
      </c>
      <c r="W4805" s="18" t="n"/>
      <c r="X4805" s="35" t="n"/>
      <c r="Y4805" s="35" t="n">
        <v>14.34</v>
      </c>
    </row>
    <row r="4806">
      <c r="A4806" s="25" t="n">
        <v>45908</v>
      </c>
      <c r="B4806" s="18" t="n">
        <v>141791.58</v>
      </c>
      <c r="C4806" s="31" t="n"/>
      <c r="D4806" s="32" t="n"/>
      <c r="E4806" s="33" t="n">
        <v>-0.4903</v>
      </c>
      <c r="F4806" t="inlineStr">
        <is>
          <t>Down</t>
        </is>
      </c>
      <c r="G4806" t="inlineStr">
        <is>
          <t>Down</t>
        </is>
      </c>
      <c r="H4806" t="inlineStr">
        <is>
          <t>ED_JD</t>
        </is>
      </c>
      <c r="I4806" t="inlineStr">
        <is>
          <t>2025-09</t>
        </is>
      </c>
      <c r="J4806" t="n">
        <v>1</v>
      </c>
      <c r="K4806" t="n">
        <v>1</v>
      </c>
      <c r="L4806" s="34">
        <f>IF($J4806=1,LN(B4807/B4806),"")</f>
        <v/>
      </c>
      <c r="M4806" s="34">
        <f>IF($K4806=1,INDEX(Mensal!$D$2:$D$245,MATCH($I4806,Mensal!$A$2:$A$245,0)),"")</f>
        <v/>
      </c>
      <c r="N4806" s="34">
        <f>IF($K4806=1,L4806-M4806,"")</f>
        <v/>
      </c>
      <c r="O4806" s="34" t="n">
        <v>0.00055131</v>
      </c>
      <c r="P4806" s="34">
        <f>IF($J4806=1,LN(1+O4806),"")</f>
        <v/>
      </c>
      <c r="Q4806" s="34">
        <f>IF($J4806=1,LN(R4807/R4806),"")</f>
        <v/>
      </c>
      <c r="R4806" s="32" t="n">
        <v>5.4278</v>
      </c>
      <c r="S4806" s="35" t="n">
        <v>14.32</v>
      </c>
      <c r="T4806" s="18" t="n"/>
      <c r="U4806" s="18" t="n"/>
      <c r="V4806" s="18" t="n">
        <v>141791.58</v>
      </c>
      <c r="W4806" s="18" t="n"/>
      <c r="X4806" s="35" t="n"/>
      <c r="Y4806" s="35" t="n">
        <v>14.32</v>
      </c>
    </row>
    <row r="4807">
      <c r="A4807" s="25" t="n">
        <v>45909</v>
      </c>
      <c r="B4807" s="18" t="n">
        <v>141618.29</v>
      </c>
      <c r="C4807" s="31" t="n"/>
      <c r="D4807" s="32" t="n"/>
      <c r="E4807" s="33" t="n">
        <v>-0.4944</v>
      </c>
      <c r="F4807" t="inlineStr">
        <is>
          <t>Down</t>
        </is>
      </c>
      <c r="G4807" t="inlineStr">
        <is>
          <t>Down</t>
        </is>
      </c>
      <c r="H4807" t="inlineStr">
        <is>
          <t>ED_JD</t>
        </is>
      </c>
      <c r="I4807" t="inlineStr">
        <is>
          <t>2025-09</t>
        </is>
      </c>
      <c r="J4807" t="n">
        <v>1</v>
      </c>
      <c r="K4807" t="n">
        <v>1</v>
      </c>
      <c r="L4807" s="34">
        <f>IF($J4807=1,LN(B4808/B4807),"")</f>
        <v/>
      </c>
      <c r="M4807" s="34">
        <f>IF($K4807=1,INDEX(Mensal!$D$2:$D$245,MATCH($I4807,Mensal!$A$2:$A$245,0)),"")</f>
        <v/>
      </c>
      <c r="N4807" s="34">
        <f>IF($K4807=1,L4807-M4807,"")</f>
        <v/>
      </c>
      <c r="O4807" s="34" t="n">
        <v>0.00055131</v>
      </c>
      <c r="P4807" s="34">
        <f>IF($J4807=1,LN(1+O4807),"")</f>
        <v/>
      </c>
      <c r="Q4807" s="34">
        <f>IF($J4807=1,LN(R4808/R4807),"")</f>
        <v/>
      </c>
      <c r="R4807" s="32" t="n">
        <v>5.4278</v>
      </c>
      <c r="S4807" s="35" t="n">
        <v>14.34</v>
      </c>
      <c r="T4807" s="18" t="n"/>
      <c r="U4807" s="18" t="n"/>
      <c r="V4807" s="18" t="n">
        <v>141618.29</v>
      </c>
      <c r="W4807" s="18" t="n"/>
      <c r="X4807" s="35" t="n"/>
      <c r="Y4807" s="35" t="n">
        <v>14.34</v>
      </c>
    </row>
    <row r="4808">
      <c r="A4808" s="25" t="n">
        <v>45910</v>
      </c>
      <c r="B4808" s="18" t="n">
        <v>142348.7</v>
      </c>
      <c r="C4808" s="31" t="n"/>
      <c r="D4808" s="32" t="n"/>
      <c r="E4808" s="33" t="n">
        <v>-0.5001</v>
      </c>
      <c r="F4808" t="inlineStr">
        <is>
          <t>Down</t>
        </is>
      </c>
      <c r="G4808" t="inlineStr">
        <is>
          <t>Down</t>
        </is>
      </c>
      <c r="H4808" t="inlineStr">
        <is>
          <t>ED_JD</t>
        </is>
      </c>
      <c r="I4808" t="inlineStr">
        <is>
          <t>2025-09</t>
        </is>
      </c>
      <c r="J4808" t="n">
        <v>1</v>
      </c>
      <c r="K4808" t="n">
        <v>1</v>
      </c>
      <c r="L4808" s="34">
        <f>IF($J4808=1,LN(B4809/B4808),"")</f>
        <v/>
      </c>
      <c r="M4808" s="34">
        <f>IF($K4808=1,INDEX(Mensal!$D$2:$D$245,MATCH($I4808,Mensal!$A$2:$A$245,0)),"")</f>
        <v/>
      </c>
      <c r="N4808" s="34">
        <f>IF($K4808=1,L4808-M4808,"")</f>
        <v/>
      </c>
      <c r="O4808" s="34" t="n">
        <v>0.00055131</v>
      </c>
      <c r="P4808" s="34">
        <f>IF($J4808=1,LN(1+O4808),"")</f>
        <v/>
      </c>
      <c r="Q4808" s="34">
        <f>IF($J4808=1,LN(R4809/R4808),"")</f>
        <v/>
      </c>
      <c r="R4808" s="32" t="n">
        <v>5.4123</v>
      </c>
      <c r="S4808" s="35" t="n">
        <v>14.37</v>
      </c>
      <c r="T4808" s="18" t="n"/>
      <c r="U4808" s="18" t="n"/>
      <c r="V4808" s="18" t="n">
        <v>142348.7</v>
      </c>
      <c r="W4808" s="18" t="n"/>
      <c r="X4808" s="35" t="n"/>
      <c r="Y4808" s="35" t="n">
        <v>14.37</v>
      </c>
    </row>
    <row r="4809">
      <c r="A4809" s="25" t="n">
        <v>45911</v>
      </c>
      <c r="B4809" s="18" t="n">
        <v>143150.84</v>
      </c>
      <c r="C4809" s="31" t="n"/>
      <c r="D4809" s="32" t="n"/>
      <c r="E4809" s="33" t="n">
        <v>-0.5048</v>
      </c>
      <c r="F4809" t="inlineStr">
        <is>
          <t>Down</t>
        </is>
      </c>
      <c r="G4809" t="inlineStr">
        <is>
          <t>Down</t>
        </is>
      </c>
      <c r="H4809" t="inlineStr">
        <is>
          <t>ED_JD</t>
        </is>
      </c>
      <c r="I4809" t="inlineStr">
        <is>
          <t>2025-09</t>
        </is>
      </c>
      <c r="J4809" t="n">
        <v>1</v>
      </c>
      <c r="K4809" t="n">
        <v>1</v>
      </c>
      <c r="L4809" s="34">
        <f>IF($J4809=1,LN(B4810/B4809),"")</f>
        <v/>
      </c>
      <c r="M4809" s="34">
        <f>IF($K4809=1,INDEX(Mensal!$D$2:$D$245,MATCH($I4809,Mensal!$A$2:$A$245,0)),"")</f>
        <v/>
      </c>
      <c r="N4809" s="34">
        <f>IF($K4809=1,L4809-M4809,"")</f>
        <v/>
      </c>
      <c r="O4809" s="34" t="n">
        <v>0.00055131</v>
      </c>
      <c r="P4809" s="34">
        <f>IF($J4809=1,LN(1+O4809),"")</f>
        <v/>
      </c>
      <c r="Q4809" s="34">
        <f>IF($J4809=1,LN(R4810/R4809),"")</f>
        <v/>
      </c>
      <c r="R4809" s="32" t="n">
        <v>5.3858</v>
      </c>
      <c r="S4809" s="35" t="n">
        <v>14.39</v>
      </c>
      <c r="T4809" s="18" t="n"/>
      <c r="U4809" s="18" t="n"/>
      <c r="V4809" s="18" t="n">
        <v>143150.84</v>
      </c>
      <c r="W4809" s="18" t="n"/>
      <c r="X4809" s="35" t="n"/>
      <c r="Y4809" s="35" t="n">
        <v>14.39</v>
      </c>
    </row>
    <row r="4810">
      <c r="A4810" s="25" t="n">
        <v>45912</v>
      </c>
      <c r="B4810" s="18" t="n">
        <v>142271.58</v>
      </c>
      <c r="C4810" s="31" t="n"/>
      <c r="D4810" s="32" t="n"/>
      <c r="E4810" s="33" t="n">
        <v>-0.5002</v>
      </c>
      <c r="F4810" t="inlineStr">
        <is>
          <t>Down</t>
        </is>
      </c>
      <c r="G4810" t="inlineStr">
        <is>
          <t>Down</t>
        </is>
      </c>
      <c r="H4810" t="inlineStr">
        <is>
          <t>ED_JD</t>
        </is>
      </c>
      <c r="I4810" t="inlineStr">
        <is>
          <t>2025-09</t>
        </is>
      </c>
      <c r="J4810" t="n">
        <v>1</v>
      </c>
      <c r="K4810" t="n">
        <v>1</v>
      </c>
      <c r="L4810" s="34">
        <f>IF($J4810=1,LN(B4811/B4810),"")</f>
        <v/>
      </c>
      <c r="M4810" s="34">
        <f>IF($K4810=1,INDEX(Mensal!$D$2:$D$245,MATCH($I4810,Mensal!$A$2:$A$245,0)),"")</f>
        <v/>
      </c>
      <c r="N4810" s="34">
        <f>IF($K4810=1,L4810-M4810,"")</f>
        <v/>
      </c>
      <c r="O4810" s="34" t="n">
        <v>0.00055131</v>
      </c>
      <c r="P4810" s="34">
        <f>IF($J4810=1,LN(1+O4810),"")</f>
        <v/>
      </c>
      <c r="Q4810" s="34">
        <f>IF($J4810=1,LN(R4811/R4810),"")</f>
        <v/>
      </c>
      <c r="R4810" s="32" t="n">
        <v>5.3677</v>
      </c>
      <c r="S4810" s="35" t="n">
        <v>14.39</v>
      </c>
      <c r="T4810" s="18" t="n"/>
      <c r="U4810" s="18" t="n"/>
      <c r="V4810" s="18" t="n">
        <v>142271.58</v>
      </c>
      <c r="W4810" s="18" t="n"/>
      <c r="X4810" s="35" t="n"/>
      <c r="Y4810" s="35" t="n">
        <v>14.39</v>
      </c>
    </row>
    <row r="4811">
      <c r="A4811" s="25" t="n">
        <v>45915</v>
      </c>
      <c r="B4811" s="18" t="n">
        <v>143546.58</v>
      </c>
      <c r="C4811" s="31" t="n"/>
      <c r="D4811" s="32" t="n"/>
      <c r="E4811" s="33" t="n">
        <v>-0.4778</v>
      </c>
      <c r="F4811" t="inlineStr">
        <is>
          <t>Down</t>
        </is>
      </c>
      <c r="G4811" t="inlineStr">
        <is>
          <t>Down</t>
        </is>
      </c>
      <c r="H4811" t="inlineStr">
        <is>
          <t>ED_JD</t>
        </is>
      </c>
      <c r="I4811" t="inlineStr">
        <is>
          <t>2025-09</t>
        </is>
      </c>
      <c r="J4811" t="n">
        <v>1</v>
      </c>
      <c r="K4811" t="n">
        <v>1</v>
      </c>
      <c r="L4811" s="34">
        <f>IF($J4811=1,LN(B4812/B4811),"")</f>
        <v/>
      </c>
      <c r="M4811" s="34">
        <f>IF($K4811=1,INDEX(Mensal!$D$2:$D$245,MATCH($I4811,Mensal!$A$2:$A$245,0)),"")</f>
        <v/>
      </c>
      <c r="N4811" s="34">
        <f>IF($K4811=1,L4811-M4811,"")</f>
        <v/>
      </c>
      <c r="O4811" s="34" t="n">
        <v>0.00055131</v>
      </c>
      <c r="P4811" s="34">
        <f>IF($J4811=1,LN(1+O4811),"")</f>
        <v/>
      </c>
      <c r="Q4811" s="34">
        <f>IF($J4811=1,LN(R4812/R4811),"")</f>
        <v/>
      </c>
      <c r="R4811" s="32" t="n">
        <v>5.3208</v>
      </c>
      <c r="S4811" s="35" t="n">
        <v>14.35</v>
      </c>
      <c r="T4811" s="18" t="n"/>
      <c r="U4811" s="18" t="n"/>
      <c r="V4811" s="18" t="n">
        <v>143546.58</v>
      </c>
      <c r="W4811" s="18" t="n"/>
      <c r="X4811" s="35" t="n"/>
      <c r="Y4811" s="35" t="n">
        <v>14.35</v>
      </c>
    </row>
    <row r="4812">
      <c r="A4812" s="25" t="n">
        <v>45916</v>
      </c>
      <c r="B4812" s="18" t="n">
        <v>144061.74</v>
      </c>
      <c r="C4812" s="31" t="n"/>
      <c r="D4812" s="32" t="n"/>
      <c r="E4812" s="33" t="n">
        <v>-0.4567</v>
      </c>
      <c r="F4812" t="inlineStr">
        <is>
          <t>Down</t>
        </is>
      </c>
      <c r="G4812" t="inlineStr">
        <is>
          <t>Down</t>
        </is>
      </c>
      <c r="H4812" t="inlineStr">
        <is>
          <t>ED_JD</t>
        </is>
      </c>
      <c r="I4812" t="inlineStr">
        <is>
          <t>2025-09</t>
        </is>
      </c>
      <c r="J4812" t="n">
        <v>1</v>
      </c>
      <c r="K4812" t="n">
        <v>1</v>
      </c>
      <c r="L4812" s="34">
        <f>IF($J4812=1,LN(B4813/B4812),"")</f>
        <v/>
      </c>
      <c r="M4812" s="34">
        <f>IF($K4812=1,INDEX(Mensal!$D$2:$D$245,MATCH($I4812,Mensal!$A$2:$A$245,0)),"")</f>
        <v/>
      </c>
      <c r="N4812" s="34">
        <f>IF($K4812=1,L4812-M4812,"")</f>
        <v/>
      </c>
      <c r="O4812" s="34" t="n">
        <v>0.00055131</v>
      </c>
      <c r="P4812" s="34">
        <f>IF($J4812=1,LN(1+O4812),"")</f>
        <v/>
      </c>
      <c r="Q4812" s="34">
        <f>IF($J4812=1,LN(R4813/R4812),"")</f>
        <v/>
      </c>
      <c r="R4812" s="32" t="n">
        <v>5.3096</v>
      </c>
      <c r="S4812" s="35" t="n">
        <v>14.32</v>
      </c>
      <c r="T4812" s="18" t="n"/>
      <c r="U4812" s="18" t="n"/>
      <c r="V4812" s="18" t="n">
        <v>144061.74</v>
      </c>
      <c r="W4812" s="18" t="n"/>
      <c r="X4812" s="35" t="n"/>
      <c r="Y4812" s="35" t="n">
        <v>14.32</v>
      </c>
    </row>
    <row r="4813">
      <c r="A4813" s="25" t="n">
        <v>45917</v>
      </c>
      <c r="B4813" s="18" t="n">
        <v>145593.63</v>
      </c>
      <c r="C4813" s="31" t="n"/>
      <c r="D4813" s="32" t="n"/>
      <c r="E4813" s="33" t="n">
        <v>-0.4112</v>
      </c>
      <c r="F4813" t="inlineStr">
        <is>
          <t>Down</t>
        </is>
      </c>
      <c r="G4813" t="inlineStr">
        <is>
          <t>Down</t>
        </is>
      </c>
      <c r="H4813" t="inlineStr">
        <is>
          <t>ED_JD</t>
        </is>
      </c>
      <c r="I4813" t="inlineStr">
        <is>
          <t>2025-09</t>
        </is>
      </c>
      <c r="J4813" t="n">
        <v>1</v>
      </c>
      <c r="K4813" t="n">
        <v>1</v>
      </c>
      <c r="L4813" s="34">
        <f>IF($J4813=1,LN(B4814/B4813),"")</f>
        <v/>
      </c>
      <c r="M4813" s="34">
        <f>IF($K4813=1,INDEX(Mensal!$D$2:$D$245,MATCH($I4813,Mensal!$A$2:$A$245,0)),"")</f>
        <v/>
      </c>
      <c r="N4813" s="34">
        <f>IF($K4813=1,L4813-M4813,"")</f>
        <v/>
      </c>
      <c r="O4813" s="34" t="n">
        <v>0.00055131</v>
      </c>
      <c r="P4813" s="34">
        <f>IF($J4813=1,LN(1+O4813),"")</f>
        <v/>
      </c>
      <c r="Q4813" s="34">
        <f>IF($J4813=1,LN(R4814/R4813),"")</f>
        <v/>
      </c>
      <c r="R4813" s="32" t="n">
        <v>5.3011</v>
      </c>
      <c r="S4813" s="35" t="n">
        <v>14.29</v>
      </c>
      <c r="T4813" s="18" t="n"/>
      <c r="U4813" s="18" t="n"/>
      <c r="V4813" s="18" t="n">
        <v>145593.63</v>
      </c>
      <c r="W4813" s="18" t="n"/>
      <c r="X4813" s="35" t="n"/>
      <c r="Y4813" s="35" t="n">
        <v>14.29</v>
      </c>
    </row>
    <row r="4814">
      <c r="A4814" s="25" t="n">
        <v>45918</v>
      </c>
      <c r="B4814" s="18" t="n">
        <v>145499.49</v>
      </c>
      <c r="C4814" s="31" t="n"/>
      <c r="D4814" s="32" t="n"/>
      <c r="E4814" s="33" t="n">
        <v>-0.3624</v>
      </c>
      <c r="F4814" t="inlineStr">
        <is>
          <t>Down</t>
        </is>
      </c>
      <c r="G4814" t="inlineStr">
        <is>
          <t>Down</t>
        </is>
      </c>
      <c r="H4814" t="inlineStr">
        <is>
          <t>ED_JD</t>
        </is>
      </c>
      <c r="I4814" t="inlineStr">
        <is>
          <t>2025-09</t>
        </is>
      </c>
      <c r="J4814" t="n">
        <v>1</v>
      </c>
      <c r="K4814" t="n">
        <v>1</v>
      </c>
      <c r="L4814" s="34">
        <f>IF($J4814=1,LN(B4815/B4814),"")</f>
        <v/>
      </c>
      <c r="M4814" s="34">
        <f>IF($K4814=1,INDEX(Mensal!$D$2:$D$245,MATCH($I4814,Mensal!$A$2:$A$245,0)),"")</f>
        <v/>
      </c>
      <c r="N4814" s="34">
        <f>IF($K4814=1,L4814-M4814,"")</f>
        <v/>
      </c>
      <c r="O4814" s="34" t="n">
        <v>0.00055131</v>
      </c>
      <c r="P4814" s="34">
        <f>IF($J4814=1,LN(1+O4814),"")</f>
        <v/>
      </c>
      <c r="Q4814" s="34">
        <f>IF($J4814=1,LN(R4815/R4814),"")</f>
        <v/>
      </c>
      <c r="R4814" s="32" t="n">
        <v>5.301</v>
      </c>
      <c r="S4814" s="35" t="n">
        <v>14.34</v>
      </c>
      <c r="T4814" s="18" t="n"/>
      <c r="U4814" s="18" t="n"/>
      <c r="V4814" s="18" t="n">
        <v>145499.49</v>
      </c>
      <c r="W4814" s="18" t="n"/>
      <c r="X4814" s="35" t="n"/>
      <c r="Y4814" s="35" t="n">
        <v>14.34</v>
      </c>
    </row>
    <row r="4815">
      <c r="A4815" s="25" t="n">
        <v>45919</v>
      </c>
      <c r="B4815" s="18" t="n">
        <v>145865.11</v>
      </c>
      <c r="C4815" s="31" t="n"/>
      <c r="D4815" s="32" t="n"/>
      <c r="E4815" s="33" t="n">
        <v>-0.3128</v>
      </c>
      <c r="F4815" t="inlineStr">
        <is>
          <t>Down</t>
        </is>
      </c>
      <c r="G4815" t="inlineStr">
        <is>
          <t>Down</t>
        </is>
      </c>
      <c r="H4815" t="inlineStr">
        <is>
          <t>ED_JD</t>
        </is>
      </c>
      <c r="I4815" t="inlineStr">
        <is>
          <t>2025-09</t>
        </is>
      </c>
      <c r="J4815" t="n">
        <v>1</v>
      </c>
      <c r="K4815" t="n">
        <v>1</v>
      </c>
      <c r="L4815" s="34">
        <f>IF($J4815=1,LN(B4816/B4815),"")</f>
        <v/>
      </c>
      <c r="M4815" s="34">
        <f>IF($K4815=1,INDEX(Mensal!$D$2:$D$245,MATCH($I4815,Mensal!$A$2:$A$245,0)),"")</f>
        <v/>
      </c>
      <c r="N4815" s="34">
        <f>IF($K4815=1,L4815-M4815,"")</f>
        <v/>
      </c>
      <c r="O4815" s="34" t="n">
        <v>0.00055131</v>
      </c>
      <c r="P4815" s="34">
        <f>IF($J4815=1,LN(1+O4815),"")</f>
        <v/>
      </c>
      <c r="Q4815" s="34">
        <f>IF($J4815=1,LN(R4816/R4815),"")</f>
        <v/>
      </c>
      <c r="R4815" s="32" t="n">
        <v>5.3276</v>
      </c>
      <c r="S4815" s="35" t="n">
        <v>14.34</v>
      </c>
      <c r="T4815" s="18" t="n"/>
      <c r="U4815" s="18" t="n"/>
      <c r="V4815" s="18" t="n">
        <v>145865.11</v>
      </c>
      <c r="W4815" s="18" t="n"/>
      <c r="X4815" s="35" t="n"/>
      <c r="Y4815" s="35" t="n">
        <v>14.34</v>
      </c>
    </row>
    <row r="4816">
      <c r="A4816" s="25" t="n">
        <v>45922</v>
      </c>
      <c r="B4816" s="18" t="n">
        <v>145109.25</v>
      </c>
      <c r="C4816" s="31" t="n"/>
      <c r="D4816" s="32" t="n"/>
      <c r="E4816" s="33" t="n">
        <v>-0.2643</v>
      </c>
      <c r="F4816" t="inlineStr">
        <is>
          <t>Down</t>
        </is>
      </c>
      <c r="G4816" t="inlineStr">
        <is>
          <t>Down</t>
        </is>
      </c>
      <c r="H4816" t="inlineStr">
        <is>
          <t>ED_JD</t>
        </is>
      </c>
      <c r="I4816" t="inlineStr">
        <is>
          <t>2025-09</t>
        </is>
      </c>
      <c r="J4816" t="n">
        <v>1</v>
      </c>
      <c r="K4816" t="n">
        <v>1</v>
      </c>
      <c r="L4816" s="34">
        <f>IF($J4816=1,LN(B4817/B4816),"")</f>
        <v/>
      </c>
      <c r="M4816" s="34">
        <f>IF($K4816=1,INDEX(Mensal!$D$2:$D$245,MATCH($I4816,Mensal!$A$2:$A$245,0)),"")</f>
        <v/>
      </c>
      <c r="N4816" s="34">
        <f>IF($K4816=1,L4816-M4816,"")</f>
        <v/>
      </c>
      <c r="O4816" s="34" t="n">
        <v>0.00055131</v>
      </c>
      <c r="P4816" s="34">
        <f>IF($J4816=1,LN(1+O4816),"")</f>
        <v/>
      </c>
      <c r="Q4816" s="34">
        <f>IF($J4816=1,LN(R4817/R4816),"")</f>
        <v/>
      </c>
      <c r="R4816" s="32" t="n">
        <v>5.3457</v>
      </c>
      <c r="S4816" s="35" t="n">
        <v>14.37</v>
      </c>
      <c r="T4816" s="18" t="n"/>
      <c r="U4816" s="18" t="n"/>
      <c r="V4816" s="18" t="n">
        <v>145109.25</v>
      </c>
      <c r="W4816" s="18" t="n"/>
      <c r="X4816" s="35" t="n"/>
      <c r="Y4816" s="35" t="n">
        <v>14.37</v>
      </c>
    </row>
    <row r="4817">
      <c r="A4817" s="25" t="n">
        <v>45923</v>
      </c>
      <c r="B4817" s="18" t="n">
        <v>146424.94</v>
      </c>
      <c r="C4817" s="31" t="n"/>
      <c r="D4817" s="32" t="n"/>
      <c r="E4817" s="33" t="n">
        <v>-0.2199</v>
      </c>
      <c r="F4817" t="inlineStr">
        <is>
          <t>Down</t>
        </is>
      </c>
      <c r="G4817" t="inlineStr">
        <is>
          <t>Down</t>
        </is>
      </c>
      <c r="H4817" t="inlineStr">
        <is>
          <t>ED_JD</t>
        </is>
      </c>
      <c r="I4817" t="inlineStr">
        <is>
          <t>2025-09</t>
        </is>
      </c>
      <c r="J4817" t="n">
        <v>1</v>
      </c>
      <c r="K4817" t="n">
        <v>1</v>
      </c>
      <c r="L4817" s="34">
        <f>IF($J4817=1,LN(B4818/B4817),"")</f>
        <v/>
      </c>
      <c r="M4817" s="34">
        <f>IF($K4817=1,INDEX(Mensal!$D$2:$D$245,MATCH($I4817,Mensal!$A$2:$A$245,0)),"")</f>
        <v/>
      </c>
      <c r="N4817" s="34">
        <f>IF($K4817=1,L4817-M4817,"")</f>
        <v/>
      </c>
      <c r="O4817" s="34" t="n">
        <v>0.00055131</v>
      </c>
      <c r="P4817" s="34">
        <f>IF($J4817=1,LN(1+O4817),"")</f>
        <v/>
      </c>
      <c r="Q4817" s="34">
        <f>IF($J4817=1,LN(R4818/R4817),"")</f>
        <v/>
      </c>
      <c r="R4817" s="32" t="n">
        <v>5.3063</v>
      </c>
      <c r="S4817" s="35" t="n">
        <v>14.32</v>
      </c>
      <c r="T4817" s="18" t="n"/>
      <c r="U4817" s="18" t="n"/>
      <c r="V4817" s="18" t="n">
        <v>146424.94</v>
      </c>
      <c r="W4817" s="18" t="n"/>
      <c r="X4817" s="35" t="n"/>
      <c r="Y4817" s="35" t="n">
        <v>14.32</v>
      </c>
    </row>
    <row r="4818">
      <c r="A4818" s="25" t="n">
        <v>45924</v>
      </c>
      <c r="B4818" s="18" t="n">
        <v>146491.75</v>
      </c>
      <c r="C4818" s="31" t="n"/>
      <c r="D4818" s="32" t="n"/>
      <c r="E4818" s="33" t="n">
        <v>-0.1938</v>
      </c>
      <c r="F4818" t="inlineStr">
        <is>
          <t>Down</t>
        </is>
      </c>
      <c r="G4818" t="inlineStr">
        <is>
          <t>Down</t>
        </is>
      </c>
      <c r="H4818" t="inlineStr">
        <is>
          <t>ED_JD</t>
        </is>
      </c>
      <c r="I4818" t="inlineStr">
        <is>
          <t>2025-09</t>
        </is>
      </c>
      <c r="J4818" t="n">
        <v>1</v>
      </c>
      <c r="K4818" t="n">
        <v>1</v>
      </c>
      <c r="L4818" s="34">
        <f>IF($J4818=1,LN(B4819/B4818),"")</f>
        <v/>
      </c>
      <c r="M4818" s="34">
        <f>IF($K4818=1,INDEX(Mensal!$D$2:$D$245,MATCH($I4818,Mensal!$A$2:$A$245,0)),"")</f>
        <v/>
      </c>
      <c r="N4818" s="34">
        <f>IF($K4818=1,L4818-M4818,"")</f>
        <v/>
      </c>
      <c r="O4818" s="34" t="n">
        <v>0.00055131</v>
      </c>
      <c r="P4818" s="34">
        <f>IF($J4818=1,LN(1+O4818),"")</f>
        <v/>
      </c>
      <c r="Q4818" s="34">
        <f>IF($J4818=1,LN(R4819/R4818),"")</f>
        <v/>
      </c>
      <c r="R4818" s="32" t="n">
        <v>5.3112</v>
      </c>
      <c r="S4818" s="35" t="n">
        <v>14.34</v>
      </c>
      <c r="T4818" s="18" t="n"/>
      <c r="U4818" s="18" t="n"/>
      <c r="V4818" s="18" t="n">
        <v>146491.75</v>
      </c>
      <c r="W4818" s="18" t="n"/>
      <c r="X4818" s="35" t="n"/>
      <c r="Y4818" s="35" t="n">
        <v>14.34</v>
      </c>
    </row>
    <row r="4819">
      <c r="A4819" s="25" t="n">
        <v>45925</v>
      </c>
      <c r="B4819" s="18" t="n">
        <v>145306.23</v>
      </c>
      <c r="C4819" s="31" t="n"/>
      <c r="D4819" s="32" t="n"/>
      <c r="E4819" s="33" t="n">
        <v>-0.1651</v>
      </c>
      <c r="F4819" t="inlineStr">
        <is>
          <t>Down</t>
        </is>
      </c>
      <c r="G4819" t="inlineStr">
        <is>
          <t>Down</t>
        </is>
      </c>
      <c r="H4819" t="inlineStr">
        <is>
          <t>ED_JD</t>
        </is>
      </c>
      <c r="I4819" t="inlineStr">
        <is>
          <t>2025-09</t>
        </is>
      </c>
      <c r="J4819" t="n">
        <v>1</v>
      </c>
      <c r="K4819" t="n">
        <v>1</v>
      </c>
      <c r="L4819" s="34">
        <f>IF($J4819=1,LN(B4820/B4819),"")</f>
        <v/>
      </c>
      <c r="M4819" s="34">
        <f>IF($K4819=1,INDEX(Mensal!$D$2:$D$245,MATCH($I4819,Mensal!$A$2:$A$245,0)),"")</f>
        <v/>
      </c>
      <c r="N4819" s="34">
        <f>IF($K4819=1,L4819-M4819,"")</f>
        <v/>
      </c>
      <c r="O4819" s="34" t="n">
        <v>0.00055131</v>
      </c>
      <c r="P4819" s="34">
        <f>IF($J4819=1,LN(1+O4819),"")</f>
        <v/>
      </c>
      <c r="Q4819" s="34">
        <f>IF($J4819=1,LN(R4820/R4819),"")</f>
        <v/>
      </c>
      <c r="R4819" s="32" t="n">
        <v>5.3425</v>
      </c>
      <c r="S4819" s="35" t="n">
        <v>14.38</v>
      </c>
      <c r="T4819" s="18" t="n"/>
      <c r="U4819" s="18" t="n"/>
      <c r="V4819" s="18" t="n">
        <v>145306.23</v>
      </c>
      <c r="W4819" s="18" t="n"/>
      <c r="X4819" s="35" t="n"/>
      <c r="Y4819" s="35" t="n">
        <v>14.38</v>
      </c>
    </row>
    <row r="4820">
      <c r="A4820" s="25" t="n">
        <v>45926</v>
      </c>
      <c r="B4820" s="18" t="n">
        <v>145446.66</v>
      </c>
      <c r="C4820" s="31" t="n"/>
      <c r="D4820" s="32" t="n"/>
      <c r="E4820" s="33" t="n">
        <v>-0.134</v>
      </c>
      <c r="F4820" t="inlineStr">
        <is>
          <t>Down</t>
        </is>
      </c>
      <c r="G4820" t="inlineStr">
        <is>
          <t>Down</t>
        </is>
      </c>
      <c r="H4820" t="inlineStr">
        <is>
          <t>ED_JD</t>
        </is>
      </c>
      <c r="I4820" t="inlineStr">
        <is>
          <t>2025-09</t>
        </is>
      </c>
      <c r="J4820" t="n">
        <v>1</v>
      </c>
      <c r="K4820" t="n">
        <v>1</v>
      </c>
      <c r="L4820" s="34">
        <f>IF($J4820=1,LN(B4821/B4820),"")</f>
        <v/>
      </c>
      <c r="M4820" s="34">
        <f>IF($K4820=1,INDEX(Mensal!$D$2:$D$245,MATCH($I4820,Mensal!$A$2:$A$245,0)),"")</f>
        <v/>
      </c>
      <c r="N4820" s="34">
        <f>IF($K4820=1,L4820-M4820,"")</f>
        <v/>
      </c>
      <c r="O4820" s="34" t="n">
        <v>0.00055131</v>
      </c>
      <c r="P4820" s="34">
        <f>IF($J4820=1,LN(1+O4820),"")</f>
        <v/>
      </c>
      <c r="Q4820" s="34">
        <f>IF($J4820=1,LN(R4821/R4820),"")</f>
        <v/>
      </c>
      <c r="R4820" s="32" t="n">
        <v>5.3445</v>
      </c>
      <c r="S4820" s="35" t="n">
        <v>14.36</v>
      </c>
      <c r="T4820" s="18" t="n"/>
      <c r="U4820" s="18" t="n"/>
      <c r="V4820" s="18" t="n">
        <v>145446.66</v>
      </c>
      <c r="W4820" s="18" t="n"/>
      <c r="X4820" s="35" t="n"/>
      <c r="Y4820" s="35" t="n">
        <v>14.36</v>
      </c>
    </row>
    <row r="4821">
      <c r="A4821" s="25" t="n">
        <v>45929</v>
      </c>
      <c r="B4821" s="18" t="n">
        <v>146336.8</v>
      </c>
      <c r="C4821" s="31" t="n"/>
      <c r="D4821" s="32" t="n"/>
      <c r="E4821" s="33" t="n">
        <v>-0.1072</v>
      </c>
      <c r="F4821" t="inlineStr">
        <is>
          <t>Down</t>
        </is>
      </c>
      <c r="G4821" t="inlineStr">
        <is>
          <t>Down</t>
        </is>
      </c>
      <c r="H4821" t="inlineStr">
        <is>
          <t>ED_JD</t>
        </is>
      </c>
      <c r="I4821" t="inlineStr">
        <is>
          <t>2025-09</t>
        </is>
      </c>
      <c r="J4821" t="n">
        <v>1</v>
      </c>
      <c r="K4821" t="n">
        <v>1</v>
      </c>
      <c r="L4821" s="34">
        <f>IF($J4821=1,LN(B4822/B4821),"")</f>
        <v/>
      </c>
      <c r="M4821" s="34">
        <f>IF($K4821=1,INDEX(Mensal!$D$2:$D$245,MATCH($I4821,Mensal!$A$2:$A$245,0)),"")</f>
        <v/>
      </c>
      <c r="N4821" s="34">
        <f>IF($K4821=1,L4821-M4821,"")</f>
        <v/>
      </c>
      <c r="O4821" s="34" t="n">
        <v>0.00055131</v>
      </c>
      <c r="P4821" s="34">
        <f>IF($J4821=1,LN(1+O4821),"")</f>
        <v/>
      </c>
      <c r="Q4821" s="34">
        <f>IF($J4821=1,LN(R4822/R4821),"")</f>
        <v/>
      </c>
      <c r="R4821" s="32" t="n">
        <v>5.3229</v>
      </c>
      <c r="S4821" s="35" t="n">
        <v>14.36</v>
      </c>
      <c r="T4821" s="18" t="n"/>
      <c r="U4821" s="18" t="n"/>
      <c r="V4821" s="18" t="n">
        <v>146336.8</v>
      </c>
      <c r="W4821" s="18" t="n"/>
      <c r="X4821" s="35" t="n"/>
      <c r="Y4821" s="35" t="n">
        <v>14.36</v>
      </c>
    </row>
    <row r="4822">
      <c r="A4822" s="25" t="n">
        <v>45930</v>
      </c>
      <c r="B4822" s="18" t="n">
        <v>146237.02</v>
      </c>
      <c r="C4822" s="31" t="n"/>
      <c r="D4822" s="32" t="n"/>
      <c r="E4822" s="33" t="n">
        <v>-0.0765</v>
      </c>
      <c r="F4822" t="inlineStr">
        <is>
          <t>Down</t>
        </is>
      </c>
      <c r="G4822" t="inlineStr">
        <is>
          <t>Down</t>
        </is>
      </c>
      <c r="H4822" t="inlineStr">
        <is>
          <t>ED_JD</t>
        </is>
      </c>
      <c r="I4822" t="inlineStr">
        <is>
          <t>2025-09</t>
        </is>
      </c>
      <c r="J4822" t="n">
        <v>1</v>
      </c>
      <c r="K4822" t="n">
        <v>1</v>
      </c>
      <c r="L4822" s="34">
        <f>IF($J4822=1,LN(B4823/B4822),"")</f>
        <v/>
      </c>
      <c r="M4822" s="34">
        <f>IF($K4822=1,INDEX(Mensal!$D$2:$D$245,MATCH($I4822,Mensal!$A$2:$A$245,0)),"")</f>
        <v/>
      </c>
      <c r="N4822" s="34">
        <f>IF($K4822=1,L4822-M4822,"")</f>
        <v/>
      </c>
      <c r="O4822" s="34" t="n">
        <v>0.00055131</v>
      </c>
      <c r="P4822" s="34">
        <f>IF($J4822=1,LN(1+O4822),"")</f>
        <v/>
      </c>
      <c r="Q4822" s="34">
        <f>IF($J4822=1,LN(R4823/R4822),"")</f>
        <v/>
      </c>
      <c r="R4822" s="32" t="n">
        <v>5.3186</v>
      </c>
      <c r="S4822" s="35" t="n">
        <v>14.34</v>
      </c>
      <c r="T4822" s="18" t="n"/>
      <c r="U4822" s="18" t="n"/>
      <c r="V4822" s="18" t="n">
        <v>146237.02</v>
      </c>
      <c r="W4822" s="18" t="n"/>
      <c r="X4822" s="35" t="n"/>
      <c r="Y4822" s="35" t="n">
        <v>14.34</v>
      </c>
    </row>
    <row r="4823">
      <c r="A4823" s="25" t="n">
        <v>45931</v>
      </c>
      <c r="B4823" s="18" t="n">
        <v>145517.35</v>
      </c>
      <c r="C4823" s="31" t="n"/>
      <c r="D4823" s="32" t="n"/>
      <c r="E4823" s="33" t="n">
        <v>-0.0447</v>
      </c>
      <c r="F4823" t="inlineStr">
        <is>
          <t>Down</t>
        </is>
      </c>
      <c r="G4823" t="inlineStr">
        <is>
          <t>Down</t>
        </is>
      </c>
      <c r="H4823" t="inlineStr">
        <is>
          <t>ED_JD</t>
        </is>
      </c>
      <c r="I4823" t="inlineStr">
        <is>
          <t>2025-10</t>
        </is>
      </c>
      <c r="J4823" t="n">
        <v>1</v>
      </c>
      <c r="K4823" t="n">
        <v>1</v>
      </c>
      <c r="L4823" s="34">
        <f>IF($J4823=1,LN(B4824/B4823),"")</f>
        <v/>
      </c>
      <c r="M4823" s="34">
        <f>IF($K4823=1,INDEX(Mensal!$D$2:$D$245,MATCH($I4823,Mensal!$A$2:$A$245,0)),"")</f>
        <v/>
      </c>
      <c r="N4823" s="34">
        <f>IF($K4823=1,L4823-M4823,"")</f>
        <v/>
      </c>
      <c r="O4823" s="34" t="n">
        <v>0.00055131</v>
      </c>
      <c r="P4823" s="34">
        <f>IF($J4823=1,LN(1+O4823),"")</f>
        <v/>
      </c>
      <c r="Q4823" s="34">
        <f>IF($J4823=1,LN(R4824/R4823),"")</f>
        <v/>
      </c>
      <c r="R4823" s="32" t="n">
        <v>5.3208</v>
      </c>
      <c r="S4823" s="35" t="n">
        <v>14.35</v>
      </c>
      <c r="T4823" s="18" t="n"/>
      <c r="U4823" s="18" t="n"/>
      <c r="V4823" s="18" t="n">
        <v>145517.35</v>
      </c>
      <c r="W4823" s="18" t="n"/>
      <c r="X4823" s="35" t="n"/>
      <c r="Y4823" s="35" t="n">
        <v>14.35</v>
      </c>
    </row>
    <row r="4824">
      <c r="A4824" s="25" t="n">
        <v>45932</v>
      </c>
      <c r="B4824" s="18" t="n">
        <v>143949.64</v>
      </c>
      <c r="C4824" s="31" t="n"/>
      <c r="D4824" s="32" t="n"/>
      <c r="E4824" s="33" t="n">
        <v>-0.0215</v>
      </c>
      <c r="F4824" t="inlineStr">
        <is>
          <t>Down</t>
        </is>
      </c>
      <c r="G4824" t="inlineStr">
        <is>
          <t>Down</t>
        </is>
      </c>
      <c r="H4824" t="inlineStr">
        <is>
          <t>ED_JD</t>
        </is>
      </c>
      <c r="I4824" t="inlineStr">
        <is>
          <t>2025-10</t>
        </is>
      </c>
      <c r="J4824" t="n">
        <v>1</v>
      </c>
      <c r="K4824" t="n">
        <v>1</v>
      </c>
      <c r="L4824" s="34">
        <f>IF($J4824=1,LN(B4825/B4824),"")</f>
        <v/>
      </c>
      <c r="M4824" s="34">
        <f>IF($K4824=1,INDEX(Mensal!$D$2:$D$245,MATCH($I4824,Mensal!$A$2:$A$245,0)),"")</f>
        <v/>
      </c>
      <c r="N4824" s="34">
        <f>IF($K4824=1,L4824-M4824,"")</f>
        <v/>
      </c>
      <c r="O4824" s="34" t="n">
        <v>0.00055131</v>
      </c>
      <c r="P4824" s="34">
        <f>IF($J4824=1,LN(1+O4824),"")</f>
        <v/>
      </c>
      <c r="Q4824" s="34">
        <f>IF($J4824=1,LN(R4825/R4824),"")</f>
        <v/>
      </c>
      <c r="R4824" s="32" t="n">
        <v>5.3449</v>
      </c>
      <c r="S4824" s="35" t="n">
        <v>14.37</v>
      </c>
      <c r="T4824" s="18" t="n"/>
      <c r="U4824" s="18" t="n"/>
      <c r="V4824" s="18" t="n">
        <v>143949.64</v>
      </c>
      <c r="W4824" s="18" t="n"/>
      <c r="X4824" s="35" t="n"/>
      <c r="Y4824" s="35" t="n">
        <v>14.37</v>
      </c>
    </row>
    <row r="4825">
      <c r="A4825" s="25" t="n">
        <v>45933</v>
      </c>
      <c r="B4825" s="18" t="n">
        <v>144200.65</v>
      </c>
      <c r="C4825" s="31" t="n"/>
      <c r="D4825" s="32" t="n"/>
      <c r="E4825" s="33" t="n">
        <v>0.0027</v>
      </c>
      <c r="F4825" t="inlineStr">
        <is>
          <t>Down</t>
        </is>
      </c>
      <c r="G4825" t="inlineStr">
        <is>
          <t>Down</t>
        </is>
      </c>
      <c r="H4825" t="inlineStr">
        <is>
          <t>ED_JD</t>
        </is>
      </c>
      <c r="I4825" t="inlineStr">
        <is>
          <t>2025-10</t>
        </is>
      </c>
      <c r="J4825" t="n">
        <v>1</v>
      </c>
      <c r="K4825" t="n">
        <v>1</v>
      </c>
      <c r="L4825" s="34">
        <f>IF($J4825=1,LN(B4826/B4825),"")</f>
        <v/>
      </c>
      <c r="M4825" s="34">
        <f>IF($K4825=1,INDEX(Mensal!$D$2:$D$245,MATCH($I4825,Mensal!$A$2:$A$245,0)),"")</f>
        <v/>
      </c>
      <c r="N4825" s="34">
        <f>IF($K4825=1,L4825-M4825,"")</f>
        <v/>
      </c>
      <c r="O4825" s="34" t="n">
        <v>0.00055131</v>
      </c>
      <c r="P4825" s="34">
        <f>IF($J4825=1,LN(1+O4825),"")</f>
        <v/>
      </c>
      <c r="Q4825" s="34">
        <f>IF($J4825=1,LN(R4826/R4825),"")</f>
        <v/>
      </c>
      <c r="R4825" s="32" t="n">
        <v>5.3498</v>
      </c>
      <c r="S4825" s="35" t="n">
        <v>14.39</v>
      </c>
      <c r="T4825" s="18" t="n"/>
      <c r="U4825" s="18" t="n"/>
      <c r="V4825" s="18" t="n">
        <v>144200.65</v>
      </c>
      <c r="W4825" s="18" t="n"/>
      <c r="X4825" s="35" t="n"/>
      <c r="Y4825" s="35" t="n">
        <v>14.39</v>
      </c>
    </row>
    <row r="4826">
      <c r="A4826" s="25" t="n">
        <v>45936</v>
      </c>
      <c r="B4826" s="18" t="n">
        <v>143608.08</v>
      </c>
      <c r="C4826" s="31" t="n"/>
      <c r="D4826" s="32" t="n"/>
      <c r="E4826" s="33" t="n">
        <v>0.03</v>
      </c>
      <c r="F4826" t="inlineStr">
        <is>
          <t>Down</t>
        </is>
      </c>
      <c r="G4826" t="inlineStr">
        <is>
          <t>Down</t>
        </is>
      </c>
      <c r="H4826" t="inlineStr">
        <is>
          <t>ED_JD</t>
        </is>
      </c>
      <c r="I4826" t="inlineStr">
        <is>
          <t>2025-10</t>
        </is>
      </c>
      <c r="J4826" t="n">
        <v>1</v>
      </c>
      <c r="K4826" t="n">
        <v>1</v>
      </c>
      <c r="L4826" s="34">
        <f>IF($J4826=1,LN(B4827/B4826),"")</f>
        <v/>
      </c>
      <c r="M4826" s="34">
        <f>IF($K4826=1,INDEX(Mensal!$D$2:$D$245,MATCH($I4826,Mensal!$A$2:$A$245,0)),"")</f>
        <v/>
      </c>
      <c r="N4826" s="34">
        <f>IF($K4826=1,L4826-M4826,"")</f>
        <v/>
      </c>
      <c r="O4826" s="34" t="n">
        <v>0.00055131</v>
      </c>
      <c r="P4826" s="34">
        <f>IF($J4826=1,LN(1+O4826),"")</f>
        <v/>
      </c>
      <c r="Q4826" s="34">
        <f>IF($J4826=1,LN(R4827/R4826),"")</f>
        <v/>
      </c>
      <c r="R4826" s="32" t="n">
        <v>5.3226</v>
      </c>
      <c r="S4826" s="35" t="n">
        <v>14.35</v>
      </c>
      <c r="T4826" s="18" t="n"/>
      <c r="U4826" s="18" t="n"/>
      <c r="V4826" s="18" t="n">
        <v>143608.08</v>
      </c>
      <c r="W4826" s="18" t="n"/>
      <c r="X4826" s="35" t="n"/>
      <c r="Y4826" s="35" t="n">
        <v>14.35</v>
      </c>
    </row>
    <row r="4827">
      <c r="A4827" s="25" t="n">
        <v>45937</v>
      </c>
      <c r="B4827" s="18" t="n">
        <v>141356.43</v>
      </c>
      <c r="C4827" s="31" t="n"/>
      <c r="D4827" s="32" t="n"/>
      <c r="E4827" s="33" t="n">
        <v>0.0546</v>
      </c>
      <c r="F4827" t="inlineStr">
        <is>
          <t>Down</t>
        </is>
      </c>
      <c r="G4827" t="inlineStr">
        <is>
          <t>Down</t>
        </is>
      </c>
      <c r="H4827" t="inlineStr">
        <is>
          <t>ED_JD</t>
        </is>
      </c>
      <c r="I4827" t="inlineStr">
        <is>
          <t>2025-10</t>
        </is>
      </c>
      <c r="J4827" t="n">
        <v>1</v>
      </c>
      <c r="K4827" t="n">
        <v>1</v>
      </c>
      <c r="L4827" s="34">
        <f>IF($J4827=1,LN(B4828/B4827),"")</f>
        <v/>
      </c>
      <c r="M4827" s="34">
        <f>IF($K4827=1,INDEX(Mensal!$D$2:$D$245,MATCH($I4827,Mensal!$A$2:$A$245,0)),"")</f>
        <v/>
      </c>
      <c r="N4827" s="34">
        <f>IF($K4827=1,L4827-M4827,"")</f>
        <v/>
      </c>
      <c r="O4827" s="34" t="n">
        <v>0.00055131</v>
      </c>
      <c r="P4827" s="34">
        <f>IF($J4827=1,LN(1+O4827),"")</f>
        <v/>
      </c>
      <c r="Q4827" s="34">
        <f>IF($J4827=1,LN(R4828/R4827),"")</f>
        <v/>
      </c>
      <c r="R4827" s="32" t="n">
        <v>5.3363</v>
      </c>
      <c r="S4827" s="35" t="n">
        <v>14.39</v>
      </c>
      <c r="T4827" s="18" t="n"/>
      <c r="U4827" s="18" t="n"/>
      <c r="V4827" s="18" t="n">
        <v>141356.43</v>
      </c>
      <c r="W4827" s="18" t="n"/>
      <c r="X4827" s="35" t="n"/>
      <c r="Y4827" s="35" t="n">
        <v>14.39</v>
      </c>
    </row>
    <row r="4828">
      <c r="A4828" s="25" t="n">
        <v>45938</v>
      </c>
      <c r="B4828" s="18" t="n">
        <v>142145.38</v>
      </c>
      <c r="C4828" s="31" t="n"/>
      <c r="D4828" s="32" t="n"/>
      <c r="E4828" s="33" t="n">
        <v>0.0886</v>
      </c>
      <c r="F4828" t="inlineStr">
        <is>
          <t>Down</t>
        </is>
      </c>
      <c r="G4828" t="inlineStr">
        <is>
          <t>Down</t>
        </is>
      </c>
      <c r="H4828" t="inlineStr">
        <is>
          <t>ED_JD</t>
        </is>
      </c>
      <c r="I4828" t="inlineStr">
        <is>
          <t>2025-10</t>
        </is>
      </c>
      <c r="J4828" t="n">
        <v>1</v>
      </c>
      <c r="K4828" t="n">
        <v>1</v>
      </c>
      <c r="L4828" s="34">
        <f>IF($J4828=1,LN(B4829/B4828),"")</f>
        <v/>
      </c>
      <c r="M4828" s="34">
        <f>IF($K4828=1,INDEX(Mensal!$D$2:$D$245,MATCH($I4828,Mensal!$A$2:$A$245,0)),"")</f>
        <v/>
      </c>
      <c r="N4828" s="34">
        <f>IF($K4828=1,L4828-M4828,"")</f>
        <v/>
      </c>
      <c r="O4828" s="34" t="n">
        <v>0.00055131</v>
      </c>
      <c r="P4828" s="34">
        <f>IF($J4828=1,LN(1+O4828),"")</f>
        <v/>
      </c>
      <c r="Q4828" s="34">
        <f>IF($J4828=1,LN(R4829/R4828),"")</f>
        <v/>
      </c>
      <c r="R4828" s="32" t="n">
        <v>5.3427</v>
      </c>
      <c r="S4828" s="35" t="n">
        <v>14.37</v>
      </c>
      <c r="T4828" s="18" t="n"/>
      <c r="U4828" s="18" t="n"/>
      <c r="V4828" s="18" t="n">
        <v>142145.38</v>
      </c>
      <c r="W4828" s="18" t="n"/>
      <c r="X4828" s="35" t="n"/>
      <c r="Y4828" s="35" t="n">
        <v>14.37</v>
      </c>
    </row>
    <row r="4829">
      <c r="A4829" s="25" t="n">
        <v>45939</v>
      </c>
      <c r="B4829" s="18" t="n">
        <v>141708.19</v>
      </c>
      <c r="C4829" s="31" t="n"/>
      <c r="D4829" s="32" t="n"/>
      <c r="E4829" s="33" t="n">
        <v>0.1269</v>
      </c>
      <c r="F4829" t="inlineStr">
        <is>
          <t>Down</t>
        </is>
      </c>
      <c r="G4829" t="inlineStr">
        <is>
          <t>Down</t>
        </is>
      </c>
      <c r="H4829" t="inlineStr">
        <is>
          <t>ED_JD</t>
        </is>
      </c>
      <c r="I4829" t="inlineStr">
        <is>
          <t>2025-10</t>
        </is>
      </c>
      <c r="J4829" t="n">
        <v>1</v>
      </c>
      <c r="K4829" t="n">
        <v>1</v>
      </c>
      <c r="L4829" s="34">
        <f>IF($J4829=1,LN(B4830/B4829),"")</f>
        <v/>
      </c>
      <c r="M4829" s="34">
        <f>IF($K4829=1,INDEX(Mensal!$D$2:$D$245,MATCH($I4829,Mensal!$A$2:$A$245,0)),"")</f>
        <v/>
      </c>
      <c r="N4829" s="34">
        <f>IF($K4829=1,L4829-M4829,"")</f>
        <v/>
      </c>
      <c r="O4829" s="34" t="n">
        <v>0.00055131</v>
      </c>
      <c r="P4829" s="34">
        <f>IF($J4829=1,LN(1+O4829),"")</f>
        <v/>
      </c>
      <c r="Q4829" s="34">
        <f>IF($J4829=1,LN(R4830/R4829),"")</f>
        <v/>
      </c>
      <c r="R4829" s="32" t="n">
        <v>5.3538</v>
      </c>
      <c r="S4829" s="35" t="n">
        <v>14.3</v>
      </c>
      <c r="T4829" s="18" t="n"/>
      <c r="U4829" s="18" t="n"/>
      <c r="V4829" s="18" t="n">
        <v>141708.19</v>
      </c>
      <c r="W4829" s="18" t="n"/>
      <c r="X4829" s="35" t="n"/>
      <c r="Y4829" s="35" t="n">
        <v>14.3</v>
      </c>
    </row>
    <row r="4830">
      <c r="A4830" s="25" t="n">
        <v>45940</v>
      </c>
      <c r="B4830" s="18" t="n">
        <v>140680.34</v>
      </c>
      <c r="C4830" s="31" t="n"/>
      <c r="D4830" s="32" t="n"/>
      <c r="E4830" s="33" t="n">
        <v>0.1662</v>
      </c>
      <c r="F4830" t="inlineStr">
        <is>
          <t>Down</t>
        </is>
      </c>
      <c r="G4830" t="inlineStr">
        <is>
          <t>Down</t>
        </is>
      </c>
      <c r="H4830" t="inlineStr">
        <is>
          <t>ED_JD</t>
        </is>
      </c>
      <c r="I4830" t="inlineStr">
        <is>
          <t>2025-10</t>
        </is>
      </c>
      <c r="J4830" t="n">
        <v>1</v>
      </c>
      <c r="K4830" t="n">
        <v>1</v>
      </c>
      <c r="L4830" s="34">
        <f>IF($J4830=1,LN(B4831/B4830),"")</f>
        <v/>
      </c>
      <c r="M4830" s="34">
        <f>IF($K4830=1,INDEX(Mensal!$D$2:$D$245,MATCH($I4830,Mensal!$A$2:$A$245,0)),"")</f>
        <v/>
      </c>
      <c r="N4830" s="34">
        <f>IF($K4830=1,L4830-M4830,"")</f>
        <v/>
      </c>
      <c r="O4830" s="34" t="n">
        <v>0.00055131</v>
      </c>
      <c r="P4830" s="34">
        <f>IF($J4830=1,LN(1+O4830),"")</f>
        <v/>
      </c>
      <c r="Q4830" s="34">
        <f>IF($J4830=1,LN(R4831/R4830),"")</f>
        <v/>
      </c>
      <c r="R4830" s="32" t="n">
        <v>5.4446</v>
      </c>
      <c r="S4830" s="35" t="n">
        <v>14.27</v>
      </c>
      <c r="T4830" s="18" t="n"/>
      <c r="U4830" s="18" t="n"/>
      <c r="V4830" s="18" t="n">
        <v>140680.34</v>
      </c>
      <c r="W4830" s="18" t="n"/>
      <c r="X4830" s="35" t="n"/>
      <c r="Y4830" s="35" t="n">
        <v>14.27</v>
      </c>
    </row>
    <row r="4831">
      <c r="A4831" s="25" t="n">
        <v>45943</v>
      </c>
      <c r="B4831" s="18" t="n">
        <v>141783.36</v>
      </c>
      <c r="C4831" s="31" t="n"/>
      <c r="D4831" s="32" t="n"/>
      <c r="E4831" s="33" t="n">
        <v>0.2045</v>
      </c>
      <c r="F4831" t="inlineStr">
        <is>
          <t>Down</t>
        </is>
      </c>
      <c r="G4831" t="inlineStr">
        <is>
          <t>Down</t>
        </is>
      </c>
      <c r="H4831" t="inlineStr">
        <is>
          <t>ED_JD</t>
        </is>
      </c>
      <c r="I4831" t="inlineStr">
        <is>
          <t>2025-10</t>
        </is>
      </c>
      <c r="J4831" t="n">
        <v>1</v>
      </c>
      <c r="K4831" t="n">
        <v>1</v>
      </c>
      <c r="L4831" s="34">
        <f>IF($J4831=1,LN(B4832/B4831),"")</f>
        <v/>
      </c>
      <c r="M4831" s="34">
        <f>IF($K4831=1,INDEX(Mensal!$D$2:$D$245,MATCH($I4831,Mensal!$A$2:$A$245,0)),"")</f>
        <v/>
      </c>
      <c r="N4831" s="34">
        <f>IF($K4831=1,L4831-M4831,"")</f>
        <v/>
      </c>
      <c r="O4831" s="34" t="n">
        <v>0.00055131</v>
      </c>
      <c r="P4831" s="34">
        <f>IF($J4831=1,LN(1+O4831),"")</f>
        <v/>
      </c>
      <c r="Q4831" s="34">
        <f>IF($J4831=1,LN(R4832/R4831),"")</f>
        <v/>
      </c>
      <c r="R4831" s="32" t="n">
        <v>5.4629</v>
      </c>
      <c r="S4831" s="35" t="n">
        <v>14.26</v>
      </c>
      <c r="T4831" s="18" t="n"/>
      <c r="U4831" s="18" t="n"/>
      <c r="V4831" s="18" t="n">
        <v>141783.36</v>
      </c>
      <c r="W4831" s="18" t="n"/>
      <c r="X4831" s="35" t="n"/>
      <c r="Y4831" s="35" t="n">
        <v>14.26</v>
      </c>
    </row>
    <row r="4832">
      <c r="A4832" s="25" t="n">
        <v>45944</v>
      </c>
      <c r="B4832" s="18" t="n">
        <v>141682.99</v>
      </c>
      <c r="C4832" s="31" t="n"/>
      <c r="D4832" s="32" t="n"/>
      <c r="E4832" s="33" t="n">
        <v>0.2459</v>
      </c>
      <c r="F4832" t="inlineStr">
        <is>
          <t>Down</t>
        </is>
      </c>
      <c r="G4832" t="inlineStr">
        <is>
          <t>Down</t>
        </is>
      </c>
      <c r="H4832" t="inlineStr">
        <is>
          <t>ED_JD</t>
        </is>
      </c>
      <c r="I4832" t="inlineStr">
        <is>
          <t>2025-10</t>
        </is>
      </c>
      <c r="J4832" t="n">
        <v>1</v>
      </c>
      <c r="K4832" t="n">
        <v>1</v>
      </c>
      <c r="L4832" s="34">
        <f>IF($J4832=1,LN(B4833/B4832),"")</f>
        <v/>
      </c>
      <c r="M4832" s="34">
        <f>IF($K4832=1,INDEX(Mensal!$D$2:$D$245,MATCH($I4832,Mensal!$A$2:$A$245,0)),"")</f>
        <v/>
      </c>
      <c r="N4832" s="34">
        <f>IF($K4832=1,L4832-M4832,"")</f>
        <v/>
      </c>
      <c r="O4832" s="34" t="n">
        <v>0.00055131</v>
      </c>
      <c r="P4832" s="34">
        <f>IF($J4832=1,LN(1+O4832),"")</f>
        <v/>
      </c>
      <c r="Q4832" s="34">
        <f>IF($J4832=1,LN(R4833/R4832),"")</f>
        <v/>
      </c>
      <c r="R4832" s="32" t="n">
        <v>5.4982</v>
      </c>
      <c r="S4832" s="35" t="n">
        <v>14.25</v>
      </c>
      <c r="T4832" s="18" t="n"/>
      <c r="U4832" s="18" t="n"/>
      <c r="V4832" s="18" t="n">
        <v>141682.99</v>
      </c>
      <c r="W4832" s="18" t="n"/>
      <c r="X4832" s="35" t="n"/>
      <c r="Y4832" s="35" t="n">
        <v>14.25</v>
      </c>
    </row>
    <row r="4833">
      <c r="A4833" s="25" t="n">
        <v>45945</v>
      </c>
      <c r="B4833" s="18" t="n">
        <v>142603.66</v>
      </c>
      <c r="C4833" s="31" t="n"/>
      <c r="D4833" s="32" t="n"/>
      <c r="E4833" s="33" t="n">
        <v>0.2961</v>
      </c>
      <c r="F4833" t="inlineStr">
        <is>
          <t>Down</t>
        </is>
      </c>
      <c r="G4833" t="inlineStr">
        <is>
          <t>Down</t>
        </is>
      </c>
      <c r="H4833" t="inlineStr">
        <is>
          <t>ED_JD</t>
        </is>
      </c>
      <c r="I4833" t="inlineStr">
        <is>
          <t>2025-10</t>
        </is>
      </c>
      <c r="J4833" t="n">
        <v>1</v>
      </c>
      <c r="K4833" t="n">
        <v>1</v>
      </c>
      <c r="L4833" s="34">
        <f>IF($J4833=1,LN(B4834/B4833),"")</f>
        <v/>
      </c>
      <c r="M4833" s="34">
        <f>IF($K4833=1,INDEX(Mensal!$D$2:$D$245,MATCH($I4833,Mensal!$A$2:$A$245,0)),"")</f>
        <v/>
      </c>
      <c r="N4833" s="34">
        <f>IF($K4833=1,L4833-M4833,"")</f>
        <v/>
      </c>
      <c r="O4833" s="34" t="n">
        <v>0.00055131</v>
      </c>
      <c r="P4833" s="34">
        <f>IF($J4833=1,LN(1+O4833),"")</f>
        <v/>
      </c>
      <c r="Q4833" s="34">
        <f>IF($J4833=1,LN(R4834/R4833),"")</f>
        <v/>
      </c>
      <c r="R4833" s="32" t="n">
        <v>5.4464</v>
      </c>
      <c r="S4833" s="35" t="n">
        <v>14.28</v>
      </c>
      <c r="T4833" s="18" t="n"/>
      <c r="U4833" s="18" t="n"/>
      <c r="V4833" s="18" t="n">
        <v>142603.66</v>
      </c>
      <c r="W4833" s="18" t="n"/>
      <c r="X4833" s="35" t="n"/>
      <c r="Y4833" s="35" t="n">
        <v>14.28</v>
      </c>
    </row>
    <row r="4834">
      <c r="A4834" s="25" t="n">
        <v>45946</v>
      </c>
      <c r="B4834" s="18" t="n">
        <v>142200.02</v>
      </c>
      <c r="C4834" s="31" t="n"/>
      <c r="D4834" s="32" t="n"/>
      <c r="E4834" s="33" t="n">
        <v>0.3193</v>
      </c>
      <c r="F4834" t="inlineStr">
        <is>
          <t>Down</t>
        </is>
      </c>
      <c r="G4834" t="inlineStr">
        <is>
          <t>Down</t>
        </is>
      </c>
      <c r="H4834" t="inlineStr">
        <is>
          <t>ED_JD</t>
        </is>
      </c>
      <c r="I4834" t="inlineStr">
        <is>
          <t>2025-10</t>
        </is>
      </c>
      <c r="J4834" t="n">
        <v>1</v>
      </c>
      <c r="K4834" t="n">
        <v>1</v>
      </c>
      <c r="L4834" s="34">
        <f>IF($J4834=1,LN(B4835/B4834),"")</f>
        <v/>
      </c>
      <c r="M4834" s="34">
        <f>IF($K4834=1,INDEX(Mensal!$D$2:$D$245,MATCH($I4834,Mensal!$A$2:$A$245,0)),"")</f>
        <v/>
      </c>
      <c r="N4834" s="34">
        <f>IF($K4834=1,L4834-M4834,"")</f>
        <v/>
      </c>
      <c r="O4834" s="34" t="n">
        <v>0.00055131</v>
      </c>
      <c r="P4834" s="34">
        <f>IF($J4834=1,LN(1+O4834),"")</f>
        <v/>
      </c>
      <c r="Q4834" s="34">
        <f>IF($J4834=1,LN(R4835/R4834),"")</f>
        <v/>
      </c>
      <c r="R4834" s="32" t="n">
        <v>5.4354</v>
      </c>
      <c r="S4834" s="35" t="n">
        <v>14.27</v>
      </c>
      <c r="T4834" s="18" t="n"/>
      <c r="U4834" s="18" t="n"/>
      <c r="V4834" s="18" t="n">
        <v>142200.02</v>
      </c>
      <c r="W4834" s="18" t="n"/>
      <c r="X4834" s="35" t="n"/>
      <c r="Y4834" s="35" t="n">
        <v>14.27</v>
      </c>
    </row>
    <row r="4835">
      <c r="A4835" s="25" t="n">
        <v>45947</v>
      </c>
      <c r="B4835" s="18" t="n">
        <v>143398.63</v>
      </c>
      <c r="C4835" s="31" t="n"/>
      <c r="D4835" s="32" t="n"/>
      <c r="E4835" s="33" t="n">
        <v>0.3365</v>
      </c>
      <c r="F4835" t="inlineStr">
        <is>
          <t>Down</t>
        </is>
      </c>
      <c r="G4835" t="inlineStr">
        <is>
          <t>Down</t>
        </is>
      </c>
      <c r="H4835" t="inlineStr">
        <is>
          <t>ED_JD</t>
        </is>
      </c>
      <c r="I4835" t="inlineStr">
        <is>
          <t>2025-10</t>
        </is>
      </c>
      <c r="J4835" t="n">
        <v>1</v>
      </c>
      <c r="K4835" t="n">
        <v>1</v>
      </c>
      <c r="L4835" s="34">
        <f>IF($J4835=1,LN(B4836/B4835),"")</f>
        <v/>
      </c>
      <c r="M4835" s="34">
        <f>IF($K4835=1,INDEX(Mensal!$D$2:$D$245,MATCH($I4835,Mensal!$A$2:$A$245,0)),"")</f>
        <v/>
      </c>
      <c r="N4835" s="34">
        <f>IF($K4835=1,L4835-M4835,"")</f>
        <v/>
      </c>
      <c r="O4835" s="34" t="n">
        <v>0.00055131</v>
      </c>
      <c r="P4835" s="34">
        <f>IF($J4835=1,LN(1+O4835),"")</f>
        <v/>
      </c>
      <c r="Q4835" s="34">
        <f>IF($J4835=1,LN(R4836/R4835),"")</f>
        <v/>
      </c>
      <c r="R4835" s="32" t="n">
        <v>5.439</v>
      </c>
      <c r="S4835" s="35" t="n">
        <v>14.27</v>
      </c>
      <c r="T4835" s="18" t="n"/>
      <c r="U4835" s="18" t="n"/>
      <c r="V4835" s="18" t="n">
        <v>143398.63</v>
      </c>
      <c r="W4835" s="18" t="n"/>
      <c r="X4835" s="35" t="n"/>
      <c r="Y4835" s="35" t="n">
        <v>14.27</v>
      </c>
    </row>
    <row r="4836">
      <c r="A4836" s="25" t="n">
        <v>45950</v>
      </c>
      <c r="B4836" s="18" t="n">
        <v>144509.32</v>
      </c>
      <c r="C4836" s="31" t="n"/>
      <c r="D4836" s="32" t="n"/>
      <c r="E4836" s="33" t="n">
        <v>0.3551</v>
      </c>
      <c r="F4836" t="inlineStr">
        <is>
          <t>Down</t>
        </is>
      </c>
      <c r="G4836" t="inlineStr">
        <is>
          <t>Down</t>
        </is>
      </c>
      <c r="H4836" t="inlineStr">
        <is>
          <t>ED_JD</t>
        </is>
      </c>
      <c r="I4836" t="inlineStr">
        <is>
          <t>2025-10</t>
        </is>
      </c>
      <c r="J4836" t="n">
        <v>1</v>
      </c>
      <c r="K4836" t="n">
        <v>1</v>
      </c>
      <c r="L4836" s="34">
        <f>IF($J4836=1,LN(B4837/B4836),"")</f>
        <v/>
      </c>
      <c r="M4836" s="34">
        <f>IF($K4836=1,INDEX(Mensal!$D$2:$D$245,MATCH($I4836,Mensal!$A$2:$A$245,0)),"")</f>
        <v/>
      </c>
      <c r="N4836" s="34">
        <f>IF($K4836=1,L4836-M4836,"")</f>
        <v/>
      </c>
      <c r="O4836" s="34" t="n">
        <v>0.00055131</v>
      </c>
      <c r="P4836" s="34">
        <f>IF($J4836=1,LN(1+O4836),"")</f>
        <v/>
      </c>
      <c r="Q4836" s="34">
        <f>IF($J4836=1,LN(R4837/R4836),"")</f>
        <v/>
      </c>
      <c r="R4836" s="32" t="n">
        <v>5.3771</v>
      </c>
      <c r="S4836" s="35" t="n">
        <v>14.23</v>
      </c>
      <c r="T4836" s="18" t="n"/>
      <c r="U4836" s="18" t="n"/>
      <c r="V4836" s="18" t="n">
        <v>144509.32</v>
      </c>
      <c r="W4836" s="18" t="n"/>
      <c r="X4836" s="35" t="n"/>
      <c r="Y4836" s="35" t="n">
        <v>14.23</v>
      </c>
    </row>
    <row r="4837">
      <c r="A4837" s="25" t="n">
        <v>45951</v>
      </c>
      <c r="B4837" s="18" t="n">
        <v>144085.15</v>
      </c>
      <c r="C4837" s="31" t="n"/>
      <c r="D4837" s="32" t="n"/>
      <c r="E4837" s="33" t="n">
        <v>0.3485</v>
      </c>
      <c r="F4837" t="inlineStr">
        <is>
          <t>Down</t>
        </is>
      </c>
      <c r="G4837" t="inlineStr">
        <is>
          <t>Down</t>
        </is>
      </c>
      <c r="H4837" t="inlineStr">
        <is>
          <t>ED_JD</t>
        </is>
      </c>
      <c r="I4837" t="inlineStr">
        <is>
          <t>2025-10</t>
        </is>
      </c>
      <c r="J4837" t="n">
        <v>1</v>
      </c>
      <c r="K4837" t="n">
        <v>1</v>
      </c>
      <c r="L4837" s="34">
        <f>IF($J4837=1,LN(B4838/B4837),"")</f>
        <v/>
      </c>
      <c r="M4837" s="34">
        <f>IF($K4837=1,INDEX(Mensal!$D$2:$D$245,MATCH($I4837,Mensal!$A$2:$A$245,0)),"")</f>
        <v/>
      </c>
      <c r="N4837" s="34">
        <f>IF($K4837=1,L4837-M4837,"")</f>
        <v/>
      </c>
      <c r="O4837" s="34" t="n">
        <v>0.00055131</v>
      </c>
      <c r="P4837" s="34">
        <f>IF($J4837=1,LN(1+O4837),"")</f>
        <v/>
      </c>
      <c r="Q4837" s="34">
        <f>IF($J4837=1,LN(R4838/R4837),"")</f>
        <v/>
      </c>
      <c r="R4837" s="32" t="n">
        <v>5.3848</v>
      </c>
      <c r="S4837" s="35" t="n">
        <v>14.19</v>
      </c>
      <c r="T4837" s="18" t="n"/>
      <c r="U4837" s="18" t="n"/>
      <c r="V4837" s="18" t="n">
        <v>144085.15</v>
      </c>
      <c r="W4837" s="18" t="n"/>
      <c r="X4837" s="35" t="n"/>
      <c r="Y4837" s="35" t="n">
        <v>14.19</v>
      </c>
    </row>
    <row r="4838">
      <c r="A4838" s="25" t="n">
        <v>45952</v>
      </c>
      <c r="B4838" s="18" t="n">
        <v>144872.79</v>
      </c>
      <c r="C4838" s="31" t="n"/>
      <c r="D4838" s="32" t="n"/>
      <c r="E4838" s="33" t="n">
        <v>0.3373</v>
      </c>
      <c r="F4838" t="inlineStr">
        <is>
          <t>Down</t>
        </is>
      </c>
      <c r="G4838" t="inlineStr">
        <is>
          <t>Down</t>
        </is>
      </c>
      <c r="H4838" t="inlineStr">
        <is>
          <t>ED_JD</t>
        </is>
      </c>
      <c r="I4838" t="inlineStr">
        <is>
          <t>2025-10</t>
        </is>
      </c>
      <c r="J4838" t="n">
        <v>1</v>
      </c>
      <c r="K4838" t="n">
        <v>1</v>
      </c>
      <c r="L4838" s="34">
        <f>IF($J4838=1,LN(B4839/B4838),"")</f>
        <v/>
      </c>
      <c r="M4838" s="34">
        <f>IF($K4838=1,INDEX(Mensal!$D$2:$D$245,MATCH($I4838,Mensal!$A$2:$A$245,0)),"")</f>
        <v/>
      </c>
      <c r="N4838" s="34">
        <f>IF($K4838=1,L4838-M4838,"")</f>
        <v/>
      </c>
      <c r="O4838" s="34" t="n">
        <v>0.00055131</v>
      </c>
      <c r="P4838" s="34">
        <f>IF($J4838=1,LN(1+O4838),"")</f>
        <v/>
      </c>
      <c r="Q4838" s="34">
        <f>IF($J4838=1,LN(R4839/R4838),"")</f>
        <v/>
      </c>
      <c r="R4838" s="32" t="n">
        <v>5.3898</v>
      </c>
      <c r="S4838" s="35" t="n">
        <v>14.15</v>
      </c>
      <c r="T4838" s="18" t="n"/>
      <c r="U4838" s="18" t="n"/>
      <c r="V4838" s="18" t="n">
        <v>144872.79</v>
      </c>
      <c r="W4838" s="18" t="n"/>
      <c r="X4838" s="35" t="n"/>
      <c r="Y4838" s="35" t="n">
        <v>14.15</v>
      </c>
    </row>
    <row r="4839">
      <c r="A4839" s="25" t="n">
        <v>45953</v>
      </c>
      <c r="B4839" s="18" t="n">
        <v>145720.98</v>
      </c>
      <c r="C4839" s="31" t="n"/>
      <c r="D4839" s="32" t="n"/>
      <c r="E4839" s="33" t="n">
        <v>0.349</v>
      </c>
      <c r="F4839" t="inlineStr">
        <is>
          <t>Down</t>
        </is>
      </c>
      <c r="G4839" t="inlineStr">
        <is>
          <t>Down</t>
        </is>
      </c>
      <c r="H4839" t="inlineStr">
        <is>
          <t>ED_JD</t>
        </is>
      </c>
      <c r="I4839" t="inlineStr">
        <is>
          <t>2025-10</t>
        </is>
      </c>
      <c r="J4839" t="n">
        <v>1</v>
      </c>
      <c r="K4839" t="n">
        <v>1</v>
      </c>
      <c r="L4839" s="34">
        <f>IF($J4839=1,LN(B4840/B4839),"")</f>
        <v/>
      </c>
      <c r="M4839" s="34">
        <f>IF($K4839=1,INDEX(Mensal!$D$2:$D$245,MATCH($I4839,Mensal!$A$2:$A$245,0)),"")</f>
        <v/>
      </c>
      <c r="N4839" s="34">
        <f>IF($K4839=1,L4839-M4839,"")</f>
        <v/>
      </c>
      <c r="O4839" s="34" t="n">
        <v>0.00055131</v>
      </c>
      <c r="P4839" s="34">
        <f>IF($J4839=1,LN(1+O4839),"")</f>
        <v/>
      </c>
      <c r="Q4839" s="34">
        <f>IF($J4839=1,LN(R4840/R4839),"")</f>
        <v/>
      </c>
      <c r="R4839" s="32" t="n">
        <v>5.384</v>
      </c>
      <c r="S4839" s="35" t="n">
        <v>14.14</v>
      </c>
      <c r="T4839" s="18" t="n"/>
      <c r="U4839" s="18" t="n"/>
      <c r="V4839" s="18" t="n">
        <v>145720.98</v>
      </c>
      <c r="W4839" s="18" t="n"/>
      <c r="X4839" s="35" t="n"/>
      <c r="Y4839" s="35" t="n">
        <v>14.14</v>
      </c>
    </row>
    <row r="4840">
      <c r="A4840" s="25" t="n">
        <v>45954</v>
      </c>
      <c r="B4840" s="18" t="n">
        <v>146172.21</v>
      </c>
      <c r="C4840" s="31" t="n"/>
      <c r="D4840" s="32" t="n"/>
      <c r="E4840" s="33" t="n">
        <v>0.3588</v>
      </c>
      <c r="F4840" t="inlineStr">
        <is>
          <t>Down</t>
        </is>
      </c>
      <c r="G4840" t="inlineStr">
        <is>
          <t>Down</t>
        </is>
      </c>
      <c r="H4840" t="inlineStr">
        <is>
          <t>ED_JD</t>
        </is>
      </c>
      <c r="I4840" t="inlineStr">
        <is>
          <t>2025-10</t>
        </is>
      </c>
      <c r="J4840" t="n">
        <v>1</v>
      </c>
      <c r="K4840" t="n">
        <v>1</v>
      </c>
      <c r="L4840" s="34">
        <f>IF($J4840=1,LN(B4841/B4840),"")</f>
        <v/>
      </c>
      <c r="M4840" s="34">
        <f>IF($K4840=1,INDEX(Mensal!$D$2:$D$245,MATCH($I4840,Mensal!$A$2:$A$245,0)),"")</f>
        <v/>
      </c>
      <c r="N4840" s="34">
        <f>IF($K4840=1,L4840-M4840,"")</f>
        <v/>
      </c>
      <c r="O4840" s="34" t="n">
        <v>0.00055131</v>
      </c>
      <c r="P4840" s="34">
        <f>IF($J4840=1,LN(1+O4840),"")</f>
        <v/>
      </c>
      <c r="Q4840" s="34">
        <f>IF($J4840=1,LN(R4841/R4840),"")</f>
        <v/>
      </c>
      <c r="R4840" s="32" t="n">
        <v>5.3797</v>
      </c>
      <c r="S4840" s="35" t="n">
        <v>14.09</v>
      </c>
      <c r="T4840" s="18" t="n"/>
      <c r="U4840" s="18" t="n"/>
      <c r="V4840" s="18" t="n">
        <v>146172.21</v>
      </c>
      <c r="W4840" s="18" t="n"/>
      <c r="X4840" s="35" t="n"/>
      <c r="Y4840" s="35" t="n">
        <v>14.09</v>
      </c>
    </row>
    <row r="4841">
      <c r="A4841" s="25" t="n">
        <v>45957</v>
      </c>
      <c r="B4841" s="18" t="n">
        <v>146969.1</v>
      </c>
      <c r="C4841" s="31" t="n"/>
      <c r="D4841" s="32" t="n"/>
      <c r="E4841" s="33" t="n">
        <v>0.3745</v>
      </c>
      <c r="F4841" t="inlineStr">
        <is>
          <t>Down</t>
        </is>
      </c>
      <c r="G4841" t="inlineStr">
        <is>
          <t>Down</t>
        </is>
      </c>
      <c r="H4841" t="inlineStr">
        <is>
          <t>ED_JD</t>
        </is>
      </c>
      <c r="I4841" t="inlineStr">
        <is>
          <t>2025-10</t>
        </is>
      </c>
      <c r="J4841" t="n">
        <v>1</v>
      </c>
      <c r="K4841" t="n">
        <v>1</v>
      </c>
      <c r="L4841" s="34">
        <f>IF($J4841=1,LN(B4842/B4841),"")</f>
        <v/>
      </c>
      <c r="M4841" s="34">
        <f>IF($K4841=1,INDEX(Mensal!$D$2:$D$245,MATCH($I4841,Mensal!$A$2:$A$245,0)),"")</f>
        <v/>
      </c>
      <c r="N4841" s="34">
        <f>IF($K4841=1,L4841-M4841,"")</f>
        <v/>
      </c>
      <c r="O4841" s="34" t="n">
        <v>0.00055131</v>
      </c>
      <c r="P4841" s="34">
        <f>IF($J4841=1,LN(1+O4841),"")</f>
        <v/>
      </c>
      <c r="Q4841" s="34">
        <f>IF($J4841=1,LN(R4842/R4841),"")</f>
        <v/>
      </c>
      <c r="R4841" s="32" t="n">
        <v>5.3744</v>
      </c>
      <c r="S4841" s="35" t="n">
        <v>14.07</v>
      </c>
      <c r="T4841" s="18" t="n"/>
      <c r="U4841" s="18" t="n"/>
      <c r="V4841" s="18" t="n">
        <v>146969.1</v>
      </c>
      <c r="W4841" s="18" t="n"/>
      <c r="X4841" s="35" t="n"/>
      <c r="Y4841" s="35" t="n">
        <v>14.07</v>
      </c>
    </row>
    <row r="4842">
      <c r="A4842" s="25" t="n">
        <v>45958</v>
      </c>
      <c r="B4842" s="18" t="n">
        <v>147428.9</v>
      </c>
      <c r="C4842" s="31" t="n"/>
      <c r="D4842" s="32" t="n"/>
      <c r="E4842" s="33" t="n">
        <v>0.4003</v>
      </c>
      <c r="F4842" t="inlineStr">
        <is>
          <t>Down</t>
        </is>
      </c>
      <c r="G4842" t="inlineStr">
        <is>
          <t>Down</t>
        </is>
      </c>
      <c r="H4842" t="inlineStr">
        <is>
          <t>ED_JD</t>
        </is>
      </c>
      <c r="I4842" t="inlineStr">
        <is>
          <t>2025-10</t>
        </is>
      </c>
      <c r="J4842" t="n">
        <v>1</v>
      </c>
      <c r="K4842" t="n">
        <v>1</v>
      </c>
      <c r="L4842" s="34">
        <f>IF($J4842=1,LN(B4843/B4842),"")</f>
        <v/>
      </c>
      <c r="M4842" s="34">
        <f>IF($K4842=1,INDEX(Mensal!$D$2:$D$245,MATCH($I4842,Mensal!$A$2:$A$245,0)),"")</f>
        <v/>
      </c>
      <c r="N4842" s="34">
        <f>IF($K4842=1,L4842-M4842,"")</f>
        <v/>
      </c>
      <c r="O4842" s="34" t="n">
        <v>0.00055131</v>
      </c>
      <c r="P4842" s="34">
        <f>IF($J4842=1,LN(1+O4842),"")</f>
        <v/>
      </c>
      <c r="Q4842" s="34">
        <f>IF($J4842=1,LN(R4843/R4842),"")</f>
        <v/>
      </c>
      <c r="R4842" s="32" t="n">
        <v>5.369</v>
      </c>
      <c r="S4842" s="35" t="n">
        <v>14.08</v>
      </c>
      <c r="T4842" s="18" t="n"/>
      <c r="U4842" s="18" t="n"/>
      <c r="V4842" s="18" t="n">
        <v>147428.9</v>
      </c>
      <c r="W4842" s="18" t="n"/>
      <c r="X4842" s="35" t="n"/>
      <c r="Y4842" s="35" t="n">
        <v>14.08</v>
      </c>
    </row>
    <row r="4843">
      <c r="A4843" s="25" t="n">
        <v>45959</v>
      </c>
      <c r="B4843" s="18" t="n">
        <v>148632.93</v>
      </c>
      <c r="C4843" s="31" t="n"/>
      <c r="D4843" s="32" t="n"/>
      <c r="E4843" s="33" t="n">
        <v>0.4272</v>
      </c>
      <c r="F4843" t="inlineStr">
        <is>
          <t>Down</t>
        </is>
      </c>
      <c r="G4843" t="inlineStr">
        <is>
          <t>Down</t>
        </is>
      </c>
      <c r="H4843" t="inlineStr">
        <is>
          <t>ED_JD</t>
        </is>
      </c>
      <c r="I4843" t="inlineStr">
        <is>
          <t>2025-10</t>
        </is>
      </c>
      <c r="J4843" t="n">
        <v>1</v>
      </c>
      <c r="K4843" t="n">
        <v>1</v>
      </c>
      <c r="L4843" s="34">
        <f>IF($J4843=1,LN(B4844/B4843),"")</f>
        <v/>
      </c>
      <c r="M4843" s="34">
        <f>IF($K4843=1,INDEX(Mensal!$D$2:$D$245,MATCH($I4843,Mensal!$A$2:$A$245,0)),"")</f>
        <v/>
      </c>
      <c r="N4843" s="34">
        <f>IF($K4843=1,L4843-M4843,"")</f>
        <v/>
      </c>
      <c r="O4843" s="34" t="n">
        <v>0.00055131</v>
      </c>
      <c r="P4843" s="34">
        <f>IF($J4843=1,LN(1+O4843),"")</f>
        <v/>
      </c>
      <c r="Q4843" s="34">
        <f>IF($J4843=1,LN(R4844/R4843),"")</f>
        <v/>
      </c>
      <c r="R4843" s="32" t="n">
        <v>5.3416</v>
      </c>
      <c r="S4843" s="35" t="n">
        <v>14.07</v>
      </c>
      <c r="T4843" s="18" t="n"/>
      <c r="U4843" s="18" t="n"/>
      <c r="V4843" s="18" t="n">
        <v>148632.93</v>
      </c>
      <c r="W4843" s="18" t="n"/>
      <c r="X4843" s="35" t="n"/>
      <c r="Y4843" s="35" t="n">
        <v>14.07</v>
      </c>
    </row>
    <row r="4844">
      <c r="A4844" s="25" t="n">
        <v>45960</v>
      </c>
      <c r="B4844" s="18" t="n">
        <v>148780.22</v>
      </c>
      <c r="C4844" s="31" t="n"/>
      <c r="D4844" s="32" t="n"/>
      <c r="E4844" s="33" t="n">
        <v>0.4533</v>
      </c>
      <c r="F4844" t="inlineStr">
        <is>
          <t>Down</t>
        </is>
      </c>
      <c r="G4844" t="inlineStr">
        <is>
          <t>Down</t>
        </is>
      </c>
      <c r="H4844" t="inlineStr">
        <is>
          <t>ED_JD</t>
        </is>
      </c>
      <c r="I4844" t="inlineStr">
        <is>
          <t>2025-10</t>
        </is>
      </c>
      <c r="J4844" t="n">
        <v>1</v>
      </c>
      <c r="K4844" t="n">
        <v>1</v>
      </c>
      <c r="L4844" s="34">
        <f>IF($J4844=1,LN(B4845/B4844),"")</f>
        <v/>
      </c>
      <c r="M4844" s="34">
        <f>IF($K4844=1,INDEX(Mensal!$D$2:$D$245,MATCH($I4844,Mensal!$A$2:$A$245,0)),"")</f>
        <v/>
      </c>
      <c r="N4844" s="34">
        <f>IF($K4844=1,L4844-M4844,"")</f>
        <v/>
      </c>
      <c r="O4844" s="34" t="n">
        <v>0.00055131</v>
      </c>
      <c r="P4844" s="34">
        <f>IF($J4844=1,LN(1+O4844),"")</f>
        <v/>
      </c>
      <c r="Q4844" s="34">
        <f>IF($J4844=1,LN(R4845/R4844),"")</f>
        <v/>
      </c>
      <c r="R4844" s="32" t="n">
        <v>5.385</v>
      </c>
      <c r="S4844" s="35" t="n">
        <v>14.15</v>
      </c>
      <c r="T4844" s="18" t="n"/>
      <c r="U4844" s="18" t="n"/>
      <c r="V4844" s="18" t="n">
        <v>148780.22</v>
      </c>
      <c r="W4844" s="18" t="n"/>
      <c r="X4844" s="35" t="n"/>
      <c r="Y4844" s="35" t="n">
        <v>14.15</v>
      </c>
    </row>
    <row r="4845">
      <c r="A4845" s="25" t="n">
        <v>45961</v>
      </c>
      <c r="B4845" s="18" t="n">
        <v>149540.43</v>
      </c>
      <c r="C4845" s="31" t="n"/>
      <c r="D4845" s="32" t="n"/>
      <c r="E4845" s="33" t="n">
        <v>0.48</v>
      </c>
      <c r="F4845" t="inlineStr">
        <is>
          <t>Down</t>
        </is>
      </c>
      <c r="G4845" t="inlineStr">
        <is>
          <t>Down</t>
        </is>
      </c>
      <c r="H4845" t="inlineStr">
        <is>
          <t>ED_JD</t>
        </is>
      </c>
      <c r="I4845" t="inlineStr">
        <is>
          <t>2025-10</t>
        </is>
      </c>
      <c r="J4845" t="n">
        <v>1</v>
      </c>
      <c r="K4845" t="n">
        <v>1</v>
      </c>
      <c r="L4845" s="34">
        <f>IF($J4845=1,LN(B4846/B4845),"")</f>
        <v/>
      </c>
      <c r="M4845" s="34">
        <f>IF($K4845=1,INDEX(Mensal!$D$2:$D$245,MATCH($I4845,Mensal!$A$2:$A$245,0)),"")</f>
        <v/>
      </c>
      <c r="N4845" s="34">
        <f>IF($K4845=1,L4845-M4845,"")</f>
        <v/>
      </c>
      <c r="O4845" s="34" t="n">
        <v>0.00055131</v>
      </c>
      <c r="P4845" s="34">
        <f>IF($J4845=1,LN(1+O4845),"")</f>
        <v/>
      </c>
      <c r="Q4845" s="34">
        <f>IF($J4845=1,LN(R4846/R4845),"")</f>
        <v/>
      </c>
      <c r="R4845" s="32" t="n">
        <v>5.3843</v>
      </c>
      <c r="S4845" s="35" t="n">
        <v>14.09</v>
      </c>
      <c r="T4845" s="18" t="n"/>
      <c r="U4845" s="18" t="n"/>
      <c r="V4845" s="18" t="n">
        <v>149540.43</v>
      </c>
      <c r="W4845" s="18" t="n"/>
      <c r="X4845" s="35" t="n"/>
      <c r="Y4845" s="35" t="n">
        <v>14.09</v>
      </c>
    </row>
    <row r="4846">
      <c r="A4846" s="25" t="n">
        <v>45964</v>
      </c>
      <c r="B4846" s="18" t="n">
        <v>150454.24</v>
      </c>
      <c r="C4846" s="31" t="n"/>
      <c r="D4846" s="32" t="n"/>
      <c r="E4846" s="33" t="n">
        <v>0.5097</v>
      </c>
      <c r="F4846" t="inlineStr">
        <is>
          <t>Down</t>
        </is>
      </c>
      <c r="G4846" t="inlineStr">
        <is>
          <t>Down</t>
        </is>
      </c>
      <c r="H4846" t="inlineStr">
        <is>
          <t>ED_JD</t>
        </is>
      </c>
      <c r="I4846" t="inlineStr">
        <is>
          <t>2025-11</t>
        </is>
      </c>
      <c r="J4846" t="n">
        <v>1</v>
      </c>
      <c r="K4846" t="n">
        <v>1</v>
      </c>
      <c r="L4846" s="34">
        <f>IF($J4846=1,LN(B4847/B4846),"")</f>
        <v/>
      </c>
      <c r="M4846" s="34">
        <f>IF($K4846=1,INDEX(Mensal!$D$2:$D$245,MATCH($I4846,Mensal!$A$2:$A$245,0)),"")</f>
        <v/>
      </c>
      <c r="N4846" s="34">
        <f>IF($K4846=1,L4846-M4846,"")</f>
        <v/>
      </c>
      <c r="O4846" s="34" t="n">
        <v>0.00055131</v>
      </c>
      <c r="P4846" s="34">
        <f>IF($J4846=1,LN(1+O4846),"")</f>
        <v/>
      </c>
      <c r="Q4846" s="34">
        <f>IF($J4846=1,LN(R4847/R4846),"")</f>
        <v/>
      </c>
      <c r="R4846" s="32" t="n">
        <v>5.3505</v>
      </c>
      <c r="S4846" s="35" t="n">
        <v>14.11</v>
      </c>
      <c r="T4846" s="18" t="n"/>
      <c r="U4846" s="18" t="n"/>
      <c r="V4846" s="18" t="n">
        <v>150454.24</v>
      </c>
      <c r="W4846" s="18" t="n"/>
      <c r="X4846" s="35" t="n"/>
      <c r="Y4846" s="35" t="n">
        <v>14.11</v>
      </c>
    </row>
    <row r="4847">
      <c r="A4847" s="25" t="n">
        <v>45965</v>
      </c>
      <c r="B4847" s="18" t="n">
        <v>150704.2</v>
      </c>
      <c r="C4847" s="31" t="n"/>
      <c r="D4847" s="32" t="n"/>
      <c r="E4847" s="33" t="n">
        <v>0.541</v>
      </c>
      <c r="F4847" t="inlineStr">
        <is>
          <t>Down</t>
        </is>
      </c>
      <c r="G4847" t="inlineStr">
        <is>
          <t>Down</t>
        </is>
      </c>
      <c r="H4847" t="inlineStr">
        <is>
          <t>ED_JD</t>
        </is>
      </c>
      <c r="I4847" t="inlineStr">
        <is>
          <t>2025-11</t>
        </is>
      </c>
      <c r="J4847" t="n">
        <v>1</v>
      </c>
      <c r="K4847" t="n">
        <v>1</v>
      </c>
      <c r="L4847" s="34">
        <f>IF($J4847=1,LN(B4848/B4847),"")</f>
        <v/>
      </c>
      <c r="M4847" s="34">
        <f>IF($K4847=1,INDEX(Mensal!$D$2:$D$245,MATCH($I4847,Mensal!$A$2:$A$245,0)),"")</f>
        <v/>
      </c>
      <c r="N4847" s="34">
        <f>IF($K4847=1,L4847-M4847,"")</f>
        <v/>
      </c>
      <c r="O4847" s="34" t="n">
        <v>0.00055131</v>
      </c>
      <c r="P4847" s="34">
        <f>IF($J4847=1,LN(1+O4847),"")</f>
        <v/>
      </c>
      <c r="Q4847" s="34">
        <f>IF($J4847=1,LN(R4848/R4847),"")</f>
        <v/>
      </c>
      <c r="R4847" s="32" t="n">
        <v>5.3846</v>
      </c>
      <c r="S4847" s="35" t="n">
        <v>14.08</v>
      </c>
      <c r="T4847" s="18" t="n"/>
      <c r="U4847" s="18" t="n"/>
      <c r="V4847" s="18" t="n">
        <v>150704.2</v>
      </c>
      <c r="W4847" s="18" t="n"/>
      <c r="X4847" s="35" t="n"/>
      <c r="Y4847" s="35" t="n">
        <v>14.08</v>
      </c>
    </row>
    <row r="4848">
      <c r="A4848" s="25" t="n">
        <v>45966</v>
      </c>
      <c r="B4848" s="18" t="n">
        <v>153294.44</v>
      </c>
      <c r="C4848" s="31" t="n"/>
      <c r="D4848" s="32" t="n"/>
      <c r="E4848" s="33" t="n">
        <v>0.5727</v>
      </c>
      <c r="F4848" t="inlineStr">
        <is>
          <t>Down</t>
        </is>
      </c>
      <c r="G4848" t="inlineStr">
        <is>
          <t>Down</t>
        </is>
      </c>
      <c r="H4848" t="inlineStr">
        <is>
          <t>ED_JD</t>
        </is>
      </c>
      <c r="I4848" t="inlineStr">
        <is>
          <t>2025-11</t>
        </is>
      </c>
      <c r="J4848" t="n">
        <v>1</v>
      </c>
      <c r="K4848" t="n">
        <v>1</v>
      </c>
      <c r="L4848" s="34">
        <f>IF($J4848=1,LN(B4849/B4848),"")</f>
        <v/>
      </c>
      <c r="M4848" s="34">
        <f>IF($K4848=1,INDEX(Mensal!$D$2:$D$245,MATCH($I4848,Mensal!$A$2:$A$245,0)),"")</f>
        <v/>
      </c>
      <c r="N4848" s="34">
        <f>IF($K4848=1,L4848-M4848,"")</f>
        <v/>
      </c>
      <c r="O4848" s="34" t="n">
        <v>0.00055131</v>
      </c>
      <c r="P4848" s="34">
        <f>IF($J4848=1,LN(1+O4848),"")</f>
        <v/>
      </c>
      <c r="Q4848" s="34">
        <f>IF($J4848=1,LN(R4849/R4848),"")</f>
        <v/>
      </c>
      <c r="R4848" s="32" t="n">
        <v>5.3798</v>
      </c>
      <c r="S4848" s="35" t="n">
        <v>14.06</v>
      </c>
      <c r="T4848" s="18" t="n"/>
      <c r="U4848" s="18" t="n"/>
      <c r="V4848" s="18" t="n">
        <v>153294.44</v>
      </c>
      <c r="W4848" s="18" t="n"/>
      <c r="X4848" s="35" t="n"/>
      <c r="Y4848" s="35" t="n">
        <v>14.06</v>
      </c>
    </row>
    <row r="4849">
      <c r="A4849" s="25" t="n">
        <v>45967</v>
      </c>
      <c r="B4849" s="18" t="n">
        <v>153338.63</v>
      </c>
      <c r="C4849" s="31" t="n"/>
      <c r="D4849" s="32" t="n"/>
      <c r="E4849" s="33" t="n">
        <v>0.5913</v>
      </c>
      <c r="F4849" t="inlineStr">
        <is>
          <t>Down</t>
        </is>
      </c>
      <c r="G4849" t="inlineStr">
        <is>
          <t>Down</t>
        </is>
      </c>
      <c r="H4849" t="inlineStr">
        <is>
          <t>ED_JD</t>
        </is>
      </c>
      <c r="I4849" t="inlineStr">
        <is>
          <t>2025-11</t>
        </is>
      </c>
      <c r="J4849" t="n">
        <v>1</v>
      </c>
      <c r="K4849" t="n">
        <v>1</v>
      </c>
      <c r="L4849" s="34">
        <f>IF($J4849=1,LN(B4850/B4849),"")</f>
        <v/>
      </c>
      <c r="M4849" s="34">
        <f>IF($K4849=1,INDEX(Mensal!$D$2:$D$245,MATCH($I4849,Mensal!$A$2:$A$245,0)),"")</f>
        <v/>
      </c>
      <c r="N4849" s="34">
        <f>IF($K4849=1,L4849-M4849,"")</f>
        <v/>
      </c>
      <c r="O4849" s="34" t="n">
        <v>0.00055131</v>
      </c>
      <c r="P4849" s="34">
        <f>IF($J4849=1,LN(1+O4849),"")</f>
        <v/>
      </c>
      <c r="Q4849" s="34">
        <f>IF($J4849=1,LN(R4850/R4849),"")</f>
        <v/>
      </c>
      <c r="R4849" s="32" t="n">
        <v>5.3451</v>
      </c>
      <c r="S4849" s="35" t="n">
        <v>14.09</v>
      </c>
      <c r="T4849" s="18" t="n"/>
      <c r="U4849" s="18" t="n"/>
      <c r="V4849" s="18" t="n">
        <v>153338.63</v>
      </c>
      <c r="W4849" s="18" t="n"/>
      <c r="X4849" s="35" t="n"/>
      <c r="Y4849" s="35" t="n">
        <v>14.09</v>
      </c>
    </row>
    <row r="4850">
      <c r="A4850" s="25" t="n">
        <v>45968</v>
      </c>
      <c r="B4850" s="18" t="n">
        <v>154063.53</v>
      </c>
      <c r="C4850" s="31" t="n"/>
      <c r="D4850" s="32" t="n"/>
      <c r="E4850" s="33" t="n">
        <v>0.5936</v>
      </c>
      <c r="F4850" t="inlineStr">
        <is>
          <t>Down</t>
        </is>
      </c>
      <c r="G4850" t="inlineStr">
        <is>
          <t>Down</t>
        </is>
      </c>
      <c r="H4850" t="inlineStr">
        <is>
          <t>ED_JD</t>
        </is>
      </c>
      <c r="I4850" t="inlineStr">
        <is>
          <t>2025-11</t>
        </is>
      </c>
      <c r="J4850" t="n">
        <v>1</v>
      </c>
      <c r="K4850" t="n">
        <v>1</v>
      </c>
      <c r="L4850" s="34">
        <f>IF($J4850=1,LN(B4851/B4850),"")</f>
        <v/>
      </c>
      <c r="M4850" s="34">
        <f>IF($K4850=1,INDEX(Mensal!$D$2:$D$245,MATCH($I4850,Mensal!$A$2:$A$245,0)),"")</f>
        <v/>
      </c>
      <c r="N4850" s="34">
        <f>IF($K4850=1,L4850-M4850,"")</f>
        <v/>
      </c>
      <c r="O4850" s="34" t="n">
        <v>0.00055131</v>
      </c>
      <c r="P4850" s="34">
        <f>IF($J4850=1,LN(1+O4850),"")</f>
        <v/>
      </c>
      <c r="Q4850" s="34">
        <f>IF($J4850=1,LN(R4851/R4850),"")</f>
        <v/>
      </c>
      <c r="R4850" s="32" t="n">
        <v>5.3567</v>
      </c>
      <c r="S4850" s="35" t="n">
        <v>14.09</v>
      </c>
      <c r="T4850" s="18" t="n"/>
      <c r="U4850" s="18" t="n"/>
      <c r="V4850" s="18" t="n">
        <v>154063.53</v>
      </c>
      <c r="W4850" s="18" t="n"/>
      <c r="X4850" s="35" t="n"/>
      <c r="Y4850" s="35" t="n">
        <v>14.09</v>
      </c>
    </row>
    <row r="4851">
      <c r="A4851" s="25" t="n">
        <v>45971</v>
      </c>
      <c r="B4851" s="18" t="n">
        <v>155257.31</v>
      </c>
      <c r="C4851" s="31" t="n"/>
      <c r="D4851" s="32" t="n"/>
      <c r="E4851" s="33" t="n">
        <v>0.5973000000000001</v>
      </c>
      <c r="F4851" t="inlineStr">
        <is>
          <t>Down</t>
        </is>
      </c>
      <c r="G4851" t="inlineStr">
        <is>
          <t>Down</t>
        </is>
      </c>
      <c r="H4851" t="inlineStr">
        <is>
          <t>ED_JD</t>
        </is>
      </c>
      <c r="I4851" t="inlineStr">
        <is>
          <t>2025-11</t>
        </is>
      </c>
      <c r="J4851" t="n">
        <v>1</v>
      </c>
      <c r="K4851" t="n">
        <v>1</v>
      </c>
      <c r="L4851" s="34">
        <f>IF($J4851=1,LN(B4852/B4851),"")</f>
        <v/>
      </c>
      <c r="M4851" s="34">
        <f>IF($K4851=1,INDEX(Mensal!$D$2:$D$245,MATCH($I4851,Mensal!$A$2:$A$245,0)),"")</f>
        <v/>
      </c>
      <c r="N4851" s="34">
        <f>IF($K4851=1,L4851-M4851,"")</f>
        <v/>
      </c>
      <c r="O4851" s="34" t="n">
        <v>0.00055131</v>
      </c>
      <c r="P4851" s="34">
        <f>IF($J4851=1,LN(1+O4851),"")</f>
        <v/>
      </c>
      <c r="Q4851" s="34">
        <f>IF($J4851=1,LN(R4852/R4851),"")</f>
        <v/>
      </c>
      <c r="R4851" s="32" t="n">
        <v>5.3181</v>
      </c>
      <c r="S4851" s="35" t="n">
        <v>14.04</v>
      </c>
      <c r="T4851" s="18" t="n"/>
      <c r="U4851" s="18" t="n"/>
      <c r="V4851" s="18" t="n">
        <v>155257.31</v>
      </c>
      <c r="W4851" s="18" t="n"/>
      <c r="X4851" s="35" t="n"/>
      <c r="Y4851" s="35" t="n">
        <v>14.04</v>
      </c>
    </row>
    <row r="4852">
      <c r="A4852" s="25" t="n">
        <v>45972</v>
      </c>
      <c r="B4852" s="18" t="n">
        <v>157748.6</v>
      </c>
      <c r="C4852" s="31" t="n"/>
      <c r="D4852" s="32" t="n"/>
      <c r="E4852" s="33" t="n">
        <v>0.6008</v>
      </c>
      <c r="F4852" t="inlineStr">
        <is>
          <t>Down</t>
        </is>
      </c>
      <c r="G4852" t="inlineStr">
        <is>
          <t>Down</t>
        </is>
      </c>
      <c r="H4852" t="inlineStr">
        <is>
          <t>ED_JD</t>
        </is>
      </c>
      <c r="I4852" t="inlineStr">
        <is>
          <t>2025-11</t>
        </is>
      </c>
      <c r="J4852" t="n">
        <v>1</v>
      </c>
      <c r="K4852" t="n">
        <v>1</v>
      </c>
      <c r="L4852" s="34">
        <f>IF($J4852=1,LN(B4853/B4852),"")</f>
        <v/>
      </c>
      <c r="M4852" s="34">
        <f>IF($K4852=1,INDEX(Mensal!$D$2:$D$245,MATCH($I4852,Mensal!$A$2:$A$245,0)),"")</f>
        <v/>
      </c>
      <c r="N4852" s="34">
        <f>IF($K4852=1,L4852-M4852,"")</f>
        <v/>
      </c>
      <c r="O4852" s="34" t="n">
        <v>0.00055131</v>
      </c>
      <c r="P4852" s="34">
        <f>IF($J4852=1,LN(1+O4852),"")</f>
        <v/>
      </c>
      <c r="Q4852" s="34">
        <f>IF($J4852=1,LN(R4853/R4852),"")</f>
        <v/>
      </c>
      <c r="R4852" s="32" t="n">
        <v>5.2729</v>
      </c>
      <c r="S4852" s="35" t="n">
        <v>13.88</v>
      </c>
      <c r="T4852" s="18" t="n"/>
      <c r="U4852" s="18" t="n"/>
      <c r="V4852" s="18" t="n">
        <v>157748.6</v>
      </c>
      <c r="W4852" s="18" t="n"/>
      <c r="X4852" s="35" t="n"/>
      <c r="Y4852" s="35" t="n">
        <v>13.88</v>
      </c>
    </row>
    <row r="4853">
      <c r="A4853" s="25" t="n">
        <v>45973</v>
      </c>
      <c r="B4853" s="18" t="n">
        <v>157632.9</v>
      </c>
      <c r="C4853" s="31" t="n"/>
      <c r="D4853" s="32" t="n"/>
      <c r="E4853" s="33" t="n">
        <v>0.604</v>
      </c>
      <c r="F4853" t="inlineStr">
        <is>
          <t>Down</t>
        </is>
      </c>
      <c r="G4853" t="inlineStr">
        <is>
          <t>Down</t>
        </is>
      </c>
      <c r="H4853" t="inlineStr">
        <is>
          <t>ED_JD</t>
        </is>
      </c>
      <c r="I4853" t="inlineStr">
        <is>
          <t>2025-11</t>
        </is>
      </c>
      <c r="J4853" t="n">
        <v>1</v>
      </c>
      <c r="K4853" t="n">
        <v>1</v>
      </c>
      <c r="L4853" s="34">
        <f>IF($J4853=1,LN(B4854/B4853),"")</f>
        <v/>
      </c>
      <c r="M4853" s="34">
        <f>IF($K4853=1,INDEX(Mensal!$D$2:$D$245,MATCH($I4853,Mensal!$A$2:$A$245,0)),"")</f>
        <v/>
      </c>
      <c r="N4853" s="34">
        <f>IF($K4853=1,L4853-M4853,"")</f>
        <v/>
      </c>
      <c r="O4853" s="34" t="n">
        <v>0.00055131</v>
      </c>
      <c r="P4853" s="34">
        <f>IF($J4853=1,LN(1+O4853),"")</f>
        <v/>
      </c>
      <c r="Q4853" s="34">
        <f>IF($J4853=1,LN(R4854/R4853),"")</f>
        <v/>
      </c>
      <c r="R4853" s="32" t="n">
        <v>5.2885</v>
      </c>
      <c r="S4853" s="35" t="n">
        <v>13.87</v>
      </c>
      <c r="T4853" s="18" t="n"/>
      <c r="U4853" s="18" t="n"/>
      <c r="V4853" s="18" t="n">
        <v>157632.9</v>
      </c>
      <c r="W4853" s="18" t="n"/>
      <c r="X4853" s="35" t="n"/>
      <c r="Y4853" s="35" t="n">
        <v>13.87</v>
      </c>
    </row>
    <row r="4854">
      <c r="A4854" s="25" t="n">
        <v>45974</v>
      </c>
      <c r="B4854" s="18" t="n">
        <v>157162.43</v>
      </c>
      <c r="C4854" s="31" t="n"/>
      <c r="D4854" s="32" t="n"/>
      <c r="E4854" s="33" t="n">
        <v>0.6041</v>
      </c>
      <c r="F4854" t="inlineStr">
        <is>
          <t>Down</t>
        </is>
      </c>
      <c r="G4854" t="inlineStr">
        <is>
          <t>Down</t>
        </is>
      </c>
      <c r="H4854" t="inlineStr">
        <is>
          <t>ED_JD</t>
        </is>
      </c>
      <c r="I4854" t="inlineStr">
        <is>
          <t>2025-11</t>
        </is>
      </c>
      <c r="J4854" t="n">
        <v>1</v>
      </c>
      <c r="K4854" t="n">
        <v>1</v>
      </c>
      <c r="L4854" s="34">
        <f>IF($J4854=1,LN(B4855/B4854),"")</f>
        <v/>
      </c>
      <c r="M4854" s="34">
        <f>IF($K4854=1,INDEX(Mensal!$D$2:$D$245,MATCH($I4854,Mensal!$A$2:$A$245,0)),"")</f>
        <v/>
      </c>
      <c r="N4854" s="34">
        <f>IF($K4854=1,L4854-M4854,"")</f>
        <v/>
      </c>
      <c r="O4854" s="34" t="n">
        <v>0.00055131</v>
      </c>
      <c r="P4854" s="34">
        <f>IF($J4854=1,LN(1+O4854),"")</f>
        <v/>
      </c>
      <c r="Q4854" s="34">
        <f>IF($J4854=1,LN(R4855/R4854),"")</f>
        <v/>
      </c>
      <c r="R4854" s="32" t="n">
        <v>5.282</v>
      </c>
      <c r="S4854" s="35" t="n">
        <v>13.86</v>
      </c>
      <c r="T4854" s="18" t="n"/>
      <c r="U4854" s="18" t="n"/>
      <c r="V4854" s="18" t="n">
        <v>157162.43</v>
      </c>
      <c r="W4854" s="18" t="n"/>
      <c r="X4854" s="35" t="n"/>
      <c r="Y4854" s="35" t="n">
        <v>13.86</v>
      </c>
    </row>
    <row r="4855">
      <c r="A4855" s="25" t="n">
        <v>45975</v>
      </c>
      <c r="B4855" s="18" t="n">
        <v>157738.69</v>
      </c>
      <c r="C4855" s="31" t="n"/>
      <c r="D4855" s="32" t="n"/>
      <c r="E4855" s="33" t="n">
        <v>0.6017</v>
      </c>
      <c r="F4855" t="inlineStr">
        <is>
          <t>Down</t>
        </is>
      </c>
      <c r="G4855" t="inlineStr">
        <is>
          <t>Down</t>
        </is>
      </c>
      <c r="H4855" t="inlineStr">
        <is>
          <t>ED_JD</t>
        </is>
      </c>
      <c r="I4855" t="inlineStr">
        <is>
          <t>2025-11</t>
        </is>
      </c>
      <c r="J4855" t="n">
        <v>1</v>
      </c>
      <c r="K4855" t="n">
        <v>1</v>
      </c>
      <c r="L4855" s="34">
        <f>IF($J4855=1,LN(B4856/B4855),"")</f>
        <v/>
      </c>
      <c r="M4855" s="34">
        <f>IF($K4855=1,INDEX(Mensal!$D$2:$D$245,MATCH($I4855,Mensal!$A$2:$A$245,0)),"")</f>
        <v/>
      </c>
      <c r="N4855" s="34">
        <f>IF($K4855=1,L4855-M4855,"")</f>
        <v/>
      </c>
      <c r="O4855" s="34" t="n">
        <v>0.00055131</v>
      </c>
      <c r="P4855" s="34">
        <f>IF($J4855=1,LN(1+O4855),"")</f>
        <v/>
      </c>
      <c r="Q4855" s="34">
        <f>IF($J4855=1,LN(R4856/R4855),"")</f>
        <v/>
      </c>
      <c r="R4855" s="32" t="n">
        <v>5.2952</v>
      </c>
      <c r="S4855" s="35" t="n">
        <v>13.83</v>
      </c>
      <c r="T4855" s="18" t="n"/>
      <c r="U4855" s="18" t="n"/>
      <c r="V4855" s="18" t="n">
        <v>157738.69</v>
      </c>
      <c r="W4855" s="18" t="n"/>
      <c r="X4855" s="35" t="n"/>
      <c r="Y4855" s="35" t="n">
        <v>13.83</v>
      </c>
    </row>
    <row r="4856">
      <c r="A4856" s="25" t="n">
        <v>45978</v>
      </c>
      <c r="B4856" s="18" t="n">
        <v>156992.93</v>
      </c>
      <c r="C4856" s="31" t="n"/>
      <c r="D4856" s="32" t="n"/>
      <c r="E4856" s="33" t="n">
        <v>0.5825</v>
      </c>
      <c r="F4856" t="inlineStr">
        <is>
          <t>Down</t>
        </is>
      </c>
      <c r="G4856" t="inlineStr">
        <is>
          <t>Down</t>
        </is>
      </c>
      <c r="H4856" t="inlineStr">
        <is>
          <t>ED_JD</t>
        </is>
      </c>
      <c r="I4856" t="inlineStr">
        <is>
          <t>2025-11</t>
        </is>
      </c>
      <c r="J4856" t="n">
        <v>1</v>
      </c>
      <c r="K4856" t="n">
        <v>1</v>
      </c>
      <c r="L4856" s="34">
        <f>IF($J4856=1,LN(B4857/B4856),"")</f>
        <v/>
      </c>
      <c r="M4856" s="34">
        <f>IF($K4856=1,INDEX(Mensal!$D$2:$D$245,MATCH($I4856,Mensal!$A$2:$A$245,0)),"")</f>
        <v/>
      </c>
      <c r="N4856" s="34">
        <f>IF($K4856=1,L4856-M4856,"")</f>
        <v/>
      </c>
      <c r="O4856" s="34" t="n">
        <v>0.00055131</v>
      </c>
      <c r="P4856" s="34">
        <f>IF($J4856=1,LN(1+O4856),"")</f>
        <v/>
      </c>
      <c r="Q4856" s="34">
        <f>IF($J4856=1,LN(R4857/R4856),"")</f>
        <v/>
      </c>
      <c r="R4856" s="32" t="n">
        <v>5.3108</v>
      </c>
      <c r="S4856" s="35" t="n">
        <v>13.84</v>
      </c>
      <c r="T4856" s="18" t="n"/>
      <c r="U4856" s="18" t="n"/>
      <c r="V4856" s="18" t="n">
        <v>156992.93</v>
      </c>
      <c r="W4856" s="18" t="n"/>
      <c r="X4856" s="35" t="n"/>
      <c r="Y4856" s="35" t="n">
        <v>13.84</v>
      </c>
    </row>
    <row r="4857">
      <c r="A4857" s="25" t="n">
        <v>45979</v>
      </c>
      <c r="B4857" s="18" t="n">
        <v>156522.13</v>
      </c>
      <c r="C4857" s="31" t="n"/>
      <c r="D4857" s="32" t="n"/>
      <c r="E4857" s="33" t="n">
        <v>0.5626</v>
      </c>
      <c r="F4857" t="inlineStr">
        <is>
          <t>Down</t>
        </is>
      </c>
      <c r="G4857" t="inlineStr">
        <is>
          <t>Down</t>
        </is>
      </c>
      <c r="H4857" t="inlineStr">
        <is>
          <t>ED_JD</t>
        </is>
      </c>
      <c r="I4857" t="inlineStr">
        <is>
          <t>2025-11</t>
        </is>
      </c>
      <c r="J4857" t="n">
        <v>1</v>
      </c>
      <c r="K4857" t="n">
        <v>1</v>
      </c>
      <c r="L4857" s="34">
        <f>IF($J4857=1,LN(B4858/B4857),"")</f>
        <v/>
      </c>
      <c r="M4857" s="34">
        <f>IF($K4857=1,INDEX(Mensal!$D$2:$D$245,MATCH($I4857,Mensal!$A$2:$A$245,0)),"")</f>
        <v/>
      </c>
      <c r="N4857" s="34">
        <f>IF($K4857=1,L4857-M4857,"")</f>
        <v/>
      </c>
      <c r="O4857" s="34" t="n">
        <v>0.00055131</v>
      </c>
      <c r="P4857" s="34">
        <f>IF($J4857=1,LN(1+O4857),"")</f>
        <v/>
      </c>
      <c r="Q4857" s="34">
        <f>IF($J4857=1,LN(R4858/R4857),"")</f>
        <v/>
      </c>
      <c r="R4857" s="32" t="n">
        <v>5.3361</v>
      </c>
      <c r="S4857" s="35" t="n">
        <v>13.82</v>
      </c>
      <c r="T4857" s="18" t="n"/>
      <c r="U4857" s="18" t="n"/>
      <c r="V4857" s="18" t="n">
        <v>156522.13</v>
      </c>
      <c r="W4857" s="18" t="n"/>
      <c r="X4857" s="35" t="n"/>
      <c r="Y4857" s="35" t="n">
        <v>13.82</v>
      </c>
    </row>
    <row r="4858">
      <c r="A4858" s="25" t="n">
        <v>45980</v>
      </c>
      <c r="B4858" s="18" t="n">
        <v>155380.66</v>
      </c>
      <c r="C4858" s="31" t="n"/>
      <c r="D4858" s="32" t="n"/>
      <c r="E4858" s="33" t="n">
        <v>0.5397</v>
      </c>
      <c r="F4858" t="inlineStr">
        <is>
          <t>Down</t>
        </is>
      </c>
      <c r="G4858" t="inlineStr">
        <is>
          <t>Down</t>
        </is>
      </c>
      <c r="H4858" t="inlineStr">
        <is>
          <t>ED_JD</t>
        </is>
      </c>
      <c r="I4858" t="inlineStr">
        <is>
          <t>2025-11</t>
        </is>
      </c>
      <c r="J4858" t="n">
        <v>1</v>
      </c>
      <c r="K4858" t="n">
        <v>1</v>
      </c>
      <c r="L4858" s="34">
        <f>IF($J4858=1,LN(B4859/B4858),"")</f>
        <v/>
      </c>
      <c r="M4858" s="34">
        <f>IF($K4858=1,INDEX(Mensal!$D$2:$D$245,MATCH($I4858,Mensal!$A$2:$A$245,0)),"")</f>
        <v/>
      </c>
      <c r="N4858" s="34">
        <f>IF($K4858=1,L4858-M4858,"")</f>
        <v/>
      </c>
      <c r="O4858" s="34" t="n">
        <v>0.00055131</v>
      </c>
      <c r="P4858" s="34">
        <f>IF($J4858=1,LN(1+O4858),"")</f>
        <v/>
      </c>
      <c r="Q4858" s="34">
        <f>IF($J4858=1,LN(R4859/R4858),"")</f>
        <v/>
      </c>
      <c r="R4858" s="32" t="n">
        <v>5.3346</v>
      </c>
      <c r="S4858" s="35" t="n">
        <v>13.82</v>
      </c>
      <c r="T4858" s="18" t="n"/>
      <c r="U4858" s="18" t="n"/>
      <c r="V4858" s="18" t="n">
        <v>155380.66</v>
      </c>
      <c r="W4858" s="18" t="n"/>
      <c r="X4858" s="35" t="n"/>
      <c r="Y4858" s="35" t="n">
        <v>13.82</v>
      </c>
    </row>
    <row r="4859">
      <c r="A4859" s="25" t="n">
        <v>45982</v>
      </c>
      <c r="B4859" s="18" t="n">
        <v>154770.1</v>
      </c>
      <c r="C4859" s="31" t="n"/>
      <c r="D4859" s="32" t="n"/>
      <c r="E4859" s="33" t="n">
        <v>0.5205</v>
      </c>
      <c r="F4859" t="inlineStr">
        <is>
          <t>Down</t>
        </is>
      </c>
      <c r="G4859" t="inlineStr">
        <is>
          <t>Down</t>
        </is>
      </c>
      <c r="H4859" t="inlineStr">
        <is>
          <t>ED_JD</t>
        </is>
      </c>
      <c r="I4859" t="inlineStr">
        <is>
          <t>2025-11</t>
        </is>
      </c>
      <c r="J4859" t="n">
        <v>1</v>
      </c>
      <c r="K4859" t="n">
        <v>1</v>
      </c>
      <c r="L4859" s="34">
        <f>IF($J4859=1,LN(B4860/B4859),"")</f>
        <v/>
      </c>
      <c r="M4859" s="34">
        <f>IF($K4859=1,INDEX(Mensal!$D$2:$D$245,MATCH($I4859,Mensal!$A$2:$A$245,0)),"")</f>
        <v/>
      </c>
      <c r="N4859" s="34">
        <f>IF($K4859=1,L4859-M4859,"")</f>
        <v/>
      </c>
      <c r="O4859" s="34" t="n">
        <v>0.00055131</v>
      </c>
      <c r="P4859" s="34">
        <f>IF($J4859=1,LN(1+O4859),"")</f>
        <v/>
      </c>
      <c r="Q4859" s="34">
        <f>IF($J4859=1,LN(R4860/R4859),"")</f>
        <v/>
      </c>
      <c r="R4859" s="32" t="n">
        <v>5.3902</v>
      </c>
      <c r="S4859" s="35" t="n">
        <v>13.82</v>
      </c>
      <c r="T4859" s="18" t="n"/>
      <c r="U4859" s="18" t="n"/>
      <c r="V4859" s="18" t="n">
        <v>154770.1</v>
      </c>
      <c r="W4859" s="18" t="n"/>
      <c r="X4859" s="35" t="n"/>
      <c r="Y4859" s="35" t="n">
        <v>13.82</v>
      </c>
    </row>
    <row r="4860">
      <c r="A4860" s="25" t="n">
        <v>45985</v>
      </c>
      <c r="B4860" s="18" t="n">
        <v>155277.56</v>
      </c>
      <c r="C4860" s="31" t="n"/>
      <c r="D4860" s="32" t="n"/>
      <c r="E4860" s="33" t="n">
        <v>0.5038</v>
      </c>
      <c r="F4860" t="inlineStr">
        <is>
          <t>Down</t>
        </is>
      </c>
      <c r="G4860" t="inlineStr">
        <is>
          <t>Down</t>
        </is>
      </c>
      <c r="H4860" t="inlineStr">
        <is>
          <t>ED_JD</t>
        </is>
      </c>
      <c r="I4860" t="inlineStr">
        <is>
          <t>2025-11</t>
        </is>
      </c>
      <c r="J4860" t="n">
        <v>1</v>
      </c>
      <c r="K4860" t="n">
        <v>1</v>
      </c>
      <c r="L4860" s="34">
        <f>IF($J4860=1,LN(B4861/B4860),"")</f>
        <v/>
      </c>
      <c r="M4860" s="34">
        <f>IF($K4860=1,INDEX(Mensal!$D$2:$D$245,MATCH($I4860,Mensal!$A$2:$A$245,0)),"")</f>
        <v/>
      </c>
      <c r="N4860" s="34">
        <f>IF($K4860=1,L4860-M4860,"")</f>
        <v/>
      </c>
      <c r="O4860" s="34" t="n">
        <v>0.00055131</v>
      </c>
      <c r="P4860" s="34">
        <f>IF($J4860=1,LN(1+O4860),"")</f>
        <v/>
      </c>
      <c r="Q4860" s="34">
        <f>IF($J4860=1,LN(R4861/R4860),"")</f>
        <v/>
      </c>
      <c r="R4860" s="32" t="n">
        <v>5.3948</v>
      </c>
      <c r="S4860" s="35" t="n">
        <v>13.73</v>
      </c>
      <c r="T4860" s="18" t="n"/>
      <c r="U4860" s="18" t="n"/>
      <c r="V4860" s="18" t="n">
        <v>155277.56</v>
      </c>
      <c r="W4860" s="18" t="n"/>
      <c r="X4860" s="35" t="n"/>
      <c r="Y4860" s="35" t="n">
        <v>13.73</v>
      </c>
    </row>
    <row r="4861">
      <c r="A4861" s="25" t="n">
        <v>45986</v>
      </c>
      <c r="B4861" s="18" t="n">
        <v>155910.18</v>
      </c>
      <c r="C4861" s="31" t="n"/>
      <c r="D4861" s="32" t="n"/>
      <c r="E4861" s="33" t="n">
        <v>0.4906</v>
      </c>
      <c r="F4861" t="inlineStr">
        <is>
          <t>Down</t>
        </is>
      </c>
      <c r="G4861" t="inlineStr">
        <is>
          <t>Down</t>
        </is>
      </c>
      <c r="H4861" t="inlineStr">
        <is>
          <t>ED_JD</t>
        </is>
      </c>
      <c r="I4861" t="inlineStr">
        <is>
          <t>2025-11</t>
        </is>
      </c>
      <c r="J4861" t="n">
        <v>1</v>
      </c>
      <c r="K4861" t="n">
        <v>1</v>
      </c>
      <c r="L4861" s="34">
        <f>IF($J4861=1,LN(B4862/B4861),"")</f>
        <v/>
      </c>
      <c r="M4861" s="34">
        <f>IF($K4861=1,INDEX(Mensal!$D$2:$D$245,MATCH($I4861,Mensal!$A$2:$A$245,0)),"")</f>
        <v/>
      </c>
      <c r="N4861" s="34">
        <f>IF($K4861=1,L4861-M4861,"")</f>
        <v/>
      </c>
      <c r="O4861" s="34" t="n">
        <v>0.00055131</v>
      </c>
      <c r="P4861" s="34">
        <f>IF($J4861=1,LN(1+O4861),"")</f>
        <v/>
      </c>
      <c r="Q4861" s="34">
        <f>IF($J4861=1,LN(R4862/R4861),"")</f>
        <v/>
      </c>
      <c r="R4861" s="32" t="n">
        <v>5.3841</v>
      </c>
      <c r="S4861" s="35" t="n">
        <v>13.69</v>
      </c>
      <c r="T4861" s="18" t="n"/>
      <c r="U4861" s="18" t="n"/>
      <c r="V4861" s="18" t="n">
        <v>155910.18</v>
      </c>
      <c r="W4861" s="18" t="n"/>
      <c r="X4861" s="35" t="n"/>
      <c r="Y4861" s="35" t="n">
        <v>13.69</v>
      </c>
    </row>
    <row r="4862">
      <c r="A4862" s="25" t="n">
        <v>45987</v>
      </c>
      <c r="B4862" s="18" t="n">
        <v>158554.94</v>
      </c>
      <c r="C4862" s="31" t="n"/>
      <c r="D4862" s="32" t="n"/>
      <c r="E4862" s="33" t="n">
        <v>0.4791</v>
      </c>
      <c r="F4862" t="inlineStr">
        <is>
          <t>Down</t>
        </is>
      </c>
      <c r="G4862" t="inlineStr">
        <is>
          <t>Down</t>
        </is>
      </c>
      <c r="H4862" t="inlineStr">
        <is>
          <t>ED_JD</t>
        </is>
      </c>
      <c r="I4862" t="inlineStr">
        <is>
          <t>2025-11</t>
        </is>
      </c>
      <c r="J4862" t="n">
        <v>1</v>
      </c>
      <c r="K4862" t="n">
        <v>1</v>
      </c>
      <c r="L4862" s="34">
        <f>IF($J4862=1,LN(B4863/B4862),"")</f>
        <v/>
      </c>
      <c r="M4862" s="34">
        <f>IF($K4862=1,INDEX(Mensal!$D$2:$D$245,MATCH($I4862,Mensal!$A$2:$A$245,0)),"")</f>
        <v/>
      </c>
      <c r="N4862" s="34">
        <f>IF($K4862=1,L4862-M4862,"")</f>
        <v/>
      </c>
      <c r="O4862" s="34" t="n">
        <v>0.00055131</v>
      </c>
      <c r="P4862" s="34">
        <f>IF($J4862=1,LN(1+O4862),"")</f>
        <v/>
      </c>
      <c r="Q4862" s="34">
        <f>IF($J4862=1,LN(R4863/R4862),"")</f>
        <v/>
      </c>
      <c r="R4862" s="32" t="n">
        <v>5.3694</v>
      </c>
      <c r="S4862" s="35" t="n">
        <v>13.7</v>
      </c>
      <c r="T4862" s="18" t="n"/>
      <c r="U4862" s="18" t="n"/>
      <c r="V4862" s="18" t="n">
        <v>158554.94</v>
      </c>
      <c r="W4862" s="18" t="n"/>
      <c r="X4862" s="35" t="n"/>
      <c r="Y4862" s="35" t="n">
        <v>13.7</v>
      </c>
    </row>
    <row r="4863">
      <c r="A4863" s="25" t="n">
        <v>45988</v>
      </c>
      <c r="B4863" s="18" t="n">
        <v>158359.76</v>
      </c>
      <c r="C4863" s="31" t="n"/>
      <c r="D4863" s="32" t="n"/>
      <c r="E4863" s="33" t="n">
        <v>0.468</v>
      </c>
      <c r="F4863" t="inlineStr">
        <is>
          <t>Down</t>
        </is>
      </c>
      <c r="G4863" t="inlineStr">
        <is>
          <t>Down</t>
        </is>
      </c>
      <c r="H4863" t="inlineStr">
        <is>
          <t>ED_JD</t>
        </is>
      </c>
      <c r="I4863" t="inlineStr">
        <is>
          <t>2025-11</t>
        </is>
      </c>
      <c r="J4863" t="n">
        <v>1</v>
      </c>
      <c r="K4863" t="n">
        <v>1</v>
      </c>
      <c r="L4863" s="34">
        <f>IF($J4863=1,LN(B4864/B4863),"")</f>
        <v/>
      </c>
      <c r="M4863" s="34">
        <f>IF($K4863=1,INDEX(Mensal!$D$2:$D$245,MATCH($I4863,Mensal!$A$2:$A$245,0)),"")</f>
        <v/>
      </c>
      <c r="N4863" s="34">
        <f>IF($K4863=1,L4863-M4863,"")</f>
        <v/>
      </c>
      <c r="O4863" s="34" t="n">
        <v>0.00055131</v>
      </c>
      <c r="P4863" s="34">
        <f>IF($J4863=1,LN(1+O4863),"")</f>
        <v/>
      </c>
      <c r="Q4863" s="34">
        <f>IF($J4863=1,LN(R4864/R4863),"")</f>
        <v/>
      </c>
      <c r="R4863" s="32" t="n">
        <v>5.349</v>
      </c>
      <c r="S4863" s="35" t="n">
        <v>13.71</v>
      </c>
      <c r="T4863" s="18" t="n"/>
      <c r="U4863" s="18" t="n"/>
      <c r="V4863" s="18" t="n">
        <v>158359.76</v>
      </c>
      <c r="W4863" s="18" t="n"/>
      <c r="X4863" s="35" t="n"/>
      <c r="Y4863" s="35" t="n">
        <v>13.71</v>
      </c>
    </row>
    <row r="4864">
      <c r="A4864" s="25" t="n">
        <v>45989</v>
      </c>
      <c r="B4864" s="18" t="n">
        <v>159072.13</v>
      </c>
      <c r="C4864" s="31" t="n"/>
      <c r="D4864" s="32" t="n"/>
      <c r="E4864" s="33" t="n">
        <v>0.4645</v>
      </c>
      <c r="F4864" t="inlineStr">
        <is>
          <t>Down</t>
        </is>
      </c>
      <c r="G4864" t="inlineStr">
        <is>
          <t>Down</t>
        </is>
      </c>
      <c r="H4864" t="inlineStr">
        <is>
          <t>ED_JD</t>
        </is>
      </c>
      <c r="I4864" t="inlineStr">
        <is>
          <t>2025-11</t>
        </is>
      </c>
      <c r="J4864" t="n">
        <v>1</v>
      </c>
      <c r="K4864" t="n">
        <v>1</v>
      </c>
      <c r="L4864" s="34">
        <f>IF($J4864=1,LN(B4865/B4864),"")</f>
        <v/>
      </c>
      <c r="M4864" s="34">
        <f>IF($K4864=1,INDEX(Mensal!$D$2:$D$245,MATCH($I4864,Mensal!$A$2:$A$245,0)),"")</f>
        <v/>
      </c>
      <c r="N4864" s="34">
        <f>IF($K4864=1,L4864-M4864,"")</f>
        <v/>
      </c>
      <c r="O4864" s="34" t="n">
        <v>0.00055131</v>
      </c>
      <c r="P4864" s="34">
        <f>IF($J4864=1,LN(1+O4864),"")</f>
        <v/>
      </c>
      <c r="Q4864" s="34">
        <f>IF($J4864=1,LN(R4865/R4864),"")</f>
        <v/>
      </c>
      <c r="R4864" s="32" t="n">
        <v>5.3338</v>
      </c>
      <c r="S4864" s="35" t="n">
        <v>13.75</v>
      </c>
      <c r="T4864" s="18" t="n"/>
      <c r="U4864" s="18" t="n"/>
      <c r="V4864" s="18" t="n">
        <v>159072.13</v>
      </c>
      <c r="W4864" s="18" t="n"/>
      <c r="X4864" s="35" t="n"/>
      <c r="Y4864" s="35" t="n">
        <v>13.75</v>
      </c>
    </row>
    <row r="4865">
      <c r="A4865" s="25" t="n">
        <v>45992</v>
      </c>
      <c r="B4865" s="18" t="n">
        <v>158611.01</v>
      </c>
      <c r="C4865" s="31" t="n"/>
      <c r="D4865" s="32" t="n"/>
      <c r="E4865" s="33" t="n">
        <v>0.4629</v>
      </c>
      <c r="F4865" t="inlineStr">
        <is>
          <t>Up</t>
        </is>
      </c>
      <c r="G4865" t="inlineStr">
        <is>
          <t>Down</t>
        </is>
      </c>
      <c r="H4865" t="inlineStr">
        <is>
          <t>EU_JD</t>
        </is>
      </c>
      <c r="I4865" t="inlineStr">
        <is>
          <t>2025-12</t>
        </is>
      </c>
      <c r="J4865" t="n">
        <v>1</v>
      </c>
      <c r="K4865" t="n">
        <v>1</v>
      </c>
      <c r="L4865" s="34">
        <f>IF($J4865=1,LN(B4866/B4865),"")</f>
        <v/>
      </c>
      <c r="M4865" s="34">
        <f>IF($K4865=1,INDEX(Mensal!$D$2:$D$245,MATCH($I4865,Mensal!$A$2:$A$245,0)),"")</f>
        <v/>
      </c>
      <c r="N4865" s="34">
        <f>IF($K4865=1,L4865-M4865,"")</f>
        <v/>
      </c>
      <c r="O4865" s="34" t="n">
        <v>0.00055131</v>
      </c>
      <c r="P4865" s="34">
        <f>IF($J4865=1,LN(1+O4865),"")</f>
        <v/>
      </c>
      <c r="Q4865" s="34">
        <f>IF($J4865=1,LN(R4866/R4865),"")</f>
        <v/>
      </c>
      <c r="R4865" s="32" t="n">
        <v>5.3469</v>
      </c>
      <c r="S4865" s="35" t="n">
        <v>13.76</v>
      </c>
      <c r="T4865" s="18" t="n">
        <v>158611.01</v>
      </c>
      <c r="U4865" s="18" t="n"/>
      <c r="V4865" s="18" t="n"/>
      <c r="W4865" s="18" t="n"/>
      <c r="X4865" s="35" t="n"/>
      <c r="Y4865" s="35" t="n">
        <v>13.76</v>
      </c>
    </row>
    <row r="4866">
      <c r="A4866" s="25" t="n">
        <v>45993</v>
      </c>
      <c r="B4866" s="18" t="n">
        <v>161092.25</v>
      </c>
      <c r="C4866" s="31" t="n"/>
      <c r="D4866" s="32" t="n"/>
      <c r="E4866" s="33" t="n">
        <v>0.4566</v>
      </c>
      <c r="F4866" t="inlineStr">
        <is>
          <t>Up</t>
        </is>
      </c>
      <c r="G4866" t="inlineStr">
        <is>
          <t>Down</t>
        </is>
      </c>
      <c r="H4866" t="inlineStr">
        <is>
          <t>EU_JD</t>
        </is>
      </c>
      <c r="I4866" t="inlineStr">
        <is>
          <t>2025-12</t>
        </is>
      </c>
      <c r="J4866" t="n">
        <v>1</v>
      </c>
      <c r="K4866" t="n">
        <v>1</v>
      </c>
      <c r="L4866" s="34">
        <f>IF($J4866=1,LN(B4867/B4866),"")</f>
        <v/>
      </c>
      <c r="M4866" s="34">
        <f>IF($K4866=1,INDEX(Mensal!$D$2:$D$245,MATCH($I4866,Mensal!$A$2:$A$245,0)),"")</f>
        <v/>
      </c>
      <c r="N4866" s="34">
        <f>IF($K4866=1,L4866-M4866,"")</f>
        <v/>
      </c>
      <c r="O4866" s="34" t="n">
        <v>0.00055131</v>
      </c>
      <c r="P4866" s="34">
        <f>IF($J4866=1,LN(1+O4866),"")</f>
        <v/>
      </c>
      <c r="Q4866" s="34">
        <f>IF($J4866=1,LN(R4867/R4866),"")</f>
        <v/>
      </c>
      <c r="R4866" s="32" t="n">
        <v>5.3465</v>
      </c>
      <c r="S4866" s="35" t="n">
        <v>13.73</v>
      </c>
      <c r="T4866" s="18" t="n">
        <v>161092.25</v>
      </c>
      <c r="U4866" s="18" t="n"/>
      <c r="V4866" s="18" t="n"/>
      <c r="W4866" s="18" t="n"/>
      <c r="X4866" s="35" t="n"/>
      <c r="Y4866" s="35" t="n">
        <v>13.73</v>
      </c>
    </row>
    <row r="4867">
      <c r="A4867" s="25" t="n">
        <v>45994</v>
      </c>
      <c r="B4867" s="18" t="n">
        <v>161755.18</v>
      </c>
      <c r="C4867" s="31" t="n"/>
      <c r="D4867" s="32" t="n"/>
      <c r="E4867" s="33" t="n">
        <v>0.4465</v>
      </c>
      <c r="F4867" t="inlineStr">
        <is>
          <t>Up</t>
        </is>
      </c>
      <c r="G4867" t="inlineStr">
        <is>
          <t>Down</t>
        </is>
      </c>
      <c r="H4867" t="inlineStr">
        <is>
          <t>EU_JD</t>
        </is>
      </c>
      <c r="I4867" t="inlineStr">
        <is>
          <t>2025-12</t>
        </is>
      </c>
      <c r="J4867" t="n">
        <v>1</v>
      </c>
      <c r="K4867" t="n">
        <v>1</v>
      </c>
      <c r="L4867" s="34">
        <f>IF($J4867=1,LN(B4868/B4867),"")</f>
        <v/>
      </c>
      <c r="M4867" s="34">
        <f>IF($K4867=1,INDEX(Mensal!$D$2:$D$245,MATCH($I4867,Mensal!$A$2:$A$245,0)),"")</f>
        <v/>
      </c>
      <c r="N4867" s="34">
        <f>IF($K4867=1,L4867-M4867,"")</f>
        <v/>
      </c>
      <c r="O4867" s="34" t="n">
        <v>0.00055131</v>
      </c>
      <c r="P4867" s="34">
        <f>IF($J4867=1,LN(1+O4867),"")</f>
        <v/>
      </c>
      <c r="Q4867" s="34">
        <f>IF($J4867=1,LN(R4868/R4867),"")</f>
        <v/>
      </c>
      <c r="R4867" s="32" t="n">
        <v>5.3114</v>
      </c>
      <c r="S4867" s="35" t="n">
        <v>13.73</v>
      </c>
      <c r="T4867" s="18" t="n">
        <v>161755.18</v>
      </c>
      <c r="U4867" s="18" t="n"/>
      <c r="V4867" s="18" t="n"/>
      <c r="W4867" s="18" t="n"/>
      <c r="X4867" s="35" t="n"/>
      <c r="Y4867" s="35" t="n">
        <v>13.73</v>
      </c>
    </row>
    <row r="4868">
      <c r="A4868" s="25" t="n">
        <v>45995</v>
      </c>
      <c r="B4868" s="18" t="n">
        <v>164455.61</v>
      </c>
      <c r="C4868" s="31" t="n"/>
      <c r="D4868" s="32" t="n"/>
      <c r="E4868" s="33" t="n">
        <v>0.43</v>
      </c>
      <c r="F4868" t="inlineStr">
        <is>
          <t>Up</t>
        </is>
      </c>
      <c r="G4868" t="inlineStr">
        <is>
          <t>Down</t>
        </is>
      </c>
      <c r="H4868" t="inlineStr">
        <is>
          <t>EU_JD</t>
        </is>
      </c>
      <c r="I4868" t="inlineStr">
        <is>
          <t>2025-12</t>
        </is>
      </c>
      <c r="J4868" t="n">
        <v>1</v>
      </c>
      <c r="K4868" t="n">
        <v>1</v>
      </c>
      <c r="L4868" s="34">
        <f>IF($J4868=1,LN(B4869/B4868),"")</f>
        <v/>
      </c>
      <c r="M4868" s="34">
        <f>IF($K4868=1,INDEX(Mensal!$D$2:$D$245,MATCH($I4868,Mensal!$A$2:$A$245,0)),"")</f>
        <v/>
      </c>
      <c r="N4868" s="34">
        <f>IF($K4868=1,L4868-M4868,"")</f>
        <v/>
      </c>
      <c r="O4868" s="34" t="n">
        <v>0.00055131</v>
      </c>
      <c r="P4868" s="34">
        <f>IF($J4868=1,LN(1+O4868),"")</f>
        <v/>
      </c>
      <c r="Q4868" s="34">
        <f>IF($J4868=1,LN(R4869/R4868),"")</f>
        <v/>
      </c>
      <c r="R4868" s="32" t="n">
        <v>5.2952</v>
      </c>
      <c r="S4868" s="35" t="n">
        <v>13.69</v>
      </c>
      <c r="T4868" s="18" t="n">
        <v>164455.61</v>
      </c>
      <c r="U4868" s="18" t="n"/>
      <c r="V4868" s="18" t="n"/>
      <c r="W4868" s="18" t="n"/>
      <c r="X4868" s="35" t="n"/>
      <c r="Y4868" s="35" t="n">
        <v>13.69</v>
      </c>
    </row>
    <row r="4869">
      <c r="A4869" s="25" t="n">
        <v>45996</v>
      </c>
      <c r="B4869" s="18" t="n">
        <v>157369.36</v>
      </c>
      <c r="C4869" s="31" t="n"/>
      <c r="D4869" s="32" t="n"/>
      <c r="E4869" s="33" t="n">
        <v>0.4139</v>
      </c>
      <c r="F4869" t="inlineStr">
        <is>
          <t>Up</t>
        </is>
      </c>
      <c r="G4869" t="inlineStr">
        <is>
          <t>Down</t>
        </is>
      </c>
      <c r="H4869" t="inlineStr">
        <is>
          <t>EU_JD</t>
        </is>
      </c>
      <c r="I4869" t="inlineStr">
        <is>
          <t>2025-12</t>
        </is>
      </c>
      <c r="J4869" t="n">
        <v>1</v>
      </c>
      <c r="K4869" t="n">
        <v>1</v>
      </c>
      <c r="L4869" s="34">
        <f>IF($J4869=1,LN(B4870/B4869),"")</f>
        <v/>
      </c>
      <c r="M4869" s="34">
        <f>IF($K4869=1,INDEX(Mensal!$D$2:$D$245,MATCH($I4869,Mensal!$A$2:$A$245,0)),"")</f>
        <v/>
      </c>
      <c r="N4869" s="34">
        <f>IF($K4869=1,L4869-M4869,"")</f>
        <v/>
      </c>
      <c r="O4869" s="34" t="n">
        <v>0.00055131</v>
      </c>
      <c r="P4869" s="34">
        <f>IF($J4869=1,LN(1+O4869),"")</f>
        <v/>
      </c>
      <c r="Q4869" s="34">
        <f>IF($J4869=1,LN(R4870/R4869),"")</f>
        <v/>
      </c>
      <c r="R4869" s="32" t="n">
        <v>5.3405</v>
      </c>
      <c r="S4869" s="35" t="n">
        <v>13.96</v>
      </c>
      <c r="T4869" s="18" t="n">
        <v>157369.36</v>
      </c>
      <c r="U4869" s="18" t="n"/>
      <c r="V4869" s="18" t="n"/>
      <c r="W4869" s="18" t="n"/>
      <c r="X4869" s="35" t="n"/>
      <c r="Y4869" s="35" t="n">
        <v>13.96</v>
      </c>
    </row>
    <row r="4870">
      <c r="A4870" s="25" t="n">
        <v>45999</v>
      </c>
      <c r="B4870" s="18" t="n">
        <v>158187.43</v>
      </c>
      <c r="C4870" s="31" t="n"/>
      <c r="D4870" s="32" t="n"/>
      <c r="E4870" s="33" t="n">
        <v>0.3991</v>
      </c>
      <c r="F4870" t="inlineStr">
        <is>
          <t>Up</t>
        </is>
      </c>
      <c r="G4870" t="inlineStr">
        <is>
          <t>Down</t>
        </is>
      </c>
      <c r="H4870" t="inlineStr">
        <is>
          <t>EU_JD</t>
        </is>
      </c>
      <c r="I4870" t="inlineStr">
        <is>
          <t>2025-12</t>
        </is>
      </c>
      <c r="J4870" t="n">
        <v>1</v>
      </c>
      <c r="K4870" t="n">
        <v>1</v>
      </c>
      <c r="L4870" s="34">
        <f>IF($J4870=1,LN(B4871/B4870),"")</f>
        <v/>
      </c>
      <c r="M4870" s="34">
        <f>IF($K4870=1,INDEX(Mensal!$D$2:$D$245,MATCH($I4870,Mensal!$A$2:$A$245,0)),"")</f>
        <v/>
      </c>
      <c r="N4870" s="34">
        <f>IF($K4870=1,L4870-M4870,"")</f>
        <v/>
      </c>
      <c r="O4870" s="34" t="n">
        <v>0.00055131</v>
      </c>
      <c r="P4870" s="34">
        <f>IF($J4870=1,LN(1+O4870),"")</f>
        <v/>
      </c>
      <c r="Q4870" s="34">
        <f>IF($J4870=1,LN(R4871/R4870),"")</f>
        <v/>
      </c>
      <c r="R4870" s="32" t="n">
        <v>5.4249</v>
      </c>
      <c r="S4870" s="35" t="n">
        <v>13.86</v>
      </c>
      <c r="T4870" s="18" t="n">
        <v>158187.43</v>
      </c>
      <c r="U4870" s="18" t="n"/>
      <c r="V4870" s="18" t="n"/>
      <c r="W4870" s="18" t="n"/>
      <c r="X4870" s="35" t="n"/>
      <c r="Y4870" s="35" t="n">
        <v>13.86</v>
      </c>
    </row>
    <row r="4871">
      <c r="A4871" s="25" t="n">
        <v>46000</v>
      </c>
      <c r="B4871" s="18" t="n">
        <v>157981.13</v>
      </c>
      <c r="C4871" s="31" t="n"/>
      <c r="D4871" s="32" t="n"/>
      <c r="E4871" s="33" t="n">
        <v>0.3678</v>
      </c>
      <c r="F4871" t="inlineStr">
        <is>
          <t>Up</t>
        </is>
      </c>
      <c r="G4871" t="inlineStr">
        <is>
          <t>Down</t>
        </is>
      </c>
      <c r="H4871" t="inlineStr">
        <is>
          <t>EU_JD</t>
        </is>
      </c>
      <c r="I4871" t="inlineStr">
        <is>
          <t>2025-12</t>
        </is>
      </c>
      <c r="J4871" t="n">
        <v>1</v>
      </c>
      <c r="K4871" t="n">
        <v>1</v>
      </c>
      <c r="L4871" s="34">
        <f>IF($J4871=1,LN(B4872/B4871),"")</f>
        <v/>
      </c>
      <c r="M4871" s="34">
        <f>IF($K4871=1,INDEX(Mensal!$D$2:$D$245,MATCH($I4871,Mensal!$A$2:$A$245,0)),"")</f>
        <v/>
      </c>
      <c r="N4871" s="34">
        <f>IF($K4871=1,L4871-M4871,"")</f>
        <v/>
      </c>
      <c r="O4871" s="34" t="n">
        <v>0.00055131</v>
      </c>
      <c r="P4871" s="34">
        <f>IF($J4871=1,LN(1+O4871),"")</f>
        <v/>
      </c>
      <c r="Q4871" s="34">
        <f>IF($J4871=1,LN(R4872/R4871),"")</f>
        <v/>
      </c>
      <c r="R4871" s="32" t="n">
        <v>5.457</v>
      </c>
      <c r="S4871" s="35" t="n">
        <v>13.83</v>
      </c>
      <c r="T4871" s="18" t="n">
        <v>157981.13</v>
      </c>
      <c r="U4871" s="18" t="n"/>
      <c r="V4871" s="18" t="n"/>
      <c r="W4871" s="18" t="n"/>
      <c r="X4871" s="35" t="n"/>
      <c r="Y4871" s="35" t="n">
        <v>13.83</v>
      </c>
    </row>
    <row r="4872">
      <c r="A4872" s="25" t="n">
        <v>46001</v>
      </c>
      <c r="B4872" s="18" t="n">
        <v>159074.97</v>
      </c>
      <c r="C4872" s="31" t="n"/>
      <c r="D4872" s="32" t="n"/>
      <c r="E4872" s="33" t="n">
        <v>0.3473</v>
      </c>
      <c r="F4872" t="inlineStr">
        <is>
          <t>Up</t>
        </is>
      </c>
      <c r="G4872" t="inlineStr">
        <is>
          <t>Down</t>
        </is>
      </c>
      <c r="H4872" t="inlineStr">
        <is>
          <t>EU_JD</t>
        </is>
      </c>
      <c r="I4872" t="inlineStr">
        <is>
          <t>2025-12</t>
        </is>
      </c>
      <c r="J4872" t="n">
        <v>1</v>
      </c>
      <c r="K4872" t="n">
        <v>1</v>
      </c>
      <c r="L4872" s="34">
        <f>IF($J4872=1,LN(B4873/B4872),"")</f>
        <v/>
      </c>
      <c r="M4872" s="34">
        <f>IF($K4872=1,INDEX(Mensal!$D$2:$D$245,MATCH($I4872,Mensal!$A$2:$A$245,0)),"")</f>
        <v/>
      </c>
      <c r="N4872" s="34">
        <f>IF($K4872=1,L4872-M4872,"")</f>
        <v/>
      </c>
      <c r="O4872" s="34" t="n">
        <v>0.00055131</v>
      </c>
      <c r="P4872" s="34">
        <f>IF($J4872=1,LN(1+O4872),"")</f>
        <v/>
      </c>
      <c r="Q4872" s="34">
        <f>IF($J4872=1,LN(R4873/R4872),"")</f>
        <v/>
      </c>
      <c r="R4872" s="32" t="n">
        <v>5.4656</v>
      </c>
      <c r="S4872" s="35" t="n">
        <v>13.85</v>
      </c>
      <c r="T4872" s="18" t="n">
        <v>159074.97</v>
      </c>
      <c r="U4872" s="18" t="n"/>
      <c r="V4872" s="18" t="n"/>
      <c r="W4872" s="18" t="n"/>
      <c r="X4872" s="35" t="n"/>
      <c r="Y4872" s="35" t="n">
        <v>13.85</v>
      </c>
    </row>
    <row r="4873">
      <c r="A4873" s="25" t="n">
        <v>46002</v>
      </c>
      <c r="B4873" s="18" t="n">
        <v>159189.1</v>
      </c>
      <c r="C4873" s="31" t="n"/>
      <c r="D4873" s="32" t="n"/>
      <c r="E4873" s="33" t="n">
        <v>0.3281</v>
      </c>
      <c r="F4873" t="inlineStr">
        <is>
          <t>Up</t>
        </is>
      </c>
      <c r="G4873" t="inlineStr">
        <is>
          <t>Down</t>
        </is>
      </c>
      <c r="H4873" t="inlineStr">
        <is>
          <t>EU_JD</t>
        </is>
      </c>
      <c r="I4873" t="inlineStr">
        <is>
          <t>2025-12</t>
        </is>
      </c>
      <c r="J4873" t="n">
        <v>1</v>
      </c>
      <c r="K4873" t="n">
        <v>1</v>
      </c>
      <c r="L4873" s="34">
        <f>IF($J4873=1,LN(B4874/B4873),"")</f>
        <v/>
      </c>
      <c r="M4873" s="34">
        <f>IF($K4873=1,INDEX(Mensal!$D$2:$D$245,MATCH($I4873,Mensal!$A$2:$A$245,0)),"")</f>
        <v/>
      </c>
      <c r="N4873" s="34">
        <f>IF($K4873=1,L4873-M4873,"")</f>
        <v/>
      </c>
      <c r="O4873" s="34" t="n">
        <v>0.00055131</v>
      </c>
      <c r="P4873" s="34">
        <f>IF($J4873=1,LN(1+O4873),"")</f>
        <v/>
      </c>
      <c r="Q4873" s="34">
        <f>IF($J4873=1,LN(R4874/R4873),"")</f>
        <v/>
      </c>
      <c r="R4873" s="32" t="n">
        <v>5.4237</v>
      </c>
      <c r="S4873" s="35" t="n">
        <v>13.85</v>
      </c>
      <c r="T4873" s="18" t="n">
        <v>159189.1</v>
      </c>
      <c r="U4873" s="18" t="n"/>
      <c r="V4873" s="18" t="n"/>
      <c r="W4873" s="18" t="n"/>
      <c r="X4873" s="35" t="n"/>
      <c r="Y4873" s="35" t="n">
        <v>13.85</v>
      </c>
    </row>
    <row r="4874">
      <c r="A4874" s="25" t="n">
        <v>46003</v>
      </c>
      <c r="B4874" s="18" t="n">
        <v>160766.37</v>
      </c>
      <c r="C4874" s="31" t="n"/>
      <c r="D4874" s="32" t="n"/>
      <c r="E4874" s="33" t="n">
        <v>0.3369</v>
      </c>
      <c r="F4874" t="inlineStr">
        <is>
          <t>Up</t>
        </is>
      </c>
      <c r="G4874" t="inlineStr">
        <is>
          <t>Down</t>
        </is>
      </c>
      <c r="H4874" t="inlineStr">
        <is>
          <t>EU_JD</t>
        </is>
      </c>
      <c r="I4874" t="inlineStr">
        <is>
          <t>2025-12</t>
        </is>
      </c>
      <c r="J4874" t="n">
        <v>1</v>
      </c>
      <c r="K4874" t="n">
        <v>1</v>
      </c>
      <c r="L4874" s="34">
        <f>IF($J4874=1,LN(B4875/B4874),"")</f>
        <v/>
      </c>
      <c r="M4874" s="34">
        <f>IF($K4874=1,INDEX(Mensal!$D$2:$D$245,MATCH($I4874,Mensal!$A$2:$A$245,0)),"")</f>
        <v/>
      </c>
      <c r="N4874" s="34">
        <f>IF($K4874=1,L4874-M4874,"")</f>
        <v/>
      </c>
      <c r="O4874" s="34" t="n">
        <v>0.00055131</v>
      </c>
      <c r="P4874" s="34">
        <f>IF($J4874=1,LN(1+O4874),"")</f>
        <v/>
      </c>
      <c r="Q4874" s="34">
        <f>IF($J4874=1,LN(R4875/R4874),"")</f>
        <v/>
      </c>
      <c r="R4874" s="32" t="n">
        <v>5.4011</v>
      </c>
      <c r="S4874" s="35" t="n">
        <v>13.75</v>
      </c>
      <c r="T4874" s="18" t="n">
        <v>160766.37</v>
      </c>
      <c r="U4874" s="18" t="n"/>
      <c r="V4874" s="18" t="n"/>
      <c r="W4874" s="18" t="n"/>
      <c r="X4874" s="35" t="n"/>
      <c r="Y4874" s="35" t="n">
        <v>13.75</v>
      </c>
    </row>
    <row r="4875">
      <c r="A4875" s="25" t="n">
        <v>46006</v>
      </c>
      <c r="B4875" s="18" t="n">
        <v>162481.74</v>
      </c>
      <c r="C4875" s="31" t="n"/>
      <c r="D4875" s="32" t="n"/>
      <c r="E4875" s="33" t="n">
        <v>0.3441</v>
      </c>
      <c r="F4875" t="inlineStr">
        <is>
          <t>Up</t>
        </is>
      </c>
      <c r="G4875" t="inlineStr">
        <is>
          <t>Down</t>
        </is>
      </c>
      <c r="H4875" t="inlineStr">
        <is>
          <t>EU_JD</t>
        </is>
      </c>
      <c r="I4875" t="inlineStr">
        <is>
          <t>2025-12</t>
        </is>
      </c>
      <c r="J4875" t="n">
        <v>1</v>
      </c>
      <c r="K4875" t="n">
        <v>1</v>
      </c>
      <c r="L4875" s="34">
        <f>IF($J4875=1,LN(B4876/B4875),"")</f>
        <v/>
      </c>
      <c r="M4875" s="34">
        <f>IF($K4875=1,INDEX(Mensal!$D$2:$D$245,MATCH($I4875,Mensal!$A$2:$A$245,0)),"")</f>
        <v/>
      </c>
      <c r="N4875" s="34">
        <f>IF($K4875=1,L4875-M4875,"")</f>
        <v/>
      </c>
      <c r="O4875" s="34" t="n">
        <v>0.00055131</v>
      </c>
      <c r="P4875" s="34">
        <f>IF($J4875=1,LN(1+O4875),"")</f>
        <v/>
      </c>
      <c r="Q4875" s="34">
        <f>IF($J4875=1,LN(R4876/R4875),"")</f>
        <v/>
      </c>
      <c r="R4875" s="32" t="n">
        <v>5.3929</v>
      </c>
      <c r="S4875" s="35" t="n">
        <v>13.72</v>
      </c>
      <c r="T4875" s="18" t="n">
        <v>162481.74</v>
      </c>
      <c r="U4875" s="18" t="n"/>
      <c r="V4875" s="18" t="n"/>
      <c r="W4875" s="18" t="n"/>
      <c r="X4875" s="35" t="n"/>
      <c r="Y4875" s="35" t="n">
        <v>13.72</v>
      </c>
    </row>
    <row r="4876">
      <c r="A4876" s="25" t="n">
        <v>46007</v>
      </c>
      <c r="B4876" s="18" t="n">
        <v>158577.88</v>
      </c>
      <c r="C4876" s="31" t="n"/>
      <c r="D4876" s="32" t="n"/>
      <c r="E4876" s="33" t="n">
        <v>0.3649</v>
      </c>
      <c r="F4876" t="inlineStr">
        <is>
          <t>Up</t>
        </is>
      </c>
      <c r="G4876" t="inlineStr">
        <is>
          <t>Down</t>
        </is>
      </c>
      <c r="H4876" t="inlineStr">
        <is>
          <t>EU_JD</t>
        </is>
      </c>
      <c r="I4876" t="inlineStr">
        <is>
          <t>2025-12</t>
        </is>
      </c>
      <c r="J4876" t="n">
        <v>1</v>
      </c>
      <c r="K4876" t="n">
        <v>1</v>
      </c>
      <c r="L4876" s="34">
        <f>IF($J4876=1,LN(B4877/B4876),"")</f>
        <v/>
      </c>
      <c r="M4876" s="34">
        <f>IF($K4876=1,INDEX(Mensal!$D$2:$D$245,MATCH($I4876,Mensal!$A$2:$A$245,0)),"")</f>
        <v/>
      </c>
      <c r="N4876" s="34">
        <f>IF($K4876=1,L4876-M4876,"")</f>
        <v/>
      </c>
      <c r="O4876" s="34" t="n">
        <v>0.00055131</v>
      </c>
      <c r="P4876" s="34">
        <f>IF($J4876=1,LN(1+O4876),"")</f>
        <v/>
      </c>
      <c r="Q4876" s="34">
        <f>IF($J4876=1,LN(R4877/R4876),"")</f>
        <v/>
      </c>
      <c r="R4876" s="32" t="n">
        <v>5.4505</v>
      </c>
      <c r="S4876" s="35" t="n">
        <v>13.76</v>
      </c>
      <c r="T4876" s="18" t="n">
        <v>158577.88</v>
      </c>
      <c r="U4876" s="18" t="n"/>
      <c r="V4876" s="18" t="n"/>
      <c r="W4876" s="18" t="n"/>
      <c r="X4876" s="35" t="n"/>
      <c r="Y4876" s="35" t="n">
        <v>13.76</v>
      </c>
    </row>
    <row r="4877">
      <c r="A4877" s="25" t="n">
        <v>46008</v>
      </c>
      <c r="B4877" s="18" t="n">
        <v>157327.26</v>
      </c>
      <c r="C4877" s="31" t="n"/>
      <c r="D4877" s="32" t="n"/>
      <c r="E4877" s="33" t="n">
        <v>0.3829</v>
      </c>
      <c r="F4877" t="inlineStr">
        <is>
          <t>Up</t>
        </is>
      </c>
      <c r="G4877" t="inlineStr">
        <is>
          <t>Down</t>
        </is>
      </c>
      <c r="H4877" t="inlineStr">
        <is>
          <t>EU_JD</t>
        </is>
      </c>
      <c r="I4877" t="inlineStr">
        <is>
          <t>2025-12</t>
        </is>
      </c>
      <c r="J4877" t="n">
        <v>1</v>
      </c>
      <c r="K4877" t="n">
        <v>1</v>
      </c>
      <c r="L4877" s="34">
        <f>IF($J4877=1,LN(B4878/B4877),"")</f>
        <v/>
      </c>
      <c r="M4877" s="34">
        <f>IF($K4877=1,INDEX(Mensal!$D$2:$D$245,MATCH($I4877,Mensal!$A$2:$A$245,0)),"")</f>
        <v/>
      </c>
      <c r="N4877" s="34">
        <f>IF($K4877=1,L4877-M4877,"")</f>
        <v/>
      </c>
      <c r="O4877" s="34" t="n">
        <v>0.00055131</v>
      </c>
      <c r="P4877" s="34">
        <f>IF($J4877=1,LN(1+O4877),"")</f>
        <v/>
      </c>
      <c r="Q4877" s="34">
        <f>IF($J4877=1,LN(R4878/R4877),"")</f>
        <v/>
      </c>
      <c r="R4877" s="32" t="n">
        <v>5.5093</v>
      </c>
      <c r="S4877" s="35" t="n">
        <v>13.9</v>
      </c>
      <c r="T4877" s="18" t="n">
        <v>157327.26</v>
      </c>
      <c r="U4877" s="18" t="n"/>
      <c r="V4877" s="18" t="n"/>
      <c r="W4877" s="18" t="n"/>
      <c r="X4877" s="35" t="n"/>
      <c r="Y4877" s="35" t="n">
        <v>13.9</v>
      </c>
    </row>
    <row r="4878">
      <c r="A4878" s="25" t="n">
        <v>46009</v>
      </c>
      <c r="B4878" s="18" t="n">
        <v>157923.34</v>
      </c>
      <c r="C4878" s="31" t="n"/>
      <c r="D4878" s="32" t="n"/>
      <c r="E4878" s="33" t="n">
        <v>0.4007</v>
      </c>
      <c r="F4878" t="inlineStr">
        <is>
          <t>Up</t>
        </is>
      </c>
      <c r="G4878" t="inlineStr">
        <is>
          <t>Down</t>
        </is>
      </c>
      <c r="H4878" t="inlineStr">
        <is>
          <t>EU_JD</t>
        </is>
      </c>
      <c r="I4878" t="inlineStr">
        <is>
          <t>2025-12</t>
        </is>
      </c>
      <c r="J4878" t="n">
        <v>1</v>
      </c>
      <c r="K4878" t="n">
        <v>1</v>
      </c>
      <c r="L4878" s="34">
        <f>IF($J4878=1,LN(B4879/B4878),"")</f>
        <v/>
      </c>
      <c r="M4878" s="34">
        <f>IF($K4878=1,INDEX(Mensal!$D$2:$D$245,MATCH($I4878,Mensal!$A$2:$A$245,0)),"")</f>
        <v/>
      </c>
      <c r="N4878" s="34">
        <f>IF($K4878=1,L4878-M4878,"")</f>
        <v/>
      </c>
      <c r="O4878" s="34" t="n">
        <v>0.00055131</v>
      </c>
      <c r="P4878" s="34">
        <f>IF($J4878=1,LN(1+O4878),"")</f>
        <v/>
      </c>
      <c r="Q4878" s="34">
        <f>IF($J4878=1,LN(R4879/R4878),"")</f>
        <v/>
      </c>
      <c r="R4878" s="32" t="n">
        <v>5.5283</v>
      </c>
      <c r="S4878" s="35" t="n">
        <v>13.9</v>
      </c>
      <c r="T4878" s="18" t="n">
        <v>157923.34</v>
      </c>
      <c r="U4878" s="18" t="n"/>
      <c r="V4878" s="18" t="n"/>
      <c r="W4878" s="18" t="n"/>
      <c r="X4878" s="35" t="n"/>
      <c r="Y4878" s="35" t="n">
        <v>13.9</v>
      </c>
    </row>
    <row r="4879">
      <c r="A4879" s="25" t="n">
        <v>46010</v>
      </c>
      <c r="B4879" s="18" t="n">
        <v>158473.02</v>
      </c>
      <c r="C4879" s="31" t="n"/>
      <c r="D4879" s="32" t="n"/>
      <c r="E4879" s="33" t="n">
        <v>0.4216</v>
      </c>
      <c r="F4879" t="inlineStr">
        <is>
          <t>Up</t>
        </is>
      </c>
      <c r="G4879" t="inlineStr">
        <is>
          <t>Down</t>
        </is>
      </c>
      <c r="H4879" t="inlineStr">
        <is>
          <t>EU_JD</t>
        </is>
      </c>
      <c r="I4879" t="inlineStr">
        <is>
          <t>2025-12</t>
        </is>
      </c>
      <c r="J4879" t="n">
        <v>1</v>
      </c>
      <c r="K4879" t="n">
        <v>1</v>
      </c>
      <c r="L4879" s="34">
        <f>IF($J4879=1,LN(B4880/B4879),"")</f>
        <v/>
      </c>
      <c r="M4879" s="34">
        <f>IF($K4879=1,INDEX(Mensal!$D$2:$D$245,MATCH($I4879,Mensal!$A$2:$A$245,0)),"")</f>
        <v/>
      </c>
      <c r="N4879" s="34">
        <f>IF($K4879=1,L4879-M4879,"")</f>
        <v/>
      </c>
      <c r="O4879" s="34" t="n">
        <v>0.00055131</v>
      </c>
      <c r="P4879" s="34">
        <f>IF($J4879=1,LN(1+O4879),"")</f>
        <v/>
      </c>
      <c r="Q4879" s="34">
        <f>IF($J4879=1,LN(R4880/R4879),"")</f>
        <v/>
      </c>
      <c r="R4879" s="32" t="n">
        <v>5.516</v>
      </c>
      <c r="S4879" s="35" t="n">
        <v>13.84</v>
      </c>
      <c r="T4879" s="18" t="n">
        <v>158473.02</v>
      </c>
      <c r="U4879" s="18" t="n"/>
      <c r="V4879" s="18" t="n"/>
      <c r="W4879" s="18" t="n"/>
      <c r="X4879" s="35" t="n"/>
      <c r="Y4879" s="35" t="n">
        <v>13.84</v>
      </c>
    </row>
    <row r="4880">
      <c r="A4880" s="25" t="n">
        <v>46013</v>
      </c>
      <c r="B4880" s="18" t="n">
        <v>158141.65</v>
      </c>
      <c r="C4880" s="31" t="n"/>
      <c r="D4880" s="32" t="n"/>
      <c r="E4880" s="33" t="n">
        <v>0.4528</v>
      </c>
      <c r="F4880" t="inlineStr">
        <is>
          <t>Up</t>
        </is>
      </c>
      <c r="G4880" t="inlineStr">
        <is>
          <t>Down</t>
        </is>
      </c>
      <c r="H4880" t="inlineStr">
        <is>
          <t>EU_JD</t>
        </is>
      </c>
      <c r="I4880" t="inlineStr">
        <is>
          <t>2025-12</t>
        </is>
      </c>
      <c r="J4880" t="n">
        <v>1</v>
      </c>
      <c r="K4880" t="n">
        <v>1</v>
      </c>
      <c r="L4880" s="34">
        <f>IF($J4880=1,LN(B4881/B4880),"")</f>
        <v/>
      </c>
      <c r="M4880" s="34">
        <f>IF($K4880=1,INDEX(Mensal!$D$2:$D$245,MATCH($I4880,Mensal!$A$2:$A$245,0)),"")</f>
        <v/>
      </c>
      <c r="N4880" s="34">
        <f>IF($K4880=1,L4880-M4880,"")</f>
        <v/>
      </c>
      <c r="O4880" s="34" t="n">
        <v>0.00055131</v>
      </c>
      <c r="P4880" s="34">
        <f>IF($J4880=1,LN(1+O4880),"")</f>
        <v/>
      </c>
      <c r="Q4880" s="34">
        <f>IF($J4880=1,LN(R4881/R4880),"")</f>
        <v/>
      </c>
      <c r="R4880" s="32" t="n">
        <v>5.5389</v>
      </c>
      <c r="S4880" s="35" t="n">
        <v>13.89</v>
      </c>
      <c r="T4880" s="18" t="n">
        <v>158141.65</v>
      </c>
      <c r="U4880" s="18" t="n"/>
      <c r="V4880" s="18" t="n"/>
      <c r="W4880" s="18" t="n"/>
      <c r="X4880" s="35" t="n"/>
      <c r="Y4880" s="35" t="n">
        <v>13.89</v>
      </c>
    </row>
    <row r="4881">
      <c r="A4881" s="25" t="n">
        <v>46014</v>
      </c>
      <c r="B4881" s="18" t="n">
        <v>160455.83</v>
      </c>
      <c r="C4881" s="31" t="n"/>
      <c r="D4881" s="32" t="n"/>
      <c r="E4881" s="33" t="n">
        <v>0.4672</v>
      </c>
      <c r="F4881" t="inlineStr">
        <is>
          <t>Up</t>
        </is>
      </c>
      <c r="G4881" t="inlineStr">
        <is>
          <t>Down</t>
        </is>
      </c>
      <c r="H4881" t="inlineStr">
        <is>
          <t>EU_JD</t>
        </is>
      </c>
      <c r="I4881" t="inlineStr">
        <is>
          <t>2025-12</t>
        </is>
      </c>
      <c r="J4881" t="n">
        <v>1</v>
      </c>
      <c r="K4881" t="n">
        <v>1</v>
      </c>
      <c r="L4881" s="34">
        <f>IF($J4881=1,LN(B4882/B4881),"")</f>
        <v/>
      </c>
      <c r="M4881" s="34">
        <f>IF($K4881=1,INDEX(Mensal!$D$2:$D$245,MATCH($I4881,Mensal!$A$2:$A$245,0)),"")</f>
        <v/>
      </c>
      <c r="N4881" s="34">
        <f>IF($K4881=1,L4881-M4881,"")</f>
        <v/>
      </c>
      <c r="O4881" s="34" t="n">
        <v>0.00055131</v>
      </c>
      <c r="P4881" s="34">
        <f>IF($J4881=1,LN(1+O4881),"")</f>
        <v/>
      </c>
      <c r="Q4881" s="34">
        <f>IF($J4881=1,LN(R4882/R4881),"")</f>
        <v/>
      </c>
      <c r="R4881" s="32" t="n">
        <v>5.5643</v>
      </c>
      <c r="S4881" s="35" t="n">
        <v>13.88</v>
      </c>
      <c r="T4881" s="18" t="n">
        <v>160455.83</v>
      </c>
      <c r="U4881" s="18" t="n"/>
      <c r="V4881" s="18" t="n"/>
      <c r="W4881" s="18" t="n"/>
      <c r="X4881" s="35" t="n"/>
      <c r="Y4881" s="35" t="n">
        <v>13.88</v>
      </c>
    </row>
    <row r="4882">
      <c r="A4882" s="25" t="n">
        <v>46017</v>
      </c>
      <c r="B4882" s="18" t="n">
        <v>160896.64</v>
      </c>
      <c r="C4882" s="31" t="n"/>
      <c r="D4882" s="32" t="n"/>
      <c r="E4882" s="33" t="n">
        <v>0.4814</v>
      </c>
      <c r="F4882" t="inlineStr">
        <is>
          <t>Up</t>
        </is>
      </c>
      <c r="G4882" t="inlineStr">
        <is>
          <t>Down</t>
        </is>
      </c>
      <c r="H4882" t="inlineStr">
        <is>
          <t>EU_JD</t>
        </is>
      </c>
      <c r="I4882" t="inlineStr">
        <is>
          <t>2025-12</t>
        </is>
      </c>
      <c r="J4882" t="n">
        <v>1</v>
      </c>
      <c r="K4882" t="n">
        <v>1</v>
      </c>
      <c r="L4882" s="34">
        <f>IF($J4882=1,LN(B4883/B4882),"")</f>
        <v/>
      </c>
      <c r="M4882" s="34">
        <f>IF($K4882=1,INDEX(Mensal!$D$2:$D$245,MATCH($I4882,Mensal!$A$2:$A$245,0)),"")</f>
        <v/>
      </c>
      <c r="N4882" s="34">
        <f>IF($K4882=1,L4882-M4882,"")</f>
        <v/>
      </c>
      <c r="O4882" s="34" t="n">
        <v>0.00055131</v>
      </c>
      <c r="P4882" s="34">
        <f>IF($J4882=1,LN(1+O4882),"")</f>
        <v/>
      </c>
      <c r="Q4882" s="34">
        <f>IF($J4882=1,LN(R4883/R4882),"")</f>
        <v/>
      </c>
      <c r="R4882" s="32" t="n">
        <v>5.5413</v>
      </c>
      <c r="S4882" s="35" t="n">
        <v>13.79</v>
      </c>
      <c r="T4882" s="18" t="n">
        <v>160896.64</v>
      </c>
      <c r="U4882" s="18" t="n"/>
      <c r="V4882" s="18" t="n"/>
      <c r="W4882" s="18" t="n"/>
      <c r="X4882" s="35" t="n"/>
      <c r="Y4882" s="35" t="n">
        <v>13.79</v>
      </c>
    </row>
    <row r="4883">
      <c r="A4883" s="25" t="n">
        <v>46020</v>
      </c>
      <c r="B4883" s="18" t="n">
        <v>160490.3</v>
      </c>
      <c r="C4883" s="31" t="n"/>
      <c r="D4883" s="32" t="n"/>
      <c r="E4883" s="33" t="n">
        <v>0.4958</v>
      </c>
      <c r="F4883" t="inlineStr">
        <is>
          <t>Up</t>
        </is>
      </c>
      <c r="G4883" t="inlineStr">
        <is>
          <t>Down</t>
        </is>
      </c>
      <c r="H4883" t="inlineStr">
        <is>
          <t>EU_JD</t>
        </is>
      </c>
      <c r="I4883" t="inlineStr">
        <is>
          <t>2025-12</t>
        </is>
      </c>
      <c r="J4883" t="n">
        <v>1</v>
      </c>
      <c r="K4883" t="n">
        <v>1</v>
      </c>
      <c r="L4883" s="34">
        <f>IF($J4883=1,LN(B4884/B4883),"")</f>
        <v/>
      </c>
      <c r="M4883" s="34">
        <f>IF($K4883=1,INDEX(Mensal!$D$2:$D$245,MATCH($I4883,Mensal!$A$2:$A$245,0)),"")</f>
        <v/>
      </c>
      <c r="N4883" s="34">
        <f>IF($K4883=1,L4883-M4883,"")</f>
        <v/>
      </c>
      <c r="O4883" s="34" t="n">
        <v>0.00055131</v>
      </c>
      <c r="P4883" s="34">
        <f>IF($J4883=1,LN(1+O4883),"")</f>
        <v/>
      </c>
      <c r="Q4883" s="34">
        <f>IF($J4883=1,LN(R4884/R4883),"")</f>
        <v/>
      </c>
      <c r="R4883" s="32" t="n">
        <v>5.5739</v>
      </c>
      <c r="S4883" s="35" t="n">
        <v>13.81</v>
      </c>
      <c r="T4883" s="18" t="n">
        <v>160490.3</v>
      </c>
      <c r="U4883" s="18" t="n"/>
      <c r="V4883" s="18" t="n"/>
      <c r="W4883" s="18" t="n"/>
      <c r="X4883" s="35" t="n"/>
      <c r="Y4883" s="35" t="n">
        <v>13.81</v>
      </c>
    </row>
    <row r="4884">
      <c r="A4884" s="25" t="n">
        <v>46021</v>
      </c>
      <c r="B4884" s="18" t="n">
        <v>161125.37</v>
      </c>
      <c r="C4884" s="31" t="n"/>
      <c r="D4884" s="32" t="n"/>
      <c r="E4884" s="33" t="n">
        <v>0.5139</v>
      </c>
      <c r="F4884" t="inlineStr">
        <is>
          <t>Up</t>
        </is>
      </c>
      <c r="G4884" t="inlineStr">
        <is>
          <t>Down</t>
        </is>
      </c>
      <c r="H4884" t="inlineStr">
        <is>
          <t>EU_JD</t>
        </is>
      </c>
      <c r="I4884" t="inlineStr">
        <is>
          <t>2025-12</t>
        </is>
      </c>
      <c r="J4884" t="n">
        <v>1</v>
      </c>
      <c r="K4884" t="n">
        <v>1</v>
      </c>
      <c r="L4884" s="34">
        <f>IF($J4884=1,LN(B4885/B4884),"")</f>
        <v/>
      </c>
      <c r="M4884" s="34">
        <f>IF($K4884=1,INDEX(Mensal!$D$2:$D$245,MATCH($I4884,Mensal!$A$2:$A$245,0)),"")</f>
        <v/>
      </c>
      <c r="N4884" s="34">
        <f>IF($K4884=1,L4884-M4884,"")</f>
        <v/>
      </c>
      <c r="O4884" s="34" t="n">
        <v>0.00055131</v>
      </c>
      <c r="P4884" s="34">
        <f>IF($J4884=1,LN(1+O4884),"")</f>
        <v/>
      </c>
      <c r="Q4884" s="34">
        <f>IF($J4884=1,LN(R4885/R4884),"")</f>
        <v/>
      </c>
      <c r="R4884" s="32" t="n">
        <v>5.5024</v>
      </c>
      <c r="S4884" s="35" t="n">
        <v>13.83</v>
      </c>
      <c r="T4884" s="18" t="n">
        <v>161125.37</v>
      </c>
      <c r="U4884" s="18" t="n"/>
      <c r="V4884" s="18" t="n"/>
      <c r="W4884" s="18" t="n"/>
      <c r="X4884" s="35" t="n"/>
      <c r="Y4884" s="35" t="n">
        <v>13.83</v>
      </c>
    </row>
    <row r="4885">
      <c r="A4885" s="25" t="n">
        <v>46024</v>
      </c>
      <c r="B4885" s="18" t="n">
        <v>160538.69</v>
      </c>
      <c r="C4885" s="31" t="n"/>
      <c r="D4885" s="32" t="n"/>
      <c r="E4885" s="33" t="n">
        <v>0.5361</v>
      </c>
      <c r="F4885" t="inlineStr">
        <is>
          <t>Up</t>
        </is>
      </c>
      <c r="G4885" t="inlineStr">
        <is>
          <t>Down</t>
        </is>
      </c>
      <c r="H4885" t="inlineStr">
        <is>
          <t>EU_JD</t>
        </is>
      </c>
      <c r="I4885" t="inlineStr">
        <is>
          <t>2026-01</t>
        </is>
      </c>
      <c r="J4885" t="n">
        <v>1</v>
      </c>
      <c r="K4885" t="n">
        <v>1</v>
      </c>
      <c r="L4885" s="34">
        <f>IF($J4885=1,LN(B4886/B4885),"")</f>
        <v/>
      </c>
      <c r="M4885" s="34">
        <f>IF($K4885=1,INDEX(Mensal!$D$2:$D$245,MATCH($I4885,Mensal!$A$2:$A$245,0)),"")</f>
        <v/>
      </c>
      <c r="N4885" s="34">
        <f>IF($K4885=1,L4885-M4885,"")</f>
        <v/>
      </c>
      <c r="O4885" s="34" t="n">
        <v>0.00055131</v>
      </c>
      <c r="P4885" s="34">
        <f>IF($J4885=1,LN(1+O4885),"")</f>
        <v/>
      </c>
      <c r="Q4885" s="34">
        <f>IF($J4885=1,LN(R4886/R4885),"")</f>
        <v/>
      </c>
      <c r="R4885" s="32" t="n">
        <v>5.4372</v>
      </c>
      <c r="S4885" s="35" t="n">
        <v>13.73</v>
      </c>
      <c r="T4885" s="18" t="n">
        <v>160538.69</v>
      </c>
      <c r="U4885" s="18" t="n"/>
      <c r="V4885" s="18" t="n"/>
      <c r="W4885" s="18" t="n"/>
      <c r="X4885" s="35" t="n"/>
      <c r="Y4885" s="35" t="n">
        <v>13.73</v>
      </c>
    </row>
    <row r="4886">
      <c r="A4886" s="25" t="n">
        <v>46027</v>
      </c>
      <c r="B4886" s="18" t="n">
        <v>161869.76</v>
      </c>
      <c r="C4886" s="31" t="n"/>
      <c r="D4886" s="32" t="n"/>
      <c r="E4886" s="33" t="n">
        <v>0.5402</v>
      </c>
      <c r="F4886" t="inlineStr">
        <is>
          <t>Up</t>
        </is>
      </c>
      <c r="G4886" t="inlineStr">
        <is>
          <t>Down</t>
        </is>
      </c>
      <c r="H4886" t="inlineStr">
        <is>
          <t>EU_JD</t>
        </is>
      </c>
      <c r="I4886" t="inlineStr">
        <is>
          <t>2026-01</t>
        </is>
      </c>
      <c r="J4886" t="n">
        <v>1</v>
      </c>
      <c r="K4886" t="n">
        <v>1</v>
      </c>
      <c r="L4886" s="34">
        <f>IF($J4886=1,LN(B4887/B4886),"")</f>
        <v/>
      </c>
      <c r="M4886" s="34">
        <f>IF($K4886=1,INDEX(Mensal!$D$2:$D$245,MATCH($I4886,Mensal!$A$2:$A$245,0)),"")</f>
        <v/>
      </c>
      <c r="N4886" s="34">
        <f>IF($K4886=1,L4886-M4886,"")</f>
        <v/>
      </c>
      <c r="O4886" s="34" t="n">
        <v>0.00055131</v>
      </c>
      <c r="P4886" s="34">
        <f>IF($J4886=1,LN(1+O4886),"")</f>
        <v/>
      </c>
      <c r="Q4886" s="34">
        <f>IF($J4886=1,LN(R4887/R4886),"")</f>
        <v/>
      </c>
      <c r="R4886" s="32" t="n">
        <v>5.4351</v>
      </c>
      <c r="S4886" s="35" t="n">
        <v>13.71</v>
      </c>
      <c r="T4886" s="18" t="n">
        <v>161869.76</v>
      </c>
      <c r="U4886" s="18" t="n"/>
      <c r="V4886" s="18" t="n"/>
      <c r="W4886" s="18" t="n"/>
      <c r="X4886" s="35" t="n"/>
      <c r="Y4886" s="35" t="n">
        <v>13.71</v>
      </c>
    </row>
    <row r="4887">
      <c r="A4887" s="25" t="n">
        <v>46028</v>
      </c>
      <c r="B4887" s="18" t="n">
        <v>163663.88</v>
      </c>
      <c r="C4887" s="31" t="n"/>
      <c r="D4887" s="32" t="n"/>
      <c r="E4887" s="33" t="n">
        <v>0.5448</v>
      </c>
      <c r="F4887" t="inlineStr">
        <is>
          <t>Up</t>
        </is>
      </c>
      <c r="G4887" t="inlineStr">
        <is>
          <t>Down</t>
        </is>
      </c>
      <c r="H4887" t="inlineStr">
        <is>
          <t>EU_JD</t>
        </is>
      </c>
      <c r="I4887" t="inlineStr">
        <is>
          <t>2026-01</t>
        </is>
      </c>
      <c r="J4887" t="n">
        <v>1</v>
      </c>
      <c r="K4887" t="n">
        <v>1</v>
      </c>
      <c r="L4887" s="34">
        <f>IF($J4887=1,LN(B4888/B4887),"")</f>
        <v/>
      </c>
      <c r="M4887" s="34">
        <f>IF($K4887=1,INDEX(Mensal!$D$2:$D$245,MATCH($I4887,Mensal!$A$2:$A$245,0)),"")</f>
        <v/>
      </c>
      <c r="N4887" s="34">
        <f>IF($K4887=1,L4887-M4887,"")</f>
        <v/>
      </c>
      <c r="O4887" s="34" t="n">
        <v>0.00055131</v>
      </c>
      <c r="P4887" s="34">
        <f>IF($J4887=1,LN(1+O4887),"")</f>
        <v/>
      </c>
      <c r="Q4887" s="34">
        <f>IF($J4887=1,LN(R4888/R4887),"")</f>
        <v/>
      </c>
      <c r="R4887" s="32" t="n">
        <v>5.3797</v>
      </c>
      <c r="S4887" s="35" t="n">
        <v>13.74</v>
      </c>
      <c r="T4887" s="18" t="n">
        <v>163663.88</v>
      </c>
      <c r="U4887" s="18" t="n"/>
      <c r="V4887" s="18" t="n"/>
      <c r="W4887" s="18" t="n"/>
      <c r="X4887" s="35" t="n"/>
      <c r="Y4887" s="35" t="n">
        <v>13.74</v>
      </c>
    </row>
    <row r="4888">
      <c r="A4888" s="25" t="n">
        <v>46029</v>
      </c>
      <c r="B4888" s="18" t="n">
        <v>161975.24</v>
      </c>
      <c r="C4888" s="31" t="n"/>
      <c r="D4888" s="32" t="n"/>
      <c r="E4888" s="33" t="n">
        <v>0.5498</v>
      </c>
      <c r="F4888" t="inlineStr">
        <is>
          <t>Up</t>
        </is>
      </c>
      <c r="G4888" t="inlineStr">
        <is>
          <t>Down</t>
        </is>
      </c>
      <c r="H4888" t="inlineStr">
        <is>
          <t>EU_JD</t>
        </is>
      </c>
      <c r="I4888" t="inlineStr">
        <is>
          <t>2026-01</t>
        </is>
      </c>
      <c r="J4888" t="n">
        <v>1</v>
      </c>
      <c r="K4888" t="n">
        <v>1</v>
      </c>
      <c r="L4888" s="34">
        <f>IF($J4888=1,LN(B4889/B4888),"")</f>
        <v/>
      </c>
      <c r="M4888" s="34">
        <f>IF($K4888=1,INDEX(Mensal!$D$2:$D$245,MATCH($I4888,Mensal!$A$2:$A$245,0)),"")</f>
        <v/>
      </c>
      <c r="N4888" s="34">
        <f>IF($K4888=1,L4888-M4888,"")</f>
        <v/>
      </c>
      <c r="O4888" s="34" t="n">
        <v>0.00055131</v>
      </c>
      <c r="P4888" s="34">
        <f>IF($J4888=1,LN(1+O4888),"")</f>
        <v/>
      </c>
      <c r="Q4888" s="34">
        <f>IF($J4888=1,LN(R4889/R4888),"")</f>
        <v/>
      </c>
      <c r="R4888" s="32" t="n">
        <v>5.388</v>
      </c>
      <c r="S4888" s="35" t="n">
        <v>13.69</v>
      </c>
      <c r="T4888" s="18" t="n">
        <v>161975.24</v>
      </c>
      <c r="U4888" s="18" t="n"/>
      <c r="V4888" s="18" t="n"/>
      <c r="W4888" s="18" t="n"/>
      <c r="X4888" s="35" t="n"/>
      <c r="Y4888" s="35" t="n">
        <v>13.69</v>
      </c>
    </row>
    <row r="4889">
      <c r="A4889" s="25" t="n">
        <v>46030</v>
      </c>
      <c r="B4889" s="18" t="n">
        <v>162936.48</v>
      </c>
      <c r="C4889" s="31" t="n"/>
      <c r="D4889" s="32" t="n"/>
      <c r="E4889" s="33" t="n">
        <v>0.5569</v>
      </c>
      <c r="F4889" t="inlineStr">
        <is>
          <t>Up</t>
        </is>
      </c>
      <c r="G4889" t="inlineStr">
        <is>
          <t>Down</t>
        </is>
      </c>
      <c r="H4889" t="inlineStr">
        <is>
          <t>EU_JD</t>
        </is>
      </c>
      <c r="I4889" t="inlineStr">
        <is>
          <t>2026-01</t>
        </is>
      </c>
      <c r="J4889" t="n">
        <v>1</v>
      </c>
      <c r="K4889" t="n">
        <v>1</v>
      </c>
      <c r="L4889" s="34">
        <f>IF($J4889=1,LN(B4890/B4889),"")</f>
        <v/>
      </c>
      <c r="M4889" s="34">
        <f>IF($K4889=1,INDEX(Mensal!$D$2:$D$245,MATCH($I4889,Mensal!$A$2:$A$245,0)),"")</f>
        <v/>
      </c>
      <c r="N4889" s="34">
        <f>IF($K4889=1,L4889-M4889,"")</f>
        <v/>
      </c>
      <c r="O4889" s="34" t="n">
        <v>0.00055131</v>
      </c>
      <c r="P4889" s="34">
        <f>IF($J4889=1,LN(1+O4889),"")</f>
        <v/>
      </c>
      <c r="Q4889" s="34">
        <f>IF($J4889=1,LN(R4890/R4889),"")</f>
        <v/>
      </c>
      <c r="R4889" s="32" t="n">
        <v>5.386</v>
      </c>
      <c r="S4889" s="35" t="n">
        <v>13.72</v>
      </c>
      <c r="T4889" s="18" t="n">
        <v>162936.48</v>
      </c>
      <c r="U4889" s="18" t="n"/>
      <c r="V4889" s="18" t="n"/>
      <c r="W4889" s="18" t="n"/>
      <c r="X4889" s="35" t="n"/>
      <c r="Y4889" s="35" t="n">
        <v>13.72</v>
      </c>
    </row>
    <row r="4890">
      <c r="A4890" s="25" t="n">
        <v>46031</v>
      </c>
      <c r="B4890" s="18" t="n">
        <v>163370.31</v>
      </c>
      <c r="C4890" s="31" t="n"/>
      <c r="D4890" s="32" t="n"/>
      <c r="E4890" s="33" t="n">
        <v>0.5527</v>
      </c>
      <c r="F4890" t="inlineStr">
        <is>
          <t>Up</t>
        </is>
      </c>
      <c r="G4890" t="inlineStr">
        <is>
          <t>Down</t>
        </is>
      </c>
      <c r="H4890" t="inlineStr">
        <is>
          <t>EU_JD</t>
        </is>
      </c>
      <c r="I4890" t="inlineStr">
        <is>
          <t>2026-01</t>
        </is>
      </c>
      <c r="J4890" t="n">
        <v>1</v>
      </c>
      <c r="K4890" t="n">
        <v>1</v>
      </c>
      <c r="L4890" s="34">
        <f>IF($J4890=1,LN(B4891/B4890),"")</f>
        <v/>
      </c>
      <c r="M4890" s="34">
        <f>IF($K4890=1,INDEX(Mensal!$D$2:$D$245,MATCH($I4890,Mensal!$A$2:$A$245,0)),"")</f>
        <v/>
      </c>
      <c r="N4890" s="34">
        <f>IF($K4890=1,L4890-M4890,"")</f>
        <v/>
      </c>
      <c r="O4890" s="34" t="n">
        <v>0.00055131</v>
      </c>
      <c r="P4890" s="34">
        <f>IF($J4890=1,LN(1+O4890),"")</f>
        <v/>
      </c>
      <c r="Q4890" s="34">
        <f>IF($J4890=1,LN(R4891/R4890),"")</f>
        <v/>
      </c>
      <c r="R4890" s="32" t="n">
        <v>5.3707</v>
      </c>
      <c r="S4890" s="35" t="n">
        <v>13.76</v>
      </c>
      <c r="T4890" s="18" t="n">
        <v>163370.31</v>
      </c>
      <c r="U4890" s="18" t="n"/>
      <c r="V4890" s="18" t="n"/>
      <c r="W4890" s="18" t="n"/>
      <c r="X4890" s="35" t="n"/>
      <c r="Y4890" s="35" t="n">
        <v>13.76</v>
      </c>
    </row>
    <row r="4891">
      <c r="A4891" s="25" t="n">
        <v>46034</v>
      </c>
      <c r="B4891" s="18" t="n">
        <v>163150.35</v>
      </c>
      <c r="C4891" s="31" t="n"/>
      <c r="D4891" s="32" t="n"/>
      <c r="E4891" s="33" t="n">
        <v>0.5565</v>
      </c>
      <c r="F4891" t="inlineStr">
        <is>
          <t>Up</t>
        </is>
      </c>
      <c r="G4891" t="inlineStr">
        <is>
          <t>Down</t>
        </is>
      </c>
      <c r="H4891" t="inlineStr">
        <is>
          <t>EU_JD</t>
        </is>
      </c>
      <c r="I4891" t="inlineStr">
        <is>
          <t>2026-01</t>
        </is>
      </c>
      <c r="J4891" t="n">
        <v>1</v>
      </c>
      <c r="K4891" t="n">
        <v>1</v>
      </c>
      <c r="L4891" s="34">
        <f>IF($J4891=1,LN(B4892/B4891),"")</f>
        <v/>
      </c>
      <c r="M4891" s="34">
        <f>IF($K4891=1,INDEX(Mensal!$D$2:$D$245,MATCH($I4891,Mensal!$A$2:$A$245,0)),"")</f>
        <v/>
      </c>
      <c r="N4891" s="34">
        <f>IF($K4891=1,L4891-M4891,"")</f>
        <v/>
      </c>
      <c r="O4891" s="34" t="n">
        <v>0.00055131</v>
      </c>
      <c r="P4891" s="34">
        <f>IF($J4891=1,LN(1+O4891),"")</f>
        <v/>
      </c>
      <c r="Q4891" s="34">
        <f>IF($J4891=1,LN(R4892/R4891),"")</f>
        <v/>
      </c>
      <c r="R4891" s="32" t="n">
        <v>5.376</v>
      </c>
      <c r="S4891" s="35" t="n">
        <v>13.73</v>
      </c>
      <c r="T4891" s="18" t="n">
        <v>163150.35</v>
      </c>
      <c r="U4891" s="18" t="n"/>
      <c r="V4891" s="18" t="n"/>
      <c r="W4891" s="18" t="n"/>
      <c r="X4891" s="35" t="n"/>
      <c r="Y4891" s="35" t="n">
        <v>13.73</v>
      </c>
    </row>
    <row r="4892">
      <c r="A4892" s="25" t="n">
        <v>46035</v>
      </c>
      <c r="B4892" s="18" t="n">
        <v>161973.05</v>
      </c>
      <c r="C4892" s="31" t="n"/>
      <c r="D4892" s="32" t="n"/>
      <c r="E4892" s="33" t="n">
        <v>0.5625</v>
      </c>
      <c r="F4892" t="inlineStr">
        <is>
          <t>Up</t>
        </is>
      </c>
      <c r="G4892" t="inlineStr">
        <is>
          <t>Down</t>
        </is>
      </c>
      <c r="H4892" t="inlineStr">
        <is>
          <t>EU_JD</t>
        </is>
      </c>
      <c r="I4892" t="inlineStr">
        <is>
          <t>2026-01</t>
        </is>
      </c>
      <c r="J4892" t="n">
        <v>1</v>
      </c>
      <c r="K4892" t="n">
        <v>1</v>
      </c>
      <c r="L4892" s="34">
        <f>IF($J4892=1,LN(B4893/B4892),"")</f>
        <v/>
      </c>
      <c r="M4892" s="34">
        <f>IF($K4892=1,INDEX(Mensal!$D$2:$D$245,MATCH($I4892,Mensal!$A$2:$A$245,0)),"")</f>
        <v/>
      </c>
      <c r="N4892" s="34">
        <f>IF($K4892=1,L4892-M4892,"")</f>
        <v/>
      </c>
      <c r="O4892" s="34" t="n">
        <v>0.00055131</v>
      </c>
      <c r="P4892" s="34">
        <f>IF($J4892=1,LN(1+O4892),"")</f>
        <v/>
      </c>
      <c r="Q4892" s="34">
        <f>IF($J4892=1,LN(R4893/R4892),"")</f>
        <v/>
      </c>
      <c r="R4892" s="32" t="n">
        <v>5.3764</v>
      </c>
      <c r="S4892" s="35" t="n">
        <v>13.68</v>
      </c>
      <c r="T4892" s="18" t="n">
        <v>161973.05</v>
      </c>
      <c r="U4892" s="18" t="n"/>
      <c r="V4892" s="18" t="n"/>
      <c r="W4892" s="18" t="n"/>
      <c r="X4892" s="35" t="n"/>
      <c r="Y4892" s="35" t="n">
        <v>13.68</v>
      </c>
    </row>
    <row r="4893">
      <c r="A4893" s="25" t="n">
        <v>46036</v>
      </c>
      <c r="B4893" s="18" t="n">
        <v>165145.98</v>
      </c>
      <c r="C4893" s="31" t="n"/>
      <c r="D4893" s="32" t="n"/>
      <c r="E4893" s="33" t="n">
        <v>0.5652</v>
      </c>
      <c r="F4893" t="inlineStr">
        <is>
          <t>Up</t>
        </is>
      </c>
      <c r="G4893" t="inlineStr">
        <is>
          <t>Down</t>
        </is>
      </c>
      <c r="H4893" t="inlineStr">
        <is>
          <t>EU_JD</t>
        </is>
      </c>
      <c r="I4893" t="inlineStr">
        <is>
          <t>2026-01</t>
        </is>
      </c>
      <c r="J4893" t="n">
        <v>1</v>
      </c>
      <c r="K4893" t="n">
        <v>1</v>
      </c>
      <c r="L4893" s="34">
        <f>IF($J4893=1,LN(B4894/B4893),"")</f>
        <v/>
      </c>
      <c r="M4893" s="34">
        <f>IF($K4893=1,INDEX(Mensal!$D$2:$D$245,MATCH($I4893,Mensal!$A$2:$A$245,0)),"")</f>
        <v/>
      </c>
      <c r="N4893" s="34">
        <f>IF($K4893=1,L4893-M4893,"")</f>
        <v/>
      </c>
      <c r="O4893" s="34" t="n">
        <v>0.00055131</v>
      </c>
      <c r="P4893" s="34">
        <f>IF($J4893=1,LN(1+O4893),"")</f>
        <v/>
      </c>
      <c r="Q4893" s="34">
        <f>IF($J4893=1,LN(R4894/R4893),"")</f>
        <v/>
      </c>
      <c r="R4893" s="32" t="n">
        <v>5.3795</v>
      </c>
      <c r="S4893" s="35" t="n">
        <v>13.71</v>
      </c>
      <c r="T4893" s="18" t="n">
        <v>165145.98</v>
      </c>
      <c r="U4893" s="18" t="n"/>
      <c r="V4893" s="18" t="n"/>
      <c r="W4893" s="18" t="n"/>
      <c r="X4893" s="35" t="n"/>
      <c r="Y4893" s="35" t="n">
        <v>13.71</v>
      </c>
    </row>
    <row r="4894">
      <c r="A4894" s="25" t="n">
        <v>46037</v>
      </c>
      <c r="B4894" s="18" t="n">
        <v>165568.32</v>
      </c>
      <c r="C4894" s="31" t="n"/>
      <c r="D4894" s="32" t="n"/>
      <c r="E4894" s="33" t="n">
        <v>0.5651</v>
      </c>
      <c r="F4894" t="inlineStr">
        <is>
          <t>Up</t>
        </is>
      </c>
      <c r="G4894" t="inlineStr">
        <is>
          <t>Down</t>
        </is>
      </c>
      <c r="H4894" t="inlineStr">
        <is>
          <t>EU_JD</t>
        </is>
      </c>
      <c r="I4894" t="inlineStr">
        <is>
          <t>2026-01</t>
        </is>
      </c>
      <c r="J4894" t="n">
        <v>1</v>
      </c>
      <c r="K4894" t="n">
        <v>1</v>
      </c>
      <c r="L4894" s="34">
        <f>IF($J4894=1,LN(B4895/B4894),"")</f>
        <v/>
      </c>
      <c r="M4894" s="34">
        <f>IF($K4894=1,INDEX(Mensal!$D$2:$D$245,MATCH($I4894,Mensal!$A$2:$A$245,0)),"")</f>
        <v/>
      </c>
      <c r="N4894" s="34">
        <f>IF($K4894=1,L4894-M4894,"")</f>
        <v/>
      </c>
      <c r="O4894" s="34" t="n">
        <v>0.00055131</v>
      </c>
      <c r="P4894" s="34">
        <f>IF($J4894=1,LN(1+O4894),"")</f>
        <v/>
      </c>
      <c r="Q4894" s="34">
        <f>IF($J4894=1,LN(R4895/R4894),"")</f>
        <v/>
      </c>
      <c r="R4894" s="32" t="n">
        <v>5.3846</v>
      </c>
      <c r="S4894" s="35" t="n">
        <v>13.73</v>
      </c>
      <c r="T4894" s="18" t="n">
        <v>165568.32</v>
      </c>
      <c r="U4894" s="18" t="n"/>
      <c r="V4894" s="18" t="n"/>
      <c r="W4894" s="18" t="n"/>
      <c r="X4894" s="35" t="n"/>
      <c r="Y4894" s="35" t="n">
        <v>13.73</v>
      </c>
    </row>
    <row r="4895">
      <c r="A4895" s="25" t="n">
        <v>46038</v>
      </c>
      <c r="B4895" s="18" t="n">
        <v>164799.98</v>
      </c>
      <c r="C4895" s="31" t="n"/>
      <c r="D4895" s="32" t="n"/>
      <c r="E4895" s="33" t="n">
        <v>0.5572</v>
      </c>
      <c r="F4895" t="inlineStr">
        <is>
          <t>Up</t>
        </is>
      </c>
      <c r="G4895" t="inlineStr">
        <is>
          <t>Down</t>
        </is>
      </c>
      <c r="H4895" t="inlineStr">
        <is>
          <t>EU_JD</t>
        </is>
      </c>
      <c r="I4895" t="inlineStr">
        <is>
          <t>2026-01</t>
        </is>
      </c>
      <c r="J4895" t="n">
        <v>1</v>
      </c>
      <c r="K4895" t="n">
        <v>1</v>
      </c>
      <c r="L4895" s="34">
        <f>IF($J4895=1,LN(B4896/B4895),"")</f>
        <v/>
      </c>
      <c r="M4895" s="34">
        <f>IF($K4895=1,INDEX(Mensal!$D$2:$D$245,MATCH($I4895,Mensal!$A$2:$A$245,0)),"")</f>
        <v/>
      </c>
      <c r="N4895" s="34">
        <f>IF($K4895=1,L4895-M4895,"")</f>
        <v/>
      </c>
      <c r="O4895" s="34" t="n">
        <v>0.00055131</v>
      </c>
      <c r="P4895" s="34">
        <f>IF($J4895=1,LN(1+O4895),"")</f>
        <v/>
      </c>
      <c r="Q4895" s="34">
        <f>IF($J4895=1,LN(R4896/R4895),"")</f>
        <v/>
      </c>
      <c r="R4895" s="32" t="n">
        <v>5.3798</v>
      </c>
      <c r="S4895" s="35" t="n">
        <v>13.79</v>
      </c>
      <c r="T4895" s="18" t="n">
        <v>164799.98</v>
      </c>
      <c r="U4895" s="18" t="n"/>
      <c r="V4895" s="18" t="n"/>
      <c r="W4895" s="18" t="n"/>
      <c r="X4895" s="35" t="n"/>
      <c r="Y4895" s="35" t="n">
        <v>13.79</v>
      </c>
    </row>
    <row r="4896">
      <c r="A4896" s="25" t="n">
        <v>46041</v>
      </c>
      <c r="B4896" s="18" t="n">
        <v>164849.27</v>
      </c>
      <c r="C4896" s="31" t="n"/>
      <c r="D4896" s="32" t="n"/>
      <c r="E4896" s="33" t="n">
        <v>0.5725</v>
      </c>
      <c r="F4896" t="inlineStr">
        <is>
          <t>Up</t>
        </is>
      </c>
      <c r="G4896" t="inlineStr">
        <is>
          <t>Down</t>
        </is>
      </c>
      <c r="H4896" t="inlineStr">
        <is>
          <t>EU_JD</t>
        </is>
      </c>
      <c r="I4896" t="inlineStr">
        <is>
          <t>2026-01</t>
        </is>
      </c>
      <c r="J4896" t="n">
        <v>1</v>
      </c>
      <c r="K4896" t="n">
        <v>1</v>
      </c>
      <c r="L4896" s="34">
        <f>IF($J4896=1,LN(B4897/B4896),"")</f>
        <v/>
      </c>
      <c r="M4896" s="34">
        <f>IF($K4896=1,INDEX(Mensal!$D$2:$D$245,MATCH($I4896,Mensal!$A$2:$A$245,0)),"")</f>
        <v/>
      </c>
      <c r="N4896" s="34">
        <f>IF($K4896=1,L4896-M4896,"")</f>
        <v/>
      </c>
      <c r="O4896" s="34" t="n">
        <v>0.00055131</v>
      </c>
      <c r="P4896" s="34">
        <f>IF($J4896=1,LN(1+O4896),"")</f>
        <v/>
      </c>
      <c r="Q4896" s="34">
        <f>IF($J4896=1,LN(R4897/R4896),"")</f>
        <v/>
      </c>
      <c r="R4896" s="32" t="n">
        <v>5.3653</v>
      </c>
      <c r="S4896" s="35" t="n">
        <v>13.72</v>
      </c>
      <c r="T4896" s="18" t="n">
        <v>164849.27</v>
      </c>
      <c r="U4896" s="18" t="n"/>
      <c r="V4896" s="18" t="n"/>
      <c r="W4896" s="18" t="n"/>
      <c r="X4896" s="35" t="n"/>
      <c r="Y4896" s="35" t="n">
        <v>13.72</v>
      </c>
    </row>
    <row r="4897">
      <c r="A4897" s="25" t="n">
        <v>46042</v>
      </c>
      <c r="B4897" s="18" t="n">
        <v>166276.9</v>
      </c>
      <c r="C4897" s="31" t="n"/>
      <c r="D4897" s="32" t="n"/>
      <c r="E4897" s="33" t="n">
        <v>0.5848</v>
      </c>
      <c r="F4897" t="inlineStr">
        <is>
          <t>Up</t>
        </is>
      </c>
      <c r="G4897" t="inlineStr">
        <is>
          <t>Down</t>
        </is>
      </c>
      <c r="H4897" t="inlineStr">
        <is>
          <t>EU_JD</t>
        </is>
      </c>
      <c r="I4897" t="inlineStr">
        <is>
          <t>2026-01</t>
        </is>
      </c>
      <c r="J4897" t="n">
        <v>1</v>
      </c>
      <c r="K4897" t="n">
        <v>1</v>
      </c>
      <c r="L4897" s="34">
        <f>IF($J4897=1,LN(B4898/B4897),"")</f>
        <v/>
      </c>
      <c r="M4897" s="34">
        <f>IF($K4897=1,INDEX(Mensal!$D$2:$D$245,MATCH($I4897,Mensal!$A$2:$A$245,0)),"")</f>
        <v/>
      </c>
      <c r="N4897" s="34">
        <f>IF($K4897=1,L4897-M4897,"")</f>
        <v/>
      </c>
      <c r="O4897" s="34" t="n">
        <v>0.00055131</v>
      </c>
      <c r="P4897" s="34">
        <f>IF($J4897=1,LN(1+O4897),"")</f>
        <v/>
      </c>
      <c r="Q4897" s="34">
        <f>IF($J4897=1,LN(R4898/R4897),"")</f>
        <v/>
      </c>
      <c r="R4897" s="32" t="n">
        <v>5.379</v>
      </c>
      <c r="S4897" s="35" t="n">
        <v>13.76</v>
      </c>
      <c r="T4897" s="18" t="n">
        <v>166276.9</v>
      </c>
      <c r="U4897" s="18" t="n"/>
      <c r="V4897" s="18" t="n"/>
      <c r="W4897" s="18" t="n"/>
      <c r="X4897" s="35" t="n"/>
      <c r="Y4897" s="35" t="n">
        <v>13.76</v>
      </c>
    </row>
    <row r="4898">
      <c r="A4898" s="25" t="n">
        <v>46043</v>
      </c>
      <c r="B4898" s="18" t="n">
        <v>171816.67</v>
      </c>
      <c r="C4898" s="31" t="n"/>
      <c r="D4898" s="32" t="n"/>
      <c r="E4898" s="33" t="n">
        <v>0.5961</v>
      </c>
      <c r="F4898" t="inlineStr">
        <is>
          <t>Up</t>
        </is>
      </c>
      <c r="G4898" t="inlineStr">
        <is>
          <t>Down</t>
        </is>
      </c>
      <c r="H4898" t="inlineStr">
        <is>
          <t>EU_JD</t>
        </is>
      </c>
      <c r="I4898" t="inlineStr">
        <is>
          <t>2026-01</t>
        </is>
      </c>
      <c r="J4898" t="n">
        <v>1</v>
      </c>
      <c r="K4898" t="n">
        <v>1</v>
      </c>
      <c r="L4898" s="34">
        <f>IF($J4898=1,LN(B4899/B4898),"")</f>
        <v/>
      </c>
      <c r="M4898" s="34">
        <f>IF($K4898=1,INDEX(Mensal!$D$2:$D$245,MATCH($I4898,Mensal!$A$2:$A$245,0)),"")</f>
        <v/>
      </c>
      <c r="N4898" s="34">
        <f>IF($K4898=1,L4898-M4898,"")</f>
        <v/>
      </c>
      <c r="O4898" s="34" t="n">
        <v>0.00055131</v>
      </c>
      <c r="P4898" s="34">
        <f>IF($J4898=1,LN(1+O4898),"")</f>
        <v/>
      </c>
      <c r="Q4898" s="34">
        <f>IF($J4898=1,LN(R4899/R4898),"")</f>
        <v/>
      </c>
      <c r="R4898" s="32" t="n">
        <v>5.3368</v>
      </c>
      <c r="S4898" s="35" t="n">
        <v>13.7</v>
      </c>
      <c r="T4898" s="18" t="n">
        <v>171816.67</v>
      </c>
      <c r="U4898" s="18" t="n"/>
      <c r="V4898" s="18" t="n"/>
      <c r="W4898" s="18" t="n"/>
      <c r="X4898" s="35" t="n"/>
      <c r="Y4898" s="35" t="n">
        <v>13.7</v>
      </c>
    </row>
    <row r="4899">
      <c r="A4899" s="25" t="n">
        <v>46044</v>
      </c>
      <c r="B4899" s="18" t="n">
        <v>175589.35</v>
      </c>
      <c r="C4899" s="31" t="n"/>
      <c r="D4899" s="32" t="n"/>
      <c r="E4899" s="33" t="n">
        <v>0.6081</v>
      </c>
      <c r="F4899" t="inlineStr">
        <is>
          <t>Up</t>
        </is>
      </c>
      <c r="G4899" t="inlineStr">
        <is>
          <t>Down</t>
        </is>
      </c>
      <c r="H4899" t="inlineStr">
        <is>
          <t>EU_JD</t>
        </is>
      </c>
      <c r="I4899" t="inlineStr">
        <is>
          <t>2026-01</t>
        </is>
      </c>
      <c r="J4899" t="n">
        <v>1</v>
      </c>
      <c r="K4899" t="n">
        <v>1</v>
      </c>
      <c r="L4899" s="34">
        <f>IF($J4899=1,LN(B4900/B4899),"")</f>
        <v/>
      </c>
      <c r="M4899" s="34">
        <f>IF($K4899=1,INDEX(Mensal!$D$2:$D$245,MATCH($I4899,Mensal!$A$2:$A$245,0)),"")</f>
        <v/>
      </c>
      <c r="N4899" s="34">
        <f>IF($K4899=1,L4899-M4899,"")</f>
        <v/>
      </c>
      <c r="O4899" s="34" t="n">
        <v>0.00055131</v>
      </c>
      <c r="P4899" s="34">
        <f>IF($J4899=1,LN(1+O4899),"")</f>
        <v/>
      </c>
      <c r="Q4899" s="34">
        <f>IF($J4899=1,LN(R4900/R4899),"")</f>
        <v/>
      </c>
      <c r="R4899" s="32" t="n">
        <v>5.3118</v>
      </c>
      <c r="S4899" s="35" t="n">
        <v>13.65</v>
      </c>
      <c r="T4899" s="18" t="n">
        <v>175589.35</v>
      </c>
      <c r="U4899" s="18" t="n"/>
      <c r="V4899" s="18" t="n"/>
      <c r="W4899" s="18" t="n"/>
      <c r="X4899" s="35" t="n"/>
      <c r="Y4899" s="35" t="n">
        <v>13.65</v>
      </c>
    </row>
    <row r="4900">
      <c r="A4900" s="25" t="n">
        <v>46045</v>
      </c>
      <c r="B4900" s="18" t="n">
        <v>178858.54</v>
      </c>
      <c r="C4900" s="31" t="n"/>
      <c r="D4900" s="32" t="n"/>
      <c r="E4900" s="33" t="n">
        <v>0.6167</v>
      </c>
      <c r="F4900" t="inlineStr">
        <is>
          <t>Up</t>
        </is>
      </c>
      <c r="G4900" t="inlineStr">
        <is>
          <t>Down</t>
        </is>
      </c>
      <c r="H4900" t="inlineStr">
        <is>
          <t>EU_JD</t>
        </is>
      </c>
      <c r="I4900" t="inlineStr">
        <is>
          <t>2026-01</t>
        </is>
      </c>
      <c r="J4900" t="n">
        <v>1</v>
      </c>
      <c r="K4900" t="n">
        <v>1</v>
      </c>
      <c r="L4900" s="34">
        <f>IF($J4900=1,LN(B4901/B4900),"")</f>
        <v/>
      </c>
      <c r="M4900" s="34">
        <f>IF($K4900=1,INDEX(Mensal!$D$2:$D$245,MATCH($I4900,Mensal!$A$2:$A$245,0)),"")</f>
        <v/>
      </c>
      <c r="N4900" s="34">
        <f>IF($K4900=1,L4900-M4900,"")</f>
        <v/>
      </c>
      <c r="O4900" s="34" t="n">
        <v>0.00055131</v>
      </c>
      <c r="P4900" s="34">
        <f>IF($J4900=1,LN(1+O4900),"")</f>
        <v/>
      </c>
      <c r="Q4900" s="34">
        <f>IF($J4900=1,LN(R4901/R4900),"")</f>
        <v/>
      </c>
      <c r="R4900" s="32" t="n">
        <v>5.2879</v>
      </c>
      <c r="S4900" s="35" t="n">
        <v>13.65</v>
      </c>
      <c r="T4900" s="18" t="n">
        <v>178858.54</v>
      </c>
      <c r="U4900" s="18" t="n"/>
      <c r="V4900" s="18" t="n"/>
      <c r="W4900" s="18" t="n"/>
      <c r="X4900" s="35" t="n"/>
      <c r="Y4900" s="35" t="n">
        <v>13.65</v>
      </c>
    </row>
    <row r="4901">
      <c r="A4901" s="25" t="n">
        <v>46048</v>
      </c>
      <c r="B4901" s="18" t="n">
        <v>178720.68</v>
      </c>
      <c r="C4901" s="31" t="n"/>
      <c r="D4901" s="32" t="n"/>
      <c r="E4901" s="33" t="n">
        <v>0.6237</v>
      </c>
      <c r="F4901" t="inlineStr">
        <is>
          <t>Up</t>
        </is>
      </c>
      <c r="G4901" t="inlineStr">
        <is>
          <t>Down</t>
        </is>
      </c>
      <c r="H4901" t="inlineStr">
        <is>
          <t>EU_JD</t>
        </is>
      </c>
      <c r="I4901" t="inlineStr">
        <is>
          <t>2026-01</t>
        </is>
      </c>
      <c r="J4901" t="n">
        <v>1</v>
      </c>
      <c r="K4901" t="n">
        <v>1</v>
      </c>
      <c r="L4901" s="34">
        <f>IF($J4901=1,LN(B4902/B4901),"")</f>
        <v/>
      </c>
      <c r="M4901" s="34">
        <f>IF($K4901=1,INDEX(Mensal!$D$2:$D$245,MATCH($I4901,Mensal!$A$2:$A$245,0)),"")</f>
        <v/>
      </c>
      <c r="N4901" s="34">
        <f>IF($K4901=1,L4901-M4901,"")</f>
        <v/>
      </c>
      <c r="O4901" s="34" t="n">
        <v>0.00055131</v>
      </c>
      <c r="P4901" s="34">
        <f>IF($J4901=1,LN(1+O4901),"")</f>
        <v/>
      </c>
      <c r="Q4901" s="34">
        <f>IF($J4901=1,LN(R4902/R4901),"")</f>
        <v/>
      </c>
      <c r="R4901" s="32" t="n">
        <v>5.276</v>
      </c>
      <c r="S4901" s="35" t="n">
        <v>13.62</v>
      </c>
      <c r="T4901" s="18" t="n">
        <v>178720.68</v>
      </c>
      <c r="U4901" s="18" t="n"/>
      <c r="V4901" s="18" t="n"/>
      <c r="W4901" s="18" t="n"/>
      <c r="X4901" s="35" t="n"/>
      <c r="Y4901" s="35" t="n">
        <v>13.62</v>
      </c>
    </row>
    <row r="4902">
      <c r="A4902" s="25" t="n">
        <v>46049</v>
      </c>
      <c r="B4902" s="18" t="n">
        <v>181919.13</v>
      </c>
      <c r="C4902" s="31" t="n"/>
      <c r="D4902" s="32" t="n"/>
      <c r="E4902" s="33" t="n">
        <v>0.6482</v>
      </c>
      <c r="F4902" t="inlineStr">
        <is>
          <t>Up</t>
        </is>
      </c>
      <c r="G4902" t="inlineStr">
        <is>
          <t>Down</t>
        </is>
      </c>
      <c r="H4902" t="inlineStr">
        <is>
          <t>EU_JD</t>
        </is>
      </c>
      <c r="I4902" t="inlineStr">
        <is>
          <t>2026-01</t>
        </is>
      </c>
      <c r="J4902" t="n">
        <v>1</v>
      </c>
      <c r="K4902" t="n">
        <v>1</v>
      </c>
      <c r="L4902" s="34">
        <f>IF($J4902=1,LN(B4903/B4902),"")</f>
        <v/>
      </c>
      <c r="M4902" s="34">
        <f>IF($K4902=1,INDEX(Mensal!$D$2:$D$245,MATCH($I4902,Mensal!$A$2:$A$245,0)),"")</f>
        <v/>
      </c>
      <c r="N4902" s="34">
        <f>IF($K4902=1,L4902-M4902,"")</f>
        <v/>
      </c>
      <c r="O4902" s="34" t="n">
        <v>0.00055131</v>
      </c>
      <c r="P4902" s="34">
        <f>IF($J4902=1,LN(1+O4902),"")</f>
        <v/>
      </c>
      <c r="Q4902" s="34">
        <f>IF($J4902=1,LN(R4903/R4902),"")</f>
        <v/>
      </c>
      <c r="R4902" s="32" t="n">
        <v>5.2392</v>
      </c>
      <c r="S4902" s="35" t="n">
        <v>13.51</v>
      </c>
      <c r="T4902" s="18" t="n">
        <v>181919.13</v>
      </c>
      <c r="U4902" s="18" t="n"/>
      <c r="V4902" s="18" t="n"/>
      <c r="W4902" s="18" t="n"/>
      <c r="X4902" s="35" t="n"/>
      <c r="Y4902" s="35" t="n">
        <v>13.51</v>
      </c>
    </row>
    <row r="4903">
      <c r="A4903" s="25" t="n">
        <v>46050</v>
      </c>
      <c r="B4903" s="18" t="n">
        <v>184691.05</v>
      </c>
      <c r="C4903" s="31" t="n"/>
      <c r="D4903" s="32" t="n"/>
      <c r="E4903" s="33" t="n">
        <v>0.6691</v>
      </c>
      <c r="F4903" t="inlineStr">
        <is>
          <t>Up</t>
        </is>
      </c>
      <c r="G4903" t="inlineStr">
        <is>
          <t>Down</t>
        </is>
      </c>
      <c r="H4903" t="inlineStr">
        <is>
          <t>EU_JD</t>
        </is>
      </c>
      <c r="I4903" t="inlineStr">
        <is>
          <t>2026-01</t>
        </is>
      </c>
      <c r="J4903" t="n">
        <v>1</v>
      </c>
      <c r="K4903" t="n">
        <v>1</v>
      </c>
      <c r="L4903" s="34">
        <f>IF($J4903=1,LN(B4904/B4903),"")</f>
        <v/>
      </c>
      <c r="M4903" s="34">
        <f>IF($K4903=1,INDEX(Mensal!$D$2:$D$245,MATCH($I4903,Mensal!$A$2:$A$245,0)),"")</f>
        <v/>
      </c>
      <c r="N4903" s="34">
        <f>IF($K4903=1,L4903-M4903,"")</f>
        <v/>
      </c>
      <c r="O4903" s="34" t="n">
        <v>0.00055131</v>
      </c>
      <c r="P4903" s="34">
        <f>IF($J4903=1,LN(1+O4903),"")</f>
        <v/>
      </c>
      <c r="Q4903" s="34">
        <f>IF($J4903=1,LN(R4904/R4903),"")</f>
        <v/>
      </c>
      <c r="R4903" s="32" t="n">
        <v>5.1838</v>
      </c>
      <c r="S4903" s="35" t="n">
        <v>13.44</v>
      </c>
      <c r="T4903" s="18" t="n">
        <v>184691.05</v>
      </c>
      <c r="U4903" s="18" t="n"/>
      <c r="V4903" s="18" t="n"/>
      <c r="W4903" s="18" t="n"/>
      <c r="X4903" s="35" t="n"/>
      <c r="Y4903" s="35" t="n">
        <v>13.44</v>
      </c>
    </row>
    <row r="4904">
      <c r="A4904" s="25" t="n">
        <v>46051</v>
      </c>
      <c r="B4904" s="18" t="n">
        <v>183133.75</v>
      </c>
      <c r="C4904" s="31" t="n"/>
      <c r="D4904" s="32" t="n"/>
      <c r="E4904" s="33" t="n">
        <v>0.6743</v>
      </c>
      <c r="F4904" t="inlineStr">
        <is>
          <t>Up</t>
        </is>
      </c>
      <c r="G4904" t="inlineStr">
        <is>
          <t>Down</t>
        </is>
      </c>
      <c r="H4904" t="inlineStr">
        <is>
          <t>EU_JD</t>
        </is>
      </c>
      <c r="I4904" t="inlineStr">
        <is>
          <t>2026-01</t>
        </is>
      </c>
      <c r="J4904" t="n">
        <v>1</v>
      </c>
      <c r="K4904" t="n">
        <v>1</v>
      </c>
      <c r="L4904" s="34">
        <f>IF($J4904=1,LN(B4905/B4904),"")</f>
        <v/>
      </c>
      <c r="M4904" s="34">
        <f>IF($K4904=1,INDEX(Mensal!$D$2:$D$245,MATCH($I4904,Mensal!$A$2:$A$245,0)),"")</f>
        <v/>
      </c>
      <c r="N4904" s="34">
        <f>IF($K4904=1,L4904-M4904,"")</f>
        <v/>
      </c>
      <c r="O4904" s="34" t="n">
        <v>0.00055131</v>
      </c>
      <c r="P4904" s="34">
        <f>IF($J4904=1,LN(1+O4904),"")</f>
        <v/>
      </c>
      <c r="Q4904" s="34">
        <f>IF($J4904=1,LN(R4905/R4904),"")</f>
        <v/>
      </c>
      <c r="R4904" s="32" t="n">
        <v>5.1956</v>
      </c>
      <c r="S4904" s="35" t="n">
        <v>13.39</v>
      </c>
      <c r="T4904" s="18" t="n">
        <v>183133.75</v>
      </c>
      <c r="U4904" s="18" t="n"/>
      <c r="V4904" s="18" t="n"/>
      <c r="W4904" s="18" t="n"/>
      <c r="X4904" s="35" t="n"/>
      <c r="Y4904" s="35" t="n">
        <v>13.39</v>
      </c>
    </row>
    <row r="4905">
      <c r="A4905" s="25" t="n">
        <v>46052</v>
      </c>
      <c r="B4905" s="18" t="n">
        <v>181363.9</v>
      </c>
      <c r="C4905" s="31" t="n"/>
      <c r="D4905" s="32" t="n"/>
      <c r="E4905" s="33" t="n">
        <v>0.6840000000000001</v>
      </c>
      <c r="F4905" t="inlineStr">
        <is>
          <t>Up</t>
        </is>
      </c>
      <c r="G4905" t="inlineStr">
        <is>
          <t>Down</t>
        </is>
      </c>
      <c r="H4905" t="inlineStr">
        <is>
          <t>EU_JD</t>
        </is>
      </c>
      <c r="I4905" t="inlineStr">
        <is>
          <t>2026-01</t>
        </is>
      </c>
      <c r="J4905" t="n">
        <v>1</v>
      </c>
      <c r="K4905" t="n">
        <v>1</v>
      </c>
      <c r="L4905" s="34">
        <f>IF($J4905=1,LN(B4906/B4905),"")</f>
        <v/>
      </c>
      <c r="M4905" s="34">
        <f>IF($K4905=1,INDEX(Mensal!$D$2:$D$245,MATCH($I4905,Mensal!$A$2:$A$245,0)),"")</f>
        <v/>
      </c>
      <c r="N4905" s="34">
        <f>IF($K4905=1,L4905-M4905,"")</f>
        <v/>
      </c>
      <c r="O4905" s="34" t="n">
        <v>0.00055131</v>
      </c>
      <c r="P4905" s="34">
        <f>IF($J4905=1,LN(1+O4905),"")</f>
        <v/>
      </c>
      <c r="Q4905" s="34">
        <f>IF($J4905=1,LN(R4906/R4905),"")</f>
        <v/>
      </c>
      <c r="R4905" s="32" t="n">
        <v>5.2301</v>
      </c>
      <c r="S4905" s="35" t="n">
        <v>13.39</v>
      </c>
      <c r="T4905" s="18" t="n">
        <v>181363.9</v>
      </c>
      <c r="U4905" s="18" t="n"/>
      <c r="V4905" s="18" t="n"/>
      <c r="W4905" s="18" t="n"/>
      <c r="X4905" s="35" t="n"/>
      <c r="Y4905" s="35" t="n">
        <v>13.39</v>
      </c>
    </row>
    <row r="4906">
      <c r="A4906" s="25" t="n">
        <v>46055</v>
      </c>
      <c r="B4906" s="18" t="n">
        <v>182793.4</v>
      </c>
      <c r="C4906" s="31" t="n"/>
      <c r="D4906" s="32" t="n"/>
      <c r="E4906" s="33" t="n">
        <v>0.7171</v>
      </c>
      <c r="F4906" t="inlineStr">
        <is>
          <t>Up</t>
        </is>
      </c>
      <c r="G4906" t="inlineStr">
        <is>
          <t>Down</t>
        </is>
      </c>
      <c r="H4906" t="inlineStr">
        <is>
          <t>EU_JD</t>
        </is>
      </c>
      <c r="I4906" t="inlineStr">
        <is>
          <t>2026-02</t>
        </is>
      </c>
      <c r="J4906" t="n">
        <v>1</v>
      </c>
      <c r="K4906" t="n">
        <v>1</v>
      </c>
      <c r="L4906" s="34">
        <f>IF($J4906=1,LN(B4907/B4906),"")</f>
        <v/>
      </c>
      <c r="M4906" s="34">
        <f>IF($K4906=1,INDEX(Mensal!$D$2:$D$245,MATCH($I4906,Mensal!$A$2:$A$245,0)),"")</f>
        <v/>
      </c>
      <c r="N4906" s="34">
        <f>IF($K4906=1,L4906-M4906,"")</f>
        <v/>
      </c>
      <c r="O4906" s="34" t="n">
        <v>0.00055131</v>
      </c>
      <c r="P4906" s="34">
        <f>IF($J4906=1,LN(1+O4906),"")</f>
        <v/>
      </c>
      <c r="Q4906" s="34">
        <f>IF($J4906=1,LN(R4907/R4906),"")</f>
        <v/>
      </c>
      <c r="R4906" s="32" t="n">
        <v>5.2587</v>
      </c>
      <c r="S4906" s="35" t="n">
        <v>13.36</v>
      </c>
      <c r="T4906" s="18" t="n">
        <v>182793.4</v>
      </c>
      <c r="U4906" s="18" t="n"/>
      <c r="V4906" s="18" t="n"/>
      <c r="W4906" s="18" t="n"/>
      <c r="X4906" s="35" t="n"/>
      <c r="Y4906" s="35" t="n">
        <v>13.36</v>
      </c>
    </row>
    <row r="4907">
      <c r="A4907" s="25" t="n">
        <v>46056</v>
      </c>
      <c r="B4907" s="18" t="n">
        <v>185674.43</v>
      </c>
      <c r="C4907" s="31" t="n"/>
      <c r="D4907" s="32" t="n"/>
      <c r="E4907" s="33" t="n">
        <v>0.7591</v>
      </c>
      <c r="F4907" t="inlineStr">
        <is>
          <t>Up</t>
        </is>
      </c>
      <c r="G4907" t="inlineStr">
        <is>
          <t>Down</t>
        </is>
      </c>
      <c r="H4907" t="inlineStr">
        <is>
          <t>EU_JD</t>
        </is>
      </c>
      <c r="I4907" t="inlineStr">
        <is>
          <t>2026-02</t>
        </is>
      </c>
      <c r="J4907" t="n">
        <v>1</v>
      </c>
      <c r="K4907" t="n">
        <v>1</v>
      </c>
      <c r="L4907" s="34">
        <f>IF($J4907=1,LN(B4908/B4907),"")</f>
        <v/>
      </c>
      <c r="M4907" s="34">
        <f>IF($K4907=1,INDEX(Mensal!$D$2:$D$245,MATCH($I4907,Mensal!$A$2:$A$245,0)),"")</f>
        <v/>
      </c>
      <c r="N4907" s="34">
        <f>IF($K4907=1,L4907-M4907,"")</f>
        <v/>
      </c>
      <c r="O4907" s="34" t="n">
        <v>0.00055131</v>
      </c>
      <c r="P4907" s="34">
        <f>IF($J4907=1,LN(1+O4907),"")</f>
        <v/>
      </c>
      <c r="Q4907" s="34">
        <f>IF($J4907=1,LN(R4908/R4907),"")</f>
        <v/>
      </c>
      <c r="R4907" s="32" t="n">
        <v>5.2236</v>
      </c>
      <c r="S4907" s="35" t="n">
        <v>13.32</v>
      </c>
      <c r="T4907" s="18" t="n">
        <v>185674.43</v>
      </c>
      <c r="U4907" s="18" t="n"/>
      <c r="V4907" s="18" t="n"/>
      <c r="W4907" s="18" t="n"/>
      <c r="X4907" s="35" t="n"/>
      <c r="Y4907" s="35" t="n">
        <v>13.32</v>
      </c>
    </row>
    <row r="4908">
      <c r="A4908" s="25" t="n">
        <v>46057</v>
      </c>
      <c r="B4908" s="18" t="n">
        <v>181708.23</v>
      </c>
      <c r="C4908" s="31" t="n"/>
      <c r="D4908" s="32" t="n"/>
      <c r="E4908" s="33" t="n">
        <v>0.7992</v>
      </c>
      <c r="F4908" t="inlineStr">
        <is>
          <t>Up</t>
        </is>
      </c>
      <c r="G4908" t="inlineStr">
        <is>
          <t>Down</t>
        </is>
      </c>
      <c r="H4908" t="inlineStr">
        <is>
          <t>EU_JD</t>
        </is>
      </c>
      <c r="I4908" t="inlineStr">
        <is>
          <t>2026-02</t>
        </is>
      </c>
      <c r="J4908" t="n">
        <v>1</v>
      </c>
      <c r="K4908" t="n">
        <v>1</v>
      </c>
      <c r="L4908" s="34">
        <f>IF($J4908=1,LN(B4909/B4908),"")</f>
        <v/>
      </c>
      <c r="M4908" s="34">
        <f>IF($K4908=1,INDEX(Mensal!$D$2:$D$245,MATCH($I4908,Mensal!$A$2:$A$245,0)),"")</f>
        <v/>
      </c>
      <c r="N4908" s="34">
        <f>IF($K4908=1,L4908-M4908,"")</f>
        <v/>
      </c>
      <c r="O4908" s="34" t="n">
        <v>0.00055131</v>
      </c>
      <c r="P4908" s="34">
        <f>IF($J4908=1,LN(1+O4908),"")</f>
        <v/>
      </c>
      <c r="Q4908" s="34">
        <f>IF($J4908=1,LN(R4909/R4908),"")</f>
        <v/>
      </c>
      <c r="R4908" s="32" t="n">
        <v>5.2359</v>
      </c>
      <c r="S4908" s="35" t="n">
        <v>13.31</v>
      </c>
      <c r="T4908" s="18" t="n">
        <v>181708.23</v>
      </c>
      <c r="U4908" s="18" t="n"/>
      <c r="V4908" s="18" t="n"/>
      <c r="W4908" s="18" t="n"/>
      <c r="X4908" s="35" t="n"/>
      <c r="Y4908" s="35" t="n">
        <v>13.31</v>
      </c>
    </row>
    <row r="4909">
      <c r="A4909" s="25" t="n">
        <v>46058</v>
      </c>
      <c r="B4909" s="18" t="n">
        <v>182127.25</v>
      </c>
      <c r="C4909" s="31" t="n"/>
      <c r="D4909" s="32" t="n"/>
      <c r="E4909" s="33" t="n">
        <v>0.842</v>
      </c>
      <c r="F4909" t="inlineStr">
        <is>
          <t>Up</t>
        </is>
      </c>
      <c r="G4909" t="inlineStr">
        <is>
          <t>Down</t>
        </is>
      </c>
      <c r="H4909" t="inlineStr">
        <is>
          <t>EU_JD</t>
        </is>
      </c>
      <c r="I4909" t="inlineStr">
        <is>
          <t>2026-02</t>
        </is>
      </c>
      <c r="J4909" t="n">
        <v>1</v>
      </c>
      <c r="K4909" t="n">
        <v>1</v>
      </c>
      <c r="L4909" s="34">
        <f>IF($J4909=1,LN(B4910/B4909),"")</f>
        <v/>
      </c>
      <c r="M4909" s="34">
        <f>IF($K4909=1,INDEX(Mensal!$D$2:$D$245,MATCH($I4909,Mensal!$A$2:$A$245,0)),"")</f>
        <v/>
      </c>
      <c r="N4909" s="34">
        <f>IF($K4909=1,L4909-M4909,"")</f>
        <v/>
      </c>
      <c r="O4909" s="34" t="n">
        <v>0.00055131</v>
      </c>
      <c r="P4909" s="34">
        <f>IF($J4909=1,LN(1+O4909),"")</f>
        <v/>
      </c>
      <c r="Q4909" s="34">
        <f>IF($J4909=1,LN(R4910/R4909),"")</f>
        <v/>
      </c>
      <c r="R4909" s="32" t="n">
        <v>5.258</v>
      </c>
      <c r="S4909" s="35" t="n">
        <v>13.28</v>
      </c>
      <c r="T4909" s="18" t="n">
        <v>182127.25</v>
      </c>
      <c r="U4909" s="18" t="n"/>
      <c r="V4909" s="18" t="n"/>
      <c r="W4909" s="18" t="n"/>
      <c r="X4909" s="35" t="n"/>
      <c r="Y4909" s="35" t="n">
        <v>13.28</v>
      </c>
    </row>
    <row r="4910">
      <c r="A4910" s="25" t="n">
        <v>46059</v>
      </c>
      <c r="B4910" s="18" t="n">
        <v>182949.78</v>
      </c>
      <c r="C4910" s="31" t="n"/>
      <c r="D4910" s="32" t="n"/>
      <c r="E4910" s="33" t="n">
        <v>0.8855</v>
      </c>
      <c r="F4910" t="inlineStr">
        <is>
          <t>Up</t>
        </is>
      </c>
      <c r="G4910" t="inlineStr">
        <is>
          <t>Down</t>
        </is>
      </c>
      <c r="H4910" t="inlineStr">
        <is>
          <t>EU_JD</t>
        </is>
      </c>
      <c r="I4910" t="inlineStr">
        <is>
          <t>2026-02</t>
        </is>
      </c>
      <c r="J4910" t="n">
        <v>1</v>
      </c>
      <c r="K4910" t="n">
        <v>1</v>
      </c>
      <c r="L4910" s="34">
        <f>IF($J4910=1,LN(B4911/B4910),"")</f>
        <v/>
      </c>
      <c r="M4910" s="34">
        <f>IF($K4910=1,INDEX(Mensal!$D$2:$D$245,MATCH($I4910,Mensal!$A$2:$A$245,0)),"")</f>
        <v/>
      </c>
      <c r="N4910" s="34">
        <f>IF($K4910=1,L4910-M4910,"")</f>
        <v/>
      </c>
      <c r="O4910" s="34" t="n">
        <v>0.00055131</v>
      </c>
      <c r="P4910" s="34">
        <f>IF($J4910=1,LN(1+O4910),"")</f>
        <v/>
      </c>
      <c r="Q4910" s="34">
        <f>IF($J4910=1,LN(R4911/R4910),"")</f>
        <v/>
      </c>
      <c r="R4910" s="32" t="n">
        <v>5.2341</v>
      </c>
      <c r="S4910" s="35" t="n">
        <v>13.25</v>
      </c>
      <c r="T4910" s="18" t="n">
        <v>182949.78</v>
      </c>
      <c r="U4910" s="18" t="n"/>
      <c r="V4910" s="18" t="n"/>
      <c r="W4910" s="18" t="n"/>
      <c r="X4910" s="35" t="n"/>
      <c r="Y4910" s="35" t="n">
        <v>13.25</v>
      </c>
    </row>
    <row r="4911">
      <c r="A4911" s="25" t="n">
        <v>46062</v>
      </c>
      <c r="B4911" s="18" t="n">
        <v>186241.15</v>
      </c>
      <c r="C4911" s="31" t="n"/>
      <c r="D4911" s="32" t="n"/>
      <c r="E4911" s="33" t="n">
        <v>0.9251</v>
      </c>
      <c r="F4911" t="inlineStr">
        <is>
          <t>Up</t>
        </is>
      </c>
      <c r="G4911" t="inlineStr">
        <is>
          <t>Down</t>
        </is>
      </c>
      <c r="H4911" t="inlineStr">
        <is>
          <t>EU_JD</t>
        </is>
      </c>
      <c r="I4911" t="inlineStr">
        <is>
          <t>2026-02</t>
        </is>
      </c>
      <c r="J4911" t="n">
        <v>1</v>
      </c>
      <c r="K4911" t="n">
        <v>1</v>
      </c>
      <c r="L4911" s="34">
        <f>IF($J4911=1,LN(B4912/B4911),"")</f>
        <v/>
      </c>
      <c r="M4911" s="34">
        <f>IF($K4911=1,INDEX(Mensal!$D$2:$D$245,MATCH($I4911,Mensal!$A$2:$A$245,0)),"")</f>
        <v/>
      </c>
      <c r="N4911" s="34">
        <f>IF($K4911=1,L4911-M4911,"")</f>
        <v/>
      </c>
      <c r="O4911" s="34" t="n">
        <v>0.00055131</v>
      </c>
      <c r="P4911" s="34">
        <f>IF($J4911=1,LN(1+O4911),"")</f>
        <v/>
      </c>
      <c r="Q4911" s="34">
        <f>IF($J4911=1,LN(R4912/R4911),"")</f>
        <v/>
      </c>
      <c r="R4911" s="32" t="n">
        <v>5.1943</v>
      </c>
      <c r="S4911" s="35" t="n">
        <v>13.23</v>
      </c>
      <c r="T4911" s="18" t="n">
        <v>186241.15</v>
      </c>
      <c r="U4911" s="18" t="n"/>
      <c r="V4911" s="18" t="n"/>
      <c r="W4911" s="18" t="n"/>
      <c r="X4911" s="35" t="n"/>
      <c r="Y4911" s="35" t="n">
        <v>13.23</v>
      </c>
    </row>
    <row r="4912">
      <c r="A4912" s="25" t="n">
        <v>46063</v>
      </c>
      <c r="B4912" s="18" t="n">
        <v>185929.33</v>
      </c>
      <c r="C4912" s="31" t="n"/>
      <c r="D4912" s="32" t="n"/>
      <c r="E4912" s="33" t="n">
        <v>0.9588</v>
      </c>
      <c r="F4912" t="inlineStr">
        <is>
          <t>Up</t>
        </is>
      </c>
      <c r="G4912" t="inlineStr">
        <is>
          <t>Down</t>
        </is>
      </c>
      <c r="H4912" t="inlineStr">
        <is>
          <t>EU_JD</t>
        </is>
      </c>
      <c r="I4912" t="inlineStr">
        <is>
          <t>2026-02</t>
        </is>
      </c>
      <c r="J4912" t="n">
        <v>1</v>
      </c>
      <c r="K4912" t="n">
        <v>1</v>
      </c>
      <c r="L4912" s="34">
        <f>IF($J4912=1,LN(B4913/B4912),"")</f>
        <v/>
      </c>
      <c r="M4912" s="34">
        <f>IF($K4912=1,INDEX(Mensal!$D$2:$D$245,MATCH($I4912,Mensal!$A$2:$A$245,0)),"")</f>
        <v/>
      </c>
      <c r="N4912" s="34">
        <f>IF($K4912=1,L4912-M4912,"")</f>
        <v/>
      </c>
      <c r="O4912" s="34" t="n">
        <v>0.00055131</v>
      </c>
      <c r="P4912" s="34">
        <f>IF($J4912=1,LN(1+O4912),"")</f>
        <v/>
      </c>
      <c r="Q4912" s="34">
        <f>IF($J4912=1,LN(R4913/R4912),"")</f>
        <v/>
      </c>
      <c r="R4912" s="32" t="n">
        <v>5.2021</v>
      </c>
      <c r="S4912" s="35" t="n">
        <v>13.26</v>
      </c>
      <c r="T4912" s="18" t="n">
        <v>185929.33</v>
      </c>
      <c r="U4912" s="18" t="n"/>
      <c r="V4912" s="18" t="n"/>
      <c r="W4912" s="18" t="n"/>
      <c r="X4912" s="35" t="n"/>
      <c r="Y4912" s="35" t="n">
        <v>13.26</v>
      </c>
    </row>
    <row r="4913">
      <c r="A4913" s="25" t="n">
        <v>46064</v>
      </c>
      <c r="B4913" s="18" t="n">
        <v>189699.12</v>
      </c>
      <c r="C4913" s="31" t="n"/>
      <c r="D4913" s="32" t="n"/>
      <c r="E4913" s="33" t="n">
        <v>0.973</v>
      </c>
      <c r="F4913" t="inlineStr">
        <is>
          <t>Up</t>
        </is>
      </c>
      <c r="G4913" t="inlineStr">
        <is>
          <t>Down</t>
        </is>
      </c>
      <c r="H4913" t="inlineStr">
        <is>
          <t>EU_JD</t>
        </is>
      </c>
      <c r="I4913" t="inlineStr">
        <is>
          <t>2026-02</t>
        </is>
      </c>
      <c r="J4913" t="n">
        <v>1</v>
      </c>
      <c r="K4913" t="n">
        <v>1</v>
      </c>
      <c r="L4913" s="34">
        <f>IF($J4913=1,LN(B4914/B4913),"")</f>
        <v/>
      </c>
      <c r="M4913" s="34">
        <f>IF($K4913=1,INDEX(Mensal!$D$2:$D$245,MATCH($I4913,Mensal!$A$2:$A$245,0)),"")</f>
        <v/>
      </c>
      <c r="N4913" s="34">
        <f>IF($K4913=1,L4913-M4913,"")</f>
        <v/>
      </c>
      <c r="O4913" s="34" t="n">
        <v>0.00055131</v>
      </c>
      <c r="P4913" s="34">
        <f>IF($J4913=1,LN(1+O4913),"")</f>
        <v/>
      </c>
      <c r="Q4913" s="34">
        <f>IF($J4913=1,LN(R4914/R4913),"")</f>
        <v/>
      </c>
      <c r="R4913" s="32" t="n">
        <v>5.1836</v>
      </c>
      <c r="S4913" s="35" t="n">
        <v>13.21</v>
      </c>
      <c r="T4913" s="18" t="n">
        <v>189699.12</v>
      </c>
      <c r="U4913" s="18" t="n"/>
      <c r="V4913" s="18" t="n"/>
      <c r="W4913" s="18" t="n"/>
      <c r="X4913" s="35" t="n"/>
      <c r="Y4913" s="35" t="n">
        <v>13.21</v>
      </c>
    </row>
    <row r="4914">
      <c r="A4914" s="25" t="n">
        <v>46065</v>
      </c>
      <c r="B4914" s="18" t="n">
        <v>187766.42</v>
      </c>
      <c r="C4914" s="31" t="n"/>
      <c r="D4914" s="32" t="n"/>
      <c r="E4914" s="33" t="n">
        <v>0.9838</v>
      </c>
      <c r="F4914" t="inlineStr">
        <is>
          <t>Up</t>
        </is>
      </c>
      <c r="G4914" t="inlineStr">
        <is>
          <t>Down</t>
        </is>
      </c>
      <c r="H4914" t="inlineStr">
        <is>
          <t>EU_JD</t>
        </is>
      </c>
      <c r="I4914" t="inlineStr">
        <is>
          <t>2026-02</t>
        </is>
      </c>
      <c r="J4914" t="n">
        <v>1</v>
      </c>
      <c r="K4914" t="n">
        <v>1</v>
      </c>
      <c r="L4914" s="34">
        <f>IF($J4914=1,LN(B4915/B4914),"")</f>
        <v/>
      </c>
      <c r="M4914" s="34">
        <f>IF($K4914=1,INDEX(Mensal!$D$2:$D$245,MATCH($I4914,Mensal!$A$2:$A$245,0)),"")</f>
        <v/>
      </c>
      <c r="N4914" s="34">
        <f>IF($K4914=1,L4914-M4914,"")</f>
        <v/>
      </c>
      <c r="O4914" s="34" t="n">
        <v>0.00055131</v>
      </c>
      <c r="P4914" s="34">
        <f>IF($J4914=1,LN(1+O4914),"")</f>
        <v/>
      </c>
      <c r="Q4914" s="34">
        <f>IF($J4914=1,LN(R4915/R4914),"")</f>
        <v/>
      </c>
      <c r="R4914" s="32" t="n">
        <v>5.1674</v>
      </c>
      <c r="S4914" s="35" t="n">
        <v>13.19</v>
      </c>
      <c r="T4914" s="18" t="n">
        <v>187766.42</v>
      </c>
      <c r="U4914" s="18" t="n"/>
      <c r="V4914" s="18" t="n"/>
      <c r="W4914" s="18" t="n"/>
      <c r="X4914" s="35" t="n"/>
      <c r="Y4914" s="35" t="n">
        <v>13.19</v>
      </c>
    </row>
    <row r="4915">
      <c r="A4915" s="25" t="n">
        <v>46066</v>
      </c>
      <c r="B4915" s="18" t="n">
        <v>186464.3</v>
      </c>
      <c r="C4915" s="31" t="n"/>
      <c r="D4915" s="32" t="n"/>
      <c r="E4915" s="33" t="n">
        <v>0.9927</v>
      </c>
      <c r="F4915" t="inlineStr">
        <is>
          <t>Up</t>
        </is>
      </c>
      <c r="G4915" t="inlineStr">
        <is>
          <t>Down</t>
        </is>
      </c>
      <c r="H4915" t="inlineStr">
        <is>
          <t>EU_JD</t>
        </is>
      </c>
      <c r="I4915" t="inlineStr">
        <is>
          <t>2026-02</t>
        </is>
      </c>
      <c r="J4915" t="n">
        <v>1</v>
      </c>
      <c r="K4915" t="n">
        <v>1</v>
      </c>
      <c r="L4915" s="34">
        <f>IF($J4915=1,LN(B4916/B4915),"")</f>
        <v/>
      </c>
      <c r="M4915" s="34">
        <f>IF($K4915=1,INDEX(Mensal!$D$2:$D$245,MATCH($I4915,Mensal!$A$2:$A$245,0)),"")</f>
        <v/>
      </c>
      <c r="N4915" s="34">
        <f>IF($K4915=1,L4915-M4915,"")</f>
        <v/>
      </c>
      <c r="O4915" s="34" t="n">
        <v>0.00055131</v>
      </c>
      <c r="P4915" s="34">
        <f>IF($J4915=1,LN(1+O4915),"")</f>
        <v/>
      </c>
      <c r="Q4915" s="34">
        <f>IF($J4915=1,LN(R4916/R4915),"")</f>
        <v/>
      </c>
      <c r="R4915" s="32" t="n">
        <v>5.2288</v>
      </c>
      <c r="S4915" s="35" t="n">
        <v>13.19</v>
      </c>
      <c r="T4915" s="18" t="n">
        <v>186464.3</v>
      </c>
      <c r="U4915" s="18" t="n"/>
      <c r="V4915" s="18" t="n"/>
      <c r="W4915" s="18" t="n"/>
      <c r="X4915" s="35" t="n"/>
      <c r="Y4915" s="35" t="n">
        <v>13.19</v>
      </c>
    </row>
    <row r="4916">
      <c r="A4916" s="25" t="n">
        <v>46071</v>
      </c>
      <c r="B4916" s="18" t="n">
        <v>186016.31</v>
      </c>
      <c r="C4916" s="31" t="n"/>
      <c r="D4916" s="32" t="n"/>
      <c r="E4916" s="33" t="n">
        <v>1.0072</v>
      </c>
      <c r="F4916" t="inlineStr">
        <is>
          <t>Up</t>
        </is>
      </c>
      <c r="G4916" t="inlineStr">
        <is>
          <t>Down</t>
        </is>
      </c>
      <c r="H4916" t="inlineStr">
        <is>
          <t>EU_JD</t>
        </is>
      </c>
      <c r="I4916" t="inlineStr">
        <is>
          <t>2026-02</t>
        </is>
      </c>
      <c r="J4916" t="n">
        <v>1</v>
      </c>
      <c r="K4916" t="n">
        <v>1</v>
      </c>
      <c r="L4916" s="34">
        <f>IF($J4916=1,LN(B4917/B4916),"")</f>
        <v/>
      </c>
      <c r="M4916" s="34">
        <f>IF($K4916=1,INDEX(Mensal!$D$2:$D$245,MATCH($I4916,Mensal!$A$2:$A$245,0)),"")</f>
        <v/>
      </c>
      <c r="N4916" s="34">
        <f>IF($K4916=1,L4916-M4916,"")</f>
        <v/>
      </c>
      <c r="O4916" s="34" t="n">
        <v>0.00055131</v>
      </c>
      <c r="P4916" s="34">
        <f>IF($J4916=1,LN(1+O4916),"")</f>
        <v/>
      </c>
      <c r="Q4916" s="34">
        <f>IF($J4916=1,LN(R4917/R4916),"")</f>
        <v/>
      </c>
      <c r="R4916" s="32" t="n">
        <v>5.2349</v>
      </c>
      <c r="S4916" s="35" t="n">
        <v>13.16</v>
      </c>
      <c r="T4916" s="18" t="n">
        <v>186016.31</v>
      </c>
      <c r="U4916" s="18" t="n"/>
      <c r="V4916" s="18" t="n"/>
      <c r="W4916" s="18" t="n"/>
      <c r="X4916" s="35" t="n"/>
      <c r="Y4916" s="35" t="n">
        <v>13.16</v>
      </c>
    </row>
    <row r="4917">
      <c r="A4917" s="25" t="n">
        <v>46072</v>
      </c>
      <c r="B4917" s="18" t="n">
        <v>188534.42</v>
      </c>
      <c r="C4917" s="31" t="n"/>
      <c r="D4917" s="32" t="n"/>
      <c r="E4917" s="33" t="n">
        <v>1.02</v>
      </c>
      <c r="F4917" t="inlineStr">
        <is>
          <t>Up</t>
        </is>
      </c>
      <c r="G4917" t="inlineStr">
        <is>
          <t>Down</t>
        </is>
      </c>
      <c r="H4917" t="inlineStr">
        <is>
          <t>EU_JD</t>
        </is>
      </c>
      <c r="I4917" t="inlineStr">
        <is>
          <t>2026-02</t>
        </is>
      </c>
      <c r="J4917" t="n">
        <v>1</v>
      </c>
      <c r="K4917" t="n">
        <v>1</v>
      </c>
      <c r="L4917" s="34">
        <f>IF($J4917=1,LN(B4918/B4917),"")</f>
        <v/>
      </c>
      <c r="M4917" s="34">
        <f>IF($K4917=1,INDEX(Mensal!$D$2:$D$245,MATCH($I4917,Mensal!$A$2:$A$245,0)),"")</f>
        <v/>
      </c>
      <c r="N4917" s="34">
        <f>IF($K4917=1,L4917-M4917,"")</f>
        <v/>
      </c>
      <c r="O4917" s="34" t="n">
        <v>0.00055131</v>
      </c>
      <c r="P4917" s="34">
        <f>IF($J4917=1,LN(1+O4917),"")</f>
        <v/>
      </c>
      <c r="Q4917" s="34">
        <f>IF($J4917=1,LN(R4918/R4917),"")</f>
        <v/>
      </c>
      <c r="R4917" s="32" t="n">
        <v>5.2257</v>
      </c>
      <c r="S4917" s="35" t="n">
        <v>13.16</v>
      </c>
      <c r="T4917" s="18" t="n">
        <v>188534.42</v>
      </c>
      <c r="U4917" s="18" t="n"/>
      <c r="V4917" s="18" t="n"/>
      <c r="W4917" s="18" t="n"/>
      <c r="X4917" s="35" t="n"/>
      <c r="Y4917" s="35" t="n">
        <v>13.16</v>
      </c>
    </row>
    <row r="4918">
      <c r="A4918" s="25" t="n">
        <v>46073</v>
      </c>
      <c r="B4918" s="18" t="n">
        <v>190534.42</v>
      </c>
      <c r="C4918" s="31" t="n"/>
      <c r="D4918" s="32" t="n"/>
      <c r="E4918" s="33" t="n">
        <v>1.0271</v>
      </c>
      <c r="F4918" t="inlineStr">
        <is>
          <t>Up</t>
        </is>
      </c>
      <c r="G4918" t="inlineStr">
        <is>
          <t>Down</t>
        </is>
      </c>
      <c r="H4918" t="inlineStr">
        <is>
          <t>EU_JD</t>
        </is>
      </c>
      <c r="I4918" t="inlineStr">
        <is>
          <t>2026-02</t>
        </is>
      </c>
      <c r="J4918" t="n">
        <v>1</v>
      </c>
      <c r="K4918" t="n">
        <v>1</v>
      </c>
      <c r="L4918" s="34">
        <f>IF($J4918=1,LN(B4919/B4918),"")</f>
        <v/>
      </c>
      <c r="M4918" s="34">
        <f>IF($K4918=1,INDEX(Mensal!$D$2:$D$245,MATCH($I4918,Mensal!$A$2:$A$245,0)),"")</f>
        <v/>
      </c>
      <c r="N4918" s="34">
        <f>IF($K4918=1,L4918-M4918,"")</f>
        <v/>
      </c>
      <c r="O4918" s="34" t="n">
        <v>0.00055131</v>
      </c>
      <c r="P4918" s="34">
        <f>IF($J4918=1,LN(1+O4918),"")</f>
        <v/>
      </c>
      <c r="Q4918" s="34">
        <f>IF($J4918=1,LN(R4919/R4918),"")</f>
        <v/>
      </c>
      <c r="R4918" s="32" t="n">
        <v>5.2006</v>
      </c>
      <c r="S4918" s="35" t="n">
        <v>13.11</v>
      </c>
      <c r="T4918" s="18" t="n">
        <v>190534.42</v>
      </c>
      <c r="U4918" s="18" t="n"/>
      <c r="V4918" s="18" t="n"/>
      <c r="W4918" s="18" t="n"/>
      <c r="X4918" s="35" t="n"/>
      <c r="Y4918" s="35" t="n">
        <v>13.11</v>
      </c>
    </row>
    <row r="4919">
      <c r="A4919" s="25" t="n">
        <v>46076</v>
      </c>
      <c r="B4919" s="18" t="n">
        <v>188853.49</v>
      </c>
      <c r="C4919" s="31" t="n"/>
      <c r="D4919" s="32" t="n"/>
      <c r="E4919" s="33" t="n">
        <v>1.0322</v>
      </c>
      <c r="F4919" t="inlineStr">
        <is>
          <t>Up</t>
        </is>
      </c>
      <c r="G4919" t="inlineStr">
        <is>
          <t>Down</t>
        </is>
      </c>
      <c r="H4919" t="inlineStr">
        <is>
          <t>EU_JD</t>
        </is>
      </c>
      <c r="I4919" t="inlineStr">
        <is>
          <t>2026-02</t>
        </is>
      </c>
      <c r="J4919" t="n">
        <v>1</v>
      </c>
      <c r="K4919" t="n">
        <v>1</v>
      </c>
      <c r="L4919" s="34">
        <f>IF($J4919=1,LN(B4920/B4919),"")</f>
        <v/>
      </c>
      <c r="M4919" s="34">
        <f>IF($K4919=1,INDEX(Mensal!$D$2:$D$245,MATCH($I4919,Mensal!$A$2:$A$245,0)),"")</f>
        <v/>
      </c>
      <c r="N4919" s="34">
        <f>IF($K4919=1,L4919-M4919,"")</f>
        <v/>
      </c>
      <c r="O4919" s="34" t="n">
        <v>0.00055131</v>
      </c>
      <c r="P4919" s="34">
        <f>IF($J4919=1,LN(1+O4919),"")</f>
        <v/>
      </c>
      <c r="Q4919" s="34">
        <f>IF($J4919=1,LN(R4920/R4919),"")</f>
        <v/>
      </c>
      <c r="R4919" s="32" t="n">
        <v>5.1635</v>
      </c>
      <c r="S4919" s="35" t="n">
        <v>13.08</v>
      </c>
      <c r="T4919" s="18" t="n">
        <v>188853.49</v>
      </c>
      <c r="U4919" s="18" t="n"/>
      <c r="V4919" s="18" t="n"/>
      <c r="W4919" s="18" t="n"/>
      <c r="X4919" s="35" t="n"/>
      <c r="Y4919" s="35" t="n">
        <v>13.08</v>
      </c>
    </row>
    <row r="4920">
      <c r="A4920" s="25" t="n">
        <v>46077</v>
      </c>
      <c r="B4920" s="18" t="n">
        <v>191490.4</v>
      </c>
      <c r="C4920" s="31" t="n"/>
      <c r="D4920" s="32" t="n"/>
      <c r="E4920" s="33" t="n">
        <v>1.0359</v>
      </c>
      <c r="F4920" t="inlineStr">
        <is>
          <t>Up</t>
        </is>
      </c>
      <c r="G4920" t="inlineStr">
        <is>
          <t>Down</t>
        </is>
      </c>
      <c r="H4920" t="inlineStr">
        <is>
          <t>EU_JD</t>
        </is>
      </c>
      <c r="I4920" t="inlineStr">
        <is>
          <t>2026-02</t>
        </is>
      </c>
      <c r="J4920" t="n">
        <v>1</v>
      </c>
      <c r="K4920" t="n">
        <v>1</v>
      </c>
      <c r="L4920" s="34">
        <f>IF($J4920=1,LN(B4921/B4920),"")</f>
        <v/>
      </c>
      <c r="M4920" s="34">
        <f>IF($K4920=1,INDEX(Mensal!$D$2:$D$245,MATCH($I4920,Mensal!$A$2:$A$245,0)),"")</f>
        <v/>
      </c>
      <c r="N4920" s="34">
        <f>IF($K4920=1,L4920-M4920,"")</f>
        <v/>
      </c>
      <c r="O4920" s="34" t="n">
        <v>0.00055131</v>
      </c>
      <c r="P4920" s="34">
        <f>IF($J4920=1,LN(1+O4920),"")</f>
        <v/>
      </c>
      <c r="Q4920" s="34">
        <f>IF($J4920=1,LN(R4921/R4920),"")</f>
        <v/>
      </c>
      <c r="R4920" s="32" t="n">
        <v>5.1682</v>
      </c>
      <c r="S4920" s="35" t="n">
        <v>13.06</v>
      </c>
      <c r="T4920" s="18" t="n">
        <v>191490.4</v>
      </c>
      <c r="U4920" s="18" t="n"/>
      <c r="V4920" s="18" t="n"/>
      <c r="W4920" s="18" t="n"/>
      <c r="X4920" s="35" t="n"/>
      <c r="Y4920" s="35" t="n">
        <v>13.06</v>
      </c>
    </row>
    <row r="4921">
      <c r="A4921" s="25" t="n">
        <v>46078</v>
      </c>
      <c r="B4921" s="18" t="n">
        <v>191247.46</v>
      </c>
      <c r="C4921" s="31" t="n"/>
      <c r="D4921" s="32" t="n"/>
      <c r="E4921" s="33" t="n">
        <v>1.0299</v>
      </c>
      <c r="F4921" t="inlineStr">
        <is>
          <t>Up</t>
        </is>
      </c>
      <c r="G4921" t="inlineStr">
        <is>
          <t>Down</t>
        </is>
      </c>
      <c r="H4921" t="inlineStr">
        <is>
          <t>EU_JD</t>
        </is>
      </c>
      <c r="I4921" t="inlineStr">
        <is>
          <t>2026-02</t>
        </is>
      </c>
      <c r="J4921" t="n">
        <v>1</v>
      </c>
      <c r="K4921" t="n">
        <v>1</v>
      </c>
      <c r="L4921" s="34">
        <f>IF($J4921=1,LN(B4922/B4921),"")</f>
        <v/>
      </c>
      <c r="M4921" s="34">
        <f>IF($K4921=1,INDEX(Mensal!$D$2:$D$245,MATCH($I4921,Mensal!$A$2:$A$245,0)),"")</f>
        <v/>
      </c>
      <c r="N4921" s="34">
        <f>IF($K4921=1,L4921-M4921,"")</f>
        <v/>
      </c>
      <c r="O4921" s="34" t="n">
        <v>0.00055131</v>
      </c>
      <c r="P4921" s="34">
        <f>IF($J4921=1,LN(1+O4921),"")</f>
        <v/>
      </c>
      <c r="Q4921" s="34">
        <f>IF($J4921=1,LN(R4922/R4921),"")</f>
        <v/>
      </c>
      <c r="R4921" s="32" t="n">
        <v>5.144</v>
      </c>
      <c r="S4921" s="35" t="n">
        <v>13.07</v>
      </c>
      <c r="T4921" s="18" t="n">
        <v>191247.46</v>
      </c>
      <c r="U4921" s="18" t="n"/>
      <c r="V4921" s="18" t="n"/>
      <c r="W4921" s="18" t="n"/>
      <c r="X4921" s="35" t="n"/>
      <c r="Y4921" s="35" t="n">
        <v>13.07</v>
      </c>
    </row>
    <row r="4922">
      <c r="A4922" s="25" t="n">
        <v>46079</v>
      </c>
      <c r="B4922" s="18" t="n">
        <v>191005.02</v>
      </c>
      <c r="C4922" s="31" t="n"/>
      <c r="D4922" s="32" t="n"/>
      <c r="E4922" s="33" t="n">
        <v>1.0224</v>
      </c>
      <c r="F4922" t="inlineStr">
        <is>
          <t>Up</t>
        </is>
      </c>
      <c r="G4922" t="inlineStr">
        <is>
          <t>Down</t>
        </is>
      </c>
      <c r="H4922" t="inlineStr">
        <is>
          <t>EU_JD</t>
        </is>
      </c>
      <c r="I4922" t="inlineStr">
        <is>
          <t>2026-02</t>
        </is>
      </c>
      <c r="J4922" t="n">
        <v>1</v>
      </c>
      <c r="K4922" t="n">
        <v>1</v>
      </c>
      <c r="L4922" s="34">
        <f>IF($J4922=1,LN(B4923/B4922),"")</f>
        <v/>
      </c>
      <c r="M4922" s="34">
        <f>IF($K4922=1,INDEX(Mensal!$D$2:$D$245,MATCH($I4922,Mensal!$A$2:$A$245,0)),"")</f>
        <v/>
      </c>
      <c r="N4922" s="34">
        <f>IF($K4922=1,L4922-M4922,"")</f>
        <v/>
      </c>
      <c r="O4922" s="34" t="n">
        <v>0.00055131</v>
      </c>
      <c r="P4922" s="34">
        <f>IF($J4922=1,LN(1+O4922),"")</f>
        <v/>
      </c>
      <c r="Q4922" s="34">
        <f>IF($J4922=1,LN(R4923/R4922),"")</f>
        <v/>
      </c>
      <c r="R4922" s="32" t="n">
        <v>5.1382</v>
      </c>
      <c r="S4922" s="35" t="n">
        <v>13.02</v>
      </c>
      <c r="T4922" s="18" t="n">
        <v>191005.02</v>
      </c>
      <c r="U4922" s="18" t="n"/>
      <c r="V4922" s="18" t="n"/>
      <c r="W4922" s="18" t="n"/>
      <c r="X4922" s="35" t="n"/>
      <c r="Y4922" s="35" t="n">
        <v>13.02</v>
      </c>
    </row>
    <row r="4923">
      <c r="A4923" s="25" t="n">
        <v>46080</v>
      </c>
      <c r="B4923" s="18" t="n">
        <v>188786.98</v>
      </c>
      <c r="C4923" s="31" t="n"/>
      <c r="D4923" s="32" t="n"/>
      <c r="E4923" s="33" t="n">
        <v>1.0128</v>
      </c>
      <c r="F4923" t="inlineStr">
        <is>
          <t>Up</t>
        </is>
      </c>
      <c r="G4923" t="inlineStr">
        <is>
          <t>Down</t>
        </is>
      </c>
      <c r="H4923" t="inlineStr">
        <is>
          <t>EU_JD</t>
        </is>
      </c>
      <c r="I4923" t="inlineStr">
        <is>
          <t>2026-02</t>
        </is>
      </c>
      <c r="J4923" t="n">
        <v>1</v>
      </c>
      <c r="K4923" t="n">
        <v>1</v>
      </c>
      <c r="L4923" s="34">
        <f>IF($J4923=1,LN(B4924/B4923),"")</f>
        <v/>
      </c>
      <c r="M4923" s="34">
        <f>IF($K4923=1,INDEX(Mensal!$D$2:$D$245,MATCH($I4923,Mensal!$A$2:$A$245,0)),"")</f>
        <v/>
      </c>
      <c r="N4923" s="34">
        <f>IF($K4923=1,L4923-M4923,"")</f>
        <v/>
      </c>
      <c r="O4923" s="34" t="n">
        <v>0.00055131</v>
      </c>
      <c r="P4923" s="34">
        <f>IF($J4923=1,LN(1+O4923),"")</f>
        <v/>
      </c>
      <c r="Q4923" s="34">
        <f>IF($J4923=1,LN(R4924/R4923),"")</f>
        <v/>
      </c>
      <c r="R4923" s="32" t="n">
        <v>5.1495</v>
      </c>
      <c r="S4923" s="35" t="n">
        <v>13.13</v>
      </c>
      <c r="T4923" s="18" t="n">
        <v>188786.98</v>
      </c>
      <c r="U4923" s="18" t="n"/>
      <c r="V4923" s="18" t="n"/>
      <c r="W4923" s="18" t="n"/>
      <c r="X4923" s="35" t="n"/>
      <c r="Y4923" s="35" t="n">
        <v>13.13</v>
      </c>
    </row>
    <row r="4924">
      <c r="A4924" s="25" t="n">
        <v>46083</v>
      </c>
      <c r="B4924" s="18" t="n">
        <v>189307.02</v>
      </c>
      <c r="C4924" s="31" t="n"/>
      <c r="D4924" s="32" t="n"/>
      <c r="E4924" s="33" t="n">
        <v>1.005</v>
      </c>
      <c r="F4924" t="inlineStr">
        <is>
          <t>Up</t>
        </is>
      </c>
      <c r="G4924" t="inlineStr">
        <is>
          <t>Down</t>
        </is>
      </c>
      <c r="H4924" t="inlineStr">
        <is>
          <t>EU_JD</t>
        </is>
      </c>
      <c r="I4924" t="inlineStr">
        <is>
          <t>2026-03</t>
        </is>
      </c>
      <c r="J4924" t="n">
        <v>1</v>
      </c>
      <c r="K4924" t="n">
        <v>1</v>
      </c>
      <c r="L4924" s="34">
        <f>IF($J4924=1,LN(B4925/B4924),"")</f>
        <v/>
      </c>
      <c r="M4924" s="34">
        <f>IF($K4924=1,INDEX(Mensal!$D$2:$D$245,MATCH($I4924,Mensal!$A$2:$A$245,0)),"")</f>
        <v/>
      </c>
      <c r="N4924" s="34">
        <f>IF($K4924=1,L4924-M4924,"")</f>
        <v/>
      </c>
      <c r="O4924" s="34" t="n">
        <v>0.00055131</v>
      </c>
      <c r="P4924" s="34">
        <f>IF($J4924=1,LN(1+O4924),"")</f>
        <v/>
      </c>
      <c r="Q4924" s="34">
        <f>IF($J4924=1,LN(R4925/R4924),"")</f>
        <v/>
      </c>
      <c r="R4924" s="32" t="n">
        <v>5.2001</v>
      </c>
      <c r="S4924" s="35" t="n">
        <v>13.15</v>
      </c>
      <c r="T4924" s="18" t="n">
        <v>189307.02</v>
      </c>
      <c r="U4924" s="18" t="n"/>
      <c r="V4924" s="18" t="n"/>
      <c r="W4924" s="18" t="n"/>
      <c r="X4924" s="35" t="n"/>
      <c r="Y4924" s="35" t="n">
        <v>13.15</v>
      </c>
    </row>
    <row r="4925">
      <c r="A4925" s="25" t="n">
        <v>46084</v>
      </c>
      <c r="B4925" s="18" t="n">
        <v>183104.87</v>
      </c>
      <c r="C4925" s="31" t="n"/>
      <c r="D4925" s="32" t="n"/>
      <c r="E4925" s="33" t="n">
        <v>0.9973</v>
      </c>
      <c r="F4925" t="inlineStr">
        <is>
          <t>Up</t>
        </is>
      </c>
      <c r="G4925" t="inlineStr">
        <is>
          <t>Down</t>
        </is>
      </c>
      <c r="H4925" t="inlineStr">
        <is>
          <t>EU_JD</t>
        </is>
      </c>
      <c r="I4925" t="inlineStr">
        <is>
          <t>2026-03</t>
        </is>
      </c>
      <c r="J4925" t="n">
        <v>1</v>
      </c>
      <c r="K4925" t="n">
        <v>1</v>
      </c>
      <c r="L4925" s="34">
        <f>IF($J4925=1,LN(B4926/B4925),"")</f>
        <v/>
      </c>
      <c r="M4925" s="34">
        <f>IF($K4925=1,INDEX(Mensal!$D$2:$D$245,MATCH($I4925,Mensal!$A$2:$A$245,0)),"")</f>
        <v/>
      </c>
      <c r="N4925" s="34">
        <f>IF($K4925=1,L4925-M4925,"")</f>
        <v/>
      </c>
      <c r="O4925" s="34" t="n">
        <v>0.00055131</v>
      </c>
      <c r="P4925" s="34">
        <f>IF($J4925=1,LN(1+O4925),"")</f>
        <v/>
      </c>
      <c r="Q4925" s="34">
        <f>IF($J4925=1,LN(R4926/R4925),"")</f>
        <v/>
      </c>
      <c r="R4925" s="32" t="n">
        <v>5.287</v>
      </c>
      <c r="S4925" s="35" t="n">
        <v>13.29</v>
      </c>
      <c r="T4925" s="18" t="n">
        <v>183104.87</v>
      </c>
      <c r="U4925" s="18" t="n"/>
      <c r="V4925" s="18" t="n"/>
      <c r="W4925" s="18" t="n"/>
      <c r="X4925" s="35" t="n"/>
      <c r="Y4925" s="35" t="n">
        <v>13.29</v>
      </c>
    </row>
    <row r="4926">
      <c r="A4926" s="25" t="n">
        <v>46085</v>
      </c>
      <c r="B4926" s="18" t="n">
        <v>185366.44</v>
      </c>
      <c r="C4926" s="31" t="n"/>
      <c r="D4926" s="32" t="n"/>
      <c r="E4926" s="33" t="n">
        <v>0.9905</v>
      </c>
      <c r="F4926" t="inlineStr">
        <is>
          <t>Up</t>
        </is>
      </c>
      <c r="G4926" t="inlineStr">
        <is>
          <t>Down</t>
        </is>
      </c>
      <c r="H4926" t="inlineStr">
        <is>
          <t>EU_JD</t>
        </is>
      </c>
      <c r="I4926" t="inlineStr">
        <is>
          <t>2026-03</t>
        </is>
      </c>
      <c r="J4926" t="n">
        <v>1</v>
      </c>
      <c r="K4926" t="n">
        <v>1</v>
      </c>
      <c r="L4926" s="34">
        <f>IF($J4926=1,LN(B4927/B4926),"")</f>
        <v/>
      </c>
      <c r="M4926" s="34">
        <f>IF($K4926=1,INDEX(Mensal!$D$2:$D$245,MATCH($I4926,Mensal!$A$2:$A$245,0)),"")</f>
        <v/>
      </c>
      <c r="N4926" s="34">
        <f>IF($K4926=1,L4926-M4926,"")</f>
        <v/>
      </c>
      <c r="O4926" s="34" t="n">
        <v>0.00055131</v>
      </c>
      <c r="P4926" s="34">
        <f>IF($J4926=1,LN(1+O4926),"")</f>
        <v/>
      </c>
      <c r="Q4926" s="34">
        <f>IF($J4926=1,LN(R4927/R4926),"")</f>
        <v/>
      </c>
      <c r="R4926" s="32" t="n">
        <v>5.2091</v>
      </c>
      <c r="S4926" s="35" t="n">
        <v>13.23</v>
      </c>
      <c r="T4926" s="18" t="n">
        <v>185366.44</v>
      </c>
      <c r="U4926" s="18" t="n"/>
      <c r="V4926" s="18" t="n"/>
      <c r="W4926" s="18" t="n"/>
      <c r="X4926" s="35" t="n"/>
      <c r="Y4926" s="35" t="n">
        <v>13.23</v>
      </c>
    </row>
    <row r="4927">
      <c r="A4927" s="25" t="n">
        <v>46086</v>
      </c>
      <c r="B4927" s="18" t="n">
        <v>180463.84</v>
      </c>
      <c r="C4927" s="31" t="n"/>
      <c r="D4927" s="32" t="n"/>
      <c r="E4927" s="33" t="n">
        <v>0.9846</v>
      </c>
      <c r="F4927" t="inlineStr">
        <is>
          <t>Up</t>
        </is>
      </c>
      <c r="G4927" t="inlineStr">
        <is>
          <t>Down</t>
        </is>
      </c>
      <c r="H4927" t="inlineStr">
        <is>
          <t>EU_JD</t>
        </is>
      </c>
      <c r="I4927" t="inlineStr">
        <is>
          <t>2026-03</t>
        </is>
      </c>
      <c r="J4927" t="n">
        <v>1</v>
      </c>
      <c r="K4927" t="n">
        <v>1</v>
      </c>
      <c r="L4927" s="34">
        <f>IF($J4927=1,LN(B4928/B4927),"")</f>
        <v/>
      </c>
      <c r="M4927" s="34">
        <f>IF($K4927=1,INDEX(Mensal!$D$2:$D$245,MATCH($I4927,Mensal!$A$2:$A$245,0)),"")</f>
        <v/>
      </c>
      <c r="N4927" s="34">
        <f>IF($K4927=1,L4927-M4927,"")</f>
        <v/>
      </c>
      <c r="O4927" s="34" t="n">
        <v>0.00055131</v>
      </c>
      <c r="P4927" s="34">
        <f>IF($J4927=1,LN(1+O4927),"")</f>
        <v/>
      </c>
      <c r="Q4927" s="34">
        <f>IF($J4927=1,LN(R4928/R4927),"")</f>
        <v/>
      </c>
      <c r="R4927" s="32" t="n">
        <v>5.2447</v>
      </c>
      <c r="S4927" s="35" t="n">
        <v>13.36</v>
      </c>
      <c r="T4927" s="18" t="n">
        <v>180463.84</v>
      </c>
      <c r="U4927" s="18" t="n"/>
      <c r="V4927" s="18" t="n"/>
      <c r="W4927" s="18" t="n"/>
      <c r="X4927" s="35" t="n"/>
      <c r="Y4927" s="35" t="n">
        <v>13.36</v>
      </c>
    </row>
    <row r="4928">
      <c r="A4928" s="25" t="n">
        <v>46087</v>
      </c>
      <c r="B4928" s="18" t="n">
        <v>179364.82</v>
      </c>
      <c r="C4928" s="31" t="n"/>
      <c r="D4928" s="32" t="n"/>
      <c r="E4928" s="33" t="n">
        <v>0.9828</v>
      </c>
      <c r="F4928" t="inlineStr">
        <is>
          <t>Up</t>
        </is>
      </c>
      <c r="G4928" t="inlineStr">
        <is>
          <t>Down</t>
        </is>
      </c>
      <c r="H4928" t="inlineStr">
        <is>
          <t>EU_JD</t>
        </is>
      </c>
      <c r="I4928" t="inlineStr">
        <is>
          <t>2026-03</t>
        </is>
      </c>
      <c r="J4928" t="n">
        <v>1</v>
      </c>
      <c r="K4928" t="n">
        <v>1</v>
      </c>
      <c r="L4928" s="34">
        <f>IF($J4928=1,LN(B4929/B4928),"")</f>
        <v/>
      </c>
      <c r="M4928" s="34">
        <f>IF($K4928=1,INDEX(Mensal!$D$2:$D$245,MATCH($I4928,Mensal!$A$2:$A$245,0)),"")</f>
        <v/>
      </c>
      <c r="N4928" s="34">
        <f>IF($K4928=1,L4928-M4928,"")</f>
        <v/>
      </c>
      <c r="O4928" s="34" t="n">
        <v>0.00055131</v>
      </c>
      <c r="P4928" s="34">
        <f>IF($J4928=1,LN(1+O4928),"")</f>
        <v/>
      </c>
      <c r="Q4928" s="34">
        <f>IF($J4928=1,LN(R4929/R4928),"")</f>
        <v/>
      </c>
      <c r="R4928" s="32" t="n">
        <v>5.2878</v>
      </c>
      <c r="S4928" s="35" t="n">
        <v>13.52</v>
      </c>
      <c r="T4928" s="18" t="n">
        <v>179364.82</v>
      </c>
      <c r="U4928" s="18" t="n"/>
      <c r="V4928" s="18" t="n"/>
      <c r="W4928" s="18" t="n"/>
      <c r="X4928" s="35" t="n"/>
      <c r="Y4928" s="35" t="n">
        <v>13.52</v>
      </c>
    </row>
    <row r="4929">
      <c r="A4929" s="25" t="n">
        <v>46090</v>
      </c>
      <c r="B4929" s="18" t="n">
        <v>180915.36</v>
      </c>
      <c r="C4929" s="31" t="n"/>
      <c r="D4929" s="32" t="n"/>
      <c r="E4929" s="33" t="n">
        <v>0.9844000000000001</v>
      </c>
      <c r="F4929" t="inlineStr">
        <is>
          <t>Up</t>
        </is>
      </c>
      <c r="G4929" t="inlineStr">
        <is>
          <t>Down</t>
        </is>
      </c>
      <c r="H4929" t="inlineStr">
        <is>
          <t>EU_JD</t>
        </is>
      </c>
      <c r="I4929" t="inlineStr">
        <is>
          <t>2026-03</t>
        </is>
      </c>
      <c r="J4929" t="n">
        <v>1</v>
      </c>
      <c r="K4929" t="n">
        <v>1</v>
      </c>
      <c r="L4929" s="34">
        <f>IF($J4929=1,LN(B4930/B4929),"")</f>
        <v/>
      </c>
      <c r="M4929" s="34">
        <f>IF($K4929=1,INDEX(Mensal!$D$2:$D$245,MATCH($I4929,Mensal!$A$2:$A$245,0)),"")</f>
        <v/>
      </c>
      <c r="N4929" s="34">
        <f>IF($K4929=1,L4929-M4929,"")</f>
        <v/>
      </c>
      <c r="O4929" s="34" t="n">
        <v>0.00055131</v>
      </c>
      <c r="P4929" s="34">
        <f>IF($J4929=1,LN(1+O4929),"")</f>
        <v/>
      </c>
      <c r="Q4929" s="34">
        <f>IF($J4929=1,LN(R4930/R4929),"")</f>
        <v/>
      </c>
      <c r="R4929" s="32" t="n">
        <v>5.2139</v>
      </c>
      <c r="S4929" s="35" t="n">
        <v>13.61</v>
      </c>
      <c r="T4929" s="18" t="n">
        <v>180915.36</v>
      </c>
      <c r="U4929" s="18" t="n"/>
      <c r="V4929" s="18" t="n"/>
      <c r="W4929" s="18" t="n"/>
      <c r="X4929" s="35" t="n"/>
      <c r="Y4929" s="35" t="n">
        <v>13.61</v>
      </c>
    </row>
    <row r="4930">
      <c r="A4930" s="25" t="n">
        <v>46091</v>
      </c>
      <c r="B4930" s="18" t="n">
        <v>183447</v>
      </c>
      <c r="C4930" s="31" t="n"/>
      <c r="D4930" s="32" t="n"/>
      <c r="E4930" s="33" t="n">
        <v>0.985</v>
      </c>
      <c r="F4930" t="inlineStr">
        <is>
          <t>Up</t>
        </is>
      </c>
      <c r="G4930" t="inlineStr">
        <is>
          <t>Down</t>
        </is>
      </c>
      <c r="H4930" t="inlineStr">
        <is>
          <t>EU_JD</t>
        </is>
      </c>
      <c r="I4930" t="inlineStr">
        <is>
          <t>2026-03</t>
        </is>
      </c>
      <c r="J4930" t="n">
        <v>1</v>
      </c>
      <c r="K4930" t="n">
        <v>1</v>
      </c>
      <c r="L4930" s="34">
        <f>IF($J4930=1,LN(B4931/B4930),"")</f>
        <v/>
      </c>
      <c r="M4930" s="34">
        <f>IF($K4930=1,INDEX(Mensal!$D$2:$D$245,MATCH($I4930,Mensal!$A$2:$A$245,0)),"")</f>
        <v/>
      </c>
      <c r="N4930" s="34">
        <f>IF($K4930=1,L4930-M4930,"")</f>
        <v/>
      </c>
      <c r="O4930" s="34" t="n">
        <v>0.00055131</v>
      </c>
      <c r="P4930" s="34">
        <f>IF($J4930=1,LN(1+O4930),"")</f>
        <v/>
      </c>
      <c r="Q4930" s="34">
        <f>IF($J4930=1,LN(R4931/R4930),"")</f>
        <v/>
      </c>
      <c r="R4930" s="32" t="n">
        <v>5.1622</v>
      </c>
      <c r="S4930" s="35" t="n">
        <v>13.4</v>
      </c>
      <c r="T4930" s="18" t="n">
        <v>183447</v>
      </c>
      <c r="U4930" s="18" t="n"/>
      <c r="V4930" s="18" t="n"/>
      <c r="W4930" s="18" t="n"/>
      <c r="X4930" s="35" t="n"/>
      <c r="Y4930" s="35" t="n">
        <v>13.4</v>
      </c>
    </row>
    <row r="4931">
      <c r="A4931" s="25" t="n">
        <v>46092</v>
      </c>
      <c r="B4931" s="18" t="n">
        <v>183969.35</v>
      </c>
      <c r="C4931" s="31" t="n"/>
      <c r="D4931" s="32" t="n"/>
      <c r="E4931" s="33" t="n">
        <v>0.987</v>
      </c>
      <c r="F4931" t="inlineStr">
        <is>
          <t>Up</t>
        </is>
      </c>
      <c r="G4931" t="inlineStr">
        <is>
          <t>Down</t>
        </is>
      </c>
      <c r="H4931" t="inlineStr">
        <is>
          <t>EU_JD</t>
        </is>
      </c>
      <c r="I4931" t="inlineStr">
        <is>
          <t>2026-03</t>
        </is>
      </c>
      <c r="J4931" t="n">
        <v>1</v>
      </c>
      <c r="K4931" t="n">
        <v>1</v>
      </c>
      <c r="L4931" s="34">
        <f>IF($J4931=1,LN(B4932/B4931),"")</f>
        <v/>
      </c>
      <c r="M4931" s="34">
        <f>IF($K4931=1,INDEX(Mensal!$D$2:$D$245,MATCH($I4931,Mensal!$A$2:$A$245,0)),"")</f>
        <v/>
      </c>
      <c r="N4931" s="34">
        <f>IF($K4931=1,L4931-M4931,"")</f>
        <v/>
      </c>
      <c r="O4931" s="34" t="n">
        <v>0.00055131</v>
      </c>
      <c r="P4931" s="34">
        <f>IF($J4931=1,LN(1+O4931),"")</f>
        <v/>
      </c>
      <c r="Q4931" s="34">
        <f>IF($J4931=1,LN(R4932/R4931),"")</f>
        <v/>
      </c>
      <c r="R4931" s="32" t="n">
        <v>5.1596</v>
      </c>
      <c r="S4931" s="35" t="n">
        <v>13.51</v>
      </c>
      <c r="T4931" s="18" t="n">
        <v>183969.35</v>
      </c>
      <c r="U4931" s="18" t="n"/>
      <c r="V4931" s="18" t="n"/>
      <c r="W4931" s="18" t="n"/>
      <c r="X4931" s="35" t="n"/>
      <c r="Y4931" s="35" t="n">
        <v>13.51</v>
      </c>
    </row>
    <row r="4932">
      <c r="A4932" s="25" t="n">
        <v>46093</v>
      </c>
      <c r="B4932" s="18" t="n">
        <v>179284.49</v>
      </c>
      <c r="C4932" s="31" t="n"/>
      <c r="D4932" s="32" t="n"/>
      <c r="E4932" s="33" t="n">
        <v>0.9989</v>
      </c>
      <c r="F4932" t="inlineStr">
        <is>
          <t>Up</t>
        </is>
      </c>
      <c r="G4932" t="inlineStr">
        <is>
          <t>Down</t>
        </is>
      </c>
      <c r="H4932" t="inlineStr">
        <is>
          <t>EU_JD</t>
        </is>
      </c>
      <c r="I4932" t="inlineStr">
        <is>
          <t>2026-03</t>
        </is>
      </c>
      <c r="J4932" t="n">
        <v>1</v>
      </c>
      <c r="K4932" t="n">
        <v>1</v>
      </c>
      <c r="L4932" s="34">
        <f>IF($J4932=1,LN(B4933/B4932),"")</f>
        <v/>
      </c>
      <c r="M4932" s="34">
        <f>IF($K4932=1,INDEX(Mensal!$D$2:$D$245,MATCH($I4932,Mensal!$A$2:$A$245,0)),"")</f>
        <v/>
      </c>
      <c r="N4932" s="34">
        <f>IF($K4932=1,L4932-M4932,"")</f>
        <v/>
      </c>
      <c r="O4932" s="34" t="n">
        <v>0.00055131</v>
      </c>
      <c r="P4932" s="34">
        <f>IF($J4932=1,LN(1+O4932),"")</f>
        <v/>
      </c>
      <c r="Q4932" s="34">
        <f>IF($J4932=1,LN(R4933/R4932),"")</f>
        <v/>
      </c>
      <c r="R4932" s="32" t="n">
        <v>5.2051</v>
      </c>
      <c r="S4932" s="35" t="n">
        <v>13.79</v>
      </c>
      <c r="T4932" s="18" t="n">
        <v>179284.49</v>
      </c>
      <c r="U4932" s="18" t="n"/>
      <c r="V4932" s="18" t="n"/>
      <c r="W4932" s="18" t="n"/>
      <c r="X4932" s="35" t="n"/>
      <c r="Y4932" s="35" t="n">
        <v>13.79</v>
      </c>
    </row>
    <row r="4933">
      <c r="A4933" s="25" t="n">
        <v>46094</v>
      </c>
      <c r="B4933" s="18" t="n">
        <v>177653.31</v>
      </c>
      <c r="C4933" s="31" t="n"/>
      <c r="D4933" s="32" t="n"/>
      <c r="E4933" s="33" t="n">
        <v>1.0107</v>
      </c>
      <c r="F4933" t="inlineStr">
        <is>
          <t>Up</t>
        </is>
      </c>
      <c r="G4933" t="inlineStr">
        <is>
          <t>Down</t>
        </is>
      </c>
      <c r="H4933" t="inlineStr">
        <is>
          <t>EU_JD</t>
        </is>
      </c>
      <c r="I4933" t="inlineStr">
        <is>
          <t>2026-03</t>
        </is>
      </c>
      <c r="J4933" t="n">
        <v>1</v>
      </c>
      <c r="K4933" t="n">
        <v>1</v>
      </c>
      <c r="L4933" s="34">
        <f>IF($J4933=1,LN(B4934/B4933),"")</f>
        <v/>
      </c>
      <c r="M4933" s="34">
        <f>IF($K4933=1,INDEX(Mensal!$D$2:$D$245,MATCH($I4933,Mensal!$A$2:$A$245,0)),"")</f>
        <v/>
      </c>
      <c r="N4933" s="34">
        <f>IF($K4933=1,L4933-M4933,"")</f>
        <v/>
      </c>
      <c r="O4933" s="34" t="n">
        <v>0.00055131</v>
      </c>
      <c r="P4933" s="34">
        <f>IF($J4933=1,LN(1+O4933),"")</f>
        <v/>
      </c>
      <c r="Q4933" s="34">
        <f>IF($J4933=1,LN(R4934/R4933),"")</f>
        <v/>
      </c>
      <c r="R4933" s="32" t="n">
        <v>5.2541</v>
      </c>
      <c r="S4933" s="35" t="n">
        <v>14.22</v>
      </c>
      <c r="T4933" s="18" t="n">
        <v>177653.31</v>
      </c>
      <c r="U4933" s="18" t="n"/>
      <c r="V4933" s="18" t="n"/>
      <c r="W4933" s="18" t="n"/>
      <c r="X4933" s="35" t="n"/>
      <c r="Y4933" s="35" t="n">
        <v>14.22</v>
      </c>
    </row>
    <row r="4934">
      <c r="A4934" s="25" t="n">
        <v>46097</v>
      </c>
      <c r="B4934" s="18" t="n">
        <v>179875.44</v>
      </c>
      <c r="C4934" s="31" t="n"/>
      <c r="D4934" s="32" t="n"/>
      <c r="E4934" s="33" t="n">
        <v>1.0173</v>
      </c>
      <c r="F4934" t="inlineStr">
        <is>
          <t>Up</t>
        </is>
      </c>
      <c r="G4934" t="inlineStr">
        <is>
          <t>Down</t>
        </is>
      </c>
      <c r="H4934" t="inlineStr">
        <is>
          <t>EU_JD</t>
        </is>
      </c>
      <c r="I4934" t="inlineStr">
        <is>
          <t>2026-03</t>
        </is>
      </c>
      <c r="J4934" t="n">
        <v>1</v>
      </c>
      <c r="K4934" t="n">
        <v>1</v>
      </c>
      <c r="L4934" s="34">
        <f>IF($J4934=1,LN(B4935/B4934),"")</f>
        <v/>
      </c>
      <c r="M4934" s="34">
        <f>IF($K4934=1,INDEX(Mensal!$D$2:$D$245,MATCH($I4934,Mensal!$A$2:$A$245,0)),"")</f>
        <v/>
      </c>
      <c r="N4934" s="34">
        <f>IF($K4934=1,L4934-M4934,"")</f>
        <v/>
      </c>
      <c r="O4934" s="34" t="n">
        <v>0.00055131</v>
      </c>
      <c r="P4934" s="34">
        <f>IF($J4934=1,LN(1+O4934),"")</f>
        <v/>
      </c>
      <c r="Q4934" s="34">
        <f>IF($J4934=1,LN(R4935/R4934),"")</f>
        <v/>
      </c>
      <c r="R4934" s="32" t="n">
        <v>5.2647</v>
      </c>
      <c r="S4934" s="35" t="n">
        <v>13.97</v>
      </c>
      <c r="T4934" s="18" t="n">
        <v>179875.44</v>
      </c>
      <c r="U4934" s="18" t="n"/>
      <c r="V4934" s="18" t="n"/>
      <c r="W4934" s="18" t="n"/>
      <c r="X4934" s="35" t="n"/>
      <c r="Y4934" s="35" t="n">
        <v>13.97</v>
      </c>
    </row>
    <row r="4935">
      <c r="A4935" s="25" t="n">
        <v>46098</v>
      </c>
      <c r="B4935" s="18" t="n">
        <v>180409.73</v>
      </c>
      <c r="C4935" s="31" t="n"/>
      <c r="D4935" s="32" t="n"/>
      <c r="E4935" s="33" t="n">
        <v>1.0332</v>
      </c>
      <c r="F4935" t="inlineStr">
        <is>
          <t>Up</t>
        </is>
      </c>
      <c r="G4935" t="inlineStr">
        <is>
          <t>Down</t>
        </is>
      </c>
      <c r="H4935" t="inlineStr">
        <is>
          <t>EU_JD</t>
        </is>
      </c>
      <c r="I4935" t="inlineStr">
        <is>
          <t>2026-03</t>
        </is>
      </c>
      <c r="J4935" t="n">
        <v>1</v>
      </c>
      <c r="K4935" t="n">
        <v>1</v>
      </c>
      <c r="L4935" s="34">
        <f>IF($J4935=1,LN(B4936/B4935),"")</f>
        <v/>
      </c>
      <c r="M4935" s="34">
        <f>IF($K4935=1,INDEX(Mensal!$D$2:$D$245,MATCH($I4935,Mensal!$A$2:$A$245,0)),"")</f>
        <v/>
      </c>
      <c r="N4935" s="34">
        <f>IF($K4935=1,L4935-M4935,"")</f>
        <v/>
      </c>
      <c r="O4935" s="34" t="n">
        <v>0.00055131</v>
      </c>
      <c r="P4935" s="34">
        <f>IF($J4935=1,LN(1+O4935),"")</f>
        <v/>
      </c>
      <c r="Q4935" s="34">
        <f>IF($J4935=1,LN(R4936/R4935),"")</f>
        <v/>
      </c>
      <c r="R4935" s="32" t="n">
        <v>5.2022</v>
      </c>
      <c r="S4935" s="35" t="n">
        <v>14.06</v>
      </c>
      <c r="T4935" s="18" t="n">
        <v>180409.73</v>
      </c>
      <c r="U4935" s="18" t="n"/>
      <c r="V4935" s="18" t="n"/>
      <c r="W4935" s="18" t="n"/>
      <c r="X4935" s="35" t="n"/>
      <c r="Y4935" s="35" t="n">
        <v>14.06</v>
      </c>
    </row>
    <row r="4936">
      <c r="A4936" s="25" t="n">
        <v>46099</v>
      </c>
      <c r="B4936" s="18" t="n">
        <v>179639.91</v>
      </c>
      <c r="C4936" s="31" t="n"/>
      <c r="D4936" s="32" t="n"/>
      <c r="E4936" s="33" t="n">
        <v>1.0792</v>
      </c>
      <c r="F4936" t="inlineStr">
        <is>
          <t>Up</t>
        </is>
      </c>
      <c r="G4936" t="inlineStr">
        <is>
          <t>Down</t>
        </is>
      </c>
      <c r="H4936" t="inlineStr">
        <is>
          <t>EU_JD</t>
        </is>
      </c>
      <c r="I4936" t="inlineStr">
        <is>
          <t>2026-03</t>
        </is>
      </c>
      <c r="J4936" t="n">
        <v>1</v>
      </c>
      <c r="K4936" t="n">
        <v>1</v>
      </c>
      <c r="L4936" s="34">
        <f>IF($J4936=1,LN(B4937/B4936),"")</f>
        <v/>
      </c>
      <c r="M4936" s="34">
        <f>IF($K4936=1,INDEX(Mensal!$D$2:$D$245,MATCH($I4936,Mensal!$A$2:$A$245,0)),"")</f>
        <v/>
      </c>
      <c r="N4936" s="34">
        <f>IF($K4936=1,L4936-M4936,"")</f>
        <v/>
      </c>
      <c r="O4936" s="34" t="n">
        <v>0.00055131</v>
      </c>
      <c r="P4936" s="34">
        <f>IF($J4936=1,LN(1+O4936),"")</f>
        <v/>
      </c>
      <c r="Q4936" s="34">
        <f>IF($J4936=1,LN(R4937/R4936),"")</f>
        <v/>
      </c>
      <c r="R4936" s="32" t="n">
        <v>5.2112</v>
      </c>
      <c r="S4936" s="35" t="n">
        <v>14.04</v>
      </c>
      <c r="T4936" s="18" t="n">
        <v>179639.91</v>
      </c>
      <c r="U4936" s="18" t="n"/>
      <c r="V4936" s="18" t="n"/>
      <c r="W4936" s="18" t="n"/>
      <c r="X4936" s="35" t="n"/>
      <c r="Y4936" s="35" t="n">
        <v>14.04</v>
      </c>
    </row>
    <row r="4937">
      <c r="A4937" s="25" t="n">
        <v>46100</v>
      </c>
      <c r="B4937" s="18" t="n">
        <v>180270.62</v>
      </c>
      <c r="C4937" s="31" t="n"/>
      <c r="D4937" s="32" t="n"/>
      <c r="E4937" s="33" t="n">
        <v>1.1583</v>
      </c>
      <c r="F4937" t="inlineStr">
        <is>
          <t>Up</t>
        </is>
      </c>
      <c r="G4937" t="inlineStr">
        <is>
          <t>Down</t>
        </is>
      </c>
      <c r="H4937" t="inlineStr">
        <is>
          <t>EU_JD</t>
        </is>
      </c>
      <c r="I4937" t="inlineStr">
        <is>
          <t>2026-03</t>
        </is>
      </c>
      <c r="J4937" t="n">
        <v>1</v>
      </c>
      <c r="K4937" t="n">
        <v>1</v>
      </c>
      <c r="L4937" s="34">
        <f>IF($J4937=1,LN(B4938/B4937),"")</f>
        <v/>
      </c>
      <c r="M4937" s="34">
        <f>IF($K4937=1,INDEX(Mensal!$D$2:$D$245,MATCH($I4937,Mensal!$A$2:$A$245,0)),"")</f>
        <v/>
      </c>
      <c r="N4937" s="34">
        <f>IF($K4937=1,L4937-M4937,"")</f>
        <v/>
      </c>
      <c r="O4937" s="34" t="n">
        <v>0.00054266</v>
      </c>
      <c r="P4937" s="34">
        <f>IF($J4937=1,LN(1+O4937),"")</f>
        <v/>
      </c>
      <c r="Q4937" s="34">
        <f>IF($J4937=1,LN(R4938/R4937),"")</f>
        <v/>
      </c>
      <c r="R4937" s="32" t="n">
        <v>5.2587</v>
      </c>
      <c r="S4937" s="35" t="n">
        <v>13.93</v>
      </c>
      <c r="T4937" s="18" t="n">
        <v>180270.62</v>
      </c>
      <c r="U4937" s="18" t="n"/>
      <c r="V4937" s="18" t="n"/>
      <c r="W4937" s="18" t="n"/>
      <c r="X4937" s="35" t="n"/>
      <c r="Y4937" s="35" t="n">
        <v>13.93</v>
      </c>
    </row>
    <row r="4938">
      <c r="A4938" s="25" t="n">
        <v>46101</v>
      </c>
      <c r="B4938" s="18" t="n">
        <v>176219.4</v>
      </c>
      <c r="C4938" s="31" t="n"/>
      <c r="D4938" s="32" t="n"/>
      <c r="E4938" s="33" t="n">
        <v>1.2409</v>
      </c>
      <c r="F4938" t="inlineStr">
        <is>
          <t>Up</t>
        </is>
      </c>
      <c r="G4938" t="inlineStr">
        <is>
          <t>Down</t>
        </is>
      </c>
      <c r="H4938" t="inlineStr">
        <is>
          <t>EU_JD</t>
        </is>
      </c>
      <c r="I4938" t="inlineStr">
        <is>
          <t>2026-03</t>
        </is>
      </c>
      <c r="J4938" t="n">
        <v>1</v>
      </c>
      <c r="K4938" t="n">
        <v>1</v>
      </c>
      <c r="L4938" s="34">
        <f>IF($J4938=1,LN(B4939/B4938),"")</f>
        <v/>
      </c>
      <c r="M4938" s="34">
        <f>IF($K4938=1,INDEX(Mensal!$D$2:$D$245,MATCH($I4938,Mensal!$A$2:$A$245,0)),"")</f>
        <v/>
      </c>
      <c r="N4938" s="34">
        <f>IF($K4938=1,L4938-M4938,"")</f>
        <v/>
      </c>
      <c r="O4938" s="34" t="n">
        <v>0.00054266</v>
      </c>
      <c r="P4938" s="34">
        <f>IF($J4938=1,LN(1+O4938),"")</f>
        <v/>
      </c>
      <c r="Q4938" s="34">
        <f>IF($J4938=1,LN(R4939/R4938),"")</f>
        <v/>
      </c>
      <c r="R4938" s="32" t="n">
        <v>5.28</v>
      </c>
      <c r="S4938" s="35" t="n">
        <v>14.36</v>
      </c>
      <c r="T4938" s="18" t="n">
        <v>176219.4</v>
      </c>
      <c r="U4938" s="18" t="n"/>
      <c r="V4938" s="18" t="n"/>
      <c r="W4938" s="18" t="n"/>
      <c r="X4938" s="35" t="n"/>
      <c r="Y4938" s="35" t="n">
        <v>14.36</v>
      </c>
    </row>
    <row r="4939">
      <c r="A4939" s="25" t="n">
        <v>46104</v>
      </c>
      <c r="B4939" s="18" t="n">
        <v>181931.93</v>
      </c>
      <c r="C4939" s="31" t="n"/>
      <c r="D4939" s="32" t="n"/>
      <c r="E4939" s="33" t="n">
        <v>1.3176</v>
      </c>
      <c r="F4939" t="inlineStr">
        <is>
          <t>Up</t>
        </is>
      </c>
      <c r="G4939" t="inlineStr">
        <is>
          <t>Down</t>
        </is>
      </c>
      <c r="H4939" t="inlineStr">
        <is>
          <t>EU_JD</t>
        </is>
      </c>
      <c r="I4939" t="inlineStr">
        <is>
          <t>2026-03</t>
        </is>
      </c>
      <c r="J4939" t="n">
        <v>1</v>
      </c>
      <c r="K4939" t="n">
        <v>1</v>
      </c>
      <c r="L4939" s="34">
        <f>IF($J4939=1,LN(B4940/B4939),"")</f>
        <v/>
      </c>
      <c r="M4939" s="34">
        <f>IF($K4939=1,INDEX(Mensal!$D$2:$D$245,MATCH($I4939,Mensal!$A$2:$A$245,0)),"")</f>
        <v/>
      </c>
      <c r="N4939" s="34">
        <f>IF($K4939=1,L4939-M4939,"")</f>
        <v/>
      </c>
      <c r="O4939" s="34" t="n">
        <v>0.00054266</v>
      </c>
      <c r="P4939" s="34">
        <f>IF($J4939=1,LN(1+O4939),"")</f>
        <v/>
      </c>
      <c r="Q4939" s="34">
        <f>IF($J4939=1,LN(R4940/R4939),"")</f>
        <v/>
      </c>
      <c r="R4939" s="32" t="n">
        <v>5.244</v>
      </c>
      <c r="S4939" s="35" t="n">
        <v>14.08</v>
      </c>
      <c r="T4939" s="18" t="n">
        <v>181931.93</v>
      </c>
      <c r="U4939" s="18" t="n"/>
      <c r="V4939" s="18" t="n"/>
      <c r="W4939" s="18" t="n"/>
      <c r="X4939" s="35" t="n"/>
      <c r="Y4939" s="35" t="n">
        <v>14.08</v>
      </c>
    </row>
    <row r="4940">
      <c r="A4940" s="25" t="n">
        <v>46105</v>
      </c>
      <c r="B4940" s="18" t="n">
        <v>182509.14</v>
      </c>
      <c r="C4940" s="31" t="n"/>
      <c r="D4940" s="32" t="n"/>
      <c r="E4940" s="33" t="n">
        <v>1.387</v>
      </c>
      <c r="F4940" t="inlineStr">
        <is>
          <t>Up</t>
        </is>
      </c>
      <c r="G4940" t="inlineStr">
        <is>
          <t>Down</t>
        </is>
      </c>
      <c r="H4940" t="inlineStr">
        <is>
          <t>EU_JD</t>
        </is>
      </c>
      <c r="I4940" t="inlineStr">
        <is>
          <t>2026-03</t>
        </is>
      </c>
      <c r="J4940" t="n">
        <v>1</v>
      </c>
      <c r="K4940" t="n">
        <v>1</v>
      </c>
      <c r="L4940" s="34">
        <f>IF($J4940=1,LN(B4941/B4940),"")</f>
        <v/>
      </c>
      <c r="M4940" s="34">
        <f>IF($K4940=1,INDEX(Mensal!$D$2:$D$245,MATCH($I4940,Mensal!$A$2:$A$245,0)),"")</f>
        <v/>
      </c>
      <c r="N4940" s="34">
        <f>IF($K4940=1,L4940-M4940,"")</f>
        <v/>
      </c>
      <c r="O4940" s="34" t="n">
        <v>0.00054266</v>
      </c>
      <c r="P4940" s="34">
        <f>IF($J4940=1,LN(1+O4940),"")</f>
        <v/>
      </c>
      <c r="Q4940" s="34">
        <f>IF($J4940=1,LN(R4941/R4940),"")</f>
        <v/>
      </c>
      <c r="R4940" s="32" t="n">
        <v>5.2599</v>
      </c>
      <c r="S4940" s="35" t="n">
        <v>14.12</v>
      </c>
      <c r="T4940" s="18" t="n">
        <v>182509.14</v>
      </c>
      <c r="U4940" s="18" t="n"/>
      <c r="V4940" s="18" t="n"/>
      <c r="W4940" s="18" t="n"/>
      <c r="X4940" s="35" t="n"/>
      <c r="Y4940" s="35" t="n">
        <v>14.12</v>
      </c>
    </row>
    <row r="4941">
      <c r="A4941" s="25" t="n">
        <v>46106</v>
      </c>
      <c r="B4941" s="18" t="n">
        <v>185424.28</v>
      </c>
      <c r="C4941" s="31" t="n"/>
      <c r="D4941" s="32" t="n"/>
      <c r="E4941" s="33" t="n">
        <v>1.4534</v>
      </c>
      <c r="F4941" t="inlineStr">
        <is>
          <t>Up</t>
        </is>
      </c>
      <c r="G4941" t="inlineStr">
        <is>
          <t>Down</t>
        </is>
      </c>
      <c r="H4941" t="inlineStr">
        <is>
          <t>EU_JD</t>
        </is>
      </c>
      <c r="I4941" t="inlineStr">
        <is>
          <t>2026-03</t>
        </is>
      </c>
      <c r="J4941" t="n">
        <v>1</v>
      </c>
      <c r="K4941" t="n">
        <v>1</v>
      </c>
      <c r="L4941" s="34">
        <f>IF($J4941=1,LN(B4942/B4941),"")</f>
        <v/>
      </c>
      <c r="M4941" s="34">
        <f>IF($K4941=1,INDEX(Mensal!$D$2:$D$245,MATCH($I4941,Mensal!$A$2:$A$245,0)),"")</f>
        <v/>
      </c>
      <c r="N4941" s="34">
        <f>IF($K4941=1,L4941-M4941,"")</f>
        <v/>
      </c>
      <c r="O4941" s="34" t="n">
        <v>0.00054266</v>
      </c>
      <c r="P4941" s="34">
        <f>IF($J4941=1,LN(1+O4941),"")</f>
        <v/>
      </c>
      <c r="Q4941" s="34">
        <f>IF($J4941=1,LN(R4942/R4941),"")</f>
        <v/>
      </c>
      <c r="R4941" s="32" t="n">
        <v>5.2275</v>
      </c>
      <c r="S4941" s="35" t="n">
        <v>14.02</v>
      </c>
      <c r="T4941" s="18" t="n">
        <v>185424.28</v>
      </c>
      <c r="U4941" s="18" t="n"/>
      <c r="V4941" s="18" t="n"/>
      <c r="W4941" s="18" t="n"/>
      <c r="X4941" s="35" t="n"/>
      <c r="Y4941" s="35" t="n">
        <v>14.02</v>
      </c>
    </row>
    <row r="4942">
      <c r="A4942" s="25" t="n">
        <v>46107</v>
      </c>
      <c r="B4942" s="18" t="n">
        <v>182732.67</v>
      </c>
      <c r="C4942" s="31" t="n"/>
      <c r="D4942" s="32" t="n"/>
      <c r="E4942" s="33" t="n">
        <v>1.5349</v>
      </c>
      <c r="F4942" t="inlineStr">
        <is>
          <t>Up</t>
        </is>
      </c>
      <c r="G4942" t="inlineStr">
        <is>
          <t>Down</t>
        </is>
      </c>
      <c r="H4942" t="inlineStr">
        <is>
          <t>EU_JD</t>
        </is>
      </c>
      <c r="I4942" t="inlineStr">
        <is>
          <t>2026-03</t>
        </is>
      </c>
      <c r="J4942" t="n">
        <v>1</v>
      </c>
      <c r="K4942" t="n">
        <v>1</v>
      </c>
      <c r="L4942" s="34">
        <f>IF($J4942=1,LN(B4943/B4942),"")</f>
        <v/>
      </c>
      <c r="M4942" s="34">
        <f>IF($K4942=1,INDEX(Mensal!$D$2:$D$245,MATCH($I4942,Mensal!$A$2:$A$245,0)),"")</f>
        <v/>
      </c>
      <c r="N4942" s="34">
        <f>IF($K4942=1,L4942-M4942,"")</f>
        <v/>
      </c>
      <c r="O4942" s="34" t="n">
        <v>0.00054266</v>
      </c>
      <c r="P4942" s="34">
        <f>IF($J4942=1,LN(1+O4942),"")</f>
        <v/>
      </c>
      <c r="Q4942" s="34">
        <f>IF($J4942=1,LN(R4943/R4942),"")</f>
        <v/>
      </c>
      <c r="R4942" s="32" t="n">
        <v>5.2308</v>
      </c>
      <c r="S4942" s="35" t="n">
        <v>14.29</v>
      </c>
      <c r="T4942" s="18" t="n">
        <v>182732.67</v>
      </c>
      <c r="U4942" s="18" t="n"/>
      <c r="V4942" s="18" t="n"/>
      <c r="W4942" s="18" t="n"/>
      <c r="X4942" s="35" t="n"/>
      <c r="Y4942" s="35" t="n">
        <v>14.29</v>
      </c>
    </row>
    <row r="4943">
      <c r="A4943" s="25" t="n">
        <v>46108</v>
      </c>
      <c r="B4943" s="18" t="n">
        <v>181556.76</v>
      </c>
      <c r="C4943" s="31" t="n"/>
      <c r="D4943" s="32" t="n"/>
      <c r="E4943" s="33" t="n">
        <v>1.6272</v>
      </c>
      <c r="F4943" t="inlineStr">
        <is>
          <t>Up</t>
        </is>
      </c>
      <c r="G4943" t="inlineStr">
        <is>
          <t>Down</t>
        </is>
      </c>
      <c r="H4943" t="inlineStr">
        <is>
          <t>EU_JD</t>
        </is>
      </c>
      <c r="I4943" t="inlineStr">
        <is>
          <t>2026-03</t>
        </is>
      </c>
      <c r="J4943" t="n">
        <v>1</v>
      </c>
      <c r="K4943" t="n">
        <v>1</v>
      </c>
      <c r="L4943" s="34">
        <f>IF($J4943=1,LN(B4944/B4943),"")</f>
        <v/>
      </c>
      <c r="M4943" s="34">
        <f>IF($K4943=1,INDEX(Mensal!$D$2:$D$245,MATCH($I4943,Mensal!$A$2:$A$245,0)),"")</f>
        <v/>
      </c>
      <c r="N4943" s="34">
        <f>IF($K4943=1,L4943-M4943,"")</f>
        <v/>
      </c>
      <c r="O4943" s="34" t="n">
        <v>0.00054266</v>
      </c>
      <c r="P4943" s="34">
        <f>IF($J4943=1,LN(1+O4943),"")</f>
        <v/>
      </c>
      <c r="Q4943" s="34">
        <f>IF($J4943=1,LN(R4944/R4943),"")</f>
        <v/>
      </c>
      <c r="R4943" s="32" t="n">
        <v>5.2376</v>
      </c>
      <c r="S4943" s="35" t="n">
        <v>14.35</v>
      </c>
      <c r="T4943" s="18" t="n">
        <v>181556.76</v>
      </c>
      <c r="U4943" s="18" t="n"/>
      <c r="V4943" s="18" t="n"/>
      <c r="W4943" s="18" t="n"/>
      <c r="X4943" s="35" t="n"/>
      <c r="Y4943" s="35" t="n">
        <v>14.35</v>
      </c>
    </row>
    <row r="4944">
      <c r="A4944" s="25" t="n">
        <v>46111</v>
      </c>
      <c r="B4944" s="18" t="n">
        <v>182514.2</v>
      </c>
      <c r="C4944" s="31" t="n"/>
      <c r="D4944" s="32" t="n"/>
      <c r="E4944" s="33" t="n">
        <v>1.7335</v>
      </c>
      <c r="F4944" t="inlineStr">
        <is>
          <t>Up</t>
        </is>
      </c>
      <c r="G4944" t="inlineStr">
        <is>
          <t>Down</t>
        </is>
      </c>
      <c r="H4944" t="inlineStr">
        <is>
          <t>EU_JD</t>
        </is>
      </c>
      <c r="I4944" t="inlineStr">
        <is>
          <t>2026-03</t>
        </is>
      </c>
      <c r="J4944" t="n">
        <v>1</v>
      </c>
      <c r="K4944" t="n">
        <v>1</v>
      </c>
      <c r="L4944" s="34">
        <f>IF($J4944=1,LN(B4945/B4944),"")</f>
        <v/>
      </c>
      <c r="M4944" s="34">
        <f>IF($K4944=1,INDEX(Mensal!$D$2:$D$245,MATCH($I4944,Mensal!$A$2:$A$245,0)),"")</f>
        <v/>
      </c>
      <c r="N4944" s="34">
        <f>IF($K4944=1,L4944-M4944,"")</f>
        <v/>
      </c>
      <c r="O4944" s="34" t="n">
        <v>0.00054266</v>
      </c>
      <c r="P4944" s="34">
        <f>IF($J4944=1,LN(1+O4944),"")</f>
        <v/>
      </c>
      <c r="Q4944" s="34">
        <f>IF($J4944=1,LN(R4945/R4944),"")</f>
        <v/>
      </c>
      <c r="R4944" s="32" t="n">
        <v>5.2353</v>
      </c>
      <c r="S4944" s="35" t="n">
        <v>14.27</v>
      </c>
      <c r="T4944" s="18" t="n">
        <v>182514.2</v>
      </c>
      <c r="U4944" s="18" t="n"/>
      <c r="V4944" s="18" t="n"/>
      <c r="W4944" s="18" t="n"/>
      <c r="X4944" s="35" t="n"/>
      <c r="Y4944" s="35" t="n">
        <v>14.27</v>
      </c>
    </row>
    <row r="4945">
      <c r="A4945" s="25" t="n">
        <v>46112</v>
      </c>
      <c r="B4945" s="18" t="n">
        <v>187461.84</v>
      </c>
      <c r="C4945" s="31" t="n"/>
      <c r="D4945" s="32" t="n"/>
      <c r="E4945" s="33" t="n">
        <v>1.8352</v>
      </c>
      <c r="F4945" t="inlineStr">
        <is>
          <t>Up</t>
        </is>
      </c>
      <c r="G4945" t="inlineStr">
        <is>
          <t>Down</t>
        </is>
      </c>
      <c r="H4945" t="inlineStr">
        <is>
          <t>EU_JD</t>
        </is>
      </c>
      <c r="I4945" t="inlineStr">
        <is>
          <t>2026-03</t>
        </is>
      </c>
      <c r="J4945" t="n">
        <v>1</v>
      </c>
      <c r="K4945" t="n">
        <v>1</v>
      </c>
      <c r="L4945" s="34">
        <f>IF($J4945=1,LN(B4946/B4945),"")</f>
        <v/>
      </c>
      <c r="M4945" s="34">
        <f>IF($K4945=1,INDEX(Mensal!$D$2:$D$245,MATCH($I4945,Mensal!$A$2:$A$245,0)),"")</f>
        <v/>
      </c>
      <c r="N4945" s="34">
        <f>IF($K4945=1,L4945-M4945,"")</f>
        <v/>
      </c>
      <c r="O4945" s="34" t="n">
        <v>0.00054266</v>
      </c>
      <c r="P4945" s="34">
        <f>IF($J4945=1,LN(1+O4945),"")</f>
        <v/>
      </c>
      <c r="Q4945" s="34">
        <f>IF($J4945=1,LN(R4946/R4945),"")</f>
        <v/>
      </c>
      <c r="R4945" s="32" t="n">
        <v>5.2194</v>
      </c>
      <c r="S4945" s="35" t="n">
        <v>13.99</v>
      </c>
      <c r="T4945" s="18" t="n">
        <v>187461.84</v>
      </c>
      <c r="U4945" s="18" t="n"/>
      <c r="V4945" s="18" t="n"/>
      <c r="W4945" s="18" t="n"/>
      <c r="X4945" s="35" t="n"/>
      <c r="Y4945" s="35" t="n">
        <v>13.99</v>
      </c>
    </row>
    <row r="4946">
      <c r="A4946" s="25" t="n">
        <v>46113</v>
      </c>
      <c r="B4946" s="18" t="n">
        <v>187952.91</v>
      </c>
      <c r="C4946" s="31" t="n"/>
      <c r="D4946" s="32" t="n"/>
      <c r="E4946" s="33" t="n">
        <v>1.9346</v>
      </c>
      <c r="F4946" t="inlineStr">
        <is>
          <t>Up</t>
        </is>
      </c>
      <c r="G4946" t="inlineStr">
        <is>
          <t>Down</t>
        </is>
      </c>
      <c r="H4946" t="inlineStr">
        <is>
          <t>EU_JD</t>
        </is>
      </c>
      <c r="I4946" t="inlineStr">
        <is>
          <t>2026-04</t>
        </is>
      </c>
      <c r="J4946" t="n">
        <v>1</v>
      </c>
      <c r="K4946" t="n">
        <v>1</v>
      </c>
      <c r="L4946" s="34">
        <f>IF($J4946=1,LN(B4947/B4946),"")</f>
        <v/>
      </c>
      <c r="M4946" s="34">
        <f>IF($K4946=1,INDEX(Mensal!$D$2:$D$245,MATCH($I4946,Mensal!$A$2:$A$245,0)),"")</f>
        <v/>
      </c>
      <c r="N4946" s="34">
        <f>IF($K4946=1,L4946-M4946,"")</f>
        <v/>
      </c>
      <c r="O4946" s="34" t="n">
        <v>0.00054266</v>
      </c>
      <c r="P4946" s="34">
        <f>IF($J4946=1,LN(1+O4946),"")</f>
        <v/>
      </c>
      <c r="Q4946" s="34">
        <f>IF($J4946=1,LN(R4947/R4946),"")</f>
        <v/>
      </c>
      <c r="R4946" s="32" t="n">
        <v>5.1606</v>
      </c>
      <c r="S4946" s="35" t="n">
        <v>13.94</v>
      </c>
      <c r="T4946" s="18" t="n">
        <v>187952.91</v>
      </c>
      <c r="U4946" s="18" t="n"/>
      <c r="V4946" s="18" t="n"/>
      <c r="W4946" s="18" t="n"/>
      <c r="X4946" s="35" t="n"/>
      <c r="Y4946" s="35" t="n">
        <v>13.94</v>
      </c>
    </row>
    <row r="4947">
      <c r="A4947" s="25" t="n">
        <v>46114</v>
      </c>
      <c r="B4947" s="18" t="n">
        <v>188052.02</v>
      </c>
      <c r="C4947" s="31" t="n"/>
      <c r="D4947" s="32" t="n"/>
      <c r="E4947" s="33" t="n">
        <v>2.0117</v>
      </c>
      <c r="F4947" t="inlineStr">
        <is>
          <t>Up</t>
        </is>
      </c>
      <c r="G4947" t="inlineStr">
        <is>
          <t>Down</t>
        </is>
      </c>
      <c r="H4947" t="inlineStr">
        <is>
          <t>EU_JD</t>
        </is>
      </c>
      <c r="I4947" t="inlineStr">
        <is>
          <t>2026-04</t>
        </is>
      </c>
      <c r="J4947" t="n">
        <v>1</v>
      </c>
      <c r="K4947" t="n">
        <v>1</v>
      </c>
      <c r="L4947" s="34">
        <f>IF($J4947=1,LN(B4948/B4947),"")</f>
        <v/>
      </c>
      <c r="M4947" s="34">
        <f>IF($K4947=1,INDEX(Mensal!$D$2:$D$245,MATCH($I4947,Mensal!$A$2:$A$245,0)),"")</f>
        <v/>
      </c>
      <c r="N4947" s="34">
        <f>IF($K4947=1,L4947-M4947,"")</f>
        <v/>
      </c>
      <c r="O4947" s="34" t="n">
        <v>0.00054266</v>
      </c>
      <c r="P4947" s="34">
        <f>IF($J4947=1,LN(1+O4947),"")</f>
        <v/>
      </c>
      <c r="Q4947" s="34">
        <f>IF($J4947=1,LN(R4948/R4947),"")</f>
        <v/>
      </c>
      <c r="R4947" s="32" t="n">
        <v>5.1655</v>
      </c>
      <c r="S4947" s="35" t="n">
        <v>13.96</v>
      </c>
      <c r="T4947" s="18" t="n">
        <v>188052.02</v>
      </c>
      <c r="U4947" s="18" t="n"/>
      <c r="V4947" s="18" t="n"/>
      <c r="W4947" s="18" t="n"/>
      <c r="X4947" s="35" t="n"/>
      <c r="Y4947" s="35" t="n">
        <v>13.96</v>
      </c>
    </row>
    <row r="4948">
      <c r="A4948" s="25" t="n">
        <v>46118</v>
      </c>
      <c r="B4948" s="18" t="n">
        <v>188161.97</v>
      </c>
      <c r="C4948" s="31" t="n"/>
      <c r="D4948" s="32" t="n"/>
      <c r="E4948" s="33" t="n">
        <v>2.1153</v>
      </c>
      <c r="F4948" t="inlineStr">
        <is>
          <t>Up</t>
        </is>
      </c>
      <c r="G4948" t="inlineStr">
        <is>
          <t>Down</t>
        </is>
      </c>
      <c r="H4948" t="inlineStr">
        <is>
          <t>EU_JD</t>
        </is>
      </c>
      <c r="I4948" t="inlineStr">
        <is>
          <t>2026-04</t>
        </is>
      </c>
      <c r="J4948" t="n">
        <v>1</v>
      </c>
      <c r="K4948" t="n">
        <v>1</v>
      </c>
      <c r="L4948" s="34">
        <f>IF($J4948=1,LN(B4949/B4948),"")</f>
        <v/>
      </c>
      <c r="M4948" s="34">
        <f>IF($K4948=1,INDEX(Mensal!$D$2:$D$245,MATCH($I4948,Mensal!$A$2:$A$245,0)),"")</f>
        <v/>
      </c>
      <c r="N4948" s="34">
        <f>IF($K4948=1,L4948-M4948,"")</f>
        <v/>
      </c>
      <c r="O4948" s="34" t="n">
        <v>0.00054266</v>
      </c>
      <c r="P4948" s="34">
        <f>IF($J4948=1,LN(1+O4948),"")</f>
        <v/>
      </c>
      <c r="Q4948" s="34">
        <f>IF($J4948=1,LN(R4949/R4948),"")</f>
        <v/>
      </c>
      <c r="R4948" s="32" t="n">
        <v>5.1532</v>
      </c>
      <c r="S4948" s="35" t="n">
        <v>14.08</v>
      </c>
      <c r="T4948" s="18" t="n">
        <v>188161.97</v>
      </c>
      <c r="U4948" s="18" t="n"/>
      <c r="V4948" s="18" t="n"/>
      <c r="W4948" s="18" t="n"/>
      <c r="X4948" s="35" t="n"/>
      <c r="Y4948" s="35" t="n">
        <v>14.08</v>
      </c>
    </row>
    <row r="4949">
      <c r="A4949" s="25" t="n">
        <v>46119</v>
      </c>
      <c r="B4949" s="18" t="n">
        <v>188258.91</v>
      </c>
      <c r="C4949" s="31" t="n"/>
      <c r="D4949" s="32" t="n"/>
      <c r="E4949" s="33" t="n">
        <v>2.1969</v>
      </c>
      <c r="F4949" t="inlineStr">
        <is>
          <t>Up</t>
        </is>
      </c>
      <c r="G4949" t="inlineStr">
        <is>
          <t>Down</t>
        </is>
      </c>
      <c r="H4949" t="inlineStr">
        <is>
          <t>EU_JD</t>
        </is>
      </c>
      <c r="I4949" t="inlineStr">
        <is>
          <t>2026-04</t>
        </is>
      </c>
      <c r="J4949" t="n">
        <v>1</v>
      </c>
      <c r="K4949" t="n">
        <v>1</v>
      </c>
      <c r="L4949" s="34">
        <f>IF($J4949=1,LN(B4950/B4949),"")</f>
        <v/>
      </c>
      <c r="M4949" s="34">
        <f>IF($K4949=1,INDEX(Mensal!$D$2:$D$245,MATCH($I4949,Mensal!$A$2:$A$245,0)),"")</f>
        <v/>
      </c>
      <c r="N4949" s="34">
        <f>IF($K4949=1,L4949-M4949,"")</f>
        <v/>
      </c>
      <c r="O4949" s="34" t="n">
        <v>0.00054266</v>
      </c>
      <c r="P4949" s="34">
        <f>IF($J4949=1,LN(1+O4949),"")</f>
        <v/>
      </c>
      <c r="Q4949" s="34">
        <f>IF($J4949=1,LN(R4950/R4949),"")</f>
        <v/>
      </c>
      <c r="R4949" s="32" t="n">
        <v>5.1625</v>
      </c>
      <c r="S4949" s="35" t="n">
        <v>14.17</v>
      </c>
      <c r="T4949" s="18" t="n">
        <v>188258.91</v>
      </c>
      <c r="U4949" s="18" t="n"/>
      <c r="V4949" s="18" t="n"/>
      <c r="W4949" s="18" t="n"/>
      <c r="X4949" s="35" t="n"/>
      <c r="Y4949" s="35" t="n">
        <v>14.17</v>
      </c>
    </row>
    <row r="4950">
      <c r="A4950" s="25" t="n">
        <v>46120</v>
      </c>
      <c r="B4950" s="18" t="n">
        <v>192201.16</v>
      </c>
      <c r="C4950" s="31" t="n"/>
      <c r="D4950" s="32" t="n"/>
      <c r="E4950" s="33" t="n">
        <v>2.2752</v>
      </c>
      <c r="F4950" t="inlineStr">
        <is>
          <t>Up</t>
        </is>
      </c>
      <c r="G4950" t="inlineStr">
        <is>
          <t>Down</t>
        </is>
      </c>
      <c r="H4950" t="inlineStr">
        <is>
          <t>EU_JD</t>
        </is>
      </c>
      <c r="I4950" t="inlineStr">
        <is>
          <t>2026-04</t>
        </is>
      </c>
      <c r="J4950" t="n">
        <v>1</v>
      </c>
      <c r="K4950" t="n">
        <v>1</v>
      </c>
      <c r="L4950" s="34">
        <f>IF($J4950=1,LN(B4951/B4950),"")</f>
        <v/>
      </c>
      <c r="M4950" s="34">
        <f>IF($K4950=1,INDEX(Mensal!$D$2:$D$245,MATCH($I4950,Mensal!$A$2:$A$245,0)),"")</f>
        <v/>
      </c>
      <c r="N4950" s="34">
        <f>IF($K4950=1,L4950-M4950,"")</f>
        <v/>
      </c>
      <c r="O4950" s="34" t="n">
        <v>0.00054266</v>
      </c>
      <c r="P4950" s="34">
        <f>IF($J4950=1,LN(1+O4950),"")</f>
        <v/>
      </c>
      <c r="Q4950" s="34">
        <f>IF($J4950=1,LN(R4951/R4950),"")</f>
        <v/>
      </c>
      <c r="R4950" s="32" t="n">
        <v>5.0899</v>
      </c>
      <c r="S4950" s="35" t="n">
        <v>13.8</v>
      </c>
      <c r="T4950" s="18" t="n">
        <v>192201.16</v>
      </c>
      <c r="U4950" s="18" t="n"/>
      <c r="V4950" s="18" t="n"/>
      <c r="W4950" s="18" t="n"/>
      <c r="X4950" s="35" t="n"/>
      <c r="Y4950" s="35" t="n">
        <v>13.8</v>
      </c>
    </row>
    <row r="4951">
      <c r="A4951" s="25" t="n">
        <v>46121</v>
      </c>
      <c r="B4951" s="18" t="n">
        <v>195129.25</v>
      </c>
      <c r="C4951" s="31" t="n"/>
      <c r="D4951" s="32" t="n"/>
      <c r="E4951" s="33" t="n">
        <v>2.3495</v>
      </c>
      <c r="F4951" t="inlineStr">
        <is>
          <t>Up</t>
        </is>
      </c>
      <c r="G4951" t="inlineStr">
        <is>
          <t>Down</t>
        </is>
      </c>
      <c r="H4951" t="inlineStr">
        <is>
          <t>EU_JD</t>
        </is>
      </c>
      <c r="I4951" t="inlineStr">
        <is>
          <t>2026-04</t>
        </is>
      </c>
      <c r="J4951" t="n">
        <v>1</v>
      </c>
      <c r="K4951" t="n">
        <v>1</v>
      </c>
      <c r="L4951" s="34">
        <f>IF($J4951=1,LN(B4952/B4951),"")</f>
        <v/>
      </c>
      <c r="M4951" s="34">
        <f>IF($K4951=1,INDEX(Mensal!$D$2:$D$245,MATCH($I4951,Mensal!$A$2:$A$245,0)),"")</f>
        <v/>
      </c>
      <c r="N4951" s="34">
        <f>IF($K4951=1,L4951-M4951,"")</f>
        <v/>
      </c>
      <c r="O4951" s="34" t="n">
        <v>0.00054266</v>
      </c>
      <c r="P4951" s="34">
        <f>IF($J4951=1,LN(1+O4951),"")</f>
        <v/>
      </c>
      <c r="Q4951" s="34">
        <f>IF($J4951=1,LN(R4952/R4951),"")</f>
        <v/>
      </c>
      <c r="R4951" s="32" t="n">
        <v>5.0821</v>
      </c>
      <c r="S4951" s="35" t="n">
        <v>13.76</v>
      </c>
      <c r="T4951" s="18" t="n">
        <v>195129.25</v>
      </c>
      <c r="U4951" s="18" t="n"/>
      <c r="V4951" s="18" t="n"/>
      <c r="W4951" s="18" t="n"/>
      <c r="X4951" s="35" t="n"/>
      <c r="Y4951" s="35" t="n">
        <v>13.76</v>
      </c>
    </row>
    <row r="4952">
      <c r="A4952" s="25" t="n">
        <v>46122</v>
      </c>
      <c r="B4952" s="18" t="n">
        <v>197323.87</v>
      </c>
      <c r="C4952" s="31" t="n"/>
      <c r="D4952" s="32" t="n"/>
      <c r="E4952" s="33" t="n">
        <v>2.4199</v>
      </c>
      <c r="F4952" t="inlineStr">
        <is>
          <t>Up</t>
        </is>
      </c>
      <c r="G4952" t="inlineStr">
        <is>
          <t>Down</t>
        </is>
      </c>
      <c r="H4952" t="inlineStr">
        <is>
          <t>EU_JD</t>
        </is>
      </c>
      <c r="I4952" t="inlineStr">
        <is>
          <t>2026-04</t>
        </is>
      </c>
      <c r="J4952" t="n">
        <v>1</v>
      </c>
      <c r="K4952" t="n">
        <v>1</v>
      </c>
      <c r="L4952" s="34">
        <f>IF($J4952=1,LN(B4953/B4952),"")</f>
        <v/>
      </c>
      <c r="M4952" s="34">
        <f>IF($K4952=1,INDEX(Mensal!$D$2:$D$245,MATCH($I4952,Mensal!$A$2:$A$245,0)),"")</f>
        <v/>
      </c>
      <c r="N4952" s="34">
        <f>IF($K4952=1,L4952-M4952,"")</f>
        <v/>
      </c>
      <c r="O4952" s="34" t="n">
        <v>0.00054266</v>
      </c>
      <c r="P4952" s="34">
        <f>IF($J4952=1,LN(1+O4952),"")</f>
        <v/>
      </c>
      <c r="Q4952" s="34">
        <f>IF($J4952=1,LN(R4953/R4952),"")</f>
        <v/>
      </c>
      <c r="R4952" s="32" t="n">
        <v>5.0229</v>
      </c>
      <c r="S4952" s="35" t="n">
        <v>13.91</v>
      </c>
      <c r="T4952" s="18" t="n">
        <v>197323.87</v>
      </c>
      <c r="U4952" s="18" t="n"/>
      <c r="V4952" s="18" t="n"/>
      <c r="W4952" s="18" t="n"/>
      <c r="X4952" s="35" t="n"/>
      <c r="Y4952" s="35" t="n">
        <v>13.91</v>
      </c>
    </row>
    <row r="4953">
      <c r="A4953" s="25" t="n">
        <v>46125</v>
      </c>
      <c r="B4953" s="18" t="n">
        <v>198000.71</v>
      </c>
      <c r="C4953" s="31" t="n"/>
      <c r="D4953" s="32" t="n"/>
      <c r="E4953" s="33" t="n">
        <v>2.4851</v>
      </c>
      <c r="F4953" t="inlineStr">
        <is>
          <t>Up</t>
        </is>
      </c>
      <c r="G4953" t="inlineStr">
        <is>
          <t>Down</t>
        </is>
      </c>
      <c r="H4953" t="inlineStr">
        <is>
          <t>EU_JD</t>
        </is>
      </c>
      <c r="I4953" t="inlineStr">
        <is>
          <t>2026-04</t>
        </is>
      </c>
      <c r="J4953" t="n">
        <v>1</v>
      </c>
      <c r="K4953" t="n">
        <v>1</v>
      </c>
      <c r="L4953" s="34">
        <f>IF($J4953=1,LN(B4954/B4953),"")</f>
        <v/>
      </c>
      <c r="M4953" s="34">
        <f>IF($K4953=1,INDEX(Mensal!$D$2:$D$245,MATCH($I4953,Mensal!$A$2:$A$245,0)),"")</f>
        <v/>
      </c>
      <c r="N4953" s="34">
        <f>IF($K4953=1,L4953-M4953,"")</f>
        <v/>
      </c>
      <c r="O4953" s="34" t="n">
        <v>0.00054266</v>
      </c>
      <c r="P4953" s="34">
        <f>IF($J4953=1,LN(1+O4953),"")</f>
        <v/>
      </c>
      <c r="Q4953" s="34">
        <f>IF($J4953=1,LN(R4954/R4953),"")</f>
        <v/>
      </c>
      <c r="R4953" s="32" t="n">
        <v>5.0244</v>
      </c>
      <c r="S4953" s="35" t="n">
        <v>13.92</v>
      </c>
      <c r="T4953" s="18" t="n">
        <v>198000.71</v>
      </c>
      <c r="U4953" s="18" t="n"/>
      <c r="V4953" s="18" t="n"/>
      <c r="W4953" s="18" t="n"/>
      <c r="X4953" s="35" t="n"/>
      <c r="Y4953" s="35" t="n">
        <v>13.92</v>
      </c>
    </row>
    <row r="4954">
      <c r="A4954" s="25" t="n">
        <v>46126</v>
      </c>
      <c r="B4954" s="18" t="n">
        <v>198657.33</v>
      </c>
      <c r="C4954" s="31" t="n"/>
      <c r="D4954" s="32" t="n"/>
      <c r="E4954" s="33" t="n">
        <v>2.5419</v>
      </c>
      <c r="F4954" t="inlineStr">
        <is>
          <t>Up</t>
        </is>
      </c>
      <c r="G4954" t="inlineStr">
        <is>
          <t>Down</t>
        </is>
      </c>
      <c r="H4954" t="inlineStr">
        <is>
          <t>EU_JD</t>
        </is>
      </c>
      <c r="I4954" t="inlineStr">
        <is>
          <t>2026-04</t>
        </is>
      </c>
      <c r="J4954" t="n">
        <v>1</v>
      </c>
      <c r="K4954" t="n">
        <v>1</v>
      </c>
      <c r="L4954" s="34">
        <f>IF($J4954=1,LN(B4955/B4954),"")</f>
        <v/>
      </c>
      <c r="M4954" s="34">
        <f>IF($K4954=1,INDEX(Mensal!$D$2:$D$245,MATCH($I4954,Mensal!$A$2:$A$245,0)),"")</f>
        <v/>
      </c>
      <c r="N4954" s="34">
        <f>IF($K4954=1,L4954-M4954,"")</f>
        <v/>
      </c>
      <c r="O4954" s="34" t="n">
        <v>0.00054266</v>
      </c>
      <c r="P4954" s="34">
        <f>IF($J4954=1,LN(1+O4954),"")</f>
        <v/>
      </c>
      <c r="Q4954" s="34">
        <f>IF($J4954=1,LN(R4955/R4954),"")</f>
        <v/>
      </c>
      <c r="R4954" s="32" t="n">
        <v>4.9806</v>
      </c>
      <c r="S4954" s="35" t="n">
        <v>13.81</v>
      </c>
      <c r="T4954" s="18" t="n">
        <v>198657.33</v>
      </c>
      <c r="U4954" s="18" t="n"/>
      <c r="V4954" s="18" t="n"/>
      <c r="W4954" s="18" t="n"/>
      <c r="X4954" s="35" t="n"/>
      <c r="Y4954" s="35" t="n">
        <v>13.81</v>
      </c>
    </row>
    <row r="4955">
      <c r="A4955" s="25" t="n">
        <v>46127</v>
      </c>
      <c r="B4955" s="18" t="n">
        <v>197737.61</v>
      </c>
      <c r="C4955" s="31" t="n"/>
      <c r="D4955" s="32" t="n"/>
      <c r="E4955" s="33" t="n">
        <v>2.6068</v>
      </c>
      <c r="F4955" t="inlineStr">
        <is>
          <t>Up</t>
        </is>
      </c>
      <c r="G4955" t="inlineStr">
        <is>
          <t>Down</t>
        </is>
      </c>
      <c r="H4955" t="inlineStr">
        <is>
          <t>EU_JD</t>
        </is>
      </c>
      <c r="I4955" t="inlineStr">
        <is>
          <t>2026-04</t>
        </is>
      </c>
      <c r="J4955" t="n">
        <v>1</v>
      </c>
      <c r="K4955" t="n">
        <v>1</v>
      </c>
      <c r="L4955" s="34">
        <f>IF($J4955=1,LN(B4956/B4955),"")</f>
        <v/>
      </c>
      <c r="M4955" s="34">
        <f>IF($K4955=1,INDEX(Mensal!$D$2:$D$245,MATCH($I4955,Mensal!$A$2:$A$245,0)),"")</f>
        <v/>
      </c>
      <c r="N4955" s="34">
        <f>IF($K4955=1,L4955-M4955,"")</f>
        <v/>
      </c>
      <c r="O4955" s="34" t="n">
        <v>0.00054266</v>
      </c>
      <c r="P4955" s="34">
        <f>IF($J4955=1,LN(1+O4955),"")</f>
        <v/>
      </c>
      <c r="Q4955" s="34">
        <f>IF($J4955=1,LN(R4956/R4955),"")</f>
        <v/>
      </c>
      <c r="R4955" s="32" t="n">
        <v>4.9928</v>
      </c>
      <c r="S4955" s="35" t="n">
        <v>13.77</v>
      </c>
      <c r="T4955" s="18" t="n">
        <v>197737.61</v>
      </c>
      <c r="U4955" s="18" t="n"/>
      <c r="V4955" s="18" t="n"/>
      <c r="W4955" s="18" t="n"/>
      <c r="X4955" s="35" t="n"/>
      <c r="Y4955" s="35" t="n">
        <v>13.77</v>
      </c>
    </row>
    <row r="4956">
      <c r="A4956" s="25" t="n">
        <v>46128</v>
      </c>
      <c r="B4956" s="18" t="n">
        <v>196818.59</v>
      </c>
      <c r="C4956" s="31" t="n"/>
      <c r="D4956" s="32" t="n"/>
      <c r="E4956" s="33" t="n">
        <v>2.6643</v>
      </c>
      <c r="F4956" t="inlineStr">
        <is>
          <t>Up</t>
        </is>
      </c>
      <c r="G4956" t="inlineStr">
        <is>
          <t>Down</t>
        </is>
      </c>
      <c r="H4956" t="inlineStr">
        <is>
          <t>EU_JD</t>
        </is>
      </c>
      <c r="I4956" t="inlineStr">
        <is>
          <t>2026-04</t>
        </is>
      </c>
      <c r="J4956" t="n">
        <v>1</v>
      </c>
      <c r="K4956" t="n">
        <v>1</v>
      </c>
      <c r="L4956" s="34">
        <f>IF($J4956=1,LN(B4957/B4956),"")</f>
        <v/>
      </c>
      <c r="M4956" s="34">
        <f>IF($K4956=1,INDEX(Mensal!$D$2:$D$245,MATCH($I4956,Mensal!$A$2:$A$245,0)),"")</f>
        <v/>
      </c>
      <c r="N4956" s="34">
        <f>IF($K4956=1,L4956-M4956,"")</f>
        <v/>
      </c>
      <c r="O4956" s="34" t="n">
        <v>0.00054266</v>
      </c>
      <c r="P4956" s="34">
        <f>IF($J4956=1,LN(1+O4956),"")</f>
        <v/>
      </c>
      <c r="Q4956" s="34">
        <f>IF($J4956=1,LN(R4957/R4956),"")</f>
        <v/>
      </c>
      <c r="R4956" s="32" t="n">
        <v>5.0007</v>
      </c>
      <c r="S4956" s="35" t="n">
        <v>13.89</v>
      </c>
      <c r="T4956" s="18" t="n">
        <v>196818.59</v>
      </c>
      <c r="U4956" s="18" t="n"/>
      <c r="V4956" s="18" t="n"/>
      <c r="W4956" s="18" t="n"/>
      <c r="X4956" s="35" t="n"/>
      <c r="Y4956" s="35" t="n">
        <v>13.89</v>
      </c>
    </row>
    <row r="4957">
      <c r="A4957" s="25" t="n">
        <v>46129</v>
      </c>
      <c r="B4957" s="18" t="n">
        <v>195733.51</v>
      </c>
      <c r="C4957" s="31" t="n"/>
      <c r="D4957" s="32" t="n"/>
      <c r="E4957" s="33" t="n">
        <v>2.7214</v>
      </c>
      <c r="F4957" t="inlineStr">
        <is>
          <t>Up</t>
        </is>
      </c>
      <c r="G4957" t="inlineStr">
        <is>
          <t>Down</t>
        </is>
      </c>
      <c r="H4957" t="inlineStr">
        <is>
          <t>EU_JD</t>
        </is>
      </c>
      <c r="I4957" t="inlineStr">
        <is>
          <t>2026-04</t>
        </is>
      </c>
      <c r="J4957" t="n">
        <v>1</v>
      </c>
      <c r="K4957" t="n">
        <v>1</v>
      </c>
      <c r="L4957" s="34">
        <f>IF($J4957=1,LN(B4958/B4957),"")</f>
        <v/>
      </c>
      <c r="M4957" s="34">
        <f>IF($K4957=1,INDEX(Mensal!$D$2:$D$245,MATCH($I4957,Mensal!$A$2:$A$245,0)),"")</f>
        <v/>
      </c>
      <c r="N4957" s="34">
        <f>IF($K4957=1,L4957-M4957,"")</f>
        <v/>
      </c>
      <c r="O4957" s="34" t="n">
        <v>0.00054266</v>
      </c>
      <c r="P4957" s="34">
        <f>IF($J4957=1,LN(1+O4957),"")</f>
        <v/>
      </c>
      <c r="Q4957" s="34">
        <f>IF($J4957=1,LN(R4958/R4957),"")</f>
        <v/>
      </c>
      <c r="R4957" s="32" t="n">
        <v>4.9695</v>
      </c>
      <c r="S4957" s="35" t="n">
        <v>13.68</v>
      </c>
      <c r="T4957" s="18" t="n">
        <v>195733.51</v>
      </c>
      <c r="U4957" s="18" t="n"/>
      <c r="V4957" s="18" t="n"/>
      <c r="W4957" s="18" t="n"/>
      <c r="X4957" s="35" t="n"/>
      <c r="Y4957" s="35" t="n">
        <v>13.68</v>
      </c>
    </row>
    <row r="4958">
      <c r="A4958" s="25" t="n">
        <v>46132</v>
      </c>
      <c r="B4958" s="18" t="n">
        <v>196132.06</v>
      </c>
      <c r="C4958" s="31" t="n"/>
      <c r="D4958" s="32" t="n"/>
      <c r="E4958" s="33" t="n">
        <v>2.7628</v>
      </c>
      <c r="F4958" t="inlineStr">
        <is>
          <t>Up</t>
        </is>
      </c>
      <c r="G4958" t="inlineStr">
        <is>
          <t>Down</t>
        </is>
      </c>
      <c r="H4958" t="inlineStr">
        <is>
          <t>EU_JD</t>
        </is>
      </c>
      <c r="I4958" t="inlineStr">
        <is>
          <t>2026-04</t>
        </is>
      </c>
      <c r="J4958" t="n">
        <v>1</v>
      </c>
      <c r="K4958" t="n">
        <v>1</v>
      </c>
      <c r="L4958" s="34">
        <f>IF($J4958=1,LN(B4959/B4958),"")</f>
        <v/>
      </c>
      <c r="M4958" s="34">
        <f>IF($K4958=1,INDEX(Mensal!$D$2:$D$245,MATCH($I4958,Mensal!$A$2:$A$245,0)),"")</f>
        <v/>
      </c>
      <c r="N4958" s="34">
        <f>IF($K4958=1,L4958-M4958,"")</f>
        <v/>
      </c>
      <c r="O4958" s="34" t="n">
        <v>0.00054266</v>
      </c>
      <c r="P4958" s="34">
        <f>IF($J4958=1,LN(1+O4958),"")</f>
        <v/>
      </c>
      <c r="Q4958" s="34">
        <f>IF($J4958=1,LN(R4959/R4958),"")</f>
        <v/>
      </c>
      <c r="R4958" s="32" t="n">
        <v>4.9844</v>
      </c>
      <c r="S4958" s="35" t="n">
        <v>13.89</v>
      </c>
      <c r="T4958" s="18" t="n">
        <v>196132.06</v>
      </c>
      <c r="U4958" s="18" t="n"/>
      <c r="V4958" s="18" t="n"/>
      <c r="W4958" s="18" t="n"/>
      <c r="X4958" s="35" t="n"/>
      <c r="Y4958" s="35" t="n">
        <v>13.89</v>
      </c>
    </row>
    <row r="4959">
      <c r="A4959" s="25" t="n">
        <v>46134</v>
      </c>
      <c r="B4959" s="18" t="n">
        <v>192888.96</v>
      </c>
      <c r="C4959" s="31" t="n"/>
      <c r="D4959" s="32" t="n"/>
      <c r="E4959" s="33" t="n">
        <v>2.802</v>
      </c>
      <c r="F4959" t="inlineStr">
        <is>
          <t>Up</t>
        </is>
      </c>
      <c r="G4959" t="inlineStr">
        <is>
          <t>Down</t>
        </is>
      </c>
      <c r="H4959" t="inlineStr">
        <is>
          <t>EU_JD</t>
        </is>
      </c>
      <c r="I4959" t="inlineStr">
        <is>
          <t>2026-04</t>
        </is>
      </c>
      <c r="J4959" t="n">
        <v>1</v>
      </c>
      <c r="K4959" t="n">
        <v>1</v>
      </c>
      <c r="L4959" s="34">
        <f>IF($J4959=1,LN(B4960/B4959),"")</f>
        <v/>
      </c>
      <c r="M4959" s="34">
        <f>IF($K4959=1,INDEX(Mensal!$D$2:$D$245,MATCH($I4959,Mensal!$A$2:$A$245,0)),"")</f>
        <v/>
      </c>
      <c r="N4959" s="34">
        <f>IF($K4959=1,L4959-M4959,"")</f>
        <v/>
      </c>
      <c r="O4959" s="34" t="n">
        <v>0.00054266</v>
      </c>
      <c r="P4959" s="34">
        <f>IF($J4959=1,LN(1+O4959),"")</f>
        <v/>
      </c>
      <c r="Q4959" s="34">
        <f>IF($J4959=1,LN(R4960/R4959),"")</f>
        <v/>
      </c>
      <c r="R4959" s="32" t="n">
        <v>4.9653</v>
      </c>
      <c r="S4959" s="35" t="n">
        <v>13.81</v>
      </c>
      <c r="T4959" s="18" t="n">
        <v>192888.96</v>
      </c>
      <c r="U4959" s="18" t="n"/>
      <c r="V4959" s="18" t="n"/>
      <c r="W4959" s="18" t="n"/>
      <c r="X4959" s="35" t="n"/>
      <c r="Y4959" s="35" t="n">
        <v>13.81</v>
      </c>
    </row>
    <row r="4960">
      <c r="A4960" s="25" t="n">
        <v>46135</v>
      </c>
      <c r="B4960" s="18" t="n">
        <v>191378.43</v>
      </c>
      <c r="C4960" s="31" t="n"/>
      <c r="D4960" s="32" t="n"/>
      <c r="E4960" s="33" t="n">
        <v>2.8348</v>
      </c>
      <c r="F4960" t="inlineStr">
        <is>
          <t>Up</t>
        </is>
      </c>
      <c r="G4960" t="inlineStr">
        <is>
          <t>Down</t>
        </is>
      </c>
      <c r="H4960" t="inlineStr">
        <is>
          <t>EU_JD</t>
        </is>
      </c>
      <c r="I4960" t="inlineStr">
        <is>
          <t>2026-04</t>
        </is>
      </c>
      <c r="J4960" t="n">
        <v>1</v>
      </c>
      <c r="K4960" t="n">
        <v>1</v>
      </c>
      <c r="L4960" s="34">
        <f>IF($J4960=1,LN(B4961/B4960),"")</f>
        <v/>
      </c>
      <c r="M4960" s="34">
        <f>IF($K4960=1,INDEX(Mensal!$D$2:$D$245,MATCH($I4960,Mensal!$A$2:$A$245,0)),"")</f>
        <v/>
      </c>
      <c r="N4960" s="34">
        <f>IF($K4960=1,L4960-M4960,"")</f>
        <v/>
      </c>
      <c r="O4960" s="34" t="n">
        <v>0.00054266</v>
      </c>
      <c r="P4960" s="34">
        <f>IF($J4960=1,LN(1+O4960),"")</f>
        <v/>
      </c>
      <c r="Q4960" s="34">
        <f>IF($J4960=1,LN(R4961/R4960),"")</f>
        <v/>
      </c>
      <c r="R4960" s="32" t="n">
        <v>4.9539</v>
      </c>
      <c r="S4960" s="35" t="n">
        <v>14</v>
      </c>
      <c r="T4960" s="18" t="n">
        <v>191378.43</v>
      </c>
      <c r="U4960" s="18" t="n"/>
      <c r="V4960" s="18" t="n"/>
      <c r="W4960" s="18" t="n"/>
      <c r="X4960" s="35" t="n"/>
      <c r="Y4960" s="35" t="n">
        <v>14</v>
      </c>
    </row>
    <row r="4961">
      <c r="A4961" s="25" t="n">
        <v>46136</v>
      </c>
      <c r="B4961" s="18" t="n">
        <v>190745.02</v>
      </c>
      <c r="C4961" s="31" t="n"/>
      <c r="D4961" s="32" t="n"/>
      <c r="E4961" s="33" t="n">
        <v>2.8635</v>
      </c>
      <c r="F4961" t="inlineStr">
        <is>
          <t>Up</t>
        </is>
      </c>
      <c r="G4961" t="inlineStr">
        <is>
          <t>Down</t>
        </is>
      </c>
      <c r="H4961" t="inlineStr">
        <is>
          <t>EU_JD</t>
        </is>
      </c>
      <c r="I4961" t="inlineStr">
        <is>
          <t>2026-04</t>
        </is>
      </c>
      <c r="J4961" t="n">
        <v>1</v>
      </c>
      <c r="K4961" t="n">
        <v>1</v>
      </c>
      <c r="L4961" s="34">
        <f>IF($J4961=1,LN(B4962/B4961),"")</f>
        <v/>
      </c>
      <c r="M4961" s="34">
        <f>IF($K4961=1,INDEX(Mensal!$D$2:$D$245,MATCH($I4961,Mensal!$A$2:$A$245,0)),"")</f>
        <v/>
      </c>
      <c r="N4961" s="34">
        <f>IF($K4961=1,L4961-M4961,"")</f>
        <v/>
      </c>
      <c r="O4961" s="34" t="n">
        <v>0.00054266</v>
      </c>
      <c r="P4961" s="34">
        <f>IF($J4961=1,LN(1+O4961),"")</f>
        <v/>
      </c>
      <c r="Q4961" s="34">
        <f>IF($J4961=1,LN(R4962/R4961),"")</f>
        <v/>
      </c>
      <c r="R4961" s="32" t="n">
        <v>5.0083</v>
      </c>
      <c r="S4961" s="35" t="n">
        <v>13.98</v>
      </c>
      <c r="T4961" s="18" t="n">
        <v>190745.02</v>
      </c>
      <c r="U4961" s="18" t="n"/>
      <c r="V4961" s="18" t="n"/>
      <c r="W4961" s="18" t="n"/>
      <c r="X4961" s="35" t="n"/>
      <c r="Y4961" s="35" t="n">
        <v>13.98</v>
      </c>
    </row>
    <row r="4962">
      <c r="A4962" s="25" t="n">
        <v>46139</v>
      </c>
      <c r="B4962" s="18" t="n">
        <v>189578.79</v>
      </c>
      <c r="C4962" s="31" t="n"/>
      <c r="D4962" s="32" t="n"/>
      <c r="E4962" s="33" t="n">
        <v>2.8888</v>
      </c>
      <c r="F4962" t="inlineStr">
        <is>
          <t>Up</t>
        </is>
      </c>
      <c r="G4962" t="inlineStr">
        <is>
          <t>Down</t>
        </is>
      </c>
      <c r="H4962" t="inlineStr">
        <is>
          <t>EU_JD</t>
        </is>
      </c>
      <c r="I4962" t="inlineStr">
        <is>
          <t>2026-04</t>
        </is>
      </c>
      <c r="J4962" t="n">
        <v>1</v>
      </c>
      <c r="K4962" t="n">
        <v>1</v>
      </c>
      <c r="L4962" s="34">
        <f>IF($J4962=1,LN(B4963/B4962),"")</f>
        <v/>
      </c>
      <c r="M4962" s="34">
        <f>IF($K4962=1,INDEX(Mensal!$D$2:$D$245,MATCH($I4962,Mensal!$A$2:$A$245,0)),"")</f>
        <v/>
      </c>
      <c r="N4962" s="34">
        <f>IF($K4962=1,L4962-M4962,"")</f>
        <v/>
      </c>
      <c r="O4962" s="34" t="n">
        <v>0.00054266</v>
      </c>
      <c r="P4962" s="34">
        <f>IF($J4962=1,LN(1+O4962),"")</f>
        <v/>
      </c>
      <c r="Q4962" s="34">
        <f>IF($J4962=1,LN(R4963/R4962),"")</f>
        <v/>
      </c>
      <c r="R4962" s="32" t="n">
        <v>4.97</v>
      </c>
      <c r="S4962" s="35" t="n">
        <v>13.98</v>
      </c>
      <c r="T4962" s="18" t="n">
        <v>189578.79</v>
      </c>
      <c r="U4962" s="18" t="n"/>
      <c r="V4962" s="18" t="n"/>
      <c r="W4962" s="18" t="n"/>
      <c r="X4962" s="35" t="n"/>
      <c r="Y4962" s="35" t="n">
        <v>13.98</v>
      </c>
    </row>
    <row r="4963">
      <c r="A4963" s="25" t="n">
        <v>46140</v>
      </c>
      <c r="B4963" s="18" t="n">
        <v>188618.69</v>
      </c>
      <c r="C4963" s="31" t="n"/>
      <c r="D4963" s="32" t="n"/>
      <c r="E4963" s="33" t="n">
        <v>2.9144</v>
      </c>
      <c r="F4963" t="inlineStr">
        <is>
          <t>Up</t>
        </is>
      </c>
      <c r="G4963" t="inlineStr">
        <is>
          <t>Down</t>
        </is>
      </c>
      <c r="H4963" t="inlineStr">
        <is>
          <t>EU_JD</t>
        </is>
      </c>
      <c r="I4963" t="inlineStr">
        <is>
          <t>2026-04</t>
        </is>
      </c>
      <c r="J4963" t="n">
        <v>1</v>
      </c>
      <c r="K4963" t="n">
        <v>1</v>
      </c>
      <c r="L4963" s="34">
        <f>IF($J4963=1,LN(B4964/B4963),"")</f>
        <v/>
      </c>
      <c r="M4963" s="34">
        <f>IF($K4963=1,INDEX(Mensal!$D$2:$D$245,MATCH($I4963,Mensal!$A$2:$A$245,0)),"")</f>
        <v/>
      </c>
      <c r="N4963" s="34">
        <f>IF($K4963=1,L4963-M4963,"")</f>
        <v/>
      </c>
      <c r="O4963" s="34" t="n">
        <v>0.00054266</v>
      </c>
      <c r="P4963" s="34">
        <f>IF($J4963=1,LN(1+O4963),"")</f>
        <v/>
      </c>
      <c r="Q4963" s="34">
        <f>IF($J4963=1,LN(R4964/R4963),"")</f>
        <v/>
      </c>
      <c r="R4963" s="32" t="n">
        <v>4.9878</v>
      </c>
      <c r="S4963" s="35" t="n">
        <v>14.02</v>
      </c>
      <c r="T4963" s="18" t="n">
        <v>188618.69</v>
      </c>
      <c r="U4963" s="18" t="n"/>
      <c r="V4963" s="18" t="n"/>
      <c r="W4963" s="18" t="n"/>
      <c r="X4963" s="35" t="n"/>
      <c r="Y4963" s="35" t="n">
        <v>14.02</v>
      </c>
    </row>
    <row r="4964">
      <c r="A4964" s="25" t="n">
        <v>46141</v>
      </c>
      <c r="B4964" s="18" t="n">
        <v>184750.42</v>
      </c>
      <c r="C4964" s="31" t="n"/>
      <c r="D4964" s="32" t="n"/>
      <c r="E4964" s="33" t="n">
        <v>2.9409</v>
      </c>
      <c r="F4964" t="inlineStr">
        <is>
          <t>Up</t>
        </is>
      </c>
      <c r="G4964" t="inlineStr">
        <is>
          <t>Down</t>
        </is>
      </c>
      <c r="H4964" t="inlineStr">
        <is>
          <t>EU_JD</t>
        </is>
      </c>
      <c r="I4964" t="inlineStr">
        <is>
          <t>2026-04</t>
        </is>
      </c>
      <c r="J4964" t="n">
        <v>1</v>
      </c>
      <c r="K4964" t="n">
        <v>1</v>
      </c>
      <c r="L4964" s="34">
        <f>IF($J4964=1,LN(B4965/B4964),"")</f>
        <v/>
      </c>
      <c r="M4964" s="34">
        <f>IF($K4964=1,INDEX(Mensal!$D$2:$D$245,MATCH($I4964,Mensal!$A$2:$A$245,0)),"")</f>
        <v/>
      </c>
      <c r="N4964" s="34">
        <f>IF($K4964=1,L4964-M4964,"")</f>
        <v/>
      </c>
      <c r="O4964" s="34" t="n">
        <v>0.00054266</v>
      </c>
      <c r="P4964" s="34">
        <f>IF($J4964=1,LN(1+O4964),"")</f>
        <v/>
      </c>
      <c r="Q4964" s="34">
        <f>IF($J4964=1,LN(R4965/R4964),"")</f>
        <v/>
      </c>
      <c r="R4964" s="32" t="n">
        <v>4.9985</v>
      </c>
      <c r="S4964" s="35" t="n">
        <v>14.02</v>
      </c>
      <c r="T4964" s="18" t="n">
        <v>184750.42</v>
      </c>
      <c r="U4964" s="18" t="n"/>
      <c r="V4964" s="18" t="n"/>
      <c r="W4964" s="18" t="n"/>
      <c r="X4964" s="35" t="n"/>
      <c r="Y4964" s="35" t="n">
        <v>14.02</v>
      </c>
    </row>
    <row r="4965">
      <c r="A4965" s="25" t="n">
        <v>46142</v>
      </c>
      <c r="B4965" s="18" t="n">
        <v>187317.64</v>
      </c>
      <c r="C4965" s="31" t="n"/>
      <c r="D4965" s="32" t="n"/>
      <c r="E4965" s="33" t="n">
        <v>2.9598</v>
      </c>
      <c r="F4965" t="inlineStr">
        <is>
          <t>Up</t>
        </is>
      </c>
      <c r="G4965" t="inlineStr">
        <is>
          <t>Down</t>
        </is>
      </c>
      <c r="H4965" t="inlineStr">
        <is>
          <t>EU_JD</t>
        </is>
      </c>
      <c r="I4965" t="inlineStr">
        <is>
          <t>2026-04</t>
        </is>
      </c>
      <c r="J4965" t="n">
        <v>1</v>
      </c>
      <c r="K4965" t="n">
        <v>1</v>
      </c>
      <c r="L4965" s="34">
        <f>IF($J4965=1,LN(B4966/B4965),"")</f>
        <v/>
      </c>
      <c r="M4965" s="34">
        <f>IF($K4965=1,INDEX(Mensal!$D$2:$D$245,MATCH($I4965,Mensal!$A$2:$A$245,0)),"")</f>
        <v/>
      </c>
      <c r="N4965" s="34">
        <f>IF($K4965=1,L4965-M4965,"")</f>
        <v/>
      </c>
      <c r="O4965" s="34" t="n">
        <v>0.0005340000000000001</v>
      </c>
      <c r="P4965" s="34">
        <f>IF($J4965=1,LN(1+O4965),"")</f>
        <v/>
      </c>
      <c r="Q4965" s="34">
        <f>IF($J4965=1,LN(R4966/R4965),"")</f>
        <v/>
      </c>
      <c r="R4965" s="32" t="n">
        <v>4.9886</v>
      </c>
      <c r="S4965" s="35" t="n">
        <v>14.04</v>
      </c>
      <c r="T4965" s="18" t="n">
        <v>187317.64</v>
      </c>
      <c r="U4965" s="18" t="n"/>
      <c r="V4965" s="18" t="n"/>
      <c r="W4965" s="18" t="n"/>
      <c r="X4965" s="35" t="n"/>
      <c r="Y4965" s="35" t="n">
        <v>14.04</v>
      </c>
    </row>
    <row r="4966">
      <c r="A4966" s="25" t="n">
        <v>46146</v>
      </c>
      <c r="B4966" s="18" t="n">
        <v>185600.12</v>
      </c>
      <c r="C4966" s="31" t="n"/>
      <c r="D4966" s="32" t="n"/>
      <c r="E4966" s="33" t="n">
        <v>2.9646</v>
      </c>
      <c r="F4966" t="inlineStr">
        <is>
          <t>Up</t>
        </is>
      </c>
      <c r="G4966" t="inlineStr">
        <is>
          <t>Down</t>
        </is>
      </c>
      <c r="H4966" t="inlineStr">
        <is>
          <t>EU_JD</t>
        </is>
      </c>
      <c r="I4966" t="inlineStr">
        <is>
          <t>2026-05</t>
        </is>
      </c>
      <c r="J4966" t="n">
        <v>1</v>
      </c>
      <c r="K4966" t="n">
        <v>1</v>
      </c>
      <c r="L4966" s="34">
        <f>IF($J4966=1,LN(B4967/B4966),"")</f>
        <v/>
      </c>
      <c r="M4966" s="34">
        <f>IF($K4966=1,INDEX(Mensal!$D$2:$D$245,MATCH($I4966,Mensal!$A$2:$A$245,0)),"")</f>
        <v/>
      </c>
      <c r="N4966" s="34">
        <f>IF($K4966=1,L4966-M4966,"")</f>
        <v/>
      </c>
      <c r="O4966" s="34" t="n">
        <v>0.0005340000000000001</v>
      </c>
      <c r="P4966" s="34">
        <f>IF($J4966=1,LN(1+O4966),"")</f>
        <v/>
      </c>
      <c r="Q4966" s="34">
        <f>IF($J4966=1,LN(R4967/R4966),"")</f>
        <v/>
      </c>
      <c r="R4966" s="32" t="n">
        <v>4.9587</v>
      </c>
      <c r="S4966" s="35" t="n">
        <v>14.04</v>
      </c>
      <c r="T4966" s="18" t="n">
        <v>185600.12</v>
      </c>
      <c r="U4966" s="18" t="n"/>
      <c r="V4966" s="18" t="n"/>
      <c r="W4966" s="18" t="n"/>
      <c r="X4966" s="35" t="n"/>
      <c r="Y4966" s="35" t="n">
        <v>14.04</v>
      </c>
    </row>
    <row r="4967">
      <c r="A4967" s="25" t="n">
        <v>46147</v>
      </c>
      <c r="B4967" s="18" t="n">
        <v>186753.82</v>
      </c>
      <c r="C4967" s="31" t="n"/>
      <c r="D4967" s="32" t="n"/>
      <c r="E4967" s="33" t="n">
        <v>2.9619</v>
      </c>
      <c r="F4967" t="inlineStr">
        <is>
          <t>Up</t>
        </is>
      </c>
      <c r="G4967" t="inlineStr">
        <is>
          <t>Down</t>
        </is>
      </c>
      <c r="H4967" t="inlineStr">
        <is>
          <t>EU_JD</t>
        </is>
      </c>
      <c r="I4967" t="inlineStr">
        <is>
          <t>2026-05</t>
        </is>
      </c>
      <c r="J4967" t="n">
        <v>1</v>
      </c>
      <c r="K4967" t="n">
        <v>1</v>
      </c>
      <c r="L4967" s="34">
        <f>IF($J4967=1,LN(B4968/B4967),"")</f>
        <v/>
      </c>
      <c r="M4967" s="34">
        <f>IF($K4967=1,INDEX(Mensal!$D$2:$D$245,MATCH($I4967,Mensal!$A$2:$A$245,0)),"")</f>
        <v/>
      </c>
      <c r="N4967" s="34">
        <f>IF($K4967=1,L4967-M4967,"")</f>
        <v/>
      </c>
      <c r="O4967" s="34" t="n">
        <v>0.0005340000000000001</v>
      </c>
      <c r="P4967" s="34">
        <f>IF($J4967=1,LN(1+O4967),"")</f>
        <v/>
      </c>
      <c r="Q4967" s="34">
        <f>IF($J4967=1,LN(R4968/R4967),"")</f>
        <v/>
      </c>
      <c r="R4967" s="32" t="n">
        <v>4.9242</v>
      </c>
      <c r="S4967" s="35" t="n">
        <v>14.05</v>
      </c>
      <c r="T4967" s="18" t="n">
        <v>186753.82</v>
      </c>
      <c r="U4967" s="18" t="n"/>
      <c r="V4967" s="18" t="n"/>
      <c r="W4967" s="18" t="n"/>
      <c r="X4967" s="35" t="n"/>
      <c r="Y4967" s="35" t="n">
        <v>14.05</v>
      </c>
    </row>
    <row r="4968">
      <c r="A4968" s="25" t="n">
        <v>46148</v>
      </c>
      <c r="B4968" s="18" t="n">
        <v>187690.86</v>
      </c>
      <c r="C4968" s="31" t="n"/>
      <c r="D4968" s="32" t="n"/>
      <c r="E4968" s="33" t="n">
        <v>2.9534</v>
      </c>
      <c r="F4968" t="inlineStr">
        <is>
          <t>Up</t>
        </is>
      </c>
      <c r="G4968" t="inlineStr">
        <is>
          <t>Down</t>
        </is>
      </c>
      <c r="H4968" t="inlineStr">
        <is>
          <t>EU_JD</t>
        </is>
      </c>
      <c r="I4968" t="inlineStr">
        <is>
          <t>2026-05</t>
        </is>
      </c>
      <c r="J4968" t="n">
        <v>1</v>
      </c>
      <c r="K4968" t="n">
        <v>1</v>
      </c>
      <c r="L4968" s="34">
        <f>IF($J4968=1,LN(B4969/B4968),"")</f>
        <v/>
      </c>
      <c r="M4968" s="34">
        <f>IF($K4968=1,INDEX(Mensal!$D$2:$D$245,MATCH($I4968,Mensal!$A$2:$A$245,0)),"")</f>
        <v/>
      </c>
      <c r="N4968" s="34">
        <f>IF($K4968=1,L4968-M4968,"")</f>
        <v/>
      </c>
      <c r="O4968" s="34" t="n">
        <v>0.0005340000000000001</v>
      </c>
      <c r="P4968" s="34">
        <f>IF($J4968=1,LN(1+O4968),"")</f>
        <v/>
      </c>
      <c r="Q4968" s="34">
        <f>IF($J4968=1,LN(R4969/R4968),"")</f>
        <v/>
      </c>
      <c r="R4968" s="32" t="n">
        <v>4.9274</v>
      </c>
      <c r="S4968" s="35" t="n">
        <v>13.89</v>
      </c>
      <c r="T4968" s="18" t="n">
        <v>187690.86</v>
      </c>
      <c r="U4968" s="18" t="n"/>
      <c r="V4968" s="18" t="n"/>
      <c r="W4968" s="18" t="n"/>
      <c r="X4968" s="35" t="n"/>
      <c r="Y4968" s="35" t="n">
        <v>13.89</v>
      </c>
    </row>
    <row r="4969">
      <c r="A4969" s="25" t="n">
        <v>46149</v>
      </c>
      <c r="B4969" s="18" t="n">
        <v>183218.26</v>
      </c>
      <c r="C4969" s="31" t="n"/>
      <c r="D4969" s="32" t="n"/>
      <c r="E4969" s="33" t="n">
        <v>2.9559</v>
      </c>
      <c r="F4969" t="inlineStr">
        <is>
          <t>Up</t>
        </is>
      </c>
      <c r="G4969" t="inlineStr">
        <is>
          <t>Down</t>
        </is>
      </c>
      <c r="H4969" t="inlineStr">
        <is>
          <t>EU_JD</t>
        </is>
      </c>
      <c r="I4969" t="inlineStr">
        <is>
          <t>2026-05</t>
        </is>
      </c>
      <c r="J4969" t="n">
        <v>1</v>
      </c>
      <c r="K4969" t="n">
        <v>1</v>
      </c>
      <c r="L4969" s="34">
        <f>IF($J4969=1,LN(B4970/B4969),"")</f>
        <v/>
      </c>
      <c r="M4969" s="34">
        <f>IF($K4969=1,INDEX(Mensal!$D$2:$D$245,MATCH($I4969,Mensal!$A$2:$A$245,0)),"")</f>
        <v/>
      </c>
      <c r="N4969" s="34">
        <f>IF($K4969=1,L4969-M4969,"")</f>
        <v/>
      </c>
      <c r="O4969" s="34" t="n">
        <v>0.0005340000000000001</v>
      </c>
      <c r="P4969" s="34">
        <f>IF($J4969=1,LN(1+O4969),"")</f>
        <v/>
      </c>
      <c r="Q4969" s="34">
        <f>IF($J4969=1,LN(R4970/R4969),"")</f>
        <v/>
      </c>
      <c r="R4969" s="32" t="n">
        <v>4.917</v>
      </c>
      <c r="S4969" s="35" t="n">
        <v>13.92</v>
      </c>
      <c r="T4969" s="18" t="n">
        <v>183218.26</v>
      </c>
      <c r="U4969" s="18" t="n"/>
      <c r="V4969" s="18" t="n"/>
      <c r="W4969" s="18" t="n"/>
      <c r="X4969" s="35" t="n"/>
      <c r="Y4969" s="35" t="n">
        <v>13.92</v>
      </c>
    </row>
    <row r="4970">
      <c r="A4970" s="25" t="n">
        <v>46150</v>
      </c>
      <c r="B4970" s="18" t="n">
        <v>184108.29</v>
      </c>
      <c r="C4970" s="31" t="n"/>
      <c r="D4970" s="32" t="n"/>
      <c r="E4970" s="33" t="n">
        <v>2.9633</v>
      </c>
      <c r="F4970" t="inlineStr">
        <is>
          <t>Up</t>
        </is>
      </c>
      <c r="G4970" t="inlineStr">
        <is>
          <t>Down</t>
        </is>
      </c>
      <c r="H4970" t="inlineStr">
        <is>
          <t>EU_JD</t>
        </is>
      </c>
      <c r="I4970" t="inlineStr">
        <is>
          <t>2026-05</t>
        </is>
      </c>
      <c r="J4970" t="n">
        <v>1</v>
      </c>
      <c r="K4970" t="n">
        <v>1</v>
      </c>
      <c r="L4970" s="34">
        <f>IF($J4970=1,LN(B4971/B4970),"")</f>
        <v/>
      </c>
      <c r="M4970" s="34">
        <f>IF($K4970=1,INDEX(Mensal!$D$2:$D$245,MATCH($I4970,Mensal!$A$2:$A$245,0)),"")</f>
        <v/>
      </c>
      <c r="N4970" s="34">
        <f>IF($K4970=1,L4970-M4970,"")</f>
        <v/>
      </c>
      <c r="O4970" s="34" t="n">
        <v>0.0005340000000000001</v>
      </c>
      <c r="P4970" s="34">
        <f>IF($J4970=1,LN(1+O4970),"")</f>
        <v/>
      </c>
      <c r="Q4970" s="34">
        <f>IF($J4970=1,LN(R4971/R4970),"")</f>
        <v/>
      </c>
      <c r="R4970" s="32" t="n">
        <v>4.8999</v>
      </c>
      <c r="S4970" s="35" t="n">
        <v>13.91</v>
      </c>
      <c r="T4970" s="18" t="n">
        <v>184108.29</v>
      </c>
      <c r="U4970" s="18" t="n"/>
      <c r="V4970" s="18" t="n"/>
      <c r="W4970" s="18" t="n"/>
      <c r="X4970" s="35" t="n"/>
      <c r="Y4970" s="35" t="n">
        <v>13.91</v>
      </c>
    </row>
    <row r="4971">
      <c r="A4971" s="25" t="n">
        <v>46153</v>
      </c>
      <c r="B4971" s="18" t="n">
        <v>181908.87</v>
      </c>
      <c r="C4971" s="31" t="n"/>
      <c r="D4971" s="32" t="n"/>
      <c r="E4971" s="33" t="n">
        <v>2.9706</v>
      </c>
      <c r="F4971" t="inlineStr">
        <is>
          <t>Up</t>
        </is>
      </c>
      <c r="G4971" t="inlineStr">
        <is>
          <t>Down</t>
        </is>
      </c>
      <c r="H4971" t="inlineStr">
        <is>
          <t>EU_JD</t>
        </is>
      </c>
      <c r="I4971" t="inlineStr">
        <is>
          <t>2026-05</t>
        </is>
      </c>
      <c r="J4971" t="n">
        <v>1</v>
      </c>
      <c r="K4971" t="n">
        <v>1</v>
      </c>
      <c r="L4971" s="34">
        <f>IF($J4971=1,LN(B4972/B4971),"")</f>
        <v/>
      </c>
      <c r="M4971" s="34">
        <f>IF($K4971=1,INDEX(Mensal!$D$2:$D$245,MATCH($I4971,Mensal!$A$2:$A$245,0)),"")</f>
        <v/>
      </c>
      <c r="N4971" s="34">
        <f>IF($K4971=1,L4971-M4971,"")</f>
        <v/>
      </c>
      <c r="O4971" s="34" t="n">
        <v>0.0005340000000000001</v>
      </c>
      <c r="P4971" s="34">
        <f>IF($J4971=1,LN(1+O4971),"")</f>
        <v/>
      </c>
      <c r="Q4971" s="34">
        <f>IF($J4971=1,LN(R4972/R4971),"")</f>
        <v/>
      </c>
      <c r="R4971" s="32" t="n">
        <v>4.8973</v>
      </c>
      <c r="S4971" s="35" t="n">
        <v>14</v>
      </c>
      <c r="T4971" s="18" t="n">
        <v>181908.87</v>
      </c>
      <c r="U4971" s="18" t="n"/>
      <c r="V4971" s="18" t="n"/>
      <c r="W4971" s="18" t="n"/>
      <c r="X4971" s="35" t="n"/>
      <c r="Y4971" s="35" t="n">
        <v>14</v>
      </c>
    </row>
    <row r="4972">
      <c r="A4972" s="25" t="n">
        <v>46154</v>
      </c>
      <c r="B4972" s="18" t="n">
        <v>180342.33</v>
      </c>
      <c r="C4972" s="31" t="n"/>
      <c r="D4972" s="32" t="n"/>
      <c r="E4972" s="33" t="n">
        <v>2.9763</v>
      </c>
      <c r="F4972" t="inlineStr">
        <is>
          <t>Up</t>
        </is>
      </c>
      <c r="G4972" t="inlineStr">
        <is>
          <t>Down</t>
        </is>
      </c>
      <c r="H4972" t="inlineStr">
        <is>
          <t>EU_JD</t>
        </is>
      </c>
      <c r="I4972" t="inlineStr">
        <is>
          <t>2026-05</t>
        </is>
      </c>
      <c r="J4972" t="n">
        <v>1</v>
      </c>
      <c r="K4972" t="n">
        <v>1</v>
      </c>
      <c r="L4972" s="34">
        <f>IF($J4972=1,LN(B4973/B4972),"")</f>
        <v/>
      </c>
      <c r="M4972" s="34">
        <f>IF($K4972=1,INDEX(Mensal!$D$2:$D$245,MATCH($I4972,Mensal!$A$2:$A$245,0)),"")</f>
        <v/>
      </c>
      <c r="N4972" s="34">
        <f>IF($K4972=1,L4972-M4972,"")</f>
        <v/>
      </c>
      <c r="O4972" s="34" t="n">
        <v>0.0005340000000000001</v>
      </c>
      <c r="P4972" s="34">
        <f>IF($J4972=1,LN(1+O4972),"")</f>
        <v/>
      </c>
      <c r="Q4972" s="34">
        <f>IF($J4972=1,LN(R4973/R4972),"")</f>
        <v/>
      </c>
      <c r="R4972" s="32" t="n">
        <v>4.8977</v>
      </c>
      <c r="S4972" s="35" t="n">
        <v>14.03</v>
      </c>
      <c r="T4972" s="18" t="n">
        <v>180342.33</v>
      </c>
      <c r="U4972" s="18" t="n"/>
      <c r="V4972" s="18" t="n"/>
      <c r="W4972" s="18" t="n"/>
      <c r="X4972" s="35" t="n"/>
      <c r="Y4972" s="35" t="n">
        <v>14.03</v>
      </c>
    </row>
    <row r="4973">
      <c r="A4973" s="25" t="n">
        <v>46155</v>
      </c>
      <c r="B4973" s="18" t="n">
        <v>177098.29</v>
      </c>
      <c r="C4973" s="31" t="n"/>
      <c r="D4973" s="32" t="n"/>
      <c r="E4973" s="33" t="n">
        <v>2.9768</v>
      </c>
      <c r="F4973" t="inlineStr">
        <is>
          <t>Up</t>
        </is>
      </c>
      <c r="G4973" t="inlineStr">
        <is>
          <t>Down</t>
        </is>
      </c>
      <c r="H4973" t="inlineStr">
        <is>
          <t>EU_JD</t>
        </is>
      </c>
      <c r="I4973" t="inlineStr">
        <is>
          <t>2026-05</t>
        </is>
      </c>
      <c r="J4973" t="n">
        <v>1</v>
      </c>
      <c r="K4973" t="n">
        <v>1</v>
      </c>
      <c r="L4973" s="34">
        <f>IF($J4973=1,LN(B4974/B4973),"")</f>
        <v/>
      </c>
      <c r="M4973" s="34">
        <f>IF($K4973=1,INDEX(Mensal!$D$2:$D$245,MATCH($I4973,Mensal!$A$2:$A$245,0)),"")</f>
        <v/>
      </c>
      <c r="N4973" s="34">
        <f>IF($K4973=1,L4973-M4973,"")</f>
        <v/>
      </c>
      <c r="O4973" s="34" t="n">
        <v>0.0005340000000000001</v>
      </c>
      <c r="P4973" s="34">
        <f>IF($J4973=1,LN(1+O4973),"")</f>
        <v/>
      </c>
      <c r="Q4973" s="34">
        <f>IF($J4973=1,LN(R4974/R4973),"")</f>
        <v/>
      </c>
      <c r="R4973" s="32" t="n">
        <v>4.9118</v>
      </c>
      <c r="S4973" s="35" t="n">
        <v>14.17</v>
      </c>
      <c r="T4973" s="18" t="n">
        <v>177098.29</v>
      </c>
      <c r="U4973" s="18" t="n"/>
      <c r="V4973" s="18" t="n"/>
      <c r="W4973" s="18" t="n"/>
      <c r="X4973" s="35" t="n"/>
      <c r="Y4973" s="35" t="n">
        <v>14.17</v>
      </c>
    </row>
    <row r="4974">
      <c r="A4974" s="25" t="n">
        <v>46156</v>
      </c>
      <c r="B4974" s="18" t="n">
        <v>178365.86</v>
      </c>
      <c r="C4974" s="31" t="n"/>
      <c r="D4974" s="32" t="n"/>
      <c r="E4974" s="33" t="n">
        <v>2.9634</v>
      </c>
      <c r="F4974" t="inlineStr">
        <is>
          <t>Up</t>
        </is>
      </c>
      <c r="G4974" t="inlineStr">
        <is>
          <t>Down</t>
        </is>
      </c>
      <c r="H4974" t="inlineStr">
        <is>
          <t>EU_JD</t>
        </is>
      </c>
      <c r="I4974" t="inlineStr">
        <is>
          <t>2026-05</t>
        </is>
      </c>
      <c r="J4974" t="n">
        <v>1</v>
      </c>
      <c r="K4974" t="n">
        <v>1</v>
      </c>
      <c r="L4974" s="34">
        <f>IF($J4974=1,LN(B4975/B4974),"")</f>
        <v/>
      </c>
      <c r="M4974" s="34">
        <f>IF($K4974=1,INDEX(Mensal!$D$2:$D$245,MATCH($I4974,Mensal!$A$2:$A$245,0)),"")</f>
        <v/>
      </c>
      <c r="N4974" s="34">
        <f>IF($K4974=1,L4974-M4974,"")</f>
        <v/>
      </c>
      <c r="O4974" s="34" t="n">
        <v>0.0005340000000000001</v>
      </c>
      <c r="P4974" s="34">
        <f>IF($J4974=1,LN(1+O4974),"")</f>
        <v/>
      </c>
      <c r="Q4974" s="34">
        <f>IF($J4974=1,LN(R4975/R4974),"")</f>
        <v/>
      </c>
      <c r="R4974" s="32" t="n">
        <v>4.9809</v>
      </c>
      <c r="S4974" s="35" t="n">
        <v>14.12</v>
      </c>
      <c r="T4974" s="18" t="n">
        <v>178365.86</v>
      </c>
      <c r="U4974" s="18" t="n"/>
      <c r="V4974" s="18" t="n"/>
      <c r="W4974" s="18" t="n"/>
      <c r="X4974" s="35" t="n"/>
      <c r="Y4974" s="35" t="n">
        <v>14.12</v>
      </c>
    </row>
    <row r="4975">
      <c r="A4975" s="25" t="n">
        <v>46157</v>
      </c>
      <c r="B4975" s="18" t="n">
        <v>177283.83</v>
      </c>
      <c r="C4975" s="31" t="n"/>
      <c r="D4975" s="32" t="n"/>
      <c r="E4975" s="33" t="n">
        <v>2.9393</v>
      </c>
      <c r="F4975" t="inlineStr">
        <is>
          <t>Up</t>
        </is>
      </c>
      <c r="G4975" t="inlineStr">
        <is>
          <t>Down</t>
        </is>
      </c>
      <c r="H4975" t="inlineStr">
        <is>
          <t>EU_JD</t>
        </is>
      </c>
      <c r="I4975" t="inlineStr">
        <is>
          <t>2026-05</t>
        </is>
      </c>
      <c r="J4975" t="n">
        <v>1</v>
      </c>
      <c r="K4975" t="n">
        <v>1</v>
      </c>
      <c r="L4975" s="34">
        <f>IF($J4975=1,LN(B4976/B4975),"")</f>
        <v/>
      </c>
      <c r="M4975" s="34">
        <f>IF($K4975=1,INDEX(Mensal!$D$2:$D$245,MATCH($I4975,Mensal!$A$2:$A$245,0)),"")</f>
        <v/>
      </c>
      <c r="N4975" s="34">
        <f>IF($K4975=1,L4975-M4975,"")</f>
        <v/>
      </c>
      <c r="O4975" s="34" t="n">
        <v>0.0005340000000000001</v>
      </c>
      <c r="P4975" s="34">
        <f>IF($J4975=1,LN(1+O4975),"")</f>
        <v/>
      </c>
      <c r="Q4975" s="34">
        <f>IF($J4975=1,LN(R4976/R4975),"")</f>
        <v/>
      </c>
      <c r="R4975" s="32" t="n">
        <v>5.0654</v>
      </c>
      <c r="S4975" s="35" t="n">
        <v>14.21</v>
      </c>
      <c r="T4975" s="18" t="n">
        <v>177283.83</v>
      </c>
      <c r="U4975" s="18" t="n"/>
      <c r="V4975" s="18" t="n"/>
      <c r="W4975" s="18" t="n"/>
      <c r="X4975" s="35" t="n"/>
      <c r="Y4975" s="35" t="n">
        <v>14.21</v>
      </c>
    </row>
    <row r="4976">
      <c r="A4976" s="25" t="n">
        <v>46160</v>
      </c>
      <c r="B4976" s="18" t="n">
        <v>176975.82</v>
      </c>
      <c r="C4976" s="31" t="n"/>
      <c r="D4976" s="32" t="n"/>
      <c r="E4976" s="33" t="n">
        <v>2.9096</v>
      </c>
      <c r="F4976" t="inlineStr">
        <is>
          <t>Up</t>
        </is>
      </c>
      <c r="G4976" t="inlineStr">
        <is>
          <t>Down</t>
        </is>
      </c>
      <c r="H4976" t="inlineStr">
        <is>
          <t>EU_JD</t>
        </is>
      </c>
      <c r="I4976" t="inlineStr">
        <is>
          <t>2026-05</t>
        </is>
      </c>
      <c r="J4976" t="n">
        <v>1</v>
      </c>
      <c r="K4976" t="n">
        <v>1</v>
      </c>
      <c r="L4976" s="34">
        <f>IF($J4976=1,LN(B4977/B4976),"")</f>
        <v/>
      </c>
      <c r="M4976" s="34">
        <f>IF($K4976=1,INDEX(Mensal!$D$2:$D$245,MATCH($I4976,Mensal!$A$2:$A$245,0)),"")</f>
        <v/>
      </c>
      <c r="N4976" s="34">
        <f>IF($K4976=1,L4976-M4976,"")</f>
        <v/>
      </c>
      <c r="O4976" s="34" t="n">
        <v>0.0005340000000000001</v>
      </c>
      <c r="P4976" s="34">
        <f>IF($J4976=1,LN(1+O4976),"")</f>
        <v/>
      </c>
      <c r="Q4976" s="34">
        <f>IF($J4976=1,LN(R4977/R4976),"")</f>
        <v/>
      </c>
      <c r="R4976" s="32" t="n">
        <v>5.0093</v>
      </c>
      <c r="S4976" s="35" t="n">
        <v>14.13</v>
      </c>
      <c r="T4976" s="18" t="n">
        <v>176975.82</v>
      </c>
      <c r="U4976" s="18" t="n"/>
      <c r="V4976" s="18" t="n"/>
      <c r="W4976" s="18" t="n"/>
      <c r="X4976" s="35" t="n"/>
      <c r="Y4976" s="35" t="n">
        <v>14.13</v>
      </c>
    </row>
    <row r="4977">
      <c r="A4977" s="25" t="n">
        <v>46161</v>
      </c>
      <c r="B4977" s="18" t="n">
        <v>174278.86</v>
      </c>
      <c r="C4977" s="31" t="n"/>
      <c r="D4977" s="32" t="n"/>
      <c r="E4977" s="33" t="n">
        <v>2.8742</v>
      </c>
      <c r="F4977" t="inlineStr">
        <is>
          <t>Up</t>
        </is>
      </c>
      <c r="G4977" t="inlineStr">
        <is>
          <t>Down</t>
        </is>
      </c>
      <c r="H4977" t="inlineStr">
        <is>
          <t>EU_JD</t>
        </is>
      </c>
      <c r="I4977" t="inlineStr">
        <is>
          <t>2026-05</t>
        </is>
      </c>
      <c r="J4977" t="n">
        <v>1</v>
      </c>
      <c r="K4977" t="n">
        <v>1</v>
      </c>
      <c r="L4977" s="34">
        <f>IF($J4977=1,LN(B4978/B4977),"")</f>
        <v/>
      </c>
      <c r="M4977" s="34">
        <f>IF($K4977=1,INDEX(Mensal!$D$2:$D$245,MATCH($I4977,Mensal!$A$2:$A$245,0)),"")</f>
        <v/>
      </c>
      <c r="N4977" s="34">
        <f>IF($K4977=1,L4977-M4977,"")</f>
        <v/>
      </c>
      <c r="O4977" s="34" t="n">
        <v>0.0005340000000000001</v>
      </c>
      <c r="P4977" s="34">
        <f>IF($J4977=1,LN(1+O4977),"")</f>
        <v/>
      </c>
      <c r="Q4977" s="34">
        <f>IF($J4977=1,LN(R4978/R4977),"")</f>
        <v/>
      </c>
      <c r="R4977" s="32" t="n">
        <v>5.0378</v>
      </c>
      <c r="S4977" s="35" t="n">
        <v>14.12</v>
      </c>
      <c r="T4977" s="18" t="n">
        <v>174278.86</v>
      </c>
      <c r="U4977" s="18" t="n"/>
      <c r="V4977" s="18" t="n"/>
      <c r="W4977" s="18" t="n"/>
      <c r="X4977" s="35" t="n"/>
      <c r="Y4977" s="35" t="n">
        <v>14.12</v>
      </c>
    </row>
    <row r="4978">
      <c r="A4978" s="25" t="n">
        <v>46162</v>
      </c>
      <c r="B4978" s="18" t="n">
        <v>177355.73</v>
      </c>
      <c r="C4978" s="31" t="n"/>
      <c r="D4978" s="32" t="n"/>
      <c r="E4978" s="33" t="n">
        <v>2.8416</v>
      </c>
      <c r="F4978" t="inlineStr">
        <is>
          <t>Up</t>
        </is>
      </c>
      <c r="G4978" t="inlineStr">
        <is>
          <t>Down</t>
        </is>
      </c>
      <c r="H4978" t="inlineStr">
        <is>
          <t>EU_JD</t>
        </is>
      </c>
      <c r="I4978" t="inlineStr">
        <is>
          <t>2026-05</t>
        </is>
      </c>
      <c r="J4978" t="n">
        <v>1</v>
      </c>
      <c r="K4978" t="n">
        <v>1</v>
      </c>
      <c r="L4978" s="34">
        <f>IF($J4978=1,LN(B4979/B4978),"")</f>
        <v/>
      </c>
      <c r="M4978" s="34">
        <f>IF($K4978=1,INDEX(Mensal!$D$2:$D$245,MATCH($I4978,Mensal!$A$2:$A$245,0)),"")</f>
        <v/>
      </c>
      <c r="N4978" s="34">
        <f>IF($K4978=1,L4978-M4978,"")</f>
        <v/>
      </c>
      <c r="O4978" s="34" t="n">
        <v>0.0005340000000000001</v>
      </c>
      <c r="P4978" s="34">
        <f>IF($J4978=1,LN(1+O4978),"")</f>
        <v/>
      </c>
      <c r="Q4978" s="34">
        <f>IF($J4978=1,LN(R4979/R4978),"")</f>
        <v/>
      </c>
      <c r="R4978" s="32" t="n">
        <v>5.0301</v>
      </c>
      <c r="S4978" s="35" t="n">
        <v>14</v>
      </c>
      <c r="T4978" s="18" t="n">
        <v>177355.73</v>
      </c>
      <c r="U4978" s="18" t="n"/>
      <c r="V4978" s="18" t="n"/>
      <c r="W4978" s="18" t="n"/>
      <c r="X4978" s="35" t="n"/>
      <c r="Y4978" s="35" t="n">
        <v>14</v>
      </c>
    </row>
    <row r="4979">
      <c r="A4979" s="25" t="n">
        <v>46163</v>
      </c>
      <c r="B4979" s="18" t="n">
        <v>177649.86</v>
      </c>
      <c r="C4979" s="31" t="n"/>
      <c r="D4979" s="32" t="n"/>
      <c r="E4979" s="33" t="n">
        <v>2.8101</v>
      </c>
      <c r="F4979" t="inlineStr">
        <is>
          <t>Up</t>
        </is>
      </c>
      <c r="G4979" t="inlineStr">
        <is>
          <t>Down</t>
        </is>
      </c>
      <c r="H4979" t="inlineStr">
        <is>
          <t>EU_JD</t>
        </is>
      </c>
      <c r="I4979" t="inlineStr">
        <is>
          <t>2026-05</t>
        </is>
      </c>
      <c r="J4979" t="n">
        <v>1</v>
      </c>
      <c r="K4979" t="n">
        <v>1</v>
      </c>
      <c r="L4979" s="34">
        <f>IF($J4979=1,LN(B4980/B4979),"")</f>
        <v/>
      </c>
      <c r="M4979" s="34">
        <f>IF($K4979=1,INDEX(Mensal!$D$2:$D$245,MATCH($I4979,Mensal!$A$2:$A$245,0)),"")</f>
        <v/>
      </c>
      <c r="N4979" s="34">
        <f>IF($K4979=1,L4979-M4979,"")</f>
        <v/>
      </c>
      <c r="O4979" s="34" t="n">
        <v>0.0005340000000000001</v>
      </c>
      <c r="P4979" s="34">
        <f>IF($J4979=1,LN(1+O4979),"")</f>
        <v/>
      </c>
      <c r="Q4979" s="34">
        <f>IF($J4979=1,LN(R4980/R4979),"")</f>
        <v/>
      </c>
      <c r="R4979" s="32" t="n">
        <v>5.0077</v>
      </c>
      <c r="S4979" s="35" t="n">
        <v>13.97</v>
      </c>
      <c r="T4979" s="18" t="n">
        <v>177649.86</v>
      </c>
      <c r="U4979" s="18" t="n"/>
      <c r="V4979" s="18" t="n"/>
      <c r="W4979" s="18" t="n"/>
      <c r="X4979" s="35" t="n"/>
      <c r="Y4979" s="35" t="n">
        <v>13.97</v>
      </c>
    </row>
    <row r="4980">
      <c r="A4980" s="25" t="n">
        <v>46164</v>
      </c>
      <c r="B4980" s="18" t="n">
        <v>176209.61</v>
      </c>
      <c r="C4980" s="31" t="n"/>
      <c r="D4980" s="32" t="n"/>
      <c r="E4980" s="33" t="n">
        <v>2.7741</v>
      </c>
      <c r="F4980" t="inlineStr">
        <is>
          <t>Up</t>
        </is>
      </c>
      <c r="G4980" t="inlineStr">
        <is>
          <t>Down</t>
        </is>
      </c>
      <c r="H4980" t="inlineStr">
        <is>
          <t>EU_JD</t>
        </is>
      </c>
      <c r="I4980" t="inlineStr">
        <is>
          <t>2026-05</t>
        </is>
      </c>
      <c r="J4980" t="n">
        <v>1</v>
      </c>
      <c r="K4980" t="n">
        <v>1</v>
      </c>
      <c r="L4980" s="34">
        <f>IF($J4980=1,LN(B4981/B4980),"")</f>
        <v/>
      </c>
      <c r="M4980" s="34">
        <f>IF($K4980=1,INDEX(Mensal!$D$2:$D$245,MATCH($I4980,Mensal!$A$2:$A$245,0)),"")</f>
        <v/>
      </c>
      <c r="N4980" s="34">
        <f>IF($K4980=1,L4980-M4980,"")</f>
        <v/>
      </c>
      <c r="O4980" s="34" t="n">
        <v>0.0005340000000000001</v>
      </c>
      <c r="P4980" s="34">
        <f>IF($J4980=1,LN(1+O4980),"")</f>
        <v/>
      </c>
      <c r="Q4980" s="34">
        <f>IF($J4980=1,LN(R4981/R4980),"")</f>
        <v/>
      </c>
      <c r="R4980" s="32" t="n">
        <v>5.014</v>
      </c>
      <c r="S4980" s="35" t="n">
        <v>14</v>
      </c>
      <c r="T4980" s="18" t="n">
        <v>176209.61</v>
      </c>
      <c r="U4980" s="18" t="n"/>
      <c r="V4980" s="18" t="n"/>
      <c r="W4980" s="18" t="n"/>
      <c r="X4980" s="35" t="n"/>
      <c r="Y4980" s="35" t="n">
        <v>14</v>
      </c>
    </row>
    <row r="4981">
      <c r="A4981" s="25" t="n">
        <v>46167</v>
      </c>
      <c r="B4981" s="18" t="n">
        <v>177815.72</v>
      </c>
      <c r="C4981" s="31" t="n"/>
      <c r="D4981" s="32" t="n"/>
      <c r="E4981" s="33" t="n">
        <v>2.734</v>
      </c>
      <c r="F4981" t="inlineStr">
        <is>
          <t>Up</t>
        </is>
      </c>
      <c r="G4981" t="inlineStr">
        <is>
          <t>Down</t>
        </is>
      </c>
      <c r="H4981" t="inlineStr">
        <is>
          <t>EU_JD</t>
        </is>
      </c>
      <c r="I4981" t="inlineStr">
        <is>
          <t>2026-05</t>
        </is>
      </c>
      <c r="J4981" t="n">
        <v>1</v>
      </c>
      <c r="K4981" t="n">
        <v>1</v>
      </c>
      <c r="L4981" s="34">
        <f>IF($J4981=1,LN(B4982/B4981),"")</f>
        <v/>
      </c>
      <c r="M4981" s="34">
        <f>IF($K4981=1,INDEX(Mensal!$D$2:$D$245,MATCH($I4981,Mensal!$A$2:$A$245,0)),"")</f>
        <v/>
      </c>
      <c r="N4981" s="34">
        <f>IF($K4981=1,L4981-M4981,"")</f>
        <v/>
      </c>
      <c r="O4981" s="34" t="n">
        <v>0.0005340000000000001</v>
      </c>
      <c r="P4981" s="34">
        <f>IF($J4981=1,LN(1+O4981),"")</f>
        <v/>
      </c>
      <c r="Q4981" s="34">
        <f>IF($J4981=1,LN(R4982/R4981),"")</f>
        <v/>
      </c>
      <c r="R4981" s="32" t="n">
        <v>5.0072</v>
      </c>
      <c r="S4981" s="35" t="n">
        <v>13.89</v>
      </c>
      <c r="T4981" s="18" t="n">
        <v>177815.72</v>
      </c>
      <c r="U4981" s="18" t="n"/>
      <c r="V4981" s="18" t="n"/>
      <c r="W4981" s="18" t="n"/>
      <c r="X4981" s="35" t="n"/>
      <c r="Y4981" s="35" t="n">
        <v>13.89</v>
      </c>
    </row>
    <row r="4982">
      <c r="A4982" s="25" t="n">
        <v>46168</v>
      </c>
      <c r="B4982" s="18" t="n">
        <v>176589.03</v>
      </c>
      <c r="C4982" s="31" t="n"/>
      <c r="D4982" s="32" t="n"/>
      <c r="E4982" s="33" t="n">
        <v>2.6835</v>
      </c>
      <c r="F4982" t="inlineStr">
        <is>
          <t>Up</t>
        </is>
      </c>
      <c r="G4982" t="inlineStr">
        <is>
          <t>Down</t>
        </is>
      </c>
      <c r="H4982" t="inlineStr">
        <is>
          <t>EU_JD</t>
        </is>
      </c>
      <c r="I4982" t="inlineStr">
        <is>
          <t>2026-05</t>
        </is>
      </c>
      <c r="J4982" t="n">
        <v>1</v>
      </c>
      <c r="K4982" t="n">
        <v>1</v>
      </c>
      <c r="L4982" s="34">
        <f>IF($J4982=1,LN(B4983/B4982),"")</f>
        <v/>
      </c>
      <c r="M4982" s="34">
        <f>IF($K4982=1,INDEX(Mensal!$D$2:$D$245,MATCH($I4982,Mensal!$A$2:$A$245,0)),"")</f>
        <v/>
      </c>
      <c r="N4982" s="34">
        <f>IF($K4982=1,L4982-M4982,"")</f>
        <v/>
      </c>
      <c r="O4982" s="34" t="n">
        <v>0.0005340000000000001</v>
      </c>
      <c r="P4982" s="34">
        <f>IF($J4982=1,LN(1+O4982),"")</f>
        <v/>
      </c>
      <c r="Q4982" s="34">
        <f>IF($J4982=1,LN(R4983/R4982),"")</f>
        <v/>
      </c>
      <c r="R4982" s="32" t="n">
        <v>5.0211</v>
      </c>
      <c r="S4982" s="35" t="n">
        <v>13.98</v>
      </c>
      <c r="T4982" s="18" t="n">
        <v>176589.03</v>
      </c>
      <c r="U4982" s="18" t="n"/>
      <c r="V4982" s="18" t="n"/>
      <c r="W4982" s="18" t="n"/>
      <c r="X4982" s="35" t="n"/>
      <c r="Y4982" s="35" t="n">
        <v>13.98</v>
      </c>
    </row>
    <row r="4983">
      <c r="A4983" s="25" t="n">
        <v>46169</v>
      </c>
      <c r="B4983" s="18" t="n">
        <v>175744.37</v>
      </c>
      <c r="C4983" s="31" t="n"/>
      <c r="D4983" s="32" t="n"/>
      <c r="E4983" s="33" t="n">
        <v>2.6251</v>
      </c>
      <c r="F4983" t="inlineStr">
        <is>
          <t>Up</t>
        </is>
      </c>
      <c r="G4983" t="inlineStr">
        <is>
          <t>Down</t>
        </is>
      </c>
      <c r="H4983" t="inlineStr">
        <is>
          <t>EU_JD</t>
        </is>
      </c>
      <c r="I4983" t="inlineStr">
        <is>
          <t>2026-05</t>
        </is>
      </c>
      <c r="J4983" t="n">
        <v>1</v>
      </c>
      <c r="K4983" t="n">
        <v>1</v>
      </c>
      <c r="L4983" s="34">
        <f>IF($J4983=1,LN(B4984/B4983),"")</f>
        <v/>
      </c>
      <c r="M4983" s="34">
        <f>IF($K4983=1,INDEX(Mensal!$D$2:$D$245,MATCH($I4983,Mensal!$A$2:$A$245,0)),"")</f>
        <v/>
      </c>
      <c r="N4983" s="34">
        <f>IF($K4983=1,L4983-M4983,"")</f>
        <v/>
      </c>
      <c r="O4983" s="34" t="n">
        <v>0.0005340000000000001</v>
      </c>
      <c r="P4983" s="34">
        <f>IF($J4983=1,LN(1+O4983),"")</f>
        <v/>
      </c>
      <c r="Q4983" s="34">
        <f>IF($J4983=1,LN(R4984/R4983),"")</f>
        <v/>
      </c>
      <c r="R4983" s="32" t="n">
        <v>5.0579</v>
      </c>
      <c r="S4983" s="35" t="n">
        <v>13.99</v>
      </c>
      <c r="T4983" s="18" t="n">
        <v>175744.37</v>
      </c>
      <c r="U4983" s="18" t="n"/>
      <c r="V4983" s="18" t="n"/>
      <c r="W4983" s="18" t="n"/>
      <c r="X4983" s="35" t="n"/>
      <c r="Y4983" s="35" t="n">
        <v>13.99</v>
      </c>
    </row>
    <row r="4984">
      <c r="A4984" s="25" t="n">
        <v>46170</v>
      </c>
      <c r="B4984" s="18" t="n">
        <v>175063.41</v>
      </c>
      <c r="C4984" s="31" t="n"/>
      <c r="D4984" s="32" t="n"/>
      <c r="E4984" s="33" t="n">
        <v>2.5487</v>
      </c>
      <c r="F4984" t="inlineStr">
        <is>
          <t>Up</t>
        </is>
      </c>
      <c r="G4984" t="inlineStr">
        <is>
          <t>Down</t>
        </is>
      </c>
      <c r="H4984" t="inlineStr">
        <is>
          <t>EU_JD</t>
        </is>
      </c>
      <c r="I4984" t="inlineStr">
        <is>
          <t>2026-05</t>
        </is>
      </c>
      <c r="J4984" t="n">
        <v>1</v>
      </c>
      <c r="K4984" t="n">
        <v>1</v>
      </c>
      <c r="L4984" s="34">
        <f>IF($J4984=1,LN(B4985/B4984),"")</f>
        <v/>
      </c>
      <c r="M4984" s="34">
        <f>IF($K4984=1,INDEX(Mensal!$D$2:$D$245,MATCH($I4984,Mensal!$A$2:$A$245,0)),"")</f>
        <v/>
      </c>
      <c r="N4984" s="34">
        <f>IF($K4984=1,L4984-M4984,"")</f>
        <v/>
      </c>
      <c r="O4984" s="34" t="n">
        <v>0.0005340000000000001</v>
      </c>
      <c r="P4984" s="34">
        <f>IF($J4984=1,LN(1+O4984),"")</f>
        <v/>
      </c>
      <c r="Q4984" s="34">
        <f>IF($J4984=1,LN(R4985/R4984),"")</f>
        <v/>
      </c>
      <c r="R4984" s="32" t="n">
        <v>5.0517</v>
      </c>
      <c r="S4984" s="35" t="n">
        <v>13.98</v>
      </c>
      <c r="T4984" s="18" t="n">
        <v>175063.41</v>
      </c>
      <c r="U4984" s="18" t="n"/>
      <c r="V4984" s="18" t="n"/>
      <c r="W4984" s="18" t="n"/>
      <c r="X4984" s="35" t="n"/>
      <c r="Y4984" s="35" t="n">
        <v>13.98</v>
      </c>
    </row>
    <row r="4985">
      <c r="A4985" s="25" t="n">
        <v>46171</v>
      </c>
      <c r="B4985" s="18" t="n">
        <v>173787.49</v>
      </c>
      <c r="C4985" s="31" t="n"/>
      <c r="D4985" s="32" t="n"/>
      <c r="E4985" s="33" t="n">
        <v>2.4657</v>
      </c>
      <c r="F4985" t="inlineStr">
        <is>
          <t>Up</t>
        </is>
      </c>
      <c r="G4985" t="inlineStr">
        <is>
          <t>Down</t>
        </is>
      </c>
      <c r="H4985" t="inlineStr">
        <is>
          <t>EU_JD</t>
        </is>
      </c>
      <c r="I4985" t="inlineStr">
        <is>
          <t>2026-05</t>
        </is>
      </c>
      <c r="J4985" t="n">
        <v>1</v>
      </c>
      <c r="K4985" t="n">
        <v>1</v>
      </c>
      <c r="L4985" s="34">
        <f>IF($J4985=1,LN(B4986/B4985),"")</f>
        <v/>
      </c>
      <c r="M4985" s="34">
        <f>IF($K4985=1,INDEX(Mensal!$D$2:$D$245,MATCH($I4985,Mensal!$A$2:$A$245,0)),"")</f>
        <v/>
      </c>
      <c r="N4985" s="34">
        <f>IF($K4985=1,L4985-M4985,"")</f>
        <v/>
      </c>
      <c r="O4985" s="34" t="n">
        <v>0.0005340000000000001</v>
      </c>
      <c r="P4985" s="34">
        <f>IF($J4985=1,LN(1+O4985),"")</f>
        <v/>
      </c>
      <c r="Q4985" s="34">
        <f>IF($J4985=1,LN(R4986/R4985),"")</f>
        <v/>
      </c>
      <c r="R4985" s="32" t="n">
        <v>5.0569</v>
      </c>
      <c r="S4985" s="35" t="n">
        <v>14.03</v>
      </c>
      <c r="T4985" s="18" t="n">
        <v>173787.49</v>
      </c>
      <c r="U4985" s="18" t="n"/>
      <c r="V4985" s="18" t="n"/>
      <c r="W4985" s="18" t="n"/>
      <c r="X4985" s="35" t="n"/>
      <c r="Y4985" s="35" t="n">
        <v>14.03</v>
      </c>
    </row>
    <row r="4986">
      <c r="A4986" s="25" t="n">
        <v>46174</v>
      </c>
      <c r="B4986" s="18" t="n">
        <v>172197.46</v>
      </c>
      <c r="C4986" s="31" t="n"/>
      <c r="D4986" s="32" t="n"/>
      <c r="E4986" s="33" t="n">
        <v>2.3768</v>
      </c>
      <c r="F4986" t="inlineStr">
        <is>
          <t>Up</t>
        </is>
      </c>
      <c r="G4986" t="inlineStr">
        <is>
          <t>Down</t>
        </is>
      </c>
      <c r="H4986" t="inlineStr">
        <is>
          <t>EU_JD</t>
        </is>
      </c>
      <c r="I4986" t="inlineStr">
        <is>
          <t>2026-06</t>
        </is>
      </c>
      <c r="J4986" t="n">
        <v>1</v>
      </c>
      <c r="K4986" t="n">
        <v>1</v>
      </c>
      <c r="L4986" s="34">
        <f>IF($J4986=1,LN(B4987/B4986),"")</f>
        <v/>
      </c>
      <c r="M4986" s="34">
        <f>IF($K4986=1,INDEX(Mensal!$D$2:$D$245,MATCH($I4986,Mensal!$A$2:$A$245,0)),"")</f>
        <v/>
      </c>
      <c r="N4986" s="34">
        <f>IF($K4986=1,L4986-M4986,"")</f>
        <v/>
      </c>
      <c r="O4986" s="34" t="n">
        <v>0.0005340000000000001</v>
      </c>
      <c r="P4986" s="34">
        <f>IF($J4986=1,LN(1+O4986),"")</f>
        <v/>
      </c>
      <c r="Q4986" s="34">
        <f>IF($J4986=1,LN(R4987/R4986),"")</f>
        <v/>
      </c>
      <c r="R4986" s="32" t="n">
        <v>5.0303</v>
      </c>
      <c r="S4986" s="35" t="n">
        <v>14.15</v>
      </c>
      <c r="T4986" s="18" t="n">
        <v>172197.46</v>
      </c>
      <c r="U4986" s="18" t="n"/>
      <c r="V4986" s="18" t="n"/>
      <c r="W4986" s="18" t="n"/>
      <c r="X4986" s="35" t="n"/>
      <c r="Y4986" s="35" t="n">
        <v>14.15</v>
      </c>
    </row>
    <row r="4987">
      <c r="A4987" s="25" t="n">
        <v>46175</v>
      </c>
      <c r="B4987" s="18" t="n">
        <v>174197.64</v>
      </c>
      <c r="C4987" s="31" t="n"/>
      <c r="D4987" s="32" t="n"/>
      <c r="E4987" s="33" t="n">
        <v>2.2856</v>
      </c>
      <c r="F4987" t="inlineStr">
        <is>
          <t>Up</t>
        </is>
      </c>
      <c r="G4987" t="inlineStr">
        <is>
          <t>Down</t>
        </is>
      </c>
      <c r="H4987" t="inlineStr">
        <is>
          <t>EU_JD</t>
        </is>
      </c>
      <c r="I4987" t="inlineStr">
        <is>
          <t>2026-06</t>
        </is>
      </c>
      <c r="J4987" t="n">
        <v>1</v>
      </c>
      <c r="K4987" t="n">
        <v>1</v>
      </c>
      <c r="L4987" s="34">
        <f>IF($J4987=1,LN(B4988/B4987),"")</f>
        <v/>
      </c>
      <c r="M4987" s="34">
        <f>IF($K4987=1,INDEX(Mensal!$D$2:$D$245,MATCH($I4987,Mensal!$A$2:$A$245,0)),"")</f>
        <v/>
      </c>
      <c r="N4987" s="34">
        <f>IF($K4987=1,L4987-M4987,"")</f>
        <v/>
      </c>
      <c r="O4987" s="34" t="n">
        <v>0.0005340000000000001</v>
      </c>
      <c r="P4987" s="34">
        <f>IF($J4987=1,LN(1+O4987),"")</f>
        <v/>
      </c>
      <c r="Q4987" s="34">
        <f>IF($J4987=1,LN(R4988/R4987),"")</f>
        <v/>
      </c>
      <c r="R4987" s="32" t="n">
        <v>5.016</v>
      </c>
      <c r="S4987" s="35" t="n">
        <v>14.16</v>
      </c>
      <c r="T4987" s="18" t="n">
        <v>174197.64</v>
      </c>
      <c r="U4987" s="18" t="n"/>
      <c r="V4987" s="18" t="n"/>
      <c r="W4987" s="18" t="n"/>
      <c r="X4987" s="35" t="n"/>
      <c r="Y4987" s="35" t="n">
        <v>14.16</v>
      </c>
    </row>
    <row r="4988">
      <c r="A4988" s="25" t="n">
        <v>46176</v>
      </c>
      <c r="B4988" s="18" t="n">
        <v>170330.63</v>
      </c>
      <c r="C4988" s="31" t="n"/>
      <c r="D4988" s="32" t="n"/>
      <c r="E4988" s="33" t="n">
        <v>2.1872</v>
      </c>
      <c r="F4988" t="inlineStr">
        <is>
          <t>Up</t>
        </is>
      </c>
      <c r="G4988" t="inlineStr">
        <is>
          <t>Down</t>
        </is>
      </c>
      <c r="H4988" t="inlineStr">
        <is>
          <t>EU_JD</t>
        </is>
      </c>
      <c r="I4988" t="inlineStr">
        <is>
          <t>2026-06</t>
        </is>
      </c>
      <c r="J4988" t="n">
        <v>1</v>
      </c>
      <c r="K4988" t="n">
        <v>1</v>
      </c>
      <c r="L4988" s="34">
        <f>IF($J4988=1,LN(B4989/B4988),"")</f>
        <v/>
      </c>
      <c r="M4988" s="34">
        <f>IF($K4988=1,INDEX(Mensal!$D$2:$D$245,MATCH($I4988,Mensal!$A$2:$A$245,0)),"")</f>
        <v/>
      </c>
      <c r="N4988" s="34">
        <f>IF($K4988=1,L4988-M4988,"")</f>
        <v/>
      </c>
      <c r="O4988" s="34" t="n">
        <v>0.0005340000000000001</v>
      </c>
      <c r="P4988" s="34">
        <f>IF($J4988=1,LN(1+O4988),"")</f>
        <v/>
      </c>
      <c r="Q4988" s="34">
        <f>IF($J4988=1,LN(R4989/R4988),"")</f>
        <v/>
      </c>
      <c r="R4988" s="32" t="n">
        <v>5.0415</v>
      </c>
      <c r="S4988" s="35" t="n">
        <v>14.37</v>
      </c>
      <c r="T4988" s="18" t="n">
        <v>170330.63</v>
      </c>
      <c r="U4988" s="18" t="n"/>
      <c r="V4988" s="18" t="n"/>
      <c r="W4988" s="18" t="n"/>
      <c r="X4988" s="35" t="n"/>
      <c r="Y4988" s="35" t="n">
        <v>14.37</v>
      </c>
    </row>
    <row r="4989">
      <c r="A4989" s="25" t="n">
        <v>46178</v>
      </c>
      <c r="B4989" s="18" t="n">
        <v>169019.12</v>
      </c>
      <c r="C4989" s="31" t="n"/>
      <c r="D4989" s="32" t="n"/>
      <c r="E4989" s="33" t="n">
        <v>2.0946</v>
      </c>
      <c r="F4989" t="inlineStr">
        <is>
          <t>Up</t>
        </is>
      </c>
      <c r="G4989" t="inlineStr">
        <is>
          <t>Down</t>
        </is>
      </c>
      <c r="H4989" t="inlineStr">
        <is>
          <t>EU_JD</t>
        </is>
      </c>
      <c r="I4989" t="inlineStr">
        <is>
          <t>2026-06</t>
        </is>
      </c>
      <c r="J4989" t="n">
        <v>1</v>
      </c>
      <c r="K4989" t="n">
        <v>1</v>
      </c>
      <c r="L4989" s="34">
        <f>IF($J4989=1,LN(B4990/B4989),"")</f>
        <v/>
      </c>
      <c r="M4989" s="34">
        <f>IF($K4989=1,INDEX(Mensal!$D$2:$D$245,MATCH($I4989,Mensal!$A$2:$A$245,0)),"")</f>
        <v/>
      </c>
      <c r="N4989" s="34">
        <f>IF($K4989=1,L4989-M4989,"")</f>
        <v/>
      </c>
      <c r="O4989" s="34" t="n">
        <v>0.0005340000000000001</v>
      </c>
      <c r="P4989" s="34">
        <f>IF($J4989=1,LN(1+O4989),"")</f>
        <v/>
      </c>
      <c r="Q4989" s="34">
        <f>IF($J4989=1,LN(R4990/R4989),"")</f>
        <v/>
      </c>
      <c r="R4989" s="32" t="n">
        <v>5.1244</v>
      </c>
      <c r="S4989" s="35" t="n">
        <v>14.55</v>
      </c>
      <c r="T4989" s="18" t="n">
        <v>169019.12</v>
      </c>
      <c r="U4989" s="18" t="n"/>
      <c r="V4989" s="18" t="n"/>
      <c r="W4989" s="18" t="n"/>
      <c r="X4989" s="35" t="n"/>
      <c r="Y4989" s="35" t="n">
        <v>14.55</v>
      </c>
    </row>
    <row r="4990">
      <c r="A4990" s="25" t="n">
        <v>46181</v>
      </c>
      <c r="B4990" s="18" t="n">
        <v>168668.72</v>
      </c>
      <c r="C4990" s="31" t="n"/>
      <c r="D4990" s="32" t="n"/>
      <c r="E4990" s="33" t="n">
        <v>2.007</v>
      </c>
      <c r="F4990" t="inlineStr">
        <is>
          <t>Up</t>
        </is>
      </c>
      <c r="G4990" t="inlineStr">
        <is>
          <t>Down</t>
        </is>
      </c>
      <c r="H4990" t="inlineStr">
        <is>
          <t>EU_JD</t>
        </is>
      </c>
      <c r="I4990" t="inlineStr">
        <is>
          <t>2026-06</t>
        </is>
      </c>
      <c r="J4990" t="n">
        <v>1</v>
      </c>
      <c r="K4990" t="n">
        <v>1</v>
      </c>
      <c r="L4990" s="34">
        <f>IF($J4990=1,LN(B4991/B4990),"")</f>
        <v/>
      </c>
      <c r="M4990" s="34">
        <f>IF($K4990=1,INDEX(Mensal!$D$2:$D$245,MATCH($I4990,Mensal!$A$2:$A$245,0)),"")</f>
        <v/>
      </c>
      <c r="N4990" s="34">
        <f>IF($K4990=1,L4990-M4990,"")</f>
        <v/>
      </c>
      <c r="O4990" s="34" t="n">
        <v>0.0005340000000000001</v>
      </c>
      <c r="P4990" s="34">
        <f>IF($J4990=1,LN(1+O4990),"")</f>
        <v/>
      </c>
      <c r="Q4990" s="34">
        <f>IF($J4990=1,LN(R4991/R4990),"")</f>
        <v/>
      </c>
      <c r="R4990" s="32" t="n">
        <v>5.1695</v>
      </c>
      <c r="S4990" s="35" t="n">
        <v>14.73</v>
      </c>
      <c r="T4990" s="18" t="n">
        <v>168668.72</v>
      </c>
      <c r="U4990" s="18" t="n"/>
      <c r="V4990" s="18" t="n"/>
      <c r="W4990" s="18" t="n"/>
      <c r="X4990" s="35" t="n"/>
      <c r="Y4990" s="35" t="n">
        <v>14.73</v>
      </c>
    </row>
    <row r="4991">
      <c r="A4991" s="25" t="n">
        <v>46182</v>
      </c>
      <c r="B4991" s="18" t="n">
        <v>169813.15</v>
      </c>
      <c r="C4991" s="31" t="n"/>
      <c r="D4991" s="32" t="n"/>
      <c r="E4991" s="33" t="n">
        <v>1.9022</v>
      </c>
      <c r="F4991" t="inlineStr">
        <is>
          <t>Up</t>
        </is>
      </c>
      <c r="G4991" t="inlineStr">
        <is>
          <t>Down</t>
        </is>
      </c>
      <c r="H4991" t="inlineStr">
        <is>
          <t>EU_JD</t>
        </is>
      </c>
      <c r="I4991" t="inlineStr">
        <is>
          <t>2026-06</t>
        </is>
      </c>
      <c r="J4991" t="n">
        <v>1</v>
      </c>
      <c r="K4991" t="n">
        <v>1</v>
      </c>
      <c r="L4991" s="34">
        <f>IF($J4991=1,LN(B4992/B4991),"")</f>
        <v/>
      </c>
      <c r="M4991" s="34">
        <f>IF($K4991=1,INDEX(Mensal!$D$2:$D$245,MATCH($I4991,Mensal!$A$2:$A$245,0)),"")</f>
        <v/>
      </c>
      <c r="N4991" s="34">
        <f>IF($K4991=1,L4991-M4991,"")</f>
        <v/>
      </c>
      <c r="O4991" s="34" t="n">
        <v>0.0005340000000000001</v>
      </c>
      <c r="P4991" s="34">
        <f>IF($J4991=1,LN(1+O4991),"")</f>
        <v/>
      </c>
      <c r="Q4991" s="34">
        <f>IF($J4991=1,LN(R4992/R4991),"")</f>
        <v/>
      </c>
      <c r="R4991" s="32" t="n">
        <v>5.1693</v>
      </c>
      <c r="S4991" s="35" t="n">
        <v>14.82</v>
      </c>
      <c r="T4991" s="18" t="n">
        <v>169813.15</v>
      </c>
      <c r="U4991" s="18" t="n"/>
      <c r="V4991" s="18" t="n"/>
      <c r="W4991" s="18" t="n"/>
      <c r="X4991" s="35" t="n"/>
      <c r="Y4991" s="35" t="n">
        <v>14.82</v>
      </c>
    </row>
    <row r="4992">
      <c r="A4992" s="25" t="n">
        <v>46183</v>
      </c>
      <c r="B4992" s="18" t="n">
        <v>168619.26</v>
      </c>
      <c r="C4992" s="31" t="n"/>
      <c r="D4992" s="32" t="n"/>
      <c r="E4992" s="33" t="n">
        <v>1.7967</v>
      </c>
      <c r="F4992" t="inlineStr">
        <is>
          <t>Up</t>
        </is>
      </c>
      <c r="G4992" t="inlineStr">
        <is>
          <t>Down</t>
        </is>
      </c>
      <c r="H4992" t="inlineStr">
        <is>
          <t>EU_JD</t>
        </is>
      </c>
      <c r="I4992" t="inlineStr">
        <is>
          <t>2026-06</t>
        </is>
      </c>
      <c r="J4992" t="n">
        <v>1</v>
      </c>
      <c r="K4992" t="n">
        <v>1</v>
      </c>
      <c r="L4992" s="34">
        <f>IF($J4992=1,LN(B4993/B4992),"")</f>
        <v/>
      </c>
      <c r="M4992" s="34">
        <f>IF($K4992=1,INDEX(Mensal!$D$2:$D$245,MATCH($I4992,Mensal!$A$2:$A$245,0)),"")</f>
        <v/>
      </c>
      <c r="N4992" s="34">
        <f>IF($K4992=1,L4992-M4992,"")</f>
        <v/>
      </c>
      <c r="O4992" s="34" t="n">
        <v>0.0005340000000000001</v>
      </c>
      <c r="P4992" s="34">
        <f>IF($J4992=1,LN(1+O4992),"")</f>
        <v/>
      </c>
      <c r="Q4992" s="34">
        <f>IF($J4992=1,LN(R4993/R4992),"")</f>
        <v/>
      </c>
      <c r="R4992" s="32" t="n">
        <v>5.1763</v>
      </c>
      <c r="S4992" s="35" t="n">
        <v>14.81</v>
      </c>
      <c r="T4992" s="18" t="n">
        <v>168619.26</v>
      </c>
      <c r="U4992" s="18" t="n"/>
      <c r="V4992" s="18" t="n"/>
      <c r="W4992" s="18" t="n"/>
      <c r="X4992" s="35" t="n"/>
      <c r="Y4992" s="35" t="n">
        <v>14.81</v>
      </c>
    </row>
    <row r="4993">
      <c r="A4993" s="25" t="n">
        <v>46184</v>
      </c>
      <c r="B4993" s="18" t="n">
        <v>171497.24</v>
      </c>
      <c r="C4993" s="31" t="n"/>
      <c r="D4993" s="32" t="n"/>
      <c r="E4993" s="33" t="n">
        <v>1.6907</v>
      </c>
      <c r="F4993" t="inlineStr">
        <is>
          <t>Up</t>
        </is>
      </c>
      <c r="G4993" t="inlineStr">
        <is>
          <t>Down</t>
        </is>
      </c>
      <c r="H4993" t="inlineStr">
        <is>
          <t>EU_JD</t>
        </is>
      </c>
      <c r="I4993" t="inlineStr">
        <is>
          <t>2026-06</t>
        </is>
      </c>
      <c r="J4993" t="n">
        <v>1</v>
      </c>
      <c r="K4993" t="n">
        <v>1</v>
      </c>
      <c r="L4993" s="34">
        <f>IF($J4993=1,LN(B4994/B4993),"")</f>
        <v/>
      </c>
      <c r="M4993" s="34">
        <f>IF($K4993=1,INDEX(Mensal!$D$2:$D$245,MATCH($I4993,Mensal!$A$2:$A$245,0)),"")</f>
        <v/>
      </c>
      <c r="N4993" s="34">
        <f>IF($K4993=1,L4993-M4993,"")</f>
        <v/>
      </c>
      <c r="O4993" s="34" t="n">
        <v>0.0005340000000000001</v>
      </c>
      <c r="P4993" s="34">
        <f>IF($J4993=1,LN(1+O4993),"")</f>
        <v/>
      </c>
      <c r="Q4993" s="34">
        <f>IF($J4993=1,LN(R4994/R4993),"")</f>
        <v/>
      </c>
      <c r="R4993" s="32" t="n">
        <v>5.1478</v>
      </c>
      <c r="S4993" s="35" t="n">
        <v>14.56</v>
      </c>
      <c r="T4993" s="18" t="n">
        <v>171497.24</v>
      </c>
      <c r="U4993" s="18" t="n"/>
      <c r="V4993" s="18" t="n"/>
      <c r="W4993" s="18" t="n"/>
      <c r="X4993" s="35" t="n"/>
      <c r="Y4993" s="35" t="n">
        <v>14.56</v>
      </c>
    </row>
    <row r="4994">
      <c r="A4994" s="25" t="n">
        <v>46185</v>
      </c>
      <c r="B4994" s="18" t="n">
        <v>171132.66</v>
      </c>
      <c r="C4994" s="31" t="n"/>
      <c r="D4994" s="32" t="n"/>
      <c r="E4994" s="33" t="n">
        <v>1.5827</v>
      </c>
      <c r="F4994" t="inlineStr">
        <is>
          <t>Up</t>
        </is>
      </c>
      <c r="G4994" t="inlineStr">
        <is>
          <t>Down</t>
        </is>
      </c>
      <c r="H4994" t="inlineStr">
        <is>
          <t>EU_JD</t>
        </is>
      </c>
      <c r="I4994" t="inlineStr">
        <is>
          <t>2026-06</t>
        </is>
      </c>
      <c r="J4994" t="n">
        <v>1</v>
      </c>
      <c r="K4994" t="n">
        <v>1</v>
      </c>
      <c r="L4994" s="34">
        <f>IF($J4994=1,LN(B4995/B4994),"")</f>
        <v/>
      </c>
      <c r="M4994" s="34">
        <f>IF($K4994=1,INDEX(Mensal!$D$2:$D$245,MATCH($I4994,Mensal!$A$2:$A$245,0)),"")</f>
        <v/>
      </c>
      <c r="N4994" s="34">
        <f>IF($K4994=1,L4994-M4994,"")</f>
        <v/>
      </c>
      <c r="O4994" s="34" t="n">
        <v>0.0005340000000000001</v>
      </c>
      <c r="P4994" s="34">
        <f>IF($J4994=1,LN(1+O4994),"")</f>
        <v/>
      </c>
      <c r="Q4994" s="34">
        <f>IF($J4994=1,LN(R4995/R4994),"")</f>
        <v/>
      </c>
      <c r="R4994" s="32" t="n">
        <v>5.0827</v>
      </c>
      <c r="S4994" s="35" t="n">
        <v>14.55</v>
      </c>
      <c r="T4994" s="18" t="n">
        <v>171132.66</v>
      </c>
      <c r="U4994" s="18" t="n"/>
      <c r="V4994" s="18" t="n"/>
      <c r="W4994" s="18" t="n"/>
      <c r="X4994" s="35" t="n"/>
      <c r="Y4994" s="35" t="n">
        <v>14.55</v>
      </c>
    </row>
    <row r="4995">
      <c r="A4995" s="25" t="n">
        <v>46188</v>
      </c>
      <c r="B4995" s="18" t="n">
        <v>170415.13</v>
      </c>
      <c r="C4995" s="31" t="n"/>
      <c r="D4995" s="32" t="n"/>
      <c r="E4995" s="33" t="n">
        <v>1.4815</v>
      </c>
      <c r="F4995" t="inlineStr">
        <is>
          <t>Up</t>
        </is>
      </c>
      <c r="G4995" t="inlineStr">
        <is>
          <t>Down</t>
        </is>
      </c>
      <c r="H4995" t="inlineStr">
        <is>
          <t>EU_JD</t>
        </is>
      </c>
      <c r="I4995" t="inlineStr">
        <is>
          <t>2026-06</t>
        </is>
      </c>
      <c r="J4995" t="n">
        <v>1</v>
      </c>
      <c r="K4995" t="n">
        <v>1</v>
      </c>
      <c r="L4995" s="34">
        <f>IF($J4995=1,LN(B4996/B4995),"")</f>
        <v/>
      </c>
      <c r="M4995" s="34">
        <f>IF($K4995=1,INDEX(Mensal!$D$2:$D$245,MATCH($I4995,Mensal!$A$2:$A$245,0)),"")</f>
        <v/>
      </c>
      <c r="N4995" s="34">
        <f>IF($K4995=1,L4995-M4995,"")</f>
        <v/>
      </c>
      <c r="O4995" s="34" t="n">
        <v>0.0005340000000000001</v>
      </c>
      <c r="P4995" s="34">
        <f>IF($J4995=1,LN(1+O4995),"")</f>
        <v/>
      </c>
      <c r="Q4995" s="34">
        <f>IF($J4995=1,LN(R4996/R4995),"")</f>
        <v/>
      </c>
      <c r="R4995" s="32" t="n">
        <v>5.043</v>
      </c>
      <c r="S4995" s="35" t="n">
        <v>14.2131</v>
      </c>
      <c r="T4995" s="18" t="n">
        <v>170415.13</v>
      </c>
      <c r="U4995" s="18" t="n"/>
      <c r="V4995" s="18" t="n"/>
      <c r="W4995" s="18" t="n"/>
      <c r="X4995" s="35" t="n"/>
      <c r="Y4995" s="35" t="n">
        <v>14.2131</v>
      </c>
    </row>
    <row r="4996">
      <c r="A4996" s="25" t="n">
        <v>46189</v>
      </c>
      <c r="B4996" s="18" t="n">
        <v>169648.47</v>
      </c>
      <c r="C4996" s="31" t="n"/>
      <c r="D4996" s="32" t="n"/>
      <c r="E4996" s="33" t="n">
        <v>1.3773</v>
      </c>
      <c r="F4996" t="inlineStr">
        <is>
          <t>Up</t>
        </is>
      </c>
      <c r="G4996" t="inlineStr">
        <is>
          <t>Down</t>
        </is>
      </c>
      <c r="H4996" t="inlineStr">
        <is>
          <t>EU_JD</t>
        </is>
      </c>
      <c r="I4996" t="inlineStr">
        <is>
          <t>2026-06</t>
        </is>
      </c>
      <c r="J4996" t="n">
        <v>1</v>
      </c>
      <c r="K4996" t="n">
        <v>1</v>
      </c>
      <c r="L4996" s="34">
        <f>IF($J4996=1,LN(B4997/B4996),"")</f>
        <v/>
      </c>
      <c r="M4996" s="34">
        <f>IF($K4996=1,INDEX(Mensal!$D$2:$D$245,MATCH($I4996,Mensal!$A$2:$A$245,0)),"")</f>
        <v/>
      </c>
      <c r="N4996" s="34">
        <f>IF($K4996=1,L4996-M4996,"")</f>
        <v/>
      </c>
      <c r="O4996" s="34" t="n">
        <v>0.0005340000000000001</v>
      </c>
      <c r="P4996" s="34">
        <f>IF($J4996=1,LN(1+O4996),"")</f>
        <v/>
      </c>
      <c r="Q4996" s="34">
        <f>IF($J4996=1,LN(R4997/R4996),"")</f>
        <v/>
      </c>
      <c r="R4996" s="32" t="n">
        <v>5.078</v>
      </c>
      <c r="S4996" s="35" t="n">
        <v>14.3125</v>
      </c>
      <c r="T4996" s="18" t="n">
        <v>169648.47</v>
      </c>
      <c r="U4996" s="18" t="n"/>
      <c r="V4996" s="18" t="n"/>
      <c r="W4996" s="18" t="n"/>
      <c r="X4996" s="35" t="n"/>
      <c r="Y4996" s="35" t="n">
        <v>14.3125</v>
      </c>
    </row>
    <row r="4997">
      <c r="A4997" s="25" t="n">
        <v>46190</v>
      </c>
      <c r="B4997" s="18" t="n">
        <v>168453.93</v>
      </c>
      <c r="C4997" s="31" t="n"/>
      <c r="D4997" s="32" t="n"/>
      <c r="E4997" s="33" t="n">
        <v>1.2717</v>
      </c>
      <c r="F4997" t="inlineStr">
        <is>
          <t>Up</t>
        </is>
      </c>
      <c r="G4997" t="inlineStr">
        <is>
          <t>Down</t>
        </is>
      </c>
      <c r="H4997" t="inlineStr">
        <is>
          <t>EU_JD</t>
        </is>
      </c>
      <c r="I4997" t="inlineStr">
        <is>
          <t>2026-06</t>
        </is>
      </c>
      <c r="J4997" t="n">
        <v>1</v>
      </c>
      <c r="K4997" t="n">
        <v>1</v>
      </c>
      <c r="L4997" s="34">
        <f>IF($J4997=1,LN(B4998/B4997),"")</f>
        <v/>
      </c>
      <c r="M4997" s="34">
        <f>IF($K4997=1,INDEX(Mensal!$D$2:$D$245,MATCH($I4997,Mensal!$A$2:$A$245,0)),"")</f>
        <v/>
      </c>
      <c r="N4997" s="34">
        <f>IF($K4997=1,L4997-M4997,"")</f>
        <v/>
      </c>
      <c r="O4997" s="34" t="n">
        <v>0.0005340000000000001</v>
      </c>
      <c r="P4997" s="34">
        <f>IF($J4997=1,LN(1+O4997),"")</f>
        <v/>
      </c>
      <c r="Q4997" s="34">
        <f>IF($J4997=1,LN(R4998/R4997),"")</f>
        <v/>
      </c>
      <c r="R4997" s="32" t="n">
        <v>5.0641</v>
      </c>
      <c r="S4997" s="35" t="n">
        <v>14.4029</v>
      </c>
      <c r="T4997" s="18" t="n">
        <v>168453.93</v>
      </c>
      <c r="U4997" s="18" t="n"/>
      <c r="V4997" s="18" t="n"/>
      <c r="W4997" s="18" t="n"/>
      <c r="X4997" s="35" t="n"/>
      <c r="Y4997" s="35" t="n">
        <v>14.4029</v>
      </c>
    </row>
    <row r="4998">
      <c r="A4998" s="25" t="n">
        <v>46191</v>
      </c>
      <c r="B4998" s="18" t="n">
        <v>168277.55</v>
      </c>
      <c r="C4998" s="31" t="n"/>
      <c r="D4998" s="32" t="n"/>
      <c r="E4998" s="33" t="n">
        <v>1.1623</v>
      </c>
      <c r="F4998" t="inlineStr">
        <is>
          <t>Up</t>
        </is>
      </c>
      <c r="G4998" t="inlineStr">
        <is>
          <t>Down</t>
        </is>
      </c>
      <c r="H4998" t="inlineStr">
        <is>
          <t>EU_JD</t>
        </is>
      </c>
      <c r="I4998" t="inlineStr">
        <is>
          <t>2026-06</t>
        </is>
      </c>
      <c r="J4998" t="n">
        <v>1</v>
      </c>
      <c r="K4998" t="n">
        <v>1</v>
      </c>
      <c r="L4998" s="34">
        <f>IF($J4998=1,LN(B4999/B4998),"")</f>
        <v/>
      </c>
      <c r="M4998" s="34">
        <f>IF($K4998=1,INDEX(Mensal!$D$2:$D$245,MATCH($I4998,Mensal!$A$2:$A$245,0)),"")</f>
        <v/>
      </c>
      <c r="N4998" s="34">
        <f>IF($K4998=1,L4998-M4998,"")</f>
        <v/>
      </c>
      <c r="O4998" s="34" t="n">
        <v>0.00052531</v>
      </c>
      <c r="P4998" s="34">
        <f>IF($J4998=1,LN(1+O4998),"")</f>
        <v/>
      </c>
      <c r="Q4998" s="34">
        <f>IF($J4998=1,LN(R4999/R4998),"")</f>
        <v/>
      </c>
      <c r="R4998" s="32" t="n">
        <v>5.1613</v>
      </c>
      <c r="S4998" s="35" t="n">
        <v>14.4249</v>
      </c>
      <c r="T4998" s="18" t="n">
        <v>168277.55</v>
      </c>
      <c r="U4998" s="18" t="n"/>
      <c r="V4998" s="18" t="n"/>
      <c r="W4998" s="18" t="n"/>
      <c r="X4998" s="35" t="n"/>
      <c r="Y4998" s="35" t="n">
        <v>14.4249</v>
      </c>
    </row>
    <row r="4999">
      <c r="A4999" s="25" t="n">
        <v>46192</v>
      </c>
      <c r="B4999" s="18" t="n">
        <v>168333.61</v>
      </c>
      <c r="C4999" s="31" t="n"/>
      <c r="D4999" s="32" t="n"/>
      <c r="E4999" s="33" t="n">
        <v>1.0816</v>
      </c>
      <c r="F4999" t="inlineStr">
        <is>
          <t>Up</t>
        </is>
      </c>
      <c r="G4999" t="inlineStr">
        <is>
          <t>Down</t>
        </is>
      </c>
      <c r="H4999" t="inlineStr">
        <is>
          <t>EU_JD</t>
        </is>
      </c>
      <c r="I4999" t="inlineStr">
        <is>
          <t>2026-06</t>
        </is>
      </c>
      <c r="J4999" t="n">
        <v>1</v>
      </c>
      <c r="K4999" t="n">
        <v>1</v>
      </c>
      <c r="L4999" s="34">
        <f>IF($J4999=1,LN(B5000/B4999),"")</f>
        <v/>
      </c>
      <c r="M4999" s="34">
        <f>IF($K4999=1,INDEX(Mensal!$D$2:$D$245,MATCH($I4999,Mensal!$A$2:$A$245,0)),"")</f>
        <v/>
      </c>
      <c r="N4999" s="34">
        <f>IF($K4999=1,L4999-M4999,"")</f>
        <v/>
      </c>
      <c r="O4999" s="34" t="n">
        <v>0.00052531</v>
      </c>
      <c r="P4999" s="34">
        <f>IF($J4999=1,LN(1+O4999),"")</f>
        <v/>
      </c>
      <c r="Q4999" s="34">
        <f>IF($J4999=1,LN(R5000/R4999),"")</f>
        <v/>
      </c>
      <c r="R4999" s="32" t="n">
        <v>5.1442</v>
      </c>
      <c r="S4999" s="35" t="n">
        <v>14.462</v>
      </c>
      <c r="T4999" s="18" t="n">
        <v>168333.61</v>
      </c>
      <c r="U4999" s="18" t="n"/>
      <c r="V4999" s="18" t="n"/>
      <c r="W4999" s="18" t="n"/>
      <c r="X4999" s="35" t="n"/>
      <c r="Y4999" s="35" t="n">
        <v>14.462</v>
      </c>
    </row>
    <row r="5000">
      <c r="A5000" s="25" t="n">
        <v>46195</v>
      </c>
      <c r="B5000" s="18" t="n">
        <v>170370.38</v>
      </c>
      <c r="C5000" s="31" t="n"/>
      <c r="D5000" s="32" t="n"/>
      <c r="E5000" s="33" t="n">
        <v>1.0272</v>
      </c>
      <c r="F5000" t="inlineStr">
        <is>
          <t>Up</t>
        </is>
      </c>
      <c r="G5000" t="inlineStr">
        <is>
          <t>Down</t>
        </is>
      </c>
      <c r="H5000" t="inlineStr">
        <is>
          <t>EU_JD</t>
        </is>
      </c>
      <c r="I5000" t="inlineStr">
        <is>
          <t>2026-06</t>
        </is>
      </c>
      <c r="J5000" t="n">
        <v>1</v>
      </c>
      <c r="K5000" t="n">
        <v>1</v>
      </c>
      <c r="L5000" s="34">
        <f>IF($J5000=1,LN(B5001/B5000),"")</f>
        <v/>
      </c>
      <c r="M5000" s="34">
        <f>IF($K5000=1,INDEX(Mensal!$D$2:$D$245,MATCH($I5000,Mensal!$A$2:$A$245,0)),"")</f>
        <v/>
      </c>
      <c r="N5000" s="34">
        <f>IF($K5000=1,L5000-M5000,"")</f>
        <v/>
      </c>
      <c r="O5000" s="34" t="n">
        <v>0.00052531</v>
      </c>
      <c r="P5000" s="34">
        <f>IF($J5000=1,LN(1+O5000),"")</f>
        <v/>
      </c>
      <c r="Q5000" s="34">
        <f>IF($J5000=1,LN(R5001/R5000),"")</f>
        <v/>
      </c>
      <c r="R5000" s="32" t="n">
        <v>5.1395</v>
      </c>
      <c r="S5000" s="35" t="n">
        <v>14.4206</v>
      </c>
      <c r="T5000" s="18" t="n">
        <v>170370.38</v>
      </c>
      <c r="U5000" s="18" t="n"/>
      <c r="V5000" s="18" t="n"/>
      <c r="W5000" s="18" t="n"/>
      <c r="X5000" s="35" t="n"/>
      <c r="Y5000" s="35" t="n">
        <v>14.4206</v>
      </c>
    </row>
    <row r="5001">
      <c r="A5001" s="25" t="n">
        <v>46196</v>
      </c>
      <c r="B5001" s="18" t="n">
        <v>171258.87</v>
      </c>
      <c r="C5001" s="31" t="n"/>
      <c r="D5001" s="32" t="n"/>
      <c r="E5001" s="33" t="n">
        <v>0.9771</v>
      </c>
      <c r="F5001" t="inlineStr">
        <is>
          <t>Up</t>
        </is>
      </c>
      <c r="G5001" t="inlineStr">
        <is>
          <t>Down</t>
        </is>
      </c>
      <c r="H5001" t="inlineStr">
        <is>
          <t>EU_JD</t>
        </is>
      </c>
      <c r="I5001" t="inlineStr">
        <is>
          <t>2026-06</t>
        </is>
      </c>
      <c r="J5001" t="n">
        <v>1</v>
      </c>
      <c r="K5001" t="n">
        <v>1</v>
      </c>
      <c r="L5001" s="34">
        <f>IF($J5001=1,LN(B5002/B5001),"")</f>
        <v/>
      </c>
      <c r="M5001" s="34">
        <f>IF($K5001=1,INDEX(Mensal!$D$2:$D$245,MATCH($I5001,Mensal!$A$2:$A$245,0)),"")</f>
        <v/>
      </c>
      <c r="N5001" s="34">
        <f>IF($K5001=1,L5001-M5001,"")</f>
        <v/>
      </c>
      <c r="O5001" s="34" t="n">
        <v>0.00052531</v>
      </c>
      <c r="P5001" s="34">
        <f>IF($J5001=1,LN(1+O5001),"")</f>
        <v/>
      </c>
      <c r="Q5001" s="34">
        <f>IF($J5001=1,LN(R5002/R5001),"")</f>
        <v/>
      </c>
      <c r="R5001" s="32" t="n">
        <v>5.1743</v>
      </c>
      <c r="S5001" s="35" t="n">
        <v>14.3248</v>
      </c>
      <c r="T5001" s="18" t="n">
        <v>171258.87</v>
      </c>
      <c r="U5001" s="18" t="n"/>
      <c r="V5001" s="18" t="n"/>
      <c r="W5001" s="18" t="n"/>
      <c r="X5001" s="35" t="n"/>
      <c r="Y5001" s="35" t="n">
        <v>14.3248</v>
      </c>
    </row>
    <row r="5002">
      <c r="A5002" s="25" t="n">
        <v>46197</v>
      </c>
      <c r="B5002" s="18" t="n">
        <v>170506.66</v>
      </c>
      <c r="C5002" s="31" t="n"/>
      <c r="D5002" s="32" t="n"/>
      <c r="E5002" s="33" t="n">
        <v>0.9295</v>
      </c>
      <c r="F5002" t="inlineStr">
        <is>
          <t>Up</t>
        </is>
      </c>
      <c r="G5002" t="inlineStr">
        <is>
          <t>Down</t>
        </is>
      </c>
      <c r="H5002" t="inlineStr">
        <is>
          <t>EU_JD</t>
        </is>
      </c>
      <c r="I5002" t="inlineStr">
        <is>
          <t>2026-06</t>
        </is>
      </c>
      <c r="J5002" t="n">
        <v>1</v>
      </c>
      <c r="K5002" t="n">
        <v>1</v>
      </c>
      <c r="L5002" s="34">
        <f>IF($J5002=1,LN(B5003/B5002),"")</f>
        <v/>
      </c>
      <c r="M5002" s="34">
        <f>IF($K5002=1,INDEX(Mensal!$D$2:$D$245,MATCH($I5002,Mensal!$A$2:$A$245,0)),"")</f>
        <v/>
      </c>
      <c r="N5002" s="34">
        <f>IF($K5002=1,L5002-M5002,"")</f>
        <v/>
      </c>
      <c r="O5002" s="34" t="n">
        <v>0.00052531</v>
      </c>
      <c r="P5002" s="34">
        <f>IF($J5002=1,LN(1+O5002),"")</f>
        <v/>
      </c>
      <c r="Q5002" s="34">
        <f>IF($J5002=1,LN(R5003/R5002),"")</f>
        <v/>
      </c>
      <c r="R5002" s="32" t="n">
        <v>5.2098</v>
      </c>
      <c r="S5002" s="35" t="n">
        <v>14.0956</v>
      </c>
      <c r="T5002" s="18" t="n">
        <v>170506.66</v>
      </c>
      <c r="U5002" s="18" t="n"/>
      <c r="V5002" s="18" t="n"/>
      <c r="W5002" s="18" t="n"/>
      <c r="X5002" s="35" t="n"/>
      <c r="Y5002" s="35" t="n">
        <v>14.0956</v>
      </c>
    </row>
    <row r="5003">
      <c r="A5003" s="25" t="n">
        <v>46198</v>
      </c>
      <c r="B5003" s="18" t="n">
        <v>171990.2</v>
      </c>
      <c r="C5003" s="31" t="n"/>
      <c r="D5003" s="32" t="n"/>
      <c r="E5003" s="33" t="n">
        <v>0.8766</v>
      </c>
      <c r="F5003" t="inlineStr">
        <is>
          <t>Up</t>
        </is>
      </c>
      <c r="G5003" t="inlineStr">
        <is>
          <t>Down</t>
        </is>
      </c>
      <c r="H5003" t="inlineStr">
        <is>
          <t>EU_JD</t>
        </is>
      </c>
      <c r="I5003" t="inlineStr">
        <is>
          <t>2026-06</t>
        </is>
      </c>
      <c r="J5003" t="n">
        <v>1</v>
      </c>
      <c r="K5003" t="n">
        <v>1</v>
      </c>
      <c r="L5003" s="34">
        <f>IF($J5003=1,LN(B5004/B5003),"")</f>
        <v/>
      </c>
      <c r="M5003" s="34">
        <f>IF($K5003=1,INDEX(Mensal!$D$2:$D$245,MATCH($I5003,Mensal!$A$2:$A$245,0)),"")</f>
        <v/>
      </c>
      <c r="N5003" s="34">
        <f>IF($K5003=1,L5003-M5003,"")</f>
        <v/>
      </c>
      <c r="O5003" s="34" t="n">
        <v>0.00052531</v>
      </c>
      <c r="P5003" s="34">
        <f>IF($J5003=1,LN(1+O5003),"")</f>
        <v/>
      </c>
      <c r="Q5003" s="34">
        <f>IF($J5003=1,LN(R5004/R5003),"")</f>
        <v/>
      </c>
      <c r="R5003" s="32" t="n">
        <v>5.1892</v>
      </c>
      <c r="S5003" s="35" t="n">
        <v>14.0711</v>
      </c>
      <c r="T5003" s="18" t="n">
        <v>171990.2</v>
      </c>
      <c r="U5003" s="18" t="n"/>
      <c r="V5003" s="18" t="n"/>
      <c r="W5003" s="18" t="n"/>
      <c r="X5003" s="35" t="n"/>
      <c r="Y5003" s="35" t="n">
        <v>14.0711</v>
      </c>
    </row>
    <row r="5004">
      <c r="A5004" s="25" t="n">
        <v>46199</v>
      </c>
      <c r="B5004" s="18" t="n">
        <v>173295.14</v>
      </c>
      <c r="C5004" s="31" t="n"/>
      <c r="D5004" s="32" t="n"/>
      <c r="E5004" s="33" t="n">
        <v>0.8221000000000001</v>
      </c>
      <c r="F5004" t="inlineStr">
        <is>
          <t>Up</t>
        </is>
      </c>
      <c r="G5004" t="inlineStr">
        <is>
          <t>Down</t>
        </is>
      </c>
      <c r="H5004" t="inlineStr">
        <is>
          <t>EU_JD</t>
        </is>
      </c>
      <c r="I5004" t="inlineStr">
        <is>
          <t>2026-06</t>
        </is>
      </c>
      <c r="J5004" t="n">
        <v>1</v>
      </c>
      <c r="K5004" t="n">
        <v>1</v>
      </c>
      <c r="L5004" s="34">
        <f>IF($J5004=1,LN(B5005/B5004),"")</f>
        <v/>
      </c>
      <c r="M5004" s="34">
        <f>IF($K5004=1,INDEX(Mensal!$D$2:$D$245,MATCH($I5004,Mensal!$A$2:$A$245,0)),"")</f>
        <v/>
      </c>
      <c r="N5004" s="34">
        <f>IF($K5004=1,L5004-M5004,"")</f>
        <v/>
      </c>
      <c r="O5004" s="34" t="n">
        <v>0.00052531</v>
      </c>
      <c r="P5004" s="34">
        <f>IF($J5004=1,LN(1+O5004),"")</f>
        <v/>
      </c>
      <c r="Q5004" s="34">
        <f>IF($J5004=1,LN(R5005/R5004),"")</f>
        <v/>
      </c>
      <c r="R5004" s="32" t="n">
        <v>5.1695</v>
      </c>
      <c r="S5004" s="35" t="n">
        <v>14.105</v>
      </c>
      <c r="T5004" s="18" t="n">
        <v>173295.14</v>
      </c>
      <c r="U5004" s="18" t="n"/>
      <c r="V5004" s="18" t="n"/>
      <c r="W5004" s="18" t="n"/>
      <c r="X5004" s="35" t="n"/>
      <c r="Y5004" s="35" t="n">
        <v>14.105</v>
      </c>
    </row>
    <row r="5005">
      <c r="A5005" s="25" t="n">
        <v>46202</v>
      </c>
      <c r="B5005" s="18" t="n">
        <v>173205.35</v>
      </c>
      <c r="C5005" s="31" t="n"/>
      <c r="D5005" s="32" t="n"/>
      <c r="E5005" s="33" t="n">
        <v>0.7846</v>
      </c>
      <c r="F5005" t="inlineStr">
        <is>
          <t>Up</t>
        </is>
      </c>
      <c r="G5005" t="inlineStr">
        <is>
          <t>Down</t>
        </is>
      </c>
      <c r="H5005" t="inlineStr">
        <is>
          <t>EU_JD</t>
        </is>
      </c>
      <c r="I5005" t="inlineStr">
        <is>
          <t>2026-06</t>
        </is>
      </c>
      <c r="J5005" t="n">
        <v>1</v>
      </c>
      <c r="K5005" t="n">
        <v>1</v>
      </c>
      <c r="L5005" s="34">
        <f>IF($J5005=1,LN(B5006/B5005),"")</f>
        <v/>
      </c>
      <c r="M5005" s="34">
        <f>IF($K5005=1,INDEX(Mensal!$D$2:$D$245,MATCH($I5005,Mensal!$A$2:$A$245,0)),"")</f>
        <v/>
      </c>
      <c r="N5005" s="34">
        <f>IF($K5005=1,L5005-M5005,"")</f>
        <v/>
      </c>
      <c r="O5005" s="34" t="n">
        <v>0.00052531</v>
      </c>
      <c r="P5005" s="34">
        <f>IF($J5005=1,LN(1+O5005),"")</f>
        <v/>
      </c>
      <c r="Q5005" s="34">
        <f>IF($J5005=1,LN(R5006/R5005),"")</f>
        <v/>
      </c>
      <c r="R5005" s="32" t="n">
        <v>5.1717</v>
      </c>
      <c r="S5005" s="35" t="n">
        <v>14.1043</v>
      </c>
      <c r="T5005" s="18" t="n">
        <v>173205.35</v>
      </c>
      <c r="U5005" s="18" t="n"/>
      <c r="V5005" s="18" t="n"/>
      <c r="W5005" s="18" t="n"/>
      <c r="X5005" s="35" t="n"/>
      <c r="Y5005" s="35" t="n">
        <v>14.1043</v>
      </c>
    </row>
    <row r="5006">
      <c r="A5006" s="25" t="n">
        <v>46203</v>
      </c>
      <c r="B5006" s="18" t="n">
        <v>172024.12</v>
      </c>
      <c r="C5006" s="31" t="n"/>
      <c r="D5006" s="32" t="n"/>
      <c r="E5006" s="33" t="n">
        <v>0.7454</v>
      </c>
      <c r="F5006" t="inlineStr">
        <is>
          <t>Up</t>
        </is>
      </c>
      <c r="G5006" t="inlineStr">
        <is>
          <t>Down</t>
        </is>
      </c>
      <c r="H5006" t="inlineStr">
        <is>
          <t>EU_JD</t>
        </is>
      </c>
      <c r="I5006" t="inlineStr">
        <is>
          <t>2026-06</t>
        </is>
      </c>
      <c r="J5006" t="n">
        <v>1</v>
      </c>
      <c r="K5006" t="n">
        <v>1</v>
      </c>
      <c r="L5006" s="34">
        <f>IF($J5006=1,LN(B5007/B5006),"")</f>
        <v/>
      </c>
      <c r="M5006" s="34">
        <f>IF($K5006=1,INDEX(Mensal!$D$2:$D$245,MATCH($I5006,Mensal!$A$2:$A$245,0)),"")</f>
        <v/>
      </c>
      <c r="N5006" s="34">
        <f>IF($K5006=1,L5006-M5006,"")</f>
        <v/>
      </c>
      <c r="O5006" s="34" t="n">
        <v>0.00052531</v>
      </c>
      <c r="P5006" s="34">
        <f>IF($J5006=1,LN(1+O5006),"")</f>
        <v/>
      </c>
      <c r="Q5006" s="34">
        <f>IF($J5006=1,LN(R5007/R5006),"")</f>
        <v/>
      </c>
      <c r="R5006" s="32" t="n">
        <v>5.1766</v>
      </c>
      <c r="S5006" s="35" t="n">
        <v>14.0244</v>
      </c>
      <c r="T5006" s="18" t="n">
        <v>172024.12</v>
      </c>
      <c r="U5006" s="18" t="n"/>
      <c r="V5006" s="18" t="n"/>
      <c r="W5006" s="18" t="n"/>
      <c r="X5006" s="35" t="n"/>
      <c r="Y5006" s="35" t="n">
        <v>14.0244</v>
      </c>
    </row>
    <row r="5007">
      <c r="A5007" s="25" t="n">
        <v>46204</v>
      </c>
      <c r="B5007" s="18" t="n">
        <v>171688.61</v>
      </c>
      <c r="C5007" s="31" t="n"/>
      <c r="D5007" s="32" t="n"/>
      <c r="E5007" s="33" t="n">
        <v>0.7186</v>
      </c>
      <c r="F5007" t="inlineStr">
        <is>
          <t>Up</t>
        </is>
      </c>
      <c r="G5007" t="inlineStr">
        <is>
          <t>Down</t>
        </is>
      </c>
      <c r="H5007" t="inlineStr">
        <is>
          <t>EU_JD</t>
        </is>
      </c>
      <c r="I5007" t="inlineStr">
        <is>
          <t>2026-07</t>
        </is>
      </c>
      <c r="J5007" t="n">
        <v>1</v>
      </c>
      <c r="K5007" t="n">
        <v>1</v>
      </c>
      <c r="L5007" s="34">
        <f>IF($J5007=1,LN(B5008/B5007),"")</f>
        <v/>
      </c>
      <c r="M5007" s="34">
        <f>IF($K5007=1,INDEX(Mensal!$D$2:$D$245,MATCH($I5007,Mensal!$A$2:$A$245,0)),"")</f>
        <v/>
      </c>
      <c r="N5007" s="34">
        <f>IF($K5007=1,L5007-M5007,"")</f>
        <v/>
      </c>
      <c r="O5007" s="34" t="n">
        <v>0.00052531</v>
      </c>
      <c r="P5007" s="34">
        <f>IF($J5007=1,LN(1+O5007),"")</f>
        <v/>
      </c>
      <c r="Q5007" s="34">
        <f>IF($J5007=1,LN(R5008/R5007),"")</f>
        <v/>
      </c>
      <c r="R5007" s="32" t="n">
        <v>5.195</v>
      </c>
      <c r="S5007" s="35" t="n">
        <v>14.058</v>
      </c>
      <c r="T5007" s="18" t="n">
        <v>171688.61</v>
      </c>
      <c r="U5007" s="18" t="n"/>
      <c r="V5007" s="18" t="n"/>
      <c r="W5007" s="18" t="n"/>
      <c r="X5007" s="35" t="n"/>
      <c r="Y5007" s="35" t="n">
        <v>14.058</v>
      </c>
    </row>
    <row r="5008">
      <c r="A5008" s="25" t="n">
        <v>46205</v>
      </c>
      <c r="B5008" s="18" t="n">
        <v>172787.62</v>
      </c>
      <c r="C5008" s="31" t="n"/>
      <c r="D5008" s="32" t="n"/>
      <c r="E5008" s="33" t="n">
        <v>0.6927</v>
      </c>
      <c r="F5008" t="inlineStr">
        <is>
          <t>Up</t>
        </is>
      </c>
      <c r="G5008" t="inlineStr">
        <is>
          <t>Down</t>
        </is>
      </c>
      <c r="H5008" t="inlineStr">
        <is>
          <t>EU_JD</t>
        </is>
      </c>
      <c r="I5008" t="inlineStr">
        <is>
          <t>2026-07</t>
        </is>
      </c>
      <c r="J5008" t="n">
        <v>1</v>
      </c>
      <c r="K5008" t="n">
        <v>1</v>
      </c>
      <c r="L5008" s="34">
        <f>IF($J5008=1,LN(B5009/B5008),"")</f>
        <v/>
      </c>
      <c r="M5008" s="34">
        <f>IF($K5008=1,INDEX(Mensal!$D$2:$D$245,MATCH($I5008,Mensal!$A$2:$A$245,0)),"")</f>
        <v/>
      </c>
      <c r="N5008" s="34">
        <f>IF($K5008=1,L5008-M5008,"")</f>
        <v/>
      </c>
      <c r="O5008" s="34" t="n">
        <v>0.00052531</v>
      </c>
      <c r="P5008" s="34">
        <f>IF($J5008=1,LN(1+O5008),"")</f>
        <v/>
      </c>
      <c r="Q5008" s="34">
        <f>IF($J5008=1,LN(R5009/R5008),"")</f>
        <v/>
      </c>
      <c r="R5008" s="32" t="n">
        <v>5.1945</v>
      </c>
      <c r="S5008" s="35" t="n">
        <v>14.112</v>
      </c>
      <c r="T5008" s="18" t="n">
        <v>172787.62</v>
      </c>
      <c r="U5008" s="18" t="n"/>
      <c r="V5008" s="18" t="n"/>
      <c r="W5008" s="18" t="n"/>
      <c r="X5008" s="35" t="n"/>
      <c r="Y5008" s="35" t="n">
        <v>14.112</v>
      </c>
    </row>
    <row r="5009">
      <c r="A5009" s="25" t="n">
        <v>46206</v>
      </c>
      <c r="B5009" s="18" t="n">
        <v>174070.27</v>
      </c>
      <c r="C5009" s="31" t="n"/>
      <c r="D5009" s="32" t="n"/>
      <c r="E5009" s="33" t="n">
        <v>0.6689000000000001</v>
      </c>
      <c r="F5009" t="inlineStr">
        <is>
          <t>Up</t>
        </is>
      </c>
      <c r="G5009" t="inlineStr">
        <is>
          <t>Down</t>
        </is>
      </c>
      <c r="H5009" t="inlineStr">
        <is>
          <t>EU_JD</t>
        </is>
      </c>
      <c r="I5009" t="inlineStr">
        <is>
          <t>2026-07</t>
        </is>
      </c>
      <c r="J5009" t="n">
        <v>1</v>
      </c>
      <c r="K5009" t="n">
        <v>1</v>
      </c>
      <c r="L5009" s="34">
        <f>IF($J5009=1,LN(B5010/B5009),"")</f>
        <v/>
      </c>
      <c r="M5009" s="34">
        <f>IF($K5009=1,INDEX(Mensal!$D$2:$D$245,MATCH($I5009,Mensal!$A$2:$A$245,0)),"")</f>
        <v/>
      </c>
      <c r="N5009" s="34">
        <f>IF($K5009=1,L5009-M5009,"")</f>
        <v/>
      </c>
      <c r="O5009" s="34" t="n">
        <v>0.00052531</v>
      </c>
      <c r="P5009" s="34">
        <f>IF($J5009=1,LN(1+O5009),"")</f>
        <v/>
      </c>
      <c r="Q5009" s="34">
        <f>IF($J5009=1,LN(R5010/R5009),"")</f>
        <v/>
      </c>
      <c r="R5009" s="32" t="n">
        <v>5.1717</v>
      </c>
      <c r="S5009" s="35" t="n">
        <v>14.0699</v>
      </c>
      <c r="T5009" s="18" t="n">
        <v>174070.27</v>
      </c>
      <c r="U5009" s="18" t="n"/>
      <c r="V5009" s="18" t="n"/>
      <c r="W5009" s="18" t="n"/>
      <c r="X5009" s="35" t="n"/>
      <c r="Y5009" s="35" t="n">
        <v>14.0699</v>
      </c>
    </row>
    <row r="5010">
      <c r="A5010" s="25" t="n">
        <v>46209</v>
      </c>
      <c r="B5010" s="18" t="n">
        <v>172447.58</v>
      </c>
      <c r="C5010" s="31" t="n"/>
      <c r="D5010" s="32" t="n"/>
      <c r="E5010" s="33" t="n">
        <v>0.6193</v>
      </c>
      <c r="F5010" t="inlineStr">
        <is>
          <t>Up</t>
        </is>
      </c>
      <c r="G5010" t="inlineStr">
        <is>
          <t>Down</t>
        </is>
      </c>
      <c r="H5010" t="inlineStr">
        <is>
          <t>EU_JD</t>
        </is>
      </c>
      <c r="I5010" t="inlineStr">
        <is>
          <t>2026-07</t>
        </is>
      </c>
      <c r="J5010" t="n">
        <v>1</v>
      </c>
      <c r="K5010" t="n">
        <v>1</v>
      </c>
      <c r="L5010" s="34">
        <f>IF($J5010=1,LN(B5011/B5010),"")</f>
        <v/>
      </c>
      <c r="M5010" s="34">
        <f>IF($K5010=1,INDEX(Mensal!$D$2:$D$245,MATCH($I5010,Mensal!$A$2:$A$245,0)),"")</f>
        <v/>
      </c>
      <c r="N5010" s="34">
        <f>IF($K5010=1,L5010-M5010,"")</f>
        <v/>
      </c>
      <c r="O5010" s="34" t="n">
        <v>0.00052531</v>
      </c>
      <c r="P5010" s="34">
        <f>IF($J5010=1,LN(1+O5010),"")</f>
        <v/>
      </c>
      <c r="Q5010" s="34">
        <f>IF($J5010=1,LN(R5011/R5010),"")</f>
        <v/>
      </c>
      <c r="R5010" s="32" t="n">
        <v>5.167</v>
      </c>
      <c r="S5010" s="35" t="n">
        <v>14.0895</v>
      </c>
      <c r="T5010" s="18" t="n">
        <v>172447.58</v>
      </c>
      <c r="U5010" s="18" t="n"/>
      <c r="V5010" s="18" t="n"/>
      <c r="W5010" s="18" t="n"/>
      <c r="X5010" s="35" t="n"/>
      <c r="Y5010" s="35" t="n">
        <v>14.0895</v>
      </c>
    </row>
    <row r="5011">
      <c r="A5011" s="25" t="n">
        <v>46210</v>
      </c>
      <c r="B5011" s="18" t="n">
        <v>172020.68</v>
      </c>
      <c r="C5011" s="31" t="n"/>
      <c r="D5011" s="32" t="n"/>
      <c r="E5011" s="33" t="n">
        <v>0.5973000000000001</v>
      </c>
      <c r="F5011" t="inlineStr">
        <is>
          <t>Up</t>
        </is>
      </c>
      <c r="G5011" t="inlineStr">
        <is>
          <t>Down</t>
        </is>
      </c>
      <c r="H5011" t="inlineStr">
        <is>
          <t>EU_JD</t>
        </is>
      </c>
      <c r="I5011" t="inlineStr">
        <is>
          <t>2026-07</t>
        </is>
      </c>
      <c r="J5011" t="n">
        <v>1</v>
      </c>
      <c r="K5011" t="n">
        <v>1</v>
      </c>
      <c r="L5011" s="34">
        <f>IF($J5011=1,LN(B5012/B5011),"")</f>
        <v/>
      </c>
      <c r="M5011" s="34">
        <f>IF($K5011=1,INDEX(Mensal!$D$2:$D$245,MATCH($I5011,Mensal!$A$2:$A$245,0)),"")</f>
        <v/>
      </c>
      <c r="N5011" s="34">
        <f>IF($K5011=1,L5011-M5011,"")</f>
        <v/>
      </c>
      <c r="O5011" s="34" t="n">
        <v>0.00052531</v>
      </c>
      <c r="P5011" s="34">
        <f>IF($J5011=1,LN(1+O5011),"")</f>
        <v/>
      </c>
      <c r="Q5011" s="34">
        <f>IF($J5011=1,LN(R5012/R5011),"")</f>
        <v/>
      </c>
      <c r="R5011" s="32" t="n">
        <v>5.1458</v>
      </c>
      <c r="S5011" s="35" t="n">
        <v>14.1793</v>
      </c>
      <c r="T5011" s="18" t="n">
        <v>172020.68</v>
      </c>
      <c r="U5011" s="18" t="n"/>
      <c r="V5011" s="18" t="n"/>
      <c r="W5011" s="18" t="n"/>
      <c r="X5011" s="35" t="n"/>
      <c r="Y5011" s="35" t="n">
        <v>14.1793</v>
      </c>
    </row>
    <row r="5012">
      <c r="A5012" s="25" t="n">
        <v>46211</v>
      </c>
      <c r="B5012" s="18" t="n">
        <v>170653.45</v>
      </c>
      <c r="C5012" s="31" t="n"/>
      <c r="D5012" s="32" t="n"/>
      <c r="E5012" s="33" t="n">
        <v>0.5725</v>
      </c>
      <c r="F5012" t="inlineStr">
        <is>
          <t>Up</t>
        </is>
      </c>
      <c r="G5012" t="inlineStr">
        <is>
          <t>Down</t>
        </is>
      </c>
      <c r="H5012" t="inlineStr">
        <is>
          <t>EU_JD</t>
        </is>
      </c>
      <c r="I5012" t="inlineStr">
        <is>
          <t>2026-07</t>
        </is>
      </c>
      <c r="J5012" t="n">
        <v>1</v>
      </c>
      <c r="K5012" t="n">
        <v>1</v>
      </c>
      <c r="L5012" s="34">
        <f>IF($J5012=1,LN(B5013/B5012),"")</f>
        <v/>
      </c>
      <c r="M5012" s="34">
        <f>IF($K5012=1,INDEX(Mensal!$D$2:$D$245,MATCH($I5012,Mensal!$A$2:$A$245,0)),"")</f>
        <v/>
      </c>
      <c r="N5012" s="34">
        <f>IF($K5012=1,L5012-M5012,"")</f>
        <v/>
      </c>
      <c r="O5012" s="34" t="n">
        <v>0.00052531</v>
      </c>
      <c r="P5012" s="34">
        <f>IF($J5012=1,LN(1+O5012),"")</f>
        <v/>
      </c>
      <c r="Q5012" s="34">
        <f>IF($J5012=1,LN(R5013/R5012),"")</f>
        <v/>
      </c>
      <c r="R5012" s="32" t="n">
        <v>5.1552</v>
      </c>
      <c r="S5012" s="35" t="n">
        <v>14.1339</v>
      </c>
      <c r="T5012" s="18" t="n">
        <v>170653.45</v>
      </c>
      <c r="U5012" s="18" t="n"/>
      <c r="V5012" s="18" t="n"/>
      <c r="W5012" s="18" t="n"/>
      <c r="X5012" s="35" t="n"/>
      <c r="Y5012" s="35" t="n">
        <v>14.1339</v>
      </c>
    </row>
    <row r="5013">
      <c r="A5013" s="25" t="n">
        <v>46212</v>
      </c>
      <c r="B5013" s="18" t="n">
        <v>172742.12</v>
      </c>
      <c r="C5013" s="31" t="n"/>
      <c r="D5013" s="32" t="n"/>
      <c r="E5013" s="33" t="n">
        <v>0.54</v>
      </c>
      <c r="F5013" t="inlineStr">
        <is>
          <t>Up</t>
        </is>
      </c>
      <c r="G5013" t="inlineStr">
        <is>
          <t>Down</t>
        </is>
      </c>
      <c r="H5013" t="inlineStr">
        <is>
          <t>EU_JD</t>
        </is>
      </c>
      <c r="I5013" t="inlineStr">
        <is>
          <t>2026-07</t>
        </is>
      </c>
      <c r="J5013" t="n">
        <v>1</v>
      </c>
      <c r="K5013" t="n">
        <v>1</v>
      </c>
      <c r="L5013" s="34">
        <f>IF($J5013=1,LN(B5014/B5013),"")</f>
        <v/>
      </c>
      <c r="M5013" s="34">
        <f>IF($K5013=1,INDEX(Mensal!$D$2:$D$245,MATCH($I5013,Mensal!$A$2:$A$245,0)),"")</f>
        <v/>
      </c>
      <c r="N5013" s="34">
        <f>IF($K5013=1,L5013-M5013,"")</f>
        <v/>
      </c>
      <c r="O5013" s="34" t="n">
        <v>0.00052531</v>
      </c>
      <c r="P5013" s="34">
        <f>IF($J5013=1,LN(1+O5013),"")</f>
        <v/>
      </c>
      <c r="Q5013" s="34">
        <f>IF($J5013=1,LN(R5014/R5013),"")</f>
        <v/>
      </c>
      <c r="R5013" s="32" t="n">
        <v>5.1329</v>
      </c>
      <c r="S5013" s="35" t="n">
        <v>13.9225</v>
      </c>
      <c r="T5013" s="18" t="n">
        <v>172742.12</v>
      </c>
      <c r="U5013" s="18" t="n"/>
      <c r="V5013" s="18" t="n"/>
      <c r="W5013" s="18" t="n"/>
      <c r="X5013" s="35" t="n"/>
      <c r="Y5013" s="35" t="n">
        <v>13.9225</v>
      </c>
    </row>
    <row r="5014">
      <c r="A5014" s="25" t="n">
        <v>46213</v>
      </c>
      <c r="B5014" s="18" t="n">
        <v>177866.37</v>
      </c>
      <c r="C5014" s="31" t="n"/>
      <c r="D5014" s="32" t="n"/>
      <c r="E5014" s="33" t="n">
        <v>0.5085</v>
      </c>
      <c r="F5014" t="inlineStr">
        <is>
          <t>Up</t>
        </is>
      </c>
      <c r="G5014" t="inlineStr">
        <is>
          <t>Down</t>
        </is>
      </c>
      <c r="H5014" t="inlineStr">
        <is>
          <t>EU_JD</t>
        </is>
      </c>
      <c r="I5014" t="inlineStr">
        <is>
          <t>2026-07</t>
        </is>
      </c>
      <c r="J5014" t="n">
        <v>1</v>
      </c>
      <c r="K5014" t="n">
        <v>1</v>
      </c>
      <c r="L5014" s="34">
        <f>IF($J5014=1,LN(B5015/B5014),"")</f>
        <v/>
      </c>
      <c r="M5014" s="34">
        <f>IF($K5014=1,INDEX(Mensal!$D$2:$D$245,MATCH($I5014,Mensal!$A$2:$A$245,0)),"")</f>
        <v/>
      </c>
      <c r="N5014" s="34">
        <f>IF($K5014=1,L5014-M5014,"")</f>
        <v/>
      </c>
      <c r="O5014" s="34" t="n">
        <v>0.00052531</v>
      </c>
      <c r="P5014" s="34">
        <f>IF($J5014=1,LN(1+O5014),"")</f>
        <v/>
      </c>
      <c r="Q5014" s="34">
        <f>IF($J5014=1,LN(R5015/R5014),"")</f>
        <v/>
      </c>
      <c r="R5014" s="32" t="n">
        <v>5.1088</v>
      </c>
      <c r="S5014" s="35" t="n">
        <v>13.9731</v>
      </c>
      <c r="T5014" s="18" t="n">
        <v>177866.37</v>
      </c>
      <c r="U5014" s="18" t="n"/>
      <c r="V5014" s="18" t="n"/>
      <c r="W5014" s="18" t="n"/>
      <c r="X5014" s="35" t="n"/>
      <c r="Y5014" s="35" t="n">
        <v>13.9731</v>
      </c>
    </row>
    <row r="5015">
      <c r="A5015" s="25" t="n">
        <v>46216</v>
      </c>
      <c r="B5015" s="18" t="n">
        <v>175739.08</v>
      </c>
      <c r="C5015" s="31" t="n"/>
      <c r="D5015" s="32" t="n"/>
      <c r="E5015" s="33" t="n">
        <v>0.4732</v>
      </c>
      <c r="F5015" t="inlineStr">
        <is>
          <t>Up</t>
        </is>
      </c>
      <c r="G5015" t="inlineStr">
        <is>
          <t>Down</t>
        </is>
      </c>
      <c r="H5015" t="inlineStr">
        <is>
          <t>EU_JD</t>
        </is>
      </c>
      <c r="I5015" t="inlineStr">
        <is>
          <t>2026-07</t>
        </is>
      </c>
      <c r="J5015" t="n">
        <v>1</v>
      </c>
      <c r="K5015" t="n">
        <v>1</v>
      </c>
      <c r="L5015" s="34">
        <f>IF($J5015=1,LN(B5016/B5015),"")</f>
        <v/>
      </c>
      <c r="M5015" s="34">
        <f>IF($K5015=1,INDEX(Mensal!$D$2:$D$245,MATCH($I5015,Mensal!$A$2:$A$245,0)),"")</f>
        <v/>
      </c>
      <c r="N5015" s="34">
        <f>IF($K5015=1,L5015-M5015,"")</f>
        <v/>
      </c>
      <c r="O5015" s="34" t="n">
        <v>0.00052531</v>
      </c>
      <c r="P5015" s="34">
        <f>IF($J5015=1,LN(1+O5015),"")</f>
        <v/>
      </c>
      <c r="Q5015" s="34">
        <f>IF($J5015=1,LN(R5016/R5015),"")</f>
        <v/>
      </c>
      <c r="R5015" s="32" t="n">
        <v>5.1183</v>
      </c>
      <c r="S5015" s="35" t="n">
        <v>14.0391</v>
      </c>
      <c r="T5015" s="18" t="n">
        <v>175739.08</v>
      </c>
      <c r="U5015" s="18" t="n"/>
      <c r="V5015" s="18" t="n"/>
      <c r="W5015" s="18" t="n"/>
      <c r="X5015" s="35" t="n"/>
      <c r="Y5015" s="35" t="n">
        <v>14.0391</v>
      </c>
    </row>
    <row r="5016">
      <c r="A5016" s="25" t="n">
        <v>46217</v>
      </c>
      <c r="B5016" s="18" t="n">
        <v>176641.1</v>
      </c>
      <c r="C5016" s="31" t="n"/>
      <c r="D5016" s="32" t="n"/>
      <c r="E5016" s="33" t="n">
        <v>0.4359</v>
      </c>
      <c r="F5016" t="inlineStr">
        <is>
          <t>Up</t>
        </is>
      </c>
      <c r="G5016" t="inlineStr">
        <is>
          <t>Down</t>
        </is>
      </c>
      <c r="H5016" t="inlineStr">
        <is>
          <t>EU_JD</t>
        </is>
      </c>
      <c r="I5016" t="inlineStr">
        <is>
          <t>2026-07</t>
        </is>
      </c>
      <c r="J5016" t="n">
        <v>1</v>
      </c>
      <c r="K5016" t="n">
        <v>1</v>
      </c>
      <c r="L5016" s="34">
        <f>IF($J5016=1,LN(B5017/B5016),"")</f>
        <v/>
      </c>
      <c r="M5016" s="34">
        <f>IF($K5016=1,INDEX(Mensal!$D$2:$D$245,MATCH($I5016,Mensal!$A$2:$A$245,0)),"")</f>
        <v/>
      </c>
      <c r="N5016" s="34">
        <f>IF($K5016=1,L5016-M5016,"")</f>
        <v/>
      </c>
      <c r="O5016" s="34" t="n">
        <v>0.00052531</v>
      </c>
      <c r="P5016" s="34">
        <f>IF($J5016=1,LN(1+O5016),"")</f>
        <v/>
      </c>
      <c r="Q5016" s="34">
        <f>IF($J5016=1,LN(R5017/R5016),"")</f>
        <v/>
      </c>
      <c r="R5016" s="32" t="n">
        <v>5.0742</v>
      </c>
      <c r="S5016" s="35" t="n">
        <v>13.9519</v>
      </c>
      <c r="T5016" s="18" t="n">
        <v>176641.1</v>
      </c>
      <c r="U5016" s="18" t="n"/>
      <c r="V5016" s="18" t="n"/>
      <c r="W5016" s="18" t="n"/>
      <c r="X5016" s="35" t="n"/>
      <c r="Y5016" s="35" t="n">
        <v>13.9519</v>
      </c>
    </row>
    <row r="5017">
      <c r="A5017" s="25" t="n">
        <v>46218</v>
      </c>
      <c r="B5017" s="18" t="n">
        <v>176010.9</v>
      </c>
      <c r="C5017" s="31" t="n"/>
      <c r="D5017" s="32" t="n"/>
      <c r="E5017" s="33" t="n">
        <v>0.4002</v>
      </c>
      <c r="F5017" t="inlineStr">
        <is>
          <t>Up</t>
        </is>
      </c>
      <c r="G5017" t="inlineStr">
        <is>
          <t>Down</t>
        </is>
      </c>
      <c r="H5017" t="inlineStr">
        <is>
          <t>EU_JD</t>
        </is>
      </c>
      <c r="I5017" t="inlineStr">
        <is>
          <t>2026-07</t>
        </is>
      </c>
      <c r="J5017" t="n">
        <v>1</v>
      </c>
      <c r="K5017" t="n">
        <v>1</v>
      </c>
      <c r="L5017" s="34">
        <f>IF($J5017=1,LN(B5018/B5017),"")</f>
        <v/>
      </c>
      <c r="M5017" s="34">
        <f>IF($K5017=1,INDEX(Mensal!$D$2:$D$245,MATCH($I5017,Mensal!$A$2:$A$245,0)),"")</f>
        <v/>
      </c>
      <c r="N5017" s="34">
        <f>IF($K5017=1,L5017-M5017,"")</f>
        <v/>
      </c>
      <c r="O5017" s="34" t="n">
        <v>0.00052531</v>
      </c>
      <c r="P5017" s="34">
        <f>IF($J5017=1,LN(1+O5017),"")</f>
        <v/>
      </c>
      <c r="Q5017" s="34">
        <f>IF($J5017=1,LN(R5018/R5017),"")</f>
        <v/>
      </c>
      <c r="R5017" s="32" t="n">
        <v>5.0727</v>
      </c>
      <c r="S5017" s="35" t="n">
        <v>13.9108</v>
      </c>
      <c r="T5017" s="18" t="n">
        <v>176010.9</v>
      </c>
      <c r="U5017" s="18" t="n"/>
      <c r="V5017" s="18" t="n"/>
      <c r="W5017" s="18" t="n"/>
      <c r="X5017" s="35" t="n"/>
      <c r="Y5017" s="35" t="n">
        <v>13.9108</v>
      </c>
    </row>
    <row r="5018">
      <c r="A5018" s="25" t="n">
        <v>46219</v>
      </c>
      <c r="B5018" s="18" t="n">
        <v>173825.27</v>
      </c>
      <c r="C5018" s="31" t="n"/>
      <c r="D5018" s="32" t="n"/>
      <c r="E5018" s="33" t="n">
        <v>0.3752</v>
      </c>
      <c r="F5018" t="inlineStr">
        <is>
          <t>Up</t>
        </is>
      </c>
      <c r="G5018" t="inlineStr">
        <is>
          <t>Down</t>
        </is>
      </c>
      <c r="H5018" t="inlineStr">
        <is>
          <t>EU_JD</t>
        </is>
      </c>
      <c r="I5018" t="inlineStr">
        <is>
          <t>2026-07</t>
        </is>
      </c>
      <c r="J5018" t="n">
        <v>1</v>
      </c>
      <c r="K5018" t="n">
        <v>1</v>
      </c>
      <c r="L5018" s="34">
        <f>IF($J5018=1,LN(B5019/B5018),"")</f>
        <v/>
      </c>
      <c r="M5018" s="34">
        <f>IF($K5018=1,INDEX(Mensal!$D$2:$D$245,MATCH($I5018,Mensal!$A$2:$A$245,0)),"")</f>
        <v/>
      </c>
      <c r="N5018" s="34">
        <f>IF($K5018=1,L5018-M5018,"")</f>
        <v/>
      </c>
      <c r="O5018" s="34" t="n">
        <v>0.00052531</v>
      </c>
      <c r="P5018" s="34">
        <f>IF($J5018=1,LN(1+O5018),"")</f>
        <v/>
      </c>
      <c r="Q5018" s="34">
        <f>IF($J5018=1,LN(R5019/R5018),"")</f>
        <v/>
      </c>
      <c r="R5018" s="32" t="n">
        <v>5.0975</v>
      </c>
      <c r="S5018" s="35" t="n">
        <v>13.9669</v>
      </c>
      <c r="T5018" s="18" t="n">
        <v>173825.27</v>
      </c>
      <c r="U5018" s="18" t="n"/>
      <c r="V5018" s="18" t="n"/>
      <c r="W5018" s="18" t="n"/>
      <c r="X5018" s="35" t="n"/>
      <c r="Y5018" s="35" t="n">
        <v>13.9669</v>
      </c>
    </row>
    <row r="5019">
      <c r="A5019" s="25" t="n">
        <v>46220</v>
      </c>
      <c r="B5019" s="18" t="n">
        <v>173714.08</v>
      </c>
      <c r="C5019" s="31" t="n"/>
      <c r="D5019" s="32" t="n"/>
      <c r="E5019" s="33" t="n">
        <v>0.3514</v>
      </c>
      <c r="F5019" t="inlineStr">
        <is>
          <t>Up</t>
        </is>
      </c>
      <c r="G5019" t="inlineStr">
        <is>
          <t>Down</t>
        </is>
      </c>
      <c r="H5019" t="inlineStr">
        <is>
          <t>EU_JD</t>
        </is>
      </c>
      <c r="I5019" t="inlineStr">
        <is>
          <t>2026-07</t>
        </is>
      </c>
      <c r="J5019" t="n">
        <v>1</v>
      </c>
      <c r="K5019" t="n">
        <v>1</v>
      </c>
      <c r="L5019" s="34">
        <f>IF($J5019=1,LN(B5020/B5019),"")</f>
        <v/>
      </c>
      <c r="M5019" s="34">
        <f>IF($K5019=1,INDEX(Mensal!$D$2:$D$245,MATCH($I5019,Mensal!$A$2:$A$245,0)),"")</f>
        <v/>
      </c>
      <c r="N5019" s="34">
        <f>IF($K5019=1,L5019-M5019,"")</f>
        <v/>
      </c>
      <c r="O5019" s="34" t="n">
        <v>0.00052531</v>
      </c>
      <c r="P5019" s="34">
        <f>IF($J5019=1,LN(1+O5019),"")</f>
        <v/>
      </c>
      <c r="Q5019" s="34">
        <f>IF($J5019=1,LN(R5020/R5019),"")</f>
        <v/>
      </c>
      <c r="R5019" s="32" t="n">
        <v>5.1176</v>
      </c>
      <c r="S5019" s="35" t="n">
        <v>14.1018</v>
      </c>
      <c r="T5019" s="18" t="n">
        <v>173714.08</v>
      </c>
      <c r="U5019" s="18" t="n"/>
      <c r="V5019" s="18" t="n"/>
      <c r="W5019" s="18" t="n"/>
      <c r="X5019" s="35" t="n"/>
      <c r="Y5019" s="35" t="n">
        <v>14.1018</v>
      </c>
    </row>
    <row r="5020">
      <c r="A5020" s="25" t="n">
        <v>46223</v>
      </c>
      <c r="B5020" s="18" t="n">
        <v>173371.35</v>
      </c>
      <c r="C5020" s="31" t="n"/>
      <c r="D5020" s="32" t="n"/>
      <c r="E5020" s="33" t="n">
        <v>0.3352</v>
      </c>
      <c r="F5020" t="inlineStr">
        <is>
          <t>Up</t>
        </is>
      </c>
      <c r="G5020" t="inlineStr">
        <is>
          <t>Down</t>
        </is>
      </c>
      <c r="H5020" t="inlineStr">
        <is>
          <t>EU_JD</t>
        </is>
      </c>
      <c r="I5020" t="inlineStr">
        <is>
          <t>2026-07</t>
        </is>
      </c>
      <c r="J5020" t="n">
        <v>1</v>
      </c>
      <c r="K5020" t="n">
        <v>1</v>
      </c>
      <c r="L5020" s="34">
        <f>IF($J5020=1,LN(B5021/B5020),"")</f>
        <v/>
      </c>
      <c r="M5020" s="34">
        <f>IF($K5020=1,INDEX(Mensal!$D$2:$D$245,MATCH($I5020,Mensal!$A$2:$A$245,0)),"")</f>
        <v/>
      </c>
      <c r="N5020" s="34">
        <f>IF($K5020=1,L5020-M5020,"")</f>
        <v/>
      </c>
      <c r="O5020" s="34" t="n">
        <v>0.00052531</v>
      </c>
      <c r="P5020" s="34">
        <f>IF($J5020=1,LN(1+O5020),"")</f>
        <v/>
      </c>
      <c r="Q5020" s="34">
        <f>IF($J5020=1,LN(R5021/R5020),"")</f>
        <v/>
      </c>
      <c r="R5020" s="32" t="n">
        <v>5.0894</v>
      </c>
      <c r="S5020" s="35" t="n">
        <v>14.0409</v>
      </c>
      <c r="T5020" s="18" t="n">
        <v>173371.35</v>
      </c>
      <c r="U5020" s="18" t="n"/>
      <c r="V5020" s="18" t="n"/>
      <c r="W5020" s="18" t="n"/>
      <c r="X5020" s="35" t="n"/>
      <c r="Y5020" s="35" t="n">
        <v>14.0409</v>
      </c>
    </row>
    <row r="5021">
      <c r="A5021" s="25" t="n">
        <v>46224</v>
      </c>
      <c r="B5021" s="18" t="n">
        <v>173325.65</v>
      </c>
      <c r="C5021" s="31" t="n"/>
      <c r="D5021" s="32" t="n"/>
      <c r="E5021" s="33" t="n">
        <v>0.3173</v>
      </c>
      <c r="F5021" t="inlineStr">
        <is>
          <t>Up</t>
        </is>
      </c>
      <c r="G5021" t="inlineStr">
        <is>
          <t>Down</t>
        </is>
      </c>
      <c r="H5021" t="inlineStr">
        <is>
          <t>EU_JD</t>
        </is>
      </c>
      <c r="I5021" t="inlineStr">
        <is>
          <t>2026-07</t>
        </is>
      </c>
      <c r="J5021" t="n">
        <v>1</v>
      </c>
      <c r="K5021" t="n">
        <v>1</v>
      </c>
      <c r="L5021" s="34">
        <f>IF($J5021=1,LN(B5022/B5021),"")</f>
        <v/>
      </c>
      <c r="M5021" s="34">
        <f>IF($K5021=1,INDEX(Mensal!$D$2:$D$245,MATCH($I5021,Mensal!$A$2:$A$245,0)),"")</f>
        <v/>
      </c>
      <c r="N5021" s="34">
        <f>IF($K5021=1,L5021-M5021,"")</f>
        <v/>
      </c>
      <c r="O5021" s="34" t="n">
        <v>0.00052531</v>
      </c>
      <c r="P5021" s="34">
        <f>IF($J5021=1,LN(1+O5021),"")</f>
        <v/>
      </c>
      <c r="Q5021" s="34">
        <f>IF($J5021=1,LN(R5022/R5021),"")</f>
        <v/>
      </c>
      <c r="R5021" s="32" t="n">
        <v>5.078</v>
      </c>
      <c r="S5021" s="35" t="n">
        <v>14.1193</v>
      </c>
      <c r="T5021" s="18" t="n">
        <v>173325.65</v>
      </c>
      <c r="U5021" s="18" t="n"/>
      <c r="V5021" s="18" t="n"/>
      <c r="W5021" s="18" t="n"/>
      <c r="X5021" s="35" t="n"/>
      <c r="Y5021" s="35" t="n">
        <v>14.1193</v>
      </c>
    </row>
    <row r="5022">
      <c r="A5022" s="25" t="n">
        <v>46225</v>
      </c>
      <c r="B5022" s="18" t="n">
        <v>177547.57</v>
      </c>
      <c r="C5022" s="31" t="n"/>
      <c r="D5022" s="32" t="n"/>
      <c r="E5022" s="33" t="n">
        <v>0.288</v>
      </c>
      <c r="F5022" t="inlineStr">
        <is>
          <t>Up</t>
        </is>
      </c>
      <c r="G5022" t="inlineStr">
        <is>
          <t>Down</t>
        </is>
      </c>
      <c r="H5022" t="inlineStr">
        <is>
          <t>EU_JD</t>
        </is>
      </c>
      <c r="I5022" t="inlineStr">
        <is>
          <t>2026-07</t>
        </is>
      </c>
      <c r="J5022" t="n">
        <v>1</v>
      </c>
      <c r="K5022" t="n">
        <v>1</v>
      </c>
      <c r="L5022" s="34">
        <f>IF($J5022=1,LN(B5023/B5022),"")</f>
        <v/>
      </c>
      <c r="M5022" s="34">
        <f>IF($K5022=1,INDEX(Mensal!$D$2:$D$245,MATCH($I5022,Mensal!$A$2:$A$245,0)),"")</f>
        <v/>
      </c>
      <c r="N5022" s="34">
        <f>IF($K5022=1,L5022-M5022,"")</f>
        <v/>
      </c>
      <c r="O5022" s="34" t="n">
        <v>0.00052531</v>
      </c>
      <c r="P5022" s="34">
        <f>IF($J5022=1,LN(1+O5022),"")</f>
        <v/>
      </c>
      <c r="Q5022" s="34">
        <f>IF($J5022=1,LN(R5023/R5022),"")</f>
        <v/>
      </c>
      <c r="R5022" s="32" t="n">
        <v>5.0638</v>
      </c>
      <c r="S5022" s="35" t="n">
        <v>14.2073</v>
      </c>
      <c r="T5022" s="18" t="n">
        <v>177547.57</v>
      </c>
      <c r="U5022" s="18" t="n"/>
      <c r="V5022" s="18" t="n"/>
      <c r="W5022" s="18" t="n"/>
      <c r="X5022" s="35" t="n"/>
      <c r="Y5022" s="35" t="n">
        <v>14.2073</v>
      </c>
    </row>
    <row r="5023">
      <c r="A5023" s="25" t="n">
        <v>46226</v>
      </c>
      <c r="B5023" s="18" t="n">
        <v>176723.62</v>
      </c>
      <c r="C5023" s="31" t="n"/>
      <c r="D5023" s="32" t="n"/>
      <c r="E5023" s="33" t="n">
        <v>0.2579</v>
      </c>
      <c r="F5023" t="inlineStr">
        <is>
          <t>Up</t>
        </is>
      </c>
      <c r="G5023" t="inlineStr">
        <is>
          <t>Down</t>
        </is>
      </c>
      <c r="H5023" t="inlineStr">
        <is>
          <t>EU_JD</t>
        </is>
      </c>
      <c r="I5023" t="inlineStr">
        <is>
          <t>2026-07</t>
        </is>
      </c>
      <c r="J5023" t="n">
        <v>1</v>
      </c>
      <c r="K5023" t="n">
        <v>1</v>
      </c>
      <c r="L5023" s="34">
        <f>IF($J5023=1,LN(B5024/B5023),"")</f>
        <v/>
      </c>
      <c r="M5023" s="34">
        <f>IF($K5023=1,INDEX(Mensal!$D$2:$D$245,MATCH($I5023,Mensal!$A$2:$A$245,0)),"")</f>
        <v/>
      </c>
      <c r="N5023" s="34">
        <f>IF($K5023=1,L5023-M5023,"")</f>
        <v/>
      </c>
      <c r="O5023" s="34" t="n">
        <v>0.00052531</v>
      </c>
      <c r="P5023" s="34">
        <f>IF($J5023=1,LN(1+O5023),"")</f>
        <v/>
      </c>
      <c r="Q5023" s="34">
        <f>IF($J5023=1,LN(R5024/R5023),"")</f>
        <v/>
      </c>
      <c r="R5023" s="32" t="n">
        <v>5.0807</v>
      </c>
      <c r="S5023" s="35" t="n">
        <v>14.2312</v>
      </c>
      <c r="T5023" s="18" t="n">
        <v>176723.62</v>
      </c>
      <c r="U5023" s="18" t="n"/>
      <c r="V5023" s="18" t="n"/>
      <c r="W5023" s="18" t="n"/>
      <c r="X5023" s="35" t="n"/>
      <c r="Y5023" s="35" t="n">
        <v>14.2312</v>
      </c>
    </row>
    <row r="5024">
      <c r="A5024" s="25" t="n">
        <v>46227</v>
      </c>
      <c r="B5024" s="18" t="n">
        <v>174041.95</v>
      </c>
      <c r="C5024" s="31" t="n"/>
      <c r="D5024" s="32" t="n"/>
      <c r="E5024" s="33" t="n">
        <v>0.2276</v>
      </c>
      <c r="F5024" t="inlineStr">
        <is>
          <t>Up</t>
        </is>
      </c>
      <c r="G5024" t="inlineStr">
        <is>
          <t>Down</t>
        </is>
      </c>
      <c r="H5024" t="inlineStr">
        <is>
          <t>EU_JD</t>
        </is>
      </c>
      <c r="I5024" t="inlineStr">
        <is>
          <t>2026-07</t>
        </is>
      </c>
      <c r="J5024" t="n">
        <v>1</v>
      </c>
      <c r="K5024" t="n">
        <v>1</v>
      </c>
      <c r="L5024" s="34">
        <f>IF($J5024=1,LN(B5025/B5024),"")</f>
        <v/>
      </c>
      <c r="M5024" s="34">
        <f>IF($K5024=1,INDEX(Mensal!$D$2:$D$245,MATCH($I5024,Mensal!$A$2:$A$245,0)),"")</f>
        <v/>
      </c>
      <c r="N5024" s="34">
        <f>IF($K5024=1,L5024-M5024,"")</f>
        <v/>
      </c>
      <c r="O5024" s="34" t="n">
        <v>0.00052531</v>
      </c>
      <c r="P5024" s="34">
        <f>IF($J5024=1,LN(1+O5024),"")</f>
        <v/>
      </c>
      <c r="Q5024" s="34">
        <f>IF($J5024=1,LN(R5025/R5024),"")</f>
        <v/>
      </c>
      <c r="R5024" s="32" t="n">
        <v>5.0666</v>
      </c>
      <c r="S5024" s="35" t="n">
        <v>14.0397</v>
      </c>
      <c r="T5024" s="18" t="n">
        <v>174041.95</v>
      </c>
      <c r="U5024" s="18" t="n"/>
      <c r="V5024" s="18" t="n"/>
      <c r="W5024" s="18" t="n"/>
      <c r="X5024" s="35" t="n"/>
      <c r="Y5024" s="35" t="n">
        <v>14.0397</v>
      </c>
    </row>
    <row r="5025">
      <c r="A5025" s="25" t="n">
        <v>46230</v>
      </c>
      <c r="B5025" s="18" t="n">
        <v>175334.46</v>
      </c>
      <c r="C5025" s="31" t="n"/>
      <c r="D5025" s="32" t="n"/>
      <c r="E5025" s="33" t="n">
        <v>0.1996</v>
      </c>
      <c r="F5025" t="inlineStr">
        <is>
          <t>Up</t>
        </is>
      </c>
      <c r="G5025" t="inlineStr">
        <is>
          <t>Down</t>
        </is>
      </c>
      <c r="H5025" t="inlineStr">
        <is>
          <t>EU_JD</t>
        </is>
      </c>
      <c r="I5025" t="inlineStr">
        <is>
          <t>2026-07</t>
        </is>
      </c>
      <c r="J5025" t="n">
        <v>1</v>
      </c>
      <c r="K5025" t="n">
        <v>1</v>
      </c>
      <c r="L5025" s="34">
        <f>IF($J5025=1,LN(B5026/B5025),"")</f>
        <v/>
      </c>
      <c r="M5025" s="34">
        <f>IF($K5025=1,INDEX(Mensal!$D$2:$D$245,MATCH($I5025,Mensal!$A$2:$A$245,0)),"")</f>
        <v/>
      </c>
      <c r="N5025" s="34">
        <f>IF($K5025=1,L5025-M5025,"")</f>
        <v/>
      </c>
      <c r="O5025" s="34" t="n">
        <v>0.00052531</v>
      </c>
      <c r="P5025" s="34">
        <f>IF($J5025=1,LN(1+O5025),"")</f>
        <v/>
      </c>
      <c r="Q5025" s="34">
        <f>IF($J5025=1,LN(R5026/R5025),"")</f>
        <v/>
      </c>
      <c r="R5025" s="32" t="n">
        <v>5.1005</v>
      </c>
      <c r="S5025" s="35" t="n">
        <v>13.9471</v>
      </c>
      <c r="T5025" s="18" t="n">
        <v>175334.46</v>
      </c>
      <c r="U5025" s="18" t="n"/>
      <c r="V5025" s="18" t="n"/>
      <c r="W5025" s="18" t="n"/>
      <c r="X5025" s="35" t="n"/>
      <c r="Y5025" s="35" t="n">
        <v>13.9471</v>
      </c>
    </row>
    <row r="5026">
      <c r="A5026" s="25" t="n">
        <v>46231</v>
      </c>
      <c r="B5026" s="18" t="n">
        <v>176564.75</v>
      </c>
      <c r="C5026" s="31" t="n"/>
      <c r="D5026" s="32" t="n"/>
      <c r="E5026" s="33" t="n">
        <v>0.1784</v>
      </c>
      <c r="F5026" t="inlineStr">
        <is>
          <t>Up</t>
        </is>
      </c>
      <c r="G5026" t="inlineStr">
        <is>
          <t>Down</t>
        </is>
      </c>
      <c r="H5026" t="inlineStr">
        <is>
          <t>EU_JD</t>
        </is>
      </c>
      <c r="I5026" t="inlineStr">
        <is>
          <t>2026-07</t>
        </is>
      </c>
      <c r="J5026" t="n">
        <v>1</v>
      </c>
      <c r="K5026" t="n">
        <v>1</v>
      </c>
      <c r="L5026" s="34">
        <f>IF($J5026=1,LN(B5027/B5026),"")</f>
        <v/>
      </c>
      <c r="M5026" s="34">
        <f>IF($K5026=1,INDEX(Mensal!$D$2:$D$245,MATCH($I5026,Mensal!$A$2:$A$245,0)),"")</f>
        <v/>
      </c>
      <c r="N5026" s="34">
        <f>IF($K5026=1,L5026-M5026,"")</f>
        <v/>
      </c>
      <c r="O5026" s="34" t="n">
        <v>0.00052531</v>
      </c>
      <c r="P5026" s="34">
        <f>IF($J5026=1,LN(1+O5026),"")</f>
        <v/>
      </c>
      <c r="Q5026" s="34">
        <f>IF($J5026=1,LN(R5027/R5026),"")</f>
        <v/>
      </c>
      <c r="R5026" s="32" t="n">
        <v>5.1177</v>
      </c>
      <c r="S5026" s="35" t="n">
        <v>14.0282</v>
      </c>
      <c r="T5026" s="18" t="n">
        <v>176564.75</v>
      </c>
      <c r="U5026" s="18" t="n"/>
      <c r="V5026" s="18" t="n"/>
      <c r="W5026" s="18" t="n"/>
      <c r="X5026" s="35" t="n"/>
      <c r="Y5026" s="35" t="n">
        <v>14.0282</v>
      </c>
    </row>
    <row r="5027">
      <c r="A5027" s="25" t="n">
        <v>46232</v>
      </c>
      <c r="B5027" s="18" t="n">
        <v>173885.34</v>
      </c>
      <c r="C5027" s="31" t="n"/>
      <c r="D5027" s="32" t="n"/>
      <c r="E5027" s="33" t="n">
        <v>0.1727</v>
      </c>
      <c r="F5027" t="inlineStr">
        <is>
          <t>Up</t>
        </is>
      </c>
      <c r="G5027" t="inlineStr">
        <is>
          <t>Down</t>
        </is>
      </c>
      <c r="H5027" t="inlineStr">
        <is>
          <t>EU_JD</t>
        </is>
      </c>
      <c r="I5027" t="inlineStr">
        <is>
          <t>2026-07</t>
        </is>
      </c>
      <c r="J5027" t="n">
        <v>1</v>
      </c>
      <c r="K5027" t="n">
        <v>1</v>
      </c>
      <c r="L5027" s="34">
        <f>IF($J5027=1,LN(B5028/B5027),"")</f>
        <v/>
      </c>
      <c r="M5027" s="34">
        <f>IF($K5027=1,INDEX(Mensal!$D$2:$D$245,MATCH($I5027,Mensal!$A$2:$A$245,0)),"")</f>
        <v/>
      </c>
      <c r="N5027" s="34">
        <f>IF($K5027=1,L5027-M5027,"")</f>
        <v/>
      </c>
      <c r="O5027" s="34" t="n">
        <v>0.00052531</v>
      </c>
      <c r="P5027" s="34">
        <f>IF($J5027=1,LN(1+O5027),"")</f>
        <v/>
      </c>
      <c r="Q5027" s="34">
        <f>IF($J5027=1,LN(R5028/R5027),"")</f>
        <v/>
      </c>
      <c r="R5027" s="32" t="n">
        <v>5.1217</v>
      </c>
      <c r="S5027" s="35" t="n">
        <v>13.9063</v>
      </c>
      <c r="T5027" s="18" t="n">
        <v>173885.34</v>
      </c>
      <c r="U5027" s="18" t="n"/>
      <c r="V5027" s="18" t="n"/>
      <c r="W5027" s="18" t="n"/>
      <c r="X5027" s="35" t="n"/>
      <c r="Y5027" s="35" t="n">
        <v>13.9063</v>
      </c>
    </row>
    <row r="5028">
      <c r="A5028" s="25" t="n">
        <v>46233</v>
      </c>
      <c r="B5028" s="18" t="n">
        <v>177158.86</v>
      </c>
      <c r="C5028" s="31" t="n"/>
      <c r="D5028" s="32" t="n"/>
      <c r="E5028" s="33" t="n">
        <v>0.1619</v>
      </c>
      <c r="F5028" t="inlineStr">
        <is>
          <t>Up</t>
        </is>
      </c>
      <c r="G5028" t="inlineStr">
        <is>
          <t>Down</t>
        </is>
      </c>
      <c r="H5028" t="inlineStr">
        <is>
          <t>EU_JD</t>
        </is>
      </c>
      <c r="I5028" t="inlineStr">
        <is>
          <t>2026-07</t>
        </is>
      </c>
      <c r="J5028" t="n">
        <v>1</v>
      </c>
      <c r="K5028" t="n">
        <v>1</v>
      </c>
      <c r="L5028" s="34">
        <f>IF($J5028=1,LN(B5029/B5028),"")</f>
        <v/>
      </c>
      <c r="M5028" s="34">
        <f>IF($K5028=1,INDEX(Mensal!$D$2:$D$245,MATCH($I5028,Mensal!$A$2:$A$245,0)),"")</f>
        <v/>
      </c>
      <c r="N5028" s="34">
        <f>IF($K5028=1,L5028-M5028,"")</f>
        <v/>
      </c>
      <c r="O5028" s="34" t="n">
        <v>0.00052531</v>
      </c>
      <c r="P5028" s="34">
        <f>IF($J5028=1,LN(1+O5028),"")</f>
        <v/>
      </c>
      <c r="Q5028" s="34">
        <f>IF($J5028=1,LN(R5029/R5028),"")</f>
        <v/>
      </c>
      <c r="R5028" s="32" t="n">
        <v>5.0739</v>
      </c>
      <c r="S5028" s="35" t="n">
        <v>13.9254</v>
      </c>
      <c r="T5028" s="18" t="n">
        <v>177158.86</v>
      </c>
      <c r="U5028" s="18" t="n"/>
      <c r="V5028" s="18" t="n"/>
      <c r="W5028" s="18" t="n"/>
      <c r="X5028" s="35" t="n"/>
      <c r="Y5028" s="35" t="n">
        <v>13.9254</v>
      </c>
    </row>
    <row r="5029">
      <c r="A5029" s="25" t="n">
        <v>46234</v>
      </c>
      <c r="B5029" s="18" t="n">
        <v>177999</v>
      </c>
      <c r="C5029" s="31" t="n"/>
      <c r="D5029" s="32" t="n"/>
      <c r="E5029" s="33" t="n">
        <v>0.1515</v>
      </c>
      <c r="F5029" t="inlineStr">
        <is>
          <t>Up</t>
        </is>
      </c>
      <c r="G5029" t="inlineStr">
        <is>
          <t>Down</t>
        </is>
      </c>
      <c r="H5029" t="inlineStr">
        <is>
          <t>EU_JD</t>
        </is>
      </c>
      <c r="I5029" t="inlineStr">
        <is>
          <t>2026-07</t>
        </is>
      </c>
      <c r="J5029" t="n">
        <v>1</v>
      </c>
      <c r="K5029" t="n">
        <v>1</v>
      </c>
      <c r="L5029" s="34">
        <f>IF($J5029=1,LN(B5030/B5029),"")</f>
        <v/>
      </c>
      <c r="M5029" s="34">
        <f>IF($K5029=1,INDEX(Mensal!$D$2:$D$245,MATCH($I5029,Mensal!$A$2:$A$245,0)),"")</f>
        <v/>
      </c>
      <c r="N5029" s="34">
        <f>IF($K5029=1,L5029-M5029,"")</f>
        <v/>
      </c>
      <c r="O5029" s="34" t="n">
        <v>0.00052531</v>
      </c>
      <c r="P5029" s="34">
        <f>IF($J5029=1,LN(1+O5029),"")</f>
        <v/>
      </c>
      <c r="Q5029" s="34">
        <f>IF($J5029=1,LN(R5030/R5029),"")</f>
        <v/>
      </c>
      <c r="R5029" s="32" t="n">
        <v>5.0773</v>
      </c>
      <c r="S5029" s="35" t="n">
        <v>13.841</v>
      </c>
      <c r="T5029" s="18" t="n">
        <v>177999</v>
      </c>
      <c r="U5029" s="18" t="n"/>
      <c r="V5029" s="18" t="n"/>
      <c r="W5029" s="18" t="n"/>
      <c r="X5029" s="35" t="n"/>
      <c r="Y5029" s="35" t="n">
        <v>13.841</v>
      </c>
    </row>
    <row r="5030">
      <c r="A5030" s="25" t="n">
        <v>46237</v>
      </c>
      <c r="B5030" s="18" t="n">
        <v>178000.24</v>
      </c>
      <c r="C5030" s="31" t="n"/>
      <c r="D5030" s="32" t="n"/>
      <c r="E5030" s="33" t="n">
        <v>0.1362</v>
      </c>
      <c r="F5030" t="inlineStr">
        <is>
          <t>Up</t>
        </is>
      </c>
      <c r="G5030" t="inlineStr">
        <is>
          <t>Down</t>
        </is>
      </c>
      <c r="H5030" t="inlineStr">
        <is>
          <t>EU_JD</t>
        </is>
      </c>
      <c r="I5030" t="inlineStr">
        <is>
          <t>2026-08</t>
        </is>
      </c>
      <c r="J5030" t="n">
        <v>1</v>
      </c>
      <c r="K5030" t="n">
        <v>0</v>
      </c>
      <c r="L5030" s="34">
        <f>IF($J5030=1,LN(B5031/B5030),"")</f>
        <v/>
      </c>
      <c r="M5030" s="34">
        <f>IF($K5030=1,INDEX(Mensal!$D$2:$D$245,MATCH($I5030,Mensal!$A$2:$A$245,0)),"")</f>
        <v/>
      </c>
      <c r="N5030" s="34">
        <f>IF($K5030=1,L5030-M5030,"")</f>
        <v/>
      </c>
      <c r="O5030" s="34" t="n">
        <v>0.00052531</v>
      </c>
      <c r="P5030" s="34">
        <f>IF($J5030=1,LN(1+O5030),"")</f>
        <v/>
      </c>
      <c r="Q5030" s="34">
        <f>IF($J5030=1,LN(R5031/R5030),"")</f>
        <v/>
      </c>
      <c r="R5030" s="32" t="n">
        <v>5.0723</v>
      </c>
      <c r="S5030" s="35" t="n">
        <v>13.8161</v>
      </c>
      <c r="T5030" s="18" t="n">
        <v>178000.24</v>
      </c>
      <c r="U5030" s="18" t="n"/>
      <c r="V5030" s="18" t="n"/>
      <c r="W5030" s="18" t="n"/>
      <c r="X5030" s="35" t="n"/>
      <c r="Y5030" s="35" t="n">
        <v>13.8161</v>
      </c>
    </row>
    <row r="5031">
      <c r="A5031" s="25" t="n">
        <v>46238</v>
      </c>
      <c r="B5031" s="18" t="n">
        <v>177894.97</v>
      </c>
      <c r="C5031" s="31" t="n"/>
      <c r="D5031" s="32" t="n"/>
      <c r="E5031" s="33" t="n">
        <v>0.1218</v>
      </c>
      <c r="F5031" t="inlineStr">
        <is>
          <t>Up</t>
        </is>
      </c>
      <c r="G5031" t="inlineStr">
        <is>
          <t>Down</t>
        </is>
      </c>
      <c r="H5031" t="inlineStr">
        <is>
          <t>EU_JD</t>
        </is>
      </c>
      <c r="I5031" t="inlineStr">
        <is>
          <t>2026-08</t>
        </is>
      </c>
      <c r="J5031" t="n">
        <v>1</v>
      </c>
      <c r="K5031" t="n">
        <v>0</v>
      </c>
      <c r="L5031" s="34">
        <f>IF($J5031=1,LN(B5032/B5031),"")</f>
        <v/>
      </c>
      <c r="M5031" s="34">
        <f>IF($K5031=1,INDEX(Mensal!$D$2:$D$245,MATCH($I5031,Mensal!$A$2:$A$245,0)),"")</f>
        <v/>
      </c>
      <c r="N5031" s="34">
        <f>IF($K5031=1,L5031-M5031,"")</f>
        <v/>
      </c>
      <c r="O5031" s="34" t="n">
        <v>0.00052531</v>
      </c>
      <c r="P5031" s="34">
        <f>IF($J5031=1,LN(1+O5031),"")</f>
        <v/>
      </c>
      <c r="Q5031" s="34">
        <f>IF($J5031=1,LN(R5032/R5031),"")</f>
        <v/>
      </c>
      <c r="R5031" s="32" t="n">
        <v>5.1053</v>
      </c>
      <c r="S5031" s="35" t="n">
        <v>13.8186</v>
      </c>
      <c r="T5031" s="18" t="n">
        <v>177894.97</v>
      </c>
      <c r="U5031" s="18" t="n"/>
      <c r="V5031" s="18" t="n"/>
      <c r="W5031" s="18" t="n"/>
      <c r="X5031" s="35" t="n"/>
      <c r="Y5031" s="35" t="n">
        <v>13.8186</v>
      </c>
    </row>
    <row r="5032">
      <c r="A5032" s="25" t="n">
        <v>46239</v>
      </c>
      <c r="B5032" s="18" t="n">
        <v>177726.17</v>
      </c>
      <c r="C5032" s="31" t="n"/>
      <c r="D5032" s="32" t="n"/>
      <c r="E5032" s="33" t="n">
        <v>0.1072</v>
      </c>
      <c r="F5032" t="inlineStr">
        <is>
          <t>Up</t>
        </is>
      </c>
      <c r="G5032" t="inlineStr">
        <is>
          <t>Down</t>
        </is>
      </c>
      <c r="H5032" t="inlineStr">
        <is>
          <t>EU_JD</t>
        </is>
      </c>
      <c r="I5032" t="inlineStr">
        <is>
          <t>2026-08</t>
        </is>
      </c>
      <c r="J5032" t="n">
        <v>1</v>
      </c>
      <c r="K5032" t="n">
        <v>0</v>
      </c>
      <c r="L5032" s="34">
        <f>IF($J5032=1,LN(B5033/B5032),"")</f>
        <v/>
      </c>
      <c r="M5032" s="34">
        <f>IF($K5032=1,INDEX(Mensal!$D$2:$D$245,MATCH($I5032,Mensal!$A$2:$A$245,0)),"")</f>
        <v/>
      </c>
      <c r="N5032" s="34">
        <f>IF($K5032=1,L5032-M5032,"")</f>
        <v/>
      </c>
      <c r="O5032" s="34" t="n">
        <v>0.00052531</v>
      </c>
      <c r="P5032" s="34">
        <f>IF($J5032=1,LN(1+O5032),"")</f>
        <v/>
      </c>
      <c r="Q5032" s="34">
        <f>IF($J5032=1,LN(R5033/R5032),"")</f>
        <v/>
      </c>
      <c r="R5032" s="32" t="n">
        <v>5.1154</v>
      </c>
      <c r="S5032" s="35" t="n">
        <v>13.8687</v>
      </c>
      <c r="T5032" s="18" t="n">
        <v>177726.17</v>
      </c>
      <c r="U5032" s="18" t="n"/>
      <c r="V5032" s="18" t="n"/>
      <c r="W5032" s="18" t="n"/>
      <c r="X5032" s="35" t="n"/>
      <c r="Y5032" s="35" t="n">
        <v>13.8687</v>
      </c>
    </row>
    <row r="5033">
      <c r="A5033" s="25" t="n">
        <v>46240</v>
      </c>
      <c r="B5033" s="18" t="n">
        <v>175546.36</v>
      </c>
      <c r="C5033" s="31" t="n"/>
      <c r="D5033" s="32" t="n"/>
      <c r="E5033" s="33" t="n">
        <v>0.0927</v>
      </c>
      <c r="F5033" t="inlineStr">
        <is>
          <t>Up</t>
        </is>
      </c>
      <c r="G5033" t="inlineStr">
        <is>
          <t>Down</t>
        </is>
      </c>
      <c r="H5033" t="inlineStr">
        <is>
          <t>EU_JD</t>
        </is>
      </c>
      <c r="I5033" t="inlineStr">
        <is>
          <t>2026-08</t>
        </is>
      </c>
      <c r="J5033" t="n">
        <v>1</v>
      </c>
      <c r="K5033" t="n">
        <v>0</v>
      </c>
      <c r="L5033" s="34">
        <f>IF($J5033=1,LN(B5034/B5033),"")</f>
        <v/>
      </c>
      <c r="M5033" s="34">
        <f>IF($K5033=1,INDEX(Mensal!$D$2:$D$245,MATCH($I5033,Mensal!$A$2:$A$245,0)),"")</f>
        <v/>
      </c>
      <c r="N5033" s="34">
        <f>IF($K5033=1,L5033-M5033,"")</f>
        <v/>
      </c>
      <c r="O5033" s="34" t="n">
        <v>0.0005166</v>
      </c>
      <c r="P5033" s="34">
        <f>IF($J5033=1,LN(1+O5033),"")</f>
        <v/>
      </c>
      <c r="Q5033" s="34">
        <f>IF($J5033=1,LN(R5034/R5033),"")</f>
        <v/>
      </c>
      <c r="R5033" s="32" t="n">
        <v>5.1017</v>
      </c>
      <c r="S5033" s="35" t="n">
        <v>13.8326</v>
      </c>
      <c r="T5033" s="18" t="n">
        <v>175546.36</v>
      </c>
      <c r="U5033" s="18" t="n"/>
      <c r="V5033" s="18" t="n"/>
      <c r="W5033" s="18" t="n"/>
      <c r="X5033" s="35" t="n"/>
      <c r="Y5033" s="35" t="n">
        <v>13.8326</v>
      </c>
    </row>
    <row r="5034">
      <c r="A5034" s="25" t="n">
        <v>46241</v>
      </c>
      <c r="B5034" s="18" t="n">
        <v>172513.42</v>
      </c>
      <c r="C5034" s="31" t="n"/>
      <c r="D5034" s="32" t="n"/>
      <c r="E5034" s="33" t="n">
        <v>0.08749999999999999</v>
      </c>
      <c r="F5034" t="inlineStr">
        <is>
          <t>Up</t>
        </is>
      </c>
      <c r="G5034" t="inlineStr">
        <is>
          <t>Down</t>
        </is>
      </c>
      <c r="H5034" t="inlineStr">
        <is>
          <t>EU_JD</t>
        </is>
      </c>
      <c r="I5034" t="inlineStr">
        <is>
          <t>2026-08</t>
        </is>
      </c>
      <c r="J5034" t="n">
        <v>1</v>
      </c>
      <c r="K5034" t="n">
        <v>0</v>
      </c>
      <c r="L5034" s="34">
        <f>IF($J5034=1,LN(B5035/B5034),"")</f>
        <v/>
      </c>
      <c r="M5034" s="34">
        <f>IF($K5034=1,INDEX(Mensal!$D$2:$D$245,MATCH($I5034,Mensal!$A$2:$A$245,0)),"")</f>
        <v/>
      </c>
      <c r="N5034" s="34">
        <f>IF($K5034=1,L5034-M5034,"")</f>
        <v/>
      </c>
      <c r="O5034" s="34" t="n">
        <v>0.0005166</v>
      </c>
      <c r="P5034" s="34">
        <f>IF($J5034=1,LN(1+O5034),"")</f>
        <v/>
      </c>
      <c r="Q5034" s="34">
        <f>IF($J5034=1,LN(R5035/R5034),"")</f>
        <v/>
      </c>
      <c r="R5034" s="32" t="n">
        <v>5.0908</v>
      </c>
      <c r="S5034" s="35" t="n">
        <v>13.8296</v>
      </c>
      <c r="T5034" s="18" t="n">
        <v>172513.42</v>
      </c>
      <c r="U5034" s="18" t="n"/>
      <c r="V5034" s="18" t="n"/>
      <c r="W5034" s="18" t="n"/>
      <c r="X5034" s="35" t="n"/>
      <c r="Y5034" s="35" t="n">
        <v>13.8296</v>
      </c>
    </row>
    <row r="5035">
      <c r="A5035" s="25" t="n">
        <v>46244</v>
      </c>
      <c r="B5035" s="18" t="n">
        <v>172179.93</v>
      </c>
      <c r="C5035" s="31" t="n"/>
      <c r="D5035" s="32" t="n"/>
      <c r="E5035" s="33" t="n">
        <v>0.0898</v>
      </c>
      <c r="F5035" t="inlineStr">
        <is>
          <t>Up</t>
        </is>
      </c>
      <c r="G5035" t="inlineStr">
        <is>
          <t>Down</t>
        </is>
      </c>
      <c r="H5035" t="inlineStr">
        <is>
          <t>EU_JD</t>
        </is>
      </c>
      <c r="I5035" t="inlineStr">
        <is>
          <t>2026-08</t>
        </is>
      </c>
      <c r="J5035" t="n">
        <v>1</v>
      </c>
      <c r="K5035" t="n">
        <v>0</v>
      </c>
      <c r="L5035" s="34">
        <f>IF($J5035=1,LN(B5036/B5035),"")</f>
        <v/>
      </c>
      <c r="M5035" s="34">
        <f>IF($K5035=1,INDEX(Mensal!$D$2:$D$245,MATCH($I5035,Mensal!$A$2:$A$245,0)),"")</f>
        <v/>
      </c>
      <c r="N5035" s="34">
        <f>IF($K5035=1,L5035-M5035,"")</f>
        <v/>
      </c>
      <c r="O5035" s="34" t="n">
        <v>0.0005166</v>
      </c>
      <c r="P5035" s="34">
        <f>IF($J5035=1,LN(1+O5035),"")</f>
        <v/>
      </c>
      <c r="Q5035" s="34">
        <f>IF($J5035=1,LN(R5036/R5035),"")</f>
        <v/>
      </c>
      <c r="R5035" s="32" t="n">
        <v>5.0963</v>
      </c>
      <c r="S5035" s="35" t="n">
        <v>13.8531</v>
      </c>
      <c r="T5035" s="18" t="n">
        <v>172179.93</v>
      </c>
      <c r="U5035" s="18" t="n"/>
      <c r="V5035" s="18" t="n"/>
      <c r="W5035" s="18" t="n"/>
      <c r="X5035" s="35" t="n"/>
      <c r="Y5035" s="35" t="n">
        <v>13.8531</v>
      </c>
    </row>
    <row r="5036">
      <c r="A5036" s="25" t="n">
        <v>46245</v>
      </c>
      <c r="B5036" s="18" t="n">
        <v>167874.64</v>
      </c>
      <c r="C5036" s="31" t="n"/>
      <c r="D5036" s="32" t="n"/>
      <c r="E5036" s="33" t="n">
        <v>0.09130000000000001</v>
      </c>
      <c r="F5036" t="inlineStr">
        <is>
          <t>Up</t>
        </is>
      </c>
      <c r="G5036" t="inlineStr">
        <is>
          <t>Down</t>
        </is>
      </c>
      <c r="H5036" t="inlineStr">
        <is>
          <t>EU_JD</t>
        </is>
      </c>
      <c r="I5036" t="inlineStr">
        <is>
          <t>2026-08</t>
        </is>
      </c>
      <c r="J5036" t="n">
        <v>1</v>
      </c>
      <c r="K5036" t="n">
        <v>0</v>
      </c>
      <c r="L5036" s="34">
        <f>IF($J5036=1,LN(B5037/B5036),"")</f>
        <v/>
      </c>
      <c r="M5036" s="34">
        <f>IF($K5036=1,INDEX(Mensal!$D$2:$D$245,MATCH($I5036,Mensal!$A$2:$A$245,0)),"")</f>
        <v/>
      </c>
      <c r="N5036" s="34">
        <f>IF($K5036=1,L5036-M5036,"")</f>
        <v/>
      </c>
      <c r="O5036" s="34" t="n">
        <v>0.0005166</v>
      </c>
      <c r="P5036" s="34">
        <f>IF($J5036=1,LN(1+O5036),"")</f>
        <v/>
      </c>
      <c r="Q5036" s="34">
        <f>IF($J5036=1,LN(R5037/R5036),"")</f>
        <v/>
      </c>
      <c r="R5036" s="32" t="n">
        <v>5.1285</v>
      </c>
      <c r="S5036" s="35" t="n">
        <v>13.8649</v>
      </c>
      <c r="T5036" s="18" t="n">
        <v>167874.64</v>
      </c>
      <c r="U5036" s="18" t="n"/>
      <c r="V5036" s="18" t="n"/>
      <c r="W5036" s="18" t="n"/>
      <c r="X5036" s="35" t="n"/>
      <c r="Y5036" s="35" t="n">
        <v>13.8649</v>
      </c>
    </row>
    <row r="5037">
      <c r="A5037" s="25" t="n">
        <v>46246</v>
      </c>
      <c r="B5037" s="18" t="n">
        <v>167491.07</v>
      </c>
      <c r="C5037" s="31" t="n"/>
      <c r="D5037" s="32" t="n"/>
      <c r="E5037" s="33" t="n">
        <v>0.0946</v>
      </c>
      <c r="F5037" t="inlineStr">
        <is>
          <t>Up</t>
        </is>
      </c>
      <c r="G5037" t="inlineStr">
        <is>
          <t>Down</t>
        </is>
      </c>
      <c r="H5037" t="inlineStr">
        <is>
          <t>EU_JD</t>
        </is>
      </c>
      <c r="I5037" t="inlineStr">
        <is>
          <t>2026-08</t>
        </is>
      </c>
      <c r="J5037" t="n">
        <v>0</v>
      </c>
      <c r="K5037" t="n">
        <v>0</v>
      </c>
      <c r="L5037" s="34">
        <f>IF($J5037=1,LN(B5038/B5037),"")</f>
        <v/>
      </c>
      <c r="M5037" s="34">
        <f>IF($K5037=1,INDEX(Mensal!$D$2:$D$245,MATCH($I5037,Mensal!$A$2:$A$245,0)),"")</f>
        <v/>
      </c>
      <c r="N5037" s="34">
        <f>IF($K5037=1,L5037-M5037,"")</f>
        <v/>
      </c>
      <c r="O5037" s="34" t="n">
        <v>0.0005166</v>
      </c>
      <c r="P5037" s="34">
        <f>IF($J5037=1,LN(1+O5037),"")</f>
        <v/>
      </c>
      <c r="Q5037" s="34">
        <f>IF($J5037=1,LN(R5038/R5037),"")</f>
        <v/>
      </c>
      <c r="R5037" s="32" t="n">
        <v>5.1639</v>
      </c>
      <c r="S5037" s="35" t="n">
        <v>13.9147</v>
      </c>
      <c r="T5037" s="18" t="n">
        <v>167491.07</v>
      </c>
      <c r="U5037" s="18" t="n"/>
      <c r="V5037" s="18" t="n"/>
      <c r="W5037" s="18" t="n"/>
      <c r="X5037" s="35" t="n"/>
      <c r="Y5037" s="35" t="n">
        <v>13.9147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4" customWidth="1" min="4" max="4"/>
  </cols>
  <sheetData>
    <row r="1">
      <c r="A1" s="8" t="inlineStr">
        <is>
          <t>Mes</t>
        </is>
      </c>
      <c r="B1" s="8" t="inlineStr">
        <is>
          <t>IPCA no mes</t>
        </is>
      </c>
      <c r="C1" s="8" t="inlineStr">
        <is>
          <t>Intervalos de pregao</t>
        </is>
      </c>
      <c r="D1" s="8" t="inlineStr">
        <is>
          <t>log inflacao por intervalo</t>
        </is>
      </c>
    </row>
    <row r="2">
      <c r="A2" t="inlineStr">
        <is>
          <t>2006-04</t>
        </is>
      </c>
      <c r="B2" s="36" t="n">
        <v>0.0021</v>
      </c>
      <c r="C2" t="n">
        <v>18</v>
      </c>
      <c r="D2" s="34">
        <f>LN(1+B2)/C2</f>
        <v/>
      </c>
    </row>
    <row r="3">
      <c r="A3" t="inlineStr">
        <is>
          <t>2006-05</t>
        </is>
      </c>
      <c r="B3" s="36" t="n">
        <v>0.001</v>
      </c>
      <c r="C3" t="n">
        <v>22</v>
      </c>
      <c r="D3" s="34">
        <f>LN(1+B3)/C3</f>
        <v/>
      </c>
    </row>
    <row r="4">
      <c r="A4" t="inlineStr">
        <is>
          <t>2006-06</t>
        </is>
      </c>
      <c r="B4" s="36" t="n">
        <v>-0.0021</v>
      </c>
      <c r="C4" t="n">
        <v>21</v>
      </c>
      <c r="D4" s="34">
        <f>LN(1+B4)/C4</f>
        <v/>
      </c>
    </row>
    <row r="5">
      <c r="A5" t="inlineStr">
        <is>
          <t>2006-07</t>
        </is>
      </c>
      <c r="B5" s="36" t="n">
        <v>0.0019</v>
      </c>
      <c r="C5" t="n">
        <v>21</v>
      </c>
      <c r="D5" s="34">
        <f>LN(1+B5)/C5</f>
        <v/>
      </c>
    </row>
    <row r="6">
      <c r="A6" t="inlineStr">
        <is>
          <t>2006-08</t>
        </is>
      </c>
      <c r="B6" s="36" t="n">
        <v>0.0005</v>
      </c>
      <c r="C6" t="n">
        <v>23</v>
      </c>
      <c r="D6" s="34">
        <f>LN(1+B6)/C6</f>
        <v/>
      </c>
    </row>
    <row r="7">
      <c r="A7" t="inlineStr">
        <is>
          <t>2006-09</t>
        </is>
      </c>
      <c r="B7" s="36" t="n">
        <v>0.0021</v>
      </c>
      <c r="C7" t="n">
        <v>20</v>
      </c>
      <c r="D7" s="34">
        <f>LN(1+B7)/C7</f>
        <v/>
      </c>
    </row>
    <row r="8">
      <c r="A8" t="inlineStr">
        <is>
          <t>2006-10</t>
        </is>
      </c>
      <c r="B8" s="36" t="n">
        <v>0.0033</v>
      </c>
      <c r="C8" t="n">
        <v>21</v>
      </c>
      <c r="D8" s="34">
        <f>LN(1+B8)/C8</f>
        <v/>
      </c>
    </row>
    <row r="9">
      <c r="A9" t="inlineStr">
        <is>
          <t>2006-11</t>
        </is>
      </c>
      <c r="B9" s="36" t="n">
        <v>0.0031</v>
      </c>
      <c r="C9" t="n">
        <v>19</v>
      </c>
      <c r="D9" s="34">
        <f>LN(1+B9)/C9</f>
        <v/>
      </c>
    </row>
    <row r="10">
      <c r="A10" t="inlineStr">
        <is>
          <t>2006-12</t>
        </is>
      </c>
      <c r="B10" s="36" t="n">
        <v>0.0048</v>
      </c>
      <c r="C10" t="n">
        <v>19</v>
      </c>
      <c r="D10" s="34">
        <f>LN(1+B10)/C10</f>
        <v/>
      </c>
    </row>
    <row r="11">
      <c r="A11" t="inlineStr">
        <is>
          <t>2007-01</t>
        </is>
      </c>
      <c r="B11" s="36" t="n">
        <v>0.0044</v>
      </c>
      <c r="C11" t="n">
        <v>21</v>
      </c>
      <c r="D11" s="34">
        <f>LN(1+B11)/C11</f>
        <v/>
      </c>
    </row>
    <row r="12">
      <c r="A12" t="inlineStr">
        <is>
          <t>2007-02</t>
        </is>
      </c>
      <c r="B12" s="36" t="n">
        <v>0.0044</v>
      </c>
      <c r="C12" t="n">
        <v>18</v>
      </c>
      <c r="D12" s="34">
        <f>LN(1+B12)/C12</f>
        <v/>
      </c>
    </row>
    <row r="13">
      <c r="A13" t="inlineStr">
        <is>
          <t>2007-03</t>
        </is>
      </c>
      <c r="B13" s="36" t="n">
        <v>0.0037</v>
      </c>
      <c r="C13" t="n">
        <v>22</v>
      </c>
      <c r="D13" s="34">
        <f>LN(1+B13)/C13</f>
        <v/>
      </c>
    </row>
    <row r="14">
      <c r="A14" t="inlineStr">
        <is>
          <t>2007-04</t>
        </is>
      </c>
      <c r="B14" s="36" t="n">
        <v>0.0025</v>
      </c>
      <c r="C14" t="n">
        <v>20</v>
      </c>
      <c r="D14" s="34">
        <f>LN(1+B14)/C14</f>
        <v/>
      </c>
    </row>
    <row r="15">
      <c r="A15" t="inlineStr">
        <is>
          <t>2007-05</t>
        </is>
      </c>
      <c r="B15" s="36" t="n">
        <v>0.0028</v>
      </c>
      <c r="C15" t="n">
        <v>22</v>
      </c>
      <c r="D15" s="34">
        <f>LN(1+B15)/C15</f>
        <v/>
      </c>
    </row>
    <row r="16">
      <c r="A16" t="inlineStr">
        <is>
          <t>2007-06</t>
        </is>
      </c>
      <c r="B16" s="36" t="n">
        <v>0.0028</v>
      </c>
      <c r="C16" t="n">
        <v>20</v>
      </c>
      <c r="D16" s="34">
        <f>LN(1+B16)/C16</f>
        <v/>
      </c>
    </row>
    <row r="17">
      <c r="A17" t="inlineStr">
        <is>
          <t>2007-07</t>
        </is>
      </c>
      <c r="B17" s="36" t="n">
        <v>0.0024</v>
      </c>
      <c r="C17" t="n">
        <v>21</v>
      </c>
      <c r="D17" s="34">
        <f>LN(1+B17)/C17</f>
        <v/>
      </c>
    </row>
    <row r="18">
      <c r="A18" t="inlineStr">
        <is>
          <t>2007-08</t>
        </is>
      </c>
      <c r="B18" s="36" t="n">
        <v>0.004699999999999999</v>
      </c>
      <c r="C18" t="n">
        <v>23</v>
      </c>
      <c r="D18" s="34">
        <f>LN(1+B18)/C18</f>
        <v/>
      </c>
    </row>
    <row r="19">
      <c r="A19" t="inlineStr">
        <is>
          <t>2007-09</t>
        </is>
      </c>
      <c r="B19" s="36" t="n">
        <v>0.0018</v>
      </c>
      <c r="C19" t="n">
        <v>19</v>
      </c>
      <c r="D19" s="34">
        <f>LN(1+B19)/C19</f>
        <v/>
      </c>
    </row>
    <row r="20">
      <c r="A20" t="inlineStr">
        <is>
          <t>2007-10</t>
        </is>
      </c>
      <c r="B20" s="36" t="n">
        <v>0.003</v>
      </c>
      <c r="C20" t="n">
        <v>22</v>
      </c>
      <c r="D20" s="34">
        <f>LN(1+B20)/C20</f>
        <v/>
      </c>
    </row>
    <row r="21">
      <c r="A21" t="inlineStr">
        <is>
          <t>2007-11</t>
        </is>
      </c>
      <c r="B21" s="36" t="n">
        <v>0.0038</v>
      </c>
      <c r="C21" t="n">
        <v>19</v>
      </c>
      <c r="D21" s="34">
        <f>LN(1+B21)/C21</f>
        <v/>
      </c>
    </row>
    <row r="22">
      <c r="A22" t="inlineStr">
        <is>
          <t>2007-12</t>
        </is>
      </c>
      <c r="B22" s="36" t="n">
        <v>0.0074</v>
      </c>
      <c r="C22" t="n">
        <v>18</v>
      </c>
      <c r="D22" s="34">
        <f>LN(1+B22)/C22</f>
        <v/>
      </c>
    </row>
    <row r="23">
      <c r="A23" t="inlineStr">
        <is>
          <t>2008-01</t>
        </is>
      </c>
      <c r="B23" s="36" t="n">
        <v>0.0054</v>
      </c>
      <c r="C23" t="n">
        <v>21</v>
      </c>
      <c r="D23" s="34">
        <f>LN(1+B23)/C23</f>
        <v/>
      </c>
    </row>
    <row r="24">
      <c r="A24" t="inlineStr">
        <is>
          <t>2008-02</t>
        </is>
      </c>
      <c r="B24" s="36" t="n">
        <v>0.0049</v>
      </c>
      <c r="C24" t="n">
        <v>18</v>
      </c>
      <c r="D24" s="34">
        <f>LN(1+B24)/C24</f>
        <v/>
      </c>
    </row>
    <row r="25">
      <c r="A25" t="inlineStr">
        <is>
          <t>2008-03</t>
        </is>
      </c>
      <c r="B25" s="36" t="n">
        <v>0.0048</v>
      </c>
      <c r="C25" t="n">
        <v>20</v>
      </c>
      <c r="D25" s="34">
        <f>LN(1+B25)/C25</f>
        <v/>
      </c>
    </row>
    <row r="26">
      <c r="A26" t="inlineStr">
        <is>
          <t>2008-04</t>
        </is>
      </c>
      <c r="B26" s="36" t="n">
        <v>0.005500000000000001</v>
      </c>
      <c r="C26" t="n">
        <v>21</v>
      </c>
      <c r="D26" s="34">
        <f>LN(1+B26)/C26</f>
        <v/>
      </c>
    </row>
    <row r="27">
      <c r="A27" t="inlineStr">
        <is>
          <t>2008-05</t>
        </is>
      </c>
      <c r="B27" s="36" t="n">
        <v>0.007900000000000001</v>
      </c>
      <c r="C27" t="n">
        <v>20</v>
      </c>
      <c r="D27" s="34">
        <f>LN(1+B27)/C27</f>
        <v/>
      </c>
    </row>
    <row r="28">
      <c r="A28" t="inlineStr">
        <is>
          <t>2008-06</t>
        </is>
      </c>
      <c r="B28" s="36" t="n">
        <v>0.0074</v>
      </c>
      <c r="C28" t="n">
        <v>21</v>
      </c>
      <c r="D28" s="34">
        <f>LN(1+B28)/C28</f>
        <v/>
      </c>
    </row>
    <row r="29">
      <c r="A29" t="inlineStr">
        <is>
          <t>2008-07</t>
        </is>
      </c>
      <c r="B29" s="36" t="n">
        <v>0.0053</v>
      </c>
      <c r="C29" t="n">
        <v>22</v>
      </c>
      <c r="D29" s="34">
        <f>LN(1+B29)/C29</f>
        <v/>
      </c>
    </row>
    <row r="30">
      <c r="A30" t="inlineStr">
        <is>
          <t>2008-08</t>
        </is>
      </c>
      <c r="B30" s="36" t="n">
        <v>0.0028</v>
      </c>
      <c r="C30" t="n">
        <v>21</v>
      </c>
      <c r="D30" s="34">
        <f>LN(1+B30)/C30</f>
        <v/>
      </c>
    </row>
    <row r="31">
      <c r="A31" t="inlineStr">
        <is>
          <t>2008-09</t>
        </is>
      </c>
      <c r="B31" s="36" t="n">
        <v>0.0026</v>
      </c>
      <c r="C31" t="n">
        <v>22</v>
      </c>
      <c r="D31" s="34">
        <f>LN(1+B31)/C31</f>
        <v/>
      </c>
    </row>
    <row r="32">
      <c r="A32" t="inlineStr">
        <is>
          <t>2008-10</t>
        </is>
      </c>
      <c r="B32" s="36" t="n">
        <v>0.004500000000000001</v>
      </c>
      <c r="C32" t="n">
        <v>23</v>
      </c>
      <c r="D32" s="34">
        <f>LN(1+B32)/C32</f>
        <v/>
      </c>
    </row>
    <row r="33">
      <c r="A33" t="inlineStr">
        <is>
          <t>2008-11</t>
        </is>
      </c>
      <c r="B33" s="36" t="n">
        <v>0.0036</v>
      </c>
      <c r="C33" t="n">
        <v>19</v>
      </c>
      <c r="D33" s="34">
        <f>LN(1+B33)/C33</f>
        <v/>
      </c>
    </row>
    <row r="34">
      <c r="A34" t="inlineStr">
        <is>
          <t>2008-12</t>
        </is>
      </c>
      <c r="B34" s="36" t="n">
        <v>0.0028</v>
      </c>
      <c r="C34" t="n">
        <v>20</v>
      </c>
      <c r="D34" s="34">
        <f>LN(1+B34)/C34</f>
        <v/>
      </c>
    </row>
    <row r="35">
      <c r="A35" t="inlineStr">
        <is>
          <t>2009-01</t>
        </is>
      </c>
      <c r="B35" s="36" t="n">
        <v>0.0048</v>
      </c>
      <c r="C35" t="n">
        <v>21</v>
      </c>
      <c r="D35" s="34">
        <f>LN(1+B35)/C35</f>
        <v/>
      </c>
    </row>
    <row r="36">
      <c r="A36" t="inlineStr">
        <is>
          <t>2009-02</t>
        </is>
      </c>
      <c r="B36" s="36" t="n">
        <v>0.005500000000000001</v>
      </c>
      <c r="C36" t="n">
        <v>18</v>
      </c>
      <c r="D36" s="34">
        <f>LN(1+B36)/C36</f>
        <v/>
      </c>
    </row>
    <row r="37">
      <c r="A37" t="inlineStr">
        <is>
          <t>2009-03</t>
        </is>
      </c>
      <c r="B37" s="36" t="n">
        <v>0.002</v>
      </c>
      <c r="C37" t="n">
        <v>22</v>
      </c>
      <c r="D37" s="34">
        <f>LN(1+B37)/C37</f>
        <v/>
      </c>
    </row>
    <row r="38">
      <c r="A38" t="inlineStr">
        <is>
          <t>2009-04</t>
        </is>
      </c>
      <c r="B38" s="36" t="n">
        <v>0.0048</v>
      </c>
      <c r="C38" t="n">
        <v>20</v>
      </c>
      <c r="D38" s="34">
        <f>LN(1+B38)/C38</f>
        <v/>
      </c>
    </row>
    <row r="39">
      <c r="A39" t="inlineStr">
        <is>
          <t>2009-05</t>
        </is>
      </c>
      <c r="B39" s="36" t="n">
        <v>0.004699999999999999</v>
      </c>
      <c r="C39" t="n">
        <v>20</v>
      </c>
      <c r="D39" s="34">
        <f>LN(1+B39)/C39</f>
        <v/>
      </c>
    </row>
    <row r="40">
      <c r="A40" t="inlineStr">
        <is>
          <t>2009-06</t>
        </is>
      </c>
      <c r="B40" s="36" t="n">
        <v>0.0036</v>
      </c>
      <c r="C40" t="n">
        <v>21</v>
      </c>
      <c r="D40" s="34">
        <f>LN(1+B40)/C40</f>
        <v/>
      </c>
    </row>
    <row r="41">
      <c r="A41" t="inlineStr">
        <is>
          <t>2009-07</t>
        </is>
      </c>
      <c r="B41" s="36" t="n">
        <v>0.0024</v>
      </c>
      <c r="C41" t="n">
        <v>22</v>
      </c>
      <c r="D41" s="34">
        <f>LN(1+B41)/C41</f>
        <v/>
      </c>
    </row>
    <row r="42">
      <c r="A42" t="inlineStr">
        <is>
          <t>2009-08</t>
        </is>
      </c>
      <c r="B42" s="36" t="n">
        <v>0.0015</v>
      </c>
      <c r="C42" t="n">
        <v>21</v>
      </c>
      <c r="D42" s="34">
        <f>LN(1+B42)/C42</f>
        <v/>
      </c>
    </row>
    <row r="43">
      <c r="A43" t="inlineStr">
        <is>
          <t>2009-09</t>
        </is>
      </c>
      <c r="B43" s="36" t="n">
        <v>0.0024</v>
      </c>
      <c r="C43" t="n">
        <v>21</v>
      </c>
      <c r="D43" s="34">
        <f>LN(1+B43)/C43</f>
        <v/>
      </c>
    </row>
    <row r="44">
      <c r="A44" t="inlineStr">
        <is>
          <t>2009-10</t>
        </is>
      </c>
      <c r="B44" s="36" t="n">
        <v>0.0028</v>
      </c>
      <c r="C44" t="n">
        <v>21</v>
      </c>
      <c r="D44" s="34">
        <f>LN(1+B44)/C44</f>
        <v/>
      </c>
    </row>
    <row r="45">
      <c r="A45" t="inlineStr">
        <is>
          <t>2009-11</t>
        </is>
      </c>
      <c r="B45" s="36" t="n">
        <v>0.004099999999999999</v>
      </c>
      <c r="C45" t="n">
        <v>19</v>
      </c>
      <c r="D45" s="34">
        <f>LN(1+B45)/C45</f>
        <v/>
      </c>
    </row>
    <row r="46">
      <c r="A46" t="inlineStr">
        <is>
          <t>2009-12</t>
        </is>
      </c>
      <c r="B46" s="36" t="n">
        <v>0.0037</v>
      </c>
      <c r="C46" t="n">
        <v>20</v>
      </c>
      <c r="D46" s="34">
        <f>LN(1+B46)/C46</f>
        <v/>
      </c>
    </row>
    <row r="47">
      <c r="A47" t="inlineStr">
        <is>
          <t>2010-01</t>
        </is>
      </c>
      <c r="B47" s="36" t="n">
        <v>0.0075</v>
      </c>
      <c r="C47" t="n">
        <v>19</v>
      </c>
      <c r="D47" s="34">
        <f>LN(1+B47)/C47</f>
        <v/>
      </c>
    </row>
    <row r="48">
      <c r="A48" t="inlineStr">
        <is>
          <t>2010-02</t>
        </is>
      </c>
      <c r="B48" s="36" t="n">
        <v>0.007800000000000001</v>
      </c>
      <c r="C48" t="n">
        <v>18</v>
      </c>
      <c r="D48" s="34">
        <f>LN(1+B48)/C48</f>
        <v/>
      </c>
    </row>
    <row r="49">
      <c r="A49" t="inlineStr">
        <is>
          <t>2010-03</t>
        </is>
      </c>
      <c r="B49" s="36" t="n">
        <v>0.0052</v>
      </c>
      <c r="C49" t="n">
        <v>23</v>
      </c>
      <c r="D49" s="34">
        <f>LN(1+B49)/C49</f>
        <v/>
      </c>
    </row>
    <row r="50">
      <c r="A50" t="inlineStr">
        <is>
          <t>2010-04</t>
        </is>
      </c>
      <c r="B50" s="36" t="n">
        <v>0.005699999999999999</v>
      </c>
      <c r="C50" t="n">
        <v>20</v>
      </c>
      <c r="D50" s="34">
        <f>LN(1+B50)/C50</f>
        <v/>
      </c>
    </row>
    <row r="51">
      <c r="A51" t="inlineStr">
        <is>
          <t>2010-05</t>
        </is>
      </c>
      <c r="B51" s="36" t="n">
        <v>0.0043</v>
      </c>
      <c r="C51" t="n">
        <v>20</v>
      </c>
      <c r="D51" s="34">
        <f>LN(1+B51)/C51</f>
        <v/>
      </c>
    </row>
    <row r="52">
      <c r="A52" t="inlineStr">
        <is>
          <t>2010-06</t>
        </is>
      </c>
      <c r="B52" s="36" t="n">
        <v>0</v>
      </c>
      <c r="C52" t="n">
        <v>20</v>
      </c>
      <c r="D52" s="34">
        <f>LN(1+B52)/C52</f>
        <v/>
      </c>
    </row>
    <row r="53">
      <c r="A53" t="inlineStr">
        <is>
          <t>2010-07</t>
        </is>
      </c>
      <c r="B53" s="36" t="n">
        <v>0.0001</v>
      </c>
      <c r="C53" t="n">
        <v>21</v>
      </c>
      <c r="D53" s="34">
        <f>LN(1+B53)/C53</f>
        <v/>
      </c>
    </row>
    <row r="54">
      <c r="A54" t="inlineStr">
        <is>
          <t>2010-08</t>
        </is>
      </c>
      <c r="B54" s="36" t="n">
        <v>0.0004</v>
      </c>
      <c r="C54" t="n">
        <v>22</v>
      </c>
      <c r="D54" s="34">
        <f>LN(1+B54)/C54</f>
        <v/>
      </c>
    </row>
    <row r="55">
      <c r="A55" t="inlineStr">
        <is>
          <t>2010-09</t>
        </is>
      </c>
      <c r="B55" s="36" t="n">
        <v>0.004500000000000001</v>
      </c>
      <c r="C55" t="n">
        <v>21</v>
      </c>
      <c r="D55" s="34">
        <f>LN(1+B55)/C55</f>
        <v/>
      </c>
    </row>
    <row r="56">
      <c r="A56" t="inlineStr">
        <is>
          <t>2010-10</t>
        </is>
      </c>
      <c r="B56" s="36" t="n">
        <v>0.0075</v>
      </c>
      <c r="C56" t="n">
        <v>20</v>
      </c>
      <c r="D56" s="34">
        <f>LN(1+B56)/C56</f>
        <v/>
      </c>
    </row>
    <row r="57">
      <c r="A57" t="inlineStr">
        <is>
          <t>2010-11</t>
        </is>
      </c>
      <c r="B57" s="36" t="n">
        <v>0.0083</v>
      </c>
      <c r="C57" t="n">
        <v>20</v>
      </c>
      <c r="D57" s="34">
        <f>LN(1+B57)/C57</f>
        <v/>
      </c>
    </row>
    <row r="58">
      <c r="A58" t="inlineStr">
        <is>
          <t>2010-12</t>
        </is>
      </c>
      <c r="B58" s="36" t="n">
        <v>0.0063</v>
      </c>
      <c r="C58" t="n">
        <v>21</v>
      </c>
      <c r="D58" s="34">
        <f>LN(1+B58)/C58</f>
        <v/>
      </c>
    </row>
    <row r="59">
      <c r="A59" t="inlineStr">
        <is>
          <t>2011-01</t>
        </is>
      </c>
      <c r="B59" s="36" t="n">
        <v>0.0083</v>
      </c>
      <c r="C59" t="n">
        <v>20</v>
      </c>
      <c r="D59" s="34">
        <f>LN(1+B59)/C59</f>
        <v/>
      </c>
    </row>
    <row r="60">
      <c r="A60" t="inlineStr">
        <is>
          <t>2011-02</t>
        </is>
      </c>
      <c r="B60" s="36" t="n">
        <v>0.008</v>
      </c>
      <c r="C60" t="n">
        <v>20</v>
      </c>
      <c r="D60" s="34">
        <f>LN(1+B60)/C60</f>
        <v/>
      </c>
    </row>
    <row r="61">
      <c r="A61" t="inlineStr">
        <is>
          <t>2011-03</t>
        </is>
      </c>
      <c r="B61" s="36" t="n">
        <v>0.007900000000000001</v>
      </c>
      <c r="C61" t="n">
        <v>21</v>
      </c>
      <c r="D61" s="34">
        <f>LN(1+B61)/C61</f>
        <v/>
      </c>
    </row>
    <row r="62">
      <c r="A62" t="inlineStr">
        <is>
          <t>2011-04</t>
        </is>
      </c>
      <c r="B62" s="36" t="n">
        <v>0.0077</v>
      </c>
      <c r="C62" t="n">
        <v>19</v>
      </c>
      <c r="D62" s="34">
        <f>LN(1+B62)/C62</f>
        <v/>
      </c>
    </row>
    <row r="63">
      <c r="A63" t="inlineStr">
        <is>
          <t>2011-05</t>
        </is>
      </c>
      <c r="B63" s="36" t="n">
        <v>0.004699999999999999</v>
      </c>
      <c r="C63" t="n">
        <v>22</v>
      </c>
      <c r="D63" s="34">
        <f>LN(1+B63)/C63</f>
        <v/>
      </c>
    </row>
    <row r="64">
      <c r="A64" t="inlineStr">
        <is>
          <t>2011-06</t>
        </is>
      </c>
      <c r="B64" s="36" t="n">
        <v>0.0015</v>
      </c>
      <c r="C64" t="n">
        <v>21</v>
      </c>
      <c r="D64" s="34">
        <f>LN(1+B64)/C64</f>
        <v/>
      </c>
    </row>
    <row r="65">
      <c r="A65" t="inlineStr">
        <is>
          <t>2011-07</t>
        </is>
      </c>
      <c r="B65" s="36" t="n">
        <v>0.0016</v>
      </c>
      <c r="C65" t="n">
        <v>21</v>
      </c>
      <c r="D65" s="34">
        <f>LN(1+B65)/C65</f>
        <v/>
      </c>
    </row>
    <row r="66">
      <c r="A66" t="inlineStr">
        <is>
          <t>2011-08</t>
        </is>
      </c>
      <c r="B66" s="36" t="n">
        <v>0.0037</v>
      </c>
      <c r="C66" t="n">
        <v>23</v>
      </c>
      <c r="D66" s="34">
        <f>LN(1+B66)/C66</f>
        <v/>
      </c>
    </row>
    <row r="67">
      <c r="A67" t="inlineStr">
        <is>
          <t>2011-09</t>
        </is>
      </c>
      <c r="B67" s="36" t="n">
        <v>0.0053</v>
      </c>
      <c r="C67" t="n">
        <v>21</v>
      </c>
      <c r="D67" s="34">
        <f>LN(1+B67)/C67</f>
        <v/>
      </c>
    </row>
    <row r="68">
      <c r="A68" t="inlineStr">
        <is>
          <t>2011-10</t>
        </is>
      </c>
      <c r="B68" s="36" t="n">
        <v>0.0043</v>
      </c>
      <c r="C68" t="n">
        <v>20</v>
      </c>
      <c r="D68" s="34">
        <f>LN(1+B68)/C68</f>
        <v/>
      </c>
    </row>
    <row r="69">
      <c r="A69" t="inlineStr">
        <is>
          <t>2011-11</t>
        </is>
      </c>
      <c r="B69" s="36" t="n">
        <v>0.0052</v>
      </c>
      <c r="C69" t="n">
        <v>20</v>
      </c>
      <c r="D69" s="34">
        <f>LN(1+B69)/C69</f>
        <v/>
      </c>
    </row>
    <row r="70">
      <c r="A70" t="inlineStr">
        <is>
          <t>2011-12</t>
        </is>
      </c>
      <c r="B70" s="36" t="n">
        <v>0.005</v>
      </c>
      <c r="C70" t="n">
        <v>21</v>
      </c>
      <c r="D70" s="34">
        <f>LN(1+B70)/C70</f>
        <v/>
      </c>
    </row>
    <row r="71">
      <c r="A71" t="inlineStr">
        <is>
          <t>2012-01</t>
        </is>
      </c>
      <c r="B71" s="36" t="n">
        <v>0.005600000000000001</v>
      </c>
      <c r="C71" t="n">
        <v>21</v>
      </c>
      <c r="D71" s="34">
        <f>LN(1+B71)/C71</f>
        <v/>
      </c>
    </row>
    <row r="72">
      <c r="A72" t="inlineStr">
        <is>
          <t>2012-02</t>
        </is>
      </c>
      <c r="B72" s="36" t="n">
        <v>0.004500000000000001</v>
      </c>
      <c r="C72" t="n">
        <v>19</v>
      </c>
      <c r="D72" s="34">
        <f>LN(1+B72)/C72</f>
        <v/>
      </c>
    </row>
    <row r="73">
      <c r="A73" t="inlineStr">
        <is>
          <t>2012-03</t>
        </is>
      </c>
      <c r="B73" s="36" t="n">
        <v>0.0021</v>
      </c>
      <c r="C73" t="n">
        <v>22</v>
      </c>
      <c r="D73" s="34">
        <f>LN(1+B73)/C73</f>
        <v/>
      </c>
    </row>
    <row r="74">
      <c r="A74" t="inlineStr">
        <is>
          <t>2012-04</t>
        </is>
      </c>
      <c r="B74" s="36" t="n">
        <v>0.0064</v>
      </c>
      <c r="C74" t="n">
        <v>20</v>
      </c>
      <c r="D74" s="34">
        <f>LN(1+B74)/C74</f>
        <v/>
      </c>
    </row>
    <row r="75">
      <c r="A75" t="inlineStr">
        <is>
          <t>2012-05</t>
        </is>
      </c>
      <c r="B75" s="36" t="n">
        <v>0.0036</v>
      </c>
      <c r="C75" t="n">
        <v>22</v>
      </c>
      <c r="D75" s="34">
        <f>LN(1+B75)/C75</f>
        <v/>
      </c>
    </row>
    <row r="76">
      <c r="A76" t="inlineStr">
        <is>
          <t>2012-06</t>
        </is>
      </c>
      <c r="B76" s="36" t="n">
        <v>0.0008</v>
      </c>
      <c r="C76" t="n">
        <v>20</v>
      </c>
      <c r="D76" s="34">
        <f>LN(1+B76)/C76</f>
        <v/>
      </c>
    </row>
    <row r="77">
      <c r="A77" t="inlineStr">
        <is>
          <t>2012-07</t>
        </is>
      </c>
      <c r="B77" s="36" t="n">
        <v>0.0043</v>
      </c>
      <c r="C77" t="n">
        <v>21</v>
      </c>
      <c r="D77" s="34">
        <f>LN(1+B77)/C77</f>
        <v/>
      </c>
    </row>
    <row r="78">
      <c r="A78" t="inlineStr">
        <is>
          <t>2012-08</t>
        </is>
      </c>
      <c r="B78" s="36" t="n">
        <v>0.004099999999999999</v>
      </c>
      <c r="C78" t="n">
        <v>23</v>
      </c>
      <c r="D78" s="34">
        <f>LN(1+B78)/C78</f>
        <v/>
      </c>
    </row>
    <row r="79">
      <c r="A79" t="inlineStr">
        <is>
          <t>2012-09</t>
        </is>
      </c>
      <c r="B79" s="36" t="n">
        <v>0.005699999999999999</v>
      </c>
      <c r="C79" t="n">
        <v>19</v>
      </c>
      <c r="D79" s="34">
        <f>LN(1+B79)/C79</f>
        <v/>
      </c>
    </row>
    <row r="80">
      <c r="A80" t="inlineStr">
        <is>
          <t>2012-10</t>
        </is>
      </c>
      <c r="B80" s="36" t="n">
        <v>0.0059</v>
      </c>
      <c r="C80" t="n">
        <v>22</v>
      </c>
      <c r="D80" s="34">
        <f>LN(1+B80)/C80</f>
        <v/>
      </c>
    </row>
    <row r="81">
      <c r="A81" t="inlineStr">
        <is>
          <t>2012-11</t>
        </is>
      </c>
      <c r="B81" s="36" t="n">
        <v>0.006</v>
      </c>
      <c r="C81" t="n">
        <v>19</v>
      </c>
      <c r="D81" s="34">
        <f>LN(1+B81)/C81</f>
        <v/>
      </c>
    </row>
    <row r="82">
      <c r="A82" t="inlineStr">
        <is>
          <t>2012-12</t>
        </is>
      </c>
      <c r="B82" s="36" t="n">
        <v>0.007900000000000001</v>
      </c>
      <c r="C82" t="n">
        <v>18</v>
      </c>
      <c r="D82" s="34">
        <f>LN(1+B82)/C82</f>
        <v/>
      </c>
    </row>
    <row r="83">
      <c r="A83" t="inlineStr">
        <is>
          <t>2013-01</t>
        </is>
      </c>
      <c r="B83" s="36" t="n">
        <v>0.0086</v>
      </c>
      <c r="C83" t="n">
        <v>21</v>
      </c>
      <c r="D83" s="34">
        <f>LN(1+B83)/C83</f>
        <v/>
      </c>
    </row>
    <row r="84">
      <c r="A84" t="inlineStr">
        <is>
          <t>2013-02</t>
        </is>
      </c>
      <c r="B84" s="36" t="n">
        <v>0.006</v>
      </c>
      <c r="C84" t="n">
        <v>18</v>
      </c>
      <c r="D84" s="34">
        <f>LN(1+B84)/C84</f>
        <v/>
      </c>
    </row>
    <row r="85">
      <c r="A85" t="inlineStr">
        <is>
          <t>2013-03</t>
        </is>
      </c>
      <c r="B85" s="36" t="n">
        <v>0.004699999999999999</v>
      </c>
      <c r="C85" t="n">
        <v>20</v>
      </c>
      <c r="D85" s="34">
        <f>LN(1+B85)/C85</f>
        <v/>
      </c>
    </row>
    <row r="86">
      <c r="A86" t="inlineStr">
        <is>
          <t>2013-04</t>
        </is>
      </c>
      <c r="B86" s="36" t="n">
        <v>0.005500000000000001</v>
      </c>
      <c r="C86" t="n">
        <v>22</v>
      </c>
      <c r="D86" s="34">
        <f>LN(1+B86)/C86</f>
        <v/>
      </c>
    </row>
    <row r="87">
      <c r="A87" t="inlineStr">
        <is>
          <t>2013-05</t>
        </is>
      </c>
      <c r="B87" s="36" t="n">
        <v>0.0037</v>
      </c>
      <c r="C87" t="n">
        <v>21</v>
      </c>
      <c r="D87" s="34">
        <f>LN(1+B87)/C87</f>
        <v/>
      </c>
    </row>
    <row r="88">
      <c r="A88" t="inlineStr">
        <is>
          <t>2013-06</t>
        </is>
      </c>
      <c r="B88" s="36" t="n">
        <v>0.0026</v>
      </c>
      <c r="C88" t="n">
        <v>20</v>
      </c>
      <c r="D88" s="34">
        <f>LN(1+B88)/C88</f>
        <v/>
      </c>
    </row>
    <row r="89">
      <c r="A89" t="inlineStr">
        <is>
          <t>2013-07</t>
        </is>
      </c>
      <c r="B89" s="36" t="n">
        <v>0.0003</v>
      </c>
      <c r="C89" t="n">
        <v>22</v>
      </c>
      <c r="D89" s="34">
        <f>LN(1+B89)/C89</f>
        <v/>
      </c>
    </row>
    <row r="90">
      <c r="A90" t="inlineStr">
        <is>
          <t>2013-08</t>
        </is>
      </c>
      <c r="B90" s="36" t="n">
        <v>0.0024</v>
      </c>
      <c r="C90" t="n">
        <v>22</v>
      </c>
      <c r="D90" s="34">
        <f>LN(1+B90)/C90</f>
        <v/>
      </c>
    </row>
    <row r="91">
      <c r="A91" t="inlineStr">
        <is>
          <t>2013-09</t>
        </is>
      </c>
      <c r="B91" s="36" t="n">
        <v>0.0035</v>
      </c>
      <c r="C91" t="n">
        <v>21</v>
      </c>
      <c r="D91" s="34">
        <f>LN(1+B91)/C91</f>
        <v/>
      </c>
    </row>
    <row r="92">
      <c r="A92" t="inlineStr">
        <is>
          <t>2013-10</t>
        </is>
      </c>
      <c r="B92" s="36" t="n">
        <v>0.005699999999999999</v>
      </c>
      <c r="C92" t="n">
        <v>23</v>
      </c>
      <c r="D92" s="34">
        <f>LN(1+B92)/C92</f>
        <v/>
      </c>
    </row>
    <row r="93">
      <c r="A93" t="inlineStr">
        <is>
          <t>2013-11</t>
        </is>
      </c>
      <c r="B93" s="36" t="n">
        <v>0.0054</v>
      </c>
      <c r="C93" t="n">
        <v>19</v>
      </c>
      <c r="D93" s="34">
        <f>LN(1+B93)/C93</f>
        <v/>
      </c>
    </row>
    <row r="94">
      <c r="A94" t="inlineStr">
        <is>
          <t>2013-12</t>
        </is>
      </c>
      <c r="B94" s="36" t="n">
        <v>0.0092</v>
      </c>
      <c r="C94" t="n">
        <v>19</v>
      </c>
      <c r="D94" s="34">
        <f>LN(1+B94)/C94</f>
        <v/>
      </c>
    </row>
    <row r="95">
      <c r="A95" t="inlineStr">
        <is>
          <t>2014-01</t>
        </is>
      </c>
      <c r="B95" s="36" t="n">
        <v>0.005500000000000001</v>
      </c>
      <c r="C95" t="n">
        <v>22</v>
      </c>
      <c r="D95" s="34">
        <f>LN(1+B95)/C95</f>
        <v/>
      </c>
    </row>
    <row r="96">
      <c r="A96" t="inlineStr">
        <is>
          <t>2014-02</t>
        </is>
      </c>
      <c r="B96" s="36" t="n">
        <v>0.0069</v>
      </c>
      <c r="C96" t="n">
        <v>20</v>
      </c>
      <c r="D96" s="34">
        <f>LN(1+B96)/C96</f>
        <v/>
      </c>
    </row>
    <row r="97">
      <c r="A97" t="inlineStr">
        <is>
          <t>2014-03</t>
        </is>
      </c>
      <c r="B97" s="36" t="n">
        <v>0.0092</v>
      </c>
      <c r="C97" t="n">
        <v>19</v>
      </c>
      <c r="D97" s="34">
        <f>LN(1+B97)/C97</f>
        <v/>
      </c>
    </row>
    <row r="98">
      <c r="A98" t="inlineStr">
        <is>
          <t>2014-04</t>
        </is>
      </c>
      <c r="B98" s="36" t="n">
        <v>0.0067</v>
      </c>
      <c r="C98" t="n">
        <v>20</v>
      </c>
      <c r="D98" s="34">
        <f>LN(1+B98)/C98</f>
        <v/>
      </c>
    </row>
    <row r="99">
      <c r="A99" t="inlineStr">
        <is>
          <t>2014-05</t>
        </is>
      </c>
      <c r="B99" s="36" t="n">
        <v>0.0046</v>
      </c>
      <c r="C99" t="n">
        <v>21</v>
      </c>
      <c r="D99" s="34">
        <f>LN(1+B99)/C99</f>
        <v/>
      </c>
    </row>
    <row r="100">
      <c r="A100" t="inlineStr">
        <is>
          <t>2014-06</t>
        </is>
      </c>
      <c r="B100" s="36" t="n">
        <v>0.004</v>
      </c>
      <c r="C100" t="n">
        <v>19</v>
      </c>
      <c r="D100" s="34">
        <f>LN(1+B100)/C100</f>
        <v/>
      </c>
    </row>
    <row r="101">
      <c r="A101" t="inlineStr">
        <is>
          <t>2014-07</t>
        </is>
      </c>
      <c r="B101" s="36" t="n">
        <v>0.0001</v>
      </c>
      <c r="C101" t="n">
        <v>22</v>
      </c>
      <c r="D101" s="34">
        <f>LN(1+B101)/C101</f>
        <v/>
      </c>
    </row>
    <row r="102">
      <c r="A102" t="inlineStr">
        <is>
          <t>2014-08</t>
        </is>
      </c>
      <c r="B102" s="36" t="n">
        <v>0.0025</v>
      </c>
      <c r="C102" t="n">
        <v>21</v>
      </c>
      <c r="D102" s="34">
        <f>LN(1+B102)/C102</f>
        <v/>
      </c>
    </row>
    <row r="103">
      <c r="A103" t="inlineStr">
        <is>
          <t>2014-09</t>
        </is>
      </c>
      <c r="B103" s="36" t="n">
        <v>0.005699999999999999</v>
      </c>
      <c r="C103" t="n">
        <v>22</v>
      </c>
      <c r="D103" s="34">
        <f>LN(1+B103)/C103</f>
        <v/>
      </c>
    </row>
    <row r="104">
      <c r="A104" t="inlineStr">
        <is>
          <t>2014-10</t>
        </is>
      </c>
      <c r="B104" s="36" t="n">
        <v>0.0042</v>
      </c>
      <c r="C104" t="n">
        <v>23</v>
      </c>
      <c r="D104" s="34">
        <f>LN(1+B104)/C104</f>
        <v/>
      </c>
    </row>
    <row r="105">
      <c r="A105" t="inlineStr">
        <is>
          <t>2014-11</t>
        </is>
      </c>
      <c r="B105" s="36" t="n">
        <v>0.0051</v>
      </c>
      <c r="C105" t="n">
        <v>19</v>
      </c>
      <c r="D105" s="34">
        <f>LN(1+B105)/C105</f>
        <v/>
      </c>
    </row>
    <row r="106">
      <c r="A106" t="inlineStr">
        <is>
          <t>2014-12</t>
        </is>
      </c>
      <c r="B106" s="36" t="n">
        <v>0.007800000000000001</v>
      </c>
      <c r="C106" t="n">
        <v>20</v>
      </c>
      <c r="D106" s="34">
        <f>LN(1+B106)/C106</f>
        <v/>
      </c>
    </row>
    <row r="107">
      <c r="A107" t="inlineStr">
        <is>
          <t>2015-01</t>
        </is>
      </c>
      <c r="B107" s="36" t="n">
        <v>0.0124</v>
      </c>
      <c r="C107" t="n">
        <v>21</v>
      </c>
      <c r="D107" s="34">
        <f>LN(1+B107)/C107</f>
        <v/>
      </c>
    </row>
    <row r="108">
      <c r="A108" t="inlineStr">
        <is>
          <t>2015-02</t>
        </is>
      </c>
      <c r="B108" s="36" t="n">
        <v>0.0122</v>
      </c>
      <c r="C108" t="n">
        <v>18</v>
      </c>
      <c r="D108" s="34">
        <f>LN(1+B108)/C108</f>
        <v/>
      </c>
    </row>
    <row r="109">
      <c r="A109" t="inlineStr">
        <is>
          <t>2015-03</t>
        </is>
      </c>
      <c r="B109" s="36" t="n">
        <v>0.0132</v>
      </c>
      <c r="C109" t="n">
        <v>22</v>
      </c>
      <c r="D109" s="34">
        <f>LN(1+B109)/C109</f>
        <v/>
      </c>
    </row>
    <row r="110">
      <c r="A110" t="inlineStr">
        <is>
          <t>2015-04</t>
        </is>
      </c>
      <c r="B110" s="36" t="n">
        <v>0.0071</v>
      </c>
      <c r="C110" t="n">
        <v>20</v>
      </c>
      <c r="D110" s="34">
        <f>LN(1+B110)/C110</f>
        <v/>
      </c>
    </row>
    <row r="111">
      <c r="A111" t="inlineStr">
        <is>
          <t>2015-05</t>
        </is>
      </c>
      <c r="B111" s="36" t="n">
        <v>0.0074</v>
      </c>
      <c r="C111" t="n">
        <v>19</v>
      </c>
      <c r="D111" s="34">
        <f>LN(1+B111)/C111</f>
        <v/>
      </c>
    </row>
    <row r="112">
      <c r="A112" t="inlineStr">
        <is>
          <t>2015-06</t>
        </is>
      </c>
      <c r="B112" s="36" t="n">
        <v>0.007900000000000001</v>
      </c>
      <c r="C112" t="n">
        <v>21</v>
      </c>
      <c r="D112" s="34">
        <f>LN(1+B112)/C112</f>
        <v/>
      </c>
    </row>
    <row r="113">
      <c r="A113" t="inlineStr">
        <is>
          <t>2015-07</t>
        </is>
      </c>
      <c r="B113" s="36" t="n">
        <v>0.0062</v>
      </c>
      <c r="C113" t="n">
        <v>22</v>
      </c>
      <c r="D113" s="34">
        <f>LN(1+B113)/C113</f>
        <v/>
      </c>
    </row>
    <row r="114">
      <c r="A114" t="inlineStr">
        <is>
          <t>2015-08</t>
        </is>
      </c>
      <c r="B114" s="36" t="n">
        <v>0.0022</v>
      </c>
      <c r="C114" t="n">
        <v>21</v>
      </c>
      <c r="D114" s="34">
        <f>LN(1+B114)/C114</f>
        <v/>
      </c>
    </row>
    <row r="115">
      <c r="A115" t="inlineStr">
        <is>
          <t>2015-09</t>
        </is>
      </c>
      <c r="B115" s="36" t="n">
        <v>0.0054</v>
      </c>
      <c r="C115" t="n">
        <v>21</v>
      </c>
      <c r="D115" s="34">
        <f>LN(1+B115)/C115</f>
        <v/>
      </c>
    </row>
    <row r="116">
      <c r="A116" t="inlineStr">
        <is>
          <t>2015-10</t>
        </is>
      </c>
      <c r="B116" s="36" t="n">
        <v>0.008199999999999999</v>
      </c>
      <c r="C116" t="n">
        <v>21</v>
      </c>
      <c r="D116" s="34">
        <f>LN(1+B116)/C116</f>
        <v/>
      </c>
    </row>
    <row r="117">
      <c r="A117" t="inlineStr">
        <is>
          <t>2015-11</t>
        </is>
      </c>
      <c r="B117" s="36" t="n">
        <v>0.0101</v>
      </c>
      <c r="C117" t="n">
        <v>19</v>
      </c>
      <c r="D117" s="34">
        <f>LN(1+B117)/C117</f>
        <v/>
      </c>
    </row>
    <row r="118">
      <c r="A118" t="inlineStr">
        <is>
          <t>2015-12</t>
        </is>
      </c>
      <c r="B118" s="36" t="n">
        <v>0.009599999999999999</v>
      </c>
      <c r="C118" t="n">
        <v>20</v>
      </c>
      <c r="D118" s="34">
        <f>LN(1+B118)/C118</f>
        <v/>
      </c>
    </row>
    <row r="119">
      <c r="A119" t="inlineStr">
        <is>
          <t>2016-01</t>
        </is>
      </c>
      <c r="B119" s="36" t="n">
        <v>0.0127</v>
      </c>
      <c r="C119" t="n">
        <v>19</v>
      </c>
      <c r="D119" s="34">
        <f>LN(1+B119)/C119</f>
        <v/>
      </c>
    </row>
    <row r="120">
      <c r="A120" t="inlineStr">
        <is>
          <t>2016-02</t>
        </is>
      </c>
      <c r="B120" s="36" t="n">
        <v>0.009000000000000001</v>
      </c>
      <c r="C120" t="n">
        <v>19</v>
      </c>
      <c r="D120" s="34">
        <f>LN(1+B120)/C120</f>
        <v/>
      </c>
    </row>
    <row r="121">
      <c r="A121" t="inlineStr">
        <is>
          <t>2016-03</t>
        </is>
      </c>
      <c r="B121" s="36" t="n">
        <v>0.0043</v>
      </c>
      <c r="C121" t="n">
        <v>21</v>
      </c>
      <c r="D121" s="34">
        <f>LN(1+B121)/C121</f>
        <v/>
      </c>
    </row>
    <row r="122">
      <c r="A122" t="inlineStr">
        <is>
          <t>2016-04</t>
        </is>
      </c>
      <c r="B122" s="36" t="n">
        <v>0.0061</v>
      </c>
      <c r="C122" t="n">
        <v>20</v>
      </c>
      <c r="D122" s="34">
        <f>LN(1+B122)/C122</f>
        <v/>
      </c>
    </row>
    <row r="123">
      <c r="A123" t="inlineStr">
        <is>
          <t>2016-05</t>
        </is>
      </c>
      <c r="B123" s="36" t="n">
        <v>0.007800000000000001</v>
      </c>
      <c r="C123" t="n">
        <v>21</v>
      </c>
      <c r="D123" s="34">
        <f>LN(1+B123)/C123</f>
        <v/>
      </c>
    </row>
    <row r="124">
      <c r="A124" t="inlineStr">
        <is>
          <t>2016-06</t>
        </is>
      </c>
      <c r="B124" s="36" t="n">
        <v>0.0035</v>
      </c>
      <c r="C124" t="n">
        <v>22</v>
      </c>
      <c r="D124" s="34">
        <f>LN(1+B124)/C124</f>
        <v/>
      </c>
    </row>
    <row r="125">
      <c r="A125" t="inlineStr">
        <is>
          <t>2016-07</t>
        </is>
      </c>
      <c r="B125" s="36" t="n">
        <v>0.0052</v>
      </c>
      <c r="C125" t="n">
        <v>21</v>
      </c>
      <c r="D125" s="34">
        <f>LN(1+B125)/C125</f>
        <v/>
      </c>
    </row>
    <row r="126">
      <c r="A126" t="inlineStr">
        <is>
          <t>2016-08</t>
        </is>
      </c>
      <c r="B126" s="36" t="n">
        <v>0.0044</v>
      </c>
      <c r="C126" t="n">
        <v>23</v>
      </c>
      <c r="D126" s="34">
        <f>LN(1+B126)/C126</f>
        <v/>
      </c>
    </row>
    <row r="127">
      <c r="A127" t="inlineStr">
        <is>
          <t>2016-09</t>
        </is>
      </c>
      <c r="B127" s="36" t="n">
        <v>0.0008</v>
      </c>
      <c r="C127" t="n">
        <v>21</v>
      </c>
      <c r="D127" s="34">
        <f>LN(1+B127)/C127</f>
        <v/>
      </c>
    </row>
    <row r="128">
      <c r="A128" t="inlineStr">
        <is>
          <t>2016-10</t>
        </is>
      </c>
      <c r="B128" s="36" t="n">
        <v>0.0026</v>
      </c>
      <c r="C128" t="n">
        <v>20</v>
      </c>
      <c r="D128" s="34">
        <f>LN(1+B128)/C128</f>
        <v/>
      </c>
    </row>
    <row r="129">
      <c r="A129" t="inlineStr">
        <is>
          <t>2016-11</t>
        </is>
      </c>
      <c r="B129" s="36" t="n">
        <v>0.0018</v>
      </c>
      <c r="C129" t="n">
        <v>20</v>
      </c>
      <c r="D129" s="34">
        <f>LN(1+B129)/C129</f>
        <v/>
      </c>
    </row>
    <row r="130">
      <c r="A130" t="inlineStr">
        <is>
          <t>2016-12</t>
        </is>
      </c>
      <c r="B130" s="36" t="n">
        <v>0.003</v>
      </c>
      <c r="C130" t="n">
        <v>21</v>
      </c>
      <c r="D130" s="34">
        <f>LN(1+B130)/C130</f>
        <v/>
      </c>
    </row>
    <row r="131">
      <c r="A131" t="inlineStr">
        <is>
          <t>2017-01</t>
        </is>
      </c>
      <c r="B131" s="36" t="n">
        <v>0.0038</v>
      </c>
      <c r="C131" t="n">
        <v>21</v>
      </c>
      <c r="D131" s="34">
        <f>LN(1+B131)/C131</f>
        <v/>
      </c>
    </row>
    <row r="132">
      <c r="A132" t="inlineStr">
        <is>
          <t>2017-02</t>
        </is>
      </c>
      <c r="B132" s="36" t="n">
        <v>0.0033</v>
      </c>
      <c r="C132" t="n">
        <v>18</v>
      </c>
      <c r="D132" s="34">
        <f>LN(1+B132)/C132</f>
        <v/>
      </c>
    </row>
    <row r="133">
      <c r="A133" t="inlineStr">
        <is>
          <t>2017-03</t>
        </is>
      </c>
      <c r="B133" s="36" t="n">
        <v>0.0025</v>
      </c>
      <c r="C133" t="n">
        <v>23</v>
      </c>
      <c r="D133" s="34">
        <f>LN(1+B133)/C133</f>
        <v/>
      </c>
    </row>
    <row r="134">
      <c r="A134" t="inlineStr">
        <is>
          <t>2017-04</t>
        </is>
      </c>
      <c r="B134" s="36" t="n">
        <v>0.0014</v>
      </c>
      <c r="C134" t="n">
        <v>18</v>
      </c>
      <c r="D134" s="34">
        <f>LN(1+B134)/C134</f>
        <v/>
      </c>
    </row>
    <row r="135">
      <c r="A135" t="inlineStr">
        <is>
          <t>2017-05</t>
        </is>
      </c>
      <c r="B135" s="36" t="n">
        <v>0.0031</v>
      </c>
      <c r="C135" t="n">
        <v>22</v>
      </c>
      <c r="D135" s="34">
        <f>LN(1+B135)/C135</f>
        <v/>
      </c>
    </row>
    <row r="136">
      <c r="A136" t="inlineStr">
        <is>
          <t>2017-06</t>
        </is>
      </c>
      <c r="B136" s="36" t="n">
        <v>-0.0023</v>
      </c>
      <c r="C136" t="n">
        <v>21</v>
      </c>
      <c r="D136" s="34">
        <f>LN(1+B136)/C136</f>
        <v/>
      </c>
    </row>
    <row r="137">
      <c r="A137" t="inlineStr">
        <is>
          <t>2017-07</t>
        </is>
      </c>
      <c r="B137" s="36" t="n">
        <v>0.0024</v>
      </c>
      <c r="C137" t="n">
        <v>21</v>
      </c>
      <c r="D137" s="34">
        <f>LN(1+B137)/C137</f>
        <v/>
      </c>
    </row>
    <row r="138">
      <c r="A138" t="inlineStr">
        <is>
          <t>2017-08</t>
        </is>
      </c>
      <c r="B138" s="36" t="n">
        <v>0.0019</v>
      </c>
      <c r="C138" t="n">
        <v>23</v>
      </c>
      <c r="D138" s="34">
        <f>LN(1+B138)/C138</f>
        <v/>
      </c>
    </row>
    <row r="139">
      <c r="A139" t="inlineStr">
        <is>
          <t>2017-09</t>
        </is>
      </c>
      <c r="B139" s="36" t="n">
        <v>0.0016</v>
      </c>
      <c r="C139" t="n">
        <v>20</v>
      </c>
      <c r="D139" s="34">
        <f>LN(1+B139)/C139</f>
        <v/>
      </c>
    </row>
    <row r="140">
      <c r="A140" t="inlineStr">
        <is>
          <t>2017-10</t>
        </is>
      </c>
      <c r="B140" s="36" t="n">
        <v>0.0042</v>
      </c>
      <c r="C140" t="n">
        <v>21</v>
      </c>
      <c r="D140" s="34">
        <f>LN(1+B140)/C140</f>
        <v/>
      </c>
    </row>
    <row r="141">
      <c r="A141" t="inlineStr">
        <is>
          <t>2017-11</t>
        </is>
      </c>
      <c r="B141" s="36" t="n">
        <v>0.0028</v>
      </c>
      <c r="C141" t="n">
        <v>19</v>
      </c>
      <c r="D141" s="34">
        <f>LN(1+B141)/C141</f>
        <v/>
      </c>
    </row>
    <row r="142">
      <c r="A142" t="inlineStr">
        <is>
          <t>2017-12</t>
        </is>
      </c>
      <c r="B142" s="36" t="n">
        <v>0.0044</v>
      </c>
      <c r="C142" t="n">
        <v>19</v>
      </c>
      <c r="D142" s="34">
        <f>LN(1+B142)/C142</f>
        <v/>
      </c>
    </row>
    <row r="143">
      <c r="A143" t="inlineStr">
        <is>
          <t>2018-01</t>
        </is>
      </c>
      <c r="B143" s="36" t="n">
        <v>0.0029</v>
      </c>
      <c r="C143" t="n">
        <v>21</v>
      </c>
      <c r="D143" s="34">
        <f>LN(1+B143)/C143</f>
        <v/>
      </c>
    </row>
    <row r="144">
      <c r="A144" t="inlineStr">
        <is>
          <t>2018-02</t>
        </is>
      </c>
      <c r="B144" s="36" t="n">
        <v>0.0032</v>
      </c>
      <c r="C144" t="n">
        <v>18</v>
      </c>
      <c r="D144" s="34">
        <f>LN(1+B144)/C144</f>
        <v/>
      </c>
    </row>
    <row r="145">
      <c r="A145" t="inlineStr">
        <is>
          <t>2018-03</t>
        </is>
      </c>
      <c r="B145" s="36" t="n">
        <v>0.0009</v>
      </c>
      <c r="C145" t="n">
        <v>21</v>
      </c>
      <c r="D145" s="34">
        <f>LN(1+B145)/C145</f>
        <v/>
      </c>
    </row>
    <row r="146">
      <c r="A146" t="inlineStr">
        <is>
          <t>2018-04</t>
        </is>
      </c>
      <c r="B146" s="36" t="n">
        <v>0.0022</v>
      </c>
      <c r="C146" t="n">
        <v>21</v>
      </c>
      <c r="D146" s="34">
        <f>LN(1+B146)/C146</f>
        <v/>
      </c>
    </row>
    <row r="147">
      <c r="A147" t="inlineStr">
        <is>
          <t>2018-05</t>
        </is>
      </c>
      <c r="B147" s="36" t="n">
        <v>0.004</v>
      </c>
      <c r="C147" t="n">
        <v>21</v>
      </c>
      <c r="D147" s="34">
        <f>LN(1+B147)/C147</f>
        <v/>
      </c>
    </row>
    <row r="148">
      <c r="A148" t="inlineStr">
        <is>
          <t>2018-06</t>
        </is>
      </c>
      <c r="B148" s="36" t="n">
        <v>0.0126</v>
      </c>
      <c r="C148" t="n">
        <v>21</v>
      </c>
      <c r="D148" s="34">
        <f>LN(1+B148)/C148</f>
        <v/>
      </c>
    </row>
    <row r="149">
      <c r="A149" t="inlineStr">
        <is>
          <t>2018-07</t>
        </is>
      </c>
      <c r="B149" s="36" t="n">
        <v>0.0033</v>
      </c>
      <c r="C149" t="n">
        <v>21</v>
      </c>
      <c r="D149" s="34">
        <f>LN(1+B149)/C149</f>
        <v/>
      </c>
    </row>
    <row r="150">
      <c r="A150" t="inlineStr">
        <is>
          <t>2018-08</t>
        </is>
      </c>
      <c r="B150" s="36" t="n">
        <v>-0.0009</v>
      </c>
      <c r="C150" t="n">
        <v>23</v>
      </c>
      <c r="D150" s="34">
        <f>LN(1+B150)/C150</f>
        <v/>
      </c>
    </row>
    <row r="151">
      <c r="A151" t="inlineStr">
        <is>
          <t>2018-09</t>
        </is>
      </c>
      <c r="B151" s="36" t="n">
        <v>0.0048</v>
      </c>
      <c r="C151" t="n">
        <v>19</v>
      </c>
      <c r="D151" s="34">
        <f>LN(1+B151)/C151</f>
        <v/>
      </c>
    </row>
    <row r="152">
      <c r="A152" t="inlineStr">
        <is>
          <t>2018-10</t>
        </is>
      </c>
      <c r="B152" s="36" t="n">
        <v>0.004500000000000001</v>
      </c>
      <c r="C152" t="n">
        <v>22</v>
      </c>
      <c r="D152" s="34">
        <f>LN(1+B152)/C152</f>
        <v/>
      </c>
    </row>
    <row r="153">
      <c r="A153" t="inlineStr">
        <is>
          <t>2018-11</t>
        </is>
      </c>
      <c r="B153" s="36" t="n">
        <v>-0.0021</v>
      </c>
      <c r="C153" t="n">
        <v>18</v>
      </c>
      <c r="D153" s="34">
        <f>LN(1+B153)/C153</f>
        <v/>
      </c>
    </row>
    <row r="154">
      <c r="A154" t="inlineStr">
        <is>
          <t>2018-12</t>
        </is>
      </c>
      <c r="B154" s="36" t="n">
        <v>0.0015</v>
      </c>
      <c r="C154" t="n">
        <v>18</v>
      </c>
      <c r="D154" s="34">
        <f>LN(1+B154)/C154</f>
        <v/>
      </c>
    </row>
    <row r="155">
      <c r="A155" t="inlineStr">
        <is>
          <t>2019-01</t>
        </is>
      </c>
      <c r="B155" s="36" t="n">
        <v>0.0032</v>
      </c>
      <c r="C155" t="n">
        <v>21</v>
      </c>
      <c r="D155" s="34">
        <f>LN(1+B155)/C155</f>
        <v/>
      </c>
    </row>
    <row r="156">
      <c r="A156" t="inlineStr">
        <is>
          <t>2019-02</t>
        </is>
      </c>
      <c r="B156" s="36" t="n">
        <v>0.0043</v>
      </c>
      <c r="C156" t="n">
        <v>20</v>
      </c>
      <c r="D156" s="34">
        <f>LN(1+B156)/C156</f>
        <v/>
      </c>
    </row>
    <row r="157">
      <c r="A157" t="inlineStr">
        <is>
          <t>2019-03</t>
        </is>
      </c>
      <c r="B157" s="36" t="n">
        <v>0.0075</v>
      </c>
      <c r="C157" t="n">
        <v>19</v>
      </c>
      <c r="D157" s="34">
        <f>LN(1+B157)/C157</f>
        <v/>
      </c>
    </row>
    <row r="158">
      <c r="A158" t="inlineStr">
        <is>
          <t>2019-04</t>
        </is>
      </c>
      <c r="B158" s="36" t="n">
        <v>0.005699999999999999</v>
      </c>
      <c r="C158" t="n">
        <v>21</v>
      </c>
      <c r="D158" s="34">
        <f>LN(1+B158)/C158</f>
        <v/>
      </c>
    </row>
    <row r="159">
      <c r="A159" t="inlineStr">
        <is>
          <t>2019-05</t>
        </is>
      </c>
      <c r="B159" s="36" t="n">
        <v>0.0013</v>
      </c>
      <c r="C159" t="n">
        <v>22</v>
      </c>
      <c r="D159" s="34">
        <f>LN(1+B159)/C159</f>
        <v/>
      </c>
    </row>
    <row r="160">
      <c r="A160" t="inlineStr">
        <is>
          <t>2019-06</t>
        </is>
      </c>
      <c r="B160" s="36" t="n">
        <v>0.0001</v>
      </c>
      <c r="C160" t="n">
        <v>19</v>
      </c>
      <c r="D160" s="34">
        <f>LN(1+B160)/C160</f>
        <v/>
      </c>
    </row>
    <row r="161">
      <c r="A161" t="inlineStr">
        <is>
          <t>2019-07</t>
        </is>
      </c>
      <c r="B161" s="36" t="n">
        <v>0.0019</v>
      </c>
      <c r="C161" t="n">
        <v>22</v>
      </c>
      <c r="D161" s="34">
        <f>LN(1+B161)/C161</f>
        <v/>
      </c>
    </row>
    <row r="162">
      <c r="A162" t="inlineStr">
        <is>
          <t>2019-08</t>
        </is>
      </c>
      <c r="B162" s="36" t="n">
        <v>0.0011</v>
      </c>
      <c r="C162" t="n">
        <v>22</v>
      </c>
      <c r="D162" s="34">
        <f>LN(1+B162)/C162</f>
        <v/>
      </c>
    </row>
    <row r="163">
      <c r="A163" t="inlineStr">
        <is>
          <t>2019-09</t>
        </is>
      </c>
      <c r="B163" s="36" t="n">
        <v>-0.0004</v>
      </c>
      <c r="C163" t="n">
        <v>21</v>
      </c>
      <c r="D163" s="34">
        <f>LN(1+B163)/C163</f>
        <v/>
      </c>
    </row>
    <row r="164">
      <c r="A164" t="inlineStr">
        <is>
          <t>2019-10</t>
        </is>
      </c>
      <c r="B164" s="36" t="n">
        <v>0.001</v>
      </c>
      <c r="C164" t="n">
        <v>23</v>
      </c>
      <c r="D164" s="34">
        <f>LN(1+B164)/C164</f>
        <v/>
      </c>
    </row>
    <row r="165">
      <c r="A165" t="inlineStr">
        <is>
          <t>2019-11</t>
        </is>
      </c>
      <c r="B165" s="36" t="n">
        <v>0.0051</v>
      </c>
      <c r="C165" t="n">
        <v>19</v>
      </c>
      <c r="D165" s="34">
        <f>LN(1+B165)/C165</f>
        <v/>
      </c>
    </row>
    <row r="166">
      <c r="A166" t="inlineStr">
        <is>
          <t>2019-12</t>
        </is>
      </c>
      <c r="B166" s="36" t="n">
        <v>0.0115</v>
      </c>
      <c r="C166" t="n">
        <v>19</v>
      </c>
      <c r="D166" s="34">
        <f>LN(1+B166)/C166</f>
        <v/>
      </c>
    </row>
    <row r="167">
      <c r="A167" t="inlineStr">
        <is>
          <t>2020-01</t>
        </is>
      </c>
      <c r="B167" s="36" t="n">
        <v>0.0021</v>
      </c>
      <c r="C167" t="n">
        <v>22</v>
      </c>
      <c r="D167" s="34">
        <f>LN(1+B167)/C167</f>
        <v/>
      </c>
    </row>
    <row r="168">
      <c r="A168" t="inlineStr">
        <is>
          <t>2020-02</t>
        </is>
      </c>
      <c r="B168" s="36" t="n">
        <v>0.0025</v>
      </c>
      <c r="C168" t="n">
        <v>18</v>
      </c>
      <c r="D168" s="34">
        <f>LN(1+B168)/C168</f>
        <v/>
      </c>
    </row>
    <row r="169">
      <c r="A169" t="inlineStr">
        <is>
          <t>2020-03</t>
        </is>
      </c>
      <c r="B169" s="36" t="n">
        <v>0.0007000000000000001</v>
      </c>
      <c r="C169" t="n">
        <v>22</v>
      </c>
      <c r="D169" s="34">
        <f>LN(1+B169)/C169</f>
        <v/>
      </c>
    </row>
    <row r="170">
      <c r="A170" t="inlineStr">
        <is>
          <t>2020-04</t>
        </is>
      </c>
      <c r="B170" s="36" t="n">
        <v>-0.0031</v>
      </c>
      <c r="C170" t="n">
        <v>20</v>
      </c>
      <c r="D170" s="34">
        <f>LN(1+B170)/C170</f>
        <v/>
      </c>
    </row>
    <row r="171">
      <c r="A171" t="inlineStr">
        <is>
          <t>2020-05</t>
        </is>
      </c>
      <c r="B171" s="36" t="n">
        <v>-0.0038</v>
      </c>
      <c r="C171" t="n">
        <v>20</v>
      </c>
      <c r="D171" s="34">
        <f>LN(1+B171)/C171</f>
        <v/>
      </c>
    </row>
    <row r="172">
      <c r="A172" t="inlineStr">
        <is>
          <t>2020-06</t>
        </is>
      </c>
      <c r="B172" s="36" t="n">
        <v>0.0026</v>
      </c>
      <c r="C172" t="n">
        <v>21</v>
      </c>
      <c r="D172" s="34">
        <f>LN(1+B172)/C172</f>
        <v/>
      </c>
    </row>
    <row r="173">
      <c r="A173" t="inlineStr">
        <is>
          <t>2020-07</t>
        </is>
      </c>
      <c r="B173" s="36" t="n">
        <v>0.0036</v>
      </c>
      <c r="C173" t="n">
        <v>23</v>
      </c>
      <c r="D173" s="34">
        <f>LN(1+B173)/C173</f>
        <v/>
      </c>
    </row>
    <row r="174">
      <c r="A174" t="inlineStr">
        <is>
          <t>2020-08</t>
        </is>
      </c>
      <c r="B174" s="36" t="n">
        <v>0.0024</v>
      </c>
      <c r="C174" t="n">
        <v>21</v>
      </c>
      <c r="D174" s="34">
        <f>LN(1+B174)/C174</f>
        <v/>
      </c>
    </row>
    <row r="175">
      <c r="A175" t="inlineStr">
        <is>
          <t>2020-09</t>
        </is>
      </c>
      <c r="B175" s="36" t="n">
        <v>0.0064</v>
      </c>
      <c r="C175" t="n">
        <v>21</v>
      </c>
      <c r="D175" s="34">
        <f>LN(1+B175)/C175</f>
        <v/>
      </c>
    </row>
    <row r="176">
      <c r="A176" t="inlineStr">
        <is>
          <t>2020-10</t>
        </is>
      </c>
      <c r="B176" s="36" t="n">
        <v>0.0086</v>
      </c>
      <c r="C176" t="n">
        <v>21</v>
      </c>
      <c r="D176" s="34">
        <f>LN(1+B176)/C176</f>
        <v/>
      </c>
    </row>
    <row r="177">
      <c r="A177" t="inlineStr">
        <is>
          <t>2020-11</t>
        </is>
      </c>
      <c r="B177" s="36" t="n">
        <v>0.0089</v>
      </c>
      <c r="C177" t="n">
        <v>20</v>
      </c>
      <c r="D177" s="34">
        <f>LN(1+B177)/C177</f>
        <v/>
      </c>
    </row>
    <row r="178">
      <c r="A178" t="inlineStr">
        <is>
          <t>2020-12</t>
        </is>
      </c>
      <c r="B178" s="36" t="n">
        <v>0.0135</v>
      </c>
      <c r="C178" t="n">
        <v>20</v>
      </c>
      <c r="D178" s="34">
        <f>LN(1+B178)/C178</f>
        <v/>
      </c>
    </row>
    <row r="179">
      <c r="A179" t="inlineStr">
        <is>
          <t>2021-01</t>
        </is>
      </c>
      <c r="B179" s="36" t="n">
        <v>0.0025</v>
      </c>
      <c r="C179" t="n">
        <v>19</v>
      </c>
      <c r="D179" s="34">
        <f>LN(1+B179)/C179</f>
        <v/>
      </c>
    </row>
    <row r="180">
      <c r="A180" t="inlineStr">
        <is>
          <t>2021-02</t>
        </is>
      </c>
      <c r="B180" s="36" t="n">
        <v>0.0086</v>
      </c>
      <c r="C180" t="n">
        <v>18</v>
      </c>
      <c r="D180" s="34">
        <f>LN(1+B180)/C180</f>
        <v/>
      </c>
    </row>
    <row r="181">
      <c r="A181" t="inlineStr">
        <is>
          <t>2021-03</t>
        </is>
      </c>
      <c r="B181" s="36" t="n">
        <v>0.009300000000000001</v>
      </c>
      <c r="C181" t="n">
        <v>23</v>
      </c>
      <c r="D181" s="34">
        <f>LN(1+B181)/C181</f>
        <v/>
      </c>
    </row>
    <row r="182">
      <c r="A182" t="inlineStr">
        <is>
          <t>2021-04</t>
        </is>
      </c>
      <c r="B182" s="36" t="n">
        <v>0.0031</v>
      </c>
      <c r="C182" t="n">
        <v>20</v>
      </c>
      <c r="D182" s="34">
        <f>LN(1+B182)/C182</f>
        <v/>
      </c>
    </row>
    <row r="183">
      <c r="A183" t="inlineStr">
        <is>
          <t>2021-05</t>
        </is>
      </c>
      <c r="B183" s="36" t="n">
        <v>0.0083</v>
      </c>
      <c r="C183" t="n">
        <v>21</v>
      </c>
      <c r="D183" s="34">
        <f>LN(1+B183)/C183</f>
        <v/>
      </c>
    </row>
    <row r="184">
      <c r="A184" t="inlineStr">
        <is>
          <t>2021-06</t>
        </is>
      </c>
      <c r="B184" s="36" t="n">
        <v>0.0053</v>
      </c>
      <c r="C184" t="n">
        <v>21</v>
      </c>
      <c r="D184" s="34">
        <f>LN(1+B184)/C184</f>
        <v/>
      </c>
    </row>
    <row r="185">
      <c r="A185" t="inlineStr">
        <is>
          <t>2021-07</t>
        </is>
      </c>
      <c r="B185" s="36" t="n">
        <v>0.009599999999999999</v>
      </c>
      <c r="C185" t="n">
        <v>21</v>
      </c>
      <c r="D185" s="34">
        <f>LN(1+B185)/C185</f>
        <v/>
      </c>
    </row>
    <row r="186">
      <c r="A186" t="inlineStr">
        <is>
          <t>2021-08</t>
        </is>
      </c>
      <c r="B186" s="36" t="n">
        <v>0.008699999999999999</v>
      </c>
      <c r="C186" t="n">
        <v>22</v>
      </c>
      <c r="D186" s="34">
        <f>LN(1+B186)/C186</f>
        <v/>
      </c>
    </row>
    <row r="187">
      <c r="A187" t="inlineStr">
        <is>
          <t>2021-09</t>
        </is>
      </c>
      <c r="B187" s="36" t="n">
        <v>0.0116</v>
      </c>
      <c r="C187" t="n">
        <v>21</v>
      </c>
      <c r="D187" s="34">
        <f>LN(1+B187)/C187</f>
        <v/>
      </c>
    </row>
    <row r="188">
      <c r="A188" t="inlineStr">
        <is>
          <t>2021-10</t>
        </is>
      </c>
      <c r="B188" s="36" t="n">
        <v>0.0125</v>
      </c>
      <c r="C188" t="n">
        <v>20</v>
      </c>
      <c r="D188" s="34">
        <f>LN(1+B188)/C188</f>
        <v/>
      </c>
    </row>
    <row r="189">
      <c r="A189" t="inlineStr">
        <is>
          <t>2021-11</t>
        </is>
      </c>
      <c r="B189" s="36" t="n">
        <v>0.0095</v>
      </c>
      <c r="C189" t="n">
        <v>20</v>
      </c>
      <c r="D189" s="34">
        <f>LN(1+B189)/C189</f>
        <v/>
      </c>
    </row>
    <row r="190">
      <c r="A190" t="inlineStr">
        <is>
          <t>2021-12</t>
        </is>
      </c>
      <c r="B190" s="36" t="n">
        <v>0.0073</v>
      </c>
      <c r="C190" t="n">
        <v>21</v>
      </c>
      <c r="D190" s="34">
        <f>LN(1+B190)/C190</f>
        <v/>
      </c>
    </row>
    <row r="191">
      <c r="A191" t="inlineStr">
        <is>
          <t>2022-01</t>
        </is>
      </c>
      <c r="B191" s="36" t="n">
        <v>0.0054</v>
      </c>
      <c r="C191" t="n">
        <v>21</v>
      </c>
      <c r="D191" s="34">
        <f>LN(1+B191)/C191</f>
        <v/>
      </c>
    </row>
    <row r="192">
      <c r="A192" t="inlineStr">
        <is>
          <t>2022-02</t>
        </is>
      </c>
      <c r="B192" s="36" t="n">
        <v>0.0101</v>
      </c>
      <c r="C192" t="n">
        <v>19</v>
      </c>
      <c r="D192" s="34">
        <f>LN(1+B192)/C192</f>
        <v/>
      </c>
    </row>
    <row r="193">
      <c r="A193" t="inlineStr">
        <is>
          <t>2022-03</t>
        </is>
      </c>
      <c r="B193" s="36" t="n">
        <v>0.0162</v>
      </c>
      <c r="C193" t="n">
        <v>22</v>
      </c>
      <c r="D193" s="34">
        <f>LN(1+B193)/C193</f>
        <v/>
      </c>
    </row>
    <row r="194">
      <c r="A194" t="inlineStr">
        <is>
          <t>2022-04</t>
        </is>
      </c>
      <c r="B194" s="36" t="n">
        <v>0.0106</v>
      </c>
      <c r="C194" t="n">
        <v>19</v>
      </c>
      <c r="D194" s="34">
        <f>LN(1+B194)/C194</f>
        <v/>
      </c>
    </row>
    <row r="195">
      <c r="A195" t="inlineStr">
        <is>
          <t>2022-05</t>
        </is>
      </c>
      <c r="B195" s="36" t="n">
        <v>0.004699999999999999</v>
      </c>
      <c r="C195" t="n">
        <v>22</v>
      </c>
      <c r="D195" s="34">
        <f>LN(1+B195)/C195</f>
        <v/>
      </c>
    </row>
    <row r="196">
      <c r="A196" t="inlineStr">
        <is>
          <t>2022-06</t>
        </is>
      </c>
      <c r="B196" s="36" t="n">
        <v>0.0067</v>
      </c>
      <c r="C196" t="n">
        <v>21</v>
      </c>
      <c r="D196" s="34">
        <f>LN(1+B196)/C196</f>
        <v/>
      </c>
    </row>
    <row r="197">
      <c r="A197" t="inlineStr">
        <is>
          <t>2022-07</t>
        </is>
      </c>
      <c r="B197" s="36" t="n">
        <v>-0.0068</v>
      </c>
      <c r="C197" t="n">
        <v>21</v>
      </c>
      <c r="D197" s="34">
        <f>LN(1+B197)/C197</f>
        <v/>
      </c>
    </row>
    <row r="198">
      <c r="A198" t="inlineStr">
        <is>
          <t>2022-08</t>
        </is>
      </c>
      <c r="B198" s="36" t="n">
        <v>-0.0036</v>
      </c>
      <c r="C198" t="n">
        <v>23</v>
      </c>
      <c r="D198" s="34">
        <f>LN(1+B198)/C198</f>
        <v/>
      </c>
    </row>
    <row r="199">
      <c r="A199" t="inlineStr">
        <is>
          <t>2022-09</t>
        </is>
      </c>
      <c r="B199" s="36" t="n">
        <v>-0.0029</v>
      </c>
      <c r="C199" t="n">
        <v>21</v>
      </c>
      <c r="D199" s="34">
        <f>LN(1+B199)/C199</f>
        <v/>
      </c>
    </row>
    <row r="200">
      <c r="A200" t="inlineStr">
        <is>
          <t>2022-10</t>
        </is>
      </c>
      <c r="B200" s="36" t="n">
        <v>0.0059</v>
      </c>
      <c r="C200" t="n">
        <v>20</v>
      </c>
      <c r="D200" s="34">
        <f>LN(1+B200)/C200</f>
        <v/>
      </c>
    </row>
    <row r="201">
      <c r="A201" t="inlineStr">
        <is>
          <t>2022-11</t>
        </is>
      </c>
      <c r="B201" s="36" t="n">
        <v>0.004099999999999999</v>
      </c>
      <c r="C201" t="n">
        <v>20</v>
      </c>
      <c r="D201" s="34">
        <f>LN(1+B201)/C201</f>
        <v/>
      </c>
    </row>
    <row r="202">
      <c r="A202" t="inlineStr">
        <is>
          <t>2022-12</t>
        </is>
      </c>
      <c r="B202" s="36" t="n">
        <v>0.0062</v>
      </c>
      <c r="C202" t="n">
        <v>21</v>
      </c>
      <c r="D202" s="34">
        <f>LN(1+B202)/C202</f>
        <v/>
      </c>
    </row>
    <row r="203">
      <c r="A203" t="inlineStr">
        <is>
          <t>2023-01</t>
        </is>
      </c>
      <c r="B203" s="36" t="n">
        <v>0.0053</v>
      </c>
      <c r="C203" t="n">
        <v>22</v>
      </c>
      <c r="D203" s="34">
        <f>LN(1+B203)/C203</f>
        <v/>
      </c>
    </row>
    <row r="204">
      <c r="A204" t="inlineStr">
        <is>
          <t>2023-02</t>
        </is>
      </c>
      <c r="B204" s="36" t="n">
        <v>0.008399999999999999</v>
      </c>
      <c r="C204" t="n">
        <v>18</v>
      </c>
      <c r="D204" s="34">
        <f>LN(1+B204)/C204</f>
        <v/>
      </c>
    </row>
    <row r="205">
      <c r="A205" t="inlineStr">
        <is>
          <t>2023-03</t>
        </is>
      </c>
      <c r="B205" s="36" t="n">
        <v>0.0071</v>
      </c>
      <c r="C205" t="n">
        <v>22</v>
      </c>
      <c r="D205" s="34">
        <f>LN(1+B205)/C205</f>
        <v/>
      </c>
    </row>
    <row r="206">
      <c r="A206" t="inlineStr">
        <is>
          <t>2023-04</t>
        </is>
      </c>
      <c r="B206" s="36" t="n">
        <v>0.0061</v>
      </c>
      <c r="C206" t="n">
        <v>17</v>
      </c>
      <c r="D206" s="34">
        <f>LN(1+B206)/C206</f>
        <v/>
      </c>
    </row>
    <row r="207">
      <c r="A207" t="inlineStr">
        <is>
          <t>2023-05</t>
        </is>
      </c>
      <c r="B207" s="36" t="n">
        <v>0.0023</v>
      </c>
      <c r="C207" t="n">
        <v>22</v>
      </c>
      <c r="D207" s="34">
        <f>LN(1+B207)/C207</f>
        <v/>
      </c>
    </row>
    <row r="208">
      <c r="A208" t="inlineStr">
        <is>
          <t>2023-06</t>
        </is>
      </c>
      <c r="B208" s="36" t="n">
        <v>-0.0008</v>
      </c>
      <c r="C208" t="n">
        <v>21</v>
      </c>
      <c r="D208" s="34">
        <f>LN(1+B208)/C208</f>
        <v/>
      </c>
    </row>
    <row r="209">
      <c r="A209" t="inlineStr">
        <is>
          <t>2023-07</t>
        </is>
      </c>
      <c r="B209" s="36" t="n">
        <v>0.0012</v>
      </c>
      <c r="C209" t="n">
        <v>21</v>
      </c>
      <c r="D209" s="34">
        <f>LN(1+B209)/C209</f>
        <v/>
      </c>
    </row>
    <row r="210">
      <c r="A210" t="inlineStr">
        <is>
          <t>2023-08</t>
        </is>
      </c>
      <c r="B210" s="36" t="n">
        <v>0.0023</v>
      </c>
      <c r="C210" t="n">
        <v>23</v>
      </c>
      <c r="D210" s="34">
        <f>LN(1+B210)/C210</f>
        <v/>
      </c>
    </row>
    <row r="211">
      <c r="A211" t="inlineStr">
        <is>
          <t>2023-09</t>
        </is>
      </c>
      <c r="B211" s="36" t="n">
        <v>0.0026</v>
      </c>
      <c r="C211" t="n">
        <v>20</v>
      </c>
      <c r="D211" s="34">
        <f>LN(1+B211)/C211</f>
        <v/>
      </c>
    </row>
    <row r="212">
      <c r="A212" t="inlineStr">
        <is>
          <t>2023-10</t>
        </is>
      </c>
      <c r="B212" s="36" t="n">
        <v>0.0024</v>
      </c>
      <c r="C212" t="n">
        <v>21</v>
      </c>
      <c r="D212" s="34">
        <f>LN(1+B212)/C212</f>
        <v/>
      </c>
    </row>
    <row r="213">
      <c r="A213" t="inlineStr">
        <is>
          <t>2023-11</t>
        </is>
      </c>
      <c r="B213" s="36" t="n">
        <v>0.0028</v>
      </c>
      <c r="C213" t="n">
        <v>20</v>
      </c>
      <c r="D213" s="34">
        <f>LN(1+B213)/C213</f>
        <v/>
      </c>
    </row>
    <row r="214">
      <c r="A214" t="inlineStr">
        <is>
          <t>2023-12</t>
        </is>
      </c>
      <c r="B214" s="36" t="n">
        <v>0.005600000000000001</v>
      </c>
      <c r="C214" t="n">
        <v>19</v>
      </c>
      <c r="D214" s="34">
        <f>LN(1+B214)/C214</f>
        <v/>
      </c>
    </row>
    <row r="215">
      <c r="A215" t="inlineStr">
        <is>
          <t>2024-01</t>
        </is>
      </c>
      <c r="B215" s="36" t="n">
        <v>0.0042</v>
      </c>
      <c r="C215" t="n">
        <v>22</v>
      </c>
      <c r="D215" s="34">
        <f>LN(1+B215)/C215</f>
        <v/>
      </c>
    </row>
    <row r="216">
      <c r="A216" t="inlineStr">
        <is>
          <t>2024-02</t>
        </is>
      </c>
      <c r="B216" s="36" t="n">
        <v>0.0083</v>
      </c>
      <c r="C216" t="n">
        <v>19</v>
      </c>
      <c r="D216" s="34">
        <f>LN(1+B216)/C216</f>
        <v/>
      </c>
    </row>
    <row r="217">
      <c r="A217" t="inlineStr">
        <is>
          <t>2024-03</t>
        </is>
      </c>
      <c r="B217" s="36" t="n">
        <v>0.0016</v>
      </c>
      <c r="C217" t="n">
        <v>20</v>
      </c>
      <c r="D217" s="34">
        <f>LN(1+B217)/C217</f>
        <v/>
      </c>
    </row>
    <row r="218">
      <c r="A218" t="inlineStr">
        <is>
          <t>2024-04</t>
        </is>
      </c>
      <c r="B218" s="36" t="n">
        <v>0.0038</v>
      </c>
      <c r="C218" t="n">
        <v>22</v>
      </c>
      <c r="D218" s="34">
        <f>LN(1+B218)/C218</f>
        <v/>
      </c>
    </row>
    <row r="219">
      <c r="A219" t="inlineStr">
        <is>
          <t>2024-05</t>
        </is>
      </c>
      <c r="B219" s="36" t="n">
        <v>0.0046</v>
      </c>
      <c r="C219" t="n">
        <v>21</v>
      </c>
      <c r="D219" s="34">
        <f>LN(1+B219)/C219</f>
        <v/>
      </c>
    </row>
    <row r="220">
      <c r="A220" t="inlineStr">
        <is>
          <t>2024-06</t>
        </is>
      </c>
      <c r="B220" s="36" t="n">
        <v>0.0021</v>
      </c>
      <c r="C220" t="n">
        <v>20</v>
      </c>
      <c r="D220" s="34">
        <f>LN(1+B220)/C220</f>
        <v/>
      </c>
    </row>
    <row r="221">
      <c r="A221" t="inlineStr">
        <is>
          <t>2024-07</t>
        </is>
      </c>
      <c r="B221" s="36" t="n">
        <v>0.0038</v>
      </c>
      <c r="C221" t="n">
        <v>23</v>
      </c>
      <c r="D221" s="34">
        <f>LN(1+B221)/C221</f>
        <v/>
      </c>
    </row>
    <row r="222">
      <c r="A222" t="inlineStr">
        <is>
          <t>2024-08</t>
        </is>
      </c>
      <c r="B222" s="36" t="n">
        <v>-0.0002</v>
      </c>
      <c r="C222" t="n">
        <v>22</v>
      </c>
      <c r="D222" s="34">
        <f>LN(1+B222)/C222</f>
        <v/>
      </c>
    </row>
    <row r="223">
      <c r="A223" t="inlineStr">
        <is>
          <t>2024-09</t>
        </is>
      </c>
      <c r="B223" s="36" t="n">
        <v>0.0044</v>
      </c>
      <c r="C223" t="n">
        <v>21</v>
      </c>
      <c r="D223" s="34">
        <f>LN(1+B223)/C223</f>
        <v/>
      </c>
    </row>
    <row r="224">
      <c r="A224" t="inlineStr">
        <is>
          <t>2024-10</t>
        </is>
      </c>
      <c r="B224" s="36" t="n">
        <v>0.005600000000000001</v>
      </c>
      <c r="C224" t="n">
        <v>23</v>
      </c>
      <c r="D224" s="34">
        <f>LN(1+B224)/C224</f>
        <v/>
      </c>
    </row>
    <row r="225">
      <c r="A225" t="inlineStr">
        <is>
          <t>2024-11</t>
        </is>
      </c>
      <c r="B225" s="36" t="n">
        <v>0.0039</v>
      </c>
      <c r="C225" t="n">
        <v>19</v>
      </c>
      <c r="D225" s="34">
        <f>LN(1+B225)/C225</f>
        <v/>
      </c>
    </row>
    <row r="226">
      <c r="A226" t="inlineStr">
        <is>
          <t>2024-12</t>
        </is>
      </c>
      <c r="B226" s="36" t="n">
        <v>0.0052</v>
      </c>
      <c r="C226" t="n">
        <v>19</v>
      </c>
      <c r="D226" s="34">
        <f>LN(1+B226)/C226</f>
        <v/>
      </c>
    </row>
    <row r="227">
      <c r="A227" t="inlineStr">
        <is>
          <t>2025-01</t>
        </is>
      </c>
      <c r="B227" s="36" t="n">
        <v>0.0016</v>
      </c>
      <c r="C227" t="n">
        <v>22</v>
      </c>
      <c r="D227" s="34">
        <f>LN(1+B227)/C227</f>
        <v/>
      </c>
    </row>
    <row r="228">
      <c r="A228" t="inlineStr">
        <is>
          <t>2025-02</t>
        </is>
      </c>
      <c r="B228" s="36" t="n">
        <v>0.0131</v>
      </c>
      <c r="C228" t="n">
        <v>20</v>
      </c>
      <c r="D228" s="34">
        <f>LN(1+B228)/C228</f>
        <v/>
      </c>
    </row>
    <row r="229">
      <c r="A229" t="inlineStr">
        <is>
          <t>2025-03</t>
        </is>
      </c>
      <c r="B229" s="36" t="n">
        <v>0.005600000000000001</v>
      </c>
      <c r="C229" t="n">
        <v>19</v>
      </c>
      <c r="D229" s="34">
        <f>LN(1+B229)/C229</f>
        <v/>
      </c>
    </row>
    <row r="230">
      <c r="A230" t="inlineStr">
        <is>
          <t>2025-04</t>
        </is>
      </c>
      <c r="B230" s="36" t="n">
        <v>0.0043</v>
      </c>
      <c r="C230" t="n">
        <v>20</v>
      </c>
      <c r="D230" s="34">
        <f>LN(1+B230)/C230</f>
        <v/>
      </c>
    </row>
    <row r="231">
      <c r="A231" t="inlineStr">
        <is>
          <t>2025-05</t>
        </is>
      </c>
      <c r="B231" s="36" t="n">
        <v>0.0026</v>
      </c>
      <c r="C231" t="n">
        <v>21</v>
      </c>
      <c r="D231" s="34">
        <f>LN(1+B231)/C231</f>
        <v/>
      </c>
    </row>
    <row r="232">
      <c r="A232" t="inlineStr">
        <is>
          <t>2025-06</t>
        </is>
      </c>
      <c r="B232" s="36" t="n">
        <v>0.0024</v>
      </c>
      <c r="C232" t="n">
        <v>20</v>
      </c>
      <c r="D232" s="34">
        <f>LN(1+B232)/C232</f>
        <v/>
      </c>
    </row>
    <row r="233">
      <c r="A233" t="inlineStr">
        <is>
          <t>2025-07</t>
        </is>
      </c>
      <c r="B233" s="36" t="n">
        <v>0.0026</v>
      </c>
      <c r="C233" t="n">
        <v>23</v>
      </c>
      <c r="D233" s="34">
        <f>LN(1+B233)/C233</f>
        <v/>
      </c>
    </row>
    <row r="234">
      <c r="A234" t="inlineStr">
        <is>
          <t>2025-08</t>
        </is>
      </c>
      <c r="B234" s="36" t="n">
        <v>-0.0011</v>
      </c>
      <c r="C234" t="n">
        <v>21</v>
      </c>
      <c r="D234" s="34">
        <f>LN(1+B234)/C234</f>
        <v/>
      </c>
    </row>
    <row r="235">
      <c r="A235" t="inlineStr">
        <is>
          <t>2025-09</t>
        </is>
      </c>
      <c r="B235" s="36" t="n">
        <v>0.0048</v>
      </c>
      <c r="C235" t="n">
        <v>22</v>
      </c>
      <c r="D235" s="34">
        <f>LN(1+B235)/C235</f>
        <v/>
      </c>
    </row>
    <row r="236">
      <c r="A236" t="inlineStr">
        <is>
          <t>2025-10</t>
        </is>
      </c>
      <c r="B236" s="36" t="n">
        <v>0.0009</v>
      </c>
      <c r="C236" t="n">
        <v>23</v>
      </c>
      <c r="D236" s="34">
        <f>LN(1+B236)/C236</f>
        <v/>
      </c>
    </row>
    <row r="237">
      <c r="A237" t="inlineStr">
        <is>
          <t>2025-11</t>
        </is>
      </c>
      <c r="B237" s="36" t="n">
        <v>0.0018</v>
      </c>
      <c r="C237" t="n">
        <v>19</v>
      </c>
      <c r="D237" s="34">
        <f>LN(1+B237)/C237</f>
        <v/>
      </c>
    </row>
    <row r="238">
      <c r="A238" t="inlineStr">
        <is>
          <t>2025-12</t>
        </is>
      </c>
      <c r="B238" s="36" t="n">
        <v>0.0033</v>
      </c>
      <c r="C238" t="n">
        <v>20</v>
      </c>
      <c r="D238" s="34">
        <f>LN(1+B238)/C238</f>
        <v/>
      </c>
    </row>
    <row r="239">
      <c r="A239" t="inlineStr">
        <is>
          <t>2026-01</t>
        </is>
      </c>
      <c r="B239" s="36" t="n">
        <v>0.0033</v>
      </c>
      <c r="C239" t="n">
        <v>21</v>
      </c>
      <c r="D239" s="34">
        <f>LN(1+B239)/C239</f>
        <v/>
      </c>
    </row>
    <row r="240">
      <c r="A240" t="inlineStr">
        <is>
          <t>2026-02</t>
        </is>
      </c>
      <c r="B240" s="36" t="n">
        <v>0.006999999999999999</v>
      </c>
      <c r="C240" t="n">
        <v>18</v>
      </c>
      <c r="D240" s="34">
        <f>LN(1+B240)/C240</f>
        <v/>
      </c>
    </row>
    <row r="241">
      <c r="A241" t="inlineStr">
        <is>
          <t>2026-03</t>
        </is>
      </c>
      <c r="B241" s="36" t="n">
        <v>0.008800000000000001</v>
      </c>
      <c r="C241" t="n">
        <v>22</v>
      </c>
      <c r="D241" s="34">
        <f>LN(1+B241)/C241</f>
        <v/>
      </c>
    </row>
    <row r="242">
      <c r="A242" t="inlineStr">
        <is>
          <t>2026-04</t>
        </is>
      </c>
      <c r="B242" s="36" t="n">
        <v>0.0067</v>
      </c>
      <c r="C242" t="n">
        <v>20</v>
      </c>
      <c r="D242" s="34">
        <f>LN(1+B242)/C242</f>
        <v/>
      </c>
    </row>
    <row r="243">
      <c r="A243" t="inlineStr">
        <is>
          <t>2026-05</t>
        </is>
      </c>
      <c r="B243" s="36" t="n">
        <v>0.0058</v>
      </c>
      <c r="C243" t="n">
        <v>20</v>
      </c>
      <c r="D243" s="34">
        <f>LN(1+B243)/C243</f>
        <v/>
      </c>
    </row>
    <row r="244">
      <c r="A244" t="inlineStr">
        <is>
          <t>2026-06</t>
        </is>
      </c>
      <c r="B244" s="36" t="n">
        <v>0.0016</v>
      </c>
      <c r="C244" t="n">
        <v>21</v>
      </c>
      <c r="D244" s="34">
        <f>LN(1+B244)/C244</f>
        <v/>
      </c>
    </row>
    <row r="245">
      <c r="A245" t="inlineStr">
        <is>
          <t>2026-07</t>
        </is>
      </c>
      <c r="B245" s="36" t="n">
        <v>0.0007000000000000001</v>
      </c>
      <c r="C245" t="n">
        <v>23</v>
      </c>
      <c r="D245" s="34">
        <f>LN(1+B245)/C245</f>
        <v/>
      </c>
    </row>
    <row r="247">
      <c r="A247" s="6" t="inlineStr">
        <is>
          <t>Fonte: BCB SGS 433. IPCA realizado ate jul/2026; agosto/2026 fica fora do retorno real.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2026-09-03T11:55:20Z</dcterms:created>
  <dcterms:modified xmlns:dcterms="http://purl.org/dc/terms/" xmlns:xsi="http://www.w3.org/2001/XMLSchema-instance" xsi:type="dcterms:W3CDTF">2026-09-03T11:55:22Z</dcterms:modified>
</cp:coreProperties>
</file>